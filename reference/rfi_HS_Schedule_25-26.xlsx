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sheetId="1" r:id="rId4"/>
    <sheet state="visible" name="Students" sheetId="2" r:id="rId5"/>
    <sheet state="visible" name="Esquemas" sheetId="3" r:id="rId6"/>
    <sheet state="visible" name="Number of Students" sheetId="4" r:id="rId7"/>
    <sheet state="visible" name="Special Requests" sheetId="5" r:id="rId8"/>
    <sheet state="visible" name="Student Groupings" sheetId="6" r:id="rId9"/>
    <sheet state="visible" name="Teachers and Groups" sheetId="7" r:id="rId10"/>
    <sheet state="visible" name="Teachers sched" sheetId="8" r:id="rId11"/>
    <sheet state="visible" name="SALONES" sheetId="9" r:id="rId12"/>
    <sheet state="hidden" name="SALONES Teachers sched" sheetId="10" r:id="rId13"/>
    <sheet state="visible" name="Students per Teacher" sheetId="11" r:id="rId14"/>
    <sheet state="visible" name="Students (Vertical)" sheetId="12" r:id="rId15"/>
    <sheet state="hidden" name="Students with these courses" sheetId="13" r:id="rId16"/>
    <sheet state="hidden" name="Timeline" sheetId="14" r:id="rId17"/>
    <sheet state="visible" name="Ghost Classes" sheetId="15" r:id="rId18"/>
    <sheet state="visible" name="Teachers" sheetId="16" r:id="rId19"/>
    <sheet state="visible" name="Total Groups" sheetId="17" r:id="rId20"/>
    <sheet state="visible" name="Datos" sheetId="18" r:id="rId21"/>
    <sheet state="visible" name="Schemes 6 &amp; 7 (for Teacher shed" sheetId="19" r:id="rId22"/>
  </sheets>
  <definedNames>
    <definedName hidden="1" localSheetId="1" name="_xlnm._FilterDatabase">Students!$A$2:$AI$520</definedName>
    <definedName hidden="1" localSheetId="3" name="_xlnm._FilterDatabase">'Number of Students'!$A$1:$L$100</definedName>
    <definedName hidden="1" localSheetId="5" name="_xlnm._FilterDatabase">'Student Groupings'!$A$1:$K$106</definedName>
    <definedName hidden="1" localSheetId="6" name="_xlnm._FilterDatabase">'Teachers and Groups'!$A$1:$G$1012</definedName>
    <definedName hidden="1" localSheetId="13" name="_xlnm._FilterDatabase">Timeline!$A$1:$F$999</definedName>
    <definedName hidden="1" localSheetId="1" name="Z_B7C9413E_736F_41B5_8934_FEC82628B2B6_.wvu.FilterData">Students!$A$1:$AI$520</definedName>
    <definedName hidden="1" localSheetId="1" name="Z_55E782B4_EB2B_4485_B173_DB9D5CA62E12_.wvu.FilterData">Students!$A$1:$AI$520</definedName>
    <definedName hidden="1" localSheetId="1" name="Z_8C076C10_0F92_4795_AFD4_E6F58520B8BC_.wvu.FilterData">Students!$A$2:$AI$520</definedName>
    <definedName hidden="1" localSheetId="1" name="Z_01AB1293_545B_47AC_9825_B06C7B19702B_.wvu.FilterData">Students!$A$1:$AI$520</definedName>
    <definedName hidden="1" localSheetId="1" name="Z_A9A35CD8_447F_4D16_A665_DB2F898FAA8B_.wvu.FilterData">Students!$A$1:$AI$520</definedName>
    <definedName hidden="1" localSheetId="1" name="Z_636DCCFC_6B04_4AAD_9EF7_51BDAA230EA5_.wvu.FilterData">Students!$A$1:$AI$520</definedName>
    <definedName hidden="1" localSheetId="1" name="Z_8315904B_86A4_4ED1_90C6_30334ECE7A76_.wvu.FilterData">Students!$A$1:$AI$520</definedName>
  </definedNames>
  <calcPr/>
  <customWorkbookViews>
    <customWorkbookView activeSheetId="0" maximized="1" windowHeight="0" windowWidth="0" guid="{8315904B-86A4-4ED1-90C6-30334ECE7A76}" name="Filter 6"/>
    <customWorkbookView activeSheetId="0" maximized="1" windowHeight="0" windowWidth="0" guid="{55E782B4-EB2B-4485-B173-DB9D5CA62E12}" name="Filter 4"/>
    <customWorkbookView activeSheetId="0" maximized="1" windowHeight="0" windowWidth="0" guid="{A9A35CD8-447F-4D16-A665-DB2F898FAA8B}" name="Filter 5"/>
    <customWorkbookView activeSheetId="0" maximized="1" windowHeight="0" windowWidth="0" guid="{01AB1293-545B-47AC-9825-B06C7B19702B}" name="Filter 2"/>
    <customWorkbookView activeSheetId="0" maximized="1" windowHeight="0" windowWidth="0" guid="{636DCCFC-6B04-4AAD-9EF7-51BDAA230EA5}" name="Filter 3"/>
    <customWorkbookView activeSheetId="0" maximized="1" windowHeight="0" windowWidth="0" guid="{8C076C10-0F92-4795-AFD4-E6F58520B8BC}" name="Katherine"/>
    <customWorkbookView activeSheetId="0" maximized="1" windowHeight="0" windowWidth="0" guid="{B7C9413E-736F-41B5-8934-FEC82628B2B6}" name="Filter 1"/>
  </customWorkbookViews>
</workbook>
</file>

<file path=xl/sharedStrings.xml><?xml version="1.0" encoding="utf-8"?>
<sst xmlns="http://schemas.openxmlformats.org/spreadsheetml/2006/main" count="39465" uniqueCount="1060">
  <si>
    <t>Schedule Conflicts:</t>
  </si>
  <si>
    <t>% 9-12 done:</t>
  </si>
  <si>
    <t>Over 24 students:</t>
  </si>
  <si>
    <t>ERRORS (Ghost classes):</t>
  </si>
  <si>
    <t>Groups over for Teacher</t>
  </si>
  <si>
    <t># in Each Grade</t>
  </si>
  <si>
    <t>Grade Level</t>
  </si>
  <si>
    <t>Block</t>
  </si>
  <si>
    <t>Day A</t>
  </si>
  <si>
    <t>Day B</t>
  </si>
  <si>
    <t>Day C</t>
  </si>
  <si>
    <t>Day D</t>
  </si>
  <si>
    <t>Day E</t>
  </si>
  <si>
    <t>Semester</t>
  </si>
  <si>
    <t>Teacher</t>
  </si>
  <si>
    <t>Room</t>
  </si>
  <si>
    <t># Hours</t>
  </si>
  <si>
    <t>S</t>
  </si>
  <si>
    <t>Preps</t>
  </si>
  <si>
    <t>Students</t>
  </si>
  <si>
    <t>All</t>
  </si>
  <si>
    <t>Jorge Mario Angel</t>
  </si>
  <si>
    <t/>
  </si>
  <si>
    <t>Band Level II</t>
  </si>
  <si>
    <t>Band Level I</t>
  </si>
  <si>
    <t>Sofia Arcila</t>
  </si>
  <si>
    <t>AP 2-D Art and Design</t>
  </si>
  <si>
    <t>Drawing I</t>
  </si>
  <si>
    <t>Sculpture I</t>
  </si>
  <si>
    <t>Mixed Media Art</t>
  </si>
  <si>
    <t>Painting I</t>
  </si>
  <si>
    <t>x-block</t>
  </si>
  <si>
    <t>AP 3-D Art and Design</t>
  </si>
  <si>
    <t>Gloria Velez</t>
  </si>
  <si>
    <t>Painting II</t>
  </si>
  <si>
    <t>AP Drawing</t>
  </si>
  <si>
    <t>Andrew Shainker</t>
  </si>
  <si>
    <t>English 10</t>
  </si>
  <si>
    <t>Journalism Higher Level</t>
  </si>
  <si>
    <t>Jason Hendricks</t>
  </si>
  <si>
    <t>English 9</t>
  </si>
  <si>
    <t>Journalism Intermediate Level</t>
  </si>
  <si>
    <t>Mitchell McPherson</t>
  </si>
  <si>
    <t>Art of Fiction Intermediate Level</t>
  </si>
  <si>
    <t>Alyssa Jodoin</t>
  </si>
  <si>
    <t>Art of Fiction Higher Level</t>
  </si>
  <si>
    <t>AP English Literature</t>
  </si>
  <si>
    <t>Samantha Gwinn</t>
  </si>
  <si>
    <t>AP Seminar</t>
  </si>
  <si>
    <t>AP English Language</t>
  </si>
  <si>
    <t>Nick Schmalz</t>
  </si>
  <si>
    <t>Social Studies 9</t>
  </si>
  <si>
    <t>Erika Atehortúa</t>
  </si>
  <si>
    <t>Spanish and Literature 12</t>
  </si>
  <si>
    <t>AP Spanish Literature and Culture</t>
  </si>
  <si>
    <t>Camila Leiva</t>
  </si>
  <si>
    <t>Sociales 10</t>
  </si>
  <si>
    <t>Spanish Film, Art, and Literature</t>
  </si>
  <si>
    <t>Total</t>
  </si>
  <si>
    <t>Avg</t>
  </si>
  <si>
    <t>Andrea Martínez</t>
  </si>
  <si>
    <t>Spanish and Literature 9</t>
  </si>
  <si>
    <t>Spanish as a Foreing Language</t>
  </si>
  <si>
    <t>Sindy Villamizar</t>
  </si>
  <si>
    <t>AP Spanish Language and Culture</t>
  </si>
  <si>
    <t>Johana Restrepo</t>
  </si>
  <si>
    <t>Spanish and Literature 11</t>
  </si>
  <si>
    <t>Norberto Villa</t>
  </si>
  <si>
    <t>Bradford Stretton</t>
  </si>
  <si>
    <t>Calculus</t>
  </si>
  <si>
    <t>AP Calculus AB</t>
  </si>
  <si>
    <t>AP Calculus BC</t>
  </si>
  <si>
    <t>Josue Acosta</t>
  </si>
  <si>
    <t>Algebra I</t>
  </si>
  <si>
    <t>AP Statistics</t>
  </si>
  <si>
    <t>New Math Teacher</t>
  </si>
  <si>
    <t>Geometry</t>
  </si>
  <si>
    <t>Mauricio Sepúlveda</t>
  </si>
  <si>
    <t>Sandro Berrio</t>
  </si>
  <si>
    <t>Algebra II</t>
  </si>
  <si>
    <t>Andres Arboleda</t>
  </si>
  <si>
    <t>AP Precalculus</t>
  </si>
  <si>
    <t>Financial Math</t>
  </si>
  <si>
    <t>Blaire Dawkins</t>
  </si>
  <si>
    <t>Environmental Science</t>
  </si>
  <si>
    <t>AP Environmental Science</t>
  </si>
  <si>
    <t>Anatomy and Physiology</t>
  </si>
  <si>
    <t>Valentina Zuluaga</t>
  </si>
  <si>
    <t>Biology 9</t>
  </si>
  <si>
    <t>Tamir Mickens</t>
  </si>
  <si>
    <t>Physics</t>
  </si>
  <si>
    <t>Jake Landry</t>
  </si>
  <si>
    <t>AP Physics 1</t>
  </si>
  <si>
    <t>AP Physics 2</t>
  </si>
  <si>
    <t>Bill Beauchamp</t>
  </si>
  <si>
    <t>Chemistry</t>
  </si>
  <si>
    <t>AP Biology</t>
  </si>
  <si>
    <t>Jose Sabido</t>
  </si>
  <si>
    <t>AP Chemistry</t>
  </si>
  <si>
    <t>David Murphy</t>
  </si>
  <si>
    <t>Global</t>
  </si>
  <si>
    <t>AP World History</t>
  </si>
  <si>
    <t>Brian Summers</t>
  </si>
  <si>
    <t>AP Human Geography</t>
  </si>
  <si>
    <t>Andres Ortegon</t>
  </si>
  <si>
    <t>AP Economics</t>
  </si>
  <si>
    <t>Juan Carlos Ledezma</t>
  </si>
  <si>
    <t>Life Purpose</t>
  </si>
  <si>
    <t>Pensar nuestro tiempo</t>
  </si>
  <si>
    <t>Introduction to Law</t>
  </si>
  <si>
    <t>Felipe Naranjo</t>
  </si>
  <si>
    <t>AP Psychology</t>
  </si>
  <si>
    <t>Karol Marin</t>
  </si>
  <si>
    <t>Camilo  Hoyos</t>
  </si>
  <si>
    <t>ISC</t>
  </si>
  <si>
    <t>Entrepreneurship - Business Tech</t>
  </si>
  <si>
    <t>Julian Zúñiga</t>
  </si>
  <si>
    <t>AP Computer Science Principles</t>
  </si>
  <si>
    <t>AP Computer Science A</t>
  </si>
  <si>
    <t>Jhon Higuita</t>
  </si>
  <si>
    <t>Technology 9</t>
  </si>
  <si>
    <t>Creative Design</t>
  </si>
  <si>
    <t>FRC 9</t>
  </si>
  <si>
    <t>Alejandro Henao</t>
  </si>
  <si>
    <t>FRC 9 Robotics</t>
  </si>
  <si>
    <t>Emily Butterworth</t>
  </si>
  <si>
    <t>AP Research</t>
  </si>
  <si>
    <t>Anibal Betancur</t>
  </si>
  <si>
    <t>PE 9</t>
  </si>
  <si>
    <t>Jiovanna Castañeda</t>
  </si>
  <si>
    <t>PE 10</t>
  </si>
  <si>
    <t>Juan Esteban Marin</t>
  </si>
  <si>
    <t>PE 11</t>
  </si>
  <si>
    <t>Urbano Mesa</t>
  </si>
  <si>
    <t>PE 12</t>
  </si>
  <si>
    <t xml:space="preserve"> </t>
  </si>
  <si>
    <t>English</t>
  </si>
  <si>
    <t>Spanish</t>
  </si>
  <si>
    <t>esc</t>
  </si>
  <si>
    <t>Math</t>
  </si>
  <si>
    <t>Science</t>
  </si>
  <si>
    <t>PE</t>
  </si>
  <si>
    <t>History (9,10) Art-band(11) or Tech (12)</t>
  </si>
  <si>
    <t>Sociales (10, 11, 12) or Technology (9)</t>
  </si>
  <si>
    <t>.</t>
  </si>
  <si>
    <t>Art 11, Band 11</t>
  </si>
  <si>
    <t>Elective</t>
  </si>
  <si>
    <t>GR</t>
  </si>
  <si>
    <t>ID</t>
  </si>
  <si>
    <t>Name</t>
  </si>
  <si>
    <t>E</t>
  </si>
  <si>
    <t>Course</t>
  </si>
  <si>
    <t>Separate Code</t>
  </si>
  <si>
    <t>Together code</t>
  </si>
  <si>
    <t>MANRIQUE CUESTA, ISABELLA</t>
  </si>
  <si>
    <t>AAA</t>
  </si>
  <si>
    <t>MEJIA BUSTAMANTE, ANTONIA</t>
  </si>
  <si>
    <t>SALEMME GUTIERREZ, AMALIA</t>
  </si>
  <si>
    <t>THIRIEZ VILLA, EMMA</t>
  </si>
  <si>
    <t>VILLEGAS HINCAPIE, CANDELARIA</t>
  </si>
  <si>
    <t>MEJIA VILLEGAS, CANDELARIA</t>
  </si>
  <si>
    <t>ARISTIZABAL ECHAVARRIA, CRISTOBAL</t>
  </si>
  <si>
    <t>PEREZ BEDOYA, ELENA</t>
  </si>
  <si>
    <t>HENAO RESTREPO, ANTONIA</t>
  </si>
  <si>
    <t>BARRIENTOS ALVAREZ, ELISA</t>
  </si>
  <si>
    <t>MISAS MESA, ALICIA</t>
  </si>
  <si>
    <t>ARANGO NAVARRO, MANUELA</t>
  </si>
  <si>
    <t>MEDINA JARAMILLO, ALICIA</t>
  </si>
  <si>
    <t>ACEVEDO ARANGO, ROSARIO</t>
  </si>
  <si>
    <t>GOMEZ PASCHKE, VALERIA</t>
  </si>
  <si>
    <t>THIRIEZ VILLA, MARIA</t>
  </si>
  <si>
    <t>PLATA BOLAÑOS, CAMILA</t>
  </si>
  <si>
    <t>DUQUE BONNETT, ELISA</t>
  </si>
  <si>
    <t>MONTES LOPEZ, MANUELA</t>
  </si>
  <si>
    <t>PETTERSSON VANEGAS, DOMINIQUE</t>
  </si>
  <si>
    <t>SOTO ANGEL, GABRIELA</t>
  </si>
  <si>
    <t>SANIN JARAMILLO, PEDRO</t>
  </si>
  <si>
    <t>LONDOÑO JARAMILLO, MARTINA</t>
  </si>
  <si>
    <t>MARQUEZ BARRERA, MIRANDA</t>
  </si>
  <si>
    <t>APA ECHAVARRIA, LORENZO</t>
  </si>
  <si>
    <t>ARROYAVE LONDOÑO, ELISA</t>
  </si>
  <si>
    <t>HURTADO FAJARDO, JUANITA</t>
  </si>
  <si>
    <t>VALLEJO HOYOS, JUAN</t>
  </si>
  <si>
    <t>ECHAVARRIA MUÑOZ, NICOLAS</t>
  </si>
  <si>
    <t>SUAREZ MARTINEZ, ANA</t>
  </si>
  <si>
    <t>BETANCUR ROBLEDO, PEDRO</t>
  </si>
  <si>
    <t>OTALVARO ABAD, JUAN MARTIN</t>
  </si>
  <si>
    <t>MORA JARAMILLO, ALICIA</t>
  </si>
  <si>
    <t>JIMENO ARISTIZABAL, ISABELLA</t>
  </si>
  <si>
    <t>ALZATE GARCIA, LUCIANA</t>
  </si>
  <si>
    <t>CORTES SIERRA, TOMAS</t>
  </si>
  <si>
    <t>MEJIA MANTILLA, MATEO</t>
  </si>
  <si>
    <t>CALLE BUITRAGO, ESTEBAN</t>
  </si>
  <si>
    <t>ESCOBAR MADRID, MAXIMILIANO</t>
  </si>
  <si>
    <t>OLIVEIRA CASTAÑO, MARIANA</t>
  </si>
  <si>
    <t>FAJARDO VILLA, LUCIANA</t>
  </si>
  <si>
    <t>BETANCOURT QUINTERO, SIMON</t>
  </si>
  <si>
    <t>CHAVARRIAGA MESA, GREGORIO</t>
  </si>
  <si>
    <t>OSORIO ARISTIZABAL, MATIAS</t>
  </si>
  <si>
    <t>ALVAREZ CARDENAS, JUAN EMILIO</t>
  </si>
  <si>
    <t>JARAMILLO DONADO, AMELIA</t>
  </si>
  <si>
    <t>MARQUEZ RAHAL, PEDRO</t>
  </si>
  <si>
    <t>VALLEJO LONDOÑO, TOMAS</t>
  </si>
  <si>
    <t>GOMEZ ZULUAGA, JUAN JOSE</t>
  </si>
  <si>
    <t>GALLON TOBON, GERONIMO</t>
  </si>
  <si>
    <t>ARANGO VILLA, TOMAS</t>
  </si>
  <si>
    <t>ECHAVARRIA ROLDAN, TOMAS</t>
  </si>
  <si>
    <t>ACEVEDO OROZCO, MARIA CELESTE</t>
  </si>
  <si>
    <t>NIEHAUS TRUJILLO, MICHELLE</t>
  </si>
  <si>
    <t>PEREZ ALVARADO, SARA</t>
  </si>
  <si>
    <t>CONCHA VELASCO, LORENZO</t>
  </si>
  <si>
    <t>ARANGO RUBIO, ROSARIO</t>
  </si>
  <si>
    <t>BURKHALTER, ESPERANZA JOY</t>
  </si>
  <si>
    <t>SALAZAR ECHEVERRI, ANTONIA</t>
  </si>
  <si>
    <t>AGUIRRE ARANGO, DAVID</t>
  </si>
  <si>
    <t>ARISTIZABAL URIBE, MATIAS</t>
  </si>
  <si>
    <t>HURTADO ARISTIZABAL, CAMILA</t>
  </si>
  <si>
    <t>JAILLIER PINZON, MAXIMILIANO</t>
  </si>
  <si>
    <t>MARRERO MARTA, ALINA</t>
  </si>
  <si>
    <t>LONDOÑO CUARTAS, TOMAS</t>
  </si>
  <si>
    <t>ROBLES MARTINEZ, MARIA</t>
  </si>
  <si>
    <t>ECHEVERRI ESCOBAR, RODRIGO</t>
  </si>
  <si>
    <t>SANCHEZ DIAZ, SIMON</t>
  </si>
  <si>
    <t>LOPEZ ESCOBAR, VALENTIN</t>
  </si>
  <si>
    <t>CLAVIJO GIRALDO, LORENZO</t>
  </si>
  <si>
    <t>VELASQUEZ GUTIERREZ, SAMUEL</t>
  </si>
  <si>
    <t>JARAMILLO OSPINA, MANUEL</t>
  </si>
  <si>
    <t>GONZALEZ LOPEZ, SAMUEL</t>
  </si>
  <si>
    <t>MOLANO MESA, CARMEN</t>
  </si>
  <si>
    <t>SERANI ANGEL, LUCIANA</t>
  </si>
  <si>
    <t>ESCOBAR INFANTINO, RAQUEL</t>
  </si>
  <si>
    <t>PACHECO GARCIA, MARIANA</t>
  </si>
  <si>
    <t>TOBON CARMONA, JACOBO</t>
  </si>
  <si>
    <t>VILLEGAS MEJIA, SIMON</t>
  </si>
  <si>
    <t>CARDONA VELEZ, MATIAS</t>
  </si>
  <si>
    <t>CADAVID RESTREPO, LUIS FERNANDO</t>
  </si>
  <si>
    <t>GOMEZ MIRA, GREGORIO</t>
  </si>
  <si>
    <t>URIBE JARAMILLO, PEDRO JUAN</t>
  </si>
  <si>
    <t>ESTRADA ZAPATA, MARTIN</t>
  </si>
  <si>
    <t>JALLER TRUJILLO, KAMEL</t>
  </si>
  <si>
    <t>TURIZZO BORRERO, CAMILO ANDRES</t>
  </si>
  <si>
    <t>VELEZ RESTREPO, SIMON</t>
  </si>
  <si>
    <t>ACEVEDO OCHOA, MARIA DEL MAR</t>
  </si>
  <si>
    <t>RESTREPO RESTREPO, MATIAS</t>
  </si>
  <si>
    <t>PALACIO BOTERO, MATIAS</t>
  </si>
  <si>
    <t>QUINTERO HENAO, MATEO</t>
  </si>
  <si>
    <t>ZAPATA URIBE, RAFAEL</t>
  </si>
  <si>
    <t>JARAMILLO GONZALEZ, PASCUAL</t>
  </si>
  <si>
    <t>HINESTROSA SIERRA, PEDRO</t>
  </si>
  <si>
    <t>LOPEZ JAIMES, VICENTE</t>
  </si>
  <si>
    <t>CHOPRA, HARSHUL</t>
  </si>
  <si>
    <t>ROJAS REYES, JERONIMO</t>
  </si>
  <si>
    <t>HOYOS SARAVIA, TOMAS</t>
  </si>
  <si>
    <t>ESPINOSA ABAD, GREGORIO</t>
  </si>
  <si>
    <t>TOBAR MEJIA, CAMILO</t>
  </si>
  <si>
    <t>OLARTE JARAMILLO, EMILIO</t>
  </si>
  <si>
    <t>CESPEDES GARCIA, PABLO</t>
  </si>
  <si>
    <t>BETANCOURT QUINTERO, LUCAS</t>
  </si>
  <si>
    <t>LUNA ALZATE, AMALIA</t>
  </si>
  <si>
    <t>BARRIOS CASTILLO, NICOLAS GUILLERMO</t>
  </si>
  <si>
    <t>FERNANDEZ CALDERON, HANNA</t>
  </si>
  <si>
    <t>MISERENDINO MUÑOZ, GABRIEL</t>
  </si>
  <si>
    <t>COCK ECHEVERRI, JULIETA</t>
  </si>
  <si>
    <t>SCHOBER OCAMPO, DANIEL</t>
  </si>
  <si>
    <t>KIM LEE, SAE YOON LUCAS</t>
  </si>
  <si>
    <t>TIRADO SANIN, ELENA</t>
  </si>
  <si>
    <t>BAENA GIRALDO, VIOLETA</t>
  </si>
  <si>
    <t>URIBE RODRIGUEZ, MARIA LUISA</t>
  </si>
  <si>
    <t>VELASQUEZ JARAMILLO, MARIA</t>
  </si>
  <si>
    <t>HINESTROSA SIERRA, MIGUEL</t>
  </si>
  <si>
    <t>TRUJILLO RUIZ, SAMUEL</t>
  </si>
  <si>
    <t>RAMIREZ PELAEZ, ANTONIA</t>
  </si>
  <si>
    <t>TRUJILLO RUIZ, SARA</t>
  </si>
  <si>
    <t>RAMIREZ PELAEZ, ELENA</t>
  </si>
  <si>
    <t>REPETTO LARROSA, FAUSTINO</t>
  </si>
  <si>
    <t>FERNANDEZ CALDERON, TAMARA</t>
  </si>
  <si>
    <t>DURAN CALAD, MIGUEL</t>
  </si>
  <si>
    <t>CARVAJAL ACOSTA, MARTIN</t>
  </si>
  <si>
    <t>SOSA ECHAVARRIA, EMILIO</t>
  </si>
  <si>
    <t>JIMENEZ PATIÑO, EMILIO</t>
  </si>
  <si>
    <t>VASQUEZ ANGEL, JUANITA</t>
  </si>
  <si>
    <t>RESTREPO ESCOBAR, ISABELA</t>
  </si>
  <si>
    <t>NAVARRO ZULUAGA, SOFIA</t>
  </si>
  <si>
    <t>BOTERO DEL CORRAL, EMILIANA</t>
  </si>
  <si>
    <t>GUERRA MARTINEZ, REBECCA</t>
  </si>
  <si>
    <t>VELEZ ZAPATA, SARA</t>
  </si>
  <si>
    <t>BERDUGO RESTREPO, ROSARIO</t>
  </si>
  <si>
    <t>HINESTROZA ESCOBAR, LUCIANA</t>
  </si>
  <si>
    <t>CARVAJAL BOTERO, SIMON</t>
  </si>
  <si>
    <t>VELEZ RAMIREZ, MIGUEL</t>
  </si>
  <si>
    <t>PENAGOS VELEZ, EMILIO</t>
  </si>
  <si>
    <t>TABARES MORENO, LUCAS</t>
  </si>
  <si>
    <t>BUHOFER DUQUE, ANDREAS EMILIO</t>
  </si>
  <si>
    <t>LOPEZ RODRIGUEZ, MAR</t>
  </si>
  <si>
    <t>GALVEZ ATEHORTUA, JUANITA</t>
  </si>
  <si>
    <t>MARULANDA VARGAS, ELISA</t>
  </si>
  <si>
    <t>GUTIERREZ ABUCHAR, TOMAS</t>
  </si>
  <si>
    <t>VELEZ COCK, ELISA</t>
  </si>
  <si>
    <t>ORTEGA OCHOA, FEDERICO</t>
  </si>
  <si>
    <t>ROBLEDO LLANO, MAXIMILIANO</t>
  </si>
  <si>
    <t>VILLEGAS BOTERO, MARIANA</t>
  </si>
  <si>
    <t>RODRIGUEZ SALDARRIAGA, SOFIA</t>
  </si>
  <si>
    <t>RINCON URIBE, CAMILA</t>
  </si>
  <si>
    <t>LOPERA VILLA, ELENA</t>
  </si>
  <si>
    <t>REINOSO TRUJILLO, TOMAS</t>
  </si>
  <si>
    <t>JARAMILLO FERNANDEZ, EMILIO</t>
  </si>
  <si>
    <t>GALLEGO CUARTAS, NICOLAS</t>
  </si>
  <si>
    <t>OSPINA BENEDETI, AGUSTIN</t>
  </si>
  <si>
    <t>MC LEAN HIDRON, LUCAS</t>
  </si>
  <si>
    <t>BOTERO CASTAÑEDA, CARMEN</t>
  </si>
  <si>
    <t>GOMEZ AMADOR, EMMA</t>
  </si>
  <si>
    <t>LOPEZ ESCOBAR, CLEMENTE</t>
  </si>
  <si>
    <t>ARANGO DUQUE, TOMAS</t>
  </si>
  <si>
    <t>SANIN VELASQUEZ, ISRAEL</t>
  </si>
  <si>
    <t>GARCIA VALENCIA, EMILIO</t>
  </si>
  <si>
    <t>NAVARRO VILLA, JUAN MARTIN</t>
  </si>
  <si>
    <t>RUIZ RAMIREZ, JACOBO</t>
  </si>
  <si>
    <t>OROZCO RINCON, JUAN SEBASTIAN</t>
  </si>
  <si>
    <t>MEJIA GONZALEZ, ISMAEL IGNACIO</t>
  </si>
  <si>
    <t>URIBE CERON, MANUELA</t>
  </si>
  <si>
    <t>TRUJILLO VELEZ, MARIANA</t>
  </si>
  <si>
    <t>TRUJILLO SOTO, SUSANA</t>
  </si>
  <si>
    <t>RAMIREZ CORREA, TOMAS</t>
  </si>
  <si>
    <t>DE MUNCK MORTIER, JULIE</t>
  </si>
  <si>
    <t>SANCHEZ HAVARD, VANESA FAITH</t>
  </si>
  <si>
    <t>ZARRUK BELTRAN, MARTIN</t>
  </si>
  <si>
    <t>ARISTIZABAL VILLEGAS, EMILIO</t>
  </si>
  <si>
    <t>CADAVID RESTREPO, ANTONIO</t>
  </si>
  <si>
    <t>RESTREPO QUINTERO, ANTONIO</t>
  </si>
  <si>
    <t>ANGEL MESA, PEDRO</t>
  </si>
  <si>
    <t>LONDOÑO VILLA, PEDRO</t>
  </si>
  <si>
    <t>ROJAS VELEZ, LUCIANA</t>
  </si>
  <si>
    <t>MEDINA NOREÑA, MANUELA</t>
  </si>
  <si>
    <t>SALAZAR ECHEVERRI, ELISA</t>
  </si>
  <si>
    <t>ATEHORTUA MORENO, SOFIA</t>
  </si>
  <si>
    <t>GAVIRIA GONZALEZ, MARIA JOSE</t>
  </si>
  <si>
    <t>ESTRADA JIMENEZ, MARIA</t>
  </si>
  <si>
    <t>GARCIA GONZALEZ, MARIA ANTONIA</t>
  </si>
  <si>
    <t>ESPINAL MONTOYA, JULIETA</t>
  </si>
  <si>
    <t>ESCOBAR INFANTINO, SAMUEL</t>
  </si>
  <si>
    <t>ROJAS SANCHEZ, SUSANA</t>
  </si>
  <si>
    <t>BERNAL ESTRADA, MATIAS</t>
  </si>
  <si>
    <t>ISAZA VELASQUEZ, EMILIANA</t>
  </si>
  <si>
    <t>CASTRO CASTAÑEDA, CYAN</t>
  </si>
  <si>
    <t>GUTIERREZ OCAMPO, VALENTINA</t>
  </si>
  <si>
    <t>LOPEZ MEJIA, MIGUEL</t>
  </si>
  <si>
    <t>GOMEZ TORRES, MARIA</t>
  </si>
  <si>
    <t>RESTREPO OCHOA, PASCUAL</t>
  </si>
  <si>
    <t>GONZALEZ MIRA, MATIAS</t>
  </si>
  <si>
    <t>VELASQUEZ OCHOA, MIGUEL</t>
  </si>
  <si>
    <t>URIBE CERON, SIMON</t>
  </si>
  <si>
    <t>ARBELAEZ VELASQUEZ, ANTONIO</t>
  </si>
  <si>
    <t>OSPINA RESTREPO, INES</t>
  </si>
  <si>
    <t>MEJIA DUQUE, JERONIMO</t>
  </si>
  <si>
    <t>VILLEGAS LONDOÑO, VIOLETA</t>
  </si>
  <si>
    <t>FRANCO USUGA, MARIA JOSE</t>
  </si>
  <si>
    <t>TORO PEREZ, AMALIA</t>
  </si>
  <si>
    <t>LAVERDE GIRALDO, MAXIMILIANO</t>
  </si>
  <si>
    <t>BOTERO SPERA, ROSA</t>
  </si>
  <si>
    <t>BOTERO BOTERO, EULALIA</t>
  </si>
  <si>
    <t>MARTINEZ AGUILAR, AMELIA</t>
  </si>
  <si>
    <t>VELEZ RESTREPO, EMILIA</t>
  </si>
  <si>
    <t>JARAMILLO PEÑA, PAULA ANDREA</t>
  </si>
  <si>
    <t>FERRER ESCOBAR, JUAN MARTIN</t>
  </si>
  <si>
    <t>BETANCUR VILLEGAS, MIGUEL</t>
  </si>
  <si>
    <t>OCHOA HURTADO, ELENA</t>
  </si>
  <si>
    <t>ARANA CARREÑO, MARIA ANTONIA</t>
  </si>
  <si>
    <t>BOTERO BETANCOURT, NICOLAS</t>
  </si>
  <si>
    <t>ARBELAEZ VELASQUEZ, AGUSTIN</t>
  </si>
  <si>
    <t>GAVIRIA GOMEZ, JUAN ANDRES</t>
  </si>
  <si>
    <t>GONZALEZ MARIN, MANUELA</t>
  </si>
  <si>
    <t>ARISTIZABAL SALAZAR, MIGUEL</t>
  </si>
  <si>
    <t>ISAZA BETANCUR, CRISTOBAL</t>
  </si>
  <si>
    <t>GARCES RIVERA, MATHIAS</t>
  </si>
  <si>
    <t>BAQUERO GARCIA, PASCUAL</t>
  </si>
  <si>
    <t>VELEZ ECHAVARRIA, AMELIA</t>
  </si>
  <si>
    <t>TOBON PEÑALOZA, PEDRO</t>
  </si>
  <si>
    <t>ARANGO FERNANDEZ, AGUSTIN</t>
  </si>
  <si>
    <t>ABAD OLARTE, LUCIA</t>
  </si>
  <si>
    <t>JARAMILLO OCHOA, LUCIANA</t>
  </si>
  <si>
    <t>ARISTIZABAL ZULUAGA, MATILDE</t>
  </si>
  <si>
    <t>RAMIREZ OSORIO, ELENA</t>
  </si>
  <si>
    <t>NAVARRO ISAZA, SOFIA</t>
  </si>
  <si>
    <t>ARBELAEZ RODADO, SILVIA</t>
  </si>
  <si>
    <t>JIMENEZ ESCOBAR, MARIANA</t>
  </si>
  <si>
    <t>ARANGO VELEZ, MATEO</t>
  </si>
  <si>
    <t>SALAZAR BOTERO, GABRIELA</t>
  </si>
  <si>
    <t>SERRANO SERRANO, SIMON</t>
  </si>
  <si>
    <t>ARISTIZABAL TOBON, MATIAS</t>
  </si>
  <si>
    <t>MEJIA MEJIA, TOMAS</t>
  </si>
  <si>
    <t>NAVARRO RAMIREZ, MARIA</t>
  </si>
  <si>
    <t>PALACIO RUIZ, LUCAS</t>
  </si>
  <si>
    <t>GONZALEZ LOPEZ, ISABEL</t>
  </si>
  <si>
    <t>OSPINA STERLING, DULCE MARIA</t>
  </si>
  <si>
    <t>QUINTERO VARGAS, ALICIA</t>
  </si>
  <si>
    <t>FORERO MEJIA, EMILIO</t>
  </si>
  <si>
    <t>PINEDA ARANGO, JERONIMO</t>
  </si>
  <si>
    <t>VELEZ CORREA, SAMUEL</t>
  </si>
  <si>
    <t>MEJIA MANTILLA, TOMAS</t>
  </si>
  <si>
    <t>GOMEZ LINCE, NICOLAS</t>
  </si>
  <si>
    <t>OLAYA CARDENAS, CAMILA</t>
  </si>
  <si>
    <t>WOODWORTH, MIA ISABELLA</t>
  </si>
  <si>
    <t>PEREZ JARAMILLO, AGUSTIN</t>
  </si>
  <si>
    <t>MEDINA LONDOÑO, PABLO</t>
  </si>
  <si>
    <t>GARCIA ISAZA, TOMAS</t>
  </si>
  <si>
    <t>JARAMILLO ARANGO, ELENA</t>
  </si>
  <si>
    <t>ESCOBAR CASTAÑO, NICOLAS</t>
  </si>
  <si>
    <t>RESTREPO ELEJALDE, LUCIANO</t>
  </si>
  <si>
    <t>MORENO RESTREPO, MARTIN</t>
  </si>
  <si>
    <t>VARGAS URIBE, LORENZO</t>
  </si>
  <si>
    <t>MEJIA VELEZ, CANDELARIA</t>
  </si>
  <si>
    <t>NARANJO PINO, MARTIN</t>
  </si>
  <si>
    <t>KEILON GRAHAM</t>
  </si>
  <si>
    <t>URIBE SIERRA, SOFIA</t>
  </si>
  <si>
    <t>GALLEGO LOPEZ, SUSSANA</t>
  </si>
  <si>
    <t>BEDOYA PARRA, LAURA</t>
  </si>
  <si>
    <t>MORALES BAYONA, AMELIA</t>
  </si>
  <si>
    <t>MONTES LOPEZ, SOFIA</t>
  </si>
  <si>
    <t>OCAMPO CEBALLOS, JULIA</t>
  </si>
  <si>
    <t>BOTERO LAVERDE, MARTINA</t>
  </si>
  <si>
    <t>LOPEZ VELEZ, PAULINA</t>
  </si>
  <si>
    <t>ISAZA GOMEZ, ELISA</t>
  </si>
  <si>
    <t>VALENCIA RODRIGUEZ, EMILIA</t>
  </si>
  <si>
    <t>MONTORSI GOMEZ, LUCIA</t>
  </si>
  <si>
    <t>VELEZ RAMIREZ, JULIETA</t>
  </si>
  <si>
    <t>RESTREPO BECERRA, ALINA</t>
  </si>
  <si>
    <t>OSORIO GAVIRIA, MARIA CLARA</t>
  </si>
  <si>
    <t>CORREA URIBE, PABLO</t>
  </si>
  <si>
    <t>SANCHEZ HURTADO, CRISTOBAL</t>
  </si>
  <si>
    <t>AGUDELO LUJAN, ARIANA</t>
  </si>
  <si>
    <t>ACOSTA VILLA, LUCIANO</t>
  </si>
  <si>
    <t>GOMEZ VASQUEZ, MATIAS</t>
  </si>
  <si>
    <t>PEREZ ECHAVARRIA, TOMAS</t>
  </si>
  <si>
    <t>MALDONADO SALDARRIAGA, ALEJANDRO</t>
  </si>
  <si>
    <t>GAVIRIA ISAZA, TOMAS</t>
  </si>
  <si>
    <t>HURTADO ARISTIZABAL, PAULINA</t>
  </si>
  <si>
    <t>GALLEGO CUARTAS, FELIPE</t>
  </si>
  <si>
    <t>ORSINI COCK, TOMMASO MARIA</t>
  </si>
  <si>
    <t>CORREA VELEZ, ALEJANDRO</t>
  </si>
  <si>
    <t>ATEHORTUA MORENO, TOMAS</t>
  </si>
  <si>
    <t>SALCEDO PERICO, JUAN MARTIN</t>
  </si>
  <si>
    <t>PEREZ VELEZ, JERONIMO</t>
  </si>
  <si>
    <t>ECHAVARRIA OCHOA, MARIANA</t>
  </si>
  <si>
    <t>GOMEZ GOMEZ, EMILIO</t>
  </si>
  <si>
    <t>DUQUE OCHOA, MARIANA</t>
  </si>
  <si>
    <t>FERNANDEZ DUQUE, BENJAMIN</t>
  </si>
  <si>
    <t>MORA SERANI, LAURA</t>
  </si>
  <si>
    <t>DIAZ RIVERA, TOMAS</t>
  </si>
  <si>
    <t>MENDIVELSO JARAMILLO, SAMUEL</t>
  </si>
  <si>
    <t>HARRY DURAN, MANUELA</t>
  </si>
  <si>
    <t>BARRERA GUZMAN, DANIELA</t>
  </si>
  <si>
    <t>SANIN VELASQUEZ, MONTSERRAT</t>
  </si>
  <si>
    <t>MONTOYA JARAMILLO, TOMAS</t>
  </si>
  <si>
    <t>YACAMAN RESTREPO, PEDRO</t>
  </si>
  <si>
    <t>TORO PEREZ, CRISTOBAL</t>
  </si>
  <si>
    <t>ROMERO LOPERA, JUAN SEBASTIAN</t>
  </si>
  <si>
    <t>BEDOYA JIMENEZ, NICOLAS</t>
  </si>
  <si>
    <t>SUDETTI, ISABELLA</t>
  </si>
  <si>
    <t>DURAN CALAD, PABLO</t>
  </si>
  <si>
    <t>CASTAÑO VASQUEZ, DANIEL</t>
  </si>
  <si>
    <t>ALMEIDA CARMONA, LUISA MARIA</t>
  </si>
  <si>
    <t>PUERTA PAZ, DAVID</t>
  </si>
  <si>
    <t>MARTINEZ AGUILAR, ALICIA</t>
  </si>
  <si>
    <t>MESA FLOREZ, SALOMON</t>
  </si>
  <si>
    <t>VALLEJO HOYOS, MIGUEL</t>
  </si>
  <si>
    <t>BERNAL OCHOA, MARIANA</t>
  </si>
  <si>
    <t>SANCHEZ GONZALEZ, JUANITA</t>
  </si>
  <si>
    <t>EASTMAN BETANCUR, VIOLETA</t>
  </si>
  <si>
    <t>RICO SALDARRIAGA, MARTINA</t>
  </si>
  <si>
    <t>BARRERA GUZMAN, CAMILA</t>
  </si>
  <si>
    <t>MESA ACOSTA, ESTEBAN</t>
  </si>
  <si>
    <t>YUSTY MOSQUERA, MATEO</t>
  </si>
  <si>
    <t>PASCUAL CUMELLAS, IGNACIO</t>
  </si>
  <si>
    <t>BEYER VELEZ, JACOBO</t>
  </si>
  <si>
    <t>BETANCUR ROBLEDO, ELISA</t>
  </si>
  <si>
    <t>TORO LOPERA, VIOLETA</t>
  </si>
  <si>
    <t>BONILLA NAVARRO, SOFIA</t>
  </si>
  <si>
    <t>SANCHEZ GONZALEZ, SARA</t>
  </si>
  <si>
    <t>FERNANDEZ CALDERON, PABLO</t>
  </si>
  <si>
    <t>PEREZ ALVARADO, EMILIO</t>
  </si>
  <si>
    <t>JARAMILLO PELAEZ, VIOLETA</t>
  </si>
  <si>
    <t>JARAMILLO PELAEZ, MARTINA</t>
  </si>
  <si>
    <t>BAENA GIRALDO, AGUSTIN</t>
  </si>
  <si>
    <t>CARDONA GIRALDO, MATHIAS</t>
  </si>
  <si>
    <t>MONSALVE LOPERA, FEDERICO</t>
  </si>
  <si>
    <t>ARANGO RUBIO, MIGUEL</t>
  </si>
  <si>
    <t>RUIZ ROLDAN, PABLO</t>
  </si>
  <si>
    <t>GOMEZ TRUJILLO, MIGUEL</t>
  </si>
  <si>
    <t>RANNI, FABRIZIO</t>
  </si>
  <si>
    <t>OSPINA ESCOBAR, GABRIEL</t>
  </si>
  <si>
    <t>GARRIDO TAMAYO, NICOLAS</t>
  </si>
  <si>
    <t>GALLON MUÑOZ, VIOLETA</t>
  </si>
  <si>
    <t>RADA ECHANDIA, CAMILA</t>
  </si>
  <si>
    <t>TOBON RESTREPO, NICOLAS</t>
  </si>
  <si>
    <t>PALACIO RUIZ, MATIAS</t>
  </si>
  <si>
    <t>GOMEZ VASQUEZ, SOFIA</t>
  </si>
  <si>
    <t>PULGARIN HUERTAS, ELOISA</t>
  </si>
  <si>
    <t>JARAMILLO URIBE, EMILIANO</t>
  </si>
  <si>
    <t>SUTTON ROITER, JACQUES</t>
  </si>
  <si>
    <t>PERTUZ MUNERA, LUCIANA</t>
  </si>
  <si>
    <t>VARGAS ARBOLEDA, AMALIA</t>
  </si>
  <si>
    <t>SANCHEZ DIAZ, TOMAS</t>
  </si>
  <si>
    <t>ANGEL GIRALDO, DANIELA</t>
  </si>
  <si>
    <t>MANTILLA LONDOÑO, EMILIO</t>
  </si>
  <si>
    <t>DUQUE LUENGAS, CAROLINA</t>
  </si>
  <si>
    <t>ROBLEDO BETANCOURTH, JUAN FELIPE</t>
  </si>
  <si>
    <t>TRUJILLO CHICA, MANUELA</t>
  </si>
  <si>
    <t>BOTERO ESCOBAR, PEDRO</t>
  </si>
  <si>
    <t>JARAMILLO CADAVID, GABRIEL</t>
  </si>
  <si>
    <t>DUQUE LOTERO, GREGORIO</t>
  </si>
  <si>
    <t>TABARES MORENO, PABLO ANDRES</t>
  </si>
  <si>
    <t>CORREA MEJIA, AMALIA</t>
  </si>
  <si>
    <t>ORTEGA TOBON, ESTEBAN</t>
  </si>
  <si>
    <t>ECHEVERRI ZAPATA, MATIAS</t>
  </si>
  <si>
    <t>GAITAN, LUCIA</t>
  </si>
  <si>
    <t>SANTAMARIA VILLA, MARCO</t>
  </si>
  <si>
    <t>ARRUBLA OSPINA, MANOLO</t>
  </si>
  <si>
    <t>NIEHAUS TRUJILLO, ARIANNA DE LOS ANGELES</t>
  </si>
  <si>
    <t>MEJIA RESTREPO, PABLO</t>
  </si>
  <si>
    <t>COCK HENAO, MATIAS</t>
  </si>
  <si>
    <t>ARANGO NAVARRO, PEDRO</t>
  </si>
  <si>
    <t>MORENO MUNERA, MATILDA</t>
  </si>
  <si>
    <t>ROJAS LOPEZ, EMILIANA</t>
  </si>
  <si>
    <t>HENAO RESTREPO, ELENA</t>
  </si>
  <si>
    <t>MEJIA URIBE, DANIEL</t>
  </si>
  <si>
    <t>VELEZ PODESTA, SIMON</t>
  </si>
  <si>
    <t>SIERRA TIRADO, PEDRO</t>
  </si>
  <si>
    <t>ANGEL MESA, EMILIO</t>
  </si>
  <si>
    <t>TOBON PEÑALOZA, MARTIN</t>
  </si>
  <si>
    <t>JARAMILLO URIBE, MAR</t>
  </si>
  <si>
    <t>GALEANO SALAZAR, SARA</t>
  </si>
  <si>
    <t>PELAEZ KLINKERT, ALICIA</t>
  </si>
  <si>
    <t>ROJAS LONDOÑO, SARA</t>
  </si>
  <si>
    <t>HENAO GARZON, NICOLAS</t>
  </si>
  <si>
    <t>BURKHALTER, ISAAC STEPHEN</t>
  </si>
  <si>
    <t>VERGARA ROZO, JERONIMO</t>
  </si>
  <si>
    <t>IBAÑEZ MONTOYA, DANIEL</t>
  </si>
  <si>
    <t>VELEZ RESTREPO, LUCAS</t>
  </si>
  <si>
    <t>NARANJO ARANA, LETICIA</t>
  </si>
  <si>
    <t>CORTES CARDONA, MARIANA</t>
  </si>
  <si>
    <t>ZULOAGA AYUB, CAMILA</t>
  </si>
  <si>
    <t>RESTREPO RESTREPO, MAXIMILIANO</t>
  </si>
  <si>
    <t>GONZALEZ MARIN, MATIAS</t>
  </si>
  <si>
    <t>OLAYA CARDENAS, SAMUEL</t>
  </si>
  <si>
    <t>VELASQUEZ URIBE, JOSE MANUEL</t>
  </si>
  <si>
    <t>MANTILLA DURANGO, VALERIA</t>
  </si>
  <si>
    <t>RODRIGUEZ OSORIO, JERONIMO</t>
  </si>
  <si>
    <t>SALAS VELEZ, AMELIA</t>
  </si>
  <si>
    <t>VELEZ ZAPATA, MANUELA</t>
  </si>
  <si>
    <t>URIBE FERNANDEZ, ANDRES</t>
  </si>
  <si>
    <t>AMAR JARAMILLO, NICHOLAS</t>
  </si>
  <si>
    <t>GARCIA CORREA, MARIA CLARA</t>
  </si>
  <si>
    <t>ESCOBAR BURGOS, SANTIAGO</t>
  </si>
  <si>
    <t>HERRERA GOMEZ, MIGUEL</t>
  </si>
  <si>
    <t>GONZALEZ NAVARRO, MIGUEL</t>
  </si>
  <si>
    <t>ISAZA VELASQUEZ, SALOME</t>
  </si>
  <si>
    <t>AARON VASQUEZ, MARIA DEL MAR</t>
  </si>
  <si>
    <t>GOMEZ LALINDE, SARA</t>
  </si>
  <si>
    <t>PEREZ ECHAVARRIA, SAMUEL</t>
  </si>
  <si>
    <t>ARISTIZABAL BOLIVAR, JUAN JOSE</t>
  </si>
  <si>
    <t>MORENO RESTREPO, PEDRO JUAN</t>
  </si>
  <si>
    <t>ALVAREZ MOLINA, SOFIA</t>
  </si>
  <si>
    <t>YEPES EUSSE, MATIAS</t>
  </si>
  <si>
    <t>CALDWELL VALLEJO, JACK</t>
  </si>
  <si>
    <t>LOPEZ RODRIGUEZ, SARA</t>
  </si>
  <si>
    <t>BAQUERO GARCIA, ALICIA</t>
  </si>
  <si>
    <t>PETTERSSON VANEGAS, ANNIKA</t>
  </si>
  <si>
    <t>HERRERA LONDOÑO, MANUELA</t>
  </si>
  <si>
    <t>HOYOS GOMEZ, LUCIANA</t>
  </si>
  <si>
    <t>RESTREPO OCHOA, EMMA</t>
  </si>
  <si>
    <t>OSPINA RUIZ, PAULINA</t>
  </si>
  <si>
    <t>ALVAREZ GOMEZ, EMILIANA</t>
  </si>
  <si>
    <t>PALACIO RAMIREZ, SUSANA</t>
  </si>
  <si>
    <t>MESA GIRALDO, MARIA JOSE</t>
  </si>
  <si>
    <t>MOLINA CASAS, MARIA DEL MAR</t>
  </si>
  <si>
    <t>FAJARDO YEPES, ELISA</t>
  </si>
  <si>
    <t>PLATA BOLAÑOS, SOFIA</t>
  </si>
  <si>
    <t>VASQUEZ MUÑOZ, MANUELA</t>
  </si>
  <si>
    <t>BOTERO SPERA, EMMA</t>
  </si>
  <si>
    <t>PUERTA PAZ, JUANITA</t>
  </si>
  <si>
    <t>ISAZA CADAVID, RAQUEL</t>
  </si>
  <si>
    <t>JARAMILLO OSPINA, ANTONIA</t>
  </si>
  <si>
    <t>BOHORQUEZ GOMEZ, GABRIELA</t>
  </si>
  <si>
    <t>BEDOYA JIMENEZ, SEBASTIAN</t>
  </si>
  <si>
    <t>KIM LEE, SAE-YOUNG PABLO</t>
  </si>
  <si>
    <t>BOTERO TOQUICA, REBECA</t>
  </si>
  <si>
    <t>PELAEZ BORDA, ELIAS</t>
  </si>
  <si>
    <t>LONDOÑO CONGOTE, SANTIAGO</t>
  </si>
  <si>
    <t>MOLANO MESA, CANDELARIA</t>
  </si>
  <si>
    <t>JARAMILLO RUIZ, BENJAMIN</t>
  </si>
  <si>
    <t>CARVAJAL PEREZ, JERONIMO</t>
  </si>
  <si>
    <t>JIMENEZ ESCOBAR, NICOLAS</t>
  </si>
  <si>
    <t>RAMOS TRUJILLO, MARIA JOSE</t>
  </si>
  <si>
    <t>GRISALES PINEDA, JULIANA</t>
  </si>
  <si>
    <t>ZAPATA SALDARRIAGA, TOMAS</t>
  </si>
  <si>
    <t>CADAVID ECHAVARRIA, SUSANA</t>
  </si>
  <si>
    <t>GRULLON SANTOS, DIEGO</t>
  </si>
  <si>
    <t>HARRIS, ROWEN IAN</t>
  </si>
  <si>
    <t>BETANCUR VILLEGAS, SOFIA</t>
  </si>
  <si>
    <t>JARAMILLO ARANGO, AMALIA</t>
  </si>
  <si>
    <t>JARAMILLO NARANJO, SARA</t>
  </si>
  <si>
    <t>PULGARIN HUERTAS, AMELIA</t>
  </si>
  <si>
    <t>ARANGO ESCOBAR, JULIANA</t>
  </si>
  <si>
    <t>FORTICH ANGULO, SERGIO</t>
  </si>
  <si>
    <t>MEJIA MEJIA, LUCAS</t>
  </si>
  <si>
    <t>HINESTROSA SIERRA, AMALIA</t>
  </si>
  <si>
    <t>WOLFF RAMIREZ, MARIA</t>
  </si>
  <si>
    <t>GOMEZ VELEZ, MIGUEL</t>
  </si>
  <si>
    <t>VELEZ FERRER, AGUSTIN</t>
  </si>
  <si>
    <t>GOMEZ LINCE, MARIA</t>
  </si>
  <si>
    <t>FERNANDEZ DUQUE, CANDELARIA</t>
  </si>
  <si>
    <t>AGUDELO ECHEVERRI, MATIAS</t>
  </si>
  <si>
    <t>HODEK RESTREPO, MIA</t>
  </si>
  <si>
    <t>CARDONA OCHOA, CAMILA</t>
  </si>
  <si>
    <t>PEREZ YEPES, EMILIANO</t>
  </si>
  <si>
    <t>GAVIRIA GONZALEZ, MATIAS</t>
  </si>
  <si>
    <t>GOMEZ AMADOR, MATIAS</t>
  </si>
  <si>
    <t>LONDOÑO CUARTAS, MANUEL</t>
  </si>
  <si>
    <t>ROBLES RESTREPO, MANOLO</t>
  </si>
  <si>
    <t>ARANGO FERNANDEZ, JUAN</t>
  </si>
  <si>
    <t>ARROYAVE RESTREPO, CAMILO</t>
  </si>
  <si>
    <t>PALACIO SALAZAR, TOMAS</t>
  </si>
  <si>
    <t>LOPEZ MEJIA, SAMUEL</t>
  </si>
  <si>
    <t>JARAMILLO FERNANDEZ, JULIAN</t>
  </si>
  <si>
    <t>VILLA MORENO, VICENTE</t>
  </si>
  <si>
    <t>DIEZ RENDON, MARIA ANTONIA</t>
  </si>
  <si>
    <t>BARRIENTOS BUSTAMANTE, VALENTINA</t>
  </si>
  <si>
    <t>MENA TELLEZ, TOMAS FELIPE</t>
  </si>
  <si>
    <t>THIRIEZ VILLA, SOFIA</t>
  </si>
  <si>
    <t>OREJUELA GAVIRIA, MATILDA</t>
  </si>
  <si>
    <t>MESA ARISTIZABAL, SARA</t>
  </si>
  <si>
    <t>ECHAVARRIA JARAMILLO, VICENTE</t>
  </si>
  <si>
    <t>ARANGO CASTRO, IVAN SANTIAGO</t>
  </si>
  <si>
    <t>OCHOA PODESTA, CAMILA</t>
  </si>
  <si>
    <t>HINESTROZA ESCOBAR, IRENE</t>
  </si>
  <si>
    <t>GAVIRIA LONDOÑO, ALEJANDRO</t>
  </si>
  <si>
    <t>RESTREPO TORO, LUCIANO</t>
  </si>
  <si>
    <t>VILLEGAS PELAEZ, CRISTOBAL</t>
  </si>
  <si>
    <t>BERNAL ESTRADA, JERONIMO</t>
  </si>
  <si>
    <t>PETTIT PELAEZ, JUANITA</t>
  </si>
  <si>
    <t>OLIVEIRA CASTAÑO, MIRANDA</t>
  </si>
  <si>
    <t>TORRES GAVIRIA, MARIANA</t>
  </si>
  <si>
    <t>ESCANDON LIBOS, MARIA</t>
  </si>
  <si>
    <t>CADAVID VELASQUEZ, MARTIN</t>
  </si>
  <si>
    <t>FRANCO GOMEZ, DANIEL</t>
  </si>
  <si>
    <t>HENAO ISAZA, LUCIANO</t>
  </si>
  <si>
    <t>RAMIREZ PELAEZ, LUCIANA</t>
  </si>
  <si>
    <t>FRANCO SALDARRIAGA, EDUARDO</t>
  </si>
  <si>
    <t>MERINO VALENCIA, CAMILO</t>
  </si>
  <si>
    <t>POSADA VILLALOBOS, VERONICA</t>
  </si>
  <si>
    <t>CALLE BUITRAGO, MARTIN</t>
  </si>
  <si>
    <t>YEPES RAMIREZ, MARTIN</t>
  </si>
  <si>
    <t>GARZA PATIÑO, MARCO</t>
  </si>
  <si>
    <t>SUAREZ MARTINEZ, PABLO</t>
  </si>
  <si>
    <t>URIBE CORREA, VICENTE</t>
  </si>
  <si>
    <t>CAROLI ABAD, MASSIMILIANO</t>
  </si>
  <si>
    <t>RODRIGUEZ NAVARRO, MIGUEL</t>
  </si>
  <si>
    <t>SUAREZ PEREZ ROSARIO</t>
  </si>
  <si>
    <t>TALUKDAR, JIGYASHA</t>
  </si>
  <si>
    <t>CANDELA SÁNCHEZ, LORENZO</t>
  </si>
  <si>
    <t>JOORIS-ANCION, ALEXANDRE</t>
  </si>
  <si>
    <t>SILVA MONTOYA, SEBASTIÁN</t>
  </si>
  <si>
    <t>GRACIANO VÉLEZ, MARÍA DE LOS ÁNGELES</t>
  </si>
  <si>
    <t>CANDELA SÁNCHEZ, EVA</t>
  </si>
  <si>
    <t>GRACIANO VÉLEZ, MARÍA DEL MAR</t>
  </si>
  <si>
    <t>CANOVA DOMINGUES, JOAO PEDRO</t>
  </si>
  <si>
    <t>CUBILLOS GÓMEZ, ROBERTO</t>
  </si>
  <si>
    <t>MORA MORENO, MARÍA LUISA</t>
  </si>
  <si>
    <t>DELSOL, ANTOINE</t>
  </si>
  <si>
    <t>ECHEVERRI SALAZAR CAMILA</t>
  </si>
  <si>
    <t>VÉLEZ GÓMEZ, MATIAS</t>
  </si>
  <si>
    <t>GONZALEZ TRABOULSI SOFIA</t>
  </si>
  <si>
    <t>TRIVELIN JUAN IGNACIO</t>
  </si>
  <si>
    <t>RAMOS RODRIGUEZ, ELENA</t>
  </si>
  <si>
    <t xml:space="preserve"> - 13 - 20</t>
  </si>
  <si>
    <t xml:space="preserve"> - 26</t>
  </si>
  <si>
    <t>COURSES</t>
  </si>
  <si>
    <t>total students</t>
  </si>
  <si>
    <t>Scheduled</t>
  </si>
  <si>
    <t>Difference</t>
  </si>
  <si>
    <t>Year</t>
  </si>
  <si>
    <t>Special Request</t>
  </si>
  <si>
    <t>Reason for special request</t>
  </si>
  <si>
    <t>If request is for a specific student, please select their name from the drop-down menu:</t>
  </si>
  <si>
    <t>Date Approved by Principal</t>
  </si>
  <si>
    <t>Date Approved by Director of Learning</t>
  </si>
  <si>
    <t>Date Approved by HR (if applicable)</t>
  </si>
  <si>
    <t>Gloria Velez y Sofia Arcila</t>
  </si>
  <si>
    <t>Coplanning Esq 2</t>
  </si>
  <si>
    <t>Andrew Shainker - Samantha Gwinn</t>
  </si>
  <si>
    <t>Coplanning Esq 4</t>
  </si>
  <si>
    <t>Andrew Shainker - Jason</t>
  </si>
  <si>
    <t>Mitch -  Jason</t>
  </si>
  <si>
    <t>Coplanning (no fue posible)</t>
  </si>
  <si>
    <t>Mitch - Alyssa</t>
  </si>
  <si>
    <t>Coplanning Esq 3</t>
  </si>
  <si>
    <t>Samantha - Nick</t>
  </si>
  <si>
    <t>Nick- Brian Summers - Andrés Ortegon</t>
  </si>
  <si>
    <t>Coplanning Esq 1</t>
  </si>
  <si>
    <t>Erika - Camila</t>
  </si>
  <si>
    <t>Coplanning Esq 6</t>
  </si>
  <si>
    <t>Camila- Karol</t>
  </si>
  <si>
    <t>Andrea- Sindy</t>
  </si>
  <si>
    <t>Sindy - Norberto</t>
  </si>
  <si>
    <t>Josue- Bradford</t>
  </si>
  <si>
    <t>Coplanning Esq 8</t>
  </si>
  <si>
    <t>Josue- Arie</t>
  </si>
  <si>
    <t>Arie- Mauricio</t>
  </si>
  <si>
    <t>Coplanning Esq 5</t>
  </si>
  <si>
    <t>Valentina- Blaire</t>
  </si>
  <si>
    <t>Coplanning Esq 7</t>
  </si>
  <si>
    <t>Valentina - Tamir</t>
  </si>
  <si>
    <t>Tamir - Bill - Jake</t>
  </si>
  <si>
    <t>Bill - jose</t>
  </si>
  <si>
    <t>Felipe- Pito</t>
  </si>
  <si>
    <t>Coteaching ( no fue posible)</t>
  </si>
  <si>
    <t>Arie-Camilo</t>
  </si>
  <si>
    <t>Coteaching Esq 5</t>
  </si>
  <si>
    <t>Camilo- New Tech Teacher</t>
  </si>
  <si>
    <t>Higuita - News Tech Teacher</t>
  </si>
  <si>
    <t>Emily en un esquema diferente al tiempo libre de Jason y Andrew</t>
  </si>
  <si>
    <t>Cristobal Villegas y Jeronimo Bernal</t>
  </si>
  <si>
    <t>Separados en la clase de Journalism</t>
  </si>
  <si>
    <t>por favor que no quede en la misma clase con PEDRO JUAN URIBE, JUAN MARTIN Y MIGUEL  HINESTROZA Painting I</t>
  </si>
  <si>
    <t>por favor que no quede en la misma clase que juan martin otalvaro, por favor que no quede en la misma clase con PEDRO JUAN URIBE, JUAN MARTIN Y MIGUEL  HINESTROZA</t>
  </si>
  <si>
    <t>por favor ponerlo en la misma clase de agustin  arango.por afinidad y amistad Y QUE NO QUEDE EN LA MISMA CLASE CON JUAN MARTIN Y PEDRO JUAN URIBE. POR MOTIVOS DE COMPORTAMIENTO EN MS</t>
  </si>
  <si>
    <t>por fa vor en la misma clase con miguel hinestroza. por afinidad y amistad</t>
  </si>
  <si>
    <t>he seven sections of 9th grade spanish at separate times (no overlap)</t>
  </si>
  <si>
    <t>- The seven sections of 10th grade sociales at separate times (no overlap)</t>
  </si>
  <si>
    <t>- The six sections of AP Lang at separate times AND the SAL class (no overlap)</t>
  </si>
  <si>
    <t>- The six sections of 12th grade Spanish AND Spanish Lit as separate times (no overlap)</t>
  </si>
  <si>
    <t>- The five sections of Spanish 11 AND the two sections of Art and Film at separate times (no overlap)</t>
  </si>
  <si>
    <t>NIÑOS QUE NO QUEDEN CON ARI</t>
  </si>
  <si>
    <t>GEOMETRY</t>
  </si>
  <si>
    <t>Tomas Gutierrez</t>
  </si>
  <si>
    <t>ok</t>
  </si>
  <si>
    <t>- Samuel Escobar</t>
  </si>
  <si>
    <t>- Lucas Tabares</t>
  </si>
  <si>
    <t>- Tomas Ramirez</t>
  </si>
  <si>
    <t>- Sofia Artehortua</t>
  </si>
  <si>
    <t>- Agustin Arango</t>
  </si>
  <si>
    <t>- Gabriela Salazar</t>
  </si>
  <si>
    <t>- Nicolas Gomez</t>
  </si>
  <si>
    <t>ALGEBRA I</t>
  </si>
  <si>
    <t>- Isaias Zuluaga</t>
  </si>
  <si>
    <t>- Luis Cadavid</t>
  </si>
  <si>
    <t>- Pedro Restrepo</t>
  </si>
  <si>
    <t>- Gregorio Gomez</t>
  </si>
  <si>
    <t>- Lorenzo Concha</t>
  </si>
  <si>
    <t>-Gregorio Chaviarraga</t>
  </si>
  <si>
    <t>Preferiblemente Life Purpose con Felipe</t>
  </si>
  <si>
    <t>Julián Jaramillo</t>
  </si>
  <si>
    <t>NIcolas Henao</t>
  </si>
  <si>
    <t>First Student</t>
  </si>
  <si>
    <t>Second Student</t>
  </si>
  <si>
    <t>Relationship</t>
  </si>
  <si>
    <t>Grupos juntos (todos)</t>
  </si>
  <si>
    <t>Grupos juntos con más de 1 sección disponible</t>
  </si>
  <si>
    <t>Cursos que comparten</t>
  </si>
  <si>
    <t>Can't be Together</t>
  </si>
  <si>
    <t>Must be Together</t>
  </si>
  <si>
    <t>RESTREPO VILLEGAS, PEDRO</t>
  </si>
  <si>
    <t>CURSO</t>
  </si>
  <si>
    <t>Grupos</t>
  </si>
  <si>
    <t>PROFESOR</t>
  </si>
  <si>
    <t>Duration</t>
  </si>
  <si>
    <t>Hours</t>
  </si>
  <si>
    <t>930B</t>
  </si>
  <si>
    <t>Library</t>
  </si>
  <si>
    <t>931B</t>
  </si>
  <si>
    <t>931A</t>
  </si>
  <si>
    <t>930A</t>
  </si>
  <si>
    <t>900A</t>
  </si>
  <si>
    <t>New Tech Teacher</t>
  </si>
  <si>
    <t>900B</t>
  </si>
  <si>
    <t>Maker</t>
  </si>
  <si>
    <t>900C</t>
  </si>
  <si>
    <t>Ari Holstein</t>
  </si>
  <si>
    <t># Preps (S1)</t>
  </si>
  <si>
    <t># Preps (S2)</t>
  </si>
  <si>
    <t>Grade</t>
  </si>
  <si>
    <t>Section</t>
  </si>
  <si>
    <t>English 9-8</t>
  </si>
  <si>
    <t>English 9-6</t>
  </si>
  <si>
    <t>English 9-1</t>
  </si>
  <si>
    <t>English 9-2</t>
  </si>
  <si>
    <t>English 9-7</t>
  </si>
  <si>
    <t>English 9-5</t>
  </si>
  <si>
    <t>AP Seminar-1</t>
  </si>
  <si>
    <t>AP Seminar-6</t>
  </si>
  <si>
    <t>English 10-5</t>
  </si>
  <si>
    <t>AP Seminar-5</t>
  </si>
  <si>
    <t>English 10-2</t>
  </si>
  <si>
    <t>English 10-8</t>
  </si>
  <si>
    <t>AP English Language-7</t>
  </si>
  <si>
    <t>AP English Language-3</t>
  </si>
  <si>
    <t>AP English Literature-4</t>
  </si>
  <si>
    <t>Art of Fiction Intermediate Level-6</t>
  </si>
  <si>
    <t>Journalism Higher Level-3</t>
  </si>
  <si>
    <t>Art of Fiction Intermediate Level-1</t>
  </si>
  <si>
    <t>Journalism Intermediate Level-3</t>
  </si>
  <si>
    <t>Art of Fiction Higher Level-1</t>
  </si>
  <si>
    <t>Journalism Intermediate Level-2</t>
  </si>
  <si>
    <t>Art of Fiction Intermediate Level-4</t>
  </si>
  <si>
    <t>Art of Fiction Higher Level-8</t>
  </si>
  <si>
    <t>Journalism Higher Level-7</t>
  </si>
  <si>
    <t>Journalism Higher Level-8</t>
  </si>
  <si>
    <t>Art of Fiction Higher Level-7</t>
  </si>
  <si>
    <t>Spanish and Literature 9-7</t>
  </si>
  <si>
    <t>Spanish and Literature 9-3</t>
  </si>
  <si>
    <t>Spanish and Literature 9-8</t>
  </si>
  <si>
    <t>Spanish and Literature 9-6</t>
  </si>
  <si>
    <t>Spanish and Literature 9-5</t>
  </si>
  <si>
    <t>Spanish and Literature 9-4</t>
  </si>
  <si>
    <t>Spanish and Literature 9-1</t>
  </si>
  <si>
    <t>Spanish as a Foreing Language-8</t>
  </si>
  <si>
    <t>AP Spanish Language and Culture-6</t>
  </si>
  <si>
    <t>AP Spanish Language and Culture-4</t>
  </si>
  <si>
    <t>AP Spanish Language and Culture-8</t>
  </si>
  <si>
    <t>AP Spanish Language and Culture-5</t>
  </si>
  <si>
    <t>AP Spanish Language and Culture-3</t>
  </si>
  <si>
    <t>AP Spanish Language and Culture-7</t>
  </si>
  <si>
    <t>AP Spanish Language and Culture-1</t>
  </si>
  <si>
    <t>Spanish Film, Art, and Literature-5</t>
  </si>
  <si>
    <t>Spanish Film, Art, and Literature-8</t>
  </si>
  <si>
    <t>AP Spanish Literature and Culture-8</t>
  </si>
  <si>
    <t>Spanish and Literature 11-6</t>
  </si>
  <si>
    <t>Spanish and Literature 11-1</t>
  </si>
  <si>
    <t>Spanish and Literature 11-3</t>
  </si>
  <si>
    <t>Spanish and Literature 11-4</t>
  </si>
  <si>
    <t>Spanish and Literature 11-5</t>
  </si>
  <si>
    <t>Spanish and Literature 12-2</t>
  </si>
  <si>
    <t>Spanish and Literature 12-4</t>
  </si>
  <si>
    <t>Spanish and Literature 12-7</t>
  </si>
  <si>
    <t>Spanish and Literature 12-3</t>
  </si>
  <si>
    <t>Spanish and Literature 12-5</t>
  </si>
  <si>
    <t>AP Computer Science Principles-3</t>
  </si>
  <si>
    <t>Geometry-1</t>
  </si>
  <si>
    <t>Geometry-2</t>
  </si>
  <si>
    <t>Geometry-7</t>
  </si>
  <si>
    <t>Geometry-3</t>
  </si>
  <si>
    <t>Geometry-8</t>
  </si>
  <si>
    <t>Algebra I-7</t>
  </si>
  <si>
    <t>Algebra I-3</t>
  </si>
  <si>
    <t>Algebra I-6</t>
  </si>
  <si>
    <t>Algebra I-4</t>
  </si>
  <si>
    <t>AP Precalculus-2</t>
  </si>
  <si>
    <t>AP Precalculus-3</t>
  </si>
  <si>
    <t>Geometry-6</t>
  </si>
  <si>
    <t>Geometry-4</t>
  </si>
  <si>
    <t>Algebra II-8</t>
  </si>
  <si>
    <t>Algebra II-5</t>
  </si>
  <si>
    <t>Algebra II-1</t>
  </si>
  <si>
    <t>Algebra II-3</t>
  </si>
  <si>
    <t>Algebra II-6</t>
  </si>
  <si>
    <t>AP Calculus AB-7</t>
  </si>
  <si>
    <t>AP Calculus AB-2</t>
  </si>
  <si>
    <t>Calculus-5</t>
  </si>
  <si>
    <t>Calculus-6</t>
  </si>
  <si>
    <t>Calculus-1</t>
  </si>
  <si>
    <t>AP Statistics-7</t>
  </si>
  <si>
    <t>Calculus-2</t>
  </si>
  <si>
    <t>Financial Math-5</t>
  </si>
  <si>
    <t>AP Calculus BC-3</t>
  </si>
  <si>
    <t>Financial Math-7</t>
  </si>
  <si>
    <t>Financial Math-4</t>
  </si>
  <si>
    <t>Biology 9-6</t>
  </si>
  <si>
    <t>Biology 9-7</t>
  </si>
  <si>
    <t>Biology 9-4</t>
  </si>
  <si>
    <t>Biology 9-1</t>
  </si>
  <si>
    <t>Biology 9-3</t>
  </si>
  <si>
    <t>Biology 9-5</t>
  </si>
  <si>
    <t>Biology 9-2</t>
  </si>
  <si>
    <t>Chemistry-8</t>
  </si>
  <si>
    <t>Chemistry-7</t>
  </si>
  <si>
    <t>Chemistry-1</t>
  </si>
  <si>
    <t>Chemistry-2</t>
  </si>
  <si>
    <t>Chemistry-5</t>
  </si>
  <si>
    <t>Chemistry-6</t>
  </si>
  <si>
    <t>Chemistry-3</t>
  </si>
  <si>
    <t>Physics-1</t>
  </si>
  <si>
    <t>Physics-2</t>
  </si>
  <si>
    <t>AP Physics 1-1</t>
  </si>
  <si>
    <t>Physics-8</t>
  </si>
  <si>
    <t>Physics-7</t>
  </si>
  <si>
    <t>Physics-5</t>
  </si>
  <si>
    <t>AP Physics 2-3</t>
  </si>
  <si>
    <t>Environmental Science-6</t>
  </si>
  <si>
    <t>AP Physics 2-5</t>
  </si>
  <si>
    <t>Environmental Science-2</t>
  </si>
  <si>
    <t>AP Environmental Science-3</t>
  </si>
  <si>
    <t>Environmental Science-8</t>
  </si>
  <si>
    <t>AP Biology-5</t>
  </si>
  <si>
    <t>AP Chemistry-7</t>
  </si>
  <si>
    <t>Anatomy and Physiology-8</t>
  </si>
  <si>
    <t>Anatomy and Physiology-4</t>
  </si>
  <si>
    <t>PE 9-4</t>
  </si>
  <si>
    <t>PE 9-5</t>
  </si>
  <si>
    <t>PE 9-6</t>
  </si>
  <si>
    <t>PE 9-2</t>
  </si>
  <si>
    <t>PE 9-1</t>
  </si>
  <si>
    <t>PE 9-8</t>
  </si>
  <si>
    <t>PE 10-5</t>
  </si>
  <si>
    <t>PE 10-1</t>
  </si>
  <si>
    <t>PE 10-7</t>
  </si>
  <si>
    <t>PE 10-2</t>
  </si>
  <si>
    <t>PE 10-4</t>
  </si>
  <si>
    <t>PE 10-6</t>
  </si>
  <si>
    <t>PE 11-4</t>
  </si>
  <si>
    <t>PE 11-3</t>
  </si>
  <si>
    <t>PE 11-6</t>
  </si>
  <si>
    <t>PE 11-1</t>
  </si>
  <si>
    <t>PE 11-2</t>
  </si>
  <si>
    <t>PE 11-7</t>
  </si>
  <si>
    <t>PE 12-4</t>
  </si>
  <si>
    <t>PE 12-2</t>
  </si>
  <si>
    <t>PE 12-5</t>
  </si>
  <si>
    <t>PE 12-6</t>
  </si>
  <si>
    <t>PE 12-8</t>
  </si>
  <si>
    <t>PE 12-1</t>
  </si>
  <si>
    <t>Social Studies 9-2</t>
  </si>
  <si>
    <t>Social Studies 9-4</t>
  </si>
  <si>
    <t>Social Studies 9-8</t>
  </si>
  <si>
    <t>Social Studies 9-5</t>
  </si>
  <si>
    <t>Social Studies 9-3</t>
  </si>
  <si>
    <t>Social Studies 9-7</t>
  </si>
  <si>
    <t>AP Human Geography-3</t>
  </si>
  <si>
    <t>AP Human Geography-2</t>
  </si>
  <si>
    <t>Global-4</t>
  </si>
  <si>
    <t>Global-7</t>
  </si>
  <si>
    <t>AP Human Geography-4</t>
  </si>
  <si>
    <t>AP Human Geography-6</t>
  </si>
  <si>
    <t>Global-2</t>
  </si>
  <si>
    <t>AP Drawing-8</t>
  </si>
  <si>
    <t>Painting I-7</t>
  </si>
  <si>
    <t>Painting II-7</t>
  </si>
  <si>
    <t>Band Level I-7</t>
  </si>
  <si>
    <t>Band Level I-4</t>
  </si>
  <si>
    <t>Drawing I-3</t>
  </si>
  <si>
    <t>Painting II-1</t>
  </si>
  <si>
    <t>Band Level II-2</t>
  </si>
  <si>
    <t>Mixed Media Art-6</t>
  </si>
  <si>
    <t>Band Level II-6</t>
  </si>
  <si>
    <t>Band Level I-8</t>
  </si>
  <si>
    <t>Drawing I-8</t>
  </si>
  <si>
    <t>Painting I-5</t>
  </si>
  <si>
    <t>Painting I-4</t>
  </si>
  <si>
    <t>Sculpture I-3</t>
  </si>
  <si>
    <t>AP 2-D Art and Design-1</t>
  </si>
  <si>
    <t>AP 3-D Art and Design-6</t>
  </si>
  <si>
    <t>AP Research-1</t>
  </si>
  <si>
    <t>ISC-8</t>
  </si>
  <si>
    <t>ISC-6</t>
  </si>
  <si>
    <t>ISC-1</t>
  </si>
  <si>
    <t>ISC-4</t>
  </si>
  <si>
    <t>ISC-3</t>
  </si>
  <si>
    <t>FRC 9 Robotics-5</t>
  </si>
  <si>
    <t>Technology 9-5</t>
  </si>
  <si>
    <t>FRC 9 Robotics-6</t>
  </si>
  <si>
    <t>Technology 9-3</t>
  </si>
  <si>
    <t>FRC 9-6</t>
  </si>
  <si>
    <t>Technology 9-1</t>
  </si>
  <si>
    <t>FRC 9 Robotics-2</t>
  </si>
  <si>
    <t>FRC 9 Robotics-1</t>
  </si>
  <si>
    <t>Sociales 10-7</t>
  </si>
  <si>
    <t>Sociales 10-5</t>
  </si>
  <si>
    <t>Sociales 10-8</t>
  </si>
  <si>
    <t>Sociales 10-3</t>
  </si>
  <si>
    <t>Sociales 10-2</t>
  </si>
  <si>
    <t>Sociales 10-4</t>
  </si>
  <si>
    <t>Sociales 10-1</t>
  </si>
  <si>
    <t>Creative Design-4</t>
  </si>
  <si>
    <t>Life Purpose-2</t>
  </si>
  <si>
    <t>AP World History-6</t>
  </si>
  <si>
    <t>AP World History-5</t>
  </si>
  <si>
    <t>AP Economics-5</t>
  </si>
  <si>
    <t>Pensar nuestro tiempo-2</t>
  </si>
  <si>
    <t>AP Economics-4</t>
  </si>
  <si>
    <t>Life Purpose-8</t>
  </si>
  <si>
    <t>Life Purpose-6</t>
  </si>
  <si>
    <t>AP Economics-8</t>
  </si>
  <si>
    <t>AP Psychology-4</t>
  </si>
  <si>
    <t>Introduction to Law-4</t>
  </si>
  <si>
    <t>AP Economics-7</t>
  </si>
  <si>
    <t>Life Purpose-7</t>
  </si>
  <si>
    <t>AP Psychology-5</t>
  </si>
  <si>
    <t>Life Purpose-1</t>
  </si>
  <si>
    <t>Life Purpose-3</t>
  </si>
  <si>
    <t>Painting I-8</t>
  </si>
  <si>
    <t>Sculpture I-4</t>
  </si>
  <si>
    <t>Band Level I-3</t>
  </si>
  <si>
    <t>Entrepreneurship - Business Tech-5</t>
  </si>
  <si>
    <t>Entrepreneurship - Business Tech-3</t>
  </si>
  <si>
    <t>AP Computer Science A-4</t>
  </si>
  <si>
    <t>Course 1</t>
  </si>
  <si>
    <t>Course 2</t>
  </si>
  <si>
    <t>Art History</t>
  </si>
  <si>
    <t>Item</t>
  </si>
  <si>
    <t>Description</t>
  </si>
  <si>
    <t>Person Responsible</t>
  </si>
  <si>
    <t>Due Date</t>
  </si>
  <si>
    <t>Additonal Information</t>
  </si>
  <si>
    <t>Links</t>
  </si>
  <si>
    <t>Plan de estudios</t>
  </si>
  <si>
    <t>New course or changes to course feedback given by CPC and SCC. Must be approved by Consejo Directivo</t>
  </si>
  <si>
    <t>Principal</t>
  </si>
  <si>
    <t>December</t>
  </si>
  <si>
    <t>Student choices</t>
  </si>
  <si>
    <t>Students select their courses</t>
  </si>
  <si>
    <t>February</t>
  </si>
  <si>
    <t>Teachers approve students in AP courses and electives such as Pre-Calculus</t>
  </si>
  <si>
    <t>Principal gets teacher approval for students in each course</t>
  </si>
  <si>
    <t>Share student choices</t>
  </si>
  <si>
    <t>Share student selections with Sam to process which courses do not have sufficient enrollment to be created.</t>
  </si>
  <si>
    <t>Analysis of Student Choices</t>
  </si>
  <si>
    <t>Sam shares the list of courses that have to be eliminated because of insufficient enrollment.</t>
  </si>
  <si>
    <t>Sam</t>
  </si>
  <si>
    <t>New Student Choices</t>
  </si>
  <si>
    <t xml:space="preserve">Contact students in the courses that were eliminated due to insufficient enrollment to select a replacement course. </t>
  </si>
  <si>
    <t>Scheduling Special Requests</t>
  </si>
  <si>
    <t>Make a list of all scheduling special requests in the Tab called "Special Requests"</t>
  </si>
  <si>
    <t>Students who can't be together</t>
  </si>
  <si>
    <t xml:space="preserve">Make a list of all students that can't be together or must be together in the tab called "Student Groupings". It is important to create these requests after a collaborative discussion and to keep these requests down to a minimum. </t>
  </si>
  <si>
    <t>Receive Schedule</t>
  </si>
  <si>
    <t>Turn in finished schedule for approval and revision</t>
  </si>
  <si>
    <t xml:space="preserve">After the final schedule is turned in, each school is responsible for making their own changes to the schedule if new changes are needed. (Sam can help if the change is very difficult). </t>
  </si>
  <si>
    <t>Upload Schedule to Powerschool</t>
  </si>
  <si>
    <t>Upload the Schedule into Powerschool</t>
  </si>
  <si>
    <t>Administrative Assistants</t>
  </si>
  <si>
    <t>Real Course</t>
  </si>
  <si>
    <t>Real Group</t>
  </si>
  <si>
    <t>Scheduled Course</t>
  </si>
  <si>
    <t>Scheduled Group</t>
  </si>
  <si>
    <t>Ghost Classes</t>
  </si>
  <si>
    <t>Group</t>
  </si>
  <si>
    <t>TA Class</t>
  </si>
  <si>
    <t>TA Group</t>
  </si>
  <si>
    <t>1b</t>
  </si>
  <si>
    <t>Courses</t>
  </si>
  <si>
    <t>Teachers</t>
  </si>
  <si>
    <t>Order</t>
  </si>
  <si>
    <t>Algebra 1</t>
  </si>
  <si>
    <t>AP English Literature and Composition</t>
  </si>
  <si>
    <t>AP Span Lang 10</t>
  </si>
  <si>
    <t>Art - Painting I</t>
  </si>
  <si>
    <t>Art - Painting II</t>
  </si>
  <si>
    <t>Art 11</t>
  </si>
  <si>
    <t>Biology</t>
  </si>
  <si>
    <t>FRC 9 (First Robotics)</t>
  </si>
  <si>
    <t>Geometry 10</t>
  </si>
  <si>
    <t>History 9</t>
  </si>
  <si>
    <t>ISP</t>
  </si>
  <si>
    <t>Philosophy 11/ Religion, ethics and values</t>
  </si>
  <si>
    <t>Philosophy 12 / Political Science</t>
  </si>
  <si>
    <t>Spanish 11</t>
  </si>
  <si>
    <t>Spanish 12</t>
  </si>
  <si>
    <t>Spanish 9</t>
  </si>
  <si>
    <t>Statistics</t>
  </si>
  <si>
    <t>Sustainable 10</t>
  </si>
  <si>
    <t>The Art of Fiction 2</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</si>
</sst>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m/d/yyyy"/>
    <numFmt numFmtId="166" formatCode="yyyy-mm-dd"/>
    <numFmt numFmtId="167" formatCode="mmmm d"/>
  </numFmts>
  <fonts count="27">
    <font>
      <sz val="10.0"/>
      <color rgb="FF000000"/>
      <name val="Arial"/>
    </font>
    <font/>
    <font>
      <b/>
      <sz val="12.0"/>
      <color rgb="FFFFFFFF"/>
      <name val="Inconsolata"/>
    </font>
    <font>
      <b/>
      <sz val="12.0"/>
    </font>
    <font>
      <b/>
      <sz val="12.0"/>
      <color rgb="FF000000"/>
      <name val="Arial"/>
    </font>
    <font>
      <b/>
      <u/>
      <sz val="12.0"/>
      <color rgb="FFFFFFFF"/>
      <name val="Inconsolata"/>
    </font>
    <font>
      <name val="Arial"/>
    </font>
    <font>
      <b/>
    </font>
    <font>
      <b/>
      <name val="Arial"/>
    </font>
    <font>
      <sz val="24.0"/>
      <name val="Arial"/>
    </font>
    <font>
      <sz val="11.0"/>
      <name val="Arial"/>
    </font>
    <font>
      <sz val="11.0"/>
      <color rgb="FF000000"/>
      <name val="Inconsolata"/>
    </font>
    <font>
      <sz val="10.0"/>
      <name val="Arial"/>
    </font>
    <font>
      <b/>
      <sz val="10.0"/>
      <name val="Arial"/>
    </font>
    <font>
      <sz val="10.0"/>
      <color rgb="FF444444"/>
      <name val="Arial"/>
    </font>
    <font>
      <sz val="10.0"/>
      <color rgb="FFFF0000"/>
      <name val="Arial"/>
    </font>
    <font>
      <sz val="9.0"/>
      <color rgb="FF444444"/>
      <name val="&quot;Open Sans&quot;"/>
    </font>
    <font>
      <sz val="11.0"/>
      <name val="Roboto"/>
    </font>
    <font>
      <b/>
      <sz val="10.0"/>
      <color rgb="FF000000"/>
      <name val="Arial"/>
    </font>
    <font>
      <sz val="11.0"/>
      <color rgb="FF000000"/>
      <name val="Arial"/>
    </font>
    <font>
      <sz val="11.0"/>
      <color rgb="FFFF0000"/>
      <name val="Roboto"/>
    </font>
    <font>
      <color rgb="FF222222"/>
      <name val="Arial"/>
    </font>
    <font>
      <color rgb="FF222222"/>
      <name val="Verdana"/>
    </font>
    <font>
      <b/>
      <sz val="18.0"/>
      <color rgb="FFFFFFFF"/>
    </font>
    <font>
      <b/>
      <sz val="18.0"/>
    </font>
    <font>
      <sz val="10.0"/>
    </font>
    <font>
      <sz val="18.0"/>
    </font>
  </fonts>
  <fills count="27">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F00FF"/>
        <bgColor rgb="FFFF00FF"/>
      </patternFill>
    </fill>
    <fill>
      <patternFill patternType="solid">
        <fgColor rgb="FF9900FF"/>
        <bgColor rgb="FF9900FF"/>
      </patternFill>
    </fill>
    <fill>
      <patternFill patternType="solid">
        <fgColor rgb="FF4A86E8"/>
        <bgColor rgb="FF4A86E8"/>
      </patternFill>
    </fill>
    <fill>
      <patternFill patternType="solid">
        <fgColor rgb="FFB7B7B7"/>
        <bgColor rgb="FFB7B7B7"/>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F3F3F3"/>
        <bgColor rgb="FFF3F3F3"/>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C9DAF8"/>
        <bgColor rgb="FFC9DAF8"/>
      </patternFill>
    </fill>
    <fill>
      <patternFill patternType="solid">
        <fgColor rgb="FFD0E0E3"/>
        <bgColor rgb="FFD0E0E3"/>
      </patternFill>
    </fill>
    <fill>
      <patternFill patternType="solid">
        <fgColor rgb="FFD9D9D9"/>
        <bgColor rgb="FFD9D9D9"/>
      </patternFill>
    </fill>
    <fill>
      <patternFill patternType="solid">
        <fgColor rgb="FFFF0000"/>
        <bgColor rgb="FFFF0000"/>
      </patternFill>
    </fill>
    <fill>
      <patternFill patternType="solid">
        <fgColor rgb="FFCCCCCC"/>
        <bgColor rgb="FFCCCCCC"/>
      </patternFill>
    </fill>
    <fill>
      <patternFill patternType="solid">
        <fgColor rgb="FFFFAEFF"/>
        <bgColor rgb="FFFFAEFF"/>
      </patternFill>
    </fill>
    <fill>
      <patternFill patternType="solid">
        <fgColor rgb="FFF1E5EA"/>
        <bgColor rgb="FFF1E5EA"/>
      </patternFill>
    </fill>
    <fill>
      <patternFill patternType="solid">
        <fgColor rgb="FF38761D"/>
        <bgColor rgb="FF38761D"/>
      </patternFill>
    </fill>
  </fills>
  <borders count="12">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1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xf>
    <xf borderId="0" fillId="0" fontId="1" numFmtId="0" xfId="0" applyAlignment="1" applyFont="1">
      <alignment horizontal="center"/>
    </xf>
    <xf borderId="1" fillId="0" fontId="1" numFmtId="0" xfId="0" applyAlignment="1" applyBorder="1" applyFont="1">
      <alignment horizontal="center"/>
    </xf>
    <xf borderId="0" fillId="3" fontId="2" numFmtId="0" xfId="0" applyAlignment="1" applyFill="1" applyFont="1">
      <alignment horizontal="center" readingOrder="0"/>
    </xf>
    <xf borderId="2" fillId="0" fontId="3" numFmtId="0" xfId="0" applyAlignment="1" applyBorder="1" applyFont="1">
      <alignment horizontal="center" shrinkToFit="0" wrapText="0"/>
    </xf>
    <xf borderId="0" fillId="0" fontId="3" numFmtId="0" xfId="0" applyAlignment="1" applyFont="1">
      <alignment horizontal="center"/>
    </xf>
    <xf borderId="1" fillId="2" fontId="4" numFmtId="9" xfId="0" applyAlignment="1" applyBorder="1" applyFont="1" applyNumberFormat="1">
      <alignment horizontal="center" readingOrder="0"/>
    </xf>
    <xf borderId="0" fillId="3" fontId="2" numFmtId="0" xfId="0" applyAlignment="1" applyFont="1">
      <alignment horizontal="center" readingOrder="0" shrinkToFit="0" wrapText="0"/>
    </xf>
    <xf borderId="0" fillId="3" fontId="5" numFmtId="0" xfId="0" applyAlignment="1" applyFont="1">
      <alignment horizontal="center" readingOrder="0"/>
    </xf>
    <xf borderId="2" fillId="0" fontId="3" numFmtId="0" xfId="0" applyAlignment="1" applyBorder="1" applyFont="1">
      <alignment horizontal="center"/>
    </xf>
    <xf borderId="0" fillId="3" fontId="2" numFmtId="0" xfId="0" applyAlignment="1" applyFont="1">
      <alignment horizontal="center" readingOrder="0"/>
    </xf>
    <xf borderId="3" fillId="0" fontId="3" numFmtId="0" xfId="0" applyAlignment="1" applyBorder="1" applyFont="1">
      <alignment horizontal="center"/>
    </xf>
    <xf borderId="1" fillId="0" fontId="1" numFmtId="0" xfId="0" applyBorder="1" applyFont="1"/>
    <xf borderId="4" fillId="2" fontId="2" numFmtId="0" xfId="0" applyAlignment="1" applyBorder="1" applyFont="1">
      <alignment horizontal="center" readingOrder="0" shrinkToFit="0" wrapText="0"/>
    </xf>
    <xf borderId="4" fillId="3" fontId="2" numFmtId="0" xfId="0" applyAlignment="1" applyBorder="1" applyFont="1">
      <alignment horizontal="center" readingOrder="0" shrinkToFit="0" wrapText="0"/>
    </xf>
    <xf borderId="4" fillId="0" fontId="1" numFmtId="0" xfId="0" applyBorder="1" applyFont="1"/>
    <xf borderId="5" fillId="0" fontId="1" numFmtId="0" xfId="0" applyBorder="1" applyFont="1"/>
    <xf borderId="0" fillId="2" fontId="6" numFmtId="0" xfId="0" applyAlignment="1" applyFont="1">
      <alignment horizontal="center" vertical="bottom"/>
    </xf>
    <xf borderId="1" fillId="2" fontId="6" numFmtId="0" xfId="0" applyAlignment="1" applyBorder="1" applyFont="1">
      <alignment horizontal="center" vertical="bottom"/>
    </xf>
    <xf borderId="1" fillId="0" fontId="7" numFmtId="0" xfId="0" applyAlignment="1" applyBorder="1" applyFont="1">
      <alignment horizontal="center" readingOrder="0"/>
    </xf>
    <xf borderId="1" fillId="4" fontId="7" numFmtId="0" xfId="0" applyAlignment="1" applyBorder="1" applyFill="1" applyFont="1">
      <alignment horizontal="center" readingOrder="0" shrinkToFit="0" wrapText="0"/>
    </xf>
    <xf borderId="6" fillId="4" fontId="7" numFmtId="0" xfId="0" applyAlignment="1" applyBorder="1" applyFont="1">
      <alignment horizontal="center" readingOrder="0"/>
    </xf>
    <xf borderId="6" fillId="0" fontId="7" numFmtId="0" xfId="0" applyAlignment="1" applyBorder="1" applyFont="1">
      <alignment horizontal="center" readingOrder="0"/>
    </xf>
    <xf borderId="6" fillId="5" fontId="7" numFmtId="0" xfId="0" applyAlignment="1" applyBorder="1" applyFill="1" applyFont="1">
      <alignment horizontal="center" readingOrder="0" shrinkToFit="0" wrapText="0"/>
    </xf>
    <xf borderId="6" fillId="5" fontId="7" numFmtId="0" xfId="0" applyAlignment="1" applyBorder="1" applyFont="1">
      <alignment horizontal="center" readingOrder="0"/>
    </xf>
    <xf borderId="1" fillId="6" fontId="7" numFmtId="0" xfId="0" applyAlignment="1" applyBorder="1" applyFill="1" applyFont="1">
      <alignment horizontal="center" readingOrder="0" shrinkToFit="0" wrapText="0"/>
    </xf>
    <xf borderId="6" fillId="6" fontId="7" numFmtId="0" xfId="0" applyAlignment="1" applyBorder="1" applyFont="1">
      <alignment horizontal="center" readingOrder="0"/>
    </xf>
    <xf borderId="1" fillId="7" fontId="7" numFmtId="0" xfId="0" applyAlignment="1" applyBorder="1" applyFill="1" applyFont="1">
      <alignment horizontal="center" readingOrder="0" shrinkToFit="0" wrapText="0"/>
    </xf>
    <xf borderId="6" fillId="7" fontId="7" numFmtId="0" xfId="0" applyAlignment="1" applyBorder="1" applyFont="1">
      <alignment horizontal="center" readingOrder="0"/>
    </xf>
    <xf borderId="6" fillId="8" fontId="7" numFmtId="0" xfId="0" applyAlignment="1" applyBorder="1" applyFill="1" applyFont="1">
      <alignment horizontal="center" readingOrder="0" shrinkToFit="0" wrapText="0"/>
    </xf>
    <xf borderId="6" fillId="8" fontId="7" numFmtId="0" xfId="0" applyAlignment="1" applyBorder="1" applyFont="1">
      <alignment horizontal="center" readingOrder="0"/>
    </xf>
    <xf borderId="1" fillId="9" fontId="7" numFmtId="0" xfId="0" applyAlignment="1" applyBorder="1" applyFill="1" applyFont="1">
      <alignment horizontal="center" readingOrder="0" shrinkToFit="0" wrapText="0"/>
    </xf>
    <xf borderId="6" fillId="9" fontId="7" numFmtId="0" xfId="0" applyAlignment="1" applyBorder="1" applyFont="1">
      <alignment horizontal="center" readingOrder="0"/>
    </xf>
    <xf borderId="1" fillId="10" fontId="7" numFmtId="0" xfId="0" applyAlignment="1" applyBorder="1" applyFill="1" applyFont="1">
      <alignment horizontal="center" readingOrder="0" shrinkToFit="0" wrapText="0"/>
    </xf>
    <xf borderId="6" fillId="10" fontId="7" numFmtId="0" xfId="0" applyAlignment="1" applyBorder="1" applyFont="1">
      <alignment horizontal="center" readingOrder="0"/>
    </xf>
    <xf borderId="6" fillId="11" fontId="8" numFmtId="0" xfId="0" applyAlignment="1" applyBorder="1" applyFill="1" applyFont="1">
      <alignment horizontal="center" readingOrder="0"/>
    </xf>
    <xf borderId="1" fillId="11" fontId="7" numFmtId="0" xfId="0" applyAlignment="1" applyBorder="1" applyFont="1">
      <alignment horizontal="center" readingOrder="0"/>
    </xf>
    <xf borderId="7" fillId="2" fontId="9" numFmtId="0" xfId="0" applyAlignment="1" applyBorder="1" applyFont="1">
      <alignment horizontal="center" vertical="center"/>
    </xf>
    <xf borderId="1" fillId="4" fontId="6" numFmtId="0" xfId="0" applyAlignment="1" applyBorder="1" applyFont="1">
      <alignment horizontal="center" vertical="bottom"/>
    </xf>
    <xf borderId="1" fillId="9" fontId="6" numFmtId="0" xfId="0" applyAlignment="1" applyBorder="1" applyFont="1">
      <alignment horizontal="center" vertical="bottom"/>
    </xf>
    <xf borderId="1" fillId="6" fontId="6" numFmtId="0" xfId="0" applyAlignment="1" applyBorder="1" applyFont="1">
      <alignment horizontal="center" vertical="bottom"/>
    </xf>
    <xf borderId="1" fillId="2" fontId="6" numFmtId="0" xfId="0" applyAlignment="1" applyBorder="1" applyFont="1">
      <alignment horizontal="center" vertical="bottom"/>
    </xf>
    <xf borderId="1" fillId="8" fontId="6" numFmtId="0" xfId="0" applyAlignment="1" applyBorder="1" applyFont="1">
      <alignment horizontal="center" vertical="bottom"/>
    </xf>
    <xf borderId="0" fillId="0" fontId="1" numFmtId="0" xfId="0" applyAlignment="1" applyFont="1">
      <alignment readingOrder="0"/>
    </xf>
    <xf borderId="1" fillId="12" fontId="1" numFmtId="0" xfId="0" applyAlignment="1" applyBorder="1" applyFill="1" applyFont="1">
      <alignment horizontal="center" readingOrder="0"/>
    </xf>
    <xf borderId="1" fillId="2" fontId="10" numFmtId="0" xfId="0" applyAlignment="1" applyBorder="1" applyFont="1">
      <alignment vertical="bottom"/>
    </xf>
    <xf borderId="1" fillId="0" fontId="11" numFmtId="0" xfId="0" applyAlignment="1" applyBorder="1" applyFont="1">
      <alignment horizontal="left" readingOrder="0" shrinkToFit="0" wrapText="0"/>
    </xf>
    <xf borderId="1" fillId="0" fontId="11" numFmtId="0" xfId="0" applyAlignment="1" applyBorder="1" applyFont="1">
      <alignment horizontal="center" readingOrder="0"/>
    </xf>
    <xf borderId="1" fillId="2" fontId="11" numFmtId="0" xfId="0" applyAlignment="1" applyBorder="1" applyFont="1">
      <alignment horizontal="left" readingOrder="0" shrinkToFit="0" wrapText="0"/>
    </xf>
    <xf borderId="1" fillId="0" fontId="6" numFmtId="0" xfId="0" applyAlignment="1" applyBorder="1" applyFont="1">
      <alignment horizontal="center" vertical="bottom"/>
    </xf>
    <xf borderId="1" fillId="0" fontId="10" numFmtId="0" xfId="0" applyAlignment="1" applyBorder="1" applyFont="1">
      <alignment horizontal="center" readingOrder="0"/>
    </xf>
    <xf borderId="8" fillId="0" fontId="1" numFmtId="0" xfId="0" applyBorder="1" applyFont="1"/>
    <xf borderId="1" fillId="5" fontId="6" numFmtId="0" xfId="0" applyAlignment="1" applyBorder="1" applyFont="1">
      <alignment horizontal="center" vertical="bottom"/>
    </xf>
    <xf borderId="1" fillId="10" fontId="6" numFmtId="0" xfId="0" applyAlignment="1" applyBorder="1" applyFont="1">
      <alignment horizontal="center" vertical="bottom"/>
    </xf>
    <xf borderId="1" fillId="7" fontId="6" numFmtId="0" xfId="0" applyAlignment="1" applyBorder="1" applyFont="1">
      <alignment horizontal="center" vertical="bottom"/>
    </xf>
    <xf borderId="6" fillId="2" fontId="6" numFmtId="0" xfId="0" applyAlignment="1" applyBorder="1" applyFont="1">
      <alignment horizontal="center" vertical="bottom"/>
    </xf>
    <xf borderId="6" fillId="2" fontId="10" numFmtId="0" xfId="0" applyAlignment="1" applyBorder="1" applyFont="1">
      <alignment readingOrder="0" vertical="bottom"/>
    </xf>
    <xf borderId="1" fillId="7" fontId="11" numFmtId="0" xfId="0" applyAlignment="1" applyBorder="1" applyFont="1">
      <alignment horizontal="left" readingOrder="0" shrinkToFit="0" wrapText="0"/>
    </xf>
    <xf borderId="1" fillId="7" fontId="11" numFmtId="0" xfId="0" applyAlignment="1" applyBorder="1" applyFont="1">
      <alignment horizontal="center" readingOrder="0"/>
    </xf>
    <xf borderId="6" fillId="5" fontId="6" numFmtId="0" xfId="0" applyAlignment="1" applyBorder="1" applyFont="1">
      <alignment horizontal="center" vertical="bottom"/>
    </xf>
    <xf borderId="6" fillId="0" fontId="6" numFmtId="0" xfId="0" applyAlignment="1" applyBorder="1" applyFont="1">
      <alignment horizontal="center" vertical="bottom"/>
    </xf>
    <xf borderId="1" fillId="13" fontId="6" numFmtId="0" xfId="0" applyAlignment="1" applyBorder="1" applyFill="1" applyFont="1">
      <alignment horizontal="center" vertical="bottom"/>
    </xf>
    <xf borderId="1" fillId="2" fontId="1" numFmtId="0" xfId="0" applyAlignment="1" applyBorder="1" applyFont="1">
      <alignment horizontal="center"/>
    </xf>
    <xf borderId="1" fillId="2" fontId="11" numFmtId="0" xfId="0" applyAlignment="1" applyBorder="1" applyFont="1">
      <alignment horizontal="center" readingOrder="0"/>
    </xf>
    <xf borderId="6" fillId="2" fontId="6" numFmtId="0" xfId="0" applyAlignment="1" applyBorder="1" applyFont="1">
      <alignment horizontal="center" vertical="bottom"/>
    </xf>
    <xf borderId="1" fillId="5" fontId="11" numFmtId="0" xfId="0" applyAlignment="1" applyBorder="1" applyFont="1">
      <alignment horizontal="center" readingOrder="0"/>
    </xf>
    <xf borderId="6" fillId="0" fontId="1" numFmtId="0" xfId="0" applyBorder="1" applyFont="1"/>
    <xf borderId="9" fillId="12" fontId="6" numFmtId="0" xfId="0" applyAlignment="1" applyBorder="1" applyFont="1">
      <alignment horizontal="center" vertical="bottom"/>
    </xf>
    <xf borderId="1" fillId="2" fontId="6" numFmtId="0" xfId="0" applyAlignment="1" applyBorder="1" applyFont="1">
      <alignment horizontal="center" vertical="bottom"/>
    </xf>
    <xf borderId="9" fillId="0" fontId="6" numFmtId="0" xfId="0" applyAlignment="1" applyBorder="1" applyFont="1">
      <alignment vertical="bottom"/>
    </xf>
    <xf borderId="9" fillId="2" fontId="11" numFmtId="0" xfId="0" applyAlignment="1" applyBorder="1" applyFont="1">
      <alignment vertical="bottom"/>
    </xf>
    <xf borderId="9" fillId="2" fontId="6" numFmtId="0" xfId="0" applyAlignment="1" applyBorder="1" applyFont="1">
      <alignment vertical="bottom"/>
    </xf>
    <xf borderId="9" fillId="2" fontId="6" numFmtId="0" xfId="0" applyAlignment="1" applyBorder="1" applyFont="1">
      <alignment horizontal="center" vertical="bottom"/>
    </xf>
    <xf borderId="9" fillId="2" fontId="6" numFmtId="0" xfId="0" applyAlignment="1" applyBorder="1" applyFont="1">
      <alignment readingOrder="0" vertical="bottom"/>
    </xf>
    <xf borderId="1" fillId="2" fontId="6" numFmtId="0" xfId="0" applyAlignment="1" applyBorder="1" applyFont="1">
      <alignment readingOrder="0" vertical="bottom"/>
    </xf>
    <xf borderId="1" fillId="2" fontId="6" numFmtId="0" xfId="0" applyAlignment="1" applyBorder="1" applyFont="1">
      <alignment horizontal="center" vertical="bottom"/>
    </xf>
    <xf borderId="9" fillId="7" fontId="11" numFmtId="0" xfId="0" applyAlignment="1" applyBorder="1" applyFont="1">
      <alignment readingOrder="0" vertical="bottom"/>
    </xf>
    <xf borderId="9" fillId="7" fontId="6" numFmtId="0" xfId="0" applyAlignment="1" applyBorder="1" applyFont="1">
      <alignment readingOrder="0" vertical="bottom"/>
    </xf>
    <xf borderId="9" fillId="7" fontId="6" numFmtId="0" xfId="0" applyAlignment="1" applyBorder="1" applyFont="1">
      <alignment horizontal="center" vertical="bottom"/>
    </xf>
    <xf borderId="9" fillId="0" fontId="11" numFmtId="0" xfId="0" applyAlignment="1" applyBorder="1" applyFont="1">
      <alignment readingOrder="0" vertical="bottom"/>
    </xf>
    <xf borderId="9" fillId="0" fontId="6" numFmtId="0" xfId="0" applyAlignment="1" applyBorder="1" applyFont="1">
      <alignment horizontal="center" readingOrder="0" vertical="bottom"/>
    </xf>
    <xf borderId="9" fillId="0" fontId="6" numFmtId="0" xfId="0" applyAlignment="1" applyBorder="1" applyFont="1">
      <alignment horizontal="center" vertical="bottom"/>
    </xf>
    <xf borderId="9" fillId="0" fontId="6" numFmtId="0" xfId="0" applyAlignment="1" applyBorder="1" applyFont="1">
      <alignment readingOrder="0" vertical="bottom"/>
    </xf>
    <xf borderId="9" fillId="0" fontId="10" numFmtId="0" xfId="0" applyAlignment="1" applyBorder="1" applyFont="1">
      <alignment horizontal="center" readingOrder="0"/>
    </xf>
    <xf borderId="9" fillId="0" fontId="10" numFmtId="0" xfId="0" applyAlignment="1" applyBorder="1" applyFont="1">
      <alignment horizontal="center" vertical="bottom"/>
    </xf>
    <xf borderId="5" fillId="12" fontId="6" numFmtId="0" xfId="0" applyAlignment="1" applyBorder="1" applyFont="1">
      <alignment horizontal="center" vertical="bottom"/>
    </xf>
    <xf borderId="6" fillId="2" fontId="6" numFmtId="0" xfId="0" applyAlignment="1" applyBorder="1" applyFont="1">
      <alignment horizontal="center" vertical="bottom"/>
    </xf>
    <xf borderId="5" fillId="0" fontId="6" numFmtId="0" xfId="0" applyAlignment="1" applyBorder="1" applyFont="1">
      <alignment vertical="bottom"/>
    </xf>
    <xf borderId="5" fillId="2" fontId="11" numFmtId="0" xfId="0" applyAlignment="1" applyBorder="1" applyFont="1">
      <alignment readingOrder="0" vertical="bottom"/>
    </xf>
    <xf borderId="5" fillId="2" fontId="6" numFmtId="0" xfId="0" applyAlignment="1" applyBorder="1" applyFont="1">
      <alignment readingOrder="0" vertical="bottom"/>
    </xf>
    <xf borderId="5" fillId="2" fontId="6" numFmtId="0" xfId="0" applyAlignment="1" applyBorder="1" applyFont="1">
      <alignment horizontal="center" vertical="bottom"/>
    </xf>
    <xf borderId="5" fillId="7" fontId="11" numFmtId="0" xfId="0" applyAlignment="1" applyBorder="1" applyFont="1">
      <alignment readingOrder="0" vertical="bottom"/>
    </xf>
    <xf borderId="5" fillId="7" fontId="6" numFmtId="0" xfId="0" applyAlignment="1" applyBorder="1" applyFont="1">
      <alignment readingOrder="0" vertical="bottom"/>
    </xf>
    <xf borderId="5" fillId="7" fontId="6" numFmtId="0" xfId="0" applyAlignment="1" applyBorder="1" applyFont="1">
      <alignment horizontal="center" vertical="bottom"/>
    </xf>
    <xf borderId="5" fillId="2" fontId="6" numFmtId="0" xfId="0" applyAlignment="1" applyBorder="1" applyFont="1">
      <alignment horizontal="center" readingOrder="0" vertical="bottom"/>
    </xf>
    <xf borderId="5" fillId="0" fontId="6" numFmtId="0" xfId="0" applyAlignment="1" applyBorder="1" applyFont="1">
      <alignment horizontal="center" readingOrder="0" vertical="bottom"/>
    </xf>
    <xf borderId="5" fillId="0" fontId="6" numFmtId="0" xfId="0" applyAlignment="1" applyBorder="1" applyFont="1">
      <alignment horizontal="center" vertical="bottom"/>
    </xf>
    <xf borderId="5" fillId="0" fontId="10" numFmtId="0" xfId="0" applyAlignment="1" applyBorder="1" applyFont="1">
      <alignment horizontal="center" readingOrder="0"/>
    </xf>
    <xf borderId="1" fillId="0" fontId="1" numFmtId="0" xfId="0" applyAlignment="1" applyBorder="1" applyFont="1">
      <alignment horizontal="center" readingOrder="0"/>
    </xf>
    <xf borderId="5" fillId="0" fontId="6" numFmtId="0" xfId="0" applyAlignment="1" applyBorder="1" applyFont="1">
      <alignment readingOrder="0" vertical="bottom"/>
    </xf>
    <xf borderId="5" fillId="0" fontId="10" numFmtId="0" xfId="0" applyAlignment="1" applyBorder="1" applyFont="1">
      <alignment horizontal="center" vertical="bottom"/>
    </xf>
    <xf borderId="5" fillId="0" fontId="11" numFmtId="0" xfId="0" applyAlignment="1" applyBorder="1" applyFont="1">
      <alignment readingOrder="0" vertical="bottom"/>
    </xf>
    <xf borderId="1" fillId="7" fontId="6" numFmtId="0" xfId="0" applyAlignment="1" applyBorder="1" applyFont="1">
      <alignment readingOrder="0" vertical="bottom"/>
    </xf>
    <xf borderId="1" fillId="7" fontId="6" numFmtId="0" xfId="0" applyAlignment="1" applyBorder="1" applyFont="1">
      <alignment horizontal="center" vertical="bottom"/>
    </xf>
    <xf borderId="5" fillId="2" fontId="6" numFmtId="0" xfId="0" applyAlignment="1" applyBorder="1" applyFont="1">
      <alignment vertical="bottom"/>
    </xf>
    <xf borderId="5" fillId="2" fontId="6" numFmtId="0" xfId="0" applyAlignment="1" applyBorder="1" applyFont="1">
      <alignment vertical="bottom"/>
    </xf>
    <xf borderId="5" fillId="14" fontId="6" numFmtId="0" xfId="0" applyAlignment="1" applyBorder="1" applyFill="1" applyFont="1">
      <alignment readingOrder="0" vertical="bottom"/>
    </xf>
    <xf borderId="1" fillId="0" fontId="1" numFmtId="0" xfId="0" applyAlignment="1" applyBorder="1" applyFont="1">
      <alignment readingOrder="0"/>
    </xf>
    <xf borderId="5" fillId="14" fontId="6" numFmtId="0" xfId="0" applyAlignment="1" applyBorder="1" applyFont="1">
      <alignment horizontal="center" readingOrder="0" vertical="bottom"/>
    </xf>
    <xf borderId="1" fillId="0" fontId="1" numFmtId="164" xfId="0" applyAlignment="1" applyBorder="1" applyFont="1" applyNumberFormat="1">
      <alignment horizontal="center"/>
    </xf>
    <xf borderId="0" fillId="0" fontId="6" numFmtId="0" xfId="0" applyAlignment="1" applyFont="1">
      <alignment vertical="bottom"/>
    </xf>
    <xf borderId="5" fillId="14" fontId="11" numFmtId="0" xfId="0" applyAlignment="1" applyBorder="1" applyFont="1">
      <alignment readingOrder="0" vertical="bottom"/>
    </xf>
    <xf borderId="0" fillId="0" fontId="6" numFmtId="0" xfId="0" applyAlignment="1" applyFont="1">
      <alignment shrinkToFit="0" vertical="bottom" wrapText="0"/>
    </xf>
    <xf borderId="5" fillId="7" fontId="6" numFmtId="0" xfId="0" applyAlignment="1" applyBorder="1" applyFont="1">
      <alignment horizontal="center" readingOrder="0" vertical="bottom"/>
    </xf>
    <xf borderId="0" fillId="0" fontId="7" numFmtId="0" xfId="0" applyAlignment="1" applyFont="1">
      <alignment horizontal="center" readingOrder="0"/>
    </xf>
    <xf borderId="5" fillId="0" fontId="6" numFmtId="0" xfId="0" applyAlignment="1" applyBorder="1" applyFont="1">
      <alignment vertical="bottom"/>
    </xf>
    <xf borderId="5" fillId="7" fontId="6" numFmtId="0" xfId="0" applyAlignment="1" applyBorder="1" applyFont="1">
      <alignment vertical="bottom"/>
    </xf>
    <xf borderId="6" fillId="2" fontId="6" numFmtId="0" xfId="0" applyAlignment="1" applyBorder="1" applyFont="1">
      <alignment readingOrder="0" vertical="bottom"/>
    </xf>
    <xf borderId="5" fillId="2" fontId="11" numFmtId="0" xfId="0" applyAlignment="1" applyBorder="1" applyFont="1">
      <alignment vertical="bottom"/>
    </xf>
    <xf borderId="5" fillId="14" fontId="6" numFmtId="0" xfId="0" applyAlignment="1" applyBorder="1" applyFont="1">
      <alignment vertical="bottom"/>
    </xf>
    <xf borderId="5" fillId="14" fontId="11" numFmtId="0" xfId="0" applyAlignment="1" applyBorder="1" applyFont="1">
      <alignment vertical="bottom"/>
    </xf>
    <xf borderId="5" fillId="7" fontId="11" numFmtId="0" xfId="0" applyAlignment="1" applyBorder="1" applyFont="1">
      <alignment vertical="bottom"/>
    </xf>
    <xf borderId="5" fillId="15" fontId="6" numFmtId="0" xfId="0" applyAlignment="1" applyBorder="1" applyFill="1" applyFont="1">
      <alignment readingOrder="0" vertical="bottom"/>
    </xf>
    <xf borderId="6" fillId="0" fontId="6" numFmtId="0" xfId="0" applyAlignment="1" applyBorder="1" applyFont="1">
      <alignment readingOrder="0" vertical="bottom"/>
    </xf>
    <xf borderId="5" fillId="15" fontId="11" numFmtId="0" xfId="0" applyAlignment="1" applyBorder="1" applyFont="1">
      <alignment readingOrder="0" vertical="bottom"/>
    </xf>
    <xf borderId="6" fillId="2" fontId="6" numFmtId="0" xfId="0" applyAlignment="1" applyBorder="1" applyFont="1">
      <alignment readingOrder="0" shrinkToFit="0" wrapText="1"/>
    </xf>
    <xf borderId="6" fillId="2" fontId="6" numFmtId="0" xfId="0" applyAlignment="1" applyBorder="1" applyFont="1">
      <alignment shrinkToFit="0" wrapText="1"/>
    </xf>
    <xf borderId="5" fillId="0" fontId="6" numFmtId="0" xfId="0" applyAlignment="1" applyBorder="1" applyFont="1">
      <alignment readingOrder="0" vertical="bottom"/>
    </xf>
    <xf borderId="6" fillId="2" fontId="10" numFmtId="0" xfId="0" applyAlignment="1" applyBorder="1" applyFont="1">
      <alignment vertical="bottom"/>
    </xf>
    <xf borderId="6" fillId="2" fontId="6" numFmtId="0" xfId="0" applyAlignment="1" applyBorder="1" applyFont="1">
      <alignment horizontal="center" readingOrder="0" vertical="bottom"/>
    </xf>
    <xf borderId="6" fillId="0" fontId="6" numFmtId="0" xfId="0" applyAlignment="1" applyBorder="1" applyFont="1">
      <alignment readingOrder="0" shrinkToFit="0" vertical="bottom" wrapText="1"/>
    </xf>
    <xf borderId="5" fillId="0" fontId="6" numFmtId="0" xfId="0" applyAlignment="1" applyBorder="1" applyFont="1">
      <alignment horizontal="center" vertical="bottom"/>
    </xf>
    <xf borderId="6" fillId="0" fontId="6" numFmtId="0" xfId="0" applyAlignment="1" applyBorder="1" applyFont="1">
      <alignment shrinkToFit="0" vertical="bottom" wrapText="1"/>
    </xf>
    <xf borderId="6" fillId="2" fontId="10" numFmtId="0" xfId="0" applyAlignment="1" applyBorder="1" applyFont="1">
      <alignment vertical="bottom"/>
    </xf>
    <xf borderId="6" fillId="0" fontId="6" numFmtId="0" xfId="0" applyAlignment="1" applyBorder="1" applyFont="1">
      <alignment vertical="bottom"/>
    </xf>
    <xf borderId="5" fillId="12" fontId="6" numFmtId="0" xfId="0" applyAlignment="1" applyBorder="1" applyFont="1">
      <alignment horizontal="center" vertical="bottom"/>
    </xf>
    <xf borderId="6" fillId="0" fontId="6" numFmtId="0" xfId="0" applyAlignment="1" applyBorder="1" applyFont="1">
      <alignment vertical="bottom"/>
    </xf>
    <xf borderId="1" fillId="2" fontId="6" numFmtId="0" xfId="0" applyAlignment="1" applyBorder="1" applyFont="1">
      <alignment vertical="bottom"/>
    </xf>
    <xf borderId="1" fillId="0" fontId="6" numFmtId="0" xfId="0" applyAlignment="1" applyBorder="1" applyFont="1">
      <alignment vertical="bottom"/>
    </xf>
    <xf borderId="1" fillId="0" fontId="6" numFmtId="0" xfId="0" applyAlignment="1" applyBorder="1" applyFont="1">
      <alignment horizontal="center" vertical="bottom"/>
    </xf>
    <xf borderId="1" fillId="0" fontId="12" numFmtId="0" xfId="0" applyAlignment="1" applyBorder="1" applyFont="1">
      <alignment horizontal="center" vertical="center"/>
    </xf>
    <xf borderId="1" fillId="0" fontId="12" numFmtId="1" xfId="0" applyAlignment="1" applyBorder="1" applyFont="1" applyNumberFormat="1">
      <alignment horizontal="center" vertical="center"/>
    </xf>
    <xf borderId="1" fillId="0" fontId="12" numFmtId="0" xfId="0" applyAlignment="1" applyBorder="1" applyFont="1">
      <alignment readingOrder="0" vertical="center"/>
    </xf>
    <xf borderId="10" fillId="16" fontId="13" numFmtId="0" xfId="0" applyAlignment="1" applyBorder="1" applyFill="1" applyFont="1">
      <alignment horizontal="center" readingOrder="0" vertical="center"/>
    </xf>
    <xf borderId="9" fillId="16" fontId="13" numFmtId="0" xfId="0" applyAlignment="1" applyBorder="1" applyFont="1">
      <alignment horizontal="center" vertical="center"/>
    </xf>
    <xf borderId="10" fillId="12" fontId="13" numFmtId="0" xfId="0" applyAlignment="1" applyBorder="1" applyFont="1">
      <alignment horizontal="center" readingOrder="0" vertical="center"/>
    </xf>
    <xf borderId="9" fillId="12" fontId="13" numFmtId="0" xfId="0" applyAlignment="1" applyBorder="1" applyFont="1">
      <alignment horizontal="center" readingOrder="0" vertical="center"/>
    </xf>
    <xf borderId="10" fillId="14" fontId="13" numFmtId="0" xfId="0" applyAlignment="1" applyBorder="1" applyFont="1">
      <alignment horizontal="center" readingOrder="0" vertical="center"/>
    </xf>
    <xf borderId="11" fillId="14" fontId="13" numFmtId="0" xfId="0" applyAlignment="1" applyBorder="1" applyFont="1">
      <alignment horizontal="center" vertical="center"/>
    </xf>
    <xf borderId="9" fillId="14" fontId="13" numFmtId="0" xfId="0" applyAlignment="1" applyBorder="1" applyFont="1">
      <alignment horizontal="center" vertical="center"/>
    </xf>
    <xf borderId="10" fillId="17" fontId="13" numFmtId="0" xfId="0" applyAlignment="1" applyBorder="1" applyFill="1" applyFont="1">
      <alignment horizontal="center" readingOrder="0" vertical="center"/>
    </xf>
    <xf borderId="9" fillId="17" fontId="13" numFmtId="0" xfId="0" applyAlignment="1" applyBorder="1" applyFont="1">
      <alignment horizontal="center" vertical="center"/>
    </xf>
    <xf borderId="10" fillId="13" fontId="13" numFmtId="0" xfId="0" applyAlignment="1" applyBorder="1" applyFont="1">
      <alignment horizontal="center" readingOrder="0" vertical="center"/>
    </xf>
    <xf borderId="9" fillId="13" fontId="13" numFmtId="0" xfId="0" applyAlignment="1" applyBorder="1" applyFont="1">
      <alignment horizontal="center" vertical="center"/>
    </xf>
    <xf borderId="10" fillId="18" fontId="13" numFmtId="0" xfId="0" applyAlignment="1" applyBorder="1" applyFill="1" applyFont="1">
      <alignment horizontal="center" readingOrder="0" shrinkToFit="0" vertical="center" wrapText="1"/>
    </xf>
    <xf borderId="9" fillId="18" fontId="13" numFmtId="0" xfId="0" applyAlignment="1" applyBorder="1" applyFont="1">
      <alignment horizontal="center" readingOrder="0" vertical="center"/>
    </xf>
    <xf borderId="10" fillId="19" fontId="13" numFmtId="0" xfId="0" applyAlignment="1" applyBorder="1" applyFill="1" applyFont="1">
      <alignment horizontal="center" readingOrder="0" shrinkToFit="0" vertical="center" wrapText="1"/>
    </xf>
    <xf borderId="9" fillId="19" fontId="13" numFmtId="0" xfId="0" applyAlignment="1" applyBorder="1" applyFont="1">
      <alignment horizontal="center" readingOrder="0" shrinkToFit="0" vertical="center" wrapText="0"/>
    </xf>
    <xf borderId="9" fillId="20" fontId="13" numFmtId="0" xfId="0" applyAlignment="1" applyBorder="1" applyFill="1" applyFont="1">
      <alignment horizontal="center" shrinkToFit="0" wrapText="1"/>
    </xf>
    <xf borderId="9" fillId="20" fontId="13" numFmtId="0" xfId="0" applyAlignment="1" applyBorder="1" applyFont="1">
      <alignment horizontal="center" readingOrder="0" shrinkToFit="0" vertical="center" wrapText="1"/>
    </xf>
    <xf borderId="10" fillId="0" fontId="13" numFmtId="0" xfId="0" applyAlignment="1" applyBorder="1" applyFont="1">
      <alignment horizontal="center" readingOrder="0" shrinkToFit="0" vertical="center" wrapText="1"/>
    </xf>
    <xf borderId="9" fillId="0" fontId="13" numFmtId="0" xfId="0" applyAlignment="1" applyBorder="1" applyFont="1">
      <alignment horizontal="center" shrinkToFit="0" vertical="center" wrapText="1"/>
    </xf>
    <xf borderId="1" fillId="21" fontId="12" numFmtId="0" xfId="0" applyAlignment="1" applyBorder="1" applyFill="1" applyFont="1">
      <alignment horizontal="center" readingOrder="0" shrinkToFit="0" vertical="center" wrapText="1"/>
    </xf>
    <xf borderId="1" fillId="21"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12" numFmtId="0" xfId="0" applyAlignment="1" applyBorder="1" applyFont="1">
      <alignment horizontal="center" readingOrder="0" vertical="center"/>
    </xf>
    <xf borderId="1" fillId="0" fontId="12" numFmtId="1" xfId="0" applyAlignment="1" applyBorder="1" applyFont="1" applyNumberFormat="1">
      <alignment horizontal="center" readingOrder="0" vertical="center"/>
    </xf>
    <xf borderId="1" fillId="16" fontId="13" numFmtId="0" xfId="0" applyAlignment="1" applyBorder="1" applyFont="1">
      <alignment horizontal="center" readingOrder="0" vertical="center"/>
    </xf>
    <xf borderId="1" fillId="12" fontId="13" numFmtId="0" xfId="0" applyAlignment="1" applyBorder="1" applyFont="1">
      <alignment horizontal="center" readingOrder="0" shrinkToFit="0" vertical="center" wrapText="1"/>
    </xf>
    <xf borderId="1" fillId="14" fontId="13" numFmtId="0" xfId="0" applyAlignment="1" applyBorder="1" applyFont="1">
      <alignment horizontal="center" readingOrder="0" vertical="center"/>
    </xf>
    <xf borderId="1" fillId="17" fontId="13" numFmtId="0" xfId="0" applyAlignment="1" applyBorder="1" applyFont="1">
      <alignment horizontal="center" readingOrder="0" vertical="center"/>
    </xf>
    <xf borderId="1" fillId="13" fontId="13" numFmtId="0" xfId="0" applyAlignment="1" applyBorder="1" applyFont="1">
      <alignment horizontal="center" readingOrder="0" vertical="center"/>
    </xf>
    <xf borderId="1" fillId="18" fontId="13" numFmtId="0" xfId="0" applyAlignment="1" applyBorder="1" applyFont="1">
      <alignment horizontal="center" readingOrder="0" vertical="center"/>
    </xf>
    <xf borderId="1" fillId="19" fontId="13" numFmtId="0" xfId="0" applyAlignment="1" applyBorder="1" applyFont="1">
      <alignment horizontal="center" readingOrder="0" shrinkToFit="0" vertical="center" wrapText="0"/>
    </xf>
    <xf borderId="1" fillId="19" fontId="13" numFmtId="0" xfId="0" applyAlignment="1" applyBorder="1" applyFont="1">
      <alignment horizontal="center" readingOrder="0" shrinkToFit="0" vertical="center" wrapText="1"/>
    </xf>
    <xf borderId="1" fillId="20" fontId="13"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21" fontId="13" numFmtId="0" xfId="0" applyAlignment="1" applyBorder="1" applyFont="1">
      <alignment horizontal="center" readingOrder="0" vertical="center"/>
    </xf>
    <xf borderId="1" fillId="0" fontId="12" numFmtId="0" xfId="0" applyAlignment="1" applyBorder="1" applyFont="1">
      <alignment horizontal="center" readingOrder="0" shrinkToFit="0" vertical="center" wrapText="1"/>
    </xf>
    <xf borderId="1" fillId="0" fontId="12" numFmtId="0" xfId="0" applyAlignment="1" applyBorder="1" applyFont="1">
      <alignment readingOrder="0"/>
    </xf>
    <xf borderId="1" fillId="0" fontId="12" numFmtId="0" xfId="0" applyAlignment="1" applyBorder="1" applyFont="1">
      <alignment horizontal="center" readingOrder="0" vertical="bottom"/>
    </xf>
    <xf borderId="1" fillId="0" fontId="12" numFmtId="0" xfId="0" applyAlignment="1" applyBorder="1" applyFont="1">
      <alignment readingOrder="0" vertical="bottom"/>
    </xf>
    <xf borderId="1" fillId="0" fontId="12" numFmtId="0" xfId="0" applyAlignment="1" applyBorder="1" applyFont="1">
      <alignment horizontal="center" vertical="bottom"/>
    </xf>
    <xf borderId="1" fillId="2" fontId="12" numFmtId="0" xfId="0" applyBorder="1" applyFont="1"/>
    <xf borderId="1" fillId="0" fontId="12" numFmtId="0" xfId="0" applyAlignment="1" applyBorder="1" applyFont="1">
      <alignment horizontal="center" readingOrder="0"/>
    </xf>
    <xf borderId="1" fillId="0" fontId="12" numFmtId="0" xfId="0" applyAlignment="1" applyBorder="1" applyFont="1">
      <alignment vertical="bottom"/>
    </xf>
    <xf borderId="1" fillId="0" fontId="12" numFmtId="0" xfId="0" applyAlignment="1" applyBorder="1" applyFont="1">
      <alignment vertical="bottom"/>
    </xf>
    <xf borderId="1" fillId="0" fontId="12" numFmtId="0" xfId="0" applyAlignment="1" applyBorder="1" applyFont="1">
      <alignment horizontal="center" vertical="center"/>
    </xf>
    <xf borderId="1" fillId="2" fontId="12" numFmtId="0" xfId="0" applyAlignment="1" applyBorder="1" applyFont="1">
      <alignment readingOrder="0" vertical="center"/>
    </xf>
    <xf borderId="1" fillId="5" fontId="12" numFmtId="0" xfId="0" applyAlignment="1" applyBorder="1" applyFont="1">
      <alignment horizontal="center" readingOrder="0" shrinkToFit="0" vertical="center" wrapText="1"/>
    </xf>
    <xf borderId="1" fillId="0" fontId="14" numFmtId="0" xfId="0" applyAlignment="1" applyBorder="1" applyFont="1">
      <alignment readingOrder="0"/>
    </xf>
    <xf borderId="1" fillId="0" fontId="12" numFmtId="0" xfId="0" applyAlignment="1" applyBorder="1" applyFont="1">
      <alignment horizontal="center" shrinkToFit="0" vertical="center" wrapText="1"/>
    </xf>
    <xf borderId="1" fillId="0" fontId="12" numFmtId="1" xfId="0" applyAlignment="1" applyBorder="1" applyFont="1" applyNumberFormat="1">
      <alignment horizontal="center" readingOrder="0"/>
    </xf>
    <xf borderId="1" fillId="5" fontId="12" numFmtId="0" xfId="0" applyAlignment="1" applyBorder="1" applyFont="1">
      <alignment horizontal="center" readingOrder="0" vertical="center"/>
    </xf>
    <xf borderId="1" fillId="0" fontId="12" numFmtId="0" xfId="0" applyAlignment="1" applyBorder="1" applyFont="1">
      <alignment horizontal="center" readingOrder="0" shrinkToFit="0" vertical="bottom" wrapText="0"/>
    </xf>
    <xf borderId="1" fillId="0" fontId="0" numFmtId="0" xfId="0" applyAlignment="1" applyBorder="1" applyFont="1">
      <alignment horizontal="left" readingOrder="0" shrinkToFit="0" wrapText="0"/>
    </xf>
    <xf borderId="1" fillId="0" fontId="12" numFmtId="0" xfId="0" applyAlignment="1" applyBorder="1" applyFont="1">
      <alignment horizontal="center" readingOrder="0" shrinkToFit="0" wrapText="1"/>
    </xf>
    <xf borderId="1" fillId="0" fontId="12" numFmtId="1" xfId="0" applyAlignment="1" applyBorder="1" applyFont="1" applyNumberFormat="1">
      <alignment horizontal="center" readingOrder="0" vertical="bottom"/>
    </xf>
    <xf borderId="1" fillId="0" fontId="12" numFmtId="0" xfId="0" applyAlignment="1" applyBorder="1" applyFont="1">
      <alignment horizontal="center"/>
    </xf>
    <xf borderId="1" fillId="22" fontId="0" numFmtId="0" xfId="0" applyAlignment="1" applyBorder="1" applyFill="1" applyFont="1">
      <alignment horizontal="center" readingOrder="0" vertical="center"/>
    </xf>
    <xf borderId="1" fillId="0" fontId="15" numFmtId="0" xfId="0" applyAlignment="1" applyBorder="1" applyFont="1">
      <alignment horizontal="center" readingOrder="0" vertical="center"/>
    </xf>
    <xf borderId="1" fillId="0" fontId="15" numFmtId="0" xfId="0" applyAlignment="1" applyBorder="1" applyFont="1">
      <alignment horizontal="center" vertical="bottom"/>
    </xf>
    <xf borderId="1" fillId="2" fontId="12" numFmtId="0" xfId="0" applyAlignment="1" applyBorder="1" applyFont="1">
      <alignment horizontal="center" readingOrder="0" vertical="bottom"/>
    </xf>
    <xf borderId="1" fillId="12" fontId="12" numFmtId="0" xfId="0" applyAlignment="1" applyBorder="1" applyFont="1">
      <alignment horizontal="center" readingOrder="0" vertical="center"/>
    </xf>
    <xf borderId="1" fillId="12" fontId="12" numFmtId="1" xfId="0" applyAlignment="1" applyBorder="1" applyFont="1" applyNumberFormat="1">
      <alignment horizontal="center" readingOrder="0" vertical="center"/>
    </xf>
    <xf borderId="1" fillId="12" fontId="12" numFmtId="0" xfId="0" applyAlignment="1" applyBorder="1" applyFont="1">
      <alignment readingOrder="0" vertical="center"/>
    </xf>
    <xf borderId="1" fillId="12" fontId="12" numFmtId="0" xfId="0" applyAlignment="1" applyBorder="1" applyFont="1">
      <alignment horizontal="center" readingOrder="0" shrinkToFit="0" vertical="center" wrapText="1"/>
    </xf>
    <xf borderId="1" fillId="12" fontId="12" numFmtId="0" xfId="0" applyAlignment="1" applyBorder="1" applyFont="1">
      <alignment readingOrder="0"/>
    </xf>
    <xf borderId="1" fillId="12" fontId="12" numFmtId="0" xfId="0" applyAlignment="1" applyBorder="1" applyFont="1">
      <alignment horizontal="center" readingOrder="0" vertical="bottom"/>
    </xf>
    <xf borderId="1" fillId="12" fontId="12" numFmtId="0" xfId="0" applyAlignment="1" applyBorder="1" applyFont="1">
      <alignment vertical="bottom"/>
    </xf>
    <xf borderId="1" fillId="12" fontId="12" numFmtId="0" xfId="0" applyAlignment="1" applyBorder="1" applyFont="1">
      <alignment horizontal="center" vertical="bottom"/>
    </xf>
    <xf borderId="1" fillId="12" fontId="12" numFmtId="0" xfId="0" applyAlignment="1" applyBorder="1" applyFont="1">
      <alignment vertical="bottom"/>
    </xf>
    <xf borderId="1" fillId="12" fontId="12" numFmtId="0" xfId="0" applyAlignment="1" applyBorder="1" applyFont="1">
      <alignment horizontal="center" vertical="center"/>
    </xf>
    <xf borderId="1" fillId="12" fontId="12" numFmtId="0" xfId="0" applyBorder="1" applyFont="1"/>
    <xf borderId="1" fillId="5" fontId="12" numFmtId="0" xfId="0" applyAlignment="1" applyBorder="1" applyFont="1">
      <alignment readingOrder="0" vertical="center"/>
    </xf>
    <xf borderId="1" fillId="0" fontId="12" numFmtId="1" xfId="0" applyAlignment="1" applyBorder="1" applyFont="1" applyNumberFormat="1">
      <alignment readingOrder="0" vertical="bottom"/>
    </xf>
    <xf borderId="1" fillId="5" fontId="15" numFmtId="0" xfId="0" applyAlignment="1" applyBorder="1" applyFont="1">
      <alignment horizontal="center" vertical="bottom"/>
    </xf>
    <xf borderId="1" fillId="0" fontId="12" numFmtId="0" xfId="0" applyAlignment="1" applyBorder="1" applyFont="1">
      <alignment horizontal="left" readingOrder="0" vertical="center"/>
    </xf>
    <xf borderId="1" fillId="8" fontId="12" numFmtId="0" xfId="0" applyAlignment="1" applyBorder="1" applyFont="1">
      <alignment horizontal="center" readingOrder="0" vertical="center"/>
    </xf>
    <xf borderId="1" fillId="2" fontId="12" numFmtId="0" xfId="0" applyAlignment="1" applyBorder="1" applyFont="1">
      <alignment shrinkToFit="0" wrapText="1"/>
    </xf>
    <xf borderId="1" fillId="5" fontId="12" numFmtId="0" xfId="0" applyAlignment="1" applyBorder="1" applyFont="1">
      <alignment horizontal="center" readingOrder="0"/>
    </xf>
    <xf borderId="1" fillId="5" fontId="12" numFmtId="0" xfId="0" applyAlignment="1" applyBorder="1" applyFont="1">
      <alignment horizontal="center" readingOrder="0" vertical="bottom"/>
    </xf>
    <xf borderId="1" fillId="0" fontId="12" numFmtId="0" xfId="0" applyAlignment="1" applyBorder="1" applyFont="1">
      <alignment horizontal="right" readingOrder="0" vertical="bottom"/>
    </xf>
    <xf borderId="1" fillId="2" fontId="12" numFmtId="0" xfId="0" applyAlignment="1" applyBorder="1" applyFont="1">
      <alignment horizontal="center" vertical="bottom"/>
    </xf>
    <xf borderId="1" fillId="5" fontId="12" numFmtId="0" xfId="0" applyAlignment="1" applyBorder="1" applyFont="1">
      <alignment readingOrder="0" vertical="bottom"/>
    </xf>
    <xf borderId="1" fillId="6" fontId="12" numFmtId="0" xfId="0" applyAlignment="1" applyBorder="1" applyFont="1">
      <alignment horizontal="center" readingOrder="0" shrinkToFit="0" vertical="center" wrapText="1"/>
    </xf>
    <xf borderId="0" fillId="6" fontId="12" numFmtId="0" xfId="0" applyAlignment="1" applyFont="1">
      <alignment horizontal="center" readingOrder="0"/>
    </xf>
    <xf borderId="1" fillId="6" fontId="12" numFmtId="0" xfId="0" applyAlignment="1" applyBorder="1" applyFont="1">
      <alignment horizontal="center" readingOrder="0"/>
    </xf>
    <xf borderId="1" fillId="6" fontId="12" numFmtId="0" xfId="0" applyAlignment="1" applyBorder="1" applyFont="1">
      <alignment horizontal="center" vertical="bottom"/>
    </xf>
    <xf borderId="1" fillId="5" fontId="12" numFmtId="0" xfId="0" applyAlignment="1" applyBorder="1" applyFont="1">
      <alignment horizontal="center" readingOrder="0" shrinkToFit="0" wrapText="1"/>
    </xf>
    <xf borderId="1" fillId="5" fontId="12" numFmtId="0" xfId="0" applyAlignment="1" applyBorder="1" applyFont="1">
      <alignment readingOrder="0"/>
    </xf>
    <xf borderId="1" fillId="5" fontId="12" numFmtId="0" xfId="0" applyAlignment="1" applyBorder="1" applyFont="1">
      <alignment vertical="bottom"/>
    </xf>
    <xf borderId="1" fillId="5" fontId="12" numFmtId="0" xfId="0" applyAlignment="1" applyBorder="1" applyFont="1">
      <alignment horizontal="center"/>
    </xf>
    <xf borderId="1" fillId="5" fontId="12" numFmtId="0" xfId="0" applyAlignment="1" applyBorder="1" applyFont="1">
      <alignment horizontal="center" vertical="bottom"/>
    </xf>
    <xf borderId="1" fillId="5" fontId="12" numFmtId="0" xfId="0" applyAlignment="1" applyBorder="1" applyFont="1">
      <alignment horizontal="center" vertical="center"/>
    </xf>
    <xf borderId="1" fillId="5" fontId="12" numFmtId="0" xfId="0" applyBorder="1" applyFont="1"/>
    <xf borderId="1" fillId="6" fontId="12" numFmtId="0" xfId="0" applyAlignment="1" applyBorder="1" applyFont="1">
      <alignment horizontal="center" readingOrder="0" shrinkToFit="0" wrapText="1"/>
    </xf>
    <xf borderId="0" fillId="6" fontId="12" numFmtId="0" xfId="0" applyAlignment="1" applyFont="1">
      <alignment horizontal="center" readingOrder="0" vertical="bottom"/>
    </xf>
    <xf borderId="1" fillId="2" fontId="12" numFmtId="0" xfId="0" applyAlignment="1" applyBorder="1" applyFont="1">
      <alignment horizontal="center" readingOrder="0" shrinkToFit="0" vertical="center" wrapText="1"/>
    </xf>
    <xf borderId="1" fillId="6" fontId="12" numFmtId="0" xfId="0" applyAlignment="1" applyBorder="1" applyFont="1">
      <alignment horizontal="center" shrinkToFit="0" vertical="center" wrapText="1"/>
    </xf>
    <xf borderId="1" fillId="2" fontId="12" numFmtId="0" xfId="0" applyAlignment="1" applyBorder="1" applyFont="1">
      <alignment horizontal="center" readingOrder="0"/>
    </xf>
    <xf borderId="1" fillId="0" fontId="14" numFmtId="0" xfId="0" applyAlignment="1" applyBorder="1" applyFont="1">
      <alignment readingOrder="0" vertical="bottom"/>
    </xf>
    <xf borderId="1" fillId="0" fontId="14" numFmtId="0" xfId="0" applyAlignment="1" applyBorder="1" applyFont="1">
      <alignment horizontal="right" readingOrder="0"/>
    </xf>
    <xf borderId="1" fillId="0" fontId="14" numFmtId="0" xfId="0" applyAlignment="1" applyBorder="1" applyFont="1">
      <alignment readingOrder="0" vertical="center"/>
    </xf>
    <xf borderId="1" fillId="5" fontId="14" numFmtId="0" xfId="0" applyAlignment="1" applyBorder="1" applyFont="1">
      <alignment readingOrder="0"/>
    </xf>
    <xf borderId="0" fillId="2" fontId="12" numFmtId="0" xfId="0" applyAlignment="1" applyFont="1">
      <alignment horizontal="center" readingOrder="0" vertical="bottom"/>
    </xf>
    <xf borderId="6" fillId="0" fontId="14" numFmtId="0" xfId="0" applyAlignment="1" applyBorder="1" applyFont="1">
      <alignment horizontal="right" readingOrder="0" vertical="bottom"/>
    </xf>
    <xf borderId="1" fillId="0" fontId="12" numFmtId="0" xfId="0" applyAlignment="1" applyBorder="1" applyFont="1">
      <alignment horizontal="center" readingOrder="0" shrinkToFit="0" vertical="bottom" wrapText="1"/>
    </xf>
    <xf borderId="1" fillId="2" fontId="12" numFmtId="0" xfId="0" applyAlignment="1" applyBorder="1" applyFont="1">
      <alignment horizontal="center" readingOrder="0" shrinkToFit="0" vertical="bottom" wrapText="1"/>
    </xf>
    <xf borderId="1" fillId="2" fontId="12" numFmtId="0" xfId="0" applyAlignment="1" applyBorder="1" applyFont="1">
      <alignment readingOrder="0"/>
    </xf>
    <xf borderId="1" fillId="2" fontId="12" numFmtId="0" xfId="0" applyAlignment="1" applyBorder="1" applyFont="1">
      <alignment horizontal="center" readingOrder="0" vertical="center"/>
    </xf>
    <xf borderId="1" fillId="2" fontId="12" numFmtId="0" xfId="0" applyAlignment="1" applyBorder="1" applyFont="1">
      <alignment vertical="bottom"/>
    </xf>
    <xf borderId="1" fillId="2" fontId="12" numFmtId="0" xfId="0" applyAlignment="1" applyBorder="1" applyFont="1">
      <alignment horizontal="center"/>
    </xf>
    <xf borderId="1" fillId="2" fontId="12" numFmtId="0" xfId="0" applyAlignment="1" applyBorder="1" applyFont="1">
      <alignment horizontal="center" vertical="center"/>
    </xf>
    <xf borderId="1" fillId="14" fontId="12" numFmtId="0" xfId="0" applyAlignment="1" applyBorder="1" applyFont="1">
      <alignment horizontal="center" vertical="bottom"/>
    </xf>
    <xf borderId="1" fillId="14" fontId="12" numFmtId="0" xfId="0" applyAlignment="1" applyBorder="1" applyFont="1">
      <alignment horizontal="center" shrinkToFit="0" vertical="bottom" wrapText="1"/>
    </xf>
    <xf borderId="1" fillId="14" fontId="12" numFmtId="0" xfId="0" applyAlignment="1" applyBorder="1" applyFont="1">
      <alignment horizontal="right" vertical="bottom"/>
    </xf>
    <xf borderId="1" fillId="14" fontId="12" numFmtId="0" xfId="0" applyAlignment="1" applyBorder="1" applyFont="1">
      <alignment vertical="bottom"/>
    </xf>
    <xf borderId="0" fillId="5" fontId="12" numFmtId="0" xfId="0" applyAlignment="1" applyFont="1">
      <alignment horizontal="center" vertical="bottom"/>
    </xf>
    <xf borderId="0" fillId="5" fontId="12" numFmtId="1" xfId="0" applyAlignment="1" applyFont="1" applyNumberFormat="1">
      <alignment horizontal="center" vertical="bottom"/>
    </xf>
    <xf borderId="1" fillId="5" fontId="12" numFmtId="1" xfId="0" applyAlignment="1" applyBorder="1" applyFont="1" applyNumberFormat="1">
      <alignment shrinkToFit="0" vertical="bottom" wrapText="1"/>
    </xf>
    <xf borderId="1" fillId="5" fontId="14" numFmtId="0" xfId="0" applyAlignment="1" applyBorder="1" applyFont="1">
      <alignment horizontal="right" readingOrder="0" vertical="bottom"/>
    </xf>
    <xf borderId="0" fillId="5" fontId="16" numFmtId="0" xfId="0" applyAlignment="1" applyFont="1">
      <alignment readingOrder="0" shrinkToFit="0" wrapText="0"/>
    </xf>
    <xf borderId="1" fillId="5" fontId="6" numFmtId="0" xfId="0" applyAlignment="1" applyBorder="1" applyFont="1">
      <alignment horizontal="center" vertical="bottom"/>
    </xf>
    <xf borderId="1" fillId="5" fontId="6" numFmtId="1" xfId="0" applyAlignment="1" applyBorder="1" applyFont="1" applyNumberFormat="1">
      <alignment horizontal="center" vertical="bottom"/>
    </xf>
    <xf borderId="1" fillId="5" fontId="6" numFmtId="1" xfId="0" applyAlignment="1" applyBorder="1" applyFont="1" applyNumberFormat="1">
      <alignment vertical="bottom"/>
    </xf>
    <xf borderId="1" fillId="0" fontId="12" numFmtId="0" xfId="0" applyBorder="1" applyFont="1"/>
    <xf borderId="1" fillId="5" fontId="6" numFmtId="0" xfId="0" applyAlignment="1" applyBorder="1" applyFont="1">
      <alignment horizontal="center" readingOrder="0" vertical="bottom"/>
    </xf>
    <xf borderId="1" fillId="5" fontId="6" numFmtId="1" xfId="0" applyAlignment="1" applyBorder="1" applyFont="1" applyNumberFormat="1">
      <alignment horizontal="center" readingOrder="0" vertical="bottom"/>
    </xf>
    <xf borderId="0" fillId="5" fontId="6" numFmtId="0" xfId="0" applyAlignment="1" applyFont="1">
      <alignment horizontal="center" readingOrder="0" vertical="bottom"/>
    </xf>
    <xf borderId="0" fillId="5" fontId="6" numFmtId="1" xfId="0" applyAlignment="1" applyFont="1" applyNumberFormat="1">
      <alignment horizontal="center" readingOrder="0" vertical="bottom"/>
    </xf>
    <xf borderId="0" fillId="5" fontId="6" numFmtId="1" xfId="0" applyAlignment="1" applyFont="1" applyNumberFormat="1">
      <alignment readingOrder="0" vertical="bottom"/>
    </xf>
    <xf borderId="0" fillId="0" fontId="12" numFmtId="0" xfId="0" applyAlignment="1" applyFont="1">
      <alignment readingOrder="0"/>
    </xf>
    <xf borderId="0" fillId="0" fontId="1" numFmtId="0" xfId="0" applyAlignment="1" applyFont="1">
      <alignment horizontal="center" readingOrder="0"/>
    </xf>
    <xf borderId="0" fillId="0" fontId="12" numFmtId="0" xfId="0" applyAlignment="1" applyFont="1">
      <alignment horizontal="center" readingOrder="0" vertical="center"/>
    </xf>
    <xf borderId="0" fillId="0" fontId="12" numFmtId="0" xfId="0" applyAlignment="1" applyFont="1">
      <alignment vertical="bottom"/>
    </xf>
    <xf borderId="0" fillId="0" fontId="12" numFmtId="0" xfId="0" applyAlignment="1" applyFont="1">
      <alignment horizontal="center" readingOrder="0"/>
    </xf>
    <xf borderId="0" fillId="0" fontId="12" numFmtId="0" xfId="0" applyFont="1"/>
    <xf borderId="0" fillId="0" fontId="12" numFmtId="0" xfId="0" applyAlignment="1" applyFont="1">
      <alignment horizontal="center"/>
    </xf>
    <xf borderId="0" fillId="0" fontId="12" numFmtId="0" xfId="0" applyAlignment="1" applyFont="1">
      <alignment horizontal="center" vertical="center"/>
    </xf>
    <xf borderId="0" fillId="2" fontId="12" numFmtId="0" xfId="0" applyFont="1"/>
    <xf borderId="1" fillId="0" fontId="6" numFmtId="0" xfId="0" applyAlignment="1" applyBorder="1" applyFont="1">
      <alignment horizontal="center" vertical="bottom"/>
    </xf>
    <xf borderId="1" fillId="0" fontId="6" numFmtId="1" xfId="0" applyAlignment="1" applyBorder="1" applyFont="1" applyNumberFormat="1">
      <alignment horizontal="center" vertical="bottom"/>
    </xf>
    <xf borderId="1" fillId="0" fontId="6" numFmtId="1" xfId="0" applyAlignment="1" applyBorder="1" applyFont="1" applyNumberFormat="1">
      <alignment vertical="bottom"/>
    </xf>
    <xf borderId="1" fillId="0" fontId="6" numFmtId="0" xfId="0" applyAlignment="1" applyBorder="1" applyFont="1">
      <alignment horizontal="center" shrinkToFit="0" vertical="bottom" wrapText="1"/>
    </xf>
    <xf borderId="1" fillId="0" fontId="6" numFmtId="0" xfId="0" applyAlignment="1" applyBorder="1" applyFont="1">
      <alignment horizontal="right" vertical="bottom"/>
    </xf>
    <xf borderId="1" fillId="0" fontId="6" numFmtId="0" xfId="0" applyAlignment="1" applyBorder="1" applyFont="1">
      <alignment horizontal="center" readingOrder="0" vertical="bottom"/>
    </xf>
    <xf borderId="1" fillId="0" fontId="6" numFmtId="0" xfId="0" applyAlignment="1" applyBorder="1" applyFont="1">
      <alignment vertical="bottom"/>
    </xf>
    <xf borderId="1" fillId="0" fontId="6" numFmtId="0" xfId="0" applyAlignment="1" applyBorder="1" applyFont="1">
      <alignment vertical="bottom"/>
    </xf>
    <xf borderId="1" fillId="0" fontId="6" numFmtId="0" xfId="0" applyAlignment="1" applyBorder="1" applyFont="1">
      <alignment horizontal="center" vertical="bottom"/>
    </xf>
    <xf borderId="1" fillId="2" fontId="6" numFmtId="0" xfId="0" applyAlignment="1" applyBorder="1" applyFont="1">
      <alignment vertical="bottom"/>
    </xf>
    <xf borderId="0" fillId="23" fontId="1" numFmtId="0" xfId="0" applyAlignment="1" applyFill="1" applyFont="1">
      <alignment readingOrder="0"/>
    </xf>
    <xf borderId="0" fillId="2" fontId="1" numFmtId="0" xfId="0" applyFont="1"/>
    <xf borderId="0" fillId="2" fontId="1" numFmtId="0" xfId="0" applyAlignment="1" applyFont="1">
      <alignment readingOrder="0"/>
    </xf>
    <xf borderId="0" fillId="5" fontId="1" numFmtId="0" xfId="0" applyFont="1"/>
    <xf borderId="0" fillId="5" fontId="1" numFmtId="0" xfId="0" applyAlignment="1" applyFont="1">
      <alignment readingOrder="0"/>
    </xf>
    <xf borderId="1" fillId="2" fontId="12" numFmtId="1" xfId="0" applyAlignment="1" applyBorder="1" applyFont="1" applyNumberFormat="1">
      <alignment horizontal="center" readingOrder="0" vertical="center"/>
    </xf>
    <xf borderId="0" fillId="2" fontId="1" numFmtId="0" xfId="0" applyAlignment="1" applyFont="1">
      <alignment horizontal="center"/>
    </xf>
    <xf borderId="0" fillId="21" fontId="1" numFmtId="0" xfId="0" applyAlignment="1" applyFont="1">
      <alignment horizontal="center"/>
    </xf>
    <xf borderId="1" fillId="24" fontId="10" numFmtId="0" xfId="0" applyAlignment="1" applyBorder="1" applyFill="1" applyFont="1">
      <alignment horizontal="center" readingOrder="0" vertical="center"/>
    </xf>
    <xf borderId="1" fillId="8" fontId="10" numFmtId="0" xfId="0" applyAlignment="1" applyBorder="1" applyFont="1">
      <alignment horizontal="center" readingOrder="0" vertical="center"/>
    </xf>
    <xf borderId="7" fillId="8" fontId="10" numFmtId="0" xfId="0" applyAlignment="1" applyBorder="1" applyFont="1">
      <alignment horizontal="center"/>
    </xf>
    <xf borderId="1" fillId="2" fontId="10" numFmtId="0" xfId="0" applyAlignment="1" applyBorder="1" applyFont="1">
      <alignment horizontal="center" readingOrder="0" vertical="center"/>
    </xf>
    <xf borderId="1" fillId="0" fontId="10" numFmtId="0" xfId="0" applyAlignment="1" applyBorder="1" applyFont="1">
      <alignment horizontal="center" readingOrder="0" vertical="center"/>
    </xf>
    <xf borderId="1" fillId="2" fontId="17" numFmtId="1" xfId="0" applyAlignment="1" applyBorder="1" applyFont="1" applyNumberFormat="1">
      <alignment horizontal="center" vertical="bottom"/>
    </xf>
    <xf borderId="1" fillId="25" fontId="10" numFmtId="0" xfId="0" applyAlignment="1" applyBorder="1" applyFill="1" applyFont="1">
      <alignment horizontal="center" readingOrder="0" vertical="center"/>
    </xf>
    <xf borderId="1" fillId="2" fontId="17" numFmtId="1" xfId="0" applyAlignment="1" applyBorder="1" applyFont="1" applyNumberFormat="1">
      <alignment horizontal="center"/>
    </xf>
    <xf borderId="1" fillId="0" fontId="13" numFmtId="49" xfId="0" applyAlignment="1" applyBorder="1" applyFont="1" applyNumberFormat="1">
      <alignment horizontal="center" readingOrder="0" shrinkToFit="0" vertical="center" wrapText="1"/>
    </xf>
    <xf borderId="0" fillId="21" fontId="13" numFmtId="49" xfId="0" applyAlignment="1" applyFont="1" applyNumberFormat="1">
      <alignment horizontal="center" readingOrder="0" shrinkToFit="0" vertical="center" wrapText="1"/>
    </xf>
    <xf borderId="0" fillId="21" fontId="13" numFmtId="1" xfId="0" applyAlignment="1" applyFont="1" applyNumberFormat="1">
      <alignment horizontal="center" readingOrder="0" shrinkToFit="0" vertical="center" wrapText="1"/>
    </xf>
    <xf borderId="0" fillId="21" fontId="13" numFmtId="164" xfId="0" applyAlignment="1" applyFont="1" applyNumberFormat="1">
      <alignment horizontal="center" readingOrder="0" shrinkToFit="0" vertical="center" wrapText="1"/>
    </xf>
    <xf borderId="0" fillId="2" fontId="13" numFmtId="0" xfId="0" applyAlignment="1" applyFont="1">
      <alignment horizontal="center" readingOrder="0" shrinkToFit="0" vertical="center" wrapText="1"/>
    </xf>
    <xf borderId="0" fillId="2" fontId="13" numFmtId="1" xfId="0" applyAlignment="1" applyFont="1" applyNumberFormat="1">
      <alignment horizontal="center" readingOrder="0" shrinkToFit="0" vertical="center" wrapText="1"/>
    </xf>
    <xf borderId="1" fillId="5" fontId="12" numFmtId="49" xfId="0" applyAlignment="1" applyBorder="1" applyFont="1" applyNumberFormat="1">
      <alignment readingOrder="0" vertical="center"/>
    </xf>
    <xf borderId="1" fillId="21" fontId="12" numFmtId="49" xfId="0" applyAlignment="1" applyBorder="1" applyFont="1" applyNumberFormat="1">
      <alignment readingOrder="0" vertical="center"/>
    </xf>
    <xf borderId="1" fillId="21" fontId="0" numFmtId="1" xfId="0" applyAlignment="1" applyBorder="1" applyFont="1" applyNumberFormat="1">
      <alignment horizontal="center" readingOrder="0" vertical="center"/>
    </xf>
    <xf borderId="1" fillId="21" fontId="0" numFmtId="164" xfId="0" applyAlignment="1" applyBorder="1" applyFont="1" applyNumberFormat="1">
      <alignment horizontal="center" readingOrder="0" vertical="center"/>
    </xf>
    <xf borderId="1" fillId="2" fontId="18" numFmtId="1" xfId="0" applyAlignment="1" applyBorder="1" applyFont="1" applyNumberFormat="1">
      <alignment horizontal="center" vertical="center"/>
    </xf>
    <xf borderId="1" fillId="2" fontId="0" numFmtId="1" xfId="0" applyAlignment="1" applyBorder="1" applyFont="1" applyNumberFormat="1">
      <alignment horizontal="center" readingOrder="0" vertical="center"/>
    </xf>
    <xf borderId="1" fillId="2" fontId="12" numFmtId="49" xfId="0" applyAlignment="1" applyBorder="1" applyFont="1" applyNumberFormat="1">
      <alignment readingOrder="0" vertical="center"/>
    </xf>
    <xf borderId="1" fillId="2" fontId="12" numFmtId="49" xfId="0" applyAlignment="1" applyBorder="1" applyFont="1" applyNumberFormat="1">
      <alignment readingOrder="0" shrinkToFit="0" vertical="center" wrapText="1"/>
    </xf>
    <xf borderId="1" fillId="21" fontId="12" numFmtId="49" xfId="0" applyAlignment="1" applyBorder="1" applyFont="1" applyNumberFormat="1">
      <alignment readingOrder="0" shrinkToFit="0" vertical="center" wrapText="1"/>
    </xf>
    <xf borderId="1" fillId="2" fontId="12" numFmtId="49" xfId="0" applyAlignment="1" applyBorder="1" applyFont="1" applyNumberFormat="1">
      <alignment shrinkToFit="0" vertical="center" wrapText="1"/>
    </xf>
    <xf borderId="1" fillId="21" fontId="12" numFmtId="49" xfId="0" applyAlignment="1" applyBorder="1" applyFont="1" applyNumberFormat="1">
      <alignment shrinkToFit="0" vertical="center" wrapText="1"/>
    </xf>
    <xf borderId="1" fillId="2" fontId="0" numFmtId="49" xfId="0" applyAlignment="1" applyBorder="1" applyFont="1" applyNumberFormat="1">
      <alignment readingOrder="0"/>
    </xf>
    <xf borderId="1" fillId="21" fontId="0" numFmtId="49" xfId="0" applyAlignment="1" applyBorder="1" applyFont="1" applyNumberFormat="1">
      <alignment readingOrder="0"/>
    </xf>
    <xf borderId="1" fillId="2" fontId="0" numFmtId="49" xfId="0" applyAlignment="1" applyBorder="1" applyFont="1" applyNumberFormat="1">
      <alignment horizontal="left" readingOrder="0"/>
    </xf>
    <xf borderId="1" fillId="21" fontId="0" numFmtId="49" xfId="0" applyAlignment="1" applyBorder="1" applyFont="1" applyNumberFormat="1">
      <alignment horizontal="left" readingOrder="0"/>
    </xf>
    <xf borderId="1" fillId="2" fontId="12" numFmtId="49" xfId="0" applyAlignment="1" applyBorder="1" applyFont="1" applyNumberFormat="1">
      <alignment vertical="center"/>
    </xf>
    <xf borderId="1" fillId="21" fontId="12" numFmtId="49" xfId="0" applyAlignment="1" applyBorder="1" applyFont="1" applyNumberFormat="1">
      <alignment vertical="center"/>
    </xf>
    <xf borderId="1" fillId="20" fontId="12" numFmtId="49" xfId="0" applyAlignment="1" applyBorder="1" applyFont="1" applyNumberFormat="1">
      <alignment readingOrder="0" vertical="center"/>
    </xf>
    <xf borderId="0" fillId="0" fontId="7" numFmtId="0" xfId="0" applyAlignment="1" applyFont="1">
      <alignment readingOrder="0" shrinkToFit="0" vertical="center" wrapText="1"/>
    </xf>
    <xf borderId="0" fillId="21"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2" fontId="19" numFmtId="0" xfId="0" applyAlignment="1" applyFont="1">
      <alignment readingOrder="0"/>
    </xf>
    <xf borderId="0" fillId="2" fontId="1" numFmtId="0" xfId="0" applyAlignment="1" applyFont="1">
      <alignment readingOrder="0" shrinkToFit="0" wrapText="1"/>
    </xf>
    <xf borderId="0" fillId="2" fontId="1" numFmtId="165" xfId="0" applyAlignment="1" applyFont="1" applyNumberFormat="1">
      <alignment horizontal="center" readingOrder="0"/>
    </xf>
    <xf borderId="0" fillId="2" fontId="1" numFmtId="166" xfId="0" applyAlignment="1" applyFont="1" applyNumberFormat="1">
      <alignment horizontal="center" readingOrder="0"/>
    </xf>
    <xf borderId="0" fillId="14" fontId="1" numFmtId="0" xfId="0" applyAlignment="1" applyFont="1">
      <alignment readingOrder="0" shrinkToFit="0" wrapText="1"/>
    </xf>
    <xf borderId="0" fillId="0" fontId="1" numFmtId="165" xfId="0" applyAlignment="1" applyFont="1" applyNumberFormat="1">
      <alignment horizontal="center" readingOrder="0"/>
    </xf>
    <xf borderId="0" fillId="0" fontId="1" numFmtId="0" xfId="0" applyAlignment="1" applyFont="1">
      <alignment readingOrder="0" shrinkToFit="0" wrapText="1"/>
    </xf>
    <xf borderId="0" fillId="0" fontId="1" numFmtId="0" xfId="0" applyAlignment="1" applyFont="1">
      <alignment shrinkToFit="0" wrapText="1"/>
    </xf>
    <xf borderId="1" fillId="0" fontId="17" numFmtId="0" xfId="0" applyAlignment="1" applyBorder="1" applyFont="1">
      <alignment vertical="bottom"/>
    </xf>
    <xf borderId="0" fillId="2" fontId="20" numFmtId="0" xfId="0" applyAlignment="1" applyFont="1">
      <alignment readingOrder="0" shrinkToFit="0" wrapText="1"/>
    </xf>
    <xf borderId="1" fillId="2" fontId="20" numFmtId="0" xfId="0" applyAlignment="1" applyBorder="1" applyFont="1">
      <alignment readingOrder="0" shrinkToFit="0" wrapText="1"/>
    </xf>
    <xf borderId="0" fillId="2" fontId="21" numFmtId="0" xfId="0" applyAlignment="1" applyFont="1">
      <alignment readingOrder="0"/>
    </xf>
    <xf borderId="0" fillId="0" fontId="6" numFmtId="0" xfId="0" applyAlignment="1" applyFont="1">
      <alignment vertical="bottom"/>
    </xf>
    <xf borderId="0" fillId="2" fontId="21" numFmtId="0" xfId="0" applyAlignment="1" applyFont="1">
      <alignment vertical="bottom"/>
    </xf>
    <xf borderId="0" fillId="0" fontId="6" numFmtId="0" xfId="0" applyAlignment="1" applyFont="1">
      <alignment readingOrder="0" vertical="bottom"/>
    </xf>
    <xf borderId="0" fillId="2" fontId="22" numFmtId="0" xfId="0" applyAlignment="1" applyFont="1">
      <alignment readingOrder="0"/>
    </xf>
    <xf borderId="0" fillId="21" fontId="7" numFmtId="0" xfId="0" applyAlignment="1" applyFont="1">
      <alignment horizontal="center" readingOrder="0" vertical="center"/>
    </xf>
    <xf borderId="0" fillId="0" fontId="7" numFmtId="0" xfId="0" applyAlignment="1" applyFont="1">
      <alignment readingOrder="0" vertical="center"/>
    </xf>
    <xf borderId="0" fillId="21" fontId="7" numFmtId="0" xfId="0" applyAlignment="1" applyFont="1">
      <alignment horizontal="center" shrinkToFit="0" vertical="center" wrapText="1"/>
    </xf>
    <xf borderId="0" fillId="21" fontId="1" numFmtId="0" xfId="0" applyAlignment="1" applyFont="1">
      <alignment horizontal="center" readingOrder="0"/>
    </xf>
    <xf borderId="0" fillId="21" fontId="1" numFmtId="0" xfId="0" applyAlignment="1" applyFont="1">
      <alignment horizontal="center" shrinkToFit="0" vertical="center" wrapText="1"/>
    </xf>
    <xf borderId="0" fillId="21" fontId="1" numFmtId="0" xfId="0" applyAlignment="1" applyFont="1">
      <alignment horizontal="center" vertical="center"/>
    </xf>
    <xf borderId="0" fillId="21" fontId="1" numFmtId="0" xfId="0" applyAlignment="1" applyFont="1">
      <alignment horizontal="center" shrinkToFit="0" wrapText="1"/>
    </xf>
    <xf borderId="0" fillId="0" fontId="7" numFmtId="0" xfId="0" applyAlignment="1" applyFont="1">
      <alignment readingOrder="0"/>
    </xf>
    <xf borderId="0" fillId="21" fontId="7" numFmtId="0" xfId="0" applyAlignment="1" applyFont="1">
      <alignment horizontal="center" readingOrder="0"/>
    </xf>
    <xf borderId="1" fillId="2" fontId="12" numFmtId="0" xfId="0" applyAlignment="1" applyBorder="1" applyFont="1">
      <alignment horizontal="left" readingOrder="0" shrinkToFit="0" vertical="center" wrapText="1"/>
    </xf>
    <xf borderId="1" fillId="0" fontId="6" numFmtId="3" xfId="0" applyAlignment="1" applyBorder="1" applyFont="1" applyNumberFormat="1">
      <alignment horizontal="center" readingOrder="0" vertical="bottom"/>
    </xf>
    <xf borderId="1" fillId="21" fontId="1" numFmtId="0" xfId="0" applyAlignment="1" applyBorder="1" applyFont="1">
      <alignment horizontal="center" readingOrder="0"/>
    </xf>
    <xf borderId="1" fillId="2" fontId="6" numFmtId="0" xfId="0" applyAlignment="1" applyBorder="1" applyFont="1">
      <alignment readingOrder="0" vertical="bottom"/>
    </xf>
    <xf borderId="1" fillId="6" fontId="6" numFmtId="0" xfId="0" applyAlignment="1" applyBorder="1" applyFont="1">
      <alignment readingOrder="0" vertical="bottom"/>
    </xf>
    <xf borderId="1" fillId="2" fontId="1" numFmtId="0" xfId="0" applyAlignment="1" applyBorder="1" applyFont="1">
      <alignment horizontal="left" readingOrder="0"/>
    </xf>
    <xf borderId="1" fillId="6" fontId="12" numFmtId="0" xfId="0" applyAlignment="1" applyBorder="1" applyFont="1">
      <alignment horizontal="left" readingOrder="0" shrinkToFit="0" vertical="center" wrapText="1"/>
    </xf>
    <xf borderId="1" fillId="2" fontId="1" numFmtId="0" xfId="0" applyAlignment="1" applyBorder="1" applyFont="1">
      <alignment readingOrder="0"/>
    </xf>
    <xf borderId="1" fillId="0" fontId="12" numFmtId="0" xfId="0" applyAlignment="1" applyBorder="1" applyFont="1">
      <alignment horizontal="left" readingOrder="0" shrinkToFit="0" vertical="center" wrapText="1"/>
    </xf>
    <xf borderId="1" fillId="0" fontId="6" numFmtId="0" xfId="0" applyAlignment="1" applyBorder="1" applyFont="1">
      <alignment horizontal="left" readingOrder="0"/>
    </xf>
    <xf borderId="1" fillId="0" fontId="6" numFmtId="0" xfId="0" applyAlignment="1" applyBorder="1" applyFont="1">
      <alignment readingOrder="0" vertical="bottom"/>
    </xf>
    <xf borderId="1" fillId="2" fontId="12" numFmtId="0" xfId="0" applyAlignment="1" applyBorder="1" applyFont="1">
      <alignment horizontal="left" shrinkToFit="0" vertical="center" wrapText="1"/>
    </xf>
    <xf borderId="1" fillId="2"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 fillId="2" fontId="6" numFmtId="3" xfId="0" applyAlignment="1" applyBorder="1" applyFont="1" applyNumberFormat="1">
      <alignment horizontal="center" readingOrder="0" vertical="bottom"/>
    </xf>
    <xf borderId="1" fillId="5" fontId="6" numFmtId="3" xfId="0" applyAlignment="1" applyBorder="1" applyFont="1" applyNumberFormat="1">
      <alignment horizontal="center" readingOrder="0" vertical="bottom"/>
    </xf>
    <xf borderId="1" fillId="5" fontId="12" numFmtId="0" xfId="0" applyAlignment="1" applyBorder="1" applyFont="1">
      <alignment horizontal="left" readingOrder="0" shrinkToFit="0" vertical="center" wrapText="1"/>
    </xf>
    <xf borderId="1" fillId="21" fontId="1" numFmtId="0" xfId="0" applyAlignment="1" applyBorder="1" applyFont="1">
      <alignment horizontal="center"/>
    </xf>
    <xf borderId="0" fillId="2" fontId="23" numFmtId="0" xfId="0" applyAlignment="1" applyFont="1">
      <alignment horizontal="center"/>
    </xf>
    <xf borderId="0" fillId="2" fontId="23" numFmtId="0" xfId="0" applyAlignment="1" applyFont="1">
      <alignment horizontal="center" shrinkToFit="0" vertical="center" wrapText="1"/>
    </xf>
    <xf borderId="0" fillId="2" fontId="1" numFmtId="0" xfId="0" applyAlignment="1" applyFont="1">
      <alignment shrinkToFit="0" vertical="center" wrapText="1"/>
    </xf>
    <xf borderId="10" fillId="26" fontId="23" numFmtId="0" xfId="0" applyAlignment="1" applyBorder="1" applyFill="1" applyFont="1">
      <alignment horizontal="center" readingOrder="0"/>
    </xf>
    <xf borderId="11" fillId="0" fontId="1" numFmtId="0" xfId="0" applyBorder="1" applyFont="1"/>
    <xf borderId="9" fillId="0" fontId="1" numFmtId="0" xfId="0" applyBorder="1" applyFont="1"/>
    <xf borderId="0" fillId="0" fontId="24" numFmtId="0" xfId="0" applyAlignment="1" applyFont="1">
      <alignment horizontal="center"/>
    </xf>
    <xf borderId="10" fillId="26" fontId="23" numFmtId="0" xfId="0" applyAlignment="1" applyBorder="1" applyFont="1">
      <alignment horizontal="center"/>
    </xf>
    <xf borderId="1" fillId="0" fontId="7" numFmtId="0" xfId="0" applyAlignment="1" applyBorder="1" applyFont="1">
      <alignment horizontal="center" readingOrder="0" shrinkToFit="0" vertical="center" wrapText="1"/>
    </xf>
    <xf borderId="0" fillId="0" fontId="6" numFmtId="0" xfId="0" applyAlignment="1" applyFont="1">
      <alignment vertical="bottom"/>
    </xf>
    <xf borderId="0" fillId="0" fontId="25" numFmtId="0" xfId="0" applyAlignment="1" applyFont="1">
      <alignment horizontal="center" vertical="center"/>
    </xf>
    <xf borderId="1" fillId="0" fontId="1" numFmtId="0" xfId="0" applyAlignment="1" applyBorder="1" applyFont="1">
      <alignment horizontal="center" shrinkToFit="0" vertical="center" wrapText="1"/>
    </xf>
    <xf borderId="7" fillId="0" fontId="26" numFmtId="0" xfId="0" applyAlignment="1" applyBorder="1" applyFont="1">
      <alignment horizontal="center" vertical="center"/>
    </xf>
    <xf borderId="0" fillId="0" fontId="26" numFmtId="0" xfId="0" applyAlignment="1" applyFont="1">
      <alignment horizontal="center" vertical="center"/>
    </xf>
    <xf borderId="0" fillId="0" fontId="6" numFmtId="0" xfId="0" applyFont="1"/>
    <xf borderId="1" fillId="0" fontId="1" numFmtId="0" xfId="0" applyAlignment="1" applyBorder="1" applyFont="1">
      <alignment horizontal="center" readingOrder="0" shrinkToFit="0" vertical="center" wrapText="1"/>
    </xf>
    <xf borderId="1" fillId="13"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1" fillId="2" fontId="1" numFmtId="0" xfId="0" applyAlignment="1" applyBorder="1" applyFont="1">
      <alignment horizontal="center" shrinkToFit="0" vertical="center" wrapText="1"/>
    </xf>
    <xf borderId="1" fillId="2" fontId="6" numFmtId="0" xfId="0" applyAlignment="1" applyBorder="1" applyFont="1">
      <alignment shrinkToFit="0" vertical="bottom" wrapText="1"/>
    </xf>
    <xf borderId="0" fillId="0" fontId="7" numFmtId="0" xfId="0" applyFont="1"/>
    <xf borderId="0" fillId="5" fontId="7" numFmtId="0" xfId="0" applyFont="1"/>
    <xf borderId="0" fillId="0" fontId="7" numFmtId="0" xfId="0" applyAlignment="1" applyFont="1">
      <alignment horizontal="center"/>
    </xf>
    <xf borderId="0" fillId="7" fontId="1" numFmtId="0" xfId="0" applyAlignment="1" applyFont="1">
      <alignment readingOrder="0"/>
    </xf>
    <xf borderId="0" fillId="7" fontId="1" numFmtId="0" xfId="0" applyFont="1"/>
    <xf borderId="0" fillId="7" fontId="1" numFmtId="0" xfId="0" applyAlignment="1" applyFont="1">
      <alignment horizontal="center"/>
    </xf>
    <xf borderId="0" fillId="0" fontId="1" numFmtId="1" xfId="0" applyFont="1" applyNumberFormat="1"/>
    <xf borderId="0" fillId="0" fontId="7"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167" xfId="0" applyAlignment="1" applyFont="1" applyNumberFormat="1">
      <alignment horizontal="center" readingOrder="0" vertical="center"/>
    </xf>
    <xf borderId="0" fillId="0" fontId="1" numFmtId="0" xfId="0" applyAlignment="1" applyFont="1">
      <alignment horizontal="left" shrinkToFit="0" vertical="center" wrapText="1"/>
    </xf>
    <xf borderId="0" fillId="0" fontId="1" numFmtId="0" xfId="0" applyAlignment="1" applyFont="1">
      <alignment horizontal="center" vertical="center"/>
    </xf>
    <xf borderId="0" fillId="21" fontId="7" numFmtId="0" xfId="0" applyAlignment="1" applyFont="1">
      <alignment horizontal="center"/>
    </xf>
    <xf borderId="0" fillId="2" fontId="7" numFmtId="0" xfId="0" applyAlignment="1" applyFont="1">
      <alignment horizontal="center" readingOrder="0"/>
    </xf>
    <xf borderId="0" fillId="5" fontId="1" numFmtId="0" xfId="0" applyAlignment="1" applyFont="1">
      <alignment horizontal="center"/>
    </xf>
    <xf borderId="0" fillId="21" fontId="1" numFmtId="0" xfId="0" applyFont="1"/>
    <xf borderId="0" fillId="0" fontId="1" numFmtId="49" xfId="0" applyFont="1" applyNumberFormat="1"/>
  </cellXfs>
  <cellStyles count="1">
    <cellStyle xfId="0" name="Normal" builtinId="0"/>
  </cellStyles>
  <dxfs count="13">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00FF00"/>
          <bgColor rgb="FF00FF00"/>
        </patternFill>
      </fill>
      <border/>
    </dxf>
    <dxf>
      <font/>
      <fill>
        <patternFill patternType="solid">
          <fgColor rgb="FFFF9900"/>
          <bgColor rgb="FFFF9900"/>
        </patternFill>
      </fill>
      <border/>
    </dxf>
    <dxf>
      <font/>
      <fill>
        <patternFill patternType="solid">
          <fgColor rgb="FF9900FF"/>
          <bgColor rgb="FF9900FF"/>
        </patternFill>
      </fill>
      <border/>
    </dxf>
    <dxf>
      <font/>
      <fill>
        <patternFill patternType="solid">
          <fgColor rgb="FFFFFF00"/>
          <bgColor rgb="FFFFFF00"/>
        </patternFill>
      </fill>
      <border/>
    </dxf>
    <dxf>
      <font/>
      <fill>
        <patternFill patternType="solid">
          <fgColor rgb="FF00FFFF"/>
          <bgColor rgb="FF00FFFF"/>
        </patternFill>
      </fill>
      <border/>
    </dxf>
    <dxf>
      <font/>
      <fill>
        <patternFill patternType="solid">
          <fgColor rgb="FFFF00FF"/>
          <bgColor rgb="FFFF00FF"/>
        </patternFill>
      </fill>
      <border/>
    </dxf>
    <dxf>
      <font/>
      <fill>
        <patternFill patternType="solid">
          <fgColor rgb="FF4A86E8"/>
          <bgColor rgb="FF4A86E8"/>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12.0" ySplit="2.0" topLeftCell="M3" activePane="bottomRight" state="frozen"/>
      <selection activeCell="M1" sqref="M1" pane="topRight"/>
      <selection activeCell="A3" sqref="A3" pane="bottomLeft"/>
      <selection activeCell="M3" sqref="M3" pane="bottomRight"/>
    </sheetView>
  </sheetViews>
  <sheetFormatPr customHeight="1" defaultColWidth="12.63" defaultRowHeight="15.75"/>
  <cols>
    <col customWidth="1" min="1" max="1" width="7.5"/>
    <col customWidth="1" min="2" max="2" width="6.0"/>
    <col customWidth="1" min="3" max="4" width="5.5"/>
    <col customWidth="1" min="5" max="6" width="5.63"/>
    <col customWidth="1" min="7" max="7" width="6.25"/>
    <col customWidth="1" min="8" max="8" width="5.75"/>
    <col customWidth="1" min="9" max="9" width="8.13"/>
    <col customWidth="1" hidden="1" min="10" max="10" width="14.0"/>
    <col customWidth="1" min="11" max="11" width="10.63"/>
    <col customWidth="1" min="12" max="12" width="18.0"/>
    <col customWidth="1" hidden="1" min="13" max="13" width="11.38"/>
    <col customWidth="1" hidden="1" min="14" max="14" width="9.5"/>
    <col customWidth="1" hidden="1" min="15" max="15" width="9.75"/>
    <col customWidth="1" min="16" max="16" width="21.25"/>
    <col customWidth="1" min="17" max="17" width="4.38"/>
    <col customWidth="1" min="18" max="18" width="5.75"/>
    <col customWidth="1" min="19" max="19" width="21.88"/>
    <col customWidth="1" min="20" max="20" width="4.75"/>
    <col customWidth="1" min="21" max="21" width="5.75"/>
    <col customWidth="1" min="22" max="22" width="26.5"/>
    <col customWidth="1" min="23" max="23" width="5.25"/>
    <col customWidth="1" min="24" max="24" width="6.5"/>
    <col customWidth="1" min="25" max="25" width="27.38"/>
    <col customWidth="1" min="26" max="26" width="6.13"/>
    <col customWidth="1" min="27" max="27" width="5.38"/>
    <col customWidth="1" min="28" max="28" width="26.25"/>
    <col customWidth="1" min="29" max="29" width="5.0"/>
    <col customWidth="1" min="30" max="30" width="5.25"/>
    <col customWidth="1" min="31" max="31" width="26.38"/>
    <col customWidth="1" min="32" max="32" width="5.0"/>
    <col customWidth="1" min="33" max="33" width="4.75"/>
    <col customWidth="1" min="34" max="34" width="26.5"/>
    <col customWidth="1" min="35" max="35" width="6.75"/>
    <col customWidth="1" min="36" max="36" width="5.38"/>
    <col customWidth="1" min="37" max="37" width="24.5"/>
    <col customWidth="1" min="38" max="39" width="5.38"/>
    <col customWidth="1" min="40" max="41" width="10.63"/>
    <col customWidth="1" min="42" max="42" width="5.63"/>
    <col customWidth="1" min="43" max="43" width="6.63"/>
    <col customWidth="1" min="44" max="44" width="6.5"/>
    <col customWidth="1" min="45" max="45" width="6.63"/>
  </cols>
  <sheetData>
    <row r="1">
      <c r="A1" s="1"/>
      <c r="B1" s="2"/>
      <c r="C1" s="2"/>
      <c r="D1" s="2"/>
      <c r="E1" s="2"/>
      <c r="F1" s="2"/>
      <c r="G1" s="2"/>
      <c r="K1" s="3"/>
      <c r="M1" s="4"/>
      <c r="P1" s="5" t="s">
        <v>0</v>
      </c>
      <c r="S1" s="6">
        <f>countifs(Students!AG3:AG88,"&gt;0")</f>
        <v>0</v>
      </c>
      <c r="T1" s="7"/>
      <c r="U1" s="5" t="s">
        <v>1</v>
      </c>
      <c r="W1" s="5"/>
      <c r="X1" s="8">
        <f>rounddown(sum(Students!AF:AF)/(rounddown(countifs(Students!C3:C88,"&lt;&gt;"&amp;""),0)*8),2)</f>
        <v>1</v>
      </c>
      <c r="Y1" s="9" t="s">
        <v>2</v>
      </c>
      <c r="AB1" s="6">
        <f>countifs(R3:R88,"&gt;24")+countifs(U3:U88,"&gt;24")+countifs(X3:X88,"&gt;24")+countifs(AA3:AA88,"&gt;24")+countifs(AD3:AD88,"&gt;24")+countifs(AG3:AG88,"&gt;24")+countifs(AJ3:AJ88,"&gt;24")+countifs(AM3:AM88,"&gt;24")</f>
        <v>9</v>
      </c>
      <c r="AC1" s="7"/>
      <c r="AD1" s="10" t="s">
        <v>3</v>
      </c>
      <c r="AG1" s="11">
        <f>iferror(sum('Ghost Classes'!E:E),0)</f>
        <v>0</v>
      </c>
      <c r="AH1" s="12" t="s">
        <v>4</v>
      </c>
      <c r="AJ1" s="13">
        <f>sum('Teachers and Groups'!G2:G88)</f>
        <v>0</v>
      </c>
      <c r="AK1" s="14"/>
      <c r="AL1" s="15"/>
      <c r="AM1" s="15"/>
      <c r="AN1" s="16"/>
      <c r="AO1" s="16"/>
      <c r="AP1" s="16" t="s">
        <v>5</v>
      </c>
      <c r="AQ1" s="17"/>
      <c r="AR1" s="17"/>
      <c r="AS1" s="18"/>
    </row>
    <row r="2">
      <c r="A2" s="19" t="s">
        <v>6</v>
      </c>
      <c r="B2" s="20" t="s">
        <v>7</v>
      </c>
      <c r="C2" s="20" t="s">
        <v>8</v>
      </c>
      <c r="D2" s="20" t="s">
        <v>9</v>
      </c>
      <c r="E2" s="20" t="s">
        <v>10</v>
      </c>
      <c r="F2" s="20" t="s">
        <v>11</v>
      </c>
      <c r="G2" s="20" t="s">
        <v>12</v>
      </c>
      <c r="J2" s="21" t="str">
        <f t="array" ref="J2:J88">if(ROW(J2:J88)=2,"Students #",if($L2:$L88="","",R2:R88+U2:U88+X2:X88+AA2:AA88+AD2:AD88+AG2:AG88+AJ2:AJ88+AM2:AM88))</f>
        <v>Students #</v>
      </c>
      <c r="K2" s="21" t="s">
        <v>13</v>
      </c>
      <c r="L2" s="21" t="s">
        <v>14</v>
      </c>
      <c r="M2" s="21" t="s">
        <v>15</v>
      </c>
      <c r="N2" s="21" t="str">
        <f t="array" ref="N2:N88">if(ROW(N2:N88)=2,"Preps #",if($L2:$L88="","",countifs('Teachers and Groups'!C2:C88,L2:L88)))</f>
        <v>Preps #</v>
      </c>
      <c r="O2" s="21" t="s">
        <v>16</v>
      </c>
      <c r="P2" s="22">
        <v>1.0</v>
      </c>
      <c r="Q2" s="23" t="s">
        <v>17</v>
      </c>
      <c r="R2" s="24" t="str">
        <f t="array" ref="R2:R88">if(ROW(R2:R88)=2,"#",if(P2:P88="","",if($K2:$K88="S1",countifs('Students (Vertical)'!$D:$D,P2:P88,'Students (Vertical)'!$E:$E,P$2&amp;"a"),if($K2:$K88="S2",countifs('Students (Vertical)'!$D:$D,P2:P88,'Students (Vertical)'!$E:$E,P$2&amp;"b"),countifs('Students (Vertical)'!$D:$D,P2:P88,'Students (Vertical)'!$E:$E,P$2)+countifs('Students (Vertical)'!$D:$D,P2:P88,'Students (Vertical)'!$E:$E,P$2&amp;"a")+countifs('Students (Vertical)'!$D:$D,P2:P88,'Students (Vertical)'!$E:$E,P$2&amp;"b")))))</f>
        <v>#</v>
      </c>
      <c r="S2" s="25">
        <v>2.0</v>
      </c>
      <c r="T2" s="26" t="s">
        <v>17</v>
      </c>
      <c r="U2" s="24" t="str">
        <f t="array" ref="U2:U88">if(ROW(U2:U88)=2,"#",if(S2:S88="","",if($K2:$K88="S1",countifs('Students (Vertical)'!$D:$D,S2:S88,'Students (Vertical)'!$E:$E,S$2&amp;"a"),if($K2:$K88="S2",countifs('Students (Vertical)'!$D:$D,S2:S88,'Students (Vertical)'!$E:$E,S$2&amp;"b"),countifs('Students (Vertical)'!$D:$D,S2:S88,'Students (Vertical)'!$E:$E,S$2)+countifs('Students (Vertical)'!$D:$D,S2:S88,'Students (Vertical)'!$E:$E,S$2&amp;"a")+countifs('Students (Vertical)'!$D:$D,S2:S88,'Students (Vertical)'!$E:$E,S$2&amp;"b")))))</f>
        <v>#</v>
      </c>
      <c r="V2" s="27">
        <v>3.0</v>
      </c>
      <c r="W2" s="28" t="s">
        <v>17</v>
      </c>
      <c r="X2" s="24" t="str">
        <f t="array" ref="X2:X88">if(ROW(X2:X88)=2,"#",if(V2:V88="","",if($K2:$K88="S1",countifs('Students (Vertical)'!$D:$D,V2:V88,'Students (Vertical)'!$E:$E,V$2&amp;"a"),if($K2:$K88="S2",countifs('Students (Vertical)'!$D:$D,V2:V88,'Students (Vertical)'!$E:$E,V$2&amp;"b"),countifs('Students (Vertical)'!$D:$D,V2:V88,'Students (Vertical)'!$E:$E,V$2)+countifs('Students (Vertical)'!$D:$D,V2:V88,'Students (Vertical)'!$E:$E,V$2&amp;"a")+countifs('Students (Vertical)'!$D:$D,V2:V88,'Students (Vertical)'!$E:$E,V$2&amp;"b")))))</f>
        <v>#</v>
      </c>
      <c r="Y2" s="29">
        <v>4.0</v>
      </c>
      <c r="Z2" s="30" t="s">
        <v>17</v>
      </c>
      <c r="AA2" s="24" t="str">
        <f t="array" ref="AA2:AA88">if(ROW(AA2:AA88)=2,"#",if(Y2:Y88="","",if($K2:$K88="S1",countifs('Students (Vertical)'!$D:$D,Y2:Y88,'Students (Vertical)'!$E:$E,Y$2&amp;"a"),if($K2:$K88="S2",countifs('Students (Vertical)'!$D:$D,Y2:Y88,'Students (Vertical)'!$E:$E,Y$2&amp;"b"),countifs('Students (Vertical)'!$D:$D,Y2:Y88,'Students (Vertical)'!$E:$E,Y$2)+countifs('Students (Vertical)'!$D:$D,Y2:Y88,'Students (Vertical)'!$E:$E,Y$2&amp;"a")+countifs('Students (Vertical)'!$D:$D,Y2:Y88,'Students (Vertical)'!$E:$E,Y$2&amp;"b")))))</f>
        <v>#</v>
      </c>
      <c r="AB2" s="31">
        <v>5.0</v>
      </c>
      <c r="AC2" s="32" t="s">
        <v>17</v>
      </c>
      <c r="AD2" s="24" t="str">
        <f t="array" ref="AD2:AD88">if(ROW(AD2:AD88)=2,"#",if(AB2:AB88="","",if($K2:$K88="S1",countifs('Students (Vertical)'!$D:$D,AB2:AB88,'Students (Vertical)'!$E:$E,AB$2&amp;"a"),if($K2:$K88="S2",countifs('Students (Vertical)'!$D:$D,AB2:AB88,'Students (Vertical)'!$E:$E,AB$2&amp;"b"),countifs('Students (Vertical)'!$D:$D,AB2:AB88,'Students (Vertical)'!$E:$E,AB$2)+countifs('Students (Vertical)'!$D:$D,AB2:AB88,'Students (Vertical)'!$E:$E,AB$2&amp;"a")+countifs('Students (Vertical)'!$D:$D,AB2:AB88,'Students (Vertical)'!$E:$E,AB$2&amp;"b")))))</f>
        <v>#</v>
      </c>
      <c r="AE2" s="33">
        <v>6.0</v>
      </c>
      <c r="AF2" s="34" t="s">
        <v>17</v>
      </c>
      <c r="AG2" s="24" t="str">
        <f t="array" ref="AG2:AG88">if(ROW(AG2:AG88)=2,"#",if(AE2:AE88="","",if($K2:$K88="S1",countifs('Students (Vertical)'!$D:$D,AE2:AE88,'Students (Vertical)'!$E:$E,AE$2&amp;"a"),if($K2:$K88="S2",countifs('Students (Vertical)'!$D:$D,AE2:AE88,'Students (Vertical)'!$E:$E,AE$2&amp;"b"),countifs('Students (Vertical)'!$D:$D,AE2:AE88,'Students (Vertical)'!$E:$E,AE$2)+countifs('Students (Vertical)'!$D:$D,AE2:AE88,'Students (Vertical)'!$E:$E,AE$2&amp;"a")+countifs('Students (Vertical)'!$D:$D,AE2:AE88,'Students (Vertical)'!$E:$E,AE$2&amp;"b")))))</f>
        <v>#</v>
      </c>
      <c r="AH2" s="35">
        <v>7.0</v>
      </c>
      <c r="AI2" s="36" t="s">
        <v>17</v>
      </c>
      <c r="AJ2" s="24" t="str">
        <f t="array" ref="AJ2:AJ88">if(ROW(AJ2:AJ88)=2,"#",if(AH2:AH88="","",if($K2:$K88="S1",countifs('Students (Vertical)'!$D:$D,AH2:AH88,'Students (Vertical)'!$E:$E,AH$2&amp;"a"),if($K2:$K88="S2",countifs('Students (Vertical)'!$D:$D,AH2:AH88,'Students (Vertical)'!$E:$E,AH$2&amp;"b"),countifs('Students (Vertical)'!$D:$D,AH2:AH88,'Students (Vertical)'!$E:$E,AH$2)+countifs('Students (Vertical)'!$D:$D,AH2:AH88,'Students (Vertical)'!$E:$E,AH$2&amp;"a")+countifs('Students (Vertical)'!$D:$D,AH2:AH88,'Students (Vertical)'!$E:$E,AH$2&amp;"b")))))</f>
        <v>#</v>
      </c>
      <c r="AK2" s="21">
        <v>8.0</v>
      </c>
      <c r="AL2" s="24" t="s">
        <v>17</v>
      </c>
      <c r="AM2" s="24" t="str">
        <f t="array" ref="AM2:AM88">if(ROW(AM2:AM88)=2,"#",if(AK2:AK88="","",if($K2:$K88="S1",countifs('Students (Vertical)'!$D:$D,AK2:AK88,'Students (Vertical)'!$E:$E,AK$2&amp;"a"),if($K2:$K88="S2",countifs('Students (Vertical)'!$D:$D,AK2:AK88,'Students (Vertical)'!$E:$E,AK$2&amp;"b"),countifs('Students (Vertical)'!$D:$D,AK2:AK88,'Students (Vertical)'!$E:$E,AK$2)+countifs('Students (Vertical)'!$D:$D,AK2:AK88,'Students (Vertical)'!$E:$E,AK$2&amp;"a")+countifs('Students (Vertical)'!$D:$D,AK2:AK88,'Students (Vertical)'!$E:$E,AK$2&amp;"b")))))</f>
        <v>#</v>
      </c>
      <c r="AN2" s="37" t="s">
        <v>18</v>
      </c>
      <c r="AO2" s="37" t="s">
        <v>19</v>
      </c>
      <c r="AP2" s="37">
        <v>9.0</v>
      </c>
      <c r="AQ2" s="38">
        <v>10.0</v>
      </c>
      <c r="AR2" s="38">
        <v>11.0</v>
      </c>
      <c r="AS2" s="38">
        <v>12.0</v>
      </c>
    </row>
    <row r="3">
      <c r="A3" s="39" t="s">
        <v>20</v>
      </c>
      <c r="B3" s="20">
        <v>1.0</v>
      </c>
      <c r="C3" s="40">
        <v>1.0</v>
      </c>
      <c r="D3" s="41">
        <v>6.0</v>
      </c>
      <c r="E3" s="42">
        <v>3.0</v>
      </c>
      <c r="F3" s="43">
        <v>8.0</v>
      </c>
      <c r="G3" s="44">
        <v>5.0</v>
      </c>
      <c r="I3" s="45"/>
      <c r="J3" s="46">
        <v>144.0</v>
      </c>
      <c r="K3" s="20"/>
      <c r="L3" s="47" t="s">
        <v>21</v>
      </c>
      <c r="M3" s="4"/>
      <c r="N3" s="46">
        <v>2.0</v>
      </c>
      <c r="O3" s="46">
        <f>IFERROR(__xludf.DUMMYFUNCTION("3*counta((transpose(filter(P3:AM3,P3:AM3&lt;&gt;"""",isnumber(P3:AM3)=false))))"),18.0)</f>
        <v>18</v>
      </c>
      <c r="P3" s="48"/>
      <c r="Q3" s="49"/>
      <c r="R3" s="49" t="s">
        <v>22</v>
      </c>
      <c r="S3" s="48" t="s">
        <v>23</v>
      </c>
      <c r="T3" s="49">
        <v>1.0</v>
      </c>
      <c r="U3" s="49">
        <v>27.0</v>
      </c>
      <c r="V3" s="50" t="s">
        <v>24</v>
      </c>
      <c r="W3" s="49">
        <v>1.0</v>
      </c>
      <c r="X3" s="49">
        <v>24.0</v>
      </c>
      <c r="Y3" s="50" t="s">
        <v>24</v>
      </c>
      <c r="Z3" s="49">
        <v>2.0</v>
      </c>
      <c r="AA3" s="49">
        <v>20.0</v>
      </c>
      <c r="AB3" s="48"/>
      <c r="AC3" s="49"/>
      <c r="AD3" s="49" t="s">
        <v>22</v>
      </c>
      <c r="AE3" s="48" t="s">
        <v>23</v>
      </c>
      <c r="AF3" s="49">
        <v>2.0</v>
      </c>
      <c r="AG3" s="51">
        <v>27.0</v>
      </c>
      <c r="AH3" s="50" t="s">
        <v>24</v>
      </c>
      <c r="AI3" s="49">
        <v>3.0</v>
      </c>
      <c r="AJ3" s="51">
        <v>24.0</v>
      </c>
      <c r="AK3" s="50" t="s">
        <v>24</v>
      </c>
      <c r="AL3" s="49">
        <v>4.0</v>
      </c>
      <c r="AM3" s="49">
        <v>22.0</v>
      </c>
      <c r="AN3" s="52"/>
      <c r="AO3" s="52">
        <f t="shared" ref="AO3:AO12" si="1">if(L3="","",R3+U3+X3+AA3+AD3+AG3+AJ3+AM3)</f>
        <v>144</v>
      </c>
      <c r="AP3" s="52">
        <f>if($L3="","",countifs(Students!$D:$D,$P3,Students!$E:$E,$P$2&amp;if($K3="S1","a",if($K3="S2","b","")),Students!$A:$A,AP$2)+countifs(Students!$F:$F,$P3,Students!$G:$G,$P$2&amp;if($K3="S1","a",if($K3="S2","b","")),Students!$A:$A,AP$2)+countifs(Students!$H:$H,$P3,Students!$I:$I,$P$2&amp;if($K3="S1","a",if($K3="S2","b","")),Students!$A:$A,AP$2)+countifs(Students!$J:$J,$P3,Students!$K:$K,$P$2&amp;if($K3="S1","a",if($K3="S2","b","")),Students!$A:$A,AP$2)+countifs(Students!$L:$L,$P3,Students!$M:$M,$P$2&amp;if($K3="S1","a",if($K3="S2","b","")),Students!$A:$A,AP$2)+countifs(Students!$N:$N,$P3,Students!$O:$O,$P$2&amp;if($K3="S1","a",if($K3="S2","b","")),Students!$A:$A,AP$2)+countifs(Students!$P:$P,$P3,Students!$Q:$Q,$P$2&amp;if($K3="S1","a",if($K3="S2","b","")),Students!$A:$A,AP$2)+countifs(Students!$R:$R,$P3,Students!$S:$S,$P$2&amp;if($K3="S1","a",if($K3="S2","b","")),Students!$A:$A,AP$2)+countifs(Students!$T:$T,$P3,Students!$U:$U,$P$2&amp;if($K3="S1","a",if($K3="S2","b","")),Students!$A:$A,AP$2)+countifs(Students!$V:$V,$P3,Students!$W:$W,$P$2&amp;if($K3="S1","a",if($K3="S2","b","")),Students!$A:$A,AP$2)+
countifs(Students!$D:$D,$S3,Students!$E:$E,$S$2&amp;if($K3="S1","a",if($K3="S2","b","")),Students!$A:$A,AP$2)+countifs(Students!$F:$F,$S3,Students!$G:$G,$S$2&amp;if($K3="S1","a",if($K3="S2","b","")),Students!$A:$A,AP$2)+countifs(Students!$H:$H,$S3,Students!$I:$I,$S$2&amp;if($K3="S1","a",if($K3="S2","b","")),Students!$A:$A,AP$2)+countifs(Students!$J:$J,$S3,Students!$K:$K,$S$2&amp;if($K3="S1","a",if($K3="S2","b","")),Students!$A:$A,AP$2)+countifs(Students!$L:$L,$S3,Students!$M:$M,$S$2&amp;if($K3="S1","a",if($K3="S2","b","")),Students!$A:$A,AP$2)+countifs(Students!$N:$N,$S3,Students!$O:$O,$S$2&amp;if($K3="S1","a",if($K3="S2","b","")),Students!$A:$A,AP$2)+countifs(Students!$P:$P,$S3,Students!$Q:$Q,$S$2&amp;if($K3="S1","a",if($K3="S2","b","")),Students!$A:$A,AP$2)+countifs(Students!$R:$R,$S3,Students!$S:$S,$S$2&amp;if($K3="S1","a",if($K3="S2","b","")),Students!$A:$A,AP$2)+countifs(Students!$T:$T,$S3,Students!$U:$U,$S$2&amp;if($K3="S1","a",if($K3="S2","b","")),Students!$A:$A,AP$2)+countifs(Students!$V:$V,$S3,Students!$W:$W,$S$2&amp;if($K3="S1","a",if($K3="S2","b","")),Students!$A:$A,AP$2)+
countifs(Students!$D:$D,$V3,Students!$E:$E,$V$2&amp;if($K3="S1","a",if($K3="S2","b","")),Students!$A:$A,AP$2)+countifs(Students!$F:$F,$V3,Students!$G:$G,$V$2&amp;if($K3="S1","a",if($K3="S2","b","")),Students!$A:$A,AP$2)+countifs(Students!$H:$H,$V3,Students!$I:$I,$V$2&amp;if($K3="S1","a",if($K3="S2","b","")),Students!$A:$A,AP$2)+countifs(Students!$J:$J,$V3,Students!$K:$K,$V$2&amp;if($K3="S1","a",if($K3="S2","b","")),Students!$A:$A,AP$2)+countifs(Students!$L:$L,$V3,Students!$M:$M,$V$2&amp;if($K3="S1","a",if($K3="S2","b","")),Students!$A:$A,AP$2)+countifs(Students!$N:$N,$V3,Students!$O:$O,$V$2&amp;if($K3="S1","a",if($K3="S2","b","")),Students!$A:$A,AP$2)+countifs(Students!$P:$P,$V3,Students!$Q:$Q,$V$2&amp;if($K3="S1","a",if($K3="S2","b","")),Students!$A:$A,AP$2)+countifs(Students!$R:$R,$V3,Students!$S:$S,$V$2&amp;if($K3="S1","a",if($K3="S2","b","")),Students!$A:$A,AP$2)+countifs(Students!$T:$T,$V3,Students!$U:$U,$V$2&amp;if($K3="S1","a",if($K3="S2","b","")),Students!$A:$A,AP$2)+countifs(Students!$V:$V,$V3,Students!$W:$W,$V$2&amp;if($K3="S1","a",if($K3="S2","b","")),Students!$A:$A,AP$2)+
countifs(Students!$D:$D,$Y3,Students!$E:$E,$Y$2&amp;if($K3="S1","a",if($K3="S2","b","")),Students!$A:$A,AP$2)+countifs(Students!$F:$F,$Y3,Students!$G:$G,$Y$2&amp;if($K3="S1","a",if($K3="S2","b","")),Students!$A:$A,AP$2)+countifs(Students!$H:$H,$Y3,Students!$I:$I,$Y$2&amp;if($K3="S1","a",if($K3="S2","b","")),Students!$A:$A,AP$2)+countifs(Students!$J:$J,$Y3,Students!$K:$K,$Y$2&amp;if($K3="S1","a",if($K3="S2","b","")),Students!$A:$A,AP$2)+countifs(Students!$L:$L,$Y3,Students!$M:$M,$Y$2&amp;if($K3="S1","a",if($K3="S2","b","")),Students!$A:$A,AP$2)+countifs(Students!$N:$N,$Y3,Students!$O:$O,$Y$2&amp;if($K3="S1","a",if($K3="S2","b","")),Students!$A:$A,AP$2)+countifs(Students!$P:$P,$Y3,Students!$Q:$Q,$Y$2&amp;if($K3="S1","a",if($K3="S2","b","")),Students!$A:$A,AP$2)+countifs(Students!$R:$R,$Y3,Students!$S:$S,$Y$2&amp;if($K3="S1","a",if($K3="S2","b","")),Students!$A:$A,AP$2)+countifs(Students!$T:$T,$Y3,Students!$U:$U,$Y$2&amp;if($K3="S1","a",if($K3="S2","b","")),Students!$A:$A,AP$2)+countifs(Students!$V:$V,$Y3,Students!$W:$W,$Y$2&amp;if($K3="S1","a",if($K3="S2","b","")),Students!$A:$A,AP$2)+
countifs(Students!$D:$D,$AB3,Students!$E:$E,$AB$2&amp;if($K3="S1","a",if($K3="S2","b","")),Students!$A:$A,AP$2)+countifs(Students!$F:$F,$AB3,Students!$G:$G,$AB$2&amp;if($K3="S1","a",if($K3="S2","b","")),Students!$A:$A,AP$2)+countifs(Students!$H:$H,$AB3,Students!$I:$I,$AB$2&amp;if($K3="S1","a",if($K3="S2","b","")),Students!$A:$A,AP$2)+countifs(Students!$J:$J,$AB3,Students!$K:$K,$AB$2&amp;if($K3="S1","a",if($K3="S2","b","")),Students!$A:$A,AP$2)+countifs(Students!$L:$L,$AB3,Students!$M:$M,$AB$2&amp;if($K3="S1","a",if($K3="S2","b","")),Students!$A:$A,AP$2)+countifs(Students!$N:$N,$AB3,Students!$O:$O,$AB$2&amp;if($K3="S1","a",if($K3="S2","b","")),Students!$A:$A,AP$2)+countifs(Students!$P:$P,$AB3,Students!$Q:$Q,$AB$2&amp;if($K3="S1","a",if($K3="S2","b","")),Students!$A:$A,AP$2)+countifs(Students!$R:$R,$AB3,Students!$S:$S,$AB$2&amp;if($K3="S1","a",if($K3="S2","b","")),Students!$A:$A,AP$2)+countifs(Students!$T:$T,$AB3,Students!$U:$U,$AB$2&amp;if($K3="S1","a",if($K3="S2","b","")),Students!$A:$A,AP$2)+countifs(Students!$V:$V,$AB3,Students!$W:$W,$AB$2&amp;if($K3="S1","a",if($K3="S2","b","")),Students!$A:$A,AP$2)+
countifs(Students!$D:$D,$AE3,Students!$E:$E,$AE$2&amp;if($K3="S1","a",if($K3="S2","b","")),Students!$A:$A,AP$2)+countifs(Students!$F:$F,$AE3,Students!$G:$G,$AE$2&amp;if($K3="S1","a",if($K3="S2","b","")),Students!$A:$A,AP$2)+countifs(Students!$H:$H,$AE3,Students!$I:$I,$AE$2&amp;if($K3="S1","a",if($K3="S2","b","")),Students!$A:$A,AP$2)+countifs(Students!$J:$J,$AE3,Students!$K:$K,$AE$2&amp;if($K3="S1","a",if($K3="S2","b","")),Students!$A:$A,AP$2)+countifs(Students!$L:$L,$AE3,Students!$M:$M,$AE$2&amp;if($K3="S1","a",if($K3="S2","b","")),Students!$A:$A,AP$2)+countifs(Students!$N:$N,$AE3,Students!$O:$O,$AE$2&amp;if($K3="S1","a",if($K3="S2","b","")),Students!$A:$A,AP$2)+countifs(Students!$P:$P,$AE3,Students!$Q:$Q,$AE$2&amp;if($K3="S1","a",if($K3="S2","b","")),Students!$A:$A,AP$2)+countifs(Students!$R:$R,$AE3,Students!$S:$S,$AE$2&amp;if($K3="S1","a",if($K3="S2","b","")),Students!$A:$A,AP$2)+countifs(Students!$T:$T,$AE3,Students!$U:$U,$AE$2&amp;if($K3="S1","a",if($K3="S2","b","")),Students!$A:$A,AP$2)+countifs(Students!$V:$V,$AE3,Students!$W:$W,$AE$2&amp;if($K3="S1","a",if($K3="S2","b","")),Students!$A:$A,AP$2)+
countifs(Students!$D:$D,$AH3,Students!$E:$E,$AH$2&amp;if($K3="S1","a",if($K3="S2","b","")),Students!$A:$A,AP$2)+countifs(Students!$F:$F,$AH3,Students!$G:$G,$AH$2&amp;if($K3="S1","a",if($K3="S2","b","")),Students!$A:$A,AP$2)+countifs(Students!$H:$H,$AH3,Students!$I:$I,$AH$2&amp;if($K3="S1","a",if($K3="S2","b","")),Students!$A:$A,AP$2)+countifs(Students!$J:$J,$AH3,Students!$K:$K,$AH$2&amp;if($K3="S1","a",if($K3="S2","b","")),Students!$A:$A,AP$2)+countifs(Students!$L:$L,$AH3,Students!$M:$M,$AH$2&amp;if($K3="S1","a",if($K3="S2","b","")),Students!$A:$A,AP$2)+countifs(Students!$N:$N,$AH3,Students!$O:$O,$AH$2&amp;if($K3="S1","a",if($K3="S2","b","")),Students!$A:$A,AP$2)+countifs(Students!$P:$P,$AH3,Students!$Q:$Q,$AH$2&amp;if($K3="S1","a",if($K3="S2","b","")),Students!$A:$A,AP$2)+countifs(Students!$R:$R,$AH3,Students!$S:$S,$AH$2&amp;if($K3="S1","a",if($K3="S2","b","")),Students!$A:$A,AP$2)+countifs(Students!$T:$T,$AH3,Students!$U:$U,$AH$2&amp;if($K3="S1","a",if($K3="S2","b","")),Students!$A:$A,AP$2)+countifs(Students!$V:$V,$AH3,Students!$W:$W,$AH$2&amp;if($K3="S1","a",if($K3="S2","b","")),Students!$A:$A,AP$2)+
countifs(Students!$D:$D,$AK3,Students!$E:$E,$AK$2&amp;if($K3="S1","a",if($K3="S2","b","")),Students!$A:$A,AP$2)+countifs(Students!$F:$F,$AK3,Students!$G:$G,$AK$2&amp;if($K3="S1","a",if($K3="S2","b","")),Students!$A:$A,AP$2)+countifs(Students!$H:$H,$AK3,Students!$I:$I,$AK$2&amp;if($K3="S1","a",if($K3="S2","b","")),Students!$A:$A,AP$2)+countifs(Students!$J:$J,$AK3,Students!$K:$K,$AK$2&amp;if($K3="S1","a",if($K3="S2","b","")),Students!$A:$A,AP$2)+countifs(Students!$L:$L,$AK3,Students!$M:$M,$AK$2&amp;if($K3="S1","a",if($K3="S2","b","")),Students!$A:$A,AP$2)+countifs(Students!$N:$N,$AK3,Students!$O:$O,$AK$2&amp;if($K3="S1","a",if($K3="S2","b","")),Students!$A:$A,AP$2)+countifs(Students!$P:$P,$AK3,Students!$Q:$Q,$AK$2&amp;if($K3="S1","a",if($K3="S2","b","")),Students!$A:$A,AP$2)+countifs(Students!$R:$R,$AK3,Students!$S:$S,$AK$2&amp;if($K3="S1","a",if($K3="S2","b","")),Students!$A:$A,AP$2)+countifs(Students!$T:$T,$AK3,Students!$U:$U,$AK$2&amp;if($K3="S1","a",if($K3="S2","b","")),Students!$A:$A,AP$2)+countifs(Students!$V:$V,$AK3,Students!$W:$W,$AK$2&amp;if($K3="S1","a",if($K3="S2","b","")),Students!$A:$A,AP$2))</f>
        <v>47</v>
      </c>
      <c r="AQ3" s="52">
        <f>if($L3="","",countifs(Students!$D:$D,$P3,Students!$E:$E,$P$2&amp;if($K3="S1","a",if($K3="S2","b","")),Students!$A:$A,AQ$2)+countifs(Students!$F:$F,$P3,Students!$G:$G,$P$2&amp;if($K3="S1","a",if($K3="S2","b","")),Students!$A:$A,AQ$2)+countifs(Students!$H:$H,$P3,Students!$I:$I,$P$2&amp;if($K3="S1","a",if($K3="S2","b","")),Students!$A:$A,AQ$2)+countifs(Students!$J:$J,$P3,Students!$K:$K,$P$2&amp;if($K3="S1","a",if($K3="S2","b","")),Students!$A:$A,AQ$2)+countifs(Students!$L:$L,$P3,Students!$M:$M,$P$2&amp;if($K3="S1","a",if($K3="S2","b","")),Students!$A:$A,AQ$2)+countifs(Students!$N:$N,$P3,Students!$O:$O,$P$2&amp;if($K3="S1","a",if($K3="S2","b","")),Students!$A:$A,AQ$2)+countifs(Students!$P:$P,$P3,Students!$Q:$Q,$P$2&amp;if($K3="S1","a",if($K3="S2","b","")),Students!$A:$A,AQ$2)+countifs(Students!$R:$R,$P3,Students!$S:$S,$P$2&amp;if($K3="S1","a",if($K3="S2","b","")),Students!$A:$A,AQ$2)+countifs(Students!$T:$T,$P3,Students!$U:$U,$P$2&amp;if($K3="S1","a",if($K3="S2","b","")),Students!$A:$A,AQ$2)+countifs(Students!$V:$V,$P3,Students!$W:$W,$P$2&amp;if($K3="S1","a",if($K3="S2","b","")),Students!$A:$A,AQ$2)+
countifs(Students!$D:$D,$S3,Students!$E:$E,$S$2&amp;if($K3="S1","a",if($K3="S2","b","")),Students!$A:$A,AQ$2)+countifs(Students!$F:$F,$S3,Students!$G:$G,$S$2&amp;if($K3="S1","a",if($K3="S2","b","")),Students!$A:$A,AQ$2)+countifs(Students!$H:$H,$S3,Students!$I:$I,$S$2&amp;if($K3="S1","a",if($K3="S2","b","")),Students!$A:$A,AQ$2)+countifs(Students!$J:$J,$S3,Students!$K:$K,$S$2&amp;if($K3="S1","a",if($K3="S2","b","")),Students!$A:$A,AQ$2)+countifs(Students!$L:$L,$S3,Students!$M:$M,$S$2&amp;if($K3="S1","a",if($K3="S2","b","")),Students!$A:$A,AQ$2)+countifs(Students!$N:$N,$S3,Students!$O:$O,$S$2&amp;if($K3="S1","a",if($K3="S2","b","")),Students!$A:$A,AQ$2)+countifs(Students!$P:$P,$S3,Students!$Q:$Q,$S$2&amp;if($K3="S1","a",if($K3="S2","b","")),Students!$A:$A,AQ$2)+countifs(Students!$R:$R,$S3,Students!$S:$S,$S$2&amp;if($K3="S1","a",if($K3="S2","b","")),Students!$A:$A,AQ$2)+countifs(Students!$T:$T,$S3,Students!$U:$U,$S$2&amp;if($K3="S1","a",if($K3="S2","b","")),Students!$A:$A,AQ$2)+countifs(Students!$V:$V,$S3,Students!$W:$W,$S$2&amp;if($K3="S1","a",if($K3="S2","b","")),Students!$A:$A,AQ$2)+
countifs(Students!$D:$D,$V3,Students!$E:$E,$V$2&amp;if($K3="S1","a",if($K3="S2","b","")),Students!$A:$A,AQ$2)+countifs(Students!$F:$F,$V3,Students!$G:$G,$V$2&amp;if($K3="S1","a",if($K3="S2","b","")),Students!$A:$A,AQ$2)+countifs(Students!$H:$H,$V3,Students!$I:$I,$V$2&amp;if($K3="S1","a",if($K3="S2","b","")),Students!$A:$A,AQ$2)+countifs(Students!$J:$J,$V3,Students!$K:$K,$V$2&amp;if($K3="S1","a",if($K3="S2","b","")),Students!$A:$A,AQ$2)+countifs(Students!$L:$L,$V3,Students!$M:$M,$V$2&amp;if($K3="S1","a",if($K3="S2","b","")),Students!$A:$A,AQ$2)+countifs(Students!$N:$N,$V3,Students!$O:$O,$V$2&amp;if($K3="S1","a",if($K3="S2","b","")),Students!$A:$A,AQ$2)+countifs(Students!$P:$P,$V3,Students!$Q:$Q,$V$2&amp;if($K3="S1","a",if($K3="S2","b","")),Students!$A:$A,AQ$2)+countifs(Students!$R:$R,$V3,Students!$S:$S,$V$2&amp;if($K3="S1","a",if($K3="S2","b","")),Students!$A:$A,AQ$2)+countifs(Students!$T:$T,$V3,Students!$U:$U,$V$2&amp;if($K3="S1","a",if($K3="S2","b","")),Students!$A:$A,AQ$2)+countifs(Students!$V:$V,$V3,Students!$W:$W,$V$2&amp;if($K3="S1","a",if($K3="S2","b","")),Students!$A:$A,AQ$2)+
countifs(Students!$D:$D,$Y3,Students!$E:$E,$Y$2&amp;if($K3="S1","a",if($K3="S2","b","")),Students!$A:$A,AQ$2)+countifs(Students!$F:$F,$Y3,Students!$G:$G,$Y$2&amp;if($K3="S1","a",if($K3="S2","b","")),Students!$A:$A,AQ$2)+countifs(Students!$H:$H,$Y3,Students!$I:$I,$Y$2&amp;if($K3="S1","a",if($K3="S2","b","")),Students!$A:$A,AQ$2)+countifs(Students!$J:$J,$Y3,Students!$K:$K,$Y$2&amp;if($K3="S1","a",if($K3="S2","b","")),Students!$A:$A,AQ$2)+countifs(Students!$L:$L,$Y3,Students!$M:$M,$Y$2&amp;if($K3="S1","a",if($K3="S2","b","")),Students!$A:$A,AQ$2)+countifs(Students!$N:$N,$Y3,Students!$O:$O,$Y$2&amp;if($K3="S1","a",if($K3="S2","b","")),Students!$A:$A,AQ$2)+countifs(Students!$P:$P,$Y3,Students!$Q:$Q,$Y$2&amp;if($K3="S1","a",if($K3="S2","b","")),Students!$A:$A,AQ$2)+countifs(Students!$R:$R,$Y3,Students!$S:$S,$Y$2&amp;if($K3="S1","a",if($K3="S2","b","")),Students!$A:$A,AQ$2)+countifs(Students!$T:$T,$Y3,Students!$U:$U,$Y$2&amp;if($K3="S1","a",if($K3="S2","b","")),Students!$A:$A,AQ$2)+countifs(Students!$V:$V,$Y3,Students!$W:$W,$Y$2&amp;if($K3="S1","a",if($K3="S2","b","")),Students!$A:$A,AQ$2)+
countifs(Students!$D:$D,$AB3,Students!$E:$E,$AB$2&amp;if($K3="S1","a",if($K3="S2","b","")),Students!$A:$A,AQ$2)+countifs(Students!$F:$F,$AB3,Students!$G:$G,$AB$2&amp;if($K3="S1","a",if($K3="S2","b","")),Students!$A:$A,AQ$2)+countifs(Students!$H:$H,$AB3,Students!$I:$I,$AB$2&amp;if($K3="S1","a",if($K3="S2","b","")),Students!$A:$A,AQ$2)+countifs(Students!$J:$J,$AB3,Students!$K:$K,$AB$2&amp;if($K3="S1","a",if($K3="S2","b","")),Students!$A:$A,AQ$2)+countifs(Students!$L:$L,$AB3,Students!$M:$M,$AB$2&amp;if($K3="S1","a",if($K3="S2","b","")),Students!$A:$A,AQ$2)+countifs(Students!$N:$N,$AB3,Students!$O:$O,$AB$2&amp;if($K3="S1","a",if($K3="S2","b","")),Students!$A:$A,AQ$2)+countifs(Students!$P:$P,$AB3,Students!$Q:$Q,$AB$2&amp;if($K3="S1","a",if($K3="S2","b","")),Students!$A:$A,AQ$2)+countifs(Students!$R:$R,$AB3,Students!$S:$S,$AB$2&amp;if($K3="S1","a",if($K3="S2","b","")),Students!$A:$A,AQ$2)+countifs(Students!$T:$T,$AB3,Students!$U:$U,$AB$2&amp;if($K3="S1","a",if($K3="S2","b","")),Students!$A:$A,AQ$2)+countifs(Students!$V:$V,$AB3,Students!$W:$W,$AB$2&amp;if($K3="S1","a",if($K3="S2","b","")),Students!$A:$A,AQ$2)+
countifs(Students!$D:$D,$AE3,Students!$E:$E,$AE$2&amp;if($K3="S1","a",if($K3="S2","b","")),Students!$A:$A,AQ$2)+countifs(Students!$F:$F,$AE3,Students!$G:$G,$AE$2&amp;if($K3="S1","a",if($K3="S2","b","")),Students!$A:$A,AQ$2)+countifs(Students!$H:$H,$AE3,Students!$I:$I,$AE$2&amp;if($K3="S1","a",if($K3="S2","b","")),Students!$A:$A,AQ$2)+countifs(Students!$J:$J,$AE3,Students!$K:$K,$AE$2&amp;if($K3="S1","a",if($K3="S2","b","")),Students!$A:$A,AQ$2)+countifs(Students!$L:$L,$AE3,Students!$M:$M,$AE$2&amp;if($K3="S1","a",if($K3="S2","b","")),Students!$A:$A,AQ$2)+countifs(Students!$N:$N,$AE3,Students!$O:$O,$AE$2&amp;if($K3="S1","a",if($K3="S2","b","")),Students!$A:$A,AQ$2)+countifs(Students!$P:$P,$AE3,Students!$Q:$Q,$AE$2&amp;if($K3="S1","a",if($K3="S2","b","")),Students!$A:$A,AQ$2)+countifs(Students!$R:$R,$AE3,Students!$S:$S,$AE$2&amp;if($K3="S1","a",if($K3="S2","b","")),Students!$A:$A,AQ$2)+countifs(Students!$T:$T,$AE3,Students!$U:$U,$AE$2&amp;if($K3="S1","a",if($K3="S2","b","")),Students!$A:$A,AQ$2)+countifs(Students!$V:$V,$AE3,Students!$W:$W,$AE$2&amp;if($K3="S1","a",if($K3="S2","b","")),Students!$A:$A,AQ$2)+
countifs(Students!$D:$D,$AH3,Students!$E:$E,$AH$2&amp;if($K3="S1","a",if($K3="S2","b","")),Students!$A:$A,AQ$2)+countifs(Students!$F:$F,$AH3,Students!$G:$G,$AH$2&amp;if($K3="S1","a",if($K3="S2","b","")),Students!$A:$A,AQ$2)+countifs(Students!$H:$H,$AH3,Students!$I:$I,$AH$2&amp;if($K3="S1","a",if($K3="S2","b","")),Students!$A:$A,AQ$2)+countifs(Students!$J:$J,$AH3,Students!$K:$K,$AH$2&amp;if($K3="S1","a",if($K3="S2","b","")),Students!$A:$A,AQ$2)+countifs(Students!$L:$L,$AH3,Students!$M:$M,$AH$2&amp;if($K3="S1","a",if($K3="S2","b","")),Students!$A:$A,AQ$2)+countifs(Students!$N:$N,$AH3,Students!$O:$O,$AH$2&amp;if($K3="S1","a",if($K3="S2","b","")),Students!$A:$A,AQ$2)+countifs(Students!$P:$P,$AH3,Students!$Q:$Q,$AH$2&amp;if($K3="S1","a",if($K3="S2","b","")),Students!$A:$A,AQ$2)+countifs(Students!$R:$R,$AH3,Students!$S:$S,$AH$2&amp;if($K3="S1","a",if($K3="S2","b","")),Students!$A:$A,AQ$2)+countifs(Students!$T:$T,$AH3,Students!$U:$U,$AH$2&amp;if($K3="S1","a",if($K3="S2","b","")),Students!$A:$A,AQ$2)+countifs(Students!$V:$V,$AH3,Students!$W:$W,$AH$2&amp;if($K3="S1","a",if($K3="S2","b","")),Students!$A:$A,AQ$2)+
countifs(Students!$D:$D,$AK3,Students!$E:$E,$AK$2&amp;if($K3="S1","a",if($K3="S2","b","")),Students!$A:$A,AQ$2)+countifs(Students!$F:$F,$AK3,Students!$G:$G,$AK$2&amp;if($K3="S1","a",if($K3="S2","b","")),Students!$A:$A,AQ$2)+countifs(Students!$H:$H,$AK3,Students!$I:$I,$AK$2&amp;if($K3="S1","a",if($K3="S2","b","")),Students!$A:$A,AQ$2)+countifs(Students!$J:$J,$AK3,Students!$K:$K,$AK$2&amp;if($K3="S1","a",if($K3="S2","b","")),Students!$A:$A,AQ$2)+countifs(Students!$L:$L,$AK3,Students!$M:$M,$AK$2&amp;if($K3="S1","a",if($K3="S2","b","")),Students!$A:$A,AQ$2)+countifs(Students!$N:$N,$AK3,Students!$O:$O,$AK$2&amp;if($K3="S1","a",if($K3="S2","b","")),Students!$A:$A,AQ$2)+countifs(Students!$P:$P,$AK3,Students!$Q:$Q,$AK$2&amp;if($K3="S1","a",if($K3="S2","b","")),Students!$A:$A,AQ$2)+countifs(Students!$R:$R,$AK3,Students!$S:$S,$AK$2&amp;if($K3="S1","a",if($K3="S2","b","")),Students!$A:$A,AQ$2)+countifs(Students!$T:$T,$AK3,Students!$U:$U,$AK$2&amp;if($K3="S1","a",if($K3="S2","b","")),Students!$A:$A,AQ$2)+countifs(Students!$V:$V,$AK3,Students!$W:$W,$AK$2&amp;if($K3="S1","a",if($K3="S2","b","")),Students!$A:$A,AQ$2))</f>
        <v>33</v>
      </c>
      <c r="AR3" s="52">
        <f>if($L3="","",countifs(Students!$D:$D,$P3,Students!$E:$E,$P$2&amp;if($K3="S1","a",if($K3="S2","b","")),Students!$A:$A,AR$2)+countifs(Students!$F:$F,$P3,Students!$G:$G,$P$2&amp;if($K3="S1","a",if($K3="S2","b","")),Students!$A:$A,AR$2)+countifs(Students!$H:$H,$P3,Students!$I:$I,$P$2&amp;if($K3="S1","a",if($K3="S2","b","")),Students!$A:$A,AR$2)+countifs(Students!$J:$J,$P3,Students!$K:$K,$P$2&amp;if($K3="S1","a",if($K3="S2","b","")),Students!$A:$A,AR$2)+countifs(Students!$L:$L,$P3,Students!$M:$M,$P$2&amp;if($K3="S1","a",if($K3="S2","b","")),Students!$A:$A,AR$2)+countifs(Students!$N:$N,$P3,Students!$O:$O,$P$2&amp;if($K3="S1","a",if($K3="S2","b","")),Students!$A:$A,AR$2)+countifs(Students!$P:$P,$P3,Students!$Q:$Q,$P$2&amp;if($K3="S1","a",if($K3="S2","b","")),Students!$A:$A,AR$2)+countifs(Students!$R:$R,$P3,Students!$S:$S,$P$2&amp;if($K3="S1","a",if($K3="S2","b","")),Students!$A:$A,AR$2)+countifs(Students!$T:$T,$P3,Students!$U:$U,$P$2&amp;if($K3="S1","a",if($K3="S2","b","")),Students!$A:$A,AR$2)+countifs(Students!$V:$V,$P3,Students!$W:$W,$P$2&amp;if($K3="S1","a",if($K3="S2","b","")),Students!$A:$A,AR$2)+
countifs(Students!$D:$D,$S3,Students!$E:$E,$S$2&amp;if($K3="S1","a",if($K3="S2","b","")),Students!$A:$A,AR$2)+countifs(Students!$F:$F,$S3,Students!$G:$G,$S$2&amp;if($K3="S1","a",if($K3="S2","b","")),Students!$A:$A,AR$2)+countifs(Students!$H:$H,$S3,Students!$I:$I,$S$2&amp;if($K3="S1","a",if($K3="S2","b","")),Students!$A:$A,AR$2)+countifs(Students!$J:$J,$S3,Students!$K:$K,$S$2&amp;if($K3="S1","a",if($K3="S2","b","")),Students!$A:$A,AR$2)+countifs(Students!$L:$L,$S3,Students!$M:$M,$S$2&amp;if($K3="S1","a",if($K3="S2","b","")),Students!$A:$A,AR$2)+countifs(Students!$N:$N,$S3,Students!$O:$O,$S$2&amp;if($K3="S1","a",if($K3="S2","b","")),Students!$A:$A,AR$2)+countifs(Students!$P:$P,$S3,Students!$Q:$Q,$S$2&amp;if($K3="S1","a",if($K3="S2","b","")),Students!$A:$A,AR$2)+countifs(Students!$R:$R,$S3,Students!$S:$S,$S$2&amp;if($K3="S1","a",if($K3="S2","b","")),Students!$A:$A,AR$2)+countifs(Students!$T:$T,$S3,Students!$U:$U,$S$2&amp;if($K3="S1","a",if($K3="S2","b","")),Students!$A:$A,AR$2)+countifs(Students!$V:$V,$S3,Students!$W:$W,$S$2&amp;if($K3="S1","a",if($K3="S2","b","")),Students!$A:$A,AR$2)+
countifs(Students!$D:$D,$V3,Students!$E:$E,$V$2&amp;if($K3="S1","a",if($K3="S2","b","")),Students!$A:$A,AR$2)+countifs(Students!$F:$F,$V3,Students!$G:$G,$V$2&amp;if($K3="S1","a",if($K3="S2","b","")),Students!$A:$A,AR$2)+countifs(Students!$H:$H,$V3,Students!$I:$I,$V$2&amp;if($K3="S1","a",if($K3="S2","b","")),Students!$A:$A,AR$2)+countifs(Students!$J:$J,$V3,Students!$K:$K,$V$2&amp;if($K3="S1","a",if($K3="S2","b","")),Students!$A:$A,AR$2)+countifs(Students!$L:$L,$V3,Students!$M:$M,$V$2&amp;if($K3="S1","a",if($K3="S2","b","")),Students!$A:$A,AR$2)+countifs(Students!$N:$N,$V3,Students!$O:$O,$V$2&amp;if($K3="S1","a",if($K3="S2","b","")),Students!$A:$A,AR$2)+countifs(Students!$P:$P,$V3,Students!$Q:$Q,$V$2&amp;if($K3="S1","a",if($K3="S2","b","")),Students!$A:$A,AR$2)+countifs(Students!$R:$R,$V3,Students!$S:$S,$V$2&amp;if($K3="S1","a",if($K3="S2","b","")),Students!$A:$A,AR$2)+countifs(Students!$T:$T,$V3,Students!$U:$U,$V$2&amp;if($K3="S1","a",if($K3="S2","b","")),Students!$A:$A,AR$2)+countifs(Students!$V:$V,$V3,Students!$W:$W,$V$2&amp;if($K3="S1","a",if($K3="S2","b","")),Students!$A:$A,AR$2)+
countifs(Students!$D:$D,$Y3,Students!$E:$E,$Y$2&amp;if($K3="S1","a",if($K3="S2","b","")),Students!$A:$A,AR$2)+countifs(Students!$F:$F,$Y3,Students!$G:$G,$Y$2&amp;if($K3="S1","a",if($K3="S2","b","")),Students!$A:$A,AR$2)+countifs(Students!$H:$H,$Y3,Students!$I:$I,$Y$2&amp;if($K3="S1","a",if($K3="S2","b","")),Students!$A:$A,AR$2)+countifs(Students!$J:$J,$Y3,Students!$K:$K,$Y$2&amp;if($K3="S1","a",if($K3="S2","b","")),Students!$A:$A,AR$2)+countifs(Students!$L:$L,$Y3,Students!$M:$M,$Y$2&amp;if($K3="S1","a",if($K3="S2","b","")),Students!$A:$A,AR$2)+countifs(Students!$N:$N,$Y3,Students!$O:$O,$Y$2&amp;if($K3="S1","a",if($K3="S2","b","")),Students!$A:$A,AR$2)+countifs(Students!$P:$P,$Y3,Students!$Q:$Q,$Y$2&amp;if($K3="S1","a",if($K3="S2","b","")),Students!$A:$A,AR$2)+countifs(Students!$R:$R,$Y3,Students!$S:$S,$Y$2&amp;if($K3="S1","a",if($K3="S2","b","")),Students!$A:$A,AR$2)+countifs(Students!$T:$T,$Y3,Students!$U:$U,$Y$2&amp;if($K3="S1","a",if($K3="S2","b","")),Students!$A:$A,AR$2)+countifs(Students!$V:$V,$Y3,Students!$W:$W,$Y$2&amp;if($K3="S1","a",if($K3="S2","b","")),Students!$A:$A,AR$2)+
countifs(Students!$D:$D,$AB3,Students!$E:$E,$AB$2&amp;if($K3="S1","a",if($K3="S2","b","")),Students!$A:$A,AR$2)+countifs(Students!$F:$F,$AB3,Students!$G:$G,$AB$2&amp;if($K3="S1","a",if($K3="S2","b","")),Students!$A:$A,AR$2)+countifs(Students!$H:$H,$AB3,Students!$I:$I,$AB$2&amp;if($K3="S1","a",if($K3="S2","b","")),Students!$A:$A,AR$2)+countifs(Students!$J:$J,$AB3,Students!$K:$K,$AB$2&amp;if($K3="S1","a",if($K3="S2","b","")),Students!$A:$A,AR$2)+countifs(Students!$L:$L,$AB3,Students!$M:$M,$AB$2&amp;if($K3="S1","a",if($K3="S2","b","")),Students!$A:$A,AR$2)+countifs(Students!$N:$N,$AB3,Students!$O:$O,$AB$2&amp;if($K3="S1","a",if($K3="S2","b","")),Students!$A:$A,AR$2)+countifs(Students!$P:$P,$AB3,Students!$Q:$Q,$AB$2&amp;if($K3="S1","a",if($K3="S2","b","")),Students!$A:$A,AR$2)+countifs(Students!$R:$R,$AB3,Students!$S:$S,$AB$2&amp;if($K3="S1","a",if($K3="S2","b","")),Students!$A:$A,AR$2)+countifs(Students!$T:$T,$AB3,Students!$U:$U,$AB$2&amp;if($K3="S1","a",if($K3="S2","b","")),Students!$A:$A,AR$2)+countifs(Students!$V:$V,$AB3,Students!$W:$W,$AB$2&amp;if($K3="S1","a",if($K3="S2","b","")),Students!$A:$A,AR$2)+
countifs(Students!$D:$D,$AE3,Students!$E:$E,$AE$2&amp;if($K3="S1","a",if($K3="S2","b","")),Students!$A:$A,AR$2)+countifs(Students!$F:$F,$AE3,Students!$G:$G,$AE$2&amp;if($K3="S1","a",if($K3="S2","b","")),Students!$A:$A,AR$2)+countifs(Students!$H:$H,$AE3,Students!$I:$I,$AE$2&amp;if($K3="S1","a",if($K3="S2","b","")),Students!$A:$A,AR$2)+countifs(Students!$J:$J,$AE3,Students!$K:$K,$AE$2&amp;if($K3="S1","a",if($K3="S2","b","")),Students!$A:$A,AR$2)+countifs(Students!$L:$L,$AE3,Students!$M:$M,$AE$2&amp;if($K3="S1","a",if($K3="S2","b","")),Students!$A:$A,AR$2)+countifs(Students!$N:$N,$AE3,Students!$O:$O,$AE$2&amp;if($K3="S1","a",if($K3="S2","b","")),Students!$A:$A,AR$2)+countifs(Students!$P:$P,$AE3,Students!$Q:$Q,$AE$2&amp;if($K3="S1","a",if($K3="S2","b","")),Students!$A:$A,AR$2)+countifs(Students!$R:$R,$AE3,Students!$S:$S,$AE$2&amp;if($K3="S1","a",if($K3="S2","b","")),Students!$A:$A,AR$2)+countifs(Students!$T:$T,$AE3,Students!$U:$U,$AE$2&amp;if($K3="S1","a",if($K3="S2","b","")),Students!$A:$A,AR$2)+countifs(Students!$V:$V,$AE3,Students!$W:$W,$AE$2&amp;if($K3="S1","a",if($K3="S2","b","")),Students!$A:$A,AR$2)+
countifs(Students!$D:$D,$AH3,Students!$E:$E,$AH$2&amp;if($K3="S1","a",if($K3="S2","b","")),Students!$A:$A,AR$2)+countifs(Students!$F:$F,$AH3,Students!$G:$G,$AH$2&amp;if($K3="S1","a",if($K3="S2","b","")),Students!$A:$A,AR$2)+countifs(Students!$H:$H,$AH3,Students!$I:$I,$AH$2&amp;if($K3="S1","a",if($K3="S2","b","")),Students!$A:$A,AR$2)+countifs(Students!$J:$J,$AH3,Students!$K:$K,$AH$2&amp;if($K3="S1","a",if($K3="S2","b","")),Students!$A:$A,AR$2)+countifs(Students!$L:$L,$AH3,Students!$M:$M,$AH$2&amp;if($K3="S1","a",if($K3="S2","b","")),Students!$A:$A,AR$2)+countifs(Students!$N:$N,$AH3,Students!$O:$O,$AH$2&amp;if($K3="S1","a",if($K3="S2","b","")),Students!$A:$A,AR$2)+countifs(Students!$P:$P,$AH3,Students!$Q:$Q,$AH$2&amp;if($K3="S1","a",if($K3="S2","b","")),Students!$A:$A,AR$2)+countifs(Students!$R:$R,$AH3,Students!$S:$S,$AH$2&amp;if($K3="S1","a",if($K3="S2","b","")),Students!$A:$A,AR$2)+countifs(Students!$T:$T,$AH3,Students!$U:$U,$AH$2&amp;if($K3="S1","a",if($K3="S2","b","")),Students!$A:$A,AR$2)+countifs(Students!$V:$V,$AH3,Students!$W:$W,$AH$2&amp;if($K3="S1","a",if($K3="S2","b","")),Students!$A:$A,AR$2)+
countifs(Students!$D:$D,$AK3,Students!$E:$E,$AK$2&amp;if($K3="S1","a",if($K3="S2","b","")),Students!$A:$A,AR$2)+countifs(Students!$F:$F,$AK3,Students!$G:$G,$AK$2&amp;if($K3="S1","a",if($K3="S2","b","")),Students!$A:$A,AR$2)+countifs(Students!$H:$H,$AK3,Students!$I:$I,$AK$2&amp;if($K3="S1","a",if($K3="S2","b","")),Students!$A:$A,AR$2)+countifs(Students!$J:$J,$AK3,Students!$K:$K,$AK$2&amp;if($K3="S1","a",if($K3="S2","b","")),Students!$A:$A,AR$2)+countifs(Students!$L:$L,$AK3,Students!$M:$M,$AK$2&amp;if($K3="S1","a",if($K3="S2","b","")),Students!$A:$A,AR$2)+countifs(Students!$N:$N,$AK3,Students!$O:$O,$AK$2&amp;if($K3="S1","a",if($K3="S2","b","")),Students!$A:$A,AR$2)+countifs(Students!$P:$P,$AK3,Students!$Q:$Q,$AK$2&amp;if($K3="S1","a",if($K3="S2","b","")),Students!$A:$A,AR$2)+countifs(Students!$R:$R,$AK3,Students!$S:$S,$AK$2&amp;if($K3="S1","a",if($K3="S2","b","")),Students!$A:$A,AR$2)+countifs(Students!$T:$T,$AK3,Students!$U:$U,$AK$2&amp;if($K3="S1","a",if($K3="S2","b","")),Students!$A:$A,AR$2)+countifs(Students!$V:$V,$AK3,Students!$W:$W,$AK$2&amp;if($K3="S1","a",if($K3="S2","b","")),Students!$A:$A,AR$2))</f>
        <v>44</v>
      </c>
      <c r="AS3" s="52">
        <f>if($L3="","",countifs(Students!$D:$D,$P3,Students!$E:$E,$P$2&amp;if($K3="S1","a",if($K3="S2","b","")),Students!$A:$A,AS$2)+countifs(Students!$F:$F,$P3,Students!$G:$G,$P$2&amp;if($K3="S1","a",if($K3="S2","b","")),Students!$A:$A,AS$2)+countifs(Students!$H:$H,$P3,Students!$I:$I,$P$2&amp;if($K3="S1","a",if($K3="S2","b","")),Students!$A:$A,AS$2)+countifs(Students!$J:$J,$P3,Students!$K:$K,$P$2&amp;if($K3="S1","a",if($K3="S2","b","")),Students!$A:$A,AS$2)+countifs(Students!$L:$L,$P3,Students!$M:$M,$P$2&amp;if($K3="S1","a",if($K3="S2","b","")),Students!$A:$A,AS$2)+countifs(Students!$N:$N,$P3,Students!$O:$O,$P$2&amp;if($K3="S1","a",if($K3="S2","b","")),Students!$A:$A,AS$2)+countifs(Students!$P:$P,$P3,Students!$Q:$Q,$P$2&amp;if($K3="S1","a",if($K3="S2","b","")),Students!$A:$A,AS$2)+countifs(Students!$R:$R,$P3,Students!$S:$S,$P$2&amp;if($K3="S1","a",if($K3="S2","b","")),Students!$A:$A,AS$2)+countifs(Students!$T:$T,$P3,Students!$U:$U,$P$2&amp;if($K3="S1","a",if($K3="S2","b","")),Students!$A:$A,AS$2)+countifs(Students!$V:$V,$P3,Students!$W:$W,$P$2&amp;if($K3="S1","a",if($K3="S2","b","")),Students!$A:$A,AS$2)+
countifs(Students!$D:$D,$S3,Students!$E:$E,$S$2&amp;if($K3="S1","a",if($K3="S2","b","")),Students!$A:$A,AS$2)+countifs(Students!$F:$F,$S3,Students!$G:$G,$S$2&amp;if($K3="S1","a",if($K3="S2","b","")),Students!$A:$A,AS$2)+countifs(Students!$H:$H,$S3,Students!$I:$I,$S$2&amp;if($K3="S1","a",if($K3="S2","b","")),Students!$A:$A,AS$2)+countifs(Students!$J:$J,$S3,Students!$K:$K,$S$2&amp;if($K3="S1","a",if($K3="S2","b","")),Students!$A:$A,AS$2)+countifs(Students!$L:$L,$S3,Students!$M:$M,$S$2&amp;if($K3="S1","a",if($K3="S2","b","")),Students!$A:$A,AS$2)+countifs(Students!$N:$N,$S3,Students!$O:$O,$S$2&amp;if($K3="S1","a",if($K3="S2","b","")),Students!$A:$A,AS$2)+countifs(Students!$P:$P,$S3,Students!$Q:$Q,$S$2&amp;if($K3="S1","a",if($K3="S2","b","")),Students!$A:$A,AS$2)+countifs(Students!$R:$R,$S3,Students!$S:$S,$S$2&amp;if($K3="S1","a",if($K3="S2","b","")),Students!$A:$A,AS$2)+countifs(Students!$T:$T,$S3,Students!$U:$U,$S$2&amp;if($K3="S1","a",if($K3="S2","b","")),Students!$A:$A,AS$2)+countifs(Students!$V:$V,$S3,Students!$W:$W,$S$2&amp;if($K3="S1","a",if($K3="S2","b","")),Students!$A:$A,AS$2)+
countifs(Students!$D:$D,$V3,Students!$E:$E,$V$2&amp;if($K3="S1","a",if($K3="S2","b","")),Students!$A:$A,AS$2)+countifs(Students!$F:$F,$V3,Students!$G:$G,$V$2&amp;if($K3="S1","a",if($K3="S2","b","")),Students!$A:$A,AS$2)+countifs(Students!$H:$H,$V3,Students!$I:$I,$V$2&amp;if($K3="S1","a",if($K3="S2","b","")),Students!$A:$A,AS$2)+countifs(Students!$J:$J,$V3,Students!$K:$K,$V$2&amp;if($K3="S1","a",if($K3="S2","b","")),Students!$A:$A,AS$2)+countifs(Students!$L:$L,$V3,Students!$M:$M,$V$2&amp;if($K3="S1","a",if($K3="S2","b","")),Students!$A:$A,AS$2)+countifs(Students!$N:$N,$V3,Students!$O:$O,$V$2&amp;if($K3="S1","a",if($K3="S2","b","")),Students!$A:$A,AS$2)+countifs(Students!$P:$P,$V3,Students!$Q:$Q,$V$2&amp;if($K3="S1","a",if($K3="S2","b","")),Students!$A:$A,AS$2)+countifs(Students!$R:$R,$V3,Students!$S:$S,$V$2&amp;if($K3="S1","a",if($K3="S2","b","")),Students!$A:$A,AS$2)+countifs(Students!$T:$T,$V3,Students!$U:$U,$V$2&amp;if($K3="S1","a",if($K3="S2","b","")),Students!$A:$A,AS$2)+countifs(Students!$V:$V,$V3,Students!$W:$W,$V$2&amp;if($K3="S1","a",if($K3="S2","b","")),Students!$A:$A,AS$2)+
countifs(Students!$D:$D,$Y3,Students!$E:$E,$Y$2&amp;if($K3="S1","a",if($K3="S2","b","")),Students!$A:$A,AS$2)+countifs(Students!$F:$F,$Y3,Students!$G:$G,$Y$2&amp;if($K3="S1","a",if($K3="S2","b","")),Students!$A:$A,AS$2)+countifs(Students!$H:$H,$Y3,Students!$I:$I,$Y$2&amp;if($K3="S1","a",if($K3="S2","b","")),Students!$A:$A,AS$2)+countifs(Students!$J:$J,$Y3,Students!$K:$K,$Y$2&amp;if($K3="S1","a",if($K3="S2","b","")),Students!$A:$A,AS$2)+countifs(Students!$L:$L,$Y3,Students!$M:$M,$Y$2&amp;if($K3="S1","a",if($K3="S2","b","")),Students!$A:$A,AS$2)+countifs(Students!$N:$N,$Y3,Students!$O:$O,$Y$2&amp;if($K3="S1","a",if($K3="S2","b","")),Students!$A:$A,AS$2)+countifs(Students!$P:$P,$Y3,Students!$Q:$Q,$Y$2&amp;if($K3="S1","a",if($K3="S2","b","")),Students!$A:$A,AS$2)+countifs(Students!$R:$R,$Y3,Students!$S:$S,$Y$2&amp;if($K3="S1","a",if($K3="S2","b","")),Students!$A:$A,AS$2)+countifs(Students!$T:$T,$Y3,Students!$U:$U,$Y$2&amp;if($K3="S1","a",if($K3="S2","b","")),Students!$A:$A,AS$2)+countifs(Students!$V:$V,$Y3,Students!$W:$W,$Y$2&amp;if($K3="S1","a",if($K3="S2","b","")),Students!$A:$A,AS$2)+
countifs(Students!$D:$D,$AB3,Students!$E:$E,$AB$2&amp;if($K3="S1","a",if($K3="S2","b","")),Students!$A:$A,AS$2)+countifs(Students!$F:$F,$AB3,Students!$G:$G,$AB$2&amp;if($K3="S1","a",if($K3="S2","b","")),Students!$A:$A,AS$2)+countifs(Students!$H:$H,$AB3,Students!$I:$I,$AB$2&amp;if($K3="S1","a",if($K3="S2","b","")),Students!$A:$A,AS$2)+countifs(Students!$J:$J,$AB3,Students!$K:$K,$AB$2&amp;if($K3="S1","a",if($K3="S2","b","")),Students!$A:$A,AS$2)+countifs(Students!$L:$L,$AB3,Students!$M:$M,$AB$2&amp;if($K3="S1","a",if($K3="S2","b","")),Students!$A:$A,AS$2)+countifs(Students!$N:$N,$AB3,Students!$O:$O,$AB$2&amp;if($K3="S1","a",if($K3="S2","b","")),Students!$A:$A,AS$2)+countifs(Students!$P:$P,$AB3,Students!$Q:$Q,$AB$2&amp;if($K3="S1","a",if($K3="S2","b","")),Students!$A:$A,AS$2)+countifs(Students!$R:$R,$AB3,Students!$S:$S,$AB$2&amp;if($K3="S1","a",if($K3="S2","b","")),Students!$A:$A,AS$2)+countifs(Students!$T:$T,$AB3,Students!$U:$U,$AB$2&amp;if($K3="S1","a",if($K3="S2","b","")),Students!$A:$A,AS$2)+countifs(Students!$V:$V,$AB3,Students!$W:$W,$AB$2&amp;if($K3="S1","a",if($K3="S2","b","")),Students!$A:$A,AS$2)+
countifs(Students!$D:$D,$AE3,Students!$E:$E,$AE$2&amp;if($K3="S1","a",if($K3="S2","b","")),Students!$A:$A,AS$2)+countifs(Students!$F:$F,$AE3,Students!$G:$G,$AE$2&amp;if($K3="S1","a",if($K3="S2","b","")),Students!$A:$A,AS$2)+countifs(Students!$H:$H,$AE3,Students!$I:$I,$AE$2&amp;if($K3="S1","a",if($K3="S2","b","")),Students!$A:$A,AS$2)+countifs(Students!$J:$J,$AE3,Students!$K:$K,$AE$2&amp;if($K3="S1","a",if($K3="S2","b","")),Students!$A:$A,AS$2)+countifs(Students!$L:$L,$AE3,Students!$M:$M,$AE$2&amp;if($K3="S1","a",if($K3="S2","b","")),Students!$A:$A,AS$2)+countifs(Students!$N:$N,$AE3,Students!$O:$O,$AE$2&amp;if($K3="S1","a",if($K3="S2","b","")),Students!$A:$A,AS$2)+countifs(Students!$P:$P,$AE3,Students!$Q:$Q,$AE$2&amp;if($K3="S1","a",if($K3="S2","b","")),Students!$A:$A,AS$2)+countifs(Students!$R:$R,$AE3,Students!$S:$S,$AE$2&amp;if($K3="S1","a",if($K3="S2","b","")),Students!$A:$A,AS$2)+countifs(Students!$T:$T,$AE3,Students!$U:$U,$AE$2&amp;if($K3="S1","a",if($K3="S2","b","")),Students!$A:$A,AS$2)+countifs(Students!$V:$V,$AE3,Students!$W:$W,$AE$2&amp;if($K3="S1","a",if($K3="S2","b","")),Students!$A:$A,AS$2)+
countifs(Students!$D:$D,$AH3,Students!$E:$E,$AH$2&amp;if($K3="S1","a",if($K3="S2","b","")),Students!$A:$A,AS$2)+countifs(Students!$F:$F,$AH3,Students!$G:$G,$AH$2&amp;if($K3="S1","a",if($K3="S2","b","")),Students!$A:$A,AS$2)+countifs(Students!$H:$H,$AH3,Students!$I:$I,$AH$2&amp;if($K3="S1","a",if($K3="S2","b","")),Students!$A:$A,AS$2)+countifs(Students!$J:$J,$AH3,Students!$K:$K,$AH$2&amp;if($K3="S1","a",if($K3="S2","b","")),Students!$A:$A,AS$2)+countifs(Students!$L:$L,$AH3,Students!$M:$M,$AH$2&amp;if($K3="S1","a",if($K3="S2","b","")),Students!$A:$A,AS$2)+countifs(Students!$N:$N,$AH3,Students!$O:$O,$AH$2&amp;if($K3="S1","a",if($K3="S2","b","")),Students!$A:$A,AS$2)+countifs(Students!$P:$P,$AH3,Students!$Q:$Q,$AH$2&amp;if($K3="S1","a",if($K3="S2","b","")),Students!$A:$A,AS$2)+countifs(Students!$R:$R,$AH3,Students!$S:$S,$AH$2&amp;if($K3="S1","a",if($K3="S2","b","")),Students!$A:$A,AS$2)+countifs(Students!$T:$T,$AH3,Students!$U:$U,$AH$2&amp;if($K3="S1","a",if($K3="S2","b","")),Students!$A:$A,AS$2)+countifs(Students!$V:$V,$AH3,Students!$W:$W,$AH$2&amp;if($K3="S1","a",if($K3="S2","b","")),Students!$A:$A,AS$2)+
countifs(Students!$D:$D,$AK3,Students!$E:$E,$AK$2&amp;if($K3="S1","a",if($K3="S2","b","")),Students!$A:$A,AS$2)+countifs(Students!$F:$F,$AK3,Students!$G:$G,$AK$2&amp;if($K3="S1","a",if($K3="S2","b","")),Students!$A:$A,AS$2)+countifs(Students!$H:$H,$AK3,Students!$I:$I,$AK$2&amp;if($K3="S1","a",if($K3="S2","b","")),Students!$A:$A,AS$2)+countifs(Students!$J:$J,$AK3,Students!$K:$K,$AK$2&amp;if($K3="S1","a",if($K3="S2","b","")),Students!$A:$A,AS$2)+countifs(Students!$L:$L,$AK3,Students!$M:$M,$AK$2&amp;if($K3="S1","a",if($K3="S2","b","")),Students!$A:$A,AS$2)+countifs(Students!$N:$N,$AK3,Students!$O:$O,$AK$2&amp;if($K3="S1","a",if($K3="S2","b","")),Students!$A:$A,AS$2)+countifs(Students!$P:$P,$AK3,Students!$Q:$Q,$AK$2&amp;if($K3="S1","a",if($K3="S2","b","")),Students!$A:$A,AS$2)+countifs(Students!$R:$R,$AK3,Students!$S:$S,$AK$2&amp;if($K3="S1","a",if($K3="S2","b","")),Students!$A:$A,AS$2)+countifs(Students!$T:$T,$AK3,Students!$U:$U,$AK$2&amp;if($K3="S1","a",if($K3="S2","b","")),Students!$A:$A,AS$2)+countifs(Students!$V:$V,$AK3,Students!$W:$W,$AK$2&amp;if($K3="S1","a",if($K3="S2","b","")),Students!$A:$A,AS$2))</f>
        <v>20</v>
      </c>
    </row>
    <row r="4">
      <c r="A4" s="53"/>
      <c r="B4" s="20">
        <v>2.0</v>
      </c>
      <c r="C4" s="54">
        <v>2.0</v>
      </c>
      <c r="D4" s="55">
        <v>7.0</v>
      </c>
      <c r="E4" s="56">
        <v>4.0</v>
      </c>
      <c r="F4" s="40">
        <v>1.0</v>
      </c>
      <c r="G4" s="41">
        <v>6.0</v>
      </c>
      <c r="I4" s="45"/>
      <c r="J4" s="46">
        <v>123.0</v>
      </c>
      <c r="K4" s="57"/>
      <c r="L4" s="58" t="s">
        <v>25</v>
      </c>
      <c r="M4" s="4"/>
      <c r="N4" s="46">
        <v>6.0</v>
      </c>
      <c r="O4" s="46">
        <f>IFERROR(__xludf.DUMMYFUNCTION("3*counta((transpose(filter(P4:AM4,P4:AM4&lt;&gt;"""",isnumber(P4:AM4)=false))))"),18.0)</f>
        <v>18</v>
      </c>
      <c r="P4" s="48" t="s">
        <v>26</v>
      </c>
      <c r="Q4" s="49">
        <v>1.0</v>
      </c>
      <c r="R4" s="49">
        <v>17.0</v>
      </c>
      <c r="S4" s="59"/>
      <c r="T4" s="60"/>
      <c r="U4" s="60" t="s">
        <v>22</v>
      </c>
      <c r="V4" s="48" t="s">
        <v>27</v>
      </c>
      <c r="W4" s="49">
        <v>2.0</v>
      </c>
      <c r="X4" s="49">
        <v>22.0</v>
      </c>
      <c r="Y4" s="48" t="s">
        <v>28</v>
      </c>
      <c r="Z4" s="49">
        <v>2.0</v>
      </c>
      <c r="AA4" s="49">
        <v>21.0</v>
      </c>
      <c r="AB4" s="48"/>
      <c r="AC4" s="49"/>
      <c r="AD4" s="49" t="s">
        <v>22</v>
      </c>
      <c r="AE4" s="48" t="s">
        <v>29</v>
      </c>
      <c r="AF4" s="49">
        <v>1.0</v>
      </c>
      <c r="AG4" s="61">
        <v>15.0</v>
      </c>
      <c r="AH4" s="48" t="s">
        <v>30</v>
      </c>
      <c r="AI4" s="49">
        <v>1.0</v>
      </c>
      <c r="AJ4" s="62">
        <v>24.0</v>
      </c>
      <c r="AK4" s="48" t="s">
        <v>30</v>
      </c>
      <c r="AL4" s="49">
        <v>2.0</v>
      </c>
      <c r="AM4" s="49">
        <v>24.0</v>
      </c>
      <c r="AN4" s="52"/>
      <c r="AO4" s="52">
        <f t="shared" si="1"/>
        <v>123</v>
      </c>
      <c r="AP4" s="52">
        <f>if($L4="","",countifs(Students!$D:$D,$P4,Students!$E:$E,$P$2&amp;if($K4="S1","a",if($K4="S2","b","")),Students!$A:$A,AP$2)+countifs(Students!$F:$F,$P4,Students!$G:$G,$P$2&amp;if($K4="S1","a",if($K4="S2","b","")),Students!$A:$A,AP$2)+countifs(Students!$H:$H,$P4,Students!$I:$I,$P$2&amp;if($K4="S1","a",if($K4="S2","b","")),Students!$A:$A,AP$2)+countifs(Students!$J:$J,$P4,Students!$K:$K,$P$2&amp;if($K4="S1","a",if($K4="S2","b","")),Students!$A:$A,AP$2)+countifs(Students!$L:$L,$P4,Students!$M:$M,$P$2&amp;if($K4="S1","a",if($K4="S2","b","")),Students!$A:$A,AP$2)+countifs(Students!$N:$N,$P4,Students!$O:$O,$P$2&amp;if($K4="S1","a",if($K4="S2","b","")),Students!$A:$A,AP$2)+countifs(Students!$P:$P,$P4,Students!$Q:$Q,$P$2&amp;if($K4="S1","a",if($K4="S2","b","")),Students!$A:$A,AP$2)+countifs(Students!$R:$R,$P4,Students!$S:$S,$P$2&amp;if($K4="S1","a",if($K4="S2","b","")),Students!$A:$A,AP$2)+countifs(Students!$T:$T,$P4,Students!$U:$U,$P$2&amp;if($K4="S1","a",if($K4="S2","b","")),Students!$A:$A,AP$2)+countifs(Students!$V:$V,$P4,Students!$W:$W,$P$2&amp;if($K4="S1","a",if($K4="S2","b","")),Students!$A:$A,AP$2)+
countifs(Students!$D:$D,$S4,Students!$E:$E,$S$2&amp;if($K4="S1","a",if($K4="S2","b","")),Students!$A:$A,AP$2)+countifs(Students!$F:$F,$S4,Students!$G:$G,$S$2&amp;if($K4="S1","a",if($K4="S2","b","")),Students!$A:$A,AP$2)+countifs(Students!$H:$H,$S4,Students!$I:$I,$S$2&amp;if($K4="S1","a",if($K4="S2","b","")),Students!$A:$A,AP$2)+countifs(Students!$J:$J,$S4,Students!$K:$K,$S$2&amp;if($K4="S1","a",if($K4="S2","b","")),Students!$A:$A,AP$2)+countifs(Students!$L:$L,$S4,Students!$M:$M,$S$2&amp;if($K4="S1","a",if($K4="S2","b","")),Students!$A:$A,AP$2)+countifs(Students!$N:$N,$S4,Students!$O:$O,$S$2&amp;if($K4="S1","a",if($K4="S2","b","")),Students!$A:$A,AP$2)+countifs(Students!$P:$P,$S4,Students!$Q:$Q,$S$2&amp;if($K4="S1","a",if($K4="S2","b","")),Students!$A:$A,AP$2)+countifs(Students!$R:$R,$S4,Students!$S:$S,$S$2&amp;if($K4="S1","a",if($K4="S2","b","")),Students!$A:$A,AP$2)+countifs(Students!$T:$T,$S4,Students!$U:$U,$S$2&amp;if($K4="S1","a",if($K4="S2","b","")),Students!$A:$A,AP$2)+countifs(Students!$V:$V,$S4,Students!$W:$W,$S$2&amp;if($K4="S1","a",if($K4="S2","b","")),Students!$A:$A,AP$2)+
countifs(Students!$D:$D,$V4,Students!$E:$E,$V$2&amp;if($K4="S1","a",if($K4="S2","b","")),Students!$A:$A,AP$2)+countifs(Students!$F:$F,$V4,Students!$G:$G,$V$2&amp;if($K4="S1","a",if($K4="S2","b","")),Students!$A:$A,AP$2)+countifs(Students!$H:$H,$V4,Students!$I:$I,$V$2&amp;if($K4="S1","a",if($K4="S2","b","")),Students!$A:$A,AP$2)+countifs(Students!$J:$J,$V4,Students!$K:$K,$V$2&amp;if($K4="S1","a",if($K4="S2","b","")),Students!$A:$A,AP$2)+countifs(Students!$L:$L,$V4,Students!$M:$M,$V$2&amp;if($K4="S1","a",if($K4="S2","b","")),Students!$A:$A,AP$2)+countifs(Students!$N:$N,$V4,Students!$O:$O,$V$2&amp;if($K4="S1","a",if($K4="S2","b","")),Students!$A:$A,AP$2)+countifs(Students!$P:$P,$V4,Students!$Q:$Q,$V$2&amp;if($K4="S1","a",if($K4="S2","b","")),Students!$A:$A,AP$2)+countifs(Students!$R:$R,$V4,Students!$S:$S,$V$2&amp;if($K4="S1","a",if($K4="S2","b","")),Students!$A:$A,AP$2)+countifs(Students!$T:$T,$V4,Students!$U:$U,$V$2&amp;if($K4="S1","a",if($K4="S2","b","")),Students!$A:$A,AP$2)+countifs(Students!$V:$V,$V4,Students!$W:$W,$V$2&amp;if($K4="S1","a",if($K4="S2","b","")),Students!$A:$A,AP$2)+
countifs(Students!$D:$D,$Y4,Students!$E:$E,$Y$2&amp;if($K4="S1","a",if($K4="S2","b","")),Students!$A:$A,AP$2)+countifs(Students!$F:$F,$Y4,Students!$G:$G,$Y$2&amp;if($K4="S1","a",if($K4="S2","b","")),Students!$A:$A,AP$2)+countifs(Students!$H:$H,$Y4,Students!$I:$I,$Y$2&amp;if($K4="S1","a",if($K4="S2","b","")),Students!$A:$A,AP$2)+countifs(Students!$J:$J,$Y4,Students!$K:$K,$Y$2&amp;if($K4="S1","a",if($K4="S2","b","")),Students!$A:$A,AP$2)+countifs(Students!$L:$L,$Y4,Students!$M:$M,$Y$2&amp;if($K4="S1","a",if($K4="S2","b","")),Students!$A:$A,AP$2)+countifs(Students!$N:$N,$Y4,Students!$O:$O,$Y$2&amp;if($K4="S1","a",if($K4="S2","b","")),Students!$A:$A,AP$2)+countifs(Students!$P:$P,$Y4,Students!$Q:$Q,$Y$2&amp;if($K4="S1","a",if($K4="S2","b","")),Students!$A:$A,AP$2)+countifs(Students!$R:$R,$Y4,Students!$S:$S,$Y$2&amp;if($K4="S1","a",if($K4="S2","b","")),Students!$A:$A,AP$2)+countifs(Students!$T:$T,$Y4,Students!$U:$U,$Y$2&amp;if($K4="S1","a",if($K4="S2","b","")),Students!$A:$A,AP$2)+countifs(Students!$V:$V,$Y4,Students!$W:$W,$Y$2&amp;if($K4="S1","a",if($K4="S2","b","")),Students!$A:$A,AP$2)+
countifs(Students!$D:$D,$AB4,Students!$E:$E,$AB$2&amp;if($K4="S1","a",if($K4="S2","b","")),Students!$A:$A,AP$2)+countifs(Students!$F:$F,$AB4,Students!$G:$G,$AB$2&amp;if($K4="S1","a",if($K4="S2","b","")),Students!$A:$A,AP$2)+countifs(Students!$H:$H,$AB4,Students!$I:$I,$AB$2&amp;if($K4="S1","a",if($K4="S2","b","")),Students!$A:$A,AP$2)+countifs(Students!$J:$J,$AB4,Students!$K:$K,$AB$2&amp;if($K4="S1","a",if($K4="S2","b","")),Students!$A:$A,AP$2)+countifs(Students!$L:$L,$AB4,Students!$M:$M,$AB$2&amp;if($K4="S1","a",if($K4="S2","b","")),Students!$A:$A,AP$2)+countifs(Students!$N:$N,$AB4,Students!$O:$O,$AB$2&amp;if($K4="S1","a",if($K4="S2","b","")),Students!$A:$A,AP$2)+countifs(Students!$P:$P,$AB4,Students!$Q:$Q,$AB$2&amp;if($K4="S1","a",if($K4="S2","b","")),Students!$A:$A,AP$2)+countifs(Students!$R:$R,$AB4,Students!$S:$S,$AB$2&amp;if($K4="S1","a",if($K4="S2","b","")),Students!$A:$A,AP$2)+countifs(Students!$T:$T,$AB4,Students!$U:$U,$AB$2&amp;if($K4="S1","a",if($K4="S2","b","")),Students!$A:$A,AP$2)+countifs(Students!$V:$V,$AB4,Students!$W:$W,$AB$2&amp;if($K4="S1","a",if($K4="S2","b","")),Students!$A:$A,AP$2)+
countifs(Students!$D:$D,$AE4,Students!$E:$E,$AE$2&amp;if($K4="S1","a",if($K4="S2","b","")),Students!$A:$A,AP$2)+countifs(Students!$F:$F,$AE4,Students!$G:$G,$AE$2&amp;if($K4="S1","a",if($K4="S2","b","")),Students!$A:$A,AP$2)+countifs(Students!$H:$H,$AE4,Students!$I:$I,$AE$2&amp;if($K4="S1","a",if($K4="S2","b","")),Students!$A:$A,AP$2)+countifs(Students!$J:$J,$AE4,Students!$K:$K,$AE$2&amp;if($K4="S1","a",if($K4="S2","b","")),Students!$A:$A,AP$2)+countifs(Students!$L:$L,$AE4,Students!$M:$M,$AE$2&amp;if($K4="S1","a",if($K4="S2","b","")),Students!$A:$A,AP$2)+countifs(Students!$N:$N,$AE4,Students!$O:$O,$AE$2&amp;if($K4="S1","a",if($K4="S2","b","")),Students!$A:$A,AP$2)+countifs(Students!$P:$P,$AE4,Students!$Q:$Q,$AE$2&amp;if($K4="S1","a",if($K4="S2","b","")),Students!$A:$A,AP$2)+countifs(Students!$R:$R,$AE4,Students!$S:$S,$AE$2&amp;if($K4="S1","a",if($K4="S2","b","")),Students!$A:$A,AP$2)+countifs(Students!$T:$T,$AE4,Students!$U:$U,$AE$2&amp;if($K4="S1","a",if($K4="S2","b","")),Students!$A:$A,AP$2)+countifs(Students!$V:$V,$AE4,Students!$W:$W,$AE$2&amp;if($K4="S1","a",if($K4="S2","b","")),Students!$A:$A,AP$2)+
countifs(Students!$D:$D,$AH4,Students!$E:$E,$AH$2&amp;if($K4="S1","a",if($K4="S2","b","")),Students!$A:$A,AP$2)+countifs(Students!$F:$F,$AH4,Students!$G:$G,$AH$2&amp;if($K4="S1","a",if($K4="S2","b","")),Students!$A:$A,AP$2)+countifs(Students!$H:$H,$AH4,Students!$I:$I,$AH$2&amp;if($K4="S1","a",if($K4="S2","b","")),Students!$A:$A,AP$2)+countifs(Students!$J:$J,$AH4,Students!$K:$K,$AH$2&amp;if($K4="S1","a",if($K4="S2","b","")),Students!$A:$A,AP$2)+countifs(Students!$L:$L,$AH4,Students!$M:$M,$AH$2&amp;if($K4="S1","a",if($K4="S2","b","")),Students!$A:$A,AP$2)+countifs(Students!$N:$N,$AH4,Students!$O:$O,$AH$2&amp;if($K4="S1","a",if($K4="S2","b","")),Students!$A:$A,AP$2)+countifs(Students!$P:$P,$AH4,Students!$Q:$Q,$AH$2&amp;if($K4="S1","a",if($K4="S2","b","")),Students!$A:$A,AP$2)+countifs(Students!$R:$R,$AH4,Students!$S:$S,$AH$2&amp;if($K4="S1","a",if($K4="S2","b","")),Students!$A:$A,AP$2)+countifs(Students!$T:$T,$AH4,Students!$U:$U,$AH$2&amp;if($K4="S1","a",if($K4="S2","b","")),Students!$A:$A,AP$2)+countifs(Students!$V:$V,$AH4,Students!$W:$W,$AH$2&amp;if($K4="S1","a",if($K4="S2","b","")),Students!$A:$A,AP$2)+
countifs(Students!$D:$D,$AK4,Students!$E:$E,$AK$2&amp;if($K4="S1","a",if($K4="S2","b","")),Students!$A:$A,AP$2)+countifs(Students!$F:$F,$AK4,Students!$G:$G,$AK$2&amp;if($K4="S1","a",if($K4="S2","b","")),Students!$A:$A,AP$2)+countifs(Students!$H:$H,$AK4,Students!$I:$I,$AK$2&amp;if($K4="S1","a",if($K4="S2","b","")),Students!$A:$A,AP$2)+countifs(Students!$J:$J,$AK4,Students!$K:$K,$AK$2&amp;if($K4="S1","a",if($K4="S2","b","")),Students!$A:$A,AP$2)+countifs(Students!$L:$L,$AK4,Students!$M:$M,$AK$2&amp;if($K4="S1","a",if($K4="S2","b","")),Students!$A:$A,AP$2)+countifs(Students!$N:$N,$AK4,Students!$O:$O,$AK$2&amp;if($K4="S1","a",if($K4="S2","b","")),Students!$A:$A,AP$2)+countifs(Students!$P:$P,$AK4,Students!$Q:$Q,$AK$2&amp;if($K4="S1","a",if($K4="S2","b","")),Students!$A:$A,AP$2)+countifs(Students!$R:$R,$AK4,Students!$S:$S,$AK$2&amp;if($K4="S1","a",if($K4="S2","b","")),Students!$A:$A,AP$2)+countifs(Students!$T:$T,$AK4,Students!$U:$U,$AK$2&amp;if($K4="S1","a",if($K4="S2","b","")),Students!$A:$A,AP$2)+countifs(Students!$V:$V,$AK4,Students!$W:$W,$AK$2&amp;if($K4="S1","a",if($K4="S2","b","")),Students!$A:$A,AP$2))</f>
        <v>64</v>
      </c>
      <c r="AQ4" s="52">
        <f>if($L4="","",countifs(Students!$D:$D,$P4,Students!$E:$E,$P$2&amp;if($K4="S1","a",if($K4="S2","b","")),Students!$A:$A,AQ$2)+countifs(Students!$F:$F,$P4,Students!$G:$G,$P$2&amp;if($K4="S1","a",if($K4="S2","b","")),Students!$A:$A,AQ$2)+countifs(Students!$H:$H,$P4,Students!$I:$I,$P$2&amp;if($K4="S1","a",if($K4="S2","b","")),Students!$A:$A,AQ$2)+countifs(Students!$J:$J,$P4,Students!$K:$K,$P$2&amp;if($K4="S1","a",if($K4="S2","b","")),Students!$A:$A,AQ$2)+countifs(Students!$L:$L,$P4,Students!$M:$M,$P$2&amp;if($K4="S1","a",if($K4="S2","b","")),Students!$A:$A,AQ$2)+countifs(Students!$N:$N,$P4,Students!$O:$O,$P$2&amp;if($K4="S1","a",if($K4="S2","b","")),Students!$A:$A,AQ$2)+countifs(Students!$P:$P,$P4,Students!$Q:$Q,$P$2&amp;if($K4="S1","a",if($K4="S2","b","")),Students!$A:$A,AQ$2)+countifs(Students!$R:$R,$P4,Students!$S:$S,$P$2&amp;if($K4="S1","a",if($K4="S2","b","")),Students!$A:$A,AQ$2)+countifs(Students!$T:$T,$P4,Students!$U:$U,$P$2&amp;if($K4="S1","a",if($K4="S2","b","")),Students!$A:$A,AQ$2)+countifs(Students!$V:$V,$P4,Students!$W:$W,$P$2&amp;if($K4="S1","a",if($K4="S2","b","")),Students!$A:$A,AQ$2)+
countifs(Students!$D:$D,$S4,Students!$E:$E,$S$2&amp;if($K4="S1","a",if($K4="S2","b","")),Students!$A:$A,AQ$2)+countifs(Students!$F:$F,$S4,Students!$G:$G,$S$2&amp;if($K4="S1","a",if($K4="S2","b","")),Students!$A:$A,AQ$2)+countifs(Students!$H:$H,$S4,Students!$I:$I,$S$2&amp;if($K4="S1","a",if($K4="S2","b","")),Students!$A:$A,AQ$2)+countifs(Students!$J:$J,$S4,Students!$K:$K,$S$2&amp;if($K4="S1","a",if($K4="S2","b","")),Students!$A:$A,AQ$2)+countifs(Students!$L:$L,$S4,Students!$M:$M,$S$2&amp;if($K4="S1","a",if($K4="S2","b","")),Students!$A:$A,AQ$2)+countifs(Students!$N:$N,$S4,Students!$O:$O,$S$2&amp;if($K4="S1","a",if($K4="S2","b","")),Students!$A:$A,AQ$2)+countifs(Students!$P:$P,$S4,Students!$Q:$Q,$S$2&amp;if($K4="S1","a",if($K4="S2","b","")),Students!$A:$A,AQ$2)+countifs(Students!$R:$R,$S4,Students!$S:$S,$S$2&amp;if($K4="S1","a",if($K4="S2","b","")),Students!$A:$A,AQ$2)+countifs(Students!$T:$T,$S4,Students!$U:$U,$S$2&amp;if($K4="S1","a",if($K4="S2","b","")),Students!$A:$A,AQ$2)+countifs(Students!$V:$V,$S4,Students!$W:$W,$S$2&amp;if($K4="S1","a",if($K4="S2","b","")),Students!$A:$A,AQ$2)+
countifs(Students!$D:$D,$V4,Students!$E:$E,$V$2&amp;if($K4="S1","a",if($K4="S2","b","")),Students!$A:$A,AQ$2)+countifs(Students!$F:$F,$V4,Students!$G:$G,$V$2&amp;if($K4="S1","a",if($K4="S2","b","")),Students!$A:$A,AQ$2)+countifs(Students!$H:$H,$V4,Students!$I:$I,$V$2&amp;if($K4="S1","a",if($K4="S2","b","")),Students!$A:$A,AQ$2)+countifs(Students!$J:$J,$V4,Students!$K:$K,$V$2&amp;if($K4="S1","a",if($K4="S2","b","")),Students!$A:$A,AQ$2)+countifs(Students!$L:$L,$V4,Students!$M:$M,$V$2&amp;if($K4="S1","a",if($K4="S2","b","")),Students!$A:$A,AQ$2)+countifs(Students!$N:$N,$V4,Students!$O:$O,$V$2&amp;if($K4="S1","a",if($K4="S2","b","")),Students!$A:$A,AQ$2)+countifs(Students!$P:$P,$V4,Students!$Q:$Q,$V$2&amp;if($K4="S1","a",if($K4="S2","b","")),Students!$A:$A,AQ$2)+countifs(Students!$R:$R,$V4,Students!$S:$S,$V$2&amp;if($K4="S1","a",if($K4="S2","b","")),Students!$A:$A,AQ$2)+countifs(Students!$T:$T,$V4,Students!$U:$U,$V$2&amp;if($K4="S1","a",if($K4="S2","b","")),Students!$A:$A,AQ$2)+countifs(Students!$V:$V,$V4,Students!$W:$W,$V$2&amp;if($K4="S1","a",if($K4="S2","b","")),Students!$A:$A,AQ$2)+
countifs(Students!$D:$D,$Y4,Students!$E:$E,$Y$2&amp;if($K4="S1","a",if($K4="S2","b","")),Students!$A:$A,AQ$2)+countifs(Students!$F:$F,$Y4,Students!$G:$G,$Y$2&amp;if($K4="S1","a",if($K4="S2","b","")),Students!$A:$A,AQ$2)+countifs(Students!$H:$H,$Y4,Students!$I:$I,$Y$2&amp;if($K4="S1","a",if($K4="S2","b","")),Students!$A:$A,AQ$2)+countifs(Students!$J:$J,$Y4,Students!$K:$K,$Y$2&amp;if($K4="S1","a",if($K4="S2","b","")),Students!$A:$A,AQ$2)+countifs(Students!$L:$L,$Y4,Students!$M:$M,$Y$2&amp;if($K4="S1","a",if($K4="S2","b","")),Students!$A:$A,AQ$2)+countifs(Students!$N:$N,$Y4,Students!$O:$O,$Y$2&amp;if($K4="S1","a",if($K4="S2","b","")),Students!$A:$A,AQ$2)+countifs(Students!$P:$P,$Y4,Students!$Q:$Q,$Y$2&amp;if($K4="S1","a",if($K4="S2","b","")),Students!$A:$A,AQ$2)+countifs(Students!$R:$R,$Y4,Students!$S:$S,$Y$2&amp;if($K4="S1","a",if($K4="S2","b","")),Students!$A:$A,AQ$2)+countifs(Students!$T:$T,$Y4,Students!$U:$U,$Y$2&amp;if($K4="S1","a",if($K4="S2","b","")),Students!$A:$A,AQ$2)+countifs(Students!$V:$V,$Y4,Students!$W:$W,$Y$2&amp;if($K4="S1","a",if($K4="S2","b","")),Students!$A:$A,AQ$2)+
countifs(Students!$D:$D,$AB4,Students!$E:$E,$AB$2&amp;if($K4="S1","a",if($K4="S2","b","")),Students!$A:$A,AQ$2)+countifs(Students!$F:$F,$AB4,Students!$G:$G,$AB$2&amp;if($K4="S1","a",if($K4="S2","b","")),Students!$A:$A,AQ$2)+countifs(Students!$H:$H,$AB4,Students!$I:$I,$AB$2&amp;if($K4="S1","a",if($K4="S2","b","")),Students!$A:$A,AQ$2)+countifs(Students!$J:$J,$AB4,Students!$K:$K,$AB$2&amp;if($K4="S1","a",if($K4="S2","b","")),Students!$A:$A,AQ$2)+countifs(Students!$L:$L,$AB4,Students!$M:$M,$AB$2&amp;if($K4="S1","a",if($K4="S2","b","")),Students!$A:$A,AQ$2)+countifs(Students!$N:$N,$AB4,Students!$O:$O,$AB$2&amp;if($K4="S1","a",if($K4="S2","b","")),Students!$A:$A,AQ$2)+countifs(Students!$P:$P,$AB4,Students!$Q:$Q,$AB$2&amp;if($K4="S1","a",if($K4="S2","b","")),Students!$A:$A,AQ$2)+countifs(Students!$R:$R,$AB4,Students!$S:$S,$AB$2&amp;if($K4="S1","a",if($K4="S2","b","")),Students!$A:$A,AQ$2)+countifs(Students!$T:$T,$AB4,Students!$U:$U,$AB$2&amp;if($K4="S1","a",if($K4="S2","b","")),Students!$A:$A,AQ$2)+countifs(Students!$V:$V,$AB4,Students!$W:$W,$AB$2&amp;if($K4="S1","a",if($K4="S2","b","")),Students!$A:$A,AQ$2)+
countifs(Students!$D:$D,$AE4,Students!$E:$E,$AE$2&amp;if($K4="S1","a",if($K4="S2","b","")),Students!$A:$A,AQ$2)+countifs(Students!$F:$F,$AE4,Students!$G:$G,$AE$2&amp;if($K4="S1","a",if($K4="S2","b","")),Students!$A:$A,AQ$2)+countifs(Students!$H:$H,$AE4,Students!$I:$I,$AE$2&amp;if($K4="S1","a",if($K4="S2","b","")),Students!$A:$A,AQ$2)+countifs(Students!$J:$J,$AE4,Students!$K:$K,$AE$2&amp;if($K4="S1","a",if($K4="S2","b","")),Students!$A:$A,AQ$2)+countifs(Students!$L:$L,$AE4,Students!$M:$M,$AE$2&amp;if($K4="S1","a",if($K4="S2","b","")),Students!$A:$A,AQ$2)+countifs(Students!$N:$N,$AE4,Students!$O:$O,$AE$2&amp;if($K4="S1","a",if($K4="S2","b","")),Students!$A:$A,AQ$2)+countifs(Students!$P:$P,$AE4,Students!$Q:$Q,$AE$2&amp;if($K4="S1","a",if($K4="S2","b","")),Students!$A:$A,AQ$2)+countifs(Students!$R:$R,$AE4,Students!$S:$S,$AE$2&amp;if($K4="S1","a",if($K4="S2","b","")),Students!$A:$A,AQ$2)+countifs(Students!$T:$T,$AE4,Students!$U:$U,$AE$2&amp;if($K4="S1","a",if($K4="S2","b","")),Students!$A:$A,AQ$2)+countifs(Students!$V:$V,$AE4,Students!$W:$W,$AE$2&amp;if($K4="S1","a",if($K4="S2","b","")),Students!$A:$A,AQ$2)+
countifs(Students!$D:$D,$AH4,Students!$E:$E,$AH$2&amp;if($K4="S1","a",if($K4="S2","b","")),Students!$A:$A,AQ$2)+countifs(Students!$F:$F,$AH4,Students!$G:$G,$AH$2&amp;if($K4="S1","a",if($K4="S2","b","")),Students!$A:$A,AQ$2)+countifs(Students!$H:$H,$AH4,Students!$I:$I,$AH$2&amp;if($K4="S1","a",if($K4="S2","b","")),Students!$A:$A,AQ$2)+countifs(Students!$J:$J,$AH4,Students!$K:$K,$AH$2&amp;if($K4="S1","a",if($K4="S2","b","")),Students!$A:$A,AQ$2)+countifs(Students!$L:$L,$AH4,Students!$M:$M,$AH$2&amp;if($K4="S1","a",if($K4="S2","b","")),Students!$A:$A,AQ$2)+countifs(Students!$N:$N,$AH4,Students!$O:$O,$AH$2&amp;if($K4="S1","a",if($K4="S2","b","")),Students!$A:$A,AQ$2)+countifs(Students!$P:$P,$AH4,Students!$Q:$Q,$AH$2&amp;if($K4="S1","a",if($K4="S2","b","")),Students!$A:$A,AQ$2)+countifs(Students!$R:$R,$AH4,Students!$S:$S,$AH$2&amp;if($K4="S1","a",if($K4="S2","b","")),Students!$A:$A,AQ$2)+countifs(Students!$T:$T,$AH4,Students!$U:$U,$AH$2&amp;if($K4="S1","a",if($K4="S2","b","")),Students!$A:$A,AQ$2)+countifs(Students!$V:$V,$AH4,Students!$W:$W,$AH$2&amp;if($K4="S1","a",if($K4="S2","b","")),Students!$A:$A,AQ$2)+
countifs(Students!$D:$D,$AK4,Students!$E:$E,$AK$2&amp;if($K4="S1","a",if($K4="S2","b","")),Students!$A:$A,AQ$2)+countifs(Students!$F:$F,$AK4,Students!$G:$G,$AK$2&amp;if($K4="S1","a",if($K4="S2","b","")),Students!$A:$A,AQ$2)+countifs(Students!$H:$H,$AK4,Students!$I:$I,$AK$2&amp;if($K4="S1","a",if($K4="S2","b","")),Students!$A:$A,AQ$2)+countifs(Students!$J:$J,$AK4,Students!$K:$K,$AK$2&amp;if($K4="S1","a",if($K4="S2","b","")),Students!$A:$A,AQ$2)+countifs(Students!$L:$L,$AK4,Students!$M:$M,$AK$2&amp;if($K4="S1","a",if($K4="S2","b","")),Students!$A:$A,AQ$2)+countifs(Students!$N:$N,$AK4,Students!$O:$O,$AK$2&amp;if($K4="S1","a",if($K4="S2","b","")),Students!$A:$A,AQ$2)+countifs(Students!$P:$P,$AK4,Students!$Q:$Q,$AK$2&amp;if($K4="S1","a",if($K4="S2","b","")),Students!$A:$A,AQ$2)+countifs(Students!$R:$R,$AK4,Students!$S:$S,$AK$2&amp;if($K4="S1","a",if($K4="S2","b","")),Students!$A:$A,AQ$2)+countifs(Students!$T:$T,$AK4,Students!$U:$U,$AK$2&amp;if($K4="S1","a",if($K4="S2","b","")),Students!$A:$A,AQ$2)+countifs(Students!$V:$V,$AK4,Students!$W:$W,$AK$2&amp;if($K4="S1","a",if($K4="S2","b","")),Students!$A:$A,AQ$2))</f>
        <v>23</v>
      </c>
      <c r="AR4" s="52">
        <f>if($L4="","",countifs(Students!$D:$D,$P4,Students!$E:$E,$P$2&amp;if($K4="S1","a",if($K4="S2","b","")),Students!$A:$A,AR$2)+countifs(Students!$F:$F,$P4,Students!$G:$G,$P$2&amp;if($K4="S1","a",if($K4="S2","b","")),Students!$A:$A,AR$2)+countifs(Students!$H:$H,$P4,Students!$I:$I,$P$2&amp;if($K4="S1","a",if($K4="S2","b","")),Students!$A:$A,AR$2)+countifs(Students!$J:$J,$P4,Students!$K:$K,$P$2&amp;if($K4="S1","a",if($K4="S2","b","")),Students!$A:$A,AR$2)+countifs(Students!$L:$L,$P4,Students!$M:$M,$P$2&amp;if($K4="S1","a",if($K4="S2","b","")),Students!$A:$A,AR$2)+countifs(Students!$N:$N,$P4,Students!$O:$O,$P$2&amp;if($K4="S1","a",if($K4="S2","b","")),Students!$A:$A,AR$2)+countifs(Students!$P:$P,$P4,Students!$Q:$Q,$P$2&amp;if($K4="S1","a",if($K4="S2","b","")),Students!$A:$A,AR$2)+countifs(Students!$R:$R,$P4,Students!$S:$S,$P$2&amp;if($K4="S1","a",if($K4="S2","b","")),Students!$A:$A,AR$2)+countifs(Students!$T:$T,$P4,Students!$U:$U,$P$2&amp;if($K4="S1","a",if($K4="S2","b","")),Students!$A:$A,AR$2)+countifs(Students!$V:$V,$P4,Students!$W:$W,$P$2&amp;if($K4="S1","a",if($K4="S2","b","")),Students!$A:$A,AR$2)+
countifs(Students!$D:$D,$S4,Students!$E:$E,$S$2&amp;if($K4="S1","a",if($K4="S2","b","")),Students!$A:$A,AR$2)+countifs(Students!$F:$F,$S4,Students!$G:$G,$S$2&amp;if($K4="S1","a",if($K4="S2","b","")),Students!$A:$A,AR$2)+countifs(Students!$H:$H,$S4,Students!$I:$I,$S$2&amp;if($K4="S1","a",if($K4="S2","b","")),Students!$A:$A,AR$2)+countifs(Students!$J:$J,$S4,Students!$K:$K,$S$2&amp;if($K4="S1","a",if($K4="S2","b","")),Students!$A:$A,AR$2)+countifs(Students!$L:$L,$S4,Students!$M:$M,$S$2&amp;if($K4="S1","a",if($K4="S2","b","")),Students!$A:$A,AR$2)+countifs(Students!$N:$N,$S4,Students!$O:$O,$S$2&amp;if($K4="S1","a",if($K4="S2","b","")),Students!$A:$A,AR$2)+countifs(Students!$P:$P,$S4,Students!$Q:$Q,$S$2&amp;if($K4="S1","a",if($K4="S2","b","")),Students!$A:$A,AR$2)+countifs(Students!$R:$R,$S4,Students!$S:$S,$S$2&amp;if($K4="S1","a",if($K4="S2","b","")),Students!$A:$A,AR$2)+countifs(Students!$T:$T,$S4,Students!$U:$U,$S$2&amp;if($K4="S1","a",if($K4="S2","b","")),Students!$A:$A,AR$2)+countifs(Students!$V:$V,$S4,Students!$W:$W,$S$2&amp;if($K4="S1","a",if($K4="S2","b","")),Students!$A:$A,AR$2)+
countifs(Students!$D:$D,$V4,Students!$E:$E,$V$2&amp;if($K4="S1","a",if($K4="S2","b","")),Students!$A:$A,AR$2)+countifs(Students!$F:$F,$V4,Students!$G:$G,$V$2&amp;if($K4="S1","a",if($K4="S2","b","")),Students!$A:$A,AR$2)+countifs(Students!$H:$H,$V4,Students!$I:$I,$V$2&amp;if($K4="S1","a",if($K4="S2","b","")),Students!$A:$A,AR$2)+countifs(Students!$J:$J,$V4,Students!$K:$K,$V$2&amp;if($K4="S1","a",if($K4="S2","b","")),Students!$A:$A,AR$2)+countifs(Students!$L:$L,$V4,Students!$M:$M,$V$2&amp;if($K4="S1","a",if($K4="S2","b","")),Students!$A:$A,AR$2)+countifs(Students!$N:$N,$V4,Students!$O:$O,$V$2&amp;if($K4="S1","a",if($K4="S2","b","")),Students!$A:$A,AR$2)+countifs(Students!$P:$P,$V4,Students!$Q:$Q,$V$2&amp;if($K4="S1","a",if($K4="S2","b","")),Students!$A:$A,AR$2)+countifs(Students!$R:$R,$V4,Students!$S:$S,$V$2&amp;if($K4="S1","a",if($K4="S2","b","")),Students!$A:$A,AR$2)+countifs(Students!$T:$T,$V4,Students!$U:$U,$V$2&amp;if($K4="S1","a",if($K4="S2","b","")),Students!$A:$A,AR$2)+countifs(Students!$V:$V,$V4,Students!$W:$W,$V$2&amp;if($K4="S1","a",if($K4="S2","b","")),Students!$A:$A,AR$2)+
countifs(Students!$D:$D,$Y4,Students!$E:$E,$Y$2&amp;if($K4="S1","a",if($K4="S2","b","")),Students!$A:$A,AR$2)+countifs(Students!$F:$F,$Y4,Students!$G:$G,$Y$2&amp;if($K4="S1","a",if($K4="S2","b","")),Students!$A:$A,AR$2)+countifs(Students!$H:$H,$Y4,Students!$I:$I,$Y$2&amp;if($K4="S1","a",if($K4="S2","b","")),Students!$A:$A,AR$2)+countifs(Students!$J:$J,$Y4,Students!$K:$K,$Y$2&amp;if($K4="S1","a",if($K4="S2","b","")),Students!$A:$A,AR$2)+countifs(Students!$L:$L,$Y4,Students!$M:$M,$Y$2&amp;if($K4="S1","a",if($K4="S2","b","")),Students!$A:$A,AR$2)+countifs(Students!$N:$N,$Y4,Students!$O:$O,$Y$2&amp;if($K4="S1","a",if($K4="S2","b","")),Students!$A:$A,AR$2)+countifs(Students!$P:$P,$Y4,Students!$Q:$Q,$Y$2&amp;if($K4="S1","a",if($K4="S2","b","")),Students!$A:$A,AR$2)+countifs(Students!$R:$R,$Y4,Students!$S:$S,$Y$2&amp;if($K4="S1","a",if($K4="S2","b","")),Students!$A:$A,AR$2)+countifs(Students!$T:$T,$Y4,Students!$U:$U,$Y$2&amp;if($K4="S1","a",if($K4="S2","b","")),Students!$A:$A,AR$2)+countifs(Students!$V:$V,$Y4,Students!$W:$W,$Y$2&amp;if($K4="S1","a",if($K4="S2","b","")),Students!$A:$A,AR$2)+
countifs(Students!$D:$D,$AB4,Students!$E:$E,$AB$2&amp;if($K4="S1","a",if($K4="S2","b","")),Students!$A:$A,AR$2)+countifs(Students!$F:$F,$AB4,Students!$G:$G,$AB$2&amp;if($K4="S1","a",if($K4="S2","b","")),Students!$A:$A,AR$2)+countifs(Students!$H:$H,$AB4,Students!$I:$I,$AB$2&amp;if($K4="S1","a",if($K4="S2","b","")),Students!$A:$A,AR$2)+countifs(Students!$J:$J,$AB4,Students!$K:$K,$AB$2&amp;if($K4="S1","a",if($K4="S2","b","")),Students!$A:$A,AR$2)+countifs(Students!$L:$L,$AB4,Students!$M:$M,$AB$2&amp;if($K4="S1","a",if($K4="S2","b","")),Students!$A:$A,AR$2)+countifs(Students!$N:$N,$AB4,Students!$O:$O,$AB$2&amp;if($K4="S1","a",if($K4="S2","b","")),Students!$A:$A,AR$2)+countifs(Students!$P:$P,$AB4,Students!$Q:$Q,$AB$2&amp;if($K4="S1","a",if($K4="S2","b","")),Students!$A:$A,AR$2)+countifs(Students!$R:$R,$AB4,Students!$S:$S,$AB$2&amp;if($K4="S1","a",if($K4="S2","b","")),Students!$A:$A,AR$2)+countifs(Students!$T:$T,$AB4,Students!$U:$U,$AB$2&amp;if($K4="S1","a",if($K4="S2","b","")),Students!$A:$A,AR$2)+countifs(Students!$V:$V,$AB4,Students!$W:$W,$AB$2&amp;if($K4="S1","a",if($K4="S2","b","")),Students!$A:$A,AR$2)+
countifs(Students!$D:$D,$AE4,Students!$E:$E,$AE$2&amp;if($K4="S1","a",if($K4="S2","b","")),Students!$A:$A,AR$2)+countifs(Students!$F:$F,$AE4,Students!$G:$G,$AE$2&amp;if($K4="S1","a",if($K4="S2","b","")),Students!$A:$A,AR$2)+countifs(Students!$H:$H,$AE4,Students!$I:$I,$AE$2&amp;if($K4="S1","a",if($K4="S2","b","")),Students!$A:$A,AR$2)+countifs(Students!$J:$J,$AE4,Students!$K:$K,$AE$2&amp;if($K4="S1","a",if($K4="S2","b","")),Students!$A:$A,AR$2)+countifs(Students!$L:$L,$AE4,Students!$M:$M,$AE$2&amp;if($K4="S1","a",if($K4="S2","b","")),Students!$A:$A,AR$2)+countifs(Students!$N:$N,$AE4,Students!$O:$O,$AE$2&amp;if($K4="S1","a",if($K4="S2","b","")),Students!$A:$A,AR$2)+countifs(Students!$P:$P,$AE4,Students!$Q:$Q,$AE$2&amp;if($K4="S1","a",if($K4="S2","b","")),Students!$A:$A,AR$2)+countifs(Students!$R:$R,$AE4,Students!$S:$S,$AE$2&amp;if($K4="S1","a",if($K4="S2","b","")),Students!$A:$A,AR$2)+countifs(Students!$T:$T,$AE4,Students!$U:$U,$AE$2&amp;if($K4="S1","a",if($K4="S2","b","")),Students!$A:$A,AR$2)+countifs(Students!$V:$V,$AE4,Students!$W:$W,$AE$2&amp;if($K4="S1","a",if($K4="S2","b","")),Students!$A:$A,AR$2)+
countifs(Students!$D:$D,$AH4,Students!$E:$E,$AH$2&amp;if($K4="S1","a",if($K4="S2","b","")),Students!$A:$A,AR$2)+countifs(Students!$F:$F,$AH4,Students!$G:$G,$AH$2&amp;if($K4="S1","a",if($K4="S2","b","")),Students!$A:$A,AR$2)+countifs(Students!$H:$H,$AH4,Students!$I:$I,$AH$2&amp;if($K4="S1","a",if($K4="S2","b","")),Students!$A:$A,AR$2)+countifs(Students!$J:$J,$AH4,Students!$K:$K,$AH$2&amp;if($K4="S1","a",if($K4="S2","b","")),Students!$A:$A,AR$2)+countifs(Students!$L:$L,$AH4,Students!$M:$M,$AH$2&amp;if($K4="S1","a",if($K4="S2","b","")),Students!$A:$A,AR$2)+countifs(Students!$N:$N,$AH4,Students!$O:$O,$AH$2&amp;if($K4="S1","a",if($K4="S2","b","")),Students!$A:$A,AR$2)+countifs(Students!$P:$P,$AH4,Students!$Q:$Q,$AH$2&amp;if($K4="S1","a",if($K4="S2","b","")),Students!$A:$A,AR$2)+countifs(Students!$R:$R,$AH4,Students!$S:$S,$AH$2&amp;if($K4="S1","a",if($K4="S2","b","")),Students!$A:$A,AR$2)+countifs(Students!$T:$T,$AH4,Students!$U:$U,$AH$2&amp;if($K4="S1","a",if($K4="S2","b","")),Students!$A:$A,AR$2)+countifs(Students!$V:$V,$AH4,Students!$W:$W,$AH$2&amp;if($K4="S1","a",if($K4="S2","b","")),Students!$A:$A,AR$2)+
countifs(Students!$D:$D,$AK4,Students!$E:$E,$AK$2&amp;if($K4="S1","a",if($K4="S2","b","")),Students!$A:$A,AR$2)+countifs(Students!$F:$F,$AK4,Students!$G:$G,$AK$2&amp;if($K4="S1","a",if($K4="S2","b","")),Students!$A:$A,AR$2)+countifs(Students!$H:$H,$AK4,Students!$I:$I,$AK$2&amp;if($K4="S1","a",if($K4="S2","b","")),Students!$A:$A,AR$2)+countifs(Students!$J:$J,$AK4,Students!$K:$K,$AK$2&amp;if($K4="S1","a",if($K4="S2","b","")),Students!$A:$A,AR$2)+countifs(Students!$L:$L,$AK4,Students!$M:$M,$AK$2&amp;if($K4="S1","a",if($K4="S2","b","")),Students!$A:$A,AR$2)+countifs(Students!$N:$N,$AK4,Students!$O:$O,$AK$2&amp;if($K4="S1","a",if($K4="S2","b","")),Students!$A:$A,AR$2)+countifs(Students!$P:$P,$AK4,Students!$Q:$Q,$AK$2&amp;if($K4="S1","a",if($K4="S2","b","")),Students!$A:$A,AR$2)+countifs(Students!$R:$R,$AK4,Students!$S:$S,$AK$2&amp;if($K4="S1","a",if($K4="S2","b","")),Students!$A:$A,AR$2)+countifs(Students!$T:$T,$AK4,Students!$U:$U,$AK$2&amp;if($K4="S1","a",if($K4="S2","b","")),Students!$A:$A,AR$2)+countifs(Students!$V:$V,$AK4,Students!$W:$W,$AK$2&amp;if($K4="S1","a",if($K4="S2","b","")),Students!$A:$A,AR$2))</f>
        <v>26</v>
      </c>
      <c r="AS4" s="52">
        <f>if($L4="","",countifs(Students!$D:$D,$P4,Students!$E:$E,$P$2&amp;if($K4="S1","a",if($K4="S2","b","")),Students!$A:$A,AS$2)+countifs(Students!$F:$F,$P4,Students!$G:$G,$P$2&amp;if($K4="S1","a",if($K4="S2","b","")),Students!$A:$A,AS$2)+countifs(Students!$H:$H,$P4,Students!$I:$I,$P$2&amp;if($K4="S1","a",if($K4="S2","b","")),Students!$A:$A,AS$2)+countifs(Students!$J:$J,$P4,Students!$K:$K,$P$2&amp;if($K4="S1","a",if($K4="S2","b","")),Students!$A:$A,AS$2)+countifs(Students!$L:$L,$P4,Students!$M:$M,$P$2&amp;if($K4="S1","a",if($K4="S2","b","")),Students!$A:$A,AS$2)+countifs(Students!$N:$N,$P4,Students!$O:$O,$P$2&amp;if($K4="S1","a",if($K4="S2","b","")),Students!$A:$A,AS$2)+countifs(Students!$P:$P,$P4,Students!$Q:$Q,$P$2&amp;if($K4="S1","a",if($K4="S2","b","")),Students!$A:$A,AS$2)+countifs(Students!$R:$R,$P4,Students!$S:$S,$P$2&amp;if($K4="S1","a",if($K4="S2","b","")),Students!$A:$A,AS$2)+countifs(Students!$T:$T,$P4,Students!$U:$U,$P$2&amp;if($K4="S1","a",if($K4="S2","b","")),Students!$A:$A,AS$2)+countifs(Students!$V:$V,$P4,Students!$W:$W,$P$2&amp;if($K4="S1","a",if($K4="S2","b","")),Students!$A:$A,AS$2)+
countifs(Students!$D:$D,$S4,Students!$E:$E,$S$2&amp;if($K4="S1","a",if($K4="S2","b","")),Students!$A:$A,AS$2)+countifs(Students!$F:$F,$S4,Students!$G:$G,$S$2&amp;if($K4="S1","a",if($K4="S2","b","")),Students!$A:$A,AS$2)+countifs(Students!$H:$H,$S4,Students!$I:$I,$S$2&amp;if($K4="S1","a",if($K4="S2","b","")),Students!$A:$A,AS$2)+countifs(Students!$J:$J,$S4,Students!$K:$K,$S$2&amp;if($K4="S1","a",if($K4="S2","b","")),Students!$A:$A,AS$2)+countifs(Students!$L:$L,$S4,Students!$M:$M,$S$2&amp;if($K4="S1","a",if($K4="S2","b","")),Students!$A:$A,AS$2)+countifs(Students!$N:$N,$S4,Students!$O:$O,$S$2&amp;if($K4="S1","a",if($K4="S2","b","")),Students!$A:$A,AS$2)+countifs(Students!$P:$P,$S4,Students!$Q:$Q,$S$2&amp;if($K4="S1","a",if($K4="S2","b","")),Students!$A:$A,AS$2)+countifs(Students!$R:$R,$S4,Students!$S:$S,$S$2&amp;if($K4="S1","a",if($K4="S2","b","")),Students!$A:$A,AS$2)+countifs(Students!$T:$T,$S4,Students!$U:$U,$S$2&amp;if($K4="S1","a",if($K4="S2","b","")),Students!$A:$A,AS$2)+countifs(Students!$V:$V,$S4,Students!$W:$W,$S$2&amp;if($K4="S1","a",if($K4="S2","b","")),Students!$A:$A,AS$2)+
countifs(Students!$D:$D,$V4,Students!$E:$E,$V$2&amp;if($K4="S1","a",if($K4="S2","b","")),Students!$A:$A,AS$2)+countifs(Students!$F:$F,$V4,Students!$G:$G,$V$2&amp;if($K4="S1","a",if($K4="S2","b","")),Students!$A:$A,AS$2)+countifs(Students!$H:$H,$V4,Students!$I:$I,$V$2&amp;if($K4="S1","a",if($K4="S2","b","")),Students!$A:$A,AS$2)+countifs(Students!$J:$J,$V4,Students!$K:$K,$V$2&amp;if($K4="S1","a",if($K4="S2","b","")),Students!$A:$A,AS$2)+countifs(Students!$L:$L,$V4,Students!$M:$M,$V$2&amp;if($K4="S1","a",if($K4="S2","b","")),Students!$A:$A,AS$2)+countifs(Students!$N:$N,$V4,Students!$O:$O,$V$2&amp;if($K4="S1","a",if($K4="S2","b","")),Students!$A:$A,AS$2)+countifs(Students!$P:$P,$V4,Students!$Q:$Q,$V$2&amp;if($K4="S1","a",if($K4="S2","b","")),Students!$A:$A,AS$2)+countifs(Students!$R:$R,$V4,Students!$S:$S,$V$2&amp;if($K4="S1","a",if($K4="S2","b","")),Students!$A:$A,AS$2)+countifs(Students!$T:$T,$V4,Students!$U:$U,$V$2&amp;if($K4="S1","a",if($K4="S2","b","")),Students!$A:$A,AS$2)+countifs(Students!$V:$V,$V4,Students!$W:$W,$V$2&amp;if($K4="S1","a",if($K4="S2","b","")),Students!$A:$A,AS$2)+
countifs(Students!$D:$D,$Y4,Students!$E:$E,$Y$2&amp;if($K4="S1","a",if($K4="S2","b","")),Students!$A:$A,AS$2)+countifs(Students!$F:$F,$Y4,Students!$G:$G,$Y$2&amp;if($K4="S1","a",if($K4="S2","b","")),Students!$A:$A,AS$2)+countifs(Students!$H:$H,$Y4,Students!$I:$I,$Y$2&amp;if($K4="S1","a",if($K4="S2","b","")),Students!$A:$A,AS$2)+countifs(Students!$J:$J,$Y4,Students!$K:$K,$Y$2&amp;if($K4="S1","a",if($K4="S2","b","")),Students!$A:$A,AS$2)+countifs(Students!$L:$L,$Y4,Students!$M:$M,$Y$2&amp;if($K4="S1","a",if($K4="S2","b","")),Students!$A:$A,AS$2)+countifs(Students!$N:$N,$Y4,Students!$O:$O,$Y$2&amp;if($K4="S1","a",if($K4="S2","b","")),Students!$A:$A,AS$2)+countifs(Students!$P:$P,$Y4,Students!$Q:$Q,$Y$2&amp;if($K4="S1","a",if($K4="S2","b","")),Students!$A:$A,AS$2)+countifs(Students!$R:$R,$Y4,Students!$S:$S,$Y$2&amp;if($K4="S1","a",if($K4="S2","b","")),Students!$A:$A,AS$2)+countifs(Students!$T:$T,$Y4,Students!$U:$U,$Y$2&amp;if($K4="S1","a",if($K4="S2","b","")),Students!$A:$A,AS$2)+countifs(Students!$V:$V,$Y4,Students!$W:$W,$Y$2&amp;if($K4="S1","a",if($K4="S2","b","")),Students!$A:$A,AS$2)+
countifs(Students!$D:$D,$AB4,Students!$E:$E,$AB$2&amp;if($K4="S1","a",if($K4="S2","b","")),Students!$A:$A,AS$2)+countifs(Students!$F:$F,$AB4,Students!$G:$G,$AB$2&amp;if($K4="S1","a",if($K4="S2","b","")),Students!$A:$A,AS$2)+countifs(Students!$H:$H,$AB4,Students!$I:$I,$AB$2&amp;if($K4="S1","a",if($K4="S2","b","")),Students!$A:$A,AS$2)+countifs(Students!$J:$J,$AB4,Students!$K:$K,$AB$2&amp;if($K4="S1","a",if($K4="S2","b","")),Students!$A:$A,AS$2)+countifs(Students!$L:$L,$AB4,Students!$M:$M,$AB$2&amp;if($K4="S1","a",if($K4="S2","b","")),Students!$A:$A,AS$2)+countifs(Students!$N:$N,$AB4,Students!$O:$O,$AB$2&amp;if($K4="S1","a",if($K4="S2","b","")),Students!$A:$A,AS$2)+countifs(Students!$P:$P,$AB4,Students!$Q:$Q,$AB$2&amp;if($K4="S1","a",if($K4="S2","b","")),Students!$A:$A,AS$2)+countifs(Students!$R:$R,$AB4,Students!$S:$S,$AB$2&amp;if($K4="S1","a",if($K4="S2","b","")),Students!$A:$A,AS$2)+countifs(Students!$T:$T,$AB4,Students!$U:$U,$AB$2&amp;if($K4="S1","a",if($K4="S2","b","")),Students!$A:$A,AS$2)+countifs(Students!$V:$V,$AB4,Students!$W:$W,$AB$2&amp;if($K4="S1","a",if($K4="S2","b","")),Students!$A:$A,AS$2)+
countifs(Students!$D:$D,$AE4,Students!$E:$E,$AE$2&amp;if($K4="S1","a",if($K4="S2","b","")),Students!$A:$A,AS$2)+countifs(Students!$F:$F,$AE4,Students!$G:$G,$AE$2&amp;if($K4="S1","a",if($K4="S2","b","")),Students!$A:$A,AS$2)+countifs(Students!$H:$H,$AE4,Students!$I:$I,$AE$2&amp;if($K4="S1","a",if($K4="S2","b","")),Students!$A:$A,AS$2)+countifs(Students!$J:$J,$AE4,Students!$K:$K,$AE$2&amp;if($K4="S1","a",if($K4="S2","b","")),Students!$A:$A,AS$2)+countifs(Students!$L:$L,$AE4,Students!$M:$M,$AE$2&amp;if($K4="S1","a",if($K4="S2","b","")),Students!$A:$A,AS$2)+countifs(Students!$N:$N,$AE4,Students!$O:$O,$AE$2&amp;if($K4="S1","a",if($K4="S2","b","")),Students!$A:$A,AS$2)+countifs(Students!$P:$P,$AE4,Students!$Q:$Q,$AE$2&amp;if($K4="S1","a",if($K4="S2","b","")),Students!$A:$A,AS$2)+countifs(Students!$R:$R,$AE4,Students!$S:$S,$AE$2&amp;if($K4="S1","a",if($K4="S2","b","")),Students!$A:$A,AS$2)+countifs(Students!$T:$T,$AE4,Students!$U:$U,$AE$2&amp;if($K4="S1","a",if($K4="S2","b","")),Students!$A:$A,AS$2)+countifs(Students!$V:$V,$AE4,Students!$W:$W,$AE$2&amp;if($K4="S1","a",if($K4="S2","b","")),Students!$A:$A,AS$2)+
countifs(Students!$D:$D,$AH4,Students!$E:$E,$AH$2&amp;if($K4="S1","a",if($K4="S2","b","")),Students!$A:$A,AS$2)+countifs(Students!$F:$F,$AH4,Students!$G:$G,$AH$2&amp;if($K4="S1","a",if($K4="S2","b","")),Students!$A:$A,AS$2)+countifs(Students!$H:$H,$AH4,Students!$I:$I,$AH$2&amp;if($K4="S1","a",if($K4="S2","b","")),Students!$A:$A,AS$2)+countifs(Students!$J:$J,$AH4,Students!$K:$K,$AH$2&amp;if($K4="S1","a",if($K4="S2","b","")),Students!$A:$A,AS$2)+countifs(Students!$L:$L,$AH4,Students!$M:$M,$AH$2&amp;if($K4="S1","a",if($K4="S2","b","")),Students!$A:$A,AS$2)+countifs(Students!$N:$N,$AH4,Students!$O:$O,$AH$2&amp;if($K4="S1","a",if($K4="S2","b","")),Students!$A:$A,AS$2)+countifs(Students!$P:$P,$AH4,Students!$Q:$Q,$AH$2&amp;if($K4="S1","a",if($K4="S2","b","")),Students!$A:$A,AS$2)+countifs(Students!$R:$R,$AH4,Students!$S:$S,$AH$2&amp;if($K4="S1","a",if($K4="S2","b","")),Students!$A:$A,AS$2)+countifs(Students!$T:$T,$AH4,Students!$U:$U,$AH$2&amp;if($K4="S1","a",if($K4="S2","b","")),Students!$A:$A,AS$2)+countifs(Students!$V:$V,$AH4,Students!$W:$W,$AH$2&amp;if($K4="S1","a",if($K4="S2","b","")),Students!$A:$A,AS$2)+
countifs(Students!$D:$D,$AK4,Students!$E:$E,$AK$2&amp;if($K4="S1","a",if($K4="S2","b","")),Students!$A:$A,AS$2)+countifs(Students!$F:$F,$AK4,Students!$G:$G,$AK$2&amp;if($K4="S1","a",if($K4="S2","b","")),Students!$A:$A,AS$2)+countifs(Students!$H:$H,$AK4,Students!$I:$I,$AK$2&amp;if($K4="S1","a",if($K4="S2","b","")),Students!$A:$A,AS$2)+countifs(Students!$J:$J,$AK4,Students!$K:$K,$AK$2&amp;if($K4="S1","a",if($K4="S2","b","")),Students!$A:$A,AS$2)+countifs(Students!$L:$L,$AK4,Students!$M:$M,$AK$2&amp;if($K4="S1","a",if($K4="S2","b","")),Students!$A:$A,AS$2)+countifs(Students!$N:$N,$AK4,Students!$O:$O,$AK$2&amp;if($K4="S1","a",if($K4="S2","b","")),Students!$A:$A,AS$2)+countifs(Students!$P:$P,$AK4,Students!$Q:$Q,$AK$2&amp;if($K4="S1","a",if($K4="S2","b","")),Students!$A:$A,AS$2)+countifs(Students!$R:$R,$AK4,Students!$S:$S,$AK$2&amp;if($K4="S1","a",if($K4="S2","b","")),Students!$A:$A,AS$2)+countifs(Students!$T:$T,$AK4,Students!$U:$U,$AK$2&amp;if($K4="S1","a",if($K4="S2","b","")),Students!$A:$A,AS$2)+countifs(Students!$V:$V,$AK4,Students!$W:$W,$AK$2&amp;if($K4="S1","a",if($K4="S2","b","")),Students!$A:$A,AS$2))</f>
        <v>10</v>
      </c>
    </row>
    <row r="5">
      <c r="A5" s="53"/>
      <c r="B5" s="20">
        <v>3.0</v>
      </c>
      <c r="C5" s="42">
        <v>3.0</v>
      </c>
      <c r="D5" s="43">
        <v>8.0</v>
      </c>
      <c r="E5" s="44">
        <v>5.0</v>
      </c>
      <c r="F5" s="54">
        <v>2.0</v>
      </c>
      <c r="G5" s="63" t="s">
        <v>31</v>
      </c>
      <c r="J5" s="46">
        <v>10.0</v>
      </c>
      <c r="K5" s="64"/>
      <c r="L5" s="58" t="s">
        <v>25</v>
      </c>
      <c r="M5" s="4"/>
      <c r="N5" s="46">
        <v>6.0</v>
      </c>
      <c r="O5" s="46">
        <f>IFERROR(__xludf.DUMMYFUNCTION("3*counta((transpose(filter(P5:AM5,P5:AM5&lt;&gt;"""",isnumber(P5:AM5)=false))))"),3.0)</f>
        <v>3</v>
      </c>
      <c r="P5" s="50"/>
      <c r="Q5" s="65"/>
      <c r="R5" s="65" t="s">
        <v>22</v>
      </c>
      <c r="S5" s="59"/>
      <c r="T5" s="60"/>
      <c r="U5" s="60" t="s">
        <v>22</v>
      </c>
      <c r="V5" s="48"/>
      <c r="W5" s="65"/>
      <c r="X5" s="65" t="s">
        <v>22</v>
      </c>
      <c r="Y5" s="50"/>
      <c r="Z5" s="65"/>
      <c r="AA5" s="65" t="s">
        <v>22</v>
      </c>
      <c r="AB5" s="50"/>
      <c r="AC5" s="65"/>
      <c r="AD5" s="65" t="s">
        <v>22</v>
      </c>
      <c r="AE5" s="48" t="s">
        <v>32</v>
      </c>
      <c r="AF5" s="49">
        <v>1.0</v>
      </c>
      <c r="AG5" s="61">
        <v>10.0</v>
      </c>
      <c r="AH5" s="50"/>
      <c r="AI5" s="65"/>
      <c r="AJ5" s="66" t="s">
        <v>22</v>
      </c>
      <c r="AK5" s="50"/>
      <c r="AL5" s="65"/>
      <c r="AM5" s="65" t="s">
        <v>22</v>
      </c>
      <c r="AN5" s="52"/>
      <c r="AO5" s="52">
        <f t="shared" si="1"/>
        <v>10</v>
      </c>
      <c r="AP5" s="52">
        <f>if($L5="","",countifs(Students!$D:$D,$P5,Students!$E:$E,$P$2&amp;if($K5="S1","a",if($K5="S2","b","")),Students!$A:$A,AP$2)+countifs(Students!$F:$F,$P5,Students!$G:$G,$P$2&amp;if($K5="S1","a",if($K5="S2","b","")),Students!$A:$A,AP$2)+countifs(Students!$H:$H,$P5,Students!$I:$I,$P$2&amp;if($K5="S1","a",if($K5="S2","b","")),Students!$A:$A,AP$2)+countifs(Students!$J:$J,$P5,Students!$K:$K,$P$2&amp;if($K5="S1","a",if($K5="S2","b","")),Students!$A:$A,AP$2)+countifs(Students!$L:$L,$P5,Students!$M:$M,$P$2&amp;if($K5="S1","a",if($K5="S2","b","")),Students!$A:$A,AP$2)+countifs(Students!$N:$N,$P5,Students!$O:$O,$P$2&amp;if($K5="S1","a",if($K5="S2","b","")),Students!$A:$A,AP$2)+countifs(Students!$P:$P,$P5,Students!$Q:$Q,$P$2&amp;if($K5="S1","a",if($K5="S2","b","")),Students!$A:$A,AP$2)+countifs(Students!$R:$R,$P5,Students!$S:$S,$P$2&amp;if($K5="S1","a",if($K5="S2","b","")),Students!$A:$A,AP$2)+countifs(Students!$T:$T,$P5,Students!$U:$U,$P$2&amp;if($K5="S1","a",if($K5="S2","b","")),Students!$A:$A,AP$2)+countifs(Students!$V:$V,$P5,Students!$W:$W,$P$2&amp;if($K5="S1","a",if($K5="S2","b","")),Students!$A:$A,AP$2)+
countifs(Students!$D:$D,$S5,Students!$E:$E,$S$2&amp;if($K5="S1","a",if($K5="S2","b","")),Students!$A:$A,AP$2)+countifs(Students!$F:$F,$S5,Students!$G:$G,$S$2&amp;if($K5="S1","a",if($K5="S2","b","")),Students!$A:$A,AP$2)+countifs(Students!$H:$H,$S5,Students!$I:$I,$S$2&amp;if($K5="S1","a",if($K5="S2","b","")),Students!$A:$A,AP$2)+countifs(Students!$J:$J,$S5,Students!$K:$K,$S$2&amp;if($K5="S1","a",if($K5="S2","b","")),Students!$A:$A,AP$2)+countifs(Students!$L:$L,$S5,Students!$M:$M,$S$2&amp;if($K5="S1","a",if($K5="S2","b","")),Students!$A:$A,AP$2)+countifs(Students!$N:$N,$S5,Students!$O:$O,$S$2&amp;if($K5="S1","a",if($K5="S2","b","")),Students!$A:$A,AP$2)+countifs(Students!$P:$P,$S5,Students!$Q:$Q,$S$2&amp;if($K5="S1","a",if($K5="S2","b","")),Students!$A:$A,AP$2)+countifs(Students!$R:$R,$S5,Students!$S:$S,$S$2&amp;if($K5="S1","a",if($K5="S2","b","")),Students!$A:$A,AP$2)+countifs(Students!$T:$T,$S5,Students!$U:$U,$S$2&amp;if($K5="S1","a",if($K5="S2","b","")),Students!$A:$A,AP$2)+countifs(Students!$V:$V,$S5,Students!$W:$W,$S$2&amp;if($K5="S1","a",if($K5="S2","b","")),Students!$A:$A,AP$2)+
countifs(Students!$D:$D,$V5,Students!$E:$E,$V$2&amp;if($K5="S1","a",if($K5="S2","b","")),Students!$A:$A,AP$2)+countifs(Students!$F:$F,$V5,Students!$G:$G,$V$2&amp;if($K5="S1","a",if($K5="S2","b","")),Students!$A:$A,AP$2)+countifs(Students!$H:$H,$V5,Students!$I:$I,$V$2&amp;if($K5="S1","a",if($K5="S2","b","")),Students!$A:$A,AP$2)+countifs(Students!$J:$J,$V5,Students!$K:$K,$V$2&amp;if($K5="S1","a",if($K5="S2","b","")),Students!$A:$A,AP$2)+countifs(Students!$L:$L,$V5,Students!$M:$M,$V$2&amp;if($K5="S1","a",if($K5="S2","b","")),Students!$A:$A,AP$2)+countifs(Students!$N:$N,$V5,Students!$O:$O,$V$2&amp;if($K5="S1","a",if($K5="S2","b","")),Students!$A:$A,AP$2)+countifs(Students!$P:$P,$V5,Students!$Q:$Q,$V$2&amp;if($K5="S1","a",if($K5="S2","b","")),Students!$A:$A,AP$2)+countifs(Students!$R:$R,$V5,Students!$S:$S,$V$2&amp;if($K5="S1","a",if($K5="S2","b","")),Students!$A:$A,AP$2)+countifs(Students!$T:$T,$V5,Students!$U:$U,$V$2&amp;if($K5="S1","a",if($K5="S2","b","")),Students!$A:$A,AP$2)+countifs(Students!$V:$V,$V5,Students!$W:$W,$V$2&amp;if($K5="S1","a",if($K5="S2","b","")),Students!$A:$A,AP$2)+
countifs(Students!$D:$D,$Y5,Students!$E:$E,$Y$2&amp;if($K5="S1","a",if($K5="S2","b","")),Students!$A:$A,AP$2)+countifs(Students!$F:$F,$Y5,Students!$G:$G,$Y$2&amp;if($K5="S1","a",if($K5="S2","b","")),Students!$A:$A,AP$2)+countifs(Students!$H:$H,$Y5,Students!$I:$I,$Y$2&amp;if($K5="S1","a",if($K5="S2","b","")),Students!$A:$A,AP$2)+countifs(Students!$J:$J,$Y5,Students!$K:$K,$Y$2&amp;if($K5="S1","a",if($K5="S2","b","")),Students!$A:$A,AP$2)+countifs(Students!$L:$L,$Y5,Students!$M:$M,$Y$2&amp;if($K5="S1","a",if($K5="S2","b","")),Students!$A:$A,AP$2)+countifs(Students!$N:$N,$Y5,Students!$O:$O,$Y$2&amp;if($K5="S1","a",if($K5="S2","b","")),Students!$A:$A,AP$2)+countifs(Students!$P:$P,$Y5,Students!$Q:$Q,$Y$2&amp;if($K5="S1","a",if($K5="S2","b","")),Students!$A:$A,AP$2)+countifs(Students!$R:$R,$Y5,Students!$S:$S,$Y$2&amp;if($K5="S1","a",if($K5="S2","b","")),Students!$A:$A,AP$2)+countifs(Students!$T:$T,$Y5,Students!$U:$U,$Y$2&amp;if($K5="S1","a",if($K5="S2","b","")),Students!$A:$A,AP$2)+countifs(Students!$V:$V,$Y5,Students!$W:$W,$Y$2&amp;if($K5="S1","a",if($K5="S2","b","")),Students!$A:$A,AP$2)+
countifs(Students!$D:$D,$AB5,Students!$E:$E,$AB$2&amp;if($K5="S1","a",if($K5="S2","b","")),Students!$A:$A,AP$2)+countifs(Students!$F:$F,$AB5,Students!$G:$G,$AB$2&amp;if($K5="S1","a",if($K5="S2","b","")),Students!$A:$A,AP$2)+countifs(Students!$H:$H,$AB5,Students!$I:$I,$AB$2&amp;if($K5="S1","a",if($K5="S2","b","")),Students!$A:$A,AP$2)+countifs(Students!$J:$J,$AB5,Students!$K:$K,$AB$2&amp;if($K5="S1","a",if($K5="S2","b","")),Students!$A:$A,AP$2)+countifs(Students!$L:$L,$AB5,Students!$M:$M,$AB$2&amp;if($K5="S1","a",if($K5="S2","b","")),Students!$A:$A,AP$2)+countifs(Students!$N:$N,$AB5,Students!$O:$O,$AB$2&amp;if($K5="S1","a",if($K5="S2","b","")),Students!$A:$A,AP$2)+countifs(Students!$P:$P,$AB5,Students!$Q:$Q,$AB$2&amp;if($K5="S1","a",if($K5="S2","b","")),Students!$A:$A,AP$2)+countifs(Students!$R:$R,$AB5,Students!$S:$S,$AB$2&amp;if($K5="S1","a",if($K5="S2","b","")),Students!$A:$A,AP$2)+countifs(Students!$T:$T,$AB5,Students!$U:$U,$AB$2&amp;if($K5="S1","a",if($K5="S2","b","")),Students!$A:$A,AP$2)+countifs(Students!$V:$V,$AB5,Students!$W:$W,$AB$2&amp;if($K5="S1","a",if($K5="S2","b","")),Students!$A:$A,AP$2)+
countifs(Students!$D:$D,$AE5,Students!$E:$E,$AE$2&amp;if($K5="S1","a",if($K5="S2","b","")),Students!$A:$A,AP$2)+countifs(Students!$F:$F,$AE5,Students!$G:$G,$AE$2&amp;if($K5="S1","a",if($K5="S2","b","")),Students!$A:$A,AP$2)+countifs(Students!$H:$H,$AE5,Students!$I:$I,$AE$2&amp;if($K5="S1","a",if($K5="S2","b","")),Students!$A:$A,AP$2)+countifs(Students!$J:$J,$AE5,Students!$K:$K,$AE$2&amp;if($K5="S1","a",if($K5="S2","b","")),Students!$A:$A,AP$2)+countifs(Students!$L:$L,$AE5,Students!$M:$M,$AE$2&amp;if($K5="S1","a",if($K5="S2","b","")),Students!$A:$A,AP$2)+countifs(Students!$N:$N,$AE5,Students!$O:$O,$AE$2&amp;if($K5="S1","a",if($K5="S2","b","")),Students!$A:$A,AP$2)+countifs(Students!$P:$P,$AE5,Students!$Q:$Q,$AE$2&amp;if($K5="S1","a",if($K5="S2","b","")),Students!$A:$A,AP$2)+countifs(Students!$R:$R,$AE5,Students!$S:$S,$AE$2&amp;if($K5="S1","a",if($K5="S2","b","")),Students!$A:$A,AP$2)+countifs(Students!$T:$T,$AE5,Students!$U:$U,$AE$2&amp;if($K5="S1","a",if($K5="S2","b","")),Students!$A:$A,AP$2)+countifs(Students!$V:$V,$AE5,Students!$W:$W,$AE$2&amp;if($K5="S1","a",if($K5="S2","b","")),Students!$A:$A,AP$2)+
countifs(Students!$D:$D,$AH5,Students!$E:$E,$AH$2&amp;if($K5="S1","a",if($K5="S2","b","")),Students!$A:$A,AP$2)+countifs(Students!$F:$F,$AH5,Students!$G:$G,$AH$2&amp;if($K5="S1","a",if($K5="S2","b","")),Students!$A:$A,AP$2)+countifs(Students!$H:$H,$AH5,Students!$I:$I,$AH$2&amp;if($K5="S1","a",if($K5="S2","b","")),Students!$A:$A,AP$2)+countifs(Students!$J:$J,$AH5,Students!$K:$K,$AH$2&amp;if($K5="S1","a",if($K5="S2","b","")),Students!$A:$A,AP$2)+countifs(Students!$L:$L,$AH5,Students!$M:$M,$AH$2&amp;if($K5="S1","a",if($K5="S2","b","")),Students!$A:$A,AP$2)+countifs(Students!$N:$N,$AH5,Students!$O:$O,$AH$2&amp;if($K5="S1","a",if($K5="S2","b","")),Students!$A:$A,AP$2)+countifs(Students!$P:$P,$AH5,Students!$Q:$Q,$AH$2&amp;if($K5="S1","a",if($K5="S2","b","")),Students!$A:$A,AP$2)+countifs(Students!$R:$R,$AH5,Students!$S:$S,$AH$2&amp;if($K5="S1","a",if($K5="S2","b","")),Students!$A:$A,AP$2)+countifs(Students!$T:$T,$AH5,Students!$U:$U,$AH$2&amp;if($K5="S1","a",if($K5="S2","b","")),Students!$A:$A,AP$2)+countifs(Students!$V:$V,$AH5,Students!$W:$W,$AH$2&amp;if($K5="S1","a",if($K5="S2","b","")),Students!$A:$A,AP$2)+
countifs(Students!$D:$D,$AK5,Students!$E:$E,$AK$2&amp;if($K5="S1","a",if($K5="S2","b","")),Students!$A:$A,AP$2)+countifs(Students!$F:$F,$AK5,Students!$G:$G,$AK$2&amp;if($K5="S1","a",if($K5="S2","b","")),Students!$A:$A,AP$2)+countifs(Students!$H:$H,$AK5,Students!$I:$I,$AK$2&amp;if($K5="S1","a",if($K5="S2","b","")),Students!$A:$A,AP$2)+countifs(Students!$J:$J,$AK5,Students!$K:$K,$AK$2&amp;if($K5="S1","a",if($K5="S2","b","")),Students!$A:$A,AP$2)+countifs(Students!$L:$L,$AK5,Students!$M:$M,$AK$2&amp;if($K5="S1","a",if($K5="S2","b","")),Students!$A:$A,AP$2)+countifs(Students!$N:$N,$AK5,Students!$O:$O,$AK$2&amp;if($K5="S1","a",if($K5="S2","b","")),Students!$A:$A,AP$2)+countifs(Students!$P:$P,$AK5,Students!$Q:$Q,$AK$2&amp;if($K5="S1","a",if($K5="S2","b","")),Students!$A:$A,AP$2)+countifs(Students!$R:$R,$AK5,Students!$S:$S,$AK$2&amp;if($K5="S1","a",if($K5="S2","b","")),Students!$A:$A,AP$2)+countifs(Students!$T:$T,$AK5,Students!$U:$U,$AK$2&amp;if($K5="S1","a",if($K5="S2","b","")),Students!$A:$A,AP$2)+countifs(Students!$V:$V,$AK5,Students!$W:$W,$AK$2&amp;if($K5="S1","a",if($K5="S2","b","")),Students!$A:$A,AP$2))</f>
        <v>0</v>
      </c>
      <c r="AQ5" s="52">
        <f>if($L5="","",countifs(Students!$D:$D,$P5,Students!$E:$E,$P$2&amp;if($K5="S1","a",if($K5="S2","b","")),Students!$A:$A,AQ$2)+countifs(Students!$F:$F,$P5,Students!$G:$G,$P$2&amp;if($K5="S1","a",if($K5="S2","b","")),Students!$A:$A,AQ$2)+countifs(Students!$H:$H,$P5,Students!$I:$I,$P$2&amp;if($K5="S1","a",if($K5="S2","b","")),Students!$A:$A,AQ$2)+countifs(Students!$J:$J,$P5,Students!$K:$K,$P$2&amp;if($K5="S1","a",if($K5="S2","b","")),Students!$A:$A,AQ$2)+countifs(Students!$L:$L,$P5,Students!$M:$M,$P$2&amp;if($K5="S1","a",if($K5="S2","b","")),Students!$A:$A,AQ$2)+countifs(Students!$N:$N,$P5,Students!$O:$O,$P$2&amp;if($K5="S1","a",if($K5="S2","b","")),Students!$A:$A,AQ$2)+countifs(Students!$P:$P,$P5,Students!$Q:$Q,$P$2&amp;if($K5="S1","a",if($K5="S2","b","")),Students!$A:$A,AQ$2)+countifs(Students!$R:$R,$P5,Students!$S:$S,$P$2&amp;if($K5="S1","a",if($K5="S2","b","")),Students!$A:$A,AQ$2)+countifs(Students!$T:$T,$P5,Students!$U:$U,$P$2&amp;if($K5="S1","a",if($K5="S2","b","")),Students!$A:$A,AQ$2)+countifs(Students!$V:$V,$P5,Students!$W:$W,$P$2&amp;if($K5="S1","a",if($K5="S2","b","")),Students!$A:$A,AQ$2)+
countifs(Students!$D:$D,$S5,Students!$E:$E,$S$2&amp;if($K5="S1","a",if($K5="S2","b","")),Students!$A:$A,AQ$2)+countifs(Students!$F:$F,$S5,Students!$G:$G,$S$2&amp;if($K5="S1","a",if($K5="S2","b","")),Students!$A:$A,AQ$2)+countifs(Students!$H:$H,$S5,Students!$I:$I,$S$2&amp;if($K5="S1","a",if($K5="S2","b","")),Students!$A:$A,AQ$2)+countifs(Students!$J:$J,$S5,Students!$K:$K,$S$2&amp;if($K5="S1","a",if($K5="S2","b","")),Students!$A:$A,AQ$2)+countifs(Students!$L:$L,$S5,Students!$M:$M,$S$2&amp;if($K5="S1","a",if($K5="S2","b","")),Students!$A:$A,AQ$2)+countifs(Students!$N:$N,$S5,Students!$O:$O,$S$2&amp;if($K5="S1","a",if($K5="S2","b","")),Students!$A:$A,AQ$2)+countifs(Students!$P:$P,$S5,Students!$Q:$Q,$S$2&amp;if($K5="S1","a",if($K5="S2","b","")),Students!$A:$A,AQ$2)+countifs(Students!$R:$R,$S5,Students!$S:$S,$S$2&amp;if($K5="S1","a",if($K5="S2","b","")),Students!$A:$A,AQ$2)+countifs(Students!$T:$T,$S5,Students!$U:$U,$S$2&amp;if($K5="S1","a",if($K5="S2","b","")),Students!$A:$A,AQ$2)+countifs(Students!$V:$V,$S5,Students!$W:$W,$S$2&amp;if($K5="S1","a",if($K5="S2","b","")),Students!$A:$A,AQ$2)+
countifs(Students!$D:$D,$V5,Students!$E:$E,$V$2&amp;if($K5="S1","a",if($K5="S2","b","")),Students!$A:$A,AQ$2)+countifs(Students!$F:$F,$V5,Students!$G:$G,$V$2&amp;if($K5="S1","a",if($K5="S2","b","")),Students!$A:$A,AQ$2)+countifs(Students!$H:$H,$V5,Students!$I:$I,$V$2&amp;if($K5="S1","a",if($K5="S2","b","")),Students!$A:$A,AQ$2)+countifs(Students!$J:$J,$V5,Students!$K:$K,$V$2&amp;if($K5="S1","a",if($K5="S2","b","")),Students!$A:$A,AQ$2)+countifs(Students!$L:$L,$V5,Students!$M:$M,$V$2&amp;if($K5="S1","a",if($K5="S2","b","")),Students!$A:$A,AQ$2)+countifs(Students!$N:$N,$V5,Students!$O:$O,$V$2&amp;if($K5="S1","a",if($K5="S2","b","")),Students!$A:$A,AQ$2)+countifs(Students!$P:$P,$V5,Students!$Q:$Q,$V$2&amp;if($K5="S1","a",if($K5="S2","b","")),Students!$A:$A,AQ$2)+countifs(Students!$R:$R,$V5,Students!$S:$S,$V$2&amp;if($K5="S1","a",if($K5="S2","b","")),Students!$A:$A,AQ$2)+countifs(Students!$T:$T,$V5,Students!$U:$U,$V$2&amp;if($K5="S1","a",if($K5="S2","b","")),Students!$A:$A,AQ$2)+countifs(Students!$V:$V,$V5,Students!$W:$W,$V$2&amp;if($K5="S1","a",if($K5="S2","b","")),Students!$A:$A,AQ$2)+
countifs(Students!$D:$D,$Y5,Students!$E:$E,$Y$2&amp;if($K5="S1","a",if($K5="S2","b","")),Students!$A:$A,AQ$2)+countifs(Students!$F:$F,$Y5,Students!$G:$G,$Y$2&amp;if($K5="S1","a",if($K5="S2","b","")),Students!$A:$A,AQ$2)+countifs(Students!$H:$H,$Y5,Students!$I:$I,$Y$2&amp;if($K5="S1","a",if($K5="S2","b","")),Students!$A:$A,AQ$2)+countifs(Students!$J:$J,$Y5,Students!$K:$K,$Y$2&amp;if($K5="S1","a",if($K5="S2","b","")),Students!$A:$A,AQ$2)+countifs(Students!$L:$L,$Y5,Students!$M:$M,$Y$2&amp;if($K5="S1","a",if($K5="S2","b","")),Students!$A:$A,AQ$2)+countifs(Students!$N:$N,$Y5,Students!$O:$O,$Y$2&amp;if($K5="S1","a",if($K5="S2","b","")),Students!$A:$A,AQ$2)+countifs(Students!$P:$P,$Y5,Students!$Q:$Q,$Y$2&amp;if($K5="S1","a",if($K5="S2","b","")),Students!$A:$A,AQ$2)+countifs(Students!$R:$R,$Y5,Students!$S:$S,$Y$2&amp;if($K5="S1","a",if($K5="S2","b","")),Students!$A:$A,AQ$2)+countifs(Students!$T:$T,$Y5,Students!$U:$U,$Y$2&amp;if($K5="S1","a",if($K5="S2","b","")),Students!$A:$A,AQ$2)+countifs(Students!$V:$V,$Y5,Students!$W:$W,$Y$2&amp;if($K5="S1","a",if($K5="S2","b","")),Students!$A:$A,AQ$2)+
countifs(Students!$D:$D,$AB5,Students!$E:$E,$AB$2&amp;if($K5="S1","a",if($K5="S2","b","")),Students!$A:$A,AQ$2)+countifs(Students!$F:$F,$AB5,Students!$G:$G,$AB$2&amp;if($K5="S1","a",if($K5="S2","b","")),Students!$A:$A,AQ$2)+countifs(Students!$H:$H,$AB5,Students!$I:$I,$AB$2&amp;if($K5="S1","a",if($K5="S2","b","")),Students!$A:$A,AQ$2)+countifs(Students!$J:$J,$AB5,Students!$K:$K,$AB$2&amp;if($K5="S1","a",if($K5="S2","b","")),Students!$A:$A,AQ$2)+countifs(Students!$L:$L,$AB5,Students!$M:$M,$AB$2&amp;if($K5="S1","a",if($K5="S2","b","")),Students!$A:$A,AQ$2)+countifs(Students!$N:$N,$AB5,Students!$O:$O,$AB$2&amp;if($K5="S1","a",if($K5="S2","b","")),Students!$A:$A,AQ$2)+countifs(Students!$P:$P,$AB5,Students!$Q:$Q,$AB$2&amp;if($K5="S1","a",if($K5="S2","b","")),Students!$A:$A,AQ$2)+countifs(Students!$R:$R,$AB5,Students!$S:$S,$AB$2&amp;if($K5="S1","a",if($K5="S2","b","")),Students!$A:$A,AQ$2)+countifs(Students!$T:$T,$AB5,Students!$U:$U,$AB$2&amp;if($K5="S1","a",if($K5="S2","b","")),Students!$A:$A,AQ$2)+countifs(Students!$V:$V,$AB5,Students!$W:$W,$AB$2&amp;if($K5="S1","a",if($K5="S2","b","")),Students!$A:$A,AQ$2)+
countifs(Students!$D:$D,$AE5,Students!$E:$E,$AE$2&amp;if($K5="S1","a",if($K5="S2","b","")),Students!$A:$A,AQ$2)+countifs(Students!$F:$F,$AE5,Students!$G:$G,$AE$2&amp;if($K5="S1","a",if($K5="S2","b","")),Students!$A:$A,AQ$2)+countifs(Students!$H:$H,$AE5,Students!$I:$I,$AE$2&amp;if($K5="S1","a",if($K5="S2","b","")),Students!$A:$A,AQ$2)+countifs(Students!$J:$J,$AE5,Students!$K:$K,$AE$2&amp;if($K5="S1","a",if($K5="S2","b","")),Students!$A:$A,AQ$2)+countifs(Students!$L:$L,$AE5,Students!$M:$M,$AE$2&amp;if($K5="S1","a",if($K5="S2","b","")),Students!$A:$A,AQ$2)+countifs(Students!$N:$N,$AE5,Students!$O:$O,$AE$2&amp;if($K5="S1","a",if($K5="S2","b","")),Students!$A:$A,AQ$2)+countifs(Students!$P:$P,$AE5,Students!$Q:$Q,$AE$2&amp;if($K5="S1","a",if($K5="S2","b","")),Students!$A:$A,AQ$2)+countifs(Students!$R:$R,$AE5,Students!$S:$S,$AE$2&amp;if($K5="S1","a",if($K5="S2","b","")),Students!$A:$A,AQ$2)+countifs(Students!$T:$T,$AE5,Students!$U:$U,$AE$2&amp;if($K5="S1","a",if($K5="S2","b","")),Students!$A:$A,AQ$2)+countifs(Students!$V:$V,$AE5,Students!$W:$W,$AE$2&amp;if($K5="S1","a",if($K5="S2","b","")),Students!$A:$A,AQ$2)+
countifs(Students!$D:$D,$AH5,Students!$E:$E,$AH$2&amp;if($K5="S1","a",if($K5="S2","b","")),Students!$A:$A,AQ$2)+countifs(Students!$F:$F,$AH5,Students!$G:$G,$AH$2&amp;if($K5="S1","a",if($K5="S2","b","")),Students!$A:$A,AQ$2)+countifs(Students!$H:$H,$AH5,Students!$I:$I,$AH$2&amp;if($K5="S1","a",if($K5="S2","b","")),Students!$A:$A,AQ$2)+countifs(Students!$J:$J,$AH5,Students!$K:$K,$AH$2&amp;if($K5="S1","a",if($K5="S2","b","")),Students!$A:$A,AQ$2)+countifs(Students!$L:$L,$AH5,Students!$M:$M,$AH$2&amp;if($K5="S1","a",if($K5="S2","b","")),Students!$A:$A,AQ$2)+countifs(Students!$N:$N,$AH5,Students!$O:$O,$AH$2&amp;if($K5="S1","a",if($K5="S2","b","")),Students!$A:$A,AQ$2)+countifs(Students!$P:$P,$AH5,Students!$Q:$Q,$AH$2&amp;if($K5="S1","a",if($K5="S2","b","")),Students!$A:$A,AQ$2)+countifs(Students!$R:$R,$AH5,Students!$S:$S,$AH$2&amp;if($K5="S1","a",if($K5="S2","b","")),Students!$A:$A,AQ$2)+countifs(Students!$T:$T,$AH5,Students!$U:$U,$AH$2&amp;if($K5="S1","a",if($K5="S2","b","")),Students!$A:$A,AQ$2)+countifs(Students!$V:$V,$AH5,Students!$W:$W,$AH$2&amp;if($K5="S1","a",if($K5="S2","b","")),Students!$A:$A,AQ$2)+
countifs(Students!$D:$D,$AK5,Students!$E:$E,$AK$2&amp;if($K5="S1","a",if($K5="S2","b","")),Students!$A:$A,AQ$2)+countifs(Students!$F:$F,$AK5,Students!$G:$G,$AK$2&amp;if($K5="S1","a",if($K5="S2","b","")),Students!$A:$A,AQ$2)+countifs(Students!$H:$H,$AK5,Students!$I:$I,$AK$2&amp;if($K5="S1","a",if($K5="S2","b","")),Students!$A:$A,AQ$2)+countifs(Students!$J:$J,$AK5,Students!$K:$K,$AK$2&amp;if($K5="S1","a",if($K5="S2","b","")),Students!$A:$A,AQ$2)+countifs(Students!$L:$L,$AK5,Students!$M:$M,$AK$2&amp;if($K5="S1","a",if($K5="S2","b","")),Students!$A:$A,AQ$2)+countifs(Students!$N:$N,$AK5,Students!$O:$O,$AK$2&amp;if($K5="S1","a",if($K5="S2","b","")),Students!$A:$A,AQ$2)+countifs(Students!$P:$P,$AK5,Students!$Q:$Q,$AK$2&amp;if($K5="S1","a",if($K5="S2","b","")),Students!$A:$A,AQ$2)+countifs(Students!$R:$R,$AK5,Students!$S:$S,$AK$2&amp;if($K5="S1","a",if($K5="S2","b","")),Students!$A:$A,AQ$2)+countifs(Students!$T:$T,$AK5,Students!$U:$U,$AK$2&amp;if($K5="S1","a",if($K5="S2","b","")),Students!$A:$A,AQ$2)+countifs(Students!$V:$V,$AK5,Students!$W:$W,$AK$2&amp;if($K5="S1","a",if($K5="S2","b","")),Students!$A:$A,AQ$2))</f>
        <v>1</v>
      </c>
      <c r="AR5" s="52">
        <f>if($L5="","",countifs(Students!$D:$D,$P5,Students!$E:$E,$P$2&amp;if($K5="S1","a",if($K5="S2","b","")),Students!$A:$A,AR$2)+countifs(Students!$F:$F,$P5,Students!$G:$G,$P$2&amp;if($K5="S1","a",if($K5="S2","b","")),Students!$A:$A,AR$2)+countifs(Students!$H:$H,$P5,Students!$I:$I,$P$2&amp;if($K5="S1","a",if($K5="S2","b","")),Students!$A:$A,AR$2)+countifs(Students!$J:$J,$P5,Students!$K:$K,$P$2&amp;if($K5="S1","a",if($K5="S2","b","")),Students!$A:$A,AR$2)+countifs(Students!$L:$L,$P5,Students!$M:$M,$P$2&amp;if($K5="S1","a",if($K5="S2","b","")),Students!$A:$A,AR$2)+countifs(Students!$N:$N,$P5,Students!$O:$O,$P$2&amp;if($K5="S1","a",if($K5="S2","b","")),Students!$A:$A,AR$2)+countifs(Students!$P:$P,$P5,Students!$Q:$Q,$P$2&amp;if($K5="S1","a",if($K5="S2","b","")),Students!$A:$A,AR$2)+countifs(Students!$R:$R,$P5,Students!$S:$S,$P$2&amp;if($K5="S1","a",if($K5="S2","b","")),Students!$A:$A,AR$2)+countifs(Students!$T:$T,$P5,Students!$U:$U,$P$2&amp;if($K5="S1","a",if($K5="S2","b","")),Students!$A:$A,AR$2)+countifs(Students!$V:$V,$P5,Students!$W:$W,$P$2&amp;if($K5="S1","a",if($K5="S2","b","")),Students!$A:$A,AR$2)+
countifs(Students!$D:$D,$S5,Students!$E:$E,$S$2&amp;if($K5="S1","a",if($K5="S2","b","")),Students!$A:$A,AR$2)+countifs(Students!$F:$F,$S5,Students!$G:$G,$S$2&amp;if($K5="S1","a",if($K5="S2","b","")),Students!$A:$A,AR$2)+countifs(Students!$H:$H,$S5,Students!$I:$I,$S$2&amp;if($K5="S1","a",if($K5="S2","b","")),Students!$A:$A,AR$2)+countifs(Students!$J:$J,$S5,Students!$K:$K,$S$2&amp;if($K5="S1","a",if($K5="S2","b","")),Students!$A:$A,AR$2)+countifs(Students!$L:$L,$S5,Students!$M:$M,$S$2&amp;if($K5="S1","a",if($K5="S2","b","")),Students!$A:$A,AR$2)+countifs(Students!$N:$N,$S5,Students!$O:$O,$S$2&amp;if($K5="S1","a",if($K5="S2","b","")),Students!$A:$A,AR$2)+countifs(Students!$P:$P,$S5,Students!$Q:$Q,$S$2&amp;if($K5="S1","a",if($K5="S2","b","")),Students!$A:$A,AR$2)+countifs(Students!$R:$R,$S5,Students!$S:$S,$S$2&amp;if($K5="S1","a",if($K5="S2","b","")),Students!$A:$A,AR$2)+countifs(Students!$T:$T,$S5,Students!$U:$U,$S$2&amp;if($K5="S1","a",if($K5="S2","b","")),Students!$A:$A,AR$2)+countifs(Students!$V:$V,$S5,Students!$W:$W,$S$2&amp;if($K5="S1","a",if($K5="S2","b","")),Students!$A:$A,AR$2)+
countifs(Students!$D:$D,$V5,Students!$E:$E,$V$2&amp;if($K5="S1","a",if($K5="S2","b","")),Students!$A:$A,AR$2)+countifs(Students!$F:$F,$V5,Students!$G:$G,$V$2&amp;if($K5="S1","a",if($K5="S2","b","")),Students!$A:$A,AR$2)+countifs(Students!$H:$H,$V5,Students!$I:$I,$V$2&amp;if($K5="S1","a",if($K5="S2","b","")),Students!$A:$A,AR$2)+countifs(Students!$J:$J,$V5,Students!$K:$K,$V$2&amp;if($K5="S1","a",if($K5="S2","b","")),Students!$A:$A,AR$2)+countifs(Students!$L:$L,$V5,Students!$M:$M,$V$2&amp;if($K5="S1","a",if($K5="S2","b","")),Students!$A:$A,AR$2)+countifs(Students!$N:$N,$V5,Students!$O:$O,$V$2&amp;if($K5="S1","a",if($K5="S2","b","")),Students!$A:$A,AR$2)+countifs(Students!$P:$P,$V5,Students!$Q:$Q,$V$2&amp;if($K5="S1","a",if($K5="S2","b","")),Students!$A:$A,AR$2)+countifs(Students!$R:$R,$V5,Students!$S:$S,$V$2&amp;if($K5="S1","a",if($K5="S2","b","")),Students!$A:$A,AR$2)+countifs(Students!$T:$T,$V5,Students!$U:$U,$V$2&amp;if($K5="S1","a",if($K5="S2","b","")),Students!$A:$A,AR$2)+countifs(Students!$V:$V,$V5,Students!$W:$W,$V$2&amp;if($K5="S1","a",if($K5="S2","b","")),Students!$A:$A,AR$2)+
countifs(Students!$D:$D,$Y5,Students!$E:$E,$Y$2&amp;if($K5="S1","a",if($K5="S2","b","")),Students!$A:$A,AR$2)+countifs(Students!$F:$F,$Y5,Students!$G:$G,$Y$2&amp;if($K5="S1","a",if($K5="S2","b","")),Students!$A:$A,AR$2)+countifs(Students!$H:$H,$Y5,Students!$I:$I,$Y$2&amp;if($K5="S1","a",if($K5="S2","b","")),Students!$A:$A,AR$2)+countifs(Students!$J:$J,$Y5,Students!$K:$K,$Y$2&amp;if($K5="S1","a",if($K5="S2","b","")),Students!$A:$A,AR$2)+countifs(Students!$L:$L,$Y5,Students!$M:$M,$Y$2&amp;if($K5="S1","a",if($K5="S2","b","")),Students!$A:$A,AR$2)+countifs(Students!$N:$N,$Y5,Students!$O:$O,$Y$2&amp;if($K5="S1","a",if($K5="S2","b","")),Students!$A:$A,AR$2)+countifs(Students!$P:$P,$Y5,Students!$Q:$Q,$Y$2&amp;if($K5="S1","a",if($K5="S2","b","")),Students!$A:$A,AR$2)+countifs(Students!$R:$R,$Y5,Students!$S:$S,$Y$2&amp;if($K5="S1","a",if($K5="S2","b","")),Students!$A:$A,AR$2)+countifs(Students!$T:$T,$Y5,Students!$U:$U,$Y$2&amp;if($K5="S1","a",if($K5="S2","b","")),Students!$A:$A,AR$2)+countifs(Students!$V:$V,$Y5,Students!$W:$W,$Y$2&amp;if($K5="S1","a",if($K5="S2","b","")),Students!$A:$A,AR$2)+
countifs(Students!$D:$D,$AB5,Students!$E:$E,$AB$2&amp;if($K5="S1","a",if($K5="S2","b","")),Students!$A:$A,AR$2)+countifs(Students!$F:$F,$AB5,Students!$G:$G,$AB$2&amp;if($K5="S1","a",if($K5="S2","b","")),Students!$A:$A,AR$2)+countifs(Students!$H:$H,$AB5,Students!$I:$I,$AB$2&amp;if($K5="S1","a",if($K5="S2","b","")),Students!$A:$A,AR$2)+countifs(Students!$J:$J,$AB5,Students!$K:$K,$AB$2&amp;if($K5="S1","a",if($K5="S2","b","")),Students!$A:$A,AR$2)+countifs(Students!$L:$L,$AB5,Students!$M:$M,$AB$2&amp;if($K5="S1","a",if($K5="S2","b","")),Students!$A:$A,AR$2)+countifs(Students!$N:$N,$AB5,Students!$O:$O,$AB$2&amp;if($K5="S1","a",if($K5="S2","b","")),Students!$A:$A,AR$2)+countifs(Students!$P:$P,$AB5,Students!$Q:$Q,$AB$2&amp;if($K5="S1","a",if($K5="S2","b","")),Students!$A:$A,AR$2)+countifs(Students!$R:$R,$AB5,Students!$S:$S,$AB$2&amp;if($K5="S1","a",if($K5="S2","b","")),Students!$A:$A,AR$2)+countifs(Students!$T:$T,$AB5,Students!$U:$U,$AB$2&amp;if($K5="S1","a",if($K5="S2","b","")),Students!$A:$A,AR$2)+countifs(Students!$V:$V,$AB5,Students!$W:$W,$AB$2&amp;if($K5="S1","a",if($K5="S2","b","")),Students!$A:$A,AR$2)+
countifs(Students!$D:$D,$AE5,Students!$E:$E,$AE$2&amp;if($K5="S1","a",if($K5="S2","b","")),Students!$A:$A,AR$2)+countifs(Students!$F:$F,$AE5,Students!$G:$G,$AE$2&amp;if($K5="S1","a",if($K5="S2","b","")),Students!$A:$A,AR$2)+countifs(Students!$H:$H,$AE5,Students!$I:$I,$AE$2&amp;if($K5="S1","a",if($K5="S2","b","")),Students!$A:$A,AR$2)+countifs(Students!$J:$J,$AE5,Students!$K:$K,$AE$2&amp;if($K5="S1","a",if($K5="S2","b","")),Students!$A:$A,AR$2)+countifs(Students!$L:$L,$AE5,Students!$M:$M,$AE$2&amp;if($K5="S1","a",if($K5="S2","b","")),Students!$A:$A,AR$2)+countifs(Students!$N:$N,$AE5,Students!$O:$O,$AE$2&amp;if($K5="S1","a",if($K5="S2","b","")),Students!$A:$A,AR$2)+countifs(Students!$P:$P,$AE5,Students!$Q:$Q,$AE$2&amp;if($K5="S1","a",if($K5="S2","b","")),Students!$A:$A,AR$2)+countifs(Students!$R:$R,$AE5,Students!$S:$S,$AE$2&amp;if($K5="S1","a",if($K5="S2","b","")),Students!$A:$A,AR$2)+countifs(Students!$T:$T,$AE5,Students!$U:$U,$AE$2&amp;if($K5="S1","a",if($K5="S2","b","")),Students!$A:$A,AR$2)+countifs(Students!$V:$V,$AE5,Students!$W:$W,$AE$2&amp;if($K5="S1","a",if($K5="S2","b","")),Students!$A:$A,AR$2)+
countifs(Students!$D:$D,$AH5,Students!$E:$E,$AH$2&amp;if($K5="S1","a",if($K5="S2","b","")),Students!$A:$A,AR$2)+countifs(Students!$F:$F,$AH5,Students!$G:$G,$AH$2&amp;if($K5="S1","a",if($K5="S2","b","")),Students!$A:$A,AR$2)+countifs(Students!$H:$H,$AH5,Students!$I:$I,$AH$2&amp;if($K5="S1","a",if($K5="S2","b","")),Students!$A:$A,AR$2)+countifs(Students!$J:$J,$AH5,Students!$K:$K,$AH$2&amp;if($K5="S1","a",if($K5="S2","b","")),Students!$A:$A,AR$2)+countifs(Students!$L:$L,$AH5,Students!$M:$M,$AH$2&amp;if($K5="S1","a",if($K5="S2","b","")),Students!$A:$A,AR$2)+countifs(Students!$N:$N,$AH5,Students!$O:$O,$AH$2&amp;if($K5="S1","a",if($K5="S2","b","")),Students!$A:$A,AR$2)+countifs(Students!$P:$P,$AH5,Students!$Q:$Q,$AH$2&amp;if($K5="S1","a",if($K5="S2","b","")),Students!$A:$A,AR$2)+countifs(Students!$R:$R,$AH5,Students!$S:$S,$AH$2&amp;if($K5="S1","a",if($K5="S2","b","")),Students!$A:$A,AR$2)+countifs(Students!$T:$T,$AH5,Students!$U:$U,$AH$2&amp;if($K5="S1","a",if($K5="S2","b","")),Students!$A:$A,AR$2)+countifs(Students!$V:$V,$AH5,Students!$W:$W,$AH$2&amp;if($K5="S1","a",if($K5="S2","b","")),Students!$A:$A,AR$2)+
countifs(Students!$D:$D,$AK5,Students!$E:$E,$AK$2&amp;if($K5="S1","a",if($K5="S2","b","")),Students!$A:$A,AR$2)+countifs(Students!$F:$F,$AK5,Students!$G:$G,$AK$2&amp;if($K5="S1","a",if($K5="S2","b","")),Students!$A:$A,AR$2)+countifs(Students!$H:$H,$AK5,Students!$I:$I,$AK$2&amp;if($K5="S1","a",if($K5="S2","b","")),Students!$A:$A,AR$2)+countifs(Students!$J:$J,$AK5,Students!$K:$K,$AK$2&amp;if($K5="S1","a",if($K5="S2","b","")),Students!$A:$A,AR$2)+countifs(Students!$L:$L,$AK5,Students!$M:$M,$AK$2&amp;if($K5="S1","a",if($K5="S2","b","")),Students!$A:$A,AR$2)+countifs(Students!$N:$N,$AK5,Students!$O:$O,$AK$2&amp;if($K5="S1","a",if($K5="S2","b","")),Students!$A:$A,AR$2)+countifs(Students!$P:$P,$AK5,Students!$Q:$Q,$AK$2&amp;if($K5="S1","a",if($K5="S2","b","")),Students!$A:$A,AR$2)+countifs(Students!$R:$R,$AK5,Students!$S:$S,$AK$2&amp;if($K5="S1","a",if($K5="S2","b","")),Students!$A:$A,AR$2)+countifs(Students!$T:$T,$AK5,Students!$U:$U,$AK$2&amp;if($K5="S1","a",if($K5="S2","b","")),Students!$A:$A,AR$2)+countifs(Students!$V:$V,$AK5,Students!$W:$W,$AK$2&amp;if($K5="S1","a",if($K5="S2","b","")),Students!$A:$A,AR$2))</f>
        <v>4</v>
      </c>
      <c r="AS5" s="52">
        <f>if($L5="","",countifs(Students!$D:$D,$P5,Students!$E:$E,$P$2&amp;if($K5="S1","a",if($K5="S2","b","")),Students!$A:$A,AS$2)+countifs(Students!$F:$F,$P5,Students!$G:$G,$P$2&amp;if($K5="S1","a",if($K5="S2","b","")),Students!$A:$A,AS$2)+countifs(Students!$H:$H,$P5,Students!$I:$I,$P$2&amp;if($K5="S1","a",if($K5="S2","b","")),Students!$A:$A,AS$2)+countifs(Students!$J:$J,$P5,Students!$K:$K,$P$2&amp;if($K5="S1","a",if($K5="S2","b","")),Students!$A:$A,AS$2)+countifs(Students!$L:$L,$P5,Students!$M:$M,$P$2&amp;if($K5="S1","a",if($K5="S2","b","")),Students!$A:$A,AS$2)+countifs(Students!$N:$N,$P5,Students!$O:$O,$P$2&amp;if($K5="S1","a",if($K5="S2","b","")),Students!$A:$A,AS$2)+countifs(Students!$P:$P,$P5,Students!$Q:$Q,$P$2&amp;if($K5="S1","a",if($K5="S2","b","")),Students!$A:$A,AS$2)+countifs(Students!$R:$R,$P5,Students!$S:$S,$P$2&amp;if($K5="S1","a",if($K5="S2","b","")),Students!$A:$A,AS$2)+countifs(Students!$T:$T,$P5,Students!$U:$U,$P$2&amp;if($K5="S1","a",if($K5="S2","b","")),Students!$A:$A,AS$2)+countifs(Students!$V:$V,$P5,Students!$W:$W,$P$2&amp;if($K5="S1","a",if($K5="S2","b","")),Students!$A:$A,AS$2)+
countifs(Students!$D:$D,$S5,Students!$E:$E,$S$2&amp;if($K5="S1","a",if($K5="S2","b","")),Students!$A:$A,AS$2)+countifs(Students!$F:$F,$S5,Students!$G:$G,$S$2&amp;if($K5="S1","a",if($K5="S2","b","")),Students!$A:$A,AS$2)+countifs(Students!$H:$H,$S5,Students!$I:$I,$S$2&amp;if($K5="S1","a",if($K5="S2","b","")),Students!$A:$A,AS$2)+countifs(Students!$J:$J,$S5,Students!$K:$K,$S$2&amp;if($K5="S1","a",if($K5="S2","b","")),Students!$A:$A,AS$2)+countifs(Students!$L:$L,$S5,Students!$M:$M,$S$2&amp;if($K5="S1","a",if($K5="S2","b","")),Students!$A:$A,AS$2)+countifs(Students!$N:$N,$S5,Students!$O:$O,$S$2&amp;if($K5="S1","a",if($K5="S2","b","")),Students!$A:$A,AS$2)+countifs(Students!$P:$P,$S5,Students!$Q:$Q,$S$2&amp;if($K5="S1","a",if($K5="S2","b","")),Students!$A:$A,AS$2)+countifs(Students!$R:$R,$S5,Students!$S:$S,$S$2&amp;if($K5="S1","a",if($K5="S2","b","")),Students!$A:$A,AS$2)+countifs(Students!$T:$T,$S5,Students!$U:$U,$S$2&amp;if($K5="S1","a",if($K5="S2","b","")),Students!$A:$A,AS$2)+countifs(Students!$V:$V,$S5,Students!$W:$W,$S$2&amp;if($K5="S1","a",if($K5="S2","b","")),Students!$A:$A,AS$2)+
countifs(Students!$D:$D,$V5,Students!$E:$E,$V$2&amp;if($K5="S1","a",if($K5="S2","b","")),Students!$A:$A,AS$2)+countifs(Students!$F:$F,$V5,Students!$G:$G,$V$2&amp;if($K5="S1","a",if($K5="S2","b","")),Students!$A:$A,AS$2)+countifs(Students!$H:$H,$V5,Students!$I:$I,$V$2&amp;if($K5="S1","a",if($K5="S2","b","")),Students!$A:$A,AS$2)+countifs(Students!$J:$J,$V5,Students!$K:$K,$V$2&amp;if($K5="S1","a",if($K5="S2","b","")),Students!$A:$A,AS$2)+countifs(Students!$L:$L,$V5,Students!$M:$M,$V$2&amp;if($K5="S1","a",if($K5="S2","b","")),Students!$A:$A,AS$2)+countifs(Students!$N:$N,$V5,Students!$O:$O,$V$2&amp;if($K5="S1","a",if($K5="S2","b","")),Students!$A:$A,AS$2)+countifs(Students!$P:$P,$V5,Students!$Q:$Q,$V$2&amp;if($K5="S1","a",if($K5="S2","b","")),Students!$A:$A,AS$2)+countifs(Students!$R:$R,$V5,Students!$S:$S,$V$2&amp;if($K5="S1","a",if($K5="S2","b","")),Students!$A:$A,AS$2)+countifs(Students!$T:$T,$V5,Students!$U:$U,$V$2&amp;if($K5="S1","a",if($K5="S2","b","")),Students!$A:$A,AS$2)+countifs(Students!$V:$V,$V5,Students!$W:$W,$V$2&amp;if($K5="S1","a",if($K5="S2","b","")),Students!$A:$A,AS$2)+
countifs(Students!$D:$D,$Y5,Students!$E:$E,$Y$2&amp;if($K5="S1","a",if($K5="S2","b","")),Students!$A:$A,AS$2)+countifs(Students!$F:$F,$Y5,Students!$G:$G,$Y$2&amp;if($K5="S1","a",if($K5="S2","b","")),Students!$A:$A,AS$2)+countifs(Students!$H:$H,$Y5,Students!$I:$I,$Y$2&amp;if($K5="S1","a",if($K5="S2","b","")),Students!$A:$A,AS$2)+countifs(Students!$J:$J,$Y5,Students!$K:$K,$Y$2&amp;if($K5="S1","a",if($K5="S2","b","")),Students!$A:$A,AS$2)+countifs(Students!$L:$L,$Y5,Students!$M:$M,$Y$2&amp;if($K5="S1","a",if($K5="S2","b","")),Students!$A:$A,AS$2)+countifs(Students!$N:$N,$Y5,Students!$O:$O,$Y$2&amp;if($K5="S1","a",if($K5="S2","b","")),Students!$A:$A,AS$2)+countifs(Students!$P:$P,$Y5,Students!$Q:$Q,$Y$2&amp;if($K5="S1","a",if($K5="S2","b","")),Students!$A:$A,AS$2)+countifs(Students!$R:$R,$Y5,Students!$S:$S,$Y$2&amp;if($K5="S1","a",if($K5="S2","b","")),Students!$A:$A,AS$2)+countifs(Students!$T:$T,$Y5,Students!$U:$U,$Y$2&amp;if($K5="S1","a",if($K5="S2","b","")),Students!$A:$A,AS$2)+countifs(Students!$V:$V,$Y5,Students!$W:$W,$Y$2&amp;if($K5="S1","a",if($K5="S2","b","")),Students!$A:$A,AS$2)+
countifs(Students!$D:$D,$AB5,Students!$E:$E,$AB$2&amp;if($K5="S1","a",if($K5="S2","b","")),Students!$A:$A,AS$2)+countifs(Students!$F:$F,$AB5,Students!$G:$G,$AB$2&amp;if($K5="S1","a",if($K5="S2","b","")),Students!$A:$A,AS$2)+countifs(Students!$H:$H,$AB5,Students!$I:$I,$AB$2&amp;if($K5="S1","a",if($K5="S2","b","")),Students!$A:$A,AS$2)+countifs(Students!$J:$J,$AB5,Students!$K:$K,$AB$2&amp;if($K5="S1","a",if($K5="S2","b","")),Students!$A:$A,AS$2)+countifs(Students!$L:$L,$AB5,Students!$M:$M,$AB$2&amp;if($K5="S1","a",if($K5="S2","b","")),Students!$A:$A,AS$2)+countifs(Students!$N:$N,$AB5,Students!$O:$O,$AB$2&amp;if($K5="S1","a",if($K5="S2","b","")),Students!$A:$A,AS$2)+countifs(Students!$P:$P,$AB5,Students!$Q:$Q,$AB$2&amp;if($K5="S1","a",if($K5="S2","b","")),Students!$A:$A,AS$2)+countifs(Students!$R:$R,$AB5,Students!$S:$S,$AB$2&amp;if($K5="S1","a",if($K5="S2","b","")),Students!$A:$A,AS$2)+countifs(Students!$T:$T,$AB5,Students!$U:$U,$AB$2&amp;if($K5="S1","a",if($K5="S2","b","")),Students!$A:$A,AS$2)+countifs(Students!$V:$V,$AB5,Students!$W:$W,$AB$2&amp;if($K5="S1","a",if($K5="S2","b","")),Students!$A:$A,AS$2)+
countifs(Students!$D:$D,$AE5,Students!$E:$E,$AE$2&amp;if($K5="S1","a",if($K5="S2","b","")),Students!$A:$A,AS$2)+countifs(Students!$F:$F,$AE5,Students!$G:$G,$AE$2&amp;if($K5="S1","a",if($K5="S2","b","")),Students!$A:$A,AS$2)+countifs(Students!$H:$H,$AE5,Students!$I:$I,$AE$2&amp;if($K5="S1","a",if($K5="S2","b","")),Students!$A:$A,AS$2)+countifs(Students!$J:$J,$AE5,Students!$K:$K,$AE$2&amp;if($K5="S1","a",if($K5="S2","b","")),Students!$A:$A,AS$2)+countifs(Students!$L:$L,$AE5,Students!$M:$M,$AE$2&amp;if($K5="S1","a",if($K5="S2","b","")),Students!$A:$A,AS$2)+countifs(Students!$N:$N,$AE5,Students!$O:$O,$AE$2&amp;if($K5="S1","a",if($K5="S2","b","")),Students!$A:$A,AS$2)+countifs(Students!$P:$P,$AE5,Students!$Q:$Q,$AE$2&amp;if($K5="S1","a",if($K5="S2","b","")),Students!$A:$A,AS$2)+countifs(Students!$R:$R,$AE5,Students!$S:$S,$AE$2&amp;if($K5="S1","a",if($K5="S2","b","")),Students!$A:$A,AS$2)+countifs(Students!$T:$T,$AE5,Students!$U:$U,$AE$2&amp;if($K5="S1","a",if($K5="S2","b","")),Students!$A:$A,AS$2)+countifs(Students!$V:$V,$AE5,Students!$W:$W,$AE$2&amp;if($K5="S1","a",if($K5="S2","b","")),Students!$A:$A,AS$2)+
countifs(Students!$D:$D,$AH5,Students!$E:$E,$AH$2&amp;if($K5="S1","a",if($K5="S2","b","")),Students!$A:$A,AS$2)+countifs(Students!$F:$F,$AH5,Students!$G:$G,$AH$2&amp;if($K5="S1","a",if($K5="S2","b","")),Students!$A:$A,AS$2)+countifs(Students!$H:$H,$AH5,Students!$I:$I,$AH$2&amp;if($K5="S1","a",if($K5="S2","b","")),Students!$A:$A,AS$2)+countifs(Students!$J:$J,$AH5,Students!$K:$K,$AH$2&amp;if($K5="S1","a",if($K5="S2","b","")),Students!$A:$A,AS$2)+countifs(Students!$L:$L,$AH5,Students!$M:$M,$AH$2&amp;if($K5="S1","a",if($K5="S2","b","")),Students!$A:$A,AS$2)+countifs(Students!$N:$N,$AH5,Students!$O:$O,$AH$2&amp;if($K5="S1","a",if($K5="S2","b","")),Students!$A:$A,AS$2)+countifs(Students!$P:$P,$AH5,Students!$Q:$Q,$AH$2&amp;if($K5="S1","a",if($K5="S2","b","")),Students!$A:$A,AS$2)+countifs(Students!$R:$R,$AH5,Students!$S:$S,$AH$2&amp;if($K5="S1","a",if($K5="S2","b","")),Students!$A:$A,AS$2)+countifs(Students!$T:$T,$AH5,Students!$U:$U,$AH$2&amp;if($K5="S1","a",if($K5="S2","b","")),Students!$A:$A,AS$2)+countifs(Students!$V:$V,$AH5,Students!$W:$W,$AH$2&amp;if($K5="S1","a",if($K5="S2","b","")),Students!$A:$A,AS$2)+
countifs(Students!$D:$D,$AK5,Students!$E:$E,$AK$2&amp;if($K5="S1","a",if($K5="S2","b","")),Students!$A:$A,AS$2)+countifs(Students!$F:$F,$AK5,Students!$G:$G,$AK$2&amp;if($K5="S1","a",if($K5="S2","b","")),Students!$A:$A,AS$2)+countifs(Students!$H:$H,$AK5,Students!$I:$I,$AK$2&amp;if($K5="S1","a",if($K5="S2","b","")),Students!$A:$A,AS$2)+countifs(Students!$J:$J,$AK5,Students!$K:$K,$AK$2&amp;if($K5="S1","a",if($K5="S2","b","")),Students!$A:$A,AS$2)+countifs(Students!$L:$L,$AK5,Students!$M:$M,$AK$2&amp;if($K5="S1","a",if($K5="S2","b","")),Students!$A:$A,AS$2)+countifs(Students!$N:$N,$AK5,Students!$O:$O,$AK$2&amp;if($K5="S1","a",if($K5="S2","b","")),Students!$A:$A,AS$2)+countifs(Students!$P:$P,$AK5,Students!$Q:$Q,$AK$2&amp;if($K5="S1","a",if($K5="S2","b","")),Students!$A:$A,AS$2)+countifs(Students!$R:$R,$AK5,Students!$S:$S,$AK$2&amp;if($K5="S1","a",if($K5="S2","b","")),Students!$A:$A,AS$2)+countifs(Students!$T:$T,$AK5,Students!$U:$U,$AK$2&amp;if($K5="S1","a",if($K5="S2","b","")),Students!$A:$A,AS$2)+countifs(Students!$V:$V,$AK5,Students!$W:$W,$AK$2&amp;if($K5="S1","a",if($K5="S2","b","")),Students!$A:$A,AS$2))</f>
        <v>5</v>
      </c>
    </row>
    <row r="6">
      <c r="A6" s="53"/>
      <c r="B6" s="20">
        <v>4.0</v>
      </c>
      <c r="C6" s="56">
        <v>4.0</v>
      </c>
      <c r="D6" s="40">
        <v>1.0</v>
      </c>
      <c r="E6" s="41">
        <v>6.0</v>
      </c>
      <c r="F6" s="42">
        <v>3.0</v>
      </c>
      <c r="G6" s="55">
        <v>7.0</v>
      </c>
      <c r="J6" s="46">
        <v>116.0</v>
      </c>
      <c r="K6" s="20"/>
      <c r="L6" s="58" t="s">
        <v>33</v>
      </c>
      <c r="M6" s="4"/>
      <c r="N6" s="46">
        <v>5.0</v>
      </c>
      <c r="O6" s="46">
        <f>IFERROR(__xludf.DUMMYFUNCTION("3*counta((transpose(filter(P6:AM6,P6:AM6&lt;&gt;"""",isnumber(P6:AM6)=false))))"),18.0)</f>
        <v>18</v>
      </c>
      <c r="P6" s="48" t="s">
        <v>34</v>
      </c>
      <c r="Q6" s="49">
        <v>1.0</v>
      </c>
      <c r="R6" s="49">
        <v>25.0</v>
      </c>
      <c r="S6" s="59"/>
      <c r="T6" s="60"/>
      <c r="U6" s="60" t="s">
        <v>22</v>
      </c>
      <c r="V6" s="48" t="s">
        <v>28</v>
      </c>
      <c r="W6" s="49">
        <v>1.0</v>
      </c>
      <c r="X6" s="49">
        <v>17.0</v>
      </c>
      <c r="Y6" s="48" t="s">
        <v>30</v>
      </c>
      <c r="Z6" s="49">
        <v>3.0</v>
      </c>
      <c r="AA6" s="49">
        <v>24.0</v>
      </c>
      <c r="AB6" s="48" t="s">
        <v>30</v>
      </c>
      <c r="AC6" s="49">
        <v>4.0</v>
      </c>
      <c r="AD6" s="49">
        <v>21.0</v>
      </c>
      <c r="AE6" s="48"/>
      <c r="AF6" s="49"/>
      <c r="AG6" s="62" t="s">
        <v>22</v>
      </c>
      <c r="AH6" s="48" t="s">
        <v>34</v>
      </c>
      <c r="AI6" s="49">
        <v>2.0</v>
      </c>
      <c r="AJ6" s="62">
        <v>21.0</v>
      </c>
      <c r="AK6" s="48" t="s">
        <v>35</v>
      </c>
      <c r="AL6" s="49">
        <v>1.0</v>
      </c>
      <c r="AM6" s="67">
        <v>8.0</v>
      </c>
      <c r="AN6" s="52"/>
      <c r="AO6" s="52">
        <f t="shared" si="1"/>
        <v>116</v>
      </c>
      <c r="AP6" s="52">
        <f>if($L6="","",countifs(Students!$D:$D,$P6,Students!$E:$E,$P$2&amp;if($K6="S1","a",if($K6="S2","b","")),Students!$A:$A,AP$2)+countifs(Students!$F:$F,$P6,Students!$G:$G,$P$2&amp;if($K6="S1","a",if($K6="S2","b","")),Students!$A:$A,AP$2)+countifs(Students!$H:$H,$P6,Students!$I:$I,$P$2&amp;if($K6="S1","a",if($K6="S2","b","")),Students!$A:$A,AP$2)+countifs(Students!$J:$J,$P6,Students!$K:$K,$P$2&amp;if($K6="S1","a",if($K6="S2","b","")),Students!$A:$A,AP$2)+countifs(Students!$L:$L,$P6,Students!$M:$M,$P$2&amp;if($K6="S1","a",if($K6="S2","b","")),Students!$A:$A,AP$2)+countifs(Students!$N:$N,$P6,Students!$O:$O,$P$2&amp;if($K6="S1","a",if($K6="S2","b","")),Students!$A:$A,AP$2)+countifs(Students!$P:$P,$P6,Students!$Q:$Q,$P$2&amp;if($K6="S1","a",if($K6="S2","b","")),Students!$A:$A,AP$2)+countifs(Students!$R:$R,$P6,Students!$S:$S,$P$2&amp;if($K6="S1","a",if($K6="S2","b","")),Students!$A:$A,AP$2)+countifs(Students!$T:$T,$P6,Students!$U:$U,$P$2&amp;if($K6="S1","a",if($K6="S2","b","")),Students!$A:$A,AP$2)+countifs(Students!$V:$V,$P6,Students!$W:$W,$P$2&amp;if($K6="S1","a",if($K6="S2","b","")),Students!$A:$A,AP$2)+
countifs(Students!$D:$D,$S6,Students!$E:$E,$S$2&amp;if($K6="S1","a",if($K6="S2","b","")),Students!$A:$A,AP$2)+countifs(Students!$F:$F,$S6,Students!$G:$G,$S$2&amp;if($K6="S1","a",if($K6="S2","b","")),Students!$A:$A,AP$2)+countifs(Students!$H:$H,$S6,Students!$I:$I,$S$2&amp;if($K6="S1","a",if($K6="S2","b","")),Students!$A:$A,AP$2)+countifs(Students!$J:$J,$S6,Students!$K:$K,$S$2&amp;if($K6="S1","a",if($K6="S2","b","")),Students!$A:$A,AP$2)+countifs(Students!$L:$L,$S6,Students!$M:$M,$S$2&amp;if($K6="S1","a",if($K6="S2","b","")),Students!$A:$A,AP$2)+countifs(Students!$N:$N,$S6,Students!$O:$O,$S$2&amp;if($K6="S1","a",if($K6="S2","b","")),Students!$A:$A,AP$2)+countifs(Students!$P:$P,$S6,Students!$Q:$Q,$S$2&amp;if($K6="S1","a",if($K6="S2","b","")),Students!$A:$A,AP$2)+countifs(Students!$R:$R,$S6,Students!$S:$S,$S$2&amp;if($K6="S1","a",if($K6="S2","b","")),Students!$A:$A,AP$2)+countifs(Students!$T:$T,$S6,Students!$U:$U,$S$2&amp;if($K6="S1","a",if($K6="S2","b","")),Students!$A:$A,AP$2)+countifs(Students!$V:$V,$S6,Students!$W:$W,$S$2&amp;if($K6="S1","a",if($K6="S2","b","")),Students!$A:$A,AP$2)+
countifs(Students!$D:$D,$V6,Students!$E:$E,$V$2&amp;if($K6="S1","a",if($K6="S2","b","")),Students!$A:$A,AP$2)+countifs(Students!$F:$F,$V6,Students!$G:$G,$V$2&amp;if($K6="S1","a",if($K6="S2","b","")),Students!$A:$A,AP$2)+countifs(Students!$H:$H,$V6,Students!$I:$I,$V$2&amp;if($K6="S1","a",if($K6="S2","b","")),Students!$A:$A,AP$2)+countifs(Students!$J:$J,$V6,Students!$K:$K,$V$2&amp;if($K6="S1","a",if($K6="S2","b","")),Students!$A:$A,AP$2)+countifs(Students!$L:$L,$V6,Students!$M:$M,$V$2&amp;if($K6="S1","a",if($K6="S2","b","")),Students!$A:$A,AP$2)+countifs(Students!$N:$N,$V6,Students!$O:$O,$V$2&amp;if($K6="S1","a",if($K6="S2","b","")),Students!$A:$A,AP$2)+countifs(Students!$P:$P,$V6,Students!$Q:$Q,$V$2&amp;if($K6="S1","a",if($K6="S2","b","")),Students!$A:$A,AP$2)+countifs(Students!$R:$R,$V6,Students!$S:$S,$V$2&amp;if($K6="S1","a",if($K6="S2","b","")),Students!$A:$A,AP$2)+countifs(Students!$T:$T,$V6,Students!$U:$U,$V$2&amp;if($K6="S1","a",if($K6="S2","b","")),Students!$A:$A,AP$2)+countifs(Students!$V:$V,$V6,Students!$W:$W,$V$2&amp;if($K6="S1","a",if($K6="S2","b","")),Students!$A:$A,AP$2)+
countifs(Students!$D:$D,$Y6,Students!$E:$E,$Y$2&amp;if($K6="S1","a",if($K6="S2","b","")),Students!$A:$A,AP$2)+countifs(Students!$F:$F,$Y6,Students!$G:$G,$Y$2&amp;if($K6="S1","a",if($K6="S2","b","")),Students!$A:$A,AP$2)+countifs(Students!$H:$H,$Y6,Students!$I:$I,$Y$2&amp;if($K6="S1","a",if($K6="S2","b","")),Students!$A:$A,AP$2)+countifs(Students!$J:$J,$Y6,Students!$K:$K,$Y$2&amp;if($K6="S1","a",if($K6="S2","b","")),Students!$A:$A,AP$2)+countifs(Students!$L:$L,$Y6,Students!$M:$M,$Y$2&amp;if($K6="S1","a",if($K6="S2","b","")),Students!$A:$A,AP$2)+countifs(Students!$N:$N,$Y6,Students!$O:$O,$Y$2&amp;if($K6="S1","a",if($K6="S2","b","")),Students!$A:$A,AP$2)+countifs(Students!$P:$P,$Y6,Students!$Q:$Q,$Y$2&amp;if($K6="S1","a",if($K6="S2","b","")),Students!$A:$A,AP$2)+countifs(Students!$R:$R,$Y6,Students!$S:$S,$Y$2&amp;if($K6="S1","a",if($K6="S2","b","")),Students!$A:$A,AP$2)+countifs(Students!$T:$T,$Y6,Students!$U:$U,$Y$2&amp;if($K6="S1","a",if($K6="S2","b","")),Students!$A:$A,AP$2)+countifs(Students!$V:$V,$Y6,Students!$W:$W,$Y$2&amp;if($K6="S1","a",if($K6="S2","b","")),Students!$A:$A,AP$2)+
countifs(Students!$D:$D,$AB6,Students!$E:$E,$AB$2&amp;if($K6="S1","a",if($K6="S2","b","")),Students!$A:$A,AP$2)+countifs(Students!$F:$F,$AB6,Students!$G:$G,$AB$2&amp;if($K6="S1","a",if($K6="S2","b","")),Students!$A:$A,AP$2)+countifs(Students!$H:$H,$AB6,Students!$I:$I,$AB$2&amp;if($K6="S1","a",if($K6="S2","b","")),Students!$A:$A,AP$2)+countifs(Students!$J:$J,$AB6,Students!$K:$K,$AB$2&amp;if($K6="S1","a",if($K6="S2","b","")),Students!$A:$A,AP$2)+countifs(Students!$L:$L,$AB6,Students!$M:$M,$AB$2&amp;if($K6="S1","a",if($K6="S2","b","")),Students!$A:$A,AP$2)+countifs(Students!$N:$N,$AB6,Students!$O:$O,$AB$2&amp;if($K6="S1","a",if($K6="S2","b","")),Students!$A:$A,AP$2)+countifs(Students!$P:$P,$AB6,Students!$Q:$Q,$AB$2&amp;if($K6="S1","a",if($K6="S2","b","")),Students!$A:$A,AP$2)+countifs(Students!$R:$R,$AB6,Students!$S:$S,$AB$2&amp;if($K6="S1","a",if($K6="S2","b","")),Students!$A:$A,AP$2)+countifs(Students!$T:$T,$AB6,Students!$U:$U,$AB$2&amp;if($K6="S1","a",if($K6="S2","b","")),Students!$A:$A,AP$2)+countifs(Students!$V:$V,$AB6,Students!$W:$W,$AB$2&amp;if($K6="S1","a",if($K6="S2","b","")),Students!$A:$A,AP$2)+
countifs(Students!$D:$D,$AE6,Students!$E:$E,$AE$2&amp;if($K6="S1","a",if($K6="S2","b","")),Students!$A:$A,AP$2)+countifs(Students!$F:$F,$AE6,Students!$G:$G,$AE$2&amp;if($K6="S1","a",if($K6="S2","b","")),Students!$A:$A,AP$2)+countifs(Students!$H:$H,$AE6,Students!$I:$I,$AE$2&amp;if($K6="S1","a",if($K6="S2","b","")),Students!$A:$A,AP$2)+countifs(Students!$J:$J,$AE6,Students!$K:$K,$AE$2&amp;if($K6="S1","a",if($K6="S2","b","")),Students!$A:$A,AP$2)+countifs(Students!$L:$L,$AE6,Students!$M:$M,$AE$2&amp;if($K6="S1","a",if($K6="S2","b","")),Students!$A:$A,AP$2)+countifs(Students!$N:$N,$AE6,Students!$O:$O,$AE$2&amp;if($K6="S1","a",if($K6="S2","b","")),Students!$A:$A,AP$2)+countifs(Students!$P:$P,$AE6,Students!$Q:$Q,$AE$2&amp;if($K6="S1","a",if($K6="S2","b","")),Students!$A:$A,AP$2)+countifs(Students!$R:$R,$AE6,Students!$S:$S,$AE$2&amp;if($K6="S1","a",if($K6="S2","b","")),Students!$A:$A,AP$2)+countifs(Students!$T:$T,$AE6,Students!$U:$U,$AE$2&amp;if($K6="S1","a",if($K6="S2","b","")),Students!$A:$A,AP$2)+countifs(Students!$V:$V,$AE6,Students!$W:$W,$AE$2&amp;if($K6="S1","a",if($K6="S2","b","")),Students!$A:$A,AP$2)+
countifs(Students!$D:$D,$AH6,Students!$E:$E,$AH$2&amp;if($K6="S1","a",if($K6="S2","b","")),Students!$A:$A,AP$2)+countifs(Students!$F:$F,$AH6,Students!$G:$G,$AH$2&amp;if($K6="S1","a",if($K6="S2","b","")),Students!$A:$A,AP$2)+countifs(Students!$H:$H,$AH6,Students!$I:$I,$AH$2&amp;if($K6="S1","a",if($K6="S2","b","")),Students!$A:$A,AP$2)+countifs(Students!$J:$J,$AH6,Students!$K:$K,$AH$2&amp;if($K6="S1","a",if($K6="S2","b","")),Students!$A:$A,AP$2)+countifs(Students!$L:$L,$AH6,Students!$M:$M,$AH$2&amp;if($K6="S1","a",if($K6="S2","b","")),Students!$A:$A,AP$2)+countifs(Students!$N:$N,$AH6,Students!$O:$O,$AH$2&amp;if($K6="S1","a",if($K6="S2","b","")),Students!$A:$A,AP$2)+countifs(Students!$P:$P,$AH6,Students!$Q:$Q,$AH$2&amp;if($K6="S1","a",if($K6="S2","b","")),Students!$A:$A,AP$2)+countifs(Students!$R:$R,$AH6,Students!$S:$S,$AH$2&amp;if($K6="S1","a",if($K6="S2","b","")),Students!$A:$A,AP$2)+countifs(Students!$T:$T,$AH6,Students!$U:$U,$AH$2&amp;if($K6="S1","a",if($K6="S2","b","")),Students!$A:$A,AP$2)+countifs(Students!$V:$V,$AH6,Students!$W:$W,$AH$2&amp;if($K6="S1","a",if($K6="S2","b","")),Students!$A:$A,AP$2)+
countifs(Students!$D:$D,$AK6,Students!$E:$E,$AK$2&amp;if($K6="S1","a",if($K6="S2","b","")),Students!$A:$A,AP$2)+countifs(Students!$F:$F,$AK6,Students!$G:$G,$AK$2&amp;if($K6="S1","a",if($K6="S2","b","")),Students!$A:$A,AP$2)+countifs(Students!$H:$H,$AK6,Students!$I:$I,$AK$2&amp;if($K6="S1","a",if($K6="S2","b","")),Students!$A:$A,AP$2)+countifs(Students!$J:$J,$AK6,Students!$K:$K,$AK$2&amp;if($K6="S1","a",if($K6="S2","b","")),Students!$A:$A,AP$2)+countifs(Students!$L:$L,$AK6,Students!$M:$M,$AK$2&amp;if($K6="S1","a",if($K6="S2","b","")),Students!$A:$A,AP$2)+countifs(Students!$N:$N,$AK6,Students!$O:$O,$AK$2&amp;if($K6="S1","a",if($K6="S2","b","")),Students!$A:$A,AP$2)+countifs(Students!$P:$P,$AK6,Students!$Q:$Q,$AK$2&amp;if($K6="S1","a",if($K6="S2","b","")),Students!$A:$A,AP$2)+countifs(Students!$R:$R,$AK6,Students!$S:$S,$AK$2&amp;if($K6="S1","a",if($K6="S2","b","")),Students!$A:$A,AP$2)+countifs(Students!$T:$T,$AK6,Students!$U:$U,$AK$2&amp;if($K6="S1","a",if($K6="S2","b","")),Students!$A:$A,AP$2)+countifs(Students!$V:$V,$AK6,Students!$W:$W,$AK$2&amp;if($K6="S1","a",if($K6="S2","b","")),Students!$A:$A,AP$2))</f>
        <v>20</v>
      </c>
      <c r="AQ6" s="52">
        <f>if($L6="","",countifs(Students!$D:$D,$P6,Students!$E:$E,$P$2&amp;if($K6="S1","a",if($K6="S2","b","")),Students!$A:$A,AQ$2)+countifs(Students!$F:$F,$P6,Students!$G:$G,$P$2&amp;if($K6="S1","a",if($K6="S2","b","")),Students!$A:$A,AQ$2)+countifs(Students!$H:$H,$P6,Students!$I:$I,$P$2&amp;if($K6="S1","a",if($K6="S2","b","")),Students!$A:$A,AQ$2)+countifs(Students!$J:$J,$P6,Students!$K:$K,$P$2&amp;if($K6="S1","a",if($K6="S2","b","")),Students!$A:$A,AQ$2)+countifs(Students!$L:$L,$P6,Students!$M:$M,$P$2&amp;if($K6="S1","a",if($K6="S2","b","")),Students!$A:$A,AQ$2)+countifs(Students!$N:$N,$P6,Students!$O:$O,$P$2&amp;if($K6="S1","a",if($K6="S2","b","")),Students!$A:$A,AQ$2)+countifs(Students!$P:$P,$P6,Students!$Q:$Q,$P$2&amp;if($K6="S1","a",if($K6="S2","b","")),Students!$A:$A,AQ$2)+countifs(Students!$R:$R,$P6,Students!$S:$S,$P$2&amp;if($K6="S1","a",if($K6="S2","b","")),Students!$A:$A,AQ$2)+countifs(Students!$T:$T,$P6,Students!$U:$U,$P$2&amp;if($K6="S1","a",if($K6="S2","b","")),Students!$A:$A,AQ$2)+countifs(Students!$V:$V,$P6,Students!$W:$W,$P$2&amp;if($K6="S1","a",if($K6="S2","b","")),Students!$A:$A,AQ$2)+
countifs(Students!$D:$D,$S6,Students!$E:$E,$S$2&amp;if($K6="S1","a",if($K6="S2","b","")),Students!$A:$A,AQ$2)+countifs(Students!$F:$F,$S6,Students!$G:$G,$S$2&amp;if($K6="S1","a",if($K6="S2","b","")),Students!$A:$A,AQ$2)+countifs(Students!$H:$H,$S6,Students!$I:$I,$S$2&amp;if($K6="S1","a",if($K6="S2","b","")),Students!$A:$A,AQ$2)+countifs(Students!$J:$J,$S6,Students!$K:$K,$S$2&amp;if($K6="S1","a",if($K6="S2","b","")),Students!$A:$A,AQ$2)+countifs(Students!$L:$L,$S6,Students!$M:$M,$S$2&amp;if($K6="S1","a",if($K6="S2","b","")),Students!$A:$A,AQ$2)+countifs(Students!$N:$N,$S6,Students!$O:$O,$S$2&amp;if($K6="S1","a",if($K6="S2","b","")),Students!$A:$A,AQ$2)+countifs(Students!$P:$P,$S6,Students!$Q:$Q,$S$2&amp;if($K6="S1","a",if($K6="S2","b","")),Students!$A:$A,AQ$2)+countifs(Students!$R:$R,$S6,Students!$S:$S,$S$2&amp;if($K6="S1","a",if($K6="S2","b","")),Students!$A:$A,AQ$2)+countifs(Students!$T:$T,$S6,Students!$U:$U,$S$2&amp;if($K6="S1","a",if($K6="S2","b","")),Students!$A:$A,AQ$2)+countifs(Students!$V:$V,$S6,Students!$W:$W,$S$2&amp;if($K6="S1","a",if($K6="S2","b","")),Students!$A:$A,AQ$2)+
countifs(Students!$D:$D,$V6,Students!$E:$E,$V$2&amp;if($K6="S1","a",if($K6="S2","b","")),Students!$A:$A,AQ$2)+countifs(Students!$F:$F,$V6,Students!$G:$G,$V$2&amp;if($K6="S1","a",if($K6="S2","b","")),Students!$A:$A,AQ$2)+countifs(Students!$H:$H,$V6,Students!$I:$I,$V$2&amp;if($K6="S1","a",if($K6="S2","b","")),Students!$A:$A,AQ$2)+countifs(Students!$J:$J,$V6,Students!$K:$K,$V$2&amp;if($K6="S1","a",if($K6="S2","b","")),Students!$A:$A,AQ$2)+countifs(Students!$L:$L,$V6,Students!$M:$M,$V$2&amp;if($K6="S1","a",if($K6="S2","b","")),Students!$A:$A,AQ$2)+countifs(Students!$N:$N,$V6,Students!$O:$O,$V$2&amp;if($K6="S1","a",if($K6="S2","b","")),Students!$A:$A,AQ$2)+countifs(Students!$P:$P,$V6,Students!$Q:$Q,$V$2&amp;if($K6="S1","a",if($K6="S2","b","")),Students!$A:$A,AQ$2)+countifs(Students!$R:$R,$V6,Students!$S:$S,$V$2&amp;if($K6="S1","a",if($K6="S2","b","")),Students!$A:$A,AQ$2)+countifs(Students!$T:$T,$V6,Students!$U:$U,$V$2&amp;if($K6="S1","a",if($K6="S2","b","")),Students!$A:$A,AQ$2)+countifs(Students!$V:$V,$V6,Students!$W:$W,$V$2&amp;if($K6="S1","a",if($K6="S2","b","")),Students!$A:$A,AQ$2)+
countifs(Students!$D:$D,$Y6,Students!$E:$E,$Y$2&amp;if($K6="S1","a",if($K6="S2","b","")),Students!$A:$A,AQ$2)+countifs(Students!$F:$F,$Y6,Students!$G:$G,$Y$2&amp;if($K6="S1","a",if($K6="S2","b","")),Students!$A:$A,AQ$2)+countifs(Students!$H:$H,$Y6,Students!$I:$I,$Y$2&amp;if($K6="S1","a",if($K6="S2","b","")),Students!$A:$A,AQ$2)+countifs(Students!$J:$J,$Y6,Students!$K:$K,$Y$2&amp;if($K6="S1","a",if($K6="S2","b","")),Students!$A:$A,AQ$2)+countifs(Students!$L:$L,$Y6,Students!$M:$M,$Y$2&amp;if($K6="S1","a",if($K6="S2","b","")),Students!$A:$A,AQ$2)+countifs(Students!$N:$N,$Y6,Students!$O:$O,$Y$2&amp;if($K6="S1","a",if($K6="S2","b","")),Students!$A:$A,AQ$2)+countifs(Students!$P:$P,$Y6,Students!$Q:$Q,$Y$2&amp;if($K6="S1","a",if($K6="S2","b","")),Students!$A:$A,AQ$2)+countifs(Students!$R:$R,$Y6,Students!$S:$S,$Y$2&amp;if($K6="S1","a",if($K6="S2","b","")),Students!$A:$A,AQ$2)+countifs(Students!$T:$T,$Y6,Students!$U:$U,$Y$2&amp;if($K6="S1","a",if($K6="S2","b","")),Students!$A:$A,AQ$2)+countifs(Students!$V:$V,$Y6,Students!$W:$W,$Y$2&amp;if($K6="S1","a",if($K6="S2","b","")),Students!$A:$A,AQ$2)+
countifs(Students!$D:$D,$AB6,Students!$E:$E,$AB$2&amp;if($K6="S1","a",if($K6="S2","b","")),Students!$A:$A,AQ$2)+countifs(Students!$F:$F,$AB6,Students!$G:$G,$AB$2&amp;if($K6="S1","a",if($K6="S2","b","")),Students!$A:$A,AQ$2)+countifs(Students!$H:$H,$AB6,Students!$I:$I,$AB$2&amp;if($K6="S1","a",if($K6="S2","b","")),Students!$A:$A,AQ$2)+countifs(Students!$J:$J,$AB6,Students!$K:$K,$AB$2&amp;if($K6="S1","a",if($K6="S2","b","")),Students!$A:$A,AQ$2)+countifs(Students!$L:$L,$AB6,Students!$M:$M,$AB$2&amp;if($K6="S1","a",if($K6="S2","b","")),Students!$A:$A,AQ$2)+countifs(Students!$N:$N,$AB6,Students!$O:$O,$AB$2&amp;if($K6="S1","a",if($K6="S2","b","")),Students!$A:$A,AQ$2)+countifs(Students!$P:$P,$AB6,Students!$Q:$Q,$AB$2&amp;if($K6="S1","a",if($K6="S2","b","")),Students!$A:$A,AQ$2)+countifs(Students!$R:$R,$AB6,Students!$S:$S,$AB$2&amp;if($K6="S1","a",if($K6="S2","b","")),Students!$A:$A,AQ$2)+countifs(Students!$T:$T,$AB6,Students!$U:$U,$AB$2&amp;if($K6="S1","a",if($K6="S2","b","")),Students!$A:$A,AQ$2)+countifs(Students!$V:$V,$AB6,Students!$W:$W,$AB$2&amp;if($K6="S1","a",if($K6="S2","b","")),Students!$A:$A,AQ$2)+
countifs(Students!$D:$D,$AE6,Students!$E:$E,$AE$2&amp;if($K6="S1","a",if($K6="S2","b","")),Students!$A:$A,AQ$2)+countifs(Students!$F:$F,$AE6,Students!$G:$G,$AE$2&amp;if($K6="S1","a",if($K6="S2","b","")),Students!$A:$A,AQ$2)+countifs(Students!$H:$H,$AE6,Students!$I:$I,$AE$2&amp;if($K6="S1","a",if($K6="S2","b","")),Students!$A:$A,AQ$2)+countifs(Students!$J:$J,$AE6,Students!$K:$K,$AE$2&amp;if($K6="S1","a",if($K6="S2","b","")),Students!$A:$A,AQ$2)+countifs(Students!$L:$L,$AE6,Students!$M:$M,$AE$2&amp;if($K6="S1","a",if($K6="S2","b","")),Students!$A:$A,AQ$2)+countifs(Students!$N:$N,$AE6,Students!$O:$O,$AE$2&amp;if($K6="S1","a",if($K6="S2","b","")),Students!$A:$A,AQ$2)+countifs(Students!$P:$P,$AE6,Students!$Q:$Q,$AE$2&amp;if($K6="S1","a",if($K6="S2","b","")),Students!$A:$A,AQ$2)+countifs(Students!$R:$R,$AE6,Students!$S:$S,$AE$2&amp;if($K6="S1","a",if($K6="S2","b","")),Students!$A:$A,AQ$2)+countifs(Students!$T:$T,$AE6,Students!$U:$U,$AE$2&amp;if($K6="S1","a",if($K6="S2","b","")),Students!$A:$A,AQ$2)+countifs(Students!$V:$V,$AE6,Students!$W:$W,$AE$2&amp;if($K6="S1","a",if($K6="S2","b","")),Students!$A:$A,AQ$2)+
countifs(Students!$D:$D,$AH6,Students!$E:$E,$AH$2&amp;if($K6="S1","a",if($K6="S2","b","")),Students!$A:$A,AQ$2)+countifs(Students!$F:$F,$AH6,Students!$G:$G,$AH$2&amp;if($K6="S1","a",if($K6="S2","b","")),Students!$A:$A,AQ$2)+countifs(Students!$H:$H,$AH6,Students!$I:$I,$AH$2&amp;if($K6="S1","a",if($K6="S2","b","")),Students!$A:$A,AQ$2)+countifs(Students!$J:$J,$AH6,Students!$K:$K,$AH$2&amp;if($K6="S1","a",if($K6="S2","b","")),Students!$A:$A,AQ$2)+countifs(Students!$L:$L,$AH6,Students!$M:$M,$AH$2&amp;if($K6="S1","a",if($K6="S2","b","")),Students!$A:$A,AQ$2)+countifs(Students!$N:$N,$AH6,Students!$O:$O,$AH$2&amp;if($K6="S1","a",if($K6="S2","b","")),Students!$A:$A,AQ$2)+countifs(Students!$P:$P,$AH6,Students!$Q:$Q,$AH$2&amp;if($K6="S1","a",if($K6="S2","b","")),Students!$A:$A,AQ$2)+countifs(Students!$R:$R,$AH6,Students!$S:$S,$AH$2&amp;if($K6="S1","a",if($K6="S2","b","")),Students!$A:$A,AQ$2)+countifs(Students!$T:$T,$AH6,Students!$U:$U,$AH$2&amp;if($K6="S1","a",if($K6="S2","b","")),Students!$A:$A,AQ$2)+countifs(Students!$V:$V,$AH6,Students!$W:$W,$AH$2&amp;if($K6="S1","a",if($K6="S2","b","")),Students!$A:$A,AQ$2)+
countifs(Students!$D:$D,$AK6,Students!$E:$E,$AK$2&amp;if($K6="S1","a",if($K6="S2","b","")),Students!$A:$A,AQ$2)+countifs(Students!$F:$F,$AK6,Students!$G:$G,$AK$2&amp;if($K6="S1","a",if($K6="S2","b","")),Students!$A:$A,AQ$2)+countifs(Students!$H:$H,$AK6,Students!$I:$I,$AK$2&amp;if($K6="S1","a",if($K6="S2","b","")),Students!$A:$A,AQ$2)+countifs(Students!$J:$J,$AK6,Students!$K:$K,$AK$2&amp;if($K6="S1","a",if($K6="S2","b","")),Students!$A:$A,AQ$2)+countifs(Students!$L:$L,$AK6,Students!$M:$M,$AK$2&amp;if($K6="S1","a",if($K6="S2","b","")),Students!$A:$A,AQ$2)+countifs(Students!$N:$N,$AK6,Students!$O:$O,$AK$2&amp;if($K6="S1","a",if($K6="S2","b","")),Students!$A:$A,AQ$2)+countifs(Students!$P:$P,$AK6,Students!$Q:$Q,$AK$2&amp;if($K6="S1","a",if($K6="S2","b","")),Students!$A:$A,AQ$2)+countifs(Students!$R:$R,$AK6,Students!$S:$S,$AK$2&amp;if($K6="S1","a",if($K6="S2","b","")),Students!$A:$A,AQ$2)+countifs(Students!$T:$T,$AK6,Students!$U:$U,$AK$2&amp;if($K6="S1","a",if($K6="S2","b","")),Students!$A:$A,AQ$2)+countifs(Students!$V:$V,$AK6,Students!$W:$W,$AK$2&amp;if($K6="S1","a",if($K6="S2","b","")),Students!$A:$A,AQ$2))</f>
        <v>20</v>
      </c>
      <c r="AR6" s="52">
        <f>if($L6="","",countifs(Students!$D:$D,$P6,Students!$E:$E,$P$2&amp;if($K6="S1","a",if($K6="S2","b","")),Students!$A:$A,AR$2)+countifs(Students!$F:$F,$P6,Students!$G:$G,$P$2&amp;if($K6="S1","a",if($K6="S2","b","")),Students!$A:$A,AR$2)+countifs(Students!$H:$H,$P6,Students!$I:$I,$P$2&amp;if($K6="S1","a",if($K6="S2","b","")),Students!$A:$A,AR$2)+countifs(Students!$J:$J,$P6,Students!$K:$K,$P$2&amp;if($K6="S1","a",if($K6="S2","b","")),Students!$A:$A,AR$2)+countifs(Students!$L:$L,$P6,Students!$M:$M,$P$2&amp;if($K6="S1","a",if($K6="S2","b","")),Students!$A:$A,AR$2)+countifs(Students!$N:$N,$P6,Students!$O:$O,$P$2&amp;if($K6="S1","a",if($K6="S2","b","")),Students!$A:$A,AR$2)+countifs(Students!$P:$P,$P6,Students!$Q:$Q,$P$2&amp;if($K6="S1","a",if($K6="S2","b","")),Students!$A:$A,AR$2)+countifs(Students!$R:$R,$P6,Students!$S:$S,$P$2&amp;if($K6="S1","a",if($K6="S2","b","")),Students!$A:$A,AR$2)+countifs(Students!$T:$T,$P6,Students!$U:$U,$P$2&amp;if($K6="S1","a",if($K6="S2","b","")),Students!$A:$A,AR$2)+countifs(Students!$V:$V,$P6,Students!$W:$W,$P$2&amp;if($K6="S1","a",if($K6="S2","b","")),Students!$A:$A,AR$2)+
countifs(Students!$D:$D,$S6,Students!$E:$E,$S$2&amp;if($K6="S1","a",if($K6="S2","b","")),Students!$A:$A,AR$2)+countifs(Students!$F:$F,$S6,Students!$G:$G,$S$2&amp;if($K6="S1","a",if($K6="S2","b","")),Students!$A:$A,AR$2)+countifs(Students!$H:$H,$S6,Students!$I:$I,$S$2&amp;if($K6="S1","a",if($K6="S2","b","")),Students!$A:$A,AR$2)+countifs(Students!$J:$J,$S6,Students!$K:$K,$S$2&amp;if($K6="S1","a",if($K6="S2","b","")),Students!$A:$A,AR$2)+countifs(Students!$L:$L,$S6,Students!$M:$M,$S$2&amp;if($K6="S1","a",if($K6="S2","b","")),Students!$A:$A,AR$2)+countifs(Students!$N:$N,$S6,Students!$O:$O,$S$2&amp;if($K6="S1","a",if($K6="S2","b","")),Students!$A:$A,AR$2)+countifs(Students!$P:$P,$S6,Students!$Q:$Q,$S$2&amp;if($K6="S1","a",if($K6="S2","b","")),Students!$A:$A,AR$2)+countifs(Students!$R:$R,$S6,Students!$S:$S,$S$2&amp;if($K6="S1","a",if($K6="S2","b","")),Students!$A:$A,AR$2)+countifs(Students!$T:$T,$S6,Students!$U:$U,$S$2&amp;if($K6="S1","a",if($K6="S2","b","")),Students!$A:$A,AR$2)+countifs(Students!$V:$V,$S6,Students!$W:$W,$S$2&amp;if($K6="S1","a",if($K6="S2","b","")),Students!$A:$A,AR$2)+
countifs(Students!$D:$D,$V6,Students!$E:$E,$V$2&amp;if($K6="S1","a",if($K6="S2","b","")),Students!$A:$A,AR$2)+countifs(Students!$F:$F,$V6,Students!$G:$G,$V$2&amp;if($K6="S1","a",if($K6="S2","b","")),Students!$A:$A,AR$2)+countifs(Students!$H:$H,$V6,Students!$I:$I,$V$2&amp;if($K6="S1","a",if($K6="S2","b","")),Students!$A:$A,AR$2)+countifs(Students!$J:$J,$V6,Students!$K:$K,$V$2&amp;if($K6="S1","a",if($K6="S2","b","")),Students!$A:$A,AR$2)+countifs(Students!$L:$L,$V6,Students!$M:$M,$V$2&amp;if($K6="S1","a",if($K6="S2","b","")),Students!$A:$A,AR$2)+countifs(Students!$N:$N,$V6,Students!$O:$O,$V$2&amp;if($K6="S1","a",if($K6="S2","b","")),Students!$A:$A,AR$2)+countifs(Students!$P:$P,$V6,Students!$Q:$Q,$V$2&amp;if($K6="S1","a",if($K6="S2","b","")),Students!$A:$A,AR$2)+countifs(Students!$R:$R,$V6,Students!$S:$S,$V$2&amp;if($K6="S1","a",if($K6="S2","b","")),Students!$A:$A,AR$2)+countifs(Students!$T:$T,$V6,Students!$U:$U,$V$2&amp;if($K6="S1","a",if($K6="S2","b","")),Students!$A:$A,AR$2)+countifs(Students!$V:$V,$V6,Students!$W:$W,$V$2&amp;if($K6="S1","a",if($K6="S2","b","")),Students!$A:$A,AR$2)+
countifs(Students!$D:$D,$Y6,Students!$E:$E,$Y$2&amp;if($K6="S1","a",if($K6="S2","b","")),Students!$A:$A,AR$2)+countifs(Students!$F:$F,$Y6,Students!$G:$G,$Y$2&amp;if($K6="S1","a",if($K6="S2","b","")),Students!$A:$A,AR$2)+countifs(Students!$H:$H,$Y6,Students!$I:$I,$Y$2&amp;if($K6="S1","a",if($K6="S2","b","")),Students!$A:$A,AR$2)+countifs(Students!$J:$J,$Y6,Students!$K:$K,$Y$2&amp;if($K6="S1","a",if($K6="S2","b","")),Students!$A:$A,AR$2)+countifs(Students!$L:$L,$Y6,Students!$M:$M,$Y$2&amp;if($K6="S1","a",if($K6="S2","b","")),Students!$A:$A,AR$2)+countifs(Students!$N:$N,$Y6,Students!$O:$O,$Y$2&amp;if($K6="S1","a",if($K6="S2","b","")),Students!$A:$A,AR$2)+countifs(Students!$P:$P,$Y6,Students!$Q:$Q,$Y$2&amp;if($K6="S1","a",if($K6="S2","b","")),Students!$A:$A,AR$2)+countifs(Students!$R:$R,$Y6,Students!$S:$S,$Y$2&amp;if($K6="S1","a",if($K6="S2","b","")),Students!$A:$A,AR$2)+countifs(Students!$T:$T,$Y6,Students!$U:$U,$Y$2&amp;if($K6="S1","a",if($K6="S2","b","")),Students!$A:$A,AR$2)+countifs(Students!$V:$V,$Y6,Students!$W:$W,$Y$2&amp;if($K6="S1","a",if($K6="S2","b","")),Students!$A:$A,AR$2)+
countifs(Students!$D:$D,$AB6,Students!$E:$E,$AB$2&amp;if($K6="S1","a",if($K6="S2","b","")),Students!$A:$A,AR$2)+countifs(Students!$F:$F,$AB6,Students!$G:$G,$AB$2&amp;if($K6="S1","a",if($K6="S2","b","")),Students!$A:$A,AR$2)+countifs(Students!$H:$H,$AB6,Students!$I:$I,$AB$2&amp;if($K6="S1","a",if($K6="S2","b","")),Students!$A:$A,AR$2)+countifs(Students!$J:$J,$AB6,Students!$K:$K,$AB$2&amp;if($K6="S1","a",if($K6="S2","b","")),Students!$A:$A,AR$2)+countifs(Students!$L:$L,$AB6,Students!$M:$M,$AB$2&amp;if($K6="S1","a",if($K6="S2","b","")),Students!$A:$A,AR$2)+countifs(Students!$N:$N,$AB6,Students!$O:$O,$AB$2&amp;if($K6="S1","a",if($K6="S2","b","")),Students!$A:$A,AR$2)+countifs(Students!$P:$P,$AB6,Students!$Q:$Q,$AB$2&amp;if($K6="S1","a",if($K6="S2","b","")),Students!$A:$A,AR$2)+countifs(Students!$R:$R,$AB6,Students!$S:$S,$AB$2&amp;if($K6="S1","a",if($K6="S2","b","")),Students!$A:$A,AR$2)+countifs(Students!$T:$T,$AB6,Students!$U:$U,$AB$2&amp;if($K6="S1","a",if($K6="S2","b","")),Students!$A:$A,AR$2)+countifs(Students!$V:$V,$AB6,Students!$W:$W,$AB$2&amp;if($K6="S1","a",if($K6="S2","b","")),Students!$A:$A,AR$2)+
countifs(Students!$D:$D,$AE6,Students!$E:$E,$AE$2&amp;if($K6="S1","a",if($K6="S2","b","")),Students!$A:$A,AR$2)+countifs(Students!$F:$F,$AE6,Students!$G:$G,$AE$2&amp;if($K6="S1","a",if($K6="S2","b","")),Students!$A:$A,AR$2)+countifs(Students!$H:$H,$AE6,Students!$I:$I,$AE$2&amp;if($K6="S1","a",if($K6="S2","b","")),Students!$A:$A,AR$2)+countifs(Students!$J:$J,$AE6,Students!$K:$K,$AE$2&amp;if($K6="S1","a",if($K6="S2","b","")),Students!$A:$A,AR$2)+countifs(Students!$L:$L,$AE6,Students!$M:$M,$AE$2&amp;if($K6="S1","a",if($K6="S2","b","")),Students!$A:$A,AR$2)+countifs(Students!$N:$N,$AE6,Students!$O:$O,$AE$2&amp;if($K6="S1","a",if($K6="S2","b","")),Students!$A:$A,AR$2)+countifs(Students!$P:$P,$AE6,Students!$Q:$Q,$AE$2&amp;if($K6="S1","a",if($K6="S2","b","")),Students!$A:$A,AR$2)+countifs(Students!$R:$R,$AE6,Students!$S:$S,$AE$2&amp;if($K6="S1","a",if($K6="S2","b","")),Students!$A:$A,AR$2)+countifs(Students!$T:$T,$AE6,Students!$U:$U,$AE$2&amp;if($K6="S1","a",if($K6="S2","b","")),Students!$A:$A,AR$2)+countifs(Students!$V:$V,$AE6,Students!$W:$W,$AE$2&amp;if($K6="S1","a",if($K6="S2","b","")),Students!$A:$A,AR$2)+
countifs(Students!$D:$D,$AH6,Students!$E:$E,$AH$2&amp;if($K6="S1","a",if($K6="S2","b","")),Students!$A:$A,AR$2)+countifs(Students!$F:$F,$AH6,Students!$G:$G,$AH$2&amp;if($K6="S1","a",if($K6="S2","b","")),Students!$A:$A,AR$2)+countifs(Students!$H:$H,$AH6,Students!$I:$I,$AH$2&amp;if($K6="S1","a",if($K6="S2","b","")),Students!$A:$A,AR$2)+countifs(Students!$J:$J,$AH6,Students!$K:$K,$AH$2&amp;if($K6="S1","a",if($K6="S2","b","")),Students!$A:$A,AR$2)+countifs(Students!$L:$L,$AH6,Students!$M:$M,$AH$2&amp;if($K6="S1","a",if($K6="S2","b","")),Students!$A:$A,AR$2)+countifs(Students!$N:$N,$AH6,Students!$O:$O,$AH$2&amp;if($K6="S1","a",if($K6="S2","b","")),Students!$A:$A,AR$2)+countifs(Students!$P:$P,$AH6,Students!$Q:$Q,$AH$2&amp;if($K6="S1","a",if($K6="S2","b","")),Students!$A:$A,AR$2)+countifs(Students!$R:$R,$AH6,Students!$S:$S,$AH$2&amp;if($K6="S1","a",if($K6="S2","b","")),Students!$A:$A,AR$2)+countifs(Students!$T:$T,$AH6,Students!$U:$U,$AH$2&amp;if($K6="S1","a",if($K6="S2","b","")),Students!$A:$A,AR$2)+countifs(Students!$V:$V,$AH6,Students!$W:$W,$AH$2&amp;if($K6="S1","a",if($K6="S2","b","")),Students!$A:$A,AR$2)+
countifs(Students!$D:$D,$AK6,Students!$E:$E,$AK$2&amp;if($K6="S1","a",if($K6="S2","b","")),Students!$A:$A,AR$2)+countifs(Students!$F:$F,$AK6,Students!$G:$G,$AK$2&amp;if($K6="S1","a",if($K6="S2","b","")),Students!$A:$A,AR$2)+countifs(Students!$H:$H,$AK6,Students!$I:$I,$AK$2&amp;if($K6="S1","a",if($K6="S2","b","")),Students!$A:$A,AR$2)+countifs(Students!$J:$J,$AK6,Students!$K:$K,$AK$2&amp;if($K6="S1","a",if($K6="S2","b","")),Students!$A:$A,AR$2)+countifs(Students!$L:$L,$AK6,Students!$M:$M,$AK$2&amp;if($K6="S1","a",if($K6="S2","b","")),Students!$A:$A,AR$2)+countifs(Students!$N:$N,$AK6,Students!$O:$O,$AK$2&amp;if($K6="S1","a",if($K6="S2","b","")),Students!$A:$A,AR$2)+countifs(Students!$P:$P,$AK6,Students!$Q:$Q,$AK$2&amp;if($K6="S1","a",if($K6="S2","b","")),Students!$A:$A,AR$2)+countifs(Students!$R:$R,$AK6,Students!$S:$S,$AK$2&amp;if($K6="S1","a",if($K6="S2","b","")),Students!$A:$A,AR$2)+countifs(Students!$T:$T,$AK6,Students!$U:$U,$AK$2&amp;if($K6="S1","a",if($K6="S2","b","")),Students!$A:$A,AR$2)+countifs(Students!$V:$V,$AK6,Students!$W:$W,$AK$2&amp;if($K6="S1","a",if($K6="S2","b","")),Students!$A:$A,AR$2))</f>
        <v>45</v>
      </c>
      <c r="AS6" s="52">
        <f>if($L6="","",countifs(Students!$D:$D,$P6,Students!$E:$E,$P$2&amp;if($K6="S1","a",if($K6="S2","b","")),Students!$A:$A,AS$2)+countifs(Students!$F:$F,$P6,Students!$G:$G,$P$2&amp;if($K6="S1","a",if($K6="S2","b","")),Students!$A:$A,AS$2)+countifs(Students!$H:$H,$P6,Students!$I:$I,$P$2&amp;if($K6="S1","a",if($K6="S2","b","")),Students!$A:$A,AS$2)+countifs(Students!$J:$J,$P6,Students!$K:$K,$P$2&amp;if($K6="S1","a",if($K6="S2","b","")),Students!$A:$A,AS$2)+countifs(Students!$L:$L,$P6,Students!$M:$M,$P$2&amp;if($K6="S1","a",if($K6="S2","b","")),Students!$A:$A,AS$2)+countifs(Students!$N:$N,$P6,Students!$O:$O,$P$2&amp;if($K6="S1","a",if($K6="S2","b","")),Students!$A:$A,AS$2)+countifs(Students!$P:$P,$P6,Students!$Q:$Q,$P$2&amp;if($K6="S1","a",if($K6="S2","b","")),Students!$A:$A,AS$2)+countifs(Students!$R:$R,$P6,Students!$S:$S,$P$2&amp;if($K6="S1","a",if($K6="S2","b","")),Students!$A:$A,AS$2)+countifs(Students!$T:$T,$P6,Students!$U:$U,$P$2&amp;if($K6="S1","a",if($K6="S2","b","")),Students!$A:$A,AS$2)+countifs(Students!$V:$V,$P6,Students!$W:$W,$P$2&amp;if($K6="S1","a",if($K6="S2","b","")),Students!$A:$A,AS$2)+
countifs(Students!$D:$D,$S6,Students!$E:$E,$S$2&amp;if($K6="S1","a",if($K6="S2","b","")),Students!$A:$A,AS$2)+countifs(Students!$F:$F,$S6,Students!$G:$G,$S$2&amp;if($K6="S1","a",if($K6="S2","b","")),Students!$A:$A,AS$2)+countifs(Students!$H:$H,$S6,Students!$I:$I,$S$2&amp;if($K6="S1","a",if($K6="S2","b","")),Students!$A:$A,AS$2)+countifs(Students!$J:$J,$S6,Students!$K:$K,$S$2&amp;if($K6="S1","a",if($K6="S2","b","")),Students!$A:$A,AS$2)+countifs(Students!$L:$L,$S6,Students!$M:$M,$S$2&amp;if($K6="S1","a",if($K6="S2","b","")),Students!$A:$A,AS$2)+countifs(Students!$N:$N,$S6,Students!$O:$O,$S$2&amp;if($K6="S1","a",if($K6="S2","b","")),Students!$A:$A,AS$2)+countifs(Students!$P:$P,$S6,Students!$Q:$Q,$S$2&amp;if($K6="S1","a",if($K6="S2","b","")),Students!$A:$A,AS$2)+countifs(Students!$R:$R,$S6,Students!$S:$S,$S$2&amp;if($K6="S1","a",if($K6="S2","b","")),Students!$A:$A,AS$2)+countifs(Students!$T:$T,$S6,Students!$U:$U,$S$2&amp;if($K6="S1","a",if($K6="S2","b","")),Students!$A:$A,AS$2)+countifs(Students!$V:$V,$S6,Students!$W:$W,$S$2&amp;if($K6="S1","a",if($K6="S2","b","")),Students!$A:$A,AS$2)+
countifs(Students!$D:$D,$V6,Students!$E:$E,$V$2&amp;if($K6="S1","a",if($K6="S2","b","")),Students!$A:$A,AS$2)+countifs(Students!$F:$F,$V6,Students!$G:$G,$V$2&amp;if($K6="S1","a",if($K6="S2","b","")),Students!$A:$A,AS$2)+countifs(Students!$H:$H,$V6,Students!$I:$I,$V$2&amp;if($K6="S1","a",if($K6="S2","b","")),Students!$A:$A,AS$2)+countifs(Students!$J:$J,$V6,Students!$K:$K,$V$2&amp;if($K6="S1","a",if($K6="S2","b","")),Students!$A:$A,AS$2)+countifs(Students!$L:$L,$V6,Students!$M:$M,$V$2&amp;if($K6="S1","a",if($K6="S2","b","")),Students!$A:$A,AS$2)+countifs(Students!$N:$N,$V6,Students!$O:$O,$V$2&amp;if($K6="S1","a",if($K6="S2","b","")),Students!$A:$A,AS$2)+countifs(Students!$P:$P,$V6,Students!$Q:$Q,$V$2&amp;if($K6="S1","a",if($K6="S2","b","")),Students!$A:$A,AS$2)+countifs(Students!$R:$R,$V6,Students!$S:$S,$V$2&amp;if($K6="S1","a",if($K6="S2","b","")),Students!$A:$A,AS$2)+countifs(Students!$T:$T,$V6,Students!$U:$U,$V$2&amp;if($K6="S1","a",if($K6="S2","b","")),Students!$A:$A,AS$2)+countifs(Students!$V:$V,$V6,Students!$W:$W,$V$2&amp;if($K6="S1","a",if($K6="S2","b","")),Students!$A:$A,AS$2)+
countifs(Students!$D:$D,$Y6,Students!$E:$E,$Y$2&amp;if($K6="S1","a",if($K6="S2","b","")),Students!$A:$A,AS$2)+countifs(Students!$F:$F,$Y6,Students!$G:$G,$Y$2&amp;if($K6="S1","a",if($K6="S2","b","")),Students!$A:$A,AS$2)+countifs(Students!$H:$H,$Y6,Students!$I:$I,$Y$2&amp;if($K6="S1","a",if($K6="S2","b","")),Students!$A:$A,AS$2)+countifs(Students!$J:$J,$Y6,Students!$K:$K,$Y$2&amp;if($K6="S1","a",if($K6="S2","b","")),Students!$A:$A,AS$2)+countifs(Students!$L:$L,$Y6,Students!$M:$M,$Y$2&amp;if($K6="S1","a",if($K6="S2","b","")),Students!$A:$A,AS$2)+countifs(Students!$N:$N,$Y6,Students!$O:$O,$Y$2&amp;if($K6="S1","a",if($K6="S2","b","")),Students!$A:$A,AS$2)+countifs(Students!$P:$P,$Y6,Students!$Q:$Q,$Y$2&amp;if($K6="S1","a",if($K6="S2","b","")),Students!$A:$A,AS$2)+countifs(Students!$R:$R,$Y6,Students!$S:$S,$Y$2&amp;if($K6="S1","a",if($K6="S2","b","")),Students!$A:$A,AS$2)+countifs(Students!$T:$T,$Y6,Students!$U:$U,$Y$2&amp;if($K6="S1","a",if($K6="S2","b","")),Students!$A:$A,AS$2)+countifs(Students!$V:$V,$Y6,Students!$W:$W,$Y$2&amp;if($K6="S1","a",if($K6="S2","b","")),Students!$A:$A,AS$2)+
countifs(Students!$D:$D,$AB6,Students!$E:$E,$AB$2&amp;if($K6="S1","a",if($K6="S2","b","")),Students!$A:$A,AS$2)+countifs(Students!$F:$F,$AB6,Students!$G:$G,$AB$2&amp;if($K6="S1","a",if($K6="S2","b","")),Students!$A:$A,AS$2)+countifs(Students!$H:$H,$AB6,Students!$I:$I,$AB$2&amp;if($K6="S1","a",if($K6="S2","b","")),Students!$A:$A,AS$2)+countifs(Students!$J:$J,$AB6,Students!$K:$K,$AB$2&amp;if($K6="S1","a",if($K6="S2","b","")),Students!$A:$A,AS$2)+countifs(Students!$L:$L,$AB6,Students!$M:$M,$AB$2&amp;if($K6="S1","a",if($K6="S2","b","")),Students!$A:$A,AS$2)+countifs(Students!$N:$N,$AB6,Students!$O:$O,$AB$2&amp;if($K6="S1","a",if($K6="S2","b","")),Students!$A:$A,AS$2)+countifs(Students!$P:$P,$AB6,Students!$Q:$Q,$AB$2&amp;if($K6="S1","a",if($K6="S2","b","")),Students!$A:$A,AS$2)+countifs(Students!$R:$R,$AB6,Students!$S:$S,$AB$2&amp;if($K6="S1","a",if($K6="S2","b","")),Students!$A:$A,AS$2)+countifs(Students!$T:$T,$AB6,Students!$U:$U,$AB$2&amp;if($K6="S1","a",if($K6="S2","b","")),Students!$A:$A,AS$2)+countifs(Students!$V:$V,$AB6,Students!$W:$W,$AB$2&amp;if($K6="S1","a",if($K6="S2","b","")),Students!$A:$A,AS$2)+
countifs(Students!$D:$D,$AE6,Students!$E:$E,$AE$2&amp;if($K6="S1","a",if($K6="S2","b","")),Students!$A:$A,AS$2)+countifs(Students!$F:$F,$AE6,Students!$G:$G,$AE$2&amp;if($K6="S1","a",if($K6="S2","b","")),Students!$A:$A,AS$2)+countifs(Students!$H:$H,$AE6,Students!$I:$I,$AE$2&amp;if($K6="S1","a",if($K6="S2","b","")),Students!$A:$A,AS$2)+countifs(Students!$J:$J,$AE6,Students!$K:$K,$AE$2&amp;if($K6="S1","a",if($K6="S2","b","")),Students!$A:$A,AS$2)+countifs(Students!$L:$L,$AE6,Students!$M:$M,$AE$2&amp;if($K6="S1","a",if($K6="S2","b","")),Students!$A:$A,AS$2)+countifs(Students!$N:$N,$AE6,Students!$O:$O,$AE$2&amp;if($K6="S1","a",if($K6="S2","b","")),Students!$A:$A,AS$2)+countifs(Students!$P:$P,$AE6,Students!$Q:$Q,$AE$2&amp;if($K6="S1","a",if($K6="S2","b","")),Students!$A:$A,AS$2)+countifs(Students!$R:$R,$AE6,Students!$S:$S,$AE$2&amp;if($K6="S1","a",if($K6="S2","b","")),Students!$A:$A,AS$2)+countifs(Students!$T:$T,$AE6,Students!$U:$U,$AE$2&amp;if($K6="S1","a",if($K6="S2","b","")),Students!$A:$A,AS$2)+countifs(Students!$V:$V,$AE6,Students!$W:$W,$AE$2&amp;if($K6="S1","a",if($K6="S2","b","")),Students!$A:$A,AS$2)+
countifs(Students!$D:$D,$AH6,Students!$E:$E,$AH$2&amp;if($K6="S1","a",if($K6="S2","b","")),Students!$A:$A,AS$2)+countifs(Students!$F:$F,$AH6,Students!$G:$G,$AH$2&amp;if($K6="S1","a",if($K6="S2","b","")),Students!$A:$A,AS$2)+countifs(Students!$H:$H,$AH6,Students!$I:$I,$AH$2&amp;if($K6="S1","a",if($K6="S2","b","")),Students!$A:$A,AS$2)+countifs(Students!$J:$J,$AH6,Students!$K:$K,$AH$2&amp;if($K6="S1","a",if($K6="S2","b","")),Students!$A:$A,AS$2)+countifs(Students!$L:$L,$AH6,Students!$M:$M,$AH$2&amp;if($K6="S1","a",if($K6="S2","b","")),Students!$A:$A,AS$2)+countifs(Students!$N:$N,$AH6,Students!$O:$O,$AH$2&amp;if($K6="S1","a",if($K6="S2","b","")),Students!$A:$A,AS$2)+countifs(Students!$P:$P,$AH6,Students!$Q:$Q,$AH$2&amp;if($K6="S1","a",if($K6="S2","b","")),Students!$A:$A,AS$2)+countifs(Students!$R:$R,$AH6,Students!$S:$S,$AH$2&amp;if($K6="S1","a",if($K6="S2","b","")),Students!$A:$A,AS$2)+countifs(Students!$T:$T,$AH6,Students!$U:$U,$AH$2&amp;if($K6="S1","a",if($K6="S2","b","")),Students!$A:$A,AS$2)+countifs(Students!$V:$V,$AH6,Students!$W:$W,$AH$2&amp;if($K6="S1","a",if($K6="S2","b","")),Students!$A:$A,AS$2)+
countifs(Students!$D:$D,$AK6,Students!$E:$E,$AK$2&amp;if($K6="S1","a",if($K6="S2","b","")),Students!$A:$A,AS$2)+countifs(Students!$F:$F,$AK6,Students!$G:$G,$AK$2&amp;if($K6="S1","a",if($K6="S2","b","")),Students!$A:$A,AS$2)+countifs(Students!$H:$H,$AK6,Students!$I:$I,$AK$2&amp;if($K6="S1","a",if($K6="S2","b","")),Students!$A:$A,AS$2)+countifs(Students!$J:$J,$AK6,Students!$K:$K,$AK$2&amp;if($K6="S1","a",if($K6="S2","b","")),Students!$A:$A,AS$2)+countifs(Students!$L:$L,$AK6,Students!$M:$M,$AK$2&amp;if($K6="S1","a",if($K6="S2","b","")),Students!$A:$A,AS$2)+countifs(Students!$N:$N,$AK6,Students!$O:$O,$AK$2&amp;if($K6="S1","a",if($K6="S2","b","")),Students!$A:$A,AS$2)+countifs(Students!$P:$P,$AK6,Students!$Q:$Q,$AK$2&amp;if($K6="S1","a",if($K6="S2","b","")),Students!$A:$A,AS$2)+countifs(Students!$R:$R,$AK6,Students!$S:$S,$AK$2&amp;if($K6="S1","a",if($K6="S2","b","")),Students!$A:$A,AS$2)+countifs(Students!$T:$T,$AK6,Students!$U:$U,$AK$2&amp;if($K6="S1","a",if($K6="S2","b","")),Students!$A:$A,AS$2)+countifs(Students!$V:$V,$AK6,Students!$W:$W,$AK$2&amp;if($K6="S1","a",if($K6="S2","b","")),Students!$A:$A,AS$2))</f>
        <v>31</v>
      </c>
    </row>
    <row r="7">
      <c r="A7" s="68"/>
      <c r="B7" s="20">
        <v>5.0</v>
      </c>
      <c r="C7" s="44">
        <v>5.0</v>
      </c>
      <c r="D7" s="54">
        <v>2.0</v>
      </c>
      <c r="E7" s="55">
        <v>7.0</v>
      </c>
      <c r="F7" s="56">
        <v>4.0</v>
      </c>
      <c r="G7" s="43">
        <v>8.0</v>
      </c>
      <c r="J7" s="46">
        <v>23.0</v>
      </c>
      <c r="K7" s="57"/>
      <c r="L7" s="58" t="s">
        <v>33</v>
      </c>
      <c r="M7" s="4"/>
      <c r="N7" s="46">
        <v>5.0</v>
      </c>
      <c r="O7" s="46">
        <f>IFERROR(__xludf.DUMMYFUNCTION("3*counta((transpose(filter(P7:AM7,P7:AM7&lt;&gt;"""",isnumber(P7:AM7)=false))))"),3.0)</f>
        <v>3</v>
      </c>
      <c r="P7" s="50"/>
      <c r="Q7" s="65"/>
      <c r="R7" s="65" t="s">
        <v>22</v>
      </c>
      <c r="S7" s="59"/>
      <c r="T7" s="60"/>
      <c r="U7" s="60" t="s">
        <v>22</v>
      </c>
      <c r="V7" s="50"/>
      <c r="W7" s="65"/>
      <c r="X7" s="65" t="s">
        <v>22</v>
      </c>
      <c r="Y7" s="50"/>
      <c r="Z7" s="65"/>
      <c r="AA7" s="65" t="s">
        <v>22</v>
      </c>
      <c r="AB7" s="50"/>
      <c r="AC7" s="65"/>
      <c r="AD7" s="65" t="s">
        <v>22</v>
      </c>
      <c r="AE7" s="50"/>
      <c r="AF7" s="65"/>
      <c r="AG7" s="66" t="s">
        <v>22</v>
      </c>
      <c r="AH7" s="50"/>
      <c r="AI7" s="65"/>
      <c r="AJ7" s="66" t="s">
        <v>22</v>
      </c>
      <c r="AK7" s="48" t="s">
        <v>27</v>
      </c>
      <c r="AL7" s="49">
        <v>1.0</v>
      </c>
      <c r="AM7" s="67">
        <v>23.0</v>
      </c>
      <c r="AN7" s="52"/>
      <c r="AO7" s="52">
        <f t="shared" si="1"/>
        <v>23</v>
      </c>
      <c r="AP7" s="52">
        <f>if($L7="","",countifs(Students!$D:$D,$P7,Students!$E:$E,$P$2&amp;if($K7="S1","a",if($K7="S2","b","")),Students!$A:$A,AP$2)+countifs(Students!$F:$F,$P7,Students!$G:$G,$P$2&amp;if($K7="S1","a",if($K7="S2","b","")),Students!$A:$A,AP$2)+countifs(Students!$H:$H,$P7,Students!$I:$I,$P$2&amp;if($K7="S1","a",if($K7="S2","b","")),Students!$A:$A,AP$2)+countifs(Students!$J:$J,$P7,Students!$K:$K,$P$2&amp;if($K7="S1","a",if($K7="S2","b","")),Students!$A:$A,AP$2)+countifs(Students!$L:$L,$P7,Students!$M:$M,$P$2&amp;if($K7="S1","a",if($K7="S2","b","")),Students!$A:$A,AP$2)+countifs(Students!$N:$N,$P7,Students!$O:$O,$P$2&amp;if($K7="S1","a",if($K7="S2","b","")),Students!$A:$A,AP$2)+countifs(Students!$P:$P,$P7,Students!$Q:$Q,$P$2&amp;if($K7="S1","a",if($K7="S2","b","")),Students!$A:$A,AP$2)+countifs(Students!$R:$R,$P7,Students!$S:$S,$P$2&amp;if($K7="S1","a",if($K7="S2","b","")),Students!$A:$A,AP$2)+countifs(Students!$T:$T,$P7,Students!$U:$U,$P$2&amp;if($K7="S1","a",if($K7="S2","b","")),Students!$A:$A,AP$2)+countifs(Students!$V:$V,$P7,Students!$W:$W,$P$2&amp;if($K7="S1","a",if($K7="S2","b","")),Students!$A:$A,AP$2)+
countifs(Students!$D:$D,$S7,Students!$E:$E,$S$2&amp;if($K7="S1","a",if($K7="S2","b","")),Students!$A:$A,AP$2)+countifs(Students!$F:$F,$S7,Students!$G:$G,$S$2&amp;if($K7="S1","a",if($K7="S2","b","")),Students!$A:$A,AP$2)+countifs(Students!$H:$H,$S7,Students!$I:$I,$S$2&amp;if($K7="S1","a",if($K7="S2","b","")),Students!$A:$A,AP$2)+countifs(Students!$J:$J,$S7,Students!$K:$K,$S$2&amp;if($K7="S1","a",if($K7="S2","b","")),Students!$A:$A,AP$2)+countifs(Students!$L:$L,$S7,Students!$M:$M,$S$2&amp;if($K7="S1","a",if($K7="S2","b","")),Students!$A:$A,AP$2)+countifs(Students!$N:$N,$S7,Students!$O:$O,$S$2&amp;if($K7="S1","a",if($K7="S2","b","")),Students!$A:$A,AP$2)+countifs(Students!$P:$P,$S7,Students!$Q:$Q,$S$2&amp;if($K7="S1","a",if($K7="S2","b","")),Students!$A:$A,AP$2)+countifs(Students!$R:$R,$S7,Students!$S:$S,$S$2&amp;if($K7="S1","a",if($K7="S2","b","")),Students!$A:$A,AP$2)+countifs(Students!$T:$T,$S7,Students!$U:$U,$S$2&amp;if($K7="S1","a",if($K7="S2","b","")),Students!$A:$A,AP$2)+countifs(Students!$V:$V,$S7,Students!$W:$W,$S$2&amp;if($K7="S1","a",if($K7="S2","b","")),Students!$A:$A,AP$2)+
countifs(Students!$D:$D,$V7,Students!$E:$E,$V$2&amp;if($K7="S1","a",if($K7="S2","b","")),Students!$A:$A,AP$2)+countifs(Students!$F:$F,$V7,Students!$G:$G,$V$2&amp;if($K7="S1","a",if($K7="S2","b","")),Students!$A:$A,AP$2)+countifs(Students!$H:$H,$V7,Students!$I:$I,$V$2&amp;if($K7="S1","a",if($K7="S2","b","")),Students!$A:$A,AP$2)+countifs(Students!$J:$J,$V7,Students!$K:$K,$V$2&amp;if($K7="S1","a",if($K7="S2","b","")),Students!$A:$A,AP$2)+countifs(Students!$L:$L,$V7,Students!$M:$M,$V$2&amp;if($K7="S1","a",if($K7="S2","b","")),Students!$A:$A,AP$2)+countifs(Students!$N:$N,$V7,Students!$O:$O,$V$2&amp;if($K7="S1","a",if($K7="S2","b","")),Students!$A:$A,AP$2)+countifs(Students!$P:$P,$V7,Students!$Q:$Q,$V$2&amp;if($K7="S1","a",if($K7="S2","b","")),Students!$A:$A,AP$2)+countifs(Students!$R:$R,$V7,Students!$S:$S,$V$2&amp;if($K7="S1","a",if($K7="S2","b","")),Students!$A:$A,AP$2)+countifs(Students!$T:$T,$V7,Students!$U:$U,$V$2&amp;if($K7="S1","a",if($K7="S2","b","")),Students!$A:$A,AP$2)+countifs(Students!$V:$V,$V7,Students!$W:$W,$V$2&amp;if($K7="S1","a",if($K7="S2","b","")),Students!$A:$A,AP$2)+
countifs(Students!$D:$D,$Y7,Students!$E:$E,$Y$2&amp;if($K7="S1","a",if($K7="S2","b","")),Students!$A:$A,AP$2)+countifs(Students!$F:$F,$Y7,Students!$G:$G,$Y$2&amp;if($K7="S1","a",if($K7="S2","b","")),Students!$A:$A,AP$2)+countifs(Students!$H:$H,$Y7,Students!$I:$I,$Y$2&amp;if($K7="S1","a",if($K7="S2","b","")),Students!$A:$A,AP$2)+countifs(Students!$J:$J,$Y7,Students!$K:$K,$Y$2&amp;if($K7="S1","a",if($K7="S2","b","")),Students!$A:$A,AP$2)+countifs(Students!$L:$L,$Y7,Students!$M:$M,$Y$2&amp;if($K7="S1","a",if($K7="S2","b","")),Students!$A:$A,AP$2)+countifs(Students!$N:$N,$Y7,Students!$O:$O,$Y$2&amp;if($K7="S1","a",if($K7="S2","b","")),Students!$A:$A,AP$2)+countifs(Students!$P:$P,$Y7,Students!$Q:$Q,$Y$2&amp;if($K7="S1","a",if($K7="S2","b","")),Students!$A:$A,AP$2)+countifs(Students!$R:$R,$Y7,Students!$S:$S,$Y$2&amp;if($K7="S1","a",if($K7="S2","b","")),Students!$A:$A,AP$2)+countifs(Students!$T:$T,$Y7,Students!$U:$U,$Y$2&amp;if($K7="S1","a",if($K7="S2","b","")),Students!$A:$A,AP$2)+countifs(Students!$V:$V,$Y7,Students!$W:$W,$Y$2&amp;if($K7="S1","a",if($K7="S2","b","")),Students!$A:$A,AP$2)+
countifs(Students!$D:$D,$AB7,Students!$E:$E,$AB$2&amp;if($K7="S1","a",if($K7="S2","b","")),Students!$A:$A,AP$2)+countifs(Students!$F:$F,$AB7,Students!$G:$G,$AB$2&amp;if($K7="S1","a",if($K7="S2","b","")),Students!$A:$A,AP$2)+countifs(Students!$H:$H,$AB7,Students!$I:$I,$AB$2&amp;if($K7="S1","a",if($K7="S2","b","")),Students!$A:$A,AP$2)+countifs(Students!$J:$J,$AB7,Students!$K:$K,$AB$2&amp;if($K7="S1","a",if($K7="S2","b","")),Students!$A:$A,AP$2)+countifs(Students!$L:$L,$AB7,Students!$M:$M,$AB$2&amp;if($K7="S1","a",if($K7="S2","b","")),Students!$A:$A,AP$2)+countifs(Students!$N:$N,$AB7,Students!$O:$O,$AB$2&amp;if($K7="S1","a",if($K7="S2","b","")),Students!$A:$A,AP$2)+countifs(Students!$P:$P,$AB7,Students!$Q:$Q,$AB$2&amp;if($K7="S1","a",if($K7="S2","b","")),Students!$A:$A,AP$2)+countifs(Students!$R:$R,$AB7,Students!$S:$S,$AB$2&amp;if($K7="S1","a",if($K7="S2","b","")),Students!$A:$A,AP$2)+countifs(Students!$T:$T,$AB7,Students!$U:$U,$AB$2&amp;if($K7="S1","a",if($K7="S2","b","")),Students!$A:$A,AP$2)+countifs(Students!$V:$V,$AB7,Students!$W:$W,$AB$2&amp;if($K7="S1","a",if($K7="S2","b","")),Students!$A:$A,AP$2)+
countifs(Students!$D:$D,$AE7,Students!$E:$E,$AE$2&amp;if($K7="S1","a",if($K7="S2","b","")),Students!$A:$A,AP$2)+countifs(Students!$F:$F,$AE7,Students!$G:$G,$AE$2&amp;if($K7="S1","a",if($K7="S2","b","")),Students!$A:$A,AP$2)+countifs(Students!$H:$H,$AE7,Students!$I:$I,$AE$2&amp;if($K7="S1","a",if($K7="S2","b","")),Students!$A:$A,AP$2)+countifs(Students!$J:$J,$AE7,Students!$K:$K,$AE$2&amp;if($K7="S1","a",if($K7="S2","b","")),Students!$A:$A,AP$2)+countifs(Students!$L:$L,$AE7,Students!$M:$M,$AE$2&amp;if($K7="S1","a",if($K7="S2","b","")),Students!$A:$A,AP$2)+countifs(Students!$N:$N,$AE7,Students!$O:$O,$AE$2&amp;if($K7="S1","a",if($K7="S2","b","")),Students!$A:$A,AP$2)+countifs(Students!$P:$P,$AE7,Students!$Q:$Q,$AE$2&amp;if($K7="S1","a",if($K7="S2","b","")),Students!$A:$A,AP$2)+countifs(Students!$R:$R,$AE7,Students!$S:$S,$AE$2&amp;if($K7="S1","a",if($K7="S2","b","")),Students!$A:$A,AP$2)+countifs(Students!$T:$T,$AE7,Students!$U:$U,$AE$2&amp;if($K7="S1","a",if($K7="S2","b","")),Students!$A:$A,AP$2)+countifs(Students!$V:$V,$AE7,Students!$W:$W,$AE$2&amp;if($K7="S1","a",if($K7="S2","b","")),Students!$A:$A,AP$2)+
countifs(Students!$D:$D,$AH7,Students!$E:$E,$AH$2&amp;if($K7="S1","a",if($K7="S2","b","")),Students!$A:$A,AP$2)+countifs(Students!$F:$F,$AH7,Students!$G:$G,$AH$2&amp;if($K7="S1","a",if($K7="S2","b","")),Students!$A:$A,AP$2)+countifs(Students!$H:$H,$AH7,Students!$I:$I,$AH$2&amp;if($K7="S1","a",if($K7="S2","b","")),Students!$A:$A,AP$2)+countifs(Students!$J:$J,$AH7,Students!$K:$K,$AH$2&amp;if($K7="S1","a",if($K7="S2","b","")),Students!$A:$A,AP$2)+countifs(Students!$L:$L,$AH7,Students!$M:$M,$AH$2&amp;if($K7="S1","a",if($K7="S2","b","")),Students!$A:$A,AP$2)+countifs(Students!$N:$N,$AH7,Students!$O:$O,$AH$2&amp;if($K7="S1","a",if($K7="S2","b","")),Students!$A:$A,AP$2)+countifs(Students!$P:$P,$AH7,Students!$Q:$Q,$AH$2&amp;if($K7="S1","a",if($K7="S2","b","")),Students!$A:$A,AP$2)+countifs(Students!$R:$R,$AH7,Students!$S:$S,$AH$2&amp;if($K7="S1","a",if($K7="S2","b","")),Students!$A:$A,AP$2)+countifs(Students!$T:$T,$AH7,Students!$U:$U,$AH$2&amp;if($K7="S1","a",if($K7="S2","b","")),Students!$A:$A,AP$2)+countifs(Students!$V:$V,$AH7,Students!$W:$W,$AH$2&amp;if($K7="S1","a",if($K7="S2","b","")),Students!$A:$A,AP$2)+
countifs(Students!$D:$D,$AK7,Students!$E:$E,$AK$2&amp;if($K7="S1","a",if($K7="S2","b","")),Students!$A:$A,AP$2)+countifs(Students!$F:$F,$AK7,Students!$G:$G,$AK$2&amp;if($K7="S1","a",if($K7="S2","b","")),Students!$A:$A,AP$2)+countifs(Students!$H:$H,$AK7,Students!$I:$I,$AK$2&amp;if($K7="S1","a",if($K7="S2","b","")),Students!$A:$A,AP$2)+countifs(Students!$J:$J,$AK7,Students!$K:$K,$AK$2&amp;if($K7="S1","a",if($K7="S2","b","")),Students!$A:$A,AP$2)+countifs(Students!$L:$L,$AK7,Students!$M:$M,$AK$2&amp;if($K7="S1","a",if($K7="S2","b","")),Students!$A:$A,AP$2)+countifs(Students!$N:$N,$AK7,Students!$O:$O,$AK$2&amp;if($K7="S1","a",if($K7="S2","b","")),Students!$A:$A,AP$2)+countifs(Students!$P:$P,$AK7,Students!$Q:$Q,$AK$2&amp;if($K7="S1","a",if($K7="S2","b","")),Students!$A:$A,AP$2)+countifs(Students!$R:$R,$AK7,Students!$S:$S,$AK$2&amp;if($K7="S1","a",if($K7="S2","b","")),Students!$A:$A,AP$2)+countifs(Students!$T:$T,$AK7,Students!$U:$U,$AK$2&amp;if($K7="S1","a",if($K7="S2","b","")),Students!$A:$A,AP$2)+countifs(Students!$V:$V,$AK7,Students!$W:$W,$AK$2&amp;if($K7="S1","a",if($K7="S2","b","")),Students!$A:$A,AP$2))</f>
        <v>0</v>
      </c>
      <c r="AQ7" s="52">
        <f>if($L7="","",countifs(Students!$D:$D,$P7,Students!$E:$E,$P$2&amp;if($K7="S1","a",if($K7="S2","b","")),Students!$A:$A,AQ$2)+countifs(Students!$F:$F,$P7,Students!$G:$G,$P$2&amp;if($K7="S1","a",if($K7="S2","b","")),Students!$A:$A,AQ$2)+countifs(Students!$H:$H,$P7,Students!$I:$I,$P$2&amp;if($K7="S1","a",if($K7="S2","b","")),Students!$A:$A,AQ$2)+countifs(Students!$J:$J,$P7,Students!$K:$K,$P$2&amp;if($K7="S1","a",if($K7="S2","b","")),Students!$A:$A,AQ$2)+countifs(Students!$L:$L,$P7,Students!$M:$M,$P$2&amp;if($K7="S1","a",if($K7="S2","b","")),Students!$A:$A,AQ$2)+countifs(Students!$N:$N,$P7,Students!$O:$O,$P$2&amp;if($K7="S1","a",if($K7="S2","b","")),Students!$A:$A,AQ$2)+countifs(Students!$P:$P,$P7,Students!$Q:$Q,$P$2&amp;if($K7="S1","a",if($K7="S2","b","")),Students!$A:$A,AQ$2)+countifs(Students!$R:$R,$P7,Students!$S:$S,$P$2&amp;if($K7="S1","a",if($K7="S2","b","")),Students!$A:$A,AQ$2)+countifs(Students!$T:$T,$P7,Students!$U:$U,$P$2&amp;if($K7="S1","a",if($K7="S2","b","")),Students!$A:$A,AQ$2)+countifs(Students!$V:$V,$P7,Students!$W:$W,$P$2&amp;if($K7="S1","a",if($K7="S2","b","")),Students!$A:$A,AQ$2)+
countifs(Students!$D:$D,$S7,Students!$E:$E,$S$2&amp;if($K7="S1","a",if($K7="S2","b","")),Students!$A:$A,AQ$2)+countifs(Students!$F:$F,$S7,Students!$G:$G,$S$2&amp;if($K7="S1","a",if($K7="S2","b","")),Students!$A:$A,AQ$2)+countifs(Students!$H:$H,$S7,Students!$I:$I,$S$2&amp;if($K7="S1","a",if($K7="S2","b","")),Students!$A:$A,AQ$2)+countifs(Students!$J:$J,$S7,Students!$K:$K,$S$2&amp;if($K7="S1","a",if($K7="S2","b","")),Students!$A:$A,AQ$2)+countifs(Students!$L:$L,$S7,Students!$M:$M,$S$2&amp;if($K7="S1","a",if($K7="S2","b","")),Students!$A:$A,AQ$2)+countifs(Students!$N:$N,$S7,Students!$O:$O,$S$2&amp;if($K7="S1","a",if($K7="S2","b","")),Students!$A:$A,AQ$2)+countifs(Students!$P:$P,$S7,Students!$Q:$Q,$S$2&amp;if($K7="S1","a",if($K7="S2","b","")),Students!$A:$A,AQ$2)+countifs(Students!$R:$R,$S7,Students!$S:$S,$S$2&amp;if($K7="S1","a",if($K7="S2","b","")),Students!$A:$A,AQ$2)+countifs(Students!$T:$T,$S7,Students!$U:$U,$S$2&amp;if($K7="S1","a",if($K7="S2","b","")),Students!$A:$A,AQ$2)+countifs(Students!$V:$V,$S7,Students!$W:$W,$S$2&amp;if($K7="S1","a",if($K7="S2","b","")),Students!$A:$A,AQ$2)+
countifs(Students!$D:$D,$V7,Students!$E:$E,$V$2&amp;if($K7="S1","a",if($K7="S2","b","")),Students!$A:$A,AQ$2)+countifs(Students!$F:$F,$V7,Students!$G:$G,$V$2&amp;if($K7="S1","a",if($K7="S2","b","")),Students!$A:$A,AQ$2)+countifs(Students!$H:$H,$V7,Students!$I:$I,$V$2&amp;if($K7="S1","a",if($K7="S2","b","")),Students!$A:$A,AQ$2)+countifs(Students!$J:$J,$V7,Students!$K:$K,$V$2&amp;if($K7="S1","a",if($K7="S2","b","")),Students!$A:$A,AQ$2)+countifs(Students!$L:$L,$V7,Students!$M:$M,$V$2&amp;if($K7="S1","a",if($K7="S2","b","")),Students!$A:$A,AQ$2)+countifs(Students!$N:$N,$V7,Students!$O:$O,$V$2&amp;if($K7="S1","a",if($K7="S2","b","")),Students!$A:$A,AQ$2)+countifs(Students!$P:$P,$V7,Students!$Q:$Q,$V$2&amp;if($K7="S1","a",if($K7="S2","b","")),Students!$A:$A,AQ$2)+countifs(Students!$R:$R,$V7,Students!$S:$S,$V$2&amp;if($K7="S1","a",if($K7="S2","b","")),Students!$A:$A,AQ$2)+countifs(Students!$T:$T,$V7,Students!$U:$U,$V$2&amp;if($K7="S1","a",if($K7="S2","b","")),Students!$A:$A,AQ$2)+countifs(Students!$V:$V,$V7,Students!$W:$W,$V$2&amp;if($K7="S1","a",if($K7="S2","b","")),Students!$A:$A,AQ$2)+
countifs(Students!$D:$D,$Y7,Students!$E:$E,$Y$2&amp;if($K7="S1","a",if($K7="S2","b","")),Students!$A:$A,AQ$2)+countifs(Students!$F:$F,$Y7,Students!$G:$G,$Y$2&amp;if($K7="S1","a",if($K7="S2","b","")),Students!$A:$A,AQ$2)+countifs(Students!$H:$H,$Y7,Students!$I:$I,$Y$2&amp;if($K7="S1","a",if($K7="S2","b","")),Students!$A:$A,AQ$2)+countifs(Students!$J:$J,$Y7,Students!$K:$K,$Y$2&amp;if($K7="S1","a",if($K7="S2","b","")),Students!$A:$A,AQ$2)+countifs(Students!$L:$L,$Y7,Students!$M:$M,$Y$2&amp;if($K7="S1","a",if($K7="S2","b","")),Students!$A:$A,AQ$2)+countifs(Students!$N:$N,$Y7,Students!$O:$O,$Y$2&amp;if($K7="S1","a",if($K7="S2","b","")),Students!$A:$A,AQ$2)+countifs(Students!$P:$P,$Y7,Students!$Q:$Q,$Y$2&amp;if($K7="S1","a",if($K7="S2","b","")),Students!$A:$A,AQ$2)+countifs(Students!$R:$R,$Y7,Students!$S:$S,$Y$2&amp;if($K7="S1","a",if($K7="S2","b","")),Students!$A:$A,AQ$2)+countifs(Students!$T:$T,$Y7,Students!$U:$U,$Y$2&amp;if($K7="S1","a",if($K7="S2","b","")),Students!$A:$A,AQ$2)+countifs(Students!$V:$V,$Y7,Students!$W:$W,$Y$2&amp;if($K7="S1","a",if($K7="S2","b","")),Students!$A:$A,AQ$2)+
countifs(Students!$D:$D,$AB7,Students!$E:$E,$AB$2&amp;if($K7="S1","a",if($K7="S2","b","")),Students!$A:$A,AQ$2)+countifs(Students!$F:$F,$AB7,Students!$G:$G,$AB$2&amp;if($K7="S1","a",if($K7="S2","b","")),Students!$A:$A,AQ$2)+countifs(Students!$H:$H,$AB7,Students!$I:$I,$AB$2&amp;if($K7="S1","a",if($K7="S2","b","")),Students!$A:$A,AQ$2)+countifs(Students!$J:$J,$AB7,Students!$K:$K,$AB$2&amp;if($K7="S1","a",if($K7="S2","b","")),Students!$A:$A,AQ$2)+countifs(Students!$L:$L,$AB7,Students!$M:$M,$AB$2&amp;if($K7="S1","a",if($K7="S2","b","")),Students!$A:$A,AQ$2)+countifs(Students!$N:$N,$AB7,Students!$O:$O,$AB$2&amp;if($K7="S1","a",if($K7="S2","b","")),Students!$A:$A,AQ$2)+countifs(Students!$P:$P,$AB7,Students!$Q:$Q,$AB$2&amp;if($K7="S1","a",if($K7="S2","b","")),Students!$A:$A,AQ$2)+countifs(Students!$R:$R,$AB7,Students!$S:$S,$AB$2&amp;if($K7="S1","a",if($K7="S2","b","")),Students!$A:$A,AQ$2)+countifs(Students!$T:$T,$AB7,Students!$U:$U,$AB$2&amp;if($K7="S1","a",if($K7="S2","b","")),Students!$A:$A,AQ$2)+countifs(Students!$V:$V,$AB7,Students!$W:$W,$AB$2&amp;if($K7="S1","a",if($K7="S2","b","")),Students!$A:$A,AQ$2)+
countifs(Students!$D:$D,$AE7,Students!$E:$E,$AE$2&amp;if($K7="S1","a",if($K7="S2","b","")),Students!$A:$A,AQ$2)+countifs(Students!$F:$F,$AE7,Students!$G:$G,$AE$2&amp;if($K7="S1","a",if($K7="S2","b","")),Students!$A:$A,AQ$2)+countifs(Students!$H:$H,$AE7,Students!$I:$I,$AE$2&amp;if($K7="S1","a",if($K7="S2","b","")),Students!$A:$A,AQ$2)+countifs(Students!$J:$J,$AE7,Students!$K:$K,$AE$2&amp;if($K7="S1","a",if($K7="S2","b","")),Students!$A:$A,AQ$2)+countifs(Students!$L:$L,$AE7,Students!$M:$M,$AE$2&amp;if($K7="S1","a",if($K7="S2","b","")),Students!$A:$A,AQ$2)+countifs(Students!$N:$N,$AE7,Students!$O:$O,$AE$2&amp;if($K7="S1","a",if($K7="S2","b","")),Students!$A:$A,AQ$2)+countifs(Students!$P:$P,$AE7,Students!$Q:$Q,$AE$2&amp;if($K7="S1","a",if($K7="S2","b","")),Students!$A:$A,AQ$2)+countifs(Students!$R:$R,$AE7,Students!$S:$S,$AE$2&amp;if($K7="S1","a",if($K7="S2","b","")),Students!$A:$A,AQ$2)+countifs(Students!$T:$T,$AE7,Students!$U:$U,$AE$2&amp;if($K7="S1","a",if($K7="S2","b","")),Students!$A:$A,AQ$2)+countifs(Students!$V:$V,$AE7,Students!$W:$W,$AE$2&amp;if($K7="S1","a",if($K7="S2","b","")),Students!$A:$A,AQ$2)+
countifs(Students!$D:$D,$AH7,Students!$E:$E,$AH$2&amp;if($K7="S1","a",if($K7="S2","b","")),Students!$A:$A,AQ$2)+countifs(Students!$F:$F,$AH7,Students!$G:$G,$AH$2&amp;if($K7="S1","a",if($K7="S2","b","")),Students!$A:$A,AQ$2)+countifs(Students!$H:$H,$AH7,Students!$I:$I,$AH$2&amp;if($K7="S1","a",if($K7="S2","b","")),Students!$A:$A,AQ$2)+countifs(Students!$J:$J,$AH7,Students!$K:$K,$AH$2&amp;if($K7="S1","a",if($K7="S2","b","")),Students!$A:$A,AQ$2)+countifs(Students!$L:$L,$AH7,Students!$M:$M,$AH$2&amp;if($K7="S1","a",if($K7="S2","b","")),Students!$A:$A,AQ$2)+countifs(Students!$N:$N,$AH7,Students!$O:$O,$AH$2&amp;if($K7="S1","a",if($K7="S2","b","")),Students!$A:$A,AQ$2)+countifs(Students!$P:$P,$AH7,Students!$Q:$Q,$AH$2&amp;if($K7="S1","a",if($K7="S2","b","")),Students!$A:$A,AQ$2)+countifs(Students!$R:$R,$AH7,Students!$S:$S,$AH$2&amp;if($K7="S1","a",if($K7="S2","b","")),Students!$A:$A,AQ$2)+countifs(Students!$T:$T,$AH7,Students!$U:$U,$AH$2&amp;if($K7="S1","a",if($K7="S2","b","")),Students!$A:$A,AQ$2)+countifs(Students!$V:$V,$AH7,Students!$W:$W,$AH$2&amp;if($K7="S1","a",if($K7="S2","b","")),Students!$A:$A,AQ$2)+
countifs(Students!$D:$D,$AK7,Students!$E:$E,$AK$2&amp;if($K7="S1","a",if($K7="S2","b","")),Students!$A:$A,AQ$2)+countifs(Students!$F:$F,$AK7,Students!$G:$G,$AK$2&amp;if($K7="S1","a",if($K7="S2","b","")),Students!$A:$A,AQ$2)+countifs(Students!$H:$H,$AK7,Students!$I:$I,$AK$2&amp;if($K7="S1","a",if($K7="S2","b","")),Students!$A:$A,AQ$2)+countifs(Students!$J:$J,$AK7,Students!$K:$K,$AK$2&amp;if($K7="S1","a",if($K7="S2","b","")),Students!$A:$A,AQ$2)+countifs(Students!$L:$L,$AK7,Students!$M:$M,$AK$2&amp;if($K7="S1","a",if($K7="S2","b","")),Students!$A:$A,AQ$2)+countifs(Students!$N:$N,$AK7,Students!$O:$O,$AK$2&amp;if($K7="S1","a",if($K7="S2","b","")),Students!$A:$A,AQ$2)+countifs(Students!$P:$P,$AK7,Students!$Q:$Q,$AK$2&amp;if($K7="S1","a",if($K7="S2","b","")),Students!$A:$A,AQ$2)+countifs(Students!$R:$R,$AK7,Students!$S:$S,$AK$2&amp;if($K7="S1","a",if($K7="S2","b","")),Students!$A:$A,AQ$2)+countifs(Students!$T:$T,$AK7,Students!$U:$U,$AK$2&amp;if($K7="S1","a",if($K7="S2","b","")),Students!$A:$A,AQ$2)+countifs(Students!$V:$V,$AK7,Students!$W:$W,$AK$2&amp;if($K7="S1","a",if($K7="S2","b","")),Students!$A:$A,AQ$2))</f>
        <v>5</v>
      </c>
      <c r="AR7" s="52">
        <f>if($L7="","",countifs(Students!$D:$D,$P7,Students!$E:$E,$P$2&amp;if($K7="S1","a",if($K7="S2","b","")),Students!$A:$A,AR$2)+countifs(Students!$F:$F,$P7,Students!$G:$G,$P$2&amp;if($K7="S1","a",if($K7="S2","b","")),Students!$A:$A,AR$2)+countifs(Students!$H:$H,$P7,Students!$I:$I,$P$2&amp;if($K7="S1","a",if($K7="S2","b","")),Students!$A:$A,AR$2)+countifs(Students!$J:$J,$P7,Students!$K:$K,$P$2&amp;if($K7="S1","a",if($K7="S2","b","")),Students!$A:$A,AR$2)+countifs(Students!$L:$L,$P7,Students!$M:$M,$P$2&amp;if($K7="S1","a",if($K7="S2","b","")),Students!$A:$A,AR$2)+countifs(Students!$N:$N,$P7,Students!$O:$O,$P$2&amp;if($K7="S1","a",if($K7="S2","b","")),Students!$A:$A,AR$2)+countifs(Students!$P:$P,$P7,Students!$Q:$Q,$P$2&amp;if($K7="S1","a",if($K7="S2","b","")),Students!$A:$A,AR$2)+countifs(Students!$R:$R,$P7,Students!$S:$S,$P$2&amp;if($K7="S1","a",if($K7="S2","b","")),Students!$A:$A,AR$2)+countifs(Students!$T:$T,$P7,Students!$U:$U,$P$2&amp;if($K7="S1","a",if($K7="S2","b","")),Students!$A:$A,AR$2)+countifs(Students!$V:$V,$P7,Students!$W:$W,$P$2&amp;if($K7="S1","a",if($K7="S2","b","")),Students!$A:$A,AR$2)+
countifs(Students!$D:$D,$S7,Students!$E:$E,$S$2&amp;if($K7="S1","a",if($K7="S2","b","")),Students!$A:$A,AR$2)+countifs(Students!$F:$F,$S7,Students!$G:$G,$S$2&amp;if($K7="S1","a",if($K7="S2","b","")),Students!$A:$A,AR$2)+countifs(Students!$H:$H,$S7,Students!$I:$I,$S$2&amp;if($K7="S1","a",if($K7="S2","b","")),Students!$A:$A,AR$2)+countifs(Students!$J:$J,$S7,Students!$K:$K,$S$2&amp;if($K7="S1","a",if($K7="S2","b","")),Students!$A:$A,AR$2)+countifs(Students!$L:$L,$S7,Students!$M:$M,$S$2&amp;if($K7="S1","a",if($K7="S2","b","")),Students!$A:$A,AR$2)+countifs(Students!$N:$N,$S7,Students!$O:$O,$S$2&amp;if($K7="S1","a",if($K7="S2","b","")),Students!$A:$A,AR$2)+countifs(Students!$P:$P,$S7,Students!$Q:$Q,$S$2&amp;if($K7="S1","a",if($K7="S2","b","")),Students!$A:$A,AR$2)+countifs(Students!$R:$R,$S7,Students!$S:$S,$S$2&amp;if($K7="S1","a",if($K7="S2","b","")),Students!$A:$A,AR$2)+countifs(Students!$T:$T,$S7,Students!$U:$U,$S$2&amp;if($K7="S1","a",if($K7="S2","b","")),Students!$A:$A,AR$2)+countifs(Students!$V:$V,$S7,Students!$W:$W,$S$2&amp;if($K7="S1","a",if($K7="S2","b","")),Students!$A:$A,AR$2)+
countifs(Students!$D:$D,$V7,Students!$E:$E,$V$2&amp;if($K7="S1","a",if($K7="S2","b","")),Students!$A:$A,AR$2)+countifs(Students!$F:$F,$V7,Students!$G:$G,$V$2&amp;if($K7="S1","a",if($K7="S2","b","")),Students!$A:$A,AR$2)+countifs(Students!$H:$H,$V7,Students!$I:$I,$V$2&amp;if($K7="S1","a",if($K7="S2","b","")),Students!$A:$A,AR$2)+countifs(Students!$J:$J,$V7,Students!$K:$K,$V$2&amp;if($K7="S1","a",if($K7="S2","b","")),Students!$A:$A,AR$2)+countifs(Students!$L:$L,$V7,Students!$M:$M,$V$2&amp;if($K7="S1","a",if($K7="S2","b","")),Students!$A:$A,AR$2)+countifs(Students!$N:$N,$V7,Students!$O:$O,$V$2&amp;if($K7="S1","a",if($K7="S2","b","")),Students!$A:$A,AR$2)+countifs(Students!$P:$P,$V7,Students!$Q:$Q,$V$2&amp;if($K7="S1","a",if($K7="S2","b","")),Students!$A:$A,AR$2)+countifs(Students!$R:$R,$V7,Students!$S:$S,$V$2&amp;if($K7="S1","a",if($K7="S2","b","")),Students!$A:$A,AR$2)+countifs(Students!$T:$T,$V7,Students!$U:$U,$V$2&amp;if($K7="S1","a",if($K7="S2","b","")),Students!$A:$A,AR$2)+countifs(Students!$V:$V,$V7,Students!$W:$W,$V$2&amp;if($K7="S1","a",if($K7="S2","b","")),Students!$A:$A,AR$2)+
countifs(Students!$D:$D,$Y7,Students!$E:$E,$Y$2&amp;if($K7="S1","a",if($K7="S2","b","")),Students!$A:$A,AR$2)+countifs(Students!$F:$F,$Y7,Students!$G:$G,$Y$2&amp;if($K7="S1","a",if($K7="S2","b","")),Students!$A:$A,AR$2)+countifs(Students!$H:$H,$Y7,Students!$I:$I,$Y$2&amp;if($K7="S1","a",if($K7="S2","b","")),Students!$A:$A,AR$2)+countifs(Students!$J:$J,$Y7,Students!$K:$K,$Y$2&amp;if($K7="S1","a",if($K7="S2","b","")),Students!$A:$A,AR$2)+countifs(Students!$L:$L,$Y7,Students!$M:$M,$Y$2&amp;if($K7="S1","a",if($K7="S2","b","")),Students!$A:$A,AR$2)+countifs(Students!$N:$N,$Y7,Students!$O:$O,$Y$2&amp;if($K7="S1","a",if($K7="S2","b","")),Students!$A:$A,AR$2)+countifs(Students!$P:$P,$Y7,Students!$Q:$Q,$Y$2&amp;if($K7="S1","a",if($K7="S2","b","")),Students!$A:$A,AR$2)+countifs(Students!$R:$R,$Y7,Students!$S:$S,$Y$2&amp;if($K7="S1","a",if($K7="S2","b","")),Students!$A:$A,AR$2)+countifs(Students!$T:$T,$Y7,Students!$U:$U,$Y$2&amp;if($K7="S1","a",if($K7="S2","b","")),Students!$A:$A,AR$2)+countifs(Students!$V:$V,$Y7,Students!$W:$W,$Y$2&amp;if($K7="S1","a",if($K7="S2","b","")),Students!$A:$A,AR$2)+
countifs(Students!$D:$D,$AB7,Students!$E:$E,$AB$2&amp;if($K7="S1","a",if($K7="S2","b","")),Students!$A:$A,AR$2)+countifs(Students!$F:$F,$AB7,Students!$G:$G,$AB$2&amp;if($K7="S1","a",if($K7="S2","b","")),Students!$A:$A,AR$2)+countifs(Students!$H:$H,$AB7,Students!$I:$I,$AB$2&amp;if($K7="S1","a",if($K7="S2","b","")),Students!$A:$A,AR$2)+countifs(Students!$J:$J,$AB7,Students!$K:$K,$AB$2&amp;if($K7="S1","a",if($K7="S2","b","")),Students!$A:$A,AR$2)+countifs(Students!$L:$L,$AB7,Students!$M:$M,$AB$2&amp;if($K7="S1","a",if($K7="S2","b","")),Students!$A:$A,AR$2)+countifs(Students!$N:$N,$AB7,Students!$O:$O,$AB$2&amp;if($K7="S1","a",if($K7="S2","b","")),Students!$A:$A,AR$2)+countifs(Students!$P:$P,$AB7,Students!$Q:$Q,$AB$2&amp;if($K7="S1","a",if($K7="S2","b","")),Students!$A:$A,AR$2)+countifs(Students!$R:$R,$AB7,Students!$S:$S,$AB$2&amp;if($K7="S1","a",if($K7="S2","b","")),Students!$A:$A,AR$2)+countifs(Students!$T:$T,$AB7,Students!$U:$U,$AB$2&amp;if($K7="S1","a",if($K7="S2","b","")),Students!$A:$A,AR$2)+countifs(Students!$V:$V,$AB7,Students!$W:$W,$AB$2&amp;if($K7="S1","a",if($K7="S2","b","")),Students!$A:$A,AR$2)+
countifs(Students!$D:$D,$AE7,Students!$E:$E,$AE$2&amp;if($K7="S1","a",if($K7="S2","b","")),Students!$A:$A,AR$2)+countifs(Students!$F:$F,$AE7,Students!$G:$G,$AE$2&amp;if($K7="S1","a",if($K7="S2","b","")),Students!$A:$A,AR$2)+countifs(Students!$H:$H,$AE7,Students!$I:$I,$AE$2&amp;if($K7="S1","a",if($K7="S2","b","")),Students!$A:$A,AR$2)+countifs(Students!$J:$J,$AE7,Students!$K:$K,$AE$2&amp;if($K7="S1","a",if($K7="S2","b","")),Students!$A:$A,AR$2)+countifs(Students!$L:$L,$AE7,Students!$M:$M,$AE$2&amp;if($K7="S1","a",if($K7="S2","b","")),Students!$A:$A,AR$2)+countifs(Students!$N:$N,$AE7,Students!$O:$O,$AE$2&amp;if($K7="S1","a",if($K7="S2","b","")),Students!$A:$A,AR$2)+countifs(Students!$P:$P,$AE7,Students!$Q:$Q,$AE$2&amp;if($K7="S1","a",if($K7="S2","b","")),Students!$A:$A,AR$2)+countifs(Students!$R:$R,$AE7,Students!$S:$S,$AE$2&amp;if($K7="S1","a",if($K7="S2","b","")),Students!$A:$A,AR$2)+countifs(Students!$T:$T,$AE7,Students!$U:$U,$AE$2&amp;if($K7="S1","a",if($K7="S2","b","")),Students!$A:$A,AR$2)+countifs(Students!$V:$V,$AE7,Students!$W:$W,$AE$2&amp;if($K7="S1","a",if($K7="S2","b","")),Students!$A:$A,AR$2)+
countifs(Students!$D:$D,$AH7,Students!$E:$E,$AH$2&amp;if($K7="S1","a",if($K7="S2","b","")),Students!$A:$A,AR$2)+countifs(Students!$F:$F,$AH7,Students!$G:$G,$AH$2&amp;if($K7="S1","a",if($K7="S2","b","")),Students!$A:$A,AR$2)+countifs(Students!$H:$H,$AH7,Students!$I:$I,$AH$2&amp;if($K7="S1","a",if($K7="S2","b","")),Students!$A:$A,AR$2)+countifs(Students!$J:$J,$AH7,Students!$K:$K,$AH$2&amp;if($K7="S1","a",if($K7="S2","b","")),Students!$A:$A,AR$2)+countifs(Students!$L:$L,$AH7,Students!$M:$M,$AH$2&amp;if($K7="S1","a",if($K7="S2","b","")),Students!$A:$A,AR$2)+countifs(Students!$N:$N,$AH7,Students!$O:$O,$AH$2&amp;if($K7="S1","a",if($K7="S2","b","")),Students!$A:$A,AR$2)+countifs(Students!$P:$P,$AH7,Students!$Q:$Q,$AH$2&amp;if($K7="S1","a",if($K7="S2","b","")),Students!$A:$A,AR$2)+countifs(Students!$R:$R,$AH7,Students!$S:$S,$AH$2&amp;if($K7="S1","a",if($K7="S2","b","")),Students!$A:$A,AR$2)+countifs(Students!$T:$T,$AH7,Students!$U:$U,$AH$2&amp;if($K7="S1","a",if($K7="S2","b","")),Students!$A:$A,AR$2)+countifs(Students!$V:$V,$AH7,Students!$W:$W,$AH$2&amp;if($K7="S1","a",if($K7="S2","b","")),Students!$A:$A,AR$2)+
countifs(Students!$D:$D,$AK7,Students!$E:$E,$AK$2&amp;if($K7="S1","a",if($K7="S2","b","")),Students!$A:$A,AR$2)+countifs(Students!$F:$F,$AK7,Students!$G:$G,$AK$2&amp;if($K7="S1","a",if($K7="S2","b","")),Students!$A:$A,AR$2)+countifs(Students!$H:$H,$AK7,Students!$I:$I,$AK$2&amp;if($K7="S1","a",if($K7="S2","b","")),Students!$A:$A,AR$2)+countifs(Students!$J:$J,$AK7,Students!$K:$K,$AK$2&amp;if($K7="S1","a",if($K7="S2","b","")),Students!$A:$A,AR$2)+countifs(Students!$L:$L,$AK7,Students!$M:$M,$AK$2&amp;if($K7="S1","a",if($K7="S2","b","")),Students!$A:$A,AR$2)+countifs(Students!$N:$N,$AK7,Students!$O:$O,$AK$2&amp;if($K7="S1","a",if($K7="S2","b","")),Students!$A:$A,AR$2)+countifs(Students!$P:$P,$AK7,Students!$Q:$Q,$AK$2&amp;if($K7="S1","a",if($K7="S2","b","")),Students!$A:$A,AR$2)+countifs(Students!$R:$R,$AK7,Students!$S:$S,$AK$2&amp;if($K7="S1","a",if($K7="S2","b","")),Students!$A:$A,AR$2)+countifs(Students!$T:$T,$AK7,Students!$U:$U,$AK$2&amp;if($K7="S1","a",if($K7="S2","b","")),Students!$A:$A,AR$2)+countifs(Students!$V:$V,$AK7,Students!$W:$W,$AK$2&amp;if($K7="S1","a",if($K7="S2","b","")),Students!$A:$A,AR$2))</f>
        <v>9</v>
      </c>
      <c r="AS7" s="52">
        <f>if($L7="","",countifs(Students!$D:$D,$P7,Students!$E:$E,$P$2&amp;if($K7="S1","a",if($K7="S2","b","")),Students!$A:$A,AS$2)+countifs(Students!$F:$F,$P7,Students!$G:$G,$P$2&amp;if($K7="S1","a",if($K7="S2","b","")),Students!$A:$A,AS$2)+countifs(Students!$H:$H,$P7,Students!$I:$I,$P$2&amp;if($K7="S1","a",if($K7="S2","b","")),Students!$A:$A,AS$2)+countifs(Students!$J:$J,$P7,Students!$K:$K,$P$2&amp;if($K7="S1","a",if($K7="S2","b","")),Students!$A:$A,AS$2)+countifs(Students!$L:$L,$P7,Students!$M:$M,$P$2&amp;if($K7="S1","a",if($K7="S2","b","")),Students!$A:$A,AS$2)+countifs(Students!$N:$N,$P7,Students!$O:$O,$P$2&amp;if($K7="S1","a",if($K7="S2","b","")),Students!$A:$A,AS$2)+countifs(Students!$P:$P,$P7,Students!$Q:$Q,$P$2&amp;if($K7="S1","a",if($K7="S2","b","")),Students!$A:$A,AS$2)+countifs(Students!$R:$R,$P7,Students!$S:$S,$P$2&amp;if($K7="S1","a",if($K7="S2","b","")),Students!$A:$A,AS$2)+countifs(Students!$T:$T,$P7,Students!$U:$U,$P$2&amp;if($K7="S1","a",if($K7="S2","b","")),Students!$A:$A,AS$2)+countifs(Students!$V:$V,$P7,Students!$W:$W,$P$2&amp;if($K7="S1","a",if($K7="S2","b","")),Students!$A:$A,AS$2)+
countifs(Students!$D:$D,$S7,Students!$E:$E,$S$2&amp;if($K7="S1","a",if($K7="S2","b","")),Students!$A:$A,AS$2)+countifs(Students!$F:$F,$S7,Students!$G:$G,$S$2&amp;if($K7="S1","a",if($K7="S2","b","")),Students!$A:$A,AS$2)+countifs(Students!$H:$H,$S7,Students!$I:$I,$S$2&amp;if($K7="S1","a",if($K7="S2","b","")),Students!$A:$A,AS$2)+countifs(Students!$J:$J,$S7,Students!$K:$K,$S$2&amp;if($K7="S1","a",if($K7="S2","b","")),Students!$A:$A,AS$2)+countifs(Students!$L:$L,$S7,Students!$M:$M,$S$2&amp;if($K7="S1","a",if($K7="S2","b","")),Students!$A:$A,AS$2)+countifs(Students!$N:$N,$S7,Students!$O:$O,$S$2&amp;if($K7="S1","a",if($K7="S2","b","")),Students!$A:$A,AS$2)+countifs(Students!$P:$P,$S7,Students!$Q:$Q,$S$2&amp;if($K7="S1","a",if($K7="S2","b","")),Students!$A:$A,AS$2)+countifs(Students!$R:$R,$S7,Students!$S:$S,$S$2&amp;if($K7="S1","a",if($K7="S2","b","")),Students!$A:$A,AS$2)+countifs(Students!$T:$T,$S7,Students!$U:$U,$S$2&amp;if($K7="S1","a",if($K7="S2","b","")),Students!$A:$A,AS$2)+countifs(Students!$V:$V,$S7,Students!$W:$W,$S$2&amp;if($K7="S1","a",if($K7="S2","b","")),Students!$A:$A,AS$2)+
countifs(Students!$D:$D,$V7,Students!$E:$E,$V$2&amp;if($K7="S1","a",if($K7="S2","b","")),Students!$A:$A,AS$2)+countifs(Students!$F:$F,$V7,Students!$G:$G,$V$2&amp;if($K7="S1","a",if($K7="S2","b","")),Students!$A:$A,AS$2)+countifs(Students!$H:$H,$V7,Students!$I:$I,$V$2&amp;if($K7="S1","a",if($K7="S2","b","")),Students!$A:$A,AS$2)+countifs(Students!$J:$J,$V7,Students!$K:$K,$V$2&amp;if($K7="S1","a",if($K7="S2","b","")),Students!$A:$A,AS$2)+countifs(Students!$L:$L,$V7,Students!$M:$M,$V$2&amp;if($K7="S1","a",if($K7="S2","b","")),Students!$A:$A,AS$2)+countifs(Students!$N:$N,$V7,Students!$O:$O,$V$2&amp;if($K7="S1","a",if($K7="S2","b","")),Students!$A:$A,AS$2)+countifs(Students!$P:$P,$V7,Students!$Q:$Q,$V$2&amp;if($K7="S1","a",if($K7="S2","b","")),Students!$A:$A,AS$2)+countifs(Students!$R:$R,$V7,Students!$S:$S,$V$2&amp;if($K7="S1","a",if($K7="S2","b","")),Students!$A:$A,AS$2)+countifs(Students!$T:$T,$V7,Students!$U:$U,$V$2&amp;if($K7="S1","a",if($K7="S2","b","")),Students!$A:$A,AS$2)+countifs(Students!$V:$V,$V7,Students!$W:$W,$V$2&amp;if($K7="S1","a",if($K7="S2","b","")),Students!$A:$A,AS$2)+
countifs(Students!$D:$D,$Y7,Students!$E:$E,$Y$2&amp;if($K7="S1","a",if($K7="S2","b","")),Students!$A:$A,AS$2)+countifs(Students!$F:$F,$Y7,Students!$G:$G,$Y$2&amp;if($K7="S1","a",if($K7="S2","b","")),Students!$A:$A,AS$2)+countifs(Students!$H:$H,$Y7,Students!$I:$I,$Y$2&amp;if($K7="S1","a",if($K7="S2","b","")),Students!$A:$A,AS$2)+countifs(Students!$J:$J,$Y7,Students!$K:$K,$Y$2&amp;if($K7="S1","a",if($K7="S2","b","")),Students!$A:$A,AS$2)+countifs(Students!$L:$L,$Y7,Students!$M:$M,$Y$2&amp;if($K7="S1","a",if($K7="S2","b","")),Students!$A:$A,AS$2)+countifs(Students!$N:$N,$Y7,Students!$O:$O,$Y$2&amp;if($K7="S1","a",if($K7="S2","b","")),Students!$A:$A,AS$2)+countifs(Students!$P:$P,$Y7,Students!$Q:$Q,$Y$2&amp;if($K7="S1","a",if($K7="S2","b","")),Students!$A:$A,AS$2)+countifs(Students!$R:$R,$Y7,Students!$S:$S,$Y$2&amp;if($K7="S1","a",if($K7="S2","b","")),Students!$A:$A,AS$2)+countifs(Students!$T:$T,$Y7,Students!$U:$U,$Y$2&amp;if($K7="S1","a",if($K7="S2","b","")),Students!$A:$A,AS$2)+countifs(Students!$V:$V,$Y7,Students!$W:$W,$Y$2&amp;if($K7="S1","a",if($K7="S2","b","")),Students!$A:$A,AS$2)+
countifs(Students!$D:$D,$AB7,Students!$E:$E,$AB$2&amp;if($K7="S1","a",if($K7="S2","b","")),Students!$A:$A,AS$2)+countifs(Students!$F:$F,$AB7,Students!$G:$G,$AB$2&amp;if($K7="S1","a",if($K7="S2","b","")),Students!$A:$A,AS$2)+countifs(Students!$H:$H,$AB7,Students!$I:$I,$AB$2&amp;if($K7="S1","a",if($K7="S2","b","")),Students!$A:$A,AS$2)+countifs(Students!$J:$J,$AB7,Students!$K:$K,$AB$2&amp;if($K7="S1","a",if($K7="S2","b","")),Students!$A:$A,AS$2)+countifs(Students!$L:$L,$AB7,Students!$M:$M,$AB$2&amp;if($K7="S1","a",if($K7="S2","b","")),Students!$A:$A,AS$2)+countifs(Students!$N:$N,$AB7,Students!$O:$O,$AB$2&amp;if($K7="S1","a",if($K7="S2","b","")),Students!$A:$A,AS$2)+countifs(Students!$P:$P,$AB7,Students!$Q:$Q,$AB$2&amp;if($K7="S1","a",if($K7="S2","b","")),Students!$A:$A,AS$2)+countifs(Students!$R:$R,$AB7,Students!$S:$S,$AB$2&amp;if($K7="S1","a",if($K7="S2","b","")),Students!$A:$A,AS$2)+countifs(Students!$T:$T,$AB7,Students!$U:$U,$AB$2&amp;if($K7="S1","a",if($K7="S2","b","")),Students!$A:$A,AS$2)+countifs(Students!$V:$V,$AB7,Students!$W:$W,$AB$2&amp;if($K7="S1","a",if($K7="S2","b","")),Students!$A:$A,AS$2)+
countifs(Students!$D:$D,$AE7,Students!$E:$E,$AE$2&amp;if($K7="S1","a",if($K7="S2","b","")),Students!$A:$A,AS$2)+countifs(Students!$F:$F,$AE7,Students!$G:$G,$AE$2&amp;if($K7="S1","a",if($K7="S2","b","")),Students!$A:$A,AS$2)+countifs(Students!$H:$H,$AE7,Students!$I:$I,$AE$2&amp;if($K7="S1","a",if($K7="S2","b","")),Students!$A:$A,AS$2)+countifs(Students!$J:$J,$AE7,Students!$K:$K,$AE$2&amp;if($K7="S1","a",if($K7="S2","b","")),Students!$A:$A,AS$2)+countifs(Students!$L:$L,$AE7,Students!$M:$M,$AE$2&amp;if($K7="S1","a",if($K7="S2","b","")),Students!$A:$A,AS$2)+countifs(Students!$N:$N,$AE7,Students!$O:$O,$AE$2&amp;if($K7="S1","a",if($K7="S2","b","")),Students!$A:$A,AS$2)+countifs(Students!$P:$P,$AE7,Students!$Q:$Q,$AE$2&amp;if($K7="S1","a",if($K7="S2","b","")),Students!$A:$A,AS$2)+countifs(Students!$R:$R,$AE7,Students!$S:$S,$AE$2&amp;if($K7="S1","a",if($K7="S2","b","")),Students!$A:$A,AS$2)+countifs(Students!$T:$T,$AE7,Students!$U:$U,$AE$2&amp;if($K7="S1","a",if($K7="S2","b","")),Students!$A:$A,AS$2)+countifs(Students!$V:$V,$AE7,Students!$W:$W,$AE$2&amp;if($K7="S1","a",if($K7="S2","b","")),Students!$A:$A,AS$2)+
countifs(Students!$D:$D,$AH7,Students!$E:$E,$AH$2&amp;if($K7="S1","a",if($K7="S2","b","")),Students!$A:$A,AS$2)+countifs(Students!$F:$F,$AH7,Students!$G:$G,$AH$2&amp;if($K7="S1","a",if($K7="S2","b","")),Students!$A:$A,AS$2)+countifs(Students!$H:$H,$AH7,Students!$I:$I,$AH$2&amp;if($K7="S1","a",if($K7="S2","b","")),Students!$A:$A,AS$2)+countifs(Students!$J:$J,$AH7,Students!$K:$K,$AH$2&amp;if($K7="S1","a",if($K7="S2","b","")),Students!$A:$A,AS$2)+countifs(Students!$L:$L,$AH7,Students!$M:$M,$AH$2&amp;if($K7="S1","a",if($K7="S2","b","")),Students!$A:$A,AS$2)+countifs(Students!$N:$N,$AH7,Students!$O:$O,$AH$2&amp;if($K7="S1","a",if($K7="S2","b","")),Students!$A:$A,AS$2)+countifs(Students!$P:$P,$AH7,Students!$Q:$Q,$AH$2&amp;if($K7="S1","a",if($K7="S2","b","")),Students!$A:$A,AS$2)+countifs(Students!$R:$R,$AH7,Students!$S:$S,$AH$2&amp;if($K7="S1","a",if($K7="S2","b","")),Students!$A:$A,AS$2)+countifs(Students!$T:$T,$AH7,Students!$U:$U,$AH$2&amp;if($K7="S1","a",if($K7="S2","b","")),Students!$A:$A,AS$2)+countifs(Students!$V:$V,$AH7,Students!$W:$W,$AH$2&amp;if($K7="S1","a",if($K7="S2","b","")),Students!$A:$A,AS$2)+
countifs(Students!$D:$D,$AK7,Students!$E:$E,$AK$2&amp;if($K7="S1","a",if($K7="S2","b","")),Students!$A:$A,AS$2)+countifs(Students!$F:$F,$AK7,Students!$G:$G,$AK$2&amp;if($K7="S1","a",if($K7="S2","b","")),Students!$A:$A,AS$2)+countifs(Students!$H:$H,$AK7,Students!$I:$I,$AK$2&amp;if($K7="S1","a",if($K7="S2","b","")),Students!$A:$A,AS$2)+countifs(Students!$J:$J,$AK7,Students!$K:$K,$AK$2&amp;if($K7="S1","a",if($K7="S2","b","")),Students!$A:$A,AS$2)+countifs(Students!$L:$L,$AK7,Students!$M:$M,$AK$2&amp;if($K7="S1","a",if($K7="S2","b","")),Students!$A:$A,AS$2)+countifs(Students!$N:$N,$AK7,Students!$O:$O,$AK$2&amp;if($K7="S1","a",if($K7="S2","b","")),Students!$A:$A,AS$2)+countifs(Students!$P:$P,$AK7,Students!$Q:$Q,$AK$2&amp;if($K7="S1","a",if($K7="S2","b","")),Students!$A:$A,AS$2)+countifs(Students!$R:$R,$AK7,Students!$S:$S,$AK$2&amp;if($K7="S1","a",if($K7="S2","b","")),Students!$A:$A,AS$2)+countifs(Students!$T:$T,$AK7,Students!$U:$U,$AK$2&amp;if($K7="S1","a",if($K7="S2","b","")),Students!$A:$A,AS$2)+countifs(Students!$V:$V,$AK7,Students!$W:$W,$AK$2&amp;if($K7="S1","a",if($K7="S2","b","")),Students!$A:$A,AS$2))</f>
        <v>9</v>
      </c>
    </row>
    <row r="8">
      <c r="I8" s="45"/>
      <c r="J8" s="69">
        <v>111.0</v>
      </c>
      <c r="K8" s="70"/>
      <c r="L8" s="58" t="s">
        <v>36</v>
      </c>
      <c r="M8" s="71"/>
      <c r="N8" s="69">
        <v>2.0</v>
      </c>
      <c r="O8" s="69">
        <f>IFERROR(__xludf.DUMMYFUNCTION("3*counta((transpose(filter(P8:AM8,P8:AM8&lt;&gt;"""",isnumber(P8:AM8)=false))))"),15.0)</f>
        <v>15</v>
      </c>
      <c r="P8" s="72"/>
      <c r="Q8" s="73"/>
      <c r="R8" s="74" t="s">
        <v>22</v>
      </c>
      <c r="S8" s="75" t="s">
        <v>37</v>
      </c>
      <c r="T8" s="76">
        <v>1.0</v>
      </c>
      <c r="U8" s="77">
        <v>23.0</v>
      </c>
      <c r="V8" s="75" t="s">
        <v>38</v>
      </c>
      <c r="W8" s="75">
        <v>1.0</v>
      </c>
      <c r="X8" s="74">
        <v>21.0</v>
      </c>
      <c r="Y8" s="78"/>
      <c r="Z8" s="79"/>
      <c r="AA8" s="80" t="s">
        <v>22</v>
      </c>
      <c r="AB8" s="75" t="s">
        <v>37</v>
      </c>
      <c r="AC8" s="75">
        <v>2.0</v>
      </c>
      <c r="AD8" s="74">
        <v>24.0</v>
      </c>
      <c r="AE8" s="72"/>
      <c r="AF8" s="73"/>
      <c r="AG8" s="74" t="s">
        <v>22</v>
      </c>
      <c r="AH8" s="81" t="s">
        <v>38</v>
      </c>
      <c r="AI8" s="82">
        <v>2.0</v>
      </c>
      <c r="AJ8" s="83">
        <v>24.0</v>
      </c>
      <c r="AK8" s="84" t="s">
        <v>38</v>
      </c>
      <c r="AL8" s="82">
        <v>3.0</v>
      </c>
      <c r="AM8" s="83">
        <v>19.0</v>
      </c>
      <c r="AN8" s="85"/>
      <c r="AO8" s="52">
        <f t="shared" si="1"/>
        <v>111</v>
      </c>
      <c r="AP8" s="86">
        <f>if($L8="","",countifs(Students!$D:$D,$P8,Students!$E:$E,$P$2&amp;if($K8="S1","a",if($K8="S2","b","")),Students!$A:$A,AP$2)+countifs(Students!$F:$F,$P8,Students!$G:$G,$P$2&amp;if($K8="S1","a",if($K8="S2","b","")),Students!$A:$A,AP$2)+countifs(Students!$H:$H,$P8,Students!$I:$I,$P$2&amp;if($K8="S1","a",if($K8="S2","b","")),Students!$A:$A,AP$2)+countifs(Students!$J:$J,$P8,Students!$K:$K,$P$2&amp;if($K8="S1","a",if($K8="S2","b","")),Students!$A:$A,AP$2)+countifs(Students!$L:$L,$P8,Students!$M:$M,$P$2&amp;if($K8="S1","a",if($K8="S2","b","")),Students!$A:$A,AP$2)+countifs(Students!$N:$N,$P8,Students!$O:$O,$P$2&amp;if($K8="S1","a",if($K8="S2","b","")),Students!$A:$A,AP$2)+countifs(Students!$P:$P,$P8,Students!$Q:$Q,$P$2&amp;if($K8="S1","a",if($K8="S2","b","")),Students!$A:$A,AP$2)+countifs(Students!$R:$R,$P8,Students!$S:$S,$P$2&amp;if($K8="S1","a",if($K8="S2","b","")),Students!$A:$A,AP$2)+countifs(Students!$T:$T,$P8,Students!$U:$U,$P$2&amp;if($K8="S1","a",if($K8="S2","b","")),Students!$A:$A,AP$2)+countifs(Students!$V:$V,$P8,Students!$W:$W,$P$2&amp;if($K8="S1","a",if($K8="S2","b","")),Students!$A:$A,AP$2)+
countifs(Students!$D:$D,$S8,Students!$E:$E,$S$2&amp;if($K8="S1","a",if($K8="S2","b","")),Students!$A:$A,AP$2)+countifs(Students!$F:$F,$S8,Students!$G:$G,$S$2&amp;if($K8="S1","a",if($K8="S2","b","")),Students!$A:$A,AP$2)+countifs(Students!$H:$H,$S8,Students!$I:$I,$S$2&amp;if($K8="S1","a",if($K8="S2","b","")),Students!$A:$A,AP$2)+countifs(Students!$J:$J,$S8,Students!$K:$K,$S$2&amp;if($K8="S1","a",if($K8="S2","b","")),Students!$A:$A,AP$2)+countifs(Students!$L:$L,$S8,Students!$M:$M,$S$2&amp;if($K8="S1","a",if($K8="S2","b","")),Students!$A:$A,AP$2)+countifs(Students!$N:$N,$S8,Students!$O:$O,$S$2&amp;if($K8="S1","a",if($K8="S2","b","")),Students!$A:$A,AP$2)+countifs(Students!$P:$P,$S8,Students!$Q:$Q,$S$2&amp;if($K8="S1","a",if($K8="S2","b","")),Students!$A:$A,AP$2)+countifs(Students!$R:$R,$S8,Students!$S:$S,$S$2&amp;if($K8="S1","a",if($K8="S2","b","")),Students!$A:$A,AP$2)+countifs(Students!$T:$T,$S8,Students!$U:$U,$S$2&amp;if($K8="S1","a",if($K8="S2","b","")),Students!$A:$A,AP$2)+countifs(Students!$V:$V,$S8,Students!$W:$W,$S$2&amp;if($K8="S1","a",if($K8="S2","b","")),Students!$A:$A,AP$2)+
countifs(Students!$D:$D,$V8,Students!$E:$E,$V$2&amp;if($K8="S1","a",if($K8="S2","b","")),Students!$A:$A,AP$2)+countifs(Students!$F:$F,$V8,Students!$G:$G,$V$2&amp;if($K8="S1","a",if($K8="S2","b","")),Students!$A:$A,AP$2)+countifs(Students!$H:$H,$V8,Students!$I:$I,$V$2&amp;if($K8="S1","a",if($K8="S2","b","")),Students!$A:$A,AP$2)+countifs(Students!$J:$J,$V8,Students!$K:$K,$V$2&amp;if($K8="S1","a",if($K8="S2","b","")),Students!$A:$A,AP$2)+countifs(Students!$L:$L,$V8,Students!$M:$M,$V$2&amp;if($K8="S1","a",if($K8="S2","b","")),Students!$A:$A,AP$2)+countifs(Students!$N:$N,$V8,Students!$O:$O,$V$2&amp;if($K8="S1","a",if($K8="S2","b","")),Students!$A:$A,AP$2)+countifs(Students!$P:$P,$V8,Students!$Q:$Q,$V$2&amp;if($K8="S1","a",if($K8="S2","b","")),Students!$A:$A,AP$2)+countifs(Students!$R:$R,$V8,Students!$S:$S,$V$2&amp;if($K8="S1","a",if($K8="S2","b","")),Students!$A:$A,AP$2)+countifs(Students!$T:$T,$V8,Students!$U:$U,$V$2&amp;if($K8="S1","a",if($K8="S2","b","")),Students!$A:$A,AP$2)+countifs(Students!$V:$V,$V8,Students!$W:$W,$V$2&amp;if($K8="S1","a",if($K8="S2","b","")),Students!$A:$A,AP$2)+
countifs(Students!$D:$D,$Y8,Students!$E:$E,$Y$2&amp;if($K8="S1","a",if($K8="S2","b","")),Students!$A:$A,AP$2)+countifs(Students!$F:$F,$Y8,Students!$G:$G,$Y$2&amp;if($K8="S1","a",if($K8="S2","b","")),Students!$A:$A,AP$2)+countifs(Students!$H:$H,$Y8,Students!$I:$I,$Y$2&amp;if($K8="S1","a",if($K8="S2","b","")),Students!$A:$A,AP$2)+countifs(Students!$J:$J,$Y8,Students!$K:$K,$Y$2&amp;if($K8="S1","a",if($K8="S2","b","")),Students!$A:$A,AP$2)+countifs(Students!$L:$L,$Y8,Students!$M:$M,$Y$2&amp;if($K8="S1","a",if($K8="S2","b","")),Students!$A:$A,AP$2)+countifs(Students!$N:$N,$Y8,Students!$O:$O,$Y$2&amp;if($K8="S1","a",if($K8="S2","b","")),Students!$A:$A,AP$2)+countifs(Students!$P:$P,$Y8,Students!$Q:$Q,$Y$2&amp;if($K8="S1","a",if($K8="S2","b","")),Students!$A:$A,AP$2)+countifs(Students!$R:$R,$Y8,Students!$S:$S,$Y$2&amp;if($K8="S1","a",if($K8="S2","b","")),Students!$A:$A,AP$2)+countifs(Students!$T:$T,$Y8,Students!$U:$U,$Y$2&amp;if($K8="S1","a",if($K8="S2","b","")),Students!$A:$A,AP$2)+countifs(Students!$V:$V,$Y8,Students!$W:$W,$Y$2&amp;if($K8="S1","a",if($K8="S2","b","")),Students!$A:$A,AP$2)+
countifs(Students!$D:$D,$AB8,Students!$E:$E,$AB$2&amp;if($K8="S1","a",if($K8="S2","b","")),Students!$A:$A,AP$2)+countifs(Students!$F:$F,$AB8,Students!$G:$G,$AB$2&amp;if($K8="S1","a",if($K8="S2","b","")),Students!$A:$A,AP$2)+countifs(Students!$H:$H,$AB8,Students!$I:$I,$AB$2&amp;if($K8="S1","a",if($K8="S2","b","")),Students!$A:$A,AP$2)+countifs(Students!$J:$J,$AB8,Students!$K:$K,$AB$2&amp;if($K8="S1","a",if($K8="S2","b","")),Students!$A:$A,AP$2)+countifs(Students!$L:$L,$AB8,Students!$M:$M,$AB$2&amp;if($K8="S1","a",if($K8="S2","b","")),Students!$A:$A,AP$2)+countifs(Students!$N:$N,$AB8,Students!$O:$O,$AB$2&amp;if($K8="S1","a",if($K8="S2","b","")),Students!$A:$A,AP$2)+countifs(Students!$P:$P,$AB8,Students!$Q:$Q,$AB$2&amp;if($K8="S1","a",if($K8="S2","b","")),Students!$A:$A,AP$2)+countifs(Students!$R:$R,$AB8,Students!$S:$S,$AB$2&amp;if($K8="S1","a",if($K8="S2","b","")),Students!$A:$A,AP$2)+countifs(Students!$T:$T,$AB8,Students!$U:$U,$AB$2&amp;if($K8="S1","a",if($K8="S2","b","")),Students!$A:$A,AP$2)+countifs(Students!$V:$V,$AB8,Students!$W:$W,$AB$2&amp;if($K8="S1","a",if($K8="S2","b","")),Students!$A:$A,AP$2)+
countifs(Students!$D:$D,$AE8,Students!$E:$E,$AE$2&amp;if($K8="S1","a",if($K8="S2","b","")),Students!$A:$A,AP$2)+countifs(Students!$F:$F,$AE8,Students!$G:$G,$AE$2&amp;if($K8="S1","a",if($K8="S2","b","")),Students!$A:$A,AP$2)+countifs(Students!$H:$H,$AE8,Students!$I:$I,$AE$2&amp;if($K8="S1","a",if($K8="S2","b","")),Students!$A:$A,AP$2)+countifs(Students!$J:$J,$AE8,Students!$K:$K,$AE$2&amp;if($K8="S1","a",if($K8="S2","b","")),Students!$A:$A,AP$2)+countifs(Students!$L:$L,$AE8,Students!$M:$M,$AE$2&amp;if($K8="S1","a",if($K8="S2","b","")),Students!$A:$A,AP$2)+countifs(Students!$N:$N,$AE8,Students!$O:$O,$AE$2&amp;if($K8="S1","a",if($K8="S2","b","")),Students!$A:$A,AP$2)+countifs(Students!$P:$P,$AE8,Students!$Q:$Q,$AE$2&amp;if($K8="S1","a",if($K8="S2","b","")),Students!$A:$A,AP$2)+countifs(Students!$R:$R,$AE8,Students!$S:$S,$AE$2&amp;if($K8="S1","a",if($K8="S2","b","")),Students!$A:$A,AP$2)+countifs(Students!$T:$T,$AE8,Students!$U:$U,$AE$2&amp;if($K8="S1","a",if($K8="S2","b","")),Students!$A:$A,AP$2)+countifs(Students!$V:$V,$AE8,Students!$W:$W,$AE$2&amp;if($K8="S1","a",if($K8="S2","b","")),Students!$A:$A,AP$2)+
countifs(Students!$D:$D,$AH8,Students!$E:$E,$AH$2&amp;if($K8="S1","a",if($K8="S2","b","")),Students!$A:$A,AP$2)+countifs(Students!$F:$F,$AH8,Students!$G:$G,$AH$2&amp;if($K8="S1","a",if($K8="S2","b","")),Students!$A:$A,AP$2)+countifs(Students!$H:$H,$AH8,Students!$I:$I,$AH$2&amp;if($K8="S1","a",if($K8="S2","b","")),Students!$A:$A,AP$2)+countifs(Students!$J:$J,$AH8,Students!$K:$K,$AH$2&amp;if($K8="S1","a",if($K8="S2","b","")),Students!$A:$A,AP$2)+countifs(Students!$L:$L,$AH8,Students!$M:$M,$AH$2&amp;if($K8="S1","a",if($K8="S2","b","")),Students!$A:$A,AP$2)+countifs(Students!$N:$N,$AH8,Students!$O:$O,$AH$2&amp;if($K8="S1","a",if($K8="S2","b","")),Students!$A:$A,AP$2)+countifs(Students!$P:$P,$AH8,Students!$Q:$Q,$AH$2&amp;if($K8="S1","a",if($K8="S2","b","")),Students!$A:$A,AP$2)+countifs(Students!$R:$R,$AH8,Students!$S:$S,$AH$2&amp;if($K8="S1","a",if($K8="S2","b","")),Students!$A:$A,AP$2)+countifs(Students!$T:$T,$AH8,Students!$U:$U,$AH$2&amp;if($K8="S1","a",if($K8="S2","b","")),Students!$A:$A,AP$2)+countifs(Students!$V:$V,$AH8,Students!$W:$W,$AH$2&amp;if($K8="S1","a",if($K8="S2","b","")),Students!$A:$A,AP$2)+
countifs(Students!$D:$D,$AK8,Students!$E:$E,$AK$2&amp;if($K8="S1","a",if($K8="S2","b","")),Students!$A:$A,AP$2)+countifs(Students!$F:$F,$AK8,Students!$G:$G,$AK$2&amp;if($K8="S1","a",if($K8="S2","b","")),Students!$A:$A,AP$2)+countifs(Students!$H:$H,$AK8,Students!$I:$I,$AK$2&amp;if($K8="S1","a",if($K8="S2","b","")),Students!$A:$A,AP$2)+countifs(Students!$J:$J,$AK8,Students!$K:$K,$AK$2&amp;if($K8="S1","a",if($K8="S2","b","")),Students!$A:$A,AP$2)+countifs(Students!$L:$L,$AK8,Students!$M:$M,$AK$2&amp;if($K8="S1","a",if($K8="S2","b","")),Students!$A:$A,AP$2)+countifs(Students!$N:$N,$AK8,Students!$O:$O,$AK$2&amp;if($K8="S1","a",if($K8="S2","b","")),Students!$A:$A,AP$2)+countifs(Students!$P:$P,$AK8,Students!$Q:$Q,$AK$2&amp;if($K8="S1","a",if($K8="S2","b","")),Students!$A:$A,AP$2)+countifs(Students!$R:$R,$AK8,Students!$S:$S,$AK$2&amp;if($K8="S1","a",if($K8="S2","b","")),Students!$A:$A,AP$2)+countifs(Students!$T:$T,$AK8,Students!$U:$U,$AK$2&amp;if($K8="S1","a",if($K8="S2","b","")),Students!$A:$A,AP$2)+countifs(Students!$V:$V,$AK8,Students!$W:$W,$AK$2&amp;if($K8="S1","a",if($K8="S2","b","")),Students!$A:$A,AP$2))</f>
        <v>0</v>
      </c>
      <c r="AQ8" s="86">
        <f>if($L8="","",countifs(Students!$D:$D,$P8,Students!$E:$E,$P$2&amp;if($K8="S1","a",if($K8="S2","b","")),Students!$A:$A,AQ$2)+countifs(Students!$F:$F,$P8,Students!$G:$G,$P$2&amp;if($K8="S1","a",if($K8="S2","b","")),Students!$A:$A,AQ$2)+countifs(Students!$H:$H,$P8,Students!$I:$I,$P$2&amp;if($K8="S1","a",if($K8="S2","b","")),Students!$A:$A,AQ$2)+countifs(Students!$J:$J,$P8,Students!$K:$K,$P$2&amp;if($K8="S1","a",if($K8="S2","b","")),Students!$A:$A,AQ$2)+countifs(Students!$L:$L,$P8,Students!$M:$M,$P$2&amp;if($K8="S1","a",if($K8="S2","b","")),Students!$A:$A,AQ$2)+countifs(Students!$N:$N,$P8,Students!$O:$O,$P$2&amp;if($K8="S1","a",if($K8="S2","b","")),Students!$A:$A,AQ$2)+countifs(Students!$P:$P,$P8,Students!$Q:$Q,$P$2&amp;if($K8="S1","a",if($K8="S2","b","")),Students!$A:$A,AQ$2)+countifs(Students!$R:$R,$P8,Students!$S:$S,$P$2&amp;if($K8="S1","a",if($K8="S2","b","")),Students!$A:$A,AQ$2)+countifs(Students!$T:$T,$P8,Students!$U:$U,$P$2&amp;if($K8="S1","a",if($K8="S2","b","")),Students!$A:$A,AQ$2)+countifs(Students!$V:$V,$P8,Students!$W:$W,$P$2&amp;if($K8="S1","a",if($K8="S2","b","")),Students!$A:$A,AQ$2)+
countifs(Students!$D:$D,$S8,Students!$E:$E,$S$2&amp;if($K8="S1","a",if($K8="S2","b","")),Students!$A:$A,AQ$2)+countifs(Students!$F:$F,$S8,Students!$G:$G,$S$2&amp;if($K8="S1","a",if($K8="S2","b","")),Students!$A:$A,AQ$2)+countifs(Students!$H:$H,$S8,Students!$I:$I,$S$2&amp;if($K8="S1","a",if($K8="S2","b","")),Students!$A:$A,AQ$2)+countifs(Students!$J:$J,$S8,Students!$K:$K,$S$2&amp;if($K8="S1","a",if($K8="S2","b","")),Students!$A:$A,AQ$2)+countifs(Students!$L:$L,$S8,Students!$M:$M,$S$2&amp;if($K8="S1","a",if($K8="S2","b","")),Students!$A:$A,AQ$2)+countifs(Students!$N:$N,$S8,Students!$O:$O,$S$2&amp;if($K8="S1","a",if($K8="S2","b","")),Students!$A:$A,AQ$2)+countifs(Students!$P:$P,$S8,Students!$Q:$Q,$S$2&amp;if($K8="S1","a",if($K8="S2","b","")),Students!$A:$A,AQ$2)+countifs(Students!$R:$R,$S8,Students!$S:$S,$S$2&amp;if($K8="S1","a",if($K8="S2","b","")),Students!$A:$A,AQ$2)+countifs(Students!$T:$T,$S8,Students!$U:$U,$S$2&amp;if($K8="S1","a",if($K8="S2","b","")),Students!$A:$A,AQ$2)+countifs(Students!$V:$V,$S8,Students!$W:$W,$S$2&amp;if($K8="S1","a",if($K8="S2","b","")),Students!$A:$A,AQ$2)+
countifs(Students!$D:$D,$V8,Students!$E:$E,$V$2&amp;if($K8="S1","a",if($K8="S2","b","")),Students!$A:$A,AQ$2)+countifs(Students!$F:$F,$V8,Students!$G:$G,$V$2&amp;if($K8="S1","a",if($K8="S2","b","")),Students!$A:$A,AQ$2)+countifs(Students!$H:$H,$V8,Students!$I:$I,$V$2&amp;if($K8="S1","a",if($K8="S2","b","")),Students!$A:$A,AQ$2)+countifs(Students!$J:$J,$V8,Students!$K:$K,$V$2&amp;if($K8="S1","a",if($K8="S2","b","")),Students!$A:$A,AQ$2)+countifs(Students!$L:$L,$V8,Students!$M:$M,$V$2&amp;if($K8="S1","a",if($K8="S2","b","")),Students!$A:$A,AQ$2)+countifs(Students!$N:$N,$V8,Students!$O:$O,$V$2&amp;if($K8="S1","a",if($K8="S2","b","")),Students!$A:$A,AQ$2)+countifs(Students!$P:$P,$V8,Students!$Q:$Q,$V$2&amp;if($K8="S1","a",if($K8="S2","b","")),Students!$A:$A,AQ$2)+countifs(Students!$R:$R,$V8,Students!$S:$S,$V$2&amp;if($K8="S1","a",if($K8="S2","b","")),Students!$A:$A,AQ$2)+countifs(Students!$T:$T,$V8,Students!$U:$U,$V$2&amp;if($K8="S1","a",if($K8="S2","b","")),Students!$A:$A,AQ$2)+countifs(Students!$V:$V,$V8,Students!$W:$W,$V$2&amp;if($K8="S1","a",if($K8="S2","b","")),Students!$A:$A,AQ$2)+
countifs(Students!$D:$D,$Y8,Students!$E:$E,$Y$2&amp;if($K8="S1","a",if($K8="S2","b","")),Students!$A:$A,AQ$2)+countifs(Students!$F:$F,$Y8,Students!$G:$G,$Y$2&amp;if($K8="S1","a",if($K8="S2","b","")),Students!$A:$A,AQ$2)+countifs(Students!$H:$H,$Y8,Students!$I:$I,$Y$2&amp;if($K8="S1","a",if($K8="S2","b","")),Students!$A:$A,AQ$2)+countifs(Students!$J:$J,$Y8,Students!$K:$K,$Y$2&amp;if($K8="S1","a",if($K8="S2","b","")),Students!$A:$A,AQ$2)+countifs(Students!$L:$L,$Y8,Students!$M:$M,$Y$2&amp;if($K8="S1","a",if($K8="S2","b","")),Students!$A:$A,AQ$2)+countifs(Students!$N:$N,$Y8,Students!$O:$O,$Y$2&amp;if($K8="S1","a",if($K8="S2","b","")),Students!$A:$A,AQ$2)+countifs(Students!$P:$P,$Y8,Students!$Q:$Q,$Y$2&amp;if($K8="S1","a",if($K8="S2","b","")),Students!$A:$A,AQ$2)+countifs(Students!$R:$R,$Y8,Students!$S:$S,$Y$2&amp;if($K8="S1","a",if($K8="S2","b","")),Students!$A:$A,AQ$2)+countifs(Students!$T:$T,$Y8,Students!$U:$U,$Y$2&amp;if($K8="S1","a",if($K8="S2","b","")),Students!$A:$A,AQ$2)+countifs(Students!$V:$V,$Y8,Students!$W:$W,$Y$2&amp;if($K8="S1","a",if($K8="S2","b","")),Students!$A:$A,AQ$2)+
countifs(Students!$D:$D,$AB8,Students!$E:$E,$AB$2&amp;if($K8="S1","a",if($K8="S2","b","")),Students!$A:$A,AQ$2)+countifs(Students!$F:$F,$AB8,Students!$G:$G,$AB$2&amp;if($K8="S1","a",if($K8="S2","b","")),Students!$A:$A,AQ$2)+countifs(Students!$H:$H,$AB8,Students!$I:$I,$AB$2&amp;if($K8="S1","a",if($K8="S2","b","")),Students!$A:$A,AQ$2)+countifs(Students!$J:$J,$AB8,Students!$K:$K,$AB$2&amp;if($K8="S1","a",if($K8="S2","b","")),Students!$A:$A,AQ$2)+countifs(Students!$L:$L,$AB8,Students!$M:$M,$AB$2&amp;if($K8="S1","a",if($K8="S2","b","")),Students!$A:$A,AQ$2)+countifs(Students!$N:$N,$AB8,Students!$O:$O,$AB$2&amp;if($K8="S1","a",if($K8="S2","b","")),Students!$A:$A,AQ$2)+countifs(Students!$P:$P,$AB8,Students!$Q:$Q,$AB$2&amp;if($K8="S1","a",if($K8="S2","b","")),Students!$A:$A,AQ$2)+countifs(Students!$R:$R,$AB8,Students!$S:$S,$AB$2&amp;if($K8="S1","a",if($K8="S2","b","")),Students!$A:$A,AQ$2)+countifs(Students!$T:$T,$AB8,Students!$U:$U,$AB$2&amp;if($K8="S1","a",if($K8="S2","b","")),Students!$A:$A,AQ$2)+countifs(Students!$V:$V,$AB8,Students!$W:$W,$AB$2&amp;if($K8="S1","a",if($K8="S2","b","")),Students!$A:$A,AQ$2)+
countifs(Students!$D:$D,$AE8,Students!$E:$E,$AE$2&amp;if($K8="S1","a",if($K8="S2","b","")),Students!$A:$A,AQ$2)+countifs(Students!$F:$F,$AE8,Students!$G:$G,$AE$2&amp;if($K8="S1","a",if($K8="S2","b","")),Students!$A:$A,AQ$2)+countifs(Students!$H:$H,$AE8,Students!$I:$I,$AE$2&amp;if($K8="S1","a",if($K8="S2","b","")),Students!$A:$A,AQ$2)+countifs(Students!$J:$J,$AE8,Students!$K:$K,$AE$2&amp;if($K8="S1","a",if($K8="S2","b","")),Students!$A:$A,AQ$2)+countifs(Students!$L:$L,$AE8,Students!$M:$M,$AE$2&amp;if($K8="S1","a",if($K8="S2","b","")),Students!$A:$A,AQ$2)+countifs(Students!$N:$N,$AE8,Students!$O:$O,$AE$2&amp;if($K8="S1","a",if($K8="S2","b","")),Students!$A:$A,AQ$2)+countifs(Students!$P:$P,$AE8,Students!$Q:$Q,$AE$2&amp;if($K8="S1","a",if($K8="S2","b","")),Students!$A:$A,AQ$2)+countifs(Students!$R:$R,$AE8,Students!$S:$S,$AE$2&amp;if($K8="S1","a",if($K8="S2","b","")),Students!$A:$A,AQ$2)+countifs(Students!$T:$T,$AE8,Students!$U:$U,$AE$2&amp;if($K8="S1","a",if($K8="S2","b","")),Students!$A:$A,AQ$2)+countifs(Students!$V:$V,$AE8,Students!$W:$W,$AE$2&amp;if($K8="S1","a",if($K8="S2","b","")),Students!$A:$A,AQ$2)+
countifs(Students!$D:$D,$AH8,Students!$E:$E,$AH$2&amp;if($K8="S1","a",if($K8="S2","b","")),Students!$A:$A,AQ$2)+countifs(Students!$F:$F,$AH8,Students!$G:$G,$AH$2&amp;if($K8="S1","a",if($K8="S2","b","")),Students!$A:$A,AQ$2)+countifs(Students!$H:$H,$AH8,Students!$I:$I,$AH$2&amp;if($K8="S1","a",if($K8="S2","b","")),Students!$A:$A,AQ$2)+countifs(Students!$J:$J,$AH8,Students!$K:$K,$AH$2&amp;if($K8="S1","a",if($K8="S2","b","")),Students!$A:$A,AQ$2)+countifs(Students!$L:$L,$AH8,Students!$M:$M,$AH$2&amp;if($K8="S1","a",if($K8="S2","b","")),Students!$A:$A,AQ$2)+countifs(Students!$N:$N,$AH8,Students!$O:$O,$AH$2&amp;if($K8="S1","a",if($K8="S2","b","")),Students!$A:$A,AQ$2)+countifs(Students!$P:$P,$AH8,Students!$Q:$Q,$AH$2&amp;if($K8="S1","a",if($K8="S2","b","")),Students!$A:$A,AQ$2)+countifs(Students!$R:$R,$AH8,Students!$S:$S,$AH$2&amp;if($K8="S1","a",if($K8="S2","b","")),Students!$A:$A,AQ$2)+countifs(Students!$T:$T,$AH8,Students!$U:$U,$AH$2&amp;if($K8="S1","a",if($K8="S2","b","")),Students!$A:$A,AQ$2)+countifs(Students!$V:$V,$AH8,Students!$W:$W,$AH$2&amp;if($K8="S1","a",if($K8="S2","b","")),Students!$A:$A,AQ$2)+
countifs(Students!$D:$D,$AK8,Students!$E:$E,$AK$2&amp;if($K8="S1","a",if($K8="S2","b","")),Students!$A:$A,AQ$2)+countifs(Students!$F:$F,$AK8,Students!$G:$G,$AK$2&amp;if($K8="S1","a",if($K8="S2","b","")),Students!$A:$A,AQ$2)+countifs(Students!$H:$H,$AK8,Students!$I:$I,$AK$2&amp;if($K8="S1","a",if($K8="S2","b","")),Students!$A:$A,AQ$2)+countifs(Students!$J:$J,$AK8,Students!$K:$K,$AK$2&amp;if($K8="S1","a",if($K8="S2","b","")),Students!$A:$A,AQ$2)+countifs(Students!$L:$L,$AK8,Students!$M:$M,$AK$2&amp;if($K8="S1","a",if($K8="S2","b","")),Students!$A:$A,AQ$2)+countifs(Students!$N:$N,$AK8,Students!$O:$O,$AK$2&amp;if($K8="S1","a",if($K8="S2","b","")),Students!$A:$A,AQ$2)+countifs(Students!$P:$P,$AK8,Students!$Q:$Q,$AK$2&amp;if($K8="S1","a",if($K8="S2","b","")),Students!$A:$A,AQ$2)+countifs(Students!$R:$R,$AK8,Students!$S:$S,$AK$2&amp;if($K8="S1","a",if($K8="S2","b","")),Students!$A:$A,AQ$2)+countifs(Students!$T:$T,$AK8,Students!$U:$U,$AK$2&amp;if($K8="S1","a",if($K8="S2","b","")),Students!$A:$A,AQ$2)+countifs(Students!$V:$V,$AK8,Students!$W:$W,$AK$2&amp;if($K8="S1","a",if($K8="S2","b","")),Students!$A:$A,AQ$2))</f>
        <v>47</v>
      </c>
      <c r="AR8" s="86">
        <f>if($L8="","",countifs(Students!$D:$D,$P8,Students!$E:$E,$P$2&amp;if($K8="S1","a",if($K8="S2","b","")),Students!$A:$A,AR$2)+countifs(Students!$F:$F,$P8,Students!$G:$G,$P$2&amp;if($K8="S1","a",if($K8="S2","b","")),Students!$A:$A,AR$2)+countifs(Students!$H:$H,$P8,Students!$I:$I,$P$2&amp;if($K8="S1","a",if($K8="S2","b","")),Students!$A:$A,AR$2)+countifs(Students!$J:$J,$P8,Students!$K:$K,$P$2&amp;if($K8="S1","a",if($K8="S2","b","")),Students!$A:$A,AR$2)+countifs(Students!$L:$L,$P8,Students!$M:$M,$P$2&amp;if($K8="S1","a",if($K8="S2","b","")),Students!$A:$A,AR$2)+countifs(Students!$N:$N,$P8,Students!$O:$O,$P$2&amp;if($K8="S1","a",if($K8="S2","b","")),Students!$A:$A,AR$2)+countifs(Students!$P:$P,$P8,Students!$Q:$Q,$P$2&amp;if($K8="S1","a",if($K8="S2","b","")),Students!$A:$A,AR$2)+countifs(Students!$R:$R,$P8,Students!$S:$S,$P$2&amp;if($K8="S1","a",if($K8="S2","b","")),Students!$A:$A,AR$2)+countifs(Students!$T:$T,$P8,Students!$U:$U,$P$2&amp;if($K8="S1","a",if($K8="S2","b","")),Students!$A:$A,AR$2)+countifs(Students!$V:$V,$P8,Students!$W:$W,$P$2&amp;if($K8="S1","a",if($K8="S2","b","")),Students!$A:$A,AR$2)+
countifs(Students!$D:$D,$S8,Students!$E:$E,$S$2&amp;if($K8="S1","a",if($K8="S2","b","")),Students!$A:$A,AR$2)+countifs(Students!$F:$F,$S8,Students!$G:$G,$S$2&amp;if($K8="S1","a",if($K8="S2","b","")),Students!$A:$A,AR$2)+countifs(Students!$H:$H,$S8,Students!$I:$I,$S$2&amp;if($K8="S1","a",if($K8="S2","b","")),Students!$A:$A,AR$2)+countifs(Students!$J:$J,$S8,Students!$K:$K,$S$2&amp;if($K8="S1","a",if($K8="S2","b","")),Students!$A:$A,AR$2)+countifs(Students!$L:$L,$S8,Students!$M:$M,$S$2&amp;if($K8="S1","a",if($K8="S2","b","")),Students!$A:$A,AR$2)+countifs(Students!$N:$N,$S8,Students!$O:$O,$S$2&amp;if($K8="S1","a",if($K8="S2","b","")),Students!$A:$A,AR$2)+countifs(Students!$P:$P,$S8,Students!$Q:$Q,$S$2&amp;if($K8="S1","a",if($K8="S2","b","")),Students!$A:$A,AR$2)+countifs(Students!$R:$R,$S8,Students!$S:$S,$S$2&amp;if($K8="S1","a",if($K8="S2","b","")),Students!$A:$A,AR$2)+countifs(Students!$T:$T,$S8,Students!$U:$U,$S$2&amp;if($K8="S1","a",if($K8="S2","b","")),Students!$A:$A,AR$2)+countifs(Students!$V:$V,$S8,Students!$W:$W,$S$2&amp;if($K8="S1","a",if($K8="S2","b","")),Students!$A:$A,AR$2)+
countifs(Students!$D:$D,$V8,Students!$E:$E,$V$2&amp;if($K8="S1","a",if($K8="S2","b","")),Students!$A:$A,AR$2)+countifs(Students!$F:$F,$V8,Students!$G:$G,$V$2&amp;if($K8="S1","a",if($K8="S2","b","")),Students!$A:$A,AR$2)+countifs(Students!$H:$H,$V8,Students!$I:$I,$V$2&amp;if($K8="S1","a",if($K8="S2","b","")),Students!$A:$A,AR$2)+countifs(Students!$J:$J,$V8,Students!$K:$K,$V$2&amp;if($K8="S1","a",if($K8="S2","b","")),Students!$A:$A,AR$2)+countifs(Students!$L:$L,$V8,Students!$M:$M,$V$2&amp;if($K8="S1","a",if($K8="S2","b","")),Students!$A:$A,AR$2)+countifs(Students!$N:$N,$V8,Students!$O:$O,$V$2&amp;if($K8="S1","a",if($K8="S2","b","")),Students!$A:$A,AR$2)+countifs(Students!$P:$P,$V8,Students!$Q:$Q,$V$2&amp;if($K8="S1","a",if($K8="S2","b","")),Students!$A:$A,AR$2)+countifs(Students!$R:$R,$V8,Students!$S:$S,$V$2&amp;if($K8="S1","a",if($K8="S2","b","")),Students!$A:$A,AR$2)+countifs(Students!$T:$T,$V8,Students!$U:$U,$V$2&amp;if($K8="S1","a",if($K8="S2","b","")),Students!$A:$A,AR$2)+countifs(Students!$V:$V,$V8,Students!$W:$W,$V$2&amp;if($K8="S1","a",if($K8="S2","b","")),Students!$A:$A,AR$2)+
countifs(Students!$D:$D,$Y8,Students!$E:$E,$Y$2&amp;if($K8="S1","a",if($K8="S2","b","")),Students!$A:$A,AR$2)+countifs(Students!$F:$F,$Y8,Students!$G:$G,$Y$2&amp;if($K8="S1","a",if($K8="S2","b","")),Students!$A:$A,AR$2)+countifs(Students!$H:$H,$Y8,Students!$I:$I,$Y$2&amp;if($K8="S1","a",if($K8="S2","b","")),Students!$A:$A,AR$2)+countifs(Students!$J:$J,$Y8,Students!$K:$K,$Y$2&amp;if($K8="S1","a",if($K8="S2","b","")),Students!$A:$A,AR$2)+countifs(Students!$L:$L,$Y8,Students!$M:$M,$Y$2&amp;if($K8="S1","a",if($K8="S2","b","")),Students!$A:$A,AR$2)+countifs(Students!$N:$N,$Y8,Students!$O:$O,$Y$2&amp;if($K8="S1","a",if($K8="S2","b","")),Students!$A:$A,AR$2)+countifs(Students!$P:$P,$Y8,Students!$Q:$Q,$Y$2&amp;if($K8="S1","a",if($K8="S2","b","")),Students!$A:$A,AR$2)+countifs(Students!$R:$R,$Y8,Students!$S:$S,$Y$2&amp;if($K8="S1","a",if($K8="S2","b","")),Students!$A:$A,AR$2)+countifs(Students!$T:$T,$Y8,Students!$U:$U,$Y$2&amp;if($K8="S1","a",if($K8="S2","b","")),Students!$A:$A,AR$2)+countifs(Students!$V:$V,$Y8,Students!$W:$W,$Y$2&amp;if($K8="S1","a",if($K8="S2","b","")),Students!$A:$A,AR$2)+
countifs(Students!$D:$D,$AB8,Students!$E:$E,$AB$2&amp;if($K8="S1","a",if($K8="S2","b","")),Students!$A:$A,AR$2)+countifs(Students!$F:$F,$AB8,Students!$G:$G,$AB$2&amp;if($K8="S1","a",if($K8="S2","b","")),Students!$A:$A,AR$2)+countifs(Students!$H:$H,$AB8,Students!$I:$I,$AB$2&amp;if($K8="S1","a",if($K8="S2","b","")),Students!$A:$A,AR$2)+countifs(Students!$J:$J,$AB8,Students!$K:$K,$AB$2&amp;if($K8="S1","a",if($K8="S2","b","")),Students!$A:$A,AR$2)+countifs(Students!$L:$L,$AB8,Students!$M:$M,$AB$2&amp;if($K8="S1","a",if($K8="S2","b","")),Students!$A:$A,AR$2)+countifs(Students!$N:$N,$AB8,Students!$O:$O,$AB$2&amp;if($K8="S1","a",if($K8="S2","b","")),Students!$A:$A,AR$2)+countifs(Students!$P:$P,$AB8,Students!$Q:$Q,$AB$2&amp;if($K8="S1","a",if($K8="S2","b","")),Students!$A:$A,AR$2)+countifs(Students!$R:$R,$AB8,Students!$S:$S,$AB$2&amp;if($K8="S1","a",if($K8="S2","b","")),Students!$A:$A,AR$2)+countifs(Students!$T:$T,$AB8,Students!$U:$U,$AB$2&amp;if($K8="S1","a",if($K8="S2","b","")),Students!$A:$A,AR$2)+countifs(Students!$V:$V,$AB8,Students!$W:$W,$AB$2&amp;if($K8="S1","a",if($K8="S2","b","")),Students!$A:$A,AR$2)+
countifs(Students!$D:$D,$AE8,Students!$E:$E,$AE$2&amp;if($K8="S1","a",if($K8="S2","b","")),Students!$A:$A,AR$2)+countifs(Students!$F:$F,$AE8,Students!$G:$G,$AE$2&amp;if($K8="S1","a",if($K8="S2","b","")),Students!$A:$A,AR$2)+countifs(Students!$H:$H,$AE8,Students!$I:$I,$AE$2&amp;if($K8="S1","a",if($K8="S2","b","")),Students!$A:$A,AR$2)+countifs(Students!$J:$J,$AE8,Students!$K:$K,$AE$2&amp;if($K8="S1","a",if($K8="S2","b","")),Students!$A:$A,AR$2)+countifs(Students!$L:$L,$AE8,Students!$M:$M,$AE$2&amp;if($K8="S1","a",if($K8="S2","b","")),Students!$A:$A,AR$2)+countifs(Students!$N:$N,$AE8,Students!$O:$O,$AE$2&amp;if($K8="S1","a",if($K8="S2","b","")),Students!$A:$A,AR$2)+countifs(Students!$P:$P,$AE8,Students!$Q:$Q,$AE$2&amp;if($K8="S1","a",if($K8="S2","b","")),Students!$A:$A,AR$2)+countifs(Students!$R:$R,$AE8,Students!$S:$S,$AE$2&amp;if($K8="S1","a",if($K8="S2","b","")),Students!$A:$A,AR$2)+countifs(Students!$T:$T,$AE8,Students!$U:$U,$AE$2&amp;if($K8="S1","a",if($K8="S2","b","")),Students!$A:$A,AR$2)+countifs(Students!$V:$V,$AE8,Students!$W:$W,$AE$2&amp;if($K8="S1","a",if($K8="S2","b","")),Students!$A:$A,AR$2)+
countifs(Students!$D:$D,$AH8,Students!$E:$E,$AH$2&amp;if($K8="S1","a",if($K8="S2","b","")),Students!$A:$A,AR$2)+countifs(Students!$F:$F,$AH8,Students!$G:$G,$AH$2&amp;if($K8="S1","a",if($K8="S2","b","")),Students!$A:$A,AR$2)+countifs(Students!$H:$H,$AH8,Students!$I:$I,$AH$2&amp;if($K8="S1","a",if($K8="S2","b","")),Students!$A:$A,AR$2)+countifs(Students!$J:$J,$AH8,Students!$K:$K,$AH$2&amp;if($K8="S1","a",if($K8="S2","b","")),Students!$A:$A,AR$2)+countifs(Students!$L:$L,$AH8,Students!$M:$M,$AH$2&amp;if($K8="S1","a",if($K8="S2","b","")),Students!$A:$A,AR$2)+countifs(Students!$N:$N,$AH8,Students!$O:$O,$AH$2&amp;if($K8="S1","a",if($K8="S2","b","")),Students!$A:$A,AR$2)+countifs(Students!$P:$P,$AH8,Students!$Q:$Q,$AH$2&amp;if($K8="S1","a",if($K8="S2","b","")),Students!$A:$A,AR$2)+countifs(Students!$R:$R,$AH8,Students!$S:$S,$AH$2&amp;if($K8="S1","a",if($K8="S2","b","")),Students!$A:$A,AR$2)+countifs(Students!$T:$T,$AH8,Students!$U:$U,$AH$2&amp;if($K8="S1","a",if($K8="S2","b","")),Students!$A:$A,AR$2)+countifs(Students!$V:$V,$AH8,Students!$W:$W,$AH$2&amp;if($K8="S1","a",if($K8="S2","b","")),Students!$A:$A,AR$2)+
countifs(Students!$D:$D,$AK8,Students!$E:$E,$AK$2&amp;if($K8="S1","a",if($K8="S2","b","")),Students!$A:$A,AR$2)+countifs(Students!$F:$F,$AK8,Students!$G:$G,$AK$2&amp;if($K8="S1","a",if($K8="S2","b","")),Students!$A:$A,AR$2)+countifs(Students!$H:$H,$AK8,Students!$I:$I,$AK$2&amp;if($K8="S1","a",if($K8="S2","b","")),Students!$A:$A,AR$2)+countifs(Students!$J:$J,$AK8,Students!$K:$K,$AK$2&amp;if($K8="S1","a",if($K8="S2","b","")),Students!$A:$A,AR$2)+countifs(Students!$L:$L,$AK8,Students!$M:$M,$AK$2&amp;if($K8="S1","a",if($K8="S2","b","")),Students!$A:$A,AR$2)+countifs(Students!$N:$N,$AK8,Students!$O:$O,$AK$2&amp;if($K8="S1","a",if($K8="S2","b","")),Students!$A:$A,AR$2)+countifs(Students!$P:$P,$AK8,Students!$Q:$Q,$AK$2&amp;if($K8="S1","a",if($K8="S2","b","")),Students!$A:$A,AR$2)+countifs(Students!$R:$R,$AK8,Students!$S:$S,$AK$2&amp;if($K8="S1","a",if($K8="S2","b","")),Students!$A:$A,AR$2)+countifs(Students!$T:$T,$AK8,Students!$U:$U,$AK$2&amp;if($K8="S1","a",if($K8="S2","b","")),Students!$A:$A,AR$2)+countifs(Students!$V:$V,$AK8,Students!$W:$W,$AK$2&amp;if($K8="S1","a",if($K8="S2","b","")),Students!$A:$A,AR$2))</f>
        <v>10</v>
      </c>
      <c r="AS8" s="86">
        <f>if($L8="","",countifs(Students!$D:$D,$P8,Students!$E:$E,$P$2&amp;if($K8="S1","a",if($K8="S2","b","")),Students!$A:$A,AS$2)+countifs(Students!$F:$F,$P8,Students!$G:$G,$P$2&amp;if($K8="S1","a",if($K8="S2","b","")),Students!$A:$A,AS$2)+countifs(Students!$H:$H,$P8,Students!$I:$I,$P$2&amp;if($K8="S1","a",if($K8="S2","b","")),Students!$A:$A,AS$2)+countifs(Students!$J:$J,$P8,Students!$K:$K,$P$2&amp;if($K8="S1","a",if($K8="S2","b","")),Students!$A:$A,AS$2)+countifs(Students!$L:$L,$P8,Students!$M:$M,$P$2&amp;if($K8="S1","a",if($K8="S2","b","")),Students!$A:$A,AS$2)+countifs(Students!$N:$N,$P8,Students!$O:$O,$P$2&amp;if($K8="S1","a",if($K8="S2","b","")),Students!$A:$A,AS$2)+countifs(Students!$P:$P,$P8,Students!$Q:$Q,$P$2&amp;if($K8="S1","a",if($K8="S2","b","")),Students!$A:$A,AS$2)+countifs(Students!$R:$R,$P8,Students!$S:$S,$P$2&amp;if($K8="S1","a",if($K8="S2","b","")),Students!$A:$A,AS$2)+countifs(Students!$T:$T,$P8,Students!$U:$U,$P$2&amp;if($K8="S1","a",if($K8="S2","b","")),Students!$A:$A,AS$2)+countifs(Students!$V:$V,$P8,Students!$W:$W,$P$2&amp;if($K8="S1","a",if($K8="S2","b","")),Students!$A:$A,AS$2)+
countifs(Students!$D:$D,$S8,Students!$E:$E,$S$2&amp;if($K8="S1","a",if($K8="S2","b","")),Students!$A:$A,AS$2)+countifs(Students!$F:$F,$S8,Students!$G:$G,$S$2&amp;if($K8="S1","a",if($K8="S2","b","")),Students!$A:$A,AS$2)+countifs(Students!$H:$H,$S8,Students!$I:$I,$S$2&amp;if($K8="S1","a",if($K8="S2","b","")),Students!$A:$A,AS$2)+countifs(Students!$J:$J,$S8,Students!$K:$K,$S$2&amp;if($K8="S1","a",if($K8="S2","b","")),Students!$A:$A,AS$2)+countifs(Students!$L:$L,$S8,Students!$M:$M,$S$2&amp;if($K8="S1","a",if($K8="S2","b","")),Students!$A:$A,AS$2)+countifs(Students!$N:$N,$S8,Students!$O:$O,$S$2&amp;if($K8="S1","a",if($K8="S2","b","")),Students!$A:$A,AS$2)+countifs(Students!$P:$P,$S8,Students!$Q:$Q,$S$2&amp;if($K8="S1","a",if($K8="S2","b","")),Students!$A:$A,AS$2)+countifs(Students!$R:$R,$S8,Students!$S:$S,$S$2&amp;if($K8="S1","a",if($K8="S2","b","")),Students!$A:$A,AS$2)+countifs(Students!$T:$T,$S8,Students!$U:$U,$S$2&amp;if($K8="S1","a",if($K8="S2","b","")),Students!$A:$A,AS$2)+countifs(Students!$V:$V,$S8,Students!$W:$W,$S$2&amp;if($K8="S1","a",if($K8="S2","b","")),Students!$A:$A,AS$2)+
countifs(Students!$D:$D,$V8,Students!$E:$E,$V$2&amp;if($K8="S1","a",if($K8="S2","b","")),Students!$A:$A,AS$2)+countifs(Students!$F:$F,$V8,Students!$G:$G,$V$2&amp;if($K8="S1","a",if($K8="S2","b","")),Students!$A:$A,AS$2)+countifs(Students!$H:$H,$V8,Students!$I:$I,$V$2&amp;if($K8="S1","a",if($K8="S2","b","")),Students!$A:$A,AS$2)+countifs(Students!$J:$J,$V8,Students!$K:$K,$V$2&amp;if($K8="S1","a",if($K8="S2","b","")),Students!$A:$A,AS$2)+countifs(Students!$L:$L,$V8,Students!$M:$M,$V$2&amp;if($K8="S1","a",if($K8="S2","b","")),Students!$A:$A,AS$2)+countifs(Students!$N:$N,$V8,Students!$O:$O,$V$2&amp;if($K8="S1","a",if($K8="S2","b","")),Students!$A:$A,AS$2)+countifs(Students!$P:$P,$V8,Students!$Q:$Q,$V$2&amp;if($K8="S1","a",if($K8="S2","b","")),Students!$A:$A,AS$2)+countifs(Students!$R:$R,$V8,Students!$S:$S,$V$2&amp;if($K8="S1","a",if($K8="S2","b","")),Students!$A:$A,AS$2)+countifs(Students!$T:$T,$V8,Students!$U:$U,$V$2&amp;if($K8="S1","a",if($K8="S2","b","")),Students!$A:$A,AS$2)+countifs(Students!$V:$V,$V8,Students!$W:$W,$V$2&amp;if($K8="S1","a",if($K8="S2","b","")),Students!$A:$A,AS$2)+
countifs(Students!$D:$D,$Y8,Students!$E:$E,$Y$2&amp;if($K8="S1","a",if($K8="S2","b","")),Students!$A:$A,AS$2)+countifs(Students!$F:$F,$Y8,Students!$G:$G,$Y$2&amp;if($K8="S1","a",if($K8="S2","b","")),Students!$A:$A,AS$2)+countifs(Students!$H:$H,$Y8,Students!$I:$I,$Y$2&amp;if($K8="S1","a",if($K8="S2","b","")),Students!$A:$A,AS$2)+countifs(Students!$J:$J,$Y8,Students!$K:$K,$Y$2&amp;if($K8="S1","a",if($K8="S2","b","")),Students!$A:$A,AS$2)+countifs(Students!$L:$L,$Y8,Students!$M:$M,$Y$2&amp;if($K8="S1","a",if($K8="S2","b","")),Students!$A:$A,AS$2)+countifs(Students!$N:$N,$Y8,Students!$O:$O,$Y$2&amp;if($K8="S1","a",if($K8="S2","b","")),Students!$A:$A,AS$2)+countifs(Students!$P:$P,$Y8,Students!$Q:$Q,$Y$2&amp;if($K8="S1","a",if($K8="S2","b","")),Students!$A:$A,AS$2)+countifs(Students!$R:$R,$Y8,Students!$S:$S,$Y$2&amp;if($K8="S1","a",if($K8="S2","b","")),Students!$A:$A,AS$2)+countifs(Students!$T:$T,$Y8,Students!$U:$U,$Y$2&amp;if($K8="S1","a",if($K8="S2","b","")),Students!$A:$A,AS$2)+countifs(Students!$V:$V,$Y8,Students!$W:$W,$Y$2&amp;if($K8="S1","a",if($K8="S2","b","")),Students!$A:$A,AS$2)+
countifs(Students!$D:$D,$AB8,Students!$E:$E,$AB$2&amp;if($K8="S1","a",if($K8="S2","b","")),Students!$A:$A,AS$2)+countifs(Students!$F:$F,$AB8,Students!$G:$G,$AB$2&amp;if($K8="S1","a",if($K8="S2","b","")),Students!$A:$A,AS$2)+countifs(Students!$H:$H,$AB8,Students!$I:$I,$AB$2&amp;if($K8="S1","a",if($K8="S2","b","")),Students!$A:$A,AS$2)+countifs(Students!$J:$J,$AB8,Students!$K:$K,$AB$2&amp;if($K8="S1","a",if($K8="S2","b","")),Students!$A:$A,AS$2)+countifs(Students!$L:$L,$AB8,Students!$M:$M,$AB$2&amp;if($K8="S1","a",if($K8="S2","b","")),Students!$A:$A,AS$2)+countifs(Students!$N:$N,$AB8,Students!$O:$O,$AB$2&amp;if($K8="S1","a",if($K8="S2","b","")),Students!$A:$A,AS$2)+countifs(Students!$P:$P,$AB8,Students!$Q:$Q,$AB$2&amp;if($K8="S1","a",if($K8="S2","b","")),Students!$A:$A,AS$2)+countifs(Students!$R:$R,$AB8,Students!$S:$S,$AB$2&amp;if($K8="S1","a",if($K8="S2","b","")),Students!$A:$A,AS$2)+countifs(Students!$T:$T,$AB8,Students!$U:$U,$AB$2&amp;if($K8="S1","a",if($K8="S2","b","")),Students!$A:$A,AS$2)+countifs(Students!$V:$V,$AB8,Students!$W:$W,$AB$2&amp;if($K8="S1","a",if($K8="S2","b","")),Students!$A:$A,AS$2)+
countifs(Students!$D:$D,$AE8,Students!$E:$E,$AE$2&amp;if($K8="S1","a",if($K8="S2","b","")),Students!$A:$A,AS$2)+countifs(Students!$F:$F,$AE8,Students!$G:$G,$AE$2&amp;if($K8="S1","a",if($K8="S2","b","")),Students!$A:$A,AS$2)+countifs(Students!$H:$H,$AE8,Students!$I:$I,$AE$2&amp;if($K8="S1","a",if($K8="S2","b","")),Students!$A:$A,AS$2)+countifs(Students!$J:$J,$AE8,Students!$K:$K,$AE$2&amp;if($K8="S1","a",if($K8="S2","b","")),Students!$A:$A,AS$2)+countifs(Students!$L:$L,$AE8,Students!$M:$M,$AE$2&amp;if($K8="S1","a",if($K8="S2","b","")),Students!$A:$A,AS$2)+countifs(Students!$N:$N,$AE8,Students!$O:$O,$AE$2&amp;if($K8="S1","a",if($K8="S2","b","")),Students!$A:$A,AS$2)+countifs(Students!$P:$P,$AE8,Students!$Q:$Q,$AE$2&amp;if($K8="S1","a",if($K8="S2","b","")),Students!$A:$A,AS$2)+countifs(Students!$R:$R,$AE8,Students!$S:$S,$AE$2&amp;if($K8="S1","a",if($K8="S2","b","")),Students!$A:$A,AS$2)+countifs(Students!$T:$T,$AE8,Students!$U:$U,$AE$2&amp;if($K8="S1","a",if($K8="S2","b","")),Students!$A:$A,AS$2)+countifs(Students!$V:$V,$AE8,Students!$W:$W,$AE$2&amp;if($K8="S1","a",if($K8="S2","b","")),Students!$A:$A,AS$2)+
countifs(Students!$D:$D,$AH8,Students!$E:$E,$AH$2&amp;if($K8="S1","a",if($K8="S2","b","")),Students!$A:$A,AS$2)+countifs(Students!$F:$F,$AH8,Students!$G:$G,$AH$2&amp;if($K8="S1","a",if($K8="S2","b","")),Students!$A:$A,AS$2)+countifs(Students!$H:$H,$AH8,Students!$I:$I,$AH$2&amp;if($K8="S1","a",if($K8="S2","b","")),Students!$A:$A,AS$2)+countifs(Students!$J:$J,$AH8,Students!$K:$K,$AH$2&amp;if($K8="S1","a",if($K8="S2","b","")),Students!$A:$A,AS$2)+countifs(Students!$L:$L,$AH8,Students!$M:$M,$AH$2&amp;if($K8="S1","a",if($K8="S2","b","")),Students!$A:$A,AS$2)+countifs(Students!$N:$N,$AH8,Students!$O:$O,$AH$2&amp;if($K8="S1","a",if($K8="S2","b","")),Students!$A:$A,AS$2)+countifs(Students!$P:$P,$AH8,Students!$Q:$Q,$AH$2&amp;if($K8="S1","a",if($K8="S2","b","")),Students!$A:$A,AS$2)+countifs(Students!$R:$R,$AH8,Students!$S:$S,$AH$2&amp;if($K8="S1","a",if($K8="S2","b","")),Students!$A:$A,AS$2)+countifs(Students!$T:$T,$AH8,Students!$U:$U,$AH$2&amp;if($K8="S1","a",if($K8="S2","b","")),Students!$A:$A,AS$2)+countifs(Students!$V:$V,$AH8,Students!$W:$W,$AH$2&amp;if($K8="S1","a",if($K8="S2","b","")),Students!$A:$A,AS$2)+
countifs(Students!$D:$D,$AK8,Students!$E:$E,$AK$2&amp;if($K8="S1","a",if($K8="S2","b","")),Students!$A:$A,AS$2)+countifs(Students!$F:$F,$AK8,Students!$G:$G,$AK$2&amp;if($K8="S1","a",if($K8="S2","b","")),Students!$A:$A,AS$2)+countifs(Students!$H:$H,$AK8,Students!$I:$I,$AK$2&amp;if($K8="S1","a",if($K8="S2","b","")),Students!$A:$A,AS$2)+countifs(Students!$J:$J,$AK8,Students!$K:$K,$AK$2&amp;if($K8="S1","a",if($K8="S2","b","")),Students!$A:$A,AS$2)+countifs(Students!$L:$L,$AK8,Students!$M:$M,$AK$2&amp;if($K8="S1","a",if($K8="S2","b","")),Students!$A:$A,AS$2)+countifs(Students!$N:$N,$AK8,Students!$O:$O,$AK$2&amp;if($K8="S1","a",if($K8="S2","b","")),Students!$A:$A,AS$2)+countifs(Students!$P:$P,$AK8,Students!$Q:$Q,$AK$2&amp;if($K8="S1","a",if($K8="S2","b","")),Students!$A:$A,AS$2)+countifs(Students!$R:$R,$AK8,Students!$S:$S,$AK$2&amp;if($K8="S1","a",if($K8="S2","b","")),Students!$A:$A,AS$2)+countifs(Students!$T:$T,$AK8,Students!$U:$U,$AK$2&amp;if($K8="S1","a",if($K8="S2","b","")),Students!$A:$A,AS$2)+countifs(Students!$V:$V,$AK8,Students!$W:$W,$AK$2&amp;if($K8="S1","a",if($K8="S2","b","")),Students!$A:$A,AS$2))</f>
        <v>54</v>
      </c>
    </row>
    <row r="9">
      <c r="I9" s="45"/>
      <c r="J9" s="87">
        <v>99.0</v>
      </c>
      <c r="K9" s="88"/>
      <c r="L9" s="58" t="s">
        <v>39</v>
      </c>
      <c r="M9" s="89"/>
      <c r="N9" s="87">
        <v>2.0</v>
      </c>
      <c r="O9" s="87"/>
      <c r="P9" s="90" t="s">
        <v>40</v>
      </c>
      <c r="Q9" s="91">
        <v>1.0</v>
      </c>
      <c r="R9" s="92">
        <v>22.0</v>
      </c>
      <c r="S9" s="91" t="s">
        <v>41</v>
      </c>
      <c r="T9" s="76">
        <v>1.0</v>
      </c>
      <c r="U9" s="77">
        <v>21.0</v>
      </c>
      <c r="V9" s="91" t="s">
        <v>41</v>
      </c>
      <c r="W9" s="91">
        <v>2.0</v>
      </c>
      <c r="X9" s="92">
        <v>13.0</v>
      </c>
      <c r="Y9" s="93"/>
      <c r="Z9" s="94"/>
      <c r="AA9" s="95" t="s">
        <v>22</v>
      </c>
      <c r="AB9" s="91"/>
      <c r="AC9" s="91"/>
      <c r="AD9" s="92" t="s">
        <v>22</v>
      </c>
      <c r="AE9" s="90" t="s">
        <v>40</v>
      </c>
      <c r="AF9" s="91">
        <v>2.0</v>
      </c>
      <c r="AG9" s="92">
        <v>21.0</v>
      </c>
      <c r="AH9" s="90" t="s">
        <v>40</v>
      </c>
      <c r="AI9" s="96">
        <v>3.0</v>
      </c>
      <c r="AJ9" s="92">
        <v>22.0</v>
      </c>
      <c r="AK9" s="91"/>
      <c r="AL9" s="97"/>
      <c r="AM9" s="98" t="s">
        <v>22</v>
      </c>
      <c r="AN9" s="99"/>
      <c r="AO9" s="52">
        <f t="shared" si="1"/>
        <v>99</v>
      </c>
      <c r="AP9" s="86">
        <f>if($L9="","",countifs(Students!$D:$D,$P9,Students!$E:$E,$P$2&amp;if($K9="S1","a",if($K9="S2","b","")),Students!$A:$A,AP$2)+countifs(Students!$F:$F,$P9,Students!$G:$G,$P$2&amp;if($K9="S1","a",if($K9="S2","b","")),Students!$A:$A,AP$2)+countifs(Students!$H:$H,$P9,Students!$I:$I,$P$2&amp;if($K9="S1","a",if($K9="S2","b","")),Students!$A:$A,AP$2)+countifs(Students!$J:$J,$P9,Students!$K:$K,$P$2&amp;if($K9="S1","a",if($K9="S2","b","")),Students!$A:$A,AP$2)+countifs(Students!$L:$L,$P9,Students!$M:$M,$P$2&amp;if($K9="S1","a",if($K9="S2","b","")),Students!$A:$A,AP$2)+countifs(Students!$N:$N,$P9,Students!$O:$O,$P$2&amp;if($K9="S1","a",if($K9="S2","b","")),Students!$A:$A,AP$2)+countifs(Students!$P:$P,$P9,Students!$Q:$Q,$P$2&amp;if($K9="S1","a",if($K9="S2","b","")),Students!$A:$A,AP$2)+countifs(Students!$R:$R,$P9,Students!$S:$S,$P$2&amp;if($K9="S1","a",if($K9="S2","b","")),Students!$A:$A,AP$2)+countifs(Students!$T:$T,$P9,Students!$U:$U,$P$2&amp;if($K9="S1","a",if($K9="S2","b","")),Students!$A:$A,AP$2)+countifs(Students!$V:$V,$P9,Students!$W:$W,$P$2&amp;if($K9="S1","a",if($K9="S2","b","")),Students!$A:$A,AP$2)+
countifs(Students!$D:$D,$S9,Students!$E:$E,$S$2&amp;if($K9="S1","a",if($K9="S2","b","")),Students!$A:$A,AP$2)+countifs(Students!$F:$F,$S9,Students!$G:$G,$S$2&amp;if($K9="S1","a",if($K9="S2","b","")),Students!$A:$A,AP$2)+countifs(Students!$H:$H,$S9,Students!$I:$I,$S$2&amp;if($K9="S1","a",if($K9="S2","b","")),Students!$A:$A,AP$2)+countifs(Students!$J:$J,$S9,Students!$K:$K,$S$2&amp;if($K9="S1","a",if($K9="S2","b","")),Students!$A:$A,AP$2)+countifs(Students!$L:$L,$S9,Students!$M:$M,$S$2&amp;if($K9="S1","a",if($K9="S2","b","")),Students!$A:$A,AP$2)+countifs(Students!$N:$N,$S9,Students!$O:$O,$S$2&amp;if($K9="S1","a",if($K9="S2","b","")),Students!$A:$A,AP$2)+countifs(Students!$P:$P,$S9,Students!$Q:$Q,$S$2&amp;if($K9="S1","a",if($K9="S2","b","")),Students!$A:$A,AP$2)+countifs(Students!$R:$R,$S9,Students!$S:$S,$S$2&amp;if($K9="S1","a",if($K9="S2","b","")),Students!$A:$A,AP$2)+countifs(Students!$T:$T,$S9,Students!$U:$U,$S$2&amp;if($K9="S1","a",if($K9="S2","b","")),Students!$A:$A,AP$2)+countifs(Students!$V:$V,$S9,Students!$W:$W,$S$2&amp;if($K9="S1","a",if($K9="S2","b","")),Students!$A:$A,AP$2)+
countifs(Students!$D:$D,$V9,Students!$E:$E,$V$2&amp;if($K9="S1","a",if($K9="S2","b","")),Students!$A:$A,AP$2)+countifs(Students!$F:$F,$V9,Students!$G:$G,$V$2&amp;if($K9="S1","a",if($K9="S2","b","")),Students!$A:$A,AP$2)+countifs(Students!$H:$H,$V9,Students!$I:$I,$V$2&amp;if($K9="S1","a",if($K9="S2","b","")),Students!$A:$A,AP$2)+countifs(Students!$J:$J,$V9,Students!$K:$K,$V$2&amp;if($K9="S1","a",if($K9="S2","b","")),Students!$A:$A,AP$2)+countifs(Students!$L:$L,$V9,Students!$M:$M,$V$2&amp;if($K9="S1","a",if($K9="S2","b","")),Students!$A:$A,AP$2)+countifs(Students!$N:$N,$V9,Students!$O:$O,$V$2&amp;if($K9="S1","a",if($K9="S2","b","")),Students!$A:$A,AP$2)+countifs(Students!$P:$P,$V9,Students!$Q:$Q,$V$2&amp;if($K9="S1","a",if($K9="S2","b","")),Students!$A:$A,AP$2)+countifs(Students!$R:$R,$V9,Students!$S:$S,$V$2&amp;if($K9="S1","a",if($K9="S2","b","")),Students!$A:$A,AP$2)+countifs(Students!$T:$T,$V9,Students!$U:$U,$V$2&amp;if($K9="S1","a",if($K9="S2","b","")),Students!$A:$A,AP$2)+countifs(Students!$V:$V,$V9,Students!$W:$W,$V$2&amp;if($K9="S1","a",if($K9="S2","b","")),Students!$A:$A,AP$2)+
countifs(Students!$D:$D,$Y9,Students!$E:$E,$Y$2&amp;if($K9="S1","a",if($K9="S2","b","")),Students!$A:$A,AP$2)+countifs(Students!$F:$F,$Y9,Students!$G:$G,$Y$2&amp;if($K9="S1","a",if($K9="S2","b","")),Students!$A:$A,AP$2)+countifs(Students!$H:$H,$Y9,Students!$I:$I,$Y$2&amp;if($K9="S1","a",if($K9="S2","b","")),Students!$A:$A,AP$2)+countifs(Students!$J:$J,$Y9,Students!$K:$K,$Y$2&amp;if($K9="S1","a",if($K9="S2","b","")),Students!$A:$A,AP$2)+countifs(Students!$L:$L,$Y9,Students!$M:$M,$Y$2&amp;if($K9="S1","a",if($K9="S2","b","")),Students!$A:$A,AP$2)+countifs(Students!$N:$N,$Y9,Students!$O:$O,$Y$2&amp;if($K9="S1","a",if($K9="S2","b","")),Students!$A:$A,AP$2)+countifs(Students!$P:$P,$Y9,Students!$Q:$Q,$Y$2&amp;if($K9="S1","a",if($K9="S2","b","")),Students!$A:$A,AP$2)+countifs(Students!$R:$R,$Y9,Students!$S:$S,$Y$2&amp;if($K9="S1","a",if($K9="S2","b","")),Students!$A:$A,AP$2)+countifs(Students!$T:$T,$Y9,Students!$U:$U,$Y$2&amp;if($K9="S1","a",if($K9="S2","b","")),Students!$A:$A,AP$2)+countifs(Students!$V:$V,$Y9,Students!$W:$W,$Y$2&amp;if($K9="S1","a",if($K9="S2","b","")),Students!$A:$A,AP$2)+
countifs(Students!$D:$D,$AB9,Students!$E:$E,$AB$2&amp;if($K9="S1","a",if($K9="S2","b","")),Students!$A:$A,AP$2)+countifs(Students!$F:$F,$AB9,Students!$G:$G,$AB$2&amp;if($K9="S1","a",if($K9="S2","b","")),Students!$A:$A,AP$2)+countifs(Students!$H:$H,$AB9,Students!$I:$I,$AB$2&amp;if($K9="S1","a",if($K9="S2","b","")),Students!$A:$A,AP$2)+countifs(Students!$J:$J,$AB9,Students!$K:$K,$AB$2&amp;if($K9="S1","a",if($K9="S2","b","")),Students!$A:$A,AP$2)+countifs(Students!$L:$L,$AB9,Students!$M:$M,$AB$2&amp;if($K9="S1","a",if($K9="S2","b","")),Students!$A:$A,AP$2)+countifs(Students!$N:$N,$AB9,Students!$O:$O,$AB$2&amp;if($K9="S1","a",if($K9="S2","b","")),Students!$A:$A,AP$2)+countifs(Students!$P:$P,$AB9,Students!$Q:$Q,$AB$2&amp;if($K9="S1","a",if($K9="S2","b","")),Students!$A:$A,AP$2)+countifs(Students!$R:$R,$AB9,Students!$S:$S,$AB$2&amp;if($K9="S1","a",if($K9="S2","b","")),Students!$A:$A,AP$2)+countifs(Students!$T:$T,$AB9,Students!$U:$U,$AB$2&amp;if($K9="S1","a",if($K9="S2","b","")),Students!$A:$A,AP$2)+countifs(Students!$V:$V,$AB9,Students!$W:$W,$AB$2&amp;if($K9="S1","a",if($K9="S2","b","")),Students!$A:$A,AP$2)+
countifs(Students!$D:$D,$AE9,Students!$E:$E,$AE$2&amp;if($K9="S1","a",if($K9="S2","b","")),Students!$A:$A,AP$2)+countifs(Students!$F:$F,$AE9,Students!$G:$G,$AE$2&amp;if($K9="S1","a",if($K9="S2","b","")),Students!$A:$A,AP$2)+countifs(Students!$H:$H,$AE9,Students!$I:$I,$AE$2&amp;if($K9="S1","a",if($K9="S2","b","")),Students!$A:$A,AP$2)+countifs(Students!$J:$J,$AE9,Students!$K:$K,$AE$2&amp;if($K9="S1","a",if($K9="S2","b","")),Students!$A:$A,AP$2)+countifs(Students!$L:$L,$AE9,Students!$M:$M,$AE$2&amp;if($K9="S1","a",if($K9="S2","b","")),Students!$A:$A,AP$2)+countifs(Students!$N:$N,$AE9,Students!$O:$O,$AE$2&amp;if($K9="S1","a",if($K9="S2","b","")),Students!$A:$A,AP$2)+countifs(Students!$P:$P,$AE9,Students!$Q:$Q,$AE$2&amp;if($K9="S1","a",if($K9="S2","b","")),Students!$A:$A,AP$2)+countifs(Students!$R:$R,$AE9,Students!$S:$S,$AE$2&amp;if($K9="S1","a",if($K9="S2","b","")),Students!$A:$A,AP$2)+countifs(Students!$T:$T,$AE9,Students!$U:$U,$AE$2&amp;if($K9="S1","a",if($K9="S2","b","")),Students!$A:$A,AP$2)+countifs(Students!$V:$V,$AE9,Students!$W:$W,$AE$2&amp;if($K9="S1","a",if($K9="S2","b","")),Students!$A:$A,AP$2)+
countifs(Students!$D:$D,$AH9,Students!$E:$E,$AH$2&amp;if($K9="S1","a",if($K9="S2","b","")),Students!$A:$A,AP$2)+countifs(Students!$F:$F,$AH9,Students!$G:$G,$AH$2&amp;if($K9="S1","a",if($K9="S2","b","")),Students!$A:$A,AP$2)+countifs(Students!$H:$H,$AH9,Students!$I:$I,$AH$2&amp;if($K9="S1","a",if($K9="S2","b","")),Students!$A:$A,AP$2)+countifs(Students!$J:$J,$AH9,Students!$K:$K,$AH$2&amp;if($K9="S1","a",if($K9="S2","b","")),Students!$A:$A,AP$2)+countifs(Students!$L:$L,$AH9,Students!$M:$M,$AH$2&amp;if($K9="S1","a",if($K9="S2","b","")),Students!$A:$A,AP$2)+countifs(Students!$N:$N,$AH9,Students!$O:$O,$AH$2&amp;if($K9="S1","a",if($K9="S2","b","")),Students!$A:$A,AP$2)+countifs(Students!$P:$P,$AH9,Students!$Q:$Q,$AH$2&amp;if($K9="S1","a",if($K9="S2","b","")),Students!$A:$A,AP$2)+countifs(Students!$R:$R,$AH9,Students!$S:$S,$AH$2&amp;if($K9="S1","a",if($K9="S2","b","")),Students!$A:$A,AP$2)+countifs(Students!$T:$T,$AH9,Students!$U:$U,$AH$2&amp;if($K9="S1","a",if($K9="S2","b","")),Students!$A:$A,AP$2)+countifs(Students!$V:$V,$AH9,Students!$W:$W,$AH$2&amp;if($K9="S1","a",if($K9="S2","b","")),Students!$A:$A,AP$2)+
countifs(Students!$D:$D,$AK9,Students!$E:$E,$AK$2&amp;if($K9="S1","a",if($K9="S2","b","")),Students!$A:$A,AP$2)+countifs(Students!$F:$F,$AK9,Students!$G:$G,$AK$2&amp;if($K9="S1","a",if($K9="S2","b","")),Students!$A:$A,AP$2)+countifs(Students!$H:$H,$AK9,Students!$I:$I,$AK$2&amp;if($K9="S1","a",if($K9="S2","b","")),Students!$A:$A,AP$2)+countifs(Students!$J:$J,$AK9,Students!$K:$K,$AK$2&amp;if($K9="S1","a",if($K9="S2","b","")),Students!$A:$A,AP$2)+countifs(Students!$L:$L,$AK9,Students!$M:$M,$AK$2&amp;if($K9="S1","a",if($K9="S2","b","")),Students!$A:$A,AP$2)+countifs(Students!$N:$N,$AK9,Students!$O:$O,$AK$2&amp;if($K9="S1","a",if($K9="S2","b","")),Students!$A:$A,AP$2)+countifs(Students!$P:$P,$AK9,Students!$Q:$Q,$AK$2&amp;if($K9="S1","a",if($K9="S2","b","")),Students!$A:$A,AP$2)+countifs(Students!$R:$R,$AK9,Students!$S:$S,$AK$2&amp;if($K9="S1","a",if($K9="S2","b","")),Students!$A:$A,AP$2)+countifs(Students!$T:$T,$AK9,Students!$U:$U,$AK$2&amp;if($K9="S1","a",if($K9="S2","b","")),Students!$A:$A,AP$2)+countifs(Students!$V:$V,$AK9,Students!$W:$W,$AK$2&amp;if($K9="S1","a",if($K9="S2","b","")),Students!$A:$A,AP$2))</f>
        <v>65</v>
      </c>
      <c r="AQ9" s="86">
        <f>if($L9="","",countifs(Students!$D:$D,$P9,Students!$E:$E,$P$2&amp;if($K9="S1","a",if($K9="S2","b","")),Students!$A:$A,AQ$2)+countifs(Students!$F:$F,$P9,Students!$G:$G,$P$2&amp;if($K9="S1","a",if($K9="S2","b","")),Students!$A:$A,AQ$2)+countifs(Students!$H:$H,$P9,Students!$I:$I,$P$2&amp;if($K9="S1","a",if($K9="S2","b","")),Students!$A:$A,AQ$2)+countifs(Students!$J:$J,$P9,Students!$K:$K,$P$2&amp;if($K9="S1","a",if($K9="S2","b","")),Students!$A:$A,AQ$2)+countifs(Students!$L:$L,$P9,Students!$M:$M,$P$2&amp;if($K9="S1","a",if($K9="S2","b","")),Students!$A:$A,AQ$2)+countifs(Students!$N:$N,$P9,Students!$O:$O,$P$2&amp;if($K9="S1","a",if($K9="S2","b","")),Students!$A:$A,AQ$2)+countifs(Students!$P:$P,$P9,Students!$Q:$Q,$P$2&amp;if($K9="S1","a",if($K9="S2","b","")),Students!$A:$A,AQ$2)+countifs(Students!$R:$R,$P9,Students!$S:$S,$P$2&amp;if($K9="S1","a",if($K9="S2","b","")),Students!$A:$A,AQ$2)+countifs(Students!$T:$T,$P9,Students!$U:$U,$P$2&amp;if($K9="S1","a",if($K9="S2","b","")),Students!$A:$A,AQ$2)+countifs(Students!$V:$V,$P9,Students!$W:$W,$P$2&amp;if($K9="S1","a",if($K9="S2","b","")),Students!$A:$A,AQ$2)+
countifs(Students!$D:$D,$S9,Students!$E:$E,$S$2&amp;if($K9="S1","a",if($K9="S2","b","")),Students!$A:$A,AQ$2)+countifs(Students!$F:$F,$S9,Students!$G:$G,$S$2&amp;if($K9="S1","a",if($K9="S2","b","")),Students!$A:$A,AQ$2)+countifs(Students!$H:$H,$S9,Students!$I:$I,$S$2&amp;if($K9="S1","a",if($K9="S2","b","")),Students!$A:$A,AQ$2)+countifs(Students!$J:$J,$S9,Students!$K:$K,$S$2&amp;if($K9="S1","a",if($K9="S2","b","")),Students!$A:$A,AQ$2)+countifs(Students!$L:$L,$S9,Students!$M:$M,$S$2&amp;if($K9="S1","a",if($K9="S2","b","")),Students!$A:$A,AQ$2)+countifs(Students!$N:$N,$S9,Students!$O:$O,$S$2&amp;if($K9="S1","a",if($K9="S2","b","")),Students!$A:$A,AQ$2)+countifs(Students!$P:$P,$S9,Students!$Q:$Q,$S$2&amp;if($K9="S1","a",if($K9="S2","b","")),Students!$A:$A,AQ$2)+countifs(Students!$R:$R,$S9,Students!$S:$S,$S$2&amp;if($K9="S1","a",if($K9="S2","b","")),Students!$A:$A,AQ$2)+countifs(Students!$T:$T,$S9,Students!$U:$U,$S$2&amp;if($K9="S1","a",if($K9="S2","b","")),Students!$A:$A,AQ$2)+countifs(Students!$V:$V,$S9,Students!$W:$W,$S$2&amp;if($K9="S1","a",if($K9="S2","b","")),Students!$A:$A,AQ$2)+
countifs(Students!$D:$D,$V9,Students!$E:$E,$V$2&amp;if($K9="S1","a",if($K9="S2","b","")),Students!$A:$A,AQ$2)+countifs(Students!$F:$F,$V9,Students!$G:$G,$V$2&amp;if($K9="S1","a",if($K9="S2","b","")),Students!$A:$A,AQ$2)+countifs(Students!$H:$H,$V9,Students!$I:$I,$V$2&amp;if($K9="S1","a",if($K9="S2","b","")),Students!$A:$A,AQ$2)+countifs(Students!$J:$J,$V9,Students!$K:$K,$V$2&amp;if($K9="S1","a",if($K9="S2","b","")),Students!$A:$A,AQ$2)+countifs(Students!$L:$L,$V9,Students!$M:$M,$V$2&amp;if($K9="S1","a",if($K9="S2","b","")),Students!$A:$A,AQ$2)+countifs(Students!$N:$N,$V9,Students!$O:$O,$V$2&amp;if($K9="S1","a",if($K9="S2","b","")),Students!$A:$A,AQ$2)+countifs(Students!$P:$P,$V9,Students!$Q:$Q,$V$2&amp;if($K9="S1","a",if($K9="S2","b","")),Students!$A:$A,AQ$2)+countifs(Students!$R:$R,$V9,Students!$S:$S,$V$2&amp;if($K9="S1","a",if($K9="S2","b","")),Students!$A:$A,AQ$2)+countifs(Students!$T:$T,$V9,Students!$U:$U,$V$2&amp;if($K9="S1","a",if($K9="S2","b","")),Students!$A:$A,AQ$2)+countifs(Students!$V:$V,$V9,Students!$W:$W,$V$2&amp;if($K9="S1","a",if($K9="S2","b","")),Students!$A:$A,AQ$2)+
countifs(Students!$D:$D,$Y9,Students!$E:$E,$Y$2&amp;if($K9="S1","a",if($K9="S2","b","")),Students!$A:$A,AQ$2)+countifs(Students!$F:$F,$Y9,Students!$G:$G,$Y$2&amp;if($K9="S1","a",if($K9="S2","b","")),Students!$A:$A,AQ$2)+countifs(Students!$H:$H,$Y9,Students!$I:$I,$Y$2&amp;if($K9="S1","a",if($K9="S2","b","")),Students!$A:$A,AQ$2)+countifs(Students!$J:$J,$Y9,Students!$K:$K,$Y$2&amp;if($K9="S1","a",if($K9="S2","b","")),Students!$A:$A,AQ$2)+countifs(Students!$L:$L,$Y9,Students!$M:$M,$Y$2&amp;if($K9="S1","a",if($K9="S2","b","")),Students!$A:$A,AQ$2)+countifs(Students!$N:$N,$Y9,Students!$O:$O,$Y$2&amp;if($K9="S1","a",if($K9="S2","b","")),Students!$A:$A,AQ$2)+countifs(Students!$P:$P,$Y9,Students!$Q:$Q,$Y$2&amp;if($K9="S1","a",if($K9="S2","b","")),Students!$A:$A,AQ$2)+countifs(Students!$R:$R,$Y9,Students!$S:$S,$Y$2&amp;if($K9="S1","a",if($K9="S2","b","")),Students!$A:$A,AQ$2)+countifs(Students!$T:$T,$Y9,Students!$U:$U,$Y$2&amp;if($K9="S1","a",if($K9="S2","b","")),Students!$A:$A,AQ$2)+countifs(Students!$V:$V,$Y9,Students!$W:$W,$Y$2&amp;if($K9="S1","a",if($K9="S2","b","")),Students!$A:$A,AQ$2)+
countifs(Students!$D:$D,$AB9,Students!$E:$E,$AB$2&amp;if($K9="S1","a",if($K9="S2","b","")),Students!$A:$A,AQ$2)+countifs(Students!$F:$F,$AB9,Students!$G:$G,$AB$2&amp;if($K9="S1","a",if($K9="S2","b","")),Students!$A:$A,AQ$2)+countifs(Students!$H:$H,$AB9,Students!$I:$I,$AB$2&amp;if($K9="S1","a",if($K9="S2","b","")),Students!$A:$A,AQ$2)+countifs(Students!$J:$J,$AB9,Students!$K:$K,$AB$2&amp;if($K9="S1","a",if($K9="S2","b","")),Students!$A:$A,AQ$2)+countifs(Students!$L:$L,$AB9,Students!$M:$M,$AB$2&amp;if($K9="S1","a",if($K9="S2","b","")),Students!$A:$A,AQ$2)+countifs(Students!$N:$N,$AB9,Students!$O:$O,$AB$2&amp;if($K9="S1","a",if($K9="S2","b","")),Students!$A:$A,AQ$2)+countifs(Students!$P:$P,$AB9,Students!$Q:$Q,$AB$2&amp;if($K9="S1","a",if($K9="S2","b","")),Students!$A:$A,AQ$2)+countifs(Students!$R:$R,$AB9,Students!$S:$S,$AB$2&amp;if($K9="S1","a",if($K9="S2","b","")),Students!$A:$A,AQ$2)+countifs(Students!$T:$T,$AB9,Students!$U:$U,$AB$2&amp;if($K9="S1","a",if($K9="S2","b","")),Students!$A:$A,AQ$2)+countifs(Students!$V:$V,$AB9,Students!$W:$W,$AB$2&amp;if($K9="S1","a",if($K9="S2","b","")),Students!$A:$A,AQ$2)+
countifs(Students!$D:$D,$AE9,Students!$E:$E,$AE$2&amp;if($K9="S1","a",if($K9="S2","b","")),Students!$A:$A,AQ$2)+countifs(Students!$F:$F,$AE9,Students!$G:$G,$AE$2&amp;if($K9="S1","a",if($K9="S2","b","")),Students!$A:$A,AQ$2)+countifs(Students!$H:$H,$AE9,Students!$I:$I,$AE$2&amp;if($K9="S1","a",if($K9="S2","b","")),Students!$A:$A,AQ$2)+countifs(Students!$J:$J,$AE9,Students!$K:$K,$AE$2&amp;if($K9="S1","a",if($K9="S2","b","")),Students!$A:$A,AQ$2)+countifs(Students!$L:$L,$AE9,Students!$M:$M,$AE$2&amp;if($K9="S1","a",if($K9="S2","b","")),Students!$A:$A,AQ$2)+countifs(Students!$N:$N,$AE9,Students!$O:$O,$AE$2&amp;if($K9="S1","a",if($K9="S2","b","")),Students!$A:$A,AQ$2)+countifs(Students!$P:$P,$AE9,Students!$Q:$Q,$AE$2&amp;if($K9="S1","a",if($K9="S2","b","")),Students!$A:$A,AQ$2)+countifs(Students!$R:$R,$AE9,Students!$S:$S,$AE$2&amp;if($K9="S1","a",if($K9="S2","b","")),Students!$A:$A,AQ$2)+countifs(Students!$T:$T,$AE9,Students!$U:$U,$AE$2&amp;if($K9="S1","a",if($K9="S2","b","")),Students!$A:$A,AQ$2)+countifs(Students!$V:$V,$AE9,Students!$W:$W,$AE$2&amp;if($K9="S1","a",if($K9="S2","b","")),Students!$A:$A,AQ$2)+
countifs(Students!$D:$D,$AH9,Students!$E:$E,$AH$2&amp;if($K9="S1","a",if($K9="S2","b","")),Students!$A:$A,AQ$2)+countifs(Students!$F:$F,$AH9,Students!$G:$G,$AH$2&amp;if($K9="S1","a",if($K9="S2","b","")),Students!$A:$A,AQ$2)+countifs(Students!$H:$H,$AH9,Students!$I:$I,$AH$2&amp;if($K9="S1","a",if($K9="S2","b","")),Students!$A:$A,AQ$2)+countifs(Students!$J:$J,$AH9,Students!$K:$K,$AH$2&amp;if($K9="S1","a",if($K9="S2","b","")),Students!$A:$A,AQ$2)+countifs(Students!$L:$L,$AH9,Students!$M:$M,$AH$2&amp;if($K9="S1","a",if($K9="S2","b","")),Students!$A:$A,AQ$2)+countifs(Students!$N:$N,$AH9,Students!$O:$O,$AH$2&amp;if($K9="S1","a",if($K9="S2","b","")),Students!$A:$A,AQ$2)+countifs(Students!$P:$P,$AH9,Students!$Q:$Q,$AH$2&amp;if($K9="S1","a",if($K9="S2","b","")),Students!$A:$A,AQ$2)+countifs(Students!$R:$R,$AH9,Students!$S:$S,$AH$2&amp;if($K9="S1","a",if($K9="S2","b","")),Students!$A:$A,AQ$2)+countifs(Students!$T:$T,$AH9,Students!$U:$U,$AH$2&amp;if($K9="S1","a",if($K9="S2","b","")),Students!$A:$A,AQ$2)+countifs(Students!$V:$V,$AH9,Students!$W:$W,$AH$2&amp;if($K9="S1","a",if($K9="S2","b","")),Students!$A:$A,AQ$2)+
countifs(Students!$D:$D,$AK9,Students!$E:$E,$AK$2&amp;if($K9="S1","a",if($K9="S2","b","")),Students!$A:$A,AQ$2)+countifs(Students!$F:$F,$AK9,Students!$G:$G,$AK$2&amp;if($K9="S1","a",if($K9="S2","b","")),Students!$A:$A,AQ$2)+countifs(Students!$H:$H,$AK9,Students!$I:$I,$AK$2&amp;if($K9="S1","a",if($K9="S2","b","")),Students!$A:$A,AQ$2)+countifs(Students!$J:$J,$AK9,Students!$K:$K,$AK$2&amp;if($K9="S1","a",if($K9="S2","b","")),Students!$A:$A,AQ$2)+countifs(Students!$L:$L,$AK9,Students!$M:$M,$AK$2&amp;if($K9="S1","a",if($K9="S2","b","")),Students!$A:$A,AQ$2)+countifs(Students!$N:$N,$AK9,Students!$O:$O,$AK$2&amp;if($K9="S1","a",if($K9="S2","b","")),Students!$A:$A,AQ$2)+countifs(Students!$P:$P,$AK9,Students!$Q:$Q,$AK$2&amp;if($K9="S1","a",if($K9="S2","b","")),Students!$A:$A,AQ$2)+countifs(Students!$R:$R,$AK9,Students!$S:$S,$AK$2&amp;if($K9="S1","a",if($K9="S2","b","")),Students!$A:$A,AQ$2)+countifs(Students!$T:$T,$AK9,Students!$U:$U,$AK$2&amp;if($K9="S1","a",if($K9="S2","b","")),Students!$A:$A,AQ$2)+countifs(Students!$V:$V,$AK9,Students!$W:$W,$AK$2&amp;if($K9="S1","a",if($K9="S2","b","")),Students!$A:$A,AQ$2))</f>
        <v>5</v>
      </c>
      <c r="AR9" s="86">
        <f>if($L9="","",countifs(Students!$D:$D,$P9,Students!$E:$E,$P$2&amp;if($K9="S1","a",if($K9="S2","b","")),Students!$A:$A,AR$2)+countifs(Students!$F:$F,$P9,Students!$G:$G,$P$2&amp;if($K9="S1","a",if($K9="S2","b","")),Students!$A:$A,AR$2)+countifs(Students!$H:$H,$P9,Students!$I:$I,$P$2&amp;if($K9="S1","a",if($K9="S2","b","")),Students!$A:$A,AR$2)+countifs(Students!$J:$J,$P9,Students!$K:$K,$P$2&amp;if($K9="S1","a",if($K9="S2","b","")),Students!$A:$A,AR$2)+countifs(Students!$L:$L,$P9,Students!$M:$M,$P$2&amp;if($K9="S1","a",if($K9="S2","b","")),Students!$A:$A,AR$2)+countifs(Students!$N:$N,$P9,Students!$O:$O,$P$2&amp;if($K9="S1","a",if($K9="S2","b","")),Students!$A:$A,AR$2)+countifs(Students!$P:$P,$P9,Students!$Q:$Q,$P$2&amp;if($K9="S1","a",if($K9="S2","b","")),Students!$A:$A,AR$2)+countifs(Students!$R:$R,$P9,Students!$S:$S,$P$2&amp;if($K9="S1","a",if($K9="S2","b","")),Students!$A:$A,AR$2)+countifs(Students!$T:$T,$P9,Students!$U:$U,$P$2&amp;if($K9="S1","a",if($K9="S2","b","")),Students!$A:$A,AR$2)+countifs(Students!$V:$V,$P9,Students!$W:$W,$P$2&amp;if($K9="S1","a",if($K9="S2","b","")),Students!$A:$A,AR$2)+
countifs(Students!$D:$D,$S9,Students!$E:$E,$S$2&amp;if($K9="S1","a",if($K9="S2","b","")),Students!$A:$A,AR$2)+countifs(Students!$F:$F,$S9,Students!$G:$G,$S$2&amp;if($K9="S1","a",if($K9="S2","b","")),Students!$A:$A,AR$2)+countifs(Students!$H:$H,$S9,Students!$I:$I,$S$2&amp;if($K9="S1","a",if($K9="S2","b","")),Students!$A:$A,AR$2)+countifs(Students!$J:$J,$S9,Students!$K:$K,$S$2&amp;if($K9="S1","a",if($K9="S2","b","")),Students!$A:$A,AR$2)+countifs(Students!$L:$L,$S9,Students!$M:$M,$S$2&amp;if($K9="S1","a",if($K9="S2","b","")),Students!$A:$A,AR$2)+countifs(Students!$N:$N,$S9,Students!$O:$O,$S$2&amp;if($K9="S1","a",if($K9="S2","b","")),Students!$A:$A,AR$2)+countifs(Students!$P:$P,$S9,Students!$Q:$Q,$S$2&amp;if($K9="S1","a",if($K9="S2","b","")),Students!$A:$A,AR$2)+countifs(Students!$R:$R,$S9,Students!$S:$S,$S$2&amp;if($K9="S1","a",if($K9="S2","b","")),Students!$A:$A,AR$2)+countifs(Students!$T:$T,$S9,Students!$U:$U,$S$2&amp;if($K9="S1","a",if($K9="S2","b","")),Students!$A:$A,AR$2)+countifs(Students!$V:$V,$S9,Students!$W:$W,$S$2&amp;if($K9="S1","a",if($K9="S2","b","")),Students!$A:$A,AR$2)+
countifs(Students!$D:$D,$V9,Students!$E:$E,$V$2&amp;if($K9="S1","a",if($K9="S2","b","")),Students!$A:$A,AR$2)+countifs(Students!$F:$F,$V9,Students!$G:$G,$V$2&amp;if($K9="S1","a",if($K9="S2","b","")),Students!$A:$A,AR$2)+countifs(Students!$H:$H,$V9,Students!$I:$I,$V$2&amp;if($K9="S1","a",if($K9="S2","b","")),Students!$A:$A,AR$2)+countifs(Students!$J:$J,$V9,Students!$K:$K,$V$2&amp;if($K9="S1","a",if($K9="S2","b","")),Students!$A:$A,AR$2)+countifs(Students!$L:$L,$V9,Students!$M:$M,$V$2&amp;if($K9="S1","a",if($K9="S2","b","")),Students!$A:$A,AR$2)+countifs(Students!$N:$N,$V9,Students!$O:$O,$V$2&amp;if($K9="S1","a",if($K9="S2","b","")),Students!$A:$A,AR$2)+countifs(Students!$P:$P,$V9,Students!$Q:$Q,$V$2&amp;if($K9="S1","a",if($K9="S2","b","")),Students!$A:$A,AR$2)+countifs(Students!$R:$R,$V9,Students!$S:$S,$V$2&amp;if($K9="S1","a",if($K9="S2","b","")),Students!$A:$A,AR$2)+countifs(Students!$T:$T,$V9,Students!$U:$U,$V$2&amp;if($K9="S1","a",if($K9="S2","b","")),Students!$A:$A,AR$2)+countifs(Students!$V:$V,$V9,Students!$W:$W,$V$2&amp;if($K9="S1","a",if($K9="S2","b","")),Students!$A:$A,AR$2)+
countifs(Students!$D:$D,$Y9,Students!$E:$E,$Y$2&amp;if($K9="S1","a",if($K9="S2","b","")),Students!$A:$A,AR$2)+countifs(Students!$F:$F,$Y9,Students!$G:$G,$Y$2&amp;if($K9="S1","a",if($K9="S2","b","")),Students!$A:$A,AR$2)+countifs(Students!$H:$H,$Y9,Students!$I:$I,$Y$2&amp;if($K9="S1","a",if($K9="S2","b","")),Students!$A:$A,AR$2)+countifs(Students!$J:$J,$Y9,Students!$K:$K,$Y$2&amp;if($K9="S1","a",if($K9="S2","b","")),Students!$A:$A,AR$2)+countifs(Students!$L:$L,$Y9,Students!$M:$M,$Y$2&amp;if($K9="S1","a",if($K9="S2","b","")),Students!$A:$A,AR$2)+countifs(Students!$N:$N,$Y9,Students!$O:$O,$Y$2&amp;if($K9="S1","a",if($K9="S2","b","")),Students!$A:$A,AR$2)+countifs(Students!$P:$P,$Y9,Students!$Q:$Q,$Y$2&amp;if($K9="S1","a",if($K9="S2","b","")),Students!$A:$A,AR$2)+countifs(Students!$R:$R,$Y9,Students!$S:$S,$Y$2&amp;if($K9="S1","a",if($K9="S2","b","")),Students!$A:$A,AR$2)+countifs(Students!$T:$T,$Y9,Students!$U:$U,$Y$2&amp;if($K9="S1","a",if($K9="S2","b","")),Students!$A:$A,AR$2)+countifs(Students!$V:$V,$Y9,Students!$W:$W,$Y$2&amp;if($K9="S1","a",if($K9="S2","b","")),Students!$A:$A,AR$2)+
countifs(Students!$D:$D,$AB9,Students!$E:$E,$AB$2&amp;if($K9="S1","a",if($K9="S2","b","")),Students!$A:$A,AR$2)+countifs(Students!$F:$F,$AB9,Students!$G:$G,$AB$2&amp;if($K9="S1","a",if($K9="S2","b","")),Students!$A:$A,AR$2)+countifs(Students!$H:$H,$AB9,Students!$I:$I,$AB$2&amp;if($K9="S1","a",if($K9="S2","b","")),Students!$A:$A,AR$2)+countifs(Students!$J:$J,$AB9,Students!$K:$K,$AB$2&amp;if($K9="S1","a",if($K9="S2","b","")),Students!$A:$A,AR$2)+countifs(Students!$L:$L,$AB9,Students!$M:$M,$AB$2&amp;if($K9="S1","a",if($K9="S2","b","")),Students!$A:$A,AR$2)+countifs(Students!$N:$N,$AB9,Students!$O:$O,$AB$2&amp;if($K9="S1","a",if($K9="S2","b","")),Students!$A:$A,AR$2)+countifs(Students!$P:$P,$AB9,Students!$Q:$Q,$AB$2&amp;if($K9="S1","a",if($K9="S2","b","")),Students!$A:$A,AR$2)+countifs(Students!$R:$R,$AB9,Students!$S:$S,$AB$2&amp;if($K9="S1","a",if($K9="S2","b","")),Students!$A:$A,AR$2)+countifs(Students!$T:$T,$AB9,Students!$U:$U,$AB$2&amp;if($K9="S1","a",if($K9="S2","b","")),Students!$A:$A,AR$2)+countifs(Students!$V:$V,$AB9,Students!$W:$W,$AB$2&amp;if($K9="S1","a",if($K9="S2","b","")),Students!$A:$A,AR$2)+
countifs(Students!$D:$D,$AE9,Students!$E:$E,$AE$2&amp;if($K9="S1","a",if($K9="S2","b","")),Students!$A:$A,AR$2)+countifs(Students!$F:$F,$AE9,Students!$G:$G,$AE$2&amp;if($K9="S1","a",if($K9="S2","b","")),Students!$A:$A,AR$2)+countifs(Students!$H:$H,$AE9,Students!$I:$I,$AE$2&amp;if($K9="S1","a",if($K9="S2","b","")),Students!$A:$A,AR$2)+countifs(Students!$J:$J,$AE9,Students!$K:$K,$AE$2&amp;if($K9="S1","a",if($K9="S2","b","")),Students!$A:$A,AR$2)+countifs(Students!$L:$L,$AE9,Students!$M:$M,$AE$2&amp;if($K9="S1","a",if($K9="S2","b","")),Students!$A:$A,AR$2)+countifs(Students!$N:$N,$AE9,Students!$O:$O,$AE$2&amp;if($K9="S1","a",if($K9="S2","b","")),Students!$A:$A,AR$2)+countifs(Students!$P:$P,$AE9,Students!$Q:$Q,$AE$2&amp;if($K9="S1","a",if($K9="S2","b","")),Students!$A:$A,AR$2)+countifs(Students!$R:$R,$AE9,Students!$S:$S,$AE$2&amp;if($K9="S1","a",if($K9="S2","b","")),Students!$A:$A,AR$2)+countifs(Students!$T:$T,$AE9,Students!$U:$U,$AE$2&amp;if($K9="S1","a",if($K9="S2","b","")),Students!$A:$A,AR$2)+countifs(Students!$V:$V,$AE9,Students!$W:$W,$AE$2&amp;if($K9="S1","a",if($K9="S2","b","")),Students!$A:$A,AR$2)+
countifs(Students!$D:$D,$AH9,Students!$E:$E,$AH$2&amp;if($K9="S1","a",if($K9="S2","b","")),Students!$A:$A,AR$2)+countifs(Students!$F:$F,$AH9,Students!$G:$G,$AH$2&amp;if($K9="S1","a",if($K9="S2","b","")),Students!$A:$A,AR$2)+countifs(Students!$H:$H,$AH9,Students!$I:$I,$AH$2&amp;if($K9="S1","a",if($K9="S2","b","")),Students!$A:$A,AR$2)+countifs(Students!$J:$J,$AH9,Students!$K:$K,$AH$2&amp;if($K9="S1","a",if($K9="S2","b","")),Students!$A:$A,AR$2)+countifs(Students!$L:$L,$AH9,Students!$M:$M,$AH$2&amp;if($K9="S1","a",if($K9="S2","b","")),Students!$A:$A,AR$2)+countifs(Students!$N:$N,$AH9,Students!$O:$O,$AH$2&amp;if($K9="S1","a",if($K9="S2","b","")),Students!$A:$A,AR$2)+countifs(Students!$P:$P,$AH9,Students!$Q:$Q,$AH$2&amp;if($K9="S1","a",if($K9="S2","b","")),Students!$A:$A,AR$2)+countifs(Students!$R:$R,$AH9,Students!$S:$S,$AH$2&amp;if($K9="S1","a",if($K9="S2","b","")),Students!$A:$A,AR$2)+countifs(Students!$T:$T,$AH9,Students!$U:$U,$AH$2&amp;if($K9="S1","a",if($K9="S2","b","")),Students!$A:$A,AR$2)+countifs(Students!$V:$V,$AH9,Students!$W:$W,$AH$2&amp;if($K9="S1","a",if($K9="S2","b","")),Students!$A:$A,AR$2)+
countifs(Students!$D:$D,$AK9,Students!$E:$E,$AK$2&amp;if($K9="S1","a",if($K9="S2","b","")),Students!$A:$A,AR$2)+countifs(Students!$F:$F,$AK9,Students!$G:$G,$AK$2&amp;if($K9="S1","a",if($K9="S2","b","")),Students!$A:$A,AR$2)+countifs(Students!$H:$H,$AK9,Students!$I:$I,$AK$2&amp;if($K9="S1","a",if($K9="S2","b","")),Students!$A:$A,AR$2)+countifs(Students!$J:$J,$AK9,Students!$K:$K,$AK$2&amp;if($K9="S1","a",if($K9="S2","b","")),Students!$A:$A,AR$2)+countifs(Students!$L:$L,$AK9,Students!$M:$M,$AK$2&amp;if($K9="S1","a",if($K9="S2","b","")),Students!$A:$A,AR$2)+countifs(Students!$N:$N,$AK9,Students!$O:$O,$AK$2&amp;if($K9="S1","a",if($K9="S2","b","")),Students!$A:$A,AR$2)+countifs(Students!$P:$P,$AK9,Students!$Q:$Q,$AK$2&amp;if($K9="S1","a",if($K9="S2","b","")),Students!$A:$A,AR$2)+countifs(Students!$R:$R,$AK9,Students!$S:$S,$AK$2&amp;if($K9="S1","a",if($K9="S2","b","")),Students!$A:$A,AR$2)+countifs(Students!$T:$T,$AK9,Students!$U:$U,$AK$2&amp;if($K9="S1","a",if($K9="S2","b","")),Students!$A:$A,AR$2)+countifs(Students!$V:$V,$AK9,Students!$W:$W,$AK$2&amp;if($K9="S1","a",if($K9="S2","b","")),Students!$A:$A,AR$2))</f>
        <v>29</v>
      </c>
      <c r="AS9" s="86">
        <f>if($L9="","",countifs(Students!$D:$D,$P9,Students!$E:$E,$P$2&amp;if($K9="S1","a",if($K9="S2","b","")),Students!$A:$A,AS$2)+countifs(Students!$F:$F,$P9,Students!$G:$G,$P$2&amp;if($K9="S1","a",if($K9="S2","b","")),Students!$A:$A,AS$2)+countifs(Students!$H:$H,$P9,Students!$I:$I,$P$2&amp;if($K9="S1","a",if($K9="S2","b","")),Students!$A:$A,AS$2)+countifs(Students!$J:$J,$P9,Students!$K:$K,$P$2&amp;if($K9="S1","a",if($K9="S2","b","")),Students!$A:$A,AS$2)+countifs(Students!$L:$L,$P9,Students!$M:$M,$P$2&amp;if($K9="S1","a",if($K9="S2","b","")),Students!$A:$A,AS$2)+countifs(Students!$N:$N,$P9,Students!$O:$O,$P$2&amp;if($K9="S1","a",if($K9="S2","b","")),Students!$A:$A,AS$2)+countifs(Students!$P:$P,$P9,Students!$Q:$Q,$P$2&amp;if($K9="S1","a",if($K9="S2","b","")),Students!$A:$A,AS$2)+countifs(Students!$R:$R,$P9,Students!$S:$S,$P$2&amp;if($K9="S1","a",if($K9="S2","b","")),Students!$A:$A,AS$2)+countifs(Students!$T:$T,$P9,Students!$U:$U,$P$2&amp;if($K9="S1","a",if($K9="S2","b","")),Students!$A:$A,AS$2)+countifs(Students!$V:$V,$P9,Students!$W:$W,$P$2&amp;if($K9="S1","a",if($K9="S2","b","")),Students!$A:$A,AS$2)+
countifs(Students!$D:$D,$S9,Students!$E:$E,$S$2&amp;if($K9="S1","a",if($K9="S2","b","")),Students!$A:$A,AS$2)+countifs(Students!$F:$F,$S9,Students!$G:$G,$S$2&amp;if($K9="S1","a",if($K9="S2","b","")),Students!$A:$A,AS$2)+countifs(Students!$H:$H,$S9,Students!$I:$I,$S$2&amp;if($K9="S1","a",if($K9="S2","b","")),Students!$A:$A,AS$2)+countifs(Students!$J:$J,$S9,Students!$K:$K,$S$2&amp;if($K9="S1","a",if($K9="S2","b","")),Students!$A:$A,AS$2)+countifs(Students!$L:$L,$S9,Students!$M:$M,$S$2&amp;if($K9="S1","a",if($K9="S2","b","")),Students!$A:$A,AS$2)+countifs(Students!$N:$N,$S9,Students!$O:$O,$S$2&amp;if($K9="S1","a",if($K9="S2","b","")),Students!$A:$A,AS$2)+countifs(Students!$P:$P,$S9,Students!$Q:$Q,$S$2&amp;if($K9="S1","a",if($K9="S2","b","")),Students!$A:$A,AS$2)+countifs(Students!$R:$R,$S9,Students!$S:$S,$S$2&amp;if($K9="S1","a",if($K9="S2","b","")),Students!$A:$A,AS$2)+countifs(Students!$T:$T,$S9,Students!$U:$U,$S$2&amp;if($K9="S1","a",if($K9="S2","b","")),Students!$A:$A,AS$2)+countifs(Students!$V:$V,$S9,Students!$W:$W,$S$2&amp;if($K9="S1","a",if($K9="S2","b","")),Students!$A:$A,AS$2)+
countifs(Students!$D:$D,$V9,Students!$E:$E,$V$2&amp;if($K9="S1","a",if($K9="S2","b","")),Students!$A:$A,AS$2)+countifs(Students!$F:$F,$V9,Students!$G:$G,$V$2&amp;if($K9="S1","a",if($K9="S2","b","")),Students!$A:$A,AS$2)+countifs(Students!$H:$H,$V9,Students!$I:$I,$V$2&amp;if($K9="S1","a",if($K9="S2","b","")),Students!$A:$A,AS$2)+countifs(Students!$J:$J,$V9,Students!$K:$K,$V$2&amp;if($K9="S1","a",if($K9="S2","b","")),Students!$A:$A,AS$2)+countifs(Students!$L:$L,$V9,Students!$M:$M,$V$2&amp;if($K9="S1","a",if($K9="S2","b","")),Students!$A:$A,AS$2)+countifs(Students!$N:$N,$V9,Students!$O:$O,$V$2&amp;if($K9="S1","a",if($K9="S2","b","")),Students!$A:$A,AS$2)+countifs(Students!$P:$P,$V9,Students!$Q:$Q,$V$2&amp;if($K9="S1","a",if($K9="S2","b","")),Students!$A:$A,AS$2)+countifs(Students!$R:$R,$V9,Students!$S:$S,$V$2&amp;if($K9="S1","a",if($K9="S2","b","")),Students!$A:$A,AS$2)+countifs(Students!$T:$T,$V9,Students!$U:$U,$V$2&amp;if($K9="S1","a",if($K9="S2","b","")),Students!$A:$A,AS$2)+countifs(Students!$V:$V,$V9,Students!$W:$W,$V$2&amp;if($K9="S1","a",if($K9="S2","b","")),Students!$A:$A,AS$2)+
countifs(Students!$D:$D,$Y9,Students!$E:$E,$Y$2&amp;if($K9="S1","a",if($K9="S2","b","")),Students!$A:$A,AS$2)+countifs(Students!$F:$F,$Y9,Students!$G:$G,$Y$2&amp;if($K9="S1","a",if($K9="S2","b","")),Students!$A:$A,AS$2)+countifs(Students!$H:$H,$Y9,Students!$I:$I,$Y$2&amp;if($K9="S1","a",if($K9="S2","b","")),Students!$A:$A,AS$2)+countifs(Students!$J:$J,$Y9,Students!$K:$K,$Y$2&amp;if($K9="S1","a",if($K9="S2","b","")),Students!$A:$A,AS$2)+countifs(Students!$L:$L,$Y9,Students!$M:$M,$Y$2&amp;if($K9="S1","a",if($K9="S2","b","")),Students!$A:$A,AS$2)+countifs(Students!$N:$N,$Y9,Students!$O:$O,$Y$2&amp;if($K9="S1","a",if($K9="S2","b","")),Students!$A:$A,AS$2)+countifs(Students!$P:$P,$Y9,Students!$Q:$Q,$Y$2&amp;if($K9="S1","a",if($K9="S2","b","")),Students!$A:$A,AS$2)+countifs(Students!$R:$R,$Y9,Students!$S:$S,$Y$2&amp;if($K9="S1","a",if($K9="S2","b","")),Students!$A:$A,AS$2)+countifs(Students!$T:$T,$Y9,Students!$U:$U,$Y$2&amp;if($K9="S1","a",if($K9="S2","b","")),Students!$A:$A,AS$2)+countifs(Students!$V:$V,$Y9,Students!$W:$W,$Y$2&amp;if($K9="S1","a",if($K9="S2","b","")),Students!$A:$A,AS$2)+
countifs(Students!$D:$D,$AB9,Students!$E:$E,$AB$2&amp;if($K9="S1","a",if($K9="S2","b","")),Students!$A:$A,AS$2)+countifs(Students!$F:$F,$AB9,Students!$G:$G,$AB$2&amp;if($K9="S1","a",if($K9="S2","b","")),Students!$A:$A,AS$2)+countifs(Students!$H:$H,$AB9,Students!$I:$I,$AB$2&amp;if($K9="S1","a",if($K9="S2","b","")),Students!$A:$A,AS$2)+countifs(Students!$J:$J,$AB9,Students!$K:$K,$AB$2&amp;if($K9="S1","a",if($K9="S2","b","")),Students!$A:$A,AS$2)+countifs(Students!$L:$L,$AB9,Students!$M:$M,$AB$2&amp;if($K9="S1","a",if($K9="S2","b","")),Students!$A:$A,AS$2)+countifs(Students!$N:$N,$AB9,Students!$O:$O,$AB$2&amp;if($K9="S1","a",if($K9="S2","b","")),Students!$A:$A,AS$2)+countifs(Students!$P:$P,$AB9,Students!$Q:$Q,$AB$2&amp;if($K9="S1","a",if($K9="S2","b","")),Students!$A:$A,AS$2)+countifs(Students!$R:$R,$AB9,Students!$S:$S,$AB$2&amp;if($K9="S1","a",if($K9="S2","b","")),Students!$A:$A,AS$2)+countifs(Students!$T:$T,$AB9,Students!$U:$U,$AB$2&amp;if($K9="S1","a",if($K9="S2","b","")),Students!$A:$A,AS$2)+countifs(Students!$V:$V,$AB9,Students!$W:$W,$AB$2&amp;if($K9="S1","a",if($K9="S2","b","")),Students!$A:$A,AS$2)+
countifs(Students!$D:$D,$AE9,Students!$E:$E,$AE$2&amp;if($K9="S1","a",if($K9="S2","b","")),Students!$A:$A,AS$2)+countifs(Students!$F:$F,$AE9,Students!$G:$G,$AE$2&amp;if($K9="S1","a",if($K9="S2","b","")),Students!$A:$A,AS$2)+countifs(Students!$H:$H,$AE9,Students!$I:$I,$AE$2&amp;if($K9="S1","a",if($K9="S2","b","")),Students!$A:$A,AS$2)+countifs(Students!$J:$J,$AE9,Students!$K:$K,$AE$2&amp;if($K9="S1","a",if($K9="S2","b","")),Students!$A:$A,AS$2)+countifs(Students!$L:$L,$AE9,Students!$M:$M,$AE$2&amp;if($K9="S1","a",if($K9="S2","b","")),Students!$A:$A,AS$2)+countifs(Students!$N:$N,$AE9,Students!$O:$O,$AE$2&amp;if($K9="S1","a",if($K9="S2","b","")),Students!$A:$A,AS$2)+countifs(Students!$P:$P,$AE9,Students!$Q:$Q,$AE$2&amp;if($K9="S1","a",if($K9="S2","b","")),Students!$A:$A,AS$2)+countifs(Students!$R:$R,$AE9,Students!$S:$S,$AE$2&amp;if($K9="S1","a",if($K9="S2","b","")),Students!$A:$A,AS$2)+countifs(Students!$T:$T,$AE9,Students!$U:$U,$AE$2&amp;if($K9="S1","a",if($K9="S2","b","")),Students!$A:$A,AS$2)+countifs(Students!$V:$V,$AE9,Students!$W:$W,$AE$2&amp;if($K9="S1","a",if($K9="S2","b","")),Students!$A:$A,AS$2)+
countifs(Students!$D:$D,$AH9,Students!$E:$E,$AH$2&amp;if($K9="S1","a",if($K9="S2","b","")),Students!$A:$A,AS$2)+countifs(Students!$F:$F,$AH9,Students!$G:$G,$AH$2&amp;if($K9="S1","a",if($K9="S2","b","")),Students!$A:$A,AS$2)+countifs(Students!$H:$H,$AH9,Students!$I:$I,$AH$2&amp;if($K9="S1","a",if($K9="S2","b","")),Students!$A:$A,AS$2)+countifs(Students!$J:$J,$AH9,Students!$K:$K,$AH$2&amp;if($K9="S1","a",if($K9="S2","b","")),Students!$A:$A,AS$2)+countifs(Students!$L:$L,$AH9,Students!$M:$M,$AH$2&amp;if($K9="S1","a",if($K9="S2","b","")),Students!$A:$A,AS$2)+countifs(Students!$N:$N,$AH9,Students!$O:$O,$AH$2&amp;if($K9="S1","a",if($K9="S2","b","")),Students!$A:$A,AS$2)+countifs(Students!$P:$P,$AH9,Students!$Q:$Q,$AH$2&amp;if($K9="S1","a",if($K9="S2","b","")),Students!$A:$A,AS$2)+countifs(Students!$R:$R,$AH9,Students!$S:$S,$AH$2&amp;if($K9="S1","a",if($K9="S2","b","")),Students!$A:$A,AS$2)+countifs(Students!$T:$T,$AH9,Students!$U:$U,$AH$2&amp;if($K9="S1","a",if($K9="S2","b","")),Students!$A:$A,AS$2)+countifs(Students!$V:$V,$AH9,Students!$W:$W,$AH$2&amp;if($K9="S1","a",if($K9="S2","b","")),Students!$A:$A,AS$2)+
countifs(Students!$D:$D,$AK9,Students!$E:$E,$AK$2&amp;if($K9="S1","a",if($K9="S2","b","")),Students!$A:$A,AS$2)+countifs(Students!$F:$F,$AK9,Students!$G:$G,$AK$2&amp;if($K9="S1","a",if($K9="S2","b","")),Students!$A:$A,AS$2)+countifs(Students!$H:$H,$AK9,Students!$I:$I,$AK$2&amp;if($K9="S1","a",if($K9="S2","b","")),Students!$A:$A,AS$2)+countifs(Students!$J:$J,$AK9,Students!$K:$K,$AK$2&amp;if($K9="S1","a",if($K9="S2","b","")),Students!$A:$A,AS$2)+countifs(Students!$L:$L,$AK9,Students!$M:$M,$AK$2&amp;if($K9="S1","a",if($K9="S2","b","")),Students!$A:$A,AS$2)+countifs(Students!$N:$N,$AK9,Students!$O:$O,$AK$2&amp;if($K9="S1","a",if($K9="S2","b","")),Students!$A:$A,AS$2)+countifs(Students!$P:$P,$AK9,Students!$Q:$Q,$AK$2&amp;if($K9="S1","a",if($K9="S2","b","")),Students!$A:$A,AS$2)+countifs(Students!$R:$R,$AK9,Students!$S:$S,$AK$2&amp;if($K9="S1","a",if($K9="S2","b","")),Students!$A:$A,AS$2)+countifs(Students!$T:$T,$AK9,Students!$U:$U,$AK$2&amp;if($K9="S1","a",if($K9="S2","b","")),Students!$A:$A,AS$2)+countifs(Students!$V:$V,$AK9,Students!$W:$W,$AK$2&amp;if($K9="S1","a",if($K9="S2","b","")),Students!$A:$A,AS$2))</f>
        <v>0</v>
      </c>
    </row>
    <row r="10">
      <c r="A10" s="100"/>
      <c r="B10" s="21">
        <v>1.0</v>
      </c>
      <c r="C10" s="21">
        <v>2.0</v>
      </c>
      <c r="D10" s="21">
        <v>3.0</v>
      </c>
      <c r="E10" s="21">
        <v>4.0</v>
      </c>
      <c r="F10" s="21">
        <v>5.0</v>
      </c>
      <c r="G10" s="21">
        <v>6.0</v>
      </c>
      <c r="H10" s="21">
        <v>7.0</v>
      </c>
      <c r="I10" s="21">
        <v>8.0</v>
      </c>
      <c r="J10" s="87">
        <v>98.0</v>
      </c>
      <c r="K10" s="88"/>
      <c r="L10" s="58" t="s">
        <v>42</v>
      </c>
      <c r="M10" s="89"/>
      <c r="N10" s="87">
        <v>2.0</v>
      </c>
      <c r="O10" s="87">
        <f>IFERROR(__xludf.DUMMYFUNCTION("3*counta((transpose(filter(P10:AM10,P10:AM10&lt;&gt;"""",isnumber(P10:AM10)=false))))"),15.0)</f>
        <v>15</v>
      </c>
      <c r="P10" s="90" t="s">
        <v>43</v>
      </c>
      <c r="Q10" s="91">
        <v>1.0</v>
      </c>
      <c r="R10" s="98">
        <v>14.0</v>
      </c>
      <c r="S10" s="91" t="s">
        <v>40</v>
      </c>
      <c r="T10" s="76">
        <v>4.0</v>
      </c>
      <c r="U10" s="77">
        <v>23.0</v>
      </c>
      <c r="V10" s="94"/>
      <c r="W10" s="94"/>
      <c r="X10" s="95" t="s">
        <v>22</v>
      </c>
      <c r="Y10" s="90" t="s">
        <v>43</v>
      </c>
      <c r="Z10" s="101">
        <v>2.0</v>
      </c>
      <c r="AA10" s="98">
        <v>18.0</v>
      </c>
      <c r="AB10" s="91" t="s">
        <v>40</v>
      </c>
      <c r="AC10" s="91">
        <v>5.0</v>
      </c>
      <c r="AD10" s="92">
        <v>23.0</v>
      </c>
      <c r="AE10" s="90"/>
      <c r="AF10" s="91"/>
      <c r="AG10" s="92" t="s">
        <v>22</v>
      </c>
      <c r="AH10" s="91"/>
      <c r="AI10" s="96"/>
      <c r="AJ10" s="92" t="s">
        <v>22</v>
      </c>
      <c r="AK10" s="91" t="s">
        <v>40</v>
      </c>
      <c r="AL10" s="96">
        <v>6.0</v>
      </c>
      <c r="AM10" s="92">
        <v>20.0</v>
      </c>
      <c r="AN10" s="99"/>
      <c r="AO10" s="52">
        <f t="shared" si="1"/>
        <v>98</v>
      </c>
      <c r="AP10" s="102">
        <f>if($L10="","",countifs(Students!$D:$D,$P10,Students!$E:$E,$P$2&amp;if($K10="S1","a",if($K10="S2","b","")),Students!$A:$A,AP$2)+countifs(Students!$F:$F,$P10,Students!$G:$G,$P$2&amp;if($K10="S1","a",if($K10="S2","b","")),Students!$A:$A,AP$2)+countifs(Students!$H:$H,$P10,Students!$I:$I,$P$2&amp;if($K10="S1","a",if($K10="S2","b","")),Students!$A:$A,AP$2)+countifs(Students!$J:$J,$P10,Students!$K:$K,$P$2&amp;if($K10="S1","a",if($K10="S2","b","")),Students!$A:$A,AP$2)+countifs(Students!$L:$L,$P10,Students!$M:$M,$P$2&amp;if($K10="S1","a",if($K10="S2","b","")),Students!$A:$A,AP$2)+countifs(Students!$N:$N,$P10,Students!$O:$O,$P$2&amp;if($K10="S1","a",if($K10="S2","b","")),Students!$A:$A,AP$2)+countifs(Students!$P:$P,$P10,Students!$Q:$Q,$P$2&amp;if($K10="S1","a",if($K10="S2","b","")),Students!$A:$A,AP$2)+countifs(Students!$R:$R,$P10,Students!$S:$S,$P$2&amp;if($K10="S1","a",if($K10="S2","b","")),Students!$A:$A,AP$2)+countifs(Students!$T:$T,$P10,Students!$U:$U,$P$2&amp;if($K10="S1","a",if($K10="S2","b","")),Students!$A:$A,AP$2)+countifs(Students!$V:$V,$P10,Students!$W:$W,$P$2&amp;if($K10="S1","a",if($K10="S2","b","")),Students!$A:$A,AP$2)+
countifs(Students!$D:$D,$S10,Students!$E:$E,$S$2&amp;if($K10="S1","a",if($K10="S2","b","")),Students!$A:$A,AP$2)+countifs(Students!$F:$F,$S10,Students!$G:$G,$S$2&amp;if($K10="S1","a",if($K10="S2","b","")),Students!$A:$A,AP$2)+countifs(Students!$H:$H,$S10,Students!$I:$I,$S$2&amp;if($K10="S1","a",if($K10="S2","b","")),Students!$A:$A,AP$2)+countifs(Students!$J:$J,$S10,Students!$K:$K,$S$2&amp;if($K10="S1","a",if($K10="S2","b","")),Students!$A:$A,AP$2)+countifs(Students!$L:$L,$S10,Students!$M:$M,$S$2&amp;if($K10="S1","a",if($K10="S2","b","")),Students!$A:$A,AP$2)+countifs(Students!$N:$N,$S10,Students!$O:$O,$S$2&amp;if($K10="S1","a",if($K10="S2","b","")),Students!$A:$A,AP$2)+countifs(Students!$P:$P,$S10,Students!$Q:$Q,$S$2&amp;if($K10="S1","a",if($K10="S2","b","")),Students!$A:$A,AP$2)+countifs(Students!$R:$R,$S10,Students!$S:$S,$S$2&amp;if($K10="S1","a",if($K10="S2","b","")),Students!$A:$A,AP$2)+countifs(Students!$T:$T,$S10,Students!$U:$U,$S$2&amp;if($K10="S1","a",if($K10="S2","b","")),Students!$A:$A,AP$2)+countifs(Students!$V:$V,$S10,Students!$W:$W,$S$2&amp;if($K10="S1","a",if($K10="S2","b","")),Students!$A:$A,AP$2)+
countifs(Students!$D:$D,$V10,Students!$E:$E,$V$2&amp;if($K10="S1","a",if($K10="S2","b","")),Students!$A:$A,AP$2)+countifs(Students!$F:$F,$V10,Students!$G:$G,$V$2&amp;if($K10="S1","a",if($K10="S2","b","")),Students!$A:$A,AP$2)+countifs(Students!$H:$H,$V10,Students!$I:$I,$V$2&amp;if($K10="S1","a",if($K10="S2","b","")),Students!$A:$A,AP$2)+countifs(Students!$J:$J,$V10,Students!$K:$K,$V$2&amp;if($K10="S1","a",if($K10="S2","b","")),Students!$A:$A,AP$2)+countifs(Students!$L:$L,$V10,Students!$M:$M,$V$2&amp;if($K10="S1","a",if($K10="S2","b","")),Students!$A:$A,AP$2)+countifs(Students!$N:$N,$V10,Students!$O:$O,$V$2&amp;if($K10="S1","a",if($K10="S2","b","")),Students!$A:$A,AP$2)+countifs(Students!$P:$P,$V10,Students!$Q:$Q,$V$2&amp;if($K10="S1","a",if($K10="S2","b","")),Students!$A:$A,AP$2)+countifs(Students!$R:$R,$V10,Students!$S:$S,$V$2&amp;if($K10="S1","a",if($K10="S2","b","")),Students!$A:$A,AP$2)+countifs(Students!$T:$T,$V10,Students!$U:$U,$V$2&amp;if($K10="S1","a",if($K10="S2","b","")),Students!$A:$A,AP$2)+countifs(Students!$V:$V,$V10,Students!$W:$W,$V$2&amp;if($K10="S1","a",if($K10="S2","b","")),Students!$A:$A,AP$2)+
countifs(Students!$D:$D,$Y10,Students!$E:$E,$Y$2&amp;if($K10="S1","a",if($K10="S2","b","")),Students!$A:$A,AP$2)+countifs(Students!$F:$F,$Y10,Students!$G:$G,$Y$2&amp;if($K10="S1","a",if($K10="S2","b","")),Students!$A:$A,AP$2)+countifs(Students!$H:$H,$Y10,Students!$I:$I,$Y$2&amp;if($K10="S1","a",if($K10="S2","b","")),Students!$A:$A,AP$2)+countifs(Students!$J:$J,$Y10,Students!$K:$K,$Y$2&amp;if($K10="S1","a",if($K10="S2","b","")),Students!$A:$A,AP$2)+countifs(Students!$L:$L,$Y10,Students!$M:$M,$Y$2&amp;if($K10="S1","a",if($K10="S2","b","")),Students!$A:$A,AP$2)+countifs(Students!$N:$N,$Y10,Students!$O:$O,$Y$2&amp;if($K10="S1","a",if($K10="S2","b","")),Students!$A:$A,AP$2)+countifs(Students!$P:$P,$Y10,Students!$Q:$Q,$Y$2&amp;if($K10="S1","a",if($K10="S2","b","")),Students!$A:$A,AP$2)+countifs(Students!$R:$R,$Y10,Students!$S:$S,$Y$2&amp;if($K10="S1","a",if($K10="S2","b","")),Students!$A:$A,AP$2)+countifs(Students!$T:$T,$Y10,Students!$U:$U,$Y$2&amp;if($K10="S1","a",if($K10="S2","b","")),Students!$A:$A,AP$2)+countifs(Students!$V:$V,$Y10,Students!$W:$W,$Y$2&amp;if($K10="S1","a",if($K10="S2","b","")),Students!$A:$A,AP$2)+
countifs(Students!$D:$D,$AB10,Students!$E:$E,$AB$2&amp;if($K10="S1","a",if($K10="S2","b","")),Students!$A:$A,AP$2)+countifs(Students!$F:$F,$AB10,Students!$G:$G,$AB$2&amp;if($K10="S1","a",if($K10="S2","b","")),Students!$A:$A,AP$2)+countifs(Students!$H:$H,$AB10,Students!$I:$I,$AB$2&amp;if($K10="S1","a",if($K10="S2","b","")),Students!$A:$A,AP$2)+countifs(Students!$J:$J,$AB10,Students!$K:$K,$AB$2&amp;if($K10="S1","a",if($K10="S2","b","")),Students!$A:$A,AP$2)+countifs(Students!$L:$L,$AB10,Students!$M:$M,$AB$2&amp;if($K10="S1","a",if($K10="S2","b","")),Students!$A:$A,AP$2)+countifs(Students!$N:$N,$AB10,Students!$O:$O,$AB$2&amp;if($K10="S1","a",if($K10="S2","b","")),Students!$A:$A,AP$2)+countifs(Students!$P:$P,$AB10,Students!$Q:$Q,$AB$2&amp;if($K10="S1","a",if($K10="S2","b","")),Students!$A:$A,AP$2)+countifs(Students!$R:$R,$AB10,Students!$S:$S,$AB$2&amp;if($K10="S1","a",if($K10="S2","b","")),Students!$A:$A,AP$2)+countifs(Students!$T:$T,$AB10,Students!$U:$U,$AB$2&amp;if($K10="S1","a",if($K10="S2","b","")),Students!$A:$A,AP$2)+countifs(Students!$V:$V,$AB10,Students!$W:$W,$AB$2&amp;if($K10="S1","a",if($K10="S2","b","")),Students!$A:$A,AP$2)+
countifs(Students!$D:$D,$AE10,Students!$E:$E,$AE$2&amp;if($K10="S1","a",if($K10="S2","b","")),Students!$A:$A,AP$2)+countifs(Students!$F:$F,$AE10,Students!$G:$G,$AE$2&amp;if($K10="S1","a",if($K10="S2","b","")),Students!$A:$A,AP$2)+countifs(Students!$H:$H,$AE10,Students!$I:$I,$AE$2&amp;if($K10="S1","a",if($K10="S2","b","")),Students!$A:$A,AP$2)+countifs(Students!$J:$J,$AE10,Students!$K:$K,$AE$2&amp;if($K10="S1","a",if($K10="S2","b","")),Students!$A:$A,AP$2)+countifs(Students!$L:$L,$AE10,Students!$M:$M,$AE$2&amp;if($K10="S1","a",if($K10="S2","b","")),Students!$A:$A,AP$2)+countifs(Students!$N:$N,$AE10,Students!$O:$O,$AE$2&amp;if($K10="S1","a",if($K10="S2","b","")),Students!$A:$A,AP$2)+countifs(Students!$P:$P,$AE10,Students!$Q:$Q,$AE$2&amp;if($K10="S1","a",if($K10="S2","b","")),Students!$A:$A,AP$2)+countifs(Students!$R:$R,$AE10,Students!$S:$S,$AE$2&amp;if($K10="S1","a",if($K10="S2","b","")),Students!$A:$A,AP$2)+countifs(Students!$T:$T,$AE10,Students!$U:$U,$AE$2&amp;if($K10="S1","a",if($K10="S2","b","")),Students!$A:$A,AP$2)+countifs(Students!$V:$V,$AE10,Students!$W:$W,$AE$2&amp;if($K10="S1","a",if($K10="S2","b","")),Students!$A:$A,AP$2)+
countifs(Students!$D:$D,$AH10,Students!$E:$E,$AH$2&amp;if($K10="S1","a",if($K10="S2","b","")),Students!$A:$A,AP$2)+countifs(Students!$F:$F,$AH10,Students!$G:$G,$AH$2&amp;if($K10="S1","a",if($K10="S2","b","")),Students!$A:$A,AP$2)+countifs(Students!$H:$H,$AH10,Students!$I:$I,$AH$2&amp;if($K10="S1","a",if($K10="S2","b","")),Students!$A:$A,AP$2)+countifs(Students!$J:$J,$AH10,Students!$K:$K,$AH$2&amp;if($K10="S1","a",if($K10="S2","b","")),Students!$A:$A,AP$2)+countifs(Students!$L:$L,$AH10,Students!$M:$M,$AH$2&amp;if($K10="S1","a",if($K10="S2","b","")),Students!$A:$A,AP$2)+countifs(Students!$N:$N,$AH10,Students!$O:$O,$AH$2&amp;if($K10="S1","a",if($K10="S2","b","")),Students!$A:$A,AP$2)+countifs(Students!$P:$P,$AH10,Students!$Q:$Q,$AH$2&amp;if($K10="S1","a",if($K10="S2","b","")),Students!$A:$A,AP$2)+countifs(Students!$R:$R,$AH10,Students!$S:$S,$AH$2&amp;if($K10="S1","a",if($K10="S2","b","")),Students!$A:$A,AP$2)+countifs(Students!$T:$T,$AH10,Students!$U:$U,$AH$2&amp;if($K10="S1","a",if($K10="S2","b","")),Students!$A:$A,AP$2)+countifs(Students!$V:$V,$AH10,Students!$W:$W,$AH$2&amp;if($K10="S1","a",if($K10="S2","b","")),Students!$A:$A,AP$2)+
countifs(Students!$D:$D,$AK10,Students!$E:$E,$AK$2&amp;if($K10="S1","a",if($K10="S2","b","")),Students!$A:$A,AP$2)+countifs(Students!$F:$F,$AK10,Students!$G:$G,$AK$2&amp;if($K10="S1","a",if($K10="S2","b","")),Students!$A:$A,AP$2)+countifs(Students!$H:$H,$AK10,Students!$I:$I,$AK$2&amp;if($K10="S1","a",if($K10="S2","b","")),Students!$A:$A,AP$2)+countifs(Students!$J:$J,$AK10,Students!$K:$K,$AK$2&amp;if($K10="S1","a",if($K10="S2","b","")),Students!$A:$A,AP$2)+countifs(Students!$L:$L,$AK10,Students!$M:$M,$AK$2&amp;if($K10="S1","a",if($K10="S2","b","")),Students!$A:$A,AP$2)+countifs(Students!$N:$N,$AK10,Students!$O:$O,$AK$2&amp;if($K10="S1","a",if($K10="S2","b","")),Students!$A:$A,AP$2)+countifs(Students!$P:$P,$AK10,Students!$Q:$Q,$AK$2&amp;if($K10="S1","a",if($K10="S2","b","")),Students!$A:$A,AP$2)+countifs(Students!$R:$R,$AK10,Students!$S:$S,$AK$2&amp;if($K10="S1","a",if($K10="S2","b","")),Students!$A:$A,AP$2)+countifs(Students!$T:$T,$AK10,Students!$U:$U,$AK$2&amp;if($K10="S1","a",if($K10="S2","b","")),Students!$A:$A,AP$2)+countifs(Students!$V:$V,$AK10,Students!$W:$W,$AK$2&amp;if($K10="S1","a",if($K10="S2","b","")),Students!$A:$A,AP$2))</f>
        <v>66</v>
      </c>
      <c r="AQ10" s="102">
        <f>if($L10="","",countifs(Students!$D:$D,$P10,Students!$E:$E,$P$2&amp;if($K10="S1","a",if($K10="S2","b","")),Students!$A:$A,AQ$2)+countifs(Students!$F:$F,$P10,Students!$G:$G,$P$2&amp;if($K10="S1","a",if($K10="S2","b","")),Students!$A:$A,AQ$2)+countifs(Students!$H:$H,$P10,Students!$I:$I,$P$2&amp;if($K10="S1","a",if($K10="S2","b","")),Students!$A:$A,AQ$2)+countifs(Students!$J:$J,$P10,Students!$K:$K,$P$2&amp;if($K10="S1","a",if($K10="S2","b","")),Students!$A:$A,AQ$2)+countifs(Students!$L:$L,$P10,Students!$M:$M,$P$2&amp;if($K10="S1","a",if($K10="S2","b","")),Students!$A:$A,AQ$2)+countifs(Students!$N:$N,$P10,Students!$O:$O,$P$2&amp;if($K10="S1","a",if($K10="S2","b","")),Students!$A:$A,AQ$2)+countifs(Students!$P:$P,$P10,Students!$Q:$Q,$P$2&amp;if($K10="S1","a",if($K10="S2","b","")),Students!$A:$A,AQ$2)+countifs(Students!$R:$R,$P10,Students!$S:$S,$P$2&amp;if($K10="S1","a",if($K10="S2","b","")),Students!$A:$A,AQ$2)+countifs(Students!$T:$T,$P10,Students!$U:$U,$P$2&amp;if($K10="S1","a",if($K10="S2","b","")),Students!$A:$A,AQ$2)+countifs(Students!$V:$V,$P10,Students!$W:$W,$P$2&amp;if($K10="S1","a",if($K10="S2","b","")),Students!$A:$A,AQ$2)+
countifs(Students!$D:$D,$S10,Students!$E:$E,$S$2&amp;if($K10="S1","a",if($K10="S2","b","")),Students!$A:$A,AQ$2)+countifs(Students!$F:$F,$S10,Students!$G:$G,$S$2&amp;if($K10="S1","a",if($K10="S2","b","")),Students!$A:$A,AQ$2)+countifs(Students!$H:$H,$S10,Students!$I:$I,$S$2&amp;if($K10="S1","a",if($K10="S2","b","")),Students!$A:$A,AQ$2)+countifs(Students!$J:$J,$S10,Students!$K:$K,$S$2&amp;if($K10="S1","a",if($K10="S2","b","")),Students!$A:$A,AQ$2)+countifs(Students!$L:$L,$S10,Students!$M:$M,$S$2&amp;if($K10="S1","a",if($K10="S2","b","")),Students!$A:$A,AQ$2)+countifs(Students!$N:$N,$S10,Students!$O:$O,$S$2&amp;if($K10="S1","a",if($K10="S2","b","")),Students!$A:$A,AQ$2)+countifs(Students!$P:$P,$S10,Students!$Q:$Q,$S$2&amp;if($K10="S1","a",if($K10="S2","b","")),Students!$A:$A,AQ$2)+countifs(Students!$R:$R,$S10,Students!$S:$S,$S$2&amp;if($K10="S1","a",if($K10="S2","b","")),Students!$A:$A,AQ$2)+countifs(Students!$T:$T,$S10,Students!$U:$U,$S$2&amp;if($K10="S1","a",if($K10="S2","b","")),Students!$A:$A,AQ$2)+countifs(Students!$V:$V,$S10,Students!$W:$W,$S$2&amp;if($K10="S1","a",if($K10="S2","b","")),Students!$A:$A,AQ$2)+
countifs(Students!$D:$D,$V10,Students!$E:$E,$V$2&amp;if($K10="S1","a",if($K10="S2","b","")),Students!$A:$A,AQ$2)+countifs(Students!$F:$F,$V10,Students!$G:$G,$V$2&amp;if($K10="S1","a",if($K10="S2","b","")),Students!$A:$A,AQ$2)+countifs(Students!$H:$H,$V10,Students!$I:$I,$V$2&amp;if($K10="S1","a",if($K10="S2","b","")),Students!$A:$A,AQ$2)+countifs(Students!$J:$J,$V10,Students!$K:$K,$V$2&amp;if($K10="S1","a",if($K10="S2","b","")),Students!$A:$A,AQ$2)+countifs(Students!$L:$L,$V10,Students!$M:$M,$V$2&amp;if($K10="S1","a",if($K10="S2","b","")),Students!$A:$A,AQ$2)+countifs(Students!$N:$N,$V10,Students!$O:$O,$V$2&amp;if($K10="S1","a",if($K10="S2","b","")),Students!$A:$A,AQ$2)+countifs(Students!$P:$P,$V10,Students!$Q:$Q,$V$2&amp;if($K10="S1","a",if($K10="S2","b","")),Students!$A:$A,AQ$2)+countifs(Students!$R:$R,$V10,Students!$S:$S,$V$2&amp;if($K10="S1","a",if($K10="S2","b","")),Students!$A:$A,AQ$2)+countifs(Students!$T:$T,$V10,Students!$U:$U,$V$2&amp;if($K10="S1","a",if($K10="S2","b","")),Students!$A:$A,AQ$2)+countifs(Students!$V:$V,$V10,Students!$W:$W,$V$2&amp;if($K10="S1","a",if($K10="S2","b","")),Students!$A:$A,AQ$2)+
countifs(Students!$D:$D,$Y10,Students!$E:$E,$Y$2&amp;if($K10="S1","a",if($K10="S2","b","")),Students!$A:$A,AQ$2)+countifs(Students!$F:$F,$Y10,Students!$G:$G,$Y$2&amp;if($K10="S1","a",if($K10="S2","b","")),Students!$A:$A,AQ$2)+countifs(Students!$H:$H,$Y10,Students!$I:$I,$Y$2&amp;if($K10="S1","a",if($K10="S2","b","")),Students!$A:$A,AQ$2)+countifs(Students!$J:$J,$Y10,Students!$K:$K,$Y$2&amp;if($K10="S1","a",if($K10="S2","b","")),Students!$A:$A,AQ$2)+countifs(Students!$L:$L,$Y10,Students!$M:$M,$Y$2&amp;if($K10="S1","a",if($K10="S2","b","")),Students!$A:$A,AQ$2)+countifs(Students!$N:$N,$Y10,Students!$O:$O,$Y$2&amp;if($K10="S1","a",if($K10="S2","b","")),Students!$A:$A,AQ$2)+countifs(Students!$P:$P,$Y10,Students!$Q:$Q,$Y$2&amp;if($K10="S1","a",if($K10="S2","b","")),Students!$A:$A,AQ$2)+countifs(Students!$R:$R,$Y10,Students!$S:$S,$Y$2&amp;if($K10="S1","a",if($K10="S2","b","")),Students!$A:$A,AQ$2)+countifs(Students!$T:$T,$Y10,Students!$U:$U,$Y$2&amp;if($K10="S1","a",if($K10="S2","b","")),Students!$A:$A,AQ$2)+countifs(Students!$V:$V,$Y10,Students!$W:$W,$Y$2&amp;if($K10="S1","a",if($K10="S2","b","")),Students!$A:$A,AQ$2)+
countifs(Students!$D:$D,$AB10,Students!$E:$E,$AB$2&amp;if($K10="S1","a",if($K10="S2","b","")),Students!$A:$A,AQ$2)+countifs(Students!$F:$F,$AB10,Students!$G:$G,$AB$2&amp;if($K10="S1","a",if($K10="S2","b","")),Students!$A:$A,AQ$2)+countifs(Students!$H:$H,$AB10,Students!$I:$I,$AB$2&amp;if($K10="S1","a",if($K10="S2","b","")),Students!$A:$A,AQ$2)+countifs(Students!$J:$J,$AB10,Students!$K:$K,$AB$2&amp;if($K10="S1","a",if($K10="S2","b","")),Students!$A:$A,AQ$2)+countifs(Students!$L:$L,$AB10,Students!$M:$M,$AB$2&amp;if($K10="S1","a",if($K10="S2","b","")),Students!$A:$A,AQ$2)+countifs(Students!$N:$N,$AB10,Students!$O:$O,$AB$2&amp;if($K10="S1","a",if($K10="S2","b","")),Students!$A:$A,AQ$2)+countifs(Students!$P:$P,$AB10,Students!$Q:$Q,$AB$2&amp;if($K10="S1","a",if($K10="S2","b","")),Students!$A:$A,AQ$2)+countifs(Students!$R:$R,$AB10,Students!$S:$S,$AB$2&amp;if($K10="S1","a",if($K10="S2","b","")),Students!$A:$A,AQ$2)+countifs(Students!$T:$T,$AB10,Students!$U:$U,$AB$2&amp;if($K10="S1","a",if($K10="S2","b","")),Students!$A:$A,AQ$2)+countifs(Students!$V:$V,$AB10,Students!$W:$W,$AB$2&amp;if($K10="S1","a",if($K10="S2","b","")),Students!$A:$A,AQ$2)+
countifs(Students!$D:$D,$AE10,Students!$E:$E,$AE$2&amp;if($K10="S1","a",if($K10="S2","b","")),Students!$A:$A,AQ$2)+countifs(Students!$F:$F,$AE10,Students!$G:$G,$AE$2&amp;if($K10="S1","a",if($K10="S2","b","")),Students!$A:$A,AQ$2)+countifs(Students!$H:$H,$AE10,Students!$I:$I,$AE$2&amp;if($K10="S1","a",if($K10="S2","b","")),Students!$A:$A,AQ$2)+countifs(Students!$J:$J,$AE10,Students!$K:$K,$AE$2&amp;if($K10="S1","a",if($K10="S2","b","")),Students!$A:$A,AQ$2)+countifs(Students!$L:$L,$AE10,Students!$M:$M,$AE$2&amp;if($K10="S1","a",if($K10="S2","b","")),Students!$A:$A,AQ$2)+countifs(Students!$N:$N,$AE10,Students!$O:$O,$AE$2&amp;if($K10="S1","a",if($K10="S2","b","")),Students!$A:$A,AQ$2)+countifs(Students!$P:$P,$AE10,Students!$Q:$Q,$AE$2&amp;if($K10="S1","a",if($K10="S2","b","")),Students!$A:$A,AQ$2)+countifs(Students!$R:$R,$AE10,Students!$S:$S,$AE$2&amp;if($K10="S1","a",if($K10="S2","b","")),Students!$A:$A,AQ$2)+countifs(Students!$T:$T,$AE10,Students!$U:$U,$AE$2&amp;if($K10="S1","a",if($K10="S2","b","")),Students!$A:$A,AQ$2)+countifs(Students!$V:$V,$AE10,Students!$W:$W,$AE$2&amp;if($K10="S1","a",if($K10="S2","b","")),Students!$A:$A,AQ$2)+
countifs(Students!$D:$D,$AH10,Students!$E:$E,$AH$2&amp;if($K10="S1","a",if($K10="S2","b","")),Students!$A:$A,AQ$2)+countifs(Students!$F:$F,$AH10,Students!$G:$G,$AH$2&amp;if($K10="S1","a",if($K10="S2","b","")),Students!$A:$A,AQ$2)+countifs(Students!$H:$H,$AH10,Students!$I:$I,$AH$2&amp;if($K10="S1","a",if($K10="S2","b","")),Students!$A:$A,AQ$2)+countifs(Students!$J:$J,$AH10,Students!$K:$K,$AH$2&amp;if($K10="S1","a",if($K10="S2","b","")),Students!$A:$A,AQ$2)+countifs(Students!$L:$L,$AH10,Students!$M:$M,$AH$2&amp;if($K10="S1","a",if($K10="S2","b","")),Students!$A:$A,AQ$2)+countifs(Students!$N:$N,$AH10,Students!$O:$O,$AH$2&amp;if($K10="S1","a",if($K10="S2","b","")),Students!$A:$A,AQ$2)+countifs(Students!$P:$P,$AH10,Students!$Q:$Q,$AH$2&amp;if($K10="S1","a",if($K10="S2","b","")),Students!$A:$A,AQ$2)+countifs(Students!$R:$R,$AH10,Students!$S:$S,$AH$2&amp;if($K10="S1","a",if($K10="S2","b","")),Students!$A:$A,AQ$2)+countifs(Students!$T:$T,$AH10,Students!$U:$U,$AH$2&amp;if($K10="S1","a",if($K10="S2","b","")),Students!$A:$A,AQ$2)+countifs(Students!$V:$V,$AH10,Students!$W:$W,$AH$2&amp;if($K10="S1","a",if($K10="S2","b","")),Students!$A:$A,AQ$2)+
countifs(Students!$D:$D,$AK10,Students!$E:$E,$AK$2&amp;if($K10="S1","a",if($K10="S2","b","")),Students!$A:$A,AQ$2)+countifs(Students!$F:$F,$AK10,Students!$G:$G,$AK$2&amp;if($K10="S1","a",if($K10="S2","b","")),Students!$A:$A,AQ$2)+countifs(Students!$H:$H,$AK10,Students!$I:$I,$AK$2&amp;if($K10="S1","a",if($K10="S2","b","")),Students!$A:$A,AQ$2)+countifs(Students!$J:$J,$AK10,Students!$K:$K,$AK$2&amp;if($K10="S1","a",if($K10="S2","b","")),Students!$A:$A,AQ$2)+countifs(Students!$L:$L,$AK10,Students!$M:$M,$AK$2&amp;if($K10="S1","a",if($K10="S2","b","")),Students!$A:$A,AQ$2)+countifs(Students!$N:$N,$AK10,Students!$O:$O,$AK$2&amp;if($K10="S1","a",if($K10="S2","b","")),Students!$A:$A,AQ$2)+countifs(Students!$P:$P,$AK10,Students!$Q:$Q,$AK$2&amp;if($K10="S1","a",if($K10="S2","b","")),Students!$A:$A,AQ$2)+countifs(Students!$R:$R,$AK10,Students!$S:$S,$AK$2&amp;if($K10="S1","a",if($K10="S2","b","")),Students!$A:$A,AQ$2)+countifs(Students!$T:$T,$AK10,Students!$U:$U,$AK$2&amp;if($K10="S1","a",if($K10="S2","b","")),Students!$A:$A,AQ$2)+countifs(Students!$V:$V,$AK10,Students!$W:$W,$AK$2&amp;if($K10="S1","a",if($K10="S2","b","")),Students!$A:$A,AQ$2))</f>
        <v>0</v>
      </c>
      <c r="AR10" s="102">
        <f>if($L10="","",countifs(Students!$D:$D,$P10,Students!$E:$E,$P$2&amp;if($K10="S1","a",if($K10="S2","b","")),Students!$A:$A,AR$2)+countifs(Students!$F:$F,$P10,Students!$G:$G,$P$2&amp;if($K10="S1","a",if($K10="S2","b","")),Students!$A:$A,AR$2)+countifs(Students!$H:$H,$P10,Students!$I:$I,$P$2&amp;if($K10="S1","a",if($K10="S2","b","")),Students!$A:$A,AR$2)+countifs(Students!$J:$J,$P10,Students!$K:$K,$P$2&amp;if($K10="S1","a",if($K10="S2","b","")),Students!$A:$A,AR$2)+countifs(Students!$L:$L,$P10,Students!$M:$M,$P$2&amp;if($K10="S1","a",if($K10="S2","b","")),Students!$A:$A,AR$2)+countifs(Students!$N:$N,$P10,Students!$O:$O,$P$2&amp;if($K10="S1","a",if($K10="S2","b","")),Students!$A:$A,AR$2)+countifs(Students!$P:$P,$P10,Students!$Q:$Q,$P$2&amp;if($K10="S1","a",if($K10="S2","b","")),Students!$A:$A,AR$2)+countifs(Students!$R:$R,$P10,Students!$S:$S,$P$2&amp;if($K10="S1","a",if($K10="S2","b","")),Students!$A:$A,AR$2)+countifs(Students!$T:$T,$P10,Students!$U:$U,$P$2&amp;if($K10="S1","a",if($K10="S2","b","")),Students!$A:$A,AR$2)+countifs(Students!$V:$V,$P10,Students!$W:$W,$P$2&amp;if($K10="S1","a",if($K10="S2","b","")),Students!$A:$A,AR$2)+
countifs(Students!$D:$D,$S10,Students!$E:$E,$S$2&amp;if($K10="S1","a",if($K10="S2","b","")),Students!$A:$A,AR$2)+countifs(Students!$F:$F,$S10,Students!$G:$G,$S$2&amp;if($K10="S1","a",if($K10="S2","b","")),Students!$A:$A,AR$2)+countifs(Students!$H:$H,$S10,Students!$I:$I,$S$2&amp;if($K10="S1","a",if($K10="S2","b","")),Students!$A:$A,AR$2)+countifs(Students!$J:$J,$S10,Students!$K:$K,$S$2&amp;if($K10="S1","a",if($K10="S2","b","")),Students!$A:$A,AR$2)+countifs(Students!$L:$L,$S10,Students!$M:$M,$S$2&amp;if($K10="S1","a",if($K10="S2","b","")),Students!$A:$A,AR$2)+countifs(Students!$N:$N,$S10,Students!$O:$O,$S$2&amp;if($K10="S1","a",if($K10="S2","b","")),Students!$A:$A,AR$2)+countifs(Students!$P:$P,$S10,Students!$Q:$Q,$S$2&amp;if($K10="S1","a",if($K10="S2","b","")),Students!$A:$A,AR$2)+countifs(Students!$R:$R,$S10,Students!$S:$S,$S$2&amp;if($K10="S1","a",if($K10="S2","b","")),Students!$A:$A,AR$2)+countifs(Students!$T:$T,$S10,Students!$U:$U,$S$2&amp;if($K10="S1","a",if($K10="S2","b","")),Students!$A:$A,AR$2)+countifs(Students!$V:$V,$S10,Students!$W:$W,$S$2&amp;if($K10="S1","a",if($K10="S2","b","")),Students!$A:$A,AR$2)+
countifs(Students!$D:$D,$V10,Students!$E:$E,$V$2&amp;if($K10="S1","a",if($K10="S2","b","")),Students!$A:$A,AR$2)+countifs(Students!$F:$F,$V10,Students!$G:$G,$V$2&amp;if($K10="S1","a",if($K10="S2","b","")),Students!$A:$A,AR$2)+countifs(Students!$H:$H,$V10,Students!$I:$I,$V$2&amp;if($K10="S1","a",if($K10="S2","b","")),Students!$A:$A,AR$2)+countifs(Students!$J:$J,$V10,Students!$K:$K,$V$2&amp;if($K10="S1","a",if($K10="S2","b","")),Students!$A:$A,AR$2)+countifs(Students!$L:$L,$V10,Students!$M:$M,$V$2&amp;if($K10="S1","a",if($K10="S2","b","")),Students!$A:$A,AR$2)+countifs(Students!$N:$N,$V10,Students!$O:$O,$V$2&amp;if($K10="S1","a",if($K10="S2","b","")),Students!$A:$A,AR$2)+countifs(Students!$P:$P,$V10,Students!$Q:$Q,$V$2&amp;if($K10="S1","a",if($K10="S2","b","")),Students!$A:$A,AR$2)+countifs(Students!$R:$R,$V10,Students!$S:$S,$V$2&amp;if($K10="S1","a",if($K10="S2","b","")),Students!$A:$A,AR$2)+countifs(Students!$T:$T,$V10,Students!$U:$U,$V$2&amp;if($K10="S1","a",if($K10="S2","b","")),Students!$A:$A,AR$2)+countifs(Students!$V:$V,$V10,Students!$W:$W,$V$2&amp;if($K10="S1","a",if($K10="S2","b","")),Students!$A:$A,AR$2)+
countifs(Students!$D:$D,$Y10,Students!$E:$E,$Y$2&amp;if($K10="S1","a",if($K10="S2","b","")),Students!$A:$A,AR$2)+countifs(Students!$F:$F,$Y10,Students!$G:$G,$Y$2&amp;if($K10="S1","a",if($K10="S2","b","")),Students!$A:$A,AR$2)+countifs(Students!$H:$H,$Y10,Students!$I:$I,$Y$2&amp;if($K10="S1","a",if($K10="S2","b","")),Students!$A:$A,AR$2)+countifs(Students!$J:$J,$Y10,Students!$K:$K,$Y$2&amp;if($K10="S1","a",if($K10="S2","b","")),Students!$A:$A,AR$2)+countifs(Students!$L:$L,$Y10,Students!$M:$M,$Y$2&amp;if($K10="S1","a",if($K10="S2","b","")),Students!$A:$A,AR$2)+countifs(Students!$N:$N,$Y10,Students!$O:$O,$Y$2&amp;if($K10="S1","a",if($K10="S2","b","")),Students!$A:$A,AR$2)+countifs(Students!$P:$P,$Y10,Students!$Q:$Q,$Y$2&amp;if($K10="S1","a",if($K10="S2","b","")),Students!$A:$A,AR$2)+countifs(Students!$R:$R,$Y10,Students!$S:$S,$Y$2&amp;if($K10="S1","a",if($K10="S2","b","")),Students!$A:$A,AR$2)+countifs(Students!$T:$T,$Y10,Students!$U:$U,$Y$2&amp;if($K10="S1","a",if($K10="S2","b","")),Students!$A:$A,AR$2)+countifs(Students!$V:$V,$Y10,Students!$W:$W,$Y$2&amp;if($K10="S1","a",if($K10="S2","b","")),Students!$A:$A,AR$2)+
countifs(Students!$D:$D,$AB10,Students!$E:$E,$AB$2&amp;if($K10="S1","a",if($K10="S2","b","")),Students!$A:$A,AR$2)+countifs(Students!$F:$F,$AB10,Students!$G:$G,$AB$2&amp;if($K10="S1","a",if($K10="S2","b","")),Students!$A:$A,AR$2)+countifs(Students!$H:$H,$AB10,Students!$I:$I,$AB$2&amp;if($K10="S1","a",if($K10="S2","b","")),Students!$A:$A,AR$2)+countifs(Students!$J:$J,$AB10,Students!$K:$K,$AB$2&amp;if($K10="S1","a",if($K10="S2","b","")),Students!$A:$A,AR$2)+countifs(Students!$L:$L,$AB10,Students!$M:$M,$AB$2&amp;if($K10="S1","a",if($K10="S2","b","")),Students!$A:$A,AR$2)+countifs(Students!$N:$N,$AB10,Students!$O:$O,$AB$2&amp;if($K10="S1","a",if($K10="S2","b","")),Students!$A:$A,AR$2)+countifs(Students!$P:$P,$AB10,Students!$Q:$Q,$AB$2&amp;if($K10="S1","a",if($K10="S2","b","")),Students!$A:$A,AR$2)+countifs(Students!$R:$R,$AB10,Students!$S:$S,$AB$2&amp;if($K10="S1","a",if($K10="S2","b","")),Students!$A:$A,AR$2)+countifs(Students!$T:$T,$AB10,Students!$U:$U,$AB$2&amp;if($K10="S1","a",if($K10="S2","b","")),Students!$A:$A,AR$2)+countifs(Students!$V:$V,$AB10,Students!$W:$W,$AB$2&amp;if($K10="S1","a",if($K10="S2","b","")),Students!$A:$A,AR$2)+
countifs(Students!$D:$D,$AE10,Students!$E:$E,$AE$2&amp;if($K10="S1","a",if($K10="S2","b","")),Students!$A:$A,AR$2)+countifs(Students!$F:$F,$AE10,Students!$G:$G,$AE$2&amp;if($K10="S1","a",if($K10="S2","b","")),Students!$A:$A,AR$2)+countifs(Students!$H:$H,$AE10,Students!$I:$I,$AE$2&amp;if($K10="S1","a",if($K10="S2","b","")),Students!$A:$A,AR$2)+countifs(Students!$J:$J,$AE10,Students!$K:$K,$AE$2&amp;if($K10="S1","a",if($K10="S2","b","")),Students!$A:$A,AR$2)+countifs(Students!$L:$L,$AE10,Students!$M:$M,$AE$2&amp;if($K10="S1","a",if($K10="S2","b","")),Students!$A:$A,AR$2)+countifs(Students!$N:$N,$AE10,Students!$O:$O,$AE$2&amp;if($K10="S1","a",if($K10="S2","b","")),Students!$A:$A,AR$2)+countifs(Students!$P:$P,$AE10,Students!$Q:$Q,$AE$2&amp;if($K10="S1","a",if($K10="S2","b","")),Students!$A:$A,AR$2)+countifs(Students!$R:$R,$AE10,Students!$S:$S,$AE$2&amp;if($K10="S1","a",if($K10="S2","b","")),Students!$A:$A,AR$2)+countifs(Students!$T:$T,$AE10,Students!$U:$U,$AE$2&amp;if($K10="S1","a",if($K10="S2","b","")),Students!$A:$A,AR$2)+countifs(Students!$V:$V,$AE10,Students!$W:$W,$AE$2&amp;if($K10="S1","a",if($K10="S2","b","")),Students!$A:$A,AR$2)+
countifs(Students!$D:$D,$AH10,Students!$E:$E,$AH$2&amp;if($K10="S1","a",if($K10="S2","b","")),Students!$A:$A,AR$2)+countifs(Students!$F:$F,$AH10,Students!$G:$G,$AH$2&amp;if($K10="S1","a",if($K10="S2","b","")),Students!$A:$A,AR$2)+countifs(Students!$H:$H,$AH10,Students!$I:$I,$AH$2&amp;if($K10="S1","a",if($K10="S2","b","")),Students!$A:$A,AR$2)+countifs(Students!$J:$J,$AH10,Students!$K:$K,$AH$2&amp;if($K10="S1","a",if($K10="S2","b","")),Students!$A:$A,AR$2)+countifs(Students!$L:$L,$AH10,Students!$M:$M,$AH$2&amp;if($K10="S1","a",if($K10="S2","b","")),Students!$A:$A,AR$2)+countifs(Students!$N:$N,$AH10,Students!$O:$O,$AH$2&amp;if($K10="S1","a",if($K10="S2","b","")),Students!$A:$A,AR$2)+countifs(Students!$P:$P,$AH10,Students!$Q:$Q,$AH$2&amp;if($K10="S1","a",if($K10="S2","b","")),Students!$A:$A,AR$2)+countifs(Students!$R:$R,$AH10,Students!$S:$S,$AH$2&amp;if($K10="S1","a",if($K10="S2","b","")),Students!$A:$A,AR$2)+countifs(Students!$T:$T,$AH10,Students!$U:$U,$AH$2&amp;if($K10="S1","a",if($K10="S2","b","")),Students!$A:$A,AR$2)+countifs(Students!$V:$V,$AH10,Students!$W:$W,$AH$2&amp;if($K10="S1","a",if($K10="S2","b","")),Students!$A:$A,AR$2)+
countifs(Students!$D:$D,$AK10,Students!$E:$E,$AK$2&amp;if($K10="S1","a",if($K10="S2","b","")),Students!$A:$A,AR$2)+countifs(Students!$F:$F,$AK10,Students!$G:$G,$AK$2&amp;if($K10="S1","a",if($K10="S2","b","")),Students!$A:$A,AR$2)+countifs(Students!$H:$H,$AK10,Students!$I:$I,$AK$2&amp;if($K10="S1","a",if($K10="S2","b","")),Students!$A:$A,AR$2)+countifs(Students!$J:$J,$AK10,Students!$K:$K,$AK$2&amp;if($K10="S1","a",if($K10="S2","b","")),Students!$A:$A,AR$2)+countifs(Students!$L:$L,$AK10,Students!$M:$M,$AK$2&amp;if($K10="S1","a",if($K10="S2","b","")),Students!$A:$A,AR$2)+countifs(Students!$N:$N,$AK10,Students!$O:$O,$AK$2&amp;if($K10="S1","a",if($K10="S2","b","")),Students!$A:$A,AR$2)+countifs(Students!$P:$P,$AK10,Students!$Q:$Q,$AK$2&amp;if($K10="S1","a",if($K10="S2","b","")),Students!$A:$A,AR$2)+countifs(Students!$R:$R,$AK10,Students!$S:$S,$AK$2&amp;if($K10="S1","a",if($K10="S2","b","")),Students!$A:$A,AR$2)+countifs(Students!$T:$T,$AK10,Students!$U:$U,$AK$2&amp;if($K10="S1","a",if($K10="S2","b","")),Students!$A:$A,AR$2)+countifs(Students!$V:$V,$AK10,Students!$W:$W,$AK$2&amp;if($K10="S1","a",if($K10="S2","b","")),Students!$A:$A,AR$2))</f>
        <v>32</v>
      </c>
      <c r="AS10" s="102">
        <f>if($L10="","",countifs(Students!$D:$D,$P10,Students!$E:$E,$P$2&amp;if($K10="S1","a",if($K10="S2","b","")),Students!$A:$A,AS$2)+countifs(Students!$F:$F,$P10,Students!$G:$G,$P$2&amp;if($K10="S1","a",if($K10="S2","b","")),Students!$A:$A,AS$2)+countifs(Students!$H:$H,$P10,Students!$I:$I,$P$2&amp;if($K10="S1","a",if($K10="S2","b","")),Students!$A:$A,AS$2)+countifs(Students!$J:$J,$P10,Students!$K:$K,$P$2&amp;if($K10="S1","a",if($K10="S2","b","")),Students!$A:$A,AS$2)+countifs(Students!$L:$L,$P10,Students!$M:$M,$P$2&amp;if($K10="S1","a",if($K10="S2","b","")),Students!$A:$A,AS$2)+countifs(Students!$N:$N,$P10,Students!$O:$O,$P$2&amp;if($K10="S1","a",if($K10="S2","b","")),Students!$A:$A,AS$2)+countifs(Students!$P:$P,$P10,Students!$Q:$Q,$P$2&amp;if($K10="S1","a",if($K10="S2","b","")),Students!$A:$A,AS$2)+countifs(Students!$R:$R,$P10,Students!$S:$S,$P$2&amp;if($K10="S1","a",if($K10="S2","b","")),Students!$A:$A,AS$2)+countifs(Students!$T:$T,$P10,Students!$U:$U,$P$2&amp;if($K10="S1","a",if($K10="S2","b","")),Students!$A:$A,AS$2)+countifs(Students!$V:$V,$P10,Students!$W:$W,$P$2&amp;if($K10="S1","a",if($K10="S2","b","")),Students!$A:$A,AS$2)+
countifs(Students!$D:$D,$S10,Students!$E:$E,$S$2&amp;if($K10="S1","a",if($K10="S2","b","")),Students!$A:$A,AS$2)+countifs(Students!$F:$F,$S10,Students!$G:$G,$S$2&amp;if($K10="S1","a",if($K10="S2","b","")),Students!$A:$A,AS$2)+countifs(Students!$H:$H,$S10,Students!$I:$I,$S$2&amp;if($K10="S1","a",if($K10="S2","b","")),Students!$A:$A,AS$2)+countifs(Students!$J:$J,$S10,Students!$K:$K,$S$2&amp;if($K10="S1","a",if($K10="S2","b","")),Students!$A:$A,AS$2)+countifs(Students!$L:$L,$S10,Students!$M:$M,$S$2&amp;if($K10="S1","a",if($K10="S2","b","")),Students!$A:$A,AS$2)+countifs(Students!$N:$N,$S10,Students!$O:$O,$S$2&amp;if($K10="S1","a",if($K10="S2","b","")),Students!$A:$A,AS$2)+countifs(Students!$P:$P,$S10,Students!$Q:$Q,$S$2&amp;if($K10="S1","a",if($K10="S2","b","")),Students!$A:$A,AS$2)+countifs(Students!$R:$R,$S10,Students!$S:$S,$S$2&amp;if($K10="S1","a",if($K10="S2","b","")),Students!$A:$A,AS$2)+countifs(Students!$T:$T,$S10,Students!$U:$U,$S$2&amp;if($K10="S1","a",if($K10="S2","b","")),Students!$A:$A,AS$2)+countifs(Students!$V:$V,$S10,Students!$W:$W,$S$2&amp;if($K10="S1","a",if($K10="S2","b","")),Students!$A:$A,AS$2)+
countifs(Students!$D:$D,$V10,Students!$E:$E,$V$2&amp;if($K10="S1","a",if($K10="S2","b","")),Students!$A:$A,AS$2)+countifs(Students!$F:$F,$V10,Students!$G:$G,$V$2&amp;if($K10="S1","a",if($K10="S2","b","")),Students!$A:$A,AS$2)+countifs(Students!$H:$H,$V10,Students!$I:$I,$V$2&amp;if($K10="S1","a",if($K10="S2","b","")),Students!$A:$A,AS$2)+countifs(Students!$J:$J,$V10,Students!$K:$K,$V$2&amp;if($K10="S1","a",if($K10="S2","b","")),Students!$A:$A,AS$2)+countifs(Students!$L:$L,$V10,Students!$M:$M,$V$2&amp;if($K10="S1","a",if($K10="S2","b","")),Students!$A:$A,AS$2)+countifs(Students!$N:$N,$V10,Students!$O:$O,$V$2&amp;if($K10="S1","a",if($K10="S2","b","")),Students!$A:$A,AS$2)+countifs(Students!$P:$P,$V10,Students!$Q:$Q,$V$2&amp;if($K10="S1","a",if($K10="S2","b","")),Students!$A:$A,AS$2)+countifs(Students!$R:$R,$V10,Students!$S:$S,$V$2&amp;if($K10="S1","a",if($K10="S2","b","")),Students!$A:$A,AS$2)+countifs(Students!$T:$T,$V10,Students!$U:$U,$V$2&amp;if($K10="S1","a",if($K10="S2","b","")),Students!$A:$A,AS$2)+countifs(Students!$V:$V,$V10,Students!$W:$W,$V$2&amp;if($K10="S1","a",if($K10="S2","b","")),Students!$A:$A,AS$2)+
countifs(Students!$D:$D,$Y10,Students!$E:$E,$Y$2&amp;if($K10="S1","a",if($K10="S2","b","")),Students!$A:$A,AS$2)+countifs(Students!$F:$F,$Y10,Students!$G:$G,$Y$2&amp;if($K10="S1","a",if($K10="S2","b","")),Students!$A:$A,AS$2)+countifs(Students!$H:$H,$Y10,Students!$I:$I,$Y$2&amp;if($K10="S1","a",if($K10="S2","b","")),Students!$A:$A,AS$2)+countifs(Students!$J:$J,$Y10,Students!$K:$K,$Y$2&amp;if($K10="S1","a",if($K10="S2","b","")),Students!$A:$A,AS$2)+countifs(Students!$L:$L,$Y10,Students!$M:$M,$Y$2&amp;if($K10="S1","a",if($K10="S2","b","")),Students!$A:$A,AS$2)+countifs(Students!$N:$N,$Y10,Students!$O:$O,$Y$2&amp;if($K10="S1","a",if($K10="S2","b","")),Students!$A:$A,AS$2)+countifs(Students!$P:$P,$Y10,Students!$Q:$Q,$Y$2&amp;if($K10="S1","a",if($K10="S2","b","")),Students!$A:$A,AS$2)+countifs(Students!$R:$R,$Y10,Students!$S:$S,$Y$2&amp;if($K10="S1","a",if($K10="S2","b","")),Students!$A:$A,AS$2)+countifs(Students!$T:$T,$Y10,Students!$U:$U,$Y$2&amp;if($K10="S1","a",if($K10="S2","b","")),Students!$A:$A,AS$2)+countifs(Students!$V:$V,$Y10,Students!$W:$W,$Y$2&amp;if($K10="S1","a",if($K10="S2","b","")),Students!$A:$A,AS$2)+
countifs(Students!$D:$D,$AB10,Students!$E:$E,$AB$2&amp;if($K10="S1","a",if($K10="S2","b","")),Students!$A:$A,AS$2)+countifs(Students!$F:$F,$AB10,Students!$G:$G,$AB$2&amp;if($K10="S1","a",if($K10="S2","b","")),Students!$A:$A,AS$2)+countifs(Students!$H:$H,$AB10,Students!$I:$I,$AB$2&amp;if($K10="S1","a",if($K10="S2","b","")),Students!$A:$A,AS$2)+countifs(Students!$J:$J,$AB10,Students!$K:$K,$AB$2&amp;if($K10="S1","a",if($K10="S2","b","")),Students!$A:$A,AS$2)+countifs(Students!$L:$L,$AB10,Students!$M:$M,$AB$2&amp;if($K10="S1","a",if($K10="S2","b","")),Students!$A:$A,AS$2)+countifs(Students!$N:$N,$AB10,Students!$O:$O,$AB$2&amp;if($K10="S1","a",if($K10="S2","b","")),Students!$A:$A,AS$2)+countifs(Students!$P:$P,$AB10,Students!$Q:$Q,$AB$2&amp;if($K10="S1","a",if($K10="S2","b","")),Students!$A:$A,AS$2)+countifs(Students!$R:$R,$AB10,Students!$S:$S,$AB$2&amp;if($K10="S1","a",if($K10="S2","b","")),Students!$A:$A,AS$2)+countifs(Students!$T:$T,$AB10,Students!$U:$U,$AB$2&amp;if($K10="S1","a",if($K10="S2","b","")),Students!$A:$A,AS$2)+countifs(Students!$V:$V,$AB10,Students!$W:$W,$AB$2&amp;if($K10="S1","a",if($K10="S2","b","")),Students!$A:$A,AS$2)+
countifs(Students!$D:$D,$AE10,Students!$E:$E,$AE$2&amp;if($K10="S1","a",if($K10="S2","b","")),Students!$A:$A,AS$2)+countifs(Students!$F:$F,$AE10,Students!$G:$G,$AE$2&amp;if($K10="S1","a",if($K10="S2","b","")),Students!$A:$A,AS$2)+countifs(Students!$H:$H,$AE10,Students!$I:$I,$AE$2&amp;if($K10="S1","a",if($K10="S2","b","")),Students!$A:$A,AS$2)+countifs(Students!$J:$J,$AE10,Students!$K:$K,$AE$2&amp;if($K10="S1","a",if($K10="S2","b","")),Students!$A:$A,AS$2)+countifs(Students!$L:$L,$AE10,Students!$M:$M,$AE$2&amp;if($K10="S1","a",if($K10="S2","b","")),Students!$A:$A,AS$2)+countifs(Students!$N:$N,$AE10,Students!$O:$O,$AE$2&amp;if($K10="S1","a",if($K10="S2","b","")),Students!$A:$A,AS$2)+countifs(Students!$P:$P,$AE10,Students!$Q:$Q,$AE$2&amp;if($K10="S1","a",if($K10="S2","b","")),Students!$A:$A,AS$2)+countifs(Students!$R:$R,$AE10,Students!$S:$S,$AE$2&amp;if($K10="S1","a",if($K10="S2","b","")),Students!$A:$A,AS$2)+countifs(Students!$T:$T,$AE10,Students!$U:$U,$AE$2&amp;if($K10="S1","a",if($K10="S2","b","")),Students!$A:$A,AS$2)+countifs(Students!$V:$V,$AE10,Students!$W:$W,$AE$2&amp;if($K10="S1","a",if($K10="S2","b","")),Students!$A:$A,AS$2)+
countifs(Students!$D:$D,$AH10,Students!$E:$E,$AH$2&amp;if($K10="S1","a",if($K10="S2","b","")),Students!$A:$A,AS$2)+countifs(Students!$F:$F,$AH10,Students!$G:$G,$AH$2&amp;if($K10="S1","a",if($K10="S2","b","")),Students!$A:$A,AS$2)+countifs(Students!$H:$H,$AH10,Students!$I:$I,$AH$2&amp;if($K10="S1","a",if($K10="S2","b","")),Students!$A:$A,AS$2)+countifs(Students!$J:$J,$AH10,Students!$K:$K,$AH$2&amp;if($K10="S1","a",if($K10="S2","b","")),Students!$A:$A,AS$2)+countifs(Students!$L:$L,$AH10,Students!$M:$M,$AH$2&amp;if($K10="S1","a",if($K10="S2","b","")),Students!$A:$A,AS$2)+countifs(Students!$N:$N,$AH10,Students!$O:$O,$AH$2&amp;if($K10="S1","a",if($K10="S2","b","")),Students!$A:$A,AS$2)+countifs(Students!$P:$P,$AH10,Students!$Q:$Q,$AH$2&amp;if($K10="S1","a",if($K10="S2","b","")),Students!$A:$A,AS$2)+countifs(Students!$R:$R,$AH10,Students!$S:$S,$AH$2&amp;if($K10="S1","a",if($K10="S2","b","")),Students!$A:$A,AS$2)+countifs(Students!$T:$T,$AH10,Students!$U:$U,$AH$2&amp;if($K10="S1","a",if($K10="S2","b","")),Students!$A:$A,AS$2)+countifs(Students!$V:$V,$AH10,Students!$W:$W,$AH$2&amp;if($K10="S1","a",if($K10="S2","b","")),Students!$A:$A,AS$2)+
countifs(Students!$D:$D,$AK10,Students!$E:$E,$AK$2&amp;if($K10="S1","a",if($K10="S2","b","")),Students!$A:$A,AS$2)+countifs(Students!$F:$F,$AK10,Students!$G:$G,$AK$2&amp;if($K10="S1","a",if($K10="S2","b","")),Students!$A:$A,AS$2)+countifs(Students!$H:$H,$AK10,Students!$I:$I,$AK$2&amp;if($K10="S1","a",if($K10="S2","b","")),Students!$A:$A,AS$2)+countifs(Students!$J:$J,$AK10,Students!$K:$K,$AK$2&amp;if($K10="S1","a",if($K10="S2","b","")),Students!$A:$A,AS$2)+countifs(Students!$L:$L,$AK10,Students!$M:$M,$AK$2&amp;if($K10="S1","a",if($K10="S2","b","")),Students!$A:$A,AS$2)+countifs(Students!$N:$N,$AK10,Students!$O:$O,$AK$2&amp;if($K10="S1","a",if($K10="S2","b","")),Students!$A:$A,AS$2)+countifs(Students!$P:$P,$AK10,Students!$Q:$Q,$AK$2&amp;if($K10="S1","a",if($K10="S2","b","")),Students!$A:$A,AS$2)+countifs(Students!$R:$R,$AK10,Students!$S:$S,$AK$2&amp;if($K10="S1","a",if($K10="S2","b","")),Students!$A:$A,AS$2)+countifs(Students!$T:$T,$AK10,Students!$U:$U,$AK$2&amp;if($K10="S1","a",if($K10="S2","b","")),Students!$A:$A,AS$2)+countifs(Students!$V:$V,$AK10,Students!$W:$W,$AK$2&amp;if($K10="S1","a",if($K10="S2","b","")),Students!$A:$A,AS$2))</f>
        <v>0</v>
      </c>
    </row>
    <row r="11">
      <c r="A11" s="21">
        <v>9.0</v>
      </c>
      <c r="B11" s="4">
        <f>countifs(Students!$A:$A,$A11)-countifs(Students!$A:$A,$A11,Students!X:X,"&gt;0")</f>
        <v>0</v>
      </c>
      <c r="C11" s="4">
        <f>countifs(Students!$A:$A,$A11)-countifs(Students!$A:$A,$A11,Students!Y:Y,"&gt;0")</f>
        <v>0</v>
      </c>
      <c r="D11" s="4">
        <f>countifs(Students!$A:$A,$A11)-countifs(Students!$A:$A,$A11,Students!Z:Z,"&gt;0")</f>
        <v>0</v>
      </c>
      <c r="E11" s="4">
        <f>countifs(Students!$A:$A,$A11)-countifs(Students!$A:$A,$A11,Students!AA:AA,"&gt;0")</f>
        <v>0</v>
      </c>
      <c r="F11" s="4">
        <f>countifs(Students!$A:$A,$A11)-countifs(Students!$A:$A,$A11,Students!AB:AB,"&gt;0")</f>
        <v>0</v>
      </c>
      <c r="G11" s="4">
        <f>countifs(Students!$A:$A,$A11)-countifs(Students!$A:$A,$A11,Students!AC:AC,"&gt;0")</f>
        <v>0</v>
      </c>
      <c r="H11" s="4">
        <f>countifs(Students!$A:$A,$A11)-countifs(Students!$A:$A,$A11,Students!AD:AD,"&gt;0")</f>
        <v>0</v>
      </c>
      <c r="I11" s="4">
        <f>countifs(Students!$A:$A,$A11)-countifs(Students!$A:$A,$A11,Students!AE:AE,"&gt;0")</f>
        <v>0</v>
      </c>
      <c r="J11" s="87">
        <v>103.0</v>
      </c>
      <c r="K11" s="88"/>
      <c r="L11" s="58" t="s">
        <v>44</v>
      </c>
      <c r="M11" s="89"/>
      <c r="N11" s="87">
        <v>3.0</v>
      </c>
      <c r="O11" s="87">
        <f>IFERROR(__xludf.DUMMYFUNCTION("3*counta((transpose(filter(P11:AM11,P11:AM11&lt;&gt;"""",isnumber(P11:AM11)=false))))"),15.0)</f>
        <v>15</v>
      </c>
      <c r="P11" s="90" t="s">
        <v>45</v>
      </c>
      <c r="Q11" s="91">
        <v>1.0</v>
      </c>
      <c r="R11" s="98">
        <v>25.0</v>
      </c>
      <c r="S11" s="90"/>
      <c r="T11" s="76"/>
      <c r="U11" s="77" t="s">
        <v>22</v>
      </c>
      <c r="V11" s="94"/>
      <c r="W11" s="94"/>
      <c r="X11" s="95" t="s">
        <v>22</v>
      </c>
      <c r="Y11" s="103" t="s">
        <v>46</v>
      </c>
      <c r="Z11" s="101">
        <v>1.0</v>
      </c>
      <c r="AA11" s="98">
        <v>9.0</v>
      </c>
      <c r="AB11" s="90"/>
      <c r="AC11" s="91"/>
      <c r="AD11" s="92" t="s">
        <v>22</v>
      </c>
      <c r="AE11" s="90" t="s">
        <v>43</v>
      </c>
      <c r="AF11" s="91">
        <v>3.0</v>
      </c>
      <c r="AG11" s="92">
        <v>19.0</v>
      </c>
      <c r="AH11" s="90" t="s">
        <v>45</v>
      </c>
      <c r="AI11" s="96">
        <v>2.0</v>
      </c>
      <c r="AJ11" s="92">
        <v>24.0</v>
      </c>
      <c r="AK11" s="90" t="s">
        <v>45</v>
      </c>
      <c r="AL11" s="97">
        <v>3.0</v>
      </c>
      <c r="AM11" s="98">
        <v>26.0</v>
      </c>
      <c r="AN11" s="99"/>
      <c r="AO11" s="52">
        <f t="shared" si="1"/>
        <v>103</v>
      </c>
      <c r="AP11" s="102">
        <f>if($L11="","",countifs(Students!$D:$D,$P11,Students!$E:$E,$P$2&amp;if($K11="S1","a",if($K11="S2","b","")),Students!$A:$A,AP$2)+countifs(Students!$F:$F,$P11,Students!$G:$G,$P$2&amp;if($K11="S1","a",if($K11="S2","b","")),Students!$A:$A,AP$2)+countifs(Students!$H:$H,$P11,Students!$I:$I,$P$2&amp;if($K11="S1","a",if($K11="S2","b","")),Students!$A:$A,AP$2)+countifs(Students!$J:$J,$P11,Students!$K:$K,$P$2&amp;if($K11="S1","a",if($K11="S2","b","")),Students!$A:$A,AP$2)+countifs(Students!$L:$L,$P11,Students!$M:$M,$P$2&amp;if($K11="S1","a",if($K11="S2","b","")),Students!$A:$A,AP$2)+countifs(Students!$N:$N,$P11,Students!$O:$O,$P$2&amp;if($K11="S1","a",if($K11="S2","b","")),Students!$A:$A,AP$2)+countifs(Students!$P:$P,$P11,Students!$Q:$Q,$P$2&amp;if($K11="S1","a",if($K11="S2","b","")),Students!$A:$A,AP$2)+countifs(Students!$R:$R,$P11,Students!$S:$S,$P$2&amp;if($K11="S1","a",if($K11="S2","b","")),Students!$A:$A,AP$2)+countifs(Students!$T:$T,$P11,Students!$U:$U,$P$2&amp;if($K11="S1","a",if($K11="S2","b","")),Students!$A:$A,AP$2)+countifs(Students!$V:$V,$P11,Students!$W:$W,$P$2&amp;if($K11="S1","a",if($K11="S2","b","")),Students!$A:$A,AP$2)+
countifs(Students!$D:$D,$S11,Students!$E:$E,$S$2&amp;if($K11="S1","a",if($K11="S2","b","")),Students!$A:$A,AP$2)+countifs(Students!$F:$F,$S11,Students!$G:$G,$S$2&amp;if($K11="S1","a",if($K11="S2","b","")),Students!$A:$A,AP$2)+countifs(Students!$H:$H,$S11,Students!$I:$I,$S$2&amp;if($K11="S1","a",if($K11="S2","b","")),Students!$A:$A,AP$2)+countifs(Students!$J:$J,$S11,Students!$K:$K,$S$2&amp;if($K11="S1","a",if($K11="S2","b","")),Students!$A:$A,AP$2)+countifs(Students!$L:$L,$S11,Students!$M:$M,$S$2&amp;if($K11="S1","a",if($K11="S2","b","")),Students!$A:$A,AP$2)+countifs(Students!$N:$N,$S11,Students!$O:$O,$S$2&amp;if($K11="S1","a",if($K11="S2","b","")),Students!$A:$A,AP$2)+countifs(Students!$P:$P,$S11,Students!$Q:$Q,$S$2&amp;if($K11="S1","a",if($K11="S2","b","")),Students!$A:$A,AP$2)+countifs(Students!$R:$R,$S11,Students!$S:$S,$S$2&amp;if($K11="S1","a",if($K11="S2","b","")),Students!$A:$A,AP$2)+countifs(Students!$T:$T,$S11,Students!$U:$U,$S$2&amp;if($K11="S1","a",if($K11="S2","b","")),Students!$A:$A,AP$2)+countifs(Students!$V:$V,$S11,Students!$W:$W,$S$2&amp;if($K11="S1","a",if($K11="S2","b","")),Students!$A:$A,AP$2)+
countifs(Students!$D:$D,$V11,Students!$E:$E,$V$2&amp;if($K11="S1","a",if($K11="S2","b","")),Students!$A:$A,AP$2)+countifs(Students!$F:$F,$V11,Students!$G:$G,$V$2&amp;if($K11="S1","a",if($K11="S2","b","")),Students!$A:$A,AP$2)+countifs(Students!$H:$H,$V11,Students!$I:$I,$V$2&amp;if($K11="S1","a",if($K11="S2","b","")),Students!$A:$A,AP$2)+countifs(Students!$J:$J,$V11,Students!$K:$K,$V$2&amp;if($K11="S1","a",if($K11="S2","b","")),Students!$A:$A,AP$2)+countifs(Students!$L:$L,$V11,Students!$M:$M,$V$2&amp;if($K11="S1","a",if($K11="S2","b","")),Students!$A:$A,AP$2)+countifs(Students!$N:$N,$V11,Students!$O:$O,$V$2&amp;if($K11="S1","a",if($K11="S2","b","")),Students!$A:$A,AP$2)+countifs(Students!$P:$P,$V11,Students!$Q:$Q,$V$2&amp;if($K11="S1","a",if($K11="S2","b","")),Students!$A:$A,AP$2)+countifs(Students!$R:$R,$V11,Students!$S:$S,$V$2&amp;if($K11="S1","a",if($K11="S2","b","")),Students!$A:$A,AP$2)+countifs(Students!$T:$T,$V11,Students!$U:$U,$V$2&amp;if($K11="S1","a",if($K11="S2","b","")),Students!$A:$A,AP$2)+countifs(Students!$V:$V,$V11,Students!$W:$W,$V$2&amp;if($K11="S1","a",if($K11="S2","b","")),Students!$A:$A,AP$2)+
countifs(Students!$D:$D,$Y11,Students!$E:$E,$Y$2&amp;if($K11="S1","a",if($K11="S2","b","")),Students!$A:$A,AP$2)+countifs(Students!$F:$F,$Y11,Students!$G:$G,$Y$2&amp;if($K11="S1","a",if($K11="S2","b","")),Students!$A:$A,AP$2)+countifs(Students!$H:$H,$Y11,Students!$I:$I,$Y$2&amp;if($K11="S1","a",if($K11="S2","b","")),Students!$A:$A,AP$2)+countifs(Students!$J:$J,$Y11,Students!$K:$K,$Y$2&amp;if($K11="S1","a",if($K11="S2","b","")),Students!$A:$A,AP$2)+countifs(Students!$L:$L,$Y11,Students!$M:$M,$Y$2&amp;if($K11="S1","a",if($K11="S2","b","")),Students!$A:$A,AP$2)+countifs(Students!$N:$N,$Y11,Students!$O:$O,$Y$2&amp;if($K11="S1","a",if($K11="S2","b","")),Students!$A:$A,AP$2)+countifs(Students!$P:$P,$Y11,Students!$Q:$Q,$Y$2&amp;if($K11="S1","a",if($K11="S2","b","")),Students!$A:$A,AP$2)+countifs(Students!$R:$R,$Y11,Students!$S:$S,$Y$2&amp;if($K11="S1","a",if($K11="S2","b","")),Students!$A:$A,AP$2)+countifs(Students!$T:$T,$Y11,Students!$U:$U,$Y$2&amp;if($K11="S1","a",if($K11="S2","b","")),Students!$A:$A,AP$2)+countifs(Students!$V:$V,$Y11,Students!$W:$W,$Y$2&amp;if($K11="S1","a",if($K11="S2","b","")),Students!$A:$A,AP$2)+
countifs(Students!$D:$D,$AB11,Students!$E:$E,$AB$2&amp;if($K11="S1","a",if($K11="S2","b","")),Students!$A:$A,AP$2)+countifs(Students!$F:$F,$AB11,Students!$G:$G,$AB$2&amp;if($K11="S1","a",if($K11="S2","b","")),Students!$A:$A,AP$2)+countifs(Students!$H:$H,$AB11,Students!$I:$I,$AB$2&amp;if($K11="S1","a",if($K11="S2","b","")),Students!$A:$A,AP$2)+countifs(Students!$J:$J,$AB11,Students!$K:$K,$AB$2&amp;if($K11="S1","a",if($K11="S2","b","")),Students!$A:$A,AP$2)+countifs(Students!$L:$L,$AB11,Students!$M:$M,$AB$2&amp;if($K11="S1","a",if($K11="S2","b","")),Students!$A:$A,AP$2)+countifs(Students!$N:$N,$AB11,Students!$O:$O,$AB$2&amp;if($K11="S1","a",if($K11="S2","b","")),Students!$A:$A,AP$2)+countifs(Students!$P:$P,$AB11,Students!$Q:$Q,$AB$2&amp;if($K11="S1","a",if($K11="S2","b","")),Students!$A:$A,AP$2)+countifs(Students!$R:$R,$AB11,Students!$S:$S,$AB$2&amp;if($K11="S1","a",if($K11="S2","b","")),Students!$A:$A,AP$2)+countifs(Students!$T:$T,$AB11,Students!$U:$U,$AB$2&amp;if($K11="S1","a",if($K11="S2","b","")),Students!$A:$A,AP$2)+countifs(Students!$V:$V,$AB11,Students!$W:$W,$AB$2&amp;if($K11="S1","a",if($K11="S2","b","")),Students!$A:$A,AP$2)+
countifs(Students!$D:$D,$AE11,Students!$E:$E,$AE$2&amp;if($K11="S1","a",if($K11="S2","b","")),Students!$A:$A,AP$2)+countifs(Students!$F:$F,$AE11,Students!$G:$G,$AE$2&amp;if($K11="S1","a",if($K11="S2","b","")),Students!$A:$A,AP$2)+countifs(Students!$H:$H,$AE11,Students!$I:$I,$AE$2&amp;if($K11="S1","a",if($K11="S2","b","")),Students!$A:$A,AP$2)+countifs(Students!$J:$J,$AE11,Students!$K:$K,$AE$2&amp;if($K11="S1","a",if($K11="S2","b","")),Students!$A:$A,AP$2)+countifs(Students!$L:$L,$AE11,Students!$M:$M,$AE$2&amp;if($K11="S1","a",if($K11="S2","b","")),Students!$A:$A,AP$2)+countifs(Students!$N:$N,$AE11,Students!$O:$O,$AE$2&amp;if($K11="S1","a",if($K11="S2","b","")),Students!$A:$A,AP$2)+countifs(Students!$P:$P,$AE11,Students!$Q:$Q,$AE$2&amp;if($K11="S1","a",if($K11="S2","b","")),Students!$A:$A,AP$2)+countifs(Students!$R:$R,$AE11,Students!$S:$S,$AE$2&amp;if($K11="S1","a",if($K11="S2","b","")),Students!$A:$A,AP$2)+countifs(Students!$T:$T,$AE11,Students!$U:$U,$AE$2&amp;if($K11="S1","a",if($K11="S2","b","")),Students!$A:$A,AP$2)+countifs(Students!$V:$V,$AE11,Students!$W:$W,$AE$2&amp;if($K11="S1","a",if($K11="S2","b","")),Students!$A:$A,AP$2)+
countifs(Students!$D:$D,$AH11,Students!$E:$E,$AH$2&amp;if($K11="S1","a",if($K11="S2","b","")),Students!$A:$A,AP$2)+countifs(Students!$F:$F,$AH11,Students!$G:$G,$AH$2&amp;if($K11="S1","a",if($K11="S2","b","")),Students!$A:$A,AP$2)+countifs(Students!$H:$H,$AH11,Students!$I:$I,$AH$2&amp;if($K11="S1","a",if($K11="S2","b","")),Students!$A:$A,AP$2)+countifs(Students!$J:$J,$AH11,Students!$K:$K,$AH$2&amp;if($K11="S1","a",if($K11="S2","b","")),Students!$A:$A,AP$2)+countifs(Students!$L:$L,$AH11,Students!$M:$M,$AH$2&amp;if($K11="S1","a",if($K11="S2","b","")),Students!$A:$A,AP$2)+countifs(Students!$N:$N,$AH11,Students!$O:$O,$AH$2&amp;if($K11="S1","a",if($K11="S2","b","")),Students!$A:$A,AP$2)+countifs(Students!$P:$P,$AH11,Students!$Q:$Q,$AH$2&amp;if($K11="S1","a",if($K11="S2","b","")),Students!$A:$A,AP$2)+countifs(Students!$R:$R,$AH11,Students!$S:$S,$AH$2&amp;if($K11="S1","a",if($K11="S2","b","")),Students!$A:$A,AP$2)+countifs(Students!$T:$T,$AH11,Students!$U:$U,$AH$2&amp;if($K11="S1","a",if($K11="S2","b","")),Students!$A:$A,AP$2)+countifs(Students!$V:$V,$AH11,Students!$W:$W,$AH$2&amp;if($K11="S1","a",if($K11="S2","b","")),Students!$A:$A,AP$2)+
countifs(Students!$D:$D,$AK11,Students!$E:$E,$AK$2&amp;if($K11="S1","a",if($K11="S2","b","")),Students!$A:$A,AP$2)+countifs(Students!$F:$F,$AK11,Students!$G:$G,$AK$2&amp;if($K11="S1","a",if($K11="S2","b","")),Students!$A:$A,AP$2)+countifs(Students!$H:$H,$AK11,Students!$I:$I,$AK$2&amp;if($K11="S1","a",if($K11="S2","b","")),Students!$A:$A,AP$2)+countifs(Students!$J:$J,$AK11,Students!$K:$K,$AK$2&amp;if($K11="S1","a",if($K11="S2","b","")),Students!$A:$A,AP$2)+countifs(Students!$L:$L,$AK11,Students!$M:$M,$AK$2&amp;if($K11="S1","a",if($K11="S2","b","")),Students!$A:$A,AP$2)+countifs(Students!$N:$N,$AK11,Students!$O:$O,$AK$2&amp;if($K11="S1","a",if($K11="S2","b","")),Students!$A:$A,AP$2)+countifs(Students!$P:$P,$AK11,Students!$Q:$Q,$AK$2&amp;if($K11="S1","a",if($K11="S2","b","")),Students!$A:$A,AP$2)+countifs(Students!$R:$R,$AK11,Students!$S:$S,$AK$2&amp;if($K11="S1","a",if($K11="S2","b","")),Students!$A:$A,AP$2)+countifs(Students!$T:$T,$AK11,Students!$U:$U,$AK$2&amp;if($K11="S1","a",if($K11="S2","b","")),Students!$A:$A,AP$2)+countifs(Students!$V:$V,$AK11,Students!$W:$W,$AK$2&amp;if($K11="S1","a",if($K11="S2","b","")),Students!$A:$A,AP$2))</f>
        <v>0</v>
      </c>
      <c r="AQ11" s="102">
        <f>if($L11="","",countifs(Students!$D:$D,$P11,Students!$E:$E,$P$2&amp;if($K11="S1","a",if($K11="S2","b","")),Students!$A:$A,AQ$2)+countifs(Students!$F:$F,$P11,Students!$G:$G,$P$2&amp;if($K11="S1","a",if($K11="S2","b","")),Students!$A:$A,AQ$2)+countifs(Students!$H:$H,$P11,Students!$I:$I,$P$2&amp;if($K11="S1","a",if($K11="S2","b","")),Students!$A:$A,AQ$2)+countifs(Students!$J:$J,$P11,Students!$K:$K,$P$2&amp;if($K11="S1","a",if($K11="S2","b","")),Students!$A:$A,AQ$2)+countifs(Students!$L:$L,$P11,Students!$M:$M,$P$2&amp;if($K11="S1","a",if($K11="S2","b","")),Students!$A:$A,AQ$2)+countifs(Students!$N:$N,$P11,Students!$O:$O,$P$2&amp;if($K11="S1","a",if($K11="S2","b","")),Students!$A:$A,AQ$2)+countifs(Students!$P:$P,$P11,Students!$Q:$Q,$P$2&amp;if($K11="S1","a",if($K11="S2","b","")),Students!$A:$A,AQ$2)+countifs(Students!$R:$R,$P11,Students!$S:$S,$P$2&amp;if($K11="S1","a",if($K11="S2","b","")),Students!$A:$A,AQ$2)+countifs(Students!$T:$T,$P11,Students!$U:$U,$P$2&amp;if($K11="S1","a",if($K11="S2","b","")),Students!$A:$A,AQ$2)+countifs(Students!$V:$V,$P11,Students!$W:$W,$P$2&amp;if($K11="S1","a",if($K11="S2","b","")),Students!$A:$A,AQ$2)+
countifs(Students!$D:$D,$S11,Students!$E:$E,$S$2&amp;if($K11="S1","a",if($K11="S2","b","")),Students!$A:$A,AQ$2)+countifs(Students!$F:$F,$S11,Students!$G:$G,$S$2&amp;if($K11="S1","a",if($K11="S2","b","")),Students!$A:$A,AQ$2)+countifs(Students!$H:$H,$S11,Students!$I:$I,$S$2&amp;if($K11="S1","a",if($K11="S2","b","")),Students!$A:$A,AQ$2)+countifs(Students!$J:$J,$S11,Students!$K:$K,$S$2&amp;if($K11="S1","a",if($K11="S2","b","")),Students!$A:$A,AQ$2)+countifs(Students!$L:$L,$S11,Students!$M:$M,$S$2&amp;if($K11="S1","a",if($K11="S2","b","")),Students!$A:$A,AQ$2)+countifs(Students!$N:$N,$S11,Students!$O:$O,$S$2&amp;if($K11="S1","a",if($K11="S2","b","")),Students!$A:$A,AQ$2)+countifs(Students!$P:$P,$S11,Students!$Q:$Q,$S$2&amp;if($K11="S1","a",if($K11="S2","b","")),Students!$A:$A,AQ$2)+countifs(Students!$R:$R,$S11,Students!$S:$S,$S$2&amp;if($K11="S1","a",if($K11="S2","b","")),Students!$A:$A,AQ$2)+countifs(Students!$T:$T,$S11,Students!$U:$U,$S$2&amp;if($K11="S1","a",if($K11="S2","b","")),Students!$A:$A,AQ$2)+countifs(Students!$V:$V,$S11,Students!$W:$W,$S$2&amp;if($K11="S1","a",if($K11="S2","b","")),Students!$A:$A,AQ$2)+
countifs(Students!$D:$D,$V11,Students!$E:$E,$V$2&amp;if($K11="S1","a",if($K11="S2","b","")),Students!$A:$A,AQ$2)+countifs(Students!$F:$F,$V11,Students!$G:$G,$V$2&amp;if($K11="S1","a",if($K11="S2","b","")),Students!$A:$A,AQ$2)+countifs(Students!$H:$H,$V11,Students!$I:$I,$V$2&amp;if($K11="S1","a",if($K11="S2","b","")),Students!$A:$A,AQ$2)+countifs(Students!$J:$J,$V11,Students!$K:$K,$V$2&amp;if($K11="S1","a",if($K11="S2","b","")),Students!$A:$A,AQ$2)+countifs(Students!$L:$L,$V11,Students!$M:$M,$V$2&amp;if($K11="S1","a",if($K11="S2","b","")),Students!$A:$A,AQ$2)+countifs(Students!$N:$N,$V11,Students!$O:$O,$V$2&amp;if($K11="S1","a",if($K11="S2","b","")),Students!$A:$A,AQ$2)+countifs(Students!$P:$P,$V11,Students!$Q:$Q,$V$2&amp;if($K11="S1","a",if($K11="S2","b","")),Students!$A:$A,AQ$2)+countifs(Students!$R:$R,$V11,Students!$S:$S,$V$2&amp;if($K11="S1","a",if($K11="S2","b","")),Students!$A:$A,AQ$2)+countifs(Students!$T:$T,$V11,Students!$U:$U,$V$2&amp;if($K11="S1","a",if($K11="S2","b","")),Students!$A:$A,AQ$2)+countifs(Students!$V:$V,$V11,Students!$W:$W,$V$2&amp;if($K11="S1","a",if($K11="S2","b","")),Students!$A:$A,AQ$2)+
countifs(Students!$D:$D,$Y11,Students!$E:$E,$Y$2&amp;if($K11="S1","a",if($K11="S2","b","")),Students!$A:$A,AQ$2)+countifs(Students!$F:$F,$Y11,Students!$G:$G,$Y$2&amp;if($K11="S1","a",if($K11="S2","b","")),Students!$A:$A,AQ$2)+countifs(Students!$H:$H,$Y11,Students!$I:$I,$Y$2&amp;if($K11="S1","a",if($K11="S2","b","")),Students!$A:$A,AQ$2)+countifs(Students!$J:$J,$Y11,Students!$K:$K,$Y$2&amp;if($K11="S1","a",if($K11="S2","b","")),Students!$A:$A,AQ$2)+countifs(Students!$L:$L,$Y11,Students!$M:$M,$Y$2&amp;if($K11="S1","a",if($K11="S2","b","")),Students!$A:$A,AQ$2)+countifs(Students!$N:$N,$Y11,Students!$O:$O,$Y$2&amp;if($K11="S1","a",if($K11="S2","b","")),Students!$A:$A,AQ$2)+countifs(Students!$P:$P,$Y11,Students!$Q:$Q,$Y$2&amp;if($K11="S1","a",if($K11="S2","b","")),Students!$A:$A,AQ$2)+countifs(Students!$R:$R,$Y11,Students!$S:$S,$Y$2&amp;if($K11="S1","a",if($K11="S2","b","")),Students!$A:$A,AQ$2)+countifs(Students!$T:$T,$Y11,Students!$U:$U,$Y$2&amp;if($K11="S1","a",if($K11="S2","b","")),Students!$A:$A,AQ$2)+countifs(Students!$V:$V,$Y11,Students!$W:$W,$Y$2&amp;if($K11="S1","a",if($K11="S2","b","")),Students!$A:$A,AQ$2)+
countifs(Students!$D:$D,$AB11,Students!$E:$E,$AB$2&amp;if($K11="S1","a",if($K11="S2","b","")),Students!$A:$A,AQ$2)+countifs(Students!$F:$F,$AB11,Students!$G:$G,$AB$2&amp;if($K11="S1","a",if($K11="S2","b","")),Students!$A:$A,AQ$2)+countifs(Students!$H:$H,$AB11,Students!$I:$I,$AB$2&amp;if($K11="S1","a",if($K11="S2","b","")),Students!$A:$A,AQ$2)+countifs(Students!$J:$J,$AB11,Students!$K:$K,$AB$2&amp;if($K11="S1","a",if($K11="S2","b","")),Students!$A:$A,AQ$2)+countifs(Students!$L:$L,$AB11,Students!$M:$M,$AB$2&amp;if($K11="S1","a",if($K11="S2","b","")),Students!$A:$A,AQ$2)+countifs(Students!$N:$N,$AB11,Students!$O:$O,$AB$2&amp;if($K11="S1","a",if($K11="S2","b","")),Students!$A:$A,AQ$2)+countifs(Students!$P:$P,$AB11,Students!$Q:$Q,$AB$2&amp;if($K11="S1","a",if($K11="S2","b","")),Students!$A:$A,AQ$2)+countifs(Students!$R:$R,$AB11,Students!$S:$S,$AB$2&amp;if($K11="S1","a",if($K11="S2","b","")),Students!$A:$A,AQ$2)+countifs(Students!$T:$T,$AB11,Students!$U:$U,$AB$2&amp;if($K11="S1","a",if($K11="S2","b","")),Students!$A:$A,AQ$2)+countifs(Students!$V:$V,$AB11,Students!$W:$W,$AB$2&amp;if($K11="S1","a",if($K11="S2","b","")),Students!$A:$A,AQ$2)+
countifs(Students!$D:$D,$AE11,Students!$E:$E,$AE$2&amp;if($K11="S1","a",if($K11="S2","b","")),Students!$A:$A,AQ$2)+countifs(Students!$F:$F,$AE11,Students!$G:$G,$AE$2&amp;if($K11="S1","a",if($K11="S2","b","")),Students!$A:$A,AQ$2)+countifs(Students!$H:$H,$AE11,Students!$I:$I,$AE$2&amp;if($K11="S1","a",if($K11="S2","b","")),Students!$A:$A,AQ$2)+countifs(Students!$J:$J,$AE11,Students!$K:$K,$AE$2&amp;if($K11="S1","a",if($K11="S2","b","")),Students!$A:$A,AQ$2)+countifs(Students!$L:$L,$AE11,Students!$M:$M,$AE$2&amp;if($K11="S1","a",if($K11="S2","b","")),Students!$A:$A,AQ$2)+countifs(Students!$N:$N,$AE11,Students!$O:$O,$AE$2&amp;if($K11="S1","a",if($K11="S2","b","")),Students!$A:$A,AQ$2)+countifs(Students!$P:$P,$AE11,Students!$Q:$Q,$AE$2&amp;if($K11="S1","a",if($K11="S2","b","")),Students!$A:$A,AQ$2)+countifs(Students!$R:$R,$AE11,Students!$S:$S,$AE$2&amp;if($K11="S1","a",if($K11="S2","b","")),Students!$A:$A,AQ$2)+countifs(Students!$T:$T,$AE11,Students!$U:$U,$AE$2&amp;if($K11="S1","a",if($K11="S2","b","")),Students!$A:$A,AQ$2)+countifs(Students!$V:$V,$AE11,Students!$W:$W,$AE$2&amp;if($K11="S1","a",if($K11="S2","b","")),Students!$A:$A,AQ$2)+
countifs(Students!$D:$D,$AH11,Students!$E:$E,$AH$2&amp;if($K11="S1","a",if($K11="S2","b","")),Students!$A:$A,AQ$2)+countifs(Students!$F:$F,$AH11,Students!$G:$G,$AH$2&amp;if($K11="S1","a",if($K11="S2","b","")),Students!$A:$A,AQ$2)+countifs(Students!$H:$H,$AH11,Students!$I:$I,$AH$2&amp;if($K11="S1","a",if($K11="S2","b","")),Students!$A:$A,AQ$2)+countifs(Students!$J:$J,$AH11,Students!$K:$K,$AH$2&amp;if($K11="S1","a",if($K11="S2","b","")),Students!$A:$A,AQ$2)+countifs(Students!$L:$L,$AH11,Students!$M:$M,$AH$2&amp;if($K11="S1","a",if($K11="S2","b","")),Students!$A:$A,AQ$2)+countifs(Students!$N:$N,$AH11,Students!$O:$O,$AH$2&amp;if($K11="S1","a",if($K11="S2","b","")),Students!$A:$A,AQ$2)+countifs(Students!$P:$P,$AH11,Students!$Q:$Q,$AH$2&amp;if($K11="S1","a",if($K11="S2","b","")),Students!$A:$A,AQ$2)+countifs(Students!$R:$R,$AH11,Students!$S:$S,$AH$2&amp;if($K11="S1","a",if($K11="S2","b","")),Students!$A:$A,AQ$2)+countifs(Students!$T:$T,$AH11,Students!$U:$U,$AH$2&amp;if($K11="S1","a",if($K11="S2","b","")),Students!$A:$A,AQ$2)+countifs(Students!$V:$V,$AH11,Students!$W:$W,$AH$2&amp;if($K11="S1","a",if($K11="S2","b","")),Students!$A:$A,AQ$2)+
countifs(Students!$D:$D,$AK11,Students!$E:$E,$AK$2&amp;if($K11="S1","a",if($K11="S2","b","")),Students!$A:$A,AQ$2)+countifs(Students!$F:$F,$AK11,Students!$G:$G,$AK$2&amp;if($K11="S1","a",if($K11="S2","b","")),Students!$A:$A,AQ$2)+countifs(Students!$H:$H,$AK11,Students!$I:$I,$AK$2&amp;if($K11="S1","a",if($K11="S2","b","")),Students!$A:$A,AQ$2)+countifs(Students!$J:$J,$AK11,Students!$K:$K,$AK$2&amp;if($K11="S1","a",if($K11="S2","b","")),Students!$A:$A,AQ$2)+countifs(Students!$L:$L,$AK11,Students!$M:$M,$AK$2&amp;if($K11="S1","a",if($K11="S2","b","")),Students!$A:$A,AQ$2)+countifs(Students!$N:$N,$AK11,Students!$O:$O,$AK$2&amp;if($K11="S1","a",if($K11="S2","b","")),Students!$A:$A,AQ$2)+countifs(Students!$P:$P,$AK11,Students!$Q:$Q,$AK$2&amp;if($K11="S1","a",if($K11="S2","b","")),Students!$A:$A,AQ$2)+countifs(Students!$R:$R,$AK11,Students!$S:$S,$AK$2&amp;if($K11="S1","a",if($K11="S2","b","")),Students!$A:$A,AQ$2)+countifs(Students!$T:$T,$AK11,Students!$U:$U,$AK$2&amp;if($K11="S1","a",if($K11="S2","b","")),Students!$A:$A,AQ$2)+countifs(Students!$V:$V,$AK11,Students!$W:$W,$AK$2&amp;if($K11="S1","a",if($K11="S2","b","")),Students!$A:$A,AQ$2))</f>
        <v>0</v>
      </c>
      <c r="AR11" s="102">
        <f>if($L11="","",countifs(Students!$D:$D,$P11,Students!$E:$E,$P$2&amp;if($K11="S1","a",if($K11="S2","b","")),Students!$A:$A,AR$2)+countifs(Students!$F:$F,$P11,Students!$G:$G,$P$2&amp;if($K11="S1","a",if($K11="S2","b","")),Students!$A:$A,AR$2)+countifs(Students!$H:$H,$P11,Students!$I:$I,$P$2&amp;if($K11="S1","a",if($K11="S2","b","")),Students!$A:$A,AR$2)+countifs(Students!$J:$J,$P11,Students!$K:$K,$P$2&amp;if($K11="S1","a",if($K11="S2","b","")),Students!$A:$A,AR$2)+countifs(Students!$L:$L,$P11,Students!$M:$M,$P$2&amp;if($K11="S1","a",if($K11="S2","b","")),Students!$A:$A,AR$2)+countifs(Students!$N:$N,$P11,Students!$O:$O,$P$2&amp;if($K11="S1","a",if($K11="S2","b","")),Students!$A:$A,AR$2)+countifs(Students!$P:$P,$P11,Students!$Q:$Q,$P$2&amp;if($K11="S1","a",if($K11="S2","b","")),Students!$A:$A,AR$2)+countifs(Students!$R:$R,$P11,Students!$S:$S,$P$2&amp;if($K11="S1","a",if($K11="S2","b","")),Students!$A:$A,AR$2)+countifs(Students!$T:$T,$P11,Students!$U:$U,$P$2&amp;if($K11="S1","a",if($K11="S2","b","")),Students!$A:$A,AR$2)+countifs(Students!$V:$V,$P11,Students!$W:$W,$P$2&amp;if($K11="S1","a",if($K11="S2","b","")),Students!$A:$A,AR$2)+
countifs(Students!$D:$D,$S11,Students!$E:$E,$S$2&amp;if($K11="S1","a",if($K11="S2","b","")),Students!$A:$A,AR$2)+countifs(Students!$F:$F,$S11,Students!$G:$G,$S$2&amp;if($K11="S1","a",if($K11="S2","b","")),Students!$A:$A,AR$2)+countifs(Students!$H:$H,$S11,Students!$I:$I,$S$2&amp;if($K11="S1","a",if($K11="S2","b","")),Students!$A:$A,AR$2)+countifs(Students!$J:$J,$S11,Students!$K:$K,$S$2&amp;if($K11="S1","a",if($K11="S2","b","")),Students!$A:$A,AR$2)+countifs(Students!$L:$L,$S11,Students!$M:$M,$S$2&amp;if($K11="S1","a",if($K11="S2","b","")),Students!$A:$A,AR$2)+countifs(Students!$N:$N,$S11,Students!$O:$O,$S$2&amp;if($K11="S1","a",if($K11="S2","b","")),Students!$A:$A,AR$2)+countifs(Students!$P:$P,$S11,Students!$Q:$Q,$S$2&amp;if($K11="S1","a",if($K11="S2","b","")),Students!$A:$A,AR$2)+countifs(Students!$R:$R,$S11,Students!$S:$S,$S$2&amp;if($K11="S1","a",if($K11="S2","b","")),Students!$A:$A,AR$2)+countifs(Students!$T:$T,$S11,Students!$U:$U,$S$2&amp;if($K11="S1","a",if($K11="S2","b","")),Students!$A:$A,AR$2)+countifs(Students!$V:$V,$S11,Students!$W:$W,$S$2&amp;if($K11="S1","a",if($K11="S2","b","")),Students!$A:$A,AR$2)+
countifs(Students!$D:$D,$V11,Students!$E:$E,$V$2&amp;if($K11="S1","a",if($K11="S2","b","")),Students!$A:$A,AR$2)+countifs(Students!$F:$F,$V11,Students!$G:$G,$V$2&amp;if($K11="S1","a",if($K11="S2","b","")),Students!$A:$A,AR$2)+countifs(Students!$H:$H,$V11,Students!$I:$I,$V$2&amp;if($K11="S1","a",if($K11="S2","b","")),Students!$A:$A,AR$2)+countifs(Students!$J:$J,$V11,Students!$K:$K,$V$2&amp;if($K11="S1","a",if($K11="S2","b","")),Students!$A:$A,AR$2)+countifs(Students!$L:$L,$V11,Students!$M:$M,$V$2&amp;if($K11="S1","a",if($K11="S2","b","")),Students!$A:$A,AR$2)+countifs(Students!$N:$N,$V11,Students!$O:$O,$V$2&amp;if($K11="S1","a",if($K11="S2","b","")),Students!$A:$A,AR$2)+countifs(Students!$P:$P,$V11,Students!$Q:$Q,$V$2&amp;if($K11="S1","a",if($K11="S2","b","")),Students!$A:$A,AR$2)+countifs(Students!$R:$R,$V11,Students!$S:$S,$V$2&amp;if($K11="S1","a",if($K11="S2","b","")),Students!$A:$A,AR$2)+countifs(Students!$T:$T,$V11,Students!$U:$U,$V$2&amp;if($K11="S1","a",if($K11="S2","b","")),Students!$A:$A,AR$2)+countifs(Students!$V:$V,$V11,Students!$W:$W,$V$2&amp;if($K11="S1","a",if($K11="S2","b","")),Students!$A:$A,AR$2)+
countifs(Students!$D:$D,$Y11,Students!$E:$E,$Y$2&amp;if($K11="S1","a",if($K11="S2","b","")),Students!$A:$A,AR$2)+countifs(Students!$F:$F,$Y11,Students!$G:$G,$Y$2&amp;if($K11="S1","a",if($K11="S2","b","")),Students!$A:$A,AR$2)+countifs(Students!$H:$H,$Y11,Students!$I:$I,$Y$2&amp;if($K11="S1","a",if($K11="S2","b","")),Students!$A:$A,AR$2)+countifs(Students!$J:$J,$Y11,Students!$K:$K,$Y$2&amp;if($K11="S1","a",if($K11="S2","b","")),Students!$A:$A,AR$2)+countifs(Students!$L:$L,$Y11,Students!$M:$M,$Y$2&amp;if($K11="S1","a",if($K11="S2","b","")),Students!$A:$A,AR$2)+countifs(Students!$N:$N,$Y11,Students!$O:$O,$Y$2&amp;if($K11="S1","a",if($K11="S2","b","")),Students!$A:$A,AR$2)+countifs(Students!$P:$P,$Y11,Students!$Q:$Q,$Y$2&amp;if($K11="S1","a",if($K11="S2","b","")),Students!$A:$A,AR$2)+countifs(Students!$R:$R,$Y11,Students!$S:$S,$Y$2&amp;if($K11="S1","a",if($K11="S2","b","")),Students!$A:$A,AR$2)+countifs(Students!$T:$T,$Y11,Students!$U:$U,$Y$2&amp;if($K11="S1","a",if($K11="S2","b","")),Students!$A:$A,AR$2)+countifs(Students!$V:$V,$Y11,Students!$W:$W,$Y$2&amp;if($K11="S1","a",if($K11="S2","b","")),Students!$A:$A,AR$2)+
countifs(Students!$D:$D,$AB11,Students!$E:$E,$AB$2&amp;if($K11="S1","a",if($K11="S2","b","")),Students!$A:$A,AR$2)+countifs(Students!$F:$F,$AB11,Students!$G:$G,$AB$2&amp;if($K11="S1","a",if($K11="S2","b","")),Students!$A:$A,AR$2)+countifs(Students!$H:$H,$AB11,Students!$I:$I,$AB$2&amp;if($K11="S1","a",if($K11="S2","b","")),Students!$A:$A,AR$2)+countifs(Students!$J:$J,$AB11,Students!$K:$K,$AB$2&amp;if($K11="S1","a",if($K11="S2","b","")),Students!$A:$A,AR$2)+countifs(Students!$L:$L,$AB11,Students!$M:$M,$AB$2&amp;if($K11="S1","a",if($K11="S2","b","")),Students!$A:$A,AR$2)+countifs(Students!$N:$N,$AB11,Students!$O:$O,$AB$2&amp;if($K11="S1","a",if($K11="S2","b","")),Students!$A:$A,AR$2)+countifs(Students!$P:$P,$AB11,Students!$Q:$Q,$AB$2&amp;if($K11="S1","a",if($K11="S2","b","")),Students!$A:$A,AR$2)+countifs(Students!$R:$R,$AB11,Students!$S:$S,$AB$2&amp;if($K11="S1","a",if($K11="S2","b","")),Students!$A:$A,AR$2)+countifs(Students!$T:$T,$AB11,Students!$U:$U,$AB$2&amp;if($K11="S1","a",if($K11="S2","b","")),Students!$A:$A,AR$2)+countifs(Students!$V:$V,$AB11,Students!$W:$W,$AB$2&amp;if($K11="S1","a",if($K11="S2","b","")),Students!$A:$A,AR$2)+
countifs(Students!$D:$D,$AE11,Students!$E:$E,$AE$2&amp;if($K11="S1","a",if($K11="S2","b","")),Students!$A:$A,AR$2)+countifs(Students!$F:$F,$AE11,Students!$G:$G,$AE$2&amp;if($K11="S1","a",if($K11="S2","b","")),Students!$A:$A,AR$2)+countifs(Students!$H:$H,$AE11,Students!$I:$I,$AE$2&amp;if($K11="S1","a",if($K11="S2","b","")),Students!$A:$A,AR$2)+countifs(Students!$J:$J,$AE11,Students!$K:$K,$AE$2&amp;if($K11="S1","a",if($K11="S2","b","")),Students!$A:$A,AR$2)+countifs(Students!$L:$L,$AE11,Students!$M:$M,$AE$2&amp;if($K11="S1","a",if($K11="S2","b","")),Students!$A:$A,AR$2)+countifs(Students!$N:$N,$AE11,Students!$O:$O,$AE$2&amp;if($K11="S1","a",if($K11="S2","b","")),Students!$A:$A,AR$2)+countifs(Students!$P:$P,$AE11,Students!$Q:$Q,$AE$2&amp;if($K11="S1","a",if($K11="S2","b","")),Students!$A:$A,AR$2)+countifs(Students!$R:$R,$AE11,Students!$S:$S,$AE$2&amp;if($K11="S1","a",if($K11="S2","b","")),Students!$A:$A,AR$2)+countifs(Students!$T:$T,$AE11,Students!$U:$U,$AE$2&amp;if($K11="S1","a",if($K11="S2","b","")),Students!$A:$A,AR$2)+countifs(Students!$V:$V,$AE11,Students!$W:$W,$AE$2&amp;if($K11="S1","a",if($K11="S2","b","")),Students!$A:$A,AR$2)+
countifs(Students!$D:$D,$AH11,Students!$E:$E,$AH$2&amp;if($K11="S1","a",if($K11="S2","b","")),Students!$A:$A,AR$2)+countifs(Students!$F:$F,$AH11,Students!$G:$G,$AH$2&amp;if($K11="S1","a",if($K11="S2","b","")),Students!$A:$A,AR$2)+countifs(Students!$H:$H,$AH11,Students!$I:$I,$AH$2&amp;if($K11="S1","a",if($K11="S2","b","")),Students!$A:$A,AR$2)+countifs(Students!$J:$J,$AH11,Students!$K:$K,$AH$2&amp;if($K11="S1","a",if($K11="S2","b","")),Students!$A:$A,AR$2)+countifs(Students!$L:$L,$AH11,Students!$M:$M,$AH$2&amp;if($K11="S1","a",if($K11="S2","b","")),Students!$A:$A,AR$2)+countifs(Students!$N:$N,$AH11,Students!$O:$O,$AH$2&amp;if($K11="S1","a",if($K11="S2","b","")),Students!$A:$A,AR$2)+countifs(Students!$P:$P,$AH11,Students!$Q:$Q,$AH$2&amp;if($K11="S1","a",if($K11="S2","b","")),Students!$A:$A,AR$2)+countifs(Students!$R:$R,$AH11,Students!$S:$S,$AH$2&amp;if($K11="S1","a",if($K11="S2","b","")),Students!$A:$A,AR$2)+countifs(Students!$T:$T,$AH11,Students!$U:$U,$AH$2&amp;if($K11="S1","a",if($K11="S2","b","")),Students!$A:$A,AR$2)+countifs(Students!$V:$V,$AH11,Students!$W:$W,$AH$2&amp;if($K11="S1","a",if($K11="S2","b","")),Students!$A:$A,AR$2)+
countifs(Students!$D:$D,$AK11,Students!$E:$E,$AK$2&amp;if($K11="S1","a",if($K11="S2","b","")),Students!$A:$A,AR$2)+countifs(Students!$F:$F,$AK11,Students!$G:$G,$AK$2&amp;if($K11="S1","a",if($K11="S2","b","")),Students!$A:$A,AR$2)+countifs(Students!$H:$H,$AK11,Students!$I:$I,$AK$2&amp;if($K11="S1","a",if($K11="S2","b","")),Students!$A:$A,AR$2)+countifs(Students!$J:$J,$AK11,Students!$K:$K,$AK$2&amp;if($K11="S1","a",if($K11="S2","b","")),Students!$A:$A,AR$2)+countifs(Students!$L:$L,$AK11,Students!$M:$M,$AK$2&amp;if($K11="S1","a",if($K11="S2","b","")),Students!$A:$A,AR$2)+countifs(Students!$N:$N,$AK11,Students!$O:$O,$AK$2&amp;if($K11="S1","a",if($K11="S2","b","")),Students!$A:$A,AR$2)+countifs(Students!$P:$P,$AK11,Students!$Q:$Q,$AK$2&amp;if($K11="S1","a",if($K11="S2","b","")),Students!$A:$A,AR$2)+countifs(Students!$R:$R,$AK11,Students!$S:$S,$AK$2&amp;if($K11="S1","a",if($K11="S2","b","")),Students!$A:$A,AR$2)+countifs(Students!$T:$T,$AK11,Students!$U:$U,$AK$2&amp;if($K11="S1","a",if($K11="S2","b","")),Students!$A:$A,AR$2)+countifs(Students!$V:$V,$AK11,Students!$W:$W,$AK$2&amp;if($K11="S1","a",if($K11="S2","b","")),Students!$A:$A,AR$2))</f>
        <v>30</v>
      </c>
      <c r="AS11" s="102">
        <f>if($L11="","",countifs(Students!$D:$D,$P11,Students!$E:$E,$P$2&amp;if($K11="S1","a",if($K11="S2","b","")),Students!$A:$A,AS$2)+countifs(Students!$F:$F,$P11,Students!$G:$G,$P$2&amp;if($K11="S1","a",if($K11="S2","b","")),Students!$A:$A,AS$2)+countifs(Students!$H:$H,$P11,Students!$I:$I,$P$2&amp;if($K11="S1","a",if($K11="S2","b","")),Students!$A:$A,AS$2)+countifs(Students!$J:$J,$P11,Students!$K:$K,$P$2&amp;if($K11="S1","a",if($K11="S2","b","")),Students!$A:$A,AS$2)+countifs(Students!$L:$L,$P11,Students!$M:$M,$P$2&amp;if($K11="S1","a",if($K11="S2","b","")),Students!$A:$A,AS$2)+countifs(Students!$N:$N,$P11,Students!$O:$O,$P$2&amp;if($K11="S1","a",if($K11="S2","b","")),Students!$A:$A,AS$2)+countifs(Students!$P:$P,$P11,Students!$Q:$Q,$P$2&amp;if($K11="S1","a",if($K11="S2","b","")),Students!$A:$A,AS$2)+countifs(Students!$R:$R,$P11,Students!$S:$S,$P$2&amp;if($K11="S1","a",if($K11="S2","b","")),Students!$A:$A,AS$2)+countifs(Students!$T:$T,$P11,Students!$U:$U,$P$2&amp;if($K11="S1","a",if($K11="S2","b","")),Students!$A:$A,AS$2)+countifs(Students!$V:$V,$P11,Students!$W:$W,$P$2&amp;if($K11="S1","a",if($K11="S2","b","")),Students!$A:$A,AS$2)+
countifs(Students!$D:$D,$S11,Students!$E:$E,$S$2&amp;if($K11="S1","a",if($K11="S2","b","")),Students!$A:$A,AS$2)+countifs(Students!$F:$F,$S11,Students!$G:$G,$S$2&amp;if($K11="S1","a",if($K11="S2","b","")),Students!$A:$A,AS$2)+countifs(Students!$H:$H,$S11,Students!$I:$I,$S$2&amp;if($K11="S1","a",if($K11="S2","b","")),Students!$A:$A,AS$2)+countifs(Students!$J:$J,$S11,Students!$K:$K,$S$2&amp;if($K11="S1","a",if($K11="S2","b","")),Students!$A:$A,AS$2)+countifs(Students!$L:$L,$S11,Students!$M:$M,$S$2&amp;if($K11="S1","a",if($K11="S2","b","")),Students!$A:$A,AS$2)+countifs(Students!$N:$N,$S11,Students!$O:$O,$S$2&amp;if($K11="S1","a",if($K11="S2","b","")),Students!$A:$A,AS$2)+countifs(Students!$P:$P,$S11,Students!$Q:$Q,$S$2&amp;if($K11="S1","a",if($K11="S2","b","")),Students!$A:$A,AS$2)+countifs(Students!$R:$R,$S11,Students!$S:$S,$S$2&amp;if($K11="S1","a",if($K11="S2","b","")),Students!$A:$A,AS$2)+countifs(Students!$T:$T,$S11,Students!$U:$U,$S$2&amp;if($K11="S1","a",if($K11="S2","b","")),Students!$A:$A,AS$2)+countifs(Students!$V:$V,$S11,Students!$W:$W,$S$2&amp;if($K11="S1","a",if($K11="S2","b","")),Students!$A:$A,AS$2)+
countifs(Students!$D:$D,$V11,Students!$E:$E,$V$2&amp;if($K11="S1","a",if($K11="S2","b","")),Students!$A:$A,AS$2)+countifs(Students!$F:$F,$V11,Students!$G:$G,$V$2&amp;if($K11="S1","a",if($K11="S2","b","")),Students!$A:$A,AS$2)+countifs(Students!$H:$H,$V11,Students!$I:$I,$V$2&amp;if($K11="S1","a",if($K11="S2","b","")),Students!$A:$A,AS$2)+countifs(Students!$J:$J,$V11,Students!$K:$K,$V$2&amp;if($K11="S1","a",if($K11="S2","b","")),Students!$A:$A,AS$2)+countifs(Students!$L:$L,$V11,Students!$M:$M,$V$2&amp;if($K11="S1","a",if($K11="S2","b","")),Students!$A:$A,AS$2)+countifs(Students!$N:$N,$V11,Students!$O:$O,$V$2&amp;if($K11="S1","a",if($K11="S2","b","")),Students!$A:$A,AS$2)+countifs(Students!$P:$P,$V11,Students!$Q:$Q,$V$2&amp;if($K11="S1","a",if($K11="S2","b","")),Students!$A:$A,AS$2)+countifs(Students!$R:$R,$V11,Students!$S:$S,$V$2&amp;if($K11="S1","a",if($K11="S2","b","")),Students!$A:$A,AS$2)+countifs(Students!$T:$T,$V11,Students!$U:$U,$V$2&amp;if($K11="S1","a",if($K11="S2","b","")),Students!$A:$A,AS$2)+countifs(Students!$V:$V,$V11,Students!$W:$W,$V$2&amp;if($K11="S1","a",if($K11="S2","b","")),Students!$A:$A,AS$2)+
countifs(Students!$D:$D,$Y11,Students!$E:$E,$Y$2&amp;if($K11="S1","a",if($K11="S2","b","")),Students!$A:$A,AS$2)+countifs(Students!$F:$F,$Y11,Students!$G:$G,$Y$2&amp;if($K11="S1","a",if($K11="S2","b","")),Students!$A:$A,AS$2)+countifs(Students!$H:$H,$Y11,Students!$I:$I,$Y$2&amp;if($K11="S1","a",if($K11="S2","b","")),Students!$A:$A,AS$2)+countifs(Students!$J:$J,$Y11,Students!$K:$K,$Y$2&amp;if($K11="S1","a",if($K11="S2","b","")),Students!$A:$A,AS$2)+countifs(Students!$L:$L,$Y11,Students!$M:$M,$Y$2&amp;if($K11="S1","a",if($K11="S2","b","")),Students!$A:$A,AS$2)+countifs(Students!$N:$N,$Y11,Students!$O:$O,$Y$2&amp;if($K11="S1","a",if($K11="S2","b","")),Students!$A:$A,AS$2)+countifs(Students!$P:$P,$Y11,Students!$Q:$Q,$Y$2&amp;if($K11="S1","a",if($K11="S2","b","")),Students!$A:$A,AS$2)+countifs(Students!$R:$R,$Y11,Students!$S:$S,$Y$2&amp;if($K11="S1","a",if($K11="S2","b","")),Students!$A:$A,AS$2)+countifs(Students!$T:$T,$Y11,Students!$U:$U,$Y$2&amp;if($K11="S1","a",if($K11="S2","b","")),Students!$A:$A,AS$2)+countifs(Students!$V:$V,$Y11,Students!$W:$W,$Y$2&amp;if($K11="S1","a",if($K11="S2","b","")),Students!$A:$A,AS$2)+
countifs(Students!$D:$D,$AB11,Students!$E:$E,$AB$2&amp;if($K11="S1","a",if($K11="S2","b","")),Students!$A:$A,AS$2)+countifs(Students!$F:$F,$AB11,Students!$G:$G,$AB$2&amp;if($K11="S1","a",if($K11="S2","b","")),Students!$A:$A,AS$2)+countifs(Students!$H:$H,$AB11,Students!$I:$I,$AB$2&amp;if($K11="S1","a",if($K11="S2","b","")),Students!$A:$A,AS$2)+countifs(Students!$J:$J,$AB11,Students!$K:$K,$AB$2&amp;if($K11="S1","a",if($K11="S2","b","")),Students!$A:$A,AS$2)+countifs(Students!$L:$L,$AB11,Students!$M:$M,$AB$2&amp;if($K11="S1","a",if($K11="S2","b","")),Students!$A:$A,AS$2)+countifs(Students!$N:$N,$AB11,Students!$O:$O,$AB$2&amp;if($K11="S1","a",if($K11="S2","b","")),Students!$A:$A,AS$2)+countifs(Students!$P:$P,$AB11,Students!$Q:$Q,$AB$2&amp;if($K11="S1","a",if($K11="S2","b","")),Students!$A:$A,AS$2)+countifs(Students!$R:$R,$AB11,Students!$S:$S,$AB$2&amp;if($K11="S1","a",if($K11="S2","b","")),Students!$A:$A,AS$2)+countifs(Students!$T:$T,$AB11,Students!$U:$U,$AB$2&amp;if($K11="S1","a",if($K11="S2","b","")),Students!$A:$A,AS$2)+countifs(Students!$V:$V,$AB11,Students!$W:$W,$AB$2&amp;if($K11="S1","a",if($K11="S2","b","")),Students!$A:$A,AS$2)+
countifs(Students!$D:$D,$AE11,Students!$E:$E,$AE$2&amp;if($K11="S1","a",if($K11="S2","b","")),Students!$A:$A,AS$2)+countifs(Students!$F:$F,$AE11,Students!$G:$G,$AE$2&amp;if($K11="S1","a",if($K11="S2","b","")),Students!$A:$A,AS$2)+countifs(Students!$H:$H,$AE11,Students!$I:$I,$AE$2&amp;if($K11="S1","a",if($K11="S2","b","")),Students!$A:$A,AS$2)+countifs(Students!$J:$J,$AE11,Students!$K:$K,$AE$2&amp;if($K11="S1","a",if($K11="S2","b","")),Students!$A:$A,AS$2)+countifs(Students!$L:$L,$AE11,Students!$M:$M,$AE$2&amp;if($K11="S1","a",if($K11="S2","b","")),Students!$A:$A,AS$2)+countifs(Students!$N:$N,$AE11,Students!$O:$O,$AE$2&amp;if($K11="S1","a",if($K11="S2","b","")),Students!$A:$A,AS$2)+countifs(Students!$P:$P,$AE11,Students!$Q:$Q,$AE$2&amp;if($K11="S1","a",if($K11="S2","b","")),Students!$A:$A,AS$2)+countifs(Students!$R:$R,$AE11,Students!$S:$S,$AE$2&amp;if($K11="S1","a",if($K11="S2","b","")),Students!$A:$A,AS$2)+countifs(Students!$T:$T,$AE11,Students!$U:$U,$AE$2&amp;if($K11="S1","a",if($K11="S2","b","")),Students!$A:$A,AS$2)+countifs(Students!$V:$V,$AE11,Students!$W:$W,$AE$2&amp;if($K11="S1","a",if($K11="S2","b","")),Students!$A:$A,AS$2)+
countifs(Students!$D:$D,$AH11,Students!$E:$E,$AH$2&amp;if($K11="S1","a",if($K11="S2","b","")),Students!$A:$A,AS$2)+countifs(Students!$F:$F,$AH11,Students!$G:$G,$AH$2&amp;if($K11="S1","a",if($K11="S2","b","")),Students!$A:$A,AS$2)+countifs(Students!$H:$H,$AH11,Students!$I:$I,$AH$2&amp;if($K11="S1","a",if($K11="S2","b","")),Students!$A:$A,AS$2)+countifs(Students!$J:$J,$AH11,Students!$K:$K,$AH$2&amp;if($K11="S1","a",if($K11="S2","b","")),Students!$A:$A,AS$2)+countifs(Students!$L:$L,$AH11,Students!$M:$M,$AH$2&amp;if($K11="S1","a",if($K11="S2","b","")),Students!$A:$A,AS$2)+countifs(Students!$N:$N,$AH11,Students!$O:$O,$AH$2&amp;if($K11="S1","a",if($K11="S2","b","")),Students!$A:$A,AS$2)+countifs(Students!$P:$P,$AH11,Students!$Q:$Q,$AH$2&amp;if($K11="S1","a",if($K11="S2","b","")),Students!$A:$A,AS$2)+countifs(Students!$R:$R,$AH11,Students!$S:$S,$AH$2&amp;if($K11="S1","a",if($K11="S2","b","")),Students!$A:$A,AS$2)+countifs(Students!$T:$T,$AH11,Students!$U:$U,$AH$2&amp;if($K11="S1","a",if($K11="S2","b","")),Students!$A:$A,AS$2)+countifs(Students!$V:$V,$AH11,Students!$W:$W,$AH$2&amp;if($K11="S1","a",if($K11="S2","b","")),Students!$A:$A,AS$2)+
countifs(Students!$D:$D,$AK11,Students!$E:$E,$AK$2&amp;if($K11="S1","a",if($K11="S2","b","")),Students!$A:$A,AS$2)+countifs(Students!$F:$F,$AK11,Students!$G:$G,$AK$2&amp;if($K11="S1","a",if($K11="S2","b","")),Students!$A:$A,AS$2)+countifs(Students!$H:$H,$AK11,Students!$I:$I,$AK$2&amp;if($K11="S1","a",if($K11="S2","b","")),Students!$A:$A,AS$2)+countifs(Students!$J:$J,$AK11,Students!$K:$K,$AK$2&amp;if($K11="S1","a",if($K11="S2","b","")),Students!$A:$A,AS$2)+countifs(Students!$L:$L,$AK11,Students!$M:$M,$AK$2&amp;if($K11="S1","a",if($K11="S2","b","")),Students!$A:$A,AS$2)+countifs(Students!$N:$N,$AK11,Students!$O:$O,$AK$2&amp;if($K11="S1","a",if($K11="S2","b","")),Students!$A:$A,AS$2)+countifs(Students!$P:$P,$AK11,Students!$Q:$Q,$AK$2&amp;if($K11="S1","a",if($K11="S2","b","")),Students!$A:$A,AS$2)+countifs(Students!$R:$R,$AK11,Students!$S:$S,$AK$2&amp;if($K11="S1","a",if($K11="S2","b","")),Students!$A:$A,AS$2)+countifs(Students!$T:$T,$AK11,Students!$U:$U,$AK$2&amp;if($K11="S1","a",if($K11="S2","b","")),Students!$A:$A,AS$2)+countifs(Students!$V:$V,$AK11,Students!$W:$W,$AK$2&amp;if($K11="S1","a",if($K11="S2","b","")),Students!$A:$A,AS$2))</f>
        <v>73</v>
      </c>
    </row>
    <row r="12">
      <c r="A12" s="21">
        <v>10.0</v>
      </c>
      <c r="B12" s="64">
        <f>countifs(Students!$A:$A,$A12)-countifs(Students!$A:$A,$A12,Students!X:X,"&gt;0")</f>
        <v>0</v>
      </c>
      <c r="C12" s="64">
        <f>countifs(Students!$A:$A,$A12)-countifs(Students!$A:$A,$A12,Students!Y:Y,"&gt;0")</f>
        <v>0</v>
      </c>
      <c r="D12" s="64">
        <f>countifs(Students!$A:$A,$A12)-countifs(Students!$A:$A,$A12,Students!Z:Z,"&gt;0")</f>
        <v>0</v>
      </c>
      <c r="E12" s="64">
        <f>countifs(Students!$A:$A,$A12)-countifs(Students!$A:$A,$A12,Students!AA:AA,"&gt;0")</f>
        <v>0</v>
      </c>
      <c r="F12" s="64">
        <f>countifs(Students!$A:$A,$A12)-countifs(Students!$A:$A,$A12,Students!AB:AB,"&gt;0")</f>
        <v>0</v>
      </c>
      <c r="G12" s="64">
        <f>countifs(Students!$A:$A,$A12)-countifs(Students!$A:$A,$A12,Students!AC:AC,"&gt;0")</f>
        <v>0</v>
      </c>
      <c r="H12" s="4">
        <f>countifs(Students!$A:$A,$A12)-countifs(Students!$A:$A,$A12,Students!AD:AD,"&gt;0")</f>
        <v>0</v>
      </c>
      <c r="I12" s="4">
        <f>countifs(Students!$A:$A,$A12)-countifs(Students!$A:$A,$A12,Students!AE:AE,"&gt;0")</f>
        <v>0</v>
      </c>
      <c r="J12" s="87">
        <v>98.0</v>
      </c>
      <c r="K12" s="88"/>
      <c r="L12" s="58" t="s">
        <v>47</v>
      </c>
      <c r="M12" s="89"/>
      <c r="N12" s="87">
        <v>3.0</v>
      </c>
      <c r="O12" s="87"/>
      <c r="P12" s="90" t="s">
        <v>48</v>
      </c>
      <c r="Q12" s="91">
        <v>1.0</v>
      </c>
      <c r="R12" s="92">
        <v>24.0</v>
      </c>
      <c r="S12" s="93"/>
      <c r="T12" s="104"/>
      <c r="U12" s="105" t="s">
        <v>22</v>
      </c>
      <c r="V12" s="91" t="s">
        <v>49</v>
      </c>
      <c r="W12" s="91">
        <v>1.0</v>
      </c>
      <c r="X12" s="92">
        <v>13.0</v>
      </c>
      <c r="Y12" s="93"/>
      <c r="Z12" s="94"/>
      <c r="AA12" s="95" t="s">
        <v>22</v>
      </c>
      <c r="AB12" s="90" t="s">
        <v>48</v>
      </c>
      <c r="AC12" s="91">
        <v>2.0</v>
      </c>
      <c r="AD12" s="92">
        <v>22.0</v>
      </c>
      <c r="AE12" s="103"/>
      <c r="AF12" s="101"/>
      <c r="AG12" s="92" t="s">
        <v>22</v>
      </c>
      <c r="AH12" s="90" t="s">
        <v>49</v>
      </c>
      <c r="AI12" s="96">
        <v>2.0</v>
      </c>
      <c r="AJ12" s="92">
        <v>18.0</v>
      </c>
      <c r="AK12" s="90" t="s">
        <v>37</v>
      </c>
      <c r="AL12" s="97">
        <v>3.0</v>
      </c>
      <c r="AM12" s="98">
        <v>21.0</v>
      </c>
      <c r="AN12" s="99"/>
      <c r="AO12" s="52">
        <f t="shared" si="1"/>
        <v>98</v>
      </c>
      <c r="AP12" s="102">
        <f>if($L12="","",countifs(Students!$D:$D,$P12,Students!$E:$E,$P$2&amp;if($K12="S1","a",if($K12="S2","b","")),Students!$A:$A,AP$2)+countifs(Students!$F:$F,$P12,Students!$G:$G,$P$2&amp;if($K12="S1","a",if($K12="S2","b","")),Students!$A:$A,AP$2)+countifs(Students!$H:$H,$P12,Students!$I:$I,$P$2&amp;if($K12="S1","a",if($K12="S2","b","")),Students!$A:$A,AP$2)+countifs(Students!$J:$J,$P12,Students!$K:$K,$P$2&amp;if($K12="S1","a",if($K12="S2","b","")),Students!$A:$A,AP$2)+countifs(Students!$L:$L,$P12,Students!$M:$M,$P$2&amp;if($K12="S1","a",if($K12="S2","b","")),Students!$A:$A,AP$2)+countifs(Students!$N:$N,$P12,Students!$O:$O,$P$2&amp;if($K12="S1","a",if($K12="S2","b","")),Students!$A:$A,AP$2)+countifs(Students!$P:$P,$P12,Students!$Q:$Q,$P$2&amp;if($K12="S1","a",if($K12="S2","b","")),Students!$A:$A,AP$2)+countifs(Students!$R:$R,$P12,Students!$S:$S,$P$2&amp;if($K12="S1","a",if($K12="S2","b","")),Students!$A:$A,AP$2)+countifs(Students!$T:$T,$P12,Students!$U:$U,$P$2&amp;if($K12="S1","a",if($K12="S2","b","")),Students!$A:$A,AP$2)+countifs(Students!$V:$V,$P12,Students!$W:$W,$P$2&amp;if($K12="S1","a",if($K12="S2","b","")),Students!$A:$A,AP$2)+
countifs(Students!$D:$D,$S12,Students!$E:$E,$S$2&amp;if($K12="S1","a",if($K12="S2","b","")),Students!$A:$A,AP$2)+countifs(Students!$F:$F,$S12,Students!$G:$G,$S$2&amp;if($K12="S1","a",if($K12="S2","b","")),Students!$A:$A,AP$2)+countifs(Students!$H:$H,$S12,Students!$I:$I,$S$2&amp;if($K12="S1","a",if($K12="S2","b","")),Students!$A:$A,AP$2)+countifs(Students!$J:$J,$S12,Students!$K:$K,$S$2&amp;if($K12="S1","a",if($K12="S2","b","")),Students!$A:$A,AP$2)+countifs(Students!$L:$L,$S12,Students!$M:$M,$S$2&amp;if($K12="S1","a",if($K12="S2","b","")),Students!$A:$A,AP$2)+countifs(Students!$N:$N,$S12,Students!$O:$O,$S$2&amp;if($K12="S1","a",if($K12="S2","b","")),Students!$A:$A,AP$2)+countifs(Students!$P:$P,$S12,Students!$Q:$Q,$S$2&amp;if($K12="S1","a",if($K12="S2","b","")),Students!$A:$A,AP$2)+countifs(Students!$R:$R,$S12,Students!$S:$S,$S$2&amp;if($K12="S1","a",if($K12="S2","b","")),Students!$A:$A,AP$2)+countifs(Students!$T:$T,$S12,Students!$U:$U,$S$2&amp;if($K12="S1","a",if($K12="S2","b","")),Students!$A:$A,AP$2)+countifs(Students!$V:$V,$S12,Students!$W:$W,$S$2&amp;if($K12="S1","a",if($K12="S2","b","")),Students!$A:$A,AP$2)+
countifs(Students!$D:$D,$V12,Students!$E:$E,$V$2&amp;if($K12="S1","a",if($K12="S2","b","")),Students!$A:$A,AP$2)+countifs(Students!$F:$F,$V12,Students!$G:$G,$V$2&amp;if($K12="S1","a",if($K12="S2","b","")),Students!$A:$A,AP$2)+countifs(Students!$H:$H,$V12,Students!$I:$I,$V$2&amp;if($K12="S1","a",if($K12="S2","b","")),Students!$A:$A,AP$2)+countifs(Students!$J:$J,$V12,Students!$K:$K,$V$2&amp;if($K12="S1","a",if($K12="S2","b","")),Students!$A:$A,AP$2)+countifs(Students!$L:$L,$V12,Students!$M:$M,$V$2&amp;if($K12="S1","a",if($K12="S2","b","")),Students!$A:$A,AP$2)+countifs(Students!$N:$N,$V12,Students!$O:$O,$V$2&amp;if($K12="S1","a",if($K12="S2","b","")),Students!$A:$A,AP$2)+countifs(Students!$P:$P,$V12,Students!$Q:$Q,$V$2&amp;if($K12="S1","a",if($K12="S2","b","")),Students!$A:$A,AP$2)+countifs(Students!$R:$R,$V12,Students!$S:$S,$V$2&amp;if($K12="S1","a",if($K12="S2","b","")),Students!$A:$A,AP$2)+countifs(Students!$T:$T,$V12,Students!$U:$U,$V$2&amp;if($K12="S1","a",if($K12="S2","b","")),Students!$A:$A,AP$2)+countifs(Students!$V:$V,$V12,Students!$W:$W,$V$2&amp;if($K12="S1","a",if($K12="S2","b","")),Students!$A:$A,AP$2)+
countifs(Students!$D:$D,$Y12,Students!$E:$E,$Y$2&amp;if($K12="S1","a",if($K12="S2","b","")),Students!$A:$A,AP$2)+countifs(Students!$F:$F,$Y12,Students!$G:$G,$Y$2&amp;if($K12="S1","a",if($K12="S2","b","")),Students!$A:$A,AP$2)+countifs(Students!$H:$H,$Y12,Students!$I:$I,$Y$2&amp;if($K12="S1","a",if($K12="S2","b","")),Students!$A:$A,AP$2)+countifs(Students!$J:$J,$Y12,Students!$K:$K,$Y$2&amp;if($K12="S1","a",if($K12="S2","b","")),Students!$A:$A,AP$2)+countifs(Students!$L:$L,$Y12,Students!$M:$M,$Y$2&amp;if($K12="S1","a",if($K12="S2","b","")),Students!$A:$A,AP$2)+countifs(Students!$N:$N,$Y12,Students!$O:$O,$Y$2&amp;if($K12="S1","a",if($K12="S2","b","")),Students!$A:$A,AP$2)+countifs(Students!$P:$P,$Y12,Students!$Q:$Q,$Y$2&amp;if($K12="S1","a",if($K12="S2","b","")),Students!$A:$A,AP$2)+countifs(Students!$R:$R,$Y12,Students!$S:$S,$Y$2&amp;if($K12="S1","a",if($K12="S2","b","")),Students!$A:$A,AP$2)+countifs(Students!$T:$T,$Y12,Students!$U:$U,$Y$2&amp;if($K12="S1","a",if($K12="S2","b","")),Students!$A:$A,AP$2)+countifs(Students!$V:$V,$Y12,Students!$W:$W,$Y$2&amp;if($K12="S1","a",if($K12="S2","b","")),Students!$A:$A,AP$2)+
countifs(Students!$D:$D,$AB12,Students!$E:$E,$AB$2&amp;if($K12="S1","a",if($K12="S2","b","")),Students!$A:$A,AP$2)+countifs(Students!$F:$F,$AB12,Students!$G:$G,$AB$2&amp;if($K12="S1","a",if($K12="S2","b","")),Students!$A:$A,AP$2)+countifs(Students!$H:$H,$AB12,Students!$I:$I,$AB$2&amp;if($K12="S1","a",if($K12="S2","b","")),Students!$A:$A,AP$2)+countifs(Students!$J:$J,$AB12,Students!$K:$K,$AB$2&amp;if($K12="S1","a",if($K12="S2","b","")),Students!$A:$A,AP$2)+countifs(Students!$L:$L,$AB12,Students!$M:$M,$AB$2&amp;if($K12="S1","a",if($K12="S2","b","")),Students!$A:$A,AP$2)+countifs(Students!$N:$N,$AB12,Students!$O:$O,$AB$2&amp;if($K12="S1","a",if($K12="S2","b","")),Students!$A:$A,AP$2)+countifs(Students!$P:$P,$AB12,Students!$Q:$Q,$AB$2&amp;if($K12="S1","a",if($K12="S2","b","")),Students!$A:$A,AP$2)+countifs(Students!$R:$R,$AB12,Students!$S:$S,$AB$2&amp;if($K12="S1","a",if($K12="S2","b","")),Students!$A:$A,AP$2)+countifs(Students!$T:$T,$AB12,Students!$U:$U,$AB$2&amp;if($K12="S1","a",if($K12="S2","b","")),Students!$A:$A,AP$2)+countifs(Students!$V:$V,$AB12,Students!$W:$W,$AB$2&amp;if($K12="S1","a",if($K12="S2","b","")),Students!$A:$A,AP$2)+
countifs(Students!$D:$D,$AE12,Students!$E:$E,$AE$2&amp;if($K12="S1","a",if($K12="S2","b","")),Students!$A:$A,AP$2)+countifs(Students!$F:$F,$AE12,Students!$G:$G,$AE$2&amp;if($K12="S1","a",if($K12="S2","b","")),Students!$A:$A,AP$2)+countifs(Students!$H:$H,$AE12,Students!$I:$I,$AE$2&amp;if($K12="S1","a",if($K12="S2","b","")),Students!$A:$A,AP$2)+countifs(Students!$J:$J,$AE12,Students!$K:$K,$AE$2&amp;if($K12="S1","a",if($K12="S2","b","")),Students!$A:$A,AP$2)+countifs(Students!$L:$L,$AE12,Students!$M:$M,$AE$2&amp;if($K12="S1","a",if($K12="S2","b","")),Students!$A:$A,AP$2)+countifs(Students!$N:$N,$AE12,Students!$O:$O,$AE$2&amp;if($K12="S1","a",if($K12="S2","b","")),Students!$A:$A,AP$2)+countifs(Students!$P:$P,$AE12,Students!$Q:$Q,$AE$2&amp;if($K12="S1","a",if($K12="S2","b","")),Students!$A:$A,AP$2)+countifs(Students!$R:$R,$AE12,Students!$S:$S,$AE$2&amp;if($K12="S1","a",if($K12="S2","b","")),Students!$A:$A,AP$2)+countifs(Students!$T:$T,$AE12,Students!$U:$U,$AE$2&amp;if($K12="S1","a",if($K12="S2","b","")),Students!$A:$A,AP$2)+countifs(Students!$V:$V,$AE12,Students!$W:$W,$AE$2&amp;if($K12="S1","a",if($K12="S2","b","")),Students!$A:$A,AP$2)+
countifs(Students!$D:$D,$AH12,Students!$E:$E,$AH$2&amp;if($K12="S1","a",if($K12="S2","b","")),Students!$A:$A,AP$2)+countifs(Students!$F:$F,$AH12,Students!$G:$G,$AH$2&amp;if($K12="S1","a",if($K12="S2","b","")),Students!$A:$A,AP$2)+countifs(Students!$H:$H,$AH12,Students!$I:$I,$AH$2&amp;if($K12="S1","a",if($K12="S2","b","")),Students!$A:$A,AP$2)+countifs(Students!$J:$J,$AH12,Students!$K:$K,$AH$2&amp;if($K12="S1","a",if($K12="S2","b","")),Students!$A:$A,AP$2)+countifs(Students!$L:$L,$AH12,Students!$M:$M,$AH$2&amp;if($K12="S1","a",if($K12="S2","b","")),Students!$A:$A,AP$2)+countifs(Students!$N:$N,$AH12,Students!$O:$O,$AH$2&amp;if($K12="S1","a",if($K12="S2","b","")),Students!$A:$A,AP$2)+countifs(Students!$P:$P,$AH12,Students!$Q:$Q,$AH$2&amp;if($K12="S1","a",if($K12="S2","b","")),Students!$A:$A,AP$2)+countifs(Students!$R:$R,$AH12,Students!$S:$S,$AH$2&amp;if($K12="S1","a",if($K12="S2","b","")),Students!$A:$A,AP$2)+countifs(Students!$T:$T,$AH12,Students!$U:$U,$AH$2&amp;if($K12="S1","a",if($K12="S2","b","")),Students!$A:$A,AP$2)+countifs(Students!$V:$V,$AH12,Students!$W:$W,$AH$2&amp;if($K12="S1","a",if($K12="S2","b","")),Students!$A:$A,AP$2)+
countifs(Students!$D:$D,$AK12,Students!$E:$E,$AK$2&amp;if($K12="S1","a",if($K12="S2","b","")),Students!$A:$A,AP$2)+countifs(Students!$F:$F,$AK12,Students!$G:$G,$AK$2&amp;if($K12="S1","a",if($K12="S2","b","")),Students!$A:$A,AP$2)+countifs(Students!$H:$H,$AK12,Students!$I:$I,$AK$2&amp;if($K12="S1","a",if($K12="S2","b","")),Students!$A:$A,AP$2)+countifs(Students!$J:$J,$AK12,Students!$K:$K,$AK$2&amp;if($K12="S1","a",if($K12="S2","b","")),Students!$A:$A,AP$2)+countifs(Students!$L:$L,$AK12,Students!$M:$M,$AK$2&amp;if($K12="S1","a",if($K12="S2","b","")),Students!$A:$A,AP$2)+countifs(Students!$N:$N,$AK12,Students!$O:$O,$AK$2&amp;if($K12="S1","a",if($K12="S2","b","")),Students!$A:$A,AP$2)+countifs(Students!$P:$P,$AK12,Students!$Q:$Q,$AK$2&amp;if($K12="S1","a",if($K12="S2","b","")),Students!$A:$A,AP$2)+countifs(Students!$R:$R,$AK12,Students!$S:$S,$AK$2&amp;if($K12="S1","a",if($K12="S2","b","")),Students!$A:$A,AP$2)+countifs(Students!$T:$T,$AK12,Students!$U:$U,$AK$2&amp;if($K12="S1","a",if($K12="S2","b","")),Students!$A:$A,AP$2)+countifs(Students!$V:$V,$AK12,Students!$W:$W,$AK$2&amp;if($K12="S1","a",if($K12="S2","b","")),Students!$A:$A,AP$2))</f>
        <v>0</v>
      </c>
      <c r="AQ12" s="102">
        <f>if($L12="","",countifs(Students!$D:$D,$P12,Students!$E:$E,$P$2&amp;if($K12="S1","a",if($K12="S2","b","")),Students!$A:$A,AQ$2)+countifs(Students!$F:$F,$P12,Students!$G:$G,$P$2&amp;if($K12="S1","a",if($K12="S2","b","")),Students!$A:$A,AQ$2)+countifs(Students!$H:$H,$P12,Students!$I:$I,$P$2&amp;if($K12="S1","a",if($K12="S2","b","")),Students!$A:$A,AQ$2)+countifs(Students!$J:$J,$P12,Students!$K:$K,$P$2&amp;if($K12="S1","a",if($K12="S2","b","")),Students!$A:$A,AQ$2)+countifs(Students!$L:$L,$P12,Students!$M:$M,$P$2&amp;if($K12="S1","a",if($K12="S2","b","")),Students!$A:$A,AQ$2)+countifs(Students!$N:$N,$P12,Students!$O:$O,$P$2&amp;if($K12="S1","a",if($K12="S2","b","")),Students!$A:$A,AQ$2)+countifs(Students!$P:$P,$P12,Students!$Q:$Q,$P$2&amp;if($K12="S1","a",if($K12="S2","b","")),Students!$A:$A,AQ$2)+countifs(Students!$R:$R,$P12,Students!$S:$S,$P$2&amp;if($K12="S1","a",if($K12="S2","b","")),Students!$A:$A,AQ$2)+countifs(Students!$T:$T,$P12,Students!$U:$U,$P$2&amp;if($K12="S1","a",if($K12="S2","b","")),Students!$A:$A,AQ$2)+countifs(Students!$V:$V,$P12,Students!$W:$W,$P$2&amp;if($K12="S1","a",if($K12="S2","b","")),Students!$A:$A,AQ$2)+
countifs(Students!$D:$D,$S12,Students!$E:$E,$S$2&amp;if($K12="S1","a",if($K12="S2","b","")),Students!$A:$A,AQ$2)+countifs(Students!$F:$F,$S12,Students!$G:$G,$S$2&amp;if($K12="S1","a",if($K12="S2","b","")),Students!$A:$A,AQ$2)+countifs(Students!$H:$H,$S12,Students!$I:$I,$S$2&amp;if($K12="S1","a",if($K12="S2","b","")),Students!$A:$A,AQ$2)+countifs(Students!$J:$J,$S12,Students!$K:$K,$S$2&amp;if($K12="S1","a",if($K12="S2","b","")),Students!$A:$A,AQ$2)+countifs(Students!$L:$L,$S12,Students!$M:$M,$S$2&amp;if($K12="S1","a",if($K12="S2","b","")),Students!$A:$A,AQ$2)+countifs(Students!$N:$N,$S12,Students!$O:$O,$S$2&amp;if($K12="S1","a",if($K12="S2","b","")),Students!$A:$A,AQ$2)+countifs(Students!$P:$P,$S12,Students!$Q:$Q,$S$2&amp;if($K12="S1","a",if($K12="S2","b","")),Students!$A:$A,AQ$2)+countifs(Students!$R:$R,$S12,Students!$S:$S,$S$2&amp;if($K12="S1","a",if($K12="S2","b","")),Students!$A:$A,AQ$2)+countifs(Students!$T:$T,$S12,Students!$U:$U,$S$2&amp;if($K12="S1","a",if($K12="S2","b","")),Students!$A:$A,AQ$2)+countifs(Students!$V:$V,$S12,Students!$W:$W,$S$2&amp;if($K12="S1","a",if($K12="S2","b","")),Students!$A:$A,AQ$2)+
countifs(Students!$D:$D,$V12,Students!$E:$E,$V$2&amp;if($K12="S1","a",if($K12="S2","b","")),Students!$A:$A,AQ$2)+countifs(Students!$F:$F,$V12,Students!$G:$G,$V$2&amp;if($K12="S1","a",if($K12="S2","b","")),Students!$A:$A,AQ$2)+countifs(Students!$H:$H,$V12,Students!$I:$I,$V$2&amp;if($K12="S1","a",if($K12="S2","b","")),Students!$A:$A,AQ$2)+countifs(Students!$J:$J,$V12,Students!$K:$K,$V$2&amp;if($K12="S1","a",if($K12="S2","b","")),Students!$A:$A,AQ$2)+countifs(Students!$L:$L,$V12,Students!$M:$M,$V$2&amp;if($K12="S1","a",if($K12="S2","b","")),Students!$A:$A,AQ$2)+countifs(Students!$N:$N,$V12,Students!$O:$O,$V$2&amp;if($K12="S1","a",if($K12="S2","b","")),Students!$A:$A,AQ$2)+countifs(Students!$P:$P,$V12,Students!$Q:$Q,$V$2&amp;if($K12="S1","a",if($K12="S2","b","")),Students!$A:$A,AQ$2)+countifs(Students!$R:$R,$V12,Students!$S:$S,$V$2&amp;if($K12="S1","a",if($K12="S2","b","")),Students!$A:$A,AQ$2)+countifs(Students!$T:$T,$V12,Students!$U:$U,$V$2&amp;if($K12="S1","a",if($K12="S2","b","")),Students!$A:$A,AQ$2)+countifs(Students!$V:$V,$V12,Students!$W:$W,$V$2&amp;if($K12="S1","a",if($K12="S2","b","")),Students!$A:$A,AQ$2)+
countifs(Students!$D:$D,$Y12,Students!$E:$E,$Y$2&amp;if($K12="S1","a",if($K12="S2","b","")),Students!$A:$A,AQ$2)+countifs(Students!$F:$F,$Y12,Students!$G:$G,$Y$2&amp;if($K12="S1","a",if($K12="S2","b","")),Students!$A:$A,AQ$2)+countifs(Students!$H:$H,$Y12,Students!$I:$I,$Y$2&amp;if($K12="S1","a",if($K12="S2","b","")),Students!$A:$A,AQ$2)+countifs(Students!$J:$J,$Y12,Students!$K:$K,$Y$2&amp;if($K12="S1","a",if($K12="S2","b","")),Students!$A:$A,AQ$2)+countifs(Students!$L:$L,$Y12,Students!$M:$M,$Y$2&amp;if($K12="S1","a",if($K12="S2","b","")),Students!$A:$A,AQ$2)+countifs(Students!$N:$N,$Y12,Students!$O:$O,$Y$2&amp;if($K12="S1","a",if($K12="S2","b","")),Students!$A:$A,AQ$2)+countifs(Students!$P:$P,$Y12,Students!$Q:$Q,$Y$2&amp;if($K12="S1","a",if($K12="S2","b","")),Students!$A:$A,AQ$2)+countifs(Students!$R:$R,$Y12,Students!$S:$S,$Y$2&amp;if($K12="S1","a",if($K12="S2","b","")),Students!$A:$A,AQ$2)+countifs(Students!$T:$T,$Y12,Students!$U:$U,$Y$2&amp;if($K12="S1","a",if($K12="S2","b","")),Students!$A:$A,AQ$2)+countifs(Students!$V:$V,$Y12,Students!$W:$W,$Y$2&amp;if($K12="S1","a",if($K12="S2","b","")),Students!$A:$A,AQ$2)+
countifs(Students!$D:$D,$AB12,Students!$E:$E,$AB$2&amp;if($K12="S1","a",if($K12="S2","b","")),Students!$A:$A,AQ$2)+countifs(Students!$F:$F,$AB12,Students!$G:$G,$AB$2&amp;if($K12="S1","a",if($K12="S2","b","")),Students!$A:$A,AQ$2)+countifs(Students!$H:$H,$AB12,Students!$I:$I,$AB$2&amp;if($K12="S1","a",if($K12="S2","b","")),Students!$A:$A,AQ$2)+countifs(Students!$J:$J,$AB12,Students!$K:$K,$AB$2&amp;if($K12="S1","a",if($K12="S2","b","")),Students!$A:$A,AQ$2)+countifs(Students!$L:$L,$AB12,Students!$M:$M,$AB$2&amp;if($K12="S1","a",if($K12="S2","b","")),Students!$A:$A,AQ$2)+countifs(Students!$N:$N,$AB12,Students!$O:$O,$AB$2&amp;if($K12="S1","a",if($K12="S2","b","")),Students!$A:$A,AQ$2)+countifs(Students!$P:$P,$AB12,Students!$Q:$Q,$AB$2&amp;if($K12="S1","a",if($K12="S2","b","")),Students!$A:$A,AQ$2)+countifs(Students!$R:$R,$AB12,Students!$S:$S,$AB$2&amp;if($K12="S1","a",if($K12="S2","b","")),Students!$A:$A,AQ$2)+countifs(Students!$T:$T,$AB12,Students!$U:$U,$AB$2&amp;if($K12="S1","a",if($K12="S2","b","")),Students!$A:$A,AQ$2)+countifs(Students!$V:$V,$AB12,Students!$W:$W,$AB$2&amp;if($K12="S1","a",if($K12="S2","b","")),Students!$A:$A,AQ$2)+
countifs(Students!$D:$D,$AE12,Students!$E:$E,$AE$2&amp;if($K12="S1","a",if($K12="S2","b","")),Students!$A:$A,AQ$2)+countifs(Students!$F:$F,$AE12,Students!$G:$G,$AE$2&amp;if($K12="S1","a",if($K12="S2","b","")),Students!$A:$A,AQ$2)+countifs(Students!$H:$H,$AE12,Students!$I:$I,$AE$2&amp;if($K12="S1","a",if($K12="S2","b","")),Students!$A:$A,AQ$2)+countifs(Students!$J:$J,$AE12,Students!$K:$K,$AE$2&amp;if($K12="S1","a",if($K12="S2","b","")),Students!$A:$A,AQ$2)+countifs(Students!$L:$L,$AE12,Students!$M:$M,$AE$2&amp;if($K12="S1","a",if($K12="S2","b","")),Students!$A:$A,AQ$2)+countifs(Students!$N:$N,$AE12,Students!$O:$O,$AE$2&amp;if($K12="S1","a",if($K12="S2","b","")),Students!$A:$A,AQ$2)+countifs(Students!$P:$P,$AE12,Students!$Q:$Q,$AE$2&amp;if($K12="S1","a",if($K12="S2","b","")),Students!$A:$A,AQ$2)+countifs(Students!$R:$R,$AE12,Students!$S:$S,$AE$2&amp;if($K12="S1","a",if($K12="S2","b","")),Students!$A:$A,AQ$2)+countifs(Students!$T:$T,$AE12,Students!$U:$U,$AE$2&amp;if($K12="S1","a",if($K12="S2","b","")),Students!$A:$A,AQ$2)+countifs(Students!$V:$V,$AE12,Students!$W:$W,$AE$2&amp;if($K12="S1","a",if($K12="S2","b","")),Students!$A:$A,AQ$2)+
countifs(Students!$D:$D,$AH12,Students!$E:$E,$AH$2&amp;if($K12="S1","a",if($K12="S2","b","")),Students!$A:$A,AQ$2)+countifs(Students!$F:$F,$AH12,Students!$G:$G,$AH$2&amp;if($K12="S1","a",if($K12="S2","b","")),Students!$A:$A,AQ$2)+countifs(Students!$H:$H,$AH12,Students!$I:$I,$AH$2&amp;if($K12="S1","a",if($K12="S2","b","")),Students!$A:$A,AQ$2)+countifs(Students!$J:$J,$AH12,Students!$K:$K,$AH$2&amp;if($K12="S1","a",if($K12="S2","b","")),Students!$A:$A,AQ$2)+countifs(Students!$L:$L,$AH12,Students!$M:$M,$AH$2&amp;if($K12="S1","a",if($K12="S2","b","")),Students!$A:$A,AQ$2)+countifs(Students!$N:$N,$AH12,Students!$O:$O,$AH$2&amp;if($K12="S1","a",if($K12="S2","b","")),Students!$A:$A,AQ$2)+countifs(Students!$P:$P,$AH12,Students!$Q:$Q,$AH$2&amp;if($K12="S1","a",if($K12="S2","b","")),Students!$A:$A,AQ$2)+countifs(Students!$R:$R,$AH12,Students!$S:$S,$AH$2&amp;if($K12="S1","a",if($K12="S2","b","")),Students!$A:$A,AQ$2)+countifs(Students!$T:$T,$AH12,Students!$U:$U,$AH$2&amp;if($K12="S1","a",if($K12="S2","b","")),Students!$A:$A,AQ$2)+countifs(Students!$V:$V,$AH12,Students!$W:$W,$AH$2&amp;if($K12="S1","a",if($K12="S2","b","")),Students!$A:$A,AQ$2)+
countifs(Students!$D:$D,$AK12,Students!$E:$E,$AK$2&amp;if($K12="S1","a",if($K12="S2","b","")),Students!$A:$A,AQ$2)+countifs(Students!$F:$F,$AK12,Students!$G:$G,$AK$2&amp;if($K12="S1","a",if($K12="S2","b","")),Students!$A:$A,AQ$2)+countifs(Students!$H:$H,$AK12,Students!$I:$I,$AK$2&amp;if($K12="S1","a",if($K12="S2","b","")),Students!$A:$A,AQ$2)+countifs(Students!$J:$J,$AK12,Students!$K:$K,$AK$2&amp;if($K12="S1","a",if($K12="S2","b","")),Students!$A:$A,AQ$2)+countifs(Students!$L:$L,$AK12,Students!$M:$M,$AK$2&amp;if($K12="S1","a",if($K12="S2","b","")),Students!$A:$A,AQ$2)+countifs(Students!$N:$N,$AK12,Students!$O:$O,$AK$2&amp;if($K12="S1","a",if($K12="S2","b","")),Students!$A:$A,AQ$2)+countifs(Students!$P:$P,$AK12,Students!$Q:$Q,$AK$2&amp;if($K12="S1","a",if($K12="S2","b","")),Students!$A:$A,AQ$2)+countifs(Students!$R:$R,$AK12,Students!$S:$S,$AK$2&amp;if($K12="S1","a",if($K12="S2","b","")),Students!$A:$A,AQ$2)+countifs(Students!$T:$T,$AK12,Students!$U:$U,$AK$2&amp;if($K12="S1","a",if($K12="S2","b","")),Students!$A:$A,AQ$2)+countifs(Students!$V:$V,$AK12,Students!$W:$W,$AK$2&amp;if($K12="S1","a",if($K12="S2","b","")),Students!$A:$A,AQ$2))</f>
        <v>70</v>
      </c>
      <c r="AR12" s="102">
        <f>if($L12="","",countifs(Students!$D:$D,$P12,Students!$E:$E,$P$2&amp;if($K12="S1","a",if($K12="S2","b","")),Students!$A:$A,AR$2)+countifs(Students!$F:$F,$P12,Students!$G:$G,$P$2&amp;if($K12="S1","a",if($K12="S2","b","")),Students!$A:$A,AR$2)+countifs(Students!$H:$H,$P12,Students!$I:$I,$P$2&amp;if($K12="S1","a",if($K12="S2","b","")),Students!$A:$A,AR$2)+countifs(Students!$J:$J,$P12,Students!$K:$K,$P$2&amp;if($K12="S1","a",if($K12="S2","b","")),Students!$A:$A,AR$2)+countifs(Students!$L:$L,$P12,Students!$M:$M,$P$2&amp;if($K12="S1","a",if($K12="S2","b","")),Students!$A:$A,AR$2)+countifs(Students!$N:$N,$P12,Students!$O:$O,$P$2&amp;if($K12="S1","a",if($K12="S2","b","")),Students!$A:$A,AR$2)+countifs(Students!$P:$P,$P12,Students!$Q:$Q,$P$2&amp;if($K12="S1","a",if($K12="S2","b","")),Students!$A:$A,AR$2)+countifs(Students!$R:$R,$P12,Students!$S:$S,$P$2&amp;if($K12="S1","a",if($K12="S2","b","")),Students!$A:$A,AR$2)+countifs(Students!$T:$T,$P12,Students!$U:$U,$P$2&amp;if($K12="S1","a",if($K12="S2","b","")),Students!$A:$A,AR$2)+countifs(Students!$V:$V,$P12,Students!$W:$W,$P$2&amp;if($K12="S1","a",if($K12="S2","b","")),Students!$A:$A,AR$2)+
countifs(Students!$D:$D,$S12,Students!$E:$E,$S$2&amp;if($K12="S1","a",if($K12="S2","b","")),Students!$A:$A,AR$2)+countifs(Students!$F:$F,$S12,Students!$G:$G,$S$2&amp;if($K12="S1","a",if($K12="S2","b","")),Students!$A:$A,AR$2)+countifs(Students!$H:$H,$S12,Students!$I:$I,$S$2&amp;if($K12="S1","a",if($K12="S2","b","")),Students!$A:$A,AR$2)+countifs(Students!$J:$J,$S12,Students!$K:$K,$S$2&amp;if($K12="S1","a",if($K12="S2","b","")),Students!$A:$A,AR$2)+countifs(Students!$L:$L,$S12,Students!$M:$M,$S$2&amp;if($K12="S1","a",if($K12="S2","b","")),Students!$A:$A,AR$2)+countifs(Students!$N:$N,$S12,Students!$O:$O,$S$2&amp;if($K12="S1","a",if($K12="S2","b","")),Students!$A:$A,AR$2)+countifs(Students!$P:$P,$S12,Students!$Q:$Q,$S$2&amp;if($K12="S1","a",if($K12="S2","b","")),Students!$A:$A,AR$2)+countifs(Students!$R:$R,$S12,Students!$S:$S,$S$2&amp;if($K12="S1","a",if($K12="S2","b","")),Students!$A:$A,AR$2)+countifs(Students!$T:$T,$S12,Students!$U:$U,$S$2&amp;if($K12="S1","a",if($K12="S2","b","")),Students!$A:$A,AR$2)+countifs(Students!$V:$V,$S12,Students!$W:$W,$S$2&amp;if($K12="S1","a",if($K12="S2","b","")),Students!$A:$A,AR$2)+
countifs(Students!$D:$D,$V12,Students!$E:$E,$V$2&amp;if($K12="S1","a",if($K12="S2","b","")),Students!$A:$A,AR$2)+countifs(Students!$F:$F,$V12,Students!$G:$G,$V$2&amp;if($K12="S1","a",if($K12="S2","b","")),Students!$A:$A,AR$2)+countifs(Students!$H:$H,$V12,Students!$I:$I,$V$2&amp;if($K12="S1","a",if($K12="S2","b","")),Students!$A:$A,AR$2)+countifs(Students!$J:$J,$V12,Students!$K:$K,$V$2&amp;if($K12="S1","a",if($K12="S2","b","")),Students!$A:$A,AR$2)+countifs(Students!$L:$L,$V12,Students!$M:$M,$V$2&amp;if($K12="S1","a",if($K12="S2","b","")),Students!$A:$A,AR$2)+countifs(Students!$N:$N,$V12,Students!$O:$O,$V$2&amp;if($K12="S1","a",if($K12="S2","b","")),Students!$A:$A,AR$2)+countifs(Students!$P:$P,$V12,Students!$Q:$Q,$V$2&amp;if($K12="S1","a",if($K12="S2","b","")),Students!$A:$A,AR$2)+countifs(Students!$R:$R,$V12,Students!$S:$S,$V$2&amp;if($K12="S1","a",if($K12="S2","b","")),Students!$A:$A,AR$2)+countifs(Students!$T:$T,$V12,Students!$U:$U,$V$2&amp;if($K12="S1","a",if($K12="S2","b","")),Students!$A:$A,AR$2)+countifs(Students!$V:$V,$V12,Students!$W:$W,$V$2&amp;if($K12="S1","a",if($K12="S2","b","")),Students!$A:$A,AR$2)+
countifs(Students!$D:$D,$Y12,Students!$E:$E,$Y$2&amp;if($K12="S1","a",if($K12="S2","b","")),Students!$A:$A,AR$2)+countifs(Students!$F:$F,$Y12,Students!$G:$G,$Y$2&amp;if($K12="S1","a",if($K12="S2","b","")),Students!$A:$A,AR$2)+countifs(Students!$H:$H,$Y12,Students!$I:$I,$Y$2&amp;if($K12="S1","a",if($K12="S2","b","")),Students!$A:$A,AR$2)+countifs(Students!$J:$J,$Y12,Students!$K:$K,$Y$2&amp;if($K12="S1","a",if($K12="S2","b","")),Students!$A:$A,AR$2)+countifs(Students!$L:$L,$Y12,Students!$M:$M,$Y$2&amp;if($K12="S1","a",if($K12="S2","b","")),Students!$A:$A,AR$2)+countifs(Students!$N:$N,$Y12,Students!$O:$O,$Y$2&amp;if($K12="S1","a",if($K12="S2","b","")),Students!$A:$A,AR$2)+countifs(Students!$P:$P,$Y12,Students!$Q:$Q,$Y$2&amp;if($K12="S1","a",if($K12="S2","b","")),Students!$A:$A,AR$2)+countifs(Students!$R:$R,$Y12,Students!$S:$S,$Y$2&amp;if($K12="S1","a",if($K12="S2","b","")),Students!$A:$A,AR$2)+countifs(Students!$T:$T,$Y12,Students!$U:$U,$Y$2&amp;if($K12="S1","a",if($K12="S2","b","")),Students!$A:$A,AR$2)+countifs(Students!$V:$V,$Y12,Students!$W:$W,$Y$2&amp;if($K12="S1","a",if($K12="S2","b","")),Students!$A:$A,AR$2)+
countifs(Students!$D:$D,$AB12,Students!$E:$E,$AB$2&amp;if($K12="S1","a",if($K12="S2","b","")),Students!$A:$A,AR$2)+countifs(Students!$F:$F,$AB12,Students!$G:$G,$AB$2&amp;if($K12="S1","a",if($K12="S2","b","")),Students!$A:$A,AR$2)+countifs(Students!$H:$H,$AB12,Students!$I:$I,$AB$2&amp;if($K12="S1","a",if($K12="S2","b","")),Students!$A:$A,AR$2)+countifs(Students!$J:$J,$AB12,Students!$K:$K,$AB$2&amp;if($K12="S1","a",if($K12="S2","b","")),Students!$A:$A,AR$2)+countifs(Students!$L:$L,$AB12,Students!$M:$M,$AB$2&amp;if($K12="S1","a",if($K12="S2","b","")),Students!$A:$A,AR$2)+countifs(Students!$N:$N,$AB12,Students!$O:$O,$AB$2&amp;if($K12="S1","a",if($K12="S2","b","")),Students!$A:$A,AR$2)+countifs(Students!$P:$P,$AB12,Students!$Q:$Q,$AB$2&amp;if($K12="S1","a",if($K12="S2","b","")),Students!$A:$A,AR$2)+countifs(Students!$R:$R,$AB12,Students!$S:$S,$AB$2&amp;if($K12="S1","a",if($K12="S2","b","")),Students!$A:$A,AR$2)+countifs(Students!$T:$T,$AB12,Students!$U:$U,$AB$2&amp;if($K12="S1","a",if($K12="S2","b","")),Students!$A:$A,AR$2)+countifs(Students!$V:$V,$AB12,Students!$W:$W,$AB$2&amp;if($K12="S1","a",if($K12="S2","b","")),Students!$A:$A,AR$2)+
countifs(Students!$D:$D,$AE12,Students!$E:$E,$AE$2&amp;if($K12="S1","a",if($K12="S2","b","")),Students!$A:$A,AR$2)+countifs(Students!$F:$F,$AE12,Students!$G:$G,$AE$2&amp;if($K12="S1","a",if($K12="S2","b","")),Students!$A:$A,AR$2)+countifs(Students!$H:$H,$AE12,Students!$I:$I,$AE$2&amp;if($K12="S1","a",if($K12="S2","b","")),Students!$A:$A,AR$2)+countifs(Students!$J:$J,$AE12,Students!$K:$K,$AE$2&amp;if($K12="S1","a",if($K12="S2","b","")),Students!$A:$A,AR$2)+countifs(Students!$L:$L,$AE12,Students!$M:$M,$AE$2&amp;if($K12="S1","a",if($K12="S2","b","")),Students!$A:$A,AR$2)+countifs(Students!$N:$N,$AE12,Students!$O:$O,$AE$2&amp;if($K12="S1","a",if($K12="S2","b","")),Students!$A:$A,AR$2)+countifs(Students!$P:$P,$AE12,Students!$Q:$Q,$AE$2&amp;if($K12="S1","a",if($K12="S2","b","")),Students!$A:$A,AR$2)+countifs(Students!$R:$R,$AE12,Students!$S:$S,$AE$2&amp;if($K12="S1","a",if($K12="S2","b","")),Students!$A:$A,AR$2)+countifs(Students!$T:$T,$AE12,Students!$U:$U,$AE$2&amp;if($K12="S1","a",if($K12="S2","b","")),Students!$A:$A,AR$2)+countifs(Students!$V:$V,$AE12,Students!$W:$W,$AE$2&amp;if($K12="S1","a",if($K12="S2","b","")),Students!$A:$A,AR$2)+
countifs(Students!$D:$D,$AH12,Students!$E:$E,$AH$2&amp;if($K12="S1","a",if($K12="S2","b","")),Students!$A:$A,AR$2)+countifs(Students!$F:$F,$AH12,Students!$G:$G,$AH$2&amp;if($K12="S1","a",if($K12="S2","b","")),Students!$A:$A,AR$2)+countifs(Students!$H:$H,$AH12,Students!$I:$I,$AH$2&amp;if($K12="S1","a",if($K12="S2","b","")),Students!$A:$A,AR$2)+countifs(Students!$J:$J,$AH12,Students!$K:$K,$AH$2&amp;if($K12="S1","a",if($K12="S2","b","")),Students!$A:$A,AR$2)+countifs(Students!$L:$L,$AH12,Students!$M:$M,$AH$2&amp;if($K12="S1","a",if($K12="S2","b","")),Students!$A:$A,AR$2)+countifs(Students!$N:$N,$AH12,Students!$O:$O,$AH$2&amp;if($K12="S1","a",if($K12="S2","b","")),Students!$A:$A,AR$2)+countifs(Students!$P:$P,$AH12,Students!$Q:$Q,$AH$2&amp;if($K12="S1","a",if($K12="S2","b","")),Students!$A:$A,AR$2)+countifs(Students!$R:$R,$AH12,Students!$S:$S,$AH$2&amp;if($K12="S1","a",if($K12="S2","b","")),Students!$A:$A,AR$2)+countifs(Students!$T:$T,$AH12,Students!$U:$U,$AH$2&amp;if($K12="S1","a",if($K12="S2","b","")),Students!$A:$A,AR$2)+countifs(Students!$V:$V,$AH12,Students!$W:$W,$AH$2&amp;if($K12="S1","a",if($K12="S2","b","")),Students!$A:$A,AR$2)+
countifs(Students!$D:$D,$AK12,Students!$E:$E,$AK$2&amp;if($K12="S1","a",if($K12="S2","b","")),Students!$A:$A,AR$2)+countifs(Students!$F:$F,$AK12,Students!$G:$G,$AK$2&amp;if($K12="S1","a",if($K12="S2","b","")),Students!$A:$A,AR$2)+countifs(Students!$H:$H,$AK12,Students!$I:$I,$AK$2&amp;if($K12="S1","a",if($K12="S2","b","")),Students!$A:$A,AR$2)+countifs(Students!$J:$J,$AK12,Students!$K:$K,$AK$2&amp;if($K12="S1","a",if($K12="S2","b","")),Students!$A:$A,AR$2)+countifs(Students!$L:$L,$AK12,Students!$M:$M,$AK$2&amp;if($K12="S1","a",if($K12="S2","b","")),Students!$A:$A,AR$2)+countifs(Students!$N:$N,$AK12,Students!$O:$O,$AK$2&amp;if($K12="S1","a",if($K12="S2","b","")),Students!$A:$A,AR$2)+countifs(Students!$P:$P,$AK12,Students!$Q:$Q,$AK$2&amp;if($K12="S1","a",if($K12="S2","b","")),Students!$A:$A,AR$2)+countifs(Students!$R:$R,$AK12,Students!$S:$S,$AK$2&amp;if($K12="S1","a",if($K12="S2","b","")),Students!$A:$A,AR$2)+countifs(Students!$T:$T,$AK12,Students!$U:$U,$AK$2&amp;if($K12="S1","a",if($K12="S2","b","")),Students!$A:$A,AR$2)+countifs(Students!$V:$V,$AK12,Students!$W:$W,$AK$2&amp;if($K12="S1","a",if($K12="S2","b","")),Students!$A:$A,AR$2))</f>
        <v>24</v>
      </c>
      <c r="AS12" s="102">
        <f>if($L12="","",countifs(Students!$D:$D,$P12,Students!$E:$E,$P$2&amp;if($K12="S1","a",if($K12="S2","b","")),Students!$A:$A,AS$2)+countifs(Students!$F:$F,$P12,Students!$G:$G,$P$2&amp;if($K12="S1","a",if($K12="S2","b","")),Students!$A:$A,AS$2)+countifs(Students!$H:$H,$P12,Students!$I:$I,$P$2&amp;if($K12="S1","a",if($K12="S2","b","")),Students!$A:$A,AS$2)+countifs(Students!$J:$J,$P12,Students!$K:$K,$P$2&amp;if($K12="S1","a",if($K12="S2","b","")),Students!$A:$A,AS$2)+countifs(Students!$L:$L,$P12,Students!$M:$M,$P$2&amp;if($K12="S1","a",if($K12="S2","b","")),Students!$A:$A,AS$2)+countifs(Students!$N:$N,$P12,Students!$O:$O,$P$2&amp;if($K12="S1","a",if($K12="S2","b","")),Students!$A:$A,AS$2)+countifs(Students!$P:$P,$P12,Students!$Q:$Q,$P$2&amp;if($K12="S1","a",if($K12="S2","b","")),Students!$A:$A,AS$2)+countifs(Students!$R:$R,$P12,Students!$S:$S,$P$2&amp;if($K12="S1","a",if($K12="S2","b","")),Students!$A:$A,AS$2)+countifs(Students!$T:$T,$P12,Students!$U:$U,$P$2&amp;if($K12="S1","a",if($K12="S2","b","")),Students!$A:$A,AS$2)+countifs(Students!$V:$V,$P12,Students!$W:$W,$P$2&amp;if($K12="S1","a",if($K12="S2","b","")),Students!$A:$A,AS$2)+
countifs(Students!$D:$D,$S12,Students!$E:$E,$S$2&amp;if($K12="S1","a",if($K12="S2","b","")),Students!$A:$A,AS$2)+countifs(Students!$F:$F,$S12,Students!$G:$G,$S$2&amp;if($K12="S1","a",if($K12="S2","b","")),Students!$A:$A,AS$2)+countifs(Students!$H:$H,$S12,Students!$I:$I,$S$2&amp;if($K12="S1","a",if($K12="S2","b","")),Students!$A:$A,AS$2)+countifs(Students!$J:$J,$S12,Students!$K:$K,$S$2&amp;if($K12="S1","a",if($K12="S2","b","")),Students!$A:$A,AS$2)+countifs(Students!$L:$L,$S12,Students!$M:$M,$S$2&amp;if($K12="S1","a",if($K12="S2","b","")),Students!$A:$A,AS$2)+countifs(Students!$N:$N,$S12,Students!$O:$O,$S$2&amp;if($K12="S1","a",if($K12="S2","b","")),Students!$A:$A,AS$2)+countifs(Students!$P:$P,$S12,Students!$Q:$Q,$S$2&amp;if($K12="S1","a",if($K12="S2","b","")),Students!$A:$A,AS$2)+countifs(Students!$R:$R,$S12,Students!$S:$S,$S$2&amp;if($K12="S1","a",if($K12="S2","b","")),Students!$A:$A,AS$2)+countifs(Students!$T:$T,$S12,Students!$U:$U,$S$2&amp;if($K12="S1","a",if($K12="S2","b","")),Students!$A:$A,AS$2)+countifs(Students!$V:$V,$S12,Students!$W:$W,$S$2&amp;if($K12="S1","a",if($K12="S2","b","")),Students!$A:$A,AS$2)+
countifs(Students!$D:$D,$V12,Students!$E:$E,$V$2&amp;if($K12="S1","a",if($K12="S2","b","")),Students!$A:$A,AS$2)+countifs(Students!$F:$F,$V12,Students!$G:$G,$V$2&amp;if($K12="S1","a",if($K12="S2","b","")),Students!$A:$A,AS$2)+countifs(Students!$H:$H,$V12,Students!$I:$I,$V$2&amp;if($K12="S1","a",if($K12="S2","b","")),Students!$A:$A,AS$2)+countifs(Students!$J:$J,$V12,Students!$K:$K,$V$2&amp;if($K12="S1","a",if($K12="S2","b","")),Students!$A:$A,AS$2)+countifs(Students!$L:$L,$V12,Students!$M:$M,$V$2&amp;if($K12="S1","a",if($K12="S2","b","")),Students!$A:$A,AS$2)+countifs(Students!$N:$N,$V12,Students!$O:$O,$V$2&amp;if($K12="S1","a",if($K12="S2","b","")),Students!$A:$A,AS$2)+countifs(Students!$P:$P,$V12,Students!$Q:$Q,$V$2&amp;if($K12="S1","a",if($K12="S2","b","")),Students!$A:$A,AS$2)+countifs(Students!$R:$R,$V12,Students!$S:$S,$V$2&amp;if($K12="S1","a",if($K12="S2","b","")),Students!$A:$A,AS$2)+countifs(Students!$T:$T,$V12,Students!$U:$U,$V$2&amp;if($K12="S1","a",if($K12="S2","b","")),Students!$A:$A,AS$2)+countifs(Students!$V:$V,$V12,Students!$W:$W,$V$2&amp;if($K12="S1","a",if($K12="S2","b","")),Students!$A:$A,AS$2)+
countifs(Students!$D:$D,$Y12,Students!$E:$E,$Y$2&amp;if($K12="S1","a",if($K12="S2","b","")),Students!$A:$A,AS$2)+countifs(Students!$F:$F,$Y12,Students!$G:$G,$Y$2&amp;if($K12="S1","a",if($K12="S2","b","")),Students!$A:$A,AS$2)+countifs(Students!$H:$H,$Y12,Students!$I:$I,$Y$2&amp;if($K12="S1","a",if($K12="S2","b","")),Students!$A:$A,AS$2)+countifs(Students!$J:$J,$Y12,Students!$K:$K,$Y$2&amp;if($K12="S1","a",if($K12="S2","b","")),Students!$A:$A,AS$2)+countifs(Students!$L:$L,$Y12,Students!$M:$M,$Y$2&amp;if($K12="S1","a",if($K12="S2","b","")),Students!$A:$A,AS$2)+countifs(Students!$N:$N,$Y12,Students!$O:$O,$Y$2&amp;if($K12="S1","a",if($K12="S2","b","")),Students!$A:$A,AS$2)+countifs(Students!$P:$P,$Y12,Students!$Q:$Q,$Y$2&amp;if($K12="S1","a",if($K12="S2","b","")),Students!$A:$A,AS$2)+countifs(Students!$R:$R,$Y12,Students!$S:$S,$Y$2&amp;if($K12="S1","a",if($K12="S2","b","")),Students!$A:$A,AS$2)+countifs(Students!$T:$T,$Y12,Students!$U:$U,$Y$2&amp;if($K12="S1","a",if($K12="S2","b","")),Students!$A:$A,AS$2)+countifs(Students!$V:$V,$Y12,Students!$W:$W,$Y$2&amp;if($K12="S1","a",if($K12="S2","b","")),Students!$A:$A,AS$2)+
countifs(Students!$D:$D,$AB12,Students!$E:$E,$AB$2&amp;if($K12="S1","a",if($K12="S2","b","")),Students!$A:$A,AS$2)+countifs(Students!$F:$F,$AB12,Students!$G:$G,$AB$2&amp;if($K12="S1","a",if($K12="S2","b","")),Students!$A:$A,AS$2)+countifs(Students!$H:$H,$AB12,Students!$I:$I,$AB$2&amp;if($K12="S1","a",if($K12="S2","b","")),Students!$A:$A,AS$2)+countifs(Students!$J:$J,$AB12,Students!$K:$K,$AB$2&amp;if($K12="S1","a",if($K12="S2","b","")),Students!$A:$A,AS$2)+countifs(Students!$L:$L,$AB12,Students!$M:$M,$AB$2&amp;if($K12="S1","a",if($K12="S2","b","")),Students!$A:$A,AS$2)+countifs(Students!$N:$N,$AB12,Students!$O:$O,$AB$2&amp;if($K12="S1","a",if($K12="S2","b","")),Students!$A:$A,AS$2)+countifs(Students!$P:$P,$AB12,Students!$Q:$Q,$AB$2&amp;if($K12="S1","a",if($K12="S2","b","")),Students!$A:$A,AS$2)+countifs(Students!$R:$R,$AB12,Students!$S:$S,$AB$2&amp;if($K12="S1","a",if($K12="S2","b","")),Students!$A:$A,AS$2)+countifs(Students!$T:$T,$AB12,Students!$U:$U,$AB$2&amp;if($K12="S1","a",if($K12="S2","b","")),Students!$A:$A,AS$2)+countifs(Students!$V:$V,$AB12,Students!$W:$W,$AB$2&amp;if($K12="S1","a",if($K12="S2","b","")),Students!$A:$A,AS$2)+
countifs(Students!$D:$D,$AE12,Students!$E:$E,$AE$2&amp;if($K12="S1","a",if($K12="S2","b","")),Students!$A:$A,AS$2)+countifs(Students!$F:$F,$AE12,Students!$G:$G,$AE$2&amp;if($K12="S1","a",if($K12="S2","b","")),Students!$A:$A,AS$2)+countifs(Students!$H:$H,$AE12,Students!$I:$I,$AE$2&amp;if($K12="S1","a",if($K12="S2","b","")),Students!$A:$A,AS$2)+countifs(Students!$J:$J,$AE12,Students!$K:$K,$AE$2&amp;if($K12="S1","a",if($K12="S2","b","")),Students!$A:$A,AS$2)+countifs(Students!$L:$L,$AE12,Students!$M:$M,$AE$2&amp;if($K12="S1","a",if($K12="S2","b","")),Students!$A:$A,AS$2)+countifs(Students!$N:$N,$AE12,Students!$O:$O,$AE$2&amp;if($K12="S1","a",if($K12="S2","b","")),Students!$A:$A,AS$2)+countifs(Students!$P:$P,$AE12,Students!$Q:$Q,$AE$2&amp;if($K12="S1","a",if($K12="S2","b","")),Students!$A:$A,AS$2)+countifs(Students!$R:$R,$AE12,Students!$S:$S,$AE$2&amp;if($K12="S1","a",if($K12="S2","b","")),Students!$A:$A,AS$2)+countifs(Students!$T:$T,$AE12,Students!$U:$U,$AE$2&amp;if($K12="S1","a",if($K12="S2","b","")),Students!$A:$A,AS$2)+countifs(Students!$V:$V,$AE12,Students!$W:$W,$AE$2&amp;if($K12="S1","a",if($K12="S2","b","")),Students!$A:$A,AS$2)+
countifs(Students!$D:$D,$AH12,Students!$E:$E,$AH$2&amp;if($K12="S1","a",if($K12="S2","b","")),Students!$A:$A,AS$2)+countifs(Students!$F:$F,$AH12,Students!$G:$G,$AH$2&amp;if($K12="S1","a",if($K12="S2","b","")),Students!$A:$A,AS$2)+countifs(Students!$H:$H,$AH12,Students!$I:$I,$AH$2&amp;if($K12="S1","a",if($K12="S2","b","")),Students!$A:$A,AS$2)+countifs(Students!$J:$J,$AH12,Students!$K:$K,$AH$2&amp;if($K12="S1","a",if($K12="S2","b","")),Students!$A:$A,AS$2)+countifs(Students!$L:$L,$AH12,Students!$M:$M,$AH$2&amp;if($K12="S1","a",if($K12="S2","b","")),Students!$A:$A,AS$2)+countifs(Students!$N:$N,$AH12,Students!$O:$O,$AH$2&amp;if($K12="S1","a",if($K12="S2","b","")),Students!$A:$A,AS$2)+countifs(Students!$P:$P,$AH12,Students!$Q:$Q,$AH$2&amp;if($K12="S1","a",if($K12="S2","b","")),Students!$A:$A,AS$2)+countifs(Students!$R:$R,$AH12,Students!$S:$S,$AH$2&amp;if($K12="S1","a",if($K12="S2","b","")),Students!$A:$A,AS$2)+countifs(Students!$T:$T,$AH12,Students!$U:$U,$AH$2&amp;if($K12="S1","a",if($K12="S2","b","")),Students!$A:$A,AS$2)+countifs(Students!$V:$V,$AH12,Students!$W:$W,$AH$2&amp;if($K12="S1","a",if($K12="S2","b","")),Students!$A:$A,AS$2)+
countifs(Students!$D:$D,$AK12,Students!$E:$E,$AK$2&amp;if($K12="S1","a",if($K12="S2","b","")),Students!$A:$A,AS$2)+countifs(Students!$F:$F,$AK12,Students!$G:$G,$AK$2&amp;if($K12="S1","a",if($K12="S2","b","")),Students!$A:$A,AS$2)+countifs(Students!$H:$H,$AK12,Students!$I:$I,$AK$2&amp;if($K12="S1","a",if($K12="S2","b","")),Students!$A:$A,AS$2)+countifs(Students!$J:$J,$AK12,Students!$K:$K,$AK$2&amp;if($K12="S1","a",if($K12="S2","b","")),Students!$A:$A,AS$2)+countifs(Students!$L:$L,$AK12,Students!$M:$M,$AK$2&amp;if($K12="S1","a",if($K12="S2","b","")),Students!$A:$A,AS$2)+countifs(Students!$N:$N,$AK12,Students!$O:$O,$AK$2&amp;if($K12="S1","a",if($K12="S2","b","")),Students!$A:$A,AS$2)+countifs(Students!$P:$P,$AK12,Students!$Q:$Q,$AK$2&amp;if($K12="S1","a",if($K12="S2","b","")),Students!$A:$A,AS$2)+countifs(Students!$R:$R,$AK12,Students!$S:$S,$AK$2&amp;if($K12="S1","a",if($K12="S2","b","")),Students!$A:$A,AS$2)+countifs(Students!$T:$T,$AK12,Students!$U:$U,$AK$2&amp;if($K12="S1","a",if($K12="S2","b","")),Students!$A:$A,AS$2)+countifs(Students!$V:$V,$AK12,Students!$W:$W,$AK$2&amp;if($K12="S1","a",if($K12="S2","b","")),Students!$A:$A,AS$2))</f>
        <v>4</v>
      </c>
    </row>
    <row r="13">
      <c r="A13" s="21">
        <v>11.0</v>
      </c>
      <c r="B13" s="4">
        <f>countifs(Students!$A:$A,$A13)-countifs(Students!$A:$A,$A13,Students!X:X,"&gt;0")</f>
        <v>0</v>
      </c>
      <c r="C13" s="4">
        <f>countifs(Students!$A:$A,$A13)-countifs(Students!$A:$A,$A13,Students!Y:Y,"&gt;0")</f>
        <v>0</v>
      </c>
      <c r="D13" s="4">
        <f>countifs(Students!$A:$A,$A13)-countifs(Students!$A:$A,$A13,Students!Z:Z,"&gt;0")</f>
        <v>0</v>
      </c>
      <c r="E13" s="4">
        <f>countifs(Students!$A:$A,$A13)-countifs(Students!$A:$A,$A13,Students!AA:AA,"&gt;0")</f>
        <v>0</v>
      </c>
      <c r="F13" s="4">
        <f>countifs(Students!$A:$A,$A13)-countifs(Students!$A:$A,$A13,Students!AB:AB,"&gt;0")</f>
        <v>0</v>
      </c>
      <c r="G13" s="4">
        <f>countifs(Students!$A:$A,$A13)-countifs(Students!$A:$A,$A13,Students!AC:AC,"&gt;0")</f>
        <v>0</v>
      </c>
      <c r="H13" s="4">
        <f>countifs(Students!$A:$A,$A13)-countifs(Students!$A:$A,$A13,Students!AD:AD,"&gt;0")</f>
        <v>0</v>
      </c>
      <c r="I13" s="4">
        <f>countifs(Students!$A:$A,$A13)-countifs(Students!$A:$A,$A13,Students!AE:AE,"&gt;0")</f>
        <v>0</v>
      </c>
      <c r="J13" s="87">
        <v>109.0</v>
      </c>
      <c r="K13" s="88"/>
      <c r="L13" s="58" t="s">
        <v>50</v>
      </c>
      <c r="M13" s="89"/>
      <c r="N13" s="87">
        <v>2.0</v>
      </c>
      <c r="O13" s="87">
        <f>IFERROR(__xludf.DUMMYFUNCTION("3*counta((transpose(filter(P13:AM13,P13:AM13&lt;&gt;"""",isnumber(P13:AM13)=false))))"),15.0)</f>
        <v>15</v>
      </c>
      <c r="P13" s="93"/>
      <c r="Q13" s="94"/>
      <c r="R13" s="95" t="s">
        <v>22</v>
      </c>
      <c r="S13" s="93"/>
      <c r="T13" s="104"/>
      <c r="U13" s="105" t="s">
        <v>22</v>
      </c>
      <c r="V13" s="91" t="s">
        <v>51</v>
      </c>
      <c r="W13" s="91">
        <v>1.0</v>
      </c>
      <c r="X13" s="92">
        <v>23.0</v>
      </c>
      <c r="Y13" s="90" t="s">
        <v>51</v>
      </c>
      <c r="Z13" s="91">
        <v>2.0</v>
      </c>
      <c r="AA13" s="92">
        <v>23.0</v>
      </c>
      <c r="AB13" s="90"/>
      <c r="AC13" s="91"/>
      <c r="AD13" s="92" t="s">
        <v>22</v>
      </c>
      <c r="AE13" s="103" t="s">
        <v>48</v>
      </c>
      <c r="AF13" s="101">
        <v>3.0</v>
      </c>
      <c r="AG13" s="92">
        <v>21.0</v>
      </c>
      <c r="AH13" s="90" t="s">
        <v>51</v>
      </c>
      <c r="AI13" s="96">
        <v>3.0</v>
      </c>
      <c r="AJ13" s="92">
        <v>19.0</v>
      </c>
      <c r="AK13" s="90" t="s">
        <v>51</v>
      </c>
      <c r="AL13" s="97">
        <v>4.0</v>
      </c>
      <c r="AM13" s="98">
        <v>23.0</v>
      </c>
      <c r="AN13" s="99"/>
      <c r="AO13" s="52">
        <f>if(L14="","",R13+U13+X13+AA13+AD13+AG13+AJ13+AM13)</f>
        <v>109</v>
      </c>
      <c r="AP13" s="102">
        <f>if($L14="","",countifs(Students!$D:$D,$P13,Students!$E:$E,$P$2&amp;if($K13="S1","a",if($K13="S2","b","")),Students!$A:$A,AP$2)+countifs(Students!$F:$F,$P13,Students!$G:$G,$P$2&amp;if($K13="S1","a",if($K13="S2","b","")),Students!$A:$A,AP$2)+countifs(Students!$H:$H,$P13,Students!$I:$I,$P$2&amp;if($K13="S1","a",if($K13="S2","b","")),Students!$A:$A,AP$2)+countifs(Students!$J:$J,$P13,Students!$K:$K,$P$2&amp;if($K13="S1","a",if($K13="S2","b","")),Students!$A:$A,AP$2)+countifs(Students!$L:$L,$P13,Students!$M:$M,$P$2&amp;if($K13="S1","a",if($K13="S2","b","")),Students!$A:$A,AP$2)+countifs(Students!$N:$N,$P13,Students!$O:$O,$P$2&amp;if($K13="S1","a",if($K13="S2","b","")),Students!$A:$A,AP$2)+countifs(Students!$P:$P,$P13,Students!$Q:$Q,$P$2&amp;if($K13="S1","a",if($K13="S2","b","")),Students!$A:$A,AP$2)+countifs(Students!$R:$R,$P13,Students!$S:$S,$P$2&amp;if($K13="S1","a",if($K13="S2","b","")),Students!$A:$A,AP$2)+countifs(Students!$T:$T,$P13,Students!$U:$U,$P$2&amp;if($K13="S1","a",if($K13="S2","b","")),Students!$A:$A,AP$2)+countifs(Students!$V:$V,$P13,Students!$W:$W,$P$2&amp;if($K13="S1","a",if($K13="S2","b","")),Students!$A:$A,AP$2)+
countifs(Students!$D:$D,$S13,Students!$E:$E,$S$2&amp;if($K13="S1","a",if($K13="S2","b","")),Students!$A:$A,AP$2)+countifs(Students!$F:$F,$S13,Students!$G:$G,$S$2&amp;if($K13="S1","a",if($K13="S2","b","")),Students!$A:$A,AP$2)+countifs(Students!$H:$H,$S13,Students!$I:$I,$S$2&amp;if($K13="S1","a",if($K13="S2","b","")),Students!$A:$A,AP$2)+countifs(Students!$J:$J,$S13,Students!$K:$K,$S$2&amp;if($K13="S1","a",if($K13="S2","b","")),Students!$A:$A,AP$2)+countifs(Students!$L:$L,$S13,Students!$M:$M,$S$2&amp;if($K13="S1","a",if($K13="S2","b","")),Students!$A:$A,AP$2)+countifs(Students!$N:$N,$S13,Students!$O:$O,$S$2&amp;if($K13="S1","a",if($K13="S2","b","")),Students!$A:$A,AP$2)+countifs(Students!$P:$P,$S13,Students!$Q:$Q,$S$2&amp;if($K13="S1","a",if($K13="S2","b","")),Students!$A:$A,AP$2)+countifs(Students!$R:$R,$S13,Students!$S:$S,$S$2&amp;if($K13="S1","a",if($K13="S2","b","")),Students!$A:$A,AP$2)+countifs(Students!$T:$T,$S13,Students!$U:$U,$S$2&amp;if($K13="S1","a",if($K13="S2","b","")),Students!$A:$A,AP$2)+countifs(Students!$V:$V,$S13,Students!$W:$W,$S$2&amp;if($K13="S1","a",if($K13="S2","b","")),Students!$A:$A,AP$2)+
countifs(Students!$D:$D,$V13,Students!$E:$E,$V$2&amp;if($K13="S1","a",if($K13="S2","b","")),Students!$A:$A,AP$2)+countifs(Students!$F:$F,$V13,Students!$G:$G,$V$2&amp;if($K13="S1","a",if($K13="S2","b","")),Students!$A:$A,AP$2)+countifs(Students!$H:$H,$V13,Students!$I:$I,$V$2&amp;if($K13="S1","a",if($K13="S2","b","")),Students!$A:$A,AP$2)+countifs(Students!$J:$J,$V13,Students!$K:$K,$V$2&amp;if($K13="S1","a",if($K13="S2","b","")),Students!$A:$A,AP$2)+countifs(Students!$L:$L,$V13,Students!$M:$M,$V$2&amp;if($K13="S1","a",if($K13="S2","b","")),Students!$A:$A,AP$2)+countifs(Students!$N:$N,$V13,Students!$O:$O,$V$2&amp;if($K13="S1","a",if($K13="S2","b","")),Students!$A:$A,AP$2)+countifs(Students!$P:$P,$V13,Students!$Q:$Q,$V$2&amp;if($K13="S1","a",if($K13="S2","b","")),Students!$A:$A,AP$2)+countifs(Students!$R:$R,$V13,Students!$S:$S,$V$2&amp;if($K13="S1","a",if($K13="S2","b","")),Students!$A:$A,AP$2)+countifs(Students!$T:$T,$V13,Students!$U:$U,$V$2&amp;if($K13="S1","a",if($K13="S2","b","")),Students!$A:$A,AP$2)+countifs(Students!$V:$V,$V13,Students!$W:$W,$V$2&amp;if($K13="S1","a",if($K13="S2","b","")),Students!$A:$A,AP$2)+
countifs(Students!$D:$D,$Y13,Students!$E:$E,$Y$2&amp;if($K13="S1","a",if($K13="S2","b","")),Students!$A:$A,AP$2)+countifs(Students!$F:$F,$Y13,Students!$G:$G,$Y$2&amp;if($K13="S1","a",if($K13="S2","b","")),Students!$A:$A,AP$2)+countifs(Students!$H:$H,$Y13,Students!$I:$I,$Y$2&amp;if($K13="S1","a",if($K13="S2","b","")),Students!$A:$A,AP$2)+countifs(Students!$J:$J,$Y13,Students!$K:$K,$Y$2&amp;if($K13="S1","a",if($K13="S2","b","")),Students!$A:$A,AP$2)+countifs(Students!$L:$L,$Y13,Students!$M:$M,$Y$2&amp;if($K13="S1","a",if($K13="S2","b","")),Students!$A:$A,AP$2)+countifs(Students!$N:$N,$Y13,Students!$O:$O,$Y$2&amp;if($K13="S1","a",if($K13="S2","b","")),Students!$A:$A,AP$2)+countifs(Students!$P:$P,$Y13,Students!$Q:$Q,$Y$2&amp;if($K13="S1","a",if($K13="S2","b","")),Students!$A:$A,AP$2)+countifs(Students!$R:$R,$Y13,Students!$S:$S,$Y$2&amp;if($K13="S1","a",if($K13="S2","b","")),Students!$A:$A,AP$2)+countifs(Students!$T:$T,$Y13,Students!$U:$U,$Y$2&amp;if($K13="S1","a",if($K13="S2","b","")),Students!$A:$A,AP$2)+countifs(Students!$V:$V,$Y13,Students!$W:$W,$Y$2&amp;if($K13="S1","a",if($K13="S2","b","")),Students!$A:$A,AP$2)+
countifs(Students!$D:$D,$AB13,Students!$E:$E,$AB$2&amp;if($K13="S1","a",if($K13="S2","b","")),Students!$A:$A,AP$2)+countifs(Students!$F:$F,$AB13,Students!$G:$G,$AB$2&amp;if($K13="S1","a",if($K13="S2","b","")),Students!$A:$A,AP$2)+countifs(Students!$H:$H,$AB13,Students!$I:$I,$AB$2&amp;if($K13="S1","a",if($K13="S2","b","")),Students!$A:$A,AP$2)+countifs(Students!$J:$J,$AB13,Students!$K:$K,$AB$2&amp;if($K13="S1","a",if($K13="S2","b","")),Students!$A:$A,AP$2)+countifs(Students!$L:$L,$AB13,Students!$M:$M,$AB$2&amp;if($K13="S1","a",if($K13="S2","b","")),Students!$A:$A,AP$2)+countifs(Students!$N:$N,$AB13,Students!$O:$O,$AB$2&amp;if($K13="S1","a",if($K13="S2","b","")),Students!$A:$A,AP$2)+countifs(Students!$P:$P,$AB13,Students!$Q:$Q,$AB$2&amp;if($K13="S1","a",if($K13="S2","b","")),Students!$A:$A,AP$2)+countifs(Students!$R:$R,$AB13,Students!$S:$S,$AB$2&amp;if($K13="S1","a",if($K13="S2","b","")),Students!$A:$A,AP$2)+countifs(Students!$T:$T,$AB13,Students!$U:$U,$AB$2&amp;if($K13="S1","a",if($K13="S2","b","")),Students!$A:$A,AP$2)+countifs(Students!$V:$V,$AB13,Students!$W:$W,$AB$2&amp;if($K13="S1","a",if($K13="S2","b","")),Students!$A:$A,AP$2)+
countifs(Students!$D:$D,$AE13,Students!$E:$E,$AE$2&amp;if($K13="S1","a",if($K13="S2","b","")),Students!$A:$A,AP$2)+countifs(Students!$F:$F,$AE13,Students!$G:$G,$AE$2&amp;if($K13="S1","a",if($K13="S2","b","")),Students!$A:$A,AP$2)+countifs(Students!$H:$H,$AE13,Students!$I:$I,$AE$2&amp;if($K13="S1","a",if($K13="S2","b","")),Students!$A:$A,AP$2)+countifs(Students!$J:$J,$AE13,Students!$K:$K,$AE$2&amp;if($K13="S1","a",if($K13="S2","b","")),Students!$A:$A,AP$2)+countifs(Students!$L:$L,$AE13,Students!$M:$M,$AE$2&amp;if($K13="S1","a",if($K13="S2","b","")),Students!$A:$A,AP$2)+countifs(Students!$N:$N,$AE13,Students!$O:$O,$AE$2&amp;if($K13="S1","a",if($K13="S2","b","")),Students!$A:$A,AP$2)+countifs(Students!$P:$P,$AE13,Students!$Q:$Q,$AE$2&amp;if($K13="S1","a",if($K13="S2","b","")),Students!$A:$A,AP$2)+countifs(Students!$R:$R,$AE13,Students!$S:$S,$AE$2&amp;if($K13="S1","a",if($K13="S2","b","")),Students!$A:$A,AP$2)+countifs(Students!$T:$T,$AE13,Students!$U:$U,$AE$2&amp;if($K13="S1","a",if($K13="S2","b","")),Students!$A:$A,AP$2)+countifs(Students!$V:$V,$AE13,Students!$W:$W,$AE$2&amp;if($K13="S1","a",if($K13="S2","b","")),Students!$A:$A,AP$2)+
countifs(Students!$D:$D,$AH13,Students!$E:$E,$AH$2&amp;if($K13="S1","a",if($K13="S2","b","")),Students!$A:$A,AP$2)+countifs(Students!$F:$F,$AH13,Students!$G:$G,$AH$2&amp;if($K13="S1","a",if($K13="S2","b","")),Students!$A:$A,AP$2)+countifs(Students!$H:$H,$AH13,Students!$I:$I,$AH$2&amp;if($K13="S1","a",if($K13="S2","b","")),Students!$A:$A,AP$2)+countifs(Students!$J:$J,$AH13,Students!$K:$K,$AH$2&amp;if($K13="S1","a",if($K13="S2","b","")),Students!$A:$A,AP$2)+countifs(Students!$L:$L,$AH13,Students!$M:$M,$AH$2&amp;if($K13="S1","a",if($K13="S2","b","")),Students!$A:$A,AP$2)+countifs(Students!$N:$N,$AH13,Students!$O:$O,$AH$2&amp;if($K13="S1","a",if($K13="S2","b","")),Students!$A:$A,AP$2)+countifs(Students!$P:$P,$AH13,Students!$Q:$Q,$AH$2&amp;if($K13="S1","a",if($K13="S2","b","")),Students!$A:$A,AP$2)+countifs(Students!$R:$R,$AH13,Students!$S:$S,$AH$2&amp;if($K13="S1","a",if($K13="S2","b","")),Students!$A:$A,AP$2)+countifs(Students!$T:$T,$AH13,Students!$U:$U,$AH$2&amp;if($K13="S1","a",if($K13="S2","b","")),Students!$A:$A,AP$2)+countifs(Students!$V:$V,$AH13,Students!$W:$W,$AH$2&amp;if($K13="S1","a",if($K13="S2","b","")),Students!$A:$A,AP$2)+
countifs(Students!$D:$D,$AK13,Students!$E:$E,$AK$2&amp;if($K13="S1","a",if($K13="S2","b","")),Students!$A:$A,AP$2)+countifs(Students!$F:$F,$AK13,Students!$G:$G,$AK$2&amp;if($K13="S1","a",if($K13="S2","b","")),Students!$A:$A,AP$2)+countifs(Students!$H:$H,$AK13,Students!$I:$I,$AK$2&amp;if($K13="S1","a",if($K13="S2","b","")),Students!$A:$A,AP$2)+countifs(Students!$J:$J,$AK13,Students!$K:$K,$AK$2&amp;if($K13="S1","a",if($K13="S2","b","")),Students!$A:$A,AP$2)+countifs(Students!$L:$L,$AK13,Students!$M:$M,$AK$2&amp;if($K13="S1","a",if($K13="S2","b","")),Students!$A:$A,AP$2)+countifs(Students!$N:$N,$AK13,Students!$O:$O,$AK$2&amp;if($K13="S1","a",if($K13="S2","b","")),Students!$A:$A,AP$2)+countifs(Students!$P:$P,$AK13,Students!$Q:$Q,$AK$2&amp;if($K13="S1","a",if($K13="S2","b","")),Students!$A:$A,AP$2)+countifs(Students!$R:$R,$AK13,Students!$S:$S,$AK$2&amp;if($K13="S1","a",if($K13="S2","b","")),Students!$A:$A,AP$2)+countifs(Students!$T:$T,$AK13,Students!$U:$U,$AK$2&amp;if($K13="S1","a",if($K13="S2","b","")),Students!$A:$A,AP$2)+countifs(Students!$V:$V,$AK13,Students!$W:$W,$AK$2&amp;if($K13="S1","a",if($K13="S2","b","")),Students!$A:$A,AP$2))</f>
        <v>88</v>
      </c>
      <c r="AQ13" s="102">
        <f>if($L14="","",countifs(Students!$D:$D,$P13,Students!$E:$E,$P$2&amp;if($K13="S1","a",if($K13="S2","b","")),Students!$A:$A,AQ$2)+countifs(Students!$F:$F,$P13,Students!$G:$G,$P$2&amp;if($K13="S1","a",if($K13="S2","b","")),Students!$A:$A,AQ$2)+countifs(Students!$H:$H,$P13,Students!$I:$I,$P$2&amp;if($K13="S1","a",if($K13="S2","b","")),Students!$A:$A,AQ$2)+countifs(Students!$J:$J,$P13,Students!$K:$K,$P$2&amp;if($K13="S1","a",if($K13="S2","b","")),Students!$A:$A,AQ$2)+countifs(Students!$L:$L,$P13,Students!$M:$M,$P$2&amp;if($K13="S1","a",if($K13="S2","b","")),Students!$A:$A,AQ$2)+countifs(Students!$N:$N,$P13,Students!$O:$O,$P$2&amp;if($K13="S1","a",if($K13="S2","b","")),Students!$A:$A,AQ$2)+countifs(Students!$P:$P,$P13,Students!$Q:$Q,$P$2&amp;if($K13="S1","a",if($K13="S2","b","")),Students!$A:$A,AQ$2)+countifs(Students!$R:$R,$P13,Students!$S:$S,$P$2&amp;if($K13="S1","a",if($K13="S2","b","")),Students!$A:$A,AQ$2)+countifs(Students!$T:$T,$P13,Students!$U:$U,$P$2&amp;if($K13="S1","a",if($K13="S2","b","")),Students!$A:$A,AQ$2)+countifs(Students!$V:$V,$P13,Students!$W:$W,$P$2&amp;if($K13="S1","a",if($K13="S2","b","")),Students!$A:$A,AQ$2)+
countifs(Students!$D:$D,$S13,Students!$E:$E,$S$2&amp;if($K13="S1","a",if($K13="S2","b","")),Students!$A:$A,AQ$2)+countifs(Students!$F:$F,$S13,Students!$G:$G,$S$2&amp;if($K13="S1","a",if($K13="S2","b","")),Students!$A:$A,AQ$2)+countifs(Students!$H:$H,$S13,Students!$I:$I,$S$2&amp;if($K13="S1","a",if($K13="S2","b","")),Students!$A:$A,AQ$2)+countifs(Students!$J:$J,$S13,Students!$K:$K,$S$2&amp;if($K13="S1","a",if($K13="S2","b","")),Students!$A:$A,AQ$2)+countifs(Students!$L:$L,$S13,Students!$M:$M,$S$2&amp;if($K13="S1","a",if($K13="S2","b","")),Students!$A:$A,AQ$2)+countifs(Students!$N:$N,$S13,Students!$O:$O,$S$2&amp;if($K13="S1","a",if($K13="S2","b","")),Students!$A:$A,AQ$2)+countifs(Students!$P:$P,$S13,Students!$Q:$Q,$S$2&amp;if($K13="S1","a",if($K13="S2","b","")),Students!$A:$A,AQ$2)+countifs(Students!$R:$R,$S13,Students!$S:$S,$S$2&amp;if($K13="S1","a",if($K13="S2","b","")),Students!$A:$A,AQ$2)+countifs(Students!$T:$T,$S13,Students!$U:$U,$S$2&amp;if($K13="S1","a",if($K13="S2","b","")),Students!$A:$A,AQ$2)+countifs(Students!$V:$V,$S13,Students!$W:$W,$S$2&amp;if($K13="S1","a",if($K13="S2","b","")),Students!$A:$A,AQ$2)+
countifs(Students!$D:$D,$V13,Students!$E:$E,$V$2&amp;if($K13="S1","a",if($K13="S2","b","")),Students!$A:$A,AQ$2)+countifs(Students!$F:$F,$V13,Students!$G:$G,$V$2&amp;if($K13="S1","a",if($K13="S2","b","")),Students!$A:$A,AQ$2)+countifs(Students!$H:$H,$V13,Students!$I:$I,$V$2&amp;if($K13="S1","a",if($K13="S2","b","")),Students!$A:$A,AQ$2)+countifs(Students!$J:$J,$V13,Students!$K:$K,$V$2&amp;if($K13="S1","a",if($K13="S2","b","")),Students!$A:$A,AQ$2)+countifs(Students!$L:$L,$V13,Students!$M:$M,$V$2&amp;if($K13="S1","a",if($K13="S2","b","")),Students!$A:$A,AQ$2)+countifs(Students!$N:$N,$V13,Students!$O:$O,$V$2&amp;if($K13="S1","a",if($K13="S2","b","")),Students!$A:$A,AQ$2)+countifs(Students!$P:$P,$V13,Students!$Q:$Q,$V$2&amp;if($K13="S1","a",if($K13="S2","b","")),Students!$A:$A,AQ$2)+countifs(Students!$R:$R,$V13,Students!$S:$S,$V$2&amp;if($K13="S1","a",if($K13="S2","b","")),Students!$A:$A,AQ$2)+countifs(Students!$T:$T,$V13,Students!$U:$U,$V$2&amp;if($K13="S1","a",if($K13="S2","b","")),Students!$A:$A,AQ$2)+countifs(Students!$V:$V,$V13,Students!$W:$W,$V$2&amp;if($K13="S1","a",if($K13="S2","b","")),Students!$A:$A,AQ$2)+
countifs(Students!$D:$D,$Y13,Students!$E:$E,$Y$2&amp;if($K13="S1","a",if($K13="S2","b","")),Students!$A:$A,AQ$2)+countifs(Students!$F:$F,$Y13,Students!$G:$G,$Y$2&amp;if($K13="S1","a",if($K13="S2","b","")),Students!$A:$A,AQ$2)+countifs(Students!$H:$H,$Y13,Students!$I:$I,$Y$2&amp;if($K13="S1","a",if($K13="S2","b","")),Students!$A:$A,AQ$2)+countifs(Students!$J:$J,$Y13,Students!$K:$K,$Y$2&amp;if($K13="S1","a",if($K13="S2","b","")),Students!$A:$A,AQ$2)+countifs(Students!$L:$L,$Y13,Students!$M:$M,$Y$2&amp;if($K13="S1","a",if($K13="S2","b","")),Students!$A:$A,AQ$2)+countifs(Students!$N:$N,$Y13,Students!$O:$O,$Y$2&amp;if($K13="S1","a",if($K13="S2","b","")),Students!$A:$A,AQ$2)+countifs(Students!$P:$P,$Y13,Students!$Q:$Q,$Y$2&amp;if($K13="S1","a",if($K13="S2","b","")),Students!$A:$A,AQ$2)+countifs(Students!$R:$R,$Y13,Students!$S:$S,$Y$2&amp;if($K13="S1","a",if($K13="S2","b","")),Students!$A:$A,AQ$2)+countifs(Students!$T:$T,$Y13,Students!$U:$U,$Y$2&amp;if($K13="S1","a",if($K13="S2","b","")),Students!$A:$A,AQ$2)+countifs(Students!$V:$V,$Y13,Students!$W:$W,$Y$2&amp;if($K13="S1","a",if($K13="S2","b","")),Students!$A:$A,AQ$2)+
countifs(Students!$D:$D,$AB13,Students!$E:$E,$AB$2&amp;if($K13="S1","a",if($K13="S2","b","")),Students!$A:$A,AQ$2)+countifs(Students!$F:$F,$AB13,Students!$G:$G,$AB$2&amp;if($K13="S1","a",if($K13="S2","b","")),Students!$A:$A,AQ$2)+countifs(Students!$H:$H,$AB13,Students!$I:$I,$AB$2&amp;if($K13="S1","a",if($K13="S2","b","")),Students!$A:$A,AQ$2)+countifs(Students!$J:$J,$AB13,Students!$K:$K,$AB$2&amp;if($K13="S1","a",if($K13="S2","b","")),Students!$A:$A,AQ$2)+countifs(Students!$L:$L,$AB13,Students!$M:$M,$AB$2&amp;if($K13="S1","a",if($K13="S2","b","")),Students!$A:$A,AQ$2)+countifs(Students!$N:$N,$AB13,Students!$O:$O,$AB$2&amp;if($K13="S1","a",if($K13="S2","b","")),Students!$A:$A,AQ$2)+countifs(Students!$P:$P,$AB13,Students!$Q:$Q,$AB$2&amp;if($K13="S1","a",if($K13="S2","b","")),Students!$A:$A,AQ$2)+countifs(Students!$R:$R,$AB13,Students!$S:$S,$AB$2&amp;if($K13="S1","a",if($K13="S2","b","")),Students!$A:$A,AQ$2)+countifs(Students!$T:$T,$AB13,Students!$U:$U,$AB$2&amp;if($K13="S1","a",if($K13="S2","b","")),Students!$A:$A,AQ$2)+countifs(Students!$V:$V,$AB13,Students!$W:$W,$AB$2&amp;if($K13="S1","a",if($K13="S2","b","")),Students!$A:$A,AQ$2)+
countifs(Students!$D:$D,$AE13,Students!$E:$E,$AE$2&amp;if($K13="S1","a",if($K13="S2","b","")),Students!$A:$A,AQ$2)+countifs(Students!$F:$F,$AE13,Students!$G:$G,$AE$2&amp;if($K13="S1","a",if($K13="S2","b","")),Students!$A:$A,AQ$2)+countifs(Students!$H:$H,$AE13,Students!$I:$I,$AE$2&amp;if($K13="S1","a",if($K13="S2","b","")),Students!$A:$A,AQ$2)+countifs(Students!$J:$J,$AE13,Students!$K:$K,$AE$2&amp;if($K13="S1","a",if($K13="S2","b","")),Students!$A:$A,AQ$2)+countifs(Students!$L:$L,$AE13,Students!$M:$M,$AE$2&amp;if($K13="S1","a",if($K13="S2","b","")),Students!$A:$A,AQ$2)+countifs(Students!$N:$N,$AE13,Students!$O:$O,$AE$2&amp;if($K13="S1","a",if($K13="S2","b","")),Students!$A:$A,AQ$2)+countifs(Students!$P:$P,$AE13,Students!$Q:$Q,$AE$2&amp;if($K13="S1","a",if($K13="S2","b","")),Students!$A:$A,AQ$2)+countifs(Students!$R:$R,$AE13,Students!$S:$S,$AE$2&amp;if($K13="S1","a",if($K13="S2","b","")),Students!$A:$A,AQ$2)+countifs(Students!$T:$T,$AE13,Students!$U:$U,$AE$2&amp;if($K13="S1","a",if($K13="S2","b","")),Students!$A:$A,AQ$2)+countifs(Students!$V:$V,$AE13,Students!$W:$W,$AE$2&amp;if($K13="S1","a",if($K13="S2","b","")),Students!$A:$A,AQ$2)+
countifs(Students!$D:$D,$AH13,Students!$E:$E,$AH$2&amp;if($K13="S1","a",if($K13="S2","b","")),Students!$A:$A,AQ$2)+countifs(Students!$F:$F,$AH13,Students!$G:$G,$AH$2&amp;if($K13="S1","a",if($K13="S2","b","")),Students!$A:$A,AQ$2)+countifs(Students!$H:$H,$AH13,Students!$I:$I,$AH$2&amp;if($K13="S1","a",if($K13="S2","b","")),Students!$A:$A,AQ$2)+countifs(Students!$J:$J,$AH13,Students!$K:$K,$AH$2&amp;if($K13="S1","a",if($K13="S2","b","")),Students!$A:$A,AQ$2)+countifs(Students!$L:$L,$AH13,Students!$M:$M,$AH$2&amp;if($K13="S1","a",if($K13="S2","b","")),Students!$A:$A,AQ$2)+countifs(Students!$N:$N,$AH13,Students!$O:$O,$AH$2&amp;if($K13="S1","a",if($K13="S2","b","")),Students!$A:$A,AQ$2)+countifs(Students!$P:$P,$AH13,Students!$Q:$Q,$AH$2&amp;if($K13="S1","a",if($K13="S2","b","")),Students!$A:$A,AQ$2)+countifs(Students!$R:$R,$AH13,Students!$S:$S,$AH$2&amp;if($K13="S1","a",if($K13="S2","b","")),Students!$A:$A,AQ$2)+countifs(Students!$T:$T,$AH13,Students!$U:$U,$AH$2&amp;if($K13="S1","a",if($K13="S2","b","")),Students!$A:$A,AQ$2)+countifs(Students!$V:$V,$AH13,Students!$W:$W,$AH$2&amp;if($K13="S1","a",if($K13="S2","b","")),Students!$A:$A,AQ$2)+
countifs(Students!$D:$D,$AK13,Students!$E:$E,$AK$2&amp;if($K13="S1","a",if($K13="S2","b","")),Students!$A:$A,AQ$2)+countifs(Students!$F:$F,$AK13,Students!$G:$G,$AK$2&amp;if($K13="S1","a",if($K13="S2","b","")),Students!$A:$A,AQ$2)+countifs(Students!$H:$H,$AK13,Students!$I:$I,$AK$2&amp;if($K13="S1","a",if($K13="S2","b","")),Students!$A:$A,AQ$2)+countifs(Students!$J:$J,$AK13,Students!$K:$K,$AK$2&amp;if($K13="S1","a",if($K13="S2","b","")),Students!$A:$A,AQ$2)+countifs(Students!$L:$L,$AK13,Students!$M:$M,$AK$2&amp;if($K13="S1","a",if($K13="S2","b","")),Students!$A:$A,AQ$2)+countifs(Students!$N:$N,$AK13,Students!$O:$O,$AK$2&amp;if($K13="S1","a",if($K13="S2","b","")),Students!$A:$A,AQ$2)+countifs(Students!$P:$P,$AK13,Students!$Q:$Q,$AK$2&amp;if($K13="S1","a",if($K13="S2","b","")),Students!$A:$A,AQ$2)+countifs(Students!$R:$R,$AK13,Students!$S:$S,$AK$2&amp;if($K13="S1","a",if($K13="S2","b","")),Students!$A:$A,AQ$2)+countifs(Students!$T:$T,$AK13,Students!$U:$U,$AK$2&amp;if($K13="S1","a",if($K13="S2","b","")),Students!$A:$A,AQ$2)+countifs(Students!$V:$V,$AK13,Students!$W:$W,$AK$2&amp;if($K13="S1","a",if($K13="S2","b","")),Students!$A:$A,AQ$2))</f>
        <v>21</v>
      </c>
      <c r="AR13" s="102">
        <f>if($L14="","",countifs(Students!$D:$D,$P13,Students!$E:$E,$P$2&amp;if($K13="S1","a",if($K13="S2","b","")),Students!$A:$A,AR$2)+countifs(Students!$F:$F,$P13,Students!$G:$G,$P$2&amp;if($K13="S1","a",if($K13="S2","b","")),Students!$A:$A,AR$2)+countifs(Students!$H:$H,$P13,Students!$I:$I,$P$2&amp;if($K13="S1","a",if($K13="S2","b","")),Students!$A:$A,AR$2)+countifs(Students!$J:$J,$P13,Students!$K:$K,$P$2&amp;if($K13="S1","a",if($K13="S2","b","")),Students!$A:$A,AR$2)+countifs(Students!$L:$L,$P13,Students!$M:$M,$P$2&amp;if($K13="S1","a",if($K13="S2","b","")),Students!$A:$A,AR$2)+countifs(Students!$N:$N,$P13,Students!$O:$O,$P$2&amp;if($K13="S1","a",if($K13="S2","b","")),Students!$A:$A,AR$2)+countifs(Students!$P:$P,$P13,Students!$Q:$Q,$P$2&amp;if($K13="S1","a",if($K13="S2","b","")),Students!$A:$A,AR$2)+countifs(Students!$R:$R,$P13,Students!$S:$S,$P$2&amp;if($K13="S1","a",if($K13="S2","b","")),Students!$A:$A,AR$2)+countifs(Students!$T:$T,$P13,Students!$U:$U,$P$2&amp;if($K13="S1","a",if($K13="S2","b","")),Students!$A:$A,AR$2)+countifs(Students!$V:$V,$P13,Students!$W:$W,$P$2&amp;if($K13="S1","a",if($K13="S2","b","")),Students!$A:$A,AR$2)+
countifs(Students!$D:$D,$S13,Students!$E:$E,$S$2&amp;if($K13="S1","a",if($K13="S2","b","")),Students!$A:$A,AR$2)+countifs(Students!$F:$F,$S13,Students!$G:$G,$S$2&amp;if($K13="S1","a",if($K13="S2","b","")),Students!$A:$A,AR$2)+countifs(Students!$H:$H,$S13,Students!$I:$I,$S$2&amp;if($K13="S1","a",if($K13="S2","b","")),Students!$A:$A,AR$2)+countifs(Students!$J:$J,$S13,Students!$K:$K,$S$2&amp;if($K13="S1","a",if($K13="S2","b","")),Students!$A:$A,AR$2)+countifs(Students!$L:$L,$S13,Students!$M:$M,$S$2&amp;if($K13="S1","a",if($K13="S2","b","")),Students!$A:$A,AR$2)+countifs(Students!$N:$N,$S13,Students!$O:$O,$S$2&amp;if($K13="S1","a",if($K13="S2","b","")),Students!$A:$A,AR$2)+countifs(Students!$P:$P,$S13,Students!$Q:$Q,$S$2&amp;if($K13="S1","a",if($K13="S2","b","")),Students!$A:$A,AR$2)+countifs(Students!$R:$R,$S13,Students!$S:$S,$S$2&amp;if($K13="S1","a",if($K13="S2","b","")),Students!$A:$A,AR$2)+countifs(Students!$T:$T,$S13,Students!$U:$U,$S$2&amp;if($K13="S1","a",if($K13="S2","b","")),Students!$A:$A,AR$2)+countifs(Students!$V:$V,$S13,Students!$W:$W,$S$2&amp;if($K13="S1","a",if($K13="S2","b","")),Students!$A:$A,AR$2)+
countifs(Students!$D:$D,$V13,Students!$E:$E,$V$2&amp;if($K13="S1","a",if($K13="S2","b","")),Students!$A:$A,AR$2)+countifs(Students!$F:$F,$V13,Students!$G:$G,$V$2&amp;if($K13="S1","a",if($K13="S2","b","")),Students!$A:$A,AR$2)+countifs(Students!$H:$H,$V13,Students!$I:$I,$V$2&amp;if($K13="S1","a",if($K13="S2","b","")),Students!$A:$A,AR$2)+countifs(Students!$J:$J,$V13,Students!$K:$K,$V$2&amp;if($K13="S1","a",if($K13="S2","b","")),Students!$A:$A,AR$2)+countifs(Students!$L:$L,$V13,Students!$M:$M,$V$2&amp;if($K13="S1","a",if($K13="S2","b","")),Students!$A:$A,AR$2)+countifs(Students!$N:$N,$V13,Students!$O:$O,$V$2&amp;if($K13="S1","a",if($K13="S2","b","")),Students!$A:$A,AR$2)+countifs(Students!$P:$P,$V13,Students!$Q:$Q,$V$2&amp;if($K13="S1","a",if($K13="S2","b","")),Students!$A:$A,AR$2)+countifs(Students!$R:$R,$V13,Students!$S:$S,$V$2&amp;if($K13="S1","a",if($K13="S2","b","")),Students!$A:$A,AR$2)+countifs(Students!$T:$T,$V13,Students!$U:$U,$V$2&amp;if($K13="S1","a",if($K13="S2","b","")),Students!$A:$A,AR$2)+countifs(Students!$V:$V,$V13,Students!$W:$W,$V$2&amp;if($K13="S1","a",if($K13="S2","b","")),Students!$A:$A,AR$2)+
countifs(Students!$D:$D,$Y13,Students!$E:$E,$Y$2&amp;if($K13="S1","a",if($K13="S2","b","")),Students!$A:$A,AR$2)+countifs(Students!$F:$F,$Y13,Students!$G:$G,$Y$2&amp;if($K13="S1","a",if($K13="S2","b","")),Students!$A:$A,AR$2)+countifs(Students!$H:$H,$Y13,Students!$I:$I,$Y$2&amp;if($K13="S1","a",if($K13="S2","b","")),Students!$A:$A,AR$2)+countifs(Students!$J:$J,$Y13,Students!$K:$K,$Y$2&amp;if($K13="S1","a",if($K13="S2","b","")),Students!$A:$A,AR$2)+countifs(Students!$L:$L,$Y13,Students!$M:$M,$Y$2&amp;if($K13="S1","a",if($K13="S2","b","")),Students!$A:$A,AR$2)+countifs(Students!$N:$N,$Y13,Students!$O:$O,$Y$2&amp;if($K13="S1","a",if($K13="S2","b","")),Students!$A:$A,AR$2)+countifs(Students!$P:$P,$Y13,Students!$Q:$Q,$Y$2&amp;if($K13="S1","a",if($K13="S2","b","")),Students!$A:$A,AR$2)+countifs(Students!$R:$R,$Y13,Students!$S:$S,$Y$2&amp;if($K13="S1","a",if($K13="S2","b","")),Students!$A:$A,AR$2)+countifs(Students!$T:$T,$Y13,Students!$U:$U,$Y$2&amp;if($K13="S1","a",if($K13="S2","b","")),Students!$A:$A,AR$2)+countifs(Students!$V:$V,$Y13,Students!$W:$W,$Y$2&amp;if($K13="S1","a",if($K13="S2","b","")),Students!$A:$A,AR$2)+
countifs(Students!$D:$D,$AB13,Students!$E:$E,$AB$2&amp;if($K13="S1","a",if($K13="S2","b","")),Students!$A:$A,AR$2)+countifs(Students!$F:$F,$AB13,Students!$G:$G,$AB$2&amp;if($K13="S1","a",if($K13="S2","b","")),Students!$A:$A,AR$2)+countifs(Students!$H:$H,$AB13,Students!$I:$I,$AB$2&amp;if($K13="S1","a",if($K13="S2","b","")),Students!$A:$A,AR$2)+countifs(Students!$J:$J,$AB13,Students!$K:$K,$AB$2&amp;if($K13="S1","a",if($K13="S2","b","")),Students!$A:$A,AR$2)+countifs(Students!$L:$L,$AB13,Students!$M:$M,$AB$2&amp;if($K13="S1","a",if($K13="S2","b","")),Students!$A:$A,AR$2)+countifs(Students!$N:$N,$AB13,Students!$O:$O,$AB$2&amp;if($K13="S1","a",if($K13="S2","b","")),Students!$A:$A,AR$2)+countifs(Students!$P:$P,$AB13,Students!$Q:$Q,$AB$2&amp;if($K13="S1","a",if($K13="S2","b","")),Students!$A:$A,AR$2)+countifs(Students!$R:$R,$AB13,Students!$S:$S,$AB$2&amp;if($K13="S1","a",if($K13="S2","b","")),Students!$A:$A,AR$2)+countifs(Students!$T:$T,$AB13,Students!$U:$U,$AB$2&amp;if($K13="S1","a",if($K13="S2","b","")),Students!$A:$A,AR$2)+countifs(Students!$V:$V,$AB13,Students!$W:$W,$AB$2&amp;if($K13="S1","a",if($K13="S2","b","")),Students!$A:$A,AR$2)+
countifs(Students!$D:$D,$AE13,Students!$E:$E,$AE$2&amp;if($K13="S1","a",if($K13="S2","b","")),Students!$A:$A,AR$2)+countifs(Students!$F:$F,$AE13,Students!$G:$G,$AE$2&amp;if($K13="S1","a",if($K13="S2","b","")),Students!$A:$A,AR$2)+countifs(Students!$H:$H,$AE13,Students!$I:$I,$AE$2&amp;if($K13="S1","a",if($K13="S2","b","")),Students!$A:$A,AR$2)+countifs(Students!$J:$J,$AE13,Students!$K:$K,$AE$2&amp;if($K13="S1","a",if($K13="S2","b","")),Students!$A:$A,AR$2)+countifs(Students!$L:$L,$AE13,Students!$M:$M,$AE$2&amp;if($K13="S1","a",if($K13="S2","b","")),Students!$A:$A,AR$2)+countifs(Students!$N:$N,$AE13,Students!$O:$O,$AE$2&amp;if($K13="S1","a",if($K13="S2","b","")),Students!$A:$A,AR$2)+countifs(Students!$P:$P,$AE13,Students!$Q:$Q,$AE$2&amp;if($K13="S1","a",if($K13="S2","b","")),Students!$A:$A,AR$2)+countifs(Students!$R:$R,$AE13,Students!$S:$S,$AE$2&amp;if($K13="S1","a",if($K13="S2","b","")),Students!$A:$A,AR$2)+countifs(Students!$T:$T,$AE13,Students!$U:$U,$AE$2&amp;if($K13="S1","a",if($K13="S2","b","")),Students!$A:$A,AR$2)+countifs(Students!$V:$V,$AE13,Students!$W:$W,$AE$2&amp;if($K13="S1","a",if($K13="S2","b","")),Students!$A:$A,AR$2)+
countifs(Students!$D:$D,$AH13,Students!$E:$E,$AH$2&amp;if($K13="S1","a",if($K13="S2","b","")),Students!$A:$A,AR$2)+countifs(Students!$F:$F,$AH13,Students!$G:$G,$AH$2&amp;if($K13="S1","a",if($K13="S2","b","")),Students!$A:$A,AR$2)+countifs(Students!$H:$H,$AH13,Students!$I:$I,$AH$2&amp;if($K13="S1","a",if($K13="S2","b","")),Students!$A:$A,AR$2)+countifs(Students!$J:$J,$AH13,Students!$K:$K,$AH$2&amp;if($K13="S1","a",if($K13="S2","b","")),Students!$A:$A,AR$2)+countifs(Students!$L:$L,$AH13,Students!$M:$M,$AH$2&amp;if($K13="S1","a",if($K13="S2","b","")),Students!$A:$A,AR$2)+countifs(Students!$N:$N,$AH13,Students!$O:$O,$AH$2&amp;if($K13="S1","a",if($K13="S2","b","")),Students!$A:$A,AR$2)+countifs(Students!$P:$P,$AH13,Students!$Q:$Q,$AH$2&amp;if($K13="S1","a",if($K13="S2","b","")),Students!$A:$A,AR$2)+countifs(Students!$R:$R,$AH13,Students!$S:$S,$AH$2&amp;if($K13="S1","a",if($K13="S2","b","")),Students!$A:$A,AR$2)+countifs(Students!$T:$T,$AH13,Students!$U:$U,$AH$2&amp;if($K13="S1","a",if($K13="S2","b","")),Students!$A:$A,AR$2)+countifs(Students!$V:$V,$AH13,Students!$W:$W,$AH$2&amp;if($K13="S1","a",if($K13="S2","b","")),Students!$A:$A,AR$2)+
countifs(Students!$D:$D,$AK13,Students!$E:$E,$AK$2&amp;if($K13="S1","a",if($K13="S2","b","")),Students!$A:$A,AR$2)+countifs(Students!$F:$F,$AK13,Students!$G:$G,$AK$2&amp;if($K13="S1","a",if($K13="S2","b","")),Students!$A:$A,AR$2)+countifs(Students!$H:$H,$AK13,Students!$I:$I,$AK$2&amp;if($K13="S1","a",if($K13="S2","b","")),Students!$A:$A,AR$2)+countifs(Students!$J:$J,$AK13,Students!$K:$K,$AK$2&amp;if($K13="S1","a",if($K13="S2","b","")),Students!$A:$A,AR$2)+countifs(Students!$L:$L,$AK13,Students!$M:$M,$AK$2&amp;if($K13="S1","a",if($K13="S2","b","")),Students!$A:$A,AR$2)+countifs(Students!$N:$N,$AK13,Students!$O:$O,$AK$2&amp;if($K13="S1","a",if($K13="S2","b","")),Students!$A:$A,AR$2)+countifs(Students!$P:$P,$AK13,Students!$Q:$Q,$AK$2&amp;if($K13="S1","a",if($K13="S2","b","")),Students!$A:$A,AR$2)+countifs(Students!$R:$R,$AK13,Students!$S:$S,$AK$2&amp;if($K13="S1","a",if($K13="S2","b","")),Students!$A:$A,AR$2)+countifs(Students!$T:$T,$AK13,Students!$U:$U,$AK$2&amp;if($K13="S1","a",if($K13="S2","b","")),Students!$A:$A,AR$2)+countifs(Students!$V:$V,$AK13,Students!$W:$W,$AK$2&amp;if($K13="S1","a",if($K13="S2","b","")),Students!$A:$A,AR$2))</f>
        <v>0</v>
      </c>
      <c r="AS13" s="102">
        <f>if($L14="","",countifs(Students!$D:$D,$P13,Students!$E:$E,$P$2&amp;if($K13="S1","a",if($K13="S2","b","")),Students!$A:$A,AS$2)+countifs(Students!$F:$F,$P13,Students!$G:$G,$P$2&amp;if($K13="S1","a",if($K13="S2","b","")),Students!$A:$A,AS$2)+countifs(Students!$H:$H,$P13,Students!$I:$I,$P$2&amp;if($K13="S1","a",if($K13="S2","b","")),Students!$A:$A,AS$2)+countifs(Students!$J:$J,$P13,Students!$K:$K,$P$2&amp;if($K13="S1","a",if($K13="S2","b","")),Students!$A:$A,AS$2)+countifs(Students!$L:$L,$P13,Students!$M:$M,$P$2&amp;if($K13="S1","a",if($K13="S2","b","")),Students!$A:$A,AS$2)+countifs(Students!$N:$N,$P13,Students!$O:$O,$P$2&amp;if($K13="S1","a",if($K13="S2","b","")),Students!$A:$A,AS$2)+countifs(Students!$P:$P,$P13,Students!$Q:$Q,$P$2&amp;if($K13="S1","a",if($K13="S2","b","")),Students!$A:$A,AS$2)+countifs(Students!$R:$R,$P13,Students!$S:$S,$P$2&amp;if($K13="S1","a",if($K13="S2","b","")),Students!$A:$A,AS$2)+countifs(Students!$T:$T,$P13,Students!$U:$U,$P$2&amp;if($K13="S1","a",if($K13="S2","b","")),Students!$A:$A,AS$2)+countifs(Students!$V:$V,$P13,Students!$W:$W,$P$2&amp;if($K13="S1","a",if($K13="S2","b","")),Students!$A:$A,AS$2)+
countifs(Students!$D:$D,$S13,Students!$E:$E,$S$2&amp;if($K13="S1","a",if($K13="S2","b","")),Students!$A:$A,AS$2)+countifs(Students!$F:$F,$S13,Students!$G:$G,$S$2&amp;if($K13="S1","a",if($K13="S2","b","")),Students!$A:$A,AS$2)+countifs(Students!$H:$H,$S13,Students!$I:$I,$S$2&amp;if($K13="S1","a",if($K13="S2","b","")),Students!$A:$A,AS$2)+countifs(Students!$J:$J,$S13,Students!$K:$K,$S$2&amp;if($K13="S1","a",if($K13="S2","b","")),Students!$A:$A,AS$2)+countifs(Students!$L:$L,$S13,Students!$M:$M,$S$2&amp;if($K13="S1","a",if($K13="S2","b","")),Students!$A:$A,AS$2)+countifs(Students!$N:$N,$S13,Students!$O:$O,$S$2&amp;if($K13="S1","a",if($K13="S2","b","")),Students!$A:$A,AS$2)+countifs(Students!$P:$P,$S13,Students!$Q:$Q,$S$2&amp;if($K13="S1","a",if($K13="S2","b","")),Students!$A:$A,AS$2)+countifs(Students!$R:$R,$S13,Students!$S:$S,$S$2&amp;if($K13="S1","a",if($K13="S2","b","")),Students!$A:$A,AS$2)+countifs(Students!$T:$T,$S13,Students!$U:$U,$S$2&amp;if($K13="S1","a",if($K13="S2","b","")),Students!$A:$A,AS$2)+countifs(Students!$V:$V,$S13,Students!$W:$W,$S$2&amp;if($K13="S1","a",if($K13="S2","b","")),Students!$A:$A,AS$2)+
countifs(Students!$D:$D,$V13,Students!$E:$E,$V$2&amp;if($K13="S1","a",if($K13="S2","b","")),Students!$A:$A,AS$2)+countifs(Students!$F:$F,$V13,Students!$G:$G,$V$2&amp;if($K13="S1","a",if($K13="S2","b","")),Students!$A:$A,AS$2)+countifs(Students!$H:$H,$V13,Students!$I:$I,$V$2&amp;if($K13="S1","a",if($K13="S2","b","")),Students!$A:$A,AS$2)+countifs(Students!$J:$J,$V13,Students!$K:$K,$V$2&amp;if($K13="S1","a",if($K13="S2","b","")),Students!$A:$A,AS$2)+countifs(Students!$L:$L,$V13,Students!$M:$M,$V$2&amp;if($K13="S1","a",if($K13="S2","b","")),Students!$A:$A,AS$2)+countifs(Students!$N:$N,$V13,Students!$O:$O,$V$2&amp;if($K13="S1","a",if($K13="S2","b","")),Students!$A:$A,AS$2)+countifs(Students!$P:$P,$V13,Students!$Q:$Q,$V$2&amp;if($K13="S1","a",if($K13="S2","b","")),Students!$A:$A,AS$2)+countifs(Students!$R:$R,$V13,Students!$S:$S,$V$2&amp;if($K13="S1","a",if($K13="S2","b","")),Students!$A:$A,AS$2)+countifs(Students!$T:$T,$V13,Students!$U:$U,$V$2&amp;if($K13="S1","a",if($K13="S2","b","")),Students!$A:$A,AS$2)+countifs(Students!$V:$V,$V13,Students!$W:$W,$V$2&amp;if($K13="S1","a",if($K13="S2","b","")),Students!$A:$A,AS$2)+
countifs(Students!$D:$D,$Y13,Students!$E:$E,$Y$2&amp;if($K13="S1","a",if($K13="S2","b","")),Students!$A:$A,AS$2)+countifs(Students!$F:$F,$Y13,Students!$G:$G,$Y$2&amp;if($K13="S1","a",if($K13="S2","b","")),Students!$A:$A,AS$2)+countifs(Students!$H:$H,$Y13,Students!$I:$I,$Y$2&amp;if($K13="S1","a",if($K13="S2","b","")),Students!$A:$A,AS$2)+countifs(Students!$J:$J,$Y13,Students!$K:$K,$Y$2&amp;if($K13="S1","a",if($K13="S2","b","")),Students!$A:$A,AS$2)+countifs(Students!$L:$L,$Y13,Students!$M:$M,$Y$2&amp;if($K13="S1","a",if($K13="S2","b","")),Students!$A:$A,AS$2)+countifs(Students!$N:$N,$Y13,Students!$O:$O,$Y$2&amp;if($K13="S1","a",if($K13="S2","b","")),Students!$A:$A,AS$2)+countifs(Students!$P:$P,$Y13,Students!$Q:$Q,$Y$2&amp;if($K13="S1","a",if($K13="S2","b","")),Students!$A:$A,AS$2)+countifs(Students!$R:$R,$Y13,Students!$S:$S,$Y$2&amp;if($K13="S1","a",if($K13="S2","b","")),Students!$A:$A,AS$2)+countifs(Students!$T:$T,$Y13,Students!$U:$U,$Y$2&amp;if($K13="S1","a",if($K13="S2","b","")),Students!$A:$A,AS$2)+countifs(Students!$V:$V,$Y13,Students!$W:$W,$Y$2&amp;if($K13="S1","a",if($K13="S2","b","")),Students!$A:$A,AS$2)+
countifs(Students!$D:$D,$AB13,Students!$E:$E,$AB$2&amp;if($K13="S1","a",if($K13="S2","b","")),Students!$A:$A,AS$2)+countifs(Students!$F:$F,$AB13,Students!$G:$G,$AB$2&amp;if($K13="S1","a",if($K13="S2","b","")),Students!$A:$A,AS$2)+countifs(Students!$H:$H,$AB13,Students!$I:$I,$AB$2&amp;if($K13="S1","a",if($K13="S2","b","")),Students!$A:$A,AS$2)+countifs(Students!$J:$J,$AB13,Students!$K:$K,$AB$2&amp;if($K13="S1","a",if($K13="S2","b","")),Students!$A:$A,AS$2)+countifs(Students!$L:$L,$AB13,Students!$M:$M,$AB$2&amp;if($K13="S1","a",if($K13="S2","b","")),Students!$A:$A,AS$2)+countifs(Students!$N:$N,$AB13,Students!$O:$O,$AB$2&amp;if($K13="S1","a",if($K13="S2","b","")),Students!$A:$A,AS$2)+countifs(Students!$P:$P,$AB13,Students!$Q:$Q,$AB$2&amp;if($K13="S1","a",if($K13="S2","b","")),Students!$A:$A,AS$2)+countifs(Students!$R:$R,$AB13,Students!$S:$S,$AB$2&amp;if($K13="S1","a",if($K13="S2","b","")),Students!$A:$A,AS$2)+countifs(Students!$T:$T,$AB13,Students!$U:$U,$AB$2&amp;if($K13="S1","a",if($K13="S2","b","")),Students!$A:$A,AS$2)+countifs(Students!$V:$V,$AB13,Students!$W:$W,$AB$2&amp;if($K13="S1","a",if($K13="S2","b","")),Students!$A:$A,AS$2)+
countifs(Students!$D:$D,$AE13,Students!$E:$E,$AE$2&amp;if($K13="S1","a",if($K13="S2","b","")),Students!$A:$A,AS$2)+countifs(Students!$F:$F,$AE13,Students!$G:$G,$AE$2&amp;if($K13="S1","a",if($K13="S2","b","")),Students!$A:$A,AS$2)+countifs(Students!$H:$H,$AE13,Students!$I:$I,$AE$2&amp;if($K13="S1","a",if($K13="S2","b","")),Students!$A:$A,AS$2)+countifs(Students!$J:$J,$AE13,Students!$K:$K,$AE$2&amp;if($K13="S1","a",if($K13="S2","b","")),Students!$A:$A,AS$2)+countifs(Students!$L:$L,$AE13,Students!$M:$M,$AE$2&amp;if($K13="S1","a",if($K13="S2","b","")),Students!$A:$A,AS$2)+countifs(Students!$N:$N,$AE13,Students!$O:$O,$AE$2&amp;if($K13="S1","a",if($K13="S2","b","")),Students!$A:$A,AS$2)+countifs(Students!$P:$P,$AE13,Students!$Q:$Q,$AE$2&amp;if($K13="S1","a",if($K13="S2","b","")),Students!$A:$A,AS$2)+countifs(Students!$R:$R,$AE13,Students!$S:$S,$AE$2&amp;if($K13="S1","a",if($K13="S2","b","")),Students!$A:$A,AS$2)+countifs(Students!$T:$T,$AE13,Students!$U:$U,$AE$2&amp;if($K13="S1","a",if($K13="S2","b","")),Students!$A:$A,AS$2)+countifs(Students!$V:$V,$AE13,Students!$W:$W,$AE$2&amp;if($K13="S1","a",if($K13="S2","b","")),Students!$A:$A,AS$2)+
countifs(Students!$D:$D,$AH13,Students!$E:$E,$AH$2&amp;if($K13="S1","a",if($K13="S2","b","")),Students!$A:$A,AS$2)+countifs(Students!$F:$F,$AH13,Students!$G:$G,$AH$2&amp;if($K13="S1","a",if($K13="S2","b","")),Students!$A:$A,AS$2)+countifs(Students!$H:$H,$AH13,Students!$I:$I,$AH$2&amp;if($K13="S1","a",if($K13="S2","b","")),Students!$A:$A,AS$2)+countifs(Students!$J:$J,$AH13,Students!$K:$K,$AH$2&amp;if($K13="S1","a",if($K13="S2","b","")),Students!$A:$A,AS$2)+countifs(Students!$L:$L,$AH13,Students!$M:$M,$AH$2&amp;if($K13="S1","a",if($K13="S2","b","")),Students!$A:$A,AS$2)+countifs(Students!$N:$N,$AH13,Students!$O:$O,$AH$2&amp;if($K13="S1","a",if($K13="S2","b","")),Students!$A:$A,AS$2)+countifs(Students!$P:$P,$AH13,Students!$Q:$Q,$AH$2&amp;if($K13="S1","a",if($K13="S2","b","")),Students!$A:$A,AS$2)+countifs(Students!$R:$R,$AH13,Students!$S:$S,$AH$2&amp;if($K13="S1","a",if($K13="S2","b","")),Students!$A:$A,AS$2)+countifs(Students!$T:$T,$AH13,Students!$U:$U,$AH$2&amp;if($K13="S1","a",if($K13="S2","b","")),Students!$A:$A,AS$2)+countifs(Students!$V:$V,$AH13,Students!$W:$W,$AH$2&amp;if($K13="S1","a",if($K13="S2","b","")),Students!$A:$A,AS$2)+
countifs(Students!$D:$D,$AK13,Students!$E:$E,$AK$2&amp;if($K13="S1","a",if($K13="S2","b","")),Students!$A:$A,AS$2)+countifs(Students!$F:$F,$AK13,Students!$G:$G,$AK$2&amp;if($K13="S1","a",if($K13="S2","b","")),Students!$A:$A,AS$2)+countifs(Students!$H:$H,$AK13,Students!$I:$I,$AK$2&amp;if($K13="S1","a",if($K13="S2","b","")),Students!$A:$A,AS$2)+countifs(Students!$J:$J,$AK13,Students!$K:$K,$AK$2&amp;if($K13="S1","a",if($K13="S2","b","")),Students!$A:$A,AS$2)+countifs(Students!$L:$L,$AK13,Students!$M:$M,$AK$2&amp;if($K13="S1","a",if($K13="S2","b","")),Students!$A:$A,AS$2)+countifs(Students!$N:$N,$AK13,Students!$O:$O,$AK$2&amp;if($K13="S1","a",if($K13="S2","b","")),Students!$A:$A,AS$2)+countifs(Students!$P:$P,$AK13,Students!$Q:$Q,$AK$2&amp;if($K13="S1","a",if($K13="S2","b","")),Students!$A:$A,AS$2)+countifs(Students!$R:$R,$AK13,Students!$S:$S,$AK$2&amp;if($K13="S1","a",if($K13="S2","b","")),Students!$A:$A,AS$2)+countifs(Students!$T:$T,$AK13,Students!$U:$U,$AK$2&amp;if($K13="S1","a",if($K13="S2","b","")),Students!$A:$A,AS$2)+countifs(Students!$V:$V,$AK13,Students!$W:$W,$AK$2&amp;if($K13="S1","a",if($K13="S2","b","")),Students!$A:$A,AS$2))</f>
        <v>0</v>
      </c>
    </row>
    <row r="14">
      <c r="A14" s="21">
        <v>12.0</v>
      </c>
      <c r="B14" s="4">
        <f>countifs(Students!$A:$A,$A14)-countifs(Students!$A:$A,$A14,Students!X:X,"&gt;0")</f>
        <v>0</v>
      </c>
      <c r="C14" s="4">
        <f>countifs(Students!$A:$A,$A14)-countifs(Students!$A:$A,$A14,Students!Y:Y,"&gt;0")</f>
        <v>0</v>
      </c>
      <c r="D14" s="4">
        <f>countifs(Students!$A:$A,$A14)-countifs(Students!$A:$A,$A14,Students!Z:Z,"&gt;0")</f>
        <v>0</v>
      </c>
      <c r="E14" s="4">
        <f>countifs(Students!$A:$A,$A14)-countifs(Students!$A:$A,$A14,Students!AA:AA,"&gt;0")</f>
        <v>0</v>
      </c>
      <c r="F14" s="4">
        <f>countifs(Students!$A3:$A88,$A14)-countifs(Students!$A3:$A88,$A14,Students!AB3:AB88,"&gt;0")</f>
        <v>0</v>
      </c>
      <c r="G14" s="4">
        <f>countifs(Students!$A:$A,$A14)-countifs(Students!$A:$A,$A14,Students!AC:AC,"&gt;0")</f>
        <v>0</v>
      </c>
      <c r="H14" s="4">
        <f>countifs(Students!$A:$A,$A14)-countifs(Students!$A:$A,$A14,Students!AD:AD,"&gt;0")</f>
        <v>0</v>
      </c>
      <c r="I14" s="4">
        <f>countifs(Students!$A:$A,$A14)-countifs(Students!$A:$A,$A14,Students!AE:AE,"&gt;0")</f>
        <v>0</v>
      </c>
      <c r="J14" s="87">
        <v>111.0</v>
      </c>
      <c r="K14" s="88"/>
      <c r="L14" s="58" t="s">
        <v>52</v>
      </c>
      <c r="M14" s="106"/>
      <c r="N14" s="92">
        <v>2.0</v>
      </c>
      <c r="O14" s="92">
        <f>IFERROR(__xludf.DUMMYFUNCTION("3*counta((transpose(filter(P14:AM14,P14:AM14&lt;&gt;"""",isnumber(P14:AM14)=false))))"),15.0)</f>
        <v>15</v>
      </c>
      <c r="P14" s="90"/>
      <c r="Q14" s="91"/>
      <c r="R14" s="92" t="s">
        <v>22</v>
      </c>
      <c r="S14" s="91" t="s">
        <v>53</v>
      </c>
      <c r="T14" s="76">
        <v>1.0</v>
      </c>
      <c r="U14" s="77">
        <v>21.0</v>
      </c>
      <c r="V14" s="101" t="s">
        <v>53</v>
      </c>
      <c r="W14" s="101">
        <v>2.0</v>
      </c>
      <c r="X14" s="98">
        <v>24.0</v>
      </c>
      <c r="Y14" s="103" t="s">
        <v>53</v>
      </c>
      <c r="Z14" s="101">
        <v>3.0</v>
      </c>
      <c r="AA14" s="98">
        <v>22.0</v>
      </c>
      <c r="AB14" s="101" t="s">
        <v>53</v>
      </c>
      <c r="AC14" s="101">
        <v>4.0</v>
      </c>
      <c r="AD14" s="98">
        <v>23.0</v>
      </c>
      <c r="AE14" s="94"/>
      <c r="AF14" s="94"/>
      <c r="AG14" s="95" t="s">
        <v>22</v>
      </c>
      <c r="AH14" s="91"/>
      <c r="AI14" s="96"/>
      <c r="AJ14" s="92" t="s">
        <v>22</v>
      </c>
      <c r="AK14" s="91" t="s">
        <v>54</v>
      </c>
      <c r="AL14" s="97">
        <v>1.0</v>
      </c>
      <c r="AM14" s="98">
        <v>21.0</v>
      </c>
      <c r="AN14" s="99"/>
      <c r="AO14" s="52">
        <f>if(L13="","",R14+U14+X14+AA14+AD14+AG14+AJ14+AM14)</f>
        <v>111</v>
      </c>
      <c r="AP14" s="102">
        <f>if($L13="","",countifs(Students!$D:$D,$P14,Students!$E:$E,$P$2&amp;if($K14="S1","a",if($K14="S2","b","")),Students!$A:$A,AP$2)+countifs(Students!$F:$F,$P14,Students!$G:$G,$P$2&amp;if($K14="S1","a",if($K14="S2","b","")),Students!$A:$A,AP$2)+countifs(Students!$H:$H,$P14,Students!$I:$I,$P$2&amp;if($K14="S1","a",if($K14="S2","b","")),Students!$A:$A,AP$2)+countifs(Students!$J:$J,$P14,Students!$K:$K,$P$2&amp;if($K14="S1","a",if($K14="S2","b","")),Students!$A:$A,AP$2)+countifs(Students!$L:$L,$P14,Students!$M:$M,$P$2&amp;if($K14="S1","a",if($K14="S2","b","")),Students!$A:$A,AP$2)+countifs(Students!$N:$N,$P14,Students!$O:$O,$P$2&amp;if($K14="S1","a",if($K14="S2","b","")),Students!$A:$A,AP$2)+countifs(Students!$P:$P,$P14,Students!$Q:$Q,$P$2&amp;if($K14="S1","a",if($K14="S2","b","")),Students!$A:$A,AP$2)+countifs(Students!$R:$R,$P14,Students!$S:$S,$P$2&amp;if($K14="S1","a",if($K14="S2","b","")),Students!$A:$A,AP$2)+countifs(Students!$T:$T,$P14,Students!$U:$U,$P$2&amp;if($K14="S1","a",if($K14="S2","b","")),Students!$A:$A,AP$2)+countifs(Students!$V:$V,$P14,Students!$W:$W,$P$2&amp;if($K14="S1","a",if($K14="S2","b","")),Students!$A:$A,AP$2)+
countifs(Students!$D:$D,$S14,Students!$E:$E,$S$2&amp;if($K14="S1","a",if($K14="S2","b","")),Students!$A:$A,AP$2)+countifs(Students!$F:$F,$S14,Students!$G:$G,$S$2&amp;if($K14="S1","a",if($K14="S2","b","")),Students!$A:$A,AP$2)+countifs(Students!$H:$H,$S14,Students!$I:$I,$S$2&amp;if($K14="S1","a",if($K14="S2","b","")),Students!$A:$A,AP$2)+countifs(Students!$J:$J,$S14,Students!$K:$K,$S$2&amp;if($K14="S1","a",if($K14="S2","b","")),Students!$A:$A,AP$2)+countifs(Students!$L:$L,$S14,Students!$M:$M,$S$2&amp;if($K14="S1","a",if($K14="S2","b","")),Students!$A:$A,AP$2)+countifs(Students!$N:$N,$S14,Students!$O:$O,$S$2&amp;if($K14="S1","a",if($K14="S2","b","")),Students!$A:$A,AP$2)+countifs(Students!$P:$P,$S14,Students!$Q:$Q,$S$2&amp;if($K14="S1","a",if($K14="S2","b","")),Students!$A:$A,AP$2)+countifs(Students!$R:$R,$S14,Students!$S:$S,$S$2&amp;if($K14="S1","a",if($K14="S2","b","")),Students!$A:$A,AP$2)+countifs(Students!$T:$T,$S14,Students!$U:$U,$S$2&amp;if($K14="S1","a",if($K14="S2","b","")),Students!$A:$A,AP$2)+countifs(Students!$V:$V,$S14,Students!$W:$W,$S$2&amp;if($K14="S1","a",if($K14="S2","b","")),Students!$A:$A,AP$2)+
countifs(Students!$D:$D,$V14,Students!$E:$E,$V$2&amp;if($K14="S1","a",if($K14="S2","b","")),Students!$A:$A,AP$2)+countifs(Students!$F:$F,$V14,Students!$G:$G,$V$2&amp;if($K14="S1","a",if($K14="S2","b","")),Students!$A:$A,AP$2)+countifs(Students!$H:$H,$V14,Students!$I:$I,$V$2&amp;if($K14="S1","a",if($K14="S2","b","")),Students!$A:$A,AP$2)+countifs(Students!$J:$J,$V14,Students!$K:$K,$V$2&amp;if($K14="S1","a",if($K14="S2","b","")),Students!$A:$A,AP$2)+countifs(Students!$L:$L,$V14,Students!$M:$M,$V$2&amp;if($K14="S1","a",if($K14="S2","b","")),Students!$A:$A,AP$2)+countifs(Students!$N:$N,$V14,Students!$O:$O,$V$2&amp;if($K14="S1","a",if($K14="S2","b","")),Students!$A:$A,AP$2)+countifs(Students!$P:$P,$V14,Students!$Q:$Q,$V$2&amp;if($K14="S1","a",if($K14="S2","b","")),Students!$A:$A,AP$2)+countifs(Students!$R:$R,$V14,Students!$S:$S,$V$2&amp;if($K14="S1","a",if($K14="S2","b","")),Students!$A:$A,AP$2)+countifs(Students!$T:$T,$V14,Students!$U:$U,$V$2&amp;if($K14="S1","a",if($K14="S2","b","")),Students!$A:$A,AP$2)+countifs(Students!$V:$V,$V14,Students!$W:$W,$V$2&amp;if($K14="S1","a",if($K14="S2","b","")),Students!$A:$A,AP$2)+
countifs(Students!$D:$D,$Y14,Students!$E:$E,$Y$2&amp;if($K14="S1","a",if($K14="S2","b","")),Students!$A:$A,AP$2)+countifs(Students!$F:$F,$Y14,Students!$G:$G,$Y$2&amp;if($K14="S1","a",if($K14="S2","b","")),Students!$A:$A,AP$2)+countifs(Students!$H:$H,$Y14,Students!$I:$I,$Y$2&amp;if($K14="S1","a",if($K14="S2","b","")),Students!$A:$A,AP$2)+countifs(Students!$J:$J,$Y14,Students!$K:$K,$Y$2&amp;if($K14="S1","a",if($K14="S2","b","")),Students!$A:$A,AP$2)+countifs(Students!$L:$L,$Y14,Students!$M:$M,$Y$2&amp;if($K14="S1","a",if($K14="S2","b","")),Students!$A:$A,AP$2)+countifs(Students!$N:$N,$Y14,Students!$O:$O,$Y$2&amp;if($K14="S1","a",if($K14="S2","b","")),Students!$A:$A,AP$2)+countifs(Students!$P:$P,$Y14,Students!$Q:$Q,$Y$2&amp;if($K14="S1","a",if($K14="S2","b","")),Students!$A:$A,AP$2)+countifs(Students!$R:$R,$Y14,Students!$S:$S,$Y$2&amp;if($K14="S1","a",if($K14="S2","b","")),Students!$A:$A,AP$2)+countifs(Students!$T:$T,$Y14,Students!$U:$U,$Y$2&amp;if($K14="S1","a",if($K14="S2","b","")),Students!$A:$A,AP$2)+countifs(Students!$V:$V,$Y14,Students!$W:$W,$Y$2&amp;if($K14="S1","a",if($K14="S2","b","")),Students!$A:$A,AP$2)+
countifs(Students!$D:$D,$AB14,Students!$E:$E,$AB$2&amp;if($K14="S1","a",if($K14="S2","b","")),Students!$A:$A,AP$2)+countifs(Students!$F:$F,$AB14,Students!$G:$G,$AB$2&amp;if($K14="S1","a",if($K14="S2","b","")),Students!$A:$A,AP$2)+countifs(Students!$H:$H,$AB14,Students!$I:$I,$AB$2&amp;if($K14="S1","a",if($K14="S2","b","")),Students!$A:$A,AP$2)+countifs(Students!$J:$J,$AB14,Students!$K:$K,$AB$2&amp;if($K14="S1","a",if($K14="S2","b","")),Students!$A:$A,AP$2)+countifs(Students!$L:$L,$AB14,Students!$M:$M,$AB$2&amp;if($K14="S1","a",if($K14="S2","b","")),Students!$A:$A,AP$2)+countifs(Students!$N:$N,$AB14,Students!$O:$O,$AB$2&amp;if($K14="S1","a",if($K14="S2","b","")),Students!$A:$A,AP$2)+countifs(Students!$P:$P,$AB14,Students!$Q:$Q,$AB$2&amp;if($K14="S1","a",if($K14="S2","b","")),Students!$A:$A,AP$2)+countifs(Students!$R:$R,$AB14,Students!$S:$S,$AB$2&amp;if($K14="S1","a",if($K14="S2","b","")),Students!$A:$A,AP$2)+countifs(Students!$T:$T,$AB14,Students!$U:$U,$AB$2&amp;if($K14="S1","a",if($K14="S2","b","")),Students!$A:$A,AP$2)+countifs(Students!$V:$V,$AB14,Students!$W:$W,$AB$2&amp;if($K14="S1","a",if($K14="S2","b","")),Students!$A:$A,AP$2)+
countifs(Students!$D:$D,$AE14,Students!$E:$E,$AE$2&amp;if($K14="S1","a",if($K14="S2","b","")),Students!$A:$A,AP$2)+countifs(Students!$F:$F,$AE14,Students!$G:$G,$AE$2&amp;if($K14="S1","a",if($K14="S2","b","")),Students!$A:$A,AP$2)+countifs(Students!$H:$H,$AE14,Students!$I:$I,$AE$2&amp;if($K14="S1","a",if($K14="S2","b","")),Students!$A:$A,AP$2)+countifs(Students!$J:$J,$AE14,Students!$K:$K,$AE$2&amp;if($K14="S1","a",if($K14="S2","b","")),Students!$A:$A,AP$2)+countifs(Students!$L:$L,$AE14,Students!$M:$M,$AE$2&amp;if($K14="S1","a",if($K14="S2","b","")),Students!$A:$A,AP$2)+countifs(Students!$N:$N,$AE14,Students!$O:$O,$AE$2&amp;if($K14="S1","a",if($K14="S2","b","")),Students!$A:$A,AP$2)+countifs(Students!$P:$P,$AE14,Students!$Q:$Q,$AE$2&amp;if($K14="S1","a",if($K14="S2","b","")),Students!$A:$A,AP$2)+countifs(Students!$R:$R,$AE14,Students!$S:$S,$AE$2&amp;if($K14="S1","a",if($K14="S2","b","")),Students!$A:$A,AP$2)+countifs(Students!$T:$T,$AE14,Students!$U:$U,$AE$2&amp;if($K14="S1","a",if($K14="S2","b","")),Students!$A:$A,AP$2)+countifs(Students!$V:$V,$AE14,Students!$W:$W,$AE$2&amp;if($K14="S1","a",if($K14="S2","b","")),Students!$A:$A,AP$2)+
countifs(Students!$D:$D,$AH14,Students!$E:$E,$AH$2&amp;if($K14="S1","a",if($K14="S2","b","")),Students!$A:$A,AP$2)+countifs(Students!$F:$F,$AH14,Students!$G:$G,$AH$2&amp;if($K14="S1","a",if($K14="S2","b","")),Students!$A:$A,AP$2)+countifs(Students!$H:$H,$AH14,Students!$I:$I,$AH$2&amp;if($K14="S1","a",if($K14="S2","b","")),Students!$A:$A,AP$2)+countifs(Students!$J:$J,$AH14,Students!$K:$K,$AH$2&amp;if($K14="S1","a",if($K14="S2","b","")),Students!$A:$A,AP$2)+countifs(Students!$L:$L,$AH14,Students!$M:$M,$AH$2&amp;if($K14="S1","a",if($K14="S2","b","")),Students!$A:$A,AP$2)+countifs(Students!$N:$N,$AH14,Students!$O:$O,$AH$2&amp;if($K14="S1","a",if($K14="S2","b","")),Students!$A:$A,AP$2)+countifs(Students!$P:$P,$AH14,Students!$Q:$Q,$AH$2&amp;if($K14="S1","a",if($K14="S2","b","")),Students!$A:$A,AP$2)+countifs(Students!$R:$R,$AH14,Students!$S:$S,$AH$2&amp;if($K14="S1","a",if($K14="S2","b","")),Students!$A:$A,AP$2)+countifs(Students!$T:$T,$AH14,Students!$U:$U,$AH$2&amp;if($K14="S1","a",if($K14="S2","b","")),Students!$A:$A,AP$2)+countifs(Students!$V:$V,$AH14,Students!$W:$W,$AH$2&amp;if($K14="S1","a",if($K14="S2","b","")),Students!$A:$A,AP$2)+
countifs(Students!$D:$D,$AK14,Students!$E:$E,$AK$2&amp;if($K14="S1","a",if($K14="S2","b","")),Students!$A:$A,AP$2)+countifs(Students!$F:$F,$AK14,Students!$G:$G,$AK$2&amp;if($K14="S1","a",if($K14="S2","b","")),Students!$A:$A,AP$2)+countifs(Students!$H:$H,$AK14,Students!$I:$I,$AK$2&amp;if($K14="S1","a",if($K14="S2","b","")),Students!$A:$A,AP$2)+countifs(Students!$J:$J,$AK14,Students!$K:$K,$AK$2&amp;if($K14="S1","a",if($K14="S2","b","")),Students!$A:$A,AP$2)+countifs(Students!$L:$L,$AK14,Students!$M:$M,$AK$2&amp;if($K14="S1","a",if($K14="S2","b","")),Students!$A:$A,AP$2)+countifs(Students!$N:$N,$AK14,Students!$O:$O,$AK$2&amp;if($K14="S1","a",if($K14="S2","b","")),Students!$A:$A,AP$2)+countifs(Students!$P:$P,$AK14,Students!$Q:$Q,$AK$2&amp;if($K14="S1","a",if($K14="S2","b","")),Students!$A:$A,AP$2)+countifs(Students!$R:$R,$AK14,Students!$S:$S,$AK$2&amp;if($K14="S1","a",if($K14="S2","b","")),Students!$A:$A,AP$2)+countifs(Students!$T:$T,$AK14,Students!$U:$U,$AK$2&amp;if($K14="S1","a",if($K14="S2","b","")),Students!$A:$A,AP$2)+countifs(Students!$V:$V,$AK14,Students!$W:$W,$AK$2&amp;if($K14="S1","a",if($K14="S2","b","")),Students!$A:$A,AP$2))</f>
        <v>0</v>
      </c>
      <c r="AQ14" s="102">
        <f>if($L13="","",countifs(Students!$D:$D,$P14,Students!$E:$E,$P$2&amp;if($K14="S1","a",if($K14="S2","b","")),Students!$A:$A,AQ$2)+countifs(Students!$F:$F,$P14,Students!$G:$G,$P$2&amp;if($K14="S1","a",if($K14="S2","b","")),Students!$A:$A,AQ$2)+countifs(Students!$H:$H,$P14,Students!$I:$I,$P$2&amp;if($K14="S1","a",if($K14="S2","b","")),Students!$A:$A,AQ$2)+countifs(Students!$J:$J,$P14,Students!$K:$K,$P$2&amp;if($K14="S1","a",if($K14="S2","b","")),Students!$A:$A,AQ$2)+countifs(Students!$L:$L,$P14,Students!$M:$M,$P$2&amp;if($K14="S1","a",if($K14="S2","b","")),Students!$A:$A,AQ$2)+countifs(Students!$N:$N,$P14,Students!$O:$O,$P$2&amp;if($K14="S1","a",if($K14="S2","b","")),Students!$A:$A,AQ$2)+countifs(Students!$P:$P,$P14,Students!$Q:$Q,$P$2&amp;if($K14="S1","a",if($K14="S2","b","")),Students!$A:$A,AQ$2)+countifs(Students!$R:$R,$P14,Students!$S:$S,$P$2&amp;if($K14="S1","a",if($K14="S2","b","")),Students!$A:$A,AQ$2)+countifs(Students!$T:$T,$P14,Students!$U:$U,$P$2&amp;if($K14="S1","a",if($K14="S2","b","")),Students!$A:$A,AQ$2)+countifs(Students!$V:$V,$P14,Students!$W:$W,$P$2&amp;if($K14="S1","a",if($K14="S2","b","")),Students!$A:$A,AQ$2)+
countifs(Students!$D:$D,$S14,Students!$E:$E,$S$2&amp;if($K14="S1","a",if($K14="S2","b","")),Students!$A:$A,AQ$2)+countifs(Students!$F:$F,$S14,Students!$G:$G,$S$2&amp;if($K14="S1","a",if($K14="S2","b","")),Students!$A:$A,AQ$2)+countifs(Students!$H:$H,$S14,Students!$I:$I,$S$2&amp;if($K14="S1","a",if($K14="S2","b","")),Students!$A:$A,AQ$2)+countifs(Students!$J:$J,$S14,Students!$K:$K,$S$2&amp;if($K14="S1","a",if($K14="S2","b","")),Students!$A:$A,AQ$2)+countifs(Students!$L:$L,$S14,Students!$M:$M,$S$2&amp;if($K14="S1","a",if($K14="S2","b","")),Students!$A:$A,AQ$2)+countifs(Students!$N:$N,$S14,Students!$O:$O,$S$2&amp;if($K14="S1","a",if($K14="S2","b","")),Students!$A:$A,AQ$2)+countifs(Students!$P:$P,$S14,Students!$Q:$Q,$S$2&amp;if($K14="S1","a",if($K14="S2","b","")),Students!$A:$A,AQ$2)+countifs(Students!$R:$R,$S14,Students!$S:$S,$S$2&amp;if($K14="S1","a",if($K14="S2","b","")),Students!$A:$A,AQ$2)+countifs(Students!$T:$T,$S14,Students!$U:$U,$S$2&amp;if($K14="S1","a",if($K14="S2","b","")),Students!$A:$A,AQ$2)+countifs(Students!$V:$V,$S14,Students!$W:$W,$S$2&amp;if($K14="S1","a",if($K14="S2","b","")),Students!$A:$A,AQ$2)+
countifs(Students!$D:$D,$V14,Students!$E:$E,$V$2&amp;if($K14="S1","a",if($K14="S2","b","")),Students!$A:$A,AQ$2)+countifs(Students!$F:$F,$V14,Students!$G:$G,$V$2&amp;if($K14="S1","a",if($K14="S2","b","")),Students!$A:$A,AQ$2)+countifs(Students!$H:$H,$V14,Students!$I:$I,$V$2&amp;if($K14="S1","a",if($K14="S2","b","")),Students!$A:$A,AQ$2)+countifs(Students!$J:$J,$V14,Students!$K:$K,$V$2&amp;if($K14="S1","a",if($K14="S2","b","")),Students!$A:$A,AQ$2)+countifs(Students!$L:$L,$V14,Students!$M:$M,$V$2&amp;if($K14="S1","a",if($K14="S2","b","")),Students!$A:$A,AQ$2)+countifs(Students!$N:$N,$V14,Students!$O:$O,$V$2&amp;if($K14="S1","a",if($K14="S2","b","")),Students!$A:$A,AQ$2)+countifs(Students!$P:$P,$V14,Students!$Q:$Q,$V$2&amp;if($K14="S1","a",if($K14="S2","b","")),Students!$A:$A,AQ$2)+countifs(Students!$R:$R,$V14,Students!$S:$S,$V$2&amp;if($K14="S1","a",if($K14="S2","b","")),Students!$A:$A,AQ$2)+countifs(Students!$T:$T,$V14,Students!$U:$U,$V$2&amp;if($K14="S1","a",if($K14="S2","b","")),Students!$A:$A,AQ$2)+countifs(Students!$V:$V,$V14,Students!$W:$W,$V$2&amp;if($K14="S1","a",if($K14="S2","b","")),Students!$A:$A,AQ$2)+
countifs(Students!$D:$D,$Y14,Students!$E:$E,$Y$2&amp;if($K14="S1","a",if($K14="S2","b","")),Students!$A:$A,AQ$2)+countifs(Students!$F:$F,$Y14,Students!$G:$G,$Y$2&amp;if($K14="S1","a",if($K14="S2","b","")),Students!$A:$A,AQ$2)+countifs(Students!$H:$H,$Y14,Students!$I:$I,$Y$2&amp;if($K14="S1","a",if($K14="S2","b","")),Students!$A:$A,AQ$2)+countifs(Students!$J:$J,$Y14,Students!$K:$K,$Y$2&amp;if($K14="S1","a",if($K14="S2","b","")),Students!$A:$A,AQ$2)+countifs(Students!$L:$L,$Y14,Students!$M:$M,$Y$2&amp;if($K14="S1","a",if($K14="S2","b","")),Students!$A:$A,AQ$2)+countifs(Students!$N:$N,$Y14,Students!$O:$O,$Y$2&amp;if($K14="S1","a",if($K14="S2","b","")),Students!$A:$A,AQ$2)+countifs(Students!$P:$P,$Y14,Students!$Q:$Q,$Y$2&amp;if($K14="S1","a",if($K14="S2","b","")),Students!$A:$A,AQ$2)+countifs(Students!$R:$R,$Y14,Students!$S:$S,$Y$2&amp;if($K14="S1","a",if($K14="S2","b","")),Students!$A:$A,AQ$2)+countifs(Students!$T:$T,$Y14,Students!$U:$U,$Y$2&amp;if($K14="S1","a",if($K14="S2","b","")),Students!$A:$A,AQ$2)+countifs(Students!$V:$V,$Y14,Students!$W:$W,$Y$2&amp;if($K14="S1","a",if($K14="S2","b","")),Students!$A:$A,AQ$2)+
countifs(Students!$D:$D,$AB14,Students!$E:$E,$AB$2&amp;if($K14="S1","a",if($K14="S2","b","")),Students!$A:$A,AQ$2)+countifs(Students!$F:$F,$AB14,Students!$G:$G,$AB$2&amp;if($K14="S1","a",if($K14="S2","b","")),Students!$A:$A,AQ$2)+countifs(Students!$H:$H,$AB14,Students!$I:$I,$AB$2&amp;if($K14="S1","a",if($K14="S2","b","")),Students!$A:$A,AQ$2)+countifs(Students!$J:$J,$AB14,Students!$K:$K,$AB$2&amp;if($K14="S1","a",if($K14="S2","b","")),Students!$A:$A,AQ$2)+countifs(Students!$L:$L,$AB14,Students!$M:$M,$AB$2&amp;if($K14="S1","a",if($K14="S2","b","")),Students!$A:$A,AQ$2)+countifs(Students!$N:$N,$AB14,Students!$O:$O,$AB$2&amp;if($K14="S1","a",if($K14="S2","b","")),Students!$A:$A,AQ$2)+countifs(Students!$P:$P,$AB14,Students!$Q:$Q,$AB$2&amp;if($K14="S1","a",if($K14="S2","b","")),Students!$A:$A,AQ$2)+countifs(Students!$R:$R,$AB14,Students!$S:$S,$AB$2&amp;if($K14="S1","a",if($K14="S2","b","")),Students!$A:$A,AQ$2)+countifs(Students!$T:$T,$AB14,Students!$U:$U,$AB$2&amp;if($K14="S1","a",if($K14="S2","b","")),Students!$A:$A,AQ$2)+countifs(Students!$V:$V,$AB14,Students!$W:$W,$AB$2&amp;if($K14="S1","a",if($K14="S2","b","")),Students!$A:$A,AQ$2)+
countifs(Students!$D:$D,$AE14,Students!$E:$E,$AE$2&amp;if($K14="S1","a",if($K14="S2","b","")),Students!$A:$A,AQ$2)+countifs(Students!$F:$F,$AE14,Students!$G:$G,$AE$2&amp;if($K14="S1","a",if($K14="S2","b","")),Students!$A:$A,AQ$2)+countifs(Students!$H:$H,$AE14,Students!$I:$I,$AE$2&amp;if($K14="S1","a",if($K14="S2","b","")),Students!$A:$A,AQ$2)+countifs(Students!$J:$J,$AE14,Students!$K:$K,$AE$2&amp;if($K14="S1","a",if($K14="S2","b","")),Students!$A:$A,AQ$2)+countifs(Students!$L:$L,$AE14,Students!$M:$M,$AE$2&amp;if($K14="S1","a",if($K14="S2","b","")),Students!$A:$A,AQ$2)+countifs(Students!$N:$N,$AE14,Students!$O:$O,$AE$2&amp;if($K14="S1","a",if($K14="S2","b","")),Students!$A:$A,AQ$2)+countifs(Students!$P:$P,$AE14,Students!$Q:$Q,$AE$2&amp;if($K14="S1","a",if($K14="S2","b","")),Students!$A:$A,AQ$2)+countifs(Students!$R:$R,$AE14,Students!$S:$S,$AE$2&amp;if($K14="S1","a",if($K14="S2","b","")),Students!$A:$A,AQ$2)+countifs(Students!$T:$T,$AE14,Students!$U:$U,$AE$2&amp;if($K14="S1","a",if($K14="S2","b","")),Students!$A:$A,AQ$2)+countifs(Students!$V:$V,$AE14,Students!$W:$W,$AE$2&amp;if($K14="S1","a",if($K14="S2","b","")),Students!$A:$A,AQ$2)+
countifs(Students!$D:$D,$AH14,Students!$E:$E,$AH$2&amp;if($K14="S1","a",if($K14="S2","b","")),Students!$A:$A,AQ$2)+countifs(Students!$F:$F,$AH14,Students!$G:$G,$AH$2&amp;if($K14="S1","a",if($K14="S2","b","")),Students!$A:$A,AQ$2)+countifs(Students!$H:$H,$AH14,Students!$I:$I,$AH$2&amp;if($K14="S1","a",if($K14="S2","b","")),Students!$A:$A,AQ$2)+countifs(Students!$J:$J,$AH14,Students!$K:$K,$AH$2&amp;if($K14="S1","a",if($K14="S2","b","")),Students!$A:$A,AQ$2)+countifs(Students!$L:$L,$AH14,Students!$M:$M,$AH$2&amp;if($K14="S1","a",if($K14="S2","b","")),Students!$A:$A,AQ$2)+countifs(Students!$N:$N,$AH14,Students!$O:$O,$AH$2&amp;if($K14="S1","a",if($K14="S2","b","")),Students!$A:$A,AQ$2)+countifs(Students!$P:$P,$AH14,Students!$Q:$Q,$AH$2&amp;if($K14="S1","a",if($K14="S2","b","")),Students!$A:$A,AQ$2)+countifs(Students!$R:$R,$AH14,Students!$S:$S,$AH$2&amp;if($K14="S1","a",if($K14="S2","b","")),Students!$A:$A,AQ$2)+countifs(Students!$T:$T,$AH14,Students!$U:$U,$AH$2&amp;if($K14="S1","a",if($K14="S2","b","")),Students!$A:$A,AQ$2)+countifs(Students!$V:$V,$AH14,Students!$W:$W,$AH$2&amp;if($K14="S1","a",if($K14="S2","b","")),Students!$A:$A,AQ$2)+
countifs(Students!$D:$D,$AK14,Students!$E:$E,$AK$2&amp;if($K14="S1","a",if($K14="S2","b","")),Students!$A:$A,AQ$2)+countifs(Students!$F:$F,$AK14,Students!$G:$G,$AK$2&amp;if($K14="S1","a",if($K14="S2","b","")),Students!$A:$A,AQ$2)+countifs(Students!$H:$H,$AK14,Students!$I:$I,$AK$2&amp;if($K14="S1","a",if($K14="S2","b","")),Students!$A:$A,AQ$2)+countifs(Students!$J:$J,$AK14,Students!$K:$K,$AK$2&amp;if($K14="S1","a",if($K14="S2","b","")),Students!$A:$A,AQ$2)+countifs(Students!$L:$L,$AK14,Students!$M:$M,$AK$2&amp;if($K14="S1","a",if($K14="S2","b","")),Students!$A:$A,AQ$2)+countifs(Students!$N:$N,$AK14,Students!$O:$O,$AK$2&amp;if($K14="S1","a",if($K14="S2","b","")),Students!$A:$A,AQ$2)+countifs(Students!$P:$P,$AK14,Students!$Q:$Q,$AK$2&amp;if($K14="S1","a",if($K14="S2","b","")),Students!$A:$A,AQ$2)+countifs(Students!$R:$R,$AK14,Students!$S:$S,$AK$2&amp;if($K14="S1","a",if($K14="S2","b","")),Students!$A:$A,AQ$2)+countifs(Students!$T:$T,$AK14,Students!$U:$U,$AK$2&amp;if($K14="S1","a",if($K14="S2","b","")),Students!$A:$A,AQ$2)+countifs(Students!$V:$V,$AK14,Students!$W:$W,$AK$2&amp;if($K14="S1","a",if($K14="S2","b","")),Students!$A:$A,AQ$2))</f>
        <v>0</v>
      </c>
      <c r="AR14" s="102">
        <f>if($L13="","",countifs(Students!$D:$D,$P14,Students!$E:$E,$P$2&amp;if($K14="S1","a",if($K14="S2","b","")),Students!$A:$A,AR$2)+countifs(Students!$F:$F,$P14,Students!$G:$G,$P$2&amp;if($K14="S1","a",if($K14="S2","b","")),Students!$A:$A,AR$2)+countifs(Students!$H:$H,$P14,Students!$I:$I,$P$2&amp;if($K14="S1","a",if($K14="S2","b","")),Students!$A:$A,AR$2)+countifs(Students!$J:$J,$P14,Students!$K:$K,$P$2&amp;if($K14="S1","a",if($K14="S2","b","")),Students!$A:$A,AR$2)+countifs(Students!$L:$L,$P14,Students!$M:$M,$P$2&amp;if($K14="S1","a",if($K14="S2","b","")),Students!$A:$A,AR$2)+countifs(Students!$N:$N,$P14,Students!$O:$O,$P$2&amp;if($K14="S1","a",if($K14="S2","b","")),Students!$A:$A,AR$2)+countifs(Students!$P:$P,$P14,Students!$Q:$Q,$P$2&amp;if($K14="S1","a",if($K14="S2","b","")),Students!$A:$A,AR$2)+countifs(Students!$R:$R,$P14,Students!$S:$S,$P$2&amp;if($K14="S1","a",if($K14="S2","b","")),Students!$A:$A,AR$2)+countifs(Students!$T:$T,$P14,Students!$U:$U,$P$2&amp;if($K14="S1","a",if($K14="S2","b","")),Students!$A:$A,AR$2)+countifs(Students!$V:$V,$P14,Students!$W:$W,$P$2&amp;if($K14="S1","a",if($K14="S2","b","")),Students!$A:$A,AR$2)+
countifs(Students!$D:$D,$S14,Students!$E:$E,$S$2&amp;if($K14="S1","a",if($K14="S2","b","")),Students!$A:$A,AR$2)+countifs(Students!$F:$F,$S14,Students!$G:$G,$S$2&amp;if($K14="S1","a",if($K14="S2","b","")),Students!$A:$A,AR$2)+countifs(Students!$H:$H,$S14,Students!$I:$I,$S$2&amp;if($K14="S1","a",if($K14="S2","b","")),Students!$A:$A,AR$2)+countifs(Students!$J:$J,$S14,Students!$K:$K,$S$2&amp;if($K14="S1","a",if($K14="S2","b","")),Students!$A:$A,AR$2)+countifs(Students!$L:$L,$S14,Students!$M:$M,$S$2&amp;if($K14="S1","a",if($K14="S2","b","")),Students!$A:$A,AR$2)+countifs(Students!$N:$N,$S14,Students!$O:$O,$S$2&amp;if($K14="S1","a",if($K14="S2","b","")),Students!$A:$A,AR$2)+countifs(Students!$P:$P,$S14,Students!$Q:$Q,$S$2&amp;if($K14="S1","a",if($K14="S2","b","")),Students!$A:$A,AR$2)+countifs(Students!$R:$R,$S14,Students!$S:$S,$S$2&amp;if($K14="S1","a",if($K14="S2","b","")),Students!$A:$A,AR$2)+countifs(Students!$T:$T,$S14,Students!$U:$U,$S$2&amp;if($K14="S1","a",if($K14="S2","b","")),Students!$A:$A,AR$2)+countifs(Students!$V:$V,$S14,Students!$W:$W,$S$2&amp;if($K14="S1","a",if($K14="S2","b","")),Students!$A:$A,AR$2)+
countifs(Students!$D:$D,$V14,Students!$E:$E,$V$2&amp;if($K14="S1","a",if($K14="S2","b","")),Students!$A:$A,AR$2)+countifs(Students!$F:$F,$V14,Students!$G:$G,$V$2&amp;if($K14="S1","a",if($K14="S2","b","")),Students!$A:$A,AR$2)+countifs(Students!$H:$H,$V14,Students!$I:$I,$V$2&amp;if($K14="S1","a",if($K14="S2","b","")),Students!$A:$A,AR$2)+countifs(Students!$J:$J,$V14,Students!$K:$K,$V$2&amp;if($K14="S1","a",if($K14="S2","b","")),Students!$A:$A,AR$2)+countifs(Students!$L:$L,$V14,Students!$M:$M,$V$2&amp;if($K14="S1","a",if($K14="S2","b","")),Students!$A:$A,AR$2)+countifs(Students!$N:$N,$V14,Students!$O:$O,$V$2&amp;if($K14="S1","a",if($K14="S2","b","")),Students!$A:$A,AR$2)+countifs(Students!$P:$P,$V14,Students!$Q:$Q,$V$2&amp;if($K14="S1","a",if($K14="S2","b","")),Students!$A:$A,AR$2)+countifs(Students!$R:$R,$V14,Students!$S:$S,$V$2&amp;if($K14="S1","a",if($K14="S2","b","")),Students!$A:$A,AR$2)+countifs(Students!$T:$T,$V14,Students!$U:$U,$V$2&amp;if($K14="S1","a",if($K14="S2","b","")),Students!$A:$A,AR$2)+countifs(Students!$V:$V,$V14,Students!$W:$W,$V$2&amp;if($K14="S1","a",if($K14="S2","b","")),Students!$A:$A,AR$2)+
countifs(Students!$D:$D,$Y14,Students!$E:$E,$Y$2&amp;if($K14="S1","a",if($K14="S2","b","")),Students!$A:$A,AR$2)+countifs(Students!$F:$F,$Y14,Students!$G:$G,$Y$2&amp;if($K14="S1","a",if($K14="S2","b","")),Students!$A:$A,AR$2)+countifs(Students!$H:$H,$Y14,Students!$I:$I,$Y$2&amp;if($K14="S1","a",if($K14="S2","b","")),Students!$A:$A,AR$2)+countifs(Students!$J:$J,$Y14,Students!$K:$K,$Y$2&amp;if($K14="S1","a",if($K14="S2","b","")),Students!$A:$A,AR$2)+countifs(Students!$L:$L,$Y14,Students!$M:$M,$Y$2&amp;if($K14="S1","a",if($K14="S2","b","")),Students!$A:$A,AR$2)+countifs(Students!$N:$N,$Y14,Students!$O:$O,$Y$2&amp;if($K14="S1","a",if($K14="S2","b","")),Students!$A:$A,AR$2)+countifs(Students!$P:$P,$Y14,Students!$Q:$Q,$Y$2&amp;if($K14="S1","a",if($K14="S2","b","")),Students!$A:$A,AR$2)+countifs(Students!$R:$R,$Y14,Students!$S:$S,$Y$2&amp;if($K14="S1","a",if($K14="S2","b","")),Students!$A:$A,AR$2)+countifs(Students!$T:$T,$Y14,Students!$U:$U,$Y$2&amp;if($K14="S1","a",if($K14="S2","b","")),Students!$A:$A,AR$2)+countifs(Students!$V:$V,$Y14,Students!$W:$W,$Y$2&amp;if($K14="S1","a",if($K14="S2","b","")),Students!$A:$A,AR$2)+
countifs(Students!$D:$D,$AB14,Students!$E:$E,$AB$2&amp;if($K14="S1","a",if($K14="S2","b","")),Students!$A:$A,AR$2)+countifs(Students!$F:$F,$AB14,Students!$G:$G,$AB$2&amp;if($K14="S1","a",if($K14="S2","b","")),Students!$A:$A,AR$2)+countifs(Students!$H:$H,$AB14,Students!$I:$I,$AB$2&amp;if($K14="S1","a",if($K14="S2","b","")),Students!$A:$A,AR$2)+countifs(Students!$J:$J,$AB14,Students!$K:$K,$AB$2&amp;if($K14="S1","a",if($K14="S2","b","")),Students!$A:$A,AR$2)+countifs(Students!$L:$L,$AB14,Students!$M:$M,$AB$2&amp;if($K14="S1","a",if($K14="S2","b","")),Students!$A:$A,AR$2)+countifs(Students!$N:$N,$AB14,Students!$O:$O,$AB$2&amp;if($K14="S1","a",if($K14="S2","b","")),Students!$A:$A,AR$2)+countifs(Students!$P:$P,$AB14,Students!$Q:$Q,$AB$2&amp;if($K14="S1","a",if($K14="S2","b","")),Students!$A:$A,AR$2)+countifs(Students!$R:$R,$AB14,Students!$S:$S,$AB$2&amp;if($K14="S1","a",if($K14="S2","b","")),Students!$A:$A,AR$2)+countifs(Students!$T:$T,$AB14,Students!$U:$U,$AB$2&amp;if($K14="S1","a",if($K14="S2","b","")),Students!$A:$A,AR$2)+countifs(Students!$V:$V,$AB14,Students!$W:$W,$AB$2&amp;if($K14="S1","a",if($K14="S2","b","")),Students!$A:$A,AR$2)+
countifs(Students!$D:$D,$AE14,Students!$E:$E,$AE$2&amp;if($K14="S1","a",if($K14="S2","b","")),Students!$A:$A,AR$2)+countifs(Students!$F:$F,$AE14,Students!$G:$G,$AE$2&amp;if($K14="S1","a",if($K14="S2","b","")),Students!$A:$A,AR$2)+countifs(Students!$H:$H,$AE14,Students!$I:$I,$AE$2&amp;if($K14="S1","a",if($K14="S2","b","")),Students!$A:$A,AR$2)+countifs(Students!$J:$J,$AE14,Students!$K:$K,$AE$2&amp;if($K14="S1","a",if($K14="S2","b","")),Students!$A:$A,AR$2)+countifs(Students!$L:$L,$AE14,Students!$M:$M,$AE$2&amp;if($K14="S1","a",if($K14="S2","b","")),Students!$A:$A,AR$2)+countifs(Students!$N:$N,$AE14,Students!$O:$O,$AE$2&amp;if($K14="S1","a",if($K14="S2","b","")),Students!$A:$A,AR$2)+countifs(Students!$P:$P,$AE14,Students!$Q:$Q,$AE$2&amp;if($K14="S1","a",if($K14="S2","b","")),Students!$A:$A,AR$2)+countifs(Students!$R:$R,$AE14,Students!$S:$S,$AE$2&amp;if($K14="S1","a",if($K14="S2","b","")),Students!$A:$A,AR$2)+countifs(Students!$T:$T,$AE14,Students!$U:$U,$AE$2&amp;if($K14="S1","a",if($K14="S2","b","")),Students!$A:$A,AR$2)+countifs(Students!$V:$V,$AE14,Students!$W:$W,$AE$2&amp;if($K14="S1","a",if($K14="S2","b","")),Students!$A:$A,AR$2)+
countifs(Students!$D:$D,$AH14,Students!$E:$E,$AH$2&amp;if($K14="S1","a",if($K14="S2","b","")),Students!$A:$A,AR$2)+countifs(Students!$F:$F,$AH14,Students!$G:$G,$AH$2&amp;if($K14="S1","a",if($K14="S2","b","")),Students!$A:$A,AR$2)+countifs(Students!$H:$H,$AH14,Students!$I:$I,$AH$2&amp;if($K14="S1","a",if($K14="S2","b","")),Students!$A:$A,AR$2)+countifs(Students!$J:$J,$AH14,Students!$K:$K,$AH$2&amp;if($K14="S1","a",if($K14="S2","b","")),Students!$A:$A,AR$2)+countifs(Students!$L:$L,$AH14,Students!$M:$M,$AH$2&amp;if($K14="S1","a",if($K14="S2","b","")),Students!$A:$A,AR$2)+countifs(Students!$N:$N,$AH14,Students!$O:$O,$AH$2&amp;if($K14="S1","a",if($K14="S2","b","")),Students!$A:$A,AR$2)+countifs(Students!$P:$P,$AH14,Students!$Q:$Q,$AH$2&amp;if($K14="S1","a",if($K14="S2","b","")),Students!$A:$A,AR$2)+countifs(Students!$R:$R,$AH14,Students!$S:$S,$AH$2&amp;if($K14="S1","a",if($K14="S2","b","")),Students!$A:$A,AR$2)+countifs(Students!$T:$T,$AH14,Students!$U:$U,$AH$2&amp;if($K14="S1","a",if($K14="S2","b","")),Students!$A:$A,AR$2)+countifs(Students!$V:$V,$AH14,Students!$W:$W,$AH$2&amp;if($K14="S1","a",if($K14="S2","b","")),Students!$A:$A,AR$2)+
countifs(Students!$D:$D,$AK14,Students!$E:$E,$AK$2&amp;if($K14="S1","a",if($K14="S2","b","")),Students!$A:$A,AR$2)+countifs(Students!$F:$F,$AK14,Students!$G:$G,$AK$2&amp;if($K14="S1","a",if($K14="S2","b","")),Students!$A:$A,AR$2)+countifs(Students!$H:$H,$AK14,Students!$I:$I,$AK$2&amp;if($K14="S1","a",if($K14="S2","b","")),Students!$A:$A,AR$2)+countifs(Students!$J:$J,$AK14,Students!$K:$K,$AK$2&amp;if($K14="S1","a",if($K14="S2","b","")),Students!$A:$A,AR$2)+countifs(Students!$L:$L,$AK14,Students!$M:$M,$AK$2&amp;if($K14="S1","a",if($K14="S2","b","")),Students!$A:$A,AR$2)+countifs(Students!$N:$N,$AK14,Students!$O:$O,$AK$2&amp;if($K14="S1","a",if($K14="S2","b","")),Students!$A:$A,AR$2)+countifs(Students!$P:$P,$AK14,Students!$Q:$Q,$AK$2&amp;if($K14="S1","a",if($K14="S2","b","")),Students!$A:$A,AR$2)+countifs(Students!$R:$R,$AK14,Students!$S:$S,$AK$2&amp;if($K14="S1","a",if($K14="S2","b","")),Students!$A:$A,AR$2)+countifs(Students!$T:$T,$AK14,Students!$U:$U,$AK$2&amp;if($K14="S1","a",if($K14="S2","b","")),Students!$A:$A,AR$2)+countifs(Students!$V:$V,$AK14,Students!$W:$W,$AK$2&amp;if($K14="S1","a",if($K14="S2","b","")),Students!$A:$A,AR$2))</f>
        <v>9</v>
      </c>
      <c r="AS14" s="102">
        <f>if($L13="","",countifs(Students!$D:$D,$P14,Students!$E:$E,$P$2&amp;if($K14="S1","a",if($K14="S2","b","")),Students!$A:$A,AS$2)+countifs(Students!$F:$F,$P14,Students!$G:$G,$P$2&amp;if($K14="S1","a",if($K14="S2","b","")),Students!$A:$A,AS$2)+countifs(Students!$H:$H,$P14,Students!$I:$I,$P$2&amp;if($K14="S1","a",if($K14="S2","b","")),Students!$A:$A,AS$2)+countifs(Students!$J:$J,$P14,Students!$K:$K,$P$2&amp;if($K14="S1","a",if($K14="S2","b","")),Students!$A:$A,AS$2)+countifs(Students!$L:$L,$P14,Students!$M:$M,$P$2&amp;if($K14="S1","a",if($K14="S2","b","")),Students!$A:$A,AS$2)+countifs(Students!$N:$N,$P14,Students!$O:$O,$P$2&amp;if($K14="S1","a",if($K14="S2","b","")),Students!$A:$A,AS$2)+countifs(Students!$P:$P,$P14,Students!$Q:$Q,$P$2&amp;if($K14="S1","a",if($K14="S2","b","")),Students!$A:$A,AS$2)+countifs(Students!$R:$R,$P14,Students!$S:$S,$P$2&amp;if($K14="S1","a",if($K14="S2","b","")),Students!$A:$A,AS$2)+countifs(Students!$T:$T,$P14,Students!$U:$U,$P$2&amp;if($K14="S1","a",if($K14="S2","b","")),Students!$A:$A,AS$2)+countifs(Students!$V:$V,$P14,Students!$W:$W,$P$2&amp;if($K14="S1","a",if($K14="S2","b","")),Students!$A:$A,AS$2)+
countifs(Students!$D:$D,$S14,Students!$E:$E,$S$2&amp;if($K14="S1","a",if($K14="S2","b","")),Students!$A:$A,AS$2)+countifs(Students!$F:$F,$S14,Students!$G:$G,$S$2&amp;if($K14="S1","a",if($K14="S2","b","")),Students!$A:$A,AS$2)+countifs(Students!$H:$H,$S14,Students!$I:$I,$S$2&amp;if($K14="S1","a",if($K14="S2","b","")),Students!$A:$A,AS$2)+countifs(Students!$J:$J,$S14,Students!$K:$K,$S$2&amp;if($K14="S1","a",if($K14="S2","b","")),Students!$A:$A,AS$2)+countifs(Students!$L:$L,$S14,Students!$M:$M,$S$2&amp;if($K14="S1","a",if($K14="S2","b","")),Students!$A:$A,AS$2)+countifs(Students!$N:$N,$S14,Students!$O:$O,$S$2&amp;if($K14="S1","a",if($K14="S2","b","")),Students!$A:$A,AS$2)+countifs(Students!$P:$P,$S14,Students!$Q:$Q,$S$2&amp;if($K14="S1","a",if($K14="S2","b","")),Students!$A:$A,AS$2)+countifs(Students!$R:$R,$S14,Students!$S:$S,$S$2&amp;if($K14="S1","a",if($K14="S2","b","")),Students!$A:$A,AS$2)+countifs(Students!$T:$T,$S14,Students!$U:$U,$S$2&amp;if($K14="S1","a",if($K14="S2","b","")),Students!$A:$A,AS$2)+countifs(Students!$V:$V,$S14,Students!$W:$W,$S$2&amp;if($K14="S1","a",if($K14="S2","b","")),Students!$A:$A,AS$2)+
countifs(Students!$D:$D,$V14,Students!$E:$E,$V$2&amp;if($K14="S1","a",if($K14="S2","b","")),Students!$A:$A,AS$2)+countifs(Students!$F:$F,$V14,Students!$G:$G,$V$2&amp;if($K14="S1","a",if($K14="S2","b","")),Students!$A:$A,AS$2)+countifs(Students!$H:$H,$V14,Students!$I:$I,$V$2&amp;if($K14="S1","a",if($K14="S2","b","")),Students!$A:$A,AS$2)+countifs(Students!$J:$J,$V14,Students!$K:$K,$V$2&amp;if($K14="S1","a",if($K14="S2","b","")),Students!$A:$A,AS$2)+countifs(Students!$L:$L,$V14,Students!$M:$M,$V$2&amp;if($K14="S1","a",if($K14="S2","b","")),Students!$A:$A,AS$2)+countifs(Students!$N:$N,$V14,Students!$O:$O,$V$2&amp;if($K14="S1","a",if($K14="S2","b","")),Students!$A:$A,AS$2)+countifs(Students!$P:$P,$V14,Students!$Q:$Q,$V$2&amp;if($K14="S1","a",if($K14="S2","b","")),Students!$A:$A,AS$2)+countifs(Students!$R:$R,$V14,Students!$S:$S,$V$2&amp;if($K14="S1","a",if($K14="S2","b","")),Students!$A:$A,AS$2)+countifs(Students!$T:$T,$V14,Students!$U:$U,$V$2&amp;if($K14="S1","a",if($K14="S2","b","")),Students!$A:$A,AS$2)+countifs(Students!$V:$V,$V14,Students!$W:$W,$V$2&amp;if($K14="S1","a",if($K14="S2","b","")),Students!$A:$A,AS$2)+
countifs(Students!$D:$D,$Y14,Students!$E:$E,$Y$2&amp;if($K14="S1","a",if($K14="S2","b","")),Students!$A:$A,AS$2)+countifs(Students!$F:$F,$Y14,Students!$G:$G,$Y$2&amp;if($K14="S1","a",if($K14="S2","b","")),Students!$A:$A,AS$2)+countifs(Students!$H:$H,$Y14,Students!$I:$I,$Y$2&amp;if($K14="S1","a",if($K14="S2","b","")),Students!$A:$A,AS$2)+countifs(Students!$J:$J,$Y14,Students!$K:$K,$Y$2&amp;if($K14="S1","a",if($K14="S2","b","")),Students!$A:$A,AS$2)+countifs(Students!$L:$L,$Y14,Students!$M:$M,$Y$2&amp;if($K14="S1","a",if($K14="S2","b","")),Students!$A:$A,AS$2)+countifs(Students!$N:$N,$Y14,Students!$O:$O,$Y$2&amp;if($K14="S1","a",if($K14="S2","b","")),Students!$A:$A,AS$2)+countifs(Students!$P:$P,$Y14,Students!$Q:$Q,$Y$2&amp;if($K14="S1","a",if($K14="S2","b","")),Students!$A:$A,AS$2)+countifs(Students!$R:$R,$Y14,Students!$S:$S,$Y$2&amp;if($K14="S1","a",if($K14="S2","b","")),Students!$A:$A,AS$2)+countifs(Students!$T:$T,$Y14,Students!$U:$U,$Y$2&amp;if($K14="S1","a",if($K14="S2","b","")),Students!$A:$A,AS$2)+countifs(Students!$V:$V,$Y14,Students!$W:$W,$Y$2&amp;if($K14="S1","a",if($K14="S2","b","")),Students!$A:$A,AS$2)+
countifs(Students!$D:$D,$AB14,Students!$E:$E,$AB$2&amp;if($K14="S1","a",if($K14="S2","b","")),Students!$A:$A,AS$2)+countifs(Students!$F:$F,$AB14,Students!$G:$G,$AB$2&amp;if($K14="S1","a",if($K14="S2","b","")),Students!$A:$A,AS$2)+countifs(Students!$H:$H,$AB14,Students!$I:$I,$AB$2&amp;if($K14="S1","a",if($K14="S2","b","")),Students!$A:$A,AS$2)+countifs(Students!$J:$J,$AB14,Students!$K:$K,$AB$2&amp;if($K14="S1","a",if($K14="S2","b","")),Students!$A:$A,AS$2)+countifs(Students!$L:$L,$AB14,Students!$M:$M,$AB$2&amp;if($K14="S1","a",if($K14="S2","b","")),Students!$A:$A,AS$2)+countifs(Students!$N:$N,$AB14,Students!$O:$O,$AB$2&amp;if($K14="S1","a",if($K14="S2","b","")),Students!$A:$A,AS$2)+countifs(Students!$P:$P,$AB14,Students!$Q:$Q,$AB$2&amp;if($K14="S1","a",if($K14="S2","b","")),Students!$A:$A,AS$2)+countifs(Students!$R:$R,$AB14,Students!$S:$S,$AB$2&amp;if($K14="S1","a",if($K14="S2","b","")),Students!$A:$A,AS$2)+countifs(Students!$T:$T,$AB14,Students!$U:$U,$AB$2&amp;if($K14="S1","a",if($K14="S2","b","")),Students!$A:$A,AS$2)+countifs(Students!$V:$V,$AB14,Students!$W:$W,$AB$2&amp;if($K14="S1","a",if($K14="S2","b","")),Students!$A:$A,AS$2)+
countifs(Students!$D:$D,$AE14,Students!$E:$E,$AE$2&amp;if($K14="S1","a",if($K14="S2","b","")),Students!$A:$A,AS$2)+countifs(Students!$F:$F,$AE14,Students!$G:$G,$AE$2&amp;if($K14="S1","a",if($K14="S2","b","")),Students!$A:$A,AS$2)+countifs(Students!$H:$H,$AE14,Students!$I:$I,$AE$2&amp;if($K14="S1","a",if($K14="S2","b","")),Students!$A:$A,AS$2)+countifs(Students!$J:$J,$AE14,Students!$K:$K,$AE$2&amp;if($K14="S1","a",if($K14="S2","b","")),Students!$A:$A,AS$2)+countifs(Students!$L:$L,$AE14,Students!$M:$M,$AE$2&amp;if($K14="S1","a",if($K14="S2","b","")),Students!$A:$A,AS$2)+countifs(Students!$N:$N,$AE14,Students!$O:$O,$AE$2&amp;if($K14="S1","a",if($K14="S2","b","")),Students!$A:$A,AS$2)+countifs(Students!$P:$P,$AE14,Students!$Q:$Q,$AE$2&amp;if($K14="S1","a",if($K14="S2","b","")),Students!$A:$A,AS$2)+countifs(Students!$R:$R,$AE14,Students!$S:$S,$AE$2&amp;if($K14="S1","a",if($K14="S2","b","")),Students!$A:$A,AS$2)+countifs(Students!$T:$T,$AE14,Students!$U:$U,$AE$2&amp;if($K14="S1","a",if($K14="S2","b","")),Students!$A:$A,AS$2)+countifs(Students!$V:$V,$AE14,Students!$W:$W,$AE$2&amp;if($K14="S1","a",if($K14="S2","b","")),Students!$A:$A,AS$2)+
countifs(Students!$D:$D,$AH14,Students!$E:$E,$AH$2&amp;if($K14="S1","a",if($K14="S2","b","")),Students!$A:$A,AS$2)+countifs(Students!$F:$F,$AH14,Students!$G:$G,$AH$2&amp;if($K14="S1","a",if($K14="S2","b","")),Students!$A:$A,AS$2)+countifs(Students!$H:$H,$AH14,Students!$I:$I,$AH$2&amp;if($K14="S1","a",if($K14="S2","b","")),Students!$A:$A,AS$2)+countifs(Students!$J:$J,$AH14,Students!$K:$K,$AH$2&amp;if($K14="S1","a",if($K14="S2","b","")),Students!$A:$A,AS$2)+countifs(Students!$L:$L,$AH14,Students!$M:$M,$AH$2&amp;if($K14="S1","a",if($K14="S2","b","")),Students!$A:$A,AS$2)+countifs(Students!$N:$N,$AH14,Students!$O:$O,$AH$2&amp;if($K14="S1","a",if($K14="S2","b","")),Students!$A:$A,AS$2)+countifs(Students!$P:$P,$AH14,Students!$Q:$Q,$AH$2&amp;if($K14="S1","a",if($K14="S2","b","")),Students!$A:$A,AS$2)+countifs(Students!$R:$R,$AH14,Students!$S:$S,$AH$2&amp;if($K14="S1","a",if($K14="S2","b","")),Students!$A:$A,AS$2)+countifs(Students!$T:$T,$AH14,Students!$U:$U,$AH$2&amp;if($K14="S1","a",if($K14="S2","b","")),Students!$A:$A,AS$2)+countifs(Students!$V:$V,$AH14,Students!$W:$W,$AH$2&amp;if($K14="S1","a",if($K14="S2","b","")),Students!$A:$A,AS$2)+
countifs(Students!$D:$D,$AK14,Students!$E:$E,$AK$2&amp;if($K14="S1","a",if($K14="S2","b","")),Students!$A:$A,AS$2)+countifs(Students!$F:$F,$AK14,Students!$G:$G,$AK$2&amp;if($K14="S1","a",if($K14="S2","b","")),Students!$A:$A,AS$2)+countifs(Students!$H:$H,$AK14,Students!$I:$I,$AK$2&amp;if($K14="S1","a",if($K14="S2","b","")),Students!$A:$A,AS$2)+countifs(Students!$J:$J,$AK14,Students!$K:$K,$AK$2&amp;if($K14="S1","a",if($K14="S2","b","")),Students!$A:$A,AS$2)+countifs(Students!$L:$L,$AK14,Students!$M:$M,$AK$2&amp;if($K14="S1","a",if($K14="S2","b","")),Students!$A:$A,AS$2)+countifs(Students!$N:$N,$AK14,Students!$O:$O,$AK$2&amp;if($K14="S1","a",if($K14="S2","b","")),Students!$A:$A,AS$2)+countifs(Students!$P:$P,$AK14,Students!$Q:$Q,$AK$2&amp;if($K14="S1","a",if($K14="S2","b","")),Students!$A:$A,AS$2)+countifs(Students!$R:$R,$AK14,Students!$S:$S,$AK$2&amp;if($K14="S1","a",if($K14="S2","b","")),Students!$A:$A,AS$2)+countifs(Students!$T:$T,$AK14,Students!$U:$U,$AK$2&amp;if($K14="S1","a",if($K14="S2","b","")),Students!$A:$A,AS$2)+countifs(Students!$V:$V,$AK14,Students!$W:$W,$AK$2&amp;if($K14="S1","a",if($K14="S2","b","")),Students!$A:$A,AS$2))</f>
        <v>102</v>
      </c>
    </row>
    <row r="15">
      <c r="J15" s="87">
        <v>93.0</v>
      </c>
      <c r="K15" s="88"/>
      <c r="L15" s="58" t="s">
        <v>55</v>
      </c>
      <c r="M15" s="107"/>
      <c r="N15" s="92">
        <v>3.0</v>
      </c>
      <c r="O15" s="92">
        <f>IFERROR(__xludf.DUMMYFUNCTION("3*counta((transpose(filter(P15:AM15,P15:AM15&lt;&gt;"""",isnumber(P15:AM15)=false))))"),15.0)</f>
        <v>15</v>
      </c>
      <c r="P15" s="90"/>
      <c r="Q15" s="91"/>
      <c r="R15" s="92" t="s">
        <v>22</v>
      </c>
      <c r="S15" s="91" t="s">
        <v>56</v>
      </c>
      <c r="T15" s="76">
        <v>6.0</v>
      </c>
      <c r="U15" s="77">
        <v>18.0</v>
      </c>
      <c r="V15" s="101" t="s">
        <v>56</v>
      </c>
      <c r="W15" s="101">
        <v>7.0</v>
      </c>
      <c r="X15" s="98">
        <v>20.0</v>
      </c>
      <c r="Y15" s="90"/>
      <c r="Z15" s="101"/>
      <c r="AA15" s="98" t="s">
        <v>22</v>
      </c>
      <c r="AB15" s="108" t="s">
        <v>57</v>
      </c>
      <c r="AC15" s="91">
        <v>1.0</v>
      </c>
      <c r="AD15" s="92">
        <v>16.0</v>
      </c>
      <c r="AE15" s="93"/>
      <c r="AF15" s="94"/>
      <c r="AG15" s="95" t="s">
        <v>22</v>
      </c>
      <c r="AH15" s="91" t="s">
        <v>53</v>
      </c>
      <c r="AI15" s="96">
        <v>5.0</v>
      </c>
      <c r="AJ15" s="92">
        <v>23.0</v>
      </c>
      <c r="AK15" s="108" t="s">
        <v>57</v>
      </c>
      <c r="AL15" s="97">
        <v>2.0</v>
      </c>
      <c r="AM15" s="98">
        <v>16.0</v>
      </c>
      <c r="AN15" s="99"/>
      <c r="AO15" s="52">
        <f t="shared" ref="AO15:AO71" si="2">if(L15="","",R15+U15+X15+AA15+AD15+AG15+AJ15+AM15)</f>
        <v>93</v>
      </c>
      <c r="AP15" s="102">
        <f>if($L15="","",countifs(Students!$D:$D,$P15,Students!$E:$E,$P$2&amp;if($K15="S1","a",if($K15="S2","b","")),Students!$A:$A,AP$2)+countifs(Students!$F:$F,$P15,Students!$G:$G,$P$2&amp;if($K15="S1","a",if($K15="S2","b","")),Students!$A:$A,AP$2)+countifs(Students!$H:$H,$P15,Students!$I:$I,$P$2&amp;if($K15="S1","a",if($K15="S2","b","")),Students!$A:$A,AP$2)+countifs(Students!$J:$J,$P15,Students!$K:$K,$P$2&amp;if($K15="S1","a",if($K15="S2","b","")),Students!$A:$A,AP$2)+countifs(Students!$L:$L,$P15,Students!$M:$M,$P$2&amp;if($K15="S1","a",if($K15="S2","b","")),Students!$A:$A,AP$2)+countifs(Students!$N:$N,$P15,Students!$O:$O,$P$2&amp;if($K15="S1","a",if($K15="S2","b","")),Students!$A:$A,AP$2)+countifs(Students!$P:$P,$P15,Students!$Q:$Q,$P$2&amp;if($K15="S1","a",if($K15="S2","b","")),Students!$A:$A,AP$2)+countifs(Students!$R:$R,$P15,Students!$S:$S,$P$2&amp;if($K15="S1","a",if($K15="S2","b","")),Students!$A:$A,AP$2)+countifs(Students!$T:$T,$P15,Students!$U:$U,$P$2&amp;if($K15="S1","a",if($K15="S2","b","")),Students!$A:$A,AP$2)+countifs(Students!$V:$V,$P15,Students!$W:$W,$P$2&amp;if($K15="S1","a",if($K15="S2","b","")),Students!$A:$A,AP$2)+
countifs(Students!$D:$D,$S15,Students!$E:$E,$S$2&amp;if($K15="S1","a",if($K15="S2","b","")),Students!$A:$A,AP$2)+countifs(Students!$F:$F,$S15,Students!$G:$G,$S$2&amp;if($K15="S1","a",if($K15="S2","b","")),Students!$A:$A,AP$2)+countifs(Students!$H:$H,$S15,Students!$I:$I,$S$2&amp;if($K15="S1","a",if($K15="S2","b","")),Students!$A:$A,AP$2)+countifs(Students!$J:$J,$S15,Students!$K:$K,$S$2&amp;if($K15="S1","a",if($K15="S2","b","")),Students!$A:$A,AP$2)+countifs(Students!$L:$L,$S15,Students!$M:$M,$S$2&amp;if($K15="S1","a",if($K15="S2","b","")),Students!$A:$A,AP$2)+countifs(Students!$N:$N,$S15,Students!$O:$O,$S$2&amp;if($K15="S1","a",if($K15="S2","b","")),Students!$A:$A,AP$2)+countifs(Students!$P:$P,$S15,Students!$Q:$Q,$S$2&amp;if($K15="S1","a",if($K15="S2","b","")),Students!$A:$A,AP$2)+countifs(Students!$R:$R,$S15,Students!$S:$S,$S$2&amp;if($K15="S1","a",if($K15="S2","b","")),Students!$A:$A,AP$2)+countifs(Students!$T:$T,$S15,Students!$U:$U,$S$2&amp;if($K15="S1","a",if($K15="S2","b","")),Students!$A:$A,AP$2)+countifs(Students!$V:$V,$S15,Students!$W:$W,$S$2&amp;if($K15="S1","a",if($K15="S2","b","")),Students!$A:$A,AP$2)+
countifs(Students!$D:$D,$V15,Students!$E:$E,$V$2&amp;if($K15="S1","a",if($K15="S2","b","")),Students!$A:$A,AP$2)+countifs(Students!$F:$F,$V15,Students!$G:$G,$V$2&amp;if($K15="S1","a",if($K15="S2","b","")),Students!$A:$A,AP$2)+countifs(Students!$H:$H,$V15,Students!$I:$I,$V$2&amp;if($K15="S1","a",if($K15="S2","b","")),Students!$A:$A,AP$2)+countifs(Students!$J:$J,$V15,Students!$K:$K,$V$2&amp;if($K15="S1","a",if($K15="S2","b","")),Students!$A:$A,AP$2)+countifs(Students!$L:$L,$V15,Students!$M:$M,$V$2&amp;if($K15="S1","a",if($K15="S2","b","")),Students!$A:$A,AP$2)+countifs(Students!$N:$N,$V15,Students!$O:$O,$V$2&amp;if($K15="S1","a",if($K15="S2","b","")),Students!$A:$A,AP$2)+countifs(Students!$P:$P,$V15,Students!$Q:$Q,$V$2&amp;if($K15="S1","a",if($K15="S2","b","")),Students!$A:$A,AP$2)+countifs(Students!$R:$R,$V15,Students!$S:$S,$V$2&amp;if($K15="S1","a",if($K15="S2","b","")),Students!$A:$A,AP$2)+countifs(Students!$T:$T,$V15,Students!$U:$U,$V$2&amp;if($K15="S1","a",if($K15="S2","b","")),Students!$A:$A,AP$2)+countifs(Students!$V:$V,$V15,Students!$W:$W,$V$2&amp;if($K15="S1","a",if($K15="S2","b","")),Students!$A:$A,AP$2)+
countifs(Students!$D:$D,$Y15,Students!$E:$E,$Y$2&amp;if($K15="S1","a",if($K15="S2","b","")),Students!$A:$A,AP$2)+countifs(Students!$F:$F,$Y15,Students!$G:$G,$Y$2&amp;if($K15="S1","a",if($K15="S2","b","")),Students!$A:$A,AP$2)+countifs(Students!$H:$H,$Y15,Students!$I:$I,$Y$2&amp;if($K15="S1","a",if($K15="S2","b","")),Students!$A:$A,AP$2)+countifs(Students!$J:$J,$Y15,Students!$K:$K,$Y$2&amp;if($K15="S1","a",if($K15="S2","b","")),Students!$A:$A,AP$2)+countifs(Students!$L:$L,$Y15,Students!$M:$M,$Y$2&amp;if($K15="S1","a",if($K15="S2","b","")),Students!$A:$A,AP$2)+countifs(Students!$N:$N,$Y15,Students!$O:$O,$Y$2&amp;if($K15="S1","a",if($K15="S2","b","")),Students!$A:$A,AP$2)+countifs(Students!$P:$P,$Y15,Students!$Q:$Q,$Y$2&amp;if($K15="S1","a",if($K15="S2","b","")),Students!$A:$A,AP$2)+countifs(Students!$R:$R,$Y15,Students!$S:$S,$Y$2&amp;if($K15="S1","a",if($K15="S2","b","")),Students!$A:$A,AP$2)+countifs(Students!$T:$T,$Y15,Students!$U:$U,$Y$2&amp;if($K15="S1","a",if($K15="S2","b","")),Students!$A:$A,AP$2)+countifs(Students!$V:$V,$Y15,Students!$W:$W,$Y$2&amp;if($K15="S1","a",if($K15="S2","b","")),Students!$A:$A,AP$2)+
countifs(Students!$D:$D,$AB15,Students!$E:$E,$AB$2&amp;if($K15="S1","a",if($K15="S2","b","")),Students!$A:$A,AP$2)+countifs(Students!$F:$F,$AB15,Students!$G:$G,$AB$2&amp;if($K15="S1","a",if($K15="S2","b","")),Students!$A:$A,AP$2)+countifs(Students!$H:$H,$AB15,Students!$I:$I,$AB$2&amp;if($K15="S1","a",if($K15="S2","b","")),Students!$A:$A,AP$2)+countifs(Students!$J:$J,$AB15,Students!$K:$K,$AB$2&amp;if($K15="S1","a",if($K15="S2","b","")),Students!$A:$A,AP$2)+countifs(Students!$L:$L,$AB15,Students!$M:$M,$AB$2&amp;if($K15="S1","a",if($K15="S2","b","")),Students!$A:$A,AP$2)+countifs(Students!$N:$N,$AB15,Students!$O:$O,$AB$2&amp;if($K15="S1","a",if($K15="S2","b","")),Students!$A:$A,AP$2)+countifs(Students!$P:$P,$AB15,Students!$Q:$Q,$AB$2&amp;if($K15="S1","a",if($K15="S2","b","")),Students!$A:$A,AP$2)+countifs(Students!$R:$R,$AB15,Students!$S:$S,$AB$2&amp;if($K15="S1","a",if($K15="S2","b","")),Students!$A:$A,AP$2)+countifs(Students!$T:$T,$AB15,Students!$U:$U,$AB$2&amp;if($K15="S1","a",if($K15="S2","b","")),Students!$A:$A,AP$2)+countifs(Students!$V:$V,$AB15,Students!$W:$W,$AB$2&amp;if($K15="S1","a",if($K15="S2","b","")),Students!$A:$A,AP$2)+
countifs(Students!$D:$D,$AE15,Students!$E:$E,$AE$2&amp;if($K15="S1","a",if($K15="S2","b","")),Students!$A:$A,AP$2)+countifs(Students!$F:$F,$AE15,Students!$G:$G,$AE$2&amp;if($K15="S1","a",if($K15="S2","b","")),Students!$A:$A,AP$2)+countifs(Students!$H:$H,$AE15,Students!$I:$I,$AE$2&amp;if($K15="S1","a",if($K15="S2","b","")),Students!$A:$A,AP$2)+countifs(Students!$J:$J,$AE15,Students!$K:$K,$AE$2&amp;if($K15="S1","a",if($K15="S2","b","")),Students!$A:$A,AP$2)+countifs(Students!$L:$L,$AE15,Students!$M:$M,$AE$2&amp;if($K15="S1","a",if($K15="S2","b","")),Students!$A:$A,AP$2)+countifs(Students!$N:$N,$AE15,Students!$O:$O,$AE$2&amp;if($K15="S1","a",if($K15="S2","b","")),Students!$A:$A,AP$2)+countifs(Students!$P:$P,$AE15,Students!$Q:$Q,$AE$2&amp;if($K15="S1","a",if($K15="S2","b","")),Students!$A:$A,AP$2)+countifs(Students!$R:$R,$AE15,Students!$S:$S,$AE$2&amp;if($K15="S1","a",if($K15="S2","b","")),Students!$A:$A,AP$2)+countifs(Students!$T:$T,$AE15,Students!$U:$U,$AE$2&amp;if($K15="S1","a",if($K15="S2","b","")),Students!$A:$A,AP$2)+countifs(Students!$V:$V,$AE15,Students!$W:$W,$AE$2&amp;if($K15="S1","a",if($K15="S2","b","")),Students!$A:$A,AP$2)+
countifs(Students!$D:$D,$AH15,Students!$E:$E,$AH$2&amp;if($K15="S1","a",if($K15="S2","b","")),Students!$A:$A,AP$2)+countifs(Students!$F:$F,$AH15,Students!$G:$G,$AH$2&amp;if($K15="S1","a",if($K15="S2","b","")),Students!$A:$A,AP$2)+countifs(Students!$H:$H,$AH15,Students!$I:$I,$AH$2&amp;if($K15="S1","a",if($K15="S2","b","")),Students!$A:$A,AP$2)+countifs(Students!$J:$J,$AH15,Students!$K:$K,$AH$2&amp;if($K15="S1","a",if($K15="S2","b","")),Students!$A:$A,AP$2)+countifs(Students!$L:$L,$AH15,Students!$M:$M,$AH$2&amp;if($K15="S1","a",if($K15="S2","b","")),Students!$A:$A,AP$2)+countifs(Students!$N:$N,$AH15,Students!$O:$O,$AH$2&amp;if($K15="S1","a",if($K15="S2","b","")),Students!$A:$A,AP$2)+countifs(Students!$P:$P,$AH15,Students!$Q:$Q,$AH$2&amp;if($K15="S1","a",if($K15="S2","b","")),Students!$A:$A,AP$2)+countifs(Students!$R:$R,$AH15,Students!$S:$S,$AH$2&amp;if($K15="S1","a",if($K15="S2","b","")),Students!$A:$A,AP$2)+countifs(Students!$T:$T,$AH15,Students!$U:$U,$AH$2&amp;if($K15="S1","a",if($K15="S2","b","")),Students!$A:$A,AP$2)+countifs(Students!$V:$V,$AH15,Students!$W:$W,$AH$2&amp;if($K15="S1","a",if($K15="S2","b","")),Students!$A:$A,AP$2)+
countifs(Students!$D:$D,$AK15,Students!$E:$E,$AK$2&amp;if($K15="S1","a",if($K15="S2","b","")),Students!$A:$A,AP$2)+countifs(Students!$F:$F,$AK15,Students!$G:$G,$AK$2&amp;if($K15="S1","a",if($K15="S2","b","")),Students!$A:$A,AP$2)+countifs(Students!$H:$H,$AK15,Students!$I:$I,$AK$2&amp;if($K15="S1","a",if($K15="S2","b","")),Students!$A:$A,AP$2)+countifs(Students!$J:$J,$AK15,Students!$K:$K,$AK$2&amp;if($K15="S1","a",if($K15="S2","b","")),Students!$A:$A,AP$2)+countifs(Students!$L:$L,$AK15,Students!$M:$M,$AK$2&amp;if($K15="S1","a",if($K15="S2","b","")),Students!$A:$A,AP$2)+countifs(Students!$N:$N,$AK15,Students!$O:$O,$AK$2&amp;if($K15="S1","a",if($K15="S2","b","")),Students!$A:$A,AP$2)+countifs(Students!$P:$P,$AK15,Students!$Q:$Q,$AK$2&amp;if($K15="S1","a",if($K15="S2","b","")),Students!$A:$A,AP$2)+countifs(Students!$R:$R,$AK15,Students!$S:$S,$AK$2&amp;if($K15="S1","a",if($K15="S2","b","")),Students!$A:$A,AP$2)+countifs(Students!$T:$T,$AK15,Students!$U:$U,$AK$2&amp;if($K15="S1","a",if($K15="S2","b","")),Students!$A:$A,AP$2)+countifs(Students!$V:$V,$AK15,Students!$W:$W,$AK$2&amp;if($K15="S1","a",if($K15="S2","b","")),Students!$A:$A,AP$2))</f>
        <v>0</v>
      </c>
      <c r="AQ15" s="102">
        <f>if($L15="","",countifs(Students!$D:$D,$P15,Students!$E:$E,$P$2&amp;if($K15="S1","a",if($K15="S2","b","")),Students!$A:$A,AQ$2)+countifs(Students!$F:$F,$P15,Students!$G:$G,$P$2&amp;if($K15="S1","a",if($K15="S2","b","")),Students!$A:$A,AQ$2)+countifs(Students!$H:$H,$P15,Students!$I:$I,$P$2&amp;if($K15="S1","a",if($K15="S2","b","")),Students!$A:$A,AQ$2)+countifs(Students!$J:$J,$P15,Students!$K:$K,$P$2&amp;if($K15="S1","a",if($K15="S2","b","")),Students!$A:$A,AQ$2)+countifs(Students!$L:$L,$P15,Students!$M:$M,$P$2&amp;if($K15="S1","a",if($K15="S2","b","")),Students!$A:$A,AQ$2)+countifs(Students!$N:$N,$P15,Students!$O:$O,$P$2&amp;if($K15="S1","a",if($K15="S2","b","")),Students!$A:$A,AQ$2)+countifs(Students!$P:$P,$P15,Students!$Q:$Q,$P$2&amp;if($K15="S1","a",if($K15="S2","b","")),Students!$A:$A,AQ$2)+countifs(Students!$R:$R,$P15,Students!$S:$S,$P$2&amp;if($K15="S1","a",if($K15="S2","b","")),Students!$A:$A,AQ$2)+countifs(Students!$T:$T,$P15,Students!$U:$U,$P$2&amp;if($K15="S1","a",if($K15="S2","b","")),Students!$A:$A,AQ$2)+countifs(Students!$V:$V,$P15,Students!$W:$W,$P$2&amp;if($K15="S1","a",if($K15="S2","b","")),Students!$A:$A,AQ$2)+
countifs(Students!$D:$D,$S15,Students!$E:$E,$S$2&amp;if($K15="S1","a",if($K15="S2","b","")),Students!$A:$A,AQ$2)+countifs(Students!$F:$F,$S15,Students!$G:$G,$S$2&amp;if($K15="S1","a",if($K15="S2","b","")),Students!$A:$A,AQ$2)+countifs(Students!$H:$H,$S15,Students!$I:$I,$S$2&amp;if($K15="S1","a",if($K15="S2","b","")),Students!$A:$A,AQ$2)+countifs(Students!$J:$J,$S15,Students!$K:$K,$S$2&amp;if($K15="S1","a",if($K15="S2","b","")),Students!$A:$A,AQ$2)+countifs(Students!$L:$L,$S15,Students!$M:$M,$S$2&amp;if($K15="S1","a",if($K15="S2","b","")),Students!$A:$A,AQ$2)+countifs(Students!$N:$N,$S15,Students!$O:$O,$S$2&amp;if($K15="S1","a",if($K15="S2","b","")),Students!$A:$A,AQ$2)+countifs(Students!$P:$P,$S15,Students!$Q:$Q,$S$2&amp;if($K15="S1","a",if($K15="S2","b","")),Students!$A:$A,AQ$2)+countifs(Students!$R:$R,$S15,Students!$S:$S,$S$2&amp;if($K15="S1","a",if($K15="S2","b","")),Students!$A:$A,AQ$2)+countifs(Students!$T:$T,$S15,Students!$U:$U,$S$2&amp;if($K15="S1","a",if($K15="S2","b","")),Students!$A:$A,AQ$2)+countifs(Students!$V:$V,$S15,Students!$W:$W,$S$2&amp;if($K15="S1","a",if($K15="S2","b","")),Students!$A:$A,AQ$2)+
countifs(Students!$D:$D,$V15,Students!$E:$E,$V$2&amp;if($K15="S1","a",if($K15="S2","b","")),Students!$A:$A,AQ$2)+countifs(Students!$F:$F,$V15,Students!$G:$G,$V$2&amp;if($K15="S1","a",if($K15="S2","b","")),Students!$A:$A,AQ$2)+countifs(Students!$H:$H,$V15,Students!$I:$I,$V$2&amp;if($K15="S1","a",if($K15="S2","b","")),Students!$A:$A,AQ$2)+countifs(Students!$J:$J,$V15,Students!$K:$K,$V$2&amp;if($K15="S1","a",if($K15="S2","b","")),Students!$A:$A,AQ$2)+countifs(Students!$L:$L,$V15,Students!$M:$M,$V$2&amp;if($K15="S1","a",if($K15="S2","b","")),Students!$A:$A,AQ$2)+countifs(Students!$N:$N,$V15,Students!$O:$O,$V$2&amp;if($K15="S1","a",if($K15="S2","b","")),Students!$A:$A,AQ$2)+countifs(Students!$P:$P,$V15,Students!$Q:$Q,$V$2&amp;if($K15="S1","a",if($K15="S2","b","")),Students!$A:$A,AQ$2)+countifs(Students!$R:$R,$V15,Students!$S:$S,$V$2&amp;if($K15="S1","a",if($K15="S2","b","")),Students!$A:$A,AQ$2)+countifs(Students!$T:$T,$V15,Students!$U:$U,$V$2&amp;if($K15="S1","a",if($K15="S2","b","")),Students!$A:$A,AQ$2)+countifs(Students!$V:$V,$V15,Students!$W:$W,$V$2&amp;if($K15="S1","a",if($K15="S2","b","")),Students!$A:$A,AQ$2)+
countifs(Students!$D:$D,$Y15,Students!$E:$E,$Y$2&amp;if($K15="S1","a",if($K15="S2","b","")),Students!$A:$A,AQ$2)+countifs(Students!$F:$F,$Y15,Students!$G:$G,$Y$2&amp;if($K15="S1","a",if($K15="S2","b","")),Students!$A:$A,AQ$2)+countifs(Students!$H:$H,$Y15,Students!$I:$I,$Y$2&amp;if($K15="S1","a",if($K15="S2","b","")),Students!$A:$A,AQ$2)+countifs(Students!$J:$J,$Y15,Students!$K:$K,$Y$2&amp;if($K15="S1","a",if($K15="S2","b","")),Students!$A:$A,AQ$2)+countifs(Students!$L:$L,$Y15,Students!$M:$M,$Y$2&amp;if($K15="S1","a",if($K15="S2","b","")),Students!$A:$A,AQ$2)+countifs(Students!$N:$N,$Y15,Students!$O:$O,$Y$2&amp;if($K15="S1","a",if($K15="S2","b","")),Students!$A:$A,AQ$2)+countifs(Students!$P:$P,$Y15,Students!$Q:$Q,$Y$2&amp;if($K15="S1","a",if($K15="S2","b","")),Students!$A:$A,AQ$2)+countifs(Students!$R:$R,$Y15,Students!$S:$S,$Y$2&amp;if($K15="S1","a",if($K15="S2","b","")),Students!$A:$A,AQ$2)+countifs(Students!$T:$T,$Y15,Students!$U:$U,$Y$2&amp;if($K15="S1","a",if($K15="S2","b","")),Students!$A:$A,AQ$2)+countifs(Students!$V:$V,$Y15,Students!$W:$W,$Y$2&amp;if($K15="S1","a",if($K15="S2","b","")),Students!$A:$A,AQ$2)+
countifs(Students!$D:$D,$AB15,Students!$E:$E,$AB$2&amp;if($K15="S1","a",if($K15="S2","b","")),Students!$A:$A,AQ$2)+countifs(Students!$F:$F,$AB15,Students!$G:$G,$AB$2&amp;if($K15="S1","a",if($K15="S2","b","")),Students!$A:$A,AQ$2)+countifs(Students!$H:$H,$AB15,Students!$I:$I,$AB$2&amp;if($K15="S1","a",if($K15="S2","b","")),Students!$A:$A,AQ$2)+countifs(Students!$J:$J,$AB15,Students!$K:$K,$AB$2&amp;if($K15="S1","a",if($K15="S2","b","")),Students!$A:$A,AQ$2)+countifs(Students!$L:$L,$AB15,Students!$M:$M,$AB$2&amp;if($K15="S1","a",if($K15="S2","b","")),Students!$A:$A,AQ$2)+countifs(Students!$N:$N,$AB15,Students!$O:$O,$AB$2&amp;if($K15="S1","a",if($K15="S2","b","")),Students!$A:$A,AQ$2)+countifs(Students!$P:$P,$AB15,Students!$Q:$Q,$AB$2&amp;if($K15="S1","a",if($K15="S2","b","")),Students!$A:$A,AQ$2)+countifs(Students!$R:$R,$AB15,Students!$S:$S,$AB$2&amp;if($K15="S1","a",if($K15="S2","b","")),Students!$A:$A,AQ$2)+countifs(Students!$T:$T,$AB15,Students!$U:$U,$AB$2&amp;if($K15="S1","a",if($K15="S2","b","")),Students!$A:$A,AQ$2)+countifs(Students!$V:$V,$AB15,Students!$W:$W,$AB$2&amp;if($K15="S1","a",if($K15="S2","b","")),Students!$A:$A,AQ$2)+
countifs(Students!$D:$D,$AE15,Students!$E:$E,$AE$2&amp;if($K15="S1","a",if($K15="S2","b","")),Students!$A:$A,AQ$2)+countifs(Students!$F:$F,$AE15,Students!$G:$G,$AE$2&amp;if($K15="S1","a",if($K15="S2","b","")),Students!$A:$A,AQ$2)+countifs(Students!$H:$H,$AE15,Students!$I:$I,$AE$2&amp;if($K15="S1","a",if($K15="S2","b","")),Students!$A:$A,AQ$2)+countifs(Students!$J:$J,$AE15,Students!$K:$K,$AE$2&amp;if($K15="S1","a",if($K15="S2","b","")),Students!$A:$A,AQ$2)+countifs(Students!$L:$L,$AE15,Students!$M:$M,$AE$2&amp;if($K15="S1","a",if($K15="S2","b","")),Students!$A:$A,AQ$2)+countifs(Students!$N:$N,$AE15,Students!$O:$O,$AE$2&amp;if($K15="S1","a",if($K15="S2","b","")),Students!$A:$A,AQ$2)+countifs(Students!$P:$P,$AE15,Students!$Q:$Q,$AE$2&amp;if($K15="S1","a",if($K15="S2","b","")),Students!$A:$A,AQ$2)+countifs(Students!$R:$R,$AE15,Students!$S:$S,$AE$2&amp;if($K15="S1","a",if($K15="S2","b","")),Students!$A:$A,AQ$2)+countifs(Students!$T:$T,$AE15,Students!$U:$U,$AE$2&amp;if($K15="S1","a",if($K15="S2","b","")),Students!$A:$A,AQ$2)+countifs(Students!$V:$V,$AE15,Students!$W:$W,$AE$2&amp;if($K15="S1","a",if($K15="S2","b","")),Students!$A:$A,AQ$2)+
countifs(Students!$D:$D,$AH15,Students!$E:$E,$AH$2&amp;if($K15="S1","a",if($K15="S2","b","")),Students!$A:$A,AQ$2)+countifs(Students!$F:$F,$AH15,Students!$G:$G,$AH$2&amp;if($K15="S1","a",if($K15="S2","b","")),Students!$A:$A,AQ$2)+countifs(Students!$H:$H,$AH15,Students!$I:$I,$AH$2&amp;if($K15="S1","a",if($K15="S2","b","")),Students!$A:$A,AQ$2)+countifs(Students!$J:$J,$AH15,Students!$K:$K,$AH$2&amp;if($K15="S1","a",if($K15="S2","b","")),Students!$A:$A,AQ$2)+countifs(Students!$L:$L,$AH15,Students!$M:$M,$AH$2&amp;if($K15="S1","a",if($K15="S2","b","")),Students!$A:$A,AQ$2)+countifs(Students!$N:$N,$AH15,Students!$O:$O,$AH$2&amp;if($K15="S1","a",if($K15="S2","b","")),Students!$A:$A,AQ$2)+countifs(Students!$P:$P,$AH15,Students!$Q:$Q,$AH$2&amp;if($K15="S1","a",if($K15="S2","b","")),Students!$A:$A,AQ$2)+countifs(Students!$R:$R,$AH15,Students!$S:$S,$AH$2&amp;if($K15="S1","a",if($K15="S2","b","")),Students!$A:$A,AQ$2)+countifs(Students!$T:$T,$AH15,Students!$U:$U,$AH$2&amp;if($K15="S1","a",if($K15="S2","b","")),Students!$A:$A,AQ$2)+countifs(Students!$V:$V,$AH15,Students!$W:$W,$AH$2&amp;if($K15="S1","a",if($K15="S2","b","")),Students!$A:$A,AQ$2)+
countifs(Students!$D:$D,$AK15,Students!$E:$E,$AK$2&amp;if($K15="S1","a",if($K15="S2","b","")),Students!$A:$A,AQ$2)+countifs(Students!$F:$F,$AK15,Students!$G:$G,$AK$2&amp;if($K15="S1","a",if($K15="S2","b","")),Students!$A:$A,AQ$2)+countifs(Students!$H:$H,$AK15,Students!$I:$I,$AK$2&amp;if($K15="S1","a",if($K15="S2","b","")),Students!$A:$A,AQ$2)+countifs(Students!$J:$J,$AK15,Students!$K:$K,$AK$2&amp;if($K15="S1","a",if($K15="S2","b","")),Students!$A:$A,AQ$2)+countifs(Students!$L:$L,$AK15,Students!$M:$M,$AK$2&amp;if($K15="S1","a",if($K15="S2","b","")),Students!$A:$A,AQ$2)+countifs(Students!$N:$N,$AK15,Students!$O:$O,$AK$2&amp;if($K15="S1","a",if($K15="S2","b","")),Students!$A:$A,AQ$2)+countifs(Students!$P:$P,$AK15,Students!$Q:$Q,$AK$2&amp;if($K15="S1","a",if($K15="S2","b","")),Students!$A:$A,AQ$2)+countifs(Students!$R:$R,$AK15,Students!$S:$S,$AK$2&amp;if($K15="S1","a",if($K15="S2","b","")),Students!$A:$A,AQ$2)+countifs(Students!$T:$T,$AK15,Students!$U:$U,$AK$2&amp;if($K15="S1","a",if($K15="S2","b","")),Students!$A:$A,AQ$2)+countifs(Students!$V:$V,$AK15,Students!$W:$W,$AK$2&amp;if($K15="S1","a",if($K15="S2","b","")),Students!$A:$A,AQ$2))</f>
        <v>45</v>
      </c>
      <c r="AR15" s="102">
        <f>if($L15="","",countifs(Students!$D:$D,$P15,Students!$E:$E,$P$2&amp;if($K15="S1","a",if($K15="S2","b","")),Students!$A:$A,AR$2)+countifs(Students!$F:$F,$P15,Students!$G:$G,$P$2&amp;if($K15="S1","a",if($K15="S2","b","")),Students!$A:$A,AR$2)+countifs(Students!$H:$H,$P15,Students!$I:$I,$P$2&amp;if($K15="S1","a",if($K15="S2","b","")),Students!$A:$A,AR$2)+countifs(Students!$J:$J,$P15,Students!$K:$K,$P$2&amp;if($K15="S1","a",if($K15="S2","b","")),Students!$A:$A,AR$2)+countifs(Students!$L:$L,$P15,Students!$M:$M,$P$2&amp;if($K15="S1","a",if($K15="S2","b","")),Students!$A:$A,AR$2)+countifs(Students!$N:$N,$P15,Students!$O:$O,$P$2&amp;if($K15="S1","a",if($K15="S2","b","")),Students!$A:$A,AR$2)+countifs(Students!$P:$P,$P15,Students!$Q:$Q,$P$2&amp;if($K15="S1","a",if($K15="S2","b","")),Students!$A:$A,AR$2)+countifs(Students!$R:$R,$P15,Students!$S:$S,$P$2&amp;if($K15="S1","a",if($K15="S2","b","")),Students!$A:$A,AR$2)+countifs(Students!$T:$T,$P15,Students!$U:$U,$P$2&amp;if($K15="S1","a",if($K15="S2","b","")),Students!$A:$A,AR$2)+countifs(Students!$V:$V,$P15,Students!$W:$W,$P$2&amp;if($K15="S1","a",if($K15="S2","b","")),Students!$A:$A,AR$2)+
countifs(Students!$D:$D,$S15,Students!$E:$E,$S$2&amp;if($K15="S1","a",if($K15="S2","b","")),Students!$A:$A,AR$2)+countifs(Students!$F:$F,$S15,Students!$G:$G,$S$2&amp;if($K15="S1","a",if($K15="S2","b","")),Students!$A:$A,AR$2)+countifs(Students!$H:$H,$S15,Students!$I:$I,$S$2&amp;if($K15="S1","a",if($K15="S2","b","")),Students!$A:$A,AR$2)+countifs(Students!$J:$J,$S15,Students!$K:$K,$S$2&amp;if($K15="S1","a",if($K15="S2","b","")),Students!$A:$A,AR$2)+countifs(Students!$L:$L,$S15,Students!$M:$M,$S$2&amp;if($K15="S1","a",if($K15="S2","b","")),Students!$A:$A,AR$2)+countifs(Students!$N:$N,$S15,Students!$O:$O,$S$2&amp;if($K15="S1","a",if($K15="S2","b","")),Students!$A:$A,AR$2)+countifs(Students!$P:$P,$S15,Students!$Q:$Q,$S$2&amp;if($K15="S1","a",if($K15="S2","b","")),Students!$A:$A,AR$2)+countifs(Students!$R:$R,$S15,Students!$S:$S,$S$2&amp;if($K15="S1","a",if($K15="S2","b","")),Students!$A:$A,AR$2)+countifs(Students!$T:$T,$S15,Students!$U:$U,$S$2&amp;if($K15="S1","a",if($K15="S2","b","")),Students!$A:$A,AR$2)+countifs(Students!$V:$V,$S15,Students!$W:$W,$S$2&amp;if($K15="S1","a",if($K15="S2","b","")),Students!$A:$A,AR$2)+
countifs(Students!$D:$D,$V15,Students!$E:$E,$V$2&amp;if($K15="S1","a",if($K15="S2","b","")),Students!$A:$A,AR$2)+countifs(Students!$F:$F,$V15,Students!$G:$G,$V$2&amp;if($K15="S1","a",if($K15="S2","b","")),Students!$A:$A,AR$2)+countifs(Students!$H:$H,$V15,Students!$I:$I,$V$2&amp;if($K15="S1","a",if($K15="S2","b","")),Students!$A:$A,AR$2)+countifs(Students!$J:$J,$V15,Students!$K:$K,$V$2&amp;if($K15="S1","a",if($K15="S2","b","")),Students!$A:$A,AR$2)+countifs(Students!$L:$L,$V15,Students!$M:$M,$V$2&amp;if($K15="S1","a",if($K15="S2","b","")),Students!$A:$A,AR$2)+countifs(Students!$N:$N,$V15,Students!$O:$O,$V$2&amp;if($K15="S1","a",if($K15="S2","b","")),Students!$A:$A,AR$2)+countifs(Students!$P:$P,$V15,Students!$Q:$Q,$V$2&amp;if($K15="S1","a",if($K15="S2","b","")),Students!$A:$A,AR$2)+countifs(Students!$R:$R,$V15,Students!$S:$S,$V$2&amp;if($K15="S1","a",if($K15="S2","b","")),Students!$A:$A,AR$2)+countifs(Students!$T:$T,$V15,Students!$U:$U,$V$2&amp;if($K15="S1","a",if($K15="S2","b","")),Students!$A:$A,AR$2)+countifs(Students!$V:$V,$V15,Students!$W:$W,$V$2&amp;if($K15="S1","a",if($K15="S2","b","")),Students!$A:$A,AR$2)+
countifs(Students!$D:$D,$Y15,Students!$E:$E,$Y$2&amp;if($K15="S1","a",if($K15="S2","b","")),Students!$A:$A,AR$2)+countifs(Students!$F:$F,$Y15,Students!$G:$G,$Y$2&amp;if($K15="S1","a",if($K15="S2","b","")),Students!$A:$A,AR$2)+countifs(Students!$H:$H,$Y15,Students!$I:$I,$Y$2&amp;if($K15="S1","a",if($K15="S2","b","")),Students!$A:$A,AR$2)+countifs(Students!$J:$J,$Y15,Students!$K:$K,$Y$2&amp;if($K15="S1","a",if($K15="S2","b","")),Students!$A:$A,AR$2)+countifs(Students!$L:$L,$Y15,Students!$M:$M,$Y$2&amp;if($K15="S1","a",if($K15="S2","b","")),Students!$A:$A,AR$2)+countifs(Students!$N:$N,$Y15,Students!$O:$O,$Y$2&amp;if($K15="S1","a",if($K15="S2","b","")),Students!$A:$A,AR$2)+countifs(Students!$P:$P,$Y15,Students!$Q:$Q,$Y$2&amp;if($K15="S1","a",if($K15="S2","b","")),Students!$A:$A,AR$2)+countifs(Students!$R:$R,$Y15,Students!$S:$S,$Y$2&amp;if($K15="S1","a",if($K15="S2","b","")),Students!$A:$A,AR$2)+countifs(Students!$T:$T,$Y15,Students!$U:$U,$Y$2&amp;if($K15="S1","a",if($K15="S2","b","")),Students!$A:$A,AR$2)+countifs(Students!$V:$V,$Y15,Students!$W:$W,$Y$2&amp;if($K15="S1","a",if($K15="S2","b","")),Students!$A:$A,AR$2)+
countifs(Students!$D:$D,$AB15,Students!$E:$E,$AB$2&amp;if($K15="S1","a",if($K15="S2","b","")),Students!$A:$A,AR$2)+countifs(Students!$F:$F,$AB15,Students!$G:$G,$AB$2&amp;if($K15="S1","a",if($K15="S2","b","")),Students!$A:$A,AR$2)+countifs(Students!$H:$H,$AB15,Students!$I:$I,$AB$2&amp;if($K15="S1","a",if($K15="S2","b","")),Students!$A:$A,AR$2)+countifs(Students!$J:$J,$AB15,Students!$K:$K,$AB$2&amp;if($K15="S1","a",if($K15="S2","b","")),Students!$A:$A,AR$2)+countifs(Students!$L:$L,$AB15,Students!$M:$M,$AB$2&amp;if($K15="S1","a",if($K15="S2","b","")),Students!$A:$A,AR$2)+countifs(Students!$N:$N,$AB15,Students!$O:$O,$AB$2&amp;if($K15="S1","a",if($K15="S2","b","")),Students!$A:$A,AR$2)+countifs(Students!$P:$P,$AB15,Students!$Q:$Q,$AB$2&amp;if($K15="S1","a",if($K15="S2","b","")),Students!$A:$A,AR$2)+countifs(Students!$R:$R,$AB15,Students!$S:$S,$AB$2&amp;if($K15="S1","a",if($K15="S2","b","")),Students!$A:$A,AR$2)+countifs(Students!$T:$T,$AB15,Students!$U:$U,$AB$2&amp;if($K15="S1","a",if($K15="S2","b","")),Students!$A:$A,AR$2)+countifs(Students!$V:$V,$AB15,Students!$W:$W,$AB$2&amp;if($K15="S1","a",if($K15="S2","b","")),Students!$A:$A,AR$2)+
countifs(Students!$D:$D,$AE15,Students!$E:$E,$AE$2&amp;if($K15="S1","a",if($K15="S2","b","")),Students!$A:$A,AR$2)+countifs(Students!$F:$F,$AE15,Students!$G:$G,$AE$2&amp;if($K15="S1","a",if($K15="S2","b","")),Students!$A:$A,AR$2)+countifs(Students!$H:$H,$AE15,Students!$I:$I,$AE$2&amp;if($K15="S1","a",if($K15="S2","b","")),Students!$A:$A,AR$2)+countifs(Students!$J:$J,$AE15,Students!$K:$K,$AE$2&amp;if($K15="S1","a",if($K15="S2","b","")),Students!$A:$A,AR$2)+countifs(Students!$L:$L,$AE15,Students!$M:$M,$AE$2&amp;if($K15="S1","a",if($K15="S2","b","")),Students!$A:$A,AR$2)+countifs(Students!$N:$N,$AE15,Students!$O:$O,$AE$2&amp;if($K15="S1","a",if($K15="S2","b","")),Students!$A:$A,AR$2)+countifs(Students!$P:$P,$AE15,Students!$Q:$Q,$AE$2&amp;if($K15="S1","a",if($K15="S2","b","")),Students!$A:$A,AR$2)+countifs(Students!$R:$R,$AE15,Students!$S:$S,$AE$2&amp;if($K15="S1","a",if($K15="S2","b","")),Students!$A:$A,AR$2)+countifs(Students!$T:$T,$AE15,Students!$U:$U,$AE$2&amp;if($K15="S1","a",if($K15="S2","b","")),Students!$A:$A,AR$2)+countifs(Students!$V:$V,$AE15,Students!$W:$W,$AE$2&amp;if($K15="S1","a",if($K15="S2","b","")),Students!$A:$A,AR$2)+
countifs(Students!$D:$D,$AH15,Students!$E:$E,$AH$2&amp;if($K15="S1","a",if($K15="S2","b","")),Students!$A:$A,AR$2)+countifs(Students!$F:$F,$AH15,Students!$G:$G,$AH$2&amp;if($K15="S1","a",if($K15="S2","b","")),Students!$A:$A,AR$2)+countifs(Students!$H:$H,$AH15,Students!$I:$I,$AH$2&amp;if($K15="S1","a",if($K15="S2","b","")),Students!$A:$A,AR$2)+countifs(Students!$J:$J,$AH15,Students!$K:$K,$AH$2&amp;if($K15="S1","a",if($K15="S2","b","")),Students!$A:$A,AR$2)+countifs(Students!$L:$L,$AH15,Students!$M:$M,$AH$2&amp;if($K15="S1","a",if($K15="S2","b","")),Students!$A:$A,AR$2)+countifs(Students!$N:$N,$AH15,Students!$O:$O,$AH$2&amp;if($K15="S1","a",if($K15="S2","b","")),Students!$A:$A,AR$2)+countifs(Students!$P:$P,$AH15,Students!$Q:$Q,$AH$2&amp;if($K15="S1","a",if($K15="S2","b","")),Students!$A:$A,AR$2)+countifs(Students!$R:$R,$AH15,Students!$S:$S,$AH$2&amp;if($K15="S1","a",if($K15="S2","b","")),Students!$A:$A,AR$2)+countifs(Students!$T:$T,$AH15,Students!$U:$U,$AH$2&amp;if($K15="S1","a",if($K15="S2","b","")),Students!$A:$A,AR$2)+countifs(Students!$V:$V,$AH15,Students!$W:$W,$AH$2&amp;if($K15="S1","a",if($K15="S2","b","")),Students!$A:$A,AR$2)+
countifs(Students!$D:$D,$AK15,Students!$E:$E,$AK$2&amp;if($K15="S1","a",if($K15="S2","b","")),Students!$A:$A,AR$2)+countifs(Students!$F:$F,$AK15,Students!$G:$G,$AK$2&amp;if($K15="S1","a",if($K15="S2","b","")),Students!$A:$A,AR$2)+countifs(Students!$H:$H,$AK15,Students!$I:$I,$AK$2&amp;if($K15="S1","a",if($K15="S2","b","")),Students!$A:$A,AR$2)+countifs(Students!$J:$J,$AK15,Students!$K:$K,$AK$2&amp;if($K15="S1","a",if($K15="S2","b","")),Students!$A:$A,AR$2)+countifs(Students!$L:$L,$AK15,Students!$M:$M,$AK$2&amp;if($K15="S1","a",if($K15="S2","b","")),Students!$A:$A,AR$2)+countifs(Students!$N:$N,$AK15,Students!$O:$O,$AK$2&amp;if($K15="S1","a",if($K15="S2","b","")),Students!$A:$A,AR$2)+countifs(Students!$P:$P,$AK15,Students!$Q:$Q,$AK$2&amp;if($K15="S1","a",if($K15="S2","b","")),Students!$A:$A,AR$2)+countifs(Students!$R:$R,$AK15,Students!$S:$S,$AK$2&amp;if($K15="S1","a",if($K15="S2","b","")),Students!$A:$A,AR$2)+countifs(Students!$T:$T,$AK15,Students!$U:$U,$AK$2&amp;if($K15="S1","a",if($K15="S2","b","")),Students!$A:$A,AR$2)+countifs(Students!$V:$V,$AK15,Students!$W:$W,$AK$2&amp;if($K15="S1","a",if($K15="S2","b","")),Students!$A:$A,AR$2))</f>
        <v>24</v>
      </c>
      <c r="AS15" s="102">
        <f>if($L15="","",countifs(Students!$D:$D,$P15,Students!$E:$E,$P$2&amp;if($K15="S1","a",if($K15="S2","b","")),Students!$A:$A,AS$2)+countifs(Students!$F:$F,$P15,Students!$G:$G,$P$2&amp;if($K15="S1","a",if($K15="S2","b","")),Students!$A:$A,AS$2)+countifs(Students!$H:$H,$P15,Students!$I:$I,$P$2&amp;if($K15="S1","a",if($K15="S2","b","")),Students!$A:$A,AS$2)+countifs(Students!$J:$J,$P15,Students!$K:$K,$P$2&amp;if($K15="S1","a",if($K15="S2","b","")),Students!$A:$A,AS$2)+countifs(Students!$L:$L,$P15,Students!$M:$M,$P$2&amp;if($K15="S1","a",if($K15="S2","b","")),Students!$A:$A,AS$2)+countifs(Students!$N:$N,$P15,Students!$O:$O,$P$2&amp;if($K15="S1","a",if($K15="S2","b","")),Students!$A:$A,AS$2)+countifs(Students!$P:$P,$P15,Students!$Q:$Q,$P$2&amp;if($K15="S1","a",if($K15="S2","b","")),Students!$A:$A,AS$2)+countifs(Students!$R:$R,$P15,Students!$S:$S,$P$2&amp;if($K15="S1","a",if($K15="S2","b","")),Students!$A:$A,AS$2)+countifs(Students!$T:$T,$P15,Students!$U:$U,$P$2&amp;if($K15="S1","a",if($K15="S2","b","")),Students!$A:$A,AS$2)+countifs(Students!$V:$V,$P15,Students!$W:$W,$P$2&amp;if($K15="S1","a",if($K15="S2","b","")),Students!$A:$A,AS$2)+
countifs(Students!$D:$D,$S15,Students!$E:$E,$S$2&amp;if($K15="S1","a",if($K15="S2","b","")),Students!$A:$A,AS$2)+countifs(Students!$F:$F,$S15,Students!$G:$G,$S$2&amp;if($K15="S1","a",if($K15="S2","b","")),Students!$A:$A,AS$2)+countifs(Students!$H:$H,$S15,Students!$I:$I,$S$2&amp;if($K15="S1","a",if($K15="S2","b","")),Students!$A:$A,AS$2)+countifs(Students!$J:$J,$S15,Students!$K:$K,$S$2&amp;if($K15="S1","a",if($K15="S2","b","")),Students!$A:$A,AS$2)+countifs(Students!$L:$L,$S15,Students!$M:$M,$S$2&amp;if($K15="S1","a",if($K15="S2","b","")),Students!$A:$A,AS$2)+countifs(Students!$N:$N,$S15,Students!$O:$O,$S$2&amp;if($K15="S1","a",if($K15="S2","b","")),Students!$A:$A,AS$2)+countifs(Students!$P:$P,$S15,Students!$Q:$Q,$S$2&amp;if($K15="S1","a",if($K15="S2","b","")),Students!$A:$A,AS$2)+countifs(Students!$R:$R,$S15,Students!$S:$S,$S$2&amp;if($K15="S1","a",if($K15="S2","b","")),Students!$A:$A,AS$2)+countifs(Students!$T:$T,$S15,Students!$U:$U,$S$2&amp;if($K15="S1","a",if($K15="S2","b","")),Students!$A:$A,AS$2)+countifs(Students!$V:$V,$S15,Students!$W:$W,$S$2&amp;if($K15="S1","a",if($K15="S2","b","")),Students!$A:$A,AS$2)+
countifs(Students!$D:$D,$V15,Students!$E:$E,$V$2&amp;if($K15="S1","a",if($K15="S2","b","")),Students!$A:$A,AS$2)+countifs(Students!$F:$F,$V15,Students!$G:$G,$V$2&amp;if($K15="S1","a",if($K15="S2","b","")),Students!$A:$A,AS$2)+countifs(Students!$H:$H,$V15,Students!$I:$I,$V$2&amp;if($K15="S1","a",if($K15="S2","b","")),Students!$A:$A,AS$2)+countifs(Students!$J:$J,$V15,Students!$K:$K,$V$2&amp;if($K15="S1","a",if($K15="S2","b","")),Students!$A:$A,AS$2)+countifs(Students!$L:$L,$V15,Students!$M:$M,$V$2&amp;if($K15="S1","a",if($K15="S2","b","")),Students!$A:$A,AS$2)+countifs(Students!$N:$N,$V15,Students!$O:$O,$V$2&amp;if($K15="S1","a",if($K15="S2","b","")),Students!$A:$A,AS$2)+countifs(Students!$P:$P,$V15,Students!$Q:$Q,$V$2&amp;if($K15="S1","a",if($K15="S2","b","")),Students!$A:$A,AS$2)+countifs(Students!$R:$R,$V15,Students!$S:$S,$V$2&amp;if($K15="S1","a",if($K15="S2","b","")),Students!$A:$A,AS$2)+countifs(Students!$T:$T,$V15,Students!$U:$U,$V$2&amp;if($K15="S1","a",if($K15="S2","b","")),Students!$A:$A,AS$2)+countifs(Students!$V:$V,$V15,Students!$W:$W,$V$2&amp;if($K15="S1","a",if($K15="S2","b","")),Students!$A:$A,AS$2)+
countifs(Students!$D:$D,$Y15,Students!$E:$E,$Y$2&amp;if($K15="S1","a",if($K15="S2","b","")),Students!$A:$A,AS$2)+countifs(Students!$F:$F,$Y15,Students!$G:$G,$Y$2&amp;if($K15="S1","a",if($K15="S2","b","")),Students!$A:$A,AS$2)+countifs(Students!$H:$H,$Y15,Students!$I:$I,$Y$2&amp;if($K15="S1","a",if($K15="S2","b","")),Students!$A:$A,AS$2)+countifs(Students!$J:$J,$Y15,Students!$K:$K,$Y$2&amp;if($K15="S1","a",if($K15="S2","b","")),Students!$A:$A,AS$2)+countifs(Students!$L:$L,$Y15,Students!$M:$M,$Y$2&amp;if($K15="S1","a",if($K15="S2","b","")),Students!$A:$A,AS$2)+countifs(Students!$N:$N,$Y15,Students!$O:$O,$Y$2&amp;if($K15="S1","a",if($K15="S2","b","")),Students!$A:$A,AS$2)+countifs(Students!$P:$P,$Y15,Students!$Q:$Q,$Y$2&amp;if($K15="S1","a",if($K15="S2","b","")),Students!$A:$A,AS$2)+countifs(Students!$R:$R,$Y15,Students!$S:$S,$Y$2&amp;if($K15="S1","a",if($K15="S2","b","")),Students!$A:$A,AS$2)+countifs(Students!$T:$T,$Y15,Students!$U:$U,$Y$2&amp;if($K15="S1","a",if($K15="S2","b","")),Students!$A:$A,AS$2)+countifs(Students!$V:$V,$Y15,Students!$W:$W,$Y$2&amp;if($K15="S1","a",if($K15="S2","b","")),Students!$A:$A,AS$2)+
countifs(Students!$D:$D,$AB15,Students!$E:$E,$AB$2&amp;if($K15="S1","a",if($K15="S2","b","")),Students!$A:$A,AS$2)+countifs(Students!$F:$F,$AB15,Students!$G:$G,$AB$2&amp;if($K15="S1","a",if($K15="S2","b","")),Students!$A:$A,AS$2)+countifs(Students!$H:$H,$AB15,Students!$I:$I,$AB$2&amp;if($K15="S1","a",if($K15="S2","b","")),Students!$A:$A,AS$2)+countifs(Students!$J:$J,$AB15,Students!$K:$K,$AB$2&amp;if($K15="S1","a",if($K15="S2","b","")),Students!$A:$A,AS$2)+countifs(Students!$L:$L,$AB15,Students!$M:$M,$AB$2&amp;if($K15="S1","a",if($K15="S2","b","")),Students!$A:$A,AS$2)+countifs(Students!$N:$N,$AB15,Students!$O:$O,$AB$2&amp;if($K15="S1","a",if($K15="S2","b","")),Students!$A:$A,AS$2)+countifs(Students!$P:$P,$AB15,Students!$Q:$Q,$AB$2&amp;if($K15="S1","a",if($K15="S2","b","")),Students!$A:$A,AS$2)+countifs(Students!$R:$R,$AB15,Students!$S:$S,$AB$2&amp;if($K15="S1","a",if($K15="S2","b","")),Students!$A:$A,AS$2)+countifs(Students!$T:$T,$AB15,Students!$U:$U,$AB$2&amp;if($K15="S1","a",if($K15="S2","b","")),Students!$A:$A,AS$2)+countifs(Students!$V:$V,$AB15,Students!$W:$W,$AB$2&amp;if($K15="S1","a",if($K15="S2","b","")),Students!$A:$A,AS$2)+
countifs(Students!$D:$D,$AE15,Students!$E:$E,$AE$2&amp;if($K15="S1","a",if($K15="S2","b","")),Students!$A:$A,AS$2)+countifs(Students!$F:$F,$AE15,Students!$G:$G,$AE$2&amp;if($K15="S1","a",if($K15="S2","b","")),Students!$A:$A,AS$2)+countifs(Students!$H:$H,$AE15,Students!$I:$I,$AE$2&amp;if($K15="S1","a",if($K15="S2","b","")),Students!$A:$A,AS$2)+countifs(Students!$J:$J,$AE15,Students!$K:$K,$AE$2&amp;if($K15="S1","a",if($K15="S2","b","")),Students!$A:$A,AS$2)+countifs(Students!$L:$L,$AE15,Students!$M:$M,$AE$2&amp;if($K15="S1","a",if($K15="S2","b","")),Students!$A:$A,AS$2)+countifs(Students!$N:$N,$AE15,Students!$O:$O,$AE$2&amp;if($K15="S1","a",if($K15="S2","b","")),Students!$A:$A,AS$2)+countifs(Students!$P:$P,$AE15,Students!$Q:$Q,$AE$2&amp;if($K15="S1","a",if($K15="S2","b","")),Students!$A:$A,AS$2)+countifs(Students!$R:$R,$AE15,Students!$S:$S,$AE$2&amp;if($K15="S1","a",if($K15="S2","b","")),Students!$A:$A,AS$2)+countifs(Students!$T:$T,$AE15,Students!$U:$U,$AE$2&amp;if($K15="S1","a",if($K15="S2","b","")),Students!$A:$A,AS$2)+countifs(Students!$V:$V,$AE15,Students!$W:$W,$AE$2&amp;if($K15="S1","a",if($K15="S2","b","")),Students!$A:$A,AS$2)+
countifs(Students!$D:$D,$AH15,Students!$E:$E,$AH$2&amp;if($K15="S1","a",if($K15="S2","b","")),Students!$A:$A,AS$2)+countifs(Students!$F:$F,$AH15,Students!$G:$G,$AH$2&amp;if($K15="S1","a",if($K15="S2","b","")),Students!$A:$A,AS$2)+countifs(Students!$H:$H,$AH15,Students!$I:$I,$AH$2&amp;if($K15="S1","a",if($K15="S2","b","")),Students!$A:$A,AS$2)+countifs(Students!$J:$J,$AH15,Students!$K:$K,$AH$2&amp;if($K15="S1","a",if($K15="S2","b","")),Students!$A:$A,AS$2)+countifs(Students!$L:$L,$AH15,Students!$M:$M,$AH$2&amp;if($K15="S1","a",if($K15="S2","b","")),Students!$A:$A,AS$2)+countifs(Students!$N:$N,$AH15,Students!$O:$O,$AH$2&amp;if($K15="S1","a",if($K15="S2","b","")),Students!$A:$A,AS$2)+countifs(Students!$P:$P,$AH15,Students!$Q:$Q,$AH$2&amp;if($K15="S1","a",if($K15="S2","b","")),Students!$A:$A,AS$2)+countifs(Students!$R:$R,$AH15,Students!$S:$S,$AH$2&amp;if($K15="S1","a",if($K15="S2","b","")),Students!$A:$A,AS$2)+countifs(Students!$T:$T,$AH15,Students!$U:$U,$AH$2&amp;if($K15="S1","a",if($K15="S2","b","")),Students!$A:$A,AS$2)+countifs(Students!$V:$V,$AH15,Students!$W:$W,$AH$2&amp;if($K15="S1","a",if($K15="S2","b","")),Students!$A:$A,AS$2)+
countifs(Students!$D:$D,$AK15,Students!$E:$E,$AK$2&amp;if($K15="S1","a",if($K15="S2","b","")),Students!$A:$A,AS$2)+countifs(Students!$F:$F,$AK15,Students!$G:$G,$AK$2&amp;if($K15="S1","a",if($K15="S2","b","")),Students!$A:$A,AS$2)+countifs(Students!$H:$H,$AK15,Students!$I:$I,$AK$2&amp;if($K15="S1","a",if($K15="S2","b","")),Students!$A:$A,AS$2)+countifs(Students!$J:$J,$AK15,Students!$K:$K,$AK$2&amp;if($K15="S1","a",if($K15="S2","b","")),Students!$A:$A,AS$2)+countifs(Students!$L:$L,$AK15,Students!$M:$M,$AK$2&amp;if($K15="S1","a",if($K15="S2","b","")),Students!$A:$A,AS$2)+countifs(Students!$N:$N,$AK15,Students!$O:$O,$AK$2&amp;if($K15="S1","a",if($K15="S2","b","")),Students!$A:$A,AS$2)+countifs(Students!$P:$P,$AK15,Students!$Q:$Q,$AK$2&amp;if($K15="S1","a",if($K15="S2","b","")),Students!$A:$A,AS$2)+countifs(Students!$R:$R,$AK15,Students!$S:$S,$AK$2&amp;if($K15="S1","a",if($K15="S2","b","")),Students!$A:$A,AS$2)+countifs(Students!$T:$T,$AK15,Students!$U:$U,$AK$2&amp;if($K15="S1","a",if($K15="S2","b","")),Students!$A:$A,AS$2)+countifs(Students!$V:$V,$AK15,Students!$W:$W,$AK$2&amp;if($K15="S1","a",if($K15="S2","b","")),Students!$A:$A,AS$2))</f>
        <v>24</v>
      </c>
    </row>
    <row r="16">
      <c r="A16" s="100"/>
      <c r="B16" s="109" t="s">
        <v>58</v>
      </c>
      <c r="C16" s="109" t="s">
        <v>59</v>
      </c>
      <c r="J16" s="87">
        <v>79.0</v>
      </c>
      <c r="K16" s="70"/>
      <c r="L16" s="58" t="s">
        <v>60</v>
      </c>
      <c r="M16" s="107"/>
      <c r="N16" s="92">
        <v>2.0</v>
      </c>
      <c r="O16" s="92">
        <f>IFERROR(__xludf.DUMMYFUNCTION("3*counta((transpose(filter(P16:AM16,P16:AM16&lt;&gt;"""",isnumber(P16:AM16)=false))))"),15.0)</f>
        <v>15</v>
      </c>
      <c r="P16" s="90" t="s">
        <v>61</v>
      </c>
      <c r="Q16" s="91">
        <v>1.0</v>
      </c>
      <c r="R16" s="92">
        <v>17.0</v>
      </c>
      <c r="S16" s="94"/>
      <c r="T16" s="104"/>
      <c r="U16" s="105" t="s">
        <v>22</v>
      </c>
      <c r="V16" s="108"/>
      <c r="W16" s="91"/>
      <c r="X16" s="92" t="s">
        <v>22</v>
      </c>
      <c r="Y16" s="90" t="s">
        <v>61</v>
      </c>
      <c r="Z16" s="91">
        <v>2.0</v>
      </c>
      <c r="AA16" s="92">
        <v>22.0</v>
      </c>
      <c r="AB16" s="90" t="s">
        <v>61</v>
      </c>
      <c r="AC16" s="91">
        <v>3.0</v>
      </c>
      <c r="AD16" s="92">
        <v>16.0</v>
      </c>
      <c r="AE16" s="90" t="s">
        <v>61</v>
      </c>
      <c r="AF16" s="101">
        <v>4.0</v>
      </c>
      <c r="AG16" s="92">
        <v>19.0</v>
      </c>
      <c r="AH16" s="108"/>
      <c r="AI16" s="96"/>
      <c r="AJ16" s="92" t="s">
        <v>22</v>
      </c>
      <c r="AK16" s="108" t="s">
        <v>62</v>
      </c>
      <c r="AL16" s="96">
        <v>1.0</v>
      </c>
      <c r="AM16" s="110">
        <v>5.0</v>
      </c>
      <c r="AN16" s="99"/>
      <c r="AO16" s="52">
        <f t="shared" si="2"/>
        <v>79</v>
      </c>
      <c r="AP16" s="102">
        <f>if($L16="","",countifs(Students!$D:$D,$P16,Students!$E:$E,$P$2&amp;if($K16="S1","a",if($K16="S2","b","")),Students!$A:$A,AP$2)+countifs(Students!$F:$F,$P16,Students!$G:$G,$P$2&amp;if($K16="S1","a",if($K16="S2","b","")),Students!$A:$A,AP$2)+countifs(Students!$H:$H,$P16,Students!$I:$I,$P$2&amp;if($K16="S1","a",if($K16="S2","b","")),Students!$A:$A,AP$2)+countifs(Students!$J:$J,$P16,Students!$K:$K,$P$2&amp;if($K16="S1","a",if($K16="S2","b","")),Students!$A:$A,AP$2)+countifs(Students!$L:$L,$P16,Students!$M:$M,$P$2&amp;if($K16="S1","a",if($K16="S2","b","")),Students!$A:$A,AP$2)+countifs(Students!$N:$N,$P16,Students!$O:$O,$P$2&amp;if($K16="S1","a",if($K16="S2","b","")),Students!$A:$A,AP$2)+countifs(Students!$P:$P,$P16,Students!$Q:$Q,$P$2&amp;if($K16="S1","a",if($K16="S2","b","")),Students!$A:$A,AP$2)+countifs(Students!$R:$R,$P16,Students!$S:$S,$P$2&amp;if($K16="S1","a",if($K16="S2","b","")),Students!$A:$A,AP$2)+countifs(Students!$T:$T,$P16,Students!$U:$U,$P$2&amp;if($K16="S1","a",if($K16="S2","b","")),Students!$A:$A,AP$2)+countifs(Students!$V:$V,$P16,Students!$W:$W,$P$2&amp;if($K16="S1","a",if($K16="S2","b","")),Students!$A:$A,AP$2)+
countifs(Students!$D:$D,$S16,Students!$E:$E,$S$2&amp;if($K16="S1","a",if($K16="S2","b","")),Students!$A:$A,AP$2)+countifs(Students!$F:$F,$S16,Students!$G:$G,$S$2&amp;if($K16="S1","a",if($K16="S2","b","")),Students!$A:$A,AP$2)+countifs(Students!$H:$H,$S16,Students!$I:$I,$S$2&amp;if($K16="S1","a",if($K16="S2","b","")),Students!$A:$A,AP$2)+countifs(Students!$J:$J,$S16,Students!$K:$K,$S$2&amp;if($K16="S1","a",if($K16="S2","b","")),Students!$A:$A,AP$2)+countifs(Students!$L:$L,$S16,Students!$M:$M,$S$2&amp;if($K16="S1","a",if($K16="S2","b","")),Students!$A:$A,AP$2)+countifs(Students!$N:$N,$S16,Students!$O:$O,$S$2&amp;if($K16="S1","a",if($K16="S2","b","")),Students!$A:$A,AP$2)+countifs(Students!$P:$P,$S16,Students!$Q:$Q,$S$2&amp;if($K16="S1","a",if($K16="S2","b","")),Students!$A:$A,AP$2)+countifs(Students!$R:$R,$S16,Students!$S:$S,$S$2&amp;if($K16="S1","a",if($K16="S2","b","")),Students!$A:$A,AP$2)+countifs(Students!$T:$T,$S16,Students!$U:$U,$S$2&amp;if($K16="S1","a",if($K16="S2","b","")),Students!$A:$A,AP$2)+countifs(Students!$V:$V,$S16,Students!$W:$W,$S$2&amp;if($K16="S1","a",if($K16="S2","b","")),Students!$A:$A,AP$2)+
countifs(Students!$D:$D,$V16,Students!$E:$E,$V$2&amp;if($K16="S1","a",if($K16="S2","b","")),Students!$A:$A,AP$2)+countifs(Students!$F:$F,$V16,Students!$G:$G,$V$2&amp;if($K16="S1","a",if($K16="S2","b","")),Students!$A:$A,AP$2)+countifs(Students!$H:$H,$V16,Students!$I:$I,$V$2&amp;if($K16="S1","a",if($K16="S2","b","")),Students!$A:$A,AP$2)+countifs(Students!$J:$J,$V16,Students!$K:$K,$V$2&amp;if($K16="S1","a",if($K16="S2","b","")),Students!$A:$A,AP$2)+countifs(Students!$L:$L,$V16,Students!$M:$M,$V$2&amp;if($K16="S1","a",if($K16="S2","b","")),Students!$A:$A,AP$2)+countifs(Students!$N:$N,$V16,Students!$O:$O,$V$2&amp;if($K16="S1","a",if($K16="S2","b","")),Students!$A:$A,AP$2)+countifs(Students!$P:$P,$V16,Students!$Q:$Q,$V$2&amp;if($K16="S1","a",if($K16="S2","b","")),Students!$A:$A,AP$2)+countifs(Students!$R:$R,$V16,Students!$S:$S,$V$2&amp;if($K16="S1","a",if($K16="S2","b","")),Students!$A:$A,AP$2)+countifs(Students!$T:$T,$V16,Students!$U:$U,$V$2&amp;if($K16="S1","a",if($K16="S2","b","")),Students!$A:$A,AP$2)+countifs(Students!$V:$V,$V16,Students!$W:$W,$V$2&amp;if($K16="S1","a",if($K16="S2","b","")),Students!$A:$A,AP$2)+
countifs(Students!$D:$D,$Y16,Students!$E:$E,$Y$2&amp;if($K16="S1","a",if($K16="S2","b","")),Students!$A:$A,AP$2)+countifs(Students!$F:$F,$Y16,Students!$G:$G,$Y$2&amp;if($K16="S1","a",if($K16="S2","b","")),Students!$A:$A,AP$2)+countifs(Students!$H:$H,$Y16,Students!$I:$I,$Y$2&amp;if($K16="S1","a",if($K16="S2","b","")),Students!$A:$A,AP$2)+countifs(Students!$J:$J,$Y16,Students!$K:$K,$Y$2&amp;if($K16="S1","a",if($K16="S2","b","")),Students!$A:$A,AP$2)+countifs(Students!$L:$L,$Y16,Students!$M:$M,$Y$2&amp;if($K16="S1","a",if($K16="S2","b","")),Students!$A:$A,AP$2)+countifs(Students!$N:$N,$Y16,Students!$O:$O,$Y$2&amp;if($K16="S1","a",if($K16="S2","b","")),Students!$A:$A,AP$2)+countifs(Students!$P:$P,$Y16,Students!$Q:$Q,$Y$2&amp;if($K16="S1","a",if($K16="S2","b","")),Students!$A:$A,AP$2)+countifs(Students!$R:$R,$Y16,Students!$S:$S,$Y$2&amp;if($K16="S1","a",if($K16="S2","b","")),Students!$A:$A,AP$2)+countifs(Students!$T:$T,$Y16,Students!$U:$U,$Y$2&amp;if($K16="S1","a",if($K16="S2","b","")),Students!$A:$A,AP$2)+countifs(Students!$V:$V,$Y16,Students!$W:$W,$Y$2&amp;if($K16="S1","a",if($K16="S2","b","")),Students!$A:$A,AP$2)+
countifs(Students!$D:$D,$AB16,Students!$E:$E,$AB$2&amp;if($K16="S1","a",if($K16="S2","b","")),Students!$A:$A,AP$2)+countifs(Students!$F:$F,$AB16,Students!$G:$G,$AB$2&amp;if($K16="S1","a",if($K16="S2","b","")),Students!$A:$A,AP$2)+countifs(Students!$H:$H,$AB16,Students!$I:$I,$AB$2&amp;if($K16="S1","a",if($K16="S2","b","")),Students!$A:$A,AP$2)+countifs(Students!$J:$J,$AB16,Students!$K:$K,$AB$2&amp;if($K16="S1","a",if($K16="S2","b","")),Students!$A:$A,AP$2)+countifs(Students!$L:$L,$AB16,Students!$M:$M,$AB$2&amp;if($K16="S1","a",if($K16="S2","b","")),Students!$A:$A,AP$2)+countifs(Students!$N:$N,$AB16,Students!$O:$O,$AB$2&amp;if($K16="S1","a",if($K16="S2","b","")),Students!$A:$A,AP$2)+countifs(Students!$P:$P,$AB16,Students!$Q:$Q,$AB$2&amp;if($K16="S1","a",if($K16="S2","b","")),Students!$A:$A,AP$2)+countifs(Students!$R:$R,$AB16,Students!$S:$S,$AB$2&amp;if($K16="S1","a",if($K16="S2","b","")),Students!$A:$A,AP$2)+countifs(Students!$T:$T,$AB16,Students!$U:$U,$AB$2&amp;if($K16="S1","a",if($K16="S2","b","")),Students!$A:$A,AP$2)+countifs(Students!$V:$V,$AB16,Students!$W:$W,$AB$2&amp;if($K16="S1","a",if($K16="S2","b","")),Students!$A:$A,AP$2)+
countifs(Students!$D:$D,$AE16,Students!$E:$E,$AE$2&amp;if($K16="S1","a",if($K16="S2","b","")),Students!$A:$A,AP$2)+countifs(Students!$F:$F,$AE16,Students!$G:$G,$AE$2&amp;if($K16="S1","a",if($K16="S2","b","")),Students!$A:$A,AP$2)+countifs(Students!$H:$H,$AE16,Students!$I:$I,$AE$2&amp;if($K16="S1","a",if($K16="S2","b","")),Students!$A:$A,AP$2)+countifs(Students!$J:$J,$AE16,Students!$K:$K,$AE$2&amp;if($K16="S1","a",if($K16="S2","b","")),Students!$A:$A,AP$2)+countifs(Students!$L:$L,$AE16,Students!$M:$M,$AE$2&amp;if($K16="S1","a",if($K16="S2","b","")),Students!$A:$A,AP$2)+countifs(Students!$N:$N,$AE16,Students!$O:$O,$AE$2&amp;if($K16="S1","a",if($K16="S2","b","")),Students!$A:$A,AP$2)+countifs(Students!$P:$P,$AE16,Students!$Q:$Q,$AE$2&amp;if($K16="S1","a",if($K16="S2","b","")),Students!$A:$A,AP$2)+countifs(Students!$R:$R,$AE16,Students!$S:$S,$AE$2&amp;if($K16="S1","a",if($K16="S2","b","")),Students!$A:$A,AP$2)+countifs(Students!$T:$T,$AE16,Students!$U:$U,$AE$2&amp;if($K16="S1","a",if($K16="S2","b","")),Students!$A:$A,AP$2)+countifs(Students!$V:$V,$AE16,Students!$W:$W,$AE$2&amp;if($K16="S1","a",if($K16="S2","b","")),Students!$A:$A,AP$2)+
countifs(Students!$D:$D,$AH16,Students!$E:$E,$AH$2&amp;if($K16="S1","a",if($K16="S2","b","")),Students!$A:$A,AP$2)+countifs(Students!$F:$F,$AH16,Students!$G:$G,$AH$2&amp;if($K16="S1","a",if($K16="S2","b","")),Students!$A:$A,AP$2)+countifs(Students!$H:$H,$AH16,Students!$I:$I,$AH$2&amp;if($K16="S1","a",if($K16="S2","b","")),Students!$A:$A,AP$2)+countifs(Students!$J:$J,$AH16,Students!$K:$K,$AH$2&amp;if($K16="S1","a",if($K16="S2","b","")),Students!$A:$A,AP$2)+countifs(Students!$L:$L,$AH16,Students!$M:$M,$AH$2&amp;if($K16="S1","a",if($K16="S2","b","")),Students!$A:$A,AP$2)+countifs(Students!$N:$N,$AH16,Students!$O:$O,$AH$2&amp;if($K16="S1","a",if($K16="S2","b","")),Students!$A:$A,AP$2)+countifs(Students!$P:$P,$AH16,Students!$Q:$Q,$AH$2&amp;if($K16="S1","a",if($K16="S2","b","")),Students!$A:$A,AP$2)+countifs(Students!$R:$R,$AH16,Students!$S:$S,$AH$2&amp;if($K16="S1","a",if($K16="S2","b","")),Students!$A:$A,AP$2)+countifs(Students!$T:$T,$AH16,Students!$U:$U,$AH$2&amp;if($K16="S1","a",if($K16="S2","b","")),Students!$A:$A,AP$2)+countifs(Students!$V:$V,$AH16,Students!$W:$W,$AH$2&amp;if($K16="S1","a",if($K16="S2","b","")),Students!$A:$A,AP$2)+
countifs(Students!$D:$D,$AK16,Students!$E:$E,$AK$2&amp;if($K16="S1","a",if($K16="S2","b","")),Students!$A:$A,AP$2)+countifs(Students!$F:$F,$AK16,Students!$G:$G,$AK$2&amp;if($K16="S1","a",if($K16="S2","b","")),Students!$A:$A,AP$2)+countifs(Students!$H:$H,$AK16,Students!$I:$I,$AK$2&amp;if($K16="S1","a",if($K16="S2","b","")),Students!$A:$A,AP$2)+countifs(Students!$J:$J,$AK16,Students!$K:$K,$AK$2&amp;if($K16="S1","a",if($K16="S2","b","")),Students!$A:$A,AP$2)+countifs(Students!$L:$L,$AK16,Students!$M:$M,$AK$2&amp;if($K16="S1","a",if($K16="S2","b","")),Students!$A:$A,AP$2)+countifs(Students!$N:$N,$AK16,Students!$O:$O,$AK$2&amp;if($K16="S1","a",if($K16="S2","b","")),Students!$A:$A,AP$2)+countifs(Students!$P:$P,$AK16,Students!$Q:$Q,$AK$2&amp;if($K16="S1","a",if($K16="S2","b","")),Students!$A:$A,AP$2)+countifs(Students!$R:$R,$AK16,Students!$S:$S,$AK$2&amp;if($K16="S1","a",if($K16="S2","b","")),Students!$A:$A,AP$2)+countifs(Students!$T:$T,$AK16,Students!$U:$U,$AK$2&amp;if($K16="S1","a",if($K16="S2","b","")),Students!$A:$A,AP$2)+countifs(Students!$V:$V,$AK16,Students!$W:$W,$AK$2&amp;if($K16="S1","a",if($K16="S2","b","")),Students!$A:$A,AP$2))</f>
        <v>75</v>
      </c>
      <c r="AQ16" s="102">
        <f>if($L16="","",countifs(Students!$D:$D,$P16,Students!$E:$E,$P$2&amp;if($K16="S1","a",if($K16="S2","b","")),Students!$A:$A,AQ$2)+countifs(Students!$F:$F,$P16,Students!$G:$G,$P$2&amp;if($K16="S1","a",if($K16="S2","b","")),Students!$A:$A,AQ$2)+countifs(Students!$H:$H,$P16,Students!$I:$I,$P$2&amp;if($K16="S1","a",if($K16="S2","b","")),Students!$A:$A,AQ$2)+countifs(Students!$J:$J,$P16,Students!$K:$K,$P$2&amp;if($K16="S1","a",if($K16="S2","b","")),Students!$A:$A,AQ$2)+countifs(Students!$L:$L,$P16,Students!$M:$M,$P$2&amp;if($K16="S1","a",if($K16="S2","b","")),Students!$A:$A,AQ$2)+countifs(Students!$N:$N,$P16,Students!$O:$O,$P$2&amp;if($K16="S1","a",if($K16="S2","b","")),Students!$A:$A,AQ$2)+countifs(Students!$P:$P,$P16,Students!$Q:$Q,$P$2&amp;if($K16="S1","a",if($K16="S2","b","")),Students!$A:$A,AQ$2)+countifs(Students!$R:$R,$P16,Students!$S:$S,$P$2&amp;if($K16="S1","a",if($K16="S2","b","")),Students!$A:$A,AQ$2)+countifs(Students!$T:$T,$P16,Students!$U:$U,$P$2&amp;if($K16="S1","a",if($K16="S2","b","")),Students!$A:$A,AQ$2)+countifs(Students!$V:$V,$P16,Students!$W:$W,$P$2&amp;if($K16="S1","a",if($K16="S2","b","")),Students!$A:$A,AQ$2)+
countifs(Students!$D:$D,$S16,Students!$E:$E,$S$2&amp;if($K16="S1","a",if($K16="S2","b","")),Students!$A:$A,AQ$2)+countifs(Students!$F:$F,$S16,Students!$G:$G,$S$2&amp;if($K16="S1","a",if($K16="S2","b","")),Students!$A:$A,AQ$2)+countifs(Students!$H:$H,$S16,Students!$I:$I,$S$2&amp;if($K16="S1","a",if($K16="S2","b","")),Students!$A:$A,AQ$2)+countifs(Students!$J:$J,$S16,Students!$K:$K,$S$2&amp;if($K16="S1","a",if($K16="S2","b","")),Students!$A:$A,AQ$2)+countifs(Students!$L:$L,$S16,Students!$M:$M,$S$2&amp;if($K16="S1","a",if($K16="S2","b","")),Students!$A:$A,AQ$2)+countifs(Students!$N:$N,$S16,Students!$O:$O,$S$2&amp;if($K16="S1","a",if($K16="S2","b","")),Students!$A:$A,AQ$2)+countifs(Students!$P:$P,$S16,Students!$Q:$Q,$S$2&amp;if($K16="S1","a",if($K16="S2","b","")),Students!$A:$A,AQ$2)+countifs(Students!$R:$R,$S16,Students!$S:$S,$S$2&amp;if($K16="S1","a",if($K16="S2","b","")),Students!$A:$A,AQ$2)+countifs(Students!$T:$T,$S16,Students!$U:$U,$S$2&amp;if($K16="S1","a",if($K16="S2","b","")),Students!$A:$A,AQ$2)+countifs(Students!$V:$V,$S16,Students!$W:$W,$S$2&amp;if($K16="S1","a",if($K16="S2","b","")),Students!$A:$A,AQ$2)+
countifs(Students!$D:$D,$V16,Students!$E:$E,$V$2&amp;if($K16="S1","a",if($K16="S2","b","")),Students!$A:$A,AQ$2)+countifs(Students!$F:$F,$V16,Students!$G:$G,$V$2&amp;if($K16="S1","a",if($K16="S2","b","")),Students!$A:$A,AQ$2)+countifs(Students!$H:$H,$V16,Students!$I:$I,$V$2&amp;if($K16="S1","a",if($K16="S2","b","")),Students!$A:$A,AQ$2)+countifs(Students!$J:$J,$V16,Students!$K:$K,$V$2&amp;if($K16="S1","a",if($K16="S2","b","")),Students!$A:$A,AQ$2)+countifs(Students!$L:$L,$V16,Students!$M:$M,$V$2&amp;if($K16="S1","a",if($K16="S2","b","")),Students!$A:$A,AQ$2)+countifs(Students!$N:$N,$V16,Students!$O:$O,$V$2&amp;if($K16="S1","a",if($K16="S2","b","")),Students!$A:$A,AQ$2)+countifs(Students!$P:$P,$V16,Students!$Q:$Q,$V$2&amp;if($K16="S1","a",if($K16="S2","b","")),Students!$A:$A,AQ$2)+countifs(Students!$R:$R,$V16,Students!$S:$S,$V$2&amp;if($K16="S1","a",if($K16="S2","b","")),Students!$A:$A,AQ$2)+countifs(Students!$T:$T,$V16,Students!$U:$U,$V$2&amp;if($K16="S1","a",if($K16="S2","b","")),Students!$A:$A,AQ$2)+countifs(Students!$V:$V,$V16,Students!$W:$W,$V$2&amp;if($K16="S1","a",if($K16="S2","b","")),Students!$A:$A,AQ$2)+
countifs(Students!$D:$D,$Y16,Students!$E:$E,$Y$2&amp;if($K16="S1","a",if($K16="S2","b","")),Students!$A:$A,AQ$2)+countifs(Students!$F:$F,$Y16,Students!$G:$G,$Y$2&amp;if($K16="S1","a",if($K16="S2","b","")),Students!$A:$A,AQ$2)+countifs(Students!$H:$H,$Y16,Students!$I:$I,$Y$2&amp;if($K16="S1","a",if($K16="S2","b","")),Students!$A:$A,AQ$2)+countifs(Students!$J:$J,$Y16,Students!$K:$K,$Y$2&amp;if($K16="S1","a",if($K16="S2","b","")),Students!$A:$A,AQ$2)+countifs(Students!$L:$L,$Y16,Students!$M:$M,$Y$2&amp;if($K16="S1","a",if($K16="S2","b","")),Students!$A:$A,AQ$2)+countifs(Students!$N:$N,$Y16,Students!$O:$O,$Y$2&amp;if($K16="S1","a",if($K16="S2","b","")),Students!$A:$A,AQ$2)+countifs(Students!$P:$P,$Y16,Students!$Q:$Q,$Y$2&amp;if($K16="S1","a",if($K16="S2","b","")),Students!$A:$A,AQ$2)+countifs(Students!$R:$R,$Y16,Students!$S:$S,$Y$2&amp;if($K16="S1","a",if($K16="S2","b","")),Students!$A:$A,AQ$2)+countifs(Students!$T:$T,$Y16,Students!$U:$U,$Y$2&amp;if($K16="S1","a",if($K16="S2","b","")),Students!$A:$A,AQ$2)+countifs(Students!$V:$V,$Y16,Students!$W:$W,$Y$2&amp;if($K16="S1","a",if($K16="S2","b","")),Students!$A:$A,AQ$2)+
countifs(Students!$D:$D,$AB16,Students!$E:$E,$AB$2&amp;if($K16="S1","a",if($K16="S2","b","")),Students!$A:$A,AQ$2)+countifs(Students!$F:$F,$AB16,Students!$G:$G,$AB$2&amp;if($K16="S1","a",if($K16="S2","b","")),Students!$A:$A,AQ$2)+countifs(Students!$H:$H,$AB16,Students!$I:$I,$AB$2&amp;if($K16="S1","a",if($K16="S2","b","")),Students!$A:$A,AQ$2)+countifs(Students!$J:$J,$AB16,Students!$K:$K,$AB$2&amp;if($K16="S1","a",if($K16="S2","b","")),Students!$A:$A,AQ$2)+countifs(Students!$L:$L,$AB16,Students!$M:$M,$AB$2&amp;if($K16="S1","a",if($K16="S2","b","")),Students!$A:$A,AQ$2)+countifs(Students!$N:$N,$AB16,Students!$O:$O,$AB$2&amp;if($K16="S1","a",if($K16="S2","b","")),Students!$A:$A,AQ$2)+countifs(Students!$P:$P,$AB16,Students!$Q:$Q,$AB$2&amp;if($K16="S1","a",if($K16="S2","b","")),Students!$A:$A,AQ$2)+countifs(Students!$R:$R,$AB16,Students!$S:$S,$AB$2&amp;if($K16="S1","a",if($K16="S2","b","")),Students!$A:$A,AQ$2)+countifs(Students!$T:$T,$AB16,Students!$U:$U,$AB$2&amp;if($K16="S1","a",if($K16="S2","b","")),Students!$A:$A,AQ$2)+countifs(Students!$V:$V,$AB16,Students!$W:$W,$AB$2&amp;if($K16="S1","a",if($K16="S2","b","")),Students!$A:$A,AQ$2)+
countifs(Students!$D:$D,$AE16,Students!$E:$E,$AE$2&amp;if($K16="S1","a",if($K16="S2","b","")),Students!$A:$A,AQ$2)+countifs(Students!$F:$F,$AE16,Students!$G:$G,$AE$2&amp;if($K16="S1","a",if($K16="S2","b","")),Students!$A:$A,AQ$2)+countifs(Students!$H:$H,$AE16,Students!$I:$I,$AE$2&amp;if($K16="S1","a",if($K16="S2","b","")),Students!$A:$A,AQ$2)+countifs(Students!$J:$J,$AE16,Students!$K:$K,$AE$2&amp;if($K16="S1","a",if($K16="S2","b","")),Students!$A:$A,AQ$2)+countifs(Students!$L:$L,$AE16,Students!$M:$M,$AE$2&amp;if($K16="S1","a",if($K16="S2","b","")),Students!$A:$A,AQ$2)+countifs(Students!$N:$N,$AE16,Students!$O:$O,$AE$2&amp;if($K16="S1","a",if($K16="S2","b","")),Students!$A:$A,AQ$2)+countifs(Students!$P:$P,$AE16,Students!$Q:$Q,$AE$2&amp;if($K16="S1","a",if($K16="S2","b","")),Students!$A:$A,AQ$2)+countifs(Students!$R:$R,$AE16,Students!$S:$S,$AE$2&amp;if($K16="S1","a",if($K16="S2","b","")),Students!$A:$A,AQ$2)+countifs(Students!$T:$T,$AE16,Students!$U:$U,$AE$2&amp;if($K16="S1","a",if($K16="S2","b","")),Students!$A:$A,AQ$2)+countifs(Students!$V:$V,$AE16,Students!$W:$W,$AE$2&amp;if($K16="S1","a",if($K16="S2","b","")),Students!$A:$A,AQ$2)+
countifs(Students!$D:$D,$AH16,Students!$E:$E,$AH$2&amp;if($K16="S1","a",if($K16="S2","b","")),Students!$A:$A,AQ$2)+countifs(Students!$F:$F,$AH16,Students!$G:$G,$AH$2&amp;if($K16="S1","a",if($K16="S2","b","")),Students!$A:$A,AQ$2)+countifs(Students!$H:$H,$AH16,Students!$I:$I,$AH$2&amp;if($K16="S1","a",if($K16="S2","b","")),Students!$A:$A,AQ$2)+countifs(Students!$J:$J,$AH16,Students!$K:$K,$AH$2&amp;if($K16="S1","a",if($K16="S2","b","")),Students!$A:$A,AQ$2)+countifs(Students!$L:$L,$AH16,Students!$M:$M,$AH$2&amp;if($K16="S1","a",if($K16="S2","b","")),Students!$A:$A,AQ$2)+countifs(Students!$N:$N,$AH16,Students!$O:$O,$AH$2&amp;if($K16="S1","a",if($K16="S2","b","")),Students!$A:$A,AQ$2)+countifs(Students!$P:$P,$AH16,Students!$Q:$Q,$AH$2&amp;if($K16="S1","a",if($K16="S2","b","")),Students!$A:$A,AQ$2)+countifs(Students!$R:$R,$AH16,Students!$S:$S,$AH$2&amp;if($K16="S1","a",if($K16="S2","b","")),Students!$A:$A,AQ$2)+countifs(Students!$T:$T,$AH16,Students!$U:$U,$AH$2&amp;if($K16="S1","a",if($K16="S2","b","")),Students!$A:$A,AQ$2)+countifs(Students!$V:$V,$AH16,Students!$W:$W,$AH$2&amp;if($K16="S1","a",if($K16="S2","b","")),Students!$A:$A,AQ$2)+
countifs(Students!$D:$D,$AK16,Students!$E:$E,$AK$2&amp;if($K16="S1","a",if($K16="S2","b","")),Students!$A:$A,AQ$2)+countifs(Students!$F:$F,$AK16,Students!$G:$G,$AK$2&amp;if($K16="S1","a",if($K16="S2","b","")),Students!$A:$A,AQ$2)+countifs(Students!$H:$H,$AK16,Students!$I:$I,$AK$2&amp;if($K16="S1","a",if($K16="S2","b","")),Students!$A:$A,AQ$2)+countifs(Students!$J:$J,$AK16,Students!$K:$K,$AK$2&amp;if($K16="S1","a",if($K16="S2","b","")),Students!$A:$A,AQ$2)+countifs(Students!$L:$L,$AK16,Students!$M:$M,$AK$2&amp;if($K16="S1","a",if($K16="S2","b","")),Students!$A:$A,AQ$2)+countifs(Students!$N:$N,$AK16,Students!$O:$O,$AK$2&amp;if($K16="S1","a",if($K16="S2","b","")),Students!$A:$A,AQ$2)+countifs(Students!$P:$P,$AK16,Students!$Q:$Q,$AK$2&amp;if($K16="S1","a",if($K16="S2","b","")),Students!$A:$A,AQ$2)+countifs(Students!$R:$R,$AK16,Students!$S:$S,$AK$2&amp;if($K16="S1","a",if($K16="S2","b","")),Students!$A:$A,AQ$2)+countifs(Students!$T:$T,$AK16,Students!$U:$U,$AK$2&amp;if($K16="S1","a",if($K16="S2","b","")),Students!$A:$A,AQ$2)+countifs(Students!$V:$V,$AK16,Students!$W:$W,$AK$2&amp;if($K16="S1","a",if($K16="S2","b","")),Students!$A:$A,AQ$2))</f>
        <v>3</v>
      </c>
      <c r="AR16" s="102">
        <f>if($L16="","",countifs(Students!$D:$D,$P16,Students!$E:$E,$P$2&amp;if($K16="S1","a",if($K16="S2","b","")),Students!$A:$A,AR$2)+countifs(Students!$F:$F,$P16,Students!$G:$G,$P$2&amp;if($K16="S1","a",if($K16="S2","b","")),Students!$A:$A,AR$2)+countifs(Students!$H:$H,$P16,Students!$I:$I,$P$2&amp;if($K16="S1","a",if($K16="S2","b","")),Students!$A:$A,AR$2)+countifs(Students!$J:$J,$P16,Students!$K:$K,$P$2&amp;if($K16="S1","a",if($K16="S2","b","")),Students!$A:$A,AR$2)+countifs(Students!$L:$L,$P16,Students!$M:$M,$P$2&amp;if($K16="S1","a",if($K16="S2","b","")),Students!$A:$A,AR$2)+countifs(Students!$N:$N,$P16,Students!$O:$O,$P$2&amp;if($K16="S1","a",if($K16="S2","b","")),Students!$A:$A,AR$2)+countifs(Students!$P:$P,$P16,Students!$Q:$Q,$P$2&amp;if($K16="S1","a",if($K16="S2","b","")),Students!$A:$A,AR$2)+countifs(Students!$R:$R,$P16,Students!$S:$S,$P$2&amp;if($K16="S1","a",if($K16="S2","b","")),Students!$A:$A,AR$2)+countifs(Students!$T:$T,$P16,Students!$U:$U,$P$2&amp;if($K16="S1","a",if($K16="S2","b","")),Students!$A:$A,AR$2)+countifs(Students!$V:$V,$P16,Students!$W:$W,$P$2&amp;if($K16="S1","a",if($K16="S2","b","")),Students!$A:$A,AR$2)+
countifs(Students!$D:$D,$S16,Students!$E:$E,$S$2&amp;if($K16="S1","a",if($K16="S2","b","")),Students!$A:$A,AR$2)+countifs(Students!$F:$F,$S16,Students!$G:$G,$S$2&amp;if($K16="S1","a",if($K16="S2","b","")),Students!$A:$A,AR$2)+countifs(Students!$H:$H,$S16,Students!$I:$I,$S$2&amp;if($K16="S1","a",if($K16="S2","b","")),Students!$A:$A,AR$2)+countifs(Students!$J:$J,$S16,Students!$K:$K,$S$2&amp;if($K16="S1","a",if($K16="S2","b","")),Students!$A:$A,AR$2)+countifs(Students!$L:$L,$S16,Students!$M:$M,$S$2&amp;if($K16="S1","a",if($K16="S2","b","")),Students!$A:$A,AR$2)+countifs(Students!$N:$N,$S16,Students!$O:$O,$S$2&amp;if($K16="S1","a",if($K16="S2","b","")),Students!$A:$A,AR$2)+countifs(Students!$P:$P,$S16,Students!$Q:$Q,$S$2&amp;if($K16="S1","a",if($K16="S2","b","")),Students!$A:$A,AR$2)+countifs(Students!$R:$R,$S16,Students!$S:$S,$S$2&amp;if($K16="S1","a",if($K16="S2","b","")),Students!$A:$A,AR$2)+countifs(Students!$T:$T,$S16,Students!$U:$U,$S$2&amp;if($K16="S1","a",if($K16="S2","b","")),Students!$A:$A,AR$2)+countifs(Students!$V:$V,$S16,Students!$W:$W,$S$2&amp;if($K16="S1","a",if($K16="S2","b","")),Students!$A:$A,AR$2)+
countifs(Students!$D:$D,$V16,Students!$E:$E,$V$2&amp;if($K16="S1","a",if($K16="S2","b","")),Students!$A:$A,AR$2)+countifs(Students!$F:$F,$V16,Students!$G:$G,$V$2&amp;if($K16="S1","a",if($K16="S2","b","")),Students!$A:$A,AR$2)+countifs(Students!$H:$H,$V16,Students!$I:$I,$V$2&amp;if($K16="S1","a",if($K16="S2","b","")),Students!$A:$A,AR$2)+countifs(Students!$J:$J,$V16,Students!$K:$K,$V$2&amp;if($K16="S1","a",if($K16="S2","b","")),Students!$A:$A,AR$2)+countifs(Students!$L:$L,$V16,Students!$M:$M,$V$2&amp;if($K16="S1","a",if($K16="S2","b","")),Students!$A:$A,AR$2)+countifs(Students!$N:$N,$V16,Students!$O:$O,$V$2&amp;if($K16="S1","a",if($K16="S2","b","")),Students!$A:$A,AR$2)+countifs(Students!$P:$P,$V16,Students!$Q:$Q,$V$2&amp;if($K16="S1","a",if($K16="S2","b","")),Students!$A:$A,AR$2)+countifs(Students!$R:$R,$V16,Students!$S:$S,$V$2&amp;if($K16="S1","a",if($K16="S2","b","")),Students!$A:$A,AR$2)+countifs(Students!$T:$T,$V16,Students!$U:$U,$V$2&amp;if($K16="S1","a",if($K16="S2","b","")),Students!$A:$A,AR$2)+countifs(Students!$V:$V,$V16,Students!$W:$W,$V$2&amp;if($K16="S1","a",if($K16="S2","b","")),Students!$A:$A,AR$2)+
countifs(Students!$D:$D,$Y16,Students!$E:$E,$Y$2&amp;if($K16="S1","a",if($K16="S2","b","")),Students!$A:$A,AR$2)+countifs(Students!$F:$F,$Y16,Students!$G:$G,$Y$2&amp;if($K16="S1","a",if($K16="S2","b","")),Students!$A:$A,AR$2)+countifs(Students!$H:$H,$Y16,Students!$I:$I,$Y$2&amp;if($K16="S1","a",if($K16="S2","b","")),Students!$A:$A,AR$2)+countifs(Students!$J:$J,$Y16,Students!$K:$K,$Y$2&amp;if($K16="S1","a",if($K16="S2","b","")),Students!$A:$A,AR$2)+countifs(Students!$L:$L,$Y16,Students!$M:$M,$Y$2&amp;if($K16="S1","a",if($K16="S2","b","")),Students!$A:$A,AR$2)+countifs(Students!$N:$N,$Y16,Students!$O:$O,$Y$2&amp;if($K16="S1","a",if($K16="S2","b","")),Students!$A:$A,AR$2)+countifs(Students!$P:$P,$Y16,Students!$Q:$Q,$Y$2&amp;if($K16="S1","a",if($K16="S2","b","")),Students!$A:$A,AR$2)+countifs(Students!$R:$R,$Y16,Students!$S:$S,$Y$2&amp;if($K16="S1","a",if($K16="S2","b","")),Students!$A:$A,AR$2)+countifs(Students!$T:$T,$Y16,Students!$U:$U,$Y$2&amp;if($K16="S1","a",if($K16="S2","b","")),Students!$A:$A,AR$2)+countifs(Students!$V:$V,$Y16,Students!$W:$W,$Y$2&amp;if($K16="S1","a",if($K16="S2","b","")),Students!$A:$A,AR$2)+
countifs(Students!$D:$D,$AB16,Students!$E:$E,$AB$2&amp;if($K16="S1","a",if($K16="S2","b","")),Students!$A:$A,AR$2)+countifs(Students!$F:$F,$AB16,Students!$G:$G,$AB$2&amp;if($K16="S1","a",if($K16="S2","b","")),Students!$A:$A,AR$2)+countifs(Students!$H:$H,$AB16,Students!$I:$I,$AB$2&amp;if($K16="S1","a",if($K16="S2","b","")),Students!$A:$A,AR$2)+countifs(Students!$J:$J,$AB16,Students!$K:$K,$AB$2&amp;if($K16="S1","a",if($K16="S2","b","")),Students!$A:$A,AR$2)+countifs(Students!$L:$L,$AB16,Students!$M:$M,$AB$2&amp;if($K16="S1","a",if($K16="S2","b","")),Students!$A:$A,AR$2)+countifs(Students!$N:$N,$AB16,Students!$O:$O,$AB$2&amp;if($K16="S1","a",if($K16="S2","b","")),Students!$A:$A,AR$2)+countifs(Students!$P:$P,$AB16,Students!$Q:$Q,$AB$2&amp;if($K16="S1","a",if($K16="S2","b","")),Students!$A:$A,AR$2)+countifs(Students!$R:$R,$AB16,Students!$S:$S,$AB$2&amp;if($K16="S1","a",if($K16="S2","b","")),Students!$A:$A,AR$2)+countifs(Students!$T:$T,$AB16,Students!$U:$U,$AB$2&amp;if($K16="S1","a",if($K16="S2","b","")),Students!$A:$A,AR$2)+countifs(Students!$V:$V,$AB16,Students!$W:$W,$AB$2&amp;if($K16="S1","a",if($K16="S2","b","")),Students!$A:$A,AR$2)+
countifs(Students!$D:$D,$AE16,Students!$E:$E,$AE$2&amp;if($K16="S1","a",if($K16="S2","b","")),Students!$A:$A,AR$2)+countifs(Students!$F:$F,$AE16,Students!$G:$G,$AE$2&amp;if($K16="S1","a",if($K16="S2","b","")),Students!$A:$A,AR$2)+countifs(Students!$H:$H,$AE16,Students!$I:$I,$AE$2&amp;if($K16="S1","a",if($K16="S2","b","")),Students!$A:$A,AR$2)+countifs(Students!$J:$J,$AE16,Students!$K:$K,$AE$2&amp;if($K16="S1","a",if($K16="S2","b","")),Students!$A:$A,AR$2)+countifs(Students!$L:$L,$AE16,Students!$M:$M,$AE$2&amp;if($K16="S1","a",if($K16="S2","b","")),Students!$A:$A,AR$2)+countifs(Students!$N:$N,$AE16,Students!$O:$O,$AE$2&amp;if($K16="S1","a",if($K16="S2","b","")),Students!$A:$A,AR$2)+countifs(Students!$P:$P,$AE16,Students!$Q:$Q,$AE$2&amp;if($K16="S1","a",if($K16="S2","b","")),Students!$A:$A,AR$2)+countifs(Students!$R:$R,$AE16,Students!$S:$S,$AE$2&amp;if($K16="S1","a",if($K16="S2","b","")),Students!$A:$A,AR$2)+countifs(Students!$T:$T,$AE16,Students!$U:$U,$AE$2&amp;if($K16="S1","a",if($K16="S2","b","")),Students!$A:$A,AR$2)+countifs(Students!$V:$V,$AE16,Students!$W:$W,$AE$2&amp;if($K16="S1","a",if($K16="S2","b","")),Students!$A:$A,AR$2)+
countifs(Students!$D:$D,$AH16,Students!$E:$E,$AH$2&amp;if($K16="S1","a",if($K16="S2","b","")),Students!$A:$A,AR$2)+countifs(Students!$F:$F,$AH16,Students!$G:$G,$AH$2&amp;if($K16="S1","a",if($K16="S2","b","")),Students!$A:$A,AR$2)+countifs(Students!$H:$H,$AH16,Students!$I:$I,$AH$2&amp;if($K16="S1","a",if($K16="S2","b","")),Students!$A:$A,AR$2)+countifs(Students!$J:$J,$AH16,Students!$K:$K,$AH$2&amp;if($K16="S1","a",if($K16="S2","b","")),Students!$A:$A,AR$2)+countifs(Students!$L:$L,$AH16,Students!$M:$M,$AH$2&amp;if($K16="S1","a",if($K16="S2","b","")),Students!$A:$A,AR$2)+countifs(Students!$N:$N,$AH16,Students!$O:$O,$AH$2&amp;if($K16="S1","a",if($K16="S2","b","")),Students!$A:$A,AR$2)+countifs(Students!$P:$P,$AH16,Students!$Q:$Q,$AH$2&amp;if($K16="S1","a",if($K16="S2","b","")),Students!$A:$A,AR$2)+countifs(Students!$R:$R,$AH16,Students!$S:$S,$AH$2&amp;if($K16="S1","a",if($K16="S2","b","")),Students!$A:$A,AR$2)+countifs(Students!$T:$T,$AH16,Students!$U:$U,$AH$2&amp;if($K16="S1","a",if($K16="S2","b","")),Students!$A:$A,AR$2)+countifs(Students!$V:$V,$AH16,Students!$W:$W,$AH$2&amp;if($K16="S1","a",if($K16="S2","b","")),Students!$A:$A,AR$2)+
countifs(Students!$D:$D,$AK16,Students!$E:$E,$AK$2&amp;if($K16="S1","a",if($K16="S2","b","")),Students!$A:$A,AR$2)+countifs(Students!$F:$F,$AK16,Students!$G:$G,$AK$2&amp;if($K16="S1","a",if($K16="S2","b","")),Students!$A:$A,AR$2)+countifs(Students!$H:$H,$AK16,Students!$I:$I,$AK$2&amp;if($K16="S1","a",if($K16="S2","b","")),Students!$A:$A,AR$2)+countifs(Students!$J:$J,$AK16,Students!$K:$K,$AK$2&amp;if($K16="S1","a",if($K16="S2","b","")),Students!$A:$A,AR$2)+countifs(Students!$L:$L,$AK16,Students!$M:$M,$AK$2&amp;if($K16="S1","a",if($K16="S2","b","")),Students!$A:$A,AR$2)+countifs(Students!$N:$N,$AK16,Students!$O:$O,$AK$2&amp;if($K16="S1","a",if($K16="S2","b","")),Students!$A:$A,AR$2)+countifs(Students!$P:$P,$AK16,Students!$Q:$Q,$AK$2&amp;if($K16="S1","a",if($K16="S2","b","")),Students!$A:$A,AR$2)+countifs(Students!$R:$R,$AK16,Students!$S:$S,$AK$2&amp;if($K16="S1","a",if($K16="S2","b","")),Students!$A:$A,AR$2)+countifs(Students!$T:$T,$AK16,Students!$U:$U,$AK$2&amp;if($K16="S1","a",if($K16="S2","b","")),Students!$A:$A,AR$2)+countifs(Students!$V:$V,$AK16,Students!$W:$W,$AK$2&amp;if($K16="S1","a",if($K16="S2","b","")),Students!$A:$A,AR$2))</f>
        <v>1</v>
      </c>
      <c r="AS16" s="102">
        <f>if($L16="","",countifs(Students!$D:$D,$P16,Students!$E:$E,$P$2&amp;if($K16="S1","a",if($K16="S2","b","")),Students!$A:$A,AS$2)+countifs(Students!$F:$F,$P16,Students!$G:$G,$P$2&amp;if($K16="S1","a",if($K16="S2","b","")),Students!$A:$A,AS$2)+countifs(Students!$H:$H,$P16,Students!$I:$I,$P$2&amp;if($K16="S1","a",if($K16="S2","b","")),Students!$A:$A,AS$2)+countifs(Students!$J:$J,$P16,Students!$K:$K,$P$2&amp;if($K16="S1","a",if($K16="S2","b","")),Students!$A:$A,AS$2)+countifs(Students!$L:$L,$P16,Students!$M:$M,$P$2&amp;if($K16="S1","a",if($K16="S2","b","")),Students!$A:$A,AS$2)+countifs(Students!$N:$N,$P16,Students!$O:$O,$P$2&amp;if($K16="S1","a",if($K16="S2","b","")),Students!$A:$A,AS$2)+countifs(Students!$P:$P,$P16,Students!$Q:$Q,$P$2&amp;if($K16="S1","a",if($K16="S2","b","")),Students!$A:$A,AS$2)+countifs(Students!$R:$R,$P16,Students!$S:$S,$P$2&amp;if($K16="S1","a",if($K16="S2","b","")),Students!$A:$A,AS$2)+countifs(Students!$T:$T,$P16,Students!$U:$U,$P$2&amp;if($K16="S1","a",if($K16="S2","b","")),Students!$A:$A,AS$2)+countifs(Students!$V:$V,$P16,Students!$W:$W,$P$2&amp;if($K16="S1","a",if($K16="S2","b","")),Students!$A:$A,AS$2)+
countifs(Students!$D:$D,$S16,Students!$E:$E,$S$2&amp;if($K16="S1","a",if($K16="S2","b","")),Students!$A:$A,AS$2)+countifs(Students!$F:$F,$S16,Students!$G:$G,$S$2&amp;if($K16="S1","a",if($K16="S2","b","")),Students!$A:$A,AS$2)+countifs(Students!$H:$H,$S16,Students!$I:$I,$S$2&amp;if($K16="S1","a",if($K16="S2","b","")),Students!$A:$A,AS$2)+countifs(Students!$J:$J,$S16,Students!$K:$K,$S$2&amp;if($K16="S1","a",if($K16="S2","b","")),Students!$A:$A,AS$2)+countifs(Students!$L:$L,$S16,Students!$M:$M,$S$2&amp;if($K16="S1","a",if($K16="S2","b","")),Students!$A:$A,AS$2)+countifs(Students!$N:$N,$S16,Students!$O:$O,$S$2&amp;if($K16="S1","a",if($K16="S2","b","")),Students!$A:$A,AS$2)+countifs(Students!$P:$P,$S16,Students!$Q:$Q,$S$2&amp;if($K16="S1","a",if($K16="S2","b","")),Students!$A:$A,AS$2)+countifs(Students!$R:$R,$S16,Students!$S:$S,$S$2&amp;if($K16="S1","a",if($K16="S2","b","")),Students!$A:$A,AS$2)+countifs(Students!$T:$T,$S16,Students!$U:$U,$S$2&amp;if($K16="S1","a",if($K16="S2","b","")),Students!$A:$A,AS$2)+countifs(Students!$V:$V,$S16,Students!$W:$W,$S$2&amp;if($K16="S1","a",if($K16="S2","b","")),Students!$A:$A,AS$2)+
countifs(Students!$D:$D,$V16,Students!$E:$E,$V$2&amp;if($K16="S1","a",if($K16="S2","b","")),Students!$A:$A,AS$2)+countifs(Students!$F:$F,$V16,Students!$G:$G,$V$2&amp;if($K16="S1","a",if($K16="S2","b","")),Students!$A:$A,AS$2)+countifs(Students!$H:$H,$V16,Students!$I:$I,$V$2&amp;if($K16="S1","a",if($K16="S2","b","")),Students!$A:$A,AS$2)+countifs(Students!$J:$J,$V16,Students!$K:$K,$V$2&amp;if($K16="S1","a",if($K16="S2","b","")),Students!$A:$A,AS$2)+countifs(Students!$L:$L,$V16,Students!$M:$M,$V$2&amp;if($K16="S1","a",if($K16="S2","b","")),Students!$A:$A,AS$2)+countifs(Students!$N:$N,$V16,Students!$O:$O,$V$2&amp;if($K16="S1","a",if($K16="S2","b","")),Students!$A:$A,AS$2)+countifs(Students!$P:$P,$V16,Students!$Q:$Q,$V$2&amp;if($K16="S1","a",if($K16="S2","b","")),Students!$A:$A,AS$2)+countifs(Students!$R:$R,$V16,Students!$S:$S,$V$2&amp;if($K16="S1","a",if($K16="S2","b","")),Students!$A:$A,AS$2)+countifs(Students!$T:$T,$V16,Students!$U:$U,$V$2&amp;if($K16="S1","a",if($K16="S2","b","")),Students!$A:$A,AS$2)+countifs(Students!$V:$V,$V16,Students!$W:$W,$V$2&amp;if($K16="S1","a",if($K16="S2","b","")),Students!$A:$A,AS$2)+
countifs(Students!$D:$D,$Y16,Students!$E:$E,$Y$2&amp;if($K16="S1","a",if($K16="S2","b","")),Students!$A:$A,AS$2)+countifs(Students!$F:$F,$Y16,Students!$G:$G,$Y$2&amp;if($K16="S1","a",if($K16="S2","b","")),Students!$A:$A,AS$2)+countifs(Students!$H:$H,$Y16,Students!$I:$I,$Y$2&amp;if($K16="S1","a",if($K16="S2","b","")),Students!$A:$A,AS$2)+countifs(Students!$J:$J,$Y16,Students!$K:$K,$Y$2&amp;if($K16="S1","a",if($K16="S2","b","")),Students!$A:$A,AS$2)+countifs(Students!$L:$L,$Y16,Students!$M:$M,$Y$2&amp;if($K16="S1","a",if($K16="S2","b","")),Students!$A:$A,AS$2)+countifs(Students!$N:$N,$Y16,Students!$O:$O,$Y$2&amp;if($K16="S1","a",if($K16="S2","b","")),Students!$A:$A,AS$2)+countifs(Students!$P:$P,$Y16,Students!$Q:$Q,$Y$2&amp;if($K16="S1","a",if($K16="S2","b","")),Students!$A:$A,AS$2)+countifs(Students!$R:$R,$Y16,Students!$S:$S,$Y$2&amp;if($K16="S1","a",if($K16="S2","b","")),Students!$A:$A,AS$2)+countifs(Students!$T:$T,$Y16,Students!$U:$U,$Y$2&amp;if($K16="S1","a",if($K16="S2","b","")),Students!$A:$A,AS$2)+countifs(Students!$V:$V,$Y16,Students!$W:$W,$Y$2&amp;if($K16="S1","a",if($K16="S2","b","")),Students!$A:$A,AS$2)+
countifs(Students!$D:$D,$AB16,Students!$E:$E,$AB$2&amp;if($K16="S1","a",if($K16="S2","b","")),Students!$A:$A,AS$2)+countifs(Students!$F:$F,$AB16,Students!$G:$G,$AB$2&amp;if($K16="S1","a",if($K16="S2","b","")),Students!$A:$A,AS$2)+countifs(Students!$H:$H,$AB16,Students!$I:$I,$AB$2&amp;if($K16="S1","a",if($K16="S2","b","")),Students!$A:$A,AS$2)+countifs(Students!$J:$J,$AB16,Students!$K:$K,$AB$2&amp;if($K16="S1","a",if($K16="S2","b","")),Students!$A:$A,AS$2)+countifs(Students!$L:$L,$AB16,Students!$M:$M,$AB$2&amp;if($K16="S1","a",if($K16="S2","b","")),Students!$A:$A,AS$2)+countifs(Students!$N:$N,$AB16,Students!$O:$O,$AB$2&amp;if($K16="S1","a",if($K16="S2","b","")),Students!$A:$A,AS$2)+countifs(Students!$P:$P,$AB16,Students!$Q:$Q,$AB$2&amp;if($K16="S1","a",if($K16="S2","b","")),Students!$A:$A,AS$2)+countifs(Students!$R:$R,$AB16,Students!$S:$S,$AB$2&amp;if($K16="S1","a",if($K16="S2","b","")),Students!$A:$A,AS$2)+countifs(Students!$T:$T,$AB16,Students!$U:$U,$AB$2&amp;if($K16="S1","a",if($K16="S2","b","")),Students!$A:$A,AS$2)+countifs(Students!$V:$V,$AB16,Students!$W:$W,$AB$2&amp;if($K16="S1","a",if($K16="S2","b","")),Students!$A:$A,AS$2)+
countifs(Students!$D:$D,$AE16,Students!$E:$E,$AE$2&amp;if($K16="S1","a",if($K16="S2","b","")),Students!$A:$A,AS$2)+countifs(Students!$F:$F,$AE16,Students!$G:$G,$AE$2&amp;if($K16="S1","a",if($K16="S2","b","")),Students!$A:$A,AS$2)+countifs(Students!$H:$H,$AE16,Students!$I:$I,$AE$2&amp;if($K16="S1","a",if($K16="S2","b","")),Students!$A:$A,AS$2)+countifs(Students!$J:$J,$AE16,Students!$K:$K,$AE$2&amp;if($K16="S1","a",if($K16="S2","b","")),Students!$A:$A,AS$2)+countifs(Students!$L:$L,$AE16,Students!$M:$M,$AE$2&amp;if($K16="S1","a",if($K16="S2","b","")),Students!$A:$A,AS$2)+countifs(Students!$N:$N,$AE16,Students!$O:$O,$AE$2&amp;if($K16="S1","a",if($K16="S2","b","")),Students!$A:$A,AS$2)+countifs(Students!$P:$P,$AE16,Students!$Q:$Q,$AE$2&amp;if($K16="S1","a",if($K16="S2","b","")),Students!$A:$A,AS$2)+countifs(Students!$R:$R,$AE16,Students!$S:$S,$AE$2&amp;if($K16="S1","a",if($K16="S2","b","")),Students!$A:$A,AS$2)+countifs(Students!$T:$T,$AE16,Students!$U:$U,$AE$2&amp;if($K16="S1","a",if($K16="S2","b","")),Students!$A:$A,AS$2)+countifs(Students!$V:$V,$AE16,Students!$W:$W,$AE$2&amp;if($K16="S1","a",if($K16="S2","b","")),Students!$A:$A,AS$2)+
countifs(Students!$D:$D,$AH16,Students!$E:$E,$AH$2&amp;if($K16="S1","a",if($K16="S2","b","")),Students!$A:$A,AS$2)+countifs(Students!$F:$F,$AH16,Students!$G:$G,$AH$2&amp;if($K16="S1","a",if($K16="S2","b","")),Students!$A:$A,AS$2)+countifs(Students!$H:$H,$AH16,Students!$I:$I,$AH$2&amp;if($K16="S1","a",if($K16="S2","b","")),Students!$A:$A,AS$2)+countifs(Students!$J:$J,$AH16,Students!$K:$K,$AH$2&amp;if($K16="S1","a",if($K16="S2","b","")),Students!$A:$A,AS$2)+countifs(Students!$L:$L,$AH16,Students!$M:$M,$AH$2&amp;if($K16="S1","a",if($K16="S2","b","")),Students!$A:$A,AS$2)+countifs(Students!$N:$N,$AH16,Students!$O:$O,$AH$2&amp;if($K16="S1","a",if($K16="S2","b","")),Students!$A:$A,AS$2)+countifs(Students!$P:$P,$AH16,Students!$Q:$Q,$AH$2&amp;if($K16="S1","a",if($K16="S2","b","")),Students!$A:$A,AS$2)+countifs(Students!$R:$R,$AH16,Students!$S:$S,$AH$2&amp;if($K16="S1","a",if($K16="S2","b","")),Students!$A:$A,AS$2)+countifs(Students!$T:$T,$AH16,Students!$U:$U,$AH$2&amp;if($K16="S1","a",if($K16="S2","b","")),Students!$A:$A,AS$2)+countifs(Students!$V:$V,$AH16,Students!$W:$W,$AH$2&amp;if($K16="S1","a",if($K16="S2","b","")),Students!$A:$A,AS$2)+
countifs(Students!$D:$D,$AK16,Students!$E:$E,$AK$2&amp;if($K16="S1","a",if($K16="S2","b","")),Students!$A:$A,AS$2)+countifs(Students!$F:$F,$AK16,Students!$G:$G,$AK$2&amp;if($K16="S1","a",if($K16="S2","b","")),Students!$A:$A,AS$2)+countifs(Students!$H:$H,$AK16,Students!$I:$I,$AK$2&amp;if($K16="S1","a",if($K16="S2","b","")),Students!$A:$A,AS$2)+countifs(Students!$J:$J,$AK16,Students!$K:$K,$AK$2&amp;if($K16="S1","a",if($K16="S2","b","")),Students!$A:$A,AS$2)+countifs(Students!$L:$L,$AK16,Students!$M:$M,$AK$2&amp;if($K16="S1","a",if($K16="S2","b","")),Students!$A:$A,AS$2)+countifs(Students!$N:$N,$AK16,Students!$O:$O,$AK$2&amp;if($K16="S1","a",if($K16="S2","b","")),Students!$A:$A,AS$2)+countifs(Students!$P:$P,$AK16,Students!$Q:$Q,$AK$2&amp;if($K16="S1","a",if($K16="S2","b","")),Students!$A:$A,AS$2)+countifs(Students!$R:$R,$AK16,Students!$S:$S,$AK$2&amp;if($K16="S1","a",if($K16="S2","b","")),Students!$A:$A,AS$2)+countifs(Students!$T:$T,$AK16,Students!$U:$U,$AK$2&amp;if($K16="S1","a",if($K16="S2","b","")),Students!$A:$A,AS$2)+countifs(Students!$V:$V,$AK16,Students!$W:$W,$AK$2&amp;if($K16="S1","a",if($K16="S2","b","")),Students!$A:$A,AS$2))</f>
        <v>0</v>
      </c>
    </row>
    <row r="17">
      <c r="A17" s="21">
        <v>9.0</v>
      </c>
      <c r="B17" s="4">
        <f>countifs(Students!A:A,A17)</f>
        <v>131</v>
      </c>
      <c r="C17" s="111">
        <f t="shared" ref="C17:C20" si="3">B17/6</f>
        <v>21.83333333</v>
      </c>
      <c r="D17" s="112"/>
      <c r="J17" s="87">
        <v>92.0</v>
      </c>
      <c r="K17" s="70"/>
      <c r="L17" s="58" t="s">
        <v>63</v>
      </c>
      <c r="M17" s="107"/>
      <c r="N17" s="92">
        <v>2.0</v>
      </c>
      <c r="O17" s="92">
        <f>IFERROR(__xludf.DUMMYFUNCTION("3*counta((transpose(filter(P17:AM17,P17:AM17&lt;&gt;"""",isnumber(P17:AM17)=false))))"),15.0)</f>
        <v>15</v>
      </c>
      <c r="P17" s="90"/>
      <c r="Q17" s="91"/>
      <c r="R17" s="92" t="s">
        <v>22</v>
      </c>
      <c r="S17" s="94"/>
      <c r="T17" s="104"/>
      <c r="U17" s="105" t="s">
        <v>22</v>
      </c>
      <c r="V17" s="108" t="s">
        <v>61</v>
      </c>
      <c r="W17" s="91">
        <v>5.0</v>
      </c>
      <c r="X17" s="92">
        <v>17.0</v>
      </c>
      <c r="Y17" s="113" t="s">
        <v>64</v>
      </c>
      <c r="Z17" s="91">
        <v>6.0</v>
      </c>
      <c r="AA17" s="92">
        <v>16.0</v>
      </c>
      <c r="AB17" s="91"/>
      <c r="AC17" s="91"/>
      <c r="AD17" s="92" t="s">
        <v>22</v>
      </c>
      <c r="AE17" s="113" t="s">
        <v>64</v>
      </c>
      <c r="AF17" s="101">
        <v>7.0</v>
      </c>
      <c r="AG17" s="92">
        <v>20.0</v>
      </c>
      <c r="AH17" s="113" t="s">
        <v>61</v>
      </c>
      <c r="AI17" s="96">
        <v>6.0</v>
      </c>
      <c r="AJ17" s="92">
        <v>18.0</v>
      </c>
      <c r="AK17" s="108" t="s">
        <v>61</v>
      </c>
      <c r="AL17" s="96">
        <v>7.0</v>
      </c>
      <c r="AM17" s="92">
        <v>21.0</v>
      </c>
      <c r="AN17" s="99"/>
      <c r="AO17" s="52">
        <f t="shared" si="2"/>
        <v>92</v>
      </c>
      <c r="AP17" s="102">
        <f>if($L17="","",countifs(Students!$D:$D,$P17,Students!$E:$E,$P$2&amp;if($K17="S1","a",if($K17="S2","b","")),Students!$A:$A,AP$2)+countifs(Students!$F:$F,$P17,Students!$G:$G,$P$2&amp;if($K17="S1","a",if($K17="S2","b","")),Students!$A:$A,AP$2)+countifs(Students!$H:$H,$P17,Students!$I:$I,$P$2&amp;if($K17="S1","a",if($K17="S2","b","")),Students!$A:$A,AP$2)+countifs(Students!$J:$J,$P17,Students!$K:$K,$P$2&amp;if($K17="S1","a",if($K17="S2","b","")),Students!$A:$A,AP$2)+countifs(Students!$L:$L,$P17,Students!$M:$M,$P$2&amp;if($K17="S1","a",if($K17="S2","b","")),Students!$A:$A,AP$2)+countifs(Students!$N:$N,$P17,Students!$O:$O,$P$2&amp;if($K17="S1","a",if($K17="S2","b","")),Students!$A:$A,AP$2)+countifs(Students!$P:$P,$P17,Students!$Q:$Q,$P$2&amp;if($K17="S1","a",if($K17="S2","b","")),Students!$A:$A,AP$2)+countifs(Students!$R:$R,$P17,Students!$S:$S,$P$2&amp;if($K17="S1","a",if($K17="S2","b","")),Students!$A:$A,AP$2)+countifs(Students!$T:$T,$P17,Students!$U:$U,$P$2&amp;if($K17="S1","a",if($K17="S2","b","")),Students!$A:$A,AP$2)+countifs(Students!$V:$V,$P17,Students!$W:$W,$P$2&amp;if($K17="S1","a",if($K17="S2","b","")),Students!$A:$A,AP$2)+
countifs(Students!$D:$D,$S17,Students!$E:$E,$S$2&amp;if($K17="S1","a",if($K17="S2","b","")),Students!$A:$A,AP$2)+countifs(Students!$F:$F,$S17,Students!$G:$G,$S$2&amp;if($K17="S1","a",if($K17="S2","b","")),Students!$A:$A,AP$2)+countifs(Students!$H:$H,$S17,Students!$I:$I,$S$2&amp;if($K17="S1","a",if($K17="S2","b","")),Students!$A:$A,AP$2)+countifs(Students!$J:$J,$S17,Students!$K:$K,$S$2&amp;if($K17="S1","a",if($K17="S2","b","")),Students!$A:$A,AP$2)+countifs(Students!$L:$L,$S17,Students!$M:$M,$S$2&amp;if($K17="S1","a",if($K17="S2","b","")),Students!$A:$A,AP$2)+countifs(Students!$N:$N,$S17,Students!$O:$O,$S$2&amp;if($K17="S1","a",if($K17="S2","b","")),Students!$A:$A,AP$2)+countifs(Students!$P:$P,$S17,Students!$Q:$Q,$S$2&amp;if($K17="S1","a",if($K17="S2","b","")),Students!$A:$A,AP$2)+countifs(Students!$R:$R,$S17,Students!$S:$S,$S$2&amp;if($K17="S1","a",if($K17="S2","b","")),Students!$A:$A,AP$2)+countifs(Students!$T:$T,$S17,Students!$U:$U,$S$2&amp;if($K17="S1","a",if($K17="S2","b","")),Students!$A:$A,AP$2)+countifs(Students!$V:$V,$S17,Students!$W:$W,$S$2&amp;if($K17="S1","a",if($K17="S2","b","")),Students!$A:$A,AP$2)+
countifs(Students!$D:$D,$V17,Students!$E:$E,$V$2&amp;if($K17="S1","a",if($K17="S2","b","")),Students!$A:$A,AP$2)+countifs(Students!$F:$F,$V17,Students!$G:$G,$V$2&amp;if($K17="S1","a",if($K17="S2","b","")),Students!$A:$A,AP$2)+countifs(Students!$H:$H,$V17,Students!$I:$I,$V$2&amp;if($K17="S1","a",if($K17="S2","b","")),Students!$A:$A,AP$2)+countifs(Students!$J:$J,$V17,Students!$K:$K,$V$2&amp;if($K17="S1","a",if($K17="S2","b","")),Students!$A:$A,AP$2)+countifs(Students!$L:$L,$V17,Students!$M:$M,$V$2&amp;if($K17="S1","a",if($K17="S2","b","")),Students!$A:$A,AP$2)+countifs(Students!$N:$N,$V17,Students!$O:$O,$V$2&amp;if($K17="S1","a",if($K17="S2","b","")),Students!$A:$A,AP$2)+countifs(Students!$P:$P,$V17,Students!$Q:$Q,$V$2&amp;if($K17="S1","a",if($K17="S2","b","")),Students!$A:$A,AP$2)+countifs(Students!$R:$R,$V17,Students!$S:$S,$V$2&amp;if($K17="S1","a",if($K17="S2","b","")),Students!$A:$A,AP$2)+countifs(Students!$T:$T,$V17,Students!$U:$U,$V$2&amp;if($K17="S1","a",if($K17="S2","b","")),Students!$A:$A,AP$2)+countifs(Students!$V:$V,$V17,Students!$W:$W,$V$2&amp;if($K17="S1","a",if($K17="S2","b","")),Students!$A:$A,AP$2)+
countifs(Students!$D:$D,$Y17,Students!$E:$E,$Y$2&amp;if($K17="S1","a",if($K17="S2","b","")),Students!$A:$A,AP$2)+countifs(Students!$F:$F,$Y17,Students!$G:$G,$Y$2&amp;if($K17="S1","a",if($K17="S2","b","")),Students!$A:$A,AP$2)+countifs(Students!$H:$H,$Y17,Students!$I:$I,$Y$2&amp;if($K17="S1","a",if($K17="S2","b","")),Students!$A:$A,AP$2)+countifs(Students!$J:$J,$Y17,Students!$K:$K,$Y$2&amp;if($K17="S1","a",if($K17="S2","b","")),Students!$A:$A,AP$2)+countifs(Students!$L:$L,$Y17,Students!$M:$M,$Y$2&amp;if($K17="S1","a",if($K17="S2","b","")),Students!$A:$A,AP$2)+countifs(Students!$N:$N,$Y17,Students!$O:$O,$Y$2&amp;if($K17="S1","a",if($K17="S2","b","")),Students!$A:$A,AP$2)+countifs(Students!$P:$P,$Y17,Students!$Q:$Q,$Y$2&amp;if($K17="S1","a",if($K17="S2","b","")),Students!$A:$A,AP$2)+countifs(Students!$R:$R,$Y17,Students!$S:$S,$Y$2&amp;if($K17="S1","a",if($K17="S2","b","")),Students!$A:$A,AP$2)+countifs(Students!$T:$T,$Y17,Students!$U:$U,$Y$2&amp;if($K17="S1","a",if($K17="S2","b","")),Students!$A:$A,AP$2)+countifs(Students!$V:$V,$Y17,Students!$W:$W,$Y$2&amp;if($K17="S1","a",if($K17="S2","b","")),Students!$A:$A,AP$2)+
countifs(Students!$D:$D,$AB17,Students!$E:$E,$AB$2&amp;if($K17="S1","a",if($K17="S2","b","")),Students!$A:$A,AP$2)+countifs(Students!$F:$F,$AB17,Students!$G:$G,$AB$2&amp;if($K17="S1","a",if($K17="S2","b","")),Students!$A:$A,AP$2)+countifs(Students!$H:$H,$AB17,Students!$I:$I,$AB$2&amp;if($K17="S1","a",if($K17="S2","b","")),Students!$A:$A,AP$2)+countifs(Students!$J:$J,$AB17,Students!$K:$K,$AB$2&amp;if($K17="S1","a",if($K17="S2","b","")),Students!$A:$A,AP$2)+countifs(Students!$L:$L,$AB17,Students!$M:$M,$AB$2&amp;if($K17="S1","a",if($K17="S2","b","")),Students!$A:$A,AP$2)+countifs(Students!$N:$N,$AB17,Students!$O:$O,$AB$2&amp;if($K17="S1","a",if($K17="S2","b","")),Students!$A:$A,AP$2)+countifs(Students!$P:$P,$AB17,Students!$Q:$Q,$AB$2&amp;if($K17="S1","a",if($K17="S2","b","")),Students!$A:$A,AP$2)+countifs(Students!$R:$R,$AB17,Students!$S:$S,$AB$2&amp;if($K17="S1","a",if($K17="S2","b","")),Students!$A:$A,AP$2)+countifs(Students!$T:$T,$AB17,Students!$U:$U,$AB$2&amp;if($K17="S1","a",if($K17="S2","b","")),Students!$A:$A,AP$2)+countifs(Students!$V:$V,$AB17,Students!$W:$W,$AB$2&amp;if($K17="S1","a",if($K17="S2","b","")),Students!$A:$A,AP$2)+
countifs(Students!$D:$D,$AE17,Students!$E:$E,$AE$2&amp;if($K17="S1","a",if($K17="S2","b","")),Students!$A:$A,AP$2)+countifs(Students!$F:$F,$AE17,Students!$G:$G,$AE$2&amp;if($K17="S1","a",if($K17="S2","b","")),Students!$A:$A,AP$2)+countifs(Students!$H:$H,$AE17,Students!$I:$I,$AE$2&amp;if($K17="S1","a",if($K17="S2","b","")),Students!$A:$A,AP$2)+countifs(Students!$J:$J,$AE17,Students!$K:$K,$AE$2&amp;if($K17="S1","a",if($K17="S2","b","")),Students!$A:$A,AP$2)+countifs(Students!$L:$L,$AE17,Students!$M:$M,$AE$2&amp;if($K17="S1","a",if($K17="S2","b","")),Students!$A:$A,AP$2)+countifs(Students!$N:$N,$AE17,Students!$O:$O,$AE$2&amp;if($K17="S1","a",if($K17="S2","b","")),Students!$A:$A,AP$2)+countifs(Students!$P:$P,$AE17,Students!$Q:$Q,$AE$2&amp;if($K17="S1","a",if($K17="S2","b","")),Students!$A:$A,AP$2)+countifs(Students!$R:$R,$AE17,Students!$S:$S,$AE$2&amp;if($K17="S1","a",if($K17="S2","b","")),Students!$A:$A,AP$2)+countifs(Students!$T:$T,$AE17,Students!$U:$U,$AE$2&amp;if($K17="S1","a",if($K17="S2","b","")),Students!$A:$A,AP$2)+countifs(Students!$V:$V,$AE17,Students!$W:$W,$AE$2&amp;if($K17="S1","a",if($K17="S2","b","")),Students!$A:$A,AP$2)+
countifs(Students!$D:$D,$AH17,Students!$E:$E,$AH$2&amp;if($K17="S1","a",if($K17="S2","b","")),Students!$A:$A,AP$2)+countifs(Students!$F:$F,$AH17,Students!$G:$G,$AH$2&amp;if($K17="S1","a",if($K17="S2","b","")),Students!$A:$A,AP$2)+countifs(Students!$H:$H,$AH17,Students!$I:$I,$AH$2&amp;if($K17="S1","a",if($K17="S2","b","")),Students!$A:$A,AP$2)+countifs(Students!$J:$J,$AH17,Students!$K:$K,$AH$2&amp;if($K17="S1","a",if($K17="S2","b","")),Students!$A:$A,AP$2)+countifs(Students!$L:$L,$AH17,Students!$M:$M,$AH$2&amp;if($K17="S1","a",if($K17="S2","b","")),Students!$A:$A,AP$2)+countifs(Students!$N:$N,$AH17,Students!$O:$O,$AH$2&amp;if($K17="S1","a",if($K17="S2","b","")),Students!$A:$A,AP$2)+countifs(Students!$P:$P,$AH17,Students!$Q:$Q,$AH$2&amp;if($K17="S1","a",if($K17="S2","b","")),Students!$A:$A,AP$2)+countifs(Students!$R:$R,$AH17,Students!$S:$S,$AH$2&amp;if($K17="S1","a",if($K17="S2","b","")),Students!$A:$A,AP$2)+countifs(Students!$T:$T,$AH17,Students!$U:$U,$AH$2&amp;if($K17="S1","a",if($K17="S2","b","")),Students!$A:$A,AP$2)+countifs(Students!$V:$V,$AH17,Students!$W:$W,$AH$2&amp;if($K17="S1","a",if($K17="S2","b","")),Students!$A:$A,AP$2)+
countifs(Students!$D:$D,$AK17,Students!$E:$E,$AK$2&amp;if($K17="S1","a",if($K17="S2","b","")),Students!$A:$A,AP$2)+countifs(Students!$F:$F,$AK17,Students!$G:$G,$AK$2&amp;if($K17="S1","a",if($K17="S2","b","")),Students!$A:$A,AP$2)+countifs(Students!$H:$H,$AK17,Students!$I:$I,$AK$2&amp;if($K17="S1","a",if($K17="S2","b","")),Students!$A:$A,AP$2)+countifs(Students!$J:$J,$AK17,Students!$K:$K,$AK$2&amp;if($K17="S1","a",if($K17="S2","b","")),Students!$A:$A,AP$2)+countifs(Students!$L:$L,$AK17,Students!$M:$M,$AK$2&amp;if($K17="S1","a",if($K17="S2","b","")),Students!$A:$A,AP$2)+countifs(Students!$N:$N,$AK17,Students!$O:$O,$AK$2&amp;if($K17="S1","a",if($K17="S2","b","")),Students!$A:$A,AP$2)+countifs(Students!$P:$P,$AK17,Students!$Q:$Q,$AK$2&amp;if($K17="S1","a",if($K17="S2","b","")),Students!$A:$A,AP$2)+countifs(Students!$R:$R,$AK17,Students!$S:$S,$AK$2&amp;if($K17="S1","a",if($K17="S2","b","")),Students!$A:$A,AP$2)+countifs(Students!$T:$T,$AK17,Students!$U:$U,$AK$2&amp;if($K17="S1","a",if($K17="S2","b","")),Students!$A:$A,AP$2)+countifs(Students!$V:$V,$AK17,Students!$W:$W,$AK$2&amp;if($K17="S1","a",if($K17="S2","b","")),Students!$A:$A,AP$2))</f>
        <v>56</v>
      </c>
      <c r="AQ17" s="102">
        <f>if($L17="","",countifs(Students!$D:$D,$P17,Students!$E:$E,$P$2&amp;if($K17="S1","a",if($K17="S2","b","")),Students!$A:$A,AQ$2)+countifs(Students!$F:$F,$P17,Students!$G:$G,$P$2&amp;if($K17="S1","a",if($K17="S2","b","")),Students!$A:$A,AQ$2)+countifs(Students!$H:$H,$P17,Students!$I:$I,$P$2&amp;if($K17="S1","a",if($K17="S2","b","")),Students!$A:$A,AQ$2)+countifs(Students!$J:$J,$P17,Students!$K:$K,$P$2&amp;if($K17="S1","a",if($K17="S2","b","")),Students!$A:$A,AQ$2)+countifs(Students!$L:$L,$P17,Students!$M:$M,$P$2&amp;if($K17="S1","a",if($K17="S2","b","")),Students!$A:$A,AQ$2)+countifs(Students!$N:$N,$P17,Students!$O:$O,$P$2&amp;if($K17="S1","a",if($K17="S2","b","")),Students!$A:$A,AQ$2)+countifs(Students!$P:$P,$P17,Students!$Q:$Q,$P$2&amp;if($K17="S1","a",if($K17="S2","b","")),Students!$A:$A,AQ$2)+countifs(Students!$R:$R,$P17,Students!$S:$S,$P$2&amp;if($K17="S1","a",if($K17="S2","b","")),Students!$A:$A,AQ$2)+countifs(Students!$T:$T,$P17,Students!$U:$U,$P$2&amp;if($K17="S1","a",if($K17="S2","b","")),Students!$A:$A,AQ$2)+countifs(Students!$V:$V,$P17,Students!$W:$W,$P$2&amp;if($K17="S1","a",if($K17="S2","b","")),Students!$A:$A,AQ$2)+
countifs(Students!$D:$D,$S17,Students!$E:$E,$S$2&amp;if($K17="S1","a",if($K17="S2","b","")),Students!$A:$A,AQ$2)+countifs(Students!$F:$F,$S17,Students!$G:$G,$S$2&amp;if($K17="S1","a",if($K17="S2","b","")),Students!$A:$A,AQ$2)+countifs(Students!$H:$H,$S17,Students!$I:$I,$S$2&amp;if($K17="S1","a",if($K17="S2","b","")),Students!$A:$A,AQ$2)+countifs(Students!$J:$J,$S17,Students!$K:$K,$S$2&amp;if($K17="S1","a",if($K17="S2","b","")),Students!$A:$A,AQ$2)+countifs(Students!$L:$L,$S17,Students!$M:$M,$S$2&amp;if($K17="S1","a",if($K17="S2","b","")),Students!$A:$A,AQ$2)+countifs(Students!$N:$N,$S17,Students!$O:$O,$S$2&amp;if($K17="S1","a",if($K17="S2","b","")),Students!$A:$A,AQ$2)+countifs(Students!$P:$P,$S17,Students!$Q:$Q,$S$2&amp;if($K17="S1","a",if($K17="S2","b","")),Students!$A:$A,AQ$2)+countifs(Students!$R:$R,$S17,Students!$S:$S,$S$2&amp;if($K17="S1","a",if($K17="S2","b","")),Students!$A:$A,AQ$2)+countifs(Students!$T:$T,$S17,Students!$U:$U,$S$2&amp;if($K17="S1","a",if($K17="S2","b","")),Students!$A:$A,AQ$2)+countifs(Students!$V:$V,$S17,Students!$W:$W,$S$2&amp;if($K17="S1","a",if($K17="S2","b","")),Students!$A:$A,AQ$2)+
countifs(Students!$D:$D,$V17,Students!$E:$E,$V$2&amp;if($K17="S1","a",if($K17="S2","b","")),Students!$A:$A,AQ$2)+countifs(Students!$F:$F,$V17,Students!$G:$G,$V$2&amp;if($K17="S1","a",if($K17="S2","b","")),Students!$A:$A,AQ$2)+countifs(Students!$H:$H,$V17,Students!$I:$I,$V$2&amp;if($K17="S1","a",if($K17="S2","b","")),Students!$A:$A,AQ$2)+countifs(Students!$J:$J,$V17,Students!$K:$K,$V$2&amp;if($K17="S1","a",if($K17="S2","b","")),Students!$A:$A,AQ$2)+countifs(Students!$L:$L,$V17,Students!$M:$M,$V$2&amp;if($K17="S1","a",if($K17="S2","b","")),Students!$A:$A,AQ$2)+countifs(Students!$N:$N,$V17,Students!$O:$O,$V$2&amp;if($K17="S1","a",if($K17="S2","b","")),Students!$A:$A,AQ$2)+countifs(Students!$P:$P,$V17,Students!$Q:$Q,$V$2&amp;if($K17="S1","a",if($K17="S2","b","")),Students!$A:$A,AQ$2)+countifs(Students!$R:$R,$V17,Students!$S:$S,$V$2&amp;if($K17="S1","a",if($K17="S2","b","")),Students!$A:$A,AQ$2)+countifs(Students!$T:$T,$V17,Students!$U:$U,$V$2&amp;if($K17="S1","a",if($K17="S2","b","")),Students!$A:$A,AQ$2)+countifs(Students!$V:$V,$V17,Students!$W:$W,$V$2&amp;if($K17="S1","a",if($K17="S2","b","")),Students!$A:$A,AQ$2)+
countifs(Students!$D:$D,$Y17,Students!$E:$E,$Y$2&amp;if($K17="S1","a",if($K17="S2","b","")),Students!$A:$A,AQ$2)+countifs(Students!$F:$F,$Y17,Students!$G:$G,$Y$2&amp;if($K17="S1","a",if($K17="S2","b","")),Students!$A:$A,AQ$2)+countifs(Students!$H:$H,$Y17,Students!$I:$I,$Y$2&amp;if($K17="S1","a",if($K17="S2","b","")),Students!$A:$A,AQ$2)+countifs(Students!$J:$J,$Y17,Students!$K:$K,$Y$2&amp;if($K17="S1","a",if($K17="S2","b","")),Students!$A:$A,AQ$2)+countifs(Students!$L:$L,$Y17,Students!$M:$M,$Y$2&amp;if($K17="S1","a",if($K17="S2","b","")),Students!$A:$A,AQ$2)+countifs(Students!$N:$N,$Y17,Students!$O:$O,$Y$2&amp;if($K17="S1","a",if($K17="S2","b","")),Students!$A:$A,AQ$2)+countifs(Students!$P:$P,$Y17,Students!$Q:$Q,$Y$2&amp;if($K17="S1","a",if($K17="S2","b","")),Students!$A:$A,AQ$2)+countifs(Students!$R:$R,$Y17,Students!$S:$S,$Y$2&amp;if($K17="S1","a",if($K17="S2","b","")),Students!$A:$A,AQ$2)+countifs(Students!$T:$T,$Y17,Students!$U:$U,$Y$2&amp;if($K17="S1","a",if($K17="S2","b","")),Students!$A:$A,AQ$2)+countifs(Students!$V:$V,$Y17,Students!$W:$W,$Y$2&amp;if($K17="S1","a",if($K17="S2","b","")),Students!$A:$A,AQ$2)+
countifs(Students!$D:$D,$AB17,Students!$E:$E,$AB$2&amp;if($K17="S1","a",if($K17="S2","b","")),Students!$A:$A,AQ$2)+countifs(Students!$F:$F,$AB17,Students!$G:$G,$AB$2&amp;if($K17="S1","a",if($K17="S2","b","")),Students!$A:$A,AQ$2)+countifs(Students!$H:$H,$AB17,Students!$I:$I,$AB$2&amp;if($K17="S1","a",if($K17="S2","b","")),Students!$A:$A,AQ$2)+countifs(Students!$J:$J,$AB17,Students!$K:$K,$AB$2&amp;if($K17="S1","a",if($K17="S2","b","")),Students!$A:$A,AQ$2)+countifs(Students!$L:$L,$AB17,Students!$M:$M,$AB$2&amp;if($K17="S1","a",if($K17="S2","b","")),Students!$A:$A,AQ$2)+countifs(Students!$N:$N,$AB17,Students!$O:$O,$AB$2&amp;if($K17="S1","a",if($K17="S2","b","")),Students!$A:$A,AQ$2)+countifs(Students!$P:$P,$AB17,Students!$Q:$Q,$AB$2&amp;if($K17="S1","a",if($K17="S2","b","")),Students!$A:$A,AQ$2)+countifs(Students!$R:$R,$AB17,Students!$S:$S,$AB$2&amp;if($K17="S1","a",if($K17="S2","b","")),Students!$A:$A,AQ$2)+countifs(Students!$T:$T,$AB17,Students!$U:$U,$AB$2&amp;if($K17="S1","a",if($K17="S2","b","")),Students!$A:$A,AQ$2)+countifs(Students!$V:$V,$AB17,Students!$W:$W,$AB$2&amp;if($K17="S1","a",if($K17="S2","b","")),Students!$A:$A,AQ$2)+
countifs(Students!$D:$D,$AE17,Students!$E:$E,$AE$2&amp;if($K17="S1","a",if($K17="S2","b","")),Students!$A:$A,AQ$2)+countifs(Students!$F:$F,$AE17,Students!$G:$G,$AE$2&amp;if($K17="S1","a",if($K17="S2","b","")),Students!$A:$A,AQ$2)+countifs(Students!$H:$H,$AE17,Students!$I:$I,$AE$2&amp;if($K17="S1","a",if($K17="S2","b","")),Students!$A:$A,AQ$2)+countifs(Students!$J:$J,$AE17,Students!$K:$K,$AE$2&amp;if($K17="S1","a",if($K17="S2","b","")),Students!$A:$A,AQ$2)+countifs(Students!$L:$L,$AE17,Students!$M:$M,$AE$2&amp;if($K17="S1","a",if($K17="S2","b","")),Students!$A:$A,AQ$2)+countifs(Students!$N:$N,$AE17,Students!$O:$O,$AE$2&amp;if($K17="S1","a",if($K17="S2","b","")),Students!$A:$A,AQ$2)+countifs(Students!$P:$P,$AE17,Students!$Q:$Q,$AE$2&amp;if($K17="S1","a",if($K17="S2","b","")),Students!$A:$A,AQ$2)+countifs(Students!$R:$R,$AE17,Students!$S:$S,$AE$2&amp;if($K17="S1","a",if($K17="S2","b","")),Students!$A:$A,AQ$2)+countifs(Students!$T:$T,$AE17,Students!$U:$U,$AE$2&amp;if($K17="S1","a",if($K17="S2","b","")),Students!$A:$A,AQ$2)+countifs(Students!$V:$V,$AE17,Students!$W:$W,$AE$2&amp;if($K17="S1","a",if($K17="S2","b","")),Students!$A:$A,AQ$2)+
countifs(Students!$D:$D,$AH17,Students!$E:$E,$AH$2&amp;if($K17="S1","a",if($K17="S2","b","")),Students!$A:$A,AQ$2)+countifs(Students!$F:$F,$AH17,Students!$G:$G,$AH$2&amp;if($K17="S1","a",if($K17="S2","b","")),Students!$A:$A,AQ$2)+countifs(Students!$H:$H,$AH17,Students!$I:$I,$AH$2&amp;if($K17="S1","a",if($K17="S2","b","")),Students!$A:$A,AQ$2)+countifs(Students!$J:$J,$AH17,Students!$K:$K,$AH$2&amp;if($K17="S1","a",if($K17="S2","b","")),Students!$A:$A,AQ$2)+countifs(Students!$L:$L,$AH17,Students!$M:$M,$AH$2&amp;if($K17="S1","a",if($K17="S2","b","")),Students!$A:$A,AQ$2)+countifs(Students!$N:$N,$AH17,Students!$O:$O,$AH$2&amp;if($K17="S1","a",if($K17="S2","b","")),Students!$A:$A,AQ$2)+countifs(Students!$P:$P,$AH17,Students!$Q:$Q,$AH$2&amp;if($K17="S1","a",if($K17="S2","b","")),Students!$A:$A,AQ$2)+countifs(Students!$R:$R,$AH17,Students!$S:$S,$AH$2&amp;if($K17="S1","a",if($K17="S2","b","")),Students!$A:$A,AQ$2)+countifs(Students!$T:$T,$AH17,Students!$U:$U,$AH$2&amp;if($K17="S1","a",if($K17="S2","b","")),Students!$A:$A,AQ$2)+countifs(Students!$V:$V,$AH17,Students!$W:$W,$AH$2&amp;if($K17="S1","a",if($K17="S2","b","")),Students!$A:$A,AQ$2)+
countifs(Students!$D:$D,$AK17,Students!$E:$E,$AK$2&amp;if($K17="S1","a",if($K17="S2","b","")),Students!$A:$A,AQ$2)+countifs(Students!$F:$F,$AK17,Students!$G:$G,$AK$2&amp;if($K17="S1","a",if($K17="S2","b","")),Students!$A:$A,AQ$2)+countifs(Students!$H:$H,$AK17,Students!$I:$I,$AK$2&amp;if($K17="S1","a",if($K17="S2","b","")),Students!$A:$A,AQ$2)+countifs(Students!$J:$J,$AK17,Students!$K:$K,$AK$2&amp;if($K17="S1","a",if($K17="S2","b","")),Students!$A:$A,AQ$2)+countifs(Students!$L:$L,$AK17,Students!$M:$M,$AK$2&amp;if($K17="S1","a",if($K17="S2","b","")),Students!$A:$A,AQ$2)+countifs(Students!$N:$N,$AK17,Students!$O:$O,$AK$2&amp;if($K17="S1","a",if($K17="S2","b","")),Students!$A:$A,AQ$2)+countifs(Students!$P:$P,$AK17,Students!$Q:$Q,$AK$2&amp;if($K17="S1","a",if($K17="S2","b","")),Students!$A:$A,AQ$2)+countifs(Students!$R:$R,$AK17,Students!$S:$S,$AK$2&amp;if($K17="S1","a",if($K17="S2","b","")),Students!$A:$A,AQ$2)+countifs(Students!$T:$T,$AK17,Students!$U:$U,$AK$2&amp;if($K17="S1","a",if($K17="S2","b","")),Students!$A:$A,AQ$2)+countifs(Students!$V:$V,$AK17,Students!$W:$W,$AK$2&amp;if($K17="S1","a",if($K17="S2","b","")),Students!$A:$A,AQ$2))</f>
        <v>36</v>
      </c>
      <c r="AR17" s="102">
        <f>if($L17="","",countifs(Students!$D:$D,$P17,Students!$E:$E,$P$2&amp;if($K17="S1","a",if($K17="S2","b","")),Students!$A:$A,AR$2)+countifs(Students!$F:$F,$P17,Students!$G:$G,$P$2&amp;if($K17="S1","a",if($K17="S2","b","")),Students!$A:$A,AR$2)+countifs(Students!$H:$H,$P17,Students!$I:$I,$P$2&amp;if($K17="S1","a",if($K17="S2","b","")),Students!$A:$A,AR$2)+countifs(Students!$J:$J,$P17,Students!$K:$K,$P$2&amp;if($K17="S1","a",if($K17="S2","b","")),Students!$A:$A,AR$2)+countifs(Students!$L:$L,$P17,Students!$M:$M,$P$2&amp;if($K17="S1","a",if($K17="S2","b","")),Students!$A:$A,AR$2)+countifs(Students!$N:$N,$P17,Students!$O:$O,$P$2&amp;if($K17="S1","a",if($K17="S2","b","")),Students!$A:$A,AR$2)+countifs(Students!$P:$P,$P17,Students!$Q:$Q,$P$2&amp;if($K17="S1","a",if($K17="S2","b","")),Students!$A:$A,AR$2)+countifs(Students!$R:$R,$P17,Students!$S:$S,$P$2&amp;if($K17="S1","a",if($K17="S2","b","")),Students!$A:$A,AR$2)+countifs(Students!$T:$T,$P17,Students!$U:$U,$P$2&amp;if($K17="S1","a",if($K17="S2","b","")),Students!$A:$A,AR$2)+countifs(Students!$V:$V,$P17,Students!$W:$W,$P$2&amp;if($K17="S1","a",if($K17="S2","b","")),Students!$A:$A,AR$2)+
countifs(Students!$D:$D,$S17,Students!$E:$E,$S$2&amp;if($K17="S1","a",if($K17="S2","b","")),Students!$A:$A,AR$2)+countifs(Students!$F:$F,$S17,Students!$G:$G,$S$2&amp;if($K17="S1","a",if($K17="S2","b","")),Students!$A:$A,AR$2)+countifs(Students!$H:$H,$S17,Students!$I:$I,$S$2&amp;if($K17="S1","a",if($K17="S2","b","")),Students!$A:$A,AR$2)+countifs(Students!$J:$J,$S17,Students!$K:$K,$S$2&amp;if($K17="S1","a",if($K17="S2","b","")),Students!$A:$A,AR$2)+countifs(Students!$L:$L,$S17,Students!$M:$M,$S$2&amp;if($K17="S1","a",if($K17="S2","b","")),Students!$A:$A,AR$2)+countifs(Students!$N:$N,$S17,Students!$O:$O,$S$2&amp;if($K17="S1","a",if($K17="S2","b","")),Students!$A:$A,AR$2)+countifs(Students!$P:$P,$S17,Students!$Q:$Q,$S$2&amp;if($K17="S1","a",if($K17="S2","b","")),Students!$A:$A,AR$2)+countifs(Students!$R:$R,$S17,Students!$S:$S,$S$2&amp;if($K17="S1","a",if($K17="S2","b","")),Students!$A:$A,AR$2)+countifs(Students!$T:$T,$S17,Students!$U:$U,$S$2&amp;if($K17="S1","a",if($K17="S2","b","")),Students!$A:$A,AR$2)+countifs(Students!$V:$V,$S17,Students!$W:$W,$S$2&amp;if($K17="S1","a",if($K17="S2","b","")),Students!$A:$A,AR$2)+
countifs(Students!$D:$D,$V17,Students!$E:$E,$V$2&amp;if($K17="S1","a",if($K17="S2","b","")),Students!$A:$A,AR$2)+countifs(Students!$F:$F,$V17,Students!$G:$G,$V$2&amp;if($K17="S1","a",if($K17="S2","b","")),Students!$A:$A,AR$2)+countifs(Students!$H:$H,$V17,Students!$I:$I,$V$2&amp;if($K17="S1","a",if($K17="S2","b","")),Students!$A:$A,AR$2)+countifs(Students!$J:$J,$V17,Students!$K:$K,$V$2&amp;if($K17="S1","a",if($K17="S2","b","")),Students!$A:$A,AR$2)+countifs(Students!$L:$L,$V17,Students!$M:$M,$V$2&amp;if($K17="S1","a",if($K17="S2","b","")),Students!$A:$A,AR$2)+countifs(Students!$N:$N,$V17,Students!$O:$O,$V$2&amp;if($K17="S1","a",if($K17="S2","b","")),Students!$A:$A,AR$2)+countifs(Students!$P:$P,$V17,Students!$Q:$Q,$V$2&amp;if($K17="S1","a",if($K17="S2","b","")),Students!$A:$A,AR$2)+countifs(Students!$R:$R,$V17,Students!$S:$S,$V$2&amp;if($K17="S1","a",if($K17="S2","b","")),Students!$A:$A,AR$2)+countifs(Students!$T:$T,$V17,Students!$U:$U,$V$2&amp;if($K17="S1","a",if($K17="S2","b","")),Students!$A:$A,AR$2)+countifs(Students!$V:$V,$V17,Students!$W:$W,$V$2&amp;if($K17="S1","a",if($K17="S2","b","")),Students!$A:$A,AR$2)+
countifs(Students!$D:$D,$Y17,Students!$E:$E,$Y$2&amp;if($K17="S1","a",if($K17="S2","b","")),Students!$A:$A,AR$2)+countifs(Students!$F:$F,$Y17,Students!$G:$G,$Y$2&amp;if($K17="S1","a",if($K17="S2","b","")),Students!$A:$A,AR$2)+countifs(Students!$H:$H,$Y17,Students!$I:$I,$Y$2&amp;if($K17="S1","a",if($K17="S2","b","")),Students!$A:$A,AR$2)+countifs(Students!$J:$J,$Y17,Students!$K:$K,$Y$2&amp;if($K17="S1","a",if($K17="S2","b","")),Students!$A:$A,AR$2)+countifs(Students!$L:$L,$Y17,Students!$M:$M,$Y$2&amp;if($K17="S1","a",if($K17="S2","b","")),Students!$A:$A,AR$2)+countifs(Students!$N:$N,$Y17,Students!$O:$O,$Y$2&amp;if($K17="S1","a",if($K17="S2","b","")),Students!$A:$A,AR$2)+countifs(Students!$P:$P,$Y17,Students!$Q:$Q,$Y$2&amp;if($K17="S1","a",if($K17="S2","b","")),Students!$A:$A,AR$2)+countifs(Students!$R:$R,$Y17,Students!$S:$S,$Y$2&amp;if($K17="S1","a",if($K17="S2","b","")),Students!$A:$A,AR$2)+countifs(Students!$T:$T,$Y17,Students!$U:$U,$Y$2&amp;if($K17="S1","a",if($K17="S2","b","")),Students!$A:$A,AR$2)+countifs(Students!$V:$V,$Y17,Students!$W:$W,$Y$2&amp;if($K17="S1","a",if($K17="S2","b","")),Students!$A:$A,AR$2)+
countifs(Students!$D:$D,$AB17,Students!$E:$E,$AB$2&amp;if($K17="S1","a",if($K17="S2","b","")),Students!$A:$A,AR$2)+countifs(Students!$F:$F,$AB17,Students!$G:$G,$AB$2&amp;if($K17="S1","a",if($K17="S2","b","")),Students!$A:$A,AR$2)+countifs(Students!$H:$H,$AB17,Students!$I:$I,$AB$2&amp;if($K17="S1","a",if($K17="S2","b","")),Students!$A:$A,AR$2)+countifs(Students!$J:$J,$AB17,Students!$K:$K,$AB$2&amp;if($K17="S1","a",if($K17="S2","b","")),Students!$A:$A,AR$2)+countifs(Students!$L:$L,$AB17,Students!$M:$M,$AB$2&amp;if($K17="S1","a",if($K17="S2","b","")),Students!$A:$A,AR$2)+countifs(Students!$N:$N,$AB17,Students!$O:$O,$AB$2&amp;if($K17="S1","a",if($K17="S2","b","")),Students!$A:$A,AR$2)+countifs(Students!$P:$P,$AB17,Students!$Q:$Q,$AB$2&amp;if($K17="S1","a",if($K17="S2","b","")),Students!$A:$A,AR$2)+countifs(Students!$R:$R,$AB17,Students!$S:$S,$AB$2&amp;if($K17="S1","a",if($K17="S2","b","")),Students!$A:$A,AR$2)+countifs(Students!$T:$T,$AB17,Students!$U:$U,$AB$2&amp;if($K17="S1","a",if($K17="S2","b","")),Students!$A:$A,AR$2)+countifs(Students!$V:$V,$AB17,Students!$W:$W,$AB$2&amp;if($K17="S1","a",if($K17="S2","b","")),Students!$A:$A,AR$2)+
countifs(Students!$D:$D,$AE17,Students!$E:$E,$AE$2&amp;if($K17="S1","a",if($K17="S2","b","")),Students!$A:$A,AR$2)+countifs(Students!$F:$F,$AE17,Students!$G:$G,$AE$2&amp;if($K17="S1","a",if($K17="S2","b","")),Students!$A:$A,AR$2)+countifs(Students!$H:$H,$AE17,Students!$I:$I,$AE$2&amp;if($K17="S1","a",if($K17="S2","b","")),Students!$A:$A,AR$2)+countifs(Students!$J:$J,$AE17,Students!$K:$K,$AE$2&amp;if($K17="S1","a",if($K17="S2","b","")),Students!$A:$A,AR$2)+countifs(Students!$L:$L,$AE17,Students!$M:$M,$AE$2&amp;if($K17="S1","a",if($K17="S2","b","")),Students!$A:$A,AR$2)+countifs(Students!$N:$N,$AE17,Students!$O:$O,$AE$2&amp;if($K17="S1","a",if($K17="S2","b","")),Students!$A:$A,AR$2)+countifs(Students!$P:$P,$AE17,Students!$Q:$Q,$AE$2&amp;if($K17="S1","a",if($K17="S2","b","")),Students!$A:$A,AR$2)+countifs(Students!$R:$R,$AE17,Students!$S:$S,$AE$2&amp;if($K17="S1","a",if($K17="S2","b","")),Students!$A:$A,AR$2)+countifs(Students!$T:$T,$AE17,Students!$U:$U,$AE$2&amp;if($K17="S1","a",if($K17="S2","b","")),Students!$A:$A,AR$2)+countifs(Students!$V:$V,$AE17,Students!$W:$W,$AE$2&amp;if($K17="S1","a",if($K17="S2","b","")),Students!$A:$A,AR$2)+
countifs(Students!$D:$D,$AH17,Students!$E:$E,$AH$2&amp;if($K17="S1","a",if($K17="S2","b","")),Students!$A:$A,AR$2)+countifs(Students!$F:$F,$AH17,Students!$G:$G,$AH$2&amp;if($K17="S1","a",if($K17="S2","b","")),Students!$A:$A,AR$2)+countifs(Students!$H:$H,$AH17,Students!$I:$I,$AH$2&amp;if($K17="S1","a",if($K17="S2","b","")),Students!$A:$A,AR$2)+countifs(Students!$J:$J,$AH17,Students!$K:$K,$AH$2&amp;if($K17="S1","a",if($K17="S2","b","")),Students!$A:$A,AR$2)+countifs(Students!$L:$L,$AH17,Students!$M:$M,$AH$2&amp;if($K17="S1","a",if($K17="S2","b","")),Students!$A:$A,AR$2)+countifs(Students!$N:$N,$AH17,Students!$O:$O,$AH$2&amp;if($K17="S1","a",if($K17="S2","b","")),Students!$A:$A,AR$2)+countifs(Students!$P:$P,$AH17,Students!$Q:$Q,$AH$2&amp;if($K17="S1","a",if($K17="S2","b","")),Students!$A:$A,AR$2)+countifs(Students!$R:$R,$AH17,Students!$S:$S,$AH$2&amp;if($K17="S1","a",if($K17="S2","b","")),Students!$A:$A,AR$2)+countifs(Students!$T:$T,$AH17,Students!$U:$U,$AH$2&amp;if($K17="S1","a",if($K17="S2","b","")),Students!$A:$A,AR$2)+countifs(Students!$V:$V,$AH17,Students!$W:$W,$AH$2&amp;if($K17="S1","a",if($K17="S2","b","")),Students!$A:$A,AR$2)+
countifs(Students!$D:$D,$AK17,Students!$E:$E,$AK$2&amp;if($K17="S1","a",if($K17="S2","b","")),Students!$A:$A,AR$2)+countifs(Students!$F:$F,$AK17,Students!$G:$G,$AK$2&amp;if($K17="S1","a",if($K17="S2","b","")),Students!$A:$A,AR$2)+countifs(Students!$H:$H,$AK17,Students!$I:$I,$AK$2&amp;if($K17="S1","a",if($K17="S2","b","")),Students!$A:$A,AR$2)+countifs(Students!$J:$J,$AK17,Students!$K:$K,$AK$2&amp;if($K17="S1","a",if($K17="S2","b","")),Students!$A:$A,AR$2)+countifs(Students!$L:$L,$AK17,Students!$M:$M,$AK$2&amp;if($K17="S1","a",if($K17="S2","b","")),Students!$A:$A,AR$2)+countifs(Students!$N:$N,$AK17,Students!$O:$O,$AK$2&amp;if($K17="S1","a",if($K17="S2","b","")),Students!$A:$A,AR$2)+countifs(Students!$P:$P,$AK17,Students!$Q:$Q,$AK$2&amp;if($K17="S1","a",if($K17="S2","b","")),Students!$A:$A,AR$2)+countifs(Students!$R:$R,$AK17,Students!$S:$S,$AK$2&amp;if($K17="S1","a",if($K17="S2","b","")),Students!$A:$A,AR$2)+countifs(Students!$T:$T,$AK17,Students!$U:$U,$AK$2&amp;if($K17="S1","a",if($K17="S2","b","")),Students!$A:$A,AR$2)+countifs(Students!$V:$V,$AK17,Students!$W:$W,$AK$2&amp;if($K17="S1","a",if($K17="S2","b","")),Students!$A:$A,AR$2))</f>
        <v>0</v>
      </c>
      <c r="AS17" s="102">
        <f>if($L17="","",countifs(Students!$D:$D,$P17,Students!$E:$E,$P$2&amp;if($K17="S1","a",if($K17="S2","b","")),Students!$A:$A,AS$2)+countifs(Students!$F:$F,$P17,Students!$G:$G,$P$2&amp;if($K17="S1","a",if($K17="S2","b","")),Students!$A:$A,AS$2)+countifs(Students!$H:$H,$P17,Students!$I:$I,$P$2&amp;if($K17="S1","a",if($K17="S2","b","")),Students!$A:$A,AS$2)+countifs(Students!$J:$J,$P17,Students!$K:$K,$P$2&amp;if($K17="S1","a",if($K17="S2","b","")),Students!$A:$A,AS$2)+countifs(Students!$L:$L,$P17,Students!$M:$M,$P$2&amp;if($K17="S1","a",if($K17="S2","b","")),Students!$A:$A,AS$2)+countifs(Students!$N:$N,$P17,Students!$O:$O,$P$2&amp;if($K17="S1","a",if($K17="S2","b","")),Students!$A:$A,AS$2)+countifs(Students!$P:$P,$P17,Students!$Q:$Q,$P$2&amp;if($K17="S1","a",if($K17="S2","b","")),Students!$A:$A,AS$2)+countifs(Students!$R:$R,$P17,Students!$S:$S,$P$2&amp;if($K17="S1","a",if($K17="S2","b","")),Students!$A:$A,AS$2)+countifs(Students!$T:$T,$P17,Students!$U:$U,$P$2&amp;if($K17="S1","a",if($K17="S2","b","")),Students!$A:$A,AS$2)+countifs(Students!$V:$V,$P17,Students!$W:$W,$P$2&amp;if($K17="S1","a",if($K17="S2","b","")),Students!$A:$A,AS$2)+
countifs(Students!$D:$D,$S17,Students!$E:$E,$S$2&amp;if($K17="S1","a",if($K17="S2","b","")),Students!$A:$A,AS$2)+countifs(Students!$F:$F,$S17,Students!$G:$G,$S$2&amp;if($K17="S1","a",if($K17="S2","b","")),Students!$A:$A,AS$2)+countifs(Students!$H:$H,$S17,Students!$I:$I,$S$2&amp;if($K17="S1","a",if($K17="S2","b","")),Students!$A:$A,AS$2)+countifs(Students!$J:$J,$S17,Students!$K:$K,$S$2&amp;if($K17="S1","a",if($K17="S2","b","")),Students!$A:$A,AS$2)+countifs(Students!$L:$L,$S17,Students!$M:$M,$S$2&amp;if($K17="S1","a",if($K17="S2","b","")),Students!$A:$A,AS$2)+countifs(Students!$N:$N,$S17,Students!$O:$O,$S$2&amp;if($K17="S1","a",if($K17="S2","b","")),Students!$A:$A,AS$2)+countifs(Students!$P:$P,$S17,Students!$Q:$Q,$S$2&amp;if($K17="S1","a",if($K17="S2","b","")),Students!$A:$A,AS$2)+countifs(Students!$R:$R,$S17,Students!$S:$S,$S$2&amp;if($K17="S1","a",if($K17="S2","b","")),Students!$A:$A,AS$2)+countifs(Students!$T:$T,$S17,Students!$U:$U,$S$2&amp;if($K17="S1","a",if($K17="S2","b","")),Students!$A:$A,AS$2)+countifs(Students!$V:$V,$S17,Students!$W:$W,$S$2&amp;if($K17="S1","a",if($K17="S2","b","")),Students!$A:$A,AS$2)+
countifs(Students!$D:$D,$V17,Students!$E:$E,$V$2&amp;if($K17="S1","a",if($K17="S2","b","")),Students!$A:$A,AS$2)+countifs(Students!$F:$F,$V17,Students!$G:$G,$V$2&amp;if($K17="S1","a",if($K17="S2","b","")),Students!$A:$A,AS$2)+countifs(Students!$H:$H,$V17,Students!$I:$I,$V$2&amp;if($K17="S1","a",if($K17="S2","b","")),Students!$A:$A,AS$2)+countifs(Students!$J:$J,$V17,Students!$K:$K,$V$2&amp;if($K17="S1","a",if($K17="S2","b","")),Students!$A:$A,AS$2)+countifs(Students!$L:$L,$V17,Students!$M:$M,$V$2&amp;if($K17="S1","a",if($K17="S2","b","")),Students!$A:$A,AS$2)+countifs(Students!$N:$N,$V17,Students!$O:$O,$V$2&amp;if($K17="S1","a",if($K17="S2","b","")),Students!$A:$A,AS$2)+countifs(Students!$P:$P,$V17,Students!$Q:$Q,$V$2&amp;if($K17="S1","a",if($K17="S2","b","")),Students!$A:$A,AS$2)+countifs(Students!$R:$R,$V17,Students!$S:$S,$V$2&amp;if($K17="S1","a",if($K17="S2","b","")),Students!$A:$A,AS$2)+countifs(Students!$T:$T,$V17,Students!$U:$U,$V$2&amp;if($K17="S1","a",if($K17="S2","b","")),Students!$A:$A,AS$2)+countifs(Students!$V:$V,$V17,Students!$W:$W,$V$2&amp;if($K17="S1","a",if($K17="S2","b","")),Students!$A:$A,AS$2)+
countifs(Students!$D:$D,$Y17,Students!$E:$E,$Y$2&amp;if($K17="S1","a",if($K17="S2","b","")),Students!$A:$A,AS$2)+countifs(Students!$F:$F,$Y17,Students!$G:$G,$Y$2&amp;if($K17="S1","a",if($K17="S2","b","")),Students!$A:$A,AS$2)+countifs(Students!$H:$H,$Y17,Students!$I:$I,$Y$2&amp;if($K17="S1","a",if($K17="S2","b","")),Students!$A:$A,AS$2)+countifs(Students!$J:$J,$Y17,Students!$K:$K,$Y$2&amp;if($K17="S1","a",if($K17="S2","b","")),Students!$A:$A,AS$2)+countifs(Students!$L:$L,$Y17,Students!$M:$M,$Y$2&amp;if($K17="S1","a",if($K17="S2","b","")),Students!$A:$A,AS$2)+countifs(Students!$N:$N,$Y17,Students!$O:$O,$Y$2&amp;if($K17="S1","a",if($K17="S2","b","")),Students!$A:$A,AS$2)+countifs(Students!$P:$P,$Y17,Students!$Q:$Q,$Y$2&amp;if($K17="S1","a",if($K17="S2","b","")),Students!$A:$A,AS$2)+countifs(Students!$R:$R,$Y17,Students!$S:$S,$Y$2&amp;if($K17="S1","a",if($K17="S2","b","")),Students!$A:$A,AS$2)+countifs(Students!$T:$T,$Y17,Students!$U:$U,$Y$2&amp;if($K17="S1","a",if($K17="S2","b","")),Students!$A:$A,AS$2)+countifs(Students!$V:$V,$Y17,Students!$W:$W,$Y$2&amp;if($K17="S1","a",if($K17="S2","b","")),Students!$A:$A,AS$2)+
countifs(Students!$D:$D,$AB17,Students!$E:$E,$AB$2&amp;if($K17="S1","a",if($K17="S2","b","")),Students!$A:$A,AS$2)+countifs(Students!$F:$F,$AB17,Students!$G:$G,$AB$2&amp;if($K17="S1","a",if($K17="S2","b","")),Students!$A:$A,AS$2)+countifs(Students!$H:$H,$AB17,Students!$I:$I,$AB$2&amp;if($K17="S1","a",if($K17="S2","b","")),Students!$A:$A,AS$2)+countifs(Students!$J:$J,$AB17,Students!$K:$K,$AB$2&amp;if($K17="S1","a",if($K17="S2","b","")),Students!$A:$A,AS$2)+countifs(Students!$L:$L,$AB17,Students!$M:$M,$AB$2&amp;if($K17="S1","a",if($K17="S2","b","")),Students!$A:$A,AS$2)+countifs(Students!$N:$N,$AB17,Students!$O:$O,$AB$2&amp;if($K17="S1","a",if($K17="S2","b","")),Students!$A:$A,AS$2)+countifs(Students!$P:$P,$AB17,Students!$Q:$Q,$AB$2&amp;if($K17="S1","a",if($K17="S2","b","")),Students!$A:$A,AS$2)+countifs(Students!$R:$R,$AB17,Students!$S:$S,$AB$2&amp;if($K17="S1","a",if($K17="S2","b","")),Students!$A:$A,AS$2)+countifs(Students!$T:$T,$AB17,Students!$U:$U,$AB$2&amp;if($K17="S1","a",if($K17="S2","b","")),Students!$A:$A,AS$2)+countifs(Students!$V:$V,$AB17,Students!$W:$W,$AB$2&amp;if($K17="S1","a",if($K17="S2","b","")),Students!$A:$A,AS$2)+
countifs(Students!$D:$D,$AE17,Students!$E:$E,$AE$2&amp;if($K17="S1","a",if($K17="S2","b","")),Students!$A:$A,AS$2)+countifs(Students!$F:$F,$AE17,Students!$G:$G,$AE$2&amp;if($K17="S1","a",if($K17="S2","b","")),Students!$A:$A,AS$2)+countifs(Students!$H:$H,$AE17,Students!$I:$I,$AE$2&amp;if($K17="S1","a",if($K17="S2","b","")),Students!$A:$A,AS$2)+countifs(Students!$J:$J,$AE17,Students!$K:$K,$AE$2&amp;if($K17="S1","a",if($K17="S2","b","")),Students!$A:$A,AS$2)+countifs(Students!$L:$L,$AE17,Students!$M:$M,$AE$2&amp;if($K17="S1","a",if($K17="S2","b","")),Students!$A:$A,AS$2)+countifs(Students!$N:$N,$AE17,Students!$O:$O,$AE$2&amp;if($K17="S1","a",if($K17="S2","b","")),Students!$A:$A,AS$2)+countifs(Students!$P:$P,$AE17,Students!$Q:$Q,$AE$2&amp;if($K17="S1","a",if($K17="S2","b","")),Students!$A:$A,AS$2)+countifs(Students!$R:$R,$AE17,Students!$S:$S,$AE$2&amp;if($K17="S1","a",if($K17="S2","b","")),Students!$A:$A,AS$2)+countifs(Students!$T:$T,$AE17,Students!$U:$U,$AE$2&amp;if($K17="S1","a",if($K17="S2","b","")),Students!$A:$A,AS$2)+countifs(Students!$V:$V,$AE17,Students!$W:$W,$AE$2&amp;if($K17="S1","a",if($K17="S2","b","")),Students!$A:$A,AS$2)+
countifs(Students!$D:$D,$AH17,Students!$E:$E,$AH$2&amp;if($K17="S1","a",if($K17="S2","b","")),Students!$A:$A,AS$2)+countifs(Students!$F:$F,$AH17,Students!$G:$G,$AH$2&amp;if($K17="S1","a",if($K17="S2","b","")),Students!$A:$A,AS$2)+countifs(Students!$H:$H,$AH17,Students!$I:$I,$AH$2&amp;if($K17="S1","a",if($K17="S2","b","")),Students!$A:$A,AS$2)+countifs(Students!$J:$J,$AH17,Students!$K:$K,$AH$2&amp;if($K17="S1","a",if($K17="S2","b","")),Students!$A:$A,AS$2)+countifs(Students!$L:$L,$AH17,Students!$M:$M,$AH$2&amp;if($K17="S1","a",if($K17="S2","b","")),Students!$A:$A,AS$2)+countifs(Students!$N:$N,$AH17,Students!$O:$O,$AH$2&amp;if($K17="S1","a",if($K17="S2","b","")),Students!$A:$A,AS$2)+countifs(Students!$P:$P,$AH17,Students!$Q:$Q,$AH$2&amp;if($K17="S1","a",if($K17="S2","b","")),Students!$A:$A,AS$2)+countifs(Students!$R:$R,$AH17,Students!$S:$S,$AH$2&amp;if($K17="S1","a",if($K17="S2","b","")),Students!$A:$A,AS$2)+countifs(Students!$T:$T,$AH17,Students!$U:$U,$AH$2&amp;if($K17="S1","a",if($K17="S2","b","")),Students!$A:$A,AS$2)+countifs(Students!$V:$V,$AH17,Students!$W:$W,$AH$2&amp;if($K17="S1","a",if($K17="S2","b","")),Students!$A:$A,AS$2)+
countifs(Students!$D:$D,$AK17,Students!$E:$E,$AK$2&amp;if($K17="S1","a",if($K17="S2","b","")),Students!$A:$A,AS$2)+countifs(Students!$F:$F,$AK17,Students!$G:$G,$AK$2&amp;if($K17="S1","a",if($K17="S2","b","")),Students!$A:$A,AS$2)+countifs(Students!$H:$H,$AK17,Students!$I:$I,$AK$2&amp;if($K17="S1","a",if($K17="S2","b","")),Students!$A:$A,AS$2)+countifs(Students!$J:$J,$AK17,Students!$K:$K,$AK$2&amp;if($K17="S1","a",if($K17="S2","b","")),Students!$A:$A,AS$2)+countifs(Students!$L:$L,$AK17,Students!$M:$M,$AK$2&amp;if($K17="S1","a",if($K17="S2","b","")),Students!$A:$A,AS$2)+countifs(Students!$N:$N,$AK17,Students!$O:$O,$AK$2&amp;if($K17="S1","a",if($K17="S2","b","")),Students!$A:$A,AS$2)+countifs(Students!$P:$P,$AK17,Students!$Q:$Q,$AK$2&amp;if($K17="S1","a",if($K17="S2","b","")),Students!$A:$A,AS$2)+countifs(Students!$R:$R,$AK17,Students!$S:$S,$AK$2&amp;if($K17="S1","a",if($K17="S2","b","")),Students!$A:$A,AS$2)+countifs(Students!$T:$T,$AK17,Students!$U:$U,$AK$2&amp;if($K17="S1","a",if($K17="S2","b","")),Students!$A:$A,AS$2)+countifs(Students!$V:$V,$AK17,Students!$W:$W,$AK$2&amp;if($K17="S1","a",if($K17="S2","b","")),Students!$A:$A,AS$2))</f>
        <v>0</v>
      </c>
    </row>
    <row r="18">
      <c r="A18" s="21">
        <v>10.0</v>
      </c>
      <c r="B18" s="4">
        <f>countifs(Students!A:A,A18)</f>
        <v>138</v>
      </c>
      <c r="C18" s="111">
        <f t="shared" si="3"/>
        <v>23</v>
      </c>
      <c r="D18" s="114"/>
      <c r="J18" s="87">
        <v>88.0</v>
      </c>
      <c r="K18" s="70"/>
      <c r="L18" s="58" t="s">
        <v>65</v>
      </c>
      <c r="M18" s="107"/>
      <c r="N18" s="92">
        <v>1.0</v>
      </c>
      <c r="O18" s="92">
        <f>IFERROR(__xludf.DUMMYFUNCTION("3*counta((transpose(filter(P18:AM18,P18:AM18&lt;&gt;"""",isnumber(P18:AM18)=false))))"),15.0)</f>
        <v>15</v>
      </c>
      <c r="P18" s="90" t="s">
        <v>66</v>
      </c>
      <c r="Q18" s="91">
        <v>1.0</v>
      </c>
      <c r="R18" s="92">
        <v>21.0</v>
      </c>
      <c r="S18" s="91"/>
      <c r="T18" s="91"/>
      <c r="U18" s="92" t="s">
        <v>22</v>
      </c>
      <c r="V18" s="91" t="s">
        <v>66</v>
      </c>
      <c r="W18" s="101">
        <v>2.0</v>
      </c>
      <c r="X18" s="98">
        <v>19.0</v>
      </c>
      <c r="Y18" s="90" t="s">
        <v>66</v>
      </c>
      <c r="Z18" s="91">
        <v>3.0</v>
      </c>
      <c r="AA18" s="92">
        <v>15.0</v>
      </c>
      <c r="AB18" s="91" t="s">
        <v>66</v>
      </c>
      <c r="AC18" s="101">
        <v>4.0</v>
      </c>
      <c r="AD18" s="98">
        <v>13.0</v>
      </c>
      <c r="AE18" s="90" t="s">
        <v>66</v>
      </c>
      <c r="AF18" s="101">
        <v>5.0</v>
      </c>
      <c r="AG18" s="92">
        <v>20.0</v>
      </c>
      <c r="AH18" s="91"/>
      <c r="AI18" s="96"/>
      <c r="AJ18" s="92" t="s">
        <v>22</v>
      </c>
      <c r="AK18" s="91"/>
      <c r="AL18" s="96"/>
      <c r="AM18" s="92" t="s">
        <v>22</v>
      </c>
      <c r="AN18" s="99"/>
      <c r="AO18" s="52">
        <f t="shared" si="2"/>
        <v>88</v>
      </c>
      <c r="AP18" s="102">
        <f>if($L18="","",countifs(Students!$D:$D,$P18,Students!$E:$E,$P$2&amp;if($K18="S1","a",if($K18="S2","b","")),Students!$A:$A,AP$2)+countifs(Students!$F:$F,$P18,Students!$G:$G,$P$2&amp;if($K18="S1","a",if($K18="S2","b","")),Students!$A:$A,AP$2)+countifs(Students!$H:$H,$P18,Students!$I:$I,$P$2&amp;if($K18="S1","a",if($K18="S2","b","")),Students!$A:$A,AP$2)+countifs(Students!$J:$J,$P18,Students!$K:$K,$P$2&amp;if($K18="S1","a",if($K18="S2","b","")),Students!$A:$A,AP$2)+countifs(Students!$L:$L,$P18,Students!$M:$M,$P$2&amp;if($K18="S1","a",if($K18="S2","b","")),Students!$A:$A,AP$2)+countifs(Students!$N:$N,$P18,Students!$O:$O,$P$2&amp;if($K18="S1","a",if($K18="S2","b","")),Students!$A:$A,AP$2)+countifs(Students!$P:$P,$P18,Students!$Q:$Q,$P$2&amp;if($K18="S1","a",if($K18="S2","b","")),Students!$A:$A,AP$2)+countifs(Students!$R:$R,$P18,Students!$S:$S,$P$2&amp;if($K18="S1","a",if($K18="S2","b","")),Students!$A:$A,AP$2)+countifs(Students!$T:$T,$P18,Students!$U:$U,$P$2&amp;if($K18="S1","a",if($K18="S2","b","")),Students!$A:$A,AP$2)+countifs(Students!$V:$V,$P18,Students!$W:$W,$P$2&amp;if($K18="S1","a",if($K18="S2","b","")),Students!$A:$A,AP$2)+
countifs(Students!$D:$D,$S18,Students!$E:$E,$S$2&amp;if($K18="S1","a",if($K18="S2","b","")),Students!$A:$A,AP$2)+countifs(Students!$F:$F,$S18,Students!$G:$G,$S$2&amp;if($K18="S1","a",if($K18="S2","b","")),Students!$A:$A,AP$2)+countifs(Students!$H:$H,$S18,Students!$I:$I,$S$2&amp;if($K18="S1","a",if($K18="S2","b","")),Students!$A:$A,AP$2)+countifs(Students!$J:$J,$S18,Students!$K:$K,$S$2&amp;if($K18="S1","a",if($K18="S2","b","")),Students!$A:$A,AP$2)+countifs(Students!$L:$L,$S18,Students!$M:$M,$S$2&amp;if($K18="S1","a",if($K18="S2","b","")),Students!$A:$A,AP$2)+countifs(Students!$N:$N,$S18,Students!$O:$O,$S$2&amp;if($K18="S1","a",if($K18="S2","b","")),Students!$A:$A,AP$2)+countifs(Students!$P:$P,$S18,Students!$Q:$Q,$S$2&amp;if($K18="S1","a",if($K18="S2","b","")),Students!$A:$A,AP$2)+countifs(Students!$R:$R,$S18,Students!$S:$S,$S$2&amp;if($K18="S1","a",if($K18="S2","b","")),Students!$A:$A,AP$2)+countifs(Students!$T:$T,$S18,Students!$U:$U,$S$2&amp;if($K18="S1","a",if($K18="S2","b","")),Students!$A:$A,AP$2)+countifs(Students!$V:$V,$S18,Students!$W:$W,$S$2&amp;if($K18="S1","a",if($K18="S2","b","")),Students!$A:$A,AP$2)+
countifs(Students!$D:$D,$V18,Students!$E:$E,$V$2&amp;if($K18="S1","a",if($K18="S2","b","")),Students!$A:$A,AP$2)+countifs(Students!$F:$F,$V18,Students!$G:$G,$V$2&amp;if($K18="S1","a",if($K18="S2","b","")),Students!$A:$A,AP$2)+countifs(Students!$H:$H,$V18,Students!$I:$I,$V$2&amp;if($K18="S1","a",if($K18="S2","b","")),Students!$A:$A,AP$2)+countifs(Students!$J:$J,$V18,Students!$K:$K,$V$2&amp;if($K18="S1","a",if($K18="S2","b","")),Students!$A:$A,AP$2)+countifs(Students!$L:$L,$V18,Students!$M:$M,$V$2&amp;if($K18="S1","a",if($K18="S2","b","")),Students!$A:$A,AP$2)+countifs(Students!$N:$N,$V18,Students!$O:$O,$V$2&amp;if($K18="S1","a",if($K18="S2","b","")),Students!$A:$A,AP$2)+countifs(Students!$P:$P,$V18,Students!$Q:$Q,$V$2&amp;if($K18="S1","a",if($K18="S2","b","")),Students!$A:$A,AP$2)+countifs(Students!$R:$R,$V18,Students!$S:$S,$V$2&amp;if($K18="S1","a",if($K18="S2","b","")),Students!$A:$A,AP$2)+countifs(Students!$T:$T,$V18,Students!$U:$U,$V$2&amp;if($K18="S1","a",if($K18="S2","b","")),Students!$A:$A,AP$2)+countifs(Students!$V:$V,$V18,Students!$W:$W,$V$2&amp;if($K18="S1","a",if($K18="S2","b","")),Students!$A:$A,AP$2)+
countifs(Students!$D:$D,$Y18,Students!$E:$E,$Y$2&amp;if($K18="S1","a",if($K18="S2","b","")),Students!$A:$A,AP$2)+countifs(Students!$F:$F,$Y18,Students!$G:$G,$Y$2&amp;if($K18="S1","a",if($K18="S2","b","")),Students!$A:$A,AP$2)+countifs(Students!$H:$H,$Y18,Students!$I:$I,$Y$2&amp;if($K18="S1","a",if($K18="S2","b","")),Students!$A:$A,AP$2)+countifs(Students!$J:$J,$Y18,Students!$K:$K,$Y$2&amp;if($K18="S1","a",if($K18="S2","b","")),Students!$A:$A,AP$2)+countifs(Students!$L:$L,$Y18,Students!$M:$M,$Y$2&amp;if($K18="S1","a",if($K18="S2","b","")),Students!$A:$A,AP$2)+countifs(Students!$N:$N,$Y18,Students!$O:$O,$Y$2&amp;if($K18="S1","a",if($K18="S2","b","")),Students!$A:$A,AP$2)+countifs(Students!$P:$P,$Y18,Students!$Q:$Q,$Y$2&amp;if($K18="S1","a",if($K18="S2","b","")),Students!$A:$A,AP$2)+countifs(Students!$R:$R,$Y18,Students!$S:$S,$Y$2&amp;if($K18="S1","a",if($K18="S2","b","")),Students!$A:$A,AP$2)+countifs(Students!$T:$T,$Y18,Students!$U:$U,$Y$2&amp;if($K18="S1","a",if($K18="S2","b","")),Students!$A:$A,AP$2)+countifs(Students!$V:$V,$Y18,Students!$W:$W,$Y$2&amp;if($K18="S1","a",if($K18="S2","b","")),Students!$A:$A,AP$2)+
countifs(Students!$D:$D,$AB18,Students!$E:$E,$AB$2&amp;if($K18="S1","a",if($K18="S2","b","")),Students!$A:$A,AP$2)+countifs(Students!$F:$F,$AB18,Students!$G:$G,$AB$2&amp;if($K18="S1","a",if($K18="S2","b","")),Students!$A:$A,AP$2)+countifs(Students!$H:$H,$AB18,Students!$I:$I,$AB$2&amp;if($K18="S1","a",if($K18="S2","b","")),Students!$A:$A,AP$2)+countifs(Students!$J:$J,$AB18,Students!$K:$K,$AB$2&amp;if($K18="S1","a",if($K18="S2","b","")),Students!$A:$A,AP$2)+countifs(Students!$L:$L,$AB18,Students!$M:$M,$AB$2&amp;if($K18="S1","a",if($K18="S2","b","")),Students!$A:$A,AP$2)+countifs(Students!$N:$N,$AB18,Students!$O:$O,$AB$2&amp;if($K18="S1","a",if($K18="S2","b","")),Students!$A:$A,AP$2)+countifs(Students!$P:$P,$AB18,Students!$Q:$Q,$AB$2&amp;if($K18="S1","a",if($K18="S2","b","")),Students!$A:$A,AP$2)+countifs(Students!$R:$R,$AB18,Students!$S:$S,$AB$2&amp;if($K18="S1","a",if($K18="S2","b","")),Students!$A:$A,AP$2)+countifs(Students!$T:$T,$AB18,Students!$U:$U,$AB$2&amp;if($K18="S1","a",if($K18="S2","b","")),Students!$A:$A,AP$2)+countifs(Students!$V:$V,$AB18,Students!$W:$W,$AB$2&amp;if($K18="S1","a",if($K18="S2","b","")),Students!$A:$A,AP$2)+
countifs(Students!$D:$D,$AE18,Students!$E:$E,$AE$2&amp;if($K18="S1","a",if($K18="S2","b","")),Students!$A:$A,AP$2)+countifs(Students!$F:$F,$AE18,Students!$G:$G,$AE$2&amp;if($K18="S1","a",if($K18="S2","b","")),Students!$A:$A,AP$2)+countifs(Students!$H:$H,$AE18,Students!$I:$I,$AE$2&amp;if($K18="S1","a",if($K18="S2","b","")),Students!$A:$A,AP$2)+countifs(Students!$J:$J,$AE18,Students!$K:$K,$AE$2&amp;if($K18="S1","a",if($K18="S2","b","")),Students!$A:$A,AP$2)+countifs(Students!$L:$L,$AE18,Students!$M:$M,$AE$2&amp;if($K18="S1","a",if($K18="S2","b","")),Students!$A:$A,AP$2)+countifs(Students!$N:$N,$AE18,Students!$O:$O,$AE$2&amp;if($K18="S1","a",if($K18="S2","b","")),Students!$A:$A,AP$2)+countifs(Students!$P:$P,$AE18,Students!$Q:$Q,$AE$2&amp;if($K18="S1","a",if($K18="S2","b","")),Students!$A:$A,AP$2)+countifs(Students!$R:$R,$AE18,Students!$S:$S,$AE$2&amp;if($K18="S1","a",if($K18="S2","b","")),Students!$A:$A,AP$2)+countifs(Students!$T:$T,$AE18,Students!$U:$U,$AE$2&amp;if($K18="S1","a",if($K18="S2","b","")),Students!$A:$A,AP$2)+countifs(Students!$V:$V,$AE18,Students!$W:$W,$AE$2&amp;if($K18="S1","a",if($K18="S2","b","")),Students!$A:$A,AP$2)+
countifs(Students!$D:$D,$AH18,Students!$E:$E,$AH$2&amp;if($K18="S1","a",if($K18="S2","b","")),Students!$A:$A,AP$2)+countifs(Students!$F:$F,$AH18,Students!$G:$G,$AH$2&amp;if($K18="S1","a",if($K18="S2","b","")),Students!$A:$A,AP$2)+countifs(Students!$H:$H,$AH18,Students!$I:$I,$AH$2&amp;if($K18="S1","a",if($K18="S2","b","")),Students!$A:$A,AP$2)+countifs(Students!$J:$J,$AH18,Students!$K:$K,$AH$2&amp;if($K18="S1","a",if($K18="S2","b","")),Students!$A:$A,AP$2)+countifs(Students!$L:$L,$AH18,Students!$M:$M,$AH$2&amp;if($K18="S1","a",if($K18="S2","b","")),Students!$A:$A,AP$2)+countifs(Students!$N:$N,$AH18,Students!$O:$O,$AH$2&amp;if($K18="S1","a",if($K18="S2","b","")),Students!$A:$A,AP$2)+countifs(Students!$P:$P,$AH18,Students!$Q:$Q,$AH$2&amp;if($K18="S1","a",if($K18="S2","b","")),Students!$A:$A,AP$2)+countifs(Students!$R:$R,$AH18,Students!$S:$S,$AH$2&amp;if($K18="S1","a",if($K18="S2","b","")),Students!$A:$A,AP$2)+countifs(Students!$T:$T,$AH18,Students!$U:$U,$AH$2&amp;if($K18="S1","a",if($K18="S2","b","")),Students!$A:$A,AP$2)+countifs(Students!$V:$V,$AH18,Students!$W:$W,$AH$2&amp;if($K18="S1","a",if($K18="S2","b","")),Students!$A:$A,AP$2)+
countifs(Students!$D:$D,$AK18,Students!$E:$E,$AK$2&amp;if($K18="S1","a",if($K18="S2","b","")),Students!$A:$A,AP$2)+countifs(Students!$F:$F,$AK18,Students!$G:$G,$AK$2&amp;if($K18="S1","a",if($K18="S2","b","")),Students!$A:$A,AP$2)+countifs(Students!$H:$H,$AK18,Students!$I:$I,$AK$2&amp;if($K18="S1","a",if($K18="S2","b","")),Students!$A:$A,AP$2)+countifs(Students!$J:$J,$AK18,Students!$K:$K,$AK$2&amp;if($K18="S1","a",if($K18="S2","b","")),Students!$A:$A,AP$2)+countifs(Students!$L:$L,$AK18,Students!$M:$M,$AK$2&amp;if($K18="S1","a",if($K18="S2","b","")),Students!$A:$A,AP$2)+countifs(Students!$N:$N,$AK18,Students!$O:$O,$AK$2&amp;if($K18="S1","a",if($K18="S2","b","")),Students!$A:$A,AP$2)+countifs(Students!$P:$P,$AK18,Students!$Q:$Q,$AK$2&amp;if($K18="S1","a",if($K18="S2","b","")),Students!$A:$A,AP$2)+countifs(Students!$R:$R,$AK18,Students!$S:$S,$AK$2&amp;if($K18="S1","a",if($K18="S2","b","")),Students!$A:$A,AP$2)+countifs(Students!$T:$T,$AK18,Students!$U:$U,$AK$2&amp;if($K18="S1","a",if($K18="S2","b","")),Students!$A:$A,AP$2)+countifs(Students!$V:$V,$AK18,Students!$W:$W,$AK$2&amp;if($K18="S1","a",if($K18="S2","b","")),Students!$A:$A,AP$2))</f>
        <v>0</v>
      </c>
      <c r="AQ18" s="102">
        <f>if($L18="","",countifs(Students!$D:$D,$P18,Students!$E:$E,$P$2&amp;if($K18="S1","a",if($K18="S2","b","")),Students!$A:$A,AQ$2)+countifs(Students!$F:$F,$P18,Students!$G:$G,$P$2&amp;if($K18="S1","a",if($K18="S2","b","")),Students!$A:$A,AQ$2)+countifs(Students!$H:$H,$P18,Students!$I:$I,$P$2&amp;if($K18="S1","a",if($K18="S2","b","")),Students!$A:$A,AQ$2)+countifs(Students!$J:$J,$P18,Students!$K:$K,$P$2&amp;if($K18="S1","a",if($K18="S2","b","")),Students!$A:$A,AQ$2)+countifs(Students!$L:$L,$P18,Students!$M:$M,$P$2&amp;if($K18="S1","a",if($K18="S2","b","")),Students!$A:$A,AQ$2)+countifs(Students!$N:$N,$P18,Students!$O:$O,$P$2&amp;if($K18="S1","a",if($K18="S2","b","")),Students!$A:$A,AQ$2)+countifs(Students!$P:$P,$P18,Students!$Q:$Q,$P$2&amp;if($K18="S1","a",if($K18="S2","b","")),Students!$A:$A,AQ$2)+countifs(Students!$R:$R,$P18,Students!$S:$S,$P$2&amp;if($K18="S1","a",if($K18="S2","b","")),Students!$A:$A,AQ$2)+countifs(Students!$T:$T,$P18,Students!$U:$U,$P$2&amp;if($K18="S1","a",if($K18="S2","b","")),Students!$A:$A,AQ$2)+countifs(Students!$V:$V,$P18,Students!$W:$W,$P$2&amp;if($K18="S1","a",if($K18="S2","b","")),Students!$A:$A,AQ$2)+
countifs(Students!$D:$D,$S18,Students!$E:$E,$S$2&amp;if($K18="S1","a",if($K18="S2","b","")),Students!$A:$A,AQ$2)+countifs(Students!$F:$F,$S18,Students!$G:$G,$S$2&amp;if($K18="S1","a",if($K18="S2","b","")),Students!$A:$A,AQ$2)+countifs(Students!$H:$H,$S18,Students!$I:$I,$S$2&amp;if($K18="S1","a",if($K18="S2","b","")),Students!$A:$A,AQ$2)+countifs(Students!$J:$J,$S18,Students!$K:$K,$S$2&amp;if($K18="S1","a",if($K18="S2","b","")),Students!$A:$A,AQ$2)+countifs(Students!$L:$L,$S18,Students!$M:$M,$S$2&amp;if($K18="S1","a",if($K18="S2","b","")),Students!$A:$A,AQ$2)+countifs(Students!$N:$N,$S18,Students!$O:$O,$S$2&amp;if($K18="S1","a",if($K18="S2","b","")),Students!$A:$A,AQ$2)+countifs(Students!$P:$P,$S18,Students!$Q:$Q,$S$2&amp;if($K18="S1","a",if($K18="S2","b","")),Students!$A:$A,AQ$2)+countifs(Students!$R:$R,$S18,Students!$S:$S,$S$2&amp;if($K18="S1","a",if($K18="S2","b","")),Students!$A:$A,AQ$2)+countifs(Students!$T:$T,$S18,Students!$U:$U,$S$2&amp;if($K18="S1","a",if($K18="S2","b","")),Students!$A:$A,AQ$2)+countifs(Students!$V:$V,$S18,Students!$W:$W,$S$2&amp;if($K18="S1","a",if($K18="S2","b","")),Students!$A:$A,AQ$2)+
countifs(Students!$D:$D,$V18,Students!$E:$E,$V$2&amp;if($K18="S1","a",if($K18="S2","b","")),Students!$A:$A,AQ$2)+countifs(Students!$F:$F,$V18,Students!$G:$G,$V$2&amp;if($K18="S1","a",if($K18="S2","b","")),Students!$A:$A,AQ$2)+countifs(Students!$H:$H,$V18,Students!$I:$I,$V$2&amp;if($K18="S1","a",if($K18="S2","b","")),Students!$A:$A,AQ$2)+countifs(Students!$J:$J,$V18,Students!$K:$K,$V$2&amp;if($K18="S1","a",if($K18="S2","b","")),Students!$A:$A,AQ$2)+countifs(Students!$L:$L,$V18,Students!$M:$M,$V$2&amp;if($K18="S1","a",if($K18="S2","b","")),Students!$A:$A,AQ$2)+countifs(Students!$N:$N,$V18,Students!$O:$O,$V$2&amp;if($K18="S1","a",if($K18="S2","b","")),Students!$A:$A,AQ$2)+countifs(Students!$P:$P,$V18,Students!$Q:$Q,$V$2&amp;if($K18="S1","a",if($K18="S2","b","")),Students!$A:$A,AQ$2)+countifs(Students!$R:$R,$V18,Students!$S:$S,$V$2&amp;if($K18="S1","a",if($K18="S2","b","")),Students!$A:$A,AQ$2)+countifs(Students!$T:$T,$V18,Students!$U:$U,$V$2&amp;if($K18="S1","a",if($K18="S2","b","")),Students!$A:$A,AQ$2)+countifs(Students!$V:$V,$V18,Students!$W:$W,$V$2&amp;if($K18="S1","a",if($K18="S2","b","")),Students!$A:$A,AQ$2)+
countifs(Students!$D:$D,$Y18,Students!$E:$E,$Y$2&amp;if($K18="S1","a",if($K18="S2","b","")),Students!$A:$A,AQ$2)+countifs(Students!$F:$F,$Y18,Students!$G:$G,$Y$2&amp;if($K18="S1","a",if($K18="S2","b","")),Students!$A:$A,AQ$2)+countifs(Students!$H:$H,$Y18,Students!$I:$I,$Y$2&amp;if($K18="S1","a",if($K18="S2","b","")),Students!$A:$A,AQ$2)+countifs(Students!$J:$J,$Y18,Students!$K:$K,$Y$2&amp;if($K18="S1","a",if($K18="S2","b","")),Students!$A:$A,AQ$2)+countifs(Students!$L:$L,$Y18,Students!$M:$M,$Y$2&amp;if($K18="S1","a",if($K18="S2","b","")),Students!$A:$A,AQ$2)+countifs(Students!$N:$N,$Y18,Students!$O:$O,$Y$2&amp;if($K18="S1","a",if($K18="S2","b","")),Students!$A:$A,AQ$2)+countifs(Students!$P:$P,$Y18,Students!$Q:$Q,$Y$2&amp;if($K18="S1","a",if($K18="S2","b","")),Students!$A:$A,AQ$2)+countifs(Students!$R:$R,$Y18,Students!$S:$S,$Y$2&amp;if($K18="S1","a",if($K18="S2","b","")),Students!$A:$A,AQ$2)+countifs(Students!$T:$T,$Y18,Students!$U:$U,$Y$2&amp;if($K18="S1","a",if($K18="S2","b","")),Students!$A:$A,AQ$2)+countifs(Students!$V:$V,$Y18,Students!$W:$W,$Y$2&amp;if($K18="S1","a",if($K18="S2","b","")),Students!$A:$A,AQ$2)+
countifs(Students!$D:$D,$AB18,Students!$E:$E,$AB$2&amp;if($K18="S1","a",if($K18="S2","b","")),Students!$A:$A,AQ$2)+countifs(Students!$F:$F,$AB18,Students!$G:$G,$AB$2&amp;if($K18="S1","a",if($K18="S2","b","")),Students!$A:$A,AQ$2)+countifs(Students!$H:$H,$AB18,Students!$I:$I,$AB$2&amp;if($K18="S1","a",if($K18="S2","b","")),Students!$A:$A,AQ$2)+countifs(Students!$J:$J,$AB18,Students!$K:$K,$AB$2&amp;if($K18="S1","a",if($K18="S2","b","")),Students!$A:$A,AQ$2)+countifs(Students!$L:$L,$AB18,Students!$M:$M,$AB$2&amp;if($K18="S1","a",if($K18="S2","b","")),Students!$A:$A,AQ$2)+countifs(Students!$N:$N,$AB18,Students!$O:$O,$AB$2&amp;if($K18="S1","a",if($K18="S2","b","")),Students!$A:$A,AQ$2)+countifs(Students!$P:$P,$AB18,Students!$Q:$Q,$AB$2&amp;if($K18="S1","a",if($K18="S2","b","")),Students!$A:$A,AQ$2)+countifs(Students!$R:$R,$AB18,Students!$S:$S,$AB$2&amp;if($K18="S1","a",if($K18="S2","b","")),Students!$A:$A,AQ$2)+countifs(Students!$T:$T,$AB18,Students!$U:$U,$AB$2&amp;if($K18="S1","a",if($K18="S2","b","")),Students!$A:$A,AQ$2)+countifs(Students!$V:$V,$AB18,Students!$W:$W,$AB$2&amp;if($K18="S1","a",if($K18="S2","b","")),Students!$A:$A,AQ$2)+
countifs(Students!$D:$D,$AE18,Students!$E:$E,$AE$2&amp;if($K18="S1","a",if($K18="S2","b","")),Students!$A:$A,AQ$2)+countifs(Students!$F:$F,$AE18,Students!$G:$G,$AE$2&amp;if($K18="S1","a",if($K18="S2","b","")),Students!$A:$A,AQ$2)+countifs(Students!$H:$H,$AE18,Students!$I:$I,$AE$2&amp;if($K18="S1","a",if($K18="S2","b","")),Students!$A:$A,AQ$2)+countifs(Students!$J:$J,$AE18,Students!$K:$K,$AE$2&amp;if($K18="S1","a",if($K18="S2","b","")),Students!$A:$A,AQ$2)+countifs(Students!$L:$L,$AE18,Students!$M:$M,$AE$2&amp;if($K18="S1","a",if($K18="S2","b","")),Students!$A:$A,AQ$2)+countifs(Students!$N:$N,$AE18,Students!$O:$O,$AE$2&amp;if($K18="S1","a",if($K18="S2","b","")),Students!$A:$A,AQ$2)+countifs(Students!$P:$P,$AE18,Students!$Q:$Q,$AE$2&amp;if($K18="S1","a",if($K18="S2","b","")),Students!$A:$A,AQ$2)+countifs(Students!$R:$R,$AE18,Students!$S:$S,$AE$2&amp;if($K18="S1","a",if($K18="S2","b","")),Students!$A:$A,AQ$2)+countifs(Students!$T:$T,$AE18,Students!$U:$U,$AE$2&amp;if($K18="S1","a",if($K18="S2","b","")),Students!$A:$A,AQ$2)+countifs(Students!$V:$V,$AE18,Students!$W:$W,$AE$2&amp;if($K18="S1","a",if($K18="S2","b","")),Students!$A:$A,AQ$2)+
countifs(Students!$D:$D,$AH18,Students!$E:$E,$AH$2&amp;if($K18="S1","a",if($K18="S2","b","")),Students!$A:$A,AQ$2)+countifs(Students!$F:$F,$AH18,Students!$G:$G,$AH$2&amp;if($K18="S1","a",if($K18="S2","b","")),Students!$A:$A,AQ$2)+countifs(Students!$H:$H,$AH18,Students!$I:$I,$AH$2&amp;if($K18="S1","a",if($K18="S2","b","")),Students!$A:$A,AQ$2)+countifs(Students!$J:$J,$AH18,Students!$K:$K,$AH$2&amp;if($K18="S1","a",if($K18="S2","b","")),Students!$A:$A,AQ$2)+countifs(Students!$L:$L,$AH18,Students!$M:$M,$AH$2&amp;if($K18="S1","a",if($K18="S2","b","")),Students!$A:$A,AQ$2)+countifs(Students!$N:$N,$AH18,Students!$O:$O,$AH$2&amp;if($K18="S1","a",if($K18="S2","b","")),Students!$A:$A,AQ$2)+countifs(Students!$P:$P,$AH18,Students!$Q:$Q,$AH$2&amp;if($K18="S1","a",if($K18="S2","b","")),Students!$A:$A,AQ$2)+countifs(Students!$R:$R,$AH18,Students!$S:$S,$AH$2&amp;if($K18="S1","a",if($K18="S2","b","")),Students!$A:$A,AQ$2)+countifs(Students!$T:$T,$AH18,Students!$U:$U,$AH$2&amp;if($K18="S1","a",if($K18="S2","b","")),Students!$A:$A,AQ$2)+countifs(Students!$V:$V,$AH18,Students!$W:$W,$AH$2&amp;if($K18="S1","a",if($K18="S2","b","")),Students!$A:$A,AQ$2)+
countifs(Students!$D:$D,$AK18,Students!$E:$E,$AK$2&amp;if($K18="S1","a",if($K18="S2","b","")),Students!$A:$A,AQ$2)+countifs(Students!$F:$F,$AK18,Students!$G:$G,$AK$2&amp;if($K18="S1","a",if($K18="S2","b","")),Students!$A:$A,AQ$2)+countifs(Students!$H:$H,$AK18,Students!$I:$I,$AK$2&amp;if($K18="S1","a",if($K18="S2","b","")),Students!$A:$A,AQ$2)+countifs(Students!$J:$J,$AK18,Students!$K:$K,$AK$2&amp;if($K18="S1","a",if($K18="S2","b","")),Students!$A:$A,AQ$2)+countifs(Students!$L:$L,$AK18,Students!$M:$M,$AK$2&amp;if($K18="S1","a",if($K18="S2","b","")),Students!$A:$A,AQ$2)+countifs(Students!$N:$N,$AK18,Students!$O:$O,$AK$2&amp;if($K18="S1","a",if($K18="S2","b","")),Students!$A:$A,AQ$2)+countifs(Students!$P:$P,$AK18,Students!$Q:$Q,$AK$2&amp;if($K18="S1","a",if($K18="S2","b","")),Students!$A:$A,AQ$2)+countifs(Students!$R:$R,$AK18,Students!$S:$S,$AK$2&amp;if($K18="S1","a",if($K18="S2","b","")),Students!$A:$A,AQ$2)+countifs(Students!$T:$T,$AK18,Students!$U:$U,$AK$2&amp;if($K18="S1","a",if($K18="S2","b","")),Students!$A:$A,AQ$2)+countifs(Students!$V:$V,$AK18,Students!$W:$W,$AK$2&amp;if($K18="S1","a",if($K18="S2","b","")),Students!$A:$A,AQ$2))</f>
        <v>0</v>
      </c>
      <c r="AR18" s="102">
        <f>if($L18="","",countifs(Students!$D:$D,$P18,Students!$E:$E,$P$2&amp;if($K18="S1","a",if($K18="S2","b","")),Students!$A:$A,AR$2)+countifs(Students!$F:$F,$P18,Students!$G:$G,$P$2&amp;if($K18="S1","a",if($K18="S2","b","")),Students!$A:$A,AR$2)+countifs(Students!$H:$H,$P18,Students!$I:$I,$P$2&amp;if($K18="S1","a",if($K18="S2","b","")),Students!$A:$A,AR$2)+countifs(Students!$J:$J,$P18,Students!$K:$K,$P$2&amp;if($K18="S1","a",if($K18="S2","b","")),Students!$A:$A,AR$2)+countifs(Students!$L:$L,$P18,Students!$M:$M,$P$2&amp;if($K18="S1","a",if($K18="S2","b","")),Students!$A:$A,AR$2)+countifs(Students!$N:$N,$P18,Students!$O:$O,$P$2&amp;if($K18="S1","a",if($K18="S2","b","")),Students!$A:$A,AR$2)+countifs(Students!$P:$P,$P18,Students!$Q:$Q,$P$2&amp;if($K18="S1","a",if($K18="S2","b","")),Students!$A:$A,AR$2)+countifs(Students!$R:$R,$P18,Students!$S:$S,$P$2&amp;if($K18="S1","a",if($K18="S2","b","")),Students!$A:$A,AR$2)+countifs(Students!$T:$T,$P18,Students!$U:$U,$P$2&amp;if($K18="S1","a",if($K18="S2","b","")),Students!$A:$A,AR$2)+countifs(Students!$V:$V,$P18,Students!$W:$W,$P$2&amp;if($K18="S1","a",if($K18="S2","b","")),Students!$A:$A,AR$2)+
countifs(Students!$D:$D,$S18,Students!$E:$E,$S$2&amp;if($K18="S1","a",if($K18="S2","b","")),Students!$A:$A,AR$2)+countifs(Students!$F:$F,$S18,Students!$G:$G,$S$2&amp;if($K18="S1","a",if($K18="S2","b","")),Students!$A:$A,AR$2)+countifs(Students!$H:$H,$S18,Students!$I:$I,$S$2&amp;if($K18="S1","a",if($K18="S2","b","")),Students!$A:$A,AR$2)+countifs(Students!$J:$J,$S18,Students!$K:$K,$S$2&amp;if($K18="S1","a",if($K18="S2","b","")),Students!$A:$A,AR$2)+countifs(Students!$L:$L,$S18,Students!$M:$M,$S$2&amp;if($K18="S1","a",if($K18="S2","b","")),Students!$A:$A,AR$2)+countifs(Students!$N:$N,$S18,Students!$O:$O,$S$2&amp;if($K18="S1","a",if($K18="S2","b","")),Students!$A:$A,AR$2)+countifs(Students!$P:$P,$S18,Students!$Q:$Q,$S$2&amp;if($K18="S1","a",if($K18="S2","b","")),Students!$A:$A,AR$2)+countifs(Students!$R:$R,$S18,Students!$S:$S,$S$2&amp;if($K18="S1","a",if($K18="S2","b","")),Students!$A:$A,AR$2)+countifs(Students!$T:$T,$S18,Students!$U:$U,$S$2&amp;if($K18="S1","a",if($K18="S2","b","")),Students!$A:$A,AR$2)+countifs(Students!$V:$V,$S18,Students!$W:$W,$S$2&amp;if($K18="S1","a",if($K18="S2","b","")),Students!$A:$A,AR$2)+
countifs(Students!$D:$D,$V18,Students!$E:$E,$V$2&amp;if($K18="S1","a",if($K18="S2","b","")),Students!$A:$A,AR$2)+countifs(Students!$F:$F,$V18,Students!$G:$G,$V$2&amp;if($K18="S1","a",if($K18="S2","b","")),Students!$A:$A,AR$2)+countifs(Students!$H:$H,$V18,Students!$I:$I,$V$2&amp;if($K18="S1","a",if($K18="S2","b","")),Students!$A:$A,AR$2)+countifs(Students!$J:$J,$V18,Students!$K:$K,$V$2&amp;if($K18="S1","a",if($K18="S2","b","")),Students!$A:$A,AR$2)+countifs(Students!$L:$L,$V18,Students!$M:$M,$V$2&amp;if($K18="S1","a",if($K18="S2","b","")),Students!$A:$A,AR$2)+countifs(Students!$N:$N,$V18,Students!$O:$O,$V$2&amp;if($K18="S1","a",if($K18="S2","b","")),Students!$A:$A,AR$2)+countifs(Students!$P:$P,$V18,Students!$Q:$Q,$V$2&amp;if($K18="S1","a",if($K18="S2","b","")),Students!$A:$A,AR$2)+countifs(Students!$R:$R,$V18,Students!$S:$S,$V$2&amp;if($K18="S1","a",if($K18="S2","b","")),Students!$A:$A,AR$2)+countifs(Students!$T:$T,$V18,Students!$U:$U,$V$2&amp;if($K18="S1","a",if($K18="S2","b","")),Students!$A:$A,AR$2)+countifs(Students!$V:$V,$V18,Students!$W:$W,$V$2&amp;if($K18="S1","a",if($K18="S2","b","")),Students!$A:$A,AR$2)+
countifs(Students!$D:$D,$Y18,Students!$E:$E,$Y$2&amp;if($K18="S1","a",if($K18="S2","b","")),Students!$A:$A,AR$2)+countifs(Students!$F:$F,$Y18,Students!$G:$G,$Y$2&amp;if($K18="S1","a",if($K18="S2","b","")),Students!$A:$A,AR$2)+countifs(Students!$H:$H,$Y18,Students!$I:$I,$Y$2&amp;if($K18="S1","a",if($K18="S2","b","")),Students!$A:$A,AR$2)+countifs(Students!$J:$J,$Y18,Students!$K:$K,$Y$2&amp;if($K18="S1","a",if($K18="S2","b","")),Students!$A:$A,AR$2)+countifs(Students!$L:$L,$Y18,Students!$M:$M,$Y$2&amp;if($K18="S1","a",if($K18="S2","b","")),Students!$A:$A,AR$2)+countifs(Students!$N:$N,$Y18,Students!$O:$O,$Y$2&amp;if($K18="S1","a",if($K18="S2","b","")),Students!$A:$A,AR$2)+countifs(Students!$P:$P,$Y18,Students!$Q:$Q,$Y$2&amp;if($K18="S1","a",if($K18="S2","b","")),Students!$A:$A,AR$2)+countifs(Students!$R:$R,$Y18,Students!$S:$S,$Y$2&amp;if($K18="S1","a",if($K18="S2","b","")),Students!$A:$A,AR$2)+countifs(Students!$T:$T,$Y18,Students!$U:$U,$Y$2&amp;if($K18="S1","a",if($K18="S2","b","")),Students!$A:$A,AR$2)+countifs(Students!$V:$V,$Y18,Students!$W:$W,$Y$2&amp;if($K18="S1","a",if($K18="S2","b","")),Students!$A:$A,AR$2)+
countifs(Students!$D:$D,$AB18,Students!$E:$E,$AB$2&amp;if($K18="S1","a",if($K18="S2","b","")),Students!$A:$A,AR$2)+countifs(Students!$F:$F,$AB18,Students!$G:$G,$AB$2&amp;if($K18="S1","a",if($K18="S2","b","")),Students!$A:$A,AR$2)+countifs(Students!$H:$H,$AB18,Students!$I:$I,$AB$2&amp;if($K18="S1","a",if($K18="S2","b","")),Students!$A:$A,AR$2)+countifs(Students!$J:$J,$AB18,Students!$K:$K,$AB$2&amp;if($K18="S1","a",if($K18="S2","b","")),Students!$A:$A,AR$2)+countifs(Students!$L:$L,$AB18,Students!$M:$M,$AB$2&amp;if($K18="S1","a",if($K18="S2","b","")),Students!$A:$A,AR$2)+countifs(Students!$N:$N,$AB18,Students!$O:$O,$AB$2&amp;if($K18="S1","a",if($K18="S2","b","")),Students!$A:$A,AR$2)+countifs(Students!$P:$P,$AB18,Students!$Q:$Q,$AB$2&amp;if($K18="S1","a",if($K18="S2","b","")),Students!$A:$A,AR$2)+countifs(Students!$R:$R,$AB18,Students!$S:$S,$AB$2&amp;if($K18="S1","a",if($K18="S2","b","")),Students!$A:$A,AR$2)+countifs(Students!$T:$T,$AB18,Students!$U:$U,$AB$2&amp;if($K18="S1","a",if($K18="S2","b","")),Students!$A:$A,AR$2)+countifs(Students!$V:$V,$AB18,Students!$W:$W,$AB$2&amp;if($K18="S1","a",if($K18="S2","b","")),Students!$A:$A,AR$2)+
countifs(Students!$D:$D,$AE18,Students!$E:$E,$AE$2&amp;if($K18="S1","a",if($K18="S2","b","")),Students!$A:$A,AR$2)+countifs(Students!$F:$F,$AE18,Students!$G:$G,$AE$2&amp;if($K18="S1","a",if($K18="S2","b","")),Students!$A:$A,AR$2)+countifs(Students!$H:$H,$AE18,Students!$I:$I,$AE$2&amp;if($K18="S1","a",if($K18="S2","b","")),Students!$A:$A,AR$2)+countifs(Students!$J:$J,$AE18,Students!$K:$K,$AE$2&amp;if($K18="S1","a",if($K18="S2","b","")),Students!$A:$A,AR$2)+countifs(Students!$L:$L,$AE18,Students!$M:$M,$AE$2&amp;if($K18="S1","a",if($K18="S2","b","")),Students!$A:$A,AR$2)+countifs(Students!$N:$N,$AE18,Students!$O:$O,$AE$2&amp;if($K18="S1","a",if($K18="S2","b","")),Students!$A:$A,AR$2)+countifs(Students!$P:$P,$AE18,Students!$Q:$Q,$AE$2&amp;if($K18="S1","a",if($K18="S2","b","")),Students!$A:$A,AR$2)+countifs(Students!$R:$R,$AE18,Students!$S:$S,$AE$2&amp;if($K18="S1","a",if($K18="S2","b","")),Students!$A:$A,AR$2)+countifs(Students!$T:$T,$AE18,Students!$U:$U,$AE$2&amp;if($K18="S1","a",if($K18="S2","b","")),Students!$A:$A,AR$2)+countifs(Students!$V:$V,$AE18,Students!$W:$W,$AE$2&amp;if($K18="S1","a",if($K18="S2","b","")),Students!$A:$A,AR$2)+
countifs(Students!$D:$D,$AH18,Students!$E:$E,$AH$2&amp;if($K18="S1","a",if($K18="S2","b","")),Students!$A:$A,AR$2)+countifs(Students!$F:$F,$AH18,Students!$G:$G,$AH$2&amp;if($K18="S1","a",if($K18="S2","b","")),Students!$A:$A,AR$2)+countifs(Students!$H:$H,$AH18,Students!$I:$I,$AH$2&amp;if($K18="S1","a",if($K18="S2","b","")),Students!$A:$A,AR$2)+countifs(Students!$J:$J,$AH18,Students!$K:$K,$AH$2&amp;if($K18="S1","a",if($K18="S2","b","")),Students!$A:$A,AR$2)+countifs(Students!$L:$L,$AH18,Students!$M:$M,$AH$2&amp;if($K18="S1","a",if($K18="S2","b","")),Students!$A:$A,AR$2)+countifs(Students!$N:$N,$AH18,Students!$O:$O,$AH$2&amp;if($K18="S1","a",if($K18="S2","b","")),Students!$A:$A,AR$2)+countifs(Students!$P:$P,$AH18,Students!$Q:$Q,$AH$2&amp;if($K18="S1","a",if($K18="S2","b","")),Students!$A:$A,AR$2)+countifs(Students!$R:$R,$AH18,Students!$S:$S,$AH$2&amp;if($K18="S1","a",if($K18="S2","b","")),Students!$A:$A,AR$2)+countifs(Students!$T:$T,$AH18,Students!$U:$U,$AH$2&amp;if($K18="S1","a",if($K18="S2","b","")),Students!$A:$A,AR$2)+countifs(Students!$V:$V,$AH18,Students!$W:$W,$AH$2&amp;if($K18="S1","a",if($K18="S2","b","")),Students!$A:$A,AR$2)+
countifs(Students!$D:$D,$AK18,Students!$E:$E,$AK$2&amp;if($K18="S1","a",if($K18="S2","b","")),Students!$A:$A,AR$2)+countifs(Students!$F:$F,$AK18,Students!$G:$G,$AK$2&amp;if($K18="S1","a",if($K18="S2","b","")),Students!$A:$A,AR$2)+countifs(Students!$H:$H,$AK18,Students!$I:$I,$AK$2&amp;if($K18="S1","a",if($K18="S2","b","")),Students!$A:$A,AR$2)+countifs(Students!$J:$J,$AK18,Students!$K:$K,$AK$2&amp;if($K18="S1","a",if($K18="S2","b","")),Students!$A:$A,AR$2)+countifs(Students!$L:$L,$AK18,Students!$M:$M,$AK$2&amp;if($K18="S1","a",if($K18="S2","b","")),Students!$A:$A,AR$2)+countifs(Students!$N:$N,$AK18,Students!$O:$O,$AK$2&amp;if($K18="S1","a",if($K18="S2","b","")),Students!$A:$A,AR$2)+countifs(Students!$P:$P,$AK18,Students!$Q:$Q,$AK$2&amp;if($K18="S1","a",if($K18="S2","b","")),Students!$A:$A,AR$2)+countifs(Students!$R:$R,$AK18,Students!$S:$S,$AK$2&amp;if($K18="S1","a",if($K18="S2","b","")),Students!$A:$A,AR$2)+countifs(Students!$T:$T,$AK18,Students!$U:$U,$AK$2&amp;if($K18="S1","a",if($K18="S2","b","")),Students!$A:$A,AR$2)+countifs(Students!$V:$V,$AK18,Students!$W:$W,$AK$2&amp;if($K18="S1","a",if($K18="S2","b","")),Students!$A:$A,AR$2))</f>
        <v>88</v>
      </c>
      <c r="AS18" s="102">
        <f>if($L18="","",countifs(Students!$D:$D,$P18,Students!$E:$E,$P$2&amp;if($K18="S1","a",if($K18="S2","b","")),Students!$A:$A,AS$2)+countifs(Students!$F:$F,$P18,Students!$G:$G,$P$2&amp;if($K18="S1","a",if($K18="S2","b","")),Students!$A:$A,AS$2)+countifs(Students!$H:$H,$P18,Students!$I:$I,$P$2&amp;if($K18="S1","a",if($K18="S2","b","")),Students!$A:$A,AS$2)+countifs(Students!$J:$J,$P18,Students!$K:$K,$P$2&amp;if($K18="S1","a",if($K18="S2","b","")),Students!$A:$A,AS$2)+countifs(Students!$L:$L,$P18,Students!$M:$M,$P$2&amp;if($K18="S1","a",if($K18="S2","b","")),Students!$A:$A,AS$2)+countifs(Students!$N:$N,$P18,Students!$O:$O,$P$2&amp;if($K18="S1","a",if($K18="S2","b","")),Students!$A:$A,AS$2)+countifs(Students!$P:$P,$P18,Students!$Q:$Q,$P$2&amp;if($K18="S1","a",if($K18="S2","b","")),Students!$A:$A,AS$2)+countifs(Students!$R:$R,$P18,Students!$S:$S,$P$2&amp;if($K18="S1","a",if($K18="S2","b","")),Students!$A:$A,AS$2)+countifs(Students!$T:$T,$P18,Students!$U:$U,$P$2&amp;if($K18="S1","a",if($K18="S2","b","")),Students!$A:$A,AS$2)+countifs(Students!$V:$V,$P18,Students!$W:$W,$P$2&amp;if($K18="S1","a",if($K18="S2","b","")),Students!$A:$A,AS$2)+
countifs(Students!$D:$D,$S18,Students!$E:$E,$S$2&amp;if($K18="S1","a",if($K18="S2","b","")),Students!$A:$A,AS$2)+countifs(Students!$F:$F,$S18,Students!$G:$G,$S$2&amp;if($K18="S1","a",if($K18="S2","b","")),Students!$A:$A,AS$2)+countifs(Students!$H:$H,$S18,Students!$I:$I,$S$2&amp;if($K18="S1","a",if($K18="S2","b","")),Students!$A:$A,AS$2)+countifs(Students!$J:$J,$S18,Students!$K:$K,$S$2&amp;if($K18="S1","a",if($K18="S2","b","")),Students!$A:$A,AS$2)+countifs(Students!$L:$L,$S18,Students!$M:$M,$S$2&amp;if($K18="S1","a",if($K18="S2","b","")),Students!$A:$A,AS$2)+countifs(Students!$N:$N,$S18,Students!$O:$O,$S$2&amp;if($K18="S1","a",if($K18="S2","b","")),Students!$A:$A,AS$2)+countifs(Students!$P:$P,$S18,Students!$Q:$Q,$S$2&amp;if($K18="S1","a",if($K18="S2","b","")),Students!$A:$A,AS$2)+countifs(Students!$R:$R,$S18,Students!$S:$S,$S$2&amp;if($K18="S1","a",if($K18="S2","b","")),Students!$A:$A,AS$2)+countifs(Students!$T:$T,$S18,Students!$U:$U,$S$2&amp;if($K18="S1","a",if($K18="S2","b","")),Students!$A:$A,AS$2)+countifs(Students!$V:$V,$S18,Students!$W:$W,$S$2&amp;if($K18="S1","a",if($K18="S2","b","")),Students!$A:$A,AS$2)+
countifs(Students!$D:$D,$V18,Students!$E:$E,$V$2&amp;if($K18="S1","a",if($K18="S2","b","")),Students!$A:$A,AS$2)+countifs(Students!$F:$F,$V18,Students!$G:$G,$V$2&amp;if($K18="S1","a",if($K18="S2","b","")),Students!$A:$A,AS$2)+countifs(Students!$H:$H,$V18,Students!$I:$I,$V$2&amp;if($K18="S1","a",if($K18="S2","b","")),Students!$A:$A,AS$2)+countifs(Students!$J:$J,$V18,Students!$K:$K,$V$2&amp;if($K18="S1","a",if($K18="S2","b","")),Students!$A:$A,AS$2)+countifs(Students!$L:$L,$V18,Students!$M:$M,$V$2&amp;if($K18="S1","a",if($K18="S2","b","")),Students!$A:$A,AS$2)+countifs(Students!$N:$N,$V18,Students!$O:$O,$V$2&amp;if($K18="S1","a",if($K18="S2","b","")),Students!$A:$A,AS$2)+countifs(Students!$P:$P,$V18,Students!$Q:$Q,$V$2&amp;if($K18="S1","a",if($K18="S2","b","")),Students!$A:$A,AS$2)+countifs(Students!$R:$R,$V18,Students!$S:$S,$V$2&amp;if($K18="S1","a",if($K18="S2","b","")),Students!$A:$A,AS$2)+countifs(Students!$T:$T,$V18,Students!$U:$U,$V$2&amp;if($K18="S1","a",if($K18="S2","b","")),Students!$A:$A,AS$2)+countifs(Students!$V:$V,$V18,Students!$W:$W,$V$2&amp;if($K18="S1","a",if($K18="S2","b","")),Students!$A:$A,AS$2)+
countifs(Students!$D:$D,$Y18,Students!$E:$E,$Y$2&amp;if($K18="S1","a",if($K18="S2","b","")),Students!$A:$A,AS$2)+countifs(Students!$F:$F,$Y18,Students!$G:$G,$Y$2&amp;if($K18="S1","a",if($K18="S2","b","")),Students!$A:$A,AS$2)+countifs(Students!$H:$H,$Y18,Students!$I:$I,$Y$2&amp;if($K18="S1","a",if($K18="S2","b","")),Students!$A:$A,AS$2)+countifs(Students!$J:$J,$Y18,Students!$K:$K,$Y$2&amp;if($K18="S1","a",if($K18="S2","b","")),Students!$A:$A,AS$2)+countifs(Students!$L:$L,$Y18,Students!$M:$M,$Y$2&amp;if($K18="S1","a",if($K18="S2","b","")),Students!$A:$A,AS$2)+countifs(Students!$N:$N,$Y18,Students!$O:$O,$Y$2&amp;if($K18="S1","a",if($K18="S2","b","")),Students!$A:$A,AS$2)+countifs(Students!$P:$P,$Y18,Students!$Q:$Q,$Y$2&amp;if($K18="S1","a",if($K18="S2","b","")),Students!$A:$A,AS$2)+countifs(Students!$R:$R,$Y18,Students!$S:$S,$Y$2&amp;if($K18="S1","a",if($K18="S2","b","")),Students!$A:$A,AS$2)+countifs(Students!$T:$T,$Y18,Students!$U:$U,$Y$2&amp;if($K18="S1","a",if($K18="S2","b","")),Students!$A:$A,AS$2)+countifs(Students!$V:$V,$Y18,Students!$W:$W,$Y$2&amp;if($K18="S1","a",if($K18="S2","b","")),Students!$A:$A,AS$2)+
countifs(Students!$D:$D,$AB18,Students!$E:$E,$AB$2&amp;if($K18="S1","a",if($K18="S2","b","")),Students!$A:$A,AS$2)+countifs(Students!$F:$F,$AB18,Students!$G:$G,$AB$2&amp;if($K18="S1","a",if($K18="S2","b","")),Students!$A:$A,AS$2)+countifs(Students!$H:$H,$AB18,Students!$I:$I,$AB$2&amp;if($K18="S1","a",if($K18="S2","b","")),Students!$A:$A,AS$2)+countifs(Students!$J:$J,$AB18,Students!$K:$K,$AB$2&amp;if($K18="S1","a",if($K18="S2","b","")),Students!$A:$A,AS$2)+countifs(Students!$L:$L,$AB18,Students!$M:$M,$AB$2&amp;if($K18="S1","a",if($K18="S2","b","")),Students!$A:$A,AS$2)+countifs(Students!$N:$N,$AB18,Students!$O:$O,$AB$2&amp;if($K18="S1","a",if($K18="S2","b","")),Students!$A:$A,AS$2)+countifs(Students!$P:$P,$AB18,Students!$Q:$Q,$AB$2&amp;if($K18="S1","a",if($K18="S2","b","")),Students!$A:$A,AS$2)+countifs(Students!$R:$R,$AB18,Students!$S:$S,$AB$2&amp;if($K18="S1","a",if($K18="S2","b","")),Students!$A:$A,AS$2)+countifs(Students!$T:$T,$AB18,Students!$U:$U,$AB$2&amp;if($K18="S1","a",if($K18="S2","b","")),Students!$A:$A,AS$2)+countifs(Students!$V:$V,$AB18,Students!$W:$W,$AB$2&amp;if($K18="S1","a",if($K18="S2","b","")),Students!$A:$A,AS$2)+
countifs(Students!$D:$D,$AE18,Students!$E:$E,$AE$2&amp;if($K18="S1","a",if($K18="S2","b","")),Students!$A:$A,AS$2)+countifs(Students!$F:$F,$AE18,Students!$G:$G,$AE$2&amp;if($K18="S1","a",if($K18="S2","b","")),Students!$A:$A,AS$2)+countifs(Students!$H:$H,$AE18,Students!$I:$I,$AE$2&amp;if($K18="S1","a",if($K18="S2","b","")),Students!$A:$A,AS$2)+countifs(Students!$J:$J,$AE18,Students!$K:$K,$AE$2&amp;if($K18="S1","a",if($K18="S2","b","")),Students!$A:$A,AS$2)+countifs(Students!$L:$L,$AE18,Students!$M:$M,$AE$2&amp;if($K18="S1","a",if($K18="S2","b","")),Students!$A:$A,AS$2)+countifs(Students!$N:$N,$AE18,Students!$O:$O,$AE$2&amp;if($K18="S1","a",if($K18="S2","b","")),Students!$A:$A,AS$2)+countifs(Students!$P:$P,$AE18,Students!$Q:$Q,$AE$2&amp;if($K18="S1","a",if($K18="S2","b","")),Students!$A:$A,AS$2)+countifs(Students!$R:$R,$AE18,Students!$S:$S,$AE$2&amp;if($K18="S1","a",if($K18="S2","b","")),Students!$A:$A,AS$2)+countifs(Students!$T:$T,$AE18,Students!$U:$U,$AE$2&amp;if($K18="S1","a",if($K18="S2","b","")),Students!$A:$A,AS$2)+countifs(Students!$V:$V,$AE18,Students!$W:$W,$AE$2&amp;if($K18="S1","a",if($K18="S2","b","")),Students!$A:$A,AS$2)+
countifs(Students!$D:$D,$AH18,Students!$E:$E,$AH$2&amp;if($K18="S1","a",if($K18="S2","b","")),Students!$A:$A,AS$2)+countifs(Students!$F:$F,$AH18,Students!$G:$G,$AH$2&amp;if($K18="S1","a",if($K18="S2","b","")),Students!$A:$A,AS$2)+countifs(Students!$H:$H,$AH18,Students!$I:$I,$AH$2&amp;if($K18="S1","a",if($K18="S2","b","")),Students!$A:$A,AS$2)+countifs(Students!$J:$J,$AH18,Students!$K:$K,$AH$2&amp;if($K18="S1","a",if($K18="S2","b","")),Students!$A:$A,AS$2)+countifs(Students!$L:$L,$AH18,Students!$M:$M,$AH$2&amp;if($K18="S1","a",if($K18="S2","b","")),Students!$A:$A,AS$2)+countifs(Students!$N:$N,$AH18,Students!$O:$O,$AH$2&amp;if($K18="S1","a",if($K18="S2","b","")),Students!$A:$A,AS$2)+countifs(Students!$P:$P,$AH18,Students!$Q:$Q,$AH$2&amp;if($K18="S1","a",if($K18="S2","b","")),Students!$A:$A,AS$2)+countifs(Students!$R:$R,$AH18,Students!$S:$S,$AH$2&amp;if($K18="S1","a",if($K18="S2","b","")),Students!$A:$A,AS$2)+countifs(Students!$T:$T,$AH18,Students!$U:$U,$AH$2&amp;if($K18="S1","a",if($K18="S2","b","")),Students!$A:$A,AS$2)+countifs(Students!$V:$V,$AH18,Students!$W:$W,$AH$2&amp;if($K18="S1","a",if($K18="S2","b","")),Students!$A:$A,AS$2)+
countifs(Students!$D:$D,$AK18,Students!$E:$E,$AK$2&amp;if($K18="S1","a",if($K18="S2","b","")),Students!$A:$A,AS$2)+countifs(Students!$F:$F,$AK18,Students!$G:$G,$AK$2&amp;if($K18="S1","a",if($K18="S2","b","")),Students!$A:$A,AS$2)+countifs(Students!$H:$H,$AK18,Students!$I:$I,$AK$2&amp;if($K18="S1","a",if($K18="S2","b","")),Students!$A:$A,AS$2)+countifs(Students!$J:$J,$AK18,Students!$K:$K,$AK$2&amp;if($K18="S1","a",if($K18="S2","b","")),Students!$A:$A,AS$2)+countifs(Students!$L:$L,$AK18,Students!$M:$M,$AK$2&amp;if($K18="S1","a",if($K18="S2","b","")),Students!$A:$A,AS$2)+countifs(Students!$N:$N,$AK18,Students!$O:$O,$AK$2&amp;if($K18="S1","a",if($K18="S2","b","")),Students!$A:$A,AS$2)+countifs(Students!$P:$P,$AK18,Students!$Q:$Q,$AK$2&amp;if($K18="S1","a",if($K18="S2","b","")),Students!$A:$A,AS$2)+countifs(Students!$R:$R,$AK18,Students!$S:$S,$AK$2&amp;if($K18="S1","a",if($K18="S2","b","")),Students!$A:$A,AS$2)+countifs(Students!$T:$T,$AK18,Students!$U:$U,$AK$2&amp;if($K18="S1","a",if($K18="S2","b","")),Students!$A:$A,AS$2)+countifs(Students!$V:$V,$AK18,Students!$W:$W,$AK$2&amp;if($K18="S1","a",if($K18="S2","b","")),Students!$A:$A,AS$2))</f>
        <v>0</v>
      </c>
    </row>
    <row r="19">
      <c r="A19" s="21">
        <v>11.0</v>
      </c>
      <c r="B19" s="4">
        <f>countifs(Students!A:A,A19)</f>
        <v>123</v>
      </c>
      <c r="C19" s="111">
        <f t="shared" si="3"/>
        <v>20.5</v>
      </c>
      <c r="D19" s="112"/>
      <c r="J19" s="87">
        <v>91.0</v>
      </c>
      <c r="K19" s="70"/>
      <c r="L19" s="58" t="s">
        <v>67</v>
      </c>
      <c r="M19" s="107"/>
      <c r="N19" s="92">
        <v>1.0</v>
      </c>
      <c r="O19" s="92">
        <f>IFERROR(__xludf.DUMMYFUNCTION("3*counta((transpose(filter(P19:AM19,P19:AM19&lt;&gt;"""",isnumber(P19:AM19)=false))))"),15.0)</f>
        <v>15</v>
      </c>
      <c r="P19" s="90" t="s">
        <v>64</v>
      </c>
      <c r="Q19" s="91">
        <v>1.0</v>
      </c>
      <c r="R19" s="92">
        <v>17.0</v>
      </c>
      <c r="S19" s="94"/>
      <c r="T19" s="94"/>
      <c r="U19" s="95" t="s">
        <v>22</v>
      </c>
      <c r="V19" s="101" t="s">
        <v>64</v>
      </c>
      <c r="W19" s="101">
        <v>2.0</v>
      </c>
      <c r="X19" s="98">
        <v>19.0</v>
      </c>
      <c r="Y19" s="113"/>
      <c r="Z19" s="91"/>
      <c r="AA19" s="92" t="s">
        <v>22</v>
      </c>
      <c r="AB19" s="101" t="s">
        <v>64</v>
      </c>
      <c r="AC19" s="101">
        <v>3.0</v>
      </c>
      <c r="AD19" s="98">
        <v>18.0</v>
      </c>
      <c r="AE19" s="113"/>
      <c r="AF19" s="107"/>
      <c r="AG19" s="92" t="s">
        <v>22</v>
      </c>
      <c r="AH19" s="101" t="s">
        <v>64</v>
      </c>
      <c r="AI19" s="97">
        <v>4.0</v>
      </c>
      <c r="AJ19" s="98">
        <v>17.0</v>
      </c>
      <c r="AK19" s="91" t="s">
        <v>64</v>
      </c>
      <c r="AL19" s="96">
        <v>5.0</v>
      </c>
      <c r="AM19" s="92">
        <v>20.0</v>
      </c>
      <c r="AN19" s="99"/>
      <c r="AO19" s="52">
        <f t="shared" si="2"/>
        <v>91</v>
      </c>
      <c r="AP19" s="102">
        <f>if($L19="","",countifs(Students!$D:$D,$P19,Students!$E:$E,$P$2&amp;if($K19="S1","a",if($K19="S2","b","")),Students!$A:$A,AP$2)+countifs(Students!$F:$F,$P19,Students!$G:$G,$P$2&amp;if($K19="S1","a",if($K19="S2","b","")),Students!$A:$A,AP$2)+countifs(Students!$H:$H,$P19,Students!$I:$I,$P$2&amp;if($K19="S1","a",if($K19="S2","b","")),Students!$A:$A,AP$2)+countifs(Students!$J:$J,$P19,Students!$K:$K,$P$2&amp;if($K19="S1","a",if($K19="S2","b","")),Students!$A:$A,AP$2)+countifs(Students!$L:$L,$P19,Students!$M:$M,$P$2&amp;if($K19="S1","a",if($K19="S2","b","")),Students!$A:$A,AP$2)+countifs(Students!$N:$N,$P19,Students!$O:$O,$P$2&amp;if($K19="S1","a",if($K19="S2","b","")),Students!$A:$A,AP$2)+countifs(Students!$P:$P,$P19,Students!$Q:$Q,$P$2&amp;if($K19="S1","a",if($K19="S2","b","")),Students!$A:$A,AP$2)+countifs(Students!$R:$R,$P19,Students!$S:$S,$P$2&amp;if($K19="S1","a",if($K19="S2","b","")),Students!$A:$A,AP$2)+countifs(Students!$T:$T,$P19,Students!$U:$U,$P$2&amp;if($K19="S1","a",if($K19="S2","b","")),Students!$A:$A,AP$2)+countifs(Students!$V:$V,$P19,Students!$W:$W,$P$2&amp;if($K19="S1","a",if($K19="S2","b","")),Students!$A:$A,AP$2)+
countifs(Students!$D:$D,$S19,Students!$E:$E,$S$2&amp;if($K19="S1","a",if($K19="S2","b","")),Students!$A:$A,AP$2)+countifs(Students!$F:$F,$S19,Students!$G:$G,$S$2&amp;if($K19="S1","a",if($K19="S2","b","")),Students!$A:$A,AP$2)+countifs(Students!$H:$H,$S19,Students!$I:$I,$S$2&amp;if($K19="S1","a",if($K19="S2","b","")),Students!$A:$A,AP$2)+countifs(Students!$J:$J,$S19,Students!$K:$K,$S$2&amp;if($K19="S1","a",if($K19="S2","b","")),Students!$A:$A,AP$2)+countifs(Students!$L:$L,$S19,Students!$M:$M,$S$2&amp;if($K19="S1","a",if($K19="S2","b","")),Students!$A:$A,AP$2)+countifs(Students!$N:$N,$S19,Students!$O:$O,$S$2&amp;if($K19="S1","a",if($K19="S2","b","")),Students!$A:$A,AP$2)+countifs(Students!$P:$P,$S19,Students!$Q:$Q,$S$2&amp;if($K19="S1","a",if($K19="S2","b","")),Students!$A:$A,AP$2)+countifs(Students!$R:$R,$S19,Students!$S:$S,$S$2&amp;if($K19="S1","a",if($K19="S2","b","")),Students!$A:$A,AP$2)+countifs(Students!$T:$T,$S19,Students!$U:$U,$S$2&amp;if($K19="S1","a",if($K19="S2","b","")),Students!$A:$A,AP$2)+countifs(Students!$V:$V,$S19,Students!$W:$W,$S$2&amp;if($K19="S1","a",if($K19="S2","b","")),Students!$A:$A,AP$2)+
countifs(Students!$D:$D,$V19,Students!$E:$E,$V$2&amp;if($K19="S1","a",if($K19="S2","b","")),Students!$A:$A,AP$2)+countifs(Students!$F:$F,$V19,Students!$G:$G,$V$2&amp;if($K19="S1","a",if($K19="S2","b","")),Students!$A:$A,AP$2)+countifs(Students!$H:$H,$V19,Students!$I:$I,$V$2&amp;if($K19="S1","a",if($K19="S2","b","")),Students!$A:$A,AP$2)+countifs(Students!$J:$J,$V19,Students!$K:$K,$V$2&amp;if($K19="S1","a",if($K19="S2","b","")),Students!$A:$A,AP$2)+countifs(Students!$L:$L,$V19,Students!$M:$M,$V$2&amp;if($K19="S1","a",if($K19="S2","b","")),Students!$A:$A,AP$2)+countifs(Students!$N:$N,$V19,Students!$O:$O,$V$2&amp;if($K19="S1","a",if($K19="S2","b","")),Students!$A:$A,AP$2)+countifs(Students!$P:$P,$V19,Students!$Q:$Q,$V$2&amp;if($K19="S1","a",if($K19="S2","b","")),Students!$A:$A,AP$2)+countifs(Students!$R:$R,$V19,Students!$S:$S,$V$2&amp;if($K19="S1","a",if($K19="S2","b","")),Students!$A:$A,AP$2)+countifs(Students!$T:$T,$V19,Students!$U:$U,$V$2&amp;if($K19="S1","a",if($K19="S2","b","")),Students!$A:$A,AP$2)+countifs(Students!$V:$V,$V19,Students!$W:$W,$V$2&amp;if($K19="S1","a",if($K19="S2","b","")),Students!$A:$A,AP$2)+
countifs(Students!$D:$D,$Y19,Students!$E:$E,$Y$2&amp;if($K19="S1","a",if($K19="S2","b","")),Students!$A:$A,AP$2)+countifs(Students!$F:$F,$Y19,Students!$G:$G,$Y$2&amp;if($K19="S1","a",if($K19="S2","b","")),Students!$A:$A,AP$2)+countifs(Students!$H:$H,$Y19,Students!$I:$I,$Y$2&amp;if($K19="S1","a",if($K19="S2","b","")),Students!$A:$A,AP$2)+countifs(Students!$J:$J,$Y19,Students!$K:$K,$Y$2&amp;if($K19="S1","a",if($K19="S2","b","")),Students!$A:$A,AP$2)+countifs(Students!$L:$L,$Y19,Students!$M:$M,$Y$2&amp;if($K19="S1","a",if($K19="S2","b","")),Students!$A:$A,AP$2)+countifs(Students!$N:$N,$Y19,Students!$O:$O,$Y$2&amp;if($K19="S1","a",if($K19="S2","b","")),Students!$A:$A,AP$2)+countifs(Students!$P:$P,$Y19,Students!$Q:$Q,$Y$2&amp;if($K19="S1","a",if($K19="S2","b","")),Students!$A:$A,AP$2)+countifs(Students!$R:$R,$Y19,Students!$S:$S,$Y$2&amp;if($K19="S1","a",if($K19="S2","b","")),Students!$A:$A,AP$2)+countifs(Students!$T:$T,$Y19,Students!$U:$U,$Y$2&amp;if($K19="S1","a",if($K19="S2","b","")),Students!$A:$A,AP$2)+countifs(Students!$V:$V,$Y19,Students!$W:$W,$Y$2&amp;if($K19="S1","a",if($K19="S2","b","")),Students!$A:$A,AP$2)+
countifs(Students!$D:$D,$AB19,Students!$E:$E,$AB$2&amp;if($K19="S1","a",if($K19="S2","b","")),Students!$A:$A,AP$2)+countifs(Students!$F:$F,$AB19,Students!$G:$G,$AB$2&amp;if($K19="S1","a",if($K19="S2","b","")),Students!$A:$A,AP$2)+countifs(Students!$H:$H,$AB19,Students!$I:$I,$AB$2&amp;if($K19="S1","a",if($K19="S2","b","")),Students!$A:$A,AP$2)+countifs(Students!$J:$J,$AB19,Students!$K:$K,$AB$2&amp;if($K19="S1","a",if($K19="S2","b","")),Students!$A:$A,AP$2)+countifs(Students!$L:$L,$AB19,Students!$M:$M,$AB$2&amp;if($K19="S1","a",if($K19="S2","b","")),Students!$A:$A,AP$2)+countifs(Students!$N:$N,$AB19,Students!$O:$O,$AB$2&amp;if($K19="S1","a",if($K19="S2","b","")),Students!$A:$A,AP$2)+countifs(Students!$P:$P,$AB19,Students!$Q:$Q,$AB$2&amp;if($K19="S1","a",if($K19="S2","b","")),Students!$A:$A,AP$2)+countifs(Students!$R:$R,$AB19,Students!$S:$S,$AB$2&amp;if($K19="S1","a",if($K19="S2","b","")),Students!$A:$A,AP$2)+countifs(Students!$T:$T,$AB19,Students!$U:$U,$AB$2&amp;if($K19="S1","a",if($K19="S2","b","")),Students!$A:$A,AP$2)+countifs(Students!$V:$V,$AB19,Students!$W:$W,$AB$2&amp;if($K19="S1","a",if($K19="S2","b","")),Students!$A:$A,AP$2)+
countifs(Students!$D:$D,$AE19,Students!$E:$E,$AE$2&amp;if($K19="S1","a",if($K19="S2","b","")),Students!$A:$A,AP$2)+countifs(Students!$F:$F,$AE19,Students!$G:$G,$AE$2&amp;if($K19="S1","a",if($K19="S2","b","")),Students!$A:$A,AP$2)+countifs(Students!$H:$H,$AE19,Students!$I:$I,$AE$2&amp;if($K19="S1","a",if($K19="S2","b","")),Students!$A:$A,AP$2)+countifs(Students!$J:$J,$AE19,Students!$K:$K,$AE$2&amp;if($K19="S1","a",if($K19="S2","b","")),Students!$A:$A,AP$2)+countifs(Students!$L:$L,$AE19,Students!$M:$M,$AE$2&amp;if($K19="S1","a",if($K19="S2","b","")),Students!$A:$A,AP$2)+countifs(Students!$N:$N,$AE19,Students!$O:$O,$AE$2&amp;if($K19="S1","a",if($K19="S2","b","")),Students!$A:$A,AP$2)+countifs(Students!$P:$P,$AE19,Students!$Q:$Q,$AE$2&amp;if($K19="S1","a",if($K19="S2","b","")),Students!$A:$A,AP$2)+countifs(Students!$R:$R,$AE19,Students!$S:$S,$AE$2&amp;if($K19="S1","a",if($K19="S2","b","")),Students!$A:$A,AP$2)+countifs(Students!$T:$T,$AE19,Students!$U:$U,$AE$2&amp;if($K19="S1","a",if($K19="S2","b","")),Students!$A:$A,AP$2)+countifs(Students!$V:$V,$AE19,Students!$W:$W,$AE$2&amp;if($K19="S1","a",if($K19="S2","b","")),Students!$A:$A,AP$2)+
countifs(Students!$D:$D,$AH19,Students!$E:$E,$AH$2&amp;if($K19="S1","a",if($K19="S2","b","")),Students!$A:$A,AP$2)+countifs(Students!$F:$F,$AH19,Students!$G:$G,$AH$2&amp;if($K19="S1","a",if($K19="S2","b","")),Students!$A:$A,AP$2)+countifs(Students!$H:$H,$AH19,Students!$I:$I,$AH$2&amp;if($K19="S1","a",if($K19="S2","b","")),Students!$A:$A,AP$2)+countifs(Students!$J:$J,$AH19,Students!$K:$K,$AH$2&amp;if($K19="S1","a",if($K19="S2","b","")),Students!$A:$A,AP$2)+countifs(Students!$L:$L,$AH19,Students!$M:$M,$AH$2&amp;if($K19="S1","a",if($K19="S2","b","")),Students!$A:$A,AP$2)+countifs(Students!$N:$N,$AH19,Students!$O:$O,$AH$2&amp;if($K19="S1","a",if($K19="S2","b","")),Students!$A:$A,AP$2)+countifs(Students!$P:$P,$AH19,Students!$Q:$Q,$AH$2&amp;if($K19="S1","a",if($K19="S2","b","")),Students!$A:$A,AP$2)+countifs(Students!$R:$R,$AH19,Students!$S:$S,$AH$2&amp;if($K19="S1","a",if($K19="S2","b","")),Students!$A:$A,AP$2)+countifs(Students!$T:$T,$AH19,Students!$U:$U,$AH$2&amp;if($K19="S1","a",if($K19="S2","b","")),Students!$A:$A,AP$2)+countifs(Students!$V:$V,$AH19,Students!$W:$W,$AH$2&amp;if($K19="S1","a",if($K19="S2","b","")),Students!$A:$A,AP$2)+
countifs(Students!$D:$D,$AK19,Students!$E:$E,$AK$2&amp;if($K19="S1","a",if($K19="S2","b","")),Students!$A:$A,AP$2)+countifs(Students!$F:$F,$AK19,Students!$G:$G,$AK$2&amp;if($K19="S1","a",if($K19="S2","b","")),Students!$A:$A,AP$2)+countifs(Students!$H:$H,$AK19,Students!$I:$I,$AK$2&amp;if($K19="S1","a",if($K19="S2","b","")),Students!$A:$A,AP$2)+countifs(Students!$J:$J,$AK19,Students!$K:$K,$AK$2&amp;if($K19="S1","a",if($K19="S2","b","")),Students!$A:$A,AP$2)+countifs(Students!$L:$L,$AK19,Students!$M:$M,$AK$2&amp;if($K19="S1","a",if($K19="S2","b","")),Students!$A:$A,AP$2)+countifs(Students!$N:$N,$AK19,Students!$O:$O,$AK$2&amp;if($K19="S1","a",if($K19="S2","b","")),Students!$A:$A,AP$2)+countifs(Students!$P:$P,$AK19,Students!$Q:$Q,$AK$2&amp;if($K19="S1","a",if($K19="S2","b","")),Students!$A:$A,AP$2)+countifs(Students!$R:$R,$AK19,Students!$S:$S,$AK$2&amp;if($K19="S1","a",if($K19="S2","b","")),Students!$A:$A,AP$2)+countifs(Students!$T:$T,$AK19,Students!$U:$U,$AK$2&amp;if($K19="S1","a",if($K19="S2","b","")),Students!$A:$A,AP$2)+countifs(Students!$V:$V,$AK19,Students!$W:$W,$AK$2&amp;if($K19="S1","a",if($K19="S2","b","")),Students!$A:$A,AP$2))</f>
        <v>0</v>
      </c>
      <c r="AQ19" s="102">
        <f>if($L19="","",countifs(Students!$D:$D,$P19,Students!$E:$E,$P$2&amp;if($K19="S1","a",if($K19="S2","b","")),Students!$A:$A,AQ$2)+countifs(Students!$F:$F,$P19,Students!$G:$G,$P$2&amp;if($K19="S1","a",if($K19="S2","b","")),Students!$A:$A,AQ$2)+countifs(Students!$H:$H,$P19,Students!$I:$I,$P$2&amp;if($K19="S1","a",if($K19="S2","b","")),Students!$A:$A,AQ$2)+countifs(Students!$J:$J,$P19,Students!$K:$K,$P$2&amp;if($K19="S1","a",if($K19="S2","b","")),Students!$A:$A,AQ$2)+countifs(Students!$L:$L,$P19,Students!$M:$M,$P$2&amp;if($K19="S1","a",if($K19="S2","b","")),Students!$A:$A,AQ$2)+countifs(Students!$N:$N,$P19,Students!$O:$O,$P$2&amp;if($K19="S1","a",if($K19="S2","b","")),Students!$A:$A,AQ$2)+countifs(Students!$P:$P,$P19,Students!$Q:$Q,$P$2&amp;if($K19="S1","a",if($K19="S2","b","")),Students!$A:$A,AQ$2)+countifs(Students!$R:$R,$P19,Students!$S:$S,$P$2&amp;if($K19="S1","a",if($K19="S2","b","")),Students!$A:$A,AQ$2)+countifs(Students!$T:$T,$P19,Students!$U:$U,$P$2&amp;if($K19="S1","a",if($K19="S2","b","")),Students!$A:$A,AQ$2)+countifs(Students!$V:$V,$P19,Students!$W:$W,$P$2&amp;if($K19="S1","a",if($K19="S2","b","")),Students!$A:$A,AQ$2)+
countifs(Students!$D:$D,$S19,Students!$E:$E,$S$2&amp;if($K19="S1","a",if($K19="S2","b","")),Students!$A:$A,AQ$2)+countifs(Students!$F:$F,$S19,Students!$G:$G,$S$2&amp;if($K19="S1","a",if($K19="S2","b","")),Students!$A:$A,AQ$2)+countifs(Students!$H:$H,$S19,Students!$I:$I,$S$2&amp;if($K19="S1","a",if($K19="S2","b","")),Students!$A:$A,AQ$2)+countifs(Students!$J:$J,$S19,Students!$K:$K,$S$2&amp;if($K19="S1","a",if($K19="S2","b","")),Students!$A:$A,AQ$2)+countifs(Students!$L:$L,$S19,Students!$M:$M,$S$2&amp;if($K19="S1","a",if($K19="S2","b","")),Students!$A:$A,AQ$2)+countifs(Students!$N:$N,$S19,Students!$O:$O,$S$2&amp;if($K19="S1","a",if($K19="S2","b","")),Students!$A:$A,AQ$2)+countifs(Students!$P:$P,$S19,Students!$Q:$Q,$S$2&amp;if($K19="S1","a",if($K19="S2","b","")),Students!$A:$A,AQ$2)+countifs(Students!$R:$R,$S19,Students!$S:$S,$S$2&amp;if($K19="S1","a",if($K19="S2","b","")),Students!$A:$A,AQ$2)+countifs(Students!$T:$T,$S19,Students!$U:$U,$S$2&amp;if($K19="S1","a",if($K19="S2","b","")),Students!$A:$A,AQ$2)+countifs(Students!$V:$V,$S19,Students!$W:$W,$S$2&amp;if($K19="S1","a",if($K19="S2","b","")),Students!$A:$A,AQ$2)+
countifs(Students!$D:$D,$V19,Students!$E:$E,$V$2&amp;if($K19="S1","a",if($K19="S2","b","")),Students!$A:$A,AQ$2)+countifs(Students!$F:$F,$V19,Students!$G:$G,$V$2&amp;if($K19="S1","a",if($K19="S2","b","")),Students!$A:$A,AQ$2)+countifs(Students!$H:$H,$V19,Students!$I:$I,$V$2&amp;if($K19="S1","a",if($K19="S2","b","")),Students!$A:$A,AQ$2)+countifs(Students!$J:$J,$V19,Students!$K:$K,$V$2&amp;if($K19="S1","a",if($K19="S2","b","")),Students!$A:$A,AQ$2)+countifs(Students!$L:$L,$V19,Students!$M:$M,$V$2&amp;if($K19="S1","a",if($K19="S2","b","")),Students!$A:$A,AQ$2)+countifs(Students!$N:$N,$V19,Students!$O:$O,$V$2&amp;if($K19="S1","a",if($K19="S2","b","")),Students!$A:$A,AQ$2)+countifs(Students!$P:$P,$V19,Students!$Q:$Q,$V$2&amp;if($K19="S1","a",if($K19="S2","b","")),Students!$A:$A,AQ$2)+countifs(Students!$R:$R,$V19,Students!$S:$S,$V$2&amp;if($K19="S1","a",if($K19="S2","b","")),Students!$A:$A,AQ$2)+countifs(Students!$T:$T,$V19,Students!$U:$U,$V$2&amp;if($K19="S1","a",if($K19="S2","b","")),Students!$A:$A,AQ$2)+countifs(Students!$V:$V,$V19,Students!$W:$W,$V$2&amp;if($K19="S1","a",if($K19="S2","b","")),Students!$A:$A,AQ$2)+
countifs(Students!$D:$D,$Y19,Students!$E:$E,$Y$2&amp;if($K19="S1","a",if($K19="S2","b","")),Students!$A:$A,AQ$2)+countifs(Students!$F:$F,$Y19,Students!$G:$G,$Y$2&amp;if($K19="S1","a",if($K19="S2","b","")),Students!$A:$A,AQ$2)+countifs(Students!$H:$H,$Y19,Students!$I:$I,$Y$2&amp;if($K19="S1","a",if($K19="S2","b","")),Students!$A:$A,AQ$2)+countifs(Students!$J:$J,$Y19,Students!$K:$K,$Y$2&amp;if($K19="S1","a",if($K19="S2","b","")),Students!$A:$A,AQ$2)+countifs(Students!$L:$L,$Y19,Students!$M:$M,$Y$2&amp;if($K19="S1","a",if($K19="S2","b","")),Students!$A:$A,AQ$2)+countifs(Students!$N:$N,$Y19,Students!$O:$O,$Y$2&amp;if($K19="S1","a",if($K19="S2","b","")),Students!$A:$A,AQ$2)+countifs(Students!$P:$P,$Y19,Students!$Q:$Q,$Y$2&amp;if($K19="S1","a",if($K19="S2","b","")),Students!$A:$A,AQ$2)+countifs(Students!$R:$R,$Y19,Students!$S:$S,$Y$2&amp;if($K19="S1","a",if($K19="S2","b","")),Students!$A:$A,AQ$2)+countifs(Students!$T:$T,$Y19,Students!$U:$U,$Y$2&amp;if($K19="S1","a",if($K19="S2","b","")),Students!$A:$A,AQ$2)+countifs(Students!$V:$V,$Y19,Students!$W:$W,$Y$2&amp;if($K19="S1","a",if($K19="S2","b","")),Students!$A:$A,AQ$2)+
countifs(Students!$D:$D,$AB19,Students!$E:$E,$AB$2&amp;if($K19="S1","a",if($K19="S2","b","")),Students!$A:$A,AQ$2)+countifs(Students!$F:$F,$AB19,Students!$G:$G,$AB$2&amp;if($K19="S1","a",if($K19="S2","b","")),Students!$A:$A,AQ$2)+countifs(Students!$H:$H,$AB19,Students!$I:$I,$AB$2&amp;if($K19="S1","a",if($K19="S2","b","")),Students!$A:$A,AQ$2)+countifs(Students!$J:$J,$AB19,Students!$K:$K,$AB$2&amp;if($K19="S1","a",if($K19="S2","b","")),Students!$A:$A,AQ$2)+countifs(Students!$L:$L,$AB19,Students!$M:$M,$AB$2&amp;if($K19="S1","a",if($K19="S2","b","")),Students!$A:$A,AQ$2)+countifs(Students!$N:$N,$AB19,Students!$O:$O,$AB$2&amp;if($K19="S1","a",if($K19="S2","b","")),Students!$A:$A,AQ$2)+countifs(Students!$P:$P,$AB19,Students!$Q:$Q,$AB$2&amp;if($K19="S1","a",if($K19="S2","b","")),Students!$A:$A,AQ$2)+countifs(Students!$R:$R,$AB19,Students!$S:$S,$AB$2&amp;if($K19="S1","a",if($K19="S2","b","")),Students!$A:$A,AQ$2)+countifs(Students!$T:$T,$AB19,Students!$U:$U,$AB$2&amp;if($K19="S1","a",if($K19="S2","b","")),Students!$A:$A,AQ$2)+countifs(Students!$V:$V,$AB19,Students!$W:$W,$AB$2&amp;if($K19="S1","a",if($K19="S2","b","")),Students!$A:$A,AQ$2)+
countifs(Students!$D:$D,$AE19,Students!$E:$E,$AE$2&amp;if($K19="S1","a",if($K19="S2","b","")),Students!$A:$A,AQ$2)+countifs(Students!$F:$F,$AE19,Students!$G:$G,$AE$2&amp;if($K19="S1","a",if($K19="S2","b","")),Students!$A:$A,AQ$2)+countifs(Students!$H:$H,$AE19,Students!$I:$I,$AE$2&amp;if($K19="S1","a",if($K19="S2","b","")),Students!$A:$A,AQ$2)+countifs(Students!$J:$J,$AE19,Students!$K:$K,$AE$2&amp;if($K19="S1","a",if($K19="S2","b","")),Students!$A:$A,AQ$2)+countifs(Students!$L:$L,$AE19,Students!$M:$M,$AE$2&amp;if($K19="S1","a",if($K19="S2","b","")),Students!$A:$A,AQ$2)+countifs(Students!$N:$N,$AE19,Students!$O:$O,$AE$2&amp;if($K19="S1","a",if($K19="S2","b","")),Students!$A:$A,AQ$2)+countifs(Students!$P:$P,$AE19,Students!$Q:$Q,$AE$2&amp;if($K19="S1","a",if($K19="S2","b","")),Students!$A:$A,AQ$2)+countifs(Students!$R:$R,$AE19,Students!$S:$S,$AE$2&amp;if($K19="S1","a",if($K19="S2","b","")),Students!$A:$A,AQ$2)+countifs(Students!$T:$T,$AE19,Students!$U:$U,$AE$2&amp;if($K19="S1","a",if($K19="S2","b","")),Students!$A:$A,AQ$2)+countifs(Students!$V:$V,$AE19,Students!$W:$W,$AE$2&amp;if($K19="S1","a",if($K19="S2","b","")),Students!$A:$A,AQ$2)+
countifs(Students!$D:$D,$AH19,Students!$E:$E,$AH$2&amp;if($K19="S1","a",if($K19="S2","b","")),Students!$A:$A,AQ$2)+countifs(Students!$F:$F,$AH19,Students!$G:$G,$AH$2&amp;if($K19="S1","a",if($K19="S2","b","")),Students!$A:$A,AQ$2)+countifs(Students!$H:$H,$AH19,Students!$I:$I,$AH$2&amp;if($K19="S1","a",if($K19="S2","b","")),Students!$A:$A,AQ$2)+countifs(Students!$J:$J,$AH19,Students!$K:$K,$AH$2&amp;if($K19="S1","a",if($K19="S2","b","")),Students!$A:$A,AQ$2)+countifs(Students!$L:$L,$AH19,Students!$M:$M,$AH$2&amp;if($K19="S1","a",if($K19="S2","b","")),Students!$A:$A,AQ$2)+countifs(Students!$N:$N,$AH19,Students!$O:$O,$AH$2&amp;if($K19="S1","a",if($K19="S2","b","")),Students!$A:$A,AQ$2)+countifs(Students!$P:$P,$AH19,Students!$Q:$Q,$AH$2&amp;if($K19="S1","a",if($K19="S2","b","")),Students!$A:$A,AQ$2)+countifs(Students!$R:$R,$AH19,Students!$S:$S,$AH$2&amp;if($K19="S1","a",if($K19="S2","b","")),Students!$A:$A,AQ$2)+countifs(Students!$T:$T,$AH19,Students!$U:$U,$AH$2&amp;if($K19="S1","a",if($K19="S2","b","")),Students!$A:$A,AQ$2)+countifs(Students!$V:$V,$AH19,Students!$W:$W,$AH$2&amp;if($K19="S1","a",if($K19="S2","b","")),Students!$A:$A,AQ$2)+
countifs(Students!$D:$D,$AK19,Students!$E:$E,$AK$2&amp;if($K19="S1","a",if($K19="S2","b","")),Students!$A:$A,AQ$2)+countifs(Students!$F:$F,$AK19,Students!$G:$G,$AK$2&amp;if($K19="S1","a",if($K19="S2","b","")),Students!$A:$A,AQ$2)+countifs(Students!$H:$H,$AK19,Students!$I:$I,$AK$2&amp;if($K19="S1","a",if($K19="S2","b","")),Students!$A:$A,AQ$2)+countifs(Students!$J:$J,$AK19,Students!$K:$K,$AK$2&amp;if($K19="S1","a",if($K19="S2","b","")),Students!$A:$A,AQ$2)+countifs(Students!$L:$L,$AK19,Students!$M:$M,$AK$2&amp;if($K19="S1","a",if($K19="S2","b","")),Students!$A:$A,AQ$2)+countifs(Students!$N:$N,$AK19,Students!$O:$O,$AK$2&amp;if($K19="S1","a",if($K19="S2","b","")),Students!$A:$A,AQ$2)+countifs(Students!$P:$P,$AK19,Students!$Q:$Q,$AK$2&amp;if($K19="S1","a",if($K19="S2","b","")),Students!$A:$A,AQ$2)+countifs(Students!$R:$R,$AK19,Students!$S:$S,$AK$2&amp;if($K19="S1","a",if($K19="S2","b","")),Students!$A:$A,AQ$2)+countifs(Students!$T:$T,$AK19,Students!$U:$U,$AK$2&amp;if($K19="S1","a",if($K19="S2","b","")),Students!$A:$A,AQ$2)+countifs(Students!$V:$V,$AK19,Students!$W:$W,$AK$2&amp;if($K19="S1","a",if($K19="S2","b","")),Students!$A:$A,AQ$2))</f>
        <v>91</v>
      </c>
      <c r="AR19" s="102">
        <f>if($L19="","",countifs(Students!$D:$D,$P19,Students!$E:$E,$P$2&amp;if($K19="S1","a",if($K19="S2","b","")),Students!$A:$A,AR$2)+countifs(Students!$F:$F,$P19,Students!$G:$G,$P$2&amp;if($K19="S1","a",if($K19="S2","b","")),Students!$A:$A,AR$2)+countifs(Students!$H:$H,$P19,Students!$I:$I,$P$2&amp;if($K19="S1","a",if($K19="S2","b","")),Students!$A:$A,AR$2)+countifs(Students!$J:$J,$P19,Students!$K:$K,$P$2&amp;if($K19="S1","a",if($K19="S2","b","")),Students!$A:$A,AR$2)+countifs(Students!$L:$L,$P19,Students!$M:$M,$P$2&amp;if($K19="S1","a",if($K19="S2","b","")),Students!$A:$A,AR$2)+countifs(Students!$N:$N,$P19,Students!$O:$O,$P$2&amp;if($K19="S1","a",if($K19="S2","b","")),Students!$A:$A,AR$2)+countifs(Students!$P:$P,$P19,Students!$Q:$Q,$P$2&amp;if($K19="S1","a",if($K19="S2","b","")),Students!$A:$A,AR$2)+countifs(Students!$R:$R,$P19,Students!$S:$S,$P$2&amp;if($K19="S1","a",if($K19="S2","b","")),Students!$A:$A,AR$2)+countifs(Students!$T:$T,$P19,Students!$U:$U,$P$2&amp;if($K19="S1","a",if($K19="S2","b","")),Students!$A:$A,AR$2)+countifs(Students!$V:$V,$P19,Students!$W:$W,$P$2&amp;if($K19="S1","a",if($K19="S2","b","")),Students!$A:$A,AR$2)+
countifs(Students!$D:$D,$S19,Students!$E:$E,$S$2&amp;if($K19="S1","a",if($K19="S2","b","")),Students!$A:$A,AR$2)+countifs(Students!$F:$F,$S19,Students!$G:$G,$S$2&amp;if($K19="S1","a",if($K19="S2","b","")),Students!$A:$A,AR$2)+countifs(Students!$H:$H,$S19,Students!$I:$I,$S$2&amp;if($K19="S1","a",if($K19="S2","b","")),Students!$A:$A,AR$2)+countifs(Students!$J:$J,$S19,Students!$K:$K,$S$2&amp;if($K19="S1","a",if($K19="S2","b","")),Students!$A:$A,AR$2)+countifs(Students!$L:$L,$S19,Students!$M:$M,$S$2&amp;if($K19="S1","a",if($K19="S2","b","")),Students!$A:$A,AR$2)+countifs(Students!$N:$N,$S19,Students!$O:$O,$S$2&amp;if($K19="S1","a",if($K19="S2","b","")),Students!$A:$A,AR$2)+countifs(Students!$P:$P,$S19,Students!$Q:$Q,$S$2&amp;if($K19="S1","a",if($K19="S2","b","")),Students!$A:$A,AR$2)+countifs(Students!$R:$R,$S19,Students!$S:$S,$S$2&amp;if($K19="S1","a",if($K19="S2","b","")),Students!$A:$A,AR$2)+countifs(Students!$T:$T,$S19,Students!$U:$U,$S$2&amp;if($K19="S1","a",if($K19="S2","b","")),Students!$A:$A,AR$2)+countifs(Students!$V:$V,$S19,Students!$W:$W,$S$2&amp;if($K19="S1","a",if($K19="S2","b","")),Students!$A:$A,AR$2)+
countifs(Students!$D:$D,$V19,Students!$E:$E,$V$2&amp;if($K19="S1","a",if($K19="S2","b","")),Students!$A:$A,AR$2)+countifs(Students!$F:$F,$V19,Students!$G:$G,$V$2&amp;if($K19="S1","a",if($K19="S2","b","")),Students!$A:$A,AR$2)+countifs(Students!$H:$H,$V19,Students!$I:$I,$V$2&amp;if($K19="S1","a",if($K19="S2","b","")),Students!$A:$A,AR$2)+countifs(Students!$J:$J,$V19,Students!$K:$K,$V$2&amp;if($K19="S1","a",if($K19="S2","b","")),Students!$A:$A,AR$2)+countifs(Students!$L:$L,$V19,Students!$M:$M,$V$2&amp;if($K19="S1","a",if($K19="S2","b","")),Students!$A:$A,AR$2)+countifs(Students!$N:$N,$V19,Students!$O:$O,$V$2&amp;if($K19="S1","a",if($K19="S2","b","")),Students!$A:$A,AR$2)+countifs(Students!$P:$P,$V19,Students!$Q:$Q,$V$2&amp;if($K19="S1","a",if($K19="S2","b","")),Students!$A:$A,AR$2)+countifs(Students!$R:$R,$V19,Students!$S:$S,$V$2&amp;if($K19="S1","a",if($K19="S2","b","")),Students!$A:$A,AR$2)+countifs(Students!$T:$T,$V19,Students!$U:$U,$V$2&amp;if($K19="S1","a",if($K19="S2","b","")),Students!$A:$A,AR$2)+countifs(Students!$V:$V,$V19,Students!$W:$W,$V$2&amp;if($K19="S1","a",if($K19="S2","b","")),Students!$A:$A,AR$2)+
countifs(Students!$D:$D,$Y19,Students!$E:$E,$Y$2&amp;if($K19="S1","a",if($K19="S2","b","")),Students!$A:$A,AR$2)+countifs(Students!$F:$F,$Y19,Students!$G:$G,$Y$2&amp;if($K19="S1","a",if($K19="S2","b","")),Students!$A:$A,AR$2)+countifs(Students!$H:$H,$Y19,Students!$I:$I,$Y$2&amp;if($K19="S1","a",if($K19="S2","b","")),Students!$A:$A,AR$2)+countifs(Students!$J:$J,$Y19,Students!$K:$K,$Y$2&amp;if($K19="S1","a",if($K19="S2","b","")),Students!$A:$A,AR$2)+countifs(Students!$L:$L,$Y19,Students!$M:$M,$Y$2&amp;if($K19="S1","a",if($K19="S2","b","")),Students!$A:$A,AR$2)+countifs(Students!$N:$N,$Y19,Students!$O:$O,$Y$2&amp;if($K19="S1","a",if($K19="S2","b","")),Students!$A:$A,AR$2)+countifs(Students!$P:$P,$Y19,Students!$Q:$Q,$Y$2&amp;if($K19="S1","a",if($K19="S2","b","")),Students!$A:$A,AR$2)+countifs(Students!$R:$R,$Y19,Students!$S:$S,$Y$2&amp;if($K19="S1","a",if($K19="S2","b","")),Students!$A:$A,AR$2)+countifs(Students!$T:$T,$Y19,Students!$U:$U,$Y$2&amp;if($K19="S1","a",if($K19="S2","b","")),Students!$A:$A,AR$2)+countifs(Students!$V:$V,$Y19,Students!$W:$W,$Y$2&amp;if($K19="S1","a",if($K19="S2","b","")),Students!$A:$A,AR$2)+
countifs(Students!$D:$D,$AB19,Students!$E:$E,$AB$2&amp;if($K19="S1","a",if($K19="S2","b","")),Students!$A:$A,AR$2)+countifs(Students!$F:$F,$AB19,Students!$G:$G,$AB$2&amp;if($K19="S1","a",if($K19="S2","b","")),Students!$A:$A,AR$2)+countifs(Students!$H:$H,$AB19,Students!$I:$I,$AB$2&amp;if($K19="S1","a",if($K19="S2","b","")),Students!$A:$A,AR$2)+countifs(Students!$J:$J,$AB19,Students!$K:$K,$AB$2&amp;if($K19="S1","a",if($K19="S2","b","")),Students!$A:$A,AR$2)+countifs(Students!$L:$L,$AB19,Students!$M:$M,$AB$2&amp;if($K19="S1","a",if($K19="S2","b","")),Students!$A:$A,AR$2)+countifs(Students!$N:$N,$AB19,Students!$O:$O,$AB$2&amp;if($K19="S1","a",if($K19="S2","b","")),Students!$A:$A,AR$2)+countifs(Students!$P:$P,$AB19,Students!$Q:$Q,$AB$2&amp;if($K19="S1","a",if($K19="S2","b","")),Students!$A:$A,AR$2)+countifs(Students!$R:$R,$AB19,Students!$S:$S,$AB$2&amp;if($K19="S1","a",if($K19="S2","b","")),Students!$A:$A,AR$2)+countifs(Students!$T:$T,$AB19,Students!$U:$U,$AB$2&amp;if($K19="S1","a",if($K19="S2","b","")),Students!$A:$A,AR$2)+countifs(Students!$V:$V,$AB19,Students!$W:$W,$AB$2&amp;if($K19="S1","a",if($K19="S2","b","")),Students!$A:$A,AR$2)+
countifs(Students!$D:$D,$AE19,Students!$E:$E,$AE$2&amp;if($K19="S1","a",if($K19="S2","b","")),Students!$A:$A,AR$2)+countifs(Students!$F:$F,$AE19,Students!$G:$G,$AE$2&amp;if($K19="S1","a",if($K19="S2","b","")),Students!$A:$A,AR$2)+countifs(Students!$H:$H,$AE19,Students!$I:$I,$AE$2&amp;if($K19="S1","a",if($K19="S2","b","")),Students!$A:$A,AR$2)+countifs(Students!$J:$J,$AE19,Students!$K:$K,$AE$2&amp;if($K19="S1","a",if($K19="S2","b","")),Students!$A:$A,AR$2)+countifs(Students!$L:$L,$AE19,Students!$M:$M,$AE$2&amp;if($K19="S1","a",if($K19="S2","b","")),Students!$A:$A,AR$2)+countifs(Students!$N:$N,$AE19,Students!$O:$O,$AE$2&amp;if($K19="S1","a",if($K19="S2","b","")),Students!$A:$A,AR$2)+countifs(Students!$P:$P,$AE19,Students!$Q:$Q,$AE$2&amp;if($K19="S1","a",if($K19="S2","b","")),Students!$A:$A,AR$2)+countifs(Students!$R:$R,$AE19,Students!$S:$S,$AE$2&amp;if($K19="S1","a",if($K19="S2","b","")),Students!$A:$A,AR$2)+countifs(Students!$T:$T,$AE19,Students!$U:$U,$AE$2&amp;if($K19="S1","a",if($K19="S2","b","")),Students!$A:$A,AR$2)+countifs(Students!$V:$V,$AE19,Students!$W:$W,$AE$2&amp;if($K19="S1","a",if($K19="S2","b","")),Students!$A:$A,AR$2)+
countifs(Students!$D:$D,$AH19,Students!$E:$E,$AH$2&amp;if($K19="S1","a",if($K19="S2","b","")),Students!$A:$A,AR$2)+countifs(Students!$F:$F,$AH19,Students!$G:$G,$AH$2&amp;if($K19="S1","a",if($K19="S2","b","")),Students!$A:$A,AR$2)+countifs(Students!$H:$H,$AH19,Students!$I:$I,$AH$2&amp;if($K19="S1","a",if($K19="S2","b","")),Students!$A:$A,AR$2)+countifs(Students!$J:$J,$AH19,Students!$K:$K,$AH$2&amp;if($K19="S1","a",if($K19="S2","b","")),Students!$A:$A,AR$2)+countifs(Students!$L:$L,$AH19,Students!$M:$M,$AH$2&amp;if($K19="S1","a",if($K19="S2","b","")),Students!$A:$A,AR$2)+countifs(Students!$N:$N,$AH19,Students!$O:$O,$AH$2&amp;if($K19="S1","a",if($K19="S2","b","")),Students!$A:$A,AR$2)+countifs(Students!$P:$P,$AH19,Students!$Q:$Q,$AH$2&amp;if($K19="S1","a",if($K19="S2","b","")),Students!$A:$A,AR$2)+countifs(Students!$R:$R,$AH19,Students!$S:$S,$AH$2&amp;if($K19="S1","a",if($K19="S2","b","")),Students!$A:$A,AR$2)+countifs(Students!$T:$T,$AH19,Students!$U:$U,$AH$2&amp;if($K19="S1","a",if($K19="S2","b","")),Students!$A:$A,AR$2)+countifs(Students!$V:$V,$AH19,Students!$W:$W,$AH$2&amp;if($K19="S1","a",if($K19="S2","b","")),Students!$A:$A,AR$2)+
countifs(Students!$D:$D,$AK19,Students!$E:$E,$AK$2&amp;if($K19="S1","a",if($K19="S2","b","")),Students!$A:$A,AR$2)+countifs(Students!$F:$F,$AK19,Students!$G:$G,$AK$2&amp;if($K19="S1","a",if($K19="S2","b","")),Students!$A:$A,AR$2)+countifs(Students!$H:$H,$AK19,Students!$I:$I,$AK$2&amp;if($K19="S1","a",if($K19="S2","b","")),Students!$A:$A,AR$2)+countifs(Students!$J:$J,$AK19,Students!$K:$K,$AK$2&amp;if($K19="S1","a",if($K19="S2","b","")),Students!$A:$A,AR$2)+countifs(Students!$L:$L,$AK19,Students!$M:$M,$AK$2&amp;if($K19="S1","a",if($K19="S2","b","")),Students!$A:$A,AR$2)+countifs(Students!$N:$N,$AK19,Students!$O:$O,$AK$2&amp;if($K19="S1","a",if($K19="S2","b","")),Students!$A:$A,AR$2)+countifs(Students!$P:$P,$AK19,Students!$Q:$Q,$AK$2&amp;if($K19="S1","a",if($K19="S2","b","")),Students!$A:$A,AR$2)+countifs(Students!$R:$R,$AK19,Students!$S:$S,$AK$2&amp;if($K19="S1","a",if($K19="S2","b","")),Students!$A:$A,AR$2)+countifs(Students!$T:$T,$AK19,Students!$U:$U,$AK$2&amp;if($K19="S1","a",if($K19="S2","b","")),Students!$A:$A,AR$2)+countifs(Students!$V:$V,$AK19,Students!$W:$W,$AK$2&amp;if($K19="S1","a",if($K19="S2","b","")),Students!$A:$A,AR$2))</f>
        <v>0</v>
      </c>
      <c r="AS19" s="102">
        <f>if($L19="","",countifs(Students!$D:$D,$P19,Students!$E:$E,$P$2&amp;if($K19="S1","a",if($K19="S2","b","")),Students!$A:$A,AS$2)+countifs(Students!$F:$F,$P19,Students!$G:$G,$P$2&amp;if($K19="S1","a",if($K19="S2","b","")),Students!$A:$A,AS$2)+countifs(Students!$H:$H,$P19,Students!$I:$I,$P$2&amp;if($K19="S1","a",if($K19="S2","b","")),Students!$A:$A,AS$2)+countifs(Students!$J:$J,$P19,Students!$K:$K,$P$2&amp;if($K19="S1","a",if($K19="S2","b","")),Students!$A:$A,AS$2)+countifs(Students!$L:$L,$P19,Students!$M:$M,$P$2&amp;if($K19="S1","a",if($K19="S2","b","")),Students!$A:$A,AS$2)+countifs(Students!$N:$N,$P19,Students!$O:$O,$P$2&amp;if($K19="S1","a",if($K19="S2","b","")),Students!$A:$A,AS$2)+countifs(Students!$P:$P,$P19,Students!$Q:$Q,$P$2&amp;if($K19="S1","a",if($K19="S2","b","")),Students!$A:$A,AS$2)+countifs(Students!$R:$R,$P19,Students!$S:$S,$P$2&amp;if($K19="S1","a",if($K19="S2","b","")),Students!$A:$A,AS$2)+countifs(Students!$T:$T,$P19,Students!$U:$U,$P$2&amp;if($K19="S1","a",if($K19="S2","b","")),Students!$A:$A,AS$2)+countifs(Students!$V:$V,$P19,Students!$W:$W,$P$2&amp;if($K19="S1","a",if($K19="S2","b","")),Students!$A:$A,AS$2)+
countifs(Students!$D:$D,$S19,Students!$E:$E,$S$2&amp;if($K19="S1","a",if($K19="S2","b","")),Students!$A:$A,AS$2)+countifs(Students!$F:$F,$S19,Students!$G:$G,$S$2&amp;if($K19="S1","a",if($K19="S2","b","")),Students!$A:$A,AS$2)+countifs(Students!$H:$H,$S19,Students!$I:$I,$S$2&amp;if($K19="S1","a",if($K19="S2","b","")),Students!$A:$A,AS$2)+countifs(Students!$J:$J,$S19,Students!$K:$K,$S$2&amp;if($K19="S1","a",if($K19="S2","b","")),Students!$A:$A,AS$2)+countifs(Students!$L:$L,$S19,Students!$M:$M,$S$2&amp;if($K19="S1","a",if($K19="S2","b","")),Students!$A:$A,AS$2)+countifs(Students!$N:$N,$S19,Students!$O:$O,$S$2&amp;if($K19="S1","a",if($K19="S2","b","")),Students!$A:$A,AS$2)+countifs(Students!$P:$P,$S19,Students!$Q:$Q,$S$2&amp;if($K19="S1","a",if($K19="S2","b","")),Students!$A:$A,AS$2)+countifs(Students!$R:$R,$S19,Students!$S:$S,$S$2&amp;if($K19="S1","a",if($K19="S2","b","")),Students!$A:$A,AS$2)+countifs(Students!$T:$T,$S19,Students!$U:$U,$S$2&amp;if($K19="S1","a",if($K19="S2","b","")),Students!$A:$A,AS$2)+countifs(Students!$V:$V,$S19,Students!$W:$W,$S$2&amp;if($K19="S1","a",if($K19="S2","b","")),Students!$A:$A,AS$2)+
countifs(Students!$D:$D,$V19,Students!$E:$E,$V$2&amp;if($K19="S1","a",if($K19="S2","b","")),Students!$A:$A,AS$2)+countifs(Students!$F:$F,$V19,Students!$G:$G,$V$2&amp;if($K19="S1","a",if($K19="S2","b","")),Students!$A:$A,AS$2)+countifs(Students!$H:$H,$V19,Students!$I:$I,$V$2&amp;if($K19="S1","a",if($K19="S2","b","")),Students!$A:$A,AS$2)+countifs(Students!$J:$J,$V19,Students!$K:$K,$V$2&amp;if($K19="S1","a",if($K19="S2","b","")),Students!$A:$A,AS$2)+countifs(Students!$L:$L,$V19,Students!$M:$M,$V$2&amp;if($K19="S1","a",if($K19="S2","b","")),Students!$A:$A,AS$2)+countifs(Students!$N:$N,$V19,Students!$O:$O,$V$2&amp;if($K19="S1","a",if($K19="S2","b","")),Students!$A:$A,AS$2)+countifs(Students!$P:$P,$V19,Students!$Q:$Q,$V$2&amp;if($K19="S1","a",if($K19="S2","b","")),Students!$A:$A,AS$2)+countifs(Students!$R:$R,$V19,Students!$S:$S,$V$2&amp;if($K19="S1","a",if($K19="S2","b","")),Students!$A:$A,AS$2)+countifs(Students!$T:$T,$V19,Students!$U:$U,$V$2&amp;if($K19="S1","a",if($K19="S2","b","")),Students!$A:$A,AS$2)+countifs(Students!$V:$V,$V19,Students!$W:$W,$V$2&amp;if($K19="S1","a",if($K19="S2","b","")),Students!$A:$A,AS$2)+
countifs(Students!$D:$D,$Y19,Students!$E:$E,$Y$2&amp;if($K19="S1","a",if($K19="S2","b","")),Students!$A:$A,AS$2)+countifs(Students!$F:$F,$Y19,Students!$G:$G,$Y$2&amp;if($K19="S1","a",if($K19="S2","b","")),Students!$A:$A,AS$2)+countifs(Students!$H:$H,$Y19,Students!$I:$I,$Y$2&amp;if($K19="S1","a",if($K19="S2","b","")),Students!$A:$A,AS$2)+countifs(Students!$J:$J,$Y19,Students!$K:$K,$Y$2&amp;if($K19="S1","a",if($K19="S2","b","")),Students!$A:$A,AS$2)+countifs(Students!$L:$L,$Y19,Students!$M:$M,$Y$2&amp;if($K19="S1","a",if($K19="S2","b","")),Students!$A:$A,AS$2)+countifs(Students!$N:$N,$Y19,Students!$O:$O,$Y$2&amp;if($K19="S1","a",if($K19="S2","b","")),Students!$A:$A,AS$2)+countifs(Students!$P:$P,$Y19,Students!$Q:$Q,$Y$2&amp;if($K19="S1","a",if($K19="S2","b","")),Students!$A:$A,AS$2)+countifs(Students!$R:$R,$Y19,Students!$S:$S,$Y$2&amp;if($K19="S1","a",if($K19="S2","b","")),Students!$A:$A,AS$2)+countifs(Students!$T:$T,$Y19,Students!$U:$U,$Y$2&amp;if($K19="S1","a",if($K19="S2","b","")),Students!$A:$A,AS$2)+countifs(Students!$V:$V,$Y19,Students!$W:$W,$Y$2&amp;if($K19="S1","a",if($K19="S2","b","")),Students!$A:$A,AS$2)+
countifs(Students!$D:$D,$AB19,Students!$E:$E,$AB$2&amp;if($K19="S1","a",if($K19="S2","b","")),Students!$A:$A,AS$2)+countifs(Students!$F:$F,$AB19,Students!$G:$G,$AB$2&amp;if($K19="S1","a",if($K19="S2","b","")),Students!$A:$A,AS$2)+countifs(Students!$H:$H,$AB19,Students!$I:$I,$AB$2&amp;if($K19="S1","a",if($K19="S2","b","")),Students!$A:$A,AS$2)+countifs(Students!$J:$J,$AB19,Students!$K:$K,$AB$2&amp;if($K19="S1","a",if($K19="S2","b","")),Students!$A:$A,AS$2)+countifs(Students!$L:$L,$AB19,Students!$M:$M,$AB$2&amp;if($K19="S1","a",if($K19="S2","b","")),Students!$A:$A,AS$2)+countifs(Students!$N:$N,$AB19,Students!$O:$O,$AB$2&amp;if($K19="S1","a",if($K19="S2","b","")),Students!$A:$A,AS$2)+countifs(Students!$P:$P,$AB19,Students!$Q:$Q,$AB$2&amp;if($K19="S1","a",if($K19="S2","b","")),Students!$A:$A,AS$2)+countifs(Students!$R:$R,$AB19,Students!$S:$S,$AB$2&amp;if($K19="S1","a",if($K19="S2","b","")),Students!$A:$A,AS$2)+countifs(Students!$T:$T,$AB19,Students!$U:$U,$AB$2&amp;if($K19="S1","a",if($K19="S2","b","")),Students!$A:$A,AS$2)+countifs(Students!$V:$V,$AB19,Students!$W:$W,$AB$2&amp;if($K19="S1","a",if($K19="S2","b","")),Students!$A:$A,AS$2)+
countifs(Students!$D:$D,$AE19,Students!$E:$E,$AE$2&amp;if($K19="S1","a",if($K19="S2","b","")),Students!$A:$A,AS$2)+countifs(Students!$F:$F,$AE19,Students!$G:$G,$AE$2&amp;if($K19="S1","a",if($K19="S2","b","")),Students!$A:$A,AS$2)+countifs(Students!$H:$H,$AE19,Students!$I:$I,$AE$2&amp;if($K19="S1","a",if($K19="S2","b","")),Students!$A:$A,AS$2)+countifs(Students!$J:$J,$AE19,Students!$K:$K,$AE$2&amp;if($K19="S1","a",if($K19="S2","b","")),Students!$A:$A,AS$2)+countifs(Students!$L:$L,$AE19,Students!$M:$M,$AE$2&amp;if($K19="S1","a",if($K19="S2","b","")),Students!$A:$A,AS$2)+countifs(Students!$N:$N,$AE19,Students!$O:$O,$AE$2&amp;if($K19="S1","a",if($K19="S2","b","")),Students!$A:$A,AS$2)+countifs(Students!$P:$P,$AE19,Students!$Q:$Q,$AE$2&amp;if($K19="S1","a",if($K19="S2","b","")),Students!$A:$A,AS$2)+countifs(Students!$R:$R,$AE19,Students!$S:$S,$AE$2&amp;if($K19="S1","a",if($K19="S2","b","")),Students!$A:$A,AS$2)+countifs(Students!$T:$T,$AE19,Students!$U:$U,$AE$2&amp;if($K19="S1","a",if($K19="S2","b","")),Students!$A:$A,AS$2)+countifs(Students!$V:$V,$AE19,Students!$W:$W,$AE$2&amp;if($K19="S1","a",if($K19="S2","b","")),Students!$A:$A,AS$2)+
countifs(Students!$D:$D,$AH19,Students!$E:$E,$AH$2&amp;if($K19="S1","a",if($K19="S2","b","")),Students!$A:$A,AS$2)+countifs(Students!$F:$F,$AH19,Students!$G:$G,$AH$2&amp;if($K19="S1","a",if($K19="S2","b","")),Students!$A:$A,AS$2)+countifs(Students!$H:$H,$AH19,Students!$I:$I,$AH$2&amp;if($K19="S1","a",if($K19="S2","b","")),Students!$A:$A,AS$2)+countifs(Students!$J:$J,$AH19,Students!$K:$K,$AH$2&amp;if($K19="S1","a",if($K19="S2","b","")),Students!$A:$A,AS$2)+countifs(Students!$L:$L,$AH19,Students!$M:$M,$AH$2&amp;if($K19="S1","a",if($K19="S2","b","")),Students!$A:$A,AS$2)+countifs(Students!$N:$N,$AH19,Students!$O:$O,$AH$2&amp;if($K19="S1","a",if($K19="S2","b","")),Students!$A:$A,AS$2)+countifs(Students!$P:$P,$AH19,Students!$Q:$Q,$AH$2&amp;if($K19="S1","a",if($K19="S2","b","")),Students!$A:$A,AS$2)+countifs(Students!$R:$R,$AH19,Students!$S:$S,$AH$2&amp;if($K19="S1","a",if($K19="S2","b","")),Students!$A:$A,AS$2)+countifs(Students!$T:$T,$AH19,Students!$U:$U,$AH$2&amp;if($K19="S1","a",if($K19="S2","b","")),Students!$A:$A,AS$2)+countifs(Students!$V:$V,$AH19,Students!$W:$W,$AH$2&amp;if($K19="S1","a",if($K19="S2","b","")),Students!$A:$A,AS$2)+
countifs(Students!$D:$D,$AK19,Students!$E:$E,$AK$2&amp;if($K19="S1","a",if($K19="S2","b","")),Students!$A:$A,AS$2)+countifs(Students!$F:$F,$AK19,Students!$G:$G,$AK$2&amp;if($K19="S1","a",if($K19="S2","b","")),Students!$A:$A,AS$2)+countifs(Students!$H:$H,$AK19,Students!$I:$I,$AK$2&amp;if($K19="S1","a",if($K19="S2","b","")),Students!$A:$A,AS$2)+countifs(Students!$J:$J,$AK19,Students!$K:$K,$AK$2&amp;if($K19="S1","a",if($K19="S2","b","")),Students!$A:$A,AS$2)+countifs(Students!$L:$L,$AK19,Students!$M:$M,$AK$2&amp;if($K19="S1","a",if($K19="S2","b","")),Students!$A:$A,AS$2)+countifs(Students!$N:$N,$AK19,Students!$O:$O,$AK$2&amp;if($K19="S1","a",if($K19="S2","b","")),Students!$A:$A,AS$2)+countifs(Students!$P:$P,$AK19,Students!$Q:$Q,$AK$2&amp;if($K19="S1","a",if($K19="S2","b","")),Students!$A:$A,AS$2)+countifs(Students!$R:$R,$AK19,Students!$S:$S,$AK$2&amp;if($K19="S1","a",if($K19="S2","b","")),Students!$A:$A,AS$2)+countifs(Students!$T:$T,$AK19,Students!$U:$U,$AK$2&amp;if($K19="S1","a",if($K19="S2","b","")),Students!$A:$A,AS$2)+countifs(Students!$V:$V,$AK19,Students!$W:$W,$AK$2&amp;if($K19="S1","a",if($K19="S2","b","")),Students!$A:$A,AS$2))</f>
        <v>0</v>
      </c>
    </row>
    <row r="20">
      <c r="A20" s="21">
        <v>12.0</v>
      </c>
      <c r="B20" s="4">
        <f>countifs(Students!A:A,A20)</f>
        <v>127</v>
      </c>
      <c r="C20" s="111">
        <f t="shared" si="3"/>
        <v>21.16666667</v>
      </c>
      <c r="J20" s="87">
        <v>89.0</v>
      </c>
      <c r="K20" s="70"/>
      <c r="L20" s="58" t="s">
        <v>68</v>
      </c>
      <c r="M20" s="107"/>
      <c r="N20" s="92">
        <v>3.0</v>
      </c>
      <c r="O20" s="92">
        <f>IFERROR(__xludf.DUMMYFUNCTION("3*counta((transpose(filter(P20:AM20,P20:AM20&lt;&gt;"""",isnumber(P20:AM20)=false))))"),15.0)</f>
        <v>15</v>
      </c>
      <c r="P20" s="90" t="s">
        <v>69</v>
      </c>
      <c r="Q20" s="91">
        <v>1.0</v>
      </c>
      <c r="R20" s="92">
        <v>19.0</v>
      </c>
      <c r="S20" s="101" t="s">
        <v>70</v>
      </c>
      <c r="T20" s="101">
        <v>1.0</v>
      </c>
      <c r="U20" s="98">
        <v>24.0</v>
      </c>
      <c r="V20" s="101" t="s">
        <v>71</v>
      </c>
      <c r="W20" s="101">
        <v>1.0</v>
      </c>
      <c r="X20" s="98">
        <v>7.0</v>
      </c>
      <c r="Y20" s="90"/>
      <c r="Z20" s="91"/>
      <c r="AA20" s="92" t="s">
        <v>22</v>
      </c>
      <c r="AB20" s="91"/>
      <c r="AC20" s="107"/>
      <c r="AD20" s="92" t="s">
        <v>22</v>
      </c>
      <c r="AE20" s="91" t="s">
        <v>69</v>
      </c>
      <c r="AF20" s="91">
        <v>2.0</v>
      </c>
      <c r="AG20" s="92">
        <v>19.0</v>
      </c>
      <c r="AH20" s="101" t="s">
        <v>70</v>
      </c>
      <c r="AI20" s="97">
        <v>2.0</v>
      </c>
      <c r="AJ20" s="98">
        <v>20.0</v>
      </c>
      <c r="AK20" s="94"/>
      <c r="AL20" s="115"/>
      <c r="AM20" s="95" t="s">
        <v>22</v>
      </c>
      <c r="AN20" s="99"/>
      <c r="AO20" s="52">
        <f t="shared" si="2"/>
        <v>89</v>
      </c>
      <c r="AP20" s="102">
        <f>if($L20="","",countifs(Students!$D:$D,$P20,Students!$E:$E,$P$2&amp;if($K20="S1","a",if($K20="S2","b","")),Students!$A:$A,AP$2)+countifs(Students!$F:$F,$P20,Students!$G:$G,$P$2&amp;if($K20="S1","a",if($K20="S2","b","")),Students!$A:$A,AP$2)+countifs(Students!$H:$H,$P20,Students!$I:$I,$P$2&amp;if($K20="S1","a",if($K20="S2","b","")),Students!$A:$A,AP$2)+countifs(Students!$J:$J,$P20,Students!$K:$K,$P$2&amp;if($K20="S1","a",if($K20="S2","b","")),Students!$A:$A,AP$2)+countifs(Students!$L:$L,$P20,Students!$M:$M,$P$2&amp;if($K20="S1","a",if($K20="S2","b","")),Students!$A:$A,AP$2)+countifs(Students!$N:$N,$P20,Students!$O:$O,$P$2&amp;if($K20="S1","a",if($K20="S2","b","")),Students!$A:$A,AP$2)+countifs(Students!$P:$P,$P20,Students!$Q:$Q,$P$2&amp;if($K20="S1","a",if($K20="S2","b","")),Students!$A:$A,AP$2)+countifs(Students!$R:$R,$P20,Students!$S:$S,$P$2&amp;if($K20="S1","a",if($K20="S2","b","")),Students!$A:$A,AP$2)+countifs(Students!$T:$T,$P20,Students!$U:$U,$P$2&amp;if($K20="S1","a",if($K20="S2","b","")),Students!$A:$A,AP$2)+countifs(Students!$V:$V,$P20,Students!$W:$W,$P$2&amp;if($K20="S1","a",if($K20="S2","b","")),Students!$A:$A,AP$2)+
countifs(Students!$D:$D,$S20,Students!$E:$E,$S$2&amp;if($K20="S1","a",if($K20="S2","b","")),Students!$A:$A,AP$2)+countifs(Students!$F:$F,$S20,Students!$G:$G,$S$2&amp;if($K20="S1","a",if($K20="S2","b","")),Students!$A:$A,AP$2)+countifs(Students!$H:$H,$S20,Students!$I:$I,$S$2&amp;if($K20="S1","a",if($K20="S2","b","")),Students!$A:$A,AP$2)+countifs(Students!$J:$J,$S20,Students!$K:$K,$S$2&amp;if($K20="S1","a",if($K20="S2","b","")),Students!$A:$A,AP$2)+countifs(Students!$L:$L,$S20,Students!$M:$M,$S$2&amp;if($K20="S1","a",if($K20="S2","b","")),Students!$A:$A,AP$2)+countifs(Students!$N:$N,$S20,Students!$O:$O,$S$2&amp;if($K20="S1","a",if($K20="S2","b","")),Students!$A:$A,AP$2)+countifs(Students!$P:$P,$S20,Students!$Q:$Q,$S$2&amp;if($K20="S1","a",if($K20="S2","b","")),Students!$A:$A,AP$2)+countifs(Students!$R:$R,$S20,Students!$S:$S,$S$2&amp;if($K20="S1","a",if($K20="S2","b","")),Students!$A:$A,AP$2)+countifs(Students!$T:$T,$S20,Students!$U:$U,$S$2&amp;if($K20="S1","a",if($K20="S2","b","")),Students!$A:$A,AP$2)+countifs(Students!$V:$V,$S20,Students!$W:$W,$S$2&amp;if($K20="S1","a",if($K20="S2","b","")),Students!$A:$A,AP$2)+
countifs(Students!$D:$D,$V20,Students!$E:$E,$V$2&amp;if($K20="S1","a",if($K20="S2","b","")),Students!$A:$A,AP$2)+countifs(Students!$F:$F,$V20,Students!$G:$G,$V$2&amp;if($K20="S1","a",if($K20="S2","b","")),Students!$A:$A,AP$2)+countifs(Students!$H:$H,$V20,Students!$I:$I,$V$2&amp;if($K20="S1","a",if($K20="S2","b","")),Students!$A:$A,AP$2)+countifs(Students!$J:$J,$V20,Students!$K:$K,$V$2&amp;if($K20="S1","a",if($K20="S2","b","")),Students!$A:$A,AP$2)+countifs(Students!$L:$L,$V20,Students!$M:$M,$V$2&amp;if($K20="S1","a",if($K20="S2","b","")),Students!$A:$A,AP$2)+countifs(Students!$N:$N,$V20,Students!$O:$O,$V$2&amp;if($K20="S1","a",if($K20="S2","b","")),Students!$A:$A,AP$2)+countifs(Students!$P:$P,$V20,Students!$Q:$Q,$V$2&amp;if($K20="S1","a",if($K20="S2","b","")),Students!$A:$A,AP$2)+countifs(Students!$R:$R,$V20,Students!$S:$S,$V$2&amp;if($K20="S1","a",if($K20="S2","b","")),Students!$A:$A,AP$2)+countifs(Students!$T:$T,$V20,Students!$U:$U,$V$2&amp;if($K20="S1","a",if($K20="S2","b","")),Students!$A:$A,AP$2)+countifs(Students!$V:$V,$V20,Students!$W:$W,$V$2&amp;if($K20="S1","a",if($K20="S2","b","")),Students!$A:$A,AP$2)+
countifs(Students!$D:$D,$Y20,Students!$E:$E,$Y$2&amp;if($K20="S1","a",if($K20="S2","b","")),Students!$A:$A,AP$2)+countifs(Students!$F:$F,$Y20,Students!$G:$G,$Y$2&amp;if($K20="S1","a",if($K20="S2","b","")),Students!$A:$A,AP$2)+countifs(Students!$H:$H,$Y20,Students!$I:$I,$Y$2&amp;if($K20="S1","a",if($K20="S2","b","")),Students!$A:$A,AP$2)+countifs(Students!$J:$J,$Y20,Students!$K:$K,$Y$2&amp;if($K20="S1","a",if($K20="S2","b","")),Students!$A:$A,AP$2)+countifs(Students!$L:$L,$Y20,Students!$M:$M,$Y$2&amp;if($K20="S1","a",if($K20="S2","b","")),Students!$A:$A,AP$2)+countifs(Students!$N:$N,$Y20,Students!$O:$O,$Y$2&amp;if($K20="S1","a",if($K20="S2","b","")),Students!$A:$A,AP$2)+countifs(Students!$P:$P,$Y20,Students!$Q:$Q,$Y$2&amp;if($K20="S1","a",if($K20="S2","b","")),Students!$A:$A,AP$2)+countifs(Students!$R:$R,$Y20,Students!$S:$S,$Y$2&amp;if($K20="S1","a",if($K20="S2","b","")),Students!$A:$A,AP$2)+countifs(Students!$T:$T,$Y20,Students!$U:$U,$Y$2&amp;if($K20="S1","a",if($K20="S2","b","")),Students!$A:$A,AP$2)+countifs(Students!$V:$V,$Y20,Students!$W:$W,$Y$2&amp;if($K20="S1","a",if($K20="S2","b","")),Students!$A:$A,AP$2)+
countifs(Students!$D:$D,$AB20,Students!$E:$E,$AB$2&amp;if($K20="S1","a",if($K20="S2","b","")),Students!$A:$A,AP$2)+countifs(Students!$F:$F,$AB20,Students!$G:$G,$AB$2&amp;if($K20="S1","a",if($K20="S2","b","")),Students!$A:$A,AP$2)+countifs(Students!$H:$H,$AB20,Students!$I:$I,$AB$2&amp;if($K20="S1","a",if($K20="S2","b","")),Students!$A:$A,AP$2)+countifs(Students!$J:$J,$AB20,Students!$K:$K,$AB$2&amp;if($K20="S1","a",if($K20="S2","b","")),Students!$A:$A,AP$2)+countifs(Students!$L:$L,$AB20,Students!$M:$M,$AB$2&amp;if($K20="S1","a",if($K20="S2","b","")),Students!$A:$A,AP$2)+countifs(Students!$N:$N,$AB20,Students!$O:$O,$AB$2&amp;if($K20="S1","a",if($K20="S2","b","")),Students!$A:$A,AP$2)+countifs(Students!$P:$P,$AB20,Students!$Q:$Q,$AB$2&amp;if($K20="S1","a",if($K20="S2","b","")),Students!$A:$A,AP$2)+countifs(Students!$R:$R,$AB20,Students!$S:$S,$AB$2&amp;if($K20="S1","a",if($K20="S2","b","")),Students!$A:$A,AP$2)+countifs(Students!$T:$T,$AB20,Students!$U:$U,$AB$2&amp;if($K20="S1","a",if($K20="S2","b","")),Students!$A:$A,AP$2)+countifs(Students!$V:$V,$AB20,Students!$W:$W,$AB$2&amp;if($K20="S1","a",if($K20="S2","b","")),Students!$A:$A,AP$2)+
countifs(Students!$D:$D,$AE20,Students!$E:$E,$AE$2&amp;if($K20="S1","a",if($K20="S2","b","")),Students!$A:$A,AP$2)+countifs(Students!$F:$F,$AE20,Students!$G:$G,$AE$2&amp;if($K20="S1","a",if($K20="S2","b","")),Students!$A:$A,AP$2)+countifs(Students!$H:$H,$AE20,Students!$I:$I,$AE$2&amp;if($K20="S1","a",if($K20="S2","b","")),Students!$A:$A,AP$2)+countifs(Students!$J:$J,$AE20,Students!$K:$K,$AE$2&amp;if($K20="S1","a",if($K20="S2","b","")),Students!$A:$A,AP$2)+countifs(Students!$L:$L,$AE20,Students!$M:$M,$AE$2&amp;if($K20="S1","a",if($K20="S2","b","")),Students!$A:$A,AP$2)+countifs(Students!$N:$N,$AE20,Students!$O:$O,$AE$2&amp;if($K20="S1","a",if($K20="S2","b","")),Students!$A:$A,AP$2)+countifs(Students!$P:$P,$AE20,Students!$Q:$Q,$AE$2&amp;if($K20="S1","a",if($K20="S2","b","")),Students!$A:$A,AP$2)+countifs(Students!$R:$R,$AE20,Students!$S:$S,$AE$2&amp;if($K20="S1","a",if($K20="S2","b","")),Students!$A:$A,AP$2)+countifs(Students!$T:$T,$AE20,Students!$U:$U,$AE$2&amp;if($K20="S1","a",if($K20="S2","b","")),Students!$A:$A,AP$2)+countifs(Students!$V:$V,$AE20,Students!$W:$W,$AE$2&amp;if($K20="S1","a",if($K20="S2","b","")),Students!$A:$A,AP$2)+
countifs(Students!$D:$D,$AH20,Students!$E:$E,$AH$2&amp;if($K20="S1","a",if($K20="S2","b","")),Students!$A:$A,AP$2)+countifs(Students!$F:$F,$AH20,Students!$G:$G,$AH$2&amp;if($K20="S1","a",if($K20="S2","b","")),Students!$A:$A,AP$2)+countifs(Students!$H:$H,$AH20,Students!$I:$I,$AH$2&amp;if($K20="S1","a",if($K20="S2","b","")),Students!$A:$A,AP$2)+countifs(Students!$J:$J,$AH20,Students!$K:$K,$AH$2&amp;if($K20="S1","a",if($K20="S2","b","")),Students!$A:$A,AP$2)+countifs(Students!$L:$L,$AH20,Students!$M:$M,$AH$2&amp;if($K20="S1","a",if($K20="S2","b","")),Students!$A:$A,AP$2)+countifs(Students!$N:$N,$AH20,Students!$O:$O,$AH$2&amp;if($K20="S1","a",if($K20="S2","b","")),Students!$A:$A,AP$2)+countifs(Students!$P:$P,$AH20,Students!$Q:$Q,$AH$2&amp;if($K20="S1","a",if($K20="S2","b","")),Students!$A:$A,AP$2)+countifs(Students!$R:$R,$AH20,Students!$S:$S,$AH$2&amp;if($K20="S1","a",if($K20="S2","b","")),Students!$A:$A,AP$2)+countifs(Students!$T:$T,$AH20,Students!$U:$U,$AH$2&amp;if($K20="S1","a",if($K20="S2","b","")),Students!$A:$A,AP$2)+countifs(Students!$V:$V,$AH20,Students!$W:$W,$AH$2&amp;if($K20="S1","a",if($K20="S2","b","")),Students!$A:$A,AP$2)+
countifs(Students!$D:$D,$AK20,Students!$E:$E,$AK$2&amp;if($K20="S1","a",if($K20="S2","b","")),Students!$A:$A,AP$2)+countifs(Students!$F:$F,$AK20,Students!$G:$G,$AK$2&amp;if($K20="S1","a",if($K20="S2","b","")),Students!$A:$A,AP$2)+countifs(Students!$H:$H,$AK20,Students!$I:$I,$AK$2&amp;if($K20="S1","a",if($K20="S2","b","")),Students!$A:$A,AP$2)+countifs(Students!$J:$J,$AK20,Students!$K:$K,$AK$2&amp;if($K20="S1","a",if($K20="S2","b","")),Students!$A:$A,AP$2)+countifs(Students!$L:$L,$AK20,Students!$M:$M,$AK$2&amp;if($K20="S1","a",if($K20="S2","b","")),Students!$A:$A,AP$2)+countifs(Students!$N:$N,$AK20,Students!$O:$O,$AK$2&amp;if($K20="S1","a",if($K20="S2","b","")),Students!$A:$A,AP$2)+countifs(Students!$P:$P,$AK20,Students!$Q:$Q,$AK$2&amp;if($K20="S1","a",if($K20="S2","b","")),Students!$A:$A,AP$2)+countifs(Students!$R:$R,$AK20,Students!$S:$S,$AK$2&amp;if($K20="S1","a",if($K20="S2","b","")),Students!$A:$A,AP$2)+countifs(Students!$T:$T,$AK20,Students!$U:$U,$AK$2&amp;if($K20="S1","a",if($K20="S2","b","")),Students!$A:$A,AP$2)+countifs(Students!$V:$V,$AK20,Students!$W:$W,$AK$2&amp;if($K20="S1","a",if($K20="S2","b","")),Students!$A:$A,AP$2))</f>
        <v>0</v>
      </c>
      <c r="AQ20" s="102">
        <f>if($L20="","",countifs(Students!$D:$D,$P20,Students!$E:$E,$P$2&amp;if($K20="S1","a",if($K20="S2","b","")),Students!$A:$A,AQ$2)+countifs(Students!$F:$F,$P20,Students!$G:$G,$P$2&amp;if($K20="S1","a",if($K20="S2","b","")),Students!$A:$A,AQ$2)+countifs(Students!$H:$H,$P20,Students!$I:$I,$P$2&amp;if($K20="S1","a",if($K20="S2","b","")),Students!$A:$A,AQ$2)+countifs(Students!$J:$J,$P20,Students!$K:$K,$P$2&amp;if($K20="S1","a",if($K20="S2","b","")),Students!$A:$A,AQ$2)+countifs(Students!$L:$L,$P20,Students!$M:$M,$P$2&amp;if($K20="S1","a",if($K20="S2","b","")),Students!$A:$A,AQ$2)+countifs(Students!$N:$N,$P20,Students!$O:$O,$P$2&amp;if($K20="S1","a",if($K20="S2","b","")),Students!$A:$A,AQ$2)+countifs(Students!$P:$P,$P20,Students!$Q:$Q,$P$2&amp;if($K20="S1","a",if($K20="S2","b","")),Students!$A:$A,AQ$2)+countifs(Students!$R:$R,$P20,Students!$S:$S,$P$2&amp;if($K20="S1","a",if($K20="S2","b","")),Students!$A:$A,AQ$2)+countifs(Students!$T:$T,$P20,Students!$U:$U,$P$2&amp;if($K20="S1","a",if($K20="S2","b","")),Students!$A:$A,AQ$2)+countifs(Students!$V:$V,$P20,Students!$W:$W,$P$2&amp;if($K20="S1","a",if($K20="S2","b","")),Students!$A:$A,AQ$2)+
countifs(Students!$D:$D,$S20,Students!$E:$E,$S$2&amp;if($K20="S1","a",if($K20="S2","b","")),Students!$A:$A,AQ$2)+countifs(Students!$F:$F,$S20,Students!$G:$G,$S$2&amp;if($K20="S1","a",if($K20="S2","b","")),Students!$A:$A,AQ$2)+countifs(Students!$H:$H,$S20,Students!$I:$I,$S$2&amp;if($K20="S1","a",if($K20="S2","b","")),Students!$A:$A,AQ$2)+countifs(Students!$J:$J,$S20,Students!$K:$K,$S$2&amp;if($K20="S1","a",if($K20="S2","b","")),Students!$A:$A,AQ$2)+countifs(Students!$L:$L,$S20,Students!$M:$M,$S$2&amp;if($K20="S1","a",if($K20="S2","b","")),Students!$A:$A,AQ$2)+countifs(Students!$N:$N,$S20,Students!$O:$O,$S$2&amp;if($K20="S1","a",if($K20="S2","b","")),Students!$A:$A,AQ$2)+countifs(Students!$P:$P,$S20,Students!$Q:$Q,$S$2&amp;if($K20="S1","a",if($K20="S2","b","")),Students!$A:$A,AQ$2)+countifs(Students!$R:$R,$S20,Students!$S:$S,$S$2&amp;if($K20="S1","a",if($K20="S2","b","")),Students!$A:$A,AQ$2)+countifs(Students!$T:$T,$S20,Students!$U:$U,$S$2&amp;if($K20="S1","a",if($K20="S2","b","")),Students!$A:$A,AQ$2)+countifs(Students!$V:$V,$S20,Students!$W:$W,$S$2&amp;if($K20="S1","a",if($K20="S2","b","")),Students!$A:$A,AQ$2)+
countifs(Students!$D:$D,$V20,Students!$E:$E,$V$2&amp;if($K20="S1","a",if($K20="S2","b","")),Students!$A:$A,AQ$2)+countifs(Students!$F:$F,$V20,Students!$G:$G,$V$2&amp;if($K20="S1","a",if($K20="S2","b","")),Students!$A:$A,AQ$2)+countifs(Students!$H:$H,$V20,Students!$I:$I,$V$2&amp;if($K20="S1","a",if($K20="S2","b","")),Students!$A:$A,AQ$2)+countifs(Students!$J:$J,$V20,Students!$K:$K,$V$2&amp;if($K20="S1","a",if($K20="S2","b","")),Students!$A:$A,AQ$2)+countifs(Students!$L:$L,$V20,Students!$M:$M,$V$2&amp;if($K20="S1","a",if($K20="S2","b","")),Students!$A:$A,AQ$2)+countifs(Students!$N:$N,$V20,Students!$O:$O,$V$2&amp;if($K20="S1","a",if($K20="S2","b","")),Students!$A:$A,AQ$2)+countifs(Students!$P:$P,$V20,Students!$Q:$Q,$V$2&amp;if($K20="S1","a",if($K20="S2","b","")),Students!$A:$A,AQ$2)+countifs(Students!$R:$R,$V20,Students!$S:$S,$V$2&amp;if($K20="S1","a",if($K20="S2","b","")),Students!$A:$A,AQ$2)+countifs(Students!$T:$T,$V20,Students!$U:$U,$V$2&amp;if($K20="S1","a",if($K20="S2","b","")),Students!$A:$A,AQ$2)+countifs(Students!$V:$V,$V20,Students!$W:$W,$V$2&amp;if($K20="S1","a",if($K20="S2","b","")),Students!$A:$A,AQ$2)+
countifs(Students!$D:$D,$Y20,Students!$E:$E,$Y$2&amp;if($K20="S1","a",if($K20="S2","b","")),Students!$A:$A,AQ$2)+countifs(Students!$F:$F,$Y20,Students!$G:$G,$Y$2&amp;if($K20="S1","a",if($K20="S2","b","")),Students!$A:$A,AQ$2)+countifs(Students!$H:$H,$Y20,Students!$I:$I,$Y$2&amp;if($K20="S1","a",if($K20="S2","b","")),Students!$A:$A,AQ$2)+countifs(Students!$J:$J,$Y20,Students!$K:$K,$Y$2&amp;if($K20="S1","a",if($K20="S2","b","")),Students!$A:$A,AQ$2)+countifs(Students!$L:$L,$Y20,Students!$M:$M,$Y$2&amp;if($K20="S1","a",if($K20="S2","b","")),Students!$A:$A,AQ$2)+countifs(Students!$N:$N,$Y20,Students!$O:$O,$Y$2&amp;if($K20="S1","a",if($K20="S2","b","")),Students!$A:$A,AQ$2)+countifs(Students!$P:$P,$Y20,Students!$Q:$Q,$Y$2&amp;if($K20="S1","a",if($K20="S2","b","")),Students!$A:$A,AQ$2)+countifs(Students!$R:$R,$Y20,Students!$S:$S,$Y$2&amp;if($K20="S1","a",if($K20="S2","b","")),Students!$A:$A,AQ$2)+countifs(Students!$T:$T,$Y20,Students!$U:$U,$Y$2&amp;if($K20="S1","a",if($K20="S2","b","")),Students!$A:$A,AQ$2)+countifs(Students!$V:$V,$Y20,Students!$W:$W,$Y$2&amp;if($K20="S1","a",if($K20="S2","b","")),Students!$A:$A,AQ$2)+
countifs(Students!$D:$D,$AB20,Students!$E:$E,$AB$2&amp;if($K20="S1","a",if($K20="S2","b","")),Students!$A:$A,AQ$2)+countifs(Students!$F:$F,$AB20,Students!$G:$G,$AB$2&amp;if($K20="S1","a",if($K20="S2","b","")),Students!$A:$A,AQ$2)+countifs(Students!$H:$H,$AB20,Students!$I:$I,$AB$2&amp;if($K20="S1","a",if($K20="S2","b","")),Students!$A:$A,AQ$2)+countifs(Students!$J:$J,$AB20,Students!$K:$K,$AB$2&amp;if($K20="S1","a",if($K20="S2","b","")),Students!$A:$A,AQ$2)+countifs(Students!$L:$L,$AB20,Students!$M:$M,$AB$2&amp;if($K20="S1","a",if($K20="S2","b","")),Students!$A:$A,AQ$2)+countifs(Students!$N:$N,$AB20,Students!$O:$O,$AB$2&amp;if($K20="S1","a",if($K20="S2","b","")),Students!$A:$A,AQ$2)+countifs(Students!$P:$P,$AB20,Students!$Q:$Q,$AB$2&amp;if($K20="S1","a",if($K20="S2","b","")),Students!$A:$A,AQ$2)+countifs(Students!$R:$R,$AB20,Students!$S:$S,$AB$2&amp;if($K20="S1","a",if($K20="S2","b","")),Students!$A:$A,AQ$2)+countifs(Students!$T:$T,$AB20,Students!$U:$U,$AB$2&amp;if($K20="S1","a",if($K20="S2","b","")),Students!$A:$A,AQ$2)+countifs(Students!$V:$V,$AB20,Students!$W:$W,$AB$2&amp;if($K20="S1","a",if($K20="S2","b","")),Students!$A:$A,AQ$2)+
countifs(Students!$D:$D,$AE20,Students!$E:$E,$AE$2&amp;if($K20="S1","a",if($K20="S2","b","")),Students!$A:$A,AQ$2)+countifs(Students!$F:$F,$AE20,Students!$G:$G,$AE$2&amp;if($K20="S1","a",if($K20="S2","b","")),Students!$A:$A,AQ$2)+countifs(Students!$H:$H,$AE20,Students!$I:$I,$AE$2&amp;if($K20="S1","a",if($K20="S2","b","")),Students!$A:$A,AQ$2)+countifs(Students!$J:$J,$AE20,Students!$K:$K,$AE$2&amp;if($K20="S1","a",if($K20="S2","b","")),Students!$A:$A,AQ$2)+countifs(Students!$L:$L,$AE20,Students!$M:$M,$AE$2&amp;if($K20="S1","a",if($K20="S2","b","")),Students!$A:$A,AQ$2)+countifs(Students!$N:$N,$AE20,Students!$O:$O,$AE$2&amp;if($K20="S1","a",if($K20="S2","b","")),Students!$A:$A,AQ$2)+countifs(Students!$P:$P,$AE20,Students!$Q:$Q,$AE$2&amp;if($K20="S1","a",if($K20="S2","b","")),Students!$A:$A,AQ$2)+countifs(Students!$R:$R,$AE20,Students!$S:$S,$AE$2&amp;if($K20="S1","a",if($K20="S2","b","")),Students!$A:$A,AQ$2)+countifs(Students!$T:$T,$AE20,Students!$U:$U,$AE$2&amp;if($K20="S1","a",if($K20="S2","b","")),Students!$A:$A,AQ$2)+countifs(Students!$V:$V,$AE20,Students!$W:$W,$AE$2&amp;if($K20="S1","a",if($K20="S2","b","")),Students!$A:$A,AQ$2)+
countifs(Students!$D:$D,$AH20,Students!$E:$E,$AH$2&amp;if($K20="S1","a",if($K20="S2","b","")),Students!$A:$A,AQ$2)+countifs(Students!$F:$F,$AH20,Students!$G:$G,$AH$2&amp;if($K20="S1","a",if($K20="S2","b","")),Students!$A:$A,AQ$2)+countifs(Students!$H:$H,$AH20,Students!$I:$I,$AH$2&amp;if($K20="S1","a",if($K20="S2","b","")),Students!$A:$A,AQ$2)+countifs(Students!$J:$J,$AH20,Students!$K:$K,$AH$2&amp;if($K20="S1","a",if($K20="S2","b","")),Students!$A:$A,AQ$2)+countifs(Students!$L:$L,$AH20,Students!$M:$M,$AH$2&amp;if($K20="S1","a",if($K20="S2","b","")),Students!$A:$A,AQ$2)+countifs(Students!$N:$N,$AH20,Students!$O:$O,$AH$2&amp;if($K20="S1","a",if($K20="S2","b","")),Students!$A:$A,AQ$2)+countifs(Students!$P:$P,$AH20,Students!$Q:$Q,$AH$2&amp;if($K20="S1","a",if($K20="S2","b","")),Students!$A:$A,AQ$2)+countifs(Students!$R:$R,$AH20,Students!$S:$S,$AH$2&amp;if($K20="S1","a",if($K20="S2","b","")),Students!$A:$A,AQ$2)+countifs(Students!$T:$T,$AH20,Students!$U:$U,$AH$2&amp;if($K20="S1","a",if($K20="S2","b","")),Students!$A:$A,AQ$2)+countifs(Students!$V:$V,$AH20,Students!$W:$W,$AH$2&amp;if($K20="S1","a",if($K20="S2","b","")),Students!$A:$A,AQ$2)+
countifs(Students!$D:$D,$AK20,Students!$E:$E,$AK$2&amp;if($K20="S1","a",if($K20="S2","b","")),Students!$A:$A,AQ$2)+countifs(Students!$F:$F,$AK20,Students!$G:$G,$AK$2&amp;if($K20="S1","a",if($K20="S2","b","")),Students!$A:$A,AQ$2)+countifs(Students!$H:$H,$AK20,Students!$I:$I,$AK$2&amp;if($K20="S1","a",if($K20="S2","b","")),Students!$A:$A,AQ$2)+countifs(Students!$J:$J,$AK20,Students!$K:$K,$AK$2&amp;if($K20="S1","a",if($K20="S2","b","")),Students!$A:$A,AQ$2)+countifs(Students!$L:$L,$AK20,Students!$M:$M,$AK$2&amp;if($K20="S1","a",if($K20="S2","b","")),Students!$A:$A,AQ$2)+countifs(Students!$N:$N,$AK20,Students!$O:$O,$AK$2&amp;if($K20="S1","a",if($K20="S2","b","")),Students!$A:$A,AQ$2)+countifs(Students!$P:$P,$AK20,Students!$Q:$Q,$AK$2&amp;if($K20="S1","a",if($K20="S2","b","")),Students!$A:$A,AQ$2)+countifs(Students!$R:$R,$AK20,Students!$S:$S,$AK$2&amp;if($K20="S1","a",if($K20="S2","b","")),Students!$A:$A,AQ$2)+countifs(Students!$T:$T,$AK20,Students!$U:$U,$AK$2&amp;if($K20="S1","a",if($K20="S2","b","")),Students!$A:$A,AQ$2)+countifs(Students!$V:$V,$AK20,Students!$W:$W,$AK$2&amp;if($K20="S1","a",if($K20="S2","b","")),Students!$A:$A,AQ$2))</f>
        <v>1</v>
      </c>
      <c r="AR20" s="102">
        <f>if($L20="","",countifs(Students!$D:$D,$P20,Students!$E:$E,$P$2&amp;if($K20="S1","a",if($K20="S2","b","")),Students!$A:$A,AR$2)+countifs(Students!$F:$F,$P20,Students!$G:$G,$P$2&amp;if($K20="S1","a",if($K20="S2","b","")),Students!$A:$A,AR$2)+countifs(Students!$H:$H,$P20,Students!$I:$I,$P$2&amp;if($K20="S1","a",if($K20="S2","b","")),Students!$A:$A,AR$2)+countifs(Students!$J:$J,$P20,Students!$K:$K,$P$2&amp;if($K20="S1","a",if($K20="S2","b","")),Students!$A:$A,AR$2)+countifs(Students!$L:$L,$P20,Students!$M:$M,$P$2&amp;if($K20="S1","a",if($K20="S2","b","")),Students!$A:$A,AR$2)+countifs(Students!$N:$N,$P20,Students!$O:$O,$P$2&amp;if($K20="S1","a",if($K20="S2","b","")),Students!$A:$A,AR$2)+countifs(Students!$P:$P,$P20,Students!$Q:$Q,$P$2&amp;if($K20="S1","a",if($K20="S2","b","")),Students!$A:$A,AR$2)+countifs(Students!$R:$R,$P20,Students!$S:$S,$P$2&amp;if($K20="S1","a",if($K20="S2","b","")),Students!$A:$A,AR$2)+countifs(Students!$T:$T,$P20,Students!$U:$U,$P$2&amp;if($K20="S1","a",if($K20="S2","b","")),Students!$A:$A,AR$2)+countifs(Students!$V:$V,$P20,Students!$W:$W,$P$2&amp;if($K20="S1","a",if($K20="S2","b","")),Students!$A:$A,AR$2)+
countifs(Students!$D:$D,$S20,Students!$E:$E,$S$2&amp;if($K20="S1","a",if($K20="S2","b","")),Students!$A:$A,AR$2)+countifs(Students!$F:$F,$S20,Students!$G:$G,$S$2&amp;if($K20="S1","a",if($K20="S2","b","")),Students!$A:$A,AR$2)+countifs(Students!$H:$H,$S20,Students!$I:$I,$S$2&amp;if($K20="S1","a",if($K20="S2","b","")),Students!$A:$A,AR$2)+countifs(Students!$J:$J,$S20,Students!$K:$K,$S$2&amp;if($K20="S1","a",if($K20="S2","b","")),Students!$A:$A,AR$2)+countifs(Students!$L:$L,$S20,Students!$M:$M,$S$2&amp;if($K20="S1","a",if($K20="S2","b","")),Students!$A:$A,AR$2)+countifs(Students!$N:$N,$S20,Students!$O:$O,$S$2&amp;if($K20="S1","a",if($K20="S2","b","")),Students!$A:$A,AR$2)+countifs(Students!$P:$P,$S20,Students!$Q:$Q,$S$2&amp;if($K20="S1","a",if($K20="S2","b","")),Students!$A:$A,AR$2)+countifs(Students!$R:$R,$S20,Students!$S:$S,$S$2&amp;if($K20="S1","a",if($K20="S2","b","")),Students!$A:$A,AR$2)+countifs(Students!$T:$T,$S20,Students!$U:$U,$S$2&amp;if($K20="S1","a",if($K20="S2","b","")),Students!$A:$A,AR$2)+countifs(Students!$V:$V,$S20,Students!$W:$W,$S$2&amp;if($K20="S1","a",if($K20="S2","b","")),Students!$A:$A,AR$2)+
countifs(Students!$D:$D,$V20,Students!$E:$E,$V$2&amp;if($K20="S1","a",if($K20="S2","b","")),Students!$A:$A,AR$2)+countifs(Students!$F:$F,$V20,Students!$G:$G,$V$2&amp;if($K20="S1","a",if($K20="S2","b","")),Students!$A:$A,AR$2)+countifs(Students!$H:$H,$V20,Students!$I:$I,$V$2&amp;if($K20="S1","a",if($K20="S2","b","")),Students!$A:$A,AR$2)+countifs(Students!$J:$J,$V20,Students!$K:$K,$V$2&amp;if($K20="S1","a",if($K20="S2","b","")),Students!$A:$A,AR$2)+countifs(Students!$L:$L,$V20,Students!$M:$M,$V$2&amp;if($K20="S1","a",if($K20="S2","b","")),Students!$A:$A,AR$2)+countifs(Students!$N:$N,$V20,Students!$O:$O,$V$2&amp;if($K20="S1","a",if($K20="S2","b","")),Students!$A:$A,AR$2)+countifs(Students!$P:$P,$V20,Students!$Q:$Q,$V$2&amp;if($K20="S1","a",if($K20="S2","b","")),Students!$A:$A,AR$2)+countifs(Students!$R:$R,$V20,Students!$S:$S,$V$2&amp;if($K20="S1","a",if($K20="S2","b","")),Students!$A:$A,AR$2)+countifs(Students!$T:$T,$V20,Students!$U:$U,$V$2&amp;if($K20="S1","a",if($K20="S2","b","")),Students!$A:$A,AR$2)+countifs(Students!$V:$V,$V20,Students!$W:$W,$V$2&amp;if($K20="S1","a",if($K20="S2","b","")),Students!$A:$A,AR$2)+
countifs(Students!$D:$D,$Y20,Students!$E:$E,$Y$2&amp;if($K20="S1","a",if($K20="S2","b","")),Students!$A:$A,AR$2)+countifs(Students!$F:$F,$Y20,Students!$G:$G,$Y$2&amp;if($K20="S1","a",if($K20="S2","b","")),Students!$A:$A,AR$2)+countifs(Students!$H:$H,$Y20,Students!$I:$I,$Y$2&amp;if($K20="S1","a",if($K20="S2","b","")),Students!$A:$A,AR$2)+countifs(Students!$J:$J,$Y20,Students!$K:$K,$Y$2&amp;if($K20="S1","a",if($K20="S2","b","")),Students!$A:$A,AR$2)+countifs(Students!$L:$L,$Y20,Students!$M:$M,$Y$2&amp;if($K20="S1","a",if($K20="S2","b","")),Students!$A:$A,AR$2)+countifs(Students!$N:$N,$Y20,Students!$O:$O,$Y$2&amp;if($K20="S1","a",if($K20="S2","b","")),Students!$A:$A,AR$2)+countifs(Students!$P:$P,$Y20,Students!$Q:$Q,$Y$2&amp;if($K20="S1","a",if($K20="S2","b","")),Students!$A:$A,AR$2)+countifs(Students!$R:$R,$Y20,Students!$S:$S,$Y$2&amp;if($K20="S1","a",if($K20="S2","b","")),Students!$A:$A,AR$2)+countifs(Students!$T:$T,$Y20,Students!$U:$U,$Y$2&amp;if($K20="S1","a",if($K20="S2","b","")),Students!$A:$A,AR$2)+countifs(Students!$V:$V,$Y20,Students!$W:$W,$Y$2&amp;if($K20="S1","a",if($K20="S2","b","")),Students!$A:$A,AR$2)+
countifs(Students!$D:$D,$AB20,Students!$E:$E,$AB$2&amp;if($K20="S1","a",if($K20="S2","b","")),Students!$A:$A,AR$2)+countifs(Students!$F:$F,$AB20,Students!$G:$G,$AB$2&amp;if($K20="S1","a",if($K20="S2","b","")),Students!$A:$A,AR$2)+countifs(Students!$H:$H,$AB20,Students!$I:$I,$AB$2&amp;if($K20="S1","a",if($K20="S2","b","")),Students!$A:$A,AR$2)+countifs(Students!$J:$J,$AB20,Students!$K:$K,$AB$2&amp;if($K20="S1","a",if($K20="S2","b","")),Students!$A:$A,AR$2)+countifs(Students!$L:$L,$AB20,Students!$M:$M,$AB$2&amp;if($K20="S1","a",if($K20="S2","b","")),Students!$A:$A,AR$2)+countifs(Students!$N:$N,$AB20,Students!$O:$O,$AB$2&amp;if($K20="S1","a",if($K20="S2","b","")),Students!$A:$A,AR$2)+countifs(Students!$P:$P,$AB20,Students!$Q:$Q,$AB$2&amp;if($K20="S1","a",if($K20="S2","b","")),Students!$A:$A,AR$2)+countifs(Students!$R:$R,$AB20,Students!$S:$S,$AB$2&amp;if($K20="S1","a",if($K20="S2","b","")),Students!$A:$A,AR$2)+countifs(Students!$T:$T,$AB20,Students!$U:$U,$AB$2&amp;if($K20="S1","a",if($K20="S2","b","")),Students!$A:$A,AR$2)+countifs(Students!$V:$V,$AB20,Students!$W:$W,$AB$2&amp;if($K20="S1","a",if($K20="S2","b","")),Students!$A:$A,AR$2)+
countifs(Students!$D:$D,$AE20,Students!$E:$E,$AE$2&amp;if($K20="S1","a",if($K20="S2","b","")),Students!$A:$A,AR$2)+countifs(Students!$F:$F,$AE20,Students!$G:$G,$AE$2&amp;if($K20="S1","a",if($K20="S2","b","")),Students!$A:$A,AR$2)+countifs(Students!$H:$H,$AE20,Students!$I:$I,$AE$2&amp;if($K20="S1","a",if($K20="S2","b","")),Students!$A:$A,AR$2)+countifs(Students!$J:$J,$AE20,Students!$K:$K,$AE$2&amp;if($K20="S1","a",if($K20="S2","b","")),Students!$A:$A,AR$2)+countifs(Students!$L:$L,$AE20,Students!$M:$M,$AE$2&amp;if($K20="S1","a",if($K20="S2","b","")),Students!$A:$A,AR$2)+countifs(Students!$N:$N,$AE20,Students!$O:$O,$AE$2&amp;if($K20="S1","a",if($K20="S2","b","")),Students!$A:$A,AR$2)+countifs(Students!$P:$P,$AE20,Students!$Q:$Q,$AE$2&amp;if($K20="S1","a",if($K20="S2","b","")),Students!$A:$A,AR$2)+countifs(Students!$R:$R,$AE20,Students!$S:$S,$AE$2&amp;if($K20="S1","a",if($K20="S2","b","")),Students!$A:$A,AR$2)+countifs(Students!$T:$T,$AE20,Students!$U:$U,$AE$2&amp;if($K20="S1","a",if($K20="S2","b","")),Students!$A:$A,AR$2)+countifs(Students!$V:$V,$AE20,Students!$W:$W,$AE$2&amp;if($K20="S1","a",if($K20="S2","b","")),Students!$A:$A,AR$2)+
countifs(Students!$D:$D,$AH20,Students!$E:$E,$AH$2&amp;if($K20="S1","a",if($K20="S2","b","")),Students!$A:$A,AR$2)+countifs(Students!$F:$F,$AH20,Students!$G:$G,$AH$2&amp;if($K20="S1","a",if($K20="S2","b","")),Students!$A:$A,AR$2)+countifs(Students!$H:$H,$AH20,Students!$I:$I,$AH$2&amp;if($K20="S1","a",if($K20="S2","b","")),Students!$A:$A,AR$2)+countifs(Students!$J:$J,$AH20,Students!$K:$K,$AH$2&amp;if($K20="S1","a",if($K20="S2","b","")),Students!$A:$A,AR$2)+countifs(Students!$L:$L,$AH20,Students!$M:$M,$AH$2&amp;if($K20="S1","a",if($K20="S2","b","")),Students!$A:$A,AR$2)+countifs(Students!$N:$N,$AH20,Students!$O:$O,$AH$2&amp;if($K20="S1","a",if($K20="S2","b","")),Students!$A:$A,AR$2)+countifs(Students!$P:$P,$AH20,Students!$Q:$Q,$AH$2&amp;if($K20="S1","a",if($K20="S2","b","")),Students!$A:$A,AR$2)+countifs(Students!$R:$R,$AH20,Students!$S:$S,$AH$2&amp;if($K20="S1","a",if($K20="S2","b","")),Students!$A:$A,AR$2)+countifs(Students!$T:$T,$AH20,Students!$U:$U,$AH$2&amp;if($K20="S1","a",if($K20="S2","b","")),Students!$A:$A,AR$2)+countifs(Students!$V:$V,$AH20,Students!$W:$W,$AH$2&amp;if($K20="S1","a",if($K20="S2","b","")),Students!$A:$A,AR$2)+
countifs(Students!$D:$D,$AK20,Students!$E:$E,$AK$2&amp;if($K20="S1","a",if($K20="S2","b","")),Students!$A:$A,AR$2)+countifs(Students!$F:$F,$AK20,Students!$G:$G,$AK$2&amp;if($K20="S1","a",if($K20="S2","b","")),Students!$A:$A,AR$2)+countifs(Students!$H:$H,$AK20,Students!$I:$I,$AK$2&amp;if($K20="S1","a",if($K20="S2","b","")),Students!$A:$A,AR$2)+countifs(Students!$J:$J,$AK20,Students!$K:$K,$AK$2&amp;if($K20="S1","a",if($K20="S2","b","")),Students!$A:$A,AR$2)+countifs(Students!$L:$L,$AK20,Students!$M:$M,$AK$2&amp;if($K20="S1","a",if($K20="S2","b","")),Students!$A:$A,AR$2)+countifs(Students!$N:$N,$AK20,Students!$O:$O,$AK$2&amp;if($K20="S1","a",if($K20="S2","b","")),Students!$A:$A,AR$2)+countifs(Students!$P:$P,$AK20,Students!$Q:$Q,$AK$2&amp;if($K20="S1","a",if($K20="S2","b","")),Students!$A:$A,AR$2)+countifs(Students!$R:$R,$AK20,Students!$S:$S,$AK$2&amp;if($K20="S1","a",if($K20="S2","b","")),Students!$A:$A,AR$2)+countifs(Students!$T:$T,$AK20,Students!$U:$U,$AK$2&amp;if($K20="S1","a",if($K20="S2","b","")),Students!$A:$A,AR$2)+countifs(Students!$V:$V,$AK20,Students!$W:$W,$AK$2&amp;if($K20="S1","a",if($K20="S2","b","")),Students!$A:$A,AR$2))</f>
        <v>40</v>
      </c>
      <c r="AS20" s="102">
        <f>if($L20="","",countifs(Students!$D:$D,$P20,Students!$E:$E,$P$2&amp;if($K20="S1","a",if($K20="S2","b","")),Students!$A:$A,AS$2)+countifs(Students!$F:$F,$P20,Students!$G:$G,$P$2&amp;if($K20="S1","a",if($K20="S2","b","")),Students!$A:$A,AS$2)+countifs(Students!$H:$H,$P20,Students!$I:$I,$P$2&amp;if($K20="S1","a",if($K20="S2","b","")),Students!$A:$A,AS$2)+countifs(Students!$J:$J,$P20,Students!$K:$K,$P$2&amp;if($K20="S1","a",if($K20="S2","b","")),Students!$A:$A,AS$2)+countifs(Students!$L:$L,$P20,Students!$M:$M,$P$2&amp;if($K20="S1","a",if($K20="S2","b","")),Students!$A:$A,AS$2)+countifs(Students!$N:$N,$P20,Students!$O:$O,$P$2&amp;if($K20="S1","a",if($K20="S2","b","")),Students!$A:$A,AS$2)+countifs(Students!$P:$P,$P20,Students!$Q:$Q,$P$2&amp;if($K20="S1","a",if($K20="S2","b","")),Students!$A:$A,AS$2)+countifs(Students!$R:$R,$P20,Students!$S:$S,$P$2&amp;if($K20="S1","a",if($K20="S2","b","")),Students!$A:$A,AS$2)+countifs(Students!$T:$T,$P20,Students!$U:$U,$P$2&amp;if($K20="S1","a",if($K20="S2","b","")),Students!$A:$A,AS$2)+countifs(Students!$V:$V,$P20,Students!$W:$W,$P$2&amp;if($K20="S1","a",if($K20="S2","b","")),Students!$A:$A,AS$2)+
countifs(Students!$D:$D,$S20,Students!$E:$E,$S$2&amp;if($K20="S1","a",if($K20="S2","b","")),Students!$A:$A,AS$2)+countifs(Students!$F:$F,$S20,Students!$G:$G,$S$2&amp;if($K20="S1","a",if($K20="S2","b","")),Students!$A:$A,AS$2)+countifs(Students!$H:$H,$S20,Students!$I:$I,$S$2&amp;if($K20="S1","a",if($K20="S2","b","")),Students!$A:$A,AS$2)+countifs(Students!$J:$J,$S20,Students!$K:$K,$S$2&amp;if($K20="S1","a",if($K20="S2","b","")),Students!$A:$A,AS$2)+countifs(Students!$L:$L,$S20,Students!$M:$M,$S$2&amp;if($K20="S1","a",if($K20="S2","b","")),Students!$A:$A,AS$2)+countifs(Students!$N:$N,$S20,Students!$O:$O,$S$2&amp;if($K20="S1","a",if($K20="S2","b","")),Students!$A:$A,AS$2)+countifs(Students!$P:$P,$S20,Students!$Q:$Q,$S$2&amp;if($K20="S1","a",if($K20="S2","b","")),Students!$A:$A,AS$2)+countifs(Students!$R:$R,$S20,Students!$S:$S,$S$2&amp;if($K20="S1","a",if($K20="S2","b","")),Students!$A:$A,AS$2)+countifs(Students!$T:$T,$S20,Students!$U:$U,$S$2&amp;if($K20="S1","a",if($K20="S2","b","")),Students!$A:$A,AS$2)+countifs(Students!$V:$V,$S20,Students!$W:$W,$S$2&amp;if($K20="S1","a",if($K20="S2","b","")),Students!$A:$A,AS$2)+
countifs(Students!$D:$D,$V20,Students!$E:$E,$V$2&amp;if($K20="S1","a",if($K20="S2","b","")),Students!$A:$A,AS$2)+countifs(Students!$F:$F,$V20,Students!$G:$G,$V$2&amp;if($K20="S1","a",if($K20="S2","b","")),Students!$A:$A,AS$2)+countifs(Students!$H:$H,$V20,Students!$I:$I,$V$2&amp;if($K20="S1","a",if($K20="S2","b","")),Students!$A:$A,AS$2)+countifs(Students!$J:$J,$V20,Students!$K:$K,$V$2&amp;if($K20="S1","a",if($K20="S2","b","")),Students!$A:$A,AS$2)+countifs(Students!$L:$L,$V20,Students!$M:$M,$V$2&amp;if($K20="S1","a",if($K20="S2","b","")),Students!$A:$A,AS$2)+countifs(Students!$N:$N,$V20,Students!$O:$O,$V$2&amp;if($K20="S1","a",if($K20="S2","b","")),Students!$A:$A,AS$2)+countifs(Students!$P:$P,$V20,Students!$Q:$Q,$V$2&amp;if($K20="S1","a",if($K20="S2","b","")),Students!$A:$A,AS$2)+countifs(Students!$R:$R,$V20,Students!$S:$S,$V$2&amp;if($K20="S1","a",if($K20="S2","b","")),Students!$A:$A,AS$2)+countifs(Students!$T:$T,$V20,Students!$U:$U,$V$2&amp;if($K20="S1","a",if($K20="S2","b","")),Students!$A:$A,AS$2)+countifs(Students!$V:$V,$V20,Students!$W:$W,$V$2&amp;if($K20="S1","a",if($K20="S2","b","")),Students!$A:$A,AS$2)+
countifs(Students!$D:$D,$Y20,Students!$E:$E,$Y$2&amp;if($K20="S1","a",if($K20="S2","b","")),Students!$A:$A,AS$2)+countifs(Students!$F:$F,$Y20,Students!$G:$G,$Y$2&amp;if($K20="S1","a",if($K20="S2","b","")),Students!$A:$A,AS$2)+countifs(Students!$H:$H,$Y20,Students!$I:$I,$Y$2&amp;if($K20="S1","a",if($K20="S2","b","")),Students!$A:$A,AS$2)+countifs(Students!$J:$J,$Y20,Students!$K:$K,$Y$2&amp;if($K20="S1","a",if($K20="S2","b","")),Students!$A:$A,AS$2)+countifs(Students!$L:$L,$Y20,Students!$M:$M,$Y$2&amp;if($K20="S1","a",if($K20="S2","b","")),Students!$A:$A,AS$2)+countifs(Students!$N:$N,$Y20,Students!$O:$O,$Y$2&amp;if($K20="S1","a",if($K20="S2","b","")),Students!$A:$A,AS$2)+countifs(Students!$P:$P,$Y20,Students!$Q:$Q,$Y$2&amp;if($K20="S1","a",if($K20="S2","b","")),Students!$A:$A,AS$2)+countifs(Students!$R:$R,$Y20,Students!$S:$S,$Y$2&amp;if($K20="S1","a",if($K20="S2","b","")),Students!$A:$A,AS$2)+countifs(Students!$T:$T,$Y20,Students!$U:$U,$Y$2&amp;if($K20="S1","a",if($K20="S2","b","")),Students!$A:$A,AS$2)+countifs(Students!$V:$V,$Y20,Students!$W:$W,$Y$2&amp;if($K20="S1","a",if($K20="S2","b","")),Students!$A:$A,AS$2)+
countifs(Students!$D:$D,$AB20,Students!$E:$E,$AB$2&amp;if($K20="S1","a",if($K20="S2","b","")),Students!$A:$A,AS$2)+countifs(Students!$F:$F,$AB20,Students!$G:$G,$AB$2&amp;if($K20="S1","a",if($K20="S2","b","")),Students!$A:$A,AS$2)+countifs(Students!$H:$H,$AB20,Students!$I:$I,$AB$2&amp;if($K20="S1","a",if($K20="S2","b","")),Students!$A:$A,AS$2)+countifs(Students!$J:$J,$AB20,Students!$K:$K,$AB$2&amp;if($K20="S1","a",if($K20="S2","b","")),Students!$A:$A,AS$2)+countifs(Students!$L:$L,$AB20,Students!$M:$M,$AB$2&amp;if($K20="S1","a",if($K20="S2","b","")),Students!$A:$A,AS$2)+countifs(Students!$N:$N,$AB20,Students!$O:$O,$AB$2&amp;if($K20="S1","a",if($K20="S2","b","")),Students!$A:$A,AS$2)+countifs(Students!$P:$P,$AB20,Students!$Q:$Q,$AB$2&amp;if($K20="S1","a",if($K20="S2","b","")),Students!$A:$A,AS$2)+countifs(Students!$R:$R,$AB20,Students!$S:$S,$AB$2&amp;if($K20="S1","a",if($K20="S2","b","")),Students!$A:$A,AS$2)+countifs(Students!$T:$T,$AB20,Students!$U:$U,$AB$2&amp;if($K20="S1","a",if($K20="S2","b","")),Students!$A:$A,AS$2)+countifs(Students!$V:$V,$AB20,Students!$W:$W,$AB$2&amp;if($K20="S1","a",if($K20="S2","b","")),Students!$A:$A,AS$2)+
countifs(Students!$D:$D,$AE20,Students!$E:$E,$AE$2&amp;if($K20="S1","a",if($K20="S2","b","")),Students!$A:$A,AS$2)+countifs(Students!$F:$F,$AE20,Students!$G:$G,$AE$2&amp;if($K20="S1","a",if($K20="S2","b","")),Students!$A:$A,AS$2)+countifs(Students!$H:$H,$AE20,Students!$I:$I,$AE$2&amp;if($K20="S1","a",if($K20="S2","b","")),Students!$A:$A,AS$2)+countifs(Students!$J:$J,$AE20,Students!$K:$K,$AE$2&amp;if($K20="S1","a",if($K20="S2","b","")),Students!$A:$A,AS$2)+countifs(Students!$L:$L,$AE20,Students!$M:$M,$AE$2&amp;if($K20="S1","a",if($K20="S2","b","")),Students!$A:$A,AS$2)+countifs(Students!$N:$N,$AE20,Students!$O:$O,$AE$2&amp;if($K20="S1","a",if($K20="S2","b","")),Students!$A:$A,AS$2)+countifs(Students!$P:$P,$AE20,Students!$Q:$Q,$AE$2&amp;if($K20="S1","a",if($K20="S2","b","")),Students!$A:$A,AS$2)+countifs(Students!$R:$R,$AE20,Students!$S:$S,$AE$2&amp;if($K20="S1","a",if($K20="S2","b","")),Students!$A:$A,AS$2)+countifs(Students!$T:$T,$AE20,Students!$U:$U,$AE$2&amp;if($K20="S1","a",if($K20="S2","b","")),Students!$A:$A,AS$2)+countifs(Students!$V:$V,$AE20,Students!$W:$W,$AE$2&amp;if($K20="S1","a",if($K20="S2","b","")),Students!$A:$A,AS$2)+
countifs(Students!$D:$D,$AH20,Students!$E:$E,$AH$2&amp;if($K20="S1","a",if($K20="S2","b","")),Students!$A:$A,AS$2)+countifs(Students!$F:$F,$AH20,Students!$G:$G,$AH$2&amp;if($K20="S1","a",if($K20="S2","b","")),Students!$A:$A,AS$2)+countifs(Students!$H:$H,$AH20,Students!$I:$I,$AH$2&amp;if($K20="S1","a",if($K20="S2","b","")),Students!$A:$A,AS$2)+countifs(Students!$J:$J,$AH20,Students!$K:$K,$AH$2&amp;if($K20="S1","a",if($K20="S2","b","")),Students!$A:$A,AS$2)+countifs(Students!$L:$L,$AH20,Students!$M:$M,$AH$2&amp;if($K20="S1","a",if($K20="S2","b","")),Students!$A:$A,AS$2)+countifs(Students!$N:$N,$AH20,Students!$O:$O,$AH$2&amp;if($K20="S1","a",if($K20="S2","b","")),Students!$A:$A,AS$2)+countifs(Students!$P:$P,$AH20,Students!$Q:$Q,$AH$2&amp;if($K20="S1","a",if($K20="S2","b","")),Students!$A:$A,AS$2)+countifs(Students!$R:$R,$AH20,Students!$S:$S,$AH$2&amp;if($K20="S1","a",if($K20="S2","b","")),Students!$A:$A,AS$2)+countifs(Students!$T:$T,$AH20,Students!$U:$U,$AH$2&amp;if($K20="S1","a",if($K20="S2","b","")),Students!$A:$A,AS$2)+countifs(Students!$V:$V,$AH20,Students!$W:$W,$AH$2&amp;if($K20="S1","a",if($K20="S2","b","")),Students!$A:$A,AS$2)+
countifs(Students!$D:$D,$AK20,Students!$E:$E,$AK$2&amp;if($K20="S1","a",if($K20="S2","b","")),Students!$A:$A,AS$2)+countifs(Students!$F:$F,$AK20,Students!$G:$G,$AK$2&amp;if($K20="S1","a",if($K20="S2","b","")),Students!$A:$A,AS$2)+countifs(Students!$H:$H,$AK20,Students!$I:$I,$AK$2&amp;if($K20="S1","a",if($K20="S2","b","")),Students!$A:$A,AS$2)+countifs(Students!$J:$J,$AK20,Students!$K:$K,$AK$2&amp;if($K20="S1","a",if($K20="S2","b","")),Students!$A:$A,AS$2)+countifs(Students!$L:$L,$AK20,Students!$M:$M,$AK$2&amp;if($K20="S1","a",if($K20="S2","b","")),Students!$A:$A,AS$2)+countifs(Students!$N:$N,$AK20,Students!$O:$O,$AK$2&amp;if($K20="S1","a",if($K20="S2","b","")),Students!$A:$A,AS$2)+countifs(Students!$P:$P,$AK20,Students!$Q:$Q,$AK$2&amp;if($K20="S1","a",if($K20="S2","b","")),Students!$A:$A,AS$2)+countifs(Students!$R:$R,$AK20,Students!$S:$S,$AK$2&amp;if($K20="S1","a",if($K20="S2","b","")),Students!$A:$A,AS$2)+countifs(Students!$T:$T,$AK20,Students!$U:$U,$AK$2&amp;if($K20="S1","a",if($K20="S2","b","")),Students!$A:$A,AS$2)+countifs(Students!$V:$V,$AK20,Students!$W:$W,$AK$2&amp;if($K20="S1","a",if($K20="S2","b","")),Students!$A:$A,AS$2))</f>
        <v>48</v>
      </c>
    </row>
    <row r="21">
      <c r="B21" s="116"/>
      <c r="C21" s="116"/>
      <c r="D21" s="116"/>
      <c r="E21" s="116"/>
      <c r="F21" s="116"/>
      <c r="G21" s="116"/>
      <c r="H21" s="116"/>
      <c r="I21" s="116"/>
      <c r="J21" s="87">
        <v>85.0</v>
      </c>
      <c r="K21" s="70"/>
      <c r="L21" s="58" t="s">
        <v>72</v>
      </c>
      <c r="M21" s="117"/>
      <c r="N21" s="87">
        <v>3.0</v>
      </c>
      <c r="O21" s="87">
        <f>IFERROR(__xludf.DUMMYFUNCTION("3*counta((transpose(filter(P21:AM21,P21:AM21&lt;&gt;"""",isnumber(P21:AM21)=false))))"),15.0)</f>
        <v>15</v>
      </c>
      <c r="P21" s="90"/>
      <c r="Q21" s="91"/>
      <c r="R21" s="92" t="s">
        <v>22</v>
      </c>
      <c r="S21" s="101" t="s">
        <v>69</v>
      </c>
      <c r="T21" s="101">
        <v>3.0</v>
      </c>
      <c r="U21" s="98">
        <v>23.0</v>
      </c>
      <c r="V21" s="101"/>
      <c r="W21" s="101"/>
      <c r="X21" s="98" t="s">
        <v>22</v>
      </c>
      <c r="Y21" s="91" t="s">
        <v>73</v>
      </c>
      <c r="Z21" s="101">
        <v>1.0</v>
      </c>
      <c r="AA21" s="98">
        <v>15.0</v>
      </c>
      <c r="AB21" s="101" t="s">
        <v>69</v>
      </c>
      <c r="AC21" s="101">
        <v>4.0</v>
      </c>
      <c r="AD21" s="98">
        <v>18.0</v>
      </c>
      <c r="AE21" s="91" t="s">
        <v>73</v>
      </c>
      <c r="AF21" s="91">
        <v>2.0</v>
      </c>
      <c r="AG21" s="92">
        <v>14.0</v>
      </c>
      <c r="AH21" s="101" t="s">
        <v>74</v>
      </c>
      <c r="AI21" s="97">
        <v>1.0</v>
      </c>
      <c r="AJ21" s="98">
        <v>15.0</v>
      </c>
      <c r="AK21" s="94"/>
      <c r="AL21" s="115"/>
      <c r="AM21" s="95" t="s">
        <v>22</v>
      </c>
      <c r="AN21" s="99"/>
      <c r="AO21" s="52">
        <f t="shared" si="2"/>
        <v>85</v>
      </c>
      <c r="AP21" s="102">
        <f>if($L21="","",countifs(Students!$D:$D,$P21,Students!$E:$E,$P$2&amp;if($K21="S1","a",if($K21="S2","b","")),Students!$A:$A,AP$2)+countifs(Students!$F:$F,$P21,Students!$G:$G,$P$2&amp;if($K21="S1","a",if($K21="S2","b","")),Students!$A:$A,AP$2)+countifs(Students!$H:$H,$P21,Students!$I:$I,$P$2&amp;if($K21="S1","a",if($K21="S2","b","")),Students!$A:$A,AP$2)+countifs(Students!$J:$J,$P21,Students!$K:$K,$P$2&amp;if($K21="S1","a",if($K21="S2","b","")),Students!$A:$A,AP$2)+countifs(Students!$L:$L,$P21,Students!$M:$M,$P$2&amp;if($K21="S1","a",if($K21="S2","b","")),Students!$A:$A,AP$2)+countifs(Students!$N:$N,$P21,Students!$O:$O,$P$2&amp;if($K21="S1","a",if($K21="S2","b","")),Students!$A:$A,AP$2)+countifs(Students!$P:$P,$P21,Students!$Q:$Q,$P$2&amp;if($K21="S1","a",if($K21="S2","b","")),Students!$A:$A,AP$2)+countifs(Students!$R:$R,$P21,Students!$S:$S,$P$2&amp;if($K21="S1","a",if($K21="S2","b","")),Students!$A:$A,AP$2)+countifs(Students!$T:$T,$P21,Students!$U:$U,$P$2&amp;if($K21="S1","a",if($K21="S2","b","")),Students!$A:$A,AP$2)+countifs(Students!$V:$V,$P21,Students!$W:$W,$P$2&amp;if($K21="S1","a",if($K21="S2","b","")),Students!$A:$A,AP$2)+
countifs(Students!$D:$D,$S21,Students!$E:$E,$S$2&amp;if($K21="S1","a",if($K21="S2","b","")),Students!$A:$A,AP$2)+countifs(Students!$F:$F,$S21,Students!$G:$G,$S$2&amp;if($K21="S1","a",if($K21="S2","b","")),Students!$A:$A,AP$2)+countifs(Students!$H:$H,$S21,Students!$I:$I,$S$2&amp;if($K21="S1","a",if($K21="S2","b","")),Students!$A:$A,AP$2)+countifs(Students!$J:$J,$S21,Students!$K:$K,$S$2&amp;if($K21="S1","a",if($K21="S2","b","")),Students!$A:$A,AP$2)+countifs(Students!$L:$L,$S21,Students!$M:$M,$S$2&amp;if($K21="S1","a",if($K21="S2","b","")),Students!$A:$A,AP$2)+countifs(Students!$N:$N,$S21,Students!$O:$O,$S$2&amp;if($K21="S1","a",if($K21="S2","b","")),Students!$A:$A,AP$2)+countifs(Students!$P:$P,$S21,Students!$Q:$Q,$S$2&amp;if($K21="S1","a",if($K21="S2","b","")),Students!$A:$A,AP$2)+countifs(Students!$R:$R,$S21,Students!$S:$S,$S$2&amp;if($K21="S1","a",if($K21="S2","b","")),Students!$A:$A,AP$2)+countifs(Students!$T:$T,$S21,Students!$U:$U,$S$2&amp;if($K21="S1","a",if($K21="S2","b","")),Students!$A:$A,AP$2)+countifs(Students!$V:$V,$S21,Students!$W:$W,$S$2&amp;if($K21="S1","a",if($K21="S2","b","")),Students!$A:$A,AP$2)+
countifs(Students!$D:$D,$V21,Students!$E:$E,$V$2&amp;if($K21="S1","a",if($K21="S2","b","")),Students!$A:$A,AP$2)+countifs(Students!$F:$F,$V21,Students!$G:$G,$V$2&amp;if($K21="S1","a",if($K21="S2","b","")),Students!$A:$A,AP$2)+countifs(Students!$H:$H,$V21,Students!$I:$I,$V$2&amp;if($K21="S1","a",if($K21="S2","b","")),Students!$A:$A,AP$2)+countifs(Students!$J:$J,$V21,Students!$K:$K,$V$2&amp;if($K21="S1","a",if($K21="S2","b","")),Students!$A:$A,AP$2)+countifs(Students!$L:$L,$V21,Students!$M:$M,$V$2&amp;if($K21="S1","a",if($K21="S2","b","")),Students!$A:$A,AP$2)+countifs(Students!$N:$N,$V21,Students!$O:$O,$V$2&amp;if($K21="S1","a",if($K21="S2","b","")),Students!$A:$A,AP$2)+countifs(Students!$P:$P,$V21,Students!$Q:$Q,$V$2&amp;if($K21="S1","a",if($K21="S2","b","")),Students!$A:$A,AP$2)+countifs(Students!$R:$R,$V21,Students!$S:$S,$V$2&amp;if($K21="S1","a",if($K21="S2","b","")),Students!$A:$A,AP$2)+countifs(Students!$T:$T,$V21,Students!$U:$U,$V$2&amp;if($K21="S1","a",if($K21="S2","b","")),Students!$A:$A,AP$2)+countifs(Students!$V:$V,$V21,Students!$W:$W,$V$2&amp;if($K21="S1","a",if($K21="S2","b","")),Students!$A:$A,AP$2)+
countifs(Students!$D:$D,$Y21,Students!$E:$E,$Y$2&amp;if($K21="S1","a",if($K21="S2","b","")),Students!$A:$A,AP$2)+countifs(Students!$F:$F,$Y21,Students!$G:$G,$Y$2&amp;if($K21="S1","a",if($K21="S2","b","")),Students!$A:$A,AP$2)+countifs(Students!$H:$H,$Y21,Students!$I:$I,$Y$2&amp;if($K21="S1","a",if($K21="S2","b","")),Students!$A:$A,AP$2)+countifs(Students!$J:$J,$Y21,Students!$K:$K,$Y$2&amp;if($K21="S1","a",if($K21="S2","b","")),Students!$A:$A,AP$2)+countifs(Students!$L:$L,$Y21,Students!$M:$M,$Y$2&amp;if($K21="S1","a",if($K21="S2","b","")),Students!$A:$A,AP$2)+countifs(Students!$N:$N,$Y21,Students!$O:$O,$Y$2&amp;if($K21="S1","a",if($K21="S2","b","")),Students!$A:$A,AP$2)+countifs(Students!$P:$P,$Y21,Students!$Q:$Q,$Y$2&amp;if($K21="S1","a",if($K21="S2","b","")),Students!$A:$A,AP$2)+countifs(Students!$R:$R,$Y21,Students!$S:$S,$Y$2&amp;if($K21="S1","a",if($K21="S2","b","")),Students!$A:$A,AP$2)+countifs(Students!$T:$T,$Y21,Students!$U:$U,$Y$2&amp;if($K21="S1","a",if($K21="S2","b","")),Students!$A:$A,AP$2)+countifs(Students!$V:$V,$Y21,Students!$W:$W,$Y$2&amp;if($K21="S1","a",if($K21="S2","b","")),Students!$A:$A,AP$2)+
countifs(Students!$D:$D,$AB21,Students!$E:$E,$AB$2&amp;if($K21="S1","a",if($K21="S2","b","")),Students!$A:$A,AP$2)+countifs(Students!$F:$F,$AB21,Students!$G:$G,$AB$2&amp;if($K21="S1","a",if($K21="S2","b","")),Students!$A:$A,AP$2)+countifs(Students!$H:$H,$AB21,Students!$I:$I,$AB$2&amp;if($K21="S1","a",if($K21="S2","b","")),Students!$A:$A,AP$2)+countifs(Students!$J:$J,$AB21,Students!$K:$K,$AB$2&amp;if($K21="S1","a",if($K21="S2","b","")),Students!$A:$A,AP$2)+countifs(Students!$L:$L,$AB21,Students!$M:$M,$AB$2&amp;if($K21="S1","a",if($K21="S2","b","")),Students!$A:$A,AP$2)+countifs(Students!$N:$N,$AB21,Students!$O:$O,$AB$2&amp;if($K21="S1","a",if($K21="S2","b","")),Students!$A:$A,AP$2)+countifs(Students!$P:$P,$AB21,Students!$Q:$Q,$AB$2&amp;if($K21="S1","a",if($K21="S2","b","")),Students!$A:$A,AP$2)+countifs(Students!$R:$R,$AB21,Students!$S:$S,$AB$2&amp;if($K21="S1","a",if($K21="S2","b","")),Students!$A:$A,AP$2)+countifs(Students!$T:$T,$AB21,Students!$U:$U,$AB$2&amp;if($K21="S1","a",if($K21="S2","b","")),Students!$A:$A,AP$2)+countifs(Students!$V:$V,$AB21,Students!$W:$W,$AB$2&amp;if($K21="S1","a",if($K21="S2","b","")),Students!$A:$A,AP$2)+
countifs(Students!$D:$D,$AE21,Students!$E:$E,$AE$2&amp;if($K21="S1","a",if($K21="S2","b","")),Students!$A:$A,AP$2)+countifs(Students!$F:$F,$AE21,Students!$G:$G,$AE$2&amp;if($K21="S1","a",if($K21="S2","b","")),Students!$A:$A,AP$2)+countifs(Students!$H:$H,$AE21,Students!$I:$I,$AE$2&amp;if($K21="S1","a",if($K21="S2","b","")),Students!$A:$A,AP$2)+countifs(Students!$J:$J,$AE21,Students!$K:$K,$AE$2&amp;if($K21="S1","a",if($K21="S2","b","")),Students!$A:$A,AP$2)+countifs(Students!$L:$L,$AE21,Students!$M:$M,$AE$2&amp;if($K21="S1","a",if($K21="S2","b","")),Students!$A:$A,AP$2)+countifs(Students!$N:$N,$AE21,Students!$O:$O,$AE$2&amp;if($K21="S1","a",if($K21="S2","b","")),Students!$A:$A,AP$2)+countifs(Students!$P:$P,$AE21,Students!$Q:$Q,$AE$2&amp;if($K21="S1","a",if($K21="S2","b","")),Students!$A:$A,AP$2)+countifs(Students!$R:$R,$AE21,Students!$S:$S,$AE$2&amp;if($K21="S1","a",if($K21="S2","b","")),Students!$A:$A,AP$2)+countifs(Students!$T:$T,$AE21,Students!$U:$U,$AE$2&amp;if($K21="S1","a",if($K21="S2","b","")),Students!$A:$A,AP$2)+countifs(Students!$V:$V,$AE21,Students!$W:$W,$AE$2&amp;if($K21="S1","a",if($K21="S2","b","")),Students!$A:$A,AP$2)+
countifs(Students!$D:$D,$AH21,Students!$E:$E,$AH$2&amp;if($K21="S1","a",if($K21="S2","b","")),Students!$A:$A,AP$2)+countifs(Students!$F:$F,$AH21,Students!$G:$G,$AH$2&amp;if($K21="S1","a",if($K21="S2","b","")),Students!$A:$A,AP$2)+countifs(Students!$H:$H,$AH21,Students!$I:$I,$AH$2&amp;if($K21="S1","a",if($K21="S2","b","")),Students!$A:$A,AP$2)+countifs(Students!$J:$J,$AH21,Students!$K:$K,$AH$2&amp;if($K21="S1","a",if($K21="S2","b","")),Students!$A:$A,AP$2)+countifs(Students!$L:$L,$AH21,Students!$M:$M,$AH$2&amp;if($K21="S1","a",if($K21="S2","b","")),Students!$A:$A,AP$2)+countifs(Students!$N:$N,$AH21,Students!$O:$O,$AH$2&amp;if($K21="S1","a",if($K21="S2","b","")),Students!$A:$A,AP$2)+countifs(Students!$P:$P,$AH21,Students!$Q:$Q,$AH$2&amp;if($K21="S1","a",if($K21="S2","b","")),Students!$A:$A,AP$2)+countifs(Students!$R:$R,$AH21,Students!$S:$S,$AH$2&amp;if($K21="S1","a",if($K21="S2","b","")),Students!$A:$A,AP$2)+countifs(Students!$T:$T,$AH21,Students!$U:$U,$AH$2&amp;if($K21="S1","a",if($K21="S2","b","")),Students!$A:$A,AP$2)+countifs(Students!$V:$V,$AH21,Students!$W:$W,$AH$2&amp;if($K21="S1","a",if($K21="S2","b","")),Students!$A:$A,AP$2)+
countifs(Students!$D:$D,$AK21,Students!$E:$E,$AK$2&amp;if($K21="S1","a",if($K21="S2","b","")),Students!$A:$A,AP$2)+countifs(Students!$F:$F,$AK21,Students!$G:$G,$AK$2&amp;if($K21="S1","a",if($K21="S2","b","")),Students!$A:$A,AP$2)+countifs(Students!$H:$H,$AK21,Students!$I:$I,$AK$2&amp;if($K21="S1","a",if($K21="S2","b","")),Students!$A:$A,AP$2)+countifs(Students!$J:$J,$AK21,Students!$K:$K,$AK$2&amp;if($K21="S1","a",if($K21="S2","b","")),Students!$A:$A,AP$2)+countifs(Students!$L:$L,$AK21,Students!$M:$M,$AK$2&amp;if($K21="S1","a",if($K21="S2","b","")),Students!$A:$A,AP$2)+countifs(Students!$N:$N,$AK21,Students!$O:$O,$AK$2&amp;if($K21="S1","a",if($K21="S2","b","")),Students!$A:$A,AP$2)+countifs(Students!$P:$P,$AK21,Students!$Q:$Q,$AK$2&amp;if($K21="S1","a",if($K21="S2","b","")),Students!$A:$A,AP$2)+countifs(Students!$R:$R,$AK21,Students!$S:$S,$AK$2&amp;if($K21="S1","a",if($K21="S2","b","")),Students!$A:$A,AP$2)+countifs(Students!$T:$T,$AK21,Students!$U:$U,$AK$2&amp;if($K21="S1","a",if($K21="S2","b","")),Students!$A:$A,AP$2)+countifs(Students!$V:$V,$AK21,Students!$W:$W,$AK$2&amp;if($K21="S1","a",if($K21="S2","b","")),Students!$A:$A,AP$2))</f>
        <v>29</v>
      </c>
      <c r="AQ21" s="102">
        <f>if($L21="","",countifs(Students!$D:$D,$P21,Students!$E:$E,$P$2&amp;if($K21="S1","a",if($K21="S2","b","")),Students!$A:$A,AQ$2)+countifs(Students!$F:$F,$P21,Students!$G:$G,$P$2&amp;if($K21="S1","a",if($K21="S2","b","")),Students!$A:$A,AQ$2)+countifs(Students!$H:$H,$P21,Students!$I:$I,$P$2&amp;if($K21="S1","a",if($K21="S2","b","")),Students!$A:$A,AQ$2)+countifs(Students!$J:$J,$P21,Students!$K:$K,$P$2&amp;if($K21="S1","a",if($K21="S2","b","")),Students!$A:$A,AQ$2)+countifs(Students!$L:$L,$P21,Students!$M:$M,$P$2&amp;if($K21="S1","a",if($K21="S2","b","")),Students!$A:$A,AQ$2)+countifs(Students!$N:$N,$P21,Students!$O:$O,$P$2&amp;if($K21="S1","a",if($K21="S2","b","")),Students!$A:$A,AQ$2)+countifs(Students!$P:$P,$P21,Students!$Q:$Q,$P$2&amp;if($K21="S1","a",if($K21="S2","b","")),Students!$A:$A,AQ$2)+countifs(Students!$R:$R,$P21,Students!$S:$S,$P$2&amp;if($K21="S1","a",if($K21="S2","b","")),Students!$A:$A,AQ$2)+countifs(Students!$T:$T,$P21,Students!$U:$U,$P$2&amp;if($K21="S1","a",if($K21="S2","b","")),Students!$A:$A,AQ$2)+countifs(Students!$V:$V,$P21,Students!$W:$W,$P$2&amp;if($K21="S1","a",if($K21="S2","b","")),Students!$A:$A,AQ$2)+
countifs(Students!$D:$D,$S21,Students!$E:$E,$S$2&amp;if($K21="S1","a",if($K21="S2","b","")),Students!$A:$A,AQ$2)+countifs(Students!$F:$F,$S21,Students!$G:$G,$S$2&amp;if($K21="S1","a",if($K21="S2","b","")),Students!$A:$A,AQ$2)+countifs(Students!$H:$H,$S21,Students!$I:$I,$S$2&amp;if($K21="S1","a",if($K21="S2","b","")),Students!$A:$A,AQ$2)+countifs(Students!$J:$J,$S21,Students!$K:$K,$S$2&amp;if($K21="S1","a",if($K21="S2","b","")),Students!$A:$A,AQ$2)+countifs(Students!$L:$L,$S21,Students!$M:$M,$S$2&amp;if($K21="S1","a",if($K21="S2","b","")),Students!$A:$A,AQ$2)+countifs(Students!$N:$N,$S21,Students!$O:$O,$S$2&amp;if($K21="S1","a",if($K21="S2","b","")),Students!$A:$A,AQ$2)+countifs(Students!$P:$P,$S21,Students!$Q:$Q,$S$2&amp;if($K21="S1","a",if($K21="S2","b","")),Students!$A:$A,AQ$2)+countifs(Students!$R:$R,$S21,Students!$S:$S,$S$2&amp;if($K21="S1","a",if($K21="S2","b","")),Students!$A:$A,AQ$2)+countifs(Students!$T:$T,$S21,Students!$U:$U,$S$2&amp;if($K21="S1","a",if($K21="S2","b","")),Students!$A:$A,AQ$2)+countifs(Students!$V:$V,$S21,Students!$W:$W,$S$2&amp;if($K21="S1","a",if($K21="S2","b","")),Students!$A:$A,AQ$2)+
countifs(Students!$D:$D,$V21,Students!$E:$E,$V$2&amp;if($K21="S1","a",if($K21="S2","b","")),Students!$A:$A,AQ$2)+countifs(Students!$F:$F,$V21,Students!$G:$G,$V$2&amp;if($K21="S1","a",if($K21="S2","b","")),Students!$A:$A,AQ$2)+countifs(Students!$H:$H,$V21,Students!$I:$I,$V$2&amp;if($K21="S1","a",if($K21="S2","b","")),Students!$A:$A,AQ$2)+countifs(Students!$J:$J,$V21,Students!$K:$K,$V$2&amp;if($K21="S1","a",if($K21="S2","b","")),Students!$A:$A,AQ$2)+countifs(Students!$L:$L,$V21,Students!$M:$M,$V$2&amp;if($K21="S1","a",if($K21="S2","b","")),Students!$A:$A,AQ$2)+countifs(Students!$N:$N,$V21,Students!$O:$O,$V$2&amp;if($K21="S1","a",if($K21="S2","b","")),Students!$A:$A,AQ$2)+countifs(Students!$P:$P,$V21,Students!$Q:$Q,$V$2&amp;if($K21="S1","a",if($K21="S2","b","")),Students!$A:$A,AQ$2)+countifs(Students!$R:$R,$V21,Students!$S:$S,$V$2&amp;if($K21="S1","a",if($K21="S2","b","")),Students!$A:$A,AQ$2)+countifs(Students!$T:$T,$V21,Students!$U:$U,$V$2&amp;if($K21="S1","a",if($K21="S2","b","")),Students!$A:$A,AQ$2)+countifs(Students!$V:$V,$V21,Students!$W:$W,$V$2&amp;if($K21="S1","a",if($K21="S2","b","")),Students!$A:$A,AQ$2)+
countifs(Students!$D:$D,$Y21,Students!$E:$E,$Y$2&amp;if($K21="S1","a",if($K21="S2","b","")),Students!$A:$A,AQ$2)+countifs(Students!$F:$F,$Y21,Students!$G:$G,$Y$2&amp;if($K21="S1","a",if($K21="S2","b","")),Students!$A:$A,AQ$2)+countifs(Students!$H:$H,$Y21,Students!$I:$I,$Y$2&amp;if($K21="S1","a",if($K21="S2","b","")),Students!$A:$A,AQ$2)+countifs(Students!$J:$J,$Y21,Students!$K:$K,$Y$2&amp;if($K21="S1","a",if($K21="S2","b","")),Students!$A:$A,AQ$2)+countifs(Students!$L:$L,$Y21,Students!$M:$M,$Y$2&amp;if($K21="S1","a",if($K21="S2","b","")),Students!$A:$A,AQ$2)+countifs(Students!$N:$N,$Y21,Students!$O:$O,$Y$2&amp;if($K21="S1","a",if($K21="S2","b","")),Students!$A:$A,AQ$2)+countifs(Students!$P:$P,$Y21,Students!$Q:$Q,$Y$2&amp;if($K21="S1","a",if($K21="S2","b","")),Students!$A:$A,AQ$2)+countifs(Students!$R:$R,$Y21,Students!$S:$S,$Y$2&amp;if($K21="S1","a",if($K21="S2","b","")),Students!$A:$A,AQ$2)+countifs(Students!$T:$T,$Y21,Students!$U:$U,$Y$2&amp;if($K21="S1","a",if($K21="S2","b","")),Students!$A:$A,AQ$2)+countifs(Students!$V:$V,$Y21,Students!$W:$W,$Y$2&amp;if($K21="S1","a",if($K21="S2","b","")),Students!$A:$A,AQ$2)+
countifs(Students!$D:$D,$AB21,Students!$E:$E,$AB$2&amp;if($K21="S1","a",if($K21="S2","b","")),Students!$A:$A,AQ$2)+countifs(Students!$F:$F,$AB21,Students!$G:$G,$AB$2&amp;if($K21="S1","a",if($K21="S2","b","")),Students!$A:$A,AQ$2)+countifs(Students!$H:$H,$AB21,Students!$I:$I,$AB$2&amp;if($K21="S1","a",if($K21="S2","b","")),Students!$A:$A,AQ$2)+countifs(Students!$J:$J,$AB21,Students!$K:$K,$AB$2&amp;if($K21="S1","a",if($K21="S2","b","")),Students!$A:$A,AQ$2)+countifs(Students!$L:$L,$AB21,Students!$M:$M,$AB$2&amp;if($K21="S1","a",if($K21="S2","b","")),Students!$A:$A,AQ$2)+countifs(Students!$N:$N,$AB21,Students!$O:$O,$AB$2&amp;if($K21="S1","a",if($K21="S2","b","")),Students!$A:$A,AQ$2)+countifs(Students!$P:$P,$AB21,Students!$Q:$Q,$AB$2&amp;if($K21="S1","a",if($K21="S2","b","")),Students!$A:$A,AQ$2)+countifs(Students!$R:$R,$AB21,Students!$S:$S,$AB$2&amp;if($K21="S1","a",if($K21="S2","b","")),Students!$A:$A,AQ$2)+countifs(Students!$T:$T,$AB21,Students!$U:$U,$AB$2&amp;if($K21="S1","a",if($K21="S2","b","")),Students!$A:$A,AQ$2)+countifs(Students!$V:$V,$AB21,Students!$W:$W,$AB$2&amp;if($K21="S1","a",if($K21="S2","b","")),Students!$A:$A,AQ$2)+
countifs(Students!$D:$D,$AE21,Students!$E:$E,$AE$2&amp;if($K21="S1","a",if($K21="S2","b","")),Students!$A:$A,AQ$2)+countifs(Students!$F:$F,$AE21,Students!$G:$G,$AE$2&amp;if($K21="S1","a",if($K21="S2","b","")),Students!$A:$A,AQ$2)+countifs(Students!$H:$H,$AE21,Students!$I:$I,$AE$2&amp;if($K21="S1","a",if($K21="S2","b","")),Students!$A:$A,AQ$2)+countifs(Students!$J:$J,$AE21,Students!$K:$K,$AE$2&amp;if($K21="S1","a",if($K21="S2","b","")),Students!$A:$A,AQ$2)+countifs(Students!$L:$L,$AE21,Students!$M:$M,$AE$2&amp;if($K21="S1","a",if($K21="S2","b","")),Students!$A:$A,AQ$2)+countifs(Students!$N:$N,$AE21,Students!$O:$O,$AE$2&amp;if($K21="S1","a",if($K21="S2","b","")),Students!$A:$A,AQ$2)+countifs(Students!$P:$P,$AE21,Students!$Q:$Q,$AE$2&amp;if($K21="S1","a",if($K21="S2","b","")),Students!$A:$A,AQ$2)+countifs(Students!$R:$R,$AE21,Students!$S:$S,$AE$2&amp;if($K21="S1","a",if($K21="S2","b","")),Students!$A:$A,AQ$2)+countifs(Students!$T:$T,$AE21,Students!$U:$U,$AE$2&amp;if($K21="S1","a",if($K21="S2","b","")),Students!$A:$A,AQ$2)+countifs(Students!$V:$V,$AE21,Students!$W:$W,$AE$2&amp;if($K21="S1","a",if($K21="S2","b","")),Students!$A:$A,AQ$2)+
countifs(Students!$D:$D,$AH21,Students!$E:$E,$AH$2&amp;if($K21="S1","a",if($K21="S2","b","")),Students!$A:$A,AQ$2)+countifs(Students!$F:$F,$AH21,Students!$G:$G,$AH$2&amp;if($K21="S1","a",if($K21="S2","b","")),Students!$A:$A,AQ$2)+countifs(Students!$H:$H,$AH21,Students!$I:$I,$AH$2&amp;if($K21="S1","a",if($K21="S2","b","")),Students!$A:$A,AQ$2)+countifs(Students!$J:$J,$AH21,Students!$K:$K,$AH$2&amp;if($K21="S1","a",if($K21="S2","b","")),Students!$A:$A,AQ$2)+countifs(Students!$L:$L,$AH21,Students!$M:$M,$AH$2&amp;if($K21="S1","a",if($K21="S2","b","")),Students!$A:$A,AQ$2)+countifs(Students!$N:$N,$AH21,Students!$O:$O,$AH$2&amp;if($K21="S1","a",if($K21="S2","b","")),Students!$A:$A,AQ$2)+countifs(Students!$P:$P,$AH21,Students!$Q:$Q,$AH$2&amp;if($K21="S1","a",if($K21="S2","b","")),Students!$A:$A,AQ$2)+countifs(Students!$R:$R,$AH21,Students!$S:$S,$AH$2&amp;if($K21="S1","a",if($K21="S2","b","")),Students!$A:$A,AQ$2)+countifs(Students!$T:$T,$AH21,Students!$U:$U,$AH$2&amp;if($K21="S1","a",if($K21="S2","b","")),Students!$A:$A,AQ$2)+countifs(Students!$V:$V,$AH21,Students!$W:$W,$AH$2&amp;if($K21="S1","a",if($K21="S2","b","")),Students!$A:$A,AQ$2)+
countifs(Students!$D:$D,$AK21,Students!$E:$E,$AK$2&amp;if($K21="S1","a",if($K21="S2","b","")),Students!$A:$A,AQ$2)+countifs(Students!$F:$F,$AK21,Students!$G:$G,$AK$2&amp;if($K21="S1","a",if($K21="S2","b","")),Students!$A:$A,AQ$2)+countifs(Students!$H:$H,$AK21,Students!$I:$I,$AK$2&amp;if($K21="S1","a",if($K21="S2","b","")),Students!$A:$A,AQ$2)+countifs(Students!$J:$J,$AK21,Students!$K:$K,$AK$2&amp;if($K21="S1","a",if($K21="S2","b","")),Students!$A:$A,AQ$2)+countifs(Students!$L:$L,$AK21,Students!$M:$M,$AK$2&amp;if($K21="S1","a",if($K21="S2","b","")),Students!$A:$A,AQ$2)+countifs(Students!$N:$N,$AK21,Students!$O:$O,$AK$2&amp;if($K21="S1","a",if($K21="S2","b","")),Students!$A:$A,AQ$2)+countifs(Students!$P:$P,$AK21,Students!$Q:$Q,$AK$2&amp;if($K21="S1","a",if($K21="S2","b","")),Students!$A:$A,AQ$2)+countifs(Students!$R:$R,$AK21,Students!$S:$S,$AK$2&amp;if($K21="S1","a",if($K21="S2","b","")),Students!$A:$A,AQ$2)+countifs(Students!$T:$T,$AK21,Students!$U:$U,$AK$2&amp;if($K21="S1","a",if($K21="S2","b","")),Students!$A:$A,AQ$2)+countifs(Students!$V:$V,$AK21,Students!$W:$W,$AK$2&amp;if($K21="S1","a",if($K21="S2","b","")),Students!$A:$A,AQ$2))</f>
        <v>0</v>
      </c>
      <c r="AR21" s="102">
        <f>if($L21="","",countifs(Students!$D:$D,$P21,Students!$E:$E,$P$2&amp;if($K21="S1","a",if($K21="S2","b","")),Students!$A:$A,AR$2)+countifs(Students!$F:$F,$P21,Students!$G:$G,$P$2&amp;if($K21="S1","a",if($K21="S2","b","")),Students!$A:$A,AR$2)+countifs(Students!$H:$H,$P21,Students!$I:$I,$P$2&amp;if($K21="S1","a",if($K21="S2","b","")),Students!$A:$A,AR$2)+countifs(Students!$J:$J,$P21,Students!$K:$K,$P$2&amp;if($K21="S1","a",if($K21="S2","b","")),Students!$A:$A,AR$2)+countifs(Students!$L:$L,$P21,Students!$M:$M,$P$2&amp;if($K21="S1","a",if($K21="S2","b","")),Students!$A:$A,AR$2)+countifs(Students!$N:$N,$P21,Students!$O:$O,$P$2&amp;if($K21="S1","a",if($K21="S2","b","")),Students!$A:$A,AR$2)+countifs(Students!$P:$P,$P21,Students!$Q:$Q,$P$2&amp;if($K21="S1","a",if($K21="S2","b","")),Students!$A:$A,AR$2)+countifs(Students!$R:$R,$P21,Students!$S:$S,$P$2&amp;if($K21="S1","a",if($K21="S2","b","")),Students!$A:$A,AR$2)+countifs(Students!$T:$T,$P21,Students!$U:$U,$P$2&amp;if($K21="S1","a",if($K21="S2","b","")),Students!$A:$A,AR$2)+countifs(Students!$V:$V,$P21,Students!$W:$W,$P$2&amp;if($K21="S1","a",if($K21="S2","b","")),Students!$A:$A,AR$2)+
countifs(Students!$D:$D,$S21,Students!$E:$E,$S$2&amp;if($K21="S1","a",if($K21="S2","b","")),Students!$A:$A,AR$2)+countifs(Students!$F:$F,$S21,Students!$G:$G,$S$2&amp;if($K21="S1","a",if($K21="S2","b","")),Students!$A:$A,AR$2)+countifs(Students!$H:$H,$S21,Students!$I:$I,$S$2&amp;if($K21="S1","a",if($K21="S2","b","")),Students!$A:$A,AR$2)+countifs(Students!$J:$J,$S21,Students!$K:$K,$S$2&amp;if($K21="S1","a",if($K21="S2","b","")),Students!$A:$A,AR$2)+countifs(Students!$L:$L,$S21,Students!$M:$M,$S$2&amp;if($K21="S1","a",if($K21="S2","b","")),Students!$A:$A,AR$2)+countifs(Students!$N:$N,$S21,Students!$O:$O,$S$2&amp;if($K21="S1","a",if($K21="S2","b","")),Students!$A:$A,AR$2)+countifs(Students!$P:$P,$S21,Students!$Q:$Q,$S$2&amp;if($K21="S1","a",if($K21="S2","b","")),Students!$A:$A,AR$2)+countifs(Students!$R:$R,$S21,Students!$S:$S,$S$2&amp;if($K21="S1","a",if($K21="S2","b","")),Students!$A:$A,AR$2)+countifs(Students!$T:$T,$S21,Students!$U:$U,$S$2&amp;if($K21="S1","a",if($K21="S2","b","")),Students!$A:$A,AR$2)+countifs(Students!$V:$V,$S21,Students!$W:$W,$S$2&amp;if($K21="S1","a",if($K21="S2","b","")),Students!$A:$A,AR$2)+
countifs(Students!$D:$D,$V21,Students!$E:$E,$V$2&amp;if($K21="S1","a",if($K21="S2","b","")),Students!$A:$A,AR$2)+countifs(Students!$F:$F,$V21,Students!$G:$G,$V$2&amp;if($K21="S1","a",if($K21="S2","b","")),Students!$A:$A,AR$2)+countifs(Students!$H:$H,$V21,Students!$I:$I,$V$2&amp;if($K21="S1","a",if($K21="S2","b","")),Students!$A:$A,AR$2)+countifs(Students!$J:$J,$V21,Students!$K:$K,$V$2&amp;if($K21="S1","a",if($K21="S2","b","")),Students!$A:$A,AR$2)+countifs(Students!$L:$L,$V21,Students!$M:$M,$V$2&amp;if($K21="S1","a",if($K21="S2","b","")),Students!$A:$A,AR$2)+countifs(Students!$N:$N,$V21,Students!$O:$O,$V$2&amp;if($K21="S1","a",if($K21="S2","b","")),Students!$A:$A,AR$2)+countifs(Students!$P:$P,$V21,Students!$Q:$Q,$V$2&amp;if($K21="S1","a",if($K21="S2","b","")),Students!$A:$A,AR$2)+countifs(Students!$R:$R,$V21,Students!$S:$S,$V$2&amp;if($K21="S1","a",if($K21="S2","b","")),Students!$A:$A,AR$2)+countifs(Students!$T:$T,$V21,Students!$U:$U,$V$2&amp;if($K21="S1","a",if($K21="S2","b","")),Students!$A:$A,AR$2)+countifs(Students!$V:$V,$V21,Students!$W:$W,$V$2&amp;if($K21="S1","a",if($K21="S2","b","")),Students!$A:$A,AR$2)+
countifs(Students!$D:$D,$Y21,Students!$E:$E,$Y$2&amp;if($K21="S1","a",if($K21="S2","b","")),Students!$A:$A,AR$2)+countifs(Students!$F:$F,$Y21,Students!$G:$G,$Y$2&amp;if($K21="S1","a",if($K21="S2","b","")),Students!$A:$A,AR$2)+countifs(Students!$H:$H,$Y21,Students!$I:$I,$Y$2&amp;if($K21="S1","a",if($K21="S2","b","")),Students!$A:$A,AR$2)+countifs(Students!$J:$J,$Y21,Students!$K:$K,$Y$2&amp;if($K21="S1","a",if($K21="S2","b","")),Students!$A:$A,AR$2)+countifs(Students!$L:$L,$Y21,Students!$M:$M,$Y$2&amp;if($K21="S1","a",if($K21="S2","b","")),Students!$A:$A,AR$2)+countifs(Students!$N:$N,$Y21,Students!$O:$O,$Y$2&amp;if($K21="S1","a",if($K21="S2","b","")),Students!$A:$A,AR$2)+countifs(Students!$P:$P,$Y21,Students!$Q:$Q,$Y$2&amp;if($K21="S1","a",if($K21="S2","b","")),Students!$A:$A,AR$2)+countifs(Students!$R:$R,$Y21,Students!$S:$S,$Y$2&amp;if($K21="S1","a",if($K21="S2","b","")),Students!$A:$A,AR$2)+countifs(Students!$T:$T,$Y21,Students!$U:$U,$Y$2&amp;if($K21="S1","a",if($K21="S2","b","")),Students!$A:$A,AR$2)+countifs(Students!$V:$V,$Y21,Students!$W:$W,$Y$2&amp;if($K21="S1","a",if($K21="S2","b","")),Students!$A:$A,AR$2)+
countifs(Students!$D:$D,$AB21,Students!$E:$E,$AB$2&amp;if($K21="S1","a",if($K21="S2","b","")),Students!$A:$A,AR$2)+countifs(Students!$F:$F,$AB21,Students!$G:$G,$AB$2&amp;if($K21="S1","a",if($K21="S2","b","")),Students!$A:$A,AR$2)+countifs(Students!$H:$H,$AB21,Students!$I:$I,$AB$2&amp;if($K21="S1","a",if($K21="S2","b","")),Students!$A:$A,AR$2)+countifs(Students!$J:$J,$AB21,Students!$K:$K,$AB$2&amp;if($K21="S1","a",if($K21="S2","b","")),Students!$A:$A,AR$2)+countifs(Students!$L:$L,$AB21,Students!$M:$M,$AB$2&amp;if($K21="S1","a",if($K21="S2","b","")),Students!$A:$A,AR$2)+countifs(Students!$N:$N,$AB21,Students!$O:$O,$AB$2&amp;if($K21="S1","a",if($K21="S2","b","")),Students!$A:$A,AR$2)+countifs(Students!$P:$P,$AB21,Students!$Q:$Q,$AB$2&amp;if($K21="S1","a",if($K21="S2","b","")),Students!$A:$A,AR$2)+countifs(Students!$R:$R,$AB21,Students!$S:$S,$AB$2&amp;if($K21="S1","a",if($K21="S2","b","")),Students!$A:$A,AR$2)+countifs(Students!$T:$T,$AB21,Students!$U:$U,$AB$2&amp;if($K21="S1","a",if($K21="S2","b","")),Students!$A:$A,AR$2)+countifs(Students!$V:$V,$AB21,Students!$W:$W,$AB$2&amp;if($K21="S1","a",if($K21="S2","b","")),Students!$A:$A,AR$2)+
countifs(Students!$D:$D,$AE21,Students!$E:$E,$AE$2&amp;if($K21="S1","a",if($K21="S2","b","")),Students!$A:$A,AR$2)+countifs(Students!$F:$F,$AE21,Students!$G:$G,$AE$2&amp;if($K21="S1","a",if($K21="S2","b","")),Students!$A:$A,AR$2)+countifs(Students!$H:$H,$AE21,Students!$I:$I,$AE$2&amp;if($K21="S1","a",if($K21="S2","b","")),Students!$A:$A,AR$2)+countifs(Students!$J:$J,$AE21,Students!$K:$K,$AE$2&amp;if($K21="S1","a",if($K21="S2","b","")),Students!$A:$A,AR$2)+countifs(Students!$L:$L,$AE21,Students!$M:$M,$AE$2&amp;if($K21="S1","a",if($K21="S2","b","")),Students!$A:$A,AR$2)+countifs(Students!$N:$N,$AE21,Students!$O:$O,$AE$2&amp;if($K21="S1","a",if($K21="S2","b","")),Students!$A:$A,AR$2)+countifs(Students!$P:$P,$AE21,Students!$Q:$Q,$AE$2&amp;if($K21="S1","a",if($K21="S2","b","")),Students!$A:$A,AR$2)+countifs(Students!$R:$R,$AE21,Students!$S:$S,$AE$2&amp;if($K21="S1","a",if($K21="S2","b","")),Students!$A:$A,AR$2)+countifs(Students!$T:$T,$AE21,Students!$U:$U,$AE$2&amp;if($K21="S1","a",if($K21="S2","b","")),Students!$A:$A,AR$2)+countifs(Students!$V:$V,$AE21,Students!$W:$W,$AE$2&amp;if($K21="S1","a",if($K21="S2","b","")),Students!$A:$A,AR$2)+
countifs(Students!$D:$D,$AH21,Students!$E:$E,$AH$2&amp;if($K21="S1","a",if($K21="S2","b","")),Students!$A:$A,AR$2)+countifs(Students!$F:$F,$AH21,Students!$G:$G,$AH$2&amp;if($K21="S1","a",if($K21="S2","b","")),Students!$A:$A,AR$2)+countifs(Students!$H:$H,$AH21,Students!$I:$I,$AH$2&amp;if($K21="S1","a",if($K21="S2","b","")),Students!$A:$A,AR$2)+countifs(Students!$J:$J,$AH21,Students!$K:$K,$AH$2&amp;if($K21="S1","a",if($K21="S2","b","")),Students!$A:$A,AR$2)+countifs(Students!$L:$L,$AH21,Students!$M:$M,$AH$2&amp;if($K21="S1","a",if($K21="S2","b","")),Students!$A:$A,AR$2)+countifs(Students!$N:$N,$AH21,Students!$O:$O,$AH$2&amp;if($K21="S1","a",if($K21="S2","b","")),Students!$A:$A,AR$2)+countifs(Students!$P:$P,$AH21,Students!$Q:$Q,$AH$2&amp;if($K21="S1","a",if($K21="S2","b","")),Students!$A:$A,AR$2)+countifs(Students!$R:$R,$AH21,Students!$S:$S,$AH$2&amp;if($K21="S1","a",if($K21="S2","b","")),Students!$A:$A,AR$2)+countifs(Students!$T:$T,$AH21,Students!$U:$U,$AH$2&amp;if($K21="S1","a",if($K21="S2","b","")),Students!$A:$A,AR$2)+countifs(Students!$V:$V,$AH21,Students!$W:$W,$AH$2&amp;if($K21="S1","a",if($K21="S2","b","")),Students!$A:$A,AR$2)+
countifs(Students!$D:$D,$AK21,Students!$E:$E,$AK$2&amp;if($K21="S1","a",if($K21="S2","b","")),Students!$A:$A,AR$2)+countifs(Students!$F:$F,$AK21,Students!$G:$G,$AK$2&amp;if($K21="S1","a",if($K21="S2","b","")),Students!$A:$A,AR$2)+countifs(Students!$H:$H,$AK21,Students!$I:$I,$AK$2&amp;if($K21="S1","a",if($K21="S2","b","")),Students!$A:$A,AR$2)+countifs(Students!$J:$J,$AK21,Students!$K:$K,$AK$2&amp;if($K21="S1","a",if($K21="S2","b","")),Students!$A:$A,AR$2)+countifs(Students!$L:$L,$AK21,Students!$M:$M,$AK$2&amp;if($K21="S1","a",if($K21="S2","b","")),Students!$A:$A,AR$2)+countifs(Students!$N:$N,$AK21,Students!$O:$O,$AK$2&amp;if($K21="S1","a",if($K21="S2","b","")),Students!$A:$A,AR$2)+countifs(Students!$P:$P,$AK21,Students!$Q:$Q,$AK$2&amp;if($K21="S1","a",if($K21="S2","b","")),Students!$A:$A,AR$2)+countifs(Students!$R:$R,$AK21,Students!$S:$S,$AK$2&amp;if($K21="S1","a",if($K21="S2","b","")),Students!$A:$A,AR$2)+countifs(Students!$T:$T,$AK21,Students!$U:$U,$AK$2&amp;if($K21="S1","a",if($K21="S2","b","")),Students!$A:$A,AR$2)+countifs(Students!$V:$V,$AK21,Students!$W:$W,$AK$2&amp;if($K21="S1","a",if($K21="S2","b","")),Students!$A:$A,AR$2))</f>
        <v>11</v>
      </c>
      <c r="AS21" s="102">
        <f>if($L21="","",countifs(Students!$D:$D,$P21,Students!$E:$E,$P$2&amp;if($K21="S1","a",if($K21="S2","b","")),Students!$A:$A,AS$2)+countifs(Students!$F:$F,$P21,Students!$G:$G,$P$2&amp;if($K21="S1","a",if($K21="S2","b","")),Students!$A:$A,AS$2)+countifs(Students!$H:$H,$P21,Students!$I:$I,$P$2&amp;if($K21="S1","a",if($K21="S2","b","")),Students!$A:$A,AS$2)+countifs(Students!$J:$J,$P21,Students!$K:$K,$P$2&amp;if($K21="S1","a",if($K21="S2","b","")),Students!$A:$A,AS$2)+countifs(Students!$L:$L,$P21,Students!$M:$M,$P$2&amp;if($K21="S1","a",if($K21="S2","b","")),Students!$A:$A,AS$2)+countifs(Students!$N:$N,$P21,Students!$O:$O,$P$2&amp;if($K21="S1","a",if($K21="S2","b","")),Students!$A:$A,AS$2)+countifs(Students!$P:$P,$P21,Students!$Q:$Q,$P$2&amp;if($K21="S1","a",if($K21="S2","b","")),Students!$A:$A,AS$2)+countifs(Students!$R:$R,$P21,Students!$S:$S,$P$2&amp;if($K21="S1","a",if($K21="S2","b","")),Students!$A:$A,AS$2)+countifs(Students!$T:$T,$P21,Students!$U:$U,$P$2&amp;if($K21="S1","a",if($K21="S2","b","")),Students!$A:$A,AS$2)+countifs(Students!$V:$V,$P21,Students!$W:$W,$P$2&amp;if($K21="S1","a",if($K21="S2","b","")),Students!$A:$A,AS$2)+
countifs(Students!$D:$D,$S21,Students!$E:$E,$S$2&amp;if($K21="S1","a",if($K21="S2","b","")),Students!$A:$A,AS$2)+countifs(Students!$F:$F,$S21,Students!$G:$G,$S$2&amp;if($K21="S1","a",if($K21="S2","b","")),Students!$A:$A,AS$2)+countifs(Students!$H:$H,$S21,Students!$I:$I,$S$2&amp;if($K21="S1","a",if($K21="S2","b","")),Students!$A:$A,AS$2)+countifs(Students!$J:$J,$S21,Students!$K:$K,$S$2&amp;if($K21="S1","a",if($K21="S2","b","")),Students!$A:$A,AS$2)+countifs(Students!$L:$L,$S21,Students!$M:$M,$S$2&amp;if($K21="S1","a",if($K21="S2","b","")),Students!$A:$A,AS$2)+countifs(Students!$N:$N,$S21,Students!$O:$O,$S$2&amp;if($K21="S1","a",if($K21="S2","b","")),Students!$A:$A,AS$2)+countifs(Students!$P:$P,$S21,Students!$Q:$Q,$S$2&amp;if($K21="S1","a",if($K21="S2","b","")),Students!$A:$A,AS$2)+countifs(Students!$R:$R,$S21,Students!$S:$S,$S$2&amp;if($K21="S1","a",if($K21="S2","b","")),Students!$A:$A,AS$2)+countifs(Students!$T:$T,$S21,Students!$U:$U,$S$2&amp;if($K21="S1","a",if($K21="S2","b","")),Students!$A:$A,AS$2)+countifs(Students!$V:$V,$S21,Students!$W:$W,$S$2&amp;if($K21="S1","a",if($K21="S2","b","")),Students!$A:$A,AS$2)+
countifs(Students!$D:$D,$V21,Students!$E:$E,$V$2&amp;if($K21="S1","a",if($K21="S2","b","")),Students!$A:$A,AS$2)+countifs(Students!$F:$F,$V21,Students!$G:$G,$V$2&amp;if($K21="S1","a",if($K21="S2","b","")),Students!$A:$A,AS$2)+countifs(Students!$H:$H,$V21,Students!$I:$I,$V$2&amp;if($K21="S1","a",if($K21="S2","b","")),Students!$A:$A,AS$2)+countifs(Students!$J:$J,$V21,Students!$K:$K,$V$2&amp;if($K21="S1","a",if($K21="S2","b","")),Students!$A:$A,AS$2)+countifs(Students!$L:$L,$V21,Students!$M:$M,$V$2&amp;if($K21="S1","a",if($K21="S2","b","")),Students!$A:$A,AS$2)+countifs(Students!$N:$N,$V21,Students!$O:$O,$V$2&amp;if($K21="S1","a",if($K21="S2","b","")),Students!$A:$A,AS$2)+countifs(Students!$P:$P,$V21,Students!$Q:$Q,$V$2&amp;if($K21="S1","a",if($K21="S2","b","")),Students!$A:$A,AS$2)+countifs(Students!$R:$R,$V21,Students!$S:$S,$V$2&amp;if($K21="S1","a",if($K21="S2","b","")),Students!$A:$A,AS$2)+countifs(Students!$T:$T,$V21,Students!$U:$U,$V$2&amp;if($K21="S1","a",if($K21="S2","b","")),Students!$A:$A,AS$2)+countifs(Students!$V:$V,$V21,Students!$W:$W,$V$2&amp;if($K21="S1","a",if($K21="S2","b","")),Students!$A:$A,AS$2)+
countifs(Students!$D:$D,$Y21,Students!$E:$E,$Y$2&amp;if($K21="S1","a",if($K21="S2","b","")),Students!$A:$A,AS$2)+countifs(Students!$F:$F,$Y21,Students!$G:$G,$Y$2&amp;if($K21="S1","a",if($K21="S2","b","")),Students!$A:$A,AS$2)+countifs(Students!$H:$H,$Y21,Students!$I:$I,$Y$2&amp;if($K21="S1","a",if($K21="S2","b","")),Students!$A:$A,AS$2)+countifs(Students!$J:$J,$Y21,Students!$K:$K,$Y$2&amp;if($K21="S1","a",if($K21="S2","b","")),Students!$A:$A,AS$2)+countifs(Students!$L:$L,$Y21,Students!$M:$M,$Y$2&amp;if($K21="S1","a",if($K21="S2","b","")),Students!$A:$A,AS$2)+countifs(Students!$N:$N,$Y21,Students!$O:$O,$Y$2&amp;if($K21="S1","a",if($K21="S2","b","")),Students!$A:$A,AS$2)+countifs(Students!$P:$P,$Y21,Students!$Q:$Q,$Y$2&amp;if($K21="S1","a",if($K21="S2","b","")),Students!$A:$A,AS$2)+countifs(Students!$R:$R,$Y21,Students!$S:$S,$Y$2&amp;if($K21="S1","a",if($K21="S2","b","")),Students!$A:$A,AS$2)+countifs(Students!$T:$T,$Y21,Students!$U:$U,$Y$2&amp;if($K21="S1","a",if($K21="S2","b","")),Students!$A:$A,AS$2)+countifs(Students!$V:$V,$Y21,Students!$W:$W,$Y$2&amp;if($K21="S1","a",if($K21="S2","b","")),Students!$A:$A,AS$2)+
countifs(Students!$D:$D,$AB21,Students!$E:$E,$AB$2&amp;if($K21="S1","a",if($K21="S2","b","")),Students!$A:$A,AS$2)+countifs(Students!$F:$F,$AB21,Students!$G:$G,$AB$2&amp;if($K21="S1","a",if($K21="S2","b","")),Students!$A:$A,AS$2)+countifs(Students!$H:$H,$AB21,Students!$I:$I,$AB$2&amp;if($K21="S1","a",if($K21="S2","b","")),Students!$A:$A,AS$2)+countifs(Students!$J:$J,$AB21,Students!$K:$K,$AB$2&amp;if($K21="S1","a",if($K21="S2","b","")),Students!$A:$A,AS$2)+countifs(Students!$L:$L,$AB21,Students!$M:$M,$AB$2&amp;if($K21="S1","a",if($K21="S2","b","")),Students!$A:$A,AS$2)+countifs(Students!$N:$N,$AB21,Students!$O:$O,$AB$2&amp;if($K21="S1","a",if($K21="S2","b","")),Students!$A:$A,AS$2)+countifs(Students!$P:$P,$AB21,Students!$Q:$Q,$AB$2&amp;if($K21="S1","a",if($K21="S2","b","")),Students!$A:$A,AS$2)+countifs(Students!$R:$R,$AB21,Students!$S:$S,$AB$2&amp;if($K21="S1","a",if($K21="S2","b","")),Students!$A:$A,AS$2)+countifs(Students!$T:$T,$AB21,Students!$U:$U,$AB$2&amp;if($K21="S1","a",if($K21="S2","b","")),Students!$A:$A,AS$2)+countifs(Students!$V:$V,$AB21,Students!$W:$W,$AB$2&amp;if($K21="S1","a",if($K21="S2","b","")),Students!$A:$A,AS$2)+
countifs(Students!$D:$D,$AE21,Students!$E:$E,$AE$2&amp;if($K21="S1","a",if($K21="S2","b","")),Students!$A:$A,AS$2)+countifs(Students!$F:$F,$AE21,Students!$G:$G,$AE$2&amp;if($K21="S1","a",if($K21="S2","b","")),Students!$A:$A,AS$2)+countifs(Students!$H:$H,$AE21,Students!$I:$I,$AE$2&amp;if($K21="S1","a",if($K21="S2","b","")),Students!$A:$A,AS$2)+countifs(Students!$J:$J,$AE21,Students!$K:$K,$AE$2&amp;if($K21="S1","a",if($K21="S2","b","")),Students!$A:$A,AS$2)+countifs(Students!$L:$L,$AE21,Students!$M:$M,$AE$2&amp;if($K21="S1","a",if($K21="S2","b","")),Students!$A:$A,AS$2)+countifs(Students!$N:$N,$AE21,Students!$O:$O,$AE$2&amp;if($K21="S1","a",if($K21="S2","b","")),Students!$A:$A,AS$2)+countifs(Students!$P:$P,$AE21,Students!$Q:$Q,$AE$2&amp;if($K21="S1","a",if($K21="S2","b","")),Students!$A:$A,AS$2)+countifs(Students!$R:$R,$AE21,Students!$S:$S,$AE$2&amp;if($K21="S1","a",if($K21="S2","b","")),Students!$A:$A,AS$2)+countifs(Students!$T:$T,$AE21,Students!$U:$U,$AE$2&amp;if($K21="S1","a",if($K21="S2","b","")),Students!$A:$A,AS$2)+countifs(Students!$V:$V,$AE21,Students!$W:$W,$AE$2&amp;if($K21="S1","a",if($K21="S2","b","")),Students!$A:$A,AS$2)+
countifs(Students!$D:$D,$AH21,Students!$E:$E,$AH$2&amp;if($K21="S1","a",if($K21="S2","b","")),Students!$A:$A,AS$2)+countifs(Students!$F:$F,$AH21,Students!$G:$G,$AH$2&amp;if($K21="S1","a",if($K21="S2","b","")),Students!$A:$A,AS$2)+countifs(Students!$H:$H,$AH21,Students!$I:$I,$AH$2&amp;if($K21="S1","a",if($K21="S2","b","")),Students!$A:$A,AS$2)+countifs(Students!$J:$J,$AH21,Students!$K:$K,$AH$2&amp;if($K21="S1","a",if($K21="S2","b","")),Students!$A:$A,AS$2)+countifs(Students!$L:$L,$AH21,Students!$M:$M,$AH$2&amp;if($K21="S1","a",if($K21="S2","b","")),Students!$A:$A,AS$2)+countifs(Students!$N:$N,$AH21,Students!$O:$O,$AH$2&amp;if($K21="S1","a",if($K21="S2","b","")),Students!$A:$A,AS$2)+countifs(Students!$P:$P,$AH21,Students!$Q:$Q,$AH$2&amp;if($K21="S1","a",if($K21="S2","b","")),Students!$A:$A,AS$2)+countifs(Students!$R:$R,$AH21,Students!$S:$S,$AH$2&amp;if($K21="S1","a",if($K21="S2","b","")),Students!$A:$A,AS$2)+countifs(Students!$T:$T,$AH21,Students!$U:$U,$AH$2&amp;if($K21="S1","a",if($K21="S2","b","")),Students!$A:$A,AS$2)+countifs(Students!$V:$V,$AH21,Students!$W:$W,$AH$2&amp;if($K21="S1","a",if($K21="S2","b","")),Students!$A:$A,AS$2)+
countifs(Students!$D:$D,$AK21,Students!$E:$E,$AK$2&amp;if($K21="S1","a",if($K21="S2","b","")),Students!$A:$A,AS$2)+countifs(Students!$F:$F,$AK21,Students!$G:$G,$AK$2&amp;if($K21="S1","a",if($K21="S2","b","")),Students!$A:$A,AS$2)+countifs(Students!$H:$H,$AK21,Students!$I:$I,$AK$2&amp;if($K21="S1","a",if($K21="S2","b","")),Students!$A:$A,AS$2)+countifs(Students!$J:$J,$AK21,Students!$K:$K,$AK$2&amp;if($K21="S1","a",if($K21="S2","b","")),Students!$A:$A,AS$2)+countifs(Students!$L:$L,$AK21,Students!$M:$M,$AK$2&amp;if($K21="S1","a",if($K21="S2","b","")),Students!$A:$A,AS$2)+countifs(Students!$N:$N,$AK21,Students!$O:$O,$AK$2&amp;if($K21="S1","a",if($K21="S2","b","")),Students!$A:$A,AS$2)+countifs(Students!$P:$P,$AK21,Students!$Q:$Q,$AK$2&amp;if($K21="S1","a",if($K21="S2","b","")),Students!$A:$A,AS$2)+countifs(Students!$R:$R,$AK21,Students!$S:$S,$AK$2&amp;if($K21="S1","a",if($K21="S2","b","")),Students!$A:$A,AS$2)+countifs(Students!$T:$T,$AK21,Students!$U:$U,$AK$2&amp;if($K21="S1","a",if($K21="S2","b","")),Students!$A:$A,AS$2)+countifs(Students!$V:$V,$AK21,Students!$W:$W,$AK$2&amp;if($K21="S1","a",if($K21="S2","b","")),Students!$A:$A,AS$2))</f>
        <v>45</v>
      </c>
    </row>
    <row r="22">
      <c r="D22" s="114"/>
      <c r="J22" s="87">
        <v>75.0</v>
      </c>
      <c r="K22" s="70"/>
      <c r="L22" s="58" t="s">
        <v>75</v>
      </c>
      <c r="M22" s="117"/>
      <c r="N22" s="87">
        <v>3.0</v>
      </c>
      <c r="O22" s="87">
        <f>IFERROR(__xludf.DUMMYFUNCTION("3*counta((transpose(filter(P22:AM22,P22:AM22&lt;&gt;"""",isnumber(P22:AM22)=false))))"),12.0)</f>
        <v>12</v>
      </c>
      <c r="P22" s="90" t="s">
        <v>76</v>
      </c>
      <c r="Q22" s="91">
        <v>1.0</v>
      </c>
      <c r="R22" s="92">
        <v>23.0</v>
      </c>
      <c r="S22" s="91" t="s">
        <v>76</v>
      </c>
      <c r="T22" s="91">
        <v>7.0</v>
      </c>
      <c r="U22" s="92">
        <v>23.0</v>
      </c>
      <c r="V22" s="101" t="s">
        <v>73</v>
      </c>
      <c r="W22" s="101">
        <v>3.0</v>
      </c>
      <c r="X22" s="98">
        <v>14.0</v>
      </c>
      <c r="Y22" s="90"/>
      <c r="Z22" s="101"/>
      <c r="AA22" s="98" t="s">
        <v>22</v>
      </c>
      <c r="AB22" s="94"/>
      <c r="AC22" s="94"/>
      <c r="AD22" s="95" t="s">
        <v>22</v>
      </c>
      <c r="AE22" s="90"/>
      <c r="AF22" s="91"/>
      <c r="AG22" s="92" t="s">
        <v>22</v>
      </c>
      <c r="AH22" s="91" t="s">
        <v>73</v>
      </c>
      <c r="AI22" s="97">
        <v>4.0</v>
      </c>
      <c r="AJ22" s="98">
        <v>15.0</v>
      </c>
      <c r="AK22" s="94"/>
      <c r="AL22" s="115"/>
      <c r="AM22" s="95" t="s">
        <v>22</v>
      </c>
      <c r="AN22" s="99"/>
      <c r="AO22" s="52">
        <f t="shared" si="2"/>
        <v>75</v>
      </c>
      <c r="AP22" s="102">
        <f>if($L22="","",countifs(Students!$D:$D,$P22,Students!$E:$E,$P$2&amp;if($K22="S1","a",if($K22="S2","b","")),Students!$A:$A,AP$2)+countifs(Students!$F:$F,$P22,Students!$G:$G,$P$2&amp;if($K22="S1","a",if($K22="S2","b","")),Students!$A:$A,AP$2)+countifs(Students!$H:$H,$P22,Students!$I:$I,$P$2&amp;if($K22="S1","a",if($K22="S2","b","")),Students!$A:$A,AP$2)+countifs(Students!$J:$J,$P22,Students!$K:$K,$P$2&amp;if($K22="S1","a",if($K22="S2","b","")),Students!$A:$A,AP$2)+countifs(Students!$L:$L,$P22,Students!$M:$M,$P$2&amp;if($K22="S1","a",if($K22="S2","b","")),Students!$A:$A,AP$2)+countifs(Students!$N:$N,$P22,Students!$O:$O,$P$2&amp;if($K22="S1","a",if($K22="S2","b","")),Students!$A:$A,AP$2)+countifs(Students!$P:$P,$P22,Students!$Q:$Q,$P$2&amp;if($K22="S1","a",if($K22="S2","b","")),Students!$A:$A,AP$2)+countifs(Students!$R:$R,$P22,Students!$S:$S,$P$2&amp;if($K22="S1","a",if($K22="S2","b","")),Students!$A:$A,AP$2)+countifs(Students!$T:$T,$P22,Students!$U:$U,$P$2&amp;if($K22="S1","a",if($K22="S2","b","")),Students!$A:$A,AP$2)+countifs(Students!$V:$V,$P22,Students!$W:$W,$P$2&amp;if($K22="S1","a",if($K22="S2","b","")),Students!$A:$A,AP$2)+
countifs(Students!$D:$D,$S22,Students!$E:$E,$S$2&amp;if($K22="S1","a",if($K22="S2","b","")),Students!$A:$A,AP$2)+countifs(Students!$F:$F,$S22,Students!$G:$G,$S$2&amp;if($K22="S1","a",if($K22="S2","b","")),Students!$A:$A,AP$2)+countifs(Students!$H:$H,$S22,Students!$I:$I,$S$2&amp;if($K22="S1","a",if($K22="S2","b","")),Students!$A:$A,AP$2)+countifs(Students!$J:$J,$S22,Students!$K:$K,$S$2&amp;if($K22="S1","a",if($K22="S2","b","")),Students!$A:$A,AP$2)+countifs(Students!$L:$L,$S22,Students!$M:$M,$S$2&amp;if($K22="S1","a",if($K22="S2","b","")),Students!$A:$A,AP$2)+countifs(Students!$N:$N,$S22,Students!$O:$O,$S$2&amp;if($K22="S1","a",if($K22="S2","b","")),Students!$A:$A,AP$2)+countifs(Students!$P:$P,$S22,Students!$Q:$Q,$S$2&amp;if($K22="S1","a",if($K22="S2","b","")),Students!$A:$A,AP$2)+countifs(Students!$R:$R,$S22,Students!$S:$S,$S$2&amp;if($K22="S1","a",if($K22="S2","b","")),Students!$A:$A,AP$2)+countifs(Students!$T:$T,$S22,Students!$U:$U,$S$2&amp;if($K22="S1","a",if($K22="S2","b","")),Students!$A:$A,AP$2)+countifs(Students!$V:$V,$S22,Students!$W:$W,$S$2&amp;if($K22="S1","a",if($K22="S2","b","")),Students!$A:$A,AP$2)+
countifs(Students!$D:$D,$V22,Students!$E:$E,$V$2&amp;if($K22="S1","a",if($K22="S2","b","")),Students!$A:$A,AP$2)+countifs(Students!$F:$F,$V22,Students!$G:$G,$V$2&amp;if($K22="S1","a",if($K22="S2","b","")),Students!$A:$A,AP$2)+countifs(Students!$H:$H,$V22,Students!$I:$I,$V$2&amp;if($K22="S1","a",if($K22="S2","b","")),Students!$A:$A,AP$2)+countifs(Students!$J:$J,$V22,Students!$K:$K,$V$2&amp;if($K22="S1","a",if($K22="S2","b","")),Students!$A:$A,AP$2)+countifs(Students!$L:$L,$V22,Students!$M:$M,$V$2&amp;if($K22="S1","a",if($K22="S2","b","")),Students!$A:$A,AP$2)+countifs(Students!$N:$N,$V22,Students!$O:$O,$V$2&amp;if($K22="S1","a",if($K22="S2","b","")),Students!$A:$A,AP$2)+countifs(Students!$P:$P,$V22,Students!$Q:$Q,$V$2&amp;if($K22="S1","a",if($K22="S2","b","")),Students!$A:$A,AP$2)+countifs(Students!$R:$R,$V22,Students!$S:$S,$V$2&amp;if($K22="S1","a",if($K22="S2","b","")),Students!$A:$A,AP$2)+countifs(Students!$T:$T,$V22,Students!$U:$U,$V$2&amp;if($K22="S1","a",if($K22="S2","b","")),Students!$A:$A,AP$2)+countifs(Students!$V:$V,$V22,Students!$W:$W,$V$2&amp;if($K22="S1","a",if($K22="S2","b","")),Students!$A:$A,AP$2)+
countifs(Students!$D:$D,$Y22,Students!$E:$E,$Y$2&amp;if($K22="S1","a",if($K22="S2","b","")),Students!$A:$A,AP$2)+countifs(Students!$F:$F,$Y22,Students!$G:$G,$Y$2&amp;if($K22="S1","a",if($K22="S2","b","")),Students!$A:$A,AP$2)+countifs(Students!$H:$H,$Y22,Students!$I:$I,$Y$2&amp;if($K22="S1","a",if($K22="S2","b","")),Students!$A:$A,AP$2)+countifs(Students!$J:$J,$Y22,Students!$K:$K,$Y$2&amp;if($K22="S1","a",if($K22="S2","b","")),Students!$A:$A,AP$2)+countifs(Students!$L:$L,$Y22,Students!$M:$M,$Y$2&amp;if($K22="S1","a",if($K22="S2","b","")),Students!$A:$A,AP$2)+countifs(Students!$N:$N,$Y22,Students!$O:$O,$Y$2&amp;if($K22="S1","a",if($K22="S2","b","")),Students!$A:$A,AP$2)+countifs(Students!$P:$P,$Y22,Students!$Q:$Q,$Y$2&amp;if($K22="S1","a",if($K22="S2","b","")),Students!$A:$A,AP$2)+countifs(Students!$R:$R,$Y22,Students!$S:$S,$Y$2&amp;if($K22="S1","a",if($K22="S2","b","")),Students!$A:$A,AP$2)+countifs(Students!$T:$T,$Y22,Students!$U:$U,$Y$2&amp;if($K22="S1","a",if($K22="S2","b","")),Students!$A:$A,AP$2)+countifs(Students!$V:$V,$Y22,Students!$W:$W,$Y$2&amp;if($K22="S1","a",if($K22="S2","b","")),Students!$A:$A,AP$2)+
countifs(Students!$D:$D,$AB22,Students!$E:$E,$AB$2&amp;if($K22="S1","a",if($K22="S2","b","")),Students!$A:$A,AP$2)+countifs(Students!$F:$F,$AB22,Students!$G:$G,$AB$2&amp;if($K22="S1","a",if($K22="S2","b","")),Students!$A:$A,AP$2)+countifs(Students!$H:$H,$AB22,Students!$I:$I,$AB$2&amp;if($K22="S1","a",if($K22="S2","b","")),Students!$A:$A,AP$2)+countifs(Students!$J:$J,$AB22,Students!$K:$K,$AB$2&amp;if($K22="S1","a",if($K22="S2","b","")),Students!$A:$A,AP$2)+countifs(Students!$L:$L,$AB22,Students!$M:$M,$AB$2&amp;if($K22="S1","a",if($K22="S2","b","")),Students!$A:$A,AP$2)+countifs(Students!$N:$N,$AB22,Students!$O:$O,$AB$2&amp;if($K22="S1","a",if($K22="S2","b","")),Students!$A:$A,AP$2)+countifs(Students!$P:$P,$AB22,Students!$Q:$Q,$AB$2&amp;if($K22="S1","a",if($K22="S2","b","")),Students!$A:$A,AP$2)+countifs(Students!$R:$R,$AB22,Students!$S:$S,$AB$2&amp;if($K22="S1","a",if($K22="S2","b","")),Students!$A:$A,AP$2)+countifs(Students!$T:$T,$AB22,Students!$U:$U,$AB$2&amp;if($K22="S1","a",if($K22="S2","b","")),Students!$A:$A,AP$2)+countifs(Students!$V:$V,$AB22,Students!$W:$W,$AB$2&amp;if($K22="S1","a",if($K22="S2","b","")),Students!$A:$A,AP$2)+
countifs(Students!$D:$D,$AE22,Students!$E:$E,$AE$2&amp;if($K22="S1","a",if($K22="S2","b","")),Students!$A:$A,AP$2)+countifs(Students!$F:$F,$AE22,Students!$G:$G,$AE$2&amp;if($K22="S1","a",if($K22="S2","b","")),Students!$A:$A,AP$2)+countifs(Students!$H:$H,$AE22,Students!$I:$I,$AE$2&amp;if($K22="S1","a",if($K22="S2","b","")),Students!$A:$A,AP$2)+countifs(Students!$J:$J,$AE22,Students!$K:$K,$AE$2&amp;if($K22="S1","a",if($K22="S2","b","")),Students!$A:$A,AP$2)+countifs(Students!$L:$L,$AE22,Students!$M:$M,$AE$2&amp;if($K22="S1","a",if($K22="S2","b","")),Students!$A:$A,AP$2)+countifs(Students!$N:$N,$AE22,Students!$O:$O,$AE$2&amp;if($K22="S1","a",if($K22="S2","b","")),Students!$A:$A,AP$2)+countifs(Students!$P:$P,$AE22,Students!$Q:$Q,$AE$2&amp;if($K22="S1","a",if($K22="S2","b","")),Students!$A:$A,AP$2)+countifs(Students!$R:$R,$AE22,Students!$S:$S,$AE$2&amp;if($K22="S1","a",if($K22="S2","b","")),Students!$A:$A,AP$2)+countifs(Students!$T:$T,$AE22,Students!$U:$U,$AE$2&amp;if($K22="S1","a",if($K22="S2","b","")),Students!$A:$A,AP$2)+countifs(Students!$V:$V,$AE22,Students!$W:$W,$AE$2&amp;if($K22="S1","a",if($K22="S2","b","")),Students!$A:$A,AP$2)+
countifs(Students!$D:$D,$AH22,Students!$E:$E,$AH$2&amp;if($K22="S1","a",if($K22="S2","b","")),Students!$A:$A,AP$2)+countifs(Students!$F:$F,$AH22,Students!$G:$G,$AH$2&amp;if($K22="S1","a",if($K22="S2","b","")),Students!$A:$A,AP$2)+countifs(Students!$H:$H,$AH22,Students!$I:$I,$AH$2&amp;if($K22="S1","a",if($K22="S2","b","")),Students!$A:$A,AP$2)+countifs(Students!$J:$J,$AH22,Students!$K:$K,$AH$2&amp;if($K22="S1","a",if($K22="S2","b","")),Students!$A:$A,AP$2)+countifs(Students!$L:$L,$AH22,Students!$M:$M,$AH$2&amp;if($K22="S1","a",if($K22="S2","b","")),Students!$A:$A,AP$2)+countifs(Students!$N:$N,$AH22,Students!$O:$O,$AH$2&amp;if($K22="S1","a",if($K22="S2","b","")),Students!$A:$A,AP$2)+countifs(Students!$P:$P,$AH22,Students!$Q:$Q,$AH$2&amp;if($K22="S1","a",if($K22="S2","b","")),Students!$A:$A,AP$2)+countifs(Students!$R:$R,$AH22,Students!$S:$S,$AH$2&amp;if($K22="S1","a",if($K22="S2","b","")),Students!$A:$A,AP$2)+countifs(Students!$T:$T,$AH22,Students!$U:$U,$AH$2&amp;if($K22="S1","a",if($K22="S2","b","")),Students!$A:$A,AP$2)+countifs(Students!$V:$V,$AH22,Students!$W:$W,$AH$2&amp;if($K22="S1","a",if($K22="S2","b","")),Students!$A:$A,AP$2)+
countifs(Students!$D:$D,$AK22,Students!$E:$E,$AK$2&amp;if($K22="S1","a",if($K22="S2","b","")),Students!$A:$A,AP$2)+countifs(Students!$F:$F,$AK22,Students!$G:$G,$AK$2&amp;if($K22="S1","a",if($K22="S2","b","")),Students!$A:$A,AP$2)+countifs(Students!$H:$H,$AK22,Students!$I:$I,$AK$2&amp;if($K22="S1","a",if($K22="S2","b","")),Students!$A:$A,AP$2)+countifs(Students!$J:$J,$AK22,Students!$K:$K,$AK$2&amp;if($K22="S1","a",if($K22="S2","b","")),Students!$A:$A,AP$2)+countifs(Students!$L:$L,$AK22,Students!$M:$M,$AK$2&amp;if($K22="S1","a",if($K22="S2","b","")),Students!$A:$A,AP$2)+countifs(Students!$N:$N,$AK22,Students!$O:$O,$AK$2&amp;if($K22="S1","a",if($K22="S2","b","")),Students!$A:$A,AP$2)+countifs(Students!$P:$P,$AK22,Students!$Q:$Q,$AK$2&amp;if($K22="S1","a",if($K22="S2","b","")),Students!$A:$A,AP$2)+countifs(Students!$R:$R,$AK22,Students!$S:$S,$AK$2&amp;if($K22="S1","a",if($K22="S2","b","")),Students!$A:$A,AP$2)+countifs(Students!$T:$T,$AK22,Students!$U:$U,$AK$2&amp;if($K22="S1","a",if($K22="S2","b","")),Students!$A:$A,AP$2)+countifs(Students!$V:$V,$AK22,Students!$W:$W,$AK$2&amp;if($K22="S1","a",if($K22="S2","b","")),Students!$A:$A,AP$2))</f>
        <v>70</v>
      </c>
      <c r="AQ22" s="102">
        <f>if($L22="","",countifs(Students!$D:$D,$P22,Students!$E:$E,$P$2&amp;if($K22="S1","a",if($K22="S2","b","")),Students!$A:$A,AQ$2)+countifs(Students!$F:$F,$P22,Students!$G:$G,$P$2&amp;if($K22="S1","a",if($K22="S2","b","")),Students!$A:$A,AQ$2)+countifs(Students!$H:$H,$P22,Students!$I:$I,$P$2&amp;if($K22="S1","a",if($K22="S2","b","")),Students!$A:$A,AQ$2)+countifs(Students!$J:$J,$P22,Students!$K:$K,$P$2&amp;if($K22="S1","a",if($K22="S2","b","")),Students!$A:$A,AQ$2)+countifs(Students!$L:$L,$P22,Students!$M:$M,$P$2&amp;if($K22="S1","a",if($K22="S2","b","")),Students!$A:$A,AQ$2)+countifs(Students!$N:$N,$P22,Students!$O:$O,$P$2&amp;if($K22="S1","a",if($K22="S2","b","")),Students!$A:$A,AQ$2)+countifs(Students!$P:$P,$P22,Students!$Q:$Q,$P$2&amp;if($K22="S1","a",if($K22="S2","b","")),Students!$A:$A,AQ$2)+countifs(Students!$R:$R,$P22,Students!$S:$S,$P$2&amp;if($K22="S1","a",if($K22="S2","b","")),Students!$A:$A,AQ$2)+countifs(Students!$T:$T,$P22,Students!$U:$U,$P$2&amp;if($K22="S1","a",if($K22="S2","b","")),Students!$A:$A,AQ$2)+countifs(Students!$V:$V,$P22,Students!$W:$W,$P$2&amp;if($K22="S1","a",if($K22="S2","b","")),Students!$A:$A,AQ$2)+
countifs(Students!$D:$D,$S22,Students!$E:$E,$S$2&amp;if($K22="S1","a",if($K22="S2","b","")),Students!$A:$A,AQ$2)+countifs(Students!$F:$F,$S22,Students!$G:$G,$S$2&amp;if($K22="S1","a",if($K22="S2","b","")),Students!$A:$A,AQ$2)+countifs(Students!$H:$H,$S22,Students!$I:$I,$S$2&amp;if($K22="S1","a",if($K22="S2","b","")),Students!$A:$A,AQ$2)+countifs(Students!$J:$J,$S22,Students!$K:$K,$S$2&amp;if($K22="S1","a",if($K22="S2","b","")),Students!$A:$A,AQ$2)+countifs(Students!$L:$L,$S22,Students!$M:$M,$S$2&amp;if($K22="S1","a",if($K22="S2","b","")),Students!$A:$A,AQ$2)+countifs(Students!$N:$N,$S22,Students!$O:$O,$S$2&amp;if($K22="S1","a",if($K22="S2","b","")),Students!$A:$A,AQ$2)+countifs(Students!$P:$P,$S22,Students!$Q:$Q,$S$2&amp;if($K22="S1","a",if($K22="S2","b","")),Students!$A:$A,AQ$2)+countifs(Students!$R:$R,$S22,Students!$S:$S,$S$2&amp;if($K22="S1","a",if($K22="S2","b","")),Students!$A:$A,AQ$2)+countifs(Students!$T:$T,$S22,Students!$U:$U,$S$2&amp;if($K22="S1","a",if($K22="S2","b","")),Students!$A:$A,AQ$2)+countifs(Students!$V:$V,$S22,Students!$W:$W,$S$2&amp;if($K22="S1","a",if($K22="S2","b","")),Students!$A:$A,AQ$2)+
countifs(Students!$D:$D,$V22,Students!$E:$E,$V$2&amp;if($K22="S1","a",if($K22="S2","b","")),Students!$A:$A,AQ$2)+countifs(Students!$F:$F,$V22,Students!$G:$G,$V$2&amp;if($K22="S1","a",if($K22="S2","b","")),Students!$A:$A,AQ$2)+countifs(Students!$H:$H,$V22,Students!$I:$I,$V$2&amp;if($K22="S1","a",if($K22="S2","b","")),Students!$A:$A,AQ$2)+countifs(Students!$J:$J,$V22,Students!$K:$K,$V$2&amp;if($K22="S1","a",if($K22="S2","b","")),Students!$A:$A,AQ$2)+countifs(Students!$L:$L,$V22,Students!$M:$M,$V$2&amp;if($K22="S1","a",if($K22="S2","b","")),Students!$A:$A,AQ$2)+countifs(Students!$N:$N,$V22,Students!$O:$O,$V$2&amp;if($K22="S1","a",if($K22="S2","b","")),Students!$A:$A,AQ$2)+countifs(Students!$P:$P,$V22,Students!$Q:$Q,$V$2&amp;if($K22="S1","a",if($K22="S2","b","")),Students!$A:$A,AQ$2)+countifs(Students!$R:$R,$V22,Students!$S:$S,$V$2&amp;if($K22="S1","a",if($K22="S2","b","")),Students!$A:$A,AQ$2)+countifs(Students!$T:$T,$V22,Students!$U:$U,$V$2&amp;if($K22="S1","a",if($K22="S2","b","")),Students!$A:$A,AQ$2)+countifs(Students!$V:$V,$V22,Students!$W:$W,$V$2&amp;if($K22="S1","a",if($K22="S2","b","")),Students!$A:$A,AQ$2)+
countifs(Students!$D:$D,$Y22,Students!$E:$E,$Y$2&amp;if($K22="S1","a",if($K22="S2","b","")),Students!$A:$A,AQ$2)+countifs(Students!$F:$F,$Y22,Students!$G:$G,$Y$2&amp;if($K22="S1","a",if($K22="S2","b","")),Students!$A:$A,AQ$2)+countifs(Students!$H:$H,$Y22,Students!$I:$I,$Y$2&amp;if($K22="S1","a",if($K22="S2","b","")),Students!$A:$A,AQ$2)+countifs(Students!$J:$J,$Y22,Students!$K:$K,$Y$2&amp;if($K22="S1","a",if($K22="S2","b","")),Students!$A:$A,AQ$2)+countifs(Students!$L:$L,$Y22,Students!$M:$M,$Y$2&amp;if($K22="S1","a",if($K22="S2","b","")),Students!$A:$A,AQ$2)+countifs(Students!$N:$N,$Y22,Students!$O:$O,$Y$2&amp;if($K22="S1","a",if($K22="S2","b","")),Students!$A:$A,AQ$2)+countifs(Students!$P:$P,$Y22,Students!$Q:$Q,$Y$2&amp;if($K22="S1","a",if($K22="S2","b","")),Students!$A:$A,AQ$2)+countifs(Students!$R:$R,$Y22,Students!$S:$S,$Y$2&amp;if($K22="S1","a",if($K22="S2","b","")),Students!$A:$A,AQ$2)+countifs(Students!$T:$T,$Y22,Students!$U:$U,$Y$2&amp;if($K22="S1","a",if($K22="S2","b","")),Students!$A:$A,AQ$2)+countifs(Students!$V:$V,$Y22,Students!$W:$W,$Y$2&amp;if($K22="S1","a",if($K22="S2","b","")),Students!$A:$A,AQ$2)+
countifs(Students!$D:$D,$AB22,Students!$E:$E,$AB$2&amp;if($K22="S1","a",if($K22="S2","b","")),Students!$A:$A,AQ$2)+countifs(Students!$F:$F,$AB22,Students!$G:$G,$AB$2&amp;if($K22="S1","a",if($K22="S2","b","")),Students!$A:$A,AQ$2)+countifs(Students!$H:$H,$AB22,Students!$I:$I,$AB$2&amp;if($K22="S1","a",if($K22="S2","b","")),Students!$A:$A,AQ$2)+countifs(Students!$J:$J,$AB22,Students!$K:$K,$AB$2&amp;if($K22="S1","a",if($K22="S2","b","")),Students!$A:$A,AQ$2)+countifs(Students!$L:$L,$AB22,Students!$M:$M,$AB$2&amp;if($K22="S1","a",if($K22="S2","b","")),Students!$A:$A,AQ$2)+countifs(Students!$N:$N,$AB22,Students!$O:$O,$AB$2&amp;if($K22="S1","a",if($K22="S2","b","")),Students!$A:$A,AQ$2)+countifs(Students!$P:$P,$AB22,Students!$Q:$Q,$AB$2&amp;if($K22="S1","a",if($K22="S2","b","")),Students!$A:$A,AQ$2)+countifs(Students!$R:$R,$AB22,Students!$S:$S,$AB$2&amp;if($K22="S1","a",if($K22="S2","b","")),Students!$A:$A,AQ$2)+countifs(Students!$T:$T,$AB22,Students!$U:$U,$AB$2&amp;if($K22="S1","a",if($K22="S2","b","")),Students!$A:$A,AQ$2)+countifs(Students!$V:$V,$AB22,Students!$W:$W,$AB$2&amp;if($K22="S1","a",if($K22="S2","b","")),Students!$A:$A,AQ$2)+
countifs(Students!$D:$D,$AE22,Students!$E:$E,$AE$2&amp;if($K22="S1","a",if($K22="S2","b","")),Students!$A:$A,AQ$2)+countifs(Students!$F:$F,$AE22,Students!$G:$G,$AE$2&amp;if($K22="S1","a",if($K22="S2","b","")),Students!$A:$A,AQ$2)+countifs(Students!$H:$H,$AE22,Students!$I:$I,$AE$2&amp;if($K22="S1","a",if($K22="S2","b","")),Students!$A:$A,AQ$2)+countifs(Students!$J:$J,$AE22,Students!$K:$K,$AE$2&amp;if($K22="S1","a",if($K22="S2","b","")),Students!$A:$A,AQ$2)+countifs(Students!$L:$L,$AE22,Students!$M:$M,$AE$2&amp;if($K22="S1","a",if($K22="S2","b","")),Students!$A:$A,AQ$2)+countifs(Students!$N:$N,$AE22,Students!$O:$O,$AE$2&amp;if($K22="S1","a",if($K22="S2","b","")),Students!$A:$A,AQ$2)+countifs(Students!$P:$P,$AE22,Students!$Q:$Q,$AE$2&amp;if($K22="S1","a",if($K22="S2","b","")),Students!$A:$A,AQ$2)+countifs(Students!$R:$R,$AE22,Students!$S:$S,$AE$2&amp;if($K22="S1","a",if($K22="S2","b","")),Students!$A:$A,AQ$2)+countifs(Students!$T:$T,$AE22,Students!$U:$U,$AE$2&amp;if($K22="S1","a",if($K22="S2","b","")),Students!$A:$A,AQ$2)+countifs(Students!$V:$V,$AE22,Students!$W:$W,$AE$2&amp;if($K22="S1","a",if($K22="S2","b","")),Students!$A:$A,AQ$2)+
countifs(Students!$D:$D,$AH22,Students!$E:$E,$AH$2&amp;if($K22="S1","a",if($K22="S2","b","")),Students!$A:$A,AQ$2)+countifs(Students!$F:$F,$AH22,Students!$G:$G,$AH$2&amp;if($K22="S1","a",if($K22="S2","b","")),Students!$A:$A,AQ$2)+countifs(Students!$H:$H,$AH22,Students!$I:$I,$AH$2&amp;if($K22="S1","a",if($K22="S2","b","")),Students!$A:$A,AQ$2)+countifs(Students!$J:$J,$AH22,Students!$K:$K,$AH$2&amp;if($K22="S1","a",if($K22="S2","b","")),Students!$A:$A,AQ$2)+countifs(Students!$L:$L,$AH22,Students!$M:$M,$AH$2&amp;if($K22="S1","a",if($K22="S2","b","")),Students!$A:$A,AQ$2)+countifs(Students!$N:$N,$AH22,Students!$O:$O,$AH$2&amp;if($K22="S1","a",if($K22="S2","b","")),Students!$A:$A,AQ$2)+countifs(Students!$P:$P,$AH22,Students!$Q:$Q,$AH$2&amp;if($K22="S1","a",if($K22="S2","b","")),Students!$A:$A,AQ$2)+countifs(Students!$R:$R,$AH22,Students!$S:$S,$AH$2&amp;if($K22="S1","a",if($K22="S2","b","")),Students!$A:$A,AQ$2)+countifs(Students!$T:$T,$AH22,Students!$U:$U,$AH$2&amp;if($K22="S1","a",if($K22="S2","b","")),Students!$A:$A,AQ$2)+countifs(Students!$V:$V,$AH22,Students!$W:$W,$AH$2&amp;if($K22="S1","a",if($K22="S2","b","")),Students!$A:$A,AQ$2)+
countifs(Students!$D:$D,$AK22,Students!$E:$E,$AK$2&amp;if($K22="S1","a",if($K22="S2","b","")),Students!$A:$A,AQ$2)+countifs(Students!$F:$F,$AK22,Students!$G:$G,$AK$2&amp;if($K22="S1","a",if($K22="S2","b","")),Students!$A:$A,AQ$2)+countifs(Students!$H:$H,$AK22,Students!$I:$I,$AK$2&amp;if($K22="S1","a",if($K22="S2","b","")),Students!$A:$A,AQ$2)+countifs(Students!$J:$J,$AK22,Students!$K:$K,$AK$2&amp;if($K22="S1","a",if($K22="S2","b","")),Students!$A:$A,AQ$2)+countifs(Students!$L:$L,$AK22,Students!$M:$M,$AK$2&amp;if($K22="S1","a",if($K22="S2","b","")),Students!$A:$A,AQ$2)+countifs(Students!$N:$N,$AK22,Students!$O:$O,$AK$2&amp;if($K22="S1","a",if($K22="S2","b","")),Students!$A:$A,AQ$2)+countifs(Students!$P:$P,$AK22,Students!$Q:$Q,$AK$2&amp;if($K22="S1","a",if($K22="S2","b","")),Students!$A:$A,AQ$2)+countifs(Students!$R:$R,$AK22,Students!$S:$S,$AK$2&amp;if($K22="S1","a",if($K22="S2","b","")),Students!$A:$A,AQ$2)+countifs(Students!$T:$T,$AK22,Students!$U:$U,$AK$2&amp;if($K22="S1","a",if($K22="S2","b","")),Students!$A:$A,AQ$2)+countifs(Students!$V:$V,$AK22,Students!$W:$W,$AK$2&amp;if($K22="S1","a",if($K22="S2","b","")),Students!$A:$A,AQ$2))</f>
        <v>5</v>
      </c>
      <c r="AR22" s="102">
        <f>if($L22="","",countifs(Students!$D:$D,$P22,Students!$E:$E,$P$2&amp;if($K22="S1","a",if($K22="S2","b","")),Students!$A:$A,AR$2)+countifs(Students!$F:$F,$P22,Students!$G:$G,$P$2&amp;if($K22="S1","a",if($K22="S2","b","")),Students!$A:$A,AR$2)+countifs(Students!$H:$H,$P22,Students!$I:$I,$P$2&amp;if($K22="S1","a",if($K22="S2","b","")),Students!$A:$A,AR$2)+countifs(Students!$J:$J,$P22,Students!$K:$K,$P$2&amp;if($K22="S1","a",if($K22="S2","b","")),Students!$A:$A,AR$2)+countifs(Students!$L:$L,$P22,Students!$M:$M,$P$2&amp;if($K22="S1","a",if($K22="S2","b","")),Students!$A:$A,AR$2)+countifs(Students!$N:$N,$P22,Students!$O:$O,$P$2&amp;if($K22="S1","a",if($K22="S2","b","")),Students!$A:$A,AR$2)+countifs(Students!$P:$P,$P22,Students!$Q:$Q,$P$2&amp;if($K22="S1","a",if($K22="S2","b","")),Students!$A:$A,AR$2)+countifs(Students!$R:$R,$P22,Students!$S:$S,$P$2&amp;if($K22="S1","a",if($K22="S2","b","")),Students!$A:$A,AR$2)+countifs(Students!$T:$T,$P22,Students!$U:$U,$P$2&amp;if($K22="S1","a",if($K22="S2","b","")),Students!$A:$A,AR$2)+countifs(Students!$V:$V,$P22,Students!$W:$W,$P$2&amp;if($K22="S1","a",if($K22="S2","b","")),Students!$A:$A,AR$2)+
countifs(Students!$D:$D,$S22,Students!$E:$E,$S$2&amp;if($K22="S1","a",if($K22="S2","b","")),Students!$A:$A,AR$2)+countifs(Students!$F:$F,$S22,Students!$G:$G,$S$2&amp;if($K22="S1","a",if($K22="S2","b","")),Students!$A:$A,AR$2)+countifs(Students!$H:$H,$S22,Students!$I:$I,$S$2&amp;if($K22="S1","a",if($K22="S2","b","")),Students!$A:$A,AR$2)+countifs(Students!$J:$J,$S22,Students!$K:$K,$S$2&amp;if($K22="S1","a",if($K22="S2","b","")),Students!$A:$A,AR$2)+countifs(Students!$L:$L,$S22,Students!$M:$M,$S$2&amp;if($K22="S1","a",if($K22="S2","b","")),Students!$A:$A,AR$2)+countifs(Students!$N:$N,$S22,Students!$O:$O,$S$2&amp;if($K22="S1","a",if($K22="S2","b","")),Students!$A:$A,AR$2)+countifs(Students!$P:$P,$S22,Students!$Q:$Q,$S$2&amp;if($K22="S1","a",if($K22="S2","b","")),Students!$A:$A,AR$2)+countifs(Students!$R:$R,$S22,Students!$S:$S,$S$2&amp;if($K22="S1","a",if($K22="S2","b","")),Students!$A:$A,AR$2)+countifs(Students!$T:$T,$S22,Students!$U:$U,$S$2&amp;if($K22="S1","a",if($K22="S2","b","")),Students!$A:$A,AR$2)+countifs(Students!$V:$V,$S22,Students!$W:$W,$S$2&amp;if($K22="S1","a",if($K22="S2","b","")),Students!$A:$A,AR$2)+
countifs(Students!$D:$D,$V22,Students!$E:$E,$V$2&amp;if($K22="S1","a",if($K22="S2","b","")),Students!$A:$A,AR$2)+countifs(Students!$F:$F,$V22,Students!$G:$G,$V$2&amp;if($K22="S1","a",if($K22="S2","b","")),Students!$A:$A,AR$2)+countifs(Students!$H:$H,$V22,Students!$I:$I,$V$2&amp;if($K22="S1","a",if($K22="S2","b","")),Students!$A:$A,AR$2)+countifs(Students!$J:$J,$V22,Students!$K:$K,$V$2&amp;if($K22="S1","a",if($K22="S2","b","")),Students!$A:$A,AR$2)+countifs(Students!$L:$L,$V22,Students!$M:$M,$V$2&amp;if($K22="S1","a",if($K22="S2","b","")),Students!$A:$A,AR$2)+countifs(Students!$N:$N,$V22,Students!$O:$O,$V$2&amp;if($K22="S1","a",if($K22="S2","b","")),Students!$A:$A,AR$2)+countifs(Students!$P:$P,$V22,Students!$Q:$Q,$V$2&amp;if($K22="S1","a",if($K22="S2","b","")),Students!$A:$A,AR$2)+countifs(Students!$R:$R,$V22,Students!$S:$S,$V$2&amp;if($K22="S1","a",if($K22="S2","b","")),Students!$A:$A,AR$2)+countifs(Students!$T:$T,$V22,Students!$U:$U,$V$2&amp;if($K22="S1","a",if($K22="S2","b","")),Students!$A:$A,AR$2)+countifs(Students!$V:$V,$V22,Students!$W:$W,$V$2&amp;if($K22="S1","a",if($K22="S2","b","")),Students!$A:$A,AR$2)+
countifs(Students!$D:$D,$Y22,Students!$E:$E,$Y$2&amp;if($K22="S1","a",if($K22="S2","b","")),Students!$A:$A,AR$2)+countifs(Students!$F:$F,$Y22,Students!$G:$G,$Y$2&amp;if($K22="S1","a",if($K22="S2","b","")),Students!$A:$A,AR$2)+countifs(Students!$H:$H,$Y22,Students!$I:$I,$Y$2&amp;if($K22="S1","a",if($K22="S2","b","")),Students!$A:$A,AR$2)+countifs(Students!$J:$J,$Y22,Students!$K:$K,$Y$2&amp;if($K22="S1","a",if($K22="S2","b","")),Students!$A:$A,AR$2)+countifs(Students!$L:$L,$Y22,Students!$M:$M,$Y$2&amp;if($K22="S1","a",if($K22="S2","b","")),Students!$A:$A,AR$2)+countifs(Students!$N:$N,$Y22,Students!$O:$O,$Y$2&amp;if($K22="S1","a",if($K22="S2","b","")),Students!$A:$A,AR$2)+countifs(Students!$P:$P,$Y22,Students!$Q:$Q,$Y$2&amp;if($K22="S1","a",if($K22="S2","b","")),Students!$A:$A,AR$2)+countifs(Students!$R:$R,$Y22,Students!$S:$S,$Y$2&amp;if($K22="S1","a",if($K22="S2","b","")),Students!$A:$A,AR$2)+countifs(Students!$T:$T,$Y22,Students!$U:$U,$Y$2&amp;if($K22="S1","a",if($K22="S2","b","")),Students!$A:$A,AR$2)+countifs(Students!$V:$V,$Y22,Students!$W:$W,$Y$2&amp;if($K22="S1","a",if($K22="S2","b","")),Students!$A:$A,AR$2)+
countifs(Students!$D:$D,$AB22,Students!$E:$E,$AB$2&amp;if($K22="S1","a",if($K22="S2","b","")),Students!$A:$A,AR$2)+countifs(Students!$F:$F,$AB22,Students!$G:$G,$AB$2&amp;if($K22="S1","a",if($K22="S2","b","")),Students!$A:$A,AR$2)+countifs(Students!$H:$H,$AB22,Students!$I:$I,$AB$2&amp;if($K22="S1","a",if($K22="S2","b","")),Students!$A:$A,AR$2)+countifs(Students!$J:$J,$AB22,Students!$K:$K,$AB$2&amp;if($K22="S1","a",if($K22="S2","b","")),Students!$A:$A,AR$2)+countifs(Students!$L:$L,$AB22,Students!$M:$M,$AB$2&amp;if($K22="S1","a",if($K22="S2","b","")),Students!$A:$A,AR$2)+countifs(Students!$N:$N,$AB22,Students!$O:$O,$AB$2&amp;if($K22="S1","a",if($K22="S2","b","")),Students!$A:$A,AR$2)+countifs(Students!$P:$P,$AB22,Students!$Q:$Q,$AB$2&amp;if($K22="S1","a",if($K22="S2","b","")),Students!$A:$A,AR$2)+countifs(Students!$R:$R,$AB22,Students!$S:$S,$AB$2&amp;if($K22="S1","a",if($K22="S2","b","")),Students!$A:$A,AR$2)+countifs(Students!$T:$T,$AB22,Students!$U:$U,$AB$2&amp;if($K22="S1","a",if($K22="S2","b","")),Students!$A:$A,AR$2)+countifs(Students!$V:$V,$AB22,Students!$W:$W,$AB$2&amp;if($K22="S1","a",if($K22="S2","b","")),Students!$A:$A,AR$2)+
countifs(Students!$D:$D,$AE22,Students!$E:$E,$AE$2&amp;if($K22="S1","a",if($K22="S2","b","")),Students!$A:$A,AR$2)+countifs(Students!$F:$F,$AE22,Students!$G:$G,$AE$2&amp;if($K22="S1","a",if($K22="S2","b","")),Students!$A:$A,AR$2)+countifs(Students!$H:$H,$AE22,Students!$I:$I,$AE$2&amp;if($K22="S1","a",if($K22="S2","b","")),Students!$A:$A,AR$2)+countifs(Students!$J:$J,$AE22,Students!$K:$K,$AE$2&amp;if($K22="S1","a",if($K22="S2","b","")),Students!$A:$A,AR$2)+countifs(Students!$L:$L,$AE22,Students!$M:$M,$AE$2&amp;if($K22="S1","a",if($K22="S2","b","")),Students!$A:$A,AR$2)+countifs(Students!$N:$N,$AE22,Students!$O:$O,$AE$2&amp;if($K22="S1","a",if($K22="S2","b","")),Students!$A:$A,AR$2)+countifs(Students!$P:$P,$AE22,Students!$Q:$Q,$AE$2&amp;if($K22="S1","a",if($K22="S2","b","")),Students!$A:$A,AR$2)+countifs(Students!$R:$R,$AE22,Students!$S:$S,$AE$2&amp;if($K22="S1","a",if($K22="S2","b","")),Students!$A:$A,AR$2)+countifs(Students!$T:$T,$AE22,Students!$U:$U,$AE$2&amp;if($K22="S1","a",if($K22="S2","b","")),Students!$A:$A,AR$2)+countifs(Students!$V:$V,$AE22,Students!$W:$W,$AE$2&amp;if($K22="S1","a",if($K22="S2","b","")),Students!$A:$A,AR$2)+
countifs(Students!$D:$D,$AH22,Students!$E:$E,$AH$2&amp;if($K22="S1","a",if($K22="S2","b","")),Students!$A:$A,AR$2)+countifs(Students!$F:$F,$AH22,Students!$G:$G,$AH$2&amp;if($K22="S1","a",if($K22="S2","b","")),Students!$A:$A,AR$2)+countifs(Students!$H:$H,$AH22,Students!$I:$I,$AH$2&amp;if($K22="S1","a",if($K22="S2","b","")),Students!$A:$A,AR$2)+countifs(Students!$J:$J,$AH22,Students!$K:$K,$AH$2&amp;if($K22="S1","a",if($K22="S2","b","")),Students!$A:$A,AR$2)+countifs(Students!$L:$L,$AH22,Students!$M:$M,$AH$2&amp;if($K22="S1","a",if($K22="S2","b","")),Students!$A:$A,AR$2)+countifs(Students!$N:$N,$AH22,Students!$O:$O,$AH$2&amp;if($K22="S1","a",if($K22="S2","b","")),Students!$A:$A,AR$2)+countifs(Students!$P:$P,$AH22,Students!$Q:$Q,$AH$2&amp;if($K22="S1","a",if($K22="S2","b","")),Students!$A:$A,AR$2)+countifs(Students!$R:$R,$AH22,Students!$S:$S,$AH$2&amp;if($K22="S1","a",if($K22="S2","b","")),Students!$A:$A,AR$2)+countifs(Students!$T:$T,$AH22,Students!$U:$U,$AH$2&amp;if($K22="S1","a",if($K22="S2","b","")),Students!$A:$A,AR$2)+countifs(Students!$V:$V,$AH22,Students!$W:$W,$AH$2&amp;if($K22="S1","a",if($K22="S2","b","")),Students!$A:$A,AR$2)+
countifs(Students!$D:$D,$AK22,Students!$E:$E,$AK$2&amp;if($K22="S1","a",if($K22="S2","b","")),Students!$A:$A,AR$2)+countifs(Students!$F:$F,$AK22,Students!$G:$G,$AK$2&amp;if($K22="S1","a",if($K22="S2","b","")),Students!$A:$A,AR$2)+countifs(Students!$H:$H,$AK22,Students!$I:$I,$AK$2&amp;if($K22="S1","a",if($K22="S2","b","")),Students!$A:$A,AR$2)+countifs(Students!$J:$J,$AK22,Students!$K:$K,$AK$2&amp;if($K22="S1","a",if($K22="S2","b","")),Students!$A:$A,AR$2)+countifs(Students!$L:$L,$AK22,Students!$M:$M,$AK$2&amp;if($K22="S1","a",if($K22="S2","b","")),Students!$A:$A,AR$2)+countifs(Students!$N:$N,$AK22,Students!$O:$O,$AK$2&amp;if($K22="S1","a",if($K22="S2","b","")),Students!$A:$A,AR$2)+countifs(Students!$P:$P,$AK22,Students!$Q:$Q,$AK$2&amp;if($K22="S1","a",if($K22="S2","b","")),Students!$A:$A,AR$2)+countifs(Students!$R:$R,$AK22,Students!$S:$S,$AK$2&amp;if($K22="S1","a",if($K22="S2","b","")),Students!$A:$A,AR$2)+countifs(Students!$T:$T,$AK22,Students!$U:$U,$AK$2&amp;if($K22="S1","a",if($K22="S2","b","")),Students!$A:$A,AR$2)+countifs(Students!$V:$V,$AK22,Students!$W:$W,$AK$2&amp;if($K22="S1","a",if($K22="S2","b","")),Students!$A:$A,AR$2))</f>
        <v>0</v>
      </c>
      <c r="AS22" s="102">
        <f>if($L22="","",countifs(Students!$D:$D,$P22,Students!$E:$E,$P$2&amp;if($K22="S1","a",if($K22="S2","b","")),Students!$A:$A,AS$2)+countifs(Students!$F:$F,$P22,Students!$G:$G,$P$2&amp;if($K22="S1","a",if($K22="S2","b","")),Students!$A:$A,AS$2)+countifs(Students!$H:$H,$P22,Students!$I:$I,$P$2&amp;if($K22="S1","a",if($K22="S2","b","")),Students!$A:$A,AS$2)+countifs(Students!$J:$J,$P22,Students!$K:$K,$P$2&amp;if($K22="S1","a",if($K22="S2","b","")),Students!$A:$A,AS$2)+countifs(Students!$L:$L,$P22,Students!$M:$M,$P$2&amp;if($K22="S1","a",if($K22="S2","b","")),Students!$A:$A,AS$2)+countifs(Students!$N:$N,$P22,Students!$O:$O,$P$2&amp;if($K22="S1","a",if($K22="S2","b","")),Students!$A:$A,AS$2)+countifs(Students!$P:$P,$P22,Students!$Q:$Q,$P$2&amp;if($K22="S1","a",if($K22="S2","b","")),Students!$A:$A,AS$2)+countifs(Students!$R:$R,$P22,Students!$S:$S,$P$2&amp;if($K22="S1","a",if($K22="S2","b","")),Students!$A:$A,AS$2)+countifs(Students!$T:$T,$P22,Students!$U:$U,$P$2&amp;if($K22="S1","a",if($K22="S2","b","")),Students!$A:$A,AS$2)+countifs(Students!$V:$V,$P22,Students!$W:$W,$P$2&amp;if($K22="S1","a",if($K22="S2","b","")),Students!$A:$A,AS$2)+
countifs(Students!$D:$D,$S22,Students!$E:$E,$S$2&amp;if($K22="S1","a",if($K22="S2","b","")),Students!$A:$A,AS$2)+countifs(Students!$F:$F,$S22,Students!$G:$G,$S$2&amp;if($K22="S1","a",if($K22="S2","b","")),Students!$A:$A,AS$2)+countifs(Students!$H:$H,$S22,Students!$I:$I,$S$2&amp;if($K22="S1","a",if($K22="S2","b","")),Students!$A:$A,AS$2)+countifs(Students!$J:$J,$S22,Students!$K:$K,$S$2&amp;if($K22="S1","a",if($K22="S2","b","")),Students!$A:$A,AS$2)+countifs(Students!$L:$L,$S22,Students!$M:$M,$S$2&amp;if($K22="S1","a",if($K22="S2","b","")),Students!$A:$A,AS$2)+countifs(Students!$N:$N,$S22,Students!$O:$O,$S$2&amp;if($K22="S1","a",if($K22="S2","b","")),Students!$A:$A,AS$2)+countifs(Students!$P:$P,$S22,Students!$Q:$Q,$S$2&amp;if($K22="S1","a",if($K22="S2","b","")),Students!$A:$A,AS$2)+countifs(Students!$R:$R,$S22,Students!$S:$S,$S$2&amp;if($K22="S1","a",if($K22="S2","b","")),Students!$A:$A,AS$2)+countifs(Students!$T:$T,$S22,Students!$U:$U,$S$2&amp;if($K22="S1","a",if($K22="S2","b","")),Students!$A:$A,AS$2)+countifs(Students!$V:$V,$S22,Students!$W:$W,$S$2&amp;if($K22="S1","a",if($K22="S2","b","")),Students!$A:$A,AS$2)+
countifs(Students!$D:$D,$V22,Students!$E:$E,$V$2&amp;if($K22="S1","a",if($K22="S2","b","")),Students!$A:$A,AS$2)+countifs(Students!$F:$F,$V22,Students!$G:$G,$V$2&amp;if($K22="S1","a",if($K22="S2","b","")),Students!$A:$A,AS$2)+countifs(Students!$H:$H,$V22,Students!$I:$I,$V$2&amp;if($K22="S1","a",if($K22="S2","b","")),Students!$A:$A,AS$2)+countifs(Students!$J:$J,$V22,Students!$K:$K,$V$2&amp;if($K22="S1","a",if($K22="S2","b","")),Students!$A:$A,AS$2)+countifs(Students!$L:$L,$V22,Students!$M:$M,$V$2&amp;if($K22="S1","a",if($K22="S2","b","")),Students!$A:$A,AS$2)+countifs(Students!$N:$N,$V22,Students!$O:$O,$V$2&amp;if($K22="S1","a",if($K22="S2","b","")),Students!$A:$A,AS$2)+countifs(Students!$P:$P,$V22,Students!$Q:$Q,$V$2&amp;if($K22="S1","a",if($K22="S2","b","")),Students!$A:$A,AS$2)+countifs(Students!$R:$R,$V22,Students!$S:$S,$V$2&amp;if($K22="S1","a",if($K22="S2","b","")),Students!$A:$A,AS$2)+countifs(Students!$T:$T,$V22,Students!$U:$U,$V$2&amp;if($K22="S1","a",if($K22="S2","b","")),Students!$A:$A,AS$2)+countifs(Students!$V:$V,$V22,Students!$W:$W,$V$2&amp;if($K22="S1","a",if($K22="S2","b","")),Students!$A:$A,AS$2)+
countifs(Students!$D:$D,$Y22,Students!$E:$E,$Y$2&amp;if($K22="S1","a",if($K22="S2","b","")),Students!$A:$A,AS$2)+countifs(Students!$F:$F,$Y22,Students!$G:$G,$Y$2&amp;if($K22="S1","a",if($K22="S2","b","")),Students!$A:$A,AS$2)+countifs(Students!$H:$H,$Y22,Students!$I:$I,$Y$2&amp;if($K22="S1","a",if($K22="S2","b","")),Students!$A:$A,AS$2)+countifs(Students!$J:$J,$Y22,Students!$K:$K,$Y$2&amp;if($K22="S1","a",if($K22="S2","b","")),Students!$A:$A,AS$2)+countifs(Students!$L:$L,$Y22,Students!$M:$M,$Y$2&amp;if($K22="S1","a",if($K22="S2","b","")),Students!$A:$A,AS$2)+countifs(Students!$N:$N,$Y22,Students!$O:$O,$Y$2&amp;if($K22="S1","a",if($K22="S2","b","")),Students!$A:$A,AS$2)+countifs(Students!$P:$P,$Y22,Students!$Q:$Q,$Y$2&amp;if($K22="S1","a",if($K22="S2","b","")),Students!$A:$A,AS$2)+countifs(Students!$R:$R,$Y22,Students!$S:$S,$Y$2&amp;if($K22="S1","a",if($K22="S2","b","")),Students!$A:$A,AS$2)+countifs(Students!$T:$T,$Y22,Students!$U:$U,$Y$2&amp;if($K22="S1","a",if($K22="S2","b","")),Students!$A:$A,AS$2)+countifs(Students!$V:$V,$Y22,Students!$W:$W,$Y$2&amp;if($K22="S1","a",if($K22="S2","b","")),Students!$A:$A,AS$2)+
countifs(Students!$D:$D,$AB22,Students!$E:$E,$AB$2&amp;if($K22="S1","a",if($K22="S2","b","")),Students!$A:$A,AS$2)+countifs(Students!$F:$F,$AB22,Students!$G:$G,$AB$2&amp;if($K22="S1","a",if($K22="S2","b","")),Students!$A:$A,AS$2)+countifs(Students!$H:$H,$AB22,Students!$I:$I,$AB$2&amp;if($K22="S1","a",if($K22="S2","b","")),Students!$A:$A,AS$2)+countifs(Students!$J:$J,$AB22,Students!$K:$K,$AB$2&amp;if($K22="S1","a",if($K22="S2","b","")),Students!$A:$A,AS$2)+countifs(Students!$L:$L,$AB22,Students!$M:$M,$AB$2&amp;if($K22="S1","a",if($K22="S2","b","")),Students!$A:$A,AS$2)+countifs(Students!$N:$N,$AB22,Students!$O:$O,$AB$2&amp;if($K22="S1","a",if($K22="S2","b","")),Students!$A:$A,AS$2)+countifs(Students!$P:$P,$AB22,Students!$Q:$Q,$AB$2&amp;if($K22="S1","a",if($K22="S2","b","")),Students!$A:$A,AS$2)+countifs(Students!$R:$R,$AB22,Students!$S:$S,$AB$2&amp;if($K22="S1","a",if($K22="S2","b","")),Students!$A:$A,AS$2)+countifs(Students!$T:$T,$AB22,Students!$U:$U,$AB$2&amp;if($K22="S1","a",if($K22="S2","b","")),Students!$A:$A,AS$2)+countifs(Students!$V:$V,$AB22,Students!$W:$W,$AB$2&amp;if($K22="S1","a",if($K22="S2","b","")),Students!$A:$A,AS$2)+
countifs(Students!$D:$D,$AE22,Students!$E:$E,$AE$2&amp;if($K22="S1","a",if($K22="S2","b","")),Students!$A:$A,AS$2)+countifs(Students!$F:$F,$AE22,Students!$G:$G,$AE$2&amp;if($K22="S1","a",if($K22="S2","b","")),Students!$A:$A,AS$2)+countifs(Students!$H:$H,$AE22,Students!$I:$I,$AE$2&amp;if($K22="S1","a",if($K22="S2","b","")),Students!$A:$A,AS$2)+countifs(Students!$J:$J,$AE22,Students!$K:$K,$AE$2&amp;if($K22="S1","a",if($K22="S2","b","")),Students!$A:$A,AS$2)+countifs(Students!$L:$L,$AE22,Students!$M:$M,$AE$2&amp;if($K22="S1","a",if($K22="S2","b","")),Students!$A:$A,AS$2)+countifs(Students!$N:$N,$AE22,Students!$O:$O,$AE$2&amp;if($K22="S1","a",if($K22="S2","b","")),Students!$A:$A,AS$2)+countifs(Students!$P:$P,$AE22,Students!$Q:$Q,$AE$2&amp;if($K22="S1","a",if($K22="S2","b","")),Students!$A:$A,AS$2)+countifs(Students!$R:$R,$AE22,Students!$S:$S,$AE$2&amp;if($K22="S1","a",if($K22="S2","b","")),Students!$A:$A,AS$2)+countifs(Students!$T:$T,$AE22,Students!$U:$U,$AE$2&amp;if($K22="S1","a",if($K22="S2","b","")),Students!$A:$A,AS$2)+countifs(Students!$V:$V,$AE22,Students!$W:$W,$AE$2&amp;if($K22="S1","a",if($K22="S2","b","")),Students!$A:$A,AS$2)+
countifs(Students!$D:$D,$AH22,Students!$E:$E,$AH$2&amp;if($K22="S1","a",if($K22="S2","b","")),Students!$A:$A,AS$2)+countifs(Students!$F:$F,$AH22,Students!$G:$G,$AH$2&amp;if($K22="S1","a",if($K22="S2","b","")),Students!$A:$A,AS$2)+countifs(Students!$H:$H,$AH22,Students!$I:$I,$AH$2&amp;if($K22="S1","a",if($K22="S2","b","")),Students!$A:$A,AS$2)+countifs(Students!$J:$J,$AH22,Students!$K:$K,$AH$2&amp;if($K22="S1","a",if($K22="S2","b","")),Students!$A:$A,AS$2)+countifs(Students!$L:$L,$AH22,Students!$M:$M,$AH$2&amp;if($K22="S1","a",if($K22="S2","b","")),Students!$A:$A,AS$2)+countifs(Students!$N:$N,$AH22,Students!$O:$O,$AH$2&amp;if($K22="S1","a",if($K22="S2","b","")),Students!$A:$A,AS$2)+countifs(Students!$P:$P,$AH22,Students!$Q:$Q,$AH$2&amp;if($K22="S1","a",if($K22="S2","b","")),Students!$A:$A,AS$2)+countifs(Students!$R:$R,$AH22,Students!$S:$S,$AH$2&amp;if($K22="S1","a",if($K22="S2","b","")),Students!$A:$A,AS$2)+countifs(Students!$T:$T,$AH22,Students!$U:$U,$AH$2&amp;if($K22="S1","a",if($K22="S2","b","")),Students!$A:$A,AS$2)+countifs(Students!$V:$V,$AH22,Students!$W:$W,$AH$2&amp;if($K22="S1","a",if($K22="S2","b","")),Students!$A:$A,AS$2)+
countifs(Students!$D:$D,$AK22,Students!$E:$E,$AK$2&amp;if($K22="S1","a",if($K22="S2","b","")),Students!$A:$A,AS$2)+countifs(Students!$F:$F,$AK22,Students!$G:$G,$AK$2&amp;if($K22="S1","a",if($K22="S2","b","")),Students!$A:$A,AS$2)+countifs(Students!$H:$H,$AK22,Students!$I:$I,$AK$2&amp;if($K22="S1","a",if($K22="S2","b","")),Students!$A:$A,AS$2)+countifs(Students!$J:$J,$AK22,Students!$K:$K,$AK$2&amp;if($K22="S1","a",if($K22="S2","b","")),Students!$A:$A,AS$2)+countifs(Students!$L:$L,$AK22,Students!$M:$M,$AK$2&amp;if($K22="S1","a",if($K22="S2","b","")),Students!$A:$A,AS$2)+countifs(Students!$N:$N,$AK22,Students!$O:$O,$AK$2&amp;if($K22="S1","a",if($K22="S2","b","")),Students!$A:$A,AS$2)+countifs(Students!$P:$P,$AK22,Students!$Q:$Q,$AK$2&amp;if($K22="S1","a",if($K22="S2","b","")),Students!$A:$A,AS$2)+countifs(Students!$R:$R,$AK22,Students!$S:$S,$AK$2&amp;if($K22="S1","a",if($K22="S2","b","")),Students!$A:$A,AS$2)+countifs(Students!$T:$T,$AK22,Students!$U:$U,$AK$2&amp;if($K22="S1","a",if($K22="S2","b","")),Students!$A:$A,AS$2)+countifs(Students!$V:$V,$AK22,Students!$W:$W,$AK$2&amp;if($K22="S1","a",if($K22="S2","b","")),Students!$A:$A,AS$2))</f>
        <v>0</v>
      </c>
    </row>
    <row r="23">
      <c r="J23" s="87">
        <v>92.0</v>
      </c>
      <c r="K23" s="70"/>
      <c r="L23" s="58" t="s">
        <v>77</v>
      </c>
      <c r="M23" s="117"/>
      <c r="N23" s="87">
        <v>1.0</v>
      </c>
      <c r="O23" s="87"/>
      <c r="P23" s="90"/>
      <c r="Q23" s="91"/>
      <c r="R23" s="92" t="s">
        <v>22</v>
      </c>
      <c r="S23" s="91"/>
      <c r="T23" s="91"/>
      <c r="U23" s="92" t="s">
        <v>22</v>
      </c>
      <c r="V23" s="91" t="s">
        <v>76</v>
      </c>
      <c r="W23" s="101">
        <v>2.0</v>
      </c>
      <c r="X23" s="98">
        <v>16.0</v>
      </c>
      <c r="Y23" s="103" t="s">
        <v>76</v>
      </c>
      <c r="Z23" s="101">
        <v>3.0</v>
      </c>
      <c r="AA23" s="98">
        <v>15.0</v>
      </c>
      <c r="AB23" s="94"/>
      <c r="AC23" s="118"/>
      <c r="AD23" s="95" t="s">
        <v>22</v>
      </c>
      <c r="AE23" s="90" t="s">
        <v>76</v>
      </c>
      <c r="AF23" s="91">
        <v>4.0</v>
      </c>
      <c r="AG23" s="92">
        <v>21.0</v>
      </c>
      <c r="AH23" s="91" t="s">
        <v>76</v>
      </c>
      <c r="AI23" s="97">
        <v>5.0</v>
      </c>
      <c r="AJ23" s="98">
        <v>21.0</v>
      </c>
      <c r="AK23" s="91" t="s">
        <v>76</v>
      </c>
      <c r="AL23" s="96">
        <v>6.0</v>
      </c>
      <c r="AM23" s="92">
        <v>19.0</v>
      </c>
      <c r="AN23" s="99"/>
      <c r="AO23" s="52">
        <f t="shared" si="2"/>
        <v>92</v>
      </c>
      <c r="AP23" s="102">
        <f>if($L23="","",countifs(Students!$D:$D,$P23,Students!$E:$E,$P$2&amp;if($K23="S1","a",if($K23="S2","b","")),Students!$A:$A,AP$2)+countifs(Students!$F:$F,$P23,Students!$G:$G,$P$2&amp;if($K23="S1","a",if($K23="S2","b","")),Students!$A:$A,AP$2)+countifs(Students!$H:$H,$P23,Students!$I:$I,$P$2&amp;if($K23="S1","a",if($K23="S2","b","")),Students!$A:$A,AP$2)+countifs(Students!$J:$J,$P23,Students!$K:$K,$P$2&amp;if($K23="S1","a",if($K23="S2","b","")),Students!$A:$A,AP$2)+countifs(Students!$L:$L,$P23,Students!$M:$M,$P$2&amp;if($K23="S1","a",if($K23="S2","b","")),Students!$A:$A,AP$2)+countifs(Students!$N:$N,$P23,Students!$O:$O,$P$2&amp;if($K23="S1","a",if($K23="S2","b","")),Students!$A:$A,AP$2)+countifs(Students!$P:$P,$P23,Students!$Q:$Q,$P$2&amp;if($K23="S1","a",if($K23="S2","b","")),Students!$A:$A,AP$2)+countifs(Students!$R:$R,$P23,Students!$S:$S,$P$2&amp;if($K23="S1","a",if($K23="S2","b","")),Students!$A:$A,AP$2)+countifs(Students!$T:$T,$P23,Students!$U:$U,$P$2&amp;if($K23="S1","a",if($K23="S2","b","")),Students!$A:$A,AP$2)+countifs(Students!$V:$V,$P23,Students!$W:$W,$P$2&amp;if($K23="S1","a",if($K23="S2","b","")),Students!$A:$A,AP$2)+
countifs(Students!$D:$D,$S23,Students!$E:$E,$S$2&amp;if($K23="S1","a",if($K23="S2","b","")),Students!$A:$A,AP$2)+countifs(Students!$F:$F,$S23,Students!$G:$G,$S$2&amp;if($K23="S1","a",if($K23="S2","b","")),Students!$A:$A,AP$2)+countifs(Students!$H:$H,$S23,Students!$I:$I,$S$2&amp;if($K23="S1","a",if($K23="S2","b","")),Students!$A:$A,AP$2)+countifs(Students!$J:$J,$S23,Students!$K:$K,$S$2&amp;if($K23="S1","a",if($K23="S2","b","")),Students!$A:$A,AP$2)+countifs(Students!$L:$L,$S23,Students!$M:$M,$S$2&amp;if($K23="S1","a",if($K23="S2","b","")),Students!$A:$A,AP$2)+countifs(Students!$N:$N,$S23,Students!$O:$O,$S$2&amp;if($K23="S1","a",if($K23="S2","b","")),Students!$A:$A,AP$2)+countifs(Students!$P:$P,$S23,Students!$Q:$Q,$S$2&amp;if($K23="S1","a",if($K23="S2","b","")),Students!$A:$A,AP$2)+countifs(Students!$R:$R,$S23,Students!$S:$S,$S$2&amp;if($K23="S1","a",if($K23="S2","b","")),Students!$A:$A,AP$2)+countifs(Students!$T:$T,$S23,Students!$U:$U,$S$2&amp;if($K23="S1","a",if($K23="S2","b","")),Students!$A:$A,AP$2)+countifs(Students!$V:$V,$S23,Students!$W:$W,$S$2&amp;if($K23="S1","a",if($K23="S2","b","")),Students!$A:$A,AP$2)+
countifs(Students!$D:$D,$V23,Students!$E:$E,$V$2&amp;if($K23="S1","a",if($K23="S2","b","")),Students!$A:$A,AP$2)+countifs(Students!$F:$F,$V23,Students!$G:$G,$V$2&amp;if($K23="S1","a",if($K23="S2","b","")),Students!$A:$A,AP$2)+countifs(Students!$H:$H,$V23,Students!$I:$I,$V$2&amp;if($K23="S1","a",if($K23="S2","b","")),Students!$A:$A,AP$2)+countifs(Students!$J:$J,$V23,Students!$K:$K,$V$2&amp;if($K23="S1","a",if($K23="S2","b","")),Students!$A:$A,AP$2)+countifs(Students!$L:$L,$V23,Students!$M:$M,$V$2&amp;if($K23="S1","a",if($K23="S2","b","")),Students!$A:$A,AP$2)+countifs(Students!$N:$N,$V23,Students!$O:$O,$V$2&amp;if($K23="S1","a",if($K23="S2","b","")),Students!$A:$A,AP$2)+countifs(Students!$P:$P,$V23,Students!$Q:$Q,$V$2&amp;if($K23="S1","a",if($K23="S2","b","")),Students!$A:$A,AP$2)+countifs(Students!$R:$R,$V23,Students!$S:$S,$V$2&amp;if($K23="S1","a",if($K23="S2","b","")),Students!$A:$A,AP$2)+countifs(Students!$T:$T,$V23,Students!$U:$U,$V$2&amp;if($K23="S1","a",if($K23="S2","b","")),Students!$A:$A,AP$2)+countifs(Students!$V:$V,$V23,Students!$W:$W,$V$2&amp;if($K23="S1","a",if($K23="S2","b","")),Students!$A:$A,AP$2)+
countifs(Students!$D:$D,$Y23,Students!$E:$E,$Y$2&amp;if($K23="S1","a",if($K23="S2","b","")),Students!$A:$A,AP$2)+countifs(Students!$F:$F,$Y23,Students!$G:$G,$Y$2&amp;if($K23="S1","a",if($K23="S2","b","")),Students!$A:$A,AP$2)+countifs(Students!$H:$H,$Y23,Students!$I:$I,$Y$2&amp;if($K23="S1","a",if($K23="S2","b","")),Students!$A:$A,AP$2)+countifs(Students!$J:$J,$Y23,Students!$K:$K,$Y$2&amp;if($K23="S1","a",if($K23="S2","b","")),Students!$A:$A,AP$2)+countifs(Students!$L:$L,$Y23,Students!$M:$M,$Y$2&amp;if($K23="S1","a",if($K23="S2","b","")),Students!$A:$A,AP$2)+countifs(Students!$N:$N,$Y23,Students!$O:$O,$Y$2&amp;if($K23="S1","a",if($K23="S2","b","")),Students!$A:$A,AP$2)+countifs(Students!$P:$P,$Y23,Students!$Q:$Q,$Y$2&amp;if($K23="S1","a",if($K23="S2","b","")),Students!$A:$A,AP$2)+countifs(Students!$R:$R,$Y23,Students!$S:$S,$Y$2&amp;if($K23="S1","a",if($K23="S2","b","")),Students!$A:$A,AP$2)+countifs(Students!$T:$T,$Y23,Students!$U:$U,$Y$2&amp;if($K23="S1","a",if($K23="S2","b","")),Students!$A:$A,AP$2)+countifs(Students!$V:$V,$Y23,Students!$W:$W,$Y$2&amp;if($K23="S1","a",if($K23="S2","b","")),Students!$A:$A,AP$2)+
countifs(Students!$D:$D,$AB23,Students!$E:$E,$AB$2&amp;if($K23="S1","a",if($K23="S2","b","")),Students!$A:$A,AP$2)+countifs(Students!$F:$F,$AB23,Students!$G:$G,$AB$2&amp;if($K23="S1","a",if($K23="S2","b","")),Students!$A:$A,AP$2)+countifs(Students!$H:$H,$AB23,Students!$I:$I,$AB$2&amp;if($K23="S1","a",if($K23="S2","b","")),Students!$A:$A,AP$2)+countifs(Students!$J:$J,$AB23,Students!$K:$K,$AB$2&amp;if($K23="S1","a",if($K23="S2","b","")),Students!$A:$A,AP$2)+countifs(Students!$L:$L,$AB23,Students!$M:$M,$AB$2&amp;if($K23="S1","a",if($K23="S2","b","")),Students!$A:$A,AP$2)+countifs(Students!$N:$N,$AB23,Students!$O:$O,$AB$2&amp;if($K23="S1","a",if($K23="S2","b","")),Students!$A:$A,AP$2)+countifs(Students!$P:$P,$AB23,Students!$Q:$Q,$AB$2&amp;if($K23="S1","a",if($K23="S2","b","")),Students!$A:$A,AP$2)+countifs(Students!$R:$R,$AB23,Students!$S:$S,$AB$2&amp;if($K23="S1","a",if($K23="S2","b","")),Students!$A:$A,AP$2)+countifs(Students!$T:$T,$AB23,Students!$U:$U,$AB$2&amp;if($K23="S1","a",if($K23="S2","b","")),Students!$A:$A,AP$2)+countifs(Students!$V:$V,$AB23,Students!$W:$W,$AB$2&amp;if($K23="S1","a",if($K23="S2","b","")),Students!$A:$A,AP$2)+
countifs(Students!$D:$D,$AE23,Students!$E:$E,$AE$2&amp;if($K23="S1","a",if($K23="S2","b","")),Students!$A:$A,AP$2)+countifs(Students!$F:$F,$AE23,Students!$G:$G,$AE$2&amp;if($K23="S1","a",if($K23="S2","b","")),Students!$A:$A,AP$2)+countifs(Students!$H:$H,$AE23,Students!$I:$I,$AE$2&amp;if($K23="S1","a",if($K23="S2","b","")),Students!$A:$A,AP$2)+countifs(Students!$J:$J,$AE23,Students!$K:$K,$AE$2&amp;if($K23="S1","a",if($K23="S2","b","")),Students!$A:$A,AP$2)+countifs(Students!$L:$L,$AE23,Students!$M:$M,$AE$2&amp;if($K23="S1","a",if($K23="S2","b","")),Students!$A:$A,AP$2)+countifs(Students!$N:$N,$AE23,Students!$O:$O,$AE$2&amp;if($K23="S1","a",if($K23="S2","b","")),Students!$A:$A,AP$2)+countifs(Students!$P:$P,$AE23,Students!$Q:$Q,$AE$2&amp;if($K23="S1","a",if($K23="S2","b","")),Students!$A:$A,AP$2)+countifs(Students!$R:$R,$AE23,Students!$S:$S,$AE$2&amp;if($K23="S1","a",if($K23="S2","b","")),Students!$A:$A,AP$2)+countifs(Students!$T:$T,$AE23,Students!$U:$U,$AE$2&amp;if($K23="S1","a",if($K23="S2","b","")),Students!$A:$A,AP$2)+countifs(Students!$V:$V,$AE23,Students!$W:$W,$AE$2&amp;if($K23="S1","a",if($K23="S2","b","")),Students!$A:$A,AP$2)+
countifs(Students!$D:$D,$AH23,Students!$E:$E,$AH$2&amp;if($K23="S1","a",if($K23="S2","b","")),Students!$A:$A,AP$2)+countifs(Students!$F:$F,$AH23,Students!$G:$G,$AH$2&amp;if($K23="S1","a",if($K23="S2","b","")),Students!$A:$A,AP$2)+countifs(Students!$H:$H,$AH23,Students!$I:$I,$AH$2&amp;if($K23="S1","a",if($K23="S2","b","")),Students!$A:$A,AP$2)+countifs(Students!$J:$J,$AH23,Students!$K:$K,$AH$2&amp;if($K23="S1","a",if($K23="S2","b","")),Students!$A:$A,AP$2)+countifs(Students!$L:$L,$AH23,Students!$M:$M,$AH$2&amp;if($K23="S1","a",if($K23="S2","b","")),Students!$A:$A,AP$2)+countifs(Students!$N:$N,$AH23,Students!$O:$O,$AH$2&amp;if($K23="S1","a",if($K23="S2","b","")),Students!$A:$A,AP$2)+countifs(Students!$P:$P,$AH23,Students!$Q:$Q,$AH$2&amp;if($K23="S1","a",if($K23="S2","b","")),Students!$A:$A,AP$2)+countifs(Students!$R:$R,$AH23,Students!$S:$S,$AH$2&amp;if($K23="S1","a",if($K23="S2","b","")),Students!$A:$A,AP$2)+countifs(Students!$T:$T,$AH23,Students!$U:$U,$AH$2&amp;if($K23="S1","a",if($K23="S2","b","")),Students!$A:$A,AP$2)+countifs(Students!$V:$V,$AH23,Students!$W:$W,$AH$2&amp;if($K23="S1","a",if($K23="S2","b","")),Students!$A:$A,AP$2)+
countifs(Students!$D:$D,$AK23,Students!$E:$E,$AK$2&amp;if($K23="S1","a",if($K23="S2","b","")),Students!$A:$A,AP$2)+countifs(Students!$F:$F,$AK23,Students!$G:$G,$AK$2&amp;if($K23="S1","a",if($K23="S2","b","")),Students!$A:$A,AP$2)+countifs(Students!$H:$H,$AK23,Students!$I:$I,$AK$2&amp;if($K23="S1","a",if($K23="S2","b","")),Students!$A:$A,AP$2)+countifs(Students!$J:$J,$AK23,Students!$K:$K,$AK$2&amp;if($K23="S1","a",if($K23="S2","b","")),Students!$A:$A,AP$2)+countifs(Students!$L:$L,$AK23,Students!$M:$M,$AK$2&amp;if($K23="S1","a",if($K23="S2","b","")),Students!$A:$A,AP$2)+countifs(Students!$N:$N,$AK23,Students!$O:$O,$AK$2&amp;if($K23="S1","a",if($K23="S2","b","")),Students!$A:$A,AP$2)+countifs(Students!$P:$P,$AK23,Students!$Q:$Q,$AK$2&amp;if($K23="S1","a",if($K23="S2","b","")),Students!$A:$A,AP$2)+countifs(Students!$R:$R,$AK23,Students!$S:$S,$AK$2&amp;if($K23="S1","a",if($K23="S2","b","")),Students!$A:$A,AP$2)+countifs(Students!$T:$T,$AK23,Students!$U:$U,$AK$2&amp;if($K23="S1","a",if($K23="S2","b","")),Students!$A:$A,AP$2)+countifs(Students!$V:$V,$AK23,Students!$W:$W,$AK$2&amp;if($K23="S1","a",if($K23="S2","b","")),Students!$A:$A,AP$2))</f>
        <v>32</v>
      </c>
      <c r="AQ23" s="102">
        <f>if($L23="","",countifs(Students!$D:$D,$P23,Students!$E:$E,$P$2&amp;if($K23="S1","a",if($K23="S2","b","")),Students!$A:$A,AQ$2)+countifs(Students!$F:$F,$P23,Students!$G:$G,$P$2&amp;if($K23="S1","a",if($K23="S2","b","")),Students!$A:$A,AQ$2)+countifs(Students!$H:$H,$P23,Students!$I:$I,$P$2&amp;if($K23="S1","a",if($K23="S2","b","")),Students!$A:$A,AQ$2)+countifs(Students!$J:$J,$P23,Students!$K:$K,$P$2&amp;if($K23="S1","a",if($K23="S2","b","")),Students!$A:$A,AQ$2)+countifs(Students!$L:$L,$P23,Students!$M:$M,$P$2&amp;if($K23="S1","a",if($K23="S2","b","")),Students!$A:$A,AQ$2)+countifs(Students!$N:$N,$P23,Students!$O:$O,$P$2&amp;if($K23="S1","a",if($K23="S2","b","")),Students!$A:$A,AQ$2)+countifs(Students!$P:$P,$P23,Students!$Q:$Q,$P$2&amp;if($K23="S1","a",if($K23="S2","b","")),Students!$A:$A,AQ$2)+countifs(Students!$R:$R,$P23,Students!$S:$S,$P$2&amp;if($K23="S1","a",if($K23="S2","b","")),Students!$A:$A,AQ$2)+countifs(Students!$T:$T,$P23,Students!$U:$U,$P$2&amp;if($K23="S1","a",if($K23="S2","b","")),Students!$A:$A,AQ$2)+countifs(Students!$V:$V,$P23,Students!$W:$W,$P$2&amp;if($K23="S1","a",if($K23="S2","b","")),Students!$A:$A,AQ$2)+
countifs(Students!$D:$D,$S23,Students!$E:$E,$S$2&amp;if($K23="S1","a",if($K23="S2","b","")),Students!$A:$A,AQ$2)+countifs(Students!$F:$F,$S23,Students!$G:$G,$S$2&amp;if($K23="S1","a",if($K23="S2","b","")),Students!$A:$A,AQ$2)+countifs(Students!$H:$H,$S23,Students!$I:$I,$S$2&amp;if($K23="S1","a",if($K23="S2","b","")),Students!$A:$A,AQ$2)+countifs(Students!$J:$J,$S23,Students!$K:$K,$S$2&amp;if($K23="S1","a",if($K23="S2","b","")),Students!$A:$A,AQ$2)+countifs(Students!$L:$L,$S23,Students!$M:$M,$S$2&amp;if($K23="S1","a",if($K23="S2","b","")),Students!$A:$A,AQ$2)+countifs(Students!$N:$N,$S23,Students!$O:$O,$S$2&amp;if($K23="S1","a",if($K23="S2","b","")),Students!$A:$A,AQ$2)+countifs(Students!$P:$P,$S23,Students!$Q:$Q,$S$2&amp;if($K23="S1","a",if($K23="S2","b","")),Students!$A:$A,AQ$2)+countifs(Students!$R:$R,$S23,Students!$S:$S,$S$2&amp;if($K23="S1","a",if($K23="S2","b","")),Students!$A:$A,AQ$2)+countifs(Students!$T:$T,$S23,Students!$U:$U,$S$2&amp;if($K23="S1","a",if($K23="S2","b","")),Students!$A:$A,AQ$2)+countifs(Students!$V:$V,$S23,Students!$W:$W,$S$2&amp;if($K23="S1","a",if($K23="S2","b","")),Students!$A:$A,AQ$2)+
countifs(Students!$D:$D,$V23,Students!$E:$E,$V$2&amp;if($K23="S1","a",if($K23="S2","b","")),Students!$A:$A,AQ$2)+countifs(Students!$F:$F,$V23,Students!$G:$G,$V$2&amp;if($K23="S1","a",if($K23="S2","b","")),Students!$A:$A,AQ$2)+countifs(Students!$H:$H,$V23,Students!$I:$I,$V$2&amp;if($K23="S1","a",if($K23="S2","b","")),Students!$A:$A,AQ$2)+countifs(Students!$J:$J,$V23,Students!$K:$K,$V$2&amp;if($K23="S1","a",if($K23="S2","b","")),Students!$A:$A,AQ$2)+countifs(Students!$L:$L,$V23,Students!$M:$M,$V$2&amp;if($K23="S1","a",if($K23="S2","b","")),Students!$A:$A,AQ$2)+countifs(Students!$N:$N,$V23,Students!$O:$O,$V$2&amp;if($K23="S1","a",if($K23="S2","b","")),Students!$A:$A,AQ$2)+countifs(Students!$P:$P,$V23,Students!$Q:$Q,$V$2&amp;if($K23="S1","a",if($K23="S2","b","")),Students!$A:$A,AQ$2)+countifs(Students!$R:$R,$V23,Students!$S:$S,$V$2&amp;if($K23="S1","a",if($K23="S2","b","")),Students!$A:$A,AQ$2)+countifs(Students!$T:$T,$V23,Students!$U:$U,$V$2&amp;if($K23="S1","a",if($K23="S2","b","")),Students!$A:$A,AQ$2)+countifs(Students!$V:$V,$V23,Students!$W:$W,$V$2&amp;if($K23="S1","a",if($K23="S2","b","")),Students!$A:$A,AQ$2)+
countifs(Students!$D:$D,$Y23,Students!$E:$E,$Y$2&amp;if($K23="S1","a",if($K23="S2","b","")),Students!$A:$A,AQ$2)+countifs(Students!$F:$F,$Y23,Students!$G:$G,$Y$2&amp;if($K23="S1","a",if($K23="S2","b","")),Students!$A:$A,AQ$2)+countifs(Students!$H:$H,$Y23,Students!$I:$I,$Y$2&amp;if($K23="S1","a",if($K23="S2","b","")),Students!$A:$A,AQ$2)+countifs(Students!$J:$J,$Y23,Students!$K:$K,$Y$2&amp;if($K23="S1","a",if($K23="S2","b","")),Students!$A:$A,AQ$2)+countifs(Students!$L:$L,$Y23,Students!$M:$M,$Y$2&amp;if($K23="S1","a",if($K23="S2","b","")),Students!$A:$A,AQ$2)+countifs(Students!$N:$N,$Y23,Students!$O:$O,$Y$2&amp;if($K23="S1","a",if($K23="S2","b","")),Students!$A:$A,AQ$2)+countifs(Students!$P:$P,$Y23,Students!$Q:$Q,$Y$2&amp;if($K23="S1","a",if($K23="S2","b","")),Students!$A:$A,AQ$2)+countifs(Students!$R:$R,$Y23,Students!$S:$S,$Y$2&amp;if($K23="S1","a",if($K23="S2","b","")),Students!$A:$A,AQ$2)+countifs(Students!$T:$T,$Y23,Students!$U:$U,$Y$2&amp;if($K23="S1","a",if($K23="S2","b","")),Students!$A:$A,AQ$2)+countifs(Students!$V:$V,$Y23,Students!$W:$W,$Y$2&amp;if($K23="S1","a",if($K23="S2","b","")),Students!$A:$A,AQ$2)+
countifs(Students!$D:$D,$AB23,Students!$E:$E,$AB$2&amp;if($K23="S1","a",if($K23="S2","b","")),Students!$A:$A,AQ$2)+countifs(Students!$F:$F,$AB23,Students!$G:$G,$AB$2&amp;if($K23="S1","a",if($K23="S2","b","")),Students!$A:$A,AQ$2)+countifs(Students!$H:$H,$AB23,Students!$I:$I,$AB$2&amp;if($K23="S1","a",if($K23="S2","b","")),Students!$A:$A,AQ$2)+countifs(Students!$J:$J,$AB23,Students!$K:$K,$AB$2&amp;if($K23="S1","a",if($K23="S2","b","")),Students!$A:$A,AQ$2)+countifs(Students!$L:$L,$AB23,Students!$M:$M,$AB$2&amp;if($K23="S1","a",if($K23="S2","b","")),Students!$A:$A,AQ$2)+countifs(Students!$N:$N,$AB23,Students!$O:$O,$AB$2&amp;if($K23="S1","a",if($K23="S2","b","")),Students!$A:$A,AQ$2)+countifs(Students!$P:$P,$AB23,Students!$Q:$Q,$AB$2&amp;if($K23="S1","a",if($K23="S2","b","")),Students!$A:$A,AQ$2)+countifs(Students!$R:$R,$AB23,Students!$S:$S,$AB$2&amp;if($K23="S1","a",if($K23="S2","b","")),Students!$A:$A,AQ$2)+countifs(Students!$T:$T,$AB23,Students!$U:$U,$AB$2&amp;if($K23="S1","a",if($K23="S2","b","")),Students!$A:$A,AQ$2)+countifs(Students!$V:$V,$AB23,Students!$W:$W,$AB$2&amp;if($K23="S1","a",if($K23="S2","b","")),Students!$A:$A,AQ$2)+
countifs(Students!$D:$D,$AE23,Students!$E:$E,$AE$2&amp;if($K23="S1","a",if($K23="S2","b","")),Students!$A:$A,AQ$2)+countifs(Students!$F:$F,$AE23,Students!$G:$G,$AE$2&amp;if($K23="S1","a",if($K23="S2","b","")),Students!$A:$A,AQ$2)+countifs(Students!$H:$H,$AE23,Students!$I:$I,$AE$2&amp;if($K23="S1","a",if($K23="S2","b","")),Students!$A:$A,AQ$2)+countifs(Students!$J:$J,$AE23,Students!$K:$K,$AE$2&amp;if($K23="S1","a",if($K23="S2","b","")),Students!$A:$A,AQ$2)+countifs(Students!$L:$L,$AE23,Students!$M:$M,$AE$2&amp;if($K23="S1","a",if($K23="S2","b","")),Students!$A:$A,AQ$2)+countifs(Students!$N:$N,$AE23,Students!$O:$O,$AE$2&amp;if($K23="S1","a",if($K23="S2","b","")),Students!$A:$A,AQ$2)+countifs(Students!$P:$P,$AE23,Students!$Q:$Q,$AE$2&amp;if($K23="S1","a",if($K23="S2","b","")),Students!$A:$A,AQ$2)+countifs(Students!$R:$R,$AE23,Students!$S:$S,$AE$2&amp;if($K23="S1","a",if($K23="S2","b","")),Students!$A:$A,AQ$2)+countifs(Students!$T:$T,$AE23,Students!$U:$U,$AE$2&amp;if($K23="S1","a",if($K23="S2","b","")),Students!$A:$A,AQ$2)+countifs(Students!$V:$V,$AE23,Students!$W:$W,$AE$2&amp;if($K23="S1","a",if($K23="S2","b","")),Students!$A:$A,AQ$2)+
countifs(Students!$D:$D,$AH23,Students!$E:$E,$AH$2&amp;if($K23="S1","a",if($K23="S2","b","")),Students!$A:$A,AQ$2)+countifs(Students!$F:$F,$AH23,Students!$G:$G,$AH$2&amp;if($K23="S1","a",if($K23="S2","b","")),Students!$A:$A,AQ$2)+countifs(Students!$H:$H,$AH23,Students!$I:$I,$AH$2&amp;if($K23="S1","a",if($K23="S2","b","")),Students!$A:$A,AQ$2)+countifs(Students!$J:$J,$AH23,Students!$K:$K,$AH$2&amp;if($K23="S1","a",if($K23="S2","b","")),Students!$A:$A,AQ$2)+countifs(Students!$L:$L,$AH23,Students!$M:$M,$AH$2&amp;if($K23="S1","a",if($K23="S2","b","")),Students!$A:$A,AQ$2)+countifs(Students!$N:$N,$AH23,Students!$O:$O,$AH$2&amp;if($K23="S1","a",if($K23="S2","b","")),Students!$A:$A,AQ$2)+countifs(Students!$P:$P,$AH23,Students!$Q:$Q,$AH$2&amp;if($K23="S1","a",if($K23="S2","b","")),Students!$A:$A,AQ$2)+countifs(Students!$R:$R,$AH23,Students!$S:$S,$AH$2&amp;if($K23="S1","a",if($K23="S2","b","")),Students!$A:$A,AQ$2)+countifs(Students!$T:$T,$AH23,Students!$U:$U,$AH$2&amp;if($K23="S1","a",if($K23="S2","b","")),Students!$A:$A,AQ$2)+countifs(Students!$V:$V,$AH23,Students!$W:$W,$AH$2&amp;if($K23="S1","a",if($K23="S2","b","")),Students!$A:$A,AQ$2)+
countifs(Students!$D:$D,$AK23,Students!$E:$E,$AK$2&amp;if($K23="S1","a",if($K23="S2","b","")),Students!$A:$A,AQ$2)+countifs(Students!$F:$F,$AK23,Students!$G:$G,$AK$2&amp;if($K23="S1","a",if($K23="S2","b","")),Students!$A:$A,AQ$2)+countifs(Students!$H:$H,$AK23,Students!$I:$I,$AK$2&amp;if($K23="S1","a",if($K23="S2","b","")),Students!$A:$A,AQ$2)+countifs(Students!$J:$J,$AK23,Students!$K:$K,$AK$2&amp;if($K23="S1","a",if($K23="S2","b","")),Students!$A:$A,AQ$2)+countifs(Students!$L:$L,$AK23,Students!$M:$M,$AK$2&amp;if($K23="S1","a",if($K23="S2","b","")),Students!$A:$A,AQ$2)+countifs(Students!$N:$N,$AK23,Students!$O:$O,$AK$2&amp;if($K23="S1","a",if($K23="S2","b","")),Students!$A:$A,AQ$2)+countifs(Students!$P:$P,$AK23,Students!$Q:$Q,$AK$2&amp;if($K23="S1","a",if($K23="S2","b","")),Students!$A:$A,AQ$2)+countifs(Students!$R:$R,$AK23,Students!$S:$S,$AK$2&amp;if($K23="S1","a",if($K23="S2","b","")),Students!$A:$A,AQ$2)+countifs(Students!$T:$T,$AK23,Students!$U:$U,$AK$2&amp;if($K23="S1","a",if($K23="S2","b","")),Students!$A:$A,AQ$2)+countifs(Students!$V:$V,$AK23,Students!$W:$W,$AK$2&amp;if($K23="S1","a",if($K23="S2","b","")),Students!$A:$A,AQ$2))</f>
        <v>60</v>
      </c>
      <c r="AR23" s="102">
        <f>if($L23="","",countifs(Students!$D:$D,$P23,Students!$E:$E,$P$2&amp;if($K23="S1","a",if($K23="S2","b","")),Students!$A:$A,AR$2)+countifs(Students!$F:$F,$P23,Students!$G:$G,$P$2&amp;if($K23="S1","a",if($K23="S2","b","")),Students!$A:$A,AR$2)+countifs(Students!$H:$H,$P23,Students!$I:$I,$P$2&amp;if($K23="S1","a",if($K23="S2","b","")),Students!$A:$A,AR$2)+countifs(Students!$J:$J,$P23,Students!$K:$K,$P$2&amp;if($K23="S1","a",if($K23="S2","b","")),Students!$A:$A,AR$2)+countifs(Students!$L:$L,$P23,Students!$M:$M,$P$2&amp;if($K23="S1","a",if($K23="S2","b","")),Students!$A:$A,AR$2)+countifs(Students!$N:$N,$P23,Students!$O:$O,$P$2&amp;if($K23="S1","a",if($K23="S2","b","")),Students!$A:$A,AR$2)+countifs(Students!$P:$P,$P23,Students!$Q:$Q,$P$2&amp;if($K23="S1","a",if($K23="S2","b","")),Students!$A:$A,AR$2)+countifs(Students!$R:$R,$P23,Students!$S:$S,$P$2&amp;if($K23="S1","a",if($K23="S2","b","")),Students!$A:$A,AR$2)+countifs(Students!$T:$T,$P23,Students!$U:$U,$P$2&amp;if($K23="S1","a",if($K23="S2","b","")),Students!$A:$A,AR$2)+countifs(Students!$V:$V,$P23,Students!$W:$W,$P$2&amp;if($K23="S1","a",if($K23="S2","b","")),Students!$A:$A,AR$2)+
countifs(Students!$D:$D,$S23,Students!$E:$E,$S$2&amp;if($K23="S1","a",if($K23="S2","b","")),Students!$A:$A,AR$2)+countifs(Students!$F:$F,$S23,Students!$G:$G,$S$2&amp;if($K23="S1","a",if($K23="S2","b","")),Students!$A:$A,AR$2)+countifs(Students!$H:$H,$S23,Students!$I:$I,$S$2&amp;if($K23="S1","a",if($K23="S2","b","")),Students!$A:$A,AR$2)+countifs(Students!$J:$J,$S23,Students!$K:$K,$S$2&amp;if($K23="S1","a",if($K23="S2","b","")),Students!$A:$A,AR$2)+countifs(Students!$L:$L,$S23,Students!$M:$M,$S$2&amp;if($K23="S1","a",if($K23="S2","b","")),Students!$A:$A,AR$2)+countifs(Students!$N:$N,$S23,Students!$O:$O,$S$2&amp;if($K23="S1","a",if($K23="S2","b","")),Students!$A:$A,AR$2)+countifs(Students!$P:$P,$S23,Students!$Q:$Q,$S$2&amp;if($K23="S1","a",if($K23="S2","b","")),Students!$A:$A,AR$2)+countifs(Students!$R:$R,$S23,Students!$S:$S,$S$2&amp;if($K23="S1","a",if($K23="S2","b","")),Students!$A:$A,AR$2)+countifs(Students!$T:$T,$S23,Students!$U:$U,$S$2&amp;if($K23="S1","a",if($K23="S2","b","")),Students!$A:$A,AR$2)+countifs(Students!$V:$V,$S23,Students!$W:$W,$S$2&amp;if($K23="S1","a",if($K23="S2","b","")),Students!$A:$A,AR$2)+
countifs(Students!$D:$D,$V23,Students!$E:$E,$V$2&amp;if($K23="S1","a",if($K23="S2","b","")),Students!$A:$A,AR$2)+countifs(Students!$F:$F,$V23,Students!$G:$G,$V$2&amp;if($K23="S1","a",if($K23="S2","b","")),Students!$A:$A,AR$2)+countifs(Students!$H:$H,$V23,Students!$I:$I,$V$2&amp;if($K23="S1","a",if($K23="S2","b","")),Students!$A:$A,AR$2)+countifs(Students!$J:$J,$V23,Students!$K:$K,$V$2&amp;if($K23="S1","a",if($K23="S2","b","")),Students!$A:$A,AR$2)+countifs(Students!$L:$L,$V23,Students!$M:$M,$V$2&amp;if($K23="S1","a",if($K23="S2","b","")),Students!$A:$A,AR$2)+countifs(Students!$N:$N,$V23,Students!$O:$O,$V$2&amp;if($K23="S1","a",if($K23="S2","b","")),Students!$A:$A,AR$2)+countifs(Students!$P:$P,$V23,Students!$Q:$Q,$V$2&amp;if($K23="S1","a",if($K23="S2","b","")),Students!$A:$A,AR$2)+countifs(Students!$R:$R,$V23,Students!$S:$S,$V$2&amp;if($K23="S1","a",if($K23="S2","b","")),Students!$A:$A,AR$2)+countifs(Students!$T:$T,$V23,Students!$U:$U,$V$2&amp;if($K23="S1","a",if($K23="S2","b","")),Students!$A:$A,AR$2)+countifs(Students!$V:$V,$V23,Students!$W:$W,$V$2&amp;if($K23="S1","a",if($K23="S2","b","")),Students!$A:$A,AR$2)+
countifs(Students!$D:$D,$Y23,Students!$E:$E,$Y$2&amp;if($K23="S1","a",if($K23="S2","b","")),Students!$A:$A,AR$2)+countifs(Students!$F:$F,$Y23,Students!$G:$G,$Y$2&amp;if($K23="S1","a",if($K23="S2","b","")),Students!$A:$A,AR$2)+countifs(Students!$H:$H,$Y23,Students!$I:$I,$Y$2&amp;if($K23="S1","a",if($K23="S2","b","")),Students!$A:$A,AR$2)+countifs(Students!$J:$J,$Y23,Students!$K:$K,$Y$2&amp;if($K23="S1","a",if($K23="S2","b","")),Students!$A:$A,AR$2)+countifs(Students!$L:$L,$Y23,Students!$M:$M,$Y$2&amp;if($K23="S1","a",if($K23="S2","b","")),Students!$A:$A,AR$2)+countifs(Students!$N:$N,$Y23,Students!$O:$O,$Y$2&amp;if($K23="S1","a",if($K23="S2","b","")),Students!$A:$A,AR$2)+countifs(Students!$P:$P,$Y23,Students!$Q:$Q,$Y$2&amp;if($K23="S1","a",if($K23="S2","b","")),Students!$A:$A,AR$2)+countifs(Students!$R:$R,$Y23,Students!$S:$S,$Y$2&amp;if($K23="S1","a",if($K23="S2","b","")),Students!$A:$A,AR$2)+countifs(Students!$T:$T,$Y23,Students!$U:$U,$Y$2&amp;if($K23="S1","a",if($K23="S2","b","")),Students!$A:$A,AR$2)+countifs(Students!$V:$V,$Y23,Students!$W:$W,$Y$2&amp;if($K23="S1","a",if($K23="S2","b","")),Students!$A:$A,AR$2)+
countifs(Students!$D:$D,$AB23,Students!$E:$E,$AB$2&amp;if($K23="S1","a",if($K23="S2","b","")),Students!$A:$A,AR$2)+countifs(Students!$F:$F,$AB23,Students!$G:$G,$AB$2&amp;if($K23="S1","a",if($K23="S2","b","")),Students!$A:$A,AR$2)+countifs(Students!$H:$H,$AB23,Students!$I:$I,$AB$2&amp;if($K23="S1","a",if($K23="S2","b","")),Students!$A:$A,AR$2)+countifs(Students!$J:$J,$AB23,Students!$K:$K,$AB$2&amp;if($K23="S1","a",if($K23="S2","b","")),Students!$A:$A,AR$2)+countifs(Students!$L:$L,$AB23,Students!$M:$M,$AB$2&amp;if($K23="S1","a",if($K23="S2","b","")),Students!$A:$A,AR$2)+countifs(Students!$N:$N,$AB23,Students!$O:$O,$AB$2&amp;if($K23="S1","a",if($K23="S2","b","")),Students!$A:$A,AR$2)+countifs(Students!$P:$P,$AB23,Students!$Q:$Q,$AB$2&amp;if($K23="S1","a",if($K23="S2","b","")),Students!$A:$A,AR$2)+countifs(Students!$R:$R,$AB23,Students!$S:$S,$AB$2&amp;if($K23="S1","a",if($K23="S2","b","")),Students!$A:$A,AR$2)+countifs(Students!$T:$T,$AB23,Students!$U:$U,$AB$2&amp;if($K23="S1","a",if($K23="S2","b","")),Students!$A:$A,AR$2)+countifs(Students!$V:$V,$AB23,Students!$W:$W,$AB$2&amp;if($K23="S1","a",if($K23="S2","b","")),Students!$A:$A,AR$2)+
countifs(Students!$D:$D,$AE23,Students!$E:$E,$AE$2&amp;if($K23="S1","a",if($K23="S2","b","")),Students!$A:$A,AR$2)+countifs(Students!$F:$F,$AE23,Students!$G:$G,$AE$2&amp;if($K23="S1","a",if($K23="S2","b","")),Students!$A:$A,AR$2)+countifs(Students!$H:$H,$AE23,Students!$I:$I,$AE$2&amp;if($K23="S1","a",if($K23="S2","b","")),Students!$A:$A,AR$2)+countifs(Students!$J:$J,$AE23,Students!$K:$K,$AE$2&amp;if($K23="S1","a",if($K23="S2","b","")),Students!$A:$A,AR$2)+countifs(Students!$L:$L,$AE23,Students!$M:$M,$AE$2&amp;if($K23="S1","a",if($K23="S2","b","")),Students!$A:$A,AR$2)+countifs(Students!$N:$N,$AE23,Students!$O:$O,$AE$2&amp;if($K23="S1","a",if($K23="S2","b","")),Students!$A:$A,AR$2)+countifs(Students!$P:$P,$AE23,Students!$Q:$Q,$AE$2&amp;if($K23="S1","a",if($K23="S2","b","")),Students!$A:$A,AR$2)+countifs(Students!$R:$R,$AE23,Students!$S:$S,$AE$2&amp;if($K23="S1","a",if($K23="S2","b","")),Students!$A:$A,AR$2)+countifs(Students!$T:$T,$AE23,Students!$U:$U,$AE$2&amp;if($K23="S1","a",if($K23="S2","b","")),Students!$A:$A,AR$2)+countifs(Students!$V:$V,$AE23,Students!$W:$W,$AE$2&amp;if($K23="S1","a",if($K23="S2","b","")),Students!$A:$A,AR$2)+
countifs(Students!$D:$D,$AH23,Students!$E:$E,$AH$2&amp;if($K23="S1","a",if($K23="S2","b","")),Students!$A:$A,AR$2)+countifs(Students!$F:$F,$AH23,Students!$G:$G,$AH$2&amp;if($K23="S1","a",if($K23="S2","b","")),Students!$A:$A,AR$2)+countifs(Students!$H:$H,$AH23,Students!$I:$I,$AH$2&amp;if($K23="S1","a",if($K23="S2","b","")),Students!$A:$A,AR$2)+countifs(Students!$J:$J,$AH23,Students!$K:$K,$AH$2&amp;if($K23="S1","a",if($K23="S2","b","")),Students!$A:$A,AR$2)+countifs(Students!$L:$L,$AH23,Students!$M:$M,$AH$2&amp;if($K23="S1","a",if($K23="S2","b","")),Students!$A:$A,AR$2)+countifs(Students!$N:$N,$AH23,Students!$O:$O,$AH$2&amp;if($K23="S1","a",if($K23="S2","b","")),Students!$A:$A,AR$2)+countifs(Students!$P:$P,$AH23,Students!$Q:$Q,$AH$2&amp;if($K23="S1","a",if($K23="S2","b","")),Students!$A:$A,AR$2)+countifs(Students!$R:$R,$AH23,Students!$S:$S,$AH$2&amp;if($K23="S1","a",if($K23="S2","b","")),Students!$A:$A,AR$2)+countifs(Students!$T:$T,$AH23,Students!$U:$U,$AH$2&amp;if($K23="S1","a",if($K23="S2","b","")),Students!$A:$A,AR$2)+countifs(Students!$V:$V,$AH23,Students!$W:$W,$AH$2&amp;if($K23="S1","a",if($K23="S2","b","")),Students!$A:$A,AR$2)+
countifs(Students!$D:$D,$AK23,Students!$E:$E,$AK$2&amp;if($K23="S1","a",if($K23="S2","b","")),Students!$A:$A,AR$2)+countifs(Students!$F:$F,$AK23,Students!$G:$G,$AK$2&amp;if($K23="S1","a",if($K23="S2","b","")),Students!$A:$A,AR$2)+countifs(Students!$H:$H,$AK23,Students!$I:$I,$AK$2&amp;if($K23="S1","a",if($K23="S2","b","")),Students!$A:$A,AR$2)+countifs(Students!$J:$J,$AK23,Students!$K:$K,$AK$2&amp;if($K23="S1","a",if($K23="S2","b","")),Students!$A:$A,AR$2)+countifs(Students!$L:$L,$AK23,Students!$M:$M,$AK$2&amp;if($K23="S1","a",if($K23="S2","b","")),Students!$A:$A,AR$2)+countifs(Students!$N:$N,$AK23,Students!$O:$O,$AK$2&amp;if($K23="S1","a",if($K23="S2","b","")),Students!$A:$A,AR$2)+countifs(Students!$P:$P,$AK23,Students!$Q:$Q,$AK$2&amp;if($K23="S1","a",if($K23="S2","b","")),Students!$A:$A,AR$2)+countifs(Students!$R:$R,$AK23,Students!$S:$S,$AK$2&amp;if($K23="S1","a",if($K23="S2","b","")),Students!$A:$A,AR$2)+countifs(Students!$T:$T,$AK23,Students!$U:$U,$AK$2&amp;if($K23="S1","a",if($K23="S2","b","")),Students!$A:$A,AR$2)+countifs(Students!$V:$V,$AK23,Students!$W:$W,$AK$2&amp;if($K23="S1","a",if($K23="S2","b","")),Students!$A:$A,AR$2))</f>
        <v>0</v>
      </c>
      <c r="AS23" s="102">
        <f>if($L23="","",countifs(Students!$D:$D,$P23,Students!$E:$E,$P$2&amp;if($K23="S1","a",if($K23="S2","b","")),Students!$A:$A,AS$2)+countifs(Students!$F:$F,$P23,Students!$G:$G,$P$2&amp;if($K23="S1","a",if($K23="S2","b","")),Students!$A:$A,AS$2)+countifs(Students!$H:$H,$P23,Students!$I:$I,$P$2&amp;if($K23="S1","a",if($K23="S2","b","")),Students!$A:$A,AS$2)+countifs(Students!$J:$J,$P23,Students!$K:$K,$P$2&amp;if($K23="S1","a",if($K23="S2","b","")),Students!$A:$A,AS$2)+countifs(Students!$L:$L,$P23,Students!$M:$M,$P$2&amp;if($K23="S1","a",if($K23="S2","b","")),Students!$A:$A,AS$2)+countifs(Students!$N:$N,$P23,Students!$O:$O,$P$2&amp;if($K23="S1","a",if($K23="S2","b","")),Students!$A:$A,AS$2)+countifs(Students!$P:$P,$P23,Students!$Q:$Q,$P$2&amp;if($K23="S1","a",if($K23="S2","b","")),Students!$A:$A,AS$2)+countifs(Students!$R:$R,$P23,Students!$S:$S,$P$2&amp;if($K23="S1","a",if($K23="S2","b","")),Students!$A:$A,AS$2)+countifs(Students!$T:$T,$P23,Students!$U:$U,$P$2&amp;if($K23="S1","a",if($K23="S2","b","")),Students!$A:$A,AS$2)+countifs(Students!$V:$V,$P23,Students!$W:$W,$P$2&amp;if($K23="S1","a",if($K23="S2","b","")),Students!$A:$A,AS$2)+
countifs(Students!$D:$D,$S23,Students!$E:$E,$S$2&amp;if($K23="S1","a",if($K23="S2","b","")),Students!$A:$A,AS$2)+countifs(Students!$F:$F,$S23,Students!$G:$G,$S$2&amp;if($K23="S1","a",if($K23="S2","b","")),Students!$A:$A,AS$2)+countifs(Students!$H:$H,$S23,Students!$I:$I,$S$2&amp;if($K23="S1","a",if($K23="S2","b","")),Students!$A:$A,AS$2)+countifs(Students!$J:$J,$S23,Students!$K:$K,$S$2&amp;if($K23="S1","a",if($K23="S2","b","")),Students!$A:$A,AS$2)+countifs(Students!$L:$L,$S23,Students!$M:$M,$S$2&amp;if($K23="S1","a",if($K23="S2","b","")),Students!$A:$A,AS$2)+countifs(Students!$N:$N,$S23,Students!$O:$O,$S$2&amp;if($K23="S1","a",if($K23="S2","b","")),Students!$A:$A,AS$2)+countifs(Students!$P:$P,$S23,Students!$Q:$Q,$S$2&amp;if($K23="S1","a",if($K23="S2","b","")),Students!$A:$A,AS$2)+countifs(Students!$R:$R,$S23,Students!$S:$S,$S$2&amp;if($K23="S1","a",if($K23="S2","b","")),Students!$A:$A,AS$2)+countifs(Students!$T:$T,$S23,Students!$U:$U,$S$2&amp;if($K23="S1","a",if($K23="S2","b","")),Students!$A:$A,AS$2)+countifs(Students!$V:$V,$S23,Students!$W:$W,$S$2&amp;if($K23="S1","a",if($K23="S2","b","")),Students!$A:$A,AS$2)+
countifs(Students!$D:$D,$V23,Students!$E:$E,$V$2&amp;if($K23="S1","a",if($K23="S2","b","")),Students!$A:$A,AS$2)+countifs(Students!$F:$F,$V23,Students!$G:$G,$V$2&amp;if($K23="S1","a",if($K23="S2","b","")),Students!$A:$A,AS$2)+countifs(Students!$H:$H,$V23,Students!$I:$I,$V$2&amp;if($K23="S1","a",if($K23="S2","b","")),Students!$A:$A,AS$2)+countifs(Students!$J:$J,$V23,Students!$K:$K,$V$2&amp;if($K23="S1","a",if($K23="S2","b","")),Students!$A:$A,AS$2)+countifs(Students!$L:$L,$V23,Students!$M:$M,$V$2&amp;if($K23="S1","a",if($K23="S2","b","")),Students!$A:$A,AS$2)+countifs(Students!$N:$N,$V23,Students!$O:$O,$V$2&amp;if($K23="S1","a",if($K23="S2","b","")),Students!$A:$A,AS$2)+countifs(Students!$P:$P,$V23,Students!$Q:$Q,$V$2&amp;if($K23="S1","a",if($K23="S2","b","")),Students!$A:$A,AS$2)+countifs(Students!$R:$R,$V23,Students!$S:$S,$V$2&amp;if($K23="S1","a",if($K23="S2","b","")),Students!$A:$A,AS$2)+countifs(Students!$T:$T,$V23,Students!$U:$U,$V$2&amp;if($K23="S1","a",if($K23="S2","b","")),Students!$A:$A,AS$2)+countifs(Students!$V:$V,$V23,Students!$W:$W,$V$2&amp;if($K23="S1","a",if($K23="S2","b","")),Students!$A:$A,AS$2)+
countifs(Students!$D:$D,$Y23,Students!$E:$E,$Y$2&amp;if($K23="S1","a",if($K23="S2","b","")),Students!$A:$A,AS$2)+countifs(Students!$F:$F,$Y23,Students!$G:$G,$Y$2&amp;if($K23="S1","a",if($K23="S2","b","")),Students!$A:$A,AS$2)+countifs(Students!$H:$H,$Y23,Students!$I:$I,$Y$2&amp;if($K23="S1","a",if($K23="S2","b","")),Students!$A:$A,AS$2)+countifs(Students!$J:$J,$Y23,Students!$K:$K,$Y$2&amp;if($K23="S1","a",if($K23="S2","b","")),Students!$A:$A,AS$2)+countifs(Students!$L:$L,$Y23,Students!$M:$M,$Y$2&amp;if($K23="S1","a",if($K23="S2","b","")),Students!$A:$A,AS$2)+countifs(Students!$N:$N,$Y23,Students!$O:$O,$Y$2&amp;if($K23="S1","a",if($K23="S2","b","")),Students!$A:$A,AS$2)+countifs(Students!$P:$P,$Y23,Students!$Q:$Q,$Y$2&amp;if($K23="S1","a",if($K23="S2","b","")),Students!$A:$A,AS$2)+countifs(Students!$R:$R,$Y23,Students!$S:$S,$Y$2&amp;if($K23="S1","a",if($K23="S2","b","")),Students!$A:$A,AS$2)+countifs(Students!$T:$T,$Y23,Students!$U:$U,$Y$2&amp;if($K23="S1","a",if($K23="S2","b","")),Students!$A:$A,AS$2)+countifs(Students!$V:$V,$Y23,Students!$W:$W,$Y$2&amp;if($K23="S1","a",if($K23="S2","b","")),Students!$A:$A,AS$2)+
countifs(Students!$D:$D,$AB23,Students!$E:$E,$AB$2&amp;if($K23="S1","a",if($K23="S2","b","")),Students!$A:$A,AS$2)+countifs(Students!$F:$F,$AB23,Students!$G:$G,$AB$2&amp;if($K23="S1","a",if($K23="S2","b","")),Students!$A:$A,AS$2)+countifs(Students!$H:$H,$AB23,Students!$I:$I,$AB$2&amp;if($K23="S1","a",if($K23="S2","b","")),Students!$A:$A,AS$2)+countifs(Students!$J:$J,$AB23,Students!$K:$K,$AB$2&amp;if($K23="S1","a",if($K23="S2","b","")),Students!$A:$A,AS$2)+countifs(Students!$L:$L,$AB23,Students!$M:$M,$AB$2&amp;if($K23="S1","a",if($K23="S2","b","")),Students!$A:$A,AS$2)+countifs(Students!$N:$N,$AB23,Students!$O:$O,$AB$2&amp;if($K23="S1","a",if($K23="S2","b","")),Students!$A:$A,AS$2)+countifs(Students!$P:$P,$AB23,Students!$Q:$Q,$AB$2&amp;if($K23="S1","a",if($K23="S2","b","")),Students!$A:$A,AS$2)+countifs(Students!$R:$R,$AB23,Students!$S:$S,$AB$2&amp;if($K23="S1","a",if($K23="S2","b","")),Students!$A:$A,AS$2)+countifs(Students!$T:$T,$AB23,Students!$U:$U,$AB$2&amp;if($K23="S1","a",if($K23="S2","b","")),Students!$A:$A,AS$2)+countifs(Students!$V:$V,$AB23,Students!$W:$W,$AB$2&amp;if($K23="S1","a",if($K23="S2","b","")),Students!$A:$A,AS$2)+
countifs(Students!$D:$D,$AE23,Students!$E:$E,$AE$2&amp;if($K23="S1","a",if($K23="S2","b","")),Students!$A:$A,AS$2)+countifs(Students!$F:$F,$AE23,Students!$G:$G,$AE$2&amp;if($K23="S1","a",if($K23="S2","b","")),Students!$A:$A,AS$2)+countifs(Students!$H:$H,$AE23,Students!$I:$I,$AE$2&amp;if($K23="S1","a",if($K23="S2","b","")),Students!$A:$A,AS$2)+countifs(Students!$J:$J,$AE23,Students!$K:$K,$AE$2&amp;if($K23="S1","a",if($K23="S2","b","")),Students!$A:$A,AS$2)+countifs(Students!$L:$L,$AE23,Students!$M:$M,$AE$2&amp;if($K23="S1","a",if($K23="S2","b","")),Students!$A:$A,AS$2)+countifs(Students!$N:$N,$AE23,Students!$O:$O,$AE$2&amp;if($K23="S1","a",if($K23="S2","b","")),Students!$A:$A,AS$2)+countifs(Students!$P:$P,$AE23,Students!$Q:$Q,$AE$2&amp;if($K23="S1","a",if($K23="S2","b","")),Students!$A:$A,AS$2)+countifs(Students!$R:$R,$AE23,Students!$S:$S,$AE$2&amp;if($K23="S1","a",if($K23="S2","b","")),Students!$A:$A,AS$2)+countifs(Students!$T:$T,$AE23,Students!$U:$U,$AE$2&amp;if($K23="S1","a",if($K23="S2","b","")),Students!$A:$A,AS$2)+countifs(Students!$V:$V,$AE23,Students!$W:$W,$AE$2&amp;if($K23="S1","a",if($K23="S2","b","")),Students!$A:$A,AS$2)+
countifs(Students!$D:$D,$AH23,Students!$E:$E,$AH$2&amp;if($K23="S1","a",if($K23="S2","b","")),Students!$A:$A,AS$2)+countifs(Students!$F:$F,$AH23,Students!$G:$G,$AH$2&amp;if($K23="S1","a",if($K23="S2","b","")),Students!$A:$A,AS$2)+countifs(Students!$H:$H,$AH23,Students!$I:$I,$AH$2&amp;if($K23="S1","a",if($K23="S2","b","")),Students!$A:$A,AS$2)+countifs(Students!$J:$J,$AH23,Students!$K:$K,$AH$2&amp;if($K23="S1","a",if($K23="S2","b","")),Students!$A:$A,AS$2)+countifs(Students!$L:$L,$AH23,Students!$M:$M,$AH$2&amp;if($K23="S1","a",if($K23="S2","b","")),Students!$A:$A,AS$2)+countifs(Students!$N:$N,$AH23,Students!$O:$O,$AH$2&amp;if($K23="S1","a",if($K23="S2","b","")),Students!$A:$A,AS$2)+countifs(Students!$P:$P,$AH23,Students!$Q:$Q,$AH$2&amp;if($K23="S1","a",if($K23="S2","b","")),Students!$A:$A,AS$2)+countifs(Students!$R:$R,$AH23,Students!$S:$S,$AH$2&amp;if($K23="S1","a",if($K23="S2","b","")),Students!$A:$A,AS$2)+countifs(Students!$T:$T,$AH23,Students!$U:$U,$AH$2&amp;if($K23="S1","a",if($K23="S2","b","")),Students!$A:$A,AS$2)+countifs(Students!$V:$V,$AH23,Students!$W:$W,$AH$2&amp;if($K23="S1","a",if($K23="S2","b","")),Students!$A:$A,AS$2)+
countifs(Students!$D:$D,$AK23,Students!$E:$E,$AK$2&amp;if($K23="S1","a",if($K23="S2","b","")),Students!$A:$A,AS$2)+countifs(Students!$F:$F,$AK23,Students!$G:$G,$AK$2&amp;if($K23="S1","a",if($K23="S2","b","")),Students!$A:$A,AS$2)+countifs(Students!$H:$H,$AK23,Students!$I:$I,$AK$2&amp;if($K23="S1","a",if($K23="S2","b","")),Students!$A:$A,AS$2)+countifs(Students!$J:$J,$AK23,Students!$K:$K,$AK$2&amp;if($K23="S1","a",if($K23="S2","b","")),Students!$A:$A,AS$2)+countifs(Students!$L:$L,$AK23,Students!$M:$M,$AK$2&amp;if($K23="S1","a",if($K23="S2","b","")),Students!$A:$A,AS$2)+countifs(Students!$N:$N,$AK23,Students!$O:$O,$AK$2&amp;if($K23="S1","a",if($K23="S2","b","")),Students!$A:$A,AS$2)+countifs(Students!$P:$P,$AK23,Students!$Q:$Q,$AK$2&amp;if($K23="S1","a",if($K23="S2","b","")),Students!$A:$A,AS$2)+countifs(Students!$R:$R,$AK23,Students!$S:$S,$AK$2&amp;if($K23="S1","a",if($K23="S2","b","")),Students!$A:$A,AS$2)+countifs(Students!$T:$T,$AK23,Students!$U:$U,$AK$2&amp;if($K23="S1","a",if($K23="S2","b","")),Students!$A:$A,AS$2)+countifs(Students!$V:$V,$AK23,Students!$W:$W,$AK$2&amp;if($K23="S1","a",if($K23="S2","b","")),Students!$A:$A,AS$2))</f>
        <v>0</v>
      </c>
    </row>
    <row r="24">
      <c r="J24" s="87">
        <v>105.0</v>
      </c>
      <c r="K24" s="70"/>
      <c r="L24" s="119" t="s">
        <v>78</v>
      </c>
      <c r="M24" s="117"/>
      <c r="N24" s="87">
        <v>1.0</v>
      </c>
      <c r="O24" s="87"/>
      <c r="P24" s="90" t="s">
        <v>79</v>
      </c>
      <c r="Q24" s="101">
        <v>1.0</v>
      </c>
      <c r="R24" s="98">
        <v>21.0</v>
      </c>
      <c r="S24" s="101"/>
      <c r="T24" s="101"/>
      <c r="U24" s="98" t="s">
        <v>22</v>
      </c>
      <c r="V24" s="91" t="s">
        <v>79</v>
      </c>
      <c r="W24" s="101">
        <v>2.0</v>
      </c>
      <c r="X24" s="98">
        <v>23.0</v>
      </c>
      <c r="Y24" s="103"/>
      <c r="Z24" s="117"/>
      <c r="AA24" s="98" t="s">
        <v>22</v>
      </c>
      <c r="AB24" s="91" t="s">
        <v>79</v>
      </c>
      <c r="AC24" s="101">
        <v>3.0</v>
      </c>
      <c r="AD24" s="92">
        <v>16.0</v>
      </c>
      <c r="AE24" s="90" t="s">
        <v>79</v>
      </c>
      <c r="AF24" s="91">
        <v>4.0</v>
      </c>
      <c r="AG24" s="92">
        <v>21.0</v>
      </c>
      <c r="AH24" s="107"/>
      <c r="AI24" s="98"/>
      <c r="AJ24" s="98" t="s">
        <v>22</v>
      </c>
      <c r="AK24" s="91" t="s">
        <v>79</v>
      </c>
      <c r="AL24" s="97">
        <v>5.0</v>
      </c>
      <c r="AM24" s="98">
        <v>24.0</v>
      </c>
      <c r="AN24" s="99"/>
      <c r="AO24" s="52">
        <f t="shared" si="2"/>
        <v>105</v>
      </c>
      <c r="AP24" s="102">
        <f>if($L24="","",countifs(Students!$D:$D,$P24,Students!$E:$E,$P$2&amp;if($K24="S1","a",if($K24="S2","b","")),Students!$A:$A,AP$2)+countifs(Students!$F:$F,$P24,Students!$G:$G,$P$2&amp;if($K24="S1","a",if($K24="S2","b","")),Students!$A:$A,AP$2)+countifs(Students!$H:$H,$P24,Students!$I:$I,$P$2&amp;if($K24="S1","a",if($K24="S2","b","")),Students!$A:$A,AP$2)+countifs(Students!$J:$J,$P24,Students!$K:$K,$P$2&amp;if($K24="S1","a",if($K24="S2","b","")),Students!$A:$A,AP$2)+countifs(Students!$L:$L,$P24,Students!$M:$M,$P$2&amp;if($K24="S1","a",if($K24="S2","b","")),Students!$A:$A,AP$2)+countifs(Students!$N:$N,$P24,Students!$O:$O,$P$2&amp;if($K24="S1","a",if($K24="S2","b","")),Students!$A:$A,AP$2)+countifs(Students!$P:$P,$P24,Students!$Q:$Q,$P$2&amp;if($K24="S1","a",if($K24="S2","b","")),Students!$A:$A,AP$2)+countifs(Students!$R:$R,$P24,Students!$S:$S,$P$2&amp;if($K24="S1","a",if($K24="S2","b","")),Students!$A:$A,AP$2)+countifs(Students!$T:$T,$P24,Students!$U:$U,$P$2&amp;if($K24="S1","a",if($K24="S2","b","")),Students!$A:$A,AP$2)+countifs(Students!$V:$V,$P24,Students!$W:$W,$P$2&amp;if($K24="S1","a",if($K24="S2","b","")),Students!$A:$A,AP$2)+
countifs(Students!$D:$D,$S24,Students!$E:$E,$S$2&amp;if($K24="S1","a",if($K24="S2","b","")),Students!$A:$A,AP$2)+countifs(Students!$F:$F,$S24,Students!$G:$G,$S$2&amp;if($K24="S1","a",if($K24="S2","b","")),Students!$A:$A,AP$2)+countifs(Students!$H:$H,$S24,Students!$I:$I,$S$2&amp;if($K24="S1","a",if($K24="S2","b","")),Students!$A:$A,AP$2)+countifs(Students!$J:$J,$S24,Students!$K:$K,$S$2&amp;if($K24="S1","a",if($K24="S2","b","")),Students!$A:$A,AP$2)+countifs(Students!$L:$L,$S24,Students!$M:$M,$S$2&amp;if($K24="S1","a",if($K24="S2","b","")),Students!$A:$A,AP$2)+countifs(Students!$N:$N,$S24,Students!$O:$O,$S$2&amp;if($K24="S1","a",if($K24="S2","b","")),Students!$A:$A,AP$2)+countifs(Students!$P:$P,$S24,Students!$Q:$Q,$S$2&amp;if($K24="S1","a",if($K24="S2","b","")),Students!$A:$A,AP$2)+countifs(Students!$R:$R,$S24,Students!$S:$S,$S$2&amp;if($K24="S1","a",if($K24="S2","b","")),Students!$A:$A,AP$2)+countifs(Students!$T:$T,$S24,Students!$U:$U,$S$2&amp;if($K24="S1","a",if($K24="S2","b","")),Students!$A:$A,AP$2)+countifs(Students!$V:$V,$S24,Students!$W:$W,$S$2&amp;if($K24="S1","a",if($K24="S2","b","")),Students!$A:$A,AP$2)+
countifs(Students!$D:$D,$V24,Students!$E:$E,$V$2&amp;if($K24="S1","a",if($K24="S2","b","")),Students!$A:$A,AP$2)+countifs(Students!$F:$F,$V24,Students!$G:$G,$V$2&amp;if($K24="S1","a",if($K24="S2","b","")),Students!$A:$A,AP$2)+countifs(Students!$H:$H,$V24,Students!$I:$I,$V$2&amp;if($K24="S1","a",if($K24="S2","b","")),Students!$A:$A,AP$2)+countifs(Students!$J:$J,$V24,Students!$K:$K,$V$2&amp;if($K24="S1","a",if($K24="S2","b","")),Students!$A:$A,AP$2)+countifs(Students!$L:$L,$V24,Students!$M:$M,$V$2&amp;if($K24="S1","a",if($K24="S2","b","")),Students!$A:$A,AP$2)+countifs(Students!$N:$N,$V24,Students!$O:$O,$V$2&amp;if($K24="S1","a",if($K24="S2","b","")),Students!$A:$A,AP$2)+countifs(Students!$P:$P,$V24,Students!$Q:$Q,$V$2&amp;if($K24="S1","a",if($K24="S2","b","")),Students!$A:$A,AP$2)+countifs(Students!$R:$R,$V24,Students!$S:$S,$V$2&amp;if($K24="S1","a",if($K24="S2","b","")),Students!$A:$A,AP$2)+countifs(Students!$T:$T,$V24,Students!$U:$U,$V$2&amp;if($K24="S1","a",if($K24="S2","b","")),Students!$A:$A,AP$2)+countifs(Students!$V:$V,$V24,Students!$W:$W,$V$2&amp;if($K24="S1","a",if($K24="S2","b","")),Students!$A:$A,AP$2)+
countifs(Students!$D:$D,$Y24,Students!$E:$E,$Y$2&amp;if($K24="S1","a",if($K24="S2","b","")),Students!$A:$A,AP$2)+countifs(Students!$F:$F,$Y24,Students!$G:$G,$Y$2&amp;if($K24="S1","a",if($K24="S2","b","")),Students!$A:$A,AP$2)+countifs(Students!$H:$H,$Y24,Students!$I:$I,$Y$2&amp;if($K24="S1","a",if($K24="S2","b","")),Students!$A:$A,AP$2)+countifs(Students!$J:$J,$Y24,Students!$K:$K,$Y$2&amp;if($K24="S1","a",if($K24="S2","b","")),Students!$A:$A,AP$2)+countifs(Students!$L:$L,$Y24,Students!$M:$M,$Y$2&amp;if($K24="S1","a",if($K24="S2","b","")),Students!$A:$A,AP$2)+countifs(Students!$N:$N,$Y24,Students!$O:$O,$Y$2&amp;if($K24="S1","a",if($K24="S2","b","")),Students!$A:$A,AP$2)+countifs(Students!$P:$P,$Y24,Students!$Q:$Q,$Y$2&amp;if($K24="S1","a",if($K24="S2","b","")),Students!$A:$A,AP$2)+countifs(Students!$R:$R,$Y24,Students!$S:$S,$Y$2&amp;if($K24="S1","a",if($K24="S2","b","")),Students!$A:$A,AP$2)+countifs(Students!$T:$T,$Y24,Students!$U:$U,$Y$2&amp;if($K24="S1","a",if($K24="S2","b","")),Students!$A:$A,AP$2)+countifs(Students!$V:$V,$Y24,Students!$W:$W,$Y$2&amp;if($K24="S1","a",if($K24="S2","b","")),Students!$A:$A,AP$2)+
countifs(Students!$D:$D,$AB24,Students!$E:$E,$AB$2&amp;if($K24="S1","a",if($K24="S2","b","")),Students!$A:$A,AP$2)+countifs(Students!$F:$F,$AB24,Students!$G:$G,$AB$2&amp;if($K24="S1","a",if($K24="S2","b","")),Students!$A:$A,AP$2)+countifs(Students!$H:$H,$AB24,Students!$I:$I,$AB$2&amp;if($K24="S1","a",if($K24="S2","b","")),Students!$A:$A,AP$2)+countifs(Students!$J:$J,$AB24,Students!$K:$K,$AB$2&amp;if($K24="S1","a",if($K24="S2","b","")),Students!$A:$A,AP$2)+countifs(Students!$L:$L,$AB24,Students!$M:$M,$AB$2&amp;if($K24="S1","a",if($K24="S2","b","")),Students!$A:$A,AP$2)+countifs(Students!$N:$N,$AB24,Students!$O:$O,$AB$2&amp;if($K24="S1","a",if($K24="S2","b","")),Students!$A:$A,AP$2)+countifs(Students!$P:$P,$AB24,Students!$Q:$Q,$AB$2&amp;if($K24="S1","a",if($K24="S2","b","")),Students!$A:$A,AP$2)+countifs(Students!$R:$R,$AB24,Students!$S:$S,$AB$2&amp;if($K24="S1","a",if($K24="S2","b","")),Students!$A:$A,AP$2)+countifs(Students!$T:$T,$AB24,Students!$U:$U,$AB$2&amp;if($K24="S1","a",if($K24="S2","b","")),Students!$A:$A,AP$2)+countifs(Students!$V:$V,$AB24,Students!$W:$W,$AB$2&amp;if($K24="S1","a",if($K24="S2","b","")),Students!$A:$A,AP$2)+
countifs(Students!$D:$D,$AE24,Students!$E:$E,$AE$2&amp;if($K24="S1","a",if($K24="S2","b","")),Students!$A:$A,AP$2)+countifs(Students!$F:$F,$AE24,Students!$G:$G,$AE$2&amp;if($K24="S1","a",if($K24="S2","b","")),Students!$A:$A,AP$2)+countifs(Students!$H:$H,$AE24,Students!$I:$I,$AE$2&amp;if($K24="S1","a",if($K24="S2","b","")),Students!$A:$A,AP$2)+countifs(Students!$J:$J,$AE24,Students!$K:$K,$AE$2&amp;if($K24="S1","a",if($K24="S2","b","")),Students!$A:$A,AP$2)+countifs(Students!$L:$L,$AE24,Students!$M:$M,$AE$2&amp;if($K24="S1","a",if($K24="S2","b","")),Students!$A:$A,AP$2)+countifs(Students!$N:$N,$AE24,Students!$O:$O,$AE$2&amp;if($K24="S1","a",if($K24="S2","b","")),Students!$A:$A,AP$2)+countifs(Students!$P:$P,$AE24,Students!$Q:$Q,$AE$2&amp;if($K24="S1","a",if($K24="S2","b","")),Students!$A:$A,AP$2)+countifs(Students!$R:$R,$AE24,Students!$S:$S,$AE$2&amp;if($K24="S1","a",if($K24="S2","b","")),Students!$A:$A,AP$2)+countifs(Students!$T:$T,$AE24,Students!$U:$U,$AE$2&amp;if($K24="S1","a",if($K24="S2","b","")),Students!$A:$A,AP$2)+countifs(Students!$V:$V,$AE24,Students!$W:$W,$AE$2&amp;if($K24="S1","a",if($K24="S2","b","")),Students!$A:$A,AP$2)+
countifs(Students!$D:$D,$AH24,Students!$E:$E,$AH$2&amp;if($K24="S1","a",if($K24="S2","b","")),Students!$A:$A,AP$2)+countifs(Students!$F:$F,$AH24,Students!$G:$G,$AH$2&amp;if($K24="S1","a",if($K24="S2","b","")),Students!$A:$A,AP$2)+countifs(Students!$H:$H,$AH24,Students!$I:$I,$AH$2&amp;if($K24="S1","a",if($K24="S2","b","")),Students!$A:$A,AP$2)+countifs(Students!$J:$J,$AH24,Students!$K:$K,$AH$2&amp;if($K24="S1","a",if($K24="S2","b","")),Students!$A:$A,AP$2)+countifs(Students!$L:$L,$AH24,Students!$M:$M,$AH$2&amp;if($K24="S1","a",if($K24="S2","b","")),Students!$A:$A,AP$2)+countifs(Students!$N:$N,$AH24,Students!$O:$O,$AH$2&amp;if($K24="S1","a",if($K24="S2","b","")),Students!$A:$A,AP$2)+countifs(Students!$P:$P,$AH24,Students!$Q:$Q,$AH$2&amp;if($K24="S1","a",if($K24="S2","b","")),Students!$A:$A,AP$2)+countifs(Students!$R:$R,$AH24,Students!$S:$S,$AH$2&amp;if($K24="S1","a",if($K24="S2","b","")),Students!$A:$A,AP$2)+countifs(Students!$T:$T,$AH24,Students!$U:$U,$AH$2&amp;if($K24="S1","a",if($K24="S2","b","")),Students!$A:$A,AP$2)+countifs(Students!$V:$V,$AH24,Students!$W:$W,$AH$2&amp;if($K24="S1","a",if($K24="S2","b","")),Students!$A:$A,AP$2)+
countifs(Students!$D:$D,$AK24,Students!$E:$E,$AK$2&amp;if($K24="S1","a",if($K24="S2","b","")),Students!$A:$A,AP$2)+countifs(Students!$F:$F,$AK24,Students!$G:$G,$AK$2&amp;if($K24="S1","a",if($K24="S2","b","")),Students!$A:$A,AP$2)+countifs(Students!$H:$H,$AK24,Students!$I:$I,$AK$2&amp;if($K24="S1","a",if($K24="S2","b","")),Students!$A:$A,AP$2)+countifs(Students!$J:$J,$AK24,Students!$K:$K,$AK$2&amp;if($K24="S1","a",if($K24="S2","b","")),Students!$A:$A,AP$2)+countifs(Students!$L:$L,$AK24,Students!$M:$M,$AK$2&amp;if($K24="S1","a",if($K24="S2","b","")),Students!$A:$A,AP$2)+countifs(Students!$N:$N,$AK24,Students!$O:$O,$AK$2&amp;if($K24="S1","a",if($K24="S2","b","")),Students!$A:$A,AP$2)+countifs(Students!$P:$P,$AK24,Students!$Q:$Q,$AK$2&amp;if($K24="S1","a",if($K24="S2","b","")),Students!$A:$A,AP$2)+countifs(Students!$R:$R,$AK24,Students!$S:$S,$AK$2&amp;if($K24="S1","a",if($K24="S2","b","")),Students!$A:$A,AP$2)+countifs(Students!$T:$T,$AK24,Students!$U:$U,$AK$2&amp;if($K24="S1","a",if($K24="S2","b","")),Students!$A:$A,AP$2)+countifs(Students!$V:$V,$AK24,Students!$W:$W,$AK$2&amp;if($K24="S1","a",if($K24="S2","b","")),Students!$A:$A,AP$2))</f>
        <v>0</v>
      </c>
      <c r="AQ24" s="102">
        <f>if($L24="","",countifs(Students!$D:$D,$P24,Students!$E:$E,$P$2&amp;if($K24="S1","a",if($K24="S2","b","")),Students!$A:$A,AQ$2)+countifs(Students!$F:$F,$P24,Students!$G:$G,$P$2&amp;if($K24="S1","a",if($K24="S2","b","")),Students!$A:$A,AQ$2)+countifs(Students!$H:$H,$P24,Students!$I:$I,$P$2&amp;if($K24="S1","a",if($K24="S2","b","")),Students!$A:$A,AQ$2)+countifs(Students!$J:$J,$P24,Students!$K:$K,$P$2&amp;if($K24="S1","a",if($K24="S2","b","")),Students!$A:$A,AQ$2)+countifs(Students!$L:$L,$P24,Students!$M:$M,$P$2&amp;if($K24="S1","a",if($K24="S2","b","")),Students!$A:$A,AQ$2)+countifs(Students!$N:$N,$P24,Students!$O:$O,$P$2&amp;if($K24="S1","a",if($K24="S2","b","")),Students!$A:$A,AQ$2)+countifs(Students!$P:$P,$P24,Students!$Q:$Q,$P$2&amp;if($K24="S1","a",if($K24="S2","b","")),Students!$A:$A,AQ$2)+countifs(Students!$R:$R,$P24,Students!$S:$S,$P$2&amp;if($K24="S1","a",if($K24="S2","b","")),Students!$A:$A,AQ$2)+countifs(Students!$T:$T,$P24,Students!$U:$U,$P$2&amp;if($K24="S1","a",if($K24="S2","b","")),Students!$A:$A,AQ$2)+countifs(Students!$V:$V,$P24,Students!$W:$W,$P$2&amp;if($K24="S1","a",if($K24="S2","b","")),Students!$A:$A,AQ$2)+
countifs(Students!$D:$D,$S24,Students!$E:$E,$S$2&amp;if($K24="S1","a",if($K24="S2","b","")),Students!$A:$A,AQ$2)+countifs(Students!$F:$F,$S24,Students!$G:$G,$S$2&amp;if($K24="S1","a",if($K24="S2","b","")),Students!$A:$A,AQ$2)+countifs(Students!$H:$H,$S24,Students!$I:$I,$S$2&amp;if($K24="S1","a",if($K24="S2","b","")),Students!$A:$A,AQ$2)+countifs(Students!$J:$J,$S24,Students!$K:$K,$S$2&amp;if($K24="S1","a",if($K24="S2","b","")),Students!$A:$A,AQ$2)+countifs(Students!$L:$L,$S24,Students!$M:$M,$S$2&amp;if($K24="S1","a",if($K24="S2","b","")),Students!$A:$A,AQ$2)+countifs(Students!$N:$N,$S24,Students!$O:$O,$S$2&amp;if($K24="S1","a",if($K24="S2","b","")),Students!$A:$A,AQ$2)+countifs(Students!$P:$P,$S24,Students!$Q:$Q,$S$2&amp;if($K24="S1","a",if($K24="S2","b","")),Students!$A:$A,AQ$2)+countifs(Students!$R:$R,$S24,Students!$S:$S,$S$2&amp;if($K24="S1","a",if($K24="S2","b","")),Students!$A:$A,AQ$2)+countifs(Students!$T:$T,$S24,Students!$U:$U,$S$2&amp;if($K24="S1","a",if($K24="S2","b","")),Students!$A:$A,AQ$2)+countifs(Students!$V:$V,$S24,Students!$W:$W,$S$2&amp;if($K24="S1","a",if($K24="S2","b","")),Students!$A:$A,AQ$2)+
countifs(Students!$D:$D,$V24,Students!$E:$E,$V$2&amp;if($K24="S1","a",if($K24="S2","b","")),Students!$A:$A,AQ$2)+countifs(Students!$F:$F,$V24,Students!$G:$G,$V$2&amp;if($K24="S1","a",if($K24="S2","b","")),Students!$A:$A,AQ$2)+countifs(Students!$H:$H,$V24,Students!$I:$I,$V$2&amp;if($K24="S1","a",if($K24="S2","b","")),Students!$A:$A,AQ$2)+countifs(Students!$J:$J,$V24,Students!$K:$K,$V$2&amp;if($K24="S1","a",if($K24="S2","b","")),Students!$A:$A,AQ$2)+countifs(Students!$L:$L,$V24,Students!$M:$M,$V$2&amp;if($K24="S1","a",if($K24="S2","b","")),Students!$A:$A,AQ$2)+countifs(Students!$N:$N,$V24,Students!$O:$O,$V$2&amp;if($K24="S1","a",if($K24="S2","b","")),Students!$A:$A,AQ$2)+countifs(Students!$P:$P,$V24,Students!$Q:$Q,$V$2&amp;if($K24="S1","a",if($K24="S2","b","")),Students!$A:$A,AQ$2)+countifs(Students!$R:$R,$V24,Students!$S:$S,$V$2&amp;if($K24="S1","a",if($K24="S2","b","")),Students!$A:$A,AQ$2)+countifs(Students!$T:$T,$V24,Students!$U:$U,$V$2&amp;if($K24="S1","a",if($K24="S2","b","")),Students!$A:$A,AQ$2)+countifs(Students!$V:$V,$V24,Students!$W:$W,$V$2&amp;if($K24="S1","a",if($K24="S2","b","")),Students!$A:$A,AQ$2)+
countifs(Students!$D:$D,$Y24,Students!$E:$E,$Y$2&amp;if($K24="S1","a",if($K24="S2","b","")),Students!$A:$A,AQ$2)+countifs(Students!$F:$F,$Y24,Students!$G:$G,$Y$2&amp;if($K24="S1","a",if($K24="S2","b","")),Students!$A:$A,AQ$2)+countifs(Students!$H:$H,$Y24,Students!$I:$I,$Y$2&amp;if($K24="S1","a",if($K24="S2","b","")),Students!$A:$A,AQ$2)+countifs(Students!$J:$J,$Y24,Students!$K:$K,$Y$2&amp;if($K24="S1","a",if($K24="S2","b","")),Students!$A:$A,AQ$2)+countifs(Students!$L:$L,$Y24,Students!$M:$M,$Y$2&amp;if($K24="S1","a",if($K24="S2","b","")),Students!$A:$A,AQ$2)+countifs(Students!$N:$N,$Y24,Students!$O:$O,$Y$2&amp;if($K24="S1","a",if($K24="S2","b","")),Students!$A:$A,AQ$2)+countifs(Students!$P:$P,$Y24,Students!$Q:$Q,$Y$2&amp;if($K24="S1","a",if($K24="S2","b","")),Students!$A:$A,AQ$2)+countifs(Students!$R:$R,$Y24,Students!$S:$S,$Y$2&amp;if($K24="S1","a",if($K24="S2","b","")),Students!$A:$A,AQ$2)+countifs(Students!$T:$T,$Y24,Students!$U:$U,$Y$2&amp;if($K24="S1","a",if($K24="S2","b","")),Students!$A:$A,AQ$2)+countifs(Students!$V:$V,$Y24,Students!$W:$W,$Y$2&amp;if($K24="S1","a",if($K24="S2","b","")),Students!$A:$A,AQ$2)+
countifs(Students!$D:$D,$AB24,Students!$E:$E,$AB$2&amp;if($K24="S1","a",if($K24="S2","b","")),Students!$A:$A,AQ$2)+countifs(Students!$F:$F,$AB24,Students!$G:$G,$AB$2&amp;if($K24="S1","a",if($K24="S2","b","")),Students!$A:$A,AQ$2)+countifs(Students!$H:$H,$AB24,Students!$I:$I,$AB$2&amp;if($K24="S1","a",if($K24="S2","b","")),Students!$A:$A,AQ$2)+countifs(Students!$J:$J,$AB24,Students!$K:$K,$AB$2&amp;if($K24="S1","a",if($K24="S2","b","")),Students!$A:$A,AQ$2)+countifs(Students!$L:$L,$AB24,Students!$M:$M,$AB$2&amp;if($K24="S1","a",if($K24="S2","b","")),Students!$A:$A,AQ$2)+countifs(Students!$N:$N,$AB24,Students!$O:$O,$AB$2&amp;if($K24="S1","a",if($K24="S2","b","")),Students!$A:$A,AQ$2)+countifs(Students!$P:$P,$AB24,Students!$Q:$Q,$AB$2&amp;if($K24="S1","a",if($K24="S2","b","")),Students!$A:$A,AQ$2)+countifs(Students!$R:$R,$AB24,Students!$S:$S,$AB$2&amp;if($K24="S1","a",if($K24="S2","b","")),Students!$A:$A,AQ$2)+countifs(Students!$T:$T,$AB24,Students!$U:$U,$AB$2&amp;if($K24="S1","a",if($K24="S2","b","")),Students!$A:$A,AQ$2)+countifs(Students!$V:$V,$AB24,Students!$W:$W,$AB$2&amp;if($K24="S1","a",if($K24="S2","b","")),Students!$A:$A,AQ$2)+
countifs(Students!$D:$D,$AE24,Students!$E:$E,$AE$2&amp;if($K24="S1","a",if($K24="S2","b","")),Students!$A:$A,AQ$2)+countifs(Students!$F:$F,$AE24,Students!$G:$G,$AE$2&amp;if($K24="S1","a",if($K24="S2","b","")),Students!$A:$A,AQ$2)+countifs(Students!$H:$H,$AE24,Students!$I:$I,$AE$2&amp;if($K24="S1","a",if($K24="S2","b","")),Students!$A:$A,AQ$2)+countifs(Students!$J:$J,$AE24,Students!$K:$K,$AE$2&amp;if($K24="S1","a",if($K24="S2","b","")),Students!$A:$A,AQ$2)+countifs(Students!$L:$L,$AE24,Students!$M:$M,$AE$2&amp;if($K24="S1","a",if($K24="S2","b","")),Students!$A:$A,AQ$2)+countifs(Students!$N:$N,$AE24,Students!$O:$O,$AE$2&amp;if($K24="S1","a",if($K24="S2","b","")),Students!$A:$A,AQ$2)+countifs(Students!$P:$P,$AE24,Students!$Q:$Q,$AE$2&amp;if($K24="S1","a",if($K24="S2","b","")),Students!$A:$A,AQ$2)+countifs(Students!$R:$R,$AE24,Students!$S:$S,$AE$2&amp;if($K24="S1","a",if($K24="S2","b","")),Students!$A:$A,AQ$2)+countifs(Students!$T:$T,$AE24,Students!$U:$U,$AE$2&amp;if($K24="S1","a",if($K24="S2","b","")),Students!$A:$A,AQ$2)+countifs(Students!$V:$V,$AE24,Students!$W:$W,$AE$2&amp;if($K24="S1","a",if($K24="S2","b","")),Students!$A:$A,AQ$2)+
countifs(Students!$D:$D,$AH24,Students!$E:$E,$AH$2&amp;if($K24="S1","a",if($K24="S2","b","")),Students!$A:$A,AQ$2)+countifs(Students!$F:$F,$AH24,Students!$G:$G,$AH$2&amp;if($K24="S1","a",if($K24="S2","b","")),Students!$A:$A,AQ$2)+countifs(Students!$H:$H,$AH24,Students!$I:$I,$AH$2&amp;if($K24="S1","a",if($K24="S2","b","")),Students!$A:$A,AQ$2)+countifs(Students!$J:$J,$AH24,Students!$K:$K,$AH$2&amp;if($K24="S1","a",if($K24="S2","b","")),Students!$A:$A,AQ$2)+countifs(Students!$L:$L,$AH24,Students!$M:$M,$AH$2&amp;if($K24="S1","a",if($K24="S2","b","")),Students!$A:$A,AQ$2)+countifs(Students!$N:$N,$AH24,Students!$O:$O,$AH$2&amp;if($K24="S1","a",if($K24="S2","b","")),Students!$A:$A,AQ$2)+countifs(Students!$P:$P,$AH24,Students!$Q:$Q,$AH$2&amp;if($K24="S1","a",if($K24="S2","b","")),Students!$A:$A,AQ$2)+countifs(Students!$R:$R,$AH24,Students!$S:$S,$AH$2&amp;if($K24="S1","a",if($K24="S2","b","")),Students!$A:$A,AQ$2)+countifs(Students!$T:$T,$AH24,Students!$U:$U,$AH$2&amp;if($K24="S1","a",if($K24="S2","b","")),Students!$A:$A,AQ$2)+countifs(Students!$V:$V,$AH24,Students!$W:$W,$AH$2&amp;if($K24="S1","a",if($K24="S2","b","")),Students!$A:$A,AQ$2)+
countifs(Students!$D:$D,$AK24,Students!$E:$E,$AK$2&amp;if($K24="S1","a",if($K24="S2","b","")),Students!$A:$A,AQ$2)+countifs(Students!$F:$F,$AK24,Students!$G:$G,$AK$2&amp;if($K24="S1","a",if($K24="S2","b","")),Students!$A:$A,AQ$2)+countifs(Students!$H:$H,$AK24,Students!$I:$I,$AK$2&amp;if($K24="S1","a",if($K24="S2","b","")),Students!$A:$A,AQ$2)+countifs(Students!$J:$J,$AK24,Students!$K:$K,$AK$2&amp;if($K24="S1","a",if($K24="S2","b","")),Students!$A:$A,AQ$2)+countifs(Students!$L:$L,$AK24,Students!$M:$M,$AK$2&amp;if($K24="S1","a",if($K24="S2","b","")),Students!$A:$A,AQ$2)+countifs(Students!$N:$N,$AK24,Students!$O:$O,$AK$2&amp;if($K24="S1","a",if($K24="S2","b","")),Students!$A:$A,AQ$2)+countifs(Students!$P:$P,$AK24,Students!$Q:$Q,$AK$2&amp;if($K24="S1","a",if($K24="S2","b","")),Students!$A:$A,AQ$2)+countifs(Students!$R:$R,$AK24,Students!$S:$S,$AK$2&amp;if($K24="S1","a",if($K24="S2","b","")),Students!$A:$A,AQ$2)+countifs(Students!$T:$T,$AK24,Students!$U:$U,$AK$2&amp;if($K24="S1","a",if($K24="S2","b","")),Students!$A:$A,AQ$2)+countifs(Students!$V:$V,$AK24,Students!$W:$W,$AK$2&amp;if($K24="S1","a",if($K24="S2","b","")),Students!$A:$A,AQ$2))</f>
        <v>40</v>
      </c>
      <c r="AR24" s="102">
        <f>if($L24="","",countifs(Students!$D:$D,$P24,Students!$E:$E,$P$2&amp;if($K24="S1","a",if($K24="S2","b","")),Students!$A:$A,AR$2)+countifs(Students!$F:$F,$P24,Students!$G:$G,$P$2&amp;if($K24="S1","a",if($K24="S2","b","")),Students!$A:$A,AR$2)+countifs(Students!$H:$H,$P24,Students!$I:$I,$P$2&amp;if($K24="S1","a",if($K24="S2","b","")),Students!$A:$A,AR$2)+countifs(Students!$J:$J,$P24,Students!$K:$K,$P$2&amp;if($K24="S1","a",if($K24="S2","b","")),Students!$A:$A,AR$2)+countifs(Students!$L:$L,$P24,Students!$M:$M,$P$2&amp;if($K24="S1","a",if($K24="S2","b","")),Students!$A:$A,AR$2)+countifs(Students!$N:$N,$P24,Students!$O:$O,$P$2&amp;if($K24="S1","a",if($K24="S2","b","")),Students!$A:$A,AR$2)+countifs(Students!$P:$P,$P24,Students!$Q:$Q,$P$2&amp;if($K24="S1","a",if($K24="S2","b","")),Students!$A:$A,AR$2)+countifs(Students!$R:$R,$P24,Students!$S:$S,$P$2&amp;if($K24="S1","a",if($K24="S2","b","")),Students!$A:$A,AR$2)+countifs(Students!$T:$T,$P24,Students!$U:$U,$P$2&amp;if($K24="S1","a",if($K24="S2","b","")),Students!$A:$A,AR$2)+countifs(Students!$V:$V,$P24,Students!$W:$W,$P$2&amp;if($K24="S1","a",if($K24="S2","b","")),Students!$A:$A,AR$2)+
countifs(Students!$D:$D,$S24,Students!$E:$E,$S$2&amp;if($K24="S1","a",if($K24="S2","b","")),Students!$A:$A,AR$2)+countifs(Students!$F:$F,$S24,Students!$G:$G,$S$2&amp;if($K24="S1","a",if($K24="S2","b","")),Students!$A:$A,AR$2)+countifs(Students!$H:$H,$S24,Students!$I:$I,$S$2&amp;if($K24="S1","a",if($K24="S2","b","")),Students!$A:$A,AR$2)+countifs(Students!$J:$J,$S24,Students!$K:$K,$S$2&amp;if($K24="S1","a",if($K24="S2","b","")),Students!$A:$A,AR$2)+countifs(Students!$L:$L,$S24,Students!$M:$M,$S$2&amp;if($K24="S1","a",if($K24="S2","b","")),Students!$A:$A,AR$2)+countifs(Students!$N:$N,$S24,Students!$O:$O,$S$2&amp;if($K24="S1","a",if($K24="S2","b","")),Students!$A:$A,AR$2)+countifs(Students!$P:$P,$S24,Students!$Q:$Q,$S$2&amp;if($K24="S1","a",if($K24="S2","b","")),Students!$A:$A,AR$2)+countifs(Students!$R:$R,$S24,Students!$S:$S,$S$2&amp;if($K24="S1","a",if($K24="S2","b","")),Students!$A:$A,AR$2)+countifs(Students!$T:$T,$S24,Students!$U:$U,$S$2&amp;if($K24="S1","a",if($K24="S2","b","")),Students!$A:$A,AR$2)+countifs(Students!$V:$V,$S24,Students!$W:$W,$S$2&amp;if($K24="S1","a",if($K24="S2","b","")),Students!$A:$A,AR$2)+
countifs(Students!$D:$D,$V24,Students!$E:$E,$V$2&amp;if($K24="S1","a",if($K24="S2","b","")),Students!$A:$A,AR$2)+countifs(Students!$F:$F,$V24,Students!$G:$G,$V$2&amp;if($K24="S1","a",if($K24="S2","b","")),Students!$A:$A,AR$2)+countifs(Students!$H:$H,$V24,Students!$I:$I,$V$2&amp;if($K24="S1","a",if($K24="S2","b","")),Students!$A:$A,AR$2)+countifs(Students!$J:$J,$V24,Students!$K:$K,$V$2&amp;if($K24="S1","a",if($K24="S2","b","")),Students!$A:$A,AR$2)+countifs(Students!$L:$L,$V24,Students!$M:$M,$V$2&amp;if($K24="S1","a",if($K24="S2","b","")),Students!$A:$A,AR$2)+countifs(Students!$N:$N,$V24,Students!$O:$O,$V$2&amp;if($K24="S1","a",if($K24="S2","b","")),Students!$A:$A,AR$2)+countifs(Students!$P:$P,$V24,Students!$Q:$Q,$V$2&amp;if($K24="S1","a",if($K24="S2","b","")),Students!$A:$A,AR$2)+countifs(Students!$R:$R,$V24,Students!$S:$S,$V$2&amp;if($K24="S1","a",if($K24="S2","b","")),Students!$A:$A,AR$2)+countifs(Students!$T:$T,$V24,Students!$U:$U,$V$2&amp;if($K24="S1","a",if($K24="S2","b","")),Students!$A:$A,AR$2)+countifs(Students!$V:$V,$V24,Students!$W:$W,$V$2&amp;if($K24="S1","a",if($K24="S2","b","")),Students!$A:$A,AR$2)+
countifs(Students!$D:$D,$Y24,Students!$E:$E,$Y$2&amp;if($K24="S1","a",if($K24="S2","b","")),Students!$A:$A,AR$2)+countifs(Students!$F:$F,$Y24,Students!$G:$G,$Y$2&amp;if($K24="S1","a",if($K24="S2","b","")),Students!$A:$A,AR$2)+countifs(Students!$H:$H,$Y24,Students!$I:$I,$Y$2&amp;if($K24="S1","a",if($K24="S2","b","")),Students!$A:$A,AR$2)+countifs(Students!$J:$J,$Y24,Students!$K:$K,$Y$2&amp;if($K24="S1","a",if($K24="S2","b","")),Students!$A:$A,AR$2)+countifs(Students!$L:$L,$Y24,Students!$M:$M,$Y$2&amp;if($K24="S1","a",if($K24="S2","b","")),Students!$A:$A,AR$2)+countifs(Students!$N:$N,$Y24,Students!$O:$O,$Y$2&amp;if($K24="S1","a",if($K24="S2","b","")),Students!$A:$A,AR$2)+countifs(Students!$P:$P,$Y24,Students!$Q:$Q,$Y$2&amp;if($K24="S1","a",if($K24="S2","b","")),Students!$A:$A,AR$2)+countifs(Students!$R:$R,$Y24,Students!$S:$S,$Y$2&amp;if($K24="S1","a",if($K24="S2","b","")),Students!$A:$A,AR$2)+countifs(Students!$T:$T,$Y24,Students!$U:$U,$Y$2&amp;if($K24="S1","a",if($K24="S2","b","")),Students!$A:$A,AR$2)+countifs(Students!$V:$V,$Y24,Students!$W:$W,$Y$2&amp;if($K24="S1","a",if($K24="S2","b","")),Students!$A:$A,AR$2)+
countifs(Students!$D:$D,$AB24,Students!$E:$E,$AB$2&amp;if($K24="S1","a",if($K24="S2","b","")),Students!$A:$A,AR$2)+countifs(Students!$F:$F,$AB24,Students!$G:$G,$AB$2&amp;if($K24="S1","a",if($K24="S2","b","")),Students!$A:$A,AR$2)+countifs(Students!$H:$H,$AB24,Students!$I:$I,$AB$2&amp;if($K24="S1","a",if($K24="S2","b","")),Students!$A:$A,AR$2)+countifs(Students!$J:$J,$AB24,Students!$K:$K,$AB$2&amp;if($K24="S1","a",if($K24="S2","b","")),Students!$A:$A,AR$2)+countifs(Students!$L:$L,$AB24,Students!$M:$M,$AB$2&amp;if($K24="S1","a",if($K24="S2","b","")),Students!$A:$A,AR$2)+countifs(Students!$N:$N,$AB24,Students!$O:$O,$AB$2&amp;if($K24="S1","a",if($K24="S2","b","")),Students!$A:$A,AR$2)+countifs(Students!$P:$P,$AB24,Students!$Q:$Q,$AB$2&amp;if($K24="S1","a",if($K24="S2","b","")),Students!$A:$A,AR$2)+countifs(Students!$R:$R,$AB24,Students!$S:$S,$AB$2&amp;if($K24="S1","a",if($K24="S2","b","")),Students!$A:$A,AR$2)+countifs(Students!$T:$T,$AB24,Students!$U:$U,$AB$2&amp;if($K24="S1","a",if($K24="S2","b","")),Students!$A:$A,AR$2)+countifs(Students!$V:$V,$AB24,Students!$W:$W,$AB$2&amp;if($K24="S1","a",if($K24="S2","b","")),Students!$A:$A,AR$2)+
countifs(Students!$D:$D,$AE24,Students!$E:$E,$AE$2&amp;if($K24="S1","a",if($K24="S2","b","")),Students!$A:$A,AR$2)+countifs(Students!$F:$F,$AE24,Students!$G:$G,$AE$2&amp;if($K24="S1","a",if($K24="S2","b","")),Students!$A:$A,AR$2)+countifs(Students!$H:$H,$AE24,Students!$I:$I,$AE$2&amp;if($K24="S1","a",if($K24="S2","b","")),Students!$A:$A,AR$2)+countifs(Students!$J:$J,$AE24,Students!$K:$K,$AE$2&amp;if($K24="S1","a",if($K24="S2","b","")),Students!$A:$A,AR$2)+countifs(Students!$L:$L,$AE24,Students!$M:$M,$AE$2&amp;if($K24="S1","a",if($K24="S2","b","")),Students!$A:$A,AR$2)+countifs(Students!$N:$N,$AE24,Students!$O:$O,$AE$2&amp;if($K24="S1","a",if($K24="S2","b","")),Students!$A:$A,AR$2)+countifs(Students!$P:$P,$AE24,Students!$Q:$Q,$AE$2&amp;if($K24="S1","a",if($K24="S2","b","")),Students!$A:$A,AR$2)+countifs(Students!$R:$R,$AE24,Students!$S:$S,$AE$2&amp;if($K24="S1","a",if($K24="S2","b","")),Students!$A:$A,AR$2)+countifs(Students!$T:$T,$AE24,Students!$U:$U,$AE$2&amp;if($K24="S1","a",if($K24="S2","b","")),Students!$A:$A,AR$2)+countifs(Students!$V:$V,$AE24,Students!$W:$W,$AE$2&amp;if($K24="S1","a",if($K24="S2","b","")),Students!$A:$A,AR$2)+
countifs(Students!$D:$D,$AH24,Students!$E:$E,$AH$2&amp;if($K24="S1","a",if($K24="S2","b","")),Students!$A:$A,AR$2)+countifs(Students!$F:$F,$AH24,Students!$G:$G,$AH$2&amp;if($K24="S1","a",if($K24="S2","b","")),Students!$A:$A,AR$2)+countifs(Students!$H:$H,$AH24,Students!$I:$I,$AH$2&amp;if($K24="S1","a",if($K24="S2","b","")),Students!$A:$A,AR$2)+countifs(Students!$J:$J,$AH24,Students!$K:$K,$AH$2&amp;if($K24="S1","a",if($K24="S2","b","")),Students!$A:$A,AR$2)+countifs(Students!$L:$L,$AH24,Students!$M:$M,$AH$2&amp;if($K24="S1","a",if($K24="S2","b","")),Students!$A:$A,AR$2)+countifs(Students!$N:$N,$AH24,Students!$O:$O,$AH$2&amp;if($K24="S1","a",if($K24="S2","b","")),Students!$A:$A,AR$2)+countifs(Students!$P:$P,$AH24,Students!$Q:$Q,$AH$2&amp;if($K24="S1","a",if($K24="S2","b","")),Students!$A:$A,AR$2)+countifs(Students!$R:$R,$AH24,Students!$S:$S,$AH$2&amp;if($K24="S1","a",if($K24="S2","b","")),Students!$A:$A,AR$2)+countifs(Students!$T:$T,$AH24,Students!$U:$U,$AH$2&amp;if($K24="S1","a",if($K24="S2","b","")),Students!$A:$A,AR$2)+countifs(Students!$V:$V,$AH24,Students!$W:$W,$AH$2&amp;if($K24="S1","a",if($K24="S2","b","")),Students!$A:$A,AR$2)+
countifs(Students!$D:$D,$AK24,Students!$E:$E,$AK$2&amp;if($K24="S1","a",if($K24="S2","b","")),Students!$A:$A,AR$2)+countifs(Students!$F:$F,$AK24,Students!$G:$G,$AK$2&amp;if($K24="S1","a",if($K24="S2","b","")),Students!$A:$A,AR$2)+countifs(Students!$H:$H,$AK24,Students!$I:$I,$AK$2&amp;if($K24="S1","a",if($K24="S2","b","")),Students!$A:$A,AR$2)+countifs(Students!$J:$J,$AK24,Students!$K:$K,$AK$2&amp;if($K24="S1","a",if($K24="S2","b","")),Students!$A:$A,AR$2)+countifs(Students!$L:$L,$AK24,Students!$M:$M,$AK$2&amp;if($K24="S1","a",if($K24="S2","b","")),Students!$A:$A,AR$2)+countifs(Students!$N:$N,$AK24,Students!$O:$O,$AK$2&amp;if($K24="S1","a",if($K24="S2","b","")),Students!$A:$A,AR$2)+countifs(Students!$P:$P,$AK24,Students!$Q:$Q,$AK$2&amp;if($K24="S1","a",if($K24="S2","b","")),Students!$A:$A,AR$2)+countifs(Students!$R:$R,$AK24,Students!$S:$S,$AK$2&amp;if($K24="S1","a",if($K24="S2","b","")),Students!$A:$A,AR$2)+countifs(Students!$T:$T,$AK24,Students!$U:$U,$AK$2&amp;if($K24="S1","a",if($K24="S2","b","")),Students!$A:$A,AR$2)+countifs(Students!$V:$V,$AK24,Students!$W:$W,$AK$2&amp;if($K24="S1","a",if($K24="S2","b","")),Students!$A:$A,AR$2))</f>
        <v>64</v>
      </c>
      <c r="AS24" s="102">
        <f>if($L24="","",countifs(Students!$D:$D,$P24,Students!$E:$E,$P$2&amp;if($K24="S1","a",if($K24="S2","b","")),Students!$A:$A,AS$2)+countifs(Students!$F:$F,$P24,Students!$G:$G,$P$2&amp;if($K24="S1","a",if($K24="S2","b","")),Students!$A:$A,AS$2)+countifs(Students!$H:$H,$P24,Students!$I:$I,$P$2&amp;if($K24="S1","a",if($K24="S2","b","")),Students!$A:$A,AS$2)+countifs(Students!$J:$J,$P24,Students!$K:$K,$P$2&amp;if($K24="S1","a",if($K24="S2","b","")),Students!$A:$A,AS$2)+countifs(Students!$L:$L,$P24,Students!$M:$M,$P$2&amp;if($K24="S1","a",if($K24="S2","b","")),Students!$A:$A,AS$2)+countifs(Students!$N:$N,$P24,Students!$O:$O,$P$2&amp;if($K24="S1","a",if($K24="S2","b","")),Students!$A:$A,AS$2)+countifs(Students!$P:$P,$P24,Students!$Q:$Q,$P$2&amp;if($K24="S1","a",if($K24="S2","b","")),Students!$A:$A,AS$2)+countifs(Students!$R:$R,$P24,Students!$S:$S,$P$2&amp;if($K24="S1","a",if($K24="S2","b","")),Students!$A:$A,AS$2)+countifs(Students!$T:$T,$P24,Students!$U:$U,$P$2&amp;if($K24="S1","a",if($K24="S2","b","")),Students!$A:$A,AS$2)+countifs(Students!$V:$V,$P24,Students!$W:$W,$P$2&amp;if($K24="S1","a",if($K24="S2","b","")),Students!$A:$A,AS$2)+
countifs(Students!$D:$D,$S24,Students!$E:$E,$S$2&amp;if($K24="S1","a",if($K24="S2","b","")),Students!$A:$A,AS$2)+countifs(Students!$F:$F,$S24,Students!$G:$G,$S$2&amp;if($K24="S1","a",if($K24="S2","b","")),Students!$A:$A,AS$2)+countifs(Students!$H:$H,$S24,Students!$I:$I,$S$2&amp;if($K24="S1","a",if($K24="S2","b","")),Students!$A:$A,AS$2)+countifs(Students!$J:$J,$S24,Students!$K:$K,$S$2&amp;if($K24="S1","a",if($K24="S2","b","")),Students!$A:$A,AS$2)+countifs(Students!$L:$L,$S24,Students!$M:$M,$S$2&amp;if($K24="S1","a",if($K24="S2","b","")),Students!$A:$A,AS$2)+countifs(Students!$N:$N,$S24,Students!$O:$O,$S$2&amp;if($K24="S1","a",if($K24="S2","b","")),Students!$A:$A,AS$2)+countifs(Students!$P:$P,$S24,Students!$Q:$Q,$S$2&amp;if($K24="S1","a",if($K24="S2","b","")),Students!$A:$A,AS$2)+countifs(Students!$R:$R,$S24,Students!$S:$S,$S$2&amp;if($K24="S1","a",if($K24="S2","b","")),Students!$A:$A,AS$2)+countifs(Students!$T:$T,$S24,Students!$U:$U,$S$2&amp;if($K24="S1","a",if($K24="S2","b","")),Students!$A:$A,AS$2)+countifs(Students!$V:$V,$S24,Students!$W:$W,$S$2&amp;if($K24="S1","a",if($K24="S2","b","")),Students!$A:$A,AS$2)+
countifs(Students!$D:$D,$V24,Students!$E:$E,$V$2&amp;if($K24="S1","a",if($K24="S2","b","")),Students!$A:$A,AS$2)+countifs(Students!$F:$F,$V24,Students!$G:$G,$V$2&amp;if($K24="S1","a",if($K24="S2","b","")),Students!$A:$A,AS$2)+countifs(Students!$H:$H,$V24,Students!$I:$I,$V$2&amp;if($K24="S1","a",if($K24="S2","b","")),Students!$A:$A,AS$2)+countifs(Students!$J:$J,$V24,Students!$K:$K,$V$2&amp;if($K24="S1","a",if($K24="S2","b","")),Students!$A:$A,AS$2)+countifs(Students!$L:$L,$V24,Students!$M:$M,$V$2&amp;if($K24="S1","a",if($K24="S2","b","")),Students!$A:$A,AS$2)+countifs(Students!$N:$N,$V24,Students!$O:$O,$V$2&amp;if($K24="S1","a",if($K24="S2","b","")),Students!$A:$A,AS$2)+countifs(Students!$P:$P,$V24,Students!$Q:$Q,$V$2&amp;if($K24="S1","a",if($K24="S2","b","")),Students!$A:$A,AS$2)+countifs(Students!$R:$R,$V24,Students!$S:$S,$V$2&amp;if($K24="S1","a",if($K24="S2","b","")),Students!$A:$A,AS$2)+countifs(Students!$T:$T,$V24,Students!$U:$U,$V$2&amp;if($K24="S1","a",if($K24="S2","b","")),Students!$A:$A,AS$2)+countifs(Students!$V:$V,$V24,Students!$W:$W,$V$2&amp;if($K24="S1","a",if($K24="S2","b","")),Students!$A:$A,AS$2)+
countifs(Students!$D:$D,$Y24,Students!$E:$E,$Y$2&amp;if($K24="S1","a",if($K24="S2","b","")),Students!$A:$A,AS$2)+countifs(Students!$F:$F,$Y24,Students!$G:$G,$Y$2&amp;if($K24="S1","a",if($K24="S2","b","")),Students!$A:$A,AS$2)+countifs(Students!$H:$H,$Y24,Students!$I:$I,$Y$2&amp;if($K24="S1","a",if($K24="S2","b","")),Students!$A:$A,AS$2)+countifs(Students!$J:$J,$Y24,Students!$K:$K,$Y$2&amp;if($K24="S1","a",if($K24="S2","b","")),Students!$A:$A,AS$2)+countifs(Students!$L:$L,$Y24,Students!$M:$M,$Y$2&amp;if($K24="S1","a",if($K24="S2","b","")),Students!$A:$A,AS$2)+countifs(Students!$N:$N,$Y24,Students!$O:$O,$Y$2&amp;if($K24="S1","a",if($K24="S2","b","")),Students!$A:$A,AS$2)+countifs(Students!$P:$P,$Y24,Students!$Q:$Q,$Y$2&amp;if($K24="S1","a",if($K24="S2","b","")),Students!$A:$A,AS$2)+countifs(Students!$R:$R,$Y24,Students!$S:$S,$Y$2&amp;if($K24="S1","a",if($K24="S2","b","")),Students!$A:$A,AS$2)+countifs(Students!$T:$T,$Y24,Students!$U:$U,$Y$2&amp;if($K24="S1","a",if($K24="S2","b","")),Students!$A:$A,AS$2)+countifs(Students!$V:$V,$Y24,Students!$W:$W,$Y$2&amp;if($K24="S1","a",if($K24="S2","b","")),Students!$A:$A,AS$2)+
countifs(Students!$D:$D,$AB24,Students!$E:$E,$AB$2&amp;if($K24="S1","a",if($K24="S2","b","")),Students!$A:$A,AS$2)+countifs(Students!$F:$F,$AB24,Students!$G:$G,$AB$2&amp;if($K24="S1","a",if($K24="S2","b","")),Students!$A:$A,AS$2)+countifs(Students!$H:$H,$AB24,Students!$I:$I,$AB$2&amp;if($K24="S1","a",if($K24="S2","b","")),Students!$A:$A,AS$2)+countifs(Students!$J:$J,$AB24,Students!$K:$K,$AB$2&amp;if($K24="S1","a",if($K24="S2","b","")),Students!$A:$A,AS$2)+countifs(Students!$L:$L,$AB24,Students!$M:$M,$AB$2&amp;if($K24="S1","a",if($K24="S2","b","")),Students!$A:$A,AS$2)+countifs(Students!$N:$N,$AB24,Students!$O:$O,$AB$2&amp;if($K24="S1","a",if($K24="S2","b","")),Students!$A:$A,AS$2)+countifs(Students!$P:$P,$AB24,Students!$Q:$Q,$AB$2&amp;if($K24="S1","a",if($K24="S2","b","")),Students!$A:$A,AS$2)+countifs(Students!$R:$R,$AB24,Students!$S:$S,$AB$2&amp;if($K24="S1","a",if($K24="S2","b","")),Students!$A:$A,AS$2)+countifs(Students!$T:$T,$AB24,Students!$U:$U,$AB$2&amp;if($K24="S1","a",if($K24="S2","b","")),Students!$A:$A,AS$2)+countifs(Students!$V:$V,$AB24,Students!$W:$W,$AB$2&amp;if($K24="S1","a",if($K24="S2","b","")),Students!$A:$A,AS$2)+
countifs(Students!$D:$D,$AE24,Students!$E:$E,$AE$2&amp;if($K24="S1","a",if($K24="S2","b","")),Students!$A:$A,AS$2)+countifs(Students!$F:$F,$AE24,Students!$G:$G,$AE$2&amp;if($K24="S1","a",if($K24="S2","b","")),Students!$A:$A,AS$2)+countifs(Students!$H:$H,$AE24,Students!$I:$I,$AE$2&amp;if($K24="S1","a",if($K24="S2","b","")),Students!$A:$A,AS$2)+countifs(Students!$J:$J,$AE24,Students!$K:$K,$AE$2&amp;if($K24="S1","a",if($K24="S2","b","")),Students!$A:$A,AS$2)+countifs(Students!$L:$L,$AE24,Students!$M:$M,$AE$2&amp;if($K24="S1","a",if($K24="S2","b","")),Students!$A:$A,AS$2)+countifs(Students!$N:$N,$AE24,Students!$O:$O,$AE$2&amp;if($K24="S1","a",if($K24="S2","b","")),Students!$A:$A,AS$2)+countifs(Students!$P:$P,$AE24,Students!$Q:$Q,$AE$2&amp;if($K24="S1","a",if($K24="S2","b","")),Students!$A:$A,AS$2)+countifs(Students!$R:$R,$AE24,Students!$S:$S,$AE$2&amp;if($K24="S1","a",if($K24="S2","b","")),Students!$A:$A,AS$2)+countifs(Students!$T:$T,$AE24,Students!$U:$U,$AE$2&amp;if($K24="S1","a",if($K24="S2","b","")),Students!$A:$A,AS$2)+countifs(Students!$V:$V,$AE24,Students!$W:$W,$AE$2&amp;if($K24="S1","a",if($K24="S2","b","")),Students!$A:$A,AS$2)+
countifs(Students!$D:$D,$AH24,Students!$E:$E,$AH$2&amp;if($K24="S1","a",if($K24="S2","b","")),Students!$A:$A,AS$2)+countifs(Students!$F:$F,$AH24,Students!$G:$G,$AH$2&amp;if($K24="S1","a",if($K24="S2","b","")),Students!$A:$A,AS$2)+countifs(Students!$H:$H,$AH24,Students!$I:$I,$AH$2&amp;if($K24="S1","a",if($K24="S2","b","")),Students!$A:$A,AS$2)+countifs(Students!$J:$J,$AH24,Students!$K:$K,$AH$2&amp;if($K24="S1","a",if($K24="S2","b","")),Students!$A:$A,AS$2)+countifs(Students!$L:$L,$AH24,Students!$M:$M,$AH$2&amp;if($K24="S1","a",if($K24="S2","b","")),Students!$A:$A,AS$2)+countifs(Students!$N:$N,$AH24,Students!$O:$O,$AH$2&amp;if($K24="S1","a",if($K24="S2","b","")),Students!$A:$A,AS$2)+countifs(Students!$P:$P,$AH24,Students!$Q:$Q,$AH$2&amp;if($K24="S1","a",if($K24="S2","b","")),Students!$A:$A,AS$2)+countifs(Students!$R:$R,$AH24,Students!$S:$S,$AH$2&amp;if($K24="S1","a",if($K24="S2","b","")),Students!$A:$A,AS$2)+countifs(Students!$T:$T,$AH24,Students!$U:$U,$AH$2&amp;if($K24="S1","a",if($K24="S2","b","")),Students!$A:$A,AS$2)+countifs(Students!$V:$V,$AH24,Students!$W:$W,$AH$2&amp;if($K24="S1","a",if($K24="S2","b","")),Students!$A:$A,AS$2)+
countifs(Students!$D:$D,$AK24,Students!$E:$E,$AK$2&amp;if($K24="S1","a",if($K24="S2","b","")),Students!$A:$A,AS$2)+countifs(Students!$F:$F,$AK24,Students!$G:$G,$AK$2&amp;if($K24="S1","a",if($K24="S2","b","")),Students!$A:$A,AS$2)+countifs(Students!$H:$H,$AK24,Students!$I:$I,$AK$2&amp;if($K24="S1","a",if($K24="S2","b","")),Students!$A:$A,AS$2)+countifs(Students!$J:$J,$AK24,Students!$K:$K,$AK$2&amp;if($K24="S1","a",if($K24="S2","b","")),Students!$A:$A,AS$2)+countifs(Students!$L:$L,$AK24,Students!$M:$M,$AK$2&amp;if($K24="S1","a",if($K24="S2","b","")),Students!$A:$A,AS$2)+countifs(Students!$N:$N,$AK24,Students!$O:$O,$AK$2&amp;if($K24="S1","a",if($K24="S2","b","")),Students!$A:$A,AS$2)+countifs(Students!$P:$P,$AK24,Students!$Q:$Q,$AK$2&amp;if($K24="S1","a",if($K24="S2","b","")),Students!$A:$A,AS$2)+countifs(Students!$R:$R,$AK24,Students!$S:$S,$AK$2&amp;if($K24="S1","a",if($K24="S2","b","")),Students!$A:$A,AS$2)+countifs(Students!$T:$T,$AK24,Students!$U:$U,$AK$2&amp;if($K24="S1","a",if($K24="S2","b","")),Students!$A:$A,AS$2)+countifs(Students!$V:$V,$AK24,Students!$W:$W,$AK$2&amp;if($K24="S1","a",if($K24="S2","b","")),Students!$A:$A,AS$2))</f>
        <v>1</v>
      </c>
    </row>
    <row r="25">
      <c r="J25" s="87">
        <v>99.0</v>
      </c>
      <c r="K25" s="70"/>
      <c r="L25" s="119" t="s">
        <v>80</v>
      </c>
      <c r="M25" s="117"/>
      <c r="N25" s="87">
        <v>2.0</v>
      </c>
      <c r="O25" s="87">
        <f>IFERROR(__xludf.DUMMYFUNCTION("3*counta((transpose(filter(P25:AM25,P25:AM25&lt;&gt;"""",isnumber(P25:AM25)=false))))"),15.0)</f>
        <v>15</v>
      </c>
      <c r="P25" s="103"/>
      <c r="Q25" s="117"/>
      <c r="R25" s="98" t="s">
        <v>22</v>
      </c>
      <c r="S25" s="101" t="s">
        <v>81</v>
      </c>
      <c r="T25" s="101">
        <v>1.0</v>
      </c>
      <c r="U25" s="98">
        <v>24.0</v>
      </c>
      <c r="V25" s="101" t="s">
        <v>81</v>
      </c>
      <c r="W25" s="101">
        <v>2.0</v>
      </c>
      <c r="X25" s="98">
        <v>22.0</v>
      </c>
      <c r="Y25" s="103" t="s">
        <v>82</v>
      </c>
      <c r="Z25" s="101">
        <v>1.0</v>
      </c>
      <c r="AA25" s="98">
        <v>16.0</v>
      </c>
      <c r="AB25" s="91" t="s">
        <v>82</v>
      </c>
      <c r="AC25" s="101">
        <v>2.0</v>
      </c>
      <c r="AD25" s="92">
        <v>19.0</v>
      </c>
      <c r="AE25" s="120"/>
      <c r="AF25" s="107"/>
      <c r="AG25" s="92" t="s">
        <v>22</v>
      </c>
      <c r="AH25" s="91" t="s">
        <v>82</v>
      </c>
      <c r="AI25" s="97">
        <v>3.0</v>
      </c>
      <c r="AJ25" s="98">
        <v>18.0</v>
      </c>
      <c r="AK25" s="101"/>
      <c r="AL25" s="97"/>
      <c r="AM25" s="98" t="s">
        <v>22</v>
      </c>
      <c r="AN25" s="99"/>
      <c r="AO25" s="52">
        <f t="shared" si="2"/>
        <v>99</v>
      </c>
      <c r="AP25" s="102">
        <f>if($L25="","",countifs(Students!$D:$D,$P25,Students!$E:$E,$P$2&amp;if($K25="S1","a",if($K25="S2","b","")),Students!$A:$A,AP$2)+countifs(Students!$F:$F,$P25,Students!$G:$G,$P$2&amp;if($K25="S1","a",if($K25="S2","b","")),Students!$A:$A,AP$2)+countifs(Students!$H:$H,$P25,Students!$I:$I,$P$2&amp;if($K25="S1","a",if($K25="S2","b","")),Students!$A:$A,AP$2)+countifs(Students!$J:$J,$P25,Students!$K:$K,$P$2&amp;if($K25="S1","a",if($K25="S2","b","")),Students!$A:$A,AP$2)+countifs(Students!$L:$L,$P25,Students!$M:$M,$P$2&amp;if($K25="S1","a",if($K25="S2","b","")),Students!$A:$A,AP$2)+countifs(Students!$N:$N,$P25,Students!$O:$O,$P$2&amp;if($K25="S1","a",if($K25="S2","b","")),Students!$A:$A,AP$2)+countifs(Students!$P:$P,$P25,Students!$Q:$Q,$P$2&amp;if($K25="S1","a",if($K25="S2","b","")),Students!$A:$A,AP$2)+countifs(Students!$R:$R,$P25,Students!$S:$S,$P$2&amp;if($K25="S1","a",if($K25="S2","b","")),Students!$A:$A,AP$2)+countifs(Students!$T:$T,$P25,Students!$U:$U,$P$2&amp;if($K25="S1","a",if($K25="S2","b","")),Students!$A:$A,AP$2)+countifs(Students!$V:$V,$P25,Students!$W:$W,$P$2&amp;if($K25="S1","a",if($K25="S2","b","")),Students!$A:$A,AP$2)+
countifs(Students!$D:$D,$S25,Students!$E:$E,$S$2&amp;if($K25="S1","a",if($K25="S2","b","")),Students!$A:$A,AP$2)+countifs(Students!$F:$F,$S25,Students!$G:$G,$S$2&amp;if($K25="S1","a",if($K25="S2","b","")),Students!$A:$A,AP$2)+countifs(Students!$H:$H,$S25,Students!$I:$I,$S$2&amp;if($K25="S1","a",if($K25="S2","b","")),Students!$A:$A,AP$2)+countifs(Students!$J:$J,$S25,Students!$K:$K,$S$2&amp;if($K25="S1","a",if($K25="S2","b","")),Students!$A:$A,AP$2)+countifs(Students!$L:$L,$S25,Students!$M:$M,$S$2&amp;if($K25="S1","a",if($K25="S2","b","")),Students!$A:$A,AP$2)+countifs(Students!$N:$N,$S25,Students!$O:$O,$S$2&amp;if($K25="S1","a",if($K25="S2","b","")),Students!$A:$A,AP$2)+countifs(Students!$P:$P,$S25,Students!$Q:$Q,$S$2&amp;if($K25="S1","a",if($K25="S2","b","")),Students!$A:$A,AP$2)+countifs(Students!$R:$R,$S25,Students!$S:$S,$S$2&amp;if($K25="S1","a",if($K25="S2","b","")),Students!$A:$A,AP$2)+countifs(Students!$T:$T,$S25,Students!$U:$U,$S$2&amp;if($K25="S1","a",if($K25="S2","b","")),Students!$A:$A,AP$2)+countifs(Students!$V:$V,$S25,Students!$W:$W,$S$2&amp;if($K25="S1","a",if($K25="S2","b","")),Students!$A:$A,AP$2)+
countifs(Students!$D:$D,$V25,Students!$E:$E,$V$2&amp;if($K25="S1","a",if($K25="S2","b","")),Students!$A:$A,AP$2)+countifs(Students!$F:$F,$V25,Students!$G:$G,$V$2&amp;if($K25="S1","a",if($K25="S2","b","")),Students!$A:$A,AP$2)+countifs(Students!$H:$H,$V25,Students!$I:$I,$V$2&amp;if($K25="S1","a",if($K25="S2","b","")),Students!$A:$A,AP$2)+countifs(Students!$J:$J,$V25,Students!$K:$K,$V$2&amp;if($K25="S1","a",if($K25="S2","b","")),Students!$A:$A,AP$2)+countifs(Students!$L:$L,$V25,Students!$M:$M,$V$2&amp;if($K25="S1","a",if($K25="S2","b","")),Students!$A:$A,AP$2)+countifs(Students!$N:$N,$V25,Students!$O:$O,$V$2&amp;if($K25="S1","a",if($K25="S2","b","")),Students!$A:$A,AP$2)+countifs(Students!$P:$P,$V25,Students!$Q:$Q,$V$2&amp;if($K25="S1","a",if($K25="S2","b","")),Students!$A:$A,AP$2)+countifs(Students!$R:$R,$V25,Students!$S:$S,$V$2&amp;if($K25="S1","a",if($K25="S2","b","")),Students!$A:$A,AP$2)+countifs(Students!$T:$T,$V25,Students!$U:$U,$V$2&amp;if($K25="S1","a",if($K25="S2","b","")),Students!$A:$A,AP$2)+countifs(Students!$V:$V,$V25,Students!$W:$W,$V$2&amp;if($K25="S1","a",if($K25="S2","b","")),Students!$A:$A,AP$2)+
countifs(Students!$D:$D,$Y25,Students!$E:$E,$Y$2&amp;if($K25="S1","a",if($K25="S2","b","")),Students!$A:$A,AP$2)+countifs(Students!$F:$F,$Y25,Students!$G:$G,$Y$2&amp;if($K25="S1","a",if($K25="S2","b","")),Students!$A:$A,AP$2)+countifs(Students!$H:$H,$Y25,Students!$I:$I,$Y$2&amp;if($K25="S1","a",if($K25="S2","b","")),Students!$A:$A,AP$2)+countifs(Students!$J:$J,$Y25,Students!$K:$K,$Y$2&amp;if($K25="S1","a",if($K25="S2","b","")),Students!$A:$A,AP$2)+countifs(Students!$L:$L,$Y25,Students!$M:$M,$Y$2&amp;if($K25="S1","a",if($K25="S2","b","")),Students!$A:$A,AP$2)+countifs(Students!$N:$N,$Y25,Students!$O:$O,$Y$2&amp;if($K25="S1","a",if($K25="S2","b","")),Students!$A:$A,AP$2)+countifs(Students!$P:$P,$Y25,Students!$Q:$Q,$Y$2&amp;if($K25="S1","a",if($K25="S2","b","")),Students!$A:$A,AP$2)+countifs(Students!$R:$R,$Y25,Students!$S:$S,$Y$2&amp;if($K25="S1","a",if($K25="S2","b","")),Students!$A:$A,AP$2)+countifs(Students!$T:$T,$Y25,Students!$U:$U,$Y$2&amp;if($K25="S1","a",if($K25="S2","b","")),Students!$A:$A,AP$2)+countifs(Students!$V:$V,$Y25,Students!$W:$W,$Y$2&amp;if($K25="S1","a",if($K25="S2","b","")),Students!$A:$A,AP$2)+
countifs(Students!$D:$D,$AB25,Students!$E:$E,$AB$2&amp;if($K25="S1","a",if($K25="S2","b","")),Students!$A:$A,AP$2)+countifs(Students!$F:$F,$AB25,Students!$G:$G,$AB$2&amp;if($K25="S1","a",if($K25="S2","b","")),Students!$A:$A,AP$2)+countifs(Students!$H:$H,$AB25,Students!$I:$I,$AB$2&amp;if($K25="S1","a",if($K25="S2","b","")),Students!$A:$A,AP$2)+countifs(Students!$J:$J,$AB25,Students!$K:$K,$AB$2&amp;if($K25="S1","a",if($K25="S2","b","")),Students!$A:$A,AP$2)+countifs(Students!$L:$L,$AB25,Students!$M:$M,$AB$2&amp;if($K25="S1","a",if($K25="S2","b","")),Students!$A:$A,AP$2)+countifs(Students!$N:$N,$AB25,Students!$O:$O,$AB$2&amp;if($K25="S1","a",if($K25="S2","b","")),Students!$A:$A,AP$2)+countifs(Students!$P:$P,$AB25,Students!$Q:$Q,$AB$2&amp;if($K25="S1","a",if($K25="S2","b","")),Students!$A:$A,AP$2)+countifs(Students!$R:$R,$AB25,Students!$S:$S,$AB$2&amp;if($K25="S1","a",if($K25="S2","b","")),Students!$A:$A,AP$2)+countifs(Students!$T:$T,$AB25,Students!$U:$U,$AB$2&amp;if($K25="S1","a",if($K25="S2","b","")),Students!$A:$A,AP$2)+countifs(Students!$V:$V,$AB25,Students!$W:$W,$AB$2&amp;if($K25="S1","a",if($K25="S2","b","")),Students!$A:$A,AP$2)+
countifs(Students!$D:$D,$AE25,Students!$E:$E,$AE$2&amp;if($K25="S1","a",if($K25="S2","b","")),Students!$A:$A,AP$2)+countifs(Students!$F:$F,$AE25,Students!$G:$G,$AE$2&amp;if($K25="S1","a",if($K25="S2","b","")),Students!$A:$A,AP$2)+countifs(Students!$H:$H,$AE25,Students!$I:$I,$AE$2&amp;if($K25="S1","a",if($K25="S2","b","")),Students!$A:$A,AP$2)+countifs(Students!$J:$J,$AE25,Students!$K:$K,$AE$2&amp;if($K25="S1","a",if($K25="S2","b","")),Students!$A:$A,AP$2)+countifs(Students!$L:$L,$AE25,Students!$M:$M,$AE$2&amp;if($K25="S1","a",if($K25="S2","b","")),Students!$A:$A,AP$2)+countifs(Students!$N:$N,$AE25,Students!$O:$O,$AE$2&amp;if($K25="S1","a",if($K25="S2","b","")),Students!$A:$A,AP$2)+countifs(Students!$P:$P,$AE25,Students!$Q:$Q,$AE$2&amp;if($K25="S1","a",if($K25="S2","b","")),Students!$A:$A,AP$2)+countifs(Students!$R:$R,$AE25,Students!$S:$S,$AE$2&amp;if($K25="S1","a",if($K25="S2","b","")),Students!$A:$A,AP$2)+countifs(Students!$T:$T,$AE25,Students!$U:$U,$AE$2&amp;if($K25="S1","a",if($K25="S2","b","")),Students!$A:$A,AP$2)+countifs(Students!$V:$V,$AE25,Students!$W:$W,$AE$2&amp;if($K25="S1","a",if($K25="S2","b","")),Students!$A:$A,AP$2)+
countifs(Students!$D:$D,$AH25,Students!$E:$E,$AH$2&amp;if($K25="S1","a",if($K25="S2","b","")),Students!$A:$A,AP$2)+countifs(Students!$F:$F,$AH25,Students!$G:$G,$AH$2&amp;if($K25="S1","a",if($K25="S2","b","")),Students!$A:$A,AP$2)+countifs(Students!$H:$H,$AH25,Students!$I:$I,$AH$2&amp;if($K25="S1","a",if($K25="S2","b","")),Students!$A:$A,AP$2)+countifs(Students!$J:$J,$AH25,Students!$K:$K,$AH$2&amp;if($K25="S1","a",if($K25="S2","b","")),Students!$A:$A,AP$2)+countifs(Students!$L:$L,$AH25,Students!$M:$M,$AH$2&amp;if($K25="S1","a",if($K25="S2","b","")),Students!$A:$A,AP$2)+countifs(Students!$N:$N,$AH25,Students!$O:$O,$AH$2&amp;if($K25="S1","a",if($K25="S2","b","")),Students!$A:$A,AP$2)+countifs(Students!$P:$P,$AH25,Students!$Q:$Q,$AH$2&amp;if($K25="S1","a",if($K25="S2","b","")),Students!$A:$A,AP$2)+countifs(Students!$R:$R,$AH25,Students!$S:$S,$AH$2&amp;if($K25="S1","a",if($K25="S2","b","")),Students!$A:$A,AP$2)+countifs(Students!$T:$T,$AH25,Students!$U:$U,$AH$2&amp;if($K25="S1","a",if($K25="S2","b","")),Students!$A:$A,AP$2)+countifs(Students!$V:$V,$AH25,Students!$W:$W,$AH$2&amp;if($K25="S1","a",if($K25="S2","b","")),Students!$A:$A,AP$2)+
countifs(Students!$D:$D,$AK25,Students!$E:$E,$AK$2&amp;if($K25="S1","a",if($K25="S2","b","")),Students!$A:$A,AP$2)+countifs(Students!$F:$F,$AK25,Students!$G:$G,$AK$2&amp;if($K25="S1","a",if($K25="S2","b","")),Students!$A:$A,AP$2)+countifs(Students!$H:$H,$AK25,Students!$I:$I,$AK$2&amp;if($K25="S1","a",if($K25="S2","b","")),Students!$A:$A,AP$2)+countifs(Students!$J:$J,$AK25,Students!$K:$K,$AK$2&amp;if($K25="S1","a",if($K25="S2","b","")),Students!$A:$A,AP$2)+countifs(Students!$L:$L,$AK25,Students!$M:$M,$AK$2&amp;if($K25="S1","a",if($K25="S2","b","")),Students!$A:$A,AP$2)+countifs(Students!$N:$N,$AK25,Students!$O:$O,$AK$2&amp;if($K25="S1","a",if($K25="S2","b","")),Students!$A:$A,AP$2)+countifs(Students!$P:$P,$AK25,Students!$Q:$Q,$AK$2&amp;if($K25="S1","a",if($K25="S2","b","")),Students!$A:$A,AP$2)+countifs(Students!$R:$R,$AK25,Students!$S:$S,$AK$2&amp;if($K25="S1","a",if($K25="S2","b","")),Students!$A:$A,AP$2)+countifs(Students!$T:$T,$AK25,Students!$U:$U,$AK$2&amp;if($K25="S1","a",if($K25="S2","b","")),Students!$A:$A,AP$2)+countifs(Students!$V:$V,$AK25,Students!$W:$W,$AK$2&amp;if($K25="S1","a",if($K25="S2","b","")),Students!$A:$A,AP$2))</f>
        <v>0</v>
      </c>
      <c r="AQ25" s="102">
        <f>if($L25="","",countifs(Students!$D:$D,$P25,Students!$E:$E,$P$2&amp;if($K25="S1","a",if($K25="S2","b","")),Students!$A:$A,AQ$2)+countifs(Students!$F:$F,$P25,Students!$G:$G,$P$2&amp;if($K25="S1","a",if($K25="S2","b","")),Students!$A:$A,AQ$2)+countifs(Students!$H:$H,$P25,Students!$I:$I,$P$2&amp;if($K25="S1","a",if($K25="S2","b","")),Students!$A:$A,AQ$2)+countifs(Students!$J:$J,$P25,Students!$K:$K,$P$2&amp;if($K25="S1","a",if($K25="S2","b","")),Students!$A:$A,AQ$2)+countifs(Students!$L:$L,$P25,Students!$M:$M,$P$2&amp;if($K25="S1","a",if($K25="S2","b","")),Students!$A:$A,AQ$2)+countifs(Students!$N:$N,$P25,Students!$O:$O,$P$2&amp;if($K25="S1","a",if($K25="S2","b","")),Students!$A:$A,AQ$2)+countifs(Students!$P:$P,$P25,Students!$Q:$Q,$P$2&amp;if($K25="S1","a",if($K25="S2","b","")),Students!$A:$A,AQ$2)+countifs(Students!$R:$R,$P25,Students!$S:$S,$P$2&amp;if($K25="S1","a",if($K25="S2","b","")),Students!$A:$A,AQ$2)+countifs(Students!$T:$T,$P25,Students!$U:$U,$P$2&amp;if($K25="S1","a",if($K25="S2","b","")),Students!$A:$A,AQ$2)+countifs(Students!$V:$V,$P25,Students!$W:$W,$P$2&amp;if($K25="S1","a",if($K25="S2","b","")),Students!$A:$A,AQ$2)+
countifs(Students!$D:$D,$S25,Students!$E:$E,$S$2&amp;if($K25="S1","a",if($K25="S2","b","")),Students!$A:$A,AQ$2)+countifs(Students!$F:$F,$S25,Students!$G:$G,$S$2&amp;if($K25="S1","a",if($K25="S2","b","")),Students!$A:$A,AQ$2)+countifs(Students!$H:$H,$S25,Students!$I:$I,$S$2&amp;if($K25="S1","a",if($K25="S2","b","")),Students!$A:$A,AQ$2)+countifs(Students!$J:$J,$S25,Students!$K:$K,$S$2&amp;if($K25="S1","a",if($K25="S2","b","")),Students!$A:$A,AQ$2)+countifs(Students!$L:$L,$S25,Students!$M:$M,$S$2&amp;if($K25="S1","a",if($K25="S2","b","")),Students!$A:$A,AQ$2)+countifs(Students!$N:$N,$S25,Students!$O:$O,$S$2&amp;if($K25="S1","a",if($K25="S2","b","")),Students!$A:$A,AQ$2)+countifs(Students!$P:$P,$S25,Students!$Q:$Q,$S$2&amp;if($K25="S1","a",if($K25="S2","b","")),Students!$A:$A,AQ$2)+countifs(Students!$R:$R,$S25,Students!$S:$S,$S$2&amp;if($K25="S1","a",if($K25="S2","b","")),Students!$A:$A,AQ$2)+countifs(Students!$T:$T,$S25,Students!$U:$U,$S$2&amp;if($K25="S1","a",if($K25="S2","b","")),Students!$A:$A,AQ$2)+countifs(Students!$V:$V,$S25,Students!$W:$W,$S$2&amp;if($K25="S1","a",if($K25="S2","b","")),Students!$A:$A,AQ$2)+
countifs(Students!$D:$D,$V25,Students!$E:$E,$V$2&amp;if($K25="S1","a",if($K25="S2","b","")),Students!$A:$A,AQ$2)+countifs(Students!$F:$F,$V25,Students!$G:$G,$V$2&amp;if($K25="S1","a",if($K25="S2","b","")),Students!$A:$A,AQ$2)+countifs(Students!$H:$H,$V25,Students!$I:$I,$V$2&amp;if($K25="S1","a",if($K25="S2","b","")),Students!$A:$A,AQ$2)+countifs(Students!$J:$J,$V25,Students!$K:$K,$V$2&amp;if($K25="S1","a",if($K25="S2","b","")),Students!$A:$A,AQ$2)+countifs(Students!$L:$L,$V25,Students!$M:$M,$V$2&amp;if($K25="S1","a",if($K25="S2","b","")),Students!$A:$A,AQ$2)+countifs(Students!$N:$N,$V25,Students!$O:$O,$V$2&amp;if($K25="S1","a",if($K25="S2","b","")),Students!$A:$A,AQ$2)+countifs(Students!$P:$P,$V25,Students!$Q:$Q,$V$2&amp;if($K25="S1","a",if($K25="S2","b","")),Students!$A:$A,AQ$2)+countifs(Students!$R:$R,$V25,Students!$S:$S,$V$2&amp;if($K25="S1","a",if($K25="S2","b","")),Students!$A:$A,AQ$2)+countifs(Students!$T:$T,$V25,Students!$U:$U,$V$2&amp;if($K25="S1","a",if($K25="S2","b","")),Students!$A:$A,AQ$2)+countifs(Students!$V:$V,$V25,Students!$W:$W,$V$2&amp;if($K25="S1","a",if($K25="S2","b","")),Students!$A:$A,AQ$2)+
countifs(Students!$D:$D,$Y25,Students!$E:$E,$Y$2&amp;if($K25="S1","a",if($K25="S2","b","")),Students!$A:$A,AQ$2)+countifs(Students!$F:$F,$Y25,Students!$G:$G,$Y$2&amp;if($K25="S1","a",if($K25="S2","b","")),Students!$A:$A,AQ$2)+countifs(Students!$H:$H,$Y25,Students!$I:$I,$Y$2&amp;if($K25="S1","a",if($K25="S2","b","")),Students!$A:$A,AQ$2)+countifs(Students!$J:$J,$Y25,Students!$K:$K,$Y$2&amp;if($K25="S1","a",if($K25="S2","b","")),Students!$A:$A,AQ$2)+countifs(Students!$L:$L,$Y25,Students!$M:$M,$Y$2&amp;if($K25="S1","a",if($K25="S2","b","")),Students!$A:$A,AQ$2)+countifs(Students!$N:$N,$Y25,Students!$O:$O,$Y$2&amp;if($K25="S1","a",if($K25="S2","b","")),Students!$A:$A,AQ$2)+countifs(Students!$P:$P,$Y25,Students!$Q:$Q,$Y$2&amp;if($K25="S1","a",if($K25="S2","b","")),Students!$A:$A,AQ$2)+countifs(Students!$R:$R,$Y25,Students!$S:$S,$Y$2&amp;if($K25="S1","a",if($K25="S2","b","")),Students!$A:$A,AQ$2)+countifs(Students!$T:$T,$Y25,Students!$U:$U,$Y$2&amp;if($K25="S1","a",if($K25="S2","b","")),Students!$A:$A,AQ$2)+countifs(Students!$V:$V,$Y25,Students!$W:$W,$Y$2&amp;if($K25="S1","a",if($K25="S2","b","")),Students!$A:$A,AQ$2)+
countifs(Students!$D:$D,$AB25,Students!$E:$E,$AB$2&amp;if($K25="S1","a",if($K25="S2","b","")),Students!$A:$A,AQ$2)+countifs(Students!$F:$F,$AB25,Students!$G:$G,$AB$2&amp;if($K25="S1","a",if($K25="S2","b","")),Students!$A:$A,AQ$2)+countifs(Students!$H:$H,$AB25,Students!$I:$I,$AB$2&amp;if($K25="S1","a",if($K25="S2","b","")),Students!$A:$A,AQ$2)+countifs(Students!$J:$J,$AB25,Students!$K:$K,$AB$2&amp;if($K25="S1","a",if($K25="S2","b","")),Students!$A:$A,AQ$2)+countifs(Students!$L:$L,$AB25,Students!$M:$M,$AB$2&amp;if($K25="S1","a",if($K25="S2","b","")),Students!$A:$A,AQ$2)+countifs(Students!$N:$N,$AB25,Students!$O:$O,$AB$2&amp;if($K25="S1","a",if($K25="S2","b","")),Students!$A:$A,AQ$2)+countifs(Students!$P:$P,$AB25,Students!$Q:$Q,$AB$2&amp;if($K25="S1","a",if($K25="S2","b","")),Students!$A:$A,AQ$2)+countifs(Students!$R:$R,$AB25,Students!$S:$S,$AB$2&amp;if($K25="S1","a",if($K25="S2","b","")),Students!$A:$A,AQ$2)+countifs(Students!$T:$T,$AB25,Students!$U:$U,$AB$2&amp;if($K25="S1","a",if($K25="S2","b","")),Students!$A:$A,AQ$2)+countifs(Students!$V:$V,$AB25,Students!$W:$W,$AB$2&amp;if($K25="S1","a",if($K25="S2","b","")),Students!$A:$A,AQ$2)+
countifs(Students!$D:$D,$AE25,Students!$E:$E,$AE$2&amp;if($K25="S1","a",if($K25="S2","b","")),Students!$A:$A,AQ$2)+countifs(Students!$F:$F,$AE25,Students!$G:$G,$AE$2&amp;if($K25="S1","a",if($K25="S2","b","")),Students!$A:$A,AQ$2)+countifs(Students!$H:$H,$AE25,Students!$I:$I,$AE$2&amp;if($K25="S1","a",if($K25="S2","b","")),Students!$A:$A,AQ$2)+countifs(Students!$J:$J,$AE25,Students!$K:$K,$AE$2&amp;if($K25="S1","a",if($K25="S2","b","")),Students!$A:$A,AQ$2)+countifs(Students!$L:$L,$AE25,Students!$M:$M,$AE$2&amp;if($K25="S1","a",if($K25="S2","b","")),Students!$A:$A,AQ$2)+countifs(Students!$N:$N,$AE25,Students!$O:$O,$AE$2&amp;if($K25="S1","a",if($K25="S2","b","")),Students!$A:$A,AQ$2)+countifs(Students!$P:$P,$AE25,Students!$Q:$Q,$AE$2&amp;if($K25="S1","a",if($K25="S2","b","")),Students!$A:$A,AQ$2)+countifs(Students!$R:$R,$AE25,Students!$S:$S,$AE$2&amp;if($K25="S1","a",if($K25="S2","b","")),Students!$A:$A,AQ$2)+countifs(Students!$T:$T,$AE25,Students!$U:$U,$AE$2&amp;if($K25="S1","a",if($K25="S2","b","")),Students!$A:$A,AQ$2)+countifs(Students!$V:$V,$AE25,Students!$W:$W,$AE$2&amp;if($K25="S1","a",if($K25="S2","b","")),Students!$A:$A,AQ$2)+
countifs(Students!$D:$D,$AH25,Students!$E:$E,$AH$2&amp;if($K25="S1","a",if($K25="S2","b","")),Students!$A:$A,AQ$2)+countifs(Students!$F:$F,$AH25,Students!$G:$G,$AH$2&amp;if($K25="S1","a",if($K25="S2","b","")),Students!$A:$A,AQ$2)+countifs(Students!$H:$H,$AH25,Students!$I:$I,$AH$2&amp;if($K25="S1","a",if($K25="S2","b","")),Students!$A:$A,AQ$2)+countifs(Students!$J:$J,$AH25,Students!$K:$K,$AH$2&amp;if($K25="S1","a",if($K25="S2","b","")),Students!$A:$A,AQ$2)+countifs(Students!$L:$L,$AH25,Students!$M:$M,$AH$2&amp;if($K25="S1","a",if($K25="S2","b","")),Students!$A:$A,AQ$2)+countifs(Students!$N:$N,$AH25,Students!$O:$O,$AH$2&amp;if($K25="S1","a",if($K25="S2","b","")),Students!$A:$A,AQ$2)+countifs(Students!$P:$P,$AH25,Students!$Q:$Q,$AH$2&amp;if($K25="S1","a",if($K25="S2","b","")),Students!$A:$A,AQ$2)+countifs(Students!$R:$R,$AH25,Students!$S:$S,$AH$2&amp;if($K25="S1","a",if($K25="S2","b","")),Students!$A:$A,AQ$2)+countifs(Students!$T:$T,$AH25,Students!$U:$U,$AH$2&amp;if($K25="S1","a",if($K25="S2","b","")),Students!$A:$A,AQ$2)+countifs(Students!$V:$V,$AH25,Students!$W:$W,$AH$2&amp;if($K25="S1","a",if($K25="S2","b","")),Students!$A:$A,AQ$2)+
countifs(Students!$D:$D,$AK25,Students!$E:$E,$AK$2&amp;if($K25="S1","a",if($K25="S2","b","")),Students!$A:$A,AQ$2)+countifs(Students!$F:$F,$AK25,Students!$G:$G,$AK$2&amp;if($K25="S1","a",if($K25="S2","b","")),Students!$A:$A,AQ$2)+countifs(Students!$H:$H,$AK25,Students!$I:$I,$AK$2&amp;if($K25="S1","a",if($K25="S2","b","")),Students!$A:$A,AQ$2)+countifs(Students!$J:$J,$AK25,Students!$K:$K,$AK$2&amp;if($K25="S1","a",if($K25="S2","b","")),Students!$A:$A,AQ$2)+countifs(Students!$L:$L,$AK25,Students!$M:$M,$AK$2&amp;if($K25="S1","a",if($K25="S2","b","")),Students!$A:$A,AQ$2)+countifs(Students!$N:$N,$AK25,Students!$O:$O,$AK$2&amp;if($K25="S1","a",if($K25="S2","b","")),Students!$A:$A,AQ$2)+countifs(Students!$P:$P,$AK25,Students!$Q:$Q,$AK$2&amp;if($K25="S1","a",if($K25="S2","b","")),Students!$A:$A,AQ$2)+countifs(Students!$R:$R,$AK25,Students!$S:$S,$AK$2&amp;if($K25="S1","a",if($K25="S2","b","")),Students!$A:$A,AQ$2)+countifs(Students!$T:$T,$AK25,Students!$U:$U,$AK$2&amp;if($K25="S1","a",if($K25="S2","b","")),Students!$A:$A,AQ$2)+countifs(Students!$V:$V,$AK25,Students!$W:$W,$AK$2&amp;if($K25="S1","a",if($K25="S2","b","")),Students!$A:$A,AQ$2))</f>
        <v>36</v>
      </c>
      <c r="AR25" s="102">
        <f>if($L25="","",countifs(Students!$D:$D,$P25,Students!$E:$E,$P$2&amp;if($K25="S1","a",if($K25="S2","b","")),Students!$A:$A,AR$2)+countifs(Students!$F:$F,$P25,Students!$G:$G,$P$2&amp;if($K25="S1","a",if($K25="S2","b","")),Students!$A:$A,AR$2)+countifs(Students!$H:$H,$P25,Students!$I:$I,$P$2&amp;if($K25="S1","a",if($K25="S2","b","")),Students!$A:$A,AR$2)+countifs(Students!$J:$J,$P25,Students!$K:$K,$P$2&amp;if($K25="S1","a",if($K25="S2","b","")),Students!$A:$A,AR$2)+countifs(Students!$L:$L,$P25,Students!$M:$M,$P$2&amp;if($K25="S1","a",if($K25="S2","b","")),Students!$A:$A,AR$2)+countifs(Students!$N:$N,$P25,Students!$O:$O,$P$2&amp;if($K25="S1","a",if($K25="S2","b","")),Students!$A:$A,AR$2)+countifs(Students!$P:$P,$P25,Students!$Q:$Q,$P$2&amp;if($K25="S1","a",if($K25="S2","b","")),Students!$A:$A,AR$2)+countifs(Students!$R:$R,$P25,Students!$S:$S,$P$2&amp;if($K25="S1","a",if($K25="S2","b","")),Students!$A:$A,AR$2)+countifs(Students!$T:$T,$P25,Students!$U:$U,$P$2&amp;if($K25="S1","a",if($K25="S2","b","")),Students!$A:$A,AR$2)+countifs(Students!$V:$V,$P25,Students!$W:$W,$P$2&amp;if($K25="S1","a",if($K25="S2","b","")),Students!$A:$A,AR$2)+
countifs(Students!$D:$D,$S25,Students!$E:$E,$S$2&amp;if($K25="S1","a",if($K25="S2","b","")),Students!$A:$A,AR$2)+countifs(Students!$F:$F,$S25,Students!$G:$G,$S$2&amp;if($K25="S1","a",if($K25="S2","b","")),Students!$A:$A,AR$2)+countifs(Students!$H:$H,$S25,Students!$I:$I,$S$2&amp;if($K25="S1","a",if($K25="S2","b","")),Students!$A:$A,AR$2)+countifs(Students!$J:$J,$S25,Students!$K:$K,$S$2&amp;if($K25="S1","a",if($K25="S2","b","")),Students!$A:$A,AR$2)+countifs(Students!$L:$L,$S25,Students!$M:$M,$S$2&amp;if($K25="S1","a",if($K25="S2","b","")),Students!$A:$A,AR$2)+countifs(Students!$N:$N,$S25,Students!$O:$O,$S$2&amp;if($K25="S1","a",if($K25="S2","b","")),Students!$A:$A,AR$2)+countifs(Students!$P:$P,$S25,Students!$Q:$Q,$S$2&amp;if($K25="S1","a",if($K25="S2","b","")),Students!$A:$A,AR$2)+countifs(Students!$R:$R,$S25,Students!$S:$S,$S$2&amp;if($K25="S1","a",if($K25="S2","b","")),Students!$A:$A,AR$2)+countifs(Students!$T:$T,$S25,Students!$U:$U,$S$2&amp;if($K25="S1","a",if($K25="S2","b","")),Students!$A:$A,AR$2)+countifs(Students!$V:$V,$S25,Students!$W:$W,$S$2&amp;if($K25="S1","a",if($K25="S2","b","")),Students!$A:$A,AR$2)+
countifs(Students!$D:$D,$V25,Students!$E:$E,$V$2&amp;if($K25="S1","a",if($K25="S2","b","")),Students!$A:$A,AR$2)+countifs(Students!$F:$F,$V25,Students!$G:$G,$V$2&amp;if($K25="S1","a",if($K25="S2","b","")),Students!$A:$A,AR$2)+countifs(Students!$H:$H,$V25,Students!$I:$I,$V$2&amp;if($K25="S1","a",if($K25="S2","b","")),Students!$A:$A,AR$2)+countifs(Students!$J:$J,$V25,Students!$K:$K,$V$2&amp;if($K25="S1","a",if($K25="S2","b","")),Students!$A:$A,AR$2)+countifs(Students!$L:$L,$V25,Students!$M:$M,$V$2&amp;if($K25="S1","a",if($K25="S2","b","")),Students!$A:$A,AR$2)+countifs(Students!$N:$N,$V25,Students!$O:$O,$V$2&amp;if($K25="S1","a",if($K25="S2","b","")),Students!$A:$A,AR$2)+countifs(Students!$P:$P,$V25,Students!$Q:$Q,$V$2&amp;if($K25="S1","a",if($K25="S2","b","")),Students!$A:$A,AR$2)+countifs(Students!$R:$R,$V25,Students!$S:$S,$V$2&amp;if($K25="S1","a",if($K25="S2","b","")),Students!$A:$A,AR$2)+countifs(Students!$T:$T,$V25,Students!$U:$U,$V$2&amp;if($K25="S1","a",if($K25="S2","b","")),Students!$A:$A,AR$2)+countifs(Students!$V:$V,$V25,Students!$W:$W,$V$2&amp;if($K25="S1","a",if($K25="S2","b","")),Students!$A:$A,AR$2)+
countifs(Students!$D:$D,$Y25,Students!$E:$E,$Y$2&amp;if($K25="S1","a",if($K25="S2","b","")),Students!$A:$A,AR$2)+countifs(Students!$F:$F,$Y25,Students!$G:$G,$Y$2&amp;if($K25="S1","a",if($K25="S2","b","")),Students!$A:$A,AR$2)+countifs(Students!$H:$H,$Y25,Students!$I:$I,$Y$2&amp;if($K25="S1","a",if($K25="S2","b","")),Students!$A:$A,AR$2)+countifs(Students!$J:$J,$Y25,Students!$K:$K,$Y$2&amp;if($K25="S1","a",if($K25="S2","b","")),Students!$A:$A,AR$2)+countifs(Students!$L:$L,$Y25,Students!$M:$M,$Y$2&amp;if($K25="S1","a",if($K25="S2","b","")),Students!$A:$A,AR$2)+countifs(Students!$N:$N,$Y25,Students!$O:$O,$Y$2&amp;if($K25="S1","a",if($K25="S2","b","")),Students!$A:$A,AR$2)+countifs(Students!$P:$P,$Y25,Students!$Q:$Q,$Y$2&amp;if($K25="S1","a",if($K25="S2","b","")),Students!$A:$A,AR$2)+countifs(Students!$R:$R,$Y25,Students!$S:$S,$Y$2&amp;if($K25="S1","a",if($K25="S2","b","")),Students!$A:$A,AR$2)+countifs(Students!$T:$T,$Y25,Students!$U:$U,$Y$2&amp;if($K25="S1","a",if($K25="S2","b","")),Students!$A:$A,AR$2)+countifs(Students!$V:$V,$Y25,Students!$W:$W,$Y$2&amp;if($K25="S1","a",if($K25="S2","b","")),Students!$A:$A,AR$2)+
countifs(Students!$D:$D,$AB25,Students!$E:$E,$AB$2&amp;if($K25="S1","a",if($K25="S2","b","")),Students!$A:$A,AR$2)+countifs(Students!$F:$F,$AB25,Students!$G:$G,$AB$2&amp;if($K25="S1","a",if($K25="S2","b","")),Students!$A:$A,AR$2)+countifs(Students!$H:$H,$AB25,Students!$I:$I,$AB$2&amp;if($K25="S1","a",if($K25="S2","b","")),Students!$A:$A,AR$2)+countifs(Students!$J:$J,$AB25,Students!$K:$K,$AB$2&amp;if($K25="S1","a",if($K25="S2","b","")),Students!$A:$A,AR$2)+countifs(Students!$L:$L,$AB25,Students!$M:$M,$AB$2&amp;if($K25="S1","a",if($K25="S2","b","")),Students!$A:$A,AR$2)+countifs(Students!$N:$N,$AB25,Students!$O:$O,$AB$2&amp;if($K25="S1","a",if($K25="S2","b","")),Students!$A:$A,AR$2)+countifs(Students!$P:$P,$AB25,Students!$Q:$Q,$AB$2&amp;if($K25="S1","a",if($K25="S2","b","")),Students!$A:$A,AR$2)+countifs(Students!$R:$R,$AB25,Students!$S:$S,$AB$2&amp;if($K25="S1","a",if($K25="S2","b","")),Students!$A:$A,AR$2)+countifs(Students!$T:$T,$AB25,Students!$U:$U,$AB$2&amp;if($K25="S1","a",if($K25="S2","b","")),Students!$A:$A,AR$2)+countifs(Students!$V:$V,$AB25,Students!$W:$W,$AB$2&amp;if($K25="S1","a",if($K25="S2","b","")),Students!$A:$A,AR$2)+
countifs(Students!$D:$D,$AE25,Students!$E:$E,$AE$2&amp;if($K25="S1","a",if($K25="S2","b","")),Students!$A:$A,AR$2)+countifs(Students!$F:$F,$AE25,Students!$G:$G,$AE$2&amp;if($K25="S1","a",if($K25="S2","b","")),Students!$A:$A,AR$2)+countifs(Students!$H:$H,$AE25,Students!$I:$I,$AE$2&amp;if($K25="S1","a",if($K25="S2","b","")),Students!$A:$A,AR$2)+countifs(Students!$J:$J,$AE25,Students!$K:$K,$AE$2&amp;if($K25="S1","a",if($K25="S2","b","")),Students!$A:$A,AR$2)+countifs(Students!$L:$L,$AE25,Students!$M:$M,$AE$2&amp;if($K25="S1","a",if($K25="S2","b","")),Students!$A:$A,AR$2)+countifs(Students!$N:$N,$AE25,Students!$O:$O,$AE$2&amp;if($K25="S1","a",if($K25="S2","b","")),Students!$A:$A,AR$2)+countifs(Students!$P:$P,$AE25,Students!$Q:$Q,$AE$2&amp;if($K25="S1","a",if($K25="S2","b","")),Students!$A:$A,AR$2)+countifs(Students!$R:$R,$AE25,Students!$S:$S,$AE$2&amp;if($K25="S1","a",if($K25="S2","b","")),Students!$A:$A,AR$2)+countifs(Students!$T:$T,$AE25,Students!$U:$U,$AE$2&amp;if($K25="S1","a",if($K25="S2","b","")),Students!$A:$A,AR$2)+countifs(Students!$V:$V,$AE25,Students!$W:$W,$AE$2&amp;if($K25="S1","a",if($K25="S2","b","")),Students!$A:$A,AR$2)+
countifs(Students!$D:$D,$AH25,Students!$E:$E,$AH$2&amp;if($K25="S1","a",if($K25="S2","b","")),Students!$A:$A,AR$2)+countifs(Students!$F:$F,$AH25,Students!$G:$G,$AH$2&amp;if($K25="S1","a",if($K25="S2","b","")),Students!$A:$A,AR$2)+countifs(Students!$H:$H,$AH25,Students!$I:$I,$AH$2&amp;if($K25="S1","a",if($K25="S2","b","")),Students!$A:$A,AR$2)+countifs(Students!$J:$J,$AH25,Students!$K:$K,$AH$2&amp;if($K25="S1","a",if($K25="S2","b","")),Students!$A:$A,AR$2)+countifs(Students!$L:$L,$AH25,Students!$M:$M,$AH$2&amp;if($K25="S1","a",if($K25="S2","b","")),Students!$A:$A,AR$2)+countifs(Students!$N:$N,$AH25,Students!$O:$O,$AH$2&amp;if($K25="S1","a",if($K25="S2","b","")),Students!$A:$A,AR$2)+countifs(Students!$P:$P,$AH25,Students!$Q:$Q,$AH$2&amp;if($K25="S1","a",if($K25="S2","b","")),Students!$A:$A,AR$2)+countifs(Students!$R:$R,$AH25,Students!$S:$S,$AH$2&amp;if($K25="S1","a",if($K25="S2","b","")),Students!$A:$A,AR$2)+countifs(Students!$T:$T,$AH25,Students!$U:$U,$AH$2&amp;if($K25="S1","a",if($K25="S2","b","")),Students!$A:$A,AR$2)+countifs(Students!$V:$V,$AH25,Students!$W:$W,$AH$2&amp;if($K25="S1","a",if($K25="S2","b","")),Students!$A:$A,AR$2)+
countifs(Students!$D:$D,$AK25,Students!$E:$E,$AK$2&amp;if($K25="S1","a",if($K25="S2","b","")),Students!$A:$A,AR$2)+countifs(Students!$F:$F,$AK25,Students!$G:$G,$AK$2&amp;if($K25="S1","a",if($K25="S2","b","")),Students!$A:$A,AR$2)+countifs(Students!$H:$H,$AK25,Students!$I:$I,$AK$2&amp;if($K25="S1","a",if($K25="S2","b","")),Students!$A:$A,AR$2)+countifs(Students!$J:$J,$AK25,Students!$K:$K,$AK$2&amp;if($K25="S1","a",if($K25="S2","b","")),Students!$A:$A,AR$2)+countifs(Students!$L:$L,$AK25,Students!$M:$M,$AK$2&amp;if($K25="S1","a",if($K25="S2","b","")),Students!$A:$A,AR$2)+countifs(Students!$N:$N,$AK25,Students!$O:$O,$AK$2&amp;if($K25="S1","a",if($K25="S2","b","")),Students!$A:$A,AR$2)+countifs(Students!$P:$P,$AK25,Students!$Q:$Q,$AK$2&amp;if($K25="S1","a",if($K25="S2","b","")),Students!$A:$A,AR$2)+countifs(Students!$R:$R,$AK25,Students!$S:$S,$AK$2&amp;if($K25="S1","a",if($K25="S2","b","")),Students!$A:$A,AR$2)+countifs(Students!$T:$T,$AK25,Students!$U:$U,$AK$2&amp;if($K25="S1","a",if($K25="S2","b","")),Students!$A:$A,AR$2)+countifs(Students!$V:$V,$AK25,Students!$W:$W,$AK$2&amp;if($K25="S1","a",if($K25="S2","b","")),Students!$A:$A,AR$2))</f>
        <v>12</v>
      </c>
      <c r="AS25" s="102">
        <f>if($L25="","",countifs(Students!$D:$D,$P25,Students!$E:$E,$P$2&amp;if($K25="S1","a",if($K25="S2","b","")),Students!$A:$A,AS$2)+countifs(Students!$F:$F,$P25,Students!$G:$G,$P$2&amp;if($K25="S1","a",if($K25="S2","b","")),Students!$A:$A,AS$2)+countifs(Students!$H:$H,$P25,Students!$I:$I,$P$2&amp;if($K25="S1","a",if($K25="S2","b","")),Students!$A:$A,AS$2)+countifs(Students!$J:$J,$P25,Students!$K:$K,$P$2&amp;if($K25="S1","a",if($K25="S2","b","")),Students!$A:$A,AS$2)+countifs(Students!$L:$L,$P25,Students!$M:$M,$P$2&amp;if($K25="S1","a",if($K25="S2","b","")),Students!$A:$A,AS$2)+countifs(Students!$N:$N,$P25,Students!$O:$O,$P$2&amp;if($K25="S1","a",if($K25="S2","b","")),Students!$A:$A,AS$2)+countifs(Students!$P:$P,$P25,Students!$Q:$Q,$P$2&amp;if($K25="S1","a",if($K25="S2","b","")),Students!$A:$A,AS$2)+countifs(Students!$R:$R,$P25,Students!$S:$S,$P$2&amp;if($K25="S1","a",if($K25="S2","b","")),Students!$A:$A,AS$2)+countifs(Students!$T:$T,$P25,Students!$U:$U,$P$2&amp;if($K25="S1","a",if($K25="S2","b","")),Students!$A:$A,AS$2)+countifs(Students!$V:$V,$P25,Students!$W:$W,$P$2&amp;if($K25="S1","a",if($K25="S2","b","")),Students!$A:$A,AS$2)+
countifs(Students!$D:$D,$S25,Students!$E:$E,$S$2&amp;if($K25="S1","a",if($K25="S2","b","")),Students!$A:$A,AS$2)+countifs(Students!$F:$F,$S25,Students!$G:$G,$S$2&amp;if($K25="S1","a",if($K25="S2","b","")),Students!$A:$A,AS$2)+countifs(Students!$H:$H,$S25,Students!$I:$I,$S$2&amp;if($K25="S1","a",if($K25="S2","b","")),Students!$A:$A,AS$2)+countifs(Students!$J:$J,$S25,Students!$K:$K,$S$2&amp;if($K25="S1","a",if($K25="S2","b","")),Students!$A:$A,AS$2)+countifs(Students!$L:$L,$S25,Students!$M:$M,$S$2&amp;if($K25="S1","a",if($K25="S2","b","")),Students!$A:$A,AS$2)+countifs(Students!$N:$N,$S25,Students!$O:$O,$S$2&amp;if($K25="S1","a",if($K25="S2","b","")),Students!$A:$A,AS$2)+countifs(Students!$P:$P,$S25,Students!$Q:$Q,$S$2&amp;if($K25="S1","a",if($K25="S2","b","")),Students!$A:$A,AS$2)+countifs(Students!$R:$R,$S25,Students!$S:$S,$S$2&amp;if($K25="S1","a",if($K25="S2","b","")),Students!$A:$A,AS$2)+countifs(Students!$T:$T,$S25,Students!$U:$U,$S$2&amp;if($K25="S1","a",if($K25="S2","b","")),Students!$A:$A,AS$2)+countifs(Students!$V:$V,$S25,Students!$W:$W,$S$2&amp;if($K25="S1","a",if($K25="S2","b","")),Students!$A:$A,AS$2)+
countifs(Students!$D:$D,$V25,Students!$E:$E,$V$2&amp;if($K25="S1","a",if($K25="S2","b","")),Students!$A:$A,AS$2)+countifs(Students!$F:$F,$V25,Students!$G:$G,$V$2&amp;if($K25="S1","a",if($K25="S2","b","")),Students!$A:$A,AS$2)+countifs(Students!$H:$H,$V25,Students!$I:$I,$V$2&amp;if($K25="S1","a",if($K25="S2","b","")),Students!$A:$A,AS$2)+countifs(Students!$J:$J,$V25,Students!$K:$K,$V$2&amp;if($K25="S1","a",if($K25="S2","b","")),Students!$A:$A,AS$2)+countifs(Students!$L:$L,$V25,Students!$M:$M,$V$2&amp;if($K25="S1","a",if($K25="S2","b","")),Students!$A:$A,AS$2)+countifs(Students!$N:$N,$V25,Students!$O:$O,$V$2&amp;if($K25="S1","a",if($K25="S2","b","")),Students!$A:$A,AS$2)+countifs(Students!$P:$P,$V25,Students!$Q:$Q,$V$2&amp;if($K25="S1","a",if($K25="S2","b","")),Students!$A:$A,AS$2)+countifs(Students!$R:$R,$V25,Students!$S:$S,$V$2&amp;if($K25="S1","a",if($K25="S2","b","")),Students!$A:$A,AS$2)+countifs(Students!$T:$T,$V25,Students!$U:$U,$V$2&amp;if($K25="S1","a",if($K25="S2","b","")),Students!$A:$A,AS$2)+countifs(Students!$V:$V,$V25,Students!$W:$W,$V$2&amp;if($K25="S1","a",if($K25="S2","b","")),Students!$A:$A,AS$2)+
countifs(Students!$D:$D,$Y25,Students!$E:$E,$Y$2&amp;if($K25="S1","a",if($K25="S2","b","")),Students!$A:$A,AS$2)+countifs(Students!$F:$F,$Y25,Students!$G:$G,$Y$2&amp;if($K25="S1","a",if($K25="S2","b","")),Students!$A:$A,AS$2)+countifs(Students!$H:$H,$Y25,Students!$I:$I,$Y$2&amp;if($K25="S1","a",if($K25="S2","b","")),Students!$A:$A,AS$2)+countifs(Students!$J:$J,$Y25,Students!$K:$K,$Y$2&amp;if($K25="S1","a",if($K25="S2","b","")),Students!$A:$A,AS$2)+countifs(Students!$L:$L,$Y25,Students!$M:$M,$Y$2&amp;if($K25="S1","a",if($K25="S2","b","")),Students!$A:$A,AS$2)+countifs(Students!$N:$N,$Y25,Students!$O:$O,$Y$2&amp;if($K25="S1","a",if($K25="S2","b","")),Students!$A:$A,AS$2)+countifs(Students!$P:$P,$Y25,Students!$Q:$Q,$Y$2&amp;if($K25="S1","a",if($K25="S2","b","")),Students!$A:$A,AS$2)+countifs(Students!$R:$R,$Y25,Students!$S:$S,$Y$2&amp;if($K25="S1","a",if($K25="S2","b","")),Students!$A:$A,AS$2)+countifs(Students!$T:$T,$Y25,Students!$U:$U,$Y$2&amp;if($K25="S1","a",if($K25="S2","b","")),Students!$A:$A,AS$2)+countifs(Students!$V:$V,$Y25,Students!$W:$W,$Y$2&amp;if($K25="S1","a",if($K25="S2","b","")),Students!$A:$A,AS$2)+
countifs(Students!$D:$D,$AB25,Students!$E:$E,$AB$2&amp;if($K25="S1","a",if($K25="S2","b","")),Students!$A:$A,AS$2)+countifs(Students!$F:$F,$AB25,Students!$G:$G,$AB$2&amp;if($K25="S1","a",if($K25="S2","b","")),Students!$A:$A,AS$2)+countifs(Students!$H:$H,$AB25,Students!$I:$I,$AB$2&amp;if($K25="S1","a",if($K25="S2","b","")),Students!$A:$A,AS$2)+countifs(Students!$J:$J,$AB25,Students!$K:$K,$AB$2&amp;if($K25="S1","a",if($K25="S2","b","")),Students!$A:$A,AS$2)+countifs(Students!$L:$L,$AB25,Students!$M:$M,$AB$2&amp;if($K25="S1","a",if($K25="S2","b","")),Students!$A:$A,AS$2)+countifs(Students!$N:$N,$AB25,Students!$O:$O,$AB$2&amp;if($K25="S1","a",if($K25="S2","b","")),Students!$A:$A,AS$2)+countifs(Students!$P:$P,$AB25,Students!$Q:$Q,$AB$2&amp;if($K25="S1","a",if($K25="S2","b","")),Students!$A:$A,AS$2)+countifs(Students!$R:$R,$AB25,Students!$S:$S,$AB$2&amp;if($K25="S1","a",if($K25="S2","b","")),Students!$A:$A,AS$2)+countifs(Students!$T:$T,$AB25,Students!$U:$U,$AB$2&amp;if($K25="S1","a",if($K25="S2","b","")),Students!$A:$A,AS$2)+countifs(Students!$V:$V,$AB25,Students!$W:$W,$AB$2&amp;if($K25="S1","a",if($K25="S2","b","")),Students!$A:$A,AS$2)+
countifs(Students!$D:$D,$AE25,Students!$E:$E,$AE$2&amp;if($K25="S1","a",if($K25="S2","b","")),Students!$A:$A,AS$2)+countifs(Students!$F:$F,$AE25,Students!$G:$G,$AE$2&amp;if($K25="S1","a",if($K25="S2","b","")),Students!$A:$A,AS$2)+countifs(Students!$H:$H,$AE25,Students!$I:$I,$AE$2&amp;if($K25="S1","a",if($K25="S2","b","")),Students!$A:$A,AS$2)+countifs(Students!$J:$J,$AE25,Students!$K:$K,$AE$2&amp;if($K25="S1","a",if($K25="S2","b","")),Students!$A:$A,AS$2)+countifs(Students!$L:$L,$AE25,Students!$M:$M,$AE$2&amp;if($K25="S1","a",if($K25="S2","b","")),Students!$A:$A,AS$2)+countifs(Students!$N:$N,$AE25,Students!$O:$O,$AE$2&amp;if($K25="S1","a",if($K25="S2","b","")),Students!$A:$A,AS$2)+countifs(Students!$P:$P,$AE25,Students!$Q:$Q,$AE$2&amp;if($K25="S1","a",if($K25="S2","b","")),Students!$A:$A,AS$2)+countifs(Students!$R:$R,$AE25,Students!$S:$S,$AE$2&amp;if($K25="S1","a",if($K25="S2","b","")),Students!$A:$A,AS$2)+countifs(Students!$T:$T,$AE25,Students!$U:$U,$AE$2&amp;if($K25="S1","a",if($K25="S2","b","")),Students!$A:$A,AS$2)+countifs(Students!$V:$V,$AE25,Students!$W:$W,$AE$2&amp;if($K25="S1","a",if($K25="S2","b","")),Students!$A:$A,AS$2)+
countifs(Students!$D:$D,$AH25,Students!$E:$E,$AH$2&amp;if($K25="S1","a",if($K25="S2","b","")),Students!$A:$A,AS$2)+countifs(Students!$F:$F,$AH25,Students!$G:$G,$AH$2&amp;if($K25="S1","a",if($K25="S2","b","")),Students!$A:$A,AS$2)+countifs(Students!$H:$H,$AH25,Students!$I:$I,$AH$2&amp;if($K25="S1","a",if($K25="S2","b","")),Students!$A:$A,AS$2)+countifs(Students!$J:$J,$AH25,Students!$K:$K,$AH$2&amp;if($K25="S1","a",if($K25="S2","b","")),Students!$A:$A,AS$2)+countifs(Students!$L:$L,$AH25,Students!$M:$M,$AH$2&amp;if($K25="S1","a",if($K25="S2","b","")),Students!$A:$A,AS$2)+countifs(Students!$N:$N,$AH25,Students!$O:$O,$AH$2&amp;if($K25="S1","a",if($K25="S2","b","")),Students!$A:$A,AS$2)+countifs(Students!$P:$P,$AH25,Students!$Q:$Q,$AH$2&amp;if($K25="S1","a",if($K25="S2","b","")),Students!$A:$A,AS$2)+countifs(Students!$R:$R,$AH25,Students!$S:$S,$AH$2&amp;if($K25="S1","a",if($K25="S2","b","")),Students!$A:$A,AS$2)+countifs(Students!$T:$T,$AH25,Students!$U:$U,$AH$2&amp;if($K25="S1","a",if($K25="S2","b","")),Students!$A:$A,AS$2)+countifs(Students!$V:$V,$AH25,Students!$W:$W,$AH$2&amp;if($K25="S1","a",if($K25="S2","b","")),Students!$A:$A,AS$2)+
countifs(Students!$D:$D,$AK25,Students!$E:$E,$AK$2&amp;if($K25="S1","a",if($K25="S2","b","")),Students!$A:$A,AS$2)+countifs(Students!$F:$F,$AK25,Students!$G:$G,$AK$2&amp;if($K25="S1","a",if($K25="S2","b","")),Students!$A:$A,AS$2)+countifs(Students!$H:$H,$AK25,Students!$I:$I,$AK$2&amp;if($K25="S1","a",if($K25="S2","b","")),Students!$A:$A,AS$2)+countifs(Students!$J:$J,$AK25,Students!$K:$K,$AK$2&amp;if($K25="S1","a",if($K25="S2","b","")),Students!$A:$A,AS$2)+countifs(Students!$L:$L,$AK25,Students!$M:$M,$AK$2&amp;if($K25="S1","a",if($K25="S2","b","")),Students!$A:$A,AS$2)+countifs(Students!$N:$N,$AK25,Students!$O:$O,$AK$2&amp;if($K25="S1","a",if($K25="S2","b","")),Students!$A:$A,AS$2)+countifs(Students!$P:$P,$AK25,Students!$Q:$Q,$AK$2&amp;if($K25="S1","a",if($K25="S2","b","")),Students!$A:$A,AS$2)+countifs(Students!$R:$R,$AK25,Students!$S:$S,$AK$2&amp;if($K25="S1","a",if($K25="S2","b","")),Students!$A:$A,AS$2)+countifs(Students!$T:$T,$AK25,Students!$U:$U,$AK$2&amp;if($K25="S1","a",if($K25="S2","b","")),Students!$A:$A,AS$2)+countifs(Students!$V:$V,$AK25,Students!$W:$W,$AK$2&amp;if($K25="S1","a",if($K25="S2","b","")),Students!$A:$A,AS$2))</f>
        <v>51</v>
      </c>
    </row>
    <row r="26">
      <c r="J26" s="87">
        <v>110.0</v>
      </c>
      <c r="K26" s="70"/>
      <c r="L26" s="58" t="s">
        <v>83</v>
      </c>
      <c r="M26" s="117"/>
      <c r="N26" s="87">
        <v>3.0</v>
      </c>
      <c r="O26" s="87"/>
      <c r="P26" s="101"/>
      <c r="Q26" s="101"/>
      <c r="R26" s="98" t="s">
        <v>22</v>
      </c>
      <c r="S26" s="101" t="s">
        <v>84</v>
      </c>
      <c r="T26" s="101">
        <v>1.0</v>
      </c>
      <c r="U26" s="98">
        <v>24.0</v>
      </c>
      <c r="V26" s="101" t="s">
        <v>85</v>
      </c>
      <c r="W26" s="101">
        <v>1.0</v>
      </c>
      <c r="X26" s="98">
        <v>15.0</v>
      </c>
      <c r="Y26" s="101" t="s">
        <v>86</v>
      </c>
      <c r="Z26" s="101">
        <v>1.0</v>
      </c>
      <c r="AA26" s="98">
        <v>22.0</v>
      </c>
      <c r="AB26" s="121"/>
      <c r="AC26" s="117"/>
      <c r="AD26" s="92" t="s">
        <v>22</v>
      </c>
      <c r="AE26" s="90" t="s">
        <v>84</v>
      </c>
      <c r="AF26" s="91">
        <v>2.0</v>
      </c>
      <c r="AG26" s="92">
        <v>25.0</v>
      </c>
      <c r="AH26" s="94"/>
      <c r="AI26" s="115"/>
      <c r="AJ26" s="95" t="s">
        <v>22</v>
      </c>
      <c r="AK26" s="101" t="s">
        <v>84</v>
      </c>
      <c r="AL26" s="97">
        <v>3.0</v>
      </c>
      <c r="AM26" s="98">
        <v>24.0</v>
      </c>
      <c r="AN26" s="99"/>
      <c r="AO26" s="52">
        <f t="shared" si="2"/>
        <v>110</v>
      </c>
      <c r="AP26" s="102">
        <f>if($L26="","",countifs(Students!$D:$D,$P26,Students!$E:$E,$P$2&amp;if($K26="S1","a",if($K26="S2","b","")),Students!$A:$A,AP$2)+countifs(Students!$F:$F,$P26,Students!$G:$G,$P$2&amp;if($K26="S1","a",if($K26="S2","b","")),Students!$A:$A,AP$2)+countifs(Students!$H:$H,$P26,Students!$I:$I,$P$2&amp;if($K26="S1","a",if($K26="S2","b","")),Students!$A:$A,AP$2)+countifs(Students!$J:$J,$P26,Students!$K:$K,$P$2&amp;if($K26="S1","a",if($K26="S2","b","")),Students!$A:$A,AP$2)+countifs(Students!$L:$L,$P26,Students!$M:$M,$P$2&amp;if($K26="S1","a",if($K26="S2","b","")),Students!$A:$A,AP$2)+countifs(Students!$N:$N,$P26,Students!$O:$O,$P$2&amp;if($K26="S1","a",if($K26="S2","b","")),Students!$A:$A,AP$2)+countifs(Students!$P:$P,$P26,Students!$Q:$Q,$P$2&amp;if($K26="S1","a",if($K26="S2","b","")),Students!$A:$A,AP$2)+countifs(Students!$R:$R,$P26,Students!$S:$S,$P$2&amp;if($K26="S1","a",if($K26="S2","b","")),Students!$A:$A,AP$2)+countifs(Students!$T:$T,$P26,Students!$U:$U,$P$2&amp;if($K26="S1","a",if($K26="S2","b","")),Students!$A:$A,AP$2)+countifs(Students!$V:$V,$P26,Students!$W:$W,$P$2&amp;if($K26="S1","a",if($K26="S2","b","")),Students!$A:$A,AP$2)+
countifs(Students!$D:$D,$S26,Students!$E:$E,$S$2&amp;if($K26="S1","a",if($K26="S2","b","")),Students!$A:$A,AP$2)+countifs(Students!$F:$F,$S26,Students!$G:$G,$S$2&amp;if($K26="S1","a",if($K26="S2","b","")),Students!$A:$A,AP$2)+countifs(Students!$H:$H,$S26,Students!$I:$I,$S$2&amp;if($K26="S1","a",if($K26="S2","b","")),Students!$A:$A,AP$2)+countifs(Students!$J:$J,$S26,Students!$K:$K,$S$2&amp;if($K26="S1","a",if($K26="S2","b","")),Students!$A:$A,AP$2)+countifs(Students!$L:$L,$S26,Students!$M:$M,$S$2&amp;if($K26="S1","a",if($K26="S2","b","")),Students!$A:$A,AP$2)+countifs(Students!$N:$N,$S26,Students!$O:$O,$S$2&amp;if($K26="S1","a",if($K26="S2","b","")),Students!$A:$A,AP$2)+countifs(Students!$P:$P,$S26,Students!$Q:$Q,$S$2&amp;if($K26="S1","a",if($K26="S2","b","")),Students!$A:$A,AP$2)+countifs(Students!$R:$R,$S26,Students!$S:$S,$S$2&amp;if($K26="S1","a",if($K26="S2","b","")),Students!$A:$A,AP$2)+countifs(Students!$T:$T,$S26,Students!$U:$U,$S$2&amp;if($K26="S1","a",if($K26="S2","b","")),Students!$A:$A,AP$2)+countifs(Students!$V:$V,$S26,Students!$W:$W,$S$2&amp;if($K26="S1","a",if($K26="S2","b","")),Students!$A:$A,AP$2)+
countifs(Students!$D:$D,$V26,Students!$E:$E,$V$2&amp;if($K26="S1","a",if($K26="S2","b","")),Students!$A:$A,AP$2)+countifs(Students!$F:$F,$V26,Students!$G:$G,$V$2&amp;if($K26="S1","a",if($K26="S2","b","")),Students!$A:$A,AP$2)+countifs(Students!$H:$H,$V26,Students!$I:$I,$V$2&amp;if($K26="S1","a",if($K26="S2","b","")),Students!$A:$A,AP$2)+countifs(Students!$J:$J,$V26,Students!$K:$K,$V$2&amp;if($K26="S1","a",if($K26="S2","b","")),Students!$A:$A,AP$2)+countifs(Students!$L:$L,$V26,Students!$M:$M,$V$2&amp;if($K26="S1","a",if($K26="S2","b","")),Students!$A:$A,AP$2)+countifs(Students!$N:$N,$V26,Students!$O:$O,$V$2&amp;if($K26="S1","a",if($K26="S2","b","")),Students!$A:$A,AP$2)+countifs(Students!$P:$P,$V26,Students!$Q:$Q,$V$2&amp;if($K26="S1","a",if($K26="S2","b","")),Students!$A:$A,AP$2)+countifs(Students!$R:$R,$V26,Students!$S:$S,$V$2&amp;if($K26="S1","a",if($K26="S2","b","")),Students!$A:$A,AP$2)+countifs(Students!$T:$T,$V26,Students!$U:$U,$V$2&amp;if($K26="S1","a",if($K26="S2","b","")),Students!$A:$A,AP$2)+countifs(Students!$V:$V,$V26,Students!$W:$W,$V$2&amp;if($K26="S1","a",if($K26="S2","b","")),Students!$A:$A,AP$2)+
countifs(Students!$D:$D,$Y26,Students!$E:$E,$Y$2&amp;if($K26="S1","a",if($K26="S2","b","")),Students!$A:$A,AP$2)+countifs(Students!$F:$F,$Y26,Students!$G:$G,$Y$2&amp;if($K26="S1","a",if($K26="S2","b","")),Students!$A:$A,AP$2)+countifs(Students!$H:$H,$Y26,Students!$I:$I,$Y$2&amp;if($K26="S1","a",if($K26="S2","b","")),Students!$A:$A,AP$2)+countifs(Students!$J:$J,$Y26,Students!$K:$K,$Y$2&amp;if($K26="S1","a",if($K26="S2","b","")),Students!$A:$A,AP$2)+countifs(Students!$L:$L,$Y26,Students!$M:$M,$Y$2&amp;if($K26="S1","a",if($K26="S2","b","")),Students!$A:$A,AP$2)+countifs(Students!$N:$N,$Y26,Students!$O:$O,$Y$2&amp;if($K26="S1","a",if($K26="S2","b","")),Students!$A:$A,AP$2)+countifs(Students!$P:$P,$Y26,Students!$Q:$Q,$Y$2&amp;if($K26="S1","a",if($K26="S2","b","")),Students!$A:$A,AP$2)+countifs(Students!$R:$R,$Y26,Students!$S:$S,$Y$2&amp;if($K26="S1","a",if($K26="S2","b","")),Students!$A:$A,AP$2)+countifs(Students!$T:$T,$Y26,Students!$U:$U,$Y$2&amp;if($K26="S1","a",if($K26="S2","b","")),Students!$A:$A,AP$2)+countifs(Students!$V:$V,$Y26,Students!$W:$W,$Y$2&amp;if($K26="S1","a",if($K26="S2","b","")),Students!$A:$A,AP$2)+
countifs(Students!$D:$D,$AB26,Students!$E:$E,$AB$2&amp;if($K26="S1","a",if($K26="S2","b","")),Students!$A:$A,AP$2)+countifs(Students!$F:$F,$AB26,Students!$G:$G,$AB$2&amp;if($K26="S1","a",if($K26="S2","b","")),Students!$A:$A,AP$2)+countifs(Students!$H:$H,$AB26,Students!$I:$I,$AB$2&amp;if($K26="S1","a",if($K26="S2","b","")),Students!$A:$A,AP$2)+countifs(Students!$J:$J,$AB26,Students!$K:$K,$AB$2&amp;if($K26="S1","a",if($K26="S2","b","")),Students!$A:$A,AP$2)+countifs(Students!$L:$L,$AB26,Students!$M:$M,$AB$2&amp;if($K26="S1","a",if($K26="S2","b","")),Students!$A:$A,AP$2)+countifs(Students!$N:$N,$AB26,Students!$O:$O,$AB$2&amp;if($K26="S1","a",if($K26="S2","b","")),Students!$A:$A,AP$2)+countifs(Students!$P:$P,$AB26,Students!$Q:$Q,$AB$2&amp;if($K26="S1","a",if($K26="S2","b","")),Students!$A:$A,AP$2)+countifs(Students!$R:$R,$AB26,Students!$S:$S,$AB$2&amp;if($K26="S1","a",if($K26="S2","b","")),Students!$A:$A,AP$2)+countifs(Students!$T:$T,$AB26,Students!$U:$U,$AB$2&amp;if($K26="S1","a",if($K26="S2","b","")),Students!$A:$A,AP$2)+countifs(Students!$V:$V,$AB26,Students!$W:$W,$AB$2&amp;if($K26="S1","a",if($K26="S2","b","")),Students!$A:$A,AP$2)+
countifs(Students!$D:$D,$AE26,Students!$E:$E,$AE$2&amp;if($K26="S1","a",if($K26="S2","b","")),Students!$A:$A,AP$2)+countifs(Students!$F:$F,$AE26,Students!$G:$G,$AE$2&amp;if($K26="S1","a",if($K26="S2","b","")),Students!$A:$A,AP$2)+countifs(Students!$H:$H,$AE26,Students!$I:$I,$AE$2&amp;if($K26="S1","a",if($K26="S2","b","")),Students!$A:$A,AP$2)+countifs(Students!$J:$J,$AE26,Students!$K:$K,$AE$2&amp;if($K26="S1","a",if($K26="S2","b","")),Students!$A:$A,AP$2)+countifs(Students!$L:$L,$AE26,Students!$M:$M,$AE$2&amp;if($K26="S1","a",if($K26="S2","b","")),Students!$A:$A,AP$2)+countifs(Students!$N:$N,$AE26,Students!$O:$O,$AE$2&amp;if($K26="S1","a",if($K26="S2","b","")),Students!$A:$A,AP$2)+countifs(Students!$P:$P,$AE26,Students!$Q:$Q,$AE$2&amp;if($K26="S1","a",if($K26="S2","b","")),Students!$A:$A,AP$2)+countifs(Students!$R:$R,$AE26,Students!$S:$S,$AE$2&amp;if($K26="S1","a",if($K26="S2","b","")),Students!$A:$A,AP$2)+countifs(Students!$T:$T,$AE26,Students!$U:$U,$AE$2&amp;if($K26="S1","a",if($K26="S2","b","")),Students!$A:$A,AP$2)+countifs(Students!$V:$V,$AE26,Students!$W:$W,$AE$2&amp;if($K26="S1","a",if($K26="S2","b","")),Students!$A:$A,AP$2)+
countifs(Students!$D:$D,$AH26,Students!$E:$E,$AH$2&amp;if($K26="S1","a",if($K26="S2","b","")),Students!$A:$A,AP$2)+countifs(Students!$F:$F,$AH26,Students!$G:$G,$AH$2&amp;if($K26="S1","a",if($K26="S2","b","")),Students!$A:$A,AP$2)+countifs(Students!$H:$H,$AH26,Students!$I:$I,$AH$2&amp;if($K26="S1","a",if($K26="S2","b","")),Students!$A:$A,AP$2)+countifs(Students!$J:$J,$AH26,Students!$K:$K,$AH$2&amp;if($K26="S1","a",if($K26="S2","b","")),Students!$A:$A,AP$2)+countifs(Students!$L:$L,$AH26,Students!$M:$M,$AH$2&amp;if($K26="S1","a",if($K26="S2","b","")),Students!$A:$A,AP$2)+countifs(Students!$N:$N,$AH26,Students!$O:$O,$AH$2&amp;if($K26="S1","a",if($K26="S2","b","")),Students!$A:$A,AP$2)+countifs(Students!$P:$P,$AH26,Students!$Q:$Q,$AH$2&amp;if($K26="S1","a",if($K26="S2","b","")),Students!$A:$A,AP$2)+countifs(Students!$R:$R,$AH26,Students!$S:$S,$AH$2&amp;if($K26="S1","a",if($K26="S2","b","")),Students!$A:$A,AP$2)+countifs(Students!$T:$T,$AH26,Students!$U:$U,$AH$2&amp;if($K26="S1","a",if($K26="S2","b","")),Students!$A:$A,AP$2)+countifs(Students!$V:$V,$AH26,Students!$W:$W,$AH$2&amp;if($K26="S1","a",if($K26="S2","b","")),Students!$A:$A,AP$2)+
countifs(Students!$D:$D,$AK26,Students!$E:$E,$AK$2&amp;if($K26="S1","a",if($K26="S2","b","")),Students!$A:$A,AP$2)+countifs(Students!$F:$F,$AK26,Students!$G:$G,$AK$2&amp;if($K26="S1","a",if($K26="S2","b","")),Students!$A:$A,AP$2)+countifs(Students!$H:$H,$AK26,Students!$I:$I,$AK$2&amp;if($K26="S1","a",if($K26="S2","b","")),Students!$A:$A,AP$2)+countifs(Students!$J:$J,$AK26,Students!$K:$K,$AK$2&amp;if($K26="S1","a",if($K26="S2","b","")),Students!$A:$A,AP$2)+countifs(Students!$L:$L,$AK26,Students!$M:$M,$AK$2&amp;if($K26="S1","a",if($K26="S2","b","")),Students!$A:$A,AP$2)+countifs(Students!$N:$N,$AK26,Students!$O:$O,$AK$2&amp;if($K26="S1","a",if($K26="S2","b","")),Students!$A:$A,AP$2)+countifs(Students!$P:$P,$AK26,Students!$Q:$Q,$AK$2&amp;if($K26="S1","a",if($K26="S2","b","")),Students!$A:$A,AP$2)+countifs(Students!$R:$R,$AK26,Students!$S:$S,$AK$2&amp;if($K26="S1","a",if($K26="S2","b","")),Students!$A:$A,AP$2)+countifs(Students!$T:$T,$AK26,Students!$U:$U,$AK$2&amp;if($K26="S1","a",if($K26="S2","b","")),Students!$A:$A,AP$2)+countifs(Students!$V:$V,$AK26,Students!$W:$W,$AK$2&amp;if($K26="S1","a",if($K26="S2","b","")),Students!$A:$A,AP$2))</f>
        <v>0</v>
      </c>
      <c r="AQ26" s="102">
        <f>if($L26="","",countifs(Students!$D:$D,$P26,Students!$E:$E,$P$2&amp;if($K26="S1","a",if($K26="S2","b","")),Students!$A:$A,AQ$2)+countifs(Students!$F:$F,$P26,Students!$G:$G,$P$2&amp;if($K26="S1","a",if($K26="S2","b","")),Students!$A:$A,AQ$2)+countifs(Students!$H:$H,$P26,Students!$I:$I,$P$2&amp;if($K26="S1","a",if($K26="S2","b","")),Students!$A:$A,AQ$2)+countifs(Students!$J:$J,$P26,Students!$K:$K,$P$2&amp;if($K26="S1","a",if($K26="S2","b","")),Students!$A:$A,AQ$2)+countifs(Students!$L:$L,$P26,Students!$M:$M,$P$2&amp;if($K26="S1","a",if($K26="S2","b","")),Students!$A:$A,AQ$2)+countifs(Students!$N:$N,$P26,Students!$O:$O,$P$2&amp;if($K26="S1","a",if($K26="S2","b","")),Students!$A:$A,AQ$2)+countifs(Students!$P:$P,$P26,Students!$Q:$Q,$P$2&amp;if($K26="S1","a",if($K26="S2","b","")),Students!$A:$A,AQ$2)+countifs(Students!$R:$R,$P26,Students!$S:$S,$P$2&amp;if($K26="S1","a",if($K26="S2","b","")),Students!$A:$A,AQ$2)+countifs(Students!$T:$T,$P26,Students!$U:$U,$P$2&amp;if($K26="S1","a",if($K26="S2","b","")),Students!$A:$A,AQ$2)+countifs(Students!$V:$V,$P26,Students!$W:$W,$P$2&amp;if($K26="S1","a",if($K26="S2","b","")),Students!$A:$A,AQ$2)+
countifs(Students!$D:$D,$S26,Students!$E:$E,$S$2&amp;if($K26="S1","a",if($K26="S2","b","")),Students!$A:$A,AQ$2)+countifs(Students!$F:$F,$S26,Students!$G:$G,$S$2&amp;if($K26="S1","a",if($K26="S2","b","")),Students!$A:$A,AQ$2)+countifs(Students!$H:$H,$S26,Students!$I:$I,$S$2&amp;if($K26="S1","a",if($K26="S2","b","")),Students!$A:$A,AQ$2)+countifs(Students!$J:$J,$S26,Students!$K:$K,$S$2&amp;if($K26="S1","a",if($K26="S2","b","")),Students!$A:$A,AQ$2)+countifs(Students!$L:$L,$S26,Students!$M:$M,$S$2&amp;if($K26="S1","a",if($K26="S2","b","")),Students!$A:$A,AQ$2)+countifs(Students!$N:$N,$S26,Students!$O:$O,$S$2&amp;if($K26="S1","a",if($K26="S2","b","")),Students!$A:$A,AQ$2)+countifs(Students!$P:$P,$S26,Students!$Q:$Q,$S$2&amp;if($K26="S1","a",if($K26="S2","b","")),Students!$A:$A,AQ$2)+countifs(Students!$R:$R,$S26,Students!$S:$S,$S$2&amp;if($K26="S1","a",if($K26="S2","b","")),Students!$A:$A,AQ$2)+countifs(Students!$T:$T,$S26,Students!$U:$U,$S$2&amp;if($K26="S1","a",if($K26="S2","b","")),Students!$A:$A,AQ$2)+countifs(Students!$V:$V,$S26,Students!$W:$W,$S$2&amp;if($K26="S1","a",if($K26="S2","b","")),Students!$A:$A,AQ$2)+
countifs(Students!$D:$D,$V26,Students!$E:$E,$V$2&amp;if($K26="S1","a",if($K26="S2","b","")),Students!$A:$A,AQ$2)+countifs(Students!$F:$F,$V26,Students!$G:$G,$V$2&amp;if($K26="S1","a",if($K26="S2","b","")),Students!$A:$A,AQ$2)+countifs(Students!$H:$H,$V26,Students!$I:$I,$V$2&amp;if($K26="S1","a",if($K26="S2","b","")),Students!$A:$A,AQ$2)+countifs(Students!$J:$J,$V26,Students!$K:$K,$V$2&amp;if($K26="S1","a",if($K26="S2","b","")),Students!$A:$A,AQ$2)+countifs(Students!$L:$L,$V26,Students!$M:$M,$V$2&amp;if($K26="S1","a",if($K26="S2","b","")),Students!$A:$A,AQ$2)+countifs(Students!$N:$N,$V26,Students!$O:$O,$V$2&amp;if($K26="S1","a",if($K26="S2","b","")),Students!$A:$A,AQ$2)+countifs(Students!$P:$P,$V26,Students!$Q:$Q,$V$2&amp;if($K26="S1","a",if($K26="S2","b","")),Students!$A:$A,AQ$2)+countifs(Students!$R:$R,$V26,Students!$S:$S,$V$2&amp;if($K26="S1","a",if($K26="S2","b","")),Students!$A:$A,AQ$2)+countifs(Students!$T:$T,$V26,Students!$U:$U,$V$2&amp;if($K26="S1","a",if($K26="S2","b","")),Students!$A:$A,AQ$2)+countifs(Students!$V:$V,$V26,Students!$W:$W,$V$2&amp;if($K26="S1","a",if($K26="S2","b","")),Students!$A:$A,AQ$2)+
countifs(Students!$D:$D,$Y26,Students!$E:$E,$Y$2&amp;if($K26="S1","a",if($K26="S2","b","")),Students!$A:$A,AQ$2)+countifs(Students!$F:$F,$Y26,Students!$G:$G,$Y$2&amp;if($K26="S1","a",if($K26="S2","b","")),Students!$A:$A,AQ$2)+countifs(Students!$H:$H,$Y26,Students!$I:$I,$Y$2&amp;if($K26="S1","a",if($K26="S2","b","")),Students!$A:$A,AQ$2)+countifs(Students!$J:$J,$Y26,Students!$K:$K,$Y$2&amp;if($K26="S1","a",if($K26="S2","b","")),Students!$A:$A,AQ$2)+countifs(Students!$L:$L,$Y26,Students!$M:$M,$Y$2&amp;if($K26="S1","a",if($K26="S2","b","")),Students!$A:$A,AQ$2)+countifs(Students!$N:$N,$Y26,Students!$O:$O,$Y$2&amp;if($K26="S1","a",if($K26="S2","b","")),Students!$A:$A,AQ$2)+countifs(Students!$P:$P,$Y26,Students!$Q:$Q,$Y$2&amp;if($K26="S1","a",if($K26="S2","b","")),Students!$A:$A,AQ$2)+countifs(Students!$R:$R,$Y26,Students!$S:$S,$Y$2&amp;if($K26="S1","a",if($K26="S2","b","")),Students!$A:$A,AQ$2)+countifs(Students!$T:$T,$Y26,Students!$U:$U,$Y$2&amp;if($K26="S1","a",if($K26="S2","b","")),Students!$A:$A,AQ$2)+countifs(Students!$V:$V,$Y26,Students!$W:$W,$Y$2&amp;if($K26="S1","a",if($K26="S2","b","")),Students!$A:$A,AQ$2)+
countifs(Students!$D:$D,$AB26,Students!$E:$E,$AB$2&amp;if($K26="S1","a",if($K26="S2","b","")),Students!$A:$A,AQ$2)+countifs(Students!$F:$F,$AB26,Students!$G:$G,$AB$2&amp;if($K26="S1","a",if($K26="S2","b","")),Students!$A:$A,AQ$2)+countifs(Students!$H:$H,$AB26,Students!$I:$I,$AB$2&amp;if($K26="S1","a",if($K26="S2","b","")),Students!$A:$A,AQ$2)+countifs(Students!$J:$J,$AB26,Students!$K:$K,$AB$2&amp;if($K26="S1","a",if($K26="S2","b","")),Students!$A:$A,AQ$2)+countifs(Students!$L:$L,$AB26,Students!$M:$M,$AB$2&amp;if($K26="S1","a",if($K26="S2","b","")),Students!$A:$A,AQ$2)+countifs(Students!$N:$N,$AB26,Students!$O:$O,$AB$2&amp;if($K26="S1","a",if($K26="S2","b","")),Students!$A:$A,AQ$2)+countifs(Students!$P:$P,$AB26,Students!$Q:$Q,$AB$2&amp;if($K26="S1","a",if($K26="S2","b","")),Students!$A:$A,AQ$2)+countifs(Students!$R:$R,$AB26,Students!$S:$S,$AB$2&amp;if($K26="S1","a",if($K26="S2","b","")),Students!$A:$A,AQ$2)+countifs(Students!$T:$T,$AB26,Students!$U:$U,$AB$2&amp;if($K26="S1","a",if($K26="S2","b","")),Students!$A:$A,AQ$2)+countifs(Students!$V:$V,$AB26,Students!$W:$W,$AB$2&amp;if($K26="S1","a",if($K26="S2","b","")),Students!$A:$A,AQ$2)+
countifs(Students!$D:$D,$AE26,Students!$E:$E,$AE$2&amp;if($K26="S1","a",if($K26="S2","b","")),Students!$A:$A,AQ$2)+countifs(Students!$F:$F,$AE26,Students!$G:$G,$AE$2&amp;if($K26="S1","a",if($K26="S2","b","")),Students!$A:$A,AQ$2)+countifs(Students!$H:$H,$AE26,Students!$I:$I,$AE$2&amp;if($K26="S1","a",if($K26="S2","b","")),Students!$A:$A,AQ$2)+countifs(Students!$J:$J,$AE26,Students!$K:$K,$AE$2&amp;if($K26="S1","a",if($K26="S2","b","")),Students!$A:$A,AQ$2)+countifs(Students!$L:$L,$AE26,Students!$M:$M,$AE$2&amp;if($K26="S1","a",if($K26="S2","b","")),Students!$A:$A,AQ$2)+countifs(Students!$N:$N,$AE26,Students!$O:$O,$AE$2&amp;if($K26="S1","a",if($K26="S2","b","")),Students!$A:$A,AQ$2)+countifs(Students!$P:$P,$AE26,Students!$Q:$Q,$AE$2&amp;if($K26="S1","a",if($K26="S2","b","")),Students!$A:$A,AQ$2)+countifs(Students!$R:$R,$AE26,Students!$S:$S,$AE$2&amp;if($K26="S1","a",if($K26="S2","b","")),Students!$A:$A,AQ$2)+countifs(Students!$T:$T,$AE26,Students!$U:$U,$AE$2&amp;if($K26="S1","a",if($K26="S2","b","")),Students!$A:$A,AQ$2)+countifs(Students!$V:$V,$AE26,Students!$W:$W,$AE$2&amp;if($K26="S1","a",if($K26="S2","b","")),Students!$A:$A,AQ$2)+
countifs(Students!$D:$D,$AH26,Students!$E:$E,$AH$2&amp;if($K26="S1","a",if($K26="S2","b","")),Students!$A:$A,AQ$2)+countifs(Students!$F:$F,$AH26,Students!$G:$G,$AH$2&amp;if($K26="S1","a",if($K26="S2","b","")),Students!$A:$A,AQ$2)+countifs(Students!$H:$H,$AH26,Students!$I:$I,$AH$2&amp;if($K26="S1","a",if($K26="S2","b","")),Students!$A:$A,AQ$2)+countifs(Students!$J:$J,$AH26,Students!$K:$K,$AH$2&amp;if($K26="S1","a",if($K26="S2","b","")),Students!$A:$A,AQ$2)+countifs(Students!$L:$L,$AH26,Students!$M:$M,$AH$2&amp;if($K26="S1","a",if($K26="S2","b","")),Students!$A:$A,AQ$2)+countifs(Students!$N:$N,$AH26,Students!$O:$O,$AH$2&amp;if($K26="S1","a",if($K26="S2","b","")),Students!$A:$A,AQ$2)+countifs(Students!$P:$P,$AH26,Students!$Q:$Q,$AH$2&amp;if($K26="S1","a",if($K26="S2","b","")),Students!$A:$A,AQ$2)+countifs(Students!$R:$R,$AH26,Students!$S:$S,$AH$2&amp;if($K26="S1","a",if($K26="S2","b","")),Students!$A:$A,AQ$2)+countifs(Students!$T:$T,$AH26,Students!$U:$U,$AH$2&amp;if($K26="S1","a",if($K26="S2","b","")),Students!$A:$A,AQ$2)+countifs(Students!$V:$V,$AH26,Students!$W:$W,$AH$2&amp;if($K26="S1","a",if($K26="S2","b","")),Students!$A:$A,AQ$2)+
countifs(Students!$D:$D,$AK26,Students!$E:$E,$AK$2&amp;if($K26="S1","a",if($K26="S2","b","")),Students!$A:$A,AQ$2)+countifs(Students!$F:$F,$AK26,Students!$G:$G,$AK$2&amp;if($K26="S1","a",if($K26="S2","b","")),Students!$A:$A,AQ$2)+countifs(Students!$H:$H,$AK26,Students!$I:$I,$AK$2&amp;if($K26="S1","a",if($K26="S2","b","")),Students!$A:$A,AQ$2)+countifs(Students!$J:$J,$AK26,Students!$K:$K,$AK$2&amp;if($K26="S1","a",if($K26="S2","b","")),Students!$A:$A,AQ$2)+countifs(Students!$L:$L,$AK26,Students!$M:$M,$AK$2&amp;if($K26="S1","a",if($K26="S2","b","")),Students!$A:$A,AQ$2)+countifs(Students!$N:$N,$AK26,Students!$O:$O,$AK$2&amp;if($K26="S1","a",if($K26="S2","b","")),Students!$A:$A,AQ$2)+countifs(Students!$P:$P,$AK26,Students!$Q:$Q,$AK$2&amp;if($K26="S1","a",if($K26="S2","b","")),Students!$A:$A,AQ$2)+countifs(Students!$R:$R,$AK26,Students!$S:$S,$AK$2&amp;if($K26="S1","a",if($K26="S2","b","")),Students!$A:$A,AQ$2)+countifs(Students!$T:$T,$AK26,Students!$U:$U,$AK$2&amp;if($K26="S1","a",if($K26="S2","b","")),Students!$A:$A,AQ$2)+countifs(Students!$V:$V,$AK26,Students!$W:$W,$AK$2&amp;if($K26="S1","a",if($K26="S2","b","")),Students!$A:$A,AQ$2))</f>
        <v>15</v>
      </c>
      <c r="AR26" s="102">
        <f>if($L26="","",countifs(Students!$D:$D,$P26,Students!$E:$E,$P$2&amp;if($K26="S1","a",if($K26="S2","b","")),Students!$A:$A,AR$2)+countifs(Students!$F:$F,$P26,Students!$G:$G,$P$2&amp;if($K26="S1","a",if($K26="S2","b","")),Students!$A:$A,AR$2)+countifs(Students!$H:$H,$P26,Students!$I:$I,$P$2&amp;if($K26="S1","a",if($K26="S2","b","")),Students!$A:$A,AR$2)+countifs(Students!$J:$J,$P26,Students!$K:$K,$P$2&amp;if($K26="S1","a",if($K26="S2","b","")),Students!$A:$A,AR$2)+countifs(Students!$L:$L,$P26,Students!$M:$M,$P$2&amp;if($K26="S1","a",if($K26="S2","b","")),Students!$A:$A,AR$2)+countifs(Students!$N:$N,$P26,Students!$O:$O,$P$2&amp;if($K26="S1","a",if($K26="S2","b","")),Students!$A:$A,AR$2)+countifs(Students!$P:$P,$P26,Students!$Q:$Q,$P$2&amp;if($K26="S1","a",if($K26="S2","b","")),Students!$A:$A,AR$2)+countifs(Students!$R:$R,$P26,Students!$S:$S,$P$2&amp;if($K26="S1","a",if($K26="S2","b","")),Students!$A:$A,AR$2)+countifs(Students!$T:$T,$P26,Students!$U:$U,$P$2&amp;if($K26="S1","a",if($K26="S2","b","")),Students!$A:$A,AR$2)+countifs(Students!$V:$V,$P26,Students!$W:$W,$P$2&amp;if($K26="S1","a",if($K26="S2","b","")),Students!$A:$A,AR$2)+
countifs(Students!$D:$D,$S26,Students!$E:$E,$S$2&amp;if($K26="S1","a",if($K26="S2","b","")),Students!$A:$A,AR$2)+countifs(Students!$F:$F,$S26,Students!$G:$G,$S$2&amp;if($K26="S1","a",if($K26="S2","b","")),Students!$A:$A,AR$2)+countifs(Students!$H:$H,$S26,Students!$I:$I,$S$2&amp;if($K26="S1","a",if($K26="S2","b","")),Students!$A:$A,AR$2)+countifs(Students!$J:$J,$S26,Students!$K:$K,$S$2&amp;if($K26="S1","a",if($K26="S2","b","")),Students!$A:$A,AR$2)+countifs(Students!$L:$L,$S26,Students!$M:$M,$S$2&amp;if($K26="S1","a",if($K26="S2","b","")),Students!$A:$A,AR$2)+countifs(Students!$N:$N,$S26,Students!$O:$O,$S$2&amp;if($K26="S1","a",if($K26="S2","b","")),Students!$A:$A,AR$2)+countifs(Students!$P:$P,$S26,Students!$Q:$Q,$S$2&amp;if($K26="S1","a",if($K26="S2","b","")),Students!$A:$A,AR$2)+countifs(Students!$R:$R,$S26,Students!$S:$S,$S$2&amp;if($K26="S1","a",if($K26="S2","b","")),Students!$A:$A,AR$2)+countifs(Students!$T:$T,$S26,Students!$U:$U,$S$2&amp;if($K26="S1","a",if($K26="S2","b","")),Students!$A:$A,AR$2)+countifs(Students!$V:$V,$S26,Students!$W:$W,$S$2&amp;if($K26="S1","a",if($K26="S2","b","")),Students!$A:$A,AR$2)+
countifs(Students!$D:$D,$V26,Students!$E:$E,$V$2&amp;if($K26="S1","a",if($K26="S2","b","")),Students!$A:$A,AR$2)+countifs(Students!$F:$F,$V26,Students!$G:$G,$V$2&amp;if($K26="S1","a",if($K26="S2","b","")),Students!$A:$A,AR$2)+countifs(Students!$H:$H,$V26,Students!$I:$I,$V$2&amp;if($K26="S1","a",if($K26="S2","b","")),Students!$A:$A,AR$2)+countifs(Students!$J:$J,$V26,Students!$K:$K,$V$2&amp;if($K26="S1","a",if($K26="S2","b","")),Students!$A:$A,AR$2)+countifs(Students!$L:$L,$V26,Students!$M:$M,$V$2&amp;if($K26="S1","a",if($K26="S2","b","")),Students!$A:$A,AR$2)+countifs(Students!$N:$N,$V26,Students!$O:$O,$V$2&amp;if($K26="S1","a",if($K26="S2","b","")),Students!$A:$A,AR$2)+countifs(Students!$P:$P,$V26,Students!$Q:$Q,$V$2&amp;if($K26="S1","a",if($K26="S2","b","")),Students!$A:$A,AR$2)+countifs(Students!$R:$R,$V26,Students!$S:$S,$V$2&amp;if($K26="S1","a",if($K26="S2","b","")),Students!$A:$A,AR$2)+countifs(Students!$T:$T,$V26,Students!$U:$U,$V$2&amp;if($K26="S1","a",if($K26="S2","b","")),Students!$A:$A,AR$2)+countifs(Students!$V:$V,$V26,Students!$W:$W,$V$2&amp;if($K26="S1","a",if($K26="S2","b","")),Students!$A:$A,AR$2)+
countifs(Students!$D:$D,$Y26,Students!$E:$E,$Y$2&amp;if($K26="S1","a",if($K26="S2","b","")),Students!$A:$A,AR$2)+countifs(Students!$F:$F,$Y26,Students!$G:$G,$Y$2&amp;if($K26="S1","a",if($K26="S2","b","")),Students!$A:$A,AR$2)+countifs(Students!$H:$H,$Y26,Students!$I:$I,$Y$2&amp;if($K26="S1","a",if($K26="S2","b","")),Students!$A:$A,AR$2)+countifs(Students!$J:$J,$Y26,Students!$K:$K,$Y$2&amp;if($K26="S1","a",if($K26="S2","b","")),Students!$A:$A,AR$2)+countifs(Students!$L:$L,$Y26,Students!$M:$M,$Y$2&amp;if($K26="S1","a",if($K26="S2","b","")),Students!$A:$A,AR$2)+countifs(Students!$N:$N,$Y26,Students!$O:$O,$Y$2&amp;if($K26="S1","a",if($K26="S2","b","")),Students!$A:$A,AR$2)+countifs(Students!$P:$P,$Y26,Students!$Q:$Q,$Y$2&amp;if($K26="S1","a",if($K26="S2","b","")),Students!$A:$A,AR$2)+countifs(Students!$R:$R,$Y26,Students!$S:$S,$Y$2&amp;if($K26="S1","a",if($K26="S2","b","")),Students!$A:$A,AR$2)+countifs(Students!$T:$T,$Y26,Students!$U:$U,$Y$2&amp;if($K26="S1","a",if($K26="S2","b","")),Students!$A:$A,AR$2)+countifs(Students!$V:$V,$Y26,Students!$W:$W,$Y$2&amp;if($K26="S1","a",if($K26="S2","b","")),Students!$A:$A,AR$2)+
countifs(Students!$D:$D,$AB26,Students!$E:$E,$AB$2&amp;if($K26="S1","a",if($K26="S2","b","")),Students!$A:$A,AR$2)+countifs(Students!$F:$F,$AB26,Students!$G:$G,$AB$2&amp;if($K26="S1","a",if($K26="S2","b","")),Students!$A:$A,AR$2)+countifs(Students!$H:$H,$AB26,Students!$I:$I,$AB$2&amp;if($K26="S1","a",if($K26="S2","b","")),Students!$A:$A,AR$2)+countifs(Students!$J:$J,$AB26,Students!$K:$K,$AB$2&amp;if($K26="S1","a",if($K26="S2","b","")),Students!$A:$A,AR$2)+countifs(Students!$L:$L,$AB26,Students!$M:$M,$AB$2&amp;if($K26="S1","a",if($K26="S2","b","")),Students!$A:$A,AR$2)+countifs(Students!$N:$N,$AB26,Students!$O:$O,$AB$2&amp;if($K26="S1","a",if($K26="S2","b","")),Students!$A:$A,AR$2)+countifs(Students!$P:$P,$AB26,Students!$Q:$Q,$AB$2&amp;if($K26="S1","a",if($K26="S2","b","")),Students!$A:$A,AR$2)+countifs(Students!$R:$R,$AB26,Students!$S:$S,$AB$2&amp;if($K26="S1","a",if($K26="S2","b","")),Students!$A:$A,AR$2)+countifs(Students!$T:$T,$AB26,Students!$U:$U,$AB$2&amp;if($K26="S1","a",if($K26="S2","b","")),Students!$A:$A,AR$2)+countifs(Students!$V:$V,$AB26,Students!$W:$W,$AB$2&amp;if($K26="S1","a",if($K26="S2","b","")),Students!$A:$A,AR$2)+
countifs(Students!$D:$D,$AE26,Students!$E:$E,$AE$2&amp;if($K26="S1","a",if($K26="S2","b","")),Students!$A:$A,AR$2)+countifs(Students!$F:$F,$AE26,Students!$G:$G,$AE$2&amp;if($K26="S1","a",if($K26="S2","b","")),Students!$A:$A,AR$2)+countifs(Students!$H:$H,$AE26,Students!$I:$I,$AE$2&amp;if($K26="S1","a",if($K26="S2","b","")),Students!$A:$A,AR$2)+countifs(Students!$J:$J,$AE26,Students!$K:$K,$AE$2&amp;if($K26="S1","a",if($K26="S2","b","")),Students!$A:$A,AR$2)+countifs(Students!$L:$L,$AE26,Students!$M:$M,$AE$2&amp;if($K26="S1","a",if($K26="S2","b","")),Students!$A:$A,AR$2)+countifs(Students!$N:$N,$AE26,Students!$O:$O,$AE$2&amp;if($K26="S1","a",if($K26="S2","b","")),Students!$A:$A,AR$2)+countifs(Students!$P:$P,$AE26,Students!$Q:$Q,$AE$2&amp;if($K26="S1","a",if($K26="S2","b","")),Students!$A:$A,AR$2)+countifs(Students!$R:$R,$AE26,Students!$S:$S,$AE$2&amp;if($K26="S1","a",if($K26="S2","b","")),Students!$A:$A,AR$2)+countifs(Students!$T:$T,$AE26,Students!$U:$U,$AE$2&amp;if($K26="S1","a",if($K26="S2","b","")),Students!$A:$A,AR$2)+countifs(Students!$V:$V,$AE26,Students!$W:$W,$AE$2&amp;if($K26="S1","a",if($K26="S2","b","")),Students!$A:$A,AR$2)+
countifs(Students!$D:$D,$AH26,Students!$E:$E,$AH$2&amp;if($K26="S1","a",if($K26="S2","b","")),Students!$A:$A,AR$2)+countifs(Students!$F:$F,$AH26,Students!$G:$G,$AH$2&amp;if($K26="S1","a",if($K26="S2","b","")),Students!$A:$A,AR$2)+countifs(Students!$H:$H,$AH26,Students!$I:$I,$AH$2&amp;if($K26="S1","a",if($K26="S2","b","")),Students!$A:$A,AR$2)+countifs(Students!$J:$J,$AH26,Students!$K:$K,$AH$2&amp;if($K26="S1","a",if($K26="S2","b","")),Students!$A:$A,AR$2)+countifs(Students!$L:$L,$AH26,Students!$M:$M,$AH$2&amp;if($K26="S1","a",if($K26="S2","b","")),Students!$A:$A,AR$2)+countifs(Students!$N:$N,$AH26,Students!$O:$O,$AH$2&amp;if($K26="S1","a",if($K26="S2","b","")),Students!$A:$A,AR$2)+countifs(Students!$P:$P,$AH26,Students!$Q:$Q,$AH$2&amp;if($K26="S1","a",if($K26="S2","b","")),Students!$A:$A,AR$2)+countifs(Students!$R:$R,$AH26,Students!$S:$S,$AH$2&amp;if($K26="S1","a",if($K26="S2","b","")),Students!$A:$A,AR$2)+countifs(Students!$T:$T,$AH26,Students!$U:$U,$AH$2&amp;if($K26="S1","a",if($K26="S2","b","")),Students!$A:$A,AR$2)+countifs(Students!$V:$V,$AH26,Students!$W:$W,$AH$2&amp;if($K26="S1","a",if($K26="S2","b","")),Students!$A:$A,AR$2)+
countifs(Students!$D:$D,$AK26,Students!$E:$E,$AK$2&amp;if($K26="S1","a",if($K26="S2","b","")),Students!$A:$A,AR$2)+countifs(Students!$F:$F,$AK26,Students!$G:$G,$AK$2&amp;if($K26="S1","a",if($K26="S2","b","")),Students!$A:$A,AR$2)+countifs(Students!$H:$H,$AK26,Students!$I:$I,$AK$2&amp;if($K26="S1","a",if($K26="S2","b","")),Students!$A:$A,AR$2)+countifs(Students!$J:$J,$AK26,Students!$K:$K,$AK$2&amp;if($K26="S1","a",if($K26="S2","b","")),Students!$A:$A,AR$2)+countifs(Students!$L:$L,$AK26,Students!$M:$M,$AK$2&amp;if($K26="S1","a",if($K26="S2","b","")),Students!$A:$A,AR$2)+countifs(Students!$N:$N,$AK26,Students!$O:$O,$AK$2&amp;if($K26="S1","a",if($K26="S2","b","")),Students!$A:$A,AR$2)+countifs(Students!$P:$P,$AK26,Students!$Q:$Q,$AK$2&amp;if($K26="S1","a",if($K26="S2","b","")),Students!$A:$A,AR$2)+countifs(Students!$R:$R,$AK26,Students!$S:$S,$AK$2&amp;if($K26="S1","a",if($K26="S2","b","")),Students!$A:$A,AR$2)+countifs(Students!$T:$T,$AK26,Students!$U:$U,$AK$2&amp;if($K26="S1","a",if($K26="S2","b","")),Students!$A:$A,AR$2)+countifs(Students!$V:$V,$AK26,Students!$W:$W,$AK$2&amp;if($K26="S1","a",if($K26="S2","b","")),Students!$A:$A,AR$2))</f>
        <v>2</v>
      </c>
      <c r="AS26" s="102">
        <f>if($L26="","",countifs(Students!$D:$D,$P26,Students!$E:$E,$P$2&amp;if($K26="S1","a",if($K26="S2","b","")),Students!$A:$A,AS$2)+countifs(Students!$F:$F,$P26,Students!$G:$G,$P$2&amp;if($K26="S1","a",if($K26="S2","b","")),Students!$A:$A,AS$2)+countifs(Students!$H:$H,$P26,Students!$I:$I,$P$2&amp;if($K26="S1","a",if($K26="S2","b","")),Students!$A:$A,AS$2)+countifs(Students!$J:$J,$P26,Students!$K:$K,$P$2&amp;if($K26="S1","a",if($K26="S2","b","")),Students!$A:$A,AS$2)+countifs(Students!$L:$L,$P26,Students!$M:$M,$P$2&amp;if($K26="S1","a",if($K26="S2","b","")),Students!$A:$A,AS$2)+countifs(Students!$N:$N,$P26,Students!$O:$O,$P$2&amp;if($K26="S1","a",if($K26="S2","b","")),Students!$A:$A,AS$2)+countifs(Students!$P:$P,$P26,Students!$Q:$Q,$P$2&amp;if($K26="S1","a",if($K26="S2","b","")),Students!$A:$A,AS$2)+countifs(Students!$R:$R,$P26,Students!$S:$S,$P$2&amp;if($K26="S1","a",if($K26="S2","b","")),Students!$A:$A,AS$2)+countifs(Students!$T:$T,$P26,Students!$U:$U,$P$2&amp;if($K26="S1","a",if($K26="S2","b","")),Students!$A:$A,AS$2)+countifs(Students!$V:$V,$P26,Students!$W:$W,$P$2&amp;if($K26="S1","a",if($K26="S2","b","")),Students!$A:$A,AS$2)+
countifs(Students!$D:$D,$S26,Students!$E:$E,$S$2&amp;if($K26="S1","a",if($K26="S2","b","")),Students!$A:$A,AS$2)+countifs(Students!$F:$F,$S26,Students!$G:$G,$S$2&amp;if($K26="S1","a",if($K26="S2","b","")),Students!$A:$A,AS$2)+countifs(Students!$H:$H,$S26,Students!$I:$I,$S$2&amp;if($K26="S1","a",if($K26="S2","b","")),Students!$A:$A,AS$2)+countifs(Students!$J:$J,$S26,Students!$K:$K,$S$2&amp;if($K26="S1","a",if($K26="S2","b","")),Students!$A:$A,AS$2)+countifs(Students!$L:$L,$S26,Students!$M:$M,$S$2&amp;if($K26="S1","a",if($K26="S2","b","")),Students!$A:$A,AS$2)+countifs(Students!$N:$N,$S26,Students!$O:$O,$S$2&amp;if($K26="S1","a",if($K26="S2","b","")),Students!$A:$A,AS$2)+countifs(Students!$P:$P,$S26,Students!$Q:$Q,$S$2&amp;if($K26="S1","a",if($K26="S2","b","")),Students!$A:$A,AS$2)+countifs(Students!$R:$R,$S26,Students!$S:$S,$S$2&amp;if($K26="S1","a",if($K26="S2","b","")),Students!$A:$A,AS$2)+countifs(Students!$T:$T,$S26,Students!$U:$U,$S$2&amp;if($K26="S1","a",if($K26="S2","b","")),Students!$A:$A,AS$2)+countifs(Students!$V:$V,$S26,Students!$W:$W,$S$2&amp;if($K26="S1","a",if($K26="S2","b","")),Students!$A:$A,AS$2)+
countifs(Students!$D:$D,$V26,Students!$E:$E,$V$2&amp;if($K26="S1","a",if($K26="S2","b","")),Students!$A:$A,AS$2)+countifs(Students!$F:$F,$V26,Students!$G:$G,$V$2&amp;if($K26="S1","a",if($K26="S2","b","")),Students!$A:$A,AS$2)+countifs(Students!$H:$H,$V26,Students!$I:$I,$V$2&amp;if($K26="S1","a",if($K26="S2","b","")),Students!$A:$A,AS$2)+countifs(Students!$J:$J,$V26,Students!$K:$K,$V$2&amp;if($K26="S1","a",if($K26="S2","b","")),Students!$A:$A,AS$2)+countifs(Students!$L:$L,$V26,Students!$M:$M,$V$2&amp;if($K26="S1","a",if($K26="S2","b","")),Students!$A:$A,AS$2)+countifs(Students!$N:$N,$V26,Students!$O:$O,$V$2&amp;if($K26="S1","a",if($K26="S2","b","")),Students!$A:$A,AS$2)+countifs(Students!$P:$P,$V26,Students!$Q:$Q,$V$2&amp;if($K26="S1","a",if($K26="S2","b","")),Students!$A:$A,AS$2)+countifs(Students!$R:$R,$V26,Students!$S:$S,$V$2&amp;if($K26="S1","a",if($K26="S2","b","")),Students!$A:$A,AS$2)+countifs(Students!$T:$T,$V26,Students!$U:$U,$V$2&amp;if($K26="S1","a",if($K26="S2","b","")),Students!$A:$A,AS$2)+countifs(Students!$V:$V,$V26,Students!$W:$W,$V$2&amp;if($K26="S1","a",if($K26="S2","b","")),Students!$A:$A,AS$2)+
countifs(Students!$D:$D,$Y26,Students!$E:$E,$Y$2&amp;if($K26="S1","a",if($K26="S2","b","")),Students!$A:$A,AS$2)+countifs(Students!$F:$F,$Y26,Students!$G:$G,$Y$2&amp;if($K26="S1","a",if($K26="S2","b","")),Students!$A:$A,AS$2)+countifs(Students!$H:$H,$Y26,Students!$I:$I,$Y$2&amp;if($K26="S1","a",if($K26="S2","b","")),Students!$A:$A,AS$2)+countifs(Students!$J:$J,$Y26,Students!$K:$K,$Y$2&amp;if($K26="S1","a",if($K26="S2","b","")),Students!$A:$A,AS$2)+countifs(Students!$L:$L,$Y26,Students!$M:$M,$Y$2&amp;if($K26="S1","a",if($K26="S2","b","")),Students!$A:$A,AS$2)+countifs(Students!$N:$N,$Y26,Students!$O:$O,$Y$2&amp;if($K26="S1","a",if($K26="S2","b","")),Students!$A:$A,AS$2)+countifs(Students!$P:$P,$Y26,Students!$Q:$Q,$Y$2&amp;if($K26="S1","a",if($K26="S2","b","")),Students!$A:$A,AS$2)+countifs(Students!$R:$R,$Y26,Students!$S:$S,$Y$2&amp;if($K26="S1","a",if($K26="S2","b","")),Students!$A:$A,AS$2)+countifs(Students!$T:$T,$Y26,Students!$U:$U,$Y$2&amp;if($K26="S1","a",if($K26="S2","b","")),Students!$A:$A,AS$2)+countifs(Students!$V:$V,$Y26,Students!$W:$W,$Y$2&amp;if($K26="S1","a",if($K26="S2","b","")),Students!$A:$A,AS$2)+
countifs(Students!$D:$D,$AB26,Students!$E:$E,$AB$2&amp;if($K26="S1","a",if($K26="S2","b","")),Students!$A:$A,AS$2)+countifs(Students!$F:$F,$AB26,Students!$G:$G,$AB$2&amp;if($K26="S1","a",if($K26="S2","b","")),Students!$A:$A,AS$2)+countifs(Students!$H:$H,$AB26,Students!$I:$I,$AB$2&amp;if($K26="S1","a",if($K26="S2","b","")),Students!$A:$A,AS$2)+countifs(Students!$J:$J,$AB26,Students!$K:$K,$AB$2&amp;if($K26="S1","a",if($K26="S2","b","")),Students!$A:$A,AS$2)+countifs(Students!$L:$L,$AB26,Students!$M:$M,$AB$2&amp;if($K26="S1","a",if($K26="S2","b","")),Students!$A:$A,AS$2)+countifs(Students!$N:$N,$AB26,Students!$O:$O,$AB$2&amp;if($K26="S1","a",if($K26="S2","b","")),Students!$A:$A,AS$2)+countifs(Students!$P:$P,$AB26,Students!$Q:$Q,$AB$2&amp;if($K26="S1","a",if($K26="S2","b","")),Students!$A:$A,AS$2)+countifs(Students!$R:$R,$AB26,Students!$S:$S,$AB$2&amp;if($K26="S1","a",if($K26="S2","b","")),Students!$A:$A,AS$2)+countifs(Students!$T:$T,$AB26,Students!$U:$U,$AB$2&amp;if($K26="S1","a",if($K26="S2","b","")),Students!$A:$A,AS$2)+countifs(Students!$V:$V,$AB26,Students!$W:$W,$AB$2&amp;if($K26="S1","a",if($K26="S2","b","")),Students!$A:$A,AS$2)+
countifs(Students!$D:$D,$AE26,Students!$E:$E,$AE$2&amp;if($K26="S1","a",if($K26="S2","b","")),Students!$A:$A,AS$2)+countifs(Students!$F:$F,$AE26,Students!$G:$G,$AE$2&amp;if($K26="S1","a",if($K26="S2","b","")),Students!$A:$A,AS$2)+countifs(Students!$H:$H,$AE26,Students!$I:$I,$AE$2&amp;if($K26="S1","a",if($K26="S2","b","")),Students!$A:$A,AS$2)+countifs(Students!$J:$J,$AE26,Students!$K:$K,$AE$2&amp;if($K26="S1","a",if($K26="S2","b","")),Students!$A:$A,AS$2)+countifs(Students!$L:$L,$AE26,Students!$M:$M,$AE$2&amp;if($K26="S1","a",if($K26="S2","b","")),Students!$A:$A,AS$2)+countifs(Students!$N:$N,$AE26,Students!$O:$O,$AE$2&amp;if($K26="S1","a",if($K26="S2","b","")),Students!$A:$A,AS$2)+countifs(Students!$P:$P,$AE26,Students!$Q:$Q,$AE$2&amp;if($K26="S1","a",if($K26="S2","b","")),Students!$A:$A,AS$2)+countifs(Students!$R:$R,$AE26,Students!$S:$S,$AE$2&amp;if($K26="S1","a",if($K26="S2","b","")),Students!$A:$A,AS$2)+countifs(Students!$T:$T,$AE26,Students!$U:$U,$AE$2&amp;if($K26="S1","a",if($K26="S2","b","")),Students!$A:$A,AS$2)+countifs(Students!$V:$V,$AE26,Students!$W:$W,$AE$2&amp;if($K26="S1","a",if($K26="S2","b","")),Students!$A:$A,AS$2)+
countifs(Students!$D:$D,$AH26,Students!$E:$E,$AH$2&amp;if($K26="S1","a",if($K26="S2","b","")),Students!$A:$A,AS$2)+countifs(Students!$F:$F,$AH26,Students!$G:$G,$AH$2&amp;if($K26="S1","a",if($K26="S2","b","")),Students!$A:$A,AS$2)+countifs(Students!$H:$H,$AH26,Students!$I:$I,$AH$2&amp;if($K26="S1","a",if($K26="S2","b","")),Students!$A:$A,AS$2)+countifs(Students!$J:$J,$AH26,Students!$K:$K,$AH$2&amp;if($K26="S1","a",if($K26="S2","b","")),Students!$A:$A,AS$2)+countifs(Students!$L:$L,$AH26,Students!$M:$M,$AH$2&amp;if($K26="S1","a",if($K26="S2","b","")),Students!$A:$A,AS$2)+countifs(Students!$N:$N,$AH26,Students!$O:$O,$AH$2&amp;if($K26="S1","a",if($K26="S2","b","")),Students!$A:$A,AS$2)+countifs(Students!$P:$P,$AH26,Students!$Q:$Q,$AH$2&amp;if($K26="S1","a",if($K26="S2","b","")),Students!$A:$A,AS$2)+countifs(Students!$R:$R,$AH26,Students!$S:$S,$AH$2&amp;if($K26="S1","a",if($K26="S2","b","")),Students!$A:$A,AS$2)+countifs(Students!$T:$T,$AH26,Students!$U:$U,$AH$2&amp;if($K26="S1","a",if($K26="S2","b","")),Students!$A:$A,AS$2)+countifs(Students!$V:$V,$AH26,Students!$W:$W,$AH$2&amp;if($K26="S1","a",if($K26="S2","b","")),Students!$A:$A,AS$2)+
countifs(Students!$D:$D,$AK26,Students!$E:$E,$AK$2&amp;if($K26="S1","a",if($K26="S2","b","")),Students!$A:$A,AS$2)+countifs(Students!$F:$F,$AK26,Students!$G:$G,$AK$2&amp;if($K26="S1","a",if($K26="S2","b","")),Students!$A:$A,AS$2)+countifs(Students!$H:$H,$AK26,Students!$I:$I,$AK$2&amp;if($K26="S1","a",if($K26="S2","b","")),Students!$A:$A,AS$2)+countifs(Students!$J:$J,$AK26,Students!$K:$K,$AK$2&amp;if($K26="S1","a",if($K26="S2","b","")),Students!$A:$A,AS$2)+countifs(Students!$L:$L,$AK26,Students!$M:$M,$AK$2&amp;if($K26="S1","a",if($K26="S2","b","")),Students!$A:$A,AS$2)+countifs(Students!$N:$N,$AK26,Students!$O:$O,$AK$2&amp;if($K26="S1","a",if($K26="S2","b","")),Students!$A:$A,AS$2)+countifs(Students!$P:$P,$AK26,Students!$Q:$Q,$AK$2&amp;if($K26="S1","a",if($K26="S2","b","")),Students!$A:$A,AS$2)+countifs(Students!$R:$R,$AK26,Students!$S:$S,$AK$2&amp;if($K26="S1","a",if($K26="S2","b","")),Students!$A:$A,AS$2)+countifs(Students!$T:$T,$AK26,Students!$U:$U,$AK$2&amp;if($K26="S1","a",if($K26="S2","b","")),Students!$A:$A,AS$2)+countifs(Students!$V:$V,$AK26,Students!$W:$W,$AK$2&amp;if($K26="S1","a",if($K26="S2","b","")),Students!$A:$A,AS$2))</f>
        <v>93</v>
      </c>
    </row>
    <row r="27">
      <c r="J27" s="87">
        <v>93.0</v>
      </c>
      <c r="K27" s="70"/>
      <c r="L27" s="58" t="s">
        <v>87</v>
      </c>
      <c r="M27" s="117"/>
      <c r="N27" s="87">
        <v>2.0</v>
      </c>
      <c r="O27" s="87">
        <f>IFERROR(__xludf.DUMMYFUNCTION("3*counta((transpose(filter(P27:AM27,P27:AM27&lt;&gt;"""",isnumber(P27:AM27)=false))))"),15.0)</f>
        <v>15</v>
      </c>
      <c r="P27" s="113"/>
      <c r="Q27" s="101"/>
      <c r="R27" s="98" t="s">
        <v>22</v>
      </c>
      <c r="S27" s="91" t="s">
        <v>88</v>
      </c>
      <c r="T27" s="101">
        <v>1.0</v>
      </c>
      <c r="U27" s="98">
        <v>22.0</v>
      </c>
      <c r="V27" s="91" t="s">
        <v>88</v>
      </c>
      <c r="W27" s="101">
        <v>2.0</v>
      </c>
      <c r="X27" s="98">
        <v>20.0</v>
      </c>
      <c r="Y27" s="122"/>
      <c r="Z27" s="91"/>
      <c r="AA27" s="92" t="s">
        <v>22</v>
      </c>
      <c r="AB27" s="91" t="s">
        <v>88</v>
      </c>
      <c r="AC27" s="101">
        <v>3.0</v>
      </c>
      <c r="AD27" s="92">
        <v>15.0</v>
      </c>
      <c r="AE27" s="90" t="s">
        <v>88</v>
      </c>
      <c r="AF27" s="91">
        <v>4.0</v>
      </c>
      <c r="AG27" s="92">
        <v>15.0</v>
      </c>
      <c r="AH27" s="108"/>
      <c r="AI27" s="115"/>
      <c r="AJ27" s="95" t="s">
        <v>22</v>
      </c>
      <c r="AK27" s="101" t="s">
        <v>86</v>
      </c>
      <c r="AL27" s="97">
        <v>2.0</v>
      </c>
      <c r="AM27" s="98">
        <v>21.0</v>
      </c>
      <c r="AN27" s="99"/>
      <c r="AO27" s="52">
        <f t="shared" si="2"/>
        <v>93</v>
      </c>
      <c r="AP27" s="102">
        <f>if($L27="","",countifs(Students!$D:$D,$P27,Students!$E:$E,$P$2&amp;if($K27="S1","a",if($K27="S2","b","")),Students!$A:$A,AP$2)+countifs(Students!$F:$F,$P27,Students!$G:$G,$P$2&amp;if($K27="S1","a",if($K27="S2","b","")),Students!$A:$A,AP$2)+countifs(Students!$H:$H,$P27,Students!$I:$I,$P$2&amp;if($K27="S1","a",if($K27="S2","b","")),Students!$A:$A,AP$2)+countifs(Students!$J:$J,$P27,Students!$K:$K,$P$2&amp;if($K27="S1","a",if($K27="S2","b","")),Students!$A:$A,AP$2)+countifs(Students!$L:$L,$P27,Students!$M:$M,$P$2&amp;if($K27="S1","a",if($K27="S2","b","")),Students!$A:$A,AP$2)+countifs(Students!$N:$N,$P27,Students!$O:$O,$P$2&amp;if($K27="S1","a",if($K27="S2","b","")),Students!$A:$A,AP$2)+countifs(Students!$P:$P,$P27,Students!$Q:$Q,$P$2&amp;if($K27="S1","a",if($K27="S2","b","")),Students!$A:$A,AP$2)+countifs(Students!$R:$R,$P27,Students!$S:$S,$P$2&amp;if($K27="S1","a",if($K27="S2","b","")),Students!$A:$A,AP$2)+countifs(Students!$T:$T,$P27,Students!$U:$U,$P$2&amp;if($K27="S1","a",if($K27="S2","b","")),Students!$A:$A,AP$2)+countifs(Students!$V:$V,$P27,Students!$W:$W,$P$2&amp;if($K27="S1","a",if($K27="S2","b","")),Students!$A:$A,AP$2)+
countifs(Students!$D:$D,$S27,Students!$E:$E,$S$2&amp;if($K27="S1","a",if($K27="S2","b","")),Students!$A:$A,AP$2)+countifs(Students!$F:$F,$S27,Students!$G:$G,$S$2&amp;if($K27="S1","a",if($K27="S2","b","")),Students!$A:$A,AP$2)+countifs(Students!$H:$H,$S27,Students!$I:$I,$S$2&amp;if($K27="S1","a",if($K27="S2","b","")),Students!$A:$A,AP$2)+countifs(Students!$J:$J,$S27,Students!$K:$K,$S$2&amp;if($K27="S1","a",if($K27="S2","b","")),Students!$A:$A,AP$2)+countifs(Students!$L:$L,$S27,Students!$M:$M,$S$2&amp;if($K27="S1","a",if($K27="S2","b","")),Students!$A:$A,AP$2)+countifs(Students!$N:$N,$S27,Students!$O:$O,$S$2&amp;if($K27="S1","a",if($K27="S2","b","")),Students!$A:$A,AP$2)+countifs(Students!$P:$P,$S27,Students!$Q:$Q,$S$2&amp;if($K27="S1","a",if($K27="S2","b","")),Students!$A:$A,AP$2)+countifs(Students!$R:$R,$S27,Students!$S:$S,$S$2&amp;if($K27="S1","a",if($K27="S2","b","")),Students!$A:$A,AP$2)+countifs(Students!$T:$T,$S27,Students!$U:$U,$S$2&amp;if($K27="S1","a",if($K27="S2","b","")),Students!$A:$A,AP$2)+countifs(Students!$V:$V,$S27,Students!$W:$W,$S$2&amp;if($K27="S1","a",if($K27="S2","b","")),Students!$A:$A,AP$2)+
countifs(Students!$D:$D,$V27,Students!$E:$E,$V$2&amp;if($K27="S1","a",if($K27="S2","b","")),Students!$A:$A,AP$2)+countifs(Students!$F:$F,$V27,Students!$G:$G,$V$2&amp;if($K27="S1","a",if($K27="S2","b","")),Students!$A:$A,AP$2)+countifs(Students!$H:$H,$V27,Students!$I:$I,$V$2&amp;if($K27="S1","a",if($K27="S2","b","")),Students!$A:$A,AP$2)+countifs(Students!$J:$J,$V27,Students!$K:$K,$V$2&amp;if($K27="S1","a",if($K27="S2","b","")),Students!$A:$A,AP$2)+countifs(Students!$L:$L,$V27,Students!$M:$M,$V$2&amp;if($K27="S1","a",if($K27="S2","b","")),Students!$A:$A,AP$2)+countifs(Students!$N:$N,$V27,Students!$O:$O,$V$2&amp;if($K27="S1","a",if($K27="S2","b","")),Students!$A:$A,AP$2)+countifs(Students!$P:$P,$V27,Students!$Q:$Q,$V$2&amp;if($K27="S1","a",if($K27="S2","b","")),Students!$A:$A,AP$2)+countifs(Students!$R:$R,$V27,Students!$S:$S,$V$2&amp;if($K27="S1","a",if($K27="S2","b","")),Students!$A:$A,AP$2)+countifs(Students!$T:$T,$V27,Students!$U:$U,$V$2&amp;if($K27="S1","a",if($K27="S2","b","")),Students!$A:$A,AP$2)+countifs(Students!$V:$V,$V27,Students!$W:$W,$V$2&amp;if($K27="S1","a",if($K27="S2","b","")),Students!$A:$A,AP$2)+
countifs(Students!$D:$D,$Y27,Students!$E:$E,$Y$2&amp;if($K27="S1","a",if($K27="S2","b","")),Students!$A:$A,AP$2)+countifs(Students!$F:$F,$Y27,Students!$G:$G,$Y$2&amp;if($K27="S1","a",if($K27="S2","b","")),Students!$A:$A,AP$2)+countifs(Students!$H:$H,$Y27,Students!$I:$I,$Y$2&amp;if($K27="S1","a",if($K27="S2","b","")),Students!$A:$A,AP$2)+countifs(Students!$J:$J,$Y27,Students!$K:$K,$Y$2&amp;if($K27="S1","a",if($K27="S2","b","")),Students!$A:$A,AP$2)+countifs(Students!$L:$L,$Y27,Students!$M:$M,$Y$2&amp;if($K27="S1","a",if($K27="S2","b","")),Students!$A:$A,AP$2)+countifs(Students!$N:$N,$Y27,Students!$O:$O,$Y$2&amp;if($K27="S1","a",if($K27="S2","b","")),Students!$A:$A,AP$2)+countifs(Students!$P:$P,$Y27,Students!$Q:$Q,$Y$2&amp;if($K27="S1","a",if($K27="S2","b","")),Students!$A:$A,AP$2)+countifs(Students!$R:$R,$Y27,Students!$S:$S,$Y$2&amp;if($K27="S1","a",if($K27="S2","b","")),Students!$A:$A,AP$2)+countifs(Students!$T:$T,$Y27,Students!$U:$U,$Y$2&amp;if($K27="S1","a",if($K27="S2","b","")),Students!$A:$A,AP$2)+countifs(Students!$V:$V,$Y27,Students!$W:$W,$Y$2&amp;if($K27="S1","a",if($K27="S2","b","")),Students!$A:$A,AP$2)+
countifs(Students!$D:$D,$AB27,Students!$E:$E,$AB$2&amp;if($K27="S1","a",if($K27="S2","b","")),Students!$A:$A,AP$2)+countifs(Students!$F:$F,$AB27,Students!$G:$G,$AB$2&amp;if($K27="S1","a",if($K27="S2","b","")),Students!$A:$A,AP$2)+countifs(Students!$H:$H,$AB27,Students!$I:$I,$AB$2&amp;if($K27="S1","a",if($K27="S2","b","")),Students!$A:$A,AP$2)+countifs(Students!$J:$J,$AB27,Students!$K:$K,$AB$2&amp;if($K27="S1","a",if($K27="S2","b","")),Students!$A:$A,AP$2)+countifs(Students!$L:$L,$AB27,Students!$M:$M,$AB$2&amp;if($K27="S1","a",if($K27="S2","b","")),Students!$A:$A,AP$2)+countifs(Students!$N:$N,$AB27,Students!$O:$O,$AB$2&amp;if($K27="S1","a",if($K27="S2","b","")),Students!$A:$A,AP$2)+countifs(Students!$P:$P,$AB27,Students!$Q:$Q,$AB$2&amp;if($K27="S1","a",if($K27="S2","b","")),Students!$A:$A,AP$2)+countifs(Students!$R:$R,$AB27,Students!$S:$S,$AB$2&amp;if($K27="S1","a",if($K27="S2","b","")),Students!$A:$A,AP$2)+countifs(Students!$T:$T,$AB27,Students!$U:$U,$AB$2&amp;if($K27="S1","a",if($K27="S2","b","")),Students!$A:$A,AP$2)+countifs(Students!$V:$V,$AB27,Students!$W:$W,$AB$2&amp;if($K27="S1","a",if($K27="S2","b","")),Students!$A:$A,AP$2)+
countifs(Students!$D:$D,$AE27,Students!$E:$E,$AE$2&amp;if($K27="S1","a",if($K27="S2","b","")),Students!$A:$A,AP$2)+countifs(Students!$F:$F,$AE27,Students!$G:$G,$AE$2&amp;if($K27="S1","a",if($K27="S2","b","")),Students!$A:$A,AP$2)+countifs(Students!$H:$H,$AE27,Students!$I:$I,$AE$2&amp;if($K27="S1","a",if($K27="S2","b","")),Students!$A:$A,AP$2)+countifs(Students!$J:$J,$AE27,Students!$K:$K,$AE$2&amp;if($K27="S1","a",if($K27="S2","b","")),Students!$A:$A,AP$2)+countifs(Students!$L:$L,$AE27,Students!$M:$M,$AE$2&amp;if($K27="S1","a",if($K27="S2","b","")),Students!$A:$A,AP$2)+countifs(Students!$N:$N,$AE27,Students!$O:$O,$AE$2&amp;if($K27="S1","a",if($K27="S2","b","")),Students!$A:$A,AP$2)+countifs(Students!$P:$P,$AE27,Students!$Q:$Q,$AE$2&amp;if($K27="S1","a",if($K27="S2","b","")),Students!$A:$A,AP$2)+countifs(Students!$R:$R,$AE27,Students!$S:$S,$AE$2&amp;if($K27="S1","a",if($K27="S2","b","")),Students!$A:$A,AP$2)+countifs(Students!$T:$T,$AE27,Students!$U:$U,$AE$2&amp;if($K27="S1","a",if($K27="S2","b","")),Students!$A:$A,AP$2)+countifs(Students!$V:$V,$AE27,Students!$W:$W,$AE$2&amp;if($K27="S1","a",if($K27="S2","b","")),Students!$A:$A,AP$2)+
countifs(Students!$D:$D,$AH27,Students!$E:$E,$AH$2&amp;if($K27="S1","a",if($K27="S2","b","")),Students!$A:$A,AP$2)+countifs(Students!$F:$F,$AH27,Students!$G:$G,$AH$2&amp;if($K27="S1","a",if($K27="S2","b","")),Students!$A:$A,AP$2)+countifs(Students!$H:$H,$AH27,Students!$I:$I,$AH$2&amp;if($K27="S1","a",if($K27="S2","b","")),Students!$A:$A,AP$2)+countifs(Students!$J:$J,$AH27,Students!$K:$K,$AH$2&amp;if($K27="S1","a",if($K27="S2","b","")),Students!$A:$A,AP$2)+countifs(Students!$L:$L,$AH27,Students!$M:$M,$AH$2&amp;if($K27="S1","a",if($K27="S2","b","")),Students!$A:$A,AP$2)+countifs(Students!$N:$N,$AH27,Students!$O:$O,$AH$2&amp;if($K27="S1","a",if($K27="S2","b","")),Students!$A:$A,AP$2)+countifs(Students!$P:$P,$AH27,Students!$Q:$Q,$AH$2&amp;if($K27="S1","a",if($K27="S2","b","")),Students!$A:$A,AP$2)+countifs(Students!$R:$R,$AH27,Students!$S:$S,$AH$2&amp;if($K27="S1","a",if($K27="S2","b","")),Students!$A:$A,AP$2)+countifs(Students!$T:$T,$AH27,Students!$U:$U,$AH$2&amp;if($K27="S1","a",if($K27="S2","b","")),Students!$A:$A,AP$2)+countifs(Students!$V:$V,$AH27,Students!$W:$W,$AH$2&amp;if($K27="S1","a",if($K27="S2","b","")),Students!$A:$A,AP$2)+
countifs(Students!$D:$D,$AK27,Students!$E:$E,$AK$2&amp;if($K27="S1","a",if($K27="S2","b","")),Students!$A:$A,AP$2)+countifs(Students!$F:$F,$AK27,Students!$G:$G,$AK$2&amp;if($K27="S1","a",if($K27="S2","b","")),Students!$A:$A,AP$2)+countifs(Students!$H:$H,$AK27,Students!$I:$I,$AK$2&amp;if($K27="S1","a",if($K27="S2","b","")),Students!$A:$A,AP$2)+countifs(Students!$J:$J,$AK27,Students!$K:$K,$AK$2&amp;if($K27="S1","a",if($K27="S2","b","")),Students!$A:$A,AP$2)+countifs(Students!$L:$L,$AK27,Students!$M:$M,$AK$2&amp;if($K27="S1","a",if($K27="S2","b","")),Students!$A:$A,AP$2)+countifs(Students!$N:$N,$AK27,Students!$O:$O,$AK$2&amp;if($K27="S1","a",if($K27="S2","b","")),Students!$A:$A,AP$2)+countifs(Students!$P:$P,$AK27,Students!$Q:$Q,$AK$2&amp;if($K27="S1","a",if($K27="S2","b","")),Students!$A:$A,AP$2)+countifs(Students!$R:$R,$AK27,Students!$S:$S,$AK$2&amp;if($K27="S1","a",if($K27="S2","b","")),Students!$A:$A,AP$2)+countifs(Students!$T:$T,$AK27,Students!$U:$U,$AK$2&amp;if($K27="S1","a",if($K27="S2","b","")),Students!$A:$A,AP$2)+countifs(Students!$V:$V,$AK27,Students!$W:$W,$AK$2&amp;if($K27="S1","a",if($K27="S2","b","")),Students!$A:$A,AP$2))</f>
        <v>72</v>
      </c>
      <c r="AQ27" s="102">
        <f>if($L27="","",countifs(Students!$D:$D,$P27,Students!$E:$E,$P$2&amp;if($K27="S1","a",if($K27="S2","b","")),Students!$A:$A,AQ$2)+countifs(Students!$F:$F,$P27,Students!$G:$G,$P$2&amp;if($K27="S1","a",if($K27="S2","b","")),Students!$A:$A,AQ$2)+countifs(Students!$H:$H,$P27,Students!$I:$I,$P$2&amp;if($K27="S1","a",if($K27="S2","b","")),Students!$A:$A,AQ$2)+countifs(Students!$J:$J,$P27,Students!$K:$K,$P$2&amp;if($K27="S1","a",if($K27="S2","b","")),Students!$A:$A,AQ$2)+countifs(Students!$L:$L,$P27,Students!$M:$M,$P$2&amp;if($K27="S1","a",if($K27="S2","b","")),Students!$A:$A,AQ$2)+countifs(Students!$N:$N,$P27,Students!$O:$O,$P$2&amp;if($K27="S1","a",if($K27="S2","b","")),Students!$A:$A,AQ$2)+countifs(Students!$P:$P,$P27,Students!$Q:$Q,$P$2&amp;if($K27="S1","a",if($K27="S2","b","")),Students!$A:$A,AQ$2)+countifs(Students!$R:$R,$P27,Students!$S:$S,$P$2&amp;if($K27="S1","a",if($K27="S2","b","")),Students!$A:$A,AQ$2)+countifs(Students!$T:$T,$P27,Students!$U:$U,$P$2&amp;if($K27="S1","a",if($K27="S2","b","")),Students!$A:$A,AQ$2)+countifs(Students!$V:$V,$P27,Students!$W:$W,$P$2&amp;if($K27="S1","a",if($K27="S2","b","")),Students!$A:$A,AQ$2)+
countifs(Students!$D:$D,$S27,Students!$E:$E,$S$2&amp;if($K27="S1","a",if($K27="S2","b","")),Students!$A:$A,AQ$2)+countifs(Students!$F:$F,$S27,Students!$G:$G,$S$2&amp;if($K27="S1","a",if($K27="S2","b","")),Students!$A:$A,AQ$2)+countifs(Students!$H:$H,$S27,Students!$I:$I,$S$2&amp;if($K27="S1","a",if($K27="S2","b","")),Students!$A:$A,AQ$2)+countifs(Students!$J:$J,$S27,Students!$K:$K,$S$2&amp;if($K27="S1","a",if($K27="S2","b","")),Students!$A:$A,AQ$2)+countifs(Students!$L:$L,$S27,Students!$M:$M,$S$2&amp;if($K27="S1","a",if($K27="S2","b","")),Students!$A:$A,AQ$2)+countifs(Students!$N:$N,$S27,Students!$O:$O,$S$2&amp;if($K27="S1","a",if($K27="S2","b","")),Students!$A:$A,AQ$2)+countifs(Students!$P:$P,$S27,Students!$Q:$Q,$S$2&amp;if($K27="S1","a",if($K27="S2","b","")),Students!$A:$A,AQ$2)+countifs(Students!$R:$R,$S27,Students!$S:$S,$S$2&amp;if($K27="S1","a",if($K27="S2","b","")),Students!$A:$A,AQ$2)+countifs(Students!$T:$T,$S27,Students!$U:$U,$S$2&amp;if($K27="S1","a",if($K27="S2","b","")),Students!$A:$A,AQ$2)+countifs(Students!$V:$V,$S27,Students!$W:$W,$S$2&amp;if($K27="S1","a",if($K27="S2","b","")),Students!$A:$A,AQ$2)+
countifs(Students!$D:$D,$V27,Students!$E:$E,$V$2&amp;if($K27="S1","a",if($K27="S2","b","")),Students!$A:$A,AQ$2)+countifs(Students!$F:$F,$V27,Students!$G:$G,$V$2&amp;if($K27="S1","a",if($K27="S2","b","")),Students!$A:$A,AQ$2)+countifs(Students!$H:$H,$V27,Students!$I:$I,$V$2&amp;if($K27="S1","a",if($K27="S2","b","")),Students!$A:$A,AQ$2)+countifs(Students!$J:$J,$V27,Students!$K:$K,$V$2&amp;if($K27="S1","a",if($K27="S2","b","")),Students!$A:$A,AQ$2)+countifs(Students!$L:$L,$V27,Students!$M:$M,$V$2&amp;if($K27="S1","a",if($K27="S2","b","")),Students!$A:$A,AQ$2)+countifs(Students!$N:$N,$V27,Students!$O:$O,$V$2&amp;if($K27="S1","a",if($K27="S2","b","")),Students!$A:$A,AQ$2)+countifs(Students!$P:$P,$V27,Students!$Q:$Q,$V$2&amp;if($K27="S1","a",if($K27="S2","b","")),Students!$A:$A,AQ$2)+countifs(Students!$R:$R,$V27,Students!$S:$S,$V$2&amp;if($K27="S1","a",if($K27="S2","b","")),Students!$A:$A,AQ$2)+countifs(Students!$T:$T,$V27,Students!$U:$U,$V$2&amp;if($K27="S1","a",if($K27="S2","b","")),Students!$A:$A,AQ$2)+countifs(Students!$V:$V,$V27,Students!$W:$W,$V$2&amp;if($K27="S1","a",if($K27="S2","b","")),Students!$A:$A,AQ$2)+
countifs(Students!$D:$D,$Y27,Students!$E:$E,$Y$2&amp;if($K27="S1","a",if($K27="S2","b","")),Students!$A:$A,AQ$2)+countifs(Students!$F:$F,$Y27,Students!$G:$G,$Y$2&amp;if($K27="S1","a",if($K27="S2","b","")),Students!$A:$A,AQ$2)+countifs(Students!$H:$H,$Y27,Students!$I:$I,$Y$2&amp;if($K27="S1","a",if($K27="S2","b","")),Students!$A:$A,AQ$2)+countifs(Students!$J:$J,$Y27,Students!$K:$K,$Y$2&amp;if($K27="S1","a",if($K27="S2","b","")),Students!$A:$A,AQ$2)+countifs(Students!$L:$L,$Y27,Students!$M:$M,$Y$2&amp;if($K27="S1","a",if($K27="S2","b","")),Students!$A:$A,AQ$2)+countifs(Students!$N:$N,$Y27,Students!$O:$O,$Y$2&amp;if($K27="S1","a",if($K27="S2","b","")),Students!$A:$A,AQ$2)+countifs(Students!$P:$P,$Y27,Students!$Q:$Q,$Y$2&amp;if($K27="S1","a",if($K27="S2","b","")),Students!$A:$A,AQ$2)+countifs(Students!$R:$R,$Y27,Students!$S:$S,$Y$2&amp;if($K27="S1","a",if($K27="S2","b","")),Students!$A:$A,AQ$2)+countifs(Students!$T:$T,$Y27,Students!$U:$U,$Y$2&amp;if($K27="S1","a",if($K27="S2","b","")),Students!$A:$A,AQ$2)+countifs(Students!$V:$V,$Y27,Students!$W:$W,$Y$2&amp;if($K27="S1","a",if($K27="S2","b","")),Students!$A:$A,AQ$2)+
countifs(Students!$D:$D,$AB27,Students!$E:$E,$AB$2&amp;if($K27="S1","a",if($K27="S2","b","")),Students!$A:$A,AQ$2)+countifs(Students!$F:$F,$AB27,Students!$G:$G,$AB$2&amp;if($K27="S1","a",if($K27="S2","b","")),Students!$A:$A,AQ$2)+countifs(Students!$H:$H,$AB27,Students!$I:$I,$AB$2&amp;if($K27="S1","a",if($K27="S2","b","")),Students!$A:$A,AQ$2)+countifs(Students!$J:$J,$AB27,Students!$K:$K,$AB$2&amp;if($K27="S1","a",if($K27="S2","b","")),Students!$A:$A,AQ$2)+countifs(Students!$L:$L,$AB27,Students!$M:$M,$AB$2&amp;if($K27="S1","a",if($K27="S2","b","")),Students!$A:$A,AQ$2)+countifs(Students!$N:$N,$AB27,Students!$O:$O,$AB$2&amp;if($K27="S1","a",if($K27="S2","b","")),Students!$A:$A,AQ$2)+countifs(Students!$P:$P,$AB27,Students!$Q:$Q,$AB$2&amp;if($K27="S1","a",if($K27="S2","b","")),Students!$A:$A,AQ$2)+countifs(Students!$R:$R,$AB27,Students!$S:$S,$AB$2&amp;if($K27="S1","a",if($K27="S2","b","")),Students!$A:$A,AQ$2)+countifs(Students!$T:$T,$AB27,Students!$U:$U,$AB$2&amp;if($K27="S1","a",if($K27="S2","b","")),Students!$A:$A,AQ$2)+countifs(Students!$V:$V,$AB27,Students!$W:$W,$AB$2&amp;if($K27="S1","a",if($K27="S2","b","")),Students!$A:$A,AQ$2)+
countifs(Students!$D:$D,$AE27,Students!$E:$E,$AE$2&amp;if($K27="S1","a",if($K27="S2","b","")),Students!$A:$A,AQ$2)+countifs(Students!$F:$F,$AE27,Students!$G:$G,$AE$2&amp;if($K27="S1","a",if($K27="S2","b","")),Students!$A:$A,AQ$2)+countifs(Students!$H:$H,$AE27,Students!$I:$I,$AE$2&amp;if($K27="S1","a",if($K27="S2","b","")),Students!$A:$A,AQ$2)+countifs(Students!$J:$J,$AE27,Students!$K:$K,$AE$2&amp;if($K27="S1","a",if($K27="S2","b","")),Students!$A:$A,AQ$2)+countifs(Students!$L:$L,$AE27,Students!$M:$M,$AE$2&amp;if($K27="S1","a",if($K27="S2","b","")),Students!$A:$A,AQ$2)+countifs(Students!$N:$N,$AE27,Students!$O:$O,$AE$2&amp;if($K27="S1","a",if($K27="S2","b","")),Students!$A:$A,AQ$2)+countifs(Students!$P:$P,$AE27,Students!$Q:$Q,$AE$2&amp;if($K27="S1","a",if($K27="S2","b","")),Students!$A:$A,AQ$2)+countifs(Students!$R:$R,$AE27,Students!$S:$S,$AE$2&amp;if($K27="S1","a",if($K27="S2","b","")),Students!$A:$A,AQ$2)+countifs(Students!$T:$T,$AE27,Students!$U:$U,$AE$2&amp;if($K27="S1","a",if($K27="S2","b","")),Students!$A:$A,AQ$2)+countifs(Students!$V:$V,$AE27,Students!$W:$W,$AE$2&amp;if($K27="S1","a",if($K27="S2","b","")),Students!$A:$A,AQ$2)+
countifs(Students!$D:$D,$AH27,Students!$E:$E,$AH$2&amp;if($K27="S1","a",if($K27="S2","b","")),Students!$A:$A,AQ$2)+countifs(Students!$F:$F,$AH27,Students!$G:$G,$AH$2&amp;if($K27="S1","a",if($K27="S2","b","")),Students!$A:$A,AQ$2)+countifs(Students!$H:$H,$AH27,Students!$I:$I,$AH$2&amp;if($K27="S1","a",if($K27="S2","b","")),Students!$A:$A,AQ$2)+countifs(Students!$J:$J,$AH27,Students!$K:$K,$AH$2&amp;if($K27="S1","a",if($K27="S2","b","")),Students!$A:$A,AQ$2)+countifs(Students!$L:$L,$AH27,Students!$M:$M,$AH$2&amp;if($K27="S1","a",if($K27="S2","b","")),Students!$A:$A,AQ$2)+countifs(Students!$N:$N,$AH27,Students!$O:$O,$AH$2&amp;if($K27="S1","a",if($K27="S2","b","")),Students!$A:$A,AQ$2)+countifs(Students!$P:$P,$AH27,Students!$Q:$Q,$AH$2&amp;if($K27="S1","a",if($K27="S2","b","")),Students!$A:$A,AQ$2)+countifs(Students!$R:$R,$AH27,Students!$S:$S,$AH$2&amp;if($K27="S1","a",if($K27="S2","b","")),Students!$A:$A,AQ$2)+countifs(Students!$T:$T,$AH27,Students!$U:$U,$AH$2&amp;if($K27="S1","a",if($K27="S2","b","")),Students!$A:$A,AQ$2)+countifs(Students!$V:$V,$AH27,Students!$W:$W,$AH$2&amp;if($K27="S1","a",if($K27="S2","b","")),Students!$A:$A,AQ$2)+
countifs(Students!$D:$D,$AK27,Students!$E:$E,$AK$2&amp;if($K27="S1","a",if($K27="S2","b","")),Students!$A:$A,AQ$2)+countifs(Students!$F:$F,$AK27,Students!$G:$G,$AK$2&amp;if($K27="S1","a",if($K27="S2","b","")),Students!$A:$A,AQ$2)+countifs(Students!$H:$H,$AK27,Students!$I:$I,$AK$2&amp;if($K27="S1","a",if($K27="S2","b","")),Students!$A:$A,AQ$2)+countifs(Students!$J:$J,$AK27,Students!$K:$K,$AK$2&amp;if($K27="S1","a",if($K27="S2","b","")),Students!$A:$A,AQ$2)+countifs(Students!$L:$L,$AK27,Students!$M:$M,$AK$2&amp;if($K27="S1","a",if($K27="S2","b","")),Students!$A:$A,AQ$2)+countifs(Students!$N:$N,$AK27,Students!$O:$O,$AK$2&amp;if($K27="S1","a",if($K27="S2","b","")),Students!$A:$A,AQ$2)+countifs(Students!$P:$P,$AK27,Students!$Q:$Q,$AK$2&amp;if($K27="S1","a",if($K27="S2","b","")),Students!$A:$A,AQ$2)+countifs(Students!$R:$R,$AK27,Students!$S:$S,$AK$2&amp;if($K27="S1","a",if($K27="S2","b","")),Students!$A:$A,AQ$2)+countifs(Students!$T:$T,$AK27,Students!$U:$U,$AK$2&amp;if($K27="S1","a",if($K27="S2","b","")),Students!$A:$A,AQ$2)+countifs(Students!$V:$V,$AK27,Students!$W:$W,$AK$2&amp;if($K27="S1","a",if($K27="S2","b","")),Students!$A:$A,AQ$2))</f>
        <v>18</v>
      </c>
      <c r="AR27" s="102">
        <f>if($L27="","",countifs(Students!$D:$D,$P27,Students!$E:$E,$P$2&amp;if($K27="S1","a",if($K27="S2","b","")),Students!$A:$A,AR$2)+countifs(Students!$F:$F,$P27,Students!$G:$G,$P$2&amp;if($K27="S1","a",if($K27="S2","b","")),Students!$A:$A,AR$2)+countifs(Students!$H:$H,$P27,Students!$I:$I,$P$2&amp;if($K27="S1","a",if($K27="S2","b","")),Students!$A:$A,AR$2)+countifs(Students!$J:$J,$P27,Students!$K:$K,$P$2&amp;if($K27="S1","a",if($K27="S2","b","")),Students!$A:$A,AR$2)+countifs(Students!$L:$L,$P27,Students!$M:$M,$P$2&amp;if($K27="S1","a",if($K27="S2","b","")),Students!$A:$A,AR$2)+countifs(Students!$N:$N,$P27,Students!$O:$O,$P$2&amp;if($K27="S1","a",if($K27="S2","b","")),Students!$A:$A,AR$2)+countifs(Students!$P:$P,$P27,Students!$Q:$Q,$P$2&amp;if($K27="S1","a",if($K27="S2","b","")),Students!$A:$A,AR$2)+countifs(Students!$R:$R,$P27,Students!$S:$S,$P$2&amp;if($K27="S1","a",if($K27="S2","b","")),Students!$A:$A,AR$2)+countifs(Students!$T:$T,$P27,Students!$U:$U,$P$2&amp;if($K27="S1","a",if($K27="S2","b","")),Students!$A:$A,AR$2)+countifs(Students!$V:$V,$P27,Students!$W:$W,$P$2&amp;if($K27="S1","a",if($K27="S2","b","")),Students!$A:$A,AR$2)+
countifs(Students!$D:$D,$S27,Students!$E:$E,$S$2&amp;if($K27="S1","a",if($K27="S2","b","")),Students!$A:$A,AR$2)+countifs(Students!$F:$F,$S27,Students!$G:$G,$S$2&amp;if($K27="S1","a",if($K27="S2","b","")),Students!$A:$A,AR$2)+countifs(Students!$H:$H,$S27,Students!$I:$I,$S$2&amp;if($K27="S1","a",if($K27="S2","b","")),Students!$A:$A,AR$2)+countifs(Students!$J:$J,$S27,Students!$K:$K,$S$2&amp;if($K27="S1","a",if($K27="S2","b","")),Students!$A:$A,AR$2)+countifs(Students!$L:$L,$S27,Students!$M:$M,$S$2&amp;if($K27="S1","a",if($K27="S2","b","")),Students!$A:$A,AR$2)+countifs(Students!$N:$N,$S27,Students!$O:$O,$S$2&amp;if($K27="S1","a",if($K27="S2","b","")),Students!$A:$A,AR$2)+countifs(Students!$P:$P,$S27,Students!$Q:$Q,$S$2&amp;if($K27="S1","a",if($K27="S2","b","")),Students!$A:$A,AR$2)+countifs(Students!$R:$R,$S27,Students!$S:$S,$S$2&amp;if($K27="S1","a",if($K27="S2","b","")),Students!$A:$A,AR$2)+countifs(Students!$T:$T,$S27,Students!$U:$U,$S$2&amp;if($K27="S1","a",if($K27="S2","b","")),Students!$A:$A,AR$2)+countifs(Students!$V:$V,$S27,Students!$W:$W,$S$2&amp;if($K27="S1","a",if($K27="S2","b","")),Students!$A:$A,AR$2)+
countifs(Students!$D:$D,$V27,Students!$E:$E,$V$2&amp;if($K27="S1","a",if($K27="S2","b","")),Students!$A:$A,AR$2)+countifs(Students!$F:$F,$V27,Students!$G:$G,$V$2&amp;if($K27="S1","a",if($K27="S2","b","")),Students!$A:$A,AR$2)+countifs(Students!$H:$H,$V27,Students!$I:$I,$V$2&amp;if($K27="S1","a",if($K27="S2","b","")),Students!$A:$A,AR$2)+countifs(Students!$J:$J,$V27,Students!$K:$K,$V$2&amp;if($K27="S1","a",if($K27="S2","b","")),Students!$A:$A,AR$2)+countifs(Students!$L:$L,$V27,Students!$M:$M,$V$2&amp;if($K27="S1","a",if($K27="S2","b","")),Students!$A:$A,AR$2)+countifs(Students!$N:$N,$V27,Students!$O:$O,$V$2&amp;if($K27="S1","a",if($K27="S2","b","")),Students!$A:$A,AR$2)+countifs(Students!$P:$P,$V27,Students!$Q:$Q,$V$2&amp;if($K27="S1","a",if($K27="S2","b","")),Students!$A:$A,AR$2)+countifs(Students!$R:$R,$V27,Students!$S:$S,$V$2&amp;if($K27="S1","a",if($K27="S2","b","")),Students!$A:$A,AR$2)+countifs(Students!$T:$T,$V27,Students!$U:$U,$V$2&amp;if($K27="S1","a",if($K27="S2","b","")),Students!$A:$A,AR$2)+countifs(Students!$V:$V,$V27,Students!$W:$W,$V$2&amp;if($K27="S1","a",if($K27="S2","b","")),Students!$A:$A,AR$2)+
countifs(Students!$D:$D,$Y27,Students!$E:$E,$Y$2&amp;if($K27="S1","a",if($K27="S2","b","")),Students!$A:$A,AR$2)+countifs(Students!$F:$F,$Y27,Students!$G:$G,$Y$2&amp;if($K27="S1","a",if($K27="S2","b","")),Students!$A:$A,AR$2)+countifs(Students!$H:$H,$Y27,Students!$I:$I,$Y$2&amp;if($K27="S1","a",if($K27="S2","b","")),Students!$A:$A,AR$2)+countifs(Students!$J:$J,$Y27,Students!$K:$K,$Y$2&amp;if($K27="S1","a",if($K27="S2","b","")),Students!$A:$A,AR$2)+countifs(Students!$L:$L,$Y27,Students!$M:$M,$Y$2&amp;if($K27="S1","a",if($K27="S2","b","")),Students!$A:$A,AR$2)+countifs(Students!$N:$N,$Y27,Students!$O:$O,$Y$2&amp;if($K27="S1","a",if($K27="S2","b","")),Students!$A:$A,AR$2)+countifs(Students!$P:$P,$Y27,Students!$Q:$Q,$Y$2&amp;if($K27="S1","a",if($K27="S2","b","")),Students!$A:$A,AR$2)+countifs(Students!$R:$R,$Y27,Students!$S:$S,$Y$2&amp;if($K27="S1","a",if($K27="S2","b","")),Students!$A:$A,AR$2)+countifs(Students!$T:$T,$Y27,Students!$U:$U,$Y$2&amp;if($K27="S1","a",if($K27="S2","b","")),Students!$A:$A,AR$2)+countifs(Students!$V:$V,$Y27,Students!$W:$W,$Y$2&amp;if($K27="S1","a",if($K27="S2","b","")),Students!$A:$A,AR$2)+
countifs(Students!$D:$D,$AB27,Students!$E:$E,$AB$2&amp;if($K27="S1","a",if($K27="S2","b","")),Students!$A:$A,AR$2)+countifs(Students!$F:$F,$AB27,Students!$G:$G,$AB$2&amp;if($K27="S1","a",if($K27="S2","b","")),Students!$A:$A,AR$2)+countifs(Students!$H:$H,$AB27,Students!$I:$I,$AB$2&amp;if($K27="S1","a",if($K27="S2","b","")),Students!$A:$A,AR$2)+countifs(Students!$J:$J,$AB27,Students!$K:$K,$AB$2&amp;if($K27="S1","a",if($K27="S2","b","")),Students!$A:$A,AR$2)+countifs(Students!$L:$L,$AB27,Students!$M:$M,$AB$2&amp;if($K27="S1","a",if($K27="S2","b","")),Students!$A:$A,AR$2)+countifs(Students!$N:$N,$AB27,Students!$O:$O,$AB$2&amp;if($K27="S1","a",if($K27="S2","b","")),Students!$A:$A,AR$2)+countifs(Students!$P:$P,$AB27,Students!$Q:$Q,$AB$2&amp;if($K27="S1","a",if($K27="S2","b","")),Students!$A:$A,AR$2)+countifs(Students!$R:$R,$AB27,Students!$S:$S,$AB$2&amp;if($K27="S1","a",if($K27="S2","b","")),Students!$A:$A,AR$2)+countifs(Students!$T:$T,$AB27,Students!$U:$U,$AB$2&amp;if($K27="S1","a",if($K27="S2","b","")),Students!$A:$A,AR$2)+countifs(Students!$V:$V,$AB27,Students!$W:$W,$AB$2&amp;if($K27="S1","a",if($K27="S2","b","")),Students!$A:$A,AR$2)+
countifs(Students!$D:$D,$AE27,Students!$E:$E,$AE$2&amp;if($K27="S1","a",if($K27="S2","b","")),Students!$A:$A,AR$2)+countifs(Students!$F:$F,$AE27,Students!$G:$G,$AE$2&amp;if($K27="S1","a",if($K27="S2","b","")),Students!$A:$A,AR$2)+countifs(Students!$H:$H,$AE27,Students!$I:$I,$AE$2&amp;if($K27="S1","a",if($K27="S2","b","")),Students!$A:$A,AR$2)+countifs(Students!$J:$J,$AE27,Students!$K:$K,$AE$2&amp;if($K27="S1","a",if($K27="S2","b","")),Students!$A:$A,AR$2)+countifs(Students!$L:$L,$AE27,Students!$M:$M,$AE$2&amp;if($K27="S1","a",if($K27="S2","b","")),Students!$A:$A,AR$2)+countifs(Students!$N:$N,$AE27,Students!$O:$O,$AE$2&amp;if($K27="S1","a",if($K27="S2","b","")),Students!$A:$A,AR$2)+countifs(Students!$P:$P,$AE27,Students!$Q:$Q,$AE$2&amp;if($K27="S1","a",if($K27="S2","b","")),Students!$A:$A,AR$2)+countifs(Students!$R:$R,$AE27,Students!$S:$S,$AE$2&amp;if($K27="S1","a",if($K27="S2","b","")),Students!$A:$A,AR$2)+countifs(Students!$T:$T,$AE27,Students!$U:$U,$AE$2&amp;if($K27="S1","a",if($K27="S2","b","")),Students!$A:$A,AR$2)+countifs(Students!$V:$V,$AE27,Students!$W:$W,$AE$2&amp;if($K27="S1","a",if($K27="S2","b","")),Students!$A:$A,AR$2)+
countifs(Students!$D:$D,$AH27,Students!$E:$E,$AH$2&amp;if($K27="S1","a",if($K27="S2","b","")),Students!$A:$A,AR$2)+countifs(Students!$F:$F,$AH27,Students!$G:$G,$AH$2&amp;if($K27="S1","a",if($K27="S2","b","")),Students!$A:$A,AR$2)+countifs(Students!$H:$H,$AH27,Students!$I:$I,$AH$2&amp;if($K27="S1","a",if($K27="S2","b","")),Students!$A:$A,AR$2)+countifs(Students!$J:$J,$AH27,Students!$K:$K,$AH$2&amp;if($K27="S1","a",if($K27="S2","b","")),Students!$A:$A,AR$2)+countifs(Students!$L:$L,$AH27,Students!$M:$M,$AH$2&amp;if($K27="S1","a",if($K27="S2","b","")),Students!$A:$A,AR$2)+countifs(Students!$N:$N,$AH27,Students!$O:$O,$AH$2&amp;if($K27="S1","a",if($K27="S2","b","")),Students!$A:$A,AR$2)+countifs(Students!$P:$P,$AH27,Students!$Q:$Q,$AH$2&amp;if($K27="S1","a",if($K27="S2","b","")),Students!$A:$A,AR$2)+countifs(Students!$R:$R,$AH27,Students!$S:$S,$AH$2&amp;if($K27="S1","a",if($K27="S2","b","")),Students!$A:$A,AR$2)+countifs(Students!$T:$T,$AH27,Students!$U:$U,$AH$2&amp;if($K27="S1","a",if($K27="S2","b","")),Students!$A:$A,AR$2)+countifs(Students!$V:$V,$AH27,Students!$W:$W,$AH$2&amp;if($K27="S1","a",if($K27="S2","b","")),Students!$A:$A,AR$2)+
countifs(Students!$D:$D,$AK27,Students!$E:$E,$AK$2&amp;if($K27="S1","a",if($K27="S2","b","")),Students!$A:$A,AR$2)+countifs(Students!$F:$F,$AK27,Students!$G:$G,$AK$2&amp;if($K27="S1","a",if($K27="S2","b","")),Students!$A:$A,AR$2)+countifs(Students!$H:$H,$AK27,Students!$I:$I,$AK$2&amp;if($K27="S1","a",if($K27="S2","b","")),Students!$A:$A,AR$2)+countifs(Students!$J:$J,$AK27,Students!$K:$K,$AK$2&amp;if($K27="S1","a",if($K27="S2","b","")),Students!$A:$A,AR$2)+countifs(Students!$L:$L,$AK27,Students!$M:$M,$AK$2&amp;if($K27="S1","a",if($K27="S2","b","")),Students!$A:$A,AR$2)+countifs(Students!$N:$N,$AK27,Students!$O:$O,$AK$2&amp;if($K27="S1","a",if($K27="S2","b","")),Students!$A:$A,AR$2)+countifs(Students!$P:$P,$AK27,Students!$Q:$Q,$AK$2&amp;if($K27="S1","a",if($K27="S2","b","")),Students!$A:$A,AR$2)+countifs(Students!$R:$R,$AK27,Students!$S:$S,$AK$2&amp;if($K27="S1","a",if($K27="S2","b","")),Students!$A:$A,AR$2)+countifs(Students!$T:$T,$AK27,Students!$U:$U,$AK$2&amp;if($K27="S1","a",if($K27="S2","b","")),Students!$A:$A,AR$2)+countifs(Students!$V:$V,$AK27,Students!$W:$W,$AK$2&amp;if($K27="S1","a",if($K27="S2","b","")),Students!$A:$A,AR$2))</f>
        <v>2</v>
      </c>
      <c r="AS27" s="102">
        <f>if($L27="","",countifs(Students!$D:$D,$P27,Students!$E:$E,$P$2&amp;if($K27="S1","a",if($K27="S2","b","")),Students!$A:$A,AS$2)+countifs(Students!$F:$F,$P27,Students!$G:$G,$P$2&amp;if($K27="S1","a",if($K27="S2","b","")),Students!$A:$A,AS$2)+countifs(Students!$H:$H,$P27,Students!$I:$I,$P$2&amp;if($K27="S1","a",if($K27="S2","b","")),Students!$A:$A,AS$2)+countifs(Students!$J:$J,$P27,Students!$K:$K,$P$2&amp;if($K27="S1","a",if($K27="S2","b","")),Students!$A:$A,AS$2)+countifs(Students!$L:$L,$P27,Students!$M:$M,$P$2&amp;if($K27="S1","a",if($K27="S2","b","")),Students!$A:$A,AS$2)+countifs(Students!$N:$N,$P27,Students!$O:$O,$P$2&amp;if($K27="S1","a",if($K27="S2","b","")),Students!$A:$A,AS$2)+countifs(Students!$P:$P,$P27,Students!$Q:$Q,$P$2&amp;if($K27="S1","a",if($K27="S2","b","")),Students!$A:$A,AS$2)+countifs(Students!$R:$R,$P27,Students!$S:$S,$P$2&amp;if($K27="S1","a",if($K27="S2","b","")),Students!$A:$A,AS$2)+countifs(Students!$T:$T,$P27,Students!$U:$U,$P$2&amp;if($K27="S1","a",if($K27="S2","b","")),Students!$A:$A,AS$2)+countifs(Students!$V:$V,$P27,Students!$W:$W,$P$2&amp;if($K27="S1","a",if($K27="S2","b","")),Students!$A:$A,AS$2)+
countifs(Students!$D:$D,$S27,Students!$E:$E,$S$2&amp;if($K27="S1","a",if($K27="S2","b","")),Students!$A:$A,AS$2)+countifs(Students!$F:$F,$S27,Students!$G:$G,$S$2&amp;if($K27="S1","a",if($K27="S2","b","")),Students!$A:$A,AS$2)+countifs(Students!$H:$H,$S27,Students!$I:$I,$S$2&amp;if($K27="S1","a",if($K27="S2","b","")),Students!$A:$A,AS$2)+countifs(Students!$J:$J,$S27,Students!$K:$K,$S$2&amp;if($K27="S1","a",if($K27="S2","b","")),Students!$A:$A,AS$2)+countifs(Students!$L:$L,$S27,Students!$M:$M,$S$2&amp;if($K27="S1","a",if($K27="S2","b","")),Students!$A:$A,AS$2)+countifs(Students!$N:$N,$S27,Students!$O:$O,$S$2&amp;if($K27="S1","a",if($K27="S2","b","")),Students!$A:$A,AS$2)+countifs(Students!$P:$P,$S27,Students!$Q:$Q,$S$2&amp;if($K27="S1","a",if($K27="S2","b","")),Students!$A:$A,AS$2)+countifs(Students!$R:$R,$S27,Students!$S:$S,$S$2&amp;if($K27="S1","a",if($K27="S2","b","")),Students!$A:$A,AS$2)+countifs(Students!$T:$T,$S27,Students!$U:$U,$S$2&amp;if($K27="S1","a",if($K27="S2","b","")),Students!$A:$A,AS$2)+countifs(Students!$V:$V,$S27,Students!$W:$W,$S$2&amp;if($K27="S1","a",if($K27="S2","b","")),Students!$A:$A,AS$2)+
countifs(Students!$D:$D,$V27,Students!$E:$E,$V$2&amp;if($K27="S1","a",if($K27="S2","b","")),Students!$A:$A,AS$2)+countifs(Students!$F:$F,$V27,Students!$G:$G,$V$2&amp;if($K27="S1","a",if($K27="S2","b","")),Students!$A:$A,AS$2)+countifs(Students!$H:$H,$V27,Students!$I:$I,$V$2&amp;if($K27="S1","a",if($K27="S2","b","")),Students!$A:$A,AS$2)+countifs(Students!$J:$J,$V27,Students!$K:$K,$V$2&amp;if($K27="S1","a",if($K27="S2","b","")),Students!$A:$A,AS$2)+countifs(Students!$L:$L,$V27,Students!$M:$M,$V$2&amp;if($K27="S1","a",if($K27="S2","b","")),Students!$A:$A,AS$2)+countifs(Students!$N:$N,$V27,Students!$O:$O,$V$2&amp;if($K27="S1","a",if($K27="S2","b","")),Students!$A:$A,AS$2)+countifs(Students!$P:$P,$V27,Students!$Q:$Q,$V$2&amp;if($K27="S1","a",if($K27="S2","b","")),Students!$A:$A,AS$2)+countifs(Students!$R:$R,$V27,Students!$S:$S,$V$2&amp;if($K27="S1","a",if($K27="S2","b","")),Students!$A:$A,AS$2)+countifs(Students!$T:$T,$V27,Students!$U:$U,$V$2&amp;if($K27="S1","a",if($K27="S2","b","")),Students!$A:$A,AS$2)+countifs(Students!$V:$V,$V27,Students!$W:$W,$V$2&amp;if($K27="S1","a",if($K27="S2","b","")),Students!$A:$A,AS$2)+
countifs(Students!$D:$D,$Y27,Students!$E:$E,$Y$2&amp;if($K27="S1","a",if($K27="S2","b","")),Students!$A:$A,AS$2)+countifs(Students!$F:$F,$Y27,Students!$G:$G,$Y$2&amp;if($K27="S1","a",if($K27="S2","b","")),Students!$A:$A,AS$2)+countifs(Students!$H:$H,$Y27,Students!$I:$I,$Y$2&amp;if($K27="S1","a",if($K27="S2","b","")),Students!$A:$A,AS$2)+countifs(Students!$J:$J,$Y27,Students!$K:$K,$Y$2&amp;if($K27="S1","a",if($K27="S2","b","")),Students!$A:$A,AS$2)+countifs(Students!$L:$L,$Y27,Students!$M:$M,$Y$2&amp;if($K27="S1","a",if($K27="S2","b","")),Students!$A:$A,AS$2)+countifs(Students!$N:$N,$Y27,Students!$O:$O,$Y$2&amp;if($K27="S1","a",if($K27="S2","b","")),Students!$A:$A,AS$2)+countifs(Students!$P:$P,$Y27,Students!$Q:$Q,$Y$2&amp;if($K27="S1","a",if($K27="S2","b","")),Students!$A:$A,AS$2)+countifs(Students!$R:$R,$Y27,Students!$S:$S,$Y$2&amp;if($K27="S1","a",if($K27="S2","b","")),Students!$A:$A,AS$2)+countifs(Students!$T:$T,$Y27,Students!$U:$U,$Y$2&amp;if($K27="S1","a",if($K27="S2","b","")),Students!$A:$A,AS$2)+countifs(Students!$V:$V,$Y27,Students!$W:$W,$Y$2&amp;if($K27="S1","a",if($K27="S2","b","")),Students!$A:$A,AS$2)+
countifs(Students!$D:$D,$AB27,Students!$E:$E,$AB$2&amp;if($K27="S1","a",if($K27="S2","b","")),Students!$A:$A,AS$2)+countifs(Students!$F:$F,$AB27,Students!$G:$G,$AB$2&amp;if($K27="S1","a",if($K27="S2","b","")),Students!$A:$A,AS$2)+countifs(Students!$H:$H,$AB27,Students!$I:$I,$AB$2&amp;if($K27="S1","a",if($K27="S2","b","")),Students!$A:$A,AS$2)+countifs(Students!$J:$J,$AB27,Students!$K:$K,$AB$2&amp;if($K27="S1","a",if($K27="S2","b","")),Students!$A:$A,AS$2)+countifs(Students!$L:$L,$AB27,Students!$M:$M,$AB$2&amp;if($K27="S1","a",if($K27="S2","b","")),Students!$A:$A,AS$2)+countifs(Students!$N:$N,$AB27,Students!$O:$O,$AB$2&amp;if($K27="S1","a",if($K27="S2","b","")),Students!$A:$A,AS$2)+countifs(Students!$P:$P,$AB27,Students!$Q:$Q,$AB$2&amp;if($K27="S1","a",if($K27="S2","b","")),Students!$A:$A,AS$2)+countifs(Students!$R:$R,$AB27,Students!$S:$S,$AB$2&amp;if($K27="S1","a",if($K27="S2","b","")),Students!$A:$A,AS$2)+countifs(Students!$T:$T,$AB27,Students!$U:$U,$AB$2&amp;if($K27="S1","a",if($K27="S2","b","")),Students!$A:$A,AS$2)+countifs(Students!$V:$V,$AB27,Students!$W:$W,$AB$2&amp;if($K27="S1","a",if($K27="S2","b","")),Students!$A:$A,AS$2)+
countifs(Students!$D:$D,$AE27,Students!$E:$E,$AE$2&amp;if($K27="S1","a",if($K27="S2","b","")),Students!$A:$A,AS$2)+countifs(Students!$F:$F,$AE27,Students!$G:$G,$AE$2&amp;if($K27="S1","a",if($K27="S2","b","")),Students!$A:$A,AS$2)+countifs(Students!$H:$H,$AE27,Students!$I:$I,$AE$2&amp;if($K27="S1","a",if($K27="S2","b","")),Students!$A:$A,AS$2)+countifs(Students!$J:$J,$AE27,Students!$K:$K,$AE$2&amp;if($K27="S1","a",if($K27="S2","b","")),Students!$A:$A,AS$2)+countifs(Students!$L:$L,$AE27,Students!$M:$M,$AE$2&amp;if($K27="S1","a",if($K27="S2","b","")),Students!$A:$A,AS$2)+countifs(Students!$N:$N,$AE27,Students!$O:$O,$AE$2&amp;if($K27="S1","a",if($K27="S2","b","")),Students!$A:$A,AS$2)+countifs(Students!$P:$P,$AE27,Students!$Q:$Q,$AE$2&amp;if($K27="S1","a",if($K27="S2","b","")),Students!$A:$A,AS$2)+countifs(Students!$R:$R,$AE27,Students!$S:$S,$AE$2&amp;if($K27="S1","a",if($K27="S2","b","")),Students!$A:$A,AS$2)+countifs(Students!$T:$T,$AE27,Students!$U:$U,$AE$2&amp;if($K27="S1","a",if($K27="S2","b","")),Students!$A:$A,AS$2)+countifs(Students!$V:$V,$AE27,Students!$W:$W,$AE$2&amp;if($K27="S1","a",if($K27="S2","b","")),Students!$A:$A,AS$2)+
countifs(Students!$D:$D,$AH27,Students!$E:$E,$AH$2&amp;if($K27="S1","a",if($K27="S2","b","")),Students!$A:$A,AS$2)+countifs(Students!$F:$F,$AH27,Students!$G:$G,$AH$2&amp;if($K27="S1","a",if($K27="S2","b","")),Students!$A:$A,AS$2)+countifs(Students!$H:$H,$AH27,Students!$I:$I,$AH$2&amp;if($K27="S1","a",if($K27="S2","b","")),Students!$A:$A,AS$2)+countifs(Students!$J:$J,$AH27,Students!$K:$K,$AH$2&amp;if($K27="S1","a",if($K27="S2","b","")),Students!$A:$A,AS$2)+countifs(Students!$L:$L,$AH27,Students!$M:$M,$AH$2&amp;if($K27="S1","a",if($K27="S2","b","")),Students!$A:$A,AS$2)+countifs(Students!$N:$N,$AH27,Students!$O:$O,$AH$2&amp;if($K27="S1","a",if($K27="S2","b","")),Students!$A:$A,AS$2)+countifs(Students!$P:$P,$AH27,Students!$Q:$Q,$AH$2&amp;if($K27="S1","a",if($K27="S2","b","")),Students!$A:$A,AS$2)+countifs(Students!$R:$R,$AH27,Students!$S:$S,$AH$2&amp;if($K27="S1","a",if($K27="S2","b","")),Students!$A:$A,AS$2)+countifs(Students!$T:$T,$AH27,Students!$U:$U,$AH$2&amp;if($K27="S1","a",if($K27="S2","b","")),Students!$A:$A,AS$2)+countifs(Students!$V:$V,$AH27,Students!$W:$W,$AH$2&amp;if($K27="S1","a",if($K27="S2","b","")),Students!$A:$A,AS$2)+
countifs(Students!$D:$D,$AK27,Students!$E:$E,$AK$2&amp;if($K27="S1","a",if($K27="S2","b","")),Students!$A:$A,AS$2)+countifs(Students!$F:$F,$AK27,Students!$G:$G,$AK$2&amp;if($K27="S1","a",if($K27="S2","b","")),Students!$A:$A,AS$2)+countifs(Students!$H:$H,$AK27,Students!$I:$I,$AK$2&amp;if($K27="S1","a",if($K27="S2","b","")),Students!$A:$A,AS$2)+countifs(Students!$J:$J,$AK27,Students!$K:$K,$AK$2&amp;if($K27="S1","a",if($K27="S2","b","")),Students!$A:$A,AS$2)+countifs(Students!$L:$L,$AK27,Students!$M:$M,$AK$2&amp;if($K27="S1","a",if($K27="S2","b","")),Students!$A:$A,AS$2)+countifs(Students!$N:$N,$AK27,Students!$O:$O,$AK$2&amp;if($K27="S1","a",if($K27="S2","b","")),Students!$A:$A,AS$2)+countifs(Students!$P:$P,$AK27,Students!$Q:$Q,$AK$2&amp;if($K27="S1","a",if($K27="S2","b","")),Students!$A:$A,AS$2)+countifs(Students!$R:$R,$AK27,Students!$S:$S,$AK$2&amp;if($K27="S1","a",if($K27="S2","b","")),Students!$A:$A,AS$2)+countifs(Students!$T:$T,$AK27,Students!$U:$U,$AK$2&amp;if($K27="S1","a",if($K27="S2","b","")),Students!$A:$A,AS$2)+countifs(Students!$V:$V,$AK27,Students!$W:$W,$AK$2&amp;if($K27="S1","a",if($K27="S2","b","")),Students!$A:$A,AS$2))</f>
        <v>1</v>
      </c>
    </row>
    <row r="28">
      <c r="J28" s="87">
        <v>102.0</v>
      </c>
      <c r="K28" s="88"/>
      <c r="L28" s="58" t="s">
        <v>89</v>
      </c>
      <c r="M28" s="117"/>
      <c r="N28" s="87">
        <v>2.0</v>
      </c>
      <c r="O28" s="87">
        <f>IFERROR(__xludf.DUMMYFUNCTION("3*counta((transpose(filter(P28:AM28,P28:AM28&lt;&gt;"""",isnumber(P28:AM28)=false))))"),15.0)</f>
        <v>15</v>
      </c>
      <c r="P28" s="113" t="s">
        <v>88</v>
      </c>
      <c r="Q28" s="101">
        <v>5.0</v>
      </c>
      <c r="R28" s="98">
        <v>20.0</v>
      </c>
      <c r="S28" s="108" t="s">
        <v>90</v>
      </c>
      <c r="T28" s="101">
        <v>1.0</v>
      </c>
      <c r="U28" s="98">
        <v>25.0</v>
      </c>
      <c r="V28" s="101"/>
      <c r="W28" s="101"/>
      <c r="X28" s="98" t="s">
        <v>22</v>
      </c>
      <c r="Y28" s="113" t="s">
        <v>88</v>
      </c>
      <c r="Z28" s="91">
        <v>6.0</v>
      </c>
      <c r="AA28" s="92">
        <v>22.0</v>
      </c>
      <c r="AB28" s="108" t="s">
        <v>90</v>
      </c>
      <c r="AC28" s="101">
        <v>2.0</v>
      </c>
      <c r="AD28" s="98">
        <v>18.0</v>
      </c>
      <c r="AE28" s="93"/>
      <c r="AF28" s="101"/>
      <c r="AG28" s="98" t="s">
        <v>22</v>
      </c>
      <c r="AH28" s="108" t="s">
        <v>88</v>
      </c>
      <c r="AI28" s="96">
        <v>7.0</v>
      </c>
      <c r="AJ28" s="92">
        <v>17.0</v>
      </c>
      <c r="AK28" s="91"/>
      <c r="AL28" s="96"/>
      <c r="AM28" s="92" t="s">
        <v>22</v>
      </c>
      <c r="AN28" s="99"/>
      <c r="AO28" s="52">
        <f t="shared" si="2"/>
        <v>102</v>
      </c>
      <c r="AP28" s="102">
        <f>if($L28="","",countifs(Students!$D:$D,$P28,Students!$E:$E,$P$2&amp;if($K28="S1","a",if($K28="S2","b","")),Students!$A:$A,AP$2)+countifs(Students!$F:$F,$P28,Students!$G:$G,$P$2&amp;if($K28="S1","a",if($K28="S2","b","")),Students!$A:$A,AP$2)+countifs(Students!$H:$H,$P28,Students!$I:$I,$P$2&amp;if($K28="S1","a",if($K28="S2","b","")),Students!$A:$A,AP$2)+countifs(Students!$J:$J,$P28,Students!$K:$K,$P$2&amp;if($K28="S1","a",if($K28="S2","b","")),Students!$A:$A,AP$2)+countifs(Students!$L:$L,$P28,Students!$M:$M,$P$2&amp;if($K28="S1","a",if($K28="S2","b","")),Students!$A:$A,AP$2)+countifs(Students!$N:$N,$P28,Students!$O:$O,$P$2&amp;if($K28="S1","a",if($K28="S2","b","")),Students!$A:$A,AP$2)+countifs(Students!$P:$P,$P28,Students!$Q:$Q,$P$2&amp;if($K28="S1","a",if($K28="S2","b","")),Students!$A:$A,AP$2)+countifs(Students!$R:$R,$P28,Students!$S:$S,$P$2&amp;if($K28="S1","a",if($K28="S2","b","")),Students!$A:$A,AP$2)+countifs(Students!$T:$T,$P28,Students!$U:$U,$P$2&amp;if($K28="S1","a",if($K28="S2","b","")),Students!$A:$A,AP$2)+countifs(Students!$V:$V,$P28,Students!$W:$W,$P$2&amp;if($K28="S1","a",if($K28="S2","b","")),Students!$A:$A,AP$2)+
countifs(Students!$D:$D,$S28,Students!$E:$E,$S$2&amp;if($K28="S1","a",if($K28="S2","b","")),Students!$A:$A,AP$2)+countifs(Students!$F:$F,$S28,Students!$G:$G,$S$2&amp;if($K28="S1","a",if($K28="S2","b","")),Students!$A:$A,AP$2)+countifs(Students!$H:$H,$S28,Students!$I:$I,$S$2&amp;if($K28="S1","a",if($K28="S2","b","")),Students!$A:$A,AP$2)+countifs(Students!$J:$J,$S28,Students!$K:$K,$S$2&amp;if($K28="S1","a",if($K28="S2","b","")),Students!$A:$A,AP$2)+countifs(Students!$L:$L,$S28,Students!$M:$M,$S$2&amp;if($K28="S1","a",if($K28="S2","b","")),Students!$A:$A,AP$2)+countifs(Students!$N:$N,$S28,Students!$O:$O,$S$2&amp;if($K28="S1","a",if($K28="S2","b","")),Students!$A:$A,AP$2)+countifs(Students!$P:$P,$S28,Students!$Q:$Q,$S$2&amp;if($K28="S1","a",if($K28="S2","b","")),Students!$A:$A,AP$2)+countifs(Students!$R:$R,$S28,Students!$S:$S,$S$2&amp;if($K28="S1","a",if($K28="S2","b","")),Students!$A:$A,AP$2)+countifs(Students!$T:$T,$S28,Students!$U:$U,$S$2&amp;if($K28="S1","a",if($K28="S2","b","")),Students!$A:$A,AP$2)+countifs(Students!$V:$V,$S28,Students!$W:$W,$S$2&amp;if($K28="S1","a",if($K28="S2","b","")),Students!$A:$A,AP$2)+
countifs(Students!$D:$D,$V28,Students!$E:$E,$V$2&amp;if($K28="S1","a",if($K28="S2","b","")),Students!$A:$A,AP$2)+countifs(Students!$F:$F,$V28,Students!$G:$G,$V$2&amp;if($K28="S1","a",if($K28="S2","b","")),Students!$A:$A,AP$2)+countifs(Students!$H:$H,$V28,Students!$I:$I,$V$2&amp;if($K28="S1","a",if($K28="S2","b","")),Students!$A:$A,AP$2)+countifs(Students!$J:$J,$V28,Students!$K:$K,$V$2&amp;if($K28="S1","a",if($K28="S2","b","")),Students!$A:$A,AP$2)+countifs(Students!$L:$L,$V28,Students!$M:$M,$V$2&amp;if($K28="S1","a",if($K28="S2","b","")),Students!$A:$A,AP$2)+countifs(Students!$N:$N,$V28,Students!$O:$O,$V$2&amp;if($K28="S1","a",if($K28="S2","b","")),Students!$A:$A,AP$2)+countifs(Students!$P:$P,$V28,Students!$Q:$Q,$V$2&amp;if($K28="S1","a",if($K28="S2","b","")),Students!$A:$A,AP$2)+countifs(Students!$R:$R,$V28,Students!$S:$S,$V$2&amp;if($K28="S1","a",if($K28="S2","b","")),Students!$A:$A,AP$2)+countifs(Students!$T:$T,$V28,Students!$U:$U,$V$2&amp;if($K28="S1","a",if($K28="S2","b","")),Students!$A:$A,AP$2)+countifs(Students!$V:$V,$V28,Students!$W:$W,$V$2&amp;if($K28="S1","a",if($K28="S2","b","")),Students!$A:$A,AP$2)+
countifs(Students!$D:$D,$Y28,Students!$E:$E,$Y$2&amp;if($K28="S1","a",if($K28="S2","b","")),Students!$A:$A,AP$2)+countifs(Students!$F:$F,$Y28,Students!$G:$G,$Y$2&amp;if($K28="S1","a",if($K28="S2","b","")),Students!$A:$A,AP$2)+countifs(Students!$H:$H,$Y28,Students!$I:$I,$Y$2&amp;if($K28="S1","a",if($K28="S2","b","")),Students!$A:$A,AP$2)+countifs(Students!$J:$J,$Y28,Students!$K:$K,$Y$2&amp;if($K28="S1","a",if($K28="S2","b","")),Students!$A:$A,AP$2)+countifs(Students!$L:$L,$Y28,Students!$M:$M,$Y$2&amp;if($K28="S1","a",if($K28="S2","b","")),Students!$A:$A,AP$2)+countifs(Students!$N:$N,$Y28,Students!$O:$O,$Y$2&amp;if($K28="S1","a",if($K28="S2","b","")),Students!$A:$A,AP$2)+countifs(Students!$P:$P,$Y28,Students!$Q:$Q,$Y$2&amp;if($K28="S1","a",if($K28="S2","b","")),Students!$A:$A,AP$2)+countifs(Students!$R:$R,$Y28,Students!$S:$S,$Y$2&amp;if($K28="S1","a",if($K28="S2","b","")),Students!$A:$A,AP$2)+countifs(Students!$T:$T,$Y28,Students!$U:$U,$Y$2&amp;if($K28="S1","a",if($K28="S2","b","")),Students!$A:$A,AP$2)+countifs(Students!$V:$V,$Y28,Students!$W:$W,$Y$2&amp;if($K28="S1","a",if($K28="S2","b","")),Students!$A:$A,AP$2)+
countifs(Students!$D:$D,$AB28,Students!$E:$E,$AB$2&amp;if($K28="S1","a",if($K28="S2","b","")),Students!$A:$A,AP$2)+countifs(Students!$F:$F,$AB28,Students!$G:$G,$AB$2&amp;if($K28="S1","a",if($K28="S2","b","")),Students!$A:$A,AP$2)+countifs(Students!$H:$H,$AB28,Students!$I:$I,$AB$2&amp;if($K28="S1","a",if($K28="S2","b","")),Students!$A:$A,AP$2)+countifs(Students!$J:$J,$AB28,Students!$K:$K,$AB$2&amp;if($K28="S1","a",if($K28="S2","b","")),Students!$A:$A,AP$2)+countifs(Students!$L:$L,$AB28,Students!$M:$M,$AB$2&amp;if($K28="S1","a",if($K28="S2","b","")),Students!$A:$A,AP$2)+countifs(Students!$N:$N,$AB28,Students!$O:$O,$AB$2&amp;if($K28="S1","a",if($K28="S2","b","")),Students!$A:$A,AP$2)+countifs(Students!$P:$P,$AB28,Students!$Q:$Q,$AB$2&amp;if($K28="S1","a",if($K28="S2","b","")),Students!$A:$A,AP$2)+countifs(Students!$R:$R,$AB28,Students!$S:$S,$AB$2&amp;if($K28="S1","a",if($K28="S2","b","")),Students!$A:$A,AP$2)+countifs(Students!$T:$T,$AB28,Students!$U:$U,$AB$2&amp;if($K28="S1","a",if($K28="S2","b","")),Students!$A:$A,AP$2)+countifs(Students!$V:$V,$AB28,Students!$W:$W,$AB$2&amp;if($K28="S1","a",if($K28="S2","b","")),Students!$A:$A,AP$2)+
countifs(Students!$D:$D,$AE28,Students!$E:$E,$AE$2&amp;if($K28="S1","a",if($K28="S2","b","")),Students!$A:$A,AP$2)+countifs(Students!$F:$F,$AE28,Students!$G:$G,$AE$2&amp;if($K28="S1","a",if($K28="S2","b","")),Students!$A:$A,AP$2)+countifs(Students!$H:$H,$AE28,Students!$I:$I,$AE$2&amp;if($K28="S1","a",if($K28="S2","b","")),Students!$A:$A,AP$2)+countifs(Students!$J:$J,$AE28,Students!$K:$K,$AE$2&amp;if($K28="S1","a",if($K28="S2","b","")),Students!$A:$A,AP$2)+countifs(Students!$L:$L,$AE28,Students!$M:$M,$AE$2&amp;if($K28="S1","a",if($K28="S2","b","")),Students!$A:$A,AP$2)+countifs(Students!$N:$N,$AE28,Students!$O:$O,$AE$2&amp;if($K28="S1","a",if($K28="S2","b","")),Students!$A:$A,AP$2)+countifs(Students!$P:$P,$AE28,Students!$Q:$Q,$AE$2&amp;if($K28="S1","a",if($K28="S2","b","")),Students!$A:$A,AP$2)+countifs(Students!$R:$R,$AE28,Students!$S:$S,$AE$2&amp;if($K28="S1","a",if($K28="S2","b","")),Students!$A:$A,AP$2)+countifs(Students!$T:$T,$AE28,Students!$U:$U,$AE$2&amp;if($K28="S1","a",if($K28="S2","b","")),Students!$A:$A,AP$2)+countifs(Students!$V:$V,$AE28,Students!$W:$W,$AE$2&amp;if($K28="S1","a",if($K28="S2","b","")),Students!$A:$A,AP$2)+
countifs(Students!$D:$D,$AH28,Students!$E:$E,$AH$2&amp;if($K28="S1","a",if($K28="S2","b","")),Students!$A:$A,AP$2)+countifs(Students!$F:$F,$AH28,Students!$G:$G,$AH$2&amp;if($K28="S1","a",if($K28="S2","b","")),Students!$A:$A,AP$2)+countifs(Students!$H:$H,$AH28,Students!$I:$I,$AH$2&amp;if($K28="S1","a",if($K28="S2","b","")),Students!$A:$A,AP$2)+countifs(Students!$J:$J,$AH28,Students!$K:$K,$AH$2&amp;if($K28="S1","a",if($K28="S2","b","")),Students!$A:$A,AP$2)+countifs(Students!$L:$L,$AH28,Students!$M:$M,$AH$2&amp;if($K28="S1","a",if($K28="S2","b","")),Students!$A:$A,AP$2)+countifs(Students!$N:$N,$AH28,Students!$O:$O,$AH$2&amp;if($K28="S1","a",if($K28="S2","b","")),Students!$A:$A,AP$2)+countifs(Students!$P:$P,$AH28,Students!$Q:$Q,$AH$2&amp;if($K28="S1","a",if($K28="S2","b","")),Students!$A:$A,AP$2)+countifs(Students!$R:$R,$AH28,Students!$S:$S,$AH$2&amp;if($K28="S1","a",if($K28="S2","b","")),Students!$A:$A,AP$2)+countifs(Students!$T:$T,$AH28,Students!$U:$U,$AH$2&amp;if($K28="S1","a",if($K28="S2","b","")),Students!$A:$A,AP$2)+countifs(Students!$V:$V,$AH28,Students!$W:$W,$AH$2&amp;if($K28="S1","a",if($K28="S2","b","")),Students!$A:$A,AP$2)+
countifs(Students!$D:$D,$AK28,Students!$E:$E,$AK$2&amp;if($K28="S1","a",if($K28="S2","b","")),Students!$A:$A,AP$2)+countifs(Students!$F:$F,$AK28,Students!$G:$G,$AK$2&amp;if($K28="S1","a",if($K28="S2","b","")),Students!$A:$A,AP$2)+countifs(Students!$H:$H,$AK28,Students!$I:$I,$AK$2&amp;if($K28="S1","a",if($K28="S2","b","")),Students!$A:$A,AP$2)+countifs(Students!$J:$J,$AK28,Students!$K:$K,$AK$2&amp;if($K28="S1","a",if($K28="S2","b","")),Students!$A:$A,AP$2)+countifs(Students!$L:$L,$AK28,Students!$M:$M,$AK$2&amp;if($K28="S1","a",if($K28="S2","b","")),Students!$A:$A,AP$2)+countifs(Students!$N:$N,$AK28,Students!$O:$O,$AK$2&amp;if($K28="S1","a",if($K28="S2","b","")),Students!$A:$A,AP$2)+countifs(Students!$P:$P,$AK28,Students!$Q:$Q,$AK$2&amp;if($K28="S1","a",if($K28="S2","b","")),Students!$A:$A,AP$2)+countifs(Students!$R:$R,$AK28,Students!$S:$S,$AK$2&amp;if($K28="S1","a",if($K28="S2","b","")),Students!$A:$A,AP$2)+countifs(Students!$T:$T,$AK28,Students!$U:$U,$AK$2&amp;if($K28="S1","a",if($K28="S2","b","")),Students!$A:$A,AP$2)+countifs(Students!$V:$V,$AK28,Students!$W:$W,$AK$2&amp;if($K28="S1","a",if($K28="S2","b","")),Students!$A:$A,AP$2))</f>
        <v>59</v>
      </c>
      <c r="AQ28" s="102">
        <f>if($L28="","",countifs(Students!$D:$D,$P28,Students!$E:$E,$P$2&amp;if($K28="S1","a",if($K28="S2","b","")),Students!$A:$A,AQ$2)+countifs(Students!$F:$F,$P28,Students!$G:$G,$P$2&amp;if($K28="S1","a",if($K28="S2","b","")),Students!$A:$A,AQ$2)+countifs(Students!$H:$H,$P28,Students!$I:$I,$P$2&amp;if($K28="S1","a",if($K28="S2","b","")),Students!$A:$A,AQ$2)+countifs(Students!$J:$J,$P28,Students!$K:$K,$P$2&amp;if($K28="S1","a",if($K28="S2","b","")),Students!$A:$A,AQ$2)+countifs(Students!$L:$L,$P28,Students!$M:$M,$P$2&amp;if($K28="S1","a",if($K28="S2","b","")),Students!$A:$A,AQ$2)+countifs(Students!$N:$N,$P28,Students!$O:$O,$P$2&amp;if($K28="S1","a",if($K28="S2","b","")),Students!$A:$A,AQ$2)+countifs(Students!$P:$P,$P28,Students!$Q:$Q,$P$2&amp;if($K28="S1","a",if($K28="S2","b","")),Students!$A:$A,AQ$2)+countifs(Students!$R:$R,$P28,Students!$S:$S,$P$2&amp;if($K28="S1","a",if($K28="S2","b","")),Students!$A:$A,AQ$2)+countifs(Students!$T:$T,$P28,Students!$U:$U,$P$2&amp;if($K28="S1","a",if($K28="S2","b","")),Students!$A:$A,AQ$2)+countifs(Students!$V:$V,$P28,Students!$W:$W,$P$2&amp;if($K28="S1","a",if($K28="S2","b","")),Students!$A:$A,AQ$2)+
countifs(Students!$D:$D,$S28,Students!$E:$E,$S$2&amp;if($K28="S1","a",if($K28="S2","b","")),Students!$A:$A,AQ$2)+countifs(Students!$F:$F,$S28,Students!$G:$G,$S$2&amp;if($K28="S1","a",if($K28="S2","b","")),Students!$A:$A,AQ$2)+countifs(Students!$H:$H,$S28,Students!$I:$I,$S$2&amp;if($K28="S1","a",if($K28="S2","b","")),Students!$A:$A,AQ$2)+countifs(Students!$J:$J,$S28,Students!$K:$K,$S$2&amp;if($K28="S1","a",if($K28="S2","b","")),Students!$A:$A,AQ$2)+countifs(Students!$L:$L,$S28,Students!$M:$M,$S$2&amp;if($K28="S1","a",if($K28="S2","b","")),Students!$A:$A,AQ$2)+countifs(Students!$N:$N,$S28,Students!$O:$O,$S$2&amp;if($K28="S1","a",if($K28="S2","b","")),Students!$A:$A,AQ$2)+countifs(Students!$P:$P,$S28,Students!$Q:$Q,$S$2&amp;if($K28="S1","a",if($K28="S2","b","")),Students!$A:$A,AQ$2)+countifs(Students!$R:$R,$S28,Students!$S:$S,$S$2&amp;if($K28="S1","a",if($K28="S2","b","")),Students!$A:$A,AQ$2)+countifs(Students!$T:$T,$S28,Students!$U:$U,$S$2&amp;if($K28="S1","a",if($K28="S2","b","")),Students!$A:$A,AQ$2)+countifs(Students!$V:$V,$S28,Students!$W:$W,$S$2&amp;if($K28="S1","a",if($K28="S2","b","")),Students!$A:$A,AQ$2)+
countifs(Students!$D:$D,$V28,Students!$E:$E,$V$2&amp;if($K28="S1","a",if($K28="S2","b","")),Students!$A:$A,AQ$2)+countifs(Students!$F:$F,$V28,Students!$G:$G,$V$2&amp;if($K28="S1","a",if($K28="S2","b","")),Students!$A:$A,AQ$2)+countifs(Students!$H:$H,$V28,Students!$I:$I,$V$2&amp;if($K28="S1","a",if($K28="S2","b","")),Students!$A:$A,AQ$2)+countifs(Students!$J:$J,$V28,Students!$K:$K,$V$2&amp;if($K28="S1","a",if($K28="S2","b","")),Students!$A:$A,AQ$2)+countifs(Students!$L:$L,$V28,Students!$M:$M,$V$2&amp;if($K28="S1","a",if($K28="S2","b","")),Students!$A:$A,AQ$2)+countifs(Students!$N:$N,$V28,Students!$O:$O,$V$2&amp;if($K28="S1","a",if($K28="S2","b","")),Students!$A:$A,AQ$2)+countifs(Students!$P:$P,$V28,Students!$Q:$Q,$V$2&amp;if($K28="S1","a",if($K28="S2","b","")),Students!$A:$A,AQ$2)+countifs(Students!$R:$R,$V28,Students!$S:$S,$V$2&amp;if($K28="S1","a",if($K28="S2","b","")),Students!$A:$A,AQ$2)+countifs(Students!$T:$T,$V28,Students!$U:$U,$V$2&amp;if($K28="S1","a",if($K28="S2","b","")),Students!$A:$A,AQ$2)+countifs(Students!$V:$V,$V28,Students!$W:$W,$V$2&amp;if($K28="S1","a",if($K28="S2","b","")),Students!$A:$A,AQ$2)+
countifs(Students!$D:$D,$Y28,Students!$E:$E,$Y$2&amp;if($K28="S1","a",if($K28="S2","b","")),Students!$A:$A,AQ$2)+countifs(Students!$F:$F,$Y28,Students!$G:$G,$Y$2&amp;if($K28="S1","a",if($K28="S2","b","")),Students!$A:$A,AQ$2)+countifs(Students!$H:$H,$Y28,Students!$I:$I,$Y$2&amp;if($K28="S1","a",if($K28="S2","b","")),Students!$A:$A,AQ$2)+countifs(Students!$J:$J,$Y28,Students!$K:$K,$Y$2&amp;if($K28="S1","a",if($K28="S2","b","")),Students!$A:$A,AQ$2)+countifs(Students!$L:$L,$Y28,Students!$M:$M,$Y$2&amp;if($K28="S1","a",if($K28="S2","b","")),Students!$A:$A,AQ$2)+countifs(Students!$N:$N,$Y28,Students!$O:$O,$Y$2&amp;if($K28="S1","a",if($K28="S2","b","")),Students!$A:$A,AQ$2)+countifs(Students!$P:$P,$Y28,Students!$Q:$Q,$Y$2&amp;if($K28="S1","a",if($K28="S2","b","")),Students!$A:$A,AQ$2)+countifs(Students!$R:$R,$Y28,Students!$S:$S,$Y$2&amp;if($K28="S1","a",if($K28="S2","b","")),Students!$A:$A,AQ$2)+countifs(Students!$T:$T,$Y28,Students!$U:$U,$Y$2&amp;if($K28="S1","a",if($K28="S2","b","")),Students!$A:$A,AQ$2)+countifs(Students!$V:$V,$Y28,Students!$W:$W,$Y$2&amp;if($K28="S1","a",if($K28="S2","b","")),Students!$A:$A,AQ$2)+
countifs(Students!$D:$D,$AB28,Students!$E:$E,$AB$2&amp;if($K28="S1","a",if($K28="S2","b","")),Students!$A:$A,AQ$2)+countifs(Students!$F:$F,$AB28,Students!$G:$G,$AB$2&amp;if($K28="S1","a",if($K28="S2","b","")),Students!$A:$A,AQ$2)+countifs(Students!$H:$H,$AB28,Students!$I:$I,$AB$2&amp;if($K28="S1","a",if($K28="S2","b","")),Students!$A:$A,AQ$2)+countifs(Students!$J:$J,$AB28,Students!$K:$K,$AB$2&amp;if($K28="S1","a",if($K28="S2","b","")),Students!$A:$A,AQ$2)+countifs(Students!$L:$L,$AB28,Students!$M:$M,$AB$2&amp;if($K28="S1","a",if($K28="S2","b","")),Students!$A:$A,AQ$2)+countifs(Students!$N:$N,$AB28,Students!$O:$O,$AB$2&amp;if($K28="S1","a",if($K28="S2","b","")),Students!$A:$A,AQ$2)+countifs(Students!$P:$P,$AB28,Students!$Q:$Q,$AB$2&amp;if($K28="S1","a",if($K28="S2","b","")),Students!$A:$A,AQ$2)+countifs(Students!$R:$R,$AB28,Students!$S:$S,$AB$2&amp;if($K28="S1","a",if($K28="S2","b","")),Students!$A:$A,AQ$2)+countifs(Students!$T:$T,$AB28,Students!$U:$U,$AB$2&amp;if($K28="S1","a",if($K28="S2","b","")),Students!$A:$A,AQ$2)+countifs(Students!$V:$V,$AB28,Students!$W:$W,$AB$2&amp;if($K28="S1","a",if($K28="S2","b","")),Students!$A:$A,AQ$2)+
countifs(Students!$D:$D,$AE28,Students!$E:$E,$AE$2&amp;if($K28="S1","a",if($K28="S2","b","")),Students!$A:$A,AQ$2)+countifs(Students!$F:$F,$AE28,Students!$G:$G,$AE$2&amp;if($K28="S1","a",if($K28="S2","b","")),Students!$A:$A,AQ$2)+countifs(Students!$H:$H,$AE28,Students!$I:$I,$AE$2&amp;if($K28="S1","a",if($K28="S2","b","")),Students!$A:$A,AQ$2)+countifs(Students!$J:$J,$AE28,Students!$K:$K,$AE$2&amp;if($K28="S1","a",if($K28="S2","b","")),Students!$A:$A,AQ$2)+countifs(Students!$L:$L,$AE28,Students!$M:$M,$AE$2&amp;if($K28="S1","a",if($K28="S2","b","")),Students!$A:$A,AQ$2)+countifs(Students!$N:$N,$AE28,Students!$O:$O,$AE$2&amp;if($K28="S1","a",if($K28="S2","b","")),Students!$A:$A,AQ$2)+countifs(Students!$P:$P,$AE28,Students!$Q:$Q,$AE$2&amp;if($K28="S1","a",if($K28="S2","b","")),Students!$A:$A,AQ$2)+countifs(Students!$R:$R,$AE28,Students!$S:$S,$AE$2&amp;if($K28="S1","a",if($K28="S2","b","")),Students!$A:$A,AQ$2)+countifs(Students!$T:$T,$AE28,Students!$U:$U,$AE$2&amp;if($K28="S1","a",if($K28="S2","b","")),Students!$A:$A,AQ$2)+countifs(Students!$V:$V,$AE28,Students!$W:$W,$AE$2&amp;if($K28="S1","a",if($K28="S2","b","")),Students!$A:$A,AQ$2)+
countifs(Students!$D:$D,$AH28,Students!$E:$E,$AH$2&amp;if($K28="S1","a",if($K28="S2","b","")),Students!$A:$A,AQ$2)+countifs(Students!$F:$F,$AH28,Students!$G:$G,$AH$2&amp;if($K28="S1","a",if($K28="S2","b","")),Students!$A:$A,AQ$2)+countifs(Students!$H:$H,$AH28,Students!$I:$I,$AH$2&amp;if($K28="S1","a",if($K28="S2","b","")),Students!$A:$A,AQ$2)+countifs(Students!$J:$J,$AH28,Students!$K:$K,$AH$2&amp;if($K28="S1","a",if($K28="S2","b","")),Students!$A:$A,AQ$2)+countifs(Students!$L:$L,$AH28,Students!$M:$M,$AH$2&amp;if($K28="S1","a",if($K28="S2","b","")),Students!$A:$A,AQ$2)+countifs(Students!$N:$N,$AH28,Students!$O:$O,$AH$2&amp;if($K28="S1","a",if($K28="S2","b","")),Students!$A:$A,AQ$2)+countifs(Students!$P:$P,$AH28,Students!$Q:$Q,$AH$2&amp;if($K28="S1","a",if($K28="S2","b","")),Students!$A:$A,AQ$2)+countifs(Students!$R:$R,$AH28,Students!$S:$S,$AH$2&amp;if($K28="S1","a",if($K28="S2","b","")),Students!$A:$A,AQ$2)+countifs(Students!$T:$T,$AH28,Students!$U:$U,$AH$2&amp;if($K28="S1","a",if($K28="S2","b","")),Students!$A:$A,AQ$2)+countifs(Students!$V:$V,$AH28,Students!$W:$W,$AH$2&amp;if($K28="S1","a",if($K28="S2","b","")),Students!$A:$A,AQ$2)+
countifs(Students!$D:$D,$AK28,Students!$E:$E,$AK$2&amp;if($K28="S1","a",if($K28="S2","b","")),Students!$A:$A,AQ$2)+countifs(Students!$F:$F,$AK28,Students!$G:$G,$AK$2&amp;if($K28="S1","a",if($K28="S2","b","")),Students!$A:$A,AQ$2)+countifs(Students!$H:$H,$AK28,Students!$I:$I,$AK$2&amp;if($K28="S1","a",if($K28="S2","b","")),Students!$A:$A,AQ$2)+countifs(Students!$J:$J,$AK28,Students!$K:$K,$AK$2&amp;if($K28="S1","a",if($K28="S2","b","")),Students!$A:$A,AQ$2)+countifs(Students!$L:$L,$AK28,Students!$M:$M,$AK$2&amp;if($K28="S1","a",if($K28="S2","b","")),Students!$A:$A,AQ$2)+countifs(Students!$N:$N,$AK28,Students!$O:$O,$AK$2&amp;if($K28="S1","a",if($K28="S2","b","")),Students!$A:$A,AQ$2)+countifs(Students!$P:$P,$AK28,Students!$Q:$Q,$AK$2&amp;if($K28="S1","a",if($K28="S2","b","")),Students!$A:$A,AQ$2)+countifs(Students!$R:$R,$AK28,Students!$S:$S,$AK$2&amp;if($K28="S1","a",if($K28="S2","b","")),Students!$A:$A,AQ$2)+countifs(Students!$T:$T,$AK28,Students!$U:$U,$AK$2&amp;if($K28="S1","a",if($K28="S2","b","")),Students!$A:$A,AQ$2)+countifs(Students!$V:$V,$AK28,Students!$W:$W,$AK$2&amp;if($K28="S1","a",if($K28="S2","b","")),Students!$A:$A,AQ$2))</f>
        <v>0</v>
      </c>
      <c r="AR28" s="102">
        <f>if($L28="","",countifs(Students!$D:$D,$P28,Students!$E:$E,$P$2&amp;if($K28="S1","a",if($K28="S2","b","")),Students!$A:$A,AR$2)+countifs(Students!$F:$F,$P28,Students!$G:$G,$P$2&amp;if($K28="S1","a",if($K28="S2","b","")),Students!$A:$A,AR$2)+countifs(Students!$H:$H,$P28,Students!$I:$I,$P$2&amp;if($K28="S1","a",if($K28="S2","b","")),Students!$A:$A,AR$2)+countifs(Students!$J:$J,$P28,Students!$K:$K,$P$2&amp;if($K28="S1","a",if($K28="S2","b","")),Students!$A:$A,AR$2)+countifs(Students!$L:$L,$P28,Students!$M:$M,$P$2&amp;if($K28="S1","a",if($K28="S2","b","")),Students!$A:$A,AR$2)+countifs(Students!$N:$N,$P28,Students!$O:$O,$P$2&amp;if($K28="S1","a",if($K28="S2","b","")),Students!$A:$A,AR$2)+countifs(Students!$P:$P,$P28,Students!$Q:$Q,$P$2&amp;if($K28="S1","a",if($K28="S2","b","")),Students!$A:$A,AR$2)+countifs(Students!$R:$R,$P28,Students!$S:$S,$P$2&amp;if($K28="S1","a",if($K28="S2","b","")),Students!$A:$A,AR$2)+countifs(Students!$T:$T,$P28,Students!$U:$U,$P$2&amp;if($K28="S1","a",if($K28="S2","b","")),Students!$A:$A,AR$2)+countifs(Students!$V:$V,$P28,Students!$W:$W,$P$2&amp;if($K28="S1","a",if($K28="S2","b","")),Students!$A:$A,AR$2)+
countifs(Students!$D:$D,$S28,Students!$E:$E,$S$2&amp;if($K28="S1","a",if($K28="S2","b","")),Students!$A:$A,AR$2)+countifs(Students!$F:$F,$S28,Students!$G:$G,$S$2&amp;if($K28="S1","a",if($K28="S2","b","")),Students!$A:$A,AR$2)+countifs(Students!$H:$H,$S28,Students!$I:$I,$S$2&amp;if($K28="S1","a",if($K28="S2","b","")),Students!$A:$A,AR$2)+countifs(Students!$J:$J,$S28,Students!$K:$K,$S$2&amp;if($K28="S1","a",if($K28="S2","b","")),Students!$A:$A,AR$2)+countifs(Students!$L:$L,$S28,Students!$M:$M,$S$2&amp;if($K28="S1","a",if($K28="S2","b","")),Students!$A:$A,AR$2)+countifs(Students!$N:$N,$S28,Students!$O:$O,$S$2&amp;if($K28="S1","a",if($K28="S2","b","")),Students!$A:$A,AR$2)+countifs(Students!$P:$P,$S28,Students!$Q:$Q,$S$2&amp;if($K28="S1","a",if($K28="S2","b","")),Students!$A:$A,AR$2)+countifs(Students!$R:$R,$S28,Students!$S:$S,$S$2&amp;if($K28="S1","a",if($K28="S2","b","")),Students!$A:$A,AR$2)+countifs(Students!$T:$T,$S28,Students!$U:$U,$S$2&amp;if($K28="S1","a",if($K28="S2","b","")),Students!$A:$A,AR$2)+countifs(Students!$V:$V,$S28,Students!$W:$W,$S$2&amp;if($K28="S1","a",if($K28="S2","b","")),Students!$A:$A,AR$2)+
countifs(Students!$D:$D,$V28,Students!$E:$E,$V$2&amp;if($K28="S1","a",if($K28="S2","b","")),Students!$A:$A,AR$2)+countifs(Students!$F:$F,$V28,Students!$G:$G,$V$2&amp;if($K28="S1","a",if($K28="S2","b","")),Students!$A:$A,AR$2)+countifs(Students!$H:$H,$V28,Students!$I:$I,$V$2&amp;if($K28="S1","a",if($K28="S2","b","")),Students!$A:$A,AR$2)+countifs(Students!$J:$J,$V28,Students!$K:$K,$V$2&amp;if($K28="S1","a",if($K28="S2","b","")),Students!$A:$A,AR$2)+countifs(Students!$L:$L,$V28,Students!$M:$M,$V$2&amp;if($K28="S1","a",if($K28="S2","b","")),Students!$A:$A,AR$2)+countifs(Students!$N:$N,$V28,Students!$O:$O,$V$2&amp;if($K28="S1","a",if($K28="S2","b","")),Students!$A:$A,AR$2)+countifs(Students!$P:$P,$V28,Students!$Q:$Q,$V$2&amp;if($K28="S1","a",if($K28="S2","b","")),Students!$A:$A,AR$2)+countifs(Students!$R:$R,$V28,Students!$S:$S,$V$2&amp;if($K28="S1","a",if($K28="S2","b","")),Students!$A:$A,AR$2)+countifs(Students!$T:$T,$V28,Students!$U:$U,$V$2&amp;if($K28="S1","a",if($K28="S2","b","")),Students!$A:$A,AR$2)+countifs(Students!$V:$V,$V28,Students!$W:$W,$V$2&amp;if($K28="S1","a",if($K28="S2","b","")),Students!$A:$A,AR$2)+
countifs(Students!$D:$D,$Y28,Students!$E:$E,$Y$2&amp;if($K28="S1","a",if($K28="S2","b","")),Students!$A:$A,AR$2)+countifs(Students!$F:$F,$Y28,Students!$G:$G,$Y$2&amp;if($K28="S1","a",if($K28="S2","b","")),Students!$A:$A,AR$2)+countifs(Students!$H:$H,$Y28,Students!$I:$I,$Y$2&amp;if($K28="S1","a",if($K28="S2","b","")),Students!$A:$A,AR$2)+countifs(Students!$J:$J,$Y28,Students!$K:$K,$Y$2&amp;if($K28="S1","a",if($K28="S2","b","")),Students!$A:$A,AR$2)+countifs(Students!$L:$L,$Y28,Students!$M:$M,$Y$2&amp;if($K28="S1","a",if($K28="S2","b","")),Students!$A:$A,AR$2)+countifs(Students!$N:$N,$Y28,Students!$O:$O,$Y$2&amp;if($K28="S1","a",if($K28="S2","b","")),Students!$A:$A,AR$2)+countifs(Students!$P:$P,$Y28,Students!$Q:$Q,$Y$2&amp;if($K28="S1","a",if($K28="S2","b","")),Students!$A:$A,AR$2)+countifs(Students!$R:$R,$Y28,Students!$S:$S,$Y$2&amp;if($K28="S1","a",if($K28="S2","b","")),Students!$A:$A,AR$2)+countifs(Students!$T:$T,$Y28,Students!$U:$U,$Y$2&amp;if($K28="S1","a",if($K28="S2","b","")),Students!$A:$A,AR$2)+countifs(Students!$V:$V,$Y28,Students!$W:$W,$Y$2&amp;if($K28="S1","a",if($K28="S2","b","")),Students!$A:$A,AR$2)+
countifs(Students!$D:$D,$AB28,Students!$E:$E,$AB$2&amp;if($K28="S1","a",if($K28="S2","b","")),Students!$A:$A,AR$2)+countifs(Students!$F:$F,$AB28,Students!$G:$G,$AB$2&amp;if($K28="S1","a",if($K28="S2","b","")),Students!$A:$A,AR$2)+countifs(Students!$H:$H,$AB28,Students!$I:$I,$AB$2&amp;if($K28="S1","a",if($K28="S2","b","")),Students!$A:$A,AR$2)+countifs(Students!$J:$J,$AB28,Students!$K:$K,$AB$2&amp;if($K28="S1","a",if($K28="S2","b","")),Students!$A:$A,AR$2)+countifs(Students!$L:$L,$AB28,Students!$M:$M,$AB$2&amp;if($K28="S1","a",if($K28="S2","b","")),Students!$A:$A,AR$2)+countifs(Students!$N:$N,$AB28,Students!$O:$O,$AB$2&amp;if($K28="S1","a",if($K28="S2","b","")),Students!$A:$A,AR$2)+countifs(Students!$P:$P,$AB28,Students!$Q:$Q,$AB$2&amp;if($K28="S1","a",if($K28="S2","b","")),Students!$A:$A,AR$2)+countifs(Students!$R:$R,$AB28,Students!$S:$S,$AB$2&amp;if($K28="S1","a",if($K28="S2","b","")),Students!$A:$A,AR$2)+countifs(Students!$T:$T,$AB28,Students!$U:$U,$AB$2&amp;if($K28="S1","a",if($K28="S2","b","")),Students!$A:$A,AR$2)+countifs(Students!$V:$V,$AB28,Students!$W:$W,$AB$2&amp;if($K28="S1","a",if($K28="S2","b","")),Students!$A:$A,AR$2)+
countifs(Students!$D:$D,$AE28,Students!$E:$E,$AE$2&amp;if($K28="S1","a",if($K28="S2","b","")),Students!$A:$A,AR$2)+countifs(Students!$F:$F,$AE28,Students!$G:$G,$AE$2&amp;if($K28="S1","a",if($K28="S2","b","")),Students!$A:$A,AR$2)+countifs(Students!$H:$H,$AE28,Students!$I:$I,$AE$2&amp;if($K28="S1","a",if($K28="S2","b","")),Students!$A:$A,AR$2)+countifs(Students!$J:$J,$AE28,Students!$K:$K,$AE$2&amp;if($K28="S1","a",if($K28="S2","b","")),Students!$A:$A,AR$2)+countifs(Students!$L:$L,$AE28,Students!$M:$M,$AE$2&amp;if($K28="S1","a",if($K28="S2","b","")),Students!$A:$A,AR$2)+countifs(Students!$N:$N,$AE28,Students!$O:$O,$AE$2&amp;if($K28="S1","a",if($K28="S2","b","")),Students!$A:$A,AR$2)+countifs(Students!$P:$P,$AE28,Students!$Q:$Q,$AE$2&amp;if($K28="S1","a",if($K28="S2","b","")),Students!$A:$A,AR$2)+countifs(Students!$R:$R,$AE28,Students!$S:$S,$AE$2&amp;if($K28="S1","a",if($K28="S2","b","")),Students!$A:$A,AR$2)+countifs(Students!$T:$T,$AE28,Students!$U:$U,$AE$2&amp;if($K28="S1","a",if($K28="S2","b","")),Students!$A:$A,AR$2)+countifs(Students!$V:$V,$AE28,Students!$W:$W,$AE$2&amp;if($K28="S1","a",if($K28="S2","b","")),Students!$A:$A,AR$2)+
countifs(Students!$D:$D,$AH28,Students!$E:$E,$AH$2&amp;if($K28="S1","a",if($K28="S2","b","")),Students!$A:$A,AR$2)+countifs(Students!$F:$F,$AH28,Students!$G:$G,$AH$2&amp;if($K28="S1","a",if($K28="S2","b","")),Students!$A:$A,AR$2)+countifs(Students!$H:$H,$AH28,Students!$I:$I,$AH$2&amp;if($K28="S1","a",if($K28="S2","b","")),Students!$A:$A,AR$2)+countifs(Students!$J:$J,$AH28,Students!$K:$K,$AH$2&amp;if($K28="S1","a",if($K28="S2","b","")),Students!$A:$A,AR$2)+countifs(Students!$L:$L,$AH28,Students!$M:$M,$AH$2&amp;if($K28="S1","a",if($K28="S2","b","")),Students!$A:$A,AR$2)+countifs(Students!$N:$N,$AH28,Students!$O:$O,$AH$2&amp;if($K28="S1","a",if($K28="S2","b","")),Students!$A:$A,AR$2)+countifs(Students!$P:$P,$AH28,Students!$Q:$Q,$AH$2&amp;if($K28="S1","a",if($K28="S2","b","")),Students!$A:$A,AR$2)+countifs(Students!$R:$R,$AH28,Students!$S:$S,$AH$2&amp;if($K28="S1","a",if($K28="S2","b","")),Students!$A:$A,AR$2)+countifs(Students!$T:$T,$AH28,Students!$U:$U,$AH$2&amp;if($K28="S1","a",if($K28="S2","b","")),Students!$A:$A,AR$2)+countifs(Students!$V:$V,$AH28,Students!$W:$W,$AH$2&amp;if($K28="S1","a",if($K28="S2","b","")),Students!$A:$A,AR$2)+
countifs(Students!$D:$D,$AK28,Students!$E:$E,$AK$2&amp;if($K28="S1","a",if($K28="S2","b","")),Students!$A:$A,AR$2)+countifs(Students!$F:$F,$AK28,Students!$G:$G,$AK$2&amp;if($K28="S1","a",if($K28="S2","b","")),Students!$A:$A,AR$2)+countifs(Students!$H:$H,$AK28,Students!$I:$I,$AK$2&amp;if($K28="S1","a",if($K28="S2","b","")),Students!$A:$A,AR$2)+countifs(Students!$J:$J,$AK28,Students!$K:$K,$AK$2&amp;if($K28="S1","a",if($K28="S2","b","")),Students!$A:$A,AR$2)+countifs(Students!$L:$L,$AK28,Students!$M:$M,$AK$2&amp;if($K28="S1","a",if($K28="S2","b","")),Students!$A:$A,AR$2)+countifs(Students!$N:$N,$AK28,Students!$O:$O,$AK$2&amp;if($K28="S1","a",if($K28="S2","b","")),Students!$A:$A,AR$2)+countifs(Students!$P:$P,$AK28,Students!$Q:$Q,$AK$2&amp;if($K28="S1","a",if($K28="S2","b","")),Students!$A:$A,AR$2)+countifs(Students!$R:$R,$AK28,Students!$S:$S,$AK$2&amp;if($K28="S1","a",if($K28="S2","b","")),Students!$A:$A,AR$2)+countifs(Students!$T:$T,$AK28,Students!$U:$U,$AK$2&amp;if($K28="S1","a",if($K28="S2","b","")),Students!$A:$A,AR$2)+countifs(Students!$V:$V,$AK28,Students!$W:$W,$AK$2&amp;if($K28="S1","a",if($K28="S2","b","")),Students!$A:$A,AR$2))</f>
        <v>42</v>
      </c>
      <c r="AS28" s="102">
        <f>if($L28="","",countifs(Students!$D:$D,$P28,Students!$E:$E,$P$2&amp;if($K28="S1","a",if($K28="S2","b","")),Students!$A:$A,AS$2)+countifs(Students!$F:$F,$P28,Students!$G:$G,$P$2&amp;if($K28="S1","a",if($K28="S2","b","")),Students!$A:$A,AS$2)+countifs(Students!$H:$H,$P28,Students!$I:$I,$P$2&amp;if($K28="S1","a",if($K28="S2","b","")),Students!$A:$A,AS$2)+countifs(Students!$J:$J,$P28,Students!$K:$K,$P$2&amp;if($K28="S1","a",if($K28="S2","b","")),Students!$A:$A,AS$2)+countifs(Students!$L:$L,$P28,Students!$M:$M,$P$2&amp;if($K28="S1","a",if($K28="S2","b","")),Students!$A:$A,AS$2)+countifs(Students!$N:$N,$P28,Students!$O:$O,$P$2&amp;if($K28="S1","a",if($K28="S2","b","")),Students!$A:$A,AS$2)+countifs(Students!$P:$P,$P28,Students!$Q:$Q,$P$2&amp;if($K28="S1","a",if($K28="S2","b","")),Students!$A:$A,AS$2)+countifs(Students!$R:$R,$P28,Students!$S:$S,$P$2&amp;if($K28="S1","a",if($K28="S2","b","")),Students!$A:$A,AS$2)+countifs(Students!$T:$T,$P28,Students!$U:$U,$P$2&amp;if($K28="S1","a",if($K28="S2","b","")),Students!$A:$A,AS$2)+countifs(Students!$V:$V,$P28,Students!$W:$W,$P$2&amp;if($K28="S1","a",if($K28="S2","b","")),Students!$A:$A,AS$2)+
countifs(Students!$D:$D,$S28,Students!$E:$E,$S$2&amp;if($K28="S1","a",if($K28="S2","b","")),Students!$A:$A,AS$2)+countifs(Students!$F:$F,$S28,Students!$G:$G,$S$2&amp;if($K28="S1","a",if($K28="S2","b","")),Students!$A:$A,AS$2)+countifs(Students!$H:$H,$S28,Students!$I:$I,$S$2&amp;if($K28="S1","a",if($K28="S2","b","")),Students!$A:$A,AS$2)+countifs(Students!$J:$J,$S28,Students!$K:$K,$S$2&amp;if($K28="S1","a",if($K28="S2","b","")),Students!$A:$A,AS$2)+countifs(Students!$L:$L,$S28,Students!$M:$M,$S$2&amp;if($K28="S1","a",if($K28="S2","b","")),Students!$A:$A,AS$2)+countifs(Students!$N:$N,$S28,Students!$O:$O,$S$2&amp;if($K28="S1","a",if($K28="S2","b","")),Students!$A:$A,AS$2)+countifs(Students!$P:$P,$S28,Students!$Q:$Q,$S$2&amp;if($K28="S1","a",if($K28="S2","b","")),Students!$A:$A,AS$2)+countifs(Students!$R:$R,$S28,Students!$S:$S,$S$2&amp;if($K28="S1","a",if($K28="S2","b","")),Students!$A:$A,AS$2)+countifs(Students!$T:$T,$S28,Students!$U:$U,$S$2&amp;if($K28="S1","a",if($K28="S2","b","")),Students!$A:$A,AS$2)+countifs(Students!$V:$V,$S28,Students!$W:$W,$S$2&amp;if($K28="S1","a",if($K28="S2","b","")),Students!$A:$A,AS$2)+
countifs(Students!$D:$D,$V28,Students!$E:$E,$V$2&amp;if($K28="S1","a",if($K28="S2","b","")),Students!$A:$A,AS$2)+countifs(Students!$F:$F,$V28,Students!$G:$G,$V$2&amp;if($K28="S1","a",if($K28="S2","b","")),Students!$A:$A,AS$2)+countifs(Students!$H:$H,$V28,Students!$I:$I,$V$2&amp;if($K28="S1","a",if($K28="S2","b","")),Students!$A:$A,AS$2)+countifs(Students!$J:$J,$V28,Students!$K:$K,$V$2&amp;if($K28="S1","a",if($K28="S2","b","")),Students!$A:$A,AS$2)+countifs(Students!$L:$L,$V28,Students!$M:$M,$V$2&amp;if($K28="S1","a",if($K28="S2","b","")),Students!$A:$A,AS$2)+countifs(Students!$N:$N,$V28,Students!$O:$O,$V$2&amp;if($K28="S1","a",if($K28="S2","b","")),Students!$A:$A,AS$2)+countifs(Students!$P:$P,$V28,Students!$Q:$Q,$V$2&amp;if($K28="S1","a",if($K28="S2","b","")),Students!$A:$A,AS$2)+countifs(Students!$R:$R,$V28,Students!$S:$S,$V$2&amp;if($K28="S1","a",if($K28="S2","b","")),Students!$A:$A,AS$2)+countifs(Students!$T:$T,$V28,Students!$U:$U,$V$2&amp;if($K28="S1","a",if($K28="S2","b","")),Students!$A:$A,AS$2)+countifs(Students!$V:$V,$V28,Students!$W:$W,$V$2&amp;if($K28="S1","a",if($K28="S2","b","")),Students!$A:$A,AS$2)+
countifs(Students!$D:$D,$Y28,Students!$E:$E,$Y$2&amp;if($K28="S1","a",if($K28="S2","b","")),Students!$A:$A,AS$2)+countifs(Students!$F:$F,$Y28,Students!$G:$G,$Y$2&amp;if($K28="S1","a",if($K28="S2","b","")),Students!$A:$A,AS$2)+countifs(Students!$H:$H,$Y28,Students!$I:$I,$Y$2&amp;if($K28="S1","a",if($K28="S2","b","")),Students!$A:$A,AS$2)+countifs(Students!$J:$J,$Y28,Students!$K:$K,$Y$2&amp;if($K28="S1","a",if($K28="S2","b","")),Students!$A:$A,AS$2)+countifs(Students!$L:$L,$Y28,Students!$M:$M,$Y$2&amp;if($K28="S1","a",if($K28="S2","b","")),Students!$A:$A,AS$2)+countifs(Students!$N:$N,$Y28,Students!$O:$O,$Y$2&amp;if($K28="S1","a",if($K28="S2","b","")),Students!$A:$A,AS$2)+countifs(Students!$P:$P,$Y28,Students!$Q:$Q,$Y$2&amp;if($K28="S1","a",if($K28="S2","b","")),Students!$A:$A,AS$2)+countifs(Students!$R:$R,$Y28,Students!$S:$S,$Y$2&amp;if($K28="S1","a",if($K28="S2","b","")),Students!$A:$A,AS$2)+countifs(Students!$T:$T,$Y28,Students!$U:$U,$Y$2&amp;if($K28="S1","a",if($K28="S2","b","")),Students!$A:$A,AS$2)+countifs(Students!$V:$V,$Y28,Students!$W:$W,$Y$2&amp;if($K28="S1","a",if($K28="S2","b","")),Students!$A:$A,AS$2)+
countifs(Students!$D:$D,$AB28,Students!$E:$E,$AB$2&amp;if($K28="S1","a",if($K28="S2","b","")),Students!$A:$A,AS$2)+countifs(Students!$F:$F,$AB28,Students!$G:$G,$AB$2&amp;if($K28="S1","a",if($K28="S2","b","")),Students!$A:$A,AS$2)+countifs(Students!$H:$H,$AB28,Students!$I:$I,$AB$2&amp;if($K28="S1","a",if($K28="S2","b","")),Students!$A:$A,AS$2)+countifs(Students!$J:$J,$AB28,Students!$K:$K,$AB$2&amp;if($K28="S1","a",if($K28="S2","b","")),Students!$A:$A,AS$2)+countifs(Students!$L:$L,$AB28,Students!$M:$M,$AB$2&amp;if($K28="S1","a",if($K28="S2","b","")),Students!$A:$A,AS$2)+countifs(Students!$N:$N,$AB28,Students!$O:$O,$AB$2&amp;if($K28="S1","a",if($K28="S2","b","")),Students!$A:$A,AS$2)+countifs(Students!$P:$P,$AB28,Students!$Q:$Q,$AB$2&amp;if($K28="S1","a",if($K28="S2","b","")),Students!$A:$A,AS$2)+countifs(Students!$R:$R,$AB28,Students!$S:$S,$AB$2&amp;if($K28="S1","a",if($K28="S2","b","")),Students!$A:$A,AS$2)+countifs(Students!$T:$T,$AB28,Students!$U:$U,$AB$2&amp;if($K28="S1","a",if($K28="S2","b","")),Students!$A:$A,AS$2)+countifs(Students!$V:$V,$AB28,Students!$W:$W,$AB$2&amp;if($K28="S1","a",if($K28="S2","b","")),Students!$A:$A,AS$2)+
countifs(Students!$D:$D,$AE28,Students!$E:$E,$AE$2&amp;if($K28="S1","a",if($K28="S2","b","")),Students!$A:$A,AS$2)+countifs(Students!$F:$F,$AE28,Students!$G:$G,$AE$2&amp;if($K28="S1","a",if($K28="S2","b","")),Students!$A:$A,AS$2)+countifs(Students!$H:$H,$AE28,Students!$I:$I,$AE$2&amp;if($K28="S1","a",if($K28="S2","b","")),Students!$A:$A,AS$2)+countifs(Students!$J:$J,$AE28,Students!$K:$K,$AE$2&amp;if($K28="S1","a",if($K28="S2","b","")),Students!$A:$A,AS$2)+countifs(Students!$L:$L,$AE28,Students!$M:$M,$AE$2&amp;if($K28="S1","a",if($K28="S2","b","")),Students!$A:$A,AS$2)+countifs(Students!$N:$N,$AE28,Students!$O:$O,$AE$2&amp;if($K28="S1","a",if($K28="S2","b","")),Students!$A:$A,AS$2)+countifs(Students!$P:$P,$AE28,Students!$Q:$Q,$AE$2&amp;if($K28="S1","a",if($K28="S2","b","")),Students!$A:$A,AS$2)+countifs(Students!$R:$R,$AE28,Students!$S:$S,$AE$2&amp;if($K28="S1","a",if($K28="S2","b","")),Students!$A:$A,AS$2)+countifs(Students!$T:$T,$AE28,Students!$U:$U,$AE$2&amp;if($K28="S1","a",if($K28="S2","b","")),Students!$A:$A,AS$2)+countifs(Students!$V:$V,$AE28,Students!$W:$W,$AE$2&amp;if($K28="S1","a",if($K28="S2","b","")),Students!$A:$A,AS$2)+
countifs(Students!$D:$D,$AH28,Students!$E:$E,$AH$2&amp;if($K28="S1","a",if($K28="S2","b","")),Students!$A:$A,AS$2)+countifs(Students!$F:$F,$AH28,Students!$G:$G,$AH$2&amp;if($K28="S1","a",if($K28="S2","b","")),Students!$A:$A,AS$2)+countifs(Students!$H:$H,$AH28,Students!$I:$I,$AH$2&amp;if($K28="S1","a",if($K28="S2","b","")),Students!$A:$A,AS$2)+countifs(Students!$J:$J,$AH28,Students!$K:$K,$AH$2&amp;if($K28="S1","a",if($K28="S2","b","")),Students!$A:$A,AS$2)+countifs(Students!$L:$L,$AH28,Students!$M:$M,$AH$2&amp;if($K28="S1","a",if($K28="S2","b","")),Students!$A:$A,AS$2)+countifs(Students!$N:$N,$AH28,Students!$O:$O,$AH$2&amp;if($K28="S1","a",if($K28="S2","b","")),Students!$A:$A,AS$2)+countifs(Students!$P:$P,$AH28,Students!$Q:$Q,$AH$2&amp;if($K28="S1","a",if($K28="S2","b","")),Students!$A:$A,AS$2)+countifs(Students!$R:$R,$AH28,Students!$S:$S,$AH$2&amp;if($K28="S1","a",if($K28="S2","b","")),Students!$A:$A,AS$2)+countifs(Students!$T:$T,$AH28,Students!$U:$U,$AH$2&amp;if($K28="S1","a",if($K28="S2","b","")),Students!$A:$A,AS$2)+countifs(Students!$V:$V,$AH28,Students!$W:$W,$AH$2&amp;if($K28="S1","a",if($K28="S2","b","")),Students!$A:$A,AS$2)+
countifs(Students!$D:$D,$AK28,Students!$E:$E,$AK$2&amp;if($K28="S1","a",if($K28="S2","b","")),Students!$A:$A,AS$2)+countifs(Students!$F:$F,$AK28,Students!$G:$G,$AK$2&amp;if($K28="S1","a",if($K28="S2","b","")),Students!$A:$A,AS$2)+countifs(Students!$H:$H,$AK28,Students!$I:$I,$AK$2&amp;if($K28="S1","a",if($K28="S2","b","")),Students!$A:$A,AS$2)+countifs(Students!$J:$J,$AK28,Students!$K:$K,$AK$2&amp;if($K28="S1","a",if($K28="S2","b","")),Students!$A:$A,AS$2)+countifs(Students!$L:$L,$AK28,Students!$M:$M,$AK$2&amp;if($K28="S1","a",if($K28="S2","b","")),Students!$A:$A,AS$2)+countifs(Students!$N:$N,$AK28,Students!$O:$O,$AK$2&amp;if($K28="S1","a",if($K28="S2","b","")),Students!$A:$A,AS$2)+countifs(Students!$P:$P,$AK28,Students!$Q:$Q,$AK$2&amp;if($K28="S1","a",if($K28="S2","b","")),Students!$A:$A,AS$2)+countifs(Students!$R:$R,$AK28,Students!$S:$S,$AK$2&amp;if($K28="S1","a",if($K28="S2","b","")),Students!$A:$A,AS$2)+countifs(Students!$T:$T,$AK28,Students!$U:$U,$AK$2&amp;if($K28="S1","a",if($K28="S2","b","")),Students!$A:$A,AS$2)+countifs(Students!$V:$V,$AK28,Students!$W:$W,$AK$2&amp;if($K28="S1","a",if($K28="S2","b","")),Students!$A:$A,AS$2))</f>
        <v>1</v>
      </c>
    </row>
    <row r="29">
      <c r="J29" s="87">
        <v>85.0</v>
      </c>
      <c r="K29" s="88"/>
      <c r="L29" s="58" t="s">
        <v>91</v>
      </c>
      <c r="M29" s="117"/>
      <c r="N29" s="87">
        <v>3.0</v>
      </c>
      <c r="O29" s="87">
        <f>IFERROR(__xludf.DUMMYFUNCTION("3*counta((transpose(filter(P29:AM29,P29:AM29&lt;&gt;"""",isnumber(P29:AM29)=false))))"),15.0)</f>
        <v>15</v>
      </c>
      <c r="P29" s="103" t="s">
        <v>92</v>
      </c>
      <c r="Q29" s="101">
        <v>1.0</v>
      </c>
      <c r="R29" s="98">
        <v>14.0</v>
      </c>
      <c r="S29" s="101"/>
      <c r="T29" s="101"/>
      <c r="U29" s="98" t="s">
        <v>22</v>
      </c>
      <c r="V29" s="101" t="s">
        <v>93</v>
      </c>
      <c r="W29" s="101">
        <v>1.0</v>
      </c>
      <c r="X29" s="92">
        <v>12.0</v>
      </c>
      <c r="Y29" s="90"/>
      <c r="Z29" s="107"/>
      <c r="AA29" s="92" t="s">
        <v>22</v>
      </c>
      <c r="AB29" s="91" t="s">
        <v>93</v>
      </c>
      <c r="AC29" s="101">
        <v>2.0</v>
      </c>
      <c r="AD29" s="98">
        <v>13.0</v>
      </c>
      <c r="AE29" s="93"/>
      <c r="AF29" s="101"/>
      <c r="AG29" s="98" t="s">
        <v>22</v>
      </c>
      <c r="AH29" s="91" t="s">
        <v>90</v>
      </c>
      <c r="AI29" s="97">
        <v>3.0</v>
      </c>
      <c r="AJ29" s="98">
        <v>22.0</v>
      </c>
      <c r="AK29" s="91" t="s">
        <v>90</v>
      </c>
      <c r="AL29" s="96">
        <v>4.0</v>
      </c>
      <c r="AM29" s="92">
        <v>24.0</v>
      </c>
      <c r="AN29" s="99"/>
      <c r="AO29" s="52">
        <f t="shared" si="2"/>
        <v>85</v>
      </c>
      <c r="AP29" s="102">
        <f>if($L29="","",countifs(Students!$D:$D,$P29,Students!$E:$E,$P$2&amp;if($K29="S1","a",if($K29="S2","b","")),Students!$A:$A,AP$2)+countifs(Students!$F:$F,$P29,Students!$G:$G,$P$2&amp;if($K29="S1","a",if($K29="S2","b","")),Students!$A:$A,AP$2)+countifs(Students!$H:$H,$P29,Students!$I:$I,$P$2&amp;if($K29="S1","a",if($K29="S2","b","")),Students!$A:$A,AP$2)+countifs(Students!$J:$J,$P29,Students!$K:$K,$P$2&amp;if($K29="S1","a",if($K29="S2","b","")),Students!$A:$A,AP$2)+countifs(Students!$L:$L,$P29,Students!$M:$M,$P$2&amp;if($K29="S1","a",if($K29="S2","b","")),Students!$A:$A,AP$2)+countifs(Students!$N:$N,$P29,Students!$O:$O,$P$2&amp;if($K29="S1","a",if($K29="S2","b","")),Students!$A:$A,AP$2)+countifs(Students!$P:$P,$P29,Students!$Q:$Q,$P$2&amp;if($K29="S1","a",if($K29="S2","b","")),Students!$A:$A,AP$2)+countifs(Students!$R:$R,$P29,Students!$S:$S,$P$2&amp;if($K29="S1","a",if($K29="S2","b","")),Students!$A:$A,AP$2)+countifs(Students!$T:$T,$P29,Students!$U:$U,$P$2&amp;if($K29="S1","a",if($K29="S2","b","")),Students!$A:$A,AP$2)+countifs(Students!$V:$V,$P29,Students!$W:$W,$P$2&amp;if($K29="S1","a",if($K29="S2","b","")),Students!$A:$A,AP$2)+
countifs(Students!$D:$D,$S29,Students!$E:$E,$S$2&amp;if($K29="S1","a",if($K29="S2","b","")),Students!$A:$A,AP$2)+countifs(Students!$F:$F,$S29,Students!$G:$G,$S$2&amp;if($K29="S1","a",if($K29="S2","b","")),Students!$A:$A,AP$2)+countifs(Students!$H:$H,$S29,Students!$I:$I,$S$2&amp;if($K29="S1","a",if($K29="S2","b","")),Students!$A:$A,AP$2)+countifs(Students!$J:$J,$S29,Students!$K:$K,$S$2&amp;if($K29="S1","a",if($K29="S2","b","")),Students!$A:$A,AP$2)+countifs(Students!$L:$L,$S29,Students!$M:$M,$S$2&amp;if($K29="S1","a",if($K29="S2","b","")),Students!$A:$A,AP$2)+countifs(Students!$N:$N,$S29,Students!$O:$O,$S$2&amp;if($K29="S1","a",if($K29="S2","b","")),Students!$A:$A,AP$2)+countifs(Students!$P:$P,$S29,Students!$Q:$Q,$S$2&amp;if($K29="S1","a",if($K29="S2","b","")),Students!$A:$A,AP$2)+countifs(Students!$R:$R,$S29,Students!$S:$S,$S$2&amp;if($K29="S1","a",if($K29="S2","b","")),Students!$A:$A,AP$2)+countifs(Students!$T:$T,$S29,Students!$U:$U,$S$2&amp;if($K29="S1","a",if($K29="S2","b","")),Students!$A:$A,AP$2)+countifs(Students!$V:$V,$S29,Students!$W:$W,$S$2&amp;if($K29="S1","a",if($K29="S2","b","")),Students!$A:$A,AP$2)+
countifs(Students!$D:$D,#REF!,Students!$E:$E,$V$2&amp;if($K29="S1","a",if($K29="S2","b","")),Students!$A:$A,AP$2)+countifs(Students!$F:$F,#REF!,Students!$G:$G,$V$2&amp;if($K29="S1","a",if($K29="S2","b","")),Students!$A:$A,AP$2)+countifs(Students!$H:$H,#REF!,Students!$I:$I,$V$2&amp;if($K29="S1","a",if($K29="S2","b","")),Students!$A:$A,AP$2)+countifs(Students!$J:$J,#REF!,Students!$K:$K,$V$2&amp;if($K29="S1","a",if($K29="S2","b","")),Students!$A:$A,AP$2)+countifs(Students!$L:$L,#REF!,Students!$M:$M,$V$2&amp;if($K29="S1","a",if($K29="S2","b","")),Students!$A:$A,AP$2)+countifs(Students!$N:$N,#REF!,Students!$O:$O,$V$2&amp;if($K29="S1","a",if($K29="S2","b","")),Students!$A:$A,AP$2)+countifs(Students!$P:$P,#REF!,Students!$Q:$Q,$V$2&amp;if($K29="S1","a",if($K29="S2","b","")),Students!$A:$A,AP$2)+countifs(Students!$R:$R,#REF!,Students!$S:$S,$V$2&amp;if($K29="S1","a",if($K29="S2","b","")),Students!$A:$A,AP$2)+countifs(Students!$T:$T,#REF!,Students!$U:$U,$V$2&amp;if($K29="S1","a",if($K29="S2","b","")),Students!$A:$A,AP$2)+countifs(Students!$V:$V,#REF!,Students!$W:$W,$V$2&amp;if($K29="S1","a",if($K29="S2","b","")),Students!$A:$A,AP$2)+
countifs(Students!$D:$D,$Y29,Students!$E:$E,$Y$2&amp;if($K29="S1","a",if($K29="S2","b","")),Students!$A:$A,AP$2)+countifs(Students!$F:$F,$Y29,Students!$G:$G,$Y$2&amp;if($K29="S1","a",if($K29="S2","b","")),Students!$A:$A,AP$2)+countifs(Students!$H:$H,$Y29,Students!$I:$I,$Y$2&amp;if($K29="S1","a",if($K29="S2","b","")),Students!$A:$A,AP$2)+countifs(Students!$J:$J,$Y29,Students!$K:$K,$Y$2&amp;if($K29="S1","a",if($K29="S2","b","")),Students!$A:$A,AP$2)+countifs(Students!$L:$L,$Y29,Students!$M:$M,$Y$2&amp;if($K29="S1","a",if($K29="S2","b","")),Students!$A:$A,AP$2)+countifs(Students!$N:$N,$Y29,Students!$O:$O,$Y$2&amp;if($K29="S1","a",if($K29="S2","b","")),Students!$A:$A,AP$2)+countifs(Students!$P:$P,$Y29,Students!$Q:$Q,$Y$2&amp;if($K29="S1","a",if($K29="S2","b","")),Students!$A:$A,AP$2)+countifs(Students!$R:$R,$Y29,Students!$S:$S,$Y$2&amp;if($K29="S1","a",if($K29="S2","b","")),Students!$A:$A,AP$2)+countifs(Students!$T:$T,$Y29,Students!$U:$U,$Y$2&amp;if($K29="S1","a",if($K29="S2","b","")),Students!$A:$A,AP$2)+countifs(Students!$V:$V,$Y29,Students!$W:$W,$Y$2&amp;if($K29="S1","a",if($K29="S2","b","")),Students!$A:$A,AP$2)+
countifs(Students!$D:$D,$V29,Students!$E:$E,$AB$2&amp;if($K29="S1","a",if($K29="S2","b","")),Students!$A:$A,AP$2)+countifs(Students!$F:$F,$V29,Students!$G:$G,$AB$2&amp;if($K29="S1","a",if($K29="S2","b","")),Students!$A:$A,AP$2)+countifs(Students!$H:$H,$V29,Students!$I:$I,$AB$2&amp;if($K29="S1","a",if($K29="S2","b","")),Students!$A:$A,AP$2)+countifs(Students!$J:$J,$V29,Students!$K:$K,$AB$2&amp;if($K29="S1","a",if($K29="S2","b","")),Students!$A:$A,AP$2)+countifs(Students!$L:$L,$V29,Students!$M:$M,$AB$2&amp;if($K29="S1","a",if($K29="S2","b","")),Students!$A:$A,AP$2)+countifs(Students!$N:$N,$V29,Students!$O:$O,$AB$2&amp;if($K29="S1","a",if($K29="S2","b","")),Students!$A:$A,AP$2)+countifs(Students!$P:$P,$V29,Students!$Q:$Q,$AB$2&amp;if($K29="S1","a",if($K29="S2","b","")),Students!$A:$A,AP$2)+countifs(Students!$R:$R,$V29,Students!$S:$S,$AB$2&amp;if($K29="S1","a",if($K29="S2","b","")),Students!$A:$A,AP$2)+countifs(Students!$T:$T,$V29,Students!$U:$U,$AB$2&amp;if($K29="S1","a",if($K29="S2","b","")),Students!$A:$A,AP$2)+countifs(Students!$V:$V,$V29,Students!$W:$W,$AB$2&amp;if($K29="S1","a",if($K29="S2","b","")),Students!$A:$A,AP$2)+
countifs(Students!$D:$D,$AE29,Students!$E:$E,$AE$2&amp;if($K29="S1","a",if($K29="S2","b","")),Students!$A:$A,AP$2)+countifs(Students!$F:$F,$AE29,Students!$G:$G,$AE$2&amp;if($K29="S1","a",if($K29="S2","b","")),Students!$A:$A,AP$2)+countifs(Students!$H:$H,$AE29,Students!$I:$I,$AE$2&amp;if($K29="S1","a",if($K29="S2","b","")),Students!$A:$A,AP$2)+countifs(Students!$J:$J,$AE29,Students!$K:$K,$AE$2&amp;if($K29="S1","a",if($K29="S2","b","")),Students!$A:$A,AP$2)+countifs(Students!$L:$L,$AE29,Students!$M:$M,$AE$2&amp;if($K29="S1","a",if($K29="S2","b","")),Students!$A:$A,AP$2)+countifs(Students!$N:$N,$AE29,Students!$O:$O,$AE$2&amp;if($K29="S1","a",if($K29="S2","b","")),Students!$A:$A,AP$2)+countifs(Students!$P:$P,$AE29,Students!$Q:$Q,$AE$2&amp;if($K29="S1","a",if($K29="S2","b","")),Students!$A:$A,AP$2)+countifs(Students!$R:$R,$AE29,Students!$S:$S,$AE$2&amp;if($K29="S1","a",if($K29="S2","b","")),Students!$A:$A,AP$2)+countifs(Students!$T:$T,$AE29,Students!$U:$U,$AE$2&amp;if($K29="S1","a",if($K29="S2","b","")),Students!$A:$A,AP$2)+countifs(Students!$V:$V,$AE29,Students!$W:$W,$AE$2&amp;if($K29="S1","a",if($K29="S2","b","")),Students!$A:$A,AP$2)+
countifs(Students!$D:$D,$AH29,Students!$E:$E,$AH$2&amp;if($K29="S1","a",if($K29="S2","b","")),Students!$A:$A,AP$2)+countifs(Students!$F:$F,$AH29,Students!$G:$G,$AH$2&amp;if($K29="S1","a",if($K29="S2","b","")),Students!$A:$A,AP$2)+countifs(Students!$H:$H,$AH29,Students!$I:$I,$AH$2&amp;if($K29="S1","a",if($K29="S2","b","")),Students!$A:$A,AP$2)+countifs(Students!$J:$J,$AH29,Students!$K:$K,$AH$2&amp;if($K29="S1","a",if($K29="S2","b","")),Students!$A:$A,AP$2)+countifs(Students!$L:$L,$AH29,Students!$M:$M,$AH$2&amp;if($K29="S1","a",if($K29="S2","b","")),Students!$A:$A,AP$2)+countifs(Students!$N:$N,$AH29,Students!$O:$O,$AH$2&amp;if($K29="S1","a",if($K29="S2","b","")),Students!$A:$A,AP$2)+countifs(Students!$P:$P,$AH29,Students!$Q:$Q,$AH$2&amp;if($K29="S1","a",if($K29="S2","b","")),Students!$A:$A,AP$2)+countifs(Students!$R:$R,$AH29,Students!$S:$S,$AH$2&amp;if($K29="S1","a",if($K29="S2","b","")),Students!$A:$A,AP$2)+countifs(Students!$T:$T,$AH29,Students!$U:$U,$AH$2&amp;if($K29="S1","a",if($K29="S2","b","")),Students!$A:$A,AP$2)+countifs(Students!$V:$V,$AH29,Students!$W:$W,$AH$2&amp;if($K29="S1","a",if($K29="S2","b","")),Students!$A:$A,AP$2)+
countifs(Students!$D:$D,$AK29,Students!$E:$E,$AK$2&amp;if($K29="S1","a",if($K29="S2","b","")),Students!$A:$A,AP$2)+countifs(Students!$F:$F,$AK29,Students!$G:$G,$AK$2&amp;if($K29="S1","a",if($K29="S2","b","")),Students!$A:$A,AP$2)+countifs(Students!$H:$H,$AK29,Students!$I:$I,$AK$2&amp;if($K29="S1","a",if($K29="S2","b","")),Students!$A:$A,AP$2)+countifs(Students!$J:$J,$AK29,Students!$K:$K,$AK$2&amp;if($K29="S1","a",if($K29="S2","b","")),Students!$A:$A,AP$2)+countifs(Students!$L:$L,$AK29,Students!$M:$M,$AK$2&amp;if($K29="S1","a",if($K29="S2","b","")),Students!$A:$A,AP$2)+countifs(Students!$N:$N,$AK29,Students!$O:$O,$AK$2&amp;if($K29="S1","a",if($K29="S2","b","")),Students!$A:$A,AP$2)+countifs(Students!$P:$P,$AK29,Students!$Q:$Q,$AK$2&amp;if($K29="S1","a",if($K29="S2","b","")),Students!$A:$A,AP$2)+countifs(Students!$R:$R,$AK29,Students!$S:$S,$AK$2&amp;if($K29="S1","a",if($K29="S2","b","")),Students!$A:$A,AP$2)+countifs(Students!$T:$T,$AK29,Students!$U:$U,$AK$2&amp;if($K29="S1","a",if($K29="S2","b","")),Students!$A:$A,AP$2)+countifs(Students!$V:$V,$AK29,Students!$W:$W,$AK$2&amp;if($K29="S1","a",if($K29="S2","b","")),Students!$A:$A,AP$2))</f>
        <v>0</v>
      </c>
      <c r="AQ29" s="102">
        <f>if($L29="","",countifs(Students!$D:$D,$P29,Students!$E:$E,$P$2&amp;if($K29="S1","a",if($K29="S2","b","")),Students!$A:$A,AQ$2)+countifs(Students!$F:$F,$P29,Students!$G:$G,$P$2&amp;if($K29="S1","a",if($K29="S2","b","")),Students!$A:$A,AQ$2)+countifs(Students!$H:$H,$P29,Students!$I:$I,$P$2&amp;if($K29="S1","a",if($K29="S2","b","")),Students!$A:$A,AQ$2)+countifs(Students!$J:$J,$P29,Students!$K:$K,$P$2&amp;if($K29="S1","a",if($K29="S2","b","")),Students!$A:$A,AQ$2)+countifs(Students!$L:$L,$P29,Students!$M:$M,$P$2&amp;if($K29="S1","a",if($K29="S2","b","")),Students!$A:$A,AQ$2)+countifs(Students!$N:$N,$P29,Students!$O:$O,$P$2&amp;if($K29="S1","a",if($K29="S2","b","")),Students!$A:$A,AQ$2)+countifs(Students!$P:$P,$P29,Students!$Q:$Q,$P$2&amp;if($K29="S1","a",if($K29="S2","b","")),Students!$A:$A,AQ$2)+countifs(Students!$R:$R,$P29,Students!$S:$S,$P$2&amp;if($K29="S1","a",if($K29="S2","b","")),Students!$A:$A,AQ$2)+countifs(Students!$T:$T,$P29,Students!$U:$U,$P$2&amp;if($K29="S1","a",if($K29="S2","b","")),Students!$A:$A,AQ$2)+countifs(Students!$V:$V,$P29,Students!$W:$W,$P$2&amp;if($K29="S1","a",if($K29="S2","b","")),Students!$A:$A,AQ$2)+
countifs(Students!$D:$D,$S29,Students!$E:$E,$S$2&amp;if($K29="S1","a",if($K29="S2","b","")),Students!$A:$A,AQ$2)+countifs(Students!$F:$F,$S29,Students!$G:$G,$S$2&amp;if($K29="S1","a",if($K29="S2","b","")),Students!$A:$A,AQ$2)+countifs(Students!$H:$H,$S29,Students!$I:$I,$S$2&amp;if($K29="S1","a",if($K29="S2","b","")),Students!$A:$A,AQ$2)+countifs(Students!$J:$J,$S29,Students!$K:$K,$S$2&amp;if($K29="S1","a",if($K29="S2","b","")),Students!$A:$A,AQ$2)+countifs(Students!$L:$L,$S29,Students!$M:$M,$S$2&amp;if($K29="S1","a",if($K29="S2","b","")),Students!$A:$A,AQ$2)+countifs(Students!$N:$N,$S29,Students!$O:$O,$S$2&amp;if($K29="S1","a",if($K29="S2","b","")),Students!$A:$A,AQ$2)+countifs(Students!$P:$P,$S29,Students!$Q:$Q,$S$2&amp;if($K29="S1","a",if($K29="S2","b","")),Students!$A:$A,AQ$2)+countifs(Students!$R:$R,$S29,Students!$S:$S,$S$2&amp;if($K29="S1","a",if($K29="S2","b","")),Students!$A:$A,AQ$2)+countifs(Students!$T:$T,$S29,Students!$U:$U,$S$2&amp;if($K29="S1","a",if($K29="S2","b","")),Students!$A:$A,AQ$2)+countifs(Students!$V:$V,$S29,Students!$W:$W,$S$2&amp;if($K29="S1","a",if($K29="S2","b","")),Students!$A:$A,AQ$2)+
countifs(Students!$D:$D,#REF!,Students!$E:$E,$V$2&amp;if($K29="S1","a",if($K29="S2","b","")),Students!$A:$A,AQ$2)+countifs(Students!$F:$F,#REF!,Students!$G:$G,$V$2&amp;if($K29="S1","a",if($K29="S2","b","")),Students!$A:$A,AQ$2)+countifs(Students!$H:$H,#REF!,Students!$I:$I,$V$2&amp;if($K29="S1","a",if($K29="S2","b","")),Students!$A:$A,AQ$2)+countifs(Students!$J:$J,#REF!,Students!$K:$K,$V$2&amp;if($K29="S1","a",if($K29="S2","b","")),Students!$A:$A,AQ$2)+countifs(Students!$L:$L,#REF!,Students!$M:$M,$V$2&amp;if($K29="S1","a",if($K29="S2","b","")),Students!$A:$A,AQ$2)+countifs(Students!$N:$N,#REF!,Students!$O:$O,$V$2&amp;if($K29="S1","a",if($K29="S2","b","")),Students!$A:$A,AQ$2)+countifs(Students!$P:$P,#REF!,Students!$Q:$Q,$V$2&amp;if($K29="S1","a",if($K29="S2","b","")),Students!$A:$A,AQ$2)+countifs(Students!$R:$R,#REF!,Students!$S:$S,$V$2&amp;if($K29="S1","a",if($K29="S2","b","")),Students!$A:$A,AQ$2)+countifs(Students!$T:$T,#REF!,Students!$U:$U,$V$2&amp;if($K29="S1","a",if($K29="S2","b","")),Students!$A:$A,AQ$2)+countifs(Students!$V:$V,#REF!,Students!$W:$W,$V$2&amp;if($K29="S1","a",if($K29="S2","b","")),Students!$A:$A,AQ$2)+
countifs(Students!$D:$D,$Y29,Students!$E:$E,$Y$2&amp;if($K29="S1","a",if($K29="S2","b","")),Students!$A:$A,AQ$2)+countifs(Students!$F:$F,$Y29,Students!$G:$G,$Y$2&amp;if($K29="S1","a",if($K29="S2","b","")),Students!$A:$A,AQ$2)+countifs(Students!$H:$H,$Y29,Students!$I:$I,$Y$2&amp;if($K29="S1","a",if($K29="S2","b","")),Students!$A:$A,AQ$2)+countifs(Students!$J:$J,$Y29,Students!$K:$K,$Y$2&amp;if($K29="S1","a",if($K29="S2","b","")),Students!$A:$A,AQ$2)+countifs(Students!$L:$L,$Y29,Students!$M:$M,$Y$2&amp;if($K29="S1","a",if($K29="S2","b","")),Students!$A:$A,AQ$2)+countifs(Students!$N:$N,$Y29,Students!$O:$O,$Y$2&amp;if($K29="S1","a",if($K29="S2","b","")),Students!$A:$A,AQ$2)+countifs(Students!$P:$P,$Y29,Students!$Q:$Q,$Y$2&amp;if($K29="S1","a",if($K29="S2","b","")),Students!$A:$A,AQ$2)+countifs(Students!$R:$R,$Y29,Students!$S:$S,$Y$2&amp;if($K29="S1","a",if($K29="S2","b","")),Students!$A:$A,AQ$2)+countifs(Students!$T:$T,$Y29,Students!$U:$U,$Y$2&amp;if($K29="S1","a",if($K29="S2","b","")),Students!$A:$A,AQ$2)+countifs(Students!$V:$V,$Y29,Students!$W:$W,$Y$2&amp;if($K29="S1","a",if($K29="S2","b","")),Students!$A:$A,AQ$2)+
countifs(Students!$D:$D,$V29,Students!$E:$E,$AB$2&amp;if($K29="S1","a",if($K29="S2","b","")),Students!$A:$A,AQ$2)+countifs(Students!$F:$F,$V29,Students!$G:$G,$AB$2&amp;if($K29="S1","a",if($K29="S2","b","")),Students!$A:$A,AQ$2)+countifs(Students!$H:$H,$V29,Students!$I:$I,$AB$2&amp;if($K29="S1","a",if($K29="S2","b","")),Students!$A:$A,AQ$2)+countifs(Students!$J:$J,$V29,Students!$K:$K,$AB$2&amp;if($K29="S1","a",if($K29="S2","b","")),Students!$A:$A,AQ$2)+countifs(Students!$L:$L,$V29,Students!$M:$M,$AB$2&amp;if($K29="S1","a",if($K29="S2","b","")),Students!$A:$A,AQ$2)+countifs(Students!$N:$N,$V29,Students!$O:$O,$AB$2&amp;if($K29="S1","a",if($K29="S2","b","")),Students!$A:$A,AQ$2)+countifs(Students!$P:$P,$V29,Students!$Q:$Q,$AB$2&amp;if($K29="S1","a",if($K29="S2","b","")),Students!$A:$A,AQ$2)+countifs(Students!$R:$R,$V29,Students!$S:$S,$AB$2&amp;if($K29="S1","a",if($K29="S2","b","")),Students!$A:$A,AQ$2)+countifs(Students!$T:$T,$V29,Students!$U:$U,$AB$2&amp;if($K29="S1","a",if($K29="S2","b","")),Students!$A:$A,AQ$2)+countifs(Students!$V:$V,$V29,Students!$W:$W,$AB$2&amp;if($K29="S1","a",if($K29="S2","b","")),Students!$A:$A,AQ$2)+
countifs(Students!$D:$D,$AE29,Students!$E:$E,$AE$2&amp;if($K29="S1","a",if($K29="S2","b","")),Students!$A:$A,AQ$2)+countifs(Students!$F:$F,$AE29,Students!$G:$G,$AE$2&amp;if($K29="S1","a",if($K29="S2","b","")),Students!$A:$A,AQ$2)+countifs(Students!$H:$H,$AE29,Students!$I:$I,$AE$2&amp;if($K29="S1","a",if($K29="S2","b","")),Students!$A:$A,AQ$2)+countifs(Students!$J:$J,$AE29,Students!$K:$K,$AE$2&amp;if($K29="S1","a",if($K29="S2","b","")),Students!$A:$A,AQ$2)+countifs(Students!$L:$L,$AE29,Students!$M:$M,$AE$2&amp;if($K29="S1","a",if($K29="S2","b","")),Students!$A:$A,AQ$2)+countifs(Students!$N:$N,$AE29,Students!$O:$O,$AE$2&amp;if($K29="S1","a",if($K29="S2","b","")),Students!$A:$A,AQ$2)+countifs(Students!$P:$P,$AE29,Students!$Q:$Q,$AE$2&amp;if($K29="S1","a",if($K29="S2","b","")),Students!$A:$A,AQ$2)+countifs(Students!$R:$R,$AE29,Students!$S:$S,$AE$2&amp;if($K29="S1","a",if($K29="S2","b","")),Students!$A:$A,AQ$2)+countifs(Students!$T:$T,$AE29,Students!$U:$U,$AE$2&amp;if($K29="S1","a",if($K29="S2","b","")),Students!$A:$A,AQ$2)+countifs(Students!$V:$V,$AE29,Students!$W:$W,$AE$2&amp;if($K29="S1","a",if($K29="S2","b","")),Students!$A:$A,AQ$2)+
countifs(Students!$D:$D,$AH29,Students!$E:$E,$AH$2&amp;if($K29="S1","a",if($K29="S2","b","")),Students!$A:$A,AQ$2)+countifs(Students!$F:$F,$AH29,Students!$G:$G,$AH$2&amp;if($K29="S1","a",if($K29="S2","b","")),Students!$A:$A,AQ$2)+countifs(Students!$H:$H,$AH29,Students!$I:$I,$AH$2&amp;if($K29="S1","a",if($K29="S2","b","")),Students!$A:$A,AQ$2)+countifs(Students!$J:$J,$AH29,Students!$K:$K,$AH$2&amp;if($K29="S1","a",if($K29="S2","b","")),Students!$A:$A,AQ$2)+countifs(Students!$L:$L,$AH29,Students!$M:$M,$AH$2&amp;if($K29="S1","a",if($K29="S2","b","")),Students!$A:$A,AQ$2)+countifs(Students!$N:$N,$AH29,Students!$O:$O,$AH$2&amp;if($K29="S1","a",if($K29="S2","b","")),Students!$A:$A,AQ$2)+countifs(Students!$P:$P,$AH29,Students!$Q:$Q,$AH$2&amp;if($K29="S1","a",if($K29="S2","b","")),Students!$A:$A,AQ$2)+countifs(Students!$R:$R,$AH29,Students!$S:$S,$AH$2&amp;if($K29="S1","a",if($K29="S2","b","")),Students!$A:$A,AQ$2)+countifs(Students!$T:$T,$AH29,Students!$U:$U,$AH$2&amp;if($K29="S1","a",if($K29="S2","b","")),Students!$A:$A,AQ$2)+countifs(Students!$V:$V,$AH29,Students!$W:$W,$AH$2&amp;if($K29="S1","a",if($K29="S2","b","")),Students!$A:$A,AQ$2)+
countifs(Students!$D:$D,$AK29,Students!$E:$E,$AK$2&amp;if($K29="S1","a",if($K29="S2","b","")),Students!$A:$A,AQ$2)+countifs(Students!$F:$F,$AK29,Students!$G:$G,$AK$2&amp;if($K29="S1","a",if($K29="S2","b","")),Students!$A:$A,AQ$2)+countifs(Students!$H:$H,$AK29,Students!$I:$I,$AK$2&amp;if($K29="S1","a",if($K29="S2","b","")),Students!$A:$A,AQ$2)+countifs(Students!$J:$J,$AK29,Students!$K:$K,$AK$2&amp;if($K29="S1","a",if($K29="S2","b","")),Students!$A:$A,AQ$2)+countifs(Students!$L:$L,$AK29,Students!$M:$M,$AK$2&amp;if($K29="S1","a",if($K29="S2","b","")),Students!$A:$A,AQ$2)+countifs(Students!$N:$N,$AK29,Students!$O:$O,$AK$2&amp;if($K29="S1","a",if($K29="S2","b","")),Students!$A:$A,AQ$2)+countifs(Students!$P:$P,$AK29,Students!$Q:$Q,$AK$2&amp;if($K29="S1","a",if($K29="S2","b","")),Students!$A:$A,AQ$2)+countifs(Students!$R:$R,$AK29,Students!$S:$S,$AK$2&amp;if($K29="S1","a",if($K29="S2","b","")),Students!$A:$A,AQ$2)+countifs(Students!$T:$T,$AK29,Students!$U:$U,$AK$2&amp;if($K29="S1","a",if($K29="S2","b","")),Students!$A:$A,AQ$2)+countifs(Students!$V:$V,$AK29,Students!$W:$W,$AK$2&amp;if($K29="S1","a",if($K29="S2","b","")),Students!$A:$A,AQ$2))</f>
        <v>0</v>
      </c>
      <c r="AR29" s="102">
        <f>if($L29="","",countifs(Students!$D:$D,$P29,Students!$E:$E,$P$2&amp;if($K29="S1","a",if($K29="S2","b","")),Students!$A:$A,AR$2)+countifs(Students!$F:$F,$P29,Students!$G:$G,$P$2&amp;if($K29="S1","a",if($K29="S2","b","")),Students!$A:$A,AR$2)+countifs(Students!$H:$H,$P29,Students!$I:$I,$P$2&amp;if($K29="S1","a",if($K29="S2","b","")),Students!$A:$A,AR$2)+countifs(Students!$J:$J,$P29,Students!$K:$K,$P$2&amp;if($K29="S1","a",if($K29="S2","b","")),Students!$A:$A,AR$2)+countifs(Students!$L:$L,$P29,Students!$M:$M,$P$2&amp;if($K29="S1","a",if($K29="S2","b","")),Students!$A:$A,AR$2)+countifs(Students!$N:$N,$P29,Students!$O:$O,$P$2&amp;if($K29="S1","a",if($K29="S2","b","")),Students!$A:$A,AR$2)+countifs(Students!$P:$P,$P29,Students!$Q:$Q,$P$2&amp;if($K29="S1","a",if($K29="S2","b","")),Students!$A:$A,AR$2)+countifs(Students!$R:$R,$P29,Students!$S:$S,$P$2&amp;if($K29="S1","a",if($K29="S2","b","")),Students!$A:$A,AR$2)+countifs(Students!$T:$T,$P29,Students!$U:$U,$P$2&amp;if($K29="S1","a",if($K29="S2","b","")),Students!$A:$A,AR$2)+countifs(Students!$V:$V,$P29,Students!$W:$W,$P$2&amp;if($K29="S1","a",if($K29="S2","b","")),Students!$A:$A,AR$2)+
countifs(Students!$D:$D,$S29,Students!$E:$E,$S$2&amp;if($K29="S1","a",if($K29="S2","b","")),Students!$A:$A,AR$2)+countifs(Students!$F:$F,$S29,Students!$G:$G,$S$2&amp;if($K29="S1","a",if($K29="S2","b","")),Students!$A:$A,AR$2)+countifs(Students!$H:$H,$S29,Students!$I:$I,$S$2&amp;if($K29="S1","a",if($K29="S2","b","")),Students!$A:$A,AR$2)+countifs(Students!$J:$J,$S29,Students!$K:$K,$S$2&amp;if($K29="S1","a",if($K29="S2","b","")),Students!$A:$A,AR$2)+countifs(Students!$L:$L,$S29,Students!$M:$M,$S$2&amp;if($K29="S1","a",if($K29="S2","b","")),Students!$A:$A,AR$2)+countifs(Students!$N:$N,$S29,Students!$O:$O,$S$2&amp;if($K29="S1","a",if($K29="S2","b","")),Students!$A:$A,AR$2)+countifs(Students!$P:$P,$S29,Students!$Q:$Q,$S$2&amp;if($K29="S1","a",if($K29="S2","b","")),Students!$A:$A,AR$2)+countifs(Students!$R:$R,$S29,Students!$S:$S,$S$2&amp;if($K29="S1","a",if($K29="S2","b","")),Students!$A:$A,AR$2)+countifs(Students!$T:$T,$S29,Students!$U:$U,$S$2&amp;if($K29="S1","a",if($K29="S2","b","")),Students!$A:$A,AR$2)+countifs(Students!$V:$V,$S29,Students!$W:$W,$S$2&amp;if($K29="S1","a",if($K29="S2","b","")),Students!$A:$A,AR$2)+
countifs(Students!$D:$D,#REF!,Students!$E:$E,$V$2&amp;if($K29="S1","a",if($K29="S2","b","")),Students!$A:$A,AR$2)+countifs(Students!$F:$F,#REF!,Students!$G:$G,$V$2&amp;if($K29="S1","a",if($K29="S2","b","")),Students!$A:$A,AR$2)+countifs(Students!$H:$H,#REF!,Students!$I:$I,$V$2&amp;if($K29="S1","a",if($K29="S2","b","")),Students!$A:$A,AR$2)+countifs(Students!$J:$J,#REF!,Students!$K:$K,$V$2&amp;if($K29="S1","a",if($K29="S2","b","")),Students!$A:$A,AR$2)+countifs(Students!$L:$L,#REF!,Students!$M:$M,$V$2&amp;if($K29="S1","a",if($K29="S2","b","")),Students!$A:$A,AR$2)+countifs(Students!$N:$N,#REF!,Students!$O:$O,$V$2&amp;if($K29="S1","a",if($K29="S2","b","")),Students!$A:$A,AR$2)+countifs(Students!$P:$P,#REF!,Students!$Q:$Q,$V$2&amp;if($K29="S1","a",if($K29="S2","b","")),Students!$A:$A,AR$2)+countifs(Students!$R:$R,#REF!,Students!$S:$S,$V$2&amp;if($K29="S1","a",if($K29="S2","b","")),Students!$A:$A,AR$2)+countifs(Students!$T:$T,#REF!,Students!$U:$U,$V$2&amp;if($K29="S1","a",if($K29="S2","b","")),Students!$A:$A,AR$2)+countifs(Students!$V:$V,#REF!,Students!$W:$W,$V$2&amp;if($K29="S1","a",if($K29="S2","b","")),Students!$A:$A,AR$2)+
countifs(Students!$D:$D,$Y29,Students!$E:$E,$Y$2&amp;if($K29="S1","a",if($K29="S2","b","")),Students!$A:$A,AR$2)+countifs(Students!$F:$F,$Y29,Students!$G:$G,$Y$2&amp;if($K29="S1","a",if($K29="S2","b","")),Students!$A:$A,AR$2)+countifs(Students!$H:$H,$Y29,Students!$I:$I,$Y$2&amp;if($K29="S1","a",if($K29="S2","b","")),Students!$A:$A,AR$2)+countifs(Students!$J:$J,$Y29,Students!$K:$K,$Y$2&amp;if($K29="S1","a",if($K29="S2","b","")),Students!$A:$A,AR$2)+countifs(Students!$L:$L,$Y29,Students!$M:$M,$Y$2&amp;if($K29="S1","a",if($K29="S2","b","")),Students!$A:$A,AR$2)+countifs(Students!$N:$N,$Y29,Students!$O:$O,$Y$2&amp;if($K29="S1","a",if($K29="S2","b","")),Students!$A:$A,AR$2)+countifs(Students!$P:$P,$Y29,Students!$Q:$Q,$Y$2&amp;if($K29="S1","a",if($K29="S2","b","")),Students!$A:$A,AR$2)+countifs(Students!$R:$R,$Y29,Students!$S:$S,$Y$2&amp;if($K29="S1","a",if($K29="S2","b","")),Students!$A:$A,AR$2)+countifs(Students!$T:$T,$Y29,Students!$U:$U,$Y$2&amp;if($K29="S1","a",if($K29="S2","b","")),Students!$A:$A,AR$2)+countifs(Students!$V:$V,$Y29,Students!$W:$W,$Y$2&amp;if($K29="S1","a",if($K29="S2","b","")),Students!$A:$A,AR$2)+
countifs(Students!$D:$D,$V29,Students!$E:$E,$AB$2&amp;if($K29="S1","a",if($K29="S2","b","")),Students!$A:$A,AR$2)+countifs(Students!$F:$F,$V29,Students!$G:$G,$AB$2&amp;if($K29="S1","a",if($K29="S2","b","")),Students!$A:$A,AR$2)+countifs(Students!$H:$H,$V29,Students!$I:$I,$AB$2&amp;if($K29="S1","a",if($K29="S2","b","")),Students!$A:$A,AR$2)+countifs(Students!$J:$J,$V29,Students!$K:$K,$AB$2&amp;if($K29="S1","a",if($K29="S2","b","")),Students!$A:$A,AR$2)+countifs(Students!$L:$L,$V29,Students!$M:$M,$AB$2&amp;if($K29="S1","a",if($K29="S2","b","")),Students!$A:$A,AR$2)+countifs(Students!$N:$N,$V29,Students!$O:$O,$AB$2&amp;if($K29="S1","a",if($K29="S2","b","")),Students!$A:$A,AR$2)+countifs(Students!$P:$P,$V29,Students!$Q:$Q,$AB$2&amp;if($K29="S1","a",if($K29="S2","b","")),Students!$A:$A,AR$2)+countifs(Students!$R:$R,$V29,Students!$S:$S,$AB$2&amp;if($K29="S1","a",if($K29="S2","b","")),Students!$A:$A,AR$2)+countifs(Students!$T:$T,$V29,Students!$U:$U,$AB$2&amp;if($K29="S1","a",if($K29="S2","b","")),Students!$A:$A,AR$2)+countifs(Students!$V:$V,$V29,Students!$W:$W,$AB$2&amp;if($K29="S1","a",if($K29="S2","b","")),Students!$A:$A,AR$2)+
countifs(Students!$D:$D,$AE29,Students!$E:$E,$AE$2&amp;if($K29="S1","a",if($K29="S2","b","")),Students!$A:$A,AR$2)+countifs(Students!$F:$F,$AE29,Students!$G:$G,$AE$2&amp;if($K29="S1","a",if($K29="S2","b","")),Students!$A:$A,AR$2)+countifs(Students!$H:$H,$AE29,Students!$I:$I,$AE$2&amp;if($K29="S1","a",if($K29="S2","b","")),Students!$A:$A,AR$2)+countifs(Students!$J:$J,$AE29,Students!$K:$K,$AE$2&amp;if($K29="S1","a",if($K29="S2","b","")),Students!$A:$A,AR$2)+countifs(Students!$L:$L,$AE29,Students!$M:$M,$AE$2&amp;if($K29="S1","a",if($K29="S2","b","")),Students!$A:$A,AR$2)+countifs(Students!$N:$N,$AE29,Students!$O:$O,$AE$2&amp;if($K29="S1","a",if($K29="S2","b","")),Students!$A:$A,AR$2)+countifs(Students!$P:$P,$AE29,Students!$Q:$Q,$AE$2&amp;if($K29="S1","a",if($K29="S2","b","")),Students!$A:$A,AR$2)+countifs(Students!$R:$R,$AE29,Students!$S:$S,$AE$2&amp;if($K29="S1","a",if($K29="S2","b","")),Students!$A:$A,AR$2)+countifs(Students!$T:$T,$AE29,Students!$U:$U,$AE$2&amp;if($K29="S1","a",if($K29="S2","b","")),Students!$A:$A,AR$2)+countifs(Students!$V:$V,$AE29,Students!$W:$W,$AE$2&amp;if($K29="S1","a",if($K29="S2","b","")),Students!$A:$A,AR$2)+
countifs(Students!$D:$D,$AH29,Students!$E:$E,$AH$2&amp;if($K29="S1","a",if($K29="S2","b","")),Students!$A:$A,AR$2)+countifs(Students!$F:$F,$AH29,Students!$G:$G,$AH$2&amp;if($K29="S1","a",if($K29="S2","b","")),Students!$A:$A,AR$2)+countifs(Students!$H:$H,$AH29,Students!$I:$I,$AH$2&amp;if($K29="S1","a",if($K29="S2","b","")),Students!$A:$A,AR$2)+countifs(Students!$J:$J,$AH29,Students!$K:$K,$AH$2&amp;if($K29="S1","a",if($K29="S2","b","")),Students!$A:$A,AR$2)+countifs(Students!$L:$L,$AH29,Students!$M:$M,$AH$2&amp;if($K29="S1","a",if($K29="S2","b","")),Students!$A:$A,AR$2)+countifs(Students!$N:$N,$AH29,Students!$O:$O,$AH$2&amp;if($K29="S1","a",if($K29="S2","b","")),Students!$A:$A,AR$2)+countifs(Students!$P:$P,$AH29,Students!$Q:$Q,$AH$2&amp;if($K29="S1","a",if($K29="S2","b","")),Students!$A:$A,AR$2)+countifs(Students!$R:$R,$AH29,Students!$S:$S,$AH$2&amp;if($K29="S1","a",if($K29="S2","b","")),Students!$A:$A,AR$2)+countifs(Students!$T:$T,$AH29,Students!$U:$U,$AH$2&amp;if($K29="S1","a",if($K29="S2","b","")),Students!$A:$A,AR$2)+countifs(Students!$V:$V,$AH29,Students!$W:$W,$AH$2&amp;if($K29="S1","a",if($K29="S2","b","")),Students!$A:$A,AR$2)+
countifs(Students!$D:$D,$AK29,Students!$E:$E,$AK$2&amp;if($K29="S1","a",if($K29="S2","b","")),Students!$A:$A,AR$2)+countifs(Students!$F:$F,$AK29,Students!$G:$G,$AK$2&amp;if($K29="S1","a",if($K29="S2","b","")),Students!$A:$A,AR$2)+countifs(Students!$H:$H,$AK29,Students!$I:$I,$AK$2&amp;if($K29="S1","a",if($K29="S2","b","")),Students!$A:$A,AR$2)+countifs(Students!$J:$J,$AK29,Students!$K:$K,$AK$2&amp;if($K29="S1","a",if($K29="S2","b","")),Students!$A:$A,AR$2)+countifs(Students!$L:$L,$AK29,Students!$M:$M,$AK$2&amp;if($K29="S1","a",if($K29="S2","b","")),Students!$A:$A,AR$2)+countifs(Students!$N:$N,$AK29,Students!$O:$O,$AK$2&amp;if($K29="S1","a",if($K29="S2","b","")),Students!$A:$A,AR$2)+countifs(Students!$P:$P,$AK29,Students!$Q:$Q,$AK$2&amp;if($K29="S1","a",if($K29="S2","b","")),Students!$A:$A,AR$2)+countifs(Students!$R:$R,$AK29,Students!$S:$S,$AK$2&amp;if($K29="S1","a",if($K29="S2","b","")),Students!$A:$A,AR$2)+countifs(Students!$T:$T,$AK29,Students!$U:$U,$AK$2&amp;if($K29="S1","a",if($K29="S2","b","")),Students!$A:$A,AR$2)+countifs(Students!$V:$V,$AK29,Students!$W:$W,$AK$2&amp;if($K29="S1","a",if($K29="S2","b","")),Students!$A:$A,AR$2))</f>
        <v>58</v>
      </c>
      <c r="AS29" s="102">
        <f>if($L29="","",countifs(Students!$D:$D,$P29,Students!$E:$E,$P$2&amp;if($K29="S1","a",if($K29="S2","b","")),Students!$A:$A,AS$2)+countifs(Students!$F:$F,$P29,Students!$G:$G,$P$2&amp;if($K29="S1","a",if($K29="S2","b","")),Students!$A:$A,AS$2)+countifs(Students!$H:$H,$P29,Students!$I:$I,$P$2&amp;if($K29="S1","a",if($K29="S2","b","")),Students!$A:$A,AS$2)+countifs(Students!$J:$J,$P29,Students!$K:$K,$P$2&amp;if($K29="S1","a",if($K29="S2","b","")),Students!$A:$A,AS$2)+countifs(Students!$L:$L,$P29,Students!$M:$M,$P$2&amp;if($K29="S1","a",if($K29="S2","b","")),Students!$A:$A,AS$2)+countifs(Students!$N:$N,$P29,Students!$O:$O,$P$2&amp;if($K29="S1","a",if($K29="S2","b","")),Students!$A:$A,AS$2)+countifs(Students!$P:$P,$P29,Students!$Q:$Q,$P$2&amp;if($K29="S1","a",if($K29="S2","b","")),Students!$A:$A,AS$2)+countifs(Students!$R:$R,$P29,Students!$S:$S,$P$2&amp;if($K29="S1","a",if($K29="S2","b","")),Students!$A:$A,AS$2)+countifs(Students!$T:$T,$P29,Students!$U:$U,$P$2&amp;if($K29="S1","a",if($K29="S2","b","")),Students!$A:$A,AS$2)+countifs(Students!$V:$V,$P29,Students!$W:$W,$P$2&amp;if($K29="S1","a",if($K29="S2","b","")),Students!$A:$A,AS$2)+
countifs(Students!$D:$D,$S29,Students!$E:$E,$S$2&amp;if($K29="S1","a",if($K29="S2","b","")),Students!$A:$A,AS$2)+countifs(Students!$F:$F,$S29,Students!$G:$G,$S$2&amp;if($K29="S1","a",if($K29="S2","b","")),Students!$A:$A,AS$2)+countifs(Students!$H:$H,$S29,Students!$I:$I,$S$2&amp;if($K29="S1","a",if($K29="S2","b","")),Students!$A:$A,AS$2)+countifs(Students!$J:$J,$S29,Students!$K:$K,$S$2&amp;if($K29="S1","a",if($K29="S2","b","")),Students!$A:$A,AS$2)+countifs(Students!$L:$L,$S29,Students!$M:$M,$S$2&amp;if($K29="S1","a",if($K29="S2","b","")),Students!$A:$A,AS$2)+countifs(Students!$N:$N,$S29,Students!$O:$O,$S$2&amp;if($K29="S1","a",if($K29="S2","b","")),Students!$A:$A,AS$2)+countifs(Students!$P:$P,$S29,Students!$Q:$Q,$S$2&amp;if($K29="S1","a",if($K29="S2","b","")),Students!$A:$A,AS$2)+countifs(Students!$R:$R,$S29,Students!$S:$S,$S$2&amp;if($K29="S1","a",if($K29="S2","b","")),Students!$A:$A,AS$2)+countifs(Students!$T:$T,$S29,Students!$U:$U,$S$2&amp;if($K29="S1","a",if($K29="S2","b","")),Students!$A:$A,AS$2)+countifs(Students!$V:$V,$S29,Students!$W:$W,$S$2&amp;if($K29="S1","a",if($K29="S2","b","")),Students!$A:$A,AS$2)+
countifs(Students!$D:$D,#REF!,Students!$E:$E,$V$2&amp;if($K29="S1","a",if($K29="S2","b","")),Students!$A:$A,AS$2)+countifs(Students!$F:$F,#REF!,Students!$G:$G,$V$2&amp;if($K29="S1","a",if($K29="S2","b","")),Students!$A:$A,AS$2)+countifs(Students!$H:$H,#REF!,Students!$I:$I,$V$2&amp;if($K29="S1","a",if($K29="S2","b","")),Students!$A:$A,AS$2)+countifs(Students!$J:$J,#REF!,Students!$K:$K,$V$2&amp;if($K29="S1","a",if($K29="S2","b","")),Students!$A:$A,AS$2)+countifs(Students!$L:$L,#REF!,Students!$M:$M,$V$2&amp;if($K29="S1","a",if($K29="S2","b","")),Students!$A:$A,AS$2)+countifs(Students!$N:$N,#REF!,Students!$O:$O,$V$2&amp;if($K29="S1","a",if($K29="S2","b","")),Students!$A:$A,AS$2)+countifs(Students!$P:$P,#REF!,Students!$Q:$Q,$V$2&amp;if($K29="S1","a",if($K29="S2","b","")),Students!$A:$A,AS$2)+countifs(Students!$R:$R,#REF!,Students!$S:$S,$V$2&amp;if($K29="S1","a",if($K29="S2","b","")),Students!$A:$A,AS$2)+countifs(Students!$T:$T,#REF!,Students!$U:$U,$V$2&amp;if($K29="S1","a",if($K29="S2","b","")),Students!$A:$A,AS$2)+countifs(Students!$V:$V,#REF!,Students!$W:$W,$V$2&amp;if($K29="S1","a",if($K29="S2","b","")),Students!$A:$A,AS$2)+
countifs(Students!$D:$D,$Y29,Students!$E:$E,$Y$2&amp;if($K29="S1","a",if($K29="S2","b","")),Students!$A:$A,AS$2)+countifs(Students!$F:$F,$Y29,Students!$G:$G,$Y$2&amp;if($K29="S1","a",if($K29="S2","b","")),Students!$A:$A,AS$2)+countifs(Students!$H:$H,$Y29,Students!$I:$I,$Y$2&amp;if($K29="S1","a",if($K29="S2","b","")),Students!$A:$A,AS$2)+countifs(Students!$J:$J,$Y29,Students!$K:$K,$Y$2&amp;if($K29="S1","a",if($K29="S2","b","")),Students!$A:$A,AS$2)+countifs(Students!$L:$L,$Y29,Students!$M:$M,$Y$2&amp;if($K29="S1","a",if($K29="S2","b","")),Students!$A:$A,AS$2)+countifs(Students!$N:$N,$Y29,Students!$O:$O,$Y$2&amp;if($K29="S1","a",if($K29="S2","b","")),Students!$A:$A,AS$2)+countifs(Students!$P:$P,$Y29,Students!$Q:$Q,$Y$2&amp;if($K29="S1","a",if($K29="S2","b","")),Students!$A:$A,AS$2)+countifs(Students!$R:$R,$Y29,Students!$S:$S,$Y$2&amp;if($K29="S1","a",if($K29="S2","b","")),Students!$A:$A,AS$2)+countifs(Students!$T:$T,$Y29,Students!$U:$U,$Y$2&amp;if($K29="S1","a",if($K29="S2","b","")),Students!$A:$A,AS$2)+countifs(Students!$V:$V,$Y29,Students!$W:$W,$Y$2&amp;if($K29="S1","a",if($K29="S2","b","")),Students!$A:$A,AS$2)+
countifs(Students!$D:$D,$V29,Students!$E:$E,$AB$2&amp;if($K29="S1","a",if($K29="S2","b","")),Students!$A:$A,AS$2)+countifs(Students!$F:$F,$V29,Students!$G:$G,$AB$2&amp;if($K29="S1","a",if($K29="S2","b","")),Students!$A:$A,AS$2)+countifs(Students!$H:$H,$V29,Students!$I:$I,$AB$2&amp;if($K29="S1","a",if($K29="S2","b","")),Students!$A:$A,AS$2)+countifs(Students!$J:$J,$V29,Students!$K:$K,$AB$2&amp;if($K29="S1","a",if($K29="S2","b","")),Students!$A:$A,AS$2)+countifs(Students!$L:$L,$V29,Students!$M:$M,$AB$2&amp;if($K29="S1","a",if($K29="S2","b","")),Students!$A:$A,AS$2)+countifs(Students!$N:$N,$V29,Students!$O:$O,$AB$2&amp;if($K29="S1","a",if($K29="S2","b","")),Students!$A:$A,AS$2)+countifs(Students!$P:$P,$V29,Students!$Q:$Q,$AB$2&amp;if($K29="S1","a",if($K29="S2","b","")),Students!$A:$A,AS$2)+countifs(Students!$R:$R,$V29,Students!$S:$S,$AB$2&amp;if($K29="S1","a",if($K29="S2","b","")),Students!$A:$A,AS$2)+countifs(Students!$T:$T,$V29,Students!$U:$U,$AB$2&amp;if($K29="S1","a",if($K29="S2","b","")),Students!$A:$A,AS$2)+countifs(Students!$V:$V,$V29,Students!$W:$W,$AB$2&amp;if($K29="S1","a",if($K29="S2","b","")),Students!$A:$A,AS$2)+
countifs(Students!$D:$D,$AE29,Students!$E:$E,$AE$2&amp;if($K29="S1","a",if($K29="S2","b","")),Students!$A:$A,AS$2)+countifs(Students!$F:$F,$AE29,Students!$G:$G,$AE$2&amp;if($K29="S1","a",if($K29="S2","b","")),Students!$A:$A,AS$2)+countifs(Students!$H:$H,$AE29,Students!$I:$I,$AE$2&amp;if($K29="S1","a",if($K29="S2","b","")),Students!$A:$A,AS$2)+countifs(Students!$J:$J,$AE29,Students!$K:$K,$AE$2&amp;if($K29="S1","a",if($K29="S2","b","")),Students!$A:$A,AS$2)+countifs(Students!$L:$L,$AE29,Students!$M:$M,$AE$2&amp;if($K29="S1","a",if($K29="S2","b","")),Students!$A:$A,AS$2)+countifs(Students!$N:$N,$AE29,Students!$O:$O,$AE$2&amp;if($K29="S1","a",if($K29="S2","b","")),Students!$A:$A,AS$2)+countifs(Students!$P:$P,$AE29,Students!$Q:$Q,$AE$2&amp;if($K29="S1","a",if($K29="S2","b","")),Students!$A:$A,AS$2)+countifs(Students!$R:$R,$AE29,Students!$S:$S,$AE$2&amp;if($K29="S1","a",if($K29="S2","b","")),Students!$A:$A,AS$2)+countifs(Students!$T:$T,$AE29,Students!$U:$U,$AE$2&amp;if($K29="S1","a",if($K29="S2","b","")),Students!$A:$A,AS$2)+countifs(Students!$V:$V,$AE29,Students!$W:$W,$AE$2&amp;if($K29="S1","a",if($K29="S2","b","")),Students!$A:$A,AS$2)+
countifs(Students!$D:$D,$AH29,Students!$E:$E,$AH$2&amp;if($K29="S1","a",if($K29="S2","b","")),Students!$A:$A,AS$2)+countifs(Students!$F:$F,$AH29,Students!$G:$G,$AH$2&amp;if($K29="S1","a",if($K29="S2","b","")),Students!$A:$A,AS$2)+countifs(Students!$H:$H,$AH29,Students!$I:$I,$AH$2&amp;if($K29="S1","a",if($K29="S2","b","")),Students!$A:$A,AS$2)+countifs(Students!$J:$J,$AH29,Students!$K:$K,$AH$2&amp;if($K29="S1","a",if($K29="S2","b","")),Students!$A:$A,AS$2)+countifs(Students!$L:$L,$AH29,Students!$M:$M,$AH$2&amp;if($K29="S1","a",if($K29="S2","b","")),Students!$A:$A,AS$2)+countifs(Students!$N:$N,$AH29,Students!$O:$O,$AH$2&amp;if($K29="S1","a",if($K29="S2","b","")),Students!$A:$A,AS$2)+countifs(Students!$P:$P,$AH29,Students!$Q:$Q,$AH$2&amp;if($K29="S1","a",if($K29="S2","b","")),Students!$A:$A,AS$2)+countifs(Students!$R:$R,$AH29,Students!$S:$S,$AH$2&amp;if($K29="S1","a",if($K29="S2","b","")),Students!$A:$A,AS$2)+countifs(Students!$T:$T,$AH29,Students!$U:$U,$AH$2&amp;if($K29="S1","a",if($K29="S2","b","")),Students!$A:$A,AS$2)+countifs(Students!$V:$V,$AH29,Students!$W:$W,$AH$2&amp;if($K29="S1","a",if($K29="S2","b","")),Students!$A:$A,AS$2)+
countifs(Students!$D:$D,$AK29,Students!$E:$E,$AK$2&amp;if($K29="S1","a",if($K29="S2","b","")),Students!$A:$A,AS$2)+countifs(Students!$F:$F,$AK29,Students!$G:$G,$AK$2&amp;if($K29="S1","a",if($K29="S2","b","")),Students!$A:$A,AS$2)+countifs(Students!$H:$H,$AK29,Students!$I:$I,$AK$2&amp;if($K29="S1","a",if($K29="S2","b","")),Students!$A:$A,AS$2)+countifs(Students!$J:$J,$AK29,Students!$K:$K,$AK$2&amp;if($K29="S1","a",if($K29="S2","b","")),Students!$A:$A,AS$2)+countifs(Students!$L:$L,$AK29,Students!$M:$M,$AK$2&amp;if($K29="S1","a",if($K29="S2","b","")),Students!$A:$A,AS$2)+countifs(Students!$N:$N,$AK29,Students!$O:$O,$AK$2&amp;if($K29="S1","a",if($K29="S2","b","")),Students!$A:$A,AS$2)+countifs(Students!$P:$P,$AK29,Students!$Q:$Q,$AK$2&amp;if($K29="S1","a",if($K29="S2","b","")),Students!$A:$A,AS$2)+countifs(Students!$R:$R,$AK29,Students!$S:$S,$AK$2&amp;if($K29="S1","a",if($K29="S2","b","")),Students!$A:$A,AS$2)+countifs(Students!$T:$T,$AK29,Students!$U:$U,$AK$2&amp;if($K29="S1","a",if($K29="S2","b","")),Students!$A:$A,AS$2)+countifs(Students!$V:$V,$AK29,Students!$W:$W,$AK$2&amp;if($K29="S1","a",if($K29="S2","b","")),Students!$A:$A,AS$2))</f>
        <v>15</v>
      </c>
    </row>
    <row r="30">
      <c r="J30" s="87">
        <v>101.0</v>
      </c>
      <c r="K30" s="88"/>
      <c r="L30" s="58" t="s">
        <v>94</v>
      </c>
      <c r="M30" s="117"/>
      <c r="N30" s="87">
        <v>3.0</v>
      </c>
      <c r="O30" s="87"/>
      <c r="P30" s="90" t="s">
        <v>90</v>
      </c>
      <c r="Q30" s="101">
        <v>5.0</v>
      </c>
      <c r="R30" s="98">
        <v>23.0</v>
      </c>
      <c r="S30" s="108"/>
      <c r="T30" s="101"/>
      <c r="U30" s="98" t="s">
        <v>22</v>
      </c>
      <c r="V30" s="101" t="s">
        <v>95</v>
      </c>
      <c r="W30" s="101">
        <v>1.0</v>
      </c>
      <c r="X30" s="92">
        <v>17.0</v>
      </c>
      <c r="Y30" s="123"/>
      <c r="Z30" s="118"/>
      <c r="AA30" s="95" t="s">
        <v>22</v>
      </c>
      <c r="AB30" s="108" t="s">
        <v>96</v>
      </c>
      <c r="AC30" s="101">
        <v>1.0</v>
      </c>
      <c r="AD30" s="98">
        <v>15.0</v>
      </c>
      <c r="AE30" s="93"/>
      <c r="AF30" s="101"/>
      <c r="AG30" s="98" t="s">
        <v>22</v>
      </c>
      <c r="AH30" s="101" t="s">
        <v>95</v>
      </c>
      <c r="AI30" s="97">
        <v>2.0</v>
      </c>
      <c r="AJ30" s="98">
        <v>23.0</v>
      </c>
      <c r="AK30" s="91" t="s">
        <v>95</v>
      </c>
      <c r="AL30" s="96">
        <v>3.0</v>
      </c>
      <c r="AM30" s="92">
        <v>23.0</v>
      </c>
      <c r="AN30" s="99"/>
      <c r="AO30" s="52">
        <f t="shared" si="2"/>
        <v>101</v>
      </c>
      <c r="AP30" s="102">
        <f>if($L30="","",countifs(Students!$D:$D,$P30,Students!$E:$E,$P$2&amp;if($K30="S1","a",if($K30="S2","b","")),Students!$A:$A,AP$2)+countifs(Students!$F:$F,$P30,Students!$G:$G,$P$2&amp;if($K30="S1","a",if($K30="S2","b","")),Students!$A:$A,AP$2)+countifs(Students!$H:$H,$P30,Students!$I:$I,$P$2&amp;if($K30="S1","a",if($K30="S2","b","")),Students!$A:$A,AP$2)+countifs(Students!$J:$J,$P30,Students!$K:$K,$P$2&amp;if($K30="S1","a",if($K30="S2","b","")),Students!$A:$A,AP$2)+countifs(Students!$L:$L,$P30,Students!$M:$M,$P$2&amp;if($K30="S1","a",if($K30="S2","b","")),Students!$A:$A,AP$2)+countifs(Students!$N:$N,$P30,Students!$O:$O,$P$2&amp;if($K30="S1","a",if($K30="S2","b","")),Students!$A:$A,AP$2)+countifs(Students!$P:$P,$P30,Students!$Q:$Q,$P$2&amp;if($K30="S1","a",if($K30="S2","b","")),Students!$A:$A,AP$2)+countifs(Students!$R:$R,$P30,Students!$S:$S,$P$2&amp;if($K30="S1","a",if($K30="S2","b","")),Students!$A:$A,AP$2)+countifs(Students!$T:$T,$P30,Students!$U:$U,$P$2&amp;if($K30="S1","a",if($K30="S2","b","")),Students!$A:$A,AP$2)+countifs(Students!$V:$V,$P30,Students!$W:$W,$P$2&amp;if($K30="S1","a",if($K30="S2","b","")),Students!$A:$A,AP$2)+
countifs(Students!$D:$D,$S30,Students!$E:$E,$S$2&amp;if($K30="S1","a",if($K30="S2","b","")),Students!$A:$A,AP$2)+countifs(Students!$F:$F,$S30,Students!$G:$G,$S$2&amp;if($K30="S1","a",if($K30="S2","b","")),Students!$A:$A,AP$2)+countifs(Students!$H:$H,$S30,Students!$I:$I,$S$2&amp;if($K30="S1","a",if($K30="S2","b","")),Students!$A:$A,AP$2)+countifs(Students!$J:$J,$S30,Students!$K:$K,$S$2&amp;if($K30="S1","a",if($K30="S2","b","")),Students!$A:$A,AP$2)+countifs(Students!$L:$L,$S30,Students!$M:$M,$S$2&amp;if($K30="S1","a",if($K30="S2","b","")),Students!$A:$A,AP$2)+countifs(Students!$N:$N,$S30,Students!$O:$O,$S$2&amp;if($K30="S1","a",if($K30="S2","b","")),Students!$A:$A,AP$2)+countifs(Students!$P:$P,$S30,Students!$Q:$Q,$S$2&amp;if($K30="S1","a",if($K30="S2","b","")),Students!$A:$A,AP$2)+countifs(Students!$R:$R,$S30,Students!$S:$S,$S$2&amp;if($K30="S1","a",if($K30="S2","b","")),Students!$A:$A,AP$2)+countifs(Students!$T:$T,$S30,Students!$U:$U,$S$2&amp;if($K30="S1","a",if($K30="S2","b","")),Students!$A:$A,AP$2)+countifs(Students!$V:$V,$S30,Students!$W:$W,$S$2&amp;if($K30="S1","a",if($K30="S2","b","")),Students!$A:$A,AP$2)+
countifs(Students!$D:$D,$V30,Students!$E:$E,$V$2&amp;if($K30="S1","a",if($K30="S2","b","")),Students!$A:$A,AP$2)+countifs(Students!$F:$F,$V30,Students!$G:$G,$V$2&amp;if($K30="S1","a",if($K30="S2","b","")),Students!$A:$A,AP$2)+countifs(Students!$H:$H,$V30,Students!$I:$I,$V$2&amp;if($K30="S1","a",if($K30="S2","b","")),Students!$A:$A,AP$2)+countifs(Students!$J:$J,$V30,Students!$K:$K,$V$2&amp;if($K30="S1","a",if($K30="S2","b","")),Students!$A:$A,AP$2)+countifs(Students!$L:$L,$V30,Students!$M:$M,$V$2&amp;if($K30="S1","a",if($K30="S2","b","")),Students!$A:$A,AP$2)+countifs(Students!$N:$N,$V30,Students!$O:$O,$V$2&amp;if($K30="S1","a",if($K30="S2","b","")),Students!$A:$A,AP$2)+countifs(Students!$P:$P,$V30,Students!$Q:$Q,$V$2&amp;if($K30="S1","a",if($K30="S2","b","")),Students!$A:$A,AP$2)+countifs(Students!$R:$R,$V30,Students!$S:$S,$V$2&amp;if($K30="S1","a",if($K30="S2","b","")),Students!$A:$A,AP$2)+countifs(Students!$T:$T,$V30,Students!$U:$U,$V$2&amp;if($K30="S1","a",if($K30="S2","b","")),Students!$A:$A,AP$2)+countifs(Students!$V:$V,$V30,Students!$W:$W,$V$2&amp;if($K30="S1","a",if($K30="S2","b","")),Students!$A:$A,AP$2)+
countifs(Students!$D:$D,$Y30,Students!$E:$E,$Y$2&amp;if($K30="S1","a",if($K30="S2","b","")),Students!$A:$A,AP$2)+countifs(Students!$F:$F,$Y30,Students!$G:$G,$Y$2&amp;if($K30="S1","a",if($K30="S2","b","")),Students!$A:$A,AP$2)+countifs(Students!$H:$H,$Y30,Students!$I:$I,$Y$2&amp;if($K30="S1","a",if($K30="S2","b","")),Students!$A:$A,AP$2)+countifs(Students!$J:$J,$Y30,Students!$K:$K,$Y$2&amp;if($K30="S1","a",if($K30="S2","b","")),Students!$A:$A,AP$2)+countifs(Students!$L:$L,$Y30,Students!$M:$M,$Y$2&amp;if($K30="S1","a",if($K30="S2","b","")),Students!$A:$A,AP$2)+countifs(Students!$N:$N,$Y30,Students!$O:$O,$Y$2&amp;if($K30="S1","a",if($K30="S2","b","")),Students!$A:$A,AP$2)+countifs(Students!$P:$P,$Y30,Students!$Q:$Q,$Y$2&amp;if($K30="S1","a",if($K30="S2","b","")),Students!$A:$A,AP$2)+countifs(Students!$R:$R,$Y30,Students!$S:$S,$Y$2&amp;if($K30="S1","a",if($K30="S2","b","")),Students!$A:$A,AP$2)+countifs(Students!$T:$T,$Y30,Students!$U:$U,$Y$2&amp;if($K30="S1","a",if($K30="S2","b","")),Students!$A:$A,AP$2)+countifs(Students!$V:$V,$Y30,Students!$W:$W,$Y$2&amp;if($K30="S1","a",if($K30="S2","b","")),Students!$A:$A,AP$2)+
countifs(Students!$D:$D,$AB30,Students!$E:$E,$AB$2&amp;if($K30="S1","a",if($K30="S2","b","")),Students!$A:$A,AP$2)+countifs(Students!$F:$F,$AB30,Students!$G:$G,$AB$2&amp;if($K30="S1","a",if($K30="S2","b","")),Students!$A:$A,AP$2)+countifs(Students!$H:$H,$AB30,Students!$I:$I,$AB$2&amp;if($K30="S1","a",if($K30="S2","b","")),Students!$A:$A,AP$2)+countifs(Students!$J:$J,$AB30,Students!$K:$K,$AB$2&amp;if($K30="S1","a",if($K30="S2","b","")),Students!$A:$A,AP$2)+countifs(Students!$L:$L,$AB30,Students!$M:$M,$AB$2&amp;if($K30="S1","a",if($K30="S2","b","")),Students!$A:$A,AP$2)+countifs(Students!$N:$N,$AB30,Students!$O:$O,$AB$2&amp;if($K30="S1","a",if($K30="S2","b","")),Students!$A:$A,AP$2)+countifs(Students!$P:$P,$AB30,Students!$Q:$Q,$AB$2&amp;if($K30="S1","a",if($K30="S2","b","")),Students!$A:$A,AP$2)+countifs(Students!$R:$R,$AB30,Students!$S:$S,$AB$2&amp;if($K30="S1","a",if($K30="S2","b","")),Students!$A:$A,AP$2)+countifs(Students!$T:$T,$AB30,Students!$U:$U,$AB$2&amp;if($K30="S1","a",if($K30="S2","b","")),Students!$A:$A,AP$2)+countifs(Students!$V:$V,$AB30,Students!$W:$W,$AB$2&amp;if($K30="S1","a",if($K30="S2","b","")),Students!$A:$A,AP$2)+
countifs(Students!$D:$D,$AE30,Students!$E:$E,$AE$2&amp;if($K30="S1","a",if($K30="S2","b","")),Students!$A:$A,AP$2)+countifs(Students!$F:$F,$AE30,Students!$G:$G,$AE$2&amp;if($K30="S1","a",if($K30="S2","b","")),Students!$A:$A,AP$2)+countifs(Students!$H:$H,$AE30,Students!$I:$I,$AE$2&amp;if($K30="S1","a",if($K30="S2","b","")),Students!$A:$A,AP$2)+countifs(Students!$J:$J,$AE30,Students!$K:$K,$AE$2&amp;if($K30="S1","a",if($K30="S2","b","")),Students!$A:$A,AP$2)+countifs(Students!$L:$L,$AE30,Students!$M:$M,$AE$2&amp;if($K30="S1","a",if($K30="S2","b","")),Students!$A:$A,AP$2)+countifs(Students!$N:$N,$AE30,Students!$O:$O,$AE$2&amp;if($K30="S1","a",if($K30="S2","b","")),Students!$A:$A,AP$2)+countifs(Students!$P:$P,$AE30,Students!$Q:$Q,$AE$2&amp;if($K30="S1","a",if($K30="S2","b","")),Students!$A:$A,AP$2)+countifs(Students!$R:$R,$AE30,Students!$S:$S,$AE$2&amp;if($K30="S1","a",if($K30="S2","b","")),Students!$A:$A,AP$2)+countifs(Students!$T:$T,$AE30,Students!$U:$U,$AE$2&amp;if($K30="S1","a",if($K30="S2","b","")),Students!$A:$A,AP$2)+countifs(Students!$V:$V,$AE30,Students!$W:$W,$AE$2&amp;if($K30="S1","a",if($K30="S2","b","")),Students!$A:$A,AP$2)+
countifs(Students!$D:$D,$AH30,Students!$E:$E,$AH$2&amp;if($K30="S1","a",if($K30="S2","b","")),Students!$A:$A,AP$2)+countifs(Students!$F:$F,$AH30,Students!$G:$G,$AH$2&amp;if($K30="S1","a",if($K30="S2","b","")),Students!$A:$A,AP$2)+countifs(Students!$H:$H,$AH30,Students!$I:$I,$AH$2&amp;if($K30="S1","a",if($K30="S2","b","")),Students!$A:$A,AP$2)+countifs(Students!$J:$J,$AH30,Students!$K:$K,$AH$2&amp;if($K30="S1","a",if($K30="S2","b","")),Students!$A:$A,AP$2)+countifs(Students!$L:$L,$AH30,Students!$M:$M,$AH$2&amp;if($K30="S1","a",if($K30="S2","b","")),Students!$A:$A,AP$2)+countifs(Students!$N:$N,$AH30,Students!$O:$O,$AH$2&amp;if($K30="S1","a",if($K30="S2","b","")),Students!$A:$A,AP$2)+countifs(Students!$P:$P,$AH30,Students!$Q:$Q,$AH$2&amp;if($K30="S1","a",if($K30="S2","b","")),Students!$A:$A,AP$2)+countifs(Students!$R:$R,$AH30,Students!$S:$S,$AH$2&amp;if($K30="S1","a",if($K30="S2","b","")),Students!$A:$A,AP$2)+countifs(Students!$T:$T,$AH30,Students!$U:$U,$AH$2&amp;if($K30="S1","a",if($K30="S2","b","")),Students!$A:$A,AP$2)+countifs(Students!$V:$V,$AH30,Students!$W:$W,$AH$2&amp;if($K30="S1","a",if($K30="S2","b","")),Students!$A:$A,AP$2)+
countifs(Students!$D:$D,$AK30,Students!$E:$E,$AK$2&amp;if($K30="S1","a",if($K30="S2","b","")),Students!$A:$A,AP$2)+countifs(Students!$F:$F,$AK30,Students!$G:$G,$AK$2&amp;if($K30="S1","a",if($K30="S2","b","")),Students!$A:$A,AP$2)+countifs(Students!$H:$H,$AK30,Students!$I:$I,$AK$2&amp;if($K30="S1","a",if($K30="S2","b","")),Students!$A:$A,AP$2)+countifs(Students!$J:$J,$AK30,Students!$K:$K,$AK$2&amp;if($K30="S1","a",if($K30="S2","b","")),Students!$A:$A,AP$2)+countifs(Students!$L:$L,$AK30,Students!$M:$M,$AK$2&amp;if($K30="S1","a",if($K30="S2","b","")),Students!$A:$A,AP$2)+countifs(Students!$N:$N,$AK30,Students!$O:$O,$AK$2&amp;if($K30="S1","a",if($K30="S2","b","")),Students!$A:$A,AP$2)+countifs(Students!$P:$P,$AK30,Students!$Q:$Q,$AK$2&amp;if($K30="S1","a",if($K30="S2","b","")),Students!$A:$A,AP$2)+countifs(Students!$R:$R,$AK30,Students!$S:$S,$AK$2&amp;if($K30="S1","a",if($K30="S2","b","")),Students!$A:$A,AP$2)+countifs(Students!$T:$T,$AK30,Students!$U:$U,$AK$2&amp;if($K30="S1","a",if($K30="S2","b","")),Students!$A:$A,AP$2)+countifs(Students!$V:$V,$AK30,Students!$W:$W,$AK$2&amp;if($K30="S1","a",if($K30="S2","b","")),Students!$A:$A,AP$2))</f>
        <v>0</v>
      </c>
      <c r="AQ30" s="102">
        <f>if($L30="","",countifs(Students!$D:$D,$P30,Students!$E:$E,$P$2&amp;if($K30="S1","a",if($K30="S2","b","")),Students!$A:$A,AQ$2)+countifs(Students!$F:$F,$P30,Students!$G:$G,$P$2&amp;if($K30="S1","a",if($K30="S2","b","")),Students!$A:$A,AQ$2)+countifs(Students!$H:$H,$P30,Students!$I:$I,$P$2&amp;if($K30="S1","a",if($K30="S2","b","")),Students!$A:$A,AQ$2)+countifs(Students!$J:$J,$P30,Students!$K:$K,$P$2&amp;if($K30="S1","a",if($K30="S2","b","")),Students!$A:$A,AQ$2)+countifs(Students!$L:$L,$P30,Students!$M:$M,$P$2&amp;if($K30="S1","a",if($K30="S2","b","")),Students!$A:$A,AQ$2)+countifs(Students!$N:$N,$P30,Students!$O:$O,$P$2&amp;if($K30="S1","a",if($K30="S2","b","")),Students!$A:$A,AQ$2)+countifs(Students!$P:$P,$P30,Students!$Q:$Q,$P$2&amp;if($K30="S1","a",if($K30="S2","b","")),Students!$A:$A,AQ$2)+countifs(Students!$R:$R,$P30,Students!$S:$S,$P$2&amp;if($K30="S1","a",if($K30="S2","b","")),Students!$A:$A,AQ$2)+countifs(Students!$T:$T,$P30,Students!$U:$U,$P$2&amp;if($K30="S1","a",if($K30="S2","b","")),Students!$A:$A,AQ$2)+countifs(Students!$V:$V,$P30,Students!$W:$W,$P$2&amp;if($K30="S1","a",if($K30="S2","b","")),Students!$A:$A,AQ$2)+
countifs(Students!$D:$D,$S30,Students!$E:$E,$S$2&amp;if($K30="S1","a",if($K30="S2","b","")),Students!$A:$A,AQ$2)+countifs(Students!$F:$F,$S30,Students!$G:$G,$S$2&amp;if($K30="S1","a",if($K30="S2","b","")),Students!$A:$A,AQ$2)+countifs(Students!$H:$H,$S30,Students!$I:$I,$S$2&amp;if($K30="S1","a",if($K30="S2","b","")),Students!$A:$A,AQ$2)+countifs(Students!$J:$J,$S30,Students!$K:$K,$S$2&amp;if($K30="S1","a",if($K30="S2","b","")),Students!$A:$A,AQ$2)+countifs(Students!$L:$L,$S30,Students!$M:$M,$S$2&amp;if($K30="S1","a",if($K30="S2","b","")),Students!$A:$A,AQ$2)+countifs(Students!$N:$N,$S30,Students!$O:$O,$S$2&amp;if($K30="S1","a",if($K30="S2","b","")),Students!$A:$A,AQ$2)+countifs(Students!$P:$P,$S30,Students!$Q:$Q,$S$2&amp;if($K30="S1","a",if($K30="S2","b","")),Students!$A:$A,AQ$2)+countifs(Students!$R:$R,$S30,Students!$S:$S,$S$2&amp;if($K30="S1","a",if($K30="S2","b","")),Students!$A:$A,AQ$2)+countifs(Students!$T:$T,$S30,Students!$U:$U,$S$2&amp;if($K30="S1","a",if($K30="S2","b","")),Students!$A:$A,AQ$2)+countifs(Students!$V:$V,$S30,Students!$W:$W,$S$2&amp;if($K30="S1","a",if($K30="S2","b","")),Students!$A:$A,AQ$2)+
countifs(Students!$D:$D,$V30,Students!$E:$E,$V$2&amp;if($K30="S1","a",if($K30="S2","b","")),Students!$A:$A,AQ$2)+countifs(Students!$F:$F,$V30,Students!$G:$G,$V$2&amp;if($K30="S1","a",if($K30="S2","b","")),Students!$A:$A,AQ$2)+countifs(Students!$H:$H,$V30,Students!$I:$I,$V$2&amp;if($K30="S1","a",if($K30="S2","b","")),Students!$A:$A,AQ$2)+countifs(Students!$J:$J,$V30,Students!$K:$K,$V$2&amp;if($K30="S1","a",if($K30="S2","b","")),Students!$A:$A,AQ$2)+countifs(Students!$L:$L,$V30,Students!$M:$M,$V$2&amp;if($K30="S1","a",if($K30="S2","b","")),Students!$A:$A,AQ$2)+countifs(Students!$N:$N,$V30,Students!$O:$O,$V$2&amp;if($K30="S1","a",if($K30="S2","b","")),Students!$A:$A,AQ$2)+countifs(Students!$P:$P,$V30,Students!$Q:$Q,$V$2&amp;if($K30="S1","a",if($K30="S2","b","")),Students!$A:$A,AQ$2)+countifs(Students!$R:$R,$V30,Students!$S:$S,$V$2&amp;if($K30="S1","a",if($K30="S2","b","")),Students!$A:$A,AQ$2)+countifs(Students!$T:$T,$V30,Students!$U:$U,$V$2&amp;if($K30="S1","a",if($K30="S2","b","")),Students!$A:$A,AQ$2)+countifs(Students!$V:$V,$V30,Students!$W:$W,$V$2&amp;if($K30="S1","a",if($K30="S2","b","")),Students!$A:$A,AQ$2)+
countifs(Students!$D:$D,$Y30,Students!$E:$E,$Y$2&amp;if($K30="S1","a",if($K30="S2","b","")),Students!$A:$A,AQ$2)+countifs(Students!$F:$F,$Y30,Students!$G:$G,$Y$2&amp;if($K30="S1","a",if($K30="S2","b","")),Students!$A:$A,AQ$2)+countifs(Students!$H:$H,$Y30,Students!$I:$I,$Y$2&amp;if($K30="S1","a",if($K30="S2","b","")),Students!$A:$A,AQ$2)+countifs(Students!$J:$J,$Y30,Students!$K:$K,$Y$2&amp;if($K30="S1","a",if($K30="S2","b","")),Students!$A:$A,AQ$2)+countifs(Students!$L:$L,$Y30,Students!$M:$M,$Y$2&amp;if($K30="S1","a",if($K30="S2","b","")),Students!$A:$A,AQ$2)+countifs(Students!$N:$N,$Y30,Students!$O:$O,$Y$2&amp;if($K30="S1","a",if($K30="S2","b","")),Students!$A:$A,AQ$2)+countifs(Students!$P:$P,$Y30,Students!$Q:$Q,$Y$2&amp;if($K30="S1","a",if($K30="S2","b","")),Students!$A:$A,AQ$2)+countifs(Students!$R:$R,$Y30,Students!$S:$S,$Y$2&amp;if($K30="S1","a",if($K30="S2","b","")),Students!$A:$A,AQ$2)+countifs(Students!$T:$T,$Y30,Students!$U:$U,$Y$2&amp;if($K30="S1","a",if($K30="S2","b","")),Students!$A:$A,AQ$2)+countifs(Students!$V:$V,$Y30,Students!$W:$W,$Y$2&amp;if($K30="S1","a",if($K30="S2","b","")),Students!$A:$A,AQ$2)+
countifs(Students!$D:$D,$AB30,Students!$E:$E,$AB$2&amp;if($K30="S1","a",if($K30="S2","b","")),Students!$A:$A,AQ$2)+countifs(Students!$F:$F,$AB30,Students!$G:$G,$AB$2&amp;if($K30="S1","a",if($K30="S2","b","")),Students!$A:$A,AQ$2)+countifs(Students!$H:$H,$AB30,Students!$I:$I,$AB$2&amp;if($K30="S1","a",if($K30="S2","b","")),Students!$A:$A,AQ$2)+countifs(Students!$J:$J,$AB30,Students!$K:$K,$AB$2&amp;if($K30="S1","a",if($K30="S2","b","")),Students!$A:$A,AQ$2)+countifs(Students!$L:$L,$AB30,Students!$M:$M,$AB$2&amp;if($K30="S1","a",if($K30="S2","b","")),Students!$A:$A,AQ$2)+countifs(Students!$N:$N,$AB30,Students!$O:$O,$AB$2&amp;if($K30="S1","a",if($K30="S2","b","")),Students!$A:$A,AQ$2)+countifs(Students!$P:$P,$AB30,Students!$Q:$Q,$AB$2&amp;if($K30="S1","a",if($K30="S2","b","")),Students!$A:$A,AQ$2)+countifs(Students!$R:$R,$AB30,Students!$S:$S,$AB$2&amp;if($K30="S1","a",if($K30="S2","b","")),Students!$A:$A,AQ$2)+countifs(Students!$T:$T,$AB30,Students!$U:$U,$AB$2&amp;if($K30="S1","a",if($K30="S2","b","")),Students!$A:$A,AQ$2)+countifs(Students!$V:$V,$AB30,Students!$W:$W,$AB$2&amp;if($K30="S1","a",if($K30="S2","b","")),Students!$A:$A,AQ$2)+
countifs(Students!$D:$D,$AE30,Students!$E:$E,$AE$2&amp;if($K30="S1","a",if($K30="S2","b","")),Students!$A:$A,AQ$2)+countifs(Students!$F:$F,$AE30,Students!$G:$G,$AE$2&amp;if($K30="S1","a",if($K30="S2","b","")),Students!$A:$A,AQ$2)+countifs(Students!$H:$H,$AE30,Students!$I:$I,$AE$2&amp;if($K30="S1","a",if($K30="S2","b","")),Students!$A:$A,AQ$2)+countifs(Students!$J:$J,$AE30,Students!$K:$K,$AE$2&amp;if($K30="S1","a",if($K30="S2","b","")),Students!$A:$A,AQ$2)+countifs(Students!$L:$L,$AE30,Students!$M:$M,$AE$2&amp;if($K30="S1","a",if($K30="S2","b","")),Students!$A:$A,AQ$2)+countifs(Students!$N:$N,$AE30,Students!$O:$O,$AE$2&amp;if($K30="S1","a",if($K30="S2","b","")),Students!$A:$A,AQ$2)+countifs(Students!$P:$P,$AE30,Students!$Q:$Q,$AE$2&amp;if($K30="S1","a",if($K30="S2","b","")),Students!$A:$A,AQ$2)+countifs(Students!$R:$R,$AE30,Students!$S:$S,$AE$2&amp;if($K30="S1","a",if($K30="S2","b","")),Students!$A:$A,AQ$2)+countifs(Students!$T:$T,$AE30,Students!$U:$U,$AE$2&amp;if($K30="S1","a",if($K30="S2","b","")),Students!$A:$A,AQ$2)+countifs(Students!$V:$V,$AE30,Students!$W:$W,$AE$2&amp;if($K30="S1","a",if($K30="S2","b","")),Students!$A:$A,AQ$2)+
countifs(Students!$D:$D,$AH30,Students!$E:$E,$AH$2&amp;if($K30="S1","a",if($K30="S2","b","")),Students!$A:$A,AQ$2)+countifs(Students!$F:$F,$AH30,Students!$G:$G,$AH$2&amp;if($K30="S1","a",if($K30="S2","b","")),Students!$A:$A,AQ$2)+countifs(Students!$H:$H,$AH30,Students!$I:$I,$AH$2&amp;if($K30="S1","a",if($K30="S2","b","")),Students!$A:$A,AQ$2)+countifs(Students!$J:$J,$AH30,Students!$K:$K,$AH$2&amp;if($K30="S1","a",if($K30="S2","b","")),Students!$A:$A,AQ$2)+countifs(Students!$L:$L,$AH30,Students!$M:$M,$AH$2&amp;if($K30="S1","a",if($K30="S2","b","")),Students!$A:$A,AQ$2)+countifs(Students!$N:$N,$AH30,Students!$O:$O,$AH$2&amp;if($K30="S1","a",if($K30="S2","b","")),Students!$A:$A,AQ$2)+countifs(Students!$P:$P,$AH30,Students!$Q:$Q,$AH$2&amp;if($K30="S1","a",if($K30="S2","b","")),Students!$A:$A,AQ$2)+countifs(Students!$R:$R,$AH30,Students!$S:$S,$AH$2&amp;if($K30="S1","a",if($K30="S2","b","")),Students!$A:$A,AQ$2)+countifs(Students!$T:$T,$AH30,Students!$U:$U,$AH$2&amp;if($K30="S1","a",if($K30="S2","b","")),Students!$A:$A,AQ$2)+countifs(Students!$V:$V,$AH30,Students!$W:$W,$AH$2&amp;if($K30="S1","a",if($K30="S2","b","")),Students!$A:$A,AQ$2)+
countifs(Students!$D:$D,$AK30,Students!$E:$E,$AK$2&amp;if($K30="S1","a",if($K30="S2","b","")),Students!$A:$A,AQ$2)+countifs(Students!$F:$F,$AK30,Students!$G:$G,$AK$2&amp;if($K30="S1","a",if($K30="S2","b","")),Students!$A:$A,AQ$2)+countifs(Students!$H:$H,$AK30,Students!$I:$I,$AK$2&amp;if($K30="S1","a",if($K30="S2","b","")),Students!$A:$A,AQ$2)+countifs(Students!$J:$J,$AK30,Students!$K:$K,$AK$2&amp;if($K30="S1","a",if($K30="S2","b","")),Students!$A:$A,AQ$2)+countifs(Students!$L:$L,$AK30,Students!$M:$M,$AK$2&amp;if($K30="S1","a",if($K30="S2","b","")),Students!$A:$A,AQ$2)+countifs(Students!$N:$N,$AK30,Students!$O:$O,$AK$2&amp;if($K30="S1","a",if($K30="S2","b","")),Students!$A:$A,AQ$2)+countifs(Students!$P:$P,$AK30,Students!$Q:$Q,$AK$2&amp;if($K30="S1","a",if($K30="S2","b","")),Students!$A:$A,AQ$2)+countifs(Students!$R:$R,$AK30,Students!$S:$S,$AK$2&amp;if($K30="S1","a",if($K30="S2","b","")),Students!$A:$A,AQ$2)+countifs(Students!$T:$T,$AK30,Students!$U:$U,$AK$2&amp;if($K30="S1","a",if($K30="S2","b","")),Students!$A:$A,AQ$2)+countifs(Students!$V:$V,$AK30,Students!$W:$W,$AK$2&amp;if($K30="S1","a",if($K30="S2","b","")),Students!$A:$A,AQ$2))</f>
        <v>63</v>
      </c>
      <c r="AR30" s="102">
        <f>if($L30="","",countifs(Students!$D:$D,$P30,Students!$E:$E,$P$2&amp;if($K30="S1","a",if($K30="S2","b","")),Students!$A:$A,AR$2)+countifs(Students!$F:$F,$P30,Students!$G:$G,$P$2&amp;if($K30="S1","a",if($K30="S2","b","")),Students!$A:$A,AR$2)+countifs(Students!$H:$H,$P30,Students!$I:$I,$P$2&amp;if($K30="S1","a",if($K30="S2","b","")),Students!$A:$A,AR$2)+countifs(Students!$J:$J,$P30,Students!$K:$K,$P$2&amp;if($K30="S1","a",if($K30="S2","b","")),Students!$A:$A,AR$2)+countifs(Students!$L:$L,$P30,Students!$M:$M,$P$2&amp;if($K30="S1","a",if($K30="S2","b","")),Students!$A:$A,AR$2)+countifs(Students!$N:$N,$P30,Students!$O:$O,$P$2&amp;if($K30="S1","a",if($K30="S2","b","")),Students!$A:$A,AR$2)+countifs(Students!$P:$P,$P30,Students!$Q:$Q,$P$2&amp;if($K30="S1","a",if($K30="S2","b","")),Students!$A:$A,AR$2)+countifs(Students!$R:$R,$P30,Students!$S:$S,$P$2&amp;if($K30="S1","a",if($K30="S2","b","")),Students!$A:$A,AR$2)+countifs(Students!$T:$T,$P30,Students!$U:$U,$P$2&amp;if($K30="S1","a",if($K30="S2","b","")),Students!$A:$A,AR$2)+countifs(Students!$V:$V,$P30,Students!$W:$W,$P$2&amp;if($K30="S1","a",if($K30="S2","b","")),Students!$A:$A,AR$2)+
countifs(Students!$D:$D,$S30,Students!$E:$E,$S$2&amp;if($K30="S1","a",if($K30="S2","b","")),Students!$A:$A,AR$2)+countifs(Students!$F:$F,$S30,Students!$G:$G,$S$2&amp;if($K30="S1","a",if($K30="S2","b","")),Students!$A:$A,AR$2)+countifs(Students!$H:$H,$S30,Students!$I:$I,$S$2&amp;if($K30="S1","a",if($K30="S2","b","")),Students!$A:$A,AR$2)+countifs(Students!$J:$J,$S30,Students!$K:$K,$S$2&amp;if($K30="S1","a",if($K30="S2","b","")),Students!$A:$A,AR$2)+countifs(Students!$L:$L,$S30,Students!$M:$M,$S$2&amp;if($K30="S1","a",if($K30="S2","b","")),Students!$A:$A,AR$2)+countifs(Students!$N:$N,$S30,Students!$O:$O,$S$2&amp;if($K30="S1","a",if($K30="S2","b","")),Students!$A:$A,AR$2)+countifs(Students!$P:$P,$S30,Students!$Q:$Q,$S$2&amp;if($K30="S1","a",if($K30="S2","b","")),Students!$A:$A,AR$2)+countifs(Students!$R:$R,$S30,Students!$S:$S,$S$2&amp;if($K30="S1","a",if($K30="S2","b","")),Students!$A:$A,AR$2)+countifs(Students!$T:$T,$S30,Students!$U:$U,$S$2&amp;if($K30="S1","a",if($K30="S2","b","")),Students!$A:$A,AR$2)+countifs(Students!$V:$V,$S30,Students!$W:$W,$S$2&amp;if($K30="S1","a",if($K30="S2","b","")),Students!$A:$A,AR$2)+
countifs(Students!$D:$D,$V30,Students!$E:$E,$V$2&amp;if($K30="S1","a",if($K30="S2","b","")),Students!$A:$A,AR$2)+countifs(Students!$F:$F,$V30,Students!$G:$G,$V$2&amp;if($K30="S1","a",if($K30="S2","b","")),Students!$A:$A,AR$2)+countifs(Students!$H:$H,$V30,Students!$I:$I,$V$2&amp;if($K30="S1","a",if($K30="S2","b","")),Students!$A:$A,AR$2)+countifs(Students!$J:$J,$V30,Students!$K:$K,$V$2&amp;if($K30="S1","a",if($K30="S2","b","")),Students!$A:$A,AR$2)+countifs(Students!$L:$L,$V30,Students!$M:$M,$V$2&amp;if($K30="S1","a",if($K30="S2","b","")),Students!$A:$A,AR$2)+countifs(Students!$N:$N,$V30,Students!$O:$O,$V$2&amp;if($K30="S1","a",if($K30="S2","b","")),Students!$A:$A,AR$2)+countifs(Students!$P:$P,$V30,Students!$Q:$Q,$V$2&amp;if($K30="S1","a",if($K30="S2","b","")),Students!$A:$A,AR$2)+countifs(Students!$R:$R,$V30,Students!$S:$S,$V$2&amp;if($K30="S1","a",if($K30="S2","b","")),Students!$A:$A,AR$2)+countifs(Students!$T:$T,$V30,Students!$U:$U,$V$2&amp;if($K30="S1","a",if($K30="S2","b","")),Students!$A:$A,AR$2)+countifs(Students!$V:$V,$V30,Students!$W:$W,$V$2&amp;if($K30="S1","a",if($K30="S2","b","")),Students!$A:$A,AR$2)+
countifs(Students!$D:$D,$Y30,Students!$E:$E,$Y$2&amp;if($K30="S1","a",if($K30="S2","b","")),Students!$A:$A,AR$2)+countifs(Students!$F:$F,$Y30,Students!$G:$G,$Y$2&amp;if($K30="S1","a",if($K30="S2","b","")),Students!$A:$A,AR$2)+countifs(Students!$H:$H,$Y30,Students!$I:$I,$Y$2&amp;if($K30="S1","a",if($K30="S2","b","")),Students!$A:$A,AR$2)+countifs(Students!$J:$J,$Y30,Students!$K:$K,$Y$2&amp;if($K30="S1","a",if($K30="S2","b","")),Students!$A:$A,AR$2)+countifs(Students!$L:$L,$Y30,Students!$M:$M,$Y$2&amp;if($K30="S1","a",if($K30="S2","b","")),Students!$A:$A,AR$2)+countifs(Students!$N:$N,$Y30,Students!$O:$O,$Y$2&amp;if($K30="S1","a",if($K30="S2","b","")),Students!$A:$A,AR$2)+countifs(Students!$P:$P,$Y30,Students!$Q:$Q,$Y$2&amp;if($K30="S1","a",if($K30="S2","b","")),Students!$A:$A,AR$2)+countifs(Students!$R:$R,$Y30,Students!$S:$S,$Y$2&amp;if($K30="S1","a",if($K30="S2","b","")),Students!$A:$A,AR$2)+countifs(Students!$T:$T,$Y30,Students!$U:$U,$Y$2&amp;if($K30="S1","a",if($K30="S2","b","")),Students!$A:$A,AR$2)+countifs(Students!$V:$V,$Y30,Students!$W:$W,$Y$2&amp;if($K30="S1","a",if($K30="S2","b","")),Students!$A:$A,AR$2)+
countifs(Students!$D:$D,$AB30,Students!$E:$E,$AB$2&amp;if($K30="S1","a",if($K30="S2","b","")),Students!$A:$A,AR$2)+countifs(Students!$F:$F,$AB30,Students!$G:$G,$AB$2&amp;if($K30="S1","a",if($K30="S2","b","")),Students!$A:$A,AR$2)+countifs(Students!$H:$H,$AB30,Students!$I:$I,$AB$2&amp;if($K30="S1","a",if($K30="S2","b","")),Students!$A:$A,AR$2)+countifs(Students!$J:$J,$AB30,Students!$K:$K,$AB$2&amp;if($K30="S1","a",if($K30="S2","b","")),Students!$A:$A,AR$2)+countifs(Students!$L:$L,$AB30,Students!$M:$M,$AB$2&amp;if($K30="S1","a",if($K30="S2","b","")),Students!$A:$A,AR$2)+countifs(Students!$N:$N,$AB30,Students!$O:$O,$AB$2&amp;if($K30="S1","a",if($K30="S2","b","")),Students!$A:$A,AR$2)+countifs(Students!$P:$P,$AB30,Students!$Q:$Q,$AB$2&amp;if($K30="S1","a",if($K30="S2","b","")),Students!$A:$A,AR$2)+countifs(Students!$R:$R,$AB30,Students!$S:$S,$AB$2&amp;if($K30="S1","a",if($K30="S2","b","")),Students!$A:$A,AR$2)+countifs(Students!$T:$T,$AB30,Students!$U:$U,$AB$2&amp;if($K30="S1","a",if($K30="S2","b","")),Students!$A:$A,AR$2)+countifs(Students!$V:$V,$AB30,Students!$W:$W,$AB$2&amp;if($K30="S1","a",if($K30="S2","b","")),Students!$A:$A,AR$2)+
countifs(Students!$D:$D,$AE30,Students!$E:$E,$AE$2&amp;if($K30="S1","a",if($K30="S2","b","")),Students!$A:$A,AR$2)+countifs(Students!$F:$F,$AE30,Students!$G:$G,$AE$2&amp;if($K30="S1","a",if($K30="S2","b","")),Students!$A:$A,AR$2)+countifs(Students!$H:$H,$AE30,Students!$I:$I,$AE$2&amp;if($K30="S1","a",if($K30="S2","b","")),Students!$A:$A,AR$2)+countifs(Students!$J:$J,$AE30,Students!$K:$K,$AE$2&amp;if($K30="S1","a",if($K30="S2","b","")),Students!$A:$A,AR$2)+countifs(Students!$L:$L,$AE30,Students!$M:$M,$AE$2&amp;if($K30="S1","a",if($K30="S2","b","")),Students!$A:$A,AR$2)+countifs(Students!$N:$N,$AE30,Students!$O:$O,$AE$2&amp;if($K30="S1","a",if($K30="S2","b","")),Students!$A:$A,AR$2)+countifs(Students!$P:$P,$AE30,Students!$Q:$Q,$AE$2&amp;if($K30="S1","a",if($K30="S2","b","")),Students!$A:$A,AR$2)+countifs(Students!$R:$R,$AE30,Students!$S:$S,$AE$2&amp;if($K30="S1","a",if($K30="S2","b","")),Students!$A:$A,AR$2)+countifs(Students!$T:$T,$AE30,Students!$U:$U,$AE$2&amp;if($K30="S1","a",if($K30="S2","b","")),Students!$A:$A,AR$2)+countifs(Students!$V:$V,$AE30,Students!$W:$W,$AE$2&amp;if($K30="S1","a",if($K30="S2","b","")),Students!$A:$A,AR$2)+
countifs(Students!$D:$D,$AH30,Students!$E:$E,$AH$2&amp;if($K30="S1","a",if($K30="S2","b","")),Students!$A:$A,AR$2)+countifs(Students!$F:$F,$AH30,Students!$G:$G,$AH$2&amp;if($K30="S1","a",if($K30="S2","b","")),Students!$A:$A,AR$2)+countifs(Students!$H:$H,$AH30,Students!$I:$I,$AH$2&amp;if($K30="S1","a",if($K30="S2","b","")),Students!$A:$A,AR$2)+countifs(Students!$J:$J,$AH30,Students!$K:$K,$AH$2&amp;if($K30="S1","a",if($K30="S2","b","")),Students!$A:$A,AR$2)+countifs(Students!$L:$L,$AH30,Students!$M:$M,$AH$2&amp;if($K30="S1","a",if($K30="S2","b","")),Students!$A:$A,AR$2)+countifs(Students!$N:$N,$AH30,Students!$O:$O,$AH$2&amp;if($K30="S1","a",if($K30="S2","b","")),Students!$A:$A,AR$2)+countifs(Students!$P:$P,$AH30,Students!$Q:$Q,$AH$2&amp;if($K30="S1","a",if($K30="S2","b","")),Students!$A:$A,AR$2)+countifs(Students!$R:$R,$AH30,Students!$S:$S,$AH$2&amp;if($K30="S1","a",if($K30="S2","b","")),Students!$A:$A,AR$2)+countifs(Students!$T:$T,$AH30,Students!$U:$U,$AH$2&amp;if($K30="S1","a",if($K30="S2","b","")),Students!$A:$A,AR$2)+countifs(Students!$V:$V,$AH30,Students!$W:$W,$AH$2&amp;if($K30="S1","a",if($K30="S2","b","")),Students!$A:$A,AR$2)+
countifs(Students!$D:$D,$AK30,Students!$E:$E,$AK$2&amp;if($K30="S1","a",if($K30="S2","b","")),Students!$A:$A,AR$2)+countifs(Students!$F:$F,$AK30,Students!$G:$G,$AK$2&amp;if($K30="S1","a",if($K30="S2","b","")),Students!$A:$A,AR$2)+countifs(Students!$H:$H,$AK30,Students!$I:$I,$AK$2&amp;if($K30="S1","a",if($K30="S2","b","")),Students!$A:$A,AR$2)+countifs(Students!$J:$J,$AK30,Students!$K:$K,$AK$2&amp;if($K30="S1","a",if($K30="S2","b","")),Students!$A:$A,AR$2)+countifs(Students!$L:$L,$AK30,Students!$M:$M,$AK$2&amp;if($K30="S1","a",if($K30="S2","b","")),Students!$A:$A,AR$2)+countifs(Students!$N:$N,$AK30,Students!$O:$O,$AK$2&amp;if($K30="S1","a",if($K30="S2","b","")),Students!$A:$A,AR$2)+countifs(Students!$P:$P,$AK30,Students!$Q:$Q,$AK$2&amp;if($K30="S1","a",if($K30="S2","b","")),Students!$A:$A,AR$2)+countifs(Students!$R:$R,$AK30,Students!$S:$S,$AK$2&amp;if($K30="S1","a",if($K30="S2","b","")),Students!$A:$A,AR$2)+countifs(Students!$T:$T,$AK30,Students!$U:$U,$AK$2&amp;if($K30="S1","a",if($K30="S2","b","")),Students!$A:$A,AR$2)+countifs(Students!$V:$V,$AK30,Students!$W:$W,$AK$2&amp;if($K30="S1","a",if($K30="S2","b","")),Students!$A:$A,AR$2))</f>
        <v>31</v>
      </c>
      <c r="AS30" s="102">
        <f>if($L30="","",countifs(Students!$D:$D,$P30,Students!$E:$E,$P$2&amp;if($K30="S1","a",if($K30="S2","b","")),Students!$A:$A,AS$2)+countifs(Students!$F:$F,$P30,Students!$G:$G,$P$2&amp;if($K30="S1","a",if($K30="S2","b","")),Students!$A:$A,AS$2)+countifs(Students!$H:$H,$P30,Students!$I:$I,$P$2&amp;if($K30="S1","a",if($K30="S2","b","")),Students!$A:$A,AS$2)+countifs(Students!$J:$J,$P30,Students!$K:$K,$P$2&amp;if($K30="S1","a",if($K30="S2","b","")),Students!$A:$A,AS$2)+countifs(Students!$L:$L,$P30,Students!$M:$M,$P$2&amp;if($K30="S1","a",if($K30="S2","b","")),Students!$A:$A,AS$2)+countifs(Students!$N:$N,$P30,Students!$O:$O,$P$2&amp;if($K30="S1","a",if($K30="S2","b","")),Students!$A:$A,AS$2)+countifs(Students!$P:$P,$P30,Students!$Q:$Q,$P$2&amp;if($K30="S1","a",if($K30="S2","b","")),Students!$A:$A,AS$2)+countifs(Students!$R:$R,$P30,Students!$S:$S,$P$2&amp;if($K30="S1","a",if($K30="S2","b","")),Students!$A:$A,AS$2)+countifs(Students!$T:$T,$P30,Students!$U:$U,$P$2&amp;if($K30="S1","a",if($K30="S2","b","")),Students!$A:$A,AS$2)+countifs(Students!$V:$V,$P30,Students!$W:$W,$P$2&amp;if($K30="S1","a",if($K30="S2","b","")),Students!$A:$A,AS$2)+
countifs(Students!$D:$D,$S30,Students!$E:$E,$S$2&amp;if($K30="S1","a",if($K30="S2","b","")),Students!$A:$A,AS$2)+countifs(Students!$F:$F,$S30,Students!$G:$G,$S$2&amp;if($K30="S1","a",if($K30="S2","b","")),Students!$A:$A,AS$2)+countifs(Students!$H:$H,$S30,Students!$I:$I,$S$2&amp;if($K30="S1","a",if($K30="S2","b","")),Students!$A:$A,AS$2)+countifs(Students!$J:$J,$S30,Students!$K:$K,$S$2&amp;if($K30="S1","a",if($K30="S2","b","")),Students!$A:$A,AS$2)+countifs(Students!$L:$L,$S30,Students!$M:$M,$S$2&amp;if($K30="S1","a",if($K30="S2","b","")),Students!$A:$A,AS$2)+countifs(Students!$N:$N,$S30,Students!$O:$O,$S$2&amp;if($K30="S1","a",if($K30="S2","b","")),Students!$A:$A,AS$2)+countifs(Students!$P:$P,$S30,Students!$Q:$Q,$S$2&amp;if($K30="S1","a",if($K30="S2","b","")),Students!$A:$A,AS$2)+countifs(Students!$R:$R,$S30,Students!$S:$S,$S$2&amp;if($K30="S1","a",if($K30="S2","b","")),Students!$A:$A,AS$2)+countifs(Students!$T:$T,$S30,Students!$U:$U,$S$2&amp;if($K30="S1","a",if($K30="S2","b","")),Students!$A:$A,AS$2)+countifs(Students!$V:$V,$S30,Students!$W:$W,$S$2&amp;if($K30="S1","a",if($K30="S2","b","")),Students!$A:$A,AS$2)+
countifs(Students!$D:$D,$V30,Students!$E:$E,$V$2&amp;if($K30="S1","a",if($K30="S2","b","")),Students!$A:$A,AS$2)+countifs(Students!$F:$F,$V30,Students!$G:$G,$V$2&amp;if($K30="S1","a",if($K30="S2","b","")),Students!$A:$A,AS$2)+countifs(Students!$H:$H,$V30,Students!$I:$I,$V$2&amp;if($K30="S1","a",if($K30="S2","b","")),Students!$A:$A,AS$2)+countifs(Students!$J:$J,$V30,Students!$K:$K,$V$2&amp;if($K30="S1","a",if($K30="S2","b","")),Students!$A:$A,AS$2)+countifs(Students!$L:$L,$V30,Students!$M:$M,$V$2&amp;if($K30="S1","a",if($K30="S2","b","")),Students!$A:$A,AS$2)+countifs(Students!$N:$N,$V30,Students!$O:$O,$V$2&amp;if($K30="S1","a",if($K30="S2","b","")),Students!$A:$A,AS$2)+countifs(Students!$P:$P,$V30,Students!$Q:$Q,$V$2&amp;if($K30="S1","a",if($K30="S2","b","")),Students!$A:$A,AS$2)+countifs(Students!$R:$R,$V30,Students!$S:$S,$V$2&amp;if($K30="S1","a",if($K30="S2","b","")),Students!$A:$A,AS$2)+countifs(Students!$T:$T,$V30,Students!$U:$U,$V$2&amp;if($K30="S1","a",if($K30="S2","b","")),Students!$A:$A,AS$2)+countifs(Students!$V:$V,$V30,Students!$W:$W,$V$2&amp;if($K30="S1","a",if($K30="S2","b","")),Students!$A:$A,AS$2)+
countifs(Students!$D:$D,$Y30,Students!$E:$E,$Y$2&amp;if($K30="S1","a",if($K30="S2","b","")),Students!$A:$A,AS$2)+countifs(Students!$F:$F,$Y30,Students!$G:$G,$Y$2&amp;if($K30="S1","a",if($K30="S2","b","")),Students!$A:$A,AS$2)+countifs(Students!$H:$H,$Y30,Students!$I:$I,$Y$2&amp;if($K30="S1","a",if($K30="S2","b","")),Students!$A:$A,AS$2)+countifs(Students!$J:$J,$Y30,Students!$K:$K,$Y$2&amp;if($K30="S1","a",if($K30="S2","b","")),Students!$A:$A,AS$2)+countifs(Students!$L:$L,$Y30,Students!$M:$M,$Y$2&amp;if($K30="S1","a",if($K30="S2","b","")),Students!$A:$A,AS$2)+countifs(Students!$N:$N,$Y30,Students!$O:$O,$Y$2&amp;if($K30="S1","a",if($K30="S2","b","")),Students!$A:$A,AS$2)+countifs(Students!$P:$P,$Y30,Students!$Q:$Q,$Y$2&amp;if($K30="S1","a",if($K30="S2","b","")),Students!$A:$A,AS$2)+countifs(Students!$R:$R,$Y30,Students!$S:$S,$Y$2&amp;if($K30="S1","a",if($K30="S2","b","")),Students!$A:$A,AS$2)+countifs(Students!$T:$T,$Y30,Students!$U:$U,$Y$2&amp;if($K30="S1","a",if($K30="S2","b","")),Students!$A:$A,AS$2)+countifs(Students!$V:$V,$Y30,Students!$W:$W,$Y$2&amp;if($K30="S1","a",if($K30="S2","b","")),Students!$A:$A,AS$2)+
countifs(Students!$D:$D,$AB30,Students!$E:$E,$AB$2&amp;if($K30="S1","a",if($K30="S2","b","")),Students!$A:$A,AS$2)+countifs(Students!$F:$F,$AB30,Students!$G:$G,$AB$2&amp;if($K30="S1","a",if($K30="S2","b","")),Students!$A:$A,AS$2)+countifs(Students!$H:$H,$AB30,Students!$I:$I,$AB$2&amp;if($K30="S1","a",if($K30="S2","b","")),Students!$A:$A,AS$2)+countifs(Students!$J:$J,$AB30,Students!$K:$K,$AB$2&amp;if($K30="S1","a",if($K30="S2","b","")),Students!$A:$A,AS$2)+countifs(Students!$L:$L,$AB30,Students!$M:$M,$AB$2&amp;if($K30="S1","a",if($K30="S2","b","")),Students!$A:$A,AS$2)+countifs(Students!$N:$N,$AB30,Students!$O:$O,$AB$2&amp;if($K30="S1","a",if($K30="S2","b","")),Students!$A:$A,AS$2)+countifs(Students!$P:$P,$AB30,Students!$Q:$Q,$AB$2&amp;if($K30="S1","a",if($K30="S2","b","")),Students!$A:$A,AS$2)+countifs(Students!$R:$R,$AB30,Students!$S:$S,$AB$2&amp;if($K30="S1","a",if($K30="S2","b","")),Students!$A:$A,AS$2)+countifs(Students!$T:$T,$AB30,Students!$U:$U,$AB$2&amp;if($K30="S1","a",if($K30="S2","b","")),Students!$A:$A,AS$2)+countifs(Students!$V:$V,$AB30,Students!$W:$W,$AB$2&amp;if($K30="S1","a",if($K30="S2","b","")),Students!$A:$A,AS$2)+
countifs(Students!$D:$D,$AE30,Students!$E:$E,$AE$2&amp;if($K30="S1","a",if($K30="S2","b","")),Students!$A:$A,AS$2)+countifs(Students!$F:$F,$AE30,Students!$G:$G,$AE$2&amp;if($K30="S1","a",if($K30="S2","b","")),Students!$A:$A,AS$2)+countifs(Students!$H:$H,$AE30,Students!$I:$I,$AE$2&amp;if($K30="S1","a",if($K30="S2","b","")),Students!$A:$A,AS$2)+countifs(Students!$J:$J,$AE30,Students!$K:$K,$AE$2&amp;if($K30="S1","a",if($K30="S2","b","")),Students!$A:$A,AS$2)+countifs(Students!$L:$L,$AE30,Students!$M:$M,$AE$2&amp;if($K30="S1","a",if($K30="S2","b","")),Students!$A:$A,AS$2)+countifs(Students!$N:$N,$AE30,Students!$O:$O,$AE$2&amp;if($K30="S1","a",if($K30="S2","b","")),Students!$A:$A,AS$2)+countifs(Students!$P:$P,$AE30,Students!$Q:$Q,$AE$2&amp;if($K30="S1","a",if($K30="S2","b","")),Students!$A:$A,AS$2)+countifs(Students!$R:$R,$AE30,Students!$S:$S,$AE$2&amp;if($K30="S1","a",if($K30="S2","b","")),Students!$A:$A,AS$2)+countifs(Students!$T:$T,$AE30,Students!$U:$U,$AE$2&amp;if($K30="S1","a",if($K30="S2","b","")),Students!$A:$A,AS$2)+countifs(Students!$V:$V,$AE30,Students!$W:$W,$AE$2&amp;if($K30="S1","a",if($K30="S2","b","")),Students!$A:$A,AS$2)+
countifs(Students!$D:$D,$AH30,Students!$E:$E,$AH$2&amp;if($K30="S1","a",if($K30="S2","b","")),Students!$A:$A,AS$2)+countifs(Students!$F:$F,$AH30,Students!$G:$G,$AH$2&amp;if($K30="S1","a",if($K30="S2","b","")),Students!$A:$A,AS$2)+countifs(Students!$H:$H,$AH30,Students!$I:$I,$AH$2&amp;if($K30="S1","a",if($K30="S2","b","")),Students!$A:$A,AS$2)+countifs(Students!$J:$J,$AH30,Students!$K:$K,$AH$2&amp;if($K30="S1","a",if($K30="S2","b","")),Students!$A:$A,AS$2)+countifs(Students!$L:$L,$AH30,Students!$M:$M,$AH$2&amp;if($K30="S1","a",if($K30="S2","b","")),Students!$A:$A,AS$2)+countifs(Students!$N:$N,$AH30,Students!$O:$O,$AH$2&amp;if($K30="S1","a",if($K30="S2","b","")),Students!$A:$A,AS$2)+countifs(Students!$P:$P,$AH30,Students!$Q:$Q,$AH$2&amp;if($K30="S1","a",if($K30="S2","b","")),Students!$A:$A,AS$2)+countifs(Students!$R:$R,$AH30,Students!$S:$S,$AH$2&amp;if($K30="S1","a",if($K30="S2","b","")),Students!$A:$A,AS$2)+countifs(Students!$T:$T,$AH30,Students!$U:$U,$AH$2&amp;if($K30="S1","a",if($K30="S2","b","")),Students!$A:$A,AS$2)+countifs(Students!$V:$V,$AH30,Students!$W:$W,$AH$2&amp;if($K30="S1","a",if($K30="S2","b","")),Students!$A:$A,AS$2)+
countifs(Students!$D:$D,$AK30,Students!$E:$E,$AK$2&amp;if($K30="S1","a",if($K30="S2","b","")),Students!$A:$A,AS$2)+countifs(Students!$F:$F,$AK30,Students!$G:$G,$AK$2&amp;if($K30="S1","a",if($K30="S2","b","")),Students!$A:$A,AS$2)+countifs(Students!$H:$H,$AK30,Students!$I:$I,$AK$2&amp;if($K30="S1","a",if($K30="S2","b","")),Students!$A:$A,AS$2)+countifs(Students!$J:$J,$AK30,Students!$K:$K,$AK$2&amp;if($K30="S1","a",if($K30="S2","b","")),Students!$A:$A,AS$2)+countifs(Students!$L:$L,$AK30,Students!$M:$M,$AK$2&amp;if($K30="S1","a",if($K30="S2","b","")),Students!$A:$A,AS$2)+countifs(Students!$N:$N,$AK30,Students!$O:$O,$AK$2&amp;if($K30="S1","a",if($K30="S2","b","")),Students!$A:$A,AS$2)+countifs(Students!$P:$P,$AK30,Students!$Q:$Q,$AK$2&amp;if($K30="S1","a",if($K30="S2","b","")),Students!$A:$A,AS$2)+countifs(Students!$R:$R,$AK30,Students!$S:$S,$AK$2&amp;if($K30="S1","a",if($K30="S2","b","")),Students!$A:$A,AS$2)+countifs(Students!$T:$T,$AK30,Students!$U:$U,$AK$2&amp;if($K30="S1","a",if($K30="S2","b","")),Students!$A:$A,AS$2)+countifs(Students!$V:$V,$AK30,Students!$W:$W,$AK$2&amp;if($K30="S1","a",if($K30="S2","b","")),Students!$A:$A,AS$2))</f>
        <v>7</v>
      </c>
    </row>
    <row r="31">
      <c r="J31" s="87">
        <v>85.0</v>
      </c>
      <c r="K31" s="88"/>
      <c r="L31" s="58" t="s">
        <v>97</v>
      </c>
      <c r="M31" s="117"/>
      <c r="N31" s="87">
        <v>2.0</v>
      </c>
      <c r="O31" s="87"/>
      <c r="P31" s="90" t="s">
        <v>95</v>
      </c>
      <c r="Q31" s="101">
        <v>4.0</v>
      </c>
      <c r="R31" s="98">
        <v>21.0</v>
      </c>
      <c r="S31" s="101" t="s">
        <v>95</v>
      </c>
      <c r="T31" s="101">
        <v>5.0</v>
      </c>
      <c r="U31" s="98">
        <v>18.0</v>
      </c>
      <c r="V31" s="101"/>
      <c r="W31" s="117"/>
      <c r="X31" s="92" t="s">
        <v>22</v>
      </c>
      <c r="Y31" s="93"/>
      <c r="Z31" s="118"/>
      <c r="AA31" s="95" t="s">
        <v>22</v>
      </c>
      <c r="AB31" s="101" t="s">
        <v>95</v>
      </c>
      <c r="AC31" s="101">
        <v>6.0</v>
      </c>
      <c r="AD31" s="98">
        <v>15.0</v>
      </c>
      <c r="AE31" s="90" t="s">
        <v>95</v>
      </c>
      <c r="AF31" s="101">
        <v>7.0</v>
      </c>
      <c r="AG31" s="98">
        <v>21.0</v>
      </c>
      <c r="AH31" s="101" t="s">
        <v>98</v>
      </c>
      <c r="AI31" s="97">
        <v>1.0</v>
      </c>
      <c r="AJ31" s="98">
        <v>10.0</v>
      </c>
      <c r="AK31" s="107"/>
      <c r="AL31" s="92"/>
      <c r="AM31" s="92" t="s">
        <v>22</v>
      </c>
      <c r="AN31" s="99"/>
      <c r="AO31" s="52">
        <f t="shared" si="2"/>
        <v>85</v>
      </c>
      <c r="AP31" s="102">
        <f>if($L31="","",countifs(Students!$D:$D,$P31,Students!$E:$E,$P$2&amp;if($K31="S1","a",if($K31="S2","b","")),Students!$A:$A,AP$2)+countifs(Students!$F:$F,$P31,Students!$G:$G,$P$2&amp;if($K31="S1","a",if($K31="S2","b","")),Students!$A:$A,AP$2)+countifs(Students!$H:$H,$P31,Students!$I:$I,$P$2&amp;if($K31="S1","a",if($K31="S2","b","")),Students!$A:$A,AP$2)+countifs(Students!$J:$J,$P31,Students!$K:$K,$P$2&amp;if($K31="S1","a",if($K31="S2","b","")),Students!$A:$A,AP$2)+countifs(Students!$L:$L,$P31,Students!$M:$M,$P$2&amp;if($K31="S1","a",if($K31="S2","b","")),Students!$A:$A,AP$2)+countifs(Students!$N:$N,$P31,Students!$O:$O,$P$2&amp;if($K31="S1","a",if($K31="S2","b","")),Students!$A:$A,AP$2)+countifs(Students!$P:$P,$P31,Students!$Q:$Q,$P$2&amp;if($K31="S1","a",if($K31="S2","b","")),Students!$A:$A,AP$2)+countifs(Students!$R:$R,$P31,Students!$S:$S,$P$2&amp;if($K31="S1","a",if($K31="S2","b","")),Students!$A:$A,AP$2)+countifs(Students!$T:$T,$P31,Students!$U:$U,$P$2&amp;if($K31="S1","a",if($K31="S2","b","")),Students!$A:$A,AP$2)+countifs(Students!$V:$V,$P31,Students!$W:$W,$P$2&amp;if($K31="S1","a",if($K31="S2","b","")),Students!$A:$A,AP$2)+
countifs(Students!$D:$D,$S31,Students!$E:$E,$S$2&amp;if($K31="S1","a",if($K31="S2","b","")),Students!$A:$A,AP$2)+countifs(Students!$F:$F,$S31,Students!$G:$G,$S$2&amp;if($K31="S1","a",if($K31="S2","b","")),Students!$A:$A,AP$2)+countifs(Students!$H:$H,$S31,Students!$I:$I,$S$2&amp;if($K31="S1","a",if($K31="S2","b","")),Students!$A:$A,AP$2)+countifs(Students!$J:$J,$S31,Students!$K:$K,$S$2&amp;if($K31="S1","a",if($K31="S2","b","")),Students!$A:$A,AP$2)+countifs(Students!$L:$L,$S31,Students!$M:$M,$S$2&amp;if($K31="S1","a",if($K31="S2","b","")),Students!$A:$A,AP$2)+countifs(Students!$N:$N,$S31,Students!$O:$O,$S$2&amp;if($K31="S1","a",if($K31="S2","b","")),Students!$A:$A,AP$2)+countifs(Students!$P:$P,$S31,Students!$Q:$Q,$S$2&amp;if($K31="S1","a",if($K31="S2","b","")),Students!$A:$A,AP$2)+countifs(Students!$R:$R,$S31,Students!$S:$S,$S$2&amp;if($K31="S1","a",if($K31="S2","b","")),Students!$A:$A,AP$2)+countifs(Students!$T:$T,$S31,Students!$U:$U,$S$2&amp;if($K31="S1","a",if($K31="S2","b","")),Students!$A:$A,AP$2)+countifs(Students!$V:$V,$S31,Students!$W:$W,$S$2&amp;if($K31="S1","a",if($K31="S2","b","")),Students!$A:$A,AP$2)+
countifs(Students!$D:$D,$V31,Students!$E:$E,$V$2&amp;if($K31="S1","a",if($K31="S2","b","")),Students!$A:$A,AP$2)+countifs(Students!$F:$F,$V31,Students!$G:$G,$V$2&amp;if($K31="S1","a",if($K31="S2","b","")),Students!$A:$A,AP$2)+countifs(Students!$H:$H,$V31,Students!$I:$I,$V$2&amp;if($K31="S1","a",if($K31="S2","b","")),Students!$A:$A,AP$2)+countifs(Students!$J:$J,$V31,Students!$K:$K,$V$2&amp;if($K31="S1","a",if($K31="S2","b","")),Students!$A:$A,AP$2)+countifs(Students!$L:$L,$V31,Students!$M:$M,$V$2&amp;if($K31="S1","a",if($K31="S2","b","")),Students!$A:$A,AP$2)+countifs(Students!$N:$N,$V31,Students!$O:$O,$V$2&amp;if($K31="S1","a",if($K31="S2","b","")),Students!$A:$A,AP$2)+countifs(Students!$P:$P,$V31,Students!$Q:$Q,$V$2&amp;if($K31="S1","a",if($K31="S2","b","")),Students!$A:$A,AP$2)+countifs(Students!$R:$R,$V31,Students!$S:$S,$V$2&amp;if($K31="S1","a",if($K31="S2","b","")),Students!$A:$A,AP$2)+countifs(Students!$T:$T,$V31,Students!$U:$U,$V$2&amp;if($K31="S1","a",if($K31="S2","b","")),Students!$A:$A,AP$2)+countifs(Students!$V:$V,$V31,Students!$W:$W,$V$2&amp;if($K31="S1","a",if($K31="S2","b","")),Students!$A:$A,AP$2)+
countifs(Students!$D:$D,$Y31,Students!$E:$E,$Y$2&amp;if($K31="S1","a",if($K31="S2","b","")),Students!$A:$A,AP$2)+countifs(Students!$F:$F,$Y31,Students!$G:$G,$Y$2&amp;if($K31="S1","a",if($K31="S2","b","")),Students!$A:$A,AP$2)+countifs(Students!$H:$H,$Y31,Students!$I:$I,$Y$2&amp;if($K31="S1","a",if($K31="S2","b","")),Students!$A:$A,AP$2)+countifs(Students!$J:$J,$Y31,Students!$K:$K,$Y$2&amp;if($K31="S1","a",if($K31="S2","b","")),Students!$A:$A,AP$2)+countifs(Students!$L:$L,$Y31,Students!$M:$M,$Y$2&amp;if($K31="S1","a",if($K31="S2","b","")),Students!$A:$A,AP$2)+countifs(Students!$N:$N,$Y31,Students!$O:$O,$Y$2&amp;if($K31="S1","a",if($K31="S2","b","")),Students!$A:$A,AP$2)+countifs(Students!$P:$P,$Y31,Students!$Q:$Q,$Y$2&amp;if($K31="S1","a",if($K31="S2","b","")),Students!$A:$A,AP$2)+countifs(Students!$R:$R,$Y31,Students!$S:$S,$Y$2&amp;if($K31="S1","a",if($K31="S2","b","")),Students!$A:$A,AP$2)+countifs(Students!$T:$T,$Y31,Students!$U:$U,$Y$2&amp;if($K31="S1","a",if($K31="S2","b","")),Students!$A:$A,AP$2)+countifs(Students!$V:$V,$Y31,Students!$W:$W,$Y$2&amp;if($K31="S1","a",if($K31="S2","b","")),Students!$A:$A,AP$2)+
countifs(Students!$D:$D,$AB31,Students!$E:$E,$AB$2&amp;if($K31="S1","a",if($K31="S2","b","")),Students!$A:$A,AP$2)+countifs(Students!$F:$F,$AB31,Students!$G:$G,$AB$2&amp;if($K31="S1","a",if($K31="S2","b","")),Students!$A:$A,AP$2)+countifs(Students!$H:$H,$AB31,Students!$I:$I,$AB$2&amp;if($K31="S1","a",if($K31="S2","b","")),Students!$A:$A,AP$2)+countifs(Students!$J:$J,$AB31,Students!$K:$K,$AB$2&amp;if($K31="S1","a",if($K31="S2","b","")),Students!$A:$A,AP$2)+countifs(Students!$L:$L,$AB31,Students!$M:$M,$AB$2&amp;if($K31="S1","a",if($K31="S2","b","")),Students!$A:$A,AP$2)+countifs(Students!$N:$N,$AB31,Students!$O:$O,$AB$2&amp;if($K31="S1","a",if($K31="S2","b","")),Students!$A:$A,AP$2)+countifs(Students!$P:$P,$AB31,Students!$Q:$Q,$AB$2&amp;if($K31="S1","a",if($K31="S2","b","")),Students!$A:$A,AP$2)+countifs(Students!$R:$R,$AB31,Students!$S:$S,$AB$2&amp;if($K31="S1","a",if($K31="S2","b","")),Students!$A:$A,AP$2)+countifs(Students!$T:$T,$AB31,Students!$U:$U,$AB$2&amp;if($K31="S1","a",if($K31="S2","b","")),Students!$A:$A,AP$2)+countifs(Students!$V:$V,$AB31,Students!$W:$W,$AB$2&amp;if($K31="S1","a",if($K31="S2","b","")),Students!$A:$A,AP$2)+
countifs(Students!$D:$D,$AE31,Students!$E:$E,$AE$2&amp;if($K31="S1","a",if($K31="S2","b","")),Students!$A:$A,AP$2)+countifs(Students!$F:$F,$AE31,Students!$G:$G,$AE$2&amp;if($K31="S1","a",if($K31="S2","b","")),Students!$A:$A,AP$2)+countifs(Students!$H:$H,$AE31,Students!$I:$I,$AE$2&amp;if($K31="S1","a",if($K31="S2","b","")),Students!$A:$A,AP$2)+countifs(Students!$J:$J,$AE31,Students!$K:$K,$AE$2&amp;if($K31="S1","a",if($K31="S2","b","")),Students!$A:$A,AP$2)+countifs(Students!$L:$L,$AE31,Students!$M:$M,$AE$2&amp;if($K31="S1","a",if($K31="S2","b","")),Students!$A:$A,AP$2)+countifs(Students!$N:$N,$AE31,Students!$O:$O,$AE$2&amp;if($K31="S1","a",if($K31="S2","b","")),Students!$A:$A,AP$2)+countifs(Students!$P:$P,$AE31,Students!$Q:$Q,$AE$2&amp;if($K31="S1","a",if($K31="S2","b","")),Students!$A:$A,AP$2)+countifs(Students!$R:$R,$AE31,Students!$S:$S,$AE$2&amp;if($K31="S1","a",if($K31="S2","b","")),Students!$A:$A,AP$2)+countifs(Students!$T:$T,$AE31,Students!$U:$U,$AE$2&amp;if($K31="S1","a",if($K31="S2","b","")),Students!$A:$A,AP$2)+countifs(Students!$V:$V,$AE31,Students!$W:$W,$AE$2&amp;if($K31="S1","a",if($K31="S2","b","")),Students!$A:$A,AP$2)+
countifs(Students!$D:$D,$AH31,Students!$E:$E,$AH$2&amp;if($K31="S1","a",if($K31="S2","b","")),Students!$A:$A,AP$2)+countifs(Students!$F:$F,$AH31,Students!$G:$G,$AH$2&amp;if($K31="S1","a",if($K31="S2","b","")),Students!$A:$A,AP$2)+countifs(Students!$H:$H,$AH31,Students!$I:$I,$AH$2&amp;if($K31="S1","a",if($K31="S2","b","")),Students!$A:$A,AP$2)+countifs(Students!$J:$J,$AH31,Students!$K:$K,$AH$2&amp;if($K31="S1","a",if($K31="S2","b","")),Students!$A:$A,AP$2)+countifs(Students!$L:$L,$AH31,Students!$M:$M,$AH$2&amp;if($K31="S1","a",if($K31="S2","b","")),Students!$A:$A,AP$2)+countifs(Students!$N:$N,$AH31,Students!$O:$O,$AH$2&amp;if($K31="S1","a",if($K31="S2","b","")),Students!$A:$A,AP$2)+countifs(Students!$P:$P,$AH31,Students!$Q:$Q,$AH$2&amp;if($K31="S1","a",if($K31="S2","b","")),Students!$A:$A,AP$2)+countifs(Students!$R:$R,$AH31,Students!$S:$S,$AH$2&amp;if($K31="S1","a",if($K31="S2","b","")),Students!$A:$A,AP$2)+countifs(Students!$T:$T,$AH31,Students!$U:$U,$AH$2&amp;if($K31="S1","a",if($K31="S2","b","")),Students!$A:$A,AP$2)+countifs(Students!$V:$V,$AH31,Students!$W:$W,$AH$2&amp;if($K31="S1","a",if($K31="S2","b","")),Students!$A:$A,AP$2)+
countifs(Students!$D:$D,$AK31,Students!$E:$E,$AK$2&amp;if($K31="S1","a",if($K31="S2","b","")),Students!$A:$A,AP$2)+countifs(Students!$F:$F,$AK31,Students!$G:$G,$AK$2&amp;if($K31="S1","a",if($K31="S2","b","")),Students!$A:$A,AP$2)+countifs(Students!$H:$H,$AK31,Students!$I:$I,$AK$2&amp;if($K31="S1","a",if($K31="S2","b","")),Students!$A:$A,AP$2)+countifs(Students!$J:$J,$AK31,Students!$K:$K,$AK$2&amp;if($K31="S1","a",if($K31="S2","b","")),Students!$A:$A,AP$2)+countifs(Students!$L:$L,$AK31,Students!$M:$M,$AK$2&amp;if($K31="S1","a",if($K31="S2","b","")),Students!$A:$A,AP$2)+countifs(Students!$N:$N,$AK31,Students!$O:$O,$AK$2&amp;if($K31="S1","a",if($K31="S2","b","")),Students!$A:$A,AP$2)+countifs(Students!$P:$P,$AK31,Students!$Q:$Q,$AK$2&amp;if($K31="S1","a",if($K31="S2","b","")),Students!$A:$A,AP$2)+countifs(Students!$R:$R,$AK31,Students!$S:$S,$AK$2&amp;if($K31="S1","a",if($K31="S2","b","")),Students!$A:$A,AP$2)+countifs(Students!$T:$T,$AK31,Students!$U:$U,$AK$2&amp;if($K31="S1","a",if($K31="S2","b","")),Students!$A:$A,AP$2)+countifs(Students!$V:$V,$AK31,Students!$W:$W,$AK$2&amp;if($K31="S1","a",if($K31="S2","b","")),Students!$A:$A,AP$2))</f>
        <v>0</v>
      </c>
      <c r="AQ31" s="102">
        <f>if($L31="","",countifs(Students!$D:$D,$P31,Students!$E:$E,$P$2&amp;if($K31="S1","a",if($K31="S2","b","")),Students!$A:$A,AQ$2)+countifs(Students!$F:$F,$P31,Students!$G:$G,$P$2&amp;if($K31="S1","a",if($K31="S2","b","")),Students!$A:$A,AQ$2)+countifs(Students!$H:$H,$P31,Students!$I:$I,$P$2&amp;if($K31="S1","a",if($K31="S2","b","")),Students!$A:$A,AQ$2)+countifs(Students!$J:$J,$P31,Students!$K:$K,$P$2&amp;if($K31="S1","a",if($K31="S2","b","")),Students!$A:$A,AQ$2)+countifs(Students!$L:$L,$P31,Students!$M:$M,$P$2&amp;if($K31="S1","a",if($K31="S2","b","")),Students!$A:$A,AQ$2)+countifs(Students!$N:$N,$P31,Students!$O:$O,$P$2&amp;if($K31="S1","a",if($K31="S2","b","")),Students!$A:$A,AQ$2)+countifs(Students!$P:$P,$P31,Students!$Q:$Q,$P$2&amp;if($K31="S1","a",if($K31="S2","b","")),Students!$A:$A,AQ$2)+countifs(Students!$R:$R,$P31,Students!$S:$S,$P$2&amp;if($K31="S1","a",if($K31="S2","b","")),Students!$A:$A,AQ$2)+countifs(Students!$T:$T,$P31,Students!$U:$U,$P$2&amp;if($K31="S1","a",if($K31="S2","b","")),Students!$A:$A,AQ$2)+countifs(Students!$V:$V,$P31,Students!$W:$W,$P$2&amp;if($K31="S1","a",if($K31="S2","b","")),Students!$A:$A,AQ$2)+
countifs(Students!$D:$D,$S31,Students!$E:$E,$S$2&amp;if($K31="S1","a",if($K31="S2","b","")),Students!$A:$A,AQ$2)+countifs(Students!$F:$F,$S31,Students!$G:$G,$S$2&amp;if($K31="S1","a",if($K31="S2","b","")),Students!$A:$A,AQ$2)+countifs(Students!$H:$H,$S31,Students!$I:$I,$S$2&amp;if($K31="S1","a",if($K31="S2","b","")),Students!$A:$A,AQ$2)+countifs(Students!$J:$J,$S31,Students!$K:$K,$S$2&amp;if($K31="S1","a",if($K31="S2","b","")),Students!$A:$A,AQ$2)+countifs(Students!$L:$L,$S31,Students!$M:$M,$S$2&amp;if($K31="S1","a",if($K31="S2","b","")),Students!$A:$A,AQ$2)+countifs(Students!$N:$N,$S31,Students!$O:$O,$S$2&amp;if($K31="S1","a",if($K31="S2","b","")),Students!$A:$A,AQ$2)+countifs(Students!$P:$P,$S31,Students!$Q:$Q,$S$2&amp;if($K31="S1","a",if($K31="S2","b","")),Students!$A:$A,AQ$2)+countifs(Students!$R:$R,$S31,Students!$S:$S,$S$2&amp;if($K31="S1","a",if($K31="S2","b","")),Students!$A:$A,AQ$2)+countifs(Students!$T:$T,$S31,Students!$U:$U,$S$2&amp;if($K31="S1","a",if($K31="S2","b","")),Students!$A:$A,AQ$2)+countifs(Students!$V:$V,$S31,Students!$W:$W,$S$2&amp;if($K31="S1","a",if($K31="S2","b","")),Students!$A:$A,AQ$2)+
countifs(Students!$D:$D,$V31,Students!$E:$E,$V$2&amp;if($K31="S1","a",if($K31="S2","b","")),Students!$A:$A,AQ$2)+countifs(Students!$F:$F,$V31,Students!$G:$G,$V$2&amp;if($K31="S1","a",if($K31="S2","b","")),Students!$A:$A,AQ$2)+countifs(Students!$H:$H,$V31,Students!$I:$I,$V$2&amp;if($K31="S1","a",if($K31="S2","b","")),Students!$A:$A,AQ$2)+countifs(Students!$J:$J,$V31,Students!$K:$K,$V$2&amp;if($K31="S1","a",if($K31="S2","b","")),Students!$A:$A,AQ$2)+countifs(Students!$L:$L,$V31,Students!$M:$M,$V$2&amp;if($K31="S1","a",if($K31="S2","b","")),Students!$A:$A,AQ$2)+countifs(Students!$N:$N,$V31,Students!$O:$O,$V$2&amp;if($K31="S1","a",if($K31="S2","b","")),Students!$A:$A,AQ$2)+countifs(Students!$P:$P,$V31,Students!$Q:$Q,$V$2&amp;if($K31="S1","a",if($K31="S2","b","")),Students!$A:$A,AQ$2)+countifs(Students!$R:$R,$V31,Students!$S:$S,$V$2&amp;if($K31="S1","a",if($K31="S2","b","")),Students!$A:$A,AQ$2)+countifs(Students!$T:$T,$V31,Students!$U:$U,$V$2&amp;if($K31="S1","a",if($K31="S2","b","")),Students!$A:$A,AQ$2)+countifs(Students!$V:$V,$V31,Students!$W:$W,$V$2&amp;if($K31="S1","a",if($K31="S2","b","")),Students!$A:$A,AQ$2)+
countifs(Students!$D:$D,$Y31,Students!$E:$E,$Y$2&amp;if($K31="S1","a",if($K31="S2","b","")),Students!$A:$A,AQ$2)+countifs(Students!$F:$F,$Y31,Students!$G:$G,$Y$2&amp;if($K31="S1","a",if($K31="S2","b","")),Students!$A:$A,AQ$2)+countifs(Students!$H:$H,$Y31,Students!$I:$I,$Y$2&amp;if($K31="S1","a",if($K31="S2","b","")),Students!$A:$A,AQ$2)+countifs(Students!$J:$J,$Y31,Students!$K:$K,$Y$2&amp;if($K31="S1","a",if($K31="S2","b","")),Students!$A:$A,AQ$2)+countifs(Students!$L:$L,$Y31,Students!$M:$M,$Y$2&amp;if($K31="S1","a",if($K31="S2","b","")),Students!$A:$A,AQ$2)+countifs(Students!$N:$N,$Y31,Students!$O:$O,$Y$2&amp;if($K31="S1","a",if($K31="S2","b","")),Students!$A:$A,AQ$2)+countifs(Students!$P:$P,$Y31,Students!$Q:$Q,$Y$2&amp;if($K31="S1","a",if($K31="S2","b","")),Students!$A:$A,AQ$2)+countifs(Students!$R:$R,$Y31,Students!$S:$S,$Y$2&amp;if($K31="S1","a",if($K31="S2","b","")),Students!$A:$A,AQ$2)+countifs(Students!$T:$T,$Y31,Students!$U:$U,$Y$2&amp;if($K31="S1","a",if($K31="S2","b","")),Students!$A:$A,AQ$2)+countifs(Students!$V:$V,$Y31,Students!$W:$W,$Y$2&amp;if($K31="S1","a",if($K31="S2","b","")),Students!$A:$A,AQ$2)+
countifs(Students!$D:$D,$AB31,Students!$E:$E,$AB$2&amp;if($K31="S1","a",if($K31="S2","b","")),Students!$A:$A,AQ$2)+countifs(Students!$F:$F,$AB31,Students!$G:$G,$AB$2&amp;if($K31="S1","a",if($K31="S2","b","")),Students!$A:$A,AQ$2)+countifs(Students!$H:$H,$AB31,Students!$I:$I,$AB$2&amp;if($K31="S1","a",if($K31="S2","b","")),Students!$A:$A,AQ$2)+countifs(Students!$J:$J,$AB31,Students!$K:$K,$AB$2&amp;if($K31="S1","a",if($K31="S2","b","")),Students!$A:$A,AQ$2)+countifs(Students!$L:$L,$AB31,Students!$M:$M,$AB$2&amp;if($K31="S1","a",if($K31="S2","b","")),Students!$A:$A,AQ$2)+countifs(Students!$N:$N,$AB31,Students!$O:$O,$AB$2&amp;if($K31="S1","a",if($K31="S2","b","")),Students!$A:$A,AQ$2)+countifs(Students!$P:$P,$AB31,Students!$Q:$Q,$AB$2&amp;if($K31="S1","a",if($K31="S2","b","")),Students!$A:$A,AQ$2)+countifs(Students!$R:$R,$AB31,Students!$S:$S,$AB$2&amp;if($K31="S1","a",if($K31="S2","b","")),Students!$A:$A,AQ$2)+countifs(Students!$T:$T,$AB31,Students!$U:$U,$AB$2&amp;if($K31="S1","a",if($K31="S2","b","")),Students!$A:$A,AQ$2)+countifs(Students!$V:$V,$AB31,Students!$W:$W,$AB$2&amp;if($K31="S1","a",if($K31="S2","b","")),Students!$A:$A,AQ$2)+
countifs(Students!$D:$D,$AE31,Students!$E:$E,$AE$2&amp;if($K31="S1","a",if($K31="S2","b","")),Students!$A:$A,AQ$2)+countifs(Students!$F:$F,$AE31,Students!$G:$G,$AE$2&amp;if($K31="S1","a",if($K31="S2","b","")),Students!$A:$A,AQ$2)+countifs(Students!$H:$H,$AE31,Students!$I:$I,$AE$2&amp;if($K31="S1","a",if($K31="S2","b","")),Students!$A:$A,AQ$2)+countifs(Students!$J:$J,$AE31,Students!$K:$K,$AE$2&amp;if($K31="S1","a",if($K31="S2","b","")),Students!$A:$A,AQ$2)+countifs(Students!$L:$L,$AE31,Students!$M:$M,$AE$2&amp;if($K31="S1","a",if($K31="S2","b","")),Students!$A:$A,AQ$2)+countifs(Students!$N:$N,$AE31,Students!$O:$O,$AE$2&amp;if($K31="S1","a",if($K31="S2","b","")),Students!$A:$A,AQ$2)+countifs(Students!$P:$P,$AE31,Students!$Q:$Q,$AE$2&amp;if($K31="S1","a",if($K31="S2","b","")),Students!$A:$A,AQ$2)+countifs(Students!$R:$R,$AE31,Students!$S:$S,$AE$2&amp;if($K31="S1","a",if($K31="S2","b","")),Students!$A:$A,AQ$2)+countifs(Students!$T:$T,$AE31,Students!$U:$U,$AE$2&amp;if($K31="S1","a",if($K31="S2","b","")),Students!$A:$A,AQ$2)+countifs(Students!$V:$V,$AE31,Students!$W:$W,$AE$2&amp;if($K31="S1","a",if($K31="S2","b","")),Students!$A:$A,AQ$2)+
countifs(Students!$D:$D,$AH31,Students!$E:$E,$AH$2&amp;if($K31="S1","a",if($K31="S2","b","")),Students!$A:$A,AQ$2)+countifs(Students!$F:$F,$AH31,Students!$G:$G,$AH$2&amp;if($K31="S1","a",if($K31="S2","b","")),Students!$A:$A,AQ$2)+countifs(Students!$H:$H,$AH31,Students!$I:$I,$AH$2&amp;if($K31="S1","a",if($K31="S2","b","")),Students!$A:$A,AQ$2)+countifs(Students!$J:$J,$AH31,Students!$K:$K,$AH$2&amp;if($K31="S1","a",if($K31="S2","b","")),Students!$A:$A,AQ$2)+countifs(Students!$L:$L,$AH31,Students!$M:$M,$AH$2&amp;if($K31="S1","a",if($K31="S2","b","")),Students!$A:$A,AQ$2)+countifs(Students!$N:$N,$AH31,Students!$O:$O,$AH$2&amp;if($K31="S1","a",if($K31="S2","b","")),Students!$A:$A,AQ$2)+countifs(Students!$P:$P,$AH31,Students!$Q:$Q,$AH$2&amp;if($K31="S1","a",if($K31="S2","b","")),Students!$A:$A,AQ$2)+countifs(Students!$R:$R,$AH31,Students!$S:$S,$AH$2&amp;if($K31="S1","a",if($K31="S2","b","")),Students!$A:$A,AQ$2)+countifs(Students!$T:$T,$AH31,Students!$U:$U,$AH$2&amp;if($K31="S1","a",if($K31="S2","b","")),Students!$A:$A,AQ$2)+countifs(Students!$V:$V,$AH31,Students!$W:$W,$AH$2&amp;if($K31="S1","a",if($K31="S2","b","")),Students!$A:$A,AQ$2)+
countifs(Students!$D:$D,$AK31,Students!$E:$E,$AK$2&amp;if($K31="S1","a",if($K31="S2","b","")),Students!$A:$A,AQ$2)+countifs(Students!$F:$F,$AK31,Students!$G:$G,$AK$2&amp;if($K31="S1","a",if($K31="S2","b","")),Students!$A:$A,AQ$2)+countifs(Students!$H:$H,$AK31,Students!$I:$I,$AK$2&amp;if($K31="S1","a",if($K31="S2","b","")),Students!$A:$A,AQ$2)+countifs(Students!$J:$J,$AK31,Students!$K:$K,$AK$2&amp;if($K31="S1","a",if($K31="S2","b","")),Students!$A:$A,AQ$2)+countifs(Students!$L:$L,$AK31,Students!$M:$M,$AK$2&amp;if($K31="S1","a",if($K31="S2","b","")),Students!$A:$A,AQ$2)+countifs(Students!$N:$N,$AK31,Students!$O:$O,$AK$2&amp;if($K31="S1","a",if($K31="S2","b","")),Students!$A:$A,AQ$2)+countifs(Students!$P:$P,$AK31,Students!$Q:$Q,$AK$2&amp;if($K31="S1","a",if($K31="S2","b","")),Students!$A:$A,AQ$2)+countifs(Students!$R:$R,$AK31,Students!$S:$S,$AK$2&amp;if($K31="S1","a",if($K31="S2","b","")),Students!$A:$A,AQ$2)+countifs(Students!$T:$T,$AK31,Students!$U:$U,$AK$2&amp;if($K31="S1","a",if($K31="S2","b","")),Students!$A:$A,AQ$2)+countifs(Students!$V:$V,$AK31,Students!$W:$W,$AK$2&amp;if($K31="S1","a",if($K31="S2","b","")),Students!$A:$A,AQ$2))</f>
        <v>74</v>
      </c>
      <c r="AR31" s="102">
        <f>if($L31="","",countifs(Students!$D:$D,$P31,Students!$E:$E,$P$2&amp;if($K31="S1","a",if($K31="S2","b","")),Students!$A:$A,AR$2)+countifs(Students!$F:$F,$P31,Students!$G:$G,$P$2&amp;if($K31="S1","a",if($K31="S2","b","")),Students!$A:$A,AR$2)+countifs(Students!$H:$H,$P31,Students!$I:$I,$P$2&amp;if($K31="S1","a",if($K31="S2","b","")),Students!$A:$A,AR$2)+countifs(Students!$J:$J,$P31,Students!$K:$K,$P$2&amp;if($K31="S1","a",if($K31="S2","b","")),Students!$A:$A,AR$2)+countifs(Students!$L:$L,$P31,Students!$M:$M,$P$2&amp;if($K31="S1","a",if($K31="S2","b","")),Students!$A:$A,AR$2)+countifs(Students!$N:$N,$P31,Students!$O:$O,$P$2&amp;if($K31="S1","a",if($K31="S2","b","")),Students!$A:$A,AR$2)+countifs(Students!$P:$P,$P31,Students!$Q:$Q,$P$2&amp;if($K31="S1","a",if($K31="S2","b","")),Students!$A:$A,AR$2)+countifs(Students!$R:$R,$P31,Students!$S:$S,$P$2&amp;if($K31="S1","a",if($K31="S2","b","")),Students!$A:$A,AR$2)+countifs(Students!$T:$T,$P31,Students!$U:$U,$P$2&amp;if($K31="S1","a",if($K31="S2","b","")),Students!$A:$A,AR$2)+countifs(Students!$V:$V,$P31,Students!$W:$W,$P$2&amp;if($K31="S1","a",if($K31="S2","b","")),Students!$A:$A,AR$2)+
countifs(Students!$D:$D,$S31,Students!$E:$E,$S$2&amp;if($K31="S1","a",if($K31="S2","b","")),Students!$A:$A,AR$2)+countifs(Students!$F:$F,$S31,Students!$G:$G,$S$2&amp;if($K31="S1","a",if($K31="S2","b","")),Students!$A:$A,AR$2)+countifs(Students!$H:$H,$S31,Students!$I:$I,$S$2&amp;if($K31="S1","a",if($K31="S2","b","")),Students!$A:$A,AR$2)+countifs(Students!$J:$J,$S31,Students!$K:$K,$S$2&amp;if($K31="S1","a",if($K31="S2","b","")),Students!$A:$A,AR$2)+countifs(Students!$L:$L,$S31,Students!$M:$M,$S$2&amp;if($K31="S1","a",if($K31="S2","b","")),Students!$A:$A,AR$2)+countifs(Students!$N:$N,$S31,Students!$O:$O,$S$2&amp;if($K31="S1","a",if($K31="S2","b","")),Students!$A:$A,AR$2)+countifs(Students!$P:$P,$S31,Students!$Q:$Q,$S$2&amp;if($K31="S1","a",if($K31="S2","b","")),Students!$A:$A,AR$2)+countifs(Students!$R:$R,$S31,Students!$S:$S,$S$2&amp;if($K31="S1","a",if($K31="S2","b","")),Students!$A:$A,AR$2)+countifs(Students!$T:$T,$S31,Students!$U:$U,$S$2&amp;if($K31="S1","a",if($K31="S2","b","")),Students!$A:$A,AR$2)+countifs(Students!$V:$V,$S31,Students!$W:$W,$S$2&amp;if($K31="S1","a",if($K31="S2","b","")),Students!$A:$A,AR$2)+
countifs(Students!$D:$D,$V31,Students!$E:$E,$V$2&amp;if($K31="S1","a",if($K31="S2","b","")),Students!$A:$A,AR$2)+countifs(Students!$F:$F,$V31,Students!$G:$G,$V$2&amp;if($K31="S1","a",if($K31="S2","b","")),Students!$A:$A,AR$2)+countifs(Students!$H:$H,$V31,Students!$I:$I,$V$2&amp;if($K31="S1","a",if($K31="S2","b","")),Students!$A:$A,AR$2)+countifs(Students!$J:$J,$V31,Students!$K:$K,$V$2&amp;if($K31="S1","a",if($K31="S2","b","")),Students!$A:$A,AR$2)+countifs(Students!$L:$L,$V31,Students!$M:$M,$V$2&amp;if($K31="S1","a",if($K31="S2","b","")),Students!$A:$A,AR$2)+countifs(Students!$N:$N,$V31,Students!$O:$O,$V$2&amp;if($K31="S1","a",if($K31="S2","b","")),Students!$A:$A,AR$2)+countifs(Students!$P:$P,$V31,Students!$Q:$Q,$V$2&amp;if($K31="S1","a",if($K31="S2","b","")),Students!$A:$A,AR$2)+countifs(Students!$R:$R,$V31,Students!$S:$S,$V$2&amp;if($K31="S1","a",if($K31="S2","b","")),Students!$A:$A,AR$2)+countifs(Students!$T:$T,$V31,Students!$U:$U,$V$2&amp;if($K31="S1","a",if($K31="S2","b","")),Students!$A:$A,AR$2)+countifs(Students!$V:$V,$V31,Students!$W:$W,$V$2&amp;if($K31="S1","a",if($K31="S2","b","")),Students!$A:$A,AR$2)+
countifs(Students!$D:$D,$Y31,Students!$E:$E,$Y$2&amp;if($K31="S1","a",if($K31="S2","b","")),Students!$A:$A,AR$2)+countifs(Students!$F:$F,$Y31,Students!$G:$G,$Y$2&amp;if($K31="S1","a",if($K31="S2","b","")),Students!$A:$A,AR$2)+countifs(Students!$H:$H,$Y31,Students!$I:$I,$Y$2&amp;if($K31="S1","a",if($K31="S2","b","")),Students!$A:$A,AR$2)+countifs(Students!$J:$J,$Y31,Students!$K:$K,$Y$2&amp;if($K31="S1","a",if($K31="S2","b","")),Students!$A:$A,AR$2)+countifs(Students!$L:$L,$Y31,Students!$M:$M,$Y$2&amp;if($K31="S1","a",if($K31="S2","b","")),Students!$A:$A,AR$2)+countifs(Students!$N:$N,$Y31,Students!$O:$O,$Y$2&amp;if($K31="S1","a",if($K31="S2","b","")),Students!$A:$A,AR$2)+countifs(Students!$P:$P,$Y31,Students!$Q:$Q,$Y$2&amp;if($K31="S1","a",if($K31="S2","b","")),Students!$A:$A,AR$2)+countifs(Students!$R:$R,$Y31,Students!$S:$S,$Y$2&amp;if($K31="S1","a",if($K31="S2","b","")),Students!$A:$A,AR$2)+countifs(Students!$T:$T,$Y31,Students!$U:$U,$Y$2&amp;if($K31="S1","a",if($K31="S2","b","")),Students!$A:$A,AR$2)+countifs(Students!$V:$V,$Y31,Students!$W:$W,$Y$2&amp;if($K31="S1","a",if($K31="S2","b","")),Students!$A:$A,AR$2)+
countifs(Students!$D:$D,$AB31,Students!$E:$E,$AB$2&amp;if($K31="S1","a",if($K31="S2","b","")),Students!$A:$A,AR$2)+countifs(Students!$F:$F,$AB31,Students!$G:$G,$AB$2&amp;if($K31="S1","a",if($K31="S2","b","")),Students!$A:$A,AR$2)+countifs(Students!$H:$H,$AB31,Students!$I:$I,$AB$2&amp;if($K31="S1","a",if($K31="S2","b","")),Students!$A:$A,AR$2)+countifs(Students!$J:$J,$AB31,Students!$K:$K,$AB$2&amp;if($K31="S1","a",if($K31="S2","b","")),Students!$A:$A,AR$2)+countifs(Students!$L:$L,$AB31,Students!$M:$M,$AB$2&amp;if($K31="S1","a",if($K31="S2","b","")),Students!$A:$A,AR$2)+countifs(Students!$N:$N,$AB31,Students!$O:$O,$AB$2&amp;if($K31="S1","a",if($K31="S2","b","")),Students!$A:$A,AR$2)+countifs(Students!$P:$P,$AB31,Students!$Q:$Q,$AB$2&amp;if($K31="S1","a",if($K31="S2","b","")),Students!$A:$A,AR$2)+countifs(Students!$R:$R,$AB31,Students!$S:$S,$AB$2&amp;if($K31="S1","a",if($K31="S2","b","")),Students!$A:$A,AR$2)+countifs(Students!$T:$T,$AB31,Students!$U:$U,$AB$2&amp;if($K31="S1","a",if($K31="S2","b","")),Students!$A:$A,AR$2)+countifs(Students!$V:$V,$AB31,Students!$W:$W,$AB$2&amp;if($K31="S1","a",if($K31="S2","b","")),Students!$A:$A,AR$2)+
countifs(Students!$D:$D,$AE31,Students!$E:$E,$AE$2&amp;if($K31="S1","a",if($K31="S2","b","")),Students!$A:$A,AR$2)+countifs(Students!$F:$F,$AE31,Students!$G:$G,$AE$2&amp;if($K31="S1","a",if($K31="S2","b","")),Students!$A:$A,AR$2)+countifs(Students!$H:$H,$AE31,Students!$I:$I,$AE$2&amp;if($K31="S1","a",if($K31="S2","b","")),Students!$A:$A,AR$2)+countifs(Students!$J:$J,$AE31,Students!$K:$K,$AE$2&amp;if($K31="S1","a",if($K31="S2","b","")),Students!$A:$A,AR$2)+countifs(Students!$L:$L,$AE31,Students!$M:$M,$AE$2&amp;if($K31="S1","a",if($K31="S2","b","")),Students!$A:$A,AR$2)+countifs(Students!$N:$N,$AE31,Students!$O:$O,$AE$2&amp;if($K31="S1","a",if($K31="S2","b","")),Students!$A:$A,AR$2)+countifs(Students!$P:$P,$AE31,Students!$Q:$Q,$AE$2&amp;if($K31="S1","a",if($K31="S2","b","")),Students!$A:$A,AR$2)+countifs(Students!$R:$R,$AE31,Students!$S:$S,$AE$2&amp;if($K31="S1","a",if($K31="S2","b","")),Students!$A:$A,AR$2)+countifs(Students!$T:$T,$AE31,Students!$U:$U,$AE$2&amp;if($K31="S1","a",if($K31="S2","b","")),Students!$A:$A,AR$2)+countifs(Students!$V:$V,$AE31,Students!$W:$W,$AE$2&amp;if($K31="S1","a",if($K31="S2","b","")),Students!$A:$A,AR$2)+
countifs(Students!$D:$D,$AH31,Students!$E:$E,$AH$2&amp;if($K31="S1","a",if($K31="S2","b","")),Students!$A:$A,AR$2)+countifs(Students!$F:$F,$AH31,Students!$G:$G,$AH$2&amp;if($K31="S1","a",if($K31="S2","b","")),Students!$A:$A,AR$2)+countifs(Students!$H:$H,$AH31,Students!$I:$I,$AH$2&amp;if($K31="S1","a",if($K31="S2","b","")),Students!$A:$A,AR$2)+countifs(Students!$J:$J,$AH31,Students!$K:$K,$AH$2&amp;if($K31="S1","a",if($K31="S2","b","")),Students!$A:$A,AR$2)+countifs(Students!$L:$L,$AH31,Students!$M:$M,$AH$2&amp;if($K31="S1","a",if($K31="S2","b","")),Students!$A:$A,AR$2)+countifs(Students!$N:$N,$AH31,Students!$O:$O,$AH$2&amp;if($K31="S1","a",if($K31="S2","b","")),Students!$A:$A,AR$2)+countifs(Students!$P:$P,$AH31,Students!$Q:$Q,$AH$2&amp;if($K31="S1","a",if($K31="S2","b","")),Students!$A:$A,AR$2)+countifs(Students!$R:$R,$AH31,Students!$S:$S,$AH$2&amp;if($K31="S1","a",if($K31="S2","b","")),Students!$A:$A,AR$2)+countifs(Students!$T:$T,$AH31,Students!$U:$U,$AH$2&amp;if($K31="S1","a",if($K31="S2","b","")),Students!$A:$A,AR$2)+countifs(Students!$V:$V,$AH31,Students!$W:$W,$AH$2&amp;if($K31="S1","a",if($K31="S2","b","")),Students!$A:$A,AR$2)+
countifs(Students!$D:$D,$AK31,Students!$E:$E,$AK$2&amp;if($K31="S1","a",if($K31="S2","b","")),Students!$A:$A,AR$2)+countifs(Students!$F:$F,$AK31,Students!$G:$G,$AK$2&amp;if($K31="S1","a",if($K31="S2","b","")),Students!$A:$A,AR$2)+countifs(Students!$H:$H,$AK31,Students!$I:$I,$AK$2&amp;if($K31="S1","a",if($K31="S2","b","")),Students!$A:$A,AR$2)+countifs(Students!$J:$J,$AK31,Students!$K:$K,$AK$2&amp;if($K31="S1","a",if($K31="S2","b","")),Students!$A:$A,AR$2)+countifs(Students!$L:$L,$AK31,Students!$M:$M,$AK$2&amp;if($K31="S1","a",if($K31="S2","b","")),Students!$A:$A,AR$2)+countifs(Students!$N:$N,$AK31,Students!$O:$O,$AK$2&amp;if($K31="S1","a",if($K31="S2","b","")),Students!$A:$A,AR$2)+countifs(Students!$P:$P,$AK31,Students!$Q:$Q,$AK$2&amp;if($K31="S1","a",if($K31="S2","b","")),Students!$A:$A,AR$2)+countifs(Students!$R:$R,$AK31,Students!$S:$S,$AK$2&amp;if($K31="S1","a",if($K31="S2","b","")),Students!$A:$A,AR$2)+countifs(Students!$T:$T,$AK31,Students!$U:$U,$AK$2&amp;if($K31="S1","a",if($K31="S2","b","")),Students!$A:$A,AR$2)+countifs(Students!$V:$V,$AK31,Students!$W:$W,$AK$2&amp;if($K31="S1","a",if($K31="S2","b","")),Students!$A:$A,AR$2))</f>
        <v>4</v>
      </c>
      <c r="AS31" s="102">
        <f>if($L31="","",countifs(Students!$D:$D,$P31,Students!$E:$E,$P$2&amp;if($K31="S1","a",if($K31="S2","b","")),Students!$A:$A,AS$2)+countifs(Students!$F:$F,$P31,Students!$G:$G,$P$2&amp;if($K31="S1","a",if($K31="S2","b","")),Students!$A:$A,AS$2)+countifs(Students!$H:$H,$P31,Students!$I:$I,$P$2&amp;if($K31="S1","a",if($K31="S2","b","")),Students!$A:$A,AS$2)+countifs(Students!$J:$J,$P31,Students!$K:$K,$P$2&amp;if($K31="S1","a",if($K31="S2","b","")),Students!$A:$A,AS$2)+countifs(Students!$L:$L,$P31,Students!$M:$M,$P$2&amp;if($K31="S1","a",if($K31="S2","b","")),Students!$A:$A,AS$2)+countifs(Students!$N:$N,$P31,Students!$O:$O,$P$2&amp;if($K31="S1","a",if($K31="S2","b","")),Students!$A:$A,AS$2)+countifs(Students!$P:$P,$P31,Students!$Q:$Q,$P$2&amp;if($K31="S1","a",if($K31="S2","b","")),Students!$A:$A,AS$2)+countifs(Students!$R:$R,$P31,Students!$S:$S,$P$2&amp;if($K31="S1","a",if($K31="S2","b","")),Students!$A:$A,AS$2)+countifs(Students!$T:$T,$P31,Students!$U:$U,$P$2&amp;if($K31="S1","a",if($K31="S2","b","")),Students!$A:$A,AS$2)+countifs(Students!$V:$V,$P31,Students!$W:$W,$P$2&amp;if($K31="S1","a",if($K31="S2","b","")),Students!$A:$A,AS$2)+
countifs(Students!$D:$D,$S31,Students!$E:$E,$S$2&amp;if($K31="S1","a",if($K31="S2","b","")),Students!$A:$A,AS$2)+countifs(Students!$F:$F,$S31,Students!$G:$G,$S$2&amp;if($K31="S1","a",if($K31="S2","b","")),Students!$A:$A,AS$2)+countifs(Students!$H:$H,$S31,Students!$I:$I,$S$2&amp;if($K31="S1","a",if($K31="S2","b","")),Students!$A:$A,AS$2)+countifs(Students!$J:$J,$S31,Students!$K:$K,$S$2&amp;if($K31="S1","a",if($K31="S2","b","")),Students!$A:$A,AS$2)+countifs(Students!$L:$L,$S31,Students!$M:$M,$S$2&amp;if($K31="S1","a",if($K31="S2","b","")),Students!$A:$A,AS$2)+countifs(Students!$N:$N,$S31,Students!$O:$O,$S$2&amp;if($K31="S1","a",if($K31="S2","b","")),Students!$A:$A,AS$2)+countifs(Students!$P:$P,$S31,Students!$Q:$Q,$S$2&amp;if($K31="S1","a",if($K31="S2","b","")),Students!$A:$A,AS$2)+countifs(Students!$R:$R,$S31,Students!$S:$S,$S$2&amp;if($K31="S1","a",if($K31="S2","b","")),Students!$A:$A,AS$2)+countifs(Students!$T:$T,$S31,Students!$U:$U,$S$2&amp;if($K31="S1","a",if($K31="S2","b","")),Students!$A:$A,AS$2)+countifs(Students!$V:$V,$S31,Students!$W:$W,$S$2&amp;if($K31="S1","a",if($K31="S2","b","")),Students!$A:$A,AS$2)+
countifs(Students!$D:$D,$V31,Students!$E:$E,$V$2&amp;if($K31="S1","a",if($K31="S2","b","")),Students!$A:$A,AS$2)+countifs(Students!$F:$F,$V31,Students!$G:$G,$V$2&amp;if($K31="S1","a",if($K31="S2","b","")),Students!$A:$A,AS$2)+countifs(Students!$H:$H,$V31,Students!$I:$I,$V$2&amp;if($K31="S1","a",if($K31="S2","b","")),Students!$A:$A,AS$2)+countifs(Students!$J:$J,$V31,Students!$K:$K,$V$2&amp;if($K31="S1","a",if($K31="S2","b","")),Students!$A:$A,AS$2)+countifs(Students!$L:$L,$V31,Students!$M:$M,$V$2&amp;if($K31="S1","a",if($K31="S2","b","")),Students!$A:$A,AS$2)+countifs(Students!$N:$N,$V31,Students!$O:$O,$V$2&amp;if($K31="S1","a",if($K31="S2","b","")),Students!$A:$A,AS$2)+countifs(Students!$P:$P,$V31,Students!$Q:$Q,$V$2&amp;if($K31="S1","a",if($K31="S2","b","")),Students!$A:$A,AS$2)+countifs(Students!$R:$R,$V31,Students!$S:$S,$V$2&amp;if($K31="S1","a",if($K31="S2","b","")),Students!$A:$A,AS$2)+countifs(Students!$T:$T,$V31,Students!$U:$U,$V$2&amp;if($K31="S1","a",if($K31="S2","b","")),Students!$A:$A,AS$2)+countifs(Students!$V:$V,$V31,Students!$W:$W,$V$2&amp;if($K31="S1","a",if($K31="S2","b","")),Students!$A:$A,AS$2)+
countifs(Students!$D:$D,$Y31,Students!$E:$E,$Y$2&amp;if($K31="S1","a",if($K31="S2","b","")),Students!$A:$A,AS$2)+countifs(Students!$F:$F,$Y31,Students!$G:$G,$Y$2&amp;if($K31="S1","a",if($K31="S2","b","")),Students!$A:$A,AS$2)+countifs(Students!$H:$H,$Y31,Students!$I:$I,$Y$2&amp;if($K31="S1","a",if($K31="S2","b","")),Students!$A:$A,AS$2)+countifs(Students!$J:$J,$Y31,Students!$K:$K,$Y$2&amp;if($K31="S1","a",if($K31="S2","b","")),Students!$A:$A,AS$2)+countifs(Students!$L:$L,$Y31,Students!$M:$M,$Y$2&amp;if($K31="S1","a",if($K31="S2","b","")),Students!$A:$A,AS$2)+countifs(Students!$N:$N,$Y31,Students!$O:$O,$Y$2&amp;if($K31="S1","a",if($K31="S2","b","")),Students!$A:$A,AS$2)+countifs(Students!$P:$P,$Y31,Students!$Q:$Q,$Y$2&amp;if($K31="S1","a",if($K31="S2","b","")),Students!$A:$A,AS$2)+countifs(Students!$R:$R,$Y31,Students!$S:$S,$Y$2&amp;if($K31="S1","a",if($K31="S2","b","")),Students!$A:$A,AS$2)+countifs(Students!$T:$T,$Y31,Students!$U:$U,$Y$2&amp;if($K31="S1","a",if($K31="S2","b","")),Students!$A:$A,AS$2)+countifs(Students!$V:$V,$Y31,Students!$W:$W,$Y$2&amp;if($K31="S1","a",if($K31="S2","b","")),Students!$A:$A,AS$2)+
countifs(Students!$D:$D,$AB31,Students!$E:$E,$AB$2&amp;if($K31="S1","a",if($K31="S2","b","")),Students!$A:$A,AS$2)+countifs(Students!$F:$F,$AB31,Students!$G:$G,$AB$2&amp;if($K31="S1","a",if($K31="S2","b","")),Students!$A:$A,AS$2)+countifs(Students!$H:$H,$AB31,Students!$I:$I,$AB$2&amp;if($K31="S1","a",if($K31="S2","b","")),Students!$A:$A,AS$2)+countifs(Students!$J:$J,$AB31,Students!$K:$K,$AB$2&amp;if($K31="S1","a",if($K31="S2","b","")),Students!$A:$A,AS$2)+countifs(Students!$L:$L,$AB31,Students!$M:$M,$AB$2&amp;if($K31="S1","a",if($K31="S2","b","")),Students!$A:$A,AS$2)+countifs(Students!$N:$N,$AB31,Students!$O:$O,$AB$2&amp;if($K31="S1","a",if($K31="S2","b","")),Students!$A:$A,AS$2)+countifs(Students!$P:$P,$AB31,Students!$Q:$Q,$AB$2&amp;if($K31="S1","a",if($K31="S2","b","")),Students!$A:$A,AS$2)+countifs(Students!$R:$R,$AB31,Students!$S:$S,$AB$2&amp;if($K31="S1","a",if($K31="S2","b","")),Students!$A:$A,AS$2)+countifs(Students!$T:$T,$AB31,Students!$U:$U,$AB$2&amp;if($K31="S1","a",if($K31="S2","b","")),Students!$A:$A,AS$2)+countifs(Students!$V:$V,$AB31,Students!$W:$W,$AB$2&amp;if($K31="S1","a",if($K31="S2","b","")),Students!$A:$A,AS$2)+
countifs(Students!$D:$D,$AE31,Students!$E:$E,$AE$2&amp;if($K31="S1","a",if($K31="S2","b","")),Students!$A:$A,AS$2)+countifs(Students!$F:$F,$AE31,Students!$G:$G,$AE$2&amp;if($K31="S1","a",if($K31="S2","b","")),Students!$A:$A,AS$2)+countifs(Students!$H:$H,$AE31,Students!$I:$I,$AE$2&amp;if($K31="S1","a",if($K31="S2","b","")),Students!$A:$A,AS$2)+countifs(Students!$J:$J,$AE31,Students!$K:$K,$AE$2&amp;if($K31="S1","a",if($K31="S2","b","")),Students!$A:$A,AS$2)+countifs(Students!$L:$L,$AE31,Students!$M:$M,$AE$2&amp;if($K31="S1","a",if($K31="S2","b","")),Students!$A:$A,AS$2)+countifs(Students!$N:$N,$AE31,Students!$O:$O,$AE$2&amp;if($K31="S1","a",if($K31="S2","b","")),Students!$A:$A,AS$2)+countifs(Students!$P:$P,$AE31,Students!$Q:$Q,$AE$2&amp;if($K31="S1","a",if($K31="S2","b","")),Students!$A:$A,AS$2)+countifs(Students!$R:$R,$AE31,Students!$S:$S,$AE$2&amp;if($K31="S1","a",if($K31="S2","b","")),Students!$A:$A,AS$2)+countifs(Students!$T:$T,$AE31,Students!$U:$U,$AE$2&amp;if($K31="S1","a",if($K31="S2","b","")),Students!$A:$A,AS$2)+countifs(Students!$V:$V,$AE31,Students!$W:$W,$AE$2&amp;if($K31="S1","a",if($K31="S2","b","")),Students!$A:$A,AS$2)+
countifs(Students!$D:$D,$AH31,Students!$E:$E,$AH$2&amp;if($K31="S1","a",if($K31="S2","b","")),Students!$A:$A,AS$2)+countifs(Students!$F:$F,$AH31,Students!$G:$G,$AH$2&amp;if($K31="S1","a",if($K31="S2","b","")),Students!$A:$A,AS$2)+countifs(Students!$H:$H,$AH31,Students!$I:$I,$AH$2&amp;if($K31="S1","a",if($K31="S2","b","")),Students!$A:$A,AS$2)+countifs(Students!$J:$J,$AH31,Students!$K:$K,$AH$2&amp;if($K31="S1","a",if($K31="S2","b","")),Students!$A:$A,AS$2)+countifs(Students!$L:$L,$AH31,Students!$M:$M,$AH$2&amp;if($K31="S1","a",if($K31="S2","b","")),Students!$A:$A,AS$2)+countifs(Students!$N:$N,$AH31,Students!$O:$O,$AH$2&amp;if($K31="S1","a",if($K31="S2","b","")),Students!$A:$A,AS$2)+countifs(Students!$P:$P,$AH31,Students!$Q:$Q,$AH$2&amp;if($K31="S1","a",if($K31="S2","b","")),Students!$A:$A,AS$2)+countifs(Students!$R:$R,$AH31,Students!$S:$S,$AH$2&amp;if($K31="S1","a",if($K31="S2","b","")),Students!$A:$A,AS$2)+countifs(Students!$T:$T,$AH31,Students!$U:$U,$AH$2&amp;if($K31="S1","a",if($K31="S2","b","")),Students!$A:$A,AS$2)+countifs(Students!$V:$V,$AH31,Students!$W:$W,$AH$2&amp;if($K31="S1","a",if($K31="S2","b","")),Students!$A:$A,AS$2)+
countifs(Students!$D:$D,$AK31,Students!$E:$E,$AK$2&amp;if($K31="S1","a",if($K31="S2","b","")),Students!$A:$A,AS$2)+countifs(Students!$F:$F,$AK31,Students!$G:$G,$AK$2&amp;if($K31="S1","a",if($K31="S2","b","")),Students!$A:$A,AS$2)+countifs(Students!$H:$H,$AK31,Students!$I:$I,$AK$2&amp;if($K31="S1","a",if($K31="S2","b","")),Students!$A:$A,AS$2)+countifs(Students!$J:$J,$AK31,Students!$K:$K,$AK$2&amp;if($K31="S1","a",if($K31="S2","b","")),Students!$A:$A,AS$2)+countifs(Students!$L:$L,$AK31,Students!$M:$M,$AK$2&amp;if($K31="S1","a",if($K31="S2","b","")),Students!$A:$A,AS$2)+countifs(Students!$N:$N,$AK31,Students!$O:$O,$AK$2&amp;if($K31="S1","a",if($K31="S2","b","")),Students!$A:$A,AS$2)+countifs(Students!$P:$P,$AK31,Students!$Q:$Q,$AK$2&amp;if($K31="S1","a",if($K31="S2","b","")),Students!$A:$A,AS$2)+countifs(Students!$R:$R,$AK31,Students!$S:$S,$AK$2&amp;if($K31="S1","a",if($K31="S2","b","")),Students!$A:$A,AS$2)+countifs(Students!$T:$T,$AK31,Students!$U:$U,$AK$2&amp;if($K31="S1","a",if($K31="S2","b","")),Students!$A:$A,AS$2)+countifs(Students!$V:$V,$AK31,Students!$W:$W,$AK$2&amp;if($K31="S1","a",if($K31="S2","b","")),Students!$A:$A,AS$2))</f>
        <v>7</v>
      </c>
    </row>
    <row r="32">
      <c r="J32" s="87">
        <v>108.0</v>
      </c>
      <c r="K32" s="88"/>
      <c r="L32" s="58" t="s">
        <v>99</v>
      </c>
      <c r="M32" s="107"/>
      <c r="N32" s="87">
        <v>2.0</v>
      </c>
      <c r="O32" s="87">
        <f>IFERROR(__xludf.DUMMYFUNCTION("3*counta((transpose(filter(P32:AM32,P32:AM32&lt;&gt;"""",isnumber(P32:AM32)=false))))"),15.0)</f>
        <v>15</v>
      </c>
      <c r="P32" s="103"/>
      <c r="Q32" s="101"/>
      <c r="R32" s="98" t="s">
        <v>22</v>
      </c>
      <c r="S32" s="101" t="s">
        <v>100</v>
      </c>
      <c r="T32" s="101">
        <v>1.0</v>
      </c>
      <c r="U32" s="98">
        <v>21.0</v>
      </c>
      <c r="V32" s="101"/>
      <c r="W32" s="101"/>
      <c r="X32" s="92" t="s">
        <v>22</v>
      </c>
      <c r="Y32" s="90" t="s">
        <v>100</v>
      </c>
      <c r="Z32" s="91">
        <v>2.0</v>
      </c>
      <c r="AA32" s="92">
        <v>22.0</v>
      </c>
      <c r="AB32" s="101" t="s">
        <v>101</v>
      </c>
      <c r="AC32" s="101">
        <v>1.0</v>
      </c>
      <c r="AD32" s="98">
        <v>20.0</v>
      </c>
      <c r="AE32" s="90" t="s">
        <v>101</v>
      </c>
      <c r="AF32" s="101">
        <v>2.0</v>
      </c>
      <c r="AG32" s="98">
        <v>23.0</v>
      </c>
      <c r="AH32" s="101" t="s">
        <v>100</v>
      </c>
      <c r="AI32" s="97">
        <v>3.0</v>
      </c>
      <c r="AJ32" s="98">
        <v>22.0</v>
      </c>
      <c r="AK32" s="101"/>
      <c r="AL32" s="98"/>
      <c r="AM32" s="98" t="s">
        <v>22</v>
      </c>
      <c r="AN32" s="99"/>
      <c r="AO32" s="52">
        <f t="shared" si="2"/>
        <v>108</v>
      </c>
      <c r="AP32" s="102">
        <f>if($L32="","",countifs(Students!$D:$D,$P32,Students!$E:$E,$P$2&amp;if($K32="S1","a",if($K32="S2","b","")),Students!$A:$A,AP$2)+countifs(Students!$F:$F,$P32,Students!$G:$G,$P$2&amp;if($K32="S1","a",if($K32="S2","b","")),Students!$A:$A,AP$2)+countifs(Students!$H:$H,$P32,Students!$I:$I,$P$2&amp;if($K32="S1","a",if($K32="S2","b","")),Students!$A:$A,AP$2)+countifs(Students!$J:$J,$P32,Students!$K:$K,$P$2&amp;if($K32="S1","a",if($K32="S2","b","")),Students!$A:$A,AP$2)+countifs(Students!$L:$L,$P32,Students!$M:$M,$P$2&amp;if($K32="S1","a",if($K32="S2","b","")),Students!$A:$A,AP$2)+countifs(Students!$N:$N,$P32,Students!$O:$O,$P$2&amp;if($K32="S1","a",if($K32="S2","b","")),Students!$A:$A,AP$2)+countifs(Students!$P:$P,$P32,Students!$Q:$Q,$P$2&amp;if($K32="S1","a",if($K32="S2","b","")),Students!$A:$A,AP$2)+countifs(Students!$R:$R,$P32,Students!$S:$S,$P$2&amp;if($K32="S1","a",if($K32="S2","b","")),Students!$A:$A,AP$2)+countifs(Students!$T:$T,$P32,Students!$U:$U,$P$2&amp;if($K32="S1","a",if($K32="S2","b","")),Students!$A:$A,AP$2)+countifs(Students!$V:$V,$P32,Students!$W:$W,$P$2&amp;if($K32="S1","a",if($K32="S2","b","")),Students!$A:$A,AP$2)+
countifs(Students!$D:$D,$S32,Students!$E:$E,$S$2&amp;if($K32="S1","a",if($K32="S2","b","")),Students!$A:$A,AP$2)+countifs(Students!$F:$F,$S32,Students!$G:$G,$S$2&amp;if($K32="S1","a",if($K32="S2","b","")),Students!$A:$A,AP$2)+countifs(Students!$H:$H,$S32,Students!$I:$I,$S$2&amp;if($K32="S1","a",if($K32="S2","b","")),Students!$A:$A,AP$2)+countifs(Students!$J:$J,$S32,Students!$K:$K,$S$2&amp;if($K32="S1","a",if($K32="S2","b","")),Students!$A:$A,AP$2)+countifs(Students!$L:$L,$S32,Students!$M:$M,$S$2&amp;if($K32="S1","a",if($K32="S2","b","")),Students!$A:$A,AP$2)+countifs(Students!$N:$N,$S32,Students!$O:$O,$S$2&amp;if($K32="S1","a",if($K32="S2","b","")),Students!$A:$A,AP$2)+countifs(Students!$P:$P,$S32,Students!$Q:$Q,$S$2&amp;if($K32="S1","a",if($K32="S2","b","")),Students!$A:$A,AP$2)+countifs(Students!$R:$R,$S32,Students!$S:$S,$S$2&amp;if($K32="S1","a",if($K32="S2","b","")),Students!$A:$A,AP$2)+countifs(Students!$T:$T,$S32,Students!$U:$U,$S$2&amp;if($K32="S1","a",if($K32="S2","b","")),Students!$A:$A,AP$2)+countifs(Students!$V:$V,$S32,Students!$W:$W,$S$2&amp;if($K32="S1","a",if($K32="S2","b","")),Students!$A:$A,AP$2)+
countifs(Students!$D:$D,$V32,Students!$E:$E,$V$2&amp;if($K32="S1","a",if($K32="S2","b","")),Students!$A:$A,AP$2)+countifs(Students!$F:$F,$V32,Students!$G:$G,$V$2&amp;if($K32="S1","a",if($K32="S2","b","")),Students!$A:$A,AP$2)+countifs(Students!$H:$H,$V32,Students!$I:$I,$V$2&amp;if($K32="S1","a",if($K32="S2","b","")),Students!$A:$A,AP$2)+countifs(Students!$J:$J,$V32,Students!$K:$K,$V$2&amp;if($K32="S1","a",if($K32="S2","b","")),Students!$A:$A,AP$2)+countifs(Students!$L:$L,$V32,Students!$M:$M,$V$2&amp;if($K32="S1","a",if($K32="S2","b","")),Students!$A:$A,AP$2)+countifs(Students!$N:$N,$V32,Students!$O:$O,$V$2&amp;if($K32="S1","a",if($K32="S2","b","")),Students!$A:$A,AP$2)+countifs(Students!$P:$P,$V32,Students!$Q:$Q,$V$2&amp;if($K32="S1","a",if($K32="S2","b","")),Students!$A:$A,AP$2)+countifs(Students!$R:$R,$V32,Students!$S:$S,$V$2&amp;if($K32="S1","a",if($K32="S2","b","")),Students!$A:$A,AP$2)+countifs(Students!$T:$T,$V32,Students!$U:$U,$V$2&amp;if($K32="S1","a",if($K32="S2","b","")),Students!$A:$A,AP$2)+countifs(Students!$V:$V,$V32,Students!$W:$W,$V$2&amp;if($K32="S1","a",if($K32="S2","b","")),Students!$A:$A,AP$2)+
countifs(Students!$D:$D,$Y32,Students!$E:$E,$Y$2&amp;if($K32="S1","a",if($K32="S2","b","")),Students!$A:$A,AP$2)+countifs(Students!$F:$F,$Y32,Students!$G:$G,$Y$2&amp;if($K32="S1","a",if($K32="S2","b","")),Students!$A:$A,AP$2)+countifs(Students!$H:$H,$Y32,Students!$I:$I,$Y$2&amp;if($K32="S1","a",if($K32="S2","b","")),Students!$A:$A,AP$2)+countifs(Students!$J:$J,$Y32,Students!$K:$K,$Y$2&amp;if($K32="S1","a",if($K32="S2","b","")),Students!$A:$A,AP$2)+countifs(Students!$L:$L,$Y32,Students!$M:$M,$Y$2&amp;if($K32="S1","a",if($K32="S2","b","")),Students!$A:$A,AP$2)+countifs(Students!$N:$N,$Y32,Students!$O:$O,$Y$2&amp;if($K32="S1","a",if($K32="S2","b","")),Students!$A:$A,AP$2)+countifs(Students!$P:$P,$Y32,Students!$Q:$Q,$Y$2&amp;if($K32="S1","a",if($K32="S2","b","")),Students!$A:$A,AP$2)+countifs(Students!$R:$R,$Y32,Students!$S:$S,$Y$2&amp;if($K32="S1","a",if($K32="S2","b","")),Students!$A:$A,AP$2)+countifs(Students!$T:$T,$Y32,Students!$U:$U,$Y$2&amp;if($K32="S1","a",if($K32="S2","b","")),Students!$A:$A,AP$2)+countifs(Students!$V:$V,$Y32,Students!$W:$W,$Y$2&amp;if($K32="S1","a",if($K32="S2","b","")),Students!$A:$A,AP$2)+
countifs(Students!$D:$D,$AB32,Students!$E:$E,$AB$2&amp;if($K32="S1","a",if($K32="S2","b","")),Students!$A:$A,AP$2)+countifs(Students!$F:$F,$AB32,Students!$G:$G,$AB$2&amp;if($K32="S1","a",if($K32="S2","b","")),Students!$A:$A,AP$2)+countifs(Students!$H:$H,$AB32,Students!$I:$I,$AB$2&amp;if($K32="S1","a",if($K32="S2","b","")),Students!$A:$A,AP$2)+countifs(Students!$J:$J,$AB32,Students!$K:$K,$AB$2&amp;if($K32="S1","a",if($K32="S2","b","")),Students!$A:$A,AP$2)+countifs(Students!$L:$L,$AB32,Students!$M:$M,$AB$2&amp;if($K32="S1","a",if($K32="S2","b","")),Students!$A:$A,AP$2)+countifs(Students!$N:$N,$AB32,Students!$O:$O,$AB$2&amp;if($K32="S1","a",if($K32="S2","b","")),Students!$A:$A,AP$2)+countifs(Students!$P:$P,$AB32,Students!$Q:$Q,$AB$2&amp;if($K32="S1","a",if($K32="S2","b","")),Students!$A:$A,AP$2)+countifs(Students!$R:$R,$AB32,Students!$S:$S,$AB$2&amp;if($K32="S1","a",if($K32="S2","b","")),Students!$A:$A,AP$2)+countifs(Students!$T:$T,$AB32,Students!$U:$U,$AB$2&amp;if($K32="S1","a",if($K32="S2","b","")),Students!$A:$A,AP$2)+countifs(Students!$V:$V,$AB32,Students!$W:$W,$AB$2&amp;if($K32="S1","a",if($K32="S2","b","")),Students!$A:$A,AP$2)+
countifs(Students!$D:$D,$AE32,Students!$E:$E,$AE$2&amp;if($K32="S1","a",if($K32="S2","b","")),Students!$A:$A,AP$2)+countifs(Students!$F:$F,$AE32,Students!$G:$G,$AE$2&amp;if($K32="S1","a",if($K32="S2","b","")),Students!$A:$A,AP$2)+countifs(Students!$H:$H,$AE32,Students!$I:$I,$AE$2&amp;if($K32="S1","a",if($K32="S2","b","")),Students!$A:$A,AP$2)+countifs(Students!$J:$J,$AE32,Students!$K:$K,$AE$2&amp;if($K32="S1","a",if($K32="S2","b","")),Students!$A:$A,AP$2)+countifs(Students!$L:$L,$AE32,Students!$M:$M,$AE$2&amp;if($K32="S1","a",if($K32="S2","b","")),Students!$A:$A,AP$2)+countifs(Students!$N:$N,$AE32,Students!$O:$O,$AE$2&amp;if($K32="S1","a",if($K32="S2","b","")),Students!$A:$A,AP$2)+countifs(Students!$P:$P,$AE32,Students!$Q:$Q,$AE$2&amp;if($K32="S1","a",if($K32="S2","b","")),Students!$A:$A,AP$2)+countifs(Students!$R:$R,$AE32,Students!$S:$S,$AE$2&amp;if($K32="S1","a",if($K32="S2","b","")),Students!$A:$A,AP$2)+countifs(Students!$T:$T,$AE32,Students!$U:$U,$AE$2&amp;if($K32="S1","a",if($K32="S2","b","")),Students!$A:$A,AP$2)+countifs(Students!$V:$V,$AE32,Students!$W:$W,$AE$2&amp;if($K32="S1","a",if($K32="S2","b","")),Students!$A:$A,AP$2)+
countifs(Students!$D:$D,$AH32,Students!$E:$E,$AH$2&amp;if($K32="S1","a",if($K32="S2","b","")),Students!$A:$A,AP$2)+countifs(Students!$F:$F,$AH32,Students!$G:$G,$AH$2&amp;if($K32="S1","a",if($K32="S2","b","")),Students!$A:$A,AP$2)+countifs(Students!$H:$H,$AH32,Students!$I:$I,$AH$2&amp;if($K32="S1","a",if($K32="S2","b","")),Students!$A:$A,AP$2)+countifs(Students!$J:$J,$AH32,Students!$K:$K,$AH$2&amp;if($K32="S1","a",if($K32="S2","b","")),Students!$A:$A,AP$2)+countifs(Students!$L:$L,$AH32,Students!$M:$M,$AH$2&amp;if($K32="S1","a",if($K32="S2","b","")),Students!$A:$A,AP$2)+countifs(Students!$N:$N,$AH32,Students!$O:$O,$AH$2&amp;if($K32="S1","a",if($K32="S2","b","")),Students!$A:$A,AP$2)+countifs(Students!$P:$P,$AH32,Students!$Q:$Q,$AH$2&amp;if($K32="S1","a",if($K32="S2","b","")),Students!$A:$A,AP$2)+countifs(Students!$R:$R,$AH32,Students!$S:$S,$AH$2&amp;if($K32="S1","a",if($K32="S2","b","")),Students!$A:$A,AP$2)+countifs(Students!$T:$T,$AH32,Students!$U:$U,$AH$2&amp;if($K32="S1","a",if($K32="S2","b","")),Students!$A:$A,AP$2)+countifs(Students!$V:$V,$AH32,Students!$W:$W,$AH$2&amp;if($K32="S1","a",if($K32="S2","b","")),Students!$A:$A,AP$2)+
countifs(Students!$D:$D,$AK32,Students!$E:$E,$AK$2&amp;if($K32="S1","a",if($K32="S2","b","")),Students!$A:$A,AP$2)+countifs(Students!$F:$F,$AK32,Students!$G:$G,$AK$2&amp;if($K32="S1","a",if($K32="S2","b","")),Students!$A:$A,AP$2)+countifs(Students!$H:$H,$AK32,Students!$I:$I,$AK$2&amp;if($K32="S1","a",if($K32="S2","b","")),Students!$A:$A,AP$2)+countifs(Students!$J:$J,$AK32,Students!$K:$K,$AK$2&amp;if($K32="S1","a",if($K32="S2","b","")),Students!$A:$A,AP$2)+countifs(Students!$L:$L,$AK32,Students!$M:$M,$AK$2&amp;if($K32="S1","a",if($K32="S2","b","")),Students!$A:$A,AP$2)+countifs(Students!$N:$N,$AK32,Students!$O:$O,$AK$2&amp;if($K32="S1","a",if($K32="S2","b","")),Students!$A:$A,AP$2)+countifs(Students!$P:$P,$AK32,Students!$Q:$Q,$AK$2&amp;if($K32="S1","a",if($K32="S2","b","")),Students!$A:$A,AP$2)+countifs(Students!$R:$R,$AK32,Students!$S:$S,$AK$2&amp;if($K32="S1","a",if($K32="S2","b","")),Students!$A:$A,AP$2)+countifs(Students!$T:$T,$AK32,Students!$U:$U,$AK$2&amp;if($K32="S1","a",if($K32="S2","b","")),Students!$A:$A,AP$2)+countifs(Students!$V:$V,$AK32,Students!$W:$W,$AK$2&amp;if($K32="S1","a",if($K32="S2","b","")),Students!$A:$A,AP$2))</f>
        <v>0</v>
      </c>
      <c r="AQ32" s="102">
        <f>if($L32="","",countifs(Students!$D:$D,$P32,Students!$E:$E,$P$2&amp;if($K32="S1","a",if($K32="S2","b","")),Students!$A:$A,AQ$2)+countifs(Students!$F:$F,$P32,Students!$G:$G,$P$2&amp;if($K32="S1","a",if($K32="S2","b","")),Students!$A:$A,AQ$2)+countifs(Students!$H:$H,$P32,Students!$I:$I,$P$2&amp;if($K32="S1","a",if($K32="S2","b","")),Students!$A:$A,AQ$2)+countifs(Students!$J:$J,$P32,Students!$K:$K,$P$2&amp;if($K32="S1","a",if($K32="S2","b","")),Students!$A:$A,AQ$2)+countifs(Students!$L:$L,$P32,Students!$M:$M,$P$2&amp;if($K32="S1","a",if($K32="S2","b","")),Students!$A:$A,AQ$2)+countifs(Students!$N:$N,$P32,Students!$O:$O,$P$2&amp;if($K32="S1","a",if($K32="S2","b","")),Students!$A:$A,AQ$2)+countifs(Students!$P:$P,$P32,Students!$Q:$Q,$P$2&amp;if($K32="S1","a",if($K32="S2","b","")),Students!$A:$A,AQ$2)+countifs(Students!$R:$R,$P32,Students!$S:$S,$P$2&amp;if($K32="S1","a",if($K32="S2","b","")),Students!$A:$A,AQ$2)+countifs(Students!$T:$T,$P32,Students!$U:$U,$P$2&amp;if($K32="S1","a",if($K32="S2","b","")),Students!$A:$A,AQ$2)+countifs(Students!$V:$V,$P32,Students!$W:$W,$P$2&amp;if($K32="S1","a",if($K32="S2","b","")),Students!$A:$A,AQ$2)+
countifs(Students!$D:$D,$S32,Students!$E:$E,$S$2&amp;if($K32="S1","a",if($K32="S2","b","")),Students!$A:$A,AQ$2)+countifs(Students!$F:$F,$S32,Students!$G:$G,$S$2&amp;if($K32="S1","a",if($K32="S2","b","")),Students!$A:$A,AQ$2)+countifs(Students!$H:$H,$S32,Students!$I:$I,$S$2&amp;if($K32="S1","a",if($K32="S2","b","")),Students!$A:$A,AQ$2)+countifs(Students!$J:$J,$S32,Students!$K:$K,$S$2&amp;if($K32="S1","a",if($K32="S2","b","")),Students!$A:$A,AQ$2)+countifs(Students!$L:$L,$S32,Students!$M:$M,$S$2&amp;if($K32="S1","a",if($K32="S2","b","")),Students!$A:$A,AQ$2)+countifs(Students!$N:$N,$S32,Students!$O:$O,$S$2&amp;if($K32="S1","a",if($K32="S2","b","")),Students!$A:$A,AQ$2)+countifs(Students!$P:$P,$S32,Students!$Q:$Q,$S$2&amp;if($K32="S1","a",if($K32="S2","b","")),Students!$A:$A,AQ$2)+countifs(Students!$R:$R,$S32,Students!$S:$S,$S$2&amp;if($K32="S1","a",if($K32="S2","b","")),Students!$A:$A,AQ$2)+countifs(Students!$T:$T,$S32,Students!$U:$U,$S$2&amp;if($K32="S1","a",if($K32="S2","b","")),Students!$A:$A,AQ$2)+countifs(Students!$V:$V,$S32,Students!$W:$W,$S$2&amp;if($K32="S1","a",if($K32="S2","b","")),Students!$A:$A,AQ$2)+
countifs(Students!$D:$D,$V32,Students!$E:$E,$V$2&amp;if($K32="S1","a",if($K32="S2","b","")),Students!$A:$A,AQ$2)+countifs(Students!$F:$F,$V32,Students!$G:$G,$V$2&amp;if($K32="S1","a",if($K32="S2","b","")),Students!$A:$A,AQ$2)+countifs(Students!$H:$H,$V32,Students!$I:$I,$V$2&amp;if($K32="S1","a",if($K32="S2","b","")),Students!$A:$A,AQ$2)+countifs(Students!$J:$J,$V32,Students!$K:$K,$V$2&amp;if($K32="S1","a",if($K32="S2","b","")),Students!$A:$A,AQ$2)+countifs(Students!$L:$L,$V32,Students!$M:$M,$V$2&amp;if($K32="S1","a",if($K32="S2","b","")),Students!$A:$A,AQ$2)+countifs(Students!$N:$N,$V32,Students!$O:$O,$V$2&amp;if($K32="S1","a",if($K32="S2","b","")),Students!$A:$A,AQ$2)+countifs(Students!$P:$P,$V32,Students!$Q:$Q,$V$2&amp;if($K32="S1","a",if($K32="S2","b","")),Students!$A:$A,AQ$2)+countifs(Students!$R:$R,$V32,Students!$S:$S,$V$2&amp;if($K32="S1","a",if($K32="S2","b","")),Students!$A:$A,AQ$2)+countifs(Students!$T:$T,$V32,Students!$U:$U,$V$2&amp;if($K32="S1","a",if($K32="S2","b","")),Students!$A:$A,AQ$2)+countifs(Students!$V:$V,$V32,Students!$W:$W,$V$2&amp;if($K32="S1","a",if($K32="S2","b","")),Students!$A:$A,AQ$2)+
countifs(Students!$D:$D,$Y32,Students!$E:$E,$Y$2&amp;if($K32="S1","a",if($K32="S2","b","")),Students!$A:$A,AQ$2)+countifs(Students!$F:$F,$Y32,Students!$G:$G,$Y$2&amp;if($K32="S1","a",if($K32="S2","b","")),Students!$A:$A,AQ$2)+countifs(Students!$H:$H,$Y32,Students!$I:$I,$Y$2&amp;if($K32="S1","a",if($K32="S2","b","")),Students!$A:$A,AQ$2)+countifs(Students!$J:$J,$Y32,Students!$K:$K,$Y$2&amp;if($K32="S1","a",if($K32="S2","b","")),Students!$A:$A,AQ$2)+countifs(Students!$L:$L,$Y32,Students!$M:$M,$Y$2&amp;if($K32="S1","a",if($K32="S2","b","")),Students!$A:$A,AQ$2)+countifs(Students!$N:$N,$Y32,Students!$O:$O,$Y$2&amp;if($K32="S1","a",if($K32="S2","b","")),Students!$A:$A,AQ$2)+countifs(Students!$P:$P,$Y32,Students!$Q:$Q,$Y$2&amp;if($K32="S1","a",if($K32="S2","b","")),Students!$A:$A,AQ$2)+countifs(Students!$R:$R,$Y32,Students!$S:$S,$Y$2&amp;if($K32="S1","a",if($K32="S2","b","")),Students!$A:$A,AQ$2)+countifs(Students!$T:$T,$Y32,Students!$U:$U,$Y$2&amp;if($K32="S1","a",if($K32="S2","b","")),Students!$A:$A,AQ$2)+countifs(Students!$V:$V,$Y32,Students!$W:$W,$Y$2&amp;if($K32="S1","a",if($K32="S2","b","")),Students!$A:$A,AQ$2)+
countifs(Students!$D:$D,$AB32,Students!$E:$E,$AB$2&amp;if($K32="S1","a",if($K32="S2","b","")),Students!$A:$A,AQ$2)+countifs(Students!$F:$F,$AB32,Students!$G:$G,$AB$2&amp;if($K32="S1","a",if($K32="S2","b","")),Students!$A:$A,AQ$2)+countifs(Students!$H:$H,$AB32,Students!$I:$I,$AB$2&amp;if($K32="S1","a",if($K32="S2","b","")),Students!$A:$A,AQ$2)+countifs(Students!$J:$J,$AB32,Students!$K:$K,$AB$2&amp;if($K32="S1","a",if($K32="S2","b","")),Students!$A:$A,AQ$2)+countifs(Students!$L:$L,$AB32,Students!$M:$M,$AB$2&amp;if($K32="S1","a",if($K32="S2","b","")),Students!$A:$A,AQ$2)+countifs(Students!$N:$N,$AB32,Students!$O:$O,$AB$2&amp;if($K32="S1","a",if($K32="S2","b","")),Students!$A:$A,AQ$2)+countifs(Students!$P:$P,$AB32,Students!$Q:$Q,$AB$2&amp;if($K32="S1","a",if($K32="S2","b","")),Students!$A:$A,AQ$2)+countifs(Students!$R:$R,$AB32,Students!$S:$S,$AB$2&amp;if($K32="S1","a",if($K32="S2","b","")),Students!$A:$A,AQ$2)+countifs(Students!$T:$T,$AB32,Students!$U:$U,$AB$2&amp;if($K32="S1","a",if($K32="S2","b","")),Students!$A:$A,AQ$2)+countifs(Students!$V:$V,$AB32,Students!$W:$W,$AB$2&amp;if($K32="S1","a",if($K32="S2","b","")),Students!$A:$A,AQ$2)+
countifs(Students!$D:$D,$AE32,Students!$E:$E,$AE$2&amp;if($K32="S1","a",if($K32="S2","b","")),Students!$A:$A,AQ$2)+countifs(Students!$F:$F,$AE32,Students!$G:$G,$AE$2&amp;if($K32="S1","a",if($K32="S2","b","")),Students!$A:$A,AQ$2)+countifs(Students!$H:$H,$AE32,Students!$I:$I,$AE$2&amp;if($K32="S1","a",if($K32="S2","b","")),Students!$A:$A,AQ$2)+countifs(Students!$J:$J,$AE32,Students!$K:$K,$AE$2&amp;if($K32="S1","a",if($K32="S2","b","")),Students!$A:$A,AQ$2)+countifs(Students!$L:$L,$AE32,Students!$M:$M,$AE$2&amp;if($K32="S1","a",if($K32="S2","b","")),Students!$A:$A,AQ$2)+countifs(Students!$N:$N,$AE32,Students!$O:$O,$AE$2&amp;if($K32="S1","a",if($K32="S2","b","")),Students!$A:$A,AQ$2)+countifs(Students!$P:$P,$AE32,Students!$Q:$Q,$AE$2&amp;if($K32="S1","a",if($K32="S2","b","")),Students!$A:$A,AQ$2)+countifs(Students!$R:$R,$AE32,Students!$S:$S,$AE$2&amp;if($K32="S1","a",if($K32="S2","b","")),Students!$A:$A,AQ$2)+countifs(Students!$T:$T,$AE32,Students!$U:$U,$AE$2&amp;if($K32="S1","a",if($K32="S2","b","")),Students!$A:$A,AQ$2)+countifs(Students!$V:$V,$AE32,Students!$W:$W,$AE$2&amp;if($K32="S1","a",if($K32="S2","b","")),Students!$A:$A,AQ$2)+
countifs(Students!$D:$D,$AH32,Students!$E:$E,$AH$2&amp;if($K32="S1","a",if($K32="S2","b","")),Students!$A:$A,AQ$2)+countifs(Students!$F:$F,$AH32,Students!$G:$G,$AH$2&amp;if($K32="S1","a",if($K32="S2","b","")),Students!$A:$A,AQ$2)+countifs(Students!$H:$H,$AH32,Students!$I:$I,$AH$2&amp;if($K32="S1","a",if($K32="S2","b","")),Students!$A:$A,AQ$2)+countifs(Students!$J:$J,$AH32,Students!$K:$K,$AH$2&amp;if($K32="S1","a",if($K32="S2","b","")),Students!$A:$A,AQ$2)+countifs(Students!$L:$L,$AH32,Students!$M:$M,$AH$2&amp;if($K32="S1","a",if($K32="S2","b","")),Students!$A:$A,AQ$2)+countifs(Students!$N:$N,$AH32,Students!$O:$O,$AH$2&amp;if($K32="S1","a",if($K32="S2","b","")),Students!$A:$A,AQ$2)+countifs(Students!$P:$P,$AH32,Students!$Q:$Q,$AH$2&amp;if($K32="S1","a",if($K32="S2","b","")),Students!$A:$A,AQ$2)+countifs(Students!$R:$R,$AH32,Students!$S:$S,$AH$2&amp;if($K32="S1","a",if($K32="S2","b","")),Students!$A:$A,AQ$2)+countifs(Students!$T:$T,$AH32,Students!$U:$U,$AH$2&amp;if($K32="S1","a",if($K32="S2","b","")),Students!$A:$A,AQ$2)+countifs(Students!$V:$V,$AH32,Students!$W:$W,$AH$2&amp;if($K32="S1","a",if($K32="S2","b","")),Students!$A:$A,AQ$2)+
countifs(Students!$D:$D,$AK32,Students!$E:$E,$AK$2&amp;if($K32="S1","a",if($K32="S2","b","")),Students!$A:$A,AQ$2)+countifs(Students!$F:$F,$AK32,Students!$G:$G,$AK$2&amp;if($K32="S1","a",if($K32="S2","b","")),Students!$A:$A,AQ$2)+countifs(Students!$H:$H,$AK32,Students!$I:$I,$AK$2&amp;if($K32="S1","a",if($K32="S2","b","")),Students!$A:$A,AQ$2)+countifs(Students!$J:$J,$AK32,Students!$K:$K,$AK$2&amp;if($K32="S1","a",if($K32="S2","b","")),Students!$A:$A,AQ$2)+countifs(Students!$L:$L,$AK32,Students!$M:$M,$AK$2&amp;if($K32="S1","a",if($K32="S2","b","")),Students!$A:$A,AQ$2)+countifs(Students!$N:$N,$AK32,Students!$O:$O,$AK$2&amp;if($K32="S1","a",if($K32="S2","b","")),Students!$A:$A,AQ$2)+countifs(Students!$P:$P,$AK32,Students!$Q:$Q,$AK$2&amp;if($K32="S1","a",if($K32="S2","b","")),Students!$A:$A,AQ$2)+countifs(Students!$R:$R,$AK32,Students!$S:$S,$AK$2&amp;if($K32="S1","a",if($K32="S2","b","")),Students!$A:$A,AQ$2)+countifs(Students!$T:$T,$AK32,Students!$U:$U,$AK$2&amp;if($K32="S1","a",if($K32="S2","b","")),Students!$A:$A,AQ$2)+countifs(Students!$V:$V,$AK32,Students!$W:$W,$AK$2&amp;if($K32="S1","a",if($K32="S2","b","")),Students!$A:$A,AQ$2))</f>
        <v>65</v>
      </c>
      <c r="AR32" s="102">
        <f>if($L32="","",countifs(Students!$D:$D,$P32,Students!$E:$E,$P$2&amp;if($K32="S1","a",if($K32="S2","b","")),Students!$A:$A,AR$2)+countifs(Students!$F:$F,$P32,Students!$G:$G,$P$2&amp;if($K32="S1","a",if($K32="S2","b","")),Students!$A:$A,AR$2)+countifs(Students!$H:$H,$P32,Students!$I:$I,$P$2&amp;if($K32="S1","a",if($K32="S2","b","")),Students!$A:$A,AR$2)+countifs(Students!$J:$J,$P32,Students!$K:$K,$P$2&amp;if($K32="S1","a",if($K32="S2","b","")),Students!$A:$A,AR$2)+countifs(Students!$L:$L,$P32,Students!$M:$M,$P$2&amp;if($K32="S1","a",if($K32="S2","b","")),Students!$A:$A,AR$2)+countifs(Students!$N:$N,$P32,Students!$O:$O,$P$2&amp;if($K32="S1","a",if($K32="S2","b","")),Students!$A:$A,AR$2)+countifs(Students!$P:$P,$P32,Students!$Q:$Q,$P$2&amp;if($K32="S1","a",if($K32="S2","b","")),Students!$A:$A,AR$2)+countifs(Students!$R:$R,$P32,Students!$S:$S,$P$2&amp;if($K32="S1","a",if($K32="S2","b","")),Students!$A:$A,AR$2)+countifs(Students!$T:$T,$P32,Students!$U:$U,$P$2&amp;if($K32="S1","a",if($K32="S2","b","")),Students!$A:$A,AR$2)+countifs(Students!$V:$V,$P32,Students!$W:$W,$P$2&amp;if($K32="S1","a",if($K32="S2","b","")),Students!$A:$A,AR$2)+
countifs(Students!$D:$D,$S32,Students!$E:$E,$S$2&amp;if($K32="S1","a",if($K32="S2","b","")),Students!$A:$A,AR$2)+countifs(Students!$F:$F,$S32,Students!$G:$G,$S$2&amp;if($K32="S1","a",if($K32="S2","b","")),Students!$A:$A,AR$2)+countifs(Students!$H:$H,$S32,Students!$I:$I,$S$2&amp;if($K32="S1","a",if($K32="S2","b","")),Students!$A:$A,AR$2)+countifs(Students!$J:$J,$S32,Students!$K:$K,$S$2&amp;if($K32="S1","a",if($K32="S2","b","")),Students!$A:$A,AR$2)+countifs(Students!$L:$L,$S32,Students!$M:$M,$S$2&amp;if($K32="S1","a",if($K32="S2","b","")),Students!$A:$A,AR$2)+countifs(Students!$N:$N,$S32,Students!$O:$O,$S$2&amp;if($K32="S1","a",if($K32="S2","b","")),Students!$A:$A,AR$2)+countifs(Students!$P:$P,$S32,Students!$Q:$Q,$S$2&amp;if($K32="S1","a",if($K32="S2","b","")),Students!$A:$A,AR$2)+countifs(Students!$R:$R,$S32,Students!$S:$S,$S$2&amp;if($K32="S1","a",if($K32="S2","b","")),Students!$A:$A,AR$2)+countifs(Students!$T:$T,$S32,Students!$U:$U,$S$2&amp;if($K32="S1","a",if($K32="S2","b","")),Students!$A:$A,AR$2)+countifs(Students!$V:$V,$S32,Students!$W:$W,$S$2&amp;if($K32="S1","a",if($K32="S2","b","")),Students!$A:$A,AR$2)+
countifs(Students!$D:$D,$V32,Students!$E:$E,$V$2&amp;if($K32="S1","a",if($K32="S2","b","")),Students!$A:$A,AR$2)+countifs(Students!$F:$F,$V32,Students!$G:$G,$V$2&amp;if($K32="S1","a",if($K32="S2","b","")),Students!$A:$A,AR$2)+countifs(Students!$H:$H,$V32,Students!$I:$I,$V$2&amp;if($K32="S1","a",if($K32="S2","b","")),Students!$A:$A,AR$2)+countifs(Students!$J:$J,$V32,Students!$K:$K,$V$2&amp;if($K32="S1","a",if($K32="S2","b","")),Students!$A:$A,AR$2)+countifs(Students!$L:$L,$V32,Students!$M:$M,$V$2&amp;if($K32="S1","a",if($K32="S2","b","")),Students!$A:$A,AR$2)+countifs(Students!$N:$N,$V32,Students!$O:$O,$V$2&amp;if($K32="S1","a",if($K32="S2","b","")),Students!$A:$A,AR$2)+countifs(Students!$P:$P,$V32,Students!$Q:$Q,$V$2&amp;if($K32="S1","a",if($K32="S2","b","")),Students!$A:$A,AR$2)+countifs(Students!$R:$R,$V32,Students!$S:$S,$V$2&amp;if($K32="S1","a",if($K32="S2","b","")),Students!$A:$A,AR$2)+countifs(Students!$T:$T,$V32,Students!$U:$U,$V$2&amp;if($K32="S1","a",if($K32="S2","b","")),Students!$A:$A,AR$2)+countifs(Students!$V:$V,$V32,Students!$W:$W,$V$2&amp;if($K32="S1","a",if($K32="S2","b","")),Students!$A:$A,AR$2)+
countifs(Students!$D:$D,$Y32,Students!$E:$E,$Y$2&amp;if($K32="S1","a",if($K32="S2","b","")),Students!$A:$A,AR$2)+countifs(Students!$F:$F,$Y32,Students!$G:$G,$Y$2&amp;if($K32="S1","a",if($K32="S2","b","")),Students!$A:$A,AR$2)+countifs(Students!$H:$H,$Y32,Students!$I:$I,$Y$2&amp;if($K32="S1","a",if($K32="S2","b","")),Students!$A:$A,AR$2)+countifs(Students!$J:$J,$Y32,Students!$K:$K,$Y$2&amp;if($K32="S1","a",if($K32="S2","b","")),Students!$A:$A,AR$2)+countifs(Students!$L:$L,$Y32,Students!$M:$M,$Y$2&amp;if($K32="S1","a",if($K32="S2","b","")),Students!$A:$A,AR$2)+countifs(Students!$N:$N,$Y32,Students!$O:$O,$Y$2&amp;if($K32="S1","a",if($K32="S2","b","")),Students!$A:$A,AR$2)+countifs(Students!$P:$P,$Y32,Students!$Q:$Q,$Y$2&amp;if($K32="S1","a",if($K32="S2","b","")),Students!$A:$A,AR$2)+countifs(Students!$R:$R,$Y32,Students!$S:$S,$Y$2&amp;if($K32="S1","a",if($K32="S2","b","")),Students!$A:$A,AR$2)+countifs(Students!$T:$T,$Y32,Students!$U:$U,$Y$2&amp;if($K32="S1","a",if($K32="S2","b","")),Students!$A:$A,AR$2)+countifs(Students!$V:$V,$Y32,Students!$W:$W,$Y$2&amp;if($K32="S1","a",if($K32="S2","b","")),Students!$A:$A,AR$2)+
countifs(Students!$D:$D,$AB32,Students!$E:$E,$AB$2&amp;if($K32="S1","a",if($K32="S2","b","")),Students!$A:$A,AR$2)+countifs(Students!$F:$F,$AB32,Students!$G:$G,$AB$2&amp;if($K32="S1","a",if($K32="S2","b","")),Students!$A:$A,AR$2)+countifs(Students!$H:$H,$AB32,Students!$I:$I,$AB$2&amp;if($K32="S1","a",if($K32="S2","b","")),Students!$A:$A,AR$2)+countifs(Students!$J:$J,$AB32,Students!$K:$K,$AB$2&amp;if($K32="S1","a",if($K32="S2","b","")),Students!$A:$A,AR$2)+countifs(Students!$L:$L,$AB32,Students!$M:$M,$AB$2&amp;if($K32="S1","a",if($K32="S2","b","")),Students!$A:$A,AR$2)+countifs(Students!$N:$N,$AB32,Students!$O:$O,$AB$2&amp;if($K32="S1","a",if($K32="S2","b","")),Students!$A:$A,AR$2)+countifs(Students!$P:$P,$AB32,Students!$Q:$Q,$AB$2&amp;if($K32="S1","a",if($K32="S2","b","")),Students!$A:$A,AR$2)+countifs(Students!$R:$R,$AB32,Students!$S:$S,$AB$2&amp;if($K32="S1","a",if($K32="S2","b","")),Students!$A:$A,AR$2)+countifs(Students!$T:$T,$AB32,Students!$U:$U,$AB$2&amp;if($K32="S1","a",if($K32="S2","b","")),Students!$A:$A,AR$2)+countifs(Students!$V:$V,$AB32,Students!$W:$W,$AB$2&amp;if($K32="S1","a",if($K32="S2","b","")),Students!$A:$A,AR$2)+
countifs(Students!$D:$D,$AE32,Students!$E:$E,$AE$2&amp;if($K32="S1","a",if($K32="S2","b","")),Students!$A:$A,AR$2)+countifs(Students!$F:$F,$AE32,Students!$G:$G,$AE$2&amp;if($K32="S1","a",if($K32="S2","b","")),Students!$A:$A,AR$2)+countifs(Students!$H:$H,$AE32,Students!$I:$I,$AE$2&amp;if($K32="S1","a",if($K32="S2","b","")),Students!$A:$A,AR$2)+countifs(Students!$J:$J,$AE32,Students!$K:$K,$AE$2&amp;if($K32="S1","a",if($K32="S2","b","")),Students!$A:$A,AR$2)+countifs(Students!$L:$L,$AE32,Students!$M:$M,$AE$2&amp;if($K32="S1","a",if($K32="S2","b","")),Students!$A:$A,AR$2)+countifs(Students!$N:$N,$AE32,Students!$O:$O,$AE$2&amp;if($K32="S1","a",if($K32="S2","b","")),Students!$A:$A,AR$2)+countifs(Students!$P:$P,$AE32,Students!$Q:$Q,$AE$2&amp;if($K32="S1","a",if($K32="S2","b","")),Students!$A:$A,AR$2)+countifs(Students!$R:$R,$AE32,Students!$S:$S,$AE$2&amp;if($K32="S1","a",if($K32="S2","b","")),Students!$A:$A,AR$2)+countifs(Students!$T:$T,$AE32,Students!$U:$U,$AE$2&amp;if($K32="S1","a",if($K32="S2","b","")),Students!$A:$A,AR$2)+countifs(Students!$V:$V,$AE32,Students!$W:$W,$AE$2&amp;if($K32="S1","a",if($K32="S2","b","")),Students!$A:$A,AR$2)+
countifs(Students!$D:$D,$AH32,Students!$E:$E,$AH$2&amp;if($K32="S1","a",if($K32="S2","b","")),Students!$A:$A,AR$2)+countifs(Students!$F:$F,$AH32,Students!$G:$G,$AH$2&amp;if($K32="S1","a",if($K32="S2","b","")),Students!$A:$A,AR$2)+countifs(Students!$H:$H,$AH32,Students!$I:$I,$AH$2&amp;if($K32="S1","a",if($K32="S2","b","")),Students!$A:$A,AR$2)+countifs(Students!$J:$J,$AH32,Students!$K:$K,$AH$2&amp;if($K32="S1","a",if($K32="S2","b","")),Students!$A:$A,AR$2)+countifs(Students!$L:$L,$AH32,Students!$M:$M,$AH$2&amp;if($K32="S1","a",if($K32="S2","b","")),Students!$A:$A,AR$2)+countifs(Students!$N:$N,$AH32,Students!$O:$O,$AH$2&amp;if($K32="S1","a",if($K32="S2","b","")),Students!$A:$A,AR$2)+countifs(Students!$P:$P,$AH32,Students!$Q:$Q,$AH$2&amp;if($K32="S1","a",if($K32="S2","b","")),Students!$A:$A,AR$2)+countifs(Students!$R:$R,$AH32,Students!$S:$S,$AH$2&amp;if($K32="S1","a",if($K32="S2","b","")),Students!$A:$A,AR$2)+countifs(Students!$T:$T,$AH32,Students!$U:$U,$AH$2&amp;if($K32="S1","a",if($K32="S2","b","")),Students!$A:$A,AR$2)+countifs(Students!$V:$V,$AH32,Students!$W:$W,$AH$2&amp;if($K32="S1","a",if($K32="S2","b","")),Students!$A:$A,AR$2)+
countifs(Students!$D:$D,$AK32,Students!$E:$E,$AK$2&amp;if($K32="S1","a",if($K32="S2","b","")),Students!$A:$A,AR$2)+countifs(Students!$F:$F,$AK32,Students!$G:$G,$AK$2&amp;if($K32="S1","a",if($K32="S2","b","")),Students!$A:$A,AR$2)+countifs(Students!$H:$H,$AK32,Students!$I:$I,$AK$2&amp;if($K32="S1","a",if($K32="S2","b","")),Students!$A:$A,AR$2)+countifs(Students!$J:$J,$AK32,Students!$K:$K,$AK$2&amp;if($K32="S1","a",if($K32="S2","b","")),Students!$A:$A,AR$2)+countifs(Students!$L:$L,$AK32,Students!$M:$M,$AK$2&amp;if($K32="S1","a",if($K32="S2","b","")),Students!$A:$A,AR$2)+countifs(Students!$N:$N,$AK32,Students!$O:$O,$AK$2&amp;if($K32="S1","a",if($K32="S2","b","")),Students!$A:$A,AR$2)+countifs(Students!$P:$P,$AK32,Students!$Q:$Q,$AK$2&amp;if($K32="S1","a",if($K32="S2","b","")),Students!$A:$A,AR$2)+countifs(Students!$R:$R,$AK32,Students!$S:$S,$AK$2&amp;if($K32="S1","a",if($K32="S2","b","")),Students!$A:$A,AR$2)+countifs(Students!$T:$T,$AK32,Students!$U:$U,$AK$2&amp;if($K32="S1","a",if($K32="S2","b","")),Students!$A:$A,AR$2)+countifs(Students!$V:$V,$AK32,Students!$W:$W,$AK$2&amp;if($K32="S1","a",if($K32="S2","b","")),Students!$A:$A,AR$2))</f>
        <v>18</v>
      </c>
      <c r="AS32" s="102">
        <f>if($L32="","",countifs(Students!$D:$D,$P32,Students!$E:$E,$P$2&amp;if($K32="S1","a",if($K32="S2","b","")),Students!$A:$A,AS$2)+countifs(Students!$F:$F,$P32,Students!$G:$G,$P$2&amp;if($K32="S1","a",if($K32="S2","b","")),Students!$A:$A,AS$2)+countifs(Students!$H:$H,$P32,Students!$I:$I,$P$2&amp;if($K32="S1","a",if($K32="S2","b","")),Students!$A:$A,AS$2)+countifs(Students!$J:$J,$P32,Students!$K:$K,$P$2&amp;if($K32="S1","a",if($K32="S2","b","")),Students!$A:$A,AS$2)+countifs(Students!$L:$L,$P32,Students!$M:$M,$P$2&amp;if($K32="S1","a",if($K32="S2","b","")),Students!$A:$A,AS$2)+countifs(Students!$N:$N,$P32,Students!$O:$O,$P$2&amp;if($K32="S1","a",if($K32="S2","b","")),Students!$A:$A,AS$2)+countifs(Students!$P:$P,$P32,Students!$Q:$Q,$P$2&amp;if($K32="S1","a",if($K32="S2","b","")),Students!$A:$A,AS$2)+countifs(Students!$R:$R,$P32,Students!$S:$S,$P$2&amp;if($K32="S1","a",if($K32="S2","b","")),Students!$A:$A,AS$2)+countifs(Students!$T:$T,$P32,Students!$U:$U,$P$2&amp;if($K32="S1","a",if($K32="S2","b","")),Students!$A:$A,AS$2)+countifs(Students!$V:$V,$P32,Students!$W:$W,$P$2&amp;if($K32="S1","a",if($K32="S2","b","")),Students!$A:$A,AS$2)+
countifs(Students!$D:$D,$S32,Students!$E:$E,$S$2&amp;if($K32="S1","a",if($K32="S2","b","")),Students!$A:$A,AS$2)+countifs(Students!$F:$F,$S32,Students!$G:$G,$S$2&amp;if($K32="S1","a",if($K32="S2","b","")),Students!$A:$A,AS$2)+countifs(Students!$H:$H,$S32,Students!$I:$I,$S$2&amp;if($K32="S1","a",if($K32="S2","b","")),Students!$A:$A,AS$2)+countifs(Students!$J:$J,$S32,Students!$K:$K,$S$2&amp;if($K32="S1","a",if($K32="S2","b","")),Students!$A:$A,AS$2)+countifs(Students!$L:$L,$S32,Students!$M:$M,$S$2&amp;if($K32="S1","a",if($K32="S2","b","")),Students!$A:$A,AS$2)+countifs(Students!$N:$N,$S32,Students!$O:$O,$S$2&amp;if($K32="S1","a",if($K32="S2","b","")),Students!$A:$A,AS$2)+countifs(Students!$P:$P,$S32,Students!$Q:$Q,$S$2&amp;if($K32="S1","a",if($K32="S2","b","")),Students!$A:$A,AS$2)+countifs(Students!$R:$R,$S32,Students!$S:$S,$S$2&amp;if($K32="S1","a",if($K32="S2","b","")),Students!$A:$A,AS$2)+countifs(Students!$T:$T,$S32,Students!$U:$U,$S$2&amp;if($K32="S1","a",if($K32="S2","b","")),Students!$A:$A,AS$2)+countifs(Students!$V:$V,$S32,Students!$W:$W,$S$2&amp;if($K32="S1","a",if($K32="S2","b","")),Students!$A:$A,AS$2)+
countifs(Students!$D:$D,$V32,Students!$E:$E,$V$2&amp;if($K32="S1","a",if($K32="S2","b","")),Students!$A:$A,AS$2)+countifs(Students!$F:$F,$V32,Students!$G:$G,$V$2&amp;if($K32="S1","a",if($K32="S2","b","")),Students!$A:$A,AS$2)+countifs(Students!$H:$H,$V32,Students!$I:$I,$V$2&amp;if($K32="S1","a",if($K32="S2","b","")),Students!$A:$A,AS$2)+countifs(Students!$J:$J,$V32,Students!$K:$K,$V$2&amp;if($K32="S1","a",if($K32="S2","b","")),Students!$A:$A,AS$2)+countifs(Students!$L:$L,$V32,Students!$M:$M,$V$2&amp;if($K32="S1","a",if($K32="S2","b","")),Students!$A:$A,AS$2)+countifs(Students!$N:$N,$V32,Students!$O:$O,$V$2&amp;if($K32="S1","a",if($K32="S2","b","")),Students!$A:$A,AS$2)+countifs(Students!$P:$P,$V32,Students!$Q:$Q,$V$2&amp;if($K32="S1","a",if($K32="S2","b","")),Students!$A:$A,AS$2)+countifs(Students!$R:$R,$V32,Students!$S:$S,$V$2&amp;if($K32="S1","a",if($K32="S2","b","")),Students!$A:$A,AS$2)+countifs(Students!$T:$T,$V32,Students!$U:$U,$V$2&amp;if($K32="S1","a",if($K32="S2","b","")),Students!$A:$A,AS$2)+countifs(Students!$V:$V,$V32,Students!$W:$W,$V$2&amp;if($K32="S1","a",if($K32="S2","b","")),Students!$A:$A,AS$2)+
countifs(Students!$D:$D,$Y32,Students!$E:$E,$Y$2&amp;if($K32="S1","a",if($K32="S2","b","")),Students!$A:$A,AS$2)+countifs(Students!$F:$F,$Y32,Students!$G:$G,$Y$2&amp;if($K32="S1","a",if($K32="S2","b","")),Students!$A:$A,AS$2)+countifs(Students!$H:$H,$Y32,Students!$I:$I,$Y$2&amp;if($K32="S1","a",if($K32="S2","b","")),Students!$A:$A,AS$2)+countifs(Students!$J:$J,$Y32,Students!$K:$K,$Y$2&amp;if($K32="S1","a",if($K32="S2","b","")),Students!$A:$A,AS$2)+countifs(Students!$L:$L,$Y32,Students!$M:$M,$Y$2&amp;if($K32="S1","a",if($K32="S2","b","")),Students!$A:$A,AS$2)+countifs(Students!$N:$N,$Y32,Students!$O:$O,$Y$2&amp;if($K32="S1","a",if($K32="S2","b","")),Students!$A:$A,AS$2)+countifs(Students!$P:$P,$Y32,Students!$Q:$Q,$Y$2&amp;if($K32="S1","a",if($K32="S2","b","")),Students!$A:$A,AS$2)+countifs(Students!$R:$R,$Y32,Students!$S:$S,$Y$2&amp;if($K32="S1","a",if($K32="S2","b","")),Students!$A:$A,AS$2)+countifs(Students!$T:$T,$Y32,Students!$U:$U,$Y$2&amp;if($K32="S1","a",if($K32="S2","b","")),Students!$A:$A,AS$2)+countifs(Students!$V:$V,$Y32,Students!$W:$W,$Y$2&amp;if($K32="S1","a",if($K32="S2","b","")),Students!$A:$A,AS$2)+
countifs(Students!$D:$D,$AB32,Students!$E:$E,$AB$2&amp;if($K32="S1","a",if($K32="S2","b","")),Students!$A:$A,AS$2)+countifs(Students!$F:$F,$AB32,Students!$G:$G,$AB$2&amp;if($K32="S1","a",if($K32="S2","b","")),Students!$A:$A,AS$2)+countifs(Students!$H:$H,$AB32,Students!$I:$I,$AB$2&amp;if($K32="S1","a",if($K32="S2","b","")),Students!$A:$A,AS$2)+countifs(Students!$J:$J,$AB32,Students!$K:$K,$AB$2&amp;if($K32="S1","a",if($K32="S2","b","")),Students!$A:$A,AS$2)+countifs(Students!$L:$L,$AB32,Students!$M:$M,$AB$2&amp;if($K32="S1","a",if($K32="S2","b","")),Students!$A:$A,AS$2)+countifs(Students!$N:$N,$AB32,Students!$O:$O,$AB$2&amp;if($K32="S1","a",if($K32="S2","b","")),Students!$A:$A,AS$2)+countifs(Students!$P:$P,$AB32,Students!$Q:$Q,$AB$2&amp;if($K32="S1","a",if($K32="S2","b","")),Students!$A:$A,AS$2)+countifs(Students!$R:$R,$AB32,Students!$S:$S,$AB$2&amp;if($K32="S1","a",if($K32="S2","b","")),Students!$A:$A,AS$2)+countifs(Students!$T:$T,$AB32,Students!$U:$U,$AB$2&amp;if($K32="S1","a",if($K32="S2","b","")),Students!$A:$A,AS$2)+countifs(Students!$V:$V,$AB32,Students!$W:$W,$AB$2&amp;if($K32="S1","a",if($K32="S2","b","")),Students!$A:$A,AS$2)+
countifs(Students!$D:$D,$AE32,Students!$E:$E,$AE$2&amp;if($K32="S1","a",if($K32="S2","b","")),Students!$A:$A,AS$2)+countifs(Students!$F:$F,$AE32,Students!$G:$G,$AE$2&amp;if($K32="S1","a",if($K32="S2","b","")),Students!$A:$A,AS$2)+countifs(Students!$H:$H,$AE32,Students!$I:$I,$AE$2&amp;if($K32="S1","a",if($K32="S2","b","")),Students!$A:$A,AS$2)+countifs(Students!$J:$J,$AE32,Students!$K:$K,$AE$2&amp;if($K32="S1","a",if($K32="S2","b","")),Students!$A:$A,AS$2)+countifs(Students!$L:$L,$AE32,Students!$M:$M,$AE$2&amp;if($K32="S1","a",if($K32="S2","b","")),Students!$A:$A,AS$2)+countifs(Students!$N:$N,$AE32,Students!$O:$O,$AE$2&amp;if($K32="S1","a",if($K32="S2","b","")),Students!$A:$A,AS$2)+countifs(Students!$P:$P,$AE32,Students!$Q:$Q,$AE$2&amp;if($K32="S1","a",if($K32="S2","b","")),Students!$A:$A,AS$2)+countifs(Students!$R:$R,$AE32,Students!$S:$S,$AE$2&amp;if($K32="S1","a",if($K32="S2","b","")),Students!$A:$A,AS$2)+countifs(Students!$T:$T,$AE32,Students!$U:$U,$AE$2&amp;if($K32="S1","a",if($K32="S2","b","")),Students!$A:$A,AS$2)+countifs(Students!$V:$V,$AE32,Students!$W:$W,$AE$2&amp;if($K32="S1","a",if($K32="S2","b","")),Students!$A:$A,AS$2)+
countifs(Students!$D:$D,$AH32,Students!$E:$E,$AH$2&amp;if($K32="S1","a",if($K32="S2","b","")),Students!$A:$A,AS$2)+countifs(Students!$F:$F,$AH32,Students!$G:$G,$AH$2&amp;if($K32="S1","a",if($K32="S2","b","")),Students!$A:$A,AS$2)+countifs(Students!$H:$H,$AH32,Students!$I:$I,$AH$2&amp;if($K32="S1","a",if($K32="S2","b","")),Students!$A:$A,AS$2)+countifs(Students!$J:$J,$AH32,Students!$K:$K,$AH$2&amp;if($K32="S1","a",if($K32="S2","b","")),Students!$A:$A,AS$2)+countifs(Students!$L:$L,$AH32,Students!$M:$M,$AH$2&amp;if($K32="S1","a",if($K32="S2","b","")),Students!$A:$A,AS$2)+countifs(Students!$N:$N,$AH32,Students!$O:$O,$AH$2&amp;if($K32="S1","a",if($K32="S2","b","")),Students!$A:$A,AS$2)+countifs(Students!$P:$P,$AH32,Students!$Q:$Q,$AH$2&amp;if($K32="S1","a",if($K32="S2","b","")),Students!$A:$A,AS$2)+countifs(Students!$R:$R,$AH32,Students!$S:$S,$AH$2&amp;if($K32="S1","a",if($K32="S2","b","")),Students!$A:$A,AS$2)+countifs(Students!$T:$T,$AH32,Students!$U:$U,$AH$2&amp;if($K32="S1","a",if($K32="S2","b","")),Students!$A:$A,AS$2)+countifs(Students!$V:$V,$AH32,Students!$W:$W,$AH$2&amp;if($K32="S1","a",if($K32="S2","b","")),Students!$A:$A,AS$2)+
countifs(Students!$D:$D,$AK32,Students!$E:$E,$AK$2&amp;if($K32="S1","a",if($K32="S2","b","")),Students!$A:$A,AS$2)+countifs(Students!$F:$F,$AK32,Students!$G:$G,$AK$2&amp;if($K32="S1","a",if($K32="S2","b","")),Students!$A:$A,AS$2)+countifs(Students!$H:$H,$AK32,Students!$I:$I,$AK$2&amp;if($K32="S1","a",if($K32="S2","b","")),Students!$A:$A,AS$2)+countifs(Students!$J:$J,$AK32,Students!$K:$K,$AK$2&amp;if($K32="S1","a",if($K32="S2","b","")),Students!$A:$A,AS$2)+countifs(Students!$L:$L,$AK32,Students!$M:$M,$AK$2&amp;if($K32="S1","a",if($K32="S2","b","")),Students!$A:$A,AS$2)+countifs(Students!$N:$N,$AK32,Students!$O:$O,$AK$2&amp;if($K32="S1","a",if($K32="S2","b","")),Students!$A:$A,AS$2)+countifs(Students!$P:$P,$AK32,Students!$Q:$Q,$AK$2&amp;if($K32="S1","a",if($K32="S2","b","")),Students!$A:$A,AS$2)+countifs(Students!$R:$R,$AK32,Students!$S:$S,$AK$2&amp;if($K32="S1","a",if($K32="S2","b","")),Students!$A:$A,AS$2)+countifs(Students!$T:$T,$AK32,Students!$U:$U,$AK$2&amp;if($K32="S1","a",if($K32="S2","b","")),Students!$A:$A,AS$2)+countifs(Students!$V:$V,$AK32,Students!$W:$W,$AK$2&amp;if($K32="S1","a",if($K32="S2","b","")),Students!$A:$A,AS$2))</f>
        <v>25</v>
      </c>
    </row>
    <row r="33">
      <c r="J33" s="87">
        <v>93.0</v>
      </c>
      <c r="K33" s="88"/>
      <c r="L33" s="58" t="s">
        <v>102</v>
      </c>
      <c r="M33" s="107"/>
      <c r="N33" s="87">
        <v>2.0</v>
      </c>
      <c r="O33" s="87"/>
      <c r="P33" s="94"/>
      <c r="Q33" s="94"/>
      <c r="R33" s="95" t="s">
        <v>22</v>
      </c>
      <c r="S33" s="91" t="s">
        <v>103</v>
      </c>
      <c r="T33" s="101">
        <v>1.0</v>
      </c>
      <c r="U33" s="98">
        <v>16.0</v>
      </c>
      <c r="V33" s="91" t="s">
        <v>103</v>
      </c>
      <c r="W33" s="91">
        <v>2.0</v>
      </c>
      <c r="X33" s="92">
        <v>19.0</v>
      </c>
      <c r="Y33" s="90" t="s">
        <v>103</v>
      </c>
      <c r="Z33" s="91">
        <v>3.0</v>
      </c>
      <c r="AA33" s="92">
        <v>18.0</v>
      </c>
      <c r="AB33" s="91" t="s">
        <v>51</v>
      </c>
      <c r="AC33" s="91">
        <v>5.0</v>
      </c>
      <c r="AD33" s="92">
        <v>19.0</v>
      </c>
      <c r="AE33" s="90" t="s">
        <v>103</v>
      </c>
      <c r="AF33" s="101">
        <v>4.0</v>
      </c>
      <c r="AG33" s="98">
        <v>21.0</v>
      </c>
      <c r="AH33" s="91"/>
      <c r="AI33" s="98"/>
      <c r="AJ33" s="98" t="s">
        <v>22</v>
      </c>
      <c r="AK33" s="91"/>
      <c r="AL33" s="97"/>
      <c r="AM33" s="98" t="s">
        <v>22</v>
      </c>
      <c r="AN33" s="99"/>
      <c r="AO33" s="52">
        <f t="shared" si="2"/>
        <v>93</v>
      </c>
      <c r="AP33" s="102">
        <f>if($L33="","",countifs(Students!$D:$D,$P33,Students!$E:$E,$P$2&amp;if($K33="S1","a",if($K33="S2","b","")),Students!$A:$A,AP$2)+countifs(Students!$F:$F,$P33,Students!$G:$G,$P$2&amp;if($K33="S1","a",if($K33="S2","b","")),Students!$A:$A,AP$2)+countifs(Students!$H:$H,$P33,Students!$I:$I,$P$2&amp;if($K33="S1","a",if($K33="S2","b","")),Students!$A:$A,AP$2)+countifs(Students!$J:$J,$P33,Students!$K:$K,$P$2&amp;if($K33="S1","a",if($K33="S2","b","")),Students!$A:$A,AP$2)+countifs(Students!$L:$L,$P33,Students!$M:$M,$P$2&amp;if($K33="S1","a",if($K33="S2","b","")),Students!$A:$A,AP$2)+countifs(Students!$N:$N,$P33,Students!$O:$O,$P$2&amp;if($K33="S1","a",if($K33="S2","b","")),Students!$A:$A,AP$2)+countifs(Students!$P:$P,$P33,Students!$Q:$Q,$P$2&amp;if($K33="S1","a",if($K33="S2","b","")),Students!$A:$A,AP$2)+countifs(Students!$R:$R,$P33,Students!$S:$S,$P$2&amp;if($K33="S1","a",if($K33="S2","b","")),Students!$A:$A,AP$2)+countifs(Students!$T:$T,$P33,Students!$U:$U,$P$2&amp;if($K33="S1","a",if($K33="S2","b","")),Students!$A:$A,AP$2)+countifs(Students!$V:$V,$P33,Students!$W:$W,$P$2&amp;if($K33="S1","a",if($K33="S2","b","")),Students!$A:$A,AP$2)+
countifs(Students!$D:$D,$S33,Students!$E:$E,$S$2&amp;if($K33="S1","a",if($K33="S2","b","")),Students!$A:$A,AP$2)+countifs(Students!$F:$F,$S33,Students!$G:$G,$S$2&amp;if($K33="S1","a",if($K33="S2","b","")),Students!$A:$A,AP$2)+countifs(Students!$H:$H,$S33,Students!$I:$I,$S$2&amp;if($K33="S1","a",if($K33="S2","b","")),Students!$A:$A,AP$2)+countifs(Students!$J:$J,$S33,Students!$K:$K,$S$2&amp;if($K33="S1","a",if($K33="S2","b","")),Students!$A:$A,AP$2)+countifs(Students!$L:$L,$S33,Students!$M:$M,$S$2&amp;if($K33="S1","a",if($K33="S2","b","")),Students!$A:$A,AP$2)+countifs(Students!$N:$N,$S33,Students!$O:$O,$S$2&amp;if($K33="S1","a",if($K33="S2","b","")),Students!$A:$A,AP$2)+countifs(Students!$P:$P,$S33,Students!$Q:$Q,$S$2&amp;if($K33="S1","a",if($K33="S2","b","")),Students!$A:$A,AP$2)+countifs(Students!$R:$R,$S33,Students!$S:$S,$S$2&amp;if($K33="S1","a",if($K33="S2","b","")),Students!$A:$A,AP$2)+countifs(Students!$T:$T,$S33,Students!$U:$U,$S$2&amp;if($K33="S1","a",if($K33="S2","b","")),Students!$A:$A,AP$2)+countifs(Students!$V:$V,$S33,Students!$W:$W,$S$2&amp;if($K33="S1","a",if($K33="S2","b","")),Students!$A:$A,AP$2)+
countifs(Students!$D:$D,$V33,Students!$E:$E,$V$2&amp;if($K33="S1","a",if($K33="S2","b","")),Students!$A:$A,AP$2)+countifs(Students!$F:$F,$V33,Students!$G:$G,$V$2&amp;if($K33="S1","a",if($K33="S2","b","")),Students!$A:$A,AP$2)+countifs(Students!$H:$H,$V33,Students!$I:$I,$V$2&amp;if($K33="S1","a",if($K33="S2","b","")),Students!$A:$A,AP$2)+countifs(Students!$J:$J,$V33,Students!$K:$K,$V$2&amp;if($K33="S1","a",if($K33="S2","b","")),Students!$A:$A,AP$2)+countifs(Students!$L:$L,$V33,Students!$M:$M,$V$2&amp;if($K33="S1","a",if($K33="S2","b","")),Students!$A:$A,AP$2)+countifs(Students!$N:$N,$V33,Students!$O:$O,$V$2&amp;if($K33="S1","a",if($K33="S2","b","")),Students!$A:$A,AP$2)+countifs(Students!$P:$P,$V33,Students!$Q:$Q,$V$2&amp;if($K33="S1","a",if($K33="S2","b","")),Students!$A:$A,AP$2)+countifs(Students!$R:$R,$V33,Students!$S:$S,$V$2&amp;if($K33="S1","a",if($K33="S2","b","")),Students!$A:$A,AP$2)+countifs(Students!$T:$T,$V33,Students!$U:$U,$V$2&amp;if($K33="S1","a",if($K33="S2","b","")),Students!$A:$A,AP$2)+countifs(Students!$V:$V,$V33,Students!$W:$W,$V$2&amp;if($K33="S1","a",if($K33="S2","b","")),Students!$A:$A,AP$2)+
countifs(Students!$D:$D,$Y33,Students!$E:$E,$Y$2&amp;if($K33="S1","a",if($K33="S2","b","")),Students!$A:$A,AP$2)+countifs(Students!$F:$F,$Y33,Students!$G:$G,$Y$2&amp;if($K33="S1","a",if($K33="S2","b","")),Students!$A:$A,AP$2)+countifs(Students!$H:$H,$Y33,Students!$I:$I,$Y$2&amp;if($K33="S1","a",if($K33="S2","b","")),Students!$A:$A,AP$2)+countifs(Students!$J:$J,$Y33,Students!$K:$K,$Y$2&amp;if($K33="S1","a",if($K33="S2","b","")),Students!$A:$A,AP$2)+countifs(Students!$L:$L,$Y33,Students!$M:$M,$Y$2&amp;if($K33="S1","a",if($K33="S2","b","")),Students!$A:$A,AP$2)+countifs(Students!$N:$N,$Y33,Students!$O:$O,$Y$2&amp;if($K33="S1","a",if($K33="S2","b","")),Students!$A:$A,AP$2)+countifs(Students!$P:$P,$Y33,Students!$Q:$Q,$Y$2&amp;if($K33="S1","a",if($K33="S2","b","")),Students!$A:$A,AP$2)+countifs(Students!$R:$R,$Y33,Students!$S:$S,$Y$2&amp;if($K33="S1","a",if($K33="S2","b","")),Students!$A:$A,AP$2)+countifs(Students!$T:$T,$Y33,Students!$U:$U,$Y$2&amp;if($K33="S1","a",if($K33="S2","b","")),Students!$A:$A,AP$2)+countifs(Students!$V:$V,$Y33,Students!$W:$W,$Y$2&amp;if($K33="S1","a",if($K33="S2","b","")),Students!$A:$A,AP$2)+
countifs(Students!$D:$D,$AB33,Students!$E:$E,$AB$2&amp;if($K33="S1","a",if($K33="S2","b","")),Students!$A:$A,AP$2)+countifs(Students!$F:$F,$AB33,Students!$G:$G,$AB$2&amp;if($K33="S1","a",if($K33="S2","b","")),Students!$A:$A,AP$2)+countifs(Students!$H:$H,$AB33,Students!$I:$I,$AB$2&amp;if($K33="S1","a",if($K33="S2","b","")),Students!$A:$A,AP$2)+countifs(Students!$J:$J,$AB33,Students!$K:$K,$AB$2&amp;if($K33="S1","a",if($K33="S2","b","")),Students!$A:$A,AP$2)+countifs(Students!$L:$L,$AB33,Students!$M:$M,$AB$2&amp;if($K33="S1","a",if($K33="S2","b","")),Students!$A:$A,AP$2)+countifs(Students!$N:$N,$AB33,Students!$O:$O,$AB$2&amp;if($K33="S1","a",if($K33="S2","b","")),Students!$A:$A,AP$2)+countifs(Students!$P:$P,$AB33,Students!$Q:$Q,$AB$2&amp;if($K33="S1","a",if($K33="S2","b","")),Students!$A:$A,AP$2)+countifs(Students!$R:$R,$AB33,Students!$S:$S,$AB$2&amp;if($K33="S1","a",if($K33="S2","b","")),Students!$A:$A,AP$2)+countifs(Students!$T:$T,$AB33,Students!$U:$U,$AB$2&amp;if($K33="S1","a",if($K33="S2","b","")),Students!$A:$A,AP$2)+countifs(Students!$V:$V,$AB33,Students!$W:$W,$AB$2&amp;if($K33="S1","a",if($K33="S2","b","")),Students!$A:$A,AP$2)+
countifs(Students!$D:$D,$AE33,Students!$E:$E,$AE$2&amp;if($K33="S1","a",if($K33="S2","b","")),Students!$A:$A,AP$2)+countifs(Students!$F:$F,$AE33,Students!$G:$G,$AE$2&amp;if($K33="S1","a",if($K33="S2","b","")),Students!$A:$A,AP$2)+countifs(Students!$H:$H,$AE33,Students!$I:$I,$AE$2&amp;if($K33="S1","a",if($K33="S2","b","")),Students!$A:$A,AP$2)+countifs(Students!$J:$J,$AE33,Students!$K:$K,$AE$2&amp;if($K33="S1","a",if($K33="S2","b","")),Students!$A:$A,AP$2)+countifs(Students!$L:$L,$AE33,Students!$M:$M,$AE$2&amp;if($K33="S1","a",if($K33="S2","b","")),Students!$A:$A,AP$2)+countifs(Students!$N:$N,$AE33,Students!$O:$O,$AE$2&amp;if($K33="S1","a",if($K33="S2","b","")),Students!$A:$A,AP$2)+countifs(Students!$P:$P,$AE33,Students!$Q:$Q,$AE$2&amp;if($K33="S1","a",if($K33="S2","b","")),Students!$A:$A,AP$2)+countifs(Students!$R:$R,$AE33,Students!$S:$S,$AE$2&amp;if($K33="S1","a",if($K33="S2","b","")),Students!$A:$A,AP$2)+countifs(Students!$T:$T,$AE33,Students!$U:$U,$AE$2&amp;if($K33="S1","a",if($K33="S2","b","")),Students!$A:$A,AP$2)+countifs(Students!$V:$V,$AE33,Students!$W:$W,$AE$2&amp;if($K33="S1","a",if($K33="S2","b","")),Students!$A:$A,AP$2)+
countifs(Students!$D:$D,$AH33,Students!$E:$E,$AH$2&amp;if($K33="S1","a",if($K33="S2","b","")),Students!$A:$A,AP$2)+countifs(Students!$F:$F,$AH33,Students!$G:$G,$AH$2&amp;if($K33="S1","a",if($K33="S2","b","")),Students!$A:$A,AP$2)+countifs(Students!$H:$H,$AH33,Students!$I:$I,$AH$2&amp;if($K33="S1","a",if($K33="S2","b","")),Students!$A:$A,AP$2)+countifs(Students!$J:$J,$AH33,Students!$K:$K,$AH$2&amp;if($K33="S1","a",if($K33="S2","b","")),Students!$A:$A,AP$2)+countifs(Students!$L:$L,$AH33,Students!$M:$M,$AH$2&amp;if($K33="S1","a",if($K33="S2","b","")),Students!$A:$A,AP$2)+countifs(Students!$N:$N,$AH33,Students!$O:$O,$AH$2&amp;if($K33="S1","a",if($K33="S2","b","")),Students!$A:$A,AP$2)+countifs(Students!$P:$P,$AH33,Students!$Q:$Q,$AH$2&amp;if($K33="S1","a",if($K33="S2","b","")),Students!$A:$A,AP$2)+countifs(Students!$R:$R,$AH33,Students!$S:$S,$AH$2&amp;if($K33="S1","a",if($K33="S2","b","")),Students!$A:$A,AP$2)+countifs(Students!$T:$T,$AH33,Students!$U:$U,$AH$2&amp;if($K33="S1","a",if($K33="S2","b","")),Students!$A:$A,AP$2)+countifs(Students!$V:$V,$AH33,Students!$W:$W,$AH$2&amp;if($K33="S1","a",if($K33="S2","b","")),Students!$A:$A,AP$2)+
countifs(Students!$D:$D,$AK33,Students!$E:$E,$AK$2&amp;if($K33="S1","a",if($K33="S2","b","")),Students!$A:$A,AP$2)+countifs(Students!$F:$F,$AK33,Students!$G:$G,$AK$2&amp;if($K33="S1","a",if($K33="S2","b","")),Students!$A:$A,AP$2)+countifs(Students!$H:$H,$AK33,Students!$I:$I,$AK$2&amp;if($K33="S1","a",if($K33="S2","b","")),Students!$A:$A,AP$2)+countifs(Students!$J:$J,$AK33,Students!$K:$K,$AK$2&amp;if($K33="S1","a",if($K33="S2","b","")),Students!$A:$A,AP$2)+countifs(Students!$L:$L,$AK33,Students!$M:$M,$AK$2&amp;if($K33="S1","a",if($K33="S2","b","")),Students!$A:$A,AP$2)+countifs(Students!$N:$N,$AK33,Students!$O:$O,$AK$2&amp;if($K33="S1","a",if($K33="S2","b","")),Students!$A:$A,AP$2)+countifs(Students!$P:$P,$AK33,Students!$Q:$Q,$AK$2&amp;if($K33="S1","a",if($K33="S2","b","")),Students!$A:$A,AP$2)+countifs(Students!$R:$R,$AK33,Students!$S:$S,$AK$2&amp;if($K33="S1","a",if($K33="S2","b","")),Students!$A:$A,AP$2)+countifs(Students!$T:$T,$AK33,Students!$U:$U,$AK$2&amp;if($K33="S1","a",if($K33="S2","b","")),Students!$A:$A,AP$2)+countifs(Students!$V:$V,$AK33,Students!$W:$W,$AK$2&amp;if($K33="S1","a",if($K33="S2","b","")),Students!$A:$A,AP$2))</f>
        <v>19</v>
      </c>
      <c r="AQ33" s="102">
        <f>if($L33="","",countifs(Students!$D:$D,$P33,Students!$E:$E,$P$2&amp;if($K33="S1","a",if($K33="S2","b","")),Students!$A:$A,AQ$2)+countifs(Students!$F:$F,$P33,Students!$G:$G,$P$2&amp;if($K33="S1","a",if($K33="S2","b","")),Students!$A:$A,AQ$2)+countifs(Students!$H:$H,$P33,Students!$I:$I,$P$2&amp;if($K33="S1","a",if($K33="S2","b","")),Students!$A:$A,AQ$2)+countifs(Students!$J:$J,$P33,Students!$K:$K,$P$2&amp;if($K33="S1","a",if($K33="S2","b","")),Students!$A:$A,AQ$2)+countifs(Students!$L:$L,$P33,Students!$M:$M,$P$2&amp;if($K33="S1","a",if($K33="S2","b","")),Students!$A:$A,AQ$2)+countifs(Students!$N:$N,$P33,Students!$O:$O,$P$2&amp;if($K33="S1","a",if($K33="S2","b","")),Students!$A:$A,AQ$2)+countifs(Students!$P:$P,$P33,Students!$Q:$Q,$P$2&amp;if($K33="S1","a",if($K33="S2","b","")),Students!$A:$A,AQ$2)+countifs(Students!$R:$R,$P33,Students!$S:$S,$P$2&amp;if($K33="S1","a",if($K33="S2","b","")),Students!$A:$A,AQ$2)+countifs(Students!$T:$T,$P33,Students!$U:$U,$P$2&amp;if($K33="S1","a",if($K33="S2","b","")),Students!$A:$A,AQ$2)+countifs(Students!$V:$V,$P33,Students!$W:$W,$P$2&amp;if($K33="S1","a",if($K33="S2","b","")),Students!$A:$A,AQ$2)+
countifs(Students!$D:$D,$S33,Students!$E:$E,$S$2&amp;if($K33="S1","a",if($K33="S2","b","")),Students!$A:$A,AQ$2)+countifs(Students!$F:$F,$S33,Students!$G:$G,$S$2&amp;if($K33="S1","a",if($K33="S2","b","")),Students!$A:$A,AQ$2)+countifs(Students!$H:$H,$S33,Students!$I:$I,$S$2&amp;if($K33="S1","a",if($K33="S2","b","")),Students!$A:$A,AQ$2)+countifs(Students!$J:$J,$S33,Students!$K:$K,$S$2&amp;if($K33="S1","a",if($K33="S2","b","")),Students!$A:$A,AQ$2)+countifs(Students!$L:$L,$S33,Students!$M:$M,$S$2&amp;if($K33="S1","a",if($K33="S2","b","")),Students!$A:$A,AQ$2)+countifs(Students!$N:$N,$S33,Students!$O:$O,$S$2&amp;if($K33="S1","a",if($K33="S2","b","")),Students!$A:$A,AQ$2)+countifs(Students!$P:$P,$S33,Students!$Q:$Q,$S$2&amp;if($K33="S1","a",if($K33="S2","b","")),Students!$A:$A,AQ$2)+countifs(Students!$R:$R,$S33,Students!$S:$S,$S$2&amp;if($K33="S1","a",if($K33="S2","b","")),Students!$A:$A,AQ$2)+countifs(Students!$T:$T,$S33,Students!$U:$U,$S$2&amp;if($K33="S1","a",if($K33="S2","b","")),Students!$A:$A,AQ$2)+countifs(Students!$V:$V,$S33,Students!$W:$W,$S$2&amp;if($K33="S1","a",if($K33="S2","b","")),Students!$A:$A,AQ$2)+
countifs(Students!$D:$D,$V33,Students!$E:$E,$V$2&amp;if($K33="S1","a",if($K33="S2","b","")),Students!$A:$A,AQ$2)+countifs(Students!$F:$F,$V33,Students!$G:$G,$V$2&amp;if($K33="S1","a",if($K33="S2","b","")),Students!$A:$A,AQ$2)+countifs(Students!$H:$H,$V33,Students!$I:$I,$V$2&amp;if($K33="S1","a",if($K33="S2","b","")),Students!$A:$A,AQ$2)+countifs(Students!$J:$J,$V33,Students!$K:$K,$V$2&amp;if($K33="S1","a",if($K33="S2","b","")),Students!$A:$A,AQ$2)+countifs(Students!$L:$L,$V33,Students!$M:$M,$V$2&amp;if($K33="S1","a",if($K33="S2","b","")),Students!$A:$A,AQ$2)+countifs(Students!$N:$N,$V33,Students!$O:$O,$V$2&amp;if($K33="S1","a",if($K33="S2","b","")),Students!$A:$A,AQ$2)+countifs(Students!$P:$P,$V33,Students!$Q:$Q,$V$2&amp;if($K33="S1","a",if($K33="S2","b","")),Students!$A:$A,AQ$2)+countifs(Students!$R:$R,$V33,Students!$S:$S,$V$2&amp;if($K33="S1","a",if($K33="S2","b","")),Students!$A:$A,AQ$2)+countifs(Students!$T:$T,$V33,Students!$U:$U,$V$2&amp;if($K33="S1","a",if($K33="S2","b","")),Students!$A:$A,AQ$2)+countifs(Students!$V:$V,$V33,Students!$W:$W,$V$2&amp;if($K33="S1","a",if($K33="S2","b","")),Students!$A:$A,AQ$2)+
countifs(Students!$D:$D,$Y33,Students!$E:$E,$Y$2&amp;if($K33="S1","a",if($K33="S2","b","")),Students!$A:$A,AQ$2)+countifs(Students!$F:$F,$Y33,Students!$G:$G,$Y$2&amp;if($K33="S1","a",if($K33="S2","b","")),Students!$A:$A,AQ$2)+countifs(Students!$H:$H,$Y33,Students!$I:$I,$Y$2&amp;if($K33="S1","a",if($K33="S2","b","")),Students!$A:$A,AQ$2)+countifs(Students!$J:$J,$Y33,Students!$K:$K,$Y$2&amp;if($K33="S1","a",if($K33="S2","b","")),Students!$A:$A,AQ$2)+countifs(Students!$L:$L,$Y33,Students!$M:$M,$Y$2&amp;if($K33="S1","a",if($K33="S2","b","")),Students!$A:$A,AQ$2)+countifs(Students!$N:$N,$Y33,Students!$O:$O,$Y$2&amp;if($K33="S1","a",if($K33="S2","b","")),Students!$A:$A,AQ$2)+countifs(Students!$P:$P,$Y33,Students!$Q:$Q,$Y$2&amp;if($K33="S1","a",if($K33="S2","b","")),Students!$A:$A,AQ$2)+countifs(Students!$R:$R,$Y33,Students!$S:$S,$Y$2&amp;if($K33="S1","a",if($K33="S2","b","")),Students!$A:$A,AQ$2)+countifs(Students!$T:$T,$Y33,Students!$U:$U,$Y$2&amp;if($K33="S1","a",if($K33="S2","b","")),Students!$A:$A,AQ$2)+countifs(Students!$V:$V,$Y33,Students!$W:$W,$Y$2&amp;if($K33="S1","a",if($K33="S2","b","")),Students!$A:$A,AQ$2)+
countifs(Students!$D:$D,$AB33,Students!$E:$E,$AB$2&amp;if($K33="S1","a",if($K33="S2","b","")),Students!$A:$A,AQ$2)+countifs(Students!$F:$F,$AB33,Students!$G:$G,$AB$2&amp;if($K33="S1","a",if($K33="S2","b","")),Students!$A:$A,AQ$2)+countifs(Students!$H:$H,$AB33,Students!$I:$I,$AB$2&amp;if($K33="S1","a",if($K33="S2","b","")),Students!$A:$A,AQ$2)+countifs(Students!$J:$J,$AB33,Students!$K:$K,$AB$2&amp;if($K33="S1","a",if($K33="S2","b","")),Students!$A:$A,AQ$2)+countifs(Students!$L:$L,$AB33,Students!$M:$M,$AB$2&amp;if($K33="S1","a",if($K33="S2","b","")),Students!$A:$A,AQ$2)+countifs(Students!$N:$N,$AB33,Students!$O:$O,$AB$2&amp;if($K33="S1","a",if($K33="S2","b","")),Students!$A:$A,AQ$2)+countifs(Students!$P:$P,$AB33,Students!$Q:$Q,$AB$2&amp;if($K33="S1","a",if($K33="S2","b","")),Students!$A:$A,AQ$2)+countifs(Students!$R:$R,$AB33,Students!$S:$S,$AB$2&amp;if($K33="S1","a",if($K33="S2","b","")),Students!$A:$A,AQ$2)+countifs(Students!$T:$T,$AB33,Students!$U:$U,$AB$2&amp;if($K33="S1","a",if($K33="S2","b","")),Students!$A:$A,AQ$2)+countifs(Students!$V:$V,$AB33,Students!$W:$W,$AB$2&amp;if($K33="S1","a",if($K33="S2","b","")),Students!$A:$A,AQ$2)+
countifs(Students!$D:$D,$AE33,Students!$E:$E,$AE$2&amp;if($K33="S1","a",if($K33="S2","b","")),Students!$A:$A,AQ$2)+countifs(Students!$F:$F,$AE33,Students!$G:$G,$AE$2&amp;if($K33="S1","a",if($K33="S2","b","")),Students!$A:$A,AQ$2)+countifs(Students!$H:$H,$AE33,Students!$I:$I,$AE$2&amp;if($K33="S1","a",if($K33="S2","b","")),Students!$A:$A,AQ$2)+countifs(Students!$J:$J,$AE33,Students!$K:$K,$AE$2&amp;if($K33="S1","a",if($K33="S2","b","")),Students!$A:$A,AQ$2)+countifs(Students!$L:$L,$AE33,Students!$M:$M,$AE$2&amp;if($K33="S1","a",if($K33="S2","b","")),Students!$A:$A,AQ$2)+countifs(Students!$N:$N,$AE33,Students!$O:$O,$AE$2&amp;if($K33="S1","a",if($K33="S2","b","")),Students!$A:$A,AQ$2)+countifs(Students!$P:$P,$AE33,Students!$Q:$Q,$AE$2&amp;if($K33="S1","a",if($K33="S2","b","")),Students!$A:$A,AQ$2)+countifs(Students!$R:$R,$AE33,Students!$S:$S,$AE$2&amp;if($K33="S1","a",if($K33="S2","b","")),Students!$A:$A,AQ$2)+countifs(Students!$T:$T,$AE33,Students!$U:$U,$AE$2&amp;if($K33="S1","a",if($K33="S2","b","")),Students!$A:$A,AQ$2)+countifs(Students!$V:$V,$AE33,Students!$W:$W,$AE$2&amp;if($K33="S1","a",if($K33="S2","b","")),Students!$A:$A,AQ$2)+
countifs(Students!$D:$D,$AH33,Students!$E:$E,$AH$2&amp;if($K33="S1","a",if($K33="S2","b","")),Students!$A:$A,AQ$2)+countifs(Students!$F:$F,$AH33,Students!$G:$G,$AH$2&amp;if($K33="S1","a",if($K33="S2","b","")),Students!$A:$A,AQ$2)+countifs(Students!$H:$H,$AH33,Students!$I:$I,$AH$2&amp;if($K33="S1","a",if($K33="S2","b","")),Students!$A:$A,AQ$2)+countifs(Students!$J:$J,$AH33,Students!$K:$K,$AH$2&amp;if($K33="S1","a",if($K33="S2","b","")),Students!$A:$A,AQ$2)+countifs(Students!$L:$L,$AH33,Students!$M:$M,$AH$2&amp;if($K33="S1","a",if($K33="S2","b","")),Students!$A:$A,AQ$2)+countifs(Students!$N:$N,$AH33,Students!$O:$O,$AH$2&amp;if($K33="S1","a",if($K33="S2","b","")),Students!$A:$A,AQ$2)+countifs(Students!$P:$P,$AH33,Students!$Q:$Q,$AH$2&amp;if($K33="S1","a",if($K33="S2","b","")),Students!$A:$A,AQ$2)+countifs(Students!$R:$R,$AH33,Students!$S:$S,$AH$2&amp;if($K33="S1","a",if($K33="S2","b","")),Students!$A:$A,AQ$2)+countifs(Students!$T:$T,$AH33,Students!$U:$U,$AH$2&amp;if($K33="S1","a",if($K33="S2","b","")),Students!$A:$A,AQ$2)+countifs(Students!$V:$V,$AH33,Students!$W:$W,$AH$2&amp;if($K33="S1","a",if($K33="S2","b","")),Students!$A:$A,AQ$2)+
countifs(Students!$D:$D,$AK33,Students!$E:$E,$AK$2&amp;if($K33="S1","a",if($K33="S2","b","")),Students!$A:$A,AQ$2)+countifs(Students!$F:$F,$AK33,Students!$G:$G,$AK$2&amp;if($K33="S1","a",if($K33="S2","b","")),Students!$A:$A,AQ$2)+countifs(Students!$H:$H,$AK33,Students!$I:$I,$AK$2&amp;if($K33="S1","a",if($K33="S2","b","")),Students!$A:$A,AQ$2)+countifs(Students!$J:$J,$AK33,Students!$K:$K,$AK$2&amp;if($K33="S1","a",if($K33="S2","b","")),Students!$A:$A,AQ$2)+countifs(Students!$L:$L,$AK33,Students!$M:$M,$AK$2&amp;if($K33="S1","a",if($K33="S2","b","")),Students!$A:$A,AQ$2)+countifs(Students!$N:$N,$AK33,Students!$O:$O,$AK$2&amp;if($K33="S1","a",if($K33="S2","b","")),Students!$A:$A,AQ$2)+countifs(Students!$P:$P,$AK33,Students!$Q:$Q,$AK$2&amp;if($K33="S1","a",if($K33="S2","b","")),Students!$A:$A,AQ$2)+countifs(Students!$R:$R,$AK33,Students!$S:$S,$AK$2&amp;if($K33="S1","a",if($K33="S2","b","")),Students!$A:$A,AQ$2)+countifs(Students!$T:$T,$AK33,Students!$U:$U,$AK$2&amp;if($K33="S1","a",if($K33="S2","b","")),Students!$A:$A,AQ$2)+countifs(Students!$V:$V,$AK33,Students!$W:$W,$AK$2&amp;if($K33="S1","a",if($K33="S2","b","")),Students!$A:$A,AQ$2))</f>
        <v>73</v>
      </c>
      <c r="AR33" s="102">
        <f>if($L33="","",countifs(Students!$D:$D,$P33,Students!$E:$E,$P$2&amp;if($K33="S1","a",if($K33="S2","b","")),Students!$A:$A,AR$2)+countifs(Students!$F:$F,$P33,Students!$G:$G,$P$2&amp;if($K33="S1","a",if($K33="S2","b","")),Students!$A:$A,AR$2)+countifs(Students!$H:$H,$P33,Students!$I:$I,$P$2&amp;if($K33="S1","a",if($K33="S2","b","")),Students!$A:$A,AR$2)+countifs(Students!$J:$J,$P33,Students!$K:$K,$P$2&amp;if($K33="S1","a",if($K33="S2","b","")),Students!$A:$A,AR$2)+countifs(Students!$L:$L,$P33,Students!$M:$M,$P$2&amp;if($K33="S1","a",if($K33="S2","b","")),Students!$A:$A,AR$2)+countifs(Students!$N:$N,$P33,Students!$O:$O,$P$2&amp;if($K33="S1","a",if($K33="S2","b","")),Students!$A:$A,AR$2)+countifs(Students!$P:$P,$P33,Students!$Q:$Q,$P$2&amp;if($K33="S1","a",if($K33="S2","b","")),Students!$A:$A,AR$2)+countifs(Students!$R:$R,$P33,Students!$S:$S,$P$2&amp;if($K33="S1","a",if($K33="S2","b","")),Students!$A:$A,AR$2)+countifs(Students!$T:$T,$P33,Students!$U:$U,$P$2&amp;if($K33="S1","a",if($K33="S2","b","")),Students!$A:$A,AR$2)+countifs(Students!$V:$V,$P33,Students!$W:$W,$P$2&amp;if($K33="S1","a",if($K33="S2","b","")),Students!$A:$A,AR$2)+
countifs(Students!$D:$D,$S33,Students!$E:$E,$S$2&amp;if($K33="S1","a",if($K33="S2","b","")),Students!$A:$A,AR$2)+countifs(Students!$F:$F,$S33,Students!$G:$G,$S$2&amp;if($K33="S1","a",if($K33="S2","b","")),Students!$A:$A,AR$2)+countifs(Students!$H:$H,$S33,Students!$I:$I,$S$2&amp;if($K33="S1","a",if($K33="S2","b","")),Students!$A:$A,AR$2)+countifs(Students!$J:$J,$S33,Students!$K:$K,$S$2&amp;if($K33="S1","a",if($K33="S2","b","")),Students!$A:$A,AR$2)+countifs(Students!$L:$L,$S33,Students!$M:$M,$S$2&amp;if($K33="S1","a",if($K33="S2","b","")),Students!$A:$A,AR$2)+countifs(Students!$N:$N,$S33,Students!$O:$O,$S$2&amp;if($K33="S1","a",if($K33="S2","b","")),Students!$A:$A,AR$2)+countifs(Students!$P:$P,$S33,Students!$Q:$Q,$S$2&amp;if($K33="S1","a",if($K33="S2","b","")),Students!$A:$A,AR$2)+countifs(Students!$R:$R,$S33,Students!$S:$S,$S$2&amp;if($K33="S1","a",if($K33="S2","b","")),Students!$A:$A,AR$2)+countifs(Students!$T:$T,$S33,Students!$U:$U,$S$2&amp;if($K33="S1","a",if($K33="S2","b","")),Students!$A:$A,AR$2)+countifs(Students!$V:$V,$S33,Students!$W:$W,$S$2&amp;if($K33="S1","a",if($K33="S2","b","")),Students!$A:$A,AR$2)+
countifs(Students!$D:$D,$V33,Students!$E:$E,$V$2&amp;if($K33="S1","a",if($K33="S2","b","")),Students!$A:$A,AR$2)+countifs(Students!$F:$F,$V33,Students!$G:$G,$V$2&amp;if($K33="S1","a",if($K33="S2","b","")),Students!$A:$A,AR$2)+countifs(Students!$H:$H,$V33,Students!$I:$I,$V$2&amp;if($K33="S1","a",if($K33="S2","b","")),Students!$A:$A,AR$2)+countifs(Students!$J:$J,$V33,Students!$K:$K,$V$2&amp;if($K33="S1","a",if($K33="S2","b","")),Students!$A:$A,AR$2)+countifs(Students!$L:$L,$V33,Students!$M:$M,$V$2&amp;if($K33="S1","a",if($K33="S2","b","")),Students!$A:$A,AR$2)+countifs(Students!$N:$N,$V33,Students!$O:$O,$V$2&amp;if($K33="S1","a",if($K33="S2","b","")),Students!$A:$A,AR$2)+countifs(Students!$P:$P,$V33,Students!$Q:$Q,$V$2&amp;if($K33="S1","a",if($K33="S2","b","")),Students!$A:$A,AR$2)+countifs(Students!$R:$R,$V33,Students!$S:$S,$V$2&amp;if($K33="S1","a",if($K33="S2","b","")),Students!$A:$A,AR$2)+countifs(Students!$T:$T,$V33,Students!$U:$U,$V$2&amp;if($K33="S1","a",if($K33="S2","b","")),Students!$A:$A,AR$2)+countifs(Students!$V:$V,$V33,Students!$W:$W,$V$2&amp;if($K33="S1","a",if($K33="S2","b","")),Students!$A:$A,AR$2)+
countifs(Students!$D:$D,$Y33,Students!$E:$E,$Y$2&amp;if($K33="S1","a",if($K33="S2","b","")),Students!$A:$A,AR$2)+countifs(Students!$F:$F,$Y33,Students!$G:$G,$Y$2&amp;if($K33="S1","a",if($K33="S2","b","")),Students!$A:$A,AR$2)+countifs(Students!$H:$H,$Y33,Students!$I:$I,$Y$2&amp;if($K33="S1","a",if($K33="S2","b","")),Students!$A:$A,AR$2)+countifs(Students!$J:$J,$Y33,Students!$K:$K,$Y$2&amp;if($K33="S1","a",if($K33="S2","b","")),Students!$A:$A,AR$2)+countifs(Students!$L:$L,$Y33,Students!$M:$M,$Y$2&amp;if($K33="S1","a",if($K33="S2","b","")),Students!$A:$A,AR$2)+countifs(Students!$N:$N,$Y33,Students!$O:$O,$Y$2&amp;if($K33="S1","a",if($K33="S2","b","")),Students!$A:$A,AR$2)+countifs(Students!$P:$P,$Y33,Students!$Q:$Q,$Y$2&amp;if($K33="S1","a",if($K33="S2","b","")),Students!$A:$A,AR$2)+countifs(Students!$R:$R,$Y33,Students!$S:$S,$Y$2&amp;if($K33="S1","a",if($K33="S2","b","")),Students!$A:$A,AR$2)+countifs(Students!$T:$T,$Y33,Students!$U:$U,$Y$2&amp;if($K33="S1","a",if($K33="S2","b","")),Students!$A:$A,AR$2)+countifs(Students!$V:$V,$Y33,Students!$W:$W,$Y$2&amp;if($K33="S1","a",if($K33="S2","b","")),Students!$A:$A,AR$2)+
countifs(Students!$D:$D,$AB33,Students!$E:$E,$AB$2&amp;if($K33="S1","a",if($K33="S2","b","")),Students!$A:$A,AR$2)+countifs(Students!$F:$F,$AB33,Students!$G:$G,$AB$2&amp;if($K33="S1","a",if($K33="S2","b","")),Students!$A:$A,AR$2)+countifs(Students!$H:$H,$AB33,Students!$I:$I,$AB$2&amp;if($K33="S1","a",if($K33="S2","b","")),Students!$A:$A,AR$2)+countifs(Students!$J:$J,$AB33,Students!$K:$K,$AB$2&amp;if($K33="S1","a",if($K33="S2","b","")),Students!$A:$A,AR$2)+countifs(Students!$L:$L,$AB33,Students!$M:$M,$AB$2&amp;if($K33="S1","a",if($K33="S2","b","")),Students!$A:$A,AR$2)+countifs(Students!$N:$N,$AB33,Students!$O:$O,$AB$2&amp;if($K33="S1","a",if($K33="S2","b","")),Students!$A:$A,AR$2)+countifs(Students!$P:$P,$AB33,Students!$Q:$Q,$AB$2&amp;if($K33="S1","a",if($K33="S2","b","")),Students!$A:$A,AR$2)+countifs(Students!$R:$R,$AB33,Students!$S:$S,$AB$2&amp;if($K33="S1","a",if($K33="S2","b","")),Students!$A:$A,AR$2)+countifs(Students!$T:$T,$AB33,Students!$U:$U,$AB$2&amp;if($K33="S1","a",if($K33="S2","b","")),Students!$A:$A,AR$2)+countifs(Students!$V:$V,$AB33,Students!$W:$W,$AB$2&amp;if($K33="S1","a",if($K33="S2","b","")),Students!$A:$A,AR$2)+
countifs(Students!$D:$D,$AE33,Students!$E:$E,$AE$2&amp;if($K33="S1","a",if($K33="S2","b","")),Students!$A:$A,AR$2)+countifs(Students!$F:$F,$AE33,Students!$G:$G,$AE$2&amp;if($K33="S1","a",if($K33="S2","b","")),Students!$A:$A,AR$2)+countifs(Students!$H:$H,$AE33,Students!$I:$I,$AE$2&amp;if($K33="S1","a",if($K33="S2","b","")),Students!$A:$A,AR$2)+countifs(Students!$J:$J,$AE33,Students!$K:$K,$AE$2&amp;if($K33="S1","a",if($K33="S2","b","")),Students!$A:$A,AR$2)+countifs(Students!$L:$L,$AE33,Students!$M:$M,$AE$2&amp;if($K33="S1","a",if($K33="S2","b","")),Students!$A:$A,AR$2)+countifs(Students!$N:$N,$AE33,Students!$O:$O,$AE$2&amp;if($K33="S1","a",if($K33="S2","b","")),Students!$A:$A,AR$2)+countifs(Students!$P:$P,$AE33,Students!$Q:$Q,$AE$2&amp;if($K33="S1","a",if($K33="S2","b","")),Students!$A:$A,AR$2)+countifs(Students!$R:$R,$AE33,Students!$S:$S,$AE$2&amp;if($K33="S1","a",if($K33="S2","b","")),Students!$A:$A,AR$2)+countifs(Students!$T:$T,$AE33,Students!$U:$U,$AE$2&amp;if($K33="S1","a",if($K33="S2","b","")),Students!$A:$A,AR$2)+countifs(Students!$V:$V,$AE33,Students!$W:$W,$AE$2&amp;if($K33="S1","a",if($K33="S2","b","")),Students!$A:$A,AR$2)+
countifs(Students!$D:$D,$AH33,Students!$E:$E,$AH$2&amp;if($K33="S1","a",if($K33="S2","b","")),Students!$A:$A,AR$2)+countifs(Students!$F:$F,$AH33,Students!$G:$G,$AH$2&amp;if($K33="S1","a",if($K33="S2","b","")),Students!$A:$A,AR$2)+countifs(Students!$H:$H,$AH33,Students!$I:$I,$AH$2&amp;if($K33="S1","a",if($K33="S2","b","")),Students!$A:$A,AR$2)+countifs(Students!$J:$J,$AH33,Students!$K:$K,$AH$2&amp;if($K33="S1","a",if($K33="S2","b","")),Students!$A:$A,AR$2)+countifs(Students!$L:$L,$AH33,Students!$M:$M,$AH$2&amp;if($K33="S1","a",if($K33="S2","b","")),Students!$A:$A,AR$2)+countifs(Students!$N:$N,$AH33,Students!$O:$O,$AH$2&amp;if($K33="S1","a",if($K33="S2","b","")),Students!$A:$A,AR$2)+countifs(Students!$P:$P,$AH33,Students!$Q:$Q,$AH$2&amp;if($K33="S1","a",if($K33="S2","b","")),Students!$A:$A,AR$2)+countifs(Students!$R:$R,$AH33,Students!$S:$S,$AH$2&amp;if($K33="S1","a",if($K33="S2","b","")),Students!$A:$A,AR$2)+countifs(Students!$T:$T,$AH33,Students!$U:$U,$AH$2&amp;if($K33="S1","a",if($K33="S2","b","")),Students!$A:$A,AR$2)+countifs(Students!$V:$V,$AH33,Students!$W:$W,$AH$2&amp;if($K33="S1","a",if($K33="S2","b","")),Students!$A:$A,AR$2)+
countifs(Students!$D:$D,$AK33,Students!$E:$E,$AK$2&amp;if($K33="S1","a",if($K33="S2","b","")),Students!$A:$A,AR$2)+countifs(Students!$F:$F,$AK33,Students!$G:$G,$AK$2&amp;if($K33="S1","a",if($K33="S2","b","")),Students!$A:$A,AR$2)+countifs(Students!$H:$H,$AK33,Students!$I:$I,$AK$2&amp;if($K33="S1","a",if($K33="S2","b","")),Students!$A:$A,AR$2)+countifs(Students!$J:$J,$AK33,Students!$K:$K,$AK$2&amp;if($K33="S1","a",if($K33="S2","b","")),Students!$A:$A,AR$2)+countifs(Students!$L:$L,$AK33,Students!$M:$M,$AK$2&amp;if($K33="S1","a",if($K33="S2","b","")),Students!$A:$A,AR$2)+countifs(Students!$N:$N,$AK33,Students!$O:$O,$AK$2&amp;if($K33="S1","a",if($K33="S2","b","")),Students!$A:$A,AR$2)+countifs(Students!$P:$P,$AK33,Students!$Q:$Q,$AK$2&amp;if($K33="S1","a",if($K33="S2","b","")),Students!$A:$A,AR$2)+countifs(Students!$R:$R,$AK33,Students!$S:$S,$AK$2&amp;if($K33="S1","a",if($K33="S2","b","")),Students!$A:$A,AR$2)+countifs(Students!$T:$T,$AK33,Students!$U:$U,$AK$2&amp;if($K33="S1","a",if($K33="S2","b","")),Students!$A:$A,AR$2)+countifs(Students!$V:$V,$AK33,Students!$W:$W,$AK$2&amp;if($K33="S1","a",if($K33="S2","b","")),Students!$A:$A,AR$2))</f>
        <v>1</v>
      </c>
      <c r="AS33" s="102">
        <f>if($L33="","",countifs(Students!$D:$D,$P33,Students!$E:$E,$P$2&amp;if($K33="S1","a",if($K33="S2","b","")),Students!$A:$A,AS$2)+countifs(Students!$F:$F,$P33,Students!$G:$G,$P$2&amp;if($K33="S1","a",if($K33="S2","b","")),Students!$A:$A,AS$2)+countifs(Students!$H:$H,$P33,Students!$I:$I,$P$2&amp;if($K33="S1","a",if($K33="S2","b","")),Students!$A:$A,AS$2)+countifs(Students!$J:$J,$P33,Students!$K:$K,$P$2&amp;if($K33="S1","a",if($K33="S2","b","")),Students!$A:$A,AS$2)+countifs(Students!$L:$L,$P33,Students!$M:$M,$P$2&amp;if($K33="S1","a",if($K33="S2","b","")),Students!$A:$A,AS$2)+countifs(Students!$N:$N,$P33,Students!$O:$O,$P$2&amp;if($K33="S1","a",if($K33="S2","b","")),Students!$A:$A,AS$2)+countifs(Students!$P:$P,$P33,Students!$Q:$Q,$P$2&amp;if($K33="S1","a",if($K33="S2","b","")),Students!$A:$A,AS$2)+countifs(Students!$R:$R,$P33,Students!$S:$S,$P$2&amp;if($K33="S1","a",if($K33="S2","b","")),Students!$A:$A,AS$2)+countifs(Students!$T:$T,$P33,Students!$U:$U,$P$2&amp;if($K33="S1","a",if($K33="S2","b","")),Students!$A:$A,AS$2)+countifs(Students!$V:$V,$P33,Students!$W:$W,$P$2&amp;if($K33="S1","a",if($K33="S2","b","")),Students!$A:$A,AS$2)+
countifs(Students!$D:$D,$S33,Students!$E:$E,$S$2&amp;if($K33="S1","a",if($K33="S2","b","")),Students!$A:$A,AS$2)+countifs(Students!$F:$F,$S33,Students!$G:$G,$S$2&amp;if($K33="S1","a",if($K33="S2","b","")),Students!$A:$A,AS$2)+countifs(Students!$H:$H,$S33,Students!$I:$I,$S$2&amp;if($K33="S1","a",if($K33="S2","b","")),Students!$A:$A,AS$2)+countifs(Students!$J:$J,$S33,Students!$K:$K,$S$2&amp;if($K33="S1","a",if($K33="S2","b","")),Students!$A:$A,AS$2)+countifs(Students!$L:$L,$S33,Students!$M:$M,$S$2&amp;if($K33="S1","a",if($K33="S2","b","")),Students!$A:$A,AS$2)+countifs(Students!$N:$N,$S33,Students!$O:$O,$S$2&amp;if($K33="S1","a",if($K33="S2","b","")),Students!$A:$A,AS$2)+countifs(Students!$P:$P,$S33,Students!$Q:$Q,$S$2&amp;if($K33="S1","a",if($K33="S2","b","")),Students!$A:$A,AS$2)+countifs(Students!$R:$R,$S33,Students!$S:$S,$S$2&amp;if($K33="S1","a",if($K33="S2","b","")),Students!$A:$A,AS$2)+countifs(Students!$T:$T,$S33,Students!$U:$U,$S$2&amp;if($K33="S1","a",if($K33="S2","b","")),Students!$A:$A,AS$2)+countifs(Students!$V:$V,$S33,Students!$W:$W,$S$2&amp;if($K33="S1","a",if($K33="S2","b","")),Students!$A:$A,AS$2)+
countifs(Students!$D:$D,$V33,Students!$E:$E,$V$2&amp;if($K33="S1","a",if($K33="S2","b","")),Students!$A:$A,AS$2)+countifs(Students!$F:$F,$V33,Students!$G:$G,$V$2&amp;if($K33="S1","a",if($K33="S2","b","")),Students!$A:$A,AS$2)+countifs(Students!$H:$H,$V33,Students!$I:$I,$V$2&amp;if($K33="S1","a",if($K33="S2","b","")),Students!$A:$A,AS$2)+countifs(Students!$J:$J,$V33,Students!$K:$K,$V$2&amp;if($K33="S1","a",if($K33="S2","b","")),Students!$A:$A,AS$2)+countifs(Students!$L:$L,$V33,Students!$M:$M,$V$2&amp;if($K33="S1","a",if($K33="S2","b","")),Students!$A:$A,AS$2)+countifs(Students!$N:$N,$V33,Students!$O:$O,$V$2&amp;if($K33="S1","a",if($K33="S2","b","")),Students!$A:$A,AS$2)+countifs(Students!$P:$P,$V33,Students!$Q:$Q,$V$2&amp;if($K33="S1","a",if($K33="S2","b","")),Students!$A:$A,AS$2)+countifs(Students!$R:$R,$V33,Students!$S:$S,$V$2&amp;if($K33="S1","a",if($K33="S2","b","")),Students!$A:$A,AS$2)+countifs(Students!$T:$T,$V33,Students!$U:$U,$V$2&amp;if($K33="S1","a",if($K33="S2","b","")),Students!$A:$A,AS$2)+countifs(Students!$V:$V,$V33,Students!$W:$W,$V$2&amp;if($K33="S1","a",if($K33="S2","b","")),Students!$A:$A,AS$2)+
countifs(Students!$D:$D,$Y33,Students!$E:$E,$Y$2&amp;if($K33="S1","a",if($K33="S2","b","")),Students!$A:$A,AS$2)+countifs(Students!$F:$F,$Y33,Students!$G:$G,$Y$2&amp;if($K33="S1","a",if($K33="S2","b","")),Students!$A:$A,AS$2)+countifs(Students!$H:$H,$Y33,Students!$I:$I,$Y$2&amp;if($K33="S1","a",if($K33="S2","b","")),Students!$A:$A,AS$2)+countifs(Students!$J:$J,$Y33,Students!$K:$K,$Y$2&amp;if($K33="S1","a",if($K33="S2","b","")),Students!$A:$A,AS$2)+countifs(Students!$L:$L,$Y33,Students!$M:$M,$Y$2&amp;if($K33="S1","a",if($K33="S2","b","")),Students!$A:$A,AS$2)+countifs(Students!$N:$N,$Y33,Students!$O:$O,$Y$2&amp;if($K33="S1","a",if($K33="S2","b","")),Students!$A:$A,AS$2)+countifs(Students!$P:$P,$Y33,Students!$Q:$Q,$Y$2&amp;if($K33="S1","a",if($K33="S2","b","")),Students!$A:$A,AS$2)+countifs(Students!$R:$R,$Y33,Students!$S:$S,$Y$2&amp;if($K33="S1","a",if($K33="S2","b","")),Students!$A:$A,AS$2)+countifs(Students!$T:$T,$Y33,Students!$U:$U,$Y$2&amp;if($K33="S1","a",if($K33="S2","b","")),Students!$A:$A,AS$2)+countifs(Students!$V:$V,$Y33,Students!$W:$W,$Y$2&amp;if($K33="S1","a",if($K33="S2","b","")),Students!$A:$A,AS$2)+
countifs(Students!$D:$D,$AB33,Students!$E:$E,$AB$2&amp;if($K33="S1","a",if($K33="S2","b","")),Students!$A:$A,AS$2)+countifs(Students!$F:$F,$AB33,Students!$G:$G,$AB$2&amp;if($K33="S1","a",if($K33="S2","b","")),Students!$A:$A,AS$2)+countifs(Students!$H:$H,$AB33,Students!$I:$I,$AB$2&amp;if($K33="S1","a",if($K33="S2","b","")),Students!$A:$A,AS$2)+countifs(Students!$J:$J,$AB33,Students!$K:$K,$AB$2&amp;if($K33="S1","a",if($K33="S2","b","")),Students!$A:$A,AS$2)+countifs(Students!$L:$L,$AB33,Students!$M:$M,$AB$2&amp;if($K33="S1","a",if($K33="S2","b","")),Students!$A:$A,AS$2)+countifs(Students!$N:$N,$AB33,Students!$O:$O,$AB$2&amp;if($K33="S1","a",if($K33="S2","b","")),Students!$A:$A,AS$2)+countifs(Students!$P:$P,$AB33,Students!$Q:$Q,$AB$2&amp;if($K33="S1","a",if($K33="S2","b","")),Students!$A:$A,AS$2)+countifs(Students!$R:$R,$AB33,Students!$S:$S,$AB$2&amp;if($K33="S1","a",if($K33="S2","b","")),Students!$A:$A,AS$2)+countifs(Students!$T:$T,$AB33,Students!$U:$U,$AB$2&amp;if($K33="S1","a",if($K33="S2","b","")),Students!$A:$A,AS$2)+countifs(Students!$V:$V,$AB33,Students!$W:$W,$AB$2&amp;if($K33="S1","a",if($K33="S2","b","")),Students!$A:$A,AS$2)+
countifs(Students!$D:$D,$AE33,Students!$E:$E,$AE$2&amp;if($K33="S1","a",if($K33="S2","b","")),Students!$A:$A,AS$2)+countifs(Students!$F:$F,$AE33,Students!$G:$G,$AE$2&amp;if($K33="S1","a",if($K33="S2","b","")),Students!$A:$A,AS$2)+countifs(Students!$H:$H,$AE33,Students!$I:$I,$AE$2&amp;if($K33="S1","a",if($K33="S2","b","")),Students!$A:$A,AS$2)+countifs(Students!$J:$J,$AE33,Students!$K:$K,$AE$2&amp;if($K33="S1","a",if($K33="S2","b","")),Students!$A:$A,AS$2)+countifs(Students!$L:$L,$AE33,Students!$M:$M,$AE$2&amp;if($K33="S1","a",if($K33="S2","b","")),Students!$A:$A,AS$2)+countifs(Students!$N:$N,$AE33,Students!$O:$O,$AE$2&amp;if($K33="S1","a",if($K33="S2","b","")),Students!$A:$A,AS$2)+countifs(Students!$P:$P,$AE33,Students!$Q:$Q,$AE$2&amp;if($K33="S1","a",if($K33="S2","b","")),Students!$A:$A,AS$2)+countifs(Students!$R:$R,$AE33,Students!$S:$S,$AE$2&amp;if($K33="S1","a",if($K33="S2","b","")),Students!$A:$A,AS$2)+countifs(Students!$T:$T,$AE33,Students!$U:$U,$AE$2&amp;if($K33="S1","a",if($K33="S2","b","")),Students!$A:$A,AS$2)+countifs(Students!$V:$V,$AE33,Students!$W:$W,$AE$2&amp;if($K33="S1","a",if($K33="S2","b","")),Students!$A:$A,AS$2)+
countifs(Students!$D:$D,$AH33,Students!$E:$E,$AH$2&amp;if($K33="S1","a",if($K33="S2","b","")),Students!$A:$A,AS$2)+countifs(Students!$F:$F,$AH33,Students!$G:$G,$AH$2&amp;if($K33="S1","a",if($K33="S2","b","")),Students!$A:$A,AS$2)+countifs(Students!$H:$H,$AH33,Students!$I:$I,$AH$2&amp;if($K33="S1","a",if($K33="S2","b","")),Students!$A:$A,AS$2)+countifs(Students!$J:$J,$AH33,Students!$K:$K,$AH$2&amp;if($K33="S1","a",if($K33="S2","b","")),Students!$A:$A,AS$2)+countifs(Students!$L:$L,$AH33,Students!$M:$M,$AH$2&amp;if($K33="S1","a",if($K33="S2","b","")),Students!$A:$A,AS$2)+countifs(Students!$N:$N,$AH33,Students!$O:$O,$AH$2&amp;if($K33="S1","a",if($K33="S2","b","")),Students!$A:$A,AS$2)+countifs(Students!$P:$P,$AH33,Students!$Q:$Q,$AH$2&amp;if($K33="S1","a",if($K33="S2","b","")),Students!$A:$A,AS$2)+countifs(Students!$R:$R,$AH33,Students!$S:$S,$AH$2&amp;if($K33="S1","a",if($K33="S2","b","")),Students!$A:$A,AS$2)+countifs(Students!$T:$T,$AH33,Students!$U:$U,$AH$2&amp;if($K33="S1","a",if($K33="S2","b","")),Students!$A:$A,AS$2)+countifs(Students!$V:$V,$AH33,Students!$W:$W,$AH$2&amp;if($K33="S1","a",if($K33="S2","b","")),Students!$A:$A,AS$2)+
countifs(Students!$D:$D,$AK33,Students!$E:$E,$AK$2&amp;if($K33="S1","a",if($K33="S2","b","")),Students!$A:$A,AS$2)+countifs(Students!$F:$F,$AK33,Students!$G:$G,$AK$2&amp;if($K33="S1","a",if($K33="S2","b","")),Students!$A:$A,AS$2)+countifs(Students!$H:$H,$AK33,Students!$I:$I,$AK$2&amp;if($K33="S1","a",if($K33="S2","b","")),Students!$A:$A,AS$2)+countifs(Students!$J:$J,$AK33,Students!$K:$K,$AK$2&amp;if($K33="S1","a",if($K33="S2","b","")),Students!$A:$A,AS$2)+countifs(Students!$L:$L,$AK33,Students!$M:$M,$AK$2&amp;if($K33="S1","a",if($K33="S2","b","")),Students!$A:$A,AS$2)+countifs(Students!$N:$N,$AK33,Students!$O:$O,$AK$2&amp;if($K33="S1","a",if($K33="S2","b","")),Students!$A:$A,AS$2)+countifs(Students!$P:$P,$AK33,Students!$Q:$Q,$AK$2&amp;if($K33="S1","a",if($K33="S2","b","")),Students!$A:$A,AS$2)+countifs(Students!$R:$R,$AK33,Students!$S:$S,$AK$2&amp;if($K33="S1","a",if($K33="S2","b","")),Students!$A:$A,AS$2)+countifs(Students!$T:$T,$AK33,Students!$U:$U,$AK$2&amp;if($K33="S1","a",if($K33="S2","b","")),Students!$A:$A,AS$2)+countifs(Students!$V:$V,$AK33,Students!$W:$W,$AK$2&amp;if($K33="S1","a",if($K33="S2","b","")),Students!$A:$A,AS$2))</f>
        <v>0</v>
      </c>
    </row>
    <row r="34">
      <c r="J34" s="87">
        <v>95.0</v>
      </c>
      <c r="K34" s="20"/>
      <c r="L34" s="58" t="s">
        <v>104</v>
      </c>
      <c r="M34" s="107"/>
      <c r="N34" s="87">
        <v>2.0</v>
      </c>
      <c r="O34" s="87">
        <f>IFERROR(__xludf.DUMMYFUNCTION("3*counta((transpose(filter(P34:AM34,P34:AM34&lt;&gt;"""",isnumber(P34:AM34)=false))))"),15.0)</f>
        <v>15</v>
      </c>
      <c r="P34" s="93"/>
      <c r="Q34" s="94"/>
      <c r="R34" s="95" t="s">
        <v>22</v>
      </c>
      <c r="S34" s="90" t="s">
        <v>51</v>
      </c>
      <c r="T34" s="101">
        <v>6.0</v>
      </c>
      <c r="U34" s="92">
        <v>24.0</v>
      </c>
      <c r="V34" s="91"/>
      <c r="W34" s="91"/>
      <c r="X34" s="92" t="s">
        <v>22</v>
      </c>
      <c r="Y34" s="90" t="s">
        <v>105</v>
      </c>
      <c r="Z34" s="91">
        <v>1.0</v>
      </c>
      <c r="AA34" s="92">
        <v>18.0</v>
      </c>
      <c r="AB34" s="91" t="s">
        <v>105</v>
      </c>
      <c r="AC34" s="91">
        <v>2.0</v>
      </c>
      <c r="AD34" s="92">
        <v>16.0</v>
      </c>
      <c r="AE34" s="90"/>
      <c r="AF34" s="101"/>
      <c r="AG34" s="98" t="s">
        <v>22</v>
      </c>
      <c r="AH34" s="101" t="s">
        <v>105</v>
      </c>
      <c r="AI34" s="97">
        <v>3.0</v>
      </c>
      <c r="AJ34" s="98">
        <v>18.0</v>
      </c>
      <c r="AK34" s="101" t="s">
        <v>105</v>
      </c>
      <c r="AL34" s="97">
        <v>4.0</v>
      </c>
      <c r="AM34" s="98">
        <v>19.0</v>
      </c>
      <c r="AN34" s="99"/>
      <c r="AO34" s="52">
        <f t="shared" si="2"/>
        <v>95</v>
      </c>
      <c r="AP34" s="102">
        <f>if($L34="","",countifs(Students!$D:$D,$P34,Students!$E:$E,$P$2&amp;if($K34="S1","a",if($K34="S2","b","")),Students!$A:$A,AP$2)+countifs(Students!$F:$F,$P34,Students!$G:$G,$P$2&amp;if($K34="S1","a",if($K34="S2","b","")),Students!$A:$A,AP$2)+countifs(Students!$H:$H,$P34,Students!$I:$I,$P$2&amp;if($K34="S1","a",if($K34="S2","b","")),Students!$A:$A,AP$2)+countifs(Students!$J:$J,$P34,Students!$K:$K,$P$2&amp;if($K34="S1","a",if($K34="S2","b","")),Students!$A:$A,AP$2)+countifs(Students!$L:$L,$P34,Students!$M:$M,$P$2&amp;if($K34="S1","a",if($K34="S2","b","")),Students!$A:$A,AP$2)+countifs(Students!$N:$N,$P34,Students!$O:$O,$P$2&amp;if($K34="S1","a",if($K34="S2","b","")),Students!$A:$A,AP$2)+countifs(Students!$P:$P,$P34,Students!$Q:$Q,$P$2&amp;if($K34="S1","a",if($K34="S2","b","")),Students!$A:$A,AP$2)+countifs(Students!$R:$R,$P34,Students!$S:$S,$P$2&amp;if($K34="S1","a",if($K34="S2","b","")),Students!$A:$A,AP$2)+countifs(Students!$T:$T,$P34,Students!$U:$U,$P$2&amp;if($K34="S1","a",if($K34="S2","b","")),Students!$A:$A,AP$2)+countifs(Students!$V:$V,$P34,Students!$W:$W,$P$2&amp;if($K34="S1","a",if($K34="S2","b","")),Students!$A:$A,AP$2)+
countifs(Students!$D:$D,$S34,Students!$E:$E,$S$2&amp;if($K34="S1","a",if($K34="S2","b","")),Students!$A:$A,AP$2)+countifs(Students!$F:$F,$S34,Students!$G:$G,$S$2&amp;if($K34="S1","a",if($K34="S2","b","")),Students!$A:$A,AP$2)+countifs(Students!$H:$H,$S34,Students!$I:$I,$S$2&amp;if($K34="S1","a",if($K34="S2","b","")),Students!$A:$A,AP$2)+countifs(Students!$J:$J,$S34,Students!$K:$K,$S$2&amp;if($K34="S1","a",if($K34="S2","b","")),Students!$A:$A,AP$2)+countifs(Students!$L:$L,$S34,Students!$M:$M,$S$2&amp;if($K34="S1","a",if($K34="S2","b","")),Students!$A:$A,AP$2)+countifs(Students!$N:$N,$S34,Students!$O:$O,$S$2&amp;if($K34="S1","a",if($K34="S2","b","")),Students!$A:$A,AP$2)+countifs(Students!$P:$P,$S34,Students!$Q:$Q,$S$2&amp;if($K34="S1","a",if($K34="S2","b","")),Students!$A:$A,AP$2)+countifs(Students!$R:$R,$S34,Students!$S:$S,$S$2&amp;if($K34="S1","a",if($K34="S2","b","")),Students!$A:$A,AP$2)+countifs(Students!$T:$T,$S34,Students!$U:$U,$S$2&amp;if($K34="S1","a",if($K34="S2","b","")),Students!$A:$A,AP$2)+countifs(Students!$V:$V,$S34,Students!$W:$W,$S$2&amp;if($K34="S1","a",if($K34="S2","b","")),Students!$A:$A,AP$2)+
countifs(Students!$D:$D,$V34,Students!$E:$E,$V$2&amp;if($K34="S1","a",if($K34="S2","b","")),Students!$A:$A,AP$2)+countifs(Students!$F:$F,$V34,Students!$G:$G,$V$2&amp;if($K34="S1","a",if($K34="S2","b","")),Students!$A:$A,AP$2)+countifs(Students!$H:$H,$V34,Students!$I:$I,$V$2&amp;if($K34="S1","a",if($K34="S2","b","")),Students!$A:$A,AP$2)+countifs(Students!$J:$J,$V34,Students!$K:$K,$V$2&amp;if($K34="S1","a",if($K34="S2","b","")),Students!$A:$A,AP$2)+countifs(Students!$L:$L,$V34,Students!$M:$M,$V$2&amp;if($K34="S1","a",if($K34="S2","b","")),Students!$A:$A,AP$2)+countifs(Students!$N:$N,$V34,Students!$O:$O,$V$2&amp;if($K34="S1","a",if($K34="S2","b","")),Students!$A:$A,AP$2)+countifs(Students!$P:$P,$V34,Students!$Q:$Q,$V$2&amp;if($K34="S1","a",if($K34="S2","b","")),Students!$A:$A,AP$2)+countifs(Students!$R:$R,$V34,Students!$S:$S,$V$2&amp;if($K34="S1","a",if($K34="S2","b","")),Students!$A:$A,AP$2)+countifs(Students!$T:$T,$V34,Students!$U:$U,$V$2&amp;if($K34="S1","a",if($K34="S2","b","")),Students!$A:$A,AP$2)+countifs(Students!$V:$V,$V34,Students!$W:$W,$V$2&amp;if($K34="S1","a",if($K34="S2","b","")),Students!$A:$A,AP$2)+
countifs(Students!$D:$D,$Y34,Students!$E:$E,$Y$2&amp;if($K34="S1","a",if($K34="S2","b","")),Students!$A:$A,AP$2)+countifs(Students!$F:$F,$Y34,Students!$G:$G,$Y$2&amp;if($K34="S1","a",if($K34="S2","b","")),Students!$A:$A,AP$2)+countifs(Students!$H:$H,$Y34,Students!$I:$I,$Y$2&amp;if($K34="S1","a",if($K34="S2","b","")),Students!$A:$A,AP$2)+countifs(Students!$J:$J,$Y34,Students!$K:$K,$Y$2&amp;if($K34="S1","a",if($K34="S2","b","")),Students!$A:$A,AP$2)+countifs(Students!$L:$L,$Y34,Students!$M:$M,$Y$2&amp;if($K34="S1","a",if($K34="S2","b","")),Students!$A:$A,AP$2)+countifs(Students!$N:$N,$Y34,Students!$O:$O,$Y$2&amp;if($K34="S1","a",if($K34="S2","b","")),Students!$A:$A,AP$2)+countifs(Students!$P:$P,$Y34,Students!$Q:$Q,$Y$2&amp;if($K34="S1","a",if($K34="S2","b","")),Students!$A:$A,AP$2)+countifs(Students!$R:$R,$Y34,Students!$S:$S,$Y$2&amp;if($K34="S1","a",if($K34="S2","b","")),Students!$A:$A,AP$2)+countifs(Students!$T:$T,$Y34,Students!$U:$U,$Y$2&amp;if($K34="S1","a",if($K34="S2","b","")),Students!$A:$A,AP$2)+countifs(Students!$V:$V,$Y34,Students!$W:$W,$Y$2&amp;if($K34="S1","a",if($K34="S2","b","")),Students!$A:$A,AP$2)+
countifs(Students!$D:$D,$AB34,Students!$E:$E,$AB$2&amp;if($K34="S1","a",if($K34="S2","b","")),Students!$A:$A,AP$2)+countifs(Students!$F:$F,$AB34,Students!$G:$G,$AB$2&amp;if($K34="S1","a",if($K34="S2","b","")),Students!$A:$A,AP$2)+countifs(Students!$H:$H,$AB34,Students!$I:$I,$AB$2&amp;if($K34="S1","a",if($K34="S2","b","")),Students!$A:$A,AP$2)+countifs(Students!$J:$J,$AB34,Students!$K:$K,$AB$2&amp;if($K34="S1","a",if($K34="S2","b","")),Students!$A:$A,AP$2)+countifs(Students!$L:$L,$AB34,Students!$M:$M,$AB$2&amp;if($K34="S1","a",if($K34="S2","b","")),Students!$A:$A,AP$2)+countifs(Students!$N:$N,$AB34,Students!$O:$O,$AB$2&amp;if($K34="S1","a",if($K34="S2","b","")),Students!$A:$A,AP$2)+countifs(Students!$P:$P,$AB34,Students!$Q:$Q,$AB$2&amp;if($K34="S1","a",if($K34="S2","b","")),Students!$A:$A,AP$2)+countifs(Students!$R:$R,$AB34,Students!$S:$S,$AB$2&amp;if($K34="S1","a",if($K34="S2","b","")),Students!$A:$A,AP$2)+countifs(Students!$T:$T,$AB34,Students!$U:$U,$AB$2&amp;if($K34="S1","a",if($K34="S2","b","")),Students!$A:$A,AP$2)+countifs(Students!$V:$V,$AB34,Students!$W:$W,$AB$2&amp;if($K34="S1","a",if($K34="S2","b","")),Students!$A:$A,AP$2)+
countifs(Students!$D:$D,$AE34,Students!$E:$E,$AE$2&amp;if($K34="S1","a",if($K34="S2","b","")),Students!$A:$A,AP$2)+countifs(Students!$F:$F,$AE34,Students!$G:$G,$AE$2&amp;if($K34="S1","a",if($K34="S2","b","")),Students!$A:$A,AP$2)+countifs(Students!$H:$H,$AE34,Students!$I:$I,$AE$2&amp;if($K34="S1","a",if($K34="S2","b","")),Students!$A:$A,AP$2)+countifs(Students!$J:$J,$AE34,Students!$K:$K,$AE$2&amp;if($K34="S1","a",if($K34="S2","b","")),Students!$A:$A,AP$2)+countifs(Students!$L:$L,$AE34,Students!$M:$M,$AE$2&amp;if($K34="S1","a",if($K34="S2","b","")),Students!$A:$A,AP$2)+countifs(Students!$N:$N,$AE34,Students!$O:$O,$AE$2&amp;if($K34="S1","a",if($K34="S2","b","")),Students!$A:$A,AP$2)+countifs(Students!$P:$P,$AE34,Students!$Q:$Q,$AE$2&amp;if($K34="S1","a",if($K34="S2","b","")),Students!$A:$A,AP$2)+countifs(Students!$R:$R,$AE34,Students!$S:$S,$AE$2&amp;if($K34="S1","a",if($K34="S2","b","")),Students!$A:$A,AP$2)+countifs(Students!$T:$T,$AE34,Students!$U:$U,$AE$2&amp;if($K34="S1","a",if($K34="S2","b","")),Students!$A:$A,AP$2)+countifs(Students!$V:$V,$AE34,Students!$W:$W,$AE$2&amp;if($K34="S1","a",if($K34="S2","b","")),Students!$A:$A,AP$2)+
countifs(Students!$D:$D,$AH34,Students!$E:$E,$AH$2&amp;if($K34="S1","a",if($K34="S2","b","")),Students!$A:$A,AP$2)+countifs(Students!$F:$F,$AH34,Students!$G:$G,$AH$2&amp;if($K34="S1","a",if($K34="S2","b","")),Students!$A:$A,AP$2)+countifs(Students!$H:$H,$AH34,Students!$I:$I,$AH$2&amp;if($K34="S1","a",if($K34="S2","b","")),Students!$A:$A,AP$2)+countifs(Students!$J:$J,$AH34,Students!$K:$K,$AH$2&amp;if($K34="S1","a",if($K34="S2","b","")),Students!$A:$A,AP$2)+countifs(Students!$L:$L,$AH34,Students!$M:$M,$AH$2&amp;if($K34="S1","a",if($K34="S2","b","")),Students!$A:$A,AP$2)+countifs(Students!$N:$N,$AH34,Students!$O:$O,$AH$2&amp;if($K34="S1","a",if($K34="S2","b","")),Students!$A:$A,AP$2)+countifs(Students!$P:$P,$AH34,Students!$Q:$Q,$AH$2&amp;if($K34="S1","a",if($K34="S2","b","")),Students!$A:$A,AP$2)+countifs(Students!$R:$R,$AH34,Students!$S:$S,$AH$2&amp;if($K34="S1","a",if($K34="S2","b","")),Students!$A:$A,AP$2)+countifs(Students!$T:$T,$AH34,Students!$U:$U,$AH$2&amp;if($K34="S1","a",if($K34="S2","b","")),Students!$A:$A,AP$2)+countifs(Students!$V:$V,$AH34,Students!$W:$W,$AH$2&amp;if($K34="S1","a",if($K34="S2","b","")),Students!$A:$A,AP$2)+
countifs(Students!$D:$D,$AK34,Students!$E:$E,$AK$2&amp;if($K34="S1","a",if($K34="S2","b","")),Students!$A:$A,AP$2)+countifs(Students!$F:$F,$AK34,Students!$G:$G,$AK$2&amp;if($K34="S1","a",if($K34="S2","b","")),Students!$A:$A,AP$2)+countifs(Students!$H:$H,$AK34,Students!$I:$I,$AK$2&amp;if($K34="S1","a",if($K34="S2","b","")),Students!$A:$A,AP$2)+countifs(Students!$J:$J,$AK34,Students!$K:$K,$AK$2&amp;if($K34="S1","a",if($K34="S2","b","")),Students!$A:$A,AP$2)+countifs(Students!$L:$L,$AK34,Students!$M:$M,$AK$2&amp;if($K34="S1","a",if($K34="S2","b","")),Students!$A:$A,AP$2)+countifs(Students!$N:$N,$AK34,Students!$O:$O,$AK$2&amp;if($K34="S1","a",if($K34="S2","b","")),Students!$A:$A,AP$2)+countifs(Students!$P:$P,$AK34,Students!$Q:$Q,$AK$2&amp;if($K34="S1","a",if($K34="S2","b","")),Students!$A:$A,AP$2)+countifs(Students!$R:$R,$AK34,Students!$S:$S,$AK$2&amp;if($K34="S1","a",if($K34="S2","b","")),Students!$A:$A,AP$2)+countifs(Students!$T:$T,$AK34,Students!$U:$U,$AK$2&amp;if($K34="S1","a",if($K34="S2","b","")),Students!$A:$A,AP$2)+countifs(Students!$V:$V,$AK34,Students!$W:$W,$AK$2&amp;if($K34="S1","a",if($K34="S2","b","")),Students!$A:$A,AP$2))</f>
        <v>24</v>
      </c>
      <c r="AQ34" s="102">
        <f>if($L34="","",countifs(Students!$D:$D,$P34,Students!$E:$E,$P$2&amp;if($K34="S1","a",if($K34="S2","b","")),Students!$A:$A,AQ$2)+countifs(Students!$F:$F,$P34,Students!$G:$G,$P$2&amp;if($K34="S1","a",if($K34="S2","b","")),Students!$A:$A,AQ$2)+countifs(Students!$H:$H,$P34,Students!$I:$I,$P$2&amp;if($K34="S1","a",if($K34="S2","b","")),Students!$A:$A,AQ$2)+countifs(Students!$J:$J,$P34,Students!$K:$K,$P$2&amp;if($K34="S1","a",if($K34="S2","b","")),Students!$A:$A,AQ$2)+countifs(Students!$L:$L,$P34,Students!$M:$M,$P$2&amp;if($K34="S1","a",if($K34="S2","b","")),Students!$A:$A,AQ$2)+countifs(Students!$N:$N,$P34,Students!$O:$O,$P$2&amp;if($K34="S1","a",if($K34="S2","b","")),Students!$A:$A,AQ$2)+countifs(Students!$P:$P,$P34,Students!$Q:$Q,$P$2&amp;if($K34="S1","a",if($K34="S2","b","")),Students!$A:$A,AQ$2)+countifs(Students!$R:$R,$P34,Students!$S:$S,$P$2&amp;if($K34="S1","a",if($K34="S2","b","")),Students!$A:$A,AQ$2)+countifs(Students!$T:$T,$P34,Students!$U:$U,$P$2&amp;if($K34="S1","a",if($K34="S2","b","")),Students!$A:$A,AQ$2)+countifs(Students!$V:$V,$P34,Students!$W:$W,$P$2&amp;if($K34="S1","a",if($K34="S2","b","")),Students!$A:$A,AQ$2)+
countifs(Students!$D:$D,$S34,Students!$E:$E,$S$2&amp;if($K34="S1","a",if($K34="S2","b","")),Students!$A:$A,AQ$2)+countifs(Students!$F:$F,$S34,Students!$G:$G,$S$2&amp;if($K34="S1","a",if($K34="S2","b","")),Students!$A:$A,AQ$2)+countifs(Students!$H:$H,$S34,Students!$I:$I,$S$2&amp;if($K34="S1","a",if($K34="S2","b","")),Students!$A:$A,AQ$2)+countifs(Students!$J:$J,$S34,Students!$K:$K,$S$2&amp;if($K34="S1","a",if($K34="S2","b","")),Students!$A:$A,AQ$2)+countifs(Students!$L:$L,$S34,Students!$M:$M,$S$2&amp;if($K34="S1","a",if($K34="S2","b","")),Students!$A:$A,AQ$2)+countifs(Students!$N:$N,$S34,Students!$O:$O,$S$2&amp;if($K34="S1","a",if($K34="S2","b","")),Students!$A:$A,AQ$2)+countifs(Students!$P:$P,$S34,Students!$Q:$Q,$S$2&amp;if($K34="S1","a",if($K34="S2","b","")),Students!$A:$A,AQ$2)+countifs(Students!$R:$R,$S34,Students!$S:$S,$S$2&amp;if($K34="S1","a",if($K34="S2","b","")),Students!$A:$A,AQ$2)+countifs(Students!$T:$T,$S34,Students!$U:$U,$S$2&amp;if($K34="S1","a",if($K34="S2","b","")),Students!$A:$A,AQ$2)+countifs(Students!$V:$V,$S34,Students!$W:$W,$S$2&amp;if($K34="S1","a",if($K34="S2","b","")),Students!$A:$A,AQ$2)+
countifs(Students!$D:$D,$V34,Students!$E:$E,$V$2&amp;if($K34="S1","a",if($K34="S2","b","")),Students!$A:$A,AQ$2)+countifs(Students!$F:$F,$V34,Students!$G:$G,$V$2&amp;if($K34="S1","a",if($K34="S2","b","")),Students!$A:$A,AQ$2)+countifs(Students!$H:$H,$V34,Students!$I:$I,$V$2&amp;if($K34="S1","a",if($K34="S2","b","")),Students!$A:$A,AQ$2)+countifs(Students!$J:$J,$V34,Students!$K:$K,$V$2&amp;if($K34="S1","a",if($K34="S2","b","")),Students!$A:$A,AQ$2)+countifs(Students!$L:$L,$V34,Students!$M:$M,$V$2&amp;if($K34="S1","a",if($K34="S2","b","")),Students!$A:$A,AQ$2)+countifs(Students!$N:$N,$V34,Students!$O:$O,$V$2&amp;if($K34="S1","a",if($K34="S2","b","")),Students!$A:$A,AQ$2)+countifs(Students!$P:$P,$V34,Students!$Q:$Q,$V$2&amp;if($K34="S1","a",if($K34="S2","b","")),Students!$A:$A,AQ$2)+countifs(Students!$R:$R,$V34,Students!$S:$S,$V$2&amp;if($K34="S1","a",if($K34="S2","b","")),Students!$A:$A,AQ$2)+countifs(Students!$T:$T,$V34,Students!$U:$U,$V$2&amp;if($K34="S1","a",if($K34="S2","b","")),Students!$A:$A,AQ$2)+countifs(Students!$V:$V,$V34,Students!$W:$W,$V$2&amp;if($K34="S1","a",if($K34="S2","b","")),Students!$A:$A,AQ$2)+
countifs(Students!$D:$D,$Y34,Students!$E:$E,$Y$2&amp;if($K34="S1","a",if($K34="S2","b","")),Students!$A:$A,AQ$2)+countifs(Students!$F:$F,$Y34,Students!$G:$G,$Y$2&amp;if($K34="S1","a",if($K34="S2","b","")),Students!$A:$A,AQ$2)+countifs(Students!$H:$H,$Y34,Students!$I:$I,$Y$2&amp;if($K34="S1","a",if($K34="S2","b","")),Students!$A:$A,AQ$2)+countifs(Students!$J:$J,$Y34,Students!$K:$K,$Y$2&amp;if($K34="S1","a",if($K34="S2","b","")),Students!$A:$A,AQ$2)+countifs(Students!$L:$L,$Y34,Students!$M:$M,$Y$2&amp;if($K34="S1","a",if($K34="S2","b","")),Students!$A:$A,AQ$2)+countifs(Students!$N:$N,$Y34,Students!$O:$O,$Y$2&amp;if($K34="S1","a",if($K34="S2","b","")),Students!$A:$A,AQ$2)+countifs(Students!$P:$P,$Y34,Students!$Q:$Q,$Y$2&amp;if($K34="S1","a",if($K34="S2","b","")),Students!$A:$A,AQ$2)+countifs(Students!$R:$R,$Y34,Students!$S:$S,$Y$2&amp;if($K34="S1","a",if($K34="S2","b","")),Students!$A:$A,AQ$2)+countifs(Students!$T:$T,$Y34,Students!$U:$U,$Y$2&amp;if($K34="S1","a",if($K34="S2","b","")),Students!$A:$A,AQ$2)+countifs(Students!$V:$V,$Y34,Students!$W:$W,$Y$2&amp;if($K34="S1","a",if($K34="S2","b","")),Students!$A:$A,AQ$2)+
countifs(Students!$D:$D,$AB34,Students!$E:$E,$AB$2&amp;if($K34="S1","a",if($K34="S2","b","")),Students!$A:$A,AQ$2)+countifs(Students!$F:$F,$AB34,Students!$G:$G,$AB$2&amp;if($K34="S1","a",if($K34="S2","b","")),Students!$A:$A,AQ$2)+countifs(Students!$H:$H,$AB34,Students!$I:$I,$AB$2&amp;if($K34="S1","a",if($K34="S2","b","")),Students!$A:$A,AQ$2)+countifs(Students!$J:$J,$AB34,Students!$K:$K,$AB$2&amp;if($K34="S1","a",if($K34="S2","b","")),Students!$A:$A,AQ$2)+countifs(Students!$L:$L,$AB34,Students!$M:$M,$AB$2&amp;if($K34="S1","a",if($K34="S2","b","")),Students!$A:$A,AQ$2)+countifs(Students!$N:$N,$AB34,Students!$O:$O,$AB$2&amp;if($K34="S1","a",if($K34="S2","b","")),Students!$A:$A,AQ$2)+countifs(Students!$P:$P,$AB34,Students!$Q:$Q,$AB$2&amp;if($K34="S1","a",if($K34="S2","b","")),Students!$A:$A,AQ$2)+countifs(Students!$R:$R,$AB34,Students!$S:$S,$AB$2&amp;if($K34="S1","a",if($K34="S2","b","")),Students!$A:$A,AQ$2)+countifs(Students!$T:$T,$AB34,Students!$U:$U,$AB$2&amp;if($K34="S1","a",if($K34="S2","b","")),Students!$A:$A,AQ$2)+countifs(Students!$V:$V,$AB34,Students!$W:$W,$AB$2&amp;if($K34="S1","a",if($K34="S2","b","")),Students!$A:$A,AQ$2)+
countifs(Students!$D:$D,$AE34,Students!$E:$E,$AE$2&amp;if($K34="S1","a",if($K34="S2","b","")),Students!$A:$A,AQ$2)+countifs(Students!$F:$F,$AE34,Students!$G:$G,$AE$2&amp;if($K34="S1","a",if($K34="S2","b","")),Students!$A:$A,AQ$2)+countifs(Students!$H:$H,$AE34,Students!$I:$I,$AE$2&amp;if($K34="S1","a",if($K34="S2","b","")),Students!$A:$A,AQ$2)+countifs(Students!$J:$J,$AE34,Students!$K:$K,$AE$2&amp;if($K34="S1","a",if($K34="S2","b","")),Students!$A:$A,AQ$2)+countifs(Students!$L:$L,$AE34,Students!$M:$M,$AE$2&amp;if($K34="S1","a",if($K34="S2","b","")),Students!$A:$A,AQ$2)+countifs(Students!$N:$N,$AE34,Students!$O:$O,$AE$2&amp;if($K34="S1","a",if($K34="S2","b","")),Students!$A:$A,AQ$2)+countifs(Students!$P:$P,$AE34,Students!$Q:$Q,$AE$2&amp;if($K34="S1","a",if($K34="S2","b","")),Students!$A:$A,AQ$2)+countifs(Students!$R:$R,$AE34,Students!$S:$S,$AE$2&amp;if($K34="S1","a",if($K34="S2","b","")),Students!$A:$A,AQ$2)+countifs(Students!$T:$T,$AE34,Students!$U:$U,$AE$2&amp;if($K34="S1","a",if($K34="S2","b","")),Students!$A:$A,AQ$2)+countifs(Students!$V:$V,$AE34,Students!$W:$W,$AE$2&amp;if($K34="S1","a",if($K34="S2","b","")),Students!$A:$A,AQ$2)+
countifs(Students!$D:$D,$AH34,Students!$E:$E,$AH$2&amp;if($K34="S1","a",if($K34="S2","b","")),Students!$A:$A,AQ$2)+countifs(Students!$F:$F,$AH34,Students!$G:$G,$AH$2&amp;if($K34="S1","a",if($K34="S2","b","")),Students!$A:$A,AQ$2)+countifs(Students!$H:$H,$AH34,Students!$I:$I,$AH$2&amp;if($K34="S1","a",if($K34="S2","b","")),Students!$A:$A,AQ$2)+countifs(Students!$J:$J,$AH34,Students!$K:$K,$AH$2&amp;if($K34="S1","a",if($K34="S2","b","")),Students!$A:$A,AQ$2)+countifs(Students!$L:$L,$AH34,Students!$M:$M,$AH$2&amp;if($K34="S1","a",if($K34="S2","b","")),Students!$A:$A,AQ$2)+countifs(Students!$N:$N,$AH34,Students!$O:$O,$AH$2&amp;if($K34="S1","a",if($K34="S2","b","")),Students!$A:$A,AQ$2)+countifs(Students!$P:$P,$AH34,Students!$Q:$Q,$AH$2&amp;if($K34="S1","a",if($K34="S2","b","")),Students!$A:$A,AQ$2)+countifs(Students!$R:$R,$AH34,Students!$S:$S,$AH$2&amp;if($K34="S1","a",if($K34="S2","b","")),Students!$A:$A,AQ$2)+countifs(Students!$T:$T,$AH34,Students!$U:$U,$AH$2&amp;if($K34="S1","a",if($K34="S2","b","")),Students!$A:$A,AQ$2)+countifs(Students!$V:$V,$AH34,Students!$W:$W,$AH$2&amp;if($K34="S1","a",if($K34="S2","b","")),Students!$A:$A,AQ$2)+
countifs(Students!$D:$D,$AK34,Students!$E:$E,$AK$2&amp;if($K34="S1","a",if($K34="S2","b","")),Students!$A:$A,AQ$2)+countifs(Students!$F:$F,$AK34,Students!$G:$G,$AK$2&amp;if($K34="S1","a",if($K34="S2","b","")),Students!$A:$A,AQ$2)+countifs(Students!$H:$H,$AK34,Students!$I:$I,$AK$2&amp;if($K34="S1","a",if($K34="S2","b","")),Students!$A:$A,AQ$2)+countifs(Students!$J:$J,$AK34,Students!$K:$K,$AK$2&amp;if($K34="S1","a",if($K34="S2","b","")),Students!$A:$A,AQ$2)+countifs(Students!$L:$L,$AK34,Students!$M:$M,$AK$2&amp;if($K34="S1","a",if($K34="S2","b","")),Students!$A:$A,AQ$2)+countifs(Students!$N:$N,$AK34,Students!$O:$O,$AK$2&amp;if($K34="S1","a",if($K34="S2","b","")),Students!$A:$A,AQ$2)+countifs(Students!$P:$P,$AK34,Students!$Q:$Q,$AK$2&amp;if($K34="S1","a",if($K34="S2","b","")),Students!$A:$A,AQ$2)+countifs(Students!$R:$R,$AK34,Students!$S:$S,$AK$2&amp;if($K34="S1","a",if($K34="S2","b","")),Students!$A:$A,AQ$2)+countifs(Students!$T:$T,$AK34,Students!$U:$U,$AK$2&amp;if($K34="S1","a",if($K34="S2","b","")),Students!$A:$A,AQ$2)+countifs(Students!$V:$V,$AK34,Students!$W:$W,$AK$2&amp;if($K34="S1","a",if($K34="S2","b","")),Students!$A:$A,AQ$2))</f>
        <v>0</v>
      </c>
      <c r="AR34" s="102">
        <f>if($L34="","",countifs(Students!$D:$D,$P34,Students!$E:$E,$P$2&amp;if($K34="S1","a",if($K34="S2","b","")),Students!$A:$A,AR$2)+countifs(Students!$F:$F,$P34,Students!$G:$G,$P$2&amp;if($K34="S1","a",if($K34="S2","b","")),Students!$A:$A,AR$2)+countifs(Students!$H:$H,$P34,Students!$I:$I,$P$2&amp;if($K34="S1","a",if($K34="S2","b","")),Students!$A:$A,AR$2)+countifs(Students!$J:$J,$P34,Students!$K:$K,$P$2&amp;if($K34="S1","a",if($K34="S2","b","")),Students!$A:$A,AR$2)+countifs(Students!$L:$L,$P34,Students!$M:$M,$P$2&amp;if($K34="S1","a",if($K34="S2","b","")),Students!$A:$A,AR$2)+countifs(Students!$N:$N,$P34,Students!$O:$O,$P$2&amp;if($K34="S1","a",if($K34="S2","b","")),Students!$A:$A,AR$2)+countifs(Students!$P:$P,$P34,Students!$Q:$Q,$P$2&amp;if($K34="S1","a",if($K34="S2","b","")),Students!$A:$A,AR$2)+countifs(Students!$R:$R,$P34,Students!$S:$S,$P$2&amp;if($K34="S1","a",if($K34="S2","b","")),Students!$A:$A,AR$2)+countifs(Students!$T:$T,$P34,Students!$U:$U,$P$2&amp;if($K34="S1","a",if($K34="S2","b","")),Students!$A:$A,AR$2)+countifs(Students!$V:$V,$P34,Students!$W:$W,$P$2&amp;if($K34="S1","a",if($K34="S2","b","")),Students!$A:$A,AR$2)+
countifs(Students!$D:$D,$S34,Students!$E:$E,$S$2&amp;if($K34="S1","a",if($K34="S2","b","")),Students!$A:$A,AR$2)+countifs(Students!$F:$F,$S34,Students!$G:$G,$S$2&amp;if($K34="S1","a",if($K34="S2","b","")),Students!$A:$A,AR$2)+countifs(Students!$H:$H,$S34,Students!$I:$I,$S$2&amp;if($K34="S1","a",if($K34="S2","b","")),Students!$A:$A,AR$2)+countifs(Students!$J:$J,$S34,Students!$K:$K,$S$2&amp;if($K34="S1","a",if($K34="S2","b","")),Students!$A:$A,AR$2)+countifs(Students!$L:$L,$S34,Students!$M:$M,$S$2&amp;if($K34="S1","a",if($K34="S2","b","")),Students!$A:$A,AR$2)+countifs(Students!$N:$N,$S34,Students!$O:$O,$S$2&amp;if($K34="S1","a",if($K34="S2","b","")),Students!$A:$A,AR$2)+countifs(Students!$P:$P,$S34,Students!$Q:$Q,$S$2&amp;if($K34="S1","a",if($K34="S2","b","")),Students!$A:$A,AR$2)+countifs(Students!$R:$R,$S34,Students!$S:$S,$S$2&amp;if($K34="S1","a",if($K34="S2","b","")),Students!$A:$A,AR$2)+countifs(Students!$T:$T,$S34,Students!$U:$U,$S$2&amp;if($K34="S1","a",if($K34="S2","b","")),Students!$A:$A,AR$2)+countifs(Students!$V:$V,$S34,Students!$W:$W,$S$2&amp;if($K34="S1","a",if($K34="S2","b","")),Students!$A:$A,AR$2)+
countifs(Students!$D:$D,$V34,Students!$E:$E,$V$2&amp;if($K34="S1","a",if($K34="S2","b","")),Students!$A:$A,AR$2)+countifs(Students!$F:$F,$V34,Students!$G:$G,$V$2&amp;if($K34="S1","a",if($K34="S2","b","")),Students!$A:$A,AR$2)+countifs(Students!$H:$H,$V34,Students!$I:$I,$V$2&amp;if($K34="S1","a",if($K34="S2","b","")),Students!$A:$A,AR$2)+countifs(Students!$J:$J,$V34,Students!$K:$K,$V$2&amp;if($K34="S1","a",if($K34="S2","b","")),Students!$A:$A,AR$2)+countifs(Students!$L:$L,$V34,Students!$M:$M,$V$2&amp;if($K34="S1","a",if($K34="S2","b","")),Students!$A:$A,AR$2)+countifs(Students!$N:$N,$V34,Students!$O:$O,$V$2&amp;if($K34="S1","a",if($K34="S2","b","")),Students!$A:$A,AR$2)+countifs(Students!$P:$P,$V34,Students!$Q:$Q,$V$2&amp;if($K34="S1","a",if($K34="S2","b","")),Students!$A:$A,AR$2)+countifs(Students!$R:$R,$V34,Students!$S:$S,$V$2&amp;if($K34="S1","a",if($K34="S2","b","")),Students!$A:$A,AR$2)+countifs(Students!$T:$T,$V34,Students!$U:$U,$V$2&amp;if($K34="S1","a",if($K34="S2","b","")),Students!$A:$A,AR$2)+countifs(Students!$V:$V,$V34,Students!$W:$W,$V$2&amp;if($K34="S1","a",if($K34="S2","b","")),Students!$A:$A,AR$2)+
countifs(Students!$D:$D,$Y34,Students!$E:$E,$Y$2&amp;if($K34="S1","a",if($K34="S2","b","")),Students!$A:$A,AR$2)+countifs(Students!$F:$F,$Y34,Students!$G:$G,$Y$2&amp;if($K34="S1","a",if($K34="S2","b","")),Students!$A:$A,AR$2)+countifs(Students!$H:$H,$Y34,Students!$I:$I,$Y$2&amp;if($K34="S1","a",if($K34="S2","b","")),Students!$A:$A,AR$2)+countifs(Students!$J:$J,$Y34,Students!$K:$K,$Y$2&amp;if($K34="S1","a",if($K34="S2","b","")),Students!$A:$A,AR$2)+countifs(Students!$L:$L,$Y34,Students!$M:$M,$Y$2&amp;if($K34="S1","a",if($K34="S2","b","")),Students!$A:$A,AR$2)+countifs(Students!$N:$N,$Y34,Students!$O:$O,$Y$2&amp;if($K34="S1","a",if($K34="S2","b","")),Students!$A:$A,AR$2)+countifs(Students!$P:$P,$Y34,Students!$Q:$Q,$Y$2&amp;if($K34="S1","a",if($K34="S2","b","")),Students!$A:$A,AR$2)+countifs(Students!$R:$R,$Y34,Students!$S:$S,$Y$2&amp;if($K34="S1","a",if($K34="S2","b","")),Students!$A:$A,AR$2)+countifs(Students!$T:$T,$Y34,Students!$U:$U,$Y$2&amp;if($K34="S1","a",if($K34="S2","b","")),Students!$A:$A,AR$2)+countifs(Students!$V:$V,$Y34,Students!$W:$W,$Y$2&amp;if($K34="S1","a",if($K34="S2","b","")),Students!$A:$A,AR$2)+
countifs(Students!$D:$D,$AB34,Students!$E:$E,$AB$2&amp;if($K34="S1","a",if($K34="S2","b","")),Students!$A:$A,AR$2)+countifs(Students!$F:$F,$AB34,Students!$G:$G,$AB$2&amp;if($K34="S1","a",if($K34="S2","b","")),Students!$A:$A,AR$2)+countifs(Students!$H:$H,$AB34,Students!$I:$I,$AB$2&amp;if($K34="S1","a",if($K34="S2","b","")),Students!$A:$A,AR$2)+countifs(Students!$J:$J,$AB34,Students!$K:$K,$AB$2&amp;if($K34="S1","a",if($K34="S2","b","")),Students!$A:$A,AR$2)+countifs(Students!$L:$L,$AB34,Students!$M:$M,$AB$2&amp;if($K34="S1","a",if($K34="S2","b","")),Students!$A:$A,AR$2)+countifs(Students!$N:$N,$AB34,Students!$O:$O,$AB$2&amp;if($K34="S1","a",if($K34="S2","b","")),Students!$A:$A,AR$2)+countifs(Students!$P:$P,$AB34,Students!$Q:$Q,$AB$2&amp;if($K34="S1","a",if($K34="S2","b","")),Students!$A:$A,AR$2)+countifs(Students!$R:$R,$AB34,Students!$S:$S,$AB$2&amp;if($K34="S1","a",if($K34="S2","b","")),Students!$A:$A,AR$2)+countifs(Students!$T:$T,$AB34,Students!$U:$U,$AB$2&amp;if($K34="S1","a",if($K34="S2","b","")),Students!$A:$A,AR$2)+countifs(Students!$V:$V,$AB34,Students!$W:$W,$AB$2&amp;if($K34="S1","a",if($K34="S2","b","")),Students!$A:$A,AR$2)+
countifs(Students!$D:$D,$AE34,Students!$E:$E,$AE$2&amp;if($K34="S1","a",if($K34="S2","b","")),Students!$A:$A,AR$2)+countifs(Students!$F:$F,$AE34,Students!$G:$G,$AE$2&amp;if($K34="S1","a",if($K34="S2","b","")),Students!$A:$A,AR$2)+countifs(Students!$H:$H,$AE34,Students!$I:$I,$AE$2&amp;if($K34="S1","a",if($K34="S2","b","")),Students!$A:$A,AR$2)+countifs(Students!$J:$J,$AE34,Students!$K:$K,$AE$2&amp;if($K34="S1","a",if($K34="S2","b","")),Students!$A:$A,AR$2)+countifs(Students!$L:$L,$AE34,Students!$M:$M,$AE$2&amp;if($K34="S1","a",if($K34="S2","b","")),Students!$A:$A,AR$2)+countifs(Students!$N:$N,$AE34,Students!$O:$O,$AE$2&amp;if($K34="S1","a",if($K34="S2","b","")),Students!$A:$A,AR$2)+countifs(Students!$P:$P,$AE34,Students!$Q:$Q,$AE$2&amp;if($K34="S1","a",if($K34="S2","b","")),Students!$A:$A,AR$2)+countifs(Students!$R:$R,$AE34,Students!$S:$S,$AE$2&amp;if($K34="S1","a",if($K34="S2","b","")),Students!$A:$A,AR$2)+countifs(Students!$T:$T,$AE34,Students!$U:$U,$AE$2&amp;if($K34="S1","a",if($K34="S2","b","")),Students!$A:$A,AR$2)+countifs(Students!$V:$V,$AE34,Students!$W:$W,$AE$2&amp;if($K34="S1","a",if($K34="S2","b","")),Students!$A:$A,AR$2)+
countifs(Students!$D:$D,$AH34,Students!$E:$E,$AH$2&amp;if($K34="S1","a",if($K34="S2","b","")),Students!$A:$A,AR$2)+countifs(Students!$F:$F,$AH34,Students!$G:$G,$AH$2&amp;if($K34="S1","a",if($K34="S2","b","")),Students!$A:$A,AR$2)+countifs(Students!$H:$H,$AH34,Students!$I:$I,$AH$2&amp;if($K34="S1","a",if($K34="S2","b","")),Students!$A:$A,AR$2)+countifs(Students!$J:$J,$AH34,Students!$K:$K,$AH$2&amp;if($K34="S1","a",if($K34="S2","b","")),Students!$A:$A,AR$2)+countifs(Students!$L:$L,$AH34,Students!$M:$M,$AH$2&amp;if($K34="S1","a",if($K34="S2","b","")),Students!$A:$A,AR$2)+countifs(Students!$N:$N,$AH34,Students!$O:$O,$AH$2&amp;if($K34="S1","a",if($K34="S2","b","")),Students!$A:$A,AR$2)+countifs(Students!$P:$P,$AH34,Students!$Q:$Q,$AH$2&amp;if($K34="S1","a",if($K34="S2","b","")),Students!$A:$A,AR$2)+countifs(Students!$R:$R,$AH34,Students!$S:$S,$AH$2&amp;if($K34="S1","a",if($K34="S2","b","")),Students!$A:$A,AR$2)+countifs(Students!$T:$T,$AH34,Students!$U:$U,$AH$2&amp;if($K34="S1","a",if($K34="S2","b","")),Students!$A:$A,AR$2)+countifs(Students!$V:$V,$AH34,Students!$W:$W,$AH$2&amp;if($K34="S1","a",if($K34="S2","b","")),Students!$A:$A,AR$2)+
countifs(Students!$D:$D,$AK34,Students!$E:$E,$AK$2&amp;if($K34="S1","a",if($K34="S2","b","")),Students!$A:$A,AR$2)+countifs(Students!$F:$F,$AK34,Students!$G:$G,$AK$2&amp;if($K34="S1","a",if($K34="S2","b","")),Students!$A:$A,AR$2)+countifs(Students!$H:$H,$AK34,Students!$I:$I,$AK$2&amp;if($K34="S1","a",if($K34="S2","b","")),Students!$A:$A,AR$2)+countifs(Students!$J:$J,$AK34,Students!$K:$K,$AK$2&amp;if($K34="S1","a",if($K34="S2","b","")),Students!$A:$A,AR$2)+countifs(Students!$L:$L,$AK34,Students!$M:$M,$AK$2&amp;if($K34="S1","a",if($K34="S2","b","")),Students!$A:$A,AR$2)+countifs(Students!$N:$N,$AK34,Students!$O:$O,$AK$2&amp;if($K34="S1","a",if($K34="S2","b","")),Students!$A:$A,AR$2)+countifs(Students!$P:$P,$AK34,Students!$Q:$Q,$AK$2&amp;if($K34="S1","a",if($K34="S2","b","")),Students!$A:$A,AR$2)+countifs(Students!$R:$R,$AK34,Students!$S:$S,$AK$2&amp;if($K34="S1","a",if($K34="S2","b","")),Students!$A:$A,AR$2)+countifs(Students!$T:$T,$AK34,Students!$U:$U,$AK$2&amp;if($K34="S1","a",if($K34="S2","b","")),Students!$A:$A,AR$2)+countifs(Students!$V:$V,$AK34,Students!$W:$W,$AK$2&amp;if($K34="S1","a",if($K34="S2","b","")),Students!$A:$A,AR$2))</f>
        <v>59</v>
      </c>
      <c r="AS34" s="102">
        <f>if($L34="","",countifs(Students!$D:$D,$P34,Students!$E:$E,$P$2&amp;if($K34="S1","a",if($K34="S2","b","")),Students!$A:$A,AS$2)+countifs(Students!$F:$F,$P34,Students!$G:$G,$P$2&amp;if($K34="S1","a",if($K34="S2","b","")),Students!$A:$A,AS$2)+countifs(Students!$H:$H,$P34,Students!$I:$I,$P$2&amp;if($K34="S1","a",if($K34="S2","b","")),Students!$A:$A,AS$2)+countifs(Students!$J:$J,$P34,Students!$K:$K,$P$2&amp;if($K34="S1","a",if($K34="S2","b","")),Students!$A:$A,AS$2)+countifs(Students!$L:$L,$P34,Students!$M:$M,$P$2&amp;if($K34="S1","a",if($K34="S2","b","")),Students!$A:$A,AS$2)+countifs(Students!$N:$N,$P34,Students!$O:$O,$P$2&amp;if($K34="S1","a",if($K34="S2","b","")),Students!$A:$A,AS$2)+countifs(Students!$P:$P,$P34,Students!$Q:$Q,$P$2&amp;if($K34="S1","a",if($K34="S2","b","")),Students!$A:$A,AS$2)+countifs(Students!$R:$R,$P34,Students!$S:$S,$P$2&amp;if($K34="S1","a",if($K34="S2","b","")),Students!$A:$A,AS$2)+countifs(Students!$T:$T,$P34,Students!$U:$U,$P$2&amp;if($K34="S1","a",if($K34="S2","b","")),Students!$A:$A,AS$2)+countifs(Students!$V:$V,$P34,Students!$W:$W,$P$2&amp;if($K34="S1","a",if($K34="S2","b","")),Students!$A:$A,AS$2)+
countifs(Students!$D:$D,$S34,Students!$E:$E,$S$2&amp;if($K34="S1","a",if($K34="S2","b","")),Students!$A:$A,AS$2)+countifs(Students!$F:$F,$S34,Students!$G:$G,$S$2&amp;if($K34="S1","a",if($K34="S2","b","")),Students!$A:$A,AS$2)+countifs(Students!$H:$H,$S34,Students!$I:$I,$S$2&amp;if($K34="S1","a",if($K34="S2","b","")),Students!$A:$A,AS$2)+countifs(Students!$J:$J,$S34,Students!$K:$K,$S$2&amp;if($K34="S1","a",if($K34="S2","b","")),Students!$A:$A,AS$2)+countifs(Students!$L:$L,$S34,Students!$M:$M,$S$2&amp;if($K34="S1","a",if($K34="S2","b","")),Students!$A:$A,AS$2)+countifs(Students!$N:$N,$S34,Students!$O:$O,$S$2&amp;if($K34="S1","a",if($K34="S2","b","")),Students!$A:$A,AS$2)+countifs(Students!$P:$P,$S34,Students!$Q:$Q,$S$2&amp;if($K34="S1","a",if($K34="S2","b","")),Students!$A:$A,AS$2)+countifs(Students!$R:$R,$S34,Students!$S:$S,$S$2&amp;if($K34="S1","a",if($K34="S2","b","")),Students!$A:$A,AS$2)+countifs(Students!$T:$T,$S34,Students!$U:$U,$S$2&amp;if($K34="S1","a",if($K34="S2","b","")),Students!$A:$A,AS$2)+countifs(Students!$V:$V,$S34,Students!$W:$W,$S$2&amp;if($K34="S1","a",if($K34="S2","b","")),Students!$A:$A,AS$2)+
countifs(Students!$D:$D,$V34,Students!$E:$E,$V$2&amp;if($K34="S1","a",if($K34="S2","b","")),Students!$A:$A,AS$2)+countifs(Students!$F:$F,$V34,Students!$G:$G,$V$2&amp;if($K34="S1","a",if($K34="S2","b","")),Students!$A:$A,AS$2)+countifs(Students!$H:$H,$V34,Students!$I:$I,$V$2&amp;if($K34="S1","a",if($K34="S2","b","")),Students!$A:$A,AS$2)+countifs(Students!$J:$J,$V34,Students!$K:$K,$V$2&amp;if($K34="S1","a",if($K34="S2","b","")),Students!$A:$A,AS$2)+countifs(Students!$L:$L,$V34,Students!$M:$M,$V$2&amp;if($K34="S1","a",if($K34="S2","b","")),Students!$A:$A,AS$2)+countifs(Students!$N:$N,$V34,Students!$O:$O,$V$2&amp;if($K34="S1","a",if($K34="S2","b","")),Students!$A:$A,AS$2)+countifs(Students!$P:$P,$V34,Students!$Q:$Q,$V$2&amp;if($K34="S1","a",if($K34="S2","b","")),Students!$A:$A,AS$2)+countifs(Students!$R:$R,$V34,Students!$S:$S,$V$2&amp;if($K34="S1","a",if($K34="S2","b","")),Students!$A:$A,AS$2)+countifs(Students!$T:$T,$V34,Students!$U:$U,$V$2&amp;if($K34="S1","a",if($K34="S2","b","")),Students!$A:$A,AS$2)+countifs(Students!$V:$V,$V34,Students!$W:$W,$V$2&amp;if($K34="S1","a",if($K34="S2","b","")),Students!$A:$A,AS$2)+
countifs(Students!$D:$D,$Y34,Students!$E:$E,$Y$2&amp;if($K34="S1","a",if($K34="S2","b","")),Students!$A:$A,AS$2)+countifs(Students!$F:$F,$Y34,Students!$G:$G,$Y$2&amp;if($K34="S1","a",if($K34="S2","b","")),Students!$A:$A,AS$2)+countifs(Students!$H:$H,$Y34,Students!$I:$I,$Y$2&amp;if($K34="S1","a",if($K34="S2","b","")),Students!$A:$A,AS$2)+countifs(Students!$J:$J,$Y34,Students!$K:$K,$Y$2&amp;if($K34="S1","a",if($K34="S2","b","")),Students!$A:$A,AS$2)+countifs(Students!$L:$L,$Y34,Students!$M:$M,$Y$2&amp;if($K34="S1","a",if($K34="S2","b","")),Students!$A:$A,AS$2)+countifs(Students!$N:$N,$Y34,Students!$O:$O,$Y$2&amp;if($K34="S1","a",if($K34="S2","b","")),Students!$A:$A,AS$2)+countifs(Students!$P:$P,$Y34,Students!$Q:$Q,$Y$2&amp;if($K34="S1","a",if($K34="S2","b","")),Students!$A:$A,AS$2)+countifs(Students!$R:$R,$Y34,Students!$S:$S,$Y$2&amp;if($K34="S1","a",if($K34="S2","b","")),Students!$A:$A,AS$2)+countifs(Students!$T:$T,$Y34,Students!$U:$U,$Y$2&amp;if($K34="S1","a",if($K34="S2","b","")),Students!$A:$A,AS$2)+countifs(Students!$V:$V,$Y34,Students!$W:$W,$Y$2&amp;if($K34="S1","a",if($K34="S2","b","")),Students!$A:$A,AS$2)+
countifs(Students!$D:$D,$AB34,Students!$E:$E,$AB$2&amp;if($K34="S1","a",if($K34="S2","b","")),Students!$A:$A,AS$2)+countifs(Students!$F:$F,$AB34,Students!$G:$G,$AB$2&amp;if($K34="S1","a",if($K34="S2","b","")),Students!$A:$A,AS$2)+countifs(Students!$H:$H,$AB34,Students!$I:$I,$AB$2&amp;if($K34="S1","a",if($K34="S2","b","")),Students!$A:$A,AS$2)+countifs(Students!$J:$J,$AB34,Students!$K:$K,$AB$2&amp;if($K34="S1","a",if($K34="S2","b","")),Students!$A:$A,AS$2)+countifs(Students!$L:$L,$AB34,Students!$M:$M,$AB$2&amp;if($K34="S1","a",if($K34="S2","b","")),Students!$A:$A,AS$2)+countifs(Students!$N:$N,$AB34,Students!$O:$O,$AB$2&amp;if($K34="S1","a",if($K34="S2","b","")),Students!$A:$A,AS$2)+countifs(Students!$P:$P,$AB34,Students!$Q:$Q,$AB$2&amp;if($K34="S1","a",if($K34="S2","b","")),Students!$A:$A,AS$2)+countifs(Students!$R:$R,$AB34,Students!$S:$S,$AB$2&amp;if($K34="S1","a",if($K34="S2","b","")),Students!$A:$A,AS$2)+countifs(Students!$T:$T,$AB34,Students!$U:$U,$AB$2&amp;if($K34="S1","a",if($K34="S2","b","")),Students!$A:$A,AS$2)+countifs(Students!$V:$V,$AB34,Students!$W:$W,$AB$2&amp;if($K34="S1","a",if($K34="S2","b","")),Students!$A:$A,AS$2)+
countifs(Students!$D:$D,$AE34,Students!$E:$E,$AE$2&amp;if($K34="S1","a",if($K34="S2","b","")),Students!$A:$A,AS$2)+countifs(Students!$F:$F,$AE34,Students!$G:$G,$AE$2&amp;if($K34="S1","a",if($K34="S2","b","")),Students!$A:$A,AS$2)+countifs(Students!$H:$H,$AE34,Students!$I:$I,$AE$2&amp;if($K34="S1","a",if($K34="S2","b","")),Students!$A:$A,AS$2)+countifs(Students!$J:$J,$AE34,Students!$K:$K,$AE$2&amp;if($K34="S1","a",if($K34="S2","b","")),Students!$A:$A,AS$2)+countifs(Students!$L:$L,$AE34,Students!$M:$M,$AE$2&amp;if($K34="S1","a",if($K34="S2","b","")),Students!$A:$A,AS$2)+countifs(Students!$N:$N,$AE34,Students!$O:$O,$AE$2&amp;if($K34="S1","a",if($K34="S2","b","")),Students!$A:$A,AS$2)+countifs(Students!$P:$P,$AE34,Students!$Q:$Q,$AE$2&amp;if($K34="S1","a",if($K34="S2","b","")),Students!$A:$A,AS$2)+countifs(Students!$R:$R,$AE34,Students!$S:$S,$AE$2&amp;if($K34="S1","a",if($K34="S2","b","")),Students!$A:$A,AS$2)+countifs(Students!$T:$T,$AE34,Students!$U:$U,$AE$2&amp;if($K34="S1","a",if($K34="S2","b","")),Students!$A:$A,AS$2)+countifs(Students!$V:$V,$AE34,Students!$W:$W,$AE$2&amp;if($K34="S1","a",if($K34="S2","b","")),Students!$A:$A,AS$2)+
countifs(Students!$D:$D,$AH34,Students!$E:$E,$AH$2&amp;if($K34="S1","a",if($K34="S2","b","")),Students!$A:$A,AS$2)+countifs(Students!$F:$F,$AH34,Students!$G:$G,$AH$2&amp;if($K34="S1","a",if($K34="S2","b","")),Students!$A:$A,AS$2)+countifs(Students!$H:$H,$AH34,Students!$I:$I,$AH$2&amp;if($K34="S1","a",if($K34="S2","b","")),Students!$A:$A,AS$2)+countifs(Students!$J:$J,$AH34,Students!$K:$K,$AH$2&amp;if($K34="S1","a",if($K34="S2","b","")),Students!$A:$A,AS$2)+countifs(Students!$L:$L,$AH34,Students!$M:$M,$AH$2&amp;if($K34="S1","a",if($K34="S2","b","")),Students!$A:$A,AS$2)+countifs(Students!$N:$N,$AH34,Students!$O:$O,$AH$2&amp;if($K34="S1","a",if($K34="S2","b","")),Students!$A:$A,AS$2)+countifs(Students!$P:$P,$AH34,Students!$Q:$Q,$AH$2&amp;if($K34="S1","a",if($K34="S2","b","")),Students!$A:$A,AS$2)+countifs(Students!$R:$R,$AH34,Students!$S:$S,$AH$2&amp;if($K34="S1","a",if($K34="S2","b","")),Students!$A:$A,AS$2)+countifs(Students!$T:$T,$AH34,Students!$U:$U,$AH$2&amp;if($K34="S1","a",if($K34="S2","b","")),Students!$A:$A,AS$2)+countifs(Students!$V:$V,$AH34,Students!$W:$W,$AH$2&amp;if($K34="S1","a",if($K34="S2","b","")),Students!$A:$A,AS$2)+
countifs(Students!$D:$D,$AK34,Students!$E:$E,$AK$2&amp;if($K34="S1","a",if($K34="S2","b","")),Students!$A:$A,AS$2)+countifs(Students!$F:$F,$AK34,Students!$G:$G,$AK$2&amp;if($K34="S1","a",if($K34="S2","b","")),Students!$A:$A,AS$2)+countifs(Students!$H:$H,$AK34,Students!$I:$I,$AK$2&amp;if($K34="S1","a",if($K34="S2","b","")),Students!$A:$A,AS$2)+countifs(Students!$J:$J,$AK34,Students!$K:$K,$AK$2&amp;if($K34="S1","a",if($K34="S2","b","")),Students!$A:$A,AS$2)+countifs(Students!$L:$L,$AK34,Students!$M:$M,$AK$2&amp;if($K34="S1","a",if($K34="S2","b","")),Students!$A:$A,AS$2)+countifs(Students!$N:$N,$AK34,Students!$O:$O,$AK$2&amp;if($K34="S1","a",if($K34="S2","b","")),Students!$A:$A,AS$2)+countifs(Students!$P:$P,$AK34,Students!$Q:$Q,$AK$2&amp;if($K34="S1","a",if($K34="S2","b","")),Students!$A:$A,AS$2)+countifs(Students!$R:$R,$AK34,Students!$S:$S,$AK$2&amp;if($K34="S1","a",if($K34="S2","b","")),Students!$A:$A,AS$2)+countifs(Students!$T:$T,$AK34,Students!$U:$U,$AK$2&amp;if($K34="S1","a",if($K34="S2","b","")),Students!$A:$A,AS$2)+countifs(Students!$V:$V,$AK34,Students!$W:$W,$AK$2&amp;if($K34="S1","a",if($K34="S2","b","")),Students!$A:$A,AS$2))</f>
        <v>12</v>
      </c>
    </row>
    <row r="35">
      <c r="J35" s="87">
        <v>91.0</v>
      </c>
      <c r="K35" s="88"/>
      <c r="L35" s="58" t="s">
        <v>106</v>
      </c>
      <c r="M35" s="107"/>
      <c r="N35" s="87">
        <v>3.0</v>
      </c>
      <c r="O35" s="87">
        <f>IFERROR(__xludf.DUMMYFUNCTION("3*counta((transpose(filter(P35:AM35,P35:AM35&lt;&gt;"""",isnumber(P35:AM35)=false))))"),15.0)</f>
        <v>15</v>
      </c>
      <c r="P35" s="103" t="s">
        <v>107</v>
      </c>
      <c r="Q35" s="101">
        <v>1.0</v>
      </c>
      <c r="R35" s="98">
        <v>15.0</v>
      </c>
      <c r="S35" s="101" t="s">
        <v>108</v>
      </c>
      <c r="T35" s="101">
        <v>1.0</v>
      </c>
      <c r="U35" s="92">
        <v>20.0</v>
      </c>
      <c r="V35" s="91"/>
      <c r="W35" s="91"/>
      <c r="X35" s="92" t="s">
        <v>22</v>
      </c>
      <c r="Y35" s="90" t="s">
        <v>109</v>
      </c>
      <c r="Z35" s="91">
        <v>1.0</v>
      </c>
      <c r="AA35" s="92">
        <v>22.0</v>
      </c>
      <c r="AB35" s="108"/>
      <c r="AC35" s="101"/>
      <c r="AD35" s="98" t="s">
        <v>22</v>
      </c>
      <c r="AE35" s="90" t="s">
        <v>107</v>
      </c>
      <c r="AF35" s="91">
        <v>2.0</v>
      </c>
      <c r="AG35" s="92">
        <v>19.0</v>
      </c>
      <c r="AH35" s="101" t="s">
        <v>107</v>
      </c>
      <c r="AI35" s="97">
        <v>3.0</v>
      </c>
      <c r="AJ35" s="98">
        <v>15.0</v>
      </c>
      <c r="AK35" s="108"/>
      <c r="AL35" s="97"/>
      <c r="AM35" s="98" t="s">
        <v>22</v>
      </c>
      <c r="AN35" s="99"/>
      <c r="AO35" s="52">
        <f t="shared" si="2"/>
        <v>91</v>
      </c>
      <c r="AP35" s="102">
        <f>if($L35="","",countifs(Students!$D:$D,$P35,Students!$E:$E,$P$2&amp;if($K35="S1","a",if($K35="S2","b","")),Students!$A:$A,AP$2)+countifs(Students!$F:$F,$P35,Students!$G:$G,$P$2&amp;if($K35="S1","a",if($K35="S2","b","")),Students!$A:$A,AP$2)+countifs(Students!$H:$H,$P35,Students!$I:$I,$P$2&amp;if($K35="S1","a",if($K35="S2","b","")),Students!$A:$A,AP$2)+countifs(Students!$J:$J,$P35,Students!$K:$K,$P$2&amp;if($K35="S1","a",if($K35="S2","b","")),Students!$A:$A,AP$2)+countifs(Students!$L:$L,$P35,Students!$M:$M,$P$2&amp;if($K35="S1","a",if($K35="S2","b","")),Students!$A:$A,AP$2)+countifs(Students!$N:$N,$P35,Students!$O:$O,$P$2&amp;if($K35="S1","a",if($K35="S2","b","")),Students!$A:$A,AP$2)+countifs(Students!$P:$P,$P35,Students!$Q:$Q,$P$2&amp;if($K35="S1","a",if($K35="S2","b","")),Students!$A:$A,AP$2)+countifs(Students!$R:$R,$P35,Students!$S:$S,$P$2&amp;if($K35="S1","a",if($K35="S2","b","")),Students!$A:$A,AP$2)+countifs(Students!$T:$T,$P35,Students!$U:$U,$P$2&amp;if($K35="S1","a",if($K35="S2","b","")),Students!$A:$A,AP$2)+countifs(Students!$V:$V,$P35,Students!$W:$W,$P$2&amp;if($K35="S1","a",if($K35="S2","b","")),Students!$A:$A,AP$2)+
countifs(Students!$D:$D,$S35,Students!$E:$E,$S$2&amp;if($K35="S1","a",if($K35="S2","b","")),Students!$A:$A,AP$2)+countifs(Students!$F:$F,$S35,Students!$G:$G,$S$2&amp;if($K35="S1","a",if($K35="S2","b","")),Students!$A:$A,AP$2)+countifs(Students!$H:$H,$S35,Students!$I:$I,$S$2&amp;if($K35="S1","a",if($K35="S2","b","")),Students!$A:$A,AP$2)+countifs(Students!$J:$J,$S35,Students!$K:$K,$S$2&amp;if($K35="S1","a",if($K35="S2","b","")),Students!$A:$A,AP$2)+countifs(Students!$L:$L,$S35,Students!$M:$M,$S$2&amp;if($K35="S1","a",if($K35="S2","b","")),Students!$A:$A,AP$2)+countifs(Students!$N:$N,$S35,Students!$O:$O,$S$2&amp;if($K35="S1","a",if($K35="S2","b","")),Students!$A:$A,AP$2)+countifs(Students!$P:$P,$S35,Students!$Q:$Q,$S$2&amp;if($K35="S1","a",if($K35="S2","b","")),Students!$A:$A,AP$2)+countifs(Students!$R:$R,$S35,Students!$S:$S,$S$2&amp;if($K35="S1","a",if($K35="S2","b","")),Students!$A:$A,AP$2)+countifs(Students!$T:$T,$S35,Students!$U:$U,$S$2&amp;if($K35="S1","a",if($K35="S2","b","")),Students!$A:$A,AP$2)+countifs(Students!$V:$V,$S35,Students!$W:$W,$S$2&amp;if($K35="S1","a",if($K35="S2","b","")),Students!$A:$A,AP$2)+
countifs(Students!$D:$D,$V35,Students!$E:$E,$V$2&amp;if($K35="S1","a",if($K35="S2","b","")),Students!$A:$A,AP$2)+countifs(Students!$F:$F,$V35,Students!$G:$G,$V$2&amp;if($K35="S1","a",if($K35="S2","b","")),Students!$A:$A,AP$2)+countifs(Students!$H:$H,$V35,Students!$I:$I,$V$2&amp;if($K35="S1","a",if($K35="S2","b","")),Students!$A:$A,AP$2)+countifs(Students!$J:$J,$V35,Students!$K:$K,$V$2&amp;if($K35="S1","a",if($K35="S2","b","")),Students!$A:$A,AP$2)+countifs(Students!$L:$L,$V35,Students!$M:$M,$V$2&amp;if($K35="S1","a",if($K35="S2","b","")),Students!$A:$A,AP$2)+countifs(Students!$N:$N,$V35,Students!$O:$O,$V$2&amp;if($K35="S1","a",if($K35="S2","b","")),Students!$A:$A,AP$2)+countifs(Students!$P:$P,$V35,Students!$Q:$Q,$V$2&amp;if($K35="S1","a",if($K35="S2","b","")),Students!$A:$A,AP$2)+countifs(Students!$R:$R,$V35,Students!$S:$S,$V$2&amp;if($K35="S1","a",if($K35="S2","b","")),Students!$A:$A,AP$2)+countifs(Students!$T:$T,$V35,Students!$U:$U,$V$2&amp;if($K35="S1","a",if($K35="S2","b","")),Students!$A:$A,AP$2)+countifs(Students!$V:$V,$V35,Students!$W:$W,$V$2&amp;if($K35="S1","a",if($K35="S2","b","")),Students!$A:$A,AP$2)+
countifs(Students!$D:$D,$Y35,Students!$E:$E,$Y$2&amp;if($K35="S1","a",if($K35="S2","b","")),Students!$A:$A,AP$2)+countifs(Students!$F:$F,$Y35,Students!$G:$G,$Y$2&amp;if($K35="S1","a",if($K35="S2","b","")),Students!$A:$A,AP$2)+countifs(Students!$H:$H,$Y35,Students!$I:$I,$Y$2&amp;if($K35="S1","a",if($K35="S2","b","")),Students!$A:$A,AP$2)+countifs(Students!$J:$J,$Y35,Students!$K:$K,$Y$2&amp;if($K35="S1","a",if($K35="S2","b","")),Students!$A:$A,AP$2)+countifs(Students!$L:$L,$Y35,Students!$M:$M,$Y$2&amp;if($K35="S1","a",if($K35="S2","b","")),Students!$A:$A,AP$2)+countifs(Students!$N:$N,$Y35,Students!$O:$O,$Y$2&amp;if($K35="S1","a",if($K35="S2","b","")),Students!$A:$A,AP$2)+countifs(Students!$P:$P,$Y35,Students!$Q:$Q,$Y$2&amp;if($K35="S1","a",if($K35="S2","b","")),Students!$A:$A,AP$2)+countifs(Students!$R:$R,$Y35,Students!$S:$S,$Y$2&amp;if($K35="S1","a",if($K35="S2","b","")),Students!$A:$A,AP$2)+countifs(Students!$T:$T,$Y35,Students!$U:$U,$Y$2&amp;if($K35="S1","a",if($K35="S2","b","")),Students!$A:$A,AP$2)+countifs(Students!$V:$V,$Y35,Students!$W:$W,$Y$2&amp;if($K35="S1","a",if($K35="S2","b","")),Students!$A:$A,AP$2)+
countifs(Students!$D:$D,$AB35,Students!$E:$E,$AB$2&amp;if($K35="S1","a",if($K35="S2","b","")),Students!$A:$A,AP$2)+countifs(Students!$F:$F,$AB35,Students!$G:$G,$AB$2&amp;if($K35="S1","a",if($K35="S2","b","")),Students!$A:$A,AP$2)+countifs(Students!$H:$H,$AB35,Students!$I:$I,$AB$2&amp;if($K35="S1","a",if($K35="S2","b","")),Students!$A:$A,AP$2)+countifs(Students!$J:$J,$AB35,Students!$K:$K,$AB$2&amp;if($K35="S1","a",if($K35="S2","b","")),Students!$A:$A,AP$2)+countifs(Students!$L:$L,$AB35,Students!$M:$M,$AB$2&amp;if($K35="S1","a",if($K35="S2","b","")),Students!$A:$A,AP$2)+countifs(Students!$N:$N,$AB35,Students!$O:$O,$AB$2&amp;if($K35="S1","a",if($K35="S2","b","")),Students!$A:$A,AP$2)+countifs(Students!$P:$P,$AB35,Students!$Q:$Q,$AB$2&amp;if($K35="S1","a",if($K35="S2","b","")),Students!$A:$A,AP$2)+countifs(Students!$R:$R,$AB35,Students!$S:$S,$AB$2&amp;if($K35="S1","a",if($K35="S2","b","")),Students!$A:$A,AP$2)+countifs(Students!$T:$T,$AB35,Students!$U:$U,$AB$2&amp;if($K35="S1","a",if($K35="S2","b","")),Students!$A:$A,AP$2)+countifs(Students!$V:$V,$AB35,Students!$W:$W,$AB$2&amp;if($K35="S1","a",if($K35="S2","b","")),Students!$A:$A,AP$2)+
countifs(Students!$D:$D,$AE35,Students!$E:$E,$AE$2&amp;if($K35="S1","a",if($K35="S2","b","")),Students!$A:$A,AP$2)+countifs(Students!$F:$F,$AE35,Students!$G:$G,$AE$2&amp;if($K35="S1","a",if($K35="S2","b","")),Students!$A:$A,AP$2)+countifs(Students!$H:$H,$AE35,Students!$I:$I,$AE$2&amp;if($K35="S1","a",if($K35="S2","b","")),Students!$A:$A,AP$2)+countifs(Students!$J:$J,$AE35,Students!$K:$K,$AE$2&amp;if($K35="S1","a",if($K35="S2","b","")),Students!$A:$A,AP$2)+countifs(Students!$L:$L,$AE35,Students!$M:$M,$AE$2&amp;if($K35="S1","a",if($K35="S2","b","")),Students!$A:$A,AP$2)+countifs(Students!$N:$N,$AE35,Students!$O:$O,$AE$2&amp;if($K35="S1","a",if($K35="S2","b","")),Students!$A:$A,AP$2)+countifs(Students!$P:$P,$AE35,Students!$Q:$Q,$AE$2&amp;if($K35="S1","a",if($K35="S2","b","")),Students!$A:$A,AP$2)+countifs(Students!$R:$R,$AE35,Students!$S:$S,$AE$2&amp;if($K35="S1","a",if($K35="S2","b","")),Students!$A:$A,AP$2)+countifs(Students!$T:$T,$AE35,Students!$U:$U,$AE$2&amp;if($K35="S1","a",if($K35="S2","b","")),Students!$A:$A,AP$2)+countifs(Students!$V:$V,$AE35,Students!$W:$W,$AE$2&amp;if($K35="S1","a",if($K35="S2","b","")),Students!$A:$A,AP$2)+
countifs(Students!$D:$D,$AH35,Students!$E:$E,$AH$2&amp;if($K35="S1","a",if($K35="S2","b","")),Students!$A:$A,AP$2)+countifs(Students!$F:$F,$AH35,Students!$G:$G,$AH$2&amp;if($K35="S1","a",if($K35="S2","b","")),Students!$A:$A,AP$2)+countifs(Students!$H:$H,$AH35,Students!$I:$I,$AH$2&amp;if($K35="S1","a",if($K35="S2","b","")),Students!$A:$A,AP$2)+countifs(Students!$J:$J,$AH35,Students!$K:$K,$AH$2&amp;if($K35="S1","a",if($K35="S2","b","")),Students!$A:$A,AP$2)+countifs(Students!$L:$L,$AH35,Students!$M:$M,$AH$2&amp;if($K35="S1","a",if($K35="S2","b","")),Students!$A:$A,AP$2)+countifs(Students!$N:$N,$AH35,Students!$O:$O,$AH$2&amp;if($K35="S1","a",if($K35="S2","b","")),Students!$A:$A,AP$2)+countifs(Students!$P:$P,$AH35,Students!$Q:$Q,$AH$2&amp;if($K35="S1","a",if($K35="S2","b","")),Students!$A:$A,AP$2)+countifs(Students!$R:$R,$AH35,Students!$S:$S,$AH$2&amp;if($K35="S1","a",if($K35="S2","b","")),Students!$A:$A,AP$2)+countifs(Students!$T:$T,$AH35,Students!$U:$U,$AH$2&amp;if($K35="S1","a",if($K35="S2","b","")),Students!$A:$A,AP$2)+countifs(Students!$V:$V,$AH35,Students!$W:$W,$AH$2&amp;if($K35="S1","a",if($K35="S2","b","")),Students!$A:$A,AP$2)+
countifs(Students!$D:$D,$AK35,Students!$E:$E,$AK$2&amp;if($K35="S1","a",if($K35="S2","b","")),Students!$A:$A,AP$2)+countifs(Students!$F:$F,$AK35,Students!$G:$G,$AK$2&amp;if($K35="S1","a",if($K35="S2","b","")),Students!$A:$A,AP$2)+countifs(Students!$H:$H,$AK35,Students!$I:$I,$AK$2&amp;if($K35="S1","a",if($K35="S2","b","")),Students!$A:$A,AP$2)+countifs(Students!$J:$J,$AK35,Students!$K:$K,$AK$2&amp;if($K35="S1","a",if($K35="S2","b","")),Students!$A:$A,AP$2)+countifs(Students!$L:$L,$AK35,Students!$M:$M,$AK$2&amp;if($K35="S1","a",if($K35="S2","b","")),Students!$A:$A,AP$2)+countifs(Students!$N:$N,$AK35,Students!$O:$O,$AK$2&amp;if($K35="S1","a",if($K35="S2","b","")),Students!$A:$A,AP$2)+countifs(Students!$P:$P,$AK35,Students!$Q:$Q,$AK$2&amp;if($K35="S1","a",if($K35="S2","b","")),Students!$A:$A,AP$2)+countifs(Students!$R:$R,$AK35,Students!$S:$S,$AK$2&amp;if($K35="S1","a",if($K35="S2","b","")),Students!$A:$A,AP$2)+countifs(Students!$T:$T,$AK35,Students!$U:$U,$AK$2&amp;if($K35="S1","a",if($K35="S2","b","")),Students!$A:$A,AP$2)+countifs(Students!$V:$V,$AK35,Students!$W:$W,$AK$2&amp;if($K35="S1","a",if($K35="S2","b","")),Students!$A:$A,AP$2))</f>
        <v>0</v>
      </c>
      <c r="AQ35" s="102">
        <f>if($L35="","",countifs(Students!$D:$D,$P35,Students!$E:$E,$P$2&amp;if($K35="S1","a",if($K35="S2","b","")),Students!$A:$A,AQ$2)+countifs(Students!$F:$F,$P35,Students!$G:$G,$P$2&amp;if($K35="S1","a",if($K35="S2","b","")),Students!$A:$A,AQ$2)+countifs(Students!$H:$H,$P35,Students!$I:$I,$P$2&amp;if($K35="S1","a",if($K35="S2","b","")),Students!$A:$A,AQ$2)+countifs(Students!$J:$J,$P35,Students!$K:$K,$P$2&amp;if($K35="S1","a",if($K35="S2","b","")),Students!$A:$A,AQ$2)+countifs(Students!$L:$L,$P35,Students!$M:$M,$P$2&amp;if($K35="S1","a",if($K35="S2","b","")),Students!$A:$A,AQ$2)+countifs(Students!$N:$N,$P35,Students!$O:$O,$P$2&amp;if($K35="S1","a",if($K35="S2","b","")),Students!$A:$A,AQ$2)+countifs(Students!$P:$P,$P35,Students!$Q:$Q,$P$2&amp;if($K35="S1","a",if($K35="S2","b","")),Students!$A:$A,AQ$2)+countifs(Students!$R:$R,$P35,Students!$S:$S,$P$2&amp;if($K35="S1","a",if($K35="S2","b","")),Students!$A:$A,AQ$2)+countifs(Students!$T:$T,$P35,Students!$U:$U,$P$2&amp;if($K35="S1","a",if($K35="S2","b","")),Students!$A:$A,AQ$2)+countifs(Students!$V:$V,$P35,Students!$W:$W,$P$2&amp;if($K35="S1","a",if($K35="S2","b","")),Students!$A:$A,AQ$2)+
countifs(Students!$D:$D,$S35,Students!$E:$E,$S$2&amp;if($K35="S1","a",if($K35="S2","b","")),Students!$A:$A,AQ$2)+countifs(Students!$F:$F,$S35,Students!$G:$G,$S$2&amp;if($K35="S1","a",if($K35="S2","b","")),Students!$A:$A,AQ$2)+countifs(Students!$H:$H,$S35,Students!$I:$I,$S$2&amp;if($K35="S1","a",if($K35="S2","b","")),Students!$A:$A,AQ$2)+countifs(Students!$J:$J,$S35,Students!$K:$K,$S$2&amp;if($K35="S1","a",if($K35="S2","b","")),Students!$A:$A,AQ$2)+countifs(Students!$L:$L,$S35,Students!$M:$M,$S$2&amp;if($K35="S1","a",if($K35="S2","b","")),Students!$A:$A,AQ$2)+countifs(Students!$N:$N,$S35,Students!$O:$O,$S$2&amp;if($K35="S1","a",if($K35="S2","b","")),Students!$A:$A,AQ$2)+countifs(Students!$P:$P,$S35,Students!$Q:$Q,$S$2&amp;if($K35="S1","a",if($K35="S2","b","")),Students!$A:$A,AQ$2)+countifs(Students!$R:$R,$S35,Students!$S:$S,$S$2&amp;if($K35="S1","a",if($K35="S2","b","")),Students!$A:$A,AQ$2)+countifs(Students!$T:$T,$S35,Students!$U:$U,$S$2&amp;if($K35="S1","a",if($K35="S2","b","")),Students!$A:$A,AQ$2)+countifs(Students!$V:$V,$S35,Students!$W:$W,$S$2&amp;if($K35="S1","a",if($K35="S2","b","")),Students!$A:$A,AQ$2)+
countifs(Students!$D:$D,$V35,Students!$E:$E,$V$2&amp;if($K35="S1","a",if($K35="S2","b","")),Students!$A:$A,AQ$2)+countifs(Students!$F:$F,$V35,Students!$G:$G,$V$2&amp;if($K35="S1","a",if($K35="S2","b","")),Students!$A:$A,AQ$2)+countifs(Students!$H:$H,$V35,Students!$I:$I,$V$2&amp;if($K35="S1","a",if($K35="S2","b","")),Students!$A:$A,AQ$2)+countifs(Students!$J:$J,$V35,Students!$K:$K,$V$2&amp;if($K35="S1","a",if($K35="S2","b","")),Students!$A:$A,AQ$2)+countifs(Students!$L:$L,$V35,Students!$M:$M,$V$2&amp;if($K35="S1","a",if($K35="S2","b","")),Students!$A:$A,AQ$2)+countifs(Students!$N:$N,$V35,Students!$O:$O,$V$2&amp;if($K35="S1","a",if($K35="S2","b","")),Students!$A:$A,AQ$2)+countifs(Students!$P:$P,$V35,Students!$Q:$Q,$V$2&amp;if($K35="S1","a",if($K35="S2","b","")),Students!$A:$A,AQ$2)+countifs(Students!$R:$R,$V35,Students!$S:$S,$V$2&amp;if($K35="S1","a",if($K35="S2","b","")),Students!$A:$A,AQ$2)+countifs(Students!$T:$T,$V35,Students!$U:$U,$V$2&amp;if($K35="S1","a",if($K35="S2","b","")),Students!$A:$A,AQ$2)+countifs(Students!$V:$V,$V35,Students!$W:$W,$V$2&amp;if($K35="S1","a",if($K35="S2","b","")),Students!$A:$A,AQ$2)+
countifs(Students!$D:$D,$Y35,Students!$E:$E,$Y$2&amp;if($K35="S1","a",if($K35="S2","b","")),Students!$A:$A,AQ$2)+countifs(Students!$F:$F,$Y35,Students!$G:$G,$Y$2&amp;if($K35="S1","a",if($K35="S2","b","")),Students!$A:$A,AQ$2)+countifs(Students!$H:$H,$Y35,Students!$I:$I,$Y$2&amp;if($K35="S1","a",if($K35="S2","b","")),Students!$A:$A,AQ$2)+countifs(Students!$J:$J,$Y35,Students!$K:$K,$Y$2&amp;if($K35="S1","a",if($K35="S2","b","")),Students!$A:$A,AQ$2)+countifs(Students!$L:$L,$Y35,Students!$M:$M,$Y$2&amp;if($K35="S1","a",if($K35="S2","b","")),Students!$A:$A,AQ$2)+countifs(Students!$N:$N,$Y35,Students!$O:$O,$Y$2&amp;if($K35="S1","a",if($K35="S2","b","")),Students!$A:$A,AQ$2)+countifs(Students!$P:$P,$Y35,Students!$Q:$Q,$Y$2&amp;if($K35="S1","a",if($K35="S2","b","")),Students!$A:$A,AQ$2)+countifs(Students!$R:$R,$Y35,Students!$S:$S,$Y$2&amp;if($K35="S1","a",if($K35="S2","b","")),Students!$A:$A,AQ$2)+countifs(Students!$T:$T,$Y35,Students!$U:$U,$Y$2&amp;if($K35="S1","a",if($K35="S2","b","")),Students!$A:$A,AQ$2)+countifs(Students!$V:$V,$Y35,Students!$W:$W,$Y$2&amp;if($K35="S1","a",if($K35="S2","b","")),Students!$A:$A,AQ$2)+
countifs(Students!$D:$D,$AB35,Students!$E:$E,$AB$2&amp;if($K35="S1","a",if($K35="S2","b","")),Students!$A:$A,AQ$2)+countifs(Students!$F:$F,$AB35,Students!$G:$G,$AB$2&amp;if($K35="S1","a",if($K35="S2","b","")),Students!$A:$A,AQ$2)+countifs(Students!$H:$H,$AB35,Students!$I:$I,$AB$2&amp;if($K35="S1","a",if($K35="S2","b","")),Students!$A:$A,AQ$2)+countifs(Students!$J:$J,$AB35,Students!$K:$K,$AB$2&amp;if($K35="S1","a",if($K35="S2","b","")),Students!$A:$A,AQ$2)+countifs(Students!$L:$L,$AB35,Students!$M:$M,$AB$2&amp;if($K35="S1","a",if($K35="S2","b","")),Students!$A:$A,AQ$2)+countifs(Students!$N:$N,$AB35,Students!$O:$O,$AB$2&amp;if($K35="S1","a",if($K35="S2","b","")),Students!$A:$A,AQ$2)+countifs(Students!$P:$P,$AB35,Students!$Q:$Q,$AB$2&amp;if($K35="S1","a",if($K35="S2","b","")),Students!$A:$A,AQ$2)+countifs(Students!$R:$R,$AB35,Students!$S:$S,$AB$2&amp;if($K35="S1","a",if($K35="S2","b","")),Students!$A:$A,AQ$2)+countifs(Students!$T:$T,$AB35,Students!$U:$U,$AB$2&amp;if($K35="S1","a",if($K35="S2","b","")),Students!$A:$A,AQ$2)+countifs(Students!$V:$V,$AB35,Students!$W:$W,$AB$2&amp;if($K35="S1","a",if($K35="S2","b","")),Students!$A:$A,AQ$2)+
countifs(Students!$D:$D,$AE35,Students!$E:$E,$AE$2&amp;if($K35="S1","a",if($K35="S2","b","")),Students!$A:$A,AQ$2)+countifs(Students!$F:$F,$AE35,Students!$G:$G,$AE$2&amp;if($K35="S1","a",if($K35="S2","b","")),Students!$A:$A,AQ$2)+countifs(Students!$H:$H,$AE35,Students!$I:$I,$AE$2&amp;if($K35="S1","a",if($K35="S2","b","")),Students!$A:$A,AQ$2)+countifs(Students!$J:$J,$AE35,Students!$K:$K,$AE$2&amp;if($K35="S1","a",if($K35="S2","b","")),Students!$A:$A,AQ$2)+countifs(Students!$L:$L,$AE35,Students!$M:$M,$AE$2&amp;if($K35="S1","a",if($K35="S2","b","")),Students!$A:$A,AQ$2)+countifs(Students!$N:$N,$AE35,Students!$O:$O,$AE$2&amp;if($K35="S1","a",if($K35="S2","b","")),Students!$A:$A,AQ$2)+countifs(Students!$P:$P,$AE35,Students!$Q:$Q,$AE$2&amp;if($K35="S1","a",if($K35="S2","b","")),Students!$A:$A,AQ$2)+countifs(Students!$R:$R,$AE35,Students!$S:$S,$AE$2&amp;if($K35="S1","a",if($K35="S2","b","")),Students!$A:$A,AQ$2)+countifs(Students!$T:$T,$AE35,Students!$U:$U,$AE$2&amp;if($K35="S1","a",if($K35="S2","b","")),Students!$A:$A,AQ$2)+countifs(Students!$V:$V,$AE35,Students!$W:$W,$AE$2&amp;if($K35="S1","a",if($K35="S2","b","")),Students!$A:$A,AQ$2)+
countifs(Students!$D:$D,$AH35,Students!$E:$E,$AH$2&amp;if($K35="S1","a",if($K35="S2","b","")),Students!$A:$A,AQ$2)+countifs(Students!$F:$F,$AH35,Students!$G:$G,$AH$2&amp;if($K35="S1","a",if($K35="S2","b","")),Students!$A:$A,AQ$2)+countifs(Students!$H:$H,$AH35,Students!$I:$I,$AH$2&amp;if($K35="S1","a",if($K35="S2","b","")),Students!$A:$A,AQ$2)+countifs(Students!$J:$J,$AH35,Students!$K:$K,$AH$2&amp;if($K35="S1","a",if($K35="S2","b","")),Students!$A:$A,AQ$2)+countifs(Students!$L:$L,$AH35,Students!$M:$M,$AH$2&amp;if($K35="S1","a",if($K35="S2","b","")),Students!$A:$A,AQ$2)+countifs(Students!$N:$N,$AH35,Students!$O:$O,$AH$2&amp;if($K35="S1","a",if($K35="S2","b","")),Students!$A:$A,AQ$2)+countifs(Students!$P:$P,$AH35,Students!$Q:$Q,$AH$2&amp;if($K35="S1","a",if($K35="S2","b","")),Students!$A:$A,AQ$2)+countifs(Students!$R:$R,$AH35,Students!$S:$S,$AH$2&amp;if($K35="S1","a",if($K35="S2","b","")),Students!$A:$A,AQ$2)+countifs(Students!$T:$T,$AH35,Students!$U:$U,$AH$2&amp;if($K35="S1","a",if($K35="S2","b","")),Students!$A:$A,AQ$2)+countifs(Students!$V:$V,$AH35,Students!$W:$W,$AH$2&amp;if($K35="S1","a",if($K35="S2","b","")),Students!$A:$A,AQ$2)+
countifs(Students!$D:$D,$AK35,Students!$E:$E,$AK$2&amp;if($K35="S1","a",if($K35="S2","b","")),Students!$A:$A,AQ$2)+countifs(Students!$F:$F,$AK35,Students!$G:$G,$AK$2&amp;if($K35="S1","a",if($K35="S2","b","")),Students!$A:$A,AQ$2)+countifs(Students!$H:$H,$AK35,Students!$I:$I,$AK$2&amp;if($K35="S1","a",if($K35="S2","b","")),Students!$A:$A,AQ$2)+countifs(Students!$J:$J,$AK35,Students!$K:$K,$AK$2&amp;if($K35="S1","a",if($K35="S2","b","")),Students!$A:$A,AQ$2)+countifs(Students!$L:$L,$AK35,Students!$M:$M,$AK$2&amp;if($K35="S1","a",if($K35="S2","b","")),Students!$A:$A,AQ$2)+countifs(Students!$N:$N,$AK35,Students!$O:$O,$AK$2&amp;if($K35="S1","a",if($K35="S2","b","")),Students!$A:$A,AQ$2)+countifs(Students!$P:$P,$AK35,Students!$Q:$Q,$AK$2&amp;if($K35="S1","a",if($K35="S2","b","")),Students!$A:$A,AQ$2)+countifs(Students!$R:$R,$AK35,Students!$S:$S,$AK$2&amp;if($K35="S1","a",if($K35="S2","b","")),Students!$A:$A,AQ$2)+countifs(Students!$T:$T,$AK35,Students!$U:$U,$AK$2&amp;if($K35="S1","a",if($K35="S2","b","")),Students!$A:$A,AQ$2)+countifs(Students!$V:$V,$AK35,Students!$W:$W,$AK$2&amp;if($K35="S1","a",if($K35="S2","b","")),Students!$A:$A,AQ$2))</f>
        <v>0</v>
      </c>
      <c r="AR35" s="102">
        <f>if($L35="","",countifs(Students!$D:$D,$P35,Students!$E:$E,$P$2&amp;if($K35="S1","a",if($K35="S2","b","")),Students!$A:$A,AR$2)+countifs(Students!$F:$F,$P35,Students!$G:$G,$P$2&amp;if($K35="S1","a",if($K35="S2","b","")),Students!$A:$A,AR$2)+countifs(Students!$H:$H,$P35,Students!$I:$I,$P$2&amp;if($K35="S1","a",if($K35="S2","b","")),Students!$A:$A,AR$2)+countifs(Students!$J:$J,$P35,Students!$K:$K,$P$2&amp;if($K35="S1","a",if($K35="S2","b","")),Students!$A:$A,AR$2)+countifs(Students!$L:$L,$P35,Students!$M:$M,$P$2&amp;if($K35="S1","a",if($K35="S2","b","")),Students!$A:$A,AR$2)+countifs(Students!$N:$N,$P35,Students!$O:$O,$P$2&amp;if($K35="S1","a",if($K35="S2","b","")),Students!$A:$A,AR$2)+countifs(Students!$P:$P,$P35,Students!$Q:$Q,$P$2&amp;if($K35="S1","a",if($K35="S2","b","")),Students!$A:$A,AR$2)+countifs(Students!$R:$R,$P35,Students!$S:$S,$P$2&amp;if($K35="S1","a",if($K35="S2","b","")),Students!$A:$A,AR$2)+countifs(Students!$T:$T,$P35,Students!$U:$U,$P$2&amp;if($K35="S1","a",if($K35="S2","b","")),Students!$A:$A,AR$2)+countifs(Students!$V:$V,$P35,Students!$W:$W,$P$2&amp;if($K35="S1","a",if($K35="S2","b","")),Students!$A:$A,AR$2)+
countifs(Students!$D:$D,$S35,Students!$E:$E,$S$2&amp;if($K35="S1","a",if($K35="S2","b","")),Students!$A:$A,AR$2)+countifs(Students!$F:$F,$S35,Students!$G:$G,$S$2&amp;if($K35="S1","a",if($K35="S2","b","")),Students!$A:$A,AR$2)+countifs(Students!$H:$H,$S35,Students!$I:$I,$S$2&amp;if($K35="S1","a",if($K35="S2","b","")),Students!$A:$A,AR$2)+countifs(Students!$J:$J,$S35,Students!$K:$K,$S$2&amp;if($K35="S1","a",if($K35="S2","b","")),Students!$A:$A,AR$2)+countifs(Students!$L:$L,$S35,Students!$M:$M,$S$2&amp;if($K35="S1","a",if($K35="S2","b","")),Students!$A:$A,AR$2)+countifs(Students!$N:$N,$S35,Students!$O:$O,$S$2&amp;if($K35="S1","a",if($K35="S2","b","")),Students!$A:$A,AR$2)+countifs(Students!$P:$P,$S35,Students!$Q:$Q,$S$2&amp;if($K35="S1","a",if($K35="S2","b","")),Students!$A:$A,AR$2)+countifs(Students!$R:$R,$S35,Students!$S:$S,$S$2&amp;if($K35="S1","a",if($K35="S2","b","")),Students!$A:$A,AR$2)+countifs(Students!$T:$T,$S35,Students!$U:$U,$S$2&amp;if($K35="S1","a",if($K35="S2","b","")),Students!$A:$A,AR$2)+countifs(Students!$V:$V,$S35,Students!$W:$W,$S$2&amp;if($K35="S1","a",if($K35="S2","b","")),Students!$A:$A,AR$2)+
countifs(Students!$D:$D,$V35,Students!$E:$E,$V$2&amp;if($K35="S1","a",if($K35="S2","b","")),Students!$A:$A,AR$2)+countifs(Students!$F:$F,$V35,Students!$G:$G,$V$2&amp;if($K35="S1","a",if($K35="S2","b","")),Students!$A:$A,AR$2)+countifs(Students!$H:$H,$V35,Students!$I:$I,$V$2&amp;if($K35="S1","a",if($K35="S2","b","")),Students!$A:$A,AR$2)+countifs(Students!$J:$J,$V35,Students!$K:$K,$V$2&amp;if($K35="S1","a",if($K35="S2","b","")),Students!$A:$A,AR$2)+countifs(Students!$L:$L,$V35,Students!$M:$M,$V$2&amp;if($K35="S1","a",if($K35="S2","b","")),Students!$A:$A,AR$2)+countifs(Students!$N:$N,$V35,Students!$O:$O,$V$2&amp;if($K35="S1","a",if($K35="S2","b","")),Students!$A:$A,AR$2)+countifs(Students!$P:$P,$V35,Students!$Q:$Q,$V$2&amp;if($K35="S1","a",if($K35="S2","b","")),Students!$A:$A,AR$2)+countifs(Students!$R:$R,$V35,Students!$S:$S,$V$2&amp;if($K35="S1","a",if($K35="S2","b","")),Students!$A:$A,AR$2)+countifs(Students!$T:$T,$V35,Students!$U:$U,$V$2&amp;if($K35="S1","a",if($K35="S2","b","")),Students!$A:$A,AR$2)+countifs(Students!$V:$V,$V35,Students!$W:$W,$V$2&amp;if($K35="S1","a",if($K35="S2","b","")),Students!$A:$A,AR$2)+
countifs(Students!$D:$D,$Y35,Students!$E:$E,$Y$2&amp;if($K35="S1","a",if($K35="S2","b","")),Students!$A:$A,AR$2)+countifs(Students!$F:$F,$Y35,Students!$G:$G,$Y$2&amp;if($K35="S1","a",if($K35="S2","b","")),Students!$A:$A,AR$2)+countifs(Students!$H:$H,$Y35,Students!$I:$I,$Y$2&amp;if($K35="S1","a",if($K35="S2","b","")),Students!$A:$A,AR$2)+countifs(Students!$J:$J,$Y35,Students!$K:$K,$Y$2&amp;if($K35="S1","a",if($K35="S2","b","")),Students!$A:$A,AR$2)+countifs(Students!$L:$L,$Y35,Students!$M:$M,$Y$2&amp;if($K35="S1","a",if($K35="S2","b","")),Students!$A:$A,AR$2)+countifs(Students!$N:$N,$Y35,Students!$O:$O,$Y$2&amp;if($K35="S1","a",if($K35="S2","b","")),Students!$A:$A,AR$2)+countifs(Students!$P:$P,$Y35,Students!$Q:$Q,$Y$2&amp;if($K35="S1","a",if($K35="S2","b","")),Students!$A:$A,AR$2)+countifs(Students!$R:$R,$Y35,Students!$S:$S,$Y$2&amp;if($K35="S1","a",if($K35="S2","b","")),Students!$A:$A,AR$2)+countifs(Students!$T:$T,$Y35,Students!$U:$U,$Y$2&amp;if($K35="S1","a",if($K35="S2","b","")),Students!$A:$A,AR$2)+countifs(Students!$V:$V,$Y35,Students!$W:$W,$Y$2&amp;if($K35="S1","a",if($K35="S2","b","")),Students!$A:$A,AR$2)+
countifs(Students!$D:$D,$AB35,Students!$E:$E,$AB$2&amp;if($K35="S1","a",if($K35="S2","b","")),Students!$A:$A,AR$2)+countifs(Students!$F:$F,$AB35,Students!$G:$G,$AB$2&amp;if($K35="S1","a",if($K35="S2","b","")),Students!$A:$A,AR$2)+countifs(Students!$H:$H,$AB35,Students!$I:$I,$AB$2&amp;if($K35="S1","a",if($K35="S2","b","")),Students!$A:$A,AR$2)+countifs(Students!$J:$J,$AB35,Students!$K:$K,$AB$2&amp;if($K35="S1","a",if($K35="S2","b","")),Students!$A:$A,AR$2)+countifs(Students!$L:$L,$AB35,Students!$M:$M,$AB$2&amp;if($K35="S1","a",if($K35="S2","b","")),Students!$A:$A,AR$2)+countifs(Students!$N:$N,$AB35,Students!$O:$O,$AB$2&amp;if($K35="S1","a",if($K35="S2","b","")),Students!$A:$A,AR$2)+countifs(Students!$P:$P,$AB35,Students!$Q:$Q,$AB$2&amp;if($K35="S1","a",if($K35="S2","b","")),Students!$A:$A,AR$2)+countifs(Students!$R:$R,$AB35,Students!$S:$S,$AB$2&amp;if($K35="S1","a",if($K35="S2","b","")),Students!$A:$A,AR$2)+countifs(Students!$T:$T,$AB35,Students!$U:$U,$AB$2&amp;if($K35="S1","a",if($K35="S2","b","")),Students!$A:$A,AR$2)+countifs(Students!$V:$V,$AB35,Students!$W:$W,$AB$2&amp;if($K35="S1","a",if($K35="S2","b","")),Students!$A:$A,AR$2)+
countifs(Students!$D:$D,$AE35,Students!$E:$E,$AE$2&amp;if($K35="S1","a",if($K35="S2","b","")),Students!$A:$A,AR$2)+countifs(Students!$F:$F,$AE35,Students!$G:$G,$AE$2&amp;if($K35="S1","a",if($K35="S2","b","")),Students!$A:$A,AR$2)+countifs(Students!$H:$H,$AE35,Students!$I:$I,$AE$2&amp;if($K35="S1","a",if($K35="S2","b","")),Students!$A:$A,AR$2)+countifs(Students!$J:$J,$AE35,Students!$K:$K,$AE$2&amp;if($K35="S1","a",if($K35="S2","b","")),Students!$A:$A,AR$2)+countifs(Students!$L:$L,$AE35,Students!$M:$M,$AE$2&amp;if($K35="S1","a",if($K35="S2","b","")),Students!$A:$A,AR$2)+countifs(Students!$N:$N,$AE35,Students!$O:$O,$AE$2&amp;if($K35="S1","a",if($K35="S2","b","")),Students!$A:$A,AR$2)+countifs(Students!$P:$P,$AE35,Students!$Q:$Q,$AE$2&amp;if($K35="S1","a",if($K35="S2","b","")),Students!$A:$A,AR$2)+countifs(Students!$R:$R,$AE35,Students!$S:$S,$AE$2&amp;if($K35="S1","a",if($K35="S2","b","")),Students!$A:$A,AR$2)+countifs(Students!$T:$T,$AE35,Students!$U:$U,$AE$2&amp;if($K35="S1","a",if($K35="S2","b","")),Students!$A:$A,AR$2)+countifs(Students!$V:$V,$AE35,Students!$W:$W,$AE$2&amp;if($K35="S1","a",if($K35="S2","b","")),Students!$A:$A,AR$2)+
countifs(Students!$D:$D,$AH35,Students!$E:$E,$AH$2&amp;if($K35="S1","a",if($K35="S2","b","")),Students!$A:$A,AR$2)+countifs(Students!$F:$F,$AH35,Students!$G:$G,$AH$2&amp;if($K35="S1","a",if($K35="S2","b","")),Students!$A:$A,AR$2)+countifs(Students!$H:$H,$AH35,Students!$I:$I,$AH$2&amp;if($K35="S1","a",if($K35="S2","b","")),Students!$A:$A,AR$2)+countifs(Students!$J:$J,$AH35,Students!$K:$K,$AH$2&amp;if($K35="S1","a",if($K35="S2","b","")),Students!$A:$A,AR$2)+countifs(Students!$L:$L,$AH35,Students!$M:$M,$AH$2&amp;if($K35="S1","a",if($K35="S2","b","")),Students!$A:$A,AR$2)+countifs(Students!$N:$N,$AH35,Students!$O:$O,$AH$2&amp;if($K35="S1","a",if($K35="S2","b","")),Students!$A:$A,AR$2)+countifs(Students!$P:$P,$AH35,Students!$Q:$Q,$AH$2&amp;if($K35="S1","a",if($K35="S2","b","")),Students!$A:$A,AR$2)+countifs(Students!$R:$R,$AH35,Students!$S:$S,$AH$2&amp;if($K35="S1","a",if($K35="S2","b","")),Students!$A:$A,AR$2)+countifs(Students!$T:$T,$AH35,Students!$U:$U,$AH$2&amp;if($K35="S1","a",if($K35="S2","b","")),Students!$A:$A,AR$2)+countifs(Students!$V:$V,$AH35,Students!$W:$W,$AH$2&amp;if($K35="S1","a",if($K35="S2","b","")),Students!$A:$A,AR$2)+
countifs(Students!$D:$D,$AK35,Students!$E:$E,$AK$2&amp;if($K35="S1","a",if($K35="S2","b","")),Students!$A:$A,AR$2)+countifs(Students!$F:$F,$AK35,Students!$G:$G,$AK$2&amp;if($K35="S1","a",if($K35="S2","b","")),Students!$A:$A,AR$2)+countifs(Students!$H:$H,$AK35,Students!$I:$I,$AK$2&amp;if($K35="S1","a",if($K35="S2","b","")),Students!$A:$A,AR$2)+countifs(Students!$J:$J,$AK35,Students!$K:$K,$AK$2&amp;if($K35="S1","a",if($K35="S2","b","")),Students!$A:$A,AR$2)+countifs(Students!$L:$L,$AK35,Students!$M:$M,$AK$2&amp;if($K35="S1","a",if($K35="S2","b","")),Students!$A:$A,AR$2)+countifs(Students!$N:$N,$AK35,Students!$O:$O,$AK$2&amp;if($K35="S1","a",if($K35="S2","b","")),Students!$A:$A,AR$2)+countifs(Students!$P:$P,$AK35,Students!$Q:$Q,$AK$2&amp;if($K35="S1","a",if($K35="S2","b","")),Students!$A:$A,AR$2)+countifs(Students!$R:$R,$AK35,Students!$S:$S,$AK$2&amp;if($K35="S1","a",if($K35="S2","b","")),Students!$A:$A,AR$2)+countifs(Students!$T:$T,$AK35,Students!$U:$U,$AK$2&amp;if($K35="S1","a",if($K35="S2","b","")),Students!$A:$A,AR$2)+countifs(Students!$V:$V,$AK35,Students!$W:$W,$AK$2&amp;if($K35="S1","a",if($K35="S2","b","")),Students!$A:$A,AR$2))</f>
        <v>28</v>
      </c>
      <c r="AS35" s="102">
        <f>if($L35="","",countifs(Students!$D:$D,$P35,Students!$E:$E,$P$2&amp;if($K35="S1","a",if($K35="S2","b","")),Students!$A:$A,AS$2)+countifs(Students!$F:$F,$P35,Students!$G:$G,$P$2&amp;if($K35="S1","a",if($K35="S2","b","")),Students!$A:$A,AS$2)+countifs(Students!$H:$H,$P35,Students!$I:$I,$P$2&amp;if($K35="S1","a",if($K35="S2","b","")),Students!$A:$A,AS$2)+countifs(Students!$J:$J,$P35,Students!$K:$K,$P$2&amp;if($K35="S1","a",if($K35="S2","b","")),Students!$A:$A,AS$2)+countifs(Students!$L:$L,$P35,Students!$M:$M,$P$2&amp;if($K35="S1","a",if($K35="S2","b","")),Students!$A:$A,AS$2)+countifs(Students!$N:$N,$P35,Students!$O:$O,$P$2&amp;if($K35="S1","a",if($K35="S2","b","")),Students!$A:$A,AS$2)+countifs(Students!$P:$P,$P35,Students!$Q:$Q,$P$2&amp;if($K35="S1","a",if($K35="S2","b","")),Students!$A:$A,AS$2)+countifs(Students!$R:$R,$P35,Students!$S:$S,$P$2&amp;if($K35="S1","a",if($K35="S2","b","")),Students!$A:$A,AS$2)+countifs(Students!$T:$T,$P35,Students!$U:$U,$P$2&amp;if($K35="S1","a",if($K35="S2","b","")),Students!$A:$A,AS$2)+countifs(Students!$V:$V,$P35,Students!$W:$W,$P$2&amp;if($K35="S1","a",if($K35="S2","b","")),Students!$A:$A,AS$2)+
countifs(Students!$D:$D,$S35,Students!$E:$E,$S$2&amp;if($K35="S1","a",if($K35="S2","b","")),Students!$A:$A,AS$2)+countifs(Students!$F:$F,$S35,Students!$G:$G,$S$2&amp;if($K35="S1","a",if($K35="S2","b","")),Students!$A:$A,AS$2)+countifs(Students!$H:$H,$S35,Students!$I:$I,$S$2&amp;if($K35="S1","a",if($K35="S2","b","")),Students!$A:$A,AS$2)+countifs(Students!$J:$J,$S35,Students!$K:$K,$S$2&amp;if($K35="S1","a",if($K35="S2","b","")),Students!$A:$A,AS$2)+countifs(Students!$L:$L,$S35,Students!$M:$M,$S$2&amp;if($K35="S1","a",if($K35="S2","b","")),Students!$A:$A,AS$2)+countifs(Students!$N:$N,$S35,Students!$O:$O,$S$2&amp;if($K35="S1","a",if($K35="S2","b","")),Students!$A:$A,AS$2)+countifs(Students!$P:$P,$S35,Students!$Q:$Q,$S$2&amp;if($K35="S1","a",if($K35="S2","b","")),Students!$A:$A,AS$2)+countifs(Students!$R:$R,$S35,Students!$S:$S,$S$2&amp;if($K35="S1","a",if($K35="S2","b","")),Students!$A:$A,AS$2)+countifs(Students!$T:$T,$S35,Students!$U:$U,$S$2&amp;if($K35="S1","a",if($K35="S2","b","")),Students!$A:$A,AS$2)+countifs(Students!$V:$V,$S35,Students!$W:$W,$S$2&amp;if($K35="S1","a",if($K35="S2","b","")),Students!$A:$A,AS$2)+
countifs(Students!$D:$D,$V35,Students!$E:$E,$V$2&amp;if($K35="S1","a",if($K35="S2","b","")),Students!$A:$A,AS$2)+countifs(Students!$F:$F,$V35,Students!$G:$G,$V$2&amp;if($K35="S1","a",if($K35="S2","b","")),Students!$A:$A,AS$2)+countifs(Students!$H:$H,$V35,Students!$I:$I,$V$2&amp;if($K35="S1","a",if($K35="S2","b","")),Students!$A:$A,AS$2)+countifs(Students!$J:$J,$V35,Students!$K:$K,$V$2&amp;if($K35="S1","a",if($K35="S2","b","")),Students!$A:$A,AS$2)+countifs(Students!$L:$L,$V35,Students!$M:$M,$V$2&amp;if($K35="S1","a",if($K35="S2","b","")),Students!$A:$A,AS$2)+countifs(Students!$N:$N,$V35,Students!$O:$O,$V$2&amp;if($K35="S1","a",if($K35="S2","b","")),Students!$A:$A,AS$2)+countifs(Students!$P:$P,$V35,Students!$Q:$Q,$V$2&amp;if($K35="S1","a",if($K35="S2","b","")),Students!$A:$A,AS$2)+countifs(Students!$R:$R,$V35,Students!$S:$S,$V$2&amp;if($K35="S1","a",if($K35="S2","b","")),Students!$A:$A,AS$2)+countifs(Students!$T:$T,$V35,Students!$U:$U,$V$2&amp;if($K35="S1","a",if($K35="S2","b","")),Students!$A:$A,AS$2)+countifs(Students!$V:$V,$V35,Students!$W:$W,$V$2&amp;if($K35="S1","a",if($K35="S2","b","")),Students!$A:$A,AS$2)+
countifs(Students!$D:$D,$Y35,Students!$E:$E,$Y$2&amp;if($K35="S1","a",if($K35="S2","b","")),Students!$A:$A,AS$2)+countifs(Students!$F:$F,$Y35,Students!$G:$G,$Y$2&amp;if($K35="S1","a",if($K35="S2","b","")),Students!$A:$A,AS$2)+countifs(Students!$H:$H,$Y35,Students!$I:$I,$Y$2&amp;if($K35="S1","a",if($K35="S2","b","")),Students!$A:$A,AS$2)+countifs(Students!$J:$J,$Y35,Students!$K:$K,$Y$2&amp;if($K35="S1","a",if($K35="S2","b","")),Students!$A:$A,AS$2)+countifs(Students!$L:$L,$Y35,Students!$M:$M,$Y$2&amp;if($K35="S1","a",if($K35="S2","b","")),Students!$A:$A,AS$2)+countifs(Students!$N:$N,$Y35,Students!$O:$O,$Y$2&amp;if($K35="S1","a",if($K35="S2","b","")),Students!$A:$A,AS$2)+countifs(Students!$P:$P,$Y35,Students!$Q:$Q,$Y$2&amp;if($K35="S1","a",if($K35="S2","b","")),Students!$A:$A,AS$2)+countifs(Students!$R:$R,$Y35,Students!$S:$S,$Y$2&amp;if($K35="S1","a",if($K35="S2","b","")),Students!$A:$A,AS$2)+countifs(Students!$T:$T,$Y35,Students!$U:$U,$Y$2&amp;if($K35="S1","a",if($K35="S2","b","")),Students!$A:$A,AS$2)+countifs(Students!$V:$V,$Y35,Students!$W:$W,$Y$2&amp;if($K35="S1","a",if($K35="S2","b","")),Students!$A:$A,AS$2)+
countifs(Students!$D:$D,$AB35,Students!$E:$E,$AB$2&amp;if($K35="S1","a",if($K35="S2","b","")),Students!$A:$A,AS$2)+countifs(Students!$F:$F,$AB35,Students!$G:$G,$AB$2&amp;if($K35="S1","a",if($K35="S2","b","")),Students!$A:$A,AS$2)+countifs(Students!$H:$H,$AB35,Students!$I:$I,$AB$2&amp;if($K35="S1","a",if($K35="S2","b","")),Students!$A:$A,AS$2)+countifs(Students!$J:$J,$AB35,Students!$K:$K,$AB$2&amp;if($K35="S1","a",if($K35="S2","b","")),Students!$A:$A,AS$2)+countifs(Students!$L:$L,$AB35,Students!$M:$M,$AB$2&amp;if($K35="S1","a",if($K35="S2","b","")),Students!$A:$A,AS$2)+countifs(Students!$N:$N,$AB35,Students!$O:$O,$AB$2&amp;if($K35="S1","a",if($K35="S2","b","")),Students!$A:$A,AS$2)+countifs(Students!$P:$P,$AB35,Students!$Q:$Q,$AB$2&amp;if($K35="S1","a",if($K35="S2","b","")),Students!$A:$A,AS$2)+countifs(Students!$R:$R,$AB35,Students!$S:$S,$AB$2&amp;if($K35="S1","a",if($K35="S2","b","")),Students!$A:$A,AS$2)+countifs(Students!$T:$T,$AB35,Students!$U:$U,$AB$2&amp;if($K35="S1","a",if($K35="S2","b","")),Students!$A:$A,AS$2)+countifs(Students!$V:$V,$AB35,Students!$W:$W,$AB$2&amp;if($K35="S1","a",if($K35="S2","b","")),Students!$A:$A,AS$2)+
countifs(Students!$D:$D,$AE35,Students!$E:$E,$AE$2&amp;if($K35="S1","a",if($K35="S2","b","")),Students!$A:$A,AS$2)+countifs(Students!$F:$F,$AE35,Students!$G:$G,$AE$2&amp;if($K35="S1","a",if($K35="S2","b","")),Students!$A:$A,AS$2)+countifs(Students!$H:$H,$AE35,Students!$I:$I,$AE$2&amp;if($K35="S1","a",if($K35="S2","b","")),Students!$A:$A,AS$2)+countifs(Students!$J:$J,$AE35,Students!$K:$K,$AE$2&amp;if($K35="S1","a",if($K35="S2","b","")),Students!$A:$A,AS$2)+countifs(Students!$L:$L,$AE35,Students!$M:$M,$AE$2&amp;if($K35="S1","a",if($K35="S2","b","")),Students!$A:$A,AS$2)+countifs(Students!$N:$N,$AE35,Students!$O:$O,$AE$2&amp;if($K35="S1","a",if($K35="S2","b","")),Students!$A:$A,AS$2)+countifs(Students!$P:$P,$AE35,Students!$Q:$Q,$AE$2&amp;if($K35="S1","a",if($K35="S2","b","")),Students!$A:$A,AS$2)+countifs(Students!$R:$R,$AE35,Students!$S:$S,$AE$2&amp;if($K35="S1","a",if($K35="S2","b","")),Students!$A:$A,AS$2)+countifs(Students!$T:$T,$AE35,Students!$U:$U,$AE$2&amp;if($K35="S1","a",if($K35="S2","b","")),Students!$A:$A,AS$2)+countifs(Students!$V:$V,$AE35,Students!$W:$W,$AE$2&amp;if($K35="S1","a",if($K35="S2","b","")),Students!$A:$A,AS$2)+
countifs(Students!$D:$D,$AH35,Students!$E:$E,$AH$2&amp;if($K35="S1","a",if($K35="S2","b","")),Students!$A:$A,AS$2)+countifs(Students!$F:$F,$AH35,Students!$G:$G,$AH$2&amp;if($K35="S1","a",if($K35="S2","b","")),Students!$A:$A,AS$2)+countifs(Students!$H:$H,$AH35,Students!$I:$I,$AH$2&amp;if($K35="S1","a",if($K35="S2","b","")),Students!$A:$A,AS$2)+countifs(Students!$J:$J,$AH35,Students!$K:$K,$AH$2&amp;if($K35="S1","a",if($K35="S2","b","")),Students!$A:$A,AS$2)+countifs(Students!$L:$L,$AH35,Students!$M:$M,$AH$2&amp;if($K35="S1","a",if($K35="S2","b","")),Students!$A:$A,AS$2)+countifs(Students!$N:$N,$AH35,Students!$O:$O,$AH$2&amp;if($K35="S1","a",if($K35="S2","b","")),Students!$A:$A,AS$2)+countifs(Students!$P:$P,$AH35,Students!$Q:$Q,$AH$2&amp;if($K35="S1","a",if($K35="S2","b","")),Students!$A:$A,AS$2)+countifs(Students!$R:$R,$AH35,Students!$S:$S,$AH$2&amp;if($K35="S1","a",if($K35="S2","b","")),Students!$A:$A,AS$2)+countifs(Students!$T:$T,$AH35,Students!$U:$U,$AH$2&amp;if($K35="S1","a",if($K35="S2","b","")),Students!$A:$A,AS$2)+countifs(Students!$V:$V,$AH35,Students!$W:$W,$AH$2&amp;if($K35="S1","a",if($K35="S2","b","")),Students!$A:$A,AS$2)+
countifs(Students!$D:$D,$AK35,Students!$E:$E,$AK$2&amp;if($K35="S1","a",if($K35="S2","b","")),Students!$A:$A,AS$2)+countifs(Students!$F:$F,$AK35,Students!$G:$G,$AK$2&amp;if($K35="S1","a",if($K35="S2","b","")),Students!$A:$A,AS$2)+countifs(Students!$H:$H,$AK35,Students!$I:$I,$AK$2&amp;if($K35="S1","a",if($K35="S2","b","")),Students!$A:$A,AS$2)+countifs(Students!$J:$J,$AK35,Students!$K:$K,$AK$2&amp;if($K35="S1","a",if($K35="S2","b","")),Students!$A:$A,AS$2)+countifs(Students!$L:$L,$AK35,Students!$M:$M,$AK$2&amp;if($K35="S1","a",if($K35="S2","b","")),Students!$A:$A,AS$2)+countifs(Students!$N:$N,$AK35,Students!$O:$O,$AK$2&amp;if($K35="S1","a",if($K35="S2","b","")),Students!$A:$A,AS$2)+countifs(Students!$P:$P,$AK35,Students!$Q:$Q,$AK$2&amp;if($K35="S1","a",if($K35="S2","b","")),Students!$A:$A,AS$2)+countifs(Students!$R:$R,$AK35,Students!$S:$S,$AK$2&amp;if($K35="S1","a",if($K35="S2","b","")),Students!$A:$A,AS$2)+countifs(Students!$T:$T,$AK35,Students!$U:$U,$AK$2&amp;if($K35="S1","a",if($K35="S2","b","")),Students!$A:$A,AS$2)+countifs(Students!$V:$V,$AK35,Students!$W:$W,$AK$2&amp;if($K35="S1","a",if($K35="S2","b","")),Students!$A:$A,AS$2))</f>
        <v>63</v>
      </c>
    </row>
    <row r="36">
      <c r="J36" s="87">
        <v>99.0</v>
      </c>
      <c r="K36" s="88"/>
      <c r="L36" s="58" t="s">
        <v>110</v>
      </c>
      <c r="M36" s="107"/>
      <c r="N36" s="87">
        <v>2.0</v>
      </c>
      <c r="O36" s="87">
        <f>IFERROR(__xludf.DUMMYFUNCTION("3*counta((transpose(filter(P36:AM36,P36:AM36&lt;&gt;"""",isnumber(P36:AM36)=false))))"),15.0)</f>
        <v>15</v>
      </c>
      <c r="P36" s="103"/>
      <c r="Q36" s="101"/>
      <c r="R36" s="98" t="s">
        <v>22</v>
      </c>
      <c r="S36" s="101" t="s">
        <v>107</v>
      </c>
      <c r="T36" s="101">
        <v>4.0</v>
      </c>
      <c r="U36" s="92">
        <v>20.0</v>
      </c>
      <c r="V36" s="91" t="s">
        <v>107</v>
      </c>
      <c r="W36" s="91">
        <v>5.0</v>
      </c>
      <c r="X36" s="92">
        <v>19.0</v>
      </c>
      <c r="Y36" s="90" t="s">
        <v>111</v>
      </c>
      <c r="Z36" s="91">
        <v>1.0</v>
      </c>
      <c r="AA36" s="92">
        <v>22.0</v>
      </c>
      <c r="AB36" s="101" t="s">
        <v>111</v>
      </c>
      <c r="AC36" s="101">
        <v>2.0</v>
      </c>
      <c r="AD36" s="98">
        <v>20.0</v>
      </c>
      <c r="AE36" s="90"/>
      <c r="AF36" s="91"/>
      <c r="AG36" s="92" t="s">
        <v>22</v>
      </c>
      <c r="AH36" s="101"/>
      <c r="AI36" s="97"/>
      <c r="AJ36" s="98" t="s">
        <v>22</v>
      </c>
      <c r="AK36" s="91" t="s">
        <v>107</v>
      </c>
      <c r="AL36" s="97">
        <v>6.0</v>
      </c>
      <c r="AM36" s="98">
        <v>18.0</v>
      </c>
      <c r="AN36" s="99"/>
      <c r="AO36" s="52">
        <f t="shared" si="2"/>
        <v>99</v>
      </c>
      <c r="AP36" s="102">
        <f>if($L36="","",countifs(Students!$D:$D,$P36,Students!$E:$E,$P$2&amp;if($K36="S1","a",if($K36="S2","b","")),Students!$A:$A,AP$2)+countifs(Students!$F:$F,$P36,Students!$G:$G,$P$2&amp;if($K36="S1","a",if($K36="S2","b","")),Students!$A:$A,AP$2)+countifs(Students!$H:$H,$P36,Students!$I:$I,$P$2&amp;if($K36="S1","a",if($K36="S2","b","")),Students!$A:$A,AP$2)+countifs(Students!$J:$J,$P36,Students!$K:$K,$P$2&amp;if($K36="S1","a",if($K36="S2","b","")),Students!$A:$A,AP$2)+countifs(Students!$L:$L,$P36,Students!$M:$M,$P$2&amp;if($K36="S1","a",if($K36="S2","b","")),Students!$A:$A,AP$2)+countifs(Students!$N:$N,$P36,Students!$O:$O,$P$2&amp;if($K36="S1","a",if($K36="S2","b","")),Students!$A:$A,AP$2)+countifs(Students!$P:$P,$P36,Students!$Q:$Q,$P$2&amp;if($K36="S1","a",if($K36="S2","b","")),Students!$A:$A,AP$2)+countifs(Students!$R:$R,$P36,Students!$S:$S,$P$2&amp;if($K36="S1","a",if($K36="S2","b","")),Students!$A:$A,AP$2)+countifs(Students!$T:$T,$P36,Students!$U:$U,$P$2&amp;if($K36="S1","a",if($K36="S2","b","")),Students!$A:$A,AP$2)+countifs(Students!$V:$V,$P36,Students!$W:$W,$P$2&amp;if($K36="S1","a",if($K36="S2","b","")),Students!$A:$A,AP$2)+
countifs(Students!$D:$D,$S36,Students!$E:$E,$S$2&amp;if($K36="S1","a",if($K36="S2","b","")),Students!$A:$A,AP$2)+countifs(Students!$F:$F,$S36,Students!$G:$G,$S$2&amp;if($K36="S1","a",if($K36="S2","b","")),Students!$A:$A,AP$2)+countifs(Students!$H:$H,$S36,Students!$I:$I,$S$2&amp;if($K36="S1","a",if($K36="S2","b","")),Students!$A:$A,AP$2)+countifs(Students!$J:$J,$S36,Students!$K:$K,$S$2&amp;if($K36="S1","a",if($K36="S2","b","")),Students!$A:$A,AP$2)+countifs(Students!$L:$L,$S36,Students!$M:$M,$S$2&amp;if($K36="S1","a",if($K36="S2","b","")),Students!$A:$A,AP$2)+countifs(Students!$N:$N,$S36,Students!$O:$O,$S$2&amp;if($K36="S1","a",if($K36="S2","b","")),Students!$A:$A,AP$2)+countifs(Students!$P:$P,$S36,Students!$Q:$Q,$S$2&amp;if($K36="S1","a",if($K36="S2","b","")),Students!$A:$A,AP$2)+countifs(Students!$R:$R,$S36,Students!$S:$S,$S$2&amp;if($K36="S1","a",if($K36="S2","b","")),Students!$A:$A,AP$2)+countifs(Students!$T:$T,$S36,Students!$U:$U,$S$2&amp;if($K36="S1","a",if($K36="S2","b","")),Students!$A:$A,AP$2)+countifs(Students!$V:$V,$S36,Students!$W:$W,$S$2&amp;if($K36="S1","a",if($K36="S2","b","")),Students!$A:$A,AP$2)+
countifs(Students!$D:$D,$V36,Students!$E:$E,$V$2&amp;if($K36="S1","a",if($K36="S2","b","")),Students!$A:$A,AP$2)+countifs(Students!$F:$F,$V36,Students!$G:$G,$V$2&amp;if($K36="S1","a",if($K36="S2","b","")),Students!$A:$A,AP$2)+countifs(Students!$H:$H,$V36,Students!$I:$I,$V$2&amp;if($K36="S1","a",if($K36="S2","b","")),Students!$A:$A,AP$2)+countifs(Students!$J:$J,$V36,Students!$K:$K,$V$2&amp;if($K36="S1","a",if($K36="S2","b","")),Students!$A:$A,AP$2)+countifs(Students!$L:$L,$V36,Students!$M:$M,$V$2&amp;if($K36="S1","a",if($K36="S2","b","")),Students!$A:$A,AP$2)+countifs(Students!$N:$N,$V36,Students!$O:$O,$V$2&amp;if($K36="S1","a",if($K36="S2","b","")),Students!$A:$A,AP$2)+countifs(Students!$P:$P,$V36,Students!$Q:$Q,$V$2&amp;if($K36="S1","a",if($K36="S2","b","")),Students!$A:$A,AP$2)+countifs(Students!$R:$R,$V36,Students!$S:$S,$V$2&amp;if($K36="S1","a",if($K36="S2","b","")),Students!$A:$A,AP$2)+countifs(Students!$T:$T,$V36,Students!$U:$U,$V$2&amp;if($K36="S1","a",if($K36="S2","b","")),Students!$A:$A,AP$2)+countifs(Students!$V:$V,$V36,Students!$W:$W,$V$2&amp;if($K36="S1","a",if($K36="S2","b","")),Students!$A:$A,AP$2)+
countifs(Students!$D:$D,$Y36,Students!$E:$E,$Y$2&amp;if($K36="S1","a",if($K36="S2","b","")),Students!$A:$A,AP$2)+countifs(Students!$F:$F,$Y36,Students!$G:$G,$Y$2&amp;if($K36="S1","a",if($K36="S2","b","")),Students!$A:$A,AP$2)+countifs(Students!$H:$H,$Y36,Students!$I:$I,$Y$2&amp;if($K36="S1","a",if($K36="S2","b","")),Students!$A:$A,AP$2)+countifs(Students!$J:$J,$Y36,Students!$K:$K,$Y$2&amp;if($K36="S1","a",if($K36="S2","b","")),Students!$A:$A,AP$2)+countifs(Students!$L:$L,$Y36,Students!$M:$M,$Y$2&amp;if($K36="S1","a",if($K36="S2","b","")),Students!$A:$A,AP$2)+countifs(Students!$N:$N,$Y36,Students!$O:$O,$Y$2&amp;if($K36="S1","a",if($K36="S2","b","")),Students!$A:$A,AP$2)+countifs(Students!$P:$P,$Y36,Students!$Q:$Q,$Y$2&amp;if($K36="S1","a",if($K36="S2","b","")),Students!$A:$A,AP$2)+countifs(Students!$R:$R,$Y36,Students!$S:$S,$Y$2&amp;if($K36="S1","a",if($K36="S2","b","")),Students!$A:$A,AP$2)+countifs(Students!$T:$T,$Y36,Students!$U:$U,$Y$2&amp;if($K36="S1","a",if($K36="S2","b","")),Students!$A:$A,AP$2)+countifs(Students!$V:$V,$Y36,Students!$W:$W,$Y$2&amp;if($K36="S1","a",if($K36="S2","b","")),Students!$A:$A,AP$2)+
countifs(Students!$D:$D,$AB36,Students!$E:$E,$AB$2&amp;if($K36="S1","a",if($K36="S2","b","")),Students!$A:$A,AP$2)+countifs(Students!$F:$F,$AB36,Students!$G:$G,$AB$2&amp;if($K36="S1","a",if($K36="S2","b","")),Students!$A:$A,AP$2)+countifs(Students!$H:$H,$AB36,Students!$I:$I,$AB$2&amp;if($K36="S1","a",if($K36="S2","b","")),Students!$A:$A,AP$2)+countifs(Students!$J:$J,$AB36,Students!$K:$K,$AB$2&amp;if($K36="S1","a",if($K36="S2","b","")),Students!$A:$A,AP$2)+countifs(Students!$L:$L,$AB36,Students!$M:$M,$AB$2&amp;if($K36="S1","a",if($K36="S2","b","")),Students!$A:$A,AP$2)+countifs(Students!$N:$N,$AB36,Students!$O:$O,$AB$2&amp;if($K36="S1","a",if($K36="S2","b","")),Students!$A:$A,AP$2)+countifs(Students!$P:$P,$AB36,Students!$Q:$Q,$AB$2&amp;if($K36="S1","a",if($K36="S2","b","")),Students!$A:$A,AP$2)+countifs(Students!$R:$R,$AB36,Students!$S:$S,$AB$2&amp;if($K36="S1","a",if($K36="S2","b","")),Students!$A:$A,AP$2)+countifs(Students!$T:$T,$AB36,Students!$U:$U,$AB$2&amp;if($K36="S1","a",if($K36="S2","b","")),Students!$A:$A,AP$2)+countifs(Students!$V:$V,$AB36,Students!$W:$W,$AB$2&amp;if($K36="S1","a",if($K36="S2","b","")),Students!$A:$A,AP$2)+
countifs(Students!$D:$D,$AE37,Students!$E:$E,$AE$2&amp;if($K36="S1","a",if($K36="S2","b","")),Students!$A:$A,AP$2)+countifs(Students!$F:$F,$AE37,Students!$G:$G,$AE$2&amp;if($K36="S1","a",if($K36="S2","b","")),Students!$A:$A,AP$2)+countifs(Students!$H:$H,$AE37,Students!$I:$I,$AE$2&amp;if($K36="S1","a",if($K36="S2","b","")),Students!$A:$A,AP$2)+countifs(Students!$J:$J,$AE37,Students!$K:$K,$AE$2&amp;if($K36="S1","a",if($K36="S2","b","")),Students!$A:$A,AP$2)+countifs(Students!$L:$L,$AE37,Students!$M:$M,$AE$2&amp;if($K36="S1","a",if($K36="S2","b","")),Students!$A:$A,AP$2)+countifs(Students!$N:$N,$AE37,Students!$O:$O,$AE$2&amp;if($K36="S1","a",if($K36="S2","b","")),Students!$A:$A,AP$2)+countifs(Students!$P:$P,$AE37,Students!$Q:$Q,$AE$2&amp;if($K36="S1","a",if($K36="S2","b","")),Students!$A:$A,AP$2)+countifs(Students!$R:$R,$AE37,Students!$S:$S,$AE$2&amp;if($K36="S1","a",if($K36="S2","b","")),Students!$A:$A,AP$2)+countifs(Students!$T:$T,$AE37,Students!$U:$U,$AE$2&amp;if($K36="S1","a",if($K36="S2","b","")),Students!$A:$A,AP$2)+countifs(Students!$V:$V,$AE37,Students!$W:$W,$AE$2&amp;if($K36="S1","a",if($K36="S2","b","")),Students!$A:$A,AP$2)+
countifs(Students!$D:$D,$AH36,Students!$E:$E,$AH$2&amp;if($K36="S1","a",if($K36="S2","b","")),Students!$A:$A,AP$2)+countifs(Students!$F:$F,$AH36,Students!$G:$G,$AH$2&amp;if($K36="S1","a",if($K36="S2","b","")),Students!$A:$A,AP$2)+countifs(Students!$H:$H,$AH36,Students!$I:$I,$AH$2&amp;if($K36="S1","a",if($K36="S2","b","")),Students!$A:$A,AP$2)+countifs(Students!$J:$J,$AH36,Students!$K:$K,$AH$2&amp;if($K36="S1","a",if($K36="S2","b","")),Students!$A:$A,AP$2)+countifs(Students!$L:$L,$AH36,Students!$M:$M,$AH$2&amp;if($K36="S1","a",if($K36="S2","b","")),Students!$A:$A,AP$2)+countifs(Students!$N:$N,$AH36,Students!$O:$O,$AH$2&amp;if($K36="S1","a",if($K36="S2","b","")),Students!$A:$A,AP$2)+countifs(Students!$P:$P,$AH36,Students!$Q:$Q,$AH$2&amp;if($K36="S1","a",if($K36="S2","b","")),Students!$A:$A,AP$2)+countifs(Students!$R:$R,$AH36,Students!$S:$S,$AH$2&amp;if($K36="S1","a",if($K36="S2","b","")),Students!$A:$A,AP$2)+countifs(Students!$T:$T,$AH36,Students!$U:$U,$AH$2&amp;if($K36="S1","a",if($K36="S2","b","")),Students!$A:$A,AP$2)+countifs(Students!$V:$V,$AH36,Students!$W:$W,$AH$2&amp;if($K36="S1","a",if($K36="S2","b","")),Students!$A:$A,AP$2)+
countifs(Students!$D:$D,$AK36,Students!$E:$E,$AK$2&amp;if($K36="S1","a",if($K36="S2","b","")),Students!$A:$A,AP$2)+countifs(Students!$F:$F,$AK36,Students!$G:$G,$AK$2&amp;if($K36="S1","a",if($K36="S2","b","")),Students!$A:$A,AP$2)+countifs(Students!$H:$H,$AK36,Students!$I:$I,$AK$2&amp;if($K36="S1","a",if($K36="S2","b","")),Students!$A:$A,AP$2)+countifs(Students!$J:$J,$AK36,Students!$K:$K,$AK$2&amp;if($K36="S1","a",if($K36="S2","b","")),Students!$A:$A,AP$2)+countifs(Students!$L:$L,$AK36,Students!$M:$M,$AK$2&amp;if($K36="S1","a",if($K36="S2","b","")),Students!$A:$A,AP$2)+countifs(Students!$N:$N,$AK36,Students!$O:$O,$AK$2&amp;if($K36="S1","a",if($K36="S2","b","")),Students!$A:$A,AP$2)+countifs(Students!$P:$P,$AK36,Students!$Q:$Q,$AK$2&amp;if($K36="S1","a",if($K36="S2","b","")),Students!$A:$A,AP$2)+countifs(Students!$R:$R,$AK36,Students!$S:$S,$AK$2&amp;if($K36="S1","a",if($K36="S2","b","")),Students!$A:$A,AP$2)+countifs(Students!$T:$T,$AK36,Students!$U:$U,$AK$2&amp;if($K36="S1","a",if($K36="S2","b","")),Students!$A:$A,AP$2)+countifs(Students!$V:$V,$AK36,Students!$W:$W,$AK$2&amp;if($K36="S1","a",if($K36="S2","b","")),Students!$A:$A,AP$2))</f>
        <v>0</v>
      </c>
      <c r="AQ36" s="102">
        <f>if($L36="","",countifs(Students!$D:$D,$P36,Students!$E:$E,$P$2&amp;if($K36="S1","a",if($K36="S2","b","")),Students!$A:$A,AQ$2)+countifs(Students!$F:$F,$P36,Students!$G:$G,$P$2&amp;if($K36="S1","a",if($K36="S2","b","")),Students!$A:$A,AQ$2)+countifs(Students!$H:$H,$P36,Students!$I:$I,$P$2&amp;if($K36="S1","a",if($K36="S2","b","")),Students!$A:$A,AQ$2)+countifs(Students!$J:$J,$P36,Students!$K:$K,$P$2&amp;if($K36="S1","a",if($K36="S2","b","")),Students!$A:$A,AQ$2)+countifs(Students!$L:$L,$P36,Students!$M:$M,$P$2&amp;if($K36="S1","a",if($K36="S2","b","")),Students!$A:$A,AQ$2)+countifs(Students!$N:$N,$P36,Students!$O:$O,$P$2&amp;if($K36="S1","a",if($K36="S2","b","")),Students!$A:$A,AQ$2)+countifs(Students!$P:$P,$P36,Students!$Q:$Q,$P$2&amp;if($K36="S1","a",if($K36="S2","b","")),Students!$A:$A,AQ$2)+countifs(Students!$R:$R,$P36,Students!$S:$S,$P$2&amp;if($K36="S1","a",if($K36="S2","b","")),Students!$A:$A,AQ$2)+countifs(Students!$T:$T,$P36,Students!$U:$U,$P$2&amp;if($K36="S1","a",if($K36="S2","b","")),Students!$A:$A,AQ$2)+countifs(Students!$V:$V,$P36,Students!$W:$W,$P$2&amp;if($K36="S1","a",if($K36="S2","b","")),Students!$A:$A,AQ$2)+
countifs(Students!$D:$D,$S36,Students!$E:$E,$S$2&amp;if($K36="S1","a",if($K36="S2","b","")),Students!$A:$A,AQ$2)+countifs(Students!$F:$F,$S36,Students!$G:$G,$S$2&amp;if($K36="S1","a",if($K36="S2","b","")),Students!$A:$A,AQ$2)+countifs(Students!$H:$H,$S36,Students!$I:$I,$S$2&amp;if($K36="S1","a",if($K36="S2","b","")),Students!$A:$A,AQ$2)+countifs(Students!$J:$J,$S36,Students!$K:$K,$S$2&amp;if($K36="S1","a",if($K36="S2","b","")),Students!$A:$A,AQ$2)+countifs(Students!$L:$L,$S36,Students!$M:$M,$S$2&amp;if($K36="S1","a",if($K36="S2","b","")),Students!$A:$A,AQ$2)+countifs(Students!$N:$N,$S36,Students!$O:$O,$S$2&amp;if($K36="S1","a",if($K36="S2","b","")),Students!$A:$A,AQ$2)+countifs(Students!$P:$P,$S36,Students!$Q:$Q,$S$2&amp;if($K36="S1","a",if($K36="S2","b","")),Students!$A:$A,AQ$2)+countifs(Students!$R:$R,$S36,Students!$S:$S,$S$2&amp;if($K36="S1","a",if($K36="S2","b","")),Students!$A:$A,AQ$2)+countifs(Students!$T:$T,$S36,Students!$U:$U,$S$2&amp;if($K36="S1","a",if($K36="S2","b","")),Students!$A:$A,AQ$2)+countifs(Students!$V:$V,$S36,Students!$W:$W,$S$2&amp;if($K36="S1","a",if($K36="S2","b","")),Students!$A:$A,AQ$2)+
countifs(Students!$D:$D,$V36,Students!$E:$E,$V$2&amp;if($K36="S1","a",if($K36="S2","b","")),Students!$A:$A,AQ$2)+countifs(Students!$F:$F,$V36,Students!$G:$G,$V$2&amp;if($K36="S1","a",if($K36="S2","b","")),Students!$A:$A,AQ$2)+countifs(Students!$H:$H,$V36,Students!$I:$I,$V$2&amp;if($K36="S1","a",if($K36="S2","b","")),Students!$A:$A,AQ$2)+countifs(Students!$J:$J,$V36,Students!$K:$K,$V$2&amp;if($K36="S1","a",if($K36="S2","b","")),Students!$A:$A,AQ$2)+countifs(Students!$L:$L,$V36,Students!$M:$M,$V$2&amp;if($K36="S1","a",if($K36="S2","b","")),Students!$A:$A,AQ$2)+countifs(Students!$N:$N,$V36,Students!$O:$O,$V$2&amp;if($K36="S1","a",if($K36="S2","b","")),Students!$A:$A,AQ$2)+countifs(Students!$P:$P,$V36,Students!$Q:$Q,$V$2&amp;if($K36="S1","a",if($K36="S2","b","")),Students!$A:$A,AQ$2)+countifs(Students!$R:$R,$V36,Students!$S:$S,$V$2&amp;if($K36="S1","a",if($K36="S2","b","")),Students!$A:$A,AQ$2)+countifs(Students!$T:$T,$V36,Students!$U:$U,$V$2&amp;if($K36="S1","a",if($K36="S2","b","")),Students!$A:$A,AQ$2)+countifs(Students!$V:$V,$V36,Students!$W:$W,$V$2&amp;if($K36="S1","a",if($K36="S2","b","")),Students!$A:$A,AQ$2)+
countifs(Students!$D:$D,$Y36,Students!$E:$E,$Y$2&amp;if($K36="S1","a",if($K36="S2","b","")),Students!$A:$A,AQ$2)+countifs(Students!$F:$F,$Y36,Students!$G:$G,$Y$2&amp;if($K36="S1","a",if($K36="S2","b","")),Students!$A:$A,AQ$2)+countifs(Students!$H:$H,$Y36,Students!$I:$I,$Y$2&amp;if($K36="S1","a",if($K36="S2","b","")),Students!$A:$A,AQ$2)+countifs(Students!$J:$J,$Y36,Students!$K:$K,$Y$2&amp;if($K36="S1","a",if($K36="S2","b","")),Students!$A:$A,AQ$2)+countifs(Students!$L:$L,$Y36,Students!$M:$M,$Y$2&amp;if($K36="S1","a",if($K36="S2","b","")),Students!$A:$A,AQ$2)+countifs(Students!$N:$N,$Y36,Students!$O:$O,$Y$2&amp;if($K36="S1","a",if($K36="S2","b","")),Students!$A:$A,AQ$2)+countifs(Students!$P:$P,$Y36,Students!$Q:$Q,$Y$2&amp;if($K36="S1","a",if($K36="S2","b","")),Students!$A:$A,AQ$2)+countifs(Students!$R:$R,$Y36,Students!$S:$S,$Y$2&amp;if($K36="S1","a",if($K36="S2","b","")),Students!$A:$A,AQ$2)+countifs(Students!$T:$T,$Y36,Students!$U:$U,$Y$2&amp;if($K36="S1","a",if($K36="S2","b","")),Students!$A:$A,AQ$2)+countifs(Students!$V:$V,$Y36,Students!$W:$W,$Y$2&amp;if($K36="S1","a",if($K36="S2","b","")),Students!$A:$A,AQ$2)+
countifs(Students!$D:$D,$AB36,Students!$E:$E,$AB$2&amp;if($K36="S1","a",if($K36="S2","b","")),Students!$A:$A,AQ$2)+countifs(Students!$F:$F,$AB36,Students!$G:$G,$AB$2&amp;if($K36="S1","a",if($K36="S2","b","")),Students!$A:$A,AQ$2)+countifs(Students!$H:$H,$AB36,Students!$I:$I,$AB$2&amp;if($K36="S1","a",if($K36="S2","b","")),Students!$A:$A,AQ$2)+countifs(Students!$J:$J,$AB36,Students!$K:$K,$AB$2&amp;if($K36="S1","a",if($K36="S2","b","")),Students!$A:$A,AQ$2)+countifs(Students!$L:$L,$AB36,Students!$M:$M,$AB$2&amp;if($K36="S1","a",if($K36="S2","b","")),Students!$A:$A,AQ$2)+countifs(Students!$N:$N,$AB36,Students!$O:$O,$AB$2&amp;if($K36="S1","a",if($K36="S2","b","")),Students!$A:$A,AQ$2)+countifs(Students!$P:$P,$AB36,Students!$Q:$Q,$AB$2&amp;if($K36="S1","a",if($K36="S2","b","")),Students!$A:$A,AQ$2)+countifs(Students!$R:$R,$AB36,Students!$S:$S,$AB$2&amp;if($K36="S1","a",if($K36="S2","b","")),Students!$A:$A,AQ$2)+countifs(Students!$T:$T,$AB36,Students!$U:$U,$AB$2&amp;if($K36="S1","a",if($K36="S2","b","")),Students!$A:$A,AQ$2)+countifs(Students!$V:$V,$AB36,Students!$W:$W,$AB$2&amp;if($K36="S1","a",if($K36="S2","b","")),Students!$A:$A,AQ$2)+
countifs(Students!$D:$D,$AE37,Students!$E:$E,$AE$2&amp;if($K36="S1","a",if($K36="S2","b","")),Students!$A:$A,AQ$2)+countifs(Students!$F:$F,$AE37,Students!$G:$G,$AE$2&amp;if($K36="S1","a",if($K36="S2","b","")),Students!$A:$A,AQ$2)+countifs(Students!$H:$H,$AE37,Students!$I:$I,$AE$2&amp;if($K36="S1","a",if($K36="S2","b","")),Students!$A:$A,AQ$2)+countifs(Students!$J:$J,$AE37,Students!$K:$K,$AE$2&amp;if($K36="S1","a",if($K36="S2","b","")),Students!$A:$A,AQ$2)+countifs(Students!$L:$L,$AE37,Students!$M:$M,$AE$2&amp;if($K36="S1","a",if($K36="S2","b","")),Students!$A:$A,AQ$2)+countifs(Students!$N:$N,$AE37,Students!$O:$O,$AE$2&amp;if($K36="S1","a",if($K36="S2","b","")),Students!$A:$A,AQ$2)+countifs(Students!$P:$P,$AE37,Students!$Q:$Q,$AE$2&amp;if($K36="S1","a",if($K36="S2","b","")),Students!$A:$A,AQ$2)+countifs(Students!$R:$R,$AE37,Students!$S:$S,$AE$2&amp;if($K36="S1","a",if($K36="S2","b","")),Students!$A:$A,AQ$2)+countifs(Students!$T:$T,$AE37,Students!$U:$U,$AE$2&amp;if($K36="S1","a",if($K36="S2","b","")),Students!$A:$A,AQ$2)+countifs(Students!$V:$V,$AE37,Students!$W:$W,$AE$2&amp;if($K36="S1","a",if($K36="S2","b","")),Students!$A:$A,AQ$2)+
countifs(Students!$D:$D,$AH36,Students!$E:$E,$AH$2&amp;if($K36="S1","a",if($K36="S2","b","")),Students!$A:$A,AQ$2)+countifs(Students!$F:$F,$AH36,Students!$G:$G,$AH$2&amp;if($K36="S1","a",if($K36="S2","b","")),Students!$A:$A,AQ$2)+countifs(Students!$H:$H,$AH36,Students!$I:$I,$AH$2&amp;if($K36="S1","a",if($K36="S2","b","")),Students!$A:$A,AQ$2)+countifs(Students!$J:$J,$AH36,Students!$K:$K,$AH$2&amp;if($K36="S1","a",if($K36="S2","b","")),Students!$A:$A,AQ$2)+countifs(Students!$L:$L,$AH36,Students!$M:$M,$AH$2&amp;if($K36="S1","a",if($K36="S2","b","")),Students!$A:$A,AQ$2)+countifs(Students!$N:$N,$AH36,Students!$O:$O,$AH$2&amp;if($K36="S1","a",if($K36="S2","b","")),Students!$A:$A,AQ$2)+countifs(Students!$P:$P,$AH36,Students!$Q:$Q,$AH$2&amp;if($K36="S1","a",if($K36="S2","b","")),Students!$A:$A,AQ$2)+countifs(Students!$R:$R,$AH36,Students!$S:$S,$AH$2&amp;if($K36="S1","a",if($K36="S2","b","")),Students!$A:$A,AQ$2)+countifs(Students!$T:$T,$AH36,Students!$U:$U,$AH$2&amp;if($K36="S1","a",if($K36="S2","b","")),Students!$A:$A,AQ$2)+countifs(Students!$V:$V,$AH36,Students!$W:$W,$AH$2&amp;if($K36="S1","a",if($K36="S2","b","")),Students!$A:$A,AQ$2)+
countifs(Students!$D:$D,$AK36,Students!$E:$E,$AK$2&amp;if($K36="S1","a",if($K36="S2","b","")),Students!$A:$A,AQ$2)+countifs(Students!$F:$F,$AK36,Students!$G:$G,$AK$2&amp;if($K36="S1","a",if($K36="S2","b","")),Students!$A:$A,AQ$2)+countifs(Students!$H:$H,$AK36,Students!$I:$I,$AK$2&amp;if($K36="S1","a",if($K36="S2","b","")),Students!$A:$A,AQ$2)+countifs(Students!$J:$J,$AK36,Students!$K:$K,$AK$2&amp;if($K36="S1","a",if($K36="S2","b","")),Students!$A:$A,AQ$2)+countifs(Students!$L:$L,$AK36,Students!$M:$M,$AK$2&amp;if($K36="S1","a",if($K36="S2","b","")),Students!$A:$A,AQ$2)+countifs(Students!$N:$N,$AK36,Students!$O:$O,$AK$2&amp;if($K36="S1","a",if($K36="S2","b","")),Students!$A:$A,AQ$2)+countifs(Students!$P:$P,$AK36,Students!$Q:$Q,$AK$2&amp;if($K36="S1","a",if($K36="S2","b","")),Students!$A:$A,AQ$2)+countifs(Students!$R:$R,$AK36,Students!$S:$S,$AK$2&amp;if($K36="S1","a",if($K36="S2","b","")),Students!$A:$A,AQ$2)+countifs(Students!$T:$T,$AK36,Students!$U:$U,$AK$2&amp;if($K36="S1","a",if($K36="S2","b","")),Students!$A:$A,AQ$2)+countifs(Students!$V:$V,$AK36,Students!$W:$W,$AK$2&amp;if($K36="S1","a",if($K36="S2","b","")),Students!$A:$A,AQ$2))</f>
        <v>0</v>
      </c>
      <c r="AR36" s="102">
        <f>if($L36="","",countifs(Students!$D:$D,$P36,Students!$E:$E,$P$2&amp;if($K36="S1","a",if($K36="S2","b","")),Students!$A:$A,AR$2)+countifs(Students!$F:$F,$P36,Students!$G:$G,$P$2&amp;if($K36="S1","a",if($K36="S2","b","")),Students!$A:$A,AR$2)+countifs(Students!$H:$H,$P36,Students!$I:$I,$P$2&amp;if($K36="S1","a",if($K36="S2","b","")),Students!$A:$A,AR$2)+countifs(Students!$J:$J,$P36,Students!$K:$K,$P$2&amp;if($K36="S1","a",if($K36="S2","b","")),Students!$A:$A,AR$2)+countifs(Students!$L:$L,$P36,Students!$M:$M,$P$2&amp;if($K36="S1","a",if($K36="S2","b","")),Students!$A:$A,AR$2)+countifs(Students!$N:$N,$P36,Students!$O:$O,$P$2&amp;if($K36="S1","a",if($K36="S2","b","")),Students!$A:$A,AR$2)+countifs(Students!$P:$P,$P36,Students!$Q:$Q,$P$2&amp;if($K36="S1","a",if($K36="S2","b","")),Students!$A:$A,AR$2)+countifs(Students!$R:$R,$P36,Students!$S:$S,$P$2&amp;if($K36="S1","a",if($K36="S2","b","")),Students!$A:$A,AR$2)+countifs(Students!$T:$T,$P36,Students!$U:$U,$P$2&amp;if($K36="S1","a",if($K36="S2","b","")),Students!$A:$A,AR$2)+countifs(Students!$V:$V,$P36,Students!$W:$W,$P$2&amp;if($K36="S1","a",if($K36="S2","b","")),Students!$A:$A,AR$2)+
countifs(Students!$D:$D,$S36,Students!$E:$E,$S$2&amp;if($K36="S1","a",if($K36="S2","b","")),Students!$A:$A,AR$2)+countifs(Students!$F:$F,$S36,Students!$G:$G,$S$2&amp;if($K36="S1","a",if($K36="S2","b","")),Students!$A:$A,AR$2)+countifs(Students!$H:$H,$S36,Students!$I:$I,$S$2&amp;if($K36="S1","a",if($K36="S2","b","")),Students!$A:$A,AR$2)+countifs(Students!$J:$J,$S36,Students!$K:$K,$S$2&amp;if($K36="S1","a",if($K36="S2","b","")),Students!$A:$A,AR$2)+countifs(Students!$L:$L,$S36,Students!$M:$M,$S$2&amp;if($K36="S1","a",if($K36="S2","b","")),Students!$A:$A,AR$2)+countifs(Students!$N:$N,$S36,Students!$O:$O,$S$2&amp;if($K36="S1","a",if($K36="S2","b","")),Students!$A:$A,AR$2)+countifs(Students!$P:$P,$S36,Students!$Q:$Q,$S$2&amp;if($K36="S1","a",if($K36="S2","b","")),Students!$A:$A,AR$2)+countifs(Students!$R:$R,$S36,Students!$S:$S,$S$2&amp;if($K36="S1","a",if($K36="S2","b","")),Students!$A:$A,AR$2)+countifs(Students!$T:$T,$S36,Students!$U:$U,$S$2&amp;if($K36="S1","a",if($K36="S2","b","")),Students!$A:$A,AR$2)+countifs(Students!$V:$V,$S36,Students!$W:$W,$S$2&amp;if($K36="S1","a",if($K36="S2","b","")),Students!$A:$A,AR$2)+
countifs(Students!$D:$D,$V36,Students!$E:$E,$V$2&amp;if($K36="S1","a",if($K36="S2","b","")),Students!$A:$A,AR$2)+countifs(Students!$F:$F,$V36,Students!$G:$G,$V$2&amp;if($K36="S1","a",if($K36="S2","b","")),Students!$A:$A,AR$2)+countifs(Students!$H:$H,$V36,Students!$I:$I,$V$2&amp;if($K36="S1","a",if($K36="S2","b","")),Students!$A:$A,AR$2)+countifs(Students!$J:$J,$V36,Students!$K:$K,$V$2&amp;if($K36="S1","a",if($K36="S2","b","")),Students!$A:$A,AR$2)+countifs(Students!$L:$L,$V36,Students!$M:$M,$V$2&amp;if($K36="S1","a",if($K36="S2","b","")),Students!$A:$A,AR$2)+countifs(Students!$N:$N,$V36,Students!$O:$O,$V$2&amp;if($K36="S1","a",if($K36="S2","b","")),Students!$A:$A,AR$2)+countifs(Students!$P:$P,$V36,Students!$Q:$Q,$V$2&amp;if($K36="S1","a",if($K36="S2","b","")),Students!$A:$A,AR$2)+countifs(Students!$R:$R,$V36,Students!$S:$S,$V$2&amp;if($K36="S1","a",if($K36="S2","b","")),Students!$A:$A,AR$2)+countifs(Students!$T:$T,$V36,Students!$U:$U,$V$2&amp;if($K36="S1","a",if($K36="S2","b","")),Students!$A:$A,AR$2)+countifs(Students!$V:$V,$V36,Students!$W:$W,$V$2&amp;if($K36="S1","a",if($K36="S2","b","")),Students!$A:$A,AR$2)+
countifs(Students!$D:$D,$Y36,Students!$E:$E,$Y$2&amp;if($K36="S1","a",if($K36="S2","b","")),Students!$A:$A,AR$2)+countifs(Students!$F:$F,$Y36,Students!$G:$G,$Y$2&amp;if($K36="S1","a",if($K36="S2","b","")),Students!$A:$A,AR$2)+countifs(Students!$H:$H,$Y36,Students!$I:$I,$Y$2&amp;if($K36="S1","a",if($K36="S2","b","")),Students!$A:$A,AR$2)+countifs(Students!$J:$J,$Y36,Students!$K:$K,$Y$2&amp;if($K36="S1","a",if($K36="S2","b","")),Students!$A:$A,AR$2)+countifs(Students!$L:$L,$Y36,Students!$M:$M,$Y$2&amp;if($K36="S1","a",if($K36="S2","b","")),Students!$A:$A,AR$2)+countifs(Students!$N:$N,$Y36,Students!$O:$O,$Y$2&amp;if($K36="S1","a",if($K36="S2","b","")),Students!$A:$A,AR$2)+countifs(Students!$P:$P,$Y36,Students!$Q:$Q,$Y$2&amp;if($K36="S1","a",if($K36="S2","b","")),Students!$A:$A,AR$2)+countifs(Students!$R:$R,$Y36,Students!$S:$S,$Y$2&amp;if($K36="S1","a",if($K36="S2","b","")),Students!$A:$A,AR$2)+countifs(Students!$T:$T,$Y36,Students!$U:$U,$Y$2&amp;if($K36="S1","a",if($K36="S2","b","")),Students!$A:$A,AR$2)+countifs(Students!$V:$V,$Y36,Students!$W:$W,$Y$2&amp;if($K36="S1","a",if($K36="S2","b","")),Students!$A:$A,AR$2)+
countifs(Students!$D:$D,$AB36,Students!$E:$E,$AB$2&amp;if($K36="S1","a",if($K36="S2","b","")),Students!$A:$A,AR$2)+countifs(Students!$F:$F,$AB36,Students!$G:$G,$AB$2&amp;if($K36="S1","a",if($K36="S2","b","")),Students!$A:$A,AR$2)+countifs(Students!$H:$H,$AB36,Students!$I:$I,$AB$2&amp;if($K36="S1","a",if($K36="S2","b","")),Students!$A:$A,AR$2)+countifs(Students!$J:$J,$AB36,Students!$K:$K,$AB$2&amp;if($K36="S1","a",if($K36="S2","b","")),Students!$A:$A,AR$2)+countifs(Students!$L:$L,$AB36,Students!$M:$M,$AB$2&amp;if($K36="S1","a",if($K36="S2","b","")),Students!$A:$A,AR$2)+countifs(Students!$N:$N,$AB36,Students!$O:$O,$AB$2&amp;if($K36="S1","a",if($K36="S2","b","")),Students!$A:$A,AR$2)+countifs(Students!$P:$P,$AB36,Students!$Q:$Q,$AB$2&amp;if($K36="S1","a",if($K36="S2","b","")),Students!$A:$A,AR$2)+countifs(Students!$R:$R,$AB36,Students!$S:$S,$AB$2&amp;if($K36="S1","a",if($K36="S2","b","")),Students!$A:$A,AR$2)+countifs(Students!$T:$T,$AB36,Students!$U:$U,$AB$2&amp;if($K36="S1","a",if($K36="S2","b","")),Students!$A:$A,AR$2)+countifs(Students!$V:$V,$AB36,Students!$W:$W,$AB$2&amp;if($K36="S1","a",if($K36="S2","b","")),Students!$A:$A,AR$2)+
countifs(Students!$D:$D,$AE37,Students!$E:$E,$AE$2&amp;if($K36="S1","a",if($K36="S2","b","")),Students!$A:$A,AR$2)+countifs(Students!$F:$F,$AE37,Students!$G:$G,$AE$2&amp;if($K36="S1","a",if($K36="S2","b","")),Students!$A:$A,AR$2)+countifs(Students!$H:$H,$AE37,Students!$I:$I,$AE$2&amp;if($K36="S1","a",if($K36="S2","b","")),Students!$A:$A,AR$2)+countifs(Students!$J:$J,$AE37,Students!$K:$K,$AE$2&amp;if($K36="S1","a",if($K36="S2","b","")),Students!$A:$A,AR$2)+countifs(Students!$L:$L,$AE37,Students!$M:$M,$AE$2&amp;if($K36="S1","a",if($K36="S2","b","")),Students!$A:$A,AR$2)+countifs(Students!$N:$N,$AE37,Students!$O:$O,$AE$2&amp;if($K36="S1","a",if($K36="S2","b","")),Students!$A:$A,AR$2)+countifs(Students!$P:$P,$AE37,Students!$Q:$Q,$AE$2&amp;if($K36="S1","a",if($K36="S2","b","")),Students!$A:$A,AR$2)+countifs(Students!$R:$R,$AE37,Students!$S:$S,$AE$2&amp;if($K36="S1","a",if($K36="S2","b","")),Students!$A:$A,AR$2)+countifs(Students!$T:$T,$AE37,Students!$U:$U,$AE$2&amp;if($K36="S1","a",if($K36="S2","b","")),Students!$A:$A,AR$2)+countifs(Students!$V:$V,$AE37,Students!$W:$W,$AE$2&amp;if($K36="S1","a",if($K36="S2","b","")),Students!$A:$A,AR$2)+
countifs(Students!$D:$D,$AH36,Students!$E:$E,$AH$2&amp;if($K36="S1","a",if($K36="S2","b","")),Students!$A:$A,AR$2)+countifs(Students!$F:$F,$AH36,Students!$G:$G,$AH$2&amp;if($K36="S1","a",if($K36="S2","b","")),Students!$A:$A,AR$2)+countifs(Students!$H:$H,$AH36,Students!$I:$I,$AH$2&amp;if($K36="S1","a",if($K36="S2","b","")),Students!$A:$A,AR$2)+countifs(Students!$J:$J,$AH36,Students!$K:$K,$AH$2&amp;if($K36="S1","a",if($K36="S2","b","")),Students!$A:$A,AR$2)+countifs(Students!$L:$L,$AH36,Students!$M:$M,$AH$2&amp;if($K36="S1","a",if($K36="S2","b","")),Students!$A:$A,AR$2)+countifs(Students!$N:$N,$AH36,Students!$O:$O,$AH$2&amp;if($K36="S1","a",if($K36="S2","b","")),Students!$A:$A,AR$2)+countifs(Students!$P:$P,$AH36,Students!$Q:$Q,$AH$2&amp;if($K36="S1","a",if($K36="S2","b","")),Students!$A:$A,AR$2)+countifs(Students!$R:$R,$AH36,Students!$S:$S,$AH$2&amp;if($K36="S1","a",if($K36="S2","b","")),Students!$A:$A,AR$2)+countifs(Students!$T:$T,$AH36,Students!$U:$U,$AH$2&amp;if($K36="S1","a",if($K36="S2","b","")),Students!$A:$A,AR$2)+countifs(Students!$V:$V,$AH36,Students!$W:$W,$AH$2&amp;if($K36="S1","a",if($K36="S2","b","")),Students!$A:$A,AR$2)+
countifs(Students!$D:$D,$AK36,Students!$E:$E,$AK$2&amp;if($K36="S1","a",if($K36="S2","b","")),Students!$A:$A,AR$2)+countifs(Students!$F:$F,$AK36,Students!$G:$G,$AK$2&amp;if($K36="S1","a",if($K36="S2","b","")),Students!$A:$A,AR$2)+countifs(Students!$H:$H,$AK36,Students!$I:$I,$AK$2&amp;if($K36="S1","a",if($K36="S2","b","")),Students!$A:$A,AR$2)+countifs(Students!$J:$J,$AK36,Students!$K:$K,$AK$2&amp;if($K36="S1","a",if($K36="S2","b","")),Students!$A:$A,AR$2)+countifs(Students!$L:$L,$AK36,Students!$M:$M,$AK$2&amp;if($K36="S1","a",if($K36="S2","b","")),Students!$A:$A,AR$2)+countifs(Students!$N:$N,$AK36,Students!$O:$O,$AK$2&amp;if($K36="S1","a",if($K36="S2","b","")),Students!$A:$A,AR$2)+countifs(Students!$P:$P,$AK36,Students!$Q:$Q,$AK$2&amp;if($K36="S1","a",if($K36="S2","b","")),Students!$A:$A,AR$2)+countifs(Students!$R:$R,$AK36,Students!$S:$S,$AK$2&amp;if($K36="S1","a",if($K36="S2","b","")),Students!$A:$A,AR$2)+countifs(Students!$T:$T,$AK36,Students!$U:$U,$AK$2&amp;if($K36="S1","a",if($K36="S2","b","")),Students!$A:$A,AR$2)+countifs(Students!$V:$V,$AK36,Students!$W:$W,$AK$2&amp;if($K36="S1","a",if($K36="S2","b","")),Students!$A:$A,AR$2))</f>
        <v>62</v>
      </c>
      <c r="AS36" s="102">
        <f>if($L36="","",countifs(Students!$D:$D,$P36,Students!$E:$E,$P$2&amp;if($K36="S1","a",if($K36="S2","b","")),Students!$A:$A,AS$2)+countifs(Students!$F:$F,$P36,Students!$G:$G,$P$2&amp;if($K36="S1","a",if($K36="S2","b","")),Students!$A:$A,AS$2)+countifs(Students!$H:$H,$P36,Students!$I:$I,$P$2&amp;if($K36="S1","a",if($K36="S2","b","")),Students!$A:$A,AS$2)+countifs(Students!$J:$J,$P36,Students!$K:$K,$P$2&amp;if($K36="S1","a",if($K36="S2","b","")),Students!$A:$A,AS$2)+countifs(Students!$L:$L,$P36,Students!$M:$M,$P$2&amp;if($K36="S1","a",if($K36="S2","b","")),Students!$A:$A,AS$2)+countifs(Students!$N:$N,$P36,Students!$O:$O,$P$2&amp;if($K36="S1","a",if($K36="S2","b","")),Students!$A:$A,AS$2)+countifs(Students!$P:$P,$P36,Students!$Q:$Q,$P$2&amp;if($K36="S1","a",if($K36="S2","b","")),Students!$A:$A,AS$2)+countifs(Students!$R:$R,$P36,Students!$S:$S,$P$2&amp;if($K36="S1","a",if($K36="S2","b","")),Students!$A:$A,AS$2)+countifs(Students!$T:$T,$P36,Students!$U:$U,$P$2&amp;if($K36="S1","a",if($K36="S2","b","")),Students!$A:$A,AS$2)+countifs(Students!$V:$V,$P36,Students!$W:$W,$P$2&amp;if($K36="S1","a",if($K36="S2","b","")),Students!$A:$A,AS$2)+
countifs(Students!$D:$D,$S36,Students!$E:$E,$S$2&amp;if($K36="S1","a",if($K36="S2","b","")),Students!$A:$A,AS$2)+countifs(Students!$F:$F,$S36,Students!$G:$G,$S$2&amp;if($K36="S1","a",if($K36="S2","b","")),Students!$A:$A,AS$2)+countifs(Students!$H:$H,$S36,Students!$I:$I,$S$2&amp;if($K36="S1","a",if($K36="S2","b","")),Students!$A:$A,AS$2)+countifs(Students!$J:$J,$S36,Students!$K:$K,$S$2&amp;if($K36="S1","a",if($K36="S2","b","")),Students!$A:$A,AS$2)+countifs(Students!$L:$L,$S36,Students!$M:$M,$S$2&amp;if($K36="S1","a",if($K36="S2","b","")),Students!$A:$A,AS$2)+countifs(Students!$N:$N,$S36,Students!$O:$O,$S$2&amp;if($K36="S1","a",if($K36="S2","b","")),Students!$A:$A,AS$2)+countifs(Students!$P:$P,$S36,Students!$Q:$Q,$S$2&amp;if($K36="S1","a",if($K36="S2","b","")),Students!$A:$A,AS$2)+countifs(Students!$R:$R,$S36,Students!$S:$S,$S$2&amp;if($K36="S1","a",if($K36="S2","b","")),Students!$A:$A,AS$2)+countifs(Students!$T:$T,$S36,Students!$U:$U,$S$2&amp;if($K36="S1","a",if($K36="S2","b","")),Students!$A:$A,AS$2)+countifs(Students!$V:$V,$S36,Students!$W:$W,$S$2&amp;if($K36="S1","a",if($K36="S2","b","")),Students!$A:$A,AS$2)+
countifs(Students!$D:$D,$V36,Students!$E:$E,$V$2&amp;if($K36="S1","a",if($K36="S2","b","")),Students!$A:$A,AS$2)+countifs(Students!$F:$F,$V36,Students!$G:$G,$V$2&amp;if($K36="S1","a",if($K36="S2","b","")),Students!$A:$A,AS$2)+countifs(Students!$H:$H,$V36,Students!$I:$I,$V$2&amp;if($K36="S1","a",if($K36="S2","b","")),Students!$A:$A,AS$2)+countifs(Students!$J:$J,$V36,Students!$K:$K,$V$2&amp;if($K36="S1","a",if($K36="S2","b","")),Students!$A:$A,AS$2)+countifs(Students!$L:$L,$V36,Students!$M:$M,$V$2&amp;if($K36="S1","a",if($K36="S2","b","")),Students!$A:$A,AS$2)+countifs(Students!$N:$N,$V36,Students!$O:$O,$V$2&amp;if($K36="S1","a",if($K36="S2","b","")),Students!$A:$A,AS$2)+countifs(Students!$P:$P,$V36,Students!$Q:$Q,$V$2&amp;if($K36="S1","a",if($K36="S2","b","")),Students!$A:$A,AS$2)+countifs(Students!$R:$R,$V36,Students!$S:$S,$V$2&amp;if($K36="S1","a",if($K36="S2","b","")),Students!$A:$A,AS$2)+countifs(Students!$T:$T,$V36,Students!$U:$U,$V$2&amp;if($K36="S1","a",if($K36="S2","b","")),Students!$A:$A,AS$2)+countifs(Students!$V:$V,$V36,Students!$W:$W,$V$2&amp;if($K36="S1","a",if($K36="S2","b","")),Students!$A:$A,AS$2)+
countifs(Students!$D:$D,$Y36,Students!$E:$E,$Y$2&amp;if($K36="S1","a",if($K36="S2","b","")),Students!$A:$A,AS$2)+countifs(Students!$F:$F,$Y36,Students!$G:$G,$Y$2&amp;if($K36="S1","a",if($K36="S2","b","")),Students!$A:$A,AS$2)+countifs(Students!$H:$H,$Y36,Students!$I:$I,$Y$2&amp;if($K36="S1","a",if($K36="S2","b","")),Students!$A:$A,AS$2)+countifs(Students!$J:$J,$Y36,Students!$K:$K,$Y$2&amp;if($K36="S1","a",if($K36="S2","b","")),Students!$A:$A,AS$2)+countifs(Students!$L:$L,$Y36,Students!$M:$M,$Y$2&amp;if($K36="S1","a",if($K36="S2","b","")),Students!$A:$A,AS$2)+countifs(Students!$N:$N,$Y36,Students!$O:$O,$Y$2&amp;if($K36="S1","a",if($K36="S2","b","")),Students!$A:$A,AS$2)+countifs(Students!$P:$P,$Y36,Students!$Q:$Q,$Y$2&amp;if($K36="S1","a",if($K36="S2","b","")),Students!$A:$A,AS$2)+countifs(Students!$R:$R,$Y36,Students!$S:$S,$Y$2&amp;if($K36="S1","a",if($K36="S2","b","")),Students!$A:$A,AS$2)+countifs(Students!$T:$T,$Y36,Students!$U:$U,$Y$2&amp;if($K36="S1","a",if($K36="S2","b","")),Students!$A:$A,AS$2)+countifs(Students!$V:$V,$Y36,Students!$W:$W,$Y$2&amp;if($K36="S1","a",if($K36="S2","b","")),Students!$A:$A,AS$2)+
countifs(Students!$D:$D,$AB36,Students!$E:$E,$AB$2&amp;if($K36="S1","a",if($K36="S2","b","")),Students!$A:$A,AS$2)+countifs(Students!$F:$F,$AB36,Students!$G:$G,$AB$2&amp;if($K36="S1","a",if($K36="S2","b","")),Students!$A:$A,AS$2)+countifs(Students!$H:$H,$AB36,Students!$I:$I,$AB$2&amp;if($K36="S1","a",if($K36="S2","b","")),Students!$A:$A,AS$2)+countifs(Students!$J:$J,$AB36,Students!$K:$K,$AB$2&amp;if($K36="S1","a",if($K36="S2","b","")),Students!$A:$A,AS$2)+countifs(Students!$L:$L,$AB36,Students!$M:$M,$AB$2&amp;if($K36="S1","a",if($K36="S2","b","")),Students!$A:$A,AS$2)+countifs(Students!$N:$N,$AB36,Students!$O:$O,$AB$2&amp;if($K36="S1","a",if($K36="S2","b","")),Students!$A:$A,AS$2)+countifs(Students!$P:$P,$AB36,Students!$Q:$Q,$AB$2&amp;if($K36="S1","a",if($K36="S2","b","")),Students!$A:$A,AS$2)+countifs(Students!$R:$R,$AB36,Students!$S:$S,$AB$2&amp;if($K36="S1","a",if($K36="S2","b","")),Students!$A:$A,AS$2)+countifs(Students!$T:$T,$AB36,Students!$U:$U,$AB$2&amp;if($K36="S1","a",if($K36="S2","b","")),Students!$A:$A,AS$2)+countifs(Students!$V:$V,$AB36,Students!$W:$W,$AB$2&amp;if($K36="S1","a",if($K36="S2","b","")),Students!$A:$A,AS$2)+
countifs(Students!$D:$D,$AE37,Students!$E:$E,$AE$2&amp;if($K36="S1","a",if($K36="S2","b","")),Students!$A:$A,AS$2)+countifs(Students!$F:$F,$AE37,Students!$G:$G,$AE$2&amp;if($K36="S1","a",if($K36="S2","b","")),Students!$A:$A,AS$2)+countifs(Students!$H:$H,$AE37,Students!$I:$I,$AE$2&amp;if($K36="S1","a",if($K36="S2","b","")),Students!$A:$A,AS$2)+countifs(Students!$J:$J,$AE37,Students!$K:$K,$AE$2&amp;if($K36="S1","a",if($K36="S2","b","")),Students!$A:$A,AS$2)+countifs(Students!$L:$L,$AE37,Students!$M:$M,$AE$2&amp;if($K36="S1","a",if($K36="S2","b","")),Students!$A:$A,AS$2)+countifs(Students!$N:$N,$AE37,Students!$O:$O,$AE$2&amp;if($K36="S1","a",if($K36="S2","b","")),Students!$A:$A,AS$2)+countifs(Students!$P:$P,$AE37,Students!$Q:$Q,$AE$2&amp;if($K36="S1","a",if($K36="S2","b","")),Students!$A:$A,AS$2)+countifs(Students!$R:$R,$AE37,Students!$S:$S,$AE$2&amp;if($K36="S1","a",if($K36="S2","b","")),Students!$A:$A,AS$2)+countifs(Students!$T:$T,$AE37,Students!$U:$U,$AE$2&amp;if($K36="S1","a",if($K36="S2","b","")),Students!$A:$A,AS$2)+countifs(Students!$V:$V,$AE37,Students!$W:$W,$AE$2&amp;if($K36="S1","a",if($K36="S2","b","")),Students!$A:$A,AS$2)+
countifs(Students!$D:$D,$AH36,Students!$E:$E,$AH$2&amp;if($K36="S1","a",if($K36="S2","b","")),Students!$A:$A,AS$2)+countifs(Students!$F:$F,$AH36,Students!$G:$G,$AH$2&amp;if($K36="S1","a",if($K36="S2","b","")),Students!$A:$A,AS$2)+countifs(Students!$H:$H,$AH36,Students!$I:$I,$AH$2&amp;if($K36="S1","a",if($K36="S2","b","")),Students!$A:$A,AS$2)+countifs(Students!$J:$J,$AH36,Students!$K:$K,$AH$2&amp;if($K36="S1","a",if($K36="S2","b","")),Students!$A:$A,AS$2)+countifs(Students!$L:$L,$AH36,Students!$M:$M,$AH$2&amp;if($K36="S1","a",if($K36="S2","b","")),Students!$A:$A,AS$2)+countifs(Students!$N:$N,$AH36,Students!$O:$O,$AH$2&amp;if($K36="S1","a",if($K36="S2","b","")),Students!$A:$A,AS$2)+countifs(Students!$P:$P,$AH36,Students!$Q:$Q,$AH$2&amp;if($K36="S1","a",if($K36="S2","b","")),Students!$A:$A,AS$2)+countifs(Students!$R:$R,$AH36,Students!$S:$S,$AH$2&amp;if($K36="S1","a",if($K36="S2","b","")),Students!$A:$A,AS$2)+countifs(Students!$T:$T,$AH36,Students!$U:$U,$AH$2&amp;if($K36="S1","a",if($K36="S2","b","")),Students!$A:$A,AS$2)+countifs(Students!$V:$V,$AH36,Students!$W:$W,$AH$2&amp;if($K36="S1","a",if($K36="S2","b","")),Students!$A:$A,AS$2)+
countifs(Students!$D:$D,$AK36,Students!$E:$E,$AK$2&amp;if($K36="S1","a",if($K36="S2","b","")),Students!$A:$A,AS$2)+countifs(Students!$F:$F,$AK36,Students!$G:$G,$AK$2&amp;if($K36="S1","a",if($K36="S2","b","")),Students!$A:$A,AS$2)+countifs(Students!$H:$H,$AK36,Students!$I:$I,$AK$2&amp;if($K36="S1","a",if($K36="S2","b","")),Students!$A:$A,AS$2)+countifs(Students!$J:$J,$AK36,Students!$K:$K,$AK$2&amp;if($K36="S1","a",if($K36="S2","b","")),Students!$A:$A,AS$2)+countifs(Students!$L:$L,$AK36,Students!$M:$M,$AK$2&amp;if($K36="S1","a",if($K36="S2","b","")),Students!$A:$A,AS$2)+countifs(Students!$N:$N,$AK36,Students!$O:$O,$AK$2&amp;if($K36="S1","a",if($K36="S2","b","")),Students!$A:$A,AS$2)+countifs(Students!$P:$P,$AK36,Students!$Q:$Q,$AK$2&amp;if($K36="S1","a",if($K36="S2","b","")),Students!$A:$A,AS$2)+countifs(Students!$R:$R,$AK36,Students!$S:$S,$AK$2&amp;if($K36="S1","a",if($K36="S2","b","")),Students!$A:$A,AS$2)+countifs(Students!$T:$T,$AK36,Students!$U:$U,$AK$2&amp;if($K36="S1","a",if($K36="S2","b","")),Students!$A:$A,AS$2)+countifs(Students!$V:$V,$AK36,Students!$W:$W,$AK$2&amp;if($K36="S1","a",if($K36="S2","b","")),Students!$A:$A,AS$2))</f>
        <v>37</v>
      </c>
    </row>
    <row r="37">
      <c r="J37" s="87">
        <v>98.0</v>
      </c>
      <c r="K37" s="57"/>
      <c r="L37" s="58" t="s">
        <v>112</v>
      </c>
      <c r="M37" s="107"/>
      <c r="N37" s="87">
        <v>1.0</v>
      </c>
      <c r="O37" s="87">
        <f>IFERROR(__xludf.DUMMYFUNCTION("3*counta((transpose(filter(P37:AM37,P37:AM37&lt;&gt;"""",isnumber(P37:AM37)=false))))"),15.0)</f>
        <v>15</v>
      </c>
      <c r="P37" s="90" t="s">
        <v>56</v>
      </c>
      <c r="Q37" s="91">
        <v>1.0</v>
      </c>
      <c r="R37" s="92">
        <v>18.0</v>
      </c>
      <c r="S37" s="91"/>
      <c r="T37" s="91"/>
      <c r="U37" s="92" t="s">
        <v>22</v>
      </c>
      <c r="V37" s="91"/>
      <c r="W37" s="91"/>
      <c r="X37" s="92" t="s">
        <v>22</v>
      </c>
      <c r="Y37" s="90" t="s">
        <v>56</v>
      </c>
      <c r="Z37" s="91">
        <v>2.0</v>
      </c>
      <c r="AA37" s="92">
        <v>16.0</v>
      </c>
      <c r="AB37" s="101" t="s">
        <v>56</v>
      </c>
      <c r="AC37" s="101">
        <v>3.0</v>
      </c>
      <c r="AD37" s="98">
        <v>19.0</v>
      </c>
      <c r="AE37" s="93"/>
      <c r="AF37" s="94"/>
      <c r="AG37" s="95" t="s">
        <v>22</v>
      </c>
      <c r="AH37" s="91" t="s">
        <v>56</v>
      </c>
      <c r="AI37" s="96">
        <v>4.0</v>
      </c>
      <c r="AJ37" s="92">
        <v>24.0</v>
      </c>
      <c r="AK37" s="91" t="s">
        <v>56</v>
      </c>
      <c r="AL37" s="97">
        <v>5.0</v>
      </c>
      <c r="AM37" s="98">
        <v>21.0</v>
      </c>
      <c r="AN37" s="99"/>
      <c r="AO37" s="52">
        <f t="shared" si="2"/>
        <v>98</v>
      </c>
      <c r="AP37" s="102">
        <f>if($L37="","",countifs(Students!$D:$D,$P37,Students!$E:$E,$P$2&amp;if($K37="S1","a",if($K37="S2","b","")),Students!$A:$A,AP$2)+countifs(Students!$F:$F,$P37,Students!$G:$G,$P$2&amp;if($K37="S1","a",if($K37="S2","b","")),Students!$A:$A,AP$2)+countifs(Students!$H:$H,$P37,Students!$I:$I,$P$2&amp;if($K37="S1","a",if($K37="S2","b","")),Students!$A:$A,AP$2)+countifs(Students!$J:$J,$P37,Students!$K:$K,$P$2&amp;if($K37="S1","a",if($K37="S2","b","")),Students!$A:$A,AP$2)+countifs(Students!$L:$L,$P37,Students!$M:$M,$P$2&amp;if($K37="S1","a",if($K37="S2","b","")),Students!$A:$A,AP$2)+countifs(Students!$N:$N,$P37,Students!$O:$O,$P$2&amp;if($K37="S1","a",if($K37="S2","b","")),Students!$A:$A,AP$2)+countifs(Students!$P:$P,$P37,Students!$Q:$Q,$P$2&amp;if($K37="S1","a",if($K37="S2","b","")),Students!$A:$A,AP$2)+countifs(Students!$R:$R,$P37,Students!$S:$S,$P$2&amp;if($K37="S1","a",if($K37="S2","b","")),Students!$A:$A,AP$2)+countifs(Students!$T:$T,$P37,Students!$U:$U,$P$2&amp;if($K37="S1","a",if($K37="S2","b","")),Students!$A:$A,AP$2)+countifs(Students!$V:$V,$P37,Students!$W:$W,$P$2&amp;if($K37="S1","a",if($K37="S2","b","")),Students!$A:$A,AP$2)+
countifs(Students!$D:$D,$S37,Students!$E:$E,$S$2&amp;if($K37="S1","a",if($K37="S2","b","")),Students!$A:$A,AP$2)+countifs(Students!$F:$F,$S37,Students!$G:$G,$S$2&amp;if($K37="S1","a",if($K37="S2","b","")),Students!$A:$A,AP$2)+countifs(Students!$H:$H,$S37,Students!$I:$I,$S$2&amp;if($K37="S1","a",if($K37="S2","b","")),Students!$A:$A,AP$2)+countifs(Students!$J:$J,$S37,Students!$K:$K,$S$2&amp;if($K37="S1","a",if($K37="S2","b","")),Students!$A:$A,AP$2)+countifs(Students!$L:$L,$S37,Students!$M:$M,$S$2&amp;if($K37="S1","a",if($K37="S2","b","")),Students!$A:$A,AP$2)+countifs(Students!$N:$N,$S37,Students!$O:$O,$S$2&amp;if($K37="S1","a",if($K37="S2","b","")),Students!$A:$A,AP$2)+countifs(Students!$P:$P,$S37,Students!$Q:$Q,$S$2&amp;if($K37="S1","a",if($K37="S2","b","")),Students!$A:$A,AP$2)+countifs(Students!$R:$R,$S37,Students!$S:$S,$S$2&amp;if($K37="S1","a",if($K37="S2","b","")),Students!$A:$A,AP$2)+countifs(Students!$T:$T,$S37,Students!$U:$U,$S$2&amp;if($K37="S1","a",if($K37="S2","b","")),Students!$A:$A,AP$2)+countifs(Students!$V:$V,$S37,Students!$W:$W,$S$2&amp;if($K37="S1","a",if($K37="S2","b","")),Students!$A:$A,AP$2)+
countifs(Students!$D:$D,$V37,Students!$E:$E,$V$2&amp;if($K37="S1","a",if($K37="S2","b","")),Students!$A:$A,AP$2)+countifs(Students!$F:$F,$V37,Students!$G:$G,$V$2&amp;if($K37="S1","a",if($K37="S2","b","")),Students!$A:$A,AP$2)+countifs(Students!$H:$H,$V37,Students!$I:$I,$V$2&amp;if($K37="S1","a",if($K37="S2","b","")),Students!$A:$A,AP$2)+countifs(Students!$J:$J,$V37,Students!$K:$K,$V$2&amp;if($K37="S1","a",if($K37="S2","b","")),Students!$A:$A,AP$2)+countifs(Students!$L:$L,$V37,Students!$M:$M,$V$2&amp;if($K37="S1","a",if($K37="S2","b","")),Students!$A:$A,AP$2)+countifs(Students!$N:$N,$V37,Students!$O:$O,$V$2&amp;if($K37="S1","a",if($K37="S2","b","")),Students!$A:$A,AP$2)+countifs(Students!$P:$P,$V37,Students!$Q:$Q,$V$2&amp;if($K37="S1","a",if($K37="S2","b","")),Students!$A:$A,AP$2)+countifs(Students!$R:$R,$V37,Students!$S:$S,$V$2&amp;if($K37="S1","a",if($K37="S2","b","")),Students!$A:$A,AP$2)+countifs(Students!$T:$T,$V37,Students!$U:$U,$V$2&amp;if($K37="S1","a",if($K37="S2","b","")),Students!$A:$A,AP$2)+countifs(Students!$V:$V,$V37,Students!$W:$W,$V$2&amp;if($K37="S1","a",if($K37="S2","b","")),Students!$A:$A,AP$2)+
countifs(Students!$D:$D,$Y37,Students!$E:$E,$Y$2&amp;if($K37="S1","a",if($K37="S2","b","")),Students!$A:$A,AP$2)+countifs(Students!$F:$F,$Y37,Students!$G:$G,$Y$2&amp;if($K37="S1","a",if($K37="S2","b","")),Students!$A:$A,AP$2)+countifs(Students!$H:$H,$Y37,Students!$I:$I,$Y$2&amp;if($K37="S1","a",if($K37="S2","b","")),Students!$A:$A,AP$2)+countifs(Students!$J:$J,$Y37,Students!$K:$K,$Y$2&amp;if($K37="S1","a",if($K37="S2","b","")),Students!$A:$A,AP$2)+countifs(Students!$L:$L,$Y37,Students!$M:$M,$Y$2&amp;if($K37="S1","a",if($K37="S2","b","")),Students!$A:$A,AP$2)+countifs(Students!$N:$N,$Y37,Students!$O:$O,$Y$2&amp;if($K37="S1","a",if($K37="S2","b","")),Students!$A:$A,AP$2)+countifs(Students!$P:$P,$Y37,Students!$Q:$Q,$Y$2&amp;if($K37="S1","a",if($K37="S2","b","")),Students!$A:$A,AP$2)+countifs(Students!$R:$R,$Y37,Students!$S:$S,$Y$2&amp;if($K37="S1","a",if($K37="S2","b","")),Students!$A:$A,AP$2)+countifs(Students!$T:$T,$Y37,Students!$U:$U,$Y$2&amp;if($K37="S1","a",if($K37="S2","b","")),Students!$A:$A,AP$2)+countifs(Students!$V:$V,$Y37,Students!$W:$W,$Y$2&amp;if($K37="S1","a",if($K37="S2","b","")),Students!$A:$A,AP$2)+
countifs(Students!$D:$D,$AB37,Students!$E:$E,$AB$2&amp;if($K37="S1","a",if($K37="S2","b","")),Students!$A:$A,AP$2)+countifs(Students!$F:$F,$AB37,Students!$G:$G,$AB$2&amp;if($K37="S1","a",if($K37="S2","b","")),Students!$A:$A,AP$2)+countifs(Students!$H:$H,$AB37,Students!$I:$I,$AB$2&amp;if($K37="S1","a",if($K37="S2","b","")),Students!$A:$A,AP$2)+countifs(Students!$J:$J,$AB37,Students!$K:$K,$AB$2&amp;if($K37="S1","a",if($K37="S2","b","")),Students!$A:$A,AP$2)+countifs(Students!$L:$L,$AB37,Students!$M:$M,$AB$2&amp;if($K37="S1","a",if($K37="S2","b","")),Students!$A:$A,AP$2)+countifs(Students!$N:$N,$AB37,Students!$O:$O,$AB$2&amp;if($K37="S1","a",if($K37="S2","b","")),Students!$A:$A,AP$2)+countifs(Students!$P:$P,$AB37,Students!$Q:$Q,$AB$2&amp;if($K37="S1","a",if($K37="S2","b","")),Students!$A:$A,AP$2)+countifs(Students!$R:$R,$AB37,Students!$S:$S,$AB$2&amp;if($K37="S1","a",if($K37="S2","b","")),Students!$A:$A,AP$2)+countifs(Students!$T:$T,$AB37,Students!$U:$U,$AB$2&amp;if($K37="S1","a",if($K37="S2","b","")),Students!$A:$A,AP$2)+countifs(Students!$V:$V,$AB37,Students!$W:$W,$AB$2&amp;if($K37="S1","a",if($K37="S2","b","")),Students!$A:$A,AP$2)+
countifs(Students!$D:$D,#REF!,Students!$E:$E,$AE$2&amp;if($K37="S1","a",if($K37="S2","b","")),Students!$A:$A,AP$2)+countifs(Students!$F:$F,#REF!,Students!$G:$G,$AE$2&amp;if($K37="S1","a",if($K37="S2","b","")),Students!$A:$A,AP$2)+countifs(Students!$H:$H,#REF!,Students!$I:$I,$AE$2&amp;if($K37="S1","a",if($K37="S2","b","")),Students!$A:$A,AP$2)+countifs(Students!$J:$J,#REF!,Students!$K:$K,$AE$2&amp;if($K37="S1","a",if($K37="S2","b","")),Students!$A:$A,AP$2)+countifs(Students!$L:$L,#REF!,Students!$M:$M,$AE$2&amp;if($K37="S1","a",if($K37="S2","b","")),Students!$A:$A,AP$2)+countifs(Students!$N:$N,#REF!,Students!$O:$O,$AE$2&amp;if($K37="S1","a",if($K37="S2","b","")),Students!$A:$A,AP$2)+countifs(Students!$P:$P,#REF!,Students!$Q:$Q,$AE$2&amp;if($K37="S1","a",if($K37="S2","b","")),Students!$A:$A,AP$2)+countifs(Students!$R:$R,#REF!,Students!$S:$S,$AE$2&amp;if($K37="S1","a",if($K37="S2","b","")),Students!$A:$A,AP$2)+countifs(Students!$T:$T,#REF!,Students!$U:$U,$AE$2&amp;if($K37="S1","a",if($K37="S2","b","")),Students!$A:$A,AP$2)+countifs(Students!$V:$V,#REF!,Students!$W:$W,$AE$2&amp;if($K37="S1","a",if($K37="S2","b","")),Students!$A:$A,AP$2)+
countifs(Students!$D:$D,$AH37,Students!$E:$E,$AH$2&amp;if($K37="S1","a",if($K37="S2","b","")),Students!$A:$A,AP$2)+countifs(Students!$F:$F,$AH37,Students!$G:$G,$AH$2&amp;if($K37="S1","a",if($K37="S2","b","")),Students!$A:$A,AP$2)+countifs(Students!$H:$H,$AH37,Students!$I:$I,$AH$2&amp;if($K37="S1","a",if($K37="S2","b","")),Students!$A:$A,AP$2)+countifs(Students!$J:$J,$AH37,Students!$K:$K,$AH$2&amp;if($K37="S1","a",if($K37="S2","b","")),Students!$A:$A,AP$2)+countifs(Students!$L:$L,$AH37,Students!$M:$M,$AH$2&amp;if($K37="S1","a",if($K37="S2","b","")),Students!$A:$A,AP$2)+countifs(Students!$N:$N,$AH37,Students!$O:$O,$AH$2&amp;if($K37="S1","a",if($K37="S2","b","")),Students!$A:$A,AP$2)+countifs(Students!$P:$P,$AH37,Students!$Q:$Q,$AH$2&amp;if($K37="S1","a",if($K37="S2","b","")),Students!$A:$A,AP$2)+countifs(Students!$R:$R,$AH37,Students!$S:$S,$AH$2&amp;if($K37="S1","a",if($K37="S2","b","")),Students!$A:$A,AP$2)+countifs(Students!$T:$T,$AH37,Students!$U:$U,$AH$2&amp;if($K37="S1","a",if($K37="S2","b","")),Students!$A:$A,AP$2)+countifs(Students!$V:$V,$AH37,Students!$W:$W,$AH$2&amp;if($K37="S1","a",if($K37="S2","b","")),Students!$A:$A,AP$2)+
countifs(Students!$D:$D,$AK37,Students!$E:$E,$AK$2&amp;if($K37="S1","a",if($K37="S2","b","")),Students!$A:$A,AP$2)+countifs(Students!$F:$F,$AK37,Students!$G:$G,$AK$2&amp;if($K37="S1","a",if($K37="S2","b","")),Students!$A:$A,AP$2)+countifs(Students!$H:$H,$AK37,Students!$I:$I,$AK$2&amp;if($K37="S1","a",if($K37="S2","b","")),Students!$A:$A,AP$2)+countifs(Students!$J:$J,$AK37,Students!$K:$K,$AK$2&amp;if($K37="S1","a",if($K37="S2","b","")),Students!$A:$A,AP$2)+countifs(Students!$L:$L,$AK37,Students!$M:$M,$AK$2&amp;if($K37="S1","a",if($K37="S2","b","")),Students!$A:$A,AP$2)+countifs(Students!$N:$N,$AK37,Students!$O:$O,$AK$2&amp;if($K37="S1","a",if($K37="S2","b","")),Students!$A:$A,AP$2)+countifs(Students!$P:$P,$AK37,Students!$Q:$Q,$AK$2&amp;if($K37="S1","a",if($K37="S2","b","")),Students!$A:$A,AP$2)+countifs(Students!$R:$R,$AK37,Students!$S:$S,$AK$2&amp;if($K37="S1","a",if($K37="S2","b","")),Students!$A:$A,AP$2)+countifs(Students!$T:$T,$AK37,Students!$U:$U,$AK$2&amp;if($K37="S1","a",if($K37="S2","b","")),Students!$A:$A,AP$2)+countifs(Students!$V:$V,$AK37,Students!$W:$W,$AK$2&amp;if($K37="S1","a",if($K37="S2","b","")),Students!$A:$A,AP$2))</f>
        <v>0</v>
      </c>
      <c r="AQ37" s="102">
        <f>if($L37="","",countifs(Students!$D:$D,$P37,Students!$E:$E,$P$2&amp;if($K37="S1","a",if($K37="S2","b","")),Students!$A:$A,AQ$2)+countifs(Students!$F:$F,$P37,Students!$G:$G,$P$2&amp;if($K37="S1","a",if($K37="S2","b","")),Students!$A:$A,AQ$2)+countifs(Students!$H:$H,$P37,Students!$I:$I,$P$2&amp;if($K37="S1","a",if($K37="S2","b","")),Students!$A:$A,AQ$2)+countifs(Students!$J:$J,$P37,Students!$K:$K,$P$2&amp;if($K37="S1","a",if($K37="S2","b","")),Students!$A:$A,AQ$2)+countifs(Students!$L:$L,$P37,Students!$M:$M,$P$2&amp;if($K37="S1","a",if($K37="S2","b","")),Students!$A:$A,AQ$2)+countifs(Students!$N:$N,$P37,Students!$O:$O,$P$2&amp;if($K37="S1","a",if($K37="S2","b","")),Students!$A:$A,AQ$2)+countifs(Students!$P:$P,$P37,Students!$Q:$Q,$P$2&amp;if($K37="S1","a",if($K37="S2","b","")),Students!$A:$A,AQ$2)+countifs(Students!$R:$R,$P37,Students!$S:$S,$P$2&amp;if($K37="S1","a",if($K37="S2","b","")),Students!$A:$A,AQ$2)+countifs(Students!$T:$T,$P37,Students!$U:$U,$P$2&amp;if($K37="S1","a",if($K37="S2","b","")),Students!$A:$A,AQ$2)+countifs(Students!$V:$V,$P37,Students!$W:$W,$P$2&amp;if($K37="S1","a",if($K37="S2","b","")),Students!$A:$A,AQ$2)+
countifs(Students!$D:$D,$S37,Students!$E:$E,$S$2&amp;if($K37="S1","a",if($K37="S2","b","")),Students!$A:$A,AQ$2)+countifs(Students!$F:$F,$S37,Students!$G:$G,$S$2&amp;if($K37="S1","a",if($K37="S2","b","")),Students!$A:$A,AQ$2)+countifs(Students!$H:$H,$S37,Students!$I:$I,$S$2&amp;if($K37="S1","a",if($K37="S2","b","")),Students!$A:$A,AQ$2)+countifs(Students!$J:$J,$S37,Students!$K:$K,$S$2&amp;if($K37="S1","a",if($K37="S2","b","")),Students!$A:$A,AQ$2)+countifs(Students!$L:$L,$S37,Students!$M:$M,$S$2&amp;if($K37="S1","a",if($K37="S2","b","")),Students!$A:$A,AQ$2)+countifs(Students!$N:$N,$S37,Students!$O:$O,$S$2&amp;if($K37="S1","a",if($K37="S2","b","")),Students!$A:$A,AQ$2)+countifs(Students!$P:$P,$S37,Students!$Q:$Q,$S$2&amp;if($K37="S1","a",if($K37="S2","b","")),Students!$A:$A,AQ$2)+countifs(Students!$R:$R,$S37,Students!$S:$S,$S$2&amp;if($K37="S1","a",if($K37="S2","b","")),Students!$A:$A,AQ$2)+countifs(Students!$T:$T,$S37,Students!$U:$U,$S$2&amp;if($K37="S1","a",if($K37="S2","b","")),Students!$A:$A,AQ$2)+countifs(Students!$V:$V,$S37,Students!$W:$W,$S$2&amp;if($K37="S1","a",if($K37="S2","b","")),Students!$A:$A,AQ$2)+
countifs(Students!$D:$D,$V37,Students!$E:$E,$V$2&amp;if($K37="S1","a",if($K37="S2","b","")),Students!$A:$A,AQ$2)+countifs(Students!$F:$F,$V37,Students!$G:$G,$V$2&amp;if($K37="S1","a",if($K37="S2","b","")),Students!$A:$A,AQ$2)+countifs(Students!$H:$H,$V37,Students!$I:$I,$V$2&amp;if($K37="S1","a",if($K37="S2","b","")),Students!$A:$A,AQ$2)+countifs(Students!$J:$J,$V37,Students!$K:$K,$V$2&amp;if($K37="S1","a",if($K37="S2","b","")),Students!$A:$A,AQ$2)+countifs(Students!$L:$L,$V37,Students!$M:$M,$V$2&amp;if($K37="S1","a",if($K37="S2","b","")),Students!$A:$A,AQ$2)+countifs(Students!$N:$N,$V37,Students!$O:$O,$V$2&amp;if($K37="S1","a",if($K37="S2","b","")),Students!$A:$A,AQ$2)+countifs(Students!$P:$P,$V37,Students!$Q:$Q,$V$2&amp;if($K37="S1","a",if($K37="S2","b","")),Students!$A:$A,AQ$2)+countifs(Students!$R:$R,$V37,Students!$S:$S,$V$2&amp;if($K37="S1","a",if($K37="S2","b","")),Students!$A:$A,AQ$2)+countifs(Students!$T:$T,$V37,Students!$U:$U,$V$2&amp;if($K37="S1","a",if($K37="S2","b","")),Students!$A:$A,AQ$2)+countifs(Students!$V:$V,$V37,Students!$W:$W,$V$2&amp;if($K37="S1","a",if($K37="S2","b","")),Students!$A:$A,AQ$2)+
countifs(Students!$D:$D,$Y37,Students!$E:$E,$Y$2&amp;if($K37="S1","a",if($K37="S2","b","")),Students!$A:$A,AQ$2)+countifs(Students!$F:$F,$Y37,Students!$G:$G,$Y$2&amp;if($K37="S1","a",if($K37="S2","b","")),Students!$A:$A,AQ$2)+countifs(Students!$H:$H,$Y37,Students!$I:$I,$Y$2&amp;if($K37="S1","a",if($K37="S2","b","")),Students!$A:$A,AQ$2)+countifs(Students!$J:$J,$Y37,Students!$K:$K,$Y$2&amp;if($K37="S1","a",if($K37="S2","b","")),Students!$A:$A,AQ$2)+countifs(Students!$L:$L,$Y37,Students!$M:$M,$Y$2&amp;if($K37="S1","a",if($K37="S2","b","")),Students!$A:$A,AQ$2)+countifs(Students!$N:$N,$Y37,Students!$O:$O,$Y$2&amp;if($K37="S1","a",if($K37="S2","b","")),Students!$A:$A,AQ$2)+countifs(Students!$P:$P,$Y37,Students!$Q:$Q,$Y$2&amp;if($K37="S1","a",if($K37="S2","b","")),Students!$A:$A,AQ$2)+countifs(Students!$R:$R,$Y37,Students!$S:$S,$Y$2&amp;if($K37="S1","a",if($K37="S2","b","")),Students!$A:$A,AQ$2)+countifs(Students!$T:$T,$Y37,Students!$U:$U,$Y$2&amp;if($K37="S1","a",if($K37="S2","b","")),Students!$A:$A,AQ$2)+countifs(Students!$V:$V,$Y37,Students!$W:$W,$Y$2&amp;if($K37="S1","a",if($K37="S2","b","")),Students!$A:$A,AQ$2)+
countifs(Students!$D:$D,$AB37,Students!$E:$E,$AB$2&amp;if($K37="S1","a",if($K37="S2","b","")),Students!$A:$A,AQ$2)+countifs(Students!$F:$F,$AB37,Students!$G:$G,$AB$2&amp;if($K37="S1","a",if($K37="S2","b","")),Students!$A:$A,AQ$2)+countifs(Students!$H:$H,$AB37,Students!$I:$I,$AB$2&amp;if($K37="S1","a",if($K37="S2","b","")),Students!$A:$A,AQ$2)+countifs(Students!$J:$J,$AB37,Students!$K:$K,$AB$2&amp;if($K37="S1","a",if($K37="S2","b","")),Students!$A:$A,AQ$2)+countifs(Students!$L:$L,$AB37,Students!$M:$M,$AB$2&amp;if($K37="S1","a",if($K37="S2","b","")),Students!$A:$A,AQ$2)+countifs(Students!$N:$N,$AB37,Students!$O:$O,$AB$2&amp;if($K37="S1","a",if($K37="S2","b","")),Students!$A:$A,AQ$2)+countifs(Students!$P:$P,$AB37,Students!$Q:$Q,$AB$2&amp;if($K37="S1","a",if($K37="S2","b","")),Students!$A:$A,AQ$2)+countifs(Students!$R:$R,$AB37,Students!$S:$S,$AB$2&amp;if($K37="S1","a",if($K37="S2","b","")),Students!$A:$A,AQ$2)+countifs(Students!$T:$T,$AB37,Students!$U:$U,$AB$2&amp;if($K37="S1","a",if($K37="S2","b","")),Students!$A:$A,AQ$2)+countifs(Students!$V:$V,$AB37,Students!$W:$W,$AB$2&amp;if($K37="S1","a",if($K37="S2","b","")),Students!$A:$A,AQ$2)+
countifs(Students!$D:$D,#REF!,Students!$E:$E,$AE$2&amp;if($K37="S1","a",if($K37="S2","b","")),Students!$A:$A,AQ$2)+countifs(Students!$F:$F,#REF!,Students!$G:$G,$AE$2&amp;if($K37="S1","a",if($K37="S2","b","")),Students!$A:$A,AQ$2)+countifs(Students!$H:$H,#REF!,Students!$I:$I,$AE$2&amp;if($K37="S1","a",if($K37="S2","b","")),Students!$A:$A,AQ$2)+countifs(Students!$J:$J,#REF!,Students!$K:$K,$AE$2&amp;if($K37="S1","a",if($K37="S2","b","")),Students!$A:$A,AQ$2)+countifs(Students!$L:$L,#REF!,Students!$M:$M,$AE$2&amp;if($K37="S1","a",if($K37="S2","b","")),Students!$A:$A,AQ$2)+countifs(Students!$N:$N,#REF!,Students!$O:$O,$AE$2&amp;if($K37="S1","a",if($K37="S2","b","")),Students!$A:$A,AQ$2)+countifs(Students!$P:$P,#REF!,Students!$Q:$Q,$AE$2&amp;if($K37="S1","a",if($K37="S2","b","")),Students!$A:$A,AQ$2)+countifs(Students!$R:$R,#REF!,Students!$S:$S,$AE$2&amp;if($K37="S1","a",if($K37="S2","b","")),Students!$A:$A,AQ$2)+countifs(Students!$T:$T,#REF!,Students!$U:$U,$AE$2&amp;if($K37="S1","a",if($K37="S2","b","")),Students!$A:$A,AQ$2)+countifs(Students!$V:$V,#REF!,Students!$W:$W,$AE$2&amp;if($K37="S1","a",if($K37="S2","b","")),Students!$A:$A,AQ$2)+
countifs(Students!$D:$D,$AH37,Students!$E:$E,$AH$2&amp;if($K37="S1","a",if($K37="S2","b","")),Students!$A:$A,AQ$2)+countifs(Students!$F:$F,$AH37,Students!$G:$G,$AH$2&amp;if($K37="S1","a",if($K37="S2","b","")),Students!$A:$A,AQ$2)+countifs(Students!$H:$H,$AH37,Students!$I:$I,$AH$2&amp;if($K37="S1","a",if($K37="S2","b","")),Students!$A:$A,AQ$2)+countifs(Students!$J:$J,$AH37,Students!$K:$K,$AH$2&amp;if($K37="S1","a",if($K37="S2","b","")),Students!$A:$A,AQ$2)+countifs(Students!$L:$L,$AH37,Students!$M:$M,$AH$2&amp;if($K37="S1","a",if($K37="S2","b","")),Students!$A:$A,AQ$2)+countifs(Students!$N:$N,$AH37,Students!$O:$O,$AH$2&amp;if($K37="S1","a",if($K37="S2","b","")),Students!$A:$A,AQ$2)+countifs(Students!$P:$P,$AH37,Students!$Q:$Q,$AH$2&amp;if($K37="S1","a",if($K37="S2","b","")),Students!$A:$A,AQ$2)+countifs(Students!$R:$R,$AH37,Students!$S:$S,$AH$2&amp;if($K37="S1","a",if($K37="S2","b","")),Students!$A:$A,AQ$2)+countifs(Students!$T:$T,$AH37,Students!$U:$U,$AH$2&amp;if($K37="S1","a",if($K37="S2","b","")),Students!$A:$A,AQ$2)+countifs(Students!$V:$V,$AH37,Students!$W:$W,$AH$2&amp;if($K37="S1","a",if($K37="S2","b","")),Students!$A:$A,AQ$2)+
countifs(Students!$D:$D,$AK37,Students!$E:$E,$AK$2&amp;if($K37="S1","a",if($K37="S2","b","")),Students!$A:$A,AQ$2)+countifs(Students!$F:$F,$AK37,Students!$G:$G,$AK$2&amp;if($K37="S1","a",if($K37="S2","b","")),Students!$A:$A,AQ$2)+countifs(Students!$H:$H,$AK37,Students!$I:$I,$AK$2&amp;if($K37="S1","a",if($K37="S2","b","")),Students!$A:$A,AQ$2)+countifs(Students!$J:$J,$AK37,Students!$K:$K,$AK$2&amp;if($K37="S1","a",if($K37="S2","b","")),Students!$A:$A,AQ$2)+countifs(Students!$L:$L,$AK37,Students!$M:$M,$AK$2&amp;if($K37="S1","a",if($K37="S2","b","")),Students!$A:$A,AQ$2)+countifs(Students!$N:$N,$AK37,Students!$O:$O,$AK$2&amp;if($K37="S1","a",if($K37="S2","b","")),Students!$A:$A,AQ$2)+countifs(Students!$P:$P,$AK37,Students!$Q:$Q,$AK$2&amp;if($K37="S1","a",if($K37="S2","b","")),Students!$A:$A,AQ$2)+countifs(Students!$R:$R,$AK37,Students!$S:$S,$AK$2&amp;if($K37="S1","a",if($K37="S2","b","")),Students!$A:$A,AQ$2)+countifs(Students!$T:$T,$AK37,Students!$U:$U,$AK$2&amp;if($K37="S1","a",if($K37="S2","b","")),Students!$A:$A,AQ$2)+countifs(Students!$V:$V,$AK37,Students!$W:$W,$AK$2&amp;if($K37="S1","a",if($K37="S2","b","")),Students!$A:$A,AQ$2))</f>
        <v>97</v>
      </c>
      <c r="AR37" s="102">
        <f>if($L37="","",countifs(Students!$D:$D,$P37,Students!$E:$E,$P$2&amp;if($K37="S1","a",if($K37="S2","b","")),Students!$A:$A,AR$2)+countifs(Students!$F:$F,$P37,Students!$G:$G,$P$2&amp;if($K37="S1","a",if($K37="S2","b","")),Students!$A:$A,AR$2)+countifs(Students!$H:$H,$P37,Students!$I:$I,$P$2&amp;if($K37="S1","a",if($K37="S2","b","")),Students!$A:$A,AR$2)+countifs(Students!$J:$J,$P37,Students!$K:$K,$P$2&amp;if($K37="S1","a",if($K37="S2","b","")),Students!$A:$A,AR$2)+countifs(Students!$L:$L,$P37,Students!$M:$M,$P$2&amp;if($K37="S1","a",if($K37="S2","b","")),Students!$A:$A,AR$2)+countifs(Students!$N:$N,$P37,Students!$O:$O,$P$2&amp;if($K37="S1","a",if($K37="S2","b","")),Students!$A:$A,AR$2)+countifs(Students!$P:$P,$P37,Students!$Q:$Q,$P$2&amp;if($K37="S1","a",if($K37="S2","b","")),Students!$A:$A,AR$2)+countifs(Students!$R:$R,$P37,Students!$S:$S,$P$2&amp;if($K37="S1","a",if($K37="S2","b","")),Students!$A:$A,AR$2)+countifs(Students!$T:$T,$P37,Students!$U:$U,$P$2&amp;if($K37="S1","a",if($K37="S2","b","")),Students!$A:$A,AR$2)+countifs(Students!$V:$V,$P37,Students!$W:$W,$P$2&amp;if($K37="S1","a",if($K37="S2","b","")),Students!$A:$A,AR$2)+
countifs(Students!$D:$D,$S37,Students!$E:$E,$S$2&amp;if($K37="S1","a",if($K37="S2","b","")),Students!$A:$A,AR$2)+countifs(Students!$F:$F,$S37,Students!$G:$G,$S$2&amp;if($K37="S1","a",if($K37="S2","b","")),Students!$A:$A,AR$2)+countifs(Students!$H:$H,$S37,Students!$I:$I,$S$2&amp;if($K37="S1","a",if($K37="S2","b","")),Students!$A:$A,AR$2)+countifs(Students!$J:$J,$S37,Students!$K:$K,$S$2&amp;if($K37="S1","a",if($K37="S2","b","")),Students!$A:$A,AR$2)+countifs(Students!$L:$L,$S37,Students!$M:$M,$S$2&amp;if($K37="S1","a",if($K37="S2","b","")),Students!$A:$A,AR$2)+countifs(Students!$N:$N,$S37,Students!$O:$O,$S$2&amp;if($K37="S1","a",if($K37="S2","b","")),Students!$A:$A,AR$2)+countifs(Students!$P:$P,$S37,Students!$Q:$Q,$S$2&amp;if($K37="S1","a",if($K37="S2","b","")),Students!$A:$A,AR$2)+countifs(Students!$R:$R,$S37,Students!$S:$S,$S$2&amp;if($K37="S1","a",if($K37="S2","b","")),Students!$A:$A,AR$2)+countifs(Students!$T:$T,$S37,Students!$U:$U,$S$2&amp;if($K37="S1","a",if($K37="S2","b","")),Students!$A:$A,AR$2)+countifs(Students!$V:$V,$S37,Students!$W:$W,$S$2&amp;if($K37="S1","a",if($K37="S2","b","")),Students!$A:$A,AR$2)+
countifs(Students!$D:$D,$V37,Students!$E:$E,$V$2&amp;if($K37="S1","a",if($K37="S2","b","")),Students!$A:$A,AR$2)+countifs(Students!$F:$F,$V37,Students!$G:$G,$V$2&amp;if($K37="S1","a",if($K37="S2","b","")),Students!$A:$A,AR$2)+countifs(Students!$H:$H,$V37,Students!$I:$I,$V$2&amp;if($K37="S1","a",if($K37="S2","b","")),Students!$A:$A,AR$2)+countifs(Students!$J:$J,$V37,Students!$K:$K,$V$2&amp;if($K37="S1","a",if($K37="S2","b","")),Students!$A:$A,AR$2)+countifs(Students!$L:$L,$V37,Students!$M:$M,$V$2&amp;if($K37="S1","a",if($K37="S2","b","")),Students!$A:$A,AR$2)+countifs(Students!$N:$N,$V37,Students!$O:$O,$V$2&amp;if($K37="S1","a",if($K37="S2","b","")),Students!$A:$A,AR$2)+countifs(Students!$P:$P,$V37,Students!$Q:$Q,$V$2&amp;if($K37="S1","a",if($K37="S2","b","")),Students!$A:$A,AR$2)+countifs(Students!$R:$R,$V37,Students!$S:$S,$V$2&amp;if($K37="S1","a",if($K37="S2","b","")),Students!$A:$A,AR$2)+countifs(Students!$T:$T,$V37,Students!$U:$U,$V$2&amp;if($K37="S1","a",if($K37="S2","b","")),Students!$A:$A,AR$2)+countifs(Students!$V:$V,$V37,Students!$W:$W,$V$2&amp;if($K37="S1","a",if($K37="S2","b","")),Students!$A:$A,AR$2)+
countifs(Students!$D:$D,$Y37,Students!$E:$E,$Y$2&amp;if($K37="S1","a",if($K37="S2","b","")),Students!$A:$A,AR$2)+countifs(Students!$F:$F,$Y37,Students!$G:$G,$Y$2&amp;if($K37="S1","a",if($K37="S2","b","")),Students!$A:$A,AR$2)+countifs(Students!$H:$H,$Y37,Students!$I:$I,$Y$2&amp;if($K37="S1","a",if($K37="S2","b","")),Students!$A:$A,AR$2)+countifs(Students!$J:$J,$Y37,Students!$K:$K,$Y$2&amp;if($K37="S1","a",if($K37="S2","b","")),Students!$A:$A,AR$2)+countifs(Students!$L:$L,$Y37,Students!$M:$M,$Y$2&amp;if($K37="S1","a",if($K37="S2","b","")),Students!$A:$A,AR$2)+countifs(Students!$N:$N,$Y37,Students!$O:$O,$Y$2&amp;if($K37="S1","a",if($K37="S2","b","")),Students!$A:$A,AR$2)+countifs(Students!$P:$P,$Y37,Students!$Q:$Q,$Y$2&amp;if($K37="S1","a",if($K37="S2","b","")),Students!$A:$A,AR$2)+countifs(Students!$R:$R,$Y37,Students!$S:$S,$Y$2&amp;if($K37="S1","a",if($K37="S2","b","")),Students!$A:$A,AR$2)+countifs(Students!$T:$T,$Y37,Students!$U:$U,$Y$2&amp;if($K37="S1","a",if($K37="S2","b","")),Students!$A:$A,AR$2)+countifs(Students!$V:$V,$Y37,Students!$W:$W,$Y$2&amp;if($K37="S1","a",if($K37="S2","b","")),Students!$A:$A,AR$2)+
countifs(Students!$D:$D,$AB37,Students!$E:$E,$AB$2&amp;if($K37="S1","a",if($K37="S2","b","")),Students!$A:$A,AR$2)+countifs(Students!$F:$F,$AB37,Students!$G:$G,$AB$2&amp;if($K37="S1","a",if($K37="S2","b","")),Students!$A:$A,AR$2)+countifs(Students!$H:$H,$AB37,Students!$I:$I,$AB$2&amp;if($K37="S1","a",if($K37="S2","b","")),Students!$A:$A,AR$2)+countifs(Students!$J:$J,$AB37,Students!$K:$K,$AB$2&amp;if($K37="S1","a",if($K37="S2","b","")),Students!$A:$A,AR$2)+countifs(Students!$L:$L,$AB37,Students!$M:$M,$AB$2&amp;if($K37="S1","a",if($K37="S2","b","")),Students!$A:$A,AR$2)+countifs(Students!$N:$N,$AB37,Students!$O:$O,$AB$2&amp;if($K37="S1","a",if($K37="S2","b","")),Students!$A:$A,AR$2)+countifs(Students!$P:$P,$AB37,Students!$Q:$Q,$AB$2&amp;if($K37="S1","a",if($K37="S2","b","")),Students!$A:$A,AR$2)+countifs(Students!$R:$R,$AB37,Students!$S:$S,$AB$2&amp;if($K37="S1","a",if($K37="S2","b","")),Students!$A:$A,AR$2)+countifs(Students!$T:$T,$AB37,Students!$U:$U,$AB$2&amp;if($K37="S1","a",if($K37="S2","b","")),Students!$A:$A,AR$2)+countifs(Students!$V:$V,$AB37,Students!$W:$W,$AB$2&amp;if($K37="S1","a",if($K37="S2","b","")),Students!$A:$A,AR$2)+
countifs(Students!$D:$D,#REF!,Students!$E:$E,$AE$2&amp;if($K37="S1","a",if($K37="S2","b","")),Students!$A:$A,AR$2)+countifs(Students!$F:$F,#REF!,Students!$G:$G,$AE$2&amp;if($K37="S1","a",if($K37="S2","b","")),Students!$A:$A,AR$2)+countifs(Students!$H:$H,#REF!,Students!$I:$I,$AE$2&amp;if($K37="S1","a",if($K37="S2","b","")),Students!$A:$A,AR$2)+countifs(Students!$J:$J,#REF!,Students!$K:$K,$AE$2&amp;if($K37="S1","a",if($K37="S2","b","")),Students!$A:$A,AR$2)+countifs(Students!$L:$L,#REF!,Students!$M:$M,$AE$2&amp;if($K37="S1","a",if($K37="S2","b","")),Students!$A:$A,AR$2)+countifs(Students!$N:$N,#REF!,Students!$O:$O,$AE$2&amp;if($K37="S1","a",if($K37="S2","b","")),Students!$A:$A,AR$2)+countifs(Students!$P:$P,#REF!,Students!$Q:$Q,$AE$2&amp;if($K37="S1","a",if($K37="S2","b","")),Students!$A:$A,AR$2)+countifs(Students!$R:$R,#REF!,Students!$S:$S,$AE$2&amp;if($K37="S1","a",if($K37="S2","b","")),Students!$A:$A,AR$2)+countifs(Students!$T:$T,#REF!,Students!$U:$U,$AE$2&amp;if($K37="S1","a",if($K37="S2","b","")),Students!$A:$A,AR$2)+countifs(Students!$V:$V,#REF!,Students!$W:$W,$AE$2&amp;if($K37="S1","a",if($K37="S2","b","")),Students!$A:$A,AR$2)+
countifs(Students!$D:$D,$AH37,Students!$E:$E,$AH$2&amp;if($K37="S1","a",if($K37="S2","b","")),Students!$A:$A,AR$2)+countifs(Students!$F:$F,$AH37,Students!$G:$G,$AH$2&amp;if($K37="S1","a",if($K37="S2","b","")),Students!$A:$A,AR$2)+countifs(Students!$H:$H,$AH37,Students!$I:$I,$AH$2&amp;if($K37="S1","a",if($K37="S2","b","")),Students!$A:$A,AR$2)+countifs(Students!$J:$J,$AH37,Students!$K:$K,$AH$2&amp;if($K37="S1","a",if($K37="S2","b","")),Students!$A:$A,AR$2)+countifs(Students!$L:$L,$AH37,Students!$M:$M,$AH$2&amp;if($K37="S1","a",if($K37="S2","b","")),Students!$A:$A,AR$2)+countifs(Students!$N:$N,$AH37,Students!$O:$O,$AH$2&amp;if($K37="S1","a",if($K37="S2","b","")),Students!$A:$A,AR$2)+countifs(Students!$P:$P,$AH37,Students!$Q:$Q,$AH$2&amp;if($K37="S1","a",if($K37="S2","b","")),Students!$A:$A,AR$2)+countifs(Students!$R:$R,$AH37,Students!$S:$S,$AH$2&amp;if($K37="S1","a",if($K37="S2","b","")),Students!$A:$A,AR$2)+countifs(Students!$T:$T,$AH37,Students!$U:$U,$AH$2&amp;if($K37="S1","a",if($K37="S2","b","")),Students!$A:$A,AR$2)+countifs(Students!$V:$V,$AH37,Students!$W:$W,$AH$2&amp;if($K37="S1","a",if($K37="S2","b","")),Students!$A:$A,AR$2)+
countifs(Students!$D:$D,$AK37,Students!$E:$E,$AK$2&amp;if($K37="S1","a",if($K37="S2","b","")),Students!$A:$A,AR$2)+countifs(Students!$F:$F,$AK37,Students!$G:$G,$AK$2&amp;if($K37="S1","a",if($K37="S2","b","")),Students!$A:$A,AR$2)+countifs(Students!$H:$H,$AK37,Students!$I:$I,$AK$2&amp;if($K37="S1","a",if($K37="S2","b","")),Students!$A:$A,AR$2)+countifs(Students!$J:$J,$AK37,Students!$K:$K,$AK$2&amp;if($K37="S1","a",if($K37="S2","b","")),Students!$A:$A,AR$2)+countifs(Students!$L:$L,$AK37,Students!$M:$M,$AK$2&amp;if($K37="S1","a",if($K37="S2","b","")),Students!$A:$A,AR$2)+countifs(Students!$N:$N,$AK37,Students!$O:$O,$AK$2&amp;if($K37="S1","a",if($K37="S2","b","")),Students!$A:$A,AR$2)+countifs(Students!$P:$P,$AK37,Students!$Q:$Q,$AK$2&amp;if($K37="S1","a",if($K37="S2","b","")),Students!$A:$A,AR$2)+countifs(Students!$R:$R,$AK37,Students!$S:$S,$AK$2&amp;if($K37="S1","a",if($K37="S2","b","")),Students!$A:$A,AR$2)+countifs(Students!$T:$T,$AK37,Students!$U:$U,$AK$2&amp;if($K37="S1","a",if($K37="S2","b","")),Students!$A:$A,AR$2)+countifs(Students!$V:$V,$AK37,Students!$W:$W,$AK$2&amp;if($K37="S1","a",if($K37="S2","b","")),Students!$A:$A,AR$2))</f>
        <v>0</v>
      </c>
      <c r="AS37" s="102">
        <f>if($L37="","",countifs(Students!$D:$D,$P37,Students!$E:$E,$P$2&amp;if($K37="S1","a",if($K37="S2","b","")),Students!$A:$A,AS$2)+countifs(Students!$F:$F,$P37,Students!$G:$G,$P$2&amp;if($K37="S1","a",if($K37="S2","b","")),Students!$A:$A,AS$2)+countifs(Students!$H:$H,$P37,Students!$I:$I,$P$2&amp;if($K37="S1","a",if($K37="S2","b","")),Students!$A:$A,AS$2)+countifs(Students!$J:$J,$P37,Students!$K:$K,$P$2&amp;if($K37="S1","a",if($K37="S2","b","")),Students!$A:$A,AS$2)+countifs(Students!$L:$L,$P37,Students!$M:$M,$P$2&amp;if($K37="S1","a",if($K37="S2","b","")),Students!$A:$A,AS$2)+countifs(Students!$N:$N,$P37,Students!$O:$O,$P$2&amp;if($K37="S1","a",if($K37="S2","b","")),Students!$A:$A,AS$2)+countifs(Students!$P:$P,$P37,Students!$Q:$Q,$P$2&amp;if($K37="S1","a",if($K37="S2","b","")),Students!$A:$A,AS$2)+countifs(Students!$R:$R,$P37,Students!$S:$S,$P$2&amp;if($K37="S1","a",if($K37="S2","b","")),Students!$A:$A,AS$2)+countifs(Students!$T:$T,$P37,Students!$U:$U,$P$2&amp;if($K37="S1","a",if($K37="S2","b","")),Students!$A:$A,AS$2)+countifs(Students!$V:$V,$P37,Students!$W:$W,$P$2&amp;if($K37="S1","a",if($K37="S2","b","")),Students!$A:$A,AS$2)+
countifs(Students!$D:$D,$S37,Students!$E:$E,$S$2&amp;if($K37="S1","a",if($K37="S2","b","")),Students!$A:$A,AS$2)+countifs(Students!$F:$F,$S37,Students!$G:$G,$S$2&amp;if($K37="S1","a",if($K37="S2","b","")),Students!$A:$A,AS$2)+countifs(Students!$H:$H,$S37,Students!$I:$I,$S$2&amp;if($K37="S1","a",if($K37="S2","b","")),Students!$A:$A,AS$2)+countifs(Students!$J:$J,$S37,Students!$K:$K,$S$2&amp;if($K37="S1","a",if($K37="S2","b","")),Students!$A:$A,AS$2)+countifs(Students!$L:$L,$S37,Students!$M:$M,$S$2&amp;if($K37="S1","a",if($K37="S2","b","")),Students!$A:$A,AS$2)+countifs(Students!$N:$N,$S37,Students!$O:$O,$S$2&amp;if($K37="S1","a",if($K37="S2","b","")),Students!$A:$A,AS$2)+countifs(Students!$P:$P,$S37,Students!$Q:$Q,$S$2&amp;if($K37="S1","a",if($K37="S2","b","")),Students!$A:$A,AS$2)+countifs(Students!$R:$R,$S37,Students!$S:$S,$S$2&amp;if($K37="S1","a",if($K37="S2","b","")),Students!$A:$A,AS$2)+countifs(Students!$T:$T,$S37,Students!$U:$U,$S$2&amp;if($K37="S1","a",if($K37="S2","b","")),Students!$A:$A,AS$2)+countifs(Students!$V:$V,$S37,Students!$W:$W,$S$2&amp;if($K37="S1","a",if($K37="S2","b","")),Students!$A:$A,AS$2)+
countifs(Students!$D:$D,$V37,Students!$E:$E,$V$2&amp;if($K37="S1","a",if($K37="S2","b","")),Students!$A:$A,AS$2)+countifs(Students!$F:$F,$V37,Students!$G:$G,$V$2&amp;if($K37="S1","a",if($K37="S2","b","")),Students!$A:$A,AS$2)+countifs(Students!$H:$H,$V37,Students!$I:$I,$V$2&amp;if($K37="S1","a",if($K37="S2","b","")),Students!$A:$A,AS$2)+countifs(Students!$J:$J,$V37,Students!$K:$K,$V$2&amp;if($K37="S1","a",if($K37="S2","b","")),Students!$A:$A,AS$2)+countifs(Students!$L:$L,$V37,Students!$M:$M,$V$2&amp;if($K37="S1","a",if($K37="S2","b","")),Students!$A:$A,AS$2)+countifs(Students!$N:$N,$V37,Students!$O:$O,$V$2&amp;if($K37="S1","a",if($K37="S2","b","")),Students!$A:$A,AS$2)+countifs(Students!$P:$P,$V37,Students!$Q:$Q,$V$2&amp;if($K37="S1","a",if($K37="S2","b","")),Students!$A:$A,AS$2)+countifs(Students!$R:$R,$V37,Students!$S:$S,$V$2&amp;if($K37="S1","a",if($K37="S2","b","")),Students!$A:$A,AS$2)+countifs(Students!$T:$T,$V37,Students!$U:$U,$V$2&amp;if($K37="S1","a",if($K37="S2","b","")),Students!$A:$A,AS$2)+countifs(Students!$V:$V,$V37,Students!$W:$W,$V$2&amp;if($K37="S1","a",if($K37="S2","b","")),Students!$A:$A,AS$2)+
countifs(Students!$D:$D,$Y37,Students!$E:$E,$Y$2&amp;if($K37="S1","a",if($K37="S2","b","")),Students!$A:$A,AS$2)+countifs(Students!$F:$F,$Y37,Students!$G:$G,$Y$2&amp;if($K37="S1","a",if($K37="S2","b","")),Students!$A:$A,AS$2)+countifs(Students!$H:$H,$Y37,Students!$I:$I,$Y$2&amp;if($K37="S1","a",if($K37="S2","b","")),Students!$A:$A,AS$2)+countifs(Students!$J:$J,$Y37,Students!$K:$K,$Y$2&amp;if($K37="S1","a",if($K37="S2","b","")),Students!$A:$A,AS$2)+countifs(Students!$L:$L,$Y37,Students!$M:$M,$Y$2&amp;if($K37="S1","a",if($K37="S2","b","")),Students!$A:$A,AS$2)+countifs(Students!$N:$N,$Y37,Students!$O:$O,$Y$2&amp;if($K37="S1","a",if($K37="S2","b","")),Students!$A:$A,AS$2)+countifs(Students!$P:$P,$Y37,Students!$Q:$Q,$Y$2&amp;if($K37="S1","a",if($K37="S2","b","")),Students!$A:$A,AS$2)+countifs(Students!$R:$R,$Y37,Students!$S:$S,$Y$2&amp;if($K37="S1","a",if($K37="S2","b","")),Students!$A:$A,AS$2)+countifs(Students!$T:$T,$Y37,Students!$U:$U,$Y$2&amp;if($K37="S1","a",if($K37="S2","b","")),Students!$A:$A,AS$2)+countifs(Students!$V:$V,$Y37,Students!$W:$W,$Y$2&amp;if($K37="S1","a",if($K37="S2","b","")),Students!$A:$A,AS$2)+
countifs(Students!$D:$D,$AB37,Students!$E:$E,$AB$2&amp;if($K37="S1","a",if($K37="S2","b","")),Students!$A:$A,AS$2)+countifs(Students!$F:$F,$AB37,Students!$G:$G,$AB$2&amp;if($K37="S1","a",if($K37="S2","b","")),Students!$A:$A,AS$2)+countifs(Students!$H:$H,$AB37,Students!$I:$I,$AB$2&amp;if($K37="S1","a",if($K37="S2","b","")),Students!$A:$A,AS$2)+countifs(Students!$J:$J,$AB37,Students!$K:$K,$AB$2&amp;if($K37="S1","a",if($K37="S2","b","")),Students!$A:$A,AS$2)+countifs(Students!$L:$L,$AB37,Students!$M:$M,$AB$2&amp;if($K37="S1","a",if($K37="S2","b","")),Students!$A:$A,AS$2)+countifs(Students!$N:$N,$AB37,Students!$O:$O,$AB$2&amp;if($K37="S1","a",if($K37="S2","b","")),Students!$A:$A,AS$2)+countifs(Students!$P:$P,$AB37,Students!$Q:$Q,$AB$2&amp;if($K37="S1","a",if($K37="S2","b","")),Students!$A:$A,AS$2)+countifs(Students!$R:$R,$AB37,Students!$S:$S,$AB$2&amp;if($K37="S1","a",if($K37="S2","b","")),Students!$A:$A,AS$2)+countifs(Students!$T:$T,$AB37,Students!$U:$U,$AB$2&amp;if($K37="S1","a",if($K37="S2","b","")),Students!$A:$A,AS$2)+countifs(Students!$V:$V,$AB37,Students!$W:$W,$AB$2&amp;if($K37="S1","a",if($K37="S2","b","")),Students!$A:$A,AS$2)+
countifs(Students!$D:$D,#REF!,Students!$E:$E,$AE$2&amp;if($K37="S1","a",if($K37="S2","b","")),Students!$A:$A,AS$2)+countifs(Students!$F:$F,#REF!,Students!$G:$G,$AE$2&amp;if($K37="S1","a",if($K37="S2","b","")),Students!$A:$A,AS$2)+countifs(Students!$H:$H,#REF!,Students!$I:$I,$AE$2&amp;if($K37="S1","a",if($K37="S2","b","")),Students!$A:$A,AS$2)+countifs(Students!$J:$J,#REF!,Students!$K:$K,$AE$2&amp;if($K37="S1","a",if($K37="S2","b","")),Students!$A:$A,AS$2)+countifs(Students!$L:$L,#REF!,Students!$M:$M,$AE$2&amp;if($K37="S1","a",if($K37="S2","b","")),Students!$A:$A,AS$2)+countifs(Students!$N:$N,#REF!,Students!$O:$O,$AE$2&amp;if($K37="S1","a",if($K37="S2","b","")),Students!$A:$A,AS$2)+countifs(Students!$P:$P,#REF!,Students!$Q:$Q,$AE$2&amp;if($K37="S1","a",if($K37="S2","b","")),Students!$A:$A,AS$2)+countifs(Students!$R:$R,#REF!,Students!$S:$S,$AE$2&amp;if($K37="S1","a",if($K37="S2","b","")),Students!$A:$A,AS$2)+countifs(Students!$T:$T,#REF!,Students!$U:$U,$AE$2&amp;if($K37="S1","a",if($K37="S2","b","")),Students!$A:$A,AS$2)+countifs(Students!$V:$V,#REF!,Students!$W:$W,$AE$2&amp;if($K37="S1","a",if($K37="S2","b","")),Students!$A:$A,AS$2)+
countifs(Students!$D:$D,$AH37,Students!$E:$E,$AH$2&amp;if($K37="S1","a",if($K37="S2","b","")),Students!$A:$A,AS$2)+countifs(Students!$F:$F,$AH37,Students!$G:$G,$AH$2&amp;if($K37="S1","a",if($K37="S2","b","")),Students!$A:$A,AS$2)+countifs(Students!$H:$H,$AH37,Students!$I:$I,$AH$2&amp;if($K37="S1","a",if($K37="S2","b","")),Students!$A:$A,AS$2)+countifs(Students!$J:$J,$AH37,Students!$K:$K,$AH$2&amp;if($K37="S1","a",if($K37="S2","b","")),Students!$A:$A,AS$2)+countifs(Students!$L:$L,$AH37,Students!$M:$M,$AH$2&amp;if($K37="S1","a",if($K37="S2","b","")),Students!$A:$A,AS$2)+countifs(Students!$N:$N,$AH37,Students!$O:$O,$AH$2&amp;if($K37="S1","a",if($K37="S2","b","")),Students!$A:$A,AS$2)+countifs(Students!$P:$P,$AH37,Students!$Q:$Q,$AH$2&amp;if($K37="S1","a",if($K37="S2","b","")),Students!$A:$A,AS$2)+countifs(Students!$R:$R,$AH37,Students!$S:$S,$AH$2&amp;if($K37="S1","a",if($K37="S2","b","")),Students!$A:$A,AS$2)+countifs(Students!$T:$T,$AH37,Students!$U:$U,$AH$2&amp;if($K37="S1","a",if($K37="S2","b","")),Students!$A:$A,AS$2)+countifs(Students!$V:$V,$AH37,Students!$W:$W,$AH$2&amp;if($K37="S1","a",if($K37="S2","b","")),Students!$A:$A,AS$2)+
countifs(Students!$D:$D,$AK37,Students!$E:$E,$AK$2&amp;if($K37="S1","a",if($K37="S2","b","")),Students!$A:$A,AS$2)+countifs(Students!$F:$F,$AK37,Students!$G:$G,$AK$2&amp;if($K37="S1","a",if($K37="S2","b","")),Students!$A:$A,AS$2)+countifs(Students!$H:$H,$AK37,Students!$I:$I,$AK$2&amp;if($K37="S1","a",if($K37="S2","b","")),Students!$A:$A,AS$2)+countifs(Students!$J:$J,$AK37,Students!$K:$K,$AK$2&amp;if($K37="S1","a",if($K37="S2","b","")),Students!$A:$A,AS$2)+countifs(Students!$L:$L,$AK37,Students!$M:$M,$AK$2&amp;if($K37="S1","a",if($K37="S2","b","")),Students!$A:$A,AS$2)+countifs(Students!$N:$N,$AK37,Students!$O:$O,$AK$2&amp;if($K37="S1","a",if($K37="S2","b","")),Students!$A:$A,AS$2)+countifs(Students!$P:$P,$AK37,Students!$Q:$Q,$AK$2&amp;if($K37="S1","a",if($K37="S2","b","")),Students!$A:$A,AS$2)+countifs(Students!$R:$R,$AK37,Students!$S:$S,$AK$2&amp;if($K37="S1","a",if($K37="S2","b","")),Students!$A:$A,AS$2)+countifs(Students!$T:$T,$AK37,Students!$U:$U,$AK$2&amp;if($K37="S1","a",if($K37="S2","b","")),Students!$A:$A,AS$2)+countifs(Students!$V:$V,$AK37,Students!$W:$W,$AK$2&amp;if($K37="S1","a",if($K37="S2","b","")),Students!$A:$A,AS$2))</f>
        <v>1</v>
      </c>
    </row>
    <row r="38">
      <c r="J38" s="87">
        <v>125.0</v>
      </c>
      <c r="K38" s="88"/>
      <c r="L38" s="58" t="s">
        <v>113</v>
      </c>
      <c r="M38" s="107"/>
      <c r="N38" s="87">
        <v>2.0</v>
      </c>
      <c r="O38" s="87">
        <f>IFERROR(__xludf.DUMMYFUNCTION("3*counta((transpose(filter(P38:AM38,P38:AM38&lt;&gt;"""",isnumber(P38:AM38)=false))))"),18.0)</f>
        <v>18</v>
      </c>
      <c r="P38" s="90" t="s">
        <v>114</v>
      </c>
      <c r="Q38" s="91">
        <v>3.0</v>
      </c>
      <c r="R38" s="92">
        <v>21.0</v>
      </c>
      <c r="S38" s="91"/>
      <c r="T38" s="101"/>
      <c r="U38" s="92" t="s">
        <v>22</v>
      </c>
      <c r="V38" s="91" t="s">
        <v>114</v>
      </c>
      <c r="W38" s="91">
        <v>4.0</v>
      </c>
      <c r="X38" s="92">
        <v>23.0</v>
      </c>
      <c r="Y38" s="90" t="s">
        <v>114</v>
      </c>
      <c r="Z38" s="91">
        <v>5.0</v>
      </c>
      <c r="AA38" s="92">
        <v>20.0</v>
      </c>
      <c r="AB38" s="91" t="s">
        <v>115</v>
      </c>
      <c r="AC38" s="101">
        <v>1.0</v>
      </c>
      <c r="AD38" s="97">
        <v>21.0</v>
      </c>
      <c r="AE38" s="90" t="s">
        <v>114</v>
      </c>
      <c r="AF38" s="101">
        <v>1.0</v>
      </c>
      <c r="AG38" s="97">
        <v>23.0</v>
      </c>
      <c r="AH38" s="94"/>
      <c r="AI38" s="115"/>
      <c r="AJ38" s="95" t="s">
        <v>22</v>
      </c>
      <c r="AK38" s="91" t="s">
        <v>114</v>
      </c>
      <c r="AL38" s="97">
        <v>2.0</v>
      </c>
      <c r="AM38" s="98">
        <v>17.0</v>
      </c>
      <c r="AN38" s="99"/>
      <c r="AO38" s="52">
        <f t="shared" si="2"/>
        <v>125</v>
      </c>
      <c r="AP38" s="102">
        <f>if($L38="","",countifs(Students!$D:$D,$P38,Students!$E:$E,$P$2&amp;if($K38="S1","a",if($K38="S2","b","")),Students!$A:$A,AP$2)+countifs(Students!$F:$F,$P38,Students!$G:$G,$P$2&amp;if($K38="S1","a",if($K38="S2","b","")),Students!$A:$A,AP$2)+countifs(Students!$H:$H,$P38,Students!$I:$I,$P$2&amp;if($K38="S1","a",if($K38="S2","b","")),Students!$A:$A,AP$2)+countifs(Students!$J:$J,$P38,Students!$K:$K,$P$2&amp;if($K38="S1","a",if($K38="S2","b","")),Students!$A:$A,AP$2)+countifs(Students!$L:$L,$P38,Students!$M:$M,$P$2&amp;if($K38="S1","a",if($K38="S2","b","")),Students!$A:$A,AP$2)+countifs(Students!$N:$N,$P38,Students!$O:$O,$P$2&amp;if($K38="S1","a",if($K38="S2","b","")),Students!$A:$A,AP$2)+countifs(Students!$P:$P,$P38,Students!$Q:$Q,$P$2&amp;if($K38="S1","a",if($K38="S2","b","")),Students!$A:$A,AP$2)+countifs(Students!$R:$R,$P38,Students!$S:$S,$P$2&amp;if($K38="S1","a",if($K38="S2","b","")),Students!$A:$A,AP$2)+countifs(Students!$T:$T,$P38,Students!$U:$U,$P$2&amp;if($K38="S1","a",if($K38="S2","b","")),Students!$A:$A,AP$2)+countifs(Students!$V:$V,$P38,Students!$W:$W,$P$2&amp;if($K38="S1","a",if($K38="S2","b","")),Students!$A:$A,AP$2)+
countifs(Students!$D:$D,$S38,Students!$E:$E,$S$2&amp;if($K38="S1","a",if($K38="S2","b","")),Students!$A:$A,AP$2)+countifs(Students!$F:$F,$S38,Students!$G:$G,$S$2&amp;if($K38="S1","a",if($K38="S2","b","")),Students!$A:$A,AP$2)+countifs(Students!$H:$H,$S38,Students!$I:$I,$S$2&amp;if($K38="S1","a",if($K38="S2","b","")),Students!$A:$A,AP$2)+countifs(Students!$J:$J,$S38,Students!$K:$K,$S$2&amp;if($K38="S1","a",if($K38="S2","b","")),Students!$A:$A,AP$2)+countifs(Students!$L:$L,$S38,Students!$M:$M,$S$2&amp;if($K38="S1","a",if($K38="S2","b","")),Students!$A:$A,AP$2)+countifs(Students!$N:$N,$S38,Students!$O:$O,$S$2&amp;if($K38="S1","a",if($K38="S2","b","")),Students!$A:$A,AP$2)+countifs(Students!$P:$P,$S38,Students!$Q:$Q,$S$2&amp;if($K38="S1","a",if($K38="S2","b","")),Students!$A:$A,AP$2)+countifs(Students!$R:$R,$S38,Students!$S:$S,$S$2&amp;if($K38="S1","a",if($K38="S2","b","")),Students!$A:$A,AP$2)+countifs(Students!$T:$T,$S38,Students!$U:$U,$S$2&amp;if($K38="S1","a",if($K38="S2","b","")),Students!$A:$A,AP$2)+countifs(Students!$V:$V,$S38,Students!$W:$W,$S$2&amp;if($K38="S1","a",if($K38="S2","b","")),Students!$A:$A,AP$2)+
countifs(Students!$D:$D,$V38,Students!$E:$E,$V$2&amp;if($K38="S1","a",if($K38="S2","b","")),Students!$A:$A,AP$2)+countifs(Students!$F:$F,$V38,Students!$G:$G,$V$2&amp;if($K38="S1","a",if($K38="S2","b","")),Students!$A:$A,AP$2)+countifs(Students!$H:$H,$V38,Students!$I:$I,$V$2&amp;if($K38="S1","a",if($K38="S2","b","")),Students!$A:$A,AP$2)+countifs(Students!$J:$J,$V38,Students!$K:$K,$V$2&amp;if($K38="S1","a",if($K38="S2","b","")),Students!$A:$A,AP$2)+countifs(Students!$L:$L,$V38,Students!$M:$M,$V$2&amp;if($K38="S1","a",if($K38="S2","b","")),Students!$A:$A,AP$2)+countifs(Students!$N:$N,$V38,Students!$O:$O,$V$2&amp;if($K38="S1","a",if($K38="S2","b","")),Students!$A:$A,AP$2)+countifs(Students!$P:$P,$V38,Students!$Q:$Q,$V$2&amp;if($K38="S1","a",if($K38="S2","b","")),Students!$A:$A,AP$2)+countifs(Students!$R:$R,$V38,Students!$S:$S,$V$2&amp;if($K38="S1","a",if($K38="S2","b","")),Students!$A:$A,AP$2)+countifs(Students!$T:$T,$V38,Students!$U:$U,$V$2&amp;if($K38="S1","a",if($K38="S2","b","")),Students!$A:$A,AP$2)+countifs(Students!$V:$V,$V38,Students!$W:$W,$V$2&amp;if($K38="S1","a",if($K38="S2","b","")),Students!$A:$A,AP$2)+
countifs(Students!$D:$D,$Y38,Students!$E:$E,$Y$2&amp;if($K38="S1","a",if($K38="S2","b","")),Students!$A:$A,AP$2)+countifs(Students!$F:$F,$Y38,Students!$G:$G,$Y$2&amp;if($K38="S1","a",if($K38="S2","b","")),Students!$A:$A,AP$2)+countifs(Students!$H:$H,$Y38,Students!$I:$I,$Y$2&amp;if($K38="S1","a",if($K38="S2","b","")),Students!$A:$A,AP$2)+countifs(Students!$J:$J,$Y38,Students!$K:$K,$Y$2&amp;if($K38="S1","a",if($K38="S2","b","")),Students!$A:$A,AP$2)+countifs(Students!$L:$L,$Y38,Students!$M:$M,$Y$2&amp;if($K38="S1","a",if($K38="S2","b","")),Students!$A:$A,AP$2)+countifs(Students!$N:$N,$Y38,Students!$O:$O,$Y$2&amp;if($K38="S1","a",if($K38="S2","b","")),Students!$A:$A,AP$2)+countifs(Students!$P:$P,$Y38,Students!$Q:$Q,$Y$2&amp;if($K38="S1","a",if($K38="S2","b","")),Students!$A:$A,AP$2)+countifs(Students!$R:$R,$Y38,Students!$S:$S,$Y$2&amp;if($K38="S1","a",if($K38="S2","b","")),Students!$A:$A,AP$2)+countifs(Students!$T:$T,$Y38,Students!$U:$U,$Y$2&amp;if($K38="S1","a",if($K38="S2","b","")),Students!$A:$A,AP$2)+countifs(Students!$V:$V,$Y38,Students!$W:$W,$Y$2&amp;if($K38="S1","a",if($K38="S2","b","")),Students!$A:$A,AP$2)+
countifs(Students!$D:$D,$AB38,Students!$E:$E,$AB$2&amp;if($K38="S1","a",if($K38="S2","b","")),Students!$A:$A,AP$2)+countifs(Students!$F:$F,$AB38,Students!$G:$G,$AB$2&amp;if($K38="S1","a",if($K38="S2","b","")),Students!$A:$A,AP$2)+countifs(Students!$H:$H,$AB38,Students!$I:$I,$AB$2&amp;if($K38="S1","a",if($K38="S2","b","")),Students!$A:$A,AP$2)+countifs(Students!$J:$J,$AB38,Students!$K:$K,$AB$2&amp;if($K38="S1","a",if($K38="S2","b","")),Students!$A:$A,AP$2)+countifs(Students!$L:$L,$AB38,Students!$M:$M,$AB$2&amp;if($K38="S1","a",if($K38="S2","b","")),Students!$A:$A,AP$2)+countifs(Students!$N:$N,$AB38,Students!$O:$O,$AB$2&amp;if($K38="S1","a",if($K38="S2","b","")),Students!$A:$A,AP$2)+countifs(Students!$P:$P,$AB38,Students!$Q:$Q,$AB$2&amp;if($K38="S1","a",if($K38="S2","b","")),Students!$A:$A,AP$2)+countifs(Students!$R:$R,$AB38,Students!$S:$S,$AB$2&amp;if($K38="S1","a",if($K38="S2","b","")),Students!$A:$A,AP$2)+countifs(Students!$T:$T,$AB38,Students!$U:$U,$AB$2&amp;if($K38="S1","a",if($K38="S2","b","")),Students!$A:$A,AP$2)+countifs(Students!$V:$V,$AB38,Students!$W:$W,$AB$2&amp;if($K38="S1","a",if($K38="S2","b","")),Students!$A:$A,AP$2)+
countifs(Students!$D:$D,$AE38,Students!$E:$E,$AE$2&amp;if($K38="S1","a",if($K38="S2","b","")),Students!$A:$A,AP$2)+countifs(Students!$F:$F,$AE38,Students!$G:$G,$AE$2&amp;if($K38="S1","a",if($K38="S2","b","")),Students!$A:$A,AP$2)+countifs(Students!$H:$H,$AE38,Students!$I:$I,$AE$2&amp;if($K38="S1","a",if($K38="S2","b","")),Students!$A:$A,AP$2)+countifs(Students!$J:$J,$AE38,Students!$K:$K,$AE$2&amp;if($K38="S1","a",if($K38="S2","b","")),Students!$A:$A,AP$2)+countifs(Students!$L:$L,$AE38,Students!$M:$M,$AE$2&amp;if($K38="S1","a",if($K38="S2","b","")),Students!$A:$A,AP$2)+countifs(Students!$N:$N,$AE38,Students!$O:$O,$AE$2&amp;if($K38="S1","a",if($K38="S2","b","")),Students!$A:$A,AP$2)+countifs(Students!$P:$P,$AE38,Students!$Q:$Q,$AE$2&amp;if($K38="S1","a",if($K38="S2","b","")),Students!$A:$A,AP$2)+countifs(Students!$R:$R,$AE38,Students!$S:$S,$AE$2&amp;if($K38="S1","a",if($K38="S2","b","")),Students!$A:$A,AP$2)+countifs(Students!$T:$T,$AE38,Students!$U:$U,$AE$2&amp;if($K38="S1","a",if($K38="S2","b","")),Students!$A:$A,AP$2)+countifs(Students!$V:$V,$AE38,Students!$W:$W,$AE$2&amp;if($K38="S1","a",if($K38="S2","b","")),Students!$A:$A,AP$2)+
countifs(Students!$D:$D,$AH38,Students!$E:$E,$AH$2&amp;if($K38="S1","a",if($K38="S2","b","")),Students!$A:$A,AP$2)+countifs(Students!$F:$F,$AH38,Students!$G:$G,$AH$2&amp;if($K38="S1","a",if($K38="S2","b","")),Students!$A:$A,AP$2)+countifs(Students!$H:$H,$AH38,Students!$I:$I,$AH$2&amp;if($K38="S1","a",if($K38="S2","b","")),Students!$A:$A,AP$2)+countifs(Students!$J:$J,$AH38,Students!$K:$K,$AH$2&amp;if($K38="S1","a",if($K38="S2","b","")),Students!$A:$A,AP$2)+countifs(Students!$L:$L,$AH38,Students!$M:$M,$AH$2&amp;if($K38="S1","a",if($K38="S2","b","")),Students!$A:$A,AP$2)+countifs(Students!$N:$N,$AH38,Students!$O:$O,$AH$2&amp;if($K38="S1","a",if($K38="S2","b","")),Students!$A:$A,AP$2)+countifs(Students!$P:$P,$AH38,Students!$Q:$Q,$AH$2&amp;if($K38="S1","a",if($K38="S2","b","")),Students!$A:$A,AP$2)+countifs(Students!$R:$R,$AH38,Students!$S:$S,$AH$2&amp;if($K38="S1","a",if($K38="S2","b","")),Students!$A:$A,AP$2)+countifs(Students!$T:$T,$AH38,Students!$U:$U,$AH$2&amp;if($K38="S1","a",if($K38="S2","b","")),Students!$A:$A,AP$2)+countifs(Students!$V:$V,$AH38,Students!$W:$W,$AH$2&amp;if($K38="S1","a",if($K38="S2","b","")),Students!$A:$A,AP$2)+
countifs(Students!$D:$D,$AK38,Students!$E:$E,$AK$2&amp;if($K38="S1","a",if($K38="S2","b","")),Students!$A:$A,AP$2)+countifs(Students!$F:$F,$AK38,Students!$G:$G,$AK$2&amp;if($K38="S1","a",if($K38="S2","b","")),Students!$A:$A,AP$2)+countifs(Students!$H:$H,$AK38,Students!$I:$I,$AK$2&amp;if($K38="S1","a",if($K38="S2","b","")),Students!$A:$A,AP$2)+countifs(Students!$J:$J,$AK38,Students!$K:$K,$AK$2&amp;if($K38="S1","a",if($K38="S2","b","")),Students!$A:$A,AP$2)+countifs(Students!$L:$L,$AK38,Students!$M:$M,$AK$2&amp;if($K38="S1","a",if($K38="S2","b","")),Students!$A:$A,AP$2)+countifs(Students!$N:$N,$AK38,Students!$O:$O,$AK$2&amp;if($K38="S1","a",if($K38="S2","b","")),Students!$A:$A,AP$2)+countifs(Students!$P:$P,$AK38,Students!$Q:$Q,$AK$2&amp;if($K38="S1","a",if($K38="S2","b","")),Students!$A:$A,AP$2)+countifs(Students!$R:$R,$AK38,Students!$S:$S,$AK$2&amp;if($K38="S1","a",if($K38="S2","b","")),Students!$A:$A,AP$2)+countifs(Students!$T:$T,$AK38,Students!$U:$U,$AK$2&amp;if($K38="S1","a",if($K38="S2","b","")),Students!$A:$A,AP$2)+countifs(Students!$V:$V,$AK38,Students!$W:$W,$AK$2&amp;if($K38="S1","a",if($K38="S2","b","")),Students!$A:$A,AP$2))</f>
        <v>0</v>
      </c>
      <c r="AQ38" s="102">
        <f>if($L38="","",countifs(Students!$D:$D,$P38,Students!$E:$E,$P$2&amp;if($K38="S1","a",if($K38="S2","b","")),Students!$A:$A,AQ$2)+countifs(Students!$F:$F,$P38,Students!$G:$G,$P$2&amp;if($K38="S1","a",if($K38="S2","b","")),Students!$A:$A,AQ$2)+countifs(Students!$H:$H,$P38,Students!$I:$I,$P$2&amp;if($K38="S1","a",if($K38="S2","b","")),Students!$A:$A,AQ$2)+countifs(Students!$J:$J,$P38,Students!$K:$K,$P$2&amp;if($K38="S1","a",if($K38="S2","b","")),Students!$A:$A,AQ$2)+countifs(Students!$L:$L,$P38,Students!$M:$M,$P$2&amp;if($K38="S1","a",if($K38="S2","b","")),Students!$A:$A,AQ$2)+countifs(Students!$N:$N,$P38,Students!$O:$O,$P$2&amp;if($K38="S1","a",if($K38="S2","b","")),Students!$A:$A,AQ$2)+countifs(Students!$P:$P,$P38,Students!$Q:$Q,$P$2&amp;if($K38="S1","a",if($K38="S2","b","")),Students!$A:$A,AQ$2)+countifs(Students!$R:$R,$P38,Students!$S:$S,$P$2&amp;if($K38="S1","a",if($K38="S2","b","")),Students!$A:$A,AQ$2)+countifs(Students!$T:$T,$P38,Students!$U:$U,$P$2&amp;if($K38="S1","a",if($K38="S2","b","")),Students!$A:$A,AQ$2)+countifs(Students!$V:$V,$P38,Students!$W:$W,$P$2&amp;if($K38="S1","a",if($K38="S2","b","")),Students!$A:$A,AQ$2)+
countifs(Students!$D:$D,$S38,Students!$E:$E,$S$2&amp;if($K38="S1","a",if($K38="S2","b","")),Students!$A:$A,AQ$2)+countifs(Students!$F:$F,$S38,Students!$G:$G,$S$2&amp;if($K38="S1","a",if($K38="S2","b","")),Students!$A:$A,AQ$2)+countifs(Students!$H:$H,$S38,Students!$I:$I,$S$2&amp;if($K38="S1","a",if($K38="S2","b","")),Students!$A:$A,AQ$2)+countifs(Students!$J:$J,$S38,Students!$K:$K,$S$2&amp;if($K38="S1","a",if($K38="S2","b","")),Students!$A:$A,AQ$2)+countifs(Students!$L:$L,$S38,Students!$M:$M,$S$2&amp;if($K38="S1","a",if($K38="S2","b","")),Students!$A:$A,AQ$2)+countifs(Students!$N:$N,$S38,Students!$O:$O,$S$2&amp;if($K38="S1","a",if($K38="S2","b","")),Students!$A:$A,AQ$2)+countifs(Students!$P:$P,$S38,Students!$Q:$Q,$S$2&amp;if($K38="S1","a",if($K38="S2","b","")),Students!$A:$A,AQ$2)+countifs(Students!$R:$R,$S38,Students!$S:$S,$S$2&amp;if($K38="S1","a",if($K38="S2","b","")),Students!$A:$A,AQ$2)+countifs(Students!$T:$T,$S38,Students!$U:$U,$S$2&amp;if($K38="S1","a",if($K38="S2","b","")),Students!$A:$A,AQ$2)+countifs(Students!$V:$V,$S38,Students!$W:$W,$S$2&amp;if($K38="S1","a",if($K38="S2","b","")),Students!$A:$A,AQ$2)+
countifs(Students!$D:$D,$V38,Students!$E:$E,$V$2&amp;if($K38="S1","a",if($K38="S2","b","")),Students!$A:$A,AQ$2)+countifs(Students!$F:$F,$V38,Students!$G:$G,$V$2&amp;if($K38="S1","a",if($K38="S2","b","")),Students!$A:$A,AQ$2)+countifs(Students!$H:$H,$V38,Students!$I:$I,$V$2&amp;if($K38="S1","a",if($K38="S2","b","")),Students!$A:$A,AQ$2)+countifs(Students!$J:$J,$V38,Students!$K:$K,$V$2&amp;if($K38="S1","a",if($K38="S2","b","")),Students!$A:$A,AQ$2)+countifs(Students!$L:$L,$V38,Students!$M:$M,$V$2&amp;if($K38="S1","a",if($K38="S2","b","")),Students!$A:$A,AQ$2)+countifs(Students!$N:$N,$V38,Students!$O:$O,$V$2&amp;if($K38="S1","a",if($K38="S2","b","")),Students!$A:$A,AQ$2)+countifs(Students!$P:$P,$V38,Students!$Q:$Q,$V$2&amp;if($K38="S1","a",if($K38="S2","b","")),Students!$A:$A,AQ$2)+countifs(Students!$R:$R,$V38,Students!$S:$S,$V$2&amp;if($K38="S1","a",if($K38="S2","b","")),Students!$A:$A,AQ$2)+countifs(Students!$T:$T,$V38,Students!$U:$U,$V$2&amp;if($K38="S1","a",if($K38="S2","b","")),Students!$A:$A,AQ$2)+countifs(Students!$V:$V,$V38,Students!$W:$W,$V$2&amp;if($K38="S1","a",if($K38="S2","b","")),Students!$A:$A,AQ$2)+
countifs(Students!$D:$D,$Y38,Students!$E:$E,$Y$2&amp;if($K38="S1","a",if($K38="S2","b","")),Students!$A:$A,AQ$2)+countifs(Students!$F:$F,$Y38,Students!$G:$G,$Y$2&amp;if($K38="S1","a",if($K38="S2","b","")),Students!$A:$A,AQ$2)+countifs(Students!$H:$H,$Y38,Students!$I:$I,$Y$2&amp;if($K38="S1","a",if($K38="S2","b","")),Students!$A:$A,AQ$2)+countifs(Students!$J:$J,$Y38,Students!$K:$K,$Y$2&amp;if($K38="S1","a",if($K38="S2","b","")),Students!$A:$A,AQ$2)+countifs(Students!$L:$L,$Y38,Students!$M:$M,$Y$2&amp;if($K38="S1","a",if($K38="S2","b","")),Students!$A:$A,AQ$2)+countifs(Students!$N:$N,$Y38,Students!$O:$O,$Y$2&amp;if($K38="S1","a",if($K38="S2","b","")),Students!$A:$A,AQ$2)+countifs(Students!$P:$P,$Y38,Students!$Q:$Q,$Y$2&amp;if($K38="S1","a",if($K38="S2","b","")),Students!$A:$A,AQ$2)+countifs(Students!$R:$R,$Y38,Students!$S:$S,$Y$2&amp;if($K38="S1","a",if($K38="S2","b","")),Students!$A:$A,AQ$2)+countifs(Students!$T:$T,$Y38,Students!$U:$U,$Y$2&amp;if($K38="S1","a",if($K38="S2","b","")),Students!$A:$A,AQ$2)+countifs(Students!$V:$V,$Y38,Students!$W:$W,$Y$2&amp;if($K38="S1","a",if($K38="S2","b","")),Students!$A:$A,AQ$2)+
countifs(Students!$D:$D,$AB38,Students!$E:$E,$AB$2&amp;if($K38="S1","a",if($K38="S2","b","")),Students!$A:$A,AQ$2)+countifs(Students!$F:$F,$AB38,Students!$G:$G,$AB$2&amp;if($K38="S1","a",if($K38="S2","b","")),Students!$A:$A,AQ$2)+countifs(Students!$H:$H,$AB38,Students!$I:$I,$AB$2&amp;if($K38="S1","a",if($K38="S2","b","")),Students!$A:$A,AQ$2)+countifs(Students!$J:$J,$AB38,Students!$K:$K,$AB$2&amp;if($K38="S1","a",if($K38="S2","b","")),Students!$A:$A,AQ$2)+countifs(Students!$L:$L,$AB38,Students!$M:$M,$AB$2&amp;if($K38="S1","a",if($K38="S2","b","")),Students!$A:$A,AQ$2)+countifs(Students!$N:$N,$AB38,Students!$O:$O,$AB$2&amp;if($K38="S1","a",if($K38="S2","b","")),Students!$A:$A,AQ$2)+countifs(Students!$P:$P,$AB38,Students!$Q:$Q,$AB$2&amp;if($K38="S1","a",if($K38="S2","b","")),Students!$A:$A,AQ$2)+countifs(Students!$R:$R,$AB38,Students!$S:$S,$AB$2&amp;if($K38="S1","a",if($K38="S2","b","")),Students!$A:$A,AQ$2)+countifs(Students!$T:$T,$AB38,Students!$U:$U,$AB$2&amp;if($K38="S1","a",if($K38="S2","b","")),Students!$A:$A,AQ$2)+countifs(Students!$V:$V,$AB38,Students!$W:$W,$AB$2&amp;if($K38="S1","a",if($K38="S2","b","")),Students!$A:$A,AQ$2)+
countifs(Students!$D:$D,$AE38,Students!$E:$E,$AE$2&amp;if($K38="S1","a",if($K38="S2","b","")),Students!$A:$A,AQ$2)+countifs(Students!$F:$F,$AE38,Students!$G:$G,$AE$2&amp;if($K38="S1","a",if($K38="S2","b","")),Students!$A:$A,AQ$2)+countifs(Students!$H:$H,$AE38,Students!$I:$I,$AE$2&amp;if($K38="S1","a",if($K38="S2","b","")),Students!$A:$A,AQ$2)+countifs(Students!$J:$J,$AE38,Students!$K:$K,$AE$2&amp;if($K38="S1","a",if($K38="S2","b","")),Students!$A:$A,AQ$2)+countifs(Students!$L:$L,$AE38,Students!$M:$M,$AE$2&amp;if($K38="S1","a",if($K38="S2","b","")),Students!$A:$A,AQ$2)+countifs(Students!$N:$N,$AE38,Students!$O:$O,$AE$2&amp;if($K38="S1","a",if($K38="S2","b","")),Students!$A:$A,AQ$2)+countifs(Students!$P:$P,$AE38,Students!$Q:$Q,$AE$2&amp;if($K38="S1","a",if($K38="S2","b","")),Students!$A:$A,AQ$2)+countifs(Students!$R:$R,$AE38,Students!$S:$S,$AE$2&amp;if($K38="S1","a",if($K38="S2","b","")),Students!$A:$A,AQ$2)+countifs(Students!$T:$T,$AE38,Students!$U:$U,$AE$2&amp;if($K38="S1","a",if($K38="S2","b","")),Students!$A:$A,AQ$2)+countifs(Students!$V:$V,$AE38,Students!$W:$W,$AE$2&amp;if($K38="S1","a",if($K38="S2","b","")),Students!$A:$A,AQ$2)+
countifs(Students!$D:$D,$AH38,Students!$E:$E,$AH$2&amp;if($K38="S1","a",if($K38="S2","b","")),Students!$A:$A,AQ$2)+countifs(Students!$F:$F,$AH38,Students!$G:$G,$AH$2&amp;if($K38="S1","a",if($K38="S2","b","")),Students!$A:$A,AQ$2)+countifs(Students!$H:$H,$AH38,Students!$I:$I,$AH$2&amp;if($K38="S1","a",if($K38="S2","b","")),Students!$A:$A,AQ$2)+countifs(Students!$J:$J,$AH38,Students!$K:$K,$AH$2&amp;if($K38="S1","a",if($K38="S2","b","")),Students!$A:$A,AQ$2)+countifs(Students!$L:$L,$AH38,Students!$M:$M,$AH$2&amp;if($K38="S1","a",if($K38="S2","b","")),Students!$A:$A,AQ$2)+countifs(Students!$N:$N,$AH38,Students!$O:$O,$AH$2&amp;if($K38="S1","a",if($K38="S2","b","")),Students!$A:$A,AQ$2)+countifs(Students!$P:$P,$AH38,Students!$Q:$Q,$AH$2&amp;if($K38="S1","a",if($K38="S2","b","")),Students!$A:$A,AQ$2)+countifs(Students!$R:$R,$AH38,Students!$S:$S,$AH$2&amp;if($K38="S1","a",if($K38="S2","b","")),Students!$A:$A,AQ$2)+countifs(Students!$T:$T,$AH38,Students!$U:$U,$AH$2&amp;if($K38="S1","a",if($K38="S2","b","")),Students!$A:$A,AQ$2)+countifs(Students!$V:$V,$AH38,Students!$W:$W,$AH$2&amp;if($K38="S1","a",if($K38="S2","b","")),Students!$A:$A,AQ$2)+
countifs(Students!$D:$D,$AK38,Students!$E:$E,$AK$2&amp;if($K38="S1","a",if($K38="S2","b","")),Students!$A:$A,AQ$2)+countifs(Students!$F:$F,$AK38,Students!$G:$G,$AK$2&amp;if($K38="S1","a",if($K38="S2","b","")),Students!$A:$A,AQ$2)+countifs(Students!$H:$H,$AK38,Students!$I:$I,$AK$2&amp;if($K38="S1","a",if($K38="S2","b","")),Students!$A:$A,AQ$2)+countifs(Students!$J:$J,$AK38,Students!$K:$K,$AK$2&amp;if($K38="S1","a",if($K38="S2","b","")),Students!$A:$A,AQ$2)+countifs(Students!$L:$L,$AK38,Students!$M:$M,$AK$2&amp;if($K38="S1","a",if($K38="S2","b","")),Students!$A:$A,AQ$2)+countifs(Students!$N:$N,$AK38,Students!$O:$O,$AK$2&amp;if($K38="S1","a",if($K38="S2","b","")),Students!$A:$A,AQ$2)+countifs(Students!$P:$P,$AK38,Students!$Q:$Q,$AK$2&amp;if($K38="S1","a",if($K38="S2","b","")),Students!$A:$A,AQ$2)+countifs(Students!$R:$R,$AK38,Students!$S:$S,$AK$2&amp;if($K38="S1","a",if($K38="S2","b","")),Students!$A:$A,AQ$2)+countifs(Students!$T:$T,$AK38,Students!$U:$U,$AK$2&amp;if($K38="S1","a",if($K38="S2","b","")),Students!$A:$A,AQ$2)+countifs(Students!$V:$V,$AK38,Students!$W:$W,$AK$2&amp;if($K38="S1","a",if($K38="S2","b","")),Students!$A:$A,AQ$2))</f>
        <v>0</v>
      </c>
      <c r="AR38" s="102">
        <f>if($L38="","",countifs(Students!$D:$D,$P38,Students!$E:$E,$P$2&amp;if($K38="S1","a",if($K38="S2","b","")),Students!$A:$A,AR$2)+countifs(Students!$F:$F,$P38,Students!$G:$G,$P$2&amp;if($K38="S1","a",if($K38="S2","b","")),Students!$A:$A,AR$2)+countifs(Students!$H:$H,$P38,Students!$I:$I,$P$2&amp;if($K38="S1","a",if($K38="S2","b","")),Students!$A:$A,AR$2)+countifs(Students!$J:$J,$P38,Students!$K:$K,$P$2&amp;if($K38="S1","a",if($K38="S2","b","")),Students!$A:$A,AR$2)+countifs(Students!$L:$L,$P38,Students!$M:$M,$P$2&amp;if($K38="S1","a",if($K38="S2","b","")),Students!$A:$A,AR$2)+countifs(Students!$N:$N,$P38,Students!$O:$O,$P$2&amp;if($K38="S1","a",if($K38="S2","b","")),Students!$A:$A,AR$2)+countifs(Students!$P:$P,$P38,Students!$Q:$Q,$P$2&amp;if($K38="S1","a",if($K38="S2","b","")),Students!$A:$A,AR$2)+countifs(Students!$R:$R,$P38,Students!$S:$S,$P$2&amp;if($K38="S1","a",if($K38="S2","b","")),Students!$A:$A,AR$2)+countifs(Students!$T:$T,$P38,Students!$U:$U,$P$2&amp;if($K38="S1","a",if($K38="S2","b","")),Students!$A:$A,AR$2)+countifs(Students!$V:$V,$P38,Students!$W:$W,$P$2&amp;if($K38="S1","a",if($K38="S2","b","")),Students!$A:$A,AR$2)+
countifs(Students!$D:$D,$S38,Students!$E:$E,$S$2&amp;if($K38="S1","a",if($K38="S2","b","")),Students!$A:$A,AR$2)+countifs(Students!$F:$F,$S38,Students!$G:$G,$S$2&amp;if($K38="S1","a",if($K38="S2","b","")),Students!$A:$A,AR$2)+countifs(Students!$H:$H,$S38,Students!$I:$I,$S$2&amp;if($K38="S1","a",if($K38="S2","b","")),Students!$A:$A,AR$2)+countifs(Students!$J:$J,$S38,Students!$K:$K,$S$2&amp;if($K38="S1","a",if($K38="S2","b","")),Students!$A:$A,AR$2)+countifs(Students!$L:$L,$S38,Students!$M:$M,$S$2&amp;if($K38="S1","a",if($K38="S2","b","")),Students!$A:$A,AR$2)+countifs(Students!$N:$N,$S38,Students!$O:$O,$S$2&amp;if($K38="S1","a",if($K38="S2","b","")),Students!$A:$A,AR$2)+countifs(Students!$P:$P,$S38,Students!$Q:$Q,$S$2&amp;if($K38="S1","a",if($K38="S2","b","")),Students!$A:$A,AR$2)+countifs(Students!$R:$R,$S38,Students!$S:$S,$S$2&amp;if($K38="S1","a",if($K38="S2","b","")),Students!$A:$A,AR$2)+countifs(Students!$T:$T,$S38,Students!$U:$U,$S$2&amp;if($K38="S1","a",if($K38="S2","b","")),Students!$A:$A,AR$2)+countifs(Students!$V:$V,$S38,Students!$W:$W,$S$2&amp;if($K38="S1","a",if($K38="S2","b","")),Students!$A:$A,AR$2)+
countifs(Students!$D:$D,$V38,Students!$E:$E,$V$2&amp;if($K38="S1","a",if($K38="S2","b","")),Students!$A:$A,AR$2)+countifs(Students!$F:$F,$V38,Students!$G:$G,$V$2&amp;if($K38="S1","a",if($K38="S2","b","")),Students!$A:$A,AR$2)+countifs(Students!$H:$H,$V38,Students!$I:$I,$V$2&amp;if($K38="S1","a",if($K38="S2","b","")),Students!$A:$A,AR$2)+countifs(Students!$J:$J,$V38,Students!$K:$K,$V$2&amp;if($K38="S1","a",if($K38="S2","b","")),Students!$A:$A,AR$2)+countifs(Students!$L:$L,$V38,Students!$M:$M,$V$2&amp;if($K38="S1","a",if($K38="S2","b","")),Students!$A:$A,AR$2)+countifs(Students!$N:$N,$V38,Students!$O:$O,$V$2&amp;if($K38="S1","a",if($K38="S2","b","")),Students!$A:$A,AR$2)+countifs(Students!$P:$P,$V38,Students!$Q:$Q,$V$2&amp;if($K38="S1","a",if($K38="S2","b","")),Students!$A:$A,AR$2)+countifs(Students!$R:$R,$V38,Students!$S:$S,$V$2&amp;if($K38="S1","a",if($K38="S2","b","")),Students!$A:$A,AR$2)+countifs(Students!$T:$T,$V38,Students!$U:$U,$V$2&amp;if($K38="S1","a",if($K38="S2","b","")),Students!$A:$A,AR$2)+countifs(Students!$V:$V,$V38,Students!$W:$W,$V$2&amp;if($K38="S1","a",if($K38="S2","b","")),Students!$A:$A,AR$2)+
countifs(Students!$D:$D,$Y38,Students!$E:$E,$Y$2&amp;if($K38="S1","a",if($K38="S2","b","")),Students!$A:$A,AR$2)+countifs(Students!$F:$F,$Y38,Students!$G:$G,$Y$2&amp;if($K38="S1","a",if($K38="S2","b","")),Students!$A:$A,AR$2)+countifs(Students!$H:$H,$Y38,Students!$I:$I,$Y$2&amp;if($K38="S1","a",if($K38="S2","b","")),Students!$A:$A,AR$2)+countifs(Students!$J:$J,$Y38,Students!$K:$K,$Y$2&amp;if($K38="S1","a",if($K38="S2","b","")),Students!$A:$A,AR$2)+countifs(Students!$L:$L,$Y38,Students!$M:$M,$Y$2&amp;if($K38="S1","a",if($K38="S2","b","")),Students!$A:$A,AR$2)+countifs(Students!$N:$N,$Y38,Students!$O:$O,$Y$2&amp;if($K38="S1","a",if($K38="S2","b","")),Students!$A:$A,AR$2)+countifs(Students!$P:$P,$Y38,Students!$Q:$Q,$Y$2&amp;if($K38="S1","a",if($K38="S2","b","")),Students!$A:$A,AR$2)+countifs(Students!$R:$R,$Y38,Students!$S:$S,$Y$2&amp;if($K38="S1","a",if($K38="S2","b","")),Students!$A:$A,AR$2)+countifs(Students!$T:$T,$Y38,Students!$U:$U,$Y$2&amp;if($K38="S1","a",if($K38="S2","b","")),Students!$A:$A,AR$2)+countifs(Students!$V:$V,$Y38,Students!$W:$W,$Y$2&amp;if($K38="S1","a",if($K38="S2","b","")),Students!$A:$A,AR$2)+
countifs(Students!$D:$D,$AB38,Students!$E:$E,$AB$2&amp;if($K38="S1","a",if($K38="S2","b","")),Students!$A:$A,AR$2)+countifs(Students!$F:$F,$AB38,Students!$G:$G,$AB$2&amp;if($K38="S1","a",if($K38="S2","b","")),Students!$A:$A,AR$2)+countifs(Students!$H:$H,$AB38,Students!$I:$I,$AB$2&amp;if($K38="S1","a",if($K38="S2","b","")),Students!$A:$A,AR$2)+countifs(Students!$J:$J,$AB38,Students!$K:$K,$AB$2&amp;if($K38="S1","a",if($K38="S2","b","")),Students!$A:$A,AR$2)+countifs(Students!$L:$L,$AB38,Students!$M:$M,$AB$2&amp;if($K38="S1","a",if($K38="S2","b","")),Students!$A:$A,AR$2)+countifs(Students!$N:$N,$AB38,Students!$O:$O,$AB$2&amp;if($K38="S1","a",if($K38="S2","b","")),Students!$A:$A,AR$2)+countifs(Students!$P:$P,$AB38,Students!$Q:$Q,$AB$2&amp;if($K38="S1","a",if($K38="S2","b","")),Students!$A:$A,AR$2)+countifs(Students!$R:$R,$AB38,Students!$S:$S,$AB$2&amp;if($K38="S1","a",if($K38="S2","b","")),Students!$A:$A,AR$2)+countifs(Students!$T:$T,$AB38,Students!$U:$U,$AB$2&amp;if($K38="S1","a",if($K38="S2","b","")),Students!$A:$A,AR$2)+countifs(Students!$V:$V,$AB38,Students!$W:$W,$AB$2&amp;if($K38="S1","a",if($K38="S2","b","")),Students!$A:$A,AR$2)+
countifs(Students!$D:$D,$AE38,Students!$E:$E,$AE$2&amp;if($K38="S1","a",if($K38="S2","b","")),Students!$A:$A,AR$2)+countifs(Students!$F:$F,$AE38,Students!$G:$G,$AE$2&amp;if($K38="S1","a",if($K38="S2","b","")),Students!$A:$A,AR$2)+countifs(Students!$H:$H,$AE38,Students!$I:$I,$AE$2&amp;if($K38="S1","a",if($K38="S2","b","")),Students!$A:$A,AR$2)+countifs(Students!$J:$J,$AE38,Students!$K:$K,$AE$2&amp;if($K38="S1","a",if($K38="S2","b","")),Students!$A:$A,AR$2)+countifs(Students!$L:$L,$AE38,Students!$M:$M,$AE$2&amp;if($K38="S1","a",if($K38="S2","b","")),Students!$A:$A,AR$2)+countifs(Students!$N:$N,$AE38,Students!$O:$O,$AE$2&amp;if($K38="S1","a",if($K38="S2","b","")),Students!$A:$A,AR$2)+countifs(Students!$P:$P,$AE38,Students!$Q:$Q,$AE$2&amp;if($K38="S1","a",if($K38="S2","b","")),Students!$A:$A,AR$2)+countifs(Students!$R:$R,$AE38,Students!$S:$S,$AE$2&amp;if($K38="S1","a",if($K38="S2","b","")),Students!$A:$A,AR$2)+countifs(Students!$T:$T,$AE38,Students!$U:$U,$AE$2&amp;if($K38="S1","a",if($K38="S2","b","")),Students!$A:$A,AR$2)+countifs(Students!$V:$V,$AE38,Students!$W:$W,$AE$2&amp;if($K38="S1","a",if($K38="S2","b","")),Students!$A:$A,AR$2)+
countifs(Students!$D:$D,$AH38,Students!$E:$E,$AH$2&amp;if($K38="S1","a",if($K38="S2","b","")),Students!$A:$A,AR$2)+countifs(Students!$F:$F,$AH38,Students!$G:$G,$AH$2&amp;if($K38="S1","a",if($K38="S2","b","")),Students!$A:$A,AR$2)+countifs(Students!$H:$H,$AH38,Students!$I:$I,$AH$2&amp;if($K38="S1","a",if($K38="S2","b","")),Students!$A:$A,AR$2)+countifs(Students!$J:$J,$AH38,Students!$K:$K,$AH$2&amp;if($K38="S1","a",if($K38="S2","b","")),Students!$A:$A,AR$2)+countifs(Students!$L:$L,$AH38,Students!$M:$M,$AH$2&amp;if($K38="S1","a",if($K38="S2","b","")),Students!$A:$A,AR$2)+countifs(Students!$N:$N,$AH38,Students!$O:$O,$AH$2&amp;if($K38="S1","a",if($K38="S2","b","")),Students!$A:$A,AR$2)+countifs(Students!$P:$P,$AH38,Students!$Q:$Q,$AH$2&amp;if($K38="S1","a",if($K38="S2","b","")),Students!$A:$A,AR$2)+countifs(Students!$R:$R,$AH38,Students!$S:$S,$AH$2&amp;if($K38="S1","a",if($K38="S2","b","")),Students!$A:$A,AR$2)+countifs(Students!$T:$T,$AH38,Students!$U:$U,$AH$2&amp;if($K38="S1","a",if($K38="S2","b","")),Students!$A:$A,AR$2)+countifs(Students!$V:$V,$AH38,Students!$W:$W,$AH$2&amp;if($K38="S1","a",if($K38="S2","b","")),Students!$A:$A,AR$2)+
countifs(Students!$D:$D,$AK38,Students!$E:$E,$AK$2&amp;if($K38="S1","a",if($K38="S2","b","")),Students!$A:$A,AR$2)+countifs(Students!$F:$F,$AK38,Students!$G:$G,$AK$2&amp;if($K38="S1","a",if($K38="S2","b","")),Students!$A:$A,AR$2)+countifs(Students!$H:$H,$AK38,Students!$I:$I,$AK$2&amp;if($K38="S1","a",if($K38="S2","b","")),Students!$A:$A,AR$2)+countifs(Students!$J:$J,$AK38,Students!$K:$K,$AK$2&amp;if($K38="S1","a",if($K38="S2","b","")),Students!$A:$A,AR$2)+countifs(Students!$L:$L,$AK38,Students!$M:$M,$AK$2&amp;if($K38="S1","a",if($K38="S2","b","")),Students!$A:$A,AR$2)+countifs(Students!$N:$N,$AK38,Students!$O:$O,$AK$2&amp;if($K38="S1","a",if($K38="S2","b","")),Students!$A:$A,AR$2)+countifs(Students!$P:$P,$AK38,Students!$Q:$Q,$AK$2&amp;if($K38="S1","a",if($K38="S2","b","")),Students!$A:$A,AR$2)+countifs(Students!$R:$R,$AK38,Students!$S:$S,$AK$2&amp;if($K38="S1","a",if($K38="S2","b","")),Students!$A:$A,AR$2)+countifs(Students!$T:$T,$AK38,Students!$U:$U,$AK$2&amp;if($K38="S1","a",if($K38="S2","b","")),Students!$A:$A,AR$2)+countifs(Students!$V:$V,$AK38,Students!$W:$W,$AK$2&amp;if($K38="S1","a",if($K38="S2","b","")),Students!$A:$A,AR$2))</f>
        <v>19</v>
      </c>
      <c r="AS38" s="102">
        <f>if($L38="","",countifs(Students!$D:$D,$P38,Students!$E:$E,$P$2&amp;if($K38="S1","a",if($K38="S2","b","")),Students!$A:$A,AS$2)+countifs(Students!$F:$F,$P38,Students!$G:$G,$P$2&amp;if($K38="S1","a",if($K38="S2","b","")),Students!$A:$A,AS$2)+countifs(Students!$H:$H,$P38,Students!$I:$I,$P$2&amp;if($K38="S1","a",if($K38="S2","b","")),Students!$A:$A,AS$2)+countifs(Students!$J:$J,$P38,Students!$K:$K,$P$2&amp;if($K38="S1","a",if($K38="S2","b","")),Students!$A:$A,AS$2)+countifs(Students!$L:$L,$P38,Students!$M:$M,$P$2&amp;if($K38="S1","a",if($K38="S2","b","")),Students!$A:$A,AS$2)+countifs(Students!$N:$N,$P38,Students!$O:$O,$P$2&amp;if($K38="S1","a",if($K38="S2","b","")),Students!$A:$A,AS$2)+countifs(Students!$P:$P,$P38,Students!$Q:$Q,$P$2&amp;if($K38="S1","a",if($K38="S2","b","")),Students!$A:$A,AS$2)+countifs(Students!$R:$R,$P38,Students!$S:$S,$P$2&amp;if($K38="S1","a",if($K38="S2","b","")),Students!$A:$A,AS$2)+countifs(Students!$T:$T,$P38,Students!$U:$U,$P$2&amp;if($K38="S1","a",if($K38="S2","b","")),Students!$A:$A,AS$2)+countifs(Students!$V:$V,$P38,Students!$W:$W,$P$2&amp;if($K38="S1","a",if($K38="S2","b","")),Students!$A:$A,AS$2)+
countifs(Students!$D:$D,$S38,Students!$E:$E,$S$2&amp;if($K38="S1","a",if($K38="S2","b","")),Students!$A:$A,AS$2)+countifs(Students!$F:$F,$S38,Students!$G:$G,$S$2&amp;if($K38="S1","a",if($K38="S2","b","")),Students!$A:$A,AS$2)+countifs(Students!$H:$H,$S38,Students!$I:$I,$S$2&amp;if($K38="S1","a",if($K38="S2","b","")),Students!$A:$A,AS$2)+countifs(Students!$J:$J,$S38,Students!$K:$K,$S$2&amp;if($K38="S1","a",if($K38="S2","b","")),Students!$A:$A,AS$2)+countifs(Students!$L:$L,$S38,Students!$M:$M,$S$2&amp;if($K38="S1","a",if($K38="S2","b","")),Students!$A:$A,AS$2)+countifs(Students!$N:$N,$S38,Students!$O:$O,$S$2&amp;if($K38="S1","a",if($K38="S2","b","")),Students!$A:$A,AS$2)+countifs(Students!$P:$P,$S38,Students!$Q:$Q,$S$2&amp;if($K38="S1","a",if($K38="S2","b","")),Students!$A:$A,AS$2)+countifs(Students!$R:$R,$S38,Students!$S:$S,$S$2&amp;if($K38="S1","a",if($K38="S2","b","")),Students!$A:$A,AS$2)+countifs(Students!$T:$T,$S38,Students!$U:$U,$S$2&amp;if($K38="S1","a",if($K38="S2","b","")),Students!$A:$A,AS$2)+countifs(Students!$V:$V,$S38,Students!$W:$W,$S$2&amp;if($K38="S1","a",if($K38="S2","b","")),Students!$A:$A,AS$2)+
countifs(Students!$D:$D,$V38,Students!$E:$E,$V$2&amp;if($K38="S1","a",if($K38="S2","b","")),Students!$A:$A,AS$2)+countifs(Students!$F:$F,$V38,Students!$G:$G,$V$2&amp;if($K38="S1","a",if($K38="S2","b","")),Students!$A:$A,AS$2)+countifs(Students!$H:$H,$V38,Students!$I:$I,$V$2&amp;if($K38="S1","a",if($K38="S2","b","")),Students!$A:$A,AS$2)+countifs(Students!$J:$J,$V38,Students!$K:$K,$V$2&amp;if($K38="S1","a",if($K38="S2","b","")),Students!$A:$A,AS$2)+countifs(Students!$L:$L,$V38,Students!$M:$M,$V$2&amp;if($K38="S1","a",if($K38="S2","b","")),Students!$A:$A,AS$2)+countifs(Students!$N:$N,$V38,Students!$O:$O,$V$2&amp;if($K38="S1","a",if($K38="S2","b","")),Students!$A:$A,AS$2)+countifs(Students!$P:$P,$V38,Students!$Q:$Q,$V$2&amp;if($K38="S1","a",if($K38="S2","b","")),Students!$A:$A,AS$2)+countifs(Students!$R:$R,$V38,Students!$S:$S,$V$2&amp;if($K38="S1","a",if($K38="S2","b","")),Students!$A:$A,AS$2)+countifs(Students!$T:$T,$V38,Students!$U:$U,$V$2&amp;if($K38="S1","a",if($K38="S2","b","")),Students!$A:$A,AS$2)+countifs(Students!$V:$V,$V38,Students!$W:$W,$V$2&amp;if($K38="S1","a",if($K38="S2","b","")),Students!$A:$A,AS$2)+
countifs(Students!$D:$D,$Y38,Students!$E:$E,$Y$2&amp;if($K38="S1","a",if($K38="S2","b","")),Students!$A:$A,AS$2)+countifs(Students!$F:$F,$Y38,Students!$G:$G,$Y$2&amp;if($K38="S1","a",if($K38="S2","b","")),Students!$A:$A,AS$2)+countifs(Students!$H:$H,$Y38,Students!$I:$I,$Y$2&amp;if($K38="S1","a",if($K38="S2","b","")),Students!$A:$A,AS$2)+countifs(Students!$J:$J,$Y38,Students!$K:$K,$Y$2&amp;if($K38="S1","a",if($K38="S2","b","")),Students!$A:$A,AS$2)+countifs(Students!$L:$L,$Y38,Students!$M:$M,$Y$2&amp;if($K38="S1","a",if($K38="S2","b","")),Students!$A:$A,AS$2)+countifs(Students!$N:$N,$Y38,Students!$O:$O,$Y$2&amp;if($K38="S1","a",if($K38="S2","b","")),Students!$A:$A,AS$2)+countifs(Students!$P:$P,$Y38,Students!$Q:$Q,$Y$2&amp;if($K38="S1","a",if($K38="S2","b","")),Students!$A:$A,AS$2)+countifs(Students!$R:$R,$Y38,Students!$S:$S,$Y$2&amp;if($K38="S1","a",if($K38="S2","b","")),Students!$A:$A,AS$2)+countifs(Students!$T:$T,$Y38,Students!$U:$U,$Y$2&amp;if($K38="S1","a",if($K38="S2","b","")),Students!$A:$A,AS$2)+countifs(Students!$V:$V,$Y38,Students!$W:$W,$Y$2&amp;if($K38="S1","a",if($K38="S2","b","")),Students!$A:$A,AS$2)+
countifs(Students!$D:$D,$AB38,Students!$E:$E,$AB$2&amp;if($K38="S1","a",if($K38="S2","b","")),Students!$A:$A,AS$2)+countifs(Students!$F:$F,$AB38,Students!$G:$G,$AB$2&amp;if($K38="S1","a",if($K38="S2","b","")),Students!$A:$A,AS$2)+countifs(Students!$H:$H,$AB38,Students!$I:$I,$AB$2&amp;if($K38="S1","a",if($K38="S2","b","")),Students!$A:$A,AS$2)+countifs(Students!$J:$J,$AB38,Students!$K:$K,$AB$2&amp;if($K38="S1","a",if($K38="S2","b","")),Students!$A:$A,AS$2)+countifs(Students!$L:$L,$AB38,Students!$M:$M,$AB$2&amp;if($K38="S1","a",if($K38="S2","b","")),Students!$A:$A,AS$2)+countifs(Students!$N:$N,$AB38,Students!$O:$O,$AB$2&amp;if($K38="S1","a",if($K38="S2","b","")),Students!$A:$A,AS$2)+countifs(Students!$P:$P,$AB38,Students!$Q:$Q,$AB$2&amp;if($K38="S1","a",if($K38="S2","b","")),Students!$A:$A,AS$2)+countifs(Students!$R:$R,$AB38,Students!$S:$S,$AB$2&amp;if($K38="S1","a",if($K38="S2","b","")),Students!$A:$A,AS$2)+countifs(Students!$T:$T,$AB38,Students!$U:$U,$AB$2&amp;if($K38="S1","a",if($K38="S2","b","")),Students!$A:$A,AS$2)+countifs(Students!$V:$V,$AB38,Students!$W:$W,$AB$2&amp;if($K38="S1","a",if($K38="S2","b","")),Students!$A:$A,AS$2)+
countifs(Students!$D:$D,$AE38,Students!$E:$E,$AE$2&amp;if($K38="S1","a",if($K38="S2","b","")),Students!$A:$A,AS$2)+countifs(Students!$F:$F,$AE38,Students!$G:$G,$AE$2&amp;if($K38="S1","a",if($K38="S2","b","")),Students!$A:$A,AS$2)+countifs(Students!$H:$H,$AE38,Students!$I:$I,$AE$2&amp;if($K38="S1","a",if($K38="S2","b","")),Students!$A:$A,AS$2)+countifs(Students!$J:$J,$AE38,Students!$K:$K,$AE$2&amp;if($K38="S1","a",if($K38="S2","b","")),Students!$A:$A,AS$2)+countifs(Students!$L:$L,$AE38,Students!$M:$M,$AE$2&amp;if($K38="S1","a",if($K38="S2","b","")),Students!$A:$A,AS$2)+countifs(Students!$N:$N,$AE38,Students!$O:$O,$AE$2&amp;if($K38="S1","a",if($K38="S2","b","")),Students!$A:$A,AS$2)+countifs(Students!$P:$P,$AE38,Students!$Q:$Q,$AE$2&amp;if($K38="S1","a",if($K38="S2","b","")),Students!$A:$A,AS$2)+countifs(Students!$R:$R,$AE38,Students!$S:$S,$AE$2&amp;if($K38="S1","a",if($K38="S2","b","")),Students!$A:$A,AS$2)+countifs(Students!$T:$T,$AE38,Students!$U:$U,$AE$2&amp;if($K38="S1","a",if($K38="S2","b","")),Students!$A:$A,AS$2)+countifs(Students!$V:$V,$AE38,Students!$W:$W,$AE$2&amp;if($K38="S1","a",if($K38="S2","b","")),Students!$A:$A,AS$2)+
countifs(Students!$D:$D,$AH38,Students!$E:$E,$AH$2&amp;if($K38="S1","a",if($K38="S2","b","")),Students!$A:$A,AS$2)+countifs(Students!$F:$F,$AH38,Students!$G:$G,$AH$2&amp;if($K38="S1","a",if($K38="S2","b","")),Students!$A:$A,AS$2)+countifs(Students!$H:$H,$AH38,Students!$I:$I,$AH$2&amp;if($K38="S1","a",if($K38="S2","b","")),Students!$A:$A,AS$2)+countifs(Students!$J:$J,$AH38,Students!$K:$K,$AH$2&amp;if($K38="S1","a",if($K38="S2","b","")),Students!$A:$A,AS$2)+countifs(Students!$L:$L,$AH38,Students!$M:$M,$AH$2&amp;if($K38="S1","a",if($K38="S2","b","")),Students!$A:$A,AS$2)+countifs(Students!$N:$N,$AH38,Students!$O:$O,$AH$2&amp;if($K38="S1","a",if($K38="S2","b","")),Students!$A:$A,AS$2)+countifs(Students!$P:$P,$AH38,Students!$Q:$Q,$AH$2&amp;if($K38="S1","a",if($K38="S2","b","")),Students!$A:$A,AS$2)+countifs(Students!$R:$R,$AH38,Students!$S:$S,$AH$2&amp;if($K38="S1","a",if($K38="S2","b","")),Students!$A:$A,AS$2)+countifs(Students!$T:$T,$AH38,Students!$U:$U,$AH$2&amp;if($K38="S1","a",if($K38="S2","b","")),Students!$A:$A,AS$2)+countifs(Students!$V:$V,$AH38,Students!$W:$W,$AH$2&amp;if($K38="S1","a",if($K38="S2","b","")),Students!$A:$A,AS$2)+
countifs(Students!$D:$D,$AK38,Students!$E:$E,$AK$2&amp;if($K38="S1","a",if($K38="S2","b","")),Students!$A:$A,AS$2)+countifs(Students!$F:$F,$AK38,Students!$G:$G,$AK$2&amp;if($K38="S1","a",if($K38="S2","b","")),Students!$A:$A,AS$2)+countifs(Students!$H:$H,$AK38,Students!$I:$I,$AK$2&amp;if($K38="S1","a",if($K38="S2","b","")),Students!$A:$A,AS$2)+countifs(Students!$J:$J,$AK38,Students!$K:$K,$AK$2&amp;if($K38="S1","a",if($K38="S2","b","")),Students!$A:$A,AS$2)+countifs(Students!$L:$L,$AK38,Students!$M:$M,$AK$2&amp;if($K38="S1","a",if($K38="S2","b","")),Students!$A:$A,AS$2)+countifs(Students!$N:$N,$AK38,Students!$O:$O,$AK$2&amp;if($K38="S1","a",if($K38="S2","b","")),Students!$A:$A,AS$2)+countifs(Students!$P:$P,$AK38,Students!$Q:$Q,$AK$2&amp;if($K38="S1","a",if($K38="S2","b","")),Students!$A:$A,AS$2)+countifs(Students!$R:$R,$AK38,Students!$S:$S,$AK$2&amp;if($K38="S1","a",if($K38="S2","b","")),Students!$A:$A,AS$2)+countifs(Students!$T:$T,$AK38,Students!$U:$U,$AK$2&amp;if($K38="S1","a",if($K38="S2","b","")),Students!$A:$A,AS$2)+countifs(Students!$V:$V,$AK38,Students!$W:$W,$AK$2&amp;if($K38="S1","a",if($K38="S2","b","")),Students!$A:$A,AS$2))</f>
        <v>106</v>
      </c>
    </row>
    <row r="39">
      <c r="J39" s="87">
        <v>23.0</v>
      </c>
      <c r="K39" s="88"/>
      <c r="L39" s="58" t="s">
        <v>116</v>
      </c>
      <c r="M39" s="107"/>
      <c r="N39" s="87">
        <v>2.0</v>
      </c>
      <c r="O39" s="87">
        <f>IFERROR(__xludf.DUMMYFUNCTION("3*counta((transpose(filter(P39:AM39,P39:AM39&lt;&gt;"""",isnumber(P39:AM39)=false))))"),6.0)</f>
        <v>6</v>
      </c>
      <c r="P39" s="90"/>
      <c r="Q39" s="91"/>
      <c r="R39" s="92" t="s">
        <v>22</v>
      </c>
      <c r="S39" s="91"/>
      <c r="T39" s="101"/>
      <c r="U39" s="92" t="s">
        <v>22</v>
      </c>
      <c r="V39" s="91" t="s">
        <v>117</v>
      </c>
      <c r="W39" s="91">
        <v>1.0</v>
      </c>
      <c r="X39" s="92">
        <v>20.0</v>
      </c>
      <c r="Y39" s="90" t="s">
        <v>118</v>
      </c>
      <c r="Z39" s="101">
        <v>1.0</v>
      </c>
      <c r="AA39" s="98">
        <v>3.0</v>
      </c>
      <c r="AB39" s="101"/>
      <c r="AC39" s="101"/>
      <c r="AD39" s="98" t="s">
        <v>22</v>
      </c>
      <c r="AE39" s="90"/>
      <c r="AF39" s="117"/>
      <c r="AG39" s="98" t="s">
        <v>22</v>
      </c>
      <c r="AH39" s="101"/>
      <c r="AI39" s="97"/>
      <c r="AJ39" s="98" t="s">
        <v>22</v>
      </c>
      <c r="AK39" s="91"/>
      <c r="AL39" s="97"/>
      <c r="AM39" s="98" t="s">
        <v>22</v>
      </c>
      <c r="AN39" s="99"/>
      <c r="AO39" s="52">
        <f t="shared" si="2"/>
        <v>23</v>
      </c>
      <c r="AP39" s="102">
        <f>if($L39="","",countifs(Students!$D:$D,$P39,Students!$E:$E,$P$2&amp;if($K39="S1","a",if($K39="S2","b","")),Students!$A:$A,AP$2)+countifs(Students!$F:$F,$P39,Students!$G:$G,$P$2&amp;if($K39="S1","a",if($K39="S2","b","")),Students!$A:$A,AP$2)+countifs(Students!$H:$H,$P39,Students!$I:$I,$P$2&amp;if($K39="S1","a",if($K39="S2","b","")),Students!$A:$A,AP$2)+countifs(Students!$J:$J,$P39,Students!$K:$K,$P$2&amp;if($K39="S1","a",if($K39="S2","b","")),Students!$A:$A,AP$2)+countifs(Students!$L:$L,$P39,Students!$M:$M,$P$2&amp;if($K39="S1","a",if($K39="S2","b","")),Students!$A:$A,AP$2)+countifs(Students!$N:$N,$P39,Students!$O:$O,$P$2&amp;if($K39="S1","a",if($K39="S2","b","")),Students!$A:$A,AP$2)+countifs(Students!$P:$P,$P39,Students!$Q:$Q,$P$2&amp;if($K39="S1","a",if($K39="S2","b","")),Students!$A:$A,AP$2)+countifs(Students!$R:$R,$P39,Students!$S:$S,$P$2&amp;if($K39="S1","a",if($K39="S2","b","")),Students!$A:$A,AP$2)+countifs(Students!$T:$T,$P39,Students!$U:$U,$P$2&amp;if($K39="S1","a",if($K39="S2","b","")),Students!$A:$A,AP$2)+countifs(Students!$V:$V,$P39,Students!$W:$W,$P$2&amp;if($K39="S1","a",if($K39="S2","b","")),Students!$A:$A,AP$2)+
countifs(Students!$D:$D,$S39,Students!$E:$E,$S$2&amp;if($K39="S1","a",if($K39="S2","b","")),Students!$A:$A,AP$2)+countifs(Students!$F:$F,$S39,Students!$G:$G,$S$2&amp;if($K39="S1","a",if($K39="S2","b","")),Students!$A:$A,AP$2)+countifs(Students!$H:$H,$S39,Students!$I:$I,$S$2&amp;if($K39="S1","a",if($K39="S2","b","")),Students!$A:$A,AP$2)+countifs(Students!$J:$J,$S39,Students!$K:$K,$S$2&amp;if($K39="S1","a",if($K39="S2","b","")),Students!$A:$A,AP$2)+countifs(Students!$L:$L,$S39,Students!$M:$M,$S$2&amp;if($K39="S1","a",if($K39="S2","b","")),Students!$A:$A,AP$2)+countifs(Students!$N:$N,$S39,Students!$O:$O,$S$2&amp;if($K39="S1","a",if($K39="S2","b","")),Students!$A:$A,AP$2)+countifs(Students!$P:$P,$S39,Students!$Q:$Q,$S$2&amp;if($K39="S1","a",if($K39="S2","b","")),Students!$A:$A,AP$2)+countifs(Students!$R:$R,$S39,Students!$S:$S,$S$2&amp;if($K39="S1","a",if($K39="S2","b","")),Students!$A:$A,AP$2)+countifs(Students!$T:$T,$S39,Students!$U:$U,$S$2&amp;if($K39="S1","a",if($K39="S2","b","")),Students!$A:$A,AP$2)+countifs(Students!$V:$V,$S39,Students!$W:$W,$S$2&amp;if($K39="S1","a",if($K39="S2","b","")),Students!$A:$A,AP$2)+
countifs(Students!$D:$D,$V39,Students!$E:$E,$V$2&amp;if($K39="S1","a",if($K39="S2","b","")),Students!$A:$A,AP$2)+countifs(Students!$F:$F,$V39,Students!$G:$G,$V$2&amp;if($K39="S1","a",if($K39="S2","b","")),Students!$A:$A,AP$2)+countifs(Students!$H:$H,$V39,Students!$I:$I,$V$2&amp;if($K39="S1","a",if($K39="S2","b","")),Students!$A:$A,AP$2)+countifs(Students!$J:$J,$V39,Students!$K:$K,$V$2&amp;if($K39="S1","a",if($K39="S2","b","")),Students!$A:$A,AP$2)+countifs(Students!$L:$L,$V39,Students!$M:$M,$V$2&amp;if($K39="S1","a",if($K39="S2","b","")),Students!$A:$A,AP$2)+countifs(Students!$N:$N,$V39,Students!$O:$O,$V$2&amp;if($K39="S1","a",if($K39="S2","b","")),Students!$A:$A,AP$2)+countifs(Students!$P:$P,$V39,Students!$Q:$Q,$V$2&amp;if($K39="S1","a",if($K39="S2","b","")),Students!$A:$A,AP$2)+countifs(Students!$R:$R,$V39,Students!$S:$S,$V$2&amp;if($K39="S1","a",if($K39="S2","b","")),Students!$A:$A,AP$2)+countifs(Students!$T:$T,$V39,Students!$U:$U,$V$2&amp;if($K39="S1","a",if($K39="S2","b","")),Students!$A:$A,AP$2)+countifs(Students!$V:$V,$V39,Students!$W:$W,$V$2&amp;if($K39="S1","a",if($K39="S2","b","")),Students!$A:$A,AP$2)+
countifs(Students!$D:$D,$Y39,Students!$E:$E,$Y$2&amp;if($K39="S1","a",if($K39="S2","b","")),Students!$A:$A,AP$2)+countifs(Students!$F:$F,$Y39,Students!$G:$G,$Y$2&amp;if($K39="S1","a",if($K39="S2","b","")),Students!$A:$A,AP$2)+countifs(Students!$H:$H,$Y39,Students!$I:$I,$Y$2&amp;if($K39="S1","a",if($K39="S2","b","")),Students!$A:$A,AP$2)+countifs(Students!$J:$J,$Y39,Students!$K:$K,$Y$2&amp;if($K39="S1","a",if($K39="S2","b","")),Students!$A:$A,AP$2)+countifs(Students!$L:$L,$Y39,Students!$M:$M,$Y$2&amp;if($K39="S1","a",if($K39="S2","b","")),Students!$A:$A,AP$2)+countifs(Students!$N:$N,$Y39,Students!$O:$O,$Y$2&amp;if($K39="S1","a",if($K39="S2","b","")),Students!$A:$A,AP$2)+countifs(Students!$P:$P,$Y39,Students!$Q:$Q,$Y$2&amp;if($K39="S1","a",if($K39="S2","b","")),Students!$A:$A,AP$2)+countifs(Students!$R:$R,$Y39,Students!$S:$S,$Y$2&amp;if($K39="S1","a",if($K39="S2","b","")),Students!$A:$A,AP$2)+countifs(Students!$T:$T,$Y39,Students!$U:$U,$Y$2&amp;if($K39="S1","a",if($K39="S2","b","")),Students!$A:$A,AP$2)+countifs(Students!$V:$V,$Y39,Students!$W:$W,$Y$2&amp;if($K39="S1","a",if($K39="S2","b","")),Students!$A:$A,AP$2)+
countifs(Students!$D:$D,$AB39,Students!$E:$E,$AB$2&amp;if($K39="S1","a",if($K39="S2","b","")),Students!$A:$A,AP$2)+countifs(Students!$F:$F,$AB39,Students!$G:$G,$AB$2&amp;if($K39="S1","a",if($K39="S2","b","")),Students!$A:$A,AP$2)+countifs(Students!$H:$H,$AB39,Students!$I:$I,$AB$2&amp;if($K39="S1","a",if($K39="S2","b","")),Students!$A:$A,AP$2)+countifs(Students!$J:$J,$AB39,Students!$K:$K,$AB$2&amp;if($K39="S1","a",if($K39="S2","b","")),Students!$A:$A,AP$2)+countifs(Students!$L:$L,$AB39,Students!$M:$M,$AB$2&amp;if($K39="S1","a",if($K39="S2","b","")),Students!$A:$A,AP$2)+countifs(Students!$N:$N,$AB39,Students!$O:$O,$AB$2&amp;if($K39="S1","a",if($K39="S2","b","")),Students!$A:$A,AP$2)+countifs(Students!$P:$P,$AB39,Students!$Q:$Q,$AB$2&amp;if($K39="S1","a",if($K39="S2","b","")),Students!$A:$A,AP$2)+countifs(Students!$R:$R,$AB39,Students!$S:$S,$AB$2&amp;if($K39="S1","a",if($K39="S2","b","")),Students!$A:$A,AP$2)+countifs(Students!$T:$T,$AB39,Students!$U:$U,$AB$2&amp;if($K39="S1","a",if($K39="S2","b","")),Students!$A:$A,AP$2)+countifs(Students!$V:$V,$AB39,Students!$W:$W,$AB$2&amp;if($K39="S1","a",if($K39="S2","b","")),Students!$A:$A,AP$2)+
countifs(Students!$D:$D,$AE39,Students!$E:$E,$AE$2&amp;if($K39="S1","a",if($K39="S2","b","")),Students!$A:$A,AP$2)+countifs(Students!$F:$F,$AE39,Students!$G:$G,$AE$2&amp;if($K39="S1","a",if($K39="S2","b","")),Students!$A:$A,AP$2)+countifs(Students!$H:$H,$AE39,Students!$I:$I,$AE$2&amp;if($K39="S1","a",if($K39="S2","b","")),Students!$A:$A,AP$2)+countifs(Students!$J:$J,$AE39,Students!$K:$K,$AE$2&amp;if($K39="S1","a",if($K39="S2","b","")),Students!$A:$A,AP$2)+countifs(Students!$L:$L,$AE39,Students!$M:$M,$AE$2&amp;if($K39="S1","a",if($K39="S2","b","")),Students!$A:$A,AP$2)+countifs(Students!$N:$N,$AE39,Students!$O:$O,$AE$2&amp;if($K39="S1","a",if($K39="S2","b","")),Students!$A:$A,AP$2)+countifs(Students!$P:$P,$AE39,Students!$Q:$Q,$AE$2&amp;if($K39="S1","a",if($K39="S2","b","")),Students!$A:$A,AP$2)+countifs(Students!$R:$R,$AE39,Students!$S:$S,$AE$2&amp;if($K39="S1","a",if($K39="S2","b","")),Students!$A:$A,AP$2)+countifs(Students!$T:$T,$AE39,Students!$U:$U,$AE$2&amp;if($K39="S1","a",if($K39="S2","b","")),Students!$A:$A,AP$2)+countifs(Students!$V:$V,$AE39,Students!$W:$W,$AE$2&amp;if($K39="S1","a",if($K39="S2","b","")),Students!$A:$A,AP$2)+
countifs(Students!$D:$D,$AH39,Students!$E:$E,$AH$2&amp;if($K39="S1","a",if($K39="S2","b","")),Students!$A:$A,AP$2)+countifs(Students!$F:$F,$AH39,Students!$G:$G,$AH$2&amp;if($K39="S1","a",if($K39="S2","b","")),Students!$A:$A,AP$2)+countifs(Students!$H:$H,$AH39,Students!$I:$I,$AH$2&amp;if($K39="S1","a",if($K39="S2","b","")),Students!$A:$A,AP$2)+countifs(Students!$J:$J,$AH39,Students!$K:$K,$AH$2&amp;if($K39="S1","a",if($K39="S2","b","")),Students!$A:$A,AP$2)+countifs(Students!$L:$L,$AH39,Students!$M:$M,$AH$2&amp;if($K39="S1","a",if($K39="S2","b","")),Students!$A:$A,AP$2)+countifs(Students!$N:$N,$AH39,Students!$O:$O,$AH$2&amp;if($K39="S1","a",if($K39="S2","b","")),Students!$A:$A,AP$2)+countifs(Students!$P:$P,$AH39,Students!$Q:$Q,$AH$2&amp;if($K39="S1","a",if($K39="S2","b","")),Students!$A:$A,AP$2)+countifs(Students!$R:$R,$AH39,Students!$S:$S,$AH$2&amp;if($K39="S1","a",if($K39="S2","b","")),Students!$A:$A,AP$2)+countifs(Students!$T:$T,$AH39,Students!$U:$U,$AH$2&amp;if($K39="S1","a",if($K39="S2","b","")),Students!$A:$A,AP$2)+countifs(Students!$V:$V,$AH39,Students!$W:$W,$AH$2&amp;if($K39="S1","a",if($K39="S2","b","")),Students!$A:$A,AP$2)+
countifs(Students!$D:$D,$AK39,Students!$E:$E,$AK$2&amp;if($K39="S1","a",if($K39="S2","b","")),Students!$A:$A,AP$2)+countifs(Students!$F:$F,$AK39,Students!$G:$G,$AK$2&amp;if($K39="S1","a",if($K39="S2","b","")),Students!$A:$A,AP$2)+countifs(Students!$H:$H,$AK39,Students!$I:$I,$AK$2&amp;if($K39="S1","a",if($K39="S2","b","")),Students!$A:$A,AP$2)+countifs(Students!$J:$J,$AK39,Students!$K:$K,$AK$2&amp;if($K39="S1","a",if($K39="S2","b","")),Students!$A:$A,AP$2)+countifs(Students!$L:$L,$AK39,Students!$M:$M,$AK$2&amp;if($K39="S1","a",if($K39="S2","b","")),Students!$A:$A,AP$2)+countifs(Students!$N:$N,$AK39,Students!$O:$O,$AK$2&amp;if($K39="S1","a",if($K39="S2","b","")),Students!$A:$A,AP$2)+countifs(Students!$P:$P,$AK39,Students!$Q:$Q,$AK$2&amp;if($K39="S1","a",if($K39="S2","b","")),Students!$A:$A,AP$2)+countifs(Students!$R:$R,$AK39,Students!$S:$S,$AK$2&amp;if($K39="S1","a",if($K39="S2","b","")),Students!$A:$A,AP$2)+countifs(Students!$T:$T,$AK39,Students!$U:$U,$AK$2&amp;if($K39="S1","a",if($K39="S2","b","")),Students!$A:$A,AP$2)+countifs(Students!$V:$V,$AK39,Students!$W:$W,$AK$2&amp;if($K39="S1","a",if($K39="S2","b","")),Students!$A:$A,AP$2))</f>
        <v>0</v>
      </c>
      <c r="AQ39" s="102">
        <f>if($L39="","",countifs(Students!$D:$D,$P39,Students!$E:$E,$P$2&amp;if($K39="S1","a",if($K39="S2","b","")),Students!$A:$A,AQ$2)+countifs(Students!$F:$F,$P39,Students!$G:$G,$P$2&amp;if($K39="S1","a",if($K39="S2","b","")),Students!$A:$A,AQ$2)+countifs(Students!$H:$H,$P39,Students!$I:$I,$P$2&amp;if($K39="S1","a",if($K39="S2","b","")),Students!$A:$A,AQ$2)+countifs(Students!$J:$J,$P39,Students!$K:$K,$P$2&amp;if($K39="S1","a",if($K39="S2","b","")),Students!$A:$A,AQ$2)+countifs(Students!$L:$L,$P39,Students!$M:$M,$P$2&amp;if($K39="S1","a",if($K39="S2","b","")),Students!$A:$A,AQ$2)+countifs(Students!$N:$N,$P39,Students!$O:$O,$P$2&amp;if($K39="S1","a",if($K39="S2","b","")),Students!$A:$A,AQ$2)+countifs(Students!$P:$P,$P39,Students!$Q:$Q,$P$2&amp;if($K39="S1","a",if($K39="S2","b","")),Students!$A:$A,AQ$2)+countifs(Students!$R:$R,$P39,Students!$S:$S,$P$2&amp;if($K39="S1","a",if($K39="S2","b","")),Students!$A:$A,AQ$2)+countifs(Students!$T:$T,$P39,Students!$U:$U,$P$2&amp;if($K39="S1","a",if($K39="S2","b","")),Students!$A:$A,AQ$2)+countifs(Students!$V:$V,$P39,Students!$W:$W,$P$2&amp;if($K39="S1","a",if($K39="S2","b","")),Students!$A:$A,AQ$2)+
countifs(Students!$D:$D,$S39,Students!$E:$E,$S$2&amp;if($K39="S1","a",if($K39="S2","b","")),Students!$A:$A,AQ$2)+countifs(Students!$F:$F,$S39,Students!$G:$G,$S$2&amp;if($K39="S1","a",if($K39="S2","b","")),Students!$A:$A,AQ$2)+countifs(Students!$H:$H,$S39,Students!$I:$I,$S$2&amp;if($K39="S1","a",if($K39="S2","b","")),Students!$A:$A,AQ$2)+countifs(Students!$J:$J,$S39,Students!$K:$K,$S$2&amp;if($K39="S1","a",if($K39="S2","b","")),Students!$A:$A,AQ$2)+countifs(Students!$L:$L,$S39,Students!$M:$M,$S$2&amp;if($K39="S1","a",if($K39="S2","b","")),Students!$A:$A,AQ$2)+countifs(Students!$N:$N,$S39,Students!$O:$O,$S$2&amp;if($K39="S1","a",if($K39="S2","b","")),Students!$A:$A,AQ$2)+countifs(Students!$P:$P,$S39,Students!$Q:$Q,$S$2&amp;if($K39="S1","a",if($K39="S2","b","")),Students!$A:$A,AQ$2)+countifs(Students!$R:$R,$S39,Students!$S:$S,$S$2&amp;if($K39="S1","a",if($K39="S2","b","")),Students!$A:$A,AQ$2)+countifs(Students!$T:$T,$S39,Students!$U:$U,$S$2&amp;if($K39="S1","a",if($K39="S2","b","")),Students!$A:$A,AQ$2)+countifs(Students!$V:$V,$S39,Students!$W:$W,$S$2&amp;if($K39="S1","a",if($K39="S2","b","")),Students!$A:$A,AQ$2)+
countifs(Students!$D:$D,$V39,Students!$E:$E,$V$2&amp;if($K39="S1","a",if($K39="S2","b","")),Students!$A:$A,AQ$2)+countifs(Students!$F:$F,$V39,Students!$G:$G,$V$2&amp;if($K39="S1","a",if($K39="S2","b","")),Students!$A:$A,AQ$2)+countifs(Students!$H:$H,$V39,Students!$I:$I,$V$2&amp;if($K39="S1","a",if($K39="S2","b","")),Students!$A:$A,AQ$2)+countifs(Students!$J:$J,$V39,Students!$K:$K,$V$2&amp;if($K39="S1","a",if($K39="S2","b","")),Students!$A:$A,AQ$2)+countifs(Students!$L:$L,$V39,Students!$M:$M,$V$2&amp;if($K39="S1","a",if($K39="S2","b","")),Students!$A:$A,AQ$2)+countifs(Students!$N:$N,$V39,Students!$O:$O,$V$2&amp;if($K39="S1","a",if($K39="S2","b","")),Students!$A:$A,AQ$2)+countifs(Students!$P:$P,$V39,Students!$Q:$Q,$V$2&amp;if($K39="S1","a",if($K39="S2","b","")),Students!$A:$A,AQ$2)+countifs(Students!$R:$R,$V39,Students!$S:$S,$V$2&amp;if($K39="S1","a",if($K39="S2","b","")),Students!$A:$A,AQ$2)+countifs(Students!$T:$T,$V39,Students!$U:$U,$V$2&amp;if($K39="S1","a",if($K39="S2","b","")),Students!$A:$A,AQ$2)+countifs(Students!$V:$V,$V39,Students!$W:$W,$V$2&amp;if($K39="S1","a",if($K39="S2","b","")),Students!$A:$A,AQ$2)+
countifs(Students!$D:$D,$Y39,Students!$E:$E,$Y$2&amp;if($K39="S1","a",if($K39="S2","b","")),Students!$A:$A,AQ$2)+countifs(Students!$F:$F,$Y39,Students!$G:$G,$Y$2&amp;if($K39="S1","a",if($K39="S2","b","")),Students!$A:$A,AQ$2)+countifs(Students!$H:$H,$Y39,Students!$I:$I,$Y$2&amp;if($K39="S1","a",if($K39="S2","b","")),Students!$A:$A,AQ$2)+countifs(Students!$J:$J,$Y39,Students!$K:$K,$Y$2&amp;if($K39="S1","a",if($K39="S2","b","")),Students!$A:$A,AQ$2)+countifs(Students!$L:$L,$Y39,Students!$M:$M,$Y$2&amp;if($K39="S1","a",if($K39="S2","b","")),Students!$A:$A,AQ$2)+countifs(Students!$N:$N,$Y39,Students!$O:$O,$Y$2&amp;if($K39="S1","a",if($K39="S2","b","")),Students!$A:$A,AQ$2)+countifs(Students!$P:$P,$Y39,Students!$Q:$Q,$Y$2&amp;if($K39="S1","a",if($K39="S2","b","")),Students!$A:$A,AQ$2)+countifs(Students!$R:$R,$Y39,Students!$S:$S,$Y$2&amp;if($K39="S1","a",if($K39="S2","b","")),Students!$A:$A,AQ$2)+countifs(Students!$T:$T,$Y39,Students!$U:$U,$Y$2&amp;if($K39="S1","a",if($K39="S2","b","")),Students!$A:$A,AQ$2)+countifs(Students!$V:$V,$Y39,Students!$W:$W,$Y$2&amp;if($K39="S1","a",if($K39="S2","b","")),Students!$A:$A,AQ$2)+
countifs(Students!$D:$D,$AB39,Students!$E:$E,$AB$2&amp;if($K39="S1","a",if($K39="S2","b","")),Students!$A:$A,AQ$2)+countifs(Students!$F:$F,$AB39,Students!$G:$G,$AB$2&amp;if($K39="S1","a",if($K39="S2","b","")),Students!$A:$A,AQ$2)+countifs(Students!$H:$H,$AB39,Students!$I:$I,$AB$2&amp;if($K39="S1","a",if($K39="S2","b","")),Students!$A:$A,AQ$2)+countifs(Students!$J:$J,$AB39,Students!$K:$K,$AB$2&amp;if($K39="S1","a",if($K39="S2","b","")),Students!$A:$A,AQ$2)+countifs(Students!$L:$L,$AB39,Students!$M:$M,$AB$2&amp;if($K39="S1","a",if($K39="S2","b","")),Students!$A:$A,AQ$2)+countifs(Students!$N:$N,$AB39,Students!$O:$O,$AB$2&amp;if($K39="S1","a",if($K39="S2","b","")),Students!$A:$A,AQ$2)+countifs(Students!$P:$P,$AB39,Students!$Q:$Q,$AB$2&amp;if($K39="S1","a",if($K39="S2","b","")),Students!$A:$A,AQ$2)+countifs(Students!$R:$R,$AB39,Students!$S:$S,$AB$2&amp;if($K39="S1","a",if($K39="S2","b","")),Students!$A:$A,AQ$2)+countifs(Students!$T:$T,$AB39,Students!$U:$U,$AB$2&amp;if($K39="S1","a",if($K39="S2","b","")),Students!$A:$A,AQ$2)+countifs(Students!$V:$V,$AB39,Students!$W:$W,$AB$2&amp;if($K39="S1","a",if($K39="S2","b","")),Students!$A:$A,AQ$2)+
countifs(Students!$D:$D,$AE39,Students!$E:$E,$AE$2&amp;if($K39="S1","a",if($K39="S2","b","")),Students!$A:$A,AQ$2)+countifs(Students!$F:$F,$AE39,Students!$G:$G,$AE$2&amp;if($K39="S1","a",if($K39="S2","b","")),Students!$A:$A,AQ$2)+countifs(Students!$H:$H,$AE39,Students!$I:$I,$AE$2&amp;if($K39="S1","a",if($K39="S2","b","")),Students!$A:$A,AQ$2)+countifs(Students!$J:$J,$AE39,Students!$K:$K,$AE$2&amp;if($K39="S1","a",if($K39="S2","b","")),Students!$A:$A,AQ$2)+countifs(Students!$L:$L,$AE39,Students!$M:$M,$AE$2&amp;if($K39="S1","a",if($K39="S2","b","")),Students!$A:$A,AQ$2)+countifs(Students!$N:$N,$AE39,Students!$O:$O,$AE$2&amp;if($K39="S1","a",if($K39="S2","b","")),Students!$A:$A,AQ$2)+countifs(Students!$P:$P,$AE39,Students!$Q:$Q,$AE$2&amp;if($K39="S1","a",if($K39="S2","b","")),Students!$A:$A,AQ$2)+countifs(Students!$R:$R,$AE39,Students!$S:$S,$AE$2&amp;if($K39="S1","a",if($K39="S2","b","")),Students!$A:$A,AQ$2)+countifs(Students!$T:$T,$AE39,Students!$U:$U,$AE$2&amp;if($K39="S1","a",if($K39="S2","b","")),Students!$A:$A,AQ$2)+countifs(Students!$V:$V,$AE39,Students!$W:$W,$AE$2&amp;if($K39="S1","a",if($K39="S2","b","")),Students!$A:$A,AQ$2)+
countifs(Students!$D:$D,$AH39,Students!$E:$E,$AH$2&amp;if($K39="S1","a",if($K39="S2","b","")),Students!$A:$A,AQ$2)+countifs(Students!$F:$F,$AH39,Students!$G:$G,$AH$2&amp;if($K39="S1","a",if($K39="S2","b","")),Students!$A:$A,AQ$2)+countifs(Students!$H:$H,$AH39,Students!$I:$I,$AH$2&amp;if($K39="S1","a",if($K39="S2","b","")),Students!$A:$A,AQ$2)+countifs(Students!$J:$J,$AH39,Students!$K:$K,$AH$2&amp;if($K39="S1","a",if($K39="S2","b","")),Students!$A:$A,AQ$2)+countifs(Students!$L:$L,$AH39,Students!$M:$M,$AH$2&amp;if($K39="S1","a",if($K39="S2","b","")),Students!$A:$A,AQ$2)+countifs(Students!$N:$N,$AH39,Students!$O:$O,$AH$2&amp;if($K39="S1","a",if($K39="S2","b","")),Students!$A:$A,AQ$2)+countifs(Students!$P:$P,$AH39,Students!$Q:$Q,$AH$2&amp;if($K39="S1","a",if($K39="S2","b","")),Students!$A:$A,AQ$2)+countifs(Students!$R:$R,$AH39,Students!$S:$S,$AH$2&amp;if($K39="S1","a",if($K39="S2","b","")),Students!$A:$A,AQ$2)+countifs(Students!$T:$T,$AH39,Students!$U:$U,$AH$2&amp;if($K39="S1","a",if($K39="S2","b","")),Students!$A:$A,AQ$2)+countifs(Students!$V:$V,$AH39,Students!$W:$W,$AH$2&amp;if($K39="S1","a",if($K39="S2","b","")),Students!$A:$A,AQ$2)+
countifs(Students!$D:$D,$AK39,Students!$E:$E,$AK$2&amp;if($K39="S1","a",if($K39="S2","b","")),Students!$A:$A,AQ$2)+countifs(Students!$F:$F,$AK39,Students!$G:$G,$AK$2&amp;if($K39="S1","a",if($K39="S2","b","")),Students!$A:$A,AQ$2)+countifs(Students!$H:$H,$AK39,Students!$I:$I,$AK$2&amp;if($K39="S1","a",if($K39="S2","b","")),Students!$A:$A,AQ$2)+countifs(Students!$J:$J,$AK39,Students!$K:$K,$AK$2&amp;if($K39="S1","a",if($K39="S2","b","")),Students!$A:$A,AQ$2)+countifs(Students!$L:$L,$AK39,Students!$M:$M,$AK$2&amp;if($K39="S1","a",if($K39="S2","b","")),Students!$A:$A,AQ$2)+countifs(Students!$N:$N,$AK39,Students!$O:$O,$AK$2&amp;if($K39="S1","a",if($K39="S2","b","")),Students!$A:$A,AQ$2)+countifs(Students!$P:$P,$AK39,Students!$Q:$Q,$AK$2&amp;if($K39="S1","a",if($K39="S2","b","")),Students!$A:$A,AQ$2)+countifs(Students!$R:$R,$AK39,Students!$S:$S,$AK$2&amp;if($K39="S1","a",if($K39="S2","b","")),Students!$A:$A,AQ$2)+countifs(Students!$T:$T,$AK39,Students!$U:$U,$AK$2&amp;if($K39="S1","a",if($K39="S2","b","")),Students!$A:$A,AQ$2)+countifs(Students!$V:$V,$AK39,Students!$W:$W,$AK$2&amp;if($K39="S1","a",if($K39="S2","b","")),Students!$A:$A,AQ$2))</f>
        <v>12</v>
      </c>
      <c r="AR39" s="102">
        <f>if($L39="","",countifs(Students!$D:$D,$P39,Students!$E:$E,$P$2&amp;if($K39="S1","a",if($K39="S2","b","")),Students!$A:$A,AR$2)+countifs(Students!$F:$F,$P39,Students!$G:$G,$P$2&amp;if($K39="S1","a",if($K39="S2","b","")),Students!$A:$A,AR$2)+countifs(Students!$H:$H,$P39,Students!$I:$I,$P$2&amp;if($K39="S1","a",if($K39="S2","b","")),Students!$A:$A,AR$2)+countifs(Students!$J:$J,$P39,Students!$K:$K,$P$2&amp;if($K39="S1","a",if($K39="S2","b","")),Students!$A:$A,AR$2)+countifs(Students!$L:$L,$P39,Students!$M:$M,$P$2&amp;if($K39="S1","a",if($K39="S2","b","")),Students!$A:$A,AR$2)+countifs(Students!$N:$N,$P39,Students!$O:$O,$P$2&amp;if($K39="S1","a",if($K39="S2","b","")),Students!$A:$A,AR$2)+countifs(Students!$P:$P,$P39,Students!$Q:$Q,$P$2&amp;if($K39="S1","a",if($K39="S2","b","")),Students!$A:$A,AR$2)+countifs(Students!$R:$R,$P39,Students!$S:$S,$P$2&amp;if($K39="S1","a",if($K39="S2","b","")),Students!$A:$A,AR$2)+countifs(Students!$T:$T,$P39,Students!$U:$U,$P$2&amp;if($K39="S1","a",if($K39="S2","b","")),Students!$A:$A,AR$2)+countifs(Students!$V:$V,$P39,Students!$W:$W,$P$2&amp;if($K39="S1","a",if($K39="S2","b","")),Students!$A:$A,AR$2)+
countifs(Students!$D:$D,$S39,Students!$E:$E,$S$2&amp;if($K39="S1","a",if($K39="S2","b","")),Students!$A:$A,AR$2)+countifs(Students!$F:$F,$S39,Students!$G:$G,$S$2&amp;if($K39="S1","a",if($K39="S2","b","")),Students!$A:$A,AR$2)+countifs(Students!$H:$H,$S39,Students!$I:$I,$S$2&amp;if($K39="S1","a",if($K39="S2","b","")),Students!$A:$A,AR$2)+countifs(Students!$J:$J,$S39,Students!$K:$K,$S$2&amp;if($K39="S1","a",if($K39="S2","b","")),Students!$A:$A,AR$2)+countifs(Students!$L:$L,$S39,Students!$M:$M,$S$2&amp;if($K39="S1","a",if($K39="S2","b","")),Students!$A:$A,AR$2)+countifs(Students!$N:$N,$S39,Students!$O:$O,$S$2&amp;if($K39="S1","a",if($K39="S2","b","")),Students!$A:$A,AR$2)+countifs(Students!$P:$P,$S39,Students!$Q:$Q,$S$2&amp;if($K39="S1","a",if($K39="S2","b","")),Students!$A:$A,AR$2)+countifs(Students!$R:$R,$S39,Students!$S:$S,$S$2&amp;if($K39="S1","a",if($K39="S2","b","")),Students!$A:$A,AR$2)+countifs(Students!$T:$T,$S39,Students!$U:$U,$S$2&amp;if($K39="S1","a",if($K39="S2","b","")),Students!$A:$A,AR$2)+countifs(Students!$V:$V,$S39,Students!$W:$W,$S$2&amp;if($K39="S1","a",if($K39="S2","b","")),Students!$A:$A,AR$2)+
countifs(Students!$D:$D,$V39,Students!$E:$E,$V$2&amp;if($K39="S1","a",if($K39="S2","b","")),Students!$A:$A,AR$2)+countifs(Students!$F:$F,$V39,Students!$G:$G,$V$2&amp;if($K39="S1","a",if($K39="S2","b","")),Students!$A:$A,AR$2)+countifs(Students!$H:$H,$V39,Students!$I:$I,$V$2&amp;if($K39="S1","a",if($K39="S2","b","")),Students!$A:$A,AR$2)+countifs(Students!$J:$J,$V39,Students!$K:$K,$V$2&amp;if($K39="S1","a",if($K39="S2","b","")),Students!$A:$A,AR$2)+countifs(Students!$L:$L,$V39,Students!$M:$M,$V$2&amp;if($K39="S1","a",if($K39="S2","b","")),Students!$A:$A,AR$2)+countifs(Students!$N:$N,$V39,Students!$O:$O,$V$2&amp;if($K39="S1","a",if($K39="S2","b","")),Students!$A:$A,AR$2)+countifs(Students!$P:$P,$V39,Students!$Q:$Q,$V$2&amp;if($K39="S1","a",if($K39="S2","b","")),Students!$A:$A,AR$2)+countifs(Students!$R:$R,$V39,Students!$S:$S,$V$2&amp;if($K39="S1","a",if($K39="S2","b","")),Students!$A:$A,AR$2)+countifs(Students!$T:$T,$V39,Students!$U:$U,$V$2&amp;if($K39="S1","a",if($K39="S2","b","")),Students!$A:$A,AR$2)+countifs(Students!$V:$V,$V39,Students!$W:$W,$V$2&amp;if($K39="S1","a",if($K39="S2","b","")),Students!$A:$A,AR$2)+
countifs(Students!$D:$D,$Y39,Students!$E:$E,$Y$2&amp;if($K39="S1","a",if($K39="S2","b","")),Students!$A:$A,AR$2)+countifs(Students!$F:$F,$Y39,Students!$G:$G,$Y$2&amp;if($K39="S1","a",if($K39="S2","b","")),Students!$A:$A,AR$2)+countifs(Students!$H:$H,$Y39,Students!$I:$I,$Y$2&amp;if($K39="S1","a",if($K39="S2","b","")),Students!$A:$A,AR$2)+countifs(Students!$J:$J,$Y39,Students!$K:$K,$Y$2&amp;if($K39="S1","a",if($K39="S2","b","")),Students!$A:$A,AR$2)+countifs(Students!$L:$L,$Y39,Students!$M:$M,$Y$2&amp;if($K39="S1","a",if($K39="S2","b","")),Students!$A:$A,AR$2)+countifs(Students!$N:$N,$Y39,Students!$O:$O,$Y$2&amp;if($K39="S1","a",if($K39="S2","b","")),Students!$A:$A,AR$2)+countifs(Students!$P:$P,$Y39,Students!$Q:$Q,$Y$2&amp;if($K39="S1","a",if($K39="S2","b","")),Students!$A:$A,AR$2)+countifs(Students!$R:$R,$Y39,Students!$S:$S,$Y$2&amp;if($K39="S1","a",if($K39="S2","b","")),Students!$A:$A,AR$2)+countifs(Students!$T:$T,$Y39,Students!$U:$U,$Y$2&amp;if($K39="S1","a",if($K39="S2","b","")),Students!$A:$A,AR$2)+countifs(Students!$V:$V,$Y39,Students!$W:$W,$Y$2&amp;if($K39="S1","a",if($K39="S2","b","")),Students!$A:$A,AR$2)+
countifs(Students!$D:$D,$AB39,Students!$E:$E,$AB$2&amp;if($K39="S1","a",if($K39="S2","b","")),Students!$A:$A,AR$2)+countifs(Students!$F:$F,$AB39,Students!$G:$G,$AB$2&amp;if($K39="S1","a",if($K39="S2","b","")),Students!$A:$A,AR$2)+countifs(Students!$H:$H,$AB39,Students!$I:$I,$AB$2&amp;if($K39="S1","a",if($K39="S2","b","")),Students!$A:$A,AR$2)+countifs(Students!$J:$J,$AB39,Students!$K:$K,$AB$2&amp;if($K39="S1","a",if($K39="S2","b","")),Students!$A:$A,AR$2)+countifs(Students!$L:$L,$AB39,Students!$M:$M,$AB$2&amp;if($K39="S1","a",if($K39="S2","b","")),Students!$A:$A,AR$2)+countifs(Students!$N:$N,$AB39,Students!$O:$O,$AB$2&amp;if($K39="S1","a",if($K39="S2","b","")),Students!$A:$A,AR$2)+countifs(Students!$P:$P,$AB39,Students!$Q:$Q,$AB$2&amp;if($K39="S1","a",if($K39="S2","b","")),Students!$A:$A,AR$2)+countifs(Students!$R:$R,$AB39,Students!$S:$S,$AB$2&amp;if($K39="S1","a",if($K39="S2","b","")),Students!$A:$A,AR$2)+countifs(Students!$T:$T,$AB39,Students!$U:$U,$AB$2&amp;if($K39="S1","a",if($K39="S2","b","")),Students!$A:$A,AR$2)+countifs(Students!$V:$V,$AB39,Students!$W:$W,$AB$2&amp;if($K39="S1","a",if($K39="S2","b","")),Students!$A:$A,AR$2)+
countifs(Students!$D:$D,$AE39,Students!$E:$E,$AE$2&amp;if($K39="S1","a",if($K39="S2","b","")),Students!$A:$A,AR$2)+countifs(Students!$F:$F,$AE39,Students!$G:$G,$AE$2&amp;if($K39="S1","a",if($K39="S2","b","")),Students!$A:$A,AR$2)+countifs(Students!$H:$H,$AE39,Students!$I:$I,$AE$2&amp;if($K39="S1","a",if($K39="S2","b","")),Students!$A:$A,AR$2)+countifs(Students!$J:$J,$AE39,Students!$K:$K,$AE$2&amp;if($K39="S1","a",if($K39="S2","b","")),Students!$A:$A,AR$2)+countifs(Students!$L:$L,$AE39,Students!$M:$M,$AE$2&amp;if($K39="S1","a",if($K39="S2","b","")),Students!$A:$A,AR$2)+countifs(Students!$N:$N,$AE39,Students!$O:$O,$AE$2&amp;if($K39="S1","a",if($K39="S2","b","")),Students!$A:$A,AR$2)+countifs(Students!$P:$P,$AE39,Students!$Q:$Q,$AE$2&amp;if($K39="S1","a",if($K39="S2","b","")),Students!$A:$A,AR$2)+countifs(Students!$R:$R,$AE39,Students!$S:$S,$AE$2&amp;if($K39="S1","a",if($K39="S2","b","")),Students!$A:$A,AR$2)+countifs(Students!$T:$T,$AE39,Students!$U:$U,$AE$2&amp;if($K39="S1","a",if($K39="S2","b","")),Students!$A:$A,AR$2)+countifs(Students!$V:$V,$AE39,Students!$W:$W,$AE$2&amp;if($K39="S1","a",if($K39="S2","b","")),Students!$A:$A,AR$2)+
countifs(Students!$D:$D,$AH39,Students!$E:$E,$AH$2&amp;if($K39="S1","a",if($K39="S2","b","")),Students!$A:$A,AR$2)+countifs(Students!$F:$F,$AH39,Students!$G:$G,$AH$2&amp;if($K39="S1","a",if($K39="S2","b","")),Students!$A:$A,AR$2)+countifs(Students!$H:$H,$AH39,Students!$I:$I,$AH$2&amp;if($K39="S1","a",if($K39="S2","b","")),Students!$A:$A,AR$2)+countifs(Students!$J:$J,$AH39,Students!$K:$K,$AH$2&amp;if($K39="S1","a",if($K39="S2","b","")),Students!$A:$A,AR$2)+countifs(Students!$L:$L,$AH39,Students!$M:$M,$AH$2&amp;if($K39="S1","a",if($K39="S2","b","")),Students!$A:$A,AR$2)+countifs(Students!$N:$N,$AH39,Students!$O:$O,$AH$2&amp;if($K39="S1","a",if($K39="S2","b","")),Students!$A:$A,AR$2)+countifs(Students!$P:$P,$AH39,Students!$Q:$Q,$AH$2&amp;if($K39="S1","a",if($K39="S2","b","")),Students!$A:$A,AR$2)+countifs(Students!$R:$R,$AH39,Students!$S:$S,$AH$2&amp;if($K39="S1","a",if($K39="S2","b","")),Students!$A:$A,AR$2)+countifs(Students!$T:$T,$AH39,Students!$U:$U,$AH$2&amp;if($K39="S1","a",if($K39="S2","b","")),Students!$A:$A,AR$2)+countifs(Students!$V:$V,$AH39,Students!$W:$W,$AH$2&amp;if($K39="S1","a",if($K39="S2","b","")),Students!$A:$A,AR$2)+
countifs(Students!$D:$D,$AK39,Students!$E:$E,$AK$2&amp;if($K39="S1","a",if($K39="S2","b","")),Students!$A:$A,AR$2)+countifs(Students!$F:$F,$AK39,Students!$G:$G,$AK$2&amp;if($K39="S1","a",if($K39="S2","b","")),Students!$A:$A,AR$2)+countifs(Students!$H:$H,$AK39,Students!$I:$I,$AK$2&amp;if($K39="S1","a",if($K39="S2","b","")),Students!$A:$A,AR$2)+countifs(Students!$J:$J,$AK39,Students!$K:$K,$AK$2&amp;if($K39="S1","a",if($K39="S2","b","")),Students!$A:$A,AR$2)+countifs(Students!$L:$L,$AK39,Students!$M:$M,$AK$2&amp;if($K39="S1","a",if($K39="S2","b","")),Students!$A:$A,AR$2)+countifs(Students!$N:$N,$AK39,Students!$O:$O,$AK$2&amp;if($K39="S1","a",if($K39="S2","b","")),Students!$A:$A,AR$2)+countifs(Students!$P:$P,$AK39,Students!$Q:$Q,$AK$2&amp;if($K39="S1","a",if($K39="S2","b","")),Students!$A:$A,AR$2)+countifs(Students!$R:$R,$AK39,Students!$S:$S,$AK$2&amp;if($K39="S1","a",if($K39="S2","b","")),Students!$A:$A,AR$2)+countifs(Students!$T:$T,$AK39,Students!$U:$U,$AK$2&amp;if($K39="S1","a",if($K39="S2","b","")),Students!$A:$A,AR$2)+countifs(Students!$V:$V,$AK39,Students!$W:$W,$AK$2&amp;if($K39="S1","a",if($K39="S2","b","")),Students!$A:$A,AR$2))</f>
        <v>10</v>
      </c>
      <c r="AS39" s="102">
        <f>if($L39="","",countifs(Students!$D:$D,$P39,Students!$E:$E,$P$2&amp;if($K39="S1","a",if($K39="S2","b","")),Students!$A:$A,AS$2)+countifs(Students!$F:$F,$P39,Students!$G:$G,$P$2&amp;if($K39="S1","a",if($K39="S2","b","")),Students!$A:$A,AS$2)+countifs(Students!$H:$H,$P39,Students!$I:$I,$P$2&amp;if($K39="S1","a",if($K39="S2","b","")),Students!$A:$A,AS$2)+countifs(Students!$J:$J,$P39,Students!$K:$K,$P$2&amp;if($K39="S1","a",if($K39="S2","b","")),Students!$A:$A,AS$2)+countifs(Students!$L:$L,$P39,Students!$M:$M,$P$2&amp;if($K39="S1","a",if($K39="S2","b","")),Students!$A:$A,AS$2)+countifs(Students!$N:$N,$P39,Students!$O:$O,$P$2&amp;if($K39="S1","a",if($K39="S2","b","")),Students!$A:$A,AS$2)+countifs(Students!$P:$P,$P39,Students!$Q:$Q,$P$2&amp;if($K39="S1","a",if($K39="S2","b","")),Students!$A:$A,AS$2)+countifs(Students!$R:$R,$P39,Students!$S:$S,$P$2&amp;if($K39="S1","a",if($K39="S2","b","")),Students!$A:$A,AS$2)+countifs(Students!$T:$T,$P39,Students!$U:$U,$P$2&amp;if($K39="S1","a",if($K39="S2","b","")),Students!$A:$A,AS$2)+countifs(Students!$V:$V,$P39,Students!$W:$W,$P$2&amp;if($K39="S1","a",if($K39="S2","b","")),Students!$A:$A,AS$2)+
countifs(Students!$D:$D,$S39,Students!$E:$E,$S$2&amp;if($K39="S1","a",if($K39="S2","b","")),Students!$A:$A,AS$2)+countifs(Students!$F:$F,$S39,Students!$G:$G,$S$2&amp;if($K39="S1","a",if($K39="S2","b","")),Students!$A:$A,AS$2)+countifs(Students!$H:$H,$S39,Students!$I:$I,$S$2&amp;if($K39="S1","a",if($K39="S2","b","")),Students!$A:$A,AS$2)+countifs(Students!$J:$J,$S39,Students!$K:$K,$S$2&amp;if($K39="S1","a",if($K39="S2","b","")),Students!$A:$A,AS$2)+countifs(Students!$L:$L,$S39,Students!$M:$M,$S$2&amp;if($K39="S1","a",if($K39="S2","b","")),Students!$A:$A,AS$2)+countifs(Students!$N:$N,$S39,Students!$O:$O,$S$2&amp;if($K39="S1","a",if($K39="S2","b","")),Students!$A:$A,AS$2)+countifs(Students!$P:$P,$S39,Students!$Q:$Q,$S$2&amp;if($K39="S1","a",if($K39="S2","b","")),Students!$A:$A,AS$2)+countifs(Students!$R:$R,$S39,Students!$S:$S,$S$2&amp;if($K39="S1","a",if($K39="S2","b","")),Students!$A:$A,AS$2)+countifs(Students!$T:$T,$S39,Students!$U:$U,$S$2&amp;if($K39="S1","a",if($K39="S2","b","")),Students!$A:$A,AS$2)+countifs(Students!$V:$V,$S39,Students!$W:$W,$S$2&amp;if($K39="S1","a",if($K39="S2","b","")),Students!$A:$A,AS$2)+
countifs(Students!$D:$D,$V39,Students!$E:$E,$V$2&amp;if($K39="S1","a",if($K39="S2","b","")),Students!$A:$A,AS$2)+countifs(Students!$F:$F,$V39,Students!$G:$G,$V$2&amp;if($K39="S1","a",if($K39="S2","b","")),Students!$A:$A,AS$2)+countifs(Students!$H:$H,$V39,Students!$I:$I,$V$2&amp;if($K39="S1","a",if($K39="S2","b","")),Students!$A:$A,AS$2)+countifs(Students!$J:$J,$V39,Students!$K:$K,$V$2&amp;if($K39="S1","a",if($K39="S2","b","")),Students!$A:$A,AS$2)+countifs(Students!$L:$L,$V39,Students!$M:$M,$V$2&amp;if($K39="S1","a",if($K39="S2","b","")),Students!$A:$A,AS$2)+countifs(Students!$N:$N,$V39,Students!$O:$O,$V$2&amp;if($K39="S1","a",if($K39="S2","b","")),Students!$A:$A,AS$2)+countifs(Students!$P:$P,$V39,Students!$Q:$Q,$V$2&amp;if($K39="S1","a",if($K39="S2","b","")),Students!$A:$A,AS$2)+countifs(Students!$R:$R,$V39,Students!$S:$S,$V$2&amp;if($K39="S1","a",if($K39="S2","b","")),Students!$A:$A,AS$2)+countifs(Students!$T:$T,$V39,Students!$U:$U,$V$2&amp;if($K39="S1","a",if($K39="S2","b","")),Students!$A:$A,AS$2)+countifs(Students!$V:$V,$V39,Students!$W:$W,$V$2&amp;if($K39="S1","a",if($K39="S2","b","")),Students!$A:$A,AS$2)+
countifs(Students!$D:$D,$Y39,Students!$E:$E,$Y$2&amp;if($K39="S1","a",if($K39="S2","b","")),Students!$A:$A,AS$2)+countifs(Students!$F:$F,$Y39,Students!$G:$G,$Y$2&amp;if($K39="S1","a",if($K39="S2","b","")),Students!$A:$A,AS$2)+countifs(Students!$H:$H,$Y39,Students!$I:$I,$Y$2&amp;if($K39="S1","a",if($K39="S2","b","")),Students!$A:$A,AS$2)+countifs(Students!$J:$J,$Y39,Students!$K:$K,$Y$2&amp;if($K39="S1","a",if($K39="S2","b","")),Students!$A:$A,AS$2)+countifs(Students!$L:$L,$Y39,Students!$M:$M,$Y$2&amp;if($K39="S1","a",if($K39="S2","b","")),Students!$A:$A,AS$2)+countifs(Students!$N:$N,$Y39,Students!$O:$O,$Y$2&amp;if($K39="S1","a",if($K39="S2","b","")),Students!$A:$A,AS$2)+countifs(Students!$P:$P,$Y39,Students!$Q:$Q,$Y$2&amp;if($K39="S1","a",if($K39="S2","b","")),Students!$A:$A,AS$2)+countifs(Students!$R:$R,$Y39,Students!$S:$S,$Y$2&amp;if($K39="S1","a",if($K39="S2","b","")),Students!$A:$A,AS$2)+countifs(Students!$T:$T,$Y39,Students!$U:$U,$Y$2&amp;if($K39="S1","a",if($K39="S2","b","")),Students!$A:$A,AS$2)+countifs(Students!$V:$V,$Y39,Students!$W:$W,$Y$2&amp;if($K39="S1","a",if($K39="S2","b","")),Students!$A:$A,AS$2)+
countifs(Students!$D:$D,$AB39,Students!$E:$E,$AB$2&amp;if($K39="S1","a",if($K39="S2","b","")),Students!$A:$A,AS$2)+countifs(Students!$F:$F,$AB39,Students!$G:$G,$AB$2&amp;if($K39="S1","a",if($K39="S2","b","")),Students!$A:$A,AS$2)+countifs(Students!$H:$H,$AB39,Students!$I:$I,$AB$2&amp;if($K39="S1","a",if($K39="S2","b","")),Students!$A:$A,AS$2)+countifs(Students!$J:$J,$AB39,Students!$K:$K,$AB$2&amp;if($K39="S1","a",if($K39="S2","b","")),Students!$A:$A,AS$2)+countifs(Students!$L:$L,$AB39,Students!$M:$M,$AB$2&amp;if($K39="S1","a",if($K39="S2","b","")),Students!$A:$A,AS$2)+countifs(Students!$N:$N,$AB39,Students!$O:$O,$AB$2&amp;if($K39="S1","a",if($K39="S2","b","")),Students!$A:$A,AS$2)+countifs(Students!$P:$P,$AB39,Students!$Q:$Q,$AB$2&amp;if($K39="S1","a",if($K39="S2","b","")),Students!$A:$A,AS$2)+countifs(Students!$R:$R,$AB39,Students!$S:$S,$AB$2&amp;if($K39="S1","a",if($K39="S2","b","")),Students!$A:$A,AS$2)+countifs(Students!$T:$T,$AB39,Students!$U:$U,$AB$2&amp;if($K39="S1","a",if($K39="S2","b","")),Students!$A:$A,AS$2)+countifs(Students!$V:$V,$AB39,Students!$W:$W,$AB$2&amp;if($K39="S1","a",if($K39="S2","b","")),Students!$A:$A,AS$2)+
countifs(Students!$D:$D,$AE39,Students!$E:$E,$AE$2&amp;if($K39="S1","a",if($K39="S2","b","")),Students!$A:$A,AS$2)+countifs(Students!$F:$F,$AE39,Students!$G:$G,$AE$2&amp;if($K39="S1","a",if($K39="S2","b","")),Students!$A:$A,AS$2)+countifs(Students!$H:$H,$AE39,Students!$I:$I,$AE$2&amp;if($K39="S1","a",if($K39="S2","b","")),Students!$A:$A,AS$2)+countifs(Students!$J:$J,$AE39,Students!$K:$K,$AE$2&amp;if($K39="S1","a",if($K39="S2","b","")),Students!$A:$A,AS$2)+countifs(Students!$L:$L,$AE39,Students!$M:$M,$AE$2&amp;if($K39="S1","a",if($K39="S2","b","")),Students!$A:$A,AS$2)+countifs(Students!$N:$N,$AE39,Students!$O:$O,$AE$2&amp;if($K39="S1","a",if($K39="S2","b","")),Students!$A:$A,AS$2)+countifs(Students!$P:$P,$AE39,Students!$Q:$Q,$AE$2&amp;if($K39="S1","a",if($K39="S2","b","")),Students!$A:$A,AS$2)+countifs(Students!$R:$R,$AE39,Students!$S:$S,$AE$2&amp;if($K39="S1","a",if($K39="S2","b","")),Students!$A:$A,AS$2)+countifs(Students!$T:$T,$AE39,Students!$U:$U,$AE$2&amp;if($K39="S1","a",if($K39="S2","b","")),Students!$A:$A,AS$2)+countifs(Students!$V:$V,$AE39,Students!$W:$W,$AE$2&amp;if($K39="S1","a",if($K39="S2","b","")),Students!$A:$A,AS$2)+
countifs(Students!$D:$D,$AH39,Students!$E:$E,$AH$2&amp;if($K39="S1","a",if($K39="S2","b","")),Students!$A:$A,AS$2)+countifs(Students!$F:$F,$AH39,Students!$G:$G,$AH$2&amp;if($K39="S1","a",if($K39="S2","b","")),Students!$A:$A,AS$2)+countifs(Students!$H:$H,$AH39,Students!$I:$I,$AH$2&amp;if($K39="S1","a",if($K39="S2","b","")),Students!$A:$A,AS$2)+countifs(Students!$J:$J,$AH39,Students!$K:$K,$AH$2&amp;if($K39="S1","a",if($K39="S2","b","")),Students!$A:$A,AS$2)+countifs(Students!$L:$L,$AH39,Students!$M:$M,$AH$2&amp;if($K39="S1","a",if($K39="S2","b","")),Students!$A:$A,AS$2)+countifs(Students!$N:$N,$AH39,Students!$O:$O,$AH$2&amp;if($K39="S1","a",if($K39="S2","b","")),Students!$A:$A,AS$2)+countifs(Students!$P:$P,$AH39,Students!$Q:$Q,$AH$2&amp;if($K39="S1","a",if($K39="S2","b","")),Students!$A:$A,AS$2)+countifs(Students!$R:$R,$AH39,Students!$S:$S,$AH$2&amp;if($K39="S1","a",if($K39="S2","b","")),Students!$A:$A,AS$2)+countifs(Students!$T:$T,$AH39,Students!$U:$U,$AH$2&amp;if($K39="S1","a",if($K39="S2","b","")),Students!$A:$A,AS$2)+countifs(Students!$V:$V,$AH39,Students!$W:$W,$AH$2&amp;if($K39="S1","a",if($K39="S2","b","")),Students!$A:$A,AS$2)+
countifs(Students!$D:$D,$AK39,Students!$E:$E,$AK$2&amp;if($K39="S1","a",if($K39="S2","b","")),Students!$A:$A,AS$2)+countifs(Students!$F:$F,$AK39,Students!$G:$G,$AK$2&amp;if($K39="S1","a",if($K39="S2","b","")),Students!$A:$A,AS$2)+countifs(Students!$H:$H,$AK39,Students!$I:$I,$AK$2&amp;if($K39="S1","a",if($K39="S2","b","")),Students!$A:$A,AS$2)+countifs(Students!$J:$J,$AK39,Students!$K:$K,$AK$2&amp;if($K39="S1","a",if($K39="S2","b","")),Students!$A:$A,AS$2)+countifs(Students!$L:$L,$AK39,Students!$M:$M,$AK$2&amp;if($K39="S1","a",if($K39="S2","b","")),Students!$A:$A,AS$2)+countifs(Students!$N:$N,$AK39,Students!$O:$O,$AK$2&amp;if($K39="S1","a",if($K39="S2","b","")),Students!$A:$A,AS$2)+countifs(Students!$P:$P,$AK39,Students!$Q:$Q,$AK$2&amp;if($K39="S1","a",if($K39="S2","b","")),Students!$A:$A,AS$2)+countifs(Students!$R:$R,$AK39,Students!$S:$S,$AK$2&amp;if($K39="S1","a",if($K39="S2","b","")),Students!$A:$A,AS$2)+countifs(Students!$T:$T,$AK39,Students!$U:$U,$AK$2&amp;if($K39="S1","a",if($K39="S2","b","")),Students!$A:$A,AS$2)+countifs(Students!$V:$V,$AK39,Students!$W:$W,$AK$2&amp;if($K39="S1","a",if($K39="S2","b","")),Students!$A:$A,AS$2))</f>
        <v>1</v>
      </c>
    </row>
    <row r="40">
      <c r="J40" s="87">
        <v>80.0</v>
      </c>
      <c r="K40" s="88"/>
      <c r="L40" s="58" t="s">
        <v>119</v>
      </c>
      <c r="M40" s="107"/>
      <c r="N40" s="87">
        <v>3.0</v>
      </c>
      <c r="O40" s="87">
        <f>IFERROR(__xludf.DUMMYFUNCTION("3*counta((transpose(filter(P40:AM40,P40:AM40&lt;&gt;"""",isnumber(P40:AM40)=false))))"),15.0)</f>
        <v>15</v>
      </c>
      <c r="P40" s="90" t="s">
        <v>120</v>
      </c>
      <c r="Q40" s="91">
        <v>1.0</v>
      </c>
      <c r="R40" s="92">
        <v>14.0</v>
      </c>
      <c r="S40" s="91"/>
      <c r="T40" s="101"/>
      <c r="U40" s="92" t="s">
        <v>22</v>
      </c>
      <c r="V40" s="91" t="s">
        <v>120</v>
      </c>
      <c r="W40" s="124">
        <v>2.0</v>
      </c>
      <c r="X40" s="92">
        <v>17.0</v>
      </c>
      <c r="Y40" s="91" t="s">
        <v>121</v>
      </c>
      <c r="Z40" s="91">
        <v>1.0</v>
      </c>
      <c r="AA40" s="92">
        <v>12.0</v>
      </c>
      <c r="AB40" s="91" t="s">
        <v>120</v>
      </c>
      <c r="AC40" s="91">
        <v>3.0</v>
      </c>
      <c r="AD40" s="98">
        <v>18.0</v>
      </c>
      <c r="AE40" s="90" t="s">
        <v>122</v>
      </c>
      <c r="AF40" s="101">
        <v>5.0</v>
      </c>
      <c r="AG40" s="98">
        <v>19.0</v>
      </c>
      <c r="AH40" s="94"/>
      <c r="AI40" s="115"/>
      <c r="AJ40" s="95" t="s">
        <v>22</v>
      </c>
      <c r="AK40" s="91"/>
      <c r="AL40" s="98"/>
      <c r="AM40" s="98" t="s">
        <v>22</v>
      </c>
      <c r="AN40" s="99"/>
      <c r="AO40" s="52">
        <f t="shared" si="2"/>
        <v>80</v>
      </c>
      <c r="AP40" s="102">
        <f>if($L40="","",countifs(Students!$D:$D,$P40,Students!$E:$E,$P$2&amp;if($K40="S1","a",if($K40="S2","b","")),Students!$A:$A,AP$2)+countifs(Students!$F:$F,$P40,Students!$G:$G,$P$2&amp;if($K40="S1","a",if($K40="S2","b","")),Students!$A:$A,AP$2)+countifs(Students!$H:$H,$P40,Students!$I:$I,$P$2&amp;if($K40="S1","a",if($K40="S2","b","")),Students!$A:$A,AP$2)+countifs(Students!$J:$J,$P40,Students!$K:$K,$P$2&amp;if($K40="S1","a",if($K40="S2","b","")),Students!$A:$A,AP$2)+countifs(Students!$L:$L,$P40,Students!$M:$M,$P$2&amp;if($K40="S1","a",if($K40="S2","b","")),Students!$A:$A,AP$2)+countifs(Students!$N:$N,$P40,Students!$O:$O,$P$2&amp;if($K40="S1","a",if($K40="S2","b","")),Students!$A:$A,AP$2)+countifs(Students!$P:$P,$P40,Students!$Q:$Q,$P$2&amp;if($K40="S1","a",if($K40="S2","b","")),Students!$A:$A,AP$2)+countifs(Students!$R:$R,$P40,Students!$S:$S,$P$2&amp;if($K40="S1","a",if($K40="S2","b","")),Students!$A:$A,AP$2)+countifs(Students!$T:$T,$P40,Students!$U:$U,$P$2&amp;if($K40="S1","a",if($K40="S2","b","")),Students!$A:$A,AP$2)+countifs(Students!$V:$V,$P40,Students!$W:$W,$P$2&amp;if($K40="S1","a",if($K40="S2","b","")),Students!$A:$A,AP$2)+
countifs(Students!$D:$D,$S40,Students!$E:$E,$S$2&amp;if($K40="S1","a",if($K40="S2","b","")),Students!$A:$A,AP$2)+countifs(Students!$F:$F,$S40,Students!$G:$G,$S$2&amp;if($K40="S1","a",if($K40="S2","b","")),Students!$A:$A,AP$2)+countifs(Students!$H:$H,$S40,Students!$I:$I,$S$2&amp;if($K40="S1","a",if($K40="S2","b","")),Students!$A:$A,AP$2)+countifs(Students!$J:$J,$S40,Students!$K:$K,$S$2&amp;if($K40="S1","a",if($K40="S2","b","")),Students!$A:$A,AP$2)+countifs(Students!$L:$L,$S40,Students!$M:$M,$S$2&amp;if($K40="S1","a",if($K40="S2","b","")),Students!$A:$A,AP$2)+countifs(Students!$N:$N,$S40,Students!$O:$O,$S$2&amp;if($K40="S1","a",if($K40="S2","b","")),Students!$A:$A,AP$2)+countifs(Students!$P:$P,$S40,Students!$Q:$Q,$S$2&amp;if($K40="S1","a",if($K40="S2","b","")),Students!$A:$A,AP$2)+countifs(Students!$R:$R,$S40,Students!$S:$S,$S$2&amp;if($K40="S1","a",if($K40="S2","b","")),Students!$A:$A,AP$2)+countifs(Students!$T:$T,$S40,Students!$U:$U,$S$2&amp;if($K40="S1","a",if($K40="S2","b","")),Students!$A:$A,AP$2)+countifs(Students!$V:$V,$S40,Students!$W:$W,$S$2&amp;if($K40="S1","a",if($K40="S2","b","")),Students!$A:$A,AP$2)+
countifs(Students!$D:$D,$V40,Students!$E:$E,$V$2&amp;if($K40="S1","a",if($K40="S2","b","")),Students!$A:$A,AP$2)+countifs(Students!$F:$F,$V40,Students!$G:$G,$V$2&amp;if($K40="S1","a",if($K40="S2","b","")),Students!$A:$A,AP$2)+countifs(Students!$H:$H,$V40,Students!$I:$I,$V$2&amp;if($K40="S1","a",if($K40="S2","b","")),Students!$A:$A,AP$2)+countifs(Students!$J:$J,$V40,Students!$K:$K,$V$2&amp;if($K40="S1","a",if($K40="S2","b","")),Students!$A:$A,AP$2)+countifs(Students!$L:$L,$V40,Students!$M:$M,$V$2&amp;if($K40="S1","a",if($K40="S2","b","")),Students!$A:$A,AP$2)+countifs(Students!$N:$N,$V40,Students!$O:$O,$V$2&amp;if($K40="S1","a",if($K40="S2","b","")),Students!$A:$A,AP$2)+countifs(Students!$P:$P,$V40,Students!$Q:$Q,$V$2&amp;if($K40="S1","a",if($K40="S2","b","")),Students!$A:$A,AP$2)+countifs(Students!$R:$R,$V40,Students!$S:$S,$V$2&amp;if($K40="S1","a",if($K40="S2","b","")),Students!$A:$A,AP$2)+countifs(Students!$T:$T,$V40,Students!$U:$U,$V$2&amp;if($K40="S1","a",if($K40="S2","b","")),Students!$A:$A,AP$2)+countifs(Students!$V:$V,$V40,Students!$W:$W,$V$2&amp;if($K40="S1","a",if($K40="S2","b","")),Students!$A:$A,AP$2)+
countifs(Students!$D:$D,$Y40,Students!$E:$E,$Y$2&amp;if($K40="S1","a",if($K40="S2","b","")),Students!$A:$A,AP$2)+countifs(Students!$F:$F,$Y40,Students!$G:$G,$Y$2&amp;if($K40="S1","a",if($K40="S2","b","")),Students!$A:$A,AP$2)+countifs(Students!$H:$H,$Y40,Students!$I:$I,$Y$2&amp;if($K40="S1","a",if($K40="S2","b","")),Students!$A:$A,AP$2)+countifs(Students!$J:$J,$Y40,Students!$K:$K,$Y$2&amp;if($K40="S1","a",if($K40="S2","b","")),Students!$A:$A,AP$2)+countifs(Students!$L:$L,$Y40,Students!$M:$M,$Y$2&amp;if($K40="S1","a",if($K40="S2","b","")),Students!$A:$A,AP$2)+countifs(Students!$N:$N,$Y40,Students!$O:$O,$Y$2&amp;if($K40="S1","a",if($K40="S2","b","")),Students!$A:$A,AP$2)+countifs(Students!$P:$P,$Y40,Students!$Q:$Q,$Y$2&amp;if($K40="S1","a",if($K40="S2","b","")),Students!$A:$A,AP$2)+countifs(Students!$R:$R,$Y40,Students!$S:$S,$Y$2&amp;if($K40="S1","a",if($K40="S2","b","")),Students!$A:$A,AP$2)+countifs(Students!$T:$T,$Y40,Students!$U:$U,$Y$2&amp;if($K40="S1","a",if($K40="S2","b","")),Students!$A:$A,AP$2)+countifs(Students!$V:$V,$Y40,Students!$W:$W,$Y$2&amp;if($K40="S1","a",if($K40="S2","b","")),Students!$A:$A,AP$2)+
countifs(Students!$D:$D,$AB40,Students!$E:$E,$AB$2&amp;if($K40="S1","a",if($K40="S2","b","")),Students!$A:$A,AP$2)+countifs(Students!$F:$F,$AB40,Students!$G:$G,$AB$2&amp;if($K40="S1","a",if($K40="S2","b","")),Students!$A:$A,AP$2)+countifs(Students!$H:$H,$AB40,Students!$I:$I,$AB$2&amp;if($K40="S1","a",if($K40="S2","b","")),Students!$A:$A,AP$2)+countifs(Students!$J:$J,$AB40,Students!$K:$K,$AB$2&amp;if($K40="S1","a",if($K40="S2","b","")),Students!$A:$A,AP$2)+countifs(Students!$L:$L,$AB40,Students!$M:$M,$AB$2&amp;if($K40="S1","a",if($K40="S2","b","")),Students!$A:$A,AP$2)+countifs(Students!$N:$N,$AB40,Students!$O:$O,$AB$2&amp;if($K40="S1","a",if($K40="S2","b","")),Students!$A:$A,AP$2)+countifs(Students!$P:$P,$AB40,Students!$Q:$Q,$AB$2&amp;if($K40="S1","a",if($K40="S2","b","")),Students!$A:$A,AP$2)+countifs(Students!$R:$R,$AB40,Students!$S:$S,$AB$2&amp;if($K40="S1","a",if($K40="S2","b","")),Students!$A:$A,AP$2)+countifs(Students!$T:$T,$AB40,Students!$U:$U,$AB$2&amp;if($K40="S1","a",if($K40="S2","b","")),Students!$A:$A,AP$2)+countifs(Students!$V:$V,$AB40,Students!$W:$W,$AB$2&amp;if($K40="S1","a",if($K40="S2","b","")),Students!$A:$A,AP$2)+
countifs(Students!$D:$D,$AE40,Students!$E:$E,$AE$2&amp;if($K40="S1","a",if($K40="S2","b","")),Students!$A:$A,AP$2)+countifs(Students!$F:$F,$AE40,Students!$G:$G,$AE$2&amp;if($K40="S1","a",if($K40="S2","b","")),Students!$A:$A,AP$2)+countifs(Students!$H:$H,$AE40,Students!$I:$I,$AE$2&amp;if($K40="S1","a",if($K40="S2","b","")),Students!$A:$A,AP$2)+countifs(Students!$J:$J,$AE40,Students!$K:$K,$AE$2&amp;if($K40="S1","a",if($K40="S2","b","")),Students!$A:$A,AP$2)+countifs(Students!$L:$L,$AE40,Students!$M:$M,$AE$2&amp;if($K40="S1","a",if($K40="S2","b","")),Students!$A:$A,AP$2)+countifs(Students!$N:$N,$AE40,Students!$O:$O,$AE$2&amp;if($K40="S1","a",if($K40="S2","b","")),Students!$A:$A,AP$2)+countifs(Students!$P:$P,$AE40,Students!$Q:$Q,$AE$2&amp;if($K40="S1","a",if($K40="S2","b","")),Students!$A:$A,AP$2)+countifs(Students!$R:$R,$AE40,Students!$S:$S,$AE$2&amp;if($K40="S1","a",if($K40="S2","b","")),Students!$A:$A,AP$2)+countifs(Students!$T:$T,$AE40,Students!$U:$U,$AE$2&amp;if($K40="S1","a",if($K40="S2","b","")),Students!$A:$A,AP$2)+countifs(Students!$V:$V,$AE40,Students!$W:$W,$AE$2&amp;if($K40="S1","a",if($K40="S2","b","")),Students!$A:$A,AP$2)+
countifs(Students!$D:$D,$AH40,Students!$E:$E,$AH$2&amp;if($K40="S1","a",if($K40="S2","b","")),Students!$A:$A,AP$2)+countifs(Students!$F:$F,$AH40,Students!$G:$G,$AH$2&amp;if($K40="S1","a",if($K40="S2","b","")),Students!$A:$A,AP$2)+countifs(Students!$H:$H,$AH40,Students!$I:$I,$AH$2&amp;if($K40="S1","a",if($K40="S2","b","")),Students!$A:$A,AP$2)+countifs(Students!$J:$J,$AH40,Students!$K:$K,$AH$2&amp;if($K40="S1","a",if($K40="S2","b","")),Students!$A:$A,AP$2)+countifs(Students!$L:$L,$AH40,Students!$M:$M,$AH$2&amp;if($K40="S1","a",if($K40="S2","b","")),Students!$A:$A,AP$2)+countifs(Students!$N:$N,$AH40,Students!$O:$O,$AH$2&amp;if($K40="S1","a",if($K40="S2","b","")),Students!$A:$A,AP$2)+countifs(Students!$P:$P,$AH40,Students!$Q:$Q,$AH$2&amp;if($K40="S1","a",if($K40="S2","b","")),Students!$A:$A,AP$2)+countifs(Students!$R:$R,$AH40,Students!$S:$S,$AH$2&amp;if($K40="S1","a",if($K40="S2","b","")),Students!$A:$A,AP$2)+countifs(Students!$T:$T,$AH40,Students!$U:$U,$AH$2&amp;if($K40="S1","a",if($K40="S2","b","")),Students!$A:$A,AP$2)+countifs(Students!$V:$V,$AH40,Students!$W:$W,$AH$2&amp;if($K40="S1","a",if($K40="S2","b","")),Students!$A:$A,AP$2)+
countifs(Students!$D:$D,$AK40,Students!$E:$E,$AK$2&amp;if($K40="S1","a",if($K40="S2","b","")),Students!$A:$A,AP$2)+countifs(Students!$F:$F,$AK40,Students!$G:$G,$AK$2&amp;if($K40="S1","a",if($K40="S2","b","")),Students!$A:$A,AP$2)+countifs(Students!$H:$H,$AK40,Students!$I:$I,$AK$2&amp;if($K40="S1","a",if($K40="S2","b","")),Students!$A:$A,AP$2)+countifs(Students!$J:$J,$AK40,Students!$K:$K,$AK$2&amp;if($K40="S1","a",if($K40="S2","b","")),Students!$A:$A,AP$2)+countifs(Students!$L:$L,$AK40,Students!$M:$M,$AK$2&amp;if($K40="S1","a",if($K40="S2","b","")),Students!$A:$A,AP$2)+countifs(Students!$N:$N,$AK40,Students!$O:$O,$AK$2&amp;if($K40="S1","a",if($K40="S2","b","")),Students!$A:$A,AP$2)+countifs(Students!$P:$P,$AK40,Students!$Q:$Q,$AK$2&amp;if($K40="S1","a",if($K40="S2","b","")),Students!$A:$A,AP$2)+countifs(Students!$R:$R,$AK40,Students!$S:$S,$AK$2&amp;if($K40="S1","a",if($K40="S2","b","")),Students!$A:$A,AP$2)+countifs(Students!$T:$T,$AK40,Students!$U:$U,$AK$2&amp;if($K40="S1","a",if($K40="S2","b","")),Students!$A:$A,AP$2)+countifs(Students!$V:$V,$AK40,Students!$W:$W,$AK$2&amp;if($K40="S1","a",if($K40="S2","b","")),Students!$A:$A,AP$2))</f>
        <v>68</v>
      </c>
      <c r="AQ40" s="102">
        <f>if($L40="","",countifs(Students!$D:$D,$P40,Students!$E:$E,$P$2&amp;if($K40="S1","a",if($K40="S2","b","")),Students!$A:$A,AQ$2)+countifs(Students!$F:$F,$P40,Students!$G:$G,$P$2&amp;if($K40="S1","a",if($K40="S2","b","")),Students!$A:$A,AQ$2)+countifs(Students!$H:$H,$P40,Students!$I:$I,$P$2&amp;if($K40="S1","a",if($K40="S2","b","")),Students!$A:$A,AQ$2)+countifs(Students!$J:$J,$P40,Students!$K:$K,$P$2&amp;if($K40="S1","a",if($K40="S2","b","")),Students!$A:$A,AQ$2)+countifs(Students!$L:$L,$P40,Students!$M:$M,$P$2&amp;if($K40="S1","a",if($K40="S2","b","")),Students!$A:$A,AQ$2)+countifs(Students!$N:$N,$P40,Students!$O:$O,$P$2&amp;if($K40="S1","a",if($K40="S2","b","")),Students!$A:$A,AQ$2)+countifs(Students!$P:$P,$P40,Students!$Q:$Q,$P$2&amp;if($K40="S1","a",if($K40="S2","b","")),Students!$A:$A,AQ$2)+countifs(Students!$R:$R,$P40,Students!$S:$S,$P$2&amp;if($K40="S1","a",if($K40="S2","b","")),Students!$A:$A,AQ$2)+countifs(Students!$T:$T,$P40,Students!$U:$U,$P$2&amp;if($K40="S1","a",if($K40="S2","b","")),Students!$A:$A,AQ$2)+countifs(Students!$V:$V,$P40,Students!$W:$W,$P$2&amp;if($K40="S1","a",if($K40="S2","b","")),Students!$A:$A,AQ$2)+
countifs(Students!$D:$D,$S40,Students!$E:$E,$S$2&amp;if($K40="S1","a",if($K40="S2","b","")),Students!$A:$A,AQ$2)+countifs(Students!$F:$F,$S40,Students!$G:$G,$S$2&amp;if($K40="S1","a",if($K40="S2","b","")),Students!$A:$A,AQ$2)+countifs(Students!$H:$H,$S40,Students!$I:$I,$S$2&amp;if($K40="S1","a",if($K40="S2","b","")),Students!$A:$A,AQ$2)+countifs(Students!$J:$J,$S40,Students!$K:$K,$S$2&amp;if($K40="S1","a",if($K40="S2","b","")),Students!$A:$A,AQ$2)+countifs(Students!$L:$L,$S40,Students!$M:$M,$S$2&amp;if($K40="S1","a",if($K40="S2","b","")),Students!$A:$A,AQ$2)+countifs(Students!$N:$N,$S40,Students!$O:$O,$S$2&amp;if($K40="S1","a",if($K40="S2","b","")),Students!$A:$A,AQ$2)+countifs(Students!$P:$P,$S40,Students!$Q:$Q,$S$2&amp;if($K40="S1","a",if($K40="S2","b","")),Students!$A:$A,AQ$2)+countifs(Students!$R:$R,$S40,Students!$S:$S,$S$2&amp;if($K40="S1","a",if($K40="S2","b","")),Students!$A:$A,AQ$2)+countifs(Students!$T:$T,$S40,Students!$U:$U,$S$2&amp;if($K40="S1","a",if($K40="S2","b","")),Students!$A:$A,AQ$2)+countifs(Students!$V:$V,$S40,Students!$W:$W,$S$2&amp;if($K40="S1","a",if($K40="S2","b","")),Students!$A:$A,AQ$2)+
countifs(Students!$D:$D,$V40,Students!$E:$E,$V$2&amp;if($K40="S1","a",if($K40="S2","b","")),Students!$A:$A,AQ$2)+countifs(Students!$F:$F,$V40,Students!$G:$G,$V$2&amp;if($K40="S1","a",if($K40="S2","b","")),Students!$A:$A,AQ$2)+countifs(Students!$H:$H,$V40,Students!$I:$I,$V$2&amp;if($K40="S1","a",if($K40="S2","b","")),Students!$A:$A,AQ$2)+countifs(Students!$J:$J,$V40,Students!$K:$K,$V$2&amp;if($K40="S1","a",if($K40="S2","b","")),Students!$A:$A,AQ$2)+countifs(Students!$L:$L,$V40,Students!$M:$M,$V$2&amp;if($K40="S1","a",if($K40="S2","b","")),Students!$A:$A,AQ$2)+countifs(Students!$N:$N,$V40,Students!$O:$O,$V$2&amp;if($K40="S1","a",if($K40="S2","b","")),Students!$A:$A,AQ$2)+countifs(Students!$P:$P,$V40,Students!$Q:$Q,$V$2&amp;if($K40="S1","a",if($K40="S2","b","")),Students!$A:$A,AQ$2)+countifs(Students!$R:$R,$V40,Students!$S:$S,$V$2&amp;if($K40="S1","a",if($K40="S2","b","")),Students!$A:$A,AQ$2)+countifs(Students!$T:$T,$V40,Students!$U:$U,$V$2&amp;if($K40="S1","a",if($K40="S2","b","")),Students!$A:$A,AQ$2)+countifs(Students!$V:$V,$V40,Students!$W:$W,$V$2&amp;if($K40="S1","a",if($K40="S2","b","")),Students!$A:$A,AQ$2)+
countifs(Students!$D:$D,$Y40,Students!$E:$E,$Y$2&amp;if($K40="S1","a",if($K40="S2","b","")),Students!$A:$A,AQ$2)+countifs(Students!$F:$F,$Y40,Students!$G:$G,$Y$2&amp;if($K40="S1","a",if($K40="S2","b","")),Students!$A:$A,AQ$2)+countifs(Students!$H:$H,$Y40,Students!$I:$I,$Y$2&amp;if($K40="S1","a",if($K40="S2","b","")),Students!$A:$A,AQ$2)+countifs(Students!$J:$J,$Y40,Students!$K:$K,$Y$2&amp;if($K40="S1","a",if($K40="S2","b","")),Students!$A:$A,AQ$2)+countifs(Students!$L:$L,$Y40,Students!$M:$M,$Y$2&amp;if($K40="S1","a",if($K40="S2","b","")),Students!$A:$A,AQ$2)+countifs(Students!$N:$N,$Y40,Students!$O:$O,$Y$2&amp;if($K40="S1","a",if($K40="S2","b","")),Students!$A:$A,AQ$2)+countifs(Students!$P:$P,$Y40,Students!$Q:$Q,$Y$2&amp;if($K40="S1","a",if($K40="S2","b","")),Students!$A:$A,AQ$2)+countifs(Students!$R:$R,$Y40,Students!$S:$S,$Y$2&amp;if($K40="S1","a",if($K40="S2","b","")),Students!$A:$A,AQ$2)+countifs(Students!$T:$T,$Y40,Students!$U:$U,$Y$2&amp;if($K40="S1","a",if($K40="S2","b","")),Students!$A:$A,AQ$2)+countifs(Students!$V:$V,$Y40,Students!$W:$W,$Y$2&amp;if($K40="S1","a",if($K40="S2","b","")),Students!$A:$A,AQ$2)+
countifs(Students!$D:$D,$AB40,Students!$E:$E,$AB$2&amp;if($K40="S1","a",if($K40="S2","b","")),Students!$A:$A,AQ$2)+countifs(Students!$F:$F,$AB40,Students!$G:$G,$AB$2&amp;if($K40="S1","a",if($K40="S2","b","")),Students!$A:$A,AQ$2)+countifs(Students!$H:$H,$AB40,Students!$I:$I,$AB$2&amp;if($K40="S1","a",if($K40="S2","b","")),Students!$A:$A,AQ$2)+countifs(Students!$J:$J,$AB40,Students!$K:$K,$AB$2&amp;if($K40="S1","a",if($K40="S2","b","")),Students!$A:$A,AQ$2)+countifs(Students!$L:$L,$AB40,Students!$M:$M,$AB$2&amp;if($K40="S1","a",if($K40="S2","b","")),Students!$A:$A,AQ$2)+countifs(Students!$N:$N,$AB40,Students!$O:$O,$AB$2&amp;if($K40="S1","a",if($K40="S2","b","")),Students!$A:$A,AQ$2)+countifs(Students!$P:$P,$AB40,Students!$Q:$Q,$AB$2&amp;if($K40="S1","a",if($K40="S2","b","")),Students!$A:$A,AQ$2)+countifs(Students!$R:$R,$AB40,Students!$S:$S,$AB$2&amp;if($K40="S1","a",if($K40="S2","b","")),Students!$A:$A,AQ$2)+countifs(Students!$T:$T,$AB40,Students!$U:$U,$AB$2&amp;if($K40="S1","a",if($K40="S2","b","")),Students!$A:$A,AQ$2)+countifs(Students!$V:$V,$AB40,Students!$W:$W,$AB$2&amp;if($K40="S1","a",if($K40="S2","b","")),Students!$A:$A,AQ$2)+
countifs(Students!$D:$D,$AE40,Students!$E:$E,$AE$2&amp;if($K40="S1","a",if($K40="S2","b","")),Students!$A:$A,AQ$2)+countifs(Students!$F:$F,$AE40,Students!$G:$G,$AE$2&amp;if($K40="S1","a",if($K40="S2","b","")),Students!$A:$A,AQ$2)+countifs(Students!$H:$H,$AE40,Students!$I:$I,$AE$2&amp;if($K40="S1","a",if($K40="S2","b","")),Students!$A:$A,AQ$2)+countifs(Students!$J:$J,$AE40,Students!$K:$K,$AE$2&amp;if($K40="S1","a",if($K40="S2","b","")),Students!$A:$A,AQ$2)+countifs(Students!$L:$L,$AE40,Students!$M:$M,$AE$2&amp;if($K40="S1","a",if($K40="S2","b","")),Students!$A:$A,AQ$2)+countifs(Students!$N:$N,$AE40,Students!$O:$O,$AE$2&amp;if($K40="S1","a",if($K40="S2","b","")),Students!$A:$A,AQ$2)+countifs(Students!$P:$P,$AE40,Students!$Q:$Q,$AE$2&amp;if($K40="S1","a",if($K40="S2","b","")),Students!$A:$A,AQ$2)+countifs(Students!$R:$R,$AE40,Students!$S:$S,$AE$2&amp;if($K40="S1","a",if($K40="S2","b","")),Students!$A:$A,AQ$2)+countifs(Students!$T:$T,$AE40,Students!$U:$U,$AE$2&amp;if($K40="S1","a",if($K40="S2","b","")),Students!$A:$A,AQ$2)+countifs(Students!$V:$V,$AE40,Students!$W:$W,$AE$2&amp;if($K40="S1","a",if($K40="S2","b","")),Students!$A:$A,AQ$2)+
countifs(Students!$D:$D,$AH40,Students!$E:$E,$AH$2&amp;if($K40="S1","a",if($K40="S2","b","")),Students!$A:$A,AQ$2)+countifs(Students!$F:$F,$AH40,Students!$G:$G,$AH$2&amp;if($K40="S1","a",if($K40="S2","b","")),Students!$A:$A,AQ$2)+countifs(Students!$H:$H,$AH40,Students!$I:$I,$AH$2&amp;if($K40="S1","a",if($K40="S2","b","")),Students!$A:$A,AQ$2)+countifs(Students!$J:$J,$AH40,Students!$K:$K,$AH$2&amp;if($K40="S1","a",if($K40="S2","b","")),Students!$A:$A,AQ$2)+countifs(Students!$L:$L,$AH40,Students!$M:$M,$AH$2&amp;if($K40="S1","a",if($K40="S2","b","")),Students!$A:$A,AQ$2)+countifs(Students!$N:$N,$AH40,Students!$O:$O,$AH$2&amp;if($K40="S1","a",if($K40="S2","b","")),Students!$A:$A,AQ$2)+countifs(Students!$P:$P,$AH40,Students!$Q:$Q,$AH$2&amp;if($K40="S1","a",if($K40="S2","b","")),Students!$A:$A,AQ$2)+countifs(Students!$R:$R,$AH40,Students!$S:$S,$AH$2&amp;if($K40="S1","a",if($K40="S2","b","")),Students!$A:$A,AQ$2)+countifs(Students!$T:$T,$AH40,Students!$U:$U,$AH$2&amp;if($K40="S1","a",if($K40="S2","b","")),Students!$A:$A,AQ$2)+countifs(Students!$V:$V,$AH40,Students!$W:$W,$AH$2&amp;if($K40="S1","a",if($K40="S2","b","")),Students!$A:$A,AQ$2)+
countifs(Students!$D:$D,$AK40,Students!$E:$E,$AK$2&amp;if($K40="S1","a",if($K40="S2","b","")),Students!$A:$A,AQ$2)+countifs(Students!$F:$F,$AK40,Students!$G:$G,$AK$2&amp;if($K40="S1","a",if($K40="S2","b","")),Students!$A:$A,AQ$2)+countifs(Students!$H:$H,$AK40,Students!$I:$I,$AK$2&amp;if($K40="S1","a",if($K40="S2","b","")),Students!$A:$A,AQ$2)+countifs(Students!$J:$J,$AK40,Students!$K:$K,$AK$2&amp;if($K40="S1","a",if($K40="S2","b","")),Students!$A:$A,AQ$2)+countifs(Students!$L:$L,$AK40,Students!$M:$M,$AK$2&amp;if($K40="S1","a",if($K40="S2","b","")),Students!$A:$A,AQ$2)+countifs(Students!$N:$N,$AK40,Students!$O:$O,$AK$2&amp;if($K40="S1","a",if($K40="S2","b","")),Students!$A:$A,AQ$2)+countifs(Students!$P:$P,$AK40,Students!$Q:$Q,$AK$2&amp;if($K40="S1","a",if($K40="S2","b","")),Students!$A:$A,AQ$2)+countifs(Students!$R:$R,$AK40,Students!$S:$S,$AK$2&amp;if($K40="S1","a",if($K40="S2","b","")),Students!$A:$A,AQ$2)+countifs(Students!$T:$T,$AK40,Students!$U:$U,$AK$2&amp;if($K40="S1","a",if($K40="S2","b","")),Students!$A:$A,AQ$2)+countifs(Students!$V:$V,$AK40,Students!$W:$W,$AK$2&amp;if($K40="S1","a",if($K40="S2","b","")),Students!$A:$A,AQ$2))</f>
        <v>7</v>
      </c>
      <c r="AR40" s="102">
        <f>if($L40="","",countifs(Students!$D:$D,$P40,Students!$E:$E,$P$2&amp;if($K40="S1","a",if($K40="S2","b","")),Students!$A:$A,AR$2)+countifs(Students!$F:$F,$P40,Students!$G:$G,$P$2&amp;if($K40="S1","a",if($K40="S2","b","")),Students!$A:$A,AR$2)+countifs(Students!$H:$H,$P40,Students!$I:$I,$P$2&amp;if($K40="S1","a",if($K40="S2","b","")),Students!$A:$A,AR$2)+countifs(Students!$J:$J,$P40,Students!$K:$K,$P$2&amp;if($K40="S1","a",if($K40="S2","b","")),Students!$A:$A,AR$2)+countifs(Students!$L:$L,$P40,Students!$M:$M,$P$2&amp;if($K40="S1","a",if($K40="S2","b","")),Students!$A:$A,AR$2)+countifs(Students!$N:$N,$P40,Students!$O:$O,$P$2&amp;if($K40="S1","a",if($K40="S2","b","")),Students!$A:$A,AR$2)+countifs(Students!$P:$P,$P40,Students!$Q:$Q,$P$2&amp;if($K40="S1","a",if($K40="S2","b","")),Students!$A:$A,AR$2)+countifs(Students!$R:$R,$P40,Students!$S:$S,$P$2&amp;if($K40="S1","a",if($K40="S2","b","")),Students!$A:$A,AR$2)+countifs(Students!$T:$T,$P40,Students!$U:$U,$P$2&amp;if($K40="S1","a",if($K40="S2","b","")),Students!$A:$A,AR$2)+countifs(Students!$V:$V,$P40,Students!$W:$W,$P$2&amp;if($K40="S1","a",if($K40="S2","b","")),Students!$A:$A,AR$2)+
countifs(Students!$D:$D,$S40,Students!$E:$E,$S$2&amp;if($K40="S1","a",if($K40="S2","b","")),Students!$A:$A,AR$2)+countifs(Students!$F:$F,$S40,Students!$G:$G,$S$2&amp;if($K40="S1","a",if($K40="S2","b","")),Students!$A:$A,AR$2)+countifs(Students!$H:$H,$S40,Students!$I:$I,$S$2&amp;if($K40="S1","a",if($K40="S2","b","")),Students!$A:$A,AR$2)+countifs(Students!$J:$J,$S40,Students!$K:$K,$S$2&amp;if($K40="S1","a",if($K40="S2","b","")),Students!$A:$A,AR$2)+countifs(Students!$L:$L,$S40,Students!$M:$M,$S$2&amp;if($K40="S1","a",if($K40="S2","b","")),Students!$A:$A,AR$2)+countifs(Students!$N:$N,$S40,Students!$O:$O,$S$2&amp;if($K40="S1","a",if($K40="S2","b","")),Students!$A:$A,AR$2)+countifs(Students!$P:$P,$S40,Students!$Q:$Q,$S$2&amp;if($K40="S1","a",if($K40="S2","b","")),Students!$A:$A,AR$2)+countifs(Students!$R:$R,$S40,Students!$S:$S,$S$2&amp;if($K40="S1","a",if($K40="S2","b","")),Students!$A:$A,AR$2)+countifs(Students!$T:$T,$S40,Students!$U:$U,$S$2&amp;if($K40="S1","a",if($K40="S2","b","")),Students!$A:$A,AR$2)+countifs(Students!$V:$V,$S40,Students!$W:$W,$S$2&amp;if($K40="S1","a",if($K40="S2","b","")),Students!$A:$A,AR$2)+
countifs(Students!$D:$D,$V40,Students!$E:$E,$V$2&amp;if($K40="S1","a",if($K40="S2","b","")),Students!$A:$A,AR$2)+countifs(Students!$F:$F,$V40,Students!$G:$G,$V$2&amp;if($K40="S1","a",if($K40="S2","b","")),Students!$A:$A,AR$2)+countifs(Students!$H:$H,$V40,Students!$I:$I,$V$2&amp;if($K40="S1","a",if($K40="S2","b","")),Students!$A:$A,AR$2)+countifs(Students!$J:$J,$V40,Students!$K:$K,$V$2&amp;if($K40="S1","a",if($K40="S2","b","")),Students!$A:$A,AR$2)+countifs(Students!$L:$L,$V40,Students!$M:$M,$V$2&amp;if($K40="S1","a",if($K40="S2","b","")),Students!$A:$A,AR$2)+countifs(Students!$N:$N,$V40,Students!$O:$O,$V$2&amp;if($K40="S1","a",if($K40="S2","b","")),Students!$A:$A,AR$2)+countifs(Students!$P:$P,$V40,Students!$Q:$Q,$V$2&amp;if($K40="S1","a",if($K40="S2","b","")),Students!$A:$A,AR$2)+countifs(Students!$R:$R,$V40,Students!$S:$S,$V$2&amp;if($K40="S1","a",if($K40="S2","b","")),Students!$A:$A,AR$2)+countifs(Students!$T:$T,$V40,Students!$U:$U,$V$2&amp;if($K40="S1","a",if($K40="S2","b","")),Students!$A:$A,AR$2)+countifs(Students!$V:$V,$V40,Students!$W:$W,$V$2&amp;if($K40="S1","a",if($K40="S2","b","")),Students!$A:$A,AR$2)+
countifs(Students!$D:$D,$Y40,Students!$E:$E,$Y$2&amp;if($K40="S1","a",if($K40="S2","b","")),Students!$A:$A,AR$2)+countifs(Students!$F:$F,$Y40,Students!$G:$G,$Y$2&amp;if($K40="S1","a",if($K40="S2","b","")),Students!$A:$A,AR$2)+countifs(Students!$H:$H,$Y40,Students!$I:$I,$Y$2&amp;if($K40="S1","a",if($K40="S2","b","")),Students!$A:$A,AR$2)+countifs(Students!$J:$J,$Y40,Students!$K:$K,$Y$2&amp;if($K40="S1","a",if($K40="S2","b","")),Students!$A:$A,AR$2)+countifs(Students!$L:$L,$Y40,Students!$M:$M,$Y$2&amp;if($K40="S1","a",if($K40="S2","b","")),Students!$A:$A,AR$2)+countifs(Students!$N:$N,$Y40,Students!$O:$O,$Y$2&amp;if($K40="S1","a",if($K40="S2","b","")),Students!$A:$A,AR$2)+countifs(Students!$P:$P,$Y40,Students!$Q:$Q,$Y$2&amp;if($K40="S1","a",if($K40="S2","b","")),Students!$A:$A,AR$2)+countifs(Students!$R:$R,$Y40,Students!$S:$S,$Y$2&amp;if($K40="S1","a",if($K40="S2","b","")),Students!$A:$A,AR$2)+countifs(Students!$T:$T,$Y40,Students!$U:$U,$Y$2&amp;if($K40="S1","a",if($K40="S2","b","")),Students!$A:$A,AR$2)+countifs(Students!$V:$V,$Y40,Students!$W:$W,$Y$2&amp;if($K40="S1","a",if($K40="S2","b","")),Students!$A:$A,AR$2)+
countifs(Students!$D:$D,$AB40,Students!$E:$E,$AB$2&amp;if($K40="S1","a",if($K40="S2","b","")),Students!$A:$A,AR$2)+countifs(Students!$F:$F,$AB40,Students!$G:$G,$AB$2&amp;if($K40="S1","a",if($K40="S2","b","")),Students!$A:$A,AR$2)+countifs(Students!$H:$H,$AB40,Students!$I:$I,$AB$2&amp;if($K40="S1","a",if($K40="S2","b","")),Students!$A:$A,AR$2)+countifs(Students!$J:$J,$AB40,Students!$K:$K,$AB$2&amp;if($K40="S1","a",if($K40="S2","b","")),Students!$A:$A,AR$2)+countifs(Students!$L:$L,$AB40,Students!$M:$M,$AB$2&amp;if($K40="S1","a",if($K40="S2","b","")),Students!$A:$A,AR$2)+countifs(Students!$N:$N,$AB40,Students!$O:$O,$AB$2&amp;if($K40="S1","a",if($K40="S2","b","")),Students!$A:$A,AR$2)+countifs(Students!$P:$P,$AB40,Students!$Q:$Q,$AB$2&amp;if($K40="S1","a",if($K40="S2","b","")),Students!$A:$A,AR$2)+countifs(Students!$R:$R,$AB40,Students!$S:$S,$AB$2&amp;if($K40="S1","a",if($K40="S2","b","")),Students!$A:$A,AR$2)+countifs(Students!$T:$T,$AB40,Students!$U:$U,$AB$2&amp;if($K40="S1","a",if($K40="S2","b","")),Students!$A:$A,AR$2)+countifs(Students!$V:$V,$AB40,Students!$W:$W,$AB$2&amp;if($K40="S1","a",if($K40="S2","b","")),Students!$A:$A,AR$2)+
countifs(Students!$D:$D,$AE40,Students!$E:$E,$AE$2&amp;if($K40="S1","a",if($K40="S2","b","")),Students!$A:$A,AR$2)+countifs(Students!$F:$F,$AE40,Students!$G:$G,$AE$2&amp;if($K40="S1","a",if($K40="S2","b","")),Students!$A:$A,AR$2)+countifs(Students!$H:$H,$AE40,Students!$I:$I,$AE$2&amp;if($K40="S1","a",if($K40="S2","b","")),Students!$A:$A,AR$2)+countifs(Students!$J:$J,$AE40,Students!$K:$K,$AE$2&amp;if($K40="S1","a",if($K40="S2","b","")),Students!$A:$A,AR$2)+countifs(Students!$L:$L,$AE40,Students!$M:$M,$AE$2&amp;if($K40="S1","a",if($K40="S2","b","")),Students!$A:$A,AR$2)+countifs(Students!$N:$N,$AE40,Students!$O:$O,$AE$2&amp;if($K40="S1","a",if($K40="S2","b","")),Students!$A:$A,AR$2)+countifs(Students!$P:$P,$AE40,Students!$Q:$Q,$AE$2&amp;if($K40="S1","a",if($K40="S2","b","")),Students!$A:$A,AR$2)+countifs(Students!$R:$R,$AE40,Students!$S:$S,$AE$2&amp;if($K40="S1","a",if($K40="S2","b","")),Students!$A:$A,AR$2)+countifs(Students!$T:$T,$AE40,Students!$U:$U,$AE$2&amp;if($K40="S1","a",if($K40="S2","b","")),Students!$A:$A,AR$2)+countifs(Students!$V:$V,$AE40,Students!$W:$W,$AE$2&amp;if($K40="S1","a",if($K40="S2","b","")),Students!$A:$A,AR$2)+
countifs(Students!$D:$D,$AH40,Students!$E:$E,$AH$2&amp;if($K40="S1","a",if($K40="S2","b","")),Students!$A:$A,AR$2)+countifs(Students!$F:$F,$AH40,Students!$G:$G,$AH$2&amp;if($K40="S1","a",if($K40="S2","b","")),Students!$A:$A,AR$2)+countifs(Students!$H:$H,$AH40,Students!$I:$I,$AH$2&amp;if($K40="S1","a",if($K40="S2","b","")),Students!$A:$A,AR$2)+countifs(Students!$J:$J,$AH40,Students!$K:$K,$AH$2&amp;if($K40="S1","a",if($K40="S2","b","")),Students!$A:$A,AR$2)+countifs(Students!$L:$L,$AH40,Students!$M:$M,$AH$2&amp;if($K40="S1","a",if($K40="S2","b","")),Students!$A:$A,AR$2)+countifs(Students!$N:$N,$AH40,Students!$O:$O,$AH$2&amp;if($K40="S1","a",if($K40="S2","b","")),Students!$A:$A,AR$2)+countifs(Students!$P:$P,$AH40,Students!$Q:$Q,$AH$2&amp;if($K40="S1","a",if($K40="S2","b","")),Students!$A:$A,AR$2)+countifs(Students!$R:$R,$AH40,Students!$S:$S,$AH$2&amp;if($K40="S1","a",if($K40="S2","b","")),Students!$A:$A,AR$2)+countifs(Students!$T:$T,$AH40,Students!$U:$U,$AH$2&amp;if($K40="S1","a",if($K40="S2","b","")),Students!$A:$A,AR$2)+countifs(Students!$V:$V,$AH40,Students!$W:$W,$AH$2&amp;if($K40="S1","a",if($K40="S2","b","")),Students!$A:$A,AR$2)+
countifs(Students!$D:$D,$AK40,Students!$E:$E,$AK$2&amp;if($K40="S1","a",if($K40="S2","b","")),Students!$A:$A,AR$2)+countifs(Students!$F:$F,$AK40,Students!$G:$G,$AK$2&amp;if($K40="S1","a",if($K40="S2","b","")),Students!$A:$A,AR$2)+countifs(Students!$H:$H,$AK40,Students!$I:$I,$AK$2&amp;if($K40="S1","a",if($K40="S2","b","")),Students!$A:$A,AR$2)+countifs(Students!$J:$J,$AK40,Students!$K:$K,$AK$2&amp;if($K40="S1","a",if($K40="S2","b","")),Students!$A:$A,AR$2)+countifs(Students!$L:$L,$AK40,Students!$M:$M,$AK$2&amp;if($K40="S1","a",if($K40="S2","b","")),Students!$A:$A,AR$2)+countifs(Students!$N:$N,$AK40,Students!$O:$O,$AK$2&amp;if($K40="S1","a",if($K40="S2","b","")),Students!$A:$A,AR$2)+countifs(Students!$P:$P,$AK40,Students!$Q:$Q,$AK$2&amp;if($K40="S1","a",if($K40="S2","b","")),Students!$A:$A,AR$2)+countifs(Students!$R:$R,$AK40,Students!$S:$S,$AK$2&amp;if($K40="S1","a",if($K40="S2","b","")),Students!$A:$A,AR$2)+countifs(Students!$T:$T,$AK40,Students!$U:$U,$AK$2&amp;if($K40="S1","a",if($K40="S2","b","")),Students!$A:$A,AR$2)+countifs(Students!$V:$V,$AK40,Students!$W:$W,$AK$2&amp;if($K40="S1","a",if($K40="S2","b","")),Students!$A:$A,AR$2))</f>
        <v>2</v>
      </c>
      <c r="AS40" s="102">
        <f>if($L40="","",countifs(Students!$D:$D,$P40,Students!$E:$E,$P$2&amp;if($K40="S1","a",if($K40="S2","b","")),Students!$A:$A,AS$2)+countifs(Students!$F:$F,$P40,Students!$G:$G,$P$2&amp;if($K40="S1","a",if($K40="S2","b","")),Students!$A:$A,AS$2)+countifs(Students!$H:$H,$P40,Students!$I:$I,$P$2&amp;if($K40="S1","a",if($K40="S2","b","")),Students!$A:$A,AS$2)+countifs(Students!$J:$J,$P40,Students!$K:$K,$P$2&amp;if($K40="S1","a",if($K40="S2","b","")),Students!$A:$A,AS$2)+countifs(Students!$L:$L,$P40,Students!$M:$M,$P$2&amp;if($K40="S1","a",if($K40="S2","b","")),Students!$A:$A,AS$2)+countifs(Students!$N:$N,$P40,Students!$O:$O,$P$2&amp;if($K40="S1","a",if($K40="S2","b","")),Students!$A:$A,AS$2)+countifs(Students!$P:$P,$P40,Students!$Q:$Q,$P$2&amp;if($K40="S1","a",if($K40="S2","b","")),Students!$A:$A,AS$2)+countifs(Students!$R:$R,$P40,Students!$S:$S,$P$2&amp;if($K40="S1","a",if($K40="S2","b","")),Students!$A:$A,AS$2)+countifs(Students!$T:$T,$P40,Students!$U:$U,$P$2&amp;if($K40="S1","a",if($K40="S2","b","")),Students!$A:$A,AS$2)+countifs(Students!$V:$V,$P40,Students!$W:$W,$P$2&amp;if($K40="S1","a",if($K40="S2","b","")),Students!$A:$A,AS$2)+
countifs(Students!$D:$D,$S40,Students!$E:$E,$S$2&amp;if($K40="S1","a",if($K40="S2","b","")),Students!$A:$A,AS$2)+countifs(Students!$F:$F,$S40,Students!$G:$G,$S$2&amp;if($K40="S1","a",if($K40="S2","b","")),Students!$A:$A,AS$2)+countifs(Students!$H:$H,$S40,Students!$I:$I,$S$2&amp;if($K40="S1","a",if($K40="S2","b","")),Students!$A:$A,AS$2)+countifs(Students!$J:$J,$S40,Students!$K:$K,$S$2&amp;if($K40="S1","a",if($K40="S2","b","")),Students!$A:$A,AS$2)+countifs(Students!$L:$L,$S40,Students!$M:$M,$S$2&amp;if($K40="S1","a",if($K40="S2","b","")),Students!$A:$A,AS$2)+countifs(Students!$N:$N,$S40,Students!$O:$O,$S$2&amp;if($K40="S1","a",if($K40="S2","b","")),Students!$A:$A,AS$2)+countifs(Students!$P:$P,$S40,Students!$Q:$Q,$S$2&amp;if($K40="S1","a",if($K40="S2","b","")),Students!$A:$A,AS$2)+countifs(Students!$R:$R,$S40,Students!$S:$S,$S$2&amp;if($K40="S1","a",if($K40="S2","b","")),Students!$A:$A,AS$2)+countifs(Students!$T:$T,$S40,Students!$U:$U,$S$2&amp;if($K40="S1","a",if($K40="S2","b","")),Students!$A:$A,AS$2)+countifs(Students!$V:$V,$S40,Students!$W:$W,$S$2&amp;if($K40="S1","a",if($K40="S2","b","")),Students!$A:$A,AS$2)+
countifs(Students!$D:$D,$V40,Students!$E:$E,$V$2&amp;if($K40="S1","a",if($K40="S2","b","")),Students!$A:$A,AS$2)+countifs(Students!$F:$F,$V40,Students!$G:$G,$V$2&amp;if($K40="S1","a",if($K40="S2","b","")),Students!$A:$A,AS$2)+countifs(Students!$H:$H,$V40,Students!$I:$I,$V$2&amp;if($K40="S1","a",if($K40="S2","b","")),Students!$A:$A,AS$2)+countifs(Students!$J:$J,$V40,Students!$K:$K,$V$2&amp;if($K40="S1","a",if($K40="S2","b","")),Students!$A:$A,AS$2)+countifs(Students!$L:$L,$V40,Students!$M:$M,$V$2&amp;if($K40="S1","a",if($K40="S2","b","")),Students!$A:$A,AS$2)+countifs(Students!$N:$N,$V40,Students!$O:$O,$V$2&amp;if($K40="S1","a",if($K40="S2","b","")),Students!$A:$A,AS$2)+countifs(Students!$P:$P,$V40,Students!$Q:$Q,$V$2&amp;if($K40="S1","a",if($K40="S2","b","")),Students!$A:$A,AS$2)+countifs(Students!$R:$R,$V40,Students!$S:$S,$V$2&amp;if($K40="S1","a",if($K40="S2","b","")),Students!$A:$A,AS$2)+countifs(Students!$T:$T,$V40,Students!$U:$U,$V$2&amp;if($K40="S1","a",if($K40="S2","b","")),Students!$A:$A,AS$2)+countifs(Students!$V:$V,$V40,Students!$W:$W,$V$2&amp;if($K40="S1","a",if($K40="S2","b","")),Students!$A:$A,AS$2)+
countifs(Students!$D:$D,$Y40,Students!$E:$E,$Y$2&amp;if($K40="S1","a",if($K40="S2","b","")),Students!$A:$A,AS$2)+countifs(Students!$F:$F,$Y40,Students!$G:$G,$Y$2&amp;if($K40="S1","a",if($K40="S2","b","")),Students!$A:$A,AS$2)+countifs(Students!$H:$H,$Y40,Students!$I:$I,$Y$2&amp;if($K40="S1","a",if($K40="S2","b","")),Students!$A:$A,AS$2)+countifs(Students!$J:$J,$Y40,Students!$K:$K,$Y$2&amp;if($K40="S1","a",if($K40="S2","b","")),Students!$A:$A,AS$2)+countifs(Students!$L:$L,$Y40,Students!$M:$M,$Y$2&amp;if($K40="S1","a",if($K40="S2","b","")),Students!$A:$A,AS$2)+countifs(Students!$N:$N,$Y40,Students!$O:$O,$Y$2&amp;if($K40="S1","a",if($K40="S2","b","")),Students!$A:$A,AS$2)+countifs(Students!$P:$P,$Y40,Students!$Q:$Q,$Y$2&amp;if($K40="S1","a",if($K40="S2","b","")),Students!$A:$A,AS$2)+countifs(Students!$R:$R,$Y40,Students!$S:$S,$Y$2&amp;if($K40="S1","a",if($K40="S2","b","")),Students!$A:$A,AS$2)+countifs(Students!$T:$T,$Y40,Students!$U:$U,$Y$2&amp;if($K40="S1","a",if($K40="S2","b","")),Students!$A:$A,AS$2)+countifs(Students!$V:$V,$Y40,Students!$W:$W,$Y$2&amp;if($K40="S1","a",if($K40="S2","b","")),Students!$A:$A,AS$2)+
countifs(Students!$D:$D,$AB40,Students!$E:$E,$AB$2&amp;if($K40="S1","a",if($K40="S2","b","")),Students!$A:$A,AS$2)+countifs(Students!$F:$F,$AB40,Students!$G:$G,$AB$2&amp;if($K40="S1","a",if($K40="S2","b","")),Students!$A:$A,AS$2)+countifs(Students!$H:$H,$AB40,Students!$I:$I,$AB$2&amp;if($K40="S1","a",if($K40="S2","b","")),Students!$A:$A,AS$2)+countifs(Students!$J:$J,$AB40,Students!$K:$K,$AB$2&amp;if($K40="S1","a",if($K40="S2","b","")),Students!$A:$A,AS$2)+countifs(Students!$L:$L,$AB40,Students!$M:$M,$AB$2&amp;if($K40="S1","a",if($K40="S2","b","")),Students!$A:$A,AS$2)+countifs(Students!$N:$N,$AB40,Students!$O:$O,$AB$2&amp;if($K40="S1","a",if($K40="S2","b","")),Students!$A:$A,AS$2)+countifs(Students!$P:$P,$AB40,Students!$Q:$Q,$AB$2&amp;if($K40="S1","a",if($K40="S2","b","")),Students!$A:$A,AS$2)+countifs(Students!$R:$R,$AB40,Students!$S:$S,$AB$2&amp;if($K40="S1","a",if($K40="S2","b","")),Students!$A:$A,AS$2)+countifs(Students!$T:$T,$AB40,Students!$U:$U,$AB$2&amp;if($K40="S1","a",if($K40="S2","b","")),Students!$A:$A,AS$2)+countifs(Students!$V:$V,$AB40,Students!$W:$W,$AB$2&amp;if($K40="S1","a",if($K40="S2","b","")),Students!$A:$A,AS$2)+
countifs(Students!$D:$D,$AE40,Students!$E:$E,$AE$2&amp;if($K40="S1","a",if($K40="S2","b","")),Students!$A:$A,AS$2)+countifs(Students!$F:$F,$AE40,Students!$G:$G,$AE$2&amp;if($K40="S1","a",if($K40="S2","b","")),Students!$A:$A,AS$2)+countifs(Students!$H:$H,$AE40,Students!$I:$I,$AE$2&amp;if($K40="S1","a",if($K40="S2","b","")),Students!$A:$A,AS$2)+countifs(Students!$J:$J,$AE40,Students!$K:$K,$AE$2&amp;if($K40="S1","a",if($K40="S2","b","")),Students!$A:$A,AS$2)+countifs(Students!$L:$L,$AE40,Students!$M:$M,$AE$2&amp;if($K40="S1","a",if($K40="S2","b","")),Students!$A:$A,AS$2)+countifs(Students!$N:$N,$AE40,Students!$O:$O,$AE$2&amp;if($K40="S1","a",if($K40="S2","b","")),Students!$A:$A,AS$2)+countifs(Students!$P:$P,$AE40,Students!$Q:$Q,$AE$2&amp;if($K40="S1","a",if($K40="S2","b","")),Students!$A:$A,AS$2)+countifs(Students!$R:$R,$AE40,Students!$S:$S,$AE$2&amp;if($K40="S1","a",if($K40="S2","b","")),Students!$A:$A,AS$2)+countifs(Students!$T:$T,$AE40,Students!$U:$U,$AE$2&amp;if($K40="S1","a",if($K40="S2","b","")),Students!$A:$A,AS$2)+countifs(Students!$V:$V,$AE40,Students!$W:$W,$AE$2&amp;if($K40="S1","a",if($K40="S2","b","")),Students!$A:$A,AS$2)+
countifs(Students!$D:$D,$AH40,Students!$E:$E,$AH$2&amp;if($K40="S1","a",if($K40="S2","b","")),Students!$A:$A,AS$2)+countifs(Students!$F:$F,$AH40,Students!$G:$G,$AH$2&amp;if($K40="S1","a",if($K40="S2","b","")),Students!$A:$A,AS$2)+countifs(Students!$H:$H,$AH40,Students!$I:$I,$AH$2&amp;if($K40="S1","a",if($K40="S2","b","")),Students!$A:$A,AS$2)+countifs(Students!$J:$J,$AH40,Students!$K:$K,$AH$2&amp;if($K40="S1","a",if($K40="S2","b","")),Students!$A:$A,AS$2)+countifs(Students!$L:$L,$AH40,Students!$M:$M,$AH$2&amp;if($K40="S1","a",if($K40="S2","b","")),Students!$A:$A,AS$2)+countifs(Students!$N:$N,$AH40,Students!$O:$O,$AH$2&amp;if($K40="S1","a",if($K40="S2","b","")),Students!$A:$A,AS$2)+countifs(Students!$P:$P,$AH40,Students!$Q:$Q,$AH$2&amp;if($K40="S1","a",if($K40="S2","b","")),Students!$A:$A,AS$2)+countifs(Students!$R:$R,$AH40,Students!$S:$S,$AH$2&amp;if($K40="S1","a",if($K40="S2","b","")),Students!$A:$A,AS$2)+countifs(Students!$T:$T,$AH40,Students!$U:$U,$AH$2&amp;if($K40="S1","a",if($K40="S2","b","")),Students!$A:$A,AS$2)+countifs(Students!$V:$V,$AH40,Students!$W:$W,$AH$2&amp;if($K40="S1","a",if($K40="S2","b","")),Students!$A:$A,AS$2)+
countifs(Students!$D:$D,$AK40,Students!$E:$E,$AK$2&amp;if($K40="S1","a",if($K40="S2","b","")),Students!$A:$A,AS$2)+countifs(Students!$F:$F,$AK40,Students!$G:$G,$AK$2&amp;if($K40="S1","a",if($K40="S2","b","")),Students!$A:$A,AS$2)+countifs(Students!$H:$H,$AK40,Students!$I:$I,$AK$2&amp;if($K40="S1","a",if($K40="S2","b","")),Students!$A:$A,AS$2)+countifs(Students!$J:$J,$AK40,Students!$K:$K,$AK$2&amp;if($K40="S1","a",if($K40="S2","b","")),Students!$A:$A,AS$2)+countifs(Students!$L:$L,$AK40,Students!$M:$M,$AK$2&amp;if($K40="S1","a",if($K40="S2","b","")),Students!$A:$A,AS$2)+countifs(Students!$N:$N,$AK40,Students!$O:$O,$AK$2&amp;if($K40="S1","a",if($K40="S2","b","")),Students!$A:$A,AS$2)+countifs(Students!$P:$P,$AK40,Students!$Q:$Q,$AK$2&amp;if($K40="S1","a",if($K40="S2","b","")),Students!$A:$A,AS$2)+countifs(Students!$R:$R,$AK40,Students!$S:$S,$AK$2&amp;if($K40="S1","a",if($K40="S2","b","")),Students!$A:$A,AS$2)+countifs(Students!$T:$T,$AK40,Students!$U:$U,$AK$2&amp;if($K40="S1","a",if($K40="S2","b","")),Students!$A:$A,AS$2)+countifs(Students!$V:$V,$AK40,Students!$W:$W,$AK$2&amp;if($K40="S1","a",if($K40="S2","b","")),Students!$A:$A,AS$2))</f>
        <v>3</v>
      </c>
    </row>
    <row r="41">
      <c r="A41" s="116"/>
      <c r="B41" s="3"/>
      <c r="C41" s="3"/>
      <c r="D41" s="3"/>
      <c r="E41" s="3"/>
      <c r="F41" s="3"/>
      <c r="G41" s="3"/>
      <c r="H41" s="3"/>
      <c r="I41" s="3"/>
      <c r="J41" s="87">
        <v>86.0</v>
      </c>
      <c r="K41" s="20"/>
      <c r="L41" s="119" t="s">
        <v>123</v>
      </c>
      <c r="M41" s="107"/>
      <c r="N41" s="92">
        <v>2.0</v>
      </c>
      <c r="O41" s="92">
        <f>IFERROR(__xludf.DUMMYFUNCTION("3*counta((transpose(filter(P41:AM41,P41:AM41&lt;&gt;"""",isnumber(P41:AM41)=false))))"),15.0)</f>
        <v>15</v>
      </c>
      <c r="P41" s="91" t="s">
        <v>124</v>
      </c>
      <c r="Q41" s="91">
        <v>1.0</v>
      </c>
      <c r="R41" s="92">
        <v>16.0</v>
      </c>
      <c r="S41" s="91" t="s">
        <v>124</v>
      </c>
      <c r="T41" s="101">
        <v>2.0</v>
      </c>
      <c r="U41" s="92">
        <v>14.0</v>
      </c>
      <c r="V41" s="124" t="s">
        <v>115</v>
      </c>
      <c r="W41" s="91">
        <v>2.0</v>
      </c>
      <c r="X41" s="92">
        <v>23.0</v>
      </c>
      <c r="Y41" s="91"/>
      <c r="Z41" s="91"/>
      <c r="AA41" s="92" t="s">
        <v>22</v>
      </c>
      <c r="AB41" s="91" t="s">
        <v>124</v>
      </c>
      <c r="AC41" s="91">
        <v>3.0</v>
      </c>
      <c r="AD41" s="98">
        <v>16.0</v>
      </c>
      <c r="AE41" s="91" t="s">
        <v>124</v>
      </c>
      <c r="AF41" s="101">
        <v>4.0</v>
      </c>
      <c r="AG41" s="98">
        <v>17.0</v>
      </c>
      <c r="AH41" s="94"/>
      <c r="AI41" s="115"/>
      <c r="AJ41" s="95" t="s">
        <v>22</v>
      </c>
      <c r="AK41" s="101"/>
      <c r="AL41" s="97"/>
      <c r="AM41" s="98" t="s">
        <v>22</v>
      </c>
      <c r="AN41" s="99"/>
      <c r="AO41" s="52">
        <f t="shared" si="2"/>
        <v>86</v>
      </c>
      <c r="AP41" s="102">
        <f>if($L41="","",countifs(Students!$D:$D,$P41,Students!$E:$E,$P$2&amp;if($K41="S1","a",if($K41="S2","b","")),Students!$A:$A,AP$2)+countifs(Students!$F:$F,$P41,Students!$G:$G,$P$2&amp;if($K41="S1","a",if($K41="S2","b","")),Students!$A:$A,AP$2)+countifs(Students!$H:$H,$P41,Students!$I:$I,$P$2&amp;if($K41="S1","a",if($K41="S2","b","")),Students!$A:$A,AP$2)+countifs(Students!$J:$J,$P41,Students!$K:$K,$P$2&amp;if($K41="S1","a",if($K41="S2","b","")),Students!$A:$A,AP$2)+countifs(Students!$L:$L,$P41,Students!$M:$M,$P$2&amp;if($K41="S1","a",if($K41="S2","b","")),Students!$A:$A,AP$2)+countifs(Students!$N:$N,$P41,Students!$O:$O,$P$2&amp;if($K41="S1","a",if($K41="S2","b","")),Students!$A:$A,AP$2)+countifs(Students!$P:$P,$P41,Students!$Q:$Q,$P$2&amp;if($K41="S1","a",if($K41="S2","b","")),Students!$A:$A,AP$2)+countifs(Students!$R:$R,$P41,Students!$S:$S,$P$2&amp;if($K41="S1","a",if($K41="S2","b","")),Students!$A:$A,AP$2)+countifs(Students!$T:$T,$P41,Students!$U:$U,$P$2&amp;if($K41="S1","a",if($K41="S2","b","")),Students!$A:$A,AP$2)+countifs(Students!$V:$V,$P41,Students!$W:$W,$P$2&amp;if($K41="S1","a",if($K41="S2","b","")),Students!$A:$A,AP$2)+
countifs(Students!$D:$D,$S41,Students!$E:$E,$S$2&amp;if($K41="S1","a",if($K41="S2","b","")),Students!$A:$A,AP$2)+countifs(Students!$F:$F,$S41,Students!$G:$G,$S$2&amp;if($K41="S1","a",if($K41="S2","b","")),Students!$A:$A,AP$2)+countifs(Students!$H:$H,$S41,Students!$I:$I,$S$2&amp;if($K41="S1","a",if($K41="S2","b","")),Students!$A:$A,AP$2)+countifs(Students!$J:$J,$S41,Students!$K:$K,$S$2&amp;if($K41="S1","a",if($K41="S2","b","")),Students!$A:$A,AP$2)+countifs(Students!$L:$L,$S41,Students!$M:$M,$S$2&amp;if($K41="S1","a",if($K41="S2","b","")),Students!$A:$A,AP$2)+countifs(Students!$N:$N,$S41,Students!$O:$O,$S$2&amp;if($K41="S1","a",if($K41="S2","b","")),Students!$A:$A,AP$2)+countifs(Students!$P:$P,$S41,Students!$Q:$Q,$S$2&amp;if($K41="S1","a",if($K41="S2","b","")),Students!$A:$A,AP$2)+countifs(Students!$R:$R,$S41,Students!$S:$S,$S$2&amp;if($K41="S1","a",if($K41="S2","b","")),Students!$A:$A,AP$2)+countifs(Students!$T:$T,$S41,Students!$U:$U,$S$2&amp;if($K41="S1","a",if($K41="S2","b","")),Students!$A:$A,AP$2)+countifs(Students!$V:$V,$S41,Students!$W:$W,$S$2&amp;if($K41="S1","a",if($K41="S2","b","")),Students!$A:$A,AP$2)+
countifs(Students!$D:$D,$V41,Students!$E:$E,$V$2&amp;if($K41="S1","a",if($K41="S2","b","")),Students!$A:$A,AP$2)+countifs(Students!$F:$F,$V41,Students!$G:$G,$V$2&amp;if($K41="S1","a",if($K41="S2","b","")),Students!$A:$A,AP$2)+countifs(Students!$H:$H,$V41,Students!$I:$I,$V$2&amp;if($K41="S1","a",if($K41="S2","b","")),Students!$A:$A,AP$2)+countifs(Students!$J:$J,$V41,Students!$K:$K,$V$2&amp;if($K41="S1","a",if($K41="S2","b","")),Students!$A:$A,AP$2)+countifs(Students!$L:$L,$V41,Students!$M:$M,$V$2&amp;if($K41="S1","a",if($K41="S2","b","")),Students!$A:$A,AP$2)+countifs(Students!$N:$N,$V41,Students!$O:$O,$V$2&amp;if($K41="S1","a",if($K41="S2","b","")),Students!$A:$A,AP$2)+countifs(Students!$P:$P,$V41,Students!$Q:$Q,$V$2&amp;if($K41="S1","a",if($K41="S2","b","")),Students!$A:$A,AP$2)+countifs(Students!$R:$R,$V41,Students!$S:$S,$V$2&amp;if($K41="S1","a",if($K41="S2","b","")),Students!$A:$A,AP$2)+countifs(Students!$T:$T,$V41,Students!$U:$U,$V$2&amp;if($K41="S1","a",if($K41="S2","b","")),Students!$A:$A,AP$2)+countifs(Students!$V:$V,$V41,Students!$W:$W,$V$2&amp;if($K41="S1","a",if($K41="S2","b","")),Students!$A:$A,AP$2)+
countifs(Students!$D:$D,$Y41,Students!$E:$E,$Y$2&amp;if($K41="S1","a",if($K41="S2","b","")),Students!$A:$A,AP$2)+countifs(Students!$F:$F,$Y41,Students!$G:$G,$Y$2&amp;if($K41="S1","a",if($K41="S2","b","")),Students!$A:$A,AP$2)+countifs(Students!$H:$H,$Y41,Students!$I:$I,$Y$2&amp;if($K41="S1","a",if($K41="S2","b","")),Students!$A:$A,AP$2)+countifs(Students!$J:$J,$Y41,Students!$K:$K,$Y$2&amp;if($K41="S1","a",if($K41="S2","b","")),Students!$A:$A,AP$2)+countifs(Students!$L:$L,$Y41,Students!$M:$M,$Y$2&amp;if($K41="S1","a",if($K41="S2","b","")),Students!$A:$A,AP$2)+countifs(Students!$N:$N,$Y41,Students!$O:$O,$Y$2&amp;if($K41="S1","a",if($K41="S2","b","")),Students!$A:$A,AP$2)+countifs(Students!$P:$P,$Y41,Students!$Q:$Q,$Y$2&amp;if($K41="S1","a",if($K41="S2","b","")),Students!$A:$A,AP$2)+countifs(Students!$R:$R,$Y41,Students!$S:$S,$Y$2&amp;if($K41="S1","a",if($K41="S2","b","")),Students!$A:$A,AP$2)+countifs(Students!$T:$T,$Y41,Students!$U:$U,$Y$2&amp;if($K41="S1","a",if($K41="S2","b","")),Students!$A:$A,AP$2)+countifs(Students!$V:$V,$Y41,Students!$W:$W,$Y$2&amp;if($K41="S1","a",if($K41="S2","b","")),Students!$A:$A,AP$2)+
countifs(Students!$D:$D,$AB41,Students!$E:$E,$AB$2&amp;if($K41="S1","a",if($K41="S2","b","")),Students!$A:$A,AP$2)+countifs(Students!$F:$F,$AB41,Students!$G:$G,$AB$2&amp;if($K41="S1","a",if($K41="S2","b","")),Students!$A:$A,AP$2)+countifs(Students!$H:$H,$AB41,Students!$I:$I,$AB$2&amp;if($K41="S1","a",if($K41="S2","b","")),Students!$A:$A,AP$2)+countifs(Students!$J:$J,$AB41,Students!$K:$K,$AB$2&amp;if($K41="S1","a",if($K41="S2","b","")),Students!$A:$A,AP$2)+countifs(Students!$L:$L,$AB41,Students!$M:$M,$AB$2&amp;if($K41="S1","a",if($K41="S2","b","")),Students!$A:$A,AP$2)+countifs(Students!$N:$N,$AB41,Students!$O:$O,$AB$2&amp;if($K41="S1","a",if($K41="S2","b","")),Students!$A:$A,AP$2)+countifs(Students!$P:$P,$AB41,Students!$Q:$Q,$AB$2&amp;if($K41="S1","a",if($K41="S2","b","")),Students!$A:$A,AP$2)+countifs(Students!$R:$R,$AB41,Students!$S:$S,$AB$2&amp;if($K41="S1","a",if($K41="S2","b","")),Students!$A:$A,AP$2)+countifs(Students!$T:$T,$AB41,Students!$U:$U,$AB$2&amp;if($K41="S1","a",if($K41="S2","b","")),Students!$A:$A,AP$2)+countifs(Students!$V:$V,$AB41,Students!$W:$W,$AB$2&amp;if($K41="S1","a",if($K41="S2","b","")),Students!$A:$A,AP$2)+
countifs(Students!$D:$D,$AE41,Students!$E:$E,$AE$2&amp;if($K41="S1","a",if($K41="S2","b","")),Students!$A:$A,AP$2)+countifs(Students!$F:$F,$AE41,Students!$G:$G,$AE$2&amp;if($K41="S1","a",if($K41="S2","b","")),Students!$A:$A,AP$2)+countifs(Students!$H:$H,$AE41,Students!$I:$I,$AE$2&amp;if($K41="S1","a",if($K41="S2","b","")),Students!$A:$A,AP$2)+countifs(Students!$J:$J,$AE41,Students!$K:$K,$AE$2&amp;if($K41="S1","a",if($K41="S2","b","")),Students!$A:$A,AP$2)+countifs(Students!$L:$L,$AE41,Students!$M:$M,$AE$2&amp;if($K41="S1","a",if($K41="S2","b","")),Students!$A:$A,AP$2)+countifs(Students!$N:$N,$AE41,Students!$O:$O,$AE$2&amp;if($K41="S1","a",if($K41="S2","b","")),Students!$A:$A,AP$2)+countifs(Students!$P:$P,$AE41,Students!$Q:$Q,$AE$2&amp;if($K41="S1","a",if($K41="S2","b","")),Students!$A:$A,AP$2)+countifs(Students!$R:$R,$AE41,Students!$S:$S,$AE$2&amp;if($K41="S1","a",if($K41="S2","b","")),Students!$A:$A,AP$2)+countifs(Students!$T:$T,$AE41,Students!$U:$U,$AE$2&amp;if($K41="S1","a",if($K41="S2","b","")),Students!$A:$A,AP$2)+countifs(Students!$V:$V,$AE41,Students!$W:$W,$AE$2&amp;if($K41="S1","a",if($K41="S2","b","")),Students!$A:$A,AP$2)+
countifs(Students!$D:$D,$AH41,Students!$E:$E,$AH$2&amp;if($K41="S1","a",if($K41="S2","b","")),Students!$A:$A,AP$2)+countifs(Students!$F:$F,$AH41,Students!$G:$G,$AH$2&amp;if($K41="S1","a",if($K41="S2","b","")),Students!$A:$A,AP$2)+countifs(Students!$H:$H,$AH41,Students!$I:$I,$AH$2&amp;if($K41="S1","a",if($K41="S2","b","")),Students!$A:$A,AP$2)+countifs(Students!$J:$J,$AH41,Students!$K:$K,$AH$2&amp;if($K41="S1","a",if($K41="S2","b","")),Students!$A:$A,AP$2)+countifs(Students!$L:$L,$AH41,Students!$M:$M,$AH$2&amp;if($K41="S1","a",if($K41="S2","b","")),Students!$A:$A,AP$2)+countifs(Students!$N:$N,$AH41,Students!$O:$O,$AH$2&amp;if($K41="S1","a",if($K41="S2","b","")),Students!$A:$A,AP$2)+countifs(Students!$P:$P,$AH41,Students!$Q:$Q,$AH$2&amp;if($K41="S1","a",if($K41="S2","b","")),Students!$A:$A,AP$2)+countifs(Students!$R:$R,$AH41,Students!$S:$S,$AH$2&amp;if($K41="S1","a",if($K41="S2","b","")),Students!$A:$A,AP$2)+countifs(Students!$T:$T,$AH41,Students!$U:$U,$AH$2&amp;if($K41="S1","a",if($K41="S2","b","")),Students!$A:$A,AP$2)+countifs(Students!$V:$V,$AH41,Students!$W:$W,$AH$2&amp;if($K41="S1","a",if($K41="S2","b","")),Students!$A:$A,AP$2)+
countifs(Students!$D:$D,$AK41,Students!$E:$E,$AK$2&amp;if($K41="S1","a",if($K41="S2","b","")),Students!$A:$A,AP$2)+countifs(Students!$F:$F,$AK41,Students!$G:$G,$AK$2&amp;if($K41="S1","a",if($K41="S2","b","")),Students!$A:$A,AP$2)+countifs(Students!$H:$H,$AK41,Students!$I:$I,$AK$2&amp;if($K41="S1","a",if($K41="S2","b","")),Students!$A:$A,AP$2)+countifs(Students!$J:$J,$AK41,Students!$K:$K,$AK$2&amp;if($K41="S1","a",if($K41="S2","b","")),Students!$A:$A,AP$2)+countifs(Students!$L:$L,$AK41,Students!$M:$M,$AK$2&amp;if($K41="S1","a",if($K41="S2","b","")),Students!$A:$A,AP$2)+countifs(Students!$N:$N,$AK41,Students!$O:$O,$AK$2&amp;if($K41="S1","a",if($K41="S2","b","")),Students!$A:$A,AP$2)+countifs(Students!$P:$P,$AK41,Students!$Q:$Q,$AK$2&amp;if($K41="S1","a",if($K41="S2","b","")),Students!$A:$A,AP$2)+countifs(Students!$R:$R,$AK41,Students!$S:$S,$AK$2&amp;if($K41="S1","a",if($K41="S2","b","")),Students!$A:$A,AP$2)+countifs(Students!$T:$T,$AK41,Students!$U:$U,$AK$2&amp;if($K41="S1","a",if($K41="S2","b","")),Students!$A:$A,AP$2)+countifs(Students!$V:$V,$AK41,Students!$W:$W,$AK$2&amp;if($K41="S1","a",if($K41="S2","b","")),Students!$A:$A,AP$2))</f>
        <v>63</v>
      </c>
      <c r="AQ41" s="102">
        <f>if($L41="","",countifs(Students!$D:$D,$P41,Students!$E:$E,$P$2&amp;if($K41="S1","a",if($K41="S2","b","")),Students!$A:$A,AQ$2)+countifs(Students!$F:$F,$P41,Students!$G:$G,$P$2&amp;if($K41="S1","a",if($K41="S2","b","")),Students!$A:$A,AQ$2)+countifs(Students!$H:$H,$P41,Students!$I:$I,$P$2&amp;if($K41="S1","a",if($K41="S2","b","")),Students!$A:$A,AQ$2)+countifs(Students!$J:$J,$P41,Students!$K:$K,$P$2&amp;if($K41="S1","a",if($K41="S2","b","")),Students!$A:$A,AQ$2)+countifs(Students!$L:$L,$P41,Students!$M:$M,$P$2&amp;if($K41="S1","a",if($K41="S2","b","")),Students!$A:$A,AQ$2)+countifs(Students!$N:$N,$P41,Students!$O:$O,$P$2&amp;if($K41="S1","a",if($K41="S2","b","")),Students!$A:$A,AQ$2)+countifs(Students!$P:$P,$P41,Students!$Q:$Q,$P$2&amp;if($K41="S1","a",if($K41="S2","b","")),Students!$A:$A,AQ$2)+countifs(Students!$R:$R,$P41,Students!$S:$S,$P$2&amp;if($K41="S1","a",if($K41="S2","b","")),Students!$A:$A,AQ$2)+countifs(Students!$T:$T,$P41,Students!$U:$U,$P$2&amp;if($K41="S1","a",if($K41="S2","b","")),Students!$A:$A,AQ$2)+countifs(Students!$V:$V,$P41,Students!$W:$W,$P$2&amp;if($K41="S1","a",if($K41="S2","b","")),Students!$A:$A,AQ$2)+
countifs(Students!$D:$D,$S41,Students!$E:$E,$S$2&amp;if($K41="S1","a",if($K41="S2","b","")),Students!$A:$A,AQ$2)+countifs(Students!$F:$F,$S41,Students!$G:$G,$S$2&amp;if($K41="S1","a",if($K41="S2","b","")),Students!$A:$A,AQ$2)+countifs(Students!$H:$H,$S41,Students!$I:$I,$S$2&amp;if($K41="S1","a",if($K41="S2","b","")),Students!$A:$A,AQ$2)+countifs(Students!$J:$J,$S41,Students!$K:$K,$S$2&amp;if($K41="S1","a",if($K41="S2","b","")),Students!$A:$A,AQ$2)+countifs(Students!$L:$L,$S41,Students!$M:$M,$S$2&amp;if($K41="S1","a",if($K41="S2","b","")),Students!$A:$A,AQ$2)+countifs(Students!$N:$N,$S41,Students!$O:$O,$S$2&amp;if($K41="S1","a",if($K41="S2","b","")),Students!$A:$A,AQ$2)+countifs(Students!$P:$P,$S41,Students!$Q:$Q,$S$2&amp;if($K41="S1","a",if($K41="S2","b","")),Students!$A:$A,AQ$2)+countifs(Students!$R:$R,$S41,Students!$S:$S,$S$2&amp;if($K41="S1","a",if($K41="S2","b","")),Students!$A:$A,AQ$2)+countifs(Students!$T:$T,$S41,Students!$U:$U,$S$2&amp;if($K41="S1","a",if($K41="S2","b","")),Students!$A:$A,AQ$2)+countifs(Students!$V:$V,$S41,Students!$W:$W,$S$2&amp;if($K41="S1","a",if($K41="S2","b","")),Students!$A:$A,AQ$2)+
countifs(Students!$D:$D,$V41,Students!$E:$E,$V$2&amp;if($K41="S1","a",if($K41="S2","b","")),Students!$A:$A,AQ$2)+countifs(Students!$F:$F,$V41,Students!$G:$G,$V$2&amp;if($K41="S1","a",if($K41="S2","b","")),Students!$A:$A,AQ$2)+countifs(Students!$H:$H,$V41,Students!$I:$I,$V$2&amp;if($K41="S1","a",if($K41="S2","b","")),Students!$A:$A,AQ$2)+countifs(Students!$J:$J,$V41,Students!$K:$K,$V$2&amp;if($K41="S1","a",if($K41="S2","b","")),Students!$A:$A,AQ$2)+countifs(Students!$L:$L,$V41,Students!$M:$M,$V$2&amp;if($K41="S1","a",if($K41="S2","b","")),Students!$A:$A,AQ$2)+countifs(Students!$N:$N,$V41,Students!$O:$O,$V$2&amp;if($K41="S1","a",if($K41="S2","b","")),Students!$A:$A,AQ$2)+countifs(Students!$P:$P,$V41,Students!$Q:$Q,$V$2&amp;if($K41="S1","a",if($K41="S2","b","")),Students!$A:$A,AQ$2)+countifs(Students!$R:$R,$V41,Students!$S:$S,$V$2&amp;if($K41="S1","a",if($K41="S2","b","")),Students!$A:$A,AQ$2)+countifs(Students!$T:$T,$V41,Students!$U:$U,$V$2&amp;if($K41="S1","a",if($K41="S2","b","")),Students!$A:$A,AQ$2)+countifs(Students!$V:$V,$V41,Students!$W:$W,$V$2&amp;if($K41="S1","a",if($K41="S2","b","")),Students!$A:$A,AQ$2)+
countifs(Students!$D:$D,$Y41,Students!$E:$E,$Y$2&amp;if($K41="S1","a",if($K41="S2","b","")),Students!$A:$A,AQ$2)+countifs(Students!$F:$F,$Y41,Students!$G:$G,$Y$2&amp;if($K41="S1","a",if($K41="S2","b","")),Students!$A:$A,AQ$2)+countifs(Students!$H:$H,$Y41,Students!$I:$I,$Y$2&amp;if($K41="S1","a",if($K41="S2","b","")),Students!$A:$A,AQ$2)+countifs(Students!$J:$J,$Y41,Students!$K:$K,$Y$2&amp;if($K41="S1","a",if($K41="S2","b","")),Students!$A:$A,AQ$2)+countifs(Students!$L:$L,$Y41,Students!$M:$M,$Y$2&amp;if($K41="S1","a",if($K41="S2","b","")),Students!$A:$A,AQ$2)+countifs(Students!$N:$N,$Y41,Students!$O:$O,$Y$2&amp;if($K41="S1","a",if($K41="S2","b","")),Students!$A:$A,AQ$2)+countifs(Students!$P:$P,$Y41,Students!$Q:$Q,$Y$2&amp;if($K41="S1","a",if($K41="S2","b","")),Students!$A:$A,AQ$2)+countifs(Students!$R:$R,$Y41,Students!$S:$S,$Y$2&amp;if($K41="S1","a",if($K41="S2","b","")),Students!$A:$A,AQ$2)+countifs(Students!$T:$T,$Y41,Students!$U:$U,$Y$2&amp;if($K41="S1","a",if($K41="S2","b","")),Students!$A:$A,AQ$2)+countifs(Students!$V:$V,$Y41,Students!$W:$W,$Y$2&amp;if($K41="S1","a",if($K41="S2","b","")),Students!$A:$A,AQ$2)+
countifs(Students!$D:$D,$AB41,Students!$E:$E,$AB$2&amp;if($K41="S1","a",if($K41="S2","b","")),Students!$A:$A,AQ$2)+countifs(Students!$F:$F,$AB41,Students!$G:$G,$AB$2&amp;if($K41="S1","a",if($K41="S2","b","")),Students!$A:$A,AQ$2)+countifs(Students!$H:$H,$AB41,Students!$I:$I,$AB$2&amp;if($K41="S1","a",if($K41="S2","b","")),Students!$A:$A,AQ$2)+countifs(Students!$J:$J,$AB41,Students!$K:$K,$AB$2&amp;if($K41="S1","a",if($K41="S2","b","")),Students!$A:$A,AQ$2)+countifs(Students!$L:$L,$AB41,Students!$M:$M,$AB$2&amp;if($K41="S1","a",if($K41="S2","b","")),Students!$A:$A,AQ$2)+countifs(Students!$N:$N,$AB41,Students!$O:$O,$AB$2&amp;if($K41="S1","a",if($K41="S2","b","")),Students!$A:$A,AQ$2)+countifs(Students!$P:$P,$AB41,Students!$Q:$Q,$AB$2&amp;if($K41="S1","a",if($K41="S2","b","")),Students!$A:$A,AQ$2)+countifs(Students!$R:$R,$AB41,Students!$S:$S,$AB$2&amp;if($K41="S1","a",if($K41="S2","b","")),Students!$A:$A,AQ$2)+countifs(Students!$T:$T,$AB41,Students!$U:$U,$AB$2&amp;if($K41="S1","a",if($K41="S2","b","")),Students!$A:$A,AQ$2)+countifs(Students!$V:$V,$AB41,Students!$W:$W,$AB$2&amp;if($K41="S1","a",if($K41="S2","b","")),Students!$A:$A,AQ$2)+
countifs(Students!$D:$D,$AE41,Students!$E:$E,$AE$2&amp;if($K41="S1","a",if($K41="S2","b","")),Students!$A:$A,AQ$2)+countifs(Students!$F:$F,$AE41,Students!$G:$G,$AE$2&amp;if($K41="S1","a",if($K41="S2","b","")),Students!$A:$A,AQ$2)+countifs(Students!$H:$H,$AE41,Students!$I:$I,$AE$2&amp;if($K41="S1","a",if($K41="S2","b","")),Students!$A:$A,AQ$2)+countifs(Students!$J:$J,$AE41,Students!$K:$K,$AE$2&amp;if($K41="S1","a",if($K41="S2","b","")),Students!$A:$A,AQ$2)+countifs(Students!$L:$L,$AE41,Students!$M:$M,$AE$2&amp;if($K41="S1","a",if($K41="S2","b","")),Students!$A:$A,AQ$2)+countifs(Students!$N:$N,$AE41,Students!$O:$O,$AE$2&amp;if($K41="S1","a",if($K41="S2","b","")),Students!$A:$A,AQ$2)+countifs(Students!$P:$P,$AE41,Students!$Q:$Q,$AE$2&amp;if($K41="S1","a",if($K41="S2","b","")),Students!$A:$A,AQ$2)+countifs(Students!$R:$R,$AE41,Students!$S:$S,$AE$2&amp;if($K41="S1","a",if($K41="S2","b","")),Students!$A:$A,AQ$2)+countifs(Students!$T:$T,$AE41,Students!$U:$U,$AE$2&amp;if($K41="S1","a",if($K41="S2","b","")),Students!$A:$A,AQ$2)+countifs(Students!$V:$V,$AE41,Students!$W:$W,$AE$2&amp;if($K41="S1","a",if($K41="S2","b","")),Students!$A:$A,AQ$2)+
countifs(Students!$D:$D,$AH41,Students!$E:$E,$AH$2&amp;if($K41="S1","a",if($K41="S2","b","")),Students!$A:$A,AQ$2)+countifs(Students!$F:$F,$AH41,Students!$G:$G,$AH$2&amp;if($K41="S1","a",if($K41="S2","b","")),Students!$A:$A,AQ$2)+countifs(Students!$H:$H,$AH41,Students!$I:$I,$AH$2&amp;if($K41="S1","a",if($K41="S2","b","")),Students!$A:$A,AQ$2)+countifs(Students!$J:$J,$AH41,Students!$K:$K,$AH$2&amp;if($K41="S1","a",if($K41="S2","b","")),Students!$A:$A,AQ$2)+countifs(Students!$L:$L,$AH41,Students!$M:$M,$AH$2&amp;if($K41="S1","a",if($K41="S2","b","")),Students!$A:$A,AQ$2)+countifs(Students!$N:$N,$AH41,Students!$O:$O,$AH$2&amp;if($K41="S1","a",if($K41="S2","b","")),Students!$A:$A,AQ$2)+countifs(Students!$P:$P,$AH41,Students!$Q:$Q,$AH$2&amp;if($K41="S1","a",if($K41="S2","b","")),Students!$A:$A,AQ$2)+countifs(Students!$R:$R,$AH41,Students!$S:$S,$AH$2&amp;if($K41="S1","a",if($K41="S2","b","")),Students!$A:$A,AQ$2)+countifs(Students!$T:$T,$AH41,Students!$U:$U,$AH$2&amp;if($K41="S1","a",if($K41="S2","b","")),Students!$A:$A,AQ$2)+countifs(Students!$V:$V,$AH41,Students!$W:$W,$AH$2&amp;if($K41="S1","a",if($K41="S2","b","")),Students!$A:$A,AQ$2)+
countifs(Students!$D:$D,$AK41,Students!$E:$E,$AK$2&amp;if($K41="S1","a",if($K41="S2","b","")),Students!$A:$A,AQ$2)+countifs(Students!$F:$F,$AK41,Students!$G:$G,$AK$2&amp;if($K41="S1","a",if($K41="S2","b","")),Students!$A:$A,AQ$2)+countifs(Students!$H:$H,$AK41,Students!$I:$I,$AK$2&amp;if($K41="S1","a",if($K41="S2","b","")),Students!$A:$A,AQ$2)+countifs(Students!$J:$J,$AK41,Students!$K:$K,$AK$2&amp;if($K41="S1","a",if($K41="S2","b","")),Students!$A:$A,AQ$2)+countifs(Students!$L:$L,$AK41,Students!$M:$M,$AK$2&amp;if($K41="S1","a",if($K41="S2","b","")),Students!$A:$A,AQ$2)+countifs(Students!$N:$N,$AK41,Students!$O:$O,$AK$2&amp;if($K41="S1","a",if($K41="S2","b","")),Students!$A:$A,AQ$2)+countifs(Students!$P:$P,$AK41,Students!$Q:$Q,$AK$2&amp;if($K41="S1","a",if($K41="S2","b","")),Students!$A:$A,AQ$2)+countifs(Students!$R:$R,$AK41,Students!$S:$S,$AK$2&amp;if($K41="S1","a",if($K41="S2","b","")),Students!$A:$A,AQ$2)+countifs(Students!$T:$T,$AK41,Students!$U:$U,$AK$2&amp;if($K41="S1","a",if($K41="S2","b","")),Students!$A:$A,AQ$2)+countifs(Students!$V:$V,$AK41,Students!$W:$W,$AK$2&amp;if($K41="S1","a",if($K41="S2","b","")),Students!$A:$A,AQ$2))</f>
        <v>0</v>
      </c>
      <c r="AR41" s="102">
        <f>if($L41="","",countifs(Students!$D:$D,$P41,Students!$E:$E,$P$2&amp;if($K41="S1","a",if($K41="S2","b","")),Students!$A:$A,AR$2)+countifs(Students!$F:$F,$P41,Students!$G:$G,$P$2&amp;if($K41="S1","a",if($K41="S2","b","")),Students!$A:$A,AR$2)+countifs(Students!$H:$H,$P41,Students!$I:$I,$P$2&amp;if($K41="S1","a",if($K41="S2","b","")),Students!$A:$A,AR$2)+countifs(Students!$J:$J,$P41,Students!$K:$K,$P$2&amp;if($K41="S1","a",if($K41="S2","b","")),Students!$A:$A,AR$2)+countifs(Students!$L:$L,$P41,Students!$M:$M,$P$2&amp;if($K41="S1","a",if($K41="S2","b","")),Students!$A:$A,AR$2)+countifs(Students!$N:$N,$P41,Students!$O:$O,$P$2&amp;if($K41="S1","a",if($K41="S2","b","")),Students!$A:$A,AR$2)+countifs(Students!$P:$P,$P41,Students!$Q:$Q,$P$2&amp;if($K41="S1","a",if($K41="S2","b","")),Students!$A:$A,AR$2)+countifs(Students!$R:$R,$P41,Students!$S:$S,$P$2&amp;if($K41="S1","a",if($K41="S2","b","")),Students!$A:$A,AR$2)+countifs(Students!$T:$T,$P41,Students!$U:$U,$P$2&amp;if($K41="S1","a",if($K41="S2","b","")),Students!$A:$A,AR$2)+countifs(Students!$V:$V,$P41,Students!$W:$W,$P$2&amp;if($K41="S1","a",if($K41="S2","b","")),Students!$A:$A,AR$2)+
countifs(Students!$D:$D,$S41,Students!$E:$E,$S$2&amp;if($K41="S1","a",if($K41="S2","b","")),Students!$A:$A,AR$2)+countifs(Students!$F:$F,$S41,Students!$G:$G,$S$2&amp;if($K41="S1","a",if($K41="S2","b","")),Students!$A:$A,AR$2)+countifs(Students!$H:$H,$S41,Students!$I:$I,$S$2&amp;if($K41="S1","a",if($K41="S2","b","")),Students!$A:$A,AR$2)+countifs(Students!$J:$J,$S41,Students!$K:$K,$S$2&amp;if($K41="S1","a",if($K41="S2","b","")),Students!$A:$A,AR$2)+countifs(Students!$L:$L,$S41,Students!$M:$M,$S$2&amp;if($K41="S1","a",if($K41="S2","b","")),Students!$A:$A,AR$2)+countifs(Students!$N:$N,$S41,Students!$O:$O,$S$2&amp;if($K41="S1","a",if($K41="S2","b","")),Students!$A:$A,AR$2)+countifs(Students!$P:$P,$S41,Students!$Q:$Q,$S$2&amp;if($K41="S1","a",if($K41="S2","b","")),Students!$A:$A,AR$2)+countifs(Students!$R:$R,$S41,Students!$S:$S,$S$2&amp;if($K41="S1","a",if($K41="S2","b","")),Students!$A:$A,AR$2)+countifs(Students!$T:$T,$S41,Students!$U:$U,$S$2&amp;if($K41="S1","a",if($K41="S2","b","")),Students!$A:$A,AR$2)+countifs(Students!$V:$V,$S41,Students!$W:$W,$S$2&amp;if($K41="S1","a",if($K41="S2","b","")),Students!$A:$A,AR$2)+
countifs(Students!$D:$D,$V41,Students!$E:$E,$V$2&amp;if($K41="S1","a",if($K41="S2","b","")),Students!$A:$A,AR$2)+countifs(Students!$F:$F,$V41,Students!$G:$G,$V$2&amp;if($K41="S1","a",if($K41="S2","b","")),Students!$A:$A,AR$2)+countifs(Students!$H:$H,$V41,Students!$I:$I,$V$2&amp;if($K41="S1","a",if($K41="S2","b","")),Students!$A:$A,AR$2)+countifs(Students!$J:$J,$V41,Students!$K:$K,$V$2&amp;if($K41="S1","a",if($K41="S2","b","")),Students!$A:$A,AR$2)+countifs(Students!$L:$L,$V41,Students!$M:$M,$V$2&amp;if($K41="S1","a",if($K41="S2","b","")),Students!$A:$A,AR$2)+countifs(Students!$N:$N,$V41,Students!$O:$O,$V$2&amp;if($K41="S1","a",if($K41="S2","b","")),Students!$A:$A,AR$2)+countifs(Students!$P:$P,$V41,Students!$Q:$Q,$V$2&amp;if($K41="S1","a",if($K41="S2","b","")),Students!$A:$A,AR$2)+countifs(Students!$R:$R,$V41,Students!$S:$S,$V$2&amp;if($K41="S1","a",if($K41="S2","b","")),Students!$A:$A,AR$2)+countifs(Students!$T:$T,$V41,Students!$U:$U,$V$2&amp;if($K41="S1","a",if($K41="S2","b","")),Students!$A:$A,AR$2)+countifs(Students!$V:$V,$V41,Students!$W:$W,$V$2&amp;if($K41="S1","a",if($K41="S2","b","")),Students!$A:$A,AR$2)+
countifs(Students!$D:$D,$Y41,Students!$E:$E,$Y$2&amp;if($K41="S1","a",if($K41="S2","b","")),Students!$A:$A,AR$2)+countifs(Students!$F:$F,$Y41,Students!$G:$G,$Y$2&amp;if($K41="S1","a",if($K41="S2","b","")),Students!$A:$A,AR$2)+countifs(Students!$H:$H,$Y41,Students!$I:$I,$Y$2&amp;if($K41="S1","a",if($K41="S2","b","")),Students!$A:$A,AR$2)+countifs(Students!$J:$J,$Y41,Students!$K:$K,$Y$2&amp;if($K41="S1","a",if($K41="S2","b","")),Students!$A:$A,AR$2)+countifs(Students!$L:$L,$Y41,Students!$M:$M,$Y$2&amp;if($K41="S1","a",if($K41="S2","b","")),Students!$A:$A,AR$2)+countifs(Students!$N:$N,$Y41,Students!$O:$O,$Y$2&amp;if($K41="S1","a",if($K41="S2","b","")),Students!$A:$A,AR$2)+countifs(Students!$P:$P,$Y41,Students!$Q:$Q,$Y$2&amp;if($K41="S1","a",if($K41="S2","b","")),Students!$A:$A,AR$2)+countifs(Students!$R:$R,$Y41,Students!$S:$S,$Y$2&amp;if($K41="S1","a",if($K41="S2","b","")),Students!$A:$A,AR$2)+countifs(Students!$T:$T,$Y41,Students!$U:$U,$Y$2&amp;if($K41="S1","a",if($K41="S2","b","")),Students!$A:$A,AR$2)+countifs(Students!$V:$V,$Y41,Students!$W:$W,$Y$2&amp;if($K41="S1","a",if($K41="S2","b","")),Students!$A:$A,AR$2)+
countifs(Students!$D:$D,$AB41,Students!$E:$E,$AB$2&amp;if($K41="S1","a",if($K41="S2","b","")),Students!$A:$A,AR$2)+countifs(Students!$F:$F,$AB41,Students!$G:$G,$AB$2&amp;if($K41="S1","a",if($K41="S2","b","")),Students!$A:$A,AR$2)+countifs(Students!$H:$H,$AB41,Students!$I:$I,$AB$2&amp;if($K41="S1","a",if($K41="S2","b","")),Students!$A:$A,AR$2)+countifs(Students!$J:$J,$AB41,Students!$K:$K,$AB$2&amp;if($K41="S1","a",if($K41="S2","b","")),Students!$A:$A,AR$2)+countifs(Students!$L:$L,$AB41,Students!$M:$M,$AB$2&amp;if($K41="S1","a",if($K41="S2","b","")),Students!$A:$A,AR$2)+countifs(Students!$N:$N,$AB41,Students!$O:$O,$AB$2&amp;if($K41="S1","a",if($K41="S2","b","")),Students!$A:$A,AR$2)+countifs(Students!$P:$P,$AB41,Students!$Q:$Q,$AB$2&amp;if($K41="S1","a",if($K41="S2","b","")),Students!$A:$A,AR$2)+countifs(Students!$R:$R,$AB41,Students!$S:$S,$AB$2&amp;if($K41="S1","a",if($K41="S2","b","")),Students!$A:$A,AR$2)+countifs(Students!$T:$T,$AB41,Students!$U:$U,$AB$2&amp;if($K41="S1","a",if($K41="S2","b","")),Students!$A:$A,AR$2)+countifs(Students!$V:$V,$AB41,Students!$W:$W,$AB$2&amp;if($K41="S1","a",if($K41="S2","b","")),Students!$A:$A,AR$2)+
countifs(Students!$D:$D,$AE41,Students!$E:$E,$AE$2&amp;if($K41="S1","a",if($K41="S2","b","")),Students!$A:$A,AR$2)+countifs(Students!$F:$F,$AE41,Students!$G:$G,$AE$2&amp;if($K41="S1","a",if($K41="S2","b","")),Students!$A:$A,AR$2)+countifs(Students!$H:$H,$AE41,Students!$I:$I,$AE$2&amp;if($K41="S1","a",if($K41="S2","b","")),Students!$A:$A,AR$2)+countifs(Students!$J:$J,$AE41,Students!$K:$K,$AE$2&amp;if($K41="S1","a",if($K41="S2","b","")),Students!$A:$A,AR$2)+countifs(Students!$L:$L,$AE41,Students!$M:$M,$AE$2&amp;if($K41="S1","a",if($K41="S2","b","")),Students!$A:$A,AR$2)+countifs(Students!$N:$N,$AE41,Students!$O:$O,$AE$2&amp;if($K41="S1","a",if($K41="S2","b","")),Students!$A:$A,AR$2)+countifs(Students!$P:$P,$AE41,Students!$Q:$Q,$AE$2&amp;if($K41="S1","a",if($K41="S2","b","")),Students!$A:$A,AR$2)+countifs(Students!$R:$R,$AE41,Students!$S:$S,$AE$2&amp;if($K41="S1","a",if($K41="S2","b","")),Students!$A:$A,AR$2)+countifs(Students!$T:$T,$AE41,Students!$U:$U,$AE$2&amp;if($K41="S1","a",if($K41="S2","b","")),Students!$A:$A,AR$2)+countifs(Students!$V:$V,$AE41,Students!$W:$W,$AE$2&amp;if($K41="S1","a",if($K41="S2","b","")),Students!$A:$A,AR$2)+
countifs(Students!$D:$D,$AH41,Students!$E:$E,$AH$2&amp;if($K41="S1","a",if($K41="S2","b","")),Students!$A:$A,AR$2)+countifs(Students!$F:$F,$AH41,Students!$G:$G,$AH$2&amp;if($K41="S1","a",if($K41="S2","b","")),Students!$A:$A,AR$2)+countifs(Students!$H:$H,$AH41,Students!$I:$I,$AH$2&amp;if($K41="S1","a",if($K41="S2","b","")),Students!$A:$A,AR$2)+countifs(Students!$J:$J,$AH41,Students!$K:$K,$AH$2&amp;if($K41="S1","a",if($K41="S2","b","")),Students!$A:$A,AR$2)+countifs(Students!$L:$L,$AH41,Students!$M:$M,$AH$2&amp;if($K41="S1","a",if($K41="S2","b","")),Students!$A:$A,AR$2)+countifs(Students!$N:$N,$AH41,Students!$O:$O,$AH$2&amp;if($K41="S1","a",if($K41="S2","b","")),Students!$A:$A,AR$2)+countifs(Students!$P:$P,$AH41,Students!$Q:$Q,$AH$2&amp;if($K41="S1","a",if($K41="S2","b","")),Students!$A:$A,AR$2)+countifs(Students!$R:$R,$AH41,Students!$S:$S,$AH$2&amp;if($K41="S1","a",if($K41="S2","b","")),Students!$A:$A,AR$2)+countifs(Students!$T:$T,$AH41,Students!$U:$U,$AH$2&amp;if($K41="S1","a",if($K41="S2","b","")),Students!$A:$A,AR$2)+countifs(Students!$V:$V,$AH41,Students!$W:$W,$AH$2&amp;if($K41="S1","a",if($K41="S2","b","")),Students!$A:$A,AR$2)+
countifs(Students!$D:$D,$AK41,Students!$E:$E,$AK$2&amp;if($K41="S1","a",if($K41="S2","b","")),Students!$A:$A,AR$2)+countifs(Students!$F:$F,$AK41,Students!$G:$G,$AK$2&amp;if($K41="S1","a",if($K41="S2","b","")),Students!$A:$A,AR$2)+countifs(Students!$H:$H,$AK41,Students!$I:$I,$AK$2&amp;if($K41="S1","a",if($K41="S2","b","")),Students!$A:$A,AR$2)+countifs(Students!$J:$J,$AK41,Students!$K:$K,$AK$2&amp;if($K41="S1","a",if($K41="S2","b","")),Students!$A:$A,AR$2)+countifs(Students!$L:$L,$AK41,Students!$M:$M,$AK$2&amp;if($K41="S1","a",if($K41="S2","b","")),Students!$A:$A,AR$2)+countifs(Students!$N:$N,$AK41,Students!$O:$O,$AK$2&amp;if($K41="S1","a",if($K41="S2","b","")),Students!$A:$A,AR$2)+countifs(Students!$P:$P,$AK41,Students!$Q:$Q,$AK$2&amp;if($K41="S1","a",if($K41="S2","b","")),Students!$A:$A,AR$2)+countifs(Students!$R:$R,$AK41,Students!$S:$S,$AK$2&amp;if($K41="S1","a",if($K41="S2","b","")),Students!$A:$A,AR$2)+countifs(Students!$T:$T,$AK41,Students!$U:$U,$AK$2&amp;if($K41="S1","a",if($K41="S2","b","")),Students!$A:$A,AR$2)+countifs(Students!$V:$V,$AK41,Students!$W:$W,$AK$2&amp;if($K41="S1","a",if($K41="S2","b","")),Students!$A:$A,AR$2))</f>
        <v>21</v>
      </c>
      <c r="AS41" s="102">
        <f>if($L41="","",countifs(Students!$D:$D,$P41,Students!$E:$E,$P$2&amp;if($K41="S1","a",if($K41="S2","b","")),Students!$A:$A,AS$2)+countifs(Students!$F:$F,$P41,Students!$G:$G,$P$2&amp;if($K41="S1","a",if($K41="S2","b","")),Students!$A:$A,AS$2)+countifs(Students!$H:$H,$P41,Students!$I:$I,$P$2&amp;if($K41="S1","a",if($K41="S2","b","")),Students!$A:$A,AS$2)+countifs(Students!$J:$J,$P41,Students!$K:$K,$P$2&amp;if($K41="S1","a",if($K41="S2","b","")),Students!$A:$A,AS$2)+countifs(Students!$L:$L,$P41,Students!$M:$M,$P$2&amp;if($K41="S1","a",if($K41="S2","b","")),Students!$A:$A,AS$2)+countifs(Students!$N:$N,$P41,Students!$O:$O,$P$2&amp;if($K41="S1","a",if($K41="S2","b","")),Students!$A:$A,AS$2)+countifs(Students!$P:$P,$P41,Students!$Q:$Q,$P$2&amp;if($K41="S1","a",if($K41="S2","b","")),Students!$A:$A,AS$2)+countifs(Students!$R:$R,$P41,Students!$S:$S,$P$2&amp;if($K41="S1","a",if($K41="S2","b","")),Students!$A:$A,AS$2)+countifs(Students!$T:$T,$P41,Students!$U:$U,$P$2&amp;if($K41="S1","a",if($K41="S2","b","")),Students!$A:$A,AS$2)+countifs(Students!$V:$V,$P41,Students!$W:$W,$P$2&amp;if($K41="S1","a",if($K41="S2","b","")),Students!$A:$A,AS$2)+
countifs(Students!$D:$D,$S41,Students!$E:$E,$S$2&amp;if($K41="S1","a",if($K41="S2","b","")),Students!$A:$A,AS$2)+countifs(Students!$F:$F,$S41,Students!$G:$G,$S$2&amp;if($K41="S1","a",if($K41="S2","b","")),Students!$A:$A,AS$2)+countifs(Students!$H:$H,$S41,Students!$I:$I,$S$2&amp;if($K41="S1","a",if($K41="S2","b","")),Students!$A:$A,AS$2)+countifs(Students!$J:$J,$S41,Students!$K:$K,$S$2&amp;if($K41="S1","a",if($K41="S2","b","")),Students!$A:$A,AS$2)+countifs(Students!$L:$L,$S41,Students!$M:$M,$S$2&amp;if($K41="S1","a",if($K41="S2","b","")),Students!$A:$A,AS$2)+countifs(Students!$N:$N,$S41,Students!$O:$O,$S$2&amp;if($K41="S1","a",if($K41="S2","b","")),Students!$A:$A,AS$2)+countifs(Students!$P:$P,$S41,Students!$Q:$Q,$S$2&amp;if($K41="S1","a",if($K41="S2","b","")),Students!$A:$A,AS$2)+countifs(Students!$R:$R,$S41,Students!$S:$S,$S$2&amp;if($K41="S1","a",if($K41="S2","b","")),Students!$A:$A,AS$2)+countifs(Students!$T:$T,$S41,Students!$U:$U,$S$2&amp;if($K41="S1","a",if($K41="S2","b","")),Students!$A:$A,AS$2)+countifs(Students!$V:$V,$S41,Students!$W:$W,$S$2&amp;if($K41="S1","a",if($K41="S2","b","")),Students!$A:$A,AS$2)+
countifs(Students!$D:$D,$V41,Students!$E:$E,$V$2&amp;if($K41="S1","a",if($K41="S2","b","")),Students!$A:$A,AS$2)+countifs(Students!$F:$F,$V41,Students!$G:$G,$V$2&amp;if($K41="S1","a",if($K41="S2","b","")),Students!$A:$A,AS$2)+countifs(Students!$H:$H,$V41,Students!$I:$I,$V$2&amp;if($K41="S1","a",if($K41="S2","b","")),Students!$A:$A,AS$2)+countifs(Students!$J:$J,$V41,Students!$K:$K,$V$2&amp;if($K41="S1","a",if($K41="S2","b","")),Students!$A:$A,AS$2)+countifs(Students!$L:$L,$V41,Students!$M:$M,$V$2&amp;if($K41="S1","a",if($K41="S2","b","")),Students!$A:$A,AS$2)+countifs(Students!$N:$N,$V41,Students!$O:$O,$V$2&amp;if($K41="S1","a",if($K41="S2","b","")),Students!$A:$A,AS$2)+countifs(Students!$P:$P,$V41,Students!$Q:$Q,$V$2&amp;if($K41="S1","a",if($K41="S2","b","")),Students!$A:$A,AS$2)+countifs(Students!$R:$R,$V41,Students!$S:$S,$V$2&amp;if($K41="S1","a",if($K41="S2","b","")),Students!$A:$A,AS$2)+countifs(Students!$T:$T,$V41,Students!$U:$U,$V$2&amp;if($K41="S1","a",if($K41="S2","b","")),Students!$A:$A,AS$2)+countifs(Students!$V:$V,$V41,Students!$W:$W,$V$2&amp;if($K41="S1","a",if($K41="S2","b","")),Students!$A:$A,AS$2)+
countifs(Students!$D:$D,$Y41,Students!$E:$E,$Y$2&amp;if($K41="S1","a",if($K41="S2","b","")),Students!$A:$A,AS$2)+countifs(Students!$F:$F,$Y41,Students!$G:$G,$Y$2&amp;if($K41="S1","a",if($K41="S2","b","")),Students!$A:$A,AS$2)+countifs(Students!$H:$H,$Y41,Students!$I:$I,$Y$2&amp;if($K41="S1","a",if($K41="S2","b","")),Students!$A:$A,AS$2)+countifs(Students!$J:$J,$Y41,Students!$K:$K,$Y$2&amp;if($K41="S1","a",if($K41="S2","b","")),Students!$A:$A,AS$2)+countifs(Students!$L:$L,$Y41,Students!$M:$M,$Y$2&amp;if($K41="S1","a",if($K41="S2","b","")),Students!$A:$A,AS$2)+countifs(Students!$N:$N,$Y41,Students!$O:$O,$Y$2&amp;if($K41="S1","a",if($K41="S2","b","")),Students!$A:$A,AS$2)+countifs(Students!$P:$P,$Y41,Students!$Q:$Q,$Y$2&amp;if($K41="S1","a",if($K41="S2","b","")),Students!$A:$A,AS$2)+countifs(Students!$R:$R,$Y41,Students!$S:$S,$Y$2&amp;if($K41="S1","a",if($K41="S2","b","")),Students!$A:$A,AS$2)+countifs(Students!$T:$T,$Y41,Students!$U:$U,$Y$2&amp;if($K41="S1","a",if($K41="S2","b","")),Students!$A:$A,AS$2)+countifs(Students!$V:$V,$Y41,Students!$W:$W,$Y$2&amp;if($K41="S1","a",if($K41="S2","b","")),Students!$A:$A,AS$2)+
countifs(Students!$D:$D,$AB41,Students!$E:$E,$AB$2&amp;if($K41="S1","a",if($K41="S2","b","")),Students!$A:$A,AS$2)+countifs(Students!$F:$F,$AB41,Students!$G:$G,$AB$2&amp;if($K41="S1","a",if($K41="S2","b","")),Students!$A:$A,AS$2)+countifs(Students!$H:$H,$AB41,Students!$I:$I,$AB$2&amp;if($K41="S1","a",if($K41="S2","b","")),Students!$A:$A,AS$2)+countifs(Students!$J:$J,$AB41,Students!$K:$K,$AB$2&amp;if($K41="S1","a",if($K41="S2","b","")),Students!$A:$A,AS$2)+countifs(Students!$L:$L,$AB41,Students!$M:$M,$AB$2&amp;if($K41="S1","a",if($K41="S2","b","")),Students!$A:$A,AS$2)+countifs(Students!$N:$N,$AB41,Students!$O:$O,$AB$2&amp;if($K41="S1","a",if($K41="S2","b","")),Students!$A:$A,AS$2)+countifs(Students!$P:$P,$AB41,Students!$Q:$Q,$AB$2&amp;if($K41="S1","a",if($K41="S2","b","")),Students!$A:$A,AS$2)+countifs(Students!$R:$R,$AB41,Students!$S:$S,$AB$2&amp;if($K41="S1","a",if($K41="S2","b","")),Students!$A:$A,AS$2)+countifs(Students!$T:$T,$AB41,Students!$U:$U,$AB$2&amp;if($K41="S1","a",if($K41="S2","b","")),Students!$A:$A,AS$2)+countifs(Students!$V:$V,$AB41,Students!$W:$W,$AB$2&amp;if($K41="S1","a",if($K41="S2","b","")),Students!$A:$A,AS$2)+
countifs(Students!$D:$D,$AE41,Students!$E:$E,$AE$2&amp;if($K41="S1","a",if($K41="S2","b","")),Students!$A:$A,AS$2)+countifs(Students!$F:$F,$AE41,Students!$G:$G,$AE$2&amp;if($K41="S1","a",if($K41="S2","b","")),Students!$A:$A,AS$2)+countifs(Students!$H:$H,$AE41,Students!$I:$I,$AE$2&amp;if($K41="S1","a",if($K41="S2","b","")),Students!$A:$A,AS$2)+countifs(Students!$J:$J,$AE41,Students!$K:$K,$AE$2&amp;if($K41="S1","a",if($K41="S2","b","")),Students!$A:$A,AS$2)+countifs(Students!$L:$L,$AE41,Students!$M:$M,$AE$2&amp;if($K41="S1","a",if($K41="S2","b","")),Students!$A:$A,AS$2)+countifs(Students!$N:$N,$AE41,Students!$O:$O,$AE$2&amp;if($K41="S1","a",if($K41="S2","b","")),Students!$A:$A,AS$2)+countifs(Students!$P:$P,$AE41,Students!$Q:$Q,$AE$2&amp;if($K41="S1","a",if($K41="S2","b","")),Students!$A:$A,AS$2)+countifs(Students!$R:$R,$AE41,Students!$S:$S,$AE$2&amp;if($K41="S1","a",if($K41="S2","b","")),Students!$A:$A,AS$2)+countifs(Students!$T:$T,$AE41,Students!$U:$U,$AE$2&amp;if($K41="S1","a",if($K41="S2","b","")),Students!$A:$A,AS$2)+countifs(Students!$V:$V,$AE41,Students!$W:$W,$AE$2&amp;if($K41="S1","a",if($K41="S2","b","")),Students!$A:$A,AS$2)+
countifs(Students!$D:$D,$AH41,Students!$E:$E,$AH$2&amp;if($K41="S1","a",if($K41="S2","b","")),Students!$A:$A,AS$2)+countifs(Students!$F:$F,$AH41,Students!$G:$G,$AH$2&amp;if($K41="S1","a",if($K41="S2","b","")),Students!$A:$A,AS$2)+countifs(Students!$H:$H,$AH41,Students!$I:$I,$AH$2&amp;if($K41="S1","a",if($K41="S2","b","")),Students!$A:$A,AS$2)+countifs(Students!$J:$J,$AH41,Students!$K:$K,$AH$2&amp;if($K41="S1","a",if($K41="S2","b","")),Students!$A:$A,AS$2)+countifs(Students!$L:$L,$AH41,Students!$M:$M,$AH$2&amp;if($K41="S1","a",if($K41="S2","b","")),Students!$A:$A,AS$2)+countifs(Students!$N:$N,$AH41,Students!$O:$O,$AH$2&amp;if($K41="S1","a",if($K41="S2","b","")),Students!$A:$A,AS$2)+countifs(Students!$P:$P,$AH41,Students!$Q:$Q,$AH$2&amp;if($K41="S1","a",if($K41="S2","b","")),Students!$A:$A,AS$2)+countifs(Students!$R:$R,$AH41,Students!$S:$S,$AH$2&amp;if($K41="S1","a",if($K41="S2","b","")),Students!$A:$A,AS$2)+countifs(Students!$T:$T,$AH41,Students!$U:$U,$AH$2&amp;if($K41="S1","a",if($K41="S2","b","")),Students!$A:$A,AS$2)+countifs(Students!$V:$V,$AH41,Students!$W:$W,$AH$2&amp;if($K41="S1","a",if($K41="S2","b","")),Students!$A:$A,AS$2)+
countifs(Students!$D:$D,$AK41,Students!$E:$E,$AK$2&amp;if($K41="S1","a",if($K41="S2","b","")),Students!$A:$A,AS$2)+countifs(Students!$F:$F,$AK41,Students!$G:$G,$AK$2&amp;if($K41="S1","a",if($K41="S2","b","")),Students!$A:$A,AS$2)+countifs(Students!$H:$H,$AK41,Students!$I:$I,$AK$2&amp;if($K41="S1","a",if($K41="S2","b","")),Students!$A:$A,AS$2)+countifs(Students!$J:$J,$AK41,Students!$K:$K,$AK$2&amp;if($K41="S1","a",if($K41="S2","b","")),Students!$A:$A,AS$2)+countifs(Students!$L:$L,$AK41,Students!$M:$M,$AK$2&amp;if($K41="S1","a",if($K41="S2","b","")),Students!$A:$A,AS$2)+countifs(Students!$N:$N,$AK41,Students!$O:$O,$AK$2&amp;if($K41="S1","a",if($K41="S2","b","")),Students!$A:$A,AS$2)+countifs(Students!$P:$P,$AK41,Students!$Q:$Q,$AK$2&amp;if($K41="S1","a",if($K41="S2","b","")),Students!$A:$A,AS$2)+countifs(Students!$R:$R,$AK41,Students!$S:$S,$AK$2&amp;if($K41="S1","a",if($K41="S2","b","")),Students!$A:$A,AS$2)+countifs(Students!$T:$T,$AK41,Students!$U:$U,$AK$2&amp;if($K41="S1","a",if($K41="S2","b","")),Students!$A:$A,AS$2)+countifs(Students!$V:$V,$AK41,Students!$W:$W,$AK$2&amp;if($K41="S1","a",if($K41="S2","b","")),Students!$A:$A,AS$2))</f>
        <v>2</v>
      </c>
    </row>
    <row r="42">
      <c r="J42" s="87">
        <v>23.0</v>
      </c>
      <c r="K42" s="57"/>
      <c r="L42" s="125" t="s">
        <v>125</v>
      </c>
      <c r="M42" s="107"/>
      <c r="N42" s="87">
        <v>1.0</v>
      </c>
      <c r="O42" s="87"/>
      <c r="P42" s="91" t="s">
        <v>126</v>
      </c>
      <c r="Q42" s="101">
        <v>1.0</v>
      </c>
      <c r="R42" s="98">
        <v>23.0</v>
      </c>
      <c r="S42" s="101"/>
      <c r="T42" s="117"/>
      <c r="U42" s="92" t="s">
        <v>22</v>
      </c>
      <c r="V42" s="126"/>
      <c r="W42" s="124"/>
      <c r="X42" s="92" t="s">
        <v>22</v>
      </c>
      <c r="Y42" s="90"/>
      <c r="Z42" s="101"/>
      <c r="AA42" s="98" t="s">
        <v>22</v>
      </c>
      <c r="AB42" s="117"/>
      <c r="AC42" s="101"/>
      <c r="AD42" s="98" t="s">
        <v>22</v>
      </c>
      <c r="AE42" s="90"/>
      <c r="AF42" s="101"/>
      <c r="AG42" s="98" t="s">
        <v>22</v>
      </c>
      <c r="AH42" s="101"/>
      <c r="AI42" s="97"/>
      <c r="AJ42" s="98" t="s">
        <v>22</v>
      </c>
      <c r="AK42" s="101"/>
      <c r="AL42" s="97"/>
      <c r="AM42" s="98" t="s">
        <v>22</v>
      </c>
      <c r="AN42" s="99"/>
      <c r="AO42" s="52">
        <f t="shared" si="2"/>
        <v>23</v>
      </c>
      <c r="AP42" s="102">
        <f>if($L42="","",countifs(Students!$D:$D,$P42,Students!$E:$E,$P$2&amp;if($K42="S1","a",if($K42="S2","b","")),Students!$A:$A,AP$2)+countifs(Students!$F:$F,$P42,Students!$G:$G,$P$2&amp;if($K42="S1","a",if($K42="S2","b","")),Students!$A:$A,AP$2)+countifs(Students!$H:$H,$P42,Students!$I:$I,$P$2&amp;if($K42="S1","a",if($K42="S2","b","")),Students!$A:$A,AP$2)+countifs(Students!$J:$J,$P42,Students!$K:$K,$P$2&amp;if($K42="S1","a",if($K42="S2","b","")),Students!$A:$A,AP$2)+countifs(Students!$L:$L,$P42,Students!$M:$M,$P$2&amp;if($K42="S1","a",if($K42="S2","b","")),Students!$A:$A,AP$2)+countifs(Students!$N:$N,$P42,Students!$O:$O,$P$2&amp;if($K42="S1","a",if($K42="S2","b","")),Students!$A:$A,AP$2)+countifs(Students!$P:$P,$P42,Students!$Q:$Q,$P$2&amp;if($K42="S1","a",if($K42="S2","b","")),Students!$A:$A,AP$2)+countifs(Students!$R:$R,$P42,Students!$S:$S,$P$2&amp;if($K42="S1","a",if($K42="S2","b","")),Students!$A:$A,AP$2)+countifs(Students!$T:$T,$P42,Students!$U:$U,$P$2&amp;if($K42="S1","a",if($K42="S2","b","")),Students!$A:$A,AP$2)+countifs(Students!$V:$V,$P42,Students!$W:$W,$P$2&amp;if($K42="S1","a",if($K42="S2","b","")),Students!$A:$A,AP$2)+
countifs(Students!$D:$D,$S42,Students!$E:$E,$S$2&amp;if($K42="S1","a",if($K42="S2","b","")),Students!$A:$A,AP$2)+countifs(Students!$F:$F,$S42,Students!$G:$G,$S$2&amp;if($K42="S1","a",if($K42="S2","b","")),Students!$A:$A,AP$2)+countifs(Students!$H:$H,$S42,Students!$I:$I,$S$2&amp;if($K42="S1","a",if($K42="S2","b","")),Students!$A:$A,AP$2)+countifs(Students!$J:$J,$S42,Students!$K:$K,$S$2&amp;if($K42="S1","a",if($K42="S2","b","")),Students!$A:$A,AP$2)+countifs(Students!$L:$L,$S42,Students!$M:$M,$S$2&amp;if($K42="S1","a",if($K42="S2","b","")),Students!$A:$A,AP$2)+countifs(Students!$N:$N,$S42,Students!$O:$O,$S$2&amp;if($K42="S1","a",if($K42="S2","b","")),Students!$A:$A,AP$2)+countifs(Students!$P:$P,$S42,Students!$Q:$Q,$S$2&amp;if($K42="S1","a",if($K42="S2","b","")),Students!$A:$A,AP$2)+countifs(Students!$R:$R,$S42,Students!$S:$S,$S$2&amp;if($K42="S1","a",if($K42="S2","b","")),Students!$A:$A,AP$2)+countifs(Students!$T:$T,$S42,Students!$U:$U,$S$2&amp;if($K42="S1","a",if($K42="S2","b","")),Students!$A:$A,AP$2)+countifs(Students!$V:$V,$S42,Students!$W:$W,$S$2&amp;if($K42="S1","a",if($K42="S2","b","")),Students!$A:$A,AP$2)+
countifs(Students!$D:$D,$V42,Students!$E:$E,$V$2&amp;if($K42="S1","a",if($K42="S2","b","")),Students!$A:$A,AP$2)+countifs(Students!$F:$F,$V42,Students!$G:$G,$V$2&amp;if($K42="S1","a",if($K42="S2","b","")),Students!$A:$A,AP$2)+countifs(Students!$H:$H,$V42,Students!$I:$I,$V$2&amp;if($K42="S1","a",if($K42="S2","b","")),Students!$A:$A,AP$2)+countifs(Students!$J:$J,$V42,Students!$K:$K,$V$2&amp;if($K42="S1","a",if($K42="S2","b","")),Students!$A:$A,AP$2)+countifs(Students!$L:$L,$V42,Students!$M:$M,$V$2&amp;if($K42="S1","a",if($K42="S2","b","")),Students!$A:$A,AP$2)+countifs(Students!$N:$N,$V42,Students!$O:$O,$V$2&amp;if($K42="S1","a",if($K42="S2","b","")),Students!$A:$A,AP$2)+countifs(Students!$P:$P,$V42,Students!$Q:$Q,$V$2&amp;if($K42="S1","a",if($K42="S2","b","")),Students!$A:$A,AP$2)+countifs(Students!$R:$R,$V42,Students!$S:$S,$V$2&amp;if($K42="S1","a",if($K42="S2","b","")),Students!$A:$A,AP$2)+countifs(Students!$T:$T,$V42,Students!$U:$U,$V$2&amp;if($K42="S1","a",if($K42="S2","b","")),Students!$A:$A,AP$2)+countifs(Students!$V:$V,$V42,Students!$W:$W,$V$2&amp;if($K42="S1","a",if($K42="S2","b","")),Students!$A:$A,AP$2)+
countifs(Students!$D:$D,$Y42,Students!$E:$E,$Y$2&amp;if($K42="S1","a",if($K42="S2","b","")),Students!$A:$A,AP$2)+countifs(Students!$F:$F,$Y42,Students!$G:$G,$Y$2&amp;if($K42="S1","a",if($K42="S2","b","")),Students!$A:$A,AP$2)+countifs(Students!$H:$H,$Y42,Students!$I:$I,$Y$2&amp;if($K42="S1","a",if($K42="S2","b","")),Students!$A:$A,AP$2)+countifs(Students!$J:$J,$Y42,Students!$K:$K,$Y$2&amp;if($K42="S1","a",if($K42="S2","b","")),Students!$A:$A,AP$2)+countifs(Students!$L:$L,$Y42,Students!$M:$M,$Y$2&amp;if($K42="S1","a",if($K42="S2","b","")),Students!$A:$A,AP$2)+countifs(Students!$N:$N,$Y42,Students!$O:$O,$Y$2&amp;if($K42="S1","a",if($K42="S2","b","")),Students!$A:$A,AP$2)+countifs(Students!$P:$P,$Y42,Students!$Q:$Q,$Y$2&amp;if($K42="S1","a",if($K42="S2","b","")),Students!$A:$A,AP$2)+countifs(Students!$R:$R,$Y42,Students!$S:$S,$Y$2&amp;if($K42="S1","a",if($K42="S2","b","")),Students!$A:$A,AP$2)+countifs(Students!$T:$T,$Y42,Students!$U:$U,$Y$2&amp;if($K42="S1","a",if($K42="S2","b","")),Students!$A:$A,AP$2)+countifs(Students!$V:$V,$Y42,Students!$W:$W,$Y$2&amp;if($K42="S1","a",if($K42="S2","b","")),Students!$A:$A,AP$2)+
countifs(Students!$D:$D,$AB42,Students!$E:$E,$AB$2&amp;if($K42="S1","a",if($K42="S2","b","")),Students!$A:$A,AP$2)+countifs(Students!$F:$F,$AB42,Students!$G:$G,$AB$2&amp;if($K42="S1","a",if($K42="S2","b","")),Students!$A:$A,AP$2)+countifs(Students!$H:$H,$AB42,Students!$I:$I,$AB$2&amp;if($K42="S1","a",if($K42="S2","b","")),Students!$A:$A,AP$2)+countifs(Students!$J:$J,$AB42,Students!$K:$K,$AB$2&amp;if($K42="S1","a",if($K42="S2","b","")),Students!$A:$A,AP$2)+countifs(Students!$L:$L,$AB42,Students!$M:$M,$AB$2&amp;if($K42="S1","a",if($K42="S2","b","")),Students!$A:$A,AP$2)+countifs(Students!$N:$N,$AB42,Students!$O:$O,$AB$2&amp;if($K42="S1","a",if($K42="S2","b","")),Students!$A:$A,AP$2)+countifs(Students!$P:$P,$AB42,Students!$Q:$Q,$AB$2&amp;if($K42="S1","a",if($K42="S2","b","")),Students!$A:$A,AP$2)+countifs(Students!$R:$R,$AB42,Students!$S:$S,$AB$2&amp;if($K42="S1","a",if($K42="S2","b","")),Students!$A:$A,AP$2)+countifs(Students!$T:$T,$AB42,Students!$U:$U,$AB$2&amp;if($K42="S1","a",if($K42="S2","b","")),Students!$A:$A,AP$2)+countifs(Students!$V:$V,$AB42,Students!$W:$W,$AB$2&amp;if($K42="S1","a",if($K42="S2","b","")),Students!$A:$A,AP$2)+
countifs(Students!$D:$D,$AE42,Students!$E:$E,$AE$2&amp;if($K42="S1","a",if($K42="S2","b","")),Students!$A:$A,AP$2)+countifs(Students!$F:$F,$AE42,Students!$G:$G,$AE$2&amp;if($K42="S1","a",if($K42="S2","b","")),Students!$A:$A,AP$2)+countifs(Students!$H:$H,$AE42,Students!$I:$I,$AE$2&amp;if($K42="S1","a",if($K42="S2","b","")),Students!$A:$A,AP$2)+countifs(Students!$J:$J,$AE42,Students!$K:$K,$AE$2&amp;if($K42="S1","a",if($K42="S2","b","")),Students!$A:$A,AP$2)+countifs(Students!$L:$L,$AE42,Students!$M:$M,$AE$2&amp;if($K42="S1","a",if($K42="S2","b","")),Students!$A:$A,AP$2)+countifs(Students!$N:$N,$AE42,Students!$O:$O,$AE$2&amp;if($K42="S1","a",if($K42="S2","b","")),Students!$A:$A,AP$2)+countifs(Students!$P:$P,$AE42,Students!$Q:$Q,$AE$2&amp;if($K42="S1","a",if($K42="S2","b","")),Students!$A:$A,AP$2)+countifs(Students!$R:$R,$AE42,Students!$S:$S,$AE$2&amp;if($K42="S1","a",if($K42="S2","b","")),Students!$A:$A,AP$2)+countifs(Students!$T:$T,$AE42,Students!$U:$U,$AE$2&amp;if($K42="S1","a",if($K42="S2","b","")),Students!$A:$A,AP$2)+countifs(Students!$V:$V,$AE42,Students!$W:$W,$AE$2&amp;if($K42="S1","a",if($K42="S2","b","")),Students!$A:$A,AP$2)+
countifs(Students!$D:$D,$AH42,Students!$E:$E,$AH$2&amp;if($K42="S1","a",if($K42="S2","b","")),Students!$A:$A,AP$2)+countifs(Students!$F:$F,$AH42,Students!$G:$G,$AH$2&amp;if($K42="S1","a",if($K42="S2","b","")),Students!$A:$A,AP$2)+countifs(Students!$H:$H,$AH42,Students!$I:$I,$AH$2&amp;if($K42="S1","a",if($K42="S2","b","")),Students!$A:$A,AP$2)+countifs(Students!$J:$J,$AH42,Students!$K:$K,$AH$2&amp;if($K42="S1","a",if($K42="S2","b","")),Students!$A:$A,AP$2)+countifs(Students!$L:$L,$AH42,Students!$M:$M,$AH$2&amp;if($K42="S1","a",if($K42="S2","b","")),Students!$A:$A,AP$2)+countifs(Students!$N:$N,$AH42,Students!$O:$O,$AH$2&amp;if($K42="S1","a",if($K42="S2","b","")),Students!$A:$A,AP$2)+countifs(Students!$P:$P,$AH42,Students!$Q:$Q,$AH$2&amp;if($K42="S1","a",if($K42="S2","b","")),Students!$A:$A,AP$2)+countifs(Students!$R:$R,$AH42,Students!$S:$S,$AH$2&amp;if($K42="S1","a",if($K42="S2","b","")),Students!$A:$A,AP$2)+countifs(Students!$T:$T,$AH42,Students!$U:$U,$AH$2&amp;if($K42="S1","a",if($K42="S2","b","")),Students!$A:$A,AP$2)+countifs(Students!$V:$V,$AH42,Students!$W:$W,$AH$2&amp;if($K42="S1","a",if($K42="S2","b","")),Students!$A:$A,AP$2)+
countifs(Students!$D:$D,$AK42,Students!$E:$E,$AK$2&amp;if($K42="S1","a",if($K42="S2","b","")),Students!$A:$A,AP$2)+countifs(Students!$F:$F,$AK42,Students!$G:$G,$AK$2&amp;if($K42="S1","a",if($K42="S2","b","")),Students!$A:$A,AP$2)+countifs(Students!$H:$H,$AK42,Students!$I:$I,$AK$2&amp;if($K42="S1","a",if($K42="S2","b","")),Students!$A:$A,AP$2)+countifs(Students!$J:$J,$AK42,Students!$K:$K,$AK$2&amp;if($K42="S1","a",if($K42="S2","b","")),Students!$A:$A,AP$2)+countifs(Students!$L:$L,$AK42,Students!$M:$M,$AK$2&amp;if($K42="S1","a",if($K42="S2","b","")),Students!$A:$A,AP$2)+countifs(Students!$N:$N,$AK42,Students!$O:$O,$AK$2&amp;if($K42="S1","a",if($K42="S2","b","")),Students!$A:$A,AP$2)+countifs(Students!$P:$P,$AK42,Students!$Q:$Q,$AK$2&amp;if($K42="S1","a",if($K42="S2","b","")),Students!$A:$A,AP$2)+countifs(Students!$R:$R,$AK42,Students!$S:$S,$AK$2&amp;if($K42="S1","a",if($K42="S2","b","")),Students!$A:$A,AP$2)+countifs(Students!$T:$T,$AK42,Students!$U:$U,$AK$2&amp;if($K42="S1","a",if($K42="S2","b","")),Students!$A:$A,AP$2)+countifs(Students!$V:$V,$AK42,Students!$W:$W,$AK$2&amp;if($K42="S1","a",if($K42="S2","b","")),Students!$A:$A,AP$2))</f>
        <v>0</v>
      </c>
      <c r="AQ42" s="102">
        <f>if($L42="","",countifs(Students!$D:$D,$P42,Students!$E:$E,$P$2&amp;if($K42="S1","a",if($K42="S2","b","")),Students!$A:$A,AQ$2)+countifs(Students!$F:$F,$P42,Students!$G:$G,$P$2&amp;if($K42="S1","a",if($K42="S2","b","")),Students!$A:$A,AQ$2)+countifs(Students!$H:$H,$P42,Students!$I:$I,$P$2&amp;if($K42="S1","a",if($K42="S2","b","")),Students!$A:$A,AQ$2)+countifs(Students!$J:$J,$P42,Students!$K:$K,$P$2&amp;if($K42="S1","a",if($K42="S2","b","")),Students!$A:$A,AQ$2)+countifs(Students!$L:$L,$P42,Students!$M:$M,$P$2&amp;if($K42="S1","a",if($K42="S2","b","")),Students!$A:$A,AQ$2)+countifs(Students!$N:$N,$P42,Students!$O:$O,$P$2&amp;if($K42="S1","a",if($K42="S2","b","")),Students!$A:$A,AQ$2)+countifs(Students!$P:$P,$P42,Students!$Q:$Q,$P$2&amp;if($K42="S1","a",if($K42="S2","b","")),Students!$A:$A,AQ$2)+countifs(Students!$R:$R,$P42,Students!$S:$S,$P$2&amp;if($K42="S1","a",if($K42="S2","b","")),Students!$A:$A,AQ$2)+countifs(Students!$T:$T,$P42,Students!$U:$U,$P$2&amp;if($K42="S1","a",if($K42="S2","b","")),Students!$A:$A,AQ$2)+countifs(Students!$V:$V,$P42,Students!$W:$W,$P$2&amp;if($K42="S1","a",if($K42="S2","b","")),Students!$A:$A,AQ$2)+
countifs(Students!$D:$D,$S42,Students!$E:$E,$S$2&amp;if($K42="S1","a",if($K42="S2","b","")),Students!$A:$A,AQ$2)+countifs(Students!$F:$F,$S42,Students!$G:$G,$S$2&amp;if($K42="S1","a",if($K42="S2","b","")),Students!$A:$A,AQ$2)+countifs(Students!$H:$H,$S42,Students!$I:$I,$S$2&amp;if($K42="S1","a",if($K42="S2","b","")),Students!$A:$A,AQ$2)+countifs(Students!$J:$J,$S42,Students!$K:$K,$S$2&amp;if($K42="S1","a",if($K42="S2","b","")),Students!$A:$A,AQ$2)+countifs(Students!$L:$L,$S42,Students!$M:$M,$S$2&amp;if($K42="S1","a",if($K42="S2","b","")),Students!$A:$A,AQ$2)+countifs(Students!$N:$N,$S42,Students!$O:$O,$S$2&amp;if($K42="S1","a",if($K42="S2","b","")),Students!$A:$A,AQ$2)+countifs(Students!$P:$P,$S42,Students!$Q:$Q,$S$2&amp;if($K42="S1","a",if($K42="S2","b","")),Students!$A:$A,AQ$2)+countifs(Students!$R:$R,$S42,Students!$S:$S,$S$2&amp;if($K42="S1","a",if($K42="S2","b","")),Students!$A:$A,AQ$2)+countifs(Students!$T:$T,$S42,Students!$U:$U,$S$2&amp;if($K42="S1","a",if($K42="S2","b","")),Students!$A:$A,AQ$2)+countifs(Students!$V:$V,$S42,Students!$W:$W,$S$2&amp;if($K42="S1","a",if($K42="S2","b","")),Students!$A:$A,AQ$2)+
countifs(Students!$D:$D,$V42,Students!$E:$E,$V$2&amp;if($K42="S1","a",if($K42="S2","b","")),Students!$A:$A,AQ$2)+countifs(Students!$F:$F,$V42,Students!$G:$G,$V$2&amp;if($K42="S1","a",if($K42="S2","b","")),Students!$A:$A,AQ$2)+countifs(Students!$H:$H,$V42,Students!$I:$I,$V$2&amp;if($K42="S1","a",if($K42="S2","b","")),Students!$A:$A,AQ$2)+countifs(Students!$J:$J,$V42,Students!$K:$K,$V$2&amp;if($K42="S1","a",if($K42="S2","b","")),Students!$A:$A,AQ$2)+countifs(Students!$L:$L,$V42,Students!$M:$M,$V$2&amp;if($K42="S1","a",if($K42="S2","b","")),Students!$A:$A,AQ$2)+countifs(Students!$N:$N,$V42,Students!$O:$O,$V$2&amp;if($K42="S1","a",if($K42="S2","b","")),Students!$A:$A,AQ$2)+countifs(Students!$P:$P,$V42,Students!$Q:$Q,$V$2&amp;if($K42="S1","a",if($K42="S2","b","")),Students!$A:$A,AQ$2)+countifs(Students!$R:$R,$V42,Students!$S:$S,$V$2&amp;if($K42="S1","a",if($K42="S2","b","")),Students!$A:$A,AQ$2)+countifs(Students!$T:$T,$V42,Students!$U:$U,$V$2&amp;if($K42="S1","a",if($K42="S2","b","")),Students!$A:$A,AQ$2)+countifs(Students!$V:$V,$V42,Students!$W:$W,$V$2&amp;if($K42="S1","a",if($K42="S2","b","")),Students!$A:$A,AQ$2)+
countifs(Students!$D:$D,$Y42,Students!$E:$E,$Y$2&amp;if($K42="S1","a",if($K42="S2","b","")),Students!$A:$A,AQ$2)+countifs(Students!$F:$F,$Y42,Students!$G:$G,$Y$2&amp;if($K42="S1","a",if($K42="S2","b","")),Students!$A:$A,AQ$2)+countifs(Students!$H:$H,$Y42,Students!$I:$I,$Y$2&amp;if($K42="S1","a",if($K42="S2","b","")),Students!$A:$A,AQ$2)+countifs(Students!$J:$J,$Y42,Students!$K:$K,$Y$2&amp;if($K42="S1","a",if($K42="S2","b","")),Students!$A:$A,AQ$2)+countifs(Students!$L:$L,$Y42,Students!$M:$M,$Y$2&amp;if($K42="S1","a",if($K42="S2","b","")),Students!$A:$A,AQ$2)+countifs(Students!$N:$N,$Y42,Students!$O:$O,$Y$2&amp;if($K42="S1","a",if($K42="S2","b","")),Students!$A:$A,AQ$2)+countifs(Students!$P:$P,$Y42,Students!$Q:$Q,$Y$2&amp;if($K42="S1","a",if($K42="S2","b","")),Students!$A:$A,AQ$2)+countifs(Students!$R:$R,$Y42,Students!$S:$S,$Y$2&amp;if($K42="S1","a",if($K42="S2","b","")),Students!$A:$A,AQ$2)+countifs(Students!$T:$T,$Y42,Students!$U:$U,$Y$2&amp;if($K42="S1","a",if($K42="S2","b","")),Students!$A:$A,AQ$2)+countifs(Students!$V:$V,$Y42,Students!$W:$W,$Y$2&amp;if($K42="S1","a",if($K42="S2","b","")),Students!$A:$A,AQ$2)+
countifs(Students!$D:$D,$AB42,Students!$E:$E,$AB$2&amp;if($K42="S1","a",if($K42="S2","b","")),Students!$A:$A,AQ$2)+countifs(Students!$F:$F,$AB42,Students!$G:$G,$AB$2&amp;if($K42="S1","a",if($K42="S2","b","")),Students!$A:$A,AQ$2)+countifs(Students!$H:$H,$AB42,Students!$I:$I,$AB$2&amp;if($K42="S1","a",if($K42="S2","b","")),Students!$A:$A,AQ$2)+countifs(Students!$J:$J,$AB42,Students!$K:$K,$AB$2&amp;if($K42="S1","a",if($K42="S2","b","")),Students!$A:$A,AQ$2)+countifs(Students!$L:$L,$AB42,Students!$M:$M,$AB$2&amp;if($K42="S1","a",if($K42="S2","b","")),Students!$A:$A,AQ$2)+countifs(Students!$N:$N,$AB42,Students!$O:$O,$AB$2&amp;if($K42="S1","a",if($K42="S2","b","")),Students!$A:$A,AQ$2)+countifs(Students!$P:$P,$AB42,Students!$Q:$Q,$AB$2&amp;if($K42="S1","a",if($K42="S2","b","")),Students!$A:$A,AQ$2)+countifs(Students!$R:$R,$AB42,Students!$S:$S,$AB$2&amp;if($K42="S1","a",if($K42="S2","b","")),Students!$A:$A,AQ$2)+countifs(Students!$T:$T,$AB42,Students!$U:$U,$AB$2&amp;if($K42="S1","a",if($K42="S2","b","")),Students!$A:$A,AQ$2)+countifs(Students!$V:$V,$AB42,Students!$W:$W,$AB$2&amp;if($K42="S1","a",if($K42="S2","b","")),Students!$A:$A,AQ$2)+
countifs(Students!$D:$D,$AE42,Students!$E:$E,$AE$2&amp;if($K42="S1","a",if($K42="S2","b","")),Students!$A:$A,AQ$2)+countifs(Students!$F:$F,$AE42,Students!$G:$G,$AE$2&amp;if($K42="S1","a",if($K42="S2","b","")),Students!$A:$A,AQ$2)+countifs(Students!$H:$H,$AE42,Students!$I:$I,$AE$2&amp;if($K42="S1","a",if($K42="S2","b","")),Students!$A:$A,AQ$2)+countifs(Students!$J:$J,$AE42,Students!$K:$K,$AE$2&amp;if($K42="S1","a",if($K42="S2","b","")),Students!$A:$A,AQ$2)+countifs(Students!$L:$L,$AE42,Students!$M:$M,$AE$2&amp;if($K42="S1","a",if($K42="S2","b","")),Students!$A:$A,AQ$2)+countifs(Students!$N:$N,$AE42,Students!$O:$O,$AE$2&amp;if($K42="S1","a",if($K42="S2","b","")),Students!$A:$A,AQ$2)+countifs(Students!$P:$P,$AE42,Students!$Q:$Q,$AE$2&amp;if($K42="S1","a",if($K42="S2","b","")),Students!$A:$A,AQ$2)+countifs(Students!$R:$R,$AE42,Students!$S:$S,$AE$2&amp;if($K42="S1","a",if($K42="S2","b","")),Students!$A:$A,AQ$2)+countifs(Students!$T:$T,$AE42,Students!$U:$U,$AE$2&amp;if($K42="S1","a",if($K42="S2","b","")),Students!$A:$A,AQ$2)+countifs(Students!$V:$V,$AE42,Students!$W:$W,$AE$2&amp;if($K42="S1","a",if($K42="S2","b","")),Students!$A:$A,AQ$2)+
countifs(Students!$D:$D,$AH42,Students!$E:$E,$AH$2&amp;if($K42="S1","a",if($K42="S2","b","")),Students!$A:$A,AQ$2)+countifs(Students!$F:$F,$AH42,Students!$G:$G,$AH$2&amp;if($K42="S1","a",if($K42="S2","b","")),Students!$A:$A,AQ$2)+countifs(Students!$H:$H,$AH42,Students!$I:$I,$AH$2&amp;if($K42="S1","a",if($K42="S2","b","")),Students!$A:$A,AQ$2)+countifs(Students!$J:$J,$AH42,Students!$K:$K,$AH$2&amp;if($K42="S1","a",if($K42="S2","b","")),Students!$A:$A,AQ$2)+countifs(Students!$L:$L,$AH42,Students!$M:$M,$AH$2&amp;if($K42="S1","a",if($K42="S2","b","")),Students!$A:$A,AQ$2)+countifs(Students!$N:$N,$AH42,Students!$O:$O,$AH$2&amp;if($K42="S1","a",if($K42="S2","b","")),Students!$A:$A,AQ$2)+countifs(Students!$P:$P,$AH42,Students!$Q:$Q,$AH$2&amp;if($K42="S1","a",if($K42="S2","b","")),Students!$A:$A,AQ$2)+countifs(Students!$R:$R,$AH42,Students!$S:$S,$AH$2&amp;if($K42="S1","a",if($K42="S2","b","")),Students!$A:$A,AQ$2)+countifs(Students!$T:$T,$AH42,Students!$U:$U,$AH$2&amp;if($K42="S1","a",if($K42="S2","b","")),Students!$A:$A,AQ$2)+countifs(Students!$V:$V,$AH42,Students!$W:$W,$AH$2&amp;if($K42="S1","a",if($K42="S2","b","")),Students!$A:$A,AQ$2)+
countifs(Students!$D:$D,$AK42,Students!$E:$E,$AK$2&amp;if($K42="S1","a",if($K42="S2","b","")),Students!$A:$A,AQ$2)+countifs(Students!$F:$F,$AK42,Students!$G:$G,$AK$2&amp;if($K42="S1","a",if($K42="S2","b","")),Students!$A:$A,AQ$2)+countifs(Students!$H:$H,$AK42,Students!$I:$I,$AK$2&amp;if($K42="S1","a",if($K42="S2","b","")),Students!$A:$A,AQ$2)+countifs(Students!$J:$J,$AK42,Students!$K:$K,$AK$2&amp;if($K42="S1","a",if($K42="S2","b","")),Students!$A:$A,AQ$2)+countifs(Students!$L:$L,$AK42,Students!$M:$M,$AK$2&amp;if($K42="S1","a",if($K42="S2","b","")),Students!$A:$A,AQ$2)+countifs(Students!$N:$N,$AK42,Students!$O:$O,$AK$2&amp;if($K42="S1","a",if($K42="S2","b","")),Students!$A:$A,AQ$2)+countifs(Students!$P:$P,$AK42,Students!$Q:$Q,$AK$2&amp;if($K42="S1","a",if($K42="S2","b","")),Students!$A:$A,AQ$2)+countifs(Students!$R:$R,$AK42,Students!$S:$S,$AK$2&amp;if($K42="S1","a",if($K42="S2","b","")),Students!$A:$A,AQ$2)+countifs(Students!$T:$T,$AK42,Students!$U:$U,$AK$2&amp;if($K42="S1","a",if($K42="S2","b","")),Students!$A:$A,AQ$2)+countifs(Students!$V:$V,$AK42,Students!$W:$W,$AK$2&amp;if($K42="S1","a",if($K42="S2","b","")),Students!$A:$A,AQ$2))</f>
        <v>0</v>
      </c>
      <c r="AR42" s="102">
        <f>if($L42="","",countifs(Students!$D:$D,$P42,Students!$E:$E,$P$2&amp;if($K42="S1","a",if($K42="S2","b","")),Students!$A:$A,AR$2)+countifs(Students!$F:$F,$P42,Students!$G:$G,$P$2&amp;if($K42="S1","a",if($K42="S2","b","")),Students!$A:$A,AR$2)+countifs(Students!$H:$H,$P42,Students!$I:$I,$P$2&amp;if($K42="S1","a",if($K42="S2","b","")),Students!$A:$A,AR$2)+countifs(Students!$J:$J,$P42,Students!$K:$K,$P$2&amp;if($K42="S1","a",if($K42="S2","b","")),Students!$A:$A,AR$2)+countifs(Students!$L:$L,$P42,Students!$M:$M,$P$2&amp;if($K42="S1","a",if($K42="S2","b","")),Students!$A:$A,AR$2)+countifs(Students!$N:$N,$P42,Students!$O:$O,$P$2&amp;if($K42="S1","a",if($K42="S2","b","")),Students!$A:$A,AR$2)+countifs(Students!$P:$P,$P42,Students!$Q:$Q,$P$2&amp;if($K42="S1","a",if($K42="S2","b","")),Students!$A:$A,AR$2)+countifs(Students!$R:$R,$P42,Students!$S:$S,$P$2&amp;if($K42="S1","a",if($K42="S2","b","")),Students!$A:$A,AR$2)+countifs(Students!$T:$T,$P42,Students!$U:$U,$P$2&amp;if($K42="S1","a",if($K42="S2","b","")),Students!$A:$A,AR$2)+countifs(Students!$V:$V,$P42,Students!$W:$W,$P$2&amp;if($K42="S1","a",if($K42="S2","b","")),Students!$A:$A,AR$2)+
countifs(Students!$D:$D,$S42,Students!$E:$E,$S$2&amp;if($K42="S1","a",if($K42="S2","b","")),Students!$A:$A,AR$2)+countifs(Students!$F:$F,$S42,Students!$G:$G,$S$2&amp;if($K42="S1","a",if($K42="S2","b","")),Students!$A:$A,AR$2)+countifs(Students!$H:$H,$S42,Students!$I:$I,$S$2&amp;if($K42="S1","a",if($K42="S2","b","")),Students!$A:$A,AR$2)+countifs(Students!$J:$J,$S42,Students!$K:$K,$S$2&amp;if($K42="S1","a",if($K42="S2","b","")),Students!$A:$A,AR$2)+countifs(Students!$L:$L,$S42,Students!$M:$M,$S$2&amp;if($K42="S1","a",if($K42="S2","b","")),Students!$A:$A,AR$2)+countifs(Students!$N:$N,$S42,Students!$O:$O,$S$2&amp;if($K42="S1","a",if($K42="S2","b","")),Students!$A:$A,AR$2)+countifs(Students!$P:$P,$S42,Students!$Q:$Q,$S$2&amp;if($K42="S1","a",if($K42="S2","b","")),Students!$A:$A,AR$2)+countifs(Students!$R:$R,$S42,Students!$S:$S,$S$2&amp;if($K42="S1","a",if($K42="S2","b","")),Students!$A:$A,AR$2)+countifs(Students!$T:$T,$S42,Students!$U:$U,$S$2&amp;if($K42="S1","a",if($K42="S2","b","")),Students!$A:$A,AR$2)+countifs(Students!$V:$V,$S42,Students!$W:$W,$S$2&amp;if($K42="S1","a",if($K42="S2","b","")),Students!$A:$A,AR$2)+
countifs(Students!$D:$D,$V42,Students!$E:$E,$V$2&amp;if($K42="S1","a",if($K42="S2","b","")),Students!$A:$A,AR$2)+countifs(Students!$F:$F,$V42,Students!$G:$G,$V$2&amp;if($K42="S1","a",if($K42="S2","b","")),Students!$A:$A,AR$2)+countifs(Students!$H:$H,$V42,Students!$I:$I,$V$2&amp;if($K42="S1","a",if($K42="S2","b","")),Students!$A:$A,AR$2)+countifs(Students!$J:$J,$V42,Students!$K:$K,$V$2&amp;if($K42="S1","a",if($K42="S2","b","")),Students!$A:$A,AR$2)+countifs(Students!$L:$L,$V42,Students!$M:$M,$V$2&amp;if($K42="S1","a",if($K42="S2","b","")),Students!$A:$A,AR$2)+countifs(Students!$N:$N,$V42,Students!$O:$O,$V$2&amp;if($K42="S1","a",if($K42="S2","b","")),Students!$A:$A,AR$2)+countifs(Students!$P:$P,$V42,Students!$Q:$Q,$V$2&amp;if($K42="S1","a",if($K42="S2","b","")),Students!$A:$A,AR$2)+countifs(Students!$R:$R,$V42,Students!$S:$S,$V$2&amp;if($K42="S1","a",if($K42="S2","b","")),Students!$A:$A,AR$2)+countifs(Students!$T:$T,$V42,Students!$U:$U,$V$2&amp;if($K42="S1","a",if($K42="S2","b","")),Students!$A:$A,AR$2)+countifs(Students!$V:$V,$V42,Students!$W:$W,$V$2&amp;if($K42="S1","a",if($K42="S2","b","")),Students!$A:$A,AR$2)+
countifs(Students!$D:$D,$Y42,Students!$E:$E,$Y$2&amp;if($K42="S1","a",if($K42="S2","b","")),Students!$A:$A,AR$2)+countifs(Students!$F:$F,$Y42,Students!$G:$G,$Y$2&amp;if($K42="S1","a",if($K42="S2","b","")),Students!$A:$A,AR$2)+countifs(Students!$H:$H,$Y42,Students!$I:$I,$Y$2&amp;if($K42="S1","a",if($K42="S2","b","")),Students!$A:$A,AR$2)+countifs(Students!$J:$J,$Y42,Students!$K:$K,$Y$2&amp;if($K42="S1","a",if($K42="S2","b","")),Students!$A:$A,AR$2)+countifs(Students!$L:$L,$Y42,Students!$M:$M,$Y$2&amp;if($K42="S1","a",if($K42="S2","b","")),Students!$A:$A,AR$2)+countifs(Students!$N:$N,$Y42,Students!$O:$O,$Y$2&amp;if($K42="S1","a",if($K42="S2","b","")),Students!$A:$A,AR$2)+countifs(Students!$P:$P,$Y42,Students!$Q:$Q,$Y$2&amp;if($K42="S1","a",if($K42="S2","b","")),Students!$A:$A,AR$2)+countifs(Students!$R:$R,$Y42,Students!$S:$S,$Y$2&amp;if($K42="S1","a",if($K42="S2","b","")),Students!$A:$A,AR$2)+countifs(Students!$T:$T,$Y42,Students!$U:$U,$Y$2&amp;if($K42="S1","a",if($K42="S2","b","")),Students!$A:$A,AR$2)+countifs(Students!$V:$V,$Y42,Students!$W:$W,$Y$2&amp;if($K42="S1","a",if($K42="S2","b","")),Students!$A:$A,AR$2)+
countifs(Students!$D:$D,$AB42,Students!$E:$E,$AB$2&amp;if($K42="S1","a",if($K42="S2","b","")),Students!$A:$A,AR$2)+countifs(Students!$F:$F,$AB42,Students!$G:$G,$AB$2&amp;if($K42="S1","a",if($K42="S2","b","")),Students!$A:$A,AR$2)+countifs(Students!$H:$H,$AB42,Students!$I:$I,$AB$2&amp;if($K42="S1","a",if($K42="S2","b","")),Students!$A:$A,AR$2)+countifs(Students!$J:$J,$AB42,Students!$K:$K,$AB$2&amp;if($K42="S1","a",if($K42="S2","b","")),Students!$A:$A,AR$2)+countifs(Students!$L:$L,$AB42,Students!$M:$M,$AB$2&amp;if($K42="S1","a",if($K42="S2","b","")),Students!$A:$A,AR$2)+countifs(Students!$N:$N,$AB42,Students!$O:$O,$AB$2&amp;if($K42="S1","a",if($K42="S2","b","")),Students!$A:$A,AR$2)+countifs(Students!$P:$P,$AB42,Students!$Q:$Q,$AB$2&amp;if($K42="S1","a",if($K42="S2","b","")),Students!$A:$A,AR$2)+countifs(Students!$R:$R,$AB42,Students!$S:$S,$AB$2&amp;if($K42="S1","a",if($K42="S2","b","")),Students!$A:$A,AR$2)+countifs(Students!$T:$T,$AB42,Students!$U:$U,$AB$2&amp;if($K42="S1","a",if($K42="S2","b","")),Students!$A:$A,AR$2)+countifs(Students!$V:$V,$AB42,Students!$W:$W,$AB$2&amp;if($K42="S1","a",if($K42="S2","b","")),Students!$A:$A,AR$2)+
countifs(Students!$D:$D,$AE42,Students!$E:$E,$AE$2&amp;if($K42="S1","a",if($K42="S2","b","")),Students!$A:$A,AR$2)+countifs(Students!$F:$F,$AE42,Students!$G:$G,$AE$2&amp;if($K42="S1","a",if($K42="S2","b","")),Students!$A:$A,AR$2)+countifs(Students!$H:$H,$AE42,Students!$I:$I,$AE$2&amp;if($K42="S1","a",if($K42="S2","b","")),Students!$A:$A,AR$2)+countifs(Students!$J:$J,$AE42,Students!$K:$K,$AE$2&amp;if($K42="S1","a",if($K42="S2","b","")),Students!$A:$A,AR$2)+countifs(Students!$L:$L,$AE42,Students!$M:$M,$AE$2&amp;if($K42="S1","a",if($K42="S2","b","")),Students!$A:$A,AR$2)+countifs(Students!$N:$N,$AE42,Students!$O:$O,$AE$2&amp;if($K42="S1","a",if($K42="S2","b","")),Students!$A:$A,AR$2)+countifs(Students!$P:$P,$AE42,Students!$Q:$Q,$AE$2&amp;if($K42="S1","a",if($K42="S2","b","")),Students!$A:$A,AR$2)+countifs(Students!$R:$R,$AE42,Students!$S:$S,$AE$2&amp;if($K42="S1","a",if($K42="S2","b","")),Students!$A:$A,AR$2)+countifs(Students!$T:$T,$AE42,Students!$U:$U,$AE$2&amp;if($K42="S1","a",if($K42="S2","b","")),Students!$A:$A,AR$2)+countifs(Students!$V:$V,$AE42,Students!$W:$W,$AE$2&amp;if($K42="S1","a",if($K42="S2","b","")),Students!$A:$A,AR$2)+
countifs(Students!$D:$D,$AH42,Students!$E:$E,$AH$2&amp;if($K42="S1","a",if($K42="S2","b","")),Students!$A:$A,AR$2)+countifs(Students!$F:$F,$AH42,Students!$G:$G,$AH$2&amp;if($K42="S1","a",if($K42="S2","b","")),Students!$A:$A,AR$2)+countifs(Students!$H:$H,$AH42,Students!$I:$I,$AH$2&amp;if($K42="S1","a",if($K42="S2","b","")),Students!$A:$A,AR$2)+countifs(Students!$J:$J,$AH42,Students!$K:$K,$AH$2&amp;if($K42="S1","a",if($K42="S2","b","")),Students!$A:$A,AR$2)+countifs(Students!$L:$L,$AH42,Students!$M:$M,$AH$2&amp;if($K42="S1","a",if($K42="S2","b","")),Students!$A:$A,AR$2)+countifs(Students!$N:$N,$AH42,Students!$O:$O,$AH$2&amp;if($K42="S1","a",if($K42="S2","b","")),Students!$A:$A,AR$2)+countifs(Students!$P:$P,$AH42,Students!$Q:$Q,$AH$2&amp;if($K42="S1","a",if($K42="S2","b","")),Students!$A:$A,AR$2)+countifs(Students!$R:$R,$AH42,Students!$S:$S,$AH$2&amp;if($K42="S1","a",if($K42="S2","b","")),Students!$A:$A,AR$2)+countifs(Students!$T:$T,$AH42,Students!$U:$U,$AH$2&amp;if($K42="S1","a",if($K42="S2","b","")),Students!$A:$A,AR$2)+countifs(Students!$V:$V,$AH42,Students!$W:$W,$AH$2&amp;if($K42="S1","a",if($K42="S2","b","")),Students!$A:$A,AR$2)+
countifs(Students!$D:$D,$AK42,Students!$E:$E,$AK$2&amp;if($K42="S1","a",if($K42="S2","b","")),Students!$A:$A,AR$2)+countifs(Students!$F:$F,$AK42,Students!$G:$G,$AK$2&amp;if($K42="S1","a",if($K42="S2","b","")),Students!$A:$A,AR$2)+countifs(Students!$H:$H,$AK42,Students!$I:$I,$AK$2&amp;if($K42="S1","a",if($K42="S2","b","")),Students!$A:$A,AR$2)+countifs(Students!$J:$J,$AK42,Students!$K:$K,$AK$2&amp;if($K42="S1","a",if($K42="S2","b","")),Students!$A:$A,AR$2)+countifs(Students!$L:$L,$AK42,Students!$M:$M,$AK$2&amp;if($K42="S1","a",if($K42="S2","b","")),Students!$A:$A,AR$2)+countifs(Students!$N:$N,$AK42,Students!$O:$O,$AK$2&amp;if($K42="S1","a",if($K42="S2","b","")),Students!$A:$A,AR$2)+countifs(Students!$P:$P,$AK42,Students!$Q:$Q,$AK$2&amp;if($K42="S1","a",if($K42="S2","b","")),Students!$A:$A,AR$2)+countifs(Students!$R:$R,$AK42,Students!$S:$S,$AK$2&amp;if($K42="S1","a",if($K42="S2","b","")),Students!$A:$A,AR$2)+countifs(Students!$T:$T,$AK42,Students!$U:$U,$AK$2&amp;if($K42="S1","a",if($K42="S2","b","")),Students!$A:$A,AR$2)+countifs(Students!$V:$V,$AK42,Students!$W:$W,$AK$2&amp;if($K42="S1","a",if($K42="S2","b","")),Students!$A:$A,AR$2))</f>
        <v>0</v>
      </c>
      <c r="AS42" s="102">
        <f>if($L42="","",countifs(Students!$D:$D,$P42,Students!$E:$E,$P$2&amp;if($K42="S1","a",if($K42="S2","b","")),Students!$A:$A,AS$2)+countifs(Students!$F:$F,$P42,Students!$G:$G,$P$2&amp;if($K42="S1","a",if($K42="S2","b","")),Students!$A:$A,AS$2)+countifs(Students!$H:$H,$P42,Students!$I:$I,$P$2&amp;if($K42="S1","a",if($K42="S2","b","")),Students!$A:$A,AS$2)+countifs(Students!$J:$J,$P42,Students!$K:$K,$P$2&amp;if($K42="S1","a",if($K42="S2","b","")),Students!$A:$A,AS$2)+countifs(Students!$L:$L,$P42,Students!$M:$M,$P$2&amp;if($K42="S1","a",if($K42="S2","b","")),Students!$A:$A,AS$2)+countifs(Students!$N:$N,$P42,Students!$O:$O,$P$2&amp;if($K42="S1","a",if($K42="S2","b","")),Students!$A:$A,AS$2)+countifs(Students!$P:$P,$P42,Students!$Q:$Q,$P$2&amp;if($K42="S1","a",if($K42="S2","b","")),Students!$A:$A,AS$2)+countifs(Students!$R:$R,$P42,Students!$S:$S,$P$2&amp;if($K42="S1","a",if($K42="S2","b","")),Students!$A:$A,AS$2)+countifs(Students!$T:$T,$P42,Students!$U:$U,$P$2&amp;if($K42="S1","a",if($K42="S2","b","")),Students!$A:$A,AS$2)+countifs(Students!$V:$V,$P42,Students!$W:$W,$P$2&amp;if($K42="S1","a",if($K42="S2","b","")),Students!$A:$A,AS$2)+
countifs(Students!$D:$D,$S42,Students!$E:$E,$S$2&amp;if($K42="S1","a",if($K42="S2","b","")),Students!$A:$A,AS$2)+countifs(Students!$F:$F,$S42,Students!$G:$G,$S$2&amp;if($K42="S1","a",if($K42="S2","b","")),Students!$A:$A,AS$2)+countifs(Students!$H:$H,$S42,Students!$I:$I,$S$2&amp;if($K42="S1","a",if($K42="S2","b","")),Students!$A:$A,AS$2)+countifs(Students!$J:$J,$S42,Students!$K:$K,$S$2&amp;if($K42="S1","a",if($K42="S2","b","")),Students!$A:$A,AS$2)+countifs(Students!$L:$L,$S42,Students!$M:$M,$S$2&amp;if($K42="S1","a",if($K42="S2","b","")),Students!$A:$A,AS$2)+countifs(Students!$N:$N,$S42,Students!$O:$O,$S$2&amp;if($K42="S1","a",if($K42="S2","b","")),Students!$A:$A,AS$2)+countifs(Students!$P:$P,$S42,Students!$Q:$Q,$S$2&amp;if($K42="S1","a",if($K42="S2","b","")),Students!$A:$A,AS$2)+countifs(Students!$R:$R,$S42,Students!$S:$S,$S$2&amp;if($K42="S1","a",if($K42="S2","b","")),Students!$A:$A,AS$2)+countifs(Students!$T:$T,$S42,Students!$U:$U,$S$2&amp;if($K42="S1","a",if($K42="S2","b","")),Students!$A:$A,AS$2)+countifs(Students!$V:$V,$S42,Students!$W:$W,$S$2&amp;if($K42="S1","a",if($K42="S2","b","")),Students!$A:$A,AS$2)+
countifs(Students!$D:$D,$V42,Students!$E:$E,$V$2&amp;if($K42="S1","a",if($K42="S2","b","")),Students!$A:$A,AS$2)+countifs(Students!$F:$F,$V42,Students!$G:$G,$V$2&amp;if($K42="S1","a",if($K42="S2","b","")),Students!$A:$A,AS$2)+countifs(Students!$H:$H,$V42,Students!$I:$I,$V$2&amp;if($K42="S1","a",if($K42="S2","b","")),Students!$A:$A,AS$2)+countifs(Students!$J:$J,$V42,Students!$K:$K,$V$2&amp;if($K42="S1","a",if($K42="S2","b","")),Students!$A:$A,AS$2)+countifs(Students!$L:$L,$V42,Students!$M:$M,$V$2&amp;if($K42="S1","a",if($K42="S2","b","")),Students!$A:$A,AS$2)+countifs(Students!$N:$N,$V42,Students!$O:$O,$V$2&amp;if($K42="S1","a",if($K42="S2","b","")),Students!$A:$A,AS$2)+countifs(Students!$P:$P,$V42,Students!$Q:$Q,$V$2&amp;if($K42="S1","a",if($K42="S2","b","")),Students!$A:$A,AS$2)+countifs(Students!$R:$R,$V42,Students!$S:$S,$V$2&amp;if($K42="S1","a",if($K42="S2","b","")),Students!$A:$A,AS$2)+countifs(Students!$T:$T,$V42,Students!$U:$U,$V$2&amp;if($K42="S1","a",if($K42="S2","b","")),Students!$A:$A,AS$2)+countifs(Students!$V:$V,$V42,Students!$W:$W,$V$2&amp;if($K42="S1","a",if($K42="S2","b","")),Students!$A:$A,AS$2)+
countifs(Students!$D:$D,$Y42,Students!$E:$E,$Y$2&amp;if($K42="S1","a",if($K42="S2","b","")),Students!$A:$A,AS$2)+countifs(Students!$F:$F,$Y42,Students!$G:$G,$Y$2&amp;if($K42="S1","a",if($K42="S2","b","")),Students!$A:$A,AS$2)+countifs(Students!$H:$H,$Y42,Students!$I:$I,$Y$2&amp;if($K42="S1","a",if($K42="S2","b","")),Students!$A:$A,AS$2)+countifs(Students!$J:$J,$Y42,Students!$K:$K,$Y$2&amp;if($K42="S1","a",if($K42="S2","b","")),Students!$A:$A,AS$2)+countifs(Students!$L:$L,$Y42,Students!$M:$M,$Y$2&amp;if($K42="S1","a",if($K42="S2","b","")),Students!$A:$A,AS$2)+countifs(Students!$N:$N,$Y42,Students!$O:$O,$Y$2&amp;if($K42="S1","a",if($K42="S2","b","")),Students!$A:$A,AS$2)+countifs(Students!$P:$P,$Y42,Students!$Q:$Q,$Y$2&amp;if($K42="S1","a",if($K42="S2","b","")),Students!$A:$A,AS$2)+countifs(Students!$R:$R,$Y42,Students!$S:$S,$Y$2&amp;if($K42="S1","a",if($K42="S2","b","")),Students!$A:$A,AS$2)+countifs(Students!$T:$T,$Y42,Students!$U:$U,$Y$2&amp;if($K42="S1","a",if($K42="S2","b","")),Students!$A:$A,AS$2)+countifs(Students!$V:$V,$Y42,Students!$W:$W,$Y$2&amp;if($K42="S1","a",if($K42="S2","b","")),Students!$A:$A,AS$2)+
countifs(Students!$D:$D,$AB42,Students!$E:$E,$AB$2&amp;if($K42="S1","a",if($K42="S2","b","")),Students!$A:$A,AS$2)+countifs(Students!$F:$F,$AB42,Students!$G:$G,$AB$2&amp;if($K42="S1","a",if($K42="S2","b","")),Students!$A:$A,AS$2)+countifs(Students!$H:$H,$AB42,Students!$I:$I,$AB$2&amp;if($K42="S1","a",if($K42="S2","b","")),Students!$A:$A,AS$2)+countifs(Students!$J:$J,$AB42,Students!$K:$K,$AB$2&amp;if($K42="S1","a",if($K42="S2","b","")),Students!$A:$A,AS$2)+countifs(Students!$L:$L,$AB42,Students!$M:$M,$AB$2&amp;if($K42="S1","a",if($K42="S2","b","")),Students!$A:$A,AS$2)+countifs(Students!$N:$N,$AB42,Students!$O:$O,$AB$2&amp;if($K42="S1","a",if($K42="S2","b","")),Students!$A:$A,AS$2)+countifs(Students!$P:$P,$AB42,Students!$Q:$Q,$AB$2&amp;if($K42="S1","a",if($K42="S2","b","")),Students!$A:$A,AS$2)+countifs(Students!$R:$R,$AB42,Students!$S:$S,$AB$2&amp;if($K42="S1","a",if($K42="S2","b","")),Students!$A:$A,AS$2)+countifs(Students!$T:$T,$AB42,Students!$U:$U,$AB$2&amp;if($K42="S1","a",if($K42="S2","b","")),Students!$A:$A,AS$2)+countifs(Students!$V:$V,$AB42,Students!$W:$W,$AB$2&amp;if($K42="S1","a",if($K42="S2","b","")),Students!$A:$A,AS$2)+
countifs(Students!$D:$D,$AE42,Students!$E:$E,$AE$2&amp;if($K42="S1","a",if($K42="S2","b","")),Students!$A:$A,AS$2)+countifs(Students!$F:$F,$AE42,Students!$G:$G,$AE$2&amp;if($K42="S1","a",if($K42="S2","b","")),Students!$A:$A,AS$2)+countifs(Students!$H:$H,$AE42,Students!$I:$I,$AE$2&amp;if($K42="S1","a",if($K42="S2","b","")),Students!$A:$A,AS$2)+countifs(Students!$J:$J,$AE42,Students!$K:$K,$AE$2&amp;if($K42="S1","a",if($K42="S2","b","")),Students!$A:$A,AS$2)+countifs(Students!$L:$L,$AE42,Students!$M:$M,$AE$2&amp;if($K42="S1","a",if($K42="S2","b","")),Students!$A:$A,AS$2)+countifs(Students!$N:$N,$AE42,Students!$O:$O,$AE$2&amp;if($K42="S1","a",if($K42="S2","b","")),Students!$A:$A,AS$2)+countifs(Students!$P:$P,$AE42,Students!$Q:$Q,$AE$2&amp;if($K42="S1","a",if($K42="S2","b","")),Students!$A:$A,AS$2)+countifs(Students!$R:$R,$AE42,Students!$S:$S,$AE$2&amp;if($K42="S1","a",if($K42="S2","b","")),Students!$A:$A,AS$2)+countifs(Students!$T:$T,$AE42,Students!$U:$U,$AE$2&amp;if($K42="S1","a",if($K42="S2","b","")),Students!$A:$A,AS$2)+countifs(Students!$V:$V,$AE42,Students!$W:$W,$AE$2&amp;if($K42="S1","a",if($K42="S2","b","")),Students!$A:$A,AS$2)+
countifs(Students!$D:$D,$AH42,Students!$E:$E,$AH$2&amp;if($K42="S1","a",if($K42="S2","b","")),Students!$A:$A,AS$2)+countifs(Students!$F:$F,$AH42,Students!$G:$G,$AH$2&amp;if($K42="S1","a",if($K42="S2","b","")),Students!$A:$A,AS$2)+countifs(Students!$H:$H,$AH42,Students!$I:$I,$AH$2&amp;if($K42="S1","a",if($K42="S2","b","")),Students!$A:$A,AS$2)+countifs(Students!$J:$J,$AH42,Students!$K:$K,$AH$2&amp;if($K42="S1","a",if($K42="S2","b","")),Students!$A:$A,AS$2)+countifs(Students!$L:$L,$AH42,Students!$M:$M,$AH$2&amp;if($K42="S1","a",if($K42="S2","b","")),Students!$A:$A,AS$2)+countifs(Students!$N:$N,$AH42,Students!$O:$O,$AH$2&amp;if($K42="S1","a",if($K42="S2","b","")),Students!$A:$A,AS$2)+countifs(Students!$P:$P,$AH42,Students!$Q:$Q,$AH$2&amp;if($K42="S1","a",if($K42="S2","b","")),Students!$A:$A,AS$2)+countifs(Students!$R:$R,$AH42,Students!$S:$S,$AH$2&amp;if($K42="S1","a",if($K42="S2","b","")),Students!$A:$A,AS$2)+countifs(Students!$T:$T,$AH42,Students!$U:$U,$AH$2&amp;if($K42="S1","a",if($K42="S2","b","")),Students!$A:$A,AS$2)+countifs(Students!$V:$V,$AH42,Students!$W:$W,$AH$2&amp;if($K42="S1","a",if($K42="S2","b","")),Students!$A:$A,AS$2)+
countifs(Students!$D:$D,$AK42,Students!$E:$E,$AK$2&amp;if($K42="S1","a",if($K42="S2","b","")),Students!$A:$A,AS$2)+countifs(Students!$F:$F,$AK42,Students!$G:$G,$AK$2&amp;if($K42="S1","a",if($K42="S2","b","")),Students!$A:$A,AS$2)+countifs(Students!$H:$H,$AK42,Students!$I:$I,$AK$2&amp;if($K42="S1","a",if($K42="S2","b","")),Students!$A:$A,AS$2)+countifs(Students!$J:$J,$AK42,Students!$K:$K,$AK$2&amp;if($K42="S1","a",if($K42="S2","b","")),Students!$A:$A,AS$2)+countifs(Students!$L:$L,$AK42,Students!$M:$M,$AK$2&amp;if($K42="S1","a",if($K42="S2","b","")),Students!$A:$A,AS$2)+countifs(Students!$N:$N,$AK42,Students!$O:$O,$AK$2&amp;if($K42="S1","a",if($K42="S2","b","")),Students!$A:$A,AS$2)+countifs(Students!$P:$P,$AK42,Students!$Q:$Q,$AK$2&amp;if($K42="S1","a",if($K42="S2","b","")),Students!$A:$A,AS$2)+countifs(Students!$R:$R,$AK42,Students!$S:$S,$AK$2&amp;if($K42="S1","a",if($K42="S2","b","")),Students!$A:$A,AS$2)+countifs(Students!$T:$T,$AK42,Students!$U:$U,$AK$2&amp;if($K42="S1","a",if($K42="S2","b","")),Students!$A:$A,AS$2)+countifs(Students!$V:$V,$AK42,Students!$W:$W,$AK$2&amp;if($K42="S1","a",if($K42="S2","b","")),Students!$A:$A,AS$2))</f>
        <v>23</v>
      </c>
    </row>
    <row r="43">
      <c r="J43" s="87">
        <v>131.0</v>
      </c>
      <c r="K43" s="88"/>
      <c r="L43" s="125" t="s">
        <v>127</v>
      </c>
      <c r="M43" s="107"/>
      <c r="N43" s="87">
        <v>1.0</v>
      </c>
      <c r="O43" s="87">
        <f>IFERROR(__xludf.DUMMYFUNCTION("3*counta((transpose(filter(P43:AM43,P43:AM43&lt;&gt;"""",isnumber(P43:AM43)=false))))"),18.0)</f>
        <v>18</v>
      </c>
      <c r="P43" s="103" t="s">
        <v>128</v>
      </c>
      <c r="Q43" s="101">
        <v>1.0</v>
      </c>
      <c r="R43" s="98">
        <v>21.0</v>
      </c>
      <c r="S43" s="101" t="s">
        <v>128</v>
      </c>
      <c r="T43" s="101">
        <v>2.0</v>
      </c>
      <c r="U43" s="98">
        <v>23.0</v>
      </c>
      <c r="V43" s="124"/>
      <c r="W43" s="124"/>
      <c r="X43" s="92" t="s">
        <v>22</v>
      </c>
      <c r="Y43" s="90" t="s">
        <v>128</v>
      </c>
      <c r="Z43" s="101">
        <v>3.0</v>
      </c>
      <c r="AA43" s="98">
        <v>24.0</v>
      </c>
      <c r="AB43" s="101" t="s">
        <v>128</v>
      </c>
      <c r="AC43" s="101">
        <v>4.0</v>
      </c>
      <c r="AD43" s="98">
        <v>20.0</v>
      </c>
      <c r="AE43" s="90" t="s">
        <v>128</v>
      </c>
      <c r="AF43" s="101">
        <v>5.0</v>
      </c>
      <c r="AG43" s="92">
        <v>22.0</v>
      </c>
      <c r="AH43" s="90"/>
      <c r="AI43" s="96"/>
      <c r="AJ43" s="92" t="s">
        <v>22</v>
      </c>
      <c r="AK43" s="101" t="s">
        <v>128</v>
      </c>
      <c r="AL43" s="97">
        <v>6.0</v>
      </c>
      <c r="AM43" s="98">
        <v>21.0</v>
      </c>
      <c r="AN43" s="99"/>
      <c r="AO43" s="52">
        <f t="shared" si="2"/>
        <v>131</v>
      </c>
      <c r="AP43" s="102">
        <f>if($L43="","",countifs(Students!$D:$D,$P43,Students!$E:$E,$P$2&amp;if($K43="S1","a",if($K43="S2","b","")),Students!$A:$A,AP$2)+countifs(Students!$F:$F,$P43,Students!$G:$G,$P$2&amp;if($K43="S1","a",if($K43="S2","b","")),Students!$A:$A,AP$2)+countifs(Students!$H:$H,$P43,Students!$I:$I,$P$2&amp;if($K43="S1","a",if($K43="S2","b","")),Students!$A:$A,AP$2)+countifs(Students!$J:$J,$P43,Students!$K:$K,$P$2&amp;if($K43="S1","a",if($K43="S2","b","")),Students!$A:$A,AP$2)+countifs(Students!$L:$L,$P43,Students!$M:$M,$P$2&amp;if($K43="S1","a",if($K43="S2","b","")),Students!$A:$A,AP$2)+countifs(Students!$N:$N,$P43,Students!$O:$O,$P$2&amp;if($K43="S1","a",if($K43="S2","b","")),Students!$A:$A,AP$2)+countifs(Students!$P:$P,$P43,Students!$Q:$Q,$P$2&amp;if($K43="S1","a",if($K43="S2","b","")),Students!$A:$A,AP$2)+countifs(Students!$R:$R,$P43,Students!$S:$S,$P$2&amp;if($K43="S1","a",if($K43="S2","b","")),Students!$A:$A,AP$2)+countifs(Students!$T:$T,$P43,Students!$U:$U,$P$2&amp;if($K43="S1","a",if($K43="S2","b","")),Students!$A:$A,AP$2)+countifs(Students!$V:$V,$P43,Students!$W:$W,$P$2&amp;if($K43="S1","a",if($K43="S2","b","")),Students!$A:$A,AP$2)+
countifs(Students!$D:$D,$S43,Students!$E:$E,$S$2&amp;if($K43="S1","a",if($K43="S2","b","")),Students!$A:$A,AP$2)+countifs(Students!$F:$F,$S43,Students!$G:$G,$S$2&amp;if($K43="S1","a",if($K43="S2","b","")),Students!$A:$A,AP$2)+countifs(Students!$H:$H,$S43,Students!$I:$I,$S$2&amp;if($K43="S1","a",if($K43="S2","b","")),Students!$A:$A,AP$2)+countifs(Students!$J:$J,$S43,Students!$K:$K,$S$2&amp;if($K43="S1","a",if($K43="S2","b","")),Students!$A:$A,AP$2)+countifs(Students!$L:$L,$S43,Students!$M:$M,$S$2&amp;if($K43="S1","a",if($K43="S2","b","")),Students!$A:$A,AP$2)+countifs(Students!$N:$N,$S43,Students!$O:$O,$S$2&amp;if($K43="S1","a",if($K43="S2","b","")),Students!$A:$A,AP$2)+countifs(Students!$P:$P,$S43,Students!$Q:$Q,$S$2&amp;if($K43="S1","a",if($K43="S2","b","")),Students!$A:$A,AP$2)+countifs(Students!$R:$R,$S43,Students!$S:$S,$S$2&amp;if($K43="S1","a",if($K43="S2","b","")),Students!$A:$A,AP$2)+countifs(Students!$T:$T,$S43,Students!$U:$U,$S$2&amp;if($K43="S1","a",if($K43="S2","b","")),Students!$A:$A,AP$2)+countifs(Students!$V:$V,$S43,Students!$W:$W,$S$2&amp;if($K43="S1","a",if($K43="S2","b","")),Students!$A:$A,AP$2)+
countifs(Students!$D:$D,$V43,Students!$E:$E,$V$2&amp;if($K43="S1","a",if($K43="S2","b","")),Students!$A:$A,AP$2)+countifs(Students!$F:$F,$V43,Students!$G:$G,$V$2&amp;if($K43="S1","a",if($K43="S2","b","")),Students!$A:$A,AP$2)+countifs(Students!$H:$H,$V43,Students!$I:$I,$V$2&amp;if($K43="S1","a",if($K43="S2","b","")),Students!$A:$A,AP$2)+countifs(Students!$J:$J,$V43,Students!$K:$K,$V$2&amp;if($K43="S1","a",if($K43="S2","b","")),Students!$A:$A,AP$2)+countifs(Students!$L:$L,$V43,Students!$M:$M,$V$2&amp;if($K43="S1","a",if($K43="S2","b","")),Students!$A:$A,AP$2)+countifs(Students!$N:$N,$V43,Students!$O:$O,$V$2&amp;if($K43="S1","a",if($K43="S2","b","")),Students!$A:$A,AP$2)+countifs(Students!$P:$P,$V43,Students!$Q:$Q,$V$2&amp;if($K43="S1","a",if($K43="S2","b","")),Students!$A:$A,AP$2)+countifs(Students!$R:$R,$V43,Students!$S:$S,$V$2&amp;if($K43="S1","a",if($K43="S2","b","")),Students!$A:$A,AP$2)+countifs(Students!$T:$T,$V43,Students!$U:$U,$V$2&amp;if($K43="S1","a",if($K43="S2","b","")),Students!$A:$A,AP$2)+countifs(Students!$V:$V,$V43,Students!$W:$W,$V$2&amp;if($K43="S1","a",if($K43="S2","b","")),Students!$A:$A,AP$2)+
countifs(Students!$D:$D,$Y43,Students!$E:$E,$Y$2&amp;if($K43="S1","a",if($K43="S2","b","")),Students!$A:$A,AP$2)+countifs(Students!$F:$F,$Y43,Students!$G:$G,$Y$2&amp;if($K43="S1","a",if($K43="S2","b","")),Students!$A:$A,AP$2)+countifs(Students!$H:$H,$Y43,Students!$I:$I,$Y$2&amp;if($K43="S1","a",if($K43="S2","b","")),Students!$A:$A,AP$2)+countifs(Students!$J:$J,$Y43,Students!$K:$K,$Y$2&amp;if($K43="S1","a",if($K43="S2","b","")),Students!$A:$A,AP$2)+countifs(Students!$L:$L,$Y43,Students!$M:$M,$Y$2&amp;if($K43="S1","a",if($K43="S2","b","")),Students!$A:$A,AP$2)+countifs(Students!$N:$N,$Y43,Students!$O:$O,$Y$2&amp;if($K43="S1","a",if($K43="S2","b","")),Students!$A:$A,AP$2)+countifs(Students!$P:$P,$Y43,Students!$Q:$Q,$Y$2&amp;if($K43="S1","a",if($K43="S2","b","")),Students!$A:$A,AP$2)+countifs(Students!$R:$R,$Y43,Students!$S:$S,$Y$2&amp;if($K43="S1","a",if($K43="S2","b","")),Students!$A:$A,AP$2)+countifs(Students!$T:$T,$Y43,Students!$U:$U,$Y$2&amp;if($K43="S1","a",if($K43="S2","b","")),Students!$A:$A,AP$2)+countifs(Students!$V:$V,$Y43,Students!$W:$W,$Y$2&amp;if($K43="S1","a",if($K43="S2","b","")),Students!$A:$A,AP$2)+
countifs(Students!$D:$D,$AB43,Students!$E:$E,$AB$2&amp;if($K43="S1","a",if($K43="S2","b","")),Students!$A:$A,AP$2)+countifs(Students!$F:$F,$AB43,Students!$G:$G,$AB$2&amp;if($K43="S1","a",if($K43="S2","b","")),Students!$A:$A,AP$2)+countifs(Students!$H:$H,$AB43,Students!$I:$I,$AB$2&amp;if($K43="S1","a",if($K43="S2","b","")),Students!$A:$A,AP$2)+countifs(Students!$J:$J,$AB43,Students!$K:$K,$AB$2&amp;if($K43="S1","a",if($K43="S2","b","")),Students!$A:$A,AP$2)+countifs(Students!$L:$L,$AB43,Students!$M:$M,$AB$2&amp;if($K43="S1","a",if($K43="S2","b","")),Students!$A:$A,AP$2)+countifs(Students!$N:$N,$AB43,Students!$O:$O,$AB$2&amp;if($K43="S1","a",if($K43="S2","b","")),Students!$A:$A,AP$2)+countifs(Students!$P:$P,$AB43,Students!$Q:$Q,$AB$2&amp;if($K43="S1","a",if($K43="S2","b","")),Students!$A:$A,AP$2)+countifs(Students!$R:$R,$AB43,Students!$S:$S,$AB$2&amp;if($K43="S1","a",if($K43="S2","b","")),Students!$A:$A,AP$2)+countifs(Students!$T:$T,$AB43,Students!$U:$U,$AB$2&amp;if($K43="S1","a",if($K43="S2","b","")),Students!$A:$A,AP$2)+countifs(Students!$V:$V,$AB43,Students!$W:$W,$AB$2&amp;if($K43="S1","a",if($K43="S2","b","")),Students!$A:$A,AP$2)+
countifs(Students!$D:$D,$AE43,Students!$E:$E,$AE$2&amp;if($K43="S1","a",if($K43="S2","b","")),Students!$A:$A,AP$2)+countifs(Students!$F:$F,$AE43,Students!$G:$G,$AE$2&amp;if($K43="S1","a",if($K43="S2","b","")),Students!$A:$A,AP$2)+countifs(Students!$H:$H,$AE43,Students!$I:$I,$AE$2&amp;if($K43="S1","a",if($K43="S2","b","")),Students!$A:$A,AP$2)+countifs(Students!$J:$J,$AE43,Students!$K:$K,$AE$2&amp;if($K43="S1","a",if($K43="S2","b","")),Students!$A:$A,AP$2)+countifs(Students!$L:$L,$AE43,Students!$M:$M,$AE$2&amp;if($K43="S1","a",if($K43="S2","b","")),Students!$A:$A,AP$2)+countifs(Students!$N:$N,$AE43,Students!$O:$O,$AE$2&amp;if($K43="S1","a",if($K43="S2","b","")),Students!$A:$A,AP$2)+countifs(Students!$P:$P,$AE43,Students!$Q:$Q,$AE$2&amp;if($K43="S1","a",if($K43="S2","b","")),Students!$A:$A,AP$2)+countifs(Students!$R:$R,$AE43,Students!$S:$S,$AE$2&amp;if($K43="S1","a",if($K43="S2","b","")),Students!$A:$A,AP$2)+countifs(Students!$T:$T,$AE43,Students!$U:$U,$AE$2&amp;if($K43="S1","a",if($K43="S2","b","")),Students!$A:$A,AP$2)+countifs(Students!$V:$V,$AE43,Students!$W:$W,$AE$2&amp;if($K43="S1","a",if($K43="S2","b","")),Students!$A:$A,AP$2)+
countifs(Students!$D:$D,$AH43,Students!$E:$E,$AH$2&amp;if($K43="S1","a",if($K43="S2","b","")),Students!$A:$A,AP$2)+countifs(Students!$F:$F,$AH43,Students!$G:$G,$AH$2&amp;if($K43="S1","a",if($K43="S2","b","")),Students!$A:$A,AP$2)+countifs(Students!$H:$H,$AH43,Students!$I:$I,$AH$2&amp;if($K43="S1","a",if($K43="S2","b","")),Students!$A:$A,AP$2)+countifs(Students!$J:$J,$AH43,Students!$K:$K,$AH$2&amp;if($K43="S1","a",if($K43="S2","b","")),Students!$A:$A,AP$2)+countifs(Students!$L:$L,$AH43,Students!$M:$M,$AH$2&amp;if($K43="S1","a",if($K43="S2","b","")),Students!$A:$A,AP$2)+countifs(Students!$N:$N,$AH43,Students!$O:$O,$AH$2&amp;if($K43="S1","a",if($K43="S2","b","")),Students!$A:$A,AP$2)+countifs(Students!$P:$P,$AH43,Students!$Q:$Q,$AH$2&amp;if($K43="S1","a",if($K43="S2","b","")),Students!$A:$A,AP$2)+countifs(Students!$R:$R,$AH43,Students!$S:$S,$AH$2&amp;if($K43="S1","a",if($K43="S2","b","")),Students!$A:$A,AP$2)+countifs(Students!$T:$T,$AH43,Students!$U:$U,$AH$2&amp;if($K43="S1","a",if($K43="S2","b","")),Students!$A:$A,AP$2)+countifs(Students!$V:$V,$AH43,Students!$W:$W,$AH$2&amp;if($K43="S1","a",if($K43="S2","b","")),Students!$A:$A,AP$2)+
countifs(Students!$D:$D,$AK43,Students!$E:$E,$AK$2&amp;if($K43="S1","a",if($K43="S2","b","")),Students!$A:$A,AP$2)+countifs(Students!$F:$F,$AK43,Students!$G:$G,$AK$2&amp;if($K43="S1","a",if($K43="S2","b","")),Students!$A:$A,AP$2)+countifs(Students!$H:$H,$AK43,Students!$I:$I,$AK$2&amp;if($K43="S1","a",if($K43="S2","b","")),Students!$A:$A,AP$2)+countifs(Students!$J:$J,$AK43,Students!$K:$K,$AK$2&amp;if($K43="S1","a",if($K43="S2","b","")),Students!$A:$A,AP$2)+countifs(Students!$L:$L,$AK43,Students!$M:$M,$AK$2&amp;if($K43="S1","a",if($K43="S2","b","")),Students!$A:$A,AP$2)+countifs(Students!$N:$N,$AK43,Students!$O:$O,$AK$2&amp;if($K43="S1","a",if($K43="S2","b","")),Students!$A:$A,AP$2)+countifs(Students!$P:$P,$AK43,Students!$Q:$Q,$AK$2&amp;if($K43="S1","a",if($K43="S2","b","")),Students!$A:$A,AP$2)+countifs(Students!$R:$R,$AK43,Students!$S:$S,$AK$2&amp;if($K43="S1","a",if($K43="S2","b","")),Students!$A:$A,AP$2)+countifs(Students!$T:$T,$AK43,Students!$U:$U,$AK$2&amp;if($K43="S1","a",if($K43="S2","b","")),Students!$A:$A,AP$2)+countifs(Students!$V:$V,$AK43,Students!$W:$W,$AK$2&amp;if($K43="S1","a",if($K43="S2","b","")),Students!$A:$A,AP$2))</f>
        <v>131</v>
      </c>
      <c r="AQ43" s="102">
        <f>if($L43="","",countifs(Students!$D:$D,$P43,Students!$E:$E,$P$2&amp;if($K43="S1","a",if($K43="S2","b","")),Students!$A:$A,AQ$2)+countifs(Students!$F:$F,$P43,Students!$G:$G,$P$2&amp;if($K43="S1","a",if($K43="S2","b","")),Students!$A:$A,AQ$2)+countifs(Students!$H:$H,$P43,Students!$I:$I,$P$2&amp;if($K43="S1","a",if($K43="S2","b","")),Students!$A:$A,AQ$2)+countifs(Students!$J:$J,$P43,Students!$K:$K,$P$2&amp;if($K43="S1","a",if($K43="S2","b","")),Students!$A:$A,AQ$2)+countifs(Students!$L:$L,$P43,Students!$M:$M,$P$2&amp;if($K43="S1","a",if($K43="S2","b","")),Students!$A:$A,AQ$2)+countifs(Students!$N:$N,$P43,Students!$O:$O,$P$2&amp;if($K43="S1","a",if($K43="S2","b","")),Students!$A:$A,AQ$2)+countifs(Students!$P:$P,$P43,Students!$Q:$Q,$P$2&amp;if($K43="S1","a",if($K43="S2","b","")),Students!$A:$A,AQ$2)+countifs(Students!$R:$R,$P43,Students!$S:$S,$P$2&amp;if($K43="S1","a",if($K43="S2","b","")),Students!$A:$A,AQ$2)+countifs(Students!$T:$T,$P43,Students!$U:$U,$P$2&amp;if($K43="S1","a",if($K43="S2","b","")),Students!$A:$A,AQ$2)+countifs(Students!$V:$V,$P43,Students!$W:$W,$P$2&amp;if($K43="S1","a",if($K43="S2","b","")),Students!$A:$A,AQ$2)+
countifs(Students!$D:$D,$S43,Students!$E:$E,$S$2&amp;if($K43="S1","a",if($K43="S2","b","")),Students!$A:$A,AQ$2)+countifs(Students!$F:$F,$S43,Students!$G:$G,$S$2&amp;if($K43="S1","a",if($K43="S2","b","")),Students!$A:$A,AQ$2)+countifs(Students!$H:$H,$S43,Students!$I:$I,$S$2&amp;if($K43="S1","a",if($K43="S2","b","")),Students!$A:$A,AQ$2)+countifs(Students!$J:$J,$S43,Students!$K:$K,$S$2&amp;if($K43="S1","a",if($K43="S2","b","")),Students!$A:$A,AQ$2)+countifs(Students!$L:$L,$S43,Students!$M:$M,$S$2&amp;if($K43="S1","a",if($K43="S2","b","")),Students!$A:$A,AQ$2)+countifs(Students!$N:$N,$S43,Students!$O:$O,$S$2&amp;if($K43="S1","a",if($K43="S2","b","")),Students!$A:$A,AQ$2)+countifs(Students!$P:$P,$S43,Students!$Q:$Q,$S$2&amp;if($K43="S1","a",if($K43="S2","b","")),Students!$A:$A,AQ$2)+countifs(Students!$R:$R,$S43,Students!$S:$S,$S$2&amp;if($K43="S1","a",if($K43="S2","b","")),Students!$A:$A,AQ$2)+countifs(Students!$T:$T,$S43,Students!$U:$U,$S$2&amp;if($K43="S1","a",if($K43="S2","b","")),Students!$A:$A,AQ$2)+countifs(Students!$V:$V,$S43,Students!$W:$W,$S$2&amp;if($K43="S1","a",if($K43="S2","b","")),Students!$A:$A,AQ$2)+
countifs(Students!$D:$D,$V43,Students!$E:$E,$V$2&amp;if($K43="S1","a",if($K43="S2","b","")),Students!$A:$A,AQ$2)+countifs(Students!$F:$F,$V43,Students!$G:$G,$V$2&amp;if($K43="S1","a",if($K43="S2","b","")),Students!$A:$A,AQ$2)+countifs(Students!$H:$H,$V43,Students!$I:$I,$V$2&amp;if($K43="S1","a",if($K43="S2","b","")),Students!$A:$A,AQ$2)+countifs(Students!$J:$J,$V43,Students!$K:$K,$V$2&amp;if($K43="S1","a",if($K43="S2","b","")),Students!$A:$A,AQ$2)+countifs(Students!$L:$L,$V43,Students!$M:$M,$V$2&amp;if($K43="S1","a",if($K43="S2","b","")),Students!$A:$A,AQ$2)+countifs(Students!$N:$N,$V43,Students!$O:$O,$V$2&amp;if($K43="S1","a",if($K43="S2","b","")),Students!$A:$A,AQ$2)+countifs(Students!$P:$P,$V43,Students!$Q:$Q,$V$2&amp;if($K43="S1","a",if($K43="S2","b","")),Students!$A:$A,AQ$2)+countifs(Students!$R:$R,$V43,Students!$S:$S,$V$2&amp;if($K43="S1","a",if($K43="S2","b","")),Students!$A:$A,AQ$2)+countifs(Students!$T:$T,$V43,Students!$U:$U,$V$2&amp;if($K43="S1","a",if($K43="S2","b","")),Students!$A:$A,AQ$2)+countifs(Students!$V:$V,$V43,Students!$W:$W,$V$2&amp;if($K43="S1","a",if($K43="S2","b","")),Students!$A:$A,AQ$2)+
countifs(Students!$D:$D,$Y43,Students!$E:$E,$Y$2&amp;if($K43="S1","a",if($K43="S2","b","")),Students!$A:$A,AQ$2)+countifs(Students!$F:$F,$Y43,Students!$G:$G,$Y$2&amp;if($K43="S1","a",if($K43="S2","b","")),Students!$A:$A,AQ$2)+countifs(Students!$H:$H,$Y43,Students!$I:$I,$Y$2&amp;if($K43="S1","a",if($K43="S2","b","")),Students!$A:$A,AQ$2)+countifs(Students!$J:$J,$Y43,Students!$K:$K,$Y$2&amp;if($K43="S1","a",if($K43="S2","b","")),Students!$A:$A,AQ$2)+countifs(Students!$L:$L,$Y43,Students!$M:$M,$Y$2&amp;if($K43="S1","a",if($K43="S2","b","")),Students!$A:$A,AQ$2)+countifs(Students!$N:$N,$Y43,Students!$O:$O,$Y$2&amp;if($K43="S1","a",if($K43="S2","b","")),Students!$A:$A,AQ$2)+countifs(Students!$P:$P,$Y43,Students!$Q:$Q,$Y$2&amp;if($K43="S1","a",if($K43="S2","b","")),Students!$A:$A,AQ$2)+countifs(Students!$R:$R,$Y43,Students!$S:$S,$Y$2&amp;if($K43="S1","a",if($K43="S2","b","")),Students!$A:$A,AQ$2)+countifs(Students!$T:$T,$Y43,Students!$U:$U,$Y$2&amp;if($K43="S1","a",if($K43="S2","b","")),Students!$A:$A,AQ$2)+countifs(Students!$V:$V,$Y43,Students!$W:$W,$Y$2&amp;if($K43="S1","a",if($K43="S2","b","")),Students!$A:$A,AQ$2)+
countifs(Students!$D:$D,$AB43,Students!$E:$E,$AB$2&amp;if($K43="S1","a",if($K43="S2","b","")),Students!$A:$A,AQ$2)+countifs(Students!$F:$F,$AB43,Students!$G:$G,$AB$2&amp;if($K43="S1","a",if($K43="S2","b","")),Students!$A:$A,AQ$2)+countifs(Students!$H:$H,$AB43,Students!$I:$I,$AB$2&amp;if($K43="S1","a",if($K43="S2","b","")),Students!$A:$A,AQ$2)+countifs(Students!$J:$J,$AB43,Students!$K:$K,$AB$2&amp;if($K43="S1","a",if($K43="S2","b","")),Students!$A:$A,AQ$2)+countifs(Students!$L:$L,$AB43,Students!$M:$M,$AB$2&amp;if($K43="S1","a",if($K43="S2","b","")),Students!$A:$A,AQ$2)+countifs(Students!$N:$N,$AB43,Students!$O:$O,$AB$2&amp;if($K43="S1","a",if($K43="S2","b","")),Students!$A:$A,AQ$2)+countifs(Students!$P:$P,$AB43,Students!$Q:$Q,$AB$2&amp;if($K43="S1","a",if($K43="S2","b","")),Students!$A:$A,AQ$2)+countifs(Students!$R:$R,$AB43,Students!$S:$S,$AB$2&amp;if($K43="S1","a",if($K43="S2","b","")),Students!$A:$A,AQ$2)+countifs(Students!$T:$T,$AB43,Students!$U:$U,$AB$2&amp;if($K43="S1","a",if($K43="S2","b","")),Students!$A:$A,AQ$2)+countifs(Students!$V:$V,$AB43,Students!$W:$W,$AB$2&amp;if($K43="S1","a",if($K43="S2","b","")),Students!$A:$A,AQ$2)+
countifs(Students!$D:$D,$AE43,Students!$E:$E,$AE$2&amp;if($K43="S1","a",if($K43="S2","b","")),Students!$A:$A,AQ$2)+countifs(Students!$F:$F,$AE43,Students!$G:$G,$AE$2&amp;if($K43="S1","a",if($K43="S2","b","")),Students!$A:$A,AQ$2)+countifs(Students!$H:$H,$AE43,Students!$I:$I,$AE$2&amp;if($K43="S1","a",if($K43="S2","b","")),Students!$A:$A,AQ$2)+countifs(Students!$J:$J,$AE43,Students!$K:$K,$AE$2&amp;if($K43="S1","a",if($K43="S2","b","")),Students!$A:$A,AQ$2)+countifs(Students!$L:$L,$AE43,Students!$M:$M,$AE$2&amp;if($K43="S1","a",if($K43="S2","b","")),Students!$A:$A,AQ$2)+countifs(Students!$N:$N,$AE43,Students!$O:$O,$AE$2&amp;if($K43="S1","a",if($K43="S2","b","")),Students!$A:$A,AQ$2)+countifs(Students!$P:$P,$AE43,Students!$Q:$Q,$AE$2&amp;if($K43="S1","a",if($K43="S2","b","")),Students!$A:$A,AQ$2)+countifs(Students!$R:$R,$AE43,Students!$S:$S,$AE$2&amp;if($K43="S1","a",if($K43="S2","b","")),Students!$A:$A,AQ$2)+countifs(Students!$T:$T,$AE43,Students!$U:$U,$AE$2&amp;if($K43="S1","a",if($K43="S2","b","")),Students!$A:$A,AQ$2)+countifs(Students!$V:$V,$AE43,Students!$W:$W,$AE$2&amp;if($K43="S1","a",if($K43="S2","b","")),Students!$A:$A,AQ$2)+
countifs(Students!$D:$D,$AH43,Students!$E:$E,$AH$2&amp;if($K43="S1","a",if($K43="S2","b","")),Students!$A:$A,AQ$2)+countifs(Students!$F:$F,$AH43,Students!$G:$G,$AH$2&amp;if($K43="S1","a",if($K43="S2","b","")),Students!$A:$A,AQ$2)+countifs(Students!$H:$H,$AH43,Students!$I:$I,$AH$2&amp;if($K43="S1","a",if($K43="S2","b","")),Students!$A:$A,AQ$2)+countifs(Students!$J:$J,$AH43,Students!$K:$K,$AH$2&amp;if($K43="S1","a",if($K43="S2","b","")),Students!$A:$A,AQ$2)+countifs(Students!$L:$L,$AH43,Students!$M:$M,$AH$2&amp;if($K43="S1","a",if($K43="S2","b","")),Students!$A:$A,AQ$2)+countifs(Students!$N:$N,$AH43,Students!$O:$O,$AH$2&amp;if($K43="S1","a",if($K43="S2","b","")),Students!$A:$A,AQ$2)+countifs(Students!$P:$P,$AH43,Students!$Q:$Q,$AH$2&amp;if($K43="S1","a",if($K43="S2","b","")),Students!$A:$A,AQ$2)+countifs(Students!$R:$R,$AH43,Students!$S:$S,$AH$2&amp;if($K43="S1","a",if($K43="S2","b","")),Students!$A:$A,AQ$2)+countifs(Students!$T:$T,$AH43,Students!$U:$U,$AH$2&amp;if($K43="S1","a",if($K43="S2","b","")),Students!$A:$A,AQ$2)+countifs(Students!$V:$V,$AH43,Students!$W:$W,$AH$2&amp;if($K43="S1","a",if($K43="S2","b","")),Students!$A:$A,AQ$2)+
countifs(Students!$D:$D,$AK43,Students!$E:$E,$AK$2&amp;if($K43="S1","a",if($K43="S2","b","")),Students!$A:$A,AQ$2)+countifs(Students!$F:$F,$AK43,Students!$G:$G,$AK$2&amp;if($K43="S1","a",if($K43="S2","b","")),Students!$A:$A,AQ$2)+countifs(Students!$H:$H,$AK43,Students!$I:$I,$AK$2&amp;if($K43="S1","a",if($K43="S2","b","")),Students!$A:$A,AQ$2)+countifs(Students!$J:$J,$AK43,Students!$K:$K,$AK$2&amp;if($K43="S1","a",if($K43="S2","b","")),Students!$A:$A,AQ$2)+countifs(Students!$L:$L,$AK43,Students!$M:$M,$AK$2&amp;if($K43="S1","a",if($K43="S2","b","")),Students!$A:$A,AQ$2)+countifs(Students!$N:$N,$AK43,Students!$O:$O,$AK$2&amp;if($K43="S1","a",if($K43="S2","b","")),Students!$A:$A,AQ$2)+countifs(Students!$P:$P,$AK43,Students!$Q:$Q,$AK$2&amp;if($K43="S1","a",if($K43="S2","b","")),Students!$A:$A,AQ$2)+countifs(Students!$R:$R,$AK43,Students!$S:$S,$AK$2&amp;if($K43="S1","a",if($K43="S2","b","")),Students!$A:$A,AQ$2)+countifs(Students!$T:$T,$AK43,Students!$U:$U,$AK$2&amp;if($K43="S1","a",if($K43="S2","b","")),Students!$A:$A,AQ$2)+countifs(Students!$V:$V,$AK43,Students!$W:$W,$AK$2&amp;if($K43="S1","a",if($K43="S2","b","")),Students!$A:$A,AQ$2))</f>
        <v>0</v>
      </c>
      <c r="AR43" s="102">
        <f>if($L43="","",countifs(Students!$D:$D,$P43,Students!$E:$E,$P$2&amp;if($K43="S1","a",if($K43="S2","b","")),Students!$A:$A,AR$2)+countifs(Students!$F:$F,$P43,Students!$G:$G,$P$2&amp;if($K43="S1","a",if($K43="S2","b","")),Students!$A:$A,AR$2)+countifs(Students!$H:$H,$P43,Students!$I:$I,$P$2&amp;if($K43="S1","a",if($K43="S2","b","")),Students!$A:$A,AR$2)+countifs(Students!$J:$J,$P43,Students!$K:$K,$P$2&amp;if($K43="S1","a",if($K43="S2","b","")),Students!$A:$A,AR$2)+countifs(Students!$L:$L,$P43,Students!$M:$M,$P$2&amp;if($K43="S1","a",if($K43="S2","b","")),Students!$A:$A,AR$2)+countifs(Students!$N:$N,$P43,Students!$O:$O,$P$2&amp;if($K43="S1","a",if($K43="S2","b","")),Students!$A:$A,AR$2)+countifs(Students!$P:$P,$P43,Students!$Q:$Q,$P$2&amp;if($K43="S1","a",if($K43="S2","b","")),Students!$A:$A,AR$2)+countifs(Students!$R:$R,$P43,Students!$S:$S,$P$2&amp;if($K43="S1","a",if($K43="S2","b","")),Students!$A:$A,AR$2)+countifs(Students!$T:$T,$P43,Students!$U:$U,$P$2&amp;if($K43="S1","a",if($K43="S2","b","")),Students!$A:$A,AR$2)+countifs(Students!$V:$V,$P43,Students!$W:$W,$P$2&amp;if($K43="S1","a",if($K43="S2","b","")),Students!$A:$A,AR$2)+
countifs(Students!$D:$D,$S43,Students!$E:$E,$S$2&amp;if($K43="S1","a",if($K43="S2","b","")),Students!$A:$A,AR$2)+countifs(Students!$F:$F,$S43,Students!$G:$G,$S$2&amp;if($K43="S1","a",if($K43="S2","b","")),Students!$A:$A,AR$2)+countifs(Students!$H:$H,$S43,Students!$I:$I,$S$2&amp;if($K43="S1","a",if($K43="S2","b","")),Students!$A:$A,AR$2)+countifs(Students!$J:$J,$S43,Students!$K:$K,$S$2&amp;if($K43="S1","a",if($K43="S2","b","")),Students!$A:$A,AR$2)+countifs(Students!$L:$L,$S43,Students!$M:$M,$S$2&amp;if($K43="S1","a",if($K43="S2","b","")),Students!$A:$A,AR$2)+countifs(Students!$N:$N,$S43,Students!$O:$O,$S$2&amp;if($K43="S1","a",if($K43="S2","b","")),Students!$A:$A,AR$2)+countifs(Students!$P:$P,$S43,Students!$Q:$Q,$S$2&amp;if($K43="S1","a",if($K43="S2","b","")),Students!$A:$A,AR$2)+countifs(Students!$R:$R,$S43,Students!$S:$S,$S$2&amp;if($K43="S1","a",if($K43="S2","b","")),Students!$A:$A,AR$2)+countifs(Students!$T:$T,$S43,Students!$U:$U,$S$2&amp;if($K43="S1","a",if($K43="S2","b","")),Students!$A:$A,AR$2)+countifs(Students!$V:$V,$S43,Students!$W:$W,$S$2&amp;if($K43="S1","a",if($K43="S2","b","")),Students!$A:$A,AR$2)+
countifs(Students!$D:$D,$V43,Students!$E:$E,$V$2&amp;if($K43="S1","a",if($K43="S2","b","")),Students!$A:$A,AR$2)+countifs(Students!$F:$F,$V43,Students!$G:$G,$V$2&amp;if($K43="S1","a",if($K43="S2","b","")),Students!$A:$A,AR$2)+countifs(Students!$H:$H,$V43,Students!$I:$I,$V$2&amp;if($K43="S1","a",if($K43="S2","b","")),Students!$A:$A,AR$2)+countifs(Students!$J:$J,$V43,Students!$K:$K,$V$2&amp;if($K43="S1","a",if($K43="S2","b","")),Students!$A:$A,AR$2)+countifs(Students!$L:$L,$V43,Students!$M:$M,$V$2&amp;if($K43="S1","a",if($K43="S2","b","")),Students!$A:$A,AR$2)+countifs(Students!$N:$N,$V43,Students!$O:$O,$V$2&amp;if($K43="S1","a",if($K43="S2","b","")),Students!$A:$A,AR$2)+countifs(Students!$P:$P,$V43,Students!$Q:$Q,$V$2&amp;if($K43="S1","a",if($K43="S2","b","")),Students!$A:$A,AR$2)+countifs(Students!$R:$R,$V43,Students!$S:$S,$V$2&amp;if($K43="S1","a",if($K43="S2","b","")),Students!$A:$A,AR$2)+countifs(Students!$T:$T,$V43,Students!$U:$U,$V$2&amp;if($K43="S1","a",if($K43="S2","b","")),Students!$A:$A,AR$2)+countifs(Students!$V:$V,$V43,Students!$W:$W,$V$2&amp;if($K43="S1","a",if($K43="S2","b","")),Students!$A:$A,AR$2)+
countifs(Students!$D:$D,$Y43,Students!$E:$E,$Y$2&amp;if($K43="S1","a",if($K43="S2","b","")),Students!$A:$A,AR$2)+countifs(Students!$F:$F,$Y43,Students!$G:$G,$Y$2&amp;if($K43="S1","a",if($K43="S2","b","")),Students!$A:$A,AR$2)+countifs(Students!$H:$H,$Y43,Students!$I:$I,$Y$2&amp;if($K43="S1","a",if($K43="S2","b","")),Students!$A:$A,AR$2)+countifs(Students!$J:$J,$Y43,Students!$K:$K,$Y$2&amp;if($K43="S1","a",if($K43="S2","b","")),Students!$A:$A,AR$2)+countifs(Students!$L:$L,$Y43,Students!$M:$M,$Y$2&amp;if($K43="S1","a",if($K43="S2","b","")),Students!$A:$A,AR$2)+countifs(Students!$N:$N,$Y43,Students!$O:$O,$Y$2&amp;if($K43="S1","a",if($K43="S2","b","")),Students!$A:$A,AR$2)+countifs(Students!$P:$P,$Y43,Students!$Q:$Q,$Y$2&amp;if($K43="S1","a",if($K43="S2","b","")),Students!$A:$A,AR$2)+countifs(Students!$R:$R,$Y43,Students!$S:$S,$Y$2&amp;if($K43="S1","a",if($K43="S2","b","")),Students!$A:$A,AR$2)+countifs(Students!$T:$T,$Y43,Students!$U:$U,$Y$2&amp;if($K43="S1","a",if($K43="S2","b","")),Students!$A:$A,AR$2)+countifs(Students!$V:$V,$Y43,Students!$W:$W,$Y$2&amp;if($K43="S1","a",if($K43="S2","b","")),Students!$A:$A,AR$2)+
countifs(Students!$D:$D,$AB43,Students!$E:$E,$AB$2&amp;if($K43="S1","a",if($K43="S2","b","")),Students!$A:$A,AR$2)+countifs(Students!$F:$F,$AB43,Students!$G:$G,$AB$2&amp;if($K43="S1","a",if($K43="S2","b","")),Students!$A:$A,AR$2)+countifs(Students!$H:$H,$AB43,Students!$I:$I,$AB$2&amp;if($K43="S1","a",if($K43="S2","b","")),Students!$A:$A,AR$2)+countifs(Students!$J:$J,$AB43,Students!$K:$K,$AB$2&amp;if($K43="S1","a",if($K43="S2","b","")),Students!$A:$A,AR$2)+countifs(Students!$L:$L,$AB43,Students!$M:$M,$AB$2&amp;if($K43="S1","a",if($K43="S2","b","")),Students!$A:$A,AR$2)+countifs(Students!$N:$N,$AB43,Students!$O:$O,$AB$2&amp;if($K43="S1","a",if($K43="S2","b","")),Students!$A:$A,AR$2)+countifs(Students!$P:$P,$AB43,Students!$Q:$Q,$AB$2&amp;if($K43="S1","a",if($K43="S2","b","")),Students!$A:$A,AR$2)+countifs(Students!$R:$R,$AB43,Students!$S:$S,$AB$2&amp;if($K43="S1","a",if($K43="S2","b","")),Students!$A:$A,AR$2)+countifs(Students!$T:$T,$AB43,Students!$U:$U,$AB$2&amp;if($K43="S1","a",if($K43="S2","b","")),Students!$A:$A,AR$2)+countifs(Students!$V:$V,$AB43,Students!$W:$W,$AB$2&amp;if($K43="S1","a",if($K43="S2","b","")),Students!$A:$A,AR$2)+
countifs(Students!$D:$D,$AE43,Students!$E:$E,$AE$2&amp;if($K43="S1","a",if($K43="S2","b","")),Students!$A:$A,AR$2)+countifs(Students!$F:$F,$AE43,Students!$G:$G,$AE$2&amp;if($K43="S1","a",if($K43="S2","b","")),Students!$A:$A,AR$2)+countifs(Students!$H:$H,$AE43,Students!$I:$I,$AE$2&amp;if($K43="S1","a",if($K43="S2","b","")),Students!$A:$A,AR$2)+countifs(Students!$J:$J,$AE43,Students!$K:$K,$AE$2&amp;if($K43="S1","a",if($K43="S2","b","")),Students!$A:$A,AR$2)+countifs(Students!$L:$L,$AE43,Students!$M:$M,$AE$2&amp;if($K43="S1","a",if($K43="S2","b","")),Students!$A:$A,AR$2)+countifs(Students!$N:$N,$AE43,Students!$O:$O,$AE$2&amp;if($K43="S1","a",if($K43="S2","b","")),Students!$A:$A,AR$2)+countifs(Students!$P:$P,$AE43,Students!$Q:$Q,$AE$2&amp;if($K43="S1","a",if($K43="S2","b","")),Students!$A:$A,AR$2)+countifs(Students!$R:$R,$AE43,Students!$S:$S,$AE$2&amp;if($K43="S1","a",if($K43="S2","b","")),Students!$A:$A,AR$2)+countifs(Students!$T:$T,$AE43,Students!$U:$U,$AE$2&amp;if($K43="S1","a",if($K43="S2","b","")),Students!$A:$A,AR$2)+countifs(Students!$V:$V,$AE43,Students!$W:$W,$AE$2&amp;if($K43="S1","a",if($K43="S2","b","")),Students!$A:$A,AR$2)+
countifs(Students!$D:$D,$AH43,Students!$E:$E,$AH$2&amp;if($K43="S1","a",if($K43="S2","b","")),Students!$A:$A,AR$2)+countifs(Students!$F:$F,$AH43,Students!$G:$G,$AH$2&amp;if($K43="S1","a",if($K43="S2","b","")),Students!$A:$A,AR$2)+countifs(Students!$H:$H,$AH43,Students!$I:$I,$AH$2&amp;if($K43="S1","a",if($K43="S2","b","")),Students!$A:$A,AR$2)+countifs(Students!$J:$J,$AH43,Students!$K:$K,$AH$2&amp;if($K43="S1","a",if($K43="S2","b","")),Students!$A:$A,AR$2)+countifs(Students!$L:$L,$AH43,Students!$M:$M,$AH$2&amp;if($K43="S1","a",if($K43="S2","b","")),Students!$A:$A,AR$2)+countifs(Students!$N:$N,$AH43,Students!$O:$O,$AH$2&amp;if($K43="S1","a",if($K43="S2","b","")),Students!$A:$A,AR$2)+countifs(Students!$P:$P,$AH43,Students!$Q:$Q,$AH$2&amp;if($K43="S1","a",if($K43="S2","b","")),Students!$A:$A,AR$2)+countifs(Students!$R:$R,$AH43,Students!$S:$S,$AH$2&amp;if($K43="S1","a",if($K43="S2","b","")),Students!$A:$A,AR$2)+countifs(Students!$T:$T,$AH43,Students!$U:$U,$AH$2&amp;if($K43="S1","a",if($K43="S2","b","")),Students!$A:$A,AR$2)+countifs(Students!$V:$V,$AH43,Students!$W:$W,$AH$2&amp;if($K43="S1","a",if($K43="S2","b","")),Students!$A:$A,AR$2)+
countifs(Students!$D:$D,$AK43,Students!$E:$E,$AK$2&amp;if($K43="S1","a",if($K43="S2","b","")),Students!$A:$A,AR$2)+countifs(Students!$F:$F,$AK43,Students!$G:$G,$AK$2&amp;if($K43="S1","a",if($K43="S2","b","")),Students!$A:$A,AR$2)+countifs(Students!$H:$H,$AK43,Students!$I:$I,$AK$2&amp;if($K43="S1","a",if($K43="S2","b","")),Students!$A:$A,AR$2)+countifs(Students!$J:$J,$AK43,Students!$K:$K,$AK$2&amp;if($K43="S1","a",if($K43="S2","b","")),Students!$A:$A,AR$2)+countifs(Students!$L:$L,$AK43,Students!$M:$M,$AK$2&amp;if($K43="S1","a",if($K43="S2","b","")),Students!$A:$A,AR$2)+countifs(Students!$N:$N,$AK43,Students!$O:$O,$AK$2&amp;if($K43="S1","a",if($K43="S2","b","")),Students!$A:$A,AR$2)+countifs(Students!$P:$P,$AK43,Students!$Q:$Q,$AK$2&amp;if($K43="S1","a",if($K43="S2","b","")),Students!$A:$A,AR$2)+countifs(Students!$R:$R,$AK43,Students!$S:$S,$AK$2&amp;if($K43="S1","a",if($K43="S2","b","")),Students!$A:$A,AR$2)+countifs(Students!$T:$T,$AK43,Students!$U:$U,$AK$2&amp;if($K43="S1","a",if($K43="S2","b","")),Students!$A:$A,AR$2)+countifs(Students!$V:$V,$AK43,Students!$W:$W,$AK$2&amp;if($K43="S1","a",if($K43="S2","b","")),Students!$A:$A,AR$2))</f>
        <v>0</v>
      </c>
      <c r="AS43" s="102">
        <f>if($L43="","",countifs(Students!$D:$D,$P43,Students!$E:$E,$P$2&amp;if($K43="S1","a",if($K43="S2","b","")),Students!$A:$A,AS$2)+countifs(Students!$F:$F,$P43,Students!$G:$G,$P$2&amp;if($K43="S1","a",if($K43="S2","b","")),Students!$A:$A,AS$2)+countifs(Students!$H:$H,$P43,Students!$I:$I,$P$2&amp;if($K43="S1","a",if($K43="S2","b","")),Students!$A:$A,AS$2)+countifs(Students!$J:$J,$P43,Students!$K:$K,$P$2&amp;if($K43="S1","a",if($K43="S2","b","")),Students!$A:$A,AS$2)+countifs(Students!$L:$L,$P43,Students!$M:$M,$P$2&amp;if($K43="S1","a",if($K43="S2","b","")),Students!$A:$A,AS$2)+countifs(Students!$N:$N,$P43,Students!$O:$O,$P$2&amp;if($K43="S1","a",if($K43="S2","b","")),Students!$A:$A,AS$2)+countifs(Students!$P:$P,$P43,Students!$Q:$Q,$P$2&amp;if($K43="S1","a",if($K43="S2","b","")),Students!$A:$A,AS$2)+countifs(Students!$R:$R,$P43,Students!$S:$S,$P$2&amp;if($K43="S1","a",if($K43="S2","b","")),Students!$A:$A,AS$2)+countifs(Students!$T:$T,$P43,Students!$U:$U,$P$2&amp;if($K43="S1","a",if($K43="S2","b","")),Students!$A:$A,AS$2)+countifs(Students!$V:$V,$P43,Students!$W:$W,$P$2&amp;if($K43="S1","a",if($K43="S2","b","")),Students!$A:$A,AS$2)+
countifs(Students!$D:$D,$S43,Students!$E:$E,$S$2&amp;if($K43="S1","a",if($K43="S2","b","")),Students!$A:$A,AS$2)+countifs(Students!$F:$F,$S43,Students!$G:$G,$S$2&amp;if($K43="S1","a",if($K43="S2","b","")),Students!$A:$A,AS$2)+countifs(Students!$H:$H,$S43,Students!$I:$I,$S$2&amp;if($K43="S1","a",if($K43="S2","b","")),Students!$A:$A,AS$2)+countifs(Students!$J:$J,$S43,Students!$K:$K,$S$2&amp;if($K43="S1","a",if($K43="S2","b","")),Students!$A:$A,AS$2)+countifs(Students!$L:$L,$S43,Students!$M:$M,$S$2&amp;if($K43="S1","a",if($K43="S2","b","")),Students!$A:$A,AS$2)+countifs(Students!$N:$N,$S43,Students!$O:$O,$S$2&amp;if($K43="S1","a",if($K43="S2","b","")),Students!$A:$A,AS$2)+countifs(Students!$P:$P,$S43,Students!$Q:$Q,$S$2&amp;if($K43="S1","a",if($K43="S2","b","")),Students!$A:$A,AS$2)+countifs(Students!$R:$R,$S43,Students!$S:$S,$S$2&amp;if($K43="S1","a",if($K43="S2","b","")),Students!$A:$A,AS$2)+countifs(Students!$T:$T,$S43,Students!$U:$U,$S$2&amp;if($K43="S1","a",if($K43="S2","b","")),Students!$A:$A,AS$2)+countifs(Students!$V:$V,$S43,Students!$W:$W,$S$2&amp;if($K43="S1","a",if($K43="S2","b","")),Students!$A:$A,AS$2)+
countifs(Students!$D:$D,$V43,Students!$E:$E,$V$2&amp;if($K43="S1","a",if($K43="S2","b","")),Students!$A:$A,AS$2)+countifs(Students!$F:$F,$V43,Students!$G:$G,$V$2&amp;if($K43="S1","a",if($K43="S2","b","")),Students!$A:$A,AS$2)+countifs(Students!$H:$H,$V43,Students!$I:$I,$V$2&amp;if($K43="S1","a",if($K43="S2","b","")),Students!$A:$A,AS$2)+countifs(Students!$J:$J,$V43,Students!$K:$K,$V$2&amp;if($K43="S1","a",if($K43="S2","b","")),Students!$A:$A,AS$2)+countifs(Students!$L:$L,$V43,Students!$M:$M,$V$2&amp;if($K43="S1","a",if($K43="S2","b","")),Students!$A:$A,AS$2)+countifs(Students!$N:$N,$V43,Students!$O:$O,$V$2&amp;if($K43="S1","a",if($K43="S2","b","")),Students!$A:$A,AS$2)+countifs(Students!$P:$P,$V43,Students!$Q:$Q,$V$2&amp;if($K43="S1","a",if($K43="S2","b","")),Students!$A:$A,AS$2)+countifs(Students!$R:$R,$V43,Students!$S:$S,$V$2&amp;if($K43="S1","a",if($K43="S2","b","")),Students!$A:$A,AS$2)+countifs(Students!$T:$T,$V43,Students!$U:$U,$V$2&amp;if($K43="S1","a",if($K43="S2","b","")),Students!$A:$A,AS$2)+countifs(Students!$V:$V,$V43,Students!$W:$W,$V$2&amp;if($K43="S1","a",if($K43="S2","b","")),Students!$A:$A,AS$2)+
countifs(Students!$D:$D,$Y43,Students!$E:$E,$Y$2&amp;if($K43="S1","a",if($K43="S2","b","")),Students!$A:$A,AS$2)+countifs(Students!$F:$F,$Y43,Students!$G:$G,$Y$2&amp;if($K43="S1","a",if($K43="S2","b","")),Students!$A:$A,AS$2)+countifs(Students!$H:$H,$Y43,Students!$I:$I,$Y$2&amp;if($K43="S1","a",if($K43="S2","b","")),Students!$A:$A,AS$2)+countifs(Students!$J:$J,$Y43,Students!$K:$K,$Y$2&amp;if($K43="S1","a",if($K43="S2","b","")),Students!$A:$A,AS$2)+countifs(Students!$L:$L,$Y43,Students!$M:$M,$Y$2&amp;if($K43="S1","a",if($K43="S2","b","")),Students!$A:$A,AS$2)+countifs(Students!$N:$N,$Y43,Students!$O:$O,$Y$2&amp;if($K43="S1","a",if($K43="S2","b","")),Students!$A:$A,AS$2)+countifs(Students!$P:$P,$Y43,Students!$Q:$Q,$Y$2&amp;if($K43="S1","a",if($K43="S2","b","")),Students!$A:$A,AS$2)+countifs(Students!$R:$R,$Y43,Students!$S:$S,$Y$2&amp;if($K43="S1","a",if($K43="S2","b","")),Students!$A:$A,AS$2)+countifs(Students!$T:$T,$Y43,Students!$U:$U,$Y$2&amp;if($K43="S1","a",if($K43="S2","b","")),Students!$A:$A,AS$2)+countifs(Students!$V:$V,$Y43,Students!$W:$W,$Y$2&amp;if($K43="S1","a",if($K43="S2","b","")),Students!$A:$A,AS$2)+
countifs(Students!$D:$D,$AB43,Students!$E:$E,$AB$2&amp;if($K43="S1","a",if($K43="S2","b","")),Students!$A:$A,AS$2)+countifs(Students!$F:$F,$AB43,Students!$G:$G,$AB$2&amp;if($K43="S1","a",if($K43="S2","b","")),Students!$A:$A,AS$2)+countifs(Students!$H:$H,$AB43,Students!$I:$I,$AB$2&amp;if($K43="S1","a",if($K43="S2","b","")),Students!$A:$A,AS$2)+countifs(Students!$J:$J,$AB43,Students!$K:$K,$AB$2&amp;if($K43="S1","a",if($K43="S2","b","")),Students!$A:$A,AS$2)+countifs(Students!$L:$L,$AB43,Students!$M:$M,$AB$2&amp;if($K43="S1","a",if($K43="S2","b","")),Students!$A:$A,AS$2)+countifs(Students!$N:$N,$AB43,Students!$O:$O,$AB$2&amp;if($K43="S1","a",if($K43="S2","b","")),Students!$A:$A,AS$2)+countifs(Students!$P:$P,$AB43,Students!$Q:$Q,$AB$2&amp;if($K43="S1","a",if($K43="S2","b","")),Students!$A:$A,AS$2)+countifs(Students!$R:$R,$AB43,Students!$S:$S,$AB$2&amp;if($K43="S1","a",if($K43="S2","b","")),Students!$A:$A,AS$2)+countifs(Students!$T:$T,$AB43,Students!$U:$U,$AB$2&amp;if($K43="S1","a",if($K43="S2","b","")),Students!$A:$A,AS$2)+countifs(Students!$V:$V,$AB43,Students!$W:$W,$AB$2&amp;if($K43="S1","a",if($K43="S2","b","")),Students!$A:$A,AS$2)+
countifs(Students!$D:$D,$AE43,Students!$E:$E,$AE$2&amp;if($K43="S1","a",if($K43="S2","b","")),Students!$A:$A,AS$2)+countifs(Students!$F:$F,$AE43,Students!$G:$G,$AE$2&amp;if($K43="S1","a",if($K43="S2","b","")),Students!$A:$A,AS$2)+countifs(Students!$H:$H,$AE43,Students!$I:$I,$AE$2&amp;if($K43="S1","a",if($K43="S2","b","")),Students!$A:$A,AS$2)+countifs(Students!$J:$J,$AE43,Students!$K:$K,$AE$2&amp;if($K43="S1","a",if($K43="S2","b","")),Students!$A:$A,AS$2)+countifs(Students!$L:$L,$AE43,Students!$M:$M,$AE$2&amp;if($K43="S1","a",if($K43="S2","b","")),Students!$A:$A,AS$2)+countifs(Students!$N:$N,$AE43,Students!$O:$O,$AE$2&amp;if($K43="S1","a",if($K43="S2","b","")),Students!$A:$A,AS$2)+countifs(Students!$P:$P,$AE43,Students!$Q:$Q,$AE$2&amp;if($K43="S1","a",if($K43="S2","b","")),Students!$A:$A,AS$2)+countifs(Students!$R:$R,$AE43,Students!$S:$S,$AE$2&amp;if($K43="S1","a",if($K43="S2","b","")),Students!$A:$A,AS$2)+countifs(Students!$T:$T,$AE43,Students!$U:$U,$AE$2&amp;if($K43="S1","a",if($K43="S2","b","")),Students!$A:$A,AS$2)+countifs(Students!$V:$V,$AE43,Students!$W:$W,$AE$2&amp;if($K43="S1","a",if($K43="S2","b","")),Students!$A:$A,AS$2)+
countifs(Students!$D:$D,$AH43,Students!$E:$E,$AH$2&amp;if($K43="S1","a",if($K43="S2","b","")),Students!$A:$A,AS$2)+countifs(Students!$F:$F,$AH43,Students!$G:$G,$AH$2&amp;if($K43="S1","a",if($K43="S2","b","")),Students!$A:$A,AS$2)+countifs(Students!$H:$H,$AH43,Students!$I:$I,$AH$2&amp;if($K43="S1","a",if($K43="S2","b","")),Students!$A:$A,AS$2)+countifs(Students!$J:$J,$AH43,Students!$K:$K,$AH$2&amp;if($K43="S1","a",if($K43="S2","b","")),Students!$A:$A,AS$2)+countifs(Students!$L:$L,$AH43,Students!$M:$M,$AH$2&amp;if($K43="S1","a",if($K43="S2","b","")),Students!$A:$A,AS$2)+countifs(Students!$N:$N,$AH43,Students!$O:$O,$AH$2&amp;if($K43="S1","a",if($K43="S2","b","")),Students!$A:$A,AS$2)+countifs(Students!$P:$P,$AH43,Students!$Q:$Q,$AH$2&amp;if($K43="S1","a",if($K43="S2","b","")),Students!$A:$A,AS$2)+countifs(Students!$R:$R,$AH43,Students!$S:$S,$AH$2&amp;if($K43="S1","a",if($K43="S2","b","")),Students!$A:$A,AS$2)+countifs(Students!$T:$T,$AH43,Students!$U:$U,$AH$2&amp;if($K43="S1","a",if($K43="S2","b","")),Students!$A:$A,AS$2)+countifs(Students!$V:$V,$AH43,Students!$W:$W,$AH$2&amp;if($K43="S1","a",if($K43="S2","b","")),Students!$A:$A,AS$2)+
countifs(Students!$D:$D,$AK43,Students!$E:$E,$AK$2&amp;if($K43="S1","a",if($K43="S2","b","")),Students!$A:$A,AS$2)+countifs(Students!$F:$F,$AK43,Students!$G:$G,$AK$2&amp;if($K43="S1","a",if($K43="S2","b","")),Students!$A:$A,AS$2)+countifs(Students!$H:$H,$AK43,Students!$I:$I,$AK$2&amp;if($K43="S1","a",if($K43="S2","b","")),Students!$A:$A,AS$2)+countifs(Students!$J:$J,$AK43,Students!$K:$K,$AK$2&amp;if($K43="S1","a",if($K43="S2","b","")),Students!$A:$A,AS$2)+countifs(Students!$L:$L,$AK43,Students!$M:$M,$AK$2&amp;if($K43="S1","a",if($K43="S2","b","")),Students!$A:$A,AS$2)+countifs(Students!$N:$N,$AK43,Students!$O:$O,$AK$2&amp;if($K43="S1","a",if($K43="S2","b","")),Students!$A:$A,AS$2)+countifs(Students!$P:$P,$AK43,Students!$Q:$Q,$AK$2&amp;if($K43="S1","a",if($K43="S2","b","")),Students!$A:$A,AS$2)+countifs(Students!$R:$R,$AK43,Students!$S:$S,$AK$2&amp;if($K43="S1","a",if($K43="S2","b","")),Students!$A:$A,AS$2)+countifs(Students!$T:$T,$AK43,Students!$U:$U,$AK$2&amp;if($K43="S1","a",if($K43="S2","b","")),Students!$A:$A,AS$2)+countifs(Students!$V:$V,$AK43,Students!$W:$W,$AK$2&amp;if($K43="S1","a",if($K43="S2","b","")),Students!$A:$A,AS$2))</f>
        <v>0</v>
      </c>
    </row>
    <row r="44">
      <c r="J44" s="87">
        <v>139.0</v>
      </c>
      <c r="K44" s="88"/>
      <c r="L44" s="125" t="s">
        <v>129</v>
      </c>
      <c r="M44" s="107"/>
      <c r="N44" s="87">
        <v>1.0</v>
      </c>
      <c r="O44" s="87">
        <f>IFERROR(__xludf.DUMMYFUNCTION("3*counta((transpose(filter(P44:AM44,P44:AM44&lt;&gt;"""",isnumber(P44:AM44)=false))))"),18.0)</f>
        <v>18</v>
      </c>
      <c r="P44" s="91" t="s">
        <v>130</v>
      </c>
      <c r="Q44" s="101">
        <v>1.0</v>
      </c>
      <c r="R44" s="98">
        <v>25.0</v>
      </c>
      <c r="S44" s="91" t="s">
        <v>130</v>
      </c>
      <c r="T44" s="101">
        <v>2.0</v>
      </c>
      <c r="U44" s="98">
        <v>18.0</v>
      </c>
      <c r="V44" s="124"/>
      <c r="W44" s="124"/>
      <c r="X44" s="98" t="s">
        <v>22</v>
      </c>
      <c r="Y44" s="90" t="s">
        <v>130</v>
      </c>
      <c r="Z44" s="101">
        <v>3.0</v>
      </c>
      <c r="AA44" s="98">
        <v>23.0</v>
      </c>
      <c r="AB44" s="91" t="s">
        <v>130</v>
      </c>
      <c r="AC44" s="101">
        <v>4.0</v>
      </c>
      <c r="AD44" s="98">
        <v>25.0</v>
      </c>
      <c r="AE44" s="90" t="s">
        <v>130</v>
      </c>
      <c r="AF44" s="101">
        <v>5.0</v>
      </c>
      <c r="AG44" s="92">
        <v>24.0</v>
      </c>
      <c r="AH44" s="91" t="s">
        <v>130</v>
      </c>
      <c r="AI44" s="96">
        <v>6.0</v>
      </c>
      <c r="AJ44" s="92">
        <v>24.0</v>
      </c>
      <c r="AK44" s="91"/>
      <c r="AL44" s="98"/>
      <c r="AM44" s="98" t="s">
        <v>22</v>
      </c>
      <c r="AN44" s="99"/>
      <c r="AO44" s="52">
        <f t="shared" si="2"/>
        <v>139</v>
      </c>
      <c r="AP44" s="102">
        <f>if($L44="","",countifs(Students!$D:$D,$P44,Students!$E:$E,$P$2&amp;if($K44="S1","a",if($K44="S2","b","")),Students!$A:$A,AP$2)+countifs(Students!$F:$F,$P44,Students!$G:$G,$P$2&amp;if($K44="S1","a",if($K44="S2","b","")),Students!$A:$A,AP$2)+countifs(Students!$H:$H,$P44,Students!$I:$I,$P$2&amp;if($K44="S1","a",if($K44="S2","b","")),Students!$A:$A,AP$2)+countifs(Students!$J:$J,$P44,Students!$K:$K,$P$2&amp;if($K44="S1","a",if($K44="S2","b","")),Students!$A:$A,AP$2)+countifs(Students!$L:$L,$P44,Students!$M:$M,$P$2&amp;if($K44="S1","a",if($K44="S2","b","")),Students!$A:$A,AP$2)+countifs(Students!$N:$N,$P44,Students!$O:$O,$P$2&amp;if($K44="S1","a",if($K44="S2","b","")),Students!$A:$A,AP$2)+countifs(Students!$P:$P,$P44,Students!$Q:$Q,$P$2&amp;if($K44="S1","a",if($K44="S2","b","")),Students!$A:$A,AP$2)+countifs(Students!$R:$R,$P44,Students!$S:$S,$P$2&amp;if($K44="S1","a",if($K44="S2","b","")),Students!$A:$A,AP$2)+countifs(Students!$T:$T,$P44,Students!$U:$U,$P$2&amp;if($K44="S1","a",if($K44="S2","b","")),Students!$A:$A,AP$2)+countifs(Students!$V:$V,$P44,Students!$W:$W,$P$2&amp;if($K44="S1","a",if($K44="S2","b","")),Students!$A:$A,AP$2)+
countifs(Students!$D:$D,$S44,Students!$E:$E,$S$2&amp;if($K44="S1","a",if($K44="S2","b","")),Students!$A:$A,AP$2)+countifs(Students!$F:$F,$S44,Students!$G:$G,$S$2&amp;if($K44="S1","a",if($K44="S2","b","")),Students!$A:$A,AP$2)+countifs(Students!$H:$H,$S44,Students!$I:$I,$S$2&amp;if($K44="S1","a",if($K44="S2","b","")),Students!$A:$A,AP$2)+countifs(Students!$J:$J,$S44,Students!$K:$K,$S$2&amp;if($K44="S1","a",if($K44="S2","b","")),Students!$A:$A,AP$2)+countifs(Students!$L:$L,$S44,Students!$M:$M,$S$2&amp;if($K44="S1","a",if($K44="S2","b","")),Students!$A:$A,AP$2)+countifs(Students!$N:$N,$S44,Students!$O:$O,$S$2&amp;if($K44="S1","a",if($K44="S2","b","")),Students!$A:$A,AP$2)+countifs(Students!$P:$P,$S44,Students!$Q:$Q,$S$2&amp;if($K44="S1","a",if($K44="S2","b","")),Students!$A:$A,AP$2)+countifs(Students!$R:$R,$S44,Students!$S:$S,$S$2&amp;if($K44="S1","a",if($K44="S2","b","")),Students!$A:$A,AP$2)+countifs(Students!$T:$T,$S44,Students!$U:$U,$S$2&amp;if($K44="S1","a",if($K44="S2","b","")),Students!$A:$A,AP$2)+countifs(Students!$V:$V,$S44,Students!$W:$W,$S$2&amp;if($K44="S1","a",if($K44="S2","b","")),Students!$A:$A,AP$2)+
countifs(Students!$D:$D,$V44,Students!$E:$E,$V$2&amp;if($K44="S1","a",if($K44="S2","b","")),Students!$A:$A,AP$2)+countifs(Students!$F:$F,$V44,Students!$G:$G,$V$2&amp;if($K44="S1","a",if($K44="S2","b","")),Students!$A:$A,AP$2)+countifs(Students!$H:$H,$V44,Students!$I:$I,$V$2&amp;if($K44="S1","a",if($K44="S2","b","")),Students!$A:$A,AP$2)+countifs(Students!$J:$J,$V44,Students!$K:$K,$V$2&amp;if($K44="S1","a",if($K44="S2","b","")),Students!$A:$A,AP$2)+countifs(Students!$L:$L,$V44,Students!$M:$M,$V$2&amp;if($K44="S1","a",if($K44="S2","b","")),Students!$A:$A,AP$2)+countifs(Students!$N:$N,$V44,Students!$O:$O,$V$2&amp;if($K44="S1","a",if($K44="S2","b","")),Students!$A:$A,AP$2)+countifs(Students!$P:$P,$V44,Students!$Q:$Q,$V$2&amp;if($K44="S1","a",if($K44="S2","b","")),Students!$A:$A,AP$2)+countifs(Students!$R:$R,$V44,Students!$S:$S,$V$2&amp;if($K44="S1","a",if($K44="S2","b","")),Students!$A:$A,AP$2)+countifs(Students!$T:$T,$V44,Students!$U:$U,$V$2&amp;if($K44="S1","a",if($K44="S2","b","")),Students!$A:$A,AP$2)+countifs(Students!$V:$V,$V44,Students!$W:$W,$V$2&amp;if($K44="S1","a",if($K44="S2","b","")),Students!$A:$A,AP$2)+
countifs(Students!$D:$D,$Y44,Students!$E:$E,$Y$2&amp;if($K44="S1","a",if($K44="S2","b","")),Students!$A:$A,AP$2)+countifs(Students!$F:$F,$Y44,Students!$G:$G,$Y$2&amp;if($K44="S1","a",if($K44="S2","b","")),Students!$A:$A,AP$2)+countifs(Students!$H:$H,$Y44,Students!$I:$I,$Y$2&amp;if($K44="S1","a",if($K44="S2","b","")),Students!$A:$A,AP$2)+countifs(Students!$J:$J,$Y44,Students!$K:$K,$Y$2&amp;if($K44="S1","a",if($K44="S2","b","")),Students!$A:$A,AP$2)+countifs(Students!$L:$L,$Y44,Students!$M:$M,$Y$2&amp;if($K44="S1","a",if($K44="S2","b","")),Students!$A:$A,AP$2)+countifs(Students!$N:$N,$Y44,Students!$O:$O,$Y$2&amp;if($K44="S1","a",if($K44="S2","b","")),Students!$A:$A,AP$2)+countifs(Students!$P:$P,$Y44,Students!$Q:$Q,$Y$2&amp;if($K44="S1","a",if($K44="S2","b","")),Students!$A:$A,AP$2)+countifs(Students!$R:$R,$Y44,Students!$S:$S,$Y$2&amp;if($K44="S1","a",if($K44="S2","b","")),Students!$A:$A,AP$2)+countifs(Students!$T:$T,$Y44,Students!$U:$U,$Y$2&amp;if($K44="S1","a",if($K44="S2","b","")),Students!$A:$A,AP$2)+countifs(Students!$V:$V,$Y44,Students!$W:$W,$Y$2&amp;if($K44="S1","a",if($K44="S2","b","")),Students!$A:$A,AP$2)+
countifs(Students!$D:$D,$AB44,Students!$E:$E,$AB$2&amp;if($K44="S1","a",if($K44="S2","b","")),Students!$A:$A,AP$2)+countifs(Students!$F:$F,$AB44,Students!$G:$G,$AB$2&amp;if($K44="S1","a",if($K44="S2","b","")),Students!$A:$A,AP$2)+countifs(Students!$H:$H,$AB44,Students!$I:$I,$AB$2&amp;if($K44="S1","a",if($K44="S2","b","")),Students!$A:$A,AP$2)+countifs(Students!$J:$J,$AB44,Students!$K:$K,$AB$2&amp;if($K44="S1","a",if($K44="S2","b","")),Students!$A:$A,AP$2)+countifs(Students!$L:$L,$AB44,Students!$M:$M,$AB$2&amp;if($K44="S1","a",if($K44="S2","b","")),Students!$A:$A,AP$2)+countifs(Students!$N:$N,$AB44,Students!$O:$O,$AB$2&amp;if($K44="S1","a",if($K44="S2","b","")),Students!$A:$A,AP$2)+countifs(Students!$P:$P,$AB44,Students!$Q:$Q,$AB$2&amp;if($K44="S1","a",if($K44="S2","b","")),Students!$A:$A,AP$2)+countifs(Students!$R:$R,$AB44,Students!$S:$S,$AB$2&amp;if($K44="S1","a",if($K44="S2","b","")),Students!$A:$A,AP$2)+countifs(Students!$T:$T,$AB44,Students!$U:$U,$AB$2&amp;if($K44="S1","a",if($K44="S2","b","")),Students!$A:$A,AP$2)+countifs(Students!$V:$V,$AB44,Students!$W:$W,$AB$2&amp;if($K44="S1","a",if($K44="S2","b","")),Students!$A:$A,AP$2)+
countifs(Students!$D:$D,$AE44,Students!$E:$E,$AE$2&amp;if($K44="S1","a",if($K44="S2","b","")),Students!$A:$A,AP$2)+countifs(Students!$F:$F,$AE44,Students!$G:$G,$AE$2&amp;if($K44="S1","a",if($K44="S2","b","")),Students!$A:$A,AP$2)+countifs(Students!$H:$H,$AE44,Students!$I:$I,$AE$2&amp;if($K44="S1","a",if($K44="S2","b","")),Students!$A:$A,AP$2)+countifs(Students!$J:$J,$AE44,Students!$K:$K,$AE$2&amp;if($K44="S1","a",if($K44="S2","b","")),Students!$A:$A,AP$2)+countifs(Students!$L:$L,$AE44,Students!$M:$M,$AE$2&amp;if($K44="S1","a",if($K44="S2","b","")),Students!$A:$A,AP$2)+countifs(Students!$N:$N,$AE44,Students!$O:$O,$AE$2&amp;if($K44="S1","a",if($K44="S2","b","")),Students!$A:$A,AP$2)+countifs(Students!$P:$P,$AE44,Students!$Q:$Q,$AE$2&amp;if($K44="S1","a",if($K44="S2","b","")),Students!$A:$A,AP$2)+countifs(Students!$R:$R,$AE44,Students!$S:$S,$AE$2&amp;if($K44="S1","a",if($K44="S2","b","")),Students!$A:$A,AP$2)+countifs(Students!$T:$T,$AE44,Students!$U:$U,$AE$2&amp;if($K44="S1","a",if($K44="S2","b","")),Students!$A:$A,AP$2)+countifs(Students!$V:$V,$AE44,Students!$W:$W,$AE$2&amp;if($K44="S1","a",if($K44="S2","b","")),Students!$A:$A,AP$2)+
countifs(Students!$D:$D,$AH44,Students!$E:$E,$AH$2&amp;if($K44="S1","a",if($K44="S2","b","")),Students!$A:$A,AP$2)+countifs(Students!$F:$F,$AH44,Students!$G:$G,$AH$2&amp;if($K44="S1","a",if($K44="S2","b","")),Students!$A:$A,AP$2)+countifs(Students!$H:$H,$AH44,Students!$I:$I,$AH$2&amp;if($K44="S1","a",if($K44="S2","b","")),Students!$A:$A,AP$2)+countifs(Students!$J:$J,$AH44,Students!$K:$K,$AH$2&amp;if($K44="S1","a",if($K44="S2","b","")),Students!$A:$A,AP$2)+countifs(Students!$L:$L,$AH44,Students!$M:$M,$AH$2&amp;if($K44="S1","a",if($K44="S2","b","")),Students!$A:$A,AP$2)+countifs(Students!$N:$N,$AH44,Students!$O:$O,$AH$2&amp;if($K44="S1","a",if($K44="S2","b","")),Students!$A:$A,AP$2)+countifs(Students!$P:$P,$AH44,Students!$Q:$Q,$AH$2&amp;if($K44="S1","a",if($K44="S2","b","")),Students!$A:$A,AP$2)+countifs(Students!$R:$R,$AH44,Students!$S:$S,$AH$2&amp;if($K44="S1","a",if($K44="S2","b","")),Students!$A:$A,AP$2)+countifs(Students!$T:$T,$AH44,Students!$U:$U,$AH$2&amp;if($K44="S1","a",if($K44="S2","b","")),Students!$A:$A,AP$2)+countifs(Students!$V:$V,$AH44,Students!$W:$W,$AH$2&amp;if($K44="S1","a",if($K44="S2","b","")),Students!$A:$A,AP$2)+
countifs(Students!$D:$D,$AK44,Students!$E:$E,$AK$2&amp;if($K44="S1","a",if($K44="S2","b","")),Students!$A:$A,AP$2)+countifs(Students!$F:$F,$AK44,Students!$G:$G,$AK$2&amp;if($K44="S1","a",if($K44="S2","b","")),Students!$A:$A,AP$2)+countifs(Students!$H:$H,$AK44,Students!$I:$I,$AK$2&amp;if($K44="S1","a",if($K44="S2","b","")),Students!$A:$A,AP$2)+countifs(Students!$J:$J,$AK44,Students!$K:$K,$AK$2&amp;if($K44="S1","a",if($K44="S2","b","")),Students!$A:$A,AP$2)+countifs(Students!$L:$L,$AK44,Students!$M:$M,$AK$2&amp;if($K44="S1","a",if($K44="S2","b","")),Students!$A:$A,AP$2)+countifs(Students!$N:$N,$AK44,Students!$O:$O,$AK$2&amp;if($K44="S1","a",if($K44="S2","b","")),Students!$A:$A,AP$2)+countifs(Students!$P:$P,$AK44,Students!$Q:$Q,$AK$2&amp;if($K44="S1","a",if($K44="S2","b","")),Students!$A:$A,AP$2)+countifs(Students!$R:$R,$AK44,Students!$S:$S,$AK$2&amp;if($K44="S1","a",if($K44="S2","b","")),Students!$A:$A,AP$2)+countifs(Students!$T:$T,$AK44,Students!$U:$U,$AK$2&amp;if($K44="S1","a",if($K44="S2","b","")),Students!$A:$A,AP$2)+countifs(Students!$V:$V,$AK44,Students!$W:$W,$AK$2&amp;if($K44="S1","a",if($K44="S2","b","")),Students!$A:$A,AP$2))</f>
        <v>0</v>
      </c>
      <c r="AQ44" s="102">
        <f>if($L44="","",countifs(Students!$D:$D,$P44,Students!$E:$E,$P$2&amp;if($K44="S1","a",if($K44="S2","b","")),Students!$A:$A,AQ$2)+countifs(Students!$F:$F,$P44,Students!$G:$G,$P$2&amp;if($K44="S1","a",if($K44="S2","b","")),Students!$A:$A,AQ$2)+countifs(Students!$H:$H,$P44,Students!$I:$I,$P$2&amp;if($K44="S1","a",if($K44="S2","b","")),Students!$A:$A,AQ$2)+countifs(Students!$J:$J,$P44,Students!$K:$K,$P$2&amp;if($K44="S1","a",if($K44="S2","b","")),Students!$A:$A,AQ$2)+countifs(Students!$L:$L,$P44,Students!$M:$M,$P$2&amp;if($K44="S1","a",if($K44="S2","b","")),Students!$A:$A,AQ$2)+countifs(Students!$N:$N,$P44,Students!$O:$O,$P$2&amp;if($K44="S1","a",if($K44="S2","b","")),Students!$A:$A,AQ$2)+countifs(Students!$P:$P,$P44,Students!$Q:$Q,$P$2&amp;if($K44="S1","a",if($K44="S2","b","")),Students!$A:$A,AQ$2)+countifs(Students!$R:$R,$P44,Students!$S:$S,$P$2&amp;if($K44="S1","a",if($K44="S2","b","")),Students!$A:$A,AQ$2)+countifs(Students!$T:$T,$P44,Students!$U:$U,$P$2&amp;if($K44="S1","a",if($K44="S2","b","")),Students!$A:$A,AQ$2)+countifs(Students!$V:$V,$P44,Students!$W:$W,$P$2&amp;if($K44="S1","a",if($K44="S2","b","")),Students!$A:$A,AQ$2)+
countifs(Students!$D:$D,$S44,Students!$E:$E,$S$2&amp;if($K44="S1","a",if($K44="S2","b","")),Students!$A:$A,AQ$2)+countifs(Students!$F:$F,$S44,Students!$G:$G,$S$2&amp;if($K44="S1","a",if($K44="S2","b","")),Students!$A:$A,AQ$2)+countifs(Students!$H:$H,$S44,Students!$I:$I,$S$2&amp;if($K44="S1","a",if($K44="S2","b","")),Students!$A:$A,AQ$2)+countifs(Students!$J:$J,$S44,Students!$K:$K,$S$2&amp;if($K44="S1","a",if($K44="S2","b","")),Students!$A:$A,AQ$2)+countifs(Students!$L:$L,$S44,Students!$M:$M,$S$2&amp;if($K44="S1","a",if($K44="S2","b","")),Students!$A:$A,AQ$2)+countifs(Students!$N:$N,$S44,Students!$O:$O,$S$2&amp;if($K44="S1","a",if($K44="S2","b","")),Students!$A:$A,AQ$2)+countifs(Students!$P:$P,$S44,Students!$Q:$Q,$S$2&amp;if($K44="S1","a",if($K44="S2","b","")),Students!$A:$A,AQ$2)+countifs(Students!$R:$R,$S44,Students!$S:$S,$S$2&amp;if($K44="S1","a",if($K44="S2","b","")),Students!$A:$A,AQ$2)+countifs(Students!$T:$T,$S44,Students!$U:$U,$S$2&amp;if($K44="S1","a",if($K44="S2","b","")),Students!$A:$A,AQ$2)+countifs(Students!$V:$V,$S44,Students!$W:$W,$S$2&amp;if($K44="S1","a",if($K44="S2","b","")),Students!$A:$A,AQ$2)+
countifs(Students!$D:$D,$V44,Students!$E:$E,$V$2&amp;if($K44="S1","a",if($K44="S2","b","")),Students!$A:$A,AQ$2)+countifs(Students!$F:$F,$V44,Students!$G:$G,$V$2&amp;if($K44="S1","a",if($K44="S2","b","")),Students!$A:$A,AQ$2)+countifs(Students!$H:$H,$V44,Students!$I:$I,$V$2&amp;if($K44="S1","a",if($K44="S2","b","")),Students!$A:$A,AQ$2)+countifs(Students!$J:$J,$V44,Students!$K:$K,$V$2&amp;if($K44="S1","a",if($K44="S2","b","")),Students!$A:$A,AQ$2)+countifs(Students!$L:$L,$V44,Students!$M:$M,$V$2&amp;if($K44="S1","a",if($K44="S2","b","")),Students!$A:$A,AQ$2)+countifs(Students!$N:$N,$V44,Students!$O:$O,$V$2&amp;if($K44="S1","a",if($K44="S2","b","")),Students!$A:$A,AQ$2)+countifs(Students!$P:$P,$V44,Students!$Q:$Q,$V$2&amp;if($K44="S1","a",if($K44="S2","b","")),Students!$A:$A,AQ$2)+countifs(Students!$R:$R,$V44,Students!$S:$S,$V$2&amp;if($K44="S1","a",if($K44="S2","b","")),Students!$A:$A,AQ$2)+countifs(Students!$T:$T,$V44,Students!$U:$U,$V$2&amp;if($K44="S1","a",if($K44="S2","b","")),Students!$A:$A,AQ$2)+countifs(Students!$V:$V,$V44,Students!$W:$W,$V$2&amp;if($K44="S1","a",if($K44="S2","b","")),Students!$A:$A,AQ$2)+
countifs(Students!$D:$D,$Y44,Students!$E:$E,$Y$2&amp;if($K44="S1","a",if($K44="S2","b","")),Students!$A:$A,AQ$2)+countifs(Students!$F:$F,$Y44,Students!$G:$G,$Y$2&amp;if($K44="S1","a",if($K44="S2","b","")),Students!$A:$A,AQ$2)+countifs(Students!$H:$H,$Y44,Students!$I:$I,$Y$2&amp;if($K44="S1","a",if($K44="S2","b","")),Students!$A:$A,AQ$2)+countifs(Students!$J:$J,$Y44,Students!$K:$K,$Y$2&amp;if($K44="S1","a",if($K44="S2","b","")),Students!$A:$A,AQ$2)+countifs(Students!$L:$L,$Y44,Students!$M:$M,$Y$2&amp;if($K44="S1","a",if($K44="S2","b","")),Students!$A:$A,AQ$2)+countifs(Students!$N:$N,$Y44,Students!$O:$O,$Y$2&amp;if($K44="S1","a",if($K44="S2","b","")),Students!$A:$A,AQ$2)+countifs(Students!$P:$P,$Y44,Students!$Q:$Q,$Y$2&amp;if($K44="S1","a",if($K44="S2","b","")),Students!$A:$A,AQ$2)+countifs(Students!$R:$R,$Y44,Students!$S:$S,$Y$2&amp;if($K44="S1","a",if($K44="S2","b","")),Students!$A:$A,AQ$2)+countifs(Students!$T:$T,$Y44,Students!$U:$U,$Y$2&amp;if($K44="S1","a",if($K44="S2","b","")),Students!$A:$A,AQ$2)+countifs(Students!$V:$V,$Y44,Students!$W:$W,$Y$2&amp;if($K44="S1","a",if($K44="S2","b","")),Students!$A:$A,AQ$2)+
countifs(Students!$D:$D,$AB44,Students!$E:$E,$AB$2&amp;if($K44="S1","a",if($K44="S2","b","")),Students!$A:$A,AQ$2)+countifs(Students!$F:$F,$AB44,Students!$G:$G,$AB$2&amp;if($K44="S1","a",if($K44="S2","b","")),Students!$A:$A,AQ$2)+countifs(Students!$H:$H,$AB44,Students!$I:$I,$AB$2&amp;if($K44="S1","a",if($K44="S2","b","")),Students!$A:$A,AQ$2)+countifs(Students!$J:$J,$AB44,Students!$K:$K,$AB$2&amp;if($K44="S1","a",if($K44="S2","b","")),Students!$A:$A,AQ$2)+countifs(Students!$L:$L,$AB44,Students!$M:$M,$AB$2&amp;if($K44="S1","a",if($K44="S2","b","")),Students!$A:$A,AQ$2)+countifs(Students!$N:$N,$AB44,Students!$O:$O,$AB$2&amp;if($K44="S1","a",if($K44="S2","b","")),Students!$A:$A,AQ$2)+countifs(Students!$P:$P,$AB44,Students!$Q:$Q,$AB$2&amp;if($K44="S1","a",if($K44="S2","b","")),Students!$A:$A,AQ$2)+countifs(Students!$R:$R,$AB44,Students!$S:$S,$AB$2&amp;if($K44="S1","a",if($K44="S2","b","")),Students!$A:$A,AQ$2)+countifs(Students!$T:$T,$AB44,Students!$U:$U,$AB$2&amp;if($K44="S1","a",if($K44="S2","b","")),Students!$A:$A,AQ$2)+countifs(Students!$V:$V,$AB44,Students!$W:$W,$AB$2&amp;if($K44="S1","a",if($K44="S2","b","")),Students!$A:$A,AQ$2)+
countifs(Students!$D:$D,$AE44,Students!$E:$E,$AE$2&amp;if($K44="S1","a",if($K44="S2","b","")),Students!$A:$A,AQ$2)+countifs(Students!$F:$F,$AE44,Students!$G:$G,$AE$2&amp;if($K44="S1","a",if($K44="S2","b","")),Students!$A:$A,AQ$2)+countifs(Students!$H:$H,$AE44,Students!$I:$I,$AE$2&amp;if($K44="S1","a",if($K44="S2","b","")),Students!$A:$A,AQ$2)+countifs(Students!$J:$J,$AE44,Students!$K:$K,$AE$2&amp;if($K44="S1","a",if($K44="S2","b","")),Students!$A:$A,AQ$2)+countifs(Students!$L:$L,$AE44,Students!$M:$M,$AE$2&amp;if($K44="S1","a",if($K44="S2","b","")),Students!$A:$A,AQ$2)+countifs(Students!$N:$N,$AE44,Students!$O:$O,$AE$2&amp;if($K44="S1","a",if($K44="S2","b","")),Students!$A:$A,AQ$2)+countifs(Students!$P:$P,$AE44,Students!$Q:$Q,$AE$2&amp;if($K44="S1","a",if($K44="S2","b","")),Students!$A:$A,AQ$2)+countifs(Students!$R:$R,$AE44,Students!$S:$S,$AE$2&amp;if($K44="S1","a",if($K44="S2","b","")),Students!$A:$A,AQ$2)+countifs(Students!$T:$T,$AE44,Students!$U:$U,$AE$2&amp;if($K44="S1","a",if($K44="S2","b","")),Students!$A:$A,AQ$2)+countifs(Students!$V:$V,$AE44,Students!$W:$W,$AE$2&amp;if($K44="S1","a",if($K44="S2","b","")),Students!$A:$A,AQ$2)+
countifs(Students!$D:$D,$AH44,Students!$E:$E,$AH$2&amp;if($K44="S1","a",if($K44="S2","b","")),Students!$A:$A,AQ$2)+countifs(Students!$F:$F,$AH44,Students!$G:$G,$AH$2&amp;if($K44="S1","a",if($K44="S2","b","")),Students!$A:$A,AQ$2)+countifs(Students!$H:$H,$AH44,Students!$I:$I,$AH$2&amp;if($K44="S1","a",if($K44="S2","b","")),Students!$A:$A,AQ$2)+countifs(Students!$J:$J,$AH44,Students!$K:$K,$AH$2&amp;if($K44="S1","a",if($K44="S2","b","")),Students!$A:$A,AQ$2)+countifs(Students!$L:$L,$AH44,Students!$M:$M,$AH$2&amp;if($K44="S1","a",if($K44="S2","b","")),Students!$A:$A,AQ$2)+countifs(Students!$N:$N,$AH44,Students!$O:$O,$AH$2&amp;if($K44="S1","a",if($K44="S2","b","")),Students!$A:$A,AQ$2)+countifs(Students!$P:$P,$AH44,Students!$Q:$Q,$AH$2&amp;if($K44="S1","a",if($K44="S2","b","")),Students!$A:$A,AQ$2)+countifs(Students!$R:$R,$AH44,Students!$S:$S,$AH$2&amp;if($K44="S1","a",if($K44="S2","b","")),Students!$A:$A,AQ$2)+countifs(Students!$T:$T,$AH44,Students!$U:$U,$AH$2&amp;if($K44="S1","a",if($K44="S2","b","")),Students!$A:$A,AQ$2)+countifs(Students!$V:$V,$AH44,Students!$W:$W,$AH$2&amp;if($K44="S1","a",if($K44="S2","b","")),Students!$A:$A,AQ$2)+
countifs(Students!$D:$D,$AK44,Students!$E:$E,$AK$2&amp;if($K44="S1","a",if($K44="S2","b","")),Students!$A:$A,AQ$2)+countifs(Students!$F:$F,$AK44,Students!$G:$G,$AK$2&amp;if($K44="S1","a",if($K44="S2","b","")),Students!$A:$A,AQ$2)+countifs(Students!$H:$H,$AK44,Students!$I:$I,$AK$2&amp;if($K44="S1","a",if($K44="S2","b","")),Students!$A:$A,AQ$2)+countifs(Students!$J:$J,$AK44,Students!$K:$K,$AK$2&amp;if($K44="S1","a",if($K44="S2","b","")),Students!$A:$A,AQ$2)+countifs(Students!$L:$L,$AK44,Students!$M:$M,$AK$2&amp;if($K44="S1","a",if($K44="S2","b","")),Students!$A:$A,AQ$2)+countifs(Students!$N:$N,$AK44,Students!$O:$O,$AK$2&amp;if($K44="S1","a",if($K44="S2","b","")),Students!$A:$A,AQ$2)+countifs(Students!$P:$P,$AK44,Students!$Q:$Q,$AK$2&amp;if($K44="S1","a",if($K44="S2","b","")),Students!$A:$A,AQ$2)+countifs(Students!$R:$R,$AK44,Students!$S:$S,$AK$2&amp;if($K44="S1","a",if($K44="S2","b","")),Students!$A:$A,AQ$2)+countifs(Students!$T:$T,$AK44,Students!$U:$U,$AK$2&amp;if($K44="S1","a",if($K44="S2","b","")),Students!$A:$A,AQ$2)+countifs(Students!$V:$V,$AK44,Students!$W:$W,$AK$2&amp;if($K44="S1","a",if($K44="S2","b","")),Students!$A:$A,AQ$2))</f>
        <v>138</v>
      </c>
      <c r="AR44" s="102">
        <f>if($L44="","",countifs(Students!$D:$D,$P44,Students!$E:$E,$P$2&amp;if($K44="S1","a",if($K44="S2","b","")),Students!$A:$A,AR$2)+countifs(Students!$F:$F,$P44,Students!$G:$G,$P$2&amp;if($K44="S1","a",if($K44="S2","b","")),Students!$A:$A,AR$2)+countifs(Students!$H:$H,$P44,Students!$I:$I,$P$2&amp;if($K44="S1","a",if($K44="S2","b","")),Students!$A:$A,AR$2)+countifs(Students!$J:$J,$P44,Students!$K:$K,$P$2&amp;if($K44="S1","a",if($K44="S2","b","")),Students!$A:$A,AR$2)+countifs(Students!$L:$L,$P44,Students!$M:$M,$P$2&amp;if($K44="S1","a",if($K44="S2","b","")),Students!$A:$A,AR$2)+countifs(Students!$N:$N,$P44,Students!$O:$O,$P$2&amp;if($K44="S1","a",if($K44="S2","b","")),Students!$A:$A,AR$2)+countifs(Students!$P:$P,$P44,Students!$Q:$Q,$P$2&amp;if($K44="S1","a",if($K44="S2","b","")),Students!$A:$A,AR$2)+countifs(Students!$R:$R,$P44,Students!$S:$S,$P$2&amp;if($K44="S1","a",if($K44="S2","b","")),Students!$A:$A,AR$2)+countifs(Students!$T:$T,$P44,Students!$U:$U,$P$2&amp;if($K44="S1","a",if($K44="S2","b","")),Students!$A:$A,AR$2)+countifs(Students!$V:$V,$P44,Students!$W:$W,$P$2&amp;if($K44="S1","a",if($K44="S2","b","")),Students!$A:$A,AR$2)+
countifs(Students!$D:$D,$S44,Students!$E:$E,$S$2&amp;if($K44="S1","a",if($K44="S2","b","")),Students!$A:$A,AR$2)+countifs(Students!$F:$F,$S44,Students!$G:$G,$S$2&amp;if($K44="S1","a",if($K44="S2","b","")),Students!$A:$A,AR$2)+countifs(Students!$H:$H,$S44,Students!$I:$I,$S$2&amp;if($K44="S1","a",if($K44="S2","b","")),Students!$A:$A,AR$2)+countifs(Students!$J:$J,$S44,Students!$K:$K,$S$2&amp;if($K44="S1","a",if($K44="S2","b","")),Students!$A:$A,AR$2)+countifs(Students!$L:$L,$S44,Students!$M:$M,$S$2&amp;if($K44="S1","a",if($K44="S2","b","")),Students!$A:$A,AR$2)+countifs(Students!$N:$N,$S44,Students!$O:$O,$S$2&amp;if($K44="S1","a",if($K44="S2","b","")),Students!$A:$A,AR$2)+countifs(Students!$P:$P,$S44,Students!$Q:$Q,$S$2&amp;if($K44="S1","a",if($K44="S2","b","")),Students!$A:$A,AR$2)+countifs(Students!$R:$R,$S44,Students!$S:$S,$S$2&amp;if($K44="S1","a",if($K44="S2","b","")),Students!$A:$A,AR$2)+countifs(Students!$T:$T,$S44,Students!$U:$U,$S$2&amp;if($K44="S1","a",if($K44="S2","b","")),Students!$A:$A,AR$2)+countifs(Students!$V:$V,$S44,Students!$W:$W,$S$2&amp;if($K44="S1","a",if($K44="S2","b","")),Students!$A:$A,AR$2)+
countifs(Students!$D:$D,$V44,Students!$E:$E,$V$2&amp;if($K44="S1","a",if($K44="S2","b","")),Students!$A:$A,AR$2)+countifs(Students!$F:$F,$V44,Students!$G:$G,$V$2&amp;if($K44="S1","a",if($K44="S2","b","")),Students!$A:$A,AR$2)+countifs(Students!$H:$H,$V44,Students!$I:$I,$V$2&amp;if($K44="S1","a",if($K44="S2","b","")),Students!$A:$A,AR$2)+countifs(Students!$J:$J,$V44,Students!$K:$K,$V$2&amp;if($K44="S1","a",if($K44="S2","b","")),Students!$A:$A,AR$2)+countifs(Students!$L:$L,$V44,Students!$M:$M,$V$2&amp;if($K44="S1","a",if($K44="S2","b","")),Students!$A:$A,AR$2)+countifs(Students!$N:$N,$V44,Students!$O:$O,$V$2&amp;if($K44="S1","a",if($K44="S2","b","")),Students!$A:$A,AR$2)+countifs(Students!$P:$P,$V44,Students!$Q:$Q,$V$2&amp;if($K44="S1","a",if($K44="S2","b","")),Students!$A:$A,AR$2)+countifs(Students!$R:$R,$V44,Students!$S:$S,$V$2&amp;if($K44="S1","a",if($K44="S2","b","")),Students!$A:$A,AR$2)+countifs(Students!$T:$T,$V44,Students!$U:$U,$V$2&amp;if($K44="S1","a",if($K44="S2","b","")),Students!$A:$A,AR$2)+countifs(Students!$V:$V,$V44,Students!$W:$W,$V$2&amp;if($K44="S1","a",if($K44="S2","b","")),Students!$A:$A,AR$2)+
countifs(Students!$D:$D,$Y44,Students!$E:$E,$Y$2&amp;if($K44="S1","a",if($K44="S2","b","")),Students!$A:$A,AR$2)+countifs(Students!$F:$F,$Y44,Students!$G:$G,$Y$2&amp;if($K44="S1","a",if($K44="S2","b","")),Students!$A:$A,AR$2)+countifs(Students!$H:$H,$Y44,Students!$I:$I,$Y$2&amp;if($K44="S1","a",if($K44="S2","b","")),Students!$A:$A,AR$2)+countifs(Students!$J:$J,$Y44,Students!$K:$K,$Y$2&amp;if($K44="S1","a",if($K44="S2","b","")),Students!$A:$A,AR$2)+countifs(Students!$L:$L,$Y44,Students!$M:$M,$Y$2&amp;if($K44="S1","a",if($K44="S2","b","")),Students!$A:$A,AR$2)+countifs(Students!$N:$N,$Y44,Students!$O:$O,$Y$2&amp;if($K44="S1","a",if($K44="S2","b","")),Students!$A:$A,AR$2)+countifs(Students!$P:$P,$Y44,Students!$Q:$Q,$Y$2&amp;if($K44="S1","a",if($K44="S2","b","")),Students!$A:$A,AR$2)+countifs(Students!$R:$R,$Y44,Students!$S:$S,$Y$2&amp;if($K44="S1","a",if($K44="S2","b","")),Students!$A:$A,AR$2)+countifs(Students!$T:$T,$Y44,Students!$U:$U,$Y$2&amp;if($K44="S1","a",if($K44="S2","b","")),Students!$A:$A,AR$2)+countifs(Students!$V:$V,$Y44,Students!$W:$W,$Y$2&amp;if($K44="S1","a",if($K44="S2","b","")),Students!$A:$A,AR$2)+
countifs(Students!$D:$D,$AB44,Students!$E:$E,$AB$2&amp;if($K44="S1","a",if($K44="S2","b","")),Students!$A:$A,AR$2)+countifs(Students!$F:$F,$AB44,Students!$G:$G,$AB$2&amp;if($K44="S1","a",if($K44="S2","b","")),Students!$A:$A,AR$2)+countifs(Students!$H:$H,$AB44,Students!$I:$I,$AB$2&amp;if($K44="S1","a",if($K44="S2","b","")),Students!$A:$A,AR$2)+countifs(Students!$J:$J,$AB44,Students!$K:$K,$AB$2&amp;if($K44="S1","a",if($K44="S2","b","")),Students!$A:$A,AR$2)+countifs(Students!$L:$L,$AB44,Students!$M:$M,$AB$2&amp;if($K44="S1","a",if($K44="S2","b","")),Students!$A:$A,AR$2)+countifs(Students!$N:$N,$AB44,Students!$O:$O,$AB$2&amp;if($K44="S1","a",if($K44="S2","b","")),Students!$A:$A,AR$2)+countifs(Students!$P:$P,$AB44,Students!$Q:$Q,$AB$2&amp;if($K44="S1","a",if($K44="S2","b","")),Students!$A:$A,AR$2)+countifs(Students!$R:$R,$AB44,Students!$S:$S,$AB$2&amp;if($K44="S1","a",if($K44="S2","b","")),Students!$A:$A,AR$2)+countifs(Students!$T:$T,$AB44,Students!$U:$U,$AB$2&amp;if($K44="S1","a",if($K44="S2","b","")),Students!$A:$A,AR$2)+countifs(Students!$V:$V,$AB44,Students!$W:$W,$AB$2&amp;if($K44="S1","a",if($K44="S2","b","")),Students!$A:$A,AR$2)+
countifs(Students!$D:$D,$AE44,Students!$E:$E,$AE$2&amp;if($K44="S1","a",if($K44="S2","b","")),Students!$A:$A,AR$2)+countifs(Students!$F:$F,$AE44,Students!$G:$G,$AE$2&amp;if($K44="S1","a",if($K44="S2","b","")),Students!$A:$A,AR$2)+countifs(Students!$H:$H,$AE44,Students!$I:$I,$AE$2&amp;if($K44="S1","a",if($K44="S2","b","")),Students!$A:$A,AR$2)+countifs(Students!$J:$J,$AE44,Students!$K:$K,$AE$2&amp;if($K44="S1","a",if($K44="S2","b","")),Students!$A:$A,AR$2)+countifs(Students!$L:$L,$AE44,Students!$M:$M,$AE$2&amp;if($K44="S1","a",if($K44="S2","b","")),Students!$A:$A,AR$2)+countifs(Students!$N:$N,$AE44,Students!$O:$O,$AE$2&amp;if($K44="S1","a",if($K44="S2","b","")),Students!$A:$A,AR$2)+countifs(Students!$P:$P,$AE44,Students!$Q:$Q,$AE$2&amp;if($K44="S1","a",if($K44="S2","b","")),Students!$A:$A,AR$2)+countifs(Students!$R:$R,$AE44,Students!$S:$S,$AE$2&amp;if($K44="S1","a",if($K44="S2","b","")),Students!$A:$A,AR$2)+countifs(Students!$T:$T,$AE44,Students!$U:$U,$AE$2&amp;if($K44="S1","a",if($K44="S2","b","")),Students!$A:$A,AR$2)+countifs(Students!$V:$V,$AE44,Students!$W:$W,$AE$2&amp;if($K44="S1","a",if($K44="S2","b","")),Students!$A:$A,AR$2)+
countifs(Students!$D:$D,$AH44,Students!$E:$E,$AH$2&amp;if($K44="S1","a",if($K44="S2","b","")),Students!$A:$A,AR$2)+countifs(Students!$F:$F,$AH44,Students!$G:$G,$AH$2&amp;if($K44="S1","a",if($K44="S2","b","")),Students!$A:$A,AR$2)+countifs(Students!$H:$H,$AH44,Students!$I:$I,$AH$2&amp;if($K44="S1","a",if($K44="S2","b","")),Students!$A:$A,AR$2)+countifs(Students!$J:$J,$AH44,Students!$K:$K,$AH$2&amp;if($K44="S1","a",if($K44="S2","b","")),Students!$A:$A,AR$2)+countifs(Students!$L:$L,$AH44,Students!$M:$M,$AH$2&amp;if($K44="S1","a",if($K44="S2","b","")),Students!$A:$A,AR$2)+countifs(Students!$N:$N,$AH44,Students!$O:$O,$AH$2&amp;if($K44="S1","a",if($K44="S2","b","")),Students!$A:$A,AR$2)+countifs(Students!$P:$P,$AH44,Students!$Q:$Q,$AH$2&amp;if($K44="S1","a",if($K44="S2","b","")),Students!$A:$A,AR$2)+countifs(Students!$R:$R,$AH44,Students!$S:$S,$AH$2&amp;if($K44="S1","a",if($K44="S2","b","")),Students!$A:$A,AR$2)+countifs(Students!$T:$T,$AH44,Students!$U:$U,$AH$2&amp;if($K44="S1","a",if($K44="S2","b","")),Students!$A:$A,AR$2)+countifs(Students!$V:$V,$AH44,Students!$W:$W,$AH$2&amp;if($K44="S1","a",if($K44="S2","b","")),Students!$A:$A,AR$2)+
countifs(Students!$D:$D,$AK44,Students!$E:$E,$AK$2&amp;if($K44="S1","a",if($K44="S2","b","")),Students!$A:$A,AR$2)+countifs(Students!$F:$F,$AK44,Students!$G:$G,$AK$2&amp;if($K44="S1","a",if($K44="S2","b","")),Students!$A:$A,AR$2)+countifs(Students!$H:$H,$AK44,Students!$I:$I,$AK$2&amp;if($K44="S1","a",if($K44="S2","b","")),Students!$A:$A,AR$2)+countifs(Students!$J:$J,$AK44,Students!$K:$K,$AK$2&amp;if($K44="S1","a",if($K44="S2","b","")),Students!$A:$A,AR$2)+countifs(Students!$L:$L,$AK44,Students!$M:$M,$AK$2&amp;if($K44="S1","a",if($K44="S2","b","")),Students!$A:$A,AR$2)+countifs(Students!$N:$N,$AK44,Students!$O:$O,$AK$2&amp;if($K44="S1","a",if($K44="S2","b","")),Students!$A:$A,AR$2)+countifs(Students!$P:$P,$AK44,Students!$Q:$Q,$AK$2&amp;if($K44="S1","a",if($K44="S2","b","")),Students!$A:$A,AR$2)+countifs(Students!$R:$R,$AK44,Students!$S:$S,$AK$2&amp;if($K44="S1","a",if($K44="S2","b","")),Students!$A:$A,AR$2)+countifs(Students!$T:$T,$AK44,Students!$U:$U,$AK$2&amp;if($K44="S1","a",if($K44="S2","b","")),Students!$A:$A,AR$2)+countifs(Students!$V:$V,$AK44,Students!$W:$W,$AK$2&amp;if($K44="S1","a",if($K44="S2","b","")),Students!$A:$A,AR$2))</f>
        <v>0</v>
      </c>
      <c r="AS44" s="102">
        <f>if($L44="","",countifs(Students!$D:$D,$P44,Students!$E:$E,$P$2&amp;if($K44="S1","a",if($K44="S2","b","")),Students!$A:$A,AS$2)+countifs(Students!$F:$F,$P44,Students!$G:$G,$P$2&amp;if($K44="S1","a",if($K44="S2","b","")),Students!$A:$A,AS$2)+countifs(Students!$H:$H,$P44,Students!$I:$I,$P$2&amp;if($K44="S1","a",if($K44="S2","b","")),Students!$A:$A,AS$2)+countifs(Students!$J:$J,$P44,Students!$K:$K,$P$2&amp;if($K44="S1","a",if($K44="S2","b","")),Students!$A:$A,AS$2)+countifs(Students!$L:$L,$P44,Students!$M:$M,$P$2&amp;if($K44="S1","a",if($K44="S2","b","")),Students!$A:$A,AS$2)+countifs(Students!$N:$N,$P44,Students!$O:$O,$P$2&amp;if($K44="S1","a",if($K44="S2","b","")),Students!$A:$A,AS$2)+countifs(Students!$P:$P,$P44,Students!$Q:$Q,$P$2&amp;if($K44="S1","a",if($K44="S2","b","")),Students!$A:$A,AS$2)+countifs(Students!$R:$R,$P44,Students!$S:$S,$P$2&amp;if($K44="S1","a",if($K44="S2","b","")),Students!$A:$A,AS$2)+countifs(Students!$T:$T,$P44,Students!$U:$U,$P$2&amp;if($K44="S1","a",if($K44="S2","b","")),Students!$A:$A,AS$2)+countifs(Students!$V:$V,$P44,Students!$W:$W,$P$2&amp;if($K44="S1","a",if($K44="S2","b","")),Students!$A:$A,AS$2)+
countifs(Students!$D:$D,$S44,Students!$E:$E,$S$2&amp;if($K44="S1","a",if($K44="S2","b","")),Students!$A:$A,AS$2)+countifs(Students!$F:$F,$S44,Students!$G:$G,$S$2&amp;if($K44="S1","a",if($K44="S2","b","")),Students!$A:$A,AS$2)+countifs(Students!$H:$H,$S44,Students!$I:$I,$S$2&amp;if($K44="S1","a",if($K44="S2","b","")),Students!$A:$A,AS$2)+countifs(Students!$J:$J,$S44,Students!$K:$K,$S$2&amp;if($K44="S1","a",if($K44="S2","b","")),Students!$A:$A,AS$2)+countifs(Students!$L:$L,$S44,Students!$M:$M,$S$2&amp;if($K44="S1","a",if($K44="S2","b","")),Students!$A:$A,AS$2)+countifs(Students!$N:$N,$S44,Students!$O:$O,$S$2&amp;if($K44="S1","a",if($K44="S2","b","")),Students!$A:$A,AS$2)+countifs(Students!$P:$P,$S44,Students!$Q:$Q,$S$2&amp;if($K44="S1","a",if($K44="S2","b","")),Students!$A:$A,AS$2)+countifs(Students!$R:$R,$S44,Students!$S:$S,$S$2&amp;if($K44="S1","a",if($K44="S2","b","")),Students!$A:$A,AS$2)+countifs(Students!$T:$T,$S44,Students!$U:$U,$S$2&amp;if($K44="S1","a",if($K44="S2","b","")),Students!$A:$A,AS$2)+countifs(Students!$V:$V,$S44,Students!$W:$W,$S$2&amp;if($K44="S1","a",if($K44="S2","b","")),Students!$A:$A,AS$2)+
countifs(Students!$D:$D,$V44,Students!$E:$E,$V$2&amp;if($K44="S1","a",if($K44="S2","b","")),Students!$A:$A,AS$2)+countifs(Students!$F:$F,$V44,Students!$G:$G,$V$2&amp;if($K44="S1","a",if($K44="S2","b","")),Students!$A:$A,AS$2)+countifs(Students!$H:$H,$V44,Students!$I:$I,$V$2&amp;if($K44="S1","a",if($K44="S2","b","")),Students!$A:$A,AS$2)+countifs(Students!$J:$J,$V44,Students!$K:$K,$V$2&amp;if($K44="S1","a",if($K44="S2","b","")),Students!$A:$A,AS$2)+countifs(Students!$L:$L,$V44,Students!$M:$M,$V$2&amp;if($K44="S1","a",if($K44="S2","b","")),Students!$A:$A,AS$2)+countifs(Students!$N:$N,$V44,Students!$O:$O,$V$2&amp;if($K44="S1","a",if($K44="S2","b","")),Students!$A:$A,AS$2)+countifs(Students!$P:$P,$V44,Students!$Q:$Q,$V$2&amp;if($K44="S1","a",if($K44="S2","b","")),Students!$A:$A,AS$2)+countifs(Students!$R:$R,$V44,Students!$S:$S,$V$2&amp;if($K44="S1","a",if($K44="S2","b","")),Students!$A:$A,AS$2)+countifs(Students!$T:$T,$V44,Students!$U:$U,$V$2&amp;if($K44="S1","a",if($K44="S2","b","")),Students!$A:$A,AS$2)+countifs(Students!$V:$V,$V44,Students!$W:$W,$V$2&amp;if($K44="S1","a",if($K44="S2","b","")),Students!$A:$A,AS$2)+
countifs(Students!$D:$D,$Y44,Students!$E:$E,$Y$2&amp;if($K44="S1","a",if($K44="S2","b","")),Students!$A:$A,AS$2)+countifs(Students!$F:$F,$Y44,Students!$G:$G,$Y$2&amp;if($K44="S1","a",if($K44="S2","b","")),Students!$A:$A,AS$2)+countifs(Students!$H:$H,$Y44,Students!$I:$I,$Y$2&amp;if($K44="S1","a",if($K44="S2","b","")),Students!$A:$A,AS$2)+countifs(Students!$J:$J,$Y44,Students!$K:$K,$Y$2&amp;if($K44="S1","a",if($K44="S2","b","")),Students!$A:$A,AS$2)+countifs(Students!$L:$L,$Y44,Students!$M:$M,$Y$2&amp;if($K44="S1","a",if($K44="S2","b","")),Students!$A:$A,AS$2)+countifs(Students!$N:$N,$Y44,Students!$O:$O,$Y$2&amp;if($K44="S1","a",if($K44="S2","b","")),Students!$A:$A,AS$2)+countifs(Students!$P:$P,$Y44,Students!$Q:$Q,$Y$2&amp;if($K44="S1","a",if($K44="S2","b","")),Students!$A:$A,AS$2)+countifs(Students!$R:$R,$Y44,Students!$S:$S,$Y$2&amp;if($K44="S1","a",if($K44="S2","b","")),Students!$A:$A,AS$2)+countifs(Students!$T:$T,$Y44,Students!$U:$U,$Y$2&amp;if($K44="S1","a",if($K44="S2","b","")),Students!$A:$A,AS$2)+countifs(Students!$V:$V,$Y44,Students!$W:$W,$Y$2&amp;if($K44="S1","a",if($K44="S2","b","")),Students!$A:$A,AS$2)+
countifs(Students!$D:$D,$AB44,Students!$E:$E,$AB$2&amp;if($K44="S1","a",if($K44="S2","b","")),Students!$A:$A,AS$2)+countifs(Students!$F:$F,$AB44,Students!$G:$G,$AB$2&amp;if($K44="S1","a",if($K44="S2","b","")),Students!$A:$A,AS$2)+countifs(Students!$H:$H,$AB44,Students!$I:$I,$AB$2&amp;if($K44="S1","a",if($K44="S2","b","")),Students!$A:$A,AS$2)+countifs(Students!$J:$J,$AB44,Students!$K:$K,$AB$2&amp;if($K44="S1","a",if($K44="S2","b","")),Students!$A:$A,AS$2)+countifs(Students!$L:$L,$AB44,Students!$M:$M,$AB$2&amp;if($K44="S1","a",if($K44="S2","b","")),Students!$A:$A,AS$2)+countifs(Students!$N:$N,$AB44,Students!$O:$O,$AB$2&amp;if($K44="S1","a",if($K44="S2","b","")),Students!$A:$A,AS$2)+countifs(Students!$P:$P,$AB44,Students!$Q:$Q,$AB$2&amp;if($K44="S1","a",if($K44="S2","b","")),Students!$A:$A,AS$2)+countifs(Students!$R:$R,$AB44,Students!$S:$S,$AB$2&amp;if($K44="S1","a",if($K44="S2","b","")),Students!$A:$A,AS$2)+countifs(Students!$T:$T,$AB44,Students!$U:$U,$AB$2&amp;if($K44="S1","a",if($K44="S2","b","")),Students!$A:$A,AS$2)+countifs(Students!$V:$V,$AB44,Students!$W:$W,$AB$2&amp;if($K44="S1","a",if($K44="S2","b","")),Students!$A:$A,AS$2)+
countifs(Students!$D:$D,$AE44,Students!$E:$E,$AE$2&amp;if($K44="S1","a",if($K44="S2","b","")),Students!$A:$A,AS$2)+countifs(Students!$F:$F,$AE44,Students!$G:$G,$AE$2&amp;if($K44="S1","a",if($K44="S2","b","")),Students!$A:$A,AS$2)+countifs(Students!$H:$H,$AE44,Students!$I:$I,$AE$2&amp;if($K44="S1","a",if($K44="S2","b","")),Students!$A:$A,AS$2)+countifs(Students!$J:$J,$AE44,Students!$K:$K,$AE$2&amp;if($K44="S1","a",if($K44="S2","b","")),Students!$A:$A,AS$2)+countifs(Students!$L:$L,$AE44,Students!$M:$M,$AE$2&amp;if($K44="S1","a",if($K44="S2","b","")),Students!$A:$A,AS$2)+countifs(Students!$N:$N,$AE44,Students!$O:$O,$AE$2&amp;if($K44="S1","a",if($K44="S2","b","")),Students!$A:$A,AS$2)+countifs(Students!$P:$P,$AE44,Students!$Q:$Q,$AE$2&amp;if($K44="S1","a",if($K44="S2","b","")),Students!$A:$A,AS$2)+countifs(Students!$R:$R,$AE44,Students!$S:$S,$AE$2&amp;if($K44="S1","a",if($K44="S2","b","")),Students!$A:$A,AS$2)+countifs(Students!$T:$T,$AE44,Students!$U:$U,$AE$2&amp;if($K44="S1","a",if($K44="S2","b","")),Students!$A:$A,AS$2)+countifs(Students!$V:$V,$AE44,Students!$W:$W,$AE$2&amp;if($K44="S1","a",if($K44="S2","b","")),Students!$A:$A,AS$2)+
countifs(Students!$D:$D,$AH44,Students!$E:$E,$AH$2&amp;if($K44="S1","a",if($K44="S2","b","")),Students!$A:$A,AS$2)+countifs(Students!$F:$F,$AH44,Students!$G:$G,$AH$2&amp;if($K44="S1","a",if($K44="S2","b","")),Students!$A:$A,AS$2)+countifs(Students!$H:$H,$AH44,Students!$I:$I,$AH$2&amp;if($K44="S1","a",if($K44="S2","b","")),Students!$A:$A,AS$2)+countifs(Students!$J:$J,$AH44,Students!$K:$K,$AH$2&amp;if($K44="S1","a",if($K44="S2","b","")),Students!$A:$A,AS$2)+countifs(Students!$L:$L,$AH44,Students!$M:$M,$AH$2&amp;if($K44="S1","a",if($K44="S2","b","")),Students!$A:$A,AS$2)+countifs(Students!$N:$N,$AH44,Students!$O:$O,$AH$2&amp;if($K44="S1","a",if($K44="S2","b","")),Students!$A:$A,AS$2)+countifs(Students!$P:$P,$AH44,Students!$Q:$Q,$AH$2&amp;if($K44="S1","a",if($K44="S2","b","")),Students!$A:$A,AS$2)+countifs(Students!$R:$R,$AH44,Students!$S:$S,$AH$2&amp;if($K44="S1","a",if($K44="S2","b","")),Students!$A:$A,AS$2)+countifs(Students!$T:$T,$AH44,Students!$U:$U,$AH$2&amp;if($K44="S1","a",if($K44="S2","b","")),Students!$A:$A,AS$2)+countifs(Students!$V:$V,$AH44,Students!$W:$W,$AH$2&amp;if($K44="S1","a",if($K44="S2","b","")),Students!$A:$A,AS$2)+
countifs(Students!$D:$D,$AK44,Students!$E:$E,$AK$2&amp;if($K44="S1","a",if($K44="S2","b","")),Students!$A:$A,AS$2)+countifs(Students!$F:$F,$AK44,Students!$G:$G,$AK$2&amp;if($K44="S1","a",if($K44="S2","b","")),Students!$A:$A,AS$2)+countifs(Students!$H:$H,$AK44,Students!$I:$I,$AK$2&amp;if($K44="S1","a",if($K44="S2","b","")),Students!$A:$A,AS$2)+countifs(Students!$J:$J,$AK44,Students!$K:$K,$AK$2&amp;if($K44="S1","a",if($K44="S2","b","")),Students!$A:$A,AS$2)+countifs(Students!$L:$L,$AK44,Students!$M:$M,$AK$2&amp;if($K44="S1","a",if($K44="S2","b","")),Students!$A:$A,AS$2)+countifs(Students!$N:$N,$AK44,Students!$O:$O,$AK$2&amp;if($K44="S1","a",if($K44="S2","b","")),Students!$A:$A,AS$2)+countifs(Students!$P:$P,$AK44,Students!$Q:$Q,$AK$2&amp;if($K44="S1","a",if($K44="S2","b","")),Students!$A:$A,AS$2)+countifs(Students!$R:$R,$AK44,Students!$S:$S,$AK$2&amp;if($K44="S1","a",if($K44="S2","b","")),Students!$A:$A,AS$2)+countifs(Students!$T:$T,$AK44,Students!$U:$U,$AK$2&amp;if($K44="S1","a",if($K44="S2","b","")),Students!$A:$A,AS$2)+countifs(Students!$V:$V,$AK44,Students!$W:$W,$AK$2&amp;if($K44="S1","a",if($K44="S2","b","")),Students!$A:$A,AS$2))</f>
        <v>1</v>
      </c>
    </row>
    <row r="45">
      <c r="J45" s="87">
        <v>125.0</v>
      </c>
      <c r="K45" s="88"/>
      <c r="L45" s="125" t="s">
        <v>131</v>
      </c>
      <c r="M45" s="107"/>
      <c r="N45" s="87">
        <v>1.0</v>
      </c>
      <c r="O45" s="87">
        <f>IFERROR(__xludf.DUMMYFUNCTION("3*counta((transpose(filter(P45:AM45,P45:AM45&lt;&gt;"""",isnumber(P45:AM45)=false))))"),18.0)</f>
        <v>18</v>
      </c>
      <c r="P45" s="103" t="s">
        <v>132</v>
      </c>
      <c r="Q45" s="101">
        <v>1.0</v>
      </c>
      <c r="R45" s="98">
        <v>20.0</v>
      </c>
      <c r="S45" s="101" t="s">
        <v>132</v>
      </c>
      <c r="T45" s="101">
        <v>2.0</v>
      </c>
      <c r="U45" s="98">
        <v>23.0</v>
      </c>
      <c r="V45" s="101" t="s">
        <v>132</v>
      </c>
      <c r="W45" s="101">
        <v>3.0</v>
      </c>
      <c r="X45" s="98">
        <v>20.0</v>
      </c>
      <c r="Y45" s="103" t="s">
        <v>132</v>
      </c>
      <c r="Z45" s="101">
        <v>4.0</v>
      </c>
      <c r="AA45" s="98">
        <v>18.0</v>
      </c>
      <c r="AB45" s="91"/>
      <c r="AC45" s="91"/>
      <c r="AD45" s="92" t="s">
        <v>22</v>
      </c>
      <c r="AE45" s="103" t="s">
        <v>132</v>
      </c>
      <c r="AF45" s="101">
        <v>5.0</v>
      </c>
      <c r="AG45" s="92">
        <v>23.0</v>
      </c>
      <c r="AH45" s="91" t="s">
        <v>132</v>
      </c>
      <c r="AI45" s="96">
        <v>6.0</v>
      </c>
      <c r="AJ45" s="92">
        <v>21.0</v>
      </c>
      <c r="AK45" s="101"/>
      <c r="AL45" s="97"/>
      <c r="AM45" s="98" t="s">
        <v>22</v>
      </c>
      <c r="AN45" s="99"/>
      <c r="AO45" s="52">
        <f t="shared" si="2"/>
        <v>125</v>
      </c>
      <c r="AP45" s="102">
        <f>if($L45="","",countifs(Students!$D:$D,$P45,Students!$E:$E,$P$2&amp;if($K45="S1","a",if($K45="S2","b","")),Students!$A:$A,AP$2)+countifs(Students!$F:$F,$P45,Students!$G:$G,$P$2&amp;if($K45="S1","a",if($K45="S2","b","")),Students!$A:$A,AP$2)+countifs(Students!$H:$H,$P45,Students!$I:$I,$P$2&amp;if($K45="S1","a",if($K45="S2","b","")),Students!$A:$A,AP$2)+countifs(Students!$J:$J,$P45,Students!$K:$K,$P$2&amp;if($K45="S1","a",if($K45="S2","b","")),Students!$A:$A,AP$2)+countifs(Students!$L:$L,$P45,Students!$M:$M,$P$2&amp;if($K45="S1","a",if($K45="S2","b","")),Students!$A:$A,AP$2)+countifs(Students!$N:$N,$P45,Students!$O:$O,$P$2&amp;if($K45="S1","a",if($K45="S2","b","")),Students!$A:$A,AP$2)+countifs(Students!$P:$P,$P45,Students!$Q:$Q,$P$2&amp;if($K45="S1","a",if($K45="S2","b","")),Students!$A:$A,AP$2)+countifs(Students!$R:$R,$P45,Students!$S:$S,$P$2&amp;if($K45="S1","a",if($K45="S2","b","")),Students!$A:$A,AP$2)+countifs(Students!$T:$T,$P45,Students!$U:$U,$P$2&amp;if($K45="S1","a",if($K45="S2","b","")),Students!$A:$A,AP$2)+countifs(Students!$V:$V,$P45,Students!$W:$W,$P$2&amp;if($K45="S1","a",if($K45="S2","b","")),Students!$A:$A,AP$2)+
countifs(Students!$D:$D,$S45,Students!$E:$E,$S$2&amp;if($K45="S1","a",if($K45="S2","b","")),Students!$A:$A,AP$2)+countifs(Students!$F:$F,$S45,Students!$G:$G,$S$2&amp;if($K45="S1","a",if($K45="S2","b","")),Students!$A:$A,AP$2)+countifs(Students!$H:$H,$S45,Students!$I:$I,$S$2&amp;if($K45="S1","a",if($K45="S2","b","")),Students!$A:$A,AP$2)+countifs(Students!$J:$J,$S45,Students!$K:$K,$S$2&amp;if($K45="S1","a",if($K45="S2","b","")),Students!$A:$A,AP$2)+countifs(Students!$L:$L,$S45,Students!$M:$M,$S$2&amp;if($K45="S1","a",if($K45="S2","b","")),Students!$A:$A,AP$2)+countifs(Students!$N:$N,$S45,Students!$O:$O,$S$2&amp;if($K45="S1","a",if($K45="S2","b","")),Students!$A:$A,AP$2)+countifs(Students!$P:$P,$S45,Students!$Q:$Q,$S$2&amp;if($K45="S1","a",if($K45="S2","b","")),Students!$A:$A,AP$2)+countifs(Students!$R:$R,$S45,Students!$S:$S,$S$2&amp;if($K45="S1","a",if($K45="S2","b","")),Students!$A:$A,AP$2)+countifs(Students!$T:$T,$S45,Students!$U:$U,$S$2&amp;if($K45="S1","a",if($K45="S2","b","")),Students!$A:$A,AP$2)+countifs(Students!$V:$V,$S45,Students!$W:$W,$S$2&amp;if($K45="S1","a",if($K45="S2","b","")),Students!$A:$A,AP$2)+
countifs(Students!$D:$D,$V45,Students!$E:$E,$V$2&amp;if($K45="S1","a",if($K45="S2","b","")),Students!$A:$A,AP$2)+countifs(Students!$F:$F,$V45,Students!$G:$G,$V$2&amp;if($K45="S1","a",if($K45="S2","b","")),Students!$A:$A,AP$2)+countifs(Students!$H:$H,$V45,Students!$I:$I,$V$2&amp;if($K45="S1","a",if($K45="S2","b","")),Students!$A:$A,AP$2)+countifs(Students!$J:$J,$V45,Students!$K:$K,$V$2&amp;if($K45="S1","a",if($K45="S2","b","")),Students!$A:$A,AP$2)+countifs(Students!$L:$L,$V45,Students!$M:$M,$V$2&amp;if($K45="S1","a",if($K45="S2","b","")),Students!$A:$A,AP$2)+countifs(Students!$N:$N,$V45,Students!$O:$O,$V$2&amp;if($K45="S1","a",if($K45="S2","b","")),Students!$A:$A,AP$2)+countifs(Students!$P:$P,$V45,Students!$Q:$Q,$V$2&amp;if($K45="S1","a",if($K45="S2","b","")),Students!$A:$A,AP$2)+countifs(Students!$R:$R,$V45,Students!$S:$S,$V$2&amp;if($K45="S1","a",if($K45="S2","b","")),Students!$A:$A,AP$2)+countifs(Students!$T:$T,$V45,Students!$U:$U,$V$2&amp;if($K45="S1","a",if($K45="S2","b","")),Students!$A:$A,AP$2)+countifs(Students!$V:$V,$V45,Students!$W:$W,$V$2&amp;if($K45="S1","a",if($K45="S2","b","")),Students!$A:$A,AP$2)+
countifs(Students!$D:$D,$Y45,Students!$E:$E,$Y$2&amp;if($K45="S1","a",if($K45="S2","b","")),Students!$A:$A,AP$2)+countifs(Students!$F:$F,$Y45,Students!$G:$G,$Y$2&amp;if($K45="S1","a",if($K45="S2","b","")),Students!$A:$A,AP$2)+countifs(Students!$H:$H,$Y45,Students!$I:$I,$Y$2&amp;if($K45="S1","a",if($K45="S2","b","")),Students!$A:$A,AP$2)+countifs(Students!$J:$J,$Y45,Students!$K:$K,$Y$2&amp;if($K45="S1","a",if($K45="S2","b","")),Students!$A:$A,AP$2)+countifs(Students!$L:$L,$Y45,Students!$M:$M,$Y$2&amp;if($K45="S1","a",if($K45="S2","b","")),Students!$A:$A,AP$2)+countifs(Students!$N:$N,$Y45,Students!$O:$O,$Y$2&amp;if($K45="S1","a",if($K45="S2","b","")),Students!$A:$A,AP$2)+countifs(Students!$P:$P,$Y45,Students!$Q:$Q,$Y$2&amp;if($K45="S1","a",if($K45="S2","b","")),Students!$A:$A,AP$2)+countifs(Students!$R:$R,$Y45,Students!$S:$S,$Y$2&amp;if($K45="S1","a",if($K45="S2","b","")),Students!$A:$A,AP$2)+countifs(Students!$T:$T,$Y45,Students!$U:$U,$Y$2&amp;if($K45="S1","a",if($K45="S2","b","")),Students!$A:$A,AP$2)+countifs(Students!$V:$V,$Y45,Students!$W:$W,$Y$2&amp;if($K45="S1","a",if($K45="S2","b","")),Students!$A:$A,AP$2)+
countifs(Students!$D:$D,$AB45,Students!$E:$E,$AB$2&amp;if($K45="S1","a",if($K45="S2","b","")),Students!$A:$A,AP$2)+countifs(Students!$F:$F,$AB45,Students!$G:$G,$AB$2&amp;if($K45="S1","a",if($K45="S2","b","")),Students!$A:$A,AP$2)+countifs(Students!$H:$H,$AB45,Students!$I:$I,$AB$2&amp;if($K45="S1","a",if($K45="S2","b","")),Students!$A:$A,AP$2)+countifs(Students!$J:$J,$AB45,Students!$K:$K,$AB$2&amp;if($K45="S1","a",if($K45="S2","b","")),Students!$A:$A,AP$2)+countifs(Students!$L:$L,$AB45,Students!$M:$M,$AB$2&amp;if($K45="S1","a",if($K45="S2","b","")),Students!$A:$A,AP$2)+countifs(Students!$N:$N,$AB45,Students!$O:$O,$AB$2&amp;if($K45="S1","a",if($K45="S2","b","")),Students!$A:$A,AP$2)+countifs(Students!$P:$P,$AB45,Students!$Q:$Q,$AB$2&amp;if($K45="S1","a",if($K45="S2","b","")),Students!$A:$A,AP$2)+countifs(Students!$R:$R,$AB45,Students!$S:$S,$AB$2&amp;if($K45="S1","a",if($K45="S2","b","")),Students!$A:$A,AP$2)+countifs(Students!$T:$T,$AB45,Students!$U:$U,$AB$2&amp;if($K45="S1","a",if($K45="S2","b","")),Students!$A:$A,AP$2)+countifs(Students!$V:$V,$AB45,Students!$W:$W,$AB$2&amp;if($K45="S1","a",if($K45="S2","b","")),Students!$A:$A,AP$2)+
countifs(Students!$D:$D,$AE45,Students!$E:$E,$AE$2&amp;if($K45="S1","a",if($K45="S2","b","")),Students!$A:$A,AP$2)+countifs(Students!$F:$F,$AE45,Students!$G:$G,$AE$2&amp;if($K45="S1","a",if($K45="S2","b","")),Students!$A:$A,AP$2)+countifs(Students!$H:$H,$AE45,Students!$I:$I,$AE$2&amp;if($K45="S1","a",if($K45="S2","b","")),Students!$A:$A,AP$2)+countifs(Students!$J:$J,$AE45,Students!$K:$K,$AE$2&amp;if($K45="S1","a",if($K45="S2","b","")),Students!$A:$A,AP$2)+countifs(Students!$L:$L,$AE45,Students!$M:$M,$AE$2&amp;if($K45="S1","a",if($K45="S2","b","")),Students!$A:$A,AP$2)+countifs(Students!$N:$N,$AE45,Students!$O:$O,$AE$2&amp;if($K45="S1","a",if($K45="S2","b","")),Students!$A:$A,AP$2)+countifs(Students!$P:$P,$AE45,Students!$Q:$Q,$AE$2&amp;if($K45="S1","a",if($K45="S2","b","")),Students!$A:$A,AP$2)+countifs(Students!$R:$R,$AE45,Students!$S:$S,$AE$2&amp;if($K45="S1","a",if($K45="S2","b","")),Students!$A:$A,AP$2)+countifs(Students!$T:$T,$AE45,Students!$U:$U,$AE$2&amp;if($K45="S1","a",if($K45="S2","b","")),Students!$A:$A,AP$2)+countifs(Students!$V:$V,$AE45,Students!$W:$W,$AE$2&amp;if($K45="S1","a",if($K45="S2","b","")),Students!$A:$A,AP$2)+
countifs(Students!$D:$D,$AH45,Students!$E:$E,$AH$2&amp;if($K45="S1","a",if($K45="S2","b","")),Students!$A:$A,AP$2)+countifs(Students!$F:$F,$AH45,Students!$G:$G,$AH$2&amp;if($K45="S1","a",if($K45="S2","b","")),Students!$A:$A,AP$2)+countifs(Students!$H:$H,$AH45,Students!$I:$I,$AH$2&amp;if($K45="S1","a",if($K45="S2","b","")),Students!$A:$A,AP$2)+countifs(Students!$J:$J,$AH45,Students!$K:$K,$AH$2&amp;if($K45="S1","a",if($K45="S2","b","")),Students!$A:$A,AP$2)+countifs(Students!$L:$L,$AH45,Students!$M:$M,$AH$2&amp;if($K45="S1","a",if($K45="S2","b","")),Students!$A:$A,AP$2)+countifs(Students!$N:$N,$AH45,Students!$O:$O,$AH$2&amp;if($K45="S1","a",if($K45="S2","b","")),Students!$A:$A,AP$2)+countifs(Students!$P:$P,$AH45,Students!$Q:$Q,$AH$2&amp;if($K45="S1","a",if($K45="S2","b","")),Students!$A:$A,AP$2)+countifs(Students!$R:$R,$AH45,Students!$S:$S,$AH$2&amp;if($K45="S1","a",if($K45="S2","b","")),Students!$A:$A,AP$2)+countifs(Students!$T:$T,$AH45,Students!$U:$U,$AH$2&amp;if($K45="S1","a",if($K45="S2","b","")),Students!$A:$A,AP$2)+countifs(Students!$V:$V,$AH45,Students!$W:$W,$AH$2&amp;if($K45="S1","a",if($K45="S2","b","")),Students!$A:$A,AP$2)+
countifs(Students!$D:$D,$AK45,Students!$E:$E,$AK$2&amp;if($K45="S1","a",if($K45="S2","b","")),Students!$A:$A,AP$2)+countifs(Students!$F:$F,$AK45,Students!$G:$G,$AK$2&amp;if($K45="S1","a",if($K45="S2","b","")),Students!$A:$A,AP$2)+countifs(Students!$H:$H,$AK45,Students!$I:$I,$AK$2&amp;if($K45="S1","a",if($K45="S2","b","")),Students!$A:$A,AP$2)+countifs(Students!$J:$J,$AK45,Students!$K:$K,$AK$2&amp;if($K45="S1","a",if($K45="S2","b","")),Students!$A:$A,AP$2)+countifs(Students!$L:$L,$AK45,Students!$M:$M,$AK$2&amp;if($K45="S1","a",if($K45="S2","b","")),Students!$A:$A,AP$2)+countifs(Students!$N:$N,$AK45,Students!$O:$O,$AK$2&amp;if($K45="S1","a",if($K45="S2","b","")),Students!$A:$A,AP$2)+countifs(Students!$P:$P,$AK45,Students!$Q:$Q,$AK$2&amp;if($K45="S1","a",if($K45="S2","b","")),Students!$A:$A,AP$2)+countifs(Students!$R:$R,$AK45,Students!$S:$S,$AK$2&amp;if($K45="S1","a",if($K45="S2","b","")),Students!$A:$A,AP$2)+countifs(Students!$T:$T,$AK45,Students!$U:$U,$AK$2&amp;if($K45="S1","a",if($K45="S2","b","")),Students!$A:$A,AP$2)+countifs(Students!$V:$V,$AK45,Students!$W:$W,$AK$2&amp;if($K45="S1","a",if($K45="S2","b","")),Students!$A:$A,AP$2))</f>
        <v>0</v>
      </c>
      <c r="AQ45" s="102">
        <f>if($L45="","",countifs(Students!$D:$D,$P45,Students!$E:$E,$P$2&amp;if($K45="S1","a",if($K45="S2","b","")),Students!$A:$A,AQ$2)+countifs(Students!$F:$F,$P45,Students!$G:$G,$P$2&amp;if($K45="S1","a",if($K45="S2","b","")),Students!$A:$A,AQ$2)+countifs(Students!$H:$H,$P45,Students!$I:$I,$P$2&amp;if($K45="S1","a",if($K45="S2","b","")),Students!$A:$A,AQ$2)+countifs(Students!$J:$J,$P45,Students!$K:$K,$P$2&amp;if($K45="S1","a",if($K45="S2","b","")),Students!$A:$A,AQ$2)+countifs(Students!$L:$L,$P45,Students!$M:$M,$P$2&amp;if($K45="S1","a",if($K45="S2","b","")),Students!$A:$A,AQ$2)+countifs(Students!$N:$N,$P45,Students!$O:$O,$P$2&amp;if($K45="S1","a",if($K45="S2","b","")),Students!$A:$A,AQ$2)+countifs(Students!$P:$P,$P45,Students!$Q:$Q,$P$2&amp;if($K45="S1","a",if($K45="S2","b","")),Students!$A:$A,AQ$2)+countifs(Students!$R:$R,$P45,Students!$S:$S,$P$2&amp;if($K45="S1","a",if($K45="S2","b","")),Students!$A:$A,AQ$2)+countifs(Students!$T:$T,$P45,Students!$U:$U,$P$2&amp;if($K45="S1","a",if($K45="S2","b","")),Students!$A:$A,AQ$2)+countifs(Students!$V:$V,$P45,Students!$W:$W,$P$2&amp;if($K45="S1","a",if($K45="S2","b","")),Students!$A:$A,AQ$2)+
countifs(Students!$D:$D,$S45,Students!$E:$E,$S$2&amp;if($K45="S1","a",if($K45="S2","b","")),Students!$A:$A,AQ$2)+countifs(Students!$F:$F,$S45,Students!$G:$G,$S$2&amp;if($K45="S1","a",if($K45="S2","b","")),Students!$A:$A,AQ$2)+countifs(Students!$H:$H,$S45,Students!$I:$I,$S$2&amp;if($K45="S1","a",if($K45="S2","b","")),Students!$A:$A,AQ$2)+countifs(Students!$J:$J,$S45,Students!$K:$K,$S$2&amp;if($K45="S1","a",if($K45="S2","b","")),Students!$A:$A,AQ$2)+countifs(Students!$L:$L,$S45,Students!$M:$M,$S$2&amp;if($K45="S1","a",if($K45="S2","b","")),Students!$A:$A,AQ$2)+countifs(Students!$N:$N,$S45,Students!$O:$O,$S$2&amp;if($K45="S1","a",if($K45="S2","b","")),Students!$A:$A,AQ$2)+countifs(Students!$P:$P,$S45,Students!$Q:$Q,$S$2&amp;if($K45="S1","a",if($K45="S2","b","")),Students!$A:$A,AQ$2)+countifs(Students!$R:$R,$S45,Students!$S:$S,$S$2&amp;if($K45="S1","a",if($K45="S2","b","")),Students!$A:$A,AQ$2)+countifs(Students!$T:$T,$S45,Students!$U:$U,$S$2&amp;if($K45="S1","a",if($K45="S2","b","")),Students!$A:$A,AQ$2)+countifs(Students!$V:$V,$S45,Students!$W:$W,$S$2&amp;if($K45="S1","a",if($K45="S2","b","")),Students!$A:$A,AQ$2)+
countifs(Students!$D:$D,$V45,Students!$E:$E,$V$2&amp;if($K45="S1","a",if($K45="S2","b","")),Students!$A:$A,AQ$2)+countifs(Students!$F:$F,$V45,Students!$G:$G,$V$2&amp;if($K45="S1","a",if($K45="S2","b","")),Students!$A:$A,AQ$2)+countifs(Students!$H:$H,$V45,Students!$I:$I,$V$2&amp;if($K45="S1","a",if($K45="S2","b","")),Students!$A:$A,AQ$2)+countifs(Students!$J:$J,$V45,Students!$K:$K,$V$2&amp;if($K45="S1","a",if($K45="S2","b","")),Students!$A:$A,AQ$2)+countifs(Students!$L:$L,$V45,Students!$M:$M,$V$2&amp;if($K45="S1","a",if($K45="S2","b","")),Students!$A:$A,AQ$2)+countifs(Students!$N:$N,$V45,Students!$O:$O,$V$2&amp;if($K45="S1","a",if($K45="S2","b","")),Students!$A:$A,AQ$2)+countifs(Students!$P:$P,$V45,Students!$Q:$Q,$V$2&amp;if($K45="S1","a",if($K45="S2","b","")),Students!$A:$A,AQ$2)+countifs(Students!$R:$R,$V45,Students!$S:$S,$V$2&amp;if($K45="S1","a",if($K45="S2","b","")),Students!$A:$A,AQ$2)+countifs(Students!$T:$T,$V45,Students!$U:$U,$V$2&amp;if($K45="S1","a",if($K45="S2","b","")),Students!$A:$A,AQ$2)+countifs(Students!$V:$V,$V45,Students!$W:$W,$V$2&amp;if($K45="S1","a",if($K45="S2","b","")),Students!$A:$A,AQ$2)+
countifs(Students!$D:$D,$Y45,Students!$E:$E,$Y$2&amp;if($K45="S1","a",if($K45="S2","b","")),Students!$A:$A,AQ$2)+countifs(Students!$F:$F,$Y45,Students!$G:$G,$Y$2&amp;if($K45="S1","a",if($K45="S2","b","")),Students!$A:$A,AQ$2)+countifs(Students!$H:$H,$Y45,Students!$I:$I,$Y$2&amp;if($K45="S1","a",if($K45="S2","b","")),Students!$A:$A,AQ$2)+countifs(Students!$J:$J,$Y45,Students!$K:$K,$Y$2&amp;if($K45="S1","a",if($K45="S2","b","")),Students!$A:$A,AQ$2)+countifs(Students!$L:$L,$Y45,Students!$M:$M,$Y$2&amp;if($K45="S1","a",if($K45="S2","b","")),Students!$A:$A,AQ$2)+countifs(Students!$N:$N,$Y45,Students!$O:$O,$Y$2&amp;if($K45="S1","a",if($K45="S2","b","")),Students!$A:$A,AQ$2)+countifs(Students!$P:$P,$Y45,Students!$Q:$Q,$Y$2&amp;if($K45="S1","a",if($K45="S2","b","")),Students!$A:$A,AQ$2)+countifs(Students!$R:$R,$Y45,Students!$S:$S,$Y$2&amp;if($K45="S1","a",if($K45="S2","b","")),Students!$A:$A,AQ$2)+countifs(Students!$T:$T,$Y45,Students!$U:$U,$Y$2&amp;if($K45="S1","a",if($K45="S2","b","")),Students!$A:$A,AQ$2)+countifs(Students!$V:$V,$Y45,Students!$W:$W,$Y$2&amp;if($K45="S1","a",if($K45="S2","b","")),Students!$A:$A,AQ$2)+
countifs(Students!$D:$D,$AB45,Students!$E:$E,$AB$2&amp;if($K45="S1","a",if($K45="S2","b","")),Students!$A:$A,AQ$2)+countifs(Students!$F:$F,$AB45,Students!$G:$G,$AB$2&amp;if($K45="S1","a",if($K45="S2","b","")),Students!$A:$A,AQ$2)+countifs(Students!$H:$H,$AB45,Students!$I:$I,$AB$2&amp;if($K45="S1","a",if($K45="S2","b","")),Students!$A:$A,AQ$2)+countifs(Students!$J:$J,$AB45,Students!$K:$K,$AB$2&amp;if($K45="S1","a",if($K45="S2","b","")),Students!$A:$A,AQ$2)+countifs(Students!$L:$L,$AB45,Students!$M:$M,$AB$2&amp;if($K45="S1","a",if($K45="S2","b","")),Students!$A:$A,AQ$2)+countifs(Students!$N:$N,$AB45,Students!$O:$O,$AB$2&amp;if($K45="S1","a",if($K45="S2","b","")),Students!$A:$A,AQ$2)+countifs(Students!$P:$P,$AB45,Students!$Q:$Q,$AB$2&amp;if($K45="S1","a",if($K45="S2","b","")),Students!$A:$A,AQ$2)+countifs(Students!$R:$R,$AB45,Students!$S:$S,$AB$2&amp;if($K45="S1","a",if($K45="S2","b","")),Students!$A:$A,AQ$2)+countifs(Students!$T:$T,$AB45,Students!$U:$U,$AB$2&amp;if($K45="S1","a",if($K45="S2","b","")),Students!$A:$A,AQ$2)+countifs(Students!$V:$V,$AB45,Students!$W:$W,$AB$2&amp;if($K45="S1","a",if($K45="S2","b","")),Students!$A:$A,AQ$2)+
countifs(Students!$D:$D,$AE45,Students!$E:$E,$AE$2&amp;if($K45="S1","a",if($K45="S2","b","")),Students!$A:$A,AQ$2)+countifs(Students!$F:$F,$AE45,Students!$G:$G,$AE$2&amp;if($K45="S1","a",if($K45="S2","b","")),Students!$A:$A,AQ$2)+countifs(Students!$H:$H,$AE45,Students!$I:$I,$AE$2&amp;if($K45="S1","a",if($K45="S2","b","")),Students!$A:$A,AQ$2)+countifs(Students!$J:$J,$AE45,Students!$K:$K,$AE$2&amp;if($K45="S1","a",if($K45="S2","b","")),Students!$A:$A,AQ$2)+countifs(Students!$L:$L,$AE45,Students!$M:$M,$AE$2&amp;if($K45="S1","a",if($K45="S2","b","")),Students!$A:$A,AQ$2)+countifs(Students!$N:$N,$AE45,Students!$O:$O,$AE$2&amp;if($K45="S1","a",if($K45="S2","b","")),Students!$A:$A,AQ$2)+countifs(Students!$P:$P,$AE45,Students!$Q:$Q,$AE$2&amp;if($K45="S1","a",if($K45="S2","b","")),Students!$A:$A,AQ$2)+countifs(Students!$R:$R,$AE45,Students!$S:$S,$AE$2&amp;if($K45="S1","a",if($K45="S2","b","")),Students!$A:$A,AQ$2)+countifs(Students!$T:$T,$AE45,Students!$U:$U,$AE$2&amp;if($K45="S1","a",if($K45="S2","b","")),Students!$A:$A,AQ$2)+countifs(Students!$V:$V,$AE45,Students!$W:$W,$AE$2&amp;if($K45="S1","a",if($K45="S2","b","")),Students!$A:$A,AQ$2)+
countifs(Students!$D:$D,$AH45,Students!$E:$E,$AH$2&amp;if($K45="S1","a",if($K45="S2","b","")),Students!$A:$A,AQ$2)+countifs(Students!$F:$F,$AH45,Students!$G:$G,$AH$2&amp;if($K45="S1","a",if($K45="S2","b","")),Students!$A:$A,AQ$2)+countifs(Students!$H:$H,$AH45,Students!$I:$I,$AH$2&amp;if($K45="S1","a",if($K45="S2","b","")),Students!$A:$A,AQ$2)+countifs(Students!$J:$J,$AH45,Students!$K:$K,$AH$2&amp;if($K45="S1","a",if($K45="S2","b","")),Students!$A:$A,AQ$2)+countifs(Students!$L:$L,$AH45,Students!$M:$M,$AH$2&amp;if($K45="S1","a",if($K45="S2","b","")),Students!$A:$A,AQ$2)+countifs(Students!$N:$N,$AH45,Students!$O:$O,$AH$2&amp;if($K45="S1","a",if($K45="S2","b","")),Students!$A:$A,AQ$2)+countifs(Students!$P:$P,$AH45,Students!$Q:$Q,$AH$2&amp;if($K45="S1","a",if($K45="S2","b","")),Students!$A:$A,AQ$2)+countifs(Students!$R:$R,$AH45,Students!$S:$S,$AH$2&amp;if($K45="S1","a",if($K45="S2","b","")),Students!$A:$A,AQ$2)+countifs(Students!$T:$T,$AH45,Students!$U:$U,$AH$2&amp;if($K45="S1","a",if($K45="S2","b","")),Students!$A:$A,AQ$2)+countifs(Students!$V:$V,$AH45,Students!$W:$W,$AH$2&amp;if($K45="S1","a",if($K45="S2","b","")),Students!$A:$A,AQ$2)+
countifs(Students!$D:$D,$AK45,Students!$E:$E,$AK$2&amp;if($K45="S1","a",if($K45="S2","b","")),Students!$A:$A,AQ$2)+countifs(Students!$F:$F,$AK45,Students!$G:$G,$AK$2&amp;if($K45="S1","a",if($K45="S2","b","")),Students!$A:$A,AQ$2)+countifs(Students!$H:$H,$AK45,Students!$I:$I,$AK$2&amp;if($K45="S1","a",if($K45="S2","b","")),Students!$A:$A,AQ$2)+countifs(Students!$J:$J,$AK45,Students!$K:$K,$AK$2&amp;if($K45="S1","a",if($K45="S2","b","")),Students!$A:$A,AQ$2)+countifs(Students!$L:$L,$AK45,Students!$M:$M,$AK$2&amp;if($K45="S1","a",if($K45="S2","b","")),Students!$A:$A,AQ$2)+countifs(Students!$N:$N,$AK45,Students!$O:$O,$AK$2&amp;if($K45="S1","a",if($K45="S2","b","")),Students!$A:$A,AQ$2)+countifs(Students!$P:$P,$AK45,Students!$Q:$Q,$AK$2&amp;if($K45="S1","a",if($K45="S2","b","")),Students!$A:$A,AQ$2)+countifs(Students!$R:$R,$AK45,Students!$S:$S,$AK$2&amp;if($K45="S1","a",if($K45="S2","b","")),Students!$A:$A,AQ$2)+countifs(Students!$T:$T,$AK45,Students!$U:$U,$AK$2&amp;if($K45="S1","a",if($K45="S2","b","")),Students!$A:$A,AQ$2)+countifs(Students!$V:$V,$AK45,Students!$W:$W,$AK$2&amp;if($K45="S1","a",if($K45="S2","b","")),Students!$A:$A,AQ$2))</f>
        <v>0</v>
      </c>
      <c r="AR45" s="102">
        <f>if($L45="","",countifs(Students!$D:$D,$P45,Students!$E:$E,$P$2&amp;if($K45="S1","a",if($K45="S2","b","")),Students!$A:$A,AR$2)+countifs(Students!$F:$F,$P45,Students!$G:$G,$P$2&amp;if($K45="S1","a",if($K45="S2","b","")),Students!$A:$A,AR$2)+countifs(Students!$H:$H,$P45,Students!$I:$I,$P$2&amp;if($K45="S1","a",if($K45="S2","b","")),Students!$A:$A,AR$2)+countifs(Students!$J:$J,$P45,Students!$K:$K,$P$2&amp;if($K45="S1","a",if($K45="S2","b","")),Students!$A:$A,AR$2)+countifs(Students!$L:$L,$P45,Students!$M:$M,$P$2&amp;if($K45="S1","a",if($K45="S2","b","")),Students!$A:$A,AR$2)+countifs(Students!$N:$N,$P45,Students!$O:$O,$P$2&amp;if($K45="S1","a",if($K45="S2","b","")),Students!$A:$A,AR$2)+countifs(Students!$P:$P,$P45,Students!$Q:$Q,$P$2&amp;if($K45="S1","a",if($K45="S2","b","")),Students!$A:$A,AR$2)+countifs(Students!$R:$R,$P45,Students!$S:$S,$P$2&amp;if($K45="S1","a",if($K45="S2","b","")),Students!$A:$A,AR$2)+countifs(Students!$T:$T,$P45,Students!$U:$U,$P$2&amp;if($K45="S1","a",if($K45="S2","b","")),Students!$A:$A,AR$2)+countifs(Students!$V:$V,$P45,Students!$W:$W,$P$2&amp;if($K45="S1","a",if($K45="S2","b","")),Students!$A:$A,AR$2)+
countifs(Students!$D:$D,$S45,Students!$E:$E,$S$2&amp;if($K45="S1","a",if($K45="S2","b","")),Students!$A:$A,AR$2)+countifs(Students!$F:$F,$S45,Students!$G:$G,$S$2&amp;if($K45="S1","a",if($K45="S2","b","")),Students!$A:$A,AR$2)+countifs(Students!$H:$H,$S45,Students!$I:$I,$S$2&amp;if($K45="S1","a",if($K45="S2","b","")),Students!$A:$A,AR$2)+countifs(Students!$J:$J,$S45,Students!$K:$K,$S$2&amp;if($K45="S1","a",if($K45="S2","b","")),Students!$A:$A,AR$2)+countifs(Students!$L:$L,$S45,Students!$M:$M,$S$2&amp;if($K45="S1","a",if($K45="S2","b","")),Students!$A:$A,AR$2)+countifs(Students!$N:$N,$S45,Students!$O:$O,$S$2&amp;if($K45="S1","a",if($K45="S2","b","")),Students!$A:$A,AR$2)+countifs(Students!$P:$P,$S45,Students!$Q:$Q,$S$2&amp;if($K45="S1","a",if($K45="S2","b","")),Students!$A:$A,AR$2)+countifs(Students!$R:$R,$S45,Students!$S:$S,$S$2&amp;if($K45="S1","a",if($K45="S2","b","")),Students!$A:$A,AR$2)+countifs(Students!$T:$T,$S45,Students!$U:$U,$S$2&amp;if($K45="S1","a",if($K45="S2","b","")),Students!$A:$A,AR$2)+countifs(Students!$V:$V,$S45,Students!$W:$W,$S$2&amp;if($K45="S1","a",if($K45="S2","b","")),Students!$A:$A,AR$2)+
countifs(Students!$D:$D,$V45,Students!$E:$E,$V$2&amp;if($K45="S1","a",if($K45="S2","b","")),Students!$A:$A,AR$2)+countifs(Students!$F:$F,$V45,Students!$G:$G,$V$2&amp;if($K45="S1","a",if($K45="S2","b","")),Students!$A:$A,AR$2)+countifs(Students!$H:$H,$V45,Students!$I:$I,$V$2&amp;if($K45="S1","a",if($K45="S2","b","")),Students!$A:$A,AR$2)+countifs(Students!$J:$J,$V45,Students!$K:$K,$V$2&amp;if($K45="S1","a",if($K45="S2","b","")),Students!$A:$A,AR$2)+countifs(Students!$L:$L,$V45,Students!$M:$M,$V$2&amp;if($K45="S1","a",if($K45="S2","b","")),Students!$A:$A,AR$2)+countifs(Students!$N:$N,$V45,Students!$O:$O,$V$2&amp;if($K45="S1","a",if($K45="S2","b","")),Students!$A:$A,AR$2)+countifs(Students!$P:$P,$V45,Students!$Q:$Q,$V$2&amp;if($K45="S1","a",if($K45="S2","b","")),Students!$A:$A,AR$2)+countifs(Students!$R:$R,$V45,Students!$S:$S,$V$2&amp;if($K45="S1","a",if($K45="S2","b","")),Students!$A:$A,AR$2)+countifs(Students!$T:$T,$V45,Students!$U:$U,$V$2&amp;if($K45="S1","a",if($K45="S2","b","")),Students!$A:$A,AR$2)+countifs(Students!$V:$V,$V45,Students!$W:$W,$V$2&amp;if($K45="S1","a",if($K45="S2","b","")),Students!$A:$A,AR$2)+
countifs(Students!$D:$D,$Y45,Students!$E:$E,$Y$2&amp;if($K45="S1","a",if($K45="S2","b","")),Students!$A:$A,AR$2)+countifs(Students!$F:$F,$Y45,Students!$G:$G,$Y$2&amp;if($K45="S1","a",if($K45="S2","b","")),Students!$A:$A,AR$2)+countifs(Students!$H:$H,$Y45,Students!$I:$I,$Y$2&amp;if($K45="S1","a",if($K45="S2","b","")),Students!$A:$A,AR$2)+countifs(Students!$J:$J,$Y45,Students!$K:$K,$Y$2&amp;if($K45="S1","a",if($K45="S2","b","")),Students!$A:$A,AR$2)+countifs(Students!$L:$L,$Y45,Students!$M:$M,$Y$2&amp;if($K45="S1","a",if($K45="S2","b","")),Students!$A:$A,AR$2)+countifs(Students!$N:$N,$Y45,Students!$O:$O,$Y$2&amp;if($K45="S1","a",if($K45="S2","b","")),Students!$A:$A,AR$2)+countifs(Students!$P:$P,$Y45,Students!$Q:$Q,$Y$2&amp;if($K45="S1","a",if($K45="S2","b","")),Students!$A:$A,AR$2)+countifs(Students!$R:$R,$Y45,Students!$S:$S,$Y$2&amp;if($K45="S1","a",if($K45="S2","b","")),Students!$A:$A,AR$2)+countifs(Students!$T:$T,$Y45,Students!$U:$U,$Y$2&amp;if($K45="S1","a",if($K45="S2","b","")),Students!$A:$A,AR$2)+countifs(Students!$V:$V,$Y45,Students!$W:$W,$Y$2&amp;if($K45="S1","a",if($K45="S2","b","")),Students!$A:$A,AR$2)+
countifs(Students!$D:$D,$AB45,Students!$E:$E,$AB$2&amp;if($K45="S1","a",if($K45="S2","b","")),Students!$A:$A,AR$2)+countifs(Students!$F:$F,$AB45,Students!$G:$G,$AB$2&amp;if($K45="S1","a",if($K45="S2","b","")),Students!$A:$A,AR$2)+countifs(Students!$H:$H,$AB45,Students!$I:$I,$AB$2&amp;if($K45="S1","a",if($K45="S2","b","")),Students!$A:$A,AR$2)+countifs(Students!$J:$J,$AB45,Students!$K:$K,$AB$2&amp;if($K45="S1","a",if($K45="S2","b","")),Students!$A:$A,AR$2)+countifs(Students!$L:$L,$AB45,Students!$M:$M,$AB$2&amp;if($K45="S1","a",if($K45="S2","b","")),Students!$A:$A,AR$2)+countifs(Students!$N:$N,$AB45,Students!$O:$O,$AB$2&amp;if($K45="S1","a",if($K45="S2","b","")),Students!$A:$A,AR$2)+countifs(Students!$P:$P,$AB45,Students!$Q:$Q,$AB$2&amp;if($K45="S1","a",if($K45="S2","b","")),Students!$A:$A,AR$2)+countifs(Students!$R:$R,$AB45,Students!$S:$S,$AB$2&amp;if($K45="S1","a",if($K45="S2","b","")),Students!$A:$A,AR$2)+countifs(Students!$T:$T,$AB45,Students!$U:$U,$AB$2&amp;if($K45="S1","a",if($K45="S2","b","")),Students!$A:$A,AR$2)+countifs(Students!$V:$V,$AB45,Students!$W:$W,$AB$2&amp;if($K45="S1","a",if($K45="S2","b","")),Students!$A:$A,AR$2)+
countifs(Students!$D:$D,$AE45,Students!$E:$E,$AE$2&amp;if($K45="S1","a",if($K45="S2","b","")),Students!$A:$A,AR$2)+countifs(Students!$F:$F,$AE45,Students!$G:$G,$AE$2&amp;if($K45="S1","a",if($K45="S2","b","")),Students!$A:$A,AR$2)+countifs(Students!$H:$H,$AE45,Students!$I:$I,$AE$2&amp;if($K45="S1","a",if($K45="S2","b","")),Students!$A:$A,AR$2)+countifs(Students!$J:$J,$AE45,Students!$K:$K,$AE$2&amp;if($K45="S1","a",if($K45="S2","b","")),Students!$A:$A,AR$2)+countifs(Students!$L:$L,$AE45,Students!$M:$M,$AE$2&amp;if($K45="S1","a",if($K45="S2","b","")),Students!$A:$A,AR$2)+countifs(Students!$N:$N,$AE45,Students!$O:$O,$AE$2&amp;if($K45="S1","a",if($K45="S2","b","")),Students!$A:$A,AR$2)+countifs(Students!$P:$P,$AE45,Students!$Q:$Q,$AE$2&amp;if($K45="S1","a",if($K45="S2","b","")),Students!$A:$A,AR$2)+countifs(Students!$R:$R,$AE45,Students!$S:$S,$AE$2&amp;if($K45="S1","a",if($K45="S2","b","")),Students!$A:$A,AR$2)+countifs(Students!$T:$T,$AE45,Students!$U:$U,$AE$2&amp;if($K45="S1","a",if($K45="S2","b","")),Students!$A:$A,AR$2)+countifs(Students!$V:$V,$AE45,Students!$W:$W,$AE$2&amp;if($K45="S1","a",if($K45="S2","b","")),Students!$A:$A,AR$2)+
countifs(Students!$D:$D,$AH45,Students!$E:$E,$AH$2&amp;if($K45="S1","a",if($K45="S2","b","")),Students!$A:$A,AR$2)+countifs(Students!$F:$F,$AH45,Students!$G:$G,$AH$2&amp;if($K45="S1","a",if($K45="S2","b","")),Students!$A:$A,AR$2)+countifs(Students!$H:$H,$AH45,Students!$I:$I,$AH$2&amp;if($K45="S1","a",if($K45="S2","b","")),Students!$A:$A,AR$2)+countifs(Students!$J:$J,$AH45,Students!$K:$K,$AH$2&amp;if($K45="S1","a",if($K45="S2","b","")),Students!$A:$A,AR$2)+countifs(Students!$L:$L,$AH45,Students!$M:$M,$AH$2&amp;if($K45="S1","a",if($K45="S2","b","")),Students!$A:$A,AR$2)+countifs(Students!$N:$N,$AH45,Students!$O:$O,$AH$2&amp;if($K45="S1","a",if($K45="S2","b","")),Students!$A:$A,AR$2)+countifs(Students!$P:$P,$AH45,Students!$Q:$Q,$AH$2&amp;if($K45="S1","a",if($K45="S2","b","")),Students!$A:$A,AR$2)+countifs(Students!$R:$R,$AH45,Students!$S:$S,$AH$2&amp;if($K45="S1","a",if($K45="S2","b","")),Students!$A:$A,AR$2)+countifs(Students!$T:$T,$AH45,Students!$U:$U,$AH$2&amp;if($K45="S1","a",if($K45="S2","b","")),Students!$A:$A,AR$2)+countifs(Students!$V:$V,$AH45,Students!$W:$W,$AH$2&amp;if($K45="S1","a",if($K45="S2","b","")),Students!$A:$A,AR$2)+
countifs(Students!$D:$D,$AK45,Students!$E:$E,$AK$2&amp;if($K45="S1","a",if($K45="S2","b","")),Students!$A:$A,AR$2)+countifs(Students!$F:$F,$AK45,Students!$G:$G,$AK$2&amp;if($K45="S1","a",if($K45="S2","b","")),Students!$A:$A,AR$2)+countifs(Students!$H:$H,$AK45,Students!$I:$I,$AK$2&amp;if($K45="S1","a",if($K45="S2","b","")),Students!$A:$A,AR$2)+countifs(Students!$J:$J,$AK45,Students!$K:$K,$AK$2&amp;if($K45="S1","a",if($K45="S2","b","")),Students!$A:$A,AR$2)+countifs(Students!$L:$L,$AK45,Students!$M:$M,$AK$2&amp;if($K45="S1","a",if($K45="S2","b","")),Students!$A:$A,AR$2)+countifs(Students!$N:$N,$AK45,Students!$O:$O,$AK$2&amp;if($K45="S1","a",if($K45="S2","b","")),Students!$A:$A,AR$2)+countifs(Students!$P:$P,$AK45,Students!$Q:$Q,$AK$2&amp;if($K45="S1","a",if($K45="S2","b","")),Students!$A:$A,AR$2)+countifs(Students!$R:$R,$AK45,Students!$S:$S,$AK$2&amp;if($K45="S1","a",if($K45="S2","b","")),Students!$A:$A,AR$2)+countifs(Students!$T:$T,$AK45,Students!$U:$U,$AK$2&amp;if($K45="S1","a",if($K45="S2","b","")),Students!$A:$A,AR$2)+countifs(Students!$V:$V,$AK45,Students!$W:$W,$AK$2&amp;if($K45="S1","a",if($K45="S2","b","")),Students!$A:$A,AR$2))</f>
        <v>123</v>
      </c>
      <c r="AS45" s="102">
        <f>if($L45="","",countifs(Students!$D:$D,$P45,Students!$E:$E,$P$2&amp;if($K45="S1","a",if($K45="S2","b","")),Students!$A:$A,AS$2)+countifs(Students!$F:$F,$P45,Students!$G:$G,$P$2&amp;if($K45="S1","a",if($K45="S2","b","")),Students!$A:$A,AS$2)+countifs(Students!$H:$H,$P45,Students!$I:$I,$P$2&amp;if($K45="S1","a",if($K45="S2","b","")),Students!$A:$A,AS$2)+countifs(Students!$J:$J,$P45,Students!$K:$K,$P$2&amp;if($K45="S1","a",if($K45="S2","b","")),Students!$A:$A,AS$2)+countifs(Students!$L:$L,$P45,Students!$M:$M,$P$2&amp;if($K45="S1","a",if($K45="S2","b","")),Students!$A:$A,AS$2)+countifs(Students!$N:$N,$P45,Students!$O:$O,$P$2&amp;if($K45="S1","a",if($K45="S2","b","")),Students!$A:$A,AS$2)+countifs(Students!$P:$P,$P45,Students!$Q:$Q,$P$2&amp;if($K45="S1","a",if($K45="S2","b","")),Students!$A:$A,AS$2)+countifs(Students!$R:$R,$P45,Students!$S:$S,$P$2&amp;if($K45="S1","a",if($K45="S2","b","")),Students!$A:$A,AS$2)+countifs(Students!$T:$T,$P45,Students!$U:$U,$P$2&amp;if($K45="S1","a",if($K45="S2","b","")),Students!$A:$A,AS$2)+countifs(Students!$V:$V,$P45,Students!$W:$W,$P$2&amp;if($K45="S1","a",if($K45="S2","b","")),Students!$A:$A,AS$2)+
countifs(Students!$D:$D,$S45,Students!$E:$E,$S$2&amp;if($K45="S1","a",if($K45="S2","b","")),Students!$A:$A,AS$2)+countifs(Students!$F:$F,$S45,Students!$G:$G,$S$2&amp;if($K45="S1","a",if($K45="S2","b","")),Students!$A:$A,AS$2)+countifs(Students!$H:$H,$S45,Students!$I:$I,$S$2&amp;if($K45="S1","a",if($K45="S2","b","")),Students!$A:$A,AS$2)+countifs(Students!$J:$J,$S45,Students!$K:$K,$S$2&amp;if($K45="S1","a",if($K45="S2","b","")),Students!$A:$A,AS$2)+countifs(Students!$L:$L,$S45,Students!$M:$M,$S$2&amp;if($K45="S1","a",if($K45="S2","b","")),Students!$A:$A,AS$2)+countifs(Students!$N:$N,$S45,Students!$O:$O,$S$2&amp;if($K45="S1","a",if($K45="S2","b","")),Students!$A:$A,AS$2)+countifs(Students!$P:$P,$S45,Students!$Q:$Q,$S$2&amp;if($K45="S1","a",if($K45="S2","b","")),Students!$A:$A,AS$2)+countifs(Students!$R:$R,$S45,Students!$S:$S,$S$2&amp;if($K45="S1","a",if($K45="S2","b","")),Students!$A:$A,AS$2)+countifs(Students!$T:$T,$S45,Students!$U:$U,$S$2&amp;if($K45="S1","a",if($K45="S2","b","")),Students!$A:$A,AS$2)+countifs(Students!$V:$V,$S45,Students!$W:$W,$S$2&amp;if($K45="S1","a",if($K45="S2","b","")),Students!$A:$A,AS$2)+
countifs(Students!$D:$D,$V45,Students!$E:$E,$V$2&amp;if($K45="S1","a",if($K45="S2","b","")),Students!$A:$A,AS$2)+countifs(Students!$F:$F,$V45,Students!$G:$G,$V$2&amp;if($K45="S1","a",if($K45="S2","b","")),Students!$A:$A,AS$2)+countifs(Students!$H:$H,$V45,Students!$I:$I,$V$2&amp;if($K45="S1","a",if($K45="S2","b","")),Students!$A:$A,AS$2)+countifs(Students!$J:$J,$V45,Students!$K:$K,$V$2&amp;if($K45="S1","a",if($K45="S2","b","")),Students!$A:$A,AS$2)+countifs(Students!$L:$L,$V45,Students!$M:$M,$V$2&amp;if($K45="S1","a",if($K45="S2","b","")),Students!$A:$A,AS$2)+countifs(Students!$N:$N,$V45,Students!$O:$O,$V$2&amp;if($K45="S1","a",if($K45="S2","b","")),Students!$A:$A,AS$2)+countifs(Students!$P:$P,$V45,Students!$Q:$Q,$V$2&amp;if($K45="S1","a",if($K45="S2","b","")),Students!$A:$A,AS$2)+countifs(Students!$R:$R,$V45,Students!$S:$S,$V$2&amp;if($K45="S1","a",if($K45="S2","b","")),Students!$A:$A,AS$2)+countifs(Students!$T:$T,$V45,Students!$U:$U,$V$2&amp;if($K45="S1","a",if($K45="S2","b","")),Students!$A:$A,AS$2)+countifs(Students!$V:$V,$V45,Students!$W:$W,$V$2&amp;if($K45="S1","a",if($K45="S2","b","")),Students!$A:$A,AS$2)+
countifs(Students!$D:$D,$Y45,Students!$E:$E,$Y$2&amp;if($K45="S1","a",if($K45="S2","b","")),Students!$A:$A,AS$2)+countifs(Students!$F:$F,$Y45,Students!$G:$G,$Y$2&amp;if($K45="S1","a",if($K45="S2","b","")),Students!$A:$A,AS$2)+countifs(Students!$H:$H,$Y45,Students!$I:$I,$Y$2&amp;if($K45="S1","a",if($K45="S2","b","")),Students!$A:$A,AS$2)+countifs(Students!$J:$J,$Y45,Students!$K:$K,$Y$2&amp;if($K45="S1","a",if($K45="S2","b","")),Students!$A:$A,AS$2)+countifs(Students!$L:$L,$Y45,Students!$M:$M,$Y$2&amp;if($K45="S1","a",if($K45="S2","b","")),Students!$A:$A,AS$2)+countifs(Students!$N:$N,$Y45,Students!$O:$O,$Y$2&amp;if($K45="S1","a",if($K45="S2","b","")),Students!$A:$A,AS$2)+countifs(Students!$P:$P,$Y45,Students!$Q:$Q,$Y$2&amp;if($K45="S1","a",if($K45="S2","b","")),Students!$A:$A,AS$2)+countifs(Students!$R:$R,$Y45,Students!$S:$S,$Y$2&amp;if($K45="S1","a",if($K45="S2","b","")),Students!$A:$A,AS$2)+countifs(Students!$T:$T,$Y45,Students!$U:$U,$Y$2&amp;if($K45="S1","a",if($K45="S2","b","")),Students!$A:$A,AS$2)+countifs(Students!$V:$V,$Y45,Students!$W:$W,$Y$2&amp;if($K45="S1","a",if($K45="S2","b","")),Students!$A:$A,AS$2)+
countifs(Students!$D:$D,$AB45,Students!$E:$E,$AB$2&amp;if($K45="S1","a",if($K45="S2","b","")),Students!$A:$A,AS$2)+countifs(Students!$F:$F,$AB45,Students!$G:$G,$AB$2&amp;if($K45="S1","a",if($K45="S2","b","")),Students!$A:$A,AS$2)+countifs(Students!$H:$H,$AB45,Students!$I:$I,$AB$2&amp;if($K45="S1","a",if($K45="S2","b","")),Students!$A:$A,AS$2)+countifs(Students!$J:$J,$AB45,Students!$K:$K,$AB$2&amp;if($K45="S1","a",if($K45="S2","b","")),Students!$A:$A,AS$2)+countifs(Students!$L:$L,$AB45,Students!$M:$M,$AB$2&amp;if($K45="S1","a",if($K45="S2","b","")),Students!$A:$A,AS$2)+countifs(Students!$N:$N,$AB45,Students!$O:$O,$AB$2&amp;if($K45="S1","a",if($K45="S2","b","")),Students!$A:$A,AS$2)+countifs(Students!$P:$P,$AB45,Students!$Q:$Q,$AB$2&amp;if($K45="S1","a",if($K45="S2","b","")),Students!$A:$A,AS$2)+countifs(Students!$R:$R,$AB45,Students!$S:$S,$AB$2&amp;if($K45="S1","a",if($K45="S2","b","")),Students!$A:$A,AS$2)+countifs(Students!$T:$T,$AB45,Students!$U:$U,$AB$2&amp;if($K45="S1","a",if($K45="S2","b","")),Students!$A:$A,AS$2)+countifs(Students!$V:$V,$AB45,Students!$W:$W,$AB$2&amp;if($K45="S1","a",if($K45="S2","b","")),Students!$A:$A,AS$2)+
countifs(Students!$D:$D,$AE45,Students!$E:$E,$AE$2&amp;if($K45="S1","a",if($K45="S2","b","")),Students!$A:$A,AS$2)+countifs(Students!$F:$F,$AE45,Students!$G:$G,$AE$2&amp;if($K45="S1","a",if($K45="S2","b","")),Students!$A:$A,AS$2)+countifs(Students!$H:$H,$AE45,Students!$I:$I,$AE$2&amp;if($K45="S1","a",if($K45="S2","b","")),Students!$A:$A,AS$2)+countifs(Students!$J:$J,$AE45,Students!$K:$K,$AE$2&amp;if($K45="S1","a",if($K45="S2","b","")),Students!$A:$A,AS$2)+countifs(Students!$L:$L,$AE45,Students!$M:$M,$AE$2&amp;if($K45="S1","a",if($K45="S2","b","")),Students!$A:$A,AS$2)+countifs(Students!$N:$N,$AE45,Students!$O:$O,$AE$2&amp;if($K45="S1","a",if($K45="S2","b","")),Students!$A:$A,AS$2)+countifs(Students!$P:$P,$AE45,Students!$Q:$Q,$AE$2&amp;if($K45="S1","a",if($K45="S2","b","")),Students!$A:$A,AS$2)+countifs(Students!$R:$R,$AE45,Students!$S:$S,$AE$2&amp;if($K45="S1","a",if($K45="S2","b","")),Students!$A:$A,AS$2)+countifs(Students!$T:$T,$AE45,Students!$U:$U,$AE$2&amp;if($K45="S1","a",if($K45="S2","b","")),Students!$A:$A,AS$2)+countifs(Students!$V:$V,$AE45,Students!$W:$W,$AE$2&amp;if($K45="S1","a",if($K45="S2","b","")),Students!$A:$A,AS$2)+
countifs(Students!$D:$D,$AH45,Students!$E:$E,$AH$2&amp;if($K45="S1","a",if($K45="S2","b","")),Students!$A:$A,AS$2)+countifs(Students!$F:$F,$AH45,Students!$G:$G,$AH$2&amp;if($K45="S1","a",if($K45="S2","b","")),Students!$A:$A,AS$2)+countifs(Students!$H:$H,$AH45,Students!$I:$I,$AH$2&amp;if($K45="S1","a",if($K45="S2","b","")),Students!$A:$A,AS$2)+countifs(Students!$J:$J,$AH45,Students!$K:$K,$AH$2&amp;if($K45="S1","a",if($K45="S2","b","")),Students!$A:$A,AS$2)+countifs(Students!$L:$L,$AH45,Students!$M:$M,$AH$2&amp;if($K45="S1","a",if($K45="S2","b","")),Students!$A:$A,AS$2)+countifs(Students!$N:$N,$AH45,Students!$O:$O,$AH$2&amp;if($K45="S1","a",if($K45="S2","b","")),Students!$A:$A,AS$2)+countifs(Students!$P:$P,$AH45,Students!$Q:$Q,$AH$2&amp;if($K45="S1","a",if($K45="S2","b","")),Students!$A:$A,AS$2)+countifs(Students!$R:$R,$AH45,Students!$S:$S,$AH$2&amp;if($K45="S1","a",if($K45="S2","b","")),Students!$A:$A,AS$2)+countifs(Students!$T:$T,$AH45,Students!$U:$U,$AH$2&amp;if($K45="S1","a",if($K45="S2","b","")),Students!$A:$A,AS$2)+countifs(Students!$V:$V,$AH45,Students!$W:$W,$AH$2&amp;if($K45="S1","a",if($K45="S2","b","")),Students!$A:$A,AS$2)+
countifs(Students!$D:$D,$AK45,Students!$E:$E,$AK$2&amp;if($K45="S1","a",if($K45="S2","b","")),Students!$A:$A,AS$2)+countifs(Students!$F:$F,$AK45,Students!$G:$G,$AK$2&amp;if($K45="S1","a",if($K45="S2","b","")),Students!$A:$A,AS$2)+countifs(Students!$H:$H,$AK45,Students!$I:$I,$AK$2&amp;if($K45="S1","a",if($K45="S2","b","")),Students!$A:$A,AS$2)+countifs(Students!$J:$J,$AK45,Students!$K:$K,$AK$2&amp;if($K45="S1","a",if($K45="S2","b","")),Students!$A:$A,AS$2)+countifs(Students!$L:$L,$AK45,Students!$M:$M,$AK$2&amp;if($K45="S1","a",if($K45="S2","b","")),Students!$A:$A,AS$2)+countifs(Students!$N:$N,$AK45,Students!$O:$O,$AK$2&amp;if($K45="S1","a",if($K45="S2","b","")),Students!$A:$A,AS$2)+countifs(Students!$P:$P,$AK45,Students!$Q:$Q,$AK$2&amp;if($K45="S1","a",if($K45="S2","b","")),Students!$A:$A,AS$2)+countifs(Students!$R:$R,$AK45,Students!$S:$S,$AK$2&amp;if($K45="S1","a",if($K45="S2","b","")),Students!$A:$A,AS$2)+countifs(Students!$T:$T,$AK45,Students!$U:$U,$AK$2&amp;if($K45="S1","a",if($K45="S2","b","")),Students!$A:$A,AS$2)+countifs(Students!$V:$V,$AK45,Students!$W:$W,$AK$2&amp;if($K45="S1","a",if($K45="S2","b","")),Students!$A:$A,AS$2))</f>
        <v>2</v>
      </c>
    </row>
    <row r="46">
      <c r="J46" s="87">
        <v>127.0</v>
      </c>
      <c r="K46" s="20"/>
      <c r="L46" s="127" t="s">
        <v>133</v>
      </c>
      <c r="M46" s="107"/>
      <c r="N46" s="87">
        <v>1.0</v>
      </c>
      <c r="O46" s="87">
        <f>IFERROR(__xludf.DUMMYFUNCTION("3*counta((transpose(filter(P46:AM46,P46:AM46&lt;&gt;"""",isnumber(P46:AM46)=false))))"),18.0)</f>
        <v>18</v>
      </c>
      <c r="P46" s="103" t="s">
        <v>134</v>
      </c>
      <c r="Q46" s="101">
        <v>1.0</v>
      </c>
      <c r="R46" s="98">
        <v>23.0</v>
      </c>
      <c r="S46" s="101" t="s">
        <v>134</v>
      </c>
      <c r="T46" s="101">
        <v>2.0</v>
      </c>
      <c r="U46" s="98">
        <v>24.0</v>
      </c>
      <c r="V46" s="101"/>
      <c r="W46" s="101"/>
      <c r="X46" s="92" t="s">
        <v>22</v>
      </c>
      <c r="Y46" s="90" t="s">
        <v>134</v>
      </c>
      <c r="Z46" s="91">
        <v>3.0</v>
      </c>
      <c r="AA46" s="92">
        <v>21.0</v>
      </c>
      <c r="AB46" s="91" t="s">
        <v>134</v>
      </c>
      <c r="AC46" s="101">
        <v>4.0</v>
      </c>
      <c r="AD46" s="98">
        <v>20.0</v>
      </c>
      <c r="AE46" s="103" t="s">
        <v>134</v>
      </c>
      <c r="AF46" s="101">
        <v>5.0</v>
      </c>
      <c r="AG46" s="92">
        <v>20.0</v>
      </c>
      <c r="AH46" s="91"/>
      <c r="AI46" s="96"/>
      <c r="AJ46" s="92" t="s">
        <v>22</v>
      </c>
      <c r="AK46" s="101" t="s">
        <v>134</v>
      </c>
      <c r="AL46" s="97">
        <v>6.0</v>
      </c>
      <c r="AM46" s="98">
        <v>19.0</v>
      </c>
      <c r="AN46" s="99"/>
      <c r="AO46" s="52">
        <f t="shared" si="2"/>
        <v>127</v>
      </c>
      <c r="AP46" s="102">
        <f>if($L46="","",countifs(Students!$D:$D,$P46,Students!$E:$E,$P$2&amp;if($K46="S1","a",if($K46="S2","b","")),Students!$A:$A,AP$2)+countifs(Students!$F:$F,$P46,Students!$G:$G,$P$2&amp;if($K46="S1","a",if($K46="S2","b","")),Students!$A:$A,AP$2)+countifs(Students!$H:$H,$P46,Students!$I:$I,$P$2&amp;if($K46="S1","a",if($K46="S2","b","")),Students!$A:$A,AP$2)+countifs(Students!$J:$J,$P46,Students!$K:$K,$P$2&amp;if($K46="S1","a",if($K46="S2","b","")),Students!$A:$A,AP$2)+countifs(Students!$L:$L,$P46,Students!$M:$M,$P$2&amp;if($K46="S1","a",if($K46="S2","b","")),Students!$A:$A,AP$2)+countifs(Students!$N:$N,$P46,Students!$O:$O,$P$2&amp;if($K46="S1","a",if($K46="S2","b","")),Students!$A:$A,AP$2)+countifs(Students!$P:$P,$P46,Students!$Q:$Q,$P$2&amp;if($K46="S1","a",if($K46="S2","b","")),Students!$A:$A,AP$2)+countifs(Students!$R:$R,$P46,Students!$S:$S,$P$2&amp;if($K46="S1","a",if($K46="S2","b","")),Students!$A:$A,AP$2)+countifs(Students!$T:$T,$P46,Students!$U:$U,$P$2&amp;if($K46="S1","a",if($K46="S2","b","")),Students!$A:$A,AP$2)+countifs(Students!$V:$V,$P46,Students!$W:$W,$P$2&amp;if($K46="S1","a",if($K46="S2","b","")),Students!$A:$A,AP$2)+
countifs(Students!$D:$D,$S46,Students!$E:$E,$S$2&amp;if($K46="S1","a",if($K46="S2","b","")),Students!$A:$A,AP$2)+countifs(Students!$F:$F,$S46,Students!$G:$G,$S$2&amp;if($K46="S1","a",if($K46="S2","b","")),Students!$A:$A,AP$2)+countifs(Students!$H:$H,$S46,Students!$I:$I,$S$2&amp;if($K46="S1","a",if($K46="S2","b","")),Students!$A:$A,AP$2)+countifs(Students!$J:$J,$S46,Students!$K:$K,$S$2&amp;if($K46="S1","a",if($K46="S2","b","")),Students!$A:$A,AP$2)+countifs(Students!$L:$L,$S46,Students!$M:$M,$S$2&amp;if($K46="S1","a",if($K46="S2","b","")),Students!$A:$A,AP$2)+countifs(Students!$N:$N,$S46,Students!$O:$O,$S$2&amp;if($K46="S1","a",if($K46="S2","b","")),Students!$A:$A,AP$2)+countifs(Students!$P:$P,$S46,Students!$Q:$Q,$S$2&amp;if($K46="S1","a",if($K46="S2","b","")),Students!$A:$A,AP$2)+countifs(Students!$R:$R,$S46,Students!$S:$S,$S$2&amp;if($K46="S1","a",if($K46="S2","b","")),Students!$A:$A,AP$2)+countifs(Students!$T:$T,$S46,Students!$U:$U,$S$2&amp;if($K46="S1","a",if($K46="S2","b","")),Students!$A:$A,AP$2)+countifs(Students!$V:$V,$S46,Students!$W:$W,$S$2&amp;if($K46="S1","a",if($K46="S2","b","")),Students!$A:$A,AP$2)+
countifs(Students!$D:$D,$V46,Students!$E:$E,$V$2&amp;if($K46="S1","a",if($K46="S2","b","")),Students!$A:$A,AP$2)+countifs(Students!$F:$F,$V46,Students!$G:$G,$V$2&amp;if($K46="S1","a",if($K46="S2","b","")),Students!$A:$A,AP$2)+countifs(Students!$H:$H,$V46,Students!$I:$I,$V$2&amp;if($K46="S1","a",if($K46="S2","b","")),Students!$A:$A,AP$2)+countifs(Students!$J:$J,$V46,Students!$K:$K,$V$2&amp;if($K46="S1","a",if($K46="S2","b","")),Students!$A:$A,AP$2)+countifs(Students!$L:$L,$V46,Students!$M:$M,$V$2&amp;if($K46="S1","a",if($K46="S2","b","")),Students!$A:$A,AP$2)+countifs(Students!$N:$N,$V46,Students!$O:$O,$V$2&amp;if($K46="S1","a",if($K46="S2","b","")),Students!$A:$A,AP$2)+countifs(Students!$P:$P,$V46,Students!$Q:$Q,$V$2&amp;if($K46="S1","a",if($K46="S2","b","")),Students!$A:$A,AP$2)+countifs(Students!$R:$R,$V46,Students!$S:$S,$V$2&amp;if($K46="S1","a",if($K46="S2","b","")),Students!$A:$A,AP$2)+countifs(Students!$T:$T,$V46,Students!$U:$U,$V$2&amp;if($K46="S1","a",if($K46="S2","b","")),Students!$A:$A,AP$2)+countifs(Students!$V:$V,$V46,Students!$W:$W,$V$2&amp;if($K46="S1","a",if($K46="S2","b","")),Students!$A:$A,AP$2)+
countifs(Students!$D:$D,$Y46,Students!$E:$E,$Y$2&amp;if($K46="S1","a",if($K46="S2","b","")),Students!$A:$A,AP$2)+countifs(Students!$F:$F,$Y46,Students!$G:$G,$Y$2&amp;if($K46="S1","a",if($K46="S2","b","")),Students!$A:$A,AP$2)+countifs(Students!$H:$H,$Y46,Students!$I:$I,$Y$2&amp;if($K46="S1","a",if($K46="S2","b","")),Students!$A:$A,AP$2)+countifs(Students!$J:$J,$Y46,Students!$K:$K,$Y$2&amp;if($K46="S1","a",if($K46="S2","b","")),Students!$A:$A,AP$2)+countifs(Students!$L:$L,$Y46,Students!$M:$M,$Y$2&amp;if($K46="S1","a",if($K46="S2","b","")),Students!$A:$A,AP$2)+countifs(Students!$N:$N,$Y46,Students!$O:$O,$Y$2&amp;if($K46="S1","a",if($K46="S2","b","")),Students!$A:$A,AP$2)+countifs(Students!$P:$P,$Y46,Students!$Q:$Q,$Y$2&amp;if($K46="S1","a",if($K46="S2","b","")),Students!$A:$A,AP$2)+countifs(Students!$R:$R,$Y46,Students!$S:$S,$Y$2&amp;if($K46="S1","a",if($K46="S2","b","")),Students!$A:$A,AP$2)+countifs(Students!$T:$T,$Y46,Students!$U:$U,$Y$2&amp;if($K46="S1","a",if($K46="S2","b","")),Students!$A:$A,AP$2)+countifs(Students!$V:$V,$Y46,Students!$W:$W,$Y$2&amp;if($K46="S1","a",if($K46="S2","b","")),Students!$A:$A,AP$2)+
countifs(Students!$D:$D,$AB46,Students!$E:$E,$AB$2&amp;if($K46="S1","a",if($K46="S2","b","")),Students!$A:$A,AP$2)+countifs(Students!$F:$F,$AB46,Students!$G:$G,$AB$2&amp;if($K46="S1","a",if($K46="S2","b","")),Students!$A:$A,AP$2)+countifs(Students!$H:$H,$AB46,Students!$I:$I,$AB$2&amp;if($K46="S1","a",if($K46="S2","b","")),Students!$A:$A,AP$2)+countifs(Students!$J:$J,$AB46,Students!$K:$K,$AB$2&amp;if($K46="S1","a",if($K46="S2","b","")),Students!$A:$A,AP$2)+countifs(Students!$L:$L,$AB46,Students!$M:$M,$AB$2&amp;if($K46="S1","a",if($K46="S2","b","")),Students!$A:$A,AP$2)+countifs(Students!$N:$N,$AB46,Students!$O:$O,$AB$2&amp;if($K46="S1","a",if($K46="S2","b","")),Students!$A:$A,AP$2)+countifs(Students!$P:$P,$AB46,Students!$Q:$Q,$AB$2&amp;if($K46="S1","a",if($K46="S2","b","")),Students!$A:$A,AP$2)+countifs(Students!$R:$R,$AB46,Students!$S:$S,$AB$2&amp;if($K46="S1","a",if($K46="S2","b","")),Students!$A:$A,AP$2)+countifs(Students!$T:$T,$AB46,Students!$U:$U,$AB$2&amp;if($K46="S1","a",if($K46="S2","b","")),Students!$A:$A,AP$2)+countifs(Students!$V:$V,$AB46,Students!$W:$W,$AB$2&amp;if($K46="S1","a",if($K46="S2","b","")),Students!$A:$A,AP$2)+
countifs(Students!$D:$D,$AE46,Students!$E:$E,$AE$2&amp;if($K46="S1","a",if($K46="S2","b","")),Students!$A:$A,AP$2)+countifs(Students!$F:$F,$AE46,Students!$G:$G,$AE$2&amp;if($K46="S1","a",if($K46="S2","b","")),Students!$A:$A,AP$2)+countifs(Students!$H:$H,$AE46,Students!$I:$I,$AE$2&amp;if($K46="S1","a",if($K46="S2","b","")),Students!$A:$A,AP$2)+countifs(Students!$J:$J,$AE46,Students!$K:$K,$AE$2&amp;if($K46="S1","a",if($K46="S2","b","")),Students!$A:$A,AP$2)+countifs(Students!$L:$L,$AE46,Students!$M:$M,$AE$2&amp;if($K46="S1","a",if($K46="S2","b","")),Students!$A:$A,AP$2)+countifs(Students!$N:$N,$AE46,Students!$O:$O,$AE$2&amp;if($K46="S1","a",if($K46="S2","b","")),Students!$A:$A,AP$2)+countifs(Students!$P:$P,$AE46,Students!$Q:$Q,$AE$2&amp;if($K46="S1","a",if($K46="S2","b","")),Students!$A:$A,AP$2)+countifs(Students!$R:$R,$AE46,Students!$S:$S,$AE$2&amp;if($K46="S1","a",if($K46="S2","b","")),Students!$A:$A,AP$2)+countifs(Students!$T:$T,$AE46,Students!$U:$U,$AE$2&amp;if($K46="S1","a",if($K46="S2","b","")),Students!$A:$A,AP$2)+countifs(Students!$V:$V,$AE46,Students!$W:$W,$AE$2&amp;if($K46="S1","a",if($K46="S2","b","")),Students!$A:$A,AP$2)+
countifs(Students!$D:$D,$AH46,Students!$E:$E,$AH$2&amp;if($K46="S1","a",if($K46="S2","b","")),Students!$A:$A,AP$2)+countifs(Students!$F:$F,$AH46,Students!$G:$G,$AH$2&amp;if($K46="S1","a",if($K46="S2","b","")),Students!$A:$A,AP$2)+countifs(Students!$H:$H,$AH46,Students!$I:$I,$AH$2&amp;if($K46="S1","a",if($K46="S2","b","")),Students!$A:$A,AP$2)+countifs(Students!$J:$J,$AH46,Students!$K:$K,$AH$2&amp;if($K46="S1","a",if($K46="S2","b","")),Students!$A:$A,AP$2)+countifs(Students!$L:$L,$AH46,Students!$M:$M,$AH$2&amp;if($K46="S1","a",if($K46="S2","b","")),Students!$A:$A,AP$2)+countifs(Students!$N:$N,$AH46,Students!$O:$O,$AH$2&amp;if($K46="S1","a",if($K46="S2","b","")),Students!$A:$A,AP$2)+countifs(Students!$P:$P,$AH46,Students!$Q:$Q,$AH$2&amp;if($K46="S1","a",if($K46="S2","b","")),Students!$A:$A,AP$2)+countifs(Students!$R:$R,$AH46,Students!$S:$S,$AH$2&amp;if($K46="S1","a",if($K46="S2","b","")),Students!$A:$A,AP$2)+countifs(Students!$T:$T,$AH46,Students!$U:$U,$AH$2&amp;if($K46="S1","a",if($K46="S2","b","")),Students!$A:$A,AP$2)+countifs(Students!$V:$V,$AH46,Students!$W:$W,$AH$2&amp;if($K46="S1","a",if($K46="S2","b","")),Students!$A:$A,AP$2)+
countifs(Students!$D:$D,$AK46,Students!$E:$E,$AK$2&amp;if($K46="S1","a",if($K46="S2","b","")),Students!$A:$A,AP$2)+countifs(Students!$F:$F,$AK46,Students!$G:$G,$AK$2&amp;if($K46="S1","a",if($K46="S2","b","")),Students!$A:$A,AP$2)+countifs(Students!$H:$H,$AK46,Students!$I:$I,$AK$2&amp;if($K46="S1","a",if($K46="S2","b","")),Students!$A:$A,AP$2)+countifs(Students!$J:$J,$AK46,Students!$K:$K,$AK$2&amp;if($K46="S1","a",if($K46="S2","b","")),Students!$A:$A,AP$2)+countifs(Students!$L:$L,$AK46,Students!$M:$M,$AK$2&amp;if($K46="S1","a",if($K46="S2","b","")),Students!$A:$A,AP$2)+countifs(Students!$N:$N,$AK46,Students!$O:$O,$AK$2&amp;if($K46="S1","a",if($K46="S2","b","")),Students!$A:$A,AP$2)+countifs(Students!$P:$P,$AK46,Students!$Q:$Q,$AK$2&amp;if($K46="S1","a",if($K46="S2","b","")),Students!$A:$A,AP$2)+countifs(Students!$R:$R,$AK46,Students!$S:$S,$AK$2&amp;if($K46="S1","a",if($K46="S2","b","")),Students!$A:$A,AP$2)+countifs(Students!$T:$T,$AK46,Students!$U:$U,$AK$2&amp;if($K46="S1","a",if($K46="S2","b","")),Students!$A:$A,AP$2)+countifs(Students!$V:$V,$AK46,Students!$W:$W,$AK$2&amp;if($K46="S1","a",if($K46="S2","b","")),Students!$A:$A,AP$2))</f>
        <v>0</v>
      </c>
      <c r="AQ46" s="102">
        <f>if($L46="","",countifs(Students!$D:$D,$P46,Students!$E:$E,$P$2&amp;if($K46="S1","a",if($K46="S2","b","")),Students!$A:$A,AQ$2)+countifs(Students!$F:$F,$P46,Students!$G:$G,$P$2&amp;if($K46="S1","a",if($K46="S2","b","")),Students!$A:$A,AQ$2)+countifs(Students!$H:$H,$P46,Students!$I:$I,$P$2&amp;if($K46="S1","a",if($K46="S2","b","")),Students!$A:$A,AQ$2)+countifs(Students!$J:$J,$P46,Students!$K:$K,$P$2&amp;if($K46="S1","a",if($K46="S2","b","")),Students!$A:$A,AQ$2)+countifs(Students!$L:$L,$P46,Students!$M:$M,$P$2&amp;if($K46="S1","a",if($K46="S2","b","")),Students!$A:$A,AQ$2)+countifs(Students!$N:$N,$P46,Students!$O:$O,$P$2&amp;if($K46="S1","a",if($K46="S2","b","")),Students!$A:$A,AQ$2)+countifs(Students!$P:$P,$P46,Students!$Q:$Q,$P$2&amp;if($K46="S1","a",if($K46="S2","b","")),Students!$A:$A,AQ$2)+countifs(Students!$R:$R,$P46,Students!$S:$S,$P$2&amp;if($K46="S1","a",if($K46="S2","b","")),Students!$A:$A,AQ$2)+countifs(Students!$T:$T,$P46,Students!$U:$U,$P$2&amp;if($K46="S1","a",if($K46="S2","b","")),Students!$A:$A,AQ$2)+countifs(Students!$V:$V,$P46,Students!$W:$W,$P$2&amp;if($K46="S1","a",if($K46="S2","b","")),Students!$A:$A,AQ$2)+
countifs(Students!$D:$D,$S46,Students!$E:$E,$S$2&amp;if($K46="S1","a",if($K46="S2","b","")),Students!$A:$A,AQ$2)+countifs(Students!$F:$F,$S46,Students!$G:$G,$S$2&amp;if($K46="S1","a",if($K46="S2","b","")),Students!$A:$A,AQ$2)+countifs(Students!$H:$H,$S46,Students!$I:$I,$S$2&amp;if($K46="S1","a",if($K46="S2","b","")),Students!$A:$A,AQ$2)+countifs(Students!$J:$J,$S46,Students!$K:$K,$S$2&amp;if($K46="S1","a",if($K46="S2","b","")),Students!$A:$A,AQ$2)+countifs(Students!$L:$L,$S46,Students!$M:$M,$S$2&amp;if($K46="S1","a",if($K46="S2","b","")),Students!$A:$A,AQ$2)+countifs(Students!$N:$N,$S46,Students!$O:$O,$S$2&amp;if($K46="S1","a",if($K46="S2","b","")),Students!$A:$A,AQ$2)+countifs(Students!$P:$P,$S46,Students!$Q:$Q,$S$2&amp;if($K46="S1","a",if($K46="S2","b","")),Students!$A:$A,AQ$2)+countifs(Students!$R:$R,$S46,Students!$S:$S,$S$2&amp;if($K46="S1","a",if($K46="S2","b","")),Students!$A:$A,AQ$2)+countifs(Students!$T:$T,$S46,Students!$U:$U,$S$2&amp;if($K46="S1","a",if($K46="S2","b","")),Students!$A:$A,AQ$2)+countifs(Students!$V:$V,$S46,Students!$W:$W,$S$2&amp;if($K46="S1","a",if($K46="S2","b","")),Students!$A:$A,AQ$2)+
countifs(Students!$D:$D,$V46,Students!$E:$E,$V$2&amp;if($K46="S1","a",if($K46="S2","b","")),Students!$A:$A,AQ$2)+countifs(Students!$F:$F,$V46,Students!$G:$G,$V$2&amp;if($K46="S1","a",if($K46="S2","b","")),Students!$A:$A,AQ$2)+countifs(Students!$H:$H,$V46,Students!$I:$I,$V$2&amp;if($K46="S1","a",if($K46="S2","b","")),Students!$A:$A,AQ$2)+countifs(Students!$J:$J,$V46,Students!$K:$K,$V$2&amp;if($K46="S1","a",if($K46="S2","b","")),Students!$A:$A,AQ$2)+countifs(Students!$L:$L,$V46,Students!$M:$M,$V$2&amp;if($K46="S1","a",if($K46="S2","b","")),Students!$A:$A,AQ$2)+countifs(Students!$N:$N,$V46,Students!$O:$O,$V$2&amp;if($K46="S1","a",if($K46="S2","b","")),Students!$A:$A,AQ$2)+countifs(Students!$P:$P,$V46,Students!$Q:$Q,$V$2&amp;if($K46="S1","a",if($K46="S2","b","")),Students!$A:$A,AQ$2)+countifs(Students!$R:$R,$V46,Students!$S:$S,$V$2&amp;if($K46="S1","a",if($K46="S2","b","")),Students!$A:$A,AQ$2)+countifs(Students!$T:$T,$V46,Students!$U:$U,$V$2&amp;if($K46="S1","a",if($K46="S2","b","")),Students!$A:$A,AQ$2)+countifs(Students!$V:$V,$V46,Students!$W:$W,$V$2&amp;if($K46="S1","a",if($K46="S2","b","")),Students!$A:$A,AQ$2)+
countifs(Students!$D:$D,$Y46,Students!$E:$E,$Y$2&amp;if($K46="S1","a",if($K46="S2","b","")),Students!$A:$A,AQ$2)+countifs(Students!$F:$F,$Y46,Students!$G:$G,$Y$2&amp;if($K46="S1","a",if($K46="S2","b","")),Students!$A:$A,AQ$2)+countifs(Students!$H:$H,$Y46,Students!$I:$I,$Y$2&amp;if($K46="S1","a",if($K46="S2","b","")),Students!$A:$A,AQ$2)+countifs(Students!$J:$J,$Y46,Students!$K:$K,$Y$2&amp;if($K46="S1","a",if($K46="S2","b","")),Students!$A:$A,AQ$2)+countifs(Students!$L:$L,$Y46,Students!$M:$M,$Y$2&amp;if($K46="S1","a",if($K46="S2","b","")),Students!$A:$A,AQ$2)+countifs(Students!$N:$N,$Y46,Students!$O:$O,$Y$2&amp;if($K46="S1","a",if($K46="S2","b","")),Students!$A:$A,AQ$2)+countifs(Students!$P:$P,$Y46,Students!$Q:$Q,$Y$2&amp;if($K46="S1","a",if($K46="S2","b","")),Students!$A:$A,AQ$2)+countifs(Students!$R:$R,$Y46,Students!$S:$S,$Y$2&amp;if($K46="S1","a",if($K46="S2","b","")),Students!$A:$A,AQ$2)+countifs(Students!$T:$T,$Y46,Students!$U:$U,$Y$2&amp;if($K46="S1","a",if($K46="S2","b","")),Students!$A:$A,AQ$2)+countifs(Students!$V:$V,$Y46,Students!$W:$W,$Y$2&amp;if($K46="S1","a",if($K46="S2","b","")),Students!$A:$A,AQ$2)+
countifs(Students!$D:$D,$AB46,Students!$E:$E,$AB$2&amp;if($K46="S1","a",if($K46="S2","b","")),Students!$A:$A,AQ$2)+countifs(Students!$F:$F,$AB46,Students!$G:$G,$AB$2&amp;if($K46="S1","a",if($K46="S2","b","")),Students!$A:$A,AQ$2)+countifs(Students!$H:$H,$AB46,Students!$I:$I,$AB$2&amp;if($K46="S1","a",if($K46="S2","b","")),Students!$A:$A,AQ$2)+countifs(Students!$J:$J,$AB46,Students!$K:$K,$AB$2&amp;if($K46="S1","a",if($K46="S2","b","")),Students!$A:$A,AQ$2)+countifs(Students!$L:$L,$AB46,Students!$M:$M,$AB$2&amp;if($K46="S1","a",if($K46="S2","b","")),Students!$A:$A,AQ$2)+countifs(Students!$N:$N,$AB46,Students!$O:$O,$AB$2&amp;if($K46="S1","a",if($K46="S2","b","")),Students!$A:$A,AQ$2)+countifs(Students!$P:$P,$AB46,Students!$Q:$Q,$AB$2&amp;if($K46="S1","a",if($K46="S2","b","")),Students!$A:$A,AQ$2)+countifs(Students!$R:$R,$AB46,Students!$S:$S,$AB$2&amp;if($K46="S1","a",if($K46="S2","b","")),Students!$A:$A,AQ$2)+countifs(Students!$T:$T,$AB46,Students!$U:$U,$AB$2&amp;if($K46="S1","a",if($K46="S2","b","")),Students!$A:$A,AQ$2)+countifs(Students!$V:$V,$AB46,Students!$W:$W,$AB$2&amp;if($K46="S1","a",if($K46="S2","b","")),Students!$A:$A,AQ$2)+
countifs(Students!$D:$D,$AE46,Students!$E:$E,$AE$2&amp;if($K46="S1","a",if($K46="S2","b","")),Students!$A:$A,AQ$2)+countifs(Students!$F:$F,$AE46,Students!$G:$G,$AE$2&amp;if($K46="S1","a",if($K46="S2","b","")),Students!$A:$A,AQ$2)+countifs(Students!$H:$H,$AE46,Students!$I:$I,$AE$2&amp;if($K46="S1","a",if($K46="S2","b","")),Students!$A:$A,AQ$2)+countifs(Students!$J:$J,$AE46,Students!$K:$K,$AE$2&amp;if($K46="S1","a",if($K46="S2","b","")),Students!$A:$A,AQ$2)+countifs(Students!$L:$L,$AE46,Students!$M:$M,$AE$2&amp;if($K46="S1","a",if($K46="S2","b","")),Students!$A:$A,AQ$2)+countifs(Students!$N:$N,$AE46,Students!$O:$O,$AE$2&amp;if($K46="S1","a",if($K46="S2","b","")),Students!$A:$A,AQ$2)+countifs(Students!$P:$P,$AE46,Students!$Q:$Q,$AE$2&amp;if($K46="S1","a",if($K46="S2","b","")),Students!$A:$A,AQ$2)+countifs(Students!$R:$R,$AE46,Students!$S:$S,$AE$2&amp;if($K46="S1","a",if($K46="S2","b","")),Students!$A:$A,AQ$2)+countifs(Students!$T:$T,$AE46,Students!$U:$U,$AE$2&amp;if($K46="S1","a",if($K46="S2","b","")),Students!$A:$A,AQ$2)+countifs(Students!$V:$V,$AE46,Students!$W:$W,$AE$2&amp;if($K46="S1","a",if($K46="S2","b","")),Students!$A:$A,AQ$2)+
countifs(Students!$D:$D,$AH46,Students!$E:$E,$AH$2&amp;if($K46="S1","a",if($K46="S2","b","")),Students!$A:$A,AQ$2)+countifs(Students!$F:$F,$AH46,Students!$G:$G,$AH$2&amp;if($K46="S1","a",if($K46="S2","b","")),Students!$A:$A,AQ$2)+countifs(Students!$H:$H,$AH46,Students!$I:$I,$AH$2&amp;if($K46="S1","a",if($K46="S2","b","")),Students!$A:$A,AQ$2)+countifs(Students!$J:$J,$AH46,Students!$K:$K,$AH$2&amp;if($K46="S1","a",if($K46="S2","b","")),Students!$A:$A,AQ$2)+countifs(Students!$L:$L,$AH46,Students!$M:$M,$AH$2&amp;if($K46="S1","a",if($K46="S2","b","")),Students!$A:$A,AQ$2)+countifs(Students!$N:$N,$AH46,Students!$O:$O,$AH$2&amp;if($K46="S1","a",if($K46="S2","b","")),Students!$A:$A,AQ$2)+countifs(Students!$P:$P,$AH46,Students!$Q:$Q,$AH$2&amp;if($K46="S1","a",if($K46="S2","b","")),Students!$A:$A,AQ$2)+countifs(Students!$R:$R,$AH46,Students!$S:$S,$AH$2&amp;if($K46="S1","a",if($K46="S2","b","")),Students!$A:$A,AQ$2)+countifs(Students!$T:$T,$AH46,Students!$U:$U,$AH$2&amp;if($K46="S1","a",if($K46="S2","b","")),Students!$A:$A,AQ$2)+countifs(Students!$V:$V,$AH46,Students!$W:$W,$AH$2&amp;if($K46="S1","a",if($K46="S2","b","")),Students!$A:$A,AQ$2)+
countifs(Students!$D:$D,$AK46,Students!$E:$E,$AK$2&amp;if($K46="S1","a",if($K46="S2","b","")),Students!$A:$A,AQ$2)+countifs(Students!$F:$F,$AK46,Students!$G:$G,$AK$2&amp;if($K46="S1","a",if($K46="S2","b","")),Students!$A:$A,AQ$2)+countifs(Students!$H:$H,$AK46,Students!$I:$I,$AK$2&amp;if($K46="S1","a",if($K46="S2","b","")),Students!$A:$A,AQ$2)+countifs(Students!$J:$J,$AK46,Students!$K:$K,$AK$2&amp;if($K46="S1","a",if($K46="S2","b","")),Students!$A:$A,AQ$2)+countifs(Students!$L:$L,$AK46,Students!$M:$M,$AK$2&amp;if($K46="S1","a",if($K46="S2","b","")),Students!$A:$A,AQ$2)+countifs(Students!$N:$N,$AK46,Students!$O:$O,$AK$2&amp;if($K46="S1","a",if($K46="S2","b","")),Students!$A:$A,AQ$2)+countifs(Students!$P:$P,$AK46,Students!$Q:$Q,$AK$2&amp;if($K46="S1","a",if($K46="S2","b","")),Students!$A:$A,AQ$2)+countifs(Students!$R:$R,$AK46,Students!$S:$S,$AK$2&amp;if($K46="S1","a",if($K46="S2","b","")),Students!$A:$A,AQ$2)+countifs(Students!$T:$T,$AK46,Students!$U:$U,$AK$2&amp;if($K46="S1","a",if($K46="S2","b","")),Students!$A:$A,AQ$2)+countifs(Students!$V:$V,$AK46,Students!$W:$W,$AK$2&amp;if($K46="S1","a",if($K46="S2","b","")),Students!$A:$A,AQ$2))</f>
        <v>0</v>
      </c>
      <c r="AR46" s="102">
        <f>if($L46="","",countifs(Students!$D:$D,$P46,Students!$E:$E,$P$2&amp;if($K46="S1","a",if($K46="S2","b","")),Students!$A:$A,AR$2)+countifs(Students!$F:$F,$P46,Students!$G:$G,$P$2&amp;if($K46="S1","a",if($K46="S2","b","")),Students!$A:$A,AR$2)+countifs(Students!$H:$H,$P46,Students!$I:$I,$P$2&amp;if($K46="S1","a",if($K46="S2","b","")),Students!$A:$A,AR$2)+countifs(Students!$J:$J,$P46,Students!$K:$K,$P$2&amp;if($K46="S1","a",if($K46="S2","b","")),Students!$A:$A,AR$2)+countifs(Students!$L:$L,$P46,Students!$M:$M,$P$2&amp;if($K46="S1","a",if($K46="S2","b","")),Students!$A:$A,AR$2)+countifs(Students!$N:$N,$P46,Students!$O:$O,$P$2&amp;if($K46="S1","a",if($K46="S2","b","")),Students!$A:$A,AR$2)+countifs(Students!$P:$P,$P46,Students!$Q:$Q,$P$2&amp;if($K46="S1","a",if($K46="S2","b","")),Students!$A:$A,AR$2)+countifs(Students!$R:$R,$P46,Students!$S:$S,$P$2&amp;if($K46="S1","a",if($K46="S2","b","")),Students!$A:$A,AR$2)+countifs(Students!$T:$T,$P46,Students!$U:$U,$P$2&amp;if($K46="S1","a",if($K46="S2","b","")),Students!$A:$A,AR$2)+countifs(Students!$V:$V,$P46,Students!$W:$W,$P$2&amp;if($K46="S1","a",if($K46="S2","b","")),Students!$A:$A,AR$2)+
countifs(Students!$D:$D,$S46,Students!$E:$E,$S$2&amp;if($K46="S1","a",if($K46="S2","b","")),Students!$A:$A,AR$2)+countifs(Students!$F:$F,$S46,Students!$G:$G,$S$2&amp;if($K46="S1","a",if($K46="S2","b","")),Students!$A:$A,AR$2)+countifs(Students!$H:$H,$S46,Students!$I:$I,$S$2&amp;if($K46="S1","a",if($K46="S2","b","")),Students!$A:$A,AR$2)+countifs(Students!$J:$J,$S46,Students!$K:$K,$S$2&amp;if($K46="S1","a",if($K46="S2","b","")),Students!$A:$A,AR$2)+countifs(Students!$L:$L,$S46,Students!$M:$M,$S$2&amp;if($K46="S1","a",if($K46="S2","b","")),Students!$A:$A,AR$2)+countifs(Students!$N:$N,$S46,Students!$O:$O,$S$2&amp;if($K46="S1","a",if($K46="S2","b","")),Students!$A:$A,AR$2)+countifs(Students!$P:$P,$S46,Students!$Q:$Q,$S$2&amp;if($K46="S1","a",if($K46="S2","b","")),Students!$A:$A,AR$2)+countifs(Students!$R:$R,$S46,Students!$S:$S,$S$2&amp;if($K46="S1","a",if($K46="S2","b","")),Students!$A:$A,AR$2)+countifs(Students!$T:$T,$S46,Students!$U:$U,$S$2&amp;if($K46="S1","a",if($K46="S2","b","")),Students!$A:$A,AR$2)+countifs(Students!$V:$V,$S46,Students!$W:$W,$S$2&amp;if($K46="S1","a",if($K46="S2","b","")),Students!$A:$A,AR$2)+
countifs(Students!$D:$D,$V46,Students!$E:$E,$V$2&amp;if($K46="S1","a",if($K46="S2","b","")),Students!$A:$A,AR$2)+countifs(Students!$F:$F,$V46,Students!$G:$G,$V$2&amp;if($K46="S1","a",if($K46="S2","b","")),Students!$A:$A,AR$2)+countifs(Students!$H:$H,$V46,Students!$I:$I,$V$2&amp;if($K46="S1","a",if($K46="S2","b","")),Students!$A:$A,AR$2)+countifs(Students!$J:$J,$V46,Students!$K:$K,$V$2&amp;if($K46="S1","a",if($K46="S2","b","")),Students!$A:$A,AR$2)+countifs(Students!$L:$L,$V46,Students!$M:$M,$V$2&amp;if($K46="S1","a",if($K46="S2","b","")),Students!$A:$A,AR$2)+countifs(Students!$N:$N,$V46,Students!$O:$O,$V$2&amp;if($K46="S1","a",if($K46="S2","b","")),Students!$A:$A,AR$2)+countifs(Students!$P:$P,$V46,Students!$Q:$Q,$V$2&amp;if($K46="S1","a",if($K46="S2","b","")),Students!$A:$A,AR$2)+countifs(Students!$R:$R,$V46,Students!$S:$S,$V$2&amp;if($K46="S1","a",if($K46="S2","b","")),Students!$A:$A,AR$2)+countifs(Students!$T:$T,$V46,Students!$U:$U,$V$2&amp;if($K46="S1","a",if($K46="S2","b","")),Students!$A:$A,AR$2)+countifs(Students!$V:$V,$V46,Students!$W:$W,$V$2&amp;if($K46="S1","a",if($K46="S2","b","")),Students!$A:$A,AR$2)+
countifs(Students!$D:$D,$Y46,Students!$E:$E,$Y$2&amp;if($K46="S1","a",if($K46="S2","b","")),Students!$A:$A,AR$2)+countifs(Students!$F:$F,$Y46,Students!$G:$G,$Y$2&amp;if($K46="S1","a",if($K46="S2","b","")),Students!$A:$A,AR$2)+countifs(Students!$H:$H,$Y46,Students!$I:$I,$Y$2&amp;if($K46="S1","a",if($K46="S2","b","")),Students!$A:$A,AR$2)+countifs(Students!$J:$J,$Y46,Students!$K:$K,$Y$2&amp;if($K46="S1","a",if($K46="S2","b","")),Students!$A:$A,AR$2)+countifs(Students!$L:$L,$Y46,Students!$M:$M,$Y$2&amp;if($K46="S1","a",if($K46="S2","b","")),Students!$A:$A,AR$2)+countifs(Students!$N:$N,$Y46,Students!$O:$O,$Y$2&amp;if($K46="S1","a",if($K46="S2","b","")),Students!$A:$A,AR$2)+countifs(Students!$P:$P,$Y46,Students!$Q:$Q,$Y$2&amp;if($K46="S1","a",if($K46="S2","b","")),Students!$A:$A,AR$2)+countifs(Students!$R:$R,$Y46,Students!$S:$S,$Y$2&amp;if($K46="S1","a",if($K46="S2","b","")),Students!$A:$A,AR$2)+countifs(Students!$T:$T,$Y46,Students!$U:$U,$Y$2&amp;if($K46="S1","a",if($K46="S2","b","")),Students!$A:$A,AR$2)+countifs(Students!$V:$V,$Y46,Students!$W:$W,$Y$2&amp;if($K46="S1","a",if($K46="S2","b","")),Students!$A:$A,AR$2)+
countifs(Students!$D:$D,$AB46,Students!$E:$E,$AB$2&amp;if($K46="S1","a",if($K46="S2","b","")),Students!$A:$A,AR$2)+countifs(Students!$F:$F,$AB46,Students!$G:$G,$AB$2&amp;if($K46="S1","a",if($K46="S2","b","")),Students!$A:$A,AR$2)+countifs(Students!$H:$H,$AB46,Students!$I:$I,$AB$2&amp;if($K46="S1","a",if($K46="S2","b","")),Students!$A:$A,AR$2)+countifs(Students!$J:$J,$AB46,Students!$K:$K,$AB$2&amp;if($K46="S1","a",if($K46="S2","b","")),Students!$A:$A,AR$2)+countifs(Students!$L:$L,$AB46,Students!$M:$M,$AB$2&amp;if($K46="S1","a",if($K46="S2","b","")),Students!$A:$A,AR$2)+countifs(Students!$N:$N,$AB46,Students!$O:$O,$AB$2&amp;if($K46="S1","a",if($K46="S2","b","")),Students!$A:$A,AR$2)+countifs(Students!$P:$P,$AB46,Students!$Q:$Q,$AB$2&amp;if($K46="S1","a",if($K46="S2","b","")),Students!$A:$A,AR$2)+countifs(Students!$R:$R,$AB46,Students!$S:$S,$AB$2&amp;if($K46="S1","a",if($K46="S2","b","")),Students!$A:$A,AR$2)+countifs(Students!$T:$T,$AB46,Students!$U:$U,$AB$2&amp;if($K46="S1","a",if($K46="S2","b","")),Students!$A:$A,AR$2)+countifs(Students!$V:$V,$AB46,Students!$W:$W,$AB$2&amp;if($K46="S1","a",if($K46="S2","b","")),Students!$A:$A,AR$2)+
countifs(Students!$D:$D,$AE46,Students!$E:$E,$AE$2&amp;if($K46="S1","a",if($K46="S2","b","")),Students!$A:$A,AR$2)+countifs(Students!$F:$F,$AE46,Students!$G:$G,$AE$2&amp;if($K46="S1","a",if($K46="S2","b","")),Students!$A:$A,AR$2)+countifs(Students!$H:$H,$AE46,Students!$I:$I,$AE$2&amp;if($K46="S1","a",if($K46="S2","b","")),Students!$A:$A,AR$2)+countifs(Students!$J:$J,$AE46,Students!$K:$K,$AE$2&amp;if($K46="S1","a",if($K46="S2","b","")),Students!$A:$A,AR$2)+countifs(Students!$L:$L,$AE46,Students!$M:$M,$AE$2&amp;if($K46="S1","a",if($K46="S2","b","")),Students!$A:$A,AR$2)+countifs(Students!$N:$N,$AE46,Students!$O:$O,$AE$2&amp;if($K46="S1","a",if($K46="S2","b","")),Students!$A:$A,AR$2)+countifs(Students!$P:$P,$AE46,Students!$Q:$Q,$AE$2&amp;if($K46="S1","a",if($K46="S2","b","")),Students!$A:$A,AR$2)+countifs(Students!$R:$R,$AE46,Students!$S:$S,$AE$2&amp;if($K46="S1","a",if($K46="S2","b","")),Students!$A:$A,AR$2)+countifs(Students!$T:$T,$AE46,Students!$U:$U,$AE$2&amp;if($K46="S1","a",if($K46="S2","b","")),Students!$A:$A,AR$2)+countifs(Students!$V:$V,$AE46,Students!$W:$W,$AE$2&amp;if($K46="S1","a",if($K46="S2","b","")),Students!$A:$A,AR$2)+
countifs(Students!$D:$D,$AH46,Students!$E:$E,$AH$2&amp;if($K46="S1","a",if($K46="S2","b","")),Students!$A:$A,AR$2)+countifs(Students!$F:$F,$AH46,Students!$G:$G,$AH$2&amp;if($K46="S1","a",if($K46="S2","b","")),Students!$A:$A,AR$2)+countifs(Students!$H:$H,$AH46,Students!$I:$I,$AH$2&amp;if($K46="S1","a",if($K46="S2","b","")),Students!$A:$A,AR$2)+countifs(Students!$J:$J,$AH46,Students!$K:$K,$AH$2&amp;if($K46="S1","a",if($K46="S2","b","")),Students!$A:$A,AR$2)+countifs(Students!$L:$L,$AH46,Students!$M:$M,$AH$2&amp;if($K46="S1","a",if($K46="S2","b","")),Students!$A:$A,AR$2)+countifs(Students!$N:$N,$AH46,Students!$O:$O,$AH$2&amp;if($K46="S1","a",if($K46="S2","b","")),Students!$A:$A,AR$2)+countifs(Students!$P:$P,$AH46,Students!$Q:$Q,$AH$2&amp;if($K46="S1","a",if($K46="S2","b","")),Students!$A:$A,AR$2)+countifs(Students!$R:$R,$AH46,Students!$S:$S,$AH$2&amp;if($K46="S1","a",if($K46="S2","b","")),Students!$A:$A,AR$2)+countifs(Students!$T:$T,$AH46,Students!$U:$U,$AH$2&amp;if($K46="S1","a",if($K46="S2","b","")),Students!$A:$A,AR$2)+countifs(Students!$V:$V,$AH46,Students!$W:$W,$AH$2&amp;if($K46="S1","a",if($K46="S2","b","")),Students!$A:$A,AR$2)+
countifs(Students!$D:$D,$AK46,Students!$E:$E,$AK$2&amp;if($K46="S1","a",if($K46="S2","b","")),Students!$A:$A,AR$2)+countifs(Students!$F:$F,$AK46,Students!$G:$G,$AK$2&amp;if($K46="S1","a",if($K46="S2","b","")),Students!$A:$A,AR$2)+countifs(Students!$H:$H,$AK46,Students!$I:$I,$AK$2&amp;if($K46="S1","a",if($K46="S2","b","")),Students!$A:$A,AR$2)+countifs(Students!$J:$J,$AK46,Students!$K:$K,$AK$2&amp;if($K46="S1","a",if($K46="S2","b","")),Students!$A:$A,AR$2)+countifs(Students!$L:$L,$AK46,Students!$M:$M,$AK$2&amp;if($K46="S1","a",if($K46="S2","b","")),Students!$A:$A,AR$2)+countifs(Students!$N:$N,$AK46,Students!$O:$O,$AK$2&amp;if($K46="S1","a",if($K46="S2","b","")),Students!$A:$A,AR$2)+countifs(Students!$P:$P,$AK46,Students!$Q:$Q,$AK$2&amp;if($K46="S1","a",if($K46="S2","b","")),Students!$A:$A,AR$2)+countifs(Students!$R:$R,$AK46,Students!$S:$S,$AK$2&amp;if($K46="S1","a",if($K46="S2","b","")),Students!$A:$A,AR$2)+countifs(Students!$T:$T,$AK46,Students!$U:$U,$AK$2&amp;if($K46="S1","a",if($K46="S2","b","")),Students!$A:$A,AR$2)+countifs(Students!$V:$V,$AK46,Students!$W:$W,$AK$2&amp;if($K46="S1","a",if($K46="S2","b","")),Students!$A:$A,AR$2))</f>
        <v>0</v>
      </c>
      <c r="AS46" s="102">
        <f>if($L46="","",countifs(Students!$D:$D,$P46,Students!$E:$E,$P$2&amp;if($K46="S1","a",if($K46="S2","b","")),Students!$A:$A,AS$2)+countifs(Students!$F:$F,$P46,Students!$G:$G,$P$2&amp;if($K46="S1","a",if($K46="S2","b","")),Students!$A:$A,AS$2)+countifs(Students!$H:$H,$P46,Students!$I:$I,$P$2&amp;if($K46="S1","a",if($K46="S2","b","")),Students!$A:$A,AS$2)+countifs(Students!$J:$J,$P46,Students!$K:$K,$P$2&amp;if($K46="S1","a",if($K46="S2","b","")),Students!$A:$A,AS$2)+countifs(Students!$L:$L,$P46,Students!$M:$M,$P$2&amp;if($K46="S1","a",if($K46="S2","b","")),Students!$A:$A,AS$2)+countifs(Students!$N:$N,$P46,Students!$O:$O,$P$2&amp;if($K46="S1","a",if($K46="S2","b","")),Students!$A:$A,AS$2)+countifs(Students!$P:$P,$P46,Students!$Q:$Q,$P$2&amp;if($K46="S1","a",if($K46="S2","b","")),Students!$A:$A,AS$2)+countifs(Students!$R:$R,$P46,Students!$S:$S,$P$2&amp;if($K46="S1","a",if($K46="S2","b","")),Students!$A:$A,AS$2)+countifs(Students!$T:$T,$P46,Students!$U:$U,$P$2&amp;if($K46="S1","a",if($K46="S2","b","")),Students!$A:$A,AS$2)+countifs(Students!$V:$V,$P46,Students!$W:$W,$P$2&amp;if($K46="S1","a",if($K46="S2","b","")),Students!$A:$A,AS$2)+
countifs(Students!$D:$D,$S46,Students!$E:$E,$S$2&amp;if($K46="S1","a",if($K46="S2","b","")),Students!$A:$A,AS$2)+countifs(Students!$F:$F,$S46,Students!$G:$G,$S$2&amp;if($K46="S1","a",if($K46="S2","b","")),Students!$A:$A,AS$2)+countifs(Students!$H:$H,$S46,Students!$I:$I,$S$2&amp;if($K46="S1","a",if($K46="S2","b","")),Students!$A:$A,AS$2)+countifs(Students!$J:$J,$S46,Students!$K:$K,$S$2&amp;if($K46="S1","a",if($K46="S2","b","")),Students!$A:$A,AS$2)+countifs(Students!$L:$L,$S46,Students!$M:$M,$S$2&amp;if($K46="S1","a",if($K46="S2","b","")),Students!$A:$A,AS$2)+countifs(Students!$N:$N,$S46,Students!$O:$O,$S$2&amp;if($K46="S1","a",if($K46="S2","b","")),Students!$A:$A,AS$2)+countifs(Students!$P:$P,$S46,Students!$Q:$Q,$S$2&amp;if($K46="S1","a",if($K46="S2","b","")),Students!$A:$A,AS$2)+countifs(Students!$R:$R,$S46,Students!$S:$S,$S$2&amp;if($K46="S1","a",if($K46="S2","b","")),Students!$A:$A,AS$2)+countifs(Students!$T:$T,$S46,Students!$U:$U,$S$2&amp;if($K46="S1","a",if($K46="S2","b","")),Students!$A:$A,AS$2)+countifs(Students!$V:$V,$S46,Students!$W:$W,$S$2&amp;if($K46="S1","a",if($K46="S2","b","")),Students!$A:$A,AS$2)+
countifs(Students!$D:$D,$V46,Students!$E:$E,$V$2&amp;if($K46="S1","a",if($K46="S2","b","")),Students!$A:$A,AS$2)+countifs(Students!$F:$F,$V46,Students!$G:$G,$V$2&amp;if($K46="S1","a",if($K46="S2","b","")),Students!$A:$A,AS$2)+countifs(Students!$H:$H,$V46,Students!$I:$I,$V$2&amp;if($K46="S1","a",if($K46="S2","b","")),Students!$A:$A,AS$2)+countifs(Students!$J:$J,$V46,Students!$K:$K,$V$2&amp;if($K46="S1","a",if($K46="S2","b","")),Students!$A:$A,AS$2)+countifs(Students!$L:$L,$V46,Students!$M:$M,$V$2&amp;if($K46="S1","a",if($K46="S2","b","")),Students!$A:$A,AS$2)+countifs(Students!$N:$N,$V46,Students!$O:$O,$V$2&amp;if($K46="S1","a",if($K46="S2","b","")),Students!$A:$A,AS$2)+countifs(Students!$P:$P,$V46,Students!$Q:$Q,$V$2&amp;if($K46="S1","a",if($K46="S2","b","")),Students!$A:$A,AS$2)+countifs(Students!$R:$R,$V46,Students!$S:$S,$V$2&amp;if($K46="S1","a",if($K46="S2","b","")),Students!$A:$A,AS$2)+countifs(Students!$T:$T,$V46,Students!$U:$U,$V$2&amp;if($K46="S1","a",if($K46="S2","b","")),Students!$A:$A,AS$2)+countifs(Students!$V:$V,$V46,Students!$W:$W,$V$2&amp;if($K46="S1","a",if($K46="S2","b","")),Students!$A:$A,AS$2)+
countifs(Students!$D:$D,$Y46,Students!$E:$E,$Y$2&amp;if($K46="S1","a",if($K46="S2","b","")),Students!$A:$A,AS$2)+countifs(Students!$F:$F,$Y46,Students!$G:$G,$Y$2&amp;if($K46="S1","a",if($K46="S2","b","")),Students!$A:$A,AS$2)+countifs(Students!$H:$H,$Y46,Students!$I:$I,$Y$2&amp;if($K46="S1","a",if($K46="S2","b","")),Students!$A:$A,AS$2)+countifs(Students!$J:$J,$Y46,Students!$K:$K,$Y$2&amp;if($K46="S1","a",if($K46="S2","b","")),Students!$A:$A,AS$2)+countifs(Students!$L:$L,$Y46,Students!$M:$M,$Y$2&amp;if($K46="S1","a",if($K46="S2","b","")),Students!$A:$A,AS$2)+countifs(Students!$N:$N,$Y46,Students!$O:$O,$Y$2&amp;if($K46="S1","a",if($K46="S2","b","")),Students!$A:$A,AS$2)+countifs(Students!$P:$P,$Y46,Students!$Q:$Q,$Y$2&amp;if($K46="S1","a",if($K46="S2","b","")),Students!$A:$A,AS$2)+countifs(Students!$R:$R,$Y46,Students!$S:$S,$Y$2&amp;if($K46="S1","a",if($K46="S2","b","")),Students!$A:$A,AS$2)+countifs(Students!$T:$T,$Y46,Students!$U:$U,$Y$2&amp;if($K46="S1","a",if($K46="S2","b","")),Students!$A:$A,AS$2)+countifs(Students!$V:$V,$Y46,Students!$W:$W,$Y$2&amp;if($K46="S1","a",if($K46="S2","b","")),Students!$A:$A,AS$2)+
countifs(Students!$D:$D,$AB46,Students!$E:$E,$AB$2&amp;if($K46="S1","a",if($K46="S2","b","")),Students!$A:$A,AS$2)+countifs(Students!$F:$F,$AB46,Students!$G:$G,$AB$2&amp;if($K46="S1","a",if($K46="S2","b","")),Students!$A:$A,AS$2)+countifs(Students!$H:$H,$AB46,Students!$I:$I,$AB$2&amp;if($K46="S1","a",if($K46="S2","b","")),Students!$A:$A,AS$2)+countifs(Students!$J:$J,$AB46,Students!$K:$K,$AB$2&amp;if($K46="S1","a",if($K46="S2","b","")),Students!$A:$A,AS$2)+countifs(Students!$L:$L,$AB46,Students!$M:$M,$AB$2&amp;if($K46="S1","a",if($K46="S2","b","")),Students!$A:$A,AS$2)+countifs(Students!$N:$N,$AB46,Students!$O:$O,$AB$2&amp;if($K46="S1","a",if($K46="S2","b","")),Students!$A:$A,AS$2)+countifs(Students!$P:$P,$AB46,Students!$Q:$Q,$AB$2&amp;if($K46="S1","a",if($K46="S2","b","")),Students!$A:$A,AS$2)+countifs(Students!$R:$R,$AB46,Students!$S:$S,$AB$2&amp;if($K46="S1","a",if($K46="S2","b","")),Students!$A:$A,AS$2)+countifs(Students!$T:$T,$AB46,Students!$U:$U,$AB$2&amp;if($K46="S1","a",if($K46="S2","b","")),Students!$A:$A,AS$2)+countifs(Students!$V:$V,$AB46,Students!$W:$W,$AB$2&amp;if($K46="S1","a",if($K46="S2","b","")),Students!$A:$A,AS$2)+
countifs(Students!$D:$D,$AE46,Students!$E:$E,$AE$2&amp;if($K46="S1","a",if($K46="S2","b","")),Students!$A:$A,AS$2)+countifs(Students!$F:$F,$AE46,Students!$G:$G,$AE$2&amp;if($K46="S1","a",if($K46="S2","b","")),Students!$A:$A,AS$2)+countifs(Students!$H:$H,$AE46,Students!$I:$I,$AE$2&amp;if($K46="S1","a",if($K46="S2","b","")),Students!$A:$A,AS$2)+countifs(Students!$J:$J,$AE46,Students!$K:$K,$AE$2&amp;if($K46="S1","a",if($K46="S2","b","")),Students!$A:$A,AS$2)+countifs(Students!$L:$L,$AE46,Students!$M:$M,$AE$2&amp;if($K46="S1","a",if($K46="S2","b","")),Students!$A:$A,AS$2)+countifs(Students!$N:$N,$AE46,Students!$O:$O,$AE$2&amp;if($K46="S1","a",if($K46="S2","b","")),Students!$A:$A,AS$2)+countifs(Students!$P:$P,$AE46,Students!$Q:$Q,$AE$2&amp;if($K46="S1","a",if($K46="S2","b","")),Students!$A:$A,AS$2)+countifs(Students!$R:$R,$AE46,Students!$S:$S,$AE$2&amp;if($K46="S1","a",if($K46="S2","b","")),Students!$A:$A,AS$2)+countifs(Students!$T:$T,$AE46,Students!$U:$U,$AE$2&amp;if($K46="S1","a",if($K46="S2","b","")),Students!$A:$A,AS$2)+countifs(Students!$V:$V,$AE46,Students!$W:$W,$AE$2&amp;if($K46="S1","a",if($K46="S2","b","")),Students!$A:$A,AS$2)+
countifs(Students!$D:$D,$AH46,Students!$E:$E,$AH$2&amp;if($K46="S1","a",if($K46="S2","b","")),Students!$A:$A,AS$2)+countifs(Students!$F:$F,$AH46,Students!$G:$G,$AH$2&amp;if($K46="S1","a",if($K46="S2","b","")),Students!$A:$A,AS$2)+countifs(Students!$H:$H,$AH46,Students!$I:$I,$AH$2&amp;if($K46="S1","a",if($K46="S2","b","")),Students!$A:$A,AS$2)+countifs(Students!$J:$J,$AH46,Students!$K:$K,$AH$2&amp;if($K46="S1","a",if($K46="S2","b","")),Students!$A:$A,AS$2)+countifs(Students!$L:$L,$AH46,Students!$M:$M,$AH$2&amp;if($K46="S1","a",if($K46="S2","b","")),Students!$A:$A,AS$2)+countifs(Students!$N:$N,$AH46,Students!$O:$O,$AH$2&amp;if($K46="S1","a",if($K46="S2","b","")),Students!$A:$A,AS$2)+countifs(Students!$P:$P,$AH46,Students!$Q:$Q,$AH$2&amp;if($K46="S1","a",if($K46="S2","b","")),Students!$A:$A,AS$2)+countifs(Students!$R:$R,$AH46,Students!$S:$S,$AH$2&amp;if($K46="S1","a",if($K46="S2","b","")),Students!$A:$A,AS$2)+countifs(Students!$T:$T,$AH46,Students!$U:$U,$AH$2&amp;if($K46="S1","a",if($K46="S2","b","")),Students!$A:$A,AS$2)+countifs(Students!$V:$V,$AH46,Students!$W:$W,$AH$2&amp;if($K46="S1","a",if($K46="S2","b","")),Students!$A:$A,AS$2)+
countifs(Students!$D:$D,$AK46,Students!$E:$E,$AK$2&amp;if($K46="S1","a",if($K46="S2","b","")),Students!$A:$A,AS$2)+countifs(Students!$F:$F,$AK46,Students!$G:$G,$AK$2&amp;if($K46="S1","a",if($K46="S2","b","")),Students!$A:$A,AS$2)+countifs(Students!$H:$H,$AK46,Students!$I:$I,$AK$2&amp;if($K46="S1","a",if($K46="S2","b","")),Students!$A:$A,AS$2)+countifs(Students!$J:$J,$AK46,Students!$K:$K,$AK$2&amp;if($K46="S1","a",if($K46="S2","b","")),Students!$A:$A,AS$2)+countifs(Students!$L:$L,$AK46,Students!$M:$M,$AK$2&amp;if($K46="S1","a",if($K46="S2","b","")),Students!$A:$A,AS$2)+countifs(Students!$N:$N,$AK46,Students!$O:$O,$AK$2&amp;if($K46="S1","a",if($K46="S2","b","")),Students!$A:$A,AS$2)+countifs(Students!$P:$P,$AK46,Students!$Q:$Q,$AK$2&amp;if($K46="S1","a",if($K46="S2","b","")),Students!$A:$A,AS$2)+countifs(Students!$R:$R,$AK46,Students!$S:$S,$AK$2&amp;if($K46="S1","a",if($K46="S2","b","")),Students!$A:$A,AS$2)+countifs(Students!$T:$T,$AK46,Students!$U:$U,$AK$2&amp;if($K46="S1","a",if($K46="S2","b","")),Students!$A:$A,AS$2)+countifs(Students!$V:$V,$AK46,Students!$W:$W,$AK$2&amp;if($K46="S1","a",if($K46="S2","b","")),Students!$A:$A,AS$2))</f>
        <v>127</v>
      </c>
    </row>
    <row r="47">
      <c r="H47" s="45" t="s">
        <v>135</v>
      </c>
      <c r="I47" s="45"/>
      <c r="J47" s="87" t="s">
        <v>22</v>
      </c>
      <c r="K47" s="57"/>
      <c r="L47" s="128"/>
      <c r="M47" s="107"/>
      <c r="N47" s="87" t="s">
        <v>22</v>
      </c>
      <c r="O47" s="87">
        <f>IFERROR(__xludf.DUMMYFUNCTION("3*counta((transpose(filter(P47:AM47,P47:AM47&lt;&gt;"""",isnumber(P47:AM47)=false))))"),3.0)</f>
        <v>3</v>
      </c>
      <c r="P47" s="103"/>
      <c r="Q47" s="101"/>
      <c r="R47" s="98" t="s">
        <v>22</v>
      </c>
      <c r="S47" s="101"/>
      <c r="T47" s="101"/>
      <c r="U47" s="98" t="s">
        <v>22</v>
      </c>
      <c r="V47" s="101"/>
      <c r="W47" s="101"/>
      <c r="X47" s="98" t="s">
        <v>22</v>
      </c>
      <c r="Y47" s="103"/>
      <c r="Z47" s="101"/>
      <c r="AA47" s="98" t="s">
        <v>22</v>
      </c>
      <c r="AB47" s="129"/>
      <c r="AC47" s="117"/>
      <c r="AD47" s="98" t="s">
        <v>22</v>
      </c>
      <c r="AE47" s="103"/>
      <c r="AF47" s="101"/>
      <c r="AG47" s="98" t="s">
        <v>22</v>
      </c>
      <c r="AH47" s="101"/>
      <c r="AI47" s="97"/>
      <c r="AJ47" s="98" t="s">
        <v>22</v>
      </c>
      <c r="AK47" s="101"/>
      <c r="AL47" s="98"/>
      <c r="AM47" s="98" t="s">
        <v>22</v>
      </c>
      <c r="AN47" s="99"/>
      <c r="AO47" s="52" t="str">
        <f t="shared" si="2"/>
        <v/>
      </c>
      <c r="AP47" s="102" t="str">
        <f>if($L47="","",countifs(Students!$D:$D,$P47,Students!$E:$E,$P$2&amp;if($K47="S1","a",if($K47="S2","b","")),Students!$A:$A,AP$2)+countifs(Students!$F:$F,$P47,Students!$G:$G,$P$2&amp;if($K47="S1","a",if($K47="S2","b","")),Students!$A:$A,AP$2)+countifs(Students!$H:$H,$P47,Students!$I:$I,$P$2&amp;if($K47="S1","a",if($K47="S2","b","")),Students!$A:$A,AP$2)+countifs(Students!$J:$J,$P47,Students!$K:$K,$P$2&amp;if($K47="S1","a",if($K47="S2","b","")),Students!$A:$A,AP$2)+countifs(Students!$L:$L,$P47,Students!$M:$M,$P$2&amp;if($K47="S1","a",if($K47="S2","b","")),Students!$A:$A,AP$2)+countifs(Students!$N:$N,$P47,Students!$O:$O,$P$2&amp;if($K47="S1","a",if($K47="S2","b","")),Students!$A:$A,AP$2)+countifs(Students!$P:$P,$P47,Students!$Q:$Q,$P$2&amp;if($K47="S1","a",if($K47="S2","b","")),Students!$A:$A,AP$2)+countifs(Students!$R:$R,$P47,Students!$S:$S,$P$2&amp;if($K47="S1","a",if($K47="S2","b","")),Students!$A:$A,AP$2)+countifs(Students!$T:$T,$P47,Students!$U:$U,$P$2&amp;if($K47="S1","a",if($K47="S2","b","")),Students!$A:$A,AP$2)+countifs(Students!$V:$V,$P47,Students!$W:$W,$P$2&amp;if($K47="S1","a",if($K47="S2","b","")),Students!$A:$A,AP$2)+
countifs(Students!$D:$D,$S47,Students!$E:$E,$S$2&amp;if($K47="S1","a",if($K47="S2","b","")),Students!$A:$A,AP$2)+countifs(Students!$F:$F,$S47,Students!$G:$G,$S$2&amp;if($K47="S1","a",if($K47="S2","b","")),Students!$A:$A,AP$2)+countifs(Students!$H:$H,$S47,Students!$I:$I,$S$2&amp;if($K47="S1","a",if($K47="S2","b","")),Students!$A:$A,AP$2)+countifs(Students!$J:$J,$S47,Students!$K:$K,$S$2&amp;if($K47="S1","a",if($K47="S2","b","")),Students!$A:$A,AP$2)+countifs(Students!$L:$L,$S47,Students!$M:$M,$S$2&amp;if($K47="S1","a",if($K47="S2","b","")),Students!$A:$A,AP$2)+countifs(Students!$N:$N,$S47,Students!$O:$O,$S$2&amp;if($K47="S1","a",if($K47="S2","b","")),Students!$A:$A,AP$2)+countifs(Students!$P:$P,$S47,Students!$Q:$Q,$S$2&amp;if($K47="S1","a",if($K47="S2","b","")),Students!$A:$A,AP$2)+countifs(Students!$R:$R,$S47,Students!$S:$S,$S$2&amp;if($K47="S1","a",if($K47="S2","b","")),Students!$A:$A,AP$2)+countifs(Students!$T:$T,$S47,Students!$U:$U,$S$2&amp;if($K47="S1","a",if($K47="S2","b","")),Students!$A:$A,AP$2)+countifs(Students!$V:$V,$S47,Students!$W:$W,$S$2&amp;if($K47="S1","a",if($K47="S2","b","")),Students!$A:$A,AP$2)+
countifs(Students!$D:$D,$V47,Students!$E:$E,$V$2&amp;if($K47="S1","a",if($K47="S2","b","")),Students!$A:$A,AP$2)+countifs(Students!$F:$F,$V47,Students!$G:$G,$V$2&amp;if($K47="S1","a",if($K47="S2","b","")),Students!$A:$A,AP$2)+countifs(Students!$H:$H,$V47,Students!$I:$I,$V$2&amp;if($K47="S1","a",if($K47="S2","b","")),Students!$A:$A,AP$2)+countifs(Students!$J:$J,$V47,Students!$K:$K,$V$2&amp;if($K47="S1","a",if($K47="S2","b","")),Students!$A:$A,AP$2)+countifs(Students!$L:$L,$V47,Students!$M:$M,$V$2&amp;if($K47="S1","a",if($K47="S2","b","")),Students!$A:$A,AP$2)+countifs(Students!$N:$N,$V47,Students!$O:$O,$V$2&amp;if($K47="S1","a",if($K47="S2","b","")),Students!$A:$A,AP$2)+countifs(Students!$P:$P,$V47,Students!$Q:$Q,$V$2&amp;if($K47="S1","a",if($K47="S2","b","")),Students!$A:$A,AP$2)+countifs(Students!$R:$R,$V47,Students!$S:$S,$V$2&amp;if($K47="S1","a",if($K47="S2","b","")),Students!$A:$A,AP$2)+countifs(Students!$T:$T,$V47,Students!$U:$U,$V$2&amp;if($K47="S1","a",if($K47="S2","b","")),Students!$A:$A,AP$2)+countifs(Students!$V:$V,$V47,Students!$W:$W,$V$2&amp;if($K47="S1","a",if($K47="S2","b","")),Students!$A:$A,AP$2)+
countifs(Students!$D:$D,$Y47,Students!$E:$E,$Y$2&amp;if($K47="S1","a",if($K47="S2","b","")),Students!$A:$A,AP$2)+countifs(Students!$F:$F,$Y47,Students!$G:$G,$Y$2&amp;if($K47="S1","a",if($K47="S2","b","")),Students!$A:$A,AP$2)+countifs(Students!$H:$H,$Y47,Students!$I:$I,$Y$2&amp;if($K47="S1","a",if($K47="S2","b","")),Students!$A:$A,AP$2)+countifs(Students!$J:$J,$Y47,Students!$K:$K,$Y$2&amp;if($K47="S1","a",if($K47="S2","b","")),Students!$A:$A,AP$2)+countifs(Students!$L:$L,$Y47,Students!$M:$M,$Y$2&amp;if($K47="S1","a",if($K47="S2","b","")),Students!$A:$A,AP$2)+countifs(Students!$N:$N,$Y47,Students!$O:$O,$Y$2&amp;if($K47="S1","a",if($K47="S2","b","")),Students!$A:$A,AP$2)+countifs(Students!$P:$P,$Y47,Students!$Q:$Q,$Y$2&amp;if($K47="S1","a",if($K47="S2","b","")),Students!$A:$A,AP$2)+countifs(Students!$R:$R,$Y47,Students!$S:$S,$Y$2&amp;if($K47="S1","a",if($K47="S2","b","")),Students!$A:$A,AP$2)+countifs(Students!$T:$T,$Y47,Students!$U:$U,$Y$2&amp;if($K47="S1","a",if($K47="S2","b","")),Students!$A:$A,AP$2)+countifs(Students!$V:$V,$Y47,Students!$W:$W,$Y$2&amp;if($K47="S1","a",if($K47="S2","b","")),Students!$A:$A,AP$2)+
countifs(Students!$D:$D,$AB47,Students!$E:$E,$AB$2&amp;if($K47="S1","a",if($K47="S2","b","")),Students!$A:$A,AP$2)+countifs(Students!$F:$F,$AB47,Students!$G:$G,$AB$2&amp;if($K47="S1","a",if($K47="S2","b","")),Students!$A:$A,AP$2)+countifs(Students!$H:$H,$AB47,Students!$I:$I,$AB$2&amp;if($K47="S1","a",if($K47="S2","b","")),Students!$A:$A,AP$2)+countifs(Students!$J:$J,$AB47,Students!$K:$K,$AB$2&amp;if($K47="S1","a",if($K47="S2","b","")),Students!$A:$A,AP$2)+countifs(Students!$L:$L,$AB47,Students!$M:$M,$AB$2&amp;if($K47="S1","a",if($K47="S2","b","")),Students!$A:$A,AP$2)+countifs(Students!$N:$N,$AB47,Students!$O:$O,$AB$2&amp;if($K47="S1","a",if($K47="S2","b","")),Students!$A:$A,AP$2)+countifs(Students!$P:$P,$AB47,Students!$Q:$Q,$AB$2&amp;if($K47="S1","a",if($K47="S2","b","")),Students!$A:$A,AP$2)+countifs(Students!$R:$R,$AB47,Students!$S:$S,$AB$2&amp;if($K47="S1","a",if($K47="S2","b","")),Students!$A:$A,AP$2)+countifs(Students!$T:$T,$AB47,Students!$U:$U,$AB$2&amp;if($K47="S1","a",if($K47="S2","b","")),Students!$A:$A,AP$2)+countifs(Students!$V:$V,$AB47,Students!$W:$W,$AB$2&amp;if($K47="S1","a",if($K47="S2","b","")),Students!$A:$A,AP$2)+
countifs(Students!$D:$D,$AE47,Students!$E:$E,$AE$2&amp;if($K47="S1","a",if($K47="S2","b","")),Students!$A:$A,AP$2)+countifs(Students!$F:$F,$AE47,Students!$G:$G,$AE$2&amp;if($K47="S1","a",if($K47="S2","b","")),Students!$A:$A,AP$2)+countifs(Students!$H:$H,$AE47,Students!$I:$I,$AE$2&amp;if($K47="S1","a",if($K47="S2","b","")),Students!$A:$A,AP$2)+countifs(Students!$J:$J,$AE47,Students!$K:$K,$AE$2&amp;if($K47="S1","a",if($K47="S2","b","")),Students!$A:$A,AP$2)+countifs(Students!$L:$L,$AE47,Students!$M:$M,$AE$2&amp;if($K47="S1","a",if($K47="S2","b","")),Students!$A:$A,AP$2)+countifs(Students!$N:$N,$AE47,Students!$O:$O,$AE$2&amp;if($K47="S1","a",if($K47="S2","b","")),Students!$A:$A,AP$2)+countifs(Students!$P:$P,$AE47,Students!$Q:$Q,$AE$2&amp;if($K47="S1","a",if($K47="S2","b","")),Students!$A:$A,AP$2)+countifs(Students!$R:$R,$AE47,Students!$S:$S,$AE$2&amp;if($K47="S1","a",if($K47="S2","b","")),Students!$A:$A,AP$2)+countifs(Students!$T:$T,$AE47,Students!$U:$U,$AE$2&amp;if($K47="S1","a",if($K47="S2","b","")),Students!$A:$A,AP$2)+countifs(Students!$V:$V,$AE47,Students!$W:$W,$AE$2&amp;if($K47="S1","a",if($K47="S2","b","")),Students!$A:$A,AP$2)+
countifs(Students!$D:$D,$AH47,Students!$E:$E,$AH$2&amp;if($K47="S1","a",if($K47="S2","b","")),Students!$A:$A,AP$2)+countifs(Students!$F:$F,$AH47,Students!$G:$G,$AH$2&amp;if($K47="S1","a",if($K47="S2","b","")),Students!$A:$A,AP$2)+countifs(Students!$H:$H,$AH47,Students!$I:$I,$AH$2&amp;if($K47="S1","a",if($K47="S2","b","")),Students!$A:$A,AP$2)+countifs(Students!$J:$J,$AH47,Students!$K:$K,$AH$2&amp;if($K47="S1","a",if($K47="S2","b","")),Students!$A:$A,AP$2)+countifs(Students!$L:$L,$AH47,Students!$M:$M,$AH$2&amp;if($K47="S1","a",if($K47="S2","b","")),Students!$A:$A,AP$2)+countifs(Students!$N:$N,$AH47,Students!$O:$O,$AH$2&amp;if($K47="S1","a",if($K47="S2","b","")),Students!$A:$A,AP$2)+countifs(Students!$P:$P,$AH47,Students!$Q:$Q,$AH$2&amp;if($K47="S1","a",if($K47="S2","b","")),Students!$A:$A,AP$2)+countifs(Students!$R:$R,$AH47,Students!$S:$S,$AH$2&amp;if($K47="S1","a",if($K47="S2","b","")),Students!$A:$A,AP$2)+countifs(Students!$T:$T,$AH47,Students!$U:$U,$AH$2&amp;if($K47="S1","a",if($K47="S2","b","")),Students!$A:$A,AP$2)+countifs(Students!$V:$V,$AH47,Students!$W:$W,$AH$2&amp;if($K47="S1","a",if($K47="S2","b","")),Students!$A:$A,AP$2)+
countifs(Students!$D:$D,$AK47,Students!$E:$E,$AK$2&amp;if($K47="S1","a",if($K47="S2","b","")),Students!$A:$A,AP$2)+countifs(Students!$F:$F,$AK47,Students!$G:$G,$AK$2&amp;if($K47="S1","a",if($K47="S2","b","")),Students!$A:$A,AP$2)+countifs(Students!$H:$H,$AK47,Students!$I:$I,$AK$2&amp;if($K47="S1","a",if($K47="S2","b","")),Students!$A:$A,AP$2)+countifs(Students!$J:$J,$AK47,Students!$K:$K,$AK$2&amp;if($K47="S1","a",if($K47="S2","b","")),Students!$A:$A,AP$2)+countifs(Students!$L:$L,$AK47,Students!$M:$M,$AK$2&amp;if($K47="S1","a",if($K47="S2","b","")),Students!$A:$A,AP$2)+countifs(Students!$N:$N,$AK47,Students!$O:$O,$AK$2&amp;if($K47="S1","a",if($K47="S2","b","")),Students!$A:$A,AP$2)+countifs(Students!$P:$P,$AK47,Students!$Q:$Q,$AK$2&amp;if($K47="S1","a",if($K47="S2","b","")),Students!$A:$A,AP$2)+countifs(Students!$R:$R,$AK47,Students!$S:$S,$AK$2&amp;if($K47="S1","a",if($K47="S2","b","")),Students!$A:$A,AP$2)+countifs(Students!$T:$T,$AK47,Students!$U:$U,$AK$2&amp;if($K47="S1","a",if($K47="S2","b","")),Students!$A:$A,AP$2)+countifs(Students!$V:$V,$AK47,Students!$W:$W,$AK$2&amp;if($K47="S1","a",if($K47="S2","b","")),Students!$A:$A,AP$2))</f>
        <v/>
      </c>
      <c r="AQ47" s="102" t="str">
        <f>if($L47="","",countifs(Students!$D:$D,$P47,Students!$E:$E,$P$2&amp;if($K47="S1","a",if($K47="S2","b","")),Students!$A:$A,AQ$2)+countifs(Students!$F:$F,$P47,Students!$G:$G,$P$2&amp;if($K47="S1","a",if($K47="S2","b","")),Students!$A:$A,AQ$2)+countifs(Students!$H:$H,$P47,Students!$I:$I,$P$2&amp;if($K47="S1","a",if($K47="S2","b","")),Students!$A:$A,AQ$2)+countifs(Students!$J:$J,$P47,Students!$K:$K,$P$2&amp;if($K47="S1","a",if($K47="S2","b","")),Students!$A:$A,AQ$2)+countifs(Students!$L:$L,$P47,Students!$M:$M,$P$2&amp;if($K47="S1","a",if($K47="S2","b","")),Students!$A:$A,AQ$2)+countifs(Students!$N:$N,$P47,Students!$O:$O,$P$2&amp;if($K47="S1","a",if($K47="S2","b","")),Students!$A:$A,AQ$2)+countifs(Students!$P:$P,$P47,Students!$Q:$Q,$P$2&amp;if($K47="S1","a",if($K47="S2","b","")),Students!$A:$A,AQ$2)+countifs(Students!$R:$R,$P47,Students!$S:$S,$P$2&amp;if($K47="S1","a",if($K47="S2","b","")),Students!$A:$A,AQ$2)+countifs(Students!$T:$T,$P47,Students!$U:$U,$P$2&amp;if($K47="S1","a",if($K47="S2","b","")),Students!$A:$A,AQ$2)+countifs(Students!$V:$V,$P47,Students!$W:$W,$P$2&amp;if($K47="S1","a",if($K47="S2","b","")),Students!$A:$A,AQ$2)+
countifs(Students!$D:$D,$S47,Students!$E:$E,$S$2&amp;if($K47="S1","a",if($K47="S2","b","")),Students!$A:$A,AQ$2)+countifs(Students!$F:$F,$S47,Students!$G:$G,$S$2&amp;if($K47="S1","a",if($K47="S2","b","")),Students!$A:$A,AQ$2)+countifs(Students!$H:$H,$S47,Students!$I:$I,$S$2&amp;if($K47="S1","a",if($K47="S2","b","")),Students!$A:$A,AQ$2)+countifs(Students!$J:$J,$S47,Students!$K:$K,$S$2&amp;if($K47="S1","a",if($K47="S2","b","")),Students!$A:$A,AQ$2)+countifs(Students!$L:$L,$S47,Students!$M:$M,$S$2&amp;if($K47="S1","a",if($K47="S2","b","")),Students!$A:$A,AQ$2)+countifs(Students!$N:$N,$S47,Students!$O:$O,$S$2&amp;if($K47="S1","a",if($K47="S2","b","")),Students!$A:$A,AQ$2)+countifs(Students!$P:$P,$S47,Students!$Q:$Q,$S$2&amp;if($K47="S1","a",if($K47="S2","b","")),Students!$A:$A,AQ$2)+countifs(Students!$R:$R,$S47,Students!$S:$S,$S$2&amp;if($K47="S1","a",if($K47="S2","b","")),Students!$A:$A,AQ$2)+countifs(Students!$T:$T,$S47,Students!$U:$U,$S$2&amp;if($K47="S1","a",if($K47="S2","b","")),Students!$A:$A,AQ$2)+countifs(Students!$V:$V,$S47,Students!$W:$W,$S$2&amp;if($K47="S1","a",if($K47="S2","b","")),Students!$A:$A,AQ$2)+
countifs(Students!$D:$D,$V47,Students!$E:$E,$V$2&amp;if($K47="S1","a",if($K47="S2","b","")),Students!$A:$A,AQ$2)+countifs(Students!$F:$F,$V47,Students!$G:$G,$V$2&amp;if($K47="S1","a",if($K47="S2","b","")),Students!$A:$A,AQ$2)+countifs(Students!$H:$H,$V47,Students!$I:$I,$V$2&amp;if($K47="S1","a",if($K47="S2","b","")),Students!$A:$A,AQ$2)+countifs(Students!$J:$J,$V47,Students!$K:$K,$V$2&amp;if($K47="S1","a",if($K47="S2","b","")),Students!$A:$A,AQ$2)+countifs(Students!$L:$L,$V47,Students!$M:$M,$V$2&amp;if($K47="S1","a",if($K47="S2","b","")),Students!$A:$A,AQ$2)+countifs(Students!$N:$N,$V47,Students!$O:$O,$V$2&amp;if($K47="S1","a",if($K47="S2","b","")),Students!$A:$A,AQ$2)+countifs(Students!$P:$P,$V47,Students!$Q:$Q,$V$2&amp;if($K47="S1","a",if($K47="S2","b","")),Students!$A:$A,AQ$2)+countifs(Students!$R:$R,$V47,Students!$S:$S,$V$2&amp;if($K47="S1","a",if($K47="S2","b","")),Students!$A:$A,AQ$2)+countifs(Students!$T:$T,$V47,Students!$U:$U,$V$2&amp;if($K47="S1","a",if($K47="S2","b","")),Students!$A:$A,AQ$2)+countifs(Students!$V:$V,$V47,Students!$W:$W,$V$2&amp;if($K47="S1","a",if($K47="S2","b","")),Students!$A:$A,AQ$2)+
countifs(Students!$D:$D,$Y47,Students!$E:$E,$Y$2&amp;if($K47="S1","a",if($K47="S2","b","")),Students!$A:$A,AQ$2)+countifs(Students!$F:$F,$Y47,Students!$G:$G,$Y$2&amp;if($K47="S1","a",if($K47="S2","b","")),Students!$A:$A,AQ$2)+countifs(Students!$H:$H,$Y47,Students!$I:$I,$Y$2&amp;if($K47="S1","a",if($K47="S2","b","")),Students!$A:$A,AQ$2)+countifs(Students!$J:$J,$Y47,Students!$K:$K,$Y$2&amp;if($K47="S1","a",if($K47="S2","b","")),Students!$A:$A,AQ$2)+countifs(Students!$L:$L,$Y47,Students!$M:$M,$Y$2&amp;if($K47="S1","a",if($K47="S2","b","")),Students!$A:$A,AQ$2)+countifs(Students!$N:$N,$Y47,Students!$O:$O,$Y$2&amp;if($K47="S1","a",if($K47="S2","b","")),Students!$A:$A,AQ$2)+countifs(Students!$P:$P,$Y47,Students!$Q:$Q,$Y$2&amp;if($K47="S1","a",if($K47="S2","b","")),Students!$A:$A,AQ$2)+countifs(Students!$R:$R,$Y47,Students!$S:$S,$Y$2&amp;if($K47="S1","a",if($K47="S2","b","")),Students!$A:$A,AQ$2)+countifs(Students!$T:$T,$Y47,Students!$U:$U,$Y$2&amp;if($K47="S1","a",if($K47="S2","b","")),Students!$A:$A,AQ$2)+countifs(Students!$V:$V,$Y47,Students!$W:$W,$Y$2&amp;if($K47="S1","a",if($K47="S2","b","")),Students!$A:$A,AQ$2)+
countifs(Students!$D:$D,$AB47,Students!$E:$E,$AB$2&amp;if($K47="S1","a",if($K47="S2","b","")),Students!$A:$A,AQ$2)+countifs(Students!$F:$F,$AB47,Students!$G:$G,$AB$2&amp;if($K47="S1","a",if($K47="S2","b","")),Students!$A:$A,AQ$2)+countifs(Students!$H:$H,$AB47,Students!$I:$I,$AB$2&amp;if($K47="S1","a",if($K47="S2","b","")),Students!$A:$A,AQ$2)+countifs(Students!$J:$J,$AB47,Students!$K:$K,$AB$2&amp;if($K47="S1","a",if($K47="S2","b","")),Students!$A:$A,AQ$2)+countifs(Students!$L:$L,$AB47,Students!$M:$M,$AB$2&amp;if($K47="S1","a",if($K47="S2","b","")),Students!$A:$A,AQ$2)+countifs(Students!$N:$N,$AB47,Students!$O:$O,$AB$2&amp;if($K47="S1","a",if($K47="S2","b","")),Students!$A:$A,AQ$2)+countifs(Students!$P:$P,$AB47,Students!$Q:$Q,$AB$2&amp;if($K47="S1","a",if($K47="S2","b","")),Students!$A:$A,AQ$2)+countifs(Students!$R:$R,$AB47,Students!$S:$S,$AB$2&amp;if($K47="S1","a",if($K47="S2","b","")),Students!$A:$A,AQ$2)+countifs(Students!$T:$T,$AB47,Students!$U:$U,$AB$2&amp;if($K47="S1","a",if($K47="S2","b","")),Students!$A:$A,AQ$2)+countifs(Students!$V:$V,$AB47,Students!$W:$W,$AB$2&amp;if($K47="S1","a",if($K47="S2","b","")),Students!$A:$A,AQ$2)+
countifs(Students!$D:$D,$AE47,Students!$E:$E,$AE$2&amp;if($K47="S1","a",if($K47="S2","b","")),Students!$A:$A,AQ$2)+countifs(Students!$F:$F,$AE47,Students!$G:$G,$AE$2&amp;if($K47="S1","a",if($K47="S2","b","")),Students!$A:$A,AQ$2)+countifs(Students!$H:$H,$AE47,Students!$I:$I,$AE$2&amp;if($K47="S1","a",if($K47="S2","b","")),Students!$A:$A,AQ$2)+countifs(Students!$J:$J,$AE47,Students!$K:$K,$AE$2&amp;if($K47="S1","a",if($K47="S2","b","")),Students!$A:$A,AQ$2)+countifs(Students!$L:$L,$AE47,Students!$M:$M,$AE$2&amp;if($K47="S1","a",if($K47="S2","b","")),Students!$A:$A,AQ$2)+countifs(Students!$N:$N,$AE47,Students!$O:$O,$AE$2&amp;if($K47="S1","a",if($K47="S2","b","")),Students!$A:$A,AQ$2)+countifs(Students!$P:$P,$AE47,Students!$Q:$Q,$AE$2&amp;if($K47="S1","a",if($K47="S2","b","")),Students!$A:$A,AQ$2)+countifs(Students!$R:$R,$AE47,Students!$S:$S,$AE$2&amp;if($K47="S1","a",if($K47="S2","b","")),Students!$A:$A,AQ$2)+countifs(Students!$T:$T,$AE47,Students!$U:$U,$AE$2&amp;if($K47="S1","a",if($K47="S2","b","")),Students!$A:$A,AQ$2)+countifs(Students!$V:$V,$AE47,Students!$W:$W,$AE$2&amp;if($K47="S1","a",if($K47="S2","b","")),Students!$A:$A,AQ$2)+
countifs(Students!$D:$D,$AH47,Students!$E:$E,$AH$2&amp;if($K47="S1","a",if($K47="S2","b","")),Students!$A:$A,AQ$2)+countifs(Students!$F:$F,$AH47,Students!$G:$G,$AH$2&amp;if($K47="S1","a",if($K47="S2","b","")),Students!$A:$A,AQ$2)+countifs(Students!$H:$H,$AH47,Students!$I:$I,$AH$2&amp;if($K47="S1","a",if($K47="S2","b","")),Students!$A:$A,AQ$2)+countifs(Students!$J:$J,$AH47,Students!$K:$K,$AH$2&amp;if($K47="S1","a",if($K47="S2","b","")),Students!$A:$A,AQ$2)+countifs(Students!$L:$L,$AH47,Students!$M:$M,$AH$2&amp;if($K47="S1","a",if($K47="S2","b","")),Students!$A:$A,AQ$2)+countifs(Students!$N:$N,$AH47,Students!$O:$O,$AH$2&amp;if($K47="S1","a",if($K47="S2","b","")),Students!$A:$A,AQ$2)+countifs(Students!$P:$P,$AH47,Students!$Q:$Q,$AH$2&amp;if($K47="S1","a",if($K47="S2","b","")),Students!$A:$A,AQ$2)+countifs(Students!$R:$R,$AH47,Students!$S:$S,$AH$2&amp;if($K47="S1","a",if($K47="S2","b","")),Students!$A:$A,AQ$2)+countifs(Students!$T:$T,$AH47,Students!$U:$U,$AH$2&amp;if($K47="S1","a",if($K47="S2","b","")),Students!$A:$A,AQ$2)+countifs(Students!$V:$V,$AH47,Students!$W:$W,$AH$2&amp;if($K47="S1","a",if($K47="S2","b","")),Students!$A:$A,AQ$2)+
countifs(Students!$D:$D,$AK47,Students!$E:$E,$AK$2&amp;if($K47="S1","a",if($K47="S2","b","")),Students!$A:$A,AQ$2)+countifs(Students!$F:$F,$AK47,Students!$G:$G,$AK$2&amp;if($K47="S1","a",if($K47="S2","b","")),Students!$A:$A,AQ$2)+countifs(Students!$H:$H,$AK47,Students!$I:$I,$AK$2&amp;if($K47="S1","a",if($K47="S2","b","")),Students!$A:$A,AQ$2)+countifs(Students!$J:$J,$AK47,Students!$K:$K,$AK$2&amp;if($K47="S1","a",if($K47="S2","b","")),Students!$A:$A,AQ$2)+countifs(Students!$L:$L,$AK47,Students!$M:$M,$AK$2&amp;if($K47="S1","a",if($K47="S2","b","")),Students!$A:$A,AQ$2)+countifs(Students!$N:$N,$AK47,Students!$O:$O,$AK$2&amp;if($K47="S1","a",if($K47="S2","b","")),Students!$A:$A,AQ$2)+countifs(Students!$P:$P,$AK47,Students!$Q:$Q,$AK$2&amp;if($K47="S1","a",if($K47="S2","b","")),Students!$A:$A,AQ$2)+countifs(Students!$R:$R,$AK47,Students!$S:$S,$AK$2&amp;if($K47="S1","a",if($K47="S2","b","")),Students!$A:$A,AQ$2)+countifs(Students!$T:$T,$AK47,Students!$U:$U,$AK$2&amp;if($K47="S1","a",if($K47="S2","b","")),Students!$A:$A,AQ$2)+countifs(Students!$V:$V,$AK47,Students!$W:$W,$AK$2&amp;if($K47="S1","a",if($K47="S2","b","")),Students!$A:$A,AQ$2))</f>
        <v/>
      </c>
      <c r="AR47" s="102" t="str">
        <f>if($L47="","",countifs(Students!$D:$D,$P47,Students!$E:$E,$P$2&amp;if($K47="S1","a",if($K47="S2","b","")),Students!$A:$A,AR$2)+countifs(Students!$F:$F,$P47,Students!$G:$G,$P$2&amp;if($K47="S1","a",if($K47="S2","b","")),Students!$A:$A,AR$2)+countifs(Students!$H:$H,$P47,Students!$I:$I,$P$2&amp;if($K47="S1","a",if($K47="S2","b","")),Students!$A:$A,AR$2)+countifs(Students!$J:$J,$P47,Students!$K:$K,$P$2&amp;if($K47="S1","a",if($K47="S2","b","")),Students!$A:$A,AR$2)+countifs(Students!$L:$L,$P47,Students!$M:$M,$P$2&amp;if($K47="S1","a",if($K47="S2","b","")),Students!$A:$A,AR$2)+countifs(Students!$N:$N,$P47,Students!$O:$O,$P$2&amp;if($K47="S1","a",if($K47="S2","b","")),Students!$A:$A,AR$2)+countifs(Students!$P:$P,$P47,Students!$Q:$Q,$P$2&amp;if($K47="S1","a",if($K47="S2","b","")),Students!$A:$A,AR$2)+countifs(Students!$R:$R,$P47,Students!$S:$S,$P$2&amp;if($K47="S1","a",if($K47="S2","b","")),Students!$A:$A,AR$2)+countifs(Students!$T:$T,$P47,Students!$U:$U,$P$2&amp;if($K47="S1","a",if($K47="S2","b","")),Students!$A:$A,AR$2)+countifs(Students!$V:$V,$P47,Students!$W:$W,$P$2&amp;if($K47="S1","a",if($K47="S2","b","")),Students!$A:$A,AR$2)+
countifs(Students!$D:$D,$S47,Students!$E:$E,$S$2&amp;if($K47="S1","a",if($K47="S2","b","")),Students!$A:$A,AR$2)+countifs(Students!$F:$F,$S47,Students!$G:$G,$S$2&amp;if($K47="S1","a",if($K47="S2","b","")),Students!$A:$A,AR$2)+countifs(Students!$H:$H,$S47,Students!$I:$I,$S$2&amp;if($K47="S1","a",if($K47="S2","b","")),Students!$A:$A,AR$2)+countifs(Students!$J:$J,$S47,Students!$K:$K,$S$2&amp;if($K47="S1","a",if($K47="S2","b","")),Students!$A:$A,AR$2)+countifs(Students!$L:$L,$S47,Students!$M:$M,$S$2&amp;if($K47="S1","a",if($K47="S2","b","")),Students!$A:$A,AR$2)+countifs(Students!$N:$N,$S47,Students!$O:$O,$S$2&amp;if($K47="S1","a",if($K47="S2","b","")),Students!$A:$A,AR$2)+countifs(Students!$P:$P,$S47,Students!$Q:$Q,$S$2&amp;if($K47="S1","a",if($K47="S2","b","")),Students!$A:$A,AR$2)+countifs(Students!$R:$R,$S47,Students!$S:$S,$S$2&amp;if($K47="S1","a",if($K47="S2","b","")),Students!$A:$A,AR$2)+countifs(Students!$T:$T,$S47,Students!$U:$U,$S$2&amp;if($K47="S1","a",if($K47="S2","b","")),Students!$A:$A,AR$2)+countifs(Students!$V:$V,$S47,Students!$W:$W,$S$2&amp;if($K47="S1","a",if($K47="S2","b","")),Students!$A:$A,AR$2)+
countifs(Students!$D:$D,$V47,Students!$E:$E,$V$2&amp;if($K47="S1","a",if($K47="S2","b","")),Students!$A:$A,AR$2)+countifs(Students!$F:$F,$V47,Students!$G:$G,$V$2&amp;if($K47="S1","a",if($K47="S2","b","")),Students!$A:$A,AR$2)+countifs(Students!$H:$H,$V47,Students!$I:$I,$V$2&amp;if($K47="S1","a",if($K47="S2","b","")),Students!$A:$A,AR$2)+countifs(Students!$J:$J,$V47,Students!$K:$K,$V$2&amp;if($K47="S1","a",if($K47="S2","b","")),Students!$A:$A,AR$2)+countifs(Students!$L:$L,$V47,Students!$M:$M,$V$2&amp;if($K47="S1","a",if($K47="S2","b","")),Students!$A:$A,AR$2)+countifs(Students!$N:$N,$V47,Students!$O:$O,$V$2&amp;if($K47="S1","a",if($K47="S2","b","")),Students!$A:$A,AR$2)+countifs(Students!$P:$P,$V47,Students!$Q:$Q,$V$2&amp;if($K47="S1","a",if($K47="S2","b","")),Students!$A:$A,AR$2)+countifs(Students!$R:$R,$V47,Students!$S:$S,$V$2&amp;if($K47="S1","a",if($K47="S2","b","")),Students!$A:$A,AR$2)+countifs(Students!$T:$T,$V47,Students!$U:$U,$V$2&amp;if($K47="S1","a",if($K47="S2","b","")),Students!$A:$A,AR$2)+countifs(Students!$V:$V,$V47,Students!$W:$W,$V$2&amp;if($K47="S1","a",if($K47="S2","b","")),Students!$A:$A,AR$2)+
countifs(Students!$D:$D,$Y47,Students!$E:$E,$Y$2&amp;if($K47="S1","a",if($K47="S2","b","")),Students!$A:$A,AR$2)+countifs(Students!$F:$F,$Y47,Students!$G:$G,$Y$2&amp;if($K47="S1","a",if($K47="S2","b","")),Students!$A:$A,AR$2)+countifs(Students!$H:$H,$Y47,Students!$I:$I,$Y$2&amp;if($K47="S1","a",if($K47="S2","b","")),Students!$A:$A,AR$2)+countifs(Students!$J:$J,$Y47,Students!$K:$K,$Y$2&amp;if($K47="S1","a",if($K47="S2","b","")),Students!$A:$A,AR$2)+countifs(Students!$L:$L,$Y47,Students!$M:$M,$Y$2&amp;if($K47="S1","a",if($K47="S2","b","")),Students!$A:$A,AR$2)+countifs(Students!$N:$N,$Y47,Students!$O:$O,$Y$2&amp;if($K47="S1","a",if($K47="S2","b","")),Students!$A:$A,AR$2)+countifs(Students!$P:$P,$Y47,Students!$Q:$Q,$Y$2&amp;if($K47="S1","a",if($K47="S2","b","")),Students!$A:$A,AR$2)+countifs(Students!$R:$R,$Y47,Students!$S:$S,$Y$2&amp;if($K47="S1","a",if($K47="S2","b","")),Students!$A:$A,AR$2)+countifs(Students!$T:$T,$Y47,Students!$U:$U,$Y$2&amp;if($K47="S1","a",if($K47="S2","b","")),Students!$A:$A,AR$2)+countifs(Students!$V:$V,$Y47,Students!$W:$W,$Y$2&amp;if($K47="S1","a",if($K47="S2","b","")),Students!$A:$A,AR$2)+
countifs(Students!$D:$D,$AB47,Students!$E:$E,$AB$2&amp;if($K47="S1","a",if($K47="S2","b","")),Students!$A:$A,AR$2)+countifs(Students!$F:$F,$AB47,Students!$G:$G,$AB$2&amp;if($K47="S1","a",if($K47="S2","b","")),Students!$A:$A,AR$2)+countifs(Students!$H:$H,$AB47,Students!$I:$I,$AB$2&amp;if($K47="S1","a",if($K47="S2","b","")),Students!$A:$A,AR$2)+countifs(Students!$J:$J,$AB47,Students!$K:$K,$AB$2&amp;if($K47="S1","a",if($K47="S2","b","")),Students!$A:$A,AR$2)+countifs(Students!$L:$L,$AB47,Students!$M:$M,$AB$2&amp;if($K47="S1","a",if($K47="S2","b","")),Students!$A:$A,AR$2)+countifs(Students!$N:$N,$AB47,Students!$O:$O,$AB$2&amp;if($K47="S1","a",if($K47="S2","b","")),Students!$A:$A,AR$2)+countifs(Students!$P:$P,$AB47,Students!$Q:$Q,$AB$2&amp;if($K47="S1","a",if($K47="S2","b","")),Students!$A:$A,AR$2)+countifs(Students!$R:$R,$AB47,Students!$S:$S,$AB$2&amp;if($K47="S1","a",if($K47="S2","b","")),Students!$A:$A,AR$2)+countifs(Students!$T:$T,$AB47,Students!$U:$U,$AB$2&amp;if($K47="S1","a",if($K47="S2","b","")),Students!$A:$A,AR$2)+countifs(Students!$V:$V,$AB47,Students!$W:$W,$AB$2&amp;if($K47="S1","a",if($K47="S2","b","")),Students!$A:$A,AR$2)+
countifs(Students!$D:$D,$AE47,Students!$E:$E,$AE$2&amp;if($K47="S1","a",if($K47="S2","b","")),Students!$A:$A,AR$2)+countifs(Students!$F:$F,$AE47,Students!$G:$G,$AE$2&amp;if($K47="S1","a",if($K47="S2","b","")),Students!$A:$A,AR$2)+countifs(Students!$H:$H,$AE47,Students!$I:$I,$AE$2&amp;if($K47="S1","a",if($K47="S2","b","")),Students!$A:$A,AR$2)+countifs(Students!$J:$J,$AE47,Students!$K:$K,$AE$2&amp;if($K47="S1","a",if($K47="S2","b","")),Students!$A:$A,AR$2)+countifs(Students!$L:$L,$AE47,Students!$M:$M,$AE$2&amp;if($K47="S1","a",if($K47="S2","b","")),Students!$A:$A,AR$2)+countifs(Students!$N:$N,$AE47,Students!$O:$O,$AE$2&amp;if($K47="S1","a",if($K47="S2","b","")),Students!$A:$A,AR$2)+countifs(Students!$P:$P,$AE47,Students!$Q:$Q,$AE$2&amp;if($K47="S1","a",if($K47="S2","b","")),Students!$A:$A,AR$2)+countifs(Students!$R:$R,$AE47,Students!$S:$S,$AE$2&amp;if($K47="S1","a",if($K47="S2","b","")),Students!$A:$A,AR$2)+countifs(Students!$T:$T,$AE47,Students!$U:$U,$AE$2&amp;if($K47="S1","a",if($K47="S2","b","")),Students!$A:$A,AR$2)+countifs(Students!$V:$V,$AE47,Students!$W:$W,$AE$2&amp;if($K47="S1","a",if($K47="S2","b","")),Students!$A:$A,AR$2)+
countifs(Students!$D:$D,$AH47,Students!$E:$E,$AH$2&amp;if($K47="S1","a",if($K47="S2","b","")),Students!$A:$A,AR$2)+countifs(Students!$F:$F,$AH47,Students!$G:$G,$AH$2&amp;if($K47="S1","a",if($K47="S2","b","")),Students!$A:$A,AR$2)+countifs(Students!$H:$H,$AH47,Students!$I:$I,$AH$2&amp;if($K47="S1","a",if($K47="S2","b","")),Students!$A:$A,AR$2)+countifs(Students!$J:$J,$AH47,Students!$K:$K,$AH$2&amp;if($K47="S1","a",if($K47="S2","b","")),Students!$A:$A,AR$2)+countifs(Students!$L:$L,$AH47,Students!$M:$M,$AH$2&amp;if($K47="S1","a",if($K47="S2","b","")),Students!$A:$A,AR$2)+countifs(Students!$N:$N,$AH47,Students!$O:$O,$AH$2&amp;if($K47="S1","a",if($K47="S2","b","")),Students!$A:$A,AR$2)+countifs(Students!$P:$P,$AH47,Students!$Q:$Q,$AH$2&amp;if($K47="S1","a",if($K47="S2","b","")),Students!$A:$A,AR$2)+countifs(Students!$R:$R,$AH47,Students!$S:$S,$AH$2&amp;if($K47="S1","a",if($K47="S2","b","")),Students!$A:$A,AR$2)+countifs(Students!$T:$T,$AH47,Students!$U:$U,$AH$2&amp;if($K47="S1","a",if($K47="S2","b","")),Students!$A:$A,AR$2)+countifs(Students!$V:$V,$AH47,Students!$W:$W,$AH$2&amp;if($K47="S1","a",if($K47="S2","b","")),Students!$A:$A,AR$2)+
countifs(Students!$D:$D,$AK47,Students!$E:$E,$AK$2&amp;if($K47="S1","a",if($K47="S2","b","")),Students!$A:$A,AR$2)+countifs(Students!$F:$F,$AK47,Students!$G:$G,$AK$2&amp;if($K47="S1","a",if($K47="S2","b","")),Students!$A:$A,AR$2)+countifs(Students!$H:$H,$AK47,Students!$I:$I,$AK$2&amp;if($K47="S1","a",if($K47="S2","b","")),Students!$A:$A,AR$2)+countifs(Students!$J:$J,$AK47,Students!$K:$K,$AK$2&amp;if($K47="S1","a",if($K47="S2","b","")),Students!$A:$A,AR$2)+countifs(Students!$L:$L,$AK47,Students!$M:$M,$AK$2&amp;if($K47="S1","a",if($K47="S2","b","")),Students!$A:$A,AR$2)+countifs(Students!$N:$N,$AK47,Students!$O:$O,$AK$2&amp;if($K47="S1","a",if($K47="S2","b","")),Students!$A:$A,AR$2)+countifs(Students!$P:$P,$AK47,Students!$Q:$Q,$AK$2&amp;if($K47="S1","a",if($K47="S2","b","")),Students!$A:$A,AR$2)+countifs(Students!$R:$R,$AK47,Students!$S:$S,$AK$2&amp;if($K47="S1","a",if($K47="S2","b","")),Students!$A:$A,AR$2)+countifs(Students!$T:$T,$AK47,Students!$U:$U,$AK$2&amp;if($K47="S1","a",if($K47="S2","b","")),Students!$A:$A,AR$2)+countifs(Students!$V:$V,$AK47,Students!$W:$W,$AK$2&amp;if($K47="S1","a",if($K47="S2","b","")),Students!$A:$A,AR$2))</f>
        <v/>
      </c>
      <c r="AS47" s="102" t="str">
        <f>if($L47="","",countifs(Students!$D:$D,$P47,Students!$E:$E,$P$2&amp;if($K47="S1","a",if($K47="S2","b","")),Students!$A:$A,AS$2)+countifs(Students!$F:$F,$P47,Students!$G:$G,$P$2&amp;if($K47="S1","a",if($K47="S2","b","")),Students!$A:$A,AS$2)+countifs(Students!$H:$H,$P47,Students!$I:$I,$P$2&amp;if($K47="S1","a",if($K47="S2","b","")),Students!$A:$A,AS$2)+countifs(Students!$J:$J,$P47,Students!$K:$K,$P$2&amp;if($K47="S1","a",if($K47="S2","b","")),Students!$A:$A,AS$2)+countifs(Students!$L:$L,$P47,Students!$M:$M,$P$2&amp;if($K47="S1","a",if($K47="S2","b","")),Students!$A:$A,AS$2)+countifs(Students!$N:$N,$P47,Students!$O:$O,$P$2&amp;if($K47="S1","a",if($K47="S2","b","")),Students!$A:$A,AS$2)+countifs(Students!$P:$P,$P47,Students!$Q:$Q,$P$2&amp;if($K47="S1","a",if($K47="S2","b","")),Students!$A:$A,AS$2)+countifs(Students!$R:$R,$P47,Students!$S:$S,$P$2&amp;if($K47="S1","a",if($K47="S2","b","")),Students!$A:$A,AS$2)+countifs(Students!$T:$T,$P47,Students!$U:$U,$P$2&amp;if($K47="S1","a",if($K47="S2","b","")),Students!$A:$A,AS$2)+countifs(Students!$V:$V,$P47,Students!$W:$W,$P$2&amp;if($K47="S1","a",if($K47="S2","b","")),Students!$A:$A,AS$2)+
countifs(Students!$D:$D,$S47,Students!$E:$E,$S$2&amp;if($K47="S1","a",if($K47="S2","b","")),Students!$A:$A,AS$2)+countifs(Students!$F:$F,$S47,Students!$G:$G,$S$2&amp;if($K47="S1","a",if($K47="S2","b","")),Students!$A:$A,AS$2)+countifs(Students!$H:$H,$S47,Students!$I:$I,$S$2&amp;if($K47="S1","a",if($K47="S2","b","")),Students!$A:$A,AS$2)+countifs(Students!$J:$J,$S47,Students!$K:$K,$S$2&amp;if($K47="S1","a",if($K47="S2","b","")),Students!$A:$A,AS$2)+countifs(Students!$L:$L,$S47,Students!$M:$M,$S$2&amp;if($K47="S1","a",if($K47="S2","b","")),Students!$A:$A,AS$2)+countifs(Students!$N:$N,$S47,Students!$O:$O,$S$2&amp;if($K47="S1","a",if($K47="S2","b","")),Students!$A:$A,AS$2)+countifs(Students!$P:$P,$S47,Students!$Q:$Q,$S$2&amp;if($K47="S1","a",if($K47="S2","b","")),Students!$A:$A,AS$2)+countifs(Students!$R:$R,$S47,Students!$S:$S,$S$2&amp;if($K47="S1","a",if($K47="S2","b","")),Students!$A:$A,AS$2)+countifs(Students!$T:$T,$S47,Students!$U:$U,$S$2&amp;if($K47="S1","a",if($K47="S2","b","")),Students!$A:$A,AS$2)+countifs(Students!$V:$V,$S47,Students!$W:$W,$S$2&amp;if($K47="S1","a",if($K47="S2","b","")),Students!$A:$A,AS$2)+
countifs(Students!$D:$D,$V47,Students!$E:$E,$V$2&amp;if($K47="S1","a",if($K47="S2","b","")),Students!$A:$A,AS$2)+countifs(Students!$F:$F,$V47,Students!$G:$G,$V$2&amp;if($K47="S1","a",if($K47="S2","b","")),Students!$A:$A,AS$2)+countifs(Students!$H:$H,$V47,Students!$I:$I,$V$2&amp;if($K47="S1","a",if($K47="S2","b","")),Students!$A:$A,AS$2)+countifs(Students!$J:$J,$V47,Students!$K:$K,$V$2&amp;if($K47="S1","a",if($K47="S2","b","")),Students!$A:$A,AS$2)+countifs(Students!$L:$L,$V47,Students!$M:$M,$V$2&amp;if($K47="S1","a",if($K47="S2","b","")),Students!$A:$A,AS$2)+countifs(Students!$N:$N,$V47,Students!$O:$O,$V$2&amp;if($K47="S1","a",if($K47="S2","b","")),Students!$A:$A,AS$2)+countifs(Students!$P:$P,$V47,Students!$Q:$Q,$V$2&amp;if($K47="S1","a",if($K47="S2","b","")),Students!$A:$A,AS$2)+countifs(Students!$R:$R,$V47,Students!$S:$S,$V$2&amp;if($K47="S1","a",if($K47="S2","b","")),Students!$A:$A,AS$2)+countifs(Students!$T:$T,$V47,Students!$U:$U,$V$2&amp;if($K47="S1","a",if($K47="S2","b","")),Students!$A:$A,AS$2)+countifs(Students!$V:$V,$V47,Students!$W:$W,$V$2&amp;if($K47="S1","a",if($K47="S2","b","")),Students!$A:$A,AS$2)+
countifs(Students!$D:$D,$Y47,Students!$E:$E,$Y$2&amp;if($K47="S1","a",if($K47="S2","b","")),Students!$A:$A,AS$2)+countifs(Students!$F:$F,$Y47,Students!$G:$G,$Y$2&amp;if($K47="S1","a",if($K47="S2","b","")),Students!$A:$A,AS$2)+countifs(Students!$H:$H,$Y47,Students!$I:$I,$Y$2&amp;if($K47="S1","a",if($K47="S2","b","")),Students!$A:$A,AS$2)+countifs(Students!$J:$J,$Y47,Students!$K:$K,$Y$2&amp;if($K47="S1","a",if($K47="S2","b","")),Students!$A:$A,AS$2)+countifs(Students!$L:$L,$Y47,Students!$M:$M,$Y$2&amp;if($K47="S1","a",if($K47="S2","b","")),Students!$A:$A,AS$2)+countifs(Students!$N:$N,$Y47,Students!$O:$O,$Y$2&amp;if($K47="S1","a",if($K47="S2","b","")),Students!$A:$A,AS$2)+countifs(Students!$P:$P,$Y47,Students!$Q:$Q,$Y$2&amp;if($K47="S1","a",if($K47="S2","b","")),Students!$A:$A,AS$2)+countifs(Students!$R:$R,$Y47,Students!$S:$S,$Y$2&amp;if($K47="S1","a",if($K47="S2","b","")),Students!$A:$A,AS$2)+countifs(Students!$T:$T,$Y47,Students!$U:$U,$Y$2&amp;if($K47="S1","a",if($K47="S2","b","")),Students!$A:$A,AS$2)+countifs(Students!$V:$V,$Y47,Students!$W:$W,$Y$2&amp;if($K47="S1","a",if($K47="S2","b","")),Students!$A:$A,AS$2)+
countifs(Students!$D:$D,$AB47,Students!$E:$E,$AB$2&amp;if($K47="S1","a",if($K47="S2","b","")),Students!$A:$A,AS$2)+countifs(Students!$F:$F,$AB47,Students!$G:$G,$AB$2&amp;if($K47="S1","a",if($K47="S2","b","")),Students!$A:$A,AS$2)+countifs(Students!$H:$H,$AB47,Students!$I:$I,$AB$2&amp;if($K47="S1","a",if($K47="S2","b","")),Students!$A:$A,AS$2)+countifs(Students!$J:$J,$AB47,Students!$K:$K,$AB$2&amp;if($K47="S1","a",if($K47="S2","b","")),Students!$A:$A,AS$2)+countifs(Students!$L:$L,$AB47,Students!$M:$M,$AB$2&amp;if($K47="S1","a",if($K47="S2","b","")),Students!$A:$A,AS$2)+countifs(Students!$N:$N,$AB47,Students!$O:$O,$AB$2&amp;if($K47="S1","a",if($K47="S2","b","")),Students!$A:$A,AS$2)+countifs(Students!$P:$P,$AB47,Students!$Q:$Q,$AB$2&amp;if($K47="S1","a",if($K47="S2","b","")),Students!$A:$A,AS$2)+countifs(Students!$R:$R,$AB47,Students!$S:$S,$AB$2&amp;if($K47="S1","a",if($K47="S2","b","")),Students!$A:$A,AS$2)+countifs(Students!$T:$T,$AB47,Students!$U:$U,$AB$2&amp;if($K47="S1","a",if($K47="S2","b","")),Students!$A:$A,AS$2)+countifs(Students!$V:$V,$AB47,Students!$W:$W,$AB$2&amp;if($K47="S1","a",if($K47="S2","b","")),Students!$A:$A,AS$2)+
countifs(Students!$D:$D,$AE47,Students!$E:$E,$AE$2&amp;if($K47="S1","a",if($K47="S2","b","")),Students!$A:$A,AS$2)+countifs(Students!$F:$F,$AE47,Students!$G:$G,$AE$2&amp;if($K47="S1","a",if($K47="S2","b","")),Students!$A:$A,AS$2)+countifs(Students!$H:$H,$AE47,Students!$I:$I,$AE$2&amp;if($K47="S1","a",if($K47="S2","b","")),Students!$A:$A,AS$2)+countifs(Students!$J:$J,$AE47,Students!$K:$K,$AE$2&amp;if($K47="S1","a",if($K47="S2","b","")),Students!$A:$A,AS$2)+countifs(Students!$L:$L,$AE47,Students!$M:$M,$AE$2&amp;if($K47="S1","a",if($K47="S2","b","")),Students!$A:$A,AS$2)+countifs(Students!$N:$N,$AE47,Students!$O:$O,$AE$2&amp;if($K47="S1","a",if($K47="S2","b","")),Students!$A:$A,AS$2)+countifs(Students!$P:$P,$AE47,Students!$Q:$Q,$AE$2&amp;if($K47="S1","a",if($K47="S2","b","")),Students!$A:$A,AS$2)+countifs(Students!$R:$R,$AE47,Students!$S:$S,$AE$2&amp;if($K47="S1","a",if($K47="S2","b","")),Students!$A:$A,AS$2)+countifs(Students!$T:$T,$AE47,Students!$U:$U,$AE$2&amp;if($K47="S1","a",if($K47="S2","b","")),Students!$A:$A,AS$2)+countifs(Students!$V:$V,$AE47,Students!$W:$W,$AE$2&amp;if($K47="S1","a",if($K47="S2","b","")),Students!$A:$A,AS$2)+
countifs(Students!$D:$D,$AH47,Students!$E:$E,$AH$2&amp;if($K47="S1","a",if($K47="S2","b","")),Students!$A:$A,AS$2)+countifs(Students!$F:$F,$AH47,Students!$G:$G,$AH$2&amp;if($K47="S1","a",if($K47="S2","b","")),Students!$A:$A,AS$2)+countifs(Students!$H:$H,$AH47,Students!$I:$I,$AH$2&amp;if($K47="S1","a",if($K47="S2","b","")),Students!$A:$A,AS$2)+countifs(Students!$J:$J,$AH47,Students!$K:$K,$AH$2&amp;if($K47="S1","a",if($K47="S2","b","")),Students!$A:$A,AS$2)+countifs(Students!$L:$L,$AH47,Students!$M:$M,$AH$2&amp;if($K47="S1","a",if($K47="S2","b","")),Students!$A:$A,AS$2)+countifs(Students!$N:$N,$AH47,Students!$O:$O,$AH$2&amp;if($K47="S1","a",if($K47="S2","b","")),Students!$A:$A,AS$2)+countifs(Students!$P:$P,$AH47,Students!$Q:$Q,$AH$2&amp;if($K47="S1","a",if($K47="S2","b","")),Students!$A:$A,AS$2)+countifs(Students!$R:$R,$AH47,Students!$S:$S,$AH$2&amp;if($K47="S1","a",if($K47="S2","b","")),Students!$A:$A,AS$2)+countifs(Students!$T:$T,$AH47,Students!$U:$U,$AH$2&amp;if($K47="S1","a",if($K47="S2","b","")),Students!$A:$A,AS$2)+countifs(Students!$V:$V,$AH47,Students!$W:$W,$AH$2&amp;if($K47="S1","a",if($K47="S2","b","")),Students!$A:$A,AS$2)+
countifs(Students!$D:$D,$AK47,Students!$E:$E,$AK$2&amp;if($K47="S1","a",if($K47="S2","b","")),Students!$A:$A,AS$2)+countifs(Students!$F:$F,$AK47,Students!$G:$G,$AK$2&amp;if($K47="S1","a",if($K47="S2","b","")),Students!$A:$A,AS$2)+countifs(Students!$H:$H,$AK47,Students!$I:$I,$AK$2&amp;if($K47="S1","a",if($K47="S2","b","")),Students!$A:$A,AS$2)+countifs(Students!$J:$J,$AK47,Students!$K:$K,$AK$2&amp;if($K47="S1","a",if($K47="S2","b","")),Students!$A:$A,AS$2)+countifs(Students!$L:$L,$AK47,Students!$M:$M,$AK$2&amp;if($K47="S1","a",if($K47="S2","b","")),Students!$A:$A,AS$2)+countifs(Students!$N:$N,$AK47,Students!$O:$O,$AK$2&amp;if($K47="S1","a",if($K47="S2","b","")),Students!$A:$A,AS$2)+countifs(Students!$P:$P,$AK47,Students!$Q:$Q,$AK$2&amp;if($K47="S1","a",if($K47="S2","b","")),Students!$A:$A,AS$2)+countifs(Students!$R:$R,$AK47,Students!$S:$S,$AK$2&amp;if($K47="S1","a",if($K47="S2","b","")),Students!$A:$A,AS$2)+countifs(Students!$T:$T,$AK47,Students!$U:$U,$AK$2&amp;if($K47="S1","a",if($K47="S2","b","")),Students!$A:$A,AS$2)+countifs(Students!$V:$V,$AK47,Students!$W:$W,$AK$2&amp;if($K47="S1","a",if($K47="S2","b","")),Students!$A:$A,AS$2))</f>
        <v/>
      </c>
    </row>
    <row r="48">
      <c r="J48" s="87" t="s">
        <v>22</v>
      </c>
      <c r="K48" s="88"/>
      <c r="L48" s="128"/>
      <c r="M48" s="107"/>
      <c r="N48" s="87" t="s">
        <v>22</v>
      </c>
      <c r="O48" s="87">
        <f>IFERROR(__xludf.DUMMYFUNCTION("3*counta((transpose(filter(P48:AM48,P48:AM48&lt;&gt;"""",isnumber(P48:AM48)=false))))"),3.0)</f>
        <v>3</v>
      </c>
      <c r="P48" s="103"/>
      <c r="Q48" s="101"/>
      <c r="R48" s="98" t="s">
        <v>22</v>
      </c>
      <c r="S48" s="101"/>
      <c r="T48" s="101"/>
      <c r="U48" s="98" t="s">
        <v>22</v>
      </c>
      <c r="V48" s="101"/>
      <c r="W48" s="101"/>
      <c r="X48" s="98" t="s">
        <v>22</v>
      </c>
      <c r="Y48" s="101"/>
      <c r="Z48" s="101"/>
      <c r="AA48" s="98" t="s">
        <v>22</v>
      </c>
      <c r="AB48" s="101"/>
      <c r="AC48" s="101"/>
      <c r="AD48" s="98" t="s">
        <v>22</v>
      </c>
      <c r="AE48" s="101"/>
      <c r="AF48" s="101"/>
      <c r="AG48" s="98" t="s">
        <v>22</v>
      </c>
      <c r="AH48" s="101"/>
      <c r="AI48" s="97"/>
      <c r="AJ48" s="98" t="s">
        <v>22</v>
      </c>
      <c r="AK48" s="101"/>
      <c r="AL48" s="97"/>
      <c r="AM48" s="98" t="s">
        <v>22</v>
      </c>
      <c r="AN48" s="99"/>
      <c r="AO48" s="52" t="str">
        <f t="shared" si="2"/>
        <v/>
      </c>
      <c r="AP48" s="102" t="str">
        <f>if($L48="","",countifs(Students!$D:$D,$P48,Students!$E:$E,$P$2&amp;if($K48="S1","a",if($K48="S2","b","")),Students!$A:$A,AP$2)+countifs(Students!$F:$F,$P48,Students!$G:$G,$P$2&amp;if($K48="S1","a",if($K48="S2","b","")),Students!$A:$A,AP$2)+countifs(Students!$H:$H,$P48,Students!$I:$I,$P$2&amp;if($K48="S1","a",if($K48="S2","b","")),Students!$A:$A,AP$2)+countifs(Students!$J:$J,$P48,Students!$K:$K,$P$2&amp;if($K48="S1","a",if($K48="S2","b","")),Students!$A:$A,AP$2)+countifs(Students!$L:$L,$P48,Students!$M:$M,$P$2&amp;if($K48="S1","a",if($K48="S2","b","")),Students!$A:$A,AP$2)+countifs(Students!$N:$N,$P48,Students!$O:$O,$P$2&amp;if($K48="S1","a",if($K48="S2","b","")),Students!$A:$A,AP$2)+countifs(Students!$P:$P,$P48,Students!$Q:$Q,$P$2&amp;if($K48="S1","a",if($K48="S2","b","")),Students!$A:$A,AP$2)+countifs(Students!$R:$R,$P48,Students!$S:$S,$P$2&amp;if($K48="S1","a",if($K48="S2","b","")),Students!$A:$A,AP$2)+countifs(Students!$T:$T,$P48,Students!$U:$U,$P$2&amp;if($K48="S1","a",if($K48="S2","b","")),Students!$A:$A,AP$2)+countifs(Students!$V:$V,$P48,Students!$W:$W,$P$2&amp;if($K48="S1","a",if($K48="S2","b","")),Students!$A:$A,AP$2)+
countifs(Students!$D:$D,$S48,Students!$E:$E,$S$2&amp;if($K48="S1","a",if($K48="S2","b","")),Students!$A:$A,AP$2)+countifs(Students!$F:$F,$S48,Students!$G:$G,$S$2&amp;if($K48="S1","a",if($K48="S2","b","")),Students!$A:$A,AP$2)+countifs(Students!$H:$H,$S48,Students!$I:$I,$S$2&amp;if($K48="S1","a",if($K48="S2","b","")),Students!$A:$A,AP$2)+countifs(Students!$J:$J,$S48,Students!$K:$K,$S$2&amp;if($K48="S1","a",if($K48="S2","b","")),Students!$A:$A,AP$2)+countifs(Students!$L:$L,$S48,Students!$M:$M,$S$2&amp;if($K48="S1","a",if($K48="S2","b","")),Students!$A:$A,AP$2)+countifs(Students!$N:$N,$S48,Students!$O:$O,$S$2&amp;if($K48="S1","a",if($K48="S2","b","")),Students!$A:$A,AP$2)+countifs(Students!$P:$P,$S48,Students!$Q:$Q,$S$2&amp;if($K48="S1","a",if($K48="S2","b","")),Students!$A:$A,AP$2)+countifs(Students!$R:$R,$S48,Students!$S:$S,$S$2&amp;if($K48="S1","a",if($K48="S2","b","")),Students!$A:$A,AP$2)+countifs(Students!$T:$T,$S48,Students!$U:$U,$S$2&amp;if($K48="S1","a",if($K48="S2","b","")),Students!$A:$A,AP$2)+countifs(Students!$V:$V,$S48,Students!$W:$W,$S$2&amp;if($K48="S1","a",if($K48="S2","b","")),Students!$A:$A,AP$2)+
countifs(Students!$D:$D,$V48,Students!$E:$E,$V$2&amp;if($K48="S1","a",if($K48="S2","b","")),Students!$A:$A,AP$2)+countifs(Students!$F:$F,$V48,Students!$G:$G,$V$2&amp;if($K48="S1","a",if($K48="S2","b","")),Students!$A:$A,AP$2)+countifs(Students!$H:$H,$V48,Students!$I:$I,$V$2&amp;if($K48="S1","a",if($K48="S2","b","")),Students!$A:$A,AP$2)+countifs(Students!$J:$J,$V48,Students!$K:$K,$V$2&amp;if($K48="S1","a",if($K48="S2","b","")),Students!$A:$A,AP$2)+countifs(Students!$L:$L,$V48,Students!$M:$M,$V$2&amp;if($K48="S1","a",if($K48="S2","b","")),Students!$A:$A,AP$2)+countifs(Students!$N:$N,$V48,Students!$O:$O,$V$2&amp;if($K48="S1","a",if($K48="S2","b","")),Students!$A:$A,AP$2)+countifs(Students!$P:$P,$V48,Students!$Q:$Q,$V$2&amp;if($K48="S1","a",if($K48="S2","b","")),Students!$A:$A,AP$2)+countifs(Students!$R:$R,$V48,Students!$S:$S,$V$2&amp;if($K48="S1","a",if($K48="S2","b","")),Students!$A:$A,AP$2)+countifs(Students!$T:$T,$V48,Students!$U:$U,$V$2&amp;if($K48="S1","a",if($K48="S2","b","")),Students!$A:$A,AP$2)+countifs(Students!$V:$V,$V48,Students!$W:$W,$V$2&amp;if($K48="S1","a",if($K48="S2","b","")),Students!$A:$A,AP$2)+
countifs(Students!$D:$D,$Y48,Students!$E:$E,$Y$2&amp;if($K48="S1","a",if($K48="S2","b","")),Students!$A:$A,AP$2)+countifs(Students!$F:$F,$Y48,Students!$G:$G,$Y$2&amp;if($K48="S1","a",if($K48="S2","b","")),Students!$A:$A,AP$2)+countifs(Students!$H:$H,$Y48,Students!$I:$I,$Y$2&amp;if($K48="S1","a",if($K48="S2","b","")),Students!$A:$A,AP$2)+countifs(Students!$J:$J,$Y48,Students!$K:$K,$Y$2&amp;if($K48="S1","a",if($K48="S2","b","")),Students!$A:$A,AP$2)+countifs(Students!$L:$L,$Y48,Students!$M:$M,$Y$2&amp;if($K48="S1","a",if($K48="S2","b","")),Students!$A:$A,AP$2)+countifs(Students!$N:$N,$Y48,Students!$O:$O,$Y$2&amp;if($K48="S1","a",if($K48="S2","b","")),Students!$A:$A,AP$2)+countifs(Students!$P:$P,$Y48,Students!$Q:$Q,$Y$2&amp;if($K48="S1","a",if($K48="S2","b","")),Students!$A:$A,AP$2)+countifs(Students!$R:$R,$Y48,Students!$S:$S,$Y$2&amp;if($K48="S1","a",if($K48="S2","b","")),Students!$A:$A,AP$2)+countifs(Students!$T:$T,$Y48,Students!$U:$U,$Y$2&amp;if($K48="S1","a",if($K48="S2","b","")),Students!$A:$A,AP$2)+countifs(Students!$V:$V,$Y48,Students!$W:$W,$Y$2&amp;if($K48="S1","a",if($K48="S2","b","")),Students!$A:$A,AP$2)+
countifs(Students!$D:$D,$AB48,Students!$E:$E,$AB$2&amp;if($K48="S1","a",if($K48="S2","b","")),Students!$A:$A,AP$2)+countifs(Students!$F:$F,$AB48,Students!$G:$G,$AB$2&amp;if($K48="S1","a",if($K48="S2","b","")),Students!$A:$A,AP$2)+countifs(Students!$H:$H,$AB48,Students!$I:$I,$AB$2&amp;if($K48="S1","a",if($K48="S2","b","")),Students!$A:$A,AP$2)+countifs(Students!$J:$J,$AB48,Students!$K:$K,$AB$2&amp;if($K48="S1","a",if($K48="S2","b","")),Students!$A:$A,AP$2)+countifs(Students!$L:$L,$AB48,Students!$M:$M,$AB$2&amp;if($K48="S1","a",if($K48="S2","b","")),Students!$A:$A,AP$2)+countifs(Students!$N:$N,$AB48,Students!$O:$O,$AB$2&amp;if($K48="S1","a",if($K48="S2","b","")),Students!$A:$A,AP$2)+countifs(Students!$P:$P,$AB48,Students!$Q:$Q,$AB$2&amp;if($K48="S1","a",if($K48="S2","b","")),Students!$A:$A,AP$2)+countifs(Students!$R:$R,$AB48,Students!$S:$S,$AB$2&amp;if($K48="S1","a",if($K48="S2","b","")),Students!$A:$A,AP$2)+countifs(Students!$T:$T,$AB48,Students!$U:$U,$AB$2&amp;if($K48="S1","a",if($K48="S2","b","")),Students!$A:$A,AP$2)+countifs(Students!$V:$V,$AB48,Students!$W:$W,$AB$2&amp;if($K48="S1","a",if($K48="S2","b","")),Students!$A:$A,AP$2)+
countifs(Students!$D:$D,$AE48,Students!$E:$E,$AE$2&amp;if($K48="S1","a",if($K48="S2","b","")),Students!$A:$A,AP$2)+countifs(Students!$F:$F,$AE48,Students!$G:$G,$AE$2&amp;if($K48="S1","a",if($K48="S2","b","")),Students!$A:$A,AP$2)+countifs(Students!$H:$H,$AE48,Students!$I:$I,$AE$2&amp;if($K48="S1","a",if($K48="S2","b","")),Students!$A:$A,AP$2)+countifs(Students!$J:$J,$AE48,Students!$K:$K,$AE$2&amp;if($K48="S1","a",if($K48="S2","b","")),Students!$A:$A,AP$2)+countifs(Students!$L:$L,$AE48,Students!$M:$M,$AE$2&amp;if($K48="S1","a",if($K48="S2","b","")),Students!$A:$A,AP$2)+countifs(Students!$N:$N,$AE48,Students!$O:$O,$AE$2&amp;if($K48="S1","a",if($K48="S2","b","")),Students!$A:$A,AP$2)+countifs(Students!$P:$P,$AE48,Students!$Q:$Q,$AE$2&amp;if($K48="S1","a",if($K48="S2","b","")),Students!$A:$A,AP$2)+countifs(Students!$R:$R,$AE48,Students!$S:$S,$AE$2&amp;if($K48="S1","a",if($K48="S2","b","")),Students!$A:$A,AP$2)+countifs(Students!$T:$T,$AE48,Students!$U:$U,$AE$2&amp;if($K48="S1","a",if($K48="S2","b","")),Students!$A:$A,AP$2)+countifs(Students!$V:$V,$AE48,Students!$W:$W,$AE$2&amp;if($K48="S1","a",if($K48="S2","b","")),Students!$A:$A,AP$2)+
countifs(Students!$D:$D,$AH48,Students!$E:$E,$AH$2&amp;if($K48="S1","a",if($K48="S2","b","")),Students!$A:$A,AP$2)+countifs(Students!$F:$F,$AH48,Students!$G:$G,$AH$2&amp;if($K48="S1","a",if($K48="S2","b","")),Students!$A:$A,AP$2)+countifs(Students!$H:$H,$AH48,Students!$I:$I,$AH$2&amp;if($K48="S1","a",if($K48="S2","b","")),Students!$A:$A,AP$2)+countifs(Students!$J:$J,$AH48,Students!$K:$K,$AH$2&amp;if($K48="S1","a",if($K48="S2","b","")),Students!$A:$A,AP$2)+countifs(Students!$L:$L,$AH48,Students!$M:$M,$AH$2&amp;if($K48="S1","a",if($K48="S2","b","")),Students!$A:$A,AP$2)+countifs(Students!$N:$N,$AH48,Students!$O:$O,$AH$2&amp;if($K48="S1","a",if($K48="S2","b","")),Students!$A:$A,AP$2)+countifs(Students!$P:$P,$AH48,Students!$Q:$Q,$AH$2&amp;if($K48="S1","a",if($K48="S2","b","")),Students!$A:$A,AP$2)+countifs(Students!$R:$R,$AH48,Students!$S:$S,$AH$2&amp;if($K48="S1","a",if($K48="S2","b","")),Students!$A:$A,AP$2)+countifs(Students!$T:$T,$AH48,Students!$U:$U,$AH$2&amp;if($K48="S1","a",if($K48="S2","b","")),Students!$A:$A,AP$2)+countifs(Students!$V:$V,$AH48,Students!$W:$W,$AH$2&amp;if($K48="S1","a",if($K48="S2","b","")),Students!$A:$A,AP$2)+
countifs(Students!$D:$D,$AK48,Students!$E:$E,$AK$2&amp;if($K48="S1","a",if($K48="S2","b","")),Students!$A:$A,AP$2)+countifs(Students!$F:$F,$AK48,Students!$G:$G,$AK$2&amp;if($K48="S1","a",if($K48="S2","b","")),Students!$A:$A,AP$2)+countifs(Students!$H:$H,$AK48,Students!$I:$I,$AK$2&amp;if($K48="S1","a",if($K48="S2","b","")),Students!$A:$A,AP$2)+countifs(Students!$J:$J,$AK48,Students!$K:$K,$AK$2&amp;if($K48="S1","a",if($K48="S2","b","")),Students!$A:$A,AP$2)+countifs(Students!$L:$L,$AK48,Students!$M:$M,$AK$2&amp;if($K48="S1","a",if($K48="S2","b","")),Students!$A:$A,AP$2)+countifs(Students!$N:$N,$AK48,Students!$O:$O,$AK$2&amp;if($K48="S1","a",if($K48="S2","b","")),Students!$A:$A,AP$2)+countifs(Students!$P:$P,$AK48,Students!$Q:$Q,$AK$2&amp;if($K48="S1","a",if($K48="S2","b","")),Students!$A:$A,AP$2)+countifs(Students!$R:$R,$AK48,Students!$S:$S,$AK$2&amp;if($K48="S1","a",if($K48="S2","b","")),Students!$A:$A,AP$2)+countifs(Students!$T:$T,$AK48,Students!$U:$U,$AK$2&amp;if($K48="S1","a",if($K48="S2","b","")),Students!$A:$A,AP$2)+countifs(Students!$V:$V,$AK48,Students!$W:$W,$AK$2&amp;if($K48="S1","a",if($K48="S2","b","")),Students!$A:$A,AP$2))</f>
        <v/>
      </c>
      <c r="AQ48" s="102" t="str">
        <f>if($L48="","",countifs(Students!$D:$D,$P48,Students!$E:$E,$P$2&amp;if($K48="S1","a",if($K48="S2","b","")),Students!$A:$A,AQ$2)+countifs(Students!$F:$F,$P48,Students!$G:$G,$P$2&amp;if($K48="S1","a",if($K48="S2","b","")),Students!$A:$A,AQ$2)+countifs(Students!$H:$H,$P48,Students!$I:$I,$P$2&amp;if($K48="S1","a",if($K48="S2","b","")),Students!$A:$A,AQ$2)+countifs(Students!$J:$J,$P48,Students!$K:$K,$P$2&amp;if($K48="S1","a",if($K48="S2","b","")),Students!$A:$A,AQ$2)+countifs(Students!$L:$L,$P48,Students!$M:$M,$P$2&amp;if($K48="S1","a",if($K48="S2","b","")),Students!$A:$A,AQ$2)+countifs(Students!$N:$N,$P48,Students!$O:$O,$P$2&amp;if($K48="S1","a",if($K48="S2","b","")),Students!$A:$A,AQ$2)+countifs(Students!$P:$P,$P48,Students!$Q:$Q,$P$2&amp;if($K48="S1","a",if($K48="S2","b","")),Students!$A:$A,AQ$2)+countifs(Students!$R:$R,$P48,Students!$S:$S,$P$2&amp;if($K48="S1","a",if($K48="S2","b","")),Students!$A:$A,AQ$2)+countifs(Students!$T:$T,$P48,Students!$U:$U,$P$2&amp;if($K48="S1","a",if($K48="S2","b","")),Students!$A:$A,AQ$2)+countifs(Students!$V:$V,$P48,Students!$W:$W,$P$2&amp;if($K48="S1","a",if($K48="S2","b","")),Students!$A:$A,AQ$2)+
countifs(Students!$D:$D,$S48,Students!$E:$E,$S$2&amp;if($K48="S1","a",if($K48="S2","b","")),Students!$A:$A,AQ$2)+countifs(Students!$F:$F,$S48,Students!$G:$G,$S$2&amp;if($K48="S1","a",if($K48="S2","b","")),Students!$A:$A,AQ$2)+countifs(Students!$H:$H,$S48,Students!$I:$I,$S$2&amp;if($K48="S1","a",if($K48="S2","b","")),Students!$A:$A,AQ$2)+countifs(Students!$J:$J,$S48,Students!$K:$K,$S$2&amp;if($K48="S1","a",if($K48="S2","b","")),Students!$A:$A,AQ$2)+countifs(Students!$L:$L,$S48,Students!$M:$M,$S$2&amp;if($K48="S1","a",if($K48="S2","b","")),Students!$A:$A,AQ$2)+countifs(Students!$N:$N,$S48,Students!$O:$O,$S$2&amp;if($K48="S1","a",if($K48="S2","b","")),Students!$A:$A,AQ$2)+countifs(Students!$P:$P,$S48,Students!$Q:$Q,$S$2&amp;if($K48="S1","a",if($K48="S2","b","")),Students!$A:$A,AQ$2)+countifs(Students!$R:$R,$S48,Students!$S:$S,$S$2&amp;if($K48="S1","a",if($K48="S2","b","")),Students!$A:$A,AQ$2)+countifs(Students!$T:$T,$S48,Students!$U:$U,$S$2&amp;if($K48="S1","a",if($K48="S2","b","")),Students!$A:$A,AQ$2)+countifs(Students!$V:$V,$S48,Students!$W:$W,$S$2&amp;if($K48="S1","a",if($K48="S2","b","")),Students!$A:$A,AQ$2)+
countifs(Students!$D:$D,$V48,Students!$E:$E,$V$2&amp;if($K48="S1","a",if($K48="S2","b","")),Students!$A:$A,AQ$2)+countifs(Students!$F:$F,$V48,Students!$G:$G,$V$2&amp;if($K48="S1","a",if($K48="S2","b","")),Students!$A:$A,AQ$2)+countifs(Students!$H:$H,$V48,Students!$I:$I,$V$2&amp;if($K48="S1","a",if($K48="S2","b","")),Students!$A:$A,AQ$2)+countifs(Students!$J:$J,$V48,Students!$K:$K,$V$2&amp;if($K48="S1","a",if($K48="S2","b","")),Students!$A:$A,AQ$2)+countifs(Students!$L:$L,$V48,Students!$M:$M,$V$2&amp;if($K48="S1","a",if($K48="S2","b","")),Students!$A:$A,AQ$2)+countifs(Students!$N:$N,$V48,Students!$O:$O,$V$2&amp;if($K48="S1","a",if($K48="S2","b","")),Students!$A:$A,AQ$2)+countifs(Students!$P:$P,$V48,Students!$Q:$Q,$V$2&amp;if($K48="S1","a",if($K48="S2","b","")),Students!$A:$A,AQ$2)+countifs(Students!$R:$R,$V48,Students!$S:$S,$V$2&amp;if($K48="S1","a",if($K48="S2","b","")),Students!$A:$A,AQ$2)+countifs(Students!$T:$T,$V48,Students!$U:$U,$V$2&amp;if($K48="S1","a",if($K48="S2","b","")),Students!$A:$A,AQ$2)+countifs(Students!$V:$V,$V48,Students!$W:$W,$V$2&amp;if($K48="S1","a",if($K48="S2","b","")),Students!$A:$A,AQ$2)+
countifs(Students!$D:$D,$Y48,Students!$E:$E,$Y$2&amp;if($K48="S1","a",if($K48="S2","b","")),Students!$A:$A,AQ$2)+countifs(Students!$F:$F,$Y48,Students!$G:$G,$Y$2&amp;if($K48="S1","a",if($K48="S2","b","")),Students!$A:$A,AQ$2)+countifs(Students!$H:$H,$Y48,Students!$I:$I,$Y$2&amp;if($K48="S1","a",if($K48="S2","b","")),Students!$A:$A,AQ$2)+countifs(Students!$J:$J,$Y48,Students!$K:$K,$Y$2&amp;if($K48="S1","a",if($K48="S2","b","")),Students!$A:$A,AQ$2)+countifs(Students!$L:$L,$Y48,Students!$M:$M,$Y$2&amp;if($K48="S1","a",if($K48="S2","b","")),Students!$A:$A,AQ$2)+countifs(Students!$N:$N,$Y48,Students!$O:$O,$Y$2&amp;if($K48="S1","a",if($K48="S2","b","")),Students!$A:$A,AQ$2)+countifs(Students!$P:$P,$Y48,Students!$Q:$Q,$Y$2&amp;if($K48="S1","a",if($K48="S2","b","")),Students!$A:$A,AQ$2)+countifs(Students!$R:$R,$Y48,Students!$S:$S,$Y$2&amp;if($K48="S1","a",if($K48="S2","b","")),Students!$A:$A,AQ$2)+countifs(Students!$T:$T,$Y48,Students!$U:$U,$Y$2&amp;if($K48="S1","a",if($K48="S2","b","")),Students!$A:$A,AQ$2)+countifs(Students!$V:$V,$Y48,Students!$W:$W,$Y$2&amp;if($K48="S1","a",if($K48="S2","b","")),Students!$A:$A,AQ$2)+
countifs(Students!$D:$D,$AB48,Students!$E:$E,$AB$2&amp;if($K48="S1","a",if($K48="S2","b","")),Students!$A:$A,AQ$2)+countifs(Students!$F:$F,$AB48,Students!$G:$G,$AB$2&amp;if($K48="S1","a",if($K48="S2","b","")),Students!$A:$A,AQ$2)+countifs(Students!$H:$H,$AB48,Students!$I:$I,$AB$2&amp;if($K48="S1","a",if($K48="S2","b","")),Students!$A:$A,AQ$2)+countifs(Students!$J:$J,$AB48,Students!$K:$K,$AB$2&amp;if($K48="S1","a",if($K48="S2","b","")),Students!$A:$A,AQ$2)+countifs(Students!$L:$L,$AB48,Students!$M:$M,$AB$2&amp;if($K48="S1","a",if($K48="S2","b","")),Students!$A:$A,AQ$2)+countifs(Students!$N:$N,$AB48,Students!$O:$O,$AB$2&amp;if($K48="S1","a",if($K48="S2","b","")),Students!$A:$A,AQ$2)+countifs(Students!$P:$P,$AB48,Students!$Q:$Q,$AB$2&amp;if($K48="S1","a",if($K48="S2","b","")),Students!$A:$A,AQ$2)+countifs(Students!$R:$R,$AB48,Students!$S:$S,$AB$2&amp;if($K48="S1","a",if($K48="S2","b","")),Students!$A:$A,AQ$2)+countifs(Students!$T:$T,$AB48,Students!$U:$U,$AB$2&amp;if($K48="S1","a",if($K48="S2","b","")),Students!$A:$A,AQ$2)+countifs(Students!$V:$V,$AB48,Students!$W:$W,$AB$2&amp;if($K48="S1","a",if($K48="S2","b","")),Students!$A:$A,AQ$2)+
countifs(Students!$D:$D,$AE48,Students!$E:$E,$AE$2&amp;if($K48="S1","a",if($K48="S2","b","")),Students!$A:$A,AQ$2)+countifs(Students!$F:$F,$AE48,Students!$G:$G,$AE$2&amp;if($K48="S1","a",if($K48="S2","b","")),Students!$A:$A,AQ$2)+countifs(Students!$H:$H,$AE48,Students!$I:$I,$AE$2&amp;if($K48="S1","a",if($K48="S2","b","")),Students!$A:$A,AQ$2)+countifs(Students!$J:$J,$AE48,Students!$K:$K,$AE$2&amp;if($K48="S1","a",if($K48="S2","b","")),Students!$A:$A,AQ$2)+countifs(Students!$L:$L,$AE48,Students!$M:$M,$AE$2&amp;if($K48="S1","a",if($K48="S2","b","")),Students!$A:$A,AQ$2)+countifs(Students!$N:$N,$AE48,Students!$O:$O,$AE$2&amp;if($K48="S1","a",if($K48="S2","b","")),Students!$A:$A,AQ$2)+countifs(Students!$P:$P,$AE48,Students!$Q:$Q,$AE$2&amp;if($K48="S1","a",if($K48="S2","b","")),Students!$A:$A,AQ$2)+countifs(Students!$R:$R,$AE48,Students!$S:$S,$AE$2&amp;if($K48="S1","a",if($K48="S2","b","")),Students!$A:$A,AQ$2)+countifs(Students!$T:$T,$AE48,Students!$U:$U,$AE$2&amp;if($K48="S1","a",if($K48="S2","b","")),Students!$A:$A,AQ$2)+countifs(Students!$V:$V,$AE48,Students!$W:$W,$AE$2&amp;if($K48="S1","a",if($K48="S2","b","")),Students!$A:$A,AQ$2)+
countifs(Students!$D:$D,$AH48,Students!$E:$E,$AH$2&amp;if($K48="S1","a",if($K48="S2","b","")),Students!$A:$A,AQ$2)+countifs(Students!$F:$F,$AH48,Students!$G:$G,$AH$2&amp;if($K48="S1","a",if($K48="S2","b","")),Students!$A:$A,AQ$2)+countifs(Students!$H:$H,$AH48,Students!$I:$I,$AH$2&amp;if($K48="S1","a",if($K48="S2","b","")),Students!$A:$A,AQ$2)+countifs(Students!$J:$J,$AH48,Students!$K:$K,$AH$2&amp;if($K48="S1","a",if($K48="S2","b","")),Students!$A:$A,AQ$2)+countifs(Students!$L:$L,$AH48,Students!$M:$M,$AH$2&amp;if($K48="S1","a",if($K48="S2","b","")),Students!$A:$A,AQ$2)+countifs(Students!$N:$N,$AH48,Students!$O:$O,$AH$2&amp;if($K48="S1","a",if($K48="S2","b","")),Students!$A:$A,AQ$2)+countifs(Students!$P:$P,$AH48,Students!$Q:$Q,$AH$2&amp;if($K48="S1","a",if($K48="S2","b","")),Students!$A:$A,AQ$2)+countifs(Students!$R:$R,$AH48,Students!$S:$S,$AH$2&amp;if($K48="S1","a",if($K48="S2","b","")),Students!$A:$A,AQ$2)+countifs(Students!$T:$T,$AH48,Students!$U:$U,$AH$2&amp;if($K48="S1","a",if($K48="S2","b","")),Students!$A:$A,AQ$2)+countifs(Students!$V:$V,$AH48,Students!$W:$W,$AH$2&amp;if($K48="S1","a",if($K48="S2","b","")),Students!$A:$A,AQ$2)+
countifs(Students!$D:$D,$AK48,Students!$E:$E,$AK$2&amp;if($K48="S1","a",if($K48="S2","b","")),Students!$A:$A,AQ$2)+countifs(Students!$F:$F,$AK48,Students!$G:$G,$AK$2&amp;if($K48="S1","a",if($K48="S2","b","")),Students!$A:$A,AQ$2)+countifs(Students!$H:$H,$AK48,Students!$I:$I,$AK$2&amp;if($K48="S1","a",if($K48="S2","b","")),Students!$A:$A,AQ$2)+countifs(Students!$J:$J,$AK48,Students!$K:$K,$AK$2&amp;if($K48="S1","a",if($K48="S2","b","")),Students!$A:$A,AQ$2)+countifs(Students!$L:$L,$AK48,Students!$M:$M,$AK$2&amp;if($K48="S1","a",if($K48="S2","b","")),Students!$A:$A,AQ$2)+countifs(Students!$N:$N,$AK48,Students!$O:$O,$AK$2&amp;if($K48="S1","a",if($K48="S2","b","")),Students!$A:$A,AQ$2)+countifs(Students!$P:$P,$AK48,Students!$Q:$Q,$AK$2&amp;if($K48="S1","a",if($K48="S2","b","")),Students!$A:$A,AQ$2)+countifs(Students!$R:$R,$AK48,Students!$S:$S,$AK$2&amp;if($K48="S1","a",if($K48="S2","b","")),Students!$A:$A,AQ$2)+countifs(Students!$T:$T,$AK48,Students!$U:$U,$AK$2&amp;if($K48="S1","a",if($K48="S2","b","")),Students!$A:$A,AQ$2)+countifs(Students!$V:$V,$AK48,Students!$W:$W,$AK$2&amp;if($K48="S1","a",if($K48="S2","b","")),Students!$A:$A,AQ$2))</f>
        <v/>
      </c>
      <c r="AR48" s="102" t="str">
        <f>if($L48="","",countifs(Students!$D:$D,$P48,Students!$E:$E,$P$2&amp;if($K48="S1","a",if($K48="S2","b","")),Students!$A:$A,AR$2)+countifs(Students!$F:$F,$P48,Students!$G:$G,$P$2&amp;if($K48="S1","a",if($K48="S2","b","")),Students!$A:$A,AR$2)+countifs(Students!$H:$H,$P48,Students!$I:$I,$P$2&amp;if($K48="S1","a",if($K48="S2","b","")),Students!$A:$A,AR$2)+countifs(Students!$J:$J,$P48,Students!$K:$K,$P$2&amp;if($K48="S1","a",if($K48="S2","b","")),Students!$A:$A,AR$2)+countifs(Students!$L:$L,$P48,Students!$M:$M,$P$2&amp;if($K48="S1","a",if($K48="S2","b","")),Students!$A:$A,AR$2)+countifs(Students!$N:$N,$P48,Students!$O:$O,$P$2&amp;if($K48="S1","a",if($K48="S2","b","")),Students!$A:$A,AR$2)+countifs(Students!$P:$P,$P48,Students!$Q:$Q,$P$2&amp;if($K48="S1","a",if($K48="S2","b","")),Students!$A:$A,AR$2)+countifs(Students!$R:$R,$P48,Students!$S:$S,$P$2&amp;if($K48="S1","a",if($K48="S2","b","")),Students!$A:$A,AR$2)+countifs(Students!$T:$T,$P48,Students!$U:$U,$P$2&amp;if($K48="S1","a",if($K48="S2","b","")),Students!$A:$A,AR$2)+countifs(Students!$V:$V,$P48,Students!$W:$W,$P$2&amp;if($K48="S1","a",if($K48="S2","b","")),Students!$A:$A,AR$2)+
countifs(Students!$D:$D,$S48,Students!$E:$E,$S$2&amp;if($K48="S1","a",if($K48="S2","b","")),Students!$A:$A,AR$2)+countifs(Students!$F:$F,$S48,Students!$G:$G,$S$2&amp;if($K48="S1","a",if($K48="S2","b","")),Students!$A:$A,AR$2)+countifs(Students!$H:$H,$S48,Students!$I:$I,$S$2&amp;if($K48="S1","a",if($K48="S2","b","")),Students!$A:$A,AR$2)+countifs(Students!$J:$J,$S48,Students!$K:$K,$S$2&amp;if($K48="S1","a",if($K48="S2","b","")),Students!$A:$A,AR$2)+countifs(Students!$L:$L,$S48,Students!$M:$M,$S$2&amp;if($K48="S1","a",if($K48="S2","b","")),Students!$A:$A,AR$2)+countifs(Students!$N:$N,$S48,Students!$O:$O,$S$2&amp;if($K48="S1","a",if($K48="S2","b","")),Students!$A:$A,AR$2)+countifs(Students!$P:$P,$S48,Students!$Q:$Q,$S$2&amp;if($K48="S1","a",if($K48="S2","b","")),Students!$A:$A,AR$2)+countifs(Students!$R:$R,$S48,Students!$S:$S,$S$2&amp;if($K48="S1","a",if($K48="S2","b","")),Students!$A:$A,AR$2)+countifs(Students!$T:$T,$S48,Students!$U:$U,$S$2&amp;if($K48="S1","a",if($K48="S2","b","")),Students!$A:$A,AR$2)+countifs(Students!$V:$V,$S48,Students!$W:$W,$S$2&amp;if($K48="S1","a",if($K48="S2","b","")),Students!$A:$A,AR$2)+
countifs(Students!$D:$D,$V48,Students!$E:$E,$V$2&amp;if($K48="S1","a",if($K48="S2","b","")),Students!$A:$A,AR$2)+countifs(Students!$F:$F,$V48,Students!$G:$G,$V$2&amp;if($K48="S1","a",if($K48="S2","b","")),Students!$A:$A,AR$2)+countifs(Students!$H:$H,$V48,Students!$I:$I,$V$2&amp;if($K48="S1","a",if($K48="S2","b","")),Students!$A:$A,AR$2)+countifs(Students!$J:$J,$V48,Students!$K:$K,$V$2&amp;if($K48="S1","a",if($K48="S2","b","")),Students!$A:$A,AR$2)+countifs(Students!$L:$L,$V48,Students!$M:$M,$V$2&amp;if($K48="S1","a",if($K48="S2","b","")),Students!$A:$A,AR$2)+countifs(Students!$N:$N,$V48,Students!$O:$O,$V$2&amp;if($K48="S1","a",if($K48="S2","b","")),Students!$A:$A,AR$2)+countifs(Students!$P:$P,$V48,Students!$Q:$Q,$V$2&amp;if($K48="S1","a",if($K48="S2","b","")),Students!$A:$A,AR$2)+countifs(Students!$R:$R,$V48,Students!$S:$S,$V$2&amp;if($K48="S1","a",if($K48="S2","b","")),Students!$A:$A,AR$2)+countifs(Students!$T:$T,$V48,Students!$U:$U,$V$2&amp;if($K48="S1","a",if($K48="S2","b","")),Students!$A:$A,AR$2)+countifs(Students!$V:$V,$V48,Students!$W:$W,$V$2&amp;if($K48="S1","a",if($K48="S2","b","")),Students!$A:$A,AR$2)+
countifs(Students!$D:$D,$Y48,Students!$E:$E,$Y$2&amp;if($K48="S1","a",if($K48="S2","b","")),Students!$A:$A,AR$2)+countifs(Students!$F:$F,$Y48,Students!$G:$G,$Y$2&amp;if($K48="S1","a",if($K48="S2","b","")),Students!$A:$A,AR$2)+countifs(Students!$H:$H,$Y48,Students!$I:$I,$Y$2&amp;if($K48="S1","a",if($K48="S2","b","")),Students!$A:$A,AR$2)+countifs(Students!$J:$J,$Y48,Students!$K:$K,$Y$2&amp;if($K48="S1","a",if($K48="S2","b","")),Students!$A:$A,AR$2)+countifs(Students!$L:$L,$Y48,Students!$M:$M,$Y$2&amp;if($K48="S1","a",if($K48="S2","b","")),Students!$A:$A,AR$2)+countifs(Students!$N:$N,$Y48,Students!$O:$O,$Y$2&amp;if($K48="S1","a",if($K48="S2","b","")),Students!$A:$A,AR$2)+countifs(Students!$P:$P,$Y48,Students!$Q:$Q,$Y$2&amp;if($K48="S1","a",if($K48="S2","b","")),Students!$A:$A,AR$2)+countifs(Students!$R:$R,$Y48,Students!$S:$S,$Y$2&amp;if($K48="S1","a",if($K48="S2","b","")),Students!$A:$A,AR$2)+countifs(Students!$T:$T,$Y48,Students!$U:$U,$Y$2&amp;if($K48="S1","a",if($K48="S2","b","")),Students!$A:$A,AR$2)+countifs(Students!$V:$V,$Y48,Students!$W:$W,$Y$2&amp;if($K48="S1","a",if($K48="S2","b","")),Students!$A:$A,AR$2)+
countifs(Students!$D:$D,$AB48,Students!$E:$E,$AB$2&amp;if($K48="S1","a",if($K48="S2","b","")),Students!$A:$A,AR$2)+countifs(Students!$F:$F,$AB48,Students!$G:$G,$AB$2&amp;if($K48="S1","a",if($K48="S2","b","")),Students!$A:$A,AR$2)+countifs(Students!$H:$H,$AB48,Students!$I:$I,$AB$2&amp;if($K48="S1","a",if($K48="S2","b","")),Students!$A:$A,AR$2)+countifs(Students!$J:$J,$AB48,Students!$K:$K,$AB$2&amp;if($K48="S1","a",if($K48="S2","b","")),Students!$A:$A,AR$2)+countifs(Students!$L:$L,$AB48,Students!$M:$M,$AB$2&amp;if($K48="S1","a",if($K48="S2","b","")),Students!$A:$A,AR$2)+countifs(Students!$N:$N,$AB48,Students!$O:$O,$AB$2&amp;if($K48="S1","a",if($K48="S2","b","")),Students!$A:$A,AR$2)+countifs(Students!$P:$P,$AB48,Students!$Q:$Q,$AB$2&amp;if($K48="S1","a",if($K48="S2","b","")),Students!$A:$A,AR$2)+countifs(Students!$R:$R,$AB48,Students!$S:$S,$AB$2&amp;if($K48="S1","a",if($K48="S2","b","")),Students!$A:$A,AR$2)+countifs(Students!$T:$T,$AB48,Students!$U:$U,$AB$2&amp;if($K48="S1","a",if($K48="S2","b","")),Students!$A:$A,AR$2)+countifs(Students!$V:$V,$AB48,Students!$W:$W,$AB$2&amp;if($K48="S1","a",if($K48="S2","b","")),Students!$A:$A,AR$2)+
countifs(Students!$D:$D,$AE48,Students!$E:$E,$AE$2&amp;if($K48="S1","a",if($K48="S2","b","")),Students!$A:$A,AR$2)+countifs(Students!$F:$F,$AE48,Students!$G:$G,$AE$2&amp;if($K48="S1","a",if($K48="S2","b","")),Students!$A:$A,AR$2)+countifs(Students!$H:$H,$AE48,Students!$I:$I,$AE$2&amp;if($K48="S1","a",if($K48="S2","b","")),Students!$A:$A,AR$2)+countifs(Students!$J:$J,$AE48,Students!$K:$K,$AE$2&amp;if($K48="S1","a",if($K48="S2","b","")),Students!$A:$A,AR$2)+countifs(Students!$L:$L,$AE48,Students!$M:$M,$AE$2&amp;if($K48="S1","a",if($K48="S2","b","")),Students!$A:$A,AR$2)+countifs(Students!$N:$N,$AE48,Students!$O:$O,$AE$2&amp;if($K48="S1","a",if($K48="S2","b","")),Students!$A:$A,AR$2)+countifs(Students!$P:$P,$AE48,Students!$Q:$Q,$AE$2&amp;if($K48="S1","a",if($K48="S2","b","")),Students!$A:$A,AR$2)+countifs(Students!$R:$R,$AE48,Students!$S:$S,$AE$2&amp;if($K48="S1","a",if($K48="S2","b","")),Students!$A:$A,AR$2)+countifs(Students!$T:$T,$AE48,Students!$U:$U,$AE$2&amp;if($K48="S1","a",if($K48="S2","b","")),Students!$A:$A,AR$2)+countifs(Students!$V:$V,$AE48,Students!$W:$W,$AE$2&amp;if($K48="S1","a",if($K48="S2","b","")),Students!$A:$A,AR$2)+
countifs(Students!$D:$D,$AH48,Students!$E:$E,$AH$2&amp;if($K48="S1","a",if($K48="S2","b","")),Students!$A:$A,AR$2)+countifs(Students!$F:$F,$AH48,Students!$G:$G,$AH$2&amp;if($K48="S1","a",if($K48="S2","b","")),Students!$A:$A,AR$2)+countifs(Students!$H:$H,$AH48,Students!$I:$I,$AH$2&amp;if($K48="S1","a",if($K48="S2","b","")),Students!$A:$A,AR$2)+countifs(Students!$J:$J,$AH48,Students!$K:$K,$AH$2&amp;if($K48="S1","a",if($K48="S2","b","")),Students!$A:$A,AR$2)+countifs(Students!$L:$L,$AH48,Students!$M:$M,$AH$2&amp;if($K48="S1","a",if($K48="S2","b","")),Students!$A:$A,AR$2)+countifs(Students!$N:$N,$AH48,Students!$O:$O,$AH$2&amp;if($K48="S1","a",if($K48="S2","b","")),Students!$A:$A,AR$2)+countifs(Students!$P:$P,$AH48,Students!$Q:$Q,$AH$2&amp;if($K48="S1","a",if($K48="S2","b","")),Students!$A:$A,AR$2)+countifs(Students!$R:$R,$AH48,Students!$S:$S,$AH$2&amp;if($K48="S1","a",if($K48="S2","b","")),Students!$A:$A,AR$2)+countifs(Students!$T:$T,$AH48,Students!$U:$U,$AH$2&amp;if($K48="S1","a",if($K48="S2","b","")),Students!$A:$A,AR$2)+countifs(Students!$V:$V,$AH48,Students!$W:$W,$AH$2&amp;if($K48="S1","a",if($K48="S2","b","")),Students!$A:$A,AR$2)+
countifs(Students!$D:$D,$AK48,Students!$E:$E,$AK$2&amp;if($K48="S1","a",if($K48="S2","b","")),Students!$A:$A,AR$2)+countifs(Students!$F:$F,$AK48,Students!$G:$G,$AK$2&amp;if($K48="S1","a",if($K48="S2","b","")),Students!$A:$A,AR$2)+countifs(Students!$H:$H,$AK48,Students!$I:$I,$AK$2&amp;if($K48="S1","a",if($K48="S2","b","")),Students!$A:$A,AR$2)+countifs(Students!$J:$J,$AK48,Students!$K:$K,$AK$2&amp;if($K48="S1","a",if($K48="S2","b","")),Students!$A:$A,AR$2)+countifs(Students!$L:$L,$AK48,Students!$M:$M,$AK$2&amp;if($K48="S1","a",if($K48="S2","b","")),Students!$A:$A,AR$2)+countifs(Students!$N:$N,$AK48,Students!$O:$O,$AK$2&amp;if($K48="S1","a",if($K48="S2","b","")),Students!$A:$A,AR$2)+countifs(Students!$P:$P,$AK48,Students!$Q:$Q,$AK$2&amp;if($K48="S1","a",if($K48="S2","b","")),Students!$A:$A,AR$2)+countifs(Students!$R:$R,$AK48,Students!$S:$S,$AK$2&amp;if($K48="S1","a",if($K48="S2","b","")),Students!$A:$A,AR$2)+countifs(Students!$T:$T,$AK48,Students!$U:$U,$AK$2&amp;if($K48="S1","a",if($K48="S2","b","")),Students!$A:$A,AR$2)+countifs(Students!$V:$V,$AK48,Students!$W:$W,$AK$2&amp;if($K48="S1","a",if($K48="S2","b","")),Students!$A:$A,AR$2))</f>
        <v/>
      </c>
      <c r="AS48" s="102" t="str">
        <f>if($L48="","",countifs(Students!$D:$D,$P48,Students!$E:$E,$P$2&amp;if($K48="S1","a",if($K48="S2","b","")),Students!$A:$A,AS$2)+countifs(Students!$F:$F,$P48,Students!$G:$G,$P$2&amp;if($K48="S1","a",if($K48="S2","b","")),Students!$A:$A,AS$2)+countifs(Students!$H:$H,$P48,Students!$I:$I,$P$2&amp;if($K48="S1","a",if($K48="S2","b","")),Students!$A:$A,AS$2)+countifs(Students!$J:$J,$P48,Students!$K:$K,$P$2&amp;if($K48="S1","a",if($K48="S2","b","")),Students!$A:$A,AS$2)+countifs(Students!$L:$L,$P48,Students!$M:$M,$P$2&amp;if($K48="S1","a",if($K48="S2","b","")),Students!$A:$A,AS$2)+countifs(Students!$N:$N,$P48,Students!$O:$O,$P$2&amp;if($K48="S1","a",if($K48="S2","b","")),Students!$A:$A,AS$2)+countifs(Students!$P:$P,$P48,Students!$Q:$Q,$P$2&amp;if($K48="S1","a",if($K48="S2","b","")),Students!$A:$A,AS$2)+countifs(Students!$R:$R,$P48,Students!$S:$S,$P$2&amp;if($K48="S1","a",if($K48="S2","b","")),Students!$A:$A,AS$2)+countifs(Students!$T:$T,$P48,Students!$U:$U,$P$2&amp;if($K48="S1","a",if($K48="S2","b","")),Students!$A:$A,AS$2)+countifs(Students!$V:$V,$P48,Students!$W:$W,$P$2&amp;if($K48="S1","a",if($K48="S2","b","")),Students!$A:$A,AS$2)+
countifs(Students!$D:$D,$S48,Students!$E:$E,$S$2&amp;if($K48="S1","a",if($K48="S2","b","")),Students!$A:$A,AS$2)+countifs(Students!$F:$F,$S48,Students!$G:$G,$S$2&amp;if($K48="S1","a",if($K48="S2","b","")),Students!$A:$A,AS$2)+countifs(Students!$H:$H,$S48,Students!$I:$I,$S$2&amp;if($K48="S1","a",if($K48="S2","b","")),Students!$A:$A,AS$2)+countifs(Students!$J:$J,$S48,Students!$K:$K,$S$2&amp;if($K48="S1","a",if($K48="S2","b","")),Students!$A:$A,AS$2)+countifs(Students!$L:$L,$S48,Students!$M:$M,$S$2&amp;if($K48="S1","a",if($K48="S2","b","")),Students!$A:$A,AS$2)+countifs(Students!$N:$N,$S48,Students!$O:$O,$S$2&amp;if($K48="S1","a",if($K48="S2","b","")),Students!$A:$A,AS$2)+countifs(Students!$P:$P,$S48,Students!$Q:$Q,$S$2&amp;if($K48="S1","a",if($K48="S2","b","")),Students!$A:$A,AS$2)+countifs(Students!$R:$R,$S48,Students!$S:$S,$S$2&amp;if($K48="S1","a",if($K48="S2","b","")),Students!$A:$A,AS$2)+countifs(Students!$T:$T,$S48,Students!$U:$U,$S$2&amp;if($K48="S1","a",if($K48="S2","b","")),Students!$A:$A,AS$2)+countifs(Students!$V:$V,$S48,Students!$W:$W,$S$2&amp;if($K48="S1","a",if($K48="S2","b","")),Students!$A:$A,AS$2)+
countifs(Students!$D:$D,$V48,Students!$E:$E,$V$2&amp;if($K48="S1","a",if($K48="S2","b","")),Students!$A:$A,AS$2)+countifs(Students!$F:$F,$V48,Students!$G:$G,$V$2&amp;if($K48="S1","a",if($K48="S2","b","")),Students!$A:$A,AS$2)+countifs(Students!$H:$H,$V48,Students!$I:$I,$V$2&amp;if($K48="S1","a",if($K48="S2","b","")),Students!$A:$A,AS$2)+countifs(Students!$J:$J,$V48,Students!$K:$K,$V$2&amp;if($K48="S1","a",if($K48="S2","b","")),Students!$A:$A,AS$2)+countifs(Students!$L:$L,$V48,Students!$M:$M,$V$2&amp;if($K48="S1","a",if($K48="S2","b","")),Students!$A:$A,AS$2)+countifs(Students!$N:$N,$V48,Students!$O:$O,$V$2&amp;if($K48="S1","a",if($K48="S2","b","")),Students!$A:$A,AS$2)+countifs(Students!$P:$P,$V48,Students!$Q:$Q,$V$2&amp;if($K48="S1","a",if($K48="S2","b","")),Students!$A:$A,AS$2)+countifs(Students!$R:$R,$V48,Students!$S:$S,$V$2&amp;if($K48="S1","a",if($K48="S2","b","")),Students!$A:$A,AS$2)+countifs(Students!$T:$T,$V48,Students!$U:$U,$V$2&amp;if($K48="S1","a",if($K48="S2","b","")),Students!$A:$A,AS$2)+countifs(Students!$V:$V,$V48,Students!$W:$W,$V$2&amp;if($K48="S1","a",if($K48="S2","b","")),Students!$A:$A,AS$2)+
countifs(Students!$D:$D,$Y48,Students!$E:$E,$Y$2&amp;if($K48="S1","a",if($K48="S2","b","")),Students!$A:$A,AS$2)+countifs(Students!$F:$F,$Y48,Students!$G:$G,$Y$2&amp;if($K48="S1","a",if($K48="S2","b","")),Students!$A:$A,AS$2)+countifs(Students!$H:$H,$Y48,Students!$I:$I,$Y$2&amp;if($K48="S1","a",if($K48="S2","b","")),Students!$A:$A,AS$2)+countifs(Students!$J:$J,$Y48,Students!$K:$K,$Y$2&amp;if($K48="S1","a",if($K48="S2","b","")),Students!$A:$A,AS$2)+countifs(Students!$L:$L,$Y48,Students!$M:$M,$Y$2&amp;if($K48="S1","a",if($K48="S2","b","")),Students!$A:$A,AS$2)+countifs(Students!$N:$N,$Y48,Students!$O:$O,$Y$2&amp;if($K48="S1","a",if($K48="S2","b","")),Students!$A:$A,AS$2)+countifs(Students!$P:$P,$Y48,Students!$Q:$Q,$Y$2&amp;if($K48="S1","a",if($K48="S2","b","")),Students!$A:$A,AS$2)+countifs(Students!$R:$R,$Y48,Students!$S:$S,$Y$2&amp;if($K48="S1","a",if($K48="S2","b","")),Students!$A:$A,AS$2)+countifs(Students!$T:$T,$Y48,Students!$U:$U,$Y$2&amp;if($K48="S1","a",if($K48="S2","b","")),Students!$A:$A,AS$2)+countifs(Students!$V:$V,$Y48,Students!$W:$W,$Y$2&amp;if($K48="S1","a",if($K48="S2","b","")),Students!$A:$A,AS$2)+
countifs(Students!$D:$D,$AB48,Students!$E:$E,$AB$2&amp;if($K48="S1","a",if($K48="S2","b","")),Students!$A:$A,AS$2)+countifs(Students!$F:$F,$AB48,Students!$G:$G,$AB$2&amp;if($K48="S1","a",if($K48="S2","b","")),Students!$A:$A,AS$2)+countifs(Students!$H:$H,$AB48,Students!$I:$I,$AB$2&amp;if($K48="S1","a",if($K48="S2","b","")),Students!$A:$A,AS$2)+countifs(Students!$J:$J,$AB48,Students!$K:$K,$AB$2&amp;if($K48="S1","a",if($K48="S2","b","")),Students!$A:$A,AS$2)+countifs(Students!$L:$L,$AB48,Students!$M:$M,$AB$2&amp;if($K48="S1","a",if($K48="S2","b","")),Students!$A:$A,AS$2)+countifs(Students!$N:$N,$AB48,Students!$O:$O,$AB$2&amp;if($K48="S1","a",if($K48="S2","b","")),Students!$A:$A,AS$2)+countifs(Students!$P:$P,$AB48,Students!$Q:$Q,$AB$2&amp;if($K48="S1","a",if($K48="S2","b","")),Students!$A:$A,AS$2)+countifs(Students!$R:$R,$AB48,Students!$S:$S,$AB$2&amp;if($K48="S1","a",if($K48="S2","b","")),Students!$A:$A,AS$2)+countifs(Students!$T:$T,$AB48,Students!$U:$U,$AB$2&amp;if($K48="S1","a",if($K48="S2","b","")),Students!$A:$A,AS$2)+countifs(Students!$V:$V,$AB48,Students!$W:$W,$AB$2&amp;if($K48="S1","a",if($K48="S2","b","")),Students!$A:$A,AS$2)+
countifs(Students!$D:$D,$AE48,Students!$E:$E,$AE$2&amp;if($K48="S1","a",if($K48="S2","b","")),Students!$A:$A,AS$2)+countifs(Students!$F:$F,$AE48,Students!$G:$G,$AE$2&amp;if($K48="S1","a",if($K48="S2","b","")),Students!$A:$A,AS$2)+countifs(Students!$H:$H,$AE48,Students!$I:$I,$AE$2&amp;if($K48="S1","a",if($K48="S2","b","")),Students!$A:$A,AS$2)+countifs(Students!$J:$J,$AE48,Students!$K:$K,$AE$2&amp;if($K48="S1","a",if($K48="S2","b","")),Students!$A:$A,AS$2)+countifs(Students!$L:$L,$AE48,Students!$M:$M,$AE$2&amp;if($K48="S1","a",if($K48="S2","b","")),Students!$A:$A,AS$2)+countifs(Students!$N:$N,$AE48,Students!$O:$O,$AE$2&amp;if($K48="S1","a",if($K48="S2","b","")),Students!$A:$A,AS$2)+countifs(Students!$P:$P,$AE48,Students!$Q:$Q,$AE$2&amp;if($K48="S1","a",if($K48="S2","b","")),Students!$A:$A,AS$2)+countifs(Students!$R:$R,$AE48,Students!$S:$S,$AE$2&amp;if($K48="S1","a",if($K48="S2","b","")),Students!$A:$A,AS$2)+countifs(Students!$T:$T,$AE48,Students!$U:$U,$AE$2&amp;if($K48="S1","a",if($K48="S2","b","")),Students!$A:$A,AS$2)+countifs(Students!$V:$V,$AE48,Students!$W:$W,$AE$2&amp;if($K48="S1","a",if($K48="S2","b","")),Students!$A:$A,AS$2)+
countifs(Students!$D:$D,$AH48,Students!$E:$E,$AH$2&amp;if($K48="S1","a",if($K48="S2","b","")),Students!$A:$A,AS$2)+countifs(Students!$F:$F,$AH48,Students!$G:$G,$AH$2&amp;if($K48="S1","a",if($K48="S2","b","")),Students!$A:$A,AS$2)+countifs(Students!$H:$H,$AH48,Students!$I:$I,$AH$2&amp;if($K48="S1","a",if($K48="S2","b","")),Students!$A:$A,AS$2)+countifs(Students!$J:$J,$AH48,Students!$K:$K,$AH$2&amp;if($K48="S1","a",if($K48="S2","b","")),Students!$A:$A,AS$2)+countifs(Students!$L:$L,$AH48,Students!$M:$M,$AH$2&amp;if($K48="S1","a",if($K48="S2","b","")),Students!$A:$A,AS$2)+countifs(Students!$N:$N,$AH48,Students!$O:$O,$AH$2&amp;if($K48="S1","a",if($K48="S2","b","")),Students!$A:$A,AS$2)+countifs(Students!$P:$P,$AH48,Students!$Q:$Q,$AH$2&amp;if($K48="S1","a",if($K48="S2","b","")),Students!$A:$A,AS$2)+countifs(Students!$R:$R,$AH48,Students!$S:$S,$AH$2&amp;if($K48="S1","a",if($K48="S2","b","")),Students!$A:$A,AS$2)+countifs(Students!$T:$T,$AH48,Students!$U:$U,$AH$2&amp;if($K48="S1","a",if($K48="S2","b","")),Students!$A:$A,AS$2)+countifs(Students!$V:$V,$AH48,Students!$W:$W,$AH$2&amp;if($K48="S1","a",if($K48="S2","b","")),Students!$A:$A,AS$2)+
countifs(Students!$D:$D,$AK48,Students!$E:$E,$AK$2&amp;if($K48="S1","a",if($K48="S2","b","")),Students!$A:$A,AS$2)+countifs(Students!$F:$F,$AK48,Students!$G:$G,$AK$2&amp;if($K48="S1","a",if($K48="S2","b","")),Students!$A:$A,AS$2)+countifs(Students!$H:$H,$AK48,Students!$I:$I,$AK$2&amp;if($K48="S1","a",if($K48="S2","b","")),Students!$A:$A,AS$2)+countifs(Students!$J:$J,$AK48,Students!$K:$K,$AK$2&amp;if($K48="S1","a",if($K48="S2","b","")),Students!$A:$A,AS$2)+countifs(Students!$L:$L,$AK48,Students!$M:$M,$AK$2&amp;if($K48="S1","a",if($K48="S2","b","")),Students!$A:$A,AS$2)+countifs(Students!$N:$N,$AK48,Students!$O:$O,$AK$2&amp;if($K48="S1","a",if($K48="S2","b","")),Students!$A:$A,AS$2)+countifs(Students!$P:$P,$AK48,Students!$Q:$Q,$AK$2&amp;if($K48="S1","a",if($K48="S2","b","")),Students!$A:$A,AS$2)+countifs(Students!$R:$R,$AK48,Students!$S:$S,$AK$2&amp;if($K48="S1","a",if($K48="S2","b","")),Students!$A:$A,AS$2)+countifs(Students!$T:$T,$AK48,Students!$U:$U,$AK$2&amp;if($K48="S1","a",if($K48="S2","b","")),Students!$A:$A,AS$2)+countifs(Students!$V:$V,$AK48,Students!$W:$W,$AK$2&amp;if($K48="S1","a",if($K48="S2","b","")),Students!$A:$A,AS$2))</f>
        <v/>
      </c>
    </row>
    <row r="49">
      <c r="J49" s="87" t="s">
        <v>22</v>
      </c>
      <c r="K49" s="88"/>
      <c r="L49" s="130"/>
      <c r="M49" s="107"/>
      <c r="N49" s="87" t="s">
        <v>22</v>
      </c>
      <c r="O49" s="87">
        <f>IFERROR(__xludf.DUMMYFUNCTION("3*counta((transpose(filter(P49:AM49,P49:AM49&lt;&gt;"""",isnumber(P49:AM49)=false))))"),3.0)</f>
        <v>3</v>
      </c>
      <c r="P49" s="103"/>
      <c r="Q49" s="101"/>
      <c r="R49" s="98" t="s">
        <v>22</v>
      </c>
      <c r="S49" s="101"/>
      <c r="T49" s="101"/>
      <c r="U49" s="98" t="s">
        <v>22</v>
      </c>
      <c r="V49" s="101"/>
      <c r="W49" s="101"/>
      <c r="X49" s="98" t="s">
        <v>22</v>
      </c>
      <c r="Y49" s="103"/>
      <c r="Z49" s="101"/>
      <c r="AA49" s="98" t="s">
        <v>22</v>
      </c>
      <c r="AB49" s="101"/>
      <c r="AC49" s="101"/>
      <c r="AD49" s="98" t="s">
        <v>22</v>
      </c>
      <c r="AE49" s="103"/>
      <c r="AF49" s="101"/>
      <c r="AG49" s="98" t="s">
        <v>22</v>
      </c>
      <c r="AH49" s="101"/>
      <c r="AI49" s="97"/>
      <c r="AJ49" s="98" t="s">
        <v>22</v>
      </c>
      <c r="AK49" s="101"/>
      <c r="AL49" s="97"/>
      <c r="AM49" s="98" t="s">
        <v>22</v>
      </c>
      <c r="AN49" s="99"/>
      <c r="AO49" s="52" t="str">
        <f t="shared" si="2"/>
        <v/>
      </c>
      <c r="AP49" s="102" t="str">
        <f>if($L49="","",countifs(Students!$D:$D,$P49,Students!$E:$E,$P$2&amp;if($K49="S1","a",if($K49="S2","b","")),Students!$A:$A,AP$2)+countifs(Students!$F:$F,$P49,Students!$G:$G,$P$2&amp;if($K49="S1","a",if($K49="S2","b","")),Students!$A:$A,AP$2)+countifs(Students!$H:$H,$P49,Students!$I:$I,$P$2&amp;if($K49="S1","a",if($K49="S2","b","")),Students!$A:$A,AP$2)+countifs(Students!$J:$J,$P49,Students!$K:$K,$P$2&amp;if($K49="S1","a",if($K49="S2","b","")),Students!$A:$A,AP$2)+countifs(Students!$L:$L,$P49,Students!$M:$M,$P$2&amp;if($K49="S1","a",if($K49="S2","b","")),Students!$A:$A,AP$2)+countifs(Students!$N:$N,$P49,Students!$O:$O,$P$2&amp;if($K49="S1","a",if($K49="S2","b","")),Students!$A:$A,AP$2)+countifs(Students!$P:$P,$P49,Students!$Q:$Q,$P$2&amp;if($K49="S1","a",if($K49="S2","b","")),Students!$A:$A,AP$2)+countifs(Students!$R:$R,$P49,Students!$S:$S,$P$2&amp;if($K49="S1","a",if($K49="S2","b","")),Students!$A:$A,AP$2)+countifs(Students!$T:$T,$P49,Students!$U:$U,$P$2&amp;if($K49="S1","a",if($K49="S2","b","")),Students!$A:$A,AP$2)+countifs(Students!$V:$V,$P49,Students!$W:$W,$P$2&amp;if($K49="S1","a",if($K49="S2","b","")),Students!$A:$A,AP$2)+
countifs(Students!$D:$D,$S49,Students!$E:$E,$S$2&amp;if($K49="S1","a",if($K49="S2","b","")),Students!$A:$A,AP$2)+countifs(Students!$F:$F,$S49,Students!$G:$G,$S$2&amp;if($K49="S1","a",if($K49="S2","b","")),Students!$A:$A,AP$2)+countifs(Students!$H:$H,$S49,Students!$I:$I,$S$2&amp;if($K49="S1","a",if($K49="S2","b","")),Students!$A:$A,AP$2)+countifs(Students!$J:$J,$S49,Students!$K:$K,$S$2&amp;if($K49="S1","a",if($K49="S2","b","")),Students!$A:$A,AP$2)+countifs(Students!$L:$L,$S49,Students!$M:$M,$S$2&amp;if($K49="S1","a",if($K49="S2","b","")),Students!$A:$A,AP$2)+countifs(Students!$N:$N,$S49,Students!$O:$O,$S$2&amp;if($K49="S1","a",if($K49="S2","b","")),Students!$A:$A,AP$2)+countifs(Students!$P:$P,$S49,Students!$Q:$Q,$S$2&amp;if($K49="S1","a",if($K49="S2","b","")),Students!$A:$A,AP$2)+countifs(Students!$R:$R,$S49,Students!$S:$S,$S$2&amp;if($K49="S1","a",if($K49="S2","b","")),Students!$A:$A,AP$2)+countifs(Students!$T:$T,$S49,Students!$U:$U,$S$2&amp;if($K49="S1","a",if($K49="S2","b","")),Students!$A:$A,AP$2)+countifs(Students!$V:$V,$S49,Students!$W:$W,$S$2&amp;if($K49="S1","a",if($K49="S2","b","")),Students!$A:$A,AP$2)+
countifs(Students!$D:$D,$V49,Students!$E:$E,$V$2&amp;if($K49="S1","a",if($K49="S2","b","")),Students!$A:$A,AP$2)+countifs(Students!$F:$F,$V49,Students!$G:$G,$V$2&amp;if($K49="S1","a",if($K49="S2","b","")),Students!$A:$A,AP$2)+countifs(Students!$H:$H,$V49,Students!$I:$I,$V$2&amp;if($K49="S1","a",if($K49="S2","b","")),Students!$A:$A,AP$2)+countifs(Students!$J:$J,$V49,Students!$K:$K,$V$2&amp;if($K49="S1","a",if($K49="S2","b","")),Students!$A:$A,AP$2)+countifs(Students!$L:$L,$V49,Students!$M:$M,$V$2&amp;if($K49="S1","a",if($K49="S2","b","")),Students!$A:$A,AP$2)+countifs(Students!$N:$N,$V49,Students!$O:$O,$V$2&amp;if($K49="S1","a",if($K49="S2","b","")),Students!$A:$A,AP$2)+countifs(Students!$P:$P,$V49,Students!$Q:$Q,$V$2&amp;if($K49="S1","a",if($K49="S2","b","")),Students!$A:$A,AP$2)+countifs(Students!$R:$R,$V49,Students!$S:$S,$V$2&amp;if($K49="S1","a",if($K49="S2","b","")),Students!$A:$A,AP$2)+countifs(Students!$T:$T,$V49,Students!$U:$U,$V$2&amp;if($K49="S1","a",if($K49="S2","b","")),Students!$A:$A,AP$2)+countifs(Students!$V:$V,$V49,Students!$W:$W,$V$2&amp;if($K49="S1","a",if($K49="S2","b","")),Students!$A:$A,AP$2)+
countifs(Students!$D:$D,$Y49,Students!$E:$E,$Y$2&amp;if($K49="S1","a",if($K49="S2","b","")),Students!$A:$A,AP$2)+countifs(Students!$F:$F,$Y49,Students!$G:$G,$Y$2&amp;if($K49="S1","a",if($K49="S2","b","")),Students!$A:$A,AP$2)+countifs(Students!$H:$H,$Y49,Students!$I:$I,$Y$2&amp;if($K49="S1","a",if($K49="S2","b","")),Students!$A:$A,AP$2)+countifs(Students!$J:$J,$Y49,Students!$K:$K,$Y$2&amp;if($K49="S1","a",if($K49="S2","b","")),Students!$A:$A,AP$2)+countifs(Students!$L:$L,$Y49,Students!$M:$M,$Y$2&amp;if($K49="S1","a",if($K49="S2","b","")),Students!$A:$A,AP$2)+countifs(Students!$N:$N,$Y49,Students!$O:$O,$Y$2&amp;if($K49="S1","a",if($K49="S2","b","")),Students!$A:$A,AP$2)+countifs(Students!$P:$P,$Y49,Students!$Q:$Q,$Y$2&amp;if($K49="S1","a",if($K49="S2","b","")),Students!$A:$A,AP$2)+countifs(Students!$R:$R,$Y49,Students!$S:$S,$Y$2&amp;if($K49="S1","a",if($K49="S2","b","")),Students!$A:$A,AP$2)+countifs(Students!$T:$T,$Y49,Students!$U:$U,$Y$2&amp;if($K49="S1","a",if($K49="S2","b","")),Students!$A:$A,AP$2)+countifs(Students!$V:$V,$Y49,Students!$W:$W,$Y$2&amp;if($K49="S1","a",if($K49="S2","b","")),Students!$A:$A,AP$2)+
countifs(Students!$D:$D,$AB49,Students!$E:$E,$AB$2&amp;if($K49="S1","a",if($K49="S2","b","")),Students!$A:$A,AP$2)+countifs(Students!$F:$F,$AB49,Students!$G:$G,$AB$2&amp;if($K49="S1","a",if($K49="S2","b","")),Students!$A:$A,AP$2)+countifs(Students!$H:$H,$AB49,Students!$I:$I,$AB$2&amp;if($K49="S1","a",if($K49="S2","b","")),Students!$A:$A,AP$2)+countifs(Students!$J:$J,$AB49,Students!$K:$K,$AB$2&amp;if($K49="S1","a",if($K49="S2","b","")),Students!$A:$A,AP$2)+countifs(Students!$L:$L,$AB49,Students!$M:$M,$AB$2&amp;if($K49="S1","a",if($K49="S2","b","")),Students!$A:$A,AP$2)+countifs(Students!$N:$N,$AB49,Students!$O:$O,$AB$2&amp;if($K49="S1","a",if($K49="S2","b","")),Students!$A:$A,AP$2)+countifs(Students!$P:$P,$AB49,Students!$Q:$Q,$AB$2&amp;if($K49="S1","a",if($K49="S2","b","")),Students!$A:$A,AP$2)+countifs(Students!$R:$R,$AB49,Students!$S:$S,$AB$2&amp;if($K49="S1","a",if($K49="S2","b","")),Students!$A:$A,AP$2)+countifs(Students!$T:$T,$AB49,Students!$U:$U,$AB$2&amp;if($K49="S1","a",if($K49="S2","b","")),Students!$A:$A,AP$2)+countifs(Students!$V:$V,$AB49,Students!$W:$W,$AB$2&amp;if($K49="S1","a",if($K49="S2","b","")),Students!$A:$A,AP$2)+
countifs(Students!$D:$D,$AE49,Students!$E:$E,$AE$2&amp;if($K49="S1","a",if($K49="S2","b","")),Students!$A:$A,AP$2)+countifs(Students!$F:$F,$AE49,Students!$G:$G,$AE$2&amp;if($K49="S1","a",if($K49="S2","b","")),Students!$A:$A,AP$2)+countifs(Students!$H:$H,$AE49,Students!$I:$I,$AE$2&amp;if($K49="S1","a",if($K49="S2","b","")),Students!$A:$A,AP$2)+countifs(Students!$J:$J,$AE49,Students!$K:$K,$AE$2&amp;if($K49="S1","a",if($K49="S2","b","")),Students!$A:$A,AP$2)+countifs(Students!$L:$L,$AE49,Students!$M:$M,$AE$2&amp;if($K49="S1","a",if($K49="S2","b","")),Students!$A:$A,AP$2)+countifs(Students!$N:$N,$AE49,Students!$O:$O,$AE$2&amp;if($K49="S1","a",if($K49="S2","b","")),Students!$A:$A,AP$2)+countifs(Students!$P:$P,$AE49,Students!$Q:$Q,$AE$2&amp;if($K49="S1","a",if($K49="S2","b","")),Students!$A:$A,AP$2)+countifs(Students!$R:$R,$AE49,Students!$S:$S,$AE$2&amp;if($K49="S1","a",if($K49="S2","b","")),Students!$A:$A,AP$2)+countifs(Students!$T:$T,$AE49,Students!$U:$U,$AE$2&amp;if($K49="S1","a",if($K49="S2","b","")),Students!$A:$A,AP$2)+countifs(Students!$V:$V,$AE49,Students!$W:$W,$AE$2&amp;if($K49="S1","a",if($K49="S2","b","")),Students!$A:$A,AP$2)+
countifs(Students!$D:$D,$AH49,Students!$E:$E,$AH$2&amp;if($K49="S1","a",if($K49="S2","b","")),Students!$A:$A,AP$2)+countifs(Students!$F:$F,$AH49,Students!$G:$G,$AH$2&amp;if($K49="S1","a",if($K49="S2","b","")),Students!$A:$A,AP$2)+countifs(Students!$H:$H,$AH49,Students!$I:$I,$AH$2&amp;if($K49="S1","a",if($K49="S2","b","")),Students!$A:$A,AP$2)+countifs(Students!$J:$J,$AH49,Students!$K:$K,$AH$2&amp;if($K49="S1","a",if($K49="S2","b","")),Students!$A:$A,AP$2)+countifs(Students!$L:$L,$AH49,Students!$M:$M,$AH$2&amp;if($K49="S1","a",if($K49="S2","b","")),Students!$A:$A,AP$2)+countifs(Students!$N:$N,$AH49,Students!$O:$O,$AH$2&amp;if($K49="S1","a",if($K49="S2","b","")),Students!$A:$A,AP$2)+countifs(Students!$P:$P,$AH49,Students!$Q:$Q,$AH$2&amp;if($K49="S1","a",if($K49="S2","b","")),Students!$A:$A,AP$2)+countifs(Students!$R:$R,$AH49,Students!$S:$S,$AH$2&amp;if($K49="S1","a",if($K49="S2","b","")),Students!$A:$A,AP$2)+countifs(Students!$T:$T,$AH49,Students!$U:$U,$AH$2&amp;if($K49="S1","a",if($K49="S2","b","")),Students!$A:$A,AP$2)+countifs(Students!$V:$V,$AH49,Students!$W:$W,$AH$2&amp;if($K49="S1","a",if($K49="S2","b","")),Students!$A:$A,AP$2)+
countifs(Students!$D:$D,$AK49,Students!$E:$E,$AK$2&amp;if($K49="S1","a",if($K49="S2","b","")),Students!$A:$A,AP$2)+countifs(Students!$F:$F,$AK49,Students!$G:$G,$AK$2&amp;if($K49="S1","a",if($K49="S2","b","")),Students!$A:$A,AP$2)+countifs(Students!$H:$H,$AK49,Students!$I:$I,$AK$2&amp;if($K49="S1","a",if($K49="S2","b","")),Students!$A:$A,AP$2)+countifs(Students!$J:$J,$AK49,Students!$K:$K,$AK$2&amp;if($K49="S1","a",if($K49="S2","b","")),Students!$A:$A,AP$2)+countifs(Students!$L:$L,$AK49,Students!$M:$M,$AK$2&amp;if($K49="S1","a",if($K49="S2","b","")),Students!$A:$A,AP$2)+countifs(Students!$N:$N,$AK49,Students!$O:$O,$AK$2&amp;if($K49="S1","a",if($K49="S2","b","")),Students!$A:$A,AP$2)+countifs(Students!$P:$P,$AK49,Students!$Q:$Q,$AK$2&amp;if($K49="S1","a",if($K49="S2","b","")),Students!$A:$A,AP$2)+countifs(Students!$R:$R,$AK49,Students!$S:$S,$AK$2&amp;if($K49="S1","a",if($K49="S2","b","")),Students!$A:$A,AP$2)+countifs(Students!$T:$T,$AK49,Students!$U:$U,$AK$2&amp;if($K49="S1","a",if($K49="S2","b","")),Students!$A:$A,AP$2)+countifs(Students!$V:$V,$AK49,Students!$W:$W,$AK$2&amp;if($K49="S1","a",if($K49="S2","b","")),Students!$A:$A,AP$2))</f>
        <v/>
      </c>
      <c r="AQ49" s="102" t="str">
        <f>if($L49="","",countifs(Students!$D:$D,$P49,Students!$E:$E,$P$2&amp;if($K49="S1","a",if($K49="S2","b","")),Students!$A:$A,AQ$2)+countifs(Students!$F:$F,$P49,Students!$G:$G,$P$2&amp;if($K49="S1","a",if($K49="S2","b","")),Students!$A:$A,AQ$2)+countifs(Students!$H:$H,$P49,Students!$I:$I,$P$2&amp;if($K49="S1","a",if($K49="S2","b","")),Students!$A:$A,AQ$2)+countifs(Students!$J:$J,$P49,Students!$K:$K,$P$2&amp;if($K49="S1","a",if($K49="S2","b","")),Students!$A:$A,AQ$2)+countifs(Students!$L:$L,$P49,Students!$M:$M,$P$2&amp;if($K49="S1","a",if($K49="S2","b","")),Students!$A:$A,AQ$2)+countifs(Students!$N:$N,$P49,Students!$O:$O,$P$2&amp;if($K49="S1","a",if($K49="S2","b","")),Students!$A:$A,AQ$2)+countifs(Students!$P:$P,$P49,Students!$Q:$Q,$P$2&amp;if($K49="S1","a",if($K49="S2","b","")),Students!$A:$A,AQ$2)+countifs(Students!$R:$R,$P49,Students!$S:$S,$P$2&amp;if($K49="S1","a",if($K49="S2","b","")),Students!$A:$A,AQ$2)+countifs(Students!$T:$T,$P49,Students!$U:$U,$P$2&amp;if($K49="S1","a",if($K49="S2","b","")),Students!$A:$A,AQ$2)+countifs(Students!$V:$V,$P49,Students!$W:$W,$P$2&amp;if($K49="S1","a",if($K49="S2","b","")),Students!$A:$A,AQ$2)+
countifs(Students!$D:$D,$S49,Students!$E:$E,$S$2&amp;if($K49="S1","a",if($K49="S2","b","")),Students!$A:$A,AQ$2)+countifs(Students!$F:$F,$S49,Students!$G:$G,$S$2&amp;if($K49="S1","a",if($K49="S2","b","")),Students!$A:$A,AQ$2)+countifs(Students!$H:$H,$S49,Students!$I:$I,$S$2&amp;if($K49="S1","a",if($K49="S2","b","")),Students!$A:$A,AQ$2)+countifs(Students!$J:$J,$S49,Students!$K:$K,$S$2&amp;if($K49="S1","a",if($K49="S2","b","")),Students!$A:$A,AQ$2)+countifs(Students!$L:$L,$S49,Students!$M:$M,$S$2&amp;if($K49="S1","a",if($K49="S2","b","")),Students!$A:$A,AQ$2)+countifs(Students!$N:$N,$S49,Students!$O:$O,$S$2&amp;if($K49="S1","a",if($K49="S2","b","")),Students!$A:$A,AQ$2)+countifs(Students!$P:$P,$S49,Students!$Q:$Q,$S$2&amp;if($K49="S1","a",if($K49="S2","b","")),Students!$A:$A,AQ$2)+countifs(Students!$R:$R,$S49,Students!$S:$S,$S$2&amp;if($K49="S1","a",if($K49="S2","b","")),Students!$A:$A,AQ$2)+countifs(Students!$T:$T,$S49,Students!$U:$U,$S$2&amp;if($K49="S1","a",if($K49="S2","b","")),Students!$A:$A,AQ$2)+countifs(Students!$V:$V,$S49,Students!$W:$W,$S$2&amp;if($K49="S1","a",if($K49="S2","b","")),Students!$A:$A,AQ$2)+
countifs(Students!$D:$D,$V49,Students!$E:$E,$V$2&amp;if($K49="S1","a",if($K49="S2","b","")),Students!$A:$A,AQ$2)+countifs(Students!$F:$F,$V49,Students!$G:$G,$V$2&amp;if($K49="S1","a",if($K49="S2","b","")),Students!$A:$A,AQ$2)+countifs(Students!$H:$H,$V49,Students!$I:$I,$V$2&amp;if($K49="S1","a",if($K49="S2","b","")),Students!$A:$A,AQ$2)+countifs(Students!$J:$J,$V49,Students!$K:$K,$V$2&amp;if($K49="S1","a",if($K49="S2","b","")),Students!$A:$A,AQ$2)+countifs(Students!$L:$L,$V49,Students!$M:$M,$V$2&amp;if($K49="S1","a",if($K49="S2","b","")),Students!$A:$A,AQ$2)+countifs(Students!$N:$N,$V49,Students!$O:$O,$V$2&amp;if($K49="S1","a",if($K49="S2","b","")),Students!$A:$A,AQ$2)+countifs(Students!$P:$P,$V49,Students!$Q:$Q,$V$2&amp;if($K49="S1","a",if($K49="S2","b","")),Students!$A:$A,AQ$2)+countifs(Students!$R:$R,$V49,Students!$S:$S,$V$2&amp;if($K49="S1","a",if($K49="S2","b","")),Students!$A:$A,AQ$2)+countifs(Students!$T:$T,$V49,Students!$U:$U,$V$2&amp;if($K49="S1","a",if($K49="S2","b","")),Students!$A:$A,AQ$2)+countifs(Students!$V:$V,$V49,Students!$W:$W,$V$2&amp;if($K49="S1","a",if($K49="S2","b","")),Students!$A:$A,AQ$2)+
countifs(Students!$D:$D,$Y49,Students!$E:$E,$Y$2&amp;if($K49="S1","a",if($K49="S2","b","")),Students!$A:$A,AQ$2)+countifs(Students!$F:$F,$Y49,Students!$G:$G,$Y$2&amp;if($K49="S1","a",if($K49="S2","b","")),Students!$A:$A,AQ$2)+countifs(Students!$H:$H,$Y49,Students!$I:$I,$Y$2&amp;if($K49="S1","a",if($K49="S2","b","")),Students!$A:$A,AQ$2)+countifs(Students!$J:$J,$Y49,Students!$K:$K,$Y$2&amp;if($K49="S1","a",if($K49="S2","b","")),Students!$A:$A,AQ$2)+countifs(Students!$L:$L,$Y49,Students!$M:$M,$Y$2&amp;if($K49="S1","a",if($K49="S2","b","")),Students!$A:$A,AQ$2)+countifs(Students!$N:$N,$Y49,Students!$O:$O,$Y$2&amp;if($K49="S1","a",if($K49="S2","b","")),Students!$A:$A,AQ$2)+countifs(Students!$P:$P,$Y49,Students!$Q:$Q,$Y$2&amp;if($K49="S1","a",if($K49="S2","b","")),Students!$A:$A,AQ$2)+countifs(Students!$R:$R,$Y49,Students!$S:$S,$Y$2&amp;if($K49="S1","a",if($K49="S2","b","")),Students!$A:$A,AQ$2)+countifs(Students!$T:$T,$Y49,Students!$U:$U,$Y$2&amp;if($K49="S1","a",if($K49="S2","b","")),Students!$A:$A,AQ$2)+countifs(Students!$V:$V,$Y49,Students!$W:$W,$Y$2&amp;if($K49="S1","a",if($K49="S2","b","")),Students!$A:$A,AQ$2)+
countifs(Students!$D:$D,$AB49,Students!$E:$E,$AB$2&amp;if($K49="S1","a",if($K49="S2","b","")),Students!$A:$A,AQ$2)+countifs(Students!$F:$F,$AB49,Students!$G:$G,$AB$2&amp;if($K49="S1","a",if($K49="S2","b","")),Students!$A:$A,AQ$2)+countifs(Students!$H:$H,$AB49,Students!$I:$I,$AB$2&amp;if($K49="S1","a",if($K49="S2","b","")),Students!$A:$A,AQ$2)+countifs(Students!$J:$J,$AB49,Students!$K:$K,$AB$2&amp;if($K49="S1","a",if($K49="S2","b","")),Students!$A:$A,AQ$2)+countifs(Students!$L:$L,$AB49,Students!$M:$M,$AB$2&amp;if($K49="S1","a",if($K49="S2","b","")),Students!$A:$A,AQ$2)+countifs(Students!$N:$N,$AB49,Students!$O:$O,$AB$2&amp;if($K49="S1","a",if($K49="S2","b","")),Students!$A:$A,AQ$2)+countifs(Students!$P:$P,$AB49,Students!$Q:$Q,$AB$2&amp;if($K49="S1","a",if($K49="S2","b","")),Students!$A:$A,AQ$2)+countifs(Students!$R:$R,$AB49,Students!$S:$S,$AB$2&amp;if($K49="S1","a",if($K49="S2","b","")),Students!$A:$A,AQ$2)+countifs(Students!$T:$T,$AB49,Students!$U:$U,$AB$2&amp;if($K49="S1","a",if($K49="S2","b","")),Students!$A:$A,AQ$2)+countifs(Students!$V:$V,$AB49,Students!$W:$W,$AB$2&amp;if($K49="S1","a",if($K49="S2","b","")),Students!$A:$A,AQ$2)+
countifs(Students!$D:$D,$AE49,Students!$E:$E,$AE$2&amp;if($K49="S1","a",if($K49="S2","b","")),Students!$A:$A,AQ$2)+countifs(Students!$F:$F,$AE49,Students!$G:$G,$AE$2&amp;if($K49="S1","a",if($K49="S2","b","")),Students!$A:$A,AQ$2)+countifs(Students!$H:$H,$AE49,Students!$I:$I,$AE$2&amp;if($K49="S1","a",if($K49="S2","b","")),Students!$A:$A,AQ$2)+countifs(Students!$J:$J,$AE49,Students!$K:$K,$AE$2&amp;if($K49="S1","a",if($K49="S2","b","")),Students!$A:$A,AQ$2)+countifs(Students!$L:$L,$AE49,Students!$M:$M,$AE$2&amp;if($K49="S1","a",if($K49="S2","b","")),Students!$A:$A,AQ$2)+countifs(Students!$N:$N,$AE49,Students!$O:$O,$AE$2&amp;if($K49="S1","a",if($K49="S2","b","")),Students!$A:$A,AQ$2)+countifs(Students!$P:$P,$AE49,Students!$Q:$Q,$AE$2&amp;if($K49="S1","a",if($K49="S2","b","")),Students!$A:$A,AQ$2)+countifs(Students!$R:$R,$AE49,Students!$S:$S,$AE$2&amp;if($K49="S1","a",if($K49="S2","b","")),Students!$A:$A,AQ$2)+countifs(Students!$T:$T,$AE49,Students!$U:$U,$AE$2&amp;if($K49="S1","a",if($K49="S2","b","")),Students!$A:$A,AQ$2)+countifs(Students!$V:$V,$AE49,Students!$W:$W,$AE$2&amp;if($K49="S1","a",if($K49="S2","b","")),Students!$A:$A,AQ$2)+
countifs(Students!$D:$D,$AH49,Students!$E:$E,$AH$2&amp;if($K49="S1","a",if($K49="S2","b","")),Students!$A:$A,AQ$2)+countifs(Students!$F:$F,$AH49,Students!$G:$G,$AH$2&amp;if($K49="S1","a",if($K49="S2","b","")),Students!$A:$A,AQ$2)+countifs(Students!$H:$H,$AH49,Students!$I:$I,$AH$2&amp;if($K49="S1","a",if($K49="S2","b","")),Students!$A:$A,AQ$2)+countifs(Students!$J:$J,$AH49,Students!$K:$K,$AH$2&amp;if($K49="S1","a",if($K49="S2","b","")),Students!$A:$A,AQ$2)+countifs(Students!$L:$L,$AH49,Students!$M:$M,$AH$2&amp;if($K49="S1","a",if($K49="S2","b","")),Students!$A:$A,AQ$2)+countifs(Students!$N:$N,$AH49,Students!$O:$O,$AH$2&amp;if($K49="S1","a",if($K49="S2","b","")),Students!$A:$A,AQ$2)+countifs(Students!$P:$P,$AH49,Students!$Q:$Q,$AH$2&amp;if($K49="S1","a",if($K49="S2","b","")),Students!$A:$A,AQ$2)+countifs(Students!$R:$R,$AH49,Students!$S:$S,$AH$2&amp;if($K49="S1","a",if($K49="S2","b","")),Students!$A:$A,AQ$2)+countifs(Students!$T:$T,$AH49,Students!$U:$U,$AH$2&amp;if($K49="S1","a",if($K49="S2","b","")),Students!$A:$A,AQ$2)+countifs(Students!$V:$V,$AH49,Students!$W:$W,$AH$2&amp;if($K49="S1","a",if($K49="S2","b","")),Students!$A:$A,AQ$2)+
countifs(Students!$D:$D,$AK49,Students!$E:$E,$AK$2&amp;if($K49="S1","a",if($K49="S2","b","")),Students!$A:$A,AQ$2)+countifs(Students!$F:$F,$AK49,Students!$G:$G,$AK$2&amp;if($K49="S1","a",if($K49="S2","b","")),Students!$A:$A,AQ$2)+countifs(Students!$H:$H,$AK49,Students!$I:$I,$AK$2&amp;if($K49="S1","a",if($K49="S2","b","")),Students!$A:$A,AQ$2)+countifs(Students!$J:$J,$AK49,Students!$K:$K,$AK$2&amp;if($K49="S1","a",if($K49="S2","b","")),Students!$A:$A,AQ$2)+countifs(Students!$L:$L,$AK49,Students!$M:$M,$AK$2&amp;if($K49="S1","a",if($K49="S2","b","")),Students!$A:$A,AQ$2)+countifs(Students!$N:$N,$AK49,Students!$O:$O,$AK$2&amp;if($K49="S1","a",if($K49="S2","b","")),Students!$A:$A,AQ$2)+countifs(Students!$P:$P,$AK49,Students!$Q:$Q,$AK$2&amp;if($K49="S1","a",if($K49="S2","b","")),Students!$A:$A,AQ$2)+countifs(Students!$R:$R,$AK49,Students!$S:$S,$AK$2&amp;if($K49="S1","a",if($K49="S2","b","")),Students!$A:$A,AQ$2)+countifs(Students!$T:$T,$AK49,Students!$U:$U,$AK$2&amp;if($K49="S1","a",if($K49="S2","b","")),Students!$A:$A,AQ$2)+countifs(Students!$V:$V,$AK49,Students!$W:$W,$AK$2&amp;if($K49="S1","a",if($K49="S2","b","")),Students!$A:$A,AQ$2))</f>
        <v/>
      </c>
      <c r="AR49" s="102" t="str">
        <f>if($L49="","",countifs(Students!$D:$D,$P49,Students!$E:$E,$P$2&amp;if($K49="S1","a",if($K49="S2","b","")),Students!$A:$A,AR$2)+countifs(Students!$F:$F,$P49,Students!$G:$G,$P$2&amp;if($K49="S1","a",if($K49="S2","b","")),Students!$A:$A,AR$2)+countifs(Students!$H:$H,$P49,Students!$I:$I,$P$2&amp;if($K49="S1","a",if($K49="S2","b","")),Students!$A:$A,AR$2)+countifs(Students!$J:$J,$P49,Students!$K:$K,$P$2&amp;if($K49="S1","a",if($K49="S2","b","")),Students!$A:$A,AR$2)+countifs(Students!$L:$L,$P49,Students!$M:$M,$P$2&amp;if($K49="S1","a",if($K49="S2","b","")),Students!$A:$A,AR$2)+countifs(Students!$N:$N,$P49,Students!$O:$O,$P$2&amp;if($K49="S1","a",if($K49="S2","b","")),Students!$A:$A,AR$2)+countifs(Students!$P:$P,$P49,Students!$Q:$Q,$P$2&amp;if($K49="S1","a",if($K49="S2","b","")),Students!$A:$A,AR$2)+countifs(Students!$R:$R,$P49,Students!$S:$S,$P$2&amp;if($K49="S1","a",if($K49="S2","b","")),Students!$A:$A,AR$2)+countifs(Students!$T:$T,$P49,Students!$U:$U,$P$2&amp;if($K49="S1","a",if($K49="S2","b","")),Students!$A:$A,AR$2)+countifs(Students!$V:$V,$P49,Students!$W:$W,$P$2&amp;if($K49="S1","a",if($K49="S2","b","")),Students!$A:$A,AR$2)+
countifs(Students!$D:$D,$S49,Students!$E:$E,$S$2&amp;if($K49="S1","a",if($K49="S2","b","")),Students!$A:$A,AR$2)+countifs(Students!$F:$F,$S49,Students!$G:$G,$S$2&amp;if($K49="S1","a",if($K49="S2","b","")),Students!$A:$A,AR$2)+countifs(Students!$H:$H,$S49,Students!$I:$I,$S$2&amp;if($K49="S1","a",if($K49="S2","b","")),Students!$A:$A,AR$2)+countifs(Students!$J:$J,$S49,Students!$K:$K,$S$2&amp;if($K49="S1","a",if($K49="S2","b","")),Students!$A:$A,AR$2)+countifs(Students!$L:$L,$S49,Students!$M:$M,$S$2&amp;if($K49="S1","a",if($K49="S2","b","")),Students!$A:$A,AR$2)+countifs(Students!$N:$N,$S49,Students!$O:$O,$S$2&amp;if($K49="S1","a",if($K49="S2","b","")),Students!$A:$A,AR$2)+countifs(Students!$P:$P,$S49,Students!$Q:$Q,$S$2&amp;if($K49="S1","a",if($K49="S2","b","")),Students!$A:$A,AR$2)+countifs(Students!$R:$R,$S49,Students!$S:$S,$S$2&amp;if($K49="S1","a",if($K49="S2","b","")),Students!$A:$A,AR$2)+countifs(Students!$T:$T,$S49,Students!$U:$U,$S$2&amp;if($K49="S1","a",if($K49="S2","b","")),Students!$A:$A,AR$2)+countifs(Students!$V:$V,$S49,Students!$W:$W,$S$2&amp;if($K49="S1","a",if($K49="S2","b","")),Students!$A:$A,AR$2)+
countifs(Students!$D:$D,$V49,Students!$E:$E,$V$2&amp;if($K49="S1","a",if($K49="S2","b","")),Students!$A:$A,AR$2)+countifs(Students!$F:$F,$V49,Students!$G:$G,$V$2&amp;if($K49="S1","a",if($K49="S2","b","")),Students!$A:$A,AR$2)+countifs(Students!$H:$H,$V49,Students!$I:$I,$V$2&amp;if($K49="S1","a",if($K49="S2","b","")),Students!$A:$A,AR$2)+countifs(Students!$J:$J,$V49,Students!$K:$K,$V$2&amp;if($K49="S1","a",if($K49="S2","b","")),Students!$A:$A,AR$2)+countifs(Students!$L:$L,$V49,Students!$M:$M,$V$2&amp;if($K49="S1","a",if($K49="S2","b","")),Students!$A:$A,AR$2)+countifs(Students!$N:$N,$V49,Students!$O:$O,$V$2&amp;if($K49="S1","a",if($K49="S2","b","")),Students!$A:$A,AR$2)+countifs(Students!$P:$P,$V49,Students!$Q:$Q,$V$2&amp;if($K49="S1","a",if($K49="S2","b","")),Students!$A:$A,AR$2)+countifs(Students!$R:$R,$V49,Students!$S:$S,$V$2&amp;if($K49="S1","a",if($K49="S2","b","")),Students!$A:$A,AR$2)+countifs(Students!$T:$T,$V49,Students!$U:$U,$V$2&amp;if($K49="S1","a",if($K49="S2","b","")),Students!$A:$A,AR$2)+countifs(Students!$V:$V,$V49,Students!$W:$W,$V$2&amp;if($K49="S1","a",if($K49="S2","b","")),Students!$A:$A,AR$2)+
countifs(Students!$D:$D,$Y49,Students!$E:$E,$Y$2&amp;if($K49="S1","a",if($K49="S2","b","")),Students!$A:$A,AR$2)+countifs(Students!$F:$F,$Y49,Students!$G:$G,$Y$2&amp;if($K49="S1","a",if($K49="S2","b","")),Students!$A:$A,AR$2)+countifs(Students!$H:$H,$Y49,Students!$I:$I,$Y$2&amp;if($K49="S1","a",if($K49="S2","b","")),Students!$A:$A,AR$2)+countifs(Students!$J:$J,$Y49,Students!$K:$K,$Y$2&amp;if($K49="S1","a",if($K49="S2","b","")),Students!$A:$A,AR$2)+countifs(Students!$L:$L,$Y49,Students!$M:$M,$Y$2&amp;if($K49="S1","a",if($K49="S2","b","")),Students!$A:$A,AR$2)+countifs(Students!$N:$N,$Y49,Students!$O:$O,$Y$2&amp;if($K49="S1","a",if($K49="S2","b","")),Students!$A:$A,AR$2)+countifs(Students!$P:$P,$Y49,Students!$Q:$Q,$Y$2&amp;if($K49="S1","a",if($K49="S2","b","")),Students!$A:$A,AR$2)+countifs(Students!$R:$R,$Y49,Students!$S:$S,$Y$2&amp;if($K49="S1","a",if($K49="S2","b","")),Students!$A:$A,AR$2)+countifs(Students!$T:$T,$Y49,Students!$U:$U,$Y$2&amp;if($K49="S1","a",if($K49="S2","b","")),Students!$A:$A,AR$2)+countifs(Students!$V:$V,$Y49,Students!$W:$W,$Y$2&amp;if($K49="S1","a",if($K49="S2","b","")),Students!$A:$A,AR$2)+
countifs(Students!$D:$D,$AB49,Students!$E:$E,$AB$2&amp;if($K49="S1","a",if($K49="S2","b","")),Students!$A:$A,AR$2)+countifs(Students!$F:$F,$AB49,Students!$G:$G,$AB$2&amp;if($K49="S1","a",if($K49="S2","b","")),Students!$A:$A,AR$2)+countifs(Students!$H:$H,$AB49,Students!$I:$I,$AB$2&amp;if($K49="S1","a",if($K49="S2","b","")),Students!$A:$A,AR$2)+countifs(Students!$J:$J,$AB49,Students!$K:$K,$AB$2&amp;if($K49="S1","a",if($K49="S2","b","")),Students!$A:$A,AR$2)+countifs(Students!$L:$L,$AB49,Students!$M:$M,$AB$2&amp;if($K49="S1","a",if($K49="S2","b","")),Students!$A:$A,AR$2)+countifs(Students!$N:$N,$AB49,Students!$O:$O,$AB$2&amp;if($K49="S1","a",if($K49="S2","b","")),Students!$A:$A,AR$2)+countifs(Students!$P:$P,$AB49,Students!$Q:$Q,$AB$2&amp;if($K49="S1","a",if($K49="S2","b","")),Students!$A:$A,AR$2)+countifs(Students!$R:$R,$AB49,Students!$S:$S,$AB$2&amp;if($K49="S1","a",if($K49="S2","b","")),Students!$A:$A,AR$2)+countifs(Students!$T:$T,$AB49,Students!$U:$U,$AB$2&amp;if($K49="S1","a",if($K49="S2","b","")),Students!$A:$A,AR$2)+countifs(Students!$V:$V,$AB49,Students!$W:$W,$AB$2&amp;if($K49="S1","a",if($K49="S2","b","")),Students!$A:$A,AR$2)+
countifs(Students!$D:$D,$AE49,Students!$E:$E,$AE$2&amp;if($K49="S1","a",if($K49="S2","b","")),Students!$A:$A,AR$2)+countifs(Students!$F:$F,$AE49,Students!$G:$G,$AE$2&amp;if($K49="S1","a",if($K49="S2","b","")),Students!$A:$A,AR$2)+countifs(Students!$H:$H,$AE49,Students!$I:$I,$AE$2&amp;if($K49="S1","a",if($K49="S2","b","")),Students!$A:$A,AR$2)+countifs(Students!$J:$J,$AE49,Students!$K:$K,$AE$2&amp;if($K49="S1","a",if($K49="S2","b","")),Students!$A:$A,AR$2)+countifs(Students!$L:$L,$AE49,Students!$M:$M,$AE$2&amp;if($K49="S1","a",if($K49="S2","b","")),Students!$A:$A,AR$2)+countifs(Students!$N:$N,$AE49,Students!$O:$O,$AE$2&amp;if($K49="S1","a",if($K49="S2","b","")),Students!$A:$A,AR$2)+countifs(Students!$P:$P,$AE49,Students!$Q:$Q,$AE$2&amp;if($K49="S1","a",if($K49="S2","b","")),Students!$A:$A,AR$2)+countifs(Students!$R:$R,$AE49,Students!$S:$S,$AE$2&amp;if($K49="S1","a",if($K49="S2","b","")),Students!$A:$A,AR$2)+countifs(Students!$T:$T,$AE49,Students!$U:$U,$AE$2&amp;if($K49="S1","a",if($K49="S2","b","")),Students!$A:$A,AR$2)+countifs(Students!$V:$V,$AE49,Students!$W:$W,$AE$2&amp;if($K49="S1","a",if($K49="S2","b","")),Students!$A:$A,AR$2)+
countifs(Students!$D:$D,$AH49,Students!$E:$E,$AH$2&amp;if($K49="S1","a",if($K49="S2","b","")),Students!$A:$A,AR$2)+countifs(Students!$F:$F,$AH49,Students!$G:$G,$AH$2&amp;if($K49="S1","a",if($K49="S2","b","")),Students!$A:$A,AR$2)+countifs(Students!$H:$H,$AH49,Students!$I:$I,$AH$2&amp;if($K49="S1","a",if($K49="S2","b","")),Students!$A:$A,AR$2)+countifs(Students!$J:$J,$AH49,Students!$K:$K,$AH$2&amp;if($K49="S1","a",if($K49="S2","b","")),Students!$A:$A,AR$2)+countifs(Students!$L:$L,$AH49,Students!$M:$M,$AH$2&amp;if($K49="S1","a",if($K49="S2","b","")),Students!$A:$A,AR$2)+countifs(Students!$N:$N,$AH49,Students!$O:$O,$AH$2&amp;if($K49="S1","a",if($K49="S2","b","")),Students!$A:$A,AR$2)+countifs(Students!$P:$P,$AH49,Students!$Q:$Q,$AH$2&amp;if($K49="S1","a",if($K49="S2","b","")),Students!$A:$A,AR$2)+countifs(Students!$R:$R,$AH49,Students!$S:$S,$AH$2&amp;if($K49="S1","a",if($K49="S2","b","")),Students!$A:$A,AR$2)+countifs(Students!$T:$T,$AH49,Students!$U:$U,$AH$2&amp;if($K49="S1","a",if($K49="S2","b","")),Students!$A:$A,AR$2)+countifs(Students!$V:$V,$AH49,Students!$W:$W,$AH$2&amp;if($K49="S1","a",if($K49="S2","b","")),Students!$A:$A,AR$2)+
countifs(Students!$D:$D,$AK49,Students!$E:$E,$AK$2&amp;if($K49="S1","a",if($K49="S2","b","")),Students!$A:$A,AR$2)+countifs(Students!$F:$F,$AK49,Students!$G:$G,$AK$2&amp;if($K49="S1","a",if($K49="S2","b","")),Students!$A:$A,AR$2)+countifs(Students!$H:$H,$AK49,Students!$I:$I,$AK$2&amp;if($K49="S1","a",if($K49="S2","b","")),Students!$A:$A,AR$2)+countifs(Students!$J:$J,$AK49,Students!$K:$K,$AK$2&amp;if($K49="S1","a",if($K49="S2","b","")),Students!$A:$A,AR$2)+countifs(Students!$L:$L,$AK49,Students!$M:$M,$AK$2&amp;if($K49="S1","a",if($K49="S2","b","")),Students!$A:$A,AR$2)+countifs(Students!$N:$N,$AK49,Students!$O:$O,$AK$2&amp;if($K49="S1","a",if($K49="S2","b","")),Students!$A:$A,AR$2)+countifs(Students!$P:$P,$AK49,Students!$Q:$Q,$AK$2&amp;if($K49="S1","a",if($K49="S2","b","")),Students!$A:$A,AR$2)+countifs(Students!$R:$R,$AK49,Students!$S:$S,$AK$2&amp;if($K49="S1","a",if($K49="S2","b","")),Students!$A:$A,AR$2)+countifs(Students!$T:$T,$AK49,Students!$U:$U,$AK$2&amp;if($K49="S1","a",if($K49="S2","b","")),Students!$A:$A,AR$2)+countifs(Students!$V:$V,$AK49,Students!$W:$W,$AK$2&amp;if($K49="S1","a",if($K49="S2","b","")),Students!$A:$A,AR$2))</f>
        <v/>
      </c>
      <c r="AS49" s="102" t="str">
        <f>if($L49="","",countifs(Students!$D:$D,$P49,Students!$E:$E,$P$2&amp;if($K49="S1","a",if($K49="S2","b","")),Students!$A:$A,AS$2)+countifs(Students!$F:$F,$P49,Students!$G:$G,$P$2&amp;if($K49="S1","a",if($K49="S2","b","")),Students!$A:$A,AS$2)+countifs(Students!$H:$H,$P49,Students!$I:$I,$P$2&amp;if($K49="S1","a",if($K49="S2","b","")),Students!$A:$A,AS$2)+countifs(Students!$J:$J,$P49,Students!$K:$K,$P$2&amp;if($K49="S1","a",if($K49="S2","b","")),Students!$A:$A,AS$2)+countifs(Students!$L:$L,$P49,Students!$M:$M,$P$2&amp;if($K49="S1","a",if($K49="S2","b","")),Students!$A:$A,AS$2)+countifs(Students!$N:$N,$P49,Students!$O:$O,$P$2&amp;if($K49="S1","a",if($K49="S2","b","")),Students!$A:$A,AS$2)+countifs(Students!$P:$P,$P49,Students!$Q:$Q,$P$2&amp;if($K49="S1","a",if($K49="S2","b","")),Students!$A:$A,AS$2)+countifs(Students!$R:$R,$P49,Students!$S:$S,$P$2&amp;if($K49="S1","a",if($K49="S2","b","")),Students!$A:$A,AS$2)+countifs(Students!$T:$T,$P49,Students!$U:$U,$P$2&amp;if($K49="S1","a",if($K49="S2","b","")),Students!$A:$A,AS$2)+countifs(Students!$V:$V,$P49,Students!$W:$W,$P$2&amp;if($K49="S1","a",if($K49="S2","b","")),Students!$A:$A,AS$2)+
countifs(Students!$D:$D,$S49,Students!$E:$E,$S$2&amp;if($K49="S1","a",if($K49="S2","b","")),Students!$A:$A,AS$2)+countifs(Students!$F:$F,$S49,Students!$G:$G,$S$2&amp;if($K49="S1","a",if($K49="S2","b","")),Students!$A:$A,AS$2)+countifs(Students!$H:$H,$S49,Students!$I:$I,$S$2&amp;if($K49="S1","a",if($K49="S2","b","")),Students!$A:$A,AS$2)+countifs(Students!$J:$J,$S49,Students!$K:$K,$S$2&amp;if($K49="S1","a",if($K49="S2","b","")),Students!$A:$A,AS$2)+countifs(Students!$L:$L,$S49,Students!$M:$M,$S$2&amp;if($K49="S1","a",if($K49="S2","b","")),Students!$A:$A,AS$2)+countifs(Students!$N:$N,$S49,Students!$O:$O,$S$2&amp;if($K49="S1","a",if($K49="S2","b","")),Students!$A:$A,AS$2)+countifs(Students!$P:$P,$S49,Students!$Q:$Q,$S$2&amp;if($K49="S1","a",if($K49="S2","b","")),Students!$A:$A,AS$2)+countifs(Students!$R:$R,$S49,Students!$S:$S,$S$2&amp;if($K49="S1","a",if($K49="S2","b","")),Students!$A:$A,AS$2)+countifs(Students!$T:$T,$S49,Students!$U:$U,$S$2&amp;if($K49="S1","a",if($K49="S2","b","")),Students!$A:$A,AS$2)+countifs(Students!$V:$V,$S49,Students!$W:$W,$S$2&amp;if($K49="S1","a",if($K49="S2","b","")),Students!$A:$A,AS$2)+
countifs(Students!$D:$D,$V49,Students!$E:$E,$V$2&amp;if($K49="S1","a",if($K49="S2","b","")),Students!$A:$A,AS$2)+countifs(Students!$F:$F,$V49,Students!$G:$G,$V$2&amp;if($K49="S1","a",if($K49="S2","b","")),Students!$A:$A,AS$2)+countifs(Students!$H:$H,$V49,Students!$I:$I,$V$2&amp;if($K49="S1","a",if($K49="S2","b","")),Students!$A:$A,AS$2)+countifs(Students!$J:$J,$V49,Students!$K:$K,$V$2&amp;if($K49="S1","a",if($K49="S2","b","")),Students!$A:$A,AS$2)+countifs(Students!$L:$L,$V49,Students!$M:$M,$V$2&amp;if($K49="S1","a",if($K49="S2","b","")),Students!$A:$A,AS$2)+countifs(Students!$N:$N,$V49,Students!$O:$O,$V$2&amp;if($K49="S1","a",if($K49="S2","b","")),Students!$A:$A,AS$2)+countifs(Students!$P:$P,$V49,Students!$Q:$Q,$V$2&amp;if($K49="S1","a",if($K49="S2","b","")),Students!$A:$A,AS$2)+countifs(Students!$R:$R,$V49,Students!$S:$S,$V$2&amp;if($K49="S1","a",if($K49="S2","b","")),Students!$A:$A,AS$2)+countifs(Students!$T:$T,$V49,Students!$U:$U,$V$2&amp;if($K49="S1","a",if($K49="S2","b","")),Students!$A:$A,AS$2)+countifs(Students!$V:$V,$V49,Students!$W:$W,$V$2&amp;if($K49="S1","a",if($K49="S2","b","")),Students!$A:$A,AS$2)+
countifs(Students!$D:$D,$Y49,Students!$E:$E,$Y$2&amp;if($K49="S1","a",if($K49="S2","b","")),Students!$A:$A,AS$2)+countifs(Students!$F:$F,$Y49,Students!$G:$G,$Y$2&amp;if($K49="S1","a",if($K49="S2","b","")),Students!$A:$A,AS$2)+countifs(Students!$H:$H,$Y49,Students!$I:$I,$Y$2&amp;if($K49="S1","a",if($K49="S2","b","")),Students!$A:$A,AS$2)+countifs(Students!$J:$J,$Y49,Students!$K:$K,$Y$2&amp;if($K49="S1","a",if($K49="S2","b","")),Students!$A:$A,AS$2)+countifs(Students!$L:$L,$Y49,Students!$M:$M,$Y$2&amp;if($K49="S1","a",if($K49="S2","b","")),Students!$A:$A,AS$2)+countifs(Students!$N:$N,$Y49,Students!$O:$O,$Y$2&amp;if($K49="S1","a",if($K49="S2","b","")),Students!$A:$A,AS$2)+countifs(Students!$P:$P,$Y49,Students!$Q:$Q,$Y$2&amp;if($K49="S1","a",if($K49="S2","b","")),Students!$A:$A,AS$2)+countifs(Students!$R:$R,$Y49,Students!$S:$S,$Y$2&amp;if($K49="S1","a",if($K49="S2","b","")),Students!$A:$A,AS$2)+countifs(Students!$T:$T,$Y49,Students!$U:$U,$Y$2&amp;if($K49="S1","a",if($K49="S2","b","")),Students!$A:$A,AS$2)+countifs(Students!$V:$V,$Y49,Students!$W:$W,$Y$2&amp;if($K49="S1","a",if($K49="S2","b","")),Students!$A:$A,AS$2)+
countifs(Students!$D:$D,$AB49,Students!$E:$E,$AB$2&amp;if($K49="S1","a",if($K49="S2","b","")),Students!$A:$A,AS$2)+countifs(Students!$F:$F,$AB49,Students!$G:$G,$AB$2&amp;if($K49="S1","a",if($K49="S2","b","")),Students!$A:$A,AS$2)+countifs(Students!$H:$H,$AB49,Students!$I:$I,$AB$2&amp;if($K49="S1","a",if($K49="S2","b","")),Students!$A:$A,AS$2)+countifs(Students!$J:$J,$AB49,Students!$K:$K,$AB$2&amp;if($K49="S1","a",if($K49="S2","b","")),Students!$A:$A,AS$2)+countifs(Students!$L:$L,$AB49,Students!$M:$M,$AB$2&amp;if($K49="S1","a",if($K49="S2","b","")),Students!$A:$A,AS$2)+countifs(Students!$N:$N,$AB49,Students!$O:$O,$AB$2&amp;if($K49="S1","a",if($K49="S2","b","")),Students!$A:$A,AS$2)+countifs(Students!$P:$P,$AB49,Students!$Q:$Q,$AB$2&amp;if($K49="S1","a",if($K49="S2","b","")),Students!$A:$A,AS$2)+countifs(Students!$R:$R,$AB49,Students!$S:$S,$AB$2&amp;if($K49="S1","a",if($K49="S2","b","")),Students!$A:$A,AS$2)+countifs(Students!$T:$T,$AB49,Students!$U:$U,$AB$2&amp;if($K49="S1","a",if($K49="S2","b","")),Students!$A:$A,AS$2)+countifs(Students!$V:$V,$AB49,Students!$W:$W,$AB$2&amp;if($K49="S1","a",if($K49="S2","b","")),Students!$A:$A,AS$2)+
countifs(Students!$D:$D,$AE49,Students!$E:$E,$AE$2&amp;if($K49="S1","a",if($K49="S2","b","")),Students!$A:$A,AS$2)+countifs(Students!$F:$F,$AE49,Students!$G:$G,$AE$2&amp;if($K49="S1","a",if($K49="S2","b","")),Students!$A:$A,AS$2)+countifs(Students!$H:$H,$AE49,Students!$I:$I,$AE$2&amp;if($K49="S1","a",if($K49="S2","b","")),Students!$A:$A,AS$2)+countifs(Students!$J:$J,$AE49,Students!$K:$K,$AE$2&amp;if($K49="S1","a",if($K49="S2","b","")),Students!$A:$A,AS$2)+countifs(Students!$L:$L,$AE49,Students!$M:$M,$AE$2&amp;if($K49="S1","a",if($K49="S2","b","")),Students!$A:$A,AS$2)+countifs(Students!$N:$N,$AE49,Students!$O:$O,$AE$2&amp;if($K49="S1","a",if($K49="S2","b","")),Students!$A:$A,AS$2)+countifs(Students!$P:$P,$AE49,Students!$Q:$Q,$AE$2&amp;if($K49="S1","a",if($K49="S2","b","")),Students!$A:$A,AS$2)+countifs(Students!$R:$R,$AE49,Students!$S:$S,$AE$2&amp;if($K49="S1","a",if($K49="S2","b","")),Students!$A:$A,AS$2)+countifs(Students!$T:$T,$AE49,Students!$U:$U,$AE$2&amp;if($K49="S1","a",if($K49="S2","b","")),Students!$A:$A,AS$2)+countifs(Students!$V:$V,$AE49,Students!$W:$W,$AE$2&amp;if($K49="S1","a",if($K49="S2","b","")),Students!$A:$A,AS$2)+
countifs(Students!$D:$D,$AH49,Students!$E:$E,$AH$2&amp;if($K49="S1","a",if($K49="S2","b","")),Students!$A:$A,AS$2)+countifs(Students!$F:$F,$AH49,Students!$G:$G,$AH$2&amp;if($K49="S1","a",if($K49="S2","b","")),Students!$A:$A,AS$2)+countifs(Students!$H:$H,$AH49,Students!$I:$I,$AH$2&amp;if($K49="S1","a",if($K49="S2","b","")),Students!$A:$A,AS$2)+countifs(Students!$J:$J,$AH49,Students!$K:$K,$AH$2&amp;if($K49="S1","a",if($K49="S2","b","")),Students!$A:$A,AS$2)+countifs(Students!$L:$L,$AH49,Students!$M:$M,$AH$2&amp;if($K49="S1","a",if($K49="S2","b","")),Students!$A:$A,AS$2)+countifs(Students!$N:$N,$AH49,Students!$O:$O,$AH$2&amp;if($K49="S1","a",if($K49="S2","b","")),Students!$A:$A,AS$2)+countifs(Students!$P:$P,$AH49,Students!$Q:$Q,$AH$2&amp;if($K49="S1","a",if($K49="S2","b","")),Students!$A:$A,AS$2)+countifs(Students!$R:$R,$AH49,Students!$S:$S,$AH$2&amp;if($K49="S1","a",if($K49="S2","b","")),Students!$A:$A,AS$2)+countifs(Students!$T:$T,$AH49,Students!$U:$U,$AH$2&amp;if($K49="S1","a",if($K49="S2","b","")),Students!$A:$A,AS$2)+countifs(Students!$V:$V,$AH49,Students!$W:$W,$AH$2&amp;if($K49="S1","a",if($K49="S2","b","")),Students!$A:$A,AS$2)+
countifs(Students!$D:$D,$AK49,Students!$E:$E,$AK$2&amp;if($K49="S1","a",if($K49="S2","b","")),Students!$A:$A,AS$2)+countifs(Students!$F:$F,$AK49,Students!$G:$G,$AK$2&amp;if($K49="S1","a",if($K49="S2","b","")),Students!$A:$A,AS$2)+countifs(Students!$H:$H,$AK49,Students!$I:$I,$AK$2&amp;if($K49="S1","a",if($K49="S2","b","")),Students!$A:$A,AS$2)+countifs(Students!$J:$J,$AK49,Students!$K:$K,$AK$2&amp;if($K49="S1","a",if($K49="S2","b","")),Students!$A:$A,AS$2)+countifs(Students!$L:$L,$AK49,Students!$M:$M,$AK$2&amp;if($K49="S1","a",if($K49="S2","b","")),Students!$A:$A,AS$2)+countifs(Students!$N:$N,$AK49,Students!$O:$O,$AK$2&amp;if($K49="S1","a",if($K49="S2","b","")),Students!$A:$A,AS$2)+countifs(Students!$P:$P,$AK49,Students!$Q:$Q,$AK$2&amp;if($K49="S1","a",if($K49="S2","b","")),Students!$A:$A,AS$2)+countifs(Students!$R:$R,$AK49,Students!$S:$S,$AK$2&amp;if($K49="S1","a",if($K49="S2","b","")),Students!$A:$A,AS$2)+countifs(Students!$T:$T,$AK49,Students!$U:$U,$AK$2&amp;if($K49="S1","a",if($K49="S2","b","")),Students!$A:$A,AS$2)+countifs(Students!$V:$V,$AK49,Students!$W:$W,$AK$2&amp;if($K49="S1","a",if($K49="S2","b","")),Students!$A:$A,AS$2))</f>
        <v/>
      </c>
    </row>
    <row r="50">
      <c r="J50" s="87" t="s">
        <v>22</v>
      </c>
      <c r="K50" s="88"/>
      <c r="L50" s="130"/>
      <c r="M50" s="107"/>
      <c r="N50" s="87" t="s">
        <v>22</v>
      </c>
      <c r="O50" s="87">
        <f>IFERROR(__xludf.DUMMYFUNCTION("3*counta((transpose(filter(P50:AM50,P50:AM50&lt;&gt;"""",isnumber(P50:AM50)=false))))"),3.0)</f>
        <v>3</v>
      </c>
      <c r="P50" s="103"/>
      <c r="Q50" s="101"/>
      <c r="R50" s="98" t="s">
        <v>22</v>
      </c>
      <c r="S50" s="101"/>
      <c r="T50" s="101"/>
      <c r="U50" s="98" t="s">
        <v>22</v>
      </c>
      <c r="V50" s="101"/>
      <c r="W50" s="101"/>
      <c r="X50" s="98" t="s">
        <v>22</v>
      </c>
      <c r="Y50" s="103"/>
      <c r="Z50" s="101"/>
      <c r="AA50" s="98" t="s">
        <v>22</v>
      </c>
      <c r="AB50" s="101"/>
      <c r="AC50" s="101"/>
      <c r="AD50" s="98" t="s">
        <v>22</v>
      </c>
      <c r="AE50" s="103"/>
      <c r="AF50" s="101"/>
      <c r="AG50" s="98" t="s">
        <v>22</v>
      </c>
      <c r="AH50" s="103"/>
      <c r="AI50" s="97"/>
      <c r="AJ50" s="98" t="s">
        <v>22</v>
      </c>
      <c r="AK50" s="101"/>
      <c r="AL50" s="97"/>
      <c r="AM50" s="98" t="s">
        <v>22</v>
      </c>
      <c r="AN50" s="99"/>
      <c r="AO50" s="52" t="str">
        <f t="shared" si="2"/>
        <v/>
      </c>
      <c r="AP50" s="102" t="str">
        <f>if($L50="","",countifs(Students!$D:$D,$P50,Students!$E:$E,$P$2&amp;if($K50="S1","a",if($K50="S2","b","")),Students!$A:$A,AP$2)+countifs(Students!$F:$F,$P50,Students!$G:$G,$P$2&amp;if($K50="S1","a",if($K50="S2","b","")),Students!$A:$A,AP$2)+countifs(Students!$H:$H,$P50,Students!$I:$I,$P$2&amp;if($K50="S1","a",if($K50="S2","b","")),Students!$A:$A,AP$2)+countifs(Students!$J:$J,$P50,Students!$K:$K,$P$2&amp;if($K50="S1","a",if($K50="S2","b","")),Students!$A:$A,AP$2)+countifs(Students!$L:$L,$P50,Students!$M:$M,$P$2&amp;if($K50="S1","a",if($K50="S2","b","")),Students!$A:$A,AP$2)+countifs(Students!$N:$N,$P50,Students!$O:$O,$P$2&amp;if($K50="S1","a",if($K50="S2","b","")),Students!$A:$A,AP$2)+countifs(Students!$P:$P,$P50,Students!$Q:$Q,$P$2&amp;if($K50="S1","a",if($K50="S2","b","")),Students!$A:$A,AP$2)+countifs(Students!$R:$R,$P50,Students!$S:$S,$P$2&amp;if($K50="S1","a",if($K50="S2","b","")),Students!$A:$A,AP$2)+countifs(Students!$T:$T,$P50,Students!$U:$U,$P$2&amp;if($K50="S1","a",if($K50="S2","b","")),Students!$A:$A,AP$2)+countifs(Students!$V:$V,$P50,Students!$W:$W,$P$2&amp;if($K50="S1","a",if($K50="S2","b","")),Students!$A:$A,AP$2)+
countifs(Students!$D:$D,$S50,Students!$E:$E,$S$2&amp;if($K50="S1","a",if($K50="S2","b","")),Students!$A:$A,AP$2)+countifs(Students!$F:$F,$S50,Students!$G:$G,$S$2&amp;if($K50="S1","a",if($K50="S2","b","")),Students!$A:$A,AP$2)+countifs(Students!$H:$H,$S50,Students!$I:$I,$S$2&amp;if($K50="S1","a",if($K50="S2","b","")),Students!$A:$A,AP$2)+countifs(Students!$J:$J,$S50,Students!$K:$K,$S$2&amp;if($K50="S1","a",if($K50="S2","b","")),Students!$A:$A,AP$2)+countifs(Students!$L:$L,$S50,Students!$M:$M,$S$2&amp;if($K50="S1","a",if($K50="S2","b","")),Students!$A:$A,AP$2)+countifs(Students!$N:$N,$S50,Students!$O:$O,$S$2&amp;if($K50="S1","a",if($K50="S2","b","")),Students!$A:$A,AP$2)+countifs(Students!$P:$P,$S50,Students!$Q:$Q,$S$2&amp;if($K50="S1","a",if($K50="S2","b","")),Students!$A:$A,AP$2)+countifs(Students!$R:$R,$S50,Students!$S:$S,$S$2&amp;if($K50="S1","a",if($K50="S2","b","")),Students!$A:$A,AP$2)+countifs(Students!$T:$T,$S50,Students!$U:$U,$S$2&amp;if($K50="S1","a",if($K50="S2","b","")),Students!$A:$A,AP$2)+countifs(Students!$V:$V,$S50,Students!$W:$W,$S$2&amp;if($K50="S1","a",if($K50="S2","b","")),Students!$A:$A,AP$2)+
countifs(Students!$D:$D,$V50,Students!$E:$E,$V$2&amp;if($K50="S1","a",if($K50="S2","b","")),Students!$A:$A,AP$2)+countifs(Students!$F:$F,$V50,Students!$G:$G,$V$2&amp;if($K50="S1","a",if($K50="S2","b","")),Students!$A:$A,AP$2)+countifs(Students!$H:$H,$V50,Students!$I:$I,$V$2&amp;if($K50="S1","a",if($K50="S2","b","")),Students!$A:$A,AP$2)+countifs(Students!$J:$J,$V50,Students!$K:$K,$V$2&amp;if($K50="S1","a",if($K50="S2","b","")),Students!$A:$A,AP$2)+countifs(Students!$L:$L,$V50,Students!$M:$M,$V$2&amp;if($K50="S1","a",if($K50="S2","b","")),Students!$A:$A,AP$2)+countifs(Students!$N:$N,$V50,Students!$O:$O,$V$2&amp;if($K50="S1","a",if($K50="S2","b","")),Students!$A:$A,AP$2)+countifs(Students!$P:$P,$V50,Students!$Q:$Q,$V$2&amp;if($K50="S1","a",if($K50="S2","b","")),Students!$A:$A,AP$2)+countifs(Students!$R:$R,$V50,Students!$S:$S,$V$2&amp;if($K50="S1","a",if($K50="S2","b","")),Students!$A:$A,AP$2)+countifs(Students!$T:$T,$V50,Students!$U:$U,$V$2&amp;if($K50="S1","a",if($K50="S2","b","")),Students!$A:$A,AP$2)+countifs(Students!$V:$V,$V50,Students!$W:$W,$V$2&amp;if($K50="S1","a",if($K50="S2","b","")),Students!$A:$A,AP$2)+
countifs(Students!$D:$D,$Y50,Students!$E:$E,$Y$2&amp;if($K50="S1","a",if($K50="S2","b","")),Students!$A:$A,AP$2)+countifs(Students!$F:$F,$Y50,Students!$G:$G,$Y$2&amp;if($K50="S1","a",if($K50="S2","b","")),Students!$A:$A,AP$2)+countifs(Students!$H:$H,$Y50,Students!$I:$I,$Y$2&amp;if($K50="S1","a",if($K50="S2","b","")),Students!$A:$A,AP$2)+countifs(Students!$J:$J,$Y50,Students!$K:$K,$Y$2&amp;if($K50="S1","a",if($K50="S2","b","")),Students!$A:$A,AP$2)+countifs(Students!$L:$L,$Y50,Students!$M:$M,$Y$2&amp;if($K50="S1","a",if($K50="S2","b","")),Students!$A:$A,AP$2)+countifs(Students!$N:$N,$Y50,Students!$O:$O,$Y$2&amp;if($K50="S1","a",if($K50="S2","b","")),Students!$A:$A,AP$2)+countifs(Students!$P:$P,$Y50,Students!$Q:$Q,$Y$2&amp;if($K50="S1","a",if($K50="S2","b","")),Students!$A:$A,AP$2)+countifs(Students!$R:$R,$Y50,Students!$S:$S,$Y$2&amp;if($K50="S1","a",if($K50="S2","b","")),Students!$A:$A,AP$2)+countifs(Students!$T:$T,$Y50,Students!$U:$U,$Y$2&amp;if($K50="S1","a",if($K50="S2","b","")),Students!$A:$A,AP$2)+countifs(Students!$V:$V,$Y50,Students!$W:$W,$Y$2&amp;if($K50="S1","a",if($K50="S2","b","")),Students!$A:$A,AP$2)+
countifs(Students!$D:$D,$AB50,Students!$E:$E,$AB$2&amp;if($K50="S1","a",if($K50="S2","b","")),Students!$A:$A,AP$2)+countifs(Students!$F:$F,$AB50,Students!$G:$G,$AB$2&amp;if($K50="S1","a",if($K50="S2","b","")),Students!$A:$A,AP$2)+countifs(Students!$H:$H,$AB50,Students!$I:$I,$AB$2&amp;if($K50="S1","a",if($K50="S2","b","")),Students!$A:$A,AP$2)+countifs(Students!$J:$J,$AB50,Students!$K:$K,$AB$2&amp;if($K50="S1","a",if($K50="S2","b","")),Students!$A:$A,AP$2)+countifs(Students!$L:$L,$AB50,Students!$M:$M,$AB$2&amp;if($K50="S1","a",if($K50="S2","b","")),Students!$A:$A,AP$2)+countifs(Students!$N:$N,$AB50,Students!$O:$O,$AB$2&amp;if($K50="S1","a",if($K50="S2","b","")),Students!$A:$A,AP$2)+countifs(Students!$P:$P,$AB50,Students!$Q:$Q,$AB$2&amp;if($K50="S1","a",if($K50="S2","b","")),Students!$A:$A,AP$2)+countifs(Students!$R:$R,$AB50,Students!$S:$S,$AB$2&amp;if($K50="S1","a",if($K50="S2","b","")),Students!$A:$A,AP$2)+countifs(Students!$T:$T,$AB50,Students!$U:$U,$AB$2&amp;if($K50="S1","a",if($K50="S2","b","")),Students!$A:$A,AP$2)+countifs(Students!$V:$V,$AB50,Students!$W:$W,$AB$2&amp;if($K50="S1","a",if($K50="S2","b","")),Students!$A:$A,AP$2)+
countifs(Students!$D:$D,$AE50,Students!$E:$E,$AE$2&amp;if($K50="S1","a",if($K50="S2","b","")),Students!$A:$A,AP$2)+countifs(Students!$F:$F,$AE50,Students!$G:$G,$AE$2&amp;if($K50="S1","a",if($K50="S2","b","")),Students!$A:$A,AP$2)+countifs(Students!$H:$H,$AE50,Students!$I:$I,$AE$2&amp;if($K50="S1","a",if($K50="S2","b","")),Students!$A:$A,AP$2)+countifs(Students!$J:$J,$AE50,Students!$K:$K,$AE$2&amp;if($K50="S1","a",if($K50="S2","b","")),Students!$A:$A,AP$2)+countifs(Students!$L:$L,$AE50,Students!$M:$M,$AE$2&amp;if($K50="S1","a",if($K50="S2","b","")),Students!$A:$A,AP$2)+countifs(Students!$N:$N,$AE50,Students!$O:$O,$AE$2&amp;if($K50="S1","a",if($K50="S2","b","")),Students!$A:$A,AP$2)+countifs(Students!$P:$P,$AE50,Students!$Q:$Q,$AE$2&amp;if($K50="S1","a",if($K50="S2","b","")),Students!$A:$A,AP$2)+countifs(Students!$R:$R,$AE50,Students!$S:$S,$AE$2&amp;if($K50="S1","a",if($K50="S2","b","")),Students!$A:$A,AP$2)+countifs(Students!$T:$T,$AE50,Students!$U:$U,$AE$2&amp;if($K50="S1","a",if($K50="S2","b","")),Students!$A:$A,AP$2)+countifs(Students!$V:$V,$AE50,Students!$W:$W,$AE$2&amp;if($K50="S1","a",if($K50="S2","b","")),Students!$A:$A,AP$2)+
countifs(Students!$D:$D,$AH50,Students!$E:$E,$AH$2&amp;if($K50="S1","a",if($K50="S2","b","")),Students!$A:$A,AP$2)+countifs(Students!$F:$F,$AH50,Students!$G:$G,$AH$2&amp;if($K50="S1","a",if($K50="S2","b","")),Students!$A:$A,AP$2)+countifs(Students!$H:$H,$AH50,Students!$I:$I,$AH$2&amp;if($K50="S1","a",if($K50="S2","b","")),Students!$A:$A,AP$2)+countifs(Students!$J:$J,$AH50,Students!$K:$K,$AH$2&amp;if($K50="S1","a",if($K50="S2","b","")),Students!$A:$A,AP$2)+countifs(Students!$L:$L,$AH50,Students!$M:$M,$AH$2&amp;if($K50="S1","a",if($K50="S2","b","")),Students!$A:$A,AP$2)+countifs(Students!$N:$N,$AH50,Students!$O:$O,$AH$2&amp;if($K50="S1","a",if($K50="S2","b","")),Students!$A:$A,AP$2)+countifs(Students!$P:$P,$AH50,Students!$Q:$Q,$AH$2&amp;if($K50="S1","a",if($K50="S2","b","")),Students!$A:$A,AP$2)+countifs(Students!$R:$R,$AH50,Students!$S:$S,$AH$2&amp;if($K50="S1","a",if($K50="S2","b","")),Students!$A:$A,AP$2)+countifs(Students!$T:$T,$AH50,Students!$U:$U,$AH$2&amp;if($K50="S1","a",if($K50="S2","b","")),Students!$A:$A,AP$2)+countifs(Students!$V:$V,$AH50,Students!$W:$W,$AH$2&amp;if($K50="S1","a",if($K50="S2","b","")),Students!$A:$A,AP$2)+
countifs(Students!$D:$D,$AK50,Students!$E:$E,$AK$2&amp;if($K50="S1","a",if($K50="S2","b","")),Students!$A:$A,AP$2)+countifs(Students!$F:$F,$AK50,Students!$G:$G,$AK$2&amp;if($K50="S1","a",if($K50="S2","b","")),Students!$A:$A,AP$2)+countifs(Students!$H:$H,$AK50,Students!$I:$I,$AK$2&amp;if($K50="S1","a",if($K50="S2","b","")),Students!$A:$A,AP$2)+countifs(Students!$J:$J,$AK50,Students!$K:$K,$AK$2&amp;if($K50="S1","a",if($K50="S2","b","")),Students!$A:$A,AP$2)+countifs(Students!$L:$L,$AK50,Students!$M:$M,$AK$2&amp;if($K50="S1","a",if($K50="S2","b","")),Students!$A:$A,AP$2)+countifs(Students!$N:$N,$AK50,Students!$O:$O,$AK$2&amp;if($K50="S1","a",if($K50="S2","b","")),Students!$A:$A,AP$2)+countifs(Students!$P:$P,$AK50,Students!$Q:$Q,$AK$2&amp;if($K50="S1","a",if($K50="S2","b","")),Students!$A:$A,AP$2)+countifs(Students!$R:$R,$AK50,Students!$S:$S,$AK$2&amp;if($K50="S1","a",if($K50="S2","b","")),Students!$A:$A,AP$2)+countifs(Students!$T:$T,$AK50,Students!$U:$U,$AK$2&amp;if($K50="S1","a",if($K50="S2","b","")),Students!$A:$A,AP$2)+countifs(Students!$V:$V,$AK50,Students!$W:$W,$AK$2&amp;if($K50="S1","a",if($K50="S2","b","")),Students!$A:$A,AP$2))</f>
        <v/>
      </c>
      <c r="AQ50" s="102" t="str">
        <f>if($L50="","",countifs(Students!$D:$D,$P50,Students!$E:$E,$P$2&amp;if($K50="S1","a",if($K50="S2","b","")),Students!$A:$A,AQ$2)+countifs(Students!$F:$F,$P50,Students!$G:$G,$P$2&amp;if($K50="S1","a",if($K50="S2","b","")),Students!$A:$A,AQ$2)+countifs(Students!$H:$H,$P50,Students!$I:$I,$P$2&amp;if($K50="S1","a",if($K50="S2","b","")),Students!$A:$A,AQ$2)+countifs(Students!$J:$J,$P50,Students!$K:$K,$P$2&amp;if($K50="S1","a",if($K50="S2","b","")),Students!$A:$A,AQ$2)+countifs(Students!$L:$L,$P50,Students!$M:$M,$P$2&amp;if($K50="S1","a",if($K50="S2","b","")),Students!$A:$A,AQ$2)+countifs(Students!$N:$N,$P50,Students!$O:$O,$P$2&amp;if($K50="S1","a",if($K50="S2","b","")),Students!$A:$A,AQ$2)+countifs(Students!$P:$P,$P50,Students!$Q:$Q,$P$2&amp;if($K50="S1","a",if($K50="S2","b","")),Students!$A:$A,AQ$2)+countifs(Students!$R:$R,$P50,Students!$S:$S,$P$2&amp;if($K50="S1","a",if($K50="S2","b","")),Students!$A:$A,AQ$2)+countifs(Students!$T:$T,$P50,Students!$U:$U,$P$2&amp;if($K50="S1","a",if($K50="S2","b","")),Students!$A:$A,AQ$2)+countifs(Students!$V:$V,$P50,Students!$W:$W,$P$2&amp;if($K50="S1","a",if($K50="S2","b","")),Students!$A:$A,AQ$2)+
countifs(Students!$D:$D,$S50,Students!$E:$E,$S$2&amp;if($K50="S1","a",if($K50="S2","b","")),Students!$A:$A,AQ$2)+countifs(Students!$F:$F,$S50,Students!$G:$G,$S$2&amp;if($K50="S1","a",if($K50="S2","b","")),Students!$A:$A,AQ$2)+countifs(Students!$H:$H,$S50,Students!$I:$I,$S$2&amp;if($K50="S1","a",if($K50="S2","b","")),Students!$A:$A,AQ$2)+countifs(Students!$J:$J,$S50,Students!$K:$K,$S$2&amp;if($K50="S1","a",if($K50="S2","b","")),Students!$A:$A,AQ$2)+countifs(Students!$L:$L,$S50,Students!$M:$M,$S$2&amp;if($K50="S1","a",if($K50="S2","b","")),Students!$A:$A,AQ$2)+countifs(Students!$N:$N,$S50,Students!$O:$O,$S$2&amp;if($K50="S1","a",if($K50="S2","b","")),Students!$A:$A,AQ$2)+countifs(Students!$P:$P,$S50,Students!$Q:$Q,$S$2&amp;if($K50="S1","a",if($K50="S2","b","")),Students!$A:$A,AQ$2)+countifs(Students!$R:$R,$S50,Students!$S:$S,$S$2&amp;if($K50="S1","a",if($K50="S2","b","")),Students!$A:$A,AQ$2)+countifs(Students!$T:$T,$S50,Students!$U:$U,$S$2&amp;if($K50="S1","a",if($K50="S2","b","")),Students!$A:$A,AQ$2)+countifs(Students!$V:$V,$S50,Students!$W:$W,$S$2&amp;if($K50="S1","a",if($K50="S2","b","")),Students!$A:$A,AQ$2)+
countifs(Students!$D:$D,$V50,Students!$E:$E,$V$2&amp;if($K50="S1","a",if($K50="S2","b","")),Students!$A:$A,AQ$2)+countifs(Students!$F:$F,$V50,Students!$G:$G,$V$2&amp;if($K50="S1","a",if($K50="S2","b","")),Students!$A:$A,AQ$2)+countifs(Students!$H:$H,$V50,Students!$I:$I,$V$2&amp;if($K50="S1","a",if($K50="S2","b","")),Students!$A:$A,AQ$2)+countifs(Students!$J:$J,$V50,Students!$K:$K,$V$2&amp;if($K50="S1","a",if($K50="S2","b","")),Students!$A:$A,AQ$2)+countifs(Students!$L:$L,$V50,Students!$M:$M,$V$2&amp;if($K50="S1","a",if($K50="S2","b","")),Students!$A:$A,AQ$2)+countifs(Students!$N:$N,$V50,Students!$O:$O,$V$2&amp;if($K50="S1","a",if($K50="S2","b","")),Students!$A:$A,AQ$2)+countifs(Students!$P:$P,$V50,Students!$Q:$Q,$V$2&amp;if($K50="S1","a",if($K50="S2","b","")),Students!$A:$A,AQ$2)+countifs(Students!$R:$R,$V50,Students!$S:$S,$V$2&amp;if($K50="S1","a",if($K50="S2","b","")),Students!$A:$A,AQ$2)+countifs(Students!$T:$T,$V50,Students!$U:$U,$V$2&amp;if($K50="S1","a",if($K50="S2","b","")),Students!$A:$A,AQ$2)+countifs(Students!$V:$V,$V50,Students!$W:$W,$V$2&amp;if($K50="S1","a",if($K50="S2","b","")),Students!$A:$A,AQ$2)+
countifs(Students!$D:$D,$Y50,Students!$E:$E,$Y$2&amp;if($K50="S1","a",if($K50="S2","b","")),Students!$A:$A,AQ$2)+countifs(Students!$F:$F,$Y50,Students!$G:$G,$Y$2&amp;if($K50="S1","a",if($K50="S2","b","")),Students!$A:$A,AQ$2)+countifs(Students!$H:$H,$Y50,Students!$I:$I,$Y$2&amp;if($K50="S1","a",if($K50="S2","b","")),Students!$A:$A,AQ$2)+countifs(Students!$J:$J,$Y50,Students!$K:$K,$Y$2&amp;if($K50="S1","a",if($K50="S2","b","")),Students!$A:$A,AQ$2)+countifs(Students!$L:$L,$Y50,Students!$M:$M,$Y$2&amp;if($K50="S1","a",if($K50="S2","b","")),Students!$A:$A,AQ$2)+countifs(Students!$N:$N,$Y50,Students!$O:$O,$Y$2&amp;if($K50="S1","a",if($K50="S2","b","")),Students!$A:$A,AQ$2)+countifs(Students!$P:$P,$Y50,Students!$Q:$Q,$Y$2&amp;if($K50="S1","a",if($K50="S2","b","")),Students!$A:$A,AQ$2)+countifs(Students!$R:$R,$Y50,Students!$S:$S,$Y$2&amp;if($K50="S1","a",if($K50="S2","b","")),Students!$A:$A,AQ$2)+countifs(Students!$T:$T,$Y50,Students!$U:$U,$Y$2&amp;if($K50="S1","a",if($K50="S2","b","")),Students!$A:$A,AQ$2)+countifs(Students!$V:$V,$Y50,Students!$W:$W,$Y$2&amp;if($K50="S1","a",if($K50="S2","b","")),Students!$A:$A,AQ$2)+
countifs(Students!$D:$D,$AB50,Students!$E:$E,$AB$2&amp;if($K50="S1","a",if($K50="S2","b","")),Students!$A:$A,AQ$2)+countifs(Students!$F:$F,$AB50,Students!$G:$G,$AB$2&amp;if($K50="S1","a",if($K50="S2","b","")),Students!$A:$A,AQ$2)+countifs(Students!$H:$H,$AB50,Students!$I:$I,$AB$2&amp;if($K50="S1","a",if($K50="S2","b","")),Students!$A:$A,AQ$2)+countifs(Students!$J:$J,$AB50,Students!$K:$K,$AB$2&amp;if($K50="S1","a",if($K50="S2","b","")),Students!$A:$A,AQ$2)+countifs(Students!$L:$L,$AB50,Students!$M:$M,$AB$2&amp;if($K50="S1","a",if($K50="S2","b","")),Students!$A:$A,AQ$2)+countifs(Students!$N:$N,$AB50,Students!$O:$O,$AB$2&amp;if($K50="S1","a",if($K50="S2","b","")),Students!$A:$A,AQ$2)+countifs(Students!$P:$P,$AB50,Students!$Q:$Q,$AB$2&amp;if($K50="S1","a",if($K50="S2","b","")),Students!$A:$A,AQ$2)+countifs(Students!$R:$R,$AB50,Students!$S:$S,$AB$2&amp;if($K50="S1","a",if($K50="S2","b","")),Students!$A:$A,AQ$2)+countifs(Students!$T:$T,$AB50,Students!$U:$U,$AB$2&amp;if($K50="S1","a",if($K50="S2","b","")),Students!$A:$A,AQ$2)+countifs(Students!$V:$V,$AB50,Students!$W:$W,$AB$2&amp;if($K50="S1","a",if($K50="S2","b","")),Students!$A:$A,AQ$2)+
countifs(Students!$D:$D,$AE50,Students!$E:$E,$AE$2&amp;if($K50="S1","a",if($K50="S2","b","")),Students!$A:$A,AQ$2)+countifs(Students!$F:$F,$AE50,Students!$G:$G,$AE$2&amp;if($K50="S1","a",if($K50="S2","b","")),Students!$A:$A,AQ$2)+countifs(Students!$H:$H,$AE50,Students!$I:$I,$AE$2&amp;if($K50="S1","a",if($K50="S2","b","")),Students!$A:$A,AQ$2)+countifs(Students!$J:$J,$AE50,Students!$K:$K,$AE$2&amp;if($K50="S1","a",if($K50="S2","b","")),Students!$A:$A,AQ$2)+countifs(Students!$L:$L,$AE50,Students!$M:$M,$AE$2&amp;if($K50="S1","a",if($K50="S2","b","")),Students!$A:$A,AQ$2)+countifs(Students!$N:$N,$AE50,Students!$O:$O,$AE$2&amp;if($K50="S1","a",if($K50="S2","b","")),Students!$A:$A,AQ$2)+countifs(Students!$P:$P,$AE50,Students!$Q:$Q,$AE$2&amp;if($K50="S1","a",if($K50="S2","b","")),Students!$A:$A,AQ$2)+countifs(Students!$R:$R,$AE50,Students!$S:$S,$AE$2&amp;if($K50="S1","a",if($K50="S2","b","")),Students!$A:$A,AQ$2)+countifs(Students!$T:$T,$AE50,Students!$U:$U,$AE$2&amp;if($K50="S1","a",if($K50="S2","b","")),Students!$A:$A,AQ$2)+countifs(Students!$V:$V,$AE50,Students!$W:$W,$AE$2&amp;if($K50="S1","a",if($K50="S2","b","")),Students!$A:$A,AQ$2)+
countifs(Students!$D:$D,$AH50,Students!$E:$E,$AH$2&amp;if($K50="S1","a",if($K50="S2","b","")),Students!$A:$A,AQ$2)+countifs(Students!$F:$F,$AH50,Students!$G:$G,$AH$2&amp;if($K50="S1","a",if($K50="S2","b","")),Students!$A:$A,AQ$2)+countifs(Students!$H:$H,$AH50,Students!$I:$I,$AH$2&amp;if($K50="S1","a",if($K50="S2","b","")),Students!$A:$A,AQ$2)+countifs(Students!$J:$J,$AH50,Students!$K:$K,$AH$2&amp;if($K50="S1","a",if($K50="S2","b","")),Students!$A:$A,AQ$2)+countifs(Students!$L:$L,$AH50,Students!$M:$M,$AH$2&amp;if($K50="S1","a",if($K50="S2","b","")),Students!$A:$A,AQ$2)+countifs(Students!$N:$N,$AH50,Students!$O:$O,$AH$2&amp;if($K50="S1","a",if($K50="S2","b","")),Students!$A:$A,AQ$2)+countifs(Students!$P:$P,$AH50,Students!$Q:$Q,$AH$2&amp;if($K50="S1","a",if($K50="S2","b","")),Students!$A:$A,AQ$2)+countifs(Students!$R:$R,$AH50,Students!$S:$S,$AH$2&amp;if($K50="S1","a",if($K50="S2","b","")),Students!$A:$A,AQ$2)+countifs(Students!$T:$T,$AH50,Students!$U:$U,$AH$2&amp;if($K50="S1","a",if($K50="S2","b","")),Students!$A:$A,AQ$2)+countifs(Students!$V:$V,$AH50,Students!$W:$W,$AH$2&amp;if($K50="S1","a",if($K50="S2","b","")),Students!$A:$A,AQ$2)+
countifs(Students!$D:$D,$AK50,Students!$E:$E,$AK$2&amp;if($K50="S1","a",if($K50="S2","b","")),Students!$A:$A,AQ$2)+countifs(Students!$F:$F,$AK50,Students!$G:$G,$AK$2&amp;if($K50="S1","a",if($K50="S2","b","")),Students!$A:$A,AQ$2)+countifs(Students!$H:$H,$AK50,Students!$I:$I,$AK$2&amp;if($K50="S1","a",if($K50="S2","b","")),Students!$A:$A,AQ$2)+countifs(Students!$J:$J,$AK50,Students!$K:$K,$AK$2&amp;if($K50="S1","a",if($K50="S2","b","")),Students!$A:$A,AQ$2)+countifs(Students!$L:$L,$AK50,Students!$M:$M,$AK$2&amp;if($K50="S1","a",if($K50="S2","b","")),Students!$A:$A,AQ$2)+countifs(Students!$N:$N,$AK50,Students!$O:$O,$AK$2&amp;if($K50="S1","a",if($K50="S2","b","")),Students!$A:$A,AQ$2)+countifs(Students!$P:$P,$AK50,Students!$Q:$Q,$AK$2&amp;if($K50="S1","a",if($K50="S2","b","")),Students!$A:$A,AQ$2)+countifs(Students!$R:$R,$AK50,Students!$S:$S,$AK$2&amp;if($K50="S1","a",if($K50="S2","b","")),Students!$A:$A,AQ$2)+countifs(Students!$T:$T,$AK50,Students!$U:$U,$AK$2&amp;if($K50="S1","a",if($K50="S2","b","")),Students!$A:$A,AQ$2)+countifs(Students!$V:$V,$AK50,Students!$W:$W,$AK$2&amp;if($K50="S1","a",if($K50="S2","b","")),Students!$A:$A,AQ$2))</f>
        <v/>
      </c>
      <c r="AR50" s="102" t="str">
        <f>if($L50="","",countifs(Students!$D:$D,$P50,Students!$E:$E,$P$2&amp;if($K50="S1","a",if($K50="S2","b","")),Students!$A:$A,AR$2)+countifs(Students!$F:$F,$P50,Students!$G:$G,$P$2&amp;if($K50="S1","a",if($K50="S2","b","")),Students!$A:$A,AR$2)+countifs(Students!$H:$H,$P50,Students!$I:$I,$P$2&amp;if($K50="S1","a",if($K50="S2","b","")),Students!$A:$A,AR$2)+countifs(Students!$J:$J,$P50,Students!$K:$K,$P$2&amp;if($K50="S1","a",if($K50="S2","b","")),Students!$A:$A,AR$2)+countifs(Students!$L:$L,$P50,Students!$M:$M,$P$2&amp;if($K50="S1","a",if($K50="S2","b","")),Students!$A:$A,AR$2)+countifs(Students!$N:$N,$P50,Students!$O:$O,$P$2&amp;if($K50="S1","a",if($K50="S2","b","")),Students!$A:$A,AR$2)+countifs(Students!$P:$P,$P50,Students!$Q:$Q,$P$2&amp;if($K50="S1","a",if($K50="S2","b","")),Students!$A:$A,AR$2)+countifs(Students!$R:$R,$P50,Students!$S:$S,$P$2&amp;if($K50="S1","a",if($K50="S2","b","")),Students!$A:$A,AR$2)+countifs(Students!$T:$T,$P50,Students!$U:$U,$P$2&amp;if($K50="S1","a",if($K50="S2","b","")),Students!$A:$A,AR$2)+countifs(Students!$V:$V,$P50,Students!$W:$W,$P$2&amp;if($K50="S1","a",if($K50="S2","b","")),Students!$A:$A,AR$2)+
countifs(Students!$D:$D,$S50,Students!$E:$E,$S$2&amp;if($K50="S1","a",if($K50="S2","b","")),Students!$A:$A,AR$2)+countifs(Students!$F:$F,$S50,Students!$G:$G,$S$2&amp;if($K50="S1","a",if($K50="S2","b","")),Students!$A:$A,AR$2)+countifs(Students!$H:$H,$S50,Students!$I:$I,$S$2&amp;if($K50="S1","a",if($K50="S2","b","")),Students!$A:$A,AR$2)+countifs(Students!$J:$J,$S50,Students!$K:$K,$S$2&amp;if($K50="S1","a",if($K50="S2","b","")),Students!$A:$A,AR$2)+countifs(Students!$L:$L,$S50,Students!$M:$M,$S$2&amp;if($K50="S1","a",if($K50="S2","b","")),Students!$A:$A,AR$2)+countifs(Students!$N:$N,$S50,Students!$O:$O,$S$2&amp;if($K50="S1","a",if($K50="S2","b","")),Students!$A:$A,AR$2)+countifs(Students!$P:$P,$S50,Students!$Q:$Q,$S$2&amp;if($K50="S1","a",if($K50="S2","b","")),Students!$A:$A,AR$2)+countifs(Students!$R:$R,$S50,Students!$S:$S,$S$2&amp;if($K50="S1","a",if($K50="S2","b","")),Students!$A:$A,AR$2)+countifs(Students!$T:$T,$S50,Students!$U:$U,$S$2&amp;if($K50="S1","a",if($K50="S2","b","")),Students!$A:$A,AR$2)+countifs(Students!$V:$V,$S50,Students!$W:$W,$S$2&amp;if($K50="S1","a",if($K50="S2","b","")),Students!$A:$A,AR$2)+
countifs(Students!$D:$D,$V50,Students!$E:$E,$V$2&amp;if($K50="S1","a",if($K50="S2","b","")),Students!$A:$A,AR$2)+countifs(Students!$F:$F,$V50,Students!$G:$G,$V$2&amp;if($K50="S1","a",if($K50="S2","b","")),Students!$A:$A,AR$2)+countifs(Students!$H:$H,$V50,Students!$I:$I,$V$2&amp;if($K50="S1","a",if($K50="S2","b","")),Students!$A:$A,AR$2)+countifs(Students!$J:$J,$V50,Students!$K:$K,$V$2&amp;if($K50="S1","a",if($K50="S2","b","")),Students!$A:$A,AR$2)+countifs(Students!$L:$L,$V50,Students!$M:$M,$V$2&amp;if($K50="S1","a",if($K50="S2","b","")),Students!$A:$A,AR$2)+countifs(Students!$N:$N,$V50,Students!$O:$O,$V$2&amp;if($K50="S1","a",if($K50="S2","b","")),Students!$A:$A,AR$2)+countifs(Students!$P:$P,$V50,Students!$Q:$Q,$V$2&amp;if($K50="S1","a",if($K50="S2","b","")),Students!$A:$A,AR$2)+countifs(Students!$R:$R,$V50,Students!$S:$S,$V$2&amp;if($K50="S1","a",if($K50="S2","b","")),Students!$A:$A,AR$2)+countifs(Students!$T:$T,$V50,Students!$U:$U,$V$2&amp;if($K50="S1","a",if($K50="S2","b","")),Students!$A:$A,AR$2)+countifs(Students!$V:$V,$V50,Students!$W:$W,$V$2&amp;if($K50="S1","a",if($K50="S2","b","")),Students!$A:$A,AR$2)+
countifs(Students!$D:$D,$Y50,Students!$E:$E,$Y$2&amp;if($K50="S1","a",if($K50="S2","b","")),Students!$A:$A,AR$2)+countifs(Students!$F:$F,$Y50,Students!$G:$G,$Y$2&amp;if($K50="S1","a",if($K50="S2","b","")),Students!$A:$A,AR$2)+countifs(Students!$H:$H,$Y50,Students!$I:$I,$Y$2&amp;if($K50="S1","a",if($K50="S2","b","")),Students!$A:$A,AR$2)+countifs(Students!$J:$J,$Y50,Students!$K:$K,$Y$2&amp;if($K50="S1","a",if($K50="S2","b","")),Students!$A:$A,AR$2)+countifs(Students!$L:$L,$Y50,Students!$M:$M,$Y$2&amp;if($K50="S1","a",if($K50="S2","b","")),Students!$A:$A,AR$2)+countifs(Students!$N:$N,$Y50,Students!$O:$O,$Y$2&amp;if($K50="S1","a",if($K50="S2","b","")),Students!$A:$A,AR$2)+countifs(Students!$P:$P,$Y50,Students!$Q:$Q,$Y$2&amp;if($K50="S1","a",if($K50="S2","b","")),Students!$A:$A,AR$2)+countifs(Students!$R:$R,$Y50,Students!$S:$S,$Y$2&amp;if($K50="S1","a",if($K50="S2","b","")),Students!$A:$A,AR$2)+countifs(Students!$T:$T,$Y50,Students!$U:$U,$Y$2&amp;if($K50="S1","a",if($K50="S2","b","")),Students!$A:$A,AR$2)+countifs(Students!$V:$V,$Y50,Students!$W:$W,$Y$2&amp;if($K50="S1","a",if($K50="S2","b","")),Students!$A:$A,AR$2)+
countifs(Students!$D:$D,$AB50,Students!$E:$E,$AB$2&amp;if($K50="S1","a",if($K50="S2","b","")),Students!$A:$A,AR$2)+countifs(Students!$F:$F,$AB50,Students!$G:$G,$AB$2&amp;if($K50="S1","a",if($K50="S2","b","")),Students!$A:$A,AR$2)+countifs(Students!$H:$H,$AB50,Students!$I:$I,$AB$2&amp;if($K50="S1","a",if($K50="S2","b","")),Students!$A:$A,AR$2)+countifs(Students!$J:$J,$AB50,Students!$K:$K,$AB$2&amp;if($K50="S1","a",if($K50="S2","b","")),Students!$A:$A,AR$2)+countifs(Students!$L:$L,$AB50,Students!$M:$M,$AB$2&amp;if($K50="S1","a",if($K50="S2","b","")),Students!$A:$A,AR$2)+countifs(Students!$N:$N,$AB50,Students!$O:$O,$AB$2&amp;if($K50="S1","a",if($K50="S2","b","")),Students!$A:$A,AR$2)+countifs(Students!$P:$P,$AB50,Students!$Q:$Q,$AB$2&amp;if($K50="S1","a",if($K50="S2","b","")),Students!$A:$A,AR$2)+countifs(Students!$R:$R,$AB50,Students!$S:$S,$AB$2&amp;if($K50="S1","a",if($K50="S2","b","")),Students!$A:$A,AR$2)+countifs(Students!$T:$T,$AB50,Students!$U:$U,$AB$2&amp;if($K50="S1","a",if($K50="S2","b","")),Students!$A:$A,AR$2)+countifs(Students!$V:$V,$AB50,Students!$W:$W,$AB$2&amp;if($K50="S1","a",if($K50="S2","b","")),Students!$A:$A,AR$2)+
countifs(Students!$D:$D,$AE50,Students!$E:$E,$AE$2&amp;if($K50="S1","a",if($K50="S2","b","")),Students!$A:$A,AR$2)+countifs(Students!$F:$F,$AE50,Students!$G:$G,$AE$2&amp;if($K50="S1","a",if($K50="S2","b","")),Students!$A:$A,AR$2)+countifs(Students!$H:$H,$AE50,Students!$I:$I,$AE$2&amp;if($K50="S1","a",if($K50="S2","b","")),Students!$A:$A,AR$2)+countifs(Students!$J:$J,$AE50,Students!$K:$K,$AE$2&amp;if($K50="S1","a",if($K50="S2","b","")),Students!$A:$A,AR$2)+countifs(Students!$L:$L,$AE50,Students!$M:$M,$AE$2&amp;if($K50="S1","a",if($K50="S2","b","")),Students!$A:$A,AR$2)+countifs(Students!$N:$N,$AE50,Students!$O:$O,$AE$2&amp;if($K50="S1","a",if($K50="S2","b","")),Students!$A:$A,AR$2)+countifs(Students!$P:$P,$AE50,Students!$Q:$Q,$AE$2&amp;if($K50="S1","a",if($K50="S2","b","")),Students!$A:$A,AR$2)+countifs(Students!$R:$R,$AE50,Students!$S:$S,$AE$2&amp;if($K50="S1","a",if($K50="S2","b","")),Students!$A:$A,AR$2)+countifs(Students!$T:$T,$AE50,Students!$U:$U,$AE$2&amp;if($K50="S1","a",if($K50="S2","b","")),Students!$A:$A,AR$2)+countifs(Students!$V:$V,$AE50,Students!$W:$W,$AE$2&amp;if($K50="S1","a",if($K50="S2","b","")),Students!$A:$A,AR$2)+
countifs(Students!$D:$D,$AH50,Students!$E:$E,$AH$2&amp;if($K50="S1","a",if($K50="S2","b","")),Students!$A:$A,AR$2)+countifs(Students!$F:$F,$AH50,Students!$G:$G,$AH$2&amp;if($K50="S1","a",if($K50="S2","b","")),Students!$A:$A,AR$2)+countifs(Students!$H:$H,$AH50,Students!$I:$I,$AH$2&amp;if($K50="S1","a",if($K50="S2","b","")),Students!$A:$A,AR$2)+countifs(Students!$J:$J,$AH50,Students!$K:$K,$AH$2&amp;if($K50="S1","a",if($K50="S2","b","")),Students!$A:$A,AR$2)+countifs(Students!$L:$L,$AH50,Students!$M:$M,$AH$2&amp;if($K50="S1","a",if($K50="S2","b","")),Students!$A:$A,AR$2)+countifs(Students!$N:$N,$AH50,Students!$O:$O,$AH$2&amp;if($K50="S1","a",if($K50="S2","b","")),Students!$A:$A,AR$2)+countifs(Students!$P:$P,$AH50,Students!$Q:$Q,$AH$2&amp;if($K50="S1","a",if($K50="S2","b","")),Students!$A:$A,AR$2)+countifs(Students!$R:$R,$AH50,Students!$S:$S,$AH$2&amp;if($K50="S1","a",if($K50="S2","b","")),Students!$A:$A,AR$2)+countifs(Students!$T:$T,$AH50,Students!$U:$U,$AH$2&amp;if($K50="S1","a",if($K50="S2","b","")),Students!$A:$A,AR$2)+countifs(Students!$V:$V,$AH50,Students!$W:$W,$AH$2&amp;if($K50="S1","a",if($K50="S2","b","")),Students!$A:$A,AR$2)+
countifs(Students!$D:$D,$AK50,Students!$E:$E,$AK$2&amp;if($K50="S1","a",if($K50="S2","b","")),Students!$A:$A,AR$2)+countifs(Students!$F:$F,$AK50,Students!$G:$G,$AK$2&amp;if($K50="S1","a",if($K50="S2","b","")),Students!$A:$A,AR$2)+countifs(Students!$H:$H,$AK50,Students!$I:$I,$AK$2&amp;if($K50="S1","a",if($K50="S2","b","")),Students!$A:$A,AR$2)+countifs(Students!$J:$J,$AK50,Students!$K:$K,$AK$2&amp;if($K50="S1","a",if($K50="S2","b","")),Students!$A:$A,AR$2)+countifs(Students!$L:$L,$AK50,Students!$M:$M,$AK$2&amp;if($K50="S1","a",if($K50="S2","b","")),Students!$A:$A,AR$2)+countifs(Students!$N:$N,$AK50,Students!$O:$O,$AK$2&amp;if($K50="S1","a",if($K50="S2","b","")),Students!$A:$A,AR$2)+countifs(Students!$P:$P,$AK50,Students!$Q:$Q,$AK$2&amp;if($K50="S1","a",if($K50="S2","b","")),Students!$A:$A,AR$2)+countifs(Students!$R:$R,$AK50,Students!$S:$S,$AK$2&amp;if($K50="S1","a",if($K50="S2","b","")),Students!$A:$A,AR$2)+countifs(Students!$T:$T,$AK50,Students!$U:$U,$AK$2&amp;if($K50="S1","a",if($K50="S2","b","")),Students!$A:$A,AR$2)+countifs(Students!$V:$V,$AK50,Students!$W:$W,$AK$2&amp;if($K50="S1","a",if($K50="S2","b","")),Students!$A:$A,AR$2))</f>
        <v/>
      </c>
      <c r="AS50" s="102" t="str">
        <f>if($L50="","",countifs(Students!$D:$D,$P50,Students!$E:$E,$P$2&amp;if($K50="S1","a",if($K50="S2","b","")),Students!$A:$A,AS$2)+countifs(Students!$F:$F,$P50,Students!$G:$G,$P$2&amp;if($K50="S1","a",if($K50="S2","b","")),Students!$A:$A,AS$2)+countifs(Students!$H:$H,$P50,Students!$I:$I,$P$2&amp;if($K50="S1","a",if($K50="S2","b","")),Students!$A:$A,AS$2)+countifs(Students!$J:$J,$P50,Students!$K:$K,$P$2&amp;if($K50="S1","a",if($K50="S2","b","")),Students!$A:$A,AS$2)+countifs(Students!$L:$L,$P50,Students!$M:$M,$P$2&amp;if($K50="S1","a",if($K50="S2","b","")),Students!$A:$A,AS$2)+countifs(Students!$N:$N,$P50,Students!$O:$O,$P$2&amp;if($K50="S1","a",if($K50="S2","b","")),Students!$A:$A,AS$2)+countifs(Students!$P:$P,$P50,Students!$Q:$Q,$P$2&amp;if($K50="S1","a",if($K50="S2","b","")),Students!$A:$A,AS$2)+countifs(Students!$R:$R,$P50,Students!$S:$S,$P$2&amp;if($K50="S1","a",if($K50="S2","b","")),Students!$A:$A,AS$2)+countifs(Students!$T:$T,$P50,Students!$U:$U,$P$2&amp;if($K50="S1","a",if($K50="S2","b","")),Students!$A:$A,AS$2)+countifs(Students!$V:$V,$P50,Students!$W:$W,$P$2&amp;if($K50="S1","a",if($K50="S2","b","")),Students!$A:$A,AS$2)+
countifs(Students!$D:$D,$S50,Students!$E:$E,$S$2&amp;if($K50="S1","a",if($K50="S2","b","")),Students!$A:$A,AS$2)+countifs(Students!$F:$F,$S50,Students!$G:$G,$S$2&amp;if($K50="S1","a",if($K50="S2","b","")),Students!$A:$A,AS$2)+countifs(Students!$H:$H,$S50,Students!$I:$I,$S$2&amp;if($K50="S1","a",if($K50="S2","b","")),Students!$A:$A,AS$2)+countifs(Students!$J:$J,$S50,Students!$K:$K,$S$2&amp;if($K50="S1","a",if($K50="S2","b","")),Students!$A:$A,AS$2)+countifs(Students!$L:$L,$S50,Students!$M:$M,$S$2&amp;if($K50="S1","a",if($K50="S2","b","")),Students!$A:$A,AS$2)+countifs(Students!$N:$N,$S50,Students!$O:$O,$S$2&amp;if($K50="S1","a",if($K50="S2","b","")),Students!$A:$A,AS$2)+countifs(Students!$P:$P,$S50,Students!$Q:$Q,$S$2&amp;if($K50="S1","a",if($K50="S2","b","")),Students!$A:$A,AS$2)+countifs(Students!$R:$R,$S50,Students!$S:$S,$S$2&amp;if($K50="S1","a",if($K50="S2","b","")),Students!$A:$A,AS$2)+countifs(Students!$T:$T,$S50,Students!$U:$U,$S$2&amp;if($K50="S1","a",if($K50="S2","b","")),Students!$A:$A,AS$2)+countifs(Students!$V:$V,$S50,Students!$W:$W,$S$2&amp;if($K50="S1","a",if($K50="S2","b","")),Students!$A:$A,AS$2)+
countifs(Students!$D:$D,$V50,Students!$E:$E,$V$2&amp;if($K50="S1","a",if($K50="S2","b","")),Students!$A:$A,AS$2)+countifs(Students!$F:$F,$V50,Students!$G:$G,$V$2&amp;if($K50="S1","a",if($K50="S2","b","")),Students!$A:$A,AS$2)+countifs(Students!$H:$H,$V50,Students!$I:$I,$V$2&amp;if($K50="S1","a",if($K50="S2","b","")),Students!$A:$A,AS$2)+countifs(Students!$J:$J,$V50,Students!$K:$K,$V$2&amp;if($K50="S1","a",if($K50="S2","b","")),Students!$A:$A,AS$2)+countifs(Students!$L:$L,$V50,Students!$M:$M,$V$2&amp;if($K50="S1","a",if($K50="S2","b","")),Students!$A:$A,AS$2)+countifs(Students!$N:$N,$V50,Students!$O:$O,$V$2&amp;if($K50="S1","a",if($K50="S2","b","")),Students!$A:$A,AS$2)+countifs(Students!$P:$P,$V50,Students!$Q:$Q,$V$2&amp;if($K50="S1","a",if($K50="S2","b","")),Students!$A:$A,AS$2)+countifs(Students!$R:$R,$V50,Students!$S:$S,$V$2&amp;if($K50="S1","a",if($K50="S2","b","")),Students!$A:$A,AS$2)+countifs(Students!$T:$T,$V50,Students!$U:$U,$V$2&amp;if($K50="S1","a",if($K50="S2","b","")),Students!$A:$A,AS$2)+countifs(Students!$V:$V,$V50,Students!$W:$W,$V$2&amp;if($K50="S1","a",if($K50="S2","b","")),Students!$A:$A,AS$2)+
countifs(Students!$D:$D,$Y50,Students!$E:$E,$Y$2&amp;if($K50="S1","a",if($K50="S2","b","")),Students!$A:$A,AS$2)+countifs(Students!$F:$F,$Y50,Students!$G:$G,$Y$2&amp;if($K50="S1","a",if($K50="S2","b","")),Students!$A:$A,AS$2)+countifs(Students!$H:$H,$Y50,Students!$I:$I,$Y$2&amp;if($K50="S1","a",if($K50="S2","b","")),Students!$A:$A,AS$2)+countifs(Students!$J:$J,$Y50,Students!$K:$K,$Y$2&amp;if($K50="S1","a",if($K50="S2","b","")),Students!$A:$A,AS$2)+countifs(Students!$L:$L,$Y50,Students!$M:$M,$Y$2&amp;if($K50="S1","a",if($K50="S2","b","")),Students!$A:$A,AS$2)+countifs(Students!$N:$N,$Y50,Students!$O:$O,$Y$2&amp;if($K50="S1","a",if($K50="S2","b","")),Students!$A:$A,AS$2)+countifs(Students!$P:$P,$Y50,Students!$Q:$Q,$Y$2&amp;if($K50="S1","a",if($K50="S2","b","")),Students!$A:$A,AS$2)+countifs(Students!$R:$R,$Y50,Students!$S:$S,$Y$2&amp;if($K50="S1","a",if($K50="S2","b","")),Students!$A:$A,AS$2)+countifs(Students!$T:$T,$Y50,Students!$U:$U,$Y$2&amp;if($K50="S1","a",if($K50="S2","b","")),Students!$A:$A,AS$2)+countifs(Students!$V:$V,$Y50,Students!$W:$W,$Y$2&amp;if($K50="S1","a",if($K50="S2","b","")),Students!$A:$A,AS$2)+
countifs(Students!$D:$D,$AB50,Students!$E:$E,$AB$2&amp;if($K50="S1","a",if($K50="S2","b","")),Students!$A:$A,AS$2)+countifs(Students!$F:$F,$AB50,Students!$G:$G,$AB$2&amp;if($K50="S1","a",if($K50="S2","b","")),Students!$A:$A,AS$2)+countifs(Students!$H:$H,$AB50,Students!$I:$I,$AB$2&amp;if($K50="S1","a",if($K50="S2","b","")),Students!$A:$A,AS$2)+countifs(Students!$J:$J,$AB50,Students!$K:$K,$AB$2&amp;if($K50="S1","a",if($K50="S2","b","")),Students!$A:$A,AS$2)+countifs(Students!$L:$L,$AB50,Students!$M:$M,$AB$2&amp;if($K50="S1","a",if($K50="S2","b","")),Students!$A:$A,AS$2)+countifs(Students!$N:$N,$AB50,Students!$O:$O,$AB$2&amp;if($K50="S1","a",if($K50="S2","b","")),Students!$A:$A,AS$2)+countifs(Students!$P:$P,$AB50,Students!$Q:$Q,$AB$2&amp;if($K50="S1","a",if($K50="S2","b","")),Students!$A:$A,AS$2)+countifs(Students!$R:$R,$AB50,Students!$S:$S,$AB$2&amp;if($K50="S1","a",if($K50="S2","b","")),Students!$A:$A,AS$2)+countifs(Students!$T:$T,$AB50,Students!$U:$U,$AB$2&amp;if($K50="S1","a",if($K50="S2","b","")),Students!$A:$A,AS$2)+countifs(Students!$V:$V,$AB50,Students!$W:$W,$AB$2&amp;if($K50="S1","a",if($K50="S2","b","")),Students!$A:$A,AS$2)+
countifs(Students!$D:$D,$AE50,Students!$E:$E,$AE$2&amp;if($K50="S1","a",if($K50="S2","b","")),Students!$A:$A,AS$2)+countifs(Students!$F:$F,$AE50,Students!$G:$G,$AE$2&amp;if($K50="S1","a",if($K50="S2","b","")),Students!$A:$A,AS$2)+countifs(Students!$H:$H,$AE50,Students!$I:$I,$AE$2&amp;if($K50="S1","a",if($K50="S2","b","")),Students!$A:$A,AS$2)+countifs(Students!$J:$J,$AE50,Students!$K:$K,$AE$2&amp;if($K50="S1","a",if($K50="S2","b","")),Students!$A:$A,AS$2)+countifs(Students!$L:$L,$AE50,Students!$M:$M,$AE$2&amp;if($K50="S1","a",if($K50="S2","b","")),Students!$A:$A,AS$2)+countifs(Students!$N:$N,$AE50,Students!$O:$O,$AE$2&amp;if($K50="S1","a",if($K50="S2","b","")),Students!$A:$A,AS$2)+countifs(Students!$P:$P,$AE50,Students!$Q:$Q,$AE$2&amp;if($K50="S1","a",if($K50="S2","b","")),Students!$A:$A,AS$2)+countifs(Students!$R:$R,$AE50,Students!$S:$S,$AE$2&amp;if($K50="S1","a",if($K50="S2","b","")),Students!$A:$A,AS$2)+countifs(Students!$T:$T,$AE50,Students!$U:$U,$AE$2&amp;if($K50="S1","a",if($K50="S2","b","")),Students!$A:$A,AS$2)+countifs(Students!$V:$V,$AE50,Students!$W:$W,$AE$2&amp;if($K50="S1","a",if($K50="S2","b","")),Students!$A:$A,AS$2)+
countifs(Students!$D:$D,$AH50,Students!$E:$E,$AH$2&amp;if($K50="S1","a",if($K50="S2","b","")),Students!$A:$A,AS$2)+countifs(Students!$F:$F,$AH50,Students!$G:$G,$AH$2&amp;if($K50="S1","a",if($K50="S2","b","")),Students!$A:$A,AS$2)+countifs(Students!$H:$H,$AH50,Students!$I:$I,$AH$2&amp;if($K50="S1","a",if($K50="S2","b","")),Students!$A:$A,AS$2)+countifs(Students!$J:$J,$AH50,Students!$K:$K,$AH$2&amp;if($K50="S1","a",if($K50="S2","b","")),Students!$A:$A,AS$2)+countifs(Students!$L:$L,$AH50,Students!$M:$M,$AH$2&amp;if($K50="S1","a",if($K50="S2","b","")),Students!$A:$A,AS$2)+countifs(Students!$N:$N,$AH50,Students!$O:$O,$AH$2&amp;if($K50="S1","a",if($K50="S2","b","")),Students!$A:$A,AS$2)+countifs(Students!$P:$P,$AH50,Students!$Q:$Q,$AH$2&amp;if($K50="S1","a",if($K50="S2","b","")),Students!$A:$A,AS$2)+countifs(Students!$R:$R,$AH50,Students!$S:$S,$AH$2&amp;if($K50="S1","a",if($K50="S2","b","")),Students!$A:$A,AS$2)+countifs(Students!$T:$T,$AH50,Students!$U:$U,$AH$2&amp;if($K50="S1","a",if($K50="S2","b","")),Students!$A:$A,AS$2)+countifs(Students!$V:$V,$AH50,Students!$W:$W,$AH$2&amp;if($K50="S1","a",if($K50="S2","b","")),Students!$A:$A,AS$2)+
countifs(Students!$D:$D,$AK50,Students!$E:$E,$AK$2&amp;if($K50="S1","a",if($K50="S2","b","")),Students!$A:$A,AS$2)+countifs(Students!$F:$F,$AK50,Students!$G:$G,$AK$2&amp;if($K50="S1","a",if($K50="S2","b","")),Students!$A:$A,AS$2)+countifs(Students!$H:$H,$AK50,Students!$I:$I,$AK$2&amp;if($K50="S1","a",if($K50="S2","b","")),Students!$A:$A,AS$2)+countifs(Students!$J:$J,$AK50,Students!$K:$K,$AK$2&amp;if($K50="S1","a",if($K50="S2","b","")),Students!$A:$A,AS$2)+countifs(Students!$L:$L,$AK50,Students!$M:$M,$AK$2&amp;if($K50="S1","a",if($K50="S2","b","")),Students!$A:$A,AS$2)+countifs(Students!$N:$N,$AK50,Students!$O:$O,$AK$2&amp;if($K50="S1","a",if($K50="S2","b","")),Students!$A:$A,AS$2)+countifs(Students!$P:$P,$AK50,Students!$Q:$Q,$AK$2&amp;if($K50="S1","a",if($K50="S2","b","")),Students!$A:$A,AS$2)+countifs(Students!$R:$R,$AK50,Students!$S:$S,$AK$2&amp;if($K50="S1","a",if($K50="S2","b","")),Students!$A:$A,AS$2)+countifs(Students!$T:$T,$AK50,Students!$U:$U,$AK$2&amp;if($K50="S1","a",if($K50="S2","b","")),Students!$A:$A,AS$2)+countifs(Students!$V:$V,$AK50,Students!$W:$W,$AK$2&amp;if($K50="S1","a",if($K50="S2","b","")),Students!$A:$A,AS$2))</f>
        <v/>
      </c>
    </row>
    <row r="51">
      <c r="J51" s="87" t="s">
        <v>22</v>
      </c>
      <c r="K51" s="88"/>
      <c r="L51" s="58"/>
      <c r="M51" s="107"/>
      <c r="N51" s="87" t="s">
        <v>22</v>
      </c>
      <c r="O51" s="87">
        <f>IFERROR(__xludf.DUMMYFUNCTION("3*counta((transpose(filter(P51:AM51,P51:AM51&lt;&gt;"""",isnumber(P51:AM51)=false))))"),3.0)</f>
        <v>3</v>
      </c>
      <c r="P51" s="103"/>
      <c r="Q51" s="101"/>
      <c r="R51" s="98" t="s">
        <v>22</v>
      </c>
      <c r="S51" s="103"/>
      <c r="T51" s="101"/>
      <c r="U51" s="98" t="s">
        <v>22</v>
      </c>
      <c r="V51" s="101"/>
      <c r="W51" s="101"/>
      <c r="X51" s="98" t="s">
        <v>22</v>
      </c>
      <c r="Y51" s="90"/>
      <c r="Z51" s="91"/>
      <c r="AA51" s="92" t="s">
        <v>22</v>
      </c>
      <c r="AB51" s="91"/>
      <c r="AC51" s="91"/>
      <c r="AD51" s="92" t="s">
        <v>22</v>
      </c>
      <c r="AE51" s="103"/>
      <c r="AF51" s="101"/>
      <c r="AG51" s="98" t="s">
        <v>22</v>
      </c>
      <c r="AH51" s="101"/>
      <c r="AI51" s="97"/>
      <c r="AJ51" s="98" t="s">
        <v>22</v>
      </c>
      <c r="AK51" s="101"/>
      <c r="AL51" s="97"/>
      <c r="AM51" s="97" t="s">
        <v>22</v>
      </c>
      <c r="AN51" s="99"/>
      <c r="AO51" s="52" t="str">
        <f t="shared" si="2"/>
        <v/>
      </c>
      <c r="AP51" s="102" t="str">
        <f>if($L51="","",countifs(Students!$D:$D,$P51,Students!$E:$E,$P$2&amp;if($K51="S1","a",if($K51="S2","b","")),Students!$A:$A,AP$2)+countifs(Students!$F:$F,$P51,Students!$G:$G,$P$2&amp;if($K51="S1","a",if($K51="S2","b","")),Students!$A:$A,AP$2)+countifs(Students!$H:$H,$P51,Students!$I:$I,$P$2&amp;if($K51="S1","a",if($K51="S2","b","")),Students!$A:$A,AP$2)+countifs(Students!$J:$J,$P51,Students!$K:$K,$P$2&amp;if($K51="S1","a",if($K51="S2","b","")),Students!$A:$A,AP$2)+countifs(Students!$L:$L,$P51,Students!$M:$M,$P$2&amp;if($K51="S1","a",if($K51="S2","b","")),Students!$A:$A,AP$2)+countifs(Students!$N:$N,$P51,Students!$O:$O,$P$2&amp;if($K51="S1","a",if($K51="S2","b","")),Students!$A:$A,AP$2)+countifs(Students!$P:$P,$P51,Students!$Q:$Q,$P$2&amp;if($K51="S1","a",if($K51="S2","b","")),Students!$A:$A,AP$2)+countifs(Students!$R:$R,$P51,Students!$S:$S,$P$2&amp;if($K51="S1","a",if($K51="S2","b","")),Students!$A:$A,AP$2)+countifs(Students!$T:$T,$P51,Students!$U:$U,$P$2&amp;if($K51="S1","a",if($K51="S2","b","")),Students!$A:$A,AP$2)+countifs(Students!$V:$V,$P51,Students!$W:$W,$P$2&amp;if($K51="S1","a",if($K51="S2","b","")),Students!$A:$A,AP$2)+
countifs(Students!$D:$D,$S51,Students!$E:$E,$S$2&amp;if($K51="S1","a",if($K51="S2","b","")),Students!$A:$A,AP$2)+countifs(Students!$F:$F,$S51,Students!$G:$G,$S$2&amp;if($K51="S1","a",if($K51="S2","b","")),Students!$A:$A,AP$2)+countifs(Students!$H:$H,$S51,Students!$I:$I,$S$2&amp;if($K51="S1","a",if($K51="S2","b","")),Students!$A:$A,AP$2)+countifs(Students!$J:$J,$S51,Students!$K:$K,$S$2&amp;if($K51="S1","a",if($K51="S2","b","")),Students!$A:$A,AP$2)+countifs(Students!$L:$L,$S51,Students!$M:$M,$S$2&amp;if($K51="S1","a",if($K51="S2","b","")),Students!$A:$A,AP$2)+countifs(Students!$N:$N,$S51,Students!$O:$O,$S$2&amp;if($K51="S1","a",if($K51="S2","b","")),Students!$A:$A,AP$2)+countifs(Students!$P:$P,$S51,Students!$Q:$Q,$S$2&amp;if($K51="S1","a",if($K51="S2","b","")),Students!$A:$A,AP$2)+countifs(Students!$R:$R,$S51,Students!$S:$S,$S$2&amp;if($K51="S1","a",if($K51="S2","b","")),Students!$A:$A,AP$2)+countifs(Students!$T:$T,$S51,Students!$U:$U,$S$2&amp;if($K51="S1","a",if($K51="S2","b","")),Students!$A:$A,AP$2)+countifs(Students!$V:$V,$S51,Students!$W:$W,$S$2&amp;if($K51="S1","a",if($K51="S2","b","")),Students!$A:$A,AP$2)+
countifs(Students!$D:$D,$V51,Students!$E:$E,$V$2&amp;if($K51="S1","a",if($K51="S2","b","")),Students!$A:$A,AP$2)+countifs(Students!$F:$F,$V51,Students!$G:$G,$V$2&amp;if($K51="S1","a",if($K51="S2","b","")),Students!$A:$A,AP$2)+countifs(Students!$H:$H,$V51,Students!$I:$I,$V$2&amp;if($K51="S1","a",if($K51="S2","b","")),Students!$A:$A,AP$2)+countifs(Students!$J:$J,$V51,Students!$K:$K,$V$2&amp;if($K51="S1","a",if($K51="S2","b","")),Students!$A:$A,AP$2)+countifs(Students!$L:$L,$V51,Students!$M:$M,$V$2&amp;if($K51="S1","a",if($K51="S2","b","")),Students!$A:$A,AP$2)+countifs(Students!$N:$N,$V51,Students!$O:$O,$V$2&amp;if($K51="S1","a",if($K51="S2","b","")),Students!$A:$A,AP$2)+countifs(Students!$P:$P,$V51,Students!$Q:$Q,$V$2&amp;if($K51="S1","a",if($K51="S2","b","")),Students!$A:$A,AP$2)+countifs(Students!$R:$R,$V51,Students!$S:$S,$V$2&amp;if($K51="S1","a",if($K51="S2","b","")),Students!$A:$A,AP$2)+countifs(Students!$T:$T,$V51,Students!$U:$U,$V$2&amp;if($K51="S1","a",if($K51="S2","b","")),Students!$A:$A,AP$2)+countifs(Students!$V:$V,$V51,Students!$W:$W,$V$2&amp;if($K51="S1","a",if($K51="S2","b","")),Students!$A:$A,AP$2)+
countifs(Students!$D:$D,$Y51,Students!$E:$E,$Y$2&amp;if($K51="S1","a",if($K51="S2","b","")),Students!$A:$A,AP$2)+countifs(Students!$F:$F,$Y51,Students!$G:$G,$Y$2&amp;if($K51="S1","a",if($K51="S2","b","")),Students!$A:$A,AP$2)+countifs(Students!$H:$H,$Y51,Students!$I:$I,$Y$2&amp;if($K51="S1","a",if($K51="S2","b","")),Students!$A:$A,AP$2)+countifs(Students!$J:$J,$Y51,Students!$K:$K,$Y$2&amp;if($K51="S1","a",if($K51="S2","b","")),Students!$A:$A,AP$2)+countifs(Students!$L:$L,$Y51,Students!$M:$M,$Y$2&amp;if($K51="S1","a",if($K51="S2","b","")),Students!$A:$A,AP$2)+countifs(Students!$N:$N,$Y51,Students!$O:$O,$Y$2&amp;if($K51="S1","a",if($K51="S2","b","")),Students!$A:$A,AP$2)+countifs(Students!$P:$P,$Y51,Students!$Q:$Q,$Y$2&amp;if($K51="S1","a",if($K51="S2","b","")),Students!$A:$A,AP$2)+countifs(Students!$R:$R,$Y51,Students!$S:$S,$Y$2&amp;if($K51="S1","a",if($K51="S2","b","")),Students!$A:$A,AP$2)+countifs(Students!$T:$T,$Y51,Students!$U:$U,$Y$2&amp;if($K51="S1","a",if($K51="S2","b","")),Students!$A:$A,AP$2)+countifs(Students!$V:$V,$Y51,Students!$W:$W,$Y$2&amp;if($K51="S1","a",if($K51="S2","b","")),Students!$A:$A,AP$2)+
countifs(Students!$D:$D,$AB51,Students!$E:$E,$AB$2&amp;if($K51="S1","a",if($K51="S2","b","")),Students!$A:$A,AP$2)+countifs(Students!$F:$F,$AB51,Students!$G:$G,$AB$2&amp;if($K51="S1","a",if($K51="S2","b","")),Students!$A:$A,AP$2)+countifs(Students!$H:$H,$AB51,Students!$I:$I,$AB$2&amp;if($K51="S1","a",if($K51="S2","b","")),Students!$A:$A,AP$2)+countifs(Students!$J:$J,$AB51,Students!$K:$K,$AB$2&amp;if($K51="S1","a",if($K51="S2","b","")),Students!$A:$A,AP$2)+countifs(Students!$L:$L,$AB51,Students!$M:$M,$AB$2&amp;if($K51="S1","a",if($K51="S2","b","")),Students!$A:$A,AP$2)+countifs(Students!$N:$N,$AB51,Students!$O:$O,$AB$2&amp;if($K51="S1","a",if($K51="S2","b","")),Students!$A:$A,AP$2)+countifs(Students!$P:$P,$AB51,Students!$Q:$Q,$AB$2&amp;if($K51="S1","a",if($K51="S2","b","")),Students!$A:$A,AP$2)+countifs(Students!$R:$R,$AB51,Students!$S:$S,$AB$2&amp;if($K51="S1","a",if($K51="S2","b","")),Students!$A:$A,AP$2)+countifs(Students!$T:$T,$AB51,Students!$U:$U,$AB$2&amp;if($K51="S1","a",if($K51="S2","b","")),Students!$A:$A,AP$2)+countifs(Students!$V:$V,$AB51,Students!$W:$W,$AB$2&amp;if($K51="S1","a",if($K51="S2","b","")),Students!$A:$A,AP$2)+
countifs(Students!$D:$D,$AE51,Students!$E:$E,$AE$2&amp;if($K51="S1","a",if($K51="S2","b","")),Students!$A:$A,AP$2)+countifs(Students!$F:$F,$AE51,Students!$G:$G,$AE$2&amp;if($K51="S1","a",if($K51="S2","b","")),Students!$A:$A,AP$2)+countifs(Students!$H:$H,$AE51,Students!$I:$I,$AE$2&amp;if($K51="S1","a",if($K51="S2","b","")),Students!$A:$A,AP$2)+countifs(Students!$J:$J,$AE51,Students!$K:$K,$AE$2&amp;if($K51="S1","a",if($K51="S2","b","")),Students!$A:$A,AP$2)+countifs(Students!$L:$L,$AE51,Students!$M:$M,$AE$2&amp;if($K51="S1","a",if($K51="S2","b","")),Students!$A:$A,AP$2)+countifs(Students!$N:$N,$AE51,Students!$O:$O,$AE$2&amp;if($K51="S1","a",if($K51="S2","b","")),Students!$A:$A,AP$2)+countifs(Students!$P:$P,$AE51,Students!$Q:$Q,$AE$2&amp;if($K51="S1","a",if($K51="S2","b","")),Students!$A:$A,AP$2)+countifs(Students!$R:$R,$AE51,Students!$S:$S,$AE$2&amp;if($K51="S1","a",if($K51="S2","b","")),Students!$A:$A,AP$2)+countifs(Students!$T:$T,$AE51,Students!$U:$U,$AE$2&amp;if($K51="S1","a",if($K51="S2","b","")),Students!$A:$A,AP$2)+countifs(Students!$V:$V,$AE51,Students!$W:$W,$AE$2&amp;if($K51="S1","a",if($K51="S2","b","")),Students!$A:$A,AP$2)+
countifs(Students!$D:$D,$AH51,Students!$E:$E,$AH$2&amp;if($K51="S1","a",if($K51="S2","b","")),Students!$A:$A,AP$2)+countifs(Students!$F:$F,$AH51,Students!$G:$G,$AH$2&amp;if($K51="S1","a",if($K51="S2","b","")),Students!$A:$A,AP$2)+countifs(Students!$H:$H,$AH51,Students!$I:$I,$AH$2&amp;if($K51="S1","a",if($K51="S2","b","")),Students!$A:$A,AP$2)+countifs(Students!$J:$J,$AH51,Students!$K:$K,$AH$2&amp;if($K51="S1","a",if($K51="S2","b","")),Students!$A:$A,AP$2)+countifs(Students!$L:$L,$AH51,Students!$M:$M,$AH$2&amp;if($K51="S1","a",if($K51="S2","b","")),Students!$A:$A,AP$2)+countifs(Students!$N:$N,$AH51,Students!$O:$O,$AH$2&amp;if($K51="S1","a",if($K51="S2","b","")),Students!$A:$A,AP$2)+countifs(Students!$P:$P,$AH51,Students!$Q:$Q,$AH$2&amp;if($K51="S1","a",if($K51="S2","b","")),Students!$A:$A,AP$2)+countifs(Students!$R:$R,$AH51,Students!$S:$S,$AH$2&amp;if($K51="S1","a",if($K51="S2","b","")),Students!$A:$A,AP$2)+countifs(Students!$T:$T,$AH51,Students!$U:$U,$AH$2&amp;if($K51="S1","a",if($K51="S2","b","")),Students!$A:$A,AP$2)+countifs(Students!$V:$V,$AH51,Students!$W:$W,$AH$2&amp;if($K51="S1","a",if($K51="S2","b","")),Students!$A:$A,AP$2)+
countifs(Students!$D:$D,$AK51,Students!$E:$E,$AK$2&amp;if($K51="S1","a",if($K51="S2","b","")),Students!$A:$A,AP$2)+countifs(Students!$F:$F,$AK51,Students!$G:$G,$AK$2&amp;if($K51="S1","a",if($K51="S2","b","")),Students!$A:$A,AP$2)+countifs(Students!$H:$H,$AK51,Students!$I:$I,$AK$2&amp;if($K51="S1","a",if($K51="S2","b","")),Students!$A:$A,AP$2)+countifs(Students!$J:$J,$AK51,Students!$K:$K,$AK$2&amp;if($K51="S1","a",if($K51="S2","b","")),Students!$A:$A,AP$2)+countifs(Students!$L:$L,$AK51,Students!$M:$M,$AK$2&amp;if($K51="S1","a",if($K51="S2","b","")),Students!$A:$A,AP$2)+countifs(Students!$N:$N,$AK51,Students!$O:$O,$AK$2&amp;if($K51="S1","a",if($K51="S2","b","")),Students!$A:$A,AP$2)+countifs(Students!$P:$P,$AK51,Students!$Q:$Q,$AK$2&amp;if($K51="S1","a",if($K51="S2","b","")),Students!$A:$A,AP$2)+countifs(Students!$R:$R,$AK51,Students!$S:$S,$AK$2&amp;if($K51="S1","a",if($K51="S2","b","")),Students!$A:$A,AP$2)+countifs(Students!$T:$T,$AK51,Students!$U:$U,$AK$2&amp;if($K51="S1","a",if($K51="S2","b","")),Students!$A:$A,AP$2)+countifs(Students!$V:$V,$AK51,Students!$W:$W,$AK$2&amp;if($K51="S1","a",if($K51="S2","b","")),Students!$A:$A,AP$2))</f>
        <v/>
      </c>
      <c r="AQ51" s="102" t="str">
        <f>if($L51="","",countifs(Students!$D:$D,$P51,Students!$E:$E,$P$2&amp;if($K51="S1","a",if($K51="S2","b","")),Students!$A:$A,AQ$2)+countifs(Students!$F:$F,$P51,Students!$G:$G,$P$2&amp;if($K51="S1","a",if($K51="S2","b","")),Students!$A:$A,AQ$2)+countifs(Students!$H:$H,$P51,Students!$I:$I,$P$2&amp;if($K51="S1","a",if($K51="S2","b","")),Students!$A:$A,AQ$2)+countifs(Students!$J:$J,$P51,Students!$K:$K,$P$2&amp;if($K51="S1","a",if($K51="S2","b","")),Students!$A:$A,AQ$2)+countifs(Students!$L:$L,$P51,Students!$M:$M,$P$2&amp;if($K51="S1","a",if($K51="S2","b","")),Students!$A:$A,AQ$2)+countifs(Students!$N:$N,$P51,Students!$O:$O,$P$2&amp;if($K51="S1","a",if($K51="S2","b","")),Students!$A:$A,AQ$2)+countifs(Students!$P:$P,$P51,Students!$Q:$Q,$P$2&amp;if($K51="S1","a",if($K51="S2","b","")),Students!$A:$A,AQ$2)+countifs(Students!$R:$R,$P51,Students!$S:$S,$P$2&amp;if($K51="S1","a",if($K51="S2","b","")),Students!$A:$A,AQ$2)+countifs(Students!$T:$T,$P51,Students!$U:$U,$P$2&amp;if($K51="S1","a",if($K51="S2","b","")),Students!$A:$A,AQ$2)+countifs(Students!$V:$V,$P51,Students!$W:$W,$P$2&amp;if($K51="S1","a",if($K51="S2","b","")),Students!$A:$A,AQ$2)+
countifs(Students!$D:$D,$S51,Students!$E:$E,$S$2&amp;if($K51="S1","a",if($K51="S2","b","")),Students!$A:$A,AQ$2)+countifs(Students!$F:$F,$S51,Students!$G:$G,$S$2&amp;if($K51="S1","a",if($K51="S2","b","")),Students!$A:$A,AQ$2)+countifs(Students!$H:$H,$S51,Students!$I:$I,$S$2&amp;if($K51="S1","a",if($K51="S2","b","")),Students!$A:$A,AQ$2)+countifs(Students!$J:$J,$S51,Students!$K:$K,$S$2&amp;if($K51="S1","a",if($K51="S2","b","")),Students!$A:$A,AQ$2)+countifs(Students!$L:$L,$S51,Students!$M:$M,$S$2&amp;if($K51="S1","a",if($K51="S2","b","")),Students!$A:$A,AQ$2)+countifs(Students!$N:$N,$S51,Students!$O:$O,$S$2&amp;if($K51="S1","a",if($K51="S2","b","")),Students!$A:$A,AQ$2)+countifs(Students!$P:$P,$S51,Students!$Q:$Q,$S$2&amp;if($K51="S1","a",if($K51="S2","b","")),Students!$A:$A,AQ$2)+countifs(Students!$R:$R,$S51,Students!$S:$S,$S$2&amp;if($K51="S1","a",if($K51="S2","b","")),Students!$A:$A,AQ$2)+countifs(Students!$T:$T,$S51,Students!$U:$U,$S$2&amp;if($K51="S1","a",if($K51="S2","b","")),Students!$A:$A,AQ$2)+countifs(Students!$V:$V,$S51,Students!$W:$W,$S$2&amp;if($K51="S1","a",if($K51="S2","b","")),Students!$A:$A,AQ$2)+
countifs(Students!$D:$D,$V51,Students!$E:$E,$V$2&amp;if($K51="S1","a",if($K51="S2","b","")),Students!$A:$A,AQ$2)+countifs(Students!$F:$F,$V51,Students!$G:$G,$V$2&amp;if($K51="S1","a",if($K51="S2","b","")),Students!$A:$A,AQ$2)+countifs(Students!$H:$H,$V51,Students!$I:$I,$V$2&amp;if($K51="S1","a",if($K51="S2","b","")),Students!$A:$A,AQ$2)+countifs(Students!$J:$J,$V51,Students!$K:$K,$V$2&amp;if($K51="S1","a",if($K51="S2","b","")),Students!$A:$A,AQ$2)+countifs(Students!$L:$L,$V51,Students!$M:$M,$V$2&amp;if($K51="S1","a",if($K51="S2","b","")),Students!$A:$A,AQ$2)+countifs(Students!$N:$N,$V51,Students!$O:$O,$V$2&amp;if($K51="S1","a",if($K51="S2","b","")),Students!$A:$A,AQ$2)+countifs(Students!$P:$P,$V51,Students!$Q:$Q,$V$2&amp;if($K51="S1","a",if($K51="S2","b","")),Students!$A:$A,AQ$2)+countifs(Students!$R:$R,$V51,Students!$S:$S,$V$2&amp;if($K51="S1","a",if($K51="S2","b","")),Students!$A:$A,AQ$2)+countifs(Students!$T:$T,$V51,Students!$U:$U,$V$2&amp;if($K51="S1","a",if($K51="S2","b","")),Students!$A:$A,AQ$2)+countifs(Students!$V:$V,$V51,Students!$W:$W,$V$2&amp;if($K51="S1","a",if($K51="S2","b","")),Students!$A:$A,AQ$2)+
countifs(Students!$D:$D,$Y51,Students!$E:$E,$Y$2&amp;if($K51="S1","a",if($K51="S2","b","")),Students!$A:$A,AQ$2)+countifs(Students!$F:$F,$Y51,Students!$G:$G,$Y$2&amp;if($K51="S1","a",if($K51="S2","b","")),Students!$A:$A,AQ$2)+countifs(Students!$H:$H,$Y51,Students!$I:$I,$Y$2&amp;if($K51="S1","a",if($K51="S2","b","")),Students!$A:$A,AQ$2)+countifs(Students!$J:$J,$Y51,Students!$K:$K,$Y$2&amp;if($K51="S1","a",if($K51="S2","b","")),Students!$A:$A,AQ$2)+countifs(Students!$L:$L,$Y51,Students!$M:$M,$Y$2&amp;if($K51="S1","a",if($K51="S2","b","")),Students!$A:$A,AQ$2)+countifs(Students!$N:$N,$Y51,Students!$O:$O,$Y$2&amp;if($K51="S1","a",if($K51="S2","b","")),Students!$A:$A,AQ$2)+countifs(Students!$P:$P,$Y51,Students!$Q:$Q,$Y$2&amp;if($K51="S1","a",if($K51="S2","b","")),Students!$A:$A,AQ$2)+countifs(Students!$R:$R,$Y51,Students!$S:$S,$Y$2&amp;if($K51="S1","a",if($K51="S2","b","")),Students!$A:$A,AQ$2)+countifs(Students!$T:$T,$Y51,Students!$U:$U,$Y$2&amp;if($K51="S1","a",if($K51="S2","b","")),Students!$A:$A,AQ$2)+countifs(Students!$V:$V,$Y51,Students!$W:$W,$Y$2&amp;if($K51="S1","a",if($K51="S2","b","")),Students!$A:$A,AQ$2)+
countifs(Students!$D:$D,$AB51,Students!$E:$E,$AB$2&amp;if($K51="S1","a",if($K51="S2","b","")),Students!$A:$A,AQ$2)+countifs(Students!$F:$F,$AB51,Students!$G:$G,$AB$2&amp;if($K51="S1","a",if($K51="S2","b","")),Students!$A:$A,AQ$2)+countifs(Students!$H:$H,$AB51,Students!$I:$I,$AB$2&amp;if($K51="S1","a",if($K51="S2","b","")),Students!$A:$A,AQ$2)+countifs(Students!$J:$J,$AB51,Students!$K:$K,$AB$2&amp;if($K51="S1","a",if($K51="S2","b","")),Students!$A:$A,AQ$2)+countifs(Students!$L:$L,$AB51,Students!$M:$M,$AB$2&amp;if($K51="S1","a",if($K51="S2","b","")),Students!$A:$A,AQ$2)+countifs(Students!$N:$N,$AB51,Students!$O:$O,$AB$2&amp;if($K51="S1","a",if($K51="S2","b","")),Students!$A:$A,AQ$2)+countifs(Students!$P:$P,$AB51,Students!$Q:$Q,$AB$2&amp;if($K51="S1","a",if($K51="S2","b","")),Students!$A:$A,AQ$2)+countifs(Students!$R:$R,$AB51,Students!$S:$S,$AB$2&amp;if($K51="S1","a",if($K51="S2","b","")),Students!$A:$A,AQ$2)+countifs(Students!$T:$T,$AB51,Students!$U:$U,$AB$2&amp;if($K51="S1","a",if($K51="S2","b","")),Students!$A:$A,AQ$2)+countifs(Students!$V:$V,$AB51,Students!$W:$W,$AB$2&amp;if($K51="S1","a",if($K51="S2","b","")),Students!$A:$A,AQ$2)+
countifs(Students!$D:$D,$AE51,Students!$E:$E,$AE$2&amp;if($K51="S1","a",if($K51="S2","b","")),Students!$A:$A,AQ$2)+countifs(Students!$F:$F,$AE51,Students!$G:$G,$AE$2&amp;if($K51="S1","a",if($K51="S2","b","")),Students!$A:$A,AQ$2)+countifs(Students!$H:$H,$AE51,Students!$I:$I,$AE$2&amp;if($K51="S1","a",if($K51="S2","b","")),Students!$A:$A,AQ$2)+countifs(Students!$J:$J,$AE51,Students!$K:$K,$AE$2&amp;if($K51="S1","a",if($K51="S2","b","")),Students!$A:$A,AQ$2)+countifs(Students!$L:$L,$AE51,Students!$M:$M,$AE$2&amp;if($K51="S1","a",if($K51="S2","b","")),Students!$A:$A,AQ$2)+countifs(Students!$N:$N,$AE51,Students!$O:$O,$AE$2&amp;if($K51="S1","a",if($K51="S2","b","")),Students!$A:$A,AQ$2)+countifs(Students!$P:$P,$AE51,Students!$Q:$Q,$AE$2&amp;if($K51="S1","a",if($K51="S2","b","")),Students!$A:$A,AQ$2)+countifs(Students!$R:$R,$AE51,Students!$S:$S,$AE$2&amp;if($K51="S1","a",if($K51="S2","b","")),Students!$A:$A,AQ$2)+countifs(Students!$T:$T,$AE51,Students!$U:$U,$AE$2&amp;if($K51="S1","a",if($K51="S2","b","")),Students!$A:$A,AQ$2)+countifs(Students!$V:$V,$AE51,Students!$W:$W,$AE$2&amp;if($K51="S1","a",if($K51="S2","b","")),Students!$A:$A,AQ$2)+
countifs(Students!$D:$D,$AH51,Students!$E:$E,$AH$2&amp;if($K51="S1","a",if($K51="S2","b","")),Students!$A:$A,AQ$2)+countifs(Students!$F:$F,$AH51,Students!$G:$G,$AH$2&amp;if($K51="S1","a",if($K51="S2","b","")),Students!$A:$A,AQ$2)+countifs(Students!$H:$H,$AH51,Students!$I:$I,$AH$2&amp;if($K51="S1","a",if($K51="S2","b","")),Students!$A:$A,AQ$2)+countifs(Students!$J:$J,$AH51,Students!$K:$K,$AH$2&amp;if($K51="S1","a",if($K51="S2","b","")),Students!$A:$A,AQ$2)+countifs(Students!$L:$L,$AH51,Students!$M:$M,$AH$2&amp;if($K51="S1","a",if($K51="S2","b","")),Students!$A:$A,AQ$2)+countifs(Students!$N:$N,$AH51,Students!$O:$O,$AH$2&amp;if($K51="S1","a",if($K51="S2","b","")),Students!$A:$A,AQ$2)+countifs(Students!$P:$P,$AH51,Students!$Q:$Q,$AH$2&amp;if($K51="S1","a",if($K51="S2","b","")),Students!$A:$A,AQ$2)+countifs(Students!$R:$R,$AH51,Students!$S:$S,$AH$2&amp;if($K51="S1","a",if($K51="S2","b","")),Students!$A:$A,AQ$2)+countifs(Students!$T:$T,$AH51,Students!$U:$U,$AH$2&amp;if($K51="S1","a",if($K51="S2","b","")),Students!$A:$A,AQ$2)+countifs(Students!$V:$V,$AH51,Students!$W:$W,$AH$2&amp;if($K51="S1","a",if($K51="S2","b","")),Students!$A:$A,AQ$2)+
countifs(Students!$D:$D,$AK51,Students!$E:$E,$AK$2&amp;if($K51="S1","a",if($K51="S2","b","")),Students!$A:$A,AQ$2)+countifs(Students!$F:$F,$AK51,Students!$G:$G,$AK$2&amp;if($K51="S1","a",if($K51="S2","b","")),Students!$A:$A,AQ$2)+countifs(Students!$H:$H,$AK51,Students!$I:$I,$AK$2&amp;if($K51="S1","a",if($K51="S2","b","")),Students!$A:$A,AQ$2)+countifs(Students!$J:$J,$AK51,Students!$K:$K,$AK$2&amp;if($K51="S1","a",if($K51="S2","b","")),Students!$A:$A,AQ$2)+countifs(Students!$L:$L,$AK51,Students!$M:$M,$AK$2&amp;if($K51="S1","a",if($K51="S2","b","")),Students!$A:$A,AQ$2)+countifs(Students!$N:$N,$AK51,Students!$O:$O,$AK$2&amp;if($K51="S1","a",if($K51="S2","b","")),Students!$A:$A,AQ$2)+countifs(Students!$P:$P,$AK51,Students!$Q:$Q,$AK$2&amp;if($K51="S1","a",if($K51="S2","b","")),Students!$A:$A,AQ$2)+countifs(Students!$R:$R,$AK51,Students!$S:$S,$AK$2&amp;if($K51="S1","a",if($K51="S2","b","")),Students!$A:$A,AQ$2)+countifs(Students!$T:$T,$AK51,Students!$U:$U,$AK$2&amp;if($K51="S1","a",if($K51="S2","b","")),Students!$A:$A,AQ$2)+countifs(Students!$V:$V,$AK51,Students!$W:$W,$AK$2&amp;if($K51="S1","a",if($K51="S2","b","")),Students!$A:$A,AQ$2))</f>
        <v/>
      </c>
      <c r="AR51" s="102" t="str">
        <f>if($L51="","",countifs(Students!$D:$D,$P51,Students!$E:$E,$P$2&amp;if($K51="S1","a",if($K51="S2","b","")),Students!$A:$A,AR$2)+countifs(Students!$F:$F,$P51,Students!$G:$G,$P$2&amp;if($K51="S1","a",if($K51="S2","b","")),Students!$A:$A,AR$2)+countifs(Students!$H:$H,$P51,Students!$I:$I,$P$2&amp;if($K51="S1","a",if($K51="S2","b","")),Students!$A:$A,AR$2)+countifs(Students!$J:$J,$P51,Students!$K:$K,$P$2&amp;if($K51="S1","a",if($K51="S2","b","")),Students!$A:$A,AR$2)+countifs(Students!$L:$L,$P51,Students!$M:$M,$P$2&amp;if($K51="S1","a",if($K51="S2","b","")),Students!$A:$A,AR$2)+countifs(Students!$N:$N,$P51,Students!$O:$O,$P$2&amp;if($K51="S1","a",if($K51="S2","b","")),Students!$A:$A,AR$2)+countifs(Students!$P:$P,$P51,Students!$Q:$Q,$P$2&amp;if($K51="S1","a",if($K51="S2","b","")),Students!$A:$A,AR$2)+countifs(Students!$R:$R,$P51,Students!$S:$S,$P$2&amp;if($K51="S1","a",if($K51="S2","b","")),Students!$A:$A,AR$2)+countifs(Students!$T:$T,$P51,Students!$U:$U,$P$2&amp;if($K51="S1","a",if($K51="S2","b","")),Students!$A:$A,AR$2)+countifs(Students!$V:$V,$P51,Students!$W:$W,$P$2&amp;if($K51="S1","a",if($K51="S2","b","")),Students!$A:$A,AR$2)+
countifs(Students!$D:$D,$S51,Students!$E:$E,$S$2&amp;if($K51="S1","a",if($K51="S2","b","")),Students!$A:$A,AR$2)+countifs(Students!$F:$F,$S51,Students!$G:$G,$S$2&amp;if($K51="S1","a",if($K51="S2","b","")),Students!$A:$A,AR$2)+countifs(Students!$H:$H,$S51,Students!$I:$I,$S$2&amp;if($K51="S1","a",if($K51="S2","b","")),Students!$A:$A,AR$2)+countifs(Students!$J:$J,$S51,Students!$K:$K,$S$2&amp;if($K51="S1","a",if($K51="S2","b","")),Students!$A:$A,AR$2)+countifs(Students!$L:$L,$S51,Students!$M:$M,$S$2&amp;if($K51="S1","a",if($K51="S2","b","")),Students!$A:$A,AR$2)+countifs(Students!$N:$N,$S51,Students!$O:$O,$S$2&amp;if($K51="S1","a",if($K51="S2","b","")),Students!$A:$A,AR$2)+countifs(Students!$P:$P,$S51,Students!$Q:$Q,$S$2&amp;if($K51="S1","a",if($K51="S2","b","")),Students!$A:$A,AR$2)+countifs(Students!$R:$R,$S51,Students!$S:$S,$S$2&amp;if($K51="S1","a",if($K51="S2","b","")),Students!$A:$A,AR$2)+countifs(Students!$T:$T,$S51,Students!$U:$U,$S$2&amp;if($K51="S1","a",if($K51="S2","b","")),Students!$A:$A,AR$2)+countifs(Students!$V:$V,$S51,Students!$W:$W,$S$2&amp;if($K51="S1","a",if($K51="S2","b","")),Students!$A:$A,AR$2)+
countifs(Students!$D:$D,$V51,Students!$E:$E,$V$2&amp;if($K51="S1","a",if($K51="S2","b","")),Students!$A:$A,AR$2)+countifs(Students!$F:$F,$V51,Students!$G:$G,$V$2&amp;if($K51="S1","a",if($K51="S2","b","")),Students!$A:$A,AR$2)+countifs(Students!$H:$H,$V51,Students!$I:$I,$V$2&amp;if($K51="S1","a",if($K51="S2","b","")),Students!$A:$A,AR$2)+countifs(Students!$J:$J,$V51,Students!$K:$K,$V$2&amp;if($K51="S1","a",if($K51="S2","b","")),Students!$A:$A,AR$2)+countifs(Students!$L:$L,$V51,Students!$M:$M,$V$2&amp;if($K51="S1","a",if($K51="S2","b","")),Students!$A:$A,AR$2)+countifs(Students!$N:$N,$V51,Students!$O:$O,$V$2&amp;if($K51="S1","a",if($K51="S2","b","")),Students!$A:$A,AR$2)+countifs(Students!$P:$P,$V51,Students!$Q:$Q,$V$2&amp;if($K51="S1","a",if($K51="S2","b","")),Students!$A:$A,AR$2)+countifs(Students!$R:$R,$V51,Students!$S:$S,$V$2&amp;if($K51="S1","a",if($K51="S2","b","")),Students!$A:$A,AR$2)+countifs(Students!$T:$T,$V51,Students!$U:$U,$V$2&amp;if($K51="S1","a",if($K51="S2","b","")),Students!$A:$A,AR$2)+countifs(Students!$V:$V,$V51,Students!$W:$W,$V$2&amp;if($K51="S1","a",if($K51="S2","b","")),Students!$A:$A,AR$2)+
countifs(Students!$D:$D,$Y51,Students!$E:$E,$Y$2&amp;if($K51="S1","a",if($K51="S2","b","")),Students!$A:$A,AR$2)+countifs(Students!$F:$F,$Y51,Students!$G:$G,$Y$2&amp;if($K51="S1","a",if($K51="S2","b","")),Students!$A:$A,AR$2)+countifs(Students!$H:$H,$Y51,Students!$I:$I,$Y$2&amp;if($K51="S1","a",if($K51="S2","b","")),Students!$A:$A,AR$2)+countifs(Students!$J:$J,$Y51,Students!$K:$K,$Y$2&amp;if($K51="S1","a",if($K51="S2","b","")),Students!$A:$A,AR$2)+countifs(Students!$L:$L,$Y51,Students!$M:$M,$Y$2&amp;if($K51="S1","a",if($K51="S2","b","")),Students!$A:$A,AR$2)+countifs(Students!$N:$N,$Y51,Students!$O:$O,$Y$2&amp;if($K51="S1","a",if($K51="S2","b","")),Students!$A:$A,AR$2)+countifs(Students!$P:$P,$Y51,Students!$Q:$Q,$Y$2&amp;if($K51="S1","a",if($K51="S2","b","")),Students!$A:$A,AR$2)+countifs(Students!$R:$R,$Y51,Students!$S:$S,$Y$2&amp;if($K51="S1","a",if($K51="S2","b","")),Students!$A:$A,AR$2)+countifs(Students!$T:$T,$Y51,Students!$U:$U,$Y$2&amp;if($K51="S1","a",if($K51="S2","b","")),Students!$A:$A,AR$2)+countifs(Students!$V:$V,$Y51,Students!$W:$W,$Y$2&amp;if($K51="S1","a",if($K51="S2","b","")),Students!$A:$A,AR$2)+
countifs(Students!$D:$D,$AB51,Students!$E:$E,$AB$2&amp;if($K51="S1","a",if($K51="S2","b","")),Students!$A:$A,AR$2)+countifs(Students!$F:$F,$AB51,Students!$G:$G,$AB$2&amp;if($K51="S1","a",if($K51="S2","b","")),Students!$A:$A,AR$2)+countifs(Students!$H:$H,$AB51,Students!$I:$I,$AB$2&amp;if($K51="S1","a",if($K51="S2","b","")),Students!$A:$A,AR$2)+countifs(Students!$J:$J,$AB51,Students!$K:$K,$AB$2&amp;if($K51="S1","a",if($K51="S2","b","")),Students!$A:$A,AR$2)+countifs(Students!$L:$L,$AB51,Students!$M:$M,$AB$2&amp;if($K51="S1","a",if($K51="S2","b","")),Students!$A:$A,AR$2)+countifs(Students!$N:$N,$AB51,Students!$O:$O,$AB$2&amp;if($K51="S1","a",if($K51="S2","b","")),Students!$A:$A,AR$2)+countifs(Students!$P:$P,$AB51,Students!$Q:$Q,$AB$2&amp;if($K51="S1","a",if($K51="S2","b","")),Students!$A:$A,AR$2)+countifs(Students!$R:$R,$AB51,Students!$S:$S,$AB$2&amp;if($K51="S1","a",if($K51="S2","b","")),Students!$A:$A,AR$2)+countifs(Students!$T:$T,$AB51,Students!$U:$U,$AB$2&amp;if($K51="S1","a",if($K51="S2","b","")),Students!$A:$A,AR$2)+countifs(Students!$V:$V,$AB51,Students!$W:$W,$AB$2&amp;if($K51="S1","a",if($K51="S2","b","")),Students!$A:$A,AR$2)+
countifs(Students!$D:$D,$AE51,Students!$E:$E,$AE$2&amp;if($K51="S1","a",if($K51="S2","b","")),Students!$A:$A,AR$2)+countifs(Students!$F:$F,$AE51,Students!$G:$G,$AE$2&amp;if($K51="S1","a",if($K51="S2","b","")),Students!$A:$A,AR$2)+countifs(Students!$H:$H,$AE51,Students!$I:$I,$AE$2&amp;if($K51="S1","a",if($K51="S2","b","")),Students!$A:$A,AR$2)+countifs(Students!$J:$J,$AE51,Students!$K:$K,$AE$2&amp;if($K51="S1","a",if($K51="S2","b","")),Students!$A:$A,AR$2)+countifs(Students!$L:$L,$AE51,Students!$M:$M,$AE$2&amp;if($K51="S1","a",if($K51="S2","b","")),Students!$A:$A,AR$2)+countifs(Students!$N:$N,$AE51,Students!$O:$O,$AE$2&amp;if($K51="S1","a",if($K51="S2","b","")),Students!$A:$A,AR$2)+countifs(Students!$P:$P,$AE51,Students!$Q:$Q,$AE$2&amp;if($K51="S1","a",if($K51="S2","b","")),Students!$A:$A,AR$2)+countifs(Students!$R:$R,$AE51,Students!$S:$S,$AE$2&amp;if($K51="S1","a",if($K51="S2","b","")),Students!$A:$A,AR$2)+countifs(Students!$T:$T,$AE51,Students!$U:$U,$AE$2&amp;if($K51="S1","a",if($K51="S2","b","")),Students!$A:$A,AR$2)+countifs(Students!$V:$V,$AE51,Students!$W:$W,$AE$2&amp;if($K51="S1","a",if($K51="S2","b","")),Students!$A:$A,AR$2)+
countifs(Students!$D:$D,$AH51,Students!$E:$E,$AH$2&amp;if($K51="S1","a",if($K51="S2","b","")),Students!$A:$A,AR$2)+countifs(Students!$F:$F,$AH51,Students!$G:$G,$AH$2&amp;if($K51="S1","a",if($K51="S2","b","")),Students!$A:$A,AR$2)+countifs(Students!$H:$H,$AH51,Students!$I:$I,$AH$2&amp;if($K51="S1","a",if($K51="S2","b","")),Students!$A:$A,AR$2)+countifs(Students!$J:$J,$AH51,Students!$K:$K,$AH$2&amp;if($K51="S1","a",if($K51="S2","b","")),Students!$A:$A,AR$2)+countifs(Students!$L:$L,$AH51,Students!$M:$M,$AH$2&amp;if($K51="S1","a",if($K51="S2","b","")),Students!$A:$A,AR$2)+countifs(Students!$N:$N,$AH51,Students!$O:$O,$AH$2&amp;if($K51="S1","a",if($K51="S2","b","")),Students!$A:$A,AR$2)+countifs(Students!$P:$P,$AH51,Students!$Q:$Q,$AH$2&amp;if($K51="S1","a",if($K51="S2","b","")),Students!$A:$A,AR$2)+countifs(Students!$R:$R,$AH51,Students!$S:$S,$AH$2&amp;if($K51="S1","a",if($K51="S2","b","")),Students!$A:$A,AR$2)+countifs(Students!$T:$T,$AH51,Students!$U:$U,$AH$2&amp;if($K51="S1","a",if($K51="S2","b","")),Students!$A:$A,AR$2)+countifs(Students!$V:$V,$AH51,Students!$W:$W,$AH$2&amp;if($K51="S1","a",if($K51="S2","b","")),Students!$A:$A,AR$2)+
countifs(Students!$D:$D,$AK51,Students!$E:$E,$AK$2&amp;if($K51="S1","a",if($K51="S2","b","")),Students!$A:$A,AR$2)+countifs(Students!$F:$F,$AK51,Students!$G:$G,$AK$2&amp;if($K51="S1","a",if($K51="S2","b","")),Students!$A:$A,AR$2)+countifs(Students!$H:$H,$AK51,Students!$I:$I,$AK$2&amp;if($K51="S1","a",if($K51="S2","b","")),Students!$A:$A,AR$2)+countifs(Students!$J:$J,$AK51,Students!$K:$K,$AK$2&amp;if($K51="S1","a",if($K51="S2","b","")),Students!$A:$A,AR$2)+countifs(Students!$L:$L,$AK51,Students!$M:$M,$AK$2&amp;if($K51="S1","a",if($K51="S2","b","")),Students!$A:$A,AR$2)+countifs(Students!$N:$N,$AK51,Students!$O:$O,$AK$2&amp;if($K51="S1","a",if($K51="S2","b","")),Students!$A:$A,AR$2)+countifs(Students!$P:$P,$AK51,Students!$Q:$Q,$AK$2&amp;if($K51="S1","a",if($K51="S2","b","")),Students!$A:$A,AR$2)+countifs(Students!$R:$R,$AK51,Students!$S:$S,$AK$2&amp;if($K51="S1","a",if($K51="S2","b","")),Students!$A:$A,AR$2)+countifs(Students!$T:$T,$AK51,Students!$U:$U,$AK$2&amp;if($K51="S1","a",if($K51="S2","b","")),Students!$A:$A,AR$2)+countifs(Students!$V:$V,$AK51,Students!$W:$W,$AK$2&amp;if($K51="S1","a",if($K51="S2","b","")),Students!$A:$A,AR$2))</f>
        <v/>
      </c>
      <c r="AS51" s="102" t="str">
        <f>if($L51="","",countifs(Students!$D:$D,$P51,Students!$E:$E,$P$2&amp;if($K51="S1","a",if($K51="S2","b","")),Students!$A:$A,AS$2)+countifs(Students!$F:$F,$P51,Students!$G:$G,$P$2&amp;if($K51="S1","a",if($K51="S2","b","")),Students!$A:$A,AS$2)+countifs(Students!$H:$H,$P51,Students!$I:$I,$P$2&amp;if($K51="S1","a",if($K51="S2","b","")),Students!$A:$A,AS$2)+countifs(Students!$J:$J,$P51,Students!$K:$K,$P$2&amp;if($K51="S1","a",if($K51="S2","b","")),Students!$A:$A,AS$2)+countifs(Students!$L:$L,$P51,Students!$M:$M,$P$2&amp;if($K51="S1","a",if($K51="S2","b","")),Students!$A:$A,AS$2)+countifs(Students!$N:$N,$P51,Students!$O:$O,$P$2&amp;if($K51="S1","a",if($K51="S2","b","")),Students!$A:$A,AS$2)+countifs(Students!$P:$P,$P51,Students!$Q:$Q,$P$2&amp;if($K51="S1","a",if($K51="S2","b","")),Students!$A:$A,AS$2)+countifs(Students!$R:$R,$P51,Students!$S:$S,$P$2&amp;if($K51="S1","a",if($K51="S2","b","")),Students!$A:$A,AS$2)+countifs(Students!$T:$T,$P51,Students!$U:$U,$P$2&amp;if($K51="S1","a",if($K51="S2","b","")),Students!$A:$A,AS$2)+countifs(Students!$V:$V,$P51,Students!$W:$W,$P$2&amp;if($K51="S1","a",if($K51="S2","b","")),Students!$A:$A,AS$2)+
countifs(Students!$D:$D,$S51,Students!$E:$E,$S$2&amp;if($K51="S1","a",if($K51="S2","b","")),Students!$A:$A,AS$2)+countifs(Students!$F:$F,$S51,Students!$G:$G,$S$2&amp;if($K51="S1","a",if($K51="S2","b","")),Students!$A:$A,AS$2)+countifs(Students!$H:$H,$S51,Students!$I:$I,$S$2&amp;if($K51="S1","a",if($K51="S2","b","")),Students!$A:$A,AS$2)+countifs(Students!$J:$J,$S51,Students!$K:$K,$S$2&amp;if($K51="S1","a",if($K51="S2","b","")),Students!$A:$A,AS$2)+countifs(Students!$L:$L,$S51,Students!$M:$M,$S$2&amp;if($K51="S1","a",if($K51="S2","b","")),Students!$A:$A,AS$2)+countifs(Students!$N:$N,$S51,Students!$O:$O,$S$2&amp;if($K51="S1","a",if($K51="S2","b","")),Students!$A:$A,AS$2)+countifs(Students!$P:$P,$S51,Students!$Q:$Q,$S$2&amp;if($K51="S1","a",if($K51="S2","b","")),Students!$A:$A,AS$2)+countifs(Students!$R:$R,$S51,Students!$S:$S,$S$2&amp;if($K51="S1","a",if($K51="S2","b","")),Students!$A:$A,AS$2)+countifs(Students!$T:$T,$S51,Students!$U:$U,$S$2&amp;if($K51="S1","a",if($K51="S2","b","")),Students!$A:$A,AS$2)+countifs(Students!$V:$V,$S51,Students!$W:$W,$S$2&amp;if($K51="S1","a",if($K51="S2","b","")),Students!$A:$A,AS$2)+
countifs(Students!$D:$D,$V51,Students!$E:$E,$V$2&amp;if($K51="S1","a",if($K51="S2","b","")),Students!$A:$A,AS$2)+countifs(Students!$F:$F,$V51,Students!$G:$G,$V$2&amp;if($K51="S1","a",if($K51="S2","b","")),Students!$A:$A,AS$2)+countifs(Students!$H:$H,$V51,Students!$I:$I,$V$2&amp;if($K51="S1","a",if($K51="S2","b","")),Students!$A:$A,AS$2)+countifs(Students!$J:$J,$V51,Students!$K:$K,$V$2&amp;if($K51="S1","a",if($K51="S2","b","")),Students!$A:$A,AS$2)+countifs(Students!$L:$L,$V51,Students!$M:$M,$V$2&amp;if($K51="S1","a",if($K51="S2","b","")),Students!$A:$A,AS$2)+countifs(Students!$N:$N,$V51,Students!$O:$O,$V$2&amp;if($K51="S1","a",if($K51="S2","b","")),Students!$A:$A,AS$2)+countifs(Students!$P:$P,$V51,Students!$Q:$Q,$V$2&amp;if($K51="S1","a",if($K51="S2","b","")),Students!$A:$A,AS$2)+countifs(Students!$R:$R,$V51,Students!$S:$S,$V$2&amp;if($K51="S1","a",if($K51="S2","b","")),Students!$A:$A,AS$2)+countifs(Students!$T:$T,$V51,Students!$U:$U,$V$2&amp;if($K51="S1","a",if($K51="S2","b","")),Students!$A:$A,AS$2)+countifs(Students!$V:$V,$V51,Students!$W:$W,$V$2&amp;if($K51="S1","a",if($K51="S2","b","")),Students!$A:$A,AS$2)+
countifs(Students!$D:$D,$Y51,Students!$E:$E,$Y$2&amp;if($K51="S1","a",if($K51="S2","b","")),Students!$A:$A,AS$2)+countifs(Students!$F:$F,$Y51,Students!$G:$G,$Y$2&amp;if($K51="S1","a",if($K51="S2","b","")),Students!$A:$A,AS$2)+countifs(Students!$H:$H,$Y51,Students!$I:$I,$Y$2&amp;if($K51="S1","a",if($K51="S2","b","")),Students!$A:$A,AS$2)+countifs(Students!$J:$J,$Y51,Students!$K:$K,$Y$2&amp;if($K51="S1","a",if($K51="S2","b","")),Students!$A:$A,AS$2)+countifs(Students!$L:$L,$Y51,Students!$M:$M,$Y$2&amp;if($K51="S1","a",if($K51="S2","b","")),Students!$A:$A,AS$2)+countifs(Students!$N:$N,$Y51,Students!$O:$O,$Y$2&amp;if($K51="S1","a",if($K51="S2","b","")),Students!$A:$A,AS$2)+countifs(Students!$P:$P,$Y51,Students!$Q:$Q,$Y$2&amp;if($K51="S1","a",if($K51="S2","b","")),Students!$A:$A,AS$2)+countifs(Students!$R:$R,$Y51,Students!$S:$S,$Y$2&amp;if($K51="S1","a",if($K51="S2","b","")),Students!$A:$A,AS$2)+countifs(Students!$T:$T,$Y51,Students!$U:$U,$Y$2&amp;if($K51="S1","a",if($K51="S2","b","")),Students!$A:$A,AS$2)+countifs(Students!$V:$V,$Y51,Students!$W:$W,$Y$2&amp;if($K51="S1","a",if($K51="S2","b","")),Students!$A:$A,AS$2)+
countifs(Students!$D:$D,$AB51,Students!$E:$E,$AB$2&amp;if($K51="S1","a",if($K51="S2","b","")),Students!$A:$A,AS$2)+countifs(Students!$F:$F,$AB51,Students!$G:$G,$AB$2&amp;if($K51="S1","a",if($K51="S2","b","")),Students!$A:$A,AS$2)+countifs(Students!$H:$H,$AB51,Students!$I:$I,$AB$2&amp;if($K51="S1","a",if($K51="S2","b","")),Students!$A:$A,AS$2)+countifs(Students!$J:$J,$AB51,Students!$K:$K,$AB$2&amp;if($K51="S1","a",if($K51="S2","b","")),Students!$A:$A,AS$2)+countifs(Students!$L:$L,$AB51,Students!$M:$M,$AB$2&amp;if($K51="S1","a",if($K51="S2","b","")),Students!$A:$A,AS$2)+countifs(Students!$N:$N,$AB51,Students!$O:$O,$AB$2&amp;if($K51="S1","a",if($K51="S2","b","")),Students!$A:$A,AS$2)+countifs(Students!$P:$P,$AB51,Students!$Q:$Q,$AB$2&amp;if($K51="S1","a",if($K51="S2","b","")),Students!$A:$A,AS$2)+countifs(Students!$R:$R,$AB51,Students!$S:$S,$AB$2&amp;if($K51="S1","a",if($K51="S2","b","")),Students!$A:$A,AS$2)+countifs(Students!$T:$T,$AB51,Students!$U:$U,$AB$2&amp;if($K51="S1","a",if($K51="S2","b","")),Students!$A:$A,AS$2)+countifs(Students!$V:$V,$AB51,Students!$W:$W,$AB$2&amp;if($K51="S1","a",if($K51="S2","b","")),Students!$A:$A,AS$2)+
countifs(Students!$D:$D,$AE51,Students!$E:$E,$AE$2&amp;if($K51="S1","a",if($K51="S2","b","")),Students!$A:$A,AS$2)+countifs(Students!$F:$F,$AE51,Students!$G:$G,$AE$2&amp;if($K51="S1","a",if($K51="S2","b","")),Students!$A:$A,AS$2)+countifs(Students!$H:$H,$AE51,Students!$I:$I,$AE$2&amp;if($K51="S1","a",if($K51="S2","b","")),Students!$A:$A,AS$2)+countifs(Students!$J:$J,$AE51,Students!$K:$K,$AE$2&amp;if($K51="S1","a",if($K51="S2","b","")),Students!$A:$A,AS$2)+countifs(Students!$L:$L,$AE51,Students!$M:$M,$AE$2&amp;if($K51="S1","a",if($K51="S2","b","")),Students!$A:$A,AS$2)+countifs(Students!$N:$N,$AE51,Students!$O:$O,$AE$2&amp;if($K51="S1","a",if($K51="S2","b","")),Students!$A:$A,AS$2)+countifs(Students!$P:$P,$AE51,Students!$Q:$Q,$AE$2&amp;if($K51="S1","a",if($K51="S2","b","")),Students!$A:$A,AS$2)+countifs(Students!$R:$R,$AE51,Students!$S:$S,$AE$2&amp;if($K51="S1","a",if($K51="S2","b","")),Students!$A:$A,AS$2)+countifs(Students!$T:$T,$AE51,Students!$U:$U,$AE$2&amp;if($K51="S1","a",if($K51="S2","b","")),Students!$A:$A,AS$2)+countifs(Students!$V:$V,$AE51,Students!$W:$W,$AE$2&amp;if($K51="S1","a",if($K51="S2","b","")),Students!$A:$A,AS$2)+
countifs(Students!$D:$D,$AH51,Students!$E:$E,$AH$2&amp;if($K51="S1","a",if($K51="S2","b","")),Students!$A:$A,AS$2)+countifs(Students!$F:$F,$AH51,Students!$G:$G,$AH$2&amp;if($K51="S1","a",if($K51="S2","b","")),Students!$A:$A,AS$2)+countifs(Students!$H:$H,$AH51,Students!$I:$I,$AH$2&amp;if($K51="S1","a",if($K51="S2","b","")),Students!$A:$A,AS$2)+countifs(Students!$J:$J,$AH51,Students!$K:$K,$AH$2&amp;if($K51="S1","a",if($K51="S2","b","")),Students!$A:$A,AS$2)+countifs(Students!$L:$L,$AH51,Students!$M:$M,$AH$2&amp;if($K51="S1","a",if($K51="S2","b","")),Students!$A:$A,AS$2)+countifs(Students!$N:$N,$AH51,Students!$O:$O,$AH$2&amp;if($K51="S1","a",if($K51="S2","b","")),Students!$A:$A,AS$2)+countifs(Students!$P:$P,$AH51,Students!$Q:$Q,$AH$2&amp;if($K51="S1","a",if($K51="S2","b","")),Students!$A:$A,AS$2)+countifs(Students!$R:$R,$AH51,Students!$S:$S,$AH$2&amp;if($K51="S1","a",if($K51="S2","b","")),Students!$A:$A,AS$2)+countifs(Students!$T:$T,$AH51,Students!$U:$U,$AH$2&amp;if($K51="S1","a",if($K51="S2","b","")),Students!$A:$A,AS$2)+countifs(Students!$V:$V,$AH51,Students!$W:$W,$AH$2&amp;if($K51="S1","a",if($K51="S2","b","")),Students!$A:$A,AS$2)+
countifs(Students!$D:$D,$AK51,Students!$E:$E,$AK$2&amp;if($K51="S1","a",if($K51="S2","b","")),Students!$A:$A,AS$2)+countifs(Students!$F:$F,$AK51,Students!$G:$G,$AK$2&amp;if($K51="S1","a",if($K51="S2","b","")),Students!$A:$A,AS$2)+countifs(Students!$H:$H,$AK51,Students!$I:$I,$AK$2&amp;if($K51="S1","a",if($K51="S2","b","")),Students!$A:$A,AS$2)+countifs(Students!$J:$J,$AK51,Students!$K:$K,$AK$2&amp;if($K51="S1","a",if($K51="S2","b","")),Students!$A:$A,AS$2)+countifs(Students!$L:$L,$AK51,Students!$M:$M,$AK$2&amp;if($K51="S1","a",if($K51="S2","b","")),Students!$A:$A,AS$2)+countifs(Students!$N:$N,$AK51,Students!$O:$O,$AK$2&amp;if($K51="S1","a",if($K51="S2","b","")),Students!$A:$A,AS$2)+countifs(Students!$P:$P,$AK51,Students!$Q:$Q,$AK$2&amp;if($K51="S1","a",if($K51="S2","b","")),Students!$A:$A,AS$2)+countifs(Students!$R:$R,$AK51,Students!$S:$S,$AK$2&amp;if($K51="S1","a",if($K51="S2","b","")),Students!$A:$A,AS$2)+countifs(Students!$T:$T,$AK51,Students!$U:$U,$AK$2&amp;if($K51="S1","a",if($K51="S2","b","")),Students!$A:$A,AS$2)+countifs(Students!$V:$V,$AK51,Students!$W:$W,$AK$2&amp;if($K51="S1","a",if($K51="S2","b","")),Students!$A:$A,AS$2))</f>
        <v/>
      </c>
    </row>
    <row r="52">
      <c r="J52" s="87" t="s">
        <v>22</v>
      </c>
      <c r="K52" s="88"/>
      <c r="L52" s="130"/>
      <c r="M52" s="106"/>
      <c r="N52" s="87" t="s">
        <v>22</v>
      </c>
      <c r="O52" s="87">
        <f>IFERROR(__xludf.DUMMYFUNCTION("3*counta((transpose(filter(P52:AM52,P52:AM52&lt;&gt;"""",isnumber(P52:AM52)=false))))"),3.0)</f>
        <v>3</v>
      </c>
      <c r="P52" s="103"/>
      <c r="Q52" s="101"/>
      <c r="R52" s="98" t="s">
        <v>22</v>
      </c>
      <c r="S52" s="103"/>
      <c r="T52" s="101"/>
      <c r="U52" s="98" t="s">
        <v>22</v>
      </c>
      <c r="V52" s="103"/>
      <c r="W52" s="117"/>
      <c r="X52" s="98" t="s">
        <v>22</v>
      </c>
      <c r="Y52" s="103"/>
      <c r="Z52" s="101"/>
      <c r="AA52" s="98" t="s">
        <v>22</v>
      </c>
      <c r="AB52" s="103"/>
      <c r="AC52" s="101"/>
      <c r="AD52" s="98" t="s">
        <v>22</v>
      </c>
      <c r="AE52" s="103"/>
      <c r="AF52" s="101"/>
      <c r="AG52" s="98" t="s">
        <v>22</v>
      </c>
      <c r="AH52" s="103"/>
      <c r="AI52" s="97"/>
      <c r="AJ52" s="98" t="s">
        <v>22</v>
      </c>
      <c r="AK52" s="103"/>
      <c r="AL52" s="98"/>
      <c r="AM52" s="98" t="s">
        <v>22</v>
      </c>
      <c r="AN52" s="99"/>
      <c r="AO52" s="52" t="str">
        <f t="shared" si="2"/>
        <v/>
      </c>
      <c r="AP52" s="102" t="str">
        <f>if($L52="","",countifs(Students!$D:$D,$P52,Students!$E:$E,$P$2&amp;if($K52="S1","a",if($K52="S2","b","")),Students!$A:$A,AP$2)+countifs(Students!$F:$F,$P52,Students!$G:$G,$P$2&amp;if($K52="S1","a",if($K52="S2","b","")),Students!$A:$A,AP$2)+countifs(Students!$H:$H,$P52,Students!$I:$I,$P$2&amp;if($K52="S1","a",if($K52="S2","b","")),Students!$A:$A,AP$2)+countifs(Students!$J:$J,$P52,Students!$K:$K,$P$2&amp;if($K52="S1","a",if($K52="S2","b","")),Students!$A:$A,AP$2)+countifs(Students!$L:$L,$P52,Students!$M:$M,$P$2&amp;if($K52="S1","a",if($K52="S2","b","")),Students!$A:$A,AP$2)+countifs(Students!$N:$N,$P52,Students!$O:$O,$P$2&amp;if($K52="S1","a",if($K52="S2","b","")),Students!$A:$A,AP$2)+countifs(Students!$P:$P,$P52,Students!$Q:$Q,$P$2&amp;if($K52="S1","a",if($K52="S2","b","")),Students!$A:$A,AP$2)+countifs(Students!$R:$R,$P52,Students!$S:$S,$P$2&amp;if($K52="S1","a",if($K52="S2","b","")),Students!$A:$A,AP$2)+countifs(Students!$T:$T,$P52,Students!$U:$U,$P$2&amp;if($K52="S1","a",if($K52="S2","b","")),Students!$A:$A,AP$2)+countifs(Students!$V:$V,$P52,Students!$W:$W,$P$2&amp;if($K52="S1","a",if($K52="S2","b","")),Students!$A:$A,AP$2)+
countifs(Students!$D:$D,$S52,Students!$E:$E,$S$2&amp;if($K52="S1","a",if($K52="S2","b","")),Students!$A:$A,AP$2)+countifs(Students!$F:$F,$S52,Students!$G:$G,$S$2&amp;if($K52="S1","a",if($K52="S2","b","")),Students!$A:$A,AP$2)+countifs(Students!$H:$H,$S52,Students!$I:$I,$S$2&amp;if($K52="S1","a",if($K52="S2","b","")),Students!$A:$A,AP$2)+countifs(Students!$J:$J,$S52,Students!$K:$K,$S$2&amp;if($K52="S1","a",if($K52="S2","b","")),Students!$A:$A,AP$2)+countifs(Students!$L:$L,$S52,Students!$M:$M,$S$2&amp;if($K52="S1","a",if($K52="S2","b","")),Students!$A:$A,AP$2)+countifs(Students!$N:$N,$S52,Students!$O:$O,$S$2&amp;if($K52="S1","a",if($K52="S2","b","")),Students!$A:$A,AP$2)+countifs(Students!$P:$P,$S52,Students!$Q:$Q,$S$2&amp;if($K52="S1","a",if($K52="S2","b","")),Students!$A:$A,AP$2)+countifs(Students!$R:$R,$S52,Students!$S:$S,$S$2&amp;if($K52="S1","a",if($K52="S2","b","")),Students!$A:$A,AP$2)+countifs(Students!$T:$T,$S52,Students!$U:$U,$S$2&amp;if($K52="S1","a",if($K52="S2","b","")),Students!$A:$A,AP$2)+countifs(Students!$V:$V,$S52,Students!$W:$W,$S$2&amp;if($K52="S1","a",if($K52="S2","b","")),Students!$A:$A,AP$2)+
countifs(Students!$D:$D,$V52,Students!$E:$E,$V$2&amp;if($K52="S1","a",if($K52="S2","b","")),Students!$A:$A,AP$2)+countifs(Students!$F:$F,$V52,Students!$G:$G,$V$2&amp;if($K52="S1","a",if($K52="S2","b","")),Students!$A:$A,AP$2)+countifs(Students!$H:$H,$V52,Students!$I:$I,$V$2&amp;if($K52="S1","a",if($K52="S2","b","")),Students!$A:$A,AP$2)+countifs(Students!$J:$J,$V52,Students!$K:$K,$V$2&amp;if($K52="S1","a",if($K52="S2","b","")),Students!$A:$A,AP$2)+countifs(Students!$L:$L,$V52,Students!$M:$M,$V$2&amp;if($K52="S1","a",if($K52="S2","b","")),Students!$A:$A,AP$2)+countifs(Students!$N:$N,$V52,Students!$O:$O,$V$2&amp;if($K52="S1","a",if($K52="S2","b","")),Students!$A:$A,AP$2)+countifs(Students!$P:$P,$V52,Students!$Q:$Q,$V$2&amp;if($K52="S1","a",if($K52="S2","b","")),Students!$A:$A,AP$2)+countifs(Students!$R:$R,$V52,Students!$S:$S,$V$2&amp;if($K52="S1","a",if($K52="S2","b","")),Students!$A:$A,AP$2)+countifs(Students!$T:$T,$V52,Students!$U:$U,$V$2&amp;if($K52="S1","a",if($K52="S2","b","")),Students!$A:$A,AP$2)+countifs(Students!$V:$V,$V52,Students!$W:$W,$V$2&amp;if($K52="S1","a",if($K52="S2","b","")),Students!$A:$A,AP$2)+
countifs(Students!$D:$D,$Y52,Students!$E:$E,$Y$2&amp;if($K52="S1","a",if($K52="S2","b","")),Students!$A:$A,AP$2)+countifs(Students!$F:$F,$Y52,Students!$G:$G,$Y$2&amp;if($K52="S1","a",if($K52="S2","b","")),Students!$A:$A,AP$2)+countifs(Students!$H:$H,$Y52,Students!$I:$I,$Y$2&amp;if($K52="S1","a",if($K52="S2","b","")),Students!$A:$A,AP$2)+countifs(Students!$J:$J,$Y52,Students!$K:$K,$Y$2&amp;if($K52="S1","a",if($K52="S2","b","")),Students!$A:$A,AP$2)+countifs(Students!$L:$L,$Y52,Students!$M:$M,$Y$2&amp;if($K52="S1","a",if($K52="S2","b","")),Students!$A:$A,AP$2)+countifs(Students!$N:$N,$Y52,Students!$O:$O,$Y$2&amp;if($K52="S1","a",if($K52="S2","b","")),Students!$A:$A,AP$2)+countifs(Students!$P:$P,$Y52,Students!$Q:$Q,$Y$2&amp;if($K52="S1","a",if($K52="S2","b","")),Students!$A:$A,AP$2)+countifs(Students!$R:$R,$Y52,Students!$S:$S,$Y$2&amp;if($K52="S1","a",if($K52="S2","b","")),Students!$A:$A,AP$2)+countifs(Students!$T:$T,$Y52,Students!$U:$U,$Y$2&amp;if($K52="S1","a",if($K52="S2","b","")),Students!$A:$A,AP$2)+countifs(Students!$V:$V,$Y52,Students!$W:$W,$Y$2&amp;if($K52="S1","a",if($K52="S2","b","")),Students!$A:$A,AP$2)+
countifs(Students!$D:$D,$AB52,Students!$E:$E,$AB$2&amp;if($K52="S1","a",if($K52="S2","b","")),Students!$A:$A,AP$2)+countifs(Students!$F:$F,$AB52,Students!$G:$G,$AB$2&amp;if($K52="S1","a",if($K52="S2","b","")),Students!$A:$A,AP$2)+countifs(Students!$H:$H,$AB52,Students!$I:$I,$AB$2&amp;if($K52="S1","a",if($K52="S2","b","")),Students!$A:$A,AP$2)+countifs(Students!$J:$J,$AB52,Students!$K:$K,$AB$2&amp;if($K52="S1","a",if($K52="S2","b","")),Students!$A:$A,AP$2)+countifs(Students!$L:$L,$AB52,Students!$M:$M,$AB$2&amp;if($K52="S1","a",if($K52="S2","b","")),Students!$A:$A,AP$2)+countifs(Students!$N:$N,$AB52,Students!$O:$O,$AB$2&amp;if($K52="S1","a",if($K52="S2","b","")),Students!$A:$A,AP$2)+countifs(Students!$P:$P,$AB52,Students!$Q:$Q,$AB$2&amp;if($K52="S1","a",if($K52="S2","b","")),Students!$A:$A,AP$2)+countifs(Students!$R:$R,$AB52,Students!$S:$S,$AB$2&amp;if($K52="S1","a",if($K52="S2","b","")),Students!$A:$A,AP$2)+countifs(Students!$T:$T,$AB52,Students!$U:$U,$AB$2&amp;if($K52="S1","a",if($K52="S2","b","")),Students!$A:$A,AP$2)+countifs(Students!$V:$V,$AB52,Students!$W:$W,$AB$2&amp;if($K52="S1","a",if($K52="S2","b","")),Students!$A:$A,AP$2)+
countifs(Students!$D:$D,$AE52,Students!$E:$E,$AE$2&amp;if($K52="S1","a",if($K52="S2","b","")),Students!$A:$A,AP$2)+countifs(Students!$F:$F,$AE52,Students!$G:$G,$AE$2&amp;if($K52="S1","a",if($K52="S2","b","")),Students!$A:$A,AP$2)+countifs(Students!$H:$H,$AE52,Students!$I:$I,$AE$2&amp;if($K52="S1","a",if($K52="S2","b","")),Students!$A:$A,AP$2)+countifs(Students!$J:$J,$AE52,Students!$K:$K,$AE$2&amp;if($K52="S1","a",if($K52="S2","b","")),Students!$A:$A,AP$2)+countifs(Students!$L:$L,$AE52,Students!$M:$M,$AE$2&amp;if($K52="S1","a",if($K52="S2","b","")),Students!$A:$A,AP$2)+countifs(Students!$N:$N,$AE52,Students!$O:$O,$AE$2&amp;if($K52="S1","a",if($K52="S2","b","")),Students!$A:$A,AP$2)+countifs(Students!$P:$P,$AE52,Students!$Q:$Q,$AE$2&amp;if($K52="S1","a",if($K52="S2","b","")),Students!$A:$A,AP$2)+countifs(Students!$R:$R,$AE52,Students!$S:$S,$AE$2&amp;if($K52="S1","a",if($K52="S2","b","")),Students!$A:$A,AP$2)+countifs(Students!$T:$T,$AE52,Students!$U:$U,$AE$2&amp;if($K52="S1","a",if($K52="S2","b","")),Students!$A:$A,AP$2)+countifs(Students!$V:$V,$AE52,Students!$W:$W,$AE$2&amp;if($K52="S1","a",if($K52="S2","b","")),Students!$A:$A,AP$2)+
countifs(Students!$D:$D,$AH52,Students!$E:$E,$AH$2&amp;if($K52="S1","a",if($K52="S2","b","")),Students!$A:$A,AP$2)+countifs(Students!$F:$F,$AH52,Students!$G:$G,$AH$2&amp;if($K52="S1","a",if($K52="S2","b","")),Students!$A:$A,AP$2)+countifs(Students!$H:$H,$AH52,Students!$I:$I,$AH$2&amp;if($K52="S1","a",if($K52="S2","b","")),Students!$A:$A,AP$2)+countifs(Students!$J:$J,$AH52,Students!$K:$K,$AH$2&amp;if($K52="S1","a",if($K52="S2","b","")),Students!$A:$A,AP$2)+countifs(Students!$L:$L,$AH52,Students!$M:$M,$AH$2&amp;if($K52="S1","a",if($K52="S2","b","")),Students!$A:$A,AP$2)+countifs(Students!$N:$N,$AH52,Students!$O:$O,$AH$2&amp;if($K52="S1","a",if($K52="S2","b","")),Students!$A:$A,AP$2)+countifs(Students!$P:$P,$AH52,Students!$Q:$Q,$AH$2&amp;if($K52="S1","a",if($K52="S2","b","")),Students!$A:$A,AP$2)+countifs(Students!$R:$R,$AH52,Students!$S:$S,$AH$2&amp;if($K52="S1","a",if($K52="S2","b","")),Students!$A:$A,AP$2)+countifs(Students!$T:$T,$AH52,Students!$U:$U,$AH$2&amp;if($K52="S1","a",if($K52="S2","b","")),Students!$A:$A,AP$2)+countifs(Students!$V:$V,$AH52,Students!$W:$W,$AH$2&amp;if($K52="S1","a",if($K52="S2","b","")),Students!$A:$A,AP$2)+
countifs(Students!$D:$D,$AK52,Students!$E:$E,$AK$2&amp;if($K52="S1","a",if($K52="S2","b","")),Students!$A:$A,AP$2)+countifs(Students!$F:$F,$AK52,Students!$G:$G,$AK$2&amp;if($K52="S1","a",if($K52="S2","b","")),Students!$A:$A,AP$2)+countifs(Students!$H:$H,$AK52,Students!$I:$I,$AK$2&amp;if($K52="S1","a",if($K52="S2","b","")),Students!$A:$A,AP$2)+countifs(Students!$J:$J,$AK52,Students!$K:$K,$AK$2&amp;if($K52="S1","a",if($K52="S2","b","")),Students!$A:$A,AP$2)+countifs(Students!$L:$L,$AK52,Students!$M:$M,$AK$2&amp;if($K52="S1","a",if($K52="S2","b","")),Students!$A:$A,AP$2)+countifs(Students!$N:$N,$AK52,Students!$O:$O,$AK$2&amp;if($K52="S1","a",if($K52="S2","b","")),Students!$A:$A,AP$2)+countifs(Students!$P:$P,$AK52,Students!$Q:$Q,$AK$2&amp;if($K52="S1","a",if($K52="S2","b","")),Students!$A:$A,AP$2)+countifs(Students!$R:$R,$AK52,Students!$S:$S,$AK$2&amp;if($K52="S1","a",if($K52="S2","b","")),Students!$A:$A,AP$2)+countifs(Students!$T:$T,$AK52,Students!$U:$U,$AK$2&amp;if($K52="S1","a",if($K52="S2","b","")),Students!$A:$A,AP$2)+countifs(Students!$V:$V,$AK52,Students!$W:$W,$AK$2&amp;if($K52="S1","a",if($K52="S2","b","")),Students!$A:$A,AP$2))</f>
        <v/>
      </c>
      <c r="AQ52" s="102" t="str">
        <f>if($L52="","",countifs(Students!$D:$D,$P52,Students!$E:$E,$P$2&amp;if($K52="S1","a",if($K52="S2","b","")),Students!$A:$A,AQ$2)+countifs(Students!$F:$F,$P52,Students!$G:$G,$P$2&amp;if($K52="S1","a",if($K52="S2","b","")),Students!$A:$A,AQ$2)+countifs(Students!$H:$H,$P52,Students!$I:$I,$P$2&amp;if($K52="S1","a",if($K52="S2","b","")),Students!$A:$A,AQ$2)+countifs(Students!$J:$J,$P52,Students!$K:$K,$P$2&amp;if($K52="S1","a",if($K52="S2","b","")),Students!$A:$A,AQ$2)+countifs(Students!$L:$L,$P52,Students!$M:$M,$P$2&amp;if($K52="S1","a",if($K52="S2","b","")),Students!$A:$A,AQ$2)+countifs(Students!$N:$N,$P52,Students!$O:$O,$P$2&amp;if($K52="S1","a",if($K52="S2","b","")),Students!$A:$A,AQ$2)+countifs(Students!$P:$P,$P52,Students!$Q:$Q,$P$2&amp;if($K52="S1","a",if($K52="S2","b","")),Students!$A:$A,AQ$2)+countifs(Students!$R:$R,$P52,Students!$S:$S,$P$2&amp;if($K52="S1","a",if($K52="S2","b","")),Students!$A:$A,AQ$2)+countifs(Students!$T:$T,$P52,Students!$U:$U,$P$2&amp;if($K52="S1","a",if($K52="S2","b","")),Students!$A:$A,AQ$2)+countifs(Students!$V:$V,$P52,Students!$W:$W,$P$2&amp;if($K52="S1","a",if($K52="S2","b","")),Students!$A:$A,AQ$2)+
countifs(Students!$D:$D,$S52,Students!$E:$E,$S$2&amp;if($K52="S1","a",if($K52="S2","b","")),Students!$A:$A,AQ$2)+countifs(Students!$F:$F,$S52,Students!$G:$G,$S$2&amp;if($K52="S1","a",if($K52="S2","b","")),Students!$A:$A,AQ$2)+countifs(Students!$H:$H,$S52,Students!$I:$I,$S$2&amp;if($K52="S1","a",if($K52="S2","b","")),Students!$A:$A,AQ$2)+countifs(Students!$J:$J,$S52,Students!$K:$K,$S$2&amp;if($K52="S1","a",if($K52="S2","b","")),Students!$A:$A,AQ$2)+countifs(Students!$L:$L,$S52,Students!$M:$M,$S$2&amp;if($K52="S1","a",if($K52="S2","b","")),Students!$A:$A,AQ$2)+countifs(Students!$N:$N,$S52,Students!$O:$O,$S$2&amp;if($K52="S1","a",if($K52="S2","b","")),Students!$A:$A,AQ$2)+countifs(Students!$P:$P,$S52,Students!$Q:$Q,$S$2&amp;if($K52="S1","a",if($K52="S2","b","")),Students!$A:$A,AQ$2)+countifs(Students!$R:$R,$S52,Students!$S:$S,$S$2&amp;if($K52="S1","a",if($K52="S2","b","")),Students!$A:$A,AQ$2)+countifs(Students!$T:$T,$S52,Students!$U:$U,$S$2&amp;if($K52="S1","a",if($K52="S2","b","")),Students!$A:$A,AQ$2)+countifs(Students!$V:$V,$S52,Students!$W:$W,$S$2&amp;if($K52="S1","a",if($K52="S2","b","")),Students!$A:$A,AQ$2)+
countifs(Students!$D:$D,$V52,Students!$E:$E,$V$2&amp;if($K52="S1","a",if($K52="S2","b","")),Students!$A:$A,AQ$2)+countifs(Students!$F:$F,$V52,Students!$G:$G,$V$2&amp;if($K52="S1","a",if($K52="S2","b","")),Students!$A:$A,AQ$2)+countifs(Students!$H:$H,$V52,Students!$I:$I,$V$2&amp;if($K52="S1","a",if($K52="S2","b","")),Students!$A:$A,AQ$2)+countifs(Students!$J:$J,$V52,Students!$K:$K,$V$2&amp;if($K52="S1","a",if($K52="S2","b","")),Students!$A:$A,AQ$2)+countifs(Students!$L:$L,$V52,Students!$M:$M,$V$2&amp;if($K52="S1","a",if($K52="S2","b","")),Students!$A:$A,AQ$2)+countifs(Students!$N:$N,$V52,Students!$O:$O,$V$2&amp;if($K52="S1","a",if($K52="S2","b","")),Students!$A:$A,AQ$2)+countifs(Students!$P:$P,$V52,Students!$Q:$Q,$V$2&amp;if($K52="S1","a",if($K52="S2","b","")),Students!$A:$A,AQ$2)+countifs(Students!$R:$R,$V52,Students!$S:$S,$V$2&amp;if($K52="S1","a",if($K52="S2","b","")),Students!$A:$A,AQ$2)+countifs(Students!$T:$T,$V52,Students!$U:$U,$V$2&amp;if($K52="S1","a",if($K52="S2","b","")),Students!$A:$A,AQ$2)+countifs(Students!$V:$V,$V52,Students!$W:$W,$V$2&amp;if($K52="S1","a",if($K52="S2","b","")),Students!$A:$A,AQ$2)+
countifs(Students!$D:$D,$Y52,Students!$E:$E,$Y$2&amp;if($K52="S1","a",if($K52="S2","b","")),Students!$A:$A,AQ$2)+countifs(Students!$F:$F,$Y52,Students!$G:$G,$Y$2&amp;if($K52="S1","a",if($K52="S2","b","")),Students!$A:$A,AQ$2)+countifs(Students!$H:$H,$Y52,Students!$I:$I,$Y$2&amp;if($K52="S1","a",if($K52="S2","b","")),Students!$A:$A,AQ$2)+countifs(Students!$J:$J,$Y52,Students!$K:$K,$Y$2&amp;if($K52="S1","a",if($K52="S2","b","")),Students!$A:$A,AQ$2)+countifs(Students!$L:$L,$Y52,Students!$M:$M,$Y$2&amp;if($K52="S1","a",if($K52="S2","b","")),Students!$A:$A,AQ$2)+countifs(Students!$N:$N,$Y52,Students!$O:$O,$Y$2&amp;if($K52="S1","a",if($K52="S2","b","")),Students!$A:$A,AQ$2)+countifs(Students!$P:$P,$Y52,Students!$Q:$Q,$Y$2&amp;if($K52="S1","a",if($K52="S2","b","")),Students!$A:$A,AQ$2)+countifs(Students!$R:$R,$Y52,Students!$S:$S,$Y$2&amp;if($K52="S1","a",if($K52="S2","b","")),Students!$A:$A,AQ$2)+countifs(Students!$T:$T,$Y52,Students!$U:$U,$Y$2&amp;if($K52="S1","a",if($K52="S2","b","")),Students!$A:$A,AQ$2)+countifs(Students!$V:$V,$Y52,Students!$W:$W,$Y$2&amp;if($K52="S1","a",if($K52="S2","b","")),Students!$A:$A,AQ$2)+
countifs(Students!$D:$D,$AB52,Students!$E:$E,$AB$2&amp;if($K52="S1","a",if($K52="S2","b","")),Students!$A:$A,AQ$2)+countifs(Students!$F:$F,$AB52,Students!$G:$G,$AB$2&amp;if($K52="S1","a",if($K52="S2","b","")),Students!$A:$A,AQ$2)+countifs(Students!$H:$H,$AB52,Students!$I:$I,$AB$2&amp;if($K52="S1","a",if($K52="S2","b","")),Students!$A:$A,AQ$2)+countifs(Students!$J:$J,$AB52,Students!$K:$K,$AB$2&amp;if($K52="S1","a",if($K52="S2","b","")),Students!$A:$A,AQ$2)+countifs(Students!$L:$L,$AB52,Students!$M:$M,$AB$2&amp;if($K52="S1","a",if($K52="S2","b","")),Students!$A:$A,AQ$2)+countifs(Students!$N:$N,$AB52,Students!$O:$O,$AB$2&amp;if($K52="S1","a",if($K52="S2","b","")),Students!$A:$A,AQ$2)+countifs(Students!$P:$P,$AB52,Students!$Q:$Q,$AB$2&amp;if($K52="S1","a",if($K52="S2","b","")),Students!$A:$A,AQ$2)+countifs(Students!$R:$R,$AB52,Students!$S:$S,$AB$2&amp;if($K52="S1","a",if($K52="S2","b","")),Students!$A:$A,AQ$2)+countifs(Students!$T:$T,$AB52,Students!$U:$U,$AB$2&amp;if($K52="S1","a",if($K52="S2","b","")),Students!$A:$A,AQ$2)+countifs(Students!$V:$V,$AB52,Students!$W:$W,$AB$2&amp;if($K52="S1","a",if($K52="S2","b","")),Students!$A:$A,AQ$2)+
countifs(Students!$D:$D,$AE52,Students!$E:$E,$AE$2&amp;if($K52="S1","a",if($K52="S2","b","")),Students!$A:$A,AQ$2)+countifs(Students!$F:$F,$AE52,Students!$G:$G,$AE$2&amp;if($K52="S1","a",if($K52="S2","b","")),Students!$A:$A,AQ$2)+countifs(Students!$H:$H,$AE52,Students!$I:$I,$AE$2&amp;if($K52="S1","a",if($K52="S2","b","")),Students!$A:$A,AQ$2)+countifs(Students!$J:$J,$AE52,Students!$K:$K,$AE$2&amp;if($K52="S1","a",if($K52="S2","b","")),Students!$A:$A,AQ$2)+countifs(Students!$L:$L,$AE52,Students!$M:$M,$AE$2&amp;if($K52="S1","a",if($K52="S2","b","")),Students!$A:$A,AQ$2)+countifs(Students!$N:$N,$AE52,Students!$O:$O,$AE$2&amp;if($K52="S1","a",if($K52="S2","b","")),Students!$A:$A,AQ$2)+countifs(Students!$P:$P,$AE52,Students!$Q:$Q,$AE$2&amp;if($K52="S1","a",if($K52="S2","b","")),Students!$A:$A,AQ$2)+countifs(Students!$R:$R,$AE52,Students!$S:$S,$AE$2&amp;if($K52="S1","a",if($K52="S2","b","")),Students!$A:$A,AQ$2)+countifs(Students!$T:$T,$AE52,Students!$U:$U,$AE$2&amp;if($K52="S1","a",if($K52="S2","b","")),Students!$A:$A,AQ$2)+countifs(Students!$V:$V,$AE52,Students!$W:$W,$AE$2&amp;if($K52="S1","a",if($K52="S2","b","")),Students!$A:$A,AQ$2)+
countifs(Students!$D:$D,$AH52,Students!$E:$E,$AH$2&amp;if($K52="S1","a",if($K52="S2","b","")),Students!$A:$A,AQ$2)+countifs(Students!$F:$F,$AH52,Students!$G:$G,$AH$2&amp;if($K52="S1","a",if($K52="S2","b","")),Students!$A:$A,AQ$2)+countifs(Students!$H:$H,$AH52,Students!$I:$I,$AH$2&amp;if($K52="S1","a",if($K52="S2","b","")),Students!$A:$A,AQ$2)+countifs(Students!$J:$J,$AH52,Students!$K:$K,$AH$2&amp;if($K52="S1","a",if($K52="S2","b","")),Students!$A:$A,AQ$2)+countifs(Students!$L:$L,$AH52,Students!$M:$M,$AH$2&amp;if($K52="S1","a",if($K52="S2","b","")),Students!$A:$A,AQ$2)+countifs(Students!$N:$N,$AH52,Students!$O:$O,$AH$2&amp;if($K52="S1","a",if($K52="S2","b","")),Students!$A:$A,AQ$2)+countifs(Students!$P:$P,$AH52,Students!$Q:$Q,$AH$2&amp;if($K52="S1","a",if($K52="S2","b","")),Students!$A:$A,AQ$2)+countifs(Students!$R:$R,$AH52,Students!$S:$S,$AH$2&amp;if($K52="S1","a",if($K52="S2","b","")),Students!$A:$A,AQ$2)+countifs(Students!$T:$T,$AH52,Students!$U:$U,$AH$2&amp;if($K52="S1","a",if($K52="S2","b","")),Students!$A:$A,AQ$2)+countifs(Students!$V:$V,$AH52,Students!$W:$W,$AH$2&amp;if($K52="S1","a",if($K52="S2","b","")),Students!$A:$A,AQ$2)+
countifs(Students!$D:$D,$AK52,Students!$E:$E,$AK$2&amp;if($K52="S1","a",if($K52="S2","b","")),Students!$A:$A,AQ$2)+countifs(Students!$F:$F,$AK52,Students!$G:$G,$AK$2&amp;if($K52="S1","a",if($K52="S2","b","")),Students!$A:$A,AQ$2)+countifs(Students!$H:$H,$AK52,Students!$I:$I,$AK$2&amp;if($K52="S1","a",if($K52="S2","b","")),Students!$A:$A,AQ$2)+countifs(Students!$J:$J,$AK52,Students!$K:$K,$AK$2&amp;if($K52="S1","a",if($K52="S2","b","")),Students!$A:$A,AQ$2)+countifs(Students!$L:$L,$AK52,Students!$M:$M,$AK$2&amp;if($K52="S1","a",if($K52="S2","b","")),Students!$A:$A,AQ$2)+countifs(Students!$N:$N,$AK52,Students!$O:$O,$AK$2&amp;if($K52="S1","a",if($K52="S2","b","")),Students!$A:$A,AQ$2)+countifs(Students!$P:$P,$AK52,Students!$Q:$Q,$AK$2&amp;if($K52="S1","a",if($K52="S2","b","")),Students!$A:$A,AQ$2)+countifs(Students!$R:$R,$AK52,Students!$S:$S,$AK$2&amp;if($K52="S1","a",if($K52="S2","b","")),Students!$A:$A,AQ$2)+countifs(Students!$T:$T,$AK52,Students!$U:$U,$AK$2&amp;if($K52="S1","a",if($K52="S2","b","")),Students!$A:$A,AQ$2)+countifs(Students!$V:$V,$AK52,Students!$W:$W,$AK$2&amp;if($K52="S1","a",if($K52="S2","b","")),Students!$A:$A,AQ$2))</f>
        <v/>
      </c>
      <c r="AR52" s="102" t="str">
        <f>if($L52="","",countifs(Students!$D:$D,$P52,Students!$E:$E,$P$2&amp;if($K52="S1","a",if($K52="S2","b","")),Students!$A:$A,AR$2)+countifs(Students!$F:$F,$P52,Students!$G:$G,$P$2&amp;if($K52="S1","a",if($K52="S2","b","")),Students!$A:$A,AR$2)+countifs(Students!$H:$H,$P52,Students!$I:$I,$P$2&amp;if($K52="S1","a",if($K52="S2","b","")),Students!$A:$A,AR$2)+countifs(Students!$J:$J,$P52,Students!$K:$K,$P$2&amp;if($K52="S1","a",if($K52="S2","b","")),Students!$A:$A,AR$2)+countifs(Students!$L:$L,$P52,Students!$M:$M,$P$2&amp;if($K52="S1","a",if($K52="S2","b","")),Students!$A:$A,AR$2)+countifs(Students!$N:$N,$P52,Students!$O:$O,$P$2&amp;if($K52="S1","a",if($K52="S2","b","")),Students!$A:$A,AR$2)+countifs(Students!$P:$P,$P52,Students!$Q:$Q,$P$2&amp;if($K52="S1","a",if($K52="S2","b","")),Students!$A:$A,AR$2)+countifs(Students!$R:$R,$P52,Students!$S:$S,$P$2&amp;if($K52="S1","a",if($K52="S2","b","")),Students!$A:$A,AR$2)+countifs(Students!$T:$T,$P52,Students!$U:$U,$P$2&amp;if($K52="S1","a",if($K52="S2","b","")),Students!$A:$A,AR$2)+countifs(Students!$V:$V,$P52,Students!$W:$W,$P$2&amp;if($K52="S1","a",if($K52="S2","b","")),Students!$A:$A,AR$2)+
countifs(Students!$D:$D,$S52,Students!$E:$E,$S$2&amp;if($K52="S1","a",if($K52="S2","b","")),Students!$A:$A,AR$2)+countifs(Students!$F:$F,$S52,Students!$G:$G,$S$2&amp;if($K52="S1","a",if($K52="S2","b","")),Students!$A:$A,AR$2)+countifs(Students!$H:$H,$S52,Students!$I:$I,$S$2&amp;if($K52="S1","a",if($K52="S2","b","")),Students!$A:$A,AR$2)+countifs(Students!$J:$J,$S52,Students!$K:$K,$S$2&amp;if($K52="S1","a",if($K52="S2","b","")),Students!$A:$A,AR$2)+countifs(Students!$L:$L,$S52,Students!$M:$M,$S$2&amp;if($K52="S1","a",if($K52="S2","b","")),Students!$A:$A,AR$2)+countifs(Students!$N:$N,$S52,Students!$O:$O,$S$2&amp;if($K52="S1","a",if($K52="S2","b","")),Students!$A:$A,AR$2)+countifs(Students!$P:$P,$S52,Students!$Q:$Q,$S$2&amp;if($K52="S1","a",if($K52="S2","b","")),Students!$A:$A,AR$2)+countifs(Students!$R:$R,$S52,Students!$S:$S,$S$2&amp;if($K52="S1","a",if($K52="S2","b","")),Students!$A:$A,AR$2)+countifs(Students!$T:$T,$S52,Students!$U:$U,$S$2&amp;if($K52="S1","a",if($K52="S2","b","")),Students!$A:$A,AR$2)+countifs(Students!$V:$V,$S52,Students!$W:$W,$S$2&amp;if($K52="S1","a",if($K52="S2","b","")),Students!$A:$A,AR$2)+
countifs(Students!$D:$D,$V52,Students!$E:$E,$V$2&amp;if($K52="S1","a",if($K52="S2","b","")),Students!$A:$A,AR$2)+countifs(Students!$F:$F,$V52,Students!$G:$G,$V$2&amp;if($K52="S1","a",if($K52="S2","b","")),Students!$A:$A,AR$2)+countifs(Students!$H:$H,$V52,Students!$I:$I,$V$2&amp;if($K52="S1","a",if($K52="S2","b","")),Students!$A:$A,AR$2)+countifs(Students!$J:$J,$V52,Students!$K:$K,$V$2&amp;if($K52="S1","a",if($K52="S2","b","")),Students!$A:$A,AR$2)+countifs(Students!$L:$L,$V52,Students!$M:$M,$V$2&amp;if($K52="S1","a",if($K52="S2","b","")),Students!$A:$A,AR$2)+countifs(Students!$N:$N,$V52,Students!$O:$O,$V$2&amp;if($K52="S1","a",if($K52="S2","b","")),Students!$A:$A,AR$2)+countifs(Students!$P:$P,$V52,Students!$Q:$Q,$V$2&amp;if($K52="S1","a",if($K52="S2","b","")),Students!$A:$A,AR$2)+countifs(Students!$R:$R,$V52,Students!$S:$S,$V$2&amp;if($K52="S1","a",if($K52="S2","b","")),Students!$A:$A,AR$2)+countifs(Students!$T:$T,$V52,Students!$U:$U,$V$2&amp;if($K52="S1","a",if($K52="S2","b","")),Students!$A:$A,AR$2)+countifs(Students!$V:$V,$V52,Students!$W:$W,$V$2&amp;if($K52="S1","a",if($K52="S2","b","")),Students!$A:$A,AR$2)+
countifs(Students!$D:$D,$Y52,Students!$E:$E,$Y$2&amp;if($K52="S1","a",if($K52="S2","b","")),Students!$A:$A,AR$2)+countifs(Students!$F:$F,$Y52,Students!$G:$G,$Y$2&amp;if($K52="S1","a",if($K52="S2","b","")),Students!$A:$A,AR$2)+countifs(Students!$H:$H,$Y52,Students!$I:$I,$Y$2&amp;if($K52="S1","a",if($K52="S2","b","")),Students!$A:$A,AR$2)+countifs(Students!$J:$J,$Y52,Students!$K:$K,$Y$2&amp;if($K52="S1","a",if($K52="S2","b","")),Students!$A:$A,AR$2)+countifs(Students!$L:$L,$Y52,Students!$M:$M,$Y$2&amp;if($K52="S1","a",if($K52="S2","b","")),Students!$A:$A,AR$2)+countifs(Students!$N:$N,$Y52,Students!$O:$O,$Y$2&amp;if($K52="S1","a",if($K52="S2","b","")),Students!$A:$A,AR$2)+countifs(Students!$P:$P,$Y52,Students!$Q:$Q,$Y$2&amp;if($K52="S1","a",if($K52="S2","b","")),Students!$A:$A,AR$2)+countifs(Students!$R:$R,$Y52,Students!$S:$S,$Y$2&amp;if($K52="S1","a",if($K52="S2","b","")),Students!$A:$A,AR$2)+countifs(Students!$T:$T,$Y52,Students!$U:$U,$Y$2&amp;if($K52="S1","a",if($K52="S2","b","")),Students!$A:$A,AR$2)+countifs(Students!$V:$V,$Y52,Students!$W:$W,$Y$2&amp;if($K52="S1","a",if($K52="S2","b","")),Students!$A:$A,AR$2)+
countifs(Students!$D:$D,$AB52,Students!$E:$E,$AB$2&amp;if($K52="S1","a",if($K52="S2","b","")),Students!$A:$A,AR$2)+countifs(Students!$F:$F,$AB52,Students!$G:$G,$AB$2&amp;if($K52="S1","a",if($K52="S2","b","")),Students!$A:$A,AR$2)+countifs(Students!$H:$H,$AB52,Students!$I:$I,$AB$2&amp;if($K52="S1","a",if($K52="S2","b","")),Students!$A:$A,AR$2)+countifs(Students!$J:$J,$AB52,Students!$K:$K,$AB$2&amp;if($K52="S1","a",if($K52="S2","b","")),Students!$A:$A,AR$2)+countifs(Students!$L:$L,$AB52,Students!$M:$M,$AB$2&amp;if($K52="S1","a",if($K52="S2","b","")),Students!$A:$A,AR$2)+countifs(Students!$N:$N,$AB52,Students!$O:$O,$AB$2&amp;if($K52="S1","a",if($K52="S2","b","")),Students!$A:$A,AR$2)+countifs(Students!$P:$P,$AB52,Students!$Q:$Q,$AB$2&amp;if($K52="S1","a",if($K52="S2","b","")),Students!$A:$A,AR$2)+countifs(Students!$R:$R,$AB52,Students!$S:$S,$AB$2&amp;if($K52="S1","a",if($K52="S2","b","")),Students!$A:$A,AR$2)+countifs(Students!$T:$T,$AB52,Students!$U:$U,$AB$2&amp;if($K52="S1","a",if($K52="S2","b","")),Students!$A:$A,AR$2)+countifs(Students!$V:$V,$AB52,Students!$W:$W,$AB$2&amp;if($K52="S1","a",if($K52="S2","b","")),Students!$A:$A,AR$2)+
countifs(Students!$D:$D,$AE52,Students!$E:$E,$AE$2&amp;if($K52="S1","a",if($K52="S2","b","")),Students!$A:$A,AR$2)+countifs(Students!$F:$F,$AE52,Students!$G:$G,$AE$2&amp;if($K52="S1","a",if($K52="S2","b","")),Students!$A:$A,AR$2)+countifs(Students!$H:$H,$AE52,Students!$I:$I,$AE$2&amp;if($K52="S1","a",if($K52="S2","b","")),Students!$A:$A,AR$2)+countifs(Students!$J:$J,$AE52,Students!$K:$K,$AE$2&amp;if($K52="S1","a",if($K52="S2","b","")),Students!$A:$A,AR$2)+countifs(Students!$L:$L,$AE52,Students!$M:$M,$AE$2&amp;if($K52="S1","a",if($K52="S2","b","")),Students!$A:$A,AR$2)+countifs(Students!$N:$N,$AE52,Students!$O:$O,$AE$2&amp;if($K52="S1","a",if($K52="S2","b","")),Students!$A:$A,AR$2)+countifs(Students!$P:$P,$AE52,Students!$Q:$Q,$AE$2&amp;if($K52="S1","a",if($K52="S2","b","")),Students!$A:$A,AR$2)+countifs(Students!$R:$R,$AE52,Students!$S:$S,$AE$2&amp;if($K52="S1","a",if($K52="S2","b","")),Students!$A:$A,AR$2)+countifs(Students!$T:$T,$AE52,Students!$U:$U,$AE$2&amp;if($K52="S1","a",if($K52="S2","b","")),Students!$A:$A,AR$2)+countifs(Students!$V:$V,$AE52,Students!$W:$W,$AE$2&amp;if($K52="S1","a",if($K52="S2","b","")),Students!$A:$A,AR$2)+
countifs(Students!$D:$D,$AH52,Students!$E:$E,$AH$2&amp;if($K52="S1","a",if($K52="S2","b","")),Students!$A:$A,AR$2)+countifs(Students!$F:$F,$AH52,Students!$G:$G,$AH$2&amp;if($K52="S1","a",if($K52="S2","b","")),Students!$A:$A,AR$2)+countifs(Students!$H:$H,$AH52,Students!$I:$I,$AH$2&amp;if($K52="S1","a",if($K52="S2","b","")),Students!$A:$A,AR$2)+countifs(Students!$J:$J,$AH52,Students!$K:$K,$AH$2&amp;if($K52="S1","a",if($K52="S2","b","")),Students!$A:$A,AR$2)+countifs(Students!$L:$L,$AH52,Students!$M:$M,$AH$2&amp;if($K52="S1","a",if($K52="S2","b","")),Students!$A:$A,AR$2)+countifs(Students!$N:$N,$AH52,Students!$O:$O,$AH$2&amp;if($K52="S1","a",if($K52="S2","b","")),Students!$A:$A,AR$2)+countifs(Students!$P:$P,$AH52,Students!$Q:$Q,$AH$2&amp;if($K52="S1","a",if($K52="S2","b","")),Students!$A:$A,AR$2)+countifs(Students!$R:$R,$AH52,Students!$S:$S,$AH$2&amp;if($K52="S1","a",if($K52="S2","b","")),Students!$A:$A,AR$2)+countifs(Students!$T:$T,$AH52,Students!$U:$U,$AH$2&amp;if($K52="S1","a",if($K52="S2","b","")),Students!$A:$A,AR$2)+countifs(Students!$V:$V,$AH52,Students!$W:$W,$AH$2&amp;if($K52="S1","a",if($K52="S2","b","")),Students!$A:$A,AR$2)+
countifs(Students!$D:$D,$AK52,Students!$E:$E,$AK$2&amp;if($K52="S1","a",if($K52="S2","b","")),Students!$A:$A,AR$2)+countifs(Students!$F:$F,$AK52,Students!$G:$G,$AK$2&amp;if($K52="S1","a",if($K52="S2","b","")),Students!$A:$A,AR$2)+countifs(Students!$H:$H,$AK52,Students!$I:$I,$AK$2&amp;if($K52="S1","a",if($K52="S2","b","")),Students!$A:$A,AR$2)+countifs(Students!$J:$J,$AK52,Students!$K:$K,$AK$2&amp;if($K52="S1","a",if($K52="S2","b","")),Students!$A:$A,AR$2)+countifs(Students!$L:$L,$AK52,Students!$M:$M,$AK$2&amp;if($K52="S1","a",if($K52="S2","b","")),Students!$A:$A,AR$2)+countifs(Students!$N:$N,$AK52,Students!$O:$O,$AK$2&amp;if($K52="S1","a",if($K52="S2","b","")),Students!$A:$A,AR$2)+countifs(Students!$P:$P,$AK52,Students!$Q:$Q,$AK$2&amp;if($K52="S1","a",if($K52="S2","b","")),Students!$A:$A,AR$2)+countifs(Students!$R:$R,$AK52,Students!$S:$S,$AK$2&amp;if($K52="S1","a",if($K52="S2","b","")),Students!$A:$A,AR$2)+countifs(Students!$T:$T,$AK52,Students!$U:$U,$AK$2&amp;if($K52="S1","a",if($K52="S2","b","")),Students!$A:$A,AR$2)+countifs(Students!$V:$V,$AK52,Students!$W:$W,$AK$2&amp;if($K52="S1","a",if($K52="S2","b","")),Students!$A:$A,AR$2))</f>
        <v/>
      </c>
      <c r="AS52" s="102" t="str">
        <f>if($L52="","",countifs(Students!$D:$D,$P52,Students!$E:$E,$P$2&amp;if($K52="S1","a",if($K52="S2","b","")),Students!$A:$A,AS$2)+countifs(Students!$F:$F,$P52,Students!$G:$G,$P$2&amp;if($K52="S1","a",if($K52="S2","b","")),Students!$A:$A,AS$2)+countifs(Students!$H:$H,$P52,Students!$I:$I,$P$2&amp;if($K52="S1","a",if($K52="S2","b","")),Students!$A:$A,AS$2)+countifs(Students!$J:$J,$P52,Students!$K:$K,$P$2&amp;if($K52="S1","a",if($K52="S2","b","")),Students!$A:$A,AS$2)+countifs(Students!$L:$L,$P52,Students!$M:$M,$P$2&amp;if($K52="S1","a",if($K52="S2","b","")),Students!$A:$A,AS$2)+countifs(Students!$N:$N,$P52,Students!$O:$O,$P$2&amp;if($K52="S1","a",if($K52="S2","b","")),Students!$A:$A,AS$2)+countifs(Students!$P:$P,$P52,Students!$Q:$Q,$P$2&amp;if($K52="S1","a",if($K52="S2","b","")),Students!$A:$A,AS$2)+countifs(Students!$R:$R,$P52,Students!$S:$S,$P$2&amp;if($K52="S1","a",if($K52="S2","b","")),Students!$A:$A,AS$2)+countifs(Students!$T:$T,$P52,Students!$U:$U,$P$2&amp;if($K52="S1","a",if($K52="S2","b","")),Students!$A:$A,AS$2)+countifs(Students!$V:$V,$P52,Students!$W:$W,$P$2&amp;if($K52="S1","a",if($K52="S2","b","")),Students!$A:$A,AS$2)+
countifs(Students!$D:$D,$S52,Students!$E:$E,$S$2&amp;if($K52="S1","a",if($K52="S2","b","")),Students!$A:$A,AS$2)+countifs(Students!$F:$F,$S52,Students!$G:$G,$S$2&amp;if($K52="S1","a",if($K52="S2","b","")),Students!$A:$A,AS$2)+countifs(Students!$H:$H,$S52,Students!$I:$I,$S$2&amp;if($K52="S1","a",if($K52="S2","b","")),Students!$A:$A,AS$2)+countifs(Students!$J:$J,$S52,Students!$K:$K,$S$2&amp;if($K52="S1","a",if($K52="S2","b","")),Students!$A:$A,AS$2)+countifs(Students!$L:$L,$S52,Students!$M:$M,$S$2&amp;if($K52="S1","a",if($K52="S2","b","")),Students!$A:$A,AS$2)+countifs(Students!$N:$N,$S52,Students!$O:$O,$S$2&amp;if($K52="S1","a",if($K52="S2","b","")),Students!$A:$A,AS$2)+countifs(Students!$P:$P,$S52,Students!$Q:$Q,$S$2&amp;if($K52="S1","a",if($K52="S2","b","")),Students!$A:$A,AS$2)+countifs(Students!$R:$R,$S52,Students!$S:$S,$S$2&amp;if($K52="S1","a",if($K52="S2","b","")),Students!$A:$A,AS$2)+countifs(Students!$T:$T,$S52,Students!$U:$U,$S$2&amp;if($K52="S1","a",if($K52="S2","b","")),Students!$A:$A,AS$2)+countifs(Students!$V:$V,$S52,Students!$W:$W,$S$2&amp;if($K52="S1","a",if($K52="S2","b","")),Students!$A:$A,AS$2)+
countifs(Students!$D:$D,$V52,Students!$E:$E,$V$2&amp;if($K52="S1","a",if($K52="S2","b","")),Students!$A:$A,AS$2)+countifs(Students!$F:$F,$V52,Students!$G:$G,$V$2&amp;if($K52="S1","a",if($K52="S2","b","")),Students!$A:$A,AS$2)+countifs(Students!$H:$H,$V52,Students!$I:$I,$V$2&amp;if($K52="S1","a",if($K52="S2","b","")),Students!$A:$A,AS$2)+countifs(Students!$J:$J,$V52,Students!$K:$K,$V$2&amp;if($K52="S1","a",if($K52="S2","b","")),Students!$A:$A,AS$2)+countifs(Students!$L:$L,$V52,Students!$M:$M,$V$2&amp;if($K52="S1","a",if($K52="S2","b","")),Students!$A:$A,AS$2)+countifs(Students!$N:$N,$V52,Students!$O:$O,$V$2&amp;if($K52="S1","a",if($K52="S2","b","")),Students!$A:$A,AS$2)+countifs(Students!$P:$P,$V52,Students!$Q:$Q,$V$2&amp;if($K52="S1","a",if($K52="S2","b","")),Students!$A:$A,AS$2)+countifs(Students!$R:$R,$V52,Students!$S:$S,$V$2&amp;if($K52="S1","a",if($K52="S2","b","")),Students!$A:$A,AS$2)+countifs(Students!$T:$T,$V52,Students!$U:$U,$V$2&amp;if($K52="S1","a",if($K52="S2","b","")),Students!$A:$A,AS$2)+countifs(Students!$V:$V,$V52,Students!$W:$W,$V$2&amp;if($K52="S1","a",if($K52="S2","b","")),Students!$A:$A,AS$2)+
countifs(Students!$D:$D,$Y52,Students!$E:$E,$Y$2&amp;if($K52="S1","a",if($K52="S2","b","")),Students!$A:$A,AS$2)+countifs(Students!$F:$F,$Y52,Students!$G:$G,$Y$2&amp;if($K52="S1","a",if($K52="S2","b","")),Students!$A:$A,AS$2)+countifs(Students!$H:$H,$Y52,Students!$I:$I,$Y$2&amp;if($K52="S1","a",if($K52="S2","b","")),Students!$A:$A,AS$2)+countifs(Students!$J:$J,$Y52,Students!$K:$K,$Y$2&amp;if($K52="S1","a",if($K52="S2","b","")),Students!$A:$A,AS$2)+countifs(Students!$L:$L,$Y52,Students!$M:$M,$Y$2&amp;if($K52="S1","a",if($K52="S2","b","")),Students!$A:$A,AS$2)+countifs(Students!$N:$N,$Y52,Students!$O:$O,$Y$2&amp;if($K52="S1","a",if($K52="S2","b","")),Students!$A:$A,AS$2)+countifs(Students!$P:$P,$Y52,Students!$Q:$Q,$Y$2&amp;if($K52="S1","a",if($K52="S2","b","")),Students!$A:$A,AS$2)+countifs(Students!$R:$R,$Y52,Students!$S:$S,$Y$2&amp;if($K52="S1","a",if($K52="S2","b","")),Students!$A:$A,AS$2)+countifs(Students!$T:$T,$Y52,Students!$U:$U,$Y$2&amp;if($K52="S1","a",if($K52="S2","b","")),Students!$A:$A,AS$2)+countifs(Students!$V:$V,$Y52,Students!$W:$W,$Y$2&amp;if($K52="S1","a",if($K52="S2","b","")),Students!$A:$A,AS$2)+
countifs(Students!$D:$D,$AB52,Students!$E:$E,$AB$2&amp;if($K52="S1","a",if($K52="S2","b","")),Students!$A:$A,AS$2)+countifs(Students!$F:$F,$AB52,Students!$G:$G,$AB$2&amp;if($K52="S1","a",if($K52="S2","b","")),Students!$A:$A,AS$2)+countifs(Students!$H:$H,$AB52,Students!$I:$I,$AB$2&amp;if($K52="S1","a",if($K52="S2","b","")),Students!$A:$A,AS$2)+countifs(Students!$J:$J,$AB52,Students!$K:$K,$AB$2&amp;if($K52="S1","a",if($K52="S2","b","")),Students!$A:$A,AS$2)+countifs(Students!$L:$L,$AB52,Students!$M:$M,$AB$2&amp;if($K52="S1","a",if($K52="S2","b","")),Students!$A:$A,AS$2)+countifs(Students!$N:$N,$AB52,Students!$O:$O,$AB$2&amp;if($K52="S1","a",if($K52="S2","b","")),Students!$A:$A,AS$2)+countifs(Students!$P:$P,$AB52,Students!$Q:$Q,$AB$2&amp;if($K52="S1","a",if($K52="S2","b","")),Students!$A:$A,AS$2)+countifs(Students!$R:$R,$AB52,Students!$S:$S,$AB$2&amp;if($K52="S1","a",if($K52="S2","b","")),Students!$A:$A,AS$2)+countifs(Students!$T:$T,$AB52,Students!$U:$U,$AB$2&amp;if($K52="S1","a",if($K52="S2","b","")),Students!$A:$A,AS$2)+countifs(Students!$V:$V,$AB52,Students!$W:$W,$AB$2&amp;if($K52="S1","a",if($K52="S2","b","")),Students!$A:$A,AS$2)+
countifs(Students!$D:$D,$AE52,Students!$E:$E,$AE$2&amp;if($K52="S1","a",if($K52="S2","b","")),Students!$A:$A,AS$2)+countifs(Students!$F:$F,$AE52,Students!$G:$G,$AE$2&amp;if($K52="S1","a",if($K52="S2","b","")),Students!$A:$A,AS$2)+countifs(Students!$H:$H,$AE52,Students!$I:$I,$AE$2&amp;if($K52="S1","a",if($K52="S2","b","")),Students!$A:$A,AS$2)+countifs(Students!$J:$J,$AE52,Students!$K:$K,$AE$2&amp;if($K52="S1","a",if($K52="S2","b","")),Students!$A:$A,AS$2)+countifs(Students!$L:$L,$AE52,Students!$M:$M,$AE$2&amp;if($K52="S1","a",if($K52="S2","b","")),Students!$A:$A,AS$2)+countifs(Students!$N:$N,$AE52,Students!$O:$O,$AE$2&amp;if($K52="S1","a",if($K52="S2","b","")),Students!$A:$A,AS$2)+countifs(Students!$P:$P,$AE52,Students!$Q:$Q,$AE$2&amp;if($K52="S1","a",if($K52="S2","b","")),Students!$A:$A,AS$2)+countifs(Students!$R:$R,$AE52,Students!$S:$S,$AE$2&amp;if($K52="S1","a",if($K52="S2","b","")),Students!$A:$A,AS$2)+countifs(Students!$T:$T,$AE52,Students!$U:$U,$AE$2&amp;if($K52="S1","a",if($K52="S2","b","")),Students!$A:$A,AS$2)+countifs(Students!$V:$V,$AE52,Students!$W:$W,$AE$2&amp;if($K52="S1","a",if($K52="S2","b","")),Students!$A:$A,AS$2)+
countifs(Students!$D:$D,$AH52,Students!$E:$E,$AH$2&amp;if($K52="S1","a",if($K52="S2","b","")),Students!$A:$A,AS$2)+countifs(Students!$F:$F,$AH52,Students!$G:$G,$AH$2&amp;if($K52="S1","a",if($K52="S2","b","")),Students!$A:$A,AS$2)+countifs(Students!$H:$H,$AH52,Students!$I:$I,$AH$2&amp;if($K52="S1","a",if($K52="S2","b","")),Students!$A:$A,AS$2)+countifs(Students!$J:$J,$AH52,Students!$K:$K,$AH$2&amp;if($K52="S1","a",if($K52="S2","b","")),Students!$A:$A,AS$2)+countifs(Students!$L:$L,$AH52,Students!$M:$M,$AH$2&amp;if($K52="S1","a",if($K52="S2","b","")),Students!$A:$A,AS$2)+countifs(Students!$N:$N,$AH52,Students!$O:$O,$AH$2&amp;if($K52="S1","a",if($K52="S2","b","")),Students!$A:$A,AS$2)+countifs(Students!$P:$P,$AH52,Students!$Q:$Q,$AH$2&amp;if($K52="S1","a",if($K52="S2","b","")),Students!$A:$A,AS$2)+countifs(Students!$R:$R,$AH52,Students!$S:$S,$AH$2&amp;if($K52="S1","a",if($K52="S2","b","")),Students!$A:$A,AS$2)+countifs(Students!$T:$T,$AH52,Students!$U:$U,$AH$2&amp;if($K52="S1","a",if($K52="S2","b","")),Students!$A:$A,AS$2)+countifs(Students!$V:$V,$AH52,Students!$W:$W,$AH$2&amp;if($K52="S1","a",if($K52="S2","b","")),Students!$A:$A,AS$2)+
countifs(Students!$D:$D,$AK52,Students!$E:$E,$AK$2&amp;if($K52="S1","a",if($K52="S2","b","")),Students!$A:$A,AS$2)+countifs(Students!$F:$F,$AK52,Students!$G:$G,$AK$2&amp;if($K52="S1","a",if($K52="S2","b","")),Students!$A:$A,AS$2)+countifs(Students!$H:$H,$AK52,Students!$I:$I,$AK$2&amp;if($K52="S1","a",if($K52="S2","b","")),Students!$A:$A,AS$2)+countifs(Students!$J:$J,$AK52,Students!$K:$K,$AK$2&amp;if($K52="S1","a",if($K52="S2","b","")),Students!$A:$A,AS$2)+countifs(Students!$L:$L,$AK52,Students!$M:$M,$AK$2&amp;if($K52="S1","a",if($K52="S2","b","")),Students!$A:$A,AS$2)+countifs(Students!$N:$N,$AK52,Students!$O:$O,$AK$2&amp;if($K52="S1","a",if($K52="S2","b","")),Students!$A:$A,AS$2)+countifs(Students!$P:$P,$AK52,Students!$Q:$Q,$AK$2&amp;if($K52="S1","a",if($K52="S2","b","")),Students!$A:$A,AS$2)+countifs(Students!$R:$R,$AK52,Students!$S:$S,$AK$2&amp;if($K52="S1","a",if($K52="S2","b","")),Students!$A:$A,AS$2)+countifs(Students!$T:$T,$AK52,Students!$U:$U,$AK$2&amp;if($K52="S1","a",if($K52="S2","b","")),Students!$A:$A,AS$2)+countifs(Students!$V:$V,$AK52,Students!$W:$W,$AK$2&amp;if($K52="S1","a",if($K52="S2","b","")),Students!$A:$A,AS$2))</f>
        <v/>
      </c>
    </row>
    <row r="53">
      <c r="J53" s="87" t="s">
        <v>22</v>
      </c>
      <c r="K53" s="131"/>
      <c r="L53" s="58"/>
      <c r="M53" s="106"/>
      <c r="N53" s="87" t="s">
        <v>22</v>
      </c>
      <c r="O53" s="87">
        <f>IFERROR(__xludf.DUMMYFUNCTION("3*counta((transpose(filter(P53:AM53,P53:AM53&lt;&gt;"""",isnumber(P53:AM53)=false))))"),3.0)</f>
        <v>3</v>
      </c>
      <c r="P53" s="101"/>
      <c r="Q53" s="101"/>
      <c r="R53" s="98" t="s">
        <v>22</v>
      </c>
      <c r="S53" s="101"/>
      <c r="T53" s="101"/>
      <c r="U53" s="98" t="s">
        <v>22</v>
      </c>
      <c r="V53" s="101"/>
      <c r="W53" s="117"/>
      <c r="X53" s="98" t="s">
        <v>22</v>
      </c>
      <c r="Y53" s="101"/>
      <c r="Z53" s="117"/>
      <c r="AA53" s="98" t="s">
        <v>22</v>
      </c>
      <c r="AB53" s="101"/>
      <c r="AC53" s="117"/>
      <c r="AD53" s="98" t="s">
        <v>22</v>
      </c>
      <c r="AE53" s="101"/>
      <c r="AF53" s="117"/>
      <c r="AG53" s="98" t="s">
        <v>22</v>
      </c>
      <c r="AH53" s="101"/>
      <c r="AI53" s="98"/>
      <c r="AJ53" s="98" t="s">
        <v>22</v>
      </c>
      <c r="AK53" s="101"/>
      <c r="AL53" s="98"/>
      <c r="AM53" s="98" t="s">
        <v>22</v>
      </c>
      <c r="AN53" s="99"/>
      <c r="AO53" s="52" t="str">
        <f t="shared" si="2"/>
        <v/>
      </c>
      <c r="AP53" s="102" t="str">
        <f>if($L53="","",countifs(Students!$D:$D,$P53,Students!$E:$E,$P$2&amp;if($K53="S1","a",if($K53="S2","b","")),Students!$A:$A,AP$2)+countifs(Students!$F:$F,$P53,Students!$G:$G,$P$2&amp;if($K53="S1","a",if($K53="S2","b","")),Students!$A:$A,AP$2)+countifs(Students!$H:$H,$P53,Students!$I:$I,$P$2&amp;if($K53="S1","a",if($K53="S2","b","")),Students!$A:$A,AP$2)+countifs(Students!$J:$J,$P53,Students!$K:$K,$P$2&amp;if($K53="S1","a",if($K53="S2","b","")),Students!$A:$A,AP$2)+countifs(Students!$L:$L,$P53,Students!$M:$M,$P$2&amp;if($K53="S1","a",if($K53="S2","b","")),Students!$A:$A,AP$2)+countifs(Students!$N:$N,$P53,Students!$O:$O,$P$2&amp;if($K53="S1","a",if($K53="S2","b","")),Students!$A:$A,AP$2)+countifs(Students!$P:$P,$P53,Students!$Q:$Q,$P$2&amp;if($K53="S1","a",if($K53="S2","b","")),Students!$A:$A,AP$2)+countifs(Students!$R:$R,$P53,Students!$S:$S,$P$2&amp;if($K53="S1","a",if($K53="S2","b","")),Students!$A:$A,AP$2)+countifs(Students!$T:$T,$P53,Students!$U:$U,$P$2&amp;if($K53="S1","a",if($K53="S2","b","")),Students!$A:$A,AP$2)+countifs(Students!$V:$V,$P53,Students!$W:$W,$P$2&amp;if($K53="S1","a",if($K53="S2","b","")),Students!$A:$A,AP$2)+
countifs(Students!$D:$D,$S53,Students!$E:$E,$S$2&amp;if($K53="S1","a",if($K53="S2","b","")),Students!$A:$A,AP$2)+countifs(Students!$F:$F,$S53,Students!$G:$G,$S$2&amp;if($K53="S1","a",if($K53="S2","b","")),Students!$A:$A,AP$2)+countifs(Students!$H:$H,$S53,Students!$I:$I,$S$2&amp;if($K53="S1","a",if($K53="S2","b","")),Students!$A:$A,AP$2)+countifs(Students!$J:$J,$S53,Students!$K:$K,$S$2&amp;if($K53="S1","a",if($K53="S2","b","")),Students!$A:$A,AP$2)+countifs(Students!$L:$L,$S53,Students!$M:$M,$S$2&amp;if($K53="S1","a",if($K53="S2","b","")),Students!$A:$A,AP$2)+countifs(Students!$N:$N,$S53,Students!$O:$O,$S$2&amp;if($K53="S1","a",if($K53="S2","b","")),Students!$A:$A,AP$2)+countifs(Students!$P:$P,$S53,Students!$Q:$Q,$S$2&amp;if($K53="S1","a",if($K53="S2","b","")),Students!$A:$A,AP$2)+countifs(Students!$R:$R,$S53,Students!$S:$S,$S$2&amp;if($K53="S1","a",if($K53="S2","b","")),Students!$A:$A,AP$2)+countifs(Students!$T:$T,$S53,Students!$U:$U,$S$2&amp;if($K53="S1","a",if($K53="S2","b","")),Students!$A:$A,AP$2)+countifs(Students!$V:$V,$S53,Students!$W:$W,$S$2&amp;if($K53="S1","a",if($K53="S2","b","")),Students!$A:$A,AP$2)+
countifs(Students!$D:$D,$V53,Students!$E:$E,$V$2&amp;if($K53="S1","a",if($K53="S2","b","")),Students!$A:$A,AP$2)+countifs(Students!$F:$F,$V53,Students!$G:$G,$V$2&amp;if($K53="S1","a",if($K53="S2","b","")),Students!$A:$A,AP$2)+countifs(Students!$H:$H,$V53,Students!$I:$I,$V$2&amp;if($K53="S1","a",if($K53="S2","b","")),Students!$A:$A,AP$2)+countifs(Students!$J:$J,$V53,Students!$K:$K,$V$2&amp;if($K53="S1","a",if($K53="S2","b","")),Students!$A:$A,AP$2)+countifs(Students!$L:$L,$V53,Students!$M:$M,$V$2&amp;if($K53="S1","a",if($K53="S2","b","")),Students!$A:$A,AP$2)+countifs(Students!$N:$N,$V53,Students!$O:$O,$V$2&amp;if($K53="S1","a",if($K53="S2","b","")),Students!$A:$A,AP$2)+countifs(Students!$P:$P,$V53,Students!$Q:$Q,$V$2&amp;if($K53="S1","a",if($K53="S2","b","")),Students!$A:$A,AP$2)+countifs(Students!$R:$R,$V53,Students!$S:$S,$V$2&amp;if($K53="S1","a",if($K53="S2","b","")),Students!$A:$A,AP$2)+countifs(Students!$T:$T,$V53,Students!$U:$U,$V$2&amp;if($K53="S1","a",if($K53="S2","b","")),Students!$A:$A,AP$2)+countifs(Students!$V:$V,$V53,Students!$W:$W,$V$2&amp;if($K53="S1","a",if($K53="S2","b","")),Students!$A:$A,AP$2)+
countifs(Students!$D:$D,$Y53,Students!$E:$E,$Y$2&amp;if($K53="S1","a",if($K53="S2","b","")),Students!$A:$A,AP$2)+countifs(Students!$F:$F,$Y53,Students!$G:$G,$Y$2&amp;if($K53="S1","a",if($K53="S2","b","")),Students!$A:$A,AP$2)+countifs(Students!$H:$H,$Y53,Students!$I:$I,$Y$2&amp;if($K53="S1","a",if($K53="S2","b","")),Students!$A:$A,AP$2)+countifs(Students!$J:$J,$Y53,Students!$K:$K,$Y$2&amp;if($K53="S1","a",if($K53="S2","b","")),Students!$A:$A,AP$2)+countifs(Students!$L:$L,$Y53,Students!$M:$M,$Y$2&amp;if($K53="S1","a",if($K53="S2","b","")),Students!$A:$A,AP$2)+countifs(Students!$N:$N,$Y53,Students!$O:$O,$Y$2&amp;if($K53="S1","a",if($K53="S2","b","")),Students!$A:$A,AP$2)+countifs(Students!$P:$P,$Y53,Students!$Q:$Q,$Y$2&amp;if($K53="S1","a",if($K53="S2","b","")),Students!$A:$A,AP$2)+countifs(Students!$R:$R,$Y53,Students!$S:$S,$Y$2&amp;if($K53="S1","a",if($K53="S2","b","")),Students!$A:$A,AP$2)+countifs(Students!$T:$T,$Y53,Students!$U:$U,$Y$2&amp;if($K53="S1","a",if($K53="S2","b","")),Students!$A:$A,AP$2)+countifs(Students!$V:$V,$Y53,Students!$W:$W,$Y$2&amp;if($K53="S1","a",if($K53="S2","b","")),Students!$A:$A,AP$2)+
countifs(Students!$D:$D,$AB53,Students!$E:$E,$AB$2&amp;if($K53="S1","a",if($K53="S2","b","")),Students!$A:$A,AP$2)+countifs(Students!$F:$F,$AB53,Students!$G:$G,$AB$2&amp;if($K53="S1","a",if($K53="S2","b","")),Students!$A:$A,AP$2)+countifs(Students!$H:$H,$AB53,Students!$I:$I,$AB$2&amp;if($K53="S1","a",if($K53="S2","b","")),Students!$A:$A,AP$2)+countifs(Students!$J:$J,$AB53,Students!$K:$K,$AB$2&amp;if($K53="S1","a",if($K53="S2","b","")),Students!$A:$A,AP$2)+countifs(Students!$L:$L,$AB53,Students!$M:$M,$AB$2&amp;if($K53="S1","a",if($K53="S2","b","")),Students!$A:$A,AP$2)+countifs(Students!$N:$N,$AB53,Students!$O:$O,$AB$2&amp;if($K53="S1","a",if($K53="S2","b","")),Students!$A:$A,AP$2)+countifs(Students!$P:$P,$AB53,Students!$Q:$Q,$AB$2&amp;if($K53="S1","a",if($K53="S2","b","")),Students!$A:$A,AP$2)+countifs(Students!$R:$R,$AB53,Students!$S:$S,$AB$2&amp;if($K53="S1","a",if($K53="S2","b","")),Students!$A:$A,AP$2)+countifs(Students!$T:$T,$AB53,Students!$U:$U,$AB$2&amp;if($K53="S1","a",if($K53="S2","b","")),Students!$A:$A,AP$2)+countifs(Students!$V:$V,$AB53,Students!$W:$W,$AB$2&amp;if($K53="S1","a",if($K53="S2","b","")),Students!$A:$A,AP$2)+
countifs(Students!$D:$D,$AE53,Students!$E:$E,$AE$2&amp;if($K53="S1","a",if($K53="S2","b","")),Students!$A:$A,AP$2)+countifs(Students!$F:$F,$AE53,Students!$G:$G,$AE$2&amp;if($K53="S1","a",if($K53="S2","b","")),Students!$A:$A,AP$2)+countifs(Students!$H:$H,$AE53,Students!$I:$I,$AE$2&amp;if($K53="S1","a",if($K53="S2","b","")),Students!$A:$A,AP$2)+countifs(Students!$J:$J,$AE53,Students!$K:$K,$AE$2&amp;if($K53="S1","a",if($K53="S2","b","")),Students!$A:$A,AP$2)+countifs(Students!$L:$L,$AE53,Students!$M:$M,$AE$2&amp;if($K53="S1","a",if($K53="S2","b","")),Students!$A:$A,AP$2)+countifs(Students!$N:$N,$AE53,Students!$O:$O,$AE$2&amp;if($K53="S1","a",if($K53="S2","b","")),Students!$A:$A,AP$2)+countifs(Students!$P:$P,$AE53,Students!$Q:$Q,$AE$2&amp;if($K53="S1","a",if($K53="S2","b","")),Students!$A:$A,AP$2)+countifs(Students!$R:$R,$AE53,Students!$S:$S,$AE$2&amp;if($K53="S1","a",if($K53="S2","b","")),Students!$A:$A,AP$2)+countifs(Students!$T:$T,$AE53,Students!$U:$U,$AE$2&amp;if($K53="S1","a",if($K53="S2","b","")),Students!$A:$A,AP$2)+countifs(Students!$V:$V,$AE53,Students!$W:$W,$AE$2&amp;if($K53="S1","a",if($K53="S2","b","")),Students!$A:$A,AP$2)+
countifs(Students!$D:$D,$AH53,Students!$E:$E,$AH$2&amp;if($K53="S1","a",if($K53="S2","b","")),Students!$A:$A,AP$2)+countifs(Students!$F:$F,$AH53,Students!$G:$G,$AH$2&amp;if($K53="S1","a",if($K53="S2","b","")),Students!$A:$A,AP$2)+countifs(Students!$H:$H,$AH53,Students!$I:$I,$AH$2&amp;if($K53="S1","a",if($K53="S2","b","")),Students!$A:$A,AP$2)+countifs(Students!$J:$J,$AH53,Students!$K:$K,$AH$2&amp;if($K53="S1","a",if($K53="S2","b","")),Students!$A:$A,AP$2)+countifs(Students!$L:$L,$AH53,Students!$M:$M,$AH$2&amp;if($K53="S1","a",if($K53="S2","b","")),Students!$A:$A,AP$2)+countifs(Students!$N:$N,$AH53,Students!$O:$O,$AH$2&amp;if($K53="S1","a",if($K53="S2","b","")),Students!$A:$A,AP$2)+countifs(Students!$P:$P,$AH53,Students!$Q:$Q,$AH$2&amp;if($K53="S1","a",if($K53="S2","b","")),Students!$A:$A,AP$2)+countifs(Students!$R:$R,$AH53,Students!$S:$S,$AH$2&amp;if($K53="S1","a",if($K53="S2","b","")),Students!$A:$A,AP$2)+countifs(Students!$T:$T,$AH53,Students!$U:$U,$AH$2&amp;if($K53="S1","a",if($K53="S2","b","")),Students!$A:$A,AP$2)+countifs(Students!$V:$V,$AH53,Students!$W:$W,$AH$2&amp;if($K53="S1","a",if($K53="S2","b","")),Students!$A:$A,AP$2)+
countifs(Students!$D:$D,$AK53,Students!$E:$E,$AK$2&amp;if($K53="S1","a",if($K53="S2","b","")),Students!$A:$A,AP$2)+countifs(Students!$F:$F,$AK53,Students!$G:$G,$AK$2&amp;if($K53="S1","a",if($K53="S2","b","")),Students!$A:$A,AP$2)+countifs(Students!$H:$H,$AK53,Students!$I:$I,$AK$2&amp;if($K53="S1","a",if($K53="S2","b","")),Students!$A:$A,AP$2)+countifs(Students!$J:$J,$AK53,Students!$K:$K,$AK$2&amp;if($K53="S1","a",if($K53="S2","b","")),Students!$A:$A,AP$2)+countifs(Students!$L:$L,$AK53,Students!$M:$M,$AK$2&amp;if($K53="S1","a",if($K53="S2","b","")),Students!$A:$A,AP$2)+countifs(Students!$N:$N,$AK53,Students!$O:$O,$AK$2&amp;if($K53="S1","a",if($K53="S2","b","")),Students!$A:$A,AP$2)+countifs(Students!$P:$P,$AK53,Students!$Q:$Q,$AK$2&amp;if($K53="S1","a",if($K53="S2","b","")),Students!$A:$A,AP$2)+countifs(Students!$R:$R,$AK53,Students!$S:$S,$AK$2&amp;if($K53="S1","a",if($K53="S2","b","")),Students!$A:$A,AP$2)+countifs(Students!$T:$T,$AK53,Students!$U:$U,$AK$2&amp;if($K53="S1","a",if($K53="S2","b","")),Students!$A:$A,AP$2)+countifs(Students!$V:$V,$AK53,Students!$W:$W,$AK$2&amp;if($K53="S1","a",if($K53="S2","b","")),Students!$A:$A,AP$2))</f>
        <v/>
      </c>
      <c r="AQ53" s="102" t="str">
        <f>if($L53="","",countifs(Students!$D:$D,$P53,Students!$E:$E,$P$2&amp;if($K53="S1","a",if($K53="S2","b","")),Students!$A:$A,AQ$2)+countifs(Students!$F:$F,$P53,Students!$G:$G,$P$2&amp;if($K53="S1","a",if($K53="S2","b","")),Students!$A:$A,AQ$2)+countifs(Students!$H:$H,$P53,Students!$I:$I,$P$2&amp;if($K53="S1","a",if($K53="S2","b","")),Students!$A:$A,AQ$2)+countifs(Students!$J:$J,$P53,Students!$K:$K,$P$2&amp;if($K53="S1","a",if($K53="S2","b","")),Students!$A:$A,AQ$2)+countifs(Students!$L:$L,$P53,Students!$M:$M,$P$2&amp;if($K53="S1","a",if($K53="S2","b","")),Students!$A:$A,AQ$2)+countifs(Students!$N:$N,$P53,Students!$O:$O,$P$2&amp;if($K53="S1","a",if($K53="S2","b","")),Students!$A:$A,AQ$2)+countifs(Students!$P:$P,$P53,Students!$Q:$Q,$P$2&amp;if($K53="S1","a",if($K53="S2","b","")),Students!$A:$A,AQ$2)+countifs(Students!$R:$R,$P53,Students!$S:$S,$P$2&amp;if($K53="S1","a",if($K53="S2","b","")),Students!$A:$A,AQ$2)+countifs(Students!$T:$T,$P53,Students!$U:$U,$P$2&amp;if($K53="S1","a",if($K53="S2","b","")),Students!$A:$A,AQ$2)+countifs(Students!$V:$V,$P53,Students!$W:$W,$P$2&amp;if($K53="S1","a",if($K53="S2","b","")),Students!$A:$A,AQ$2)+
countifs(Students!$D:$D,$S53,Students!$E:$E,$S$2&amp;if($K53="S1","a",if($K53="S2","b","")),Students!$A:$A,AQ$2)+countifs(Students!$F:$F,$S53,Students!$G:$G,$S$2&amp;if($K53="S1","a",if($K53="S2","b","")),Students!$A:$A,AQ$2)+countifs(Students!$H:$H,$S53,Students!$I:$I,$S$2&amp;if($K53="S1","a",if($K53="S2","b","")),Students!$A:$A,AQ$2)+countifs(Students!$J:$J,$S53,Students!$K:$K,$S$2&amp;if($K53="S1","a",if($K53="S2","b","")),Students!$A:$A,AQ$2)+countifs(Students!$L:$L,$S53,Students!$M:$M,$S$2&amp;if($K53="S1","a",if($K53="S2","b","")),Students!$A:$A,AQ$2)+countifs(Students!$N:$N,$S53,Students!$O:$O,$S$2&amp;if($K53="S1","a",if($K53="S2","b","")),Students!$A:$A,AQ$2)+countifs(Students!$P:$P,$S53,Students!$Q:$Q,$S$2&amp;if($K53="S1","a",if($K53="S2","b","")),Students!$A:$A,AQ$2)+countifs(Students!$R:$R,$S53,Students!$S:$S,$S$2&amp;if($K53="S1","a",if($K53="S2","b","")),Students!$A:$A,AQ$2)+countifs(Students!$T:$T,$S53,Students!$U:$U,$S$2&amp;if($K53="S1","a",if($K53="S2","b","")),Students!$A:$A,AQ$2)+countifs(Students!$V:$V,$S53,Students!$W:$W,$S$2&amp;if($K53="S1","a",if($K53="S2","b","")),Students!$A:$A,AQ$2)+
countifs(Students!$D:$D,$V53,Students!$E:$E,$V$2&amp;if($K53="S1","a",if($K53="S2","b","")),Students!$A:$A,AQ$2)+countifs(Students!$F:$F,$V53,Students!$G:$G,$V$2&amp;if($K53="S1","a",if($K53="S2","b","")),Students!$A:$A,AQ$2)+countifs(Students!$H:$H,$V53,Students!$I:$I,$V$2&amp;if($K53="S1","a",if($K53="S2","b","")),Students!$A:$A,AQ$2)+countifs(Students!$J:$J,$V53,Students!$K:$K,$V$2&amp;if($K53="S1","a",if($K53="S2","b","")),Students!$A:$A,AQ$2)+countifs(Students!$L:$L,$V53,Students!$M:$M,$V$2&amp;if($K53="S1","a",if($K53="S2","b","")),Students!$A:$A,AQ$2)+countifs(Students!$N:$N,$V53,Students!$O:$O,$V$2&amp;if($K53="S1","a",if($K53="S2","b","")),Students!$A:$A,AQ$2)+countifs(Students!$P:$P,$V53,Students!$Q:$Q,$V$2&amp;if($K53="S1","a",if($K53="S2","b","")),Students!$A:$A,AQ$2)+countifs(Students!$R:$R,$V53,Students!$S:$S,$V$2&amp;if($K53="S1","a",if($K53="S2","b","")),Students!$A:$A,AQ$2)+countifs(Students!$T:$T,$V53,Students!$U:$U,$V$2&amp;if($K53="S1","a",if($K53="S2","b","")),Students!$A:$A,AQ$2)+countifs(Students!$V:$V,$V53,Students!$W:$W,$V$2&amp;if($K53="S1","a",if($K53="S2","b","")),Students!$A:$A,AQ$2)+
countifs(Students!$D:$D,$Y53,Students!$E:$E,$Y$2&amp;if($K53="S1","a",if($K53="S2","b","")),Students!$A:$A,AQ$2)+countifs(Students!$F:$F,$Y53,Students!$G:$G,$Y$2&amp;if($K53="S1","a",if($K53="S2","b","")),Students!$A:$A,AQ$2)+countifs(Students!$H:$H,$Y53,Students!$I:$I,$Y$2&amp;if($K53="S1","a",if($K53="S2","b","")),Students!$A:$A,AQ$2)+countifs(Students!$J:$J,$Y53,Students!$K:$K,$Y$2&amp;if($K53="S1","a",if($K53="S2","b","")),Students!$A:$A,AQ$2)+countifs(Students!$L:$L,$Y53,Students!$M:$M,$Y$2&amp;if($K53="S1","a",if($K53="S2","b","")),Students!$A:$A,AQ$2)+countifs(Students!$N:$N,$Y53,Students!$O:$O,$Y$2&amp;if($K53="S1","a",if($K53="S2","b","")),Students!$A:$A,AQ$2)+countifs(Students!$P:$P,$Y53,Students!$Q:$Q,$Y$2&amp;if($K53="S1","a",if($K53="S2","b","")),Students!$A:$A,AQ$2)+countifs(Students!$R:$R,$Y53,Students!$S:$S,$Y$2&amp;if($K53="S1","a",if($K53="S2","b","")),Students!$A:$A,AQ$2)+countifs(Students!$T:$T,$Y53,Students!$U:$U,$Y$2&amp;if($K53="S1","a",if($K53="S2","b","")),Students!$A:$A,AQ$2)+countifs(Students!$V:$V,$Y53,Students!$W:$W,$Y$2&amp;if($K53="S1","a",if($K53="S2","b","")),Students!$A:$A,AQ$2)+
countifs(Students!$D:$D,$AB53,Students!$E:$E,$AB$2&amp;if($K53="S1","a",if($K53="S2","b","")),Students!$A:$A,AQ$2)+countifs(Students!$F:$F,$AB53,Students!$G:$G,$AB$2&amp;if($K53="S1","a",if($K53="S2","b","")),Students!$A:$A,AQ$2)+countifs(Students!$H:$H,$AB53,Students!$I:$I,$AB$2&amp;if($K53="S1","a",if($K53="S2","b","")),Students!$A:$A,AQ$2)+countifs(Students!$J:$J,$AB53,Students!$K:$K,$AB$2&amp;if($K53="S1","a",if($K53="S2","b","")),Students!$A:$A,AQ$2)+countifs(Students!$L:$L,$AB53,Students!$M:$M,$AB$2&amp;if($K53="S1","a",if($K53="S2","b","")),Students!$A:$A,AQ$2)+countifs(Students!$N:$N,$AB53,Students!$O:$O,$AB$2&amp;if($K53="S1","a",if($K53="S2","b","")),Students!$A:$A,AQ$2)+countifs(Students!$P:$P,$AB53,Students!$Q:$Q,$AB$2&amp;if($K53="S1","a",if($K53="S2","b","")),Students!$A:$A,AQ$2)+countifs(Students!$R:$R,$AB53,Students!$S:$S,$AB$2&amp;if($K53="S1","a",if($K53="S2","b","")),Students!$A:$A,AQ$2)+countifs(Students!$T:$T,$AB53,Students!$U:$U,$AB$2&amp;if($K53="S1","a",if($K53="S2","b","")),Students!$A:$A,AQ$2)+countifs(Students!$V:$V,$AB53,Students!$W:$W,$AB$2&amp;if($K53="S1","a",if($K53="S2","b","")),Students!$A:$A,AQ$2)+
countifs(Students!$D:$D,$AE53,Students!$E:$E,$AE$2&amp;if($K53="S1","a",if($K53="S2","b","")),Students!$A:$A,AQ$2)+countifs(Students!$F:$F,$AE53,Students!$G:$G,$AE$2&amp;if($K53="S1","a",if($K53="S2","b","")),Students!$A:$A,AQ$2)+countifs(Students!$H:$H,$AE53,Students!$I:$I,$AE$2&amp;if($K53="S1","a",if($K53="S2","b","")),Students!$A:$A,AQ$2)+countifs(Students!$J:$J,$AE53,Students!$K:$K,$AE$2&amp;if($K53="S1","a",if($K53="S2","b","")),Students!$A:$A,AQ$2)+countifs(Students!$L:$L,$AE53,Students!$M:$M,$AE$2&amp;if($K53="S1","a",if($K53="S2","b","")),Students!$A:$A,AQ$2)+countifs(Students!$N:$N,$AE53,Students!$O:$O,$AE$2&amp;if($K53="S1","a",if($K53="S2","b","")),Students!$A:$A,AQ$2)+countifs(Students!$P:$P,$AE53,Students!$Q:$Q,$AE$2&amp;if($K53="S1","a",if($K53="S2","b","")),Students!$A:$A,AQ$2)+countifs(Students!$R:$R,$AE53,Students!$S:$S,$AE$2&amp;if($K53="S1","a",if($K53="S2","b","")),Students!$A:$A,AQ$2)+countifs(Students!$T:$T,$AE53,Students!$U:$U,$AE$2&amp;if($K53="S1","a",if($K53="S2","b","")),Students!$A:$A,AQ$2)+countifs(Students!$V:$V,$AE53,Students!$W:$W,$AE$2&amp;if($K53="S1","a",if($K53="S2","b","")),Students!$A:$A,AQ$2)+
countifs(Students!$D:$D,$AH53,Students!$E:$E,$AH$2&amp;if($K53="S1","a",if($K53="S2","b","")),Students!$A:$A,AQ$2)+countifs(Students!$F:$F,$AH53,Students!$G:$G,$AH$2&amp;if($K53="S1","a",if($K53="S2","b","")),Students!$A:$A,AQ$2)+countifs(Students!$H:$H,$AH53,Students!$I:$I,$AH$2&amp;if($K53="S1","a",if($K53="S2","b","")),Students!$A:$A,AQ$2)+countifs(Students!$J:$J,$AH53,Students!$K:$K,$AH$2&amp;if($K53="S1","a",if($K53="S2","b","")),Students!$A:$A,AQ$2)+countifs(Students!$L:$L,$AH53,Students!$M:$M,$AH$2&amp;if($K53="S1","a",if($K53="S2","b","")),Students!$A:$A,AQ$2)+countifs(Students!$N:$N,$AH53,Students!$O:$O,$AH$2&amp;if($K53="S1","a",if($K53="S2","b","")),Students!$A:$A,AQ$2)+countifs(Students!$P:$P,$AH53,Students!$Q:$Q,$AH$2&amp;if($K53="S1","a",if($K53="S2","b","")),Students!$A:$A,AQ$2)+countifs(Students!$R:$R,$AH53,Students!$S:$S,$AH$2&amp;if($K53="S1","a",if($K53="S2","b","")),Students!$A:$A,AQ$2)+countifs(Students!$T:$T,$AH53,Students!$U:$U,$AH$2&amp;if($K53="S1","a",if($K53="S2","b","")),Students!$A:$A,AQ$2)+countifs(Students!$V:$V,$AH53,Students!$W:$W,$AH$2&amp;if($K53="S1","a",if($K53="S2","b","")),Students!$A:$A,AQ$2)+
countifs(Students!$D:$D,$AK53,Students!$E:$E,$AK$2&amp;if($K53="S1","a",if($K53="S2","b","")),Students!$A:$A,AQ$2)+countifs(Students!$F:$F,$AK53,Students!$G:$G,$AK$2&amp;if($K53="S1","a",if($K53="S2","b","")),Students!$A:$A,AQ$2)+countifs(Students!$H:$H,$AK53,Students!$I:$I,$AK$2&amp;if($K53="S1","a",if($K53="S2","b","")),Students!$A:$A,AQ$2)+countifs(Students!$J:$J,$AK53,Students!$K:$K,$AK$2&amp;if($K53="S1","a",if($K53="S2","b","")),Students!$A:$A,AQ$2)+countifs(Students!$L:$L,$AK53,Students!$M:$M,$AK$2&amp;if($K53="S1","a",if($K53="S2","b","")),Students!$A:$A,AQ$2)+countifs(Students!$N:$N,$AK53,Students!$O:$O,$AK$2&amp;if($K53="S1","a",if($K53="S2","b","")),Students!$A:$A,AQ$2)+countifs(Students!$P:$P,$AK53,Students!$Q:$Q,$AK$2&amp;if($K53="S1","a",if($K53="S2","b","")),Students!$A:$A,AQ$2)+countifs(Students!$R:$R,$AK53,Students!$S:$S,$AK$2&amp;if($K53="S1","a",if($K53="S2","b","")),Students!$A:$A,AQ$2)+countifs(Students!$T:$T,$AK53,Students!$U:$U,$AK$2&amp;if($K53="S1","a",if($K53="S2","b","")),Students!$A:$A,AQ$2)+countifs(Students!$V:$V,$AK53,Students!$W:$W,$AK$2&amp;if($K53="S1","a",if($K53="S2","b","")),Students!$A:$A,AQ$2))</f>
        <v/>
      </c>
      <c r="AR53" s="102" t="str">
        <f>if($L53="","",countifs(Students!$D:$D,$P53,Students!$E:$E,$P$2&amp;if($K53="S1","a",if($K53="S2","b","")),Students!$A:$A,AR$2)+countifs(Students!$F:$F,$P53,Students!$G:$G,$P$2&amp;if($K53="S1","a",if($K53="S2","b","")),Students!$A:$A,AR$2)+countifs(Students!$H:$H,$P53,Students!$I:$I,$P$2&amp;if($K53="S1","a",if($K53="S2","b","")),Students!$A:$A,AR$2)+countifs(Students!$J:$J,$P53,Students!$K:$K,$P$2&amp;if($K53="S1","a",if($K53="S2","b","")),Students!$A:$A,AR$2)+countifs(Students!$L:$L,$P53,Students!$M:$M,$P$2&amp;if($K53="S1","a",if($K53="S2","b","")),Students!$A:$A,AR$2)+countifs(Students!$N:$N,$P53,Students!$O:$O,$P$2&amp;if($K53="S1","a",if($K53="S2","b","")),Students!$A:$A,AR$2)+countifs(Students!$P:$P,$P53,Students!$Q:$Q,$P$2&amp;if($K53="S1","a",if($K53="S2","b","")),Students!$A:$A,AR$2)+countifs(Students!$R:$R,$P53,Students!$S:$S,$P$2&amp;if($K53="S1","a",if($K53="S2","b","")),Students!$A:$A,AR$2)+countifs(Students!$T:$T,$P53,Students!$U:$U,$P$2&amp;if($K53="S1","a",if($K53="S2","b","")),Students!$A:$A,AR$2)+countifs(Students!$V:$V,$P53,Students!$W:$W,$P$2&amp;if($K53="S1","a",if($K53="S2","b","")),Students!$A:$A,AR$2)+
countifs(Students!$D:$D,$S53,Students!$E:$E,$S$2&amp;if($K53="S1","a",if($K53="S2","b","")),Students!$A:$A,AR$2)+countifs(Students!$F:$F,$S53,Students!$G:$G,$S$2&amp;if($K53="S1","a",if($K53="S2","b","")),Students!$A:$A,AR$2)+countifs(Students!$H:$H,$S53,Students!$I:$I,$S$2&amp;if($K53="S1","a",if($K53="S2","b","")),Students!$A:$A,AR$2)+countifs(Students!$J:$J,$S53,Students!$K:$K,$S$2&amp;if($K53="S1","a",if($K53="S2","b","")),Students!$A:$A,AR$2)+countifs(Students!$L:$L,$S53,Students!$M:$M,$S$2&amp;if($K53="S1","a",if($K53="S2","b","")),Students!$A:$A,AR$2)+countifs(Students!$N:$N,$S53,Students!$O:$O,$S$2&amp;if($K53="S1","a",if($K53="S2","b","")),Students!$A:$A,AR$2)+countifs(Students!$P:$P,$S53,Students!$Q:$Q,$S$2&amp;if($K53="S1","a",if($K53="S2","b","")),Students!$A:$A,AR$2)+countifs(Students!$R:$R,$S53,Students!$S:$S,$S$2&amp;if($K53="S1","a",if($K53="S2","b","")),Students!$A:$A,AR$2)+countifs(Students!$T:$T,$S53,Students!$U:$U,$S$2&amp;if($K53="S1","a",if($K53="S2","b","")),Students!$A:$A,AR$2)+countifs(Students!$V:$V,$S53,Students!$W:$W,$S$2&amp;if($K53="S1","a",if($K53="S2","b","")),Students!$A:$A,AR$2)+
countifs(Students!$D:$D,$V53,Students!$E:$E,$V$2&amp;if($K53="S1","a",if($K53="S2","b","")),Students!$A:$A,AR$2)+countifs(Students!$F:$F,$V53,Students!$G:$G,$V$2&amp;if($K53="S1","a",if($K53="S2","b","")),Students!$A:$A,AR$2)+countifs(Students!$H:$H,$V53,Students!$I:$I,$V$2&amp;if($K53="S1","a",if($K53="S2","b","")),Students!$A:$A,AR$2)+countifs(Students!$J:$J,$V53,Students!$K:$K,$V$2&amp;if($K53="S1","a",if($K53="S2","b","")),Students!$A:$A,AR$2)+countifs(Students!$L:$L,$V53,Students!$M:$M,$V$2&amp;if($K53="S1","a",if($K53="S2","b","")),Students!$A:$A,AR$2)+countifs(Students!$N:$N,$V53,Students!$O:$O,$V$2&amp;if($K53="S1","a",if($K53="S2","b","")),Students!$A:$A,AR$2)+countifs(Students!$P:$P,$V53,Students!$Q:$Q,$V$2&amp;if($K53="S1","a",if($K53="S2","b","")),Students!$A:$A,AR$2)+countifs(Students!$R:$R,$V53,Students!$S:$S,$V$2&amp;if($K53="S1","a",if($K53="S2","b","")),Students!$A:$A,AR$2)+countifs(Students!$T:$T,$V53,Students!$U:$U,$V$2&amp;if($K53="S1","a",if($K53="S2","b","")),Students!$A:$A,AR$2)+countifs(Students!$V:$V,$V53,Students!$W:$W,$V$2&amp;if($K53="S1","a",if($K53="S2","b","")),Students!$A:$A,AR$2)+
countifs(Students!$D:$D,$Y53,Students!$E:$E,$Y$2&amp;if($K53="S1","a",if($K53="S2","b","")),Students!$A:$A,AR$2)+countifs(Students!$F:$F,$Y53,Students!$G:$G,$Y$2&amp;if($K53="S1","a",if($K53="S2","b","")),Students!$A:$A,AR$2)+countifs(Students!$H:$H,$Y53,Students!$I:$I,$Y$2&amp;if($K53="S1","a",if($K53="S2","b","")),Students!$A:$A,AR$2)+countifs(Students!$J:$J,$Y53,Students!$K:$K,$Y$2&amp;if($K53="S1","a",if($K53="S2","b","")),Students!$A:$A,AR$2)+countifs(Students!$L:$L,$Y53,Students!$M:$M,$Y$2&amp;if($K53="S1","a",if($K53="S2","b","")),Students!$A:$A,AR$2)+countifs(Students!$N:$N,$Y53,Students!$O:$O,$Y$2&amp;if($K53="S1","a",if($K53="S2","b","")),Students!$A:$A,AR$2)+countifs(Students!$P:$P,$Y53,Students!$Q:$Q,$Y$2&amp;if($K53="S1","a",if($K53="S2","b","")),Students!$A:$A,AR$2)+countifs(Students!$R:$R,$Y53,Students!$S:$S,$Y$2&amp;if($K53="S1","a",if($K53="S2","b","")),Students!$A:$A,AR$2)+countifs(Students!$T:$T,$Y53,Students!$U:$U,$Y$2&amp;if($K53="S1","a",if($K53="S2","b","")),Students!$A:$A,AR$2)+countifs(Students!$V:$V,$Y53,Students!$W:$W,$Y$2&amp;if($K53="S1","a",if($K53="S2","b","")),Students!$A:$A,AR$2)+
countifs(Students!$D:$D,$AB53,Students!$E:$E,$AB$2&amp;if($K53="S1","a",if($K53="S2","b","")),Students!$A:$A,AR$2)+countifs(Students!$F:$F,$AB53,Students!$G:$G,$AB$2&amp;if($K53="S1","a",if($K53="S2","b","")),Students!$A:$A,AR$2)+countifs(Students!$H:$H,$AB53,Students!$I:$I,$AB$2&amp;if($K53="S1","a",if($K53="S2","b","")),Students!$A:$A,AR$2)+countifs(Students!$J:$J,$AB53,Students!$K:$K,$AB$2&amp;if($K53="S1","a",if($K53="S2","b","")),Students!$A:$A,AR$2)+countifs(Students!$L:$L,$AB53,Students!$M:$M,$AB$2&amp;if($K53="S1","a",if($K53="S2","b","")),Students!$A:$A,AR$2)+countifs(Students!$N:$N,$AB53,Students!$O:$O,$AB$2&amp;if($K53="S1","a",if($K53="S2","b","")),Students!$A:$A,AR$2)+countifs(Students!$P:$P,$AB53,Students!$Q:$Q,$AB$2&amp;if($K53="S1","a",if($K53="S2","b","")),Students!$A:$A,AR$2)+countifs(Students!$R:$R,$AB53,Students!$S:$S,$AB$2&amp;if($K53="S1","a",if($K53="S2","b","")),Students!$A:$A,AR$2)+countifs(Students!$T:$T,$AB53,Students!$U:$U,$AB$2&amp;if($K53="S1","a",if($K53="S2","b","")),Students!$A:$A,AR$2)+countifs(Students!$V:$V,$AB53,Students!$W:$W,$AB$2&amp;if($K53="S1","a",if($K53="S2","b","")),Students!$A:$A,AR$2)+
countifs(Students!$D:$D,$AE53,Students!$E:$E,$AE$2&amp;if($K53="S1","a",if($K53="S2","b","")),Students!$A:$A,AR$2)+countifs(Students!$F:$F,$AE53,Students!$G:$G,$AE$2&amp;if($K53="S1","a",if($K53="S2","b","")),Students!$A:$A,AR$2)+countifs(Students!$H:$H,$AE53,Students!$I:$I,$AE$2&amp;if($K53="S1","a",if($K53="S2","b","")),Students!$A:$A,AR$2)+countifs(Students!$J:$J,$AE53,Students!$K:$K,$AE$2&amp;if($K53="S1","a",if($K53="S2","b","")),Students!$A:$A,AR$2)+countifs(Students!$L:$L,$AE53,Students!$M:$M,$AE$2&amp;if($K53="S1","a",if($K53="S2","b","")),Students!$A:$A,AR$2)+countifs(Students!$N:$N,$AE53,Students!$O:$O,$AE$2&amp;if($K53="S1","a",if($K53="S2","b","")),Students!$A:$A,AR$2)+countifs(Students!$P:$P,$AE53,Students!$Q:$Q,$AE$2&amp;if($K53="S1","a",if($K53="S2","b","")),Students!$A:$A,AR$2)+countifs(Students!$R:$R,$AE53,Students!$S:$S,$AE$2&amp;if($K53="S1","a",if($K53="S2","b","")),Students!$A:$A,AR$2)+countifs(Students!$T:$T,$AE53,Students!$U:$U,$AE$2&amp;if($K53="S1","a",if($K53="S2","b","")),Students!$A:$A,AR$2)+countifs(Students!$V:$V,$AE53,Students!$W:$W,$AE$2&amp;if($K53="S1","a",if($K53="S2","b","")),Students!$A:$A,AR$2)+
countifs(Students!$D:$D,$AH53,Students!$E:$E,$AH$2&amp;if($K53="S1","a",if($K53="S2","b","")),Students!$A:$A,AR$2)+countifs(Students!$F:$F,$AH53,Students!$G:$G,$AH$2&amp;if($K53="S1","a",if($K53="S2","b","")),Students!$A:$A,AR$2)+countifs(Students!$H:$H,$AH53,Students!$I:$I,$AH$2&amp;if($K53="S1","a",if($K53="S2","b","")),Students!$A:$A,AR$2)+countifs(Students!$J:$J,$AH53,Students!$K:$K,$AH$2&amp;if($K53="S1","a",if($K53="S2","b","")),Students!$A:$A,AR$2)+countifs(Students!$L:$L,$AH53,Students!$M:$M,$AH$2&amp;if($K53="S1","a",if($K53="S2","b","")),Students!$A:$A,AR$2)+countifs(Students!$N:$N,$AH53,Students!$O:$O,$AH$2&amp;if($K53="S1","a",if($K53="S2","b","")),Students!$A:$A,AR$2)+countifs(Students!$P:$P,$AH53,Students!$Q:$Q,$AH$2&amp;if($K53="S1","a",if($K53="S2","b","")),Students!$A:$A,AR$2)+countifs(Students!$R:$R,$AH53,Students!$S:$S,$AH$2&amp;if($K53="S1","a",if($K53="S2","b","")),Students!$A:$A,AR$2)+countifs(Students!$T:$T,$AH53,Students!$U:$U,$AH$2&amp;if($K53="S1","a",if($K53="S2","b","")),Students!$A:$A,AR$2)+countifs(Students!$V:$V,$AH53,Students!$W:$W,$AH$2&amp;if($K53="S1","a",if($K53="S2","b","")),Students!$A:$A,AR$2)+
countifs(Students!$D:$D,$AK53,Students!$E:$E,$AK$2&amp;if($K53="S1","a",if($K53="S2","b","")),Students!$A:$A,AR$2)+countifs(Students!$F:$F,$AK53,Students!$G:$G,$AK$2&amp;if($K53="S1","a",if($K53="S2","b","")),Students!$A:$A,AR$2)+countifs(Students!$H:$H,$AK53,Students!$I:$I,$AK$2&amp;if($K53="S1","a",if($K53="S2","b","")),Students!$A:$A,AR$2)+countifs(Students!$J:$J,$AK53,Students!$K:$K,$AK$2&amp;if($K53="S1","a",if($K53="S2","b","")),Students!$A:$A,AR$2)+countifs(Students!$L:$L,$AK53,Students!$M:$M,$AK$2&amp;if($K53="S1","a",if($K53="S2","b","")),Students!$A:$A,AR$2)+countifs(Students!$N:$N,$AK53,Students!$O:$O,$AK$2&amp;if($K53="S1","a",if($K53="S2","b","")),Students!$A:$A,AR$2)+countifs(Students!$P:$P,$AK53,Students!$Q:$Q,$AK$2&amp;if($K53="S1","a",if($K53="S2","b","")),Students!$A:$A,AR$2)+countifs(Students!$R:$R,$AK53,Students!$S:$S,$AK$2&amp;if($K53="S1","a",if($K53="S2","b","")),Students!$A:$A,AR$2)+countifs(Students!$T:$T,$AK53,Students!$U:$U,$AK$2&amp;if($K53="S1","a",if($K53="S2","b","")),Students!$A:$A,AR$2)+countifs(Students!$V:$V,$AK53,Students!$W:$W,$AK$2&amp;if($K53="S1","a",if($K53="S2","b","")),Students!$A:$A,AR$2))</f>
        <v/>
      </c>
      <c r="AS53" s="102" t="str">
        <f>if($L53="","",countifs(Students!$D:$D,$P53,Students!$E:$E,$P$2&amp;if($K53="S1","a",if($K53="S2","b","")),Students!$A:$A,AS$2)+countifs(Students!$F:$F,$P53,Students!$G:$G,$P$2&amp;if($K53="S1","a",if($K53="S2","b","")),Students!$A:$A,AS$2)+countifs(Students!$H:$H,$P53,Students!$I:$I,$P$2&amp;if($K53="S1","a",if($K53="S2","b","")),Students!$A:$A,AS$2)+countifs(Students!$J:$J,$P53,Students!$K:$K,$P$2&amp;if($K53="S1","a",if($K53="S2","b","")),Students!$A:$A,AS$2)+countifs(Students!$L:$L,$P53,Students!$M:$M,$P$2&amp;if($K53="S1","a",if($K53="S2","b","")),Students!$A:$A,AS$2)+countifs(Students!$N:$N,$P53,Students!$O:$O,$P$2&amp;if($K53="S1","a",if($K53="S2","b","")),Students!$A:$A,AS$2)+countifs(Students!$P:$P,$P53,Students!$Q:$Q,$P$2&amp;if($K53="S1","a",if($K53="S2","b","")),Students!$A:$A,AS$2)+countifs(Students!$R:$R,$P53,Students!$S:$S,$P$2&amp;if($K53="S1","a",if($K53="S2","b","")),Students!$A:$A,AS$2)+countifs(Students!$T:$T,$P53,Students!$U:$U,$P$2&amp;if($K53="S1","a",if($K53="S2","b","")),Students!$A:$A,AS$2)+countifs(Students!$V:$V,$P53,Students!$W:$W,$P$2&amp;if($K53="S1","a",if($K53="S2","b","")),Students!$A:$A,AS$2)+
countifs(Students!$D:$D,$S53,Students!$E:$E,$S$2&amp;if($K53="S1","a",if($K53="S2","b","")),Students!$A:$A,AS$2)+countifs(Students!$F:$F,$S53,Students!$G:$G,$S$2&amp;if($K53="S1","a",if($K53="S2","b","")),Students!$A:$A,AS$2)+countifs(Students!$H:$H,$S53,Students!$I:$I,$S$2&amp;if($K53="S1","a",if($K53="S2","b","")),Students!$A:$A,AS$2)+countifs(Students!$J:$J,$S53,Students!$K:$K,$S$2&amp;if($K53="S1","a",if($K53="S2","b","")),Students!$A:$A,AS$2)+countifs(Students!$L:$L,$S53,Students!$M:$M,$S$2&amp;if($K53="S1","a",if($K53="S2","b","")),Students!$A:$A,AS$2)+countifs(Students!$N:$N,$S53,Students!$O:$O,$S$2&amp;if($K53="S1","a",if($K53="S2","b","")),Students!$A:$A,AS$2)+countifs(Students!$P:$P,$S53,Students!$Q:$Q,$S$2&amp;if($K53="S1","a",if($K53="S2","b","")),Students!$A:$A,AS$2)+countifs(Students!$R:$R,$S53,Students!$S:$S,$S$2&amp;if($K53="S1","a",if($K53="S2","b","")),Students!$A:$A,AS$2)+countifs(Students!$T:$T,$S53,Students!$U:$U,$S$2&amp;if($K53="S1","a",if($K53="S2","b","")),Students!$A:$A,AS$2)+countifs(Students!$V:$V,$S53,Students!$W:$W,$S$2&amp;if($K53="S1","a",if($K53="S2","b","")),Students!$A:$A,AS$2)+
countifs(Students!$D:$D,$V53,Students!$E:$E,$V$2&amp;if($K53="S1","a",if($K53="S2","b","")),Students!$A:$A,AS$2)+countifs(Students!$F:$F,$V53,Students!$G:$G,$V$2&amp;if($K53="S1","a",if($K53="S2","b","")),Students!$A:$A,AS$2)+countifs(Students!$H:$H,$V53,Students!$I:$I,$V$2&amp;if($K53="S1","a",if($K53="S2","b","")),Students!$A:$A,AS$2)+countifs(Students!$J:$J,$V53,Students!$K:$K,$V$2&amp;if($K53="S1","a",if($K53="S2","b","")),Students!$A:$A,AS$2)+countifs(Students!$L:$L,$V53,Students!$M:$M,$V$2&amp;if($K53="S1","a",if($K53="S2","b","")),Students!$A:$A,AS$2)+countifs(Students!$N:$N,$V53,Students!$O:$O,$V$2&amp;if($K53="S1","a",if($K53="S2","b","")),Students!$A:$A,AS$2)+countifs(Students!$P:$P,$V53,Students!$Q:$Q,$V$2&amp;if($K53="S1","a",if($K53="S2","b","")),Students!$A:$A,AS$2)+countifs(Students!$R:$R,$V53,Students!$S:$S,$V$2&amp;if($K53="S1","a",if($K53="S2","b","")),Students!$A:$A,AS$2)+countifs(Students!$T:$T,$V53,Students!$U:$U,$V$2&amp;if($K53="S1","a",if($K53="S2","b","")),Students!$A:$A,AS$2)+countifs(Students!$V:$V,$V53,Students!$W:$W,$V$2&amp;if($K53="S1","a",if($K53="S2","b","")),Students!$A:$A,AS$2)+
countifs(Students!$D:$D,$Y53,Students!$E:$E,$Y$2&amp;if($K53="S1","a",if($K53="S2","b","")),Students!$A:$A,AS$2)+countifs(Students!$F:$F,$Y53,Students!$G:$G,$Y$2&amp;if($K53="S1","a",if($K53="S2","b","")),Students!$A:$A,AS$2)+countifs(Students!$H:$H,$Y53,Students!$I:$I,$Y$2&amp;if($K53="S1","a",if($K53="S2","b","")),Students!$A:$A,AS$2)+countifs(Students!$J:$J,$Y53,Students!$K:$K,$Y$2&amp;if($K53="S1","a",if($K53="S2","b","")),Students!$A:$A,AS$2)+countifs(Students!$L:$L,$Y53,Students!$M:$M,$Y$2&amp;if($K53="S1","a",if($K53="S2","b","")),Students!$A:$A,AS$2)+countifs(Students!$N:$N,$Y53,Students!$O:$O,$Y$2&amp;if($K53="S1","a",if($K53="S2","b","")),Students!$A:$A,AS$2)+countifs(Students!$P:$P,$Y53,Students!$Q:$Q,$Y$2&amp;if($K53="S1","a",if($K53="S2","b","")),Students!$A:$A,AS$2)+countifs(Students!$R:$R,$Y53,Students!$S:$S,$Y$2&amp;if($K53="S1","a",if($K53="S2","b","")),Students!$A:$A,AS$2)+countifs(Students!$T:$T,$Y53,Students!$U:$U,$Y$2&amp;if($K53="S1","a",if($K53="S2","b","")),Students!$A:$A,AS$2)+countifs(Students!$V:$V,$Y53,Students!$W:$W,$Y$2&amp;if($K53="S1","a",if($K53="S2","b","")),Students!$A:$A,AS$2)+
countifs(Students!$D:$D,$AB53,Students!$E:$E,$AB$2&amp;if($K53="S1","a",if($K53="S2","b","")),Students!$A:$A,AS$2)+countifs(Students!$F:$F,$AB53,Students!$G:$G,$AB$2&amp;if($K53="S1","a",if($K53="S2","b","")),Students!$A:$A,AS$2)+countifs(Students!$H:$H,$AB53,Students!$I:$I,$AB$2&amp;if($K53="S1","a",if($K53="S2","b","")),Students!$A:$A,AS$2)+countifs(Students!$J:$J,$AB53,Students!$K:$K,$AB$2&amp;if($K53="S1","a",if($K53="S2","b","")),Students!$A:$A,AS$2)+countifs(Students!$L:$L,$AB53,Students!$M:$M,$AB$2&amp;if($K53="S1","a",if($K53="S2","b","")),Students!$A:$A,AS$2)+countifs(Students!$N:$N,$AB53,Students!$O:$O,$AB$2&amp;if($K53="S1","a",if($K53="S2","b","")),Students!$A:$A,AS$2)+countifs(Students!$P:$P,$AB53,Students!$Q:$Q,$AB$2&amp;if($K53="S1","a",if($K53="S2","b","")),Students!$A:$A,AS$2)+countifs(Students!$R:$R,$AB53,Students!$S:$S,$AB$2&amp;if($K53="S1","a",if($K53="S2","b","")),Students!$A:$A,AS$2)+countifs(Students!$T:$T,$AB53,Students!$U:$U,$AB$2&amp;if($K53="S1","a",if($K53="S2","b","")),Students!$A:$A,AS$2)+countifs(Students!$V:$V,$AB53,Students!$W:$W,$AB$2&amp;if($K53="S1","a",if($K53="S2","b","")),Students!$A:$A,AS$2)+
countifs(Students!$D:$D,$AE53,Students!$E:$E,$AE$2&amp;if($K53="S1","a",if($K53="S2","b","")),Students!$A:$A,AS$2)+countifs(Students!$F:$F,$AE53,Students!$G:$G,$AE$2&amp;if($K53="S1","a",if($K53="S2","b","")),Students!$A:$A,AS$2)+countifs(Students!$H:$H,$AE53,Students!$I:$I,$AE$2&amp;if($K53="S1","a",if($K53="S2","b","")),Students!$A:$A,AS$2)+countifs(Students!$J:$J,$AE53,Students!$K:$K,$AE$2&amp;if($K53="S1","a",if($K53="S2","b","")),Students!$A:$A,AS$2)+countifs(Students!$L:$L,$AE53,Students!$M:$M,$AE$2&amp;if($K53="S1","a",if($K53="S2","b","")),Students!$A:$A,AS$2)+countifs(Students!$N:$N,$AE53,Students!$O:$O,$AE$2&amp;if($K53="S1","a",if($K53="S2","b","")),Students!$A:$A,AS$2)+countifs(Students!$P:$P,$AE53,Students!$Q:$Q,$AE$2&amp;if($K53="S1","a",if($K53="S2","b","")),Students!$A:$A,AS$2)+countifs(Students!$R:$R,$AE53,Students!$S:$S,$AE$2&amp;if($K53="S1","a",if($K53="S2","b","")),Students!$A:$A,AS$2)+countifs(Students!$T:$T,$AE53,Students!$U:$U,$AE$2&amp;if($K53="S1","a",if($K53="S2","b","")),Students!$A:$A,AS$2)+countifs(Students!$V:$V,$AE53,Students!$W:$W,$AE$2&amp;if($K53="S1","a",if($K53="S2","b","")),Students!$A:$A,AS$2)+
countifs(Students!$D:$D,$AH53,Students!$E:$E,$AH$2&amp;if($K53="S1","a",if($K53="S2","b","")),Students!$A:$A,AS$2)+countifs(Students!$F:$F,$AH53,Students!$G:$G,$AH$2&amp;if($K53="S1","a",if($K53="S2","b","")),Students!$A:$A,AS$2)+countifs(Students!$H:$H,$AH53,Students!$I:$I,$AH$2&amp;if($K53="S1","a",if($K53="S2","b","")),Students!$A:$A,AS$2)+countifs(Students!$J:$J,$AH53,Students!$K:$K,$AH$2&amp;if($K53="S1","a",if($K53="S2","b","")),Students!$A:$A,AS$2)+countifs(Students!$L:$L,$AH53,Students!$M:$M,$AH$2&amp;if($K53="S1","a",if($K53="S2","b","")),Students!$A:$A,AS$2)+countifs(Students!$N:$N,$AH53,Students!$O:$O,$AH$2&amp;if($K53="S1","a",if($K53="S2","b","")),Students!$A:$A,AS$2)+countifs(Students!$P:$P,$AH53,Students!$Q:$Q,$AH$2&amp;if($K53="S1","a",if($K53="S2","b","")),Students!$A:$A,AS$2)+countifs(Students!$R:$R,$AH53,Students!$S:$S,$AH$2&amp;if($K53="S1","a",if($K53="S2","b","")),Students!$A:$A,AS$2)+countifs(Students!$T:$T,$AH53,Students!$U:$U,$AH$2&amp;if($K53="S1","a",if($K53="S2","b","")),Students!$A:$A,AS$2)+countifs(Students!$V:$V,$AH53,Students!$W:$W,$AH$2&amp;if($K53="S1","a",if($K53="S2","b","")),Students!$A:$A,AS$2)+
countifs(Students!$D:$D,$AK53,Students!$E:$E,$AK$2&amp;if($K53="S1","a",if($K53="S2","b","")),Students!$A:$A,AS$2)+countifs(Students!$F:$F,$AK53,Students!$G:$G,$AK$2&amp;if($K53="S1","a",if($K53="S2","b","")),Students!$A:$A,AS$2)+countifs(Students!$H:$H,$AK53,Students!$I:$I,$AK$2&amp;if($K53="S1","a",if($K53="S2","b","")),Students!$A:$A,AS$2)+countifs(Students!$J:$J,$AK53,Students!$K:$K,$AK$2&amp;if($K53="S1","a",if($K53="S2","b","")),Students!$A:$A,AS$2)+countifs(Students!$L:$L,$AK53,Students!$M:$M,$AK$2&amp;if($K53="S1","a",if($K53="S2","b","")),Students!$A:$A,AS$2)+countifs(Students!$N:$N,$AK53,Students!$O:$O,$AK$2&amp;if($K53="S1","a",if($K53="S2","b","")),Students!$A:$A,AS$2)+countifs(Students!$P:$P,$AK53,Students!$Q:$Q,$AK$2&amp;if($K53="S1","a",if($K53="S2","b","")),Students!$A:$A,AS$2)+countifs(Students!$R:$R,$AK53,Students!$S:$S,$AK$2&amp;if($K53="S1","a",if($K53="S2","b","")),Students!$A:$A,AS$2)+countifs(Students!$T:$T,$AK53,Students!$U:$U,$AK$2&amp;if($K53="S1","a",if($K53="S2","b","")),Students!$A:$A,AS$2)+countifs(Students!$V:$V,$AK53,Students!$W:$W,$AK$2&amp;if($K53="S1","a",if($K53="S2","b","")),Students!$A:$A,AS$2))</f>
        <v/>
      </c>
    </row>
    <row r="54">
      <c r="J54" s="87" t="s">
        <v>22</v>
      </c>
      <c r="K54" s="88"/>
      <c r="L54" s="58"/>
      <c r="M54" s="106"/>
      <c r="N54" s="87" t="s">
        <v>22</v>
      </c>
      <c r="O54" s="87">
        <f>IFERROR(__xludf.DUMMYFUNCTION("3*counta((transpose(filter(P54:AM54,P54:AM54&lt;&gt;"""",isnumber(P54:AM54)=false))))"),3.0)</f>
        <v>3</v>
      </c>
      <c r="P54" s="117"/>
      <c r="Q54" s="117"/>
      <c r="R54" s="98" t="s">
        <v>22</v>
      </c>
      <c r="S54" s="101"/>
      <c r="T54" s="101"/>
      <c r="U54" s="98" t="s">
        <v>22</v>
      </c>
      <c r="V54" s="117"/>
      <c r="W54" s="117"/>
      <c r="X54" s="98" t="s">
        <v>22</v>
      </c>
      <c r="Y54" s="117"/>
      <c r="Z54" s="117"/>
      <c r="AA54" s="98" t="s">
        <v>22</v>
      </c>
      <c r="AB54" s="117"/>
      <c r="AC54" s="117"/>
      <c r="AD54" s="98" t="s">
        <v>22</v>
      </c>
      <c r="AE54" s="117"/>
      <c r="AF54" s="117"/>
      <c r="AG54" s="98" t="s">
        <v>22</v>
      </c>
      <c r="AH54" s="117"/>
      <c r="AI54" s="98"/>
      <c r="AJ54" s="98" t="s">
        <v>22</v>
      </c>
      <c r="AK54" s="117"/>
      <c r="AL54" s="98"/>
      <c r="AM54" s="98" t="s">
        <v>22</v>
      </c>
      <c r="AN54" s="99"/>
      <c r="AO54" s="52" t="str">
        <f t="shared" si="2"/>
        <v/>
      </c>
      <c r="AP54" s="98" t="str">
        <f>if($L54="","",countifs(Students!$D:$D,$P54,Students!$E:$E,$P$2&amp;if($K54="S1","a",if($K54="S2","b","")),Students!$A:$A,AP$2)+countifs(Students!$F:$F,$P54,Students!$G:$G,$P$2&amp;if($K54="S1","a",if($K54="S2","b","")),Students!$A:$A,AP$2)+countifs(Students!$H:$H,$P54,Students!$I:$I,$P$2&amp;if($K54="S1","a",if($K54="S2","b","")),Students!$A:$A,AP$2)+countifs(Students!$J:$J,$P54,Students!$K:$K,$P$2&amp;if($K54="S1","a",if($K54="S2","b","")),Students!$A:$A,AP$2)+countifs(Students!$L:$L,$P54,Students!$M:$M,$P$2&amp;if($K54="S1","a",if($K54="S2","b","")),Students!$A:$A,AP$2)+countifs(Students!$N:$N,$P54,Students!$O:$O,$P$2&amp;if($K54="S1","a",if($K54="S2","b","")),Students!$A:$A,AP$2)+countifs(Students!$P:$P,$P54,Students!$Q:$Q,$P$2&amp;if($K54="S1","a",if($K54="S2","b","")),Students!$A:$A,AP$2)+countifs(Students!$R:$R,$P54,Students!$S:$S,$P$2&amp;if($K54="S1","a",if($K54="S2","b","")),Students!$A:$A,AP$2)+countifs(Students!$T:$T,$P54,Students!$U:$U,$P$2&amp;if($K54="S1","a",if($K54="S2","b","")),Students!$A:$A,AP$2)+countifs(Students!$V:$V,$P54,Students!$W:$W,$P$2&amp;if($K54="S1","a",if($K54="S2","b","")),Students!$A:$A,AP$2)+
countifs(Students!$D:$D,$S54,Students!$E:$E,$S$2&amp;if($K54="S1","a",if($K54="S2","b","")),Students!$A:$A,AP$2)+countifs(Students!$F:$F,$S54,Students!$G:$G,$S$2&amp;if($K54="S1","a",if($K54="S2","b","")),Students!$A:$A,AP$2)+countifs(Students!$H:$H,$S54,Students!$I:$I,$S$2&amp;if($K54="S1","a",if($K54="S2","b","")),Students!$A:$A,AP$2)+countifs(Students!$J:$J,$S54,Students!$K:$K,$S$2&amp;if($K54="S1","a",if($K54="S2","b","")),Students!$A:$A,AP$2)+countifs(Students!$L:$L,$S54,Students!$M:$M,$S$2&amp;if($K54="S1","a",if($K54="S2","b","")),Students!$A:$A,AP$2)+countifs(Students!$N:$N,$S54,Students!$O:$O,$S$2&amp;if($K54="S1","a",if($K54="S2","b","")),Students!$A:$A,AP$2)+countifs(Students!$P:$P,$S54,Students!$Q:$Q,$S$2&amp;if($K54="S1","a",if($K54="S2","b","")),Students!$A:$A,AP$2)+countifs(Students!$R:$R,$S54,Students!$S:$S,$S$2&amp;if($K54="S1","a",if($K54="S2","b","")),Students!$A:$A,AP$2)+countifs(Students!$T:$T,$S54,Students!$U:$U,$S$2&amp;if($K54="S1","a",if($K54="S2","b","")),Students!$A:$A,AP$2)+countifs(Students!$V:$V,$S54,Students!$W:$W,$S$2&amp;if($K54="S1","a",if($K54="S2","b","")),Students!$A:$A,AP$2)+
countifs(Students!$D:$D,$V54,Students!$E:$E,$V$2&amp;if($K54="S1","a",if($K54="S2","b","")),Students!$A:$A,AP$2)+countifs(Students!$F:$F,$V54,Students!$G:$G,$V$2&amp;if($K54="S1","a",if($K54="S2","b","")),Students!$A:$A,AP$2)+countifs(Students!$H:$H,$V54,Students!$I:$I,$V$2&amp;if($K54="S1","a",if($K54="S2","b","")),Students!$A:$A,AP$2)+countifs(Students!$J:$J,$V54,Students!$K:$K,$V$2&amp;if($K54="S1","a",if($K54="S2","b","")),Students!$A:$A,AP$2)+countifs(Students!$L:$L,$V54,Students!$M:$M,$V$2&amp;if($K54="S1","a",if($K54="S2","b","")),Students!$A:$A,AP$2)+countifs(Students!$N:$N,$V54,Students!$O:$O,$V$2&amp;if($K54="S1","a",if($K54="S2","b","")),Students!$A:$A,AP$2)+countifs(Students!$P:$P,$V54,Students!$Q:$Q,$V$2&amp;if($K54="S1","a",if($K54="S2","b","")),Students!$A:$A,AP$2)+countifs(Students!$R:$R,$V54,Students!$S:$S,$V$2&amp;if($K54="S1","a",if($K54="S2","b","")),Students!$A:$A,AP$2)+countifs(Students!$T:$T,$V54,Students!$U:$U,$V$2&amp;if($K54="S1","a",if($K54="S2","b","")),Students!$A:$A,AP$2)+countifs(Students!$V:$V,$V54,Students!$W:$W,$V$2&amp;if($K54="S1","a",if($K54="S2","b","")),Students!$A:$A,AP$2)+
countifs(Students!$D:$D,$Y54,Students!$E:$E,$Y$2&amp;if($K54="S1","a",if($K54="S2","b","")),Students!$A:$A,AP$2)+countifs(Students!$F:$F,$Y54,Students!$G:$G,$Y$2&amp;if($K54="S1","a",if($K54="S2","b","")),Students!$A:$A,AP$2)+countifs(Students!$H:$H,$Y54,Students!$I:$I,$Y$2&amp;if($K54="S1","a",if($K54="S2","b","")),Students!$A:$A,AP$2)+countifs(Students!$J:$J,$Y54,Students!$K:$K,$Y$2&amp;if($K54="S1","a",if($K54="S2","b","")),Students!$A:$A,AP$2)+countifs(Students!$L:$L,$Y54,Students!$M:$M,$Y$2&amp;if($K54="S1","a",if($K54="S2","b","")),Students!$A:$A,AP$2)+countifs(Students!$N:$N,$Y54,Students!$O:$O,$Y$2&amp;if($K54="S1","a",if($K54="S2","b","")),Students!$A:$A,AP$2)+countifs(Students!$P:$P,$Y54,Students!$Q:$Q,$Y$2&amp;if($K54="S1","a",if($K54="S2","b","")),Students!$A:$A,AP$2)+countifs(Students!$R:$R,$Y54,Students!$S:$S,$Y$2&amp;if($K54="S1","a",if($K54="S2","b","")),Students!$A:$A,AP$2)+countifs(Students!$T:$T,$Y54,Students!$U:$U,$Y$2&amp;if($K54="S1","a",if($K54="S2","b","")),Students!$A:$A,AP$2)+countifs(Students!$V:$V,$Y54,Students!$W:$W,$Y$2&amp;if($K54="S1","a",if($K54="S2","b","")),Students!$A:$A,AP$2)+
countifs(Students!$D:$D,$AB54,Students!$E:$E,$AB$2&amp;if($K54="S1","a",if($K54="S2","b","")),Students!$A:$A,AP$2)+countifs(Students!$F:$F,$AB54,Students!$G:$G,$AB$2&amp;if($K54="S1","a",if($K54="S2","b","")),Students!$A:$A,AP$2)+countifs(Students!$H:$H,$AB54,Students!$I:$I,$AB$2&amp;if($K54="S1","a",if($K54="S2","b","")),Students!$A:$A,AP$2)+countifs(Students!$J:$J,$AB54,Students!$K:$K,$AB$2&amp;if($K54="S1","a",if($K54="S2","b","")),Students!$A:$A,AP$2)+countifs(Students!$L:$L,$AB54,Students!$M:$M,$AB$2&amp;if($K54="S1","a",if($K54="S2","b","")),Students!$A:$A,AP$2)+countifs(Students!$N:$N,$AB54,Students!$O:$O,$AB$2&amp;if($K54="S1","a",if($K54="S2","b","")),Students!$A:$A,AP$2)+countifs(Students!$P:$P,$AB54,Students!$Q:$Q,$AB$2&amp;if($K54="S1","a",if($K54="S2","b","")),Students!$A:$A,AP$2)+countifs(Students!$R:$R,$AB54,Students!$S:$S,$AB$2&amp;if($K54="S1","a",if($K54="S2","b","")),Students!$A:$A,AP$2)+countifs(Students!$T:$T,$AB54,Students!$U:$U,$AB$2&amp;if($K54="S1","a",if($K54="S2","b","")),Students!$A:$A,AP$2)+countifs(Students!$V:$V,$AB54,Students!$W:$W,$AB$2&amp;if($K54="S1","a",if($K54="S2","b","")),Students!$A:$A,AP$2)+
countifs(Students!$D:$D,$AE54,Students!$E:$E,$AE$2&amp;if($K54="S1","a",if($K54="S2","b","")),Students!$A:$A,AP$2)+countifs(Students!$F:$F,$AE54,Students!$G:$G,$AE$2&amp;if($K54="S1","a",if($K54="S2","b","")),Students!$A:$A,AP$2)+countifs(Students!$H:$H,$AE54,Students!$I:$I,$AE$2&amp;if($K54="S1","a",if($K54="S2","b","")),Students!$A:$A,AP$2)+countifs(Students!$J:$J,$AE54,Students!$K:$K,$AE$2&amp;if($K54="S1","a",if($K54="S2","b","")),Students!$A:$A,AP$2)+countifs(Students!$L:$L,$AE54,Students!$M:$M,$AE$2&amp;if($K54="S1","a",if($K54="S2","b","")),Students!$A:$A,AP$2)+countifs(Students!$N:$N,$AE54,Students!$O:$O,$AE$2&amp;if($K54="S1","a",if($K54="S2","b","")),Students!$A:$A,AP$2)+countifs(Students!$P:$P,$AE54,Students!$Q:$Q,$AE$2&amp;if($K54="S1","a",if($K54="S2","b","")),Students!$A:$A,AP$2)+countifs(Students!$R:$R,$AE54,Students!$S:$S,$AE$2&amp;if($K54="S1","a",if($K54="S2","b","")),Students!$A:$A,AP$2)+countifs(Students!$T:$T,$AE54,Students!$U:$U,$AE$2&amp;if($K54="S1","a",if($K54="S2","b","")),Students!$A:$A,AP$2)+countifs(Students!$V:$V,$AE54,Students!$W:$W,$AE$2&amp;if($K54="S1","a",if($K54="S2","b","")),Students!$A:$A,AP$2)+
countifs(Students!$D:$D,$AH54,Students!$E:$E,$AH$2&amp;if($K54="S1","a",if($K54="S2","b","")),Students!$A:$A,AP$2)+countifs(Students!$F:$F,$AH54,Students!$G:$G,$AH$2&amp;if($K54="S1","a",if($K54="S2","b","")),Students!$A:$A,AP$2)+countifs(Students!$H:$H,$AH54,Students!$I:$I,$AH$2&amp;if($K54="S1","a",if($K54="S2","b","")),Students!$A:$A,AP$2)+countifs(Students!$J:$J,$AH54,Students!$K:$K,$AH$2&amp;if($K54="S1","a",if($K54="S2","b","")),Students!$A:$A,AP$2)+countifs(Students!$L:$L,$AH54,Students!$M:$M,$AH$2&amp;if($K54="S1","a",if($K54="S2","b","")),Students!$A:$A,AP$2)+countifs(Students!$N:$N,$AH54,Students!$O:$O,$AH$2&amp;if($K54="S1","a",if($K54="S2","b","")),Students!$A:$A,AP$2)+countifs(Students!$P:$P,$AH54,Students!$Q:$Q,$AH$2&amp;if($K54="S1","a",if($K54="S2","b","")),Students!$A:$A,AP$2)+countifs(Students!$R:$R,$AH54,Students!$S:$S,$AH$2&amp;if($K54="S1","a",if($K54="S2","b","")),Students!$A:$A,AP$2)+countifs(Students!$T:$T,$AH54,Students!$U:$U,$AH$2&amp;if($K54="S1","a",if($K54="S2","b","")),Students!$A:$A,AP$2)+countifs(Students!$V:$V,$AH54,Students!$W:$W,$AH$2&amp;if($K54="S1","a",if($K54="S2","b","")),Students!$A:$A,AP$2)+
countifs(Students!$D:$D,$AK54,Students!$E:$E,$AK$2&amp;if($K54="S1","a",if($K54="S2","b","")),Students!$A:$A,AP$2)+countifs(Students!$F:$F,$AK54,Students!$G:$G,$AK$2&amp;if($K54="S1","a",if($K54="S2","b","")),Students!$A:$A,AP$2)+countifs(Students!$H:$H,$AK54,Students!$I:$I,$AK$2&amp;if($K54="S1","a",if($K54="S2","b","")),Students!$A:$A,AP$2)+countifs(Students!$J:$J,$AK54,Students!$K:$K,$AK$2&amp;if($K54="S1","a",if($K54="S2","b","")),Students!$A:$A,AP$2)+countifs(Students!$L:$L,$AK54,Students!$M:$M,$AK$2&amp;if($K54="S1","a",if($K54="S2","b","")),Students!$A:$A,AP$2)+countifs(Students!$N:$N,$AK54,Students!$O:$O,$AK$2&amp;if($K54="S1","a",if($K54="S2","b","")),Students!$A:$A,AP$2)+countifs(Students!$P:$P,$AK54,Students!$Q:$Q,$AK$2&amp;if($K54="S1","a",if($K54="S2","b","")),Students!$A:$A,AP$2)+countifs(Students!$R:$R,$AK54,Students!$S:$S,$AK$2&amp;if($K54="S1","a",if($K54="S2","b","")),Students!$A:$A,AP$2)+countifs(Students!$T:$T,$AK54,Students!$U:$U,$AK$2&amp;if($K54="S1","a",if($K54="S2","b","")),Students!$A:$A,AP$2)+countifs(Students!$V:$V,$AK54,Students!$W:$W,$AK$2&amp;if($K54="S1","a",if($K54="S2","b","")),Students!$A:$A,AP$2))</f>
        <v/>
      </c>
      <c r="AQ54" s="98" t="str">
        <f>if($L54="","",countifs(Students!$D:$D,$P54,Students!$E:$E,$P$2&amp;if($K54="S1","a",if($K54="S2","b","")),Students!$A:$A,AQ$2)+countifs(Students!$F:$F,$P54,Students!$G:$G,$P$2&amp;if($K54="S1","a",if($K54="S2","b","")),Students!$A:$A,AQ$2)+countifs(Students!$H:$H,$P54,Students!$I:$I,$P$2&amp;if($K54="S1","a",if($K54="S2","b","")),Students!$A:$A,AQ$2)+countifs(Students!$J:$J,$P54,Students!$K:$K,$P$2&amp;if($K54="S1","a",if($K54="S2","b","")),Students!$A:$A,AQ$2)+countifs(Students!$L:$L,$P54,Students!$M:$M,$P$2&amp;if($K54="S1","a",if($K54="S2","b","")),Students!$A:$A,AQ$2)+countifs(Students!$N:$N,$P54,Students!$O:$O,$P$2&amp;if($K54="S1","a",if($K54="S2","b","")),Students!$A:$A,AQ$2)+countifs(Students!$P:$P,$P54,Students!$Q:$Q,$P$2&amp;if($K54="S1","a",if($K54="S2","b","")),Students!$A:$A,AQ$2)+countifs(Students!$R:$R,$P54,Students!$S:$S,$P$2&amp;if($K54="S1","a",if($K54="S2","b","")),Students!$A:$A,AQ$2)+countifs(Students!$T:$T,$P54,Students!$U:$U,$P$2&amp;if($K54="S1","a",if($K54="S2","b","")),Students!$A:$A,AQ$2)+countifs(Students!$V:$V,$P54,Students!$W:$W,$P$2&amp;if($K54="S1","a",if($K54="S2","b","")),Students!$A:$A,AQ$2)+
countifs(Students!$D:$D,$S54,Students!$E:$E,$S$2&amp;if($K54="S1","a",if($K54="S2","b","")),Students!$A:$A,AQ$2)+countifs(Students!$F:$F,$S54,Students!$G:$G,$S$2&amp;if($K54="S1","a",if($K54="S2","b","")),Students!$A:$A,AQ$2)+countifs(Students!$H:$H,$S54,Students!$I:$I,$S$2&amp;if($K54="S1","a",if($K54="S2","b","")),Students!$A:$A,AQ$2)+countifs(Students!$J:$J,$S54,Students!$K:$K,$S$2&amp;if($K54="S1","a",if($K54="S2","b","")),Students!$A:$A,AQ$2)+countifs(Students!$L:$L,$S54,Students!$M:$M,$S$2&amp;if($K54="S1","a",if($K54="S2","b","")),Students!$A:$A,AQ$2)+countifs(Students!$N:$N,$S54,Students!$O:$O,$S$2&amp;if($K54="S1","a",if($K54="S2","b","")),Students!$A:$A,AQ$2)+countifs(Students!$P:$P,$S54,Students!$Q:$Q,$S$2&amp;if($K54="S1","a",if($K54="S2","b","")),Students!$A:$A,AQ$2)+countifs(Students!$R:$R,$S54,Students!$S:$S,$S$2&amp;if($K54="S1","a",if($K54="S2","b","")),Students!$A:$A,AQ$2)+countifs(Students!$T:$T,$S54,Students!$U:$U,$S$2&amp;if($K54="S1","a",if($K54="S2","b","")),Students!$A:$A,AQ$2)+countifs(Students!$V:$V,$S54,Students!$W:$W,$S$2&amp;if($K54="S1","a",if($K54="S2","b","")),Students!$A:$A,AQ$2)+
countifs(Students!$D:$D,$V54,Students!$E:$E,$V$2&amp;if($K54="S1","a",if($K54="S2","b","")),Students!$A:$A,AQ$2)+countifs(Students!$F:$F,$V54,Students!$G:$G,$V$2&amp;if($K54="S1","a",if($K54="S2","b","")),Students!$A:$A,AQ$2)+countifs(Students!$H:$H,$V54,Students!$I:$I,$V$2&amp;if($K54="S1","a",if($K54="S2","b","")),Students!$A:$A,AQ$2)+countifs(Students!$J:$J,$V54,Students!$K:$K,$V$2&amp;if($K54="S1","a",if($K54="S2","b","")),Students!$A:$A,AQ$2)+countifs(Students!$L:$L,$V54,Students!$M:$M,$V$2&amp;if($K54="S1","a",if($K54="S2","b","")),Students!$A:$A,AQ$2)+countifs(Students!$N:$N,$V54,Students!$O:$O,$V$2&amp;if($K54="S1","a",if($K54="S2","b","")),Students!$A:$A,AQ$2)+countifs(Students!$P:$P,$V54,Students!$Q:$Q,$V$2&amp;if($K54="S1","a",if($K54="S2","b","")),Students!$A:$A,AQ$2)+countifs(Students!$R:$R,$V54,Students!$S:$S,$V$2&amp;if($K54="S1","a",if($K54="S2","b","")),Students!$A:$A,AQ$2)+countifs(Students!$T:$T,$V54,Students!$U:$U,$V$2&amp;if($K54="S1","a",if($K54="S2","b","")),Students!$A:$A,AQ$2)+countifs(Students!$V:$V,$V54,Students!$W:$W,$V$2&amp;if($K54="S1","a",if($K54="S2","b","")),Students!$A:$A,AQ$2)+
countifs(Students!$D:$D,$Y54,Students!$E:$E,$Y$2&amp;if($K54="S1","a",if($K54="S2","b","")),Students!$A:$A,AQ$2)+countifs(Students!$F:$F,$Y54,Students!$G:$G,$Y$2&amp;if($K54="S1","a",if($K54="S2","b","")),Students!$A:$A,AQ$2)+countifs(Students!$H:$H,$Y54,Students!$I:$I,$Y$2&amp;if($K54="S1","a",if($K54="S2","b","")),Students!$A:$A,AQ$2)+countifs(Students!$J:$J,$Y54,Students!$K:$K,$Y$2&amp;if($K54="S1","a",if($K54="S2","b","")),Students!$A:$A,AQ$2)+countifs(Students!$L:$L,$Y54,Students!$M:$M,$Y$2&amp;if($K54="S1","a",if($K54="S2","b","")),Students!$A:$A,AQ$2)+countifs(Students!$N:$N,$Y54,Students!$O:$O,$Y$2&amp;if($K54="S1","a",if($K54="S2","b","")),Students!$A:$A,AQ$2)+countifs(Students!$P:$P,$Y54,Students!$Q:$Q,$Y$2&amp;if($K54="S1","a",if($K54="S2","b","")),Students!$A:$A,AQ$2)+countifs(Students!$R:$R,$Y54,Students!$S:$S,$Y$2&amp;if($K54="S1","a",if($K54="S2","b","")),Students!$A:$A,AQ$2)+countifs(Students!$T:$T,$Y54,Students!$U:$U,$Y$2&amp;if($K54="S1","a",if($K54="S2","b","")),Students!$A:$A,AQ$2)+countifs(Students!$V:$V,$Y54,Students!$W:$W,$Y$2&amp;if($K54="S1","a",if($K54="S2","b","")),Students!$A:$A,AQ$2)+
countifs(Students!$D:$D,$AB54,Students!$E:$E,$AB$2&amp;if($K54="S1","a",if($K54="S2","b","")),Students!$A:$A,AQ$2)+countifs(Students!$F:$F,$AB54,Students!$G:$G,$AB$2&amp;if($K54="S1","a",if($K54="S2","b","")),Students!$A:$A,AQ$2)+countifs(Students!$H:$H,$AB54,Students!$I:$I,$AB$2&amp;if($K54="S1","a",if($K54="S2","b","")),Students!$A:$A,AQ$2)+countifs(Students!$J:$J,$AB54,Students!$K:$K,$AB$2&amp;if($K54="S1","a",if($K54="S2","b","")),Students!$A:$A,AQ$2)+countifs(Students!$L:$L,$AB54,Students!$M:$M,$AB$2&amp;if($K54="S1","a",if($K54="S2","b","")),Students!$A:$A,AQ$2)+countifs(Students!$N:$N,$AB54,Students!$O:$O,$AB$2&amp;if($K54="S1","a",if($K54="S2","b","")),Students!$A:$A,AQ$2)+countifs(Students!$P:$P,$AB54,Students!$Q:$Q,$AB$2&amp;if($K54="S1","a",if($K54="S2","b","")),Students!$A:$A,AQ$2)+countifs(Students!$R:$R,$AB54,Students!$S:$S,$AB$2&amp;if($K54="S1","a",if($K54="S2","b","")),Students!$A:$A,AQ$2)+countifs(Students!$T:$T,$AB54,Students!$U:$U,$AB$2&amp;if($K54="S1","a",if($K54="S2","b","")),Students!$A:$A,AQ$2)+countifs(Students!$V:$V,$AB54,Students!$W:$W,$AB$2&amp;if($K54="S1","a",if($K54="S2","b","")),Students!$A:$A,AQ$2)+
countifs(Students!$D:$D,$AE54,Students!$E:$E,$AE$2&amp;if($K54="S1","a",if($K54="S2","b","")),Students!$A:$A,AQ$2)+countifs(Students!$F:$F,$AE54,Students!$G:$G,$AE$2&amp;if($K54="S1","a",if($K54="S2","b","")),Students!$A:$A,AQ$2)+countifs(Students!$H:$H,$AE54,Students!$I:$I,$AE$2&amp;if($K54="S1","a",if($K54="S2","b","")),Students!$A:$A,AQ$2)+countifs(Students!$J:$J,$AE54,Students!$K:$K,$AE$2&amp;if($K54="S1","a",if($K54="S2","b","")),Students!$A:$A,AQ$2)+countifs(Students!$L:$L,$AE54,Students!$M:$M,$AE$2&amp;if($K54="S1","a",if($K54="S2","b","")),Students!$A:$A,AQ$2)+countifs(Students!$N:$N,$AE54,Students!$O:$O,$AE$2&amp;if($K54="S1","a",if($K54="S2","b","")),Students!$A:$A,AQ$2)+countifs(Students!$P:$P,$AE54,Students!$Q:$Q,$AE$2&amp;if($K54="S1","a",if($K54="S2","b","")),Students!$A:$A,AQ$2)+countifs(Students!$R:$R,$AE54,Students!$S:$S,$AE$2&amp;if($K54="S1","a",if($K54="S2","b","")),Students!$A:$A,AQ$2)+countifs(Students!$T:$T,$AE54,Students!$U:$U,$AE$2&amp;if($K54="S1","a",if($K54="S2","b","")),Students!$A:$A,AQ$2)+countifs(Students!$V:$V,$AE54,Students!$W:$W,$AE$2&amp;if($K54="S1","a",if($K54="S2","b","")),Students!$A:$A,AQ$2)+
countifs(Students!$D:$D,$AH54,Students!$E:$E,$AH$2&amp;if($K54="S1","a",if($K54="S2","b","")),Students!$A:$A,AQ$2)+countifs(Students!$F:$F,$AH54,Students!$G:$G,$AH$2&amp;if($K54="S1","a",if($K54="S2","b","")),Students!$A:$A,AQ$2)+countifs(Students!$H:$H,$AH54,Students!$I:$I,$AH$2&amp;if($K54="S1","a",if($K54="S2","b","")),Students!$A:$A,AQ$2)+countifs(Students!$J:$J,$AH54,Students!$K:$K,$AH$2&amp;if($K54="S1","a",if($K54="S2","b","")),Students!$A:$A,AQ$2)+countifs(Students!$L:$L,$AH54,Students!$M:$M,$AH$2&amp;if($K54="S1","a",if($K54="S2","b","")),Students!$A:$A,AQ$2)+countifs(Students!$N:$N,$AH54,Students!$O:$O,$AH$2&amp;if($K54="S1","a",if($K54="S2","b","")),Students!$A:$A,AQ$2)+countifs(Students!$P:$P,$AH54,Students!$Q:$Q,$AH$2&amp;if($K54="S1","a",if($K54="S2","b","")),Students!$A:$A,AQ$2)+countifs(Students!$R:$R,$AH54,Students!$S:$S,$AH$2&amp;if($K54="S1","a",if($K54="S2","b","")),Students!$A:$A,AQ$2)+countifs(Students!$T:$T,$AH54,Students!$U:$U,$AH$2&amp;if($K54="S1","a",if($K54="S2","b","")),Students!$A:$A,AQ$2)+countifs(Students!$V:$V,$AH54,Students!$W:$W,$AH$2&amp;if($K54="S1","a",if($K54="S2","b","")),Students!$A:$A,AQ$2)+
countifs(Students!$D:$D,$AK54,Students!$E:$E,$AK$2&amp;if($K54="S1","a",if($K54="S2","b","")),Students!$A:$A,AQ$2)+countifs(Students!$F:$F,$AK54,Students!$G:$G,$AK$2&amp;if($K54="S1","a",if($K54="S2","b","")),Students!$A:$A,AQ$2)+countifs(Students!$H:$H,$AK54,Students!$I:$I,$AK$2&amp;if($K54="S1","a",if($K54="S2","b","")),Students!$A:$A,AQ$2)+countifs(Students!$J:$J,$AK54,Students!$K:$K,$AK$2&amp;if($K54="S1","a",if($K54="S2","b","")),Students!$A:$A,AQ$2)+countifs(Students!$L:$L,$AK54,Students!$M:$M,$AK$2&amp;if($K54="S1","a",if($K54="S2","b","")),Students!$A:$A,AQ$2)+countifs(Students!$N:$N,$AK54,Students!$O:$O,$AK$2&amp;if($K54="S1","a",if($K54="S2","b","")),Students!$A:$A,AQ$2)+countifs(Students!$P:$P,$AK54,Students!$Q:$Q,$AK$2&amp;if($K54="S1","a",if($K54="S2","b","")),Students!$A:$A,AQ$2)+countifs(Students!$R:$R,$AK54,Students!$S:$S,$AK$2&amp;if($K54="S1","a",if($K54="S2","b","")),Students!$A:$A,AQ$2)+countifs(Students!$T:$T,$AK54,Students!$U:$U,$AK$2&amp;if($K54="S1","a",if($K54="S2","b","")),Students!$A:$A,AQ$2)+countifs(Students!$V:$V,$AK54,Students!$W:$W,$AK$2&amp;if($K54="S1","a",if($K54="S2","b","")),Students!$A:$A,AQ$2))</f>
        <v/>
      </c>
      <c r="AR54" s="98" t="str">
        <f>if($L54="","",countifs(Students!$D:$D,$P54,Students!$E:$E,$P$2&amp;if($K54="S1","a",if($K54="S2","b","")),Students!$A:$A,AR$2)+countifs(Students!$F:$F,$P54,Students!$G:$G,$P$2&amp;if($K54="S1","a",if($K54="S2","b","")),Students!$A:$A,AR$2)+countifs(Students!$H:$H,$P54,Students!$I:$I,$P$2&amp;if($K54="S1","a",if($K54="S2","b","")),Students!$A:$A,AR$2)+countifs(Students!$J:$J,$P54,Students!$K:$K,$P$2&amp;if($K54="S1","a",if($K54="S2","b","")),Students!$A:$A,AR$2)+countifs(Students!$L:$L,$P54,Students!$M:$M,$P$2&amp;if($K54="S1","a",if($K54="S2","b","")),Students!$A:$A,AR$2)+countifs(Students!$N:$N,$P54,Students!$O:$O,$P$2&amp;if($K54="S1","a",if($K54="S2","b","")),Students!$A:$A,AR$2)+countifs(Students!$P:$P,$P54,Students!$Q:$Q,$P$2&amp;if($K54="S1","a",if($K54="S2","b","")),Students!$A:$A,AR$2)+countifs(Students!$R:$R,$P54,Students!$S:$S,$P$2&amp;if($K54="S1","a",if($K54="S2","b","")),Students!$A:$A,AR$2)+countifs(Students!$T:$T,$P54,Students!$U:$U,$P$2&amp;if($K54="S1","a",if($K54="S2","b","")),Students!$A:$A,AR$2)+countifs(Students!$V:$V,$P54,Students!$W:$W,$P$2&amp;if($K54="S1","a",if($K54="S2","b","")),Students!$A:$A,AR$2)+
countifs(Students!$D:$D,$S54,Students!$E:$E,$S$2&amp;if($K54="S1","a",if($K54="S2","b","")),Students!$A:$A,AR$2)+countifs(Students!$F:$F,$S54,Students!$G:$G,$S$2&amp;if($K54="S1","a",if($K54="S2","b","")),Students!$A:$A,AR$2)+countifs(Students!$H:$H,$S54,Students!$I:$I,$S$2&amp;if($K54="S1","a",if($K54="S2","b","")),Students!$A:$A,AR$2)+countifs(Students!$J:$J,$S54,Students!$K:$K,$S$2&amp;if($K54="S1","a",if($K54="S2","b","")),Students!$A:$A,AR$2)+countifs(Students!$L:$L,$S54,Students!$M:$M,$S$2&amp;if($K54="S1","a",if($K54="S2","b","")),Students!$A:$A,AR$2)+countifs(Students!$N:$N,$S54,Students!$O:$O,$S$2&amp;if($K54="S1","a",if($K54="S2","b","")),Students!$A:$A,AR$2)+countifs(Students!$P:$P,$S54,Students!$Q:$Q,$S$2&amp;if($K54="S1","a",if($K54="S2","b","")),Students!$A:$A,AR$2)+countifs(Students!$R:$R,$S54,Students!$S:$S,$S$2&amp;if($K54="S1","a",if($K54="S2","b","")),Students!$A:$A,AR$2)+countifs(Students!$T:$T,$S54,Students!$U:$U,$S$2&amp;if($K54="S1","a",if($K54="S2","b","")),Students!$A:$A,AR$2)+countifs(Students!$V:$V,$S54,Students!$W:$W,$S$2&amp;if($K54="S1","a",if($K54="S2","b","")),Students!$A:$A,AR$2)+
countifs(Students!$D:$D,$V54,Students!$E:$E,$V$2&amp;if($K54="S1","a",if($K54="S2","b","")),Students!$A:$A,AR$2)+countifs(Students!$F:$F,$V54,Students!$G:$G,$V$2&amp;if($K54="S1","a",if($K54="S2","b","")),Students!$A:$A,AR$2)+countifs(Students!$H:$H,$V54,Students!$I:$I,$V$2&amp;if($K54="S1","a",if($K54="S2","b","")),Students!$A:$A,AR$2)+countifs(Students!$J:$J,$V54,Students!$K:$K,$V$2&amp;if($K54="S1","a",if($K54="S2","b","")),Students!$A:$A,AR$2)+countifs(Students!$L:$L,$V54,Students!$M:$M,$V$2&amp;if($K54="S1","a",if($K54="S2","b","")),Students!$A:$A,AR$2)+countifs(Students!$N:$N,$V54,Students!$O:$O,$V$2&amp;if($K54="S1","a",if($K54="S2","b","")),Students!$A:$A,AR$2)+countifs(Students!$P:$P,$V54,Students!$Q:$Q,$V$2&amp;if($K54="S1","a",if($K54="S2","b","")),Students!$A:$A,AR$2)+countifs(Students!$R:$R,$V54,Students!$S:$S,$V$2&amp;if($K54="S1","a",if($K54="S2","b","")),Students!$A:$A,AR$2)+countifs(Students!$T:$T,$V54,Students!$U:$U,$V$2&amp;if($K54="S1","a",if($K54="S2","b","")),Students!$A:$A,AR$2)+countifs(Students!$V:$V,$V54,Students!$W:$W,$V$2&amp;if($K54="S1","a",if($K54="S2","b","")),Students!$A:$A,AR$2)+
countifs(Students!$D:$D,$Y54,Students!$E:$E,$Y$2&amp;if($K54="S1","a",if($K54="S2","b","")),Students!$A:$A,AR$2)+countifs(Students!$F:$F,$Y54,Students!$G:$G,$Y$2&amp;if($K54="S1","a",if($K54="S2","b","")),Students!$A:$A,AR$2)+countifs(Students!$H:$H,$Y54,Students!$I:$I,$Y$2&amp;if($K54="S1","a",if($K54="S2","b","")),Students!$A:$A,AR$2)+countifs(Students!$J:$J,$Y54,Students!$K:$K,$Y$2&amp;if($K54="S1","a",if($K54="S2","b","")),Students!$A:$A,AR$2)+countifs(Students!$L:$L,$Y54,Students!$M:$M,$Y$2&amp;if($K54="S1","a",if($K54="S2","b","")),Students!$A:$A,AR$2)+countifs(Students!$N:$N,$Y54,Students!$O:$O,$Y$2&amp;if($K54="S1","a",if($K54="S2","b","")),Students!$A:$A,AR$2)+countifs(Students!$P:$P,$Y54,Students!$Q:$Q,$Y$2&amp;if($K54="S1","a",if($K54="S2","b","")),Students!$A:$A,AR$2)+countifs(Students!$R:$R,$Y54,Students!$S:$S,$Y$2&amp;if($K54="S1","a",if($K54="S2","b","")),Students!$A:$A,AR$2)+countifs(Students!$T:$T,$Y54,Students!$U:$U,$Y$2&amp;if($K54="S1","a",if($K54="S2","b","")),Students!$A:$A,AR$2)+countifs(Students!$V:$V,$Y54,Students!$W:$W,$Y$2&amp;if($K54="S1","a",if($K54="S2","b","")),Students!$A:$A,AR$2)+
countifs(Students!$D:$D,$AB54,Students!$E:$E,$AB$2&amp;if($K54="S1","a",if($K54="S2","b","")),Students!$A:$A,AR$2)+countifs(Students!$F:$F,$AB54,Students!$G:$G,$AB$2&amp;if($K54="S1","a",if($K54="S2","b","")),Students!$A:$A,AR$2)+countifs(Students!$H:$H,$AB54,Students!$I:$I,$AB$2&amp;if($K54="S1","a",if($K54="S2","b","")),Students!$A:$A,AR$2)+countifs(Students!$J:$J,$AB54,Students!$K:$K,$AB$2&amp;if($K54="S1","a",if($K54="S2","b","")),Students!$A:$A,AR$2)+countifs(Students!$L:$L,$AB54,Students!$M:$M,$AB$2&amp;if($K54="S1","a",if($K54="S2","b","")),Students!$A:$A,AR$2)+countifs(Students!$N:$N,$AB54,Students!$O:$O,$AB$2&amp;if($K54="S1","a",if($K54="S2","b","")),Students!$A:$A,AR$2)+countifs(Students!$P:$P,$AB54,Students!$Q:$Q,$AB$2&amp;if($K54="S1","a",if($K54="S2","b","")),Students!$A:$A,AR$2)+countifs(Students!$R:$R,$AB54,Students!$S:$S,$AB$2&amp;if($K54="S1","a",if($K54="S2","b","")),Students!$A:$A,AR$2)+countifs(Students!$T:$T,$AB54,Students!$U:$U,$AB$2&amp;if($K54="S1","a",if($K54="S2","b","")),Students!$A:$A,AR$2)+countifs(Students!$V:$V,$AB54,Students!$W:$W,$AB$2&amp;if($K54="S1","a",if($K54="S2","b","")),Students!$A:$A,AR$2)+
countifs(Students!$D:$D,$AE54,Students!$E:$E,$AE$2&amp;if($K54="S1","a",if($K54="S2","b","")),Students!$A:$A,AR$2)+countifs(Students!$F:$F,$AE54,Students!$G:$G,$AE$2&amp;if($K54="S1","a",if($K54="S2","b","")),Students!$A:$A,AR$2)+countifs(Students!$H:$H,$AE54,Students!$I:$I,$AE$2&amp;if($K54="S1","a",if($K54="S2","b","")),Students!$A:$A,AR$2)+countifs(Students!$J:$J,$AE54,Students!$K:$K,$AE$2&amp;if($K54="S1","a",if($K54="S2","b","")),Students!$A:$A,AR$2)+countifs(Students!$L:$L,$AE54,Students!$M:$M,$AE$2&amp;if($K54="S1","a",if($K54="S2","b","")),Students!$A:$A,AR$2)+countifs(Students!$N:$N,$AE54,Students!$O:$O,$AE$2&amp;if($K54="S1","a",if($K54="S2","b","")),Students!$A:$A,AR$2)+countifs(Students!$P:$P,$AE54,Students!$Q:$Q,$AE$2&amp;if($K54="S1","a",if($K54="S2","b","")),Students!$A:$A,AR$2)+countifs(Students!$R:$R,$AE54,Students!$S:$S,$AE$2&amp;if($K54="S1","a",if($K54="S2","b","")),Students!$A:$A,AR$2)+countifs(Students!$T:$T,$AE54,Students!$U:$U,$AE$2&amp;if($K54="S1","a",if($K54="S2","b","")),Students!$A:$A,AR$2)+countifs(Students!$V:$V,$AE54,Students!$W:$W,$AE$2&amp;if($K54="S1","a",if($K54="S2","b","")),Students!$A:$A,AR$2)+
countifs(Students!$D:$D,$AH54,Students!$E:$E,$AH$2&amp;if($K54="S1","a",if($K54="S2","b","")),Students!$A:$A,AR$2)+countifs(Students!$F:$F,$AH54,Students!$G:$G,$AH$2&amp;if($K54="S1","a",if($K54="S2","b","")),Students!$A:$A,AR$2)+countifs(Students!$H:$H,$AH54,Students!$I:$I,$AH$2&amp;if($K54="S1","a",if($K54="S2","b","")),Students!$A:$A,AR$2)+countifs(Students!$J:$J,$AH54,Students!$K:$K,$AH$2&amp;if($K54="S1","a",if($K54="S2","b","")),Students!$A:$A,AR$2)+countifs(Students!$L:$L,$AH54,Students!$M:$M,$AH$2&amp;if($K54="S1","a",if($K54="S2","b","")),Students!$A:$A,AR$2)+countifs(Students!$N:$N,$AH54,Students!$O:$O,$AH$2&amp;if($K54="S1","a",if($K54="S2","b","")),Students!$A:$A,AR$2)+countifs(Students!$P:$P,$AH54,Students!$Q:$Q,$AH$2&amp;if($K54="S1","a",if($K54="S2","b","")),Students!$A:$A,AR$2)+countifs(Students!$R:$R,$AH54,Students!$S:$S,$AH$2&amp;if($K54="S1","a",if($K54="S2","b","")),Students!$A:$A,AR$2)+countifs(Students!$T:$T,$AH54,Students!$U:$U,$AH$2&amp;if($K54="S1","a",if($K54="S2","b","")),Students!$A:$A,AR$2)+countifs(Students!$V:$V,$AH54,Students!$W:$W,$AH$2&amp;if($K54="S1","a",if($K54="S2","b","")),Students!$A:$A,AR$2)+
countifs(Students!$D:$D,$AK54,Students!$E:$E,$AK$2&amp;if($K54="S1","a",if($K54="S2","b","")),Students!$A:$A,AR$2)+countifs(Students!$F:$F,$AK54,Students!$G:$G,$AK$2&amp;if($K54="S1","a",if($K54="S2","b","")),Students!$A:$A,AR$2)+countifs(Students!$H:$H,$AK54,Students!$I:$I,$AK$2&amp;if($K54="S1","a",if($K54="S2","b","")),Students!$A:$A,AR$2)+countifs(Students!$J:$J,$AK54,Students!$K:$K,$AK$2&amp;if($K54="S1","a",if($K54="S2","b","")),Students!$A:$A,AR$2)+countifs(Students!$L:$L,$AK54,Students!$M:$M,$AK$2&amp;if($K54="S1","a",if($K54="S2","b","")),Students!$A:$A,AR$2)+countifs(Students!$N:$N,$AK54,Students!$O:$O,$AK$2&amp;if($K54="S1","a",if($K54="S2","b","")),Students!$A:$A,AR$2)+countifs(Students!$P:$P,$AK54,Students!$Q:$Q,$AK$2&amp;if($K54="S1","a",if($K54="S2","b","")),Students!$A:$A,AR$2)+countifs(Students!$R:$R,$AK54,Students!$S:$S,$AK$2&amp;if($K54="S1","a",if($K54="S2","b","")),Students!$A:$A,AR$2)+countifs(Students!$T:$T,$AK54,Students!$U:$U,$AK$2&amp;if($K54="S1","a",if($K54="S2","b","")),Students!$A:$A,AR$2)+countifs(Students!$V:$V,$AK54,Students!$W:$W,$AK$2&amp;if($K54="S1","a",if($K54="S2","b","")),Students!$A:$A,AR$2))</f>
        <v/>
      </c>
      <c r="AS54" s="98" t="str">
        <f>if($L54="","",countifs(Students!$D:$D,$P54,Students!$E:$E,$P$2&amp;if($K54="S1","a",if($K54="S2","b","")),Students!$A:$A,AS$2)+countifs(Students!$F:$F,$P54,Students!$G:$G,$P$2&amp;if($K54="S1","a",if($K54="S2","b","")),Students!$A:$A,AS$2)+countifs(Students!$H:$H,$P54,Students!$I:$I,$P$2&amp;if($K54="S1","a",if($K54="S2","b","")),Students!$A:$A,AS$2)+countifs(Students!$J:$J,$P54,Students!$K:$K,$P$2&amp;if($K54="S1","a",if($K54="S2","b","")),Students!$A:$A,AS$2)+countifs(Students!$L:$L,$P54,Students!$M:$M,$P$2&amp;if($K54="S1","a",if($K54="S2","b","")),Students!$A:$A,AS$2)+countifs(Students!$N:$N,$P54,Students!$O:$O,$P$2&amp;if($K54="S1","a",if($K54="S2","b","")),Students!$A:$A,AS$2)+countifs(Students!$P:$P,$P54,Students!$Q:$Q,$P$2&amp;if($K54="S1","a",if($K54="S2","b","")),Students!$A:$A,AS$2)+countifs(Students!$R:$R,$P54,Students!$S:$S,$P$2&amp;if($K54="S1","a",if($K54="S2","b","")),Students!$A:$A,AS$2)+countifs(Students!$T:$T,$P54,Students!$U:$U,$P$2&amp;if($K54="S1","a",if($K54="S2","b","")),Students!$A:$A,AS$2)+countifs(Students!$V:$V,$P54,Students!$W:$W,$P$2&amp;if($K54="S1","a",if($K54="S2","b","")),Students!$A:$A,AS$2)+
countifs(Students!$D:$D,$S54,Students!$E:$E,$S$2&amp;if($K54="S1","a",if($K54="S2","b","")),Students!$A:$A,AS$2)+countifs(Students!$F:$F,$S54,Students!$G:$G,$S$2&amp;if($K54="S1","a",if($K54="S2","b","")),Students!$A:$A,AS$2)+countifs(Students!$H:$H,$S54,Students!$I:$I,$S$2&amp;if($K54="S1","a",if($K54="S2","b","")),Students!$A:$A,AS$2)+countifs(Students!$J:$J,$S54,Students!$K:$K,$S$2&amp;if($K54="S1","a",if($K54="S2","b","")),Students!$A:$A,AS$2)+countifs(Students!$L:$L,$S54,Students!$M:$M,$S$2&amp;if($K54="S1","a",if($K54="S2","b","")),Students!$A:$A,AS$2)+countifs(Students!$N:$N,$S54,Students!$O:$O,$S$2&amp;if($K54="S1","a",if($K54="S2","b","")),Students!$A:$A,AS$2)+countifs(Students!$P:$P,$S54,Students!$Q:$Q,$S$2&amp;if($K54="S1","a",if($K54="S2","b","")),Students!$A:$A,AS$2)+countifs(Students!$R:$R,$S54,Students!$S:$S,$S$2&amp;if($K54="S1","a",if($K54="S2","b","")),Students!$A:$A,AS$2)+countifs(Students!$T:$T,$S54,Students!$U:$U,$S$2&amp;if($K54="S1","a",if($K54="S2","b","")),Students!$A:$A,AS$2)+countifs(Students!$V:$V,$S54,Students!$W:$W,$S$2&amp;if($K54="S1","a",if($K54="S2","b","")),Students!$A:$A,AS$2)+
countifs(Students!$D:$D,$V54,Students!$E:$E,$V$2&amp;if($K54="S1","a",if($K54="S2","b","")),Students!$A:$A,AS$2)+countifs(Students!$F:$F,$V54,Students!$G:$G,$V$2&amp;if($K54="S1","a",if($K54="S2","b","")),Students!$A:$A,AS$2)+countifs(Students!$H:$H,$V54,Students!$I:$I,$V$2&amp;if($K54="S1","a",if($K54="S2","b","")),Students!$A:$A,AS$2)+countifs(Students!$J:$J,$V54,Students!$K:$K,$V$2&amp;if($K54="S1","a",if($K54="S2","b","")),Students!$A:$A,AS$2)+countifs(Students!$L:$L,$V54,Students!$M:$M,$V$2&amp;if($K54="S1","a",if($K54="S2","b","")),Students!$A:$A,AS$2)+countifs(Students!$N:$N,$V54,Students!$O:$O,$V$2&amp;if($K54="S1","a",if($K54="S2","b","")),Students!$A:$A,AS$2)+countifs(Students!$P:$P,$V54,Students!$Q:$Q,$V$2&amp;if($K54="S1","a",if($K54="S2","b","")),Students!$A:$A,AS$2)+countifs(Students!$R:$R,$V54,Students!$S:$S,$V$2&amp;if($K54="S1","a",if($K54="S2","b","")),Students!$A:$A,AS$2)+countifs(Students!$T:$T,$V54,Students!$U:$U,$V$2&amp;if($K54="S1","a",if($K54="S2","b","")),Students!$A:$A,AS$2)+countifs(Students!$V:$V,$V54,Students!$W:$W,$V$2&amp;if($K54="S1","a",if($K54="S2","b","")),Students!$A:$A,AS$2)+
countifs(Students!$D:$D,$Y54,Students!$E:$E,$Y$2&amp;if($K54="S1","a",if($K54="S2","b","")),Students!$A:$A,AS$2)+countifs(Students!$F:$F,$Y54,Students!$G:$G,$Y$2&amp;if($K54="S1","a",if($K54="S2","b","")),Students!$A:$A,AS$2)+countifs(Students!$H:$H,$Y54,Students!$I:$I,$Y$2&amp;if($K54="S1","a",if($K54="S2","b","")),Students!$A:$A,AS$2)+countifs(Students!$J:$J,$Y54,Students!$K:$K,$Y$2&amp;if($K54="S1","a",if($K54="S2","b","")),Students!$A:$A,AS$2)+countifs(Students!$L:$L,$Y54,Students!$M:$M,$Y$2&amp;if($K54="S1","a",if($K54="S2","b","")),Students!$A:$A,AS$2)+countifs(Students!$N:$N,$Y54,Students!$O:$O,$Y$2&amp;if($K54="S1","a",if($K54="S2","b","")),Students!$A:$A,AS$2)+countifs(Students!$P:$P,$Y54,Students!$Q:$Q,$Y$2&amp;if($K54="S1","a",if($K54="S2","b","")),Students!$A:$A,AS$2)+countifs(Students!$R:$R,$Y54,Students!$S:$S,$Y$2&amp;if($K54="S1","a",if($K54="S2","b","")),Students!$A:$A,AS$2)+countifs(Students!$T:$T,$Y54,Students!$U:$U,$Y$2&amp;if($K54="S1","a",if($K54="S2","b","")),Students!$A:$A,AS$2)+countifs(Students!$V:$V,$Y54,Students!$W:$W,$Y$2&amp;if($K54="S1","a",if($K54="S2","b","")),Students!$A:$A,AS$2)+
countifs(Students!$D:$D,$AB54,Students!$E:$E,$AB$2&amp;if($K54="S1","a",if($K54="S2","b","")),Students!$A:$A,AS$2)+countifs(Students!$F:$F,$AB54,Students!$G:$G,$AB$2&amp;if($K54="S1","a",if($K54="S2","b","")),Students!$A:$A,AS$2)+countifs(Students!$H:$H,$AB54,Students!$I:$I,$AB$2&amp;if($K54="S1","a",if($K54="S2","b","")),Students!$A:$A,AS$2)+countifs(Students!$J:$J,$AB54,Students!$K:$K,$AB$2&amp;if($K54="S1","a",if($K54="S2","b","")),Students!$A:$A,AS$2)+countifs(Students!$L:$L,$AB54,Students!$M:$M,$AB$2&amp;if($K54="S1","a",if($K54="S2","b","")),Students!$A:$A,AS$2)+countifs(Students!$N:$N,$AB54,Students!$O:$O,$AB$2&amp;if($K54="S1","a",if($K54="S2","b","")),Students!$A:$A,AS$2)+countifs(Students!$P:$P,$AB54,Students!$Q:$Q,$AB$2&amp;if($K54="S1","a",if($K54="S2","b","")),Students!$A:$A,AS$2)+countifs(Students!$R:$R,$AB54,Students!$S:$S,$AB$2&amp;if($K54="S1","a",if($K54="S2","b","")),Students!$A:$A,AS$2)+countifs(Students!$T:$T,$AB54,Students!$U:$U,$AB$2&amp;if($K54="S1","a",if($K54="S2","b","")),Students!$A:$A,AS$2)+countifs(Students!$V:$V,$AB54,Students!$W:$W,$AB$2&amp;if($K54="S1","a",if($K54="S2","b","")),Students!$A:$A,AS$2)+
countifs(Students!$D:$D,$AE54,Students!$E:$E,$AE$2&amp;if($K54="S1","a",if($K54="S2","b","")),Students!$A:$A,AS$2)+countifs(Students!$F:$F,$AE54,Students!$G:$G,$AE$2&amp;if($K54="S1","a",if($K54="S2","b","")),Students!$A:$A,AS$2)+countifs(Students!$H:$H,$AE54,Students!$I:$I,$AE$2&amp;if($K54="S1","a",if($K54="S2","b","")),Students!$A:$A,AS$2)+countifs(Students!$J:$J,$AE54,Students!$K:$K,$AE$2&amp;if($K54="S1","a",if($K54="S2","b","")),Students!$A:$A,AS$2)+countifs(Students!$L:$L,$AE54,Students!$M:$M,$AE$2&amp;if($K54="S1","a",if($K54="S2","b","")),Students!$A:$A,AS$2)+countifs(Students!$N:$N,$AE54,Students!$O:$O,$AE$2&amp;if($K54="S1","a",if($K54="S2","b","")),Students!$A:$A,AS$2)+countifs(Students!$P:$P,$AE54,Students!$Q:$Q,$AE$2&amp;if($K54="S1","a",if($K54="S2","b","")),Students!$A:$A,AS$2)+countifs(Students!$R:$R,$AE54,Students!$S:$S,$AE$2&amp;if($K54="S1","a",if($K54="S2","b","")),Students!$A:$A,AS$2)+countifs(Students!$T:$T,$AE54,Students!$U:$U,$AE$2&amp;if($K54="S1","a",if($K54="S2","b","")),Students!$A:$A,AS$2)+countifs(Students!$V:$V,$AE54,Students!$W:$W,$AE$2&amp;if($K54="S1","a",if($K54="S2","b","")),Students!$A:$A,AS$2)+
countifs(Students!$D:$D,$AH54,Students!$E:$E,$AH$2&amp;if($K54="S1","a",if($K54="S2","b","")),Students!$A:$A,AS$2)+countifs(Students!$F:$F,$AH54,Students!$G:$G,$AH$2&amp;if($K54="S1","a",if($K54="S2","b","")),Students!$A:$A,AS$2)+countifs(Students!$H:$H,$AH54,Students!$I:$I,$AH$2&amp;if($K54="S1","a",if($K54="S2","b","")),Students!$A:$A,AS$2)+countifs(Students!$J:$J,$AH54,Students!$K:$K,$AH$2&amp;if($K54="S1","a",if($K54="S2","b","")),Students!$A:$A,AS$2)+countifs(Students!$L:$L,$AH54,Students!$M:$M,$AH$2&amp;if($K54="S1","a",if($K54="S2","b","")),Students!$A:$A,AS$2)+countifs(Students!$N:$N,$AH54,Students!$O:$O,$AH$2&amp;if($K54="S1","a",if($K54="S2","b","")),Students!$A:$A,AS$2)+countifs(Students!$P:$P,$AH54,Students!$Q:$Q,$AH$2&amp;if($K54="S1","a",if($K54="S2","b","")),Students!$A:$A,AS$2)+countifs(Students!$R:$R,$AH54,Students!$S:$S,$AH$2&amp;if($K54="S1","a",if($K54="S2","b","")),Students!$A:$A,AS$2)+countifs(Students!$T:$T,$AH54,Students!$U:$U,$AH$2&amp;if($K54="S1","a",if($K54="S2","b","")),Students!$A:$A,AS$2)+countifs(Students!$V:$V,$AH54,Students!$W:$W,$AH$2&amp;if($K54="S1","a",if($K54="S2","b","")),Students!$A:$A,AS$2)+
countifs(Students!$D:$D,$AK54,Students!$E:$E,$AK$2&amp;if($K54="S1","a",if($K54="S2","b","")),Students!$A:$A,AS$2)+countifs(Students!$F:$F,$AK54,Students!$G:$G,$AK$2&amp;if($K54="S1","a",if($K54="S2","b","")),Students!$A:$A,AS$2)+countifs(Students!$H:$H,$AK54,Students!$I:$I,$AK$2&amp;if($K54="S1","a",if($K54="S2","b","")),Students!$A:$A,AS$2)+countifs(Students!$J:$J,$AK54,Students!$K:$K,$AK$2&amp;if($K54="S1","a",if($K54="S2","b","")),Students!$A:$A,AS$2)+countifs(Students!$L:$L,$AK54,Students!$M:$M,$AK$2&amp;if($K54="S1","a",if($K54="S2","b","")),Students!$A:$A,AS$2)+countifs(Students!$N:$N,$AK54,Students!$O:$O,$AK$2&amp;if($K54="S1","a",if($K54="S2","b","")),Students!$A:$A,AS$2)+countifs(Students!$P:$P,$AK54,Students!$Q:$Q,$AK$2&amp;if($K54="S1","a",if($K54="S2","b","")),Students!$A:$A,AS$2)+countifs(Students!$R:$R,$AK54,Students!$S:$S,$AK$2&amp;if($K54="S1","a",if($K54="S2","b","")),Students!$A:$A,AS$2)+countifs(Students!$T:$T,$AK54,Students!$U:$U,$AK$2&amp;if($K54="S1","a",if($K54="S2","b","")),Students!$A:$A,AS$2)+countifs(Students!$V:$V,$AK54,Students!$W:$W,$AK$2&amp;if($K54="S1","a",if($K54="S2","b","")),Students!$A:$A,AS$2))</f>
        <v/>
      </c>
    </row>
    <row r="55">
      <c r="J55" s="87" t="s">
        <v>22</v>
      </c>
      <c r="K55" s="88"/>
      <c r="L55" s="132"/>
      <c r="M55" s="106"/>
      <c r="N55" s="87" t="s">
        <v>22</v>
      </c>
      <c r="O55" s="87">
        <f>IFERROR(__xludf.DUMMYFUNCTION("3*counta((transpose(filter(P55:AM55,P55:AM55&lt;&gt;"""",isnumber(P55:AM55)=false))))"),3.0)</f>
        <v>3</v>
      </c>
      <c r="P55" s="89"/>
      <c r="Q55" s="89"/>
      <c r="R55" s="98" t="s">
        <v>22</v>
      </c>
      <c r="S55" s="101"/>
      <c r="T55" s="101"/>
      <c r="U55" s="98" t="s">
        <v>22</v>
      </c>
      <c r="V55" s="89"/>
      <c r="W55" s="117"/>
      <c r="X55" s="98" t="s">
        <v>22</v>
      </c>
      <c r="Y55" s="89"/>
      <c r="Z55" s="117"/>
      <c r="AA55" s="98" t="s">
        <v>22</v>
      </c>
      <c r="AB55" s="89"/>
      <c r="AC55" s="117"/>
      <c r="AD55" s="98" t="s">
        <v>22</v>
      </c>
      <c r="AE55" s="89"/>
      <c r="AF55" s="117"/>
      <c r="AG55" s="98" t="s">
        <v>22</v>
      </c>
      <c r="AH55" s="89"/>
      <c r="AI55" s="133"/>
      <c r="AJ55" s="98" t="s">
        <v>22</v>
      </c>
      <c r="AK55" s="89"/>
      <c r="AL55" s="98"/>
      <c r="AM55" s="98" t="s">
        <v>22</v>
      </c>
      <c r="AN55" s="99"/>
      <c r="AO55" s="52" t="str">
        <f t="shared" si="2"/>
        <v/>
      </c>
      <c r="AP55" s="98" t="str">
        <f>if($L55="","",countifs(Students!$D:$D,$P55,Students!$E:$E,$P$2&amp;if($K55="S1","a",if($K55="S2","b","")),Students!$A:$A,AP$2)+countifs(Students!$F:$F,$P55,Students!$G:$G,$P$2&amp;if($K55="S1","a",if($K55="S2","b","")),Students!$A:$A,AP$2)+countifs(Students!$H:$H,$P55,Students!$I:$I,$P$2&amp;if($K55="S1","a",if($K55="S2","b","")),Students!$A:$A,AP$2)+countifs(Students!$J:$J,$P55,Students!$K:$K,$P$2&amp;if($K55="S1","a",if($K55="S2","b","")),Students!$A:$A,AP$2)+countifs(Students!$L:$L,$P55,Students!$M:$M,$P$2&amp;if($K55="S1","a",if($K55="S2","b","")),Students!$A:$A,AP$2)+countifs(Students!$N:$N,$P55,Students!$O:$O,$P$2&amp;if($K55="S1","a",if($K55="S2","b","")),Students!$A:$A,AP$2)+countifs(Students!$P:$P,$P55,Students!$Q:$Q,$P$2&amp;if($K55="S1","a",if($K55="S2","b","")),Students!$A:$A,AP$2)+countifs(Students!$R:$R,$P55,Students!$S:$S,$P$2&amp;if($K55="S1","a",if($K55="S2","b","")),Students!$A:$A,AP$2)+countifs(Students!$T:$T,$P55,Students!$U:$U,$P$2&amp;if($K55="S1","a",if($K55="S2","b","")),Students!$A:$A,AP$2)+countifs(Students!$V:$V,$P55,Students!$W:$W,$P$2&amp;if($K55="S1","a",if($K55="S2","b","")),Students!$A:$A,AP$2)+
countifs(Students!$D:$D,$S55,Students!$E:$E,$S$2&amp;if($K55="S1","a",if($K55="S2","b","")),Students!$A:$A,AP$2)+countifs(Students!$F:$F,$S55,Students!$G:$G,$S$2&amp;if($K55="S1","a",if($K55="S2","b","")),Students!$A:$A,AP$2)+countifs(Students!$H:$H,$S55,Students!$I:$I,$S$2&amp;if($K55="S1","a",if($K55="S2","b","")),Students!$A:$A,AP$2)+countifs(Students!$J:$J,$S55,Students!$K:$K,$S$2&amp;if($K55="S1","a",if($K55="S2","b","")),Students!$A:$A,AP$2)+countifs(Students!$L:$L,$S55,Students!$M:$M,$S$2&amp;if($K55="S1","a",if($K55="S2","b","")),Students!$A:$A,AP$2)+countifs(Students!$N:$N,$S55,Students!$O:$O,$S$2&amp;if($K55="S1","a",if($K55="S2","b","")),Students!$A:$A,AP$2)+countifs(Students!$P:$P,$S55,Students!$Q:$Q,$S$2&amp;if($K55="S1","a",if($K55="S2","b","")),Students!$A:$A,AP$2)+countifs(Students!$R:$R,$S55,Students!$S:$S,$S$2&amp;if($K55="S1","a",if($K55="S2","b","")),Students!$A:$A,AP$2)+countifs(Students!$T:$T,$S55,Students!$U:$U,$S$2&amp;if($K55="S1","a",if($K55="S2","b","")),Students!$A:$A,AP$2)+countifs(Students!$V:$V,$S55,Students!$W:$W,$S$2&amp;if($K55="S1","a",if($K55="S2","b","")),Students!$A:$A,AP$2)+
countifs(Students!$D:$D,$V55,Students!$E:$E,$V$2&amp;if($K55="S1","a",if($K55="S2","b","")),Students!$A:$A,AP$2)+countifs(Students!$F:$F,$V55,Students!$G:$G,$V$2&amp;if($K55="S1","a",if($K55="S2","b","")),Students!$A:$A,AP$2)+countifs(Students!$H:$H,$V55,Students!$I:$I,$V$2&amp;if($K55="S1","a",if($K55="S2","b","")),Students!$A:$A,AP$2)+countifs(Students!$J:$J,$V55,Students!$K:$K,$V$2&amp;if($K55="S1","a",if($K55="S2","b","")),Students!$A:$A,AP$2)+countifs(Students!$L:$L,$V55,Students!$M:$M,$V$2&amp;if($K55="S1","a",if($K55="S2","b","")),Students!$A:$A,AP$2)+countifs(Students!$N:$N,$V55,Students!$O:$O,$V$2&amp;if($K55="S1","a",if($K55="S2","b","")),Students!$A:$A,AP$2)+countifs(Students!$P:$P,$V55,Students!$Q:$Q,$V$2&amp;if($K55="S1","a",if($K55="S2","b","")),Students!$A:$A,AP$2)+countifs(Students!$R:$R,$V55,Students!$S:$S,$V$2&amp;if($K55="S1","a",if($K55="S2","b","")),Students!$A:$A,AP$2)+countifs(Students!$T:$T,$V55,Students!$U:$U,$V$2&amp;if($K55="S1","a",if($K55="S2","b","")),Students!$A:$A,AP$2)+countifs(Students!$V:$V,$V55,Students!$W:$W,$V$2&amp;if($K55="S1","a",if($K55="S2","b","")),Students!$A:$A,AP$2)+
countifs(Students!$D:$D,$Y55,Students!$E:$E,$Y$2&amp;if($K55="S1","a",if($K55="S2","b","")),Students!$A:$A,AP$2)+countifs(Students!$F:$F,$Y55,Students!$G:$G,$Y$2&amp;if($K55="S1","a",if($K55="S2","b","")),Students!$A:$A,AP$2)+countifs(Students!$H:$H,$Y55,Students!$I:$I,$Y$2&amp;if($K55="S1","a",if($K55="S2","b","")),Students!$A:$A,AP$2)+countifs(Students!$J:$J,$Y55,Students!$K:$K,$Y$2&amp;if($K55="S1","a",if($K55="S2","b","")),Students!$A:$A,AP$2)+countifs(Students!$L:$L,$Y55,Students!$M:$M,$Y$2&amp;if($K55="S1","a",if($K55="S2","b","")),Students!$A:$A,AP$2)+countifs(Students!$N:$N,$Y55,Students!$O:$O,$Y$2&amp;if($K55="S1","a",if($K55="S2","b","")),Students!$A:$A,AP$2)+countifs(Students!$P:$P,$Y55,Students!$Q:$Q,$Y$2&amp;if($K55="S1","a",if($K55="S2","b","")),Students!$A:$A,AP$2)+countifs(Students!$R:$R,$Y55,Students!$S:$S,$Y$2&amp;if($K55="S1","a",if($K55="S2","b","")),Students!$A:$A,AP$2)+countifs(Students!$T:$T,$Y55,Students!$U:$U,$Y$2&amp;if($K55="S1","a",if($K55="S2","b","")),Students!$A:$A,AP$2)+countifs(Students!$V:$V,$Y55,Students!$W:$W,$Y$2&amp;if($K55="S1","a",if($K55="S2","b","")),Students!$A:$A,AP$2)+
countifs(Students!$D:$D,$AB55,Students!$E:$E,$AB$2&amp;if($K55="S1","a",if($K55="S2","b","")),Students!$A:$A,AP$2)+countifs(Students!$F:$F,$AB55,Students!$G:$G,$AB$2&amp;if($K55="S1","a",if($K55="S2","b","")),Students!$A:$A,AP$2)+countifs(Students!$H:$H,$AB55,Students!$I:$I,$AB$2&amp;if($K55="S1","a",if($K55="S2","b","")),Students!$A:$A,AP$2)+countifs(Students!$J:$J,$AB55,Students!$K:$K,$AB$2&amp;if($K55="S1","a",if($K55="S2","b","")),Students!$A:$A,AP$2)+countifs(Students!$L:$L,$AB55,Students!$M:$M,$AB$2&amp;if($K55="S1","a",if($K55="S2","b","")),Students!$A:$A,AP$2)+countifs(Students!$N:$N,$AB55,Students!$O:$O,$AB$2&amp;if($K55="S1","a",if($K55="S2","b","")),Students!$A:$A,AP$2)+countifs(Students!$P:$P,$AB55,Students!$Q:$Q,$AB$2&amp;if($K55="S1","a",if($K55="S2","b","")),Students!$A:$A,AP$2)+countifs(Students!$R:$R,$AB55,Students!$S:$S,$AB$2&amp;if($K55="S1","a",if($K55="S2","b","")),Students!$A:$A,AP$2)+countifs(Students!$T:$T,$AB55,Students!$U:$U,$AB$2&amp;if($K55="S1","a",if($K55="S2","b","")),Students!$A:$A,AP$2)+countifs(Students!$V:$V,$AB55,Students!$W:$W,$AB$2&amp;if($K55="S1","a",if($K55="S2","b","")),Students!$A:$A,AP$2)+
countifs(Students!$D:$D,$AE55,Students!$E:$E,$AE$2&amp;if($K55="S1","a",if($K55="S2","b","")),Students!$A:$A,AP$2)+countifs(Students!$F:$F,$AE55,Students!$G:$G,$AE$2&amp;if($K55="S1","a",if($K55="S2","b","")),Students!$A:$A,AP$2)+countifs(Students!$H:$H,$AE55,Students!$I:$I,$AE$2&amp;if($K55="S1","a",if($K55="S2","b","")),Students!$A:$A,AP$2)+countifs(Students!$J:$J,$AE55,Students!$K:$K,$AE$2&amp;if($K55="S1","a",if($K55="S2","b","")),Students!$A:$A,AP$2)+countifs(Students!$L:$L,$AE55,Students!$M:$M,$AE$2&amp;if($K55="S1","a",if($K55="S2","b","")),Students!$A:$A,AP$2)+countifs(Students!$N:$N,$AE55,Students!$O:$O,$AE$2&amp;if($K55="S1","a",if($K55="S2","b","")),Students!$A:$A,AP$2)+countifs(Students!$P:$P,$AE55,Students!$Q:$Q,$AE$2&amp;if($K55="S1","a",if($K55="S2","b","")),Students!$A:$A,AP$2)+countifs(Students!$R:$R,$AE55,Students!$S:$S,$AE$2&amp;if($K55="S1","a",if($K55="S2","b","")),Students!$A:$A,AP$2)+countifs(Students!$T:$T,$AE55,Students!$U:$U,$AE$2&amp;if($K55="S1","a",if($K55="S2","b","")),Students!$A:$A,AP$2)+countifs(Students!$V:$V,$AE55,Students!$W:$W,$AE$2&amp;if($K55="S1","a",if($K55="S2","b","")),Students!$A:$A,AP$2)+
countifs(Students!$D:$D,$AH55,Students!$E:$E,$AH$2&amp;if($K55="S1","a",if($K55="S2","b","")),Students!$A:$A,AP$2)+countifs(Students!$F:$F,$AH55,Students!$G:$G,$AH$2&amp;if($K55="S1","a",if($K55="S2","b","")),Students!$A:$A,AP$2)+countifs(Students!$H:$H,$AH55,Students!$I:$I,$AH$2&amp;if($K55="S1","a",if($K55="S2","b","")),Students!$A:$A,AP$2)+countifs(Students!$J:$J,$AH55,Students!$K:$K,$AH$2&amp;if($K55="S1","a",if($K55="S2","b","")),Students!$A:$A,AP$2)+countifs(Students!$L:$L,$AH55,Students!$M:$M,$AH$2&amp;if($K55="S1","a",if($K55="S2","b","")),Students!$A:$A,AP$2)+countifs(Students!$N:$N,$AH55,Students!$O:$O,$AH$2&amp;if($K55="S1","a",if($K55="S2","b","")),Students!$A:$A,AP$2)+countifs(Students!$P:$P,$AH55,Students!$Q:$Q,$AH$2&amp;if($K55="S1","a",if($K55="S2","b","")),Students!$A:$A,AP$2)+countifs(Students!$R:$R,$AH55,Students!$S:$S,$AH$2&amp;if($K55="S1","a",if($K55="S2","b","")),Students!$A:$A,AP$2)+countifs(Students!$T:$T,$AH55,Students!$U:$U,$AH$2&amp;if($K55="S1","a",if($K55="S2","b","")),Students!$A:$A,AP$2)+countifs(Students!$V:$V,$AH55,Students!$W:$W,$AH$2&amp;if($K55="S1","a",if($K55="S2","b","")),Students!$A:$A,AP$2)+
countifs(Students!$D:$D,$AK55,Students!$E:$E,$AK$2&amp;if($K55="S1","a",if($K55="S2","b","")),Students!$A:$A,AP$2)+countifs(Students!$F:$F,$AK55,Students!$G:$G,$AK$2&amp;if($K55="S1","a",if($K55="S2","b","")),Students!$A:$A,AP$2)+countifs(Students!$H:$H,$AK55,Students!$I:$I,$AK$2&amp;if($K55="S1","a",if($K55="S2","b","")),Students!$A:$A,AP$2)+countifs(Students!$J:$J,$AK55,Students!$K:$K,$AK$2&amp;if($K55="S1","a",if($K55="S2","b","")),Students!$A:$A,AP$2)+countifs(Students!$L:$L,$AK55,Students!$M:$M,$AK$2&amp;if($K55="S1","a",if($K55="S2","b","")),Students!$A:$A,AP$2)+countifs(Students!$N:$N,$AK55,Students!$O:$O,$AK$2&amp;if($K55="S1","a",if($K55="S2","b","")),Students!$A:$A,AP$2)+countifs(Students!$P:$P,$AK55,Students!$Q:$Q,$AK$2&amp;if($K55="S1","a",if($K55="S2","b","")),Students!$A:$A,AP$2)+countifs(Students!$R:$R,$AK55,Students!$S:$S,$AK$2&amp;if($K55="S1","a",if($K55="S2","b","")),Students!$A:$A,AP$2)+countifs(Students!$T:$T,$AK55,Students!$U:$U,$AK$2&amp;if($K55="S1","a",if($K55="S2","b","")),Students!$A:$A,AP$2)+countifs(Students!$V:$V,$AK55,Students!$W:$W,$AK$2&amp;if($K55="S1","a",if($K55="S2","b","")),Students!$A:$A,AP$2))</f>
        <v/>
      </c>
      <c r="AQ55" s="98" t="str">
        <f>if($L55="","",countifs(Students!$D:$D,$P55,Students!$E:$E,$P$2&amp;if($K55="S1","a",if($K55="S2","b","")),Students!$A:$A,AQ$2)+countifs(Students!$F:$F,$P55,Students!$G:$G,$P$2&amp;if($K55="S1","a",if($K55="S2","b","")),Students!$A:$A,AQ$2)+countifs(Students!$H:$H,$P55,Students!$I:$I,$P$2&amp;if($K55="S1","a",if($K55="S2","b","")),Students!$A:$A,AQ$2)+countifs(Students!$J:$J,$P55,Students!$K:$K,$P$2&amp;if($K55="S1","a",if($K55="S2","b","")),Students!$A:$A,AQ$2)+countifs(Students!$L:$L,$P55,Students!$M:$M,$P$2&amp;if($K55="S1","a",if($K55="S2","b","")),Students!$A:$A,AQ$2)+countifs(Students!$N:$N,$P55,Students!$O:$O,$P$2&amp;if($K55="S1","a",if($K55="S2","b","")),Students!$A:$A,AQ$2)+countifs(Students!$P:$P,$P55,Students!$Q:$Q,$P$2&amp;if($K55="S1","a",if($K55="S2","b","")),Students!$A:$A,AQ$2)+countifs(Students!$R:$R,$P55,Students!$S:$S,$P$2&amp;if($K55="S1","a",if($K55="S2","b","")),Students!$A:$A,AQ$2)+countifs(Students!$T:$T,$P55,Students!$U:$U,$P$2&amp;if($K55="S1","a",if($K55="S2","b","")),Students!$A:$A,AQ$2)+countifs(Students!$V:$V,$P55,Students!$W:$W,$P$2&amp;if($K55="S1","a",if($K55="S2","b","")),Students!$A:$A,AQ$2)+
countifs(Students!$D:$D,$S55,Students!$E:$E,$S$2&amp;if($K55="S1","a",if($K55="S2","b","")),Students!$A:$A,AQ$2)+countifs(Students!$F:$F,$S55,Students!$G:$G,$S$2&amp;if($K55="S1","a",if($K55="S2","b","")),Students!$A:$A,AQ$2)+countifs(Students!$H:$H,$S55,Students!$I:$I,$S$2&amp;if($K55="S1","a",if($K55="S2","b","")),Students!$A:$A,AQ$2)+countifs(Students!$J:$J,$S55,Students!$K:$K,$S$2&amp;if($K55="S1","a",if($K55="S2","b","")),Students!$A:$A,AQ$2)+countifs(Students!$L:$L,$S55,Students!$M:$M,$S$2&amp;if($K55="S1","a",if($K55="S2","b","")),Students!$A:$A,AQ$2)+countifs(Students!$N:$N,$S55,Students!$O:$O,$S$2&amp;if($K55="S1","a",if($K55="S2","b","")),Students!$A:$A,AQ$2)+countifs(Students!$P:$P,$S55,Students!$Q:$Q,$S$2&amp;if($K55="S1","a",if($K55="S2","b","")),Students!$A:$A,AQ$2)+countifs(Students!$R:$R,$S55,Students!$S:$S,$S$2&amp;if($K55="S1","a",if($K55="S2","b","")),Students!$A:$A,AQ$2)+countifs(Students!$T:$T,$S55,Students!$U:$U,$S$2&amp;if($K55="S1","a",if($K55="S2","b","")),Students!$A:$A,AQ$2)+countifs(Students!$V:$V,$S55,Students!$W:$W,$S$2&amp;if($K55="S1","a",if($K55="S2","b","")),Students!$A:$A,AQ$2)+
countifs(Students!$D:$D,$V55,Students!$E:$E,$V$2&amp;if($K55="S1","a",if($K55="S2","b","")),Students!$A:$A,AQ$2)+countifs(Students!$F:$F,$V55,Students!$G:$G,$V$2&amp;if($K55="S1","a",if($K55="S2","b","")),Students!$A:$A,AQ$2)+countifs(Students!$H:$H,$V55,Students!$I:$I,$V$2&amp;if($K55="S1","a",if($K55="S2","b","")),Students!$A:$A,AQ$2)+countifs(Students!$J:$J,$V55,Students!$K:$K,$V$2&amp;if($K55="S1","a",if($K55="S2","b","")),Students!$A:$A,AQ$2)+countifs(Students!$L:$L,$V55,Students!$M:$M,$V$2&amp;if($K55="S1","a",if($K55="S2","b","")),Students!$A:$A,AQ$2)+countifs(Students!$N:$N,$V55,Students!$O:$O,$V$2&amp;if($K55="S1","a",if($K55="S2","b","")),Students!$A:$A,AQ$2)+countifs(Students!$P:$P,$V55,Students!$Q:$Q,$V$2&amp;if($K55="S1","a",if($K55="S2","b","")),Students!$A:$A,AQ$2)+countifs(Students!$R:$R,$V55,Students!$S:$S,$V$2&amp;if($K55="S1","a",if($K55="S2","b","")),Students!$A:$A,AQ$2)+countifs(Students!$T:$T,$V55,Students!$U:$U,$V$2&amp;if($K55="S1","a",if($K55="S2","b","")),Students!$A:$A,AQ$2)+countifs(Students!$V:$V,$V55,Students!$W:$W,$V$2&amp;if($K55="S1","a",if($K55="S2","b","")),Students!$A:$A,AQ$2)+
countifs(Students!$D:$D,$Y55,Students!$E:$E,$Y$2&amp;if($K55="S1","a",if($K55="S2","b","")),Students!$A:$A,AQ$2)+countifs(Students!$F:$F,$Y55,Students!$G:$G,$Y$2&amp;if($K55="S1","a",if($K55="S2","b","")),Students!$A:$A,AQ$2)+countifs(Students!$H:$H,$Y55,Students!$I:$I,$Y$2&amp;if($K55="S1","a",if($K55="S2","b","")),Students!$A:$A,AQ$2)+countifs(Students!$J:$J,$Y55,Students!$K:$K,$Y$2&amp;if($K55="S1","a",if($K55="S2","b","")),Students!$A:$A,AQ$2)+countifs(Students!$L:$L,$Y55,Students!$M:$M,$Y$2&amp;if($K55="S1","a",if($K55="S2","b","")),Students!$A:$A,AQ$2)+countifs(Students!$N:$N,$Y55,Students!$O:$O,$Y$2&amp;if($K55="S1","a",if($K55="S2","b","")),Students!$A:$A,AQ$2)+countifs(Students!$P:$P,$Y55,Students!$Q:$Q,$Y$2&amp;if($K55="S1","a",if($K55="S2","b","")),Students!$A:$A,AQ$2)+countifs(Students!$R:$R,$Y55,Students!$S:$S,$Y$2&amp;if($K55="S1","a",if($K55="S2","b","")),Students!$A:$A,AQ$2)+countifs(Students!$T:$T,$Y55,Students!$U:$U,$Y$2&amp;if($K55="S1","a",if($K55="S2","b","")),Students!$A:$A,AQ$2)+countifs(Students!$V:$V,$Y55,Students!$W:$W,$Y$2&amp;if($K55="S1","a",if($K55="S2","b","")),Students!$A:$A,AQ$2)+
countifs(Students!$D:$D,$AB55,Students!$E:$E,$AB$2&amp;if($K55="S1","a",if($K55="S2","b","")),Students!$A:$A,AQ$2)+countifs(Students!$F:$F,$AB55,Students!$G:$G,$AB$2&amp;if($K55="S1","a",if($K55="S2","b","")),Students!$A:$A,AQ$2)+countifs(Students!$H:$H,$AB55,Students!$I:$I,$AB$2&amp;if($K55="S1","a",if($K55="S2","b","")),Students!$A:$A,AQ$2)+countifs(Students!$J:$J,$AB55,Students!$K:$K,$AB$2&amp;if($K55="S1","a",if($K55="S2","b","")),Students!$A:$A,AQ$2)+countifs(Students!$L:$L,$AB55,Students!$M:$M,$AB$2&amp;if($K55="S1","a",if($K55="S2","b","")),Students!$A:$A,AQ$2)+countifs(Students!$N:$N,$AB55,Students!$O:$O,$AB$2&amp;if($K55="S1","a",if($K55="S2","b","")),Students!$A:$A,AQ$2)+countifs(Students!$P:$P,$AB55,Students!$Q:$Q,$AB$2&amp;if($K55="S1","a",if($K55="S2","b","")),Students!$A:$A,AQ$2)+countifs(Students!$R:$R,$AB55,Students!$S:$S,$AB$2&amp;if($K55="S1","a",if($K55="S2","b","")),Students!$A:$A,AQ$2)+countifs(Students!$T:$T,$AB55,Students!$U:$U,$AB$2&amp;if($K55="S1","a",if($K55="S2","b","")),Students!$A:$A,AQ$2)+countifs(Students!$V:$V,$AB55,Students!$W:$W,$AB$2&amp;if($K55="S1","a",if($K55="S2","b","")),Students!$A:$A,AQ$2)+
countifs(Students!$D:$D,$AE55,Students!$E:$E,$AE$2&amp;if($K55="S1","a",if($K55="S2","b","")),Students!$A:$A,AQ$2)+countifs(Students!$F:$F,$AE55,Students!$G:$G,$AE$2&amp;if($K55="S1","a",if($K55="S2","b","")),Students!$A:$A,AQ$2)+countifs(Students!$H:$H,$AE55,Students!$I:$I,$AE$2&amp;if($K55="S1","a",if($K55="S2","b","")),Students!$A:$A,AQ$2)+countifs(Students!$J:$J,$AE55,Students!$K:$K,$AE$2&amp;if($K55="S1","a",if($K55="S2","b","")),Students!$A:$A,AQ$2)+countifs(Students!$L:$L,$AE55,Students!$M:$M,$AE$2&amp;if($K55="S1","a",if($K55="S2","b","")),Students!$A:$A,AQ$2)+countifs(Students!$N:$N,$AE55,Students!$O:$O,$AE$2&amp;if($K55="S1","a",if($K55="S2","b","")),Students!$A:$A,AQ$2)+countifs(Students!$P:$P,$AE55,Students!$Q:$Q,$AE$2&amp;if($K55="S1","a",if($K55="S2","b","")),Students!$A:$A,AQ$2)+countifs(Students!$R:$R,$AE55,Students!$S:$S,$AE$2&amp;if($K55="S1","a",if($K55="S2","b","")),Students!$A:$A,AQ$2)+countifs(Students!$T:$T,$AE55,Students!$U:$U,$AE$2&amp;if($K55="S1","a",if($K55="S2","b","")),Students!$A:$A,AQ$2)+countifs(Students!$V:$V,$AE55,Students!$W:$W,$AE$2&amp;if($K55="S1","a",if($K55="S2","b","")),Students!$A:$A,AQ$2)+
countifs(Students!$D:$D,$AH55,Students!$E:$E,$AH$2&amp;if($K55="S1","a",if($K55="S2","b","")),Students!$A:$A,AQ$2)+countifs(Students!$F:$F,$AH55,Students!$G:$G,$AH$2&amp;if($K55="S1","a",if($K55="S2","b","")),Students!$A:$A,AQ$2)+countifs(Students!$H:$H,$AH55,Students!$I:$I,$AH$2&amp;if($K55="S1","a",if($K55="S2","b","")),Students!$A:$A,AQ$2)+countifs(Students!$J:$J,$AH55,Students!$K:$K,$AH$2&amp;if($K55="S1","a",if($K55="S2","b","")),Students!$A:$A,AQ$2)+countifs(Students!$L:$L,$AH55,Students!$M:$M,$AH$2&amp;if($K55="S1","a",if($K55="S2","b","")),Students!$A:$A,AQ$2)+countifs(Students!$N:$N,$AH55,Students!$O:$O,$AH$2&amp;if($K55="S1","a",if($K55="S2","b","")),Students!$A:$A,AQ$2)+countifs(Students!$P:$P,$AH55,Students!$Q:$Q,$AH$2&amp;if($K55="S1","a",if($K55="S2","b","")),Students!$A:$A,AQ$2)+countifs(Students!$R:$R,$AH55,Students!$S:$S,$AH$2&amp;if($K55="S1","a",if($K55="S2","b","")),Students!$A:$A,AQ$2)+countifs(Students!$T:$T,$AH55,Students!$U:$U,$AH$2&amp;if($K55="S1","a",if($K55="S2","b","")),Students!$A:$A,AQ$2)+countifs(Students!$V:$V,$AH55,Students!$W:$W,$AH$2&amp;if($K55="S1","a",if($K55="S2","b","")),Students!$A:$A,AQ$2)+
countifs(Students!$D:$D,$AK55,Students!$E:$E,$AK$2&amp;if($K55="S1","a",if($K55="S2","b","")),Students!$A:$A,AQ$2)+countifs(Students!$F:$F,$AK55,Students!$G:$G,$AK$2&amp;if($K55="S1","a",if($K55="S2","b","")),Students!$A:$A,AQ$2)+countifs(Students!$H:$H,$AK55,Students!$I:$I,$AK$2&amp;if($K55="S1","a",if($K55="S2","b","")),Students!$A:$A,AQ$2)+countifs(Students!$J:$J,$AK55,Students!$K:$K,$AK$2&amp;if($K55="S1","a",if($K55="S2","b","")),Students!$A:$A,AQ$2)+countifs(Students!$L:$L,$AK55,Students!$M:$M,$AK$2&amp;if($K55="S1","a",if($K55="S2","b","")),Students!$A:$A,AQ$2)+countifs(Students!$N:$N,$AK55,Students!$O:$O,$AK$2&amp;if($K55="S1","a",if($K55="S2","b","")),Students!$A:$A,AQ$2)+countifs(Students!$P:$P,$AK55,Students!$Q:$Q,$AK$2&amp;if($K55="S1","a",if($K55="S2","b","")),Students!$A:$A,AQ$2)+countifs(Students!$R:$R,$AK55,Students!$S:$S,$AK$2&amp;if($K55="S1","a",if($K55="S2","b","")),Students!$A:$A,AQ$2)+countifs(Students!$T:$T,$AK55,Students!$U:$U,$AK$2&amp;if($K55="S1","a",if($K55="S2","b","")),Students!$A:$A,AQ$2)+countifs(Students!$V:$V,$AK55,Students!$W:$W,$AK$2&amp;if($K55="S1","a",if($K55="S2","b","")),Students!$A:$A,AQ$2))</f>
        <v/>
      </c>
      <c r="AR55" s="98" t="str">
        <f>if($L55="","",countifs(Students!$D:$D,$P55,Students!$E:$E,$P$2&amp;if($K55="S1","a",if($K55="S2","b","")),Students!$A:$A,AR$2)+countifs(Students!$F:$F,$P55,Students!$G:$G,$P$2&amp;if($K55="S1","a",if($K55="S2","b","")),Students!$A:$A,AR$2)+countifs(Students!$H:$H,$P55,Students!$I:$I,$P$2&amp;if($K55="S1","a",if($K55="S2","b","")),Students!$A:$A,AR$2)+countifs(Students!$J:$J,$P55,Students!$K:$K,$P$2&amp;if($K55="S1","a",if($K55="S2","b","")),Students!$A:$A,AR$2)+countifs(Students!$L:$L,$P55,Students!$M:$M,$P$2&amp;if($K55="S1","a",if($K55="S2","b","")),Students!$A:$A,AR$2)+countifs(Students!$N:$N,$P55,Students!$O:$O,$P$2&amp;if($K55="S1","a",if($K55="S2","b","")),Students!$A:$A,AR$2)+countifs(Students!$P:$P,$P55,Students!$Q:$Q,$P$2&amp;if($K55="S1","a",if($K55="S2","b","")),Students!$A:$A,AR$2)+countifs(Students!$R:$R,$P55,Students!$S:$S,$P$2&amp;if($K55="S1","a",if($K55="S2","b","")),Students!$A:$A,AR$2)+countifs(Students!$T:$T,$P55,Students!$U:$U,$P$2&amp;if($K55="S1","a",if($K55="S2","b","")),Students!$A:$A,AR$2)+countifs(Students!$V:$V,$P55,Students!$W:$W,$P$2&amp;if($K55="S1","a",if($K55="S2","b","")),Students!$A:$A,AR$2)+
countifs(Students!$D:$D,$S55,Students!$E:$E,$S$2&amp;if($K55="S1","a",if($K55="S2","b","")),Students!$A:$A,AR$2)+countifs(Students!$F:$F,$S55,Students!$G:$G,$S$2&amp;if($K55="S1","a",if($K55="S2","b","")),Students!$A:$A,AR$2)+countifs(Students!$H:$H,$S55,Students!$I:$I,$S$2&amp;if($K55="S1","a",if($K55="S2","b","")),Students!$A:$A,AR$2)+countifs(Students!$J:$J,$S55,Students!$K:$K,$S$2&amp;if($K55="S1","a",if($K55="S2","b","")),Students!$A:$A,AR$2)+countifs(Students!$L:$L,$S55,Students!$M:$M,$S$2&amp;if($K55="S1","a",if($K55="S2","b","")),Students!$A:$A,AR$2)+countifs(Students!$N:$N,$S55,Students!$O:$O,$S$2&amp;if($K55="S1","a",if($K55="S2","b","")),Students!$A:$A,AR$2)+countifs(Students!$P:$P,$S55,Students!$Q:$Q,$S$2&amp;if($K55="S1","a",if($K55="S2","b","")),Students!$A:$A,AR$2)+countifs(Students!$R:$R,$S55,Students!$S:$S,$S$2&amp;if($K55="S1","a",if($K55="S2","b","")),Students!$A:$A,AR$2)+countifs(Students!$T:$T,$S55,Students!$U:$U,$S$2&amp;if($K55="S1","a",if($K55="S2","b","")),Students!$A:$A,AR$2)+countifs(Students!$V:$V,$S55,Students!$W:$W,$S$2&amp;if($K55="S1","a",if($K55="S2","b","")),Students!$A:$A,AR$2)+
countifs(Students!$D:$D,$V55,Students!$E:$E,$V$2&amp;if($K55="S1","a",if($K55="S2","b","")),Students!$A:$A,AR$2)+countifs(Students!$F:$F,$V55,Students!$G:$G,$V$2&amp;if($K55="S1","a",if($K55="S2","b","")),Students!$A:$A,AR$2)+countifs(Students!$H:$H,$V55,Students!$I:$I,$V$2&amp;if($K55="S1","a",if($K55="S2","b","")),Students!$A:$A,AR$2)+countifs(Students!$J:$J,$V55,Students!$K:$K,$V$2&amp;if($K55="S1","a",if($K55="S2","b","")),Students!$A:$A,AR$2)+countifs(Students!$L:$L,$V55,Students!$M:$M,$V$2&amp;if($K55="S1","a",if($K55="S2","b","")),Students!$A:$A,AR$2)+countifs(Students!$N:$N,$V55,Students!$O:$O,$V$2&amp;if($K55="S1","a",if($K55="S2","b","")),Students!$A:$A,AR$2)+countifs(Students!$P:$P,$V55,Students!$Q:$Q,$V$2&amp;if($K55="S1","a",if($K55="S2","b","")),Students!$A:$A,AR$2)+countifs(Students!$R:$R,$V55,Students!$S:$S,$V$2&amp;if($K55="S1","a",if($K55="S2","b","")),Students!$A:$A,AR$2)+countifs(Students!$T:$T,$V55,Students!$U:$U,$V$2&amp;if($K55="S1","a",if($K55="S2","b","")),Students!$A:$A,AR$2)+countifs(Students!$V:$V,$V55,Students!$W:$W,$V$2&amp;if($K55="S1","a",if($K55="S2","b","")),Students!$A:$A,AR$2)+
countifs(Students!$D:$D,$Y55,Students!$E:$E,$Y$2&amp;if($K55="S1","a",if($K55="S2","b","")),Students!$A:$A,AR$2)+countifs(Students!$F:$F,$Y55,Students!$G:$G,$Y$2&amp;if($K55="S1","a",if($K55="S2","b","")),Students!$A:$A,AR$2)+countifs(Students!$H:$H,$Y55,Students!$I:$I,$Y$2&amp;if($K55="S1","a",if($K55="S2","b","")),Students!$A:$A,AR$2)+countifs(Students!$J:$J,$Y55,Students!$K:$K,$Y$2&amp;if($K55="S1","a",if($K55="S2","b","")),Students!$A:$A,AR$2)+countifs(Students!$L:$L,$Y55,Students!$M:$M,$Y$2&amp;if($K55="S1","a",if($K55="S2","b","")),Students!$A:$A,AR$2)+countifs(Students!$N:$N,$Y55,Students!$O:$O,$Y$2&amp;if($K55="S1","a",if($K55="S2","b","")),Students!$A:$A,AR$2)+countifs(Students!$P:$P,$Y55,Students!$Q:$Q,$Y$2&amp;if($K55="S1","a",if($K55="S2","b","")),Students!$A:$A,AR$2)+countifs(Students!$R:$R,$Y55,Students!$S:$S,$Y$2&amp;if($K55="S1","a",if($K55="S2","b","")),Students!$A:$A,AR$2)+countifs(Students!$T:$T,$Y55,Students!$U:$U,$Y$2&amp;if($K55="S1","a",if($K55="S2","b","")),Students!$A:$A,AR$2)+countifs(Students!$V:$V,$Y55,Students!$W:$W,$Y$2&amp;if($K55="S1","a",if($K55="S2","b","")),Students!$A:$A,AR$2)+
countifs(Students!$D:$D,$AB55,Students!$E:$E,$AB$2&amp;if($K55="S1","a",if($K55="S2","b","")),Students!$A:$A,AR$2)+countifs(Students!$F:$F,$AB55,Students!$G:$G,$AB$2&amp;if($K55="S1","a",if($K55="S2","b","")),Students!$A:$A,AR$2)+countifs(Students!$H:$H,$AB55,Students!$I:$I,$AB$2&amp;if($K55="S1","a",if($K55="S2","b","")),Students!$A:$A,AR$2)+countifs(Students!$J:$J,$AB55,Students!$K:$K,$AB$2&amp;if($K55="S1","a",if($K55="S2","b","")),Students!$A:$A,AR$2)+countifs(Students!$L:$L,$AB55,Students!$M:$M,$AB$2&amp;if($K55="S1","a",if($K55="S2","b","")),Students!$A:$A,AR$2)+countifs(Students!$N:$N,$AB55,Students!$O:$O,$AB$2&amp;if($K55="S1","a",if($K55="S2","b","")),Students!$A:$A,AR$2)+countifs(Students!$P:$P,$AB55,Students!$Q:$Q,$AB$2&amp;if($K55="S1","a",if($K55="S2","b","")),Students!$A:$A,AR$2)+countifs(Students!$R:$R,$AB55,Students!$S:$S,$AB$2&amp;if($K55="S1","a",if($K55="S2","b","")),Students!$A:$A,AR$2)+countifs(Students!$T:$T,$AB55,Students!$U:$U,$AB$2&amp;if($K55="S1","a",if($K55="S2","b","")),Students!$A:$A,AR$2)+countifs(Students!$V:$V,$AB55,Students!$W:$W,$AB$2&amp;if($K55="S1","a",if($K55="S2","b","")),Students!$A:$A,AR$2)+
countifs(Students!$D:$D,$AE55,Students!$E:$E,$AE$2&amp;if($K55="S1","a",if($K55="S2","b","")),Students!$A:$A,AR$2)+countifs(Students!$F:$F,$AE55,Students!$G:$G,$AE$2&amp;if($K55="S1","a",if($K55="S2","b","")),Students!$A:$A,AR$2)+countifs(Students!$H:$H,$AE55,Students!$I:$I,$AE$2&amp;if($K55="S1","a",if($K55="S2","b","")),Students!$A:$A,AR$2)+countifs(Students!$J:$J,$AE55,Students!$K:$K,$AE$2&amp;if($K55="S1","a",if($K55="S2","b","")),Students!$A:$A,AR$2)+countifs(Students!$L:$L,$AE55,Students!$M:$M,$AE$2&amp;if($K55="S1","a",if($K55="S2","b","")),Students!$A:$A,AR$2)+countifs(Students!$N:$N,$AE55,Students!$O:$O,$AE$2&amp;if($K55="S1","a",if($K55="S2","b","")),Students!$A:$A,AR$2)+countifs(Students!$P:$P,$AE55,Students!$Q:$Q,$AE$2&amp;if($K55="S1","a",if($K55="S2","b","")),Students!$A:$A,AR$2)+countifs(Students!$R:$R,$AE55,Students!$S:$S,$AE$2&amp;if($K55="S1","a",if($K55="S2","b","")),Students!$A:$A,AR$2)+countifs(Students!$T:$T,$AE55,Students!$U:$U,$AE$2&amp;if($K55="S1","a",if($K55="S2","b","")),Students!$A:$A,AR$2)+countifs(Students!$V:$V,$AE55,Students!$W:$W,$AE$2&amp;if($K55="S1","a",if($K55="S2","b","")),Students!$A:$A,AR$2)+
countifs(Students!$D:$D,$AH55,Students!$E:$E,$AH$2&amp;if($K55="S1","a",if($K55="S2","b","")),Students!$A:$A,AR$2)+countifs(Students!$F:$F,$AH55,Students!$G:$G,$AH$2&amp;if($K55="S1","a",if($K55="S2","b","")),Students!$A:$A,AR$2)+countifs(Students!$H:$H,$AH55,Students!$I:$I,$AH$2&amp;if($K55="S1","a",if($K55="S2","b","")),Students!$A:$A,AR$2)+countifs(Students!$J:$J,$AH55,Students!$K:$K,$AH$2&amp;if($K55="S1","a",if($K55="S2","b","")),Students!$A:$A,AR$2)+countifs(Students!$L:$L,$AH55,Students!$M:$M,$AH$2&amp;if($K55="S1","a",if($K55="S2","b","")),Students!$A:$A,AR$2)+countifs(Students!$N:$N,$AH55,Students!$O:$O,$AH$2&amp;if($K55="S1","a",if($K55="S2","b","")),Students!$A:$A,AR$2)+countifs(Students!$P:$P,$AH55,Students!$Q:$Q,$AH$2&amp;if($K55="S1","a",if($K55="S2","b","")),Students!$A:$A,AR$2)+countifs(Students!$R:$R,$AH55,Students!$S:$S,$AH$2&amp;if($K55="S1","a",if($K55="S2","b","")),Students!$A:$A,AR$2)+countifs(Students!$T:$T,$AH55,Students!$U:$U,$AH$2&amp;if($K55="S1","a",if($K55="S2","b","")),Students!$A:$A,AR$2)+countifs(Students!$V:$V,$AH55,Students!$W:$W,$AH$2&amp;if($K55="S1","a",if($K55="S2","b","")),Students!$A:$A,AR$2)+
countifs(Students!$D:$D,$AK55,Students!$E:$E,$AK$2&amp;if($K55="S1","a",if($K55="S2","b","")),Students!$A:$A,AR$2)+countifs(Students!$F:$F,$AK55,Students!$G:$G,$AK$2&amp;if($K55="S1","a",if($K55="S2","b","")),Students!$A:$A,AR$2)+countifs(Students!$H:$H,$AK55,Students!$I:$I,$AK$2&amp;if($K55="S1","a",if($K55="S2","b","")),Students!$A:$A,AR$2)+countifs(Students!$J:$J,$AK55,Students!$K:$K,$AK$2&amp;if($K55="S1","a",if($K55="S2","b","")),Students!$A:$A,AR$2)+countifs(Students!$L:$L,$AK55,Students!$M:$M,$AK$2&amp;if($K55="S1","a",if($K55="S2","b","")),Students!$A:$A,AR$2)+countifs(Students!$N:$N,$AK55,Students!$O:$O,$AK$2&amp;if($K55="S1","a",if($K55="S2","b","")),Students!$A:$A,AR$2)+countifs(Students!$P:$P,$AK55,Students!$Q:$Q,$AK$2&amp;if($K55="S1","a",if($K55="S2","b","")),Students!$A:$A,AR$2)+countifs(Students!$R:$R,$AK55,Students!$S:$S,$AK$2&amp;if($K55="S1","a",if($K55="S2","b","")),Students!$A:$A,AR$2)+countifs(Students!$T:$T,$AK55,Students!$U:$U,$AK$2&amp;if($K55="S1","a",if($K55="S2","b","")),Students!$A:$A,AR$2)+countifs(Students!$V:$V,$AK55,Students!$W:$W,$AK$2&amp;if($K55="S1","a",if($K55="S2","b","")),Students!$A:$A,AR$2))</f>
        <v/>
      </c>
      <c r="AS55" s="98" t="str">
        <f>if($L55="","",countifs(Students!$D:$D,$P55,Students!$E:$E,$P$2&amp;if($K55="S1","a",if($K55="S2","b","")),Students!$A:$A,AS$2)+countifs(Students!$F:$F,$P55,Students!$G:$G,$P$2&amp;if($K55="S1","a",if($K55="S2","b","")),Students!$A:$A,AS$2)+countifs(Students!$H:$H,$P55,Students!$I:$I,$P$2&amp;if($K55="S1","a",if($K55="S2","b","")),Students!$A:$A,AS$2)+countifs(Students!$J:$J,$P55,Students!$K:$K,$P$2&amp;if($K55="S1","a",if($K55="S2","b","")),Students!$A:$A,AS$2)+countifs(Students!$L:$L,$P55,Students!$M:$M,$P$2&amp;if($K55="S1","a",if($K55="S2","b","")),Students!$A:$A,AS$2)+countifs(Students!$N:$N,$P55,Students!$O:$O,$P$2&amp;if($K55="S1","a",if($K55="S2","b","")),Students!$A:$A,AS$2)+countifs(Students!$P:$P,$P55,Students!$Q:$Q,$P$2&amp;if($K55="S1","a",if($K55="S2","b","")),Students!$A:$A,AS$2)+countifs(Students!$R:$R,$P55,Students!$S:$S,$P$2&amp;if($K55="S1","a",if($K55="S2","b","")),Students!$A:$A,AS$2)+countifs(Students!$T:$T,$P55,Students!$U:$U,$P$2&amp;if($K55="S1","a",if($K55="S2","b","")),Students!$A:$A,AS$2)+countifs(Students!$V:$V,$P55,Students!$W:$W,$P$2&amp;if($K55="S1","a",if($K55="S2","b","")),Students!$A:$A,AS$2)+
countifs(Students!$D:$D,$S55,Students!$E:$E,$S$2&amp;if($K55="S1","a",if($K55="S2","b","")),Students!$A:$A,AS$2)+countifs(Students!$F:$F,$S55,Students!$G:$G,$S$2&amp;if($K55="S1","a",if($K55="S2","b","")),Students!$A:$A,AS$2)+countifs(Students!$H:$H,$S55,Students!$I:$I,$S$2&amp;if($K55="S1","a",if($K55="S2","b","")),Students!$A:$A,AS$2)+countifs(Students!$J:$J,$S55,Students!$K:$K,$S$2&amp;if($K55="S1","a",if($K55="S2","b","")),Students!$A:$A,AS$2)+countifs(Students!$L:$L,$S55,Students!$M:$M,$S$2&amp;if($K55="S1","a",if($K55="S2","b","")),Students!$A:$A,AS$2)+countifs(Students!$N:$N,$S55,Students!$O:$O,$S$2&amp;if($K55="S1","a",if($K55="S2","b","")),Students!$A:$A,AS$2)+countifs(Students!$P:$P,$S55,Students!$Q:$Q,$S$2&amp;if($K55="S1","a",if($K55="S2","b","")),Students!$A:$A,AS$2)+countifs(Students!$R:$R,$S55,Students!$S:$S,$S$2&amp;if($K55="S1","a",if($K55="S2","b","")),Students!$A:$A,AS$2)+countifs(Students!$T:$T,$S55,Students!$U:$U,$S$2&amp;if($K55="S1","a",if($K55="S2","b","")),Students!$A:$A,AS$2)+countifs(Students!$V:$V,$S55,Students!$W:$W,$S$2&amp;if($K55="S1","a",if($K55="S2","b","")),Students!$A:$A,AS$2)+
countifs(Students!$D:$D,$V55,Students!$E:$E,$V$2&amp;if($K55="S1","a",if($K55="S2","b","")),Students!$A:$A,AS$2)+countifs(Students!$F:$F,$V55,Students!$G:$G,$V$2&amp;if($K55="S1","a",if($K55="S2","b","")),Students!$A:$A,AS$2)+countifs(Students!$H:$H,$V55,Students!$I:$I,$V$2&amp;if($K55="S1","a",if($K55="S2","b","")),Students!$A:$A,AS$2)+countifs(Students!$J:$J,$V55,Students!$K:$K,$V$2&amp;if($K55="S1","a",if($K55="S2","b","")),Students!$A:$A,AS$2)+countifs(Students!$L:$L,$V55,Students!$M:$M,$V$2&amp;if($K55="S1","a",if($K55="S2","b","")),Students!$A:$A,AS$2)+countifs(Students!$N:$N,$V55,Students!$O:$O,$V$2&amp;if($K55="S1","a",if($K55="S2","b","")),Students!$A:$A,AS$2)+countifs(Students!$P:$P,$V55,Students!$Q:$Q,$V$2&amp;if($K55="S1","a",if($K55="S2","b","")),Students!$A:$A,AS$2)+countifs(Students!$R:$R,$V55,Students!$S:$S,$V$2&amp;if($K55="S1","a",if($K55="S2","b","")),Students!$A:$A,AS$2)+countifs(Students!$T:$T,$V55,Students!$U:$U,$V$2&amp;if($K55="S1","a",if($K55="S2","b","")),Students!$A:$A,AS$2)+countifs(Students!$V:$V,$V55,Students!$W:$W,$V$2&amp;if($K55="S1","a",if($K55="S2","b","")),Students!$A:$A,AS$2)+
countifs(Students!$D:$D,$Y55,Students!$E:$E,$Y$2&amp;if($K55="S1","a",if($K55="S2","b","")),Students!$A:$A,AS$2)+countifs(Students!$F:$F,$Y55,Students!$G:$G,$Y$2&amp;if($K55="S1","a",if($K55="S2","b","")),Students!$A:$A,AS$2)+countifs(Students!$H:$H,$Y55,Students!$I:$I,$Y$2&amp;if($K55="S1","a",if($K55="S2","b","")),Students!$A:$A,AS$2)+countifs(Students!$J:$J,$Y55,Students!$K:$K,$Y$2&amp;if($K55="S1","a",if($K55="S2","b","")),Students!$A:$A,AS$2)+countifs(Students!$L:$L,$Y55,Students!$M:$M,$Y$2&amp;if($K55="S1","a",if($K55="S2","b","")),Students!$A:$A,AS$2)+countifs(Students!$N:$N,$Y55,Students!$O:$O,$Y$2&amp;if($K55="S1","a",if($K55="S2","b","")),Students!$A:$A,AS$2)+countifs(Students!$P:$P,$Y55,Students!$Q:$Q,$Y$2&amp;if($K55="S1","a",if($K55="S2","b","")),Students!$A:$A,AS$2)+countifs(Students!$R:$R,$Y55,Students!$S:$S,$Y$2&amp;if($K55="S1","a",if($K55="S2","b","")),Students!$A:$A,AS$2)+countifs(Students!$T:$T,$Y55,Students!$U:$U,$Y$2&amp;if($K55="S1","a",if($K55="S2","b","")),Students!$A:$A,AS$2)+countifs(Students!$V:$V,$Y55,Students!$W:$W,$Y$2&amp;if($K55="S1","a",if($K55="S2","b","")),Students!$A:$A,AS$2)+
countifs(Students!$D:$D,$AB55,Students!$E:$E,$AB$2&amp;if($K55="S1","a",if($K55="S2","b","")),Students!$A:$A,AS$2)+countifs(Students!$F:$F,$AB55,Students!$G:$G,$AB$2&amp;if($K55="S1","a",if($K55="S2","b","")),Students!$A:$A,AS$2)+countifs(Students!$H:$H,$AB55,Students!$I:$I,$AB$2&amp;if($K55="S1","a",if($K55="S2","b","")),Students!$A:$A,AS$2)+countifs(Students!$J:$J,$AB55,Students!$K:$K,$AB$2&amp;if($K55="S1","a",if($K55="S2","b","")),Students!$A:$A,AS$2)+countifs(Students!$L:$L,$AB55,Students!$M:$M,$AB$2&amp;if($K55="S1","a",if($K55="S2","b","")),Students!$A:$A,AS$2)+countifs(Students!$N:$N,$AB55,Students!$O:$O,$AB$2&amp;if($K55="S1","a",if($K55="S2","b","")),Students!$A:$A,AS$2)+countifs(Students!$P:$P,$AB55,Students!$Q:$Q,$AB$2&amp;if($K55="S1","a",if($K55="S2","b","")),Students!$A:$A,AS$2)+countifs(Students!$R:$R,$AB55,Students!$S:$S,$AB$2&amp;if($K55="S1","a",if($K55="S2","b","")),Students!$A:$A,AS$2)+countifs(Students!$T:$T,$AB55,Students!$U:$U,$AB$2&amp;if($K55="S1","a",if($K55="S2","b","")),Students!$A:$A,AS$2)+countifs(Students!$V:$V,$AB55,Students!$W:$W,$AB$2&amp;if($K55="S1","a",if($K55="S2","b","")),Students!$A:$A,AS$2)+
countifs(Students!$D:$D,$AE55,Students!$E:$E,$AE$2&amp;if($K55="S1","a",if($K55="S2","b","")),Students!$A:$A,AS$2)+countifs(Students!$F:$F,$AE55,Students!$G:$G,$AE$2&amp;if($K55="S1","a",if($K55="S2","b","")),Students!$A:$A,AS$2)+countifs(Students!$H:$H,$AE55,Students!$I:$I,$AE$2&amp;if($K55="S1","a",if($K55="S2","b","")),Students!$A:$A,AS$2)+countifs(Students!$J:$J,$AE55,Students!$K:$K,$AE$2&amp;if($K55="S1","a",if($K55="S2","b","")),Students!$A:$A,AS$2)+countifs(Students!$L:$L,$AE55,Students!$M:$M,$AE$2&amp;if($K55="S1","a",if($K55="S2","b","")),Students!$A:$A,AS$2)+countifs(Students!$N:$N,$AE55,Students!$O:$O,$AE$2&amp;if($K55="S1","a",if($K55="S2","b","")),Students!$A:$A,AS$2)+countifs(Students!$P:$P,$AE55,Students!$Q:$Q,$AE$2&amp;if($K55="S1","a",if($K55="S2","b","")),Students!$A:$A,AS$2)+countifs(Students!$R:$R,$AE55,Students!$S:$S,$AE$2&amp;if($K55="S1","a",if($K55="S2","b","")),Students!$A:$A,AS$2)+countifs(Students!$T:$T,$AE55,Students!$U:$U,$AE$2&amp;if($K55="S1","a",if($K55="S2","b","")),Students!$A:$A,AS$2)+countifs(Students!$V:$V,$AE55,Students!$W:$W,$AE$2&amp;if($K55="S1","a",if($K55="S2","b","")),Students!$A:$A,AS$2)+
countifs(Students!$D:$D,$AH55,Students!$E:$E,$AH$2&amp;if($K55="S1","a",if($K55="S2","b","")),Students!$A:$A,AS$2)+countifs(Students!$F:$F,$AH55,Students!$G:$G,$AH$2&amp;if($K55="S1","a",if($K55="S2","b","")),Students!$A:$A,AS$2)+countifs(Students!$H:$H,$AH55,Students!$I:$I,$AH$2&amp;if($K55="S1","a",if($K55="S2","b","")),Students!$A:$A,AS$2)+countifs(Students!$J:$J,$AH55,Students!$K:$K,$AH$2&amp;if($K55="S1","a",if($K55="S2","b","")),Students!$A:$A,AS$2)+countifs(Students!$L:$L,$AH55,Students!$M:$M,$AH$2&amp;if($K55="S1","a",if($K55="S2","b","")),Students!$A:$A,AS$2)+countifs(Students!$N:$N,$AH55,Students!$O:$O,$AH$2&amp;if($K55="S1","a",if($K55="S2","b","")),Students!$A:$A,AS$2)+countifs(Students!$P:$P,$AH55,Students!$Q:$Q,$AH$2&amp;if($K55="S1","a",if($K55="S2","b","")),Students!$A:$A,AS$2)+countifs(Students!$R:$R,$AH55,Students!$S:$S,$AH$2&amp;if($K55="S1","a",if($K55="S2","b","")),Students!$A:$A,AS$2)+countifs(Students!$T:$T,$AH55,Students!$U:$U,$AH$2&amp;if($K55="S1","a",if($K55="S2","b","")),Students!$A:$A,AS$2)+countifs(Students!$V:$V,$AH55,Students!$W:$W,$AH$2&amp;if($K55="S1","a",if($K55="S2","b","")),Students!$A:$A,AS$2)+
countifs(Students!$D:$D,$AK55,Students!$E:$E,$AK$2&amp;if($K55="S1","a",if($K55="S2","b","")),Students!$A:$A,AS$2)+countifs(Students!$F:$F,$AK55,Students!$G:$G,$AK$2&amp;if($K55="S1","a",if($K55="S2","b","")),Students!$A:$A,AS$2)+countifs(Students!$H:$H,$AK55,Students!$I:$I,$AK$2&amp;if($K55="S1","a",if($K55="S2","b","")),Students!$A:$A,AS$2)+countifs(Students!$J:$J,$AK55,Students!$K:$K,$AK$2&amp;if($K55="S1","a",if($K55="S2","b","")),Students!$A:$A,AS$2)+countifs(Students!$L:$L,$AK55,Students!$M:$M,$AK$2&amp;if($K55="S1","a",if($K55="S2","b","")),Students!$A:$A,AS$2)+countifs(Students!$N:$N,$AK55,Students!$O:$O,$AK$2&amp;if($K55="S1","a",if($K55="S2","b","")),Students!$A:$A,AS$2)+countifs(Students!$P:$P,$AK55,Students!$Q:$Q,$AK$2&amp;if($K55="S1","a",if($K55="S2","b","")),Students!$A:$A,AS$2)+countifs(Students!$R:$R,$AK55,Students!$S:$S,$AK$2&amp;if($K55="S1","a",if($K55="S2","b","")),Students!$A:$A,AS$2)+countifs(Students!$T:$T,$AK55,Students!$U:$U,$AK$2&amp;if($K55="S1","a",if($K55="S2","b","")),Students!$A:$A,AS$2)+countifs(Students!$V:$V,$AK55,Students!$W:$W,$AK$2&amp;if($K55="S1","a",if($K55="S2","b","")),Students!$A:$A,AS$2))</f>
        <v/>
      </c>
    </row>
    <row r="56">
      <c r="J56" s="87" t="s">
        <v>22</v>
      </c>
      <c r="K56" s="88"/>
      <c r="L56" s="134"/>
      <c r="M56" s="106"/>
      <c r="N56" s="87" t="s">
        <v>22</v>
      </c>
      <c r="O56" s="87">
        <f>IFERROR(__xludf.DUMMYFUNCTION("3*counta((transpose(filter(P56:AM56,P56:AM56&lt;&gt;"""",isnumber(P56:AM56)=false))))"),3.0)</f>
        <v>3</v>
      </c>
      <c r="P56" s="117"/>
      <c r="Q56" s="89"/>
      <c r="R56" s="98" t="s">
        <v>22</v>
      </c>
      <c r="S56" s="117"/>
      <c r="T56" s="117"/>
      <c r="U56" s="98" t="s">
        <v>22</v>
      </c>
      <c r="V56" s="117"/>
      <c r="W56" s="89"/>
      <c r="X56" s="98" t="s">
        <v>22</v>
      </c>
      <c r="Y56" s="117"/>
      <c r="Z56" s="117"/>
      <c r="AA56" s="98" t="s">
        <v>22</v>
      </c>
      <c r="AB56" s="117"/>
      <c r="AC56" s="117"/>
      <c r="AD56" s="98" t="s">
        <v>22</v>
      </c>
      <c r="AE56" s="117"/>
      <c r="AF56" s="89"/>
      <c r="AG56" s="98" t="s">
        <v>22</v>
      </c>
      <c r="AH56" s="117"/>
      <c r="AI56" s="98"/>
      <c r="AJ56" s="98" t="s">
        <v>22</v>
      </c>
      <c r="AK56" s="117"/>
      <c r="AL56" s="133"/>
      <c r="AM56" s="98" t="s">
        <v>22</v>
      </c>
      <c r="AN56" s="99"/>
      <c r="AO56" s="52" t="str">
        <f t="shared" si="2"/>
        <v/>
      </c>
      <c r="AP56" s="98" t="str">
        <f>if($L56="","",countifs(Students!$D:$D,$P56,Students!$E:$E,$P$2&amp;if($K56="S1","a",if($K56="S2","b","")),Students!$A:$A,AP$2)+countifs(Students!$F:$F,$P56,Students!$G:$G,$P$2&amp;if($K56="S1","a",if($K56="S2","b","")),Students!$A:$A,AP$2)+countifs(Students!$H:$H,$P56,Students!$I:$I,$P$2&amp;if($K56="S1","a",if($K56="S2","b","")),Students!$A:$A,AP$2)+countifs(Students!$J:$J,$P56,Students!$K:$K,$P$2&amp;if($K56="S1","a",if($K56="S2","b","")),Students!$A:$A,AP$2)+countifs(Students!$L:$L,$P56,Students!$M:$M,$P$2&amp;if($K56="S1","a",if($K56="S2","b","")),Students!$A:$A,AP$2)+countifs(Students!$N:$N,$P56,Students!$O:$O,$P$2&amp;if($K56="S1","a",if($K56="S2","b","")),Students!$A:$A,AP$2)+countifs(Students!$P:$P,$P56,Students!$Q:$Q,$P$2&amp;if($K56="S1","a",if($K56="S2","b","")),Students!$A:$A,AP$2)+countifs(Students!$R:$R,$P56,Students!$S:$S,$P$2&amp;if($K56="S1","a",if($K56="S2","b","")),Students!$A:$A,AP$2)+countifs(Students!$T:$T,$P56,Students!$U:$U,$P$2&amp;if($K56="S1","a",if($K56="S2","b","")),Students!$A:$A,AP$2)+countifs(Students!$V:$V,$P56,Students!$W:$W,$P$2&amp;if($K56="S1","a",if($K56="S2","b","")),Students!$A:$A,AP$2)+
countifs(Students!$D:$D,$S56,Students!$E:$E,$S$2&amp;if($K56="S1","a",if($K56="S2","b","")),Students!$A:$A,AP$2)+countifs(Students!$F:$F,$S56,Students!$G:$G,$S$2&amp;if($K56="S1","a",if($K56="S2","b","")),Students!$A:$A,AP$2)+countifs(Students!$H:$H,$S56,Students!$I:$I,$S$2&amp;if($K56="S1","a",if($K56="S2","b","")),Students!$A:$A,AP$2)+countifs(Students!$J:$J,$S56,Students!$K:$K,$S$2&amp;if($K56="S1","a",if($K56="S2","b","")),Students!$A:$A,AP$2)+countifs(Students!$L:$L,$S56,Students!$M:$M,$S$2&amp;if($K56="S1","a",if($K56="S2","b","")),Students!$A:$A,AP$2)+countifs(Students!$N:$N,$S56,Students!$O:$O,$S$2&amp;if($K56="S1","a",if($K56="S2","b","")),Students!$A:$A,AP$2)+countifs(Students!$P:$P,$S56,Students!$Q:$Q,$S$2&amp;if($K56="S1","a",if($K56="S2","b","")),Students!$A:$A,AP$2)+countifs(Students!$R:$R,$S56,Students!$S:$S,$S$2&amp;if($K56="S1","a",if($K56="S2","b","")),Students!$A:$A,AP$2)+countifs(Students!$T:$T,$S56,Students!$U:$U,$S$2&amp;if($K56="S1","a",if($K56="S2","b","")),Students!$A:$A,AP$2)+countifs(Students!$V:$V,$S56,Students!$W:$W,$S$2&amp;if($K56="S1","a",if($K56="S2","b","")),Students!$A:$A,AP$2)+
countifs(Students!$D:$D,$V56,Students!$E:$E,$V$2&amp;if($K56="S1","a",if($K56="S2","b","")),Students!$A:$A,AP$2)+countifs(Students!$F:$F,$V56,Students!$G:$G,$V$2&amp;if($K56="S1","a",if($K56="S2","b","")),Students!$A:$A,AP$2)+countifs(Students!$H:$H,$V56,Students!$I:$I,$V$2&amp;if($K56="S1","a",if($K56="S2","b","")),Students!$A:$A,AP$2)+countifs(Students!$J:$J,$V56,Students!$K:$K,$V$2&amp;if($K56="S1","a",if($K56="S2","b","")),Students!$A:$A,AP$2)+countifs(Students!$L:$L,$V56,Students!$M:$M,$V$2&amp;if($K56="S1","a",if($K56="S2","b","")),Students!$A:$A,AP$2)+countifs(Students!$N:$N,$V56,Students!$O:$O,$V$2&amp;if($K56="S1","a",if($K56="S2","b","")),Students!$A:$A,AP$2)+countifs(Students!$P:$P,$V56,Students!$Q:$Q,$V$2&amp;if($K56="S1","a",if($K56="S2","b","")),Students!$A:$A,AP$2)+countifs(Students!$R:$R,$V56,Students!$S:$S,$V$2&amp;if($K56="S1","a",if($K56="S2","b","")),Students!$A:$A,AP$2)+countifs(Students!$T:$T,$V56,Students!$U:$U,$V$2&amp;if($K56="S1","a",if($K56="S2","b","")),Students!$A:$A,AP$2)+countifs(Students!$V:$V,$V56,Students!$W:$W,$V$2&amp;if($K56="S1","a",if($K56="S2","b","")),Students!$A:$A,AP$2)+
countifs(Students!$D:$D,$Y56,Students!$E:$E,$Y$2&amp;if($K56="S1","a",if($K56="S2","b","")),Students!$A:$A,AP$2)+countifs(Students!$F:$F,$Y56,Students!$G:$G,$Y$2&amp;if($K56="S1","a",if($K56="S2","b","")),Students!$A:$A,AP$2)+countifs(Students!$H:$H,$Y56,Students!$I:$I,$Y$2&amp;if($K56="S1","a",if($K56="S2","b","")),Students!$A:$A,AP$2)+countifs(Students!$J:$J,$Y56,Students!$K:$K,$Y$2&amp;if($K56="S1","a",if($K56="S2","b","")),Students!$A:$A,AP$2)+countifs(Students!$L:$L,$Y56,Students!$M:$M,$Y$2&amp;if($K56="S1","a",if($K56="S2","b","")),Students!$A:$A,AP$2)+countifs(Students!$N:$N,$Y56,Students!$O:$O,$Y$2&amp;if($K56="S1","a",if($K56="S2","b","")),Students!$A:$A,AP$2)+countifs(Students!$P:$P,$Y56,Students!$Q:$Q,$Y$2&amp;if($K56="S1","a",if($K56="S2","b","")),Students!$A:$A,AP$2)+countifs(Students!$R:$R,$Y56,Students!$S:$S,$Y$2&amp;if($K56="S1","a",if($K56="S2","b","")),Students!$A:$A,AP$2)+countifs(Students!$T:$T,$Y56,Students!$U:$U,$Y$2&amp;if($K56="S1","a",if($K56="S2","b","")),Students!$A:$A,AP$2)+countifs(Students!$V:$V,$Y56,Students!$W:$W,$Y$2&amp;if($K56="S1","a",if($K56="S2","b","")),Students!$A:$A,AP$2)+
countifs(Students!$D:$D,$AB56,Students!$E:$E,$AB$2&amp;if($K56="S1","a",if($K56="S2","b","")),Students!$A:$A,AP$2)+countifs(Students!$F:$F,$AB56,Students!$G:$G,$AB$2&amp;if($K56="S1","a",if($K56="S2","b","")),Students!$A:$A,AP$2)+countifs(Students!$H:$H,$AB56,Students!$I:$I,$AB$2&amp;if($K56="S1","a",if($K56="S2","b","")),Students!$A:$A,AP$2)+countifs(Students!$J:$J,$AB56,Students!$K:$K,$AB$2&amp;if($K56="S1","a",if($K56="S2","b","")),Students!$A:$A,AP$2)+countifs(Students!$L:$L,$AB56,Students!$M:$M,$AB$2&amp;if($K56="S1","a",if($K56="S2","b","")),Students!$A:$A,AP$2)+countifs(Students!$N:$N,$AB56,Students!$O:$O,$AB$2&amp;if($K56="S1","a",if($K56="S2","b","")),Students!$A:$A,AP$2)+countifs(Students!$P:$P,$AB56,Students!$Q:$Q,$AB$2&amp;if($K56="S1","a",if($K56="S2","b","")),Students!$A:$A,AP$2)+countifs(Students!$R:$R,$AB56,Students!$S:$S,$AB$2&amp;if($K56="S1","a",if($K56="S2","b","")),Students!$A:$A,AP$2)+countifs(Students!$T:$T,$AB56,Students!$U:$U,$AB$2&amp;if($K56="S1","a",if($K56="S2","b","")),Students!$A:$A,AP$2)+countifs(Students!$V:$V,$AB56,Students!$W:$W,$AB$2&amp;if($K56="S1","a",if($K56="S2","b","")),Students!$A:$A,AP$2)+
countifs(Students!$D:$D,$AE56,Students!$E:$E,$AE$2&amp;if($K56="S1","a",if($K56="S2","b","")),Students!$A:$A,AP$2)+countifs(Students!$F:$F,$AE56,Students!$G:$G,$AE$2&amp;if($K56="S1","a",if($K56="S2","b","")),Students!$A:$A,AP$2)+countifs(Students!$H:$H,$AE56,Students!$I:$I,$AE$2&amp;if($K56="S1","a",if($K56="S2","b","")),Students!$A:$A,AP$2)+countifs(Students!$J:$J,$AE56,Students!$K:$K,$AE$2&amp;if($K56="S1","a",if($K56="S2","b","")),Students!$A:$A,AP$2)+countifs(Students!$L:$L,$AE56,Students!$M:$M,$AE$2&amp;if($K56="S1","a",if($K56="S2","b","")),Students!$A:$A,AP$2)+countifs(Students!$N:$N,$AE56,Students!$O:$O,$AE$2&amp;if($K56="S1","a",if($K56="S2","b","")),Students!$A:$A,AP$2)+countifs(Students!$P:$P,$AE56,Students!$Q:$Q,$AE$2&amp;if($K56="S1","a",if($K56="S2","b","")),Students!$A:$A,AP$2)+countifs(Students!$R:$R,$AE56,Students!$S:$S,$AE$2&amp;if($K56="S1","a",if($K56="S2","b","")),Students!$A:$A,AP$2)+countifs(Students!$T:$T,$AE56,Students!$U:$U,$AE$2&amp;if($K56="S1","a",if($K56="S2","b","")),Students!$A:$A,AP$2)+countifs(Students!$V:$V,$AE56,Students!$W:$W,$AE$2&amp;if($K56="S1","a",if($K56="S2","b","")),Students!$A:$A,AP$2)+
countifs(Students!$D:$D,$AH56,Students!$E:$E,$AH$2&amp;if($K56="S1","a",if($K56="S2","b","")),Students!$A:$A,AP$2)+countifs(Students!$F:$F,$AH56,Students!$G:$G,$AH$2&amp;if($K56="S1","a",if($K56="S2","b","")),Students!$A:$A,AP$2)+countifs(Students!$H:$H,$AH56,Students!$I:$I,$AH$2&amp;if($K56="S1","a",if($K56="S2","b","")),Students!$A:$A,AP$2)+countifs(Students!$J:$J,$AH56,Students!$K:$K,$AH$2&amp;if($K56="S1","a",if($K56="S2","b","")),Students!$A:$A,AP$2)+countifs(Students!$L:$L,$AH56,Students!$M:$M,$AH$2&amp;if($K56="S1","a",if($K56="S2","b","")),Students!$A:$A,AP$2)+countifs(Students!$N:$N,$AH56,Students!$O:$O,$AH$2&amp;if($K56="S1","a",if($K56="S2","b","")),Students!$A:$A,AP$2)+countifs(Students!$P:$P,$AH56,Students!$Q:$Q,$AH$2&amp;if($K56="S1","a",if($K56="S2","b","")),Students!$A:$A,AP$2)+countifs(Students!$R:$R,$AH56,Students!$S:$S,$AH$2&amp;if($K56="S1","a",if($K56="S2","b","")),Students!$A:$A,AP$2)+countifs(Students!$T:$T,$AH56,Students!$U:$U,$AH$2&amp;if($K56="S1","a",if($K56="S2","b","")),Students!$A:$A,AP$2)+countifs(Students!$V:$V,$AH56,Students!$W:$W,$AH$2&amp;if($K56="S1","a",if($K56="S2","b","")),Students!$A:$A,AP$2)+
countifs(Students!$D:$D,$AK56,Students!$E:$E,$AK$2&amp;if($K56="S1","a",if($K56="S2","b","")),Students!$A:$A,AP$2)+countifs(Students!$F:$F,$AK56,Students!$G:$G,$AK$2&amp;if($K56="S1","a",if($K56="S2","b","")),Students!$A:$A,AP$2)+countifs(Students!$H:$H,$AK56,Students!$I:$I,$AK$2&amp;if($K56="S1","a",if($K56="S2","b","")),Students!$A:$A,AP$2)+countifs(Students!$J:$J,$AK56,Students!$K:$K,$AK$2&amp;if($K56="S1","a",if($K56="S2","b","")),Students!$A:$A,AP$2)+countifs(Students!$L:$L,$AK56,Students!$M:$M,$AK$2&amp;if($K56="S1","a",if($K56="S2","b","")),Students!$A:$A,AP$2)+countifs(Students!$N:$N,$AK56,Students!$O:$O,$AK$2&amp;if($K56="S1","a",if($K56="S2","b","")),Students!$A:$A,AP$2)+countifs(Students!$P:$P,$AK56,Students!$Q:$Q,$AK$2&amp;if($K56="S1","a",if($K56="S2","b","")),Students!$A:$A,AP$2)+countifs(Students!$R:$R,$AK56,Students!$S:$S,$AK$2&amp;if($K56="S1","a",if($K56="S2","b","")),Students!$A:$A,AP$2)+countifs(Students!$T:$T,$AK56,Students!$U:$U,$AK$2&amp;if($K56="S1","a",if($K56="S2","b","")),Students!$A:$A,AP$2)+countifs(Students!$V:$V,$AK56,Students!$W:$W,$AK$2&amp;if($K56="S1","a",if($K56="S2","b","")),Students!$A:$A,AP$2))</f>
        <v/>
      </c>
      <c r="AQ56" s="98" t="str">
        <f>if($L56="","",countifs(Students!$D:$D,$P56,Students!$E:$E,$P$2&amp;if($K56="S1","a",if($K56="S2","b","")),Students!$A:$A,AQ$2)+countifs(Students!$F:$F,$P56,Students!$G:$G,$P$2&amp;if($K56="S1","a",if($K56="S2","b","")),Students!$A:$A,AQ$2)+countifs(Students!$H:$H,$P56,Students!$I:$I,$P$2&amp;if($K56="S1","a",if($K56="S2","b","")),Students!$A:$A,AQ$2)+countifs(Students!$J:$J,$P56,Students!$K:$K,$P$2&amp;if($K56="S1","a",if($K56="S2","b","")),Students!$A:$A,AQ$2)+countifs(Students!$L:$L,$P56,Students!$M:$M,$P$2&amp;if($K56="S1","a",if($K56="S2","b","")),Students!$A:$A,AQ$2)+countifs(Students!$N:$N,$P56,Students!$O:$O,$P$2&amp;if($K56="S1","a",if($K56="S2","b","")),Students!$A:$A,AQ$2)+countifs(Students!$P:$P,$P56,Students!$Q:$Q,$P$2&amp;if($K56="S1","a",if($K56="S2","b","")),Students!$A:$A,AQ$2)+countifs(Students!$R:$R,$P56,Students!$S:$S,$P$2&amp;if($K56="S1","a",if($K56="S2","b","")),Students!$A:$A,AQ$2)+countifs(Students!$T:$T,$P56,Students!$U:$U,$P$2&amp;if($K56="S1","a",if($K56="S2","b","")),Students!$A:$A,AQ$2)+countifs(Students!$V:$V,$P56,Students!$W:$W,$P$2&amp;if($K56="S1","a",if($K56="S2","b","")),Students!$A:$A,AQ$2)+
countifs(Students!$D:$D,$S56,Students!$E:$E,$S$2&amp;if($K56="S1","a",if($K56="S2","b","")),Students!$A:$A,AQ$2)+countifs(Students!$F:$F,$S56,Students!$G:$G,$S$2&amp;if($K56="S1","a",if($K56="S2","b","")),Students!$A:$A,AQ$2)+countifs(Students!$H:$H,$S56,Students!$I:$I,$S$2&amp;if($K56="S1","a",if($K56="S2","b","")),Students!$A:$A,AQ$2)+countifs(Students!$J:$J,$S56,Students!$K:$K,$S$2&amp;if($K56="S1","a",if($K56="S2","b","")),Students!$A:$A,AQ$2)+countifs(Students!$L:$L,$S56,Students!$M:$M,$S$2&amp;if($K56="S1","a",if($K56="S2","b","")),Students!$A:$A,AQ$2)+countifs(Students!$N:$N,$S56,Students!$O:$O,$S$2&amp;if($K56="S1","a",if($K56="S2","b","")),Students!$A:$A,AQ$2)+countifs(Students!$P:$P,$S56,Students!$Q:$Q,$S$2&amp;if($K56="S1","a",if($K56="S2","b","")),Students!$A:$A,AQ$2)+countifs(Students!$R:$R,$S56,Students!$S:$S,$S$2&amp;if($K56="S1","a",if($K56="S2","b","")),Students!$A:$A,AQ$2)+countifs(Students!$T:$T,$S56,Students!$U:$U,$S$2&amp;if($K56="S1","a",if($K56="S2","b","")),Students!$A:$A,AQ$2)+countifs(Students!$V:$V,$S56,Students!$W:$W,$S$2&amp;if($K56="S1","a",if($K56="S2","b","")),Students!$A:$A,AQ$2)+
countifs(Students!$D:$D,$V56,Students!$E:$E,$V$2&amp;if($K56="S1","a",if($K56="S2","b","")),Students!$A:$A,AQ$2)+countifs(Students!$F:$F,$V56,Students!$G:$G,$V$2&amp;if($K56="S1","a",if($K56="S2","b","")),Students!$A:$A,AQ$2)+countifs(Students!$H:$H,$V56,Students!$I:$I,$V$2&amp;if($K56="S1","a",if($K56="S2","b","")),Students!$A:$A,AQ$2)+countifs(Students!$J:$J,$V56,Students!$K:$K,$V$2&amp;if($K56="S1","a",if($K56="S2","b","")),Students!$A:$A,AQ$2)+countifs(Students!$L:$L,$V56,Students!$M:$M,$V$2&amp;if($K56="S1","a",if($K56="S2","b","")),Students!$A:$A,AQ$2)+countifs(Students!$N:$N,$V56,Students!$O:$O,$V$2&amp;if($K56="S1","a",if($K56="S2","b","")),Students!$A:$A,AQ$2)+countifs(Students!$P:$P,$V56,Students!$Q:$Q,$V$2&amp;if($K56="S1","a",if($K56="S2","b","")),Students!$A:$A,AQ$2)+countifs(Students!$R:$R,$V56,Students!$S:$S,$V$2&amp;if($K56="S1","a",if($K56="S2","b","")),Students!$A:$A,AQ$2)+countifs(Students!$T:$T,$V56,Students!$U:$U,$V$2&amp;if($K56="S1","a",if($K56="S2","b","")),Students!$A:$A,AQ$2)+countifs(Students!$V:$V,$V56,Students!$W:$W,$V$2&amp;if($K56="S1","a",if($K56="S2","b","")),Students!$A:$A,AQ$2)+
countifs(Students!$D:$D,$Y56,Students!$E:$E,$Y$2&amp;if($K56="S1","a",if($K56="S2","b","")),Students!$A:$A,AQ$2)+countifs(Students!$F:$F,$Y56,Students!$G:$G,$Y$2&amp;if($K56="S1","a",if($K56="S2","b","")),Students!$A:$A,AQ$2)+countifs(Students!$H:$H,$Y56,Students!$I:$I,$Y$2&amp;if($K56="S1","a",if($K56="S2","b","")),Students!$A:$A,AQ$2)+countifs(Students!$J:$J,$Y56,Students!$K:$K,$Y$2&amp;if($K56="S1","a",if($K56="S2","b","")),Students!$A:$A,AQ$2)+countifs(Students!$L:$L,$Y56,Students!$M:$M,$Y$2&amp;if($K56="S1","a",if($K56="S2","b","")),Students!$A:$A,AQ$2)+countifs(Students!$N:$N,$Y56,Students!$O:$O,$Y$2&amp;if($K56="S1","a",if($K56="S2","b","")),Students!$A:$A,AQ$2)+countifs(Students!$P:$P,$Y56,Students!$Q:$Q,$Y$2&amp;if($K56="S1","a",if($K56="S2","b","")),Students!$A:$A,AQ$2)+countifs(Students!$R:$R,$Y56,Students!$S:$S,$Y$2&amp;if($K56="S1","a",if($K56="S2","b","")),Students!$A:$A,AQ$2)+countifs(Students!$T:$T,$Y56,Students!$U:$U,$Y$2&amp;if($K56="S1","a",if($K56="S2","b","")),Students!$A:$A,AQ$2)+countifs(Students!$V:$V,$Y56,Students!$W:$W,$Y$2&amp;if($K56="S1","a",if($K56="S2","b","")),Students!$A:$A,AQ$2)+
countifs(Students!$D:$D,$AB56,Students!$E:$E,$AB$2&amp;if($K56="S1","a",if($K56="S2","b","")),Students!$A:$A,AQ$2)+countifs(Students!$F:$F,$AB56,Students!$G:$G,$AB$2&amp;if($K56="S1","a",if($K56="S2","b","")),Students!$A:$A,AQ$2)+countifs(Students!$H:$H,$AB56,Students!$I:$I,$AB$2&amp;if($K56="S1","a",if($K56="S2","b","")),Students!$A:$A,AQ$2)+countifs(Students!$J:$J,$AB56,Students!$K:$K,$AB$2&amp;if($K56="S1","a",if($K56="S2","b","")),Students!$A:$A,AQ$2)+countifs(Students!$L:$L,$AB56,Students!$M:$M,$AB$2&amp;if($K56="S1","a",if($K56="S2","b","")),Students!$A:$A,AQ$2)+countifs(Students!$N:$N,$AB56,Students!$O:$O,$AB$2&amp;if($K56="S1","a",if($K56="S2","b","")),Students!$A:$A,AQ$2)+countifs(Students!$P:$P,$AB56,Students!$Q:$Q,$AB$2&amp;if($K56="S1","a",if($K56="S2","b","")),Students!$A:$A,AQ$2)+countifs(Students!$R:$R,$AB56,Students!$S:$S,$AB$2&amp;if($K56="S1","a",if($K56="S2","b","")),Students!$A:$A,AQ$2)+countifs(Students!$T:$T,$AB56,Students!$U:$U,$AB$2&amp;if($K56="S1","a",if($K56="S2","b","")),Students!$A:$A,AQ$2)+countifs(Students!$V:$V,$AB56,Students!$W:$W,$AB$2&amp;if($K56="S1","a",if($K56="S2","b","")),Students!$A:$A,AQ$2)+
countifs(Students!$D:$D,$AE56,Students!$E:$E,$AE$2&amp;if($K56="S1","a",if($K56="S2","b","")),Students!$A:$A,AQ$2)+countifs(Students!$F:$F,$AE56,Students!$G:$G,$AE$2&amp;if($K56="S1","a",if($K56="S2","b","")),Students!$A:$A,AQ$2)+countifs(Students!$H:$H,$AE56,Students!$I:$I,$AE$2&amp;if($K56="S1","a",if($K56="S2","b","")),Students!$A:$A,AQ$2)+countifs(Students!$J:$J,$AE56,Students!$K:$K,$AE$2&amp;if($K56="S1","a",if($K56="S2","b","")),Students!$A:$A,AQ$2)+countifs(Students!$L:$L,$AE56,Students!$M:$M,$AE$2&amp;if($K56="S1","a",if($K56="S2","b","")),Students!$A:$A,AQ$2)+countifs(Students!$N:$N,$AE56,Students!$O:$O,$AE$2&amp;if($K56="S1","a",if($K56="S2","b","")),Students!$A:$A,AQ$2)+countifs(Students!$P:$P,$AE56,Students!$Q:$Q,$AE$2&amp;if($K56="S1","a",if($K56="S2","b","")),Students!$A:$A,AQ$2)+countifs(Students!$R:$R,$AE56,Students!$S:$S,$AE$2&amp;if($K56="S1","a",if($K56="S2","b","")),Students!$A:$A,AQ$2)+countifs(Students!$T:$T,$AE56,Students!$U:$U,$AE$2&amp;if($K56="S1","a",if($K56="S2","b","")),Students!$A:$A,AQ$2)+countifs(Students!$V:$V,$AE56,Students!$W:$W,$AE$2&amp;if($K56="S1","a",if($K56="S2","b","")),Students!$A:$A,AQ$2)+
countifs(Students!$D:$D,$AH56,Students!$E:$E,$AH$2&amp;if($K56="S1","a",if($K56="S2","b","")),Students!$A:$A,AQ$2)+countifs(Students!$F:$F,$AH56,Students!$G:$G,$AH$2&amp;if($K56="S1","a",if($K56="S2","b","")),Students!$A:$A,AQ$2)+countifs(Students!$H:$H,$AH56,Students!$I:$I,$AH$2&amp;if($K56="S1","a",if($K56="S2","b","")),Students!$A:$A,AQ$2)+countifs(Students!$J:$J,$AH56,Students!$K:$K,$AH$2&amp;if($K56="S1","a",if($K56="S2","b","")),Students!$A:$A,AQ$2)+countifs(Students!$L:$L,$AH56,Students!$M:$M,$AH$2&amp;if($K56="S1","a",if($K56="S2","b","")),Students!$A:$A,AQ$2)+countifs(Students!$N:$N,$AH56,Students!$O:$O,$AH$2&amp;if($K56="S1","a",if($K56="S2","b","")),Students!$A:$A,AQ$2)+countifs(Students!$P:$P,$AH56,Students!$Q:$Q,$AH$2&amp;if($K56="S1","a",if($K56="S2","b","")),Students!$A:$A,AQ$2)+countifs(Students!$R:$R,$AH56,Students!$S:$S,$AH$2&amp;if($K56="S1","a",if($K56="S2","b","")),Students!$A:$A,AQ$2)+countifs(Students!$T:$T,$AH56,Students!$U:$U,$AH$2&amp;if($K56="S1","a",if($K56="S2","b","")),Students!$A:$A,AQ$2)+countifs(Students!$V:$V,$AH56,Students!$W:$W,$AH$2&amp;if($K56="S1","a",if($K56="S2","b","")),Students!$A:$A,AQ$2)+
countifs(Students!$D:$D,$AK56,Students!$E:$E,$AK$2&amp;if($K56="S1","a",if($K56="S2","b","")),Students!$A:$A,AQ$2)+countifs(Students!$F:$F,$AK56,Students!$G:$G,$AK$2&amp;if($K56="S1","a",if($K56="S2","b","")),Students!$A:$A,AQ$2)+countifs(Students!$H:$H,$AK56,Students!$I:$I,$AK$2&amp;if($K56="S1","a",if($K56="S2","b","")),Students!$A:$A,AQ$2)+countifs(Students!$J:$J,$AK56,Students!$K:$K,$AK$2&amp;if($K56="S1","a",if($K56="S2","b","")),Students!$A:$A,AQ$2)+countifs(Students!$L:$L,$AK56,Students!$M:$M,$AK$2&amp;if($K56="S1","a",if($K56="S2","b","")),Students!$A:$A,AQ$2)+countifs(Students!$N:$N,$AK56,Students!$O:$O,$AK$2&amp;if($K56="S1","a",if($K56="S2","b","")),Students!$A:$A,AQ$2)+countifs(Students!$P:$P,$AK56,Students!$Q:$Q,$AK$2&amp;if($K56="S1","a",if($K56="S2","b","")),Students!$A:$A,AQ$2)+countifs(Students!$R:$R,$AK56,Students!$S:$S,$AK$2&amp;if($K56="S1","a",if($K56="S2","b","")),Students!$A:$A,AQ$2)+countifs(Students!$T:$T,$AK56,Students!$U:$U,$AK$2&amp;if($K56="S1","a",if($K56="S2","b","")),Students!$A:$A,AQ$2)+countifs(Students!$V:$V,$AK56,Students!$W:$W,$AK$2&amp;if($K56="S1","a",if($K56="S2","b","")),Students!$A:$A,AQ$2))</f>
        <v/>
      </c>
      <c r="AR56" s="98" t="str">
        <f>if($L56="","",countifs(Students!$D:$D,$P56,Students!$E:$E,$P$2&amp;if($K56="S1","a",if($K56="S2","b","")),Students!$A:$A,AR$2)+countifs(Students!$F:$F,$P56,Students!$G:$G,$P$2&amp;if($K56="S1","a",if($K56="S2","b","")),Students!$A:$A,AR$2)+countifs(Students!$H:$H,$P56,Students!$I:$I,$P$2&amp;if($K56="S1","a",if($K56="S2","b","")),Students!$A:$A,AR$2)+countifs(Students!$J:$J,$P56,Students!$K:$K,$P$2&amp;if($K56="S1","a",if($K56="S2","b","")),Students!$A:$A,AR$2)+countifs(Students!$L:$L,$P56,Students!$M:$M,$P$2&amp;if($K56="S1","a",if($K56="S2","b","")),Students!$A:$A,AR$2)+countifs(Students!$N:$N,$P56,Students!$O:$O,$P$2&amp;if($K56="S1","a",if($K56="S2","b","")),Students!$A:$A,AR$2)+countifs(Students!$P:$P,$P56,Students!$Q:$Q,$P$2&amp;if($K56="S1","a",if($K56="S2","b","")),Students!$A:$A,AR$2)+countifs(Students!$R:$R,$P56,Students!$S:$S,$P$2&amp;if($K56="S1","a",if($K56="S2","b","")),Students!$A:$A,AR$2)+countifs(Students!$T:$T,$P56,Students!$U:$U,$P$2&amp;if($K56="S1","a",if($K56="S2","b","")),Students!$A:$A,AR$2)+countifs(Students!$V:$V,$P56,Students!$W:$W,$P$2&amp;if($K56="S1","a",if($K56="S2","b","")),Students!$A:$A,AR$2)+
countifs(Students!$D:$D,$S56,Students!$E:$E,$S$2&amp;if($K56="S1","a",if($K56="S2","b","")),Students!$A:$A,AR$2)+countifs(Students!$F:$F,$S56,Students!$G:$G,$S$2&amp;if($K56="S1","a",if($K56="S2","b","")),Students!$A:$A,AR$2)+countifs(Students!$H:$H,$S56,Students!$I:$I,$S$2&amp;if($K56="S1","a",if($K56="S2","b","")),Students!$A:$A,AR$2)+countifs(Students!$J:$J,$S56,Students!$K:$K,$S$2&amp;if($K56="S1","a",if($K56="S2","b","")),Students!$A:$A,AR$2)+countifs(Students!$L:$L,$S56,Students!$M:$M,$S$2&amp;if($K56="S1","a",if($K56="S2","b","")),Students!$A:$A,AR$2)+countifs(Students!$N:$N,$S56,Students!$O:$O,$S$2&amp;if($K56="S1","a",if($K56="S2","b","")),Students!$A:$A,AR$2)+countifs(Students!$P:$P,$S56,Students!$Q:$Q,$S$2&amp;if($K56="S1","a",if($K56="S2","b","")),Students!$A:$A,AR$2)+countifs(Students!$R:$R,$S56,Students!$S:$S,$S$2&amp;if($K56="S1","a",if($K56="S2","b","")),Students!$A:$A,AR$2)+countifs(Students!$T:$T,$S56,Students!$U:$U,$S$2&amp;if($K56="S1","a",if($K56="S2","b","")),Students!$A:$A,AR$2)+countifs(Students!$V:$V,$S56,Students!$W:$W,$S$2&amp;if($K56="S1","a",if($K56="S2","b","")),Students!$A:$A,AR$2)+
countifs(Students!$D:$D,$V56,Students!$E:$E,$V$2&amp;if($K56="S1","a",if($K56="S2","b","")),Students!$A:$A,AR$2)+countifs(Students!$F:$F,$V56,Students!$G:$G,$V$2&amp;if($K56="S1","a",if($K56="S2","b","")),Students!$A:$A,AR$2)+countifs(Students!$H:$H,$V56,Students!$I:$I,$V$2&amp;if($K56="S1","a",if($K56="S2","b","")),Students!$A:$A,AR$2)+countifs(Students!$J:$J,$V56,Students!$K:$K,$V$2&amp;if($K56="S1","a",if($K56="S2","b","")),Students!$A:$A,AR$2)+countifs(Students!$L:$L,$V56,Students!$M:$M,$V$2&amp;if($K56="S1","a",if($K56="S2","b","")),Students!$A:$A,AR$2)+countifs(Students!$N:$N,$V56,Students!$O:$O,$V$2&amp;if($K56="S1","a",if($K56="S2","b","")),Students!$A:$A,AR$2)+countifs(Students!$P:$P,$V56,Students!$Q:$Q,$V$2&amp;if($K56="S1","a",if($K56="S2","b","")),Students!$A:$A,AR$2)+countifs(Students!$R:$R,$V56,Students!$S:$S,$V$2&amp;if($K56="S1","a",if($K56="S2","b","")),Students!$A:$A,AR$2)+countifs(Students!$T:$T,$V56,Students!$U:$U,$V$2&amp;if($K56="S1","a",if($K56="S2","b","")),Students!$A:$A,AR$2)+countifs(Students!$V:$V,$V56,Students!$W:$W,$V$2&amp;if($K56="S1","a",if($K56="S2","b","")),Students!$A:$A,AR$2)+
countifs(Students!$D:$D,$Y56,Students!$E:$E,$Y$2&amp;if($K56="S1","a",if($K56="S2","b","")),Students!$A:$A,AR$2)+countifs(Students!$F:$F,$Y56,Students!$G:$G,$Y$2&amp;if($K56="S1","a",if($K56="S2","b","")),Students!$A:$A,AR$2)+countifs(Students!$H:$H,$Y56,Students!$I:$I,$Y$2&amp;if($K56="S1","a",if($K56="S2","b","")),Students!$A:$A,AR$2)+countifs(Students!$J:$J,$Y56,Students!$K:$K,$Y$2&amp;if($K56="S1","a",if($K56="S2","b","")),Students!$A:$A,AR$2)+countifs(Students!$L:$L,$Y56,Students!$M:$M,$Y$2&amp;if($K56="S1","a",if($K56="S2","b","")),Students!$A:$A,AR$2)+countifs(Students!$N:$N,$Y56,Students!$O:$O,$Y$2&amp;if($K56="S1","a",if($K56="S2","b","")),Students!$A:$A,AR$2)+countifs(Students!$P:$P,$Y56,Students!$Q:$Q,$Y$2&amp;if($K56="S1","a",if($K56="S2","b","")),Students!$A:$A,AR$2)+countifs(Students!$R:$R,$Y56,Students!$S:$S,$Y$2&amp;if($K56="S1","a",if($K56="S2","b","")),Students!$A:$A,AR$2)+countifs(Students!$T:$T,$Y56,Students!$U:$U,$Y$2&amp;if($K56="S1","a",if($K56="S2","b","")),Students!$A:$A,AR$2)+countifs(Students!$V:$V,$Y56,Students!$W:$W,$Y$2&amp;if($K56="S1","a",if($K56="S2","b","")),Students!$A:$A,AR$2)+
countifs(Students!$D:$D,$AB56,Students!$E:$E,$AB$2&amp;if($K56="S1","a",if($K56="S2","b","")),Students!$A:$A,AR$2)+countifs(Students!$F:$F,$AB56,Students!$G:$G,$AB$2&amp;if($K56="S1","a",if($K56="S2","b","")),Students!$A:$A,AR$2)+countifs(Students!$H:$H,$AB56,Students!$I:$I,$AB$2&amp;if($K56="S1","a",if($K56="S2","b","")),Students!$A:$A,AR$2)+countifs(Students!$J:$J,$AB56,Students!$K:$K,$AB$2&amp;if($K56="S1","a",if($K56="S2","b","")),Students!$A:$A,AR$2)+countifs(Students!$L:$L,$AB56,Students!$M:$M,$AB$2&amp;if($K56="S1","a",if($K56="S2","b","")),Students!$A:$A,AR$2)+countifs(Students!$N:$N,$AB56,Students!$O:$O,$AB$2&amp;if($K56="S1","a",if($K56="S2","b","")),Students!$A:$A,AR$2)+countifs(Students!$P:$P,$AB56,Students!$Q:$Q,$AB$2&amp;if($K56="S1","a",if($K56="S2","b","")),Students!$A:$A,AR$2)+countifs(Students!$R:$R,$AB56,Students!$S:$S,$AB$2&amp;if($K56="S1","a",if($K56="S2","b","")),Students!$A:$A,AR$2)+countifs(Students!$T:$T,$AB56,Students!$U:$U,$AB$2&amp;if($K56="S1","a",if($K56="S2","b","")),Students!$A:$A,AR$2)+countifs(Students!$V:$V,$AB56,Students!$W:$W,$AB$2&amp;if($K56="S1","a",if($K56="S2","b","")),Students!$A:$A,AR$2)+
countifs(Students!$D:$D,$AE56,Students!$E:$E,$AE$2&amp;if($K56="S1","a",if($K56="S2","b","")),Students!$A:$A,AR$2)+countifs(Students!$F:$F,$AE56,Students!$G:$G,$AE$2&amp;if($K56="S1","a",if($K56="S2","b","")),Students!$A:$A,AR$2)+countifs(Students!$H:$H,$AE56,Students!$I:$I,$AE$2&amp;if($K56="S1","a",if($K56="S2","b","")),Students!$A:$A,AR$2)+countifs(Students!$J:$J,$AE56,Students!$K:$K,$AE$2&amp;if($K56="S1","a",if($K56="S2","b","")),Students!$A:$A,AR$2)+countifs(Students!$L:$L,$AE56,Students!$M:$M,$AE$2&amp;if($K56="S1","a",if($K56="S2","b","")),Students!$A:$A,AR$2)+countifs(Students!$N:$N,$AE56,Students!$O:$O,$AE$2&amp;if($K56="S1","a",if($K56="S2","b","")),Students!$A:$A,AR$2)+countifs(Students!$P:$P,$AE56,Students!$Q:$Q,$AE$2&amp;if($K56="S1","a",if($K56="S2","b","")),Students!$A:$A,AR$2)+countifs(Students!$R:$R,$AE56,Students!$S:$S,$AE$2&amp;if($K56="S1","a",if($K56="S2","b","")),Students!$A:$A,AR$2)+countifs(Students!$T:$T,$AE56,Students!$U:$U,$AE$2&amp;if($K56="S1","a",if($K56="S2","b","")),Students!$A:$A,AR$2)+countifs(Students!$V:$V,$AE56,Students!$W:$W,$AE$2&amp;if($K56="S1","a",if($K56="S2","b","")),Students!$A:$A,AR$2)+
countifs(Students!$D:$D,$AH56,Students!$E:$E,$AH$2&amp;if($K56="S1","a",if($K56="S2","b","")),Students!$A:$A,AR$2)+countifs(Students!$F:$F,$AH56,Students!$G:$G,$AH$2&amp;if($K56="S1","a",if($K56="S2","b","")),Students!$A:$A,AR$2)+countifs(Students!$H:$H,$AH56,Students!$I:$I,$AH$2&amp;if($K56="S1","a",if($K56="S2","b","")),Students!$A:$A,AR$2)+countifs(Students!$J:$J,$AH56,Students!$K:$K,$AH$2&amp;if($K56="S1","a",if($K56="S2","b","")),Students!$A:$A,AR$2)+countifs(Students!$L:$L,$AH56,Students!$M:$M,$AH$2&amp;if($K56="S1","a",if($K56="S2","b","")),Students!$A:$A,AR$2)+countifs(Students!$N:$N,$AH56,Students!$O:$O,$AH$2&amp;if($K56="S1","a",if($K56="S2","b","")),Students!$A:$A,AR$2)+countifs(Students!$P:$P,$AH56,Students!$Q:$Q,$AH$2&amp;if($K56="S1","a",if($K56="S2","b","")),Students!$A:$A,AR$2)+countifs(Students!$R:$R,$AH56,Students!$S:$S,$AH$2&amp;if($K56="S1","a",if($K56="S2","b","")),Students!$A:$A,AR$2)+countifs(Students!$T:$T,$AH56,Students!$U:$U,$AH$2&amp;if($K56="S1","a",if($K56="S2","b","")),Students!$A:$A,AR$2)+countifs(Students!$V:$V,$AH56,Students!$W:$W,$AH$2&amp;if($K56="S1","a",if($K56="S2","b","")),Students!$A:$A,AR$2)+
countifs(Students!$D:$D,$AK56,Students!$E:$E,$AK$2&amp;if($K56="S1","a",if($K56="S2","b","")),Students!$A:$A,AR$2)+countifs(Students!$F:$F,$AK56,Students!$G:$G,$AK$2&amp;if($K56="S1","a",if($K56="S2","b","")),Students!$A:$A,AR$2)+countifs(Students!$H:$H,$AK56,Students!$I:$I,$AK$2&amp;if($K56="S1","a",if($K56="S2","b","")),Students!$A:$A,AR$2)+countifs(Students!$J:$J,$AK56,Students!$K:$K,$AK$2&amp;if($K56="S1","a",if($K56="S2","b","")),Students!$A:$A,AR$2)+countifs(Students!$L:$L,$AK56,Students!$M:$M,$AK$2&amp;if($K56="S1","a",if($K56="S2","b","")),Students!$A:$A,AR$2)+countifs(Students!$N:$N,$AK56,Students!$O:$O,$AK$2&amp;if($K56="S1","a",if($K56="S2","b","")),Students!$A:$A,AR$2)+countifs(Students!$P:$P,$AK56,Students!$Q:$Q,$AK$2&amp;if($K56="S1","a",if($K56="S2","b","")),Students!$A:$A,AR$2)+countifs(Students!$R:$R,$AK56,Students!$S:$S,$AK$2&amp;if($K56="S1","a",if($K56="S2","b","")),Students!$A:$A,AR$2)+countifs(Students!$T:$T,$AK56,Students!$U:$U,$AK$2&amp;if($K56="S1","a",if($K56="S2","b","")),Students!$A:$A,AR$2)+countifs(Students!$V:$V,$AK56,Students!$W:$W,$AK$2&amp;if($K56="S1","a",if($K56="S2","b","")),Students!$A:$A,AR$2))</f>
        <v/>
      </c>
      <c r="AS56" s="98" t="str">
        <f>if($L56="","",countifs(Students!$D:$D,$P56,Students!$E:$E,$P$2&amp;if($K56="S1","a",if($K56="S2","b","")),Students!$A:$A,AS$2)+countifs(Students!$F:$F,$P56,Students!$G:$G,$P$2&amp;if($K56="S1","a",if($K56="S2","b","")),Students!$A:$A,AS$2)+countifs(Students!$H:$H,$P56,Students!$I:$I,$P$2&amp;if($K56="S1","a",if($K56="S2","b","")),Students!$A:$A,AS$2)+countifs(Students!$J:$J,$P56,Students!$K:$K,$P$2&amp;if($K56="S1","a",if($K56="S2","b","")),Students!$A:$A,AS$2)+countifs(Students!$L:$L,$P56,Students!$M:$M,$P$2&amp;if($K56="S1","a",if($K56="S2","b","")),Students!$A:$A,AS$2)+countifs(Students!$N:$N,$P56,Students!$O:$O,$P$2&amp;if($K56="S1","a",if($K56="S2","b","")),Students!$A:$A,AS$2)+countifs(Students!$P:$P,$P56,Students!$Q:$Q,$P$2&amp;if($K56="S1","a",if($K56="S2","b","")),Students!$A:$A,AS$2)+countifs(Students!$R:$R,$P56,Students!$S:$S,$P$2&amp;if($K56="S1","a",if($K56="S2","b","")),Students!$A:$A,AS$2)+countifs(Students!$T:$T,$P56,Students!$U:$U,$P$2&amp;if($K56="S1","a",if($K56="S2","b","")),Students!$A:$A,AS$2)+countifs(Students!$V:$V,$P56,Students!$W:$W,$P$2&amp;if($K56="S1","a",if($K56="S2","b","")),Students!$A:$A,AS$2)+
countifs(Students!$D:$D,$S56,Students!$E:$E,$S$2&amp;if($K56="S1","a",if($K56="S2","b","")),Students!$A:$A,AS$2)+countifs(Students!$F:$F,$S56,Students!$G:$G,$S$2&amp;if($K56="S1","a",if($K56="S2","b","")),Students!$A:$A,AS$2)+countifs(Students!$H:$H,$S56,Students!$I:$I,$S$2&amp;if($K56="S1","a",if($K56="S2","b","")),Students!$A:$A,AS$2)+countifs(Students!$J:$J,$S56,Students!$K:$K,$S$2&amp;if($K56="S1","a",if($K56="S2","b","")),Students!$A:$A,AS$2)+countifs(Students!$L:$L,$S56,Students!$M:$M,$S$2&amp;if($K56="S1","a",if($K56="S2","b","")),Students!$A:$A,AS$2)+countifs(Students!$N:$N,$S56,Students!$O:$O,$S$2&amp;if($K56="S1","a",if($K56="S2","b","")),Students!$A:$A,AS$2)+countifs(Students!$P:$P,$S56,Students!$Q:$Q,$S$2&amp;if($K56="S1","a",if($K56="S2","b","")),Students!$A:$A,AS$2)+countifs(Students!$R:$R,$S56,Students!$S:$S,$S$2&amp;if($K56="S1","a",if($K56="S2","b","")),Students!$A:$A,AS$2)+countifs(Students!$T:$T,$S56,Students!$U:$U,$S$2&amp;if($K56="S1","a",if($K56="S2","b","")),Students!$A:$A,AS$2)+countifs(Students!$V:$V,$S56,Students!$W:$W,$S$2&amp;if($K56="S1","a",if($K56="S2","b","")),Students!$A:$A,AS$2)+
countifs(Students!$D:$D,$V56,Students!$E:$E,$V$2&amp;if($K56="S1","a",if($K56="S2","b","")),Students!$A:$A,AS$2)+countifs(Students!$F:$F,$V56,Students!$G:$G,$V$2&amp;if($K56="S1","a",if($K56="S2","b","")),Students!$A:$A,AS$2)+countifs(Students!$H:$H,$V56,Students!$I:$I,$V$2&amp;if($K56="S1","a",if($K56="S2","b","")),Students!$A:$A,AS$2)+countifs(Students!$J:$J,$V56,Students!$K:$K,$V$2&amp;if($K56="S1","a",if($K56="S2","b","")),Students!$A:$A,AS$2)+countifs(Students!$L:$L,$V56,Students!$M:$M,$V$2&amp;if($K56="S1","a",if($K56="S2","b","")),Students!$A:$A,AS$2)+countifs(Students!$N:$N,$V56,Students!$O:$O,$V$2&amp;if($K56="S1","a",if($K56="S2","b","")),Students!$A:$A,AS$2)+countifs(Students!$P:$P,$V56,Students!$Q:$Q,$V$2&amp;if($K56="S1","a",if($K56="S2","b","")),Students!$A:$A,AS$2)+countifs(Students!$R:$R,$V56,Students!$S:$S,$V$2&amp;if($K56="S1","a",if($K56="S2","b","")),Students!$A:$A,AS$2)+countifs(Students!$T:$T,$V56,Students!$U:$U,$V$2&amp;if($K56="S1","a",if($K56="S2","b","")),Students!$A:$A,AS$2)+countifs(Students!$V:$V,$V56,Students!$W:$W,$V$2&amp;if($K56="S1","a",if($K56="S2","b","")),Students!$A:$A,AS$2)+
countifs(Students!$D:$D,$Y56,Students!$E:$E,$Y$2&amp;if($K56="S1","a",if($K56="S2","b","")),Students!$A:$A,AS$2)+countifs(Students!$F:$F,$Y56,Students!$G:$G,$Y$2&amp;if($K56="S1","a",if($K56="S2","b","")),Students!$A:$A,AS$2)+countifs(Students!$H:$H,$Y56,Students!$I:$I,$Y$2&amp;if($K56="S1","a",if($K56="S2","b","")),Students!$A:$A,AS$2)+countifs(Students!$J:$J,$Y56,Students!$K:$K,$Y$2&amp;if($K56="S1","a",if($K56="S2","b","")),Students!$A:$A,AS$2)+countifs(Students!$L:$L,$Y56,Students!$M:$M,$Y$2&amp;if($K56="S1","a",if($K56="S2","b","")),Students!$A:$A,AS$2)+countifs(Students!$N:$N,$Y56,Students!$O:$O,$Y$2&amp;if($K56="S1","a",if($K56="S2","b","")),Students!$A:$A,AS$2)+countifs(Students!$P:$P,$Y56,Students!$Q:$Q,$Y$2&amp;if($K56="S1","a",if($K56="S2","b","")),Students!$A:$A,AS$2)+countifs(Students!$R:$R,$Y56,Students!$S:$S,$Y$2&amp;if($K56="S1","a",if($K56="S2","b","")),Students!$A:$A,AS$2)+countifs(Students!$T:$T,$Y56,Students!$U:$U,$Y$2&amp;if($K56="S1","a",if($K56="S2","b","")),Students!$A:$A,AS$2)+countifs(Students!$V:$V,$Y56,Students!$W:$W,$Y$2&amp;if($K56="S1","a",if($K56="S2","b","")),Students!$A:$A,AS$2)+
countifs(Students!$D:$D,$AB56,Students!$E:$E,$AB$2&amp;if($K56="S1","a",if($K56="S2","b","")),Students!$A:$A,AS$2)+countifs(Students!$F:$F,$AB56,Students!$G:$G,$AB$2&amp;if($K56="S1","a",if($K56="S2","b","")),Students!$A:$A,AS$2)+countifs(Students!$H:$H,$AB56,Students!$I:$I,$AB$2&amp;if($K56="S1","a",if($K56="S2","b","")),Students!$A:$A,AS$2)+countifs(Students!$J:$J,$AB56,Students!$K:$K,$AB$2&amp;if($K56="S1","a",if($K56="S2","b","")),Students!$A:$A,AS$2)+countifs(Students!$L:$L,$AB56,Students!$M:$M,$AB$2&amp;if($K56="S1","a",if($K56="S2","b","")),Students!$A:$A,AS$2)+countifs(Students!$N:$N,$AB56,Students!$O:$O,$AB$2&amp;if($K56="S1","a",if($K56="S2","b","")),Students!$A:$A,AS$2)+countifs(Students!$P:$P,$AB56,Students!$Q:$Q,$AB$2&amp;if($K56="S1","a",if($K56="S2","b","")),Students!$A:$A,AS$2)+countifs(Students!$R:$R,$AB56,Students!$S:$S,$AB$2&amp;if($K56="S1","a",if($K56="S2","b","")),Students!$A:$A,AS$2)+countifs(Students!$T:$T,$AB56,Students!$U:$U,$AB$2&amp;if($K56="S1","a",if($K56="S2","b","")),Students!$A:$A,AS$2)+countifs(Students!$V:$V,$AB56,Students!$W:$W,$AB$2&amp;if($K56="S1","a",if($K56="S2","b","")),Students!$A:$A,AS$2)+
countifs(Students!$D:$D,$AE56,Students!$E:$E,$AE$2&amp;if($K56="S1","a",if($K56="S2","b","")),Students!$A:$A,AS$2)+countifs(Students!$F:$F,$AE56,Students!$G:$G,$AE$2&amp;if($K56="S1","a",if($K56="S2","b","")),Students!$A:$A,AS$2)+countifs(Students!$H:$H,$AE56,Students!$I:$I,$AE$2&amp;if($K56="S1","a",if($K56="S2","b","")),Students!$A:$A,AS$2)+countifs(Students!$J:$J,$AE56,Students!$K:$K,$AE$2&amp;if($K56="S1","a",if($K56="S2","b","")),Students!$A:$A,AS$2)+countifs(Students!$L:$L,$AE56,Students!$M:$M,$AE$2&amp;if($K56="S1","a",if($K56="S2","b","")),Students!$A:$A,AS$2)+countifs(Students!$N:$N,$AE56,Students!$O:$O,$AE$2&amp;if($K56="S1","a",if($K56="S2","b","")),Students!$A:$A,AS$2)+countifs(Students!$P:$P,$AE56,Students!$Q:$Q,$AE$2&amp;if($K56="S1","a",if($K56="S2","b","")),Students!$A:$A,AS$2)+countifs(Students!$R:$R,$AE56,Students!$S:$S,$AE$2&amp;if($K56="S1","a",if($K56="S2","b","")),Students!$A:$A,AS$2)+countifs(Students!$T:$T,$AE56,Students!$U:$U,$AE$2&amp;if($K56="S1","a",if($K56="S2","b","")),Students!$A:$A,AS$2)+countifs(Students!$V:$V,$AE56,Students!$W:$W,$AE$2&amp;if($K56="S1","a",if($K56="S2","b","")),Students!$A:$A,AS$2)+
countifs(Students!$D:$D,$AH56,Students!$E:$E,$AH$2&amp;if($K56="S1","a",if($K56="S2","b","")),Students!$A:$A,AS$2)+countifs(Students!$F:$F,$AH56,Students!$G:$G,$AH$2&amp;if($K56="S1","a",if($K56="S2","b","")),Students!$A:$A,AS$2)+countifs(Students!$H:$H,$AH56,Students!$I:$I,$AH$2&amp;if($K56="S1","a",if($K56="S2","b","")),Students!$A:$A,AS$2)+countifs(Students!$J:$J,$AH56,Students!$K:$K,$AH$2&amp;if($K56="S1","a",if($K56="S2","b","")),Students!$A:$A,AS$2)+countifs(Students!$L:$L,$AH56,Students!$M:$M,$AH$2&amp;if($K56="S1","a",if($K56="S2","b","")),Students!$A:$A,AS$2)+countifs(Students!$N:$N,$AH56,Students!$O:$O,$AH$2&amp;if($K56="S1","a",if($K56="S2","b","")),Students!$A:$A,AS$2)+countifs(Students!$P:$P,$AH56,Students!$Q:$Q,$AH$2&amp;if($K56="S1","a",if($K56="S2","b","")),Students!$A:$A,AS$2)+countifs(Students!$R:$R,$AH56,Students!$S:$S,$AH$2&amp;if($K56="S1","a",if($K56="S2","b","")),Students!$A:$A,AS$2)+countifs(Students!$T:$T,$AH56,Students!$U:$U,$AH$2&amp;if($K56="S1","a",if($K56="S2","b","")),Students!$A:$A,AS$2)+countifs(Students!$V:$V,$AH56,Students!$W:$W,$AH$2&amp;if($K56="S1","a",if($K56="S2","b","")),Students!$A:$A,AS$2)+
countifs(Students!$D:$D,$AK56,Students!$E:$E,$AK$2&amp;if($K56="S1","a",if($K56="S2","b","")),Students!$A:$A,AS$2)+countifs(Students!$F:$F,$AK56,Students!$G:$G,$AK$2&amp;if($K56="S1","a",if($K56="S2","b","")),Students!$A:$A,AS$2)+countifs(Students!$H:$H,$AK56,Students!$I:$I,$AK$2&amp;if($K56="S1","a",if($K56="S2","b","")),Students!$A:$A,AS$2)+countifs(Students!$J:$J,$AK56,Students!$K:$K,$AK$2&amp;if($K56="S1","a",if($K56="S2","b","")),Students!$A:$A,AS$2)+countifs(Students!$L:$L,$AK56,Students!$M:$M,$AK$2&amp;if($K56="S1","a",if($K56="S2","b","")),Students!$A:$A,AS$2)+countifs(Students!$N:$N,$AK56,Students!$O:$O,$AK$2&amp;if($K56="S1","a",if($K56="S2","b","")),Students!$A:$A,AS$2)+countifs(Students!$P:$P,$AK56,Students!$Q:$Q,$AK$2&amp;if($K56="S1","a",if($K56="S2","b","")),Students!$A:$A,AS$2)+countifs(Students!$R:$R,$AK56,Students!$S:$S,$AK$2&amp;if($K56="S1","a",if($K56="S2","b","")),Students!$A:$A,AS$2)+countifs(Students!$T:$T,$AK56,Students!$U:$U,$AK$2&amp;if($K56="S1","a",if($K56="S2","b","")),Students!$A:$A,AS$2)+countifs(Students!$V:$V,$AK56,Students!$W:$W,$AK$2&amp;if($K56="S1","a",if($K56="S2","b","")),Students!$A:$A,AS$2))</f>
        <v/>
      </c>
    </row>
    <row r="57">
      <c r="J57" s="87" t="s">
        <v>22</v>
      </c>
      <c r="K57" s="88"/>
      <c r="L57" s="135"/>
      <c r="M57" s="106"/>
      <c r="N57" s="87" t="s">
        <v>22</v>
      </c>
      <c r="O57" s="87">
        <f>IFERROR(__xludf.DUMMYFUNCTION("3*counta((transpose(filter(P57:AM57,P57:AM57&lt;&gt;"""",isnumber(P57:AM57)=false))))"),3.0)</f>
        <v>3</v>
      </c>
      <c r="P57" s="117"/>
      <c r="Q57" s="117"/>
      <c r="R57" s="98" t="s">
        <v>22</v>
      </c>
      <c r="S57" s="117"/>
      <c r="T57" s="89"/>
      <c r="U57" s="98" t="s">
        <v>22</v>
      </c>
      <c r="V57" s="117"/>
      <c r="W57" s="117"/>
      <c r="X57" s="98" t="s">
        <v>22</v>
      </c>
      <c r="Y57" s="117"/>
      <c r="Z57" s="117"/>
      <c r="AA57" s="98" t="s">
        <v>22</v>
      </c>
      <c r="AB57" s="117"/>
      <c r="AC57" s="89"/>
      <c r="AD57" s="98" t="s">
        <v>22</v>
      </c>
      <c r="AE57" s="117"/>
      <c r="AF57" s="117"/>
      <c r="AG57" s="98" t="s">
        <v>22</v>
      </c>
      <c r="AH57" s="117"/>
      <c r="AI57" s="98"/>
      <c r="AJ57" s="98" t="s">
        <v>22</v>
      </c>
      <c r="AK57" s="117"/>
      <c r="AL57" s="98"/>
      <c r="AM57" s="98" t="s">
        <v>22</v>
      </c>
      <c r="AN57" s="99"/>
      <c r="AO57" s="52" t="str">
        <f t="shared" si="2"/>
        <v/>
      </c>
      <c r="AP57" s="98" t="str">
        <f>if($L57="","",countifs(Students!$D:$D,$P57,Students!$E:$E,$P$2&amp;if($K57="S1","a",if($K57="S2","b","")),Students!$A:$A,AP$2)+countifs(Students!$F:$F,$P57,Students!$G:$G,$P$2&amp;if($K57="S1","a",if($K57="S2","b","")),Students!$A:$A,AP$2)+countifs(Students!$H:$H,$P57,Students!$I:$I,$P$2&amp;if($K57="S1","a",if($K57="S2","b","")),Students!$A:$A,AP$2)+countifs(Students!$J:$J,$P57,Students!$K:$K,$P$2&amp;if($K57="S1","a",if($K57="S2","b","")),Students!$A:$A,AP$2)+countifs(Students!$L:$L,$P57,Students!$M:$M,$P$2&amp;if($K57="S1","a",if($K57="S2","b","")),Students!$A:$A,AP$2)+countifs(Students!$N:$N,$P57,Students!$O:$O,$P$2&amp;if($K57="S1","a",if($K57="S2","b","")),Students!$A:$A,AP$2)+countifs(Students!$P:$P,$P57,Students!$Q:$Q,$P$2&amp;if($K57="S1","a",if($K57="S2","b","")),Students!$A:$A,AP$2)+countifs(Students!$R:$R,$P57,Students!$S:$S,$P$2&amp;if($K57="S1","a",if($K57="S2","b","")),Students!$A:$A,AP$2)+countifs(Students!$T:$T,$P57,Students!$U:$U,$P$2&amp;if($K57="S1","a",if($K57="S2","b","")),Students!$A:$A,AP$2)+countifs(Students!$V:$V,$P57,Students!$W:$W,$P$2&amp;if($K57="S1","a",if($K57="S2","b","")),Students!$A:$A,AP$2)+
countifs(Students!$D:$D,$S57,Students!$E:$E,$S$2&amp;if($K57="S1","a",if($K57="S2","b","")),Students!$A:$A,AP$2)+countifs(Students!$F:$F,$S57,Students!$G:$G,$S$2&amp;if($K57="S1","a",if($K57="S2","b","")),Students!$A:$A,AP$2)+countifs(Students!$H:$H,$S57,Students!$I:$I,$S$2&amp;if($K57="S1","a",if($K57="S2","b","")),Students!$A:$A,AP$2)+countifs(Students!$J:$J,$S57,Students!$K:$K,$S$2&amp;if($K57="S1","a",if($K57="S2","b","")),Students!$A:$A,AP$2)+countifs(Students!$L:$L,$S57,Students!$M:$M,$S$2&amp;if($K57="S1","a",if($K57="S2","b","")),Students!$A:$A,AP$2)+countifs(Students!$N:$N,$S57,Students!$O:$O,$S$2&amp;if($K57="S1","a",if($K57="S2","b","")),Students!$A:$A,AP$2)+countifs(Students!$P:$P,$S57,Students!$Q:$Q,$S$2&amp;if($K57="S1","a",if($K57="S2","b","")),Students!$A:$A,AP$2)+countifs(Students!$R:$R,$S57,Students!$S:$S,$S$2&amp;if($K57="S1","a",if($K57="S2","b","")),Students!$A:$A,AP$2)+countifs(Students!$T:$T,$S57,Students!$U:$U,$S$2&amp;if($K57="S1","a",if($K57="S2","b","")),Students!$A:$A,AP$2)+countifs(Students!$V:$V,$S57,Students!$W:$W,$S$2&amp;if($K57="S1","a",if($K57="S2","b","")),Students!$A:$A,AP$2)+
countifs(Students!$D:$D,$V57,Students!$E:$E,$V$2&amp;if($K57="S1","a",if($K57="S2","b","")),Students!$A:$A,AP$2)+countifs(Students!$F:$F,$V57,Students!$G:$G,$V$2&amp;if($K57="S1","a",if($K57="S2","b","")),Students!$A:$A,AP$2)+countifs(Students!$H:$H,$V57,Students!$I:$I,$V$2&amp;if($K57="S1","a",if($K57="S2","b","")),Students!$A:$A,AP$2)+countifs(Students!$J:$J,$V57,Students!$K:$K,$V$2&amp;if($K57="S1","a",if($K57="S2","b","")),Students!$A:$A,AP$2)+countifs(Students!$L:$L,$V57,Students!$M:$M,$V$2&amp;if($K57="S1","a",if($K57="S2","b","")),Students!$A:$A,AP$2)+countifs(Students!$N:$N,$V57,Students!$O:$O,$V$2&amp;if($K57="S1","a",if($K57="S2","b","")),Students!$A:$A,AP$2)+countifs(Students!$P:$P,$V57,Students!$Q:$Q,$V$2&amp;if($K57="S1","a",if($K57="S2","b","")),Students!$A:$A,AP$2)+countifs(Students!$R:$R,$V57,Students!$S:$S,$V$2&amp;if($K57="S1","a",if($K57="S2","b","")),Students!$A:$A,AP$2)+countifs(Students!$T:$T,$V57,Students!$U:$U,$V$2&amp;if($K57="S1","a",if($K57="S2","b","")),Students!$A:$A,AP$2)+countifs(Students!$V:$V,$V57,Students!$W:$W,$V$2&amp;if($K57="S1","a",if($K57="S2","b","")),Students!$A:$A,AP$2)+
countifs(Students!$D:$D,$Y57,Students!$E:$E,$Y$2&amp;if($K57="S1","a",if($K57="S2","b","")),Students!$A:$A,AP$2)+countifs(Students!$F:$F,$Y57,Students!$G:$G,$Y$2&amp;if($K57="S1","a",if($K57="S2","b","")),Students!$A:$A,AP$2)+countifs(Students!$H:$H,$Y57,Students!$I:$I,$Y$2&amp;if($K57="S1","a",if($K57="S2","b","")),Students!$A:$A,AP$2)+countifs(Students!$J:$J,$Y57,Students!$K:$K,$Y$2&amp;if($K57="S1","a",if($K57="S2","b","")),Students!$A:$A,AP$2)+countifs(Students!$L:$L,$Y57,Students!$M:$M,$Y$2&amp;if($K57="S1","a",if($K57="S2","b","")),Students!$A:$A,AP$2)+countifs(Students!$N:$N,$Y57,Students!$O:$O,$Y$2&amp;if($K57="S1","a",if($K57="S2","b","")),Students!$A:$A,AP$2)+countifs(Students!$P:$P,$Y57,Students!$Q:$Q,$Y$2&amp;if($K57="S1","a",if($K57="S2","b","")),Students!$A:$A,AP$2)+countifs(Students!$R:$R,$Y57,Students!$S:$S,$Y$2&amp;if($K57="S1","a",if($K57="S2","b","")),Students!$A:$A,AP$2)+countifs(Students!$T:$T,$Y57,Students!$U:$U,$Y$2&amp;if($K57="S1","a",if($K57="S2","b","")),Students!$A:$A,AP$2)+countifs(Students!$V:$V,$Y57,Students!$W:$W,$Y$2&amp;if($K57="S1","a",if($K57="S2","b","")),Students!$A:$A,AP$2)+
countifs(Students!$D:$D,$AB57,Students!$E:$E,$AB$2&amp;if($K57="S1","a",if($K57="S2","b","")),Students!$A:$A,AP$2)+countifs(Students!$F:$F,$AB57,Students!$G:$G,$AB$2&amp;if($K57="S1","a",if($K57="S2","b","")),Students!$A:$A,AP$2)+countifs(Students!$H:$H,$AB57,Students!$I:$I,$AB$2&amp;if($K57="S1","a",if($K57="S2","b","")),Students!$A:$A,AP$2)+countifs(Students!$J:$J,$AB57,Students!$K:$K,$AB$2&amp;if($K57="S1","a",if($K57="S2","b","")),Students!$A:$A,AP$2)+countifs(Students!$L:$L,$AB57,Students!$M:$M,$AB$2&amp;if($K57="S1","a",if($K57="S2","b","")),Students!$A:$A,AP$2)+countifs(Students!$N:$N,$AB57,Students!$O:$O,$AB$2&amp;if($K57="S1","a",if($K57="S2","b","")),Students!$A:$A,AP$2)+countifs(Students!$P:$P,$AB57,Students!$Q:$Q,$AB$2&amp;if($K57="S1","a",if($K57="S2","b","")),Students!$A:$A,AP$2)+countifs(Students!$R:$R,$AB57,Students!$S:$S,$AB$2&amp;if($K57="S1","a",if($K57="S2","b","")),Students!$A:$A,AP$2)+countifs(Students!$T:$T,$AB57,Students!$U:$U,$AB$2&amp;if($K57="S1","a",if($K57="S2","b","")),Students!$A:$A,AP$2)+countifs(Students!$V:$V,$AB57,Students!$W:$W,$AB$2&amp;if($K57="S1","a",if($K57="S2","b","")),Students!$A:$A,AP$2)+
countifs(Students!$D:$D,$AE57,Students!$E:$E,$AE$2&amp;if($K57="S1","a",if($K57="S2","b","")),Students!$A:$A,AP$2)+countifs(Students!$F:$F,$AE57,Students!$G:$G,$AE$2&amp;if($K57="S1","a",if($K57="S2","b","")),Students!$A:$A,AP$2)+countifs(Students!$H:$H,$AE57,Students!$I:$I,$AE$2&amp;if($K57="S1","a",if($K57="S2","b","")),Students!$A:$A,AP$2)+countifs(Students!$J:$J,$AE57,Students!$K:$K,$AE$2&amp;if($K57="S1","a",if($K57="S2","b","")),Students!$A:$A,AP$2)+countifs(Students!$L:$L,$AE57,Students!$M:$M,$AE$2&amp;if($K57="S1","a",if($K57="S2","b","")),Students!$A:$A,AP$2)+countifs(Students!$N:$N,$AE57,Students!$O:$O,$AE$2&amp;if($K57="S1","a",if($K57="S2","b","")),Students!$A:$A,AP$2)+countifs(Students!$P:$P,$AE57,Students!$Q:$Q,$AE$2&amp;if($K57="S1","a",if($K57="S2","b","")),Students!$A:$A,AP$2)+countifs(Students!$R:$R,$AE57,Students!$S:$S,$AE$2&amp;if($K57="S1","a",if($K57="S2","b","")),Students!$A:$A,AP$2)+countifs(Students!$T:$T,$AE57,Students!$U:$U,$AE$2&amp;if($K57="S1","a",if($K57="S2","b","")),Students!$A:$A,AP$2)+countifs(Students!$V:$V,$AE57,Students!$W:$W,$AE$2&amp;if($K57="S1","a",if($K57="S2","b","")),Students!$A:$A,AP$2)+
countifs(Students!$D:$D,$AH57,Students!$E:$E,$AH$2&amp;if($K57="S1","a",if($K57="S2","b","")),Students!$A:$A,AP$2)+countifs(Students!$F:$F,$AH57,Students!$G:$G,$AH$2&amp;if($K57="S1","a",if($K57="S2","b","")),Students!$A:$A,AP$2)+countifs(Students!$H:$H,$AH57,Students!$I:$I,$AH$2&amp;if($K57="S1","a",if($K57="S2","b","")),Students!$A:$A,AP$2)+countifs(Students!$J:$J,$AH57,Students!$K:$K,$AH$2&amp;if($K57="S1","a",if($K57="S2","b","")),Students!$A:$A,AP$2)+countifs(Students!$L:$L,$AH57,Students!$M:$M,$AH$2&amp;if($K57="S1","a",if($K57="S2","b","")),Students!$A:$A,AP$2)+countifs(Students!$N:$N,$AH57,Students!$O:$O,$AH$2&amp;if($K57="S1","a",if($K57="S2","b","")),Students!$A:$A,AP$2)+countifs(Students!$P:$P,$AH57,Students!$Q:$Q,$AH$2&amp;if($K57="S1","a",if($K57="S2","b","")),Students!$A:$A,AP$2)+countifs(Students!$R:$R,$AH57,Students!$S:$S,$AH$2&amp;if($K57="S1","a",if($K57="S2","b","")),Students!$A:$A,AP$2)+countifs(Students!$T:$T,$AH57,Students!$U:$U,$AH$2&amp;if($K57="S1","a",if($K57="S2","b","")),Students!$A:$A,AP$2)+countifs(Students!$V:$V,$AH57,Students!$W:$W,$AH$2&amp;if($K57="S1","a",if($K57="S2","b","")),Students!$A:$A,AP$2)+
countifs(Students!$D:$D,$AK57,Students!$E:$E,$AK$2&amp;if($K57="S1","a",if($K57="S2","b","")),Students!$A:$A,AP$2)+countifs(Students!$F:$F,$AK57,Students!$G:$G,$AK$2&amp;if($K57="S1","a",if($K57="S2","b","")),Students!$A:$A,AP$2)+countifs(Students!$H:$H,$AK57,Students!$I:$I,$AK$2&amp;if($K57="S1","a",if($K57="S2","b","")),Students!$A:$A,AP$2)+countifs(Students!$J:$J,$AK57,Students!$K:$K,$AK$2&amp;if($K57="S1","a",if($K57="S2","b","")),Students!$A:$A,AP$2)+countifs(Students!$L:$L,$AK57,Students!$M:$M,$AK$2&amp;if($K57="S1","a",if($K57="S2","b","")),Students!$A:$A,AP$2)+countifs(Students!$N:$N,$AK57,Students!$O:$O,$AK$2&amp;if($K57="S1","a",if($K57="S2","b","")),Students!$A:$A,AP$2)+countifs(Students!$P:$P,$AK57,Students!$Q:$Q,$AK$2&amp;if($K57="S1","a",if($K57="S2","b","")),Students!$A:$A,AP$2)+countifs(Students!$R:$R,$AK57,Students!$S:$S,$AK$2&amp;if($K57="S1","a",if($K57="S2","b","")),Students!$A:$A,AP$2)+countifs(Students!$T:$T,$AK57,Students!$U:$U,$AK$2&amp;if($K57="S1","a",if($K57="S2","b","")),Students!$A:$A,AP$2)+countifs(Students!$V:$V,$AK57,Students!$W:$W,$AK$2&amp;if($K57="S1","a",if($K57="S2","b","")),Students!$A:$A,AP$2))</f>
        <v/>
      </c>
      <c r="AQ57" s="98" t="str">
        <f>if($L57="","",countifs(Students!$D:$D,$P57,Students!$E:$E,$P$2&amp;if($K57="S1","a",if($K57="S2","b","")),Students!$A:$A,AQ$2)+countifs(Students!$F:$F,$P57,Students!$G:$G,$P$2&amp;if($K57="S1","a",if($K57="S2","b","")),Students!$A:$A,AQ$2)+countifs(Students!$H:$H,$P57,Students!$I:$I,$P$2&amp;if($K57="S1","a",if($K57="S2","b","")),Students!$A:$A,AQ$2)+countifs(Students!$J:$J,$P57,Students!$K:$K,$P$2&amp;if($K57="S1","a",if($K57="S2","b","")),Students!$A:$A,AQ$2)+countifs(Students!$L:$L,$P57,Students!$M:$M,$P$2&amp;if($K57="S1","a",if($K57="S2","b","")),Students!$A:$A,AQ$2)+countifs(Students!$N:$N,$P57,Students!$O:$O,$P$2&amp;if($K57="S1","a",if($K57="S2","b","")),Students!$A:$A,AQ$2)+countifs(Students!$P:$P,$P57,Students!$Q:$Q,$P$2&amp;if($K57="S1","a",if($K57="S2","b","")),Students!$A:$A,AQ$2)+countifs(Students!$R:$R,$P57,Students!$S:$S,$P$2&amp;if($K57="S1","a",if($K57="S2","b","")),Students!$A:$A,AQ$2)+countifs(Students!$T:$T,$P57,Students!$U:$U,$P$2&amp;if($K57="S1","a",if($K57="S2","b","")),Students!$A:$A,AQ$2)+countifs(Students!$V:$V,$P57,Students!$W:$W,$P$2&amp;if($K57="S1","a",if($K57="S2","b","")),Students!$A:$A,AQ$2)+
countifs(Students!$D:$D,$S57,Students!$E:$E,$S$2&amp;if($K57="S1","a",if($K57="S2","b","")),Students!$A:$A,AQ$2)+countifs(Students!$F:$F,$S57,Students!$G:$G,$S$2&amp;if($K57="S1","a",if($K57="S2","b","")),Students!$A:$A,AQ$2)+countifs(Students!$H:$H,$S57,Students!$I:$I,$S$2&amp;if($K57="S1","a",if($K57="S2","b","")),Students!$A:$A,AQ$2)+countifs(Students!$J:$J,$S57,Students!$K:$K,$S$2&amp;if($K57="S1","a",if($K57="S2","b","")),Students!$A:$A,AQ$2)+countifs(Students!$L:$L,$S57,Students!$M:$M,$S$2&amp;if($K57="S1","a",if($K57="S2","b","")),Students!$A:$A,AQ$2)+countifs(Students!$N:$N,$S57,Students!$O:$O,$S$2&amp;if($K57="S1","a",if($K57="S2","b","")),Students!$A:$A,AQ$2)+countifs(Students!$P:$P,$S57,Students!$Q:$Q,$S$2&amp;if($K57="S1","a",if($K57="S2","b","")),Students!$A:$A,AQ$2)+countifs(Students!$R:$R,$S57,Students!$S:$S,$S$2&amp;if($K57="S1","a",if($K57="S2","b","")),Students!$A:$A,AQ$2)+countifs(Students!$T:$T,$S57,Students!$U:$U,$S$2&amp;if($K57="S1","a",if($K57="S2","b","")),Students!$A:$A,AQ$2)+countifs(Students!$V:$V,$S57,Students!$W:$W,$S$2&amp;if($K57="S1","a",if($K57="S2","b","")),Students!$A:$A,AQ$2)+
countifs(Students!$D:$D,$V57,Students!$E:$E,$V$2&amp;if($K57="S1","a",if($K57="S2","b","")),Students!$A:$A,AQ$2)+countifs(Students!$F:$F,$V57,Students!$G:$G,$V$2&amp;if($K57="S1","a",if($K57="S2","b","")),Students!$A:$A,AQ$2)+countifs(Students!$H:$H,$V57,Students!$I:$I,$V$2&amp;if($K57="S1","a",if($K57="S2","b","")),Students!$A:$A,AQ$2)+countifs(Students!$J:$J,$V57,Students!$K:$K,$V$2&amp;if($K57="S1","a",if($K57="S2","b","")),Students!$A:$A,AQ$2)+countifs(Students!$L:$L,$V57,Students!$M:$M,$V$2&amp;if($K57="S1","a",if($K57="S2","b","")),Students!$A:$A,AQ$2)+countifs(Students!$N:$N,$V57,Students!$O:$O,$V$2&amp;if($K57="S1","a",if($K57="S2","b","")),Students!$A:$A,AQ$2)+countifs(Students!$P:$P,$V57,Students!$Q:$Q,$V$2&amp;if($K57="S1","a",if($K57="S2","b","")),Students!$A:$A,AQ$2)+countifs(Students!$R:$R,$V57,Students!$S:$S,$V$2&amp;if($K57="S1","a",if($K57="S2","b","")),Students!$A:$A,AQ$2)+countifs(Students!$T:$T,$V57,Students!$U:$U,$V$2&amp;if($K57="S1","a",if($K57="S2","b","")),Students!$A:$A,AQ$2)+countifs(Students!$V:$V,$V57,Students!$W:$W,$V$2&amp;if($K57="S1","a",if($K57="S2","b","")),Students!$A:$A,AQ$2)+
countifs(Students!$D:$D,$Y57,Students!$E:$E,$Y$2&amp;if($K57="S1","a",if($K57="S2","b","")),Students!$A:$A,AQ$2)+countifs(Students!$F:$F,$Y57,Students!$G:$G,$Y$2&amp;if($K57="S1","a",if($K57="S2","b","")),Students!$A:$A,AQ$2)+countifs(Students!$H:$H,$Y57,Students!$I:$I,$Y$2&amp;if($K57="S1","a",if($K57="S2","b","")),Students!$A:$A,AQ$2)+countifs(Students!$J:$J,$Y57,Students!$K:$K,$Y$2&amp;if($K57="S1","a",if($K57="S2","b","")),Students!$A:$A,AQ$2)+countifs(Students!$L:$L,$Y57,Students!$M:$M,$Y$2&amp;if($K57="S1","a",if($K57="S2","b","")),Students!$A:$A,AQ$2)+countifs(Students!$N:$N,$Y57,Students!$O:$O,$Y$2&amp;if($K57="S1","a",if($K57="S2","b","")),Students!$A:$A,AQ$2)+countifs(Students!$P:$P,$Y57,Students!$Q:$Q,$Y$2&amp;if($K57="S1","a",if($K57="S2","b","")),Students!$A:$A,AQ$2)+countifs(Students!$R:$R,$Y57,Students!$S:$S,$Y$2&amp;if($K57="S1","a",if($K57="S2","b","")),Students!$A:$A,AQ$2)+countifs(Students!$T:$T,$Y57,Students!$U:$U,$Y$2&amp;if($K57="S1","a",if($K57="S2","b","")),Students!$A:$A,AQ$2)+countifs(Students!$V:$V,$Y57,Students!$W:$W,$Y$2&amp;if($K57="S1","a",if($K57="S2","b","")),Students!$A:$A,AQ$2)+
countifs(Students!$D:$D,$AB57,Students!$E:$E,$AB$2&amp;if($K57="S1","a",if($K57="S2","b","")),Students!$A:$A,AQ$2)+countifs(Students!$F:$F,$AB57,Students!$G:$G,$AB$2&amp;if($K57="S1","a",if($K57="S2","b","")),Students!$A:$A,AQ$2)+countifs(Students!$H:$H,$AB57,Students!$I:$I,$AB$2&amp;if($K57="S1","a",if($K57="S2","b","")),Students!$A:$A,AQ$2)+countifs(Students!$J:$J,$AB57,Students!$K:$K,$AB$2&amp;if($K57="S1","a",if($K57="S2","b","")),Students!$A:$A,AQ$2)+countifs(Students!$L:$L,$AB57,Students!$M:$M,$AB$2&amp;if($K57="S1","a",if($K57="S2","b","")),Students!$A:$A,AQ$2)+countifs(Students!$N:$N,$AB57,Students!$O:$O,$AB$2&amp;if($K57="S1","a",if($K57="S2","b","")),Students!$A:$A,AQ$2)+countifs(Students!$P:$P,$AB57,Students!$Q:$Q,$AB$2&amp;if($K57="S1","a",if($K57="S2","b","")),Students!$A:$A,AQ$2)+countifs(Students!$R:$R,$AB57,Students!$S:$S,$AB$2&amp;if($K57="S1","a",if($K57="S2","b","")),Students!$A:$A,AQ$2)+countifs(Students!$T:$T,$AB57,Students!$U:$U,$AB$2&amp;if($K57="S1","a",if($K57="S2","b","")),Students!$A:$A,AQ$2)+countifs(Students!$V:$V,$AB57,Students!$W:$W,$AB$2&amp;if($K57="S1","a",if($K57="S2","b","")),Students!$A:$A,AQ$2)+
countifs(Students!$D:$D,$AE57,Students!$E:$E,$AE$2&amp;if($K57="S1","a",if($K57="S2","b","")),Students!$A:$A,AQ$2)+countifs(Students!$F:$F,$AE57,Students!$G:$G,$AE$2&amp;if($K57="S1","a",if($K57="S2","b","")),Students!$A:$A,AQ$2)+countifs(Students!$H:$H,$AE57,Students!$I:$I,$AE$2&amp;if($K57="S1","a",if($K57="S2","b","")),Students!$A:$A,AQ$2)+countifs(Students!$J:$J,$AE57,Students!$K:$K,$AE$2&amp;if($K57="S1","a",if($K57="S2","b","")),Students!$A:$A,AQ$2)+countifs(Students!$L:$L,$AE57,Students!$M:$M,$AE$2&amp;if($K57="S1","a",if($K57="S2","b","")),Students!$A:$A,AQ$2)+countifs(Students!$N:$N,$AE57,Students!$O:$O,$AE$2&amp;if($K57="S1","a",if($K57="S2","b","")),Students!$A:$A,AQ$2)+countifs(Students!$P:$P,$AE57,Students!$Q:$Q,$AE$2&amp;if($K57="S1","a",if($K57="S2","b","")),Students!$A:$A,AQ$2)+countifs(Students!$R:$R,$AE57,Students!$S:$S,$AE$2&amp;if($K57="S1","a",if($K57="S2","b","")),Students!$A:$A,AQ$2)+countifs(Students!$T:$T,$AE57,Students!$U:$U,$AE$2&amp;if($K57="S1","a",if($K57="S2","b","")),Students!$A:$A,AQ$2)+countifs(Students!$V:$V,$AE57,Students!$W:$W,$AE$2&amp;if($K57="S1","a",if($K57="S2","b","")),Students!$A:$A,AQ$2)+
countifs(Students!$D:$D,$AH57,Students!$E:$E,$AH$2&amp;if($K57="S1","a",if($K57="S2","b","")),Students!$A:$A,AQ$2)+countifs(Students!$F:$F,$AH57,Students!$G:$G,$AH$2&amp;if($K57="S1","a",if($K57="S2","b","")),Students!$A:$A,AQ$2)+countifs(Students!$H:$H,$AH57,Students!$I:$I,$AH$2&amp;if($K57="S1","a",if($K57="S2","b","")),Students!$A:$A,AQ$2)+countifs(Students!$J:$J,$AH57,Students!$K:$K,$AH$2&amp;if($K57="S1","a",if($K57="S2","b","")),Students!$A:$A,AQ$2)+countifs(Students!$L:$L,$AH57,Students!$M:$M,$AH$2&amp;if($K57="S1","a",if($K57="S2","b","")),Students!$A:$A,AQ$2)+countifs(Students!$N:$N,$AH57,Students!$O:$O,$AH$2&amp;if($K57="S1","a",if($K57="S2","b","")),Students!$A:$A,AQ$2)+countifs(Students!$P:$P,$AH57,Students!$Q:$Q,$AH$2&amp;if($K57="S1","a",if($K57="S2","b","")),Students!$A:$A,AQ$2)+countifs(Students!$R:$R,$AH57,Students!$S:$S,$AH$2&amp;if($K57="S1","a",if($K57="S2","b","")),Students!$A:$A,AQ$2)+countifs(Students!$T:$T,$AH57,Students!$U:$U,$AH$2&amp;if($K57="S1","a",if($K57="S2","b","")),Students!$A:$A,AQ$2)+countifs(Students!$V:$V,$AH57,Students!$W:$W,$AH$2&amp;if($K57="S1","a",if($K57="S2","b","")),Students!$A:$A,AQ$2)+
countifs(Students!$D:$D,$AK57,Students!$E:$E,$AK$2&amp;if($K57="S1","a",if($K57="S2","b","")),Students!$A:$A,AQ$2)+countifs(Students!$F:$F,$AK57,Students!$G:$G,$AK$2&amp;if($K57="S1","a",if($K57="S2","b","")),Students!$A:$A,AQ$2)+countifs(Students!$H:$H,$AK57,Students!$I:$I,$AK$2&amp;if($K57="S1","a",if($K57="S2","b","")),Students!$A:$A,AQ$2)+countifs(Students!$J:$J,$AK57,Students!$K:$K,$AK$2&amp;if($K57="S1","a",if($K57="S2","b","")),Students!$A:$A,AQ$2)+countifs(Students!$L:$L,$AK57,Students!$M:$M,$AK$2&amp;if($K57="S1","a",if($K57="S2","b","")),Students!$A:$A,AQ$2)+countifs(Students!$N:$N,$AK57,Students!$O:$O,$AK$2&amp;if($K57="S1","a",if($K57="S2","b","")),Students!$A:$A,AQ$2)+countifs(Students!$P:$P,$AK57,Students!$Q:$Q,$AK$2&amp;if($K57="S1","a",if($K57="S2","b","")),Students!$A:$A,AQ$2)+countifs(Students!$R:$R,$AK57,Students!$S:$S,$AK$2&amp;if($K57="S1","a",if($K57="S2","b","")),Students!$A:$A,AQ$2)+countifs(Students!$T:$T,$AK57,Students!$U:$U,$AK$2&amp;if($K57="S1","a",if($K57="S2","b","")),Students!$A:$A,AQ$2)+countifs(Students!$V:$V,$AK57,Students!$W:$W,$AK$2&amp;if($K57="S1","a",if($K57="S2","b","")),Students!$A:$A,AQ$2))</f>
        <v/>
      </c>
      <c r="AR57" s="98" t="str">
        <f>if($L57="","",countifs(Students!$D:$D,$P57,Students!$E:$E,$P$2&amp;if($K57="S1","a",if($K57="S2","b","")),Students!$A:$A,AR$2)+countifs(Students!$F:$F,$P57,Students!$G:$G,$P$2&amp;if($K57="S1","a",if($K57="S2","b","")),Students!$A:$A,AR$2)+countifs(Students!$H:$H,$P57,Students!$I:$I,$P$2&amp;if($K57="S1","a",if($K57="S2","b","")),Students!$A:$A,AR$2)+countifs(Students!$J:$J,$P57,Students!$K:$K,$P$2&amp;if($K57="S1","a",if($K57="S2","b","")),Students!$A:$A,AR$2)+countifs(Students!$L:$L,$P57,Students!$M:$M,$P$2&amp;if($K57="S1","a",if($K57="S2","b","")),Students!$A:$A,AR$2)+countifs(Students!$N:$N,$P57,Students!$O:$O,$P$2&amp;if($K57="S1","a",if($K57="S2","b","")),Students!$A:$A,AR$2)+countifs(Students!$P:$P,$P57,Students!$Q:$Q,$P$2&amp;if($K57="S1","a",if($K57="S2","b","")),Students!$A:$A,AR$2)+countifs(Students!$R:$R,$P57,Students!$S:$S,$P$2&amp;if($K57="S1","a",if($K57="S2","b","")),Students!$A:$A,AR$2)+countifs(Students!$T:$T,$P57,Students!$U:$U,$P$2&amp;if($K57="S1","a",if($K57="S2","b","")),Students!$A:$A,AR$2)+countifs(Students!$V:$V,$P57,Students!$W:$W,$P$2&amp;if($K57="S1","a",if($K57="S2","b","")),Students!$A:$A,AR$2)+
countifs(Students!$D:$D,$S57,Students!$E:$E,$S$2&amp;if($K57="S1","a",if($K57="S2","b","")),Students!$A:$A,AR$2)+countifs(Students!$F:$F,$S57,Students!$G:$G,$S$2&amp;if($K57="S1","a",if($K57="S2","b","")),Students!$A:$A,AR$2)+countifs(Students!$H:$H,$S57,Students!$I:$I,$S$2&amp;if($K57="S1","a",if($K57="S2","b","")),Students!$A:$A,AR$2)+countifs(Students!$J:$J,$S57,Students!$K:$K,$S$2&amp;if($K57="S1","a",if($K57="S2","b","")),Students!$A:$A,AR$2)+countifs(Students!$L:$L,$S57,Students!$M:$M,$S$2&amp;if($K57="S1","a",if($K57="S2","b","")),Students!$A:$A,AR$2)+countifs(Students!$N:$N,$S57,Students!$O:$O,$S$2&amp;if($K57="S1","a",if($K57="S2","b","")),Students!$A:$A,AR$2)+countifs(Students!$P:$P,$S57,Students!$Q:$Q,$S$2&amp;if($K57="S1","a",if($K57="S2","b","")),Students!$A:$A,AR$2)+countifs(Students!$R:$R,$S57,Students!$S:$S,$S$2&amp;if($K57="S1","a",if($K57="S2","b","")),Students!$A:$A,AR$2)+countifs(Students!$T:$T,$S57,Students!$U:$U,$S$2&amp;if($K57="S1","a",if($K57="S2","b","")),Students!$A:$A,AR$2)+countifs(Students!$V:$V,$S57,Students!$W:$W,$S$2&amp;if($K57="S1","a",if($K57="S2","b","")),Students!$A:$A,AR$2)+
countifs(Students!$D:$D,$V57,Students!$E:$E,$V$2&amp;if($K57="S1","a",if($K57="S2","b","")),Students!$A:$A,AR$2)+countifs(Students!$F:$F,$V57,Students!$G:$G,$V$2&amp;if($K57="S1","a",if($K57="S2","b","")),Students!$A:$A,AR$2)+countifs(Students!$H:$H,$V57,Students!$I:$I,$V$2&amp;if($K57="S1","a",if($K57="S2","b","")),Students!$A:$A,AR$2)+countifs(Students!$J:$J,$V57,Students!$K:$K,$V$2&amp;if($K57="S1","a",if($K57="S2","b","")),Students!$A:$A,AR$2)+countifs(Students!$L:$L,$V57,Students!$M:$M,$V$2&amp;if($K57="S1","a",if($K57="S2","b","")),Students!$A:$A,AR$2)+countifs(Students!$N:$N,$V57,Students!$O:$O,$V$2&amp;if($K57="S1","a",if($K57="S2","b","")),Students!$A:$A,AR$2)+countifs(Students!$P:$P,$V57,Students!$Q:$Q,$V$2&amp;if($K57="S1","a",if($K57="S2","b","")),Students!$A:$A,AR$2)+countifs(Students!$R:$R,$V57,Students!$S:$S,$V$2&amp;if($K57="S1","a",if($K57="S2","b","")),Students!$A:$A,AR$2)+countifs(Students!$T:$T,$V57,Students!$U:$U,$V$2&amp;if($K57="S1","a",if($K57="S2","b","")),Students!$A:$A,AR$2)+countifs(Students!$V:$V,$V57,Students!$W:$W,$V$2&amp;if($K57="S1","a",if($K57="S2","b","")),Students!$A:$A,AR$2)+
countifs(Students!$D:$D,$Y57,Students!$E:$E,$Y$2&amp;if($K57="S1","a",if($K57="S2","b","")),Students!$A:$A,AR$2)+countifs(Students!$F:$F,$Y57,Students!$G:$G,$Y$2&amp;if($K57="S1","a",if($K57="S2","b","")),Students!$A:$A,AR$2)+countifs(Students!$H:$H,$Y57,Students!$I:$I,$Y$2&amp;if($K57="S1","a",if($K57="S2","b","")),Students!$A:$A,AR$2)+countifs(Students!$J:$J,$Y57,Students!$K:$K,$Y$2&amp;if($K57="S1","a",if($K57="S2","b","")),Students!$A:$A,AR$2)+countifs(Students!$L:$L,$Y57,Students!$M:$M,$Y$2&amp;if($K57="S1","a",if($K57="S2","b","")),Students!$A:$A,AR$2)+countifs(Students!$N:$N,$Y57,Students!$O:$O,$Y$2&amp;if($K57="S1","a",if($K57="S2","b","")),Students!$A:$A,AR$2)+countifs(Students!$P:$P,$Y57,Students!$Q:$Q,$Y$2&amp;if($K57="S1","a",if($K57="S2","b","")),Students!$A:$A,AR$2)+countifs(Students!$R:$R,$Y57,Students!$S:$S,$Y$2&amp;if($K57="S1","a",if($K57="S2","b","")),Students!$A:$A,AR$2)+countifs(Students!$T:$T,$Y57,Students!$U:$U,$Y$2&amp;if($K57="S1","a",if($K57="S2","b","")),Students!$A:$A,AR$2)+countifs(Students!$V:$V,$Y57,Students!$W:$W,$Y$2&amp;if($K57="S1","a",if($K57="S2","b","")),Students!$A:$A,AR$2)+
countifs(Students!$D:$D,$AB57,Students!$E:$E,$AB$2&amp;if($K57="S1","a",if($K57="S2","b","")),Students!$A:$A,AR$2)+countifs(Students!$F:$F,$AB57,Students!$G:$G,$AB$2&amp;if($K57="S1","a",if($K57="S2","b","")),Students!$A:$A,AR$2)+countifs(Students!$H:$H,$AB57,Students!$I:$I,$AB$2&amp;if($K57="S1","a",if($K57="S2","b","")),Students!$A:$A,AR$2)+countifs(Students!$J:$J,$AB57,Students!$K:$K,$AB$2&amp;if($K57="S1","a",if($K57="S2","b","")),Students!$A:$A,AR$2)+countifs(Students!$L:$L,$AB57,Students!$M:$M,$AB$2&amp;if($K57="S1","a",if($K57="S2","b","")),Students!$A:$A,AR$2)+countifs(Students!$N:$N,$AB57,Students!$O:$O,$AB$2&amp;if($K57="S1","a",if($K57="S2","b","")),Students!$A:$A,AR$2)+countifs(Students!$P:$P,$AB57,Students!$Q:$Q,$AB$2&amp;if($K57="S1","a",if($K57="S2","b","")),Students!$A:$A,AR$2)+countifs(Students!$R:$R,$AB57,Students!$S:$S,$AB$2&amp;if($K57="S1","a",if($K57="S2","b","")),Students!$A:$A,AR$2)+countifs(Students!$T:$T,$AB57,Students!$U:$U,$AB$2&amp;if($K57="S1","a",if($K57="S2","b","")),Students!$A:$A,AR$2)+countifs(Students!$V:$V,$AB57,Students!$W:$W,$AB$2&amp;if($K57="S1","a",if($K57="S2","b","")),Students!$A:$A,AR$2)+
countifs(Students!$D:$D,$AE57,Students!$E:$E,$AE$2&amp;if($K57="S1","a",if($K57="S2","b","")),Students!$A:$A,AR$2)+countifs(Students!$F:$F,$AE57,Students!$G:$G,$AE$2&amp;if($K57="S1","a",if($K57="S2","b","")),Students!$A:$A,AR$2)+countifs(Students!$H:$H,$AE57,Students!$I:$I,$AE$2&amp;if($K57="S1","a",if($K57="S2","b","")),Students!$A:$A,AR$2)+countifs(Students!$J:$J,$AE57,Students!$K:$K,$AE$2&amp;if($K57="S1","a",if($K57="S2","b","")),Students!$A:$A,AR$2)+countifs(Students!$L:$L,$AE57,Students!$M:$M,$AE$2&amp;if($K57="S1","a",if($K57="S2","b","")),Students!$A:$A,AR$2)+countifs(Students!$N:$N,$AE57,Students!$O:$O,$AE$2&amp;if($K57="S1","a",if($K57="S2","b","")),Students!$A:$A,AR$2)+countifs(Students!$P:$P,$AE57,Students!$Q:$Q,$AE$2&amp;if($K57="S1","a",if($K57="S2","b","")),Students!$A:$A,AR$2)+countifs(Students!$R:$R,$AE57,Students!$S:$S,$AE$2&amp;if($K57="S1","a",if($K57="S2","b","")),Students!$A:$A,AR$2)+countifs(Students!$T:$T,$AE57,Students!$U:$U,$AE$2&amp;if($K57="S1","a",if($K57="S2","b","")),Students!$A:$A,AR$2)+countifs(Students!$V:$V,$AE57,Students!$W:$W,$AE$2&amp;if($K57="S1","a",if($K57="S2","b","")),Students!$A:$A,AR$2)+
countifs(Students!$D:$D,$AH57,Students!$E:$E,$AH$2&amp;if($K57="S1","a",if($K57="S2","b","")),Students!$A:$A,AR$2)+countifs(Students!$F:$F,$AH57,Students!$G:$G,$AH$2&amp;if($K57="S1","a",if($K57="S2","b","")),Students!$A:$A,AR$2)+countifs(Students!$H:$H,$AH57,Students!$I:$I,$AH$2&amp;if($K57="S1","a",if($K57="S2","b","")),Students!$A:$A,AR$2)+countifs(Students!$J:$J,$AH57,Students!$K:$K,$AH$2&amp;if($K57="S1","a",if($K57="S2","b","")),Students!$A:$A,AR$2)+countifs(Students!$L:$L,$AH57,Students!$M:$M,$AH$2&amp;if($K57="S1","a",if($K57="S2","b","")),Students!$A:$A,AR$2)+countifs(Students!$N:$N,$AH57,Students!$O:$O,$AH$2&amp;if($K57="S1","a",if($K57="S2","b","")),Students!$A:$A,AR$2)+countifs(Students!$P:$P,$AH57,Students!$Q:$Q,$AH$2&amp;if($K57="S1","a",if($K57="S2","b","")),Students!$A:$A,AR$2)+countifs(Students!$R:$R,$AH57,Students!$S:$S,$AH$2&amp;if($K57="S1","a",if($K57="S2","b","")),Students!$A:$A,AR$2)+countifs(Students!$T:$T,$AH57,Students!$U:$U,$AH$2&amp;if($K57="S1","a",if($K57="S2","b","")),Students!$A:$A,AR$2)+countifs(Students!$V:$V,$AH57,Students!$W:$W,$AH$2&amp;if($K57="S1","a",if($K57="S2","b","")),Students!$A:$A,AR$2)+
countifs(Students!$D:$D,$AK57,Students!$E:$E,$AK$2&amp;if($K57="S1","a",if($K57="S2","b","")),Students!$A:$A,AR$2)+countifs(Students!$F:$F,$AK57,Students!$G:$G,$AK$2&amp;if($K57="S1","a",if($K57="S2","b","")),Students!$A:$A,AR$2)+countifs(Students!$H:$H,$AK57,Students!$I:$I,$AK$2&amp;if($K57="S1","a",if($K57="S2","b","")),Students!$A:$A,AR$2)+countifs(Students!$J:$J,$AK57,Students!$K:$K,$AK$2&amp;if($K57="S1","a",if($K57="S2","b","")),Students!$A:$A,AR$2)+countifs(Students!$L:$L,$AK57,Students!$M:$M,$AK$2&amp;if($K57="S1","a",if($K57="S2","b","")),Students!$A:$A,AR$2)+countifs(Students!$N:$N,$AK57,Students!$O:$O,$AK$2&amp;if($K57="S1","a",if($K57="S2","b","")),Students!$A:$A,AR$2)+countifs(Students!$P:$P,$AK57,Students!$Q:$Q,$AK$2&amp;if($K57="S1","a",if($K57="S2","b","")),Students!$A:$A,AR$2)+countifs(Students!$R:$R,$AK57,Students!$S:$S,$AK$2&amp;if($K57="S1","a",if($K57="S2","b","")),Students!$A:$A,AR$2)+countifs(Students!$T:$T,$AK57,Students!$U:$U,$AK$2&amp;if($K57="S1","a",if($K57="S2","b","")),Students!$A:$A,AR$2)+countifs(Students!$V:$V,$AK57,Students!$W:$W,$AK$2&amp;if($K57="S1","a",if($K57="S2","b","")),Students!$A:$A,AR$2))</f>
        <v/>
      </c>
      <c r="AS57" s="98" t="str">
        <f>if($L57="","",countifs(Students!$D:$D,$P57,Students!$E:$E,$P$2&amp;if($K57="S1","a",if($K57="S2","b","")),Students!$A:$A,AS$2)+countifs(Students!$F:$F,$P57,Students!$G:$G,$P$2&amp;if($K57="S1","a",if($K57="S2","b","")),Students!$A:$A,AS$2)+countifs(Students!$H:$H,$P57,Students!$I:$I,$P$2&amp;if($K57="S1","a",if($K57="S2","b","")),Students!$A:$A,AS$2)+countifs(Students!$J:$J,$P57,Students!$K:$K,$P$2&amp;if($K57="S1","a",if($K57="S2","b","")),Students!$A:$A,AS$2)+countifs(Students!$L:$L,$P57,Students!$M:$M,$P$2&amp;if($K57="S1","a",if($K57="S2","b","")),Students!$A:$A,AS$2)+countifs(Students!$N:$N,$P57,Students!$O:$O,$P$2&amp;if($K57="S1","a",if($K57="S2","b","")),Students!$A:$A,AS$2)+countifs(Students!$P:$P,$P57,Students!$Q:$Q,$P$2&amp;if($K57="S1","a",if($K57="S2","b","")),Students!$A:$A,AS$2)+countifs(Students!$R:$R,$P57,Students!$S:$S,$P$2&amp;if($K57="S1","a",if($K57="S2","b","")),Students!$A:$A,AS$2)+countifs(Students!$T:$T,$P57,Students!$U:$U,$P$2&amp;if($K57="S1","a",if($K57="S2","b","")),Students!$A:$A,AS$2)+countifs(Students!$V:$V,$P57,Students!$W:$W,$P$2&amp;if($K57="S1","a",if($K57="S2","b","")),Students!$A:$A,AS$2)+
countifs(Students!$D:$D,$S57,Students!$E:$E,$S$2&amp;if($K57="S1","a",if($K57="S2","b","")),Students!$A:$A,AS$2)+countifs(Students!$F:$F,$S57,Students!$G:$G,$S$2&amp;if($K57="S1","a",if($K57="S2","b","")),Students!$A:$A,AS$2)+countifs(Students!$H:$H,$S57,Students!$I:$I,$S$2&amp;if($K57="S1","a",if($K57="S2","b","")),Students!$A:$A,AS$2)+countifs(Students!$J:$J,$S57,Students!$K:$K,$S$2&amp;if($K57="S1","a",if($K57="S2","b","")),Students!$A:$A,AS$2)+countifs(Students!$L:$L,$S57,Students!$M:$M,$S$2&amp;if($K57="S1","a",if($K57="S2","b","")),Students!$A:$A,AS$2)+countifs(Students!$N:$N,$S57,Students!$O:$O,$S$2&amp;if($K57="S1","a",if($K57="S2","b","")),Students!$A:$A,AS$2)+countifs(Students!$P:$P,$S57,Students!$Q:$Q,$S$2&amp;if($K57="S1","a",if($K57="S2","b","")),Students!$A:$A,AS$2)+countifs(Students!$R:$R,$S57,Students!$S:$S,$S$2&amp;if($K57="S1","a",if($K57="S2","b","")),Students!$A:$A,AS$2)+countifs(Students!$T:$T,$S57,Students!$U:$U,$S$2&amp;if($K57="S1","a",if($K57="S2","b","")),Students!$A:$A,AS$2)+countifs(Students!$V:$V,$S57,Students!$W:$W,$S$2&amp;if($K57="S1","a",if($K57="S2","b","")),Students!$A:$A,AS$2)+
countifs(Students!$D:$D,$V57,Students!$E:$E,$V$2&amp;if($K57="S1","a",if($K57="S2","b","")),Students!$A:$A,AS$2)+countifs(Students!$F:$F,$V57,Students!$G:$G,$V$2&amp;if($K57="S1","a",if($K57="S2","b","")),Students!$A:$A,AS$2)+countifs(Students!$H:$H,$V57,Students!$I:$I,$V$2&amp;if($K57="S1","a",if($K57="S2","b","")),Students!$A:$A,AS$2)+countifs(Students!$J:$J,$V57,Students!$K:$K,$V$2&amp;if($K57="S1","a",if($K57="S2","b","")),Students!$A:$A,AS$2)+countifs(Students!$L:$L,$V57,Students!$M:$M,$V$2&amp;if($K57="S1","a",if($K57="S2","b","")),Students!$A:$A,AS$2)+countifs(Students!$N:$N,$V57,Students!$O:$O,$V$2&amp;if($K57="S1","a",if($K57="S2","b","")),Students!$A:$A,AS$2)+countifs(Students!$P:$P,$V57,Students!$Q:$Q,$V$2&amp;if($K57="S1","a",if($K57="S2","b","")),Students!$A:$A,AS$2)+countifs(Students!$R:$R,$V57,Students!$S:$S,$V$2&amp;if($K57="S1","a",if($K57="S2","b","")),Students!$A:$A,AS$2)+countifs(Students!$T:$T,$V57,Students!$U:$U,$V$2&amp;if($K57="S1","a",if($K57="S2","b","")),Students!$A:$A,AS$2)+countifs(Students!$V:$V,$V57,Students!$W:$W,$V$2&amp;if($K57="S1","a",if($K57="S2","b","")),Students!$A:$A,AS$2)+
countifs(Students!$D:$D,$Y57,Students!$E:$E,$Y$2&amp;if($K57="S1","a",if($K57="S2","b","")),Students!$A:$A,AS$2)+countifs(Students!$F:$F,$Y57,Students!$G:$G,$Y$2&amp;if($K57="S1","a",if($K57="S2","b","")),Students!$A:$A,AS$2)+countifs(Students!$H:$H,$Y57,Students!$I:$I,$Y$2&amp;if($K57="S1","a",if($K57="S2","b","")),Students!$A:$A,AS$2)+countifs(Students!$J:$J,$Y57,Students!$K:$K,$Y$2&amp;if($K57="S1","a",if($K57="S2","b","")),Students!$A:$A,AS$2)+countifs(Students!$L:$L,$Y57,Students!$M:$M,$Y$2&amp;if($K57="S1","a",if($K57="S2","b","")),Students!$A:$A,AS$2)+countifs(Students!$N:$N,$Y57,Students!$O:$O,$Y$2&amp;if($K57="S1","a",if($K57="S2","b","")),Students!$A:$A,AS$2)+countifs(Students!$P:$P,$Y57,Students!$Q:$Q,$Y$2&amp;if($K57="S1","a",if($K57="S2","b","")),Students!$A:$A,AS$2)+countifs(Students!$R:$R,$Y57,Students!$S:$S,$Y$2&amp;if($K57="S1","a",if($K57="S2","b","")),Students!$A:$A,AS$2)+countifs(Students!$T:$T,$Y57,Students!$U:$U,$Y$2&amp;if($K57="S1","a",if($K57="S2","b","")),Students!$A:$A,AS$2)+countifs(Students!$V:$V,$Y57,Students!$W:$W,$Y$2&amp;if($K57="S1","a",if($K57="S2","b","")),Students!$A:$A,AS$2)+
countifs(Students!$D:$D,$AB57,Students!$E:$E,$AB$2&amp;if($K57="S1","a",if($K57="S2","b","")),Students!$A:$A,AS$2)+countifs(Students!$F:$F,$AB57,Students!$G:$G,$AB$2&amp;if($K57="S1","a",if($K57="S2","b","")),Students!$A:$A,AS$2)+countifs(Students!$H:$H,$AB57,Students!$I:$I,$AB$2&amp;if($K57="S1","a",if($K57="S2","b","")),Students!$A:$A,AS$2)+countifs(Students!$J:$J,$AB57,Students!$K:$K,$AB$2&amp;if($K57="S1","a",if($K57="S2","b","")),Students!$A:$A,AS$2)+countifs(Students!$L:$L,$AB57,Students!$M:$M,$AB$2&amp;if($K57="S1","a",if($K57="S2","b","")),Students!$A:$A,AS$2)+countifs(Students!$N:$N,$AB57,Students!$O:$O,$AB$2&amp;if($K57="S1","a",if($K57="S2","b","")),Students!$A:$A,AS$2)+countifs(Students!$P:$P,$AB57,Students!$Q:$Q,$AB$2&amp;if($K57="S1","a",if($K57="S2","b","")),Students!$A:$A,AS$2)+countifs(Students!$R:$R,$AB57,Students!$S:$S,$AB$2&amp;if($K57="S1","a",if($K57="S2","b","")),Students!$A:$A,AS$2)+countifs(Students!$T:$T,$AB57,Students!$U:$U,$AB$2&amp;if($K57="S1","a",if($K57="S2","b","")),Students!$A:$A,AS$2)+countifs(Students!$V:$V,$AB57,Students!$W:$W,$AB$2&amp;if($K57="S1","a",if($K57="S2","b","")),Students!$A:$A,AS$2)+
countifs(Students!$D:$D,$AE57,Students!$E:$E,$AE$2&amp;if($K57="S1","a",if($K57="S2","b","")),Students!$A:$A,AS$2)+countifs(Students!$F:$F,$AE57,Students!$G:$G,$AE$2&amp;if($K57="S1","a",if($K57="S2","b","")),Students!$A:$A,AS$2)+countifs(Students!$H:$H,$AE57,Students!$I:$I,$AE$2&amp;if($K57="S1","a",if($K57="S2","b","")),Students!$A:$A,AS$2)+countifs(Students!$J:$J,$AE57,Students!$K:$K,$AE$2&amp;if($K57="S1","a",if($K57="S2","b","")),Students!$A:$A,AS$2)+countifs(Students!$L:$L,$AE57,Students!$M:$M,$AE$2&amp;if($K57="S1","a",if($K57="S2","b","")),Students!$A:$A,AS$2)+countifs(Students!$N:$N,$AE57,Students!$O:$O,$AE$2&amp;if($K57="S1","a",if($K57="S2","b","")),Students!$A:$A,AS$2)+countifs(Students!$P:$P,$AE57,Students!$Q:$Q,$AE$2&amp;if($K57="S1","a",if($K57="S2","b","")),Students!$A:$A,AS$2)+countifs(Students!$R:$R,$AE57,Students!$S:$S,$AE$2&amp;if($K57="S1","a",if($K57="S2","b","")),Students!$A:$A,AS$2)+countifs(Students!$T:$T,$AE57,Students!$U:$U,$AE$2&amp;if($K57="S1","a",if($K57="S2","b","")),Students!$A:$A,AS$2)+countifs(Students!$V:$V,$AE57,Students!$W:$W,$AE$2&amp;if($K57="S1","a",if($K57="S2","b","")),Students!$A:$A,AS$2)+
countifs(Students!$D:$D,$AH57,Students!$E:$E,$AH$2&amp;if($K57="S1","a",if($K57="S2","b","")),Students!$A:$A,AS$2)+countifs(Students!$F:$F,$AH57,Students!$G:$G,$AH$2&amp;if($K57="S1","a",if($K57="S2","b","")),Students!$A:$A,AS$2)+countifs(Students!$H:$H,$AH57,Students!$I:$I,$AH$2&amp;if($K57="S1","a",if($K57="S2","b","")),Students!$A:$A,AS$2)+countifs(Students!$J:$J,$AH57,Students!$K:$K,$AH$2&amp;if($K57="S1","a",if($K57="S2","b","")),Students!$A:$A,AS$2)+countifs(Students!$L:$L,$AH57,Students!$M:$M,$AH$2&amp;if($K57="S1","a",if($K57="S2","b","")),Students!$A:$A,AS$2)+countifs(Students!$N:$N,$AH57,Students!$O:$O,$AH$2&amp;if($K57="S1","a",if($K57="S2","b","")),Students!$A:$A,AS$2)+countifs(Students!$P:$P,$AH57,Students!$Q:$Q,$AH$2&amp;if($K57="S1","a",if($K57="S2","b","")),Students!$A:$A,AS$2)+countifs(Students!$R:$R,$AH57,Students!$S:$S,$AH$2&amp;if($K57="S1","a",if($K57="S2","b","")),Students!$A:$A,AS$2)+countifs(Students!$T:$T,$AH57,Students!$U:$U,$AH$2&amp;if($K57="S1","a",if($K57="S2","b","")),Students!$A:$A,AS$2)+countifs(Students!$V:$V,$AH57,Students!$W:$W,$AH$2&amp;if($K57="S1","a",if($K57="S2","b","")),Students!$A:$A,AS$2)+
countifs(Students!$D:$D,$AK57,Students!$E:$E,$AK$2&amp;if($K57="S1","a",if($K57="S2","b","")),Students!$A:$A,AS$2)+countifs(Students!$F:$F,$AK57,Students!$G:$G,$AK$2&amp;if($K57="S1","a",if($K57="S2","b","")),Students!$A:$A,AS$2)+countifs(Students!$H:$H,$AK57,Students!$I:$I,$AK$2&amp;if($K57="S1","a",if($K57="S2","b","")),Students!$A:$A,AS$2)+countifs(Students!$J:$J,$AK57,Students!$K:$K,$AK$2&amp;if($K57="S1","a",if($K57="S2","b","")),Students!$A:$A,AS$2)+countifs(Students!$L:$L,$AK57,Students!$M:$M,$AK$2&amp;if($K57="S1","a",if($K57="S2","b","")),Students!$A:$A,AS$2)+countifs(Students!$N:$N,$AK57,Students!$O:$O,$AK$2&amp;if($K57="S1","a",if($K57="S2","b","")),Students!$A:$A,AS$2)+countifs(Students!$P:$P,$AK57,Students!$Q:$Q,$AK$2&amp;if($K57="S1","a",if($K57="S2","b","")),Students!$A:$A,AS$2)+countifs(Students!$R:$R,$AK57,Students!$S:$S,$AK$2&amp;if($K57="S1","a",if($K57="S2","b","")),Students!$A:$A,AS$2)+countifs(Students!$T:$T,$AK57,Students!$U:$U,$AK$2&amp;if($K57="S1","a",if($K57="S2","b","")),Students!$A:$A,AS$2)+countifs(Students!$V:$V,$AK57,Students!$W:$W,$AK$2&amp;if($K57="S1","a",if($K57="S2","b","")),Students!$A:$A,AS$2))</f>
        <v/>
      </c>
    </row>
    <row r="58">
      <c r="J58" s="87" t="s">
        <v>22</v>
      </c>
      <c r="K58" s="88"/>
      <c r="L58" s="135"/>
      <c r="M58" s="106"/>
      <c r="N58" s="87" t="s">
        <v>22</v>
      </c>
      <c r="O58" s="87">
        <f>IFERROR(__xludf.DUMMYFUNCTION("3*counta((transpose(filter(P58:AM58,P58:AM58&lt;&gt;"""",isnumber(P58:AM58)=false))))"),3.0)</f>
        <v>3</v>
      </c>
      <c r="P58" s="89"/>
      <c r="Q58" s="89"/>
      <c r="R58" s="98" t="s">
        <v>22</v>
      </c>
      <c r="S58" s="89"/>
      <c r="T58" s="117"/>
      <c r="U58" s="98" t="s">
        <v>22</v>
      </c>
      <c r="V58" s="89"/>
      <c r="W58" s="117"/>
      <c r="X58" s="98" t="s">
        <v>22</v>
      </c>
      <c r="Y58" s="89"/>
      <c r="Z58" s="117"/>
      <c r="AA58" s="98" t="s">
        <v>22</v>
      </c>
      <c r="AB58" s="89"/>
      <c r="AC58" s="89"/>
      <c r="AD58" s="98" t="s">
        <v>22</v>
      </c>
      <c r="AE58" s="89"/>
      <c r="AF58" s="117"/>
      <c r="AG58" s="98" t="s">
        <v>22</v>
      </c>
      <c r="AH58" s="89"/>
      <c r="AI58" s="98"/>
      <c r="AJ58" s="98" t="s">
        <v>22</v>
      </c>
      <c r="AK58" s="89"/>
      <c r="AL58" s="98"/>
      <c r="AM58" s="98" t="s">
        <v>22</v>
      </c>
      <c r="AN58" s="99"/>
      <c r="AO58" s="52" t="str">
        <f t="shared" si="2"/>
        <v/>
      </c>
      <c r="AP58" s="98" t="str">
        <f>if($L58="","",countifs(Students!$D:$D,$P58,Students!$E:$E,$P$2&amp;if($K58="S1","a",if($K58="S2","b","")),Students!$A:$A,AP$2)+countifs(Students!$F:$F,$P58,Students!$G:$G,$P$2&amp;if($K58="S1","a",if($K58="S2","b","")),Students!$A:$A,AP$2)+countifs(Students!$H:$H,$P58,Students!$I:$I,$P$2&amp;if($K58="S1","a",if($K58="S2","b","")),Students!$A:$A,AP$2)+countifs(Students!$J:$J,$P58,Students!$K:$K,$P$2&amp;if($K58="S1","a",if($K58="S2","b","")),Students!$A:$A,AP$2)+countifs(Students!$L:$L,$P58,Students!$M:$M,$P$2&amp;if($K58="S1","a",if($K58="S2","b","")),Students!$A:$A,AP$2)+countifs(Students!$N:$N,$P58,Students!$O:$O,$P$2&amp;if($K58="S1","a",if($K58="S2","b","")),Students!$A:$A,AP$2)+countifs(Students!$P:$P,$P58,Students!$Q:$Q,$P$2&amp;if($K58="S1","a",if($K58="S2","b","")),Students!$A:$A,AP$2)+countifs(Students!$R:$R,$P58,Students!$S:$S,$P$2&amp;if($K58="S1","a",if($K58="S2","b","")),Students!$A:$A,AP$2)+countifs(Students!$T:$T,$P58,Students!$U:$U,$P$2&amp;if($K58="S1","a",if($K58="S2","b","")),Students!$A:$A,AP$2)+countifs(Students!$V:$V,$P58,Students!$W:$W,$P$2&amp;if($K58="S1","a",if($K58="S2","b","")),Students!$A:$A,AP$2)+
countifs(Students!$D:$D,$S58,Students!$E:$E,$S$2&amp;if($K58="S1","a",if($K58="S2","b","")),Students!$A:$A,AP$2)+countifs(Students!$F:$F,$S58,Students!$G:$G,$S$2&amp;if($K58="S1","a",if($K58="S2","b","")),Students!$A:$A,AP$2)+countifs(Students!$H:$H,$S58,Students!$I:$I,$S$2&amp;if($K58="S1","a",if($K58="S2","b","")),Students!$A:$A,AP$2)+countifs(Students!$J:$J,$S58,Students!$K:$K,$S$2&amp;if($K58="S1","a",if($K58="S2","b","")),Students!$A:$A,AP$2)+countifs(Students!$L:$L,$S58,Students!$M:$M,$S$2&amp;if($K58="S1","a",if($K58="S2","b","")),Students!$A:$A,AP$2)+countifs(Students!$N:$N,$S58,Students!$O:$O,$S$2&amp;if($K58="S1","a",if($K58="S2","b","")),Students!$A:$A,AP$2)+countifs(Students!$P:$P,$S58,Students!$Q:$Q,$S$2&amp;if($K58="S1","a",if($K58="S2","b","")),Students!$A:$A,AP$2)+countifs(Students!$R:$R,$S58,Students!$S:$S,$S$2&amp;if($K58="S1","a",if($K58="S2","b","")),Students!$A:$A,AP$2)+countifs(Students!$T:$T,$S58,Students!$U:$U,$S$2&amp;if($K58="S1","a",if($K58="S2","b","")),Students!$A:$A,AP$2)+countifs(Students!$V:$V,$S58,Students!$W:$W,$S$2&amp;if($K58="S1","a",if($K58="S2","b","")),Students!$A:$A,AP$2)+
countifs(Students!$D:$D,$V58,Students!$E:$E,$V$2&amp;if($K58="S1","a",if($K58="S2","b","")),Students!$A:$A,AP$2)+countifs(Students!$F:$F,$V58,Students!$G:$G,$V$2&amp;if($K58="S1","a",if($K58="S2","b","")),Students!$A:$A,AP$2)+countifs(Students!$H:$H,$V58,Students!$I:$I,$V$2&amp;if($K58="S1","a",if($K58="S2","b","")),Students!$A:$A,AP$2)+countifs(Students!$J:$J,$V58,Students!$K:$K,$V$2&amp;if($K58="S1","a",if($K58="S2","b","")),Students!$A:$A,AP$2)+countifs(Students!$L:$L,$V58,Students!$M:$M,$V$2&amp;if($K58="S1","a",if($K58="S2","b","")),Students!$A:$A,AP$2)+countifs(Students!$N:$N,$V58,Students!$O:$O,$V$2&amp;if($K58="S1","a",if($K58="S2","b","")),Students!$A:$A,AP$2)+countifs(Students!$P:$P,$V58,Students!$Q:$Q,$V$2&amp;if($K58="S1","a",if($K58="S2","b","")),Students!$A:$A,AP$2)+countifs(Students!$R:$R,$V58,Students!$S:$S,$V$2&amp;if($K58="S1","a",if($K58="S2","b","")),Students!$A:$A,AP$2)+countifs(Students!$T:$T,$V58,Students!$U:$U,$V$2&amp;if($K58="S1","a",if($K58="S2","b","")),Students!$A:$A,AP$2)+countifs(Students!$V:$V,$V58,Students!$W:$W,$V$2&amp;if($K58="S1","a",if($K58="S2","b","")),Students!$A:$A,AP$2)+
countifs(Students!$D:$D,$Y58,Students!$E:$E,$Y$2&amp;if($K58="S1","a",if($K58="S2","b","")),Students!$A:$A,AP$2)+countifs(Students!$F:$F,$Y58,Students!$G:$G,$Y$2&amp;if($K58="S1","a",if($K58="S2","b","")),Students!$A:$A,AP$2)+countifs(Students!$H:$H,$Y58,Students!$I:$I,$Y$2&amp;if($K58="S1","a",if($K58="S2","b","")),Students!$A:$A,AP$2)+countifs(Students!$J:$J,$Y58,Students!$K:$K,$Y$2&amp;if($K58="S1","a",if($K58="S2","b","")),Students!$A:$A,AP$2)+countifs(Students!$L:$L,$Y58,Students!$M:$M,$Y$2&amp;if($K58="S1","a",if($K58="S2","b","")),Students!$A:$A,AP$2)+countifs(Students!$N:$N,$Y58,Students!$O:$O,$Y$2&amp;if($K58="S1","a",if($K58="S2","b","")),Students!$A:$A,AP$2)+countifs(Students!$P:$P,$Y58,Students!$Q:$Q,$Y$2&amp;if($K58="S1","a",if($K58="S2","b","")),Students!$A:$A,AP$2)+countifs(Students!$R:$R,$Y58,Students!$S:$S,$Y$2&amp;if($K58="S1","a",if($K58="S2","b","")),Students!$A:$A,AP$2)+countifs(Students!$T:$T,$Y58,Students!$U:$U,$Y$2&amp;if($K58="S1","a",if($K58="S2","b","")),Students!$A:$A,AP$2)+countifs(Students!$V:$V,$Y58,Students!$W:$W,$Y$2&amp;if($K58="S1","a",if($K58="S2","b","")),Students!$A:$A,AP$2)+
countifs(Students!$D:$D,$AB58,Students!$E:$E,$AB$2&amp;if($K58="S1","a",if($K58="S2","b","")),Students!$A:$A,AP$2)+countifs(Students!$F:$F,$AB58,Students!$G:$G,$AB$2&amp;if($K58="S1","a",if($K58="S2","b","")),Students!$A:$A,AP$2)+countifs(Students!$H:$H,$AB58,Students!$I:$I,$AB$2&amp;if($K58="S1","a",if($K58="S2","b","")),Students!$A:$A,AP$2)+countifs(Students!$J:$J,$AB58,Students!$K:$K,$AB$2&amp;if($K58="S1","a",if($K58="S2","b","")),Students!$A:$A,AP$2)+countifs(Students!$L:$L,$AB58,Students!$M:$M,$AB$2&amp;if($K58="S1","a",if($K58="S2","b","")),Students!$A:$A,AP$2)+countifs(Students!$N:$N,$AB58,Students!$O:$O,$AB$2&amp;if($K58="S1","a",if($K58="S2","b","")),Students!$A:$A,AP$2)+countifs(Students!$P:$P,$AB58,Students!$Q:$Q,$AB$2&amp;if($K58="S1","a",if($K58="S2","b","")),Students!$A:$A,AP$2)+countifs(Students!$R:$R,$AB58,Students!$S:$S,$AB$2&amp;if($K58="S1","a",if($K58="S2","b","")),Students!$A:$A,AP$2)+countifs(Students!$T:$T,$AB58,Students!$U:$U,$AB$2&amp;if($K58="S1","a",if($K58="S2","b","")),Students!$A:$A,AP$2)+countifs(Students!$V:$V,$AB58,Students!$W:$W,$AB$2&amp;if($K58="S1","a",if($K58="S2","b","")),Students!$A:$A,AP$2)+
countifs(Students!$D:$D,$AE58,Students!$E:$E,$AE$2&amp;if($K58="S1","a",if($K58="S2","b","")),Students!$A:$A,AP$2)+countifs(Students!$F:$F,$AE58,Students!$G:$G,$AE$2&amp;if($K58="S1","a",if($K58="S2","b","")),Students!$A:$A,AP$2)+countifs(Students!$H:$H,$AE58,Students!$I:$I,$AE$2&amp;if($K58="S1","a",if($K58="S2","b","")),Students!$A:$A,AP$2)+countifs(Students!$J:$J,$AE58,Students!$K:$K,$AE$2&amp;if($K58="S1","a",if($K58="S2","b","")),Students!$A:$A,AP$2)+countifs(Students!$L:$L,$AE58,Students!$M:$M,$AE$2&amp;if($K58="S1","a",if($K58="S2","b","")),Students!$A:$A,AP$2)+countifs(Students!$N:$N,$AE58,Students!$O:$O,$AE$2&amp;if($K58="S1","a",if($K58="S2","b","")),Students!$A:$A,AP$2)+countifs(Students!$P:$P,$AE58,Students!$Q:$Q,$AE$2&amp;if($K58="S1","a",if($K58="S2","b","")),Students!$A:$A,AP$2)+countifs(Students!$R:$R,$AE58,Students!$S:$S,$AE$2&amp;if($K58="S1","a",if($K58="S2","b","")),Students!$A:$A,AP$2)+countifs(Students!$T:$T,$AE58,Students!$U:$U,$AE$2&amp;if($K58="S1","a",if($K58="S2","b","")),Students!$A:$A,AP$2)+countifs(Students!$V:$V,$AE58,Students!$W:$W,$AE$2&amp;if($K58="S1","a",if($K58="S2","b","")),Students!$A:$A,AP$2)+
countifs(Students!$D:$D,$AH58,Students!$E:$E,$AH$2&amp;if($K58="S1","a",if($K58="S2","b","")),Students!$A:$A,AP$2)+countifs(Students!$F:$F,$AH58,Students!$G:$G,$AH$2&amp;if($K58="S1","a",if($K58="S2","b","")),Students!$A:$A,AP$2)+countifs(Students!$H:$H,$AH58,Students!$I:$I,$AH$2&amp;if($K58="S1","a",if($K58="S2","b","")),Students!$A:$A,AP$2)+countifs(Students!$J:$J,$AH58,Students!$K:$K,$AH$2&amp;if($K58="S1","a",if($K58="S2","b","")),Students!$A:$A,AP$2)+countifs(Students!$L:$L,$AH58,Students!$M:$M,$AH$2&amp;if($K58="S1","a",if($K58="S2","b","")),Students!$A:$A,AP$2)+countifs(Students!$N:$N,$AH58,Students!$O:$O,$AH$2&amp;if($K58="S1","a",if($K58="S2","b","")),Students!$A:$A,AP$2)+countifs(Students!$P:$P,$AH58,Students!$Q:$Q,$AH$2&amp;if($K58="S1","a",if($K58="S2","b","")),Students!$A:$A,AP$2)+countifs(Students!$R:$R,$AH58,Students!$S:$S,$AH$2&amp;if($K58="S1","a",if($K58="S2","b","")),Students!$A:$A,AP$2)+countifs(Students!$T:$T,$AH58,Students!$U:$U,$AH$2&amp;if($K58="S1","a",if($K58="S2","b","")),Students!$A:$A,AP$2)+countifs(Students!$V:$V,$AH58,Students!$W:$W,$AH$2&amp;if($K58="S1","a",if($K58="S2","b","")),Students!$A:$A,AP$2)+
countifs(Students!$D:$D,$AK58,Students!$E:$E,$AK$2&amp;if($K58="S1","a",if($K58="S2","b","")),Students!$A:$A,AP$2)+countifs(Students!$F:$F,$AK58,Students!$G:$G,$AK$2&amp;if($K58="S1","a",if($K58="S2","b","")),Students!$A:$A,AP$2)+countifs(Students!$H:$H,$AK58,Students!$I:$I,$AK$2&amp;if($K58="S1","a",if($K58="S2","b","")),Students!$A:$A,AP$2)+countifs(Students!$J:$J,$AK58,Students!$K:$K,$AK$2&amp;if($K58="S1","a",if($K58="S2","b","")),Students!$A:$A,AP$2)+countifs(Students!$L:$L,$AK58,Students!$M:$M,$AK$2&amp;if($K58="S1","a",if($K58="S2","b","")),Students!$A:$A,AP$2)+countifs(Students!$N:$N,$AK58,Students!$O:$O,$AK$2&amp;if($K58="S1","a",if($K58="S2","b","")),Students!$A:$A,AP$2)+countifs(Students!$P:$P,$AK58,Students!$Q:$Q,$AK$2&amp;if($K58="S1","a",if($K58="S2","b","")),Students!$A:$A,AP$2)+countifs(Students!$R:$R,$AK58,Students!$S:$S,$AK$2&amp;if($K58="S1","a",if($K58="S2","b","")),Students!$A:$A,AP$2)+countifs(Students!$T:$T,$AK58,Students!$U:$U,$AK$2&amp;if($K58="S1","a",if($K58="S2","b","")),Students!$A:$A,AP$2)+countifs(Students!$V:$V,$AK58,Students!$W:$W,$AK$2&amp;if($K58="S1","a",if($K58="S2","b","")),Students!$A:$A,AP$2))</f>
        <v/>
      </c>
      <c r="AQ58" s="98" t="str">
        <f>if($L58="","",countifs(Students!$D:$D,$P58,Students!$E:$E,$P$2&amp;if($K58="S1","a",if($K58="S2","b","")),Students!$A:$A,AQ$2)+countifs(Students!$F:$F,$P58,Students!$G:$G,$P$2&amp;if($K58="S1","a",if($K58="S2","b","")),Students!$A:$A,AQ$2)+countifs(Students!$H:$H,$P58,Students!$I:$I,$P$2&amp;if($K58="S1","a",if($K58="S2","b","")),Students!$A:$A,AQ$2)+countifs(Students!$J:$J,$P58,Students!$K:$K,$P$2&amp;if($K58="S1","a",if($K58="S2","b","")),Students!$A:$A,AQ$2)+countifs(Students!$L:$L,$P58,Students!$M:$M,$P$2&amp;if($K58="S1","a",if($K58="S2","b","")),Students!$A:$A,AQ$2)+countifs(Students!$N:$N,$P58,Students!$O:$O,$P$2&amp;if($K58="S1","a",if($K58="S2","b","")),Students!$A:$A,AQ$2)+countifs(Students!$P:$P,$P58,Students!$Q:$Q,$P$2&amp;if($K58="S1","a",if($K58="S2","b","")),Students!$A:$A,AQ$2)+countifs(Students!$R:$R,$P58,Students!$S:$S,$P$2&amp;if($K58="S1","a",if($K58="S2","b","")),Students!$A:$A,AQ$2)+countifs(Students!$T:$T,$P58,Students!$U:$U,$P$2&amp;if($K58="S1","a",if($K58="S2","b","")),Students!$A:$A,AQ$2)+countifs(Students!$V:$V,$P58,Students!$W:$W,$P$2&amp;if($K58="S1","a",if($K58="S2","b","")),Students!$A:$A,AQ$2)+
countifs(Students!$D:$D,$S58,Students!$E:$E,$S$2&amp;if($K58="S1","a",if($K58="S2","b","")),Students!$A:$A,AQ$2)+countifs(Students!$F:$F,$S58,Students!$G:$G,$S$2&amp;if($K58="S1","a",if($K58="S2","b","")),Students!$A:$A,AQ$2)+countifs(Students!$H:$H,$S58,Students!$I:$I,$S$2&amp;if($K58="S1","a",if($K58="S2","b","")),Students!$A:$A,AQ$2)+countifs(Students!$J:$J,$S58,Students!$K:$K,$S$2&amp;if($K58="S1","a",if($K58="S2","b","")),Students!$A:$A,AQ$2)+countifs(Students!$L:$L,$S58,Students!$M:$M,$S$2&amp;if($K58="S1","a",if($K58="S2","b","")),Students!$A:$A,AQ$2)+countifs(Students!$N:$N,$S58,Students!$O:$O,$S$2&amp;if($K58="S1","a",if($K58="S2","b","")),Students!$A:$A,AQ$2)+countifs(Students!$P:$P,$S58,Students!$Q:$Q,$S$2&amp;if($K58="S1","a",if($K58="S2","b","")),Students!$A:$A,AQ$2)+countifs(Students!$R:$R,$S58,Students!$S:$S,$S$2&amp;if($K58="S1","a",if($K58="S2","b","")),Students!$A:$A,AQ$2)+countifs(Students!$T:$T,$S58,Students!$U:$U,$S$2&amp;if($K58="S1","a",if($K58="S2","b","")),Students!$A:$A,AQ$2)+countifs(Students!$V:$V,$S58,Students!$W:$W,$S$2&amp;if($K58="S1","a",if($K58="S2","b","")),Students!$A:$A,AQ$2)+
countifs(Students!$D:$D,$V58,Students!$E:$E,$V$2&amp;if($K58="S1","a",if($K58="S2","b","")),Students!$A:$A,AQ$2)+countifs(Students!$F:$F,$V58,Students!$G:$G,$V$2&amp;if($K58="S1","a",if($K58="S2","b","")),Students!$A:$A,AQ$2)+countifs(Students!$H:$H,$V58,Students!$I:$I,$V$2&amp;if($K58="S1","a",if($K58="S2","b","")),Students!$A:$A,AQ$2)+countifs(Students!$J:$J,$V58,Students!$K:$K,$V$2&amp;if($K58="S1","a",if($K58="S2","b","")),Students!$A:$A,AQ$2)+countifs(Students!$L:$L,$V58,Students!$M:$M,$V$2&amp;if($K58="S1","a",if($K58="S2","b","")),Students!$A:$A,AQ$2)+countifs(Students!$N:$N,$V58,Students!$O:$O,$V$2&amp;if($K58="S1","a",if($K58="S2","b","")),Students!$A:$A,AQ$2)+countifs(Students!$P:$P,$V58,Students!$Q:$Q,$V$2&amp;if($K58="S1","a",if($K58="S2","b","")),Students!$A:$A,AQ$2)+countifs(Students!$R:$R,$V58,Students!$S:$S,$V$2&amp;if($K58="S1","a",if($K58="S2","b","")),Students!$A:$A,AQ$2)+countifs(Students!$T:$T,$V58,Students!$U:$U,$V$2&amp;if($K58="S1","a",if($K58="S2","b","")),Students!$A:$A,AQ$2)+countifs(Students!$V:$V,$V58,Students!$W:$W,$V$2&amp;if($K58="S1","a",if($K58="S2","b","")),Students!$A:$A,AQ$2)+
countifs(Students!$D:$D,$Y58,Students!$E:$E,$Y$2&amp;if($K58="S1","a",if($K58="S2","b","")),Students!$A:$A,AQ$2)+countifs(Students!$F:$F,$Y58,Students!$G:$G,$Y$2&amp;if($K58="S1","a",if($K58="S2","b","")),Students!$A:$A,AQ$2)+countifs(Students!$H:$H,$Y58,Students!$I:$I,$Y$2&amp;if($K58="S1","a",if($K58="S2","b","")),Students!$A:$A,AQ$2)+countifs(Students!$J:$J,$Y58,Students!$K:$K,$Y$2&amp;if($K58="S1","a",if($K58="S2","b","")),Students!$A:$A,AQ$2)+countifs(Students!$L:$L,$Y58,Students!$M:$M,$Y$2&amp;if($K58="S1","a",if($K58="S2","b","")),Students!$A:$A,AQ$2)+countifs(Students!$N:$N,$Y58,Students!$O:$O,$Y$2&amp;if($K58="S1","a",if($K58="S2","b","")),Students!$A:$A,AQ$2)+countifs(Students!$P:$P,$Y58,Students!$Q:$Q,$Y$2&amp;if($K58="S1","a",if($K58="S2","b","")),Students!$A:$A,AQ$2)+countifs(Students!$R:$R,$Y58,Students!$S:$S,$Y$2&amp;if($K58="S1","a",if($K58="S2","b","")),Students!$A:$A,AQ$2)+countifs(Students!$T:$T,$Y58,Students!$U:$U,$Y$2&amp;if($K58="S1","a",if($K58="S2","b","")),Students!$A:$A,AQ$2)+countifs(Students!$V:$V,$Y58,Students!$W:$W,$Y$2&amp;if($K58="S1","a",if($K58="S2","b","")),Students!$A:$A,AQ$2)+
countifs(Students!$D:$D,$AB58,Students!$E:$E,$AB$2&amp;if($K58="S1","a",if($K58="S2","b","")),Students!$A:$A,AQ$2)+countifs(Students!$F:$F,$AB58,Students!$G:$G,$AB$2&amp;if($K58="S1","a",if($K58="S2","b","")),Students!$A:$A,AQ$2)+countifs(Students!$H:$H,$AB58,Students!$I:$I,$AB$2&amp;if($K58="S1","a",if($K58="S2","b","")),Students!$A:$A,AQ$2)+countifs(Students!$J:$J,$AB58,Students!$K:$K,$AB$2&amp;if($K58="S1","a",if($K58="S2","b","")),Students!$A:$A,AQ$2)+countifs(Students!$L:$L,$AB58,Students!$M:$M,$AB$2&amp;if($K58="S1","a",if($K58="S2","b","")),Students!$A:$A,AQ$2)+countifs(Students!$N:$N,$AB58,Students!$O:$O,$AB$2&amp;if($K58="S1","a",if($K58="S2","b","")),Students!$A:$A,AQ$2)+countifs(Students!$P:$P,$AB58,Students!$Q:$Q,$AB$2&amp;if($K58="S1","a",if($K58="S2","b","")),Students!$A:$A,AQ$2)+countifs(Students!$R:$R,$AB58,Students!$S:$S,$AB$2&amp;if($K58="S1","a",if($K58="S2","b","")),Students!$A:$A,AQ$2)+countifs(Students!$T:$T,$AB58,Students!$U:$U,$AB$2&amp;if($K58="S1","a",if($K58="S2","b","")),Students!$A:$A,AQ$2)+countifs(Students!$V:$V,$AB58,Students!$W:$W,$AB$2&amp;if($K58="S1","a",if($K58="S2","b","")),Students!$A:$A,AQ$2)+
countifs(Students!$D:$D,$AE58,Students!$E:$E,$AE$2&amp;if($K58="S1","a",if($K58="S2","b","")),Students!$A:$A,AQ$2)+countifs(Students!$F:$F,$AE58,Students!$G:$G,$AE$2&amp;if($K58="S1","a",if($K58="S2","b","")),Students!$A:$A,AQ$2)+countifs(Students!$H:$H,$AE58,Students!$I:$I,$AE$2&amp;if($K58="S1","a",if($K58="S2","b","")),Students!$A:$A,AQ$2)+countifs(Students!$J:$J,$AE58,Students!$K:$K,$AE$2&amp;if($K58="S1","a",if($K58="S2","b","")),Students!$A:$A,AQ$2)+countifs(Students!$L:$L,$AE58,Students!$M:$M,$AE$2&amp;if($K58="S1","a",if($K58="S2","b","")),Students!$A:$A,AQ$2)+countifs(Students!$N:$N,$AE58,Students!$O:$O,$AE$2&amp;if($K58="S1","a",if($K58="S2","b","")),Students!$A:$A,AQ$2)+countifs(Students!$P:$P,$AE58,Students!$Q:$Q,$AE$2&amp;if($K58="S1","a",if($K58="S2","b","")),Students!$A:$A,AQ$2)+countifs(Students!$R:$R,$AE58,Students!$S:$S,$AE$2&amp;if($K58="S1","a",if($K58="S2","b","")),Students!$A:$A,AQ$2)+countifs(Students!$T:$T,$AE58,Students!$U:$U,$AE$2&amp;if($K58="S1","a",if($K58="S2","b","")),Students!$A:$A,AQ$2)+countifs(Students!$V:$V,$AE58,Students!$W:$W,$AE$2&amp;if($K58="S1","a",if($K58="S2","b","")),Students!$A:$A,AQ$2)+
countifs(Students!$D:$D,$AH58,Students!$E:$E,$AH$2&amp;if($K58="S1","a",if($K58="S2","b","")),Students!$A:$A,AQ$2)+countifs(Students!$F:$F,$AH58,Students!$G:$G,$AH$2&amp;if($K58="S1","a",if($K58="S2","b","")),Students!$A:$A,AQ$2)+countifs(Students!$H:$H,$AH58,Students!$I:$I,$AH$2&amp;if($K58="S1","a",if($K58="S2","b","")),Students!$A:$A,AQ$2)+countifs(Students!$J:$J,$AH58,Students!$K:$K,$AH$2&amp;if($K58="S1","a",if($K58="S2","b","")),Students!$A:$A,AQ$2)+countifs(Students!$L:$L,$AH58,Students!$M:$M,$AH$2&amp;if($K58="S1","a",if($K58="S2","b","")),Students!$A:$A,AQ$2)+countifs(Students!$N:$N,$AH58,Students!$O:$O,$AH$2&amp;if($K58="S1","a",if($K58="S2","b","")),Students!$A:$A,AQ$2)+countifs(Students!$P:$P,$AH58,Students!$Q:$Q,$AH$2&amp;if($K58="S1","a",if($K58="S2","b","")),Students!$A:$A,AQ$2)+countifs(Students!$R:$R,$AH58,Students!$S:$S,$AH$2&amp;if($K58="S1","a",if($K58="S2","b","")),Students!$A:$A,AQ$2)+countifs(Students!$T:$T,$AH58,Students!$U:$U,$AH$2&amp;if($K58="S1","a",if($K58="S2","b","")),Students!$A:$A,AQ$2)+countifs(Students!$V:$V,$AH58,Students!$W:$W,$AH$2&amp;if($K58="S1","a",if($K58="S2","b","")),Students!$A:$A,AQ$2)+
countifs(Students!$D:$D,$AK58,Students!$E:$E,$AK$2&amp;if($K58="S1","a",if($K58="S2","b","")),Students!$A:$A,AQ$2)+countifs(Students!$F:$F,$AK58,Students!$G:$G,$AK$2&amp;if($K58="S1","a",if($K58="S2","b","")),Students!$A:$A,AQ$2)+countifs(Students!$H:$H,$AK58,Students!$I:$I,$AK$2&amp;if($K58="S1","a",if($K58="S2","b","")),Students!$A:$A,AQ$2)+countifs(Students!$J:$J,$AK58,Students!$K:$K,$AK$2&amp;if($K58="S1","a",if($K58="S2","b","")),Students!$A:$A,AQ$2)+countifs(Students!$L:$L,$AK58,Students!$M:$M,$AK$2&amp;if($K58="S1","a",if($K58="S2","b","")),Students!$A:$A,AQ$2)+countifs(Students!$N:$N,$AK58,Students!$O:$O,$AK$2&amp;if($K58="S1","a",if($K58="S2","b","")),Students!$A:$A,AQ$2)+countifs(Students!$P:$P,$AK58,Students!$Q:$Q,$AK$2&amp;if($K58="S1","a",if($K58="S2","b","")),Students!$A:$A,AQ$2)+countifs(Students!$R:$R,$AK58,Students!$S:$S,$AK$2&amp;if($K58="S1","a",if($K58="S2","b","")),Students!$A:$A,AQ$2)+countifs(Students!$T:$T,$AK58,Students!$U:$U,$AK$2&amp;if($K58="S1","a",if($K58="S2","b","")),Students!$A:$A,AQ$2)+countifs(Students!$V:$V,$AK58,Students!$W:$W,$AK$2&amp;if($K58="S1","a",if($K58="S2","b","")),Students!$A:$A,AQ$2))</f>
        <v/>
      </c>
      <c r="AR58" s="98" t="str">
        <f>if($L58="","",countifs(Students!$D:$D,$P58,Students!$E:$E,$P$2&amp;if($K58="S1","a",if($K58="S2","b","")),Students!$A:$A,AR$2)+countifs(Students!$F:$F,$P58,Students!$G:$G,$P$2&amp;if($K58="S1","a",if($K58="S2","b","")),Students!$A:$A,AR$2)+countifs(Students!$H:$H,$P58,Students!$I:$I,$P$2&amp;if($K58="S1","a",if($K58="S2","b","")),Students!$A:$A,AR$2)+countifs(Students!$J:$J,$P58,Students!$K:$K,$P$2&amp;if($K58="S1","a",if($K58="S2","b","")),Students!$A:$A,AR$2)+countifs(Students!$L:$L,$P58,Students!$M:$M,$P$2&amp;if($K58="S1","a",if($K58="S2","b","")),Students!$A:$A,AR$2)+countifs(Students!$N:$N,$P58,Students!$O:$O,$P$2&amp;if($K58="S1","a",if($K58="S2","b","")),Students!$A:$A,AR$2)+countifs(Students!$P:$P,$P58,Students!$Q:$Q,$P$2&amp;if($K58="S1","a",if($K58="S2","b","")),Students!$A:$A,AR$2)+countifs(Students!$R:$R,$P58,Students!$S:$S,$P$2&amp;if($K58="S1","a",if($K58="S2","b","")),Students!$A:$A,AR$2)+countifs(Students!$T:$T,$P58,Students!$U:$U,$P$2&amp;if($K58="S1","a",if($K58="S2","b","")),Students!$A:$A,AR$2)+countifs(Students!$V:$V,$P58,Students!$W:$W,$P$2&amp;if($K58="S1","a",if($K58="S2","b","")),Students!$A:$A,AR$2)+
countifs(Students!$D:$D,$S58,Students!$E:$E,$S$2&amp;if($K58="S1","a",if($K58="S2","b","")),Students!$A:$A,AR$2)+countifs(Students!$F:$F,$S58,Students!$G:$G,$S$2&amp;if($K58="S1","a",if($K58="S2","b","")),Students!$A:$A,AR$2)+countifs(Students!$H:$H,$S58,Students!$I:$I,$S$2&amp;if($K58="S1","a",if($K58="S2","b","")),Students!$A:$A,AR$2)+countifs(Students!$J:$J,$S58,Students!$K:$K,$S$2&amp;if($K58="S1","a",if($K58="S2","b","")),Students!$A:$A,AR$2)+countifs(Students!$L:$L,$S58,Students!$M:$M,$S$2&amp;if($K58="S1","a",if($K58="S2","b","")),Students!$A:$A,AR$2)+countifs(Students!$N:$N,$S58,Students!$O:$O,$S$2&amp;if($K58="S1","a",if($K58="S2","b","")),Students!$A:$A,AR$2)+countifs(Students!$P:$P,$S58,Students!$Q:$Q,$S$2&amp;if($K58="S1","a",if($K58="S2","b","")),Students!$A:$A,AR$2)+countifs(Students!$R:$R,$S58,Students!$S:$S,$S$2&amp;if($K58="S1","a",if($K58="S2","b","")),Students!$A:$A,AR$2)+countifs(Students!$T:$T,$S58,Students!$U:$U,$S$2&amp;if($K58="S1","a",if($K58="S2","b","")),Students!$A:$A,AR$2)+countifs(Students!$V:$V,$S58,Students!$W:$W,$S$2&amp;if($K58="S1","a",if($K58="S2","b","")),Students!$A:$A,AR$2)+
countifs(Students!$D:$D,$V58,Students!$E:$E,$V$2&amp;if($K58="S1","a",if($K58="S2","b","")),Students!$A:$A,AR$2)+countifs(Students!$F:$F,$V58,Students!$G:$G,$V$2&amp;if($K58="S1","a",if($K58="S2","b","")),Students!$A:$A,AR$2)+countifs(Students!$H:$H,$V58,Students!$I:$I,$V$2&amp;if($K58="S1","a",if($K58="S2","b","")),Students!$A:$A,AR$2)+countifs(Students!$J:$J,$V58,Students!$K:$K,$V$2&amp;if($K58="S1","a",if($K58="S2","b","")),Students!$A:$A,AR$2)+countifs(Students!$L:$L,$V58,Students!$M:$M,$V$2&amp;if($K58="S1","a",if($K58="S2","b","")),Students!$A:$A,AR$2)+countifs(Students!$N:$N,$V58,Students!$O:$O,$V$2&amp;if($K58="S1","a",if($K58="S2","b","")),Students!$A:$A,AR$2)+countifs(Students!$P:$P,$V58,Students!$Q:$Q,$V$2&amp;if($K58="S1","a",if($K58="S2","b","")),Students!$A:$A,AR$2)+countifs(Students!$R:$R,$V58,Students!$S:$S,$V$2&amp;if($K58="S1","a",if($K58="S2","b","")),Students!$A:$A,AR$2)+countifs(Students!$T:$T,$V58,Students!$U:$U,$V$2&amp;if($K58="S1","a",if($K58="S2","b","")),Students!$A:$A,AR$2)+countifs(Students!$V:$V,$V58,Students!$W:$W,$V$2&amp;if($K58="S1","a",if($K58="S2","b","")),Students!$A:$A,AR$2)+
countifs(Students!$D:$D,$Y58,Students!$E:$E,$Y$2&amp;if($K58="S1","a",if($K58="S2","b","")),Students!$A:$A,AR$2)+countifs(Students!$F:$F,$Y58,Students!$G:$G,$Y$2&amp;if($K58="S1","a",if($K58="S2","b","")),Students!$A:$A,AR$2)+countifs(Students!$H:$H,$Y58,Students!$I:$I,$Y$2&amp;if($K58="S1","a",if($K58="S2","b","")),Students!$A:$A,AR$2)+countifs(Students!$J:$J,$Y58,Students!$K:$K,$Y$2&amp;if($K58="S1","a",if($K58="S2","b","")),Students!$A:$A,AR$2)+countifs(Students!$L:$L,$Y58,Students!$M:$M,$Y$2&amp;if($K58="S1","a",if($K58="S2","b","")),Students!$A:$A,AR$2)+countifs(Students!$N:$N,$Y58,Students!$O:$O,$Y$2&amp;if($K58="S1","a",if($K58="S2","b","")),Students!$A:$A,AR$2)+countifs(Students!$P:$P,$Y58,Students!$Q:$Q,$Y$2&amp;if($K58="S1","a",if($K58="S2","b","")),Students!$A:$A,AR$2)+countifs(Students!$R:$R,$Y58,Students!$S:$S,$Y$2&amp;if($K58="S1","a",if($K58="S2","b","")),Students!$A:$A,AR$2)+countifs(Students!$T:$T,$Y58,Students!$U:$U,$Y$2&amp;if($K58="S1","a",if($K58="S2","b","")),Students!$A:$A,AR$2)+countifs(Students!$V:$V,$Y58,Students!$W:$W,$Y$2&amp;if($K58="S1","a",if($K58="S2","b","")),Students!$A:$A,AR$2)+
countifs(Students!$D:$D,$AB58,Students!$E:$E,$AB$2&amp;if($K58="S1","a",if($K58="S2","b","")),Students!$A:$A,AR$2)+countifs(Students!$F:$F,$AB58,Students!$G:$G,$AB$2&amp;if($K58="S1","a",if($K58="S2","b","")),Students!$A:$A,AR$2)+countifs(Students!$H:$H,$AB58,Students!$I:$I,$AB$2&amp;if($K58="S1","a",if($K58="S2","b","")),Students!$A:$A,AR$2)+countifs(Students!$J:$J,$AB58,Students!$K:$K,$AB$2&amp;if($K58="S1","a",if($K58="S2","b","")),Students!$A:$A,AR$2)+countifs(Students!$L:$L,$AB58,Students!$M:$M,$AB$2&amp;if($K58="S1","a",if($K58="S2","b","")),Students!$A:$A,AR$2)+countifs(Students!$N:$N,$AB58,Students!$O:$O,$AB$2&amp;if($K58="S1","a",if($K58="S2","b","")),Students!$A:$A,AR$2)+countifs(Students!$P:$P,$AB58,Students!$Q:$Q,$AB$2&amp;if($K58="S1","a",if($K58="S2","b","")),Students!$A:$A,AR$2)+countifs(Students!$R:$R,$AB58,Students!$S:$S,$AB$2&amp;if($K58="S1","a",if($K58="S2","b","")),Students!$A:$A,AR$2)+countifs(Students!$T:$T,$AB58,Students!$U:$U,$AB$2&amp;if($K58="S1","a",if($K58="S2","b","")),Students!$A:$A,AR$2)+countifs(Students!$V:$V,$AB58,Students!$W:$W,$AB$2&amp;if($K58="S1","a",if($K58="S2","b","")),Students!$A:$A,AR$2)+
countifs(Students!$D:$D,$AE58,Students!$E:$E,$AE$2&amp;if($K58="S1","a",if($K58="S2","b","")),Students!$A:$A,AR$2)+countifs(Students!$F:$F,$AE58,Students!$G:$G,$AE$2&amp;if($K58="S1","a",if($K58="S2","b","")),Students!$A:$A,AR$2)+countifs(Students!$H:$H,$AE58,Students!$I:$I,$AE$2&amp;if($K58="S1","a",if($K58="S2","b","")),Students!$A:$A,AR$2)+countifs(Students!$J:$J,$AE58,Students!$K:$K,$AE$2&amp;if($K58="S1","a",if($K58="S2","b","")),Students!$A:$A,AR$2)+countifs(Students!$L:$L,$AE58,Students!$M:$M,$AE$2&amp;if($K58="S1","a",if($K58="S2","b","")),Students!$A:$A,AR$2)+countifs(Students!$N:$N,$AE58,Students!$O:$O,$AE$2&amp;if($K58="S1","a",if($K58="S2","b","")),Students!$A:$A,AR$2)+countifs(Students!$P:$P,$AE58,Students!$Q:$Q,$AE$2&amp;if($K58="S1","a",if($K58="S2","b","")),Students!$A:$A,AR$2)+countifs(Students!$R:$R,$AE58,Students!$S:$S,$AE$2&amp;if($K58="S1","a",if($K58="S2","b","")),Students!$A:$A,AR$2)+countifs(Students!$T:$T,$AE58,Students!$U:$U,$AE$2&amp;if($K58="S1","a",if($K58="S2","b","")),Students!$A:$A,AR$2)+countifs(Students!$V:$V,$AE58,Students!$W:$W,$AE$2&amp;if($K58="S1","a",if($K58="S2","b","")),Students!$A:$A,AR$2)+
countifs(Students!$D:$D,$AH58,Students!$E:$E,$AH$2&amp;if($K58="S1","a",if($K58="S2","b","")),Students!$A:$A,AR$2)+countifs(Students!$F:$F,$AH58,Students!$G:$G,$AH$2&amp;if($K58="S1","a",if($K58="S2","b","")),Students!$A:$A,AR$2)+countifs(Students!$H:$H,$AH58,Students!$I:$I,$AH$2&amp;if($K58="S1","a",if($K58="S2","b","")),Students!$A:$A,AR$2)+countifs(Students!$J:$J,$AH58,Students!$K:$K,$AH$2&amp;if($K58="S1","a",if($K58="S2","b","")),Students!$A:$A,AR$2)+countifs(Students!$L:$L,$AH58,Students!$M:$M,$AH$2&amp;if($K58="S1","a",if($K58="S2","b","")),Students!$A:$A,AR$2)+countifs(Students!$N:$N,$AH58,Students!$O:$O,$AH$2&amp;if($K58="S1","a",if($K58="S2","b","")),Students!$A:$A,AR$2)+countifs(Students!$P:$P,$AH58,Students!$Q:$Q,$AH$2&amp;if($K58="S1","a",if($K58="S2","b","")),Students!$A:$A,AR$2)+countifs(Students!$R:$R,$AH58,Students!$S:$S,$AH$2&amp;if($K58="S1","a",if($K58="S2","b","")),Students!$A:$A,AR$2)+countifs(Students!$T:$T,$AH58,Students!$U:$U,$AH$2&amp;if($K58="S1","a",if($K58="S2","b","")),Students!$A:$A,AR$2)+countifs(Students!$V:$V,$AH58,Students!$W:$W,$AH$2&amp;if($K58="S1","a",if($K58="S2","b","")),Students!$A:$A,AR$2)+
countifs(Students!$D:$D,$AK58,Students!$E:$E,$AK$2&amp;if($K58="S1","a",if($K58="S2","b","")),Students!$A:$A,AR$2)+countifs(Students!$F:$F,$AK58,Students!$G:$G,$AK$2&amp;if($K58="S1","a",if($K58="S2","b","")),Students!$A:$A,AR$2)+countifs(Students!$H:$H,$AK58,Students!$I:$I,$AK$2&amp;if($K58="S1","a",if($K58="S2","b","")),Students!$A:$A,AR$2)+countifs(Students!$J:$J,$AK58,Students!$K:$K,$AK$2&amp;if($K58="S1","a",if($K58="S2","b","")),Students!$A:$A,AR$2)+countifs(Students!$L:$L,$AK58,Students!$M:$M,$AK$2&amp;if($K58="S1","a",if($K58="S2","b","")),Students!$A:$A,AR$2)+countifs(Students!$N:$N,$AK58,Students!$O:$O,$AK$2&amp;if($K58="S1","a",if($K58="S2","b","")),Students!$A:$A,AR$2)+countifs(Students!$P:$P,$AK58,Students!$Q:$Q,$AK$2&amp;if($K58="S1","a",if($K58="S2","b","")),Students!$A:$A,AR$2)+countifs(Students!$R:$R,$AK58,Students!$S:$S,$AK$2&amp;if($K58="S1","a",if($K58="S2","b","")),Students!$A:$A,AR$2)+countifs(Students!$T:$T,$AK58,Students!$U:$U,$AK$2&amp;if($K58="S1","a",if($K58="S2","b","")),Students!$A:$A,AR$2)+countifs(Students!$V:$V,$AK58,Students!$W:$W,$AK$2&amp;if($K58="S1","a",if($K58="S2","b","")),Students!$A:$A,AR$2))</f>
        <v/>
      </c>
      <c r="AS58" s="98" t="str">
        <f>if($L58="","",countifs(Students!$D:$D,$P58,Students!$E:$E,$P$2&amp;if($K58="S1","a",if($K58="S2","b","")),Students!$A:$A,AS$2)+countifs(Students!$F:$F,$P58,Students!$G:$G,$P$2&amp;if($K58="S1","a",if($K58="S2","b","")),Students!$A:$A,AS$2)+countifs(Students!$H:$H,$P58,Students!$I:$I,$P$2&amp;if($K58="S1","a",if($K58="S2","b","")),Students!$A:$A,AS$2)+countifs(Students!$J:$J,$P58,Students!$K:$K,$P$2&amp;if($K58="S1","a",if($K58="S2","b","")),Students!$A:$A,AS$2)+countifs(Students!$L:$L,$P58,Students!$M:$M,$P$2&amp;if($K58="S1","a",if($K58="S2","b","")),Students!$A:$A,AS$2)+countifs(Students!$N:$N,$P58,Students!$O:$O,$P$2&amp;if($K58="S1","a",if($K58="S2","b","")),Students!$A:$A,AS$2)+countifs(Students!$P:$P,$P58,Students!$Q:$Q,$P$2&amp;if($K58="S1","a",if($K58="S2","b","")),Students!$A:$A,AS$2)+countifs(Students!$R:$R,$P58,Students!$S:$S,$P$2&amp;if($K58="S1","a",if($K58="S2","b","")),Students!$A:$A,AS$2)+countifs(Students!$T:$T,$P58,Students!$U:$U,$P$2&amp;if($K58="S1","a",if($K58="S2","b","")),Students!$A:$A,AS$2)+countifs(Students!$V:$V,$P58,Students!$W:$W,$P$2&amp;if($K58="S1","a",if($K58="S2","b","")),Students!$A:$A,AS$2)+
countifs(Students!$D:$D,$S58,Students!$E:$E,$S$2&amp;if($K58="S1","a",if($K58="S2","b","")),Students!$A:$A,AS$2)+countifs(Students!$F:$F,$S58,Students!$G:$G,$S$2&amp;if($K58="S1","a",if($K58="S2","b","")),Students!$A:$A,AS$2)+countifs(Students!$H:$H,$S58,Students!$I:$I,$S$2&amp;if($K58="S1","a",if($K58="S2","b","")),Students!$A:$A,AS$2)+countifs(Students!$J:$J,$S58,Students!$K:$K,$S$2&amp;if($K58="S1","a",if($K58="S2","b","")),Students!$A:$A,AS$2)+countifs(Students!$L:$L,$S58,Students!$M:$M,$S$2&amp;if($K58="S1","a",if($K58="S2","b","")),Students!$A:$A,AS$2)+countifs(Students!$N:$N,$S58,Students!$O:$O,$S$2&amp;if($K58="S1","a",if($K58="S2","b","")),Students!$A:$A,AS$2)+countifs(Students!$P:$P,$S58,Students!$Q:$Q,$S$2&amp;if($K58="S1","a",if($K58="S2","b","")),Students!$A:$A,AS$2)+countifs(Students!$R:$R,$S58,Students!$S:$S,$S$2&amp;if($K58="S1","a",if($K58="S2","b","")),Students!$A:$A,AS$2)+countifs(Students!$T:$T,$S58,Students!$U:$U,$S$2&amp;if($K58="S1","a",if($K58="S2","b","")),Students!$A:$A,AS$2)+countifs(Students!$V:$V,$S58,Students!$W:$W,$S$2&amp;if($K58="S1","a",if($K58="S2","b","")),Students!$A:$A,AS$2)+
countifs(Students!$D:$D,$V58,Students!$E:$E,$V$2&amp;if($K58="S1","a",if($K58="S2","b","")),Students!$A:$A,AS$2)+countifs(Students!$F:$F,$V58,Students!$G:$G,$V$2&amp;if($K58="S1","a",if($K58="S2","b","")),Students!$A:$A,AS$2)+countifs(Students!$H:$H,$V58,Students!$I:$I,$V$2&amp;if($K58="S1","a",if($K58="S2","b","")),Students!$A:$A,AS$2)+countifs(Students!$J:$J,$V58,Students!$K:$K,$V$2&amp;if($K58="S1","a",if($K58="S2","b","")),Students!$A:$A,AS$2)+countifs(Students!$L:$L,$V58,Students!$M:$M,$V$2&amp;if($K58="S1","a",if($K58="S2","b","")),Students!$A:$A,AS$2)+countifs(Students!$N:$N,$V58,Students!$O:$O,$V$2&amp;if($K58="S1","a",if($K58="S2","b","")),Students!$A:$A,AS$2)+countifs(Students!$P:$P,$V58,Students!$Q:$Q,$V$2&amp;if($K58="S1","a",if($K58="S2","b","")),Students!$A:$A,AS$2)+countifs(Students!$R:$R,$V58,Students!$S:$S,$V$2&amp;if($K58="S1","a",if($K58="S2","b","")),Students!$A:$A,AS$2)+countifs(Students!$T:$T,$V58,Students!$U:$U,$V$2&amp;if($K58="S1","a",if($K58="S2","b","")),Students!$A:$A,AS$2)+countifs(Students!$V:$V,$V58,Students!$W:$W,$V$2&amp;if($K58="S1","a",if($K58="S2","b","")),Students!$A:$A,AS$2)+
countifs(Students!$D:$D,$Y58,Students!$E:$E,$Y$2&amp;if($K58="S1","a",if($K58="S2","b","")),Students!$A:$A,AS$2)+countifs(Students!$F:$F,$Y58,Students!$G:$G,$Y$2&amp;if($K58="S1","a",if($K58="S2","b","")),Students!$A:$A,AS$2)+countifs(Students!$H:$H,$Y58,Students!$I:$I,$Y$2&amp;if($K58="S1","a",if($K58="S2","b","")),Students!$A:$A,AS$2)+countifs(Students!$J:$J,$Y58,Students!$K:$K,$Y$2&amp;if($K58="S1","a",if($K58="S2","b","")),Students!$A:$A,AS$2)+countifs(Students!$L:$L,$Y58,Students!$M:$M,$Y$2&amp;if($K58="S1","a",if($K58="S2","b","")),Students!$A:$A,AS$2)+countifs(Students!$N:$N,$Y58,Students!$O:$O,$Y$2&amp;if($K58="S1","a",if($K58="S2","b","")),Students!$A:$A,AS$2)+countifs(Students!$P:$P,$Y58,Students!$Q:$Q,$Y$2&amp;if($K58="S1","a",if($K58="S2","b","")),Students!$A:$A,AS$2)+countifs(Students!$R:$R,$Y58,Students!$S:$S,$Y$2&amp;if($K58="S1","a",if($K58="S2","b","")),Students!$A:$A,AS$2)+countifs(Students!$T:$T,$Y58,Students!$U:$U,$Y$2&amp;if($K58="S1","a",if($K58="S2","b","")),Students!$A:$A,AS$2)+countifs(Students!$V:$V,$Y58,Students!$W:$W,$Y$2&amp;if($K58="S1","a",if($K58="S2","b","")),Students!$A:$A,AS$2)+
countifs(Students!$D:$D,$AB58,Students!$E:$E,$AB$2&amp;if($K58="S1","a",if($K58="S2","b","")),Students!$A:$A,AS$2)+countifs(Students!$F:$F,$AB58,Students!$G:$G,$AB$2&amp;if($K58="S1","a",if($K58="S2","b","")),Students!$A:$A,AS$2)+countifs(Students!$H:$H,$AB58,Students!$I:$I,$AB$2&amp;if($K58="S1","a",if($K58="S2","b","")),Students!$A:$A,AS$2)+countifs(Students!$J:$J,$AB58,Students!$K:$K,$AB$2&amp;if($K58="S1","a",if($K58="S2","b","")),Students!$A:$A,AS$2)+countifs(Students!$L:$L,$AB58,Students!$M:$M,$AB$2&amp;if($K58="S1","a",if($K58="S2","b","")),Students!$A:$A,AS$2)+countifs(Students!$N:$N,$AB58,Students!$O:$O,$AB$2&amp;if($K58="S1","a",if($K58="S2","b","")),Students!$A:$A,AS$2)+countifs(Students!$P:$P,$AB58,Students!$Q:$Q,$AB$2&amp;if($K58="S1","a",if($K58="S2","b","")),Students!$A:$A,AS$2)+countifs(Students!$R:$R,$AB58,Students!$S:$S,$AB$2&amp;if($K58="S1","a",if($K58="S2","b","")),Students!$A:$A,AS$2)+countifs(Students!$T:$T,$AB58,Students!$U:$U,$AB$2&amp;if($K58="S1","a",if($K58="S2","b","")),Students!$A:$A,AS$2)+countifs(Students!$V:$V,$AB58,Students!$W:$W,$AB$2&amp;if($K58="S1","a",if($K58="S2","b","")),Students!$A:$A,AS$2)+
countifs(Students!$D:$D,$AE58,Students!$E:$E,$AE$2&amp;if($K58="S1","a",if($K58="S2","b","")),Students!$A:$A,AS$2)+countifs(Students!$F:$F,$AE58,Students!$G:$G,$AE$2&amp;if($K58="S1","a",if($K58="S2","b","")),Students!$A:$A,AS$2)+countifs(Students!$H:$H,$AE58,Students!$I:$I,$AE$2&amp;if($K58="S1","a",if($K58="S2","b","")),Students!$A:$A,AS$2)+countifs(Students!$J:$J,$AE58,Students!$K:$K,$AE$2&amp;if($K58="S1","a",if($K58="S2","b","")),Students!$A:$A,AS$2)+countifs(Students!$L:$L,$AE58,Students!$M:$M,$AE$2&amp;if($K58="S1","a",if($K58="S2","b","")),Students!$A:$A,AS$2)+countifs(Students!$N:$N,$AE58,Students!$O:$O,$AE$2&amp;if($K58="S1","a",if($K58="S2","b","")),Students!$A:$A,AS$2)+countifs(Students!$P:$P,$AE58,Students!$Q:$Q,$AE$2&amp;if($K58="S1","a",if($K58="S2","b","")),Students!$A:$A,AS$2)+countifs(Students!$R:$R,$AE58,Students!$S:$S,$AE$2&amp;if($K58="S1","a",if($K58="S2","b","")),Students!$A:$A,AS$2)+countifs(Students!$T:$T,$AE58,Students!$U:$U,$AE$2&amp;if($K58="S1","a",if($K58="S2","b","")),Students!$A:$A,AS$2)+countifs(Students!$V:$V,$AE58,Students!$W:$W,$AE$2&amp;if($K58="S1","a",if($K58="S2","b","")),Students!$A:$A,AS$2)+
countifs(Students!$D:$D,$AH58,Students!$E:$E,$AH$2&amp;if($K58="S1","a",if($K58="S2","b","")),Students!$A:$A,AS$2)+countifs(Students!$F:$F,$AH58,Students!$G:$G,$AH$2&amp;if($K58="S1","a",if($K58="S2","b","")),Students!$A:$A,AS$2)+countifs(Students!$H:$H,$AH58,Students!$I:$I,$AH$2&amp;if($K58="S1","a",if($K58="S2","b","")),Students!$A:$A,AS$2)+countifs(Students!$J:$J,$AH58,Students!$K:$K,$AH$2&amp;if($K58="S1","a",if($K58="S2","b","")),Students!$A:$A,AS$2)+countifs(Students!$L:$L,$AH58,Students!$M:$M,$AH$2&amp;if($K58="S1","a",if($K58="S2","b","")),Students!$A:$A,AS$2)+countifs(Students!$N:$N,$AH58,Students!$O:$O,$AH$2&amp;if($K58="S1","a",if($K58="S2","b","")),Students!$A:$A,AS$2)+countifs(Students!$P:$P,$AH58,Students!$Q:$Q,$AH$2&amp;if($K58="S1","a",if($K58="S2","b","")),Students!$A:$A,AS$2)+countifs(Students!$R:$R,$AH58,Students!$S:$S,$AH$2&amp;if($K58="S1","a",if($K58="S2","b","")),Students!$A:$A,AS$2)+countifs(Students!$T:$T,$AH58,Students!$U:$U,$AH$2&amp;if($K58="S1","a",if($K58="S2","b","")),Students!$A:$A,AS$2)+countifs(Students!$V:$V,$AH58,Students!$W:$W,$AH$2&amp;if($K58="S1","a",if($K58="S2","b","")),Students!$A:$A,AS$2)+
countifs(Students!$D:$D,$AK58,Students!$E:$E,$AK$2&amp;if($K58="S1","a",if($K58="S2","b","")),Students!$A:$A,AS$2)+countifs(Students!$F:$F,$AK58,Students!$G:$G,$AK$2&amp;if($K58="S1","a",if($K58="S2","b","")),Students!$A:$A,AS$2)+countifs(Students!$H:$H,$AK58,Students!$I:$I,$AK$2&amp;if($K58="S1","a",if($K58="S2","b","")),Students!$A:$A,AS$2)+countifs(Students!$J:$J,$AK58,Students!$K:$K,$AK$2&amp;if($K58="S1","a",if($K58="S2","b","")),Students!$A:$A,AS$2)+countifs(Students!$L:$L,$AK58,Students!$M:$M,$AK$2&amp;if($K58="S1","a",if($K58="S2","b","")),Students!$A:$A,AS$2)+countifs(Students!$N:$N,$AK58,Students!$O:$O,$AK$2&amp;if($K58="S1","a",if($K58="S2","b","")),Students!$A:$A,AS$2)+countifs(Students!$P:$P,$AK58,Students!$Q:$Q,$AK$2&amp;if($K58="S1","a",if($K58="S2","b","")),Students!$A:$A,AS$2)+countifs(Students!$R:$R,$AK58,Students!$S:$S,$AK$2&amp;if($K58="S1","a",if($K58="S2","b","")),Students!$A:$A,AS$2)+countifs(Students!$T:$T,$AK58,Students!$U:$U,$AK$2&amp;if($K58="S1","a",if($K58="S2","b","")),Students!$A:$A,AS$2)+countifs(Students!$V:$V,$AK58,Students!$W:$W,$AK$2&amp;if($K58="S1","a",if($K58="S2","b","")),Students!$A:$A,AS$2))</f>
        <v/>
      </c>
    </row>
    <row r="59">
      <c r="J59" s="87" t="s">
        <v>22</v>
      </c>
      <c r="K59" s="88"/>
      <c r="L59" s="136"/>
      <c r="M59" s="89"/>
      <c r="N59" s="87" t="s">
        <v>22</v>
      </c>
      <c r="O59" s="87">
        <f>IFERROR(__xludf.DUMMYFUNCTION("3*counta((transpose(filter(P59:AM59,P59:AM59&lt;&gt;"""",isnumber(P59:AM59)=false))))"),3.0)</f>
        <v>3</v>
      </c>
      <c r="P59" s="117"/>
      <c r="Q59" s="117"/>
      <c r="R59" s="98" t="s">
        <v>22</v>
      </c>
      <c r="S59" s="117"/>
      <c r="T59" s="117"/>
      <c r="U59" s="98" t="s">
        <v>22</v>
      </c>
      <c r="V59" s="117"/>
      <c r="W59" s="89"/>
      <c r="X59" s="98" t="s">
        <v>22</v>
      </c>
      <c r="Y59" s="117"/>
      <c r="Z59" s="117"/>
      <c r="AA59" s="98" t="s">
        <v>22</v>
      </c>
      <c r="AB59" s="117"/>
      <c r="AC59" s="89"/>
      <c r="AD59" s="98" t="s">
        <v>22</v>
      </c>
      <c r="AE59" s="117"/>
      <c r="AF59" s="117"/>
      <c r="AG59" s="98" t="s">
        <v>22</v>
      </c>
      <c r="AH59" s="117"/>
      <c r="AI59" s="98"/>
      <c r="AJ59" s="98" t="s">
        <v>22</v>
      </c>
      <c r="AK59" s="117"/>
      <c r="AL59" s="133"/>
      <c r="AM59" s="98" t="s">
        <v>22</v>
      </c>
      <c r="AN59" s="99"/>
      <c r="AO59" s="52" t="str">
        <f t="shared" si="2"/>
        <v/>
      </c>
      <c r="AP59" s="98" t="str">
        <f>if($L59="","",countifs(Students!$D:$D,$P59,Students!$E:$E,$P$2&amp;if($K59="S1","a",if($K59="S2","b","")),Students!$A:$A,AP$2)+countifs(Students!$F:$F,$P59,Students!$G:$G,$P$2&amp;if($K59="S1","a",if($K59="S2","b","")),Students!$A:$A,AP$2)+countifs(Students!$H:$H,$P59,Students!$I:$I,$P$2&amp;if($K59="S1","a",if($K59="S2","b","")),Students!$A:$A,AP$2)+countifs(Students!$J:$J,$P59,Students!$K:$K,$P$2&amp;if($K59="S1","a",if($K59="S2","b","")),Students!$A:$A,AP$2)+countifs(Students!$L:$L,$P59,Students!$M:$M,$P$2&amp;if($K59="S1","a",if($K59="S2","b","")),Students!$A:$A,AP$2)+countifs(Students!$N:$N,$P59,Students!$O:$O,$P$2&amp;if($K59="S1","a",if($K59="S2","b","")),Students!$A:$A,AP$2)+countifs(Students!$P:$P,$P59,Students!$Q:$Q,$P$2&amp;if($K59="S1","a",if($K59="S2","b","")),Students!$A:$A,AP$2)+countifs(Students!$R:$R,$P59,Students!$S:$S,$P$2&amp;if($K59="S1","a",if($K59="S2","b","")),Students!$A:$A,AP$2)+countifs(Students!$T:$T,$P59,Students!$U:$U,$P$2&amp;if($K59="S1","a",if($K59="S2","b","")),Students!$A:$A,AP$2)+countifs(Students!$V:$V,$P59,Students!$W:$W,$P$2&amp;if($K59="S1","a",if($K59="S2","b","")),Students!$A:$A,AP$2)+
countifs(Students!$D:$D,$S59,Students!$E:$E,$S$2&amp;if($K59="S1","a",if($K59="S2","b","")),Students!$A:$A,AP$2)+countifs(Students!$F:$F,$S59,Students!$G:$G,$S$2&amp;if($K59="S1","a",if($K59="S2","b","")),Students!$A:$A,AP$2)+countifs(Students!$H:$H,$S59,Students!$I:$I,$S$2&amp;if($K59="S1","a",if($K59="S2","b","")),Students!$A:$A,AP$2)+countifs(Students!$J:$J,$S59,Students!$K:$K,$S$2&amp;if($K59="S1","a",if($K59="S2","b","")),Students!$A:$A,AP$2)+countifs(Students!$L:$L,$S59,Students!$M:$M,$S$2&amp;if($K59="S1","a",if($K59="S2","b","")),Students!$A:$A,AP$2)+countifs(Students!$N:$N,$S59,Students!$O:$O,$S$2&amp;if($K59="S1","a",if($K59="S2","b","")),Students!$A:$A,AP$2)+countifs(Students!$P:$P,$S59,Students!$Q:$Q,$S$2&amp;if($K59="S1","a",if($K59="S2","b","")),Students!$A:$A,AP$2)+countifs(Students!$R:$R,$S59,Students!$S:$S,$S$2&amp;if($K59="S1","a",if($K59="S2","b","")),Students!$A:$A,AP$2)+countifs(Students!$T:$T,$S59,Students!$U:$U,$S$2&amp;if($K59="S1","a",if($K59="S2","b","")),Students!$A:$A,AP$2)+countifs(Students!$V:$V,$S59,Students!$W:$W,$S$2&amp;if($K59="S1","a",if($K59="S2","b","")),Students!$A:$A,AP$2)+
countifs(Students!$D:$D,$V59,Students!$E:$E,$V$2&amp;if($K59="S1","a",if($K59="S2","b","")),Students!$A:$A,AP$2)+countifs(Students!$F:$F,$V59,Students!$G:$G,$V$2&amp;if($K59="S1","a",if($K59="S2","b","")),Students!$A:$A,AP$2)+countifs(Students!$H:$H,$V59,Students!$I:$I,$V$2&amp;if($K59="S1","a",if($K59="S2","b","")),Students!$A:$A,AP$2)+countifs(Students!$J:$J,$V59,Students!$K:$K,$V$2&amp;if($K59="S1","a",if($K59="S2","b","")),Students!$A:$A,AP$2)+countifs(Students!$L:$L,$V59,Students!$M:$M,$V$2&amp;if($K59="S1","a",if($K59="S2","b","")),Students!$A:$A,AP$2)+countifs(Students!$N:$N,$V59,Students!$O:$O,$V$2&amp;if($K59="S1","a",if($K59="S2","b","")),Students!$A:$A,AP$2)+countifs(Students!$P:$P,$V59,Students!$Q:$Q,$V$2&amp;if($K59="S1","a",if($K59="S2","b","")),Students!$A:$A,AP$2)+countifs(Students!$R:$R,$V59,Students!$S:$S,$V$2&amp;if($K59="S1","a",if($K59="S2","b","")),Students!$A:$A,AP$2)+countifs(Students!$T:$T,$V59,Students!$U:$U,$V$2&amp;if($K59="S1","a",if($K59="S2","b","")),Students!$A:$A,AP$2)+countifs(Students!$V:$V,$V59,Students!$W:$W,$V$2&amp;if($K59="S1","a",if($K59="S2","b","")),Students!$A:$A,AP$2)+
countifs(Students!$D:$D,$Y59,Students!$E:$E,$Y$2&amp;if($K59="S1","a",if($K59="S2","b","")),Students!$A:$A,AP$2)+countifs(Students!$F:$F,$Y59,Students!$G:$G,$Y$2&amp;if($K59="S1","a",if($K59="S2","b","")),Students!$A:$A,AP$2)+countifs(Students!$H:$H,$Y59,Students!$I:$I,$Y$2&amp;if($K59="S1","a",if($K59="S2","b","")),Students!$A:$A,AP$2)+countifs(Students!$J:$J,$Y59,Students!$K:$K,$Y$2&amp;if($K59="S1","a",if($K59="S2","b","")),Students!$A:$A,AP$2)+countifs(Students!$L:$L,$Y59,Students!$M:$M,$Y$2&amp;if($K59="S1","a",if($K59="S2","b","")),Students!$A:$A,AP$2)+countifs(Students!$N:$N,$Y59,Students!$O:$O,$Y$2&amp;if($K59="S1","a",if($K59="S2","b","")),Students!$A:$A,AP$2)+countifs(Students!$P:$P,$Y59,Students!$Q:$Q,$Y$2&amp;if($K59="S1","a",if($K59="S2","b","")),Students!$A:$A,AP$2)+countifs(Students!$R:$R,$Y59,Students!$S:$S,$Y$2&amp;if($K59="S1","a",if($K59="S2","b","")),Students!$A:$A,AP$2)+countifs(Students!$T:$T,$Y59,Students!$U:$U,$Y$2&amp;if($K59="S1","a",if($K59="S2","b","")),Students!$A:$A,AP$2)+countifs(Students!$V:$V,$Y59,Students!$W:$W,$Y$2&amp;if($K59="S1","a",if($K59="S2","b","")),Students!$A:$A,AP$2)+
countifs(Students!$D:$D,$AB59,Students!$E:$E,$AB$2&amp;if($K59="S1","a",if($K59="S2","b","")),Students!$A:$A,AP$2)+countifs(Students!$F:$F,$AB59,Students!$G:$G,$AB$2&amp;if($K59="S1","a",if($K59="S2","b","")),Students!$A:$A,AP$2)+countifs(Students!$H:$H,$AB59,Students!$I:$I,$AB$2&amp;if($K59="S1","a",if($K59="S2","b","")),Students!$A:$A,AP$2)+countifs(Students!$J:$J,$AB59,Students!$K:$K,$AB$2&amp;if($K59="S1","a",if($K59="S2","b","")),Students!$A:$A,AP$2)+countifs(Students!$L:$L,$AB59,Students!$M:$M,$AB$2&amp;if($K59="S1","a",if($K59="S2","b","")),Students!$A:$A,AP$2)+countifs(Students!$N:$N,$AB59,Students!$O:$O,$AB$2&amp;if($K59="S1","a",if($K59="S2","b","")),Students!$A:$A,AP$2)+countifs(Students!$P:$P,$AB59,Students!$Q:$Q,$AB$2&amp;if($K59="S1","a",if($K59="S2","b","")),Students!$A:$A,AP$2)+countifs(Students!$R:$R,$AB59,Students!$S:$S,$AB$2&amp;if($K59="S1","a",if($K59="S2","b","")),Students!$A:$A,AP$2)+countifs(Students!$T:$T,$AB59,Students!$U:$U,$AB$2&amp;if($K59="S1","a",if($K59="S2","b","")),Students!$A:$A,AP$2)+countifs(Students!$V:$V,$AB59,Students!$W:$W,$AB$2&amp;if($K59="S1","a",if($K59="S2","b","")),Students!$A:$A,AP$2)+
countifs(Students!$D:$D,$AE59,Students!$E:$E,$AE$2&amp;if($K59="S1","a",if($K59="S2","b","")),Students!$A:$A,AP$2)+countifs(Students!$F:$F,$AE59,Students!$G:$G,$AE$2&amp;if($K59="S1","a",if($K59="S2","b","")),Students!$A:$A,AP$2)+countifs(Students!$H:$H,$AE59,Students!$I:$I,$AE$2&amp;if($K59="S1","a",if($K59="S2","b","")),Students!$A:$A,AP$2)+countifs(Students!$J:$J,$AE59,Students!$K:$K,$AE$2&amp;if($K59="S1","a",if($K59="S2","b","")),Students!$A:$A,AP$2)+countifs(Students!$L:$L,$AE59,Students!$M:$M,$AE$2&amp;if($K59="S1","a",if($K59="S2","b","")),Students!$A:$A,AP$2)+countifs(Students!$N:$N,$AE59,Students!$O:$O,$AE$2&amp;if($K59="S1","a",if($K59="S2","b","")),Students!$A:$A,AP$2)+countifs(Students!$P:$P,$AE59,Students!$Q:$Q,$AE$2&amp;if($K59="S1","a",if($K59="S2","b","")),Students!$A:$A,AP$2)+countifs(Students!$R:$R,$AE59,Students!$S:$S,$AE$2&amp;if($K59="S1","a",if($K59="S2","b","")),Students!$A:$A,AP$2)+countifs(Students!$T:$T,$AE59,Students!$U:$U,$AE$2&amp;if($K59="S1","a",if($K59="S2","b","")),Students!$A:$A,AP$2)+countifs(Students!$V:$V,$AE59,Students!$W:$W,$AE$2&amp;if($K59="S1","a",if($K59="S2","b","")),Students!$A:$A,AP$2)+
countifs(Students!$D:$D,$AH59,Students!$E:$E,$AH$2&amp;if($K59="S1","a",if($K59="S2","b","")),Students!$A:$A,AP$2)+countifs(Students!$F:$F,$AH59,Students!$G:$G,$AH$2&amp;if($K59="S1","a",if($K59="S2","b","")),Students!$A:$A,AP$2)+countifs(Students!$H:$H,$AH59,Students!$I:$I,$AH$2&amp;if($K59="S1","a",if($K59="S2","b","")),Students!$A:$A,AP$2)+countifs(Students!$J:$J,$AH59,Students!$K:$K,$AH$2&amp;if($K59="S1","a",if($K59="S2","b","")),Students!$A:$A,AP$2)+countifs(Students!$L:$L,$AH59,Students!$M:$M,$AH$2&amp;if($K59="S1","a",if($K59="S2","b","")),Students!$A:$A,AP$2)+countifs(Students!$N:$N,$AH59,Students!$O:$O,$AH$2&amp;if($K59="S1","a",if($K59="S2","b","")),Students!$A:$A,AP$2)+countifs(Students!$P:$P,$AH59,Students!$Q:$Q,$AH$2&amp;if($K59="S1","a",if($K59="S2","b","")),Students!$A:$A,AP$2)+countifs(Students!$R:$R,$AH59,Students!$S:$S,$AH$2&amp;if($K59="S1","a",if($K59="S2","b","")),Students!$A:$A,AP$2)+countifs(Students!$T:$T,$AH59,Students!$U:$U,$AH$2&amp;if($K59="S1","a",if($K59="S2","b","")),Students!$A:$A,AP$2)+countifs(Students!$V:$V,$AH59,Students!$W:$W,$AH$2&amp;if($K59="S1","a",if($K59="S2","b","")),Students!$A:$A,AP$2)+
countifs(Students!$D:$D,$AK59,Students!$E:$E,$AK$2&amp;if($K59="S1","a",if($K59="S2","b","")),Students!$A:$A,AP$2)+countifs(Students!$F:$F,$AK59,Students!$G:$G,$AK$2&amp;if($K59="S1","a",if($K59="S2","b","")),Students!$A:$A,AP$2)+countifs(Students!$H:$H,$AK59,Students!$I:$I,$AK$2&amp;if($K59="S1","a",if($K59="S2","b","")),Students!$A:$A,AP$2)+countifs(Students!$J:$J,$AK59,Students!$K:$K,$AK$2&amp;if($K59="S1","a",if($K59="S2","b","")),Students!$A:$A,AP$2)+countifs(Students!$L:$L,$AK59,Students!$M:$M,$AK$2&amp;if($K59="S1","a",if($K59="S2","b","")),Students!$A:$A,AP$2)+countifs(Students!$N:$N,$AK59,Students!$O:$O,$AK$2&amp;if($K59="S1","a",if($K59="S2","b","")),Students!$A:$A,AP$2)+countifs(Students!$P:$P,$AK59,Students!$Q:$Q,$AK$2&amp;if($K59="S1","a",if($K59="S2","b","")),Students!$A:$A,AP$2)+countifs(Students!$R:$R,$AK59,Students!$S:$S,$AK$2&amp;if($K59="S1","a",if($K59="S2","b","")),Students!$A:$A,AP$2)+countifs(Students!$T:$T,$AK59,Students!$U:$U,$AK$2&amp;if($K59="S1","a",if($K59="S2","b","")),Students!$A:$A,AP$2)+countifs(Students!$V:$V,$AK59,Students!$W:$W,$AK$2&amp;if($K59="S1","a",if($K59="S2","b","")),Students!$A:$A,AP$2))</f>
        <v/>
      </c>
      <c r="AQ59" s="98" t="str">
        <f>if($L59="","",countifs(Students!$D:$D,$P59,Students!$E:$E,$P$2&amp;if($K59="S1","a",if($K59="S2","b","")),Students!$A:$A,AQ$2)+countifs(Students!$F:$F,$P59,Students!$G:$G,$P$2&amp;if($K59="S1","a",if($K59="S2","b","")),Students!$A:$A,AQ$2)+countifs(Students!$H:$H,$P59,Students!$I:$I,$P$2&amp;if($K59="S1","a",if($K59="S2","b","")),Students!$A:$A,AQ$2)+countifs(Students!$J:$J,$P59,Students!$K:$K,$P$2&amp;if($K59="S1","a",if($K59="S2","b","")),Students!$A:$A,AQ$2)+countifs(Students!$L:$L,$P59,Students!$M:$M,$P$2&amp;if($K59="S1","a",if($K59="S2","b","")),Students!$A:$A,AQ$2)+countifs(Students!$N:$N,$P59,Students!$O:$O,$P$2&amp;if($K59="S1","a",if($K59="S2","b","")),Students!$A:$A,AQ$2)+countifs(Students!$P:$P,$P59,Students!$Q:$Q,$P$2&amp;if($K59="S1","a",if($K59="S2","b","")),Students!$A:$A,AQ$2)+countifs(Students!$R:$R,$P59,Students!$S:$S,$P$2&amp;if($K59="S1","a",if($K59="S2","b","")),Students!$A:$A,AQ$2)+countifs(Students!$T:$T,$P59,Students!$U:$U,$P$2&amp;if($K59="S1","a",if($K59="S2","b","")),Students!$A:$A,AQ$2)+countifs(Students!$V:$V,$P59,Students!$W:$W,$P$2&amp;if($K59="S1","a",if($K59="S2","b","")),Students!$A:$A,AQ$2)+
countifs(Students!$D:$D,$S59,Students!$E:$E,$S$2&amp;if($K59="S1","a",if($K59="S2","b","")),Students!$A:$A,AQ$2)+countifs(Students!$F:$F,$S59,Students!$G:$G,$S$2&amp;if($K59="S1","a",if($K59="S2","b","")),Students!$A:$A,AQ$2)+countifs(Students!$H:$H,$S59,Students!$I:$I,$S$2&amp;if($K59="S1","a",if($K59="S2","b","")),Students!$A:$A,AQ$2)+countifs(Students!$J:$J,$S59,Students!$K:$K,$S$2&amp;if($K59="S1","a",if($K59="S2","b","")),Students!$A:$A,AQ$2)+countifs(Students!$L:$L,$S59,Students!$M:$M,$S$2&amp;if($K59="S1","a",if($K59="S2","b","")),Students!$A:$A,AQ$2)+countifs(Students!$N:$N,$S59,Students!$O:$O,$S$2&amp;if($K59="S1","a",if($K59="S2","b","")),Students!$A:$A,AQ$2)+countifs(Students!$P:$P,$S59,Students!$Q:$Q,$S$2&amp;if($K59="S1","a",if($K59="S2","b","")),Students!$A:$A,AQ$2)+countifs(Students!$R:$R,$S59,Students!$S:$S,$S$2&amp;if($K59="S1","a",if($K59="S2","b","")),Students!$A:$A,AQ$2)+countifs(Students!$T:$T,$S59,Students!$U:$U,$S$2&amp;if($K59="S1","a",if($K59="S2","b","")),Students!$A:$A,AQ$2)+countifs(Students!$V:$V,$S59,Students!$W:$W,$S$2&amp;if($K59="S1","a",if($K59="S2","b","")),Students!$A:$A,AQ$2)+
countifs(Students!$D:$D,$V59,Students!$E:$E,$V$2&amp;if($K59="S1","a",if($K59="S2","b","")),Students!$A:$A,AQ$2)+countifs(Students!$F:$F,$V59,Students!$G:$G,$V$2&amp;if($K59="S1","a",if($K59="S2","b","")),Students!$A:$A,AQ$2)+countifs(Students!$H:$H,$V59,Students!$I:$I,$V$2&amp;if($K59="S1","a",if($K59="S2","b","")),Students!$A:$A,AQ$2)+countifs(Students!$J:$J,$V59,Students!$K:$K,$V$2&amp;if($K59="S1","a",if($K59="S2","b","")),Students!$A:$A,AQ$2)+countifs(Students!$L:$L,$V59,Students!$M:$M,$V$2&amp;if($K59="S1","a",if($K59="S2","b","")),Students!$A:$A,AQ$2)+countifs(Students!$N:$N,$V59,Students!$O:$O,$V$2&amp;if($K59="S1","a",if($K59="S2","b","")),Students!$A:$A,AQ$2)+countifs(Students!$P:$P,$V59,Students!$Q:$Q,$V$2&amp;if($K59="S1","a",if($K59="S2","b","")),Students!$A:$A,AQ$2)+countifs(Students!$R:$R,$V59,Students!$S:$S,$V$2&amp;if($K59="S1","a",if($K59="S2","b","")),Students!$A:$A,AQ$2)+countifs(Students!$T:$T,$V59,Students!$U:$U,$V$2&amp;if($K59="S1","a",if($K59="S2","b","")),Students!$A:$A,AQ$2)+countifs(Students!$V:$V,$V59,Students!$W:$W,$V$2&amp;if($K59="S1","a",if($K59="S2","b","")),Students!$A:$A,AQ$2)+
countifs(Students!$D:$D,$Y59,Students!$E:$E,$Y$2&amp;if($K59="S1","a",if($K59="S2","b","")),Students!$A:$A,AQ$2)+countifs(Students!$F:$F,$Y59,Students!$G:$G,$Y$2&amp;if($K59="S1","a",if($K59="S2","b","")),Students!$A:$A,AQ$2)+countifs(Students!$H:$H,$Y59,Students!$I:$I,$Y$2&amp;if($K59="S1","a",if($K59="S2","b","")),Students!$A:$A,AQ$2)+countifs(Students!$J:$J,$Y59,Students!$K:$K,$Y$2&amp;if($K59="S1","a",if($K59="S2","b","")),Students!$A:$A,AQ$2)+countifs(Students!$L:$L,$Y59,Students!$M:$M,$Y$2&amp;if($K59="S1","a",if($K59="S2","b","")),Students!$A:$A,AQ$2)+countifs(Students!$N:$N,$Y59,Students!$O:$O,$Y$2&amp;if($K59="S1","a",if($K59="S2","b","")),Students!$A:$A,AQ$2)+countifs(Students!$P:$P,$Y59,Students!$Q:$Q,$Y$2&amp;if($K59="S1","a",if($K59="S2","b","")),Students!$A:$A,AQ$2)+countifs(Students!$R:$R,$Y59,Students!$S:$S,$Y$2&amp;if($K59="S1","a",if($K59="S2","b","")),Students!$A:$A,AQ$2)+countifs(Students!$T:$T,$Y59,Students!$U:$U,$Y$2&amp;if($K59="S1","a",if($K59="S2","b","")),Students!$A:$A,AQ$2)+countifs(Students!$V:$V,$Y59,Students!$W:$W,$Y$2&amp;if($K59="S1","a",if($K59="S2","b","")),Students!$A:$A,AQ$2)+
countifs(Students!$D:$D,$AB59,Students!$E:$E,$AB$2&amp;if($K59="S1","a",if($K59="S2","b","")),Students!$A:$A,AQ$2)+countifs(Students!$F:$F,$AB59,Students!$G:$G,$AB$2&amp;if($K59="S1","a",if($K59="S2","b","")),Students!$A:$A,AQ$2)+countifs(Students!$H:$H,$AB59,Students!$I:$I,$AB$2&amp;if($K59="S1","a",if($K59="S2","b","")),Students!$A:$A,AQ$2)+countifs(Students!$J:$J,$AB59,Students!$K:$K,$AB$2&amp;if($K59="S1","a",if($K59="S2","b","")),Students!$A:$A,AQ$2)+countifs(Students!$L:$L,$AB59,Students!$M:$M,$AB$2&amp;if($K59="S1","a",if($K59="S2","b","")),Students!$A:$A,AQ$2)+countifs(Students!$N:$N,$AB59,Students!$O:$O,$AB$2&amp;if($K59="S1","a",if($K59="S2","b","")),Students!$A:$A,AQ$2)+countifs(Students!$P:$P,$AB59,Students!$Q:$Q,$AB$2&amp;if($K59="S1","a",if($K59="S2","b","")),Students!$A:$A,AQ$2)+countifs(Students!$R:$R,$AB59,Students!$S:$S,$AB$2&amp;if($K59="S1","a",if($K59="S2","b","")),Students!$A:$A,AQ$2)+countifs(Students!$T:$T,$AB59,Students!$U:$U,$AB$2&amp;if($K59="S1","a",if($K59="S2","b","")),Students!$A:$A,AQ$2)+countifs(Students!$V:$V,$AB59,Students!$W:$W,$AB$2&amp;if($K59="S1","a",if($K59="S2","b","")),Students!$A:$A,AQ$2)+
countifs(Students!$D:$D,$AE59,Students!$E:$E,$AE$2&amp;if($K59="S1","a",if($K59="S2","b","")),Students!$A:$A,AQ$2)+countifs(Students!$F:$F,$AE59,Students!$G:$G,$AE$2&amp;if($K59="S1","a",if($K59="S2","b","")),Students!$A:$A,AQ$2)+countifs(Students!$H:$H,$AE59,Students!$I:$I,$AE$2&amp;if($K59="S1","a",if($K59="S2","b","")),Students!$A:$A,AQ$2)+countifs(Students!$J:$J,$AE59,Students!$K:$K,$AE$2&amp;if($K59="S1","a",if($K59="S2","b","")),Students!$A:$A,AQ$2)+countifs(Students!$L:$L,$AE59,Students!$M:$M,$AE$2&amp;if($K59="S1","a",if($K59="S2","b","")),Students!$A:$A,AQ$2)+countifs(Students!$N:$N,$AE59,Students!$O:$O,$AE$2&amp;if($K59="S1","a",if($K59="S2","b","")),Students!$A:$A,AQ$2)+countifs(Students!$P:$P,$AE59,Students!$Q:$Q,$AE$2&amp;if($K59="S1","a",if($K59="S2","b","")),Students!$A:$A,AQ$2)+countifs(Students!$R:$R,$AE59,Students!$S:$S,$AE$2&amp;if($K59="S1","a",if($K59="S2","b","")),Students!$A:$A,AQ$2)+countifs(Students!$T:$T,$AE59,Students!$U:$U,$AE$2&amp;if($K59="S1","a",if($K59="S2","b","")),Students!$A:$A,AQ$2)+countifs(Students!$V:$V,$AE59,Students!$W:$W,$AE$2&amp;if($K59="S1","a",if($K59="S2","b","")),Students!$A:$A,AQ$2)+
countifs(Students!$D:$D,$AH59,Students!$E:$E,$AH$2&amp;if($K59="S1","a",if($K59="S2","b","")),Students!$A:$A,AQ$2)+countifs(Students!$F:$F,$AH59,Students!$G:$G,$AH$2&amp;if($K59="S1","a",if($K59="S2","b","")),Students!$A:$A,AQ$2)+countifs(Students!$H:$H,$AH59,Students!$I:$I,$AH$2&amp;if($K59="S1","a",if($K59="S2","b","")),Students!$A:$A,AQ$2)+countifs(Students!$J:$J,$AH59,Students!$K:$K,$AH$2&amp;if($K59="S1","a",if($K59="S2","b","")),Students!$A:$A,AQ$2)+countifs(Students!$L:$L,$AH59,Students!$M:$M,$AH$2&amp;if($K59="S1","a",if($K59="S2","b","")),Students!$A:$A,AQ$2)+countifs(Students!$N:$N,$AH59,Students!$O:$O,$AH$2&amp;if($K59="S1","a",if($K59="S2","b","")),Students!$A:$A,AQ$2)+countifs(Students!$P:$P,$AH59,Students!$Q:$Q,$AH$2&amp;if($K59="S1","a",if($K59="S2","b","")),Students!$A:$A,AQ$2)+countifs(Students!$R:$R,$AH59,Students!$S:$S,$AH$2&amp;if($K59="S1","a",if($K59="S2","b","")),Students!$A:$A,AQ$2)+countifs(Students!$T:$T,$AH59,Students!$U:$U,$AH$2&amp;if($K59="S1","a",if($K59="S2","b","")),Students!$A:$A,AQ$2)+countifs(Students!$V:$V,$AH59,Students!$W:$W,$AH$2&amp;if($K59="S1","a",if($K59="S2","b","")),Students!$A:$A,AQ$2)+
countifs(Students!$D:$D,$AK59,Students!$E:$E,$AK$2&amp;if($K59="S1","a",if($K59="S2","b","")),Students!$A:$A,AQ$2)+countifs(Students!$F:$F,$AK59,Students!$G:$G,$AK$2&amp;if($K59="S1","a",if($K59="S2","b","")),Students!$A:$A,AQ$2)+countifs(Students!$H:$H,$AK59,Students!$I:$I,$AK$2&amp;if($K59="S1","a",if($K59="S2","b","")),Students!$A:$A,AQ$2)+countifs(Students!$J:$J,$AK59,Students!$K:$K,$AK$2&amp;if($K59="S1","a",if($K59="S2","b","")),Students!$A:$A,AQ$2)+countifs(Students!$L:$L,$AK59,Students!$M:$M,$AK$2&amp;if($K59="S1","a",if($K59="S2","b","")),Students!$A:$A,AQ$2)+countifs(Students!$N:$N,$AK59,Students!$O:$O,$AK$2&amp;if($K59="S1","a",if($K59="S2","b","")),Students!$A:$A,AQ$2)+countifs(Students!$P:$P,$AK59,Students!$Q:$Q,$AK$2&amp;if($K59="S1","a",if($K59="S2","b","")),Students!$A:$A,AQ$2)+countifs(Students!$R:$R,$AK59,Students!$S:$S,$AK$2&amp;if($K59="S1","a",if($K59="S2","b","")),Students!$A:$A,AQ$2)+countifs(Students!$T:$T,$AK59,Students!$U:$U,$AK$2&amp;if($K59="S1","a",if($K59="S2","b","")),Students!$A:$A,AQ$2)+countifs(Students!$V:$V,$AK59,Students!$W:$W,$AK$2&amp;if($K59="S1","a",if($K59="S2","b","")),Students!$A:$A,AQ$2))</f>
        <v/>
      </c>
      <c r="AR59" s="98" t="str">
        <f>if($L59="","",countifs(Students!$D:$D,$P59,Students!$E:$E,$P$2&amp;if($K59="S1","a",if($K59="S2","b","")),Students!$A:$A,AR$2)+countifs(Students!$F:$F,$P59,Students!$G:$G,$P$2&amp;if($K59="S1","a",if($K59="S2","b","")),Students!$A:$A,AR$2)+countifs(Students!$H:$H,$P59,Students!$I:$I,$P$2&amp;if($K59="S1","a",if($K59="S2","b","")),Students!$A:$A,AR$2)+countifs(Students!$J:$J,$P59,Students!$K:$K,$P$2&amp;if($K59="S1","a",if($K59="S2","b","")),Students!$A:$A,AR$2)+countifs(Students!$L:$L,$P59,Students!$M:$M,$P$2&amp;if($K59="S1","a",if($K59="S2","b","")),Students!$A:$A,AR$2)+countifs(Students!$N:$N,$P59,Students!$O:$O,$P$2&amp;if($K59="S1","a",if($K59="S2","b","")),Students!$A:$A,AR$2)+countifs(Students!$P:$P,$P59,Students!$Q:$Q,$P$2&amp;if($K59="S1","a",if($K59="S2","b","")),Students!$A:$A,AR$2)+countifs(Students!$R:$R,$P59,Students!$S:$S,$P$2&amp;if($K59="S1","a",if($K59="S2","b","")),Students!$A:$A,AR$2)+countifs(Students!$T:$T,$P59,Students!$U:$U,$P$2&amp;if($K59="S1","a",if($K59="S2","b","")),Students!$A:$A,AR$2)+countifs(Students!$V:$V,$P59,Students!$W:$W,$P$2&amp;if($K59="S1","a",if($K59="S2","b","")),Students!$A:$A,AR$2)+
countifs(Students!$D:$D,$S59,Students!$E:$E,$S$2&amp;if($K59="S1","a",if($K59="S2","b","")),Students!$A:$A,AR$2)+countifs(Students!$F:$F,$S59,Students!$G:$G,$S$2&amp;if($K59="S1","a",if($K59="S2","b","")),Students!$A:$A,AR$2)+countifs(Students!$H:$H,$S59,Students!$I:$I,$S$2&amp;if($K59="S1","a",if($K59="S2","b","")),Students!$A:$A,AR$2)+countifs(Students!$J:$J,$S59,Students!$K:$K,$S$2&amp;if($K59="S1","a",if($K59="S2","b","")),Students!$A:$A,AR$2)+countifs(Students!$L:$L,$S59,Students!$M:$M,$S$2&amp;if($K59="S1","a",if($K59="S2","b","")),Students!$A:$A,AR$2)+countifs(Students!$N:$N,$S59,Students!$O:$O,$S$2&amp;if($K59="S1","a",if($K59="S2","b","")),Students!$A:$A,AR$2)+countifs(Students!$P:$P,$S59,Students!$Q:$Q,$S$2&amp;if($K59="S1","a",if($K59="S2","b","")),Students!$A:$A,AR$2)+countifs(Students!$R:$R,$S59,Students!$S:$S,$S$2&amp;if($K59="S1","a",if($K59="S2","b","")),Students!$A:$A,AR$2)+countifs(Students!$T:$T,$S59,Students!$U:$U,$S$2&amp;if($K59="S1","a",if($K59="S2","b","")),Students!$A:$A,AR$2)+countifs(Students!$V:$V,$S59,Students!$W:$W,$S$2&amp;if($K59="S1","a",if($K59="S2","b","")),Students!$A:$A,AR$2)+
countifs(Students!$D:$D,$V59,Students!$E:$E,$V$2&amp;if($K59="S1","a",if($K59="S2","b","")),Students!$A:$A,AR$2)+countifs(Students!$F:$F,$V59,Students!$G:$G,$V$2&amp;if($K59="S1","a",if($K59="S2","b","")),Students!$A:$A,AR$2)+countifs(Students!$H:$H,$V59,Students!$I:$I,$V$2&amp;if($K59="S1","a",if($K59="S2","b","")),Students!$A:$A,AR$2)+countifs(Students!$J:$J,$V59,Students!$K:$K,$V$2&amp;if($K59="S1","a",if($K59="S2","b","")),Students!$A:$A,AR$2)+countifs(Students!$L:$L,$V59,Students!$M:$M,$V$2&amp;if($K59="S1","a",if($K59="S2","b","")),Students!$A:$A,AR$2)+countifs(Students!$N:$N,$V59,Students!$O:$O,$V$2&amp;if($K59="S1","a",if($K59="S2","b","")),Students!$A:$A,AR$2)+countifs(Students!$P:$P,$V59,Students!$Q:$Q,$V$2&amp;if($K59="S1","a",if($K59="S2","b","")),Students!$A:$A,AR$2)+countifs(Students!$R:$R,$V59,Students!$S:$S,$V$2&amp;if($K59="S1","a",if($K59="S2","b","")),Students!$A:$A,AR$2)+countifs(Students!$T:$T,$V59,Students!$U:$U,$V$2&amp;if($K59="S1","a",if($K59="S2","b","")),Students!$A:$A,AR$2)+countifs(Students!$V:$V,$V59,Students!$W:$W,$V$2&amp;if($K59="S1","a",if($K59="S2","b","")),Students!$A:$A,AR$2)+
countifs(Students!$D:$D,$Y59,Students!$E:$E,$Y$2&amp;if($K59="S1","a",if($K59="S2","b","")),Students!$A:$A,AR$2)+countifs(Students!$F:$F,$Y59,Students!$G:$G,$Y$2&amp;if($K59="S1","a",if($K59="S2","b","")),Students!$A:$A,AR$2)+countifs(Students!$H:$H,$Y59,Students!$I:$I,$Y$2&amp;if($K59="S1","a",if($K59="S2","b","")),Students!$A:$A,AR$2)+countifs(Students!$J:$J,$Y59,Students!$K:$K,$Y$2&amp;if($K59="S1","a",if($K59="S2","b","")),Students!$A:$A,AR$2)+countifs(Students!$L:$L,$Y59,Students!$M:$M,$Y$2&amp;if($K59="S1","a",if($K59="S2","b","")),Students!$A:$A,AR$2)+countifs(Students!$N:$N,$Y59,Students!$O:$O,$Y$2&amp;if($K59="S1","a",if($K59="S2","b","")),Students!$A:$A,AR$2)+countifs(Students!$P:$P,$Y59,Students!$Q:$Q,$Y$2&amp;if($K59="S1","a",if($K59="S2","b","")),Students!$A:$A,AR$2)+countifs(Students!$R:$R,$Y59,Students!$S:$S,$Y$2&amp;if($K59="S1","a",if($K59="S2","b","")),Students!$A:$A,AR$2)+countifs(Students!$T:$T,$Y59,Students!$U:$U,$Y$2&amp;if($K59="S1","a",if($K59="S2","b","")),Students!$A:$A,AR$2)+countifs(Students!$V:$V,$Y59,Students!$W:$W,$Y$2&amp;if($K59="S1","a",if($K59="S2","b","")),Students!$A:$A,AR$2)+
countifs(Students!$D:$D,$AB59,Students!$E:$E,$AB$2&amp;if($K59="S1","a",if($K59="S2","b","")),Students!$A:$A,AR$2)+countifs(Students!$F:$F,$AB59,Students!$G:$G,$AB$2&amp;if($K59="S1","a",if($K59="S2","b","")),Students!$A:$A,AR$2)+countifs(Students!$H:$H,$AB59,Students!$I:$I,$AB$2&amp;if($K59="S1","a",if($K59="S2","b","")),Students!$A:$A,AR$2)+countifs(Students!$J:$J,$AB59,Students!$K:$K,$AB$2&amp;if($K59="S1","a",if($K59="S2","b","")),Students!$A:$A,AR$2)+countifs(Students!$L:$L,$AB59,Students!$M:$M,$AB$2&amp;if($K59="S1","a",if($K59="S2","b","")),Students!$A:$A,AR$2)+countifs(Students!$N:$N,$AB59,Students!$O:$O,$AB$2&amp;if($K59="S1","a",if($K59="S2","b","")),Students!$A:$A,AR$2)+countifs(Students!$P:$P,$AB59,Students!$Q:$Q,$AB$2&amp;if($K59="S1","a",if($K59="S2","b","")),Students!$A:$A,AR$2)+countifs(Students!$R:$R,$AB59,Students!$S:$S,$AB$2&amp;if($K59="S1","a",if($K59="S2","b","")),Students!$A:$A,AR$2)+countifs(Students!$T:$T,$AB59,Students!$U:$U,$AB$2&amp;if($K59="S1","a",if($K59="S2","b","")),Students!$A:$A,AR$2)+countifs(Students!$V:$V,$AB59,Students!$W:$W,$AB$2&amp;if($K59="S1","a",if($K59="S2","b","")),Students!$A:$A,AR$2)+
countifs(Students!$D:$D,$AE59,Students!$E:$E,$AE$2&amp;if($K59="S1","a",if($K59="S2","b","")),Students!$A:$A,AR$2)+countifs(Students!$F:$F,$AE59,Students!$G:$G,$AE$2&amp;if($K59="S1","a",if($K59="S2","b","")),Students!$A:$A,AR$2)+countifs(Students!$H:$H,$AE59,Students!$I:$I,$AE$2&amp;if($K59="S1","a",if($K59="S2","b","")),Students!$A:$A,AR$2)+countifs(Students!$J:$J,$AE59,Students!$K:$K,$AE$2&amp;if($K59="S1","a",if($K59="S2","b","")),Students!$A:$A,AR$2)+countifs(Students!$L:$L,$AE59,Students!$M:$M,$AE$2&amp;if($K59="S1","a",if($K59="S2","b","")),Students!$A:$A,AR$2)+countifs(Students!$N:$N,$AE59,Students!$O:$O,$AE$2&amp;if($K59="S1","a",if($K59="S2","b","")),Students!$A:$A,AR$2)+countifs(Students!$P:$P,$AE59,Students!$Q:$Q,$AE$2&amp;if($K59="S1","a",if($K59="S2","b","")),Students!$A:$A,AR$2)+countifs(Students!$R:$R,$AE59,Students!$S:$S,$AE$2&amp;if($K59="S1","a",if($K59="S2","b","")),Students!$A:$A,AR$2)+countifs(Students!$T:$T,$AE59,Students!$U:$U,$AE$2&amp;if($K59="S1","a",if($K59="S2","b","")),Students!$A:$A,AR$2)+countifs(Students!$V:$V,$AE59,Students!$W:$W,$AE$2&amp;if($K59="S1","a",if($K59="S2","b","")),Students!$A:$A,AR$2)+
countifs(Students!$D:$D,$AH59,Students!$E:$E,$AH$2&amp;if($K59="S1","a",if($K59="S2","b","")),Students!$A:$A,AR$2)+countifs(Students!$F:$F,$AH59,Students!$G:$G,$AH$2&amp;if($K59="S1","a",if($K59="S2","b","")),Students!$A:$A,AR$2)+countifs(Students!$H:$H,$AH59,Students!$I:$I,$AH$2&amp;if($K59="S1","a",if($K59="S2","b","")),Students!$A:$A,AR$2)+countifs(Students!$J:$J,$AH59,Students!$K:$K,$AH$2&amp;if($K59="S1","a",if($K59="S2","b","")),Students!$A:$A,AR$2)+countifs(Students!$L:$L,$AH59,Students!$M:$M,$AH$2&amp;if($K59="S1","a",if($K59="S2","b","")),Students!$A:$A,AR$2)+countifs(Students!$N:$N,$AH59,Students!$O:$O,$AH$2&amp;if($K59="S1","a",if($K59="S2","b","")),Students!$A:$A,AR$2)+countifs(Students!$P:$P,$AH59,Students!$Q:$Q,$AH$2&amp;if($K59="S1","a",if($K59="S2","b","")),Students!$A:$A,AR$2)+countifs(Students!$R:$R,$AH59,Students!$S:$S,$AH$2&amp;if($K59="S1","a",if($K59="S2","b","")),Students!$A:$A,AR$2)+countifs(Students!$T:$T,$AH59,Students!$U:$U,$AH$2&amp;if($K59="S1","a",if($K59="S2","b","")),Students!$A:$A,AR$2)+countifs(Students!$V:$V,$AH59,Students!$W:$W,$AH$2&amp;if($K59="S1","a",if($K59="S2","b","")),Students!$A:$A,AR$2)+
countifs(Students!$D:$D,$AK59,Students!$E:$E,$AK$2&amp;if($K59="S1","a",if($K59="S2","b","")),Students!$A:$A,AR$2)+countifs(Students!$F:$F,$AK59,Students!$G:$G,$AK$2&amp;if($K59="S1","a",if($K59="S2","b","")),Students!$A:$A,AR$2)+countifs(Students!$H:$H,$AK59,Students!$I:$I,$AK$2&amp;if($K59="S1","a",if($K59="S2","b","")),Students!$A:$A,AR$2)+countifs(Students!$J:$J,$AK59,Students!$K:$K,$AK$2&amp;if($K59="S1","a",if($K59="S2","b","")),Students!$A:$A,AR$2)+countifs(Students!$L:$L,$AK59,Students!$M:$M,$AK$2&amp;if($K59="S1","a",if($K59="S2","b","")),Students!$A:$A,AR$2)+countifs(Students!$N:$N,$AK59,Students!$O:$O,$AK$2&amp;if($K59="S1","a",if($K59="S2","b","")),Students!$A:$A,AR$2)+countifs(Students!$P:$P,$AK59,Students!$Q:$Q,$AK$2&amp;if($K59="S1","a",if($K59="S2","b","")),Students!$A:$A,AR$2)+countifs(Students!$R:$R,$AK59,Students!$S:$S,$AK$2&amp;if($K59="S1","a",if($K59="S2","b","")),Students!$A:$A,AR$2)+countifs(Students!$T:$T,$AK59,Students!$U:$U,$AK$2&amp;if($K59="S1","a",if($K59="S2","b","")),Students!$A:$A,AR$2)+countifs(Students!$V:$V,$AK59,Students!$W:$W,$AK$2&amp;if($K59="S1","a",if($K59="S2","b","")),Students!$A:$A,AR$2))</f>
        <v/>
      </c>
      <c r="AS59" s="98" t="str">
        <f>if($L59="","",countifs(Students!$D:$D,$P59,Students!$E:$E,$P$2&amp;if($K59="S1","a",if($K59="S2","b","")),Students!$A:$A,AS$2)+countifs(Students!$F:$F,$P59,Students!$G:$G,$P$2&amp;if($K59="S1","a",if($K59="S2","b","")),Students!$A:$A,AS$2)+countifs(Students!$H:$H,$P59,Students!$I:$I,$P$2&amp;if($K59="S1","a",if($K59="S2","b","")),Students!$A:$A,AS$2)+countifs(Students!$J:$J,$P59,Students!$K:$K,$P$2&amp;if($K59="S1","a",if($K59="S2","b","")),Students!$A:$A,AS$2)+countifs(Students!$L:$L,$P59,Students!$M:$M,$P$2&amp;if($K59="S1","a",if($K59="S2","b","")),Students!$A:$A,AS$2)+countifs(Students!$N:$N,$P59,Students!$O:$O,$P$2&amp;if($K59="S1","a",if($K59="S2","b","")),Students!$A:$A,AS$2)+countifs(Students!$P:$P,$P59,Students!$Q:$Q,$P$2&amp;if($K59="S1","a",if($K59="S2","b","")),Students!$A:$A,AS$2)+countifs(Students!$R:$R,$P59,Students!$S:$S,$P$2&amp;if($K59="S1","a",if($K59="S2","b","")),Students!$A:$A,AS$2)+countifs(Students!$T:$T,$P59,Students!$U:$U,$P$2&amp;if($K59="S1","a",if($K59="S2","b","")),Students!$A:$A,AS$2)+countifs(Students!$V:$V,$P59,Students!$W:$W,$P$2&amp;if($K59="S1","a",if($K59="S2","b","")),Students!$A:$A,AS$2)+
countifs(Students!$D:$D,$S59,Students!$E:$E,$S$2&amp;if($K59="S1","a",if($K59="S2","b","")),Students!$A:$A,AS$2)+countifs(Students!$F:$F,$S59,Students!$G:$G,$S$2&amp;if($K59="S1","a",if($K59="S2","b","")),Students!$A:$A,AS$2)+countifs(Students!$H:$H,$S59,Students!$I:$I,$S$2&amp;if($K59="S1","a",if($K59="S2","b","")),Students!$A:$A,AS$2)+countifs(Students!$J:$J,$S59,Students!$K:$K,$S$2&amp;if($K59="S1","a",if($K59="S2","b","")),Students!$A:$A,AS$2)+countifs(Students!$L:$L,$S59,Students!$M:$M,$S$2&amp;if($K59="S1","a",if($K59="S2","b","")),Students!$A:$A,AS$2)+countifs(Students!$N:$N,$S59,Students!$O:$O,$S$2&amp;if($K59="S1","a",if($K59="S2","b","")),Students!$A:$A,AS$2)+countifs(Students!$P:$P,$S59,Students!$Q:$Q,$S$2&amp;if($K59="S1","a",if($K59="S2","b","")),Students!$A:$A,AS$2)+countifs(Students!$R:$R,$S59,Students!$S:$S,$S$2&amp;if($K59="S1","a",if($K59="S2","b","")),Students!$A:$A,AS$2)+countifs(Students!$T:$T,$S59,Students!$U:$U,$S$2&amp;if($K59="S1","a",if($K59="S2","b","")),Students!$A:$A,AS$2)+countifs(Students!$V:$V,$S59,Students!$W:$W,$S$2&amp;if($K59="S1","a",if($K59="S2","b","")),Students!$A:$A,AS$2)+
countifs(Students!$D:$D,$V59,Students!$E:$E,$V$2&amp;if($K59="S1","a",if($K59="S2","b","")),Students!$A:$A,AS$2)+countifs(Students!$F:$F,$V59,Students!$G:$G,$V$2&amp;if($K59="S1","a",if($K59="S2","b","")),Students!$A:$A,AS$2)+countifs(Students!$H:$H,$V59,Students!$I:$I,$V$2&amp;if($K59="S1","a",if($K59="S2","b","")),Students!$A:$A,AS$2)+countifs(Students!$J:$J,$V59,Students!$K:$K,$V$2&amp;if($K59="S1","a",if($K59="S2","b","")),Students!$A:$A,AS$2)+countifs(Students!$L:$L,$V59,Students!$M:$M,$V$2&amp;if($K59="S1","a",if($K59="S2","b","")),Students!$A:$A,AS$2)+countifs(Students!$N:$N,$V59,Students!$O:$O,$V$2&amp;if($K59="S1","a",if($K59="S2","b","")),Students!$A:$A,AS$2)+countifs(Students!$P:$P,$V59,Students!$Q:$Q,$V$2&amp;if($K59="S1","a",if($K59="S2","b","")),Students!$A:$A,AS$2)+countifs(Students!$R:$R,$V59,Students!$S:$S,$V$2&amp;if($K59="S1","a",if($K59="S2","b","")),Students!$A:$A,AS$2)+countifs(Students!$T:$T,$V59,Students!$U:$U,$V$2&amp;if($K59="S1","a",if($K59="S2","b","")),Students!$A:$A,AS$2)+countifs(Students!$V:$V,$V59,Students!$W:$W,$V$2&amp;if($K59="S1","a",if($K59="S2","b","")),Students!$A:$A,AS$2)+
countifs(Students!$D:$D,$Y59,Students!$E:$E,$Y$2&amp;if($K59="S1","a",if($K59="S2","b","")),Students!$A:$A,AS$2)+countifs(Students!$F:$F,$Y59,Students!$G:$G,$Y$2&amp;if($K59="S1","a",if($K59="S2","b","")),Students!$A:$A,AS$2)+countifs(Students!$H:$H,$Y59,Students!$I:$I,$Y$2&amp;if($K59="S1","a",if($K59="S2","b","")),Students!$A:$A,AS$2)+countifs(Students!$J:$J,$Y59,Students!$K:$K,$Y$2&amp;if($K59="S1","a",if($K59="S2","b","")),Students!$A:$A,AS$2)+countifs(Students!$L:$L,$Y59,Students!$M:$M,$Y$2&amp;if($K59="S1","a",if($K59="S2","b","")),Students!$A:$A,AS$2)+countifs(Students!$N:$N,$Y59,Students!$O:$O,$Y$2&amp;if($K59="S1","a",if($K59="S2","b","")),Students!$A:$A,AS$2)+countifs(Students!$P:$P,$Y59,Students!$Q:$Q,$Y$2&amp;if($K59="S1","a",if($K59="S2","b","")),Students!$A:$A,AS$2)+countifs(Students!$R:$R,$Y59,Students!$S:$S,$Y$2&amp;if($K59="S1","a",if($K59="S2","b","")),Students!$A:$A,AS$2)+countifs(Students!$T:$T,$Y59,Students!$U:$U,$Y$2&amp;if($K59="S1","a",if($K59="S2","b","")),Students!$A:$A,AS$2)+countifs(Students!$V:$V,$Y59,Students!$W:$W,$Y$2&amp;if($K59="S1","a",if($K59="S2","b","")),Students!$A:$A,AS$2)+
countifs(Students!$D:$D,$AB59,Students!$E:$E,$AB$2&amp;if($K59="S1","a",if($K59="S2","b","")),Students!$A:$A,AS$2)+countifs(Students!$F:$F,$AB59,Students!$G:$G,$AB$2&amp;if($K59="S1","a",if($K59="S2","b","")),Students!$A:$A,AS$2)+countifs(Students!$H:$H,$AB59,Students!$I:$I,$AB$2&amp;if($K59="S1","a",if($K59="S2","b","")),Students!$A:$A,AS$2)+countifs(Students!$J:$J,$AB59,Students!$K:$K,$AB$2&amp;if($K59="S1","a",if($K59="S2","b","")),Students!$A:$A,AS$2)+countifs(Students!$L:$L,$AB59,Students!$M:$M,$AB$2&amp;if($K59="S1","a",if($K59="S2","b","")),Students!$A:$A,AS$2)+countifs(Students!$N:$N,$AB59,Students!$O:$O,$AB$2&amp;if($K59="S1","a",if($K59="S2","b","")),Students!$A:$A,AS$2)+countifs(Students!$P:$P,$AB59,Students!$Q:$Q,$AB$2&amp;if($K59="S1","a",if($K59="S2","b","")),Students!$A:$A,AS$2)+countifs(Students!$R:$R,$AB59,Students!$S:$S,$AB$2&amp;if($K59="S1","a",if($K59="S2","b","")),Students!$A:$A,AS$2)+countifs(Students!$T:$T,$AB59,Students!$U:$U,$AB$2&amp;if($K59="S1","a",if($K59="S2","b","")),Students!$A:$A,AS$2)+countifs(Students!$V:$V,$AB59,Students!$W:$W,$AB$2&amp;if($K59="S1","a",if($K59="S2","b","")),Students!$A:$A,AS$2)+
countifs(Students!$D:$D,$AE59,Students!$E:$E,$AE$2&amp;if($K59="S1","a",if($K59="S2","b","")),Students!$A:$A,AS$2)+countifs(Students!$F:$F,$AE59,Students!$G:$G,$AE$2&amp;if($K59="S1","a",if($K59="S2","b","")),Students!$A:$A,AS$2)+countifs(Students!$H:$H,$AE59,Students!$I:$I,$AE$2&amp;if($K59="S1","a",if($K59="S2","b","")),Students!$A:$A,AS$2)+countifs(Students!$J:$J,$AE59,Students!$K:$K,$AE$2&amp;if($K59="S1","a",if($K59="S2","b","")),Students!$A:$A,AS$2)+countifs(Students!$L:$L,$AE59,Students!$M:$M,$AE$2&amp;if($K59="S1","a",if($K59="S2","b","")),Students!$A:$A,AS$2)+countifs(Students!$N:$N,$AE59,Students!$O:$O,$AE$2&amp;if($K59="S1","a",if($K59="S2","b","")),Students!$A:$A,AS$2)+countifs(Students!$P:$P,$AE59,Students!$Q:$Q,$AE$2&amp;if($K59="S1","a",if($K59="S2","b","")),Students!$A:$A,AS$2)+countifs(Students!$R:$R,$AE59,Students!$S:$S,$AE$2&amp;if($K59="S1","a",if($K59="S2","b","")),Students!$A:$A,AS$2)+countifs(Students!$T:$T,$AE59,Students!$U:$U,$AE$2&amp;if($K59="S1","a",if($K59="S2","b","")),Students!$A:$A,AS$2)+countifs(Students!$V:$V,$AE59,Students!$W:$W,$AE$2&amp;if($K59="S1","a",if($K59="S2","b","")),Students!$A:$A,AS$2)+
countifs(Students!$D:$D,$AH59,Students!$E:$E,$AH$2&amp;if($K59="S1","a",if($K59="S2","b","")),Students!$A:$A,AS$2)+countifs(Students!$F:$F,$AH59,Students!$G:$G,$AH$2&amp;if($K59="S1","a",if($K59="S2","b","")),Students!$A:$A,AS$2)+countifs(Students!$H:$H,$AH59,Students!$I:$I,$AH$2&amp;if($K59="S1","a",if($K59="S2","b","")),Students!$A:$A,AS$2)+countifs(Students!$J:$J,$AH59,Students!$K:$K,$AH$2&amp;if($K59="S1","a",if($K59="S2","b","")),Students!$A:$A,AS$2)+countifs(Students!$L:$L,$AH59,Students!$M:$M,$AH$2&amp;if($K59="S1","a",if($K59="S2","b","")),Students!$A:$A,AS$2)+countifs(Students!$N:$N,$AH59,Students!$O:$O,$AH$2&amp;if($K59="S1","a",if($K59="S2","b","")),Students!$A:$A,AS$2)+countifs(Students!$P:$P,$AH59,Students!$Q:$Q,$AH$2&amp;if($K59="S1","a",if($K59="S2","b","")),Students!$A:$A,AS$2)+countifs(Students!$R:$R,$AH59,Students!$S:$S,$AH$2&amp;if($K59="S1","a",if($K59="S2","b","")),Students!$A:$A,AS$2)+countifs(Students!$T:$T,$AH59,Students!$U:$U,$AH$2&amp;if($K59="S1","a",if($K59="S2","b","")),Students!$A:$A,AS$2)+countifs(Students!$V:$V,$AH59,Students!$W:$W,$AH$2&amp;if($K59="S1","a",if($K59="S2","b","")),Students!$A:$A,AS$2)+
countifs(Students!$D:$D,$AK59,Students!$E:$E,$AK$2&amp;if($K59="S1","a",if($K59="S2","b","")),Students!$A:$A,AS$2)+countifs(Students!$F:$F,$AK59,Students!$G:$G,$AK$2&amp;if($K59="S1","a",if($K59="S2","b","")),Students!$A:$A,AS$2)+countifs(Students!$H:$H,$AK59,Students!$I:$I,$AK$2&amp;if($K59="S1","a",if($K59="S2","b","")),Students!$A:$A,AS$2)+countifs(Students!$J:$J,$AK59,Students!$K:$K,$AK$2&amp;if($K59="S1","a",if($K59="S2","b","")),Students!$A:$A,AS$2)+countifs(Students!$L:$L,$AK59,Students!$M:$M,$AK$2&amp;if($K59="S1","a",if($K59="S2","b","")),Students!$A:$A,AS$2)+countifs(Students!$N:$N,$AK59,Students!$O:$O,$AK$2&amp;if($K59="S1","a",if($K59="S2","b","")),Students!$A:$A,AS$2)+countifs(Students!$P:$P,$AK59,Students!$Q:$Q,$AK$2&amp;if($K59="S1","a",if($K59="S2","b","")),Students!$A:$A,AS$2)+countifs(Students!$R:$R,$AK59,Students!$S:$S,$AK$2&amp;if($K59="S1","a",if($K59="S2","b","")),Students!$A:$A,AS$2)+countifs(Students!$T:$T,$AK59,Students!$U:$U,$AK$2&amp;if($K59="S1","a",if($K59="S2","b","")),Students!$A:$A,AS$2)+countifs(Students!$V:$V,$AK59,Students!$W:$W,$AK$2&amp;if($K59="S1","a",if($K59="S2","b","")),Students!$A:$A,AS$2))</f>
        <v/>
      </c>
    </row>
    <row r="60">
      <c r="J60" s="87" t="s">
        <v>22</v>
      </c>
      <c r="K60" s="88"/>
      <c r="L60" s="136"/>
      <c r="M60" s="89"/>
      <c r="N60" s="87" t="s">
        <v>22</v>
      </c>
      <c r="O60" s="87">
        <f>IFERROR(__xludf.DUMMYFUNCTION("3*counta((transpose(filter(P60:AM60,P60:AM60&lt;&gt;"""",isnumber(P60:AM60)=false))))"),3.0)</f>
        <v>3</v>
      </c>
      <c r="P60" s="117"/>
      <c r="Q60" s="117"/>
      <c r="R60" s="98" t="s">
        <v>22</v>
      </c>
      <c r="S60" s="117"/>
      <c r="T60" s="117"/>
      <c r="U60" s="98" t="s">
        <v>22</v>
      </c>
      <c r="V60" s="117"/>
      <c r="W60" s="89"/>
      <c r="X60" s="98" t="s">
        <v>22</v>
      </c>
      <c r="Y60" s="117"/>
      <c r="Z60" s="117"/>
      <c r="AA60" s="98" t="s">
        <v>22</v>
      </c>
      <c r="AB60" s="117"/>
      <c r="AC60" s="89"/>
      <c r="AD60" s="98" t="s">
        <v>22</v>
      </c>
      <c r="AE60" s="117"/>
      <c r="AF60" s="117"/>
      <c r="AG60" s="98" t="s">
        <v>22</v>
      </c>
      <c r="AH60" s="117"/>
      <c r="AI60" s="98"/>
      <c r="AJ60" s="98" t="s">
        <v>22</v>
      </c>
      <c r="AK60" s="117"/>
      <c r="AL60" s="133"/>
      <c r="AM60" s="98" t="s">
        <v>22</v>
      </c>
      <c r="AN60" s="99"/>
      <c r="AO60" s="52" t="str">
        <f t="shared" si="2"/>
        <v/>
      </c>
      <c r="AP60" s="98" t="str">
        <f>if($L60="","",countifs(Students!$D:$D,$P60,Students!$E:$E,$P$2&amp;if($K60="S1","a",if($K60="S2","b","")),Students!$A:$A,AP$2)+countifs(Students!$F:$F,$P60,Students!$G:$G,$P$2&amp;if($K60="S1","a",if($K60="S2","b","")),Students!$A:$A,AP$2)+countifs(Students!$H:$H,$P60,Students!$I:$I,$P$2&amp;if($K60="S1","a",if($K60="S2","b","")),Students!$A:$A,AP$2)+countifs(Students!$J:$J,$P60,Students!$K:$K,$P$2&amp;if($K60="S1","a",if($K60="S2","b","")),Students!$A:$A,AP$2)+countifs(Students!$L:$L,$P60,Students!$M:$M,$P$2&amp;if($K60="S1","a",if($K60="S2","b","")),Students!$A:$A,AP$2)+countifs(Students!$N:$N,$P60,Students!$O:$O,$P$2&amp;if($K60="S1","a",if($K60="S2","b","")),Students!$A:$A,AP$2)+countifs(Students!$P:$P,$P60,Students!$Q:$Q,$P$2&amp;if($K60="S1","a",if($K60="S2","b","")),Students!$A:$A,AP$2)+countifs(Students!$R:$R,$P60,Students!$S:$S,$P$2&amp;if($K60="S1","a",if($K60="S2","b","")),Students!$A:$A,AP$2)+countifs(Students!$T:$T,$P60,Students!$U:$U,$P$2&amp;if($K60="S1","a",if($K60="S2","b","")),Students!$A:$A,AP$2)+countifs(Students!$V:$V,$P60,Students!$W:$W,$P$2&amp;if($K60="S1","a",if($K60="S2","b","")),Students!$A:$A,AP$2)+
countifs(Students!$D:$D,$S60,Students!$E:$E,$S$2&amp;if($K60="S1","a",if($K60="S2","b","")),Students!$A:$A,AP$2)+countifs(Students!$F:$F,$S60,Students!$G:$G,$S$2&amp;if($K60="S1","a",if($K60="S2","b","")),Students!$A:$A,AP$2)+countifs(Students!$H:$H,$S60,Students!$I:$I,$S$2&amp;if($K60="S1","a",if($K60="S2","b","")),Students!$A:$A,AP$2)+countifs(Students!$J:$J,$S60,Students!$K:$K,$S$2&amp;if($K60="S1","a",if($K60="S2","b","")),Students!$A:$A,AP$2)+countifs(Students!$L:$L,$S60,Students!$M:$M,$S$2&amp;if($K60="S1","a",if($K60="S2","b","")),Students!$A:$A,AP$2)+countifs(Students!$N:$N,$S60,Students!$O:$O,$S$2&amp;if($K60="S1","a",if($K60="S2","b","")),Students!$A:$A,AP$2)+countifs(Students!$P:$P,$S60,Students!$Q:$Q,$S$2&amp;if($K60="S1","a",if($K60="S2","b","")),Students!$A:$A,AP$2)+countifs(Students!$R:$R,$S60,Students!$S:$S,$S$2&amp;if($K60="S1","a",if($K60="S2","b","")),Students!$A:$A,AP$2)+countifs(Students!$T:$T,$S60,Students!$U:$U,$S$2&amp;if($K60="S1","a",if($K60="S2","b","")),Students!$A:$A,AP$2)+countifs(Students!$V:$V,$S60,Students!$W:$W,$S$2&amp;if($K60="S1","a",if($K60="S2","b","")),Students!$A:$A,AP$2)+
countifs(Students!$D:$D,$V60,Students!$E:$E,$V$2&amp;if($K60="S1","a",if($K60="S2","b","")),Students!$A:$A,AP$2)+countifs(Students!$F:$F,$V60,Students!$G:$G,$V$2&amp;if($K60="S1","a",if($K60="S2","b","")),Students!$A:$A,AP$2)+countifs(Students!$H:$H,$V60,Students!$I:$I,$V$2&amp;if($K60="S1","a",if($K60="S2","b","")),Students!$A:$A,AP$2)+countifs(Students!$J:$J,$V60,Students!$K:$K,$V$2&amp;if($K60="S1","a",if($K60="S2","b","")),Students!$A:$A,AP$2)+countifs(Students!$L:$L,$V60,Students!$M:$M,$V$2&amp;if($K60="S1","a",if($K60="S2","b","")),Students!$A:$A,AP$2)+countifs(Students!$N:$N,$V60,Students!$O:$O,$V$2&amp;if($K60="S1","a",if($K60="S2","b","")),Students!$A:$A,AP$2)+countifs(Students!$P:$P,$V60,Students!$Q:$Q,$V$2&amp;if($K60="S1","a",if($K60="S2","b","")),Students!$A:$A,AP$2)+countifs(Students!$R:$R,$V60,Students!$S:$S,$V$2&amp;if($K60="S1","a",if($K60="S2","b","")),Students!$A:$A,AP$2)+countifs(Students!$T:$T,$V60,Students!$U:$U,$V$2&amp;if($K60="S1","a",if($K60="S2","b","")),Students!$A:$A,AP$2)+countifs(Students!$V:$V,$V60,Students!$W:$W,$V$2&amp;if($K60="S1","a",if($K60="S2","b","")),Students!$A:$A,AP$2)+
countifs(Students!$D:$D,$Y60,Students!$E:$E,$Y$2&amp;if($K60="S1","a",if($K60="S2","b","")),Students!$A:$A,AP$2)+countifs(Students!$F:$F,$Y60,Students!$G:$G,$Y$2&amp;if($K60="S1","a",if($K60="S2","b","")),Students!$A:$A,AP$2)+countifs(Students!$H:$H,$Y60,Students!$I:$I,$Y$2&amp;if($K60="S1","a",if($K60="S2","b","")),Students!$A:$A,AP$2)+countifs(Students!$J:$J,$Y60,Students!$K:$K,$Y$2&amp;if($K60="S1","a",if($K60="S2","b","")),Students!$A:$A,AP$2)+countifs(Students!$L:$L,$Y60,Students!$M:$M,$Y$2&amp;if($K60="S1","a",if($K60="S2","b","")),Students!$A:$A,AP$2)+countifs(Students!$N:$N,$Y60,Students!$O:$O,$Y$2&amp;if($K60="S1","a",if($K60="S2","b","")),Students!$A:$A,AP$2)+countifs(Students!$P:$P,$Y60,Students!$Q:$Q,$Y$2&amp;if($K60="S1","a",if($K60="S2","b","")),Students!$A:$A,AP$2)+countifs(Students!$R:$R,$Y60,Students!$S:$S,$Y$2&amp;if($K60="S1","a",if($K60="S2","b","")),Students!$A:$A,AP$2)+countifs(Students!$T:$T,$Y60,Students!$U:$U,$Y$2&amp;if($K60="S1","a",if($K60="S2","b","")),Students!$A:$A,AP$2)+countifs(Students!$V:$V,$Y60,Students!$W:$W,$Y$2&amp;if($K60="S1","a",if($K60="S2","b","")),Students!$A:$A,AP$2)+
countifs(Students!$D:$D,$AB60,Students!$E:$E,$AB$2&amp;if($K60="S1","a",if($K60="S2","b","")),Students!$A:$A,AP$2)+countifs(Students!$F:$F,$AB60,Students!$G:$G,$AB$2&amp;if($K60="S1","a",if($K60="S2","b","")),Students!$A:$A,AP$2)+countifs(Students!$H:$H,$AB60,Students!$I:$I,$AB$2&amp;if($K60="S1","a",if($K60="S2","b","")),Students!$A:$A,AP$2)+countifs(Students!$J:$J,$AB60,Students!$K:$K,$AB$2&amp;if($K60="S1","a",if($K60="S2","b","")),Students!$A:$A,AP$2)+countifs(Students!$L:$L,$AB60,Students!$M:$M,$AB$2&amp;if($K60="S1","a",if($K60="S2","b","")),Students!$A:$A,AP$2)+countifs(Students!$N:$N,$AB60,Students!$O:$O,$AB$2&amp;if($K60="S1","a",if($K60="S2","b","")),Students!$A:$A,AP$2)+countifs(Students!$P:$P,$AB60,Students!$Q:$Q,$AB$2&amp;if($K60="S1","a",if($K60="S2","b","")),Students!$A:$A,AP$2)+countifs(Students!$R:$R,$AB60,Students!$S:$S,$AB$2&amp;if($K60="S1","a",if($K60="S2","b","")),Students!$A:$A,AP$2)+countifs(Students!$T:$T,$AB60,Students!$U:$U,$AB$2&amp;if($K60="S1","a",if($K60="S2","b","")),Students!$A:$A,AP$2)+countifs(Students!$V:$V,$AB60,Students!$W:$W,$AB$2&amp;if($K60="S1","a",if($K60="S2","b","")),Students!$A:$A,AP$2)+
countifs(Students!$D:$D,$AE60,Students!$E:$E,$AE$2&amp;if($K60="S1","a",if($K60="S2","b","")),Students!$A:$A,AP$2)+countifs(Students!$F:$F,$AE60,Students!$G:$G,$AE$2&amp;if($K60="S1","a",if($K60="S2","b","")),Students!$A:$A,AP$2)+countifs(Students!$H:$H,$AE60,Students!$I:$I,$AE$2&amp;if($K60="S1","a",if($K60="S2","b","")),Students!$A:$A,AP$2)+countifs(Students!$J:$J,$AE60,Students!$K:$K,$AE$2&amp;if($K60="S1","a",if($K60="S2","b","")),Students!$A:$A,AP$2)+countifs(Students!$L:$L,$AE60,Students!$M:$M,$AE$2&amp;if($K60="S1","a",if($K60="S2","b","")),Students!$A:$A,AP$2)+countifs(Students!$N:$N,$AE60,Students!$O:$O,$AE$2&amp;if($K60="S1","a",if($K60="S2","b","")),Students!$A:$A,AP$2)+countifs(Students!$P:$P,$AE60,Students!$Q:$Q,$AE$2&amp;if($K60="S1","a",if($K60="S2","b","")),Students!$A:$A,AP$2)+countifs(Students!$R:$R,$AE60,Students!$S:$S,$AE$2&amp;if($K60="S1","a",if($K60="S2","b","")),Students!$A:$A,AP$2)+countifs(Students!$T:$T,$AE60,Students!$U:$U,$AE$2&amp;if($K60="S1","a",if($K60="S2","b","")),Students!$A:$A,AP$2)+countifs(Students!$V:$V,$AE60,Students!$W:$W,$AE$2&amp;if($K60="S1","a",if($K60="S2","b","")),Students!$A:$A,AP$2)+
countifs(Students!$D:$D,$AH60,Students!$E:$E,$AH$2&amp;if($K60="S1","a",if($K60="S2","b","")),Students!$A:$A,AP$2)+countifs(Students!$F:$F,$AH60,Students!$G:$G,$AH$2&amp;if($K60="S1","a",if($K60="S2","b","")),Students!$A:$A,AP$2)+countifs(Students!$H:$H,$AH60,Students!$I:$I,$AH$2&amp;if($K60="S1","a",if($K60="S2","b","")),Students!$A:$A,AP$2)+countifs(Students!$J:$J,$AH60,Students!$K:$K,$AH$2&amp;if($K60="S1","a",if($K60="S2","b","")),Students!$A:$A,AP$2)+countifs(Students!$L:$L,$AH60,Students!$M:$M,$AH$2&amp;if($K60="S1","a",if($K60="S2","b","")),Students!$A:$A,AP$2)+countifs(Students!$N:$N,$AH60,Students!$O:$O,$AH$2&amp;if($K60="S1","a",if($K60="S2","b","")),Students!$A:$A,AP$2)+countifs(Students!$P:$P,$AH60,Students!$Q:$Q,$AH$2&amp;if($K60="S1","a",if($K60="S2","b","")),Students!$A:$A,AP$2)+countifs(Students!$R:$R,$AH60,Students!$S:$S,$AH$2&amp;if($K60="S1","a",if($K60="S2","b","")),Students!$A:$A,AP$2)+countifs(Students!$T:$T,$AH60,Students!$U:$U,$AH$2&amp;if($K60="S1","a",if($K60="S2","b","")),Students!$A:$A,AP$2)+countifs(Students!$V:$V,$AH60,Students!$W:$W,$AH$2&amp;if($K60="S1","a",if($K60="S2","b","")),Students!$A:$A,AP$2)+
countifs(Students!$D:$D,$AK60,Students!$E:$E,$AK$2&amp;if($K60="S1","a",if($K60="S2","b","")),Students!$A:$A,AP$2)+countifs(Students!$F:$F,$AK60,Students!$G:$G,$AK$2&amp;if($K60="S1","a",if($K60="S2","b","")),Students!$A:$A,AP$2)+countifs(Students!$H:$H,$AK60,Students!$I:$I,$AK$2&amp;if($K60="S1","a",if($K60="S2","b","")),Students!$A:$A,AP$2)+countifs(Students!$J:$J,$AK60,Students!$K:$K,$AK$2&amp;if($K60="S1","a",if($K60="S2","b","")),Students!$A:$A,AP$2)+countifs(Students!$L:$L,$AK60,Students!$M:$M,$AK$2&amp;if($K60="S1","a",if($K60="S2","b","")),Students!$A:$A,AP$2)+countifs(Students!$N:$N,$AK60,Students!$O:$O,$AK$2&amp;if($K60="S1","a",if($K60="S2","b","")),Students!$A:$A,AP$2)+countifs(Students!$P:$P,$AK60,Students!$Q:$Q,$AK$2&amp;if($K60="S1","a",if($K60="S2","b","")),Students!$A:$A,AP$2)+countifs(Students!$R:$R,$AK60,Students!$S:$S,$AK$2&amp;if($K60="S1","a",if($K60="S2","b","")),Students!$A:$A,AP$2)+countifs(Students!$T:$T,$AK60,Students!$U:$U,$AK$2&amp;if($K60="S1","a",if($K60="S2","b","")),Students!$A:$A,AP$2)+countifs(Students!$V:$V,$AK60,Students!$W:$W,$AK$2&amp;if($K60="S1","a",if($K60="S2","b","")),Students!$A:$A,AP$2))</f>
        <v/>
      </c>
      <c r="AQ60" s="98" t="str">
        <f>if($L60="","",countifs(Students!$D:$D,$P60,Students!$E:$E,$P$2&amp;if($K60="S1","a",if($K60="S2","b","")),Students!$A:$A,AQ$2)+countifs(Students!$F:$F,$P60,Students!$G:$G,$P$2&amp;if($K60="S1","a",if($K60="S2","b","")),Students!$A:$A,AQ$2)+countifs(Students!$H:$H,$P60,Students!$I:$I,$P$2&amp;if($K60="S1","a",if($K60="S2","b","")),Students!$A:$A,AQ$2)+countifs(Students!$J:$J,$P60,Students!$K:$K,$P$2&amp;if($K60="S1","a",if($K60="S2","b","")),Students!$A:$A,AQ$2)+countifs(Students!$L:$L,$P60,Students!$M:$M,$P$2&amp;if($K60="S1","a",if($K60="S2","b","")),Students!$A:$A,AQ$2)+countifs(Students!$N:$N,$P60,Students!$O:$O,$P$2&amp;if($K60="S1","a",if($K60="S2","b","")),Students!$A:$A,AQ$2)+countifs(Students!$P:$P,$P60,Students!$Q:$Q,$P$2&amp;if($K60="S1","a",if($K60="S2","b","")),Students!$A:$A,AQ$2)+countifs(Students!$R:$R,$P60,Students!$S:$S,$P$2&amp;if($K60="S1","a",if($K60="S2","b","")),Students!$A:$A,AQ$2)+countifs(Students!$T:$T,$P60,Students!$U:$U,$P$2&amp;if($K60="S1","a",if($K60="S2","b","")),Students!$A:$A,AQ$2)+countifs(Students!$V:$V,$P60,Students!$W:$W,$P$2&amp;if($K60="S1","a",if($K60="S2","b","")),Students!$A:$A,AQ$2)+
countifs(Students!$D:$D,$S60,Students!$E:$E,$S$2&amp;if($K60="S1","a",if($K60="S2","b","")),Students!$A:$A,AQ$2)+countifs(Students!$F:$F,$S60,Students!$G:$G,$S$2&amp;if($K60="S1","a",if($K60="S2","b","")),Students!$A:$A,AQ$2)+countifs(Students!$H:$H,$S60,Students!$I:$I,$S$2&amp;if($K60="S1","a",if($K60="S2","b","")),Students!$A:$A,AQ$2)+countifs(Students!$J:$J,$S60,Students!$K:$K,$S$2&amp;if($K60="S1","a",if($K60="S2","b","")),Students!$A:$A,AQ$2)+countifs(Students!$L:$L,$S60,Students!$M:$M,$S$2&amp;if($K60="S1","a",if($K60="S2","b","")),Students!$A:$A,AQ$2)+countifs(Students!$N:$N,$S60,Students!$O:$O,$S$2&amp;if($K60="S1","a",if($K60="S2","b","")),Students!$A:$A,AQ$2)+countifs(Students!$P:$P,$S60,Students!$Q:$Q,$S$2&amp;if($K60="S1","a",if($K60="S2","b","")),Students!$A:$A,AQ$2)+countifs(Students!$R:$R,$S60,Students!$S:$S,$S$2&amp;if($K60="S1","a",if($K60="S2","b","")),Students!$A:$A,AQ$2)+countifs(Students!$T:$T,$S60,Students!$U:$U,$S$2&amp;if($K60="S1","a",if($K60="S2","b","")),Students!$A:$A,AQ$2)+countifs(Students!$V:$V,$S60,Students!$W:$W,$S$2&amp;if($K60="S1","a",if($K60="S2","b","")),Students!$A:$A,AQ$2)+
countifs(Students!$D:$D,$V60,Students!$E:$E,$V$2&amp;if($K60="S1","a",if($K60="S2","b","")),Students!$A:$A,AQ$2)+countifs(Students!$F:$F,$V60,Students!$G:$G,$V$2&amp;if($K60="S1","a",if($K60="S2","b","")),Students!$A:$A,AQ$2)+countifs(Students!$H:$H,$V60,Students!$I:$I,$V$2&amp;if($K60="S1","a",if($K60="S2","b","")),Students!$A:$A,AQ$2)+countifs(Students!$J:$J,$V60,Students!$K:$K,$V$2&amp;if($K60="S1","a",if($K60="S2","b","")),Students!$A:$A,AQ$2)+countifs(Students!$L:$L,$V60,Students!$M:$M,$V$2&amp;if($K60="S1","a",if($K60="S2","b","")),Students!$A:$A,AQ$2)+countifs(Students!$N:$N,$V60,Students!$O:$O,$V$2&amp;if($K60="S1","a",if($K60="S2","b","")),Students!$A:$A,AQ$2)+countifs(Students!$P:$P,$V60,Students!$Q:$Q,$V$2&amp;if($K60="S1","a",if($K60="S2","b","")),Students!$A:$A,AQ$2)+countifs(Students!$R:$R,$V60,Students!$S:$S,$V$2&amp;if($K60="S1","a",if($K60="S2","b","")),Students!$A:$A,AQ$2)+countifs(Students!$T:$T,$V60,Students!$U:$U,$V$2&amp;if($K60="S1","a",if($K60="S2","b","")),Students!$A:$A,AQ$2)+countifs(Students!$V:$V,$V60,Students!$W:$W,$V$2&amp;if($K60="S1","a",if($K60="S2","b","")),Students!$A:$A,AQ$2)+
countifs(Students!$D:$D,$Y60,Students!$E:$E,$Y$2&amp;if($K60="S1","a",if($K60="S2","b","")),Students!$A:$A,AQ$2)+countifs(Students!$F:$F,$Y60,Students!$G:$G,$Y$2&amp;if($K60="S1","a",if($K60="S2","b","")),Students!$A:$A,AQ$2)+countifs(Students!$H:$H,$Y60,Students!$I:$I,$Y$2&amp;if($K60="S1","a",if($K60="S2","b","")),Students!$A:$A,AQ$2)+countifs(Students!$J:$J,$Y60,Students!$K:$K,$Y$2&amp;if($K60="S1","a",if($K60="S2","b","")),Students!$A:$A,AQ$2)+countifs(Students!$L:$L,$Y60,Students!$M:$M,$Y$2&amp;if($K60="S1","a",if($K60="S2","b","")),Students!$A:$A,AQ$2)+countifs(Students!$N:$N,$Y60,Students!$O:$O,$Y$2&amp;if($K60="S1","a",if($K60="S2","b","")),Students!$A:$A,AQ$2)+countifs(Students!$P:$P,$Y60,Students!$Q:$Q,$Y$2&amp;if($K60="S1","a",if($K60="S2","b","")),Students!$A:$A,AQ$2)+countifs(Students!$R:$R,$Y60,Students!$S:$S,$Y$2&amp;if($K60="S1","a",if($K60="S2","b","")),Students!$A:$A,AQ$2)+countifs(Students!$T:$T,$Y60,Students!$U:$U,$Y$2&amp;if($K60="S1","a",if($K60="S2","b","")),Students!$A:$A,AQ$2)+countifs(Students!$V:$V,$Y60,Students!$W:$W,$Y$2&amp;if($K60="S1","a",if($K60="S2","b","")),Students!$A:$A,AQ$2)+
countifs(Students!$D:$D,$AB60,Students!$E:$E,$AB$2&amp;if($K60="S1","a",if($K60="S2","b","")),Students!$A:$A,AQ$2)+countifs(Students!$F:$F,$AB60,Students!$G:$G,$AB$2&amp;if($K60="S1","a",if($K60="S2","b","")),Students!$A:$A,AQ$2)+countifs(Students!$H:$H,$AB60,Students!$I:$I,$AB$2&amp;if($K60="S1","a",if($K60="S2","b","")),Students!$A:$A,AQ$2)+countifs(Students!$J:$J,$AB60,Students!$K:$K,$AB$2&amp;if($K60="S1","a",if($K60="S2","b","")),Students!$A:$A,AQ$2)+countifs(Students!$L:$L,$AB60,Students!$M:$M,$AB$2&amp;if($K60="S1","a",if($K60="S2","b","")),Students!$A:$A,AQ$2)+countifs(Students!$N:$N,$AB60,Students!$O:$O,$AB$2&amp;if($K60="S1","a",if($K60="S2","b","")),Students!$A:$A,AQ$2)+countifs(Students!$P:$P,$AB60,Students!$Q:$Q,$AB$2&amp;if($K60="S1","a",if($K60="S2","b","")),Students!$A:$A,AQ$2)+countifs(Students!$R:$R,$AB60,Students!$S:$S,$AB$2&amp;if($K60="S1","a",if($K60="S2","b","")),Students!$A:$A,AQ$2)+countifs(Students!$T:$T,$AB60,Students!$U:$U,$AB$2&amp;if($K60="S1","a",if($K60="S2","b","")),Students!$A:$A,AQ$2)+countifs(Students!$V:$V,$AB60,Students!$W:$W,$AB$2&amp;if($K60="S1","a",if($K60="S2","b","")),Students!$A:$A,AQ$2)+
countifs(Students!$D:$D,$AE60,Students!$E:$E,$AE$2&amp;if($K60="S1","a",if($K60="S2","b","")),Students!$A:$A,AQ$2)+countifs(Students!$F:$F,$AE60,Students!$G:$G,$AE$2&amp;if($K60="S1","a",if($K60="S2","b","")),Students!$A:$A,AQ$2)+countifs(Students!$H:$H,$AE60,Students!$I:$I,$AE$2&amp;if($K60="S1","a",if($K60="S2","b","")),Students!$A:$A,AQ$2)+countifs(Students!$J:$J,$AE60,Students!$K:$K,$AE$2&amp;if($K60="S1","a",if($K60="S2","b","")),Students!$A:$A,AQ$2)+countifs(Students!$L:$L,$AE60,Students!$M:$M,$AE$2&amp;if($K60="S1","a",if($K60="S2","b","")),Students!$A:$A,AQ$2)+countifs(Students!$N:$N,$AE60,Students!$O:$O,$AE$2&amp;if($K60="S1","a",if($K60="S2","b","")),Students!$A:$A,AQ$2)+countifs(Students!$P:$P,$AE60,Students!$Q:$Q,$AE$2&amp;if($K60="S1","a",if($K60="S2","b","")),Students!$A:$A,AQ$2)+countifs(Students!$R:$R,$AE60,Students!$S:$S,$AE$2&amp;if($K60="S1","a",if($K60="S2","b","")),Students!$A:$A,AQ$2)+countifs(Students!$T:$T,$AE60,Students!$U:$U,$AE$2&amp;if($K60="S1","a",if($K60="S2","b","")),Students!$A:$A,AQ$2)+countifs(Students!$V:$V,$AE60,Students!$W:$W,$AE$2&amp;if($K60="S1","a",if($K60="S2","b","")),Students!$A:$A,AQ$2)+
countifs(Students!$D:$D,$AH60,Students!$E:$E,$AH$2&amp;if($K60="S1","a",if($K60="S2","b","")),Students!$A:$A,AQ$2)+countifs(Students!$F:$F,$AH60,Students!$G:$G,$AH$2&amp;if($K60="S1","a",if($K60="S2","b","")),Students!$A:$A,AQ$2)+countifs(Students!$H:$H,$AH60,Students!$I:$I,$AH$2&amp;if($K60="S1","a",if($K60="S2","b","")),Students!$A:$A,AQ$2)+countifs(Students!$J:$J,$AH60,Students!$K:$K,$AH$2&amp;if($K60="S1","a",if($K60="S2","b","")),Students!$A:$A,AQ$2)+countifs(Students!$L:$L,$AH60,Students!$M:$M,$AH$2&amp;if($K60="S1","a",if($K60="S2","b","")),Students!$A:$A,AQ$2)+countifs(Students!$N:$N,$AH60,Students!$O:$O,$AH$2&amp;if($K60="S1","a",if($K60="S2","b","")),Students!$A:$A,AQ$2)+countifs(Students!$P:$P,$AH60,Students!$Q:$Q,$AH$2&amp;if($K60="S1","a",if($K60="S2","b","")),Students!$A:$A,AQ$2)+countifs(Students!$R:$R,$AH60,Students!$S:$S,$AH$2&amp;if($K60="S1","a",if($K60="S2","b","")),Students!$A:$A,AQ$2)+countifs(Students!$T:$T,$AH60,Students!$U:$U,$AH$2&amp;if($K60="S1","a",if($K60="S2","b","")),Students!$A:$A,AQ$2)+countifs(Students!$V:$V,$AH60,Students!$W:$W,$AH$2&amp;if($K60="S1","a",if($K60="S2","b","")),Students!$A:$A,AQ$2)+
countifs(Students!$D:$D,$AK60,Students!$E:$E,$AK$2&amp;if($K60="S1","a",if($K60="S2","b","")),Students!$A:$A,AQ$2)+countifs(Students!$F:$F,$AK60,Students!$G:$G,$AK$2&amp;if($K60="S1","a",if($K60="S2","b","")),Students!$A:$A,AQ$2)+countifs(Students!$H:$H,$AK60,Students!$I:$I,$AK$2&amp;if($K60="S1","a",if($K60="S2","b","")),Students!$A:$A,AQ$2)+countifs(Students!$J:$J,$AK60,Students!$K:$K,$AK$2&amp;if($K60="S1","a",if($K60="S2","b","")),Students!$A:$A,AQ$2)+countifs(Students!$L:$L,$AK60,Students!$M:$M,$AK$2&amp;if($K60="S1","a",if($K60="S2","b","")),Students!$A:$A,AQ$2)+countifs(Students!$N:$N,$AK60,Students!$O:$O,$AK$2&amp;if($K60="S1","a",if($K60="S2","b","")),Students!$A:$A,AQ$2)+countifs(Students!$P:$P,$AK60,Students!$Q:$Q,$AK$2&amp;if($K60="S1","a",if($K60="S2","b","")),Students!$A:$A,AQ$2)+countifs(Students!$R:$R,$AK60,Students!$S:$S,$AK$2&amp;if($K60="S1","a",if($K60="S2","b","")),Students!$A:$A,AQ$2)+countifs(Students!$T:$T,$AK60,Students!$U:$U,$AK$2&amp;if($K60="S1","a",if($K60="S2","b","")),Students!$A:$A,AQ$2)+countifs(Students!$V:$V,$AK60,Students!$W:$W,$AK$2&amp;if($K60="S1","a",if($K60="S2","b","")),Students!$A:$A,AQ$2))</f>
        <v/>
      </c>
      <c r="AR60" s="98" t="str">
        <f>if($L60="","",countifs(Students!$D:$D,$P60,Students!$E:$E,$P$2&amp;if($K60="S1","a",if($K60="S2","b","")),Students!$A:$A,AR$2)+countifs(Students!$F:$F,$P60,Students!$G:$G,$P$2&amp;if($K60="S1","a",if($K60="S2","b","")),Students!$A:$A,AR$2)+countifs(Students!$H:$H,$P60,Students!$I:$I,$P$2&amp;if($K60="S1","a",if($K60="S2","b","")),Students!$A:$A,AR$2)+countifs(Students!$J:$J,$P60,Students!$K:$K,$P$2&amp;if($K60="S1","a",if($K60="S2","b","")),Students!$A:$A,AR$2)+countifs(Students!$L:$L,$P60,Students!$M:$M,$P$2&amp;if($K60="S1","a",if($K60="S2","b","")),Students!$A:$A,AR$2)+countifs(Students!$N:$N,$P60,Students!$O:$O,$P$2&amp;if($K60="S1","a",if($K60="S2","b","")),Students!$A:$A,AR$2)+countifs(Students!$P:$P,$P60,Students!$Q:$Q,$P$2&amp;if($K60="S1","a",if($K60="S2","b","")),Students!$A:$A,AR$2)+countifs(Students!$R:$R,$P60,Students!$S:$S,$P$2&amp;if($K60="S1","a",if($K60="S2","b","")),Students!$A:$A,AR$2)+countifs(Students!$T:$T,$P60,Students!$U:$U,$P$2&amp;if($K60="S1","a",if($K60="S2","b","")),Students!$A:$A,AR$2)+countifs(Students!$V:$V,$P60,Students!$W:$W,$P$2&amp;if($K60="S1","a",if($K60="S2","b","")),Students!$A:$A,AR$2)+
countifs(Students!$D:$D,$S60,Students!$E:$E,$S$2&amp;if($K60="S1","a",if($K60="S2","b","")),Students!$A:$A,AR$2)+countifs(Students!$F:$F,$S60,Students!$G:$G,$S$2&amp;if($K60="S1","a",if($K60="S2","b","")),Students!$A:$A,AR$2)+countifs(Students!$H:$H,$S60,Students!$I:$I,$S$2&amp;if($K60="S1","a",if($K60="S2","b","")),Students!$A:$A,AR$2)+countifs(Students!$J:$J,$S60,Students!$K:$K,$S$2&amp;if($K60="S1","a",if($K60="S2","b","")),Students!$A:$A,AR$2)+countifs(Students!$L:$L,$S60,Students!$M:$M,$S$2&amp;if($K60="S1","a",if($K60="S2","b","")),Students!$A:$A,AR$2)+countifs(Students!$N:$N,$S60,Students!$O:$O,$S$2&amp;if($K60="S1","a",if($K60="S2","b","")),Students!$A:$A,AR$2)+countifs(Students!$P:$P,$S60,Students!$Q:$Q,$S$2&amp;if($K60="S1","a",if($K60="S2","b","")),Students!$A:$A,AR$2)+countifs(Students!$R:$R,$S60,Students!$S:$S,$S$2&amp;if($K60="S1","a",if($K60="S2","b","")),Students!$A:$A,AR$2)+countifs(Students!$T:$T,$S60,Students!$U:$U,$S$2&amp;if($K60="S1","a",if($K60="S2","b","")),Students!$A:$A,AR$2)+countifs(Students!$V:$V,$S60,Students!$W:$W,$S$2&amp;if($K60="S1","a",if($K60="S2","b","")),Students!$A:$A,AR$2)+
countifs(Students!$D:$D,$V60,Students!$E:$E,$V$2&amp;if($K60="S1","a",if($K60="S2","b","")),Students!$A:$A,AR$2)+countifs(Students!$F:$F,$V60,Students!$G:$G,$V$2&amp;if($K60="S1","a",if($K60="S2","b","")),Students!$A:$A,AR$2)+countifs(Students!$H:$H,$V60,Students!$I:$I,$V$2&amp;if($K60="S1","a",if($K60="S2","b","")),Students!$A:$A,AR$2)+countifs(Students!$J:$J,$V60,Students!$K:$K,$V$2&amp;if($K60="S1","a",if($K60="S2","b","")),Students!$A:$A,AR$2)+countifs(Students!$L:$L,$V60,Students!$M:$M,$V$2&amp;if($K60="S1","a",if($K60="S2","b","")),Students!$A:$A,AR$2)+countifs(Students!$N:$N,$V60,Students!$O:$O,$V$2&amp;if($K60="S1","a",if($K60="S2","b","")),Students!$A:$A,AR$2)+countifs(Students!$P:$P,$V60,Students!$Q:$Q,$V$2&amp;if($K60="S1","a",if($K60="S2","b","")),Students!$A:$A,AR$2)+countifs(Students!$R:$R,$V60,Students!$S:$S,$V$2&amp;if($K60="S1","a",if($K60="S2","b","")),Students!$A:$A,AR$2)+countifs(Students!$T:$T,$V60,Students!$U:$U,$V$2&amp;if($K60="S1","a",if($K60="S2","b","")),Students!$A:$A,AR$2)+countifs(Students!$V:$V,$V60,Students!$W:$W,$V$2&amp;if($K60="S1","a",if($K60="S2","b","")),Students!$A:$A,AR$2)+
countifs(Students!$D:$D,$Y60,Students!$E:$E,$Y$2&amp;if($K60="S1","a",if($K60="S2","b","")),Students!$A:$A,AR$2)+countifs(Students!$F:$F,$Y60,Students!$G:$G,$Y$2&amp;if($K60="S1","a",if($K60="S2","b","")),Students!$A:$A,AR$2)+countifs(Students!$H:$H,$Y60,Students!$I:$I,$Y$2&amp;if($K60="S1","a",if($K60="S2","b","")),Students!$A:$A,AR$2)+countifs(Students!$J:$J,$Y60,Students!$K:$K,$Y$2&amp;if($K60="S1","a",if($K60="S2","b","")),Students!$A:$A,AR$2)+countifs(Students!$L:$L,$Y60,Students!$M:$M,$Y$2&amp;if($K60="S1","a",if($K60="S2","b","")),Students!$A:$A,AR$2)+countifs(Students!$N:$N,$Y60,Students!$O:$O,$Y$2&amp;if($K60="S1","a",if($K60="S2","b","")),Students!$A:$A,AR$2)+countifs(Students!$P:$P,$Y60,Students!$Q:$Q,$Y$2&amp;if($K60="S1","a",if($K60="S2","b","")),Students!$A:$A,AR$2)+countifs(Students!$R:$R,$Y60,Students!$S:$S,$Y$2&amp;if($K60="S1","a",if($K60="S2","b","")),Students!$A:$A,AR$2)+countifs(Students!$T:$T,$Y60,Students!$U:$U,$Y$2&amp;if($K60="S1","a",if($K60="S2","b","")),Students!$A:$A,AR$2)+countifs(Students!$V:$V,$Y60,Students!$W:$W,$Y$2&amp;if($K60="S1","a",if($K60="S2","b","")),Students!$A:$A,AR$2)+
countifs(Students!$D:$D,$AB60,Students!$E:$E,$AB$2&amp;if($K60="S1","a",if($K60="S2","b","")),Students!$A:$A,AR$2)+countifs(Students!$F:$F,$AB60,Students!$G:$G,$AB$2&amp;if($K60="S1","a",if($K60="S2","b","")),Students!$A:$A,AR$2)+countifs(Students!$H:$H,$AB60,Students!$I:$I,$AB$2&amp;if($K60="S1","a",if($K60="S2","b","")),Students!$A:$A,AR$2)+countifs(Students!$J:$J,$AB60,Students!$K:$K,$AB$2&amp;if($K60="S1","a",if($K60="S2","b","")),Students!$A:$A,AR$2)+countifs(Students!$L:$L,$AB60,Students!$M:$M,$AB$2&amp;if($K60="S1","a",if($K60="S2","b","")),Students!$A:$A,AR$2)+countifs(Students!$N:$N,$AB60,Students!$O:$O,$AB$2&amp;if($K60="S1","a",if($K60="S2","b","")),Students!$A:$A,AR$2)+countifs(Students!$P:$P,$AB60,Students!$Q:$Q,$AB$2&amp;if($K60="S1","a",if($K60="S2","b","")),Students!$A:$A,AR$2)+countifs(Students!$R:$R,$AB60,Students!$S:$S,$AB$2&amp;if($K60="S1","a",if($K60="S2","b","")),Students!$A:$A,AR$2)+countifs(Students!$T:$T,$AB60,Students!$U:$U,$AB$2&amp;if($K60="S1","a",if($K60="S2","b","")),Students!$A:$A,AR$2)+countifs(Students!$V:$V,$AB60,Students!$W:$W,$AB$2&amp;if($K60="S1","a",if($K60="S2","b","")),Students!$A:$A,AR$2)+
countifs(Students!$D:$D,$AE60,Students!$E:$E,$AE$2&amp;if($K60="S1","a",if($K60="S2","b","")),Students!$A:$A,AR$2)+countifs(Students!$F:$F,$AE60,Students!$G:$G,$AE$2&amp;if($K60="S1","a",if($K60="S2","b","")),Students!$A:$A,AR$2)+countifs(Students!$H:$H,$AE60,Students!$I:$I,$AE$2&amp;if($K60="S1","a",if($K60="S2","b","")),Students!$A:$A,AR$2)+countifs(Students!$J:$J,$AE60,Students!$K:$K,$AE$2&amp;if($K60="S1","a",if($K60="S2","b","")),Students!$A:$A,AR$2)+countifs(Students!$L:$L,$AE60,Students!$M:$M,$AE$2&amp;if($K60="S1","a",if($K60="S2","b","")),Students!$A:$A,AR$2)+countifs(Students!$N:$N,$AE60,Students!$O:$O,$AE$2&amp;if($K60="S1","a",if($K60="S2","b","")),Students!$A:$A,AR$2)+countifs(Students!$P:$P,$AE60,Students!$Q:$Q,$AE$2&amp;if($K60="S1","a",if($K60="S2","b","")),Students!$A:$A,AR$2)+countifs(Students!$R:$R,$AE60,Students!$S:$S,$AE$2&amp;if($K60="S1","a",if($K60="S2","b","")),Students!$A:$A,AR$2)+countifs(Students!$T:$T,$AE60,Students!$U:$U,$AE$2&amp;if($K60="S1","a",if($K60="S2","b","")),Students!$A:$A,AR$2)+countifs(Students!$V:$V,$AE60,Students!$W:$W,$AE$2&amp;if($K60="S1","a",if($K60="S2","b","")),Students!$A:$A,AR$2)+
countifs(Students!$D:$D,$AH60,Students!$E:$E,$AH$2&amp;if($K60="S1","a",if($K60="S2","b","")),Students!$A:$A,AR$2)+countifs(Students!$F:$F,$AH60,Students!$G:$G,$AH$2&amp;if($K60="S1","a",if($K60="S2","b","")),Students!$A:$A,AR$2)+countifs(Students!$H:$H,$AH60,Students!$I:$I,$AH$2&amp;if($K60="S1","a",if($K60="S2","b","")),Students!$A:$A,AR$2)+countifs(Students!$J:$J,$AH60,Students!$K:$K,$AH$2&amp;if($K60="S1","a",if($K60="S2","b","")),Students!$A:$A,AR$2)+countifs(Students!$L:$L,$AH60,Students!$M:$M,$AH$2&amp;if($K60="S1","a",if($K60="S2","b","")),Students!$A:$A,AR$2)+countifs(Students!$N:$N,$AH60,Students!$O:$O,$AH$2&amp;if($K60="S1","a",if($K60="S2","b","")),Students!$A:$A,AR$2)+countifs(Students!$P:$P,$AH60,Students!$Q:$Q,$AH$2&amp;if($K60="S1","a",if($K60="S2","b","")),Students!$A:$A,AR$2)+countifs(Students!$R:$R,$AH60,Students!$S:$S,$AH$2&amp;if($K60="S1","a",if($K60="S2","b","")),Students!$A:$A,AR$2)+countifs(Students!$T:$T,$AH60,Students!$U:$U,$AH$2&amp;if($K60="S1","a",if($K60="S2","b","")),Students!$A:$A,AR$2)+countifs(Students!$V:$V,$AH60,Students!$W:$W,$AH$2&amp;if($K60="S1","a",if($K60="S2","b","")),Students!$A:$A,AR$2)+
countifs(Students!$D:$D,$AK60,Students!$E:$E,$AK$2&amp;if($K60="S1","a",if($K60="S2","b","")),Students!$A:$A,AR$2)+countifs(Students!$F:$F,$AK60,Students!$G:$G,$AK$2&amp;if($K60="S1","a",if($K60="S2","b","")),Students!$A:$A,AR$2)+countifs(Students!$H:$H,$AK60,Students!$I:$I,$AK$2&amp;if($K60="S1","a",if($K60="S2","b","")),Students!$A:$A,AR$2)+countifs(Students!$J:$J,$AK60,Students!$K:$K,$AK$2&amp;if($K60="S1","a",if($K60="S2","b","")),Students!$A:$A,AR$2)+countifs(Students!$L:$L,$AK60,Students!$M:$M,$AK$2&amp;if($K60="S1","a",if($K60="S2","b","")),Students!$A:$A,AR$2)+countifs(Students!$N:$N,$AK60,Students!$O:$O,$AK$2&amp;if($K60="S1","a",if($K60="S2","b","")),Students!$A:$A,AR$2)+countifs(Students!$P:$P,$AK60,Students!$Q:$Q,$AK$2&amp;if($K60="S1","a",if($K60="S2","b","")),Students!$A:$A,AR$2)+countifs(Students!$R:$R,$AK60,Students!$S:$S,$AK$2&amp;if($K60="S1","a",if($K60="S2","b","")),Students!$A:$A,AR$2)+countifs(Students!$T:$T,$AK60,Students!$U:$U,$AK$2&amp;if($K60="S1","a",if($K60="S2","b","")),Students!$A:$A,AR$2)+countifs(Students!$V:$V,$AK60,Students!$W:$W,$AK$2&amp;if($K60="S1","a",if($K60="S2","b","")),Students!$A:$A,AR$2))</f>
        <v/>
      </c>
      <c r="AS60" s="98" t="str">
        <f>if($L60="","",countifs(Students!$D:$D,$P60,Students!$E:$E,$P$2&amp;if($K60="S1","a",if($K60="S2","b","")),Students!$A:$A,AS$2)+countifs(Students!$F:$F,$P60,Students!$G:$G,$P$2&amp;if($K60="S1","a",if($K60="S2","b","")),Students!$A:$A,AS$2)+countifs(Students!$H:$H,$P60,Students!$I:$I,$P$2&amp;if($K60="S1","a",if($K60="S2","b","")),Students!$A:$A,AS$2)+countifs(Students!$J:$J,$P60,Students!$K:$K,$P$2&amp;if($K60="S1","a",if($K60="S2","b","")),Students!$A:$A,AS$2)+countifs(Students!$L:$L,$P60,Students!$M:$M,$P$2&amp;if($K60="S1","a",if($K60="S2","b","")),Students!$A:$A,AS$2)+countifs(Students!$N:$N,$P60,Students!$O:$O,$P$2&amp;if($K60="S1","a",if($K60="S2","b","")),Students!$A:$A,AS$2)+countifs(Students!$P:$P,$P60,Students!$Q:$Q,$P$2&amp;if($K60="S1","a",if($K60="S2","b","")),Students!$A:$A,AS$2)+countifs(Students!$R:$R,$P60,Students!$S:$S,$P$2&amp;if($K60="S1","a",if($K60="S2","b","")),Students!$A:$A,AS$2)+countifs(Students!$T:$T,$P60,Students!$U:$U,$P$2&amp;if($K60="S1","a",if($K60="S2","b","")),Students!$A:$A,AS$2)+countifs(Students!$V:$V,$P60,Students!$W:$W,$P$2&amp;if($K60="S1","a",if($K60="S2","b","")),Students!$A:$A,AS$2)+
countifs(Students!$D:$D,$S60,Students!$E:$E,$S$2&amp;if($K60="S1","a",if($K60="S2","b","")),Students!$A:$A,AS$2)+countifs(Students!$F:$F,$S60,Students!$G:$G,$S$2&amp;if($K60="S1","a",if($K60="S2","b","")),Students!$A:$A,AS$2)+countifs(Students!$H:$H,$S60,Students!$I:$I,$S$2&amp;if($K60="S1","a",if($K60="S2","b","")),Students!$A:$A,AS$2)+countifs(Students!$J:$J,$S60,Students!$K:$K,$S$2&amp;if($K60="S1","a",if($K60="S2","b","")),Students!$A:$A,AS$2)+countifs(Students!$L:$L,$S60,Students!$M:$M,$S$2&amp;if($K60="S1","a",if($K60="S2","b","")),Students!$A:$A,AS$2)+countifs(Students!$N:$N,$S60,Students!$O:$O,$S$2&amp;if($K60="S1","a",if($K60="S2","b","")),Students!$A:$A,AS$2)+countifs(Students!$P:$P,$S60,Students!$Q:$Q,$S$2&amp;if($K60="S1","a",if($K60="S2","b","")),Students!$A:$A,AS$2)+countifs(Students!$R:$R,$S60,Students!$S:$S,$S$2&amp;if($K60="S1","a",if($K60="S2","b","")),Students!$A:$A,AS$2)+countifs(Students!$T:$T,$S60,Students!$U:$U,$S$2&amp;if($K60="S1","a",if($K60="S2","b","")),Students!$A:$A,AS$2)+countifs(Students!$V:$V,$S60,Students!$W:$W,$S$2&amp;if($K60="S1","a",if($K60="S2","b","")),Students!$A:$A,AS$2)+
countifs(Students!$D:$D,$V60,Students!$E:$E,$V$2&amp;if($K60="S1","a",if($K60="S2","b","")),Students!$A:$A,AS$2)+countifs(Students!$F:$F,$V60,Students!$G:$G,$V$2&amp;if($K60="S1","a",if($K60="S2","b","")),Students!$A:$A,AS$2)+countifs(Students!$H:$H,$V60,Students!$I:$I,$V$2&amp;if($K60="S1","a",if($K60="S2","b","")),Students!$A:$A,AS$2)+countifs(Students!$J:$J,$V60,Students!$K:$K,$V$2&amp;if($K60="S1","a",if($K60="S2","b","")),Students!$A:$A,AS$2)+countifs(Students!$L:$L,$V60,Students!$M:$M,$V$2&amp;if($K60="S1","a",if($K60="S2","b","")),Students!$A:$A,AS$2)+countifs(Students!$N:$N,$V60,Students!$O:$O,$V$2&amp;if($K60="S1","a",if($K60="S2","b","")),Students!$A:$A,AS$2)+countifs(Students!$P:$P,$V60,Students!$Q:$Q,$V$2&amp;if($K60="S1","a",if($K60="S2","b","")),Students!$A:$A,AS$2)+countifs(Students!$R:$R,$V60,Students!$S:$S,$V$2&amp;if($K60="S1","a",if($K60="S2","b","")),Students!$A:$A,AS$2)+countifs(Students!$T:$T,$V60,Students!$U:$U,$V$2&amp;if($K60="S1","a",if($K60="S2","b","")),Students!$A:$A,AS$2)+countifs(Students!$V:$V,$V60,Students!$W:$W,$V$2&amp;if($K60="S1","a",if($K60="S2","b","")),Students!$A:$A,AS$2)+
countifs(Students!$D:$D,$Y60,Students!$E:$E,$Y$2&amp;if($K60="S1","a",if($K60="S2","b","")),Students!$A:$A,AS$2)+countifs(Students!$F:$F,$Y60,Students!$G:$G,$Y$2&amp;if($K60="S1","a",if($K60="S2","b","")),Students!$A:$A,AS$2)+countifs(Students!$H:$H,$Y60,Students!$I:$I,$Y$2&amp;if($K60="S1","a",if($K60="S2","b","")),Students!$A:$A,AS$2)+countifs(Students!$J:$J,$Y60,Students!$K:$K,$Y$2&amp;if($K60="S1","a",if($K60="S2","b","")),Students!$A:$A,AS$2)+countifs(Students!$L:$L,$Y60,Students!$M:$M,$Y$2&amp;if($K60="S1","a",if($K60="S2","b","")),Students!$A:$A,AS$2)+countifs(Students!$N:$N,$Y60,Students!$O:$O,$Y$2&amp;if($K60="S1","a",if($K60="S2","b","")),Students!$A:$A,AS$2)+countifs(Students!$P:$P,$Y60,Students!$Q:$Q,$Y$2&amp;if($K60="S1","a",if($K60="S2","b","")),Students!$A:$A,AS$2)+countifs(Students!$R:$R,$Y60,Students!$S:$S,$Y$2&amp;if($K60="S1","a",if($K60="S2","b","")),Students!$A:$A,AS$2)+countifs(Students!$T:$T,$Y60,Students!$U:$U,$Y$2&amp;if($K60="S1","a",if($K60="S2","b","")),Students!$A:$A,AS$2)+countifs(Students!$V:$V,$Y60,Students!$W:$W,$Y$2&amp;if($K60="S1","a",if($K60="S2","b","")),Students!$A:$A,AS$2)+
countifs(Students!$D:$D,$AB60,Students!$E:$E,$AB$2&amp;if($K60="S1","a",if($K60="S2","b","")),Students!$A:$A,AS$2)+countifs(Students!$F:$F,$AB60,Students!$G:$G,$AB$2&amp;if($K60="S1","a",if($K60="S2","b","")),Students!$A:$A,AS$2)+countifs(Students!$H:$H,$AB60,Students!$I:$I,$AB$2&amp;if($K60="S1","a",if($K60="S2","b","")),Students!$A:$A,AS$2)+countifs(Students!$J:$J,$AB60,Students!$K:$K,$AB$2&amp;if($K60="S1","a",if($K60="S2","b","")),Students!$A:$A,AS$2)+countifs(Students!$L:$L,$AB60,Students!$M:$M,$AB$2&amp;if($K60="S1","a",if($K60="S2","b","")),Students!$A:$A,AS$2)+countifs(Students!$N:$N,$AB60,Students!$O:$O,$AB$2&amp;if($K60="S1","a",if($K60="S2","b","")),Students!$A:$A,AS$2)+countifs(Students!$P:$P,$AB60,Students!$Q:$Q,$AB$2&amp;if($K60="S1","a",if($K60="S2","b","")),Students!$A:$A,AS$2)+countifs(Students!$R:$R,$AB60,Students!$S:$S,$AB$2&amp;if($K60="S1","a",if($K60="S2","b","")),Students!$A:$A,AS$2)+countifs(Students!$T:$T,$AB60,Students!$U:$U,$AB$2&amp;if($K60="S1","a",if($K60="S2","b","")),Students!$A:$A,AS$2)+countifs(Students!$V:$V,$AB60,Students!$W:$W,$AB$2&amp;if($K60="S1","a",if($K60="S2","b","")),Students!$A:$A,AS$2)+
countifs(Students!$D:$D,$AE60,Students!$E:$E,$AE$2&amp;if($K60="S1","a",if($K60="S2","b","")),Students!$A:$A,AS$2)+countifs(Students!$F:$F,$AE60,Students!$G:$G,$AE$2&amp;if($K60="S1","a",if($K60="S2","b","")),Students!$A:$A,AS$2)+countifs(Students!$H:$H,$AE60,Students!$I:$I,$AE$2&amp;if($K60="S1","a",if($K60="S2","b","")),Students!$A:$A,AS$2)+countifs(Students!$J:$J,$AE60,Students!$K:$K,$AE$2&amp;if($K60="S1","a",if($K60="S2","b","")),Students!$A:$A,AS$2)+countifs(Students!$L:$L,$AE60,Students!$M:$M,$AE$2&amp;if($K60="S1","a",if($K60="S2","b","")),Students!$A:$A,AS$2)+countifs(Students!$N:$N,$AE60,Students!$O:$O,$AE$2&amp;if($K60="S1","a",if($K60="S2","b","")),Students!$A:$A,AS$2)+countifs(Students!$P:$P,$AE60,Students!$Q:$Q,$AE$2&amp;if($K60="S1","a",if($K60="S2","b","")),Students!$A:$A,AS$2)+countifs(Students!$R:$R,$AE60,Students!$S:$S,$AE$2&amp;if($K60="S1","a",if($K60="S2","b","")),Students!$A:$A,AS$2)+countifs(Students!$T:$T,$AE60,Students!$U:$U,$AE$2&amp;if($K60="S1","a",if($K60="S2","b","")),Students!$A:$A,AS$2)+countifs(Students!$V:$V,$AE60,Students!$W:$W,$AE$2&amp;if($K60="S1","a",if($K60="S2","b","")),Students!$A:$A,AS$2)+
countifs(Students!$D:$D,$AH60,Students!$E:$E,$AH$2&amp;if($K60="S1","a",if($K60="S2","b","")),Students!$A:$A,AS$2)+countifs(Students!$F:$F,$AH60,Students!$G:$G,$AH$2&amp;if($K60="S1","a",if($K60="S2","b","")),Students!$A:$A,AS$2)+countifs(Students!$H:$H,$AH60,Students!$I:$I,$AH$2&amp;if($K60="S1","a",if($K60="S2","b","")),Students!$A:$A,AS$2)+countifs(Students!$J:$J,$AH60,Students!$K:$K,$AH$2&amp;if($K60="S1","a",if($K60="S2","b","")),Students!$A:$A,AS$2)+countifs(Students!$L:$L,$AH60,Students!$M:$M,$AH$2&amp;if($K60="S1","a",if($K60="S2","b","")),Students!$A:$A,AS$2)+countifs(Students!$N:$N,$AH60,Students!$O:$O,$AH$2&amp;if($K60="S1","a",if($K60="S2","b","")),Students!$A:$A,AS$2)+countifs(Students!$P:$P,$AH60,Students!$Q:$Q,$AH$2&amp;if($K60="S1","a",if($K60="S2","b","")),Students!$A:$A,AS$2)+countifs(Students!$R:$R,$AH60,Students!$S:$S,$AH$2&amp;if($K60="S1","a",if($K60="S2","b","")),Students!$A:$A,AS$2)+countifs(Students!$T:$T,$AH60,Students!$U:$U,$AH$2&amp;if($K60="S1","a",if($K60="S2","b","")),Students!$A:$A,AS$2)+countifs(Students!$V:$V,$AH60,Students!$W:$W,$AH$2&amp;if($K60="S1","a",if($K60="S2","b","")),Students!$A:$A,AS$2)+
countifs(Students!$D:$D,$AK60,Students!$E:$E,$AK$2&amp;if($K60="S1","a",if($K60="S2","b","")),Students!$A:$A,AS$2)+countifs(Students!$F:$F,$AK60,Students!$G:$G,$AK$2&amp;if($K60="S1","a",if($K60="S2","b","")),Students!$A:$A,AS$2)+countifs(Students!$H:$H,$AK60,Students!$I:$I,$AK$2&amp;if($K60="S1","a",if($K60="S2","b","")),Students!$A:$A,AS$2)+countifs(Students!$J:$J,$AK60,Students!$K:$K,$AK$2&amp;if($K60="S1","a",if($K60="S2","b","")),Students!$A:$A,AS$2)+countifs(Students!$L:$L,$AK60,Students!$M:$M,$AK$2&amp;if($K60="S1","a",if($K60="S2","b","")),Students!$A:$A,AS$2)+countifs(Students!$N:$N,$AK60,Students!$O:$O,$AK$2&amp;if($K60="S1","a",if($K60="S2","b","")),Students!$A:$A,AS$2)+countifs(Students!$P:$P,$AK60,Students!$Q:$Q,$AK$2&amp;if($K60="S1","a",if($K60="S2","b","")),Students!$A:$A,AS$2)+countifs(Students!$R:$R,$AK60,Students!$S:$S,$AK$2&amp;if($K60="S1","a",if($K60="S2","b","")),Students!$A:$A,AS$2)+countifs(Students!$T:$T,$AK60,Students!$U:$U,$AK$2&amp;if($K60="S1","a",if($K60="S2","b","")),Students!$A:$A,AS$2)+countifs(Students!$V:$V,$AK60,Students!$W:$W,$AK$2&amp;if($K60="S1","a",if($K60="S2","b","")),Students!$A:$A,AS$2))</f>
        <v/>
      </c>
    </row>
    <row r="61">
      <c r="J61" s="137" t="s">
        <v>22</v>
      </c>
      <c r="K61" s="88"/>
      <c r="L61" s="136"/>
      <c r="M61" s="89"/>
      <c r="N61" s="87" t="s">
        <v>22</v>
      </c>
      <c r="O61" s="87">
        <f>IFERROR(__xludf.DUMMYFUNCTION("3*counta((transpose(filter(P61:AM61,P61:AM61&lt;&gt;"""",isnumber(P61:AM61)=false))))"),3.0)</f>
        <v>3</v>
      </c>
      <c r="P61" s="89"/>
      <c r="Q61" s="89"/>
      <c r="R61" s="98" t="s">
        <v>22</v>
      </c>
      <c r="S61" s="89"/>
      <c r="T61" s="117"/>
      <c r="U61" s="98" t="s">
        <v>22</v>
      </c>
      <c r="V61" s="89"/>
      <c r="W61" s="89"/>
      <c r="X61" s="98" t="s">
        <v>22</v>
      </c>
      <c r="Y61" s="89"/>
      <c r="Z61" s="89"/>
      <c r="AA61" s="98" t="s">
        <v>22</v>
      </c>
      <c r="AB61" s="89"/>
      <c r="AC61" s="89"/>
      <c r="AD61" s="98" t="s">
        <v>22</v>
      </c>
      <c r="AE61" s="89"/>
      <c r="AF61" s="89"/>
      <c r="AG61" s="98" t="s">
        <v>22</v>
      </c>
      <c r="AH61" s="89"/>
      <c r="AI61" s="98"/>
      <c r="AJ61" s="98" t="s">
        <v>22</v>
      </c>
      <c r="AK61" s="89"/>
      <c r="AL61" s="133"/>
      <c r="AM61" s="98" t="s">
        <v>22</v>
      </c>
      <c r="AN61" s="99"/>
      <c r="AO61" s="52" t="str">
        <f t="shared" si="2"/>
        <v/>
      </c>
      <c r="AP61" s="98" t="str">
        <f>if($L61="","",countifs(Students!$D:$D,$P61,Students!$E:$E,$P$2&amp;if($K61="S1","a",if($K61="S2","b","")),Students!$A:$A,AP$2)+countifs(Students!$F:$F,$P61,Students!$G:$G,$P$2&amp;if($K61="S1","a",if($K61="S2","b","")),Students!$A:$A,AP$2)+countifs(Students!$H:$H,$P61,Students!$I:$I,$P$2&amp;if($K61="S1","a",if($K61="S2","b","")),Students!$A:$A,AP$2)+countifs(Students!$J:$J,$P61,Students!$K:$K,$P$2&amp;if($K61="S1","a",if($K61="S2","b","")),Students!$A:$A,AP$2)+countifs(Students!$L:$L,$P61,Students!$M:$M,$P$2&amp;if($K61="S1","a",if($K61="S2","b","")),Students!$A:$A,AP$2)+countifs(Students!$N:$N,$P61,Students!$O:$O,$P$2&amp;if($K61="S1","a",if($K61="S2","b","")),Students!$A:$A,AP$2)+countifs(Students!$P:$P,$P61,Students!$Q:$Q,$P$2&amp;if($K61="S1","a",if($K61="S2","b","")),Students!$A:$A,AP$2)+countifs(Students!$R:$R,$P61,Students!$S:$S,$P$2&amp;if($K61="S1","a",if($K61="S2","b","")),Students!$A:$A,AP$2)+countifs(Students!$T:$T,$P61,Students!$U:$U,$P$2&amp;if($K61="S1","a",if($K61="S2","b","")),Students!$A:$A,AP$2)+countifs(Students!$V:$V,$P61,Students!$W:$W,$P$2&amp;if($K61="S1","a",if($K61="S2","b","")),Students!$A:$A,AP$2)+
countifs(Students!$D:$D,$S61,Students!$E:$E,$S$2&amp;if($K61="S1","a",if($K61="S2","b","")),Students!$A:$A,AP$2)+countifs(Students!$F:$F,$S61,Students!$G:$G,$S$2&amp;if($K61="S1","a",if($K61="S2","b","")),Students!$A:$A,AP$2)+countifs(Students!$H:$H,$S61,Students!$I:$I,$S$2&amp;if($K61="S1","a",if($K61="S2","b","")),Students!$A:$A,AP$2)+countifs(Students!$J:$J,$S61,Students!$K:$K,$S$2&amp;if($K61="S1","a",if($K61="S2","b","")),Students!$A:$A,AP$2)+countifs(Students!$L:$L,$S61,Students!$M:$M,$S$2&amp;if($K61="S1","a",if($K61="S2","b","")),Students!$A:$A,AP$2)+countifs(Students!$N:$N,$S61,Students!$O:$O,$S$2&amp;if($K61="S1","a",if($K61="S2","b","")),Students!$A:$A,AP$2)+countifs(Students!$P:$P,$S61,Students!$Q:$Q,$S$2&amp;if($K61="S1","a",if($K61="S2","b","")),Students!$A:$A,AP$2)+countifs(Students!$R:$R,$S61,Students!$S:$S,$S$2&amp;if($K61="S1","a",if($K61="S2","b","")),Students!$A:$A,AP$2)+countifs(Students!$T:$T,$S61,Students!$U:$U,$S$2&amp;if($K61="S1","a",if($K61="S2","b","")),Students!$A:$A,AP$2)+countifs(Students!$V:$V,$S61,Students!$W:$W,$S$2&amp;if($K61="S1","a",if($K61="S2","b","")),Students!$A:$A,AP$2)+
countifs(Students!$D:$D,$V61,Students!$E:$E,$V$2&amp;if($K61="S1","a",if($K61="S2","b","")),Students!$A:$A,AP$2)+countifs(Students!$F:$F,$V61,Students!$G:$G,$V$2&amp;if($K61="S1","a",if($K61="S2","b","")),Students!$A:$A,AP$2)+countifs(Students!$H:$H,$V61,Students!$I:$I,$V$2&amp;if($K61="S1","a",if($K61="S2","b","")),Students!$A:$A,AP$2)+countifs(Students!$J:$J,$V61,Students!$K:$K,$V$2&amp;if($K61="S1","a",if($K61="S2","b","")),Students!$A:$A,AP$2)+countifs(Students!$L:$L,$V61,Students!$M:$M,$V$2&amp;if($K61="S1","a",if($K61="S2","b","")),Students!$A:$A,AP$2)+countifs(Students!$N:$N,$V61,Students!$O:$O,$V$2&amp;if($K61="S1","a",if($K61="S2","b","")),Students!$A:$A,AP$2)+countifs(Students!$P:$P,$V61,Students!$Q:$Q,$V$2&amp;if($K61="S1","a",if($K61="S2","b","")),Students!$A:$A,AP$2)+countifs(Students!$R:$R,$V61,Students!$S:$S,$V$2&amp;if($K61="S1","a",if($K61="S2","b","")),Students!$A:$A,AP$2)+countifs(Students!$T:$T,$V61,Students!$U:$U,$V$2&amp;if($K61="S1","a",if($K61="S2","b","")),Students!$A:$A,AP$2)+countifs(Students!$V:$V,$V61,Students!$W:$W,$V$2&amp;if($K61="S1","a",if($K61="S2","b","")),Students!$A:$A,AP$2)+
countifs(Students!$D:$D,$Y61,Students!$E:$E,$Y$2&amp;if($K61="S1","a",if($K61="S2","b","")),Students!$A:$A,AP$2)+countifs(Students!$F:$F,$Y61,Students!$G:$G,$Y$2&amp;if($K61="S1","a",if($K61="S2","b","")),Students!$A:$A,AP$2)+countifs(Students!$H:$H,$Y61,Students!$I:$I,$Y$2&amp;if($K61="S1","a",if($K61="S2","b","")),Students!$A:$A,AP$2)+countifs(Students!$J:$J,$Y61,Students!$K:$K,$Y$2&amp;if($K61="S1","a",if($K61="S2","b","")),Students!$A:$A,AP$2)+countifs(Students!$L:$L,$Y61,Students!$M:$M,$Y$2&amp;if($K61="S1","a",if($K61="S2","b","")),Students!$A:$A,AP$2)+countifs(Students!$N:$N,$Y61,Students!$O:$O,$Y$2&amp;if($K61="S1","a",if($K61="S2","b","")),Students!$A:$A,AP$2)+countifs(Students!$P:$P,$Y61,Students!$Q:$Q,$Y$2&amp;if($K61="S1","a",if($K61="S2","b","")),Students!$A:$A,AP$2)+countifs(Students!$R:$R,$Y61,Students!$S:$S,$Y$2&amp;if($K61="S1","a",if($K61="S2","b","")),Students!$A:$A,AP$2)+countifs(Students!$T:$T,$Y61,Students!$U:$U,$Y$2&amp;if($K61="S1","a",if($K61="S2","b","")),Students!$A:$A,AP$2)+countifs(Students!$V:$V,$Y61,Students!$W:$W,$Y$2&amp;if($K61="S1","a",if($K61="S2","b","")),Students!$A:$A,AP$2)+
countifs(Students!$D:$D,$AB61,Students!$E:$E,$AB$2&amp;if($K61="S1","a",if($K61="S2","b","")),Students!$A:$A,AP$2)+countifs(Students!$F:$F,$AB61,Students!$G:$G,$AB$2&amp;if($K61="S1","a",if($K61="S2","b","")),Students!$A:$A,AP$2)+countifs(Students!$H:$H,$AB61,Students!$I:$I,$AB$2&amp;if($K61="S1","a",if($K61="S2","b","")),Students!$A:$A,AP$2)+countifs(Students!$J:$J,$AB61,Students!$K:$K,$AB$2&amp;if($K61="S1","a",if($K61="S2","b","")),Students!$A:$A,AP$2)+countifs(Students!$L:$L,$AB61,Students!$M:$M,$AB$2&amp;if($K61="S1","a",if($K61="S2","b","")),Students!$A:$A,AP$2)+countifs(Students!$N:$N,$AB61,Students!$O:$O,$AB$2&amp;if($K61="S1","a",if($K61="S2","b","")),Students!$A:$A,AP$2)+countifs(Students!$P:$P,$AB61,Students!$Q:$Q,$AB$2&amp;if($K61="S1","a",if($K61="S2","b","")),Students!$A:$A,AP$2)+countifs(Students!$R:$R,$AB61,Students!$S:$S,$AB$2&amp;if($K61="S1","a",if($K61="S2","b","")),Students!$A:$A,AP$2)+countifs(Students!$T:$T,$AB61,Students!$U:$U,$AB$2&amp;if($K61="S1","a",if($K61="S2","b","")),Students!$A:$A,AP$2)+countifs(Students!$V:$V,$AB61,Students!$W:$W,$AB$2&amp;if($K61="S1","a",if($K61="S2","b","")),Students!$A:$A,AP$2)+
countifs(Students!$D:$D,$AE61,Students!$E:$E,$AE$2&amp;if($K61="S1","a",if($K61="S2","b","")),Students!$A:$A,AP$2)+countifs(Students!$F:$F,$AE61,Students!$G:$G,$AE$2&amp;if($K61="S1","a",if($K61="S2","b","")),Students!$A:$A,AP$2)+countifs(Students!$H:$H,$AE61,Students!$I:$I,$AE$2&amp;if($K61="S1","a",if($K61="S2","b","")),Students!$A:$A,AP$2)+countifs(Students!$J:$J,$AE61,Students!$K:$K,$AE$2&amp;if($K61="S1","a",if($K61="S2","b","")),Students!$A:$A,AP$2)+countifs(Students!$L:$L,$AE61,Students!$M:$M,$AE$2&amp;if($K61="S1","a",if($K61="S2","b","")),Students!$A:$A,AP$2)+countifs(Students!$N:$N,$AE61,Students!$O:$O,$AE$2&amp;if($K61="S1","a",if($K61="S2","b","")),Students!$A:$A,AP$2)+countifs(Students!$P:$P,$AE61,Students!$Q:$Q,$AE$2&amp;if($K61="S1","a",if($K61="S2","b","")),Students!$A:$A,AP$2)+countifs(Students!$R:$R,$AE61,Students!$S:$S,$AE$2&amp;if($K61="S1","a",if($K61="S2","b","")),Students!$A:$A,AP$2)+countifs(Students!$T:$T,$AE61,Students!$U:$U,$AE$2&amp;if($K61="S1","a",if($K61="S2","b","")),Students!$A:$A,AP$2)+countifs(Students!$V:$V,$AE61,Students!$W:$W,$AE$2&amp;if($K61="S1","a",if($K61="S2","b","")),Students!$A:$A,AP$2)+
countifs(Students!$D:$D,$AH61,Students!$E:$E,$AH$2&amp;if($K61="S1","a",if($K61="S2","b","")),Students!$A:$A,AP$2)+countifs(Students!$F:$F,$AH61,Students!$G:$G,$AH$2&amp;if($K61="S1","a",if($K61="S2","b","")),Students!$A:$A,AP$2)+countifs(Students!$H:$H,$AH61,Students!$I:$I,$AH$2&amp;if($K61="S1","a",if($K61="S2","b","")),Students!$A:$A,AP$2)+countifs(Students!$J:$J,$AH61,Students!$K:$K,$AH$2&amp;if($K61="S1","a",if($K61="S2","b","")),Students!$A:$A,AP$2)+countifs(Students!$L:$L,$AH61,Students!$M:$M,$AH$2&amp;if($K61="S1","a",if($K61="S2","b","")),Students!$A:$A,AP$2)+countifs(Students!$N:$N,$AH61,Students!$O:$O,$AH$2&amp;if($K61="S1","a",if($K61="S2","b","")),Students!$A:$A,AP$2)+countifs(Students!$P:$P,$AH61,Students!$Q:$Q,$AH$2&amp;if($K61="S1","a",if($K61="S2","b","")),Students!$A:$A,AP$2)+countifs(Students!$R:$R,$AH61,Students!$S:$S,$AH$2&amp;if($K61="S1","a",if($K61="S2","b","")),Students!$A:$A,AP$2)+countifs(Students!$T:$T,$AH61,Students!$U:$U,$AH$2&amp;if($K61="S1","a",if($K61="S2","b","")),Students!$A:$A,AP$2)+countifs(Students!$V:$V,$AH61,Students!$W:$W,$AH$2&amp;if($K61="S1","a",if($K61="S2","b","")),Students!$A:$A,AP$2)+
countifs(Students!$D:$D,$AK61,Students!$E:$E,$AK$2&amp;if($K61="S1","a",if($K61="S2","b","")),Students!$A:$A,AP$2)+countifs(Students!$F:$F,$AK61,Students!$G:$G,$AK$2&amp;if($K61="S1","a",if($K61="S2","b","")),Students!$A:$A,AP$2)+countifs(Students!$H:$H,$AK61,Students!$I:$I,$AK$2&amp;if($K61="S1","a",if($K61="S2","b","")),Students!$A:$A,AP$2)+countifs(Students!$J:$J,$AK61,Students!$K:$K,$AK$2&amp;if($K61="S1","a",if($K61="S2","b","")),Students!$A:$A,AP$2)+countifs(Students!$L:$L,$AK61,Students!$M:$M,$AK$2&amp;if($K61="S1","a",if($K61="S2","b","")),Students!$A:$A,AP$2)+countifs(Students!$N:$N,$AK61,Students!$O:$O,$AK$2&amp;if($K61="S1","a",if($K61="S2","b","")),Students!$A:$A,AP$2)+countifs(Students!$P:$P,$AK61,Students!$Q:$Q,$AK$2&amp;if($K61="S1","a",if($K61="S2","b","")),Students!$A:$A,AP$2)+countifs(Students!$R:$R,$AK61,Students!$S:$S,$AK$2&amp;if($K61="S1","a",if($K61="S2","b","")),Students!$A:$A,AP$2)+countifs(Students!$T:$T,$AK61,Students!$U:$U,$AK$2&amp;if($K61="S1","a",if($K61="S2","b","")),Students!$A:$A,AP$2)+countifs(Students!$V:$V,$AK61,Students!$W:$W,$AK$2&amp;if($K61="S1","a",if($K61="S2","b","")),Students!$A:$A,AP$2))</f>
        <v/>
      </c>
      <c r="AQ61" s="98" t="str">
        <f>if($L61="","",countifs(Students!$D:$D,$P61,Students!$E:$E,$P$2&amp;if($K61="S1","a",if($K61="S2","b","")),Students!$A:$A,AQ$2)+countifs(Students!$F:$F,$P61,Students!$G:$G,$P$2&amp;if($K61="S1","a",if($K61="S2","b","")),Students!$A:$A,AQ$2)+countifs(Students!$H:$H,$P61,Students!$I:$I,$P$2&amp;if($K61="S1","a",if($K61="S2","b","")),Students!$A:$A,AQ$2)+countifs(Students!$J:$J,$P61,Students!$K:$K,$P$2&amp;if($K61="S1","a",if($K61="S2","b","")),Students!$A:$A,AQ$2)+countifs(Students!$L:$L,$P61,Students!$M:$M,$P$2&amp;if($K61="S1","a",if($K61="S2","b","")),Students!$A:$A,AQ$2)+countifs(Students!$N:$N,$P61,Students!$O:$O,$P$2&amp;if($K61="S1","a",if($K61="S2","b","")),Students!$A:$A,AQ$2)+countifs(Students!$P:$P,$P61,Students!$Q:$Q,$P$2&amp;if($K61="S1","a",if($K61="S2","b","")),Students!$A:$A,AQ$2)+countifs(Students!$R:$R,$P61,Students!$S:$S,$P$2&amp;if($K61="S1","a",if($K61="S2","b","")),Students!$A:$A,AQ$2)+countifs(Students!$T:$T,$P61,Students!$U:$U,$P$2&amp;if($K61="S1","a",if($K61="S2","b","")),Students!$A:$A,AQ$2)+countifs(Students!$V:$V,$P61,Students!$W:$W,$P$2&amp;if($K61="S1","a",if($K61="S2","b","")),Students!$A:$A,AQ$2)+
countifs(Students!$D:$D,$S61,Students!$E:$E,$S$2&amp;if($K61="S1","a",if($K61="S2","b","")),Students!$A:$A,AQ$2)+countifs(Students!$F:$F,$S61,Students!$G:$G,$S$2&amp;if($K61="S1","a",if($K61="S2","b","")),Students!$A:$A,AQ$2)+countifs(Students!$H:$H,$S61,Students!$I:$I,$S$2&amp;if($K61="S1","a",if($K61="S2","b","")),Students!$A:$A,AQ$2)+countifs(Students!$J:$J,$S61,Students!$K:$K,$S$2&amp;if($K61="S1","a",if($K61="S2","b","")),Students!$A:$A,AQ$2)+countifs(Students!$L:$L,$S61,Students!$M:$M,$S$2&amp;if($K61="S1","a",if($K61="S2","b","")),Students!$A:$A,AQ$2)+countifs(Students!$N:$N,$S61,Students!$O:$O,$S$2&amp;if($K61="S1","a",if($K61="S2","b","")),Students!$A:$A,AQ$2)+countifs(Students!$P:$P,$S61,Students!$Q:$Q,$S$2&amp;if($K61="S1","a",if($K61="S2","b","")),Students!$A:$A,AQ$2)+countifs(Students!$R:$R,$S61,Students!$S:$S,$S$2&amp;if($K61="S1","a",if($K61="S2","b","")),Students!$A:$A,AQ$2)+countifs(Students!$T:$T,$S61,Students!$U:$U,$S$2&amp;if($K61="S1","a",if($K61="S2","b","")),Students!$A:$A,AQ$2)+countifs(Students!$V:$V,$S61,Students!$W:$W,$S$2&amp;if($K61="S1","a",if($K61="S2","b","")),Students!$A:$A,AQ$2)+
countifs(Students!$D:$D,$V61,Students!$E:$E,$V$2&amp;if($K61="S1","a",if($K61="S2","b","")),Students!$A:$A,AQ$2)+countifs(Students!$F:$F,$V61,Students!$G:$G,$V$2&amp;if($K61="S1","a",if($K61="S2","b","")),Students!$A:$A,AQ$2)+countifs(Students!$H:$H,$V61,Students!$I:$I,$V$2&amp;if($K61="S1","a",if($K61="S2","b","")),Students!$A:$A,AQ$2)+countifs(Students!$J:$J,$V61,Students!$K:$K,$V$2&amp;if($K61="S1","a",if($K61="S2","b","")),Students!$A:$A,AQ$2)+countifs(Students!$L:$L,$V61,Students!$M:$M,$V$2&amp;if($K61="S1","a",if($K61="S2","b","")),Students!$A:$A,AQ$2)+countifs(Students!$N:$N,$V61,Students!$O:$O,$V$2&amp;if($K61="S1","a",if($K61="S2","b","")),Students!$A:$A,AQ$2)+countifs(Students!$P:$P,$V61,Students!$Q:$Q,$V$2&amp;if($K61="S1","a",if($K61="S2","b","")),Students!$A:$A,AQ$2)+countifs(Students!$R:$R,$V61,Students!$S:$S,$V$2&amp;if($K61="S1","a",if($K61="S2","b","")),Students!$A:$A,AQ$2)+countifs(Students!$T:$T,$V61,Students!$U:$U,$V$2&amp;if($K61="S1","a",if($K61="S2","b","")),Students!$A:$A,AQ$2)+countifs(Students!$V:$V,$V61,Students!$W:$W,$V$2&amp;if($K61="S1","a",if($K61="S2","b","")),Students!$A:$A,AQ$2)+
countifs(Students!$D:$D,$Y61,Students!$E:$E,$Y$2&amp;if($K61="S1","a",if($K61="S2","b","")),Students!$A:$A,AQ$2)+countifs(Students!$F:$F,$Y61,Students!$G:$G,$Y$2&amp;if($K61="S1","a",if($K61="S2","b","")),Students!$A:$A,AQ$2)+countifs(Students!$H:$H,$Y61,Students!$I:$I,$Y$2&amp;if($K61="S1","a",if($K61="S2","b","")),Students!$A:$A,AQ$2)+countifs(Students!$J:$J,$Y61,Students!$K:$K,$Y$2&amp;if($K61="S1","a",if($K61="S2","b","")),Students!$A:$A,AQ$2)+countifs(Students!$L:$L,$Y61,Students!$M:$M,$Y$2&amp;if($K61="S1","a",if($K61="S2","b","")),Students!$A:$A,AQ$2)+countifs(Students!$N:$N,$Y61,Students!$O:$O,$Y$2&amp;if($K61="S1","a",if($K61="S2","b","")),Students!$A:$A,AQ$2)+countifs(Students!$P:$P,$Y61,Students!$Q:$Q,$Y$2&amp;if($K61="S1","a",if($K61="S2","b","")),Students!$A:$A,AQ$2)+countifs(Students!$R:$R,$Y61,Students!$S:$S,$Y$2&amp;if($K61="S1","a",if($K61="S2","b","")),Students!$A:$A,AQ$2)+countifs(Students!$T:$T,$Y61,Students!$U:$U,$Y$2&amp;if($K61="S1","a",if($K61="S2","b","")),Students!$A:$A,AQ$2)+countifs(Students!$V:$V,$Y61,Students!$W:$W,$Y$2&amp;if($K61="S1","a",if($K61="S2","b","")),Students!$A:$A,AQ$2)+
countifs(Students!$D:$D,$AB61,Students!$E:$E,$AB$2&amp;if($K61="S1","a",if($K61="S2","b","")),Students!$A:$A,AQ$2)+countifs(Students!$F:$F,$AB61,Students!$G:$G,$AB$2&amp;if($K61="S1","a",if($K61="S2","b","")),Students!$A:$A,AQ$2)+countifs(Students!$H:$H,$AB61,Students!$I:$I,$AB$2&amp;if($K61="S1","a",if($K61="S2","b","")),Students!$A:$A,AQ$2)+countifs(Students!$J:$J,$AB61,Students!$K:$K,$AB$2&amp;if($K61="S1","a",if($K61="S2","b","")),Students!$A:$A,AQ$2)+countifs(Students!$L:$L,$AB61,Students!$M:$M,$AB$2&amp;if($K61="S1","a",if($K61="S2","b","")),Students!$A:$A,AQ$2)+countifs(Students!$N:$N,$AB61,Students!$O:$O,$AB$2&amp;if($K61="S1","a",if($K61="S2","b","")),Students!$A:$A,AQ$2)+countifs(Students!$P:$P,$AB61,Students!$Q:$Q,$AB$2&amp;if($K61="S1","a",if($K61="S2","b","")),Students!$A:$A,AQ$2)+countifs(Students!$R:$R,$AB61,Students!$S:$S,$AB$2&amp;if($K61="S1","a",if($K61="S2","b","")),Students!$A:$A,AQ$2)+countifs(Students!$T:$T,$AB61,Students!$U:$U,$AB$2&amp;if($K61="S1","a",if($K61="S2","b","")),Students!$A:$A,AQ$2)+countifs(Students!$V:$V,$AB61,Students!$W:$W,$AB$2&amp;if($K61="S1","a",if($K61="S2","b","")),Students!$A:$A,AQ$2)+
countifs(Students!$D:$D,$AE61,Students!$E:$E,$AE$2&amp;if($K61="S1","a",if($K61="S2","b","")),Students!$A:$A,AQ$2)+countifs(Students!$F:$F,$AE61,Students!$G:$G,$AE$2&amp;if($K61="S1","a",if($K61="S2","b","")),Students!$A:$A,AQ$2)+countifs(Students!$H:$H,$AE61,Students!$I:$I,$AE$2&amp;if($K61="S1","a",if($K61="S2","b","")),Students!$A:$A,AQ$2)+countifs(Students!$J:$J,$AE61,Students!$K:$K,$AE$2&amp;if($K61="S1","a",if($K61="S2","b","")),Students!$A:$A,AQ$2)+countifs(Students!$L:$L,$AE61,Students!$M:$M,$AE$2&amp;if($K61="S1","a",if($K61="S2","b","")),Students!$A:$A,AQ$2)+countifs(Students!$N:$N,$AE61,Students!$O:$O,$AE$2&amp;if($K61="S1","a",if($K61="S2","b","")),Students!$A:$A,AQ$2)+countifs(Students!$P:$P,$AE61,Students!$Q:$Q,$AE$2&amp;if($K61="S1","a",if($K61="S2","b","")),Students!$A:$A,AQ$2)+countifs(Students!$R:$R,$AE61,Students!$S:$S,$AE$2&amp;if($K61="S1","a",if($K61="S2","b","")),Students!$A:$A,AQ$2)+countifs(Students!$T:$T,$AE61,Students!$U:$U,$AE$2&amp;if($K61="S1","a",if($K61="S2","b","")),Students!$A:$A,AQ$2)+countifs(Students!$V:$V,$AE61,Students!$W:$W,$AE$2&amp;if($K61="S1","a",if($K61="S2","b","")),Students!$A:$A,AQ$2)+
countifs(Students!$D:$D,$AH61,Students!$E:$E,$AH$2&amp;if($K61="S1","a",if($K61="S2","b","")),Students!$A:$A,AQ$2)+countifs(Students!$F:$F,$AH61,Students!$G:$G,$AH$2&amp;if($K61="S1","a",if($K61="S2","b","")),Students!$A:$A,AQ$2)+countifs(Students!$H:$H,$AH61,Students!$I:$I,$AH$2&amp;if($K61="S1","a",if($K61="S2","b","")),Students!$A:$A,AQ$2)+countifs(Students!$J:$J,$AH61,Students!$K:$K,$AH$2&amp;if($K61="S1","a",if($K61="S2","b","")),Students!$A:$A,AQ$2)+countifs(Students!$L:$L,$AH61,Students!$M:$M,$AH$2&amp;if($K61="S1","a",if($K61="S2","b","")),Students!$A:$A,AQ$2)+countifs(Students!$N:$N,$AH61,Students!$O:$O,$AH$2&amp;if($K61="S1","a",if($K61="S2","b","")),Students!$A:$A,AQ$2)+countifs(Students!$P:$P,$AH61,Students!$Q:$Q,$AH$2&amp;if($K61="S1","a",if($K61="S2","b","")),Students!$A:$A,AQ$2)+countifs(Students!$R:$R,$AH61,Students!$S:$S,$AH$2&amp;if($K61="S1","a",if($K61="S2","b","")),Students!$A:$A,AQ$2)+countifs(Students!$T:$T,$AH61,Students!$U:$U,$AH$2&amp;if($K61="S1","a",if($K61="S2","b","")),Students!$A:$A,AQ$2)+countifs(Students!$V:$V,$AH61,Students!$W:$W,$AH$2&amp;if($K61="S1","a",if($K61="S2","b","")),Students!$A:$A,AQ$2)+
countifs(Students!$D:$D,$AK61,Students!$E:$E,$AK$2&amp;if($K61="S1","a",if($K61="S2","b","")),Students!$A:$A,AQ$2)+countifs(Students!$F:$F,$AK61,Students!$G:$G,$AK$2&amp;if($K61="S1","a",if($K61="S2","b","")),Students!$A:$A,AQ$2)+countifs(Students!$H:$H,$AK61,Students!$I:$I,$AK$2&amp;if($K61="S1","a",if($K61="S2","b","")),Students!$A:$A,AQ$2)+countifs(Students!$J:$J,$AK61,Students!$K:$K,$AK$2&amp;if($K61="S1","a",if($K61="S2","b","")),Students!$A:$A,AQ$2)+countifs(Students!$L:$L,$AK61,Students!$M:$M,$AK$2&amp;if($K61="S1","a",if($K61="S2","b","")),Students!$A:$A,AQ$2)+countifs(Students!$N:$N,$AK61,Students!$O:$O,$AK$2&amp;if($K61="S1","a",if($K61="S2","b","")),Students!$A:$A,AQ$2)+countifs(Students!$P:$P,$AK61,Students!$Q:$Q,$AK$2&amp;if($K61="S1","a",if($K61="S2","b","")),Students!$A:$A,AQ$2)+countifs(Students!$R:$R,$AK61,Students!$S:$S,$AK$2&amp;if($K61="S1","a",if($K61="S2","b","")),Students!$A:$A,AQ$2)+countifs(Students!$T:$T,$AK61,Students!$U:$U,$AK$2&amp;if($K61="S1","a",if($K61="S2","b","")),Students!$A:$A,AQ$2)+countifs(Students!$V:$V,$AK61,Students!$W:$W,$AK$2&amp;if($K61="S1","a",if($K61="S2","b","")),Students!$A:$A,AQ$2))</f>
        <v/>
      </c>
      <c r="AR61" s="98" t="str">
        <f>if($L61="","",countifs(Students!$D:$D,$P61,Students!$E:$E,$P$2&amp;if($K61="S1","a",if($K61="S2","b","")),Students!$A:$A,AR$2)+countifs(Students!$F:$F,$P61,Students!$G:$G,$P$2&amp;if($K61="S1","a",if($K61="S2","b","")),Students!$A:$A,AR$2)+countifs(Students!$H:$H,$P61,Students!$I:$I,$P$2&amp;if($K61="S1","a",if($K61="S2","b","")),Students!$A:$A,AR$2)+countifs(Students!$J:$J,$P61,Students!$K:$K,$P$2&amp;if($K61="S1","a",if($K61="S2","b","")),Students!$A:$A,AR$2)+countifs(Students!$L:$L,$P61,Students!$M:$M,$P$2&amp;if($K61="S1","a",if($K61="S2","b","")),Students!$A:$A,AR$2)+countifs(Students!$N:$N,$P61,Students!$O:$O,$P$2&amp;if($K61="S1","a",if($K61="S2","b","")),Students!$A:$A,AR$2)+countifs(Students!$P:$P,$P61,Students!$Q:$Q,$P$2&amp;if($K61="S1","a",if($K61="S2","b","")),Students!$A:$A,AR$2)+countifs(Students!$R:$R,$P61,Students!$S:$S,$P$2&amp;if($K61="S1","a",if($K61="S2","b","")),Students!$A:$A,AR$2)+countifs(Students!$T:$T,$P61,Students!$U:$U,$P$2&amp;if($K61="S1","a",if($K61="S2","b","")),Students!$A:$A,AR$2)+countifs(Students!$V:$V,$P61,Students!$W:$W,$P$2&amp;if($K61="S1","a",if($K61="S2","b","")),Students!$A:$A,AR$2)+
countifs(Students!$D:$D,$S61,Students!$E:$E,$S$2&amp;if($K61="S1","a",if($K61="S2","b","")),Students!$A:$A,AR$2)+countifs(Students!$F:$F,$S61,Students!$G:$G,$S$2&amp;if($K61="S1","a",if($K61="S2","b","")),Students!$A:$A,AR$2)+countifs(Students!$H:$H,$S61,Students!$I:$I,$S$2&amp;if($K61="S1","a",if($K61="S2","b","")),Students!$A:$A,AR$2)+countifs(Students!$J:$J,$S61,Students!$K:$K,$S$2&amp;if($K61="S1","a",if($K61="S2","b","")),Students!$A:$A,AR$2)+countifs(Students!$L:$L,$S61,Students!$M:$M,$S$2&amp;if($K61="S1","a",if($K61="S2","b","")),Students!$A:$A,AR$2)+countifs(Students!$N:$N,$S61,Students!$O:$O,$S$2&amp;if($K61="S1","a",if($K61="S2","b","")),Students!$A:$A,AR$2)+countifs(Students!$P:$P,$S61,Students!$Q:$Q,$S$2&amp;if($K61="S1","a",if($K61="S2","b","")),Students!$A:$A,AR$2)+countifs(Students!$R:$R,$S61,Students!$S:$S,$S$2&amp;if($K61="S1","a",if($K61="S2","b","")),Students!$A:$A,AR$2)+countifs(Students!$T:$T,$S61,Students!$U:$U,$S$2&amp;if($K61="S1","a",if($K61="S2","b","")),Students!$A:$A,AR$2)+countifs(Students!$V:$V,$S61,Students!$W:$W,$S$2&amp;if($K61="S1","a",if($K61="S2","b","")),Students!$A:$A,AR$2)+
countifs(Students!$D:$D,$V61,Students!$E:$E,$V$2&amp;if($K61="S1","a",if($K61="S2","b","")),Students!$A:$A,AR$2)+countifs(Students!$F:$F,$V61,Students!$G:$G,$V$2&amp;if($K61="S1","a",if($K61="S2","b","")),Students!$A:$A,AR$2)+countifs(Students!$H:$H,$V61,Students!$I:$I,$V$2&amp;if($K61="S1","a",if($K61="S2","b","")),Students!$A:$A,AR$2)+countifs(Students!$J:$J,$V61,Students!$K:$K,$V$2&amp;if($K61="S1","a",if($K61="S2","b","")),Students!$A:$A,AR$2)+countifs(Students!$L:$L,$V61,Students!$M:$M,$V$2&amp;if($K61="S1","a",if($K61="S2","b","")),Students!$A:$A,AR$2)+countifs(Students!$N:$N,$V61,Students!$O:$O,$V$2&amp;if($K61="S1","a",if($K61="S2","b","")),Students!$A:$A,AR$2)+countifs(Students!$P:$P,$V61,Students!$Q:$Q,$V$2&amp;if($K61="S1","a",if($K61="S2","b","")),Students!$A:$A,AR$2)+countifs(Students!$R:$R,$V61,Students!$S:$S,$V$2&amp;if($K61="S1","a",if($K61="S2","b","")),Students!$A:$A,AR$2)+countifs(Students!$T:$T,$V61,Students!$U:$U,$V$2&amp;if($K61="S1","a",if($K61="S2","b","")),Students!$A:$A,AR$2)+countifs(Students!$V:$V,$V61,Students!$W:$W,$V$2&amp;if($K61="S1","a",if($K61="S2","b","")),Students!$A:$A,AR$2)+
countifs(Students!$D:$D,$Y61,Students!$E:$E,$Y$2&amp;if($K61="S1","a",if($K61="S2","b","")),Students!$A:$A,AR$2)+countifs(Students!$F:$F,$Y61,Students!$G:$G,$Y$2&amp;if($K61="S1","a",if($K61="S2","b","")),Students!$A:$A,AR$2)+countifs(Students!$H:$H,$Y61,Students!$I:$I,$Y$2&amp;if($K61="S1","a",if($K61="S2","b","")),Students!$A:$A,AR$2)+countifs(Students!$J:$J,$Y61,Students!$K:$K,$Y$2&amp;if($K61="S1","a",if($K61="S2","b","")),Students!$A:$A,AR$2)+countifs(Students!$L:$L,$Y61,Students!$M:$M,$Y$2&amp;if($K61="S1","a",if($K61="S2","b","")),Students!$A:$A,AR$2)+countifs(Students!$N:$N,$Y61,Students!$O:$O,$Y$2&amp;if($K61="S1","a",if($K61="S2","b","")),Students!$A:$A,AR$2)+countifs(Students!$P:$P,$Y61,Students!$Q:$Q,$Y$2&amp;if($K61="S1","a",if($K61="S2","b","")),Students!$A:$A,AR$2)+countifs(Students!$R:$R,$Y61,Students!$S:$S,$Y$2&amp;if($K61="S1","a",if($K61="S2","b","")),Students!$A:$A,AR$2)+countifs(Students!$T:$T,$Y61,Students!$U:$U,$Y$2&amp;if($K61="S1","a",if($K61="S2","b","")),Students!$A:$A,AR$2)+countifs(Students!$V:$V,$Y61,Students!$W:$W,$Y$2&amp;if($K61="S1","a",if($K61="S2","b","")),Students!$A:$A,AR$2)+
countifs(Students!$D:$D,$AB61,Students!$E:$E,$AB$2&amp;if($K61="S1","a",if($K61="S2","b","")),Students!$A:$A,AR$2)+countifs(Students!$F:$F,$AB61,Students!$G:$G,$AB$2&amp;if($K61="S1","a",if($K61="S2","b","")),Students!$A:$A,AR$2)+countifs(Students!$H:$H,$AB61,Students!$I:$I,$AB$2&amp;if($K61="S1","a",if($K61="S2","b","")),Students!$A:$A,AR$2)+countifs(Students!$J:$J,$AB61,Students!$K:$K,$AB$2&amp;if($K61="S1","a",if($K61="S2","b","")),Students!$A:$A,AR$2)+countifs(Students!$L:$L,$AB61,Students!$M:$M,$AB$2&amp;if($K61="S1","a",if($K61="S2","b","")),Students!$A:$A,AR$2)+countifs(Students!$N:$N,$AB61,Students!$O:$O,$AB$2&amp;if($K61="S1","a",if($K61="S2","b","")),Students!$A:$A,AR$2)+countifs(Students!$P:$P,$AB61,Students!$Q:$Q,$AB$2&amp;if($K61="S1","a",if($K61="S2","b","")),Students!$A:$A,AR$2)+countifs(Students!$R:$R,$AB61,Students!$S:$S,$AB$2&amp;if($K61="S1","a",if($K61="S2","b","")),Students!$A:$A,AR$2)+countifs(Students!$T:$T,$AB61,Students!$U:$U,$AB$2&amp;if($K61="S1","a",if($K61="S2","b","")),Students!$A:$A,AR$2)+countifs(Students!$V:$V,$AB61,Students!$W:$W,$AB$2&amp;if($K61="S1","a",if($K61="S2","b","")),Students!$A:$A,AR$2)+
countifs(Students!$D:$D,$AE61,Students!$E:$E,$AE$2&amp;if($K61="S1","a",if($K61="S2","b","")),Students!$A:$A,AR$2)+countifs(Students!$F:$F,$AE61,Students!$G:$G,$AE$2&amp;if($K61="S1","a",if($K61="S2","b","")),Students!$A:$A,AR$2)+countifs(Students!$H:$H,$AE61,Students!$I:$I,$AE$2&amp;if($K61="S1","a",if($K61="S2","b","")),Students!$A:$A,AR$2)+countifs(Students!$J:$J,$AE61,Students!$K:$K,$AE$2&amp;if($K61="S1","a",if($K61="S2","b","")),Students!$A:$A,AR$2)+countifs(Students!$L:$L,$AE61,Students!$M:$M,$AE$2&amp;if($K61="S1","a",if($K61="S2","b","")),Students!$A:$A,AR$2)+countifs(Students!$N:$N,$AE61,Students!$O:$O,$AE$2&amp;if($K61="S1","a",if($K61="S2","b","")),Students!$A:$A,AR$2)+countifs(Students!$P:$P,$AE61,Students!$Q:$Q,$AE$2&amp;if($K61="S1","a",if($K61="S2","b","")),Students!$A:$A,AR$2)+countifs(Students!$R:$R,$AE61,Students!$S:$S,$AE$2&amp;if($K61="S1","a",if($K61="S2","b","")),Students!$A:$A,AR$2)+countifs(Students!$T:$T,$AE61,Students!$U:$U,$AE$2&amp;if($K61="S1","a",if($K61="S2","b","")),Students!$A:$A,AR$2)+countifs(Students!$V:$V,$AE61,Students!$W:$W,$AE$2&amp;if($K61="S1","a",if($K61="S2","b","")),Students!$A:$A,AR$2)+
countifs(Students!$D:$D,$AH61,Students!$E:$E,$AH$2&amp;if($K61="S1","a",if($K61="S2","b","")),Students!$A:$A,AR$2)+countifs(Students!$F:$F,$AH61,Students!$G:$G,$AH$2&amp;if($K61="S1","a",if($K61="S2","b","")),Students!$A:$A,AR$2)+countifs(Students!$H:$H,$AH61,Students!$I:$I,$AH$2&amp;if($K61="S1","a",if($K61="S2","b","")),Students!$A:$A,AR$2)+countifs(Students!$J:$J,$AH61,Students!$K:$K,$AH$2&amp;if($K61="S1","a",if($K61="S2","b","")),Students!$A:$A,AR$2)+countifs(Students!$L:$L,$AH61,Students!$M:$M,$AH$2&amp;if($K61="S1","a",if($K61="S2","b","")),Students!$A:$A,AR$2)+countifs(Students!$N:$N,$AH61,Students!$O:$O,$AH$2&amp;if($K61="S1","a",if($K61="S2","b","")),Students!$A:$A,AR$2)+countifs(Students!$P:$P,$AH61,Students!$Q:$Q,$AH$2&amp;if($K61="S1","a",if($K61="S2","b","")),Students!$A:$A,AR$2)+countifs(Students!$R:$R,$AH61,Students!$S:$S,$AH$2&amp;if($K61="S1","a",if($K61="S2","b","")),Students!$A:$A,AR$2)+countifs(Students!$T:$T,$AH61,Students!$U:$U,$AH$2&amp;if($K61="S1","a",if($K61="S2","b","")),Students!$A:$A,AR$2)+countifs(Students!$V:$V,$AH61,Students!$W:$W,$AH$2&amp;if($K61="S1","a",if($K61="S2","b","")),Students!$A:$A,AR$2)+
countifs(Students!$D:$D,$AK61,Students!$E:$E,$AK$2&amp;if($K61="S1","a",if($K61="S2","b","")),Students!$A:$A,AR$2)+countifs(Students!$F:$F,$AK61,Students!$G:$G,$AK$2&amp;if($K61="S1","a",if($K61="S2","b","")),Students!$A:$A,AR$2)+countifs(Students!$H:$H,$AK61,Students!$I:$I,$AK$2&amp;if($K61="S1","a",if($K61="S2","b","")),Students!$A:$A,AR$2)+countifs(Students!$J:$J,$AK61,Students!$K:$K,$AK$2&amp;if($K61="S1","a",if($K61="S2","b","")),Students!$A:$A,AR$2)+countifs(Students!$L:$L,$AK61,Students!$M:$M,$AK$2&amp;if($K61="S1","a",if($K61="S2","b","")),Students!$A:$A,AR$2)+countifs(Students!$N:$N,$AK61,Students!$O:$O,$AK$2&amp;if($K61="S1","a",if($K61="S2","b","")),Students!$A:$A,AR$2)+countifs(Students!$P:$P,$AK61,Students!$Q:$Q,$AK$2&amp;if($K61="S1","a",if($K61="S2","b","")),Students!$A:$A,AR$2)+countifs(Students!$R:$R,$AK61,Students!$S:$S,$AK$2&amp;if($K61="S1","a",if($K61="S2","b","")),Students!$A:$A,AR$2)+countifs(Students!$T:$T,$AK61,Students!$U:$U,$AK$2&amp;if($K61="S1","a",if($K61="S2","b","")),Students!$A:$A,AR$2)+countifs(Students!$V:$V,$AK61,Students!$W:$W,$AK$2&amp;if($K61="S1","a",if($K61="S2","b","")),Students!$A:$A,AR$2))</f>
        <v/>
      </c>
      <c r="AS61" s="98" t="str">
        <f>if($L61="","",countifs(Students!$D:$D,$P61,Students!$E:$E,$P$2&amp;if($K61="S1","a",if($K61="S2","b","")),Students!$A:$A,AS$2)+countifs(Students!$F:$F,$P61,Students!$G:$G,$P$2&amp;if($K61="S1","a",if($K61="S2","b","")),Students!$A:$A,AS$2)+countifs(Students!$H:$H,$P61,Students!$I:$I,$P$2&amp;if($K61="S1","a",if($K61="S2","b","")),Students!$A:$A,AS$2)+countifs(Students!$J:$J,$P61,Students!$K:$K,$P$2&amp;if($K61="S1","a",if($K61="S2","b","")),Students!$A:$A,AS$2)+countifs(Students!$L:$L,$P61,Students!$M:$M,$P$2&amp;if($K61="S1","a",if($K61="S2","b","")),Students!$A:$A,AS$2)+countifs(Students!$N:$N,$P61,Students!$O:$O,$P$2&amp;if($K61="S1","a",if($K61="S2","b","")),Students!$A:$A,AS$2)+countifs(Students!$P:$P,$P61,Students!$Q:$Q,$P$2&amp;if($K61="S1","a",if($K61="S2","b","")),Students!$A:$A,AS$2)+countifs(Students!$R:$R,$P61,Students!$S:$S,$P$2&amp;if($K61="S1","a",if($K61="S2","b","")),Students!$A:$A,AS$2)+countifs(Students!$T:$T,$P61,Students!$U:$U,$P$2&amp;if($K61="S1","a",if($K61="S2","b","")),Students!$A:$A,AS$2)+countifs(Students!$V:$V,$P61,Students!$W:$W,$P$2&amp;if($K61="S1","a",if($K61="S2","b","")),Students!$A:$A,AS$2)+
countifs(Students!$D:$D,$S61,Students!$E:$E,$S$2&amp;if($K61="S1","a",if($K61="S2","b","")),Students!$A:$A,AS$2)+countifs(Students!$F:$F,$S61,Students!$G:$G,$S$2&amp;if($K61="S1","a",if($K61="S2","b","")),Students!$A:$A,AS$2)+countifs(Students!$H:$H,$S61,Students!$I:$I,$S$2&amp;if($K61="S1","a",if($K61="S2","b","")),Students!$A:$A,AS$2)+countifs(Students!$J:$J,$S61,Students!$K:$K,$S$2&amp;if($K61="S1","a",if($K61="S2","b","")),Students!$A:$A,AS$2)+countifs(Students!$L:$L,$S61,Students!$M:$M,$S$2&amp;if($K61="S1","a",if($K61="S2","b","")),Students!$A:$A,AS$2)+countifs(Students!$N:$N,$S61,Students!$O:$O,$S$2&amp;if($K61="S1","a",if($K61="S2","b","")),Students!$A:$A,AS$2)+countifs(Students!$P:$P,$S61,Students!$Q:$Q,$S$2&amp;if($K61="S1","a",if($K61="S2","b","")),Students!$A:$A,AS$2)+countifs(Students!$R:$R,$S61,Students!$S:$S,$S$2&amp;if($K61="S1","a",if($K61="S2","b","")),Students!$A:$A,AS$2)+countifs(Students!$T:$T,$S61,Students!$U:$U,$S$2&amp;if($K61="S1","a",if($K61="S2","b","")),Students!$A:$A,AS$2)+countifs(Students!$V:$V,$S61,Students!$W:$W,$S$2&amp;if($K61="S1","a",if($K61="S2","b","")),Students!$A:$A,AS$2)+
countifs(Students!$D:$D,$V61,Students!$E:$E,$V$2&amp;if($K61="S1","a",if($K61="S2","b","")),Students!$A:$A,AS$2)+countifs(Students!$F:$F,$V61,Students!$G:$G,$V$2&amp;if($K61="S1","a",if($K61="S2","b","")),Students!$A:$A,AS$2)+countifs(Students!$H:$H,$V61,Students!$I:$I,$V$2&amp;if($K61="S1","a",if($K61="S2","b","")),Students!$A:$A,AS$2)+countifs(Students!$J:$J,$V61,Students!$K:$K,$V$2&amp;if($K61="S1","a",if($K61="S2","b","")),Students!$A:$A,AS$2)+countifs(Students!$L:$L,$V61,Students!$M:$M,$V$2&amp;if($K61="S1","a",if($K61="S2","b","")),Students!$A:$A,AS$2)+countifs(Students!$N:$N,$V61,Students!$O:$O,$V$2&amp;if($K61="S1","a",if($K61="S2","b","")),Students!$A:$A,AS$2)+countifs(Students!$P:$P,$V61,Students!$Q:$Q,$V$2&amp;if($K61="S1","a",if($K61="S2","b","")),Students!$A:$A,AS$2)+countifs(Students!$R:$R,$V61,Students!$S:$S,$V$2&amp;if($K61="S1","a",if($K61="S2","b","")),Students!$A:$A,AS$2)+countifs(Students!$T:$T,$V61,Students!$U:$U,$V$2&amp;if($K61="S1","a",if($K61="S2","b","")),Students!$A:$A,AS$2)+countifs(Students!$V:$V,$V61,Students!$W:$W,$V$2&amp;if($K61="S1","a",if($K61="S2","b","")),Students!$A:$A,AS$2)+
countifs(Students!$D:$D,$Y61,Students!$E:$E,$Y$2&amp;if($K61="S1","a",if($K61="S2","b","")),Students!$A:$A,AS$2)+countifs(Students!$F:$F,$Y61,Students!$G:$G,$Y$2&amp;if($K61="S1","a",if($K61="S2","b","")),Students!$A:$A,AS$2)+countifs(Students!$H:$H,$Y61,Students!$I:$I,$Y$2&amp;if($K61="S1","a",if($K61="S2","b","")),Students!$A:$A,AS$2)+countifs(Students!$J:$J,$Y61,Students!$K:$K,$Y$2&amp;if($K61="S1","a",if($K61="S2","b","")),Students!$A:$A,AS$2)+countifs(Students!$L:$L,$Y61,Students!$M:$M,$Y$2&amp;if($K61="S1","a",if($K61="S2","b","")),Students!$A:$A,AS$2)+countifs(Students!$N:$N,$Y61,Students!$O:$O,$Y$2&amp;if($K61="S1","a",if($K61="S2","b","")),Students!$A:$A,AS$2)+countifs(Students!$P:$P,$Y61,Students!$Q:$Q,$Y$2&amp;if($K61="S1","a",if($K61="S2","b","")),Students!$A:$A,AS$2)+countifs(Students!$R:$R,$Y61,Students!$S:$S,$Y$2&amp;if($K61="S1","a",if($K61="S2","b","")),Students!$A:$A,AS$2)+countifs(Students!$T:$T,$Y61,Students!$U:$U,$Y$2&amp;if($K61="S1","a",if($K61="S2","b","")),Students!$A:$A,AS$2)+countifs(Students!$V:$V,$Y61,Students!$W:$W,$Y$2&amp;if($K61="S1","a",if($K61="S2","b","")),Students!$A:$A,AS$2)+
countifs(Students!$D:$D,$AB61,Students!$E:$E,$AB$2&amp;if($K61="S1","a",if($K61="S2","b","")),Students!$A:$A,AS$2)+countifs(Students!$F:$F,$AB61,Students!$G:$G,$AB$2&amp;if($K61="S1","a",if($K61="S2","b","")),Students!$A:$A,AS$2)+countifs(Students!$H:$H,$AB61,Students!$I:$I,$AB$2&amp;if($K61="S1","a",if($K61="S2","b","")),Students!$A:$A,AS$2)+countifs(Students!$J:$J,$AB61,Students!$K:$K,$AB$2&amp;if($K61="S1","a",if($K61="S2","b","")),Students!$A:$A,AS$2)+countifs(Students!$L:$L,$AB61,Students!$M:$M,$AB$2&amp;if($K61="S1","a",if($K61="S2","b","")),Students!$A:$A,AS$2)+countifs(Students!$N:$N,$AB61,Students!$O:$O,$AB$2&amp;if($K61="S1","a",if($K61="S2","b","")),Students!$A:$A,AS$2)+countifs(Students!$P:$P,$AB61,Students!$Q:$Q,$AB$2&amp;if($K61="S1","a",if($K61="S2","b","")),Students!$A:$A,AS$2)+countifs(Students!$R:$R,$AB61,Students!$S:$S,$AB$2&amp;if($K61="S1","a",if($K61="S2","b","")),Students!$A:$A,AS$2)+countifs(Students!$T:$T,$AB61,Students!$U:$U,$AB$2&amp;if($K61="S1","a",if($K61="S2","b","")),Students!$A:$A,AS$2)+countifs(Students!$V:$V,$AB61,Students!$W:$W,$AB$2&amp;if($K61="S1","a",if($K61="S2","b","")),Students!$A:$A,AS$2)+
countifs(Students!$D:$D,$AE61,Students!$E:$E,$AE$2&amp;if($K61="S1","a",if($K61="S2","b","")),Students!$A:$A,AS$2)+countifs(Students!$F:$F,$AE61,Students!$G:$G,$AE$2&amp;if($K61="S1","a",if($K61="S2","b","")),Students!$A:$A,AS$2)+countifs(Students!$H:$H,$AE61,Students!$I:$I,$AE$2&amp;if($K61="S1","a",if($K61="S2","b","")),Students!$A:$A,AS$2)+countifs(Students!$J:$J,$AE61,Students!$K:$K,$AE$2&amp;if($K61="S1","a",if($K61="S2","b","")),Students!$A:$A,AS$2)+countifs(Students!$L:$L,$AE61,Students!$M:$M,$AE$2&amp;if($K61="S1","a",if($K61="S2","b","")),Students!$A:$A,AS$2)+countifs(Students!$N:$N,$AE61,Students!$O:$O,$AE$2&amp;if($K61="S1","a",if($K61="S2","b","")),Students!$A:$A,AS$2)+countifs(Students!$P:$P,$AE61,Students!$Q:$Q,$AE$2&amp;if($K61="S1","a",if($K61="S2","b","")),Students!$A:$A,AS$2)+countifs(Students!$R:$R,$AE61,Students!$S:$S,$AE$2&amp;if($K61="S1","a",if($K61="S2","b","")),Students!$A:$A,AS$2)+countifs(Students!$T:$T,$AE61,Students!$U:$U,$AE$2&amp;if($K61="S1","a",if($K61="S2","b","")),Students!$A:$A,AS$2)+countifs(Students!$V:$V,$AE61,Students!$W:$W,$AE$2&amp;if($K61="S1","a",if($K61="S2","b","")),Students!$A:$A,AS$2)+
countifs(Students!$D:$D,$AH61,Students!$E:$E,$AH$2&amp;if($K61="S1","a",if($K61="S2","b","")),Students!$A:$A,AS$2)+countifs(Students!$F:$F,$AH61,Students!$G:$G,$AH$2&amp;if($K61="S1","a",if($K61="S2","b","")),Students!$A:$A,AS$2)+countifs(Students!$H:$H,$AH61,Students!$I:$I,$AH$2&amp;if($K61="S1","a",if($K61="S2","b","")),Students!$A:$A,AS$2)+countifs(Students!$J:$J,$AH61,Students!$K:$K,$AH$2&amp;if($K61="S1","a",if($K61="S2","b","")),Students!$A:$A,AS$2)+countifs(Students!$L:$L,$AH61,Students!$M:$M,$AH$2&amp;if($K61="S1","a",if($K61="S2","b","")),Students!$A:$A,AS$2)+countifs(Students!$N:$N,$AH61,Students!$O:$O,$AH$2&amp;if($K61="S1","a",if($K61="S2","b","")),Students!$A:$A,AS$2)+countifs(Students!$P:$P,$AH61,Students!$Q:$Q,$AH$2&amp;if($K61="S1","a",if($K61="S2","b","")),Students!$A:$A,AS$2)+countifs(Students!$R:$R,$AH61,Students!$S:$S,$AH$2&amp;if($K61="S1","a",if($K61="S2","b","")),Students!$A:$A,AS$2)+countifs(Students!$T:$T,$AH61,Students!$U:$U,$AH$2&amp;if($K61="S1","a",if($K61="S2","b","")),Students!$A:$A,AS$2)+countifs(Students!$V:$V,$AH61,Students!$W:$W,$AH$2&amp;if($K61="S1","a",if($K61="S2","b","")),Students!$A:$A,AS$2)+
countifs(Students!$D:$D,$AK61,Students!$E:$E,$AK$2&amp;if($K61="S1","a",if($K61="S2","b","")),Students!$A:$A,AS$2)+countifs(Students!$F:$F,$AK61,Students!$G:$G,$AK$2&amp;if($K61="S1","a",if($K61="S2","b","")),Students!$A:$A,AS$2)+countifs(Students!$H:$H,$AK61,Students!$I:$I,$AK$2&amp;if($K61="S1","a",if($K61="S2","b","")),Students!$A:$A,AS$2)+countifs(Students!$J:$J,$AK61,Students!$K:$K,$AK$2&amp;if($K61="S1","a",if($K61="S2","b","")),Students!$A:$A,AS$2)+countifs(Students!$L:$L,$AK61,Students!$M:$M,$AK$2&amp;if($K61="S1","a",if($K61="S2","b","")),Students!$A:$A,AS$2)+countifs(Students!$N:$N,$AK61,Students!$O:$O,$AK$2&amp;if($K61="S1","a",if($K61="S2","b","")),Students!$A:$A,AS$2)+countifs(Students!$P:$P,$AK61,Students!$Q:$Q,$AK$2&amp;if($K61="S1","a",if($K61="S2","b","")),Students!$A:$A,AS$2)+countifs(Students!$R:$R,$AK61,Students!$S:$S,$AK$2&amp;if($K61="S1","a",if($K61="S2","b","")),Students!$A:$A,AS$2)+countifs(Students!$T:$T,$AK61,Students!$U:$U,$AK$2&amp;if($K61="S1","a",if($K61="S2","b","")),Students!$A:$A,AS$2)+countifs(Students!$V:$V,$AK61,Students!$W:$W,$AK$2&amp;if($K61="S1","a",if($K61="S2","b","")),Students!$A:$A,AS$2))</f>
        <v/>
      </c>
    </row>
    <row r="62">
      <c r="J62" s="106" t="s">
        <v>22</v>
      </c>
      <c r="K62" s="88"/>
      <c r="L62" s="136"/>
      <c r="M62" s="89"/>
      <c r="N62" s="106" t="s">
        <v>22</v>
      </c>
      <c r="O62" s="106"/>
      <c r="P62" s="89"/>
      <c r="Q62" s="89"/>
      <c r="R62" s="98" t="s">
        <v>22</v>
      </c>
      <c r="S62" s="89"/>
      <c r="T62" s="89"/>
      <c r="U62" s="98" t="s">
        <v>22</v>
      </c>
      <c r="V62" s="89"/>
      <c r="W62" s="89"/>
      <c r="X62" s="98" t="s">
        <v>22</v>
      </c>
      <c r="Y62" s="89"/>
      <c r="Z62" s="89"/>
      <c r="AA62" s="98" t="s">
        <v>22</v>
      </c>
      <c r="AB62" s="89"/>
      <c r="AC62" s="117"/>
      <c r="AD62" s="98" t="s">
        <v>22</v>
      </c>
      <c r="AE62" s="89"/>
      <c r="AF62" s="89"/>
      <c r="AG62" s="98" t="s">
        <v>22</v>
      </c>
      <c r="AH62" s="89"/>
      <c r="AI62" s="133"/>
      <c r="AJ62" s="98" t="s">
        <v>22</v>
      </c>
      <c r="AK62" s="89"/>
      <c r="AL62" s="133"/>
      <c r="AM62" s="98" t="s">
        <v>22</v>
      </c>
      <c r="AN62" s="99"/>
      <c r="AO62" s="52" t="str">
        <f t="shared" si="2"/>
        <v/>
      </c>
      <c r="AP62" s="98" t="str">
        <f>if($L62="","",countifs(Students!$D:$D,$P62,Students!$E:$E,$P$2&amp;if($K62="S1","a",if($K62="S2","b","")),Students!$A:$A,AP$2)+countifs(Students!$F:$F,$P62,Students!$G:$G,$P$2&amp;if($K62="S1","a",if($K62="S2","b","")),Students!$A:$A,AP$2)+countifs(Students!$H:$H,$P62,Students!$I:$I,$P$2&amp;if($K62="S1","a",if($K62="S2","b","")),Students!$A:$A,AP$2)+countifs(Students!$J:$J,$P62,Students!$K:$K,$P$2&amp;if($K62="S1","a",if($K62="S2","b","")),Students!$A:$A,AP$2)+countifs(Students!$L:$L,$P62,Students!$M:$M,$P$2&amp;if($K62="S1","a",if($K62="S2","b","")),Students!$A:$A,AP$2)+countifs(Students!$N:$N,$P62,Students!$O:$O,$P$2&amp;if($K62="S1","a",if($K62="S2","b","")),Students!$A:$A,AP$2)+countifs(Students!$P:$P,$P62,Students!$Q:$Q,$P$2&amp;if($K62="S1","a",if($K62="S2","b","")),Students!$A:$A,AP$2)+countifs(Students!$R:$R,$P62,Students!$S:$S,$P$2&amp;if($K62="S1","a",if($K62="S2","b","")),Students!$A:$A,AP$2)+countifs(Students!$T:$T,$P62,Students!$U:$U,$P$2&amp;if($K62="S1","a",if($K62="S2","b","")),Students!$A:$A,AP$2)+countifs(Students!$V:$V,$P62,Students!$W:$W,$P$2&amp;if($K62="S1","a",if($K62="S2","b","")),Students!$A:$A,AP$2)+
countifs(Students!$D:$D,$S62,Students!$E:$E,$S$2&amp;if($K62="S1","a",if($K62="S2","b","")),Students!$A:$A,AP$2)+countifs(Students!$F:$F,$S62,Students!$G:$G,$S$2&amp;if($K62="S1","a",if($K62="S2","b","")),Students!$A:$A,AP$2)+countifs(Students!$H:$H,$S62,Students!$I:$I,$S$2&amp;if($K62="S1","a",if($K62="S2","b","")),Students!$A:$A,AP$2)+countifs(Students!$J:$J,$S62,Students!$K:$K,$S$2&amp;if($K62="S1","a",if($K62="S2","b","")),Students!$A:$A,AP$2)+countifs(Students!$L:$L,$S62,Students!$M:$M,$S$2&amp;if($K62="S1","a",if($K62="S2","b","")),Students!$A:$A,AP$2)+countifs(Students!$N:$N,$S62,Students!$O:$O,$S$2&amp;if($K62="S1","a",if($K62="S2","b","")),Students!$A:$A,AP$2)+countifs(Students!$P:$P,$S62,Students!$Q:$Q,$S$2&amp;if($K62="S1","a",if($K62="S2","b","")),Students!$A:$A,AP$2)+countifs(Students!$R:$R,$S62,Students!$S:$S,$S$2&amp;if($K62="S1","a",if($K62="S2","b","")),Students!$A:$A,AP$2)+countifs(Students!$T:$T,$S62,Students!$U:$U,$S$2&amp;if($K62="S1","a",if($K62="S2","b","")),Students!$A:$A,AP$2)+countifs(Students!$V:$V,$S62,Students!$W:$W,$S$2&amp;if($K62="S1","a",if($K62="S2","b","")),Students!$A:$A,AP$2)+
countifs(Students!$D:$D,$V62,Students!$E:$E,$V$2&amp;if($K62="S1","a",if($K62="S2","b","")),Students!$A:$A,AP$2)+countifs(Students!$F:$F,$V62,Students!$G:$G,$V$2&amp;if($K62="S1","a",if($K62="S2","b","")),Students!$A:$A,AP$2)+countifs(Students!$H:$H,$V62,Students!$I:$I,$V$2&amp;if($K62="S1","a",if($K62="S2","b","")),Students!$A:$A,AP$2)+countifs(Students!$J:$J,$V62,Students!$K:$K,$V$2&amp;if($K62="S1","a",if($K62="S2","b","")),Students!$A:$A,AP$2)+countifs(Students!$L:$L,$V62,Students!$M:$M,$V$2&amp;if($K62="S1","a",if($K62="S2","b","")),Students!$A:$A,AP$2)+countifs(Students!$N:$N,$V62,Students!$O:$O,$V$2&amp;if($K62="S1","a",if($K62="S2","b","")),Students!$A:$A,AP$2)+countifs(Students!$P:$P,$V62,Students!$Q:$Q,$V$2&amp;if($K62="S1","a",if($K62="S2","b","")),Students!$A:$A,AP$2)+countifs(Students!$R:$R,$V62,Students!$S:$S,$V$2&amp;if($K62="S1","a",if($K62="S2","b","")),Students!$A:$A,AP$2)+countifs(Students!$T:$T,$V62,Students!$U:$U,$V$2&amp;if($K62="S1","a",if($K62="S2","b","")),Students!$A:$A,AP$2)+countifs(Students!$V:$V,$V62,Students!$W:$W,$V$2&amp;if($K62="S1","a",if($K62="S2","b","")),Students!$A:$A,AP$2)+
countifs(Students!$D:$D,$Y62,Students!$E:$E,$Y$2&amp;if($K62="S1","a",if($K62="S2","b","")),Students!$A:$A,AP$2)+countifs(Students!$F:$F,$Y62,Students!$G:$G,$Y$2&amp;if($K62="S1","a",if($K62="S2","b","")),Students!$A:$A,AP$2)+countifs(Students!$H:$H,$Y62,Students!$I:$I,$Y$2&amp;if($K62="S1","a",if($K62="S2","b","")),Students!$A:$A,AP$2)+countifs(Students!$J:$J,$Y62,Students!$K:$K,$Y$2&amp;if($K62="S1","a",if($K62="S2","b","")),Students!$A:$A,AP$2)+countifs(Students!$L:$L,$Y62,Students!$M:$M,$Y$2&amp;if($K62="S1","a",if($K62="S2","b","")),Students!$A:$A,AP$2)+countifs(Students!$N:$N,$Y62,Students!$O:$O,$Y$2&amp;if($K62="S1","a",if($K62="S2","b","")),Students!$A:$A,AP$2)+countifs(Students!$P:$P,$Y62,Students!$Q:$Q,$Y$2&amp;if($K62="S1","a",if($K62="S2","b","")),Students!$A:$A,AP$2)+countifs(Students!$R:$R,$Y62,Students!$S:$S,$Y$2&amp;if($K62="S1","a",if($K62="S2","b","")),Students!$A:$A,AP$2)+countifs(Students!$T:$T,$Y62,Students!$U:$U,$Y$2&amp;if($K62="S1","a",if($K62="S2","b","")),Students!$A:$A,AP$2)+countifs(Students!$V:$V,$Y62,Students!$W:$W,$Y$2&amp;if($K62="S1","a",if($K62="S2","b","")),Students!$A:$A,AP$2)+
countifs(Students!$D:$D,$AB62,Students!$E:$E,$AB$2&amp;if($K62="S1","a",if($K62="S2","b","")),Students!$A:$A,AP$2)+countifs(Students!$F:$F,$AB62,Students!$G:$G,$AB$2&amp;if($K62="S1","a",if($K62="S2","b","")),Students!$A:$A,AP$2)+countifs(Students!$H:$H,$AB62,Students!$I:$I,$AB$2&amp;if($K62="S1","a",if($K62="S2","b","")),Students!$A:$A,AP$2)+countifs(Students!$J:$J,$AB62,Students!$K:$K,$AB$2&amp;if($K62="S1","a",if($K62="S2","b","")),Students!$A:$A,AP$2)+countifs(Students!$L:$L,$AB62,Students!$M:$M,$AB$2&amp;if($K62="S1","a",if($K62="S2","b","")),Students!$A:$A,AP$2)+countifs(Students!$N:$N,$AB62,Students!$O:$O,$AB$2&amp;if($K62="S1","a",if($K62="S2","b","")),Students!$A:$A,AP$2)+countifs(Students!$P:$P,$AB62,Students!$Q:$Q,$AB$2&amp;if($K62="S1","a",if($K62="S2","b","")),Students!$A:$A,AP$2)+countifs(Students!$R:$R,$AB62,Students!$S:$S,$AB$2&amp;if($K62="S1","a",if($K62="S2","b","")),Students!$A:$A,AP$2)+countifs(Students!$T:$T,$AB62,Students!$U:$U,$AB$2&amp;if($K62="S1","a",if($K62="S2","b","")),Students!$A:$A,AP$2)+countifs(Students!$V:$V,$AB62,Students!$W:$W,$AB$2&amp;if($K62="S1","a",if($K62="S2","b","")),Students!$A:$A,AP$2)+
countifs(Students!$D:$D,$AE62,Students!$E:$E,$AE$2&amp;if($K62="S1","a",if($K62="S2","b","")),Students!$A:$A,AP$2)+countifs(Students!$F:$F,$AE62,Students!$G:$G,$AE$2&amp;if($K62="S1","a",if($K62="S2","b","")),Students!$A:$A,AP$2)+countifs(Students!$H:$H,$AE62,Students!$I:$I,$AE$2&amp;if($K62="S1","a",if($K62="S2","b","")),Students!$A:$A,AP$2)+countifs(Students!$J:$J,$AE62,Students!$K:$K,$AE$2&amp;if($K62="S1","a",if($K62="S2","b","")),Students!$A:$A,AP$2)+countifs(Students!$L:$L,$AE62,Students!$M:$M,$AE$2&amp;if($K62="S1","a",if($K62="S2","b","")),Students!$A:$A,AP$2)+countifs(Students!$N:$N,$AE62,Students!$O:$O,$AE$2&amp;if($K62="S1","a",if($K62="S2","b","")),Students!$A:$A,AP$2)+countifs(Students!$P:$P,$AE62,Students!$Q:$Q,$AE$2&amp;if($K62="S1","a",if($K62="S2","b","")),Students!$A:$A,AP$2)+countifs(Students!$R:$R,$AE62,Students!$S:$S,$AE$2&amp;if($K62="S1","a",if($K62="S2","b","")),Students!$A:$A,AP$2)+countifs(Students!$T:$T,$AE62,Students!$U:$U,$AE$2&amp;if($K62="S1","a",if($K62="S2","b","")),Students!$A:$A,AP$2)+countifs(Students!$V:$V,$AE62,Students!$W:$W,$AE$2&amp;if($K62="S1","a",if($K62="S2","b","")),Students!$A:$A,AP$2)+
countifs(Students!$D:$D,$AH62,Students!$E:$E,$AH$2&amp;if($K62="S1","a",if($K62="S2","b","")),Students!$A:$A,AP$2)+countifs(Students!$F:$F,$AH62,Students!$G:$G,$AH$2&amp;if($K62="S1","a",if($K62="S2","b","")),Students!$A:$A,AP$2)+countifs(Students!$H:$H,$AH62,Students!$I:$I,$AH$2&amp;if($K62="S1","a",if($K62="S2","b","")),Students!$A:$A,AP$2)+countifs(Students!$J:$J,$AH62,Students!$K:$K,$AH$2&amp;if($K62="S1","a",if($K62="S2","b","")),Students!$A:$A,AP$2)+countifs(Students!$L:$L,$AH62,Students!$M:$M,$AH$2&amp;if($K62="S1","a",if($K62="S2","b","")),Students!$A:$A,AP$2)+countifs(Students!$N:$N,$AH62,Students!$O:$O,$AH$2&amp;if($K62="S1","a",if($K62="S2","b","")),Students!$A:$A,AP$2)+countifs(Students!$P:$P,$AH62,Students!$Q:$Q,$AH$2&amp;if($K62="S1","a",if($K62="S2","b","")),Students!$A:$A,AP$2)+countifs(Students!$R:$R,$AH62,Students!$S:$S,$AH$2&amp;if($K62="S1","a",if($K62="S2","b","")),Students!$A:$A,AP$2)+countifs(Students!$T:$T,$AH62,Students!$U:$U,$AH$2&amp;if($K62="S1","a",if($K62="S2","b","")),Students!$A:$A,AP$2)+countifs(Students!$V:$V,$AH62,Students!$W:$W,$AH$2&amp;if($K62="S1","a",if($K62="S2","b","")),Students!$A:$A,AP$2)+
countifs(Students!$D:$D,$AK62,Students!$E:$E,$AK$2&amp;if($K62="S1","a",if($K62="S2","b","")),Students!$A:$A,AP$2)+countifs(Students!$F:$F,$AK62,Students!$G:$G,$AK$2&amp;if($K62="S1","a",if($K62="S2","b","")),Students!$A:$A,AP$2)+countifs(Students!$H:$H,$AK62,Students!$I:$I,$AK$2&amp;if($K62="S1","a",if($K62="S2","b","")),Students!$A:$A,AP$2)+countifs(Students!$J:$J,$AK62,Students!$K:$K,$AK$2&amp;if($K62="S1","a",if($K62="S2","b","")),Students!$A:$A,AP$2)+countifs(Students!$L:$L,$AK62,Students!$M:$M,$AK$2&amp;if($K62="S1","a",if($K62="S2","b","")),Students!$A:$A,AP$2)+countifs(Students!$N:$N,$AK62,Students!$O:$O,$AK$2&amp;if($K62="S1","a",if($K62="S2","b","")),Students!$A:$A,AP$2)+countifs(Students!$P:$P,$AK62,Students!$Q:$Q,$AK$2&amp;if($K62="S1","a",if($K62="S2","b","")),Students!$A:$A,AP$2)+countifs(Students!$R:$R,$AK62,Students!$S:$S,$AK$2&amp;if($K62="S1","a",if($K62="S2","b","")),Students!$A:$A,AP$2)+countifs(Students!$T:$T,$AK62,Students!$U:$U,$AK$2&amp;if($K62="S1","a",if($K62="S2","b","")),Students!$A:$A,AP$2)+countifs(Students!$V:$V,$AK62,Students!$W:$W,$AK$2&amp;if($K62="S1","a",if($K62="S2","b","")),Students!$A:$A,AP$2))</f>
        <v/>
      </c>
      <c r="AQ62" s="98" t="str">
        <f>if($L62="","",countifs(Students!$D:$D,$P62,Students!$E:$E,$P$2&amp;if($K62="S1","a",if($K62="S2","b","")),Students!$A:$A,AQ$2)+countifs(Students!$F:$F,$P62,Students!$G:$G,$P$2&amp;if($K62="S1","a",if($K62="S2","b","")),Students!$A:$A,AQ$2)+countifs(Students!$H:$H,$P62,Students!$I:$I,$P$2&amp;if($K62="S1","a",if($K62="S2","b","")),Students!$A:$A,AQ$2)+countifs(Students!$J:$J,$P62,Students!$K:$K,$P$2&amp;if($K62="S1","a",if($K62="S2","b","")),Students!$A:$A,AQ$2)+countifs(Students!$L:$L,$P62,Students!$M:$M,$P$2&amp;if($K62="S1","a",if($K62="S2","b","")),Students!$A:$A,AQ$2)+countifs(Students!$N:$N,$P62,Students!$O:$O,$P$2&amp;if($K62="S1","a",if($K62="S2","b","")),Students!$A:$A,AQ$2)+countifs(Students!$P:$P,$P62,Students!$Q:$Q,$P$2&amp;if($K62="S1","a",if($K62="S2","b","")),Students!$A:$A,AQ$2)+countifs(Students!$R:$R,$P62,Students!$S:$S,$P$2&amp;if($K62="S1","a",if($K62="S2","b","")),Students!$A:$A,AQ$2)+countifs(Students!$T:$T,$P62,Students!$U:$U,$P$2&amp;if($K62="S1","a",if($K62="S2","b","")),Students!$A:$A,AQ$2)+countifs(Students!$V:$V,$P62,Students!$W:$W,$P$2&amp;if($K62="S1","a",if($K62="S2","b","")),Students!$A:$A,AQ$2)+
countifs(Students!$D:$D,$S62,Students!$E:$E,$S$2&amp;if($K62="S1","a",if($K62="S2","b","")),Students!$A:$A,AQ$2)+countifs(Students!$F:$F,$S62,Students!$G:$G,$S$2&amp;if($K62="S1","a",if($K62="S2","b","")),Students!$A:$A,AQ$2)+countifs(Students!$H:$H,$S62,Students!$I:$I,$S$2&amp;if($K62="S1","a",if($K62="S2","b","")),Students!$A:$A,AQ$2)+countifs(Students!$J:$J,$S62,Students!$K:$K,$S$2&amp;if($K62="S1","a",if($K62="S2","b","")),Students!$A:$A,AQ$2)+countifs(Students!$L:$L,$S62,Students!$M:$M,$S$2&amp;if($K62="S1","a",if($K62="S2","b","")),Students!$A:$A,AQ$2)+countifs(Students!$N:$N,$S62,Students!$O:$O,$S$2&amp;if($K62="S1","a",if($K62="S2","b","")),Students!$A:$A,AQ$2)+countifs(Students!$P:$P,$S62,Students!$Q:$Q,$S$2&amp;if($K62="S1","a",if($K62="S2","b","")),Students!$A:$A,AQ$2)+countifs(Students!$R:$R,$S62,Students!$S:$S,$S$2&amp;if($K62="S1","a",if($K62="S2","b","")),Students!$A:$A,AQ$2)+countifs(Students!$T:$T,$S62,Students!$U:$U,$S$2&amp;if($K62="S1","a",if($K62="S2","b","")),Students!$A:$A,AQ$2)+countifs(Students!$V:$V,$S62,Students!$W:$W,$S$2&amp;if($K62="S1","a",if($K62="S2","b","")),Students!$A:$A,AQ$2)+
countifs(Students!$D:$D,$V62,Students!$E:$E,$V$2&amp;if($K62="S1","a",if($K62="S2","b","")),Students!$A:$A,AQ$2)+countifs(Students!$F:$F,$V62,Students!$G:$G,$V$2&amp;if($K62="S1","a",if($K62="S2","b","")),Students!$A:$A,AQ$2)+countifs(Students!$H:$H,$V62,Students!$I:$I,$V$2&amp;if($K62="S1","a",if($K62="S2","b","")),Students!$A:$A,AQ$2)+countifs(Students!$J:$J,$V62,Students!$K:$K,$V$2&amp;if($K62="S1","a",if($K62="S2","b","")),Students!$A:$A,AQ$2)+countifs(Students!$L:$L,$V62,Students!$M:$M,$V$2&amp;if($K62="S1","a",if($K62="S2","b","")),Students!$A:$A,AQ$2)+countifs(Students!$N:$N,$V62,Students!$O:$O,$V$2&amp;if($K62="S1","a",if($K62="S2","b","")),Students!$A:$A,AQ$2)+countifs(Students!$P:$P,$V62,Students!$Q:$Q,$V$2&amp;if($K62="S1","a",if($K62="S2","b","")),Students!$A:$A,AQ$2)+countifs(Students!$R:$R,$V62,Students!$S:$S,$V$2&amp;if($K62="S1","a",if($K62="S2","b","")),Students!$A:$A,AQ$2)+countifs(Students!$T:$T,$V62,Students!$U:$U,$V$2&amp;if($K62="S1","a",if($K62="S2","b","")),Students!$A:$A,AQ$2)+countifs(Students!$V:$V,$V62,Students!$W:$W,$V$2&amp;if($K62="S1","a",if($K62="S2","b","")),Students!$A:$A,AQ$2)+
countifs(Students!$D:$D,$Y62,Students!$E:$E,$Y$2&amp;if($K62="S1","a",if($K62="S2","b","")),Students!$A:$A,AQ$2)+countifs(Students!$F:$F,$Y62,Students!$G:$G,$Y$2&amp;if($K62="S1","a",if($K62="S2","b","")),Students!$A:$A,AQ$2)+countifs(Students!$H:$H,$Y62,Students!$I:$I,$Y$2&amp;if($K62="S1","a",if($K62="S2","b","")),Students!$A:$A,AQ$2)+countifs(Students!$J:$J,$Y62,Students!$K:$K,$Y$2&amp;if($K62="S1","a",if($K62="S2","b","")),Students!$A:$A,AQ$2)+countifs(Students!$L:$L,$Y62,Students!$M:$M,$Y$2&amp;if($K62="S1","a",if($K62="S2","b","")),Students!$A:$A,AQ$2)+countifs(Students!$N:$N,$Y62,Students!$O:$O,$Y$2&amp;if($K62="S1","a",if($K62="S2","b","")),Students!$A:$A,AQ$2)+countifs(Students!$P:$P,$Y62,Students!$Q:$Q,$Y$2&amp;if($K62="S1","a",if($K62="S2","b","")),Students!$A:$A,AQ$2)+countifs(Students!$R:$R,$Y62,Students!$S:$S,$Y$2&amp;if($K62="S1","a",if($K62="S2","b","")),Students!$A:$A,AQ$2)+countifs(Students!$T:$T,$Y62,Students!$U:$U,$Y$2&amp;if($K62="S1","a",if($K62="S2","b","")),Students!$A:$A,AQ$2)+countifs(Students!$V:$V,$Y62,Students!$W:$W,$Y$2&amp;if($K62="S1","a",if($K62="S2","b","")),Students!$A:$A,AQ$2)+
countifs(Students!$D:$D,$AB62,Students!$E:$E,$AB$2&amp;if($K62="S1","a",if($K62="S2","b","")),Students!$A:$A,AQ$2)+countifs(Students!$F:$F,$AB62,Students!$G:$G,$AB$2&amp;if($K62="S1","a",if($K62="S2","b","")),Students!$A:$A,AQ$2)+countifs(Students!$H:$H,$AB62,Students!$I:$I,$AB$2&amp;if($K62="S1","a",if($K62="S2","b","")),Students!$A:$A,AQ$2)+countifs(Students!$J:$J,$AB62,Students!$K:$K,$AB$2&amp;if($K62="S1","a",if($K62="S2","b","")),Students!$A:$A,AQ$2)+countifs(Students!$L:$L,$AB62,Students!$M:$M,$AB$2&amp;if($K62="S1","a",if($K62="S2","b","")),Students!$A:$A,AQ$2)+countifs(Students!$N:$N,$AB62,Students!$O:$O,$AB$2&amp;if($K62="S1","a",if($K62="S2","b","")),Students!$A:$A,AQ$2)+countifs(Students!$P:$P,$AB62,Students!$Q:$Q,$AB$2&amp;if($K62="S1","a",if($K62="S2","b","")),Students!$A:$A,AQ$2)+countifs(Students!$R:$R,$AB62,Students!$S:$S,$AB$2&amp;if($K62="S1","a",if($K62="S2","b","")),Students!$A:$A,AQ$2)+countifs(Students!$T:$T,$AB62,Students!$U:$U,$AB$2&amp;if($K62="S1","a",if($K62="S2","b","")),Students!$A:$A,AQ$2)+countifs(Students!$V:$V,$AB62,Students!$W:$W,$AB$2&amp;if($K62="S1","a",if($K62="S2","b","")),Students!$A:$A,AQ$2)+
countifs(Students!$D:$D,$AE62,Students!$E:$E,$AE$2&amp;if($K62="S1","a",if($K62="S2","b","")),Students!$A:$A,AQ$2)+countifs(Students!$F:$F,$AE62,Students!$G:$G,$AE$2&amp;if($K62="S1","a",if($K62="S2","b","")),Students!$A:$A,AQ$2)+countifs(Students!$H:$H,$AE62,Students!$I:$I,$AE$2&amp;if($K62="S1","a",if($K62="S2","b","")),Students!$A:$A,AQ$2)+countifs(Students!$J:$J,$AE62,Students!$K:$K,$AE$2&amp;if($K62="S1","a",if($K62="S2","b","")),Students!$A:$A,AQ$2)+countifs(Students!$L:$L,$AE62,Students!$M:$M,$AE$2&amp;if($K62="S1","a",if($K62="S2","b","")),Students!$A:$A,AQ$2)+countifs(Students!$N:$N,$AE62,Students!$O:$O,$AE$2&amp;if($K62="S1","a",if($K62="S2","b","")),Students!$A:$A,AQ$2)+countifs(Students!$P:$P,$AE62,Students!$Q:$Q,$AE$2&amp;if($K62="S1","a",if($K62="S2","b","")),Students!$A:$A,AQ$2)+countifs(Students!$R:$R,$AE62,Students!$S:$S,$AE$2&amp;if($K62="S1","a",if($K62="S2","b","")),Students!$A:$A,AQ$2)+countifs(Students!$T:$T,$AE62,Students!$U:$U,$AE$2&amp;if($K62="S1","a",if($K62="S2","b","")),Students!$A:$A,AQ$2)+countifs(Students!$V:$V,$AE62,Students!$W:$W,$AE$2&amp;if($K62="S1","a",if($K62="S2","b","")),Students!$A:$A,AQ$2)+
countifs(Students!$D:$D,$AH62,Students!$E:$E,$AH$2&amp;if($K62="S1","a",if($K62="S2","b","")),Students!$A:$A,AQ$2)+countifs(Students!$F:$F,$AH62,Students!$G:$G,$AH$2&amp;if($K62="S1","a",if($K62="S2","b","")),Students!$A:$A,AQ$2)+countifs(Students!$H:$H,$AH62,Students!$I:$I,$AH$2&amp;if($K62="S1","a",if($K62="S2","b","")),Students!$A:$A,AQ$2)+countifs(Students!$J:$J,$AH62,Students!$K:$K,$AH$2&amp;if($K62="S1","a",if($K62="S2","b","")),Students!$A:$A,AQ$2)+countifs(Students!$L:$L,$AH62,Students!$M:$M,$AH$2&amp;if($K62="S1","a",if($K62="S2","b","")),Students!$A:$A,AQ$2)+countifs(Students!$N:$N,$AH62,Students!$O:$O,$AH$2&amp;if($K62="S1","a",if($K62="S2","b","")),Students!$A:$A,AQ$2)+countifs(Students!$P:$P,$AH62,Students!$Q:$Q,$AH$2&amp;if($K62="S1","a",if($K62="S2","b","")),Students!$A:$A,AQ$2)+countifs(Students!$R:$R,$AH62,Students!$S:$S,$AH$2&amp;if($K62="S1","a",if($K62="S2","b","")),Students!$A:$A,AQ$2)+countifs(Students!$T:$T,$AH62,Students!$U:$U,$AH$2&amp;if($K62="S1","a",if($K62="S2","b","")),Students!$A:$A,AQ$2)+countifs(Students!$V:$V,$AH62,Students!$W:$W,$AH$2&amp;if($K62="S1","a",if($K62="S2","b","")),Students!$A:$A,AQ$2)+
countifs(Students!$D:$D,$AK62,Students!$E:$E,$AK$2&amp;if($K62="S1","a",if($K62="S2","b","")),Students!$A:$A,AQ$2)+countifs(Students!$F:$F,$AK62,Students!$G:$G,$AK$2&amp;if($K62="S1","a",if($K62="S2","b","")),Students!$A:$A,AQ$2)+countifs(Students!$H:$H,$AK62,Students!$I:$I,$AK$2&amp;if($K62="S1","a",if($K62="S2","b","")),Students!$A:$A,AQ$2)+countifs(Students!$J:$J,$AK62,Students!$K:$K,$AK$2&amp;if($K62="S1","a",if($K62="S2","b","")),Students!$A:$A,AQ$2)+countifs(Students!$L:$L,$AK62,Students!$M:$M,$AK$2&amp;if($K62="S1","a",if($K62="S2","b","")),Students!$A:$A,AQ$2)+countifs(Students!$N:$N,$AK62,Students!$O:$O,$AK$2&amp;if($K62="S1","a",if($K62="S2","b","")),Students!$A:$A,AQ$2)+countifs(Students!$P:$P,$AK62,Students!$Q:$Q,$AK$2&amp;if($K62="S1","a",if($K62="S2","b","")),Students!$A:$A,AQ$2)+countifs(Students!$R:$R,$AK62,Students!$S:$S,$AK$2&amp;if($K62="S1","a",if($K62="S2","b","")),Students!$A:$A,AQ$2)+countifs(Students!$T:$T,$AK62,Students!$U:$U,$AK$2&amp;if($K62="S1","a",if($K62="S2","b","")),Students!$A:$A,AQ$2)+countifs(Students!$V:$V,$AK62,Students!$W:$W,$AK$2&amp;if($K62="S1","a",if($K62="S2","b","")),Students!$A:$A,AQ$2))</f>
        <v/>
      </c>
      <c r="AR62" s="98" t="str">
        <f>if($L62="","",countifs(Students!$D:$D,$P62,Students!$E:$E,$P$2&amp;if($K62="S1","a",if($K62="S2","b","")),Students!$A:$A,AR$2)+countifs(Students!$F:$F,$P62,Students!$G:$G,$P$2&amp;if($K62="S1","a",if($K62="S2","b","")),Students!$A:$A,AR$2)+countifs(Students!$H:$H,$P62,Students!$I:$I,$P$2&amp;if($K62="S1","a",if($K62="S2","b","")),Students!$A:$A,AR$2)+countifs(Students!$J:$J,$P62,Students!$K:$K,$P$2&amp;if($K62="S1","a",if($K62="S2","b","")),Students!$A:$A,AR$2)+countifs(Students!$L:$L,$P62,Students!$M:$M,$P$2&amp;if($K62="S1","a",if($K62="S2","b","")),Students!$A:$A,AR$2)+countifs(Students!$N:$N,$P62,Students!$O:$O,$P$2&amp;if($K62="S1","a",if($K62="S2","b","")),Students!$A:$A,AR$2)+countifs(Students!$P:$P,$P62,Students!$Q:$Q,$P$2&amp;if($K62="S1","a",if($K62="S2","b","")),Students!$A:$A,AR$2)+countifs(Students!$R:$R,$P62,Students!$S:$S,$P$2&amp;if($K62="S1","a",if($K62="S2","b","")),Students!$A:$A,AR$2)+countifs(Students!$T:$T,$P62,Students!$U:$U,$P$2&amp;if($K62="S1","a",if($K62="S2","b","")),Students!$A:$A,AR$2)+countifs(Students!$V:$V,$P62,Students!$W:$W,$P$2&amp;if($K62="S1","a",if($K62="S2","b","")),Students!$A:$A,AR$2)+
countifs(Students!$D:$D,$S62,Students!$E:$E,$S$2&amp;if($K62="S1","a",if($K62="S2","b","")),Students!$A:$A,AR$2)+countifs(Students!$F:$F,$S62,Students!$G:$G,$S$2&amp;if($K62="S1","a",if($K62="S2","b","")),Students!$A:$A,AR$2)+countifs(Students!$H:$H,$S62,Students!$I:$I,$S$2&amp;if($K62="S1","a",if($K62="S2","b","")),Students!$A:$A,AR$2)+countifs(Students!$J:$J,$S62,Students!$K:$K,$S$2&amp;if($K62="S1","a",if($K62="S2","b","")),Students!$A:$A,AR$2)+countifs(Students!$L:$L,$S62,Students!$M:$M,$S$2&amp;if($K62="S1","a",if($K62="S2","b","")),Students!$A:$A,AR$2)+countifs(Students!$N:$N,$S62,Students!$O:$O,$S$2&amp;if($K62="S1","a",if($K62="S2","b","")),Students!$A:$A,AR$2)+countifs(Students!$P:$P,$S62,Students!$Q:$Q,$S$2&amp;if($K62="S1","a",if($K62="S2","b","")),Students!$A:$A,AR$2)+countifs(Students!$R:$R,$S62,Students!$S:$S,$S$2&amp;if($K62="S1","a",if($K62="S2","b","")),Students!$A:$A,AR$2)+countifs(Students!$T:$T,$S62,Students!$U:$U,$S$2&amp;if($K62="S1","a",if($K62="S2","b","")),Students!$A:$A,AR$2)+countifs(Students!$V:$V,$S62,Students!$W:$W,$S$2&amp;if($K62="S1","a",if($K62="S2","b","")),Students!$A:$A,AR$2)+
countifs(Students!$D:$D,$V62,Students!$E:$E,$V$2&amp;if($K62="S1","a",if($K62="S2","b","")),Students!$A:$A,AR$2)+countifs(Students!$F:$F,$V62,Students!$G:$G,$V$2&amp;if($K62="S1","a",if($K62="S2","b","")),Students!$A:$A,AR$2)+countifs(Students!$H:$H,$V62,Students!$I:$I,$V$2&amp;if($K62="S1","a",if($K62="S2","b","")),Students!$A:$A,AR$2)+countifs(Students!$J:$J,$V62,Students!$K:$K,$V$2&amp;if($K62="S1","a",if($K62="S2","b","")),Students!$A:$A,AR$2)+countifs(Students!$L:$L,$V62,Students!$M:$M,$V$2&amp;if($K62="S1","a",if($K62="S2","b","")),Students!$A:$A,AR$2)+countifs(Students!$N:$N,$V62,Students!$O:$O,$V$2&amp;if($K62="S1","a",if($K62="S2","b","")),Students!$A:$A,AR$2)+countifs(Students!$P:$P,$V62,Students!$Q:$Q,$V$2&amp;if($K62="S1","a",if($K62="S2","b","")),Students!$A:$A,AR$2)+countifs(Students!$R:$R,$V62,Students!$S:$S,$V$2&amp;if($K62="S1","a",if($K62="S2","b","")),Students!$A:$A,AR$2)+countifs(Students!$T:$T,$V62,Students!$U:$U,$V$2&amp;if($K62="S1","a",if($K62="S2","b","")),Students!$A:$A,AR$2)+countifs(Students!$V:$V,$V62,Students!$W:$W,$V$2&amp;if($K62="S1","a",if($K62="S2","b","")),Students!$A:$A,AR$2)+
countifs(Students!$D:$D,$Y62,Students!$E:$E,$Y$2&amp;if($K62="S1","a",if($K62="S2","b","")),Students!$A:$A,AR$2)+countifs(Students!$F:$F,$Y62,Students!$G:$G,$Y$2&amp;if($K62="S1","a",if($K62="S2","b","")),Students!$A:$A,AR$2)+countifs(Students!$H:$H,$Y62,Students!$I:$I,$Y$2&amp;if($K62="S1","a",if($K62="S2","b","")),Students!$A:$A,AR$2)+countifs(Students!$J:$J,$Y62,Students!$K:$K,$Y$2&amp;if($K62="S1","a",if($K62="S2","b","")),Students!$A:$A,AR$2)+countifs(Students!$L:$L,$Y62,Students!$M:$M,$Y$2&amp;if($K62="S1","a",if($K62="S2","b","")),Students!$A:$A,AR$2)+countifs(Students!$N:$N,$Y62,Students!$O:$O,$Y$2&amp;if($K62="S1","a",if($K62="S2","b","")),Students!$A:$A,AR$2)+countifs(Students!$P:$P,$Y62,Students!$Q:$Q,$Y$2&amp;if($K62="S1","a",if($K62="S2","b","")),Students!$A:$A,AR$2)+countifs(Students!$R:$R,$Y62,Students!$S:$S,$Y$2&amp;if($K62="S1","a",if($K62="S2","b","")),Students!$A:$A,AR$2)+countifs(Students!$T:$T,$Y62,Students!$U:$U,$Y$2&amp;if($K62="S1","a",if($K62="S2","b","")),Students!$A:$A,AR$2)+countifs(Students!$V:$V,$Y62,Students!$W:$W,$Y$2&amp;if($K62="S1","a",if($K62="S2","b","")),Students!$A:$A,AR$2)+
countifs(Students!$D:$D,$AB62,Students!$E:$E,$AB$2&amp;if($K62="S1","a",if($K62="S2","b","")),Students!$A:$A,AR$2)+countifs(Students!$F:$F,$AB62,Students!$G:$G,$AB$2&amp;if($K62="S1","a",if($K62="S2","b","")),Students!$A:$A,AR$2)+countifs(Students!$H:$H,$AB62,Students!$I:$I,$AB$2&amp;if($K62="S1","a",if($K62="S2","b","")),Students!$A:$A,AR$2)+countifs(Students!$J:$J,$AB62,Students!$K:$K,$AB$2&amp;if($K62="S1","a",if($K62="S2","b","")),Students!$A:$A,AR$2)+countifs(Students!$L:$L,$AB62,Students!$M:$M,$AB$2&amp;if($K62="S1","a",if($K62="S2","b","")),Students!$A:$A,AR$2)+countifs(Students!$N:$N,$AB62,Students!$O:$O,$AB$2&amp;if($K62="S1","a",if($K62="S2","b","")),Students!$A:$A,AR$2)+countifs(Students!$P:$P,$AB62,Students!$Q:$Q,$AB$2&amp;if($K62="S1","a",if($K62="S2","b","")),Students!$A:$A,AR$2)+countifs(Students!$R:$R,$AB62,Students!$S:$S,$AB$2&amp;if($K62="S1","a",if($K62="S2","b","")),Students!$A:$A,AR$2)+countifs(Students!$T:$T,$AB62,Students!$U:$U,$AB$2&amp;if($K62="S1","a",if($K62="S2","b","")),Students!$A:$A,AR$2)+countifs(Students!$V:$V,$AB62,Students!$W:$W,$AB$2&amp;if($K62="S1","a",if($K62="S2","b","")),Students!$A:$A,AR$2)+
countifs(Students!$D:$D,$AE62,Students!$E:$E,$AE$2&amp;if($K62="S1","a",if($K62="S2","b","")),Students!$A:$A,AR$2)+countifs(Students!$F:$F,$AE62,Students!$G:$G,$AE$2&amp;if($K62="S1","a",if($K62="S2","b","")),Students!$A:$A,AR$2)+countifs(Students!$H:$H,$AE62,Students!$I:$I,$AE$2&amp;if($K62="S1","a",if($K62="S2","b","")),Students!$A:$A,AR$2)+countifs(Students!$J:$J,$AE62,Students!$K:$K,$AE$2&amp;if($K62="S1","a",if($K62="S2","b","")),Students!$A:$A,AR$2)+countifs(Students!$L:$L,$AE62,Students!$M:$M,$AE$2&amp;if($K62="S1","a",if($K62="S2","b","")),Students!$A:$A,AR$2)+countifs(Students!$N:$N,$AE62,Students!$O:$O,$AE$2&amp;if($K62="S1","a",if($K62="S2","b","")),Students!$A:$A,AR$2)+countifs(Students!$P:$P,$AE62,Students!$Q:$Q,$AE$2&amp;if($K62="S1","a",if($K62="S2","b","")),Students!$A:$A,AR$2)+countifs(Students!$R:$R,$AE62,Students!$S:$S,$AE$2&amp;if($K62="S1","a",if($K62="S2","b","")),Students!$A:$A,AR$2)+countifs(Students!$T:$T,$AE62,Students!$U:$U,$AE$2&amp;if($K62="S1","a",if($K62="S2","b","")),Students!$A:$A,AR$2)+countifs(Students!$V:$V,$AE62,Students!$W:$W,$AE$2&amp;if($K62="S1","a",if($K62="S2","b","")),Students!$A:$A,AR$2)+
countifs(Students!$D:$D,$AH62,Students!$E:$E,$AH$2&amp;if($K62="S1","a",if($K62="S2","b","")),Students!$A:$A,AR$2)+countifs(Students!$F:$F,$AH62,Students!$G:$G,$AH$2&amp;if($K62="S1","a",if($K62="S2","b","")),Students!$A:$A,AR$2)+countifs(Students!$H:$H,$AH62,Students!$I:$I,$AH$2&amp;if($K62="S1","a",if($K62="S2","b","")),Students!$A:$A,AR$2)+countifs(Students!$J:$J,$AH62,Students!$K:$K,$AH$2&amp;if($K62="S1","a",if($K62="S2","b","")),Students!$A:$A,AR$2)+countifs(Students!$L:$L,$AH62,Students!$M:$M,$AH$2&amp;if($K62="S1","a",if($K62="S2","b","")),Students!$A:$A,AR$2)+countifs(Students!$N:$N,$AH62,Students!$O:$O,$AH$2&amp;if($K62="S1","a",if($K62="S2","b","")),Students!$A:$A,AR$2)+countifs(Students!$P:$P,$AH62,Students!$Q:$Q,$AH$2&amp;if($K62="S1","a",if($K62="S2","b","")),Students!$A:$A,AR$2)+countifs(Students!$R:$R,$AH62,Students!$S:$S,$AH$2&amp;if($K62="S1","a",if($K62="S2","b","")),Students!$A:$A,AR$2)+countifs(Students!$T:$T,$AH62,Students!$U:$U,$AH$2&amp;if($K62="S1","a",if($K62="S2","b","")),Students!$A:$A,AR$2)+countifs(Students!$V:$V,$AH62,Students!$W:$W,$AH$2&amp;if($K62="S1","a",if($K62="S2","b","")),Students!$A:$A,AR$2)+
countifs(Students!$D:$D,$AK62,Students!$E:$E,$AK$2&amp;if($K62="S1","a",if($K62="S2","b","")),Students!$A:$A,AR$2)+countifs(Students!$F:$F,$AK62,Students!$G:$G,$AK$2&amp;if($K62="S1","a",if($K62="S2","b","")),Students!$A:$A,AR$2)+countifs(Students!$H:$H,$AK62,Students!$I:$I,$AK$2&amp;if($K62="S1","a",if($K62="S2","b","")),Students!$A:$A,AR$2)+countifs(Students!$J:$J,$AK62,Students!$K:$K,$AK$2&amp;if($K62="S1","a",if($K62="S2","b","")),Students!$A:$A,AR$2)+countifs(Students!$L:$L,$AK62,Students!$M:$M,$AK$2&amp;if($K62="S1","a",if($K62="S2","b","")),Students!$A:$A,AR$2)+countifs(Students!$N:$N,$AK62,Students!$O:$O,$AK$2&amp;if($K62="S1","a",if($K62="S2","b","")),Students!$A:$A,AR$2)+countifs(Students!$P:$P,$AK62,Students!$Q:$Q,$AK$2&amp;if($K62="S1","a",if($K62="S2","b","")),Students!$A:$A,AR$2)+countifs(Students!$R:$R,$AK62,Students!$S:$S,$AK$2&amp;if($K62="S1","a",if($K62="S2","b","")),Students!$A:$A,AR$2)+countifs(Students!$T:$T,$AK62,Students!$U:$U,$AK$2&amp;if($K62="S1","a",if($K62="S2","b","")),Students!$A:$A,AR$2)+countifs(Students!$V:$V,$AK62,Students!$W:$W,$AK$2&amp;if($K62="S1","a",if($K62="S2","b","")),Students!$A:$A,AR$2))</f>
        <v/>
      </c>
      <c r="AS62" s="98" t="str">
        <f>if($L62="","",countifs(Students!$D:$D,$P62,Students!$E:$E,$P$2&amp;if($K62="S1","a",if($K62="S2","b","")),Students!$A:$A,AS$2)+countifs(Students!$F:$F,$P62,Students!$G:$G,$P$2&amp;if($K62="S1","a",if($K62="S2","b","")),Students!$A:$A,AS$2)+countifs(Students!$H:$H,$P62,Students!$I:$I,$P$2&amp;if($K62="S1","a",if($K62="S2","b","")),Students!$A:$A,AS$2)+countifs(Students!$J:$J,$P62,Students!$K:$K,$P$2&amp;if($K62="S1","a",if($K62="S2","b","")),Students!$A:$A,AS$2)+countifs(Students!$L:$L,$P62,Students!$M:$M,$P$2&amp;if($K62="S1","a",if($K62="S2","b","")),Students!$A:$A,AS$2)+countifs(Students!$N:$N,$P62,Students!$O:$O,$P$2&amp;if($K62="S1","a",if($K62="S2","b","")),Students!$A:$A,AS$2)+countifs(Students!$P:$P,$P62,Students!$Q:$Q,$P$2&amp;if($K62="S1","a",if($K62="S2","b","")),Students!$A:$A,AS$2)+countifs(Students!$R:$R,$P62,Students!$S:$S,$P$2&amp;if($K62="S1","a",if($K62="S2","b","")),Students!$A:$A,AS$2)+countifs(Students!$T:$T,$P62,Students!$U:$U,$P$2&amp;if($K62="S1","a",if($K62="S2","b","")),Students!$A:$A,AS$2)+countifs(Students!$V:$V,$P62,Students!$W:$W,$P$2&amp;if($K62="S1","a",if($K62="S2","b","")),Students!$A:$A,AS$2)+
countifs(Students!$D:$D,$S62,Students!$E:$E,$S$2&amp;if($K62="S1","a",if($K62="S2","b","")),Students!$A:$A,AS$2)+countifs(Students!$F:$F,$S62,Students!$G:$G,$S$2&amp;if($K62="S1","a",if($K62="S2","b","")),Students!$A:$A,AS$2)+countifs(Students!$H:$H,$S62,Students!$I:$I,$S$2&amp;if($K62="S1","a",if($K62="S2","b","")),Students!$A:$A,AS$2)+countifs(Students!$J:$J,$S62,Students!$K:$K,$S$2&amp;if($K62="S1","a",if($K62="S2","b","")),Students!$A:$A,AS$2)+countifs(Students!$L:$L,$S62,Students!$M:$M,$S$2&amp;if($K62="S1","a",if($K62="S2","b","")),Students!$A:$A,AS$2)+countifs(Students!$N:$N,$S62,Students!$O:$O,$S$2&amp;if($K62="S1","a",if($K62="S2","b","")),Students!$A:$A,AS$2)+countifs(Students!$P:$P,$S62,Students!$Q:$Q,$S$2&amp;if($K62="S1","a",if($K62="S2","b","")),Students!$A:$A,AS$2)+countifs(Students!$R:$R,$S62,Students!$S:$S,$S$2&amp;if($K62="S1","a",if($K62="S2","b","")),Students!$A:$A,AS$2)+countifs(Students!$T:$T,$S62,Students!$U:$U,$S$2&amp;if($K62="S1","a",if($K62="S2","b","")),Students!$A:$A,AS$2)+countifs(Students!$V:$V,$S62,Students!$W:$W,$S$2&amp;if($K62="S1","a",if($K62="S2","b","")),Students!$A:$A,AS$2)+
countifs(Students!$D:$D,$V62,Students!$E:$E,$V$2&amp;if($K62="S1","a",if($K62="S2","b","")),Students!$A:$A,AS$2)+countifs(Students!$F:$F,$V62,Students!$G:$G,$V$2&amp;if($K62="S1","a",if($K62="S2","b","")),Students!$A:$A,AS$2)+countifs(Students!$H:$H,$V62,Students!$I:$I,$V$2&amp;if($K62="S1","a",if($K62="S2","b","")),Students!$A:$A,AS$2)+countifs(Students!$J:$J,$V62,Students!$K:$K,$V$2&amp;if($K62="S1","a",if($K62="S2","b","")),Students!$A:$A,AS$2)+countifs(Students!$L:$L,$V62,Students!$M:$M,$V$2&amp;if($K62="S1","a",if($K62="S2","b","")),Students!$A:$A,AS$2)+countifs(Students!$N:$N,$V62,Students!$O:$O,$V$2&amp;if($K62="S1","a",if($K62="S2","b","")),Students!$A:$A,AS$2)+countifs(Students!$P:$P,$V62,Students!$Q:$Q,$V$2&amp;if($K62="S1","a",if($K62="S2","b","")),Students!$A:$A,AS$2)+countifs(Students!$R:$R,$V62,Students!$S:$S,$V$2&amp;if($K62="S1","a",if($K62="S2","b","")),Students!$A:$A,AS$2)+countifs(Students!$T:$T,$V62,Students!$U:$U,$V$2&amp;if($K62="S1","a",if($K62="S2","b","")),Students!$A:$A,AS$2)+countifs(Students!$V:$V,$V62,Students!$W:$W,$V$2&amp;if($K62="S1","a",if($K62="S2","b","")),Students!$A:$A,AS$2)+
countifs(Students!$D:$D,$Y62,Students!$E:$E,$Y$2&amp;if($K62="S1","a",if($K62="S2","b","")),Students!$A:$A,AS$2)+countifs(Students!$F:$F,$Y62,Students!$G:$G,$Y$2&amp;if($K62="S1","a",if($K62="S2","b","")),Students!$A:$A,AS$2)+countifs(Students!$H:$H,$Y62,Students!$I:$I,$Y$2&amp;if($K62="S1","a",if($K62="S2","b","")),Students!$A:$A,AS$2)+countifs(Students!$J:$J,$Y62,Students!$K:$K,$Y$2&amp;if($K62="S1","a",if($K62="S2","b","")),Students!$A:$A,AS$2)+countifs(Students!$L:$L,$Y62,Students!$M:$M,$Y$2&amp;if($K62="S1","a",if($K62="S2","b","")),Students!$A:$A,AS$2)+countifs(Students!$N:$N,$Y62,Students!$O:$O,$Y$2&amp;if($K62="S1","a",if($K62="S2","b","")),Students!$A:$A,AS$2)+countifs(Students!$P:$P,$Y62,Students!$Q:$Q,$Y$2&amp;if($K62="S1","a",if($K62="S2","b","")),Students!$A:$A,AS$2)+countifs(Students!$R:$R,$Y62,Students!$S:$S,$Y$2&amp;if($K62="S1","a",if($K62="S2","b","")),Students!$A:$A,AS$2)+countifs(Students!$T:$T,$Y62,Students!$U:$U,$Y$2&amp;if($K62="S1","a",if($K62="S2","b","")),Students!$A:$A,AS$2)+countifs(Students!$V:$V,$Y62,Students!$W:$W,$Y$2&amp;if($K62="S1","a",if($K62="S2","b","")),Students!$A:$A,AS$2)+
countifs(Students!$D:$D,$AB62,Students!$E:$E,$AB$2&amp;if($K62="S1","a",if($K62="S2","b","")),Students!$A:$A,AS$2)+countifs(Students!$F:$F,$AB62,Students!$G:$G,$AB$2&amp;if($K62="S1","a",if($K62="S2","b","")),Students!$A:$A,AS$2)+countifs(Students!$H:$H,$AB62,Students!$I:$I,$AB$2&amp;if($K62="S1","a",if($K62="S2","b","")),Students!$A:$A,AS$2)+countifs(Students!$J:$J,$AB62,Students!$K:$K,$AB$2&amp;if($K62="S1","a",if($K62="S2","b","")),Students!$A:$A,AS$2)+countifs(Students!$L:$L,$AB62,Students!$M:$M,$AB$2&amp;if($K62="S1","a",if($K62="S2","b","")),Students!$A:$A,AS$2)+countifs(Students!$N:$N,$AB62,Students!$O:$O,$AB$2&amp;if($K62="S1","a",if($K62="S2","b","")),Students!$A:$A,AS$2)+countifs(Students!$P:$P,$AB62,Students!$Q:$Q,$AB$2&amp;if($K62="S1","a",if($K62="S2","b","")),Students!$A:$A,AS$2)+countifs(Students!$R:$R,$AB62,Students!$S:$S,$AB$2&amp;if($K62="S1","a",if($K62="S2","b","")),Students!$A:$A,AS$2)+countifs(Students!$T:$T,$AB62,Students!$U:$U,$AB$2&amp;if($K62="S1","a",if($K62="S2","b","")),Students!$A:$A,AS$2)+countifs(Students!$V:$V,$AB62,Students!$W:$W,$AB$2&amp;if($K62="S1","a",if($K62="S2","b","")),Students!$A:$A,AS$2)+
countifs(Students!$D:$D,$AE62,Students!$E:$E,$AE$2&amp;if($K62="S1","a",if($K62="S2","b","")),Students!$A:$A,AS$2)+countifs(Students!$F:$F,$AE62,Students!$G:$G,$AE$2&amp;if($K62="S1","a",if($K62="S2","b","")),Students!$A:$A,AS$2)+countifs(Students!$H:$H,$AE62,Students!$I:$I,$AE$2&amp;if($K62="S1","a",if($K62="S2","b","")),Students!$A:$A,AS$2)+countifs(Students!$J:$J,$AE62,Students!$K:$K,$AE$2&amp;if($K62="S1","a",if($K62="S2","b","")),Students!$A:$A,AS$2)+countifs(Students!$L:$L,$AE62,Students!$M:$M,$AE$2&amp;if($K62="S1","a",if($K62="S2","b","")),Students!$A:$A,AS$2)+countifs(Students!$N:$N,$AE62,Students!$O:$O,$AE$2&amp;if($K62="S1","a",if($K62="S2","b","")),Students!$A:$A,AS$2)+countifs(Students!$P:$P,$AE62,Students!$Q:$Q,$AE$2&amp;if($K62="S1","a",if($K62="S2","b","")),Students!$A:$A,AS$2)+countifs(Students!$R:$R,$AE62,Students!$S:$S,$AE$2&amp;if($K62="S1","a",if($K62="S2","b","")),Students!$A:$A,AS$2)+countifs(Students!$T:$T,$AE62,Students!$U:$U,$AE$2&amp;if($K62="S1","a",if($K62="S2","b","")),Students!$A:$A,AS$2)+countifs(Students!$V:$V,$AE62,Students!$W:$W,$AE$2&amp;if($K62="S1","a",if($K62="S2","b","")),Students!$A:$A,AS$2)+
countifs(Students!$D:$D,$AH62,Students!$E:$E,$AH$2&amp;if($K62="S1","a",if($K62="S2","b","")),Students!$A:$A,AS$2)+countifs(Students!$F:$F,$AH62,Students!$G:$G,$AH$2&amp;if($K62="S1","a",if($K62="S2","b","")),Students!$A:$A,AS$2)+countifs(Students!$H:$H,$AH62,Students!$I:$I,$AH$2&amp;if($K62="S1","a",if($K62="S2","b","")),Students!$A:$A,AS$2)+countifs(Students!$J:$J,$AH62,Students!$K:$K,$AH$2&amp;if($K62="S1","a",if($K62="S2","b","")),Students!$A:$A,AS$2)+countifs(Students!$L:$L,$AH62,Students!$M:$M,$AH$2&amp;if($K62="S1","a",if($K62="S2","b","")),Students!$A:$A,AS$2)+countifs(Students!$N:$N,$AH62,Students!$O:$O,$AH$2&amp;if($K62="S1","a",if($K62="S2","b","")),Students!$A:$A,AS$2)+countifs(Students!$P:$P,$AH62,Students!$Q:$Q,$AH$2&amp;if($K62="S1","a",if($K62="S2","b","")),Students!$A:$A,AS$2)+countifs(Students!$R:$R,$AH62,Students!$S:$S,$AH$2&amp;if($K62="S1","a",if($K62="S2","b","")),Students!$A:$A,AS$2)+countifs(Students!$T:$T,$AH62,Students!$U:$U,$AH$2&amp;if($K62="S1","a",if($K62="S2","b","")),Students!$A:$A,AS$2)+countifs(Students!$V:$V,$AH62,Students!$W:$W,$AH$2&amp;if($K62="S1","a",if($K62="S2","b","")),Students!$A:$A,AS$2)+
countifs(Students!$D:$D,$AK62,Students!$E:$E,$AK$2&amp;if($K62="S1","a",if($K62="S2","b","")),Students!$A:$A,AS$2)+countifs(Students!$F:$F,$AK62,Students!$G:$G,$AK$2&amp;if($K62="S1","a",if($K62="S2","b","")),Students!$A:$A,AS$2)+countifs(Students!$H:$H,$AK62,Students!$I:$I,$AK$2&amp;if($K62="S1","a",if($K62="S2","b","")),Students!$A:$A,AS$2)+countifs(Students!$J:$J,$AK62,Students!$K:$K,$AK$2&amp;if($K62="S1","a",if($K62="S2","b","")),Students!$A:$A,AS$2)+countifs(Students!$L:$L,$AK62,Students!$M:$M,$AK$2&amp;if($K62="S1","a",if($K62="S2","b","")),Students!$A:$A,AS$2)+countifs(Students!$N:$N,$AK62,Students!$O:$O,$AK$2&amp;if($K62="S1","a",if($K62="S2","b","")),Students!$A:$A,AS$2)+countifs(Students!$P:$P,$AK62,Students!$Q:$Q,$AK$2&amp;if($K62="S1","a",if($K62="S2","b","")),Students!$A:$A,AS$2)+countifs(Students!$R:$R,$AK62,Students!$S:$S,$AK$2&amp;if($K62="S1","a",if($K62="S2","b","")),Students!$A:$A,AS$2)+countifs(Students!$T:$T,$AK62,Students!$U:$U,$AK$2&amp;if($K62="S1","a",if($K62="S2","b","")),Students!$A:$A,AS$2)+countifs(Students!$V:$V,$AK62,Students!$W:$W,$AK$2&amp;if($K62="S1","a",if($K62="S2","b","")),Students!$A:$A,AS$2))</f>
        <v/>
      </c>
    </row>
    <row r="63">
      <c r="J63" s="106" t="s">
        <v>22</v>
      </c>
      <c r="K63" s="88"/>
      <c r="L63" s="138"/>
      <c r="M63" s="89"/>
      <c r="N63" s="106" t="s">
        <v>22</v>
      </c>
      <c r="O63" s="106"/>
      <c r="P63" s="89"/>
      <c r="Q63" s="89"/>
      <c r="R63" s="98" t="s">
        <v>22</v>
      </c>
      <c r="S63" s="89"/>
      <c r="T63" s="89"/>
      <c r="U63" s="98" t="s">
        <v>22</v>
      </c>
      <c r="V63" s="89"/>
      <c r="W63" s="89"/>
      <c r="X63" s="98" t="s">
        <v>22</v>
      </c>
      <c r="Y63" s="89"/>
      <c r="Z63" s="89"/>
      <c r="AA63" s="98" t="s">
        <v>22</v>
      </c>
      <c r="AB63" s="89"/>
      <c r="AC63" s="89"/>
      <c r="AD63" s="98" t="s">
        <v>22</v>
      </c>
      <c r="AE63" s="89"/>
      <c r="AF63" s="89"/>
      <c r="AG63" s="98" t="s">
        <v>22</v>
      </c>
      <c r="AH63" s="89"/>
      <c r="AI63" s="133"/>
      <c r="AJ63" s="98" t="s">
        <v>22</v>
      </c>
      <c r="AK63" s="89"/>
      <c r="AL63" s="133"/>
      <c r="AM63" s="98" t="s">
        <v>22</v>
      </c>
      <c r="AN63" s="99"/>
      <c r="AO63" s="52" t="str">
        <f t="shared" si="2"/>
        <v/>
      </c>
      <c r="AP63" s="98" t="str">
        <f>if($L63="","",countifs(Students!$D:$D,$P63,Students!$E:$E,$P$2&amp;if($K63="S1","a",if($K63="S2","b","")),Students!$A:$A,AP$2)+countifs(Students!$F:$F,$P63,Students!$G:$G,$P$2&amp;if($K63="S1","a",if($K63="S2","b","")),Students!$A:$A,AP$2)+countifs(Students!$H:$H,$P63,Students!$I:$I,$P$2&amp;if($K63="S1","a",if($K63="S2","b","")),Students!$A:$A,AP$2)+countifs(Students!$J:$J,$P63,Students!$K:$K,$P$2&amp;if($K63="S1","a",if($K63="S2","b","")),Students!$A:$A,AP$2)+countifs(Students!$L:$L,$P63,Students!$M:$M,$P$2&amp;if($K63="S1","a",if($K63="S2","b","")),Students!$A:$A,AP$2)+countifs(Students!$N:$N,$P63,Students!$O:$O,$P$2&amp;if($K63="S1","a",if($K63="S2","b","")),Students!$A:$A,AP$2)+countifs(Students!$P:$P,$P63,Students!$Q:$Q,$P$2&amp;if($K63="S1","a",if($K63="S2","b","")),Students!$A:$A,AP$2)+countifs(Students!$R:$R,$P63,Students!$S:$S,$P$2&amp;if($K63="S1","a",if($K63="S2","b","")),Students!$A:$A,AP$2)+countifs(Students!$T:$T,$P63,Students!$U:$U,$P$2&amp;if($K63="S1","a",if($K63="S2","b","")),Students!$A:$A,AP$2)+countifs(Students!$V:$V,$P63,Students!$W:$W,$P$2&amp;if($K63="S1","a",if($K63="S2","b","")),Students!$A:$A,AP$2)+
countifs(Students!$D:$D,$S63,Students!$E:$E,$S$2&amp;if($K63="S1","a",if($K63="S2","b","")),Students!$A:$A,AP$2)+countifs(Students!$F:$F,$S63,Students!$G:$G,$S$2&amp;if($K63="S1","a",if($K63="S2","b","")),Students!$A:$A,AP$2)+countifs(Students!$H:$H,$S63,Students!$I:$I,$S$2&amp;if($K63="S1","a",if($K63="S2","b","")),Students!$A:$A,AP$2)+countifs(Students!$J:$J,$S63,Students!$K:$K,$S$2&amp;if($K63="S1","a",if($K63="S2","b","")),Students!$A:$A,AP$2)+countifs(Students!$L:$L,$S63,Students!$M:$M,$S$2&amp;if($K63="S1","a",if($K63="S2","b","")),Students!$A:$A,AP$2)+countifs(Students!$N:$N,$S63,Students!$O:$O,$S$2&amp;if($K63="S1","a",if($K63="S2","b","")),Students!$A:$A,AP$2)+countifs(Students!$P:$P,$S63,Students!$Q:$Q,$S$2&amp;if($K63="S1","a",if($K63="S2","b","")),Students!$A:$A,AP$2)+countifs(Students!$R:$R,$S63,Students!$S:$S,$S$2&amp;if($K63="S1","a",if($K63="S2","b","")),Students!$A:$A,AP$2)+countifs(Students!$T:$T,$S63,Students!$U:$U,$S$2&amp;if($K63="S1","a",if($K63="S2","b","")),Students!$A:$A,AP$2)+countifs(Students!$V:$V,$S63,Students!$W:$W,$S$2&amp;if($K63="S1","a",if($K63="S2","b","")),Students!$A:$A,AP$2)+
countifs(Students!$D:$D,$V63,Students!$E:$E,$V$2&amp;if($K63="S1","a",if($K63="S2","b","")),Students!$A:$A,AP$2)+countifs(Students!$F:$F,$V63,Students!$G:$G,$V$2&amp;if($K63="S1","a",if($K63="S2","b","")),Students!$A:$A,AP$2)+countifs(Students!$H:$H,$V63,Students!$I:$I,$V$2&amp;if($K63="S1","a",if($K63="S2","b","")),Students!$A:$A,AP$2)+countifs(Students!$J:$J,$V63,Students!$K:$K,$V$2&amp;if($K63="S1","a",if($K63="S2","b","")),Students!$A:$A,AP$2)+countifs(Students!$L:$L,$V63,Students!$M:$M,$V$2&amp;if($K63="S1","a",if($K63="S2","b","")),Students!$A:$A,AP$2)+countifs(Students!$N:$N,$V63,Students!$O:$O,$V$2&amp;if($K63="S1","a",if($K63="S2","b","")),Students!$A:$A,AP$2)+countifs(Students!$P:$P,$V63,Students!$Q:$Q,$V$2&amp;if($K63="S1","a",if($K63="S2","b","")),Students!$A:$A,AP$2)+countifs(Students!$R:$R,$V63,Students!$S:$S,$V$2&amp;if($K63="S1","a",if($K63="S2","b","")),Students!$A:$A,AP$2)+countifs(Students!$T:$T,$V63,Students!$U:$U,$V$2&amp;if($K63="S1","a",if($K63="S2","b","")),Students!$A:$A,AP$2)+countifs(Students!$V:$V,$V63,Students!$W:$W,$V$2&amp;if($K63="S1","a",if($K63="S2","b","")),Students!$A:$A,AP$2)+
countifs(Students!$D:$D,$Y63,Students!$E:$E,$Y$2&amp;if($K63="S1","a",if($K63="S2","b","")),Students!$A:$A,AP$2)+countifs(Students!$F:$F,$Y63,Students!$G:$G,$Y$2&amp;if($K63="S1","a",if($K63="S2","b","")),Students!$A:$A,AP$2)+countifs(Students!$H:$H,$Y63,Students!$I:$I,$Y$2&amp;if($K63="S1","a",if($K63="S2","b","")),Students!$A:$A,AP$2)+countifs(Students!$J:$J,$Y63,Students!$K:$K,$Y$2&amp;if($K63="S1","a",if($K63="S2","b","")),Students!$A:$A,AP$2)+countifs(Students!$L:$L,$Y63,Students!$M:$M,$Y$2&amp;if($K63="S1","a",if($K63="S2","b","")),Students!$A:$A,AP$2)+countifs(Students!$N:$N,$Y63,Students!$O:$O,$Y$2&amp;if($K63="S1","a",if($K63="S2","b","")),Students!$A:$A,AP$2)+countifs(Students!$P:$P,$Y63,Students!$Q:$Q,$Y$2&amp;if($K63="S1","a",if($K63="S2","b","")),Students!$A:$A,AP$2)+countifs(Students!$R:$R,$Y63,Students!$S:$S,$Y$2&amp;if($K63="S1","a",if($K63="S2","b","")),Students!$A:$A,AP$2)+countifs(Students!$T:$T,$Y63,Students!$U:$U,$Y$2&amp;if($K63="S1","a",if($K63="S2","b","")),Students!$A:$A,AP$2)+countifs(Students!$V:$V,$Y63,Students!$W:$W,$Y$2&amp;if($K63="S1","a",if($K63="S2","b","")),Students!$A:$A,AP$2)+
countifs(Students!$D:$D,$AB63,Students!$E:$E,$AB$2&amp;if($K63="S1","a",if($K63="S2","b","")),Students!$A:$A,AP$2)+countifs(Students!$F:$F,$AB63,Students!$G:$G,$AB$2&amp;if($K63="S1","a",if($K63="S2","b","")),Students!$A:$A,AP$2)+countifs(Students!$H:$H,$AB63,Students!$I:$I,$AB$2&amp;if($K63="S1","a",if($K63="S2","b","")),Students!$A:$A,AP$2)+countifs(Students!$J:$J,$AB63,Students!$K:$K,$AB$2&amp;if($K63="S1","a",if($K63="S2","b","")),Students!$A:$A,AP$2)+countifs(Students!$L:$L,$AB63,Students!$M:$M,$AB$2&amp;if($K63="S1","a",if($K63="S2","b","")),Students!$A:$A,AP$2)+countifs(Students!$N:$N,$AB63,Students!$O:$O,$AB$2&amp;if($K63="S1","a",if($K63="S2","b","")),Students!$A:$A,AP$2)+countifs(Students!$P:$P,$AB63,Students!$Q:$Q,$AB$2&amp;if($K63="S1","a",if($K63="S2","b","")),Students!$A:$A,AP$2)+countifs(Students!$R:$R,$AB63,Students!$S:$S,$AB$2&amp;if($K63="S1","a",if($K63="S2","b","")),Students!$A:$A,AP$2)+countifs(Students!$T:$T,$AB63,Students!$U:$U,$AB$2&amp;if($K63="S1","a",if($K63="S2","b","")),Students!$A:$A,AP$2)+countifs(Students!$V:$V,$AB63,Students!$W:$W,$AB$2&amp;if($K63="S1","a",if($K63="S2","b","")),Students!$A:$A,AP$2)+
countifs(Students!$D:$D,$AE63,Students!$E:$E,$AE$2&amp;if($K63="S1","a",if($K63="S2","b","")),Students!$A:$A,AP$2)+countifs(Students!$F:$F,$AE63,Students!$G:$G,$AE$2&amp;if($K63="S1","a",if($K63="S2","b","")),Students!$A:$A,AP$2)+countifs(Students!$H:$H,$AE63,Students!$I:$I,$AE$2&amp;if($K63="S1","a",if($K63="S2","b","")),Students!$A:$A,AP$2)+countifs(Students!$J:$J,$AE63,Students!$K:$K,$AE$2&amp;if($K63="S1","a",if($K63="S2","b","")),Students!$A:$A,AP$2)+countifs(Students!$L:$L,$AE63,Students!$M:$M,$AE$2&amp;if($K63="S1","a",if($K63="S2","b","")),Students!$A:$A,AP$2)+countifs(Students!$N:$N,$AE63,Students!$O:$O,$AE$2&amp;if($K63="S1","a",if($K63="S2","b","")),Students!$A:$A,AP$2)+countifs(Students!$P:$P,$AE63,Students!$Q:$Q,$AE$2&amp;if($K63="S1","a",if($K63="S2","b","")),Students!$A:$A,AP$2)+countifs(Students!$R:$R,$AE63,Students!$S:$S,$AE$2&amp;if($K63="S1","a",if($K63="S2","b","")),Students!$A:$A,AP$2)+countifs(Students!$T:$T,$AE63,Students!$U:$U,$AE$2&amp;if($K63="S1","a",if($K63="S2","b","")),Students!$A:$A,AP$2)+countifs(Students!$V:$V,$AE63,Students!$W:$W,$AE$2&amp;if($K63="S1","a",if($K63="S2","b","")),Students!$A:$A,AP$2)+
countifs(Students!$D:$D,$AH63,Students!$E:$E,$AH$2&amp;if($K63="S1","a",if($K63="S2","b","")),Students!$A:$A,AP$2)+countifs(Students!$F:$F,$AH63,Students!$G:$G,$AH$2&amp;if($K63="S1","a",if($K63="S2","b","")),Students!$A:$A,AP$2)+countifs(Students!$H:$H,$AH63,Students!$I:$I,$AH$2&amp;if($K63="S1","a",if($K63="S2","b","")),Students!$A:$A,AP$2)+countifs(Students!$J:$J,$AH63,Students!$K:$K,$AH$2&amp;if($K63="S1","a",if($K63="S2","b","")),Students!$A:$A,AP$2)+countifs(Students!$L:$L,$AH63,Students!$M:$M,$AH$2&amp;if($K63="S1","a",if($K63="S2","b","")),Students!$A:$A,AP$2)+countifs(Students!$N:$N,$AH63,Students!$O:$O,$AH$2&amp;if($K63="S1","a",if($K63="S2","b","")),Students!$A:$A,AP$2)+countifs(Students!$P:$P,$AH63,Students!$Q:$Q,$AH$2&amp;if($K63="S1","a",if($K63="S2","b","")),Students!$A:$A,AP$2)+countifs(Students!$R:$R,$AH63,Students!$S:$S,$AH$2&amp;if($K63="S1","a",if($K63="S2","b","")),Students!$A:$A,AP$2)+countifs(Students!$T:$T,$AH63,Students!$U:$U,$AH$2&amp;if($K63="S1","a",if($K63="S2","b","")),Students!$A:$A,AP$2)+countifs(Students!$V:$V,$AH63,Students!$W:$W,$AH$2&amp;if($K63="S1","a",if($K63="S2","b","")),Students!$A:$A,AP$2)+
countifs(Students!$D:$D,$AK63,Students!$E:$E,$AK$2&amp;if($K63="S1","a",if($K63="S2","b","")),Students!$A:$A,AP$2)+countifs(Students!$F:$F,$AK63,Students!$G:$G,$AK$2&amp;if($K63="S1","a",if($K63="S2","b","")),Students!$A:$A,AP$2)+countifs(Students!$H:$H,$AK63,Students!$I:$I,$AK$2&amp;if($K63="S1","a",if($K63="S2","b","")),Students!$A:$A,AP$2)+countifs(Students!$J:$J,$AK63,Students!$K:$K,$AK$2&amp;if($K63="S1","a",if($K63="S2","b","")),Students!$A:$A,AP$2)+countifs(Students!$L:$L,$AK63,Students!$M:$M,$AK$2&amp;if($K63="S1","a",if($K63="S2","b","")),Students!$A:$A,AP$2)+countifs(Students!$N:$N,$AK63,Students!$O:$O,$AK$2&amp;if($K63="S1","a",if($K63="S2","b","")),Students!$A:$A,AP$2)+countifs(Students!$P:$P,$AK63,Students!$Q:$Q,$AK$2&amp;if($K63="S1","a",if($K63="S2","b","")),Students!$A:$A,AP$2)+countifs(Students!$R:$R,$AK63,Students!$S:$S,$AK$2&amp;if($K63="S1","a",if($K63="S2","b","")),Students!$A:$A,AP$2)+countifs(Students!$T:$T,$AK63,Students!$U:$U,$AK$2&amp;if($K63="S1","a",if($K63="S2","b","")),Students!$A:$A,AP$2)+countifs(Students!$V:$V,$AK63,Students!$W:$W,$AK$2&amp;if($K63="S1","a",if($K63="S2","b","")),Students!$A:$A,AP$2))</f>
        <v/>
      </c>
      <c r="AQ63" s="98" t="str">
        <f>if($L63="","",countifs(Students!$D:$D,$P63,Students!$E:$E,$P$2&amp;if($K63="S1","a",if($K63="S2","b","")),Students!$A:$A,AQ$2)+countifs(Students!$F:$F,$P63,Students!$G:$G,$P$2&amp;if($K63="S1","a",if($K63="S2","b","")),Students!$A:$A,AQ$2)+countifs(Students!$H:$H,$P63,Students!$I:$I,$P$2&amp;if($K63="S1","a",if($K63="S2","b","")),Students!$A:$A,AQ$2)+countifs(Students!$J:$J,$P63,Students!$K:$K,$P$2&amp;if($K63="S1","a",if($K63="S2","b","")),Students!$A:$A,AQ$2)+countifs(Students!$L:$L,$P63,Students!$M:$M,$P$2&amp;if($K63="S1","a",if($K63="S2","b","")),Students!$A:$A,AQ$2)+countifs(Students!$N:$N,$P63,Students!$O:$O,$P$2&amp;if($K63="S1","a",if($K63="S2","b","")),Students!$A:$A,AQ$2)+countifs(Students!$P:$P,$P63,Students!$Q:$Q,$P$2&amp;if($K63="S1","a",if($K63="S2","b","")),Students!$A:$A,AQ$2)+countifs(Students!$R:$R,$P63,Students!$S:$S,$P$2&amp;if($K63="S1","a",if($K63="S2","b","")),Students!$A:$A,AQ$2)+countifs(Students!$T:$T,$P63,Students!$U:$U,$P$2&amp;if($K63="S1","a",if($K63="S2","b","")),Students!$A:$A,AQ$2)+countifs(Students!$V:$V,$P63,Students!$W:$W,$P$2&amp;if($K63="S1","a",if($K63="S2","b","")),Students!$A:$A,AQ$2)+
countifs(Students!$D:$D,$S63,Students!$E:$E,$S$2&amp;if($K63="S1","a",if($K63="S2","b","")),Students!$A:$A,AQ$2)+countifs(Students!$F:$F,$S63,Students!$G:$G,$S$2&amp;if($K63="S1","a",if($K63="S2","b","")),Students!$A:$A,AQ$2)+countifs(Students!$H:$H,$S63,Students!$I:$I,$S$2&amp;if($K63="S1","a",if($K63="S2","b","")),Students!$A:$A,AQ$2)+countifs(Students!$J:$J,$S63,Students!$K:$K,$S$2&amp;if($K63="S1","a",if($K63="S2","b","")),Students!$A:$A,AQ$2)+countifs(Students!$L:$L,$S63,Students!$M:$M,$S$2&amp;if($K63="S1","a",if($K63="S2","b","")),Students!$A:$A,AQ$2)+countifs(Students!$N:$N,$S63,Students!$O:$O,$S$2&amp;if($K63="S1","a",if($K63="S2","b","")),Students!$A:$A,AQ$2)+countifs(Students!$P:$P,$S63,Students!$Q:$Q,$S$2&amp;if($K63="S1","a",if($K63="S2","b","")),Students!$A:$A,AQ$2)+countifs(Students!$R:$R,$S63,Students!$S:$S,$S$2&amp;if($K63="S1","a",if($K63="S2","b","")),Students!$A:$A,AQ$2)+countifs(Students!$T:$T,$S63,Students!$U:$U,$S$2&amp;if($K63="S1","a",if($K63="S2","b","")),Students!$A:$A,AQ$2)+countifs(Students!$V:$V,$S63,Students!$W:$W,$S$2&amp;if($K63="S1","a",if($K63="S2","b","")),Students!$A:$A,AQ$2)+
countifs(Students!$D:$D,$V63,Students!$E:$E,$V$2&amp;if($K63="S1","a",if($K63="S2","b","")),Students!$A:$A,AQ$2)+countifs(Students!$F:$F,$V63,Students!$G:$G,$V$2&amp;if($K63="S1","a",if($K63="S2","b","")),Students!$A:$A,AQ$2)+countifs(Students!$H:$H,$V63,Students!$I:$I,$V$2&amp;if($K63="S1","a",if($K63="S2","b","")),Students!$A:$A,AQ$2)+countifs(Students!$J:$J,$V63,Students!$K:$K,$V$2&amp;if($K63="S1","a",if($K63="S2","b","")),Students!$A:$A,AQ$2)+countifs(Students!$L:$L,$V63,Students!$M:$M,$V$2&amp;if($K63="S1","a",if($K63="S2","b","")),Students!$A:$A,AQ$2)+countifs(Students!$N:$N,$V63,Students!$O:$O,$V$2&amp;if($K63="S1","a",if($K63="S2","b","")),Students!$A:$A,AQ$2)+countifs(Students!$P:$P,$V63,Students!$Q:$Q,$V$2&amp;if($K63="S1","a",if($K63="S2","b","")),Students!$A:$A,AQ$2)+countifs(Students!$R:$R,$V63,Students!$S:$S,$V$2&amp;if($K63="S1","a",if($K63="S2","b","")),Students!$A:$A,AQ$2)+countifs(Students!$T:$T,$V63,Students!$U:$U,$V$2&amp;if($K63="S1","a",if($K63="S2","b","")),Students!$A:$A,AQ$2)+countifs(Students!$V:$V,$V63,Students!$W:$W,$V$2&amp;if($K63="S1","a",if($K63="S2","b","")),Students!$A:$A,AQ$2)+
countifs(Students!$D:$D,$Y63,Students!$E:$E,$Y$2&amp;if($K63="S1","a",if($K63="S2","b","")),Students!$A:$A,AQ$2)+countifs(Students!$F:$F,$Y63,Students!$G:$G,$Y$2&amp;if($K63="S1","a",if($K63="S2","b","")),Students!$A:$A,AQ$2)+countifs(Students!$H:$H,$Y63,Students!$I:$I,$Y$2&amp;if($K63="S1","a",if($K63="S2","b","")),Students!$A:$A,AQ$2)+countifs(Students!$J:$J,$Y63,Students!$K:$K,$Y$2&amp;if($K63="S1","a",if($K63="S2","b","")),Students!$A:$A,AQ$2)+countifs(Students!$L:$L,$Y63,Students!$M:$M,$Y$2&amp;if($K63="S1","a",if($K63="S2","b","")),Students!$A:$A,AQ$2)+countifs(Students!$N:$N,$Y63,Students!$O:$O,$Y$2&amp;if($K63="S1","a",if($K63="S2","b","")),Students!$A:$A,AQ$2)+countifs(Students!$P:$P,$Y63,Students!$Q:$Q,$Y$2&amp;if($K63="S1","a",if($K63="S2","b","")),Students!$A:$A,AQ$2)+countifs(Students!$R:$R,$Y63,Students!$S:$S,$Y$2&amp;if($K63="S1","a",if($K63="S2","b","")),Students!$A:$A,AQ$2)+countifs(Students!$T:$T,$Y63,Students!$U:$U,$Y$2&amp;if($K63="S1","a",if($K63="S2","b","")),Students!$A:$A,AQ$2)+countifs(Students!$V:$V,$Y63,Students!$W:$W,$Y$2&amp;if($K63="S1","a",if($K63="S2","b","")),Students!$A:$A,AQ$2)+
countifs(Students!$D:$D,$AB63,Students!$E:$E,$AB$2&amp;if($K63="S1","a",if($K63="S2","b","")),Students!$A:$A,AQ$2)+countifs(Students!$F:$F,$AB63,Students!$G:$G,$AB$2&amp;if($K63="S1","a",if($K63="S2","b","")),Students!$A:$A,AQ$2)+countifs(Students!$H:$H,$AB63,Students!$I:$I,$AB$2&amp;if($K63="S1","a",if($K63="S2","b","")),Students!$A:$A,AQ$2)+countifs(Students!$J:$J,$AB63,Students!$K:$K,$AB$2&amp;if($K63="S1","a",if($K63="S2","b","")),Students!$A:$A,AQ$2)+countifs(Students!$L:$L,$AB63,Students!$M:$M,$AB$2&amp;if($K63="S1","a",if($K63="S2","b","")),Students!$A:$A,AQ$2)+countifs(Students!$N:$N,$AB63,Students!$O:$O,$AB$2&amp;if($K63="S1","a",if($K63="S2","b","")),Students!$A:$A,AQ$2)+countifs(Students!$P:$P,$AB63,Students!$Q:$Q,$AB$2&amp;if($K63="S1","a",if($K63="S2","b","")),Students!$A:$A,AQ$2)+countifs(Students!$R:$R,$AB63,Students!$S:$S,$AB$2&amp;if($K63="S1","a",if($K63="S2","b","")),Students!$A:$A,AQ$2)+countifs(Students!$T:$T,$AB63,Students!$U:$U,$AB$2&amp;if($K63="S1","a",if($K63="S2","b","")),Students!$A:$A,AQ$2)+countifs(Students!$V:$V,$AB63,Students!$W:$W,$AB$2&amp;if($K63="S1","a",if($K63="S2","b","")),Students!$A:$A,AQ$2)+
countifs(Students!$D:$D,$AE63,Students!$E:$E,$AE$2&amp;if($K63="S1","a",if($K63="S2","b","")),Students!$A:$A,AQ$2)+countifs(Students!$F:$F,$AE63,Students!$G:$G,$AE$2&amp;if($K63="S1","a",if($K63="S2","b","")),Students!$A:$A,AQ$2)+countifs(Students!$H:$H,$AE63,Students!$I:$I,$AE$2&amp;if($K63="S1","a",if($K63="S2","b","")),Students!$A:$A,AQ$2)+countifs(Students!$J:$J,$AE63,Students!$K:$K,$AE$2&amp;if($K63="S1","a",if($K63="S2","b","")),Students!$A:$A,AQ$2)+countifs(Students!$L:$L,$AE63,Students!$M:$M,$AE$2&amp;if($K63="S1","a",if($K63="S2","b","")),Students!$A:$A,AQ$2)+countifs(Students!$N:$N,$AE63,Students!$O:$O,$AE$2&amp;if($K63="S1","a",if($K63="S2","b","")),Students!$A:$A,AQ$2)+countifs(Students!$P:$P,$AE63,Students!$Q:$Q,$AE$2&amp;if($K63="S1","a",if($K63="S2","b","")),Students!$A:$A,AQ$2)+countifs(Students!$R:$R,$AE63,Students!$S:$S,$AE$2&amp;if($K63="S1","a",if($K63="S2","b","")),Students!$A:$A,AQ$2)+countifs(Students!$T:$T,$AE63,Students!$U:$U,$AE$2&amp;if($K63="S1","a",if($K63="S2","b","")),Students!$A:$A,AQ$2)+countifs(Students!$V:$V,$AE63,Students!$W:$W,$AE$2&amp;if($K63="S1","a",if($K63="S2","b","")),Students!$A:$A,AQ$2)+
countifs(Students!$D:$D,$AH63,Students!$E:$E,$AH$2&amp;if($K63="S1","a",if($K63="S2","b","")),Students!$A:$A,AQ$2)+countifs(Students!$F:$F,$AH63,Students!$G:$G,$AH$2&amp;if($K63="S1","a",if($K63="S2","b","")),Students!$A:$A,AQ$2)+countifs(Students!$H:$H,$AH63,Students!$I:$I,$AH$2&amp;if($K63="S1","a",if($K63="S2","b","")),Students!$A:$A,AQ$2)+countifs(Students!$J:$J,$AH63,Students!$K:$K,$AH$2&amp;if($K63="S1","a",if($K63="S2","b","")),Students!$A:$A,AQ$2)+countifs(Students!$L:$L,$AH63,Students!$M:$M,$AH$2&amp;if($K63="S1","a",if($K63="S2","b","")),Students!$A:$A,AQ$2)+countifs(Students!$N:$N,$AH63,Students!$O:$O,$AH$2&amp;if($K63="S1","a",if($K63="S2","b","")),Students!$A:$A,AQ$2)+countifs(Students!$P:$P,$AH63,Students!$Q:$Q,$AH$2&amp;if($K63="S1","a",if($K63="S2","b","")),Students!$A:$A,AQ$2)+countifs(Students!$R:$R,$AH63,Students!$S:$S,$AH$2&amp;if($K63="S1","a",if($K63="S2","b","")),Students!$A:$A,AQ$2)+countifs(Students!$T:$T,$AH63,Students!$U:$U,$AH$2&amp;if($K63="S1","a",if($K63="S2","b","")),Students!$A:$A,AQ$2)+countifs(Students!$V:$V,$AH63,Students!$W:$W,$AH$2&amp;if($K63="S1","a",if($K63="S2","b","")),Students!$A:$A,AQ$2)+
countifs(Students!$D:$D,$AK63,Students!$E:$E,$AK$2&amp;if($K63="S1","a",if($K63="S2","b","")),Students!$A:$A,AQ$2)+countifs(Students!$F:$F,$AK63,Students!$G:$G,$AK$2&amp;if($K63="S1","a",if($K63="S2","b","")),Students!$A:$A,AQ$2)+countifs(Students!$H:$H,$AK63,Students!$I:$I,$AK$2&amp;if($K63="S1","a",if($K63="S2","b","")),Students!$A:$A,AQ$2)+countifs(Students!$J:$J,$AK63,Students!$K:$K,$AK$2&amp;if($K63="S1","a",if($K63="S2","b","")),Students!$A:$A,AQ$2)+countifs(Students!$L:$L,$AK63,Students!$M:$M,$AK$2&amp;if($K63="S1","a",if($K63="S2","b","")),Students!$A:$A,AQ$2)+countifs(Students!$N:$N,$AK63,Students!$O:$O,$AK$2&amp;if($K63="S1","a",if($K63="S2","b","")),Students!$A:$A,AQ$2)+countifs(Students!$P:$P,$AK63,Students!$Q:$Q,$AK$2&amp;if($K63="S1","a",if($K63="S2","b","")),Students!$A:$A,AQ$2)+countifs(Students!$R:$R,$AK63,Students!$S:$S,$AK$2&amp;if($K63="S1","a",if($K63="S2","b","")),Students!$A:$A,AQ$2)+countifs(Students!$T:$T,$AK63,Students!$U:$U,$AK$2&amp;if($K63="S1","a",if($K63="S2","b","")),Students!$A:$A,AQ$2)+countifs(Students!$V:$V,$AK63,Students!$W:$W,$AK$2&amp;if($K63="S1","a",if($K63="S2","b","")),Students!$A:$A,AQ$2))</f>
        <v/>
      </c>
      <c r="AR63" s="98" t="str">
        <f>if($L63="","",countifs(Students!$D:$D,$P63,Students!$E:$E,$P$2&amp;if($K63="S1","a",if($K63="S2","b","")),Students!$A:$A,AR$2)+countifs(Students!$F:$F,$P63,Students!$G:$G,$P$2&amp;if($K63="S1","a",if($K63="S2","b","")),Students!$A:$A,AR$2)+countifs(Students!$H:$H,$P63,Students!$I:$I,$P$2&amp;if($K63="S1","a",if($K63="S2","b","")),Students!$A:$A,AR$2)+countifs(Students!$J:$J,$P63,Students!$K:$K,$P$2&amp;if($K63="S1","a",if($K63="S2","b","")),Students!$A:$A,AR$2)+countifs(Students!$L:$L,$P63,Students!$M:$M,$P$2&amp;if($K63="S1","a",if($K63="S2","b","")),Students!$A:$A,AR$2)+countifs(Students!$N:$N,$P63,Students!$O:$O,$P$2&amp;if($K63="S1","a",if($K63="S2","b","")),Students!$A:$A,AR$2)+countifs(Students!$P:$P,$P63,Students!$Q:$Q,$P$2&amp;if($K63="S1","a",if($K63="S2","b","")),Students!$A:$A,AR$2)+countifs(Students!$R:$R,$P63,Students!$S:$S,$P$2&amp;if($K63="S1","a",if($K63="S2","b","")),Students!$A:$A,AR$2)+countifs(Students!$T:$T,$P63,Students!$U:$U,$P$2&amp;if($K63="S1","a",if($K63="S2","b","")),Students!$A:$A,AR$2)+countifs(Students!$V:$V,$P63,Students!$W:$W,$P$2&amp;if($K63="S1","a",if($K63="S2","b","")),Students!$A:$A,AR$2)+
countifs(Students!$D:$D,$S63,Students!$E:$E,$S$2&amp;if($K63="S1","a",if($K63="S2","b","")),Students!$A:$A,AR$2)+countifs(Students!$F:$F,$S63,Students!$G:$G,$S$2&amp;if($K63="S1","a",if($K63="S2","b","")),Students!$A:$A,AR$2)+countifs(Students!$H:$H,$S63,Students!$I:$I,$S$2&amp;if($K63="S1","a",if($K63="S2","b","")),Students!$A:$A,AR$2)+countifs(Students!$J:$J,$S63,Students!$K:$K,$S$2&amp;if($K63="S1","a",if($K63="S2","b","")),Students!$A:$A,AR$2)+countifs(Students!$L:$L,$S63,Students!$M:$M,$S$2&amp;if($K63="S1","a",if($K63="S2","b","")),Students!$A:$A,AR$2)+countifs(Students!$N:$N,$S63,Students!$O:$O,$S$2&amp;if($K63="S1","a",if($K63="S2","b","")),Students!$A:$A,AR$2)+countifs(Students!$P:$P,$S63,Students!$Q:$Q,$S$2&amp;if($K63="S1","a",if($K63="S2","b","")),Students!$A:$A,AR$2)+countifs(Students!$R:$R,$S63,Students!$S:$S,$S$2&amp;if($K63="S1","a",if($K63="S2","b","")),Students!$A:$A,AR$2)+countifs(Students!$T:$T,$S63,Students!$U:$U,$S$2&amp;if($K63="S1","a",if($K63="S2","b","")),Students!$A:$A,AR$2)+countifs(Students!$V:$V,$S63,Students!$W:$W,$S$2&amp;if($K63="S1","a",if($K63="S2","b","")),Students!$A:$A,AR$2)+
countifs(Students!$D:$D,$V63,Students!$E:$E,$V$2&amp;if($K63="S1","a",if($K63="S2","b","")),Students!$A:$A,AR$2)+countifs(Students!$F:$F,$V63,Students!$G:$G,$V$2&amp;if($K63="S1","a",if($K63="S2","b","")),Students!$A:$A,AR$2)+countifs(Students!$H:$H,$V63,Students!$I:$I,$V$2&amp;if($K63="S1","a",if($K63="S2","b","")),Students!$A:$A,AR$2)+countifs(Students!$J:$J,$V63,Students!$K:$K,$V$2&amp;if($K63="S1","a",if($K63="S2","b","")),Students!$A:$A,AR$2)+countifs(Students!$L:$L,$V63,Students!$M:$M,$V$2&amp;if($K63="S1","a",if($K63="S2","b","")),Students!$A:$A,AR$2)+countifs(Students!$N:$N,$V63,Students!$O:$O,$V$2&amp;if($K63="S1","a",if($K63="S2","b","")),Students!$A:$A,AR$2)+countifs(Students!$P:$P,$V63,Students!$Q:$Q,$V$2&amp;if($K63="S1","a",if($K63="S2","b","")),Students!$A:$A,AR$2)+countifs(Students!$R:$R,$V63,Students!$S:$S,$V$2&amp;if($K63="S1","a",if($K63="S2","b","")),Students!$A:$A,AR$2)+countifs(Students!$T:$T,$V63,Students!$U:$U,$V$2&amp;if($K63="S1","a",if($K63="S2","b","")),Students!$A:$A,AR$2)+countifs(Students!$V:$V,$V63,Students!$W:$W,$V$2&amp;if($K63="S1","a",if($K63="S2","b","")),Students!$A:$A,AR$2)+
countifs(Students!$D:$D,$Y63,Students!$E:$E,$Y$2&amp;if($K63="S1","a",if($K63="S2","b","")),Students!$A:$A,AR$2)+countifs(Students!$F:$F,$Y63,Students!$G:$G,$Y$2&amp;if($K63="S1","a",if($K63="S2","b","")),Students!$A:$A,AR$2)+countifs(Students!$H:$H,$Y63,Students!$I:$I,$Y$2&amp;if($K63="S1","a",if($K63="S2","b","")),Students!$A:$A,AR$2)+countifs(Students!$J:$J,$Y63,Students!$K:$K,$Y$2&amp;if($K63="S1","a",if($K63="S2","b","")),Students!$A:$A,AR$2)+countifs(Students!$L:$L,$Y63,Students!$M:$M,$Y$2&amp;if($K63="S1","a",if($K63="S2","b","")),Students!$A:$A,AR$2)+countifs(Students!$N:$N,$Y63,Students!$O:$O,$Y$2&amp;if($K63="S1","a",if($K63="S2","b","")),Students!$A:$A,AR$2)+countifs(Students!$P:$P,$Y63,Students!$Q:$Q,$Y$2&amp;if($K63="S1","a",if($K63="S2","b","")),Students!$A:$A,AR$2)+countifs(Students!$R:$R,$Y63,Students!$S:$S,$Y$2&amp;if($K63="S1","a",if($K63="S2","b","")),Students!$A:$A,AR$2)+countifs(Students!$T:$T,$Y63,Students!$U:$U,$Y$2&amp;if($K63="S1","a",if($K63="S2","b","")),Students!$A:$A,AR$2)+countifs(Students!$V:$V,$Y63,Students!$W:$W,$Y$2&amp;if($K63="S1","a",if($K63="S2","b","")),Students!$A:$A,AR$2)+
countifs(Students!$D:$D,$AB63,Students!$E:$E,$AB$2&amp;if($K63="S1","a",if($K63="S2","b","")),Students!$A:$A,AR$2)+countifs(Students!$F:$F,$AB63,Students!$G:$G,$AB$2&amp;if($K63="S1","a",if($K63="S2","b","")),Students!$A:$A,AR$2)+countifs(Students!$H:$H,$AB63,Students!$I:$I,$AB$2&amp;if($K63="S1","a",if($K63="S2","b","")),Students!$A:$A,AR$2)+countifs(Students!$J:$J,$AB63,Students!$K:$K,$AB$2&amp;if($K63="S1","a",if($K63="S2","b","")),Students!$A:$A,AR$2)+countifs(Students!$L:$L,$AB63,Students!$M:$M,$AB$2&amp;if($K63="S1","a",if($K63="S2","b","")),Students!$A:$A,AR$2)+countifs(Students!$N:$N,$AB63,Students!$O:$O,$AB$2&amp;if($K63="S1","a",if($K63="S2","b","")),Students!$A:$A,AR$2)+countifs(Students!$P:$P,$AB63,Students!$Q:$Q,$AB$2&amp;if($K63="S1","a",if($K63="S2","b","")),Students!$A:$A,AR$2)+countifs(Students!$R:$R,$AB63,Students!$S:$S,$AB$2&amp;if($K63="S1","a",if($K63="S2","b","")),Students!$A:$A,AR$2)+countifs(Students!$T:$T,$AB63,Students!$U:$U,$AB$2&amp;if($K63="S1","a",if($K63="S2","b","")),Students!$A:$A,AR$2)+countifs(Students!$V:$V,$AB63,Students!$W:$W,$AB$2&amp;if($K63="S1","a",if($K63="S2","b","")),Students!$A:$A,AR$2)+
countifs(Students!$D:$D,$AE63,Students!$E:$E,$AE$2&amp;if($K63="S1","a",if($K63="S2","b","")),Students!$A:$A,AR$2)+countifs(Students!$F:$F,$AE63,Students!$G:$G,$AE$2&amp;if($K63="S1","a",if($K63="S2","b","")),Students!$A:$A,AR$2)+countifs(Students!$H:$H,$AE63,Students!$I:$I,$AE$2&amp;if($K63="S1","a",if($K63="S2","b","")),Students!$A:$A,AR$2)+countifs(Students!$J:$J,$AE63,Students!$K:$K,$AE$2&amp;if($K63="S1","a",if($K63="S2","b","")),Students!$A:$A,AR$2)+countifs(Students!$L:$L,$AE63,Students!$M:$M,$AE$2&amp;if($K63="S1","a",if($K63="S2","b","")),Students!$A:$A,AR$2)+countifs(Students!$N:$N,$AE63,Students!$O:$O,$AE$2&amp;if($K63="S1","a",if($K63="S2","b","")),Students!$A:$A,AR$2)+countifs(Students!$P:$P,$AE63,Students!$Q:$Q,$AE$2&amp;if($K63="S1","a",if($K63="S2","b","")),Students!$A:$A,AR$2)+countifs(Students!$R:$R,$AE63,Students!$S:$S,$AE$2&amp;if($K63="S1","a",if($K63="S2","b","")),Students!$A:$A,AR$2)+countifs(Students!$T:$T,$AE63,Students!$U:$U,$AE$2&amp;if($K63="S1","a",if($K63="S2","b","")),Students!$A:$A,AR$2)+countifs(Students!$V:$V,$AE63,Students!$W:$W,$AE$2&amp;if($K63="S1","a",if($K63="S2","b","")),Students!$A:$A,AR$2)+
countifs(Students!$D:$D,$AH63,Students!$E:$E,$AH$2&amp;if($K63="S1","a",if($K63="S2","b","")),Students!$A:$A,AR$2)+countifs(Students!$F:$F,$AH63,Students!$G:$G,$AH$2&amp;if($K63="S1","a",if($K63="S2","b","")),Students!$A:$A,AR$2)+countifs(Students!$H:$H,$AH63,Students!$I:$I,$AH$2&amp;if($K63="S1","a",if($K63="S2","b","")),Students!$A:$A,AR$2)+countifs(Students!$J:$J,$AH63,Students!$K:$K,$AH$2&amp;if($K63="S1","a",if($K63="S2","b","")),Students!$A:$A,AR$2)+countifs(Students!$L:$L,$AH63,Students!$M:$M,$AH$2&amp;if($K63="S1","a",if($K63="S2","b","")),Students!$A:$A,AR$2)+countifs(Students!$N:$N,$AH63,Students!$O:$O,$AH$2&amp;if($K63="S1","a",if($K63="S2","b","")),Students!$A:$A,AR$2)+countifs(Students!$P:$P,$AH63,Students!$Q:$Q,$AH$2&amp;if($K63="S1","a",if($K63="S2","b","")),Students!$A:$A,AR$2)+countifs(Students!$R:$R,$AH63,Students!$S:$S,$AH$2&amp;if($K63="S1","a",if($K63="S2","b","")),Students!$A:$A,AR$2)+countifs(Students!$T:$T,$AH63,Students!$U:$U,$AH$2&amp;if($K63="S1","a",if($K63="S2","b","")),Students!$A:$A,AR$2)+countifs(Students!$V:$V,$AH63,Students!$W:$W,$AH$2&amp;if($K63="S1","a",if($K63="S2","b","")),Students!$A:$A,AR$2)+
countifs(Students!$D:$D,$AK63,Students!$E:$E,$AK$2&amp;if($K63="S1","a",if($K63="S2","b","")),Students!$A:$A,AR$2)+countifs(Students!$F:$F,$AK63,Students!$G:$G,$AK$2&amp;if($K63="S1","a",if($K63="S2","b","")),Students!$A:$A,AR$2)+countifs(Students!$H:$H,$AK63,Students!$I:$I,$AK$2&amp;if($K63="S1","a",if($K63="S2","b","")),Students!$A:$A,AR$2)+countifs(Students!$J:$J,$AK63,Students!$K:$K,$AK$2&amp;if($K63="S1","a",if($K63="S2","b","")),Students!$A:$A,AR$2)+countifs(Students!$L:$L,$AK63,Students!$M:$M,$AK$2&amp;if($K63="S1","a",if($K63="S2","b","")),Students!$A:$A,AR$2)+countifs(Students!$N:$N,$AK63,Students!$O:$O,$AK$2&amp;if($K63="S1","a",if($K63="S2","b","")),Students!$A:$A,AR$2)+countifs(Students!$P:$P,$AK63,Students!$Q:$Q,$AK$2&amp;if($K63="S1","a",if($K63="S2","b","")),Students!$A:$A,AR$2)+countifs(Students!$R:$R,$AK63,Students!$S:$S,$AK$2&amp;if($K63="S1","a",if($K63="S2","b","")),Students!$A:$A,AR$2)+countifs(Students!$T:$T,$AK63,Students!$U:$U,$AK$2&amp;if($K63="S1","a",if($K63="S2","b","")),Students!$A:$A,AR$2)+countifs(Students!$V:$V,$AK63,Students!$W:$W,$AK$2&amp;if($K63="S1","a",if($K63="S2","b","")),Students!$A:$A,AR$2))</f>
        <v/>
      </c>
      <c r="AS63" s="98" t="str">
        <f>if($L63="","",countifs(Students!$D:$D,$P63,Students!$E:$E,$P$2&amp;if($K63="S1","a",if($K63="S2","b","")),Students!$A:$A,AS$2)+countifs(Students!$F:$F,$P63,Students!$G:$G,$P$2&amp;if($K63="S1","a",if($K63="S2","b","")),Students!$A:$A,AS$2)+countifs(Students!$H:$H,$P63,Students!$I:$I,$P$2&amp;if($K63="S1","a",if($K63="S2","b","")),Students!$A:$A,AS$2)+countifs(Students!$J:$J,$P63,Students!$K:$K,$P$2&amp;if($K63="S1","a",if($K63="S2","b","")),Students!$A:$A,AS$2)+countifs(Students!$L:$L,$P63,Students!$M:$M,$P$2&amp;if($K63="S1","a",if($K63="S2","b","")),Students!$A:$A,AS$2)+countifs(Students!$N:$N,$P63,Students!$O:$O,$P$2&amp;if($K63="S1","a",if($K63="S2","b","")),Students!$A:$A,AS$2)+countifs(Students!$P:$P,$P63,Students!$Q:$Q,$P$2&amp;if($K63="S1","a",if($K63="S2","b","")),Students!$A:$A,AS$2)+countifs(Students!$R:$R,$P63,Students!$S:$S,$P$2&amp;if($K63="S1","a",if($K63="S2","b","")),Students!$A:$A,AS$2)+countifs(Students!$T:$T,$P63,Students!$U:$U,$P$2&amp;if($K63="S1","a",if($K63="S2","b","")),Students!$A:$A,AS$2)+countifs(Students!$V:$V,$P63,Students!$W:$W,$P$2&amp;if($K63="S1","a",if($K63="S2","b","")),Students!$A:$A,AS$2)+
countifs(Students!$D:$D,$S63,Students!$E:$E,$S$2&amp;if($K63="S1","a",if($K63="S2","b","")),Students!$A:$A,AS$2)+countifs(Students!$F:$F,$S63,Students!$G:$G,$S$2&amp;if($K63="S1","a",if($K63="S2","b","")),Students!$A:$A,AS$2)+countifs(Students!$H:$H,$S63,Students!$I:$I,$S$2&amp;if($K63="S1","a",if($K63="S2","b","")),Students!$A:$A,AS$2)+countifs(Students!$J:$J,$S63,Students!$K:$K,$S$2&amp;if($K63="S1","a",if($K63="S2","b","")),Students!$A:$A,AS$2)+countifs(Students!$L:$L,$S63,Students!$M:$M,$S$2&amp;if($K63="S1","a",if($K63="S2","b","")),Students!$A:$A,AS$2)+countifs(Students!$N:$N,$S63,Students!$O:$O,$S$2&amp;if($K63="S1","a",if($K63="S2","b","")),Students!$A:$A,AS$2)+countifs(Students!$P:$P,$S63,Students!$Q:$Q,$S$2&amp;if($K63="S1","a",if($K63="S2","b","")),Students!$A:$A,AS$2)+countifs(Students!$R:$R,$S63,Students!$S:$S,$S$2&amp;if($K63="S1","a",if($K63="S2","b","")),Students!$A:$A,AS$2)+countifs(Students!$T:$T,$S63,Students!$U:$U,$S$2&amp;if($K63="S1","a",if($K63="S2","b","")),Students!$A:$A,AS$2)+countifs(Students!$V:$V,$S63,Students!$W:$W,$S$2&amp;if($K63="S1","a",if($K63="S2","b","")),Students!$A:$A,AS$2)+
countifs(Students!$D:$D,$V63,Students!$E:$E,$V$2&amp;if($K63="S1","a",if($K63="S2","b","")),Students!$A:$A,AS$2)+countifs(Students!$F:$F,$V63,Students!$G:$G,$V$2&amp;if($K63="S1","a",if($K63="S2","b","")),Students!$A:$A,AS$2)+countifs(Students!$H:$H,$V63,Students!$I:$I,$V$2&amp;if($K63="S1","a",if($K63="S2","b","")),Students!$A:$A,AS$2)+countifs(Students!$J:$J,$V63,Students!$K:$K,$V$2&amp;if($K63="S1","a",if($K63="S2","b","")),Students!$A:$A,AS$2)+countifs(Students!$L:$L,$V63,Students!$M:$M,$V$2&amp;if($K63="S1","a",if($K63="S2","b","")),Students!$A:$A,AS$2)+countifs(Students!$N:$N,$V63,Students!$O:$O,$V$2&amp;if($K63="S1","a",if($K63="S2","b","")),Students!$A:$A,AS$2)+countifs(Students!$P:$P,$V63,Students!$Q:$Q,$V$2&amp;if($K63="S1","a",if($K63="S2","b","")),Students!$A:$A,AS$2)+countifs(Students!$R:$R,$V63,Students!$S:$S,$V$2&amp;if($K63="S1","a",if($K63="S2","b","")),Students!$A:$A,AS$2)+countifs(Students!$T:$T,$V63,Students!$U:$U,$V$2&amp;if($K63="S1","a",if($K63="S2","b","")),Students!$A:$A,AS$2)+countifs(Students!$V:$V,$V63,Students!$W:$W,$V$2&amp;if($K63="S1","a",if($K63="S2","b","")),Students!$A:$A,AS$2)+
countifs(Students!$D:$D,$Y63,Students!$E:$E,$Y$2&amp;if($K63="S1","a",if($K63="S2","b","")),Students!$A:$A,AS$2)+countifs(Students!$F:$F,$Y63,Students!$G:$G,$Y$2&amp;if($K63="S1","a",if($K63="S2","b","")),Students!$A:$A,AS$2)+countifs(Students!$H:$H,$Y63,Students!$I:$I,$Y$2&amp;if($K63="S1","a",if($K63="S2","b","")),Students!$A:$A,AS$2)+countifs(Students!$J:$J,$Y63,Students!$K:$K,$Y$2&amp;if($K63="S1","a",if($K63="S2","b","")),Students!$A:$A,AS$2)+countifs(Students!$L:$L,$Y63,Students!$M:$M,$Y$2&amp;if($K63="S1","a",if($K63="S2","b","")),Students!$A:$A,AS$2)+countifs(Students!$N:$N,$Y63,Students!$O:$O,$Y$2&amp;if($K63="S1","a",if($K63="S2","b","")),Students!$A:$A,AS$2)+countifs(Students!$P:$P,$Y63,Students!$Q:$Q,$Y$2&amp;if($K63="S1","a",if($K63="S2","b","")),Students!$A:$A,AS$2)+countifs(Students!$R:$R,$Y63,Students!$S:$S,$Y$2&amp;if($K63="S1","a",if($K63="S2","b","")),Students!$A:$A,AS$2)+countifs(Students!$T:$T,$Y63,Students!$U:$U,$Y$2&amp;if($K63="S1","a",if($K63="S2","b","")),Students!$A:$A,AS$2)+countifs(Students!$V:$V,$Y63,Students!$W:$W,$Y$2&amp;if($K63="S1","a",if($K63="S2","b","")),Students!$A:$A,AS$2)+
countifs(Students!$D:$D,$AB63,Students!$E:$E,$AB$2&amp;if($K63="S1","a",if($K63="S2","b","")),Students!$A:$A,AS$2)+countifs(Students!$F:$F,$AB63,Students!$G:$G,$AB$2&amp;if($K63="S1","a",if($K63="S2","b","")),Students!$A:$A,AS$2)+countifs(Students!$H:$H,$AB63,Students!$I:$I,$AB$2&amp;if($K63="S1","a",if($K63="S2","b","")),Students!$A:$A,AS$2)+countifs(Students!$J:$J,$AB63,Students!$K:$K,$AB$2&amp;if($K63="S1","a",if($K63="S2","b","")),Students!$A:$A,AS$2)+countifs(Students!$L:$L,$AB63,Students!$M:$M,$AB$2&amp;if($K63="S1","a",if($K63="S2","b","")),Students!$A:$A,AS$2)+countifs(Students!$N:$N,$AB63,Students!$O:$O,$AB$2&amp;if($K63="S1","a",if($K63="S2","b","")),Students!$A:$A,AS$2)+countifs(Students!$P:$P,$AB63,Students!$Q:$Q,$AB$2&amp;if($K63="S1","a",if($K63="S2","b","")),Students!$A:$A,AS$2)+countifs(Students!$R:$R,$AB63,Students!$S:$S,$AB$2&amp;if($K63="S1","a",if($K63="S2","b","")),Students!$A:$A,AS$2)+countifs(Students!$T:$T,$AB63,Students!$U:$U,$AB$2&amp;if($K63="S1","a",if($K63="S2","b","")),Students!$A:$A,AS$2)+countifs(Students!$V:$V,$AB63,Students!$W:$W,$AB$2&amp;if($K63="S1","a",if($K63="S2","b","")),Students!$A:$A,AS$2)+
countifs(Students!$D:$D,$AE63,Students!$E:$E,$AE$2&amp;if($K63="S1","a",if($K63="S2","b","")),Students!$A:$A,AS$2)+countifs(Students!$F:$F,$AE63,Students!$G:$G,$AE$2&amp;if($K63="S1","a",if($K63="S2","b","")),Students!$A:$A,AS$2)+countifs(Students!$H:$H,$AE63,Students!$I:$I,$AE$2&amp;if($K63="S1","a",if($K63="S2","b","")),Students!$A:$A,AS$2)+countifs(Students!$J:$J,$AE63,Students!$K:$K,$AE$2&amp;if($K63="S1","a",if($K63="S2","b","")),Students!$A:$A,AS$2)+countifs(Students!$L:$L,$AE63,Students!$M:$M,$AE$2&amp;if($K63="S1","a",if($K63="S2","b","")),Students!$A:$A,AS$2)+countifs(Students!$N:$N,$AE63,Students!$O:$O,$AE$2&amp;if($K63="S1","a",if($K63="S2","b","")),Students!$A:$A,AS$2)+countifs(Students!$P:$P,$AE63,Students!$Q:$Q,$AE$2&amp;if($K63="S1","a",if($K63="S2","b","")),Students!$A:$A,AS$2)+countifs(Students!$R:$R,$AE63,Students!$S:$S,$AE$2&amp;if($K63="S1","a",if($K63="S2","b","")),Students!$A:$A,AS$2)+countifs(Students!$T:$T,$AE63,Students!$U:$U,$AE$2&amp;if($K63="S1","a",if($K63="S2","b","")),Students!$A:$A,AS$2)+countifs(Students!$V:$V,$AE63,Students!$W:$W,$AE$2&amp;if($K63="S1","a",if($K63="S2","b","")),Students!$A:$A,AS$2)+
countifs(Students!$D:$D,$AH63,Students!$E:$E,$AH$2&amp;if($K63="S1","a",if($K63="S2","b","")),Students!$A:$A,AS$2)+countifs(Students!$F:$F,$AH63,Students!$G:$G,$AH$2&amp;if($K63="S1","a",if($K63="S2","b","")),Students!$A:$A,AS$2)+countifs(Students!$H:$H,$AH63,Students!$I:$I,$AH$2&amp;if($K63="S1","a",if($K63="S2","b","")),Students!$A:$A,AS$2)+countifs(Students!$J:$J,$AH63,Students!$K:$K,$AH$2&amp;if($K63="S1","a",if($K63="S2","b","")),Students!$A:$A,AS$2)+countifs(Students!$L:$L,$AH63,Students!$M:$M,$AH$2&amp;if($K63="S1","a",if($K63="S2","b","")),Students!$A:$A,AS$2)+countifs(Students!$N:$N,$AH63,Students!$O:$O,$AH$2&amp;if($K63="S1","a",if($K63="S2","b","")),Students!$A:$A,AS$2)+countifs(Students!$P:$P,$AH63,Students!$Q:$Q,$AH$2&amp;if($K63="S1","a",if($K63="S2","b","")),Students!$A:$A,AS$2)+countifs(Students!$R:$R,$AH63,Students!$S:$S,$AH$2&amp;if($K63="S1","a",if($K63="S2","b","")),Students!$A:$A,AS$2)+countifs(Students!$T:$T,$AH63,Students!$U:$U,$AH$2&amp;if($K63="S1","a",if($K63="S2","b","")),Students!$A:$A,AS$2)+countifs(Students!$V:$V,$AH63,Students!$W:$W,$AH$2&amp;if($K63="S1","a",if($K63="S2","b","")),Students!$A:$A,AS$2)+
countifs(Students!$D:$D,$AK63,Students!$E:$E,$AK$2&amp;if($K63="S1","a",if($K63="S2","b","")),Students!$A:$A,AS$2)+countifs(Students!$F:$F,$AK63,Students!$G:$G,$AK$2&amp;if($K63="S1","a",if($K63="S2","b","")),Students!$A:$A,AS$2)+countifs(Students!$H:$H,$AK63,Students!$I:$I,$AK$2&amp;if($K63="S1","a",if($K63="S2","b","")),Students!$A:$A,AS$2)+countifs(Students!$J:$J,$AK63,Students!$K:$K,$AK$2&amp;if($K63="S1","a",if($K63="S2","b","")),Students!$A:$A,AS$2)+countifs(Students!$L:$L,$AK63,Students!$M:$M,$AK$2&amp;if($K63="S1","a",if($K63="S2","b","")),Students!$A:$A,AS$2)+countifs(Students!$N:$N,$AK63,Students!$O:$O,$AK$2&amp;if($K63="S1","a",if($K63="S2","b","")),Students!$A:$A,AS$2)+countifs(Students!$P:$P,$AK63,Students!$Q:$Q,$AK$2&amp;if($K63="S1","a",if($K63="S2","b","")),Students!$A:$A,AS$2)+countifs(Students!$R:$R,$AK63,Students!$S:$S,$AK$2&amp;if($K63="S1","a",if($K63="S2","b","")),Students!$A:$A,AS$2)+countifs(Students!$T:$T,$AK63,Students!$U:$U,$AK$2&amp;if($K63="S1","a",if($K63="S2","b","")),Students!$A:$A,AS$2)+countifs(Students!$V:$V,$AK63,Students!$W:$W,$AK$2&amp;if($K63="S1","a",if($K63="S2","b","")),Students!$A:$A,AS$2))</f>
        <v/>
      </c>
    </row>
    <row r="64">
      <c r="J64" s="106" t="s">
        <v>22</v>
      </c>
      <c r="K64" s="88"/>
      <c r="L64" s="130"/>
      <c r="M64" s="89"/>
      <c r="N64" s="106" t="s">
        <v>22</v>
      </c>
      <c r="O64" s="106"/>
      <c r="P64" s="89"/>
      <c r="Q64" s="89"/>
      <c r="R64" s="98" t="s">
        <v>22</v>
      </c>
      <c r="S64" s="89"/>
      <c r="T64" s="89"/>
      <c r="U64" s="98" t="s">
        <v>22</v>
      </c>
      <c r="V64" s="89"/>
      <c r="W64" s="89"/>
      <c r="X64" s="98" t="s">
        <v>22</v>
      </c>
      <c r="Y64" s="89"/>
      <c r="Z64" s="89"/>
      <c r="AA64" s="98" t="s">
        <v>22</v>
      </c>
      <c r="AB64" s="89"/>
      <c r="AC64" s="89"/>
      <c r="AD64" s="98" t="s">
        <v>22</v>
      </c>
      <c r="AE64" s="89"/>
      <c r="AF64" s="89"/>
      <c r="AG64" s="98" t="s">
        <v>22</v>
      </c>
      <c r="AH64" s="89"/>
      <c r="AI64" s="133"/>
      <c r="AJ64" s="98" t="s">
        <v>22</v>
      </c>
      <c r="AK64" s="89"/>
      <c r="AL64" s="133"/>
      <c r="AM64" s="98" t="s">
        <v>22</v>
      </c>
      <c r="AN64" s="99"/>
      <c r="AO64" s="52" t="str">
        <f t="shared" si="2"/>
        <v/>
      </c>
      <c r="AP64" s="98" t="str">
        <f>if($L64="","",countifs(Students!$D:$D,$P64,Students!$E:$E,$P$2&amp;if($K64="S1","a",if($K64="S2","b","")),Students!$A:$A,AP$2)+countifs(Students!$F:$F,$P64,Students!$G:$G,$P$2&amp;if($K64="S1","a",if($K64="S2","b","")),Students!$A:$A,AP$2)+countifs(Students!$H:$H,$P64,Students!$I:$I,$P$2&amp;if($K64="S1","a",if($K64="S2","b","")),Students!$A:$A,AP$2)+countifs(Students!$J:$J,$P64,Students!$K:$K,$P$2&amp;if($K64="S1","a",if($K64="S2","b","")),Students!$A:$A,AP$2)+countifs(Students!$L:$L,$P64,Students!$M:$M,$P$2&amp;if($K64="S1","a",if($K64="S2","b","")),Students!$A:$A,AP$2)+countifs(Students!$N:$N,$P64,Students!$O:$O,$P$2&amp;if($K64="S1","a",if($K64="S2","b","")),Students!$A:$A,AP$2)+countifs(Students!$P:$P,$P64,Students!$Q:$Q,$P$2&amp;if($K64="S1","a",if($K64="S2","b","")),Students!$A:$A,AP$2)+countifs(Students!$R:$R,$P64,Students!$S:$S,$P$2&amp;if($K64="S1","a",if($K64="S2","b","")),Students!$A:$A,AP$2)+countifs(Students!$T:$T,$P64,Students!$U:$U,$P$2&amp;if($K64="S1","a",if($K64="S2","b","")),Students!$A:$A,AP$2)+countifs(Students!$V:$V,$P64,Students!$W:$W,$P$2&amp;if($K64="S1","a",if($K64="S2","b","")),Students!$A:$A,AP$2)+
countifs(Students!$D:$D,$S64,Students!$E:$E,$S$2&amp;if($K64="S1","a",if($K64="S2","b","")),Students!$A:$A,AP$2)+countifs(Students!$F:$F,$S64,Students!$G:$G,$S$2&amp;if($K64="S1","a",if($K64="S2","b","")),Students!$A:$A,AP$2)+countifs(Students!$H:$H,$S64,Students!$I:$I,$S$2&amp;if($K64="S1","a",if($K64="S2","b","")),Students!$A:$A,AP$2)+countifs(Students!$J:$J,$S64,Students!$K:$K,$S$2&amp;if($K64="S1","a",if($K64="S2","b","")),Students!$A:$A,AP$2)+countifs(Students!$L:$L,$S64,Students!$M:$M,$S$2&amp;if($K64="S1","a",if($K64="S2","b","")),Students!$A:$A,AP$2)+countifs(Students!$N:$N,$S64,Students!$O:$O,$S$2&amp;if($K64="S1","a",if($K64="S2","b","")),Students!$A:$A,AP$2)+countifs(Students!$P:$P,$S64,Students!$Q:$Q,$S$2&amp;if($K64="S1","a",if($K64="S2","b","")),Students!$A:$A,AP$2)+countifs(Students!$R:$R,$S64,Students!$S:$S,$S$2&amp;if($K64="S1","a",if($K64="S2","b","")),Students!$A:$A,AP$2)+countifs(Students!$T:$T,$S64,Students!$U:$U,$S$2&amp;if($K64="S1","a",if($K64="S2","b","")),Students!$A:$A,AP$2)+countifs(Students!$V:$V,$S64,Students!$W:$W,$S$2&amp;if($K64="S1","a",if($K64="S2","b","")),Students!$A:$A,AP$2)+
countifs(Students!$D:$D,$V64,Students!$E:$E,$V$2&amp;if($K64="S1","a",if($K64="S2","b","")),Students!$A:$A,AP$2)+countifs(Students!$F:$F,$V64,Students!$G:$G,$V$2&amp;if($K64="S1","a",if($K64="S2","b","")),Students!$A:$A,AP$2)+countifs(Students!$H:$H,$V64,Students!$I:$I,$V$2&amp;if($K64="S1","a",if($K64="S2","b","")),Students!$A:$A,AP$2)+countifs(Students!$J:$J,$V64,Students!$K:$K,$V$2&amp;if($K64="S1","a",if($K64="S2","b","")),Students!$A:$A,AP$2)+countifs(Students!$L:$L,$V64,Students!$M:$M,$V$2&amp;if($K64="S1","a",if($K64="S2","b","")),Students!$A:$A,AP$2)+countifs(Students!$N:$N,$V64,Students!$O:$O,$V$2&amp;if($K64="S1","a",if($K64="S2","b","")),Students!$A:$A,AP$2)+countifs(Students!$P:$P,$V64,Students!$Q:$Q,$V$2&amp;if($K64="S1","a",if($K64="S2","b","")),Students!$A:$A,AP$2)+countifs(Students!$R:$R,$V64,Students!$S:$S,$V$2&amp;if($K64="S1","a",if($K64="S2","b","")),Students!$A:$A,AP$2)+countifs(Students!$T:$T,$V64,Students!$U:$U,$V$2&amp;if($K64="S1","a",if($K64="S2","b","")),Students!$A:$A,AP$2)+countifs(Students!$V:$V,$V64,Students!$W:$W,$V$2&amp;if($K64="S1","a",if($K64="S2","b","")),Students!$A:$A,AP$2)+
countifs(Students!$D:$D,$Y64,Students!$E:$E,$Y$2&amp;if($K64="S1","a",if($K64="S2","b","")),Students!$A:$A,AP$2)+countifs(Students!$F:$F,$Y64,Students!$G:$G,$Y$2&amp;if($K64="S1","a",if($K64="S2","b","")),Students!$A:$A,AP$2)+countifs(Students!$H:$H,$Y64,Students!$I:$I,$Y$2&amp;if($K64="S1","a",if($K64="S2","b","")),Students!$A:$A,AP$2)+countifs(Students!$J:$J,$Y64,Students!$K:$K,$Y$2&amp;if($K64="S1","a",if($K64="S2","b","")),Students!$A:$A,AP$2)+countifs(Students!$L:$L,$Y64,Students!$M:$M,$Y$2&amp;if($K64="S1","a",if($K64="S2","b","")),Students!$A:$A,AP$2)+countifs(Students!$N:$N,$Y64,Students!$O:$O,$Y$2&amp;if($K64="S1","a",if($K64="S2","b","")),Students!$A:$A,AP$2)+countifs(Students!$P:$P,$Y64,Students!$Q:$Q,$Y$2&amp;if($K64="S1","a",if($K64="S2","b","")),Students!$A:$A,AP$2)+countifs(Students!$R:$R,$Y64,Students!$S:$S,$Y$2&amp;if($K64="S1","a",if($K64="S2","b","")),Students!$A:$A,AP$2)+countifs(Students!$T:$T,$Y64,Students!$U:$U,$Y$2&amp;if($K64="S1","a",if($K64="S2","b","")),Students!$A:$A,AP$2)+countifs(Students!$V:$V,$Y64,Students!$W:$W,$Y$2&amp;if($K64="S1","a",if($K64="S2","b","")),Students!$A:$A,AP$2)+
countifs(Students!$D:$D,$AB64,Students!$E:$E,$AB$2&amp;if($K64="S1","a",if($K64="S2","b","")),Students!$A:$A,AP$2)+countifs(Students!$F:$F,$AB64,Students!$G:$G,$AB$2&amp;if($K64="S1","a",if($K64="S2","b","")),Students!$A:$A,AP$2)+countifs(Students!$H:$H,$AB64,Students!$I:$I,$AB$2&amp;if($K64="S1","a",if($K64="S2","b","")),Students!$A:$A,AP$2)+countifs(Students!$J:$J,$AB64,Students!$K:$K,$AB$2&amp;if($K64="S1","a",if($K64="S2","b","")),Students!$A:$A,AP$2)+countifs(Students!$L:$L,$AB64,Students!$M:$M,$AB$2&amp;if($K64="S1","a",if($K64="S2","b","")),Students!$A:$A,AP$2)+countifs(Students!$N:$N,$AB64,Students!$O:$O,$AB$2&amp;if($K64="S1","a",if($K64="S2","b","")),Students!$A:$A,AP$2)+countifs(Students!$P:$P,$AB64,Students!$Q:$Q,$AB$2&amp;if($K64="S1","a",if($K64="S2","b","")),Students!$A:$A,AP$2)+countifs(Students!$R:$R,$AB64,Students!$S:$S,$AB$2&amp;if($K64="S1","a",if($K64="S2","b","")),Students!$A:$A,AP$2)+countifs(Students!$T:$T,$AB64,Students!$U:$U,$AB$2&amp;if($K64="S1","a",if($K64="S2","b","")),Students!$A:$A,AP$2)+countifs(Students!$V:$V,$AB64,Students!$W:$W,$AB$2&amp;if($K64="S1","a",if($K64="S2","b","")),Students!$A:$A,AP$2)+
countifs(Students!$D:$D,$AE64,Students!$E:$E,$AE$2&amp;if($K64="S1","a",if($K64="S2","b","")),Students!$A:$A,AP$2)+countifs(Students!$F:$F,$AE64,Students!$G:$G,$AE$2&amp;if($K64="S1","a",if($K64="S2","b","")),Students!$A:$A,AP$2)+countifs(Students!$H:$H,$AE64,Students!$I:$I,$AE$2&amp;if($K64="S1","a",if($K64="S2","b","")),Students!$A:$A,AP$2)+countifs(Students!$J:$J,$AE64,Students!$K:$K,$AE$2&amp;if($K64="S1","a",if($K64="S2","b","")),Students!$A:$A,AP$2)+countifs(Students!$L:$L,$AE64,Students!$M:$M,$AE$2&amp;if($K64="S1","a",if($K64="S2","b","")),Students!$A:$A,AP$2)+countifs(Students!$N:$N,$AE64,Students!$O:$O,$AE$2&amp;if($K64="S1","a",if($K64="S2","b","")),Students!$A:$A,AP$2)+countifs(Students!$P:$P,$AE64,Students!$Q:$Q,$AE$2&amp;if($K64="S1","a",if($K64="S2","b","")),Students!$A:$A,AP$2)+countifs(Students!$R:$R,$AE64,Students!$S:$S,$AE$2&amp;if($K64="S1","a",if($K64="S2","b","")),Students!$A:$A,AP$2)+countifs(Students!$T:$T,$AE64,Students!$U:$U,$AE$2&amp;if($K64="S1","a",if($K64="S2","b","")),Students!$A:$A,AP$2)+countifs(Students!$V:$V,$AE64,Students!$W:$W,$AE$2&amp;if($K64="S1","a",if($K64="S2","b","")),Students!$A:$A,AP$2)+
countifs(Students!$D:$D,$AH64,Students!$E:$E,$AH$2&amp;if($K64="S1","a",if($K64="S2","b","")),Students!$A:$A,AP$2)+countifs(Students!$F:$F,$AH64,Students!$G:$G,$AH$2&amp;if($K64="S1","a",if($K64="S2","b","")),Students!$A:$A,AP$2)+countifs(Students!$H:$H,$AH64,Students!$I:$I,$AH$2&amp;if($K64="S1","a",if($K64="S2","b","")),Students!$A:$A,AP$2)+countifs(Students!$J:$J,$AH64,Students!$K:$K,$AH$2&amp;if($K64="S1","a",if($K64="S2","b","")),Students!$A:$A,AP$2)+countifs(Students!$L:$L,$AH64,Students!$M:$M,$AH$2&amp;if($K64="S1","a",if($K64="S2","b","")),Students!$A:$A,AP$2)+countifs(Students!$N:$N,$AH64,Students!$O:$O,$AH$2&amp;if($K64="S1","a",if($K64="S2","b","")),Students!$A:$A,AP$2)+countifs(Students!$P:$P,$AH64,Students!$Q:$Q,$AH$2&amp;if($K64="S1","a",if($K64="S2","b","")),Students!$A:$A,AP$2)+countifs(Students!$R:$R,$AH64,Students!$S:$S,$AH$2&amp;if($K64="S1","a",if($K64="S2","b","")),Students!$A:$A,AP$2)+countifs(Students!$T:$T,$AH64,Students!$U:$U,$AH$2&amp;if($K64="S1","a",if($K64="S2","b","")),Students!$A:$A,AP$2)+countifs(Students!$V:$V,$AH64,Students!$W:$W,$AH$2&amp;if($K64="S1","a",if($K64="S2","b","")),Students!$A:$A,AP$2)+
countifs(Students!$D:$D,$AK64,Students!$E:$E,$AK$2&amp;if($K64="S1","a",if($K64="S2","b","")),Students!$A:$A,AP$2)+countifs(Students!$F:$F,$AK64,Students!$G:$G,$AK$2&amp;if($K64="S1","a",if($K64="S2","b","")),Students!$A:$A,AP$2)+countifs(Students!$H:$H,$AK64,Students!$I:$I,$AK$2&amp;if($K64="S1","a",if($K64="S2","b","")),Students!$A:$A,AP$2)+countifs(Students!$J:$J,$AK64,Students!$K:$K,$AK$2&amp;if($K64="S1","a",if($K64="S2","b","")),Students!$A:$A,AP$2)+countifs(Students!$L:$L,$AK64,Students!$M:$M,$AK$2&amp;if($K64="S1","a",if($K64="S2","b","")),Students!$A:$A,AP$2)+countifs(Students!$N:$N,$AK64,Students!$O:$O,$AK$2&amp;if($K64="S1","a",if($K64="S2","b","")),Students!$A:$A,AP$2)+countifs(Students!$P:$P,$AK64,Students!$Q:$Q,$AK$2&amp;if($K64="S1","a",if($K64="S2","b","")),Students!$A:$A,AP$2)+countifs(Students!$R:$R,$AK64,Students!$S:$S,$AK$2&amp;if($K64="S1","a",if($K64="S2","b","")),Students!$A:$A,AP$2)+countifs(Students!$T:$T,$AK64,Students!$U:$U,$AK$2&amp;if($K64="S1","a",if($K64="S2","b","")),Students!$A:$A,AP$2)+countifs(Students!$V:$V,$AK64,Students!$W:$W,$AK$2&amp;if($K64="S1","a",if($K64="S2","b","")),Students!$A:$A,AP$2))</f>
        <v/>
      </c>
      <c r="AQ64" s="98" t="str">
        <f>if($L64="","",countifs(Students!$D:$D,$P64,Students!$E:$E,$P$2&amp;if($K64="S1","a",if($K64="S2","b","")),Students!$A:$A,AQ$2)+countifs(Students!$F:$F,$P64,Students!$G:$G,$P$2&amp;if($K64="S1","a",if($K64="S2","b","")),Students!$A:$A,AQ$2)+countifs(Students!$H:$H,$P64,Students!$I:$I,$P$2&amp;if($K64="S1","a",if($K64="S2","b","")),Students!$A:$A,AQ$2)+countifs(Students!$J:$J,$P64,Students!$K:$K,$P$2&amp;if($K64="S1","a",if($K64="S2","b","")),Students!$A:$A,AQ$2)+countifs(Students!$L:$L,$P64,Students!$M:$M,$P$2&amp;if($K64="S1","a",if($K64="S2","b","")),Students!$A:$A,AQ$2)+countifs(Students!$N:$N,$P64,Students!$O:$O,$P$2&amp;if($K64="S1","a",if($K64="S2","b","")),Students!$A:$A,AQ$2)+countifs(Students!$P:$P,$P64,Students!$Q:$Q,$P$2&amp;if($K64="S1","a",if($K64="S2","b","")),Students!$A:$A,AQ$2)+countifs(Students!$R:$R,$P64,Students!$S:$S,$P$2&amp;if($K64="S1","a",if($K64="S2","b","")),Students!$A:$A,AQ$2)+countifs(Students!$T:$T,$P64,Students!$U:$U,$P$2&amp;if($K64="S1","a",if($K64="S2","b","")),Students!$A:$A,AQ$2)+countifs(Students!$V:$V,$P64,Students!$W:$W,$P$2&amp;if($K64="S1","a",if($K64="S2","b","")),Students!$A:$A,AQ$2)+
countifs(Students!$D:$D,$S64,Students!$E:$E,$S$2&amp;if($K64="S1","a",if($K64="S2","b","")),Students!$A:$A,AQ$2)+countifs(Students!$F:$F,$S64,Students!$G:$G,$S$2&amp;if($K64="S1","a",if($K64="S2","b","")),Students!$A:$A,AQ$2)+countifs(Students!$H:$H,$S64,Students!$I:$I,$S$2&amp;if($K64="S1","a",if($K64="S2","b","")),Students!$A:$A,AQ$2)+countifs(Students!$J:$J,$S64,Students!$K:$K,$S$2&amp;if($K64="S1","a",if($K64="S2","b","")),Students!$A:$A,AQ$2)+countifs(Students!$L:$L,$S64,Students!$M:$M,$S$2&amp;if($K64="S1","a",if($K64="S2","b","")),Students!$A:$A,AQ$2)+countifs(Students!$N:$N,$S64,Students!$O:$O,$S$2&amp;if($K64="S1","a",if($K64="S2","b","")),Students!$A:$A,AQ$2)+countifs(Students!$P:$P,$S64,Students!$Q:$Q,$S$2&amp;if($K64="S1","a",if($K64="S2","b","")),Students!$A:$A,AQ$2)+countifs(Students!$R:$R,$S64,Students!$S:$S,$S$2&amp;if($K64="S1","a",if($K64="S2","b","")),Students!$A:$A,AQ$2)+countifs(Students!$T:$T,$S64,Students!$U:$U,$S$2&amp;if($K64="S1","a",if($K64="S2","b","")),Students!$A:$A,AQ$2)+countifs(Students!$V:$V,$S64,Students!$W:$W,$S$2&amp;if($K64="S1","a",if($K64="S2","b","")),Students!$A:$A,AQ$2)+
countifs(Students!$D:$D,$V64,Students!$E:$E,$V$2&amp;if($K64="S1","a",if($K64="S2","b","")),Students!$A:$A,AQ$2)+countifs(Students!$F:$F,$V64,Students!$G:$G,$V$2&amp;if($K64="S1","a",if($K64="S2","b","")),Students!$A:$A,AQ$2)+countifs(Students!$H:$H,$V64,Students!$I:$I,$V$2&amp;if($K64="S1","a",if($K64="S2","b","")),Students!$A:$A,AQ$2)+countifs(Students!$J:$J,$V64,Students!$K:$K,$V$2&amp;if($K64="S1","a",if($K64="S2","b","")),Students!$A:$A,AQ$2)+countifs(Students!$L:$L,$V64,Students!$M:$M,$V$2&amp;if($K64="S1","a",if($K64="S2","b","")),Students!$A:$A,AQ$2)+countifs(Students!$N:$N,$V64,Students!$O:$O,$V$2&amp;if($K64="S1","a",if($K64="S2","b","")),Students!$A:$A,AQ$2)+countifs(Students!$P:$P,$V64,Students!$Q:$Q,$V$2&amp;if($K64="S1","a",if($K64="S2","b","")),Students!$A:$A,AQ$2)+countifs(Students!$R:$R,$V64,Students!$S:$S,$V$2&amp;if($K64="S1","a",if($K64="S2","b","")),Students!$A:$A,AQ$2)+countifs(Students!$T:$T,$V64,Students!$U:$U,$V$2&amp;if($K64="S1","a",if($K64="S2","b","")),Students!$A:$A,AQ$2)+countifs(Students!$V:$V,$V64,Students!$W:$W,$V$2&amp;if($K64="S1","a",if($K64="S2","b","")),Students!$A:$A,AQ$2)+
countifs(Students!$D:$D,$Y64,Students!$E:$E,$Y$2&amp;if($K64="S1","a",if($K64="S2","b","")),Students!$A:$A,AQ$2)+countifs(Students!$F:$F,$Y64,Students!$G:$G,$Y$2&amp;if($K64="S1","a",if($K64="S2","b","")),Students!$A:$A,AQ$2)+countifs(Students!$H:$H,$Y64,Students!$I:$I,$Y$2&amp;if($K64="S1","a",if($K64="S2","b","")),Students!$A:$A,AQ$2)+countifs(Students!$J:$J,$Y64,Students!$K:$K,$Y$2&amp;if($K64="S1","a",if($K64="S2","b","")),Students!$A:$A,AQ$2)+countifs(Students!$L:$L,$Y64,Students!$M:$M,$Y$2&amp;if($K64="S1","a",if($K64="S2","b","")),Students!$A:$A,AQ$2)+countifs(Students!$N:$N,$Y64,Students!$O:$O,$Y$2&amp;if($K64="S1","a",if($K64="S2","b","")),Students!$A:$A,AQ$2)+countifs(Students!$P:$P,$Y64,Students!$Q:$Q,$Y$2&amp;if($K64="S1","a",if($K64="S2","b","")),Students!$A:$A,AQ$2)+countifs(Students!$R:$R,$Y64,Students!$S:$S,$Y$2&amp;if($K64="S1","a",if($K64="S2","b","")),Students!$A:$A,AQ$2)+countifs(Students!$T:$T,$Y64,Students!$U:$U,$Y$2&amp;if($K64="S1","a",if($K64="S2","b","")),Students!$A:$A,AQ$2)+countifs(Students!$V:$V,$Y64,Students!$W:$W,$Y$2&amp;if($K64="S1","a",if($K64="S2","b","")),Students!$A:$A,AQ$2)+
countifs(Students!$D:$D,$AB64,Students!$E:$E,$AB$2&amp;if($K64="S1","a",if($K64="S2","b","")),Students!$A:$A,AQ$2)+countifs(Students!$F:$F,$AB64,Students!$G:$G,$AB$2&amp;if($K64="S1","a",if($K64="S2","b","")),Students!$A:$A,AQ$2)+countifs(Students!$H:$H,$AB64,Students!$I:$I,$AB$2&amp;if($K64="S1","a",if($K64="S2","b","")),Students!$A:$A,AQ$2)+countifs(Students!$J:$J,$AB64,Students!$K:$K,$AB$2&amp;if($K64="S1","a",if($K64="S2","b","")),Students!$A:$A,AQ$2)+countifs(Students!$L:$L,$AB64,Students!$M:$M,$AB$2&amp;if($K64="S1","a",if($K64="S2","b","")),Students!$A:$A,AQ$2)+countifs(Students!$N:$N,$AB64,Students!$O:$O,$AB$2&amp;if($K64="S1","a",if($K64="S2","b","")),Students!$A:$A,AQ$2)+countifs(Students!$P:$P,$AB64,Students!$Q:$Q,$AB$2&amp;if($K64="S1","a",if($K64="S2","b","")),Students!$A:$A,AQ$2)+countifs(Students!$R:$R,$AB64,Students!$S:$S,$AB$2&amp;if($K64="S1","a",if($K64="S2","b","")),Students!$A:$A,AQ$2)+countifs(Students!$T:$T,$AB64,Students!$U:$U,$AB$2&amp;if($K64="S1","a",if($K64="S2","b","")),Students!$A:$A,AQ$2)+countifs(Students!$V:$V,$AB64,Students!$W:$W,$AB$2&amp;if($K64="S1","a",if($K64="S2","b","")),Students!$A:$A,AQ$2)+
countifs(Students!$D:$D,$AE64,Students!$E:$E,$AE$2&amp;if($K64="S1","a",if($K64="S2","b","")),Students!$A:$A,AQ$2)+countifs(Students!$F:$F,$AE64,Students!$G:$G,$AE$2&amp;if($K64="S1","a",if($K64="S2","b","")),Students!$A:$A,AQ$2)+countifs(Students!$H:$H,$AE64,Students!$I:$I,$AE$2&amp;if($K64="S1","a",if($K64="S2","b","")),Students!$A:$A,AQ$2)+countifs(Students!$J:$J,$AE64,Students!$K:$K,$AE$2&amp;if($K64="S1","a",if($K64="S2","b","")),Students!$A:$A,AQ$2)+countifs(Students!$L:$L,$AE64,Students!$M:$M,$AE$2&amp;if($K64="S1","a",if($K64="S2","b","")),Students!$A:$A,AQ$2)+countifs(Students!$N:$N,$AE64,Students!$O:$O,$AE$2&amp;if($K64="S1","a",if($K64="S2","b","")),Students!$A:$A,AQ$2)+countifs(Students!$P:$P,$AE64,Students!$Q:$Q,$AE$2&amp;if($K64="S1","a",if($K64="S2","b","")),Students!$A:$A,AQ$2)+countifs(Students!$R:$R,$AE64,Students!$S:$S,$AE$2&amp;if($K64="S1","a",if($K64="S2","b","")),Students!$A:$A,AQ$2)+countifs(Students!$T:$T,$AE64,Students!$U:$U,$AE$2&amp;if($K64="S1","a",if($K64="S2","b","")),Students!$A:$A,AQ$2)+countifs(Students!$V:$V,$AE64,Students!$W:$W,$AE$2&amp;if($K64="S1","a",if($K64="S2","b","")),Students!$A:$A,AQ$2)+
countifs(Students!$D:$D,$AH64,Students!$E:$E,$AH$2&amp;if($K64="S1","a",if($K64="S2","b","")),Students!$A:$A,AQ$2)+countifs(Students!$F:$F,$AH64,Students!$G:$G,$AH$2&amp;if($K64="S1","a",if($K64="S2","b","")),Students!$A:$A,AQ$2)+countifs(Students!$H:$H,$AH64,Students!$I:$I,$AH$2&amp;if($K64="S1","a",if($K64="S2","b","")),Students!$A:$A,AQ$2)+countifs(Students!$J:$J,$AH64,Students!$K:$K,$AH$2&amp;if($K64="S1","a",if($K64="S2","b","")),Students!$A:$A,AQ$2)+countifs(Students!$L:$L,$AH64,Students!$M:$M,$AH$2&amp;if($K64="S1","a",if($K64="S2","b","")),Students!$A:$A,AQ$2)+countifs(Students!$N:$N,$AH64,Students!$O:$O,$AH$2&amp;if($K64="S1","a",if($K64="S2","b","")),Students!$A:$A,AQ$2)+countifs(Students!$P:$P,$AH64,Students!$Q:$Q,$AH$2&amp;if($K64="S1","a",if($K64="S2","b","")),Students!$A:$A,AQ$2)+countifs(Students!$R:$R,$AH64,Students!$S:$S,$AH$2&amp;if($K64="S1","a",if($K64="S2","b","")),Students!$A:$A,AQ$2)+countifs(Students!$T:$T,$AH64,Students!$U:$U,$AH$2&amp;if($K64="S1","a",if($K64="S2","b","")),Students!$A:$A,AQ$2)+countifs(Students!$V:$V,$AH64,Students!$W:$W,$AH$2&amp;if($K64="S1","a",if($K64="S2","b","")),Students!$A:$A,AQ$2)+
countifs(Students!$D:$D,$AK64,Students!$E:$E,$AK$2&amp;if($K64="S1","a",if($K64="S2","b","")),Students!$A:$A,AQ$2)+countifs(Students!$F:$F,$AK64,Students!$G:$G,$AK$2&amp;if($K64="S1","a",if($K64="S2","b","")),Students!$A:$A,AQ$2)+countifs(Students!$H:$H,$AK64,Students!$I:$I,$AK$2&amp;if($K64="S1","a",if($K64="S2","b","")),Students!$A:$A,AQ$2)+countifs(Students!$J:$J,$AK64,Students!$K:$K,$AK$2&amp;if($K64="S1","a",if($K64="S2","b","")),Students!$A:$A,AQ$2)+countifs(Students!$L:$L,$AK64,Students!$M:$M,$AK$2&amp;if($K64="S1","a",if($K64="S2","b","")),Students!$A:$A,AQ$2)+countifs(Students!$N:$N,$AK64,Students!$O:$O,$AK$2&amp;if($K64="S1","a",if($K64="S2","b","")),Students!$A:$A,AQ$2)+countifs(Students!$P:$P,$AK64,Students!$Q:$Q,$AK$2&amp;if($K64="S1","a",if($K64="S2","b","")),Students!$A:$A,AQ$2)+countifs(Students!$R:$R,$AK64,Students!$S:$S,$AK$2&amp;if($K64="S1","a",if($K64="S2","b","")),Students!$A:$A,AQ$2)+countifs(Students!$T:$T,$AK64,Students!$U:$U,$AK$2&amp;if($K64="S1","a",if($K64="S2","b","")),Students!$A:$A,AQ$2)+countifs(Students!$V:$V,$AK64,Students!$W:$W,$AK$2&amp;if($K64="S1","a",if($K64="S2","b","")),Students!$A:$A,AQ$2))</f>
        <v/>
      </c>
      <c r="AR64" s="98" t="str">
        <f>if($L64="","",countifs(Students!$D:$D,$P64,Students!$E:$E,$P$2&amp;if($K64="S1","a",if($K64="S2","b","")),Students!$A:$A,AR$2)+countifs(Students!$F:$F,$P64,Students!$G:$G,$P$2&amp;if($K64="S1","a",if($K64="S2","b","")),Students!$A:$A,AR$2)+countifs(Students!$H:$H,$P64,Students!$I:$I,$P$2&amp;if($K64="S1","a",if($K64="S2","b","")),Students!$A:$A,AR$2)+countifs(Students!$J:$J,$P64,Students!$K:$K,$P$2&amp;if($K64="S1","a",if($K64="S2","b","")),Students!$A:$A,AR$2)+countifs(Students!$L:$L,$P64,Students!$M:$M,$P$2&amp;if($K64="S1","a",if($K64="S2","b","")),Students!$A:$A,AR$2)+countifs(Students!$N:$N,$P64,Students!$O:$O,$P$2&amp;if($K64="S1","a",if($K64="S2","b","")),Students!$A:$A,AR$2)+countifs(Students!$P:$P,$P64,Students!$Q:$Q,$P$2&amp;if($K64="S1","a",if($K64="S2","b","")),Students!$A:$A,AR$2)+countifs(Students!$R:$R,$P64,Students!$S:$S,$P$2&amp;if($K64="S1","a",if($K64="S2","b","")),Students!$A:$A,AR$2)+countifs(Students!$T:$T,$P64,Students!$U:$U,$P$2&amp;if($K64="S1","a",if($K64="S2","b","")),Students!$A:$A,AR$2)+countifs(Students!$V:$V,$P64,Students!$W:$W,$P$2&amp;if($K64="S1","a",if($K64="S2","b","")),Students!$A:$A,AR$2)+
countifs(Students!$D:$D,$S64,Students!$E:$E,$S$2&amp;if($K64="S1","a",if($K64="S2","b","")),Students!$A:$A,AR$2)+countifs(Students!$F:$F,$S64,Students!$G:$G,$S$2&amp;if($K64="S1","a",if($K64="S2","b","")),Students!$A:$A,AR$2)+countifs(Students!$H:$H,$S64,Students!$I:$I,$S$2&amp;if($K64="S1","a",if($K64="S2","b","")),Students!$A:$A,AR$2)+countifs(Students!$J:$J,$S64,Students!$K:$K,$S$2&amp;if($K64="S1","a",if($K64="S2","b","")),Students!$A:$A,AR$2)+countifs(Students!$L:$L,$S64,Students!$M:$M,$S$2&amp;if($K64="S1","a",if($K64="S2","b","")),Students!$A:$A,AR$2)+countifs(Students!$N:$N,$S64,Students!$O:$O,$S$2&amp;if($K64="S1","a",if($K64="S2","b","")),Students!$A:$A,AR$2)+countifs(Students!$P:$P,$S64,Students!$Q:$Q,$S$2&amp;if($K64="S1","a",if($K64="S2","b","")),Students!$A:$A,AR$2)+countifs(Students!$R:$R,$S64,Students!$S:$S,$S$2&amp;if($K64="S1","a",if($K64="S2","b","")),Students!$A:$A,AR$2)+countifs(Students!$T:$T,$S64,Students!$U:$U,$S$2&amp;if($K64="S1","a",if($K64="S2","b","")),Students!$A:$A,AR$2)+countifs(Students!$V:$V,$S64,Students!$W:$W,$S$2&amp;if($K64="S1","a",if($K64="S2","b","")),Students!$A:$A,AR$2)+
countifs(Students!$D:$D,$V64,Students!$E:$E,$V$2&amp;if($K64="S1","a",if($K64="S2","b","")),Students!$A:$A,AR$2)+countifs(Students!$F:$F,$V64,Students!$G:$G,$V$2&amp;if($K64="S1","a",if($K64="S2","b","")),Students!$A:$A,AR$2)+countifs(Students!$H:$H,$V64,Students!$I:$I,$V$2&amp;if($K64="S1","a",if($K64="S2","b","")),Students!$A:$A,AR$2)+countifs(Students!$J:$J,$V64,Students!$K:$K,$V$2&amp;if($K64="S1","a",if($K64="S2","b","")),Students!$A:$A,AR$2)+countifs(Students!$L:$L,$V64,Students!$M:$M,$V$2&amp;if($K64="S1","a",if($K64="S2","b","")),Students!$A:$A,AR$2)+countifs(Students!$N:$N,$V64,Students!$O:$O,$V$2&amp;if($K64="S1","a",if($K64="S2","b","")),Students!$A:$A,AR$2)+countifs(Students!$P:$P,$V64,Students!$Q:$Q,$V$2&amp;if($K64="S1","a",if($K64="S2","b","")),Students!$A:$A,AR$2)+countifs(Students!$R:$R,$V64,Students!$S:$S,$V$2&amp;if($K64="S1","a",if($K64="S2","b","")),Students!$A:$A,AR$2)+countifs(Students!$T:$T,$V64,Students!$U:$U,$V$2&amp;if($K64="S1","a",if($K64="S2","b","")),Students!$A:$A,AR$2)+countifs(Students!$V:$V,$V64,Students!$W:$W,$V$2&amp;if($K64="S1","a",if($K64="S2","b","")),Students!$A:$A,AR$2)+
countifs(Students!$D:$D,$Y64,Students!$E:$E,$Y$2&amp;if($K64="S1","a",if($K64="S2","b","")),Students!$A:$A,AR$2)+countifs(Students!$F:$F,$Y64,Students!$G:$G,$Y$2&amp;if($K64="S1","a",if($K64="S2","b","")),Students!$A:$A,AR$2)+countifs(Students!$H:$H,$Y64,Students!$I:$I,$Y$2&amp;if($K64="S1","a",if($K64="S2","b","")),Students!$A:$A,AR$2)+countifs(Students!$J:$J,$Y64,Students!$K:$K,$Y$2&amp;if($K64="S1","a",if($K64="S2","b","")),Students!$A:$A,AR$2)+countifs(Students!$L:$L,$Y64,Students!$M:$M,$Y$2&amp;if($K64="S1","a",if($K64="S2","b","")),Students!$A:$A,AR$2)+countifs(Students!$N:$N,$Y64,Students!$O:$O,$Y$2&amp;if($K64="S1","a",if($K64="S2","b","")),Students!$A:$A,AR$2)+countifs(Students!$P:$P,$Y64,Students!$Q:$Q,$Y$2&amp;if($K64="S1","a",if($K64="S2","b","")),Students!$A:$A,AR$2)+countifs(Students!$R:$R,$Y64,Students!$S:$S,$Y$2&amp;if($K64="S1","a",if($K64="S2","b","")),Students!$A:$A,AR$2)+countifs(Students!$T:$T,$Y64,Students!$U:$U,$Y$2&amp;if($K64="S1","a",if($K64="S2","b","")),Students!$A:$A,AR$2)+countifs(Students!$V:$V,$Y64,Students!$W:$W,$Y$2&amp;if($K64="S1","a",if($K64="S2","b","")),Students!$A:$A,AR$2)+
countifs(Students!$D:$D,$AB64,Students!$E:$E,$AB$2&amp;if($K64="S1","a",if($K64="S2","b","")),Students!$A:$A,AR$2)+countifs(Students!$F:$F,$AB64,Students!$G:$G,$AB$2&amp;if($K64="S1","a",if($K64="S2","b","")),Students!$A:$A,AR$2)+countifs(Students!$H:$H,$AB64,Students!$I:$I,$AB$2&amp;if($K64="S1","a",if($K64="S2","b","")),Students!$A:$A,AR$2)+countifs(Students!$J:$J,$AB64,Students!$K:$K,$AB$2&amp;if($K64="S1","a",if($K64="S2","b","")),Students!$A:$A,AR$2)+countifs(Students!$L:$L,$AB64,Students!$M:$M,$AB$2&amp;if($K64="S1","a",if($K64="S2","b","")),Students!$A:$A,AR$2)+countifs(Students!$N:$N,$AB64,Students!$O:$O,$AB$2&amp;if($K64="S1","a",if($K64="S2","b","")),Students!$A:$A,AR$2)+countifs(Students!$P:$P,$AB64,Students!$Q:$Q,$AB$2&amp;if($K64="S1","a",if($K64="S2","b","")),Students!$A:$A,AR$2)+countifs(Students!$R:$R,$AB64,Students!$S:$S,$AB$2&amp;if($K64="S1","a",if($K64="S2","b","")),Students!$A:$A,AR$2)+countifs(Students!$T:$T,$AB64,Students!$U:$U,$AB$2&amp;if($K64="S1","a",if($K64="S2","b","")),Students!$A:$A,AR$2)+countifs(Students!$V:$V,$AB64,Students!$W:$W,$AB$2&amp;if($K64="S1","a",if($K64="S2","b","")),Students!$A:$A,AR$2)+
countifs(Students!$D:$D,$AE64,Students!$E:$E,$AE$2&amp;if($K64="S1","a",if($K64="S2","b","")),Students!$A:$A,AR$2)+countifs(Students!$F:$F,$AE64,Students!$G:$G,$AE$2&amp;if($K64="S1","a",if($K64="S2","b","")),Students!$A:$A,AR$2)+countifs(Students!$H:$H,$AE64,Students!$I:$I,$AE$2&amp;if($K64="S1","a",if($K64="S2","b","")),Students!$A:$A,AR$2)+countifs(Students!$J:$J,$AE64,Students!$K:$K,$AE$2&amp;if($K64="S1","a",if($K64="S2","b","")),Students!$A:$A,AR$2)+countifs(Students!$L:$L,$AE64,Students!$M:$M,$AE$2&amp;if($K64="S1","a",if($K64="S2","b","")),Students!$A:$A,AR$2)+countifs(Students!$N:$N,$AE64,Students!$O:$O,$AE$2&amp;if($K64="S1","a",if($K64="S2","b","")),Students!$A:$A,AR$2)+countifs(Students!$P:$P,$AE64,Students!$Q:$Q,$AE$2&amp;if($K64="S1","a",if($K64="S2","b","")),Students!$A:$A,AR$2)+countifs(Students!$R:$R,$AE64,Students!$S:$S,$AE$2&amp;if($K64="S1","a",if($K64="S2","b","")),Students!$A:$A,AR$2)+countifs(Students!$T:$T,$AE64,Students!$U:$U,$AE$2&amp;if($K64="S1","a",if($K64="S2","b","")),Students!$A:$A,AR$2)+countifs(Students!$V:$V,$AE64,Students!$W:$W,$AE$2&amp;if($K64="S1","a",if($K64="S2","b","")),Students!$A:$A,AR$2)+
countifs(Students!$D:$D,$AH64,Students!$E:$E,$AH$2&amp;if($K64="S1","a",if($K64="S2","b","")),Students!$A:$A,AR$2)+countifs(Students!$F:$F,$AH64,Students!$G:$G,$AH$2&amp;if($K64="S1","a",if($K64="S2","b","")),Students!$A:$A,AR$2)+countifs(Students!$H:$H,$AH64,Students!$I:$I,$AH$2&amp;if($K64="S1","a",if($K64="S2","b","")),Students!$A:$A,AR$2)+countifs(Students!$J:$J,$AH64,Students!$K:$K,$AH$2&amp;if($K64="S1","a",if($K64="S2","b","")),Students!$A:$A,AR$2)+countifs(Students!$L:$L,$AH64,Students!$M:$M,$AH$2&amp;if($K64="S1","a",if($K64="S2","b","")),Students!$A:$A,AR$2)+countifs(Students!$N:$N,$AH64,Students!$O:$O,$AH$2&amp;if($K64="S1","a",if($K64="S2","b","")),Students!$A:$A,AR$2)+countifs(Students!$P:$P,$AH64,Students!$Q:$Q,$AH$2&amp;if($K64="S1","a",if($K64="S2","b","")),Students!$A:$A,AR$2)+countifs(Students!$R:$R,$AH64,Students!$S:$S,$AH$2&amp;if($K64="S1","a",if($K64="S2","b","")),Students!$A:$A,AR$2)+countifs(Students!$T:$T,$AH64,Students!$U:$U,$AH$2&amp;if($K64="S1","a",if($K64="S2","b","")),Students!$A:$A,AR$2)+countifs(Students!$V:$V,$AH64,Students!$W:$W,$AH$2&amp;if($K64="S1","a",if($K64="S2","b","")),Students!$A:$A,AR$2)+
countifs(Students!$D:$D,$AK64,Students!$E:$E,$AK$2&amp;if($K64="S1","a",if($K64="S2","b","")),Students!$A:$A,AR$2)+countifs(Students!$F:$F,$AK64,Students!$G:$G,$AK$2&amp;if($K64="S1","a",if($K64="S2","b","")),Students!$A:$A,AR$2)+countifs(Students!$H:$H,$AK64,Students!$I:$I,$AK$2&amp;if($K64="S1","a",if($K64="S2","b","")),Students!$A:$A,AR$2)+countifs(Students!$J:$J,$AK64,Students!$K:$K,$AK$2&amp;if($K64="S1","a",if($K64="S2","b","")),Students!$A:$A,AR$2)+countifs(Students!$L:$L,$AK64,Students!$M:$M,$AK$2&amp;if($K64="S1","a",if($K64="S2","b","")),Students!$A:$A,AR$2)+countifs(Students!$N:$N,$AK64,Students!$O:$O,$AK$2&amp;if($K64="S1","a",if($K64="S2","b","")),Students!$A:$A,AR$2)+countifs(Students!$P:$P,$AK64,Students!$Q:$Q,$AK$2&amp;if($K64="S1","a",if($K64="S2","b","")),Students!$A:$A,AR$2)+countifs(Students!$R:$R,$AK64,Students!$S:$S,$AK$2&amp;if($K64="S1","a",if($K64="S2","b","")),Students!$A:$A,AR$2)+countifs(Students!$T:$T,$AK64,Students!$U:$U,$AK$2&amp;if($K64="S1","a",if($K64="S2","b","")),Students!$A:$A,AR$2)+countifs(Students!$V:$V,$AK64,Students!$W:$W,$AK$2&amp;if($K64="S1","a",if($K64="S2","b","")),Students!$A:$A,AR$2))</f>
        <v/>
      </c>
      <c r="AS64" s="98" t="str">
        <f>if($L64="","",countifs(Students!$D:$D,$P64,Students!$E:$E,$P$2&amp;if($K64="S1","a",if($K64="S2","b","")),Students!$A:$A,AS$2)+countifs(Students!$F:$F,$P64,Students!$G:$G,$P$2&amp;if($K64="S1","a",if($K64="S2","b","")),Students!$A:$A,AS$2)+countifs(Students!$H:$H,$P64,Students!$I:$I,$P$2&amp;if($K64="S1","a",if($K64="S2","b","")),Students!$A:$A,AS$2)+countifs(Students!$J:$J,$P64,Students!$K:$K,$P$2&amp;if($K64="S1","a",if($K64="S2","b","")),Students!$A:$A,AS$2)+countifs(Students!$L:$L,$P64,Students!$M:$M,$P$2&amp;if($K64="S1","a",if($K64="S2","b","")),Students!$A:$A,AS$2)+countifs(Students!$N:$N,$P64,Students!$O:$O,$P$2&amp;if($K64="S1","a",if($K64="S2","b","")),Students!$A:$A,AS$2)+countifs(Students!$P:$P,$P64,Students!$Q:$Q,$P$2&amp;if($K64="S1","a",if($K64="S2","b","")),Students!$A:$A,AS$2)+countifs(Students!$R:$R,$P64,Students!$S:$S,$P$2&amp;if($K64="S1","a",if($K64="S2","b","")),Students!$A:$A,AS$2)+countifs(Students!$T:$T,$P64,Students!$U:$U,$P$2&amp;if($K64="S1","a",if($K64="S2","b","")),Students!$A:$A,AS$2)+countifs(Students!$V:$V,$P64,Students!$W:$W,$P$2&amp;if($K64="S1","a",if($K64="S2","b","")),Students!$A:$A,AS$2)+
countifs(Students!$D:$D,$S64,Students!$E:$E,$S$2&amp;if($K64="S1","a",if($K64="S2","b","")),Students!$A:$A,AS$2)+countifs(Students!$F:$F,$S64,Students!$G:$G,$S$2&amp;if($K64="S1","a",if($K64="S2","b","")),Students!$A:$A,AS$2)+countifs(Students!$H:$H,$S64,Students!$I:$I,$S$2&amp;if($K64="S1","a",if($K64="S2","b","")),Students!$A:$A,AS$2)+countifs(Students!$J:$J,$S64,Students!$K:$K,$S$2&amp;if($K64="S1","a",if($K64="S2","b","")),Students!$A:$A,AS$2)+countifs(Students!$L:$L,$S64,Students!$M:$M,$S$2&amp;if($K64="S1","a",if($K64="S2","b","")),Students!$A:$A,AS$2)+countifs(Students!$N:$N,$S64,Students!$O:$O,$S$2&amp;if($K64="S1","a",if($K64="S2","b","")),Students!$A:$A,AS$2)+countifs(Students!$P:$P,$S64,Students!$Q:$Q,$S$2&amp;if($K64="S1","a",if($K64="S2","b","")),Students!$A:$A,AS$2)+countifs(Students!$R:$R,$S64,Students!$S:$S,$S$2&amp;if($K64="S1","a",if($K64="S2","b","")),Students!$A:$A,AS$2)+countifs(Students!$T:$T,$S64,Students!$U:$U,$S$2&amp;if($K64="S1","a",if($K64="S2","b","")),Students!$A:$A,AS$2)+countifs(Students!$V:$V,$S64,Students!$W:$W,$S$2&amp;if($K64="S1","a",if($K64="S2","b","")),Students!$A:$A,AS$2)+
countifs(Students!$D:$D,$V64,Students!$E:$E,$V$2&amp;if($K64="S1","a",if($K64="S2","b","")),Students!$A:$A,AS$2)+countifs(Students!$F:$F,$V64,Students!$G:$G,$V$2&amp;if($K64="S1","a",if($K64="S2","b","")),Students!$A:$A,AS$2)+countifs(Students!$H:$H,$V64,Students!$I:$I,$V$2&amp;if($K64="S1","a",if($K64="S2","b","")),Students!$A:$A,AS$2)+countifs(Students!$J:$J,$V64,Students!$K:$K,$V$2&amp;if($K64="S1","a",if($K64="S2","b","")),Students!$A:$A,AS$2)+countifs(Students!$L:$L,$V64,Students!$M:$M,$V$2&amp;if($K64="S1","a",if($K64="S2","b","")),Students!$A:$A,AS$2)+countifs(Students!$N:$N,$V64,Students!$O:$O,$V$2&amp;if($K64="S1","a",if($K64="S2","b","")),Students!$A:$A,AS$2)+countifs(Students!$P:$P,$V64,Students!$Q:$Q,$V$2&amp;if($K64="S1","a",if($K64="S2","b","")),Students!$A:$A,AS$2)+countifs(Students!$R:$R,$V64,Students!$S:$S,$V$2&amp;if($K64="S1","a",if($K64="S2","b","")),Students!$A:$A,AS$2)+countifs(Students!$T:$T,$V64,Students!$U:$U,$V$2&amp;if($K64="S1","a",if($K64="S2","b","")),Students!$A:$A,AS$2)+countifs(Students!$V:$V,$V64,Students!$W:$W,$V$2&amp;if($K64="S1","a",if($K64="S2","b","")),Students!$A:$A,AS$2)+
countifs(Students!$D:$D,$Y64,Students!$E:$E,$Y$2&amp;if($K64="S1","a",if($K64="S2","b","")),Students!$A:$A,AS$2)+countifs(Students!$F:$F,$Y64,Students!$G:$G,$Y$2&amp;if($K64="S1","a",if($K64="S2","b","")),Students!$A:$A,AS$2)+countifs(Students!$H:$H,$Y64,Students!$I:$I,$Y$2&amp;if($K64="S1","a",if($K64="S2","b","")),Students!$A:$A,AS$2)+countifs(Students!$J:$J,$Y64,Students!$K:$K,$Y$2&amp;if($K64="S1","a",if($K64="S2","b","")),Students!$A:$A,AS$2)+countifs(Students!$L:$L,$Y64,Students!$M:$M,$Y$2&amp;if($K64="S1","a",if($K64="S2","b","")),Students!$A:$A,AS$2)+countifs(Students!$N:$N,$Y64,Students!$O:$O,$Y$2&amp;if($K64="S1","a",if($K64="S2","b","")),Students!$A:$A,AS$2)+countifs(Students!$P:$P,$Y64,Students!$Q:$Q,$Y$2&amp;if($K64="S1","a",if($K64="S2","b","")),Students!$A:$A,AS$2)+countifs(Students!$R:$R,$Y64,Students!$S:$S,$Y$2&amp;if($K64="S1","a",if($K64="S2","b","")),Students!$A:$A,AS$2)+countifs(Students!$T:$T,$Y64,Students!$U:$U,$Y$2&amp;if($K64="S1","a",if($K64="S2","b","")),Students!$A:$A,AS$2)+countifs(Students!$V:$V,$Y64,Students!$W:$W,$Y$2&amp;if($K64="S1","a",if($K64="S2","b","")),Students!$A:$A,AS$2)+
countifs(Students!$D:$D,$AB64,Students!$E:$E,$AB$2&amp;if($K64="S1","a",if($K64="S2","b","")),Students!$A:$A,AS$2)+countifs(Students!$F:$F,$AB64,Students!$G:$G,$AB$2&amp;if($K64="S1","a",if($K64="S2","b","")),Students!$A:$A,AS$2)+countifs(Students!$H:$H,$AB64,Students!$I:$I,$AB$2&amp;if($K64="S1","a",if($K64="S2","b","")),Students!$A:$A,AS$2)+countifs(Students!$J:$J,$AB64,Students!$K:$K,$AB$2&amp;if($K64="S1","a",if($K64="S2","b","")),Students!$A:$A,AS$2)+countifs(Students!$L:$L,$AB64,Students!$M:$M,$AB$2&amp;if($K64="S1","a",if($K64="S2","b","")),Students!$A:$A,AS$2)+countifs(Students!$N:$N,$AB64,Students!$O:$O,$AB$2&amp;if($K64="S1","a",if($K64="S2","b","")),Students!$A:$A,AS$2)+countifs(Students!$P:$P,$AB64,Students!$Q:$Q,$AB$2&amp;if($K64="S1","a",if($K64="S2","b","")),Students!$A:$A,AS$2)+countifs(Students!$R:$R,$AB64,Students!$S:$S,$AB$2&amp;if($K64="S1","a",if($K64="S2","b","")),Students!$A:$A,AS$2)+countifs(Students!$T:$T,$AB64,Students!$U:$U,$AB$2&amp;if($K64="S1","a",if($K64="S2","b","")),Students!$A:$A,AS$2)+countifs(Students!$V:$V,$AB64,Students!$W:$W,$AB$2&amp;if($K64="S1","a",if($K64="S2","b","")),Students!$A:$A,AS$2)+
countifs(Students!$D:$D,$AE64,Students!$E:$E,$AE$2&amp;if($K64="S1","a",if($K64="S2","b","")),Students!$A:$A,AS$2)+countifs(Students!$F:$F,$AE64,Students!$G:$G,$AE$2&amp;if($K64="S1","a",if($K64="S2","b","")),Students!$A:$A,AS$2)+countifs(Students!$H:$H,$AE64,Students!$I:$I,$AE$2&amp;if($K64="S1","a",if($K64="S2","b","")),Students!$A:$A,AS$2)+countifs(Students!$J:$J,$AE64,Students!$K:$K,$AE$2&amp;if($K64="S1","a",if($K64="S2","b","")),Students!$A:$A,AS$2)+countifs(Students!$L:$L,$AE64,Students!$M:$M,$AE$2&amp;if($K64="S1","a",if($K64="S2","b","")),Students!$A:$A,AS$2)+countifs(Students!$N:$N,$AE64,Students!$O:$O,$AE$2&amp;if($K64="S1","a",if($K64="S2","b","")),Students!$A:$A,AS$2)+countifs(Students!$P:$P,$AE64,Students!$Q:$Q,$AE$2&amp;if($K64="S1","a",if($K64="S2","b","")),Students!$A:$A,AS$2)+countifs(Students!$R:$R,$AE64,Students!$S:$S,$AE$2&amp;if($K64="S1","a",if($K64="S2","b","")),Students!$A:$A,AS$2)+countifs(Students!$T:$T,$AE64,Students!$U:$U,$AE$2&amp;if($K64="S1","a",if($K64="S2","b","")),Students!$A:$A,AS$2)+countifs(Students!$V:$V,$AE64,Students!$W:$W,$AE$2&amp;if($K64="S1","a",if($K64="S2","b","")),Students!$A:$A,AS$2)+
countifs(Students!$D:$D,$AH64,Students!$E:$E,$AH$2&amp;if($K64="S1","a",if($K64="S2","b","")),Students!$A:$A,AS$2)+countifs(Students!$F:$F,$AH64,Students!$G:$G,$AH$2&amp;if($K64="S1","a",if($K64="S2","b","")),Students!$A:$A,AS$2)+countifs(Students!$H:$H,$AH64,Students!$I:$I,$AH$2&amp;if($K64="S1","a",if($K64="S2","b","")),Students!$A:$A,AS$2)+countifs(Students!$J:$J,$AH64,Students!$K:$K,$AH$2&amp;if($K64="S1","a",if($K64="S2","b","")),Students!$A:$A,AS$2)+countifs(Students!$L:$L,$AH64,Students!$M:$M,$AH$2&amp;if($K64="S1","a",if($K64="S2","b","")),Students!$A:$A,AS$2)+countifs(Students!$N:$N,$AH64,Students!$O:$O,$AH$2&amp;if($K64="S1","a",if($K64="S2","b","")),Students!$A:$A,AS$2)+countifs(Students!$P:$P,$AH64,Students!$Q:$Q,$AH$2&amp;if($K64="S1","a",if($K64="S2","b","")),Students!$A:$A,AS$2)+countifs(Students!$R:$R,$AH64,Students!$S:$S,$AH$2&amp;if($K64="S1","a",if($K64="S2","b","")),Students!$A:$A,AS$2)+countifs(Students!$T:$T,$AH64,Students!$U:$U,$AH$2&amp;if($K64="S1","a",if($K64="S2","b","")),Students!$A:$A,AS$2)+countifs(Students!$V:$V,$AH64,Students!$W:$W,$AH$2&amp;if($K64="S1","a",if($K64="S2","b","")),Students!$A:$A,AS$2)+
countifs(Students!$D:$D,$AK64,Students!$E:$E,$AK$2&amp;if($K64="S1","a",if($K64="S2","b","")),Students!$A:$A,AS$2)+countifs(Students!$F:$F,$AK64,Students!$G:$G,$AK$2&amp;if($K64="S1","a",if($K64="S2","b","")),Students!$A:$A,AS$2)+countifs(Students!$H:$H,$AK64,Students!$I:$I,$AK$2&amp;if($K64="S1","a",if($K64="S2","b","")),Students!$A:$A,AS$2)+countifs(Students!$J:$J,$AK64,Students!$K:$K,$AK$2&amp;if($K64="S1","a",if($K64="S2","b","")),Students!$A:$A,AS$2)+countifs(Students!$L:$L,$AK64,Students!$M:$M,$AK$2&amp;if($K64="S1","a",if($K64="S2","b","")),Students!$A:$A,AS$2)+countifs(Students!$N:$N,$AK64,Students!$O:$O,$AK$2&amp;if($K64="S1","a",if($K64="S2","b","")),Students!$A:$A,AS$2)+countifs(Students!$P:$P,$AK64,Students!$Q:$Q,$AK$2&amp;if($K64="S1","a",if($K64="S2","b","")),Students!$A:$A,AS$2)+countifs(Students!$R:$R,$AK64,Students!$S:$S,$AK$2&amp;if($K64="S1","a",if($K64="S2","b","")),Students!$A:$A,AS$2)+countifs(Students!$T:$T,$AK64,Students!$U:$U,$AK$2&amp;if($K64="S1","a",if($K64="S2","b","")),Students!$A:$A,AS$2)+countifs(Students!$V:$V,$AK64,Students!$W:$W,$AK$2&amp;if($K64="S1","a",if($K64="S2","b","")),Students!$A:$A,AS$2))</f>
        <v/>
      </c>
    </row>
    <row r="65">
      <c r="J65" s="106" t="s">
        <v>22</v>
      </c>
      <c r="K65" s="88"/>
      <c r="L65" s="130"/>
      <c r="M65" s="89"/>
      <c r="N65" s="106" t="s">
        <v>22</v>
      </c>
      <c r="O65" s="106"/>
      <c r="P65" s="89"/>
      <c r="Q65" s="89"/>
      <c r="R65" s="98" t="s">
        <v>22</v>
      </c>
      <c r="S65" s="89"/>
      <c r="T65" s="89"/>
      <c r="U65" s="98" t="s">
        <v>22</v>
      </c>
      <c r="V65" s="89"/>
      <c r="W65" s="89"/>
      <c r="X65" s="98" t="s">
        <v>22</v>
      </c>
      <c r="Y65" s="89"/>
      <c r="Z65" s="89"/>
      <c r="AA65" s="98" t="s">
        <v>22</v>
      </c>
      <c r="AB65" s="89"/>
      <c r="AC65" s="89"/>
      <c r="AD65" s="98" t="s">
        <v>22</v>
      </c>
      <c r="AE65" s="89"/>
      <c r="AF65" s="89"/>
      <c r="AG65" s="98" t="s">
        <v>22</v>
      </c>
      <c r="AH65" s="89"/>
      <c r="AI65" s="133"/>
      <c r="AJ65" s="98" t="s">
        <v>22</v>
      </c>
      <c r="AK65" s="89"/>
      <c r="AL65" s="133"/>
      <c r="AM65" s="98" t="s">
        <v>22</v>
      </c>
      <c r="AN65" s="99"/>
      <c r="AO65" s="52" t="str">
        <f t="shared" si="2"/>
        <v/>
      </c>
      <c r="AP65" s="98" t="str">
        <f>if($L65="","",countifs(Students!$D:$D,$P65,Students!$E:$E,$P$2&amp;if($K65="S1","a",if($K65="S2","b","")),Students!$A:$A,AP$2)+countifs(Students!$F:$F,$P65,Students!$G:$G,$P$2&amp;if($K65="S1","a",if($K65="S2","b","")),Students!$A:$A,AP$2)+countifs(Students!$H:$H,$P65,Students!$I:$I,$P$2&amp;if($K65="S1","a",if($K65="S2","b","")),Students!$A:$A,AP$2)+countifs(Students!$J:$J,$P65,Students!$K:$K,$P$2&amp;if($K65="S1","a",if($K65="S2","b","")),Students!$A:$A,AP$2)+countifs(Students!$L:$L,$P65,Students!$M:$M,$P$2&amp;if($K65="S1","a",if($K65="S2","b","")),Students!$A:$A,AP$2)+countifs(Students!$N:$N,$P65,Students!$O:$O,$P$2&amp;if($K65="S1","a",if($K65="S2","b","")),Students!$A:$A,AP$2)+countifs(Students!$P:$P,$P65,Students!$Q:$Q,$P$2&amp;if($K65="S1","a",if($K65="S2","b","")),Students!$A:$A,AP$2)+countifs(Students!$R:$R,$P65,Students!$S:$S,$P$2&amp;if($K65="S1","a",if($K65="S2","b","")),Students!$A:$A,AP$2)+countifs(Students!$T:$T,$P65,Students!$U:$U,$P$2&amp;if($K65="S1","a",if($K65="S2","b","")),Students!$A:$A,AP$2)+countifs(Students!$V:$V,$P65,Students!$W:$W,$P$2&amp;if($K65="S1","a",if($K65="S2","b","")),Students!$A:$A,AP$2)+
countifs(Students!$D:$D,$S65,Students!$E:$E,$S$2&amp;if($K65="S1","a",if($K65="S2","b","")),Students!$A:$A,AP$2)+countifs(Students!$F:$F,$S65,Students!$G:$G,$S$2&amp;if($K65="S1","a",if($K65="S2","b","")),Students!$A:$A,AP$2)+countifs(Students!$H:$H,$S65,Students!$I:$I,$S$2&amp;if($K65="S1","a",if($K65="S2","b","")),Students!$A:$A,AP$2)+countifs(Students!$J:$J,$S65,Students!$K:$K,$S$2&amp;if($K65="S1","a",if($K65="S2","b","")),Students!$A:$A,AP$2)+countifs(Students!$L:$L,$S65,Students!$M:$M,$S$2&amp;if($K65="S1","a",if($K65="S2","b","")),Students!$A:$A,AP$2)+countifs(Students!$N:$N,$S65,Students!$O:$O,$S$2&amp;if($K65="S1","a",if($K65="S2","b","")),Students!$A:$A,AP$2)+countifs(Students!$P:$P,$S65,Students!$Q:$Q,$S$2&amp;if($K65="S1","a",if($K65="S2","b","")),Students!$A:$A,AP$2)+countifs(Students!$R:$R,$S65,Students!$S:$S,$S$2&amp;if($K65="S1","a",if($K65="S2","b","")),Students!$A:$A,AP$2)+countifs(Students!$T:$T,$S65,Students!$U:$U,$S$2&amp;if($K65="S1","a",if($K65="S2","b","")),Students!$A:$A,AP$2)+countifs(Students!$V:$V,$S65,Students!$W:$W,$S$2&amp;if($K65="S1","a",if($K65="S2","b","")),Students!$A:$A,AP$2)+
countifs(Students!$D:$D,$V65,Students!$E:$E,$V$2&amp;if($K65="S1","a",if($K65="S2","b","")),Students!$A:$A,AP$2)+countifs(Students!$F:$F,$V65,Students!$G:$G,$V$2&amp;if($K65="S1","a",if($K65="S2","b","")),Students!$A:$A,AP$2)+countifs(Students!$H:$H,$V65,Students!$I:$I,$V$2&amp;if($K65="S1","a",if($K65="S2","b","")),Students!$A:$A,AP$2)+countifs(Students!$J:$J,$V65,Students!$K:$K,$V$2&amp;if($K65="S1","a",if($K65="S2","b","")),Students!$A:$A,AP$2)+countifs(Students!$L:$L,$V65,Students!$M:$M,$V$2&amp;if($K65="S1","a",if($K65="S2","b","")),Students!$A:$A,AP$2)+countifs(Students!$N:$N,$V65,Students!$O:$O,$V$2&amp;if($K65="S1","a",if($K65="S2","b","")),Students!$A:$A,AP$2)+countifs(Students!$P:$P,$V65,Students!$Q:$Q,$V$2&amp;if($K65="S1","a",if($K65="S2","b","")),Students!$A:$A,AP$2)+countifs(Students!$R:$R,$V65,Students!$S:$S,$V$2&amp;if($K65="S1","a",if($K65="S2","b","")),Students!$A:$A,AP$2)+countifs(Students!$T:$T,$V65,Students!$U:$U,$V$2&amp;if($K65="S1","a",if($K65="S2","b","")),Students!$A:$A,AP$2)+countifs(Students!$V:$V,$V65,Students!$W:$W,$V$2&amp;if($K65="S1","a",if($K65="S2","b","")),Students!$A:$A,AP$2)+
countifs(Students!$D:$D,$Y65,Students!$E:$E,$Y$2&amp;if($K65="S1","a",if($K65="S2","b","")),Students!$A:$A,AP$2)+countifs(Students!$F:$F,$Y65,Students!$G:$G,$Y$2&amp;if($K65="S1","a",if($K65="S2","b","")),Students!$A:$A,AP$2)+countifs(Students!$H:$H,$Y65,Students!$I:$I,$Y$2&amp;if($K65="S1","a",if($K65="S2","b","")),Students!$A:$A,AP$2)+countifs(Students!$J:$J,$Y65,Students!$K:$K,$Y$2&amp;if($K65="S1","a",if($K65="S2","b","")),Students!$A:$A,AP$2)+countifs(Students!$L:$L,$Y65,Students!$M:$M,$Y$2&amp;if($K65="S1","a",if($K65="S2","b","")),Students!$A:$A,AP$2)+countifs(Students!$N:$N,$Y65,Students!$O:$O,$Y$2&amp;if($K65="S1","a",if($K65="S2","b","")),Students!$A:$A,AP$2)+countifs(Students!$P:$P,$Y65,Students!$Q:$Q,$Y$2&amp;if($K65="S1","a",if($K65="S2","b","")),Students!$A:$A,AP$2)+countifs(Students!$R:$R,$Y65,Students!$S:$S,$Y$2&amp;if($K65="S1","a",if($K65="S2","b","")),Students!$A:$A,AP$2)+countifs(Students!$T:$T,$Y65,Students!$U:$U,$Y$2&amp;if($K65="S1","a",if($K65="S2","b","")),Students!$A:$A,AP$2)+countifs(Students!$V:$V,$Y65,Students!$W:$W,$Y$2&amp;if($K65="S1","a",if($K65="S2","b","")),Students!$A:$A,AP$2)+
countifs(Students!$D:$D,$AB65,Students!$E:$E,$AB$2&amp;if($K65="S1","a",if($K65="S2","b","")),Students!$A:$A,AP$2)+countifs(Students!$F:$F,$AB65,Students!$G:$G,$AB$2&amp;if($K65="S1","a",if($K65="S2","b","")),Students!$A:$A,AP$2)+countifs(Students!$H:$H,$AB65,Students!$I:$I,$AB$2&amp;if($K65="S1","a",if($K65="S2","b","")),Students!$A:$A,AP$2)+countifs(Students!$J:$J,$AB65,Students!$K:$K,$AB$2&amp;if($K65="S1","a",if($K65="S2","b","")),Students!$A:$A,AP$2)+countifs(Students!$L:$L,$AB65,Students!$M:$M,$AB$2&amp;if($K65="S1","a",if($K65="S2","b","")),Students!$A:$A,AP$2)+countifs(Students!$N:$N,$AB65,Students!$O:$O,$AB$2&amp;if($K65="S1","a",if($K65="S2","b","")),Students!$A:$A,AP$2)+countifs(Students!$P:$P,$AB65,Students!$Q:$Q,$AB$2&amp;if($K65="S1","a",if($K65="S2","b","")),Students!$A:$A,AP$2)+countifs(Students!$R:$R,$AB65,Students!$S:$S,$AB$2&amp;if($K65="S1","a",if($K65="S2","b","")),Students!$A:$A,AP$2)+countifs(Students!$T:$T,$AB65,Students!$U:$U,$AB$2&amp;if($K65="S1","a",if($K65="S2","b","")),Students!$A:$A,AP$2)+countifs(Students!$V:$V,$AB65,Students!$W:$W,$AB$2&amp;if($K65="S1","a",if($K65="S2","b","")),Students!$A:$A,AP$2)+
countifs(Students!$D:$D,$AE65,Students!$E:$E,$AE$2&amp;if($K65="S1","a",if($K65="S2","b","")),Students!$A:$A,AP$2)+countifs(Students!$F:$F,$AE65,Students!$G:$G,$AE$2&amp;if($K65="S1","a",if($K65="S2","b","")),Students!$A:$A,AP$2)+countifs(Students!$H:$H,$AE65,Students!$I:$I,$AE$2&amp;if($K65="S1","a",if($K65="S2","b","")),Students!$A:$A,AP$2)+countifs(Students!$J:$J,$AE65,Students!$K:$K,$AE$2&amp;if($K65="S1","a",if($K65="S2","b","")),Students!$A:$A,AP$2)+countifs(Students!$L:$L,$AE65,Students!$M:$M,$AE$2&amp;if($K65="S1","a",if($K65="S2","b","")),Students!$A:$A,AP$2)+countifs(Students!$N:$N,$AE65,Students!$O:$O,$AE$2&amp;if($K65="S1","a",if($K65="S2","b","")),Students!$A:$A,AP$2)+countifs(Students!$P:$P,$AE65,Students!$Q:$Q,$AE$2&amp;if($K65="S1","a",if($K65="S2","b","")),Students!$A:$A,AP$2)+countifs(Students!$R:$R,$AE65,Students!$S:$S,$AE$2&amp;if($K65="S1","a",if($K65="S2","b","")),Students!$A:$A,AP$2)+countifs(Students!$T:$T,$AE65,Students!$U:$U,$AE$2&amp;if($K65="S1","a",if($K65="S2","b","")),Students!$A:$A,AP$2)+countifs(Students!$V:$V,$AE65,Students!$W:$W,$AE$2&amp;if($K65="S1","a",if($K65="S2","b","")),Students!$A:$A,AP$2)+
countifs(Students!$D:$D,$AH65,Students!$E:$E,$AH$2&amp;if($K65="S1","a",if($K65="S2","b","")),Students!$A:$A,AP$2)+countifs(Students!$F:$F,$AH65,Students!$G:$G,$AH$2&amp;if($K65="S1","a",if($K65="S2","b","")),Students!$A:$A,AP$2)+countifs(Students!$H:$H,$AH65,Students!$I:$I,$AH$2&amp;if($K65="S1","a",if($K65="S2","b","")),Students!$A:$A,AP$2)+countifs(Students!$J:$J,$AH65,Students!$K:$K,$AH$2&amp;if($K65="S1","a",if($K65="S2","b","")),Students!$A:$A,AP$2)+countifs(Students!$L:$L,$AH65,Students!$M:$M,$AH$2&amp;if($K65="S1","a",if($K65="S2","b","")),Students!$A:$A,AP$2)+countifs(Students!$N:$N,$AH65,Students!$O:$O,$AH$2&amp;if($K65="S1","a",if($K65="S2","b","")),Students!$A:$A,AP$2)+countifs(Students!$P:$P,$AH65,Students!$Q:$Q,$AH$2&amp;if($K65="S1","a",if($K65="S2","b","")),Students!$A:$A,AP$2)+countifs(Students!$R:$R,$AH65,Students!$S:$S,$AH$2&amp;if($K65="S1","a",if($K65="S2","b","")),Students!$A:$A,AP$2)+countifs(Students!$T:$T,$AH65,Students!$U:$U,$AH$2&amp;if($K65="S1","a",if($K65="S2","b","")),Students!$A:$A,AP$2)+countifs(Students!$V:$V,$AH65,Students!$W:$W,$AH$2&amp;if($K65="S1","a",if($K65="S2","b","")),Students!$A:$A,AP$2)+
countifs(Students!$D:$D,$AK65,Students!$E:$E,$AK$2&amp;if($K65="S1","a",if($K65="S2","b","")),Students!$A:$A,AP$2)+countifs(Students!$F:$F,$AK65,Students!$G:$G,$AK$2&amp;if($K65="S1","a",if($K65="S2","b","")),Students!$A:$A,AP$2)+countifs(Students!$H:$H,$AK65,Students!$I:$I,$AK$2&amp;if($K65="S1","a",if($K65="S2","b","")),Students!$A:$A,AP$2)+countifs(Students!$J:$J,$AK65,Students!$K:$K,$AK$2&amp;if($K65="S1","a",if($K65="S2","b","")),Students!$A:$A,AP$2)+countifs(Students!$L:$L,$AK65,Students!$M:$M,$AK$2&amp;if($K65="S1","a",if($K65="S2","b","")),Students!$A:$A,AP$2)+countifs(Students!$N:$N,$AK65,Students!$O:$O,$AK$2&amp;if($K65="S1","a",if($K65="S2","b","")),Students!$A:$A,AP$2)+countifs(Students!$P:$P,$AK65,Students!$Q:$Q,$AK$2&amp;if($K65="S1","a",if($K65="S2","b","")),Students!$A:$A,AP$2)+countifs(Students!$R:$R,$AK65,Students!$S:$S,$AK$2&amp;if($K65="S1","a",if($K65="S2","b","")),Students!$A:$A,AP$2)+countifs(Students!$T:$T,$AK65,Students!$U:$U,$AK$2&amp;if($K65="S1","a",if($K65="S2","b","")),Students!$A:$A,AP$2)+countifs(Students!$V:$V,$AK65,Students!$W:$W,$AK$2&amp;if($K65="S1","a",if($K65="S2","b","")),Students!$A:$A,AP$2))</f>
        <v/>
      </c>
      <c r="AQ65" s="98" t="str">
        <f>if($L65="","",countifs(Students!$D:$D,$P65,Students!$E:$E,$P$2&amp;if($K65="S1","a",if($K65="S2","b","")),Students!$A:$A,AQ$2)+countifs(Students!$F:$F,$P65,Students!$G:$G,$P$2&amp;if($K65="S1","a",if($K65="S2","b","")),Students!$A:$A,AQ$2)+countifs(Students!$H:$H,$P65,Students!$I:$I,$P$2&amp;if($K65="S1","a",if($K65="S2","b","")),Students!$A:$A,AQ$2)+countifs(Students!$J:$J,$P65,Students!$K:$K,$P$2&amp;if($K65="S1","a",if($K65="S2","b","")),Students!$A:$A,AQ$2)+countifs(Students!$L:$L,$P65,Students!$M:$M,$P$2&amp;if($K65="S1","a",if($K65="S2","b","")),Students!$A:$A,AQ$2)+countifs(Students!$N:$N,$P65,Students!$O:$O,$P$2&amp;if($K65="S1","a",if($K65="S2","b","")),Students!$A:$A,AQ$2)+countifs(Students!$P:$P,$P65,Students!$Q:$Q,$P$2&amp;if($K65="S1","a",if($K65="S2","b","")),Students!$A:$A,AQ$2)+countifs(Students!$R:$R,$P65,Students!$S:$S,$P$2&amp;if($K65="S1","a",if($K65="S2","b","")),Students!$A:$A,AQ$2)+countifs(Students!$T:$T,$P65,Students!$U:$U,$P$2&amp;if($K65="S1","a",if($K65="S2","b","")),Students!$A:$A,AQ$2)+countifs(Students!$V:$V,$P65,Students!$W:$W,$P$2&amp;if($K65="S1","a",if($K65="S2","b","")),Students!$A:$A,AQ$2)+
countifs(Students!$D:$D,$S65,Students!$E:$E,$S$2&amp;if($K65="S1","a",if($K65="S2","b","")),Students!$A:$A,AQ$2)+countifs(Students!$F:$F,$S65,Students!$G:$G,$S$2&amp;if($K65="S1","a",if($K65="S2","b","")),Students!$A:$A,AQ$2)+countifs(Students!$H:$H,$S65,Students!$I:$I,$S$2&amp;if($K65="S1","a",if($K65="S2","b","")),Students!$A:$A,AQ$2)+countifs(Students!$J:$J,$S65,Students!$K:$K,$S$2&amp;if($K65="S1","a",if($K65="S2","b","")),Students!$A:$A,AQ$2)+countifs(Students!$L:$L,$S65,Students!$M:$M,$S$2&amp;if($K65="S1","a",if($K65="S2","b","")),Students!$A:$A,AQ$2)+countifs(Students!$N:$N,$S65,Students!$O:$O,$S$2&amp;if($K65="S1","a",if($K65="S2","b","")),Students!$A:$A,AQ$2)+countifs(Students!$P:$P,$S65,Students!$Q:$Q,$S$2&amp;if($K65="S1","a",if($K65="S2","b","")),Students!$A:$A,AQ$2)+countifs(Students!$R:$R,$S65,Students!$S:$S,$S$2&amp;if($K65="S1","a",if($K65="S2","b","")),Students!$A:$A,AQ$2)+countifs(Students!$T:$T,$S65,Students!$U:$U,$S$2&amp;if($K65="S1","a",if($K65="S2","b","")),Students!$A:$A,AQ$2)+countifs(Students!$V:$V,$S65,Students!$W:$W,$S$2&amp;if($K65="S1","a",if($K65="S2","b","")),Students!$A:$A,AQ$2)+
countifs(Students!$D:$D,$V65,Students!$E:$E,$V$2&amp;if($K65="S1","a",if($K65="S2","b","")),Students!$A:$A,AQ$2)+countifs(Students!$F:$F,$V65,Students!$G:$G,$V$2&amp;if($K65="S1","a",if($K65="S2","b","")),Students!$A:$A,AQ$2)+countifs(Students!$H:$H,$V65,Students!$I:$I,$V$2&amp;if($K65="S1","a",if($K65="S2","b","")),Students!$A:$A,AQ$2)+countifs(Students!$J:$J,$V65,Students!$K:$K,$V$2&amp;if($K65="S1","a",if($K65="S2","b","")),Students!$A:$A,AQ$2)+countifs(Students!$L:$L,$V65,Students!$M:$M,$V$2&amp;if($K65="S1","a",if($K65="S2","b","")),Students!$A:$A,AQ$2)+countifs(Students!$N:$N,$V65,Students!$O:$O,$V$2&amp;if($K65="S1","a",if($K65="S2","b","")),Students!$A:$A,AQ$2)+countifs(Students!$P:$P,$V65,Students!$Q:$Q,$V$2&amp;if($K65="S1","a",if($K65="S2","b","")),Students!$A:$A,AQ$2)+countifs(Students!$R:$R,$V65,Students!$S:$S,$V$2&amp;if($K65="S1","a",if($K65="S2","b","")),Students!$A:$A,AQ$2)+countifs(Students!$T:$T,$V65,Students!$U:$U,$V$2&amp;if($K65="S1","a",if($K65="S2","b","")),Students!$A:$A,AQ$2)+countifs(Students!$V:$V,$V65,Students!$W:$W,$V$2&amp;if($K65="S1","a",if($K65="S2","b","")),Students!$A:$A,AQ$2)+
countifs(Students!$D:$D,$Y65,Students!$E:$E,$Y$2&amp;if($K65="S1","a",if($K65="S2","b","")),Students!$A:$A,AQ$2)+countifs(Students!$F:$F,$Y65,Students!$G:$G,$Y$2&amp;if($K65="S1","a",if($K65="S2","b","")),Students!$A:$A,AQ$2)+countifs(Students!$H:$H,$Y65,Students!$I:$I,$Y$2&amp;if($K65="S1","a",if($K65="S2","b","")),Students!$A:$A,AQ$2)+countifs(Students!$J:$J,$Y65,Students!$K:$K,$Y$2&amp;if($K65="S1","a",if($K65="S2","b","")),Students!$A:$A,AQ$2)+countifs(Students!$L:$L,$Y65,Students!$M:$M,$Y$2&amp;if($K65="S1","a",if($K65="S2","b","")),Students!$A:$A,AQ$2)+countifs(Students!$N:$N,$Y65,Students!$O:$O,$Y$2&amp;if($K65="S1","a",if($K65="S2","b","")),Students!$A:$A,AQ$2)+countifs(Students!$P:$P,$Y65,Students!$Q:$Q,$Y$2&amp;if($K65="S1","a",if($K65="S2","b","")),Students!$A:$A,AQ$2)+countifs(Students!$R:$R,$Y65,Students!$S:$S,$Y$2&amp;if($K65="S1","a",if($K65="S2","b","")),Students!$A:$A,AQ$2)+countifs(Students!$T:$T,$Y65,Students!$U:$U,$Y$2&amp;if($K65="S1","a",if($K65="S2","b","")),Students!$A:$A,AQ$2)+countifs(Students!$V:$V,$Y65,Students!$W:$W,$Y$2&amp;if($K65="S1","a",if($K65="S2","b","")),Students!$A:$A,AQ$2)+
countifs(Students!$D:$D,$AB65,Students!$E:$E,$AB$2&amp;if($K65="S1","a",if($K65="S2","b","")),Students!$A:$A,AQ$2)+countifs(Students!$F:$F,$AB65,Students!$G:$G,$AB$2&amp;if($K65="S1","a",if($K65="S2","b","")),Students!$A:$A,AQ$2)+countifs(Students!$H:$H,$AB65,Students!$I:$I,$AB$2&amp;if($K65="S1","a",if($K65="S2","b","")),Students!$A:$A,AQ$2)+countifs(Students!$J:$J,$AB65,Students!$K:$K,$AB$2&amp;if($K65="S1","a",if($K65="S2","b","")),Students!$A:$A,AQ$2)+countifs(Students!$L:$L,$AB65,Students!$M:$M,$AB$2&amp;if($K65="S1","a",if($K65="S2","b","")),Students!$A:$A,AQ$2)+countifs(Students!$N:$N,$AB65,Students!$O:$O,$AB$2&amp;if($K65="S1","a",if($K65="S2","b","")),Students!$A:$A,AQ$2)+countifs(Students!$P:$P,$AB65,Students!$Q:$Q,$AB$2&amp;if($K65="S1","a",if($K65="S2","b","")),Students!$A:$A,AQ$2)+countifs(Students!$R:$R,$AB65,Students!$S:$S,$AB$2&amp;if($K65="S1","a",if($K65="S2","b","")),Students!$A:$A,AQ$2)+countifs(Students!$T:$T,$AB65,Students!$U:$U,$AB$2&amp;if($K65="S1","a",if($K65="S2","b","")),Students!$A:$A,AQ$2)+countifs(Students!$V:$V,$AB65,Students!$W:$W,$AB$2&amp;if($K65="S1","a",if($K65="S2","b","")),Students!$A:$A,AQ$2)+
countifs(Students!$D:$D,$AE65,Students!$E:$E,$AE$2&amp;if($K65="S1","a",if($K65="S2","b","")),Students!$A:$A,AQ$2)+countifs(Students!$F:$F,$AE65,Students!$G:$G,$AE$2&amp;if($K65="S1","a",if($K65="S2","b","")),Students!$A:$A,AQ$2)+countifs(Students!$H:$H,$AE65,Students!$I:$I,$AE$2&amp;if($K65="S1","a",if($K65="S2","b","")),Students!$A:$A,AQ$2)+countifs(Students!$J:$J,$AE65,Students!$K:$K,$AE$2&amp;if($K65="S1","a",if($K65="S2","b","")),Students!$A:$A,AQ$2)+countifs(Students!$L:$L,$AE65,Students!$M:$M,$AE$2&amp;if($K65="S1","a",if($K65="S2","b","")),Students!$A:$A,AQ$2)+countifs(Students!$N:$N,$AE65,Students!$O:$O,$AE$2&amp;if($K65="S1","a",if($K65="S2","b","")),Students!$A:$A,AQ$2)+countifs(Students!$P:$P,$AE65,Students!$Q:$Q,$AE$2&amp;if($K65="S1","a",if($K65="S2","b","")),Students!$A:$A,AQ$2)+countifs(Students!$R:$R,$AE65,Students!$S:$S,$AE$2&amp;if($K65="S1","a",if($K65="S2","b","")),Students!$A:$A,AQ$2)+countifs(Students!$T:$T,$AE65,Students!$U:$U,$AE$2&amp;if($K65="S1","a",if($K65="S2","b","")),Students!$A:$A,AQ$2)+countifs(Students!$V:$V,$AE65,Students!$W:$W,$AE$2&amp;if($K65="S1","a",if($K65="S2","b","")),Students!$A:$A,AQ$2)+
countifs(Students!$D:$D,$AH65,Students!$E:$E,$AH$2&amp;if($K65="S1","a",if($K65="S2","b","")),Students!$A:$A,AQ$2)+countifs(Students!$F:$F,$AH65,Students!$G:$G,$AH$2&amp;if($K65="S1","a",if($K65="S2","b","")),Students!$A:$A,AQ$2)+countifs(Students!$H:$H,$AH65,Students!$I:$I,$AH$2&amp;if($K65="S1","a",if($K65="S2","b","")),Students!$A:$A,AQ$2)+countifs(Students!$J:$J,$AH65,Students!$K:$K,$AH$2&amp;if($K65="S1","a",if($K65="S2","b","")),Students!$A:$A,AQ$2)+countifs(Students!$L:$L,$AH65,Students!$M:$M,$AH$2&amp;if($K65="S1","a",if($K65="S2","b","")),Students!$A:$A,AQ$2)+countifs(Students!$N:$N,$AH65,Students!$O:$O,$AH$2&amp;if($K65="S1","a",if($K65="S2","b","")),Students!$A:$A,AQ$2)+countifs(Students!$P:$P,$AH65,Students!$Q:$Q,$AH$2&amp;if($K65="S1","a",if($K65="S2","b","")),Students!$A:$A,AQ$2)+countifs(Students!$R:$R,$AH65,Students!$S:$S,$AH$2&amp;if($K65="S1","a",if($K65="S2","b","")),Students!$A:$A,AQ$2)+countifs(Students!$T:$T,$AH65,Students!$U:$U,$AH$2&amp;if($K65="S1","a",if($K65="S2","b","")),Students!$A:$A,AQ$2)+countifs(Students!$V:$V,$AH65,Students!$W:$W,$AH$2&amp;if($K65="S1","a",if($K65="S2","b","")),Students!$A:$A,AQ$2)+
countifs(Students!$D:$D,$AK65,Students!$E:$E,$AK$2&amp;if($K65="S1","a",if($K65="S2","b","")),Students!$A:$A,AQ$2)+countifs(Students!$F:$F,$AK65,Students!$G:$G,$AK$2&amp;if($K65="S1","a",if($K65="S2","b","")),Students!$A:$A,AQ$2)+countifs(Students!$H:$H,$AK65,Students!$I:$I,$AK$2&amp;if($K65="S1","a",if($K65="S2","b","")),Students!$A:$A,AQ$2)+countifs(Students!$J:$J,$AK65,Students!$K:$K,$AK$2&amp;if($K65="S1","a",if($K65="S2","b","")),Students!$A:$A,AQ$2)+countifs(Students!$L:$L,$AK65,Students!$M:$M,$AK$2&amp;if($K65="S1","a",if($K65="S2","b","")),Students!$A:$A,AQ$2)+countifs(Students!$N:$N,$AK65,Students!$O:$O,$AK$2&amp;if($K65="S1","a",if($K65="S2","b","")),Students!$A:$A,AQ$2)+countifs(Students!$P:$P,$AK65,Students!$Q:$Q,$AK$2&amp;if($K65="S1","a",if($K65="S2","b","")),Students!$A:$A,AQ$2)+countifs(Students!$R:$R,$AK65,Students!$S:$S,$AK$2&amp;if($K65="S1","a",if($K65="S2","b","")),Students!$A:$A,AQ$2)+countifs(Students!$T:$T,$AK65,Students!$U:$U,$AK$2&amp;if($K65="S1","a",if($K65="S2","b","")),Students!$A:$A,AQ$2)+countifs(Students!$V:$V,$AK65,Students!$W:$W,$AK$2&amp;if($K65="S1","a",if($K65="S2","b","")),Students!$A:$A,AQ$2))</f>
        <v/>
      </c>
      <c r="AR65" s="98" t="str">
        <f>if($L65="","",countifs(Students!$D:$D,$P65,Students!$E:$E,$P$2&amp;if($K65="S1","a",if($K65="S2","b","")),Students!$A:$A,AR$2)+countifs(Students!$F:$F,$P65,Students!$G:$G,$P$2&amp;if($K65="S1","a",if($K65="S2","b","")),Students!$A:$A,AR$2)+countifs(Students!$H:$H,$P65,Students!$I:$I,$P$2&amp;if($K65="S1","a",if($K65="S2","b","")),Students!$A:$A,AR$2)+countifs(Students!$J:$J,$P65,Students!$K:$K,$P$2&amp;if($K65="S1","a",if($K65="S2","b","")),Students!$A:$A,AR$2)+countifs(Students!$L:$L,$P65,Students!$M:$M,$P$2&amp;if($K65="S1","a",if($K65="S2","b","")),Students!$A:$A,AR$2)+countifs(Students!$N:$N,$P65,Students!$O:$O,$P$2&amp;if($K65="S1","a",if($K65="S2","b","")),Students!$A:$A,AR$2)+countifs(Students!$P:$P,$P65,Students!$Q:$Q,$P$2&amp;if($K65="S1","a",if($K65="S2","b","")),Students!$A:$A,AR$2)+countifs(Students!$R:$R,$P65,Students!$S:$S,$P$2&amp;if($K65="S1","a",if($K65="S2","b","")),Students!$A:$A,AR$2)+countifs(Students!$T:$T,$P65,Students!$U:$U,$P$2&amp;if($K65="S1","a",if($K65="S2","b","")),Students!$A:$A,AR$2)+countifs(Students!$V:$V,$P65,Students!$W:$W,$P$2&amp;if($K65="S1","a",if($K65="S2","b","")),Students!$A:$A,AR$2)+
countifs(Students!$D:$D,$S65,Students!$E:$E,$S$2&amp;if($K65="S1","a",if($K65="S2","b","")),Students!$A:$A,AR$2)+countifs(Students!$F:$F,$S65,Students!$G:$G,$S$2&amp;if($K65="S1","a",if($K65="S2","b","")),Students!$A:$A,AR$2)+countifs(Students!$H:$H,$S65,Students!$I:$I,$S$2&amp;if($K65="S1","a",if($K65="S2","b","")),Students!$A:$A,AR$2)+countifs(Students!$J:$J,$S65,Students!$K:$K,$S$2&amp;if($K65="S1","a",if($K65="S2","b","")),Students!$A:$A,AR$2)+countifs(Students!$L:$L,$S65,Students!$M:$M,$S$2&amp;if($K65="S1","a",if($K65="S2","b","")),Students!$A:$A,AR$2)+countifs(Students!$N:$N,$S65,Students!$O:$O,$S$2&amp;if($K65="S1","a",if($K65="S2","b","")),Students!$A:$A,AR$2)+countifs(Students!$P:$P,$S65,Students!$Q:$Q,$S$2&amp;if($K65="S1","a",if($K65="S2","b","")),Students!$A:$A,AR$2)+countifs(Students!$R:$R,$S65,Students!$S:$S,$S$2&amp;if($K65="S1","a",if($K65="S2","b","")),Students!$A:$A,AR$2)+countifs(Students!$T:$T,$S65,Students!$U:$U,$S$2&amp;if($K65="S1","a",if($K65="S2","b","")),Students!$A:$A,AR$2)+countifs(Students!$V:$V,$S65,Students!$W:$W,$S$2&amp;if($K65="S1","a",if($K65="S2","b","")),Students!$A:$A,AR$2)+
countifs(Students!$D:$D,$V65,Students!$E:$E,$V$2&amp;if($K65="S1","a",if($K65="S2","b","")),Students!$A:$A,AR$2)+countifs(Students!$F:$F,$V65,Students!$G:$G,$V$2&amp;if($K65="S1","a",if($K65="S2","b","")),Students!$A:$A,AR$2)+countifs(Students!$H:$H,$V65,Students!$I:$I,$V$2&amp;if($K65="S1","a",if($K65="S2","b","")),Students!$A:$A,AR$2)+countifs(Students!$J:$J,$V65,Students!$K:$K,$V$2&amp;if($K65="S1","a",if($K65="S2","b","")),Students!$A:$A,AR$2)+countifs(Students!$L:$L,$V65,Students!$M:$M,$V$2&amp;if($K65="S1","a",if($K65="S2","b","")),Students!$A:$A,AR$2)+countifs(Students!$N:$N,$V65,Students!$O:$O,$V$2&amp;if($K65="S1","a",if($K65="S2","b","")),Students!$A:$A,AR$2)+countifs(Students!$P:$P,$V65,Students!$Q:$Q,$V$2&amp;if($K65="S1","a",if($K65="S2","b","")),Students!$A:$A,AR$2)+countifs(Students!$R:$R,$V65,Students!$S:$S,$V$2&amp;if($K65="S1","a",if($K65="S2","b","")),Students!$A:$A,AR$2)+countifs(Students!$T:$T,$V65,Students!$U:$U,$V$2&amp;if($K65="S1","a",if($K65="S2","b","")),Students!$A:$A,AR$2)+countifs(Students!$V:$V,$V65,Students!$W:$W,$V$2&amp;if($K65="S1","a",if($K65="S2","b","")),Students!$A:$A,AR$2)+
countifs(Students!$D:$D,$Y65,Students!$E:$E,$Y$2&amp;if($K65="S1","a",if($K65="S2","b","")),Students!$A:$A,AR$2)+countifs(Students!$F:$F,$Y65,Students!$G:$G,$Y$2&amp;if($K65="S1","a",if($K65="S2","b","")),Students!$A:$A,AR$2)+countifs(Students!$H:$H,$Y65,Students!$I:$I,$Y$2&amp;if($K65="S1","a",if($K65="S2","b","")),Students!$A:$A,AR$2)+countifs(Students!$J:$J,$Y65,Students!$K:$K,$Y$2&amp;if($K65="S1","a",if($K65="S2","b","")),Students!$A:$A,AR$2)+countifs(Students!$L:$L,$Y65,Students!$M:$M,$Y$2&amp;if($K65="S1","a",if($K65="S2","b","")),Students!$A:$A,AR$2)+countifs(Students!$N:$N,$Y65,Students!$O:$O,$Y$2&amp;if($K65="S1","a",if($K65="S2","b","")),Students!$A:$A,AR$2)+countifs(Students!$P:$P,$Y65,Students!$Q:$Q,$Y$2&amp;if($K65="S1","a",if($K65="S2","b","")),Students!$A:$A,AR$2)+countifs(Students!$R:$R,$Y65,Students!$S:$S,$Y$2&amp;if($K65="S1","a",if($K65="S2","b","")),Students!$A:$A,AR$2)+countifs(Students!$T:$T,$Y65,Students!$U:$U,$Y$2&amp;if($K65="S1","a",if($K65="S2","b","")),Students!$A:$A,AR$2)+countifs(Students!$V:$V,$Y65,Students!$W:$W,$Y$2&amp;if($K65="S1","a",if($K65="S2","b","")),Students!$A:$A,AR$2)+
countifs(Students!$D:$D,$AB65,Students!$E:$E,$AB$2&amp;if($K65="S1","a",if($K65="S2","b","")),Students!$A:$A,AR$2)+countifs(Students!$F:$F,$AB65,Students!$G:$G,$AB$2&amp;if($K65="S1","a",if($K65="S2","b","")),Students!$A:$A,AR$2)+countifs(Students!$H:$H,$AB65,Students!$I:$I,$AB$2&amp;if($K65="S1","a",if($K65="S2","b","")),Students!$A:$A,AR$2)+countifs(Students!$J:$J,$AB65,Students!$K:$K,$AB$2&amp;if($K65="S1","a",if($K65="S2","b","")),Students!$A:$A,AR$2)+countifs(Students!$L:$L,$AB65,Students!$M:$M,$AB$2&amp;if($K65="S1","a",if($K65="S2","b","")),Students!$A:$A,AR$2)+countifs(Students!$N:$N,$AB65,Students!$O:$O,$AB$2&amp;if($K65="S1","a",if($K65="S2","b","")),Students!$A:$A,AR$2)+countifs(Students!$P:$P,$AB65,Students!$Q:$Q,$AB$2&amp;if($K65="S1","a",if($K65="S2","b","")),Students!$A:$A,AR$2)+countifs(Students!$R:$R,$AB65,Students!$S:$S,$AB$2&amp;if($K65="S1","a",if($K65="S2","b","")),Students!$A:$A,AR$2)+countifs(Students!$T:$T,$AB65,Students!$U:$U,$AB$2&amp;if($K65="S1","a",if($K65="S2","b","")),Students!$A:$A,AR$2)+countifs(Students!$V:$V,$AB65,Students!$W:$W,$AB$2&amp;if($K65="S1","a",if($K65="S2","b","")),Students!$A:$A,AR$2)+
countifs(Students!$D:$D,$AE65,Students!$E:$E,$AE$2&amp;if($K65="S1","a",if($K65="S2","b","")),Students!$A:$A,AR$2)+countifs(Students!$F:$F,$AE65,Students!$G:$G,$AE$2&amp;if($K65="S1","a",if($K65="S2","b","")),Students!$A:$A,AR$2)+countifs(Students!$H:$H,$AE65,Students!$I:$I,$AE$2&amp;if($K65="S1","a",if($K65="S2","b","")),Students!$A:$A,AR$2)+countifs(Students!$J:$J,$AE65,Students!$K:$K,$AE$2&amp;if($K65="S1","a",if($K65="S2","b","")),Students!$A:$A,AR$2)+countifs(Students!$L:$L,$AE65,Students!$M:$M,$AE$2&amp;if($K65="S1","a",if($K65="S2","b","")),Students!$A:$A,AR$2)+countifs(Students!$N:$N,$AE65,Students!$O:$O,$AE$2&amp;if($K65="S1","a",if($K65="S2","b","")),Students!$A:$A,AR$2)+countifs(Students!$P:$P,$AE65,Students!$Q:$Q,$AE$2&amp;if($K65="S1","a",if($K65="S2","b","")),Students!$A:$A,AR$2)+countifs(Students!$R:$R,$AE65,Students!$S:$S,$AE$2&amp;if($K65="S1","a",if($K65="S2","b","")),Students!$A:$A,AR$2)+countifs(Students!$T:$T,$AE65,Students!$U:$U,$AE$2&amp;if($K65="S1","a",if($K65="S2","b","")),Students!$A:$A,AR$2)+countifs(Students!$V:$V,$AE65,Students!$W:$W,$AE$2&amp;if($K65="S1","a",if($K65="S2","b","")),Students!$A:$A,AR$2)+
countifs(Students!$D:$D,$AH65,Students!$E:$E,$AH$2&amp;if($K65="S1","a",if($K65="S2","b","")),Students!$A:$A,AR$2)+countifs(Students!$F:$F,$AH65,Students!$G:$G,$AH$2&amp;if($K65="S1","a",if($K65="S2","b","")),Students!$A:$A,AR$2)+countifs(Students!$H:$H,$AH65,Students!$I:$I,$AH$2&amp;if($K65="S1","a",if($K65="S2","b","")),Students!$A:$A,AR$2)+countifs(Students!$J:$J,$AH65,Students!$K:$K,$AH$2&amp;if($K65="S1","a",if($K65="S2","b","")),Students!$A:$A,AR$2)+countifs(Students!$L:$L,$AH65,Students!$M:$M,$AH$2&amp;if($K65="S1","a",if($K65="S2","b","")),Students!$A:$A,AR$2)+countifs(Students!$N:$N,$AH65,Students!$O:$O,$AH$2&amp;if($K65="S1","a",if($K65="S2","b","")),Students!$A:$A,AR$2)+countifs(Students!$P:$P,$AH65,Students!$Q:$Q,$AH$2&amp;if($K65="S1","a",if($K65="S2","b","")),Students!$A:$A,AR$2)+countifs(Students!$R:$R,$AH65,Students!$S:$S,$AH$2&amp;if($K65="S1","a",if($K65="S2","b","")),Students!$A:$A,AR$2)+countifs(Students!$T:$T,$AH65,Students!$U:$U,$AH$2&amp;if($K65="S1","a",if($K65="S2","b","")),Students!$A:$A,AR$2)+countifs(Students!$V:$V,$AH65,Students!$W:$W,$AH$2&amp;if($K65="S1","a",if($K65="S2","b","")),Students!$A:$A,AR$2)+
countifs(Students!$D:$D,$AK65,Students!$E:$E,$AK$2&amp;if($K65="S1","a",if($K65="S2","b","")),Students!$A:$A,AR$2)+countifs(Students!$F:$F,$AK65,Students!$G:$G,$AK$2&amp;if($K65="S1","a",if($K65="S2","b","")),Students!$A:$A,AR$2)+countifs(Students!$H:$H,$AK65,Students!$I:$I,$AK$2&amp;if($K65="S1","a",if($K65="S2","b","")),Students!$A:$A,AR$2)+countifs(Students!$J:$J,$AK65,Students!$K:$K,$AK$2&amp;if($K65="S1","a",if($K65="S2","b","")),Students!$A:$A,AR$2)+countifs(Students!$L:$L,$AK65,Students!$M:$M,$AK$2&amp;if($K65="S1","a",if($K65="S2","b","")),Students!$A:$A,AR$2)+countifs(Students!$N:$N,$AK65,Students!$O:$O,$AK$2&amp;if($K65="S1","a",if($K65="S2","b","")),Students!$A:$A,AR$2)+countifs(Students!$P:$P,$AK65,Students!$Q:$Q,$AK$2&amp;if($K65="S1","a",if($K65="S2","b","")),Students!$A:$A,AR$2)+countifs(Students!$R:$R,$AK65,Students!$S:$S,$AK$2&amp;if($K65="S1","a",if($K65="S2","b","")),Students!$A:$A,AR$2)+countifs(Students!$T:$T,$AK65,Students!$U:$U,$AK$2&amp;if($K65="S1","a",if($K65="S2","b","")),Students!$A:$A,AR$2)+countifs(Students!$V:$V,$AK65,Students!$W:$W,$AK$2&amp;if($K65="S1","a",if($K65="S2","b","")),Students!$A:$A,AR$2))</f>
        <v/>
      </c>
      <c r="AS65" s="98" t="str">
        <f>if($L65="","",countifs(Students!$D:$D,$P65,Students!$E:$E,$P$2&amp;if($K65="S1","a",if($K65="S2","b","")),Students!$A:$A,AS$2)+countifs(Students!$F:$F,$P65,Students!$G:$G,$P$2&amp;if($K65="S1","a",if($K65="S2","b","")),Students!$A:$A,AS$2)+countifs(Students!$H:$H,$P65,Students!$I:$I,$P$2&amp;if($K65="S1","a",if($K65="S2","b","")),Students!$A:$A,AS$2)+countifs(Students!$J:$J,$P65,Students!$K:$K,$P$2&amp;if($K65="S1","a",if($K65="S2","b","")),Students!$A:$A,AS$2)+countifs(Students!$L:$L,$P65,Students!$M:$M,$P$2&amp;if($K65="S1","a",if($K65="S2","b","")),Students!$A:$A,AS$2)+countifs(Students!$N:$N,$P65,Students!$O:$O,$P$2&amp;if($K65="S1","a",if($K65="S2","b","")),Students!$A:$A,AS$2)+countifs(Students!$P:$P,$P65,Students!$Q:$Q,$P$2&amp;if($K65="S1","a",if($K65="S2","b","")),Students!$A:$A,AS$2)+countifs(Students!$R:$R,$P65,Students!$S:$S,$P$2&amp;if($K65="S1","a",if($K65="S2","b","")),Students!$A:$A,AS$2)+countifs(Students!$T:$T,$P65,Students!$U:$U,$P$2&amp;if($K65="S1","a",if($K65="S2","b","")),Students!$A:$A,AS$2)+countifs(Students!$V:$V,$P65,Students!$W:$W,$P$2&amp;if($K65="S1","a",if($K65="S2","b","")),Students!$A:$A,AS$2)+
countifs(Students!$D:$D,$S65,Students!$E:$E,$S$2&amp;if($K65="S1","a",if($K65="S2","b","")),Students!$A:$A,AS$2)+countifs(Students!$F:$F,$S65,Students!$G:$G,$S$2&amp;if($K65="S1","a",if($K65="S2","b","")),Students!$A:$A,AS$2)+countifs(Students!$H:$H,$S65,Students!$I:$I,$S$2&amp;if($K65="S1","a",if($K65="S2","b","")),Students!$A:$A,AS$2)+countifs(Students!$J:$J,$S65,Students!$K:$K,$S$2&amp;if($K65="S1","a",if($K65="S2","b","")),Students!$A:$A,AS$2)+countifs(Students!$L:$L,$S65,Students!$M:$M,$S$2&amp;if($K65="S1","a",if($K65="S2","b","")),Students!$A:$A,AS$2)+countifs(Students!$N:$N,$S65,Students!$O:$O,$S$2&amp;if($K65="S1","a",if($K65="S2","b","")),Students!$A:$A,AS$2)+countifs(Students!$P:$P,$S65,Students!$Q:$Q,$S$2&amp;if($K65="S1","a",if($K65="S2","b","")),Students!$A:$A,AS$2)+countifs(Students!$R:$R,$S65,Students!$S:$S,$S$2&amp;if($K65="S1","a",if($K65="S2","b","")),Students!$A:$A,AS$2)+countifs(Students!$T:$T,$S65,Students!$U:$U,$S$2&amp;if($K65="S1","a",if($K65="S2","b","")),Students!$A:$A,AS$2)+countifs(Students!$V:$V,$S65,Students!$W:$W,$S$2&amp;if($K65="S1","a",if($K65="S2","b","")),Students!$A:$A,AS$2)+
countifs(Students!$D:$D,$V65,Students!$E:$E,$V$2&amp;if($K65="S1","a",if($K65="S2","b","")),Students!$A:$A,AS$2)+countifs(Students!$F:$F,$V65,Students!$G:$G,$V$2&amp;if($K65="S1","a",if($K65="S2","b","")),Students!$A:$A,AS$2)+countifs(Students!$H:$H,$V65,Students!$I:$I,$V$2&amp;if($K65="S1","a",if($K65="S2","b","")),Students!$A:$A,AS$2)+countifs(Students!$J:$J,$V65,Students!$K:$K,$V$2&amp;if($K65="S1","a",if($K65="S2","b","")),Students!$A:$A,AS$2)+countifs(Students!$L:$L,$V65,Students!$M:$M,$V$2&amp;if($K65="S1","a",if($K65="S2","b","")),Students!$A:$A,AS$2)+countifs(Students!$N:$N,$V65,Students!$O:$O,$V$2&amp;if($K65="S1","a",if($K65="S2","b","")),Students!$A:$A,AS$2)+countifs(Students!$P:$P,$V65,Students!$Q:$Q,$V$2&amp;if($K65="S1","a",if($K65="S2","b","")),Students!$A:$A,AS$2)+countifs(Students!$R:$R,$V65,Students!$S:$S,$V$2&amp;if($K65="S1","a",if($K65="S2","b","")),Students!$A:$A,AS$2)+countifs(Students!$T:$T,$V65,Students!$U:$U,$V$2&amp;if($K65="S1","a",if($K65="S2","b","")),Students!$A:$A,AS$2)+countifs(Students!$V:$V,$V65,Students!$W:$W,$V$2&amp;if($K65="S1","a",if($K65="S2","b","")),Students!$A:$A,AS$2)+
countifs(Students!$D:$D,$Y65,Students!$E:$E,$Y$2&amp;if($K65="S1","a",if($K65="S2","b","")),Students!$A:$A,AS$2)+countifs(Students!$F:$F,$Y65,Students!$G:$G,$Y$2&amp;if($K65="S1","a",if($K65="S2","b","")),Students!$A:$A,AS$2)+countifs(Students!$H:$H,$Y65,Students!$I:$I,$Y$2&amp;if($K65="S1","a",if($K65="S2","b","")),Students!$A:$A,AS$2)+countifs(Students!$J:$J,$Y65,Students!$K:$K,$Y$2&amp;if($K65="S1","a",if($K65="S2","b","")),Students!$A:$A,AS$2)+countifs(Students!$L:$L,$Y65,Students!$M:$M,$Y$2&amp;if($K65="S1","a",if($K65="S2","b","")),Students!$A:$A,AS$2)+countifs(Students!$N:$N,$Y65,Students!$O:$O,$Y$2&amp;if($K65="S1","a",if($K65="S2","b","")),Students!$A:$A,AS$2)+countifs(Students!$P:$P,$Y65,Students!$Q:$Q,$Y$2&amp;if($K65="S1","a",if($K65="S2","b","")),Students!$A:$A,AS$2)+countifs(Students!$R:$R,$Y65,Students!$S:$S,$Y$2&amp;if($K65="S1","a",if($K65="S2","b","")),Students!$A:$A,AS$2)+countifs(Students!$T:$T,$Y65,Students!$U:$U,$Y$2&amp;if($K65="S1","a",if($K65="S2","b","")),Students!$A:$A,AS$2)+countifs(Students!$V:$V,$Y65,Students!$W:$W,$Y$2&amp;if($K65="S1","a",if($K65="S2","b","")),Students!$A:$A,AS$2)+
countifs(Students!$D:$D,$AB65,Students!$E:$E,$AB$2&amp;if($K65="S1","a",if($K65="S2","b","")),Students!$A:$A,AS$2)+countifs(Students!$F:$F,$AB65,Students!$G:$G,$AB$2&amp;if($K65="S1","a",if($K65="S2","b","")),Students!$A:$A,AS$2)+countifs(Students!$H:$H,$AB65,Students!$I:$I,$AB$2&amp;if($K65="S1","a",if($K65="S2","b","")),Students!$A:$A,AS$2)+countifs(Students!$J:$J,$AB65,Students!$K:$K,$AB$2&amp;if($K65="S1","a",if($K65="S2","b","")),Students!$A:$A,AS$2)+countifs(Students!$L:$L,$AB65,Students!$M:$M,$AB$2&amp;if($K65="S1","a",if($K65="S2","b","")),Students!$A:$A,AS$2)+countifs(Students!$N:$N,$AB65,Students!$O:$O,$AB$2&amp;if($K65="S1","a",if($K65="S2","b","")),Students!$A:$A,AS$2)+countifs(Students!$P:$P,$AB65,Students!$Q:$Q,$AB$2&amp;if($K65="S1","a",if($K65="S2","b","")),Students!$A:$A,AS$2)+countifs(Students!$R:$R,$AB65,Students!$S:$S,$AB$2&amp;if($K65="S1","a",if($K65="S2","b","")),Students!$A:$A,AS$2)+countifs(Students!$T:$T,$AB65,Students!$U:$U,$AB$2&amp;if($K65="S1","a",if($K65="S2","b","")),Students!$A:$A,AS$2)+countifs(Students!$V:$V,$AB65,Students!$W:$W,$AB$2&amp;if($K65="S1","a",if($K65="S2","b","")),Students!$A:$A,AS$2)+
countifs(Students!$D:$D,$AE65,Students!$E:$E,$AE$2&amp;if($K65="S1","a",if($K65="S2","b","")),Students!$A:$A,AS$2)+countifs(Students!$F:$F,$AE65,Students!$G:$G,$AE$2&amp;if($K65="S1","a",if($K65="S2","b","")),Students!$A:$A,AS$2)+countifs(Students!$H:$H,$AE65,Students!$I:$I,$AE$2&amp;if($K65="S1","a",if($K65="S2","b","")),Students!$A:$A,AS$2)+countifs(Students!$J:$J,$AE65,Students!$K:$K,$AE$2&amp;if($K65="S1","a",if($K65="S2","b","")),Students!$A:$A,AS$2)+countifs(Students!$L:$L,$AE65,Students!$M:$M,$AE$2&amp;if($K65="S1","a",if($K65="S2","b","")),Students!$A:$A,AS$2)+countifs(Students!$N:$N,$AE65,Students!$O:$O,$AE$2&amp;if($K65="S1","a",if($K65="S2","b","")),Students!$A:$A,AS$2)+countifs(Students!$P:$P,$AE65,Students!$Q:$Q,$AE$2&amp;if($K65="S1","a",if($K65="S2","b","")),Students!$A:$A,AS$2)+countifs(Students!$R:$R,$AE65,Students!$S:$S,$AE$2&amp;if($K65="S1","a",if($K65="S2","b","")),Students!$A:$A,AS$2)+countifs(Students!$T:$T,$AE65,Students!$U:$U,$AE$2&amp;if($K65="S1","a",if($K65="S2","b","")),Students!$A:$A,AS$2)+countifs(Students!$V:$V,$AE65,Students!$W:$W,$AE$2&amp;if($K65="S1","a",if($K65="S2","b","")),Students!$A:$A,AS$2)+
countifs(Students!$D:$D,$AH65,Students!$E:$E,$AH$2&amp;if($K65="S1","a",if($K65="S2","b","")),Students!$A:$A,AS$2)+countifs(Students!$F:$F,$AH65,Students!$G:$G,$AH$2&amp;if($K65="S1","a",if($K65="S2","b","")),Students!$A:$A,AS$2)+countifs(Students!$H:$H,$AH65,Students!$I:$I,$AH$2&amp;if($K65="S1","a",if($K65="S2","b","")),Students!$A:$A,AS$2)+countifs(Students!$J:$J,$AH65,Students!$K:$K,$AH$2&amp;if($K65="S1","a",if($K65="S2","b","")),Students!$A:$A,AS$2)+countifs(Students!$L:$L,$AH65,Students!$M:$M,$AH$2&amp;if($K65="S1","a",if($K65="S2","b","")),Students!$A:$A,AS$2)+countifs(Students!$N:$N,$AH65,Students!$O:$O,$AH$2&amp;if($K65="S1","a",if($K65="S2","b","")),Students!$A:$A,AS$2)+countifs(Students!$P:$P,$AH65,Students!$Q:$Q,$AH$2&amp;if($K65="S1","a",if($K65="S2","b","")),Students!$A:$A,AS$2)+countifs(Students!$R:$R,$AH65,Students!$S:$S,$AH$2&amp;if($K65="S1","a",if($K65="S2","b","")),Students!$A:$A,AS$2)+countifs(Students!$T:$T,$AH65,Students!$U:$U,$AH$2&amp;if($K65="S1","a",if($K65="S2","b","")),Students!$A:$A,AS$2)+countifs(Students!$V:$V,$AH65,Students!$W:$W,$AH$2&amp;if($K65="S1","a",if($K65="S2","b","")),Students!$A:$A,AS$2)+
countifs(Students!$D:$D,$AK65,Students!$E:$E,$AK$2&amp;if($K65="S1","a",if($K65="S2","b","")),Students!$A:$A,AS$2)+countifs(Students!$F:$F,$AK65,Students!$G:$G,$AK$2&amp;if($K65="S1","a",if($K65="S2","b","")),Students!$A:$A,AS$2)+countifs(Students!$H:$H,$AK65,Students!$I:$I,$AK$2&amp;if($K65="S1","a",if($K65="S2","b","")),Students!$A:$A,AS$2)+countifs(Students!$J:$J,$AK65,Students!$K:$K,$AK$2&amp;if($K65="S1","a",if($K65="S2","b","")),Students!$A:$A,AS$2)+countifs(Students!$L:$L,$AK65,Students!$M:$M,$AK$2&amp;if($K65="S1","a",if($K65="S2","b","")),Students!$A:$A,AS$2)+countifs(Students!$N:$N,$AK65,Students!$O:$O,$AK$2&amp;if($K65="S1","a",if($K65="S2","b","")),Students!$A:$A,AS$2)+countifs(Students!$P:$P,$AK65,Students!$Q:$Q,$AK$2&amp;if($K65="S1","a",if($K65="S2","b","")),Students!$A:$A,AS$2)+countifs(Students!$R:$R,$AK65,Students!$S:$S,$AK$2&amp;if($K65="S1","a",if($K65="S2","b","")),Students!$A:$A,AS$2)+countifs(Students!$T:$T,$AK65,Students!$U:$U,$AK$2&amp;if($K65="S1","a",if($K65="S2","b","")),Students!$A:$A,AS$2)+countifs(Students!$V:$V,$AK65,Students!$W:$W,$AK$2&amp;if($K65="S1","a",if($K65="S2","b","")),Students!$A:$A,AS$2))</f>
        <v/>
      </c>
    </row>
    <row r="66">
      <c r="J66" s="106" t="s">
        <v>22</v>
      </c>
      <c r="K66" s="88"/>
      <c r="L66" s="130"/>
      <c r="M66" s="89"/>
      <c r="N66" s="106" t="s">
        <v>22</v>
      </c>
      <c r="O66" s="106"/>
      <c r="P66" s="89"/>
      <c r="Q66" s="89"/>
      <c r="R66" s="98" t="s">
        <v>22</v>
      </c>
      <c r="S66" s="89"/>
      <c r="T66" s="89"/>
      <c r="U66" s="98" t="s">
        <v>22</v>
      </c>
      <c r="V66" s="89"/>
      <c r="W66" s="89"/>
      <c r="X66" s="98" t="s">
        <v>22</v>
      </c>
      <c r="Y66" s="89"/>
      <c r="Z66" s="89"/>
      <c r="AA66" s="98" t="s">
        <v>22</v>
      </c>
      <c r="AB66" s="89"/>
      <c r="AC66" s="89"/>
      <c r="AD66" s="98" t="s">
        <v>22</v>
      </c>
      <c r="AE66" s="89"/>
      <c r="AF66" s="89"/>
      <c r="AG66" s="98" t="s">
        <v>22</v>
      </c>
      <c r="AH66" s="89"/>
      <c r="AI66" s="133"/>
      <c r="AJ66" s="98" t="s">
        <v>22</v>
      </c>
      <c r="AK66" s="89"/>
      <c r="AL66" s="133"/>
      <c r="AM66" s="98" t="s">
        <v>22</v>
      </c>
      <c r="AN66" s="99"/>
      <c r="AO66" s="52" t="str">
        <f t="shared" si="2"/>
        <v/>
      </c>
      <c r="AP66" s="98" t="str">
        <f>if($L66="","",countifs(Students!$D:$D,$P66,Students!$E:$E,$P$2&amp;if($K66="S1","a",if($K66="S2","b","")),Students!$A:$A,AP$2)+countifs(Students!$F:$F,$P66,Students!$G:$G,$P$2&amp;if($K66="S1","a",if($K66="S2","b","")),Students!$A:$A,AP$2)+countifs(Students!$H:$H,$P66,Students!$I:$I,$P$2&amp;if($K66="S1","a",if($K66="S2","b","")),Students!$A:$A,AP$2)+countifs(Students!$J:$J,$P66,Students!$K:$K,$P$2&amp;if($K66="S1","a",if($K66="S2","b","")),Students!$A:$A,AP$2)+countifs(Students!$L:$L,$P66,Students!$M:$M,$P$2&amp;if($K66="S1","a",if($K66="S2","b","")),Students!$A:$A,AP$2)+countifs(Students!$N:$N,$P66,Students!$O:$O,$P$2&amp;if($K66="S1","a",if($K66="S2","b","")),Students!$A:$A,AP$2)+countifs(Students!$P:$P,$P66,Students!$Q:$Q,$P$2&amp;if($K66="S1","a",if($K66="S2","b","")),Students!$A:$A,AP$2)+countifs(Students!$R:$R,$P66,Students!$S:$S,$P$2&amp;if($K66="S1","a",if($K66="S2","b","")),Students!$A:$A,AP$2)+countifs(Students!$T:$T,$P66,Students!$U:$U,$P$2&amp;if($K66="S1","a",if($K66="S2","b","")),Students!$A:$A,AP$2)+countifs(Students!$V:$V,$P66,Students!$W:$W,$P$2&amp;if($K66="S1","a",if($K66="S2","b","")),Students!$A:$A,AP$2)+
countifs(Students!$D:$D,$S66,Students!$E:$E,$S$2&amp;if($K66="S1","a",if($K66="S2","b","")),Students!$A:$A,AP$2)+countifs(Students!$F:$F,$S66,Students!$G:$G,$S$2&amp;if($K66="S1","a",if($K66="S2","b","")),Students!$A:$A,AP$2)+countifs(Students!$H:$H,$S66,Students!$I:$I,$S$2&amp;if($K66="S1","a",if($K66="S2","b","")),Students!$A:$A,AP$2)+countifs(Students!$J:$J,$S66,Students!$K:$K,$S$2&amp;if($K66="S1","a",if($K66="S2","b","")),Students!$A:$A,AP$2)+countifs(Students!$L:$L,$S66,Students!$M:$M,$S$2&amp;if($K66="S1","a",if($K66="S2","b","")),Students!$A:$A,AP$2)+countifs(Students!$N:$N,$S66,Students!$O:$O,$S$2&amp;if($K66="S1","a",if($K66="S2","b","")),Students!$A:$A,AP$2)+countifs(Students!$P:$P,$S66,Students!$Q:$Q,$S$2&amp;if($K66="S1","a",if($K66="S2","b","")),Students!$A:$A,AP$2)+countifs(Students!$R:$R,$S66,Students!$S:$S,$S$2&amp;if($K66="S1","a",if($K66="S2","b","")),Students!$A:$A,AP$2)+countifs(Students!$T:$T,$S66,Students!$U:$U,$S$2&amp;if($K66="S1","a",if($K66="S2","b","")),Students!$A:$A,AP$2)+countifs(Students!$V:$V,$S66,Students!$W:$W,$S$2&amp;if($K66="S1","a",if($K66="S2","b","")),Students!$A:$A,AP$2)+
countifs(Students!$D:$D,$V66,Students!$E:$E,$V$2&amp;if($K66="S1","a",if($K66="S2","b","")),Students!$A:$A,AP$2)+countifs(Students!$F:$F,$V66,Students!$G:$G,$V$2&amp;if($K66="S1","a",if($K66="S2","b","")),Students!$A:$A,AP$2)+countifs(Students!$H:$H,$V66,Students!$I:$I,$V$2&amp;if($K66="S1","a",if($K66="S2","b","")),Students!$A:$A,AP$2)+countifs(Students!$J:$J,$V66,Students!$K:$K,$V$2&amp;if($K66="S1","a",if($K66="S2","b","")),Students!$A:$A,AP$2)+countifs(Students!$L:$L,$V66,Students!$M:$M,$V$2&amp;if($K66="S1","a",if($K66="S2","b","")),Students!$A:$A,AP$2)+countifs(Students!$N:$N,$V66,Students!$O:$O,$V$2&amp;if($K66="S1","a",if($K66="S2","b","")),Students!$A:$A,AP$2)+countifs(Students!$P:$P,$V66,Students!$Q:$Q,$V$2&amp;if($K66="S1","a",if($K66="S2","b","")),Students!$A:$A,AP$2)+countifs(Students!$R:$R,$V66,Students!$S:$S,$V$2&amp;if($K66="S1","a",if($K66="S2","b","")),Students!$A:$A,AP$2)+countifs(Students!$T:$T,$V66,Students!$U:$U,$V$2&amp;if($K66="S1","a",if($K66="S2","b","")),Students!$A:$A,AP$2)+countifs(Students!$V:$V,$V66,Students!$W:$W,$V$2&amp;if($K66="S1","a",if($K66="S2","b","")),Students!$A:$A,AP$2)+
countifs(Students!$D:$D,$Y66,Students!$E:$E,$Y$2&amp;if($K66="S1","a",if($K66="S2","b","")),Students!$A:$A,AP$2)+countifs(Students!$F:$F,$Y66,Students!$G:$G,$Y$2&amp;if($K66="S1","a",if($K66="S2","b","")),Students!$A:$A,AP$2)+countifs(Students!$H:$H,$Y66,Students!$I:$I,$Y$2&amp;if($K66="S1","a",if($K66="S2","b","")),Students!$A:$A,AP$2)+countifs(Students!$J:$J,$Y66,Students!$K:$K,$Y$2&amp;if($K66="S1","a",if($K66="S2","b","")),Students!$A:$A,AP$2)+countifs(Students!$L:$L,$Y66,Students!$M:$M,$Y$2&amp;if($K66="S1","a",if($K66="S2","b","")),Students!$A:$A,AP$2)+countifs(Students!$N:$N,$Y66,Students!$O:$O,$Y$2&amp;if($K66="S1","a",if($K66="S2","b","")),Students!$A:$A,AP$2)+countifs(Students!$P:$P,$Y66,Students!$Q:$Q,$Y$2&amp;if($K66="S1","a",if($K66="S2","b","")),Students!$A:$A,AP$2)+countifs(Students!$R:$R,$Y66,Students!$S:$S,$Y$2&amp;if($K66="S1","a",if($K66="S2","b","")),Students!$A:$A,AP$2)+countifs(Students!$T:$T,$Y66,Students!$U:$U,$Y$2&amp;if($K66="S1","a",if($K66="S2","b","")),Students!$A:$A,AP$2)+countifs(Students!$V:$V,$Y66,Students!$W:$W,$Y$2&amp;if($K66="S1","a",if($K66="S2","b","")),Students!$A:$A,AP$2)+
countifs(Students!$D:$D,$AB66,Students!$E:$E,$AB$2&amp;if($K66="S1","a",if($K66="S2","b","")),Students!$A:$A,AP$2)+countifs(Students!$F:$F,$AB66,Students!$G:$G,$AB$2&amp;if($K66="S1","a",if($K66="S2","b","")),Students!$A:$A,AP$2)+countifs(Students!$H:$H,$AB66,Students!$I:$I,$AB$2&amp;if($K66="S1","a",if($K66="S2","b","")),Students!$A:$A,AP$2)+countifs(Students!$J:$J,$AB66,Students!$K:$K,$AB$2&amp;if($K66="S1","a",if($K66="S2","b","")),Students!$A:$A,AP$2)+countifs(Students!$L:$L,$AB66,Students!$M:$M,$AB$2&amp;if($K66="S1","a",if($K66="S2","b","")),Students!$A:$A,AP$2)+countifs(Students!$N:$N,$AB66,Students!$O:$O,$AB$2&amp;if($K66="S1","a",if($K66="S2","b","")),Students!$A:$A,AP$2)+countifs(Students!$P:$P,$AB66,Students!$Q:$Q,$AB$2&amp;if($K66="S1","a",if($K66="S2","b","")),Students!$A:$A,AP$2)+countifs(Students!$R:$R,$AB66,Students!$S:$S,$AB$2&amp;if($K66="S1","a",if($K66="S2","b","")),Students!$A:$A,AP$2)+countifs(Students!$T:$T,$AB66,Students!$U:$U,$AB$2&amp;if($K66="S1","a",if($K66="S2","b","")),Students!$A:$A,AP$2)+countifs(Students!$V:$V,$AB66,Students!$W:$W,$AB$2&amp;if($K66="S1","a",if($K66="S2","b","")),Students!$A:$A,AP$2)+
countifs(Students!$D:$D,$AE66,Students!$E:$E,$AE$2&amp;if($K66="S1","a",if($K66="S2","b","")),Students!$A:$A,AP$2)+countifs(Students!$F:$F,$AE66,Students!$G:$G,$AE$2&amp;if($K66="S1","a",if($K66="S2","b","")),Students!$A:$A,AP$2)+countifs(Students!$H:$H,$AE66,Students!$I:$I,$AE$2&amp;if($K66="S1","a",if($K66="S2","b","")),Students!$A:$A,AP$2)+countifs(Students!$J:$J,$AE66,Students!$K:$K,$AE$2&amp;if($K66="S1","a",if($K66="S2","b","")),Students!$A:$A,AP$2)+countifs(Students!$L:$L,$AE66,Students!$M:$M,$AE$2&amp;if($K66="S1","a",if($K66="S2","b","")),Students!$A:$A,AP$2)+countifs(Students!$N:$N,$AE66,Students!$O:$O,$AE$2&amp;if($K66="S1","a",if($K66="S2","b","")),Students!$A:$A,AP$2)+countifs(Students!$P:$P,$AE66,Students!$Q:$Q,$AE$2&amp;if($K66="S1","a",if($K66="S2","b","")),Students!$A:$A,AP$2)+countifs(Students!$R:$R,$AE66,Students!$S:$S,$AE$2&amp;if($K66="S1","a",if($K66="S2","b","")),Students!$A:$A,AP$2)+countifs(Students!$T:$T,$AE66,Students!$U:$U,$AE$2&amp;if($K66="S1","a",if($K66="S2","b","")),Students!$A:$A,AP$2)+countifs(Students!$V:$V,$AE66,Students!$W:$W,$AE$2&amp;if($K66="S1","a",if($K66="S2","b","")),Students!$A:$A,AP$2)+
countifs(Students!$D:$D,$AH66,Students!$E:$E,$AH$2&amp;if($K66="S1","a",if($K66="S2","b","")),Students!$A:$A,AP$2)+countifs(Students!$F:$F,$AH66,Students!$G:$G,$AH$2&amp;if($K66="S1","a",if($K66="S2","b","")),Students!$A:$A,AP$2)+countifs(Students!$H:$H,$AH66,Students!$I:$I,$AH$2&amp;if($K66="S1","a",if($K66="S2","b","")),Students!$A:$A,AP$2)+countifs(Students!$J:$J,$AH66,Students!$K:$K,$AH$2&amp;if($K66="S1","a",if($K66="S2","b","")),Students!$A:$A,AP$2)+countifs(Students!$L:$L,$AH66,Students!$M:$M,$AH$2&amp;if($K66="S1","a",if($K66="S2","b","")),Students!$A:$A,AP$2)+countifs(Students!$N:$N,$AH66,Students!$O:$O,$AH$2&amp;if($K66="S1","a",if($K66="S2","b","")),Students!$A:$A,AP$2)+countifs(Students!$P:$P,$AH66,Students!$Q:$Q,$AH$2&amp;if($K66="S1","a",if($K66="S2","b","")),Students!$A:$A,AP$2)+countifs(Students!$R:$R,$AH66,Students!$S:$S,$AH$2&amp;if($K66="S1","a",if($K66="S2","b","")),Students!$A:$A,AP$2)+countifs(Students!$T:$T,$AH66,Students!$U:$U,$AH$2&amp;if($K66="S1","a",if($K66="S2","b","")),Students!$A:$A,AP$2)+countifs(Students!$V:$V,$AH66,Students!$W:$W,$AH$2&amp;if($K66="S1","a",if($K66="S2","b","")),Students!$A:$A,AP$2)+
countifs(Students!$D:$D,$AK66,Students!$E:$E,$AK$2&amp;if($K66="S1","a",if($K66="S2","b","")),Students!$A:$A,AP$2)+countifs(Students!$F:$F,$AK66,Students!$G:$G,$AK$2&amp;if($K66="S1","a",if($K66="S2","b","")),Students!$A:$A,AP$2)+countifs(Students!$H:$H,$AK66,Students!$I:$I,$AK$2&amp;if($K66="S1","a",if($K66="S2","b","")),Students!$A:$A,AP$2)+countifs(Students!$J:$J,$AK66,Students!$K:$K,$AK$2&amp;if($K66="S1","a",if($K66="S2","b","")),Students!$A:$A,AP$2)+countifs(Students!$L:$L,$AK66,Students!$M:$M,$AK$2&amp;if($K66="S1","a",if($K66="S2","b","")),Students!$A:$A,AP$2)+countifs(Students!$N:$N,$AK66,Students!$O:$O,$AK$2&amp;if($K66="S1","a",if($K66="S2","b","")),Students!$A:$A,AP$2)+countifs(Students!$P:$P,$AK66,Students!$Q:$Q,$AK$2&amp;if($K66="S1","a",if($K66="S2","b","")),Students!$A:$A,AP$2)+countifs(Students!$R:$R,$AK66,Students!$S:$S,$AK$2&amp;if($K66="S1","a",if($K66="S2","b","")),Students!$A:$A,AP$2)+countifs(Students!$T:$T,$AK66,Students!$U:$U,$AK$2&amp;if($K66="S1","a",if($K66="S2","b","")),Students!$A:$A,AP$2)+countifs(Students!$V:$V,$AK66,Students!$W:$W,$AK$2&amp;if($K66="S1","a",if($K66="S2","b","")),Students!$A:$A,AP$2))</f>
        <v/>
      </c>
      <c r="AQ66" s="98" t="str">
        <f>if($L66="","",countifs(Students!$D:$D,$P66,Students!$E:$E,$P$2&amp;if($K66="S1","a",if($K66="S2","b","")),Students!$A:$A,AQ$2)+countifs(Students!$F:$F,$P66,Students!$G:$G,$P$2&amp;if($K66="S1","a",if($K66="S2","b","")),Students!$A:$A,AQ$2)+countifs(Students!$H:$H,$P66,Students!$I:$I,$P$2&amp;if($K66="S1","a",if($K66="S2","b","")),Students!$A:$A,AQ$2)+countifs(Students!$J:$J,$P66,Students!$K:$K,$P$2&amp;if($K66="S1","a",if($K66="S2","b","")),Students!$A:$A,AQ$2)+countifs(Students!$L:$L,$P66,Students!$M:$M,$P$2&amp;if($K66="S1","a",if($K66="S2","b","")),Students!$A:$A,AQ$2)+countifs(Students!$N:$N,$P66,Students!$O:$O,$P$2&amp;if($K66="S1","a",if($K66="S2","b","")),Students!$A:$A,AQ$2)+countifs(Students!$P:$P,$P66,Students!$Q:$Q,$P$2&amp;if($K66="S1","a",if($K66="S2","b","")),Students!$A:$A,AQ$2)+countifs(Students!$R:$R,$P66,Students!$S:$S,$P$2&amp;if($K66="S1","a",if($K66="S2","b","")),Students!$A:$A,AQ$2)+countifs(Students!$T:$T,$P66,Students!$U:$U,$P$2&amp;if($K66="S1","a",if($K66="S2","b","")),Students!$A:$A,AQ$2)+countifs(Students!$V:$V,$P66,Students!$W:$W,$P$2&amp;if($K66="S1","a",if($K66="S2","b","")),Students!$A:$A,AQ$2)+
countifs(Students!$D:$D,$S66,Students!$E:$E,$S$2&amp;if($K66="S1","a",if($K66="S2","b","")),Students!$A:$A,AQ$2)+countifs(Students!$F:$F,$S66,Students!$G:$G,$S$2&amp;if($K66="S1","a",if($K66="S2","b","")),Students!$A:$A,AQ$2)+countifs(Students!$H:$H,$S66,Students!$I:$I,$S$2&amp;if($K66="S1","a",if($K66="S2","b","")),Students!$A:$A,AQ$2)+countifs(Students!$J:$J,$S66,Students!$K:$K,$S$2&amp;if($K66="S1","a",if($K66="S2","b","")),Students!$A:$A,AQ$2)+countifs(Students!$L:$L,$S66,Students!$M:$M,$S$2&amp;if($K66="S1","a",if($K66="S2","b","")),Students!$A:$A,AQ$2)+countifs(Students!$N:$N,$S66,Students!$O:$O,$S$2&amp;if($K66="S1","a",if($K66="S2","b","")),Students!$A:$A,AQ$2)+countifs(Students!$P:$P,$S66,Students!$Q:$Q,$S$2&amp;if($K66="S1","a",if($K66="S2","b","")),Students!$A:$A,AQ$2)+countifs(Students!$R:$R,$S66,Students!$S:$S,$S$2&amp;if($K66="S1","a",if($K66="S2","b","")),Students!$A:$A,AQ$2)+countifs(Students!$T:$T,$S66,Students!$U:$U,$S$2&amp;if($K66="S1","a",if($K66="S2","b","")),Students!$A:$A,AQ$2)+countifs(Students!$V:$V,$S66,Students!$W:$W,$S$2&amp;if($K66="S1","a",if($K66="S2","b","")),Students!$A:$A,AQ$2)+
countifs(Students!$D:$D,$V66,Students!$E:$E,$V$2&amp;if($K66="S1","a",if($K66="S2","b","")),Students!$A:$A,AQ$2)+countifs(Students!$F:$F,$V66,Students!$G:$G,$V$2&amp;if($K66="S1","a",if($K66="S2","b","")),Students!$A:$A,AQ$2)+countifs(Students!$H:$H,$V66,Students!$I:$I,$V$2&amp;if($K66="S1","a",if($K66="S2","b","")),Students!$A:$A,AQ$2)+countifs(Students!$J:$J,$V66,Students!$K:$K,$V$2&amp;if($K66="S1","a",if($K66="S2","b","")),Students!$A:$A,AQ$2)+countifs(Students!$L:$L,$V66,Students!$M:$M,$V$2&amp;if($K66="S1","a",if($K66="S2","b","")),Students!$A:$A,AQ$2)+countifs(Students!$N:$N,$V66,Students!$O:$O,$V$2&amp;if($K66="S1","a",if($K66="S2","b","")),Students!$A:$A,AQ$2)+countifs(Students!$P:$P,$V66,Students!$Q:$Q,$V$2&amp;if($K66="S1","a",if($K66="S2","b","")),Students!$A:$A,AQ$2)+countifs(Students!$R:$R,$V66,Students!$S:$S,$V$2&amp;if($K66="S1","a",if($K66="S2","b","")),Students!$A:$A,AQ$2)+countifs(Students!$T:$T,$V66,Students!$U:$U,$V$2&amp;if($K66="S1","a",if($K66="S2","b","")),Students!$A:$A,AQ$2)+countifs(Students!$V:$V,$V66,Students!$W:$W,$V$2&amp;if($K66="S1","a",if($K66="S2","b","")),Students!$A:$A,AQ$2)+
countifs(Students!$D:$D,$Y66,Students!$E:$E,$Y$2&amp;if($K66="S1","a",if($K66="S2","b","")),Students!$A:$A,AQ$2)+countifs(Students!$F:$F,$Y66,Students!$G:$G,$Y$2&amp;if($K66="S1","a",if($K66="S2","b","")),Students!$A:$A,AQ$2)+countifs(Students!$H:$H,$Y66,Students!$I:$I,$Y$2&amp;if($K66="S1","a",if($K66="S2","b","")),Students!$A:$A,AQ$2)+countifs(Students!$J:$J,$Y66,Students!$K:$K,$Y$2&amp;if($K66="S1","a",if($K66="S2","b","")),Students!$A:$A,AQ$2)+countifs(Students!$L:$L,$Y66,Students!$M:$M,$Y$2&amp;if($K66="S1","a",if($K66="S2","b","")),Students!$A:$A,AQ$2)+countifs(Students!$N:$N,$Y66,Students!$O:$O,$Y$2&amp;if($K66="S1","a",if($K66="S2","b","")),Students!$A:$A,AQ$2)+countifs(Students!$P:$P,$Y66,Students!$Q:$Q,$Y$2&amp;if($K66="S1","a",if($K66="S2","b","")),Students!$A:$A,AQ$2)+countifs(Students!$R:$R,$Y66,Students!$S:$S,$Y$2&amp;if($K66="S1","a",if($K66="S2","b","")),Students!$A:$A,AQ$2)+countifs(Students!$T:$T,$Y66,Students!$U:$U,$Y$2&amp;if($K66="S1","a",if($K66="S2","b","")),Students!$A:$A,AQ$2)+countifs(Students!$V:$V,$Y66,Students!$W:$W,$Y$2&amp;if($K66="S1","a",if($K66="S2","b","")),Students!$A:$A,AQ$2)+
countifs(Students!$D:$D,$AB66,Students!$E:$E,$AB$2&amp;if($K66="S1","a",if($K66="S2","b","")),Students!$A:$A,AQ$2)+countifs(Students!$F:$F,$AB66,Students!$G:$G,$AB$2&amp;if($K66="S1","a",if($K66="S2","b","")),Students!$A:$A,AQ$2)+countifs(Students!$H:$H,$AB66,Students!$I:$I,$AB$2&amp;if($K66="S1","a",if($K66="S2","b","")),Students!$A:$A,AQ$2)+countifs(Students!$J:$J,$AB66,Students!$K:$K,$AB$2&amp;if($K66="S1","a",if($K66="S2","b","")),Students!$A:$A,AQ$2)+countifs(Students!$L:$L,$AB66,Students!$M:$M,$AB$2&amp;if($K66="S1","a",if($K66="S2","b","")),Students!$A:$A,AQ$2)+countifs(Students!$N:$N,$AB66,Students!$O:$O,$AB$2&amp;if($K66="S1","a",if($K66="S2","b","")),Students!$A:$A,AQ$2)+countifs(Students!$P:$P,$AB66,Students!$Q:$Q,$AB$2&amp;if($K66="S1","a",if($K66="S2","b","")),Students!$A:$A,AQ$2)+countifs(Students!$R:$R,$AB66,Students!$S:$S,$AB$2&amp;if($K66="S1","a",if($K66="S2","b","")),Students!$A:$A,AQ$2)+countifs(Students!$T:$T,$AB66,Students!$U:$U,$AB$2&amp;if($K66="S1","a",if($K66="S2","b","")),Students!$A:$A,AQ$2)+countifs(Students!$V:$V,$AB66,Students!$W:$W,$AB$2&amp;if($K66="S1","a",if($K66="S2","b","")),Students!$A:$A,AQ$2)+
countifs(Students!$D:$D,$AE66,Students!$E:$E,$AE$2&amp;if($K66="S1","a",if($K66="S2","b","")),Students!$A:$A,AQ$2)+countifs(Students!$F:$F,$AE66,Students!$G:$G,$AE$2&amp;if($K66="S1","a",if($K66="S2","b","")),Students!$A:$A,AQ$2)+countifs(Students!$H:$H,$AE66,Students!$I:$I,$AE$2&amp;if($K66="S1","a",if($K66="S2","b","")),Students!$A:$A,AQ$2)+countifs(Students!$J:$J,$AE66,Students!$K:$K,$AE$2&amp;if($K66="S1","a",if($K66="S2","b","")),Students!$A:$A,AQ$2)+countifs(Students!$L:$L,$AE66,Students!$M:$M,$AE$2&amp;if($K66="S1","a",if($K66="S2","b","")),Students!$A:$A,AQ$2)+countifs(Students!$N:$N,$AE66,Students!$O:$O,$AE$2&amp;if($K66="S1","a",if($K66="S2","b","")),Students!$A:$A,AQ$2)+countifs(Students!$P:$P,$AE66,Students!$Q:$Q,$AE$2&amp;if($K66="S1","a",if($K66="S2","b","")),Students!$A:$A,AQ$2)+countifs(Students!$R:$R,$AE66,Students!$S:$S,$AE$2&amp;if($K66="S1","a",if($K66="S2","b","")),Students!$A:$A,AQ$2)+countifs(Students!$T:$T,$AE66,Students!$U:$U,$AE$2&amp;if($K66="S1","a",if($K66="S2","b","")),Students!$A:$A,AQ$2)+countifs(Students!$V:$V,$AE66,Students!$W:$W,$AE$2&amp;if($K66="S1","a",if($K66="S2","b","")),Students!$A:$A,AQ$2)+
countifs(Students!$D:$D,$AH66,Students!$E:$E,$AH$2&amp;if($K66="S1","a",if($K66="S2","b","")),Students!$A:$A,AQ$2)+countifs(Students!$F:$F,$AH66,Students!$G:$G,$AH$2&amp;if($K66="S1","a",if($K66="S2","b","")),Students!$A:$A,AQ$2)+countifs(Students!$H:$H,$AH66,Students!$I:$I,$AH$2&amp;if($K66="S1","a",if($K66="S2","b","")),Students!$A:$A,AQ$2)+countifs(Students!$J:$J,$AH66,Students!$K:$K,$AH$2&amp;if($K66="S1","a",if($K66="S2","b","")),Students!$A:$A,AQ$2)+countifs(Students!$L:$L,$AH66,Students!$M:$M,$AH$2&amp;if($K66="S1","a",if($K66="S2","b","")),Students!$A:$A,AQ$2)+countifs(Students!$N:$N,$AH66,Students!$O:$O,$AH$2&amp;if($K66="S1","a",if($K66="S2","b","")),Students!$A:$A,AQ$2)+countifs(Students!$P:$P,$AH66,Students!$Q:$Q,$AH$2&amp;if($K66="S1","a",if($K66="S2","b","")),Students!$A:$A,AQ$2)+countifs(Students!$R:$R,$AH66,Students!$S:$S,$AH$2&amp;if($K66="S1","a",if($K66="S2","b","")),Students!$A:$A,AQ$2)+countifs(Students!$T:$T,$AH66,Students!$U:$U,$AH$2&amp;if($K66="S1","a",if($K66="S2","b","")),Students!$A:$A,AQ$2)+countifs(Students!$V:$V,$AH66,Students!$W:$W,$AH$2&amp;if($K66="S1","a",if($K66="S2","b","")),Students!$A:$A,AQ$2)+
countifs(Students!$D:$D,$AK66,Students!$E:$E,$AK$2&amp;if($K66="S1","a",if($K66="S2","b","")),Students!$A:$A,AQ$2)+countifs(Students!$F:$F,$AK66,Students!$G:$G,$AK$2&amp;if($K66="S1","a",if($K66="S2","b","")),Students!$A:$A,AQ$2)+countifs(Students!$H:$H,$AK66,Students!$I:$I,$AK$2&amp;if($K66="S1","a",if($K66="S2","b","")),Students!$A:$A,AQ$2)+countifs(Students!$J:$J,$AK66,Students!$K:$K,$AK$2&amp;if($K66="S1","a",if($K66="S2","b","")),Students!$A:$A,AQ$2)+countifs(Students!$L:$L,$AK66,Students!$M:$M,$AK$2&amp;if($K66="S1","a",if($K66="S2","b","")),Students!$A:$A,AQ$2)+countifs(Students!$N:$N,$AK66,Students!$O:$O,$AK$2&amp;if($K66="S1","a",if($K66="S2","b","")),Students!$A:$A,AQ$2)+countifs(Students!$P:$P,$AK66,Students!$Q:$Q,$AK$2&amp;if($K66="S1","a",if($K66="S2","b","")),Students!$A:$A,AQ$2)+countifs(Students!$R:$R,$AK66,Students!$S:$S,$AK$2&amp;if($K66="S1","a",if($K66="S2","b","")),Students!$A:$A,AQ$2)+countifs(Students!$T:$T,$AK66,Students!$U:$U,$AK$2&amp;if($K66="S1","a",if($K66="S2","b","")),Students!$A:$A,AQ$2)+countifs(Students!$V:$V,$AK66,Students!$W:$W,$AK$2&amp;if($K66="S1","a",if($K66="S2","b","")),Students!$A:$A,AQ$2))</f>
        <v/>
      </c>
      <c r="AR66" s="98" t="str">
        <f>if($L66="","",countifs(Students!$D:$D,$P66,Students!$E:$E,$P$2&amp;if($K66="S1","a",if($K66="S2","b","")),Students!$A:$A,AR$2)+countifs(Students!$F:$F,$P66,Students!$G:$G,$P$2&amp;if($K66="S1","a",if($K66="S2","b","")),Students!$A:$A,AR$2)+countifs(Students!$H:$H,$P66,Students!$I:$I,$P$2&amp;if($K66="S1","a",if($K66="S2","b","")),Students!$A:$A,AR$2)+countifs(Students!$J:$J,$P66,Students!$K:$K,$P$2&amp;if($K66="S1","a",if($K66="S2","b","")),Students!$A:$A,AR$2)+countifs(Students!$L:$L,$P66,Students!$M:$M,$P$2&amp;if($K66="S1","a",if($K66="S2","b","")),Students!$A:$A,AR$2)+countifs(Students!$N:$N,$P66,Students!$O:$O,$P$2&amp;if($K66="S1","a",if($K66="S2","b","")),Students!$A:$A,AR$2)+countifs(Students!$P:$P,$P66,Students!$Q:$Q,$P$2&amp;if($K66="S1","a",if($K66="S2","b","")),Students!$A:$A,AR$2)+countifs(Students!$R:$R,$P66,Students!$S:$S,$P$2&amp;if($K66="S1","a",if($K66="S2","b","")),Students!$A:$A,AR$2)+countifs(Students!$T:$T,$P66,Students!$U:$U,$P$2&amp;if($K66="S1","a",if($K66="S2","b","")),Students!$A:$A,AR$2)+countifs(Students!$V:$V,$P66,Students!$W:$W,$P$2&amp;if($K66="S1","a",if($K66="S2","b","")),Students!$A:$A,AR$2)+
countifs(Students!$D:$D,$S66,Students!$E:$E,$S$2&amp;if($K66="S1","a",if($K66="S2","b","")),Students!$A:$A,AR$2)+countifs(Students!$F:$F,$S66,Students!$G:$G,$S$2&amp;if($K66="S1","a",if($K66="S2","b","")),Students!$A:$A,AR$2)+countifs(Students!$H:$H,$S66,Students!$I:$I,$S$2&amp;if($K66="S1","a",if($K66="S2","b","")),Students!$A:$A,AR$2)+countifs(Students!$J:$J,$S66,Students!$K:$K,$S$2&amp;if($K66="S1","a",if($K66="S2","b","")),Students!$A:$A,AR$2)+countifs(Students!$L:$L,$S66,Students!$M:$M,$S$2&amp;if($K66="S1","a",if($K66="S2","b","")),Students!$A:$A,AR$2)+countifs(Students!$N:$N,$S66,Students!$O:$O,$S$2&amp;if($K66="S1","a",if($K66="S2","b","")),Students!$A:$A,AR$2)+countifs(Students!$P:$P,$S66,Students!$Q:$Q,$S$2&amp;if($K66="S1","a",if($K66="S2","b","")),Students!$A:$A,AR$2)+countifs(Students!$R:$R,$S66,Students!$S:$S,$S$2&amp;if($K66="S1","a",if($K66="S2","b","")),Students!$A:$A,AR$2)+countifs(Students!$T:$T,$S66,Students!$U:$U,$S$2&amp;if($K66="S1","a",if($K66="S2","b","")),Students!$A:$A,AR$2)+countifs(Students!$V:$V,$S66,Students!$W:$W,$S$2&amp;if($K66="S1","a",if($K66="S2","b","")),Students!$A:$A,AR$2)+
countifs(Students!$D:$D,$V66,Students!$E:$E,$V$2&amp;if($K66="S1","a",if($K66="S2","b","")),Students!$A:$A,AR$2)+countifs(Students!$F:$F,$V66,Students!$G:$G,$V$2&amp;if($K66="S1","a",if($K66="S2","b","")),Students!$A:$A,AR$2)+countifs(Students!$H:$H,$V66,Students!$I:$I,$V$2&amp;if($K66="S1","a",if($K66="S2","b","")),Students!$A:$A,AR$2)+countifs(Students!$J:$J,$V66,Students!$K:$K,$V$2&amp;if($K66="S1","a",if($K66="S2","b","")),Students!$A:$A,AR$2)+countifs(Students!$L:$L,$V66,Students!$M:$M,$V$2&amp;if($K66="S1","a",if($K66="S2","b","")),Students!$A:$A,AR$2)+countifs(Students!$N:$N,$V66,Students!$O:$O,$V$2&amp;if($K66="S1","a",if($K66="S2","b","")),Students!$A:$A,AR$2)+countifs(Students!$P:$P,$V66,Students!$Q:$Q,$V$2&amp;if($K66="S1","a",if($K66="S2","b","")),Students!$A:$A,AR$2)+countifs(Students!$R:$R,$V66,Students!$S:$S,$V$2&amp;if($K66="S1","a",if($K66="S2","b","")),Students!$A:$A,AR$2)+countifs(Students!$T:$T,$V66,Students!$U:$U,$V$2&amp;if($K66="S1","a",if($K66="S2","b","")),Students!$A:$A,AR$2)+countifs(Students!$V:$V,$V66,Students!$W:$W,$V$2&amp;if($K66="S1","a",if($K66="S2","b","")),Students!$A:$A,AR$2)+
countifs(Students!$D:$D,$Y66,Students!$E:$E,$Y$2&amp;if($K66="S1","a",if($K66="S2","b","")),Students!$A:$A,AR$2)+countifs(Students!$F:$F,$Y66,Students!$G:$G,$Y$2&amp;if($K66="S1","a",if($K66="S2","b","")),Students!$A:$A,AR$2)+countifs(Students!$H:$H,$Y66,Students!$I:$I,$Y$2&amp;if($K66="S1","a",if($K66="S2","b","")),Students!$A:$A,AR$2)+countifs(Students!$J:$J,$Y66,Students!$K:$K,$Y$2&amp;if($K66="S1","a",if($K66="S2","b","")),Students!$A:$A,AR$2)+countifs(Students!$L:$L,$Y66,Students!$M:$M,$Y$2&amp;if($K66="S1","a",if($K66="S2","b","")),Students!$A:$A,AR$2)+countifs(Students!$N:$N,$Y66,Students!$O:$O,$Y$2&amp;if($K66="S1","a",if($K66="S2","b","")),Students!$A:$A,AR$2)+countifs(Students!$P:$P,$Y66,Students!$Q:$Q,$Y$2&amp;if($K66="S1","a",if($K66="S2","b","")),Students!$A:$A,AR$2)+countifs(Students!$R:$R,$Y66,Students!$S:$S,$Y$2&amp;if($K66="S1","a",if($K66="S2","b","")),Students!$A:$A,AR$2)+countifs(Students!$T:$T,$Y66,Students!$U:$U,$Y$2&amp;if($K66="S1","a",if($K66="S2","b","")),Students!$A:$A,AR$2)+countifs(Students!$V:$V,$Y66,Students!$W:$W,$Y$2&amp;if($K66="S1","a",if($K66="S2","b","")),Students!$A:$A,AR$2)+
countifs(Students!$D:$D,$AB66,Students!$E:$E,$AB$2&amp;if($K66="S1","a",if($K66="S2","b","")),Students!$A:$A,AR$2)+countifs(Students!$F:$F,$AB66,Students!$G:$G,$AB$2&amp;if($K66="S1","a",if($K66="S2","b","")),Students!$A:$A,AR$2)+countifs(Students!$H:$H,$AB66,Students!$I:$I,$AB$2&amp;if($K66="S1","a",if($K66="S2","b","")),Students!$A:$A,AR$2)+countifs(Students!$J:$J,$AB66,Students!$K:$K,$AB$2&amp;if($K66="S1","a",if($K66="S2","b","")),Students!$A:$A,AR$2)+countifs(Students!$L:$L,$AB66,Students!$M:$M,$AB$2&amp;if($K66="S1","a",if($K66="S2","b","")),Students!$A:$A,AR$2)+countifs(Students!$N:$N,$AB66,Students!$O:$O,$AB$2&amp;if($K66="S1","a",if($K66="S2","b","")),Students!$A:$A,AR$2)+countifs(Students!$P:$P,$AB66,Students!$Q:$Q,$AB$2&amp;if($K66="S1","a",if($K66="S2","b","")),Students!$A:$A,AR$2)+countifs(Students!$R:$R,$AB66,Students!$S:$S,$AB$2&amp;if($K66="S1","a",if($K66="S2","b","")),Students!$A:$A,AR$2)+countifs(Students!$T:$T,$AB66,Students!$U:$U,$AB$2&amp;if($K66="S1","a",if($K66="S2","b","")),Students!$A:$A,AR$2)+countifs(Students!$V:$V,$AB66,Students!$W:$W,$AB$2&amp;if($K66="S1","a",if($K66="S2","b","")),Students!$A:$A,AR$2)+
countifs(Students!$D:$D,$AE66,Students!$E:$E,$AE$2&amp;if($K66="S1","a",if($K66="S2","b","")),Students!$A:$A,AR$2)+countifs(Students!$F:$F,$AE66,Students!$G:$G,$AE$2&amp;if($K66="S1","a",if($K66="S2","b","")),Students!$A:$A,AR$2)+countifs(Students!$H:$H,$AE66,Students!$I:$I,$AE$2&amp;if($K66="S1","a",if($K66="S2","b","")),Students!$A:$A,AR$2)+countifs(Students!$J:$J,$AE66,Students!$K:$K,$AE$2&amp;if($K66="S1","a",if($K66="S2","b","")),Students!$A:$A,AR$2)+countifs(Students!$L:$L,$AE66,Students!$M:$M,$AE$2&amp;if($K66="S1","a",if($K66="S2","b","")),Students!$A:$A,AR$2)+countifs(Students!$N:$N,$AE66,Students!$O:$O,$AE$2&amp;if($K66="S1","a",if($K66="S2","b","")),Students!$A:$A,AR$2)+countifs(Students!$P:$P,$AE66,Students!$Q:$Q,$AE$2&amp;if($K66="S1","a",if($K66="S2","b","")),Students!$A:$A,AR$2)+countifs(Students!$R:$R,$AE66,Students!$S:$S,$AE$2&amp;if($K66="S1","a",if($K66="S2","b","")),Students!$A:$A,AR$2)+countifs(Students!$T:$T,$AE66,Students!$U:$U,$AE$2&amp;if($K66="S1","a",if($K66="S2","b","")),Students!$A:$A,AR$2)+countifs(Students!$V:$V,$AE66,Students!$W:$W,$AE$2&amp;if($K66="S1","a",if($K66="S2","b","")),Students!$A:$A,AR$2)+
countifs(Students!$D:$D,$AH66,Students!$E:$E,$AH$2&amp;if($K66="S1","a",if($K66="S2","b","")),Students!$A:$A,AR$2)+countifs(Students!$F:$F,$AH66,Students!$G:$G,$AH$2&amp;if($K66="S1","a",if($K66="S2","b","")),Students!$A:$A,AR$2)+countifs(Students!$H:$H,$AH66,Students!$I:$I,$AH$2&amp;if($K66="S1","a",if($K66="S2","b","")),Students!$A:$A,AR$2)+countifs(Students!$J:$J,$AH66,Students!$K:$K,$AH$2&amp;if($K66="S1","a",if($K66="S2","b","")),Students!$A:$A,AR$2)+countifs(Students!$L:$L,$AH66,Students!$M:$M,$AH$2&amp;if($K66="S1","a",if($K66="S2","b","")),Students!$A:$A,AR$2)+countifs(Students!$N:$N,$AH66,Students!$O:$O,$AH$2&amp;if($K66="S1","a",if($K66="S2","b","")),Students!$A:$A,AR$2)+countifs(Students!$P:$P,$AH66,Students!$Q:$Q,$AH$2&amp;if($K66="S1","a",if($K66="S2","b","")),Students!$A:$A,AR$2)+countifs(Students!$R:$R,$AH66,Students!$S:$S,$AH$2&amp;if($K66="S1","a",if($K66="S2","b","")),Students!$A:$A,AR$2)+countifs(Students!$T:$T,$AH66,Students!$U:$U,$AH$2&amp;if($K66="S1","a",if($K66="S2","b","")),Students!$A:$A,AR$2)+countifs(Students!$V:$V,$AH66,Students!$W:$W,$AH$2&amp;if($K66="S1","a",if($K66="S2","b","")),Students!$A:$A,AR$2)+
countifs(Students!$D:$D,$AK66,Students!$E:$E,$AK$2&amp;if($K66="S1","a",if($K66="S2","b","")),Students!$A:$A,AR$2)+countifs(Students!$F:$F,$AK66,Students!$G:$G,$AK$2&amp;if($K66="S1","a",if($K66="S2","b","")),Students!$A:$A,AR$2)+countifs(Students!$H:$H,$AK66,Students!$I:$I,$AK$2&amp;if($K66="S1","a",if($K66="S2","b","")),Students!$A:$A,AR$2)+countifs(Students!$J:$J,$AK66,Students!$K:$K,$AK$2&amp;if($K66="S1","a",if($K66="S2","b","")),Students!$A:$A,AR$2)+countifs(Students!$L:$L,$AK66,Students!$M:$M,$AK$2&amp;if($K66="S1","a",if($K66="S2","b","")),Students!$A:$A,AR$2)+countifs(Students!$N:$N,$AK66,Students!$O:$O,$AK$2&amp;if($K66="S1","a",if($K66="S2","b","")),Students!$A:$A,AR$2)+countifs(Students!$P:$P,$AK66,Students!$Q:$Q,$AK$2&amp;if($K66="S1","a",if($K66="S2","b","")),Students!$A:$A,AR$2)+countifs(Students!$R:$R,$AK66,Students!$S:$S,$AK$2&amp;if($K66="S1","a",if($K66="S2","b","")),Students!$A:$A,AR$2)+countifs(Students!$T:$T,$AK66,Students!$U:$U,$AK$2&amp;if($K66="S1","a",if($K66="S2","b","")),Students!$A:$A,AR$2)+countifs(Students!$V:$V,$AK66,Students!$W:$W,$AK$2&amp;if($K66="S1","a",if($K66="S2","b","")),Students!$A:$A,AR$2))</f>
        <v/>
      </c>
      <c r="AS66" s="98" t="str">
        <f>if($L66="","",countifs(Students!$D:$D,$P66,Students!$E:$E,$P$2&amp;if($K66="S1","a",if($K66="S2","b","")),Students!$A:$A,AS$2)+countifs(Students!$F:$F,$P66,Students!$G:$G,$P$2&amp;if($K66="S1","a",if($K66="S2","b","")),Students!$A:$A,AS$2)+countifs(Students!$H:$H,$P66,Students!$I:$I,$P$2&amp;if($K66="S1","a",if($K66="S2","b","")),Students!$A:$A,AS$2)+countifs(Students!$J:$J,$P66,Students!$K:$K,$P$2&amp;if($K66="S1","a",if($K66="S2","b","")),Students!$A:$A,AS$2)+countifs(Students!$L:$L,$P66,Students!$M:$M,$P$2&amp;if($K66="S1","a",if($K66="S2","b","")),Students!$A:$A,AS$2)+countifs(Students!$N:$N,$P66,Students!$O:$O,$P$2&amp;if($K66="S1","a",if($K66="S2","b","")),Students!$A:$A,AS$2)+countifs(Students!$P:$P,$P66,Students!$Q:$Q,$P$2&amp;if($K66="S1","a",if($K66="S2","b","")),Students!$A:$A,AS$2)+countifs(Students!$R:$R,$P66,Students!$S:$S,$P$2&amp;if($K66="S1","a",if($K66="S2","b","")),Students!$A:$A,AS$2)+countifs(Students!$T:$T,$P66,Students!$U:$U,$P$2&amp;if($K66="S1","a",if($K66="S2","b","")),Students!$A:$A,AS$2)+countifs(Students!$V:$V,$P66,Students!$W:$W,$P$2&amp;if($K66="S1","a",if($K66="S2","b","")),Students!$A:$A,AS$2)+
countifs(Students!$D:$D,$S66,Students!$E:$E,$S$2&amp;if($K66="S1","a",if($K66="S2","b","")),Students!$A:$A,AS$2)+countifs(Students!$F:$F,$S66,Students!$G:$G,$S$2&amp;if($K66="S1","a",if($K66="S2","b","")),Students!$A:$A,AS$2)+countifs(Students!$H:$H,$S66,Students!$I:$I,$S$2&amp;if($K66="S1","a",if($K66="S2","b","")),Students!$A:$A,AS$2)+countifs(Students!$J:$J,$S66,Students!$K:$K,$S$2&amp;if($K66="S1","a",if($K66="S2","b","")),Students!$A:$A,AS$2)+countifs(Students!$L:$L,$S66,Students!$M:$M,$S$2&amp;if($K66="S1","a",if($K66="S2","b","")),Students!$A:$A,AS$2)+countifs(Students!$N:$N,$S66,Students!$O:$O,$S$2&amp;if($K66="S1","a",if($K66="S2","b","")),Students!$A:$A,AS$2)+countifs(Students!$P:$P,$S66,Students!$Q:$Q,$S$2&amp;if($K66="S1","a",if($K66="S2","b","")),Students!$A:$A,AS$2)+countifs(Students!$R:$R,$S66,Students!$S:$S,$S$2&amp;if($K66="S1","a",if($K66="S2","b","")),Students!$A:$A,AS$2)+countifs(Students!$T:$T,$S66,Students!$U:$U,$S$2&amp;if($K66="S1","a",if($K66="S2","b","")),Students!$A:$A,AS$2)+countifs(Students!$V:$V,$S66,Students!$W:$W,$S$2&amp;if($K66="S1","a",if($K66="S2","b","")),Students!$A:$A,AS$2)+
countifs(Students!$D:$D,$V66,Students!$E:$E,$V$2&amp;if($K66="S1","a",if($K66="S2","b","")),Students!$A:$A,AS$2)+countifs(Students!$F:$F,$V66,Students!$G:$G,$V$2&amp;if($K66="S1","a",if($K66="S2","b","")),Students!$A:$A,AS$2)+countifs(Students!$H:$H,$V66,Students!$I:$I,$V$2&amp;if($K66="S1","a",if($K66="S2","b","")),Students!$A:$A,AS$2)+countifs(Students!$J:$J,$V66,Students!$K:$K,$V$2&amp;if($K66="S1","a",if($K66="S2","b","")),Students!$A:$A,AS$2)+countifs(Students!$L:$L,$V66,Students!$M:$M,$V$2&amp;if($K66="S1","a",if($K66="S2","b","")),Students!$A:$A,AS$2)+countifs(Students!$N:$N,$V66,Students!$O:$O,$V$2&amp;if($K66="S1","a",if($K66="S2","b","")),Students!$A:$A,AS$2)+countifs(Students!$P:$P,$V66,Students!$Q:$Q,$V$2&amp;if($K66="S1","a",if($K66="S2","b","")),Students!$A:$A,AS$2)+countifs(Students!$R:$R,$V66,Students!$S:$S,$V$2&amp;if($K66="S1","a",if($K66="S2","b","")),Students!$A:$A,AS$2)+countifs(Students!$T:$T,$V66,Students!$U:$U,$V$2&amp;if($K66="S1","a",if($K66="S2","b","")),Students!$A:$A,AS$2)+countifs(Students!$V:$V,$V66,Students!$W:$W,$V$2&amp;if($K66="S1","a",if($K66="S2","b","")),Students!$A:$A,AS$2)+
countifs(Students!$D:$D,$Y66,Students!$E:$E,$Y$2&amp;if($K66="S1","a",if($K66="S2","b","")),Students!$A:$A,AS$2)+countifs(Students!$F:$F,$Y66,Students!$G:$G,$Y$2&amp;if($K66="S1","a",if($K66="S2","b","")),Students!$A:$A,AS$2)+countifs(Students!$H:$H,$Y66,Students!$I:$I,$Y$2&amp;if($K66="S1","a",if($K66="S2","b","")),Students!$A:$A,AS$2)+countifs(Students!$J:$J,$Y66,Students!$K:$K,$Y$2&amp;if($K66="S1","a",if($K66="S2","b","")),Students!$A:$A,AS$2)+countifs(Students!$L:$L,$Y66,Students!$M:$M,$Y$2&amp;if($K66="S1","a",if($K66="S2","b","")),Students!$A:$A,AS$2)+countifs(Students!$N:$N,$Y66,Students!$O:$O,$Y$2&amp;if($K66="S1","a",if($K66="S2","b","")),Students!$A:$A,AS$2)+countifs(Students!$P:$P,$Y66,Students!$Q:$Q,$Y$2&amp;if($K66="S1","a",if($K66="S2","b","")),Students!$A:$A,AS$2)+countifs(Students!$R:$R,$Y66,Students!$S:$S,$Y$2&amp;if($K66="S1","a",if($K66="S2","b","")),Students!$A:$A,AS$2)+countifs(Students!$T:$T,$Y66,Students!$U:$U,$Y$2&amp;if($K66="S1","a",if($K66="S2","b","")),Students!$A:$A,AS$2)+countifs(Students!$V:$V,$Y66,Students!$W:$W,$Y$2&amp;if($K66="S1","a",if($K66="S2","b","")),Students!$A:$A,AS$2)+
countifs(Students!$D:$D,$AB66,Students!$E:$E,$AB$2&amp;if($K66="S1","a",if($K66="S2","b","")),Students!$A:$A,AS$2)+countifs(Students!$F:$F,$AB66,Students!$G:$G,$AB$2&amp;if($K66="S1","a",if($K66="S2","b","")),Students!$A:$A,AS$2)+countifs(Students!$H:$H,$AB66,Students!$I:$I,$AB$2&amp;if($K66="S1","a",if($K66="S2","b","")),Students!$A:$A,AS$2)+countifs(Students!$J:$J,$AB66,Students!$K:$K,$AB$2&amp;if($K66="S1","a",if($K66="S2","b","")),Students!$A:$A,AS$2)+countifs(Students!$L:$L,$AB66,Students!$M:$M,$AB$2&amp;if($K66="S1","a",if($K66="S2","b","")),Students!$A:$A,AS$2)+countifs(Students!$N:$N,$AB66,Students!$O:$O,$AB$2&amp;if($K66="S1","a",if($K66="S2","b","")),Students!$A:$A,AS$2)+countifs(Students!$P:$P,$AB66,Students!$Q:$Q,$AB$2&amp;if($K66="S1","a",if($K66="S2","b","")),Students!$A:$A,AS$2)+countifs(Students!$R:$R,$AB66,Students!$S:$S,$AB$2&amp;if($K66="S1","a",if($K66="S2","b","")),Students!$A:$A,AS$2)+countifs(Students!$T:$T,$AB66,Students!$U:$U,$AB$2&amp;if($K66="S1","a",if($K66="S2","b","")),Students!$A:$A,AS$2)+countifs(Students!$V:$V,$AB66,Students!$W:$W,$AB$2&amp;if($K66="S1","a",if($K66="S2","b","")),Students!$A:$A,AS$2)+
countifs(Students!$D:$D,$AE66,Students!$E:$E,$AE$2&amp;if($K66="S1","a",if($K66="S2","b","")),Students!$A:$A,AS$2)+countifs(Students!$F:$F,$AE66,Students!$G:$G,$AE$2&amp;if($K66="S1","a",if($K66="S2","b","")),Students!$A:$A,AS$2)+countifs(Students!$H:$H,$AE66,Students!$I:$I,$AE$2&amp;if($K66="S1","a",if($K66="S2","b","")),Students!$A:$A,AS$2)+countifs(Students!$J:$J,$AE66,Students!$K:$K,$AE$2&amp;if($K66="S1","a",if($K66="S2","b","")),Students!$A:$A,AS$2)+countifs(Students!$L:$L,$AE66,Students!$M:$M,$AE$2&amp;if($K66="S1","a",if($K66="S2","b","")),Students!$A:$A,AS$2)+countifs(Students!$N:$N,$AE66,Students!$O:$O,$AE$2&amp;if($K66="S1","a",if($K66="S2","b","")),Students!$A:$A,AS$2)+countifs(Students!$P:$P,$AE66,Students!$Q:$Q,$AE$2&amp;if($K66="S1","a",if($K66="S2","b","")),Students!$A:$A,AS$2)+countifs(Students!$R:$R,$AE66,Students!$S:$S,$AE$2&amp;if($K66="S1","a",if($K66="S2","b","")),Students!$A:$A,AS$2)+countifs(Students!$T:$T,$AE66,Students!$U:$U,$AE$2&amp;if($K66="S1","a",if($K66="S2","b","")),Students!$A:$A,AS$2)+countifs(Students!$V:$V,$AE66,Students!$W:$W,$AE$2&amp;if($K66="S1","a",if($K66="S2","b","")),Students!$A:$A,AS$2)+
countifs(Students!$D:$D,$AH66,Students!$E:$E,$AH$2&amp;if($K66="S1","a",if($K66="S2","b","")),Students!$A:$A,AS$2)+countifs(Students!$F:$F,$AH66,Students!$G:$G,$AH$2&amp;if($K66="S1","a",if($K66="S2","b","")),Students!$A:$A,AS$2)+countifs(Students!$H:$H,$AH66,Students!$I:$I,$AH$2&amp;if($K66="S1","a",if($K66="S2","b","")),Students!$A:$A,AS$2)+countifs(Students!$J:$J,$AH66,Students!$K:$K,$AH$2&amp;if($K66="S1","a",if($K66="S2","b","")),Students!$A:$A,AS$2)+countifs(Students!$L:$L,$AH66,Students!$M:$M,$AH$2&amp;if($K66="S1","a",if($K66="S2","b","")),Students!$A:$A,AS$2)+countifs(Students!$N:$N,$AH66,Students!$O:$O,$AH$2&amp;if($K66="S1","a",if($K66="S2","b","")),Students!$A:$A,AS$2)+countifs(Students!$P:$P,$AH66,Students!$Q:$Q,$AH$2&amp;if($K66="S1","a",if($K66="S2","b","")),Students!$A:$A,AS$2)+countifs(Students!$R:$R,$AH66,Students!$S:$S,$AH$2&amp;if($K66="S1","a",if($K66="S2","b","")),Students!$A:$A,AS$2)+countifs(Students!$T:$T,$AH66,Students!$U:$U,$AH$2&amp;if($K66="S1","a",if($K66="S2","b","")),Students!$A:$A,AS$2)+countifs(Students!$V:$V,$AH66,Students!$W:$W,$AH$2&amp;if($K66="S1","a",if($K66="S2","b","")),Students!$A:$A,AS$2)+
countifs(Students!$D:$D,$AK66,Students!$E:$E,$AK$2&amp;if($K66="S1","a",if($K66="S2","b","")),Students!$A:$A,AS$2)+countifs(Students!$F:$F,$AK66,Students!$G:$G,$AK$2&amp;if($K66="S1","a",if($K66="S2","b","")),Students!$A:$A,AS$2)+countifs(Students!$H:$H,$AK66,Students!$I:$I,$AK$2&amp;if($K66="S1","a",if($K66="S2","b","")),Students!$A:$A,AS$2)+countifs(Students!$J:$J,$AK66,Students!$K:$K,$AK$2&amp;if($K66="S1","a",if($K66="S2","b","")),Students!$A:$A,AS$2)+countifs(Students!$L:$L,$AK66,Students!$M:$M,$AK$2&amp;if($K66="S1","a",if($K66="S2","b","")),Students!$A:$A,AS$2)+countifs(Students!$N:$N,$AK66,Students!$O:$O,$AK$2&amp;if($K66="S1","a",if($K66="S2","b","")),Students!$A:$A,AS$2)+countifs(Students!$P:$P,$AK66,Students!$Q:$Q,$AK$2&amp;if($K66="S1","a",if($K66="S2","b","")),Students!$A:$A,AS$2)+countifs(Students!$R:$R,$AK66,Students!$S:$S,$AK$2&amp;if($K66="S1","a",if($K66="S2","b","")),Students!$A:$A,AS$2)+countifs(Students!$T:$T,$AK66,Students!$U:$U,$AK$2&amp;if($K66="S1","a",if($K66="S2","b","")),Students!$A:$A,AS$2)+countifs(Students!$V:$V,$AK66,Students!$W:$W,$AK$2&amp;if($K66="S1","a",if($K66="S2","b","")),Students!$A:$A,AS$2))</f>
        <v/>
      </c>
    </row>
    <row r="67">
      <c r="J67" s="106" t="s">
        <v>22</v>
      </c>
      <c r="K67" s="88"/>
      <c r="L67" s="130"/>
      <c r="M67" s="89"/>
      <c r="N67" s="106" t="s">
        <v>22</v>
      </c>
      <c r="O67" s="106"/>
      <c r="P67" s="89"/>
      <c r="Q67" s="89"/>
      <c r="R67" s="98" t="s">
        <v>22</v>
      </c>
      <c r="S67" s="89"/>
      <c r="T67" s="89"/>
      <c r="U67" s="98" t="s">
        <v>22</v>
      </c>
      <c r="V67" s="89"/>
      <c r="W67" s="89"/>
      <c r="X67" s="98" t="s">
        <v>22</v>
      </c>
      <c r="Y67" s="89"/>
      <c r="Z67" s="89"/>
      <c r="AA67" s="98" t="s">
        <v>22</v>
      </c>
      <c r="AB67" s="89"/>
      <c r="AC67" s="89"/>
      <c r="AD67" s="98" t="s">
        <v>22</v>
      </c>
      <c r="AE67" s="89"/>
      <c r="AF67" s="89"/>
      <c r="AG67" s="98" t="s">
        <v>22</v>
      </c>
      <c r="AH67" s="89"/>
      <c r="AI67" s="133"/>
      <c r="AJ67" s="98" t="s">
        <v>22</v>
      </c>
      <c r="AK67" s="89"/>
      <c r="AL67" s="133"/>
      <c r="AM67" s="98" t="s">
        <v>22</v>
      </c>
      <c r="AN67" s="99"/>
      <c r="AO67" s="52" t="str">
        <f t="shared" si="2"/>
        <v/>
      </c>
      <c r="AP67" s="98" t="str">
        <f>if($L67="","",countifs(Students!$D:$D,$P67,Students!$E:$E,$P$2&amp;if($K67="S1","a",if($K67="S2","b","")),Students!$A:$A,AP$2)+countifs(Students!$F:$F,$P67,Students!$G:$G,$P$2&amp;if($K67="S1","a",if($K67="S2","b","")),Students!$A:$A,AP$2)+countifs(Students!$H:$H,$P67,Students!$I:$I,$P$2&amp;if($K67="S1","a",if($K67="S2","b","")),Students!$A:$A,AP$2)+countifs(Students!$J:$J,$P67,Students!$K:$K,$P$2&amp;if($K67="S1","a",if($K67="S2","b","")),Students!$A:$A,AP$2)+countifs(Students!$L:$L,$P67,Students!$M:$M,$P$2&amp;if($K67="S1","a",if($K67="S2","b","")),Students!$A:$A,AP$2)+countifs(Students!$N:$N,$P67,Students!$O:$O,$P$2&amp;if($K67="S1","a",if($K67="S2","b","")),Students!$A:$A,AP$2)+countifs(Students!$P:$P,$P67,Students!$Q:$Q,$P$2&amp;if($K67="S1","a",if($K67="S2","b","")),Students!$A:$A,AP$2)+countifs(Students!$R:$R,$P67,Students!$S:$S,$P$2&amp;if($K67="S1","a",if($K67="S2","b","")),Students!$A:$A,AP$2)+countifs(Students!$T:$T,$P67,Students!$U:$U,$P$2&amp;if($K67="S1","a",if($K67="S2","b","")),Students!$A:$A,AP$2)+countifs(Students!$V:$V,$P67,Students!$W:$W,$P$2&amp;if($K67="S1","a",if($K67="S2","b","")),Students!$A:$A,AP$2)+
countifs(Students!$D:$D,$S67,Students!$E:$E,$S$2&amp;if($K67="S1","a",if($K67="S2","b","")),Students!$A:$A,AP$2)+countifs(Students!$F:$F,$S67,Students!$G:$G,$S$2&amp;if($K67="S1","a",if($K67="S2","b","")),Students!$A:$A,AP$2)+countifs(Students!$H:$H,$S67,Students!$I:$I,$S$2&amp;if($K67="S1","a",if($K67="S2","b","")),Students!$A:$A,AP$2)+countifs(Students!$J:$J,$S67,Students!$K:$K,$S$2&amp;if($K67="S1","a",if($K67="S2","b","")),Students!$A:$A,AP$2)+countifs(Students!$L:$L,$S67,Students!$M:$M,$S$2&amp;if($K67="S1","a",if($K67="S2","b","")),Students!$A:$A,AP$2)+countifs(Students!$N:$N,$S67,Students!$O:$O,$S$2&amp;if($K67="S1","a",if($K67="S2","b","")),Students!$A:$A,AP$2)+countifs(Students!$P:$P,$S67,Students!$Q:$Q,$S$2&amp;if($K67="S1","a",if($K67="S2","b","")),Students!$A:$A,AP$2)+countifs(Students!$R:$R,$S67,Students!$S:$S,$S$2&amp;if($K67="S1","a",if($K67="S2","b","")),Students!$A:$A,AP$2)+countifs(Students!$T:$T,$S67,Students!$U:$U,$S$2&amp;if($K67="S1","a",if($K67="S2","b","")),Students!$A:$A,AP$2)+countifs(Students!$V:$V,$S67,Students!$W:$W,$S$2&amp;if($K67="S1","a",if($K67="S2","b","")),Students!$A:$A,AP$2)+
countifs(Students!$D:$D,$V67,Students!$E:$E,$V$2&amp;if($K67="S1","a",if($K67="S2","b","")),Students!$A:$A,AP$2)+countifs(Students!$F:$F,$V67,Students!$G:$G,$V$2&amp;if($K67="S1","a",if($K67="S2","b","")),Students!$A:$A,AP$2)+countifs(Students!$H:$H,$V67,Students!$I:$I,$V$2&amp;if($K67="S1","a",if($K67="S2","b","")),Students!$A:$A,AP$2)+countifs(Students!$J:$J,$V67,Students!$K:$K,$V$2&amp;if($K67="S1","a",if($K67="S2","b","")),Students!$A:$A,AP$2)+countifs(Students!$L:$L,$V67,Students!$M:$M,$V$2&amp;if($K67="S1","a",if($K67="S2","b","")),Students!$A:$A,AP$2)+countifs(Students!$N:$N,$V67,Students!$O:$O,$V$2&amp;if($K67="S1","a",if($K67="S2","b","")),Students!$A:$A,AP$2)+countifs(Students!$P:$P,$V67,Students!$Q:$Q,$V$2&amp;if($K67="S1","a",if($K67="S2","b","")),Students!$A:$A,AP$2)+countifs(Students!$R:$R,$V67,Students!$S:$S,$V$2&amp;if($K67="S1","a",if($K67="S2","b","")),Students!$A:$A,AP$2)+countifs(Students!$T:$T,$V67,Students!$U:$U,$V$2&amp;if($K67="S1","a",if($K67="S2","b","")),Students!$A:$A,AP$2)+countifs(Students!$V:$V,$V67,Students!$W:$W,$V$2&amp;if($K67="S1","a",if($K67="S2","b","")),Students!$A:$A,AP$2)+
countifs(Students!$D:$D,$Y67,Students!$E:$E,$Y$2&amp;if($K67="S1","a",if($K67="S2","b","")),Students!$A:$A,AP$2)+countifs(Students!$F:$F,$Y67,Students!$G:$G,$Y$2&amp;if($K67="S1","a",if($K67="S2","b","")),Students!$A:$A,AP$2)+countifs(Students!$H:$H,$Y67,Students!$I:$I,$Y$2&amp;if($K67="S1","a",if($K67="S2","b","")),Students!$A:$A,AP$2)+countifs(Students!$J:$J,$Y67,Students!$K:$K,$Y$2&amp;if($K67="S1","a",if($K67="S2","b","")),Students!$A:$A,AP$2)+countifs(Students!$L:$L,$Y67,Students!$M:$M,$Y$2&amp;if($K67="S1","a",if($K67="S2","b","")),Students!$A:$A,AP$2)+countifs(Students!$N:$N,$Y67,Students!$O:$O,$Y$2&amp;if($K67="S1","a",if($K67="S2","b","")),Students!$A:$A,AP$2)+countifs(Students!$P:$P,$Y67,Students!$Q:$Q,$Y$2&amp;if($K67="S1","a",if($K67="S2","b","")),Students!$A:$A,AP$2)+countifs(Students!$R:$R,$Y67,Students!$S:$S,$Y$2&amp;if($K67="S1","a",if($K67="S2","b","")),Students!$A:$A,AP$2)+countifs(Students!$T:$T,$Y67,Students!$U:$U,$Y$2&amp;if($K67="S1","a",if($K67="S2","b","")),Students!$A:$A,AP$2)+countifs(Students!$V:$V,$Y67,Students!$W:$W,$Y$2&amp;if($K67="S1","a",if($K67="S2","b","")),Students!$A:$A,AP$2)+
countifs(Students!$D:$D,$AB67,Students!$E:$E,$AB$2&amp;if($K67="S1","a",if($K67="S2","b","")),Students!$A:$A,AP$2)+countifs(Students!$F:$F,$AB67,Students!$G:$G,$AB$2&amp;if($K67="S1","a",if($K67="S2","b","")),Students!$A:$A,AP$2)+countifs(Students!$H:$H,$AB67,Students!$I:$I,$AB$2&amp;if($K67="S1","a",if($K67="S2","b","")),Students!$A:$A,AP$2)+countifs(Students!$J:$J,$AB67,Students!$K:$K,$AB$2&amp;if($K67="S1","a",if($K67="S2","b","")),Students!$A:$A,AP$2)+countifs(Students!$L:$L,$AB67,Students!$M:$M,$AB$2&amp;if($K67="S1","a",if($K67="S2","b","")),Students!$A:$A,AP$2)+countifs(Students!$N:$N,$AB67,Students!$O:$O,$AB$2&amp;if($K67="S1","a",if($K67="S2","b","")),Students!$A:$A,AP$2)+countifs(Students!$P:$P,$AB67,Students!$Q:$Q,$AB$2&amp;if($K67="S1","a",if($K67="S2","b","")),Students!$A:$A,AP$2)+countifs(Students!$R:$R,$AB67,Students!$S:$S,$AB$2&amp;if($K67="S1","a",if($K67="S2","b","")),Students!$A:$A,AP$2)+countifs(Students!$T:$T,$AB67,Students!$U:$U,$AB$2&amp;if($K67="S1","a",if($K67="S2","b","")),Students!$A:$A,AP$2)+countifs(Students!$V:$V,$AB67,Students!$W:$W,$AB$2&amp;if($K67="S1","a",if($K67="S2","b","")),Students!$A:$A,AP$2)+
countifs(Students!$D:$D,$AE67,Students!$E:$E,$AE$2&amp;if($K67="S1","a",if($K67="S2","b","")),Students!$A:$A,AP$2)+countifs(Students!$F:$F,$AE67,Students!$G:$G,$AE$2&amp;if($K67="S1","a",if($K67="S2","b","")),Students!$A:$A,AP$2)+countifs(Students!$H:$H,$AE67,Students!$I:$I,$AE$2&amp;if($K67="S1","a",if($K67="S2","b","")),Students!$A:$A,AP$2)+countifs(Students!$J:$J,$AE67,Students!$K:$K,$AE$2&amp;if($K67="S1","a",if($K67="S2","b","")),Students!$A:$A,AP$2)+countifs(Students!$L:$L,$AE67,Students!$M:$M,$AE$2&amp;if($K67="S1","a",if($K67="S2","b","")),Students!$A:$A,AP$2)+countifs(Students!$N:$N,$AE67,Students!$O:$O,$AE$2&amp;if($K67="S1","a",if($K67="S2","b","")),Students!$A:$A,AP$2)+countifs(Students!$P:$P,$AE67,Students!$Q:$Q,$AE$2&amp;if($K67="S1","a",if($K67="S2","b","")),Students!$A:$A,AP$2)+countifs(Students!$R:$R,$AE67,Students!$S:$S,$AE$2&amp;if($K67="S1","a",if($K67="S2","b","")),Students!$A:$A,AP$2)+countifs(Students!$T:$T,$AE67,Students!$U:$U,$AE$2&amp;if($K67="S1","a",if($K67="S2","b","")),Students!$A:$A,AP$2)+countifs(Students!$V:$V,$AE67,Students!$W:$W,$AE$2&amp;if($K67="S1","a",if($K67="S2","b","")),Students!$A:$A,AP$2)+
countifs(Students!$D:$D,$AH67,Students!$E:$E,$AH$2&amp;if($K67="S1","a",if($K67="S2","b","")),Students!$A:$A,AP$2)+countifs(Students!$F:$F,$AH67,Students!$G:$G,$AH$2&amp;if($K67="S1","a",if($K67="S2","b","")),Students!$A:$A,AP$2)+countifs(Students!$H:$H,$AH67,Students!$I:$I,$AH$2&amp;if($K67="S1","a",if($K67="S2","b","")),Students!$A:$A,AP$2)+countifs(Students!$J:$J,$AH67,Students!$K:$K,$AH$2&amp;if($K67="S1","a",if($K67="S2","b","")),Students!$A:$A,AP$2)+countifs(Students!$L:$L,$AH67,Students!$M:$M,$AH$2&amp;if($K67="S1","a",if($K67="S2","b","")),Students!$A:$A,AP$2)+countifs(Students!$N:$N,$AH67,Students!$O:$O,$AH$2&amp;if($K67="S1","a",if($K67="S2","b","")),Students!$A:$A,AP$2)+countifs(Students!$P:$P,$AH67,Students!$Q:$Q,$AH$2&amp;if($K67="S1","a",if($K67="S2","b","")),Students!$A:$A,AP$2)+countifs(Students!$R:$R,$AH67,Students!$S:$S,$AH$2&amp;if($K67="S1","a",if($K67="S2","b","")),Students!$A:$A,AP$2)+countifs(Students!$T:$T,$AH67,Students!$U:$U,$AH$2&amp;if($K67="S1","a",if($K67="S2","b","")),Students!$A:$A,AP$2)+countifs(Students!$V:$V,$AH67,Students!$W:$W,$AH$2&amp;if($K67="S1","a",if($K67="S2","b","")),Students!$A:$A,AP$2)+
countifs(Students!$D:$D,$AK67,Students!$E:$E,$AK$2&amp;if($K67="S1","a",if($K67="S2","b","")),Students!$A:$A,AP$2)+countifs(Students!$F:$F,$AK67,Students!$G:$G,$AK$2&amp;if($K67="S1","a",if($K67="S2","b","")),Students!$A:$A,AP$2)+countifs(Students!$H:$H,$AK67,Students!$I:$I,$AK$2&amp;if($K67="S1","a",if($K67="S2","b","")),Students!$A:$A,AP$2)+countifs(Students!$J:$J,$AK67,Students!$K:$K,$AK$2&amp;if($K67="S1","a",if($K67="S2","b","")),Students!$A:$A,AP$2)+countifs(Students!$L:$L,$AK67,Students!$M:$M,$AK$2&amp;if($K67="S1","a",if($K67="S2","b","")),Students!$A:$A,AP$2)+countifs(Students!$N:$N,$AK67,Students!$O:$O,$AK$2&amp;if($K67="S1","a",if($K67="S2","b","")),Students!$A:$A,AP$2)+countifs(Students!$P:$P,$AK67,Students!$Q:$Q,$AK$2&amp;if($K67="S1","a",if($K67="S2","b","")),Students!$A:$A,AP$2)+countifs(Students!$R:$R,$AK67,Students!$S:$S,$AK$2&amp;if($K67="S1","a",if($K67="S2","b","")),Students!$A:$A,AP$2)+countifs(Students!$T:$T,$AK67,Students!$U:$U,$AK$2&amp;if($K67="S1","a",if($K67="S2","b","")),Students!$A:$A,AP$2)+countifs(Students!$V:$V,$AK67,Students!$W:$W,$AK$2&amp;if($K67="S1","a",if($K67="S2","b","")),Students!$A:$A,AP$2))</f>
        <v/>
      </c>
      <c r="AQ67" s="98" t="str">
        <f>if($L67="","",countifs(Students!$D:$D,$P67,Students!$E:$E,$P$2&amp;if($K67="S1","a",if($K67="S2","b","")),Students!$A:$A,AQ$2)+countifs(Students!$F:$F,$P67,Students!$G:$G,$P$2&amp;if($K67="S1","a",if($K67="S2","b","")),Students!$A:$A,AQ$2)+countifs(Students!$H:$H,$P67,Students!$I:$I,$P$2&amp;if($K67="S1","a",if($K67="S2","b","")),Students!$A:$A,AQ$2)+countifs(Students!$J:$J,$P67,Students!$K:$K,$P$2&amp;if($K67="S1","a",if($K67="S2","b","")),Students!$A:$A,AQ$2)+countifs(Students!$L:$L,$P67,Students!$M:$M,$P$2&amp;if($K67="S1","a",if($K67="S2","b","")),Students!$A:$A,AQ$2)+countifs(Students!$N:$N,$P67,Students!$O:$O,$P$2&amp;if($K67="S1","a",if($K67="S2","b","")),Students!$A:$A,AQ$2)+countifs(Students!$P:$P,$P67,Students!$Q:$Q,$P$2&amp;if($K67="S1","a",if($K67="S2","b","")),Students!$A:$A,AQ$2)+countifs(Students!$R:$R,$P67,Students!$S:$S,$P$2&amp;if($K67="S1","a",if($K67="S2","b","")),Students!$A:$A,AQ$2)+countifs(Students!$T:$T,$P67,Students!$U:$U,$P$2&amp;if($K67="S1","a",if($K67="S2","b","")),Students!$A:$A,AQ$2)+countifs(Students!$V:$V,$P67,Students!$W:$W,$P$2&amp;if($K67="S1","a",if($K67="S2","b","")),Students!$A:$A,AQ$2)+
countifs(Students!$D:$D,$S67,Students!$E:$E,$S$2&amp;if($K67="S1","a",if($K67="S2","b","")),Students!$A:$A,AQ$2)+countifs(Students!$F:$F,$S67,Students!$G:$G,$S$2&amp;if($K67="S1","a",if($K67="S2","b","")),Students!$A:$A,AQ$2)+countifs(Students!$H:$H,$S67,Students!$I:$I,$S$2&amp;if($K67="S1","a",if($K67="S2","b","")),Students!$A:$A,AQ$2)+countifs(Students!$J:$J,$S67,Students!$K:$K,$S$2&amp;if($K67="S1","a",if($K67="S2","b","")),Students!$A:$A,AQ$2)+countifs(Students!$L:$L,$S67,Students!$M:$M,$S$2&amp;if($K67="S1","a",if($K67="S2","b","")),Students!$A:$A,AQ$2)+countifs(Students!$N:$N,$S67,Students!$O:$O,$S$2&amp;if($K67="S1","a",if($K67="S2","b","")),Students!$A:$A,AQ$2)+countifs(Students!$P:$P,$S67,Students!$Q:$Q,$S$2&amp;if($K67="S1","a",if($K67="S2","b","")),Students!$A:$A,AQ$2)+countifs(Students!$R:$R,$S67,Students!$S:$S,$S$2&amp;if($K67="S1","a",if($K67="S2","b","")),Students!$A:$A,AQ$2)+countifs(Students!$T:$T,$S67,Students!$U:$U,$S$2&amp;if($K67="S1","a",if($K67="S2","b","")),Students!$A:$A,AQ$2)+countifs(Students!$V:$V,$S67,Students!$W:$W,$S$2&amp;if($K67="S1","a",if($K67="S2","b","")),Students!$A:$A,AQ$2)+
countifs(Students!$D:$D,$V67,Students!$E:$E,$V$2&amp;if($K67="S1","a",if($K67="S2","b","")),Students!$A:$A,AQ$2)+countifs(Students!$F:$F,$V67,Students!$G:$G,$V$2&amp;if($K67="S1","a",if($K67="S2","b","")),Students!$A:$A,AQ$2)+countifs(Students!$H:$H,$V67,Students!$I:$I,$V$2&amp;if($K67="S1","a",if($K67="S2","b","")),Students!$A:$A,AQ$2)+countifs(Students!$J:$J,$V67,Students!$K:$K,$V$2&amp;if($K67="S1","a",if($K67="S2","b","")),Students!$A:$A,AQ$2)+countifs(Students!$L:$L,$V67,Students!$M:$M,$V$2&amp;if($K67="S1","a",if($K67="S2","b","")),Students!$A:$A,AQ$2)+countifs(Students!$N:$N,$V67,Students!$O:$O,$V$2&amp;if($K67="S1","a",if($K67="S2","b","")),Students!$A:$A,AQ$2)+countifs(Students!$P:$P,$V67,Students!$Q:$Q,$V$2&amp;if($K67="S1","a",if($K67="S2","b","")),Students!$A:$A,AQ$2)+countifs(Students!$R:$R,$V67,Students!$S:$S,$V$2&amp;if($K67="S1","a",if($K67="S2","b","")),Students!$A:$A,AQ$2)+countifs(Students!$T:$T,$V67,Students!$U:$U,$V$2&amp;if($K67="S1","a",if($K67="S2","b","")),Students!$A:$A,AQ$2)+countifs(Students!$V:$V,$V67,Students!$W:$W,$V$2&amp;if($K67="S1","a",if($K67="S2","b","")),Students!$A:$A,AQ$2)+
countifs(Students!$D:$D,$Y67,Students!$E:$E,$Y$2&amp;if($K67="S1","a",if($K67="S2","b","")),Students!$A:$A,AQ$2)+countifs(Students!$F:$F,$Y67,Students!$G:$G,$Y$2&amp;if($K67="S1","a",if($K67="S2","b","")),Students!$A:$A,AQ$2)+countifs(Students!$H:$H,$Y67,Students!$I:$I,$Y$2&amp;if($K67="S1","a",if($K67="S2","b","")),Students!$A:$A,AQ$2)+countifs(Students!$J:$J,$Y67,Students!$K:$K,$Y$2&amp;if($K67="S1","a",if($K67="S2","b","")),Students!$A:$A,AQ$2)+countifs(Students!$L:$L,$Y67,Students!$M:$M,$Y$2&amp;if($K67="S1","a",if($K67="S2","b","")),Students!$A:$A,AQ$2)+countifs(Students!$N:$N,$Y67,Students!$O:$O,$Y$2&amp;if($K67="S1","a",if($K67="S2","b","")),Students!$A:$A,AQ$2)+countifs(Students!$P:$P,$Y67,Students!$Q:$Q,$Y$2&amp;if($K67="S1","a",if($K67="S2","b","")),Students!$A:$A,AQ$2)+countifs(Students!$R:$R,$Y67,Students!$S:$S,$Y$2&amp;if($K67="S1","a",if($K67="S2","b","")),Students!$A:$A,AQ$2)+countifs(Students!$T:$T,$Y67,Students!$U:$U,$Y$2&amp;if($K67="S1","a",if($K67="S2","b","")),Students!$A:$A,AQ$2)+countifs(Students!$V:$V,$Y67,Students!$W:$W,$Y$2&amp;if($K67="S1","a",if($K67="S2","b","")),Students!$A:$A,AQ$2)+
countifs(Students!$D:$D,$AB67,Students!$E:$E,$AB$2&amp;if($K67="S1","a",if($K67="S2","b","")),Students!$A:$A,AQ$2)+countifs(Students!$F:$F,$AB67,Students!$G:$G,$AB$2&amp;if($K67="S1","a",if($K67="S2","b","")),Students!$A:$A,AQ$2)+countifs(Students!$H:$H,$AB67,Students!$I:$I,$AB$2&amp;if($K67="S1","a",if($K67="S2","b","")),Students!$A:$A,AQ$2)+countifs(Students!$J:$J,$AB67,Students!$K:$K,$AB$2&amp;if($K67="S1","a",if($K67="S2","b","")),Students!$A:$A,AQ$2)+countifs(Students!$L:$L,$AB67,Students!$M:$M,$AB$2&amp;if($K67="S1","a",if($K67="S2","b","")),Students!$A:$A,AQ$2)+countifs(Students!$N:$N,$AB67,Students!$O:$O,$AB$2&amp;if($K67="S1","a",if($K67="S2","b","")),Students!$A:$A,AQ$2)+countifs(Students!$P:$P,$AB67,Students!$Q:$Q,$AB$2&amp;if($K67="S1","a",if($K67="S2","b","")),Students!$A:$A,AQ$2)+countifs(Students!$R:$R,$AB67,Students!$S:$S,$AB$2&amp;if($K67="S1","a",if($K67="S2","b","")),Students!$A:$A,AQ$2)+countifs(Students!$T:$T,$AB67,Students!$U:$U,$AB$2&amp;if($K67="S1","a",if($K67="S2","b","")),Students!$A:$A,AQ$2)+countifs(Students!$V:$V,$AB67,Students!$W:$W,$AB$2&amp;if($K67="S1","a",if($K67="S2","b","")),Students!$A:$A,AQ$2)+
countifs(Students!$D:$D,$AE67,Students!$E:$E,$AE$2&amp;if($K67="S1","a",if($K67="S2","b","")),Students!$A:$A,AQ$2)+countifs(Students!$F:$F,$AE67,Students!$G:$G,$AE$2&amp;if($K67="S1","a",if($K67="S2","b","")),Students!$A:$A,AQ$2)+countifs(Students!$H:$H,$AE67,Students!$I:$I,$AE$2&amp;if($K67="S1","a",if($K67="S2","b","")),Students!$A:$A,AQ$2)+countifs(Students!$J:$J,$AE67,Students!$K:$K,$AE$2&amp;if($K67="S1","a",if($K67="S2","b","")),Students!$A:$A,AQ$2)+countifs(Students!$L:$L,$AE67,Students!$M:$M,$AE$2&amp;if($K67="S1","a",if($K67="S2","b","")),Students!$A:$A,AQ$2)+countifs(Students!$N:$N,$AE67,Students!$O:$O,$AE$2&amp;if($K67="S1","a",if($K67="S2","b","")),Students!$A:$A,AQ$2)+countifs(Students!$P:$P,$AE67,Students!$Q:$Q,$AE$2&amp;if($K67="S1","a",if($K67="S2","b","")),Students!$A:$A,AQ$2)+countifs(Students!$R:$R,$AE67,Students!$S:$S,$AE$2&amp;if($K67="S1","a",if($K67="S2","b","")),Students!$A:$A,AQ$2)+countifs(Students!$T:$T,$AE67,Students!$U:$U,$AE$2&amp;if($K67="S1","a",if($K67="S2","b","")),Students!$A:$A,AQ$2)+countifs(Students!$V:$V,$AE67,Students!$W:$W,$AE$2&amp;if($K67="S1","a",if($K67="S2","b","")),Students!$A:$A,AQ$2)+
countifs(Students!$D:$D,$AH67,Students!$E:$E,$AH$2&amp;if($K67="S1","a",if($K67="S2","b","")),Students!$A:$A,AQ$2)+countifs(Students!$F:$F,$AH67,Students!$G:$G,$AH$2&amp;if($K67="S1","a",if($K67="S2","b","")),Students!$A:$A,AQ$2)+countifs(Students!$H:$H,$AH67,Students!$I:$I,$AH$2&amp;if($K67="S1","a",if($K67="S2","b","")),Students!$A:$A,AQ$2)+countifs(Students!$J:$J,$AH67,Students!$K:$K,$AH$2&amp;if($K67="S1","a",if($K67="S2","b","")),Students!$A:$A,AQ$2)+countifs(Students!$L:$L,$AH67,Students!$M:$M,$AH$2&amp;if($K67="S1","a",if($K67="S2","b","")),Students!$A:$A,AQ$2)+countifs(Students!$N:$N,$AH67,Students!$O:$O,$AH$2&amp;if($K67="S1","a",if($K67="S2","b","")),Students!$A:$A,AQ$2)+countifs(Students!$P:$P,$AH67,Students!$Q:$Q,$AH$2&amp;if($K67="S1","a",if($K67="S2","b","")),Students!$A:$A,AQ$2)+countifs(Students!$R:$R,$AH67,Students!$S:$S,$AH$2&amp;if($K67="S1","a",if($K67="S2","b","")),Students!$A:$A,AQ$2)+countifs(Students!$T:$T,$AH67,Students!$U:$U,$AH$2&amp;if($K67="S1","a",if($K67="S2","b","")),Students!$A:$A,AQ$2)+countifs(Students!$V:$V,$AH67,Students!$W:$W,$AH$2&amp;if($K67="S1","a",if($K67="S2","b","")),Students!$A:$A,AQ$2)+
countifs(Students!$D:$D,$AK67,Students!$E:$E,$AK$2&amp;if($K67="S1","a",if($K67="S2","b","")),Students!$A:$A,AQ$2)+countifs(Students!$F:$F,$AK67,Students!$G:$G,$AK$2&amp;if($K67="S1","a",if($K67="S2","b","")),Students!$A:$A,AQ$2)+countifs(Students!$H:$H,$AK67,Students!$I:$I,$AK$2&amp;if($K67="S1","a",if($K67="S2","b","")),Students!$A:$A,AQ$2)+countifs(Students!$J:$J,$AK67,Students!$K:$K,$AK$2&amp;if($K67="S1","a",if($K67="S2","b","")),Students!$A:$A,AQ$2)+countifs(Students!$L:$L,$AK67,Students!$M:$M,$AK$2&amp;if($K67="S1","a",if($K67="S2","b","")),Students!$A:$A,AQ$2)+countifs(Students!$N:$N,$AK67,Students!$O:$O,$AK$2&amp;if($K67="S1","a",if($K67="S2","b","")),Students!$A:$A,AQ$2)+countifs(Students!$P:$P,$AK67,Students!$Q:$Q,$AK$2&amp;if($K67="S1","a",if($K67="S2","b","")),Students!$A:$A,AQ$2)+countifs(Students!$R:$R,$AK67,Students!$S:$S,$AK$2&amp;if($K67="S1","a",if($K67="S2","b","")),Students!$A:$A,AQ$2)+countifs(Students!$T:$T,$AK67,Students!$U:$U,$AK$2&amp;if($K67="S1","a",if($K67="S2","b","")),Students!$A:$A,AQ$2)+countifs(Students!$V:$V,$AK67,Students!$W:$W,$AK$2&amp;if($K67="S1","a",if($K67="S2","b","")),Students!$A:$A,AQ$2))</f>
        <v/>
      </c>
      <c r="AR67" s="98" t="str">
        <f>if($L67="","",countifs(Students!$D:$D,$P67,Students!$E:$E,$P$2&amp;if($K67="S1","a",if($K67="S2","b","")),Students!$A:$A,AR$2)+countifs(Students!$F:$F,$P67,Students!$G:$G,$P$2&amp;if($K67="S1","a",if($K67="S2","b","")),Students!$A:$A,AR$2)+countifs(Students!$H:$H,$P67,Students!$I:$I,$P$2&amp;if($K67="S1","a",if($K67="S2","b","")),Students!$A:$A,AR$2)+countifs(Students!$J:$J,$P67,Students!$K:$K,$P$2&amp;if($K67="S1","a",if($K67="S2","b","")),Students!$A:$A,AR$2)+countifs(Students!$L:$L,$P67,Students!$M:$M,$P$2&amp;if($K67="S1","a",if($K67="S2","b","")),Students!$A:$A,AR$2)+countifs(Students!$N:$N,$P67,Students!$O:$O,$P$2&amp;if($K67="S1","a",if($K67="S2","b","")),Students!$A:$A,AR$2)+countifs(Students!$P:$P,$P67,Students!$Q:$Q,$P$2&amp;if($K67="S1","a",if($K67="S2","b","")),Students!$A:$A,AR$2)+countifs(Students!$R:$R,$P67,Students!$S:$S,$P$2&amp;if($K67="S1","a",if($K67="S2","b","")),Students!$A:$A,AR$2)+countifs(Students!$T:$T,$P67,Students!$U:$U,$P$2&amp;if($K67="S1","a",if($K67="S2","b","")),Students!$A:$A,AR$2)+countifs(Students!$V:$V,$P67,Students!$W:$W,$P$2&amp;if($K67="S1","a",if($K67="S2","b","")),Students!$A:$A,AR$2)+
countifs(Students!$D:$D,$S67,Students!$E:$E,$S$2&amp;if($K67="S1","a",if($K67="S2","b","")),Students!$A:$A,AR$2)+countifs(Students!$F:$F,$S67,Students!$G:$G,$S$2&amp;if($K67="S1","a",if($K67="S2","b","")),Students!$A:$A,AR$2)+countifs(Students!$H:$H,$S67,Students!$I:$I,$S$2&amp;if($K67="S1","a",if($K67="S2","b","")),Students!$A:$A,AR$2)+countifs(Students!$J:$J,$S67,Students!$K:$K,$S$2&amp;if($K67="S1","a",if($K67="S2","b","")),Students!$A:$A,AR$2)+countifs(Students!$L:$L,$S67,Students!$M:$M,$S$2&amp;if($K67="S1","a",if($K67="S2","b","")),Students!$A:$A,AR$2)+countifs(Students!$N:$N,$S67,Students!$O:$O,$S$2&amp;if($K67="S1","a",if($K67="S2","b","")),Students!$A:$A,AR$2)+countifs(Students!$P:$P,$S67,Students!$Q:$Q,$S$2&amp;if($K67="S1","a",if($K67="S2","b","")),Students!$A:$A,AR$2)+countifs(Students!$R:$R,$S67,Students!$S:$S,$S$2&amp;if($K67="S1","a",if($K67="S2","b","")),Students!$A:$A,AR$2)+countifs(Students!$T:$T,$S67,Students!$U:$U,$S$2&amp;if($K67="S1","a",if($K67="S2","b","")),Students!$A:$A,AR$2)+countifs(Students!$V:$V,$S67,Students!$W:$W,$S$2&amp;if($K67="S1","a",if($K67="S2","b","")),Students!$A:$A,AR$2)+
countifs(Students!$D:$D,$V67,Students!$E:$E,$V$2&amp;if($K67="S1","a",if($K67="S2","b","")),Students!$A:$A,AR$2)+countifs(Students!$F:$F,$V67,Students!$G:$G,$V$2&amp;if($K67="S1","a",if($K67="S2","b","")),Students!$A:$A,AR$2)+countifs(Students!$H:$H,$V67,Students!$I:$I,$V$2&amp;if($K67="S1","a",if($K67="S2","b","")),Students!$A:$A,AR$2)+countifs(Students!$J:$J,$V67,Students!$K:$K,$V$2&amp;if($K67="S1","a",if($K67="S2","b","")),Students!$A:$A,AR$2)+countifs(Students!$L:$L,$V67,Students!$M:$M,$V$2&amp;if($K67="S1","a",if($K67="S2","b","")),Students!$A:$A,AR$2)+countifs(Students!$N:$N,$V67,Students!$O:$O,$V$2&amp;if($K67="S1","a",if($K67="S2","b","")),Students!$A:$A,AR$2)+countifs(Students!$P:$P,$V67,Students!$Q:$Q,$V$2&amp;if($K67="S1","a",if($K67="S2","b","")),Students!$A:$A,AR$2)+countifs(Students!$R:$R,$V67,Students!$S:$S,$V$2&amp;if($K67="S1","a",if($K67="S2","b","")),Students!$A:$A,AR$2)+countifs(Students!$T:$T,$V67,Students!$U:$U,$V$2&amp;if($K67="S1","a",if($K67="S2","b","")),Students!$A:$A,AR$2)+countifs(Students!$V:$V,$V67,Students!$W:$W,$V$2&amp;if($K67="S1","a",if($K67="S2","b","")),Students!$A:$A,AR$2)+
countifs(Students!$D:$D,$Y67,Students!$E:$E,$Y$2&amp;if($K67="S1","a",if($K67="S2","b","")),Students!$A:$A,AR$2)+countifs(Students!$F:$F,$Y67,Students!$G:$G,$Y$2&amp;if($K67="S1","a",if($K67="S2","b","")),Students!$A:$A,AR$2)+countifs(Students!$H:$H,$Y67,Students!$I:$I,$Y$2&amp;if($K67="S1","a",if($K67="S2","b","")),Students!$A:$A,AR$2)+countifs(Students!$J:$J,$Y67,Students!$K:$K,$Y$2&amp;if($K67="S1","a",if($K67="S2","b","")),Students!$A:$A,AR$2)+countifs(Students!$L:$L,$Y67,Students!$M:$M,$Y$2&amp;if($K67="S1","a",if($K67="S2","b","")),Students!$A:$A,AR$2)+countifs(Students!$N:$N,$Y67,Students!$O:$O,$Y$2&amp;if($K67="S1","a",if($K67="S2","b","")),Students!$A:$A,AR$2)+countifs(Students!$P:$P,$Y67,Students!$Q:$Q,$Y$2&amp;if($K67="S1","a",if($K67="S2","b","")),Students!$A:$A,AR$2)+countifs(Students!$R:$R,$Y67,Students!$S:$S,$Y$2&amp;if($K67="S1","a",if($K67="S2","b","")),Students!$A:$A,AR$2)+countifs(Students!$T:$T,$Y67,Students!$U:$U,$Y$2&amp;if($K67="S1","a",if($K67="S2","b","")),Students!$A:$A,AR$2)+countifs(Students!$V:$V,$Y67,Students!$W:$W,$Y$2&amp;if($K67="S1","a",if($K67="S2","b","")),Students!$A:$A,AR$2)+
countifs(Students!$D:$D,$AB67,Students!$E:$E,$AB$2&amp;if($K67="S1","a",if($K67="S2","b","")),Students!$A:$A,AR$2)+countifs(Students!$F:$F,$AB67,Students!$G:$G,$AB$2&amp;if($K67="S1","a",if($K67="S2","b","")),Students!$A:$A,AR$2)+countifs(Students!$H:$H,$AB67,Students!$I:$I,$AB$2&amp;if($K67="S1","a",if($K67="S2","b","")),Students!$A:$A,AR$2)+countifs(Students!$J:$J,$AB67,Students!$K:$K,$AB$2&amp;if($K67="S1","a",if($K67="S2","b","")),Students!$A:$A,AR$2)+countifs(Students!$L:$L,$AB67,Students!$M:$M,$AB$2&amp;if($K67="S1","a",if($K67="S2","b","")),Students!$A:$A,AR$2)+countifs(Students!$N:$N,$AB67,Students!$O:$O,$AB$2&amp;if($K67="S1","a",if($K67="S2","b","")),Students!$A:$A,AR$2)+countifs(Students!$P:$P,$AB67,Students!$Q:$Q,$AB$2&amp;if($K67="S1","a",if($K67="S2","b","")),Students!$A:$A,AR$2)+countifs(Students!$R:$R,$AB67,Students!$S:$S,$AB$2&amp;if($K67="S1","a",if($K67="S2","b","")),Students!$A:$A,AR$2)+countifs(Students!$T:$T,$AB67,Students!$U:$U,$AB$2&amp;if($K67="S1","a",if($K67="S2","b","")),Students!$A:$A,AR$2)+countifs(Students!$V:$V,$AB67,Students!$W:$W,$AB$2&amp;if($K67="S1","a",if($K67="S2","b","")),Students!$A:$A,AR$2)+
countifs(Students!$D:$D,$AE67,Students!$E:$E,$AE$2&amp;if($K67="S1","a",if($K67="S2","b","")),Students!$A:$A,AR$2)+countifs(Students!$F:$F,$AE67,Students!$G:$G,$AE$2&amp;if($K67="S1","a",if($K67="S2","b","")),Students!$A:$A,AR$2)+countifs(Students!$H:$H,$AE67,Students!$I:$I,$AE$2&amp;if($K67="S1","a",if($K67="S2","b","")),Students!$A:$A,AR$2)+countifs(Students!$J:$J,$AE67,Students!$K:$K,$AE$2&amp;if($K67="S1","a",if($K67="S2","b","")),Students!$A:$A,AR$2)+countifs(Students!$L:$L,$AE67,Students!$M:$M,$AE$2&amp;if($K67="S1","a",if($K67="S2","b","")),Students!$A:$A,AR$2)+countifs(Students!$N:$N,$AE67,Students!$O:$O,$AE$2&amp;if($K67="S1","a",if($K67="S2","b","")),Students!$A:$A,AR$2)+countifs(Students!$P:$P,$AE67,Students!$Q:$Q,$AE$2&amp;if($K67="S1","a",if($K67="S2","b","")),Students!$A:$A,AR$2)+countifs(Students!$R:$R,$AE67,Students!$S:$S,$AE$2&amp;if($K67="S1","a",if($K67="S2","b","")),Students!$A:$A,AR$2)+countifs(Students!$T:$T,$AE67,Students!$U:$U,$AE$2&amp;if($K67="S1","a",if($K67="S2","b","")),Students!$A:$A,AR$2)+countifs(Students!$V:$V,$AE67,Students!$W:$W,$AE$2&amp;if($K67="S1","a",if($K67="S2","b","")),Students!$A:$A,AR$2)+
countifs(Students!$D:$D,$AH67,Students!$E:$E,$AH$2&amp;if($K67="S1","a",if($K67="S2","b","")),Students!$A:$A,AR$2)+countifs(Students!$F:$F,$AH67,Students!$G:$G,$AH$2&amp;if($K67="S1","a",if($K67="S2","b","")),Students!$A:$A,AR$2)+countifs(Students!$H:$H,$AH67,Students!$I:$I,$AH$2&amp;if($K67="S1","a",if($K67="S2","b","")),Students!$A:$A,AR$2)+countifs(Students!$J:$J,$AH67,Students!$K:$K,$AH$2&amp;if($K67="S1","a",if($K67="S2","b","")),Students!$A:$A,AR$2)+countifs(Students!$L:$L,$AH67,Students!$M:$M,$AH$2&amp;if($K67="S1","a",if($K67="S2","b","")),Students!$A:$A,AR$2)+countifs(Students!$N:$N,$AH67,Students!$O:$O,$AH$2&amp;if($K67="S1","a",if($K67="S2","b","")),Students!$A:$A,AR$2)+countifs(Students!$P:$P,$AH67,Students!$Q:$Q,$AH$2&amp;if($K67="S1","a",if($K67="S2","b","")),Students!$A:$A,AR$2)+countifs(Students!$R:$R,$AH67,Students!$S:$S,$AH$2&amp;if($K67="S1","a",if($K67="S2","b","")),Students!$A:$A,AR$2)+countifs(Students!$T:$T,$AH67,Students!$U:$U,$AH$2&amp;if($K67="S1","a",if($K67="S2","b","")),Students!$A:$A,AR$2)+countifs(Students!$V:$V,$AH67,Students!$W:$W,$AH$2&amp;if($K67="S1","a",if($K67="S2","b","")),Students!$A:$A,AR$2)+
countifs(Students!$D:$D,$AK67,Students!$E:$E,$AK$2&amp;if($K67="S1","a",if($K67="S2","b","")),Students!$A:$A,AR$2)+countifs(Students!$F:$F,$AK67,Students!$G:$G,$AK$2&amp;if($K67="S1","a",if($K67="S2","b","")),Students!$A:$A,AR$2)+countifs(Students!$H:$H,$AK67,Students!$I:$I,$AK$2&amp;if($K67="S1","a",if($K67="S2","b","")),Students!$A:$A,AR$2)+countifs(Students!$J:$J,$AK67,Students!$K:$K,$AK$2&amp;if($K67="S1","a",if($K67="S2","b","")),Students!$A:$A,AR$2)+countifs(Students!$L:$L,$AK67,Students!$M:$M,$AK$2&amp;if($K67="S1","a",if($K67="S2","b","")),Students!$A:$A,AR$2)+countifs(Students!$N:$N,$AK67,Students!$O:$O,$AK$2&amp;if($K67="S1","a",if($K67="S2","b","")),Students!$A:$A,AR$2)+countifs(Students!$P:$P,$AK67,Students!$Q:$Q,$AK$2&amp;if($K67="S1","a",if($K67="S2","b","")),Students!$A:$A,AR$2)+countifs(Students!$R:$R,$AK67,Students!$S:$S,$AK$2&amp;if($K67="S1","a",if($K67="S2","b","")),Students!$A:$A,AR$2)+countifs(Students!$T:$T,$AK67,Students!$U:$U,$AK$2&amp;if($K67="S1","a",if($K67="S2","b","")),Students!$A:$A,AR$2)+countifs(Students!$V:$V,$AK67,Students!$W:$W,$AK$2&amp;if($K67="S1","a",if($K67="S2","b","")),Students!$A:$A,AR$2))</f>
        <v/>
      </c>
      <c r="AS67" s="98" t="str">
        <f>if($L67="","",countifs(Students!$D:$D,$P67,Students!$E:$E,$P$2&amp;if($K67="S1","a",if($K67="S2","b","")),Students!$A:$A,AS$2)+countifs(Students!$F:$F,$P67,Students!$G:$G,$P$2&amp;if($K67="S1","a",if($K67="S2","b","")),Students!$A:$A,AS$2)+countifs(Students!$H:$H,$P67,Students!$I:$I,$P$2&amp;if($K67="S1","a",if($K67="S2","b","")),Students!$A:$A,AS$2)+countifs(Students!$J:$J,$P67,Students!$K:$K,$P$2&amp;if($K67="S1","a",if($K67="S2","b","")),Students!$A:$A,AS$2)+countifs(Students!$L:$L,$P67,Students!$M:$M,$P$2&amp;if($K67="S1","a",if($K67="S2","b","")),Students!$A:$A,AS$2)+countifs(Students!$N:$N,$P67,Students!$O:$O,$P$2&amp;if($K67="S1","a",if($K67="S2","b","")),Students!$A:$A,AS$2)+countifs(Students!$P:$P,$P67,Students!$Q:$Q,$P$2&amp;if($K67="S1","a",if($K67="S2","b","")),Students!$A:$A,AS$2)+countifs(Students!$R:$R,$P67,Students!$S:$S,$P$2&amp;if($K67="S1","a",if($K67="S2","b","")),Students!$A:$A,AS$2)+countifs(Students!$T:$T,$P67,Students!$U:$U,$P$2&amp;if($K67="S1","a",if($K67="S2","b","")),Students!$A:$A,AS$2)+countifs(Students!$V:$V,$P67,Students!$W:$W,$P$2&amp;if($K67="S1","a",if($K67="S2","b","")),Students!$A:$A,AS$2)+
countifs(Students!$D:$D,$S67,Students!$E:$E,$S$2&amp;if($K67="S1","a",if($K67="S2","b","")),Students!$A:$A,AS$2)+countifs(Students!$F:$F,$S67,Students!$G:$G,$S$2&amp;if($K67="S1","a",if($K67="S2","b","")),Students!$A:$A,AS$2)+countifs(Students!$H:$H,$S67,Students!$I:$I,$S$2&amp;if($K67="S1","a",if($K67="S2","b","")),Students!$A:$A,AS$2)+countifs(Students!$J:$J,$S67,Students!$K:$K,$S$2&amp;if($K67="S1","a",if($K67="S2","b","")),Students!$A:$A,AS$2)+countifs(Students!$L:$L,$S67,Students!$M:$M,$S$2&amp;if($K67="S1","a",if($K67="S2","b","")),Students!$A:$A,AS$2)+countifs(Students!$N:$N,$S67,Students!$O:$O,$S$2&amp;if($K67="S1","a",if($K67="S2","b","")),Students!$A:$A,AS$2)+countifs(Students!$P:$P,$S67,Students!$Q:$Q,$S$2&amp;if($K67="S1","a",if($K67="S2","b","")),Students!$A:$A,AS$2)+countifs(Students!$R:$R,$S67,Students!$S:$S,$S$2&amp;if($K67="S1","a",if($K67="S2","b","")),Students!$A:$A,AS$2)+countifs(Students!$T:$T,$S67,Students!$U:$U,$S$2&amp;if($K67="S1","a",if($K67="S2","b","")),Students!$A:$A,AS$2)+countifs(Students!$V:$V,$S67,Students!$W:$W,$S$2&amp;if($K67="S1","a",if($K67="S2","b","")),Students!$A:$A,AS$2)+
countifs(Students!$D:$D,$V67,Students!$E:$E,$V$2&amp;if($K67="S1","a",if($K67="S2","b","")),Students!$A:$A,AS$2)+countifs(Students!$F:$F,$V67,Students!$G:$G,$V$2&amp;if($K67="S1","a",if($K67="S2","b","")),Students!$A:$A,AS$2)+countifs(Students!$H:$H,$V67,Students!$I:$I,$V$2&amp;if($K67="S1","a",if($K67="S2","b","")),Students!$A:$A,AS$2)+countifs(Students!$J:$J,$V67,Students!$K:$K,$V$2&amp;if($K67="S1","a",if($K67="S2","b","")),Students!$A:$A,AS$2)+countifs(Students!$L:$L,$V67,Students!$M:$M,$V$2&amp;if($K67="S1","a",if($K67="S2","b","")),Students!$A:$A,AS$2)+countifs(Students!$N:$N,$V67,Students!$O:$O,$V$2&amp;if($K67="S1","a",if($K67="S2","b","")),Students!$A:$A,AS$2)+countifs(Students!$P:$P,$V67,Students!$Q:$Q,$V$2&amp;if($K67="S1","a",if($K67="S2","b","")),Students!$A:$A,AS$2)+countifs(Students!$R:$R,$V67,Students!$S:$S,$V$2&amp;if($K67="S1","a",if($K67="S2","b","")),Students!$A:$A,AS$2)+countifs(Students!$T:$T,$V67,Students!$U:$U,$V$2&amp;if($K67="S1","a",if($K67="S2","b","")),Students!$A:$A,AS$2)+countifs(Students!$V:$V,$V67,Students!$W:$W,$V$2&amp;if($K67="S1","a",if($K67="S2","b","")),Students!$A:$A,AS$2)+
countifs(Students!$D:$D,$Y67,Students!$E:$E,$Y$2&amp;if($K67="S1","a",if($K67="S2","b","")),Students!$A:$A,AS$2)+countifs(Students!$F:$F,$Y67,Students!$G:$G,$Y$2&amp;if($K67="S1","a",if($K67="S2","b","")),Students!$A:$A,AS$2)+countifs(Students!$H:$H,$Y67,Students!$I:$I,$Y$2&amp;if($K67="S1","a",if($K67="S2","b","")),Students!$A:$A,AS$2)+countifs(Students!$J:$J,$Y67,Students!$K:$K,$Y$2&amp;if($K67="S1","a",if($K67="S2","b","")),Students!$A:$A,AS$2)+countifs(Students!$L:$L,$Y67,Students!$M:$M,$Y$2&amp;if($K67="S1","a",if($K67="S2","b","")),Students!$A:$A,AS$2)+countifs(Students!$N:$N,$Y67,Students!$O:$O,$Y$2&amp;if($K67="S1","a",if($K67="S2","b","")),Students!$A:$A,AS$2)+countifs(Students!$P:$P,$Y67,Students!$Q:$Q,$Y$2&amp;if($K67="S1","a",if($K67="S2","b","")),Students!$A:$A,AS$2)+countifs(Students!$R:$R,$Y67,Students!$S:$S,$Y$2&amp;if($K67="S1","a",if($K67="S2","b","")),Students!$A:$A,AS$2)+countifs(Students!$T:$T,$Y67,Students!$U:$U,$Y$2&amp;if($K67="S1","a",if($K67="S2","b","")),Students!$A:$A,AS$2)+countifs(Students!$V:$V,$Y67,Students!$W:$W,$Y$2&amp;if($K67="S1","a",if($K67="S2","b","")),Students!$A:$A,AS$2)+
countifs(Students!$D:$D,$AB67,Students!$E:$E,$AB$2&amp;if($K67="S1","a",if($K67="S2","b","")),Students!$A:$A,AS$2)+countifs(Students!$F:$F,$AB67,Students!$G:$G,$AB$2&amp;if($K67="S1","a",if($K67="S2","b","")),Students!$A:$A,AS$2)+countifs(Students!$H:$H,$AB67,Students!$I:$I,$AB$2&amp;if($K67="S1","a",if($K67="S2","b","")),Students!$A:$A,AS$2)+countifs(Students!$J:$J,$AB67,Students!$K:$K,$AB$2&amp;if($K67="S1","a",if($K67="S2","b","")),Students!$A:$A,AS$2)+countifs(Students!$L:$L,$AB67,Students!$M:$M,$AB$2&amp;if($K67="S1","a",if($K67="S2","b","")),Students!$A:$A,AS$2)+countifs(Students!$N:$N,$AB67,Students!$O:$O,$AB$2&amp;if($K67="S1","a",if($K67="S2","b","")),Students!$A:$A,AS$2)+countifs(Students!$P:$P,$AB67,Students!$Q:$Q,$AB$2&amp;if($K67="S1","a",if($K67="S2","b","")),Students!$A:$A,AS$2)+countifs(Students!$R:$R,$AB67,Students!$S:$S,$AB$2&amp;if($K67="S1","a",if($K67="S2","b","")),Students!$A:$A,AS$2)+countifs(Students!$T:$T,$AB67,Students!$U:$U,$AB$2&amp;if($K67="S1","a",if($K67="S2","b","")),Students!$A:$A,AS$2)+countifs(Students!$V:$V,$AB67,Students!$W:$W,$AB$2&amp;if($K67="S1","a",if($K67="S2","b","")),Students!$A:$A,AS$2)+
countifs(Students!$D:$D,$AE67,Students!$E:$E,$AE$2&amp;if($K67="S1","a",if($K67="S2","b","")),Students!$A:$A,AS$2)+countifs(Students!$F:$F,$AE67,Students!$G:$G,$AE$2&amp;if($K67="S1","a",if($K67="S2","b","")),Students!$A:$A,AS$2)+countifs(Students!$H:$H,$AE67,Students!$I:$I,$AE$2&amp;if($K67="S1","a",if($K67="S2","b","")),Students!$A:$A,AS$2)+countifs(Students!$J:$J,$AE67,Students!$K:$K,$AE$2&amp;if($K67="S1","a",if($K67="S2","b","")),Students!$A:$A,AS$2)+countifs(Students!$L:$L,$AE67,Students!$M:$M,$AE$2&amp;if($K67="S1","a",if($K67="S2","b","")),Students!$A:$A,AS$2)+countifs(Students!$N:$N,$AE67,Students!$O:$O,$AE$2&amp;if($K67="S1","a",if($K67="S2","b","")),Students!$A:$A,AS$2)+countifs(Students!$P:$P,$AE67,Students!$Q:$Q,$AE$2&amp;if($K67="S1","a",if($K67="S2","b","")),Students!$A:$A,AS$2)+countifs(Students!$R:$R,$AE67,Students!$S:$S,$AE$2&amp;if($K67="S1","a",if($K67="S2","b","")),Students!$A:$A,AS$2)+countifs(Students!$T:$T,$AE67,Students!$U:$U,$AE$2&amp;if($K67="S1","a",if($K67="S2","b","")),Students!$A:$A,AS$2)+countifs(Students!$V:$V,$AE67,Students!$W:$W,$AE$2&amp;if($K67="S1","a",if($K67="S2","b","")),Students!$A:$A,AS$2)+
countifs(Students!$D:$D,$AH67,Students!$E:$E,$AH$2&amp;if($K67="S1","a",if($K67="S2","b","")),Students!$A:$A,AS$2)+countifs(Students!$F:$F,$AH67,Students!$G:$G,$AH$2&amp;if($K67="S1","a",if($K67="S2","b","")),Students!$A:$A,AS$2)+countifs(Students!$H:$H,$AH67,Students!$I:$I,$AH$2&amp;if($K67="S1","a",if($K67="S2","b","")),Students!$A:$A,AS$2)+countifs(Students!$J:$J,$AH67,Students!$K:$K,$AH$2&amp;if($K67="S1","a",if($K67="S2","b","")),Students!$A:$A,AS$2)+countifs(Students!$L:$L,$AH67,Students!$M:$M,$AH$2&amp;if($K67="S1","a",if($K67="S2","b","")),Students!$A:$A,AS$2)+countifs(Students!$N:$N,$AH67,Students!$O:$O,$AH$2&amp;if($K67="S1","a",if($K67="S2","b","")),Students!$A:$A,AS$2)+countifs(Students!$P:$P,$AH67,Students!$Q:$Q,$AH$2&amp;if($K67="S1","a",if($K67="S2","b","")),Students!$A:$A,AS$2)+countifs(Students!$R:$R,$AH67,Students!$S:$S,$AH$2&amp;if($K67="S1","a",if($K67="S2","b","")),Students!$A:$A,AS$2)+countifs(Students!$T:$T,$AH67,Students!$U:$U,$AH$2&amp;if($K67="S1","a",if($K67="S2","b","")),Students!$A:$A,AS$2)+countifs(Students!$V:$V,$AH67,Students!$W:$W,$AH$2&amp;if($K67="S1","a",if($K67="S2","b","")),Students!$A:$A,AS$2)+
countifs(Students!$D:$D,$AK67,Students!$E:$E,$AK$2&amp;if($K67="S1","a",if($K67="S2","b","")),Students!$A:$A,AS$2)+countifs(Students!$F:$F,$AK67,Students!$G:$G,$AK$2&amp;if($K67="S1","a",if($K67="S2","b","")),Students!$A:$A,AS$2)+countifs(Students!$H:$H,$AK67,Students!$I:$I,$AK$2&amp;if($K67="S1","a",if($K67="S2","b","")),Students!$A:$A,AS$2)+countifs(Students!$J:$J,$AK67,Students!$K:$K,$AK$2&amp;if($K67="S1","a",if($K67="S2","b","")),Students!$A:$A,AS$2)+countifs(Students!$L:$L,$AK67,Students!$M:$M,$AK$2&amp;if($K67="S1","a",if($K67="S2","b","")),Students!$A:$A,AS$2)+countifs(Students!$N:$N,$AK67,Students!$O:$O,$AK$2&amp;if($K67="S1","a",if($K67="S2","b","")),Students!$A:$A,AS$2)+countifs(Students!$P:$P,$AK67,Students!$Q:$Q,$AK$2&amp;if($K67="S1","a",if($K67="S2","b","")),Students!$A:$A,AS$2)+countifs(Students!$R:$R,$AK67,Students!$S:$S,$AK$2&amp;if($K67="S1","a",if($K67="S2","b","")),Students!$A:$A,AS$2)+countifs(Students!$T:$T,$AK67,Students!$U:$U,$AK$2&amp;if($K67="S1","a",if($K67="S2","b","")),Students!$A:$A,AS$2)+countifs(Students!$V:$V,$AK67,Students!$W:$W,$AK$2&amp;if($K67="S1","a",if($K67="S2","b","")),Students!$A:$A,AS$2))</f>
        <v/>
      </c>
    </row>
    <row r="68">
      <c r="J68" s="106" t="s">
        <v>22</v>
      </c>
      <c r="K68" s="88"/>
      <c r="L68" s="130"/>
      <c r="M68" s="89"/>
      <c r="N68" s="106" t="s">
        <v>22</v>
      </c>
      <c r="O68" s="106"/>
      <c r="P68" s="89"/>
      <c r="Q68" s="89"/>
      <c r="R68" s="98" t="s">
        <v>22</v>
      </c>
      <c r="S68" s="89"/>
      <c r="T68" s="89"/>
      <c r="U68" s="98" t="s">
        <v>22</v>
      </c>
      <c r="V68" s="89"/>
      <c r="W68" s="89"/>
      <c r="X68" s="98" t="s">
        <v>22</v>
      </c>
      <c r="Y68" s="89"/>
      <c r="Z68" s="89"/>
      <c r="AA68" s="98" t="s">
        <v>22</v>
      </c>
      <c r="AB68" s="89"/>
      <c r="AC68" s="89"/>
      <c r="AD68" s="98" t="s">
        <v>22</v>
      </c>
      <c r="AE68" s="89"/>
      <c r="AF68" s="89"/>
      <c r="AG68" s="98" t="s">
        <v>22</v>
      </c>
      <c r="AH68" s="89"/>
      <c r="AI68" s="133"/>
      <c r="AJ68" s="98" t="s">
        <v>22</v>
      </c>
      <c r="AK68" s="89"/>
      <c r="AL68" s="133"/>
      <c r="AM68" s="98" t="s">
        <v>22</v>
      </c>
      <c r="AN68" s="99"/>
      <c r="AO68" s="52" t="str">
        <f t="shared" si="2"/>
        <v/>
      </c>
      <c r="AP68" s="98" t="str">
        <f>if($L68="","",countifs(Students!$D:$D,$P68,Students!$E:$E,$P$2&amp;if($K68="S1","a",if($K68="S2","b","")),Students!$A:$A,AP$2)+countifs(Students!$F:$F,$P68,Students!$G:$G,$P$2&amp;if($K68="S1","a",if($K68="S2","b","")),Students!$A:$A,AP$2)+countifs(Students!$H:$H,$P68,Students!$I:$I,$P$2&amp;if($K68="S1","a",if($K68="S2","b","")),Students!$A:$A,AP$2)+countifs(Students!$J:$J,$P68,Students!$K:$K,$P$2&amp;if($K68="S1","a",if($K68="S2","b","")),Students!$A:$A,AP$2)+countifs(Students!$L:$L,$P68,Students!$M:$M,$P$2&amp;if($K68="S1","a",if($K68="S2","b","")),Students!$A:$A,AP$2)+countifs(Students!$N:$N,$P68,Students!$O:$O,$P$2&amp;if($K68="S1","a",if($K68="S2","b","")),Students!$A:$A,AP$2)+countifs(Students!$P:$P,$P68,Students!$Q:$Q,$P$2&amp;if($K68="S1","a",if($K68="S2","b","")),Students!$A:$A,AP$2)+countifs(Students!$R:$R,$P68,Students!$S:$S,$P$2&amp;if($K68="S1","a",if($K68="S2","b","")),Students!$A:$A,AP$2)+countifs(Students!$T:$T,$P68,Students!$U:$U,$P$2&amp;if($K68="S1","a",if($K68="S2","b","")),Students!$A:$A,AP$2)+countifs(Students!$V:$V,$P68,Students!$W:$W,$P$2&amp;if($K68="S1","a",if($K68="S2","b","")),Students!$A:$A,AP$2)+
countifs(Students!$D:$D,$S68,Students!$E:$E,$S$2&amp;if($K68="S1","a",if($K68="S2","b","")),Students!$A:$A,AP$2)+countifs(Students!$F:$F,$S68,Students!$G:$G,$S$2&amp;if($K68="S1","a",if($K68="S2","b","")),Students!$A:$A,AP$2)+countifs(Students!$H:$H,$S68,Students!$I:$I,$S$2&amp;if($K68="S1","a",if($K68="S2","b","")),Students!$A:$A,AP$2)+countifs(Students!$J:$J,$S68,Students!$K:$K,$S$2&amp;if($K68="S1","a",if($K68="S2","b","")),Students!$A:$A,AP$2)+countifs(Students!$L:$L,$S68,Students!$M:$M,$S$2&amp;if($K68="S1","a",if($K68="S2","b","")),Students!$A:$A,AP$2)+countifs(Students!$N:$N,$S68,Students!$O:$O,$S$2&amp;if($K68="S1","a",if($K68="S2","b","")),Students!$A:$A,AP$2)+countifs(Students!$P:$P,$S68,Students!$Q:$Q,$S$2&amp;if($K68="S1","a",if($K68="S2","b","")),Students!$A:$A,AP$2)+countifs(Students!$R:$R,$S68,Students!$S:$S,$S$2&amp;if($K68="S1","a",if($K68="S2","b","")),Students!$A:$A,AP$2)+countifs(Students!$T:$T,$S68,Students!$U:$U,$S$2&amp;if($K68="S1","a",if($K68="S2","b","")),Students!$A:$A,AP$2)+countifs(Students!$V:$V,$S68,Students!$W:$W,$S$2&amp;if($K68="S1","a",if($K68="S2","b","")),Students!$A:$A,AP$2)+
countifs(Students!$D:$D,$V68,Students!$E:$E,$V$2&amp;if($K68="S1","a",if($K68="S2","b","")),Students!$A:$A,AP$2)+countifs(Students!$F:$F,$V68,Students!$G:$G,$V$2&amp;if($K68="S1","a",if($K68="S2","b","")),Students!$A:$A,AP$2)+countifs(Students!$H:$H,$V68,Students!$I:$I,$V$2&amp;if($K68="S1","a",if($K68="S2","b","")),Students!$A:$A,AP$2)+countifs(Students!$J:$J,$V68,Students!$K:$K,$V$2&amp;if($K68="S1","a",if($K68="S2","b","")),Students!$A:$A,AP$2)+countifs(Students!$L:$L,$V68,Students!$M:$M,$V$2&amp;if($K68="S1","a",if($K68="S2","b","")),Students!$A:$A,AP$2)+countifs(Students!$N:$N,$V68,Students!$O:$O,$V$2&amp;if($K68="S1","a",if($K68="S2","b","")),Students!$A:$A,AP$2)+countifs(Students!$P:$P,$V68,Students!$Q:$Q,$V$2&amp;if($K68="S1","a",if($K68="S2","b","")),Students!$A:$A,AP$2)+countifs(Students!$R:$R,$V68,Students!$S:$S,$V$2&amp;if($K68="S1","a",if($K68="S2","b","")),Students!$A:$A,AP$2)+countifs(Students!$T:$T,$V68,Students!$U:$U,$V$2&amp;if($K68="S1","a",if($K68="S2","b","")),Students!$A:$A,AP$2)+countifs(Students!$V:$V,$V68,Students!$W:$W,$V$2&amp;if($K68="S1","a",if($K68="S2","b","")),Students!$A:$A,AP$2)+
countifs(Students!$D:$D,$Y68,Students!$E:$E,$Y$2&amp;if($K68="S1","a",if($K68="S2","b","")),Students!$A:$A,AP$2)+countifs(Students!$F:$F,$Y68,Students!$G:$G,$Y$2&amp;if($K68="S1","a",if($K68="S2","b","")),Students!$A:$A,AP$2)+countifs(Students!$H:$H,$Y68,Students!$I:$I,$Y$2&amp;if($K68="S1","a",if($K68="S2","b","")),Students!$A:$A,AP$2)+countifs(Students!$J:$J,$Y68,Students!$K:$K,$Y$2&amp;if($K68="S1","a",if($K68="S2","b","")),Students!$A:$A,AP$2)+countifs(Students!$L:$L,$Y68,Students!$M:$M,$Y$2&amp;if($K68="S1","a",if($K68="S2","b","")),Students!$A:$A,AP$2)+countifs(Students!$N:$N,$Y68,Students!$O:$O,$Y$2&amp;if($K68="S1","a",if($K68="S2","b","")),Students!$A:$A,AP$2)+countifs(Students!$P:$P,$Y68,Students!$Q:$Q,$Y$2&amp;if($K68="S1","a",if($K68="S2","b","")),Students!$A:$A,AP$2)+countifs(Students!$R:$R,$Y68,Students!$S:$S,$Y$2&amp;if($K68="S1","a",if($K68="S2","b","")),Students!$A:$A,AP$2)+countifs(Students!$T:$T,$Y68,Students!$U:$U,$Y$2&amp;if($K68="S1","a",if($K68="S2","b","")),Students!$A:$A,AP$2)+countifs(Students!$V:$V,$Y68,Students!$W:$W,$Y$2&amp;if($K68="S1","a",if($K68="S2","b","")),Students!$A:$A,AP$2)+
countifs(Students!$D:$D,$AB68,Students!$E:$E,$AB$2&amp;if($K68="S1","a",if($K68="S2","b","")),Students!$A:$A,AP$2)+countifs(Students!$F:$F,$AB68,Students!$G:$G,$AB$2&amp;if($K68="S1","a",if($K68="S2","b","")),Students!$A:$A,AP$2)+countifs(Students!$H:$H,$AB68,Students!$I:$I,$AB$2&amp;if($K68="S1","a",if($K68="S2","b","")),Students!$A:$A,AP$2)+countifs(Students!$J:$J,$AB68,Students!$K:$K,$AB$2&amp;if($K68="S1","a",if($K68="S2","b","")),Students!$A:$A,AP$2)+countifs(Students!$L:$L,$AB68,Students!$M:$M,$AB$2&amp;if($K68="S1","a",if($K68="S2","b","")),Students!$A:$A,AP$2)+countifs(Students!$N:$N,$AB68,Students!$O:$O,$AB$2&amp;if($K68="S1","a",if($K68="S2","b","")),Students!$A:$A,AP$2)+countifs(Students!$P:$P,$AB68,Students!$Q:$Q,$AB$2&amp;if($K68="S1","a",if($K68="S2","b","")),Students!$A:$A,AP$2)+countifs(Students!$R:$R,$AB68,Students!$S:$S,$AB$2&amp;if($K68="S1","a",if($K68="S2","b","")),Students!$A:$A,AP$2)+countifs(Students!$T:$T,$AB68,Students!$U:$U,$AB$2&amp;if($K68="S1","a",if($K68="S2","b","")),Students!$A:$A,AP$2)+countifs(Students!$V:$V,$AB68,Students!$W:$W,$AB$2&amp;if($K68="S1","a",if($K68="S2","b","")),Students!$A:$A,AP$2)+
countifs(Students!$D:$D,$AE68,Students!$E:$E,$AE$2&amp;if($K68="S1","a",if($K68="S2","b","")),Students!$A:$A,AP$2)+countifs(Students!$F:$F,$AE68,Students!$G:$G,$AE$2&amp;if($K68="S1","a",if($K68="S2","b","")),Students!$A:$A,AP$2)+countifs(Students!$H:$H,$AE68,Students!$I:$I,$AE$2&amp;if($K68="S1","a",if($K68="S2","b","")),Students!$A:$A,AP$2)+countifs(Students!$J:$J,$AE68,Students!$K:$K,$AE$2&amp;if($K68="S1","a",if($K68="S2","b","")),Students!$A:$A,AP$2)+countifs(Students!$L:$L,$AE68,Students!$M:$M,$AE$2&amp;if($K68="S1","a",if($K68="S2","b","")),Students!$A:$A,AP$2)+countifs(Students!$N:$N,$AE68,Students!$O:$O,$AE$2&amp;if($K68="S1","a",if($K68="S2","b","")),Students!$A:$A,AP$2)+countifs(Students!$P:$P,$AE68,Students!$Q:$Q,$AE$2&amp;if($K68="S1","a",if($K68="S2","b","")),Students!$A:$A,AP$2)+countifs(Students!$R:$R,$AE68,Students!$S:$S,$AE$2&amp;if($K68="S1","a",if($K68="S2","b","")),Students!$A:$A,AP$2)+countifs(Students!$T:$T,$AE68,Students!$U:$U,$AE$2&amp;if($K68="S1","a",if($K68="S2","b","")),Students!$A:$A,AP$2)+countifs(Students!$V:$V,$AE68,Students!$W:$W,$AE$2&amp;if($K68="S1","a",if($K68="S2","b","")),Students!$A:$A,AP$2)+
countifs(Students!$D:$D,$AH68,Students!$E:$E,$AH$2&amp;if($K68="S1","a",if($K68="S2","b","")),Students!$A:$A,AP$2)+countifs(Students!$F:$F,$AH68,Students!$G:$G,$AH$2&amp;if($K68="S1","a",if($K68="S2","b","")),Students!$A:$A,AP$2)+countifs(Students!$H:$H,$AH68,Students!$I:$I,$AH$2&amp;if($K68="S1","a",if($K68="S2","b","")),Students!$A:$A,AP$2)+countifs(Students!$J:$J,$AH68,Students!$K:$K,$AH$2&amp;if($K68="S1","a",if($K68="S2","b","")),Students!$A:$A,AP$2)+countifs(Students!$L:$L,$AH68,Students!$M:$M,$AH$2&amp;if($K68="S1","a",if($K68="S2","b","")),Students!$A:$A,AP$2)+countifs(Students!$N:$N,$AH68,Students!$O:$O,$AH$2&amp;if($K68="S1","a",if($K68="S2","b","")),Students!$A:$A,AP$2)+countifs(Students!$P:$P,$AH68,Students!$Q:$Q,$AH$2&amp;if($K68="S1","a",if($K68="S2","b","")),Students!$A:$A,AP$2)+countifs(Students!$R:$R,$AH68,Students!$S:$S,$AH$2&amp;if($K68="S1","a",if($K68="S2","b","")),Students!$A:$A,AP$2)+countifs(Students!$T:$T,$AH68,Students!$U:$U,$AH$2&amp;if($K68="S1","a",if($K68="S2","b","")),Students!$A:$A,AP$2)+countifs(Students!$V:$V,$AH68,Students!$W:$W,$AH$2&amp;if($K68="S1","a",if($K68="S2","b","")),Students!$A:$A,AP$2)+
countifs(Students!$D:$D,$AK68,Students!$E:$E,$AK$2&amp;if($K68="S1","a",if($K68="S2","b","")),Students!$A:$A,AP$2)+countifs(Students!$F:$F,$AK68,Students!$G:$G,$AK$2&amp;if($K68="S1","a",if($K68="S2","b","")),Students!$A:$A,AP$2)+countifs(Students!$H:$H,$AK68,Students!$I:$I,$AK$2&amp;if($K68="S1","a",if($K68="S2","b","")),Students!$A:$A,AP$2)+countifs(Students!$J:$J,$AK68,Students!$K:$K,$AK$2&amp;if($K68="S1","a",if($K68="S2","b","")),Students!$A:$A,AP$2)+countifs(Students!$L:$L,$AK68,Students!$M:$M,$AK$2&amp;if($K68="S1","a",if($K68="S2","b","")),Students!$A:$A,AP$2)+countifs(Students!$N:$N,$AK68,Students!$O:$O,$AK$2&amp;if($K68="S1","a",if($K68="S2","b","")),Students!$A:$A,AP$2)+countifs(Students!$P:$P,$AK68,Students!$Q:$Q,$AK$2&amp;if($K68="S1","a",if($K68="S2","b","")),Students!$A:$A,AP$2)+countifs(Students!$R:$R,$AK68,Students!$S:$S,$AK$2&amp;if($K68="S1","a",if($K68="S2","b","")),Students!$A:$A,AP$2)+countifs(Students!$T:$T,$AK68,Students!$U:$U,$AK$2&amp;if($K68="S1","a",if($K68="S2","b","")),Students!$A:$A,AP$2)+countifs(Students!$V:$V,$AK68,Students!$W:$W,$AK$2&amp;if($K68="S1","a",if($K68="S2","b","")),Students!$A:$A,AP$2))</f>
        <v/>
      </c>
      <c r="AQ68" s="98" t="str">
        <f>if($L68="","",countifs(Students!$D:$D,$P68,Students!$E:$E,$P$2&amp;if($K68="S1","a",if($K68="S2","b","")),Students!$A:$A,AQ$2)+countifs(Students!$F:$F,$P68,Students!$G:$G,$P$2&amp;if($K68="S1","a",if($K68="S2","b","")),Students!$A:$A,AQ$2)+countifs(Students!$H:$H,$P68,Students!$I:$I,$P$2&amp;if($K68="S1","a",if($K68="S2","b","")),Students!$A:$A,AQ$2)+countifs(Students!$J:$J,$P68,Students!$K:$K,$P$2&amp;if($K68="S1","a",if($K68="S2","b","")),Students!$A:$A,AQ$2)+countifs(Students!$L:$L,$P68,Students!$M:$M,$P$2&amp;if($K68="S1","a",if($K68="S2","b","")),Students!$A:$A,AQ$2)+countifs(Students!$N:$N,$P68,Students!$O:$O,$P$2&amp;if($K68="S1","a",if($K68="S2","b","")),Students!$A:$A,AQ$2)+countifs(Students!$P:$P,$P68,Students!$Q:$Q,$P$2&amp;if($K68="S1","a",if($K68="S2","b","")),Students!$A:$A,AQ$2)+countifs(Students!$R:$R,$P68,Students!$S:$S,$P$2&amp;if($K68="S1","a",if($K68="S2","b","")),Students!$A:$A,AQ$2)+countifs(Students!$T:$T,$P68,Students!$U:$U,$P$2&amp;if($K68="S1","a",if($K68="S2","b","")),Students!$A:$A,AQ$2)+countifs(Students!$V:$V,$P68,Students!$W:$W,$P$2&amp;if($K68="S1","a",if($K68="S2","b","")),Students!$A:$A,AQ$2)+
countifs(Students!$D:$D,$S68,Students!$E:$E,$S$2&amp;if($K68="S1","a",if($K68="S2","b","")),Students!$A:$A,AQ$2)+countifs(Students!$F:$F,$S68,Students!$G:$G,$S$2&amp;if($K68="S1","a",if($K68="S2","b","")),Students!$A:$A,AQ$2)+countifs(Students!$H:$H,$S68,Students!$I:$I,$S$2&amp;if($K68="S1","a",if($K68="S2","b","")),Students!$A:$A,AQ$2)+countifs(Students!$J:$J,$S68,Students!$K:$K,$S$2&amp;if($K68="S1","a",if($K68="S2","b","")),Students!$A:$A,AQ$2)+countifs(Students!$L:$L,$S68,Students!$M:$M,$S$2&amp;if($K68="S1","a",if($K68="S2","b","")),Students!$A:$A,AQ$2)+countifs(Students!$N:$N,$S68,Students!$O:$O,$S$2&amp;if($K68="S1","a",if($K68="S2","b","")),Students!$A:$A,AQ$2)+countifs(Students!$P:$P,$S68,Students!$Q:$Q,$S$2&amp;if($K68="S1","a",if($K68="S2","b","")),Students!$A:$A,AQ$2)+countifs(Students!$R:$R,$S68,Students!$S:$S,$S$2&amp;if($K68="S1","a",if($K68="S2","b","")),Students!$A:$A,AQ$2)+countifs(Students!$T:$T,$S68,Students!$U:$U,$S$2&amp;if($K68="S1","a",if($K68="S2","b","")),Students!$A:$A,AQ$2)+countifs(Students!$V:$V,$S68,Students!$W:$W,$S$2&amp;if($K68="S1","a",if($K68="S2","b","")),Students!$A:$A,AQ$2)+
countifs(Students!$D:$D,$V68,Students!$E:$E,$V$2&amp;if($K68="S1","a",if($K68="S2","b","")),Students!$A:$A,AQ$2)+countifs(Students!$F:$F,$V68,Students!$G:$G,$V$2&amp;if($K68="S1","a",if($K68="S2","b","")),Students!$A:$A,AQ$2)+countifs(Students!$H:$H,$V68,Students!$I:$I,$V$2&amp;if($K68="S1","a",if($K68="S2","b","")),Students!$A:$A,AQ$2)+countifs(Students!$J:$J,$V68,Students!$K:$K,$V$2&amp;if($K68="S1","a",if($K68="S2","b","")),Students!$A:$A,AQ$2)+countifs(Students!$L:$L,$V68,Students!$M:$M,$V$2&amp;if($K68="S1","a",if($K68="S2","b","")),Students!$A:$A,AQ$2)+countifs(Students!$N:$N,$V68,Students!$O:$O,$V$2&amp;if($K68="S1","a",if($K68="S2","b","")),Students!$A:$A,AQ$2)+countifs(Students!$P:$P,$V68,Students!$Q:$Q,$V$2&amp;if($K68="S1","a",if($K68="S2","b","")),Students!$A:$A,AQ$2)+countifs(Students!$R:$R,$V68,Students!$S:$S,$V$2&amp;if($K68="S1","a",if($K68="S2","b","")),Students!$A:$A,AQ$2)+countifs(Students!$T:$T,$V68,Students!$U:$U,$V$2&amp;if($K68="S1","a",if($K68="S2","b","")),Students!$A:$A,AQ$2)+countifs(Students!$V:$V,$V68,Students!$W:$W,$V$2&amp;if($K68="S1","a",if($K68="S2","b","")),Students!$A:$A,AQ$2)+
countifs(Students!$D:$D,$Y68,Students!$E:$E,$Y$2&amp;if($K68="S1","a",if($K68="S2","b","")),Students!$A:$A,AQ$2)+countifs(Students!$F:$F,$Y68,Students!$G:$G,$Y$2&amp;if($K68="S1","a",if($K68="S2","b","")),Students!$A:$A,AQ$2)+countifs(Students!$H:$H,$Y68,Students!$I:$I,$Y$2&amp;if($K68="S1","a",if($K68="S2","b","")),Students!$A:$A,AQ$2)+countifs(Students!$J:$J,$Y68,Students!$K:$K,$Y$2&amp;if($K68="S1","a",if($K68="S2","b","")),Students!$A:$A,AQ$2)+countifs(Students!$L:$L,$Y68,Students!$M:$M,$Y$2&amp;if($K68="S1","a",if($K68="S2","b","")),Students!$A:$A,AQ$2)+countifs(Students!$N:$N,$Y68,Students!$O:$O,$Y$2&amp;if($K68="S1","a",if($K68="S2","b","")),Students!$A:$A,AQ$2)+countifs(Students!$P:$P,$Y68,Students!$Q:$Q,$Y$2&amp;if($K68="S1","a",if($K68="S2","b","")),Students!$A:$A,AQ$2)+countifs(Students!$R:$R,$Y68,Students!$S:$S,$Y$2&amp;if($K68="S1","a",if($K68="S2","b","")),Students!$A:$A,AQ$2)+countifs(Students!$T:$T,$Y68,Students!$U:$U,$Y$2&amp;if($K68="S1","a",if($K68="S2","b","")),Students!$A:$A,AQ$2)+countifs(Students!$V:$V,$Y68,Students!$W:$W,$Y$2&amp;if($K68="S1","a",if($K68="S2","b","")),Students!$A:$A,AQ$2)+
countifs(Students!$D:$D,$AB68,Students!$E:$E,$AB$2&amp;if($K68="S1","a",if($K68="S2","b","")),Students!$A:$A,AQ$2)+countifs(Students!$F:$F,$AB68,Students!$G:$G,$AB$2&amp;if($K68="S1","a",if($K68="S2","b","")),Students!$A:$A,AQ$2)+countifs(Students!$H:$H,$AB68,Students!$I:$I,$AB$2&amp;if($K68="S1","a",if($K68="S2","b","")),Students!$A:$A,AQ$2)+countifs(Students!$J:$J,$AB68,Students!$K:$K,$AB$2&amp;if($K68="S1","a",if($K68="S2","b","")),Students!$A:$A,AQ$2)+countifs(Students!$L:$L,$AB68,Students!$M:$M,$AB$2&amp;if($K68="S1","a",if($K68="S2","b","")),Students!$A:$A,AQ$2)+countifs(Students!$N:$N,$AB68,Students!$O:$O,$AB$2&amp;if($K68="S1","a",if($K68="S2","b","")),Students!$A:$A,AQ$2)+countifs(Students!$P:$P,$AB68,Students!$Q:$Q,$AB$2&amp;if($K68="S1","a",if($K68="S2","b","")),Students!$A:$A,AQ$2)+countifs(Students!$R:$R,$AB68,Students!$S:$S,$AB$2&amp;if($K68="S1","a",if($K68="S2","b","")),Students!$A:$A,AQ$2)+countifs(Students!$T:$T,$AB68,Students!$U:$U,$AB$2&amp;if($K68="S1","a",if($K68="S2","b","")),Students!$A:$A,AQ$2)+countifs(Students!$V:$V,$AB68,Students!$W:$W,$AB$2&amp;if($K68="S1","a",if($K68="S2","b","")),Students!$A:$A,AQ$2)+
countifs(Students!$D:$D,$AE68,Students!$E:$E,$AE$2&amp;if($K68="S1","a",if($K68="S2","b","")),Students!$A:$A,AQ$2)+countifs(Students!$F:$F,$AE68,Students!$G:$G,$AE$2&amp;if($K68="S1","a",if($K68="S2","b","")),Students!$A:$A,AQ$2)+countifs(Students!$H:$H,$AE68,Students!$I:$I,$AE$2&amp;if($K68="S1","a",if($K68="S2","b","")),Students!$A:$A,AQ$2)+countifs(Students!$J:$J,$AE68,Students!$K:$K,$AE$2&amp;if($K68="S1","a",if($K68="S2","b","")),Students!$A:$A,AQ$2)+countifs(Students!$L:$L,$AE68,Students!$M:$M,$AE$2&amp;if($K68="S1","a",if($K68="S2","b","")),Students!$A:$A,AQ$2)+countifs(Students!$N:$N,$AE68,Students!$O:$O,$AE$2&amp;if($K68="S1","a",if($K68="S2","b","")),Students!$A:$A,AQ$2)+countifs(Students!$P:$P,$AE68,Students!$Q:$Q,$AE$2&amp;if($K68="S1","a",if($K68="S2","b","")),Students!$A:$A,AQ$2)+countifs(Students!$R:$R,$AE68,Students!$S:$S,$AE$2&amp;if($K68="S1","a",if($K68="S2","b","")),Students!$A:$A,AQ$2)+countifs(Students!$T:$T,$AE68,Students!$U:$U,$AE$2&amp;if($K68="S1","a",if($K68="S2","b","")),Students!$A:$A,AQ$2)+countifs(Students!$V:$V,$AE68,Students!$W:$W,$AE$2&amp;if($K68="S1","a",if($K68="S2","b","")),Students!$A:$A,AQ$2)+
countifs(Students!$D:$D,$AH68,Students!$E:$E,$AH$2&amp;if($K68="S1","a",if($K68="S2","b","")),Students!$A:$A,AQ$2)+countifs(Students!$F:$F,$AH68,Students!$G:$G,$AH$2&amp;if($K68="S1","a",if($K68="S2","b","")),Students!$A:$A,AQ$2)+countifs(Students!$H:$H,$AH68,Students!$I:$I,$AH$2&amp;if($K68="S1","a",if($K68="S2","b","")),Students!$A:$A,AQ$2)+countifs(Students!$J:$J,$AH68,Students!$K:$K,$AH$2&amp;if($K68="S1","a",if($K68="S2","b","")),Students!$A:$A,AQ$2)+countifs(Students!$L:$L,$AH68,Students!$M:$M,$AH$2&amp;if($K68="S1","a",if($K68="S2","b","")),Students!$A:$A,AQ$2)+countifs(Students!$N:$N,$AH68,Students!$O:$O,$AH$2&amp;if($K68="S1","a",if($K68="S2","b","")),Students!$A:$A,AQ$2)+countifs(Students!$P:$P,$AH68,Students!$Q:$Q,$AH$2&amp;if($K68="S1","a",if($K68="S2","b","")),Students!$A:$A,AQ$2)+countifs(Students!$R:$R,$AH68,Students!$S:$S,$AH$2&amp;if($K68="S1","a",if($K68="S2","b","")),Students!$A:$A,AQ$2)+countifs(Students!$T:$T,$AH68,Students!$U:$U,$AH$2&amp;if($K68="S1","a",if($K68="S2","b","")),Students!$A:$A,AQ$2)+countifs(Students!$V:$V,$AH68,Students!$W:$W,$AH$2&amp;if($K68="S1","a",if($K68="S2","b","")),Students!$A:$A,AQ$2)+
countifs(Students!$D:$D,$AK68,Students!$E:$E,$AK$2&amp;if($K68="S1","a",if($K68="S2","b","")),Students!$A:$A,AQ$2)+countifs(Students!$F:$F,$AK68,Students!$G:$G,$AK$2&amp;if($K68="S1","a",if($K68="S2","b","")),Students!$A:$A,AQ$2)+countifs(Students!$H:$H,$AK68,Students!$I:$I,$AK$2&amp;if($K68="S1","a",if($K68="S2","b","")),Students!$A:$A,AQ$2)+countifs(Students!$J:$J,$AK68,Students!$K:$K,$AK$2&amp;if($K68="S1","a",if($K68="S2","b","")),Students!$A:$A,AQ$2)+countifs(Students!$L:$L,$AK68,Students!$M:$M,$AK$2&amp;if($K68="S1","a",if($K68="S2","b","")),Students!$A:$A,AQ$2)+countifs(Students!$N:$N,$AK68,Students!$O:$O,$AK$2&amp;if($K68="S1","a",if($K68="S2","b","")),Students!$A:$A,AQ$2)+countifs(Students!$P:$P,$AK68,Students!$Q:$Q,$AK$2&amp;if($K68="S1","a",if($K68="S2","b","")),Students!$A:$A,AQ$2)+countifs(Students!$R:$R,$AK68,Students!$S:$S,$AK$2&amp;if($K68="S1","a",if($K68="S2","b","")),Students!$A:$A,AQ$2)+countifs(Students!$T:$T,$AK68,Students!$U:$U,$AK$2&amp;if($K68="S1","a",if($K68="S2","b","")),Students!$A:$A,AQ$2)+countifs(Students!$V:$V,$AK68,Students!$W:$W,$AK$2&amp;if($K68="S1","a",if($K68="S2","b","")),Students!$A:$A,AQ$2))</f>
        <v/>
      </c>
      <c r="AR68" s="98" t="str">
        <f>if($L68="","",countifs(Students!$D:$D,$P68,Students!$E:$E,$P$2&amp;if($K68="S1","a",if($K68="S2","b","")),Students!$A:$A,AR$2)+countifs(Students!$F:$F,$P68,Students!$G:$G,$P$2&amp;if($K68="S1","a",if($K68="S2","b","")),Students!$A:$A,AR$2)+countifs(Students!$H:$H,$P68,Students!$I:$I,$P$2&amp;if($K68="S1","a",if($K68="S2","b","")),Students!$A:$A,AR$2)+countifs(Students!$J:$J,$P68,Students!$K:$K,$P$2&amp;if($K68="S1","a",if($K68="S2","b","")),Students!$A:$A,AR$2)+countifs(Students!$L:$L,$P68,Students!$M:$M,$P$2&amp;if($K68="S1","a",if($K68="S2","b","")),Students!$A:$A,AR$2)+countifs(Students!$N:$N,$P68,Students!$O:$O,$P$2&amp;if($K68="S1","a",if($K68="S2","b","")),Students!$A:$A,AR$2)+countifs(Students!$P:$P,$P68,Students!$Q:$Q,$P$2&amp;if($K68="S1","a",if($K68="S2","b","")),Students!$A:$A,AR$2)+countifs(Students!$R:$R,$P68,Students!$S:$S,$P$2&amp;if($K68="S1","a",if($K68="S2","b","")),Students!$A:$A,AR$2)+countifs(Students!$T:$T,$P68,Students!$U:$U,$P$2&amp;if($K68="S1","a",if($K68="S2","b","")),Students!$A:$A,AR$2)+countifs(Students!$V:$V,$P68,Students!$W:$W,$P$2&amp;if($K68="S1","a",if($K68="S2","b","")),Students!$A:$A,AR$2)+
countifs(Students!$D:$D,$S68,Students!$E:$E,$S$2&amp;if($K68="S1","a",if($K68="S2","b","")),Students!$A:$A,AR$2)+countifs(Students!$F:$F,$S68,Students!$G:$G,$S$2&amp;if($K68="S1","a",if($K68="S2","b","")),Students!$A:$A,AR$2)+countifs(Students!$H:$H,$S68,Students!$I:$I,$S$2&amp;if($K68="S1","a",if($K68="S2","b","")),Students!$A:$A,AR$2)+countifs(Students!$J:$J,$S68,Students!$K:$K,$S$2&amp;if($K68="S1","a",if($K68="S2","b","")),Students!$A:$A,AR$2)+countifs(Students!$L:$L,$S68,Students!$M:$M,$S$2&amp;if($K68="S1","a",if($K68="S2","b","")),Students!$A:$A,AR$2)+countifs(Students!$N:$N,$S68,Students!$O:$O,$S$2&amp;if($K68="S1","a",if($K68="S2","b","")),Students!$A:$A,AR$2)+countifs(Students!$P:$P,$S68,Students!$Q:$Q,$S$2&amp;if($K68="S1","a",if($K68="S2","b","")),Students!$A:$A,AR$2)+countifs(Students!$R:$R,$S68,Students!$S:$S,$S$2&amp;if($K68="S1","a",if($K68="S2","b","")),Students!$A:$A,AR$2)+countifs(Students!$T:$T,$S68,Students!$U:$U,$S$2&amp;if($K68="S1","a",if($K68="S2","b","")),Students!$A:$A,AR$2)+countifs(Students!$V:$V,$S68,Students!$W:$W,$S$2&amp;if($K68="S1","a",if($K68="S2","b","")),Students!$A:$A,AR$2)+
countifs(Students!$D:$D,$V68,Students!$E:$E,$V$2&amp;if($K68="S1","a",if($K68="S2","b","")),Students!$A:$A,AR$2)+countifs(Students!$F:$F,$V68,Students!$G:$G,$V$2&amp;if($K68="S1","a",if($K68="S2","b","")),Students!$A:$A,AR$2)+countifs(Students!$H:$H,$V68,Students!$I:$I,$V$2&amp;if($K68="S1","a",if($K68="S2","b","")),Students!$A:$A,AR$2)+countifs(Students!$J:$J,$V68,Students!$K:$K,$V$2&amp;if($K68="S1","a",if($K68="S2","b","")),Students!$A:$A,AR$2)+countifs(Students!$L:$L,$V68,Students!$M:$M,$V$2&amp;if($K68="S1","a",if($K68="S2","b","")),Students!$A:$A,AR$2)+countifs(Students!$N:$N,$V68,Students!$O:$O,$V$2&amp;if($K68="S1","a",if($K68="S2","b","")),Students!$A:$A,AR$2)+countifs(Students!$P:$P,$V68,Students!$Q:$Q,$V$2&amp;if($K68="S1","a",if($K68="S2","b","")),Students!$A:$A,AR$2)+countifs(Students!$R:$R,$V68,Students!$S:$S,$V$2&amp;if($K68="S1","a",if($K68="S2","b","")),Students!$A:$A,AR$2)+countifs(Students!$T:$T,$V68,Students!$U:$U,$V$2&amp;if($K68="S1","a",if($K68="S2","b","")),Students!$A:$A,AR$2)+countifs(Students!$V:$V,$V68,Students!$W:$W,$V$2&amp;if($K68="S1","a",if($K68="S2","b","")),Students!$A:$A,AR$2)+
countifs(Students!$D:$D,$Y68,Students!$E:$E,$Y$2&amp;if($K68="S1","a",if($K68="S2","b","")),Students!$A:$A,AR$2)+countifs(Students!$F:$F,$Y68,Students!$G:$G,$Y$2&amp;if($K68="S1","a",if($K68="S2","b","")),Students!$A:$A,AR$2)+countifs(Students!$H:$H,$Y68,Students!$I:$I,$Y$2&amp;if($K68="S1","a",if($K68="S2","b","")),Students!$A:$A,AR$2)+countifs(Students!$J:$J,$Y68,Students!$K:$K,$Y$2&amp;if($K68="S1","a",if($K68="S2","b","")),Students!$A:$A,AR$2)+countifs(Students!$L:$L,$Y68,Students!$M:$M,$Y$2&amp;if($K68="S1","a",if($K68="S2","b","")),Students!$A:$A,AR$2)+countifs(Students!$N:$N,$Y68,Students!$O:$O,$Y$2&amp;if($K68="S1","a",if($K68="S2","b","")),Students!$A:$A,AR$2)+countifs(Students!$P:$P,$Y68,Students!$Q:$Q,$Y$2&amp;if($K68="S1","a",if($K68="S2","b","")),Students!$A:$A,AR$2)+countifs(Students!$R:$R,$Y68,Students!$S:$S,$Y$2&amp;if($K68="S1","a",if($K68="S2","b","")),Students!$A:$A,AR$2)+countifs(Students!$T:$T,$Y68,Students!$U:$U,$Y$2&amp;if($K68="S1","a",if($K68="S2","b","")),Students!$A:$A,AR$2)+countifs(Students!$V:$V,$Y68,Students!$W:$W,$Y$2&amp;if($K68="S1","a",if($K68="S2","b","")),Students!$A:$A,AR$2)+
countifs(Students!$D:$D,$AB68,Students!$E:$E,$AB$2&amp;if($K68="S1","a",if($K68="S2","b","")),Students!$A:$A,AR$2)+countifs(Students!$F:$F,$AB68,Students!$G:$G,$AB$2&amp;if($K68="S1","a",if($K68="S2","b","")),Students!$A:$A,AR$2)+countifs(Students!$H:$H,$AB68,Students!$I:$I,$AB$2&amp;if($K68="S1","a",if($K68="S2","b","")),Students!$A:$A,AR$2)+countifs(Students!$J:$J,$AB68,Students!$K:$K,$AB$2&amp;if($K68="S1","a",if($K68="S2","b","")),Students!$A:$A,AR$2)+countifs(Students!$L:$L,$AB68,Students!$M:$M,$AB$2&amp;if($K68="S1","a",if($K68="S2","b","")),Students!$A:$A,AR$2)+countifs(Students!$N:$N,$AB68,Students!$O:$O,$AB$2&amp;if($K68="S1","a",if($K68="S2","b","")),Students!$A:$A,AR$2)+countifs(Students!$P:$P,$AB68,Students!$Q:$Q,$AB$2&amp;if($K68="S1","a",if($K68="S2","b","")),Students!$A:$A,AR$2)+countifs(Students!$R:$R,$AB68,Students!$S:$S,$AB$2&amp;if($K68="S1","a",if($K68="S2","b","")),Students!$A:$A,AR$2)+countifs(Students!$T:$T,$AB68,Students!$U:$U,$AB$2&amp;if($K68="S1","a",if($K68="S2","b","")),Students!$A:$A,AR$2)+countifs(Students!$V:$V,$AB68,Students!$W:$W,$AB$2&amp;if($K68="S1","a",if($K68="S2","b","")),Students!$A:$A,AR$2)+
countifs(Students!$D:$D,$AE68,Students!$E:$E,$AE$2&amp;if($K68="S1","a",if($K68="S2","b","")),Students!$A:$A,AR$2)+countifs(Students!$F:$F,$AE68,Students!$G:$G,$AE$2&amp;if($K68="S1","a",if($K68="S2","b","")),Students!$A:$A,AR$2)+countifs(Students!$H:$H,$AE68,Students!$I:$I,$AE$2&amp;if($K68="S1","a",if($K68="S2","b","")),Students!$A:$A,AR$2)+countifs(Students!$J:$J,$AE68,Students!$K:$K,$AE$2&amp;if($K68="S1","a",if($K68="S2","b","")),Students!$A:$A,AR$2)+countifs(Students!$L:$L,$AE68,Students!$M:$M,$AE$2&amp;if($K68="S1","a",if($K68="S2","b","")),Students!$A:$A,AR$2)+countifs(Students!$N:$N,$AE68,Students!$O:$O,$AE$2&amp;if($K68="S1","a",if($K68="S2","b","")),Students!$A:$A,AR$2)+countifs(Students!$P:$P,$AE68,Students!$Q:$Q,$AE$2&amp;if($K68="S1","a",if($K68="S2","b","")),Students!$A:$A,AR$2)+countifs(Students!$R:$R,$AE68,Students!$S:$S,$AE$2&amp;if($K68="S1","a",if($K68="S2","b","")),Students!$A:$A,AR$2)+countifs(Students!$T:$T,$AE68,Students!$U:$U,$AE$2&amp;if($K68="S1","a",if($K68="S2","b","")),Students!$A:$A,AR$2)+countifs(Students!$V:$V,$AE68,Students!$W:$W,$AE$2&amp;if($K68="S1","a",if($K68="S2","b","")),Students!$A:$A,AR$2)+
countifs(Students!$D:$D,$AH68,Students!$E:$E,$AH$2&amp;if($K68="S1","a",if($K68="S2","b","")),Students!$A:$A,AR$2)+countifs(Students!$F:$F,$AH68,Students!$G:$G,$AH$2&amp;if($K68="S1","a",if($K68="S2","b","")),Students!$A:$A,AR$2)+countifs(Students!$H:$H,$AH68,Students!$I:$I,$AH$2&amp;if($K68="S1","a",if($K68="S2","b","")),Students!$A:$A,AR$2)+countifs(Students!$J:$J,$AH68,Students!$K:$K,$AH$2&amp;if($K68="S1","a",if($K68="S2","b","")),Students!$A:$A,AR$2)+countifs(Students!$L:$L,$AH68,Students!$M:$M,$AH$2&amp;if($K68="S1","a",if($K68="S2","b","")),Students!$A:$A,AR$2)+countifs(Students!$N:$N,$AH68,Students!$O:$O,$AH$2&amp;if($K68="S1","a",if($K68="S2","b","")),Students!$A:$A,AR$2)+countifs(Students!$P:$P,$AH68,Students!$Q:$Q,$AH$2&amp;if($K68="S1","a",if($K68="S2","b","")),Students!$A:$A,AR$2)+countifs(Students!$R:$R,$AH68,Students!$S:$S,$AH$2&amp;if($K68="S1","a",if($K68="S2","b","")),Students!$A:$A,AR$2)+countifs(Students!$T:$T,$AH68,Students!$U:$U,$AH$2&amp;if($K68="S1","a",if($K68="S2","b","")),Students!$A:$A,AR$2)+countifs(Students!$V:$V,$AH68,Students!$W:$W,$AH$2&amp;if($K68="S1","a",if($K68="S2","b","")),Students!$A:$A,AR$2)+
countifs(Students!$D:$D,$AK68,Students!$E:$E,$AK$2&amp;if($K68="S1","a",if($K68="S2","b","")),Students!$A:$A,AR$2)+countifs(Students!$F:$F,$AK68,Students!$G:$G,$AK$2&amp;if($K68="S1","a",if($K68="S2","b","")),Students!$A:$A,AR$2)+countifs(Students!$H:$H,$AK68,Students!$I:$I,$AK$2&amp;if($K68="S1","a",if($K68="S2","b","")),Students!$A:$A,AR$2)+countifs(Students!$J:$J,$AK68,Students!$K:$K,$AK$2&amp;if($K68="S1","a",if($K68="S2","b","")),Students!$A:$A,AR$2)+countifs(Students!$L:$L,$AK68,Students!$M:$M,$AK$2&amp;if($K68="S1","a",if($K68="S2","b","")),Students!$A:$A,AR$2)+countifs(Students!$N:$N,$AK68,Students!$O:$O,$AK$2&amp;if($K68="S1","a",if($K68="S2","b","")),Students!$A:$A,AR$2)+countifs(Students!$P:$P,$AK68,Students!$Q:$Q,$AK$2&amp;if($K68="S1","a",if($K68="S2","b","")),Students!$A:$A,AR$2)+countifs(Students!$R:$R,$AK68,Students!$S:$S,$AK$2&amp;if($K68="S1","a",if($K68="S2","b","")),Students!$A:$A,AR$2)+countifs(Students!$T:$T,$AK68,Students!$U:$U,$AK$2&amp;if($K68="S1","a",if($K68="S2","b","")),Students!$A:$A,AR$2)+countifs(Students!$V:$V,$AK68,Students!$W:$W,$AK$2&amp;if($K68="S1","a",if($K68="S2","b","")),Students!$A:$A,AR$2))</f>
        <v/>
      </c>
      <c r="AS68" s="98" t="str">
        <f>if($L68="","",countifs(Students!$D:$D,$P68,Students!$E:$E,$P$2&amp;if($K68="S1","a",if($K68="S2","b","")),Students!$A:$A,AS$2)+countifs(Students!$F:$F,$P68,Students!$G:$G,$P$2&amp;if($K68="S1","a",if($K68="S2","b","")),Students!$A:$A,AS$2)+countifs(Students!$H:$H,$P68,Students!$I:$I,$P$2&amp;if($K68="S1","a",if($K68="S2","b","")),Students!$A:$A,AS$2)+countifs(Students!$J:$J,$P68,Students!$K:$K,$P$2&amp;if($K68="S1","a",if($K68="S2","b","")),Students!$A:$A,AS$2)+countifs(Students!$L:$L,$P68,Students!$M:$M,$P$2&amp;if($K68="S1","a",if($K68="S2","b","")),Students!$A:$A,AS$2)+countifs(Students!$N:$N,$P68,Students!$O:$O,$P$2&amp;if($K68="S1","a",if($K68="S2","b","")),Students!$A:$A,AS$2)+countifs(Students!$P:$P,$P68,Students!$Q:$Q,$P$2&amp;if($K68="S1","a",if($K68="S2","b","")),Students!$A:$A,AS$2)+countifs(Students!$R:$R,$P68,Students!$S:$S,$P$2&amp;if($K68="S1","a",if($K68="S2","b","")),Students!$A:$A,AS$2)+countifs(Students!$T:$T,$P68,Students!$U:$U,$P$2&amp;if($K68="S1","a",if($K68="S2","b","")),Students!$A:$A,AS$2)+countifs(Students!$V:$V,$P68,Students!$W:$W,$P$2&amp;if($K68="S1","a",if($K68="S2","b","")),Students!$A:$A,AS$2)+
countifs(Students!$D:$D,$S68,Students!$E:$E,$S$2&amp;if($K68="S1","a",if($K68="S2","b","")),Students!$A:$A,AS$2)+countifs(Students!$F:$F,$S68,Students!$G:$G,$S$2&amp;if($K68="S1","a",if($K68="S2","b","")),Students!$A:$A,AS$2)+countifs(Students!$H:$H,$S68,Students!$I:$I,$S$2&amp;if($K68="S1","a",if($K68="S2","b","")),Students!$A:$A,AS$2)+countifs(Students!$J:$J,$S68,Students!$K:$K,$S$2&amp;if($K68="S1","a",if($K68="S2","b","")),Students!$A:$A,AS$2)+countifs(Students!$L:$L,$S68,Students!$M:$M,$S$2&amp;if($K68="S1","a",if($K68="S2","b","")),Students!$A:$A,AS$2)+countifs(Students!$N:$N,$S68,Students!$O:$O,$S$2&amp;if($K68="S1","a",if($K68="S2","b","")),Students!$A:$A,AS$2)+countifs(Students!$P:$P,$S68,Students!$Q:$Q,$S$2&amp;if($K68="S1","a",if($K68="S2","b","")),Students!$A:$A,AS$2)+countifs(Students!$R:$R,$S68,Students!$S:$S,$S$2&amp;if($K68="S1","a",if($K68="S2","b","")),Students!$A:$A,AS$2)+countifs(Students!$T:$T,$S68,Students!$U:$U,$S$2&amp;if($K68="S1","a",if($K68="S2","b","")),Students!$A:$A,AS$2)+countifs(Students!$V:$V,$S68,Students!$W:$W,$S$2&amp;if($K68="S1","a",if($K68="S2","b","")),Students!$A:$A,AS$2)+
countifs(Students!$D:$D,$V68,Students!$E:$E,$V$2&amp;if($K68="S1","a",if($K68="S2","b","")),Students!$A:$A,AS$2)+countifs(Students!$F:$F,$V68,Students!$G:$G,$V$2&amp;if($K68="S1","a",if($K68="S2","b","")),Students!$A:$A,AS$2)+countifs(Students!$H:$H,$V68,Students!$I:$I,$V$2&amp;if($K68="S1","a",if($K68="S2","b","")),Students!$A:$A,AS$2)+countifs(Students!$J:$J,$V68,Students!$K:$K,$V$2&amp;if($K68="S1","a",if($K68="S2","b","")),Students!$A:$A,AS$2)+countifs(Students!$L:$L,$V68,Students!$M:$M,$V$2&amp;if($K68="S1","a",if($K68="S2","b","")),Students!$A:$A,AS$2)+countifs(Students!$N:$N,$V68,Students!$O:$O,$V$2&amp;if($K68="S1","a",if($K68="S2","b","")),Students!$A:$A,AS$2)+countifs(Students!$P:$P,$V68,Students!$Q:$Q,$V$2&amp;if($K68="S1","a",if($K68="S2","b","")),Students!$A:$A,AS$2)+countifs(Students!$R:$R,$V68,Students!$S:$S,$V$2&amp;if($K68="S1","a",if($K68="S2","b","")),Students!$A:$A,AS$2)+countifs(Students!$T:$T,$V68,Students!$U:$U,$V$2&amp;if($K68="S1","a",if($K68="S2","b","")),Students!$A:$A,AS$2)+countifs(Students!$V:$V,$V68,Students!$W:$W,$V$2&amp;if($K68="S1","a",if($K68="S2","b","")),Students!$A:$A,AS$2)+
countifs(Students!$D:$D,$Y68,Students!$E:$E,$Y$2&amp;if($K68="S1","a",if($K68="S2","b","")),Students!$A:$A,AS$2)+countifs(Students!$F:$F,$Y68,Students!$G:$G,$Y$2&amp;if($K68="S1","a",if($K68="S2","b","")),Students!$A:$A,AS$2)+countifs(Students!$H:$H,$Y68,Students!$I:$I,$Y$2&amp;if($K68="S1","a",if($K68="S2","b","")),Students!$A:$A,AS$2)+countifs(Students!$J:$J,$Y68,Students!$K:$K,$Y$2&amp;if($K68="S1","a",if($K68="S2","b","")),Students!$A:$A,AS$2)+countifs(Students!$L:$L,$Y68,Students!$M:$M,$Y$2&amp;if($K68="S1","a",if($K68="S2","b","")),Students!$A:$A,AS$2)+countifs(Students!$N:$N,$Y68,Students!$O:$O,$Y$2&amp;if($K68="S1","a",if($K68="S2","b","")),Students!$A:$A,AS$2)+countifs(Students!$P:$P,$Y68,Students!$Q:$Q,$Y$2&amp;if($K68="S1","a",if($K68="S2","b","")),Students!$A:$A,AS$2)+countifs(Students!$R:$R,$Y68,Students!$S:$S,$Y$2&amp;if($K68="S1","a",if($K68="S2","b","")),Students!$A:$A,AS$2)+countifs(Students!$T:$T,$Y68,Students!$U:$U,$Y$2&amp;if($K68="S1","a",if($K68="S2","b","")),Students!$A:$A,AS$2)+countifs(Students!$V:$V,$Y68,Students!$W:$W,$Y$2&amp;if($K68="S1","a",if($K68="S2","b","")),Students!$A:$A,AS$2)+
countifs(Students!$D:$D,$AB68,Students!$E:$E,$AB$2&amp;if($K68="S1","a",if($K68="S2","b","")),Students!$A:$A,AS$2)+countifs(Students!$F:$F,$AB68,Students!$G:$G,$AB$2&amp;if($K68="S1","a",if($K68="S2","b","")),Students!$A:$A,AS$2)+countifs(Students!$H:$H,$AB68,Students!$I:$I,$AB$2&amp;if($K68="S1","a",if($K68="S2","b","")),Students!$A:$A,AS$2)+countifs(Students!$J:$J,$AB68,Students!$K:$K,$AB$2&amp;if($K68="S1","a",if($K68="S2","b","")),Students!$A:$A,AS$2)+countifs(Students!$L:$L,$AB68,Students!$M:$M,$AB$2&amp;if($K68="S1","a",if($K68="S2","b","")),Students!$A:$A,AS$2)+countifs(Students!$N:$N,$AB68,Students!$O:$O,$AB$2&amp;if($K68="S1","a",if($K68="S2","b","")),Students!$A:$A,AS$2)+countifs(Students!$P:$P,$AB68,Students!$Q:$Q,$AB$2&amp;if($K68="S1","a",if($K68="S2","b","")),Students!$A:$A,AS$2)+countifs(Students!$R:$R,$AB68,Students!$S:$S,$AB$2&amp;if($K68="S1","a",if($K68="S2","b","")),Students!$A:$A,AS$2)+countifs(Students!$T:$T,$AB68,Students!$U:$U,$AB$2&amp;if($K68="S1","a",if($K68="S2","b","")),Students!$A:$A,AS$2)+countifs(Students!$V:$V,$AB68,Students!$W:$W,$AB$2&amp;if($K68="S1","a",if($K68="S2","b","")),Students!$A:$A,AS$2)+
countifs(Students!$D:$D,$AE68,Students!$E:$E,$AE$2&amp;if($K68="S1","a",if($K68="S2","b","")),Students!$A:$A,AS$2)+countifs(Students!$F:$F,$AE68,Students!$G:$G,$AE$2&amp;if($K68="S1","a",if($K68="S2","b","")),Students!$A:$A,AS$2)+countifs(Students!$H:$H,$AE68,Students!$I:$I,$AE$2&amp;if($K68="S1","a",if($K68="S2","b","")),Students!$A:$A,AS$2)+countifs(Students!$J:$J,$AE68,Students!$K:$K,$AE$2&amp;if($K68="S1","a",if($K68="S2","b","")),Students!$A:$A,AS$2)+countifs(Students!$L:$L,$AE68,Students!$M:$M,$AE$2&amp;if($K68="S1","a",if($K68="S2","b","")),Students!$A:$A,AS$2)+countifs(Students!$N:$N,$AE68,Students!$O:$O,$AE$2&amp;if($K68="S1","a",if($K68="S2","b","")),Students!$A:$A,AS$2)+countifs(Students!$P:$P,$AE68,Students!$Q:$Q,$AE$2&amp;if($K68="S1","a",if($K68="S2","b","")),Students!$A:$A,AS$2)+countifs(Students!$R:$R,$AE68,Students!$S:$S,$AE$2&amp;if($K68="S1","a",if($K68="S2","b","")),Students!$A:$A,AS$2)+countifs(Students!$T:$T,$AE68,Students!$U:$U,$AE$2&amp;if($K68="S1","a",if($K68="S2","b","")),Students!$A:$A,AS$2)+countifs(Students!$V:$V,$AE68,Students!$W:$W,$AE$2&amp;if($K68="S1","a",if($K68="S2","b","")),Students!$A:$A,AS$2)+
countifs(Students!$D:$D,$AH68,Students!$E:$E,$AH$2&amp;if($K68="S1","a",if($K68="S2","b","")),Students!$A:$A,AS$2)+countifs(Students!$F:$F,$AH68,Students!$G:$G,$AH$2&amp;if($K68="S1","a",if($K68="S2","b","")),Students!$A:$A,AS$2)+countifs(Students!$H:$H,$AH68,Students!$I:$I,$AH$2&amp;if($K68="S1","a",if($K68="S2","b","")),Students!$A:$A,AS$2)+countifs(Students!$J:$J,$AH68,Students!$K:$K,$AH$2&amp;if($K68="S1","a",if($K68="S2","b","")),Students!$A:$A,AS$2)+countifs(Students!$L:$L,$AH68,Students!$M:$M,$AH$2&amp;if($K68="S1","a",if($K68="S2","b","")),Students!$A:$A,AS$2)+countifs(Students!$N:$N,$AH68,Students!$O:$O,$AH$2&amp;if($K68="S1","a",if($K68="S2","b","")),Students!$A:$A,AS$2)+countifs(Students!$P:$P,$AH68,Students!$Q:$Q,$AH$2&amp;if($K68="S1","a",if($K68="S2","b","")),Students!$A:$A,AS$2)+countifs(Students!$R:$R,$AH68,Students!$S:$S,$AH$2&amp;if($K68="S1","a",if($K68="S2","b","")),Students!$A:$A,AS$2)+countifs(Students!$T:$T,$AH68,Students!$U:$U,$AH$2&amp;if($K68="S1","a",if($K68="S2","b","")),Students!$A:$A,AS$2)+countifs(Students!$V:$V,$AH68,Students!$W:$W,$AH$2&amp;if($K68="S1","a",if($K68="S2","b","")),Students!$A:$A,AS$2)+
countifs(Students!$D:$D,$AK68,Students!$E:$E,$AK$2&amp;if($K68="S1","a",if($K68="S2","b","")),Students!$A:$A,AS$2)+countifs(Students!$F:$F,$AK68,Students!$G:$G,$AK$2&amp;if($K68="S1","a",if($K68="S2","b","")),Students!$A:$A,AS$2)+countifs(Students!$H:$H,$AK68,Students!$I:$I,$AK$2&amp;if($K68="S1","a",if($K68="S2","b","")),Students!$A:$A,AS$2)+countifs(Students!$J:$J,$AK68,Students!$K:$K,$AK$2&amp;if($K68="S1","a",if($K68="S2","b","")),Students!$A:$A,AS$2)+countifs(Students!$L:$L,$AK68,Students!$M:$M,$AK$2&amp;if($K68="S1","a",if($K68="S2","b","")),Students!$A:$A,AS$2)+countifs(Students!$N:$N,$AK68,Students!$O:$O,$AK$2&amp;if($K68="S1","a",if($K68="S2","b","")),Students!$A:$A,AS$2)+countifs(Students!$P:$P,$AK68,Students!$Q:$Q,$AK$2&amp;if($K68="S1","a",if($K68="S2","b","")),Students!$A:$A,AS$2)+countifs(Students!$R:$R,$AK68,Students!$S:$S,$AK$2&amp;if($K68="S1","a",if($K68="S2","b","")),Students!$A:$A,AS$2)+countifs(Students!$T:$T,$AK68,Students!$U:$U,$AK$2&amp;if($K68="S1","a",if($K68="S2","b","")),Students!$A:$A,AS$2)+countifs(Students!$V:$V,$AK68,Students!$W:$W,$AK$2&amp;if($K68="S1","a",if($K68="S2","b","")),Students!$A:$A,AS$2))</f>
        <v/>
      </c>
    </row>
    <row r="69">
      <c r="J69" s="106" t="s">
        <v>22</v>
      </c>
      <c r="K69" s="88"/>
      <c r="L69" s="130"/>
      <c r="M69" s="89"/>
      <c r="N69" s="106" t="s">
        <v>22</v>
      </c>
      <c r="O69" s="106"/>
      <c r="P69" s="89"/>
      <c r="Q69" s="89"/>
      <c r="R69" s="98" t="s">
        <v>22</v>
      </c>
      <c r="S69" s="89"/>
      <c r="T69" s="89"/>
      <c r="U69" s="98" t="s">
        <v>22</v>
      </c>
      <c r="V69" s="89"/>
      <c r="W69" s="89"/>
      <c r="X69" s="98" t="s">
        <v>22</v>
      </c>
      <c r="Y69" s="89"/>
      <c r="Z69" s="89"/>
      <c r="AA69" s="98" t="s">
        <v>22</v>
      </c>
      <c r="AB69" s="89"/>
      <c r="AC69" s="89"/>
      <c r="AD69" s="98" t="s">
        <v>22</v>
      </c>
      <c r="AE69" s="89"/>
      <c r="AF69" s="89"/>
      <c r="AG69" s="98" t="s">
        <v>22</v>
      </c>
      <c r="AH69" s="89"/>
      <c r="AI69" s="133"/>
      <c r="AJ69" s="98" t="s">
        <v>22</v>
      </c>
      <c r="AK69" s="89"/>
      <c r="AL69" s="133"/>
      <c r="AM69" s="98" t="s">
        <v>22</v>
      </c>
      <c r="AN69" s="99"/>
      <c r="AO69" s="52" t="str">
        <f t="shared" si="2"/>
        <v/>
      </c>
      <c r="AP69" s="98" t="str">
        <f>if($L69="","",countifs(Students!$D:$D,$P69,Students!$E:$E,$P$2&amp;if($K69="S1","a",if($K69="S2","b","")),Students!$A:$A,AP$2)+countifs(Students!$F:$F,$P69,Students!$G:$G,$P$2&amp;if($K69="S1","a",if($K69="S2","b","")),Students!$A:$A,AP$2)+countifs(Students!$H:$H,$P69,Students!$I:$I,$P$2&amp;if($K69="S1","a",if($K69="S2","b","")),Students!$A:$A,AP$2)+countifs(Students!$J:$J,$P69,Students!$K:$K,$P$2&amp;if($K69="S1","a",if($K69="S2","b","")),Students!$A:$A,AP$2)+countifs(Students!$L:$L,$P69,Students!$M:$M,$P$2&amp;if($K69="S1","a",if($K69="S2","b","")),Students!$A:$A,AP$2)+countifs(Students!$N:$N,$P69,Students!$O:$O,$P$2&amp;if($K69="S1","a",if($K69="S2","b","")),Students!$A:$A,AP$2)+countifs(Students!$P:$P,$P69,Students!$Q:$Q,$P$2&amp;if($K69="S1","a",if($K69="S2","b","")),Students!$A:$A,AP$2)+countifs(Students!$R:$R,$P69,Students!$S:$S,$P$2&amp;if($K69="S1","a",if($K69="S2","b","")),Students!$A:$A,AP$2)+countifs(Students!$T:$T,$P69,Students!$U:$U,$P$2&amp;if($K69="S1","a",if($K69="S2","b","")),Students!$A:$A,AP$2)+countifs(Students!$V:$V,$P69,Students!$W:$W,$P$2&amp;if($K69="S1","a",if($K69="S2","b","")),Students!$A:$A,AP$2)+
countifs(Students!$D:$D,$S69,Students!$E:$E,$S$2&amp;if($K69="S1","a",if($K69="S2","b","")),Students!$A:$A,AP$2)+countifs(Students!$F:$F,$S69,Students!$G:$G,$S$2&amp;if($K69="S1","a",if($K69="S2","b","")),Students!$A:$A,AP$2)+countifs(Students!$H:$H,$S69,Students!$I:$I,$S$2&amp;if($K69="S1","a",if($K69="S2","b","")),Students!$A:$A,AP$2)+countifs(Students!$J:$J,$S69,Students!$K:$K,$S$2&amp;if($K69="S1","a",if($K69="S2","b","")),Students!$A:$A,AP$2)+countifs(Students!$L:$L,$S69,Students!$M:$M,$S$2&amp;if($K69="S1","a",if($K69="S2","b","")),Students!$A:$A,AP$2)+countifs(Students!$N:$N,$S69,Students!$O:$O,$S$2&amp;if($K69="S1","a",if($K69="S2","b","")),Students!$A:$A,AP$2)+countifs(Students!$P:$P,$S69,Students!$Q:$Q,$S$2&amp;if($K69="S1","a",if($K69="S2","b","")),Students!$A:$A,AP$2)+countifs(Students!$R:$R,$S69,Students!$S:$S,$S$2&amp;if($K69="S1","a",if($K69="S2","b","")),Students!$A:$A,AP$2)+countifs(Students!$T:$T,$S69,Students!$U:$U,$S$2&amp;if($K69="S1","a",if($K69="S2","b","")),Students!$A:$A,AP$2)+countifs(Students!$V:$V,$S69,Students!$W:$W,$S$2&amp;if($K69="S1","a",if($K69="S2","b","")),Students!$A:$A,AP$2)+
countifs(Students!$D:$D,$V69,Students!$E:$E,$V$2&amp;if($K69="S1","a",if($K69="S2","b","")),Students!$A:$A,AP$2)+countifs(Students!$F:$F,$V69,Students!$G:$G,$V$2&amp;if($K69="S1","a",if($K69="S2","b","")),Students!$A:$A,AP$2)+countifs(Students!$H:$H,$V69,Students!$I:$I,$V$2&amp;if($K69="S1","a",if($K69="S2","b","")),Students!$A:$A,AP$2)+countifs(Students!$J:$J,$V69,Students!$K:$K,$V$2&amp;if($K69="S1","a",if($K69="S2","b","")),Students!$A:$A,AP$2)+countifs(Students!$L:$L,$V69,Students!$M:$M,$V$2&amp;if($K69="S1","a",if($K69="S2","b","")),Students!$A:$A,AP$2)+countifs(Students!$N:$N,$V69,Students!$O:$O,$V$2&amp;if($K69="S1","a",if($K69="S2","b","")),Students!$A:$A,AP$2)+countifs(Students!$P:$P,$V69,Students!$Q:$Q,$V$2&amp;if($K69="S1","a",if($K69="S2","b","")),Students!$A:$A,AP$2)+countifs(Students!$R:$R,$V69,Students!$S:$S,$V$2&amp;if($K69="S1","a",if($K69="S2","b","")),Students!$A:$A,AP$2)+countifs(Students!$T:$T,$V69,Students!$U:$U,$V$2&amp;if($K69="S1","a",if($K69="S2","b","")),Students!$A:$A,AP$2)+countifs(Students!$V:$V,$V69,Students!$W:$W,$V$2&amp;if($K69="S1","a",if($K69="S2","b","")),Students!$A:$A,AP$2)+
countifs(Students!$D:$D,$Y69,Students!$E:$E,$Y$2&amp;if($K69="S1","a",if($K69="S2","b","")),Students!$A:$A,AP$2)+countifs(Students!$F:$F,$Y69,Students!$G:$G,$Y$2&amp;if($K69="S1","a",if($K69="S2","b","")),Students!$A:$A,AP$2)+countifs(Students!$H:$H,$Y69,Students!$I:$I,$Y$2&amp;if($K69="S1","a",if($K69="S2","b","")),Students!$A:$A,AP$2)+countifs(Students!$J:$J,$Y69,Students!$K:$K,$Y$2&amp;if($K69="S1","a",if($K69="S2","b","")),Students!$A:$A,AP$2)+countifs(Students!$L:$L,$Y69,Students!$M:$M,$Y$2&amp;if($K69="S1","a",if($K69="S2","b","")),Students!$A:$A,AP$2)+countifs(Students!$N:$N,$Y69,Students!$O:$O,$Y$2&amp;if($K69="S1","a",if($K69="S2","b","")),Students!$A:$A,AP$2)+countifs(Students!$P:$P,$Y69,Students!$Q:$Q,$Y$2&amp;if($K69="S1","a",if($K69="S2","b","")),Students!$A:$A,AP$2)+countifs(Students!$R:$R,$Y69,Students!$S:$S,$Y$2&amp;if($K69="S1","a",if($K69="S2","b","")),Students!$A:$A,AP$2)+countifs(Students!$T:$T,$Y69,Students!$U:$U,$Y$2&amp;if($K69="S1","a",if($K69="S2","b","")),Students!$A:$A,AP$2)+countifs(Students!$V:$V,$Y69,Students!$W:$W,$Y$2&amp;if($K69="S1","a",if($K69="S2","b","")),Students!$A:$A,AP$2)+
countifs(Students!$D:$D,$AB69,Students!$E:$E,$AB$2&amp;if($K69="S1","a",if($K69="S2","b","")),Students!$A:$A,AP$2)+countifs(Students!$F:$F,$AB69,Students!$G:$G,$AB$2&amp;if($K69="S1","a",if($K69="S2","b","")),Students!$A:$A,AP$2)+countifs(Students!$H:$H,$AB69,Students!$I:$I,$AB$2&amp;if($K69="S1","a",if($K69="S2","b","")),Students!$A:$A,AP$2)+countifs(Students!$J:$J,$AB69,Students!$K:$K,$AB$2&amp;if($K69="S1","a",if($K69="S2","b","")),Students!$A:$A,AP$2)+countifs(Students!$L:$L,$AB69,Students!$M:$M,$AB$2&amp;if($K69="S1","a",if($K69="S2","b","")),Students!$A:$A,AP$2)+countifs(Students!$N:$N,$AB69,Students!$O:$O,$AB$2&amp;if($K69="S1","a",if($K69="S2","b","")),Students!$A:$A,AP$2)+countifs(Students!$P:$P,$AB69,Students!$Q:$Q,$AB$2&amp;if($K69="S1","a",if($K69="S2","b","")),Students!$A:$A,AP$2)+countifs(Students!$R:$R,$AB69,Students!$S:$S,$AB$2&amp;if($K69="S1","a",if($K69="S2","b","")),Students!$A:$A,AP$2)+countifs(Students!$T:$T,$AB69,Students!$U:$U,$AB$2&amp;if($K69="S1","a",if($K69="S2","b","")),Students!$A:$A,AP$2)+countifs(Students!$V:$V,$AB69,Students!$W:$W,$AB$2&amp;if($K69="S1","a",if($K69="S2","b","")),Students!$A:$A,AP$2)+
countifs(Students!$D:$D,$AE69,Students!$E:$E,$AE$2&amp;if($K69="S1","a",if($K69="S2","b","")),Students!$A:$A,AP$2)+countifs(Students!$F:$F,$AE69,Students!$G:$G,$AE$2&amp;if($K69="S1","a",if($K69="S2","b","")),Students!$A:$A,AP$2)+countifs(Students!$H:$H,$AE69,Students!$I:$I,$AE$2&amp;if($K69="S1","a",if($K69="S2","b","")),Students!$A:$A,AP$2)+countifs(Students!$J:$J,$AE69,Students!$K:$K,$AE$2&amp;if($K69="S1","a",if($K69="S2","b","")),Students!$A:$A,AP$2)+countifs(Students!$L:$L,$AE69,Students!$M:$M,$AE$2&amp;if($K69="S1","a",if($K69="S2","b","")),Students!$A:$A,AP$2)+countifs(Students!$N:$N,$AE69,Students!$O:$O,$AE$2&amp;if($K69="S1","a",if($K69="S2","b","")),Students!$A:$A,AP$2)+countifs(Students!$P:$P,$AE69,Students!$Q:$Q,$AE$2&amp;if($K69="S1","a",if($K69="S2","b","")),Students!$A:$A,AP$2)+countifs(Students!$R:$R,$AE69,Students!$S:$S,$AE$2&amp;if($K69="S1","a",if($K69="S2","b","")),Students!$A:$A,AP$2)+countifs(Students!$T:$T,$AE69,Students!$U:$U,$AE$2&amp;if($K69="S1","a",if($K69="S2","b","")),Students!$A:$A,AP$2)+countifs(Students!$V:$V,$AE69,Students!$W:$W,$AE$2&amp;if($K69="S1","a",if($K69="S2","b","")),Students!$A:$A,AP$2)+
countifs(Students!$D:$D,$AH69,Students!$E:$E,$AH$2&amp;if($K69="S1","a",if($K69="S2","b","")),Students!$A:$A,AP$2)+countifs(Students!$F:$F,$AH69,Students!$G:$G,$AH$2&amp;if($K69="S1","a",if($K69="S2","b","")),Students!$A:$A,AP$2)+countifs(Students!$H:$H,$AH69,Students!$I:$I,$AH$2&amp;if($K69="S1","a",if($K69="S2","b","")),Students!$A:$A,AP$2)+countifs(Students!$J:$J,$AH69,Students!$K:$K,$AH$2&amp;if($K69="S1","a",if($K69="S2","b","")),Students!$A:$A,AP$2)+countifs(Students!$L:$L,$AH69,Students!$M:$M,$AH$2&amp;if($K69="S1","a",if($K69="S2","b","")),Students!$A:$A,AP$2)+countifs(Students!$N:$N,$AH69,Students!$O:$O,$AH$2&amp;if($K69="S1","a",if($K69="S2","b","")),Students!$A:$A,AP$2)+countifs(Students!$P:$P,$AH69,Students!$Q:$Q,$AH$2&amp;if($K69="S1","a",if($K69="S2","b","")),Students!$A:$A,AP$2)+countifs(Students!$R:$R,$AH69,Students!$S:$S,$AH$2&amp;if($K69="S1","a",if($K69="S2","b","")),Students!$A:$A,AP$2)+countifs(Students!$T:$T,$AH69,Students!$U:$U,$AH$2&amp;if($K69="S1","a",if($K69="S2","b","")),Students!$A:$A,AP$2)+countifs(Students!$V:$V,$AH69,Students!$W:$W,$AH$2&amp;if($K69="S1","a",if($K69="S2","b","")),Students!$A:$A,AP$2)+
countifs(Students!$D:$D,$AK69,Students!$E:$E,$AK$2&amp;if($K69="S1","a",if($K69="S2","b","")),Students!$A:$A,AP$2)+countifs(Students!$F:$F,$AK69,Students!$G:$G,$AK$2&amp;if($K69="S1","a",if($K69="S2","b","")),Students!$A:$A,AP$2)+countifs(Students!$H:$H,$AK69,Students!$I:$I,$AK$2&amp;if($K69="S1","a",if($K69="S2","b","")),Students!$A:$A,AP$2)+countifs(Students!$J:$J,$AK69,Students!$K:$K,$AK$2&amp;if($K69="S1","a",if($K69="S2","b","")),Students!$A:$A,AP$2)+countifs(Students!$L:$L,$AK69,Students!$M:$M,$AK$2&amp;if($K69="S1","a",if($K69="S2","b","")),Students!$A:$A,AP$2)+countifs(Students!$N:$N,$AK69,Students!$O:$O,$AK$2&amp;if($K69="S1","a",if($K69="S2","b","")),Students!$A:$A,AP$2)+countifs(Students!$P:$P,$AK69,Students!$Q:$Q,$AK$2&amp;if($K69="S1","a",if($K69="S2","b","")),Students!$A:$A,AP$2)+countifs(Students!$R:$R,$AK69,Students!$S:$S,$AK$2&amp;if($K69="S1","a",if($K69="S2","b","")),Students!$A:$A,AP$2)+countifs(Students!$T:$T,$AK69,Students!$U:$U,$AK$2&amp;if($K69="S1","a",if($K69="S2","b","")),Students!$A:$A,AP$2)+countifs(Students!$V:$V,$AK69,Students!$W:$W,$AK$2&amp;if($K69="S1","a",if($K69="S2","b","")),Students!$A:$A,AP$2))</f>
        <v/>
      </c>
      <c r="AQ69" s="98" t="str">
        <f>if($L69="","",countifs(Students!$D:$D,$P69,Students!$E:$E,$P$2&amp;if($K69="S1","a",if($K69="S2","b","")),Students!$A:$A,AQ$2)+countifs(Students!$F:$F,$P69,Students!$G:$G,$P$2&amp;if($K69="S1","a",if($K69="S2","b","")),Students!$A:$A,AQ$2)+countifs(Students!$H:$H,$P69,Students!$I:$I,$P$2&amp;if($K69="S1","a",if($K69="S2","b","")),Students!$A:$A,AQ$2)+countifs(Students!$J:$J,$P69,Students!$K:$K,$P$2&amp;if($K69="S1","a",if($K69="S2","b","")),Students!$A:$A,AQ$2)+countifs(Students!$L:$L,$P69,Students!$M:$M,$P$2&amp;if($K69="S1","a",if($K69="S2","b","")),Students!$A:$A,AQ$2)+countifs(Students!$N:$N,$P69,Students!$O:$O,$P$2&amp;if($K69="S1","a",if($K69="S2","b","")),Students!$A:$A,AQ$2)+countifs(Students!$P:$P,$P69,Students!$Q:$Q,$P$2&amp;if($K69="S1","a",if($K69="S2","b","")),Students!$A:$A,AQ$2)+countifs(Students!$R:$R,$P69,Students!$S:$S,$P$2&amp;if($K69="S1","a",if($K69="S2","b","")),Students!$A:$A,AQ$2)+countifs(Students!$T:$T,$P69,Students!$U:$U,$P$2&amp;if($K69="S1","a",if($K69="S2","b","")),Students!$A:$A,AQ$2)+countifs(Students!$V:$V,$P69,Students!$W:$W,$P$2&amp;if($K69="S1","a",if($K69="S2","b","")),Students!$A:$A,AQ$2)+
countifs(Students!$D:$D,$S69,Students!$E:$E,$S$2&amp;if($K69="S1","a",if($K69="S2","b","")),Students!$A:$A,AQ$2)+countifs(Students!$F:$F,$S69,Students!$G:$G,$S$2&amp;if($K69="S1","a",if($K69="S2","b","")),Students!$A:$A,AQ$2)+countifs(Students!$H:$H,$S69,Students!$I:$I,$S$2&amp;if($K69="S1","a",if($K69="S2","b","")),Students!$A:$A,AQ$2)+countifs(Students!$J:$J,$S69,Students!$K:$K,$S$2&amp;if($K69="S1","a",if($K69="S2","b","")),Students!$A:$A,AQ$2)+countifs(Students!$L:$L,$S69,Students!$M:$M,$S$2&amp;if($K69="S1","a",if($K69="S2","b","")),Students!$A:$A,AQ$2)+countifs(Students!$N:$N,$S69,Students!$O:$O,$S$2&amp;if($K69="S1","a",if($K69="S2","b","")),Students!$A:$A,AQ$2)+countifs(Students!$P:$P,$S69,Students!$Q:$Q,$S$2&amp;if($K69="S1","a",if($K69="S2","b","")),Students!$A:$A,AQ$2)+countifs(Students!$R:$R,$S69,Students!$S:$S,$S$2&amp;if($K69="S1","a",if($K69="S2","b","")),Students!$A:$A,AQ$2)+countifs(Students!$T:$T,$S69,Students!$U:$U,$S$2&amp;if($K69="S1","a",if($K69="S2","b","")),Students!$A:$A,AQ$2)+countifs(Students!$V:$V,$S69,Students!$W:$W,$S$2&amp;if($K69="S1","a",if($K69="S2","b","")),Students!$A:$A,AQ$2)+
countifs(Students!$D:$D,$V69,Students!$E:$E,$V$2&amp;if($K69="S1","a",if($K69="S2","b","")),Students!$A:$A,AQ$2)+countifs(Students!$F:$F,$V69,Students!$G:$G,$V$2&amp;if($K69="S1","a",if($K69="S2","b","")),Students!$A:$A,AQ$2)+countifs(Students!$H:$H,$V69,Students!$I:$I,$V$2&amp;if($K69="S1","a",if($K69="S2","b","")),Students!$A:$A,AQ$2)+countifs(Students!$J:$J,$V69,Students!$K:$K,$V$2&amp;if($K69="S1","a",if($K69="S2","b","")),Students!$A:$A,AQ$2)+countifs(Students!$L:$L,$V69,Students!$M:$M,$V$2&amp;if($K69="S1","a",if($K69="S2","b","")),Students!$A:$A,AQ$2)+countifs(Students!$N:$N,$V69,Students!$O:$O,$V$2&amp;if($K69="S1","a",if($K69="S2","b","")),Students!$A:$A,AQ$2)+countifs(Students!$P:$P,$V69,Students!$Q:$Q,$V$2&amp;if($K69="S1","a",if($K69="S2","b","")),Students!$A:$A,AQ$2)+countifs(Students!$R:$R,$V69,Students!$S:$S,$V$2&amp;if($K69="S1","a",if($K69="S2","b","")),Students!$A:$A,AQ$2)+countifs(Students!$T:$T,$V69,Students!$U:$U,$V$2&amp;if($K69="S1","a",if($K69="S2","b","")),Students!$A:$A,AQ$2)+countifs(Students!$V:$V,$V69,Students!$W:$W,$V$2&amp;if($K69="S1","a",if($K69="S2","b","")),Students!$A:$A,AQ$2)+
countifs(Students!$D:$D,$Y69,Students!$E:$E,$Y$2&amp;if($K69="S1","a",if($K69="S2","b","")),Students!$A:$A,AQ$2)+countifs(Students!$F:$F,$Y69,Students!$G:$G,$Y$2&amp;if($K69="S1","a",if($K69="S2","b","")),Students!$A:$A,AQ$2)+countifs(Students!$H:$H,$Y69,Students!$I:$I,$Y$2&amp;if($K69="S1","a",if($K69="S2","b","")),Students!$A:$A,AQ$2)+countifs(Students!$J:$J,$Y69,Students!$K:$K,$Y$2&amp;if($K69="S1","a",if($K69="S2","b","")),Students!$A:$A,AQ$2)+countifs(Students!$L:$L,$Y69,Students!$M:$M,$Y$2&amp;if($K69="S1","a",if($K69="S2","b","")),Students!$A:$A,AQ$2)+countifs(Students!$N:$N,$Y69,Students!$O:$O,$Y$2&amp;if($K69="S1","a",if($K69="S2","b","")),Students!$A:$A,AQ$2)+countifs(Students!$P:$P,$Y69,Students!$Q:$Q,$Y$2&amp;if($K69="S1","a",if($K69="S2","b","")),Students!$A:$A,AQ$2)+countifs(Students!$R:$R,$Y69,Students!$S:$S,$Y$2&amp;if($K69="S1","a",if($K69="S2","b","")),Students!$A:$A,AQ$2)+countifs(Students!$T:$T,$Y69,Students!$U:$U,$Y$2&amp;if($K69="S1","a",if($K69="S2","b","")),Students!$A:$A,AQ$2)+countifs(Students!$V:$V,$Y69,Students!$W:$W,$Y$2&amp;if($K69="S1","a",if($K69="S2","b","")),Students!$A:$A,AQ$2)+
countifs(Students!$D:$D,$AB69,Students!$E:$E,$AB$2&amp;if($K69="S1","a",if($K69="S2","b","")),Students!$A:$A,AQ$2)+countifs(Students!$F:$F,$AB69,Students!$G:$G,$AB$2&amp;if($K69="S1","a",if($K69="S2","b","")),Students!$A:$A,AQ$2)+countifs(Students!$H:$H,$AB69,Students!$I:$I,$AB$2&amp;if($K69="S1","a",if($K69="S2","b","")),Students!$A:$A,AQ$2)+countifs(Students!$J:$J,$AB69,Students!$K:$K,$AB$2&amp;if($K69="S1","a",if($K69="S2","b","")),Students!$A:$A,AQ$2)+countifs(Students!$L:$L,$AB69,Students!$M:$M,$AB$2&amp;if($K69="S1","a",if($K69="S2","b","")),Students!$A:$A,AQ$2)+countifs(Students!$N:$N,$AB69,Students!$O:$O,$AB$2&amp;if($K69="S1","a",if($K69="S2","b","")),Students!$A:$A,AQ$2)+countifs(Students!$P:$P,$AB69,Students!$Q:$Q,$AB$2&amp;if($K69="S1","a",if($K69="S2","b","")),Students!$A:$A,AQ$2)+countifs(Students!$R:$R,$AB69,Students!$S:$S,$AB$2&amp;if($K69="S1","a",if($K69="S2","b","")),Students!$A:$A,AQ$2)+countifs(Students!$T:$T,$AB69,Students!$U:$U,$AB$2&amp;if($K69="S1","a",if($K69="S2","b","")),Students!$A:$A,AQ$2)+countifs(Students!$V:$V,$AB69,Students!$W:$W,$AB$2&amp;if($K69="S1","a",if($K69="S2","b","")),Students!$A:$A,AQ$2)+
countifs(Students!$D:$D,$AE69,Students!$E:$E,$AE$2&amp;if($K69="S1","a",if($K69="S2","b","")),Students!$A:$A,AQ$2)+countifs(Students!$F:$F,$AE69,Students!$G:$G,$AE$2&amp;if($K69="S1","a",if($K69="S2","b","")),Students!$A:$A,AQ$2)+countifs(Students!$H:$H,$AE69,Students!$I:$I,$AE$2&amp;if($K69="S1","a",if($K69="S2","b","")),Students!$A:$A,AQ$2)+countifs(Students!$J:$J,$AE69,Students!$K:$K,$AE$2&amp;if($K69="S1","a",if($K69="S2","b","")),Students!$A:$A,AQ$2)+countifs(Students!$L:$L,$AE69,Students!$M:$M,$AE$2&amp;if($K69="S1","a",if($K69="S2","b","")),Students!$A:$A,AQ$2)+countifs(Students!$N:$N,$AE69,Students!$O:$O,$AE$2&amp;if($K69="S1","a",if($K69="S2","b","")),Students!$A:$A,AQ$2)+countifs(Students!$P:$P,$AE69,Students!$Q:$Q,$AE$2&amp;if($K69="S1","a",if($K69="S2","b","")),Students!$A:$A,AQ$2)+countifs(Students!$R:$R,$AE69,Students!$S:$S,$AE$2&amp;if($K69="S1","a",if($K69="S2","b","")),Students!$A:$A,AQ$2)+countifs(Students!$T:$T,$AE69,Students!$U:$U,$AE$2&amp;if($K69="S1","a",if($K69="S2","b","")),Students!$A:$A,AQ$2)+countifs(Students!$V:$V,$AE69,Students!$W:$W,$AE$2&amp;if($K69="S1","a",if($K69="S2","b","")),Students!$A:$A,AQ$2)+
countifs(Students!$D:$D,$AH69,Students!$E:$E,$AH$2&amp;if($K69="S1","a",if($K69="S2","b","")),Students!$A:$A,AQ$2)+countifs(Students!$F:$F,$AH69,Students!$G:$G,$AH$2&amp;if($K69="S1","a",if($K69="S2","b","")),Students!$A:$A,AQ$2)+countifs(Students!$H:$H,$AH69,Students!$I:$I,$AH$2&amp;if($K69="S1","a",if($K69="S2","b","")),Students!$A:$A,AQ$2)+countifs(Students!$J:$J,$AH69,Students!$K:$K,$AH$2&amp;if($K69="S1","a",if($K69="S2","b","")),Students!$A:$A,AQ$2)+countifs(Students!$L:$L,$AH69,Students!$M:$M,$AH$2&amp;if($K69="S1","a",if($K69="S2","b","")),Students!$A:$A,AQ$2)+countifs(Students!$N:$N,$AH69,Students!$O:$O,$AH$2&amp;if($K69="S1","a",if($K69="S2","b","")),Students!$A:$A,AQ$2)+countifs(Students!$P:$P,$AH69,Students!$Q:$Q,$AH$2&amp;if($K69="S1","a",if($K69="S2","b","")),Students!$A:$A,AQ$2)+countifs(Students!$R:$R,$AH69,Students!$S:$S,$AH$2&amp;if($K69="S1","a",if($K69="S2","b","")),Students!$A:$A,AQ$2)+countifs(Students!$T:$T,$AH69,Students!$U:$U,$AH$2&amp;if($K69="S1","a",if($K69="S2","b","")),Students!$A:$A,AQ$2)+countifs(Students!$V:$V,$AH69,Students!$W:$W,$AH$2&amp;if($K69="S1","a",if($K69="S2","b","")),Students!$A:$A,AQ$2)+
countifs(Students!$D:$D,$AK69,Students!$E:$E,$AK$2&amp;if($K69="S1","a",if($K69="S2","b","")),Students!$A:$A,AQ$2)+countifs(Students!$F:$F,$AK69,Students!$G:$G,$AK$2&amp;if($K69="S1","a",if($K69="S2","b","")),Students!$A:$A,AQ$2)+countifs(Students!$H:$H,$AK69,Students!$I:$I,$AK$2&amp;if($K69="S1","a",if($K69="S2","b","")),Students!$A:$A,AQ$2)+countifs(Students!$J:$J,$AK69,Students!$K:$K,$AK$2&amp;if($K69="S1","a",if($K69="S2","b","")),Students!$A:$A,AQ$2)+countifs(Students!$L:$L,$AK69,Students!$M:$M,$AK$2&amp;if($K69="S1","a",if($K69="S2","b","")),Students!$A:$A,AQ$2)+countifs(Students!$N:$N,$AK69,Students!$O:$O,$AK$2&amp;if($K69="S1","a",if($K69="S2","b","")),Students!$A:$A,AQ$2)+countifs(Students!$P:$P,$AK69,Students!$Q:$Q,$AK$2&amp;if($K69="S1","a",if($K69="S2","b","")),Students!$A:$A,AQ$2)+countifs(Students!$R:$R,$AK69,Students!$S:$S,$AK$2&amp;if($K69="S1","a",if($K69="S2","b","")),Students!$A:$A,AQ$2)+countifs(Students!$T:$T,$AK69,Students!$U:$U,$AK$2&amp;if($K69="S1","a",if($K69="S2","b","")),Students!$A:$A,AQ$2)+countifs(Students!$V:$V,$AK69,Students!$W:$W,$AK$2&amp;if($K69="S1","a",if($K69="S2","b","")),Students!$A:$A,AQ$2))</f>
        <v/>
      </c>
      <c r="AR69" s="98" t="str">
        <f>if($L69="","",countifs(Students!$D:$D,$P69,Students!$E:$E,$P$2&amp;if($K69="S1","a",if($K69="S2","b","")),Students!$A:$A,AR$2)+countifs(Students!$F:$F,$P69,Students!$G:$G,$P$2&amp;if($K69="S1","a",if($K69="S2","b","")),Students!$A:$A,AR$2)+countifs(Students!$H:$H,$P69,Students!$I:$I,$P$2&amp;if($K69="S1","a",if($K69="S2","b","")),Students!$A:$A,AR$2)+countifs(Students!$J:$J,$P69,Students!$K:$K,$P$2&amp;if($K69="S1","a",if($K69="S2","b","")),Students!$A:$A,AR$2)+countifs(Students!$L:$L,$P69,Students!$M:$M,$P$2&amp;if($K69="S1","a",if($K69="S2","b","")),Students!$A:$A,AR$2)+countifs(Students!$N:$N,$P69,Students!$O:$O,$P$2&amp;if($K69="S1","a",if($K69="S2","b","")),Students!$A:$A,AR$2)+countifs(Students!$P:$P,$P69,Students!$Q:$Q,$P$2&amp;if($K69="S1","a",if($K69="S2","b","")),Students!$A:$A,AR$2)+countifs(Students!$R:$R,$P69,Students!$S:$S,$P$2&amp;if($K69="S1","a",if($K69="S2","b","")),Students!$A:$A,AR$2)+countifs(Students!$T:$T,$P69,Students!$U:$U,$P$2&amp;if($K69="S1","a",if($K69="S2","b","")),Students!$A:$A,AR$2)+countifs(Students!$V:$V,$P69,Students!$W:$W,$P$2&amp;if($K69="S1","a",if($K69="S2","b","")),Students!$A:$A,AR$2)+
countifs(Students!$D:$D,$S69,Students!$E:$E,$S$2&amp;if($K69="S1","a",if($K69="S2","b","")),Students!$A:$A,AR$2)+countifs(Students!$F:$F,$S69,Students!$G:$G,$S$2&amp;if($K69="S1","a",if($K69="S2","b","")),Students!$A:$A,AR$2)+countifs(Students!$H:$H,$S69,Students!$I:$I,$S$2&amp;if($K69="S1","a",if($K69="S2","b","")),Students!$A:$A,AR$2)+countifs(Students!$J:$J,$S69,Students!$K:$K,$S$2&amp;if($K69="S1","a",if($K69="S2","b","")),Students!$A:$A,AR$2)+countifs(Students!$L:$L,$S69,Students!$M:$M,$S$2&amp;if($K69="S1","a",if($K69="S2","b","")),Students!$A:$A,AR$2)+countifs(Students!$N:$N,$S69,Students!$O:$O,$S$2&amp;if($K69="S1","a",if($K69="S2","b","")),Students!$A:$A,AR$2)+countifs(Students!$P:$P,$S69,Students!$Q:$Q,$S$2&amp;if($K69="S1","a",if($K69="S2","b","")),Students!$A:$A,AR$2)+countifs(Students!$R:$R,$S69,Students!$S:$S,$S$2&amp;if($K69="S1","a",if($K69="S2","b","")),Students!$A:$A,AR$2)+countifs(Students!$T:$T,$S69,Students!$U:$U,$S$2&amp;if($K69="S1","a",if($K69="S2","b","")),Students!$A:$A,AR$2)+countifs(Students!$V:$V,$S69,Students!$W:$W,$S$2&amp;if($K69="S1","a",if($K69="S2","b","")),Students!$A:$A,AR$2)+
countifs(Students!$D:$D,$V69,Students!$E:$E,$V$2&amp;if($K69="S1","a",if($K69="S2","b","")),Students!$A:$A,AR$2)+countifs(Students!$F:$F,$V69,Students!$G:$G,$V$2&amp;if($K69="S1","a",if($K69="S2","b","")),Students!$A:$A,AR$2)+countifs(Students!$H:$H,$V69,Students!$I:$I,$V$2&amp;if($K69="S1","a",if($K69="S2","b","")),Students!$A:$A,AR$2)+countifs(Students!$J:$J,$V69,Students!$K:$K,$V$2&amp;if($K69="S1","a",if($K69="S2","b","")),Students!$A:$A,AR$2)+countifs(Students!$L:$L,$V69,Students!$M:$M,$V$2&amp;if($K69="S1","a",if($K69="S2","b","")),Students!$A:$A,AR$2)+countifs(Students!$N:$N,$V69,Students!$O:$O,$V$2&amp;if($K69="S1","a",if($K69="S2","b","")),Students!$A:$A,AR$2)+countifs(Students!$P:$P,$V69,Students!$Q:$Q,$V$2&amp;if($K69="S1","a",if($K69="S2","b","")),Students!$A:$A,AR$2)+countifs(Students!$R:$R,$V69,Students!$S:$S,$V$2&amp;if($K69="S1","a",if($K69="S2","b","")),Students!$A:$A,AR$2)+countifs(Students!$T:$T,$V69,Students!$U:$U,$V$2&amp;if($K69="S1","a",if($K69="S2","b","")),Students!$A:$A,AR$2)+countifs(Students!$V:$V,$V69,Students!$W:$W,$V$2&amp;if($K69="S1","a",if($K69="S2","b","")),Students!$A:$A,AR$2)+
countifs(Students!$D:$D,$Y69,Students!$E:$E,$Y$2&amp;if($K69="S1","a",if($K69="S2","b","")),Students!$A:$A,AR$2)+countifs(Students!$F:$F,$Y69,Students!$G:$G,$Y$2&amp;if($K69="S1","a",if($K69="S2","b","")),Students!$A:$A,AR$2)+countifs(Students!$H:$H,$Y69,Students!$I:$I,$Y$2&amp;if($K69="S1","a",if($K69="S2","b","")),Students!$A:$A,AR$2)+countifs(Students!$J:$J,$Y69,Students!$K:$K,$Y$2&amp;if($K69="S1","a",if($K69="S2","b","")),Students!$A:$A,AR$2)+countifs(Students!$L:$L,$Y69,Students!$M:$M,$Y$2&amp;if($K69="S1","a",if($K69="S2","b","")),Students!$A:$A,AR$2)+countifs(Students!$N:$N,$Y69,Students!$O:$O,$Y$2&amp;if($K69="S1","a",if($K69="S2","b","")),Students!$A:$A,AR$2)+countifs(Students!$P:$P,$Y69,Students!$Q:$Q,$Y$2&amp;if($K69="S1","a",if($K69="S2","b","")),Students!$A:$A,AR$2)+countifs(Students!$R:$R,$Y69,Students!$S:$S,$Y$2&amp;if($K69="S1","a",if($K69="S2","b","")),Students!$A:$A,AR$2)+countifs(Students!$T:$T,$Y69,Students!$U:$U,$Y$2&amp;if($K69="S1","a",if($K69="S2","b","")),Students!$A:$A,AR$2)+countifs(Students!$V:$V,$Y69,Students!$W:$W,$Y$2&amp;if($K69="S1","a",if($K69="S2","b","")),Students!$A:$A,AR$2)+
countifs(Students!$D:$D,$AB69,Students!$E:$E,$AB$2&amp;if($K69="S1","a",if($K69="S2","b","")),Students!$A:$A,AR$2)+countifs(Students!$F:$F,$AB69,Students!$G:$G,$AB$2&amp;if($K69="S1","a",if($K69="S2","b","")),Students!$A:$A,AR$2)+countifs(Students!$H:$H,$AB69,Students!$I:$I,$AB$2&amp;if($K69="S1","a",if($K69="S2","b","")),Students!$A:$A,AR$2)+countifs(Students!$J:$J,$AB69,Students!$K:$K,$AB$2&amp;if($K69="S1","a",if($K69="S2","b","")),Students!$A:$A,AR$2)+countifs(Students!$L:$L,$AB69,Students!$M:$M,$AB$2&amp;if($K69="S1","a",if($K69="S2","b","")),Students!$A:$A,AR$2)+countifs(Students!$N:$N,$AB69,Students!$O:$O,$AB$2&amp;if($K69="S1","a",if($K69="S2","b","")),Students!$A:$A,AR$2)+countifs(Students!$P:$P,$AB69,Students!$Q:$Q,$AB$2&amp;if($K69="S1","a",if($K69="S2","b","")),Students!$A:$A,AR$2)+countifs(Students!$R:$R,$AB69,Students!$S:$S,$AB$2&amp;if($K69="S1","a",if($K69="S2","b","")),Students!$A:$A,AR$2)+countifs(Students!$T:$T,$AB69,Students!$U:$U,$AB$2&amp;if($K69="S1","a",if($K69="S2","b","")),Students!$A:$A,AR$2)+countifs(Students!$V:$V,$AB69,Students!$W:$W,$AB$2&amp;if($K69="S1","a",if($K69="S2","b","")),Students!$A:$A,AR$2)+
countifs(Students!$D:$D,$AE69,Students!$E:$E,$AE$2&amp;if($K69="S1","a",if($K69="S2","b","")),Students!$A:$A,AR$2)+countifs(Students!$F:$F,$AE69,Students!$G:$G,$AE$2&amp;if($K69="S1","a",if($K69="S2","b","")),Students!$A:$A,AR$2)+countifs(Students!$H:$H,$AE69,Students!$I:$I,$AE$2&amp;if($K69="S1","a",if($K69="S2","b","")),Students!$A:$A,AR$2)+countifs(Students!$J:$J,$AE69,Students!$K:$K,$AE$2&amp;if($K69="S1","a",if($K69="S2","b","")),Students!$A:$A,AR$2)+countifs(Students!$L:$L,$AE69,Students!$M:$M,$AE$2&amp;if($K69="S1","a",if($K69="S2","b","")),Students!$A:$A,AR$2)+countifs(Students!$N:$N,$AE69,Students!$O:$O,$AE$2&amp;if($K69="S1","a",if($K69="S2","b","")),Students!$A:$A,AR$2)+countifs(Students!$P:$P,$AE69,Students!$Q:$Q,$AE$2&amp;if($K69="S1","a",if($K69="S2","b","")),Students!$A:$A,AR$2)+countifs(Students!$R:$R,$AE69,Students!$S:$S,$AE$2&amp;if($K69="S1","a",if($K69="S2","b","")),Students!$A:$A,AR$2)+countifs(Students!$T:$T,$AE69,Students!$U:$U,$AE$2&amp;if($K69="S1","a",if($K69="S2","b","")),Students!$A:$A,AR$2)+countifs(Students!$V:$V,$AE69,Students!$W:$W,$AE$2&amp;if($K69="S1","a",if($K69="S2","b","")),Students!$A:$A,AR$2)+
countifs(Students!$D:$D,$AH69,Students!$E:$E,$AH$2&amp;if($K69="S1","a",if($K69="S2","b","")),Students!$A:$A,AR$2)+countifs(Students!$F:$F,$AH69,Students!$G:$G,$AH$2&amp;if($K69="S1","a",if($K69="S2","b","")),Students!$A:$A,AR$2)+countifs(Students!$H:$H,$AH69,Students!$I:$I,$AH$2&amp;if($K69="S1","a",if($K69="S2","b","")),Students!$A:$A,AR$2)+countifs(Students!$J:$J,$AH69,Students!$K:$K,$AH$2&amp;if($K69="S1","a",if($K69="S2","b","")),Students!$A:$A,AR$2)+countifs(Students!$L:$L,$AH69,Students!$M:$M,$AH$2&amp;if($K69="S1","a",if($K69="S2","b","")),Students!$A:$A,AR$2)+countifs(Students!$N:$N,$AH69,Students!$O:$O,$AH$2&amp;if($K69="S1","a",if($K69="S2","b","")),Students!$A:$A,AR$2)+countifs(Students!$P:$P,$AH69,Students!$Q:$Q,$AH$2&amp;if($K69="S1","a",if($K69="S2","b","")),Students!$A:$A,AR$2)+countifs(Students!$R:$R,$AH69,Students!$S:$S,$AH$2&amp;if($K69="S1","a",if($K69="S2","b","")),Students!$A:$A,AR$2)+countifs(Students!$T:$T,$AH69,Students!$U:$U,$AH$2&amp;if($K69="S1","a",if($K69="S2","b","")),Students!$A:$A,AR$2)+countifs(Students!$V:$V,$AH69,Students!$W:$W,$AH$2&amp;if($K69="S1","a",if($K69="S2","b","")),Students!$A:$A,AR$2)+
countifs(Students!$D:$D,$AK69,Students!$E:$E,$AK$2&amp;if($K69="S1","a",if($K69="S2","b","")),Students!$A:$A,AR$2)+countifs(Students!$F:$F,$AK69,Students!$G:$G,$AK$2&amp;if($K69="S1","a",if($K69="S2","b","")),Students!$A:$A,AR$2)+countifs(Students!$H:$H,$AK69,Students!$I:$I,$AK$2&amp;if($K69="S1","a",if($K69="S2","b","")),Students!$A:$A,AR$2)+countifs(Students!$J:$J,$AK69,Students!$K:$K,$AK$2&amp;if($K69="S1","a",if($K69="S2","b","")),Students!$A:$A,AR$2)+countifs(Students!$L:$L,$AK69,Students!$M:$M,$AK$2&amp;if($K69="S1","a",if($K69="S2","b","")),Students!$A:$A,AR$2)+countifs(Students!$N:$N,$AK69,Students!$O:$O,$AK$2&amp;if($K69="S1","a",if($K69="S2","b","")),Students!$A:$A,AR$2)+countifs(Students!$P:$P,$AK69,Students!$Q:$Q,$AK$2&amp;if($K69="S1","a",if($K69="S2","b","")),Students!$A:$A,AR$2)+countifs(Students!$R:$R,$AK69,Students!$S:$S,$AK$2&amp;if($K69="S1","a",if($K69="S2","b","")),Students!$A:$A,AR$2)+countifs(Students!$T:$T,$AK69,Students!$U:$U,$AK$2&amp;if($K69="S1","a",if($K69="S2","b","")),Students!$A:$A,AR$2)+countifs(Students!$V:$V,$AK69,Students!$W:$W,$AK$2&amp;if($K69="S1","a",if($K69="S2","b","")),Students!$A:$A,AR$2))</f>
        <v/>
      </c>
      <c r="AS69" s="98" t="str">
        <f>if($L69="","",countifs(Students!$D:$D,$P69,Students!$E:$E,$P$2&amp;if($K69="S1","a",if($K69="S2","b","")),Students!$A:$A,AS$2)+countifs(Students!$F:$F,$P69,Students!$G:$G,$P$2&amp;if($K69="S1","a",if($K69="S2","b","")),Students!$A:$A,AS$2)+countifs(Students!$H:$H,$P69,Students!$I:$I,$P$2&amp;if($K69="S1","a",if($K69="S2","b","")),Students!$A:$A,AS$2)+countifs(Students!$J:$J,$P69,Students!$K:$K,$P$2&amp;if($K69="S1","a",if($K69="S2","b","")),Students!$A:$A,AS$2)+countifs(Students!$L:$L,$P69,Students!$M:$M,$P$2&amp;if($K69="S1","a",if($K69="S2","b","")),Students!$A:$A,AS$2)+countifs(Students!$N:$N,$P69,Students!$O:$O,$P$2&amp;if($K69="S1","a",if($K69="S2","b","")),Students!$A:$A,AS$2)+countifs(Students!$P:$P,$P69,Students!$Q:$Q,$P$2&amp;if($K69="S1","a",if($K69="S2","b","")),Students!$A:$A,AS$2)+countifs(Students!$R:$R,$P69,Students!$S:$S,$P$2&amp;if($K69="S1","a",if($K69="S2","b","")),Students!$A:$A,AS$2)+countifs(Students!$T:$T,$P69,Students!$U:$U,$P$2&amp;if($K69="S1","a",if($K69="S2","b","")),Students!$A:$A,AS$2)+countifs(Students!$V:$V,$P69,Students!$W:$W,$P$2&amp;if($K69="S1","a",if($K69="S2","b","")),Students!$A:$A,AS$2)+
countifs(Students!$D:$D,$S69,Students!$E:$E,$S$2&amp;if($K69="S1","a",if($K69="S2","b","")),Students!$A:$A,AS$2)+countifs(Students!$F:$F,$S69,Students!$G:$G,$S$2&amp;if($K69="S1","a",if($K69="S2","b","")),Students!$A:$A,AS$2)+countifs(Students!$H:$H,$S69,Students!$I:$I,$S$2&amp;if($K69="S1","a",if($K69="S2","b","")),Students!$A:$A,AS$2)+countifs(Students!$J:$J,$S69,Students!$K:$K,$S$2&amp;if($K69="S1","a",if($K69="S2","b","")),Students!$A:$A,AS$2)+countifs(Students!$L:$L,$S69,Students!$M:$M,$S$2&amp;if($K69="S1","a",if($K69="S2","b","")),Students!$A:$A,AS$2)+countifs(Students!$N:$N,$S69,Students!$O:$O,$S$2&amp;if($K69="S1","a",if($K69="S2","b","")),Students!$A:$A,AS$2)+countifs(Students!$P:$P,$S69,Students!$Q:$Q,$S$2&amp;if($K69="S1","a",if($K69="S2","b","")),Students!$A:$A,AS$2)+countifs(Students!$R:$R,$S69,Students!$S:$S,$S$2&amp;if($K69="S1","a",if($K69="S2","b","")),Students!$A:$A,AS$2)+countifs(Students!$T:$T,$S69,Students!$U:$U,$S$2&amp;if($K69="S1","a",if($K69="S2","b","")),Students!$A:$A,AS$2)+countifs(Students!$V:$V,$S69,Students!$W:$W,$S$2&amp;if($K69="S1","a",if($K69="S2","b","")),Students!$A:$A,AS$2)+
countifs(Students!$D:$D,$V69,Students!$E:$E,$V$2&amp;if($K69="S1","a",if($K69="S2","b","")),Students!$A:$A,AS$2)+countifs(Students!$F:$F,$V69,Students!$G:$G,$V$2&amp;if($K69="S1","a",if($K69="S2","b","")),Students!$A:$A,AS$2)+countifs(Students!$H:$H,$V69,Students!$I:$I,$V$2&amp;if($K69="S1","a",if($K69="S2","b","")),Students!$A:$A,AS$2)+countifs(Students!$J:$J,$V69,Students!$K:$K,$V$2&amp;if($K69="S1","a",if($K69="S2","b","")),Students!$A:$A,AS$2)+countifs(Students!$L:$L,$V69,Students!$M:$M,$V$2&amp;if($K69="S1","a",if($K69="S2","b","")),Students!$A:$A,AS$2)+countifs(Students!$N:$N,$V69,Students!$O:$O,$V$2&amp;if($K69="S1","a",if($K69="S2","b","")),Students!$A:$A,AS$2)+countifs(Students!$P:$P,$V69,Students!$Q:$Q,$V$2&amp;if($K69="S1","a",if($K69="S2","b","")),Students!$A:$A,AS$2)+countifs(Students!$R:$R,$V69,Students!$S:$S,$V$2&amp;if($K69="S1","a",if($K69="S2","b","")),Students!$A:$A,AS$2)+countifs(Students!$T:$T,$V69,Students!$U:$U,$V$2&amp;if($K69="S1","a",if($K69="S2","b","")),Students!$A:$A,AS$2)+countifs(Students!$V:$V,$V69,Students!$W:$W,$V$2&amp;if($K69="S1","a",if($K69="S2","b","")),Students!$A:$A,AS$2)+
countifs(Students!$D:$D,$Y69,Students!$E:$E,$Y$2&amp;if($K69="S1","a",if($K69="S2","b","")),Students!$A:$A,AS$2)+countifs(Students!$F:$F,$Y69,Students!$G:$G,$Y$2&amp;if($K69="S1","a",if($K69="S2","b","")),Students!$A:$A,AS$2)+countifs(Students!$H:$H,$Y69,Students!$I:$I,$Y$2&amp;if($K69="S1","a",if($K69="S2","b","")),Students!$A:$A,AS$2)+countifs(Students!$J:$J,$Y69,Students!$K:$K,$Y$2&amp;if($K69="S1","a",if($K69="S2","b","")),Students!$A:$A,AS$2)+countifs(Students!$L:$L,$Y69,Students!$M:$M,$Y$2&amp;if($K69="S1","a",if($K69="S2","b","")),Students!$A:$A,AS$2)+countifs(Students!$N:$N,$Y69,Students!$O:$O,$Y$2&amp;if($K69="S1","a",if($K69="S2","b","")),Students!$A:$A,AS$2)+countifs(Students!$P:$P,$Y69,Students!$Q:$Q,$Y$2&amp;if($K69="S1","a",if($K69="S2","b","")),Students!$A:$A,AS$2)+countifs(Students!$R:$R,$Y69,Students!$S:$S,$Y$2&amp;if($K69="S1","a",if($K69="S2","b","")),Students!$A:$A,AS$2)+countifs(Students!$T:$T,$Y69,Students!$U:$U,$Y$2&amp;if($K69="S1","a",if($K69="S2","b","")),Students!$A:$A,AS$2)+countifs(Students!$V:$V,$Y69,Students!$W:$W,$Y$2&amp;if($K69="S1","a",if($K69="S2","b","")),Students!$A:$A,AS$2)+
countifs(Students!$D:$D,$AB69,Students!$E:$E,$AB$2&amp;if($K69="S1","a",if($K69="S2","b","")),Students!$A:$A,AS$2)+countifs(Students!$F:$F,$AB69,Students!$G:$G,$AB$2&amp;if($K69="S1","a",if($K69="S2","b","")),Students!$A:$A,AS$2)+countifs(Students!$H:$H,$AB69,Students!$I:$I,$AB$2&amp;if($K69="S1","a",if($K69="S2","b","")),Students!$A:$A,AS$2)+countifs(Students!$J:$J,$AB69,Students!$K:$K,$AB$2&amp;if($K69="S1","a",if($K69="S2","b","")),Students!$A:$A,AS$2)+countifs(Students!$L:$L,$AB69,Students!$M:$M,$AB$2&amp;if($K69="S1","a",if($K69="S2","b","")),Students!$A:$A,AS$2)+countifs(Students!$N:$N,$AB69,Students!$O:$O,$AB$2&amp;if($K69="S1","a",if($K69="S2","b","")),Students!$A:$A,AS$2)+countifs(Students!$P:$P,$AB69,Students!$Q:$Q,$AB$2&amp;if($K69="S1","a",if($K69="S2","b","")),Students!$A:$A,AS$2)+countifs(Students!$R:$R,$AB69,Students!$S:$S,$AB$2&amp;if($K69="S1","a",if($K69="S2","b","")),Students!$A:$A,AS$2)+countifs(Students!$T:$T,$AB69,Students!$U:$U,$AB$2&amp;if($K69="S1","a",if($K69="S2","b","")),Students!$A:$A,AS$2)+countifs(Students!$V:$V,$AB69,Students!$W:$W,$AB$2&amp;if($K69="S1","a",if($K69="S2","b","")),Students!$A:$A,AS$2)+
countifs(Students!$D:$D,$AE69,Students!$E:$E,$AE$2&amp;if($K69="S1","a",if($K69="S2","b","")),Students!$A:$A,AS$2)+countifs(Students!$F:$F,$AE69,Students!$G:$G,$AE$2&amp;if($K69="S1","a",if($K69="S2","b","")),Students!$A:$A,AS$2)+countifs(Students!$H:$H,$AE69,Students!$I:$I,$AE$2&amp;if($K69="S1","a",if($K69="S2","b","")),Students!$A:$A,AS$2)+countifs(Students!$J:$J,$AE69,Students!$K:$K,$AE$2&amp;if($K69="S1","a",if($K69="S2","b","")),Students!$A:$A,AS$2)+countifs(Students!$L:$L,$AE69,Students!$M:$M,$AE$2&amp;if($K69="S1","a",if($K69="S2","b","")),Students!$A:$A,AS$2)+countifs(Students!$N:$N,$AE69,Students!$O:$O,$AE$2&amp;if($K69="S1","a",if($K69="S2","b","")),Students!$A:$A,AS$2)+countifs(Students!$P:$P,$AE69,Students!$Q:$Q,$AE$2&amp;if($K69="S1","a",if($K69="S2","b","")),Students!$A:$A,AS$2)+countifs(Students!$R:$R,$AE69,Students!$S:$S,$AE$2&amp;if($K69="S1","a",if($K69="S2","b","")),Students!$A:$A,AS$2)+countifs(Students!$T:$T,$AE69,Students!$U:$U,$AE$2&amp;if($K69="S1","a",if($K69="S2","b","")),Students!$A:$A,AS$2)+countifs(Students!$V:$V,$AE69,Students!$W:$W,$AE$2&amp;if($K69="S1","a",if($K69="S2","b","")),Students!$A:$A,AS$2)+
countifs(Students!$D:$D,$AH69,Students!$E:$E,$AH$2&amp;if($K69="S1","a",if($K69="S2","b","")),Students!$A:$A,AS$2)+countifs(Students!$F:$F,$AH69,Students!$G:$G,$AH$2&amp;if($K69="S1","a",if($K69="S2","b","")),Students!$A:$A,AS$2)+countifs(Students!$H:$H,$AH69,Students!$I:$I,$AH$2&amp;if($K69="S1","a",if($K69="S2","b","")),Students!$A:$A,AS$2)+countifs(Students!$J:$J,$AH69,Students!$K:$K,$AH$2&amp;if($K69="S1","a",if($K69="S2","b","")),Students!$A:$A,AS$2)+countifs(Students!$L:$L,$AH69,Students!$M:$M,$AH$2&amp;if($K69="S1","a",if($K69="S2","b","")),Students!$A:$A,AS$2)+countifs(Students!$N:$N,$AH69,Students!$O:$O,$AH$2&amp;if($K69="S1","a",if($K69="S2","b","")),Students!$A:$A,AS$2)+countifs(Students!$P:$P,$AH69,Students!$Q:$Q,$AH$2&amp;if($K69="S1","a",if($K69="S2","b","")),Students!$A:$A,AS$2)+countifs(Students!$R:$R,$AH69,Students!$S:$S,$AH$2&amp;if($K69="S1","a",if($K69="S2","b","")),Students!$A:$A,AS$2)+countifs(Students!$T:$T,$AH69,Students!$U:$U,$AH$2&amp;if($K69="S1","a",if($K69="S2","b","")),Students!$A:$A,AS$2)+countifs(Students!$V:$V,$AH69,Students!$W:$W,$AH$2&amp;if($K69="S1","a",if($K69="S2","b","")),Students!$A:$A,AS$2)+
countifs(Students!$D:$D,$AK69,Students!$E:$E,$AK$2&amp;if($K69="S1","a",if($K69="S2","b","")),Students!$A:$A,AS$2)+countifs(Students!$F:$F,$AK69,Students!$G:$G,$AK$2&amp;if($K69="S1","a",if($K69="S2","b","")),Students!$A:$A,AS$2)+countifs(Students!$H:$H,$AK69,Students!$I:$I,$AK$2&amp;if($K69="S1","a",if($K69="S2","b","")),Students!$A:$A,AS$2)+countifs(Students!$J:$J,$AK69,Students!$K:$K,$AK$2&amp;if($K69="S1","a",if($K69="S2","b","")),Students!$A:$A,AS$2)+countifs(Students!$L:$L,$AK69,Students!$M:$M,$AK$2&amp;if($K69="S1","a",if($K69="S2","b","")),Students!$A:$A,AS$2)+countifs(Students!$N:$N,$AK69,Students!$O:$O,$AK$2&amp;if($K69="S1","a",if($K69="S2","b","")),Students!$A:$A,AS$2)+countifs(Students!$P:$P,$AK69,Students!$Q:$Q,$AK$2&amp;if($K69="S1","a",if($K69="S2","b","")),Students!$A:$A,AS$2)+countifs(Students!$R:$R,$AK69,Students!$S:$S,$AK$2&amp;if($K69="S1","a",if($K69="S2","b","")),Students!$A:$A,AS$2)+countifs(Students!$T:$T,$AK69,Students!$U:$U,$AK$2&amp;if($K69="S1","a",if($K69="S2","b","")),Students!$A:$A,AS$2)+countifs(Students!$V:$V,$AK69,Students!$W:$W,$AK$2&amp;if($K69="S1","a",if($K69="S2","b","")),Students!$A:$A,AS$2))</f>
        <v/>
      </c>
    </row>
    <row r="70">
      <c r="J70" s="139" t="s">
        <v>22</v>
      </c>
      <c r="K70" s="70"/>
      <c r="L70" s="47"/>
      <c r="M70" s="140"/>
      <c r="N70" s="139" t="s">
        <v>22</v>
      </c>
      <c r="O70" s="139"/>
      <c r="P70" s="140"/>
      <c r="Q70" s="140"/>
      <c r="R70" s="51" t="s">
        <v>22</v>
      </c>
      <c r="S70" s="140"/>
      <c r="T70" s="140"/>
      <c r="U70" s="51" t="s">
        <v>22</v>
      </c>
      <c r="V70" s="140"/>
      <c r="W70" s="140"/>
      <c r="X70" s="51" t="s">
        <v>22</v>
      </c>
      <c r="Y70" s="140"/>
      <c r="Z70" s="140"/>
      <c r="AA70" s="51" t="s">
        <v>22</v>
      </c>
      <c r="AB70" s="140"/>
      <c r="AC70" s="140"/>
      <c r="AD70" s="51" t="s">
        <v>22</v>
      </c>
      <c r="AE70" s="140"/>
      <c r="AF70" s="140"/>
      <c r="AG70" s="51" t="s">
        <v>22</v>
      </c>
      <c r="AH70" s="140"/>
      <c r="AI70" s="141"/>
      <c r="AJ70" s="51" t="s">
        <v>22</v>
      </c>
      <c r="AK70" s="140"/>
      <c r="AL70" s="141"/>
      <c r="AM70" s="51" t="s">
        <v>22</v>
      </c>
      <c r="AN70" s="52"/>
      <c r="AO70" s="52" t="str">
        <f t="shared" si="2"/>
        <v/>
      </c>
      <c r="AP70" s="51" t="str">
        <f>if($L70="","",countifs(Students!$D:$D,$P70,Students!$E:$E,$P$2&amp;if($K70="S1","a",if($K70="S2","b","")),Students!$A:$A,AP$2)+countifs(Students!$F:$F,$P70,Students!$G:$G,$P$2&amp;if($K70="S1","a",if($K70="S2","b","")),Students!$A:$A,AP$2)+countifs(Students!$H:$H,$P70,Students!$I:$I,$P$2&amp;if($K70="S1","a",if($K70="S2","b","")),Students!$A:$A,AP$2)+countifs(Students!$J:$J,$P70,Students!$K:$K,$P$2&amp;if($K70="S1","a",if($K70="S2","b","")),Students!$A:$A,AP$2)+countifs(Students!$L:$L,$P70,Students!$M:$M,$P$2&amp;if($K70="S1","a",if($K70="S2","b","")),Students!$A:$A,AP$2)+countifs(Students!$N:$N,$P70,Students!$O:$O,$P$2&amp;if($K70="S1","a",if($K70="S2","b","")),Students!$A:$A,AP$2)+countifs(Students!$P:$P,$P70,Students!$Q:$Q,$P$2&amp;if($K70="S1","a",if($K70="S2","b","")),Students!$A:$A,AP$2)+countifs(Students!$R:$R,$P70,Students!$S:$S,$P$2&amp;if($K70="S1","a",if($K70="S2","b","")),Students!$A:$A,AP$2)+countifs(Students!$T:$T,$P70,Students!$U:$U,$P$2&amp;if($K70="S1","a",if($K70="S2","b","")),Students!$A:$A,AP$2)+countifs(Students!$V:$V,$P70,Students!$W:$W,$P$2&amp;if($K70="S1","a",if($K70="S2","b","")),Students!$A:$A,AP$2)+
countifs(Students!$D:$D,$S70,Students!$E:$E,$S$2&amp;if($K70="S1","a",if($K70="S2","b","")),Students!$A:$A,AP$2)+countifs(Students!$F:$F,$S70,Students!$G:$G,$S$2&amp;if($K70="S1","a",if($K70="S2","b","")),Students!$A:$A,AP$2)+countifs(Students!$H:$H,$S70,Students!$I:$I,$S$2&amp;if($K70="S1","a",if($K70="S2","b","")),Students!$A:$A,AP$2)+countifs(Students!$J:$J,$S70,Students!$K:$K,$S$2&amp;if($K70="S1","a",if($K70="S2","b","")),Students!$A:$A,AP$2)+countifs(Students!$L:$L,$S70,Students!$M:$M,$S$2&amp;if($K70="S1","a",if($K70="S2","b","")),Students!$A:$A,AP$2)+countifs(Students!$N:$N,$S70,Students!$O:$O,$S$2&amp;if($K70="S1","a",if($K70="S2","b","")),Students!$A:$A,AP$2)+countifs(Students!$P:$P,$S70,Students!$Q:$Q,$S$2&amp;if($K70="S1","a",if($K70="S2","b","")),Students!$A:$A,AP$2)+countifs(Students!$R:$R,$S70,Students!$S:$S,$S$2&amp;if($K70="S1","a",if($K70="S2","b","")),Students!$A:$A,AP$2)+countifs(Students!$T:$T,$S70,Students!$U:$U,$S$2&amp;if($K70="S1","a",if($K70="S2","b","")),Students!$A:$A,AP$2)+countifs(Students!$V:$V,$S70,Students!$W:$W,$S$2&amp;if($K70="S1","a",if($K70="S2","b","")),Students!$A:$A,AP$2)+
countifs(Students!$D:$D,$V70,Students!$E:$E,$V$2&amp;if($K70="S1","a",if($K70="S2","b","")),Students!$A:$A,AP$2)+countifs(Students!$F:$F,$V70,Students!$G:$G,$V$2&amp;if($K70="S1","a",if($K70="S2","b","")),Students!$A:$A,AP$2)+countifs(Students!$H:$H,$V70,Students!$I:$I,$V$2&amp;if($K70="S1","a",if($K70="S2","b","")),Students!$A:$A,AP$2)+countifs(Students!$J:$J,$V70,Students!$K:$K,$V$2&amp;if($K70="S1","a",if($K70="S2","b","")),Students!$A:$A,AP$2)+countifs(Students!$L:$L,$V70,Students!$M:$M,$V$2&amp;if($K70="S1","a",if($K70="S2","b","")),Students!$A:$A,AP$2)+countifs(Students!$N:$N,$V70,Students!$O:$O,$V$2&amp;if($K70="S1","a",if($K70="S2","b","")),Students!$A:$A,AP$2)+countifs(Students!$P:$P,$V70,Students!$Q:$Q,$V$2&amp;if($K70="S1","a",if($K70="S2","b","")),Students!$A:$A,AP$2)+countifs(Students!$R:$R,$V70,Students!$S:$S,$V$2&amp;if($K70="S1","a",if($K70="S2","b","")),Students!$A:$A,AP$2)+countifs(Students!$T:$T,$V70,Students!$U:$U,$V$2&amp;if($K70="S1","a",if($K70="S2","b","")),Students!$A:$A,AP$2)+countifs(Students!$V:$V,$V70,Students!$W:$W,$V$2&amp;if($K70="S1","a",if($K70="S2","b","")),Students!$A:$A,AP$2)+
countifs(Students!$D:$D,$Y70,Students!$E:$E,$Y$2&amp;if($K70="S1","a",if($K70="S2","b","")),Students!$A:$A,AP$2)+countifs(Students!$F:$F,$Y70,Students!$G:$G,$Y$2&amp;if($K70="S1","a",if($K70="S2","b","")),Students!$A:$A,AP$2)+countifs(Students!$H:$H,$Y70,Students!$I:$I,$Y$2&amp;if($K70="S1","a",if($K70="S2","b","")),Students!$A:$A,AP$2)+countifs(Students!$J:$J,$Y70,Students!$K:$K,$Y$2&amp;if($K70="S1","a",if($K70="S2","b","")),Students!$A:$A,AP$2)+countifs(Students!$L:$L,$Y70,Students!$M:$M,$Y$2&amp;if($K70="S1","a",if($K70="S2","b","")),Students!$A:$A,AP$2)+countifs(Students!$N:$N,$Y70,Students!$O:$O,$Y$2&amp;if($K70="S1","a",if($K70="S2","b","")),Students!$A:$A,AP$2)+countifs(Students!$P:$P,$Y70,Students!$Q:$Q,$Y$2&amp;if($K70="S1","a",if($K70="S2","b","")),Students!$A:$A,AP$2)+countifs(Students!$R:$R,$Y70,Students!$S:$S,$Y$2&amp;if($K70="S1","a",if($K70="S2","b","")),Students!$A:$A,AP$2)+countifs(Students!$T:$T,$Y70,Students!$U:$U,$Y$2&amp;if($K70="S1","a",if($K70="S2","b","")),Students!$A:$A,AP$2)+countifs(Students!$V:$V,$Y70,Students!$W:$W,$Y$2&amp;if($K70="S1","a",if($K70="S2","b","")),Students!$A:$A,AP$2)+
countifs(Students!$D:$D,$AB70,Students!$E:$E,$AB$2&amp;if($K70="S1","a",if($K70="S2","b","")),Students!$A:$A,AP$2)+countifs(Students!$F:$F,$AB70,Students!$G:$G,$AB$2&amp;if($K70="S1","a",if($K70="S2","b","")),Students!$A:$A,AP$2)+countifs(Students!$H:$H,$AB70,Students!$I:$I,$AB$2&amp;if($K70="S1","a",if($K70="S2","b","")),Students!$A:$A,AP$2)+countifs(Students!$J:$J,$AB70,Students!$K:$K,$AB$2&amp;if($K70="S1","a",if($K70="S2","b","")),Students!$A:$A,AP$2)+countifs(Students!$L:$L,$AB70,Students!$M:$M,$AB$2&amp;if($K70="S1","a",if($K70="S2","b","")),Students!$A:$A,AP$2)+countifs(Students!$N:$N,$AB70,Students!$O:$O,$AB$2&amp;if($K70="S1","a",if($K70="S2","b","")),Students!$A:$A,AP$2)+countifs(Students!$P:$P,$AB70,Students!$Q:$Q,$AB$2&amp;if($K70="S1","a",if($K70="S2","b","")),Students!$A:$A,AP$2)+countifs(Students!$R:$R,$AB70,Students!$S:$S,$AB$2&amp;if($K70="S1","a",if($K70="S2","b","")),Students!$A:$A,AP$2)+countifs(Students!$T:$T,$AB70,Students!$U:$U,$AB$2&amp;if($K70="S1","a",if($K70="S2","b","")),Students!$A:$A,AP$2)+countifs(Students!$V:$V,$AB70,Students!$W:$W,$AB$2&amp;if($K70="S1","a",if($K70="S2","b","")),Students!$A:$A,AP$2)+
countifs(Students!$D:$D,$AE70,Students!$E:$E,$AE$2&amp;if($K70="S1","a",if($K70="S2","b","")),Students!$A:$A,AP$2)+countifs(Students!$F:$F,$AE70,Students!$G:$G,$AE$2&amp;if($K70="S1","a",if($K70="S2","b","")),Students!$A:$A,AP$2)+countifs(Students!$H:$H,$AE70,Students!$I:$I,$AE$2&amp;if($K70="S1","a",if($K70="S2","b","")),Students!$A:$A,AP$2)+countifs(Students!$J:$J,$AE70,Students!$K:$K,$AE$2&amp;if($K70="S1","a",if($K70="S2","b","")),Students!$A:$A,AP$2)+countifs(Students!$L:$L,$AE70,Students!$M:$M,$AE$2&amp;if($K70="S1","a",if($K70="S2","b","")),Students!$A:$A,AP$2)+countifs(Students!$N:$N,$AE70,Students!$O:$O,$AE$2&amp;if($K70="S1","a",if($K70="S2","b","")),Students!$A:$A,AP$2)+countifs(Students!$P:$P,$AE70,Students!$Q:$Q,$AE$2&amp;if($K70="S1","a",if($K70="S2","b","")),Students!$A:$A,AP$2)+countifs(Students!$R:$R,$AE70,Students!$S:$S,$AE$2&amp;if($K70="S1","a",if($K70="S2","b","")),Students!$A:$A,AP$2)+countifs(Students!$T:$T,$AE70,Students!$U:$U,$AE$2&amp;if($K70="S1","a",if($K70="S2","b","")),Students!$A:$A,AP$2)+countifs(Students!$V:$V,$AE70,Students!$W:$W,$AE$2&amp;if($K70="S1","a",if($K70="S2","b","")),Students!$A:$A,AP$2)+
countifs(Students!$D:$D,$AH70,Students!$E:$E,$AH$2&amp;if($K70="S1","a",if($K70="S2","b","")),Students!$A:$A,AP$2)+countifs(Students!$F:$F,$AH70,Students!$G:$G,$AH$2&amp;if($K70="S1","a",if($K70="S2","b","")),Students!$A:$A,AP$2)+countifs(Students!$H:$H,$AH70,Students!$I:$I,$AH$2&amp;if($K70="S1","a",if($K70="S2","b","")),Students!$A:$A,AP$2)+countifs(Students!$J:$J,$AH70,Students!$K:$K,$AH$2&amp;if($K70="S1","a",if($K70="S2","b","")),Students!$A:$A,AP$2)+countifs(Students!$L:$L,$AH70,Students!$M:$M,$AH$2&amp;if($K70="S1","a",if($K70="S2","b","")),Students!$A:$A,AP$2)+countifs(Students!$N:$N,$AH70,Students!$O:$O,$AH$2&amp;if($K70="S1","a",if($K70="S2","b","")),Students!$A:$A,AP$2)+countifs(Students!$P:$P,$AH70,Students!$Q:$Q,$AH$2&amp;if($K70="S1","a",if($K70="S2","b","")),Students!$A:$A,AP$2)+countifs(Students!$R:$R,$AH70,Students!$S:$S,$AH$2&amp;if($K70="S1","a",if($K70="S2","b","")),Students!$A:$A,AP$2)+countifs(Students!$T:$T,$AH70,Students!$U:$U,$AH$2&amp;if($K70="S1","a",if($K70="S2","b","")),Students!$A:$A,AP$2)+countifs(Students!$V:$V,$AH70,Students!$W:$W,$AH$2&amp;if($K70="S1","a",if($K70="S2","b","")),Students!$A:$A,AP$2)+
countifs(Students!$D:$D,$AK70,Students!$E:$E,$AK$2&amp;if($K70="S1","a",if($K70="S2","b","")),Students!$A:$A,AP$2)+countifs(Students!$F:$F,$AK70,Students!$G:$G,$AK$2&amp;if($K70="S1","a",if($K70="S2","b","")),Students!$A:$A,AP$2)+countifs(Students!$H:$H,$AK70,Students!$I:$I,$AK$2&amp;if($K70="S1","a",if($K70="S2","b","")),Students!$A:$A,AP$2)+countifs(Students!$J:$J,$AK70,Students!$K:$K,$AK$2&amp;if($K70="S1","a",if($K70="S2","b","")),Students!$A:$A,AP$2)+countifs(Students!$L:$L,$AK70,Students!$M:$M,$AK$2&amp;if($K70="S1","a",if($K70="S2","b","")),Students!$A:$A,AP$2)+countifs(Students!$N:$N,$AK70,Students!$O:$O,$AK$2&amp;if($K70="S1","a",if($K70="S2","b","")),Students!$A:$A,AP$2)+countifs(Students!$P:$P,$AK70,Students!$Q:$Q,$AK$2&amp;if($K70="S1","a",if($K70="S2","b","")),Students!$A:$A,AP$2)+countifs(Students!$R:$R,$AK70,Students!$S:$S,$AK$2&amp;if($K70="S1","a",if($K70="S2","b","")),Students!$A:$A,AP$2)+countifs(Students!$T:$T,$AK70,Students!$U:$U,$AK$2&amp;if($K70="S1","a",if($K70="S2","b","")),Students!$A:$A,AP$2)+countifs(Students!$V:$V,$AK70,Students!$W:$W,$AK$2&amp;if($K70="S1","a",if($K70="S2","b","")),Students!$A:$A,AP$2))</f>
        <v/>
      </c>
      <c r="AQ70" s="51" t="str">
        <f>if($L70="","",countifs(Students!$D:$D,$P70,Students!$E:$E,$P$2&amp;if($K70="S1","a",if($K70="S2","b","")),Students!$A:$A,AQ$2)+countifs(Students!$F:$F,$P70,Students!$G:$G,$P$2&amp;if($K70="S1","a",if($K70="S2","b","")),Students!$A:$A,AQ$2)+countifs(Students!$H:$H,$P70,Students!$I:$I,$P$2&amp;if($K70="S1","a",if($K70="S2","b","")),Students!$A:$A,AQ$2)+countifs(Students!$J:$J,$P70,Students!$K:$K,$P$2&amp;if($K70="S1","a",if($K70="S2","b","")),Students!$A:$A,AQ$2)+countifs(Students!$L:$L,$P70,Students!$M:$M,$P$2&amp;if($K70="S1","a",if($K70="S2","b","")),Students!$A:$A,AQ$2)+countifs(Students!$N:$N,$P70,Students!$O:$O,$P$2&amp;if($K70="S1","a",if($K70="S2","b","")),Students!$A:$A,AQ$2)+countifs(Students!$P:$P,$P70,Students!$Q:$Q,$P$2&amp;if($K70="S1","a",if($K70="S2","b","")),Students!$A:$A,AQ$2)+countifs(Students!$R:$R,$P70,Students!$S:$S,$P$2&amp;if($K70="S1","a",if($K70="S2","b","")),Students!$A:$A,AQ$2)+countifs(Students!$T:$T,$P70,Students!$U:$U,$P$2&amp;if($K70="S1","a",if($K70="S2","b","")),Students!$A:$A,AQ$2)+countifs(Students!$V:$V,$P70,Students!$W:$W,$P$2&amp;if($K70="S1","a",if($K70="S2","b","")),Students!$A:$A,AQ$2)+
countifs(Students!$D:$D,$S70,Students!$E:$E,$S$2&amp;if($K70="S1","a",if($K70="S2","b","")),Students!$A:$A,AQ$2)+countifs(Students!$F:$F,$S70,Students!$G:$G,$S$2&amp;if($K70="S1","a",if($K70="S2","b","")),Students!$A:$A,AQ$2)+countifs(Students!$H:$H,$S70,Students!$I:$I,$S$2&amp;if($K70="S1","a",if($K70="S2","b","")),Students!$A:$A,AQ$2)+countifs(Students!$J:$J,$S70,Students!$K:$K,$S$2&amp;if($K70="S1","a",if($K70="S2","b","")),Students!$A:$A,AQ$2)+countifs(Students!$L:$L,$S70,Students!$M:$M,$S$2&amp;if($K70="S1","a",if($K70="S2","b","")),Students!$A:$A,AQ$2)+countifs(Students!$N:$N,$S70,Students!$O:$O,$S$2&amp;if($K70="S1","a",if($K70="S2","b","")),Students!$A:$A,AQ$2)+countifs(Students!$P:$P,$S70,Students!$Q:$Q,$S$2&amp;if($K70="S1","a",if($K70="S2","b","")),Students!$A:$A,AQ$2)+countifs(Students!$R:$R,$S70,Students!$S:$S,$S$2&amp;if($K70="S1","a",if($K70="S2","b","")),Students!$A:$A,AQ$2)+countifs(Students!$T:$T,$S70,Students!$U:$U,$S$2&amp;if($K70="S1","a",if($K70="S2","b","")),Students!$A:$A,AQ$2)+countifs(Students!$V:$V,$S70,Students!$W:$W,$S$2&amp;if($K70="S1","a",if($K70="S2","b","")),Students!$A:$A,AQ$2)+
countifs(Students!$D:$D,$V70,Students!$E:$E,$V$2&amp;if($K70="S1","a",if($K70="S2","b","")),Students!$A:$A,AQ$2)+countifs(Students!$F:$F,$V70,Students!$G:$G,$V$2&amp;if($K70="S1","a",if($K70="S2","b","")),Students!$A:$A,AQ$2)+countifs(Students!$H:$H,$V70,Students!$I:$I,$V$2&amp;if($K70="S1","a",if($K70="S2","b","")),Students!$A:$A,AQ$2)+countifs(Students!$J:$J,$V70,Students!$K:$K,$V$2&amp;if($K70="S1","a",if($K70="S2","b","")),Students!$A:$A,AQ$2)+countifs(Students!$L:$L,$V70,Students!$M:$M,$V$2&amp;if($K70="S1","a",if($K70="S2","b","")),Students!$A:$A,AQ$2)+countifs(Students!$N:$N,$V70,Students!$O:$O,$V$2&amp;if($K70="S1","a",if($K70="S2","b","")),Students!$A:$A,AQ$2)+countifs(Students!$P:$P,$V70,Students!$Q:$Q,$V$2&amp;if($K70="S1","a",if($K70="S2","b","")),Students!$A:$A,AQ$2)+countifs(Students!$R:$R,$V70,Students!$S:$S,$V$2&amp;if($K70="S1","a",if($K70="S2","b","")),Students!$A:$A,AQ$2)+countifs(Students!$T:$T,$V70,Students!$U:$U,$V$2&amp;if($K70="S1","a",if($K70="S2","b","")),Students!$A:$A,AQ$2)+countifs(Students!$V:$V,$V70,Students!$W:$W,$V$2&amp;if($K70="S1","a",if($K70="S2","b","")),Students!$A:$A,AQ$2)+
countifs(Students!$D:$D,$Y70,Students!$E:$E,$Y$2&amp;if($K70="S1","a",if($K70="S2","b","")),Students!$A:$A,AQ$2)+countifs(Students!$F:$F,$Y70,Students!$G:$G,$Y$2&amp;if($K70="S1","a",if($K70="S2","b","")),Students!$A:$A,AQ$2)+countifs(Students!$H:$H,$Y70,Students!$I:$I,$Y$2&amp;if($K70="S1","a",if($K70="S2","b","")),Students!$A:$A,AQ$2)+countifs(Students!$J:$J,$Y70,Students!$K:$K,$Y$2&amp;if($K70="S1","a",if($K70="S2","b","")),Students!$A:$A,AQ$2)+countifs(Students!$L:$L,$Y70,Students!$M:$M,$Y$2&amp;if($K70="S1","a",if($K70="S2","b","")),Students!$A:$A,AQ$2)+countifs(Students!$N:$N,$Y70,Students!$O:$O,$Y$2&amp;if($K70="S1","a",if($K70="S2","b","")),Students!$A:$A,AQ$2)+countifs(Students!$P:$P,$Y70,Students!$Q:$Q,$Y$2&amp;if($K70="S1","a",if($K70="S2","b","")),Students!$A:$A,AQ$2)+countifs(Students!$R:$R,$Y70,Students!$S:$S,$Y$2&amp;if($K70="S1","a",if($K70="S2","b","")),Students!$A:$A,AQ$2)+countifs(Students!$T:$T,$Y70,Students!$U:$U,$Y$2&amp;if($K70="S1","a",if($K70="S2","b","")),Students!$A:$A,AQ$2)+countifs(Students!$V:$V,$Y70,Students!$W:$W,$Y$2&amp;if($K70="S1","a",if($K70="S2","b","")),Students!$A:$A,AQ$2)+
countifs(Students!$D:$D,$AB70,Students!$E:$E,$AB$2&amp;if($K70="S1","a",if($K70="S2","b","")),Students!$A:$A,AQ$2)+countifs(Students!$F:$F,$AB70,Students!$G:$G,$AB$2&amp;if($K70="S1","a",if($K70="S2","b","")),Students!$A:$A,AQ$2)+countifs(Students!$H:$H,$AB70,Students!$I:$I,$AB$2&amp;if($K70="S1","a",if($K70="S2","b","")),Students!$A:$A,AQ$2)+countifs(Students!$J:$J,$AB70,Students!$K:$K,$AB$2&amp;if($K70="S1","a",if($K70="S2","b","")),Students!$A:$A,AQ$2)+countifs(Students!$L:$L,$AB70,Students!$M:$M,$AB$2&amp;if($K70="S1","a",if($K70="S2","b","")),Students!$A:$A,AQ$2)+countifs(Students!$N:$N,$AB70,Students!$O:$O,$AB$2&amp;if($K70="S1","a",if($K70="S2","b","")),Students!$A:$A,AQ$2)+countifs(Students!$P:$P,$AB70,Students!$Q:$Q,$AB$2&amp;if($K70="S1","a",if($K70="S2","b","")),Students!$A:$A,AQ$2)+countifs(Students!$R:$R,$AB70,Students!$S:$S,$AB$2&amp;if($K70="S1","a",if($K70="S2","b","")),Students!$A:$A,AQ$2)+countifs(Students!$T:$T,$AB70,Students!$U:$U,$AB$2&amp;if($K70="S1","a",if($K70="S2","b","")),Students!$A:$A,AQ$2)+countifs(Students!$V:$V,$AB70,Students!$W:$W,$AB$2&amp;if($K70="S1","a",if($K70="S2","b","")),Students!$A:$A,AQ$2)+
countifs(Students!$D:$D,$AE70,Students!$E:$E,$AE$2&amp;if($K70="S1","a",if($K70="S2","b","")),Students!$A:$A,AQ$2)+countifs(Students!$F:$F,$AE70,Students!$G:$G,$AE$2&amp;if($K70="S1","a",if($K70="S2","b","")),Students!$A:$A,AQ$2)+countifs(Students!$H:$H,$AE70,Students!$I:$I,$AE$2&amp;if($K70="S1","a",if($K70="S2","b","")),Students!$A:$A,AQ$2)+countifs(Students!$J:$J,$AE70,Students!$K:$K,$AE$2&amp;if($K70="S1","a",if($K70="S2","b","")),Students!$A:$A,AQ$2)+countifs(Students!$L:$L,$AE70,Students!$M:$M,$AE$2&amp;if($K70="S1","a",if($K70="S2","b","")),Students!$A:$A,AQ$2)+countifs(Students!$N:$N,$AE70,Students!$O:$O,$AE$2&amp;if($K70="S1","a",if($K70="S2","b","")),Students!$A:$A,AQ$2)+countifs(Students!$P:$P,$AE70,Students!$Q:$Q,$AE$2&amp;if($K70="S1","a",if($K70="S2","b","")),Students!$A:$A,AQ$2)+countifs(Students!$R:$R,$AE70,Students!$S:$S,$AE$2&amp;if($K70="S1","a",if($K70="S2","b","")),Students!$A:$A,AQ$2)+countifs(Students!$T:$T,$AE70,Students!$U:$U,$AE$2&amp;if($K70="S1","a",if($K70="S2","b","")),Students!$A:$A,AQ$2)+countifs(Students!$V:$V,$AE70,Students!$W:$W,$AE$2&amp;if($K70="S1","a",if($K70="S2","b","")),Students!$A:$A,AQ$2)+
countifs(Students!$D:$D,$AH70,Students!$E:$E,$AH$2&amp;if($K70="S1","a",if($K70="S2","b","")),Students!$A:$A,AQ$2)+countifs(Students!$F:$F,$AH70,Students!$G:$G,$AH$2&amp;if($K70="S1","a",if($K70="S2","b","")),Students!$A:$A,AQ$2)+countifs(Students!$H:$H,$AH70,Students!$I:$I,$AH$2&amp;if($K70="S1","a",if($K70="S2","b","")),Students!$A:$A,AQ$2)+countifs(Students!$J:$J,$AH70,Students!$K:$K,$AH$2&amp;if($K70="S1","a",if($K70="S2","b","")),Students!$A:$A,AQ$2)+countifs(Students!$L:$L,$AH70,Students!$M:$M,$AH$2&amp;if($K70="S1","a",if($K70="S2","b","")),Students!$A:$A,AQ$2)+countifs(Students!$N:$N,$AH70,Students!$O:$O,$AH$2&amp;if($K70="S1","a",if($K70="S2","b","")),Students!$A:$A,AQ$2)+countifs(Students!$P:$P,$AH70,Students!$Q:$Q,$AH$2&amp;if($K70="S1","a",if($K70="S2","b","")),Students!$A:$A,AQ$2)+countifs(Students!$R:$R,$AH70,Students!$S:$S,$AH$2&amp;if($K70="S1","a",if($K70="S2","b","")),Students!$A:$A,AQ$2)+countifs(Students!$T:$T,$AH70,Students!$U:$U,$AH$2&amp;if($K70="S1","a",if($K70="S2","b","")),Students!$A:$A,AQ$2)+countifs(Students!$V:$V,$AH70,Students!$W:$W,$AH$2&amp;if($K70="S1","a",if($K70="S2","b","")),Students!$A:$A,AQ$2)+
countifs(Students!$D:$D,$AK70,Students!$E:$E,$AK$2&amp;if($K70="S1","a",if($K70="S2","b","")),Students!$A:$A,AQ$2)+countifs(Students!$F:$F,$AK70,Students!$G:$G,$AK$2&amp;if($K70="S1","a",if($K70="S2","b","")),Students!$A:$A,AQ$2)+countifs(Students!$H:$H,$AK70,Students!$I:$I,$AK$2&amp;if($K70="S1","a",if($K70="S2","b","")),Students!$A:$A,AQ$2)+countifs(Students!$J:$J,$AK70,Students!$K:$K,$AK$2&amp;if($K70="S1","a",if($K70="S2","b","")),Students!$A:$A,AQ$2)+countifs(Students!$L:$L,$AK70,Students!$M:$M,$AK$2&amp;if($K70="S1","a",if($K70="S2","b","")),Students!$A:$A,AQ$2)+countifs(Students!$N:$N,$AK70,Students!$O:$O,$AK$2&amp;if($K70="S1","a",if($K70="S2","b","")),Students!$A:$A,AQ$2)+countifs(Students!$P:$P,$AK70,Students!$Q:$Q,$AK$2&amp;if($K70="S1","a",if($K70="S2","b","")),Students!$A:$A,AQ$2)+countifs(Students!$R:$R,$AK70,Students!$S:$S,$AK$2&amp;if($K70="S1","a",if($K70="S2","b","")),Students!$A:$A,AQ$2)+countifs(Students!$T:$T,$AK70,Students!$U:$U,$AK$2&amp;if($K70="S1","a",if($K70="S2","b","")),Students!$A:$A,AQ$2)+countifs(Students!$V:$V,$AK70,Students!$W:$W,$AK$2&amp;if($K70="S1","a",if($K70="S2","b","")),Students!$A:$A,AQ$2))</f>
        <v/>
      </c>
      <c r="AR70" s="51" t="str">
        <f>if($L70="","",countifs(Students!$D:$D,$P70,Students!$E:$E,$P$2&amp;if($K70="S1","a",if($K70="S2","b","")),Students!$A:$A,AR$2)+countifs(Students!$F:$F,$P70,Students!$G:$G,$P$2&amp;if($K70="S1","a",if($K70="S2","b","")),Students!$A:$A,AR$2)+countifs(Students!$H:$H,$P70,Students!$I:$I,$P$2&amp;if($K70="S1","a",if($K70="S2","b","")),Students!$A:$A,AR$2)+countifs(Students!$J:$J,$P70,Students!$K:$K,$P$2&amp;if($K70="S1","a",if($K70="S2","b","")),Students!$A:$A,AR$2)+countifs(Students!$L:$L,$P70,Students!$M:$M,$P$2&amp;if($K70="S1","a",if($K70="S2","b","")),Students!$A:$A,AR$2)+countifs(Students!$N:$N,$P70,Students!$O:$O,$P$2&amp;if($K70="S1","a",if($K70="S2","b","")),Students!$A:$A,AR$2)+countifs(Students!$P:$P,$P70,Students!$Q:$Q,$P$2&amp;if($K70="S1","a",if($K70="S2","b","")),Students!$A:$A,AR$2)+countifs(Students!$R:$R,$P70,Students!$S:$S,$P$2&amp;if($K70="S1","a",if($K70="S2","b","")),Students!$A:$A,AR$2)+countifs(Students!$T:$T,$P70,Students!$U:$U,$P$2&amp;if($K70="S1","a",if($K70="S2","b","")),Students!$A:$A,AR$2)+countifs(Students!$V:$V,$P70,Students!$W:$W,$P$2&amp;if($K70="S1","a",if($K70="S2","b","")),Students!$A:$A,AR$2)+
countifs(Students!$D:$D,$S70,Students!$E:$E,$S$2&amp;if($K70="S1","a",if($K70="S2","b","")),Students!$A:$A,AR$2)+countifs(Students!$F:$F,$S70,Students!$G:$G,$S$2&amp;if($K70="S1","a",if($K70="S2","b","")),Students!$A:$A,AR$2)+countifs(Students!$H:$H,$S70,Students!$I:$I,$S$2&amp;if($K70="S1","a",if($K70="S2","b","")),Students!$A:$A,AR$2)+countifs(Students!$J:$J,$S70,Students!$K:$K,$S$2&amp;if($K70="S1","a",if($K70="S2","b","")),Students!$A:$A,AR$2)+countifs(Students!$L:$L,$S70,Students!$M:$M,$S$2&amp;if($K70="S1","a",if($K70="S2","b","")),Students!$A:$A,AR$2)+countifs(Students!$N:$N,$S70,Students!$O:$O,$S$2&amp;if($K70="S1","a",if($K70="S2","b","")),Students!$A:$A,AR$2)+countifs(Students!$P:$P,$S70,Students!$Q:$Q,$S$2&amp;if($K70="S1","a",if($K70="S2","b","")),Students!$A:$A,AR$2)+countifs(Students!$R:$R,$S70,Students!$S:$S,$S$2&amp;if($K70="S1","a",if($K70="S2","b","")),Students!$A:$A,AR$2)+countifs(Students!$T:$T,$S70,Students!$U:$U,$S$2&amp;if($K70="S1","a",if($K70="S2","b","")),Students!$A:$A,AR$2)+countifs(Students!$V:$V,$S70,Students!$W:$W,$S$2&amp;if($K70="S1","a",if($K70="S2","b","")),Students!$A:$A,AR$2)+
countifs(Students!$D:$D,$V70,Students!$E:$E,$V$2&amp;if($K70="S1","a",if($K70="S2","b","")),Students!$A:$A,AR$2)+countifs(Students!$F:$F,$V70,Students!$G:$G,$V$2&amp;if($K70="S1","a",if($K70="S2","b","")),Students!$A:$A,AR$2)+countifs(Students!$H:$H,$V70,Students!$I:$I,$V$2&amp;if($K70="S1","a",if($K70="S2","b","")),Students!$A:$A,AR$2)+countifs(Students!$J:$J,$V70,Students!$K:$K,$V$2&amp;if($K70="S1","a",if($K70="S2","b","")),Students!$A:$A,AR$2)+countifs(Students!$L:$L,$V70,Students!$M:$M,$V$2&amp;if($K70="S1","a",if($K70="S2","b","")),Students!$A:$A,AR$2)+countifs(Students!$N:$N,$V70,Students!$O:$O,$V$2&amp;if($K70="S1","a",if($K70="S2","b","")),Students!$A:$A,AR$2)+countifs(Students!$P:$P,$V70,Students!$Q:$Q,$V$2&amp;if($K70="S1","a",if($K70="S2","b","")),Students!$A:$A,AR$2)+countifs(Students!$R:$R,$V70,Students!$S:$S,$V$2&amp;if($K70="S1","a",if($K70="S2","b","")),Students!$A:$A,AR$2)+countifs(Students!$T:$T,$V70,Students!$U:$U,$V$2&amp;if($K70="S1","a",if($K70="S2","b","")),Students!$A:$A,AR$2)+countifs(Students!$V:$V,$V70,Students!$W:$W,$V$2&amp;if($K70="S1","a",if($K70="S2","b","")),Students!$A:$A,AR$2)+
countifs(Students!$D:$D,$Y70,Students!$E:$E,$Y$2&amp;if($K70="S1","a",if($K70="S2","b","")),Students!$A:$A,AR$2)+countifs(Students!$F:$F,$Y70,Students!$G:$G,$Y$2&amp;if($K70="S1","a",if($K70="S2","b","")),Students!$A:$A,AR$2)+countifs(Students!$H:$H,$Y70,Students!$I:$I,$Y$2&amp;if($K70="S1","a",if($K70="S2","b","")),Students!$A:$A,AR$2)+countifs(Students!$J:$J,$Y70,Students!$K:$K,$Y$2&amp;if($K70="S1","a",if($K70="S2","b","")),Students!$A:$A,AR$2)+countifs(Students!$L:$L,$Y70,Students!$M:$M,$Y$2&amp;if($K70="S1","a",if($K70="S2","b","")),Students!$A:$A,AR$2)+countifs(Students!$N:$N,$Y70,Students!$O:$O,$Y$2&amp;if($K70="S1","a",if($K70="S2","b","")),Students!$A:$A,AR$2)+countifs(Students!$P:$P,$Y70,Students!$Q:$Q,$Y$2&amp;if($K70="S1","a",if($K70="S2","b","")),Students!$A:$A,AR$2)+countifs(Students!$R:$R,$Y70,Students!$S:$S,$Y$2&amp;if($K70="S1","a",if($K70="S2","b","")),Students!$A:$A,AR$2)+countifs(Students!$T:$T,$Y70,Students!$U:$U,$Y$2&amp;if($K70="S1","a",if($K70="S2","b","")),Students!$A:$A,AR$2)+countifs(Students!$V:$V,$Y70,Students!$W:$W,$Y$2&amp;if($K70="S1","a",if($K70="S2","b","")),Students!$A:$A,AR$2)+
countifs(Students!$D:$D,$AB70,Students!$E:$E,$AB$2&amp;if($K70="S1","a",if($K70="S2","b","")),Students!$A:$A,AR$2)+countifs(Students!$F:$F,$AB70,Students!$G:$G,$AB$2&amp;if($K70="S1","a",if($K70="S2","b","")),Students!$A:$A,AR$2)+countifs(Students!$H:$H,$AB70,Students!$I:$I,$AB$2&amp;if($K70="S1","a",if($K70="S2","b","")),Students!$A:$A,AR$2)+countifs(Students!$J:$J,$AB70,Students!$K:$K,$AB$2&amp;if($K70="S1","a",if($K70="S2","b","")),Students!$A:$A,AR$2)+countifs(Students!$L:$L,$AB70,Students!$M:$M,$AB$2&amp;if($K70="S1","a",if($K70="S2","b","")),Students!$A:$A,AR$2)+countifs(Students!$N:$N,$AB70,Students!$O:$O,$AB$2&amp;if($K70="S1","a",if($K70="S2","b","")),Students!$A:$A,AR$2)+countifs(Students!$P:$P,$AB70,Students!$Q:$Q,$AB$2&amp;if($K70="S1","a",if($K70="S2","b","")),Students!$A:$A,AR$2)+countifs(Students!$R:$R,$AB70,Students!$S:$S,$AB$2&amp;if($K70="S1","a",if($K70="S2","b","")),Students!$A:$A,AR$2)+countifs(Students!$T:$T,$AB70,Students!$U:$U,$AB$2&amp;if($K70="S1","a",if($K70="S2","b","")),Students!$A:$A,AR$2)+countifs(Students!$V:$V,$AB70,Students!$W:$W,$AB$2&amp;if($K70="S1","a",if($K70="S2","b","")),Students!$A:$A,AR$2)+
countifs(Students!$D:$D,$AE70,Students!$E:$E,$AE$2&amp;if($K70="S1","a",if($K70="S2","b","")),Students!$A:$A,AR$2)+countifs(Students!$F:$F,$AE70,Students!$G:$G,$AE$2&amp;if($K70="S1","a",if($K70="S2","b","")),Students!$A:$A,AR$2)+countifs(Students!$H:$H,$AE70,Students!$I:$I,$AE$2&amp;if($K70="S1","a",if($K70="S2","b","")),Students!$A:$A,AR$2)+countifs(Students!$J:$J,$AE70,Students!$K:$K,$AE$2&amp;if($K70="S1","a",if($K70="S2","b","")),Students!$A:$A,AR$2)+countifs(Students!$L:$L,$AE70,Students!$M:$M,$AE$2&amp;if($K70="S1","a",if($K70="S2","b","")),Students!$A:$A,AR$2)+countifs(Students!$N:$N,$AE70,Students!$O:$O,$AE$2&amp;if($K70="S1","a",if($K70="S2","b","")),Students!$A:$A,AR$2)+countifs(Students!$P:$P,$AE70,Students!$Q:$Q,$AE$2&amp;if($K70="S1","a",if($K70="S2","b","")),Students!$A:$A,AR$2)+countifs(Students!$R:$R,$AE70,Students!$S:$S,$AE$2&amp;if($K70="S1","a",if($K70="S2","b","")),Students!$A:$A,AR$2)+countifs(Students!$T:$T,$AE70,Students!$U:$U,$AE$2&amp;if($K70="S1","a",if($K70="S2","b","")),Students!$A:$A,AR$2)+countifs(Students!$V:$V,$AE70,Students!$W:$W,$AE$2&amp;if($K70="S1","a",if($K70="S2","b","")),Students!$A:$A,AR$2)+
countifs(Students!$D:$D,$AH70,Students!$E:$E,$AH$2&amp;if($K70="S1","a",if($K70="S2","b","")),Students!$A:$A,AR$2)+countifs(Students!$F:$F,$AH70,Students!$G:$G,$AH$2&amp;if($K70="S1","a",if($K70="S2","b","")),Students!$A:$A,AR$2)+countifs(Students!$H:$H,$AH70,Students!$I:$I,$AH$2&amp;if($K70="S1","a",if($K70="S2","b","")),Students!$A:$A,AR$2)+countifs(Students!$J:$J,$AH70,Students!$K:$K,$AH$2&amp;if($K70="S1","a",if($K70="S2","b","")),Students!$A:$A,AR$2)+countifs(Students!$L:$L,$AH70,Students!$M:$M,$AH$2&amp;if($K70="S1","a",if($K70="S2","b","")),Students!$A:$A,AR$2)+countifs(Students!$N:$N,$AH70,Students!$O:$O,$AH$2&amp;if($K70="S1","a",if($K70="S2","b","")),Students!$A:$A,AR$2)+countifs(Students!$P:$P,$AH70,Students!$Q:$Q,$AH$2&amp;if($K70="S1","a",if($K70="S2","b","")),Students!$A:$A,AR$2)+countifs(Students!$R:$R,$AH70,Students!$S:$S,$AH$2&amp;if($K70="S1","a",if($K70="S2","b","")),Students!$A:$A,AR$2)+countifs(Students!$T:$T,$AH70,Students!$U:$U,$AH$2&amp;if($K70="S1","a",if($K70="S2","b","")),Students!$A:$A,AR$2)+countifs(Students!$V:$V,$AH70,Students!$W:$W,$AH$2&amp;if($K70="S1","a",if($K70="S2","b","")),Students!$A:$A,AR$2)+
countifs(Students!$D:$D,$AK70,Students!$E:$E,$AK$2&amp;if($K70="S1","a",if($K70="S2","b","")),Students!$A:$A,AR$2)+countifs(Students!$F:$F,$AK70,Students!$G:$G,$AK$2&amp;if($K70="S1","a",if($K70="S2","b","")),Students!$A:$A,AR$2)+countifs(Students!$H:$H,$AK70,Students!$I:$I,$AK$2&amp;if($K70="S1","a",if($K70="S2","b","")),Students!$A:$A,AR$2)+countifs(Students!$J:$J,$AK70,Students!$K:$K,$AK$2&amp;if($K70="S1","a",if($K70="S2","b","")),Students!$A:$A,AR$2)+countifs(Students!$L:$L,$AK70,Students!$M:$M,$AK$2&amp;if($K70="S1","a",if($K70="S2","b","")),Students!$A:$A,AR$2)+countifs(Students!$N:$N,$AK70,Students!$O:$O,$AK$2&amp;if($K70="S1","a",if($K70="S2","b","")),Students!$A:$A,AR$2)+countifs(Students!$P:$P,$AK70,Students!$Q:$Q,$AK$2&amp;if($K70="S1","a",if($K70="S2","b","")),Students!$A:$A,AR$2)+countifs(Students!$R:$R,$AK70,Students!$S:$S,$AK$2&amp;if($K70="S1","a",if($K70="S2","b","")),Students!$A:$A,AR$2)+countifs(Students!$T:$T,$AK70,Students!$U:$U,$AK$2&amp;if($K70="S1","a",if($K70="S2","b","")),Students!$A:$A,AR$2)+countifs(Students!$V:$V,$AK70,Students!$W:$W,$AK$2&amp;if($K70="S1","a",if($K70="S2","b","")),Students!$A:$A,AR$2))</f>
        <v/>
      </c>
      <c r="AS70" s="51" t="str">
        <f>if($L70="","",countifs(Students!$D:$D,$P70,Students!$E:$E,$P$2&amp;if($K70="S1","a",if($K70="S2","b","")),Students!$A:$A,AS$2)+countifs(Students!$F:$F,$P70,Students!$G:$G,$P$2&amp;if($K70="S1","a",if($K70="S2","b","")),Students!$A:$A,AS$2)+countifs(Students!$H:$H,$P70,Students!$I:$I,$P$2&amp;if($K70="S1","a",if($K70="S2","b","")),Students!$A:$A,AS$2)+countifs(Students!$J:$J,$P70,Students!$K:$K,$P$2&amp;if($K70="S1","a",if($K70="S2","b","")),Students!$A:$A,AS$2)+countifs(Students!$L:$L,$P70,Students!$M:$M,$P$2&amp;if($K70="S1","a",if($K70="S2","b","")),Students!$A:$A,AS$2)+countifs(Students!$N:$N,$P70,Students!$O:$O,$P$2&amp;if($K70="S1","a",if($K70="S2","b","")),Students!$A:$A,AS$2)+countifs(Students!$P:$P,$P70,Students!$Q:$Q,$P$2&amp;if($K70="S1","a",if($K70="S2","b","")),Students!$A:$A,AS$2)+countifs(Students!$R:$R,$P70,Students!$S:$S,$P$2&amp;if($K70="S1","a",if($K70="S2","b","")),Students!$A:$A,AS$2)+countifs(Students!$T:$T,$P70,Students!$U:$U,$P$2&amp;if($K70="S1","a",if($K70="S2","b","")),Students!$A:$A,AS$2)+countifs(Students!$V:$V,$P70,Students!$W:$W,$P$2&amp;if($K70="S1","a",if($K70="S2","b","")),Students!$A:$A,AS$2)+
countifs(Students!$D:$D,$S70,Students!$E:$E,$S$2&amp;if($K70="S1","a",if($K70="S2","b","")),Students!$A:$A,AS$2)+countifs(Students!$F:$F,$S70,Students!$G:$G,$S$2&amp;if($K70="S1","a",if($K70="S2","b","")),Students!$A:$A,AS$2)+countifs(Students!$H:$H,$S70,Students!$I:$I,$S$2&amp;if($K70="S1","a",if($K70="S2","b","")),Students!$A:$A,AS$2)+countifs(Students!$J:$J,$S70,Students!$K:$K,$S$2&amp;if($K70="S1","a",if($K70="S2","b","")),Students!$A:$A,AS$2)+countifs(Students!$L:$L,$S70,Students!$M:$M,$S$2&amp;if($K70="S1","a",if($K70="S2","b","")),Students!$A:$A,AS$2)+countifs(Students!$N:$N,$S70,Students!$O:$O,$S$2&amp;if($K70="S1","a",if($K70="S2","b","")),Students!$A:$A,AS$2)+countifs(Students!$P:$P,$S70,Students!$Q:$Q,$S$2&amp;if($K70="S1","a",if($K70="S2","b","")),Students!$A:$A,AS$2)+countifs(Students!$R:$R,$S70,Students!$S:$S,$S$2&amp;if($K70="S1","a",if($K70="S2","b","")),Students!$A:$A,AS$2)+countifs(Students!$T:$T,$S70,Students!$U:$U,$S$2&amp;if($K70="S1","a",if($K70="S2","b","")),Students!$A:$A,AS$2)+countifs(Students!$V:$V,$S70,Students!$W:$W,$S$2&amp;if($K70="S1","a",if($K70="S2","b","")),Students!$A:$A,AS$2)+
countifs(Students!$D:$D,$V70,Students!$E:$E,$V$2&amp;if($K70="S1","a",if($K70="S2","b","")),Students!$A:$A,AS$2)+countifs(Students!$F:$F,$V70,Students!$G:$G,$V$2&amp;if($K70="S1","a",if($K70="S2","b","")),Students!$A:$A,AS$2)+countifs(Students!$H:$H,$V70,Students!$I:$I,$V$2&amp;if($K70="S1","a",if($K70="S2","b","")),Students!$A:$A,AS$2)+countifs(Students!$J:$J,$V70,Students!$K:$K,$V$2&amp;if($K70="S1","a",if($K70="S2","b","")),Students!$A:$A,AS$2)+countifs(Students!$L:$L,$V70,Students!$M:$M,$V$2&amp;if($K70="S1","a",if($K70="S2","b","")),Students!$A:$A,AS$2)+countifs(Students!$N:$N,$V70,Students!$O:$O,$V$2&amp;if($K70="S1","a",if($K70="S2","b","")),Students!$A:$A,AS$2)+countifs(Students!$P:$P,$V70,Students!$Q:$Q,$V$2&amp;if($K70="S1","a",if($K70="S2","b","")),Students!$A:$A,AS$2)+countifs(Students!$R:$R,$V70,Students!$S:$S,$V$2&amp;if($K70="S1","a",if($K70="S2","b","")),Students!$A:$A,AS$2)+countifs(Students!$T:$T,$V70,Students!$U:$U,$V$2&amp;if($K70="S1","a",if($K70="S2","b","")),Students!$A:$A,AS$2)+countifs(Students!$V:$V,$V70,Students!$W:$W,$V$2&amp;if($K70="S1","a",if($K70="S2","b","")),Students!$A:$A,AS$2)+
countifs(Students!$D:$D,$Y70,Students!$E:$E,$Y$2&amp;if($K70="S1","a",if($K70="S2","b","")),Students!$A:$A,AS$2)+countifs(Students!$F:$F,$Y70,Students!$G:$G,$Y$2&amp;if($K70="S1","a",if($K70="S2","b","")),Students!$A:$A,AS$2)+countifs(Students!$H:$H,$Y70,Students!$I:$I,$Y$2&amp;if($K70="S1","a",if($K70="S2","b","")),Students!$A:$A,AS$2)+countifs(Students!$J:$J,$Y70,Students!$K:$K,$Y$2&amp;if($K70="S1","a",if($K70="S2","b","")),Students!$A:$A,AS$2)+countifs(Students!$L:$L,$Y70,Students!$M:$M,$Y$2&amp;if($K70="S1","a",if($K70="S2","b","")),Students!$A:$A,AS$2)+countifs(Students!$N:$N,$Y70,Students!$O:$O,$Y$2&amp;if($K70="S1","a",if($K70="S2","b","")),Students!$A:$A,AS$2)+countifs(Students!$P:$P,$Y70,Students!$Q:$Q,$Y$2&amp;if($K70="S1","a",if($K70="S2","b","")),Students!$A:$A,AS$2)+countifs(Students!$R:$R,$Y70,Students!$S:$S,$Y$2&amp;if($K70="S1","a",if($K70="S2","b","")),Students!$A:$A,AS$2)+countifs(Students!$T:$T,$Y70,Students!$U:$U,$Y$2&amp;if($K70="S1","a",if($K70="S2","b","")),Students!$A:$A,AS$2)+countifs(Students!$V:$V,$Y70,Students!$W:$W,$Y$2&amp;if($K70="S1","a",if($K70="S2","b","")),Students!$A:$A,AS$2)+
countifs(Students!$D:$D,$AB70,Students!$E:$E,$AB$2&amp;if($K70="S1","a",if($K70="S2","b","")),Students!$A:$A,AS$2)+countifs(Students!$F:$F,$AB70,Students!$G:$G,$AB$2&amp;if($K70="S1","a",if($K70="S2","b","")),Students!$A:$A,AS$2)+countifs(Students!$H:$H,$AB70,Students!$I:$I,$AB$2&amp;if($K70="S1","a",if($K70="S2","b","")),Students!$A:$A,AS$2)+countifs(Students!$J:$J,$AB70,Students!$K:$K,$AB$2&amp;if($K70="S1","a",if($K70="S2","b","")),Students!$A:$A,AS$2)+countifs(Students!$L:$L,$AB70,Students!$M:$M,$AB$2&amp;if($K70="S1","a",if($K70="S2","b","")),Students!$A:$A,AS$2)+countifs(Students!$N:$N,$AB70,Students!$O:$O,$AB$2&amp;if($K70="S1","a",if($K70="S2","b","")),Students!$A:$A,AS$2)+countifs(Students!$P:$P,$AB70,Students!$Q:$Q,$AB$2&amp;if($K70="S1","a",if($K70="S2","b","")),Students!$A:$A,AS$2)+countifs(Students!$R:$R,$AB70,Students!$S:$S,$AB$2&amp;if($K70="S1","a",if($K70="S2","b","")),Students!$A:$A,AS$2)+countifs(Students!$T:$T,$AB70,Students!$U:$U,$AB$2&amp;if($K70="S1","a",if($K70="S2","b","")),Students!$A:$A,AS$2)+countifs(Students!$V:$V,$AB70,Students!$W:$W,$AB$2&amp;if($K70="S1","a",if($K70="S2","b","")),Students!$A:$A,AS$2)+
countifs(Students!$D:$D,$AE70,Students!$E:$E,$AE$2&amp;if($K70="S1","a",if($K70="S2","b","")),Students!$A:$A,AS$2)+countifs(Students!$F:$F,$AE70,Students!$G:$G,$AE$2&amp;if($K70="S1","a",if($K70="S2","b","")),Students!$A:$A,AS$2)+countifs(Students!$H:$H,$AE70,Students!$I:$I,$AE$2&amp;if($K70="S1","a",if($K70="S2","b","")),Students!$A:$A,AS$2)+countifs(Students!$J:$J,$AE70,Students!$K:$K,$AE$2&amp;if($K70="S1","a",if($K70="S2","b","")),Students!$A:$A,AS$2)+countifs(Students!$L:$L,$AE70,Students!$M:$M,$AE$2&amp;if($K70="S1","a",if($K70="S2","b","")),Students!$A:$A,AS$2)+countifs(Students!$N:$N,$AE70,Students!$O:$O,$AE$2&amp;if($K70="S1","a",if($K70="S2","b","")),Students!$A:$A,AS$2)+countifs(Students!$P:$P,$AE70,Students!$Q:$Q,$AE$2&amp;if($K70="S1","a",if($K70="S2","b","")),Students!$A:$A,AS$2)+countifs(Students!$R:$R,$AE70,Students!$S:$S,$AE$2&amp;if($K70="S1","a",if($K70="S2","b","")),Students!$A:$A,AS$2)+countifs(Students!$T:$T,$AE70,Students!$U:$U,$AE$2&amp;if($K70="S1","a",if($K70="S2","b","")),Students!$A:$A,AS$2)+countifs(Students!$V:$V,$AE70,Students!$W:$W,$AE$2&amp;if($K70="S1","a",if($K70="S2","b","")),Students!$A:$A,AS$2)+
countifs(Students!$D:$D,$AH70,Students!$E:$E,$AH$2&amp;if($K70="S1","a",if($K70="S2","b","")),Students!$A:$A,AS$2)+countifs(Students!$F:$F,$AH70,Students!$G:$G,$AH$2&amp;if($K70="S1","a",if($K70="S2","b","")),Students!$A:$A,AS$2)+countifs(Students!$H:$H,$AH70,Students!$I:$I,$AH$2&amp;if($K70="S1","a",if($K70="S2","b","")),Students!$A:$A,AS$2)+countifs(Students!$J:$J,$AH70,Students!$K:$K,$AH$2&amp;if($K70="S1","a",if($K70="S2","b","")),Students!$A:$A,AS$2)+countifs(Students!$L:$L,$AH70,Students!$M:$M,$AH$2&amp;if($K70="S1","a",if($K70="S2","b","")),Students!$A:$A,AS$2)+countifs(Students!$N:$N,$AH70,Students!$O:$O,$AH$2&amp;if($K70="S1","a",if($K70="S2","b","")),Students!$A:$A,AS$2)+countifs(Students!$P:$P,$AH70,Students!$Q:$Q,$AH$2&amp;if($K70="S1","a",if($K70="S2","b","")),Students!$A:$A,AS$2)+countifs(Students!$R:$R,$AH70,Students!$S:$S,$AH$2&amp;if($K70="S1","a",if($K70="S2","b","")),Students!$A:$A,AS$2)+countifs(Students!$T:$T,$AH70,Students!$U:$U,$AH$2&amp;if($K70="S1","a",if($K70="S2","b","")),Students!$A:$A,AS$2)+countifs(Students!$V:$V,$AH70,Students!$W:$W,$AH$2&amp;if($K70="S1","a",if($K70="S2","b","")),Students!$A:$A,AS$2)+
countifs(Students!$D:$D,$AK70,Students!$E:$E,$AK$2&amp;if($K70="S1","a",if($K70="S2","b","")),Students!$A:$A,AS$2)+countifs(Students!$F:$F,$AK70,Students!$G:$G,$AK$2&amp;if($K70="S1","a",if($K70="S2","b","")),Students!$A:$A,AS$2)+countifs(Students!$H:$H,$AK70,Students!$I:$I,$AK$2&amp;if($K70="S1","a",if($K70="S2","b","")),Students!$A:$A,AS$2)+countifs(Students!$J:$J,$AK70,Students!$K:$K,$AK$2&amp;if($K70="S1","a",if($K70="S2","b","")),Students!$A:$A,AS$2)+countifs(Students!$L:$L,$AK70,Students!$M:$M,$AK$2&amp;if($K70="S1","a",if($K70="S2","b","")),Students!$A:$A,AS$2)+countifs(Students!$N:$N,$AK70,Students!$O:$O,$AK$2&amp;if($K70="S1","a",if($K70="S2","b","")),Students!$A:$A,AS$2)+countifs(Students!$P:$P,$AK70,Students!$Q:$Q,$AK$2&amp;if($K70="S1","a",if($K70="S2","b","")),Students!$A:$A,AS$2)+countifs(Students!$R:$R,$AK70,Students!$S:$S,$AK$2&amp;if($K70="S1","a",if($K70="S2","b","")),Students!$A:$A,AS$2)+countifs(Students!$T:$T,$AK70,Students!$U:$U,$AK$2&amp;if($K70="S1","a",if($K70="S2","b","")),Students!$A:$A,AS$2)+countifs(Students!$V:$V,$AK70,Students!$W:$W,$AK$2&amp;if($K70="S1","a",if($K70="S2","b","")),Students!$A:$A,AS$2))</f>
        <v/>
      </c>
    </row>
    <row r="71">
      <c r="J71" s="139" t="s">
        <v>22</v>
      </c>
      <c r="K71" s="70"/>
      <c r="L71" s="47"/>
      <c r="M71" s="140"/>
      <c r="N71" s="139" t="s">
        <v>22</v>
      </c>
      <c r="O71" s="139"/>
      <c r="P71" s="140"/>
      <c r="Q71" s="140"/>
      <c r="R71" s="51" t="s">
        <v>22</v>
      </c>
      <c r="S71" s="140"/>
      <c r="T71" s="140"/>
      <c r="U71" s="51" t="s">
        <v>22</v>
      </c>
      <c r="V71" s="140"/>
      <c r="W71" s="140"/>
      <c r="X71" s="51" t="s">
        <v>22</v>
      </c>
      <c r="Y71" s="140"/>
      <c r="Z71" s="140"/>
      <c r="AA71" s="51" t="s">
        <v>22</v>
      </c>
      <c r="AB71" s="140"/>
      <c r="AC71" s="140"/>
      <c r="AD71" s="51" t="s">
        <v>22</v>
      </c>
      <c r="AE71" s="140"/>
      <c r="AF71" s="140"/>
      <c r="AG71" s="51" t="s">
        <v>22</v>
      </c>
      <c r="AH71" s="140"/>
      <c r="AI71" s="141"/>
      <c r="AJ71" s="51" t="s">
        <v>22</v>
      </c>
      <c r="AK71" s="140"/>
      <c r="AL71" s="141"/>
      <c r="AM71" s="51" t="s">
        <v>22</v>
      </c>
      <c r="AN71" s="52"/>
      <c r="AO71" s="52" t="str">
        <f t="shared" si="2"/>
        <v/>
      </c>
      <c r="AP71" s="51"/>
      <c r="AQ71" s="51"/>
      <c r="AR71" s="51"/>
      <c r="AS71" s="51"/>
    </row>
    <row r="72">
      <c r="J72" s="139" t="s">
        <v>22</v>
      </c>
      <c r="K72" s="70"/>
      <c r="L72" s="47"/>
      <c r="M72" s="140"/>
      <c r="N72" s="139" t="s">
        <v>22</v>
      </c>
      <c r="O72" s="139"/>
      <c r="P72" s="140"/>
      <c r="Q72" s="140"/>
      <c r="R72" s="51" t="s">
        <v>22</v>
      </c>
      <c r="S72" s="140"/>
      <c r="T72" s="140"/>
      <c r="U72" s="51" t="s">
        <v>22</v>
      </c>
      <c r="V72" s="140"/>
      <c r="W72" s="140"/>
      <c r="X72" s="51" t="s">
        <v>22</v>
      </c>
      <c r="Y72" s="140"/>
      <c r="Z72" s="140"/>
      <c r="AA72" s="51" t="s">
        <v>22</v>
      </c>
      <c r="AB72" s="140"/>
      <c r="AC72" s="140"/>
      <c r="AD72" s="51" t="s">
        <v>22</v>
      </c>
      <c r="AE72" s="140"/>
      <c r="AF72" s="140"/>
      <c r="AG72" s="51" t="s">
        <v>22</v>
      </c>
      <c r="AH72" s="140"/>
      <c r="AI72" s="141"/>
      <c r="AJ72" s="51" t="s">
        <v>22</v>
      </c>
      <c r="AK72" s="140"/>
      <c r="AL72" s="141"/>
      <c r="AM72" s="51" t="s">
        <v>22</v>
      </c>
      <c r="AN72" s="52"/>
      <c r="AO72" s="52"/>
      <c r="AP72" s="51"/>
      <c r="AQ72" s="51"/>
      <c r="AR72" s="51"/>
      <c r="AS72" s="51"/>
    </row>
    <row r="73">
      <c r="J73" s="139" t="s">
        <v>22</v>
      </c>
      <c r="K73" s="70"/>
      <c r="L73" s="47"/>
      <c r="M73" s="140"/>
      <c r="N73" s="139" t="s">
        <v>22</v>
      </c>
      <c r="O73" s="139"/>
      <c r="P73" s="140"/>
      <c r="Q73" s="140"/>
      <c r="R73" s="51" t="s">
        <v>22</v>
      </c>
      <c r="S73" s="140"/>
      <c r="T73" s="140"/>
      <c r="U73" s="51" t="s">
        <v>22</v>
      </c>
      <c r="V73" s="140"/>
      <c r="W73" s="140"/>
      <c r="X73" s="51" t="s">
        <v>22</v>
      </c>
      <c r="Y73" s="140"/>
      <c r="Z73" s="140"/>
      <c r="AA73" s="51" t="s">
        <v>22</v>
      </c>
      <c r="AB73" s="140"/>
      <c r="AC73" s="140"/>
      <c r="AD73" s="51" t="s">
        <v>22</v>
      </c>
      <c r="AE73" s="140"/>
      <c r="AF73" s="140"/>
      <c r="AG73" s="51" t="s">
        <v>22</v>
      </c>
      <c r="AH73" s="140"/>
      <c r="AI73" s="141"/>
      <c r="AJ73" s="51" t="s">
        <v>22</v>
      </c>
      <c r="AK73" s="140"/>
      <c r="AL73" s="141"/>
      <c r="AM73" s="51" t="s">
        <v>22</v>
      </c>
      <c r="AN73" s="52"/>
      <c r="AO73" s="52"/>
      <c r="AP73" s="51"/>
      <c r="AQ73" s="51"/>
      <c r="AR73" s="51"/>
      <c r="AS73" s="51"/>
    </row>
    <row r="74">
      <c r="J74" s="139" t="s">
        <v>22</v>
      </c>
      <c r="K74" s="70"/>
      <c r="L74" s="47"/>
      <c r="M74" s="140"/>
      <c r="N74" s="139" t="s">
        <v>22</v>
      </c>
      <c r="O74" s="139"/>
      <c r="P74" s="140"/>
      <c r="Q74" s="140"/>
      <c r="R74" s="51" t="s">
        <v>22</v>
      </c>
      <c r="S74" s="140"/>
      <c r="T74" s="140"/>
      <c r="U74" s="51" t="s">
        <v>22</v>
      </c>
      <c r="V74" s="140"/>
      <c r="W74" s="140"/>
      <c r="X74" s="51" t="s">
        <v>22</v>
      </c>
      <c r="Y74" s="140"/>
      <c r="Z74" s="140"/>
      <c r="AA74" s="51" t="s">
        <v>22</v>
      </c>
      <c r="AB74" s="140"/>
      <c r="AC74" s="140"/>
      <c r="AD74" s="51" t="s">
        <v>22</v>
      </c>
      <c r="AE74" s="140"/>
      <c r="AF74" s="140"/>
      <c r="AG74" s="51" t="s">
        <v>22</v>
      </c>
      <c r="AH74" s="140"/>
      <c r="AI74" s="141"/>
      <c r="AJ74" s="51" t="s">
        <v>22</v>
      </c>
      <c r="AK74" s="140"/>
      <c r="AL74" s="141"/>
      <c r="AM74" s="51" t="s">
        <v>22</v>
      </c>
      <c r="AN74" s="52"/>
      <c r="AO74" s="52"/>
      <c r="AP74" s="51"/>
      <c r="AQ74" s="51"/>
      <c r="AR74" s="51"/>
      <c r="AS74" s="51"/>
    </row>
    <row r="75">
      <c r="J75" s="139" t="s">
        <v>22</v>
      </c>
      <c r="K75" s="70"/>
      <c r="L75" s="47"/>
      <c r="M75" s="140"/>
      <c r="N75" s="139" t="s">
        <v>22</v>
      </c>
      <c r="O75" s="139"/>
      <c r="P75" s="140"/>
      <c r="Q75" s="140"/>
      <c r="R75" s="51" t="s">
        <v>22</v>
      </c>
      <c r="S75" s="140"/>
      <c r="T75" s="140"/>
      <c r="U75" s="51" t="s">
        <v>22</v>
      </c>
      <c r="V75" s="140"/>
      <c r="W75" s="140"/>
      <c r="X75" s="51" t="s">
        <v>22</v>
      </c>
      <c r="Y75" s="140"/>
      <c r="Z75" s="140"/>
      <c r="AA75" s="51" t="s">
        <v>22</v>
      </c>
      <c r="AB75" s="140"/>
      <c r="AC75" s="140"/>
      <c r="AD75" s="51" t="s">
        <v>22</v>
      </c>
      <c r="AE75" s="140"/>
      <c r="AF75" s="140"/>
      <c r="AG75" s="51" t="s">
        <v>22</v>
      </c>
      <c r="AH75" s="140"/>
      <c r="AI75" s="141"/>
      <c r="AJ75" s="51" t="s">
        <v>22</v>
      </c>
      <c r="AK75" s="140"/>
      <c r="AL75" s="141"/>
      <c r="AM75" s="51" t="s">
        <v>22</v>
      </c>
      <c r="AN75" s="52"/>
      <c r="AO75" s="52"/>
      <c r="AP75" s="51"/>
      <c r="AQ75" s="51"/>
      <c r="AR75" s="51"/>
      <c r="AS75" s="51"/>
    </row>
    <row r="76">
      <c r="J76" s="139" t="s">
        <v>22</v>
      </c>
      <c r="K76" s="70"/>
      <c r="L76" s="47"/>
      <c r="M76" s="140"/>
      <c r="N76" s="139" t="s">
        <v>22</v>
      </c>
      <c r="O76" s="139"/>
      <c r="P76" s="140"/>
      <c r="Q76" s="140"/>
      <c r="R76" s="51" t="s">
        <v>22</v>
      </c>
      <c r="S76" s="140"/>
      <c r="T76" s="140"/>
      <c r="U76" s="51" t="s">
        <v>22</v>
      </c>
      <c r="V76" s="140"/>
      <c r="W76" s="140"/>
      <c r="X76" s="51" t="s">
        <v>22</v>
      </c>
      <c r="Y76" s="140"/>
      <c r="Z76" s="140"/>
      <c r="AA76" s="51" t="s">
        <v>22</v>
      </c>
      <c r="AB76" s="140"/>
      <c r="AC76" s="140"/>
      <c r="AD76" s="51" t="s">
        <v>22</v>
      </c>
      <c r="AE76" s="140"/>
      <c r="AF76" s="140"/>
      <c r="AG76" s="51" t="s">
        <v>22</v>
      </c>
      <c r="AH76" s="140"/>
      <c r="AI76" s="141"/>
      <c r="AJ76" s="51" t="s">
        <v>22</v>
      </c>
      <c r="AK76" s="140"/>
      <c r="AL76" s="141"/>
      <c r="AM76" s="51" t="s">
        <v>22</v>
      </c>
      <c r="AN76" s="52"/>
      <c r="AO76" s="52"/>
      <c r="AP76" s="51"/>
      <c r="AQ76" s="51"/>
      <c r="AR76" s="51"/>
      <c r="AS76" s="51"/>
    </row>
    <row r="77">
      <c r="J77" s="139" t="s">
        <v>22</v>
      </c>
      <c r="K77" s="70"/>
      <c r="L77" s="47"/>
      <c r="M77" s="140"/>
      <c r="N77" s="139" t="s">
        <v>22</v>
      </c>
      <c r="O77" s="139"/>
      <c r="P77" s="140"/>
      <c r="Q77" s="140"/>
      <c r="R77" s="51" t="s">
        <v>22</v>
      </c>
      <c r="S77" s="140"/>
      <c r="T77" s="140"/>
      <c r="U77" s="51" t="s">
        <v>22</v>
      </c>
      <c r="V77" s="140"/>
      <c r="W77" s="140"/>
      <c r="X77" s="51" t="s">
        <v>22</v>
      </c>
      <c r="Y77" s="140"/>
      <c r="Z77" s="140"/>
      <c r="AA77" s="51" t="s">
        <v>22</v>
      </c>
      <c r="AB77" s="140"/>
      <c r="AC77" s="140"/>
      <c r="AD77" s="51" t="s">
        <v>22</v>
      </c>
      <c r="AE77" s="140"/>
      <c r="AF77" s="140"/>
      <c r="AG77" s="51" t="s">
        <v>22</v>
      </c>
      <c r="AH77" s="140"/>
      <c r="AI77" s="141"/>
      <c r="AJ77" s="51" t="s">
        <v>22</v>
      </c>
      <c r="AK77" s="140"/>
      <c r="AL77" s="141"/>
      <c r="AM77" s="51" t="s">
        <v>22</v>
      </c>
      <c r="AN77" s="52"/>
      <c r="AO77" s="52"/>
      <c r="AP77" s="51"/>
      <c r="AQ77" s="51"/>
      <c r="AR77" s="51"/>
      <c r="AS77" s="51"/>
    </row>
    <row r="78">
      <c r="J78" s="139" t="s">
        <v>22</v>
      </c>
      <c r="K78" s="70"/>
      <c r="L78" s="47"/>
      <c r="M78" s="140"/>
      <c r="N78" s="139" t="s">
        <v>22</v>
      </c>
      <c r="O78" s="139"/>
      <c r="P78" s="140"/>
      <c r="Q78" s="140"/>
      <c r="R78" s="51" t="s">
        <v>22</v>
      </c>
      <c r="S78" s="140"/>
      <c r="T78" s="140"/>
      <c r="U78" s="51" t="s">
        <v>22</v>
      </c>
      <c r="V78" s="140"/>
      <c r="W78" s="140"/>
      <c r="X78" s="51" t="s">
        <v>22</v>
      </c>
      <c r="Y78" s="140"/>
      <c r="Z78" s="140"/>
      <c r="AA78" s="51" t="s">
        <v>22</v>
      </c>
      <c r="AB78" s="140"/>
      <c r="AC78" s="140"/>
      <c r="AD78" s="51" t="s">
        <v>22</v>
      </c>
      <c r="AE78" s="140"/>
      <c r="AF78" s="140"/>
      <c r="AG78" s="51" t="s">
        <v>22</v>
      </c>
      <c r="AH78" s="140"/>
      <c r="AI78" s="141"/>
      <c r="AJ78" s="51" t="s">
        <v>22</v>
      </c>
      <c r="AK78" s="140"/>
      <c r="AL78" s="141"/>
      <c r="AM78" s="51" t="s">
        <v>22</v>
      </c>
      <c r="AN78" s="52"/>
      <c r="AO78" s="52"/>
      <c r="AP78" s="51"/>
      <c r="AQ78" s="51"/>
      <c r="AR78" s="51"/>
      <c r="AS78" s="51"/>
    </row>
    <row r="79">
      <c r="J79" s="139" t="s">
        <v>22</v>
      </c>
      <c r="K79" s="70"/>
      <c r="L79" s="47"/>
      <c r="M79" s="140"/>
      <c r="N79" s="139" t="s">
        <v>22</v>
      </c>
      <c r="O79" s="139"/>
      <c r="P79" s="140"/>
      <c r="Q79" s="140"/>
      <c r="R79" s="51" t="s">
        <v>22</v>
      </c>
      <c r="S79" s="140"/>
      <c r="T79" s="140"/>
      <c r="U79" s="51" t="s">
        <v>22</v>
      </c>
      <c r="V79" s="140"/>
      <c r="W79" s="140"/>
      <c r="X79" s="51" t="s">
        <v>22</v>
      </c>
      <c r="Y79" s="140"/>
      <c r="Z79" s="140"/>
      <c r="AA79" s="51" t="s">
        <v>22</v>
      </c>
      <c r="AB79" s="140"/>
      <c r="AC79" s="140"/>
      <c r="AD79" s="51" t="s">
        <v>22</v>
      </c>
      <c r="AE79" s="140"/>
      <c r="AF79" s="140"/>
      <c r="AG79" s="51" t="s">
        <v>22</v>
      </c>
      <c r="AH79" s="140"/>
      <c r="AI79" s="141"/>
      <c r="AJ79" s="51" t="s">
        <v>22</v>
      </c>
      <c r="AK79" s="140"/>
      <c r="AL79" s="141"/>
      <c r="AM79" s="51" t="s">
        <v>22</v>
      </c>
      <c r="AN79" s="52"/>
      <c r="AO79" s="52"/>
      <c r="AP79" s="51"/>
      <c r="AQ79" s="51"/>
      <c r="AR79" s="51"/>
      <c r="AS79" s="51"/>
    </row>
    <row r="80">
      <c r="J80" s="139" t="s">
        <v>22</v>
      </c>
      <c r="K80" s="70"/>
      <c r="L80" s="47"/>
      <c r="M80" s="140"/>
      <c r="N80" s="139" t="s">
        <v>22</v>
      </c>
      <c r="O80" s="139"/>
      <c r="P80" s="140"/>
      <c r="Q80" s="140"/>
      <c r="R80" s="51" t="s">
        <v>22</v>
      </c>
      <c r="S80" s="140"/>
      <c r="T80" s="140"/>
      <c r="U80" s="51" t="s">
        <v>22</v>
      </c>
      <c r="V80" s="140"/>
      <c r="W80" s="140"/>
      <c r="X80" s="51" t="s">
        <v>22</v>
      </c>
      <c r="Y80" s="140"/>
      <c r="Z80" s="140"/>
      <c r="AA80" s="51" t="s">
        <v>22</v>
      </c>
      <c r="AB80" s="140"/>
      <c r="AC80" s="140"/>
      <c r="AD80" s="51" t="s">
        <v>22</v>
      </c>
      <c r="AE80" s="140"/>
      <c r="AF80" s="140"/>
      <c r="AG80" s="51" t="s">
        <v>22</v>
      </c>
      <c r="AH80" s="140"/>
      <c r="AI80" s="141"/>
      <c r="AJ80" s="51" t="s">
        <v>22</v>
      </c>
      <c r="AK80" s="140"/>
      <c r="AL80" s="141"/>
      <c r="AM80" s="51" t="s">
        <v>22</v>
      </c>
      <c r="AN80" s="52"/>
      <c r="AO80" s="52"/>
      <c r="AP80" s="51"/>
      <c r="AQ80" s="51"/>
      <c r="AR80" s="51"/>
      <c r="AS80" s="51"/>
    </row>
    <row r="81">
      <c r="J81" s="139" t="s">
        <v>22</v>
      </c>
      <c r="K81" s="70"/>
      <c r="L81" s="47"/>
      <c r="M81" s="140"/>
      <c r="N81" s="139" t="s">
        <v>22</v>
      </c>
      <c r="O81" s="139"/>
      <c r="P81" s="140"/>
      <c r="Q81" s="140"/>
      <c r="R81" s="51" t="s">
        <v>22</v>
      </c>
      <c r="S81" s="140"/>
      <c r="T81" s="140"/>
      <c r="U81" s="51" t="s">
        <v>22</v>
      </c>
      <c r="V81" s="140"/>
      <c r="W81" s="140"/>
      <c r="X81" s="51" t="s">
        <v>22</v>
      </c>
      <c r="Y81" s="140"/>
      <c r="Z81" s="140"/>
      <c r="AA81" s="51" t="s">
        <v>22</v>
      </c>
      <c r="AB81" s="140"/>
      <c r="AC81" s="140"/>
      <c r="AD81" s="51" t="s">
        <v>22</v>
      </c>
      <c r="AE81" s="140"/>
      <c r="AF81" s="140"/>
      <c r="AG81" s="51" t="s">
        <v>22</v>
      </c>
      <c r="AH81" s="140"/>
      <c r="AI81" s="141"/>
      <c r="AJ81" s="51" t="s">
        <v>22</v>
      </c>
      <c r="AK81" s="140"/>
      <c r="AL81" s="141"/>
      <c r="AM81" s="51" t="s">
        <v>22</v>
      </c>
      <c r="AN81" s="52"/>
      <c r="AO81" s="52"/>
      <c r="AP81" s="51"/>
      <c r="AQ81" s="51"/>
      <c r="AR81" s="51"/>
      <c r="AS81" s="51"/>
    </row>
    <row r="82">
      <c r="J82" s="139" t="s">
        <v>22</v>
      </c>
      <c r="K82" s="70"/>
      <c r="L82" s="47"/>
      <c r="M82" s="140"/>
      <c r="N82" s="139" t="s">
        <v>22</v>
      </c>
      <c r="O82" s="139"/>
      <c r="P82" s="140"/>
      <c r="Q82" s="140"/>
      <c r="R82" s="51" t="s">
        <v>22</v>
      </c>
      <c r="S82" s="140"/>
      <c r="T82" s="140"/>
      <c r="U82" s="51" t="s">
        <v>22</v>
      </c>
      <c r="V82" s="140"/>
      <c r="W82" s="140"/>
      <c r="X82" s="51" t="s">
        <v>22</v>
      </c>
      <c r="Y82" s="140"/>
      <c r="Z82" s="140"/>
      <c r="AA82" s="51" t="s">
        <v>22</v>
      </c>
      <c r="AB82" s="140"/>
      <c r="AC82" s="140"/>
      <c r="AD82" s="51" t="s">
        <v>22</v>
      </c>
      <c r="AE82" s="140"/>
      <c r="AF82" s="140"/>
      <c r="AG82" s="51" t="s">
        <v>22</v>
      </c>
      <c r="AH82" s="140"/>
      <c r="AI82" s="141"/>
      <c r="AJ82" s="51" t="s">
        <v>22</v>
      </c>
      <c r="AK82" s="140"/>
      <c r="AL82" s="141"/>
      <c r="AM82" s="51" t="s">
        <v>22</v>
      </c>
      <c r="AN82" s="52"/>
      <c r="AO82" s="52"/>
      <c r="AP82" s="51"/>
      <c r="AQ82" s="51"/>
      <c r="AR82" s="51"/>
      <c r="AS82" s="51"/>
    </row>
    <row r="83">
      <c r="J83" s="139" t="s">
        <v>22</v>
      </c>
      <c r="K83" s="70"/>
      <c r="L83" s="47"/>
      <c r="M83" s="140"/>
      <c r="N83" s="139" t="s">
        <v>22</v>
      </c>
      <c r="O83" s="139"/>
      <c r="P83" s="140"/>
      <c r="Q83" s="140"/>
      <c r="R83" s="51" t="s">
        <v>22</v>
      </c>
      <c r="S83" s="140"/>
      <c r="T83" s="140"/>
      <c r="U83" s="51" t="s">
        <v>22</v>
      </c>
      <c r="V83" s="140"/>
      <c r="W83" s="140"/>
      <c r="X83" s="51" t="s">
        <v>22</v>
      </c>
      <c r="Y83" s="140"/>
      <c r="Z83" s="140"/>
      <c r="AA83" s="51" t="s">
        <v>22</v>
      </c>
      <c r="AB83" s="140"/>
      <c r="AC83" s="140"/>
      <c r="AD83" s="51" t="s">
        <v>22</v>
      </c>
      <c r="AE83" s="140"/>
      <c r="AF83" s="140"/>
      <c r="AG83" s="51" t="s">
        <v>22</v>
      </c>
      <c r="AH83" s="140"/>
      <c r="AI83" s="141"/>
      <c r="AJ83" s="51" t="s">
        <v>22</v>
      </c>
      <c r="AK83" s="140"/>
      <c r="AL83" s="141"/>
      <c r="AM83" s="51" t="s">
        <v>22</v>
      </c>
      <c r="AN83" s="52"/>
      <c r="AO83" s="52"/>
      <c r="AP83" s="51"/>
      <c r="AQ83" s="51"/>
      <c r="AR83" s="51"/>
      <c r="AS83" s="51"/>
    </row>
    <row r="84">
      <c r="J84" s="139" t="s">
        <v>22</v>
      </c>
      <c r="K84" s="70"/>
      <c r="L84" s="47"/>
      <c r="M84" s="140"/>
      <c r="N84" s="139" t="s">
        <v>22</v>
      </c>
      <c r="O84" s="139"/>
      <c r="P84" s="140"/>
      <c r="Q84" s="140"/>
      <c r="R84" s="51" t="s">
        <v>22</v>
      </c>
      <c r="S84" s="140"/>
      <c r="T84" s="140"/>
      <c r="U84" s="51" t="s">
        <v>22</v>
      </c>
      <c r="V84" s="140"/>
      <c r="W84" s="140"/>
      <c r="X84" s="51" t="s">
        <v>22</v>
      </c>
      <c r="Y84" s="140"/>
      <c r="Z84" s="140"/>
      <c r="AA84" s="51" t="s">
        <v>22</v>
      </c>
      <c r="AB84" s="140"/>
      <c r="AC84" s="140"/>
      <c r="AD84" s="51" t="s">
        <v>22</v>
      </c>
      <c r="AE84" s="140"/>
      <c r="AF84" s="140"/>
      <c r="AG84" s="51" t="s">
        <v>22</v>
      </c>
      <c r="AH84" s="140"/>
      <c r="AI84" s="141"/>
      <c r="AJ84" s="51" t="s">
        <v>22</v>
      </c>
      <c r="AK84" s="140"/>
      <c r="AL84" s="141"/>
      <c r="AM84" s="51" t="s">
        <v>22</v>
      </c>
      <c r="AN84" s="52"/>
      <c r="AO84" s="52"/>
      <c r="AP84" s="51"/>
      <c r="AQ84" s="51"/>
      <c r="AR84" s="51"/>
      <c r="AS84" s="51"/>
    </row>
    <row r="85">
      <c r="J85" s="139" t="s">
        <v>22</v>
      </c>
      <c r="K85" s="70"/>
      <c r="L85" s="47"/>
      <c r="M85" s="140"/>
      <c r="N85" s="139" t="s">
        <v>22</v>
      </c>
      <c r="O85" s="139"/>
      <c r="P85" s="140"/>
      <c r="Q85" s="140"/>
      <c r="R85" s="51" t="s">
        <v>22</v>
      </c>
      <c r="S85" s="140"/>
      <c r="T85" s="140"/>
      <c r="U85" s="51" t="s">
        <v>22</v>
      </c>
      <c r="V85" s="140"/>
      <c r="W85" s="140"/>
      <c r="X85" s="51" t="s">
        <v>22</v>
      </c>
      <c r="Y85" s="140"/>
      <c r="Z85" s="140"/>
      <c r="AA85" s="51" t="s">
        <v>22</v>
      </c>
      <c r="AB85" s="140"/>
      <c r="AC85" s="140"/>
      <c r="AD85" s="51" t="s">
        <v>22</v>
      </c>
      <c r="AE85" s="140"/>
      <c r="AF85" s="140"/>
      <c r="AG85" s="51" t="s">
        <v>22</v>
      </c>
      <c r="AH85" s="140"/>
      <c r="AI85" s="141"/>
      <c r="AJ85" s="51" t="s">
        <v>22</v>
      </c>
      <c r="AK85" s="140"/>
      <c r="AL85" s="141"/>
      <c r="AM85" s="51" t="s">
        <v>22</v>
      </c>
      <c r="AN85" s="52"/>
      <c r="AO85" s="52"/>
      <c r="AP85" s="51"/>
      <c r="AQ85" s="51"/>
      <c r="AR85" s="51"/>
      <c r="AS85" s="51"/>
    </row>
    <row r="86">
      <c r="J86" s="139" t="s">
        <v>22</v>
      </c>
      <c r="K86" s="70"/>
      <c r="L86" s="47"/>
      <c r="M86" s="140"/>
      <c r="N86" s="139" t="s">
        <v>22</v>
      </c>
      <c r="O86" s="139"/>
      <c r="P86" s="140"/>
      <c r="Q86" s="140"/>
      <c r="R86" s="51" t="s">
        <v>22</v>
      </c>
      <c r="S86" s="140"/>
      <c r="T86" s="140"/>
      <c r="U86" s="51" t="s">
        <v>22</v>
      </c>
      <c r="V86" s="140"/>
      <c r="W86" s="140"/>
      <c r="X86" s="51" t="s">
        <v>22</v>
      </c>
      <c r="Y86" s="140"/>
      <c r="Z86" s="140"/>
      <c r="AA86" s="51" t="s">
        <v>22</v>
      </c>
      <c r="AB86" s="140"/>
      <c r="AC86" s="140"/>
      <c r="AD86" s="51" t="s">
        <v>22</v>
      </c>
      <c r="AE86" s="140"/>
      <c r="AF86" s="140"/>
      <c r="AG86" s="51" t="s">
        <v>22</v>
      </c>
      <c r="AH86" s="140"/>
      <c r="AI86" s="141"/>
      <c r="AJ86" s="51" t="s">
        <v>22</v>
      </c>
      <c r="AK86" s="140"/>
      <c r="AL86" s="141"/>
      <c r="AM86" s="51" t="s">
        <v>22</v>
      </c>
      <c r="AN86" s="52"/>
      <c r="AO86" s="52"/>
      <c r="AP86" s="51"/>
      <c r="AQ86" s="51"/>
      <c r="AR86" s="51"/>
      <c r="AS86" s="51"/>
    </row>
    <row r="87">
      <c r="J87" s="139" t="s">
        <v>22</v>
      </c>
      <c r="K87" s="70"/>
      <c r="L87" s="47"/>
      <c r="M87" s="140"/>
      <c r="N87" s="139" t="s">
        <v>22</v>
      </c>
      <c r="O87" s="139"/>
      <c r="P87" s="140"/>
      <c r="Q87" s="140"/>
      <c r="R87" s="51" t="s">
        <v>22</v>
      </c>
      <c r="S87" s="140"/>
      <c r="T87" s="140"/>
      <c r="U87" s="51" t="s">
        <v>22</v>
      </c>
      <c r="V87" s="140"/>
      <c r="W87" s="140"/>
      <c r="X87" s="51" t="s">
        <v>22</v>
      </c>
      <c r="Y87" s="140"/>
      <c r="Z87" s="140"/>
      <c r="AA87" s="51" t="s">
        <v>22</v>
      </c>
      <c r="AB87" s="140"/>
      <c r="AC87" s="140"/>
      <c r="AD87" s="51" t="s">
        <v>22</v>
      </c>
      <c r="AE87" s="140"/>
      <c r="AF87" s="140"/>
      <c r="AG87" s="51" t="s">
        <v>22</v>
      </c>
      <c r="AH87" s="140"/>
      <c r="AI87" s="141"/>
      <c r="AJ87" s="51" t="s">
        <v>22</v>
      </c>
      <c r="AK87" s="140"/>
      <c r="AL87" s="141"/>
      <c r="AM87" s="51" t="s">
        <v>22</v>
      </c>
      <c r="AN87" s="52"/>
      <c r="AO87" s="52"/>
      <c r="AP87" s="51"/>
      <c r="AQ87" s="51"/>
      <c r="AR87" s="51"/>
      <c r="AS87" s="51"/>
    </row>
    <row r="88">
      <c r="J88" s="139" t="s">
        <v>22</v>
      </c>
      <c r="K88" s="70"/>
      <c r="L88" s="47"/>
      <c r="M88" s="140"/>
      <c r="N88" s="139" t="s">
        <v>22</v>
      </c>
      <c r="O88" s="139"/>
      <c r="P88" s="140"/>
      <c r="Q88" s="140"/>
      <c r="R88" s="51" t="s">
        <v>22</v>
      </c>
      <c r="S88" s="140"/>
      <c r="T88" s="140"/>
      <c r="U88" s="51" t="s">
        <v>22</v>
      </c>
      <c r="V88" s="140"/>
      <c r="W88" s="140"/>
      <c r="X88" s="51" t="s">
        <v>22</v>
      </c>
      <c r="Y88" s="140"/>
      <c r="Z88" s="140"/>
      <c r="AA88" s="51" t="s">
        <v>22</v>
      </c>
      <c r="AB88" s="140"/>
      <c r="AC88" s="140"/>
      <c r="AD88" s="51" t="s">
        <v>22</v>
      </c>
      <c r="AE88" s="140"/>
      <c r="AF88" s="140"/>
      <c r="AG88" s="51" t="s">
        <v>22</v>
      </c>
      <c r="AH88" s="140"/>
      <c r="AI88" s="141"/>
      <c r="AJ88" s="51" t="s">
        <v>22</v>
      </c>
      <c r="AK88" s="140"/>
      <c r="AL88" s="141"/>
      <c r="AM88" s="51" t="s">
        <v>22</v>
      </c>
      <c r="AN88" s="52"/>
      <c r="AO88" s="52"/>
      <c r="AP88" s="51"/>
      <c r="AQ88" s="51"/>
      <c r="AR88" s="51"/>
      <c r="AS88" s="51"/>
    </row>
  </sheetData>
  <mergeCells count="7">
    <mergeCell ref="P1:R1"/>
    <mergeCell ref="U1:V1"/>
    <mergeCell ref="Y1:AA1"/>
    <mergeCell ref="AD1:AF1"/>
    <mergeCell ref="AH1:AI1"/>
    <mergeCell ref="AP1:AS1"/>
    <mergeCell ref="A3:A7"/>
  </mergeCells>
  <conditionalFormatting sqref="X1">
    <cfRule type="colorScale" priority="1">
      <colorScale>
        <cfvo type="formula" val="0"/>
        <cfvo type="formula" val="1"/>
        <color rgb="FFFFFFFF"/>
        <color rgb="FF57BB8A"/>
      </colorScale>
    </cfRule>
  </conditionalFormatting>
  <conditionalFormatting sqref="R2:R88 U2:U88 X2:X88 AA2:AA88 AD2:AD88 AG2:AG88 AJ2:AJ88 AM2:AM88">
    <cfRule type="cellIs" dxfId="0" priority="2" operator="greaterThan">
      <formula>24</formula>
    </cfRule>
  </conditionalFormatting>
  <conditionalFormatting sqref="S1:T1 AG1 AJ1">
    <cfRule type="cellIs" dxfId="0" priority="3" operator="greaterThan">
      <formula>0</formula>
    </cfRule>
  </conditionalFormatting>
  <conditionalFormatting sqref="AN3:AS88">
    <cfRule type="colorScale" priority="4">
      <colorScale>
        <cfvo type="min"/>
        <cfvo type="max"/>
        <color rgb="FFFFFFFF"/>
        <color rgb="FF999999"/>
      </colorScale>
    </cfRule>
  </conditionalFormatting>
  <conditionalFormatting sqref="A1">
    <cfRule type="notContainsBlanks" dxfId="1" priority="5">
      <formula>LEN(TRIM(A1))&gt;0</formula>
    </cfRule>
  </conditionalFormatting>
  <conditionalFormatting sqref="P53">
    <cfRule type="colorScale" priority="6">
      <colorScale>
        <cfvo type="min"/>
        <cfvo type="max"/>
        <color rgb="FFFFFFFF"/>
        <color rgb="FF57BB8A"/>
      </colorScale>
    </cfRule>
  </conditionalFormatting>
  <conditionalFormatting sqref="L3">
    <cfRule type="notContainsBlanks" dxfId="1" priority="7">
      <formula>LEN(TRIM(L3))&gt;0</formula>
    </cfRule>
  </conditionalFormatting>
  <conditionalFormatting sqref="K3">
    <cfRule type="notContainsBlanks" dxfId="1" priority="8">
      <formula>LEN(TRIM(K3))&gt;0</formula>
    </cfRule>
  </conditionalFormatting>
  <dataValidations>
    <dataValidation type="list" allowBlank="1" showErrorMessage="1" sqref="L3:L88">
      <formula1>Datos!$A$2:$A88</formula1>
    </dataValidation>
    <dataValidation type="list" allowBlank="1" showErrorMessage="1" sqref="P3:P88 S3:S88 V3:V88 Y3:Y88 AB3:AB88 AE3:AE88 AH3:AH88 AK3:AK88">
      <formula1>'Number of Students'!$A$2:$A88</formula1>
    </dataValidation>
  </dataValidations>
  <hyperlinks>
    <hyperlink display="ERRORS (Ghost classes):" location="'Ghost Classes'!A1" ref="AD1"/>
  </hyperlinks>
  <printOptions gridLines="1" horizontalCentered="1"/>
  <pageMargins bottom="0.75" footer="0.0" header="0.0" left="0.7" right="0.7" top="0.75"/>
  <pageSetup fitToWidth="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6.0"/>
    <col customWidth="1" min="2" max="2" width="8.75"/>
    <col customWidth="1" min="3" max="3" width="37.25"/>
    <col customWidth="1" min="4" max="4" width="28.88"/>
    <col customWidth="1" min="5" max="5" width="5.75"/>
    <col customWidth="1" min="6" max="6" width="27.75"/>
    <col customWidth="1" min="7" max="7" width="6.0"/>
    <col customWidth="1" min="8" max="8" width="22.38"/>
    <col customWidth="1" min="9" max="9" width="5.5"/>
    <col customWidth="1" min="10" max="10" width="20.38"/>
    <col customWidth="1" min="11" max="11" width="5.5"/>
    <col customWidth="1" min="12" max="12" width="22.38"/>
    <col customWidth="1" min="13" max="13" width="6.0"/>
    <col customWidth="1" min="14" max="14" width="13.5"/>
    <col customWidth="1" min="15" max="15" width="6.63"/>
    <col customWidth="1" min="16" max="16" width="23.63"/>
    <col customWidth="1" min="17" max="17" width="6.25"/>
    <col customWidth="1" min="18" max="18" width="22.38"/>
    <col customWidth="1" min="19" max="19" width="5.88"/>
    <col customWidth="1" min="20" max="20" width="22.38"/>
    <col customWidth="1" min="21" max="21" width="5.88"/>
    <col customWidth="1" min="22" max="22" width="26.0"/>
    <col customWidth="1" min="23" max="23" width="5.63"/>
    <col customWidth="1" min="24" max="31" width="6.0"/>
    <col customWidth="1" min="32" max="32" width="13.13"/>
    <col customWidth="1" min="33" max="33" width="12.13"/>
    <col customWidth="1" min="34" max="34" width="16.88"/>
    <col customWidth="1" min="35" max="35" width="12.13"/>
  </cols>
  <sheetData>
    <row r="1">
      <c r="A1" s="142"/>
      <c r="B1" s="143"/>
      <c r="C1" s="144"/>
      <c r="D1" s="145" t="s">
        <v>136</v>
      </c>
      <c r="E1" s="146"/>
      <c r="F1" s="147" t="s">
        <v>137</v>
      </c>
      <c r="G1" s="148" t="s">
        <v>138</v>
      </c>
      <c r="H1" s="149" t="s">
        <v>139</v>
      </c>
      <c r="I1" s="150"/>
      <c r="J1" s="150"/>
      <c r="K1" s="151"/>
      <c r="L1" s="152" t="s">
        <v>140</v>
      </c>
      <c r="M1" s="153"/>
      <c r="N1" s="154" t="s">
        <v>141</v>
      </c>
      <c r="O1" s="155"/>
      <c r="P1" s="156" t="s">
        <v>142</v>
      </c>
      <c r="Q1" s="157"/>
      <c r="R1" s="158" t="s">
        <v>143</v>
      </c>
      <c r="S1" s="159" t="s">
        <v>144</v>
      </c>
      <c r="T1" s="160" t="s">
        <v>145</v>
      </c>
      <c r="U1" s="161"/>
      <c r="V1" s="162" t="s">
        <v>146</v>
      </c>
      <c r="W1" s="163"/>
      <c r="X1" s="164">
        <v>1.0</v>
      </c>
      <c r="Y1" s="164">
        <v>2.0</v>
      </c>
      <c r="Z1" s="164">
        <v>3.0</v>
      </c>
      <c r="AA1" s="164">
        <v>4.0</v>
      </c>
      <c r="AB1" s="164">
        <v>5.0</v>
      </c>
      <c r="AC1" s="164">
        <v>6.0</v>
      </c>
      <c r="AD1" s="164">
        <v>7.0</v>
      </c>
      <c r="AE1" s="164">
        <v>8.0</v>
      </c>
      <c r="AF1" s="165"/>
      <c r="AG1" s="165"/>
      <c r="AH1" s="166"/>
      <c r="AI1" s="166"/>
    </row>
    <row r="2">
      <c r="A2" s="167" t="s">
        <v>147</v>
      </c>
      <c r="B2" s="168" t="s">
        <v>148</v>
      </c>
      <c r="C2" s="144" t="s">
        <v>149</v>
      </c>
      <c r="D2" s="144" t="s">
        <v>149</v>
      </c>
      <c r="E2" s="169" t="s">
        <v>150</v>
      </c>
      <c r="F2" s="170" t="s">
        <v>151</v>
      </c>
      <c r="G2" s="170" t="s">
        <v>150</v>
      </c>
      <c r="H2" s="171" t="s">
        <v>151</v>
      </c>
      <c r="I2" s="171" t="s">
        <v>150</v>
      </c>
      <c r="J2" s="171" t="s">
        <v>151</v>
      </c>
      <c r="K2" s="171" t="s">
        <v>150</v>
      </c>
      <c r="L2" s="172" t="s">
        <v>151</v>
      </c>
      <c r="M2" s="172"/>
      <c r="N2" s="173" t="s">
        <v>141</v>
      </c>
      <c r="O2" s="173" t="s">
        <v>150</v>
      </c>
      <c r="P2" s="174" t="s">
        <v>151</v>
      </c>
      <c r="Q2" s="174" t="s">
        <v>150</v>
      </c>
      <c r="R2" s="175" t="s">
        <v>151</v>
      </c>
      <c r="S2" s="176" t="s">
        <v>150</v>
      </c>
      <c r="T2" s="177" t="s">
        <v>151</v>
      </c>
      <c r="U2" s="177" t="s">
        <v>150</v>
      </c>
      <c r="V2" s="178" t="s">
        <v>151</v>
      </c>
      <c r="W2" s="178" t="s">
        <v>150</v>
      </c>
      <c r="X2" s="179" t="str">
        <f t="array" ref="X2:X521">if(ROW(X2:X521)=2, "E"&amp;X$1,if($B2:$B521="","",countifs('Students (Vertical)'!$B:$B,$B2:$B521,'Students (Vertical)'!$E:$E,X$1)+0.5*if(countifs('Students (Vertical)'!$B:$B,$B2:$B521,'Students (Vertical)'!$E:$E,X$1&amp;"a")&gt;1,3,countifs('Students (Vertical)'!$B:$B,$B2:$B521,'Students (Vertical)'!$E:$E,X$1&amp;"a"))+0.5*if(countifs('Students (Vertical)'!$B:$B,$B2:$B521,'Students (Vertical)'!$E:$E,X$1&amp;"b")&gt;1,3,countifs('Students (Vertical)'!$B:$B,$B2:$B521,'Students (Vertical)'!$E:$E,X$1&amp;"b"))))</f>
        <v>E1</v>
      </c>
      <c r="Y2" s="179" t="str">
        <f t="array" ref="Y2:Y521">if(ROW(Y2:Y521)=2, "E"&amp;Y$1,if($B2:$B521="","",countifs('Students (Vertical)'!$B:$B,$B2:$B521,'Students (Vertical)'!$E:$E,Y$1)+0.5*if(countifs('Students (Vertical)'!$B:$B,$B2:$B521,'Students (Vertical)'!$E:$E,Y$1&amp;"a")&gt;1,3,countifs('Students (Vertical)'!$B:$B,$B2:$B521,'Students (Vertical)'!$E:$E,Y$1&amp;"a"))+0.5*if(countifs('Students (Vertical)'!$B:$B,$B2:$B521,'Students (Vertical)'!$E:$E,Y$1&amp;"b")&gt;1,3,countifs('Students (Vertical)'!$B:$B,$B2:$B521,'Students (Vertical)'!$E:$E,Y$1&amp;"b"))))</f>
        <v>E2</v>
      </c>
      <c r="Z2" s="179" t="str">
        <f t="array" ref="Z2:Z521">if(ROW(Z2:Z521)=2, "E"&amp;Z$1,if($B2:$B521="","",countifs('Students (Vertical)'!$B:$B,$B2:$B521,'Students (Vertical)'!$E:$E,Z$1)+0.5*if(countifs('Students (Vertical)'!$B:$B,$B2:$B521,'Students (Vertical)'!$E:$E,Z$1&amp;"a")&gt;1,3,countifs('Students (Vertical)'!$B:$B,$B2:$B521,'Students (Vertical)'!$E:$E,Z$1&amp;"a"))+0.5*if(countifs('Students (Vertical)'!$B:$B,$B2:$B521,'Students (Vertical)'!$E:$E,Z$1&amp;"b")&gt;1,3,countifs('Students (Vertical)'!$B:$B,$B2:$B521,'Students (Vertical)'!$E:$E,Z$1&amp;"b"))))</f>
        <v>E3</v>
      </c>
      <c r="AA2" s="179" t="str">
        <f t="array" ref="AA2:AA521">if(ROW(AA2:AA521)=2, "E"&amp;AA$1,if($B2:$B521="","",countifs('Students (Vertical)'!$B:$B,$B2:$B521,'Students (Vertical)'!$E:$E,AA$1)+0.5*if(countifs('Students (Vertical)'!$B:$B,$B2:$B521,'Students (Vertical)'!$E:$E,AA$1&amp;"a")&gt;1,3,countifs('Students (Vertical)'!$B:$B,$B2:$B521,'Students (Vertical)'!$E:$E,AA$1&amp;"a"))+0.5*if(countifs('Students (Vertical)'!$B:$B,$B2:$B521,'Students (Vertical)'!$E:$E,AA$1&amp;"b")&gt;1,3,countifs('Students (Vertical)'!$B:$B,$B2:$B521,'Students (Vertical)'!$E:$E,AA$1&amp;"b"))))</f>
        <v>E4</v>
      </c>
      <c r="AB2" s="179" t="str">
        <f t="array" ref="AB2:AB521">if(ROW(AB2:AB521)=2, "E"&amp;AB$1,if($B2:$B521="","",countifs('Students (Vertical)'!$B:$B,$B2:$B521,'Students (Vertical)'!$E:$E,AB$1)+0.5*if(countifs('Students (Vertical)'!$B:$B,$B2:$B521,'Students (Vertical)'!$E:$E,AB$1&amp;"a")&gt;1,3,countifs('Students (Vertical)'!$B:$B,$B2:$B521,'Students (Vertical)'!$E:$E,AB$1&amp;"a"))+0.5*if(countifs('Students (Vertical)'!$B:$B,$B2:$B521,'Students (Vertical)'!$E:$E,AB$1&amp;"b")&gt;1,3,countifs('Students (Vertical)'!$B:$B,$B2:$B521,'Students (Vertical)'!$E:$E,AB$1&amp;"b"))))</f>
        <v>E5</v>
      </c>
      <c r="AC2" s="179" t="str">
        <f t="array" ref="AC2:AC521">if(ROW(AC2:AC521)=2, "E"&amp;AC$1,if($B2:$B521="","",countifs('Students (Vertical)'!$B:$B,$B2:$B521,'Students (Vertical)'!$E:$E,AC$1)+0.5*if(countifs('Students (Vertical)'!$B:$B,$B2:$B521,'Students (Vertical)'!$E:$E,AC$1&amp;"a")&gt;1,3,countifs('Students (Vertical)'!$B:$B,$B2:$B521,'Students (Vertical)'!$E:$E,AC$1&amp;"a"))+0.5*if(countifs('Students (Vertical)'!$B:$B,$B2:$B521,'Students (Vertical)'!$E:$E,AC$1&amp;"b")&gt;1,3,countifs('Students (Vertical)'!$B:$B,$B2:$B521,'Students (Vertical)'!$E:$E,AC$1&amp;"b"))))</f>
        <v>E6</v>
      </c>
      <c r="AD2" s="179" t="str">
        <f t="array" ref="AD2:AD521">if(ROW(AD2:AD521)=2, "E"&amp;AD$1,if($B2:$B521="","",countifs('Students (Vertical)'!$B:$B,$B2:$B521,'Students (Vertical)'!$E:$E,AD$1)+0.5*if(countifs('Students (Vertical)'!$B:$B,$B2:$B521,'Students (Vertical)'!$E:$E,AD$1&amp;"a")&gt;1,3,countifs('Students (Vertical)'!$B:$B,$B2:$B521,'Students (Vertical)'!$E:$E,AD$1&amp;"a"))+0.5*if(countifs('Students (Vertical)'!$B:$B,$B2:$B521,'Students (Vertical)'!$E:$E,AD$1&amp;"b")&gt;1,3,countifs('Students (Vertical)'!$B:$B,$B2:$B521,'Students (Vertical)'!$E:$E,AD$1&amp;"b"))))</f>
        <v>E7</v>
      </c>
      <c r="AE2" s="179" t="str">
        <f t="array" ref="AE2:AE521">if(ROW(AE2:AE521)=2, "E"&amp;AE$1,if($B2:$B521="","",countifs('Students (Vertical)'!$B:$B,$B2:$B521,'Students (Vertical)'!$E:$E,AE$1)+0.5*if(countifs('Students (Vertical)'!$B:$B,$B2:$B521,'Students (Vertical)'!$E:$E,AE$1&amp;"a")&gt;1,3,countifs('Students (Vertical)'!$B:$B,$B2:$B521,'Students (Vertical)'!$E:$E,AE$1&amp;"a"))+0.5*if(countifs('Students (Vertical)'!$B:$B,$B2:$B521,'Students (Vertical)'!$E:$E,AE$1&amp;"b")&gt;1,3,countifs('Students (Vertical)'!$B:$B,$B2:$B521,'Students (Vertical)'!$E:$E,AE$1&amp;"b"))))</f>
        <v>E8</v>
      </c>
      <c r="AF2" s="165" t="str">
        <f t="array" ref="AF2:AF521">if(ROW(AF2:AF521)=2,"Scheduled",if(B2:B521="","",X2:X521+Y2:Y521+Z2:Z521+AA2:AA521+AB2:AB521+AC2:AC521+AD2:AD521+AE2:AE521))</f>
        <v>Scheduled</v>
      </c>
      <c r="AG2" s="165" t="str">
        <f t="array" ref="AG2:AG521">if(ROW(AG2:AG521)=2,"Conflicts",if(B2:B521="","",if(X2:X521&gt;1,1,0)+if(Y2:Y521&gt;1,1,0)+if(Z2:Z521&gt;1,1,0)+if(AA2:AA521&gt;1,1,0)+if(AB2:AB521&gt;1,1,0)+if(AC2:AC521&gt;1,1,0)+if(AD2:AD521&gt;1,1,0)+if(AE2:AE521&gt;1,1,0)))</f>
        <v>Conflicts</v>
      </c>
      <c r="AH2" s="178" t="s">
        <v>152</v>
      </c>
      <c r="AI2" s="178" t="s">
        <v>153</v>
      </c>
    </row>
    <row r="3">
      <c r="A3" s="167">
        <v>9.0</v>
      </c>
      <c r="B3" s="168">
        <v>29070.0</v>
      </c>
      <c r="C3" s="144" t="s">
        <v>154</v>
      </c>
      <c r="D3" s="180" t="s">
        <v>40</v>
      </c>
      <c r="E3" s="181">
        <v>8.0</v>
      </c>
      <c r="F3" s="167" t="s">
        <v>61</v>
      </c>
      <c r="G3" s="167">
        <v>7.0</v>
      </c>
      <c r="H3" s="182" t="s">
        <v>76</v>
      </c>
      <c r="I3" s="167">
        <v>1.0</v>
      </c>
      <c r="J3" s="183" t="s">
        <v>155</v>
      </c>
      <c r="K3" s="167"/>
      <c r="L3" s="184" t="s">
        <v>88</v>
      </c>
      <c r="M3" s="167">
        <v>6.0</v>
      </c>
      <c r="N3" s="184" t="s">
        <v>128</v>
      </c>
      <c r="O3" s="167">
        <v>4.0</v>
      </c>
      <c r="P3" s="184" t="s">
        <v>51</v>
      </c>
      <c r="Q3" s="167">
        <v>2.0</v>
      </c>
      <c r="R3" s="184" t="s">
        <v>124</v>
      </c>
      <c r="S3" s="167">
        <v>5.0</v>
      </c>
      <c r="T3" s="183" t="s">
        <v>155</v>
      </c>
      <c r="U3" s="167"/>
      <c r="V3" s="184" t="s">
        <v>28</v>
      </c>
      <c r="W3" s="167">
        <v>3.0</v>
      </c>
      <c r="X3" s="142">
        <v>1.0</v>
      </c>
      <c r="Y3" s="142">
        <v>1.0</v>
      </c>
      <c r="Z3" s="142">
        <v>1.0</v>
      </c>
      <c r="AA3" s="142">
        <v>1.0</v>
      </c>
      <c r="AB3" s="142">
        <v>1.0</v>
      </c>
      <c r="AC3" s="142">
        <v>1.0</v>
      </c>
      <c r="AD3" s="142">
        <v>1.0</v>
      </c>
      <c r="AE3" s="142">
        <v>1.0</v>
      </c>
      <c r="AF3" s="142">
        <v>8.0</v>
      </c>
      <c r="AG3" s="142">
        <v>0.0</v>
      </c>
      <c r="AH3" s="185" t="str">
        <f>IFERROR(__xludf.DUMMYFUNCTION("if($C3="""","""",if(join("" - "",{iferror(filter('Student Groupings'!$A:$A,'Student Groupings'!$B:$B=$C3,'Student Groupings'!$H:$H=""Can't be Together""),"""");iferror(filter('Student Groupings'!$A:$A,'Student Groupings'!$E:$E=$C3,'Student Groupings'!$H:$"&amp;"H=""Can't be Together""),"""")})="" - "","""",join("" - "",{iferror(filter('Student Groupings'!$A:$A,'Student Groupings'!$B:$B=$C3,'Student Groupings'!$H:$H=""Can't be Together""),"""");iferror(filter('Student Groupings'!$A:$A,'Student Groupings'!$E:$E=$C"&amp;"3,'Student Groupings'!$H:$H=""Can't be Together""),"""")})))"),"")</f>
        <v/>
      </c>
      <c r="AI3" s="185" t="str">
        <f>IFERROR(__xludf.DUMMYFUNCTION("if($C3="""","""",if(join("" - "",{iferror(filter('Student Groupings'!$A:$A,'Student Groupings'!$B:$B=$C3,'Student Groupings'!$H:$H=""Must be Together""),"""");iferror(filter('Student Groupings'!$A:$A,'Student Groupings'!$E:$E=$C3,'Student Groupings'!$H:$H"&amp;"=""Must be Together""),"""")})="" - "","""",join("" - "",{iferror(filter('Student Groupings'!$A:$A,'Student Groupings'!$B:$B=$C3,'Student Groupings'!$H:$H=""Must be Together""),"""");iferror(filter('Student Groupings'!$A:$A,'Student Groupings'!$E:$E=$C3,'"&amp;"Student Groupings'!$H:$H=""Must be Together""),"""")})))"),"61 - ")</f>
        <v>61 - </v>
      </c>
    </row>
    <row r="4">
      <c r="A4" s="167">
        <v>9.0</v>
      </c>
      <c r="B4" s="168">
        <v>29075.0</v>
      </c>
      <c r="C4" s="144" t="s">
        <v>156</v>
      </c>
      <c r="D4" s="180" t="s">
        <v>40</v>
      </c>
      <c r="E4" s="181">
        <v>6.0</v>
      </c>
      <c r="F4" s="167" t="s">
        <v>61</v>
      </c>
      <c r="G4" s="167">
        <v>3.0</v>
      </c>
      <c r="H4" s="182" t="s">
        <v>76</v>
      </c>
      <c r="I4" s="186">
        <v>1.0</v>
      </c>
      <c r="J4" s="183"/>
      <c r="K4" s="167"/>
      <c r="L4" s="184" t="s">
        <v>88</v>
      </c>
      <c r="M4" s="167">
        <v>7.0</v>
      </c>
      <c r="N4" s="184" t="s">
        <v>128</v>
      </c>
      <c r="O4" s="167">
        <v>4.0</v>
      </c>
      <c r="P4" s="184" t="s">
        <v>51</v>
      </c>
      <c r="Q4" s="167">
        <v>2.0</v>
      </c>
      <c r="R4" s="184" t="s">
        <v>120</v>
      </c>
      <c r="S4" s="167">
        <v>5.0</v>
      </c>
      <c r="T4" s="187"/>
      <c r="U4" s="167"/>
      <c r="V4" s="184" t="s">
        <v>30</v>
      </c>
      <c r="W4" s="180">
        <v>8.0</v>
      </c>
      <c r="X4" s="142">
        <v>1.0</v>
      </c>
      <c r="Y4" s="142">
        <v>1.0</v>
      </c>
      <c r="Z4" s="142">
        <v>1.0</v>
      </c>
      <c r="AA4" s="142">
        <v>1.0</v>
      </c>
      <c r="AB4" s="142">
        <v>1.0</v>
      </c>
      <c r="AC4" s="142">
        <v>1.0</v>
      </c>
      <c r="AD4" s="142">
        <v>1.0</v>
      </c>
      <c r="AE4" s="142">
        <v>1.0</v>
      </c>
      <c r="AF4" s="142">
        <v>8.0</v>
      </c>
      <c r="AG4" s="142">
        <v>0.0</v>
      </c>
      <c r="AH4" s="185" t="str">
        <f>IFERROR(__xludf.DUMMYFUNCTION("if($C4="""","""",if(join("" - "",{iferror(filter('Student Groupings'!$A:$A,'Student Groupings'!$B:$B=$C4,'Student Groupings'!$H:$H=""Can't be Together""),"""");iferror(filter('Student Groupings'!$A:$A,'Student Groupings'!$E:$E=$C4,'Student Groupings'!$H:$"&amp;"H=""Can't be Together""),"""")})="" - "","""",join("" - "",{iferror(filter('Student Groupings'!$A:$A,'Student Groupings'!$B:$B=$C4,'Student Groupings'!$H:$H=""Can't be Together""),"""");iferror(filter('Student Groupings'!$A:$A,'Student Groupings'!$E:$E=$C"&amp;"4,'Student Groupings'!$H:$H=""Can't be Together""),"""")})))")," - 126")</f>
        <v> - 126</v>
      </c>
      <c r="AI4" s="185" t="str">
        <f>IFERROR(__xludf.DUMMYFUNCTION("if($C4="""","""",if(join("" - "",{iferror(filter('Student Groupings'!$A:$A,'Student Groupings'!$B:$B=$C4,'Student Groupings'!$H:$H=""Must be Together""),"""");iferror(filter('Student Groupings'!$A:$A,'Student Groupings'!$E:$E=$C4,'Student Groupings'!$H:$H"&amp;"=""Must be Together""),"""")})="" - "","""",join("" - "",{iferror(filter('Student Groupings'!$A:$A,'Student Groupings'!$B:$B=$C4,'Student Groupings'!$H:$H=""Must be Together""),"""");iferror(filter('Student Groupings'!$A:$A,'Student Groupings'!$E:$E=$C4,'"&amp;"Student Groupings'!$H:$H=""Must be Together""),"""")})))"),"")</f>
        <v/>
      </c>
    </row>
    <row r="5">
      <c r="A5" s="167">
        <v>9.0</v>
      </c>
      <c r="B5" s="168">
        <v>29149.0</v>
      </c>
      <c r="C5" s="144" t="s">
        <v>157</v>
      </c>
      <c r="D5" s="180" t="s">
        <v>40</v>
      </c>
      <c r="E5" s="181">
        <v>1.0</v>
      </c>
      <c r="F5" s="167" t="s">
        <v>61</v>
      </c>
      <c r="G5" s="167">
        <v>8.0</v>
      </c>
      <c r="H5" s="182" t="s">
        <v>76</v>
      </c>
      <c r="I5" s="167">
        <v>2.0</v>
      </c>
      <c r="J5" s="187"/>
      <c r="K5" s="167"/>
      <c r="L5" s="184" t="s">
        <v>88</v>
      </c>
      <c r="M5" s="167">
        <v>7.0</v>
      </c>
      <c r="N5" s="184" t="s">
        <v>128</v>
      </c>
      <c r="O5" s="167">
        <v>5.0</v>
      </c>
      <c r="P5" s="184" t="s">
        <v>51</v>
      </c>
      <c r="Q5" s="167">
        <v>4.0</v>
      </c>
      <c r="R5" s="184" t="s">
        <v>124</v>
      </c>
      <c r="S5" s="167">
        <v>6.0</v>
      </c>
      <c r="T5" s="188"/>
      <c r="U5" s="189"/>
      <c r="V5" s="184" t="s">
        <v>28</v>
      </c>
      <c r="W5" s="167">
        <v>3.0</v>
      </c>
      <c r="X5" s="142">
        <v>1.0</v>
      </c>
      <c r="Y5" s="142">
        <v>1.0</v>
      </c>
      <c r="Z5" s="142">
        <v>1.0</v>
      </c>
      <c r="AA5" s="142">
        <v>1.0</v>
      </c>
      <c r="AB5" s="142">
        <v>1.0</v>
      </c>
      <c r="AC5" s="142">
        <v>1.0</v>
      </c>
      <c r="AD5" s="142">
        <v>1.0</v>
      </c>
      <c r="AE5" s="142">
        <v>1.0</v>
      </c>
      <c r="AF5" s="142">
        <v>8.0</v>
      </c>
      <c r="AG5" s="142">
        <v>0.0</v>
      </c>
      <c r="AH5" s="185" t="str">
        <f>IFERROR(__xludf.DUMMYFUNCTION("if($C5="""","""",if(join("" - "",{iferror(filter('Student Groupings'!$A:$A,'Student Groupings'!$B:$B=$C5,'Student Groupings'!$H:$H=""Can't be Together""),"""");iferror(filter('Student Groupings'!$A:$A,'Student Groupings'!$E:$E=$C5,'Student Groupings'!$H:$"&amp;"H=""Can't be Together""),"""")})="" - "","""",join("" - "",{iferror(filter('Student Groupings'!$A:$A,'Student Groupings'!$B:$B=$C5,'Student Groupings'!$H:$H=""Can't be Together""),"""");iferror(filter('Student Groupings'!$A:$A,'Student Groupings'!$E:$E=$C"&amp;"5,'Student Groupings'!$H:$H=""Can't be Together""),"""")})))"),"")</f>
        <v/>
      </c>
      <c r="AI5" s="185" t="str">
        <f>IFERROR(__xludf.DUMMYFUNCTION("if($C5="""","""",if(join("" - "",{iferror(filter('Student Groupings'!$A:$A,'Student Groupings'!$B:$B=$C5,'Student Groupings'!$H:$H=""Must be Together""),"""");iferror(filter('Student Groupings'!$A:$A,'Student Groupings'!$E:$E=$C5,'Student Groupings'!$H:$H"&amp;"=""Must be Together""),"""")})="" - "","""",join("" - "",{iferror(filter('Student Groupings'!$A:$A,'Student Groupings'!$B:$B=$C5,'Student Groupings'!$H:$H=""Must be Together""),"""");iferror(filter('Student Groupings'!$A:$A,'Student Groupings'!$E:$E=$C5,'"&amp;"Student Groupings'!$H:$H=""Must be Together""),"""")})))"),"60 - ")</f>
        <v>60 - </v>
      </c>
    </row>
    <row r="6">
      <c r="A6" s="167">
        <v>9.0</v>
      </c>
      <c r="B6" s="168">
        <v>29113.0</v>
      </c>
      <c r="C6" s="190" t="s">
        <v>158</v>
      </c>
      <c r="D6" s="180" t="s">
        <v>40</v>
      </c>
      <c r="E6" s="181">
        <v>1.0</v>
      </c>
      <c r="F6" s="167" t="s">
        <v>61</v>
      </c>
      <c r="G6" s="167">
        <v>3.0</v>
      </c>
      <c r="H6" s="182" t="s">
        <v>76</v>
      </c>
      <c r="I6" s="167">
        <v>2.0</v>
      </c>
      <c r="J6" s="187"/>
      <c r="K6" s="167"/>
      <c r="L6" s="184" t="s">
        <v>88</v>
      </c>
      <c r="M6" s="167">
        <v>4.0</v>
      </c>
      <c r="N6" s="184" t="s">
        <v>128</v>
      </c>
      <c r="O6" s="167">
        <v>6.0</v>
      </c>
      <c r="P6" s="184" t="s">
        <v>51</v>
      </c>
      <c r="Q6" s="167">
        <v>8.0</v>
      </c>
      <c r="R6" s="184" t="s">
        <v>120</v>
      </c>
      <c r="S6" s="167">
        <v>5.0</v>
      </c>
      <c r="T6" s="188"/>
      <c r="U6" s="189"/>
      <c r="V6" s="184" t="s">
        <v>30</v>
      </c>
      <c r="W6" s="180">
        <v>7.0</v>
      </c>
      <c r="X6" s="142">
        <v>1.0</v>
      </c>
      <c r="Y6" s="142">
        <v>1.0</v>
      </c>
      <c r="Z6" s="142">
        <v>1.0</v>
      </c>
      <c r="AA6" s="142">
        <v>1.0</v>
      </c>
      <c r="AB6" s="142">
        <v>1.0</v>
      </c>
      <c r="AC6" s="142">
        <v>1.0</v>
      </c>
      <c r="AD6" s="142">
        <v>1.0</v>
      </c>
      <c r="AE6" s="142">
        <v>1.0</v>
      </c>
      <c r="AF6" s="142">
        <v>8.0</v>
      </c>
      <c r="AG6" s="142">
        <v>0.0</v>
      </c>
      <c r="AH6" s="185" t="str">
        <f>IFERROR(__xludf.DUMMYFUNCTION("if($C6="""","""",if(join("" - "",{iferror(filter('Student Groupings'!$A:$A,'Student Groupings'!$B:$B=$C6,'Student Groupings'!$H:$H=""Can't be Together""),"""");iferror(filter('Student Groupings'!$A:$A,'Student Groupings'!$E:$E=$C6,'Student Groupings'!$H:$"&amp;"H=""Can't be Together""),"""")})="" - "","""",join("" - "",{iferror(filter('Student Groupings'!$A:$A,'Student Groupings'!$B:$B=$C6,'Student Groupings'!$H:$H=""Can't be Together""),"""");iferror(filter('Student Groupings'!$A:$A,'Student Groupings'!$E:$E=$C"&amp;"6,'Student Groupings'!$H:$H=""Can't be Together""),"""")})))"),"")</f>
        <v/>
      </c>
      <c r="AI6" s="185" t="str">
        <f>IFERROR(__xludf.DUMMYFUNCTION("if($C6="""","""",if(join("" - "",{iferror(filter('Student Groupings'!$A:$A,'Student Groupings'!$B:$B=$C6,'Student Groupings'!$H:$H=""Must be Together""),"""");iferror(filter('Student Groupings'!$A:$A,'Student Groupings'!$E:$E=$C6,'Student Groupings'!$H:$H"&amp;"=""Must be Together""),"""")})="" - "","""",join("" - "",{iferror(filter('Student Groupings'!$A:$A,'Student Groupings'!$B:$B=$C6,'Student Groupings'!$H:$H=""Must be Together""),"""");iferror(filter('Student Groupings'!$A:$A,'Student Groupings'!$E:$E=$C6,'"&amp;"Student Groupings'!$H:$H=""Must be Together""),"""")})))"),"")</f>
        <v/>
      </c>
    </row>
    <row r="7">
      <c r="A7" s="167">
        <v>9.0</v>
      </c>
      <c r="B7" s="168">
        <v>29131.0</v>
      </c>
      <c r="C7" s="144" t="s">
        <v>159</v>
      </c>
      <c r="D7" s="180" t="s">
        <v>40</v>
      </c>
      <c r="E7" s="181">
        <v>8.0</v>
      </c>
      <c r="F7" s="167" t="s">
        <v>61</v>
      </c>
      <c r="G7" s="167">
        <v>6.0</v>
      </c>
      <c r="H7" s="182" t="s">
        <v>76</v>
      </c>
      <c r="I7" s="167">
        <v>7.0</v>
      </c>
      <c r="J7" s="187"/>
      <c r="K7" s="167"/>
      <c r="L7" s="184" t="s">
        <v>88</v>
      </c>
      <c r="M7" s="167">
        <v>1.0</v>
      </c>
      <c r="N7" s="184" t="s">
        <v>128</v>
      </c>
      <c r="O7" s="167">
        <v>5.0</v>
      </c>
      <c r="P7" s="184" t="s">
        <v>51</v>
      </c>
      <c r="Q7" s="167">
        <v>2.0</v>
      </c>
      <c r="R7" s="184" t="s">
        <v>120</v>
      </c>
      <c r="S7" s="167">
        <v>3.0</v>
      </c>
      <c r="T7" s="188"/>
      <c r="U7" s="189"/>
      <c r="V7" s="184" t="s">
        <v>30</v>
      </c>
      <c r="W7" s="167">
        <v>4.0</v>
      </c>
      <c r="X7" s="142">
        <v>1.0</v>
      </c>
      <c r="Y7" s="142">
        <v>1.0</v>
      </c>
      <c r="Z7" s="142">
        <v>1.0</v>
      </c>
      <c r="AA7" s="142">
        <v>1.0</v>
      </c>
      <c r="AB7" s="142">
        <v>1.0</v>
      </c>
      <c r="AC7" s="142">
        <v>1.0</v>
      </c>
      <c r="AD7" s="142">
        <v>1.0</v>
      </c>
      <c r="AE7" s="142">
        <v>1.0</v>
      </c>
      <c r="AF7" s="142">
        <v>8.0</v>
      </c>
      <c r="AG7" s="142">
        <v>0.0</v>
      </c>
      <c r="AH7" s="185" t="str">
        <f>IFERROR(__xludf.DUMMYFUNCTION("if($C7="""","""",if(join("" - "",{iferror(filter('Student Groupings'!$A:$A,'Student Groupings'!$B:$B=$C7,'Student Groupings'!$H:$H=""Can't be Together""),"""");iferror(filter('Student Groupings'!$A:$A,'Student Groupings'!$E:$E=$C7,'Student Groupings'!$H:$"&amp;"H=""Can't be Together""),"""")})="" - "","""",join("" - "",{iferror(filter('Student Groupings'!$A:$A,'Student Groupings'!$B:$B=$C7,'Student Groupings'!$H:$H=""Can't be Together""),"""");iferror(filter('Student Groupings'!$A:$A,'Student Groupings'!$E:$E=$C"&amp;"7,'Student Groupings'!$H:$H=""Can't be Together""),"""")})))"),"")</f>
        <v/>
      </c>
      <c r="AI7" s="185" t="str">
        <f>IFERROR(__xludf.DUMMYFUNCTION("if($C7="""","""",if(join("" - "",{iferror(filter('Student Groupings'!$A:$A,'Student Groupings'!$B:$B=$C7,'Student Groupings'!$H:$H=""Must be Together""),"""");iferror(filter('Student Groupings'!$A:$A,'Student Groupings'!$E:$E=$C7,'Student Groupings'!$H:$H"&amp;"=""Must be Together""),"""")})="" - "","""",join("" - "",{iferror(filter('Student Groupings'!$A:$A,'Student Groupings'!$B:$B=$C7,'Student Groupings'!$H:$H=""Must be Together""),"""");iferror(filter('Student Groupings'!$A:$A,'Student Groupings'!$E:$E=$C7,'"&amp;"Student Groupings'!$H:$H=""Must be Together""),"""")})))"),"")</f>
        <v/>
      </c>
    </row>
    <row r="8">
      <c r="A8" s="167">
        <v>9.0</v>
      </c>
      <c r="B8" s="168">
        <v>29077.0</v>
      </c>
      <c r="C8" s="144" t="s">
        <v>160</v>
      </c>
      <c r="D8" s="180" t="s">
        <v>40</v>
      </c>
      <c r="E8" s="181">
        <v>2.0</v>
      </c>
      <c r="F8" s="167" t="s">
        <v>61</v>
      </c>
      <c r="G8" s="167">
        <v>6.0</v>
      </c>
      <c r="H8" s="182" t="s">
        <v>76</v>
      </c>
      <c r="I8" s="167">
        <v>1.0</v>
      </c>
      <c r="J8" s="187"/>
      <c r="K8" s="167"/>
      <c r="L8" s="184" t="s">
        <v>88</v>
      </c>
      <c r="M8" s="167">
        <v>7.0</v>
      </c>
      <c r="N8" s="184" t="s">
        <v>128</v>
      </c>
      <c r="O8" s="167">
        <v>5.0</v>
      </c>
      <c r="P8" s="184" t="s">
        <v>51</v>
      </c>
      <c r="Q8" s="167">
        <v>4.0</v>
      </c>
      <c r="R8" s="184" t="s">
        <v>120</v>
      </c>
      <c r="S8" s="167">
        <v>3.0</v>
      </c>
      <c r="T8" s="188"/>
      <c r="U8" s="189"/>
      <c r="V8" s="184" t="s">
        <v>30</v>
      </c>
      <c r="W8" s="180">
        <v>8.0</v>
      </c>
      <c r="X8" s="142">
        <v>1.0</v>
      </c>
      <c r="Y8" s="142">
        <v>1.0</v>
      </c>
      <c r="Z8" s="142">
        <v>1.0</v>
      </c>
      <c r="AA8" s="142">
        <v>1.0</v>
      </c>
      <c r="AB8" s="142">
        <v>1.0</v>
      </c>
      <c r="AC8" s="142">
        <v>1.0</v>
      </c>
      <c r="AD8" s="142">
        <v>1.0</v>
      </c>
      <c r="AE8" s="142">
        <v>1.0</v>
      </c>
      <c r="AF8" s="142">
        <v>8.0</v>
      </c>
      <c r="AG8" s="142">
        <v>0.0</v>
      </c>
      <c r="AH8" s="185" t="str">
        <f>IFERROR(__xludf.DUMMYFUNCTION("if($C8="""","""",if(join("" - "",{iferror(filter('Student Groupings'!$A:$A,'Student Groupings'!$B:$B=$C8,'Student Groupings'!$H:$H=""Can't be Together""),"""");iferror(filter('Student Groupings'!$A:$A,'Student Groupings'!$E:$E=$C8,'Student Groupings'!$H:$"&amp;"H=""Can't be Together""),"""")})="" - "","""",join("" - "",{iferror(filter('Student Groupings'!$A:$A,'Student Groupings'!$B:$B=$C8,'Student Groupings'!$H:$H=""Can't be Together""),"""");iferror(filter('Student Groupings'!$A:$A,'Student Groupings'!$E:$E=$C"&amp;"8,'Student Groupings'!$H:$H=""Can't be Together""),"""")})))"),"")</f>
        <v/>
      </c>
      <c r="AI8" s="185" t="str">
        <f>IFERROR(__xludf.DUMMYFUNCTION("if($C8="""","""",if(join("" - "",{iferror(filter('Student Groupings'!$A:$A,'Student Groupings'!$B:$B=$C8,'Student Groupings'!$H:$H=""Must be Together""),"""");iferror(filter('Student Groupings'!$A:$A,'Student Groupings'!$E:$E=$C8,'Student Groupings'!$H:$H"&amp;"=""Must be Together""),"""")})="" - "","""",join("" - "",{iferror(filter('Student Groupings'!$A:$A,'Student Groupings'!$B:$B=$C8,'Student Groupings'!$H:$H=""Must be Together""),"""");iferror(filter('Student Groupings'!$A:$A,'Student Groupings'!$E:$E=$C8,'"&amp;"Student Groupings'!$H:$H=""Must be Together""),"""")})))"),"")</f>
        <v/>
      </c>
    </row>
    <row r="9">
      <c r="A9" s="167">
        <v>9.0</v>
      </c>
      <c r="B9" s="168">
        <v>28006.0</v>
      </c>
      <c r="C9" s="144" t="s">
        <v>161</v>
      </c>
      <c r="D9" s="180" t="s">
        <v>40</v>
      </c>
      <c r="E9" s="181">
        <v>7.0</v>
      </c>
      <c r="F9" s="167" t="s">
        <v>61</v>
      </c>
      <c r="G9" s="167">
        <v>5.0</v>
      </c>
      <c r="H9" s="182" t="s">
        <v>76</v>
      </c>
      <c r="I9" s="167">
        <v>3.0</v>
      </c>
      <c r="J9" s="187"/>
      <c r="K9" s="167"/>
      <c r="L9" s="184" t="s">
        <v>88</v>
      </c>
      <c r="M9" s="167">
        <v>1.0</v>
      </c>
      <c r="N9" s="184" t="s">
        <v>128</v>
      </c>
      <c r="O9" s="167">
        <v>2.0</v>
      </c>
      <c r="P9" s="184" t="s">
        <v>51</v>
      </c>
      <c r="Q9" s="167">
        <v>8.0</v>
      </c>
      <c r="R9" s="191" t="s">
        <v>122</v>
      </c>
      <c r="S9" s="167">
        <v>6.0</v>
      </c>
      <c r="T9" s="183"/>
      <c r="U9" s="167"/>
      <c r="V9" s="184" t="s">
        <v>28</v>
      </c>
      <c r="W9" s="167">
        <v>4.0</v>
      </c>
      <c r="X9" s="142">
        <v>1.0</v>
      </c>
      <c r="Y9" s="142">
        <v>1.0</v>
      </c>
      <c r="Z9" s="142">
        <v>1.0</v>
      </c>
      <c r="AA9" s="142">
        <v>1.0</v>
      </c>
      <c r="AB9" s="142">
        <v>1.0</v>
      </c>
      <c r="AC9" s="142">
        <v>1.0</v>
      </c>
      <c r="AD9" s="142">
        <v>1.0</v>
      </c>
      <c r="AE9" s="142">
        <v>1.0</v>
      </c>
      <c r="AF9" s="142">
        <v>8.0</v>
      </c>
      <c r="AG9" s="142">
        <v>0.0</v>
      </c>
      <c r="AH9" s="185" t="str">
        <f>IFERROR(__xludf.DUMMYFUNCTION("if($C9="""","""",if(join("" - "",{iferror(filter('Student Groupings'!$A:$A,'Student Groupings'!$B:$B=$C9,'Student Groupings'!$H:$H=""Can't be Together""),"""");iferror(filter('Student Groupings'!$A:$A,'Student Groupings'!$E:$E=$C9,'Student Groupings'!$H:$"&amp;"H=""Can't be Together""),"""")})="" - "","""",join("" - "",{iferror(filter('Student Groupings'!$A:$A,'Student Groupings'!$B:$B=$C9,'Student Groupings'!$H:$H=""Can't be Together""),"""");iferror(filter('Student Groupings'!$A:$A,'Student Groupings'!$E:$E=$C"&amp;"9,'Student Groupings'!$H:$H=""Can't be Together""),"""")})))"),"")</f>
        <v/>
      </c>
      <c r="AI9" s="185" t="str">
        <f>IFERROR(__xludf.DUMMYFUNCTION("if($C9="""","""",if(join("" - "",{iferror(filter('Student Groupings'!$A:$A,'Student Groupings'!$B:$B=$C9,'Student Groupings'!$H:$H=""Must be Together""),"""");iferror(filter('Student Groupings'!$A:$A,'Student Groupings'!$E:$E=$C9,'Student Groupings'!$H:$H"&amp;"=""Must be Together""),"""")})="" - "","""",join("" - "",{iferror(filter('Student Groupings'!$A:$A,'Student Groupings'!$B:$B=$C9,'Student Groupings'!$H:$H=""Must be Together""),"""");iferror(filter('Student Groupings'!$A:$A,'Student Groupings'!$E:$E=$C9,'"&amp;"Student Groupings'!$H:$H=""Must be Together""),"""")})))"),"")</f>
        <v/>
      </c>
    </row>
    <row r="10">
      <c r="A10" s="167">
        <v>9.0</v>
      </c>
      <c r="B10" s="168">
        <v>29089.0</v>
      </c>
      <c r="C10" s="144" t="s">
        <v>162</v>
      </c>
      <c r="D10" s="180" t="s">
        <v>40</v>
      </c>
      <c r="E10" s="181">
        <v>6.0</v>
      </c>
      <c r="F10" s="167" t="s">
        <v>61</v>
      </c>
      <c r="G10" s="180">
        <v>4.0</v>
      </c>
      <c r="H10" s="182" t="s">
        <v>76</v>
      </c>
      <c r="I10" s="180">
        <v>1.0</v>
      </c>
      <c r="J10" s="187"/>
      <c r="K10" s="180"/>
      <c r="L10" s="184" t="s">
        <v>88</v>
      </c>
      <c r="M10" s="180">
        <v>3.0</v>
      </c>
      <c r="N10" s="184" t="s">
        <v>128</v>
      </c>
      <c r="O10" s="167">
        <v>2.0</v>
      </c>
      <c r="P10" s="184" t="s">
        <v>51</v>
      </c>
      <c r="Q10" s="167">
        <v>8.0</v>
      </c>
      <c r="R10" s="184" t="s">
        <v>120</v>
      </c>
      <c r="S10" s="167">
        <v>5.0</v>
      </c>
      <c r="T10" s="188"/>
      <c r="U10" s="167"/>
      <c r="V10" s="184" t="s">
        <v>30</v>
      </c>
      <c r="W10" s="180">
        <v>7.0</v>
      </c>
      <c r="X10" s="142">
        <v>1.0</v>
      </c>
      <c r="Y10" s="142">
        <v>1.0</v>
      </c>
      <c r="Z10" s="142">
        <v>1.0</v>
      </c>
      <c r="AA10" s="142">
        <v>1.0</v>
      </c>
      <c r="AB10" s="142">
        <v>1.0</v>
      </c>
      <c r="AC10" s="142">
        <v>1.0</v>
      </c>
      <c r="AD10" s="142">
        <v>1.0</v>
      </c>
      <c r="AE10" s="142">
        <v>1.0</v>
      </c>
      <c r="AF10" s="142">
        <v>8.0</v>
      </c>
      <c r="AG10" s="142">
        <v>0.0</v>
      </c>
      <c r="AH10" s="185" t="str">
        <f>IFERROR(__xludf.DUMMYFUNCTION("if($C10="""","""",if(join("" - "",{iferror(filter('Student Groupings'!$A:$A,'Student Groupings'!$B:$B=$C10,'Student Groupings'!$H:$H=""Can't be Together""),"""");iferror(filter('Student Groupings'!$A:$A,'Student Groupings'!$E:$E=$C10,'Student Groupings'!$"&amp;"H:$H=""Can't be Together""),"""")})="" - "","""",join("" - "",{iferror(filter('Student Groupings'!$A:$A,'Student Groupings'!$B:$B=$C10,'Student Groupings'!$H:$H=""Can't be Together""),"""");iferror(filter('Student Groupings'!$A:$A,'Student Groupings'!$E:$"&amp;"E=$C10,'Student Groupings'!$H:$H=""Can't be Together""),"""")})))"),"")</f>
        <v/>
      </c>
      <c r="AI10" s="185" t="str">
        <f>IFERROR(__xludf.DUMMYFUNCTION("if($C10="""","""",if(join("" - "",{iferror(filter('Student Groupings'!$A:$A,'Student Groupings'!$B:$B=$C10,'Student Groupings'!$H:$H=""Must be Together""),"""");iferror(filter('Student Groupings'!$A:$A,'Student Groupings'!$E:$E=$C10,'Student Groupings'!$H"&amp;":$H=""Must be Together""),"""")})="" - "","""",join("" - "",{iferror(filter('Student Groupings'!$A:$A,'Student Groupings'!$B:$B=$C10,'Student Groupings'!$H:$H=""Must be Together""),"""");iferror(filter('Student Groupings'!$A:$A,'Student Groupings'!$E:$E=$"&amp;"C10,'Student Groupings'!$H:$H=""Must be Together""),"""")})))"),"")</f>
        <v/>
      </c>
    </row>
    <row r="11">
      <c r="A11" s="167">
        <v>9.0</v>
      </c>
      <c r="B11" s="168">
        <v>29048.0</v>
      </c>
      <c r="C11" s="144" t="s">
        <v>163</v>
      </c>
      <c r="D11" s="180" t="s">
        <v>40</v>
      </c>
      <c r="E11" s="181">
        <v>7.0</v>
      </c>
      <c r="F11" s="182" t="s">
        <v>61</v>
      </c>
      <c r="G11" s="167">
        <v>4.0</v>
      </c>
      <c r="H11" s="182" t="s">
        <v>76</v>
      </c>
      <c r="I11" s="167">
        <v>2.0</v>
      </c>
      <c r="J11" s="187"/>
      <c r="K11" s="167"/>
      <c r="L11" s="184" t="s">
        <v>88</v>
      </c>
      <c r="M11" s="167">
        <v>3.0</v>
      </c>
      <c r="N11" s="184" t="s">
        <v>128</v>
      </c>
      <c r="O11" s="167">
        <v>6.0</v>
      </c>
      <c r="P11" s="184" t="s">
        <v>51</v>
      </c>
      <c r="Q11" s="167">
        <v>5.0</v>
      </c>
      <c r="R11" s="184" t="s">
        <v>120</v>
      </c>
      <c r="S11" s="167">
        <v>1.0</v>
      </c>
      <c r="T11" s="187"/>
      <c r="U11" s="167"/>
      <c r="V11" s="184" t="s">
        <v>30</v>
      </c>
      <c r="W11" s="167">
        <v>8.0</v>
      </c>
      <c r="X11" s="142">
        <v>1.0</v>
      </c>
      <c r="Y11" s="142">
        <v>1.0</v>
      </c>
      <c r="Z11" s="142">
        <v>1.0</v>
      </c>
      <c r="AA11" s="142">
        <v>1.0</v>
      </c>
      <c r="AB11" s="142">
        <v>1.0</v>
      </c>
      <c r="AC11" s="142">
        <v>1.0</v>
      </c>
      <c r="AD11" s="142">
        <v>1.0</v>
      </c>
      <c r="AE11" s="142">
        <v>1.0</v>
      </c>
      <c r="AF11" s="142">
        <v>8.0</v>
      </c>
      <c r="AG11" s="142">
        <v>0.0</v>
      </c>
      <c r="AH11" s="185" t="str">
        <f>IFERROR(__xludf.DUMMYFUNCTION("if($C11="""","""",if(join("" - "",{iferror(filter('Student Groupings'!$A:$A,'Student Groupings'!$B:$B=$C11,'Student Groupings'!$H:$H=""Can't be Together""),"""");iferror(filter('Student Groupings'!$A:$A,'Student Groupings'!$E:$E=$C11,'Student Groupings'!$"&amp;"H:$H=""Can't be Together""),"""")})="" - "","""",join("" - "",{iferror(filter('Student Groupings'!$A:$A,'Student Groupings'!$B:$B=$C11,'Student Groupings'!$H:$H=""Can't be Together""),"""");iferror(filter('Student Groupings'!$A:$A,'Student Groupings'!$E:$"&amp;"E=$C11,'Student Groupings'!$H:$H=""Can't be Together""),"""")})))"),"")</f>
        <v/>
      </c>
      <c r="AI11" s="185" t="str">
        <f>IFERROR(__xludf.DUMMYFUNCTION("if($C11="""","""",if(join("" - "",{iferror(filter('Student Groupings'!$A:$A,'Student Groupings'!$B:$B=$C11,'Student Groupings'!$H:$H=""Must be Together""),"""");iferror(filter('Student Groupings'!$A:$A,'Student Groupings'!$E:$E=$C11,'Student Groupings'!$H"&amp;":$H=""Must be Together""),"""")})="" - "","""",join("" - "",{iferror(filter('Student Groupings'!$A:$A,'Student Groupings'!$B:$B=$C11,'Student Groupings'!$H:$H=""Must be Together""),"""");iferror(filter('Student Groupings'!$A:$A,'Student Groupings'!$E:$E=$"&amp;"C11,'Student Groupings'!$H:$H=""Must be Together""),"""")})))"),"")</f>
        <v/>
      </c>
    </row>
    <row r="12">
      <c r="A12" s="167">
        <v>9.0</v>
      </c>
      <c r="B12" s="168">
        <v>29019.0</v>
      </c>
      <c r="C12" s="144" t="s">
        <v>164</v>
      </c>
      <c r="D12" s="180" t="s">
        <v>40</v>
      </c>
      <c r="E12" s="181">
        <v>8.0</v>
      </c>
      <c r="F12" s="182" t="s">
        <v>61</v>
      </c>
      <c r="G12" s="180">
        <v>6.0</v>
      </c>
      <c r="H12" s="182" t="s">
        <v>76</v>
      </c>
      <c r="I12" s="180">
        <v>1.0</v>
      </c>
      <c r="J12" s="187"/>
      <c r="K12" s="180"/>
      <c r="L12" s="184" t="s">
        <v>88</v>
      </c>
      <c r="M12" s="180">
        <v>5.0</v>
      </c>
      <c r="N12" s="184" t="s">
        <v>128</v>
      </c>
      <c r="O12" s="167">
        <v>4.0</v>
      </c>
      <c r="P12" s="184" t="s">
        <v>51</v>
      </c>
      <c r="Q12" s="167">
        <v>2.0</v>
      </c>
      <c r="R12" s="184" t="s">
        <v>120</v>
      </c>
      <c r="S12" s="167">
        <v>3.0</v>
      </c>
      <c r="T12" s="187"/>
      <c r="U12" s="167"/>
      <c r="V12" s="184" t="s">
        <v>30</v>
      </c>
      <c r="W12" s="167">
        <v>7.0</v>
      </c>
      <c r="X12" s="142">
        <v>1.0</v>
      </c>
      <c r="Y12" s="142">
        <v>1.0</v>
      </c>
      <c r="Z12" s="142">
        <v>1.0</v>
      </c>
      <c r="AA12" s="142">
        <v>1.0</v>
      </c>
      <c r="AB12" s="142">
        <v>1.0</v>
      </c>
      <c r="AC12" s="142">
        <v>1.0</v>
      </c>
      <c r="AD12" s="142">
        <v>1.0</v>
      </c>
      <c r="AE12" s="142">
        <v>1.0</v>
      </c>
      <c r="AF12" s="142">
        <v>8.0</v>
      </c>
      <c r="AG12" s="142">
        <v>0.0</v>
      </c>
      <c r="AH12" s="185" t="str">
        <f>IFERROR(__xludf.DUMMYFUNCTION("if($C12="""","""",if(join("" - "",{iferror(filter('Student Groupings'!$A:$A,'Student Groupings'!$B:$B=$C12,'Student Groupings'!$H:$H=""Can't be Together""),"""");iferror(filter('Student Groupings'!$A:$A,'Student Groupings'!$E:$E=$C12,'Student Groupings'!$"&amp;"H:$H=""Can't be Together""),"""")})="" - "","""",join("" - "",{iferror(filter('Student Groupings'!$A:$A,'Student Groupings'!$B:$B=$C12,'Student Groupings'!$H:$H=""Can't be Together""),"""");iferror(filter('Student Groupings'!$A:$A,'Student Groupings'!$E:$"&amp;"E=$C12,'Student Groupings'!$H:$H=""Can't be Together""),"""")})))"),"")</f>
        <v/>
      </c>
      <c r="AI12" s="185" t="str">
        <f>IFERROR(__xludf.DUMMYFUNCTION("if($C12="""","""",if(join("" - "",{iferror(filter('Student Groupings'!$A:$A,'Student Groupings'!$B:$B=$C12,'Student Groupings'!$H:$H=""Must be Together""),"""");iferror(filter('Student Groupings'!$A:$A,'Student Groupings'!$E:$E=$C12,'Student Groupings'!$H"&amp;":$H=""Must be Together""),"""")})="" - "","""",join("" - "",{iferror(filter('Student Groupings'!$A:$A,'Student Groupings'!$B:$B=$C12,'Student Groupings'!$H:$H=""Must be Together""),"""");iferror(filter('Student Groupings'!$A:$A,'Student Groupings'!$E:$E=$"&amp;"C12,'Student Groupings'!$H:$H=""Must be Together""),"""")})))"),"")</f>
        <v/>
      </c>
    </row>
    <row r="13">
      <c r="A13" s="167">
        <v>9.0</v>
      </c>
      <c r="B13" s="168">
        <v>29079.0</v>
      </c>
      <c r="C13" s="144" t="s">
        <v>165</v>
      </c>
      <c r="D13" s="180" t="s">
        <v>40</v>
      </c>
      <c r="E13" s="181">
        <v>6.0</v>
      </c>
      <c r="F13" s="167" t="s">
        <v>61</v>
      </c>
      <c r="G13" s="167">
        <v>4.0</v>
      </c>
      <c r="H13" s="182" t="s">
        <v>76</v>
      </c>
      <c r="I13" s="167">
        <v>1.0</v>
      </c>
      <c r="J13" s="187"/>
      <c r="K13" s="167"/>
      <c r="L13" s="184" t="s">
        <v>88</v>
      </c>
      <c r="M13" s="167">
        <v>7.0</v>
      </c>
      <c r="N13" s="184" t="s">
        <v>128</v>
      </c>
      <c r="O13" s="167">
        <v>5.0</v>
      </c>
      <c r="P13" s="184" t="s">
        <v>51</v>
      </c>
      <c r="Q13" s="167">
        <v>2.0</v>
      </c>
      <c r="R13" s="184" t="s">
        <v>120</v>
      </c>
      <c r="S13" s="167">
        <v>3.0</v>
      </c>
      <c r="T13" s="187"/>
      <c r="U13" s="167"/>
      <c r="V13" s="184" t="s">
        <v>30</v>
      </c>
      <c r="W13" s="167">
        <v>8.0</v>
      </c>
      <c r="X13" s="142">
        <v>1.0</v>
      </c>
      <c r="Y13" s="142">
        <v>1.0</v>
      </c>
      <c r="Z13" s="142">
        <v>1.0</v>
      </c>
      <c r="AA13" s="142">
        <v>1.0</v>
      </c>
      <c r="AB13" s="142">
        <v>1.0</v>
      </c>
      <c r="AC13" s="142">
        <v>1.0</v>
      </c>
      <c r="AD13" s="142">
        <v>1.0</v>
      </c>
      <c r="AE13" s="142">
        <v>1.0</v>
      </c>
      <c r="AF13" s="142">
        <v>8.0</v>
      </c>
      <c r="AG13" s="142">
        <v>0.0</v>
      </c>
      <c r="AH13" s="185" t="str">
        <f>IFERROR(__xludf.DUMMYFUNCTION("if($C13="""","""",if(join("" - "",{iferror(filter('Student Groupings'!$A:$A,'Student Groupings'!$B:$B=$C13,'Student Groupings'!$H:$H=""Can't be Together""),"""");iferror(filter('Student Groupings'!$A:$A,'Student Groupings'!$E:$E=$C13,'Student Groupings'!$"&amp;"H:$H=""Can't be Together""),"""")})="" - "","""",join("" - "",{iferror(filter('Student Groupings'!$A:$A,'Student Groupings'!$B:$B=$C13,'Student Groupings'!$H:$H=""Can't be Together""),"""");iferror(filter('Student Groupings'!$A:$A,'Student Groupings'!$E:$"&amp;"E=$C13,'Student Groupings'!$H:$H=""Can't be Together""),"""")})))"),"")</f>
        <v/>
      </c>
      <c r="AI13" s="185" t="str">
        <f>IFERROR(__xludf.DUMMYFUNCTION("if($C13="""","""",if(join("" - "",{iferror(filter('Student Groupings'!$A:$A,'Student Groupings'!$B:$B=$C13,'Student Groupings'!$H:$H=""Must be Together""),"""");iferror(filter('Student Groupings'!$A:$A,'Student Groupings'!$E:$E=$C13,'Student Groupings'!$H"&amp;":$H=""Must be Together""),"""")})="" - "","""",join("" - "",{iferror(filter('Student Groupings'!$A:$A,'Student Groupings'!$B:$B=$C13,'Student Groupings'!$H:$H=""Must be Together""),"""");iferror(filter('Student Groupings'!$A:$A,'Student Groupings'!$E:$E=$"&amp;"C13,'Student Groupings'!$H:$H=""Must be Together""),"""")})))"),"")</f>
        <v/>
      </c>
    </row>
    <row r="14">
      <c r="A14" s="167">
        <v>9.0</v>
      </c>
      <c r="B14" s="168">
        <v>29010.0</v>
      </c>
      <c r="C14" s="144" t="s">
        <v>166</v>
      </c>
      <c r="D14" s="180" t="s">
        <v>40</v>
      </c>
      <c r="E14" s="181">
        <v>5.0</v>
      </c>
      <c r="F14" s="167" t="s">
        <v>61</v>
      </c>
      <c r="G14" s="167">
        <v>1.0</v>
      </c>
      <c r="H14" s="182" t="s">
        <v>76</v>
      </c>
      <c r="I14" s="167">
        <v>8.0</v>
      </c>
      <c r="J14" s="187"/>
      <c r="K14" s="167"/>
      <c r="L14" s="184" t="s">
        <v>88</v>
      </c>
      <c r="M14" s="167">
        <v>2.0</v>
      </c>
      <c r="N14" s="184" t="s">
        <v>128</v>
      </c>
      <c r="O14" s="167">
        <v>6.0</v>
      </c>
      <c r="P14" s="184" t="s">
        <v>51</v>
      </c>
      <c r="Q14" s="167">
        <v>4.0</v>
      </c>
      <c r="R14" s="184" t="s">
        <v>120</v>
      </c>
      <c r="S14" s="167">
        <v>3.0</v>
      </c>
      <c r="T14" s="188"/>
      <c r="U14" s="189"/>
      <c r="V14" s="184" t="s">
        <v>30</v>
      </c>
      <c r="W14" s="180">
        <v>7.0</v>
      </c>
      <c r="X14" s="142">
        <v>1.0</v>
      </c>
      <c r="Y14" s="142">
        <v>1.0</v>
      </c>
      <c r="Z14" s="142">
        <v>1.0</v>
      </c>
      <c r="AA14" s="142">
        <v>1.0</v>
      </c>
      <c r="AB14" s="142">
        <v>1.0</v>
      </c>
      <c r="AC14" s="142">
        <v>1.0</v>
      </c>
      <c r="AD14" s="142">
        <v>1.0</v>
      </c>
      <c r="AE14" s="142">
        <v>1.0</v>
      </c>
      <c r="AF14" s="142">
        <v>8.0</v>
      </c>
      <c r="AG14" s="142">
        <v>0.0</v>
      </c>
      <c r="AH14" s="185" t="str">
        <f>IFERROR(__xludf.DUMMYFUNCTION("if($C14="""","""",if(join("" - "",{iferror(filter('Student Groupings'!$A:$A,'Student Groupings'!$B:$B=$C14,'Student Groupings'!$H:$H=""Can't be Together""),"""");iferror(filter('Student Groupings'!$A:$A,'Student Groupings'!$E:$E=$C14,'Student Groupings'!$"&amp;"H:$H=""Can't be Together""),"""")})="" - "","""",join("" - "",{iferror(filter('Student Groupings'!$A:$A,'Student Groupings'!$B:$B=$C14,'Student Groupings'!$H:$H=""Can't be Together""),"""");iferror(filter('Student Groupings'!$A:$A,'Student Groupings'!$E:$"&amp;"E=$C14,'Student Groupings'!$H:$H=""Can't be Together""),"""")})))"),"")</f>
        <v/>
      </c>
      <c r="AI14" s="185" t="str">
        <f>IFERROR(__xludf.DUMMYFUNCTION("if($C14="""","""",if(join("" - "",{iferror(filter('Student Groupings'!$A:$A,'Student Groupings'!$B:$B=$C14,'Student Groupings'!$H:$H=""Must be Together""),"""");iferror(filter('Student Groupings'!$A:$A,'Student Groupings'!$E:$E=$C14,'Student Groupings'!$H"&amp;":$H=""Must be Together""),"""")})="" - "","""",join("" - "",{iferror(filter('Student Groupings'!$A:$A,'Student Groupings'!$B:$B=$C14,'Student Groupings'!$H:$H=""Must be Together""),"""");iferror(filter('Student Groupings'!$A:$A,'Student Groupings'!$E:$E=$"&amp;"C14,'Student Groupings'!$H:$H=""Must be Together""),"""")})))"),"")</f>
        <v/>
      </c>
    </row>
    <row r="15">
      <c r="A15" s="167">
        <v>9.0</v>
      </c>
      <c r="B15" s="168">
        <v>29074.0</v>
      </c>
      <c r="C15" s="192" t="s">
        <v>167</v>
      </c>
      <c r="D15" s="180" t="s">
        <v>40</v>
      </c>
      <c r="E15" s="181">
        <v>2.0</v>
      </c>
      <c r="F15" s="167" t="s">
        <v>61</v>
      </c>
      <c r="G15" s="167">
        <v>4.0</v>
      </c>
      <c r="H15" s="182" t="s">
        <v>76</v>
      </c>
      <c r="I15" s="167">
        <v>1.0</v>
      </c>
      <c r="J15" s="187"/>
      <c r="K15" s="167"/>
      <c r="L15" s="184" t="s">
        <v>88</v>
      </c>
      <c r="M15" s="167">
        <v>7.0</v>
      </c>
      <c r="N15" s="184" t="s">
        <v>128</v>
      </c>
      <c r="O15" s="167">
        <v>6.0</v>
      </c>
      <c r="P15" s="184" t="s">
        <v>51</v>
      </c>
      <c r="Q15" s="167">
        <v>3.0</v>
      </c>
      <c r="R15" s="184" t="s">
        <v>120</v>
      </c>
      <c r="S15" s="167">
        <v>5.0</v>
      </c>
      <c r="T15" s="187"/>
      <c r="U15" s="167"/>
      <c r="V15" s="184" t="s">
        <v>30</v>
      </c>
      <c r="W15" s="167">
        <v>8.0</v>
      </c>
      <c r="X15" s="142">
        <v>1.0</v>
      </c>
      <c r="Y15" s="142">
        <v>1.0</v>
      </c>
      <c r="Z15" s="142">
        <v>1.0</v>
      </c>
      <c r="AA15" s="142">
        <v>1.0</v>
      </c>
      <c r="AB15" s="142">
        <v>1.0</v>
      </c>
      <c r="AC15" s="142">
        <v>1.0</v>
      </c>
      <c r="AD15" s="142">
        <v>1.0</v>
      </c>
      <c r="AE15" s="142">
        <v>1.0</v>
      </c>
      <c r="AF15" s="142">
        <v>8.0</v>
      </c>
      <c r="AG15" s="142">
        <v>0.0</v>
      </c>
      <c r="AH15" s="185" t="str">
        <f>IFERROR(__xludf.DUMMYFUNCTION("if($C15="""","""",if(join("" - "",{iferror(filter('Student Groupings'!$A:$A,'Student Groupings'!$B:$B=$C15,'Student Groupings'!$H:$H=""Can't be Together""),"""");iferror(filter('Student Groupings'!$A:$A,'Student Groupings'!$E:$E=$C15,'Student Groupings'!$"&amp;"H:$H=""Can't be Together""),"""")})="" - "","""",join("" - "",{iferror(filter('Student Groupings'!$A:$A,'Student Groupings'!$B:$B=$C15,'Student Groupings'!$H:$H=""Can't be Together""),"""");iferror(filter('Student Groupings'!$A:$A,'Student Groupings'!$E:$"&amp;"E=$C15,'Student Groupings'!$H:$H=""Can't be Together""),"""")})))"),"")</f>
        <v/>
      </c>
      <c r="AI15" s="185" t="str">
        <f>IFERROR(__xludf.DUMMYFUNCTION("if($C15="""","""",if(join("" - "",{iferror(filter('Student Groupings'!$A:$A,'Student Groupings'!$B:$B=$C15,'Student Groupings'!$H:$H=""Must be Together""),"""");iferror(filter('Student Groupings'!$A:$A,'Student Groupings'!$E:$E=$C15,'Student Groupings'!$H"&amp;":$H=""Must be Together""),"""")})="" - "","""",join("" - "",{iferror(filter('Student Groupings'!$A:$A,'Student Groupings'!$B:$B=$C15,'Student Groupings'!$H:$H=""Must be Together""),"""");iferror(filter('Student Groupings'!$A:$A,'Student Groupings'!$E:$E=$"&amp;"C15,'Student Groupings'!$H:$H=""Must be Together""),"""")})))"),"")</f>
        <v/>
      </c>
    </row>
    <row r="16">
      <c r="A16" s="167">
        <v>9.0</v>
      </c>
      <c r="B16" s="168">
        <v>29001.0</v>
      </c>
      <c r="C16" s="144" t="s">
        <v>168</v>
      </c>
      <c r="D16" s="180" t="s">
        <v>40</v>
      </c>
      <c r="E16" s="181">
        <v>2.0</v>
      </c>
      <c r="F16" s="167" t="s">
        <v>61</v>
      </c>
      <c r="G16" s="167">
        <v>6.0</v>
      </c>
      <c r="H16" s="182" t="s">
        <v>76</v>
      </c>
      <c r="I16" s="167">
        <v>8.0</v>
      </c>
      <c r="J16" s="187"/>
      <c r="K16" s="167"/>
      <c r="L16" s="184" t="s">
        <v>88</v>
      </c>
      <c r="M16" s="167">
        <v>1.0</v>
      </c>
      <c r="N16" s="184" t="s">
        <v>128</v>
      </c>
      <c r="O16" s="167">
        <v>5.0</v>
      </c>
      <c r="P16" s="184" t="s">
        <v>51</v>
      </c>
      <c r="Q16" s="167">
        <v>4.0</v>
      </c>
      <c r="R16" s="184" t="s">
        <v>120</v>
      </c>
      <c r="S16" s="167">
        <v>3.0</v>
      </c>
      <c r="T16" s="183"/>
      <c r="U16" s="167"/>
      <c r="V16" s="184" t="s">
        <v>30</v>
      </c>
      <c r="W16" s="180">
        <v>7.0</v>
      </c>
      <c r="X16" s="142">
        <v>1.0</v>
      </c>
      <c r="Y16" s="142">
        <v>1.0</v>
      </c>
      <c r="Z16" s="142">
        <v>1.0</v>
      </c>
      <c r="AA16" s="142">
        <v>1.0</v>
      </c>
      <c r="AB16" s="142">
        <v>1.0</v>
      </c>
      <c r="AC16" s="142">
        <v>1.0</v>
      </c>
      <c r="AD16" s="142">
        <v>1.0</v>
      </c>
      <c r="AE16" s="142">
        <v>1.0</v>
      </c>
      <c r="AF16" s="142">
        <v>8.0</v>
      </c>
      <c r="AG16" s="142">
        <v>0.0</v>
      </c>
      <c r="AH16" s="185" t="str">
        <f>IFERROR(__xludf.DUMMYFUNCTION("if($C16="""","""",if(join("" - "",{iferror(filter('Student Groupings'!$A:$A,'Student Groupings'!$B:$B=$C16,'Student Groupings'!$H:$H=""Can't be Together""),"""");iferror(filter('Student Groupings'!$A:$A,'Student Groupings'!$E:$E=$C16,'Student Groupings'!$"&amp;"H:$H=""Can't be Together""),"""")})="" - "","""",join("" - "",{iferror(filter('Student Groupings'!$A:$A,'Student Groupings'!$B:$B=$C16,'Student Groupings'!$H:$H=""Can't be Together""),"""");iferror(filter('Student Groupings'!$A:$A,'Student Groupings'!$E:$"&amp;"E=$C16,'Student Groupings'!$H:$H=""Can't be Together""),"""")})))"),"")</f>
        <v/>
      </c>
      <c r="AI16" s="185" t="str">
        <f>IFERROR(__xludf.DUMMYFUNCTION("if($C16="""","""",if(join("" - "",{iferror(filter('Student Groupings'!$A:$A,'Student Groupings'!$B:$B=$C16,'Student Groupings'!$H:$H=""Must be Together""),"""");iferror(filter('Student Groupings'!$A:$A,'Student Groupings'!$E:$E=$C16,'Student Groupings'!$H"&amp;":$H=""Must be Together""),"""")})="" - "","""",join("" - "",{iferror(filter('Student Groupings'!$A:$A,'Student Groupings'!$B:$B=$C16,'Student Groupings'!$H:$H=""Must be Together""),"""");iferror(filter('Student Groupings'!$A:$A,'Student Groupings'!$E:$E=$"&amp;"C16,'Student Groupings'!$H:$H=""Must be Together""),"""")})))")," - 51 - 97")</f>
        <v> - 51 - 97</v>
      </c>
    </row>
    <row r="17">
      <c r="A17" s="167">
        <v>9.0</v>
      </c>
      <c r="B17" s="168">
        <v>29043.0</v>
      </c>
      <c r="C17" s="144" t="s">
        <v>169</v>
      </c>
      <c r="D17" s="180" t="s">
        <v>40</v>
      </c>
      <c r="E17" s="181">
        <v>6.0</v>
      </c>
      <c r="F17" s="167" t="s">
        <v>61</v>
      </c>
      <c r="G17" s="167">
        <v>3.0</v>
      </c>
      <c r="H17" s="182" t="s">
        <v>76</v>
      </c>
      <c r="I17" s="167">
        <v>2.0</v>
      </c>
      <c r="J17" s="187"/>
      <c r="K17" s="167"/>
      <c r="L17" s="184" t="s">
        <v>88</v>
      </c>
      <c r="M17" s="167">
        <v>4.0</v>
      </c>
      <c r="N17" s="184" t="s">
        <v>128</v>
      </c>
      <c r="O17" s="167">
        <v>1.0</v>
      </c>
      <c r="P17" s="184" t="s">
        <v>51</v>
      </c>
      <c r="Q17" s="167">
        <v>7.0</v>
      </c>
      <c r="R17" s="184" t="s">
        <v>120</v>
      </c>
      <c r="S17" s="167">
        <v>5.0</v>
      </c>
      <c r="T17" s="183"/>
      <c r="U17" s="167"/>
      <c r="V17" s="184" t="s">
        <v>30</v>
      </c>
      <c r="W17" s="167">
        <v>8.0</v>
      </c>
      <c r="X17" s="142">
        <v>1.0</v>
      </c>
      <c r="Y17" s="142">
        <v>1.0</v>
      </c>
      <c r="Z17" s="142">
        <v>1.0</v>
      </c>
      <c r="AA17" s="142">
        <v>1.0</v>
      </c>
      <c r="AB17" s="142">
        <v>1.0</v>
      </c>
      <c r="AC17" s="142">
        <v>1.0</v>
      </c>
      <c r="AD17" s="142">
        <v>1.0</v>
      </c>
      <c r="AE17" s="142">
        <v>1.0</v>
      </c>
      <c r="AF17" s="142">
        <v>8.0</v>
      </c>
      <c r="AG17" s="142">
        <v>0.0</v>
      </c>
      <c r="AH17" s="185" t="str">
        <f>IFERROR(__xludf.DUMMYFUNCTION("if($C17="""","""",if(join("" - "",{iferror(filter('Student Groupings'!$A:$A,'Student Groupings'!$B:$B=$C17,'Student Groupings'!$H:$H=""Can't be Together""),"""");iferror(filter('Student Groupings'!$A:$A,'Student Groupings'!$E:$E=$C17,'Student Groupings'!$"&amp;"H:$H=""Can't be Together""),"""")})="" - "","""",join("" - "",{iferror(filter('Student Groupings'!$A:$A,'Student Groupings'!$B:$B=$C17,'Student Groupings'!$H:$H=""Can't be Together""),"""");iferror(filter('Student Groupings'!$A:$A,'Student Groupings'!$E:$"&amp;"E=$C17,'Student Groupings'!$H:$H=""Can't be Together""),"""")})))"),"")</f>
        <v/>
      </c>
      <c r="AI17" s="185" t="str">
        <f>IFERROR(__xludf.DUMMYFUNCTION("if($C17="""","""",if(join("" - "",{iferror(filter('Student Groupings'!$A:$A,'Student Groupings'!$B:$B=$C17,'Student Groupings'!$H:$H=""Must be Together""),"""");iferror(filter('Student Groupings'!$A:$A,'Student Groupings'!$E:$E=$C17,'Student Groupings'!$H"&amp;":$H=""Must be Together""),"""")})="" - "","""",join("" - "",{iferror(filter('Student Groupings'!$A:$A,'Student Groupings'!$B:$B=$C17,'Student Groupings'!$H:$H=""Must be Together""),"""");iferror(filter('Student Groupings'!$A:$A,'Student Groupings'!$E:$E=$"&amp;"C17,'Student Groupings'!$H:$H=""Must be Together""),"""")})))"),"")</f>
        <v/>
      </c>
    </row>
    <row r="18">
      <c r="A18" s="167">
        <v>9.0</v>
      </c>
      <c r="B18" s="168">
        <v>29114.0</v>
      </c>
      <c r="C18" s="144" t="s">
        <v>170</v>
      </c>
      <c r="D18" s="180" t="s">
        <v>40</v>
      </c>
      <c r="E18" s="181">
        <v>8.0</v>
      </c>
      <c r="F18" s="167" t="s">
        <v>61</v>
      </c>
      <c r="G18" s="167">
        <v>1.0</v>
      </c>
      <c r="H18" s="182" t="s">
        <v>76</v>
      </c>
      <c r="I18" s="180">
        <v>2.0</v>
      </c>
      <c r="J18" s="187"/>
      <c r="K18" s="167"/>
      <c r="L18" s="184" t="s">
        <v>88</v>
      </c>
      <c r="M18" s="167">
        <v>6.0</v>
      </c>
      <c r="N18" s="184" t="s">
        <v>128</v>
      </c>
      <c r="O18" s="167">
        <v>5.0</v>
      </c>
      <c r="P18" s="184" t="s">
        <v>51</v>
      </c>
      <c r="Q18" s="167">
        <v>4.0</v>
      </c>
      <c r="R18" s="184" t="s">
        <v>120</v>
      </c>
      <c r="S18" s="167">
        <v>3.0</v>
      </c>
      <c r="T18" s="188"/>
      <c r="U18" s="167"/>
      <c r="V18" s="184" t="s">
        <v>30</v>
      </c>
      <c r="W18" s="167">
        <v>7.0</v>
      </c>
      <c r="X18" s="142">
        <v>1.0</v>
      </c>
      <c r="Y18" s="142">
        <v>1.0</v>
      </c>
      <c r="Z18" s="142">
        <v>1.0</v>
      </c>
      <c r="AA18" s="142">
        <v>1.0</v>
      </c>
      <c r="AB18" s="142">
        <v>1.0</v>
      </c>
      <c r="AC18" s="142">
        <v>1.0</v>
      </c>
      <c r="AD18" s="142">
        <v>1.0</v>
      </c>
      <c r="AE18" s="142">
        <v>1.0</v>
      </c>
      <c r="AF18" s="142">
        <v>8.0</v>
      </c>
      <c r="AG18" s="142">
        <v>0.0</v>
      </c>
      <c r="AH18" s="185" t="str">
        <f>IFERROR(__xludf.DUMMYFUNCTION("if($C18="""","""",if(join("" - "",{iferror(filter('Student Groupings'!$A:$A,'Student Groupings'!$B:$B=$C18,'Student Groupings'!$H:$H=""Can't be Together""),"""");iferror(filter('Student Groupings'!$A:$A,'Student Groupings'!$E:$E=$C18,'Student Groupings'!$"&amp;"H:$H=""Can't be Together""),"""")})="" - "","""",join("" - "",{iferror(filter('Student Groupings'!$A:$A,'Student Groupings'!$B:$B=$C18,'Student Groupings'!$H:$H=""Can't be Together""),"""");iferror(filter('Student Groupings'!$A:$A,'Student Groupings'!$E:$"&amp;"E=$C18,'Student Groupings'!$H:$H=""Can't be Together""),"""")})))"),"")</f>
        <v/>
      </c>
      <c r="AI18" s="185" t="str">
        <f>IFERROR(__xludf.DUMMYFUNCTION("if($C18="""","""",if(join("" - "",{iferror(filter('Student Groupings'!$A:$A,'Student Groupings'!$B:$B=$C18,'Student Groupings'!$H:$H=""Must be Together""),"""");iferror(filter('Student Groupings'!$A:$A,'Student Groupings'!$E:$E=$C18,'Student Groupings'!$H"&amp;":$H=""Must be Together""),"""")})="" - "","""",join("" - "",{iferror(filter('Student Groupings'!$A:$A,'Student Groupings'!$B:$B=$C18,'Student Groupings'!$H:$H=""Must be Together""),"""");iferror(filter('Student Groupings'!$A:$A,'Student Groupings'!$E:$E=$"&amp;"C18,'Student Groupings'!$H:$H=""Must be Together""),"""")})))"),"")</f>
        <v/>
      </c>
    </row>
    <row r="19">
      <c r="A19" s="167">
        <v>9.0</v>
      </c>
      <c r="B19" s="168">
        <v>29091.0</v>
      </c>
      <c r="C19" s="144" t="s">
        <v>171</v>
      </c>
      <c r="D19" s="180" t="s">
        <v>40</v>
      </c>
      <c r="E19" s="181">
        <v>7.0</v>
      </c>
      <c r="F19" s="167" t="s">
        <v>61</v>
      </c>
      <c r="G19" s="167">
        <v>1.0</v>
      </c>
      <c r="H19" s="182" t="s">
        <v>76</v>
      </c>
      <c r="I19" s="167">
        <v>2.0</v>
      </c>
      <c r="J19" s="187"/>
      <c r="K19" s="167"/>
      <c r="L19" s="184" t="s">
        <v>88</v>
      </c>
      <c r="M19" s="167">
        <v>6.0</v>
      </c>
      <c r="N19" s="184" t="s">
        <v>128</v>
      </c>
      <c r="O19" s="167">
        <v>4.0</v>
      </c>
      <c r="P19" s="184" t="s">
        <v>51</v>
      </c>
      <c r="Q19" s="167">
        <v>5.0</v>
      </c>
      <c r="R19" s="184" t="s">
        <v>120</v>
      </c>
      <c r="S19" s="167">
        <v>3.0</v>
      </c>
      <c r="T19" s="188"/>
      <c r="U19" s="167"/>
      <c r="V19" s="184" t="s">
        <v>30</v>
      </c>
      <c r="W19" s="167">
        <v>8.0</v>
      </c>
      <c r="X19" s="142">
        <v>1.0</v>
      </c>
      <c r="Y19" s="142">
        <v>1.0</v>
      </c>
      <c r="Z19" s="142">
        <v>1.0</v>
      </c>
      <c r="AA19" s="142">
        <v>1.0</v>
      </c>
      <c r="AB19" s="142">
        <v>1.0</v>
      </c>
      <c r="AC19" s="142">
        <v>1.0</v>
      </c>
      <c r="AD19" s="142">
        <v>1.0</v>
      </c>
      <c r="AE19" s="142">
        <v>1.0</v>
      </c>
      <c r="AF19" s="142">
        <v>8.0</v>
      </c>
      <c r="AG19" s="142">
        <v>0.0</v>
      </c>
      <c r="AH19" s="185" t="str">
        <f>IFERROR(__xludf.DUMMYFUNCTION("if($C19="""","""",if(join("" - "",{iferror(filter('Student Groupings'!$A:$A,'Student Groupings'!$B:$B=$C19,'Student Groupings'!$H:$H=""Can't be Together""),"""");iferror(filter('Student Groupings'!$A:$A,'Student Groupings'!$E:$E=$C19,'Student Groupings'!$"&amp;"H:$H=""Can't be Together""),"""")})="" - "","""",join("" - "",{iferror(filter('Student Groupings'!$A:$A,'Student Groupings'!$B:$B=$C19,'Student Groupings'!$H:$H=""Can't be Together""),"""");iferror(filter('Student Groupings'!$A:$A,'Student Groupings'!$E:$"&amp;"E=$C19,'Student Groupings'!$H:$H=""Can't be Together""),"""")})))"),"")</f>
        <v/>
      </c>
      <c r="AI19" s="185" t="str">
        <f>IFERROR(__xludf.DUMMYFUNCTION("if($C19="""","""",if(join("" - "",{iferror(filter('Student Groupings'!$A:$A,'Student Groupings'!$B:$B=$C19,'Student Groupings'!$H:$H=""Must be Together""),"""");iferror(filter('Student Groupings'!$A:$A,'Student Groupings'!$E:$E=$C19,'Student Groupings'!$H"&amp;":$H=""Must be Together""),"""")})="" - "","""",join("" - "",{iferror(filter('Student Groupings'!$A:$A,'Student Groupings'!$B:$B=$C19,'Student Groupings'!$H:$H=""Must be Together""),"""");iferror(filter('Student Groupings'!$A:$A,'Student Groupings'!$E:$E=$"&amp;"C19,'Student Groupings'!$H:$H=""Must be Together""),"""")})))"),"")</f>
        <v/>
      </c>
    </row>
    <row r="20">
      <c r="A20" s="167">
        <v>9.0</v>
      </c>
      <c r="B20" s="168">
        <v>29034.0</v>
      </c>
      <c r="C20" s="144" t="s">
        <v>172</v>
      </c>
      <c r="D20" s="180" t="s">
        <v>40</v>
      </c>
      <c r="E20" s="181">
        <v>6.0</v>
      </c>
      <c r="F20" s="167" t="s">
        <v>61</v>
      </c>
      <c r="G20" s="167">
        <v>4.0</v>
      </c>
      <c r="H20" s="182" t="s">
        <v>76</v>
      </c>
      <c r="I20" s="167">
        <v>1.0</v>
      </c>
      <c r="J20" s="187"/>
      <c r="K20" s="167"/>
      <c r="L20" s="184" t="s">
        <v>88</v>
      </c>
      <c r="M20" s="167">
        <v>3.0</v>
      </c>
      <c r="N20" s="184" t="s">
        <v>128</v>
      </c>
      <c r="O20" s="167">
        <v>5.0</v>
      </c>
      <c r="P20" s="184" t="s">
        <v>51</v>
      </c>
      <c r="Q20" s="167">
        <v>8.0</v>
      </c>
      <c r="R20" s="184" t="s">
        <v>124</v>
      </c>
      <c r="S20" s="167">
        <v>2.0</v>
      </c>
      <c r="T20" s="188"/>
      <c r="U20" s="167"/>
      <c r="V20" s="184" t="s">
        <v>30</v>
      </c>
      <c r="W20" s="180">
        <v>7.0</v>
      </c>
      <c r="X20" s="142">
        <v>1.0</v>
      </c>
      <c r="Y20" s="142">
        <v>1.0</v>
      </c>
      <c r="Z20" s="142">
        <v>1.0</v>
      </c>
      <c r="AA20" s="142">
        <v>1.0</v>
      </c>
      <c r="AB20" s="142">
        <v>1.0</v>
      </c>
      <c r="AC20" s="142">
        <v>1.0</v>
      </c>
      <c r="AD20" s="142">
        <v>1.0</v>
      </c>
      <c r="AE20" s="142">
        <v>1.0</v>
      </c>
      <c r="AF20" s="142">
        <v>8.0</v>
      </c>
      <c r="AG20" s="142">
        <v>0.0</v>
      </c>
      <c r="AH20" s="185" t="str">
        <f>IFERROR(__xludf.DUMMYFUNCTION("if($C20="""","""",if(join("" - "",{iferror(filter('Student Groupings'!$A:$A,'Student Groupings'!$B:$B=$C20,'Student Groupings'!$H:$H=""Can't be Together""),"""");iferror(filter('Student Groupings'!$A:$A,'Student Groupings'!$E:$E=$C20,'Student Groupings'!$"&amp;"H:$H=""Can't be Together""),"""")})="" - "","""",join("" - "",{iferror(filter('Student Groupings'!$A:$A,'Student Groupings'!$B:$B=$C20,'Student Groupings'!$H:$H=""Can't be Together""),"""");iferror(filter('Student Groupings'!$A:$A,'Student Groupings'!$E:$"&amp;"E=$C20,'Student Groupings'!$H:$H=""Can't be Together""),"""")})))"),"")</f>
        <v/>
      </c>
      <c r="AI20" s="185" t="str">
        <f>IFERROR(__xludf.DUMMYFUNCTION("if($C20="""","""",if(join("" - "",{iferror(filter('Student Groupings'!$A:$A,'Student Groupings'!$B:$B=$C20,'Student Groupings'!$H:$H=""Must be Together""),"""");iferror(filter('Student Groupings'!$A:$A,'Student Groupings'!$E:$E=$C20,'Student Groupings'!$H"&amp;":$H=""Must be Together""),"""")})="" - "","""",join("" - "",{iferror(filter('Student Groupings'!$A:$A,'Student Groupings'!$B:$B=$C20,'Student Groupings'!$H:$H=""Must be Together""),"""");iferror(filter('Student Groupings'!$A:$A,'Student Groupings'!$E:$E=$"&amp;"C20,'Student Groupings'!$H:$H=""Must be Together""),"""")})))")," - 119")</f>
        <v> - 119</v>
      </c>
    </row>
    <row r="21">
      <c r="A21" s="167">
        <v>9.0</v>
      </c>
      <c r="B21" s="168">
        <v>29080.0</v>
      </c>
      <c r="C21" s="144" t="s">
        <v>173</v>
      </c>
      <c r="D21" s="180" t="s">
        <v>40</v>
      </c>
      <c r="E21" s="181">
        <v>8.0</v>
      </c>
      <c r="F21" s="167" t="s">
        <v>61</v>
      </c>
      <c r="G21" s="167">
        <v>4.0</v>
      </c>
      <c r="H21" s="182" t="s">
        <v>76</v>
      </c>
      <c r="I21" s="167">
        <v>1.0</v>
      </c>
      <c r="J21" s="187"/>
      <c r="K21" s="167"/>
      <c r="L21" s="184" t="s">
        <v>88</v>
      </c>
      <c r="M21" s="167">
        <v>7.0</v>
      </c>
      <c r="N21" s="184" t="s">
        <v>128</v>
      </c>
      <c r="O21" s="167">
        <v>6.0</v>
      </c>
      <c r="P21" s="184" t="s">
        <v>51</v>
      </c>
      <c r="Q21" s="167">
        <v>2.0</v>
      </c>
      <c r="R21" s="184" t="s">
        <v>120</v>
      </c>
      <c r="S21" s="167">
        <v>5.0</v>
      </c>
      <c r="T21" s="187"/>
      <c r="U21" s="167"/>
      <c r="V21" s="184" t="s">
        <v>24</v>
      </c>
      <c r="W21" s="180">
        <v>3.0</v>
      </c>
      <c r="X21" s="142">
        <v>1.0</v>
      </c>
      <c r="Y21" s="142">
        <v>1.0</v>
      </c>
      <c r="Z21" s="142">
        <v>1.0</v>
      </c>
      <c r="AA21" s="142">
        <v>1.0</v>
      </c>
      <c r="AB21" s="142">
        <v>1.0</v>
      </c>
      <c r="AC21" s="142">
        <v>1.0</v>
      </c>
      <c r="AD21" s="142">
        <v>1.0</v>
      </c>
      <c r="AE21" s="142">
        <v>1.0</v>
      </c>
      <c r="AF21" s="142">
        <v>8.0</v>
      </c>
      <c r="AG21" s="142">
        <v>0.0</v>
      </c>
      <c r="AH21" s="185" t="str">
        <f>IFERROR(__xludf.DUMMYFUNCTION("if($C21="""","""",if(join("" - "",{iferror(filter('Student Groupings'!$A:$A,'Student Groupings'!$B:$B=$C21,'Student Groupings'!$H:$H=""Can't be Together""),"""");iferror(filter('Student Groupings'!$A:$A,'Student Groupings'!$E:$E=$C21,'Student Groupings'!$"&amp;"H:$H=""Can't be Together""),"""")})="" - "","""",join("" - "",{iferror(filter('Student Groupings'!$A:$A,'Student Groupings'!$B:$B=$C21,'Student Groupings'!$H:$H=""Can't be Together""),"""");iferror(filter('Student Groupings'!$A:$A,'Student Groupings'!$E:$"&amp;"E=$C21,'Student Groupings'!$H:$H=""Can't be Together""),"""")})))"),"")</f>
        <v/>
      </c>
      <c r="AI21" s="185" t="str">
        <f>IFERROR(__xludf.DUMMYFUNCTION("if($C21="""","""",if(join("" - "",{iferror(filter('Student Groupings'!$A:$A,'Student Groupings'!$B:$B=$C21,'Student Groupings'!$H:$H=""Must be Together""),"""");iferror(filter('Student Groupings'!$A:$A,'Student Groupings'!$E:$E=$C21,'Student Groupings'!$H"&amp;":$H=""Must be Together""),"""")})="" - "","""",join("" - "",{iferror(filter('Student Groupings'!$A:$A,'Student Groupings'!$B:$B=$C21,'Student Groupings'!$H:$H=""Must be Together""),"""");iferror(filter('Student Groupings'!$A:$A,'Student Groupings'!$E:$E=$"&amp;"C21,'Student Groupings'!$H:$H=""Must be Together""),"""")})))"),"")</f>
        <v/>
      </c>
    </row>
    <row r="22">
      <c r="A22" s="167">
        <v>9.0</v>
      </c>
      <c r="B22" s="168">
        <v>29157.0</v>
      </c>
      <c r="C22" s="144" t="s">
        <v>174</v>
      </c>
      <c r="D22" s="180" t="s">
        <v>40</v>
      </c>
      <c r="E22" s="181">
        <v>5.0</v>
      </c>
      <c r="F22" s="167" t="s">
        <v>61</v>
      </c>
      <c r="G22" s="167">
        <v>3.0</v>
      </c>
      <c r="H22" s="182" t="s">
        <v>76</v>
      </c>
      <c r="I22" s="167">
        <v>2.0</v>
      </c>
      <c r="J22" s="187"/>
      <c r="K22" s="167"/>
      <c r="L22" s="184" t="s">
        <v>88</v>
      </c>
      <c r="M22" s="167">
        <v>4.0</v>
      </c>
      <c r="N22" s="184" t="s">
        <v>128</v>
      </c>
      <c r="O22" s="167">
        <v>6.0</v>
      </c>
      <c r="P22" s="184" t="s">
        <v>51</v>
      </c>
      <c r="Q22" s="167">
        <v>7.0</v>
      </c>
      <c r="R22" s="184" t="s">
        <v>120</v>
      </c>
      <c r="S22" s="167">
        <v>1.0</v>
      </c>
      <c r="T22" s="183"/>
      <c r="U22" s="167"/>
      <c r="V22" s="184" t="s">
        <v>30</v>
      </c>
      <c r="W22" s="167">
        <v>8.0</v>
      </c>
      <c r="X22" s="142">
        <v>1.0</v>
      </c>
      <c r="Y22" s="142">
        <v>1.0</v>
      </c>
      <c r="Z22" s="142">
        <v>1.0</v>
      </c>
      <c r="AA22" s="142">
        <v>1.0</v>
      </c>
      <c r="AB22" s="142">
        <v>1.0</v>
      </c>
      <c r="AC22" s="142">
        <v>1.0</v>
      </c>
      <c r="AD22" s="142">
        <v>1.0</v>
      </c>
      <c r="AE22" s="142">
        <v>1.0</v>
      </c>
      <c r="AF22" s="142">
        <v>8.0</v>
      </c>
      <c r="AG22" s="142">
        <v>0.0</v>
      </c>
      <c r="AH22" s="185" t="str">
        <f>IFERROR(__xludf.DUMMYFUNCTION("if($C22="""","""",if(join("" - "",{iferror(filter('Student Groupings'!$A:$A,'Student Groupings'!$B:$B=$C22,'Student Groupings'!$H:$H=""Can't be Together""),"""");iferror(filter('Student Groupings'!$A:$A,'Student Groupings'!$E:$E=$C22,'Student Groupings'!$"&amp;"H:$H=""Can't be Together""),"""")})="" - "","""",join("" - "",{iferror(filter('Student Groupings'!$A:$A,'Student Groupings'!$B:$B=$C22,'Student Groupings'!$H:$H=""Can't be Together""),"""");iferror(filter('Student Groupings'!$A:$A,'Student Groupings'!$E:$"&amp;"E=$C22,'Student Groupings'!$H:$H=""Can't be Together""),"""")})))"),"")</f>
        <v/>
      </c>
      <c r="AI22" s="185" t="str">
        <f>IFERROR(__xludf.DUMMYFUNCTION("if($C22="""","""",if(join("" - "",{iferror(filter('Student Groupings'!$A:$A,'Student Groupings'!$B:$B=$C22,'Student Groupings'!$H:$H=""Must be Together""),"""");iferror(filter('Student Groupings'!$A:$A,'Student Groupings'!$E:$E=$C22,'Student Groupings'!$H"&amp;":$H=""Must be Together""),"""")})="" - "","""",join("" - "",{iferror(filter('Student Groupings'!$A:$A,'Student Groupings'!$B:$B=$C22,'Student Groupings'!$H:$H=""Must be Together""),"""");iferror(filter('Student Groupings'!$A:$A,'Student Groupings'!$E:$E=$"&amp;"C22,'Student Groupings'!$H:$H=""Must be Together""),"""")})))"),"")</f>
        <v/>
      </c>
    </row>
    <row r="23">
      <c r="A23" s="167">
        <v>9.0</v>
      </c>
      <c r="B23" s="168">
        <v>29111.0</v>
      </c>
      <c r="C23" s="144" t="s">
        <v>175</v>
      </c>
      <c r="D23" s="180" t="s">
        <v>40</v>
      </c>
      <c r="E23" s="181">
        <v>8.0</v>
      </c>
      <c r="F23" s="167" t="s">
        <v>61</v>
      </c>
      <c r="G23" s="167">
        <v>7.0</v>
      </c>
      <c r="H23" s="182" t="s">
        <v>76</v>
      </c>
      <c r="I23" s="167">
        <v>1.0</v>
      </c>
      <c r="J23" s="187"/>
      <c r="K23" s="167"/>
      <c r="L23" s="184" t="s">
        <v>88</v>
      </c>
      <c r="M23" s="167">
        <v>6.0</v>
      </c>
      <c r="N23" s="184" t="s">
        <v>128</v>
      </c>
      <c r="O23" s="167">
        <v>4.0</v>
      </c>
      <c r="P23" s="184" t="s">
        <v>51</v>
      </c>
      <c r="Q23" s="167">
        <v>2.0</v>
      </c>
      <c r="R23" s="184" t="s">
        <v>124</v>
      </c>
      <c r="S23" s="167">
        <v>5.0</v>
      </c>
      <c r="T23" s="187"/>
      <c r="U23" s="167"/>
      <c r="V23" s="184" t="s">
        <v>28</v>
      </c>
      <c r="W23" s="167">
        <v>3.0</v>
      </c>
      <c r="X23" s="142">
        <v>1.0</v>
      </c>
      <c r="Y23" s="142">
        <v>1.0</v>
      </c>
      <c r="Z23" s="142">
        <v>1.0</v>
      </c>
      <c r="AA23" s="142">
        <v>1.0</v>
      </c>
      <c r="AB23" s="142">
        <v>1.0</v>
      </c>
      <c r="AC23" s="142">
        <v>1.0</v>
      </c>
      <c r="AD23" s="142">
        <v>1.0</v>
      </c>
      <c r="AE23" s="142">
        <v>1.0</v>
      </c>
      <c r="AF23" s="142">
        <v>8.0</v>
      </c>
      <c r="AG23" s="142">
        <v>0.0</v>
      </c>
      <c r="AH23" s="185" t="str">
        <f>IFERROR(__xludf.DUMMYFUNCTION("if($C23="""","""",if(join("" - "",{iferror(filter('Student Groupings'!$A:$A,'Student Groupings'!$B:$B=$C23,'Student Groupings'!$H:$H=""Can't be Together""),"""");iferror(filter('Student Groupings'!$A:$A,'Student Groupings'!$E:$E=$C23,'Student Groupings'!$"&amp;"H:$H=""Can't be Together""),"""")})="" - "","""",join("" - "",{iferror(filter('Student Groupings'!$A:$A,'Student Groupings'!$B:$B=$C23,'Student Groupings'!$H:$H=""Can't be Together""),"""");iferror(filter('Student Groupings'!$A:$A,'Student Groupings'!$E:$"&amp;"E=$C23,'Student Groupings'!$H:$H=""Can't be Together""),"""")})))"),"")</f>
        <v/>
      </c>
      <c r="AI23" s="185" t="str">
        <f>IFERROR(__xludf.DUMMYFUNCTION("if($C23="""","""",if(join("" - "",{iferror(filter('Student Groupings'!$A:$A,'Student Groupings'!$B:$B=$C23,'Student Groupings'!$H:$H=""Must be Together""),"""");iferror(filter('Student Groupings'!$A:$A,'Student Groupings'!$E:$E=$C23,'Student Groupings'!$H"&amp;":$H=""Must be Together""),"""")})="" - "","""",join("" - "",{iferror(filter('Student Groupings'!$A:$A,'Student Groupings'!$B:$B=$C23,'Student Groupings'!$H:$H=""Must be Together""),"""");iferror(filter('Student Groupings'!$A:$A,'Student Groupings'!$E:$E=$"&amp;"C23,'Student Groupings'!$H:$H=""Must be Together""),"""")})))")," - 61")</f>
        <v> - 61</v>
      </c>
    </row>
    <row r="24">
      <c r="A24" s="167">
        <v>9.0</v>
      </c>
      <c r="B24" s="168">
        <v>29107.0</v>
      </c>
      <c r="C24" s="144" t="s">
        <v>176</v>
      </c>
      <c r="D24" s="180" t="s">
        <v>40</v>
      </c>
      <c r="E24" s="181">
        <v>1.0</v>
      </c>
      <c r="F24" s="167" t="s">
        <v>61</v>
      </c>
      <c r="G24" s="167">
        <v>5.0</v>
      </c>
      <c r="H24" s="182" t="s">
        <v>76</v>
      </c>
      <c r="I24" s="167">
        <v>3.0</v>
      </c>
      <c r="J24" s="187"/>
      <c r="K24" s="167"/>
      <c r="L24" s="184" t="s">
        <v>88</v>
      </c>
      <c r="M24" s="167">
        <v>4.0</v>
      </c>
      <c r="N24" s="184" t="s">
        <v>128</v>
      </c>
      <c r="O24" s="167">
        <v>8.0</v>
      </c>
      <c r="P24" s="184" t="s">
        <v>51</v>
      </c>
      <c r="Q24" s="167">
        <v>2.0</v>
      </c>
      <c r="R24" s="191" t="s">
        <v>122</v>
      </c>
      <c r="S24" s="167">
        <v>6.0</v>
      </c>
      <c r="T24" s="187"/>
      <c r="U24" s="167"/>
      <c r="V24" s="184" t="s">
        <v>30</v>
      </c>
      <c r="W24" s="167">
        <v>7.0</v>
      </c>
      <c r="X24" s="142">
        <v>1.0</v>
      </c>
      <c r="Y24" s="142">
        <v>1.0</v>
      </c>
      <c r="Z24" s="142">
        <v>1.0</v>
      </c>
      <c r="AA24" s="142">
        <v>1.0</v>
      </c>
      <c r="AB24" s="142">
        <v>1.0</v>
      </c>
      <c r="AC24" s="142">
        <v>1.0</v>
      </c>
      <c r="AD24" s="142">
        <v>1.0</v>
      </c>
      <c r="AE24" s="142">
        <v>1.0</v>
      </c>
      <c r="AF24" s="142">
        <v>8.0</v>
      </c>
      <c r="AG24" s="142">
        <v>0.0</v>
      </c>
      <c r="AH24" s="185" t="str">
        <f>IFERROR(__xludf.DUMMYFUNCTION("if($C24="""","""",if(join("" - "",{iferror(filter('Student Groupings'!$A:$A,'Student Groupings'!$B:$B=$C24,'Student Groupings'!$H:$H=""Can't be Together""),"""");iferror(filter('Student Groupings'!$A:$A,'Student Groupings'!$E:$E=$C24,'Student Groupings'!$"&amp;"H:$H=""Can't be Together""),"""")})="" - "","""",join("" - "",{iferror(filter('Student Groupings'!$A:$A,'Student Groupings'!$B:$B=$C24,'Student Groupings'!$H:$H=""Can't be Together""),"""");iferror(filter('Student Groupings'!$A:$A,'Student Groupings'!$E:$"&amp;"E=$C24,'Student Groupings'!$H:$H=""Can't be Together""),"""")})))"),"")</f>
        <v/>
      </c>
      <c r="AI24" s="185" t="str">
        <f>IFERROR(__xludf.DUMMYFUNCTION("if($C24="""","""",if(join("" - "",{iferror(filter('Student Groupings'!$A:$A,'Student Groupings'!$B:$B=$C24,'Student Groupings'!$H:$H=""Must be Together""),"""");iferror(filter('Student Groupings'!$A:$A,'Student Groupings'!$E:$E=$C24,'Student Groupings'!$H"&amp;":$H=""Must be Together""),"""")})="" - "","""",join("" - "",{iferror(filter('Student Groupings'!$A:$A,'Student Groupings'!$B:$B=$C24,'Student Groupings'!$H:$H=""Must be Together""),"""");iferror(filter('Student Groupings'!$A:$A,'Student Groupings'!$E:$E=$"&amp;"C24,'Student Groupings'!$H:$H=""Must be Together""),"""")})))"),"")</f>
        <v/>
      </c>
    </row>
    <row r="25">
      <c r="A25" s="167">
        <v>9.0</v>
      </c>
      <c r="B25" s="168">
        <v>29066.0</v>
      </c>
      <c r="C25" s="144" t="s">
        <v>177</v>
      </c>
      <c r="D25" s="180" t="s">
        <v>40</v>
      </c>
      <c r="E25" s="181">
        <v>6.0</v>
      </c>
      <c r="F25" s="167" t="s">
        <v>61</v>
      </c>
      <c r="G25" s="167">
        <v>4.0</v>
      </c>
      <c r="H25" s="182" t="s">
        <v>76</v>
      </c>
      <c r="I25" s="167">
        <v>8.0</v>
      </c>
      <c r="J25" s="187"/>
      <c r="K25" s="167"/>
      <c r="L25" s="184" t="s">
        <v>88</v>
      </c>
      <c r="M25" s="167">
        <v>7.0</v>
      </c>
      <c r="N25" s="184" t="s">
        <v>128</v>
      </c>
      <c r="O25" s="167">
        <v>1.0</v>
      </c>
      <c r="P25" s="184" t="s">
        <v>51</v>
      </c>
      <c r="Q25" s="167">
        <v>2.0</v>
      </c>
      <c r="R25" s="184" t="s">
        <v>120</v>
      </c>
      <c r="S25" s="167">
        <v>5.0</v>
      </c>
      <c r="T25" s="188"/>
      <c r="U25" s="193"/>
      <c r="V25" s="184" t="s">
        <v>24</v>
      </c>
      <c r="W25" s="167">
        <v>3.0</v>
      </c>
      <c r="X25" s="142">
        <v>1.0</v>
      </c>
      <c r="Y25" s="142">
        <v>1.0</v>
      </c>
      <c r="Z25" s="142">
        <v>1.0</v>
      </c>
      <c r="AA25" s="142">
        <v>1.0</v>
      </c>
      <c r="AB25" s="142">
        <v>1.0</v>
      </c>
      <c r="AC25" s="142">
        <v>1.0</v>
      </c>
      <c r="AD25" s="142">
        <v>1.0</v>
      </c>
      <c r="AE25" s="142">
        <v>1.0</v>
      </c>
      <c r="AF25" s="142">
        <v>8.0</v>
      </c>
      <c r="AG25" s="142">
        <v>0.0</v>
      </c>
      <c r="AH25" s="185" t="str">
        <f>IFERROR(__xludf.DUMMYFUNCTION("if($C25="""","""",if(join("" - "",{iferror(filter('Student Groupings'!$A:$A,'Student Groupings'!$B:$B=$C25,'Student Groupings'!$H:$H=""Can't be Together""),"""");iferror(filter('Student Groupings'!$A:$A,'Student Groupings'!$E:$E=$C25,'Student Groupings'!$"&amp;"H:$H=""Can't be Together""),"""")})="" - "","""",join("" - "",{iferror(filter('Student Groupings'!$A:$A,'Student Groupings'!$B:$B=$C25,'Student Groupings'!$H:$H=""Can't be Together""),"""");iferror(filter('Student Groupings'!$A:$A,'Student Groupings'!$E:$"&amp;"E=$C25,'Student Groupings'!$H:$H=""Can't be Together""),"""")})))"),"")</f>
        <v/>
      </c>
      <c r="AI25" s="185" t="str">
        <f>IFERROR(__xludf.DUMMYFUNCTION("if($C25="""","""",if(join("" - "",{iferror(filter('Student Groupings'!$A:$A,'Student Groupings'!$B:$B=$C25,'Student Groupings'!$H:$H=""Must be Together""),"""");iferror(filter('Student Groupings'!$A:$A,'Student Groupings'!$E:$E=$C25,'Student Groupings'!$H"&amp;":$H=""Must be Together""),"""")})="" - "","""",join("" - "",{iferror(filter('Student Groupings'!$A:$A,'Student Groupings'!$B:$B=$C25,'Student Groupings'!$H:$H=""Must be Together""),"""");iferror(filter('Student Groupings'!$A:$A,'Student Groupings'!$E:$E=$"&amp;"C25,'Student Groupings'!$H:$H=""Must be Together""),"""")})))"),"")</f>
        <v/>
      </c>
    </row>
    <row r="26">
      <c r="A26" s="167">
        <v>9.0</v>
      </c>
      <c r="B26" s="168">
        <v>29071.0</v>
      </c>
      <c r="C26" s="144" t="s">
        <v>178</v>
      </c>
      <c r="D26" s="180" t="s">
        <v>40</v>
      </c>
      <c r="E26" s="181">
        <v>5.0</v>
      </c>
      <c r="F26" s="167" t="s">
        <v>61</v>
      </c>
      <c r="G26" s="167">
        <v>3.0</v>
      </c>
      <c r="H26" s="182" t="s">
        <v>76</v>
      </c>
      <c r="I26" s="167">
        <v>2.0</v>
      </c>
      <c r="J26" s="187"/>
      <c r="K26" s="167"/>
      <c r="L26" s="184" t="s">
        <v>88</v>
      </c>
      <c r="M26" s="167">
        <v>4.0</v>
      </c>
      <c r="N26" s="184" t="s">
        <v>128</v>
      </c>
      <c r="O26" s="167">
        <v>6.0</v>
      </c>
      <c r="P26" s="184" t="s">
        <v>51</v>
      </c>
      <c r="Q26" s="167">
        <v>7.0</v>
      </c>
      <c r="R26" s="184" t="s">
        <v>120</v>
      </c>
      <c r="S26" s="167">
        <v>1.0</v>
      </c>
      <c r="T26" s="187"/>
      <c r="U26" s="167"/>
      <c r="V26" s="184" t="s">
        <v>30</v>
      </c>
      <c r="W26" s="167">
        <v>8.0</v>
      </c>
      <c r="X26" s="142">
        <v>1.0</v>
      </c>
      <c r="Y26" s="142">
        <v>1.0</v>
      </c>
      <c r="Z26" s="142">
        <v>1.0</v>
      </c>
      <c r="AA26" s="142">
        <v>1.0</v>
      </c>
      <c r="AB26" s="142">
        <v>1.0</v>
      </c>
      <c r="AC26" s="142">
        <v>1.0</v>
      </c>
      <c r="AD26" s="142">
        <v>1.0</v>
      </c>
      <c r="AE26" s="142">
        <v>1.0</v>
      </c>
      <c r="AF26" s="142">
        <v>8.0</v>
      </c>
      <c r="AG26" s="142">
        <v>0.0</v>
      </c>
      <c r="AH26" s="185" t="str">
        <f>IFERROR(__xludf.DUMMYFUNCTION("if($C26="""","""",if(join("" - "",{iferror(filter('Student Groupings'!$A:$A,'Student Groupings'!$B:$B=$C26,'Student Groupings'!$H:$H=""Can't be Together""),"""");iferror(filter('Student Groupings'!$A:$A,'Student Groupings'!$E:$E=$C26,'Student Groupings'!$"&amp;"H:$H=""Can't be Together""),"""")})="" - "","""",join("" - "",{iferror(filter('Student Groupings'!$A:$A,'Student Groupings'!$B:$B=$C26,'Student Groupings'!$H:$H=""Can't be Together""),"""");iferror(filter('Student Groupings'!$A:$A,'Student Groupings'!$E:$"&amp;"E=$C26,'Student Groupings'!$H:$H=""Can't be Together""),"""")})))"),"")</f>
        <v/>
      </c>
      <c r="AI26" s="185" t="str">
        <f>IFERROR(__xludf.DUMMYFUNCTION("if($C26="""","""",if(join("" - "",{iferror(filter('Student Groupings'!$A:$A,'Student Groupings'!$B:$B=$C26,'Student Groupings'!$H:$H=""Must be Together""),"""");iferror(filter('Student Groupings'!$A:$A,'Student Groupings'!$E:$E=$C26,'Student Groupings'!$H"&amp;":$H=""Must be Together""),"""")})="" - "","""",join("" - "",{iferror(filter('Student Groupings'!$A:$A,'Student Groupings'!$B:$B=$C26,'Student Groupings'!$H:$H=""Must be Together""),"""");iferror(filter('Student Groupings'!$A:$A,'Student Groupings'!$E:$E=$"&amp;"C26,'Student Groupings'!$H:$H=""Must be Together""),"""")})))"),"")</f>
        <v/>
      </c>
    </row>
    <row r="27">
      <c r="A27" s="167">
        <v>9.0</v>
      </c>
      <c r="B27" s="194">
        <v>29008.0</v>
      </c>
      <c r="C27" s="144" t="s">
        <v>179</v>
      </c>
      <c r="D27" s="180" t="s">
        <v>40</v>
      </c>
      <c r="E27" s="181">
        <v>8.0</v>
      </c>
      <c r="F27" s="167" t="s">
        <v>61</v>
      </c>
      <c r="G27" s="167">
        <v>4.0</v>
      </c>
      <c r="H27" s="182" t="s">
        <v>76</v>
      </c>
      <c r="I27" s="167">
        <v>3.0</v>
      </c>
      <c r="J27" s="187"/>
      <c r="K27" s="167"/>
      <c r="L27" s="184" t="s">
        <v>88</v>
      </c>
      <c r="M27" s="167">
        <v>6.0</v>
      </c>
      <c r="N27" s="184" t="s">
        <v>128</v>
      </c>
      <c r="O27" s="167">
        <v>5.0</v>
      </c>
      <c r="P27" s="184" t="s">
        <v>51</v>
      </c>
      <c r="Q27" s="167">
        <v>2.0</v>
      </c>
      <c r="R27" s="184" t="s">
        <v>124</v>
      </c>
      <c r="S27" s="167">
        <v>1.0</v>
      </c>
      <c r="T27" s="188"/>
      <c r="U27" s="167"/>
      <c r="V27" s="184" t="s">
        <v>24</v>
      </c>
      <c r="W27" s="167">
        <v>7.0</v>
      </c>
      <c r="X27" s="142">
        <v>1.0</v>
      </c>
      <c r="Y27" s="142">
        <v>1.0</v>
      </c>
      <c r="Z27" s="142">
        <v>1.0</v>
      </c>
      <c r="AA27" s="142">
        <v>1.0</v>
      </c>
      <c r="AB27" s="142">
        <v>1.0</v>
      </c>
      <c r="AC27" s="142">
        <v>1.0</v>
      </c>
      <c r="AD27" s="142">
        <v>1.0</v>
      </c>
      <c r="AE27" s="142">
        <v>1.0</v>
      </c>
      <c r="AF27" s="142">
        <v>8.0</v>
      </c>
      <c r="AG27" s="142">
        <v>0.0</v>
      </c>
      <c r="AH27" s="185" t="str">
        <f>IFERROR(__xludf.DUMMYFUNCTION("if($C27="""","""",if(join("" - "",{iferror(filter('Student Groupings'!$A:$A,'Student Groupings'!$B:$B=$C27,'Student Groupings'!$H:$H=""Can't be Together""),"""");iferror(filter('Student Groupings'!$A:$A,'Student Groupings'!$E:$E=$C27,'Student Groupings'!$"&amp;"H:$H=""Can't be Together""),"""")})="" - "","""",join("" - "",{iferror(filter('Student Groupings'!$A:$A,'Student Groupings'!$B:$B=$C27,'Student Groupings'!$H:$H=""Can't be Together""),"""");iferror(filter('Student Groupings'!$A:$A,'Student Groupings'!$E:$"&amp;"E=$C27,'Student Groupings'!$H:$H=""Can't be Together""),"""")})))"),"")</f>
        <v/>
      </c>
      <c r="AI27" s="185" t="str">
        <f>IFERROR(__xludf.DUMMYFUNCTION("if($C27="""","""",if(join("" - "",{iferror(filter('Student Groupings'!$A:$A,'Student Groupings'!$B:$B=$C27,'Student Groupings'!$H:$H=""Must be Together""),"""");iferror(filter('Student Groupings'!$A:$A,'Student Groupings'!$E:$E=$C27,'Student Groupings'!$H"&amp;":$H=""Must be Together""),"""")})="" - "","""",join("" - "",{iferror(filter('Student Groupings'!$A:$A,'Student Groupings'!$B:$B=$C27,'Student Groupings'!$H:$H=""Must be Together""),"""");iferror(filter('Student Groupings'!$A:$A,'Student Groupings'!$E:$E=$"&amp;"C27,'Student Groupings'!$H:$H=""Must be Together""),"""")})))"),"")</f>
        <v/>
      </c>
    </row>
    <row r="28">
      <c r="A28" s="167">
        <v>9.0</v>
      </c>
      <c r="B28" s="168">
        <v>29016.0</v>
      </c>
      <c r="C28" s="144" t="s">
        <v>180</v>
      </c>
      <c r="D28" s="180" t="s">
        <v>40</v>
      </c>
      <c r="E28" s="181">
        <v>1.0</v>
      </c>
      <c r="F28" s="167" t="s">
        <v>61</v>
      </c>
      <c r="G28" s="167">
        <v>3.0</v>
      </c>
      <c r="H28" s="182" t="s">
        <v>76</v>
      </c>
      <c r="I28" s="167">
        <v>8.0</v>
      </c>
      <c r="J28" s="187"/>
      <c r="K28" s="167"/>
      <c r="L28" s="184" t="s">
        <v>88</v>
      </c>
      <c r="M28" s="167">
        <v>4.0</v>
      </c>
      <c r="N28" s="184" t="s">
        <v>128</v>
      </c>
      <c r="O28" s="167">
        <v>6.0</v>
      </c>
      <c r="P28" s="184" t="s">
        <v>51</v>
      </c>
      <c r="Q28" s="167">
        <v>2.0</v>
      </c>
      <c r="R28" s="184" t="s">
        <v>120</v>
      </c>
      <c r="S28" s="167">
        <v>5.0</v>
      </c>
      <c r="T28" s="187"/>
      <c r="U28" s="167"/>
      <c r="V28" s="184" t="s">
        <v>30</v>
      </c>
      <c r="W28" s="167">
        <v>7.0</v>
      </c>
      <c r="X28" s="142">
        <v>1.0</v>
      </c>
      <c r="Y28" s="142">
        <v>1.0</v>
      </c>
      <c r="Z28" s="142">
        <v>1.0</v>
      </c>
      <c r="AA28" s="142">
        <v>1.0</v>
      </c>
      <c r="AB28" s="142">
        <v>1.0</v>
      </c>
      <c r="AC28" s="142">
        <v>1.0</v>
      </c>
      <c r="AD28" s="142">
        <v>1.0</v>
      </c>
      <c r="AE28" s="142">
        <v>1.0</v>
      </c>
      <c r="AF28" s="142">
        <v>8.0</v>
      </c>
      <c r="AG28" s="142">
        <v>0.0</v>
      </c>
      <c r="AH28" s="185" t="str">
        <f>IFERROR(__xludf.DUMMYFUNCTION("if($C28="""","""",if(join("" - "",{iferror(filter('Student Groupings'!$A:$A,'Student Groupings'!$B:$B=$C28,'Student Groupings'!$H:$H=""Can't be Together""),"""");iferror(filter('Student Groupings'!$A:$A,'Student Groupings'!$E:$E=$C28,'Student Groupings'!$"&amp;"H:$H=""Can't be Together""),"""")})="" - "","""",join("" - "",{iferror(filter('Student Groupings'!$A:$A,'Student Groupings'!$B:$B=$C28,'Student Groupings'!$H:$H=""Can't be Together""),"""");iferror(filter('Student Groupings'!$A:$A,'Student Groupings'!$E:$"&amp;"E=$C28,'Student Groupings'!$H:$H=""Can't be Together""),"""")})))"),"")</f>
        <v/>
      </c>
      <c r="AI28" s="185" t="str">
        <f>IFERROR(__xludf.DUMMYFUNCTION("if($C28="""","""",if(join("" - "",{iferror(filter('Student Groupings'!$A:$A,'Student Groupings'!$B:$B=$C28,'Student Groupings'!$H:$H=""Must be Together""),"""");iferror(filter('Student Groupings'!$A:$A,'Student Groupings'!$E:$E=$C28,'Student Groupings'!$H"&amp;":$H=""Must be Together""),"""")})="" - "","""",join("" - "",{iferror(filter('Student Groupings'!$A:$A,'Student Groupings'!$B:$B=$C28,'Student Groupings'!$H:$H=""Must be Together""),"""");iferror(filter('Student Groupings'!$A:$A,'Student Groupings'!$E:$E=$"&amp;"C28,'Student Groupings'!$H:$H=""Must be Together""),"""")})))"),"")</f>
        <v/>
      </c>
    </row>
    <row r="29">
      <c r="A29" s="167">
        <v>9.0</v>
      </c>
      <c r="B29" s="168">
        <v>29053.0</v>
      </c>
      <c r="C29" s="144" t="s">
        <v>181</v>
      </c>
      <c r="D29" s="180" t="s">
        <v>40</v>
      </c>
      <c r="E29" s="181">
        <v>1.0</v>
      </c>
      <c r="F29" s="167" t="s">
        <v>61</v>
      </c>
      <c r="G29" s="167">
        <v>6.0</v>
      </c>
      <c r="H29" s="182" t="s">
        <v>76</v>
      </c>
      <c r="I29" s="167">
        <v>2.0</v>
      </c>
      <c r="J29" s="187"/>
      <c r="K29" s="167"/>
      <c r="L29" s="184" t="s">
        <v>88</v>
      </c>
      <c r="M29" s="167">
        <v>7.0</v>
      </c>
      <c r="N29" s="184" t="s">
        <v>128</v>
      </c>
      <c r="O29" s="167">
        <v>4.0</v>
      </c>
      <c r="P29" s="184" t="s">
        <v>51</v>
      </c>
      <c r="Q29" s="167">
        <v>5.0</v>
      </c>
      <c r="R29" s="184" t="s">
        <v>120</v>
      </c>
      <c r="S29" s="167">
        <v>3.0</v>
      </c>
      <c r="T29" s="187"/>
      <c r="U29" s="167"/>
      <c r="V29" s="184" t="s">
        <v>30</v>
      </c>
      <c r="W29" s="167">
        <v>8.0</v>
      </c>
      <c r="X29" s="142">
        <v>1.0</v>
      </c>
      <c r="Y29" s="142">
        <v>1.0</v>
      </c>
      <c r="Z29" s="142">
        <v>1.0</v>
      </c>
      <c r="AA29" s="142">
        <v>1.0</v>
      </c>
      <c r="AB29" s="142">
        <v>1.0</v>
      </c>
      <c r="AC29" s="142">
        <v>1.0</v>
      </c>
      <c r="AD29" s="142">
        <v>1.0</v>
      </c>
      <c r="AE29" s="142">
        <v>1.0</v>
      </c>
      <c r="AF29" s="142">
        <v>8.0</v>
      </c>
      <c r="AG29" s="142">
        <v>0.0</v>
      </c>
      <c r="AH29" s="185" t="str">
        <f>IFERROR(__xludf.DUMMYFUNCTION("if($C29="""","""",if(join("" - "",{iferror(filter('Student Groupings'!$A:$A,'Student Groupings'!$B:$B=$C29,'Student Groupings'!$H:$H=""Can't be Together""),"""");iferror(filter('Student Groupings'!$A:$A,'Student Groupings'!$E:$E=$C29,'Student Groupings'!$"&amp;"H:$H=""Can't be Together""),"""")})="" - "","""",join("" - "",{iferror(filter('Student Groupings'!$A:$A,'Student Groupings'!$B:$B=$C29,'Student Groupings'!$H:$H=""Can't be Together""),"""");iferror(filter('Student Groupings'!$A:$A,'Student Groupings'!$E:$"&amp;"E=$C29,'Student Groupings'!$H:$H=""Can't be Together""),"""")})))"),"")</f>
        <v/>
      </c>
      <c r="AI29" s="185" t="str">
        <f>IFERROR(__xludf.DUMMYFUNCTION("if($C29="""","""",if(join("" - "",{iferror(filter('Student Groupings'!$A:$A,'Student Groupings'!$B:$B=$C29,'Student Groupings'!$H:$H=""Must be Together""),"""");iferror(filter('Student Groupings'!$A:$A,'Student Groupings'!$E:$E=$C29,'Student Groupings'!$H"&amp;":$H=""Must be Together""),"""")})="" - "","""",join("" - "",{iferror(filter('Student Groupings'!$A:$A,'Student Groupings'!$B:$B=$C29,'Student Groupings'!$H:$H=""Must be Together""),"""");iferror(filter('Student Groupings'!$A:$A,'Student Groupings'!$E:$E=$"&amp;"C29,'Student Groupings'!$H:$H=""Must be Together""),"""")})))"),"")</f>
        <v/>
      </c>
    </row>
    <row r="30">
      <c r="A30" s="167">
        <v>9.0</v>
      </c>
      <c r="B30" s="168">
        <v>29124.0</v>
      </c>
      <c r="C30" s="144" t="s">
        <v>182</v>
      </c>
      <c r="D30" s="180" t="s">
        <v>40</v>
      </c>
      <c r="E30" s="181">
        <v>1.0</v>
      </c>
      <c r="F30" s="167" t="s">
        <v>61</v>
      </c>
      <c r="G30" s="167">
        <v>5.0</v>
      </c>
      <c r="H30" s="182" t="s">
        <v>76</v>
      </c>
      <c r="I30" s="167">
        <v>2.0</v>
      </c>
      <c r="J30" s="187"/>
      <c r="K30" s="167"/>
      <c r="L30" s="184" t="s">
        <v>88</v>
      </c>
      <c r="M30" s="167">
        <v>3.0</v>
      </c>
      <c r="N30" s="184" t="s">
        <v>128</v>
      </c>
      <c r="O30" s="167">
        <v>4.0</v>
      </c>
      <c r="P30" s="184" t="s">
        <v>51</v>
      </c>
      <c r="Q30" s="167">
        <v>7.0</v>
      </c>
      <c r="R30" s="191" t="s">
        <v>122</v>
      </c>
      <c r="S30" s="167">
        <v>6.0</v>
      </c>
      <c r="T30" s="187"/>
      <c r="U30" s="167"/>
      <c r="V30" s="184" t="s">
        <v>24</v>
      </c>
      <c r="W30" s="180">
        <v>8.0</v>
      </c>
      <c r="X30" s="142">
        <v>1.0</v>
      </c>
      <c r="Y30" s="142">
        <v>1.0</v>
      </c>
      <c r="Z30" s="142">
        <v>1.0</v>
      </c>
      <c r="AA30" s="142">
        <v>1.0</v>
      </c>
      <c r="AB30" s="142">
        <v>1.0</v>
      </c>
      <c r="AC30" s="142">
        <v>1.0</v>
      </c>
      <c r="AD30" s="142">
        <v>1.0</v>
      </c>
      <c r="AE30" s="142">
        <v>1.0</v>
      </c>
      <c r="AF30" s="142">
        <v>8.0</v>
      </c>
      <c r="AG30" s="142">
        <v>0.0</v>
      </c>
      <c r="AH30" s="185" t="str">
        <f>IFERROR(__xludf.DUMMYFUNCTION("if($C30="""","""",if(join("" - "",{iferror(filter('Student Groupings'!$A:$A,'Student Groupings'!$B:$B=$C30,'Student Groupings'!$H:$H=""Can't be Together""),"""");iferror(filter('Student Groupings'!$A:$A,'Student Groupings'!$E:$E=$C30,'Student Groupings'!$"&amp;"H:$H=""Can't be Together""),"""")})="" - "","""",join("" - "",{iferror(filter('Student Groupings'!$A:$A,'Student Groupings'!$B:$B=$C30,'Student Groupings'!$H:$H=""Can't be Together""),"""");iferror(filter('Student Groupings'!$A:$A,'Student Groupings'!$E:$"&amp;"E=$C30,'Student Groupings'!$H:$H=""Can't be Together""),"""")})))"),"")</f>
        <v/>
      </c>
      <c r="AI30" s="185" t="str">
        <f>IFERROR(__xludf.DUMMYFUNCTION("if($C30="""","""",if(join("" - "",{iferror(filter('Student Groupings'!$A:$A,'Student Groupings'!$B:$B=$C30,'Student Groupings'!$H:$H=""Must be Together""),"""");iferror(filter('Student Groupings'!$A:$A,'Student Groupings'!$E:$E=$C30,'Student Groupings'!$H"&amp;":$H=""Must be Together""),"""")})="" - "","""",join("" - "",{iferror(filter('Student Groupings'!$A:$A,'Student Groupings'!$B:$B=$C30,'Student Groupings'!$H:$H=""Must be Together""),"""");iferror(filter('Student Groupings'!$A:$A,'Student Groupings'!$E:$E=$"&amp;"C30,'Student Groupings'!$H:$H=""Must be Together""),"""")})))"),"")</f>
        <v/>
      </c>
    </row>
    <row r="31">
      <c r="A31" s="167">
        <v>9.0</v>
      </c>
      <c r="B31" s="168">
        <v>29135.0</v>
      </c>
      <c r="C31" s="144" t="s">
        <v>183</v>
      </c>
      <c r="D31" s="180" t="s">
        <v>40</v>
      </c>
      <c r="E31" s="181">
        <v>1.0</v>
      </c>
      <c r="F31" s="167" t="s">
        <v>61</v>
      </c>
      <c r="G31" s="167">
        <v>8.0</v>
      </c>
      <c r="H31" s="182" t="s">
        <v>76</v>
      </c>
      <c r="I31" s="167">
        <v>2.0</v>
      </c>
      <c r="J31" s="187"/>
      <c r="K31" s="167"/>
      <c r="L31" s="184" t="s">
        <v>88</v>
      </c>
      <c r="M31" s="167">
        <v>7.0</v>
      </c>
      <c r="N31" s="184" t="s">
        <v>128</v>
      </c>
      <c r="O31" s="167">
        <v>5.0</v>
      </c>
      <c r="P31" s="184" t="s">
        <v>51</v>
      </c>
      <c r="Q31" s="167">
        <v>4.0</v>
      </c>
      <c r="R31" s="191" t="s">
        <v>122</v>
      </c>
      <c r="S31" s="167">
        <v>6.0</v>
      </c>
      <c r="T31" s="187"/>
      <c r="U31" s="167"/>
      <c r="V31" s="184" t="s">
        <v>24</v>
      </c>
      <c r="W31" s="167">
        <v>3.0</v>
      </c>
      <c r="X31" s="142">
        <v>1.0</v>
      </c>
      <c r="Y31" s="142">
        <v>1.0</v>
      </c>
      <c r="Z31" s="142">
        <v>1.0</v>
      </c>
      <c r="AA31" s="142">
        <v>1.0</v>
      </c>
      <c r="AB31" s="142">
        <v>1.0</v>
      </c>
      <c r="AC31" s="142">
        <v>1.0</v>
      </c>
      <c r="AD31" s="142">
        <v>1.0</v>
      </c>
      <c r="AE31" s="142">
        <v>1.0</v>
      </c>
      <c r="AF31" s="142">
        <v>8.0</v>
      </c>
      <c r="AG31" s="142">
        <v>0.0</v>
      </c>
      <c r="AH31" s="185" t="str">
        <f>IFERROR(__xludf.DUMMYFUNCTION("if($C31="""","""",if(join("" - "",{iferror(filter('Student Groupings'!$A:$A,'Student Groupings'!$B:$B=$C31,'Student Groupings'!$H:$H=""Can't be Together""),"""");iferror(filter('Student Groupings'!$A:$A,'Student Groupings'!$E:$E=$C31,'Student Groupings'!$"&amp;"H:$H=""Can't be Together""),"""")})="" - "","""",join("" - "",{iferror(filter('Student Groupings'!$A:$A,'Student Groupings'!$B:$B=$C31,'Student Groupings'!$H:$H=""Can't be Together""),"""");iferror(filter('Student Groupings'!$A:$A,'Student Groupings'!$E:$"&amp;"E=$C31,'Student Groupings'!$H:$H=""Can't be Together""),"""")})))"),"")</f>
        <v/>
      </c>
      <c r="AI31" s="185" t="str">
        <f>IFERROR(__xludf.DUMMYFUNCTION("if($C31="""","""",if(join("" - "",{iferror(filter('Student Groupings'!$A:$A,'Student Groupings'!$B:$B=$C31,'Student Groupings'!$H:$H=""Must be Together""),"""");iferror(filter('Student Groupings'!$A:$A,'Student Groupings'!$E:$E=$C31,'Student Groupings'!$H"&amp;":$H=""Must be Together""),"""")})="" - "","""",join("" - "",{iferror(filter('Student Groupings'!$A:$A,'Student Groupings'!$B:$B=$C31,'Student Groupings'!$H:$H=""Must be Together""),"""");iferror(filter('Student Groupings'!$A:$A,'Student Groupings'!$E:$E=$"&amp;"C31,'Student Groupings'!$H:$H=""Must be Together""),"""")})))"),"")</f>
        <v/>
      </c>
    </row>
    <row r="32">
      <c r="A32" s="167">
        <v>9.0</v>
      </c>
      <c r="B32" s="168">
        <v>29112.0</v>
      </c>
      <c r="C32" s="144" t="s">
        <v>184</v>
      </c>
      <c r="D32" s="180" t="s">
        <v>40</v>
      </c>
      <c r="E32" s="181">
        <v>2.0</v>
      </c>
      <c r="F32" s="167" t="s">
        <v>61</v>
      </c>
      <c r="G32" s="167">
        <v>6.0</v>
      </c>
      <c r="H32" s="182" t="s">
        <v>76</v>
      </c>
      <c r="I32" s="167">
        <v>8.0</v>
      </c>
      <c r="J32" s="187"/>
      <c r="K32" s="167"/>
      <c r="L32" s="184" t="s">
        <v>88</v>
      </c>
      <c r="M32" s="167">
        <v>1.0</v>
      </c>
      <c r="N32" s="184" t="s">
        <v>128</v>
      </c>
      <c r="O32" s="167">
        <v>4.0</v>
      </c>
      <c r="P32" s="184" t="s">
        <v>51</v>
      </c>
      <c r="Q32" s="167">
        <v>3.0</v>
      </c>
      <c r="R32" s="184" t="s">
        <v>120</v>
      </c>
      <c r="S32" s="167">
        <v>5.0</v>
      </c>
      <c r="T32" s="187"/>
      <c r="U32" s="167"/>
      <c r="V32" s="184" t="s">
        <v>30</v>
      </c>
      <c r="W32" s="167">
        <v>7.0</v>
      </c>
      <c r="X32" s="142">
        <v>1.0</v>
      </c>
      <c r="Y32" s="142">
        <v>1.0</v>
      </c>
      <c r="Z32" s="142">
        <v>1.0</v>
      </c>
      <c r="AA32" s="142">
        <v>1.0</v>
      </c>
      <c r="AB32" s="142">
        <v>1.0</v>
      </c>
      <c r="AC32" s="142">
        <v>1.0</v>
      </c>
      <c r="AD32" s="142">
        <v>1.0</v>
      </c>
      <c r="AE32" s="142">
        <v>1.0</v>
      </c>
      <c r="AF32" s="142">
        <v>8.0</v>
      </c>
      <c r="AG32" s="142">
        <v>0.0</v>
      </c>
      <c r="AH32" s="185" t="str">
        <f>IFERROR(__xludf.DUMMYFUNCTION("if($C32="""","""",if(join("" - "",{iferror(filter('Student Groupings'!$A:$A,'Student Groupings'!$B:$B=$C32,'Student Groupings'!$H:$H=""Can't be Together""),"""");iferror(filter('Student Groupings'!$A:$A,'Student Groupings'!$E:$E=$C32,'Student Groupings'!$"&amp;"H:$H=""Can't be Together""),"""")})="" - "","""",join("" - "",{iferror(filter('Student Groupings'!$A:$A,'Student Groupings'!$B:$B=$C32,'Student Groupings'!$H:$H=""Can't be Together""),"""");iferror(filter('Student Groupings'!$A:$A,'Student Groupings'!$E:$"&amp;"E=$C32,'Student Groupings'!$H:$H=""Can't be Together""),"""")})))")," - 55 - 56")</f>
        <v> - 55 - 56</v>
      </c>
      <c r="AI32" s="185" t="str">
        <f>IFERROR(__xludf.DUMMYFUNCTION("if($C32="""","""",if(join("" - "",{iferror(filter('Student Groupings'!$A:$A,'Student Groupings'!$B:$B=$C32,'Student Groupings'!$H:$H=""Must be Together""),"""");iferror(filter('Student Groupings'!$A:$A,'Student Groupings'!$E:$E=$C32,'Student Groupings'!$H"&amp;":$H=""Must be Together""),"""")})="" - "","""",join("" - "",{iferror(filter('Student Groupings'!$A:$A,'Student Groupings'!$B:$B=$C32,'Student Groupings'!$H:$H=""Must be Together""),"""");iferror(filter('Student Groupings'!$A:$A,'Student Groupings'!$E:$E=$"&amp;"C32,'Student Groupings'!$H:$H=""Must be Together""),"""")})))"),"")</f>
        <v/>
      </c>
    </row>
    <row r="33">
      <c r="A33" s="167">
        <v>9.0</v>
      </c>
      <c r="B33" s="168">
        <v>29022.0</v>
      </c>
      <c r="C33" s="144" t="s">
        <v>185</v>
      </c>
      <c r="D33" s="180" t="s">
        <v>40</v>
      </c>
      <c r="E33" s="181">
        <v>7.0</v>
      </c>
      <c r="F33" s="167" t="s">
        <v>61</v>
      </c>
      <c r="G33" s="180">
        <v>6.0</v>
      </c>
      <c r="H33" s="182" t="s">
        <v>76</v>
      </c>
      <c r="I33" s="167">
        <v>1.0</v>
      </c>
      <c r="J33" s="187"/>
      <c r="K33" s="167"/>
      <c r="L33" s="184" t="s">
        <v>88</v>
      </c>
      <c r="M33" s="167">
        <v>5.0</v>
      </c>
      <c r="N33" s="184" t="s">
        <v>128</v>
      </c>
      <c r="O33" s="167">
        <v>4.0</v>
      </c>
      <c r="P33" s="184" t="s">
        <v>51</v>
      </c>
      <c r="Q33" s="167">
        <v>8.0</v>
      </c>
      <c r="R33" s="184" t="s">
        <v>124</v>
      </c>
      <c r="S33" s="167">
        <v>2.0</v>
      </c>
      <c r="T33" s="188"/>
      <c r="U33" s="142"/>
      <c r="V33" s="184" t="s">
        <v>28</v>
      </c>
      <c r="W33" s="167">
        <v>3.0</v>
      </c>
      <c r="X33" s="142">
        <v>1.0</v>
      </c>
      <c r="Y33" s="142">
        <v>1.0</v>
      </c>
      <c r="Z33" s="142">
        <v>1.0</v>
      </c>
      <c r="AA33" s="142">
        <v>1.0</v>
      </c>
      <c r="AB33" s="142">
        <v>1.0</v>
      </c>
      <c r="AC33" s="142">
        <v>1.0</v>
      </c>
      <c r="AD33" s="142">
        <v>1.0</v>
      </c>
      <c r="AE33" s="142">
        <v>1.0</v>
      </c>
      <c r="AF33" s="142">
        <v>8.0</v>
      </c>
      <c r="AG33" s="142">
        <v>0.0</v>
      </c>
      <c r="AH33" s="185" t="str">
        <f>IFERROR(__xludf.DUMMYFUNCTION("if($C33="""","""",if(join("" - "",{iferror(filter('Student Groupings'!$A:$A,'Student Groupings'!$B:$B=$C33,'Student Groupings'!$H:$H=""Can't be Together""),"""");iferror(filter('Student Groupings'!$A:$A,'Student Groupings'!$E:$E=$C33,'Student Groupings'!$"&amp;"H:$H=""Can't be Together""),"""")})="" - "","""",join("" - "",{iferror(filter('Student Groupings'!$A:$A,'Student Groupings'!$B:$B=$C33,'Student Groupings'!$H:$H=""Can't be Together""),"""");iferror(filter('Student Groupings'!$A:$A,'Student Groupings'!$E:$"&amp;"E=$C33,'Student Groupings'!$H:$H=""Can't be Together""),"""")})))")," - 67")</f>
        <v> - 67</v>
      </c>
      <c r="AI33" s="185" t="str">
        <f>IFERROR(__xludf.DUMMYFUNCTION("if($C33="""","""",if(join("" - "",{iferror(filter('Student Groupings'!$A:$A,'Student Groupings'!$B:$B=$C33,'Student Groupings'!$H:$H=""Must be Together""),"""");iferror(filter('Student Groupings'!$A:$A,'Student Groupings'!$E:$E=$C33,'Student Groupings'!$H"&amp;":$H=""Must be Together""),"""")})="" - "","""",join("" - "",{iferror(filter('Student Groupings'!$A:$A,'Student Groupings'!$B:$B=$C33,'Student Groupings'!$H:$H=""Must be Together""),"""");iferror(filter('Student Groupings'!$A:$A,'Student Groupings'!$E:$E=$"&amp;"C33,'Student Groupings'!$H:$H=""Must be Together""),"""")})))"),"")</f>
        <v/>
      </c>
    </row>
    <row r="34">
      <c r="A34" s="167">
        <v>9.0</v>
      </c>
      <c r="B34" s="168">
        <v>29085.0</v>
      </c>
      <c r="C34" s="144" t="s">
        <v>186</v>
      </c>
      <c r="D34" s="180" t="s">
        <v>40</v>
      </c>
      <c r="E34" s="181">
        <v>2.0</v>
      </c>
      <c r="F34" s="167" t="s">
        <v>61</v>
      </c>
      <c r="G34" s="167">
        <v>6.0</v>
      </c>
      <c r="H34" s="182" t="s">
        <v>73</v>
      </c>
      <c r="I34" s="167">
        <v>7.0</v>
      </c>
      <c r="J34" s="187"/>
      <c r="K34" s="167"/>
      <c r="L34" s="184" t="s">
        <v>88</v>
      </c>
      <c r="M34" s="167">
        <v>3.0</v>
      </c>
      <c r="N34" s="184" t="s">
        <v>128</v>
      </c>
      <c r="O34" s="167">
        <v>1.0</v>
      </c>
      <c r="P34" s="184" t="s">
        <v>51</v>
      </c>
      <c r="Q34" s="167">
        <v>4.0</v>
      </c>
      <c r="R34" s="184" t="s">
        <v>120</v>
      </c>
      <c r="S34" s="167">
        <v>5.0</v>
      </c>
      <c r="T34" s="188"/>
      <c r="U34" s="142"/>
      <c r="V34" s="184" t="s">
        <v>30</v>
      </c>
      <c r="W34" s="167">
        <v>8.0</v>
      </c>
      <c r="X34" s="142">
        <v>1.0</v>
      </c>
      <c r="Y34" s="142">
        <v>1.0</v>
      </c>
      <c r="Z34" s="142">
        <v>1.0</v>
      </c>
      <c r="AA34" s="142">
        <v>1.0</v>
      </c>
      <c r="AB34" s="142">
        <v>1.0</v>
      </c>
      <c r="AC34" s="142">
        <v>1.0</v>
      </c>
      <c r="AD34" s="142">
        <v>1.0</v>
      </c>
      <c r="AE34" s="142">
        <v>1.0</v>
      </c>
      <c r="AF34" s="142">
        <v>8.0</v>
      </c>
      <c r="AG34" s="142">
        <v>0.0</v>
      </c>
      <c r="AH34" s="185" t="str">
        <f>IFERROR(__xludf.DUMMYFUNCTION("if($C34="""","""",if(join("" - "",{iferror(filter('Student Groupings'!$A:$A,'Student Groupings'!$B:$B=$C34,'Student Groupings'!$H:$H=""Can't be Together""),"""");iferror(filter('Student Groupings'!$A:$A,'Student Groupings'!$E:$E=$C34,'Student Groupings'!$"&amp;"H:$H=""Can't be Together""),"""")})="" - "","""",join("" - "",{iferror(filter('Student Groupings'!$A:$A,'Student Groupings'!$B:$B=$C34,'Student Groupings'!$H:$H=""Can't be Together""),"""");iferror(filter('Student Groupings'!$A:$A,'Student Groupings'!$E:$"&amp;"E=$C34,'Student Groupings'!$H:$H=""Can't be Together""),"""")})))"),"62 - 63 - 64 - 65 - ")</f>
        <v>62 - 63 - 64 - 65 - </v>
      </c>
      <c r="AI34" s="185" t="str">
        <f>IFERROR(__xludf.DUMMYFUNCTION("if($C34="""","""",if(join("" - "",{iferror(filter('Student Groupings'!$A:$A,'Student Groupings'!$B:$B=$C34,'Student Groupings'!$H:$H=""Must be Together""),"""");iferror(filter('Student Groupings'!$A:$A,'Student Groupings'!$E:$E=$C34,'Student Groupings'!$H"&amp;":$H=""Must be Together""),"""")})="" - "","""",join("" - "",{iferror(filter('Student Groupings'!$A:$A,'Student Groupings'!$B:$B=$C34,'Student Groupings'!$H:$H=""Must be Together""),"""");iferror(filter('Student Groupings'!$A:$A,'Student Groupings'!$E:$E=$"&amp;"C34,'Student Groupings'!$H:$H=""Must be Together""),"""")})))"),"")</f>
        <v/>
      </c>
    </row>
    <row r="35">
      <c r="A35" s="167">
        <v>9.0</v>
      </c>
      <c r="B35" s="168">
        <v>29081.0</v>
      </c>
      <c r="C35" s="144" t="s">
        <v>187</v>
      </c>
      <c r="D35" s="180" t="s">
        <v>40</v>
      </c>
      <c r="E35" s="181">
        <v>5.0</v>
      </c>
      <c r="F35" s="167" t="s">
        <v>61</v>
      </c>
      <c r="G35" s="167">
        <v>8.0</v>
      </c>
      <c r="H35" s="182" t="s">
        <v>73</v>
      </c>
      <c r="I35" s="167">
        <v>3.0</v>
      </c>
      <c r="J35" s="187"/>
      <c r="K35" s="167"/>
      <c r="L35" s="184" t="s">
        <v>88</v>
      </c>
      <c r="M35" s="167">
        <v>4.0</v>
      </c>
      <c r="N35" s="184" t="s">
        <v>128</v>
      </c>
      <c r="O35" s="167">
        <v>6.0</v>
      </c>
      <c r="P35" s="184" t="s">
        <v>51</v>
      </c>
      <c r="Q35" s="167">
        <v>2.0</v>
      </c>
      <c r="R35" s="184" t="s">
        <v>124</v>
      </c>
      <c r="S35" s="167">
        <v>1.0</v>
      </c>
      <c r="T35" s="187"/>
      <c r="U35" s="167"/>
      <c r="V35" s="184" t="s">
        <v>30</v>
      </c>
      <c r="W35" s="180">
        <v>7.0</v>
      </c>
      <c r="X35" s="142">
        <v>1.0</v>
      </c>
      <c r="Y35" s="142">
        <v>1.0</v>
      </c>
      <c r="Z35" s="142">
        <v>1.0</v>
      </c>
      <c r="AA35" s="142">
        <v>1.0</v>
      </c>
      <c r="AB35" s="142">
        <v>1.0</v>
      </c>
      <c r="AC35" s="142">
        <v>1.0</v>
      </c>
      <c r="AD35" s="142">
        <v>1.0</v>
      </c>
      <c r="AE35" s="142">
        <v>1.0</v>
      </c>
      <c r="AF35" s="142">
        <v>8.0</v>
      </c>
      <c r="AG35" s="142">
        <v>0.0</v>
      </c>
      <c r="AH35" s="185" t="str">
        <f>IFERROR(__xludf.DUMMYFUNCTION("if($C35="""","""",if(join("" - "",{iferror(filter('Student Groupings'!$A:$A,'Student Groupings'!$B:$B=$C35,'Student Groupings'!$H:$H=""Can't be Together""),"""");iferror(filter('Student Groupings'!$A:$A,'Student Groupings'!$E:$E=$C35,'Student Groupings'!$"&amp;"H:$H=""Can't be Together""),"""")})="" - "","""",join("" - "",{iferror(filter('Student Groupings'!$A:$A,'Student Groupings'!$B:$B=$C35,'Student Groupings'!$H:$H=""Can't be Together""),"""");iferror(filter('Student Groupings'!$A:$A,'Student Groupings'!$E:$"&amp;"E=$C35,'Student Groupings'!$H:$H=""Can't be Together""),"""")})))"),"")</f>
        <v/>
      </c>
      <c r="AI35" s="185" t="str">
        <f>IFERROR(__xludf.DUMMYFUNCTION("if($C35="""","""",if(join("" - "",{iferror(filter('Student Groupings'!$A:$A,'Student Groupings'!$B:$B=$C35,'Student Groupings'!$H:$H=""Must be Together""),"""");iferror(filter('Student Groupings'!$A:$A,'Student Groupings'!$E:$E=$C35,'Student Groupings'!$H"&amp;":$H=""Must be Together""),"""")})="" - "","""",join("" - "",{iferror(filter('Student Groupings'!$A:$A,'Student Groupings'!$B:$B=$C35,'Student Groupings'!$H:$H=""Must be Together""),"""");iferror(filter('Student Groupings'!$A:$A,'Student Groupings'!$E:$E=$"&amp;"C35,'Student Groupings'!$H:$H=""Must be Together""),"""")})))"),"")</f>
        <v/>
      </c>
    </row>
    <row r="36">
      <c r="A36" s="167">
        <v>9.0</v>
      </c>
      <c r="B36" s="168">
        <v>29147.0</v>
      </c>
      <c r="C36" s="144" t="s">
        <v>188</v>
      </c>
      <c r="D36" s="180" t="s">
        <v>40</v>
      </c>
      <c r="E36" s="181">
        <v>7.0</v>
      </c>
      <c r="F36" s="167" t="s">
        <v>61</v>
      </c>
      <c r="G36" s="167">
        <v>3.0</v>
      </c>
      <c r="H36" s="182" t="s">
        <v>73</v>
      </c>
      <c r="I36" s="167">
        <v>6.0</v>
      </c>
      <c r="J36" s="187"/>
      <c r="K36" s="167"/>
      <c r="L36" s="184" t="s">
        <v>88</v>
      </c>
      <c r="M36" s="167">
        <v>4.0</v>
      </c>
      <c r="N36" s="184" t="s">
        <v>128</v>
      </c>
      <c r="O36" s="167">
        <v>2.0</v>
      </c>
      <c r="P36" s="184" t="s">
        <v>51</v>
      </c>
      <c r="Q36" s="167">
        <v>5.0</v>
      </c>
      <c r="R36" s="184" t="s">
        <v>120</v>
      </c>
      <c r="S36" s="167">
        <v>1.0</v>
      </c>
      <c r="T36" s="187"/>
      <c r="U36" s="167"/>
      <c r="V36" s="184" t="s">
        <v>30</v>
      </c>
      <c r="W36" s="167">
        <v>8.0</v>
      </c>
      <c r="X36" s="142">
        <v>1.0</v>
      </c>
      <c r="Y36" s="142">
        <v>1.0</v>
      </c>
      <c r="Z36" s="142">
        <v>1.0</v>
      </c>
      <c r="AA36" s="142">
        <v>1.0</v>
      </c>
      <c r="AB36" s="142">
        <v>1.0</v>
      </c>
      <c r="AC36" s="142">
        <v>1.0</v>
      </c>
      <c r="AD36" s="142">
        <v>1.0</v>
      </c>
      <c r="AE36" s="142">
        <v>1.0</v>
      </c>
      <c r="AF36" s="142">
        <v>8.0</v>
      </c>
      <c r="AG36" s="142">
        <v>0.0</v>
      </c>
      <c r="AH36" s="185" t="str">
        <f>IFERROR(__xludf.DUMMYFUNCTION("if($C36="""","""",if(join("" - "",{iferror(filter('Student Groupings'!$A:$A,'Student Groupings'!$B:$B=$C36,'Student Groupings'!$H:$H=""Can't be Together""),"""");iferror(filter('Student Groupings'!$A:$A,'Student Groupings'!$E:$E=$C36,'Student Groupings'!$"&amp;"H:$H=""Can't be Together""),"""")})="" - "","""",join("" - "",{iferror(filter('Student Groupings'!$A:$A,'Student Groupings'!$B:$B=$C36,'Student Groupings'!$H:$H=""Can't be Together""),"""");iferror(filter('Student Groupings'!$A:$A,'Student Groupings'!$E:$"&amp;"E=$C36,'Student Groupings'!$H:$H=""Can't be Together""),"""")})))"),"56 - ")</f>
        <v>56 - </v>
      </c>
      <c r="AI36" s="185" t="str">
        <f>IFERROR(__xludf.DUMMYFUNCTION("if($C36="""","""",if(join("" - "",{iferror(filter('Student Groupings'!$A:$A,'Student Groupings'!$B:$B=$C36,'Student Groupings'!$H:$H=""Must be Together""),"""");iferror(filter('Student Groupings'!$A:$A,'Student Groupings'!$E:$E=$C36,'Student Groupings'!$H"&amp;":$H=""Must be Together""),"""")})="" - "","""",join("" - "",{iferror(filter('Student Groupings'!$A:$A,'Student Groupings'!$B:$B=$C36,'Student Groupings'!$H:$H=""Must be Together""),"""");iferror(filter('Student Groupings'!$A:$A,'Student Groupings'!$E:$E=$"&amp;"C36,'Student Groupings'!$H:$H=""Must be Together""),"""")})))"),"")</f>
        <v/>
      </c>
    </row>
    <row r="37">
      <c r="A37" s="167">
        <v>9.0</v>
      </c>
      <c r="B37" s="168">
        <v>29007.0</v>
      </c>
      <c r="C37" s="144" t="s">
        <v>189</v>
      </c>
      <c r="D37" s="180" t="s">
        <v>40</v>
      </c>
      <c r="E37" s="181">
        <v>5.0</v>
      </c>
      <c r="F37" s="167" t="s">
        <v>61</v>
      </c>
      <c r="G37" s="167">
        <v>8.0</v>
      </c>
      <c r="H37" s="182" t="s">
        <v>73</v>
      </c>
      <c r="I37" s="167">
        <v>4.0</v>
      </c>
      <c r="J37" s="187"/>
      <c r="K37" s="167"/>
      <c r="L37" s="184" t="s">
        <v>88</v>
      </c>
      <c r="M37" s="167">
        <v>6.0</v>
      </c>
      <c r="N37" s="184" t="s">
        <v>128</v>
      </c>
      <c r="O37" s="167">
        <v>1.0</v>
      </c>
      <c r="P37" s="184" t="s">
        <v>51</v>
      </c>
      <c r="Q37" s="167">
        <v>2.0</v>
      </c>
      <c r="R37" s="184" t="s">
        <v>120</v>
      </c>
      <c r="S37" s="167">
        <v>3.0</v>
      </c>
      <c r="T37" s="188"/>
      <c r="U37" s="167"/>
      <c r="V37" s="184" t="s">
        <v>24</v>
      </c>
      <c r="W37" s="167">
        <v>7.0</v>
      </c>
      <c r="X37" s="142">
        <v>1.0</v>
      </c>
      <c r="Y37" s="142">
        <v>1.0</v>
      </c>
      <c r="Z37" s="142">
        <v>1.0</v>
      </c>
      <c r="AA37" s="142">
        <v>1.0</v>
      </c>
      <c r="AB37" s="142">
        <v>1.0</v>
      </c>
      <c r="AC37" s="142">
        <v>1.0</v>
      </c>
      <c r="AD37" s="142">
        <v>1.0</v>
      </c>
      <c r="AE37" s="142">
        <v>1.0</v>
      </c>
      <c r="AF37" s="142">
        <v>8.0</v>
      </c>
      <c r="AG37" s="142">
        <v>0.0</v>
      </c>
      <c r="AH37" s="185" t="str">
        <f>IFERROR(__xludf.DUMMYFUNCTION("if($C37="""","""",if(join("" - "",{iferror(filter('Student Groupings'!$A:$A,'Student Groupings'!$B:$B=$C37,'Student Groupings'!$H:$H=""Can't be Together""),"""");iferror(filter('Student Groupings'!$A:$A,'Student Groupings'!$E:$E=$C37,'Student Groupings'!$"&amp;"H:$H=""Can't be Together""),"""")})="" - "","""",join("" - "",{iferror(filter('Student Groupings'!$A:$A,'Student Groupings'!$B:$B=$C37,'Student Groupings'!$H:$H=""Can't be Together""),"""");iferror(filter('Student Groupings'!$A:$A,'Student Groupings'!$E:$"&amp;"E=$C37,'Student Groupings'!$H:$H=""Can't be Together""),"""")})))"),"55 - ")</f>
        <v>55 - </v>
      </c>
      <c r="AI37" s="185" t="str">
        <f>IFERROR(__xludf.DUMMYFUNCTION("if($C37="""","""",if(join("" - "",{iferror(filter('Student Groupings'!$A:$A,'Student Groupings'!$B:$B=$C37,'Student Groupings'!$H:$H=""Must be Together""),"""");iferror(filter('Student Groupings'!$A:$A,'Student Groupings'!$E:$E=$C37,'Student Groupings'!$H"&amp;":$H=""Must be Together""),"""")})="" - "","""",join("" - "",{iferror(filter('Student Groupings'!$A:$A,'Student Groupings'!$B:$B=$C37,'Student Groupings'!$H:$H=""Must be Together""),"""");iferror(filter('Student Groupings'!$A:$A,'Student Groupings'!$E:$E=$"&amp;"C37,'Student Groupings'!$H:$H=""Must be Together""),"""")})))"),"")</f>
        <v/>
      </c>
    </row>
    <row r="38">
      <c r="A38" s="167">
        <v>9.0</v>
      </c>
      <c r="B38" s="168">
        <v>29032.0</v>
      </c>
      <c r="C38" s="144" t="s">
        <v>190</v>
      </c>
      <c r="D38" s="180" t="s">
        <v>40</v>
      </c>
      <c r="E38" s="181">
        <v>8.0</v>
      </c>
      <c r="F38" s="167" t="s">
        <v>61</v>
      </c>
      <c r="G38" s="180">
        <v>1.0</v>
      </c>
      <c r="H38" s="182" t="s">
        <v>73</v>
      </c>
      <c r="I38" s="180">
        <v>7.0</v>
      </c>
      <c r="J38" s="187"/>
      <c r="K38" s="180"/>
      <c r="L38" s="184" t="s">
        <v>88</v>
      </c>
      <c r="M38" s="180">
        <v>3.0</v>
      </c>
      <c r="N38" s="184" t="s">
        <v>128</v>
      </c>
      <c r="O38" s="167">
        <v>5.0</v>
      </c>
      <c r="P38" s="184" t="s">
        <v>51</v>
      </c>
      <c r="Q38" s="167">
        <v>4.0</v>
      </c>
      <c r="R38" s="191" t="s">
        <v>122</v>
      </c>
      <c r="S38" s="167">
        <v>6.0</v>
      </c>
      <c r="T38" s="188"/>
      <c r="U38" s="167"/>
      <c r="V38" s="184" t="s">
        <v>23</v>
      </c>
      <c r="W38" s="167">
        <v>2.0</v>
      </c>
      <c r="X38" s="142">
        <v>1.0</v>
      </c>
      <c r="Y38" s="142">
        <v>1.0</v>
      </c>
      <c r="Z38" s="142">
        <v>1.0</v>
      </c>
      <c r="AA38" s="142">
        <v>1.0</v>
      </c>
      <c r="AB38" s="142">
        <v>1.0</v>
      </c>
      <c r="AC38" s="142">
        <v>1.0</v>
      </c>
      <c r="AD38" s="142">
        <v>1.0</v>
      </c>
      <c r="AE38" s="142">
        <v>1.0</v>
      </c>
      <c r="AF38" s="142">
        <v>8.0</v>
      </c>
      <c r="AG38" s="142">
        <v>0.0</v>
      </c>
      <c r="AH38" s="185" t="str">
        <f>IFERROR(__xludf.DUMMYFUNCTION("if($C38="""","""",if(join("" - "",{iferror(filter('Student Groupings'!$A:$A,'Student Groupings'!$B:$B=$C38,'Student Groupings'!$H:$H=""Can't be Together""),"""");iferror(filter('Student Groupings'!$A:$A,'Student Groupings'!$E:$E=$C38,'Student Groupings'!$"&amp;"H:$H=""Can't be Together""),"""")})="" - "","""",join("" - "",{iferror(filter('Student Groupings'!$A:$A,'Student Groupings'!$B:$B=$C38,'Student Groupings'!$H:$H=""Can't be Together""),"""");iferror(filter('Student Groupings'!$A:$A,'Student Groupings'!$E:$"&amp;"E=$C38,'Student Groupings'!$H:$H=""Can't be Together""),"""")})))"),"")</f>
        <v/>
      </c>
      <c r="AI38" s="185" t="str">
        <f>IFERROR(__xludf.DUMMYFUNCTION("if($C38="""","""",if(join("" - "",{iferror(filter('Student Groupings'!$A:$A,'Student Groupings'!$B:$B=$C38,'Student Groupings'!$H:$H=""Must be Together""),"""");iferror(filter('Student Groupings'!$A:$A,'Student Groupings'!$E:$E=$C38,'Student Groupings'!$H"&amp;":$H=""Must be Together""),"""")})="" - "","""",join("" - "",{iferror(filter('Student Groupings'!$A:$A,'Student Groupings'!$B:$B=$C38,'Student Groupings'!$H:$H=""Must be Together""),"""");iferror(filter('Student Groupings'!$A:$A,'Student Groupings'!$E:$E=$"&amp;"C38,'Student Groupings'!$H:$H=""Must be Together""),"""")})))"),"")</f>
        <v/>
      </c>
    </row>
    <row r="39">
      <c r="A39" s="167">
        <v>9.0</v>
      </c>
      <c r="B39" s="168">
        <v>29076.0</v>
      </c>
      <c r="C39" s="144" t="s">
        <v>191</v>
      </c>
      <c r="D39" s="180" t="s">
        <v>40</v>
      </c>
      <c r="E39" s="181">
        <v>6.0</v>
      </c>
      <c r="F39" s="167" t="s">
        <v>61</v>
      </c>
      <c r="G39" s="167">
        <v>7.0</v>
      </c>
      <c r="H39" s="182" t="s">
        <v>73</v>
      </c>
      <c r="I39" s="167">
        <v>4.0</v>
      </c>
      <c r="J39" s="187"/>
      <c r="K39" s="167"/>
      <c r="L39" s="184" t="s">
        <v>88</v>
      </c>
      <c r="M39" s="167">
        <v>5.0</v>
      </c>
      <c r="N39" s="184" t="s">
        <v>128</v>
      </c>
      <c r="O39" s="167">
        <v>2.0</v>
      </c>
      <c r="P39" s="184" t="s">
        <v>51</v>
      </c>
      <c r="Q39" s="167">
        <v>8.0</v>
      </c>
      <c r="R39" s="184" t="s">
        <v>124</v>
      </c>
      <c r="S39" s="167">
        <v>1.0</v>
      </c>
      <c r="T39" s="187"/>
      <c r="U39" s="167"/>
      <c r="V39" s="184" t="s">
        <v>27</v>
      </c>
      <c r="W39" s="167">
        <v>3.0</v>
      </c>
      <c r="X39" s="142">
        <v>1.0</v>
      </c>
      <c r="Y39" s="142">
        <v>1.0</v>
      </c>
      <c r="Z39" s="142">
        <v>1.0</v>
      </c>
      <c r="AA39" s="142">
        <v>1.0</v>
      </c>
      <c r="AB39" s="142">
        <v>1.0</v>
      </c>
      <c r="AC39" s="142">
        <v>1.0</v>
      </c>
      <c r="AD39" s="142">
        <v>1.0</v>
      </c>
      <c r="AE39" s="142">
        <v>1.0</v>
      </c>
      <c r="AF39" s="142">
        <v>8.0</v>
      </c>
      <c r="AG39" s="142">
        <v>0.0</v>
      </c>
      <c r="AH39" s="185" t="str">
        <f>IFERROR(__xludf.DUMMYFUNCTION("if($C39="""","""",if(join("" - "",{iferror(filter('Student Groupings'!$A:$A,'Student Groupings'!$B:$B=$C39,'Student Groupings'!$H:$H=""Can't be Together""),"""");iferror(filter('Student Groupings'!$A:$A,'Student Groupings'!$E:$E=$C39,'Student Groupings'!$"&amp;"H:$H=""Can't be Together""),"""")})="" - "","""",join("" - "",{iferror(filter('Student Groupings'!$A:$A,'Student Groupings'!$B:$B=$C39,'Student Groupings'!$H:$H=""Can't be Together""),"""");iferror(filter('Student Groupings'!$A:$A,'Student Groupings'!$E:$"&amp;"E=$C39,'Student Groupings'!$H:$H=""Can't be Together""),"""")})))"),"")</f>
        <v/>
      </c>
      <c r="AI39" s="185" t="str">
        <f>IFERROR(__xludf.DUMMYFUNCTION("if($C39="""","""",if(join("" - "",{iferror(filter('Student Groupings'!$A:$A,'Student Groupings'!$B:$B=$C39,'Student Groupings'!$H:$H=""Must be Together""),"""");iferror(filter('Student Groupings'!$A:$A,'Student Groupings'!$E:$E=$C39,'Student Groupings'!$H"&amp;":$H=""Must be Together""),"""")})="" - "","""",join("" - "",{iferror(filter('Student Groupings'!$A:$A,'Student Groupings'!$B:$B=$C39,'Student Groupings'!$H:$H=""Must be Together""),"""");iferror(filter('Student Groupings'!$A:$A,'Student Groupings'!$E:$E=$"&amp;"C39,'Student Groupings'!$H:$H=""Must be Together""),"""")})))"),"")</f>
        <v/>
      </c>
    </row>
    <row r="40">
      <c r="A40" s="167">
        <v>9.0</v>
      </c>
      <c r="B40" s="168">
        <v>29025.0</v>
      </c>
      <c r="C40" s="144" t="s">
        <v>192</v>
      </c>
      <c r="D40" s="180" t="s">
        <v>40</v>
      </c>
      <c r="E40" s="181">
        <v>7.0</v>
      </c>
      <c r="F40" s="167" t="s">
        <v>61</v>
      </c>
      <c r="G40" s="167">
        <v>1.0</v>
      </c>
      <c r="H40" s="182" t="s">
        <v>73</v>
      </c>
      <c r="I40" s="167">
        <v>3.0</v>
      </c>
      <c r="J40" s="187"/>
      <c r="K40" s="167"/>
      <c r="L40" s="184" t="s">
        <v>88</v>
      </c>
      <c r="M40" s="167">
        <v>5.0</v>
      </c>
      <c r="N40" s="184" t="s">
        <v>128</v>
      </c>
      <c r="O40" s="167">
        <v>4.0</v>
      </c>
      <c r="P40" s="184" t="s">
        <v>51</v>
      </c>
      <c r="Q40" s="167">
        <v>2.0</v>
      </c>
      <c r="R40" s="191" t="s">
        <v>122</v>
      </c>
      <c r="S40" s="167">
        <v>6.0</v>
      </c>
      <c r="T40" s="188"/>
      <c r="U40" s="167"/>
      <c r="V40" s="184" t="s">
        <v>24</v>
      </c>
      <c r="W40" s="180">
        <v>8.0</v>
      </c>
      <c r="X40" s="142">
        <v>1.0</v>
      </c>
      <c r="Y40" s="142">
        <v>1.0</v>
      </c>
      <c r="Z40" s="142">
        <v>1.0</v>
      </c>
      <c r="AA40" s="142">
        <v>1.0</v>
      </c>
      <c r="AB40" s="142">
        <v>1.0</v>
      </c>
      <c r="AC40" s="142">
        <v>1.0</v>
      </c>
      <c r="AD40" s="142">
        <v>1.0</v>
      </c>
      <c r="AE40" s="142">
        <v>1.0</v>
      </c>
      <c r="AF40" s="142">
        <v>8.0</v>
      </c>
      <c r="AG40" s="142">
        <v>0.0</v>
      </c>
      <c r="AH40" s="185" t="str">
        <f>IFERROR(__xludf.DUMMYFUNCTION("if($C40="""","""",if(join("" - "",{iferror(filter('Student Groupings'!$A:$A,'Student Groupings'!$B:$B=$C40,'Student Groupings'!$H:$H=""Can't be Together""),"""");iferror(filter('Student Groupings'!$A:$A,'Student Groupings'!$E:$E=$C40,'Student Groupings'!$"&amp;"H:$H=""Can't be Together""),"""")})="" - "","""",join("" - "",{iferror(filter('Student Groupings'!$A:$A,'Student Groupings'!$B:$B=$C40,'Student Groupings'!$H:$H=""Can't be Together""),"""");iferror(filter('Student Groupings'!$A:$A,'Student Groupings'!$E:$"&amp;"E=$C40,'Student Groupings'!$H:$H=""Can't be Together""),"""")})))"),"")</f>
        <v/>
      </c>
      <c r="AI40" s="185" t="str">
        <f>IFERROR(__xludf.DUMMYFUNCTION("if($C40="""","""",if(join("" - "",{iferror(filter('Student Groupings'!$A:$A,'Student Groupings'!$B:$B=$C40,'Student Groupings'!$H:$H=""Must be Together""),"""");iferror(filter('Student Groupings'!$A:$A,'Student Groupings'!$E:$E=$C40,'Student Groupings'!$H"&amp;":$H=""Must be Together""),"""")})="" - "","""",join("" - "",{iferror(filter('Student Groupings'!$A:$A,'Student Groupings'!$B:$B=$C40,'Student Groupings'!$H:$H=""Must be Together""),"""");iferror(filter('Student Groupings'!$A:$A,'Student Groupings'!$E:$E=$"&amp;"C40,'Student Groupings'!$H:$H=""Must be Together""),"""")})))"),"")</f>
        <v/>
      </c>
    </row>
    <row r="41">
      <c r="A41" s="167">
        <v>9.0</v>
      </c>
      <c r="B41" s="168">
        <v>29038.0</v>
      </c>
      <c r="C41" s="144" t="s">
        <v>193</v>
      </c>
      <c r="D41" s="180" t="s">
        <v>40</v>
      </c>
      <c r="E41" s="181">
        <v>8.0</v>
      </c>
      <c r="F41" s="167" t="s">
        <v>61</v>
      </c>
      <c r="G41" s="167">
        <v>4.0</v>
      </c>
      <c r="H41" s="182" t="s">
        <v>73</v>
      </c>
      <c r="I41" s="167">
        <v>7.0</v>
      </c>
      <c r="J41" s="187"/>
      <c r="K41" s="167"/>
      <c r="L41" s="184" t="s">
        <v>88</v>
      </c>
      <c r="M41" s="167">
        <v>6.0</v>
      </c>
      <c r="N41" s="184" t="s">
        <v>128</v>
      </c>
      <c r="O41" s="167">
        <v>2.0</v>
      </c>
      <c r="P41" s="184" t="s">
        <v>51</v>
      </c>
      <c r="Q41" s="167">
        <v>5.0</v>
      </c>
      <c r="R41" s="184" t="s">
        <v>120</v>
      </c>
      <c r="S41" s="167">
        <v>1.0</v>
      </c>
      <c r="T41" s="188"/>
      <c r="U41" s="167"/>
      <c r="V41" s="184" t="s">
        <v>27</v>
      </c>
      <c r="W41" s="167">
        <v>3.0</v>
      </c>
      <c r="X41" s="142">
        <v>1.0</v>
      </c>
      <c r="Y41" s="142">
        <v>1.0</v>
      </c>
      <c r="Z41" s="142">
        <v>1.0</v>
      </c>
      <c r="AA41" s="142">
        <v>1.0</v>
      </c>
      <c r="AB41" s="142">
        <v>1.0</v>
      </c>
      <c r="AC41" s="142">
        <v>1.0</v>
      </c>
      <c r="AD41" s="142">
        <v>1.0</v>
      </c>
      <c r="AE41" s="142">
        <v>1.0</v>
      </c>
      <c r="AF41" s="142">
        <v>8.0</v>
      </c>
      <c r="AG41" s="142">
        <v>0.0</v>
      </c>
      <c r="AH41" s="185" t="str">
        <f>IFERROR(__xludf.DUMMYFUNCTION("if($C41="""","""",if(join("" - "",{iferror(filter('Student Groupings'!$A:$A,'Student Groupings'!$B:$B=$C41,'Student Groupings'!$H:$H=""Can't be Together""),"""");iferror(filter('Student Groupings'!$A:$A,'Student Groupings'!$E:$E=$C41,'Student Groupings'!$"&amp;"H:$H=""Can't be Together""),"""")})="" - "","""",join("" - "",{iferror(filter('Student Groupings'!$A:$A,'Student Groupings'!$B:$B=$C41,'Student Groupings'!$H:$H=""Can't be Together""),"""");iferror(filter('Student Groupings'!$A:$A,'Student Groupings'!$E:$"&amp;"E=$C41,'Student Groupings'!$H:$H=""Can't be Together""),"""")})))")," - 115")</f>
        <v> - 115</v>
      </c>
      <c r="AI41" s="185" t="str">
        <f>IFERROR(__xludf.DUMMYFUNCTION("if($C41="""","""",if(join("" - "",{iferror(filter('Student Groupings'!$A:$A,'Student Groupings'!$B:$B=$C41,'Student Groupings'!$H:$H=""Must be Together""),"""");iferror(filter('Student Groupings'!$A:$A,'Student Groupings'!$E:$E=$C41,'Student Groupings'!$H"&amp;":$H=""Must be Together""),"""")})="" - "","""",join("" - "",{iferror(filter('Student Groupings'!$A:$A,'Student Groupings'!$B:$B=$C41,'Student Groupings'!$H:$H=""Must be Together""),"""");iferror(filter('Student Groupings'!$A:$A,'Student Groupings'!$E:$E=$"&amp;"C41,'Student Groupings'!$H:$H=""Must be Together""),"""")})))")," - 44")</f>
        <v> - 44</v>
      </c>
    </row>
    <row r="42">
      <c r="A42" s="167">
        <v>9.0</v>
      </c>
      <c r="B42" s="168">
        <v>28077.0</v>
      </c>
      <c r="C42" s="144" t="s">
        <v>194</v>
      </c>
      <c r="D42" s="180" t="s">
        <v>40</v>
      </c>
      <c r="E42" s="181">
        <v>1.0</v>
      </c>
      <c r="F42" s="167" t="s">
        <v>61</v>
      </c>
      <c r="G42" s="167">
        <v>7.0</v>
      </c>
      <c r="H42" s="182" t="s">
        <v>73</v>
      </c>
      <c r="I42" s="167">
        <v>6.0</v>
      </c>
      <c r="J42" s="187"/>
      <c r="K42" s="167"/>
      <c r="L42" s="184" t="s">
        <v>88</v>
      </c>
      <c r="M42" s="167">
        <v>4.0</v>
      </c>
      <c r="N42" s="184" t="s">
        <v>128</v>
      </c>
      <c r="O42" s="167">
        <v>2.0</v>
      </c>
      <c r="P42" s="184" t="s">
        <v>51</v>
      </c>
      <c r="Q42" s="167">
        <v>5.0</v>
      </c>
      <c r="R42" s="184" t="s">
        <v>120</v>
      </c>
      <c r="S42" s="167">
        <v>3.0</v>
      </c>
      <c r="T42" s="183"/>
      <c r="U42" s="167"/>
      <c r="V42" s="184" t="s">
        <v>30</v>
      </c>
      <c r="W42" s="167">
        <v>8.0</v>
      </c>
      <c r="X42" s="142">
        <v>1.0</v>
      </c>
      <c r="Y42" s="142">
        <v>1.0</v>
      </c>
      <c r="Z42" s="142">
        <v>1.0</v>
      </c>
      <c r="AA42" s="142">
        <v>1.0</v>
      </c>
      <c r="AB42" s="142">
        <v>1.0</v>
      </c>
      <c r="AC42" s="142">
        <v>1.0</v>
      </c>
      <c r="AD42" s="142">
        <v>1.0</v>
      </c>
      <c r="AE42" s="142">
        <v>1.0</v>
      </c>
      <c r="AF42" s="142">
        <v>8.0</v>
      </c>
      <c r="AG42" s="142">
        <v>0.0</v>
      </c>
      <c r="AH42" s="185" t="str">
        <f>IFERROR(__xludf.DUMMYFUNCTION("if($C42="""","""",if(join("" - "",{iferror(filter('Student Groupings'!$A:$A,'Student Groupings'!$B:$B=$C42,'Student Groupings'!$H:$H=""Can't be Together""),"""");iferror(filter('Student Groupings'!$A:$A,'Student Groupings'!$E:$E=$C42,'Student Groupings'!$"&amp;"H:$H=""Can't be Together""),"""")})="" - "","""",join("" - "",{iferror(filter('Student Groupings'!$A:$A,'Student Groupings'!$B:$B=$C42,'Student Groupings'!$H:$H=""Can't be Together""),"""");iferror(filter('Student Groupings'!$A:$A,'Student Groupings'!$E:$"&amp;"E=$C42,'Student Groupings'!$H:$H=""Can't be Together""),"""")})))"),"")</f>
        <v/>
      </c>
      <c r="AI42" s="185" t="str">
        <f>IFERROR(__xludf.DUMMYFUNCTION("if($C42="""","""",if(join("" - "",{iferror(filter('Student Groupings'!$A:$A,'Student Groupings'!$B:$B=$C42,'Student Groupings'!$H:$H=""Must be Together""),"""");iferror(filter('Student Groupings'!$A:$A,'Student Groupings'!$E:$E=$C42,'Student Groupings'!$H"&amp;":$H=""Must be Together""),"""")})="" - "","""",join("" - "",{iferror(filter('Student Groupings'!$A:$A,'Student Groupings'!$B:$B=$C42,'Student Groupings'!$H:$H=""Must be Together""),"""");iferror(filter('Student Groupings'!$A:$A,'Student Groupings'!$E:$E=$"&amp;"C42,'Student Groupings'!$H:$H=""Must be Together""),"""")})))"),"")</f>
        <v/>
      </c>
    </row>
    <row r="43">
      <c r="A43" s="167">
        <v>9.0</v>
      </c>
      <c r="B43" s="168">
        <v>29041.0</v>
      </c>
      <c r="C43" s="144" t="s">
        <v>195</v>
      </c>
      <c r="D43" s="180" t="s">
        <v>40</v>
      </c>
      <c r="E43" s="181">
        <v>8.0</v>
      </c>
      <c r="F43" s="167" t="s">
        <v>61</v>
      </c>
      <c r="G43" s="167">
        <v>6.0</v>
      </c>
      <c r="H43" s="182" t="s">
        <v>73</v>
      </c>
      <c r="I43" s="167">
        <v>4.0</v>
      </c>
      <c r="J43" s="187"/>
      <c r="K43" s="167"/>
      <c r="L43" s="184" t="s">
        <v>88</v>
      </c>
      <c r="M43" s="167">
        <v>1.0</v>
      </c>
      <c r="N43" s="184" t="s">
        <v>128</v>
      </c>
      <c r="O43" s="167">
        <v>2.0</v>
      </c>
      <c r="P43" s="184" t="s">
        <v>51</v>
      </c>
      <c r="Q43" s="167">
        <v>3.0</v>
      </c>
      <c r="R43" s="184" t="s">
        <v>120</v>
      </c>
      <c r="S43" s="167">
        <v>5.0</v>
      </c>
      <c r="T43" s="183"/>
      <c r="U43" s="167"/>
      <c r="V43" s="184" t="s">
        <v>30</v>
      </c>
      <c r="W43" s="180">
        <v>7.0</v>
      </c>
      <c r="X43" s="142">
        <v>1.0</v>
      </c>
      <c r="Y43" s="142">
        <v>1.0</v>
      </c>
      <c r="Z43" s="142">
        <v>1.0</v>
      </c>
      <c r="AA43" s="142">
        <v>1.0</v>
      </c>
      <c r="AB43" s="142">
        <v>1.0</v>
      </c>
      <c r="AC43" s="142">
        <v>1.0</v>
      </c>
      <c r="AD43" s="142">
        <v>1.0</v>
      </c>
      <c r="AE43" s="142">
        <v>1.0</v>
      </c>
      <c r="AF43" s="142">
        <v>8.0</v>
      </c>
      <c r="AG43" s="142">
        <v>0.0</v>
      </c>
      <c r="AH43" s="185" t="str">
        <f>IFERROR(__xludf.DUMMYFUNCTION("if($C43="""","""",if(join("" - "",{iferror(filter('Student Groupings'!$A:$A,'Student Groupings'!$B:$B=$C43,'Student Groupings'!$H:$H=""Can't be Together""),"""");iferror(filter('Student Groupings'!$A:$A,'Student Groupings'!$E:$E=$C43,'Student Groupings'!$"&amp;"H:$H=""Can't be Together""),"""")})="" - "","""",join("" - "",{iferror(filter('Student Groupings'!$A:$A,'Student Groupings'!$B:$B=$C43,'Student Groupings'!$H:$H=""Can't be Together""),"""");iferror(filter('Student Groupings'!$A:$A,'Student Groupings'!$E:$"&amp;"E=$C43,'Student Groupings'!$H:$H=""Can't be Together""),"""")})))"),"")</f>
        <v/>
      </c>
      <c r="AI43" s="185" t="str">
        <f>IFERROR(__xludf.DUMMYFUNCTION("if($C43="""","""",if(join("" - "",{iferror(filter('Student Groupings'!$A:$A,'Student Groupings'!$B:$B=$C43,'Student Groupings'!$H:$H=""Must be Together""),"""");iferror(filter('Student Groupings'!$A:$A,'Student Groupings'!$E:$E=$C43,'Student Groupings'!$H"&amp;":$H=""Must be Together""),"""")})="" - "","""",join("" - "",{iferror(filter('Student Groupings'!$A:$A,'Student Groupings'!$B:$B=$C43,'Student Groupings'!$H:$H=""Must be Together""),"""");iferror(filter('Student Groupings'!$A:$A,'Student Groupings'!$E:$E=$"&amp;"C43,'Student Groupings'!$H:$H=""Must be Together""),"""")})))"),"")</f>
        <v/>
      </c>
    </row>
    <row r="44">
      <c r="A44" s="167">
        <v>9.0</v>
      </c>
      <c r="B44" s="168">
        <v>29021.0</v>
      </c>
      <c r="C44" s="144" t="s">
        <v>196</v>
      </c>
      <c r="D44" s="180" t="s">
        <v>40</v>
      </c>
      <c r="E44" s="181">
        <v>1.0</v>
      </c>
      <c r="F44" s="167" t="s">
        <v>61</v>
      </c>
      <c r="G44" s="167">
        <v>7.0</v>
      </c>
      <c r="H44" s="182" t="s">
        <v>76</v>
      </c>
      <c r="I44" s="167">
        <v>8.0</v>
      </c>
      <c r="J44" s="183"/>
      <c r="K44" s="167"/>
      <c r="L44" s="184" t="s">
        <v>88</v>
      </c>
      <c r="M44" s="167">
        <v>4.0</v>
      </c>
      <c r="N44" s="184" t="s">
        <v>128</v>
      </c>
      <c r="O44" s="167">
        <v>6.0</v>
      </c>
      <c r="P44" s="184" t="s">
        <v>51</v>
      </c>
      <c r="Q44" s="167">
        <v>3.0</v>
      </c>
      <c r="R44" s="184" t="s">
        <v>124</v>
      </c>
      <c r="S44" s="167">
        <v>5.0</v>
      </c>
      <c r="T44" s="188"/>
      <c r="U44" s="167"/>
      <c r="V44" s="184" t="s">
        <v>23</v>
      </c>
      <c r="W44" s="167">
        <v>2.0</v>
      </c>
      <c r="X44" s="142">
        <v>1.0</v>
      </c>
      <c r="Y44" s="142">
        <v>1.0</v>
      </c>
      <c r="Z44" s="142">
        <v>1.0</v>
      </c>
      <c r="AA44" s="142">
        <v>1.0</v>
      </c>
      <c r="AB44" s="142">
        <v>1.0</v>
      </c>
      <c r="AC44" s="142">
        <v>1.0</v>
      </c>
      <c r="AD44" s="142">
        <v>1.0</v>
      </c>
      <c r="AE44" s="142">
        <v>1.0</v>
      </c>
      <c r="AF44" s="142">
        <v>8.0</v>
      </c>
      <c r="AG44" s="142">
        <v>0.0</v>
      </c>
      <c r="AH44" s="185" t="str">
        <f>IFERROR(__xludf.DUMMYFUNCTION("if($C44="""","""",if(join("" - "",{iferror(filter('Student Groupings'!$A:$A,'Student Groupings'!$B:$B=$C44,'Student Groupings'!$H:$H=""Can't be Together""),"""");iferror(filter('Student Groupings'!$A:$A,'Student Groupings'!$E:$E=$C44,'Student Groupings'!$"&amp;"H:$H=""Can't be Together""),"""")})="" - "","""",join("" - "",{iferror(filter('Student Groupings'!$A:$A,'Student Groupings'!$B:$B=$C44,'Student Groupings'!$H:$H=""Can't be Together""),"""");iferror(filter('Student Groupings'!$A:$A,'Student Groupings'!$E:$"&amp;"E=$C44,'Student Groupings'!$H:$H=""Can't be Together""),"""")})))")," - 103")</f>
        <v> - 103</v>
      </c>
      <c r="AI44" s="185" t="str">
        <f>IFERROR(__xludf.DUMMYFUNCTION("if($C44="""","""",if(join("" - "",{iferror(filter('Student Groupings'!$A:$A,'Student Groupings'!$B:$B=$C44,'Student Groupings'!$H:$H=""Must be Together""),"""");iferror(filter('Student Groupings'!$A:$A,'Student Groupings'!$E:$E=$C44,'Student Groupings'!$H"&amp;":$H=""Must be Together""),"""")})="" - "","""",join("" - "",{iferror(filter('Student Groupings'!$A:$A,'Student Groupings'!$B:$B=$C44,'Student Groupings'!$H:$H=""Must be Together""),"""");iferror(filter('Student Groupings'!$A:$A,'Student Groupings'!$E:$E=$"&amp;"C44,'Student Groupings'!$H:$H=""Must be Together""),"""")})))"),"106 - ")</f>
        <v>106 - </v>
      </c>
    </row>
    <row r="45">
      <c r="A45" s="167">
        <v>9.0</v>
      </c>
      <c r="B45" s="168">
        <v>29029.0</v>
      </c>
      <c r="C45" s="144" t="s">
        <v>197</v>
      </c>
      <c r="D45" s="180" t="s">
        <v>40</v>
      </c>
      <c r="E45" s="181">
        <v>7.0</v>
      </c>
      <c r="F45" s="167" t="s">
        <v>61</v>
      </c>
      <c r="G45" s="167">
        <v>5.0</v>
      </c>
      <c r="H45" s="182" t="s">
        <v>73</v>
      </c>
      <c r="I45" s="195">
        <v>6.0</v>
      </c>
      <c r="J45" s="187"/>
      <c r="K45" s="167"/>
      <c r="L45" s="184" t="s">
        <v>88</v>
      </c>
      <c r="M45" s="167">
        <v>3.0</v>
      </c>
      <c r="N45" s="184" t="s">
        <v>128</v>
      </c>
      <c r="O45" s="167">
        <v>2.0</v>
      </c>
      <c r="P45" s="184" t="s">
        <v>51</v>
      </c>
      <c r="Q45" s="167">
        <v>8.0</v>
      </c>
      <c r="R45" s="184" t="s">
        <v>120</v>
      </c>
      <c r="S45" s="167">
        <v>1.0</v>
      </c>
      <c r="T45" s="188"/>
      <c r="U45" s="142"/>
      <c r="V45" s="184" t="s">
        <v>28</v>
      </c>
      <c r="W45" s="167">
        <v>4.0</v>
      </c>
      <c r="X45" s="142">
        <v>1.0</v>
      </c>
      <c r="Y45" s="142">
        <v>1.0</v>
      </c>
      <c r="Z45" s="142">
        <v>1.0</v>
      </c>
      <c r="AA45" s="142">
        <v>1.0</v>
      </c>
      <c r="AB45" s="142">
        <v>1.0</v>
      </c>
      <c r="AC45" s="142">
        <v>1.0</v>
      </c>
      <c r="AD45" s="142">
        <v>1.0</v>
      </c>
      <c r="AE45" s="142">
        <v>1.0</v>
      </c>
      <c r="AF45" s="142">
        <v>8.0</v>
      </c>
      <c r="AG45" s="142">
        <v>0.0</v>
      </c>
      <c r="AH45" s="185" t="str">
        <f>IFERROR(__xludf.DUMMYFUNCTION("if($C45="""","""",if(join("" - "",{iferror(filter('Student Groupings'!$A:$A,'Student Groupings'!$B:$B=$C45,'Student Groupings'!$H:$H=""Can't be Together""),"""");iferror(filter('Student Groupings'!$A:$A,'Student Groupings'!$E:$E=$C45,'Student Groupings'!$"&amp;"H:$H=""Can't be Together""),"""")})="" - "","""",join("" - "",{iferror(filter('Student Groupings'!$A:$A,'Student Groupings'!$B:$B=$C45,'Student Groupings'!$H:$H=""Can't be Together""),"""");iferror(filter('Student Groupings'!$A:$A,'Student Groupings'!$E:$"&amp;"E=$C45,'Student Groupings'!$H:$H=""Can't be Together""),"""")})))"),"")</f>
        <v/>
      </c>
      <c r="AI45" s="185" t="str">
        <f>IFERROR(__xludf.DUMMYFUNCTION("if($C45="""","""",if(join("" - "",{iferror(filter('Student Groupings'!$A:$A,'Student Groupings'!$B:$B=$C45,'Student Groupings'!$H:$H=""Must be Together""),"""");iferror(filter('Student Groupings'!$A:$A,'Student Groupings'!$E:$E=$C45,'Student Groupings'!$H"&amp;":$H=""Must be Together""),"""")})="" - "","""",join("" - "",{iferror(filter('Student Groupings'!$A:$A,'Student Groupings'!$B:$B=$C45,'Student Groupings'!$H:$H=""Must be Together""),"""");iferror(filter('Student Groupings'!$A:$A,'Student Groupings'!$E:$E=$"&amp;"C45,'Student Groupings'!$H:$H=""Must be Together""),"""")})))"),"")</f>
        <v/>
      </c>
    </row>
    <row r="46">
      <c r="A46" s="167">
        <v>9.0</v>
      </c>
      <c r="B46" s="168">
        <v>29148.0</v>
      </c>
      <c r="C46" s="144" t="s">
        <v>198</v>
      </c>
      <c r="D46" s="180" t="s">
        <v>40</v>
      </c>
      <c r="E46" s="181">
        <v>6.0</v>
      </c>
      <c r="F46" s="167" t="s">
        <v>61</v>
      </c>
      <c r="G46" s="167">
        <v>3.0</v>
      </c>
      <c r="H46" s="182" t="s">
        <v>76</v>
      </c>
      <c r="I46" s="167">
        <v>7.0</v>
      </c>
      <c r="J46" s="187"/>
      <c r="K46" s="167"/>
      <c r="L46" s="184" t="s">
        <v>88</v>
      </c>
      <c r="M46" s="167">
        <v>5.0</v>
      </c>
      <c r="N46" s="184" t="s">
        <v>128</v>
      </c>
      <c r="O46" s="167">
        <v>2.0</v>
      </c>
      <c r="P46" s="184" t="s">
        <v>51</v>
      </c>
      <c r="Q46" s="167">
        <v>8.0</v>
      </c>
      <c r="R46" s="184" t="s">
        <v>124</v>
      </c>
      <c r="S46" s="167">
        <v>1.0</v>
      </c>
      <c r="T46" s="183"/>
      <c r="U46" s="167"/>
      <c r="V46" s="184" t="s">
        <v>28</v>
      </c>
      <c r="W46" s="167">
        <v>4.0</v>
      </c>
      <c r="X46" s="142">
        <v>1.0</v>
      </c>
      <c r="Y46" s="142">
        <v>1.0</v>
      </c>
      <c r="Z46" s="142">
        <v>1.0</v>
      </c>
      <c r="AA46" s="142">
        <v>1.0</v>
      </c>
      <c r="AB46" s="142">
        <v>1.0</v>
      </c>
      <c r="AC46" s="142">
        <v>1.0</v>
      </c>
      <c r="AD46" s="142">
        <v>1.0</v>
      </c>
      <c r="AE46" s="142">
        <v>1.0</v>
      </c>
      <c r="AF46" s="142">
        <v>8.0</v>
      </c>
      <c r="AG46" s="142">
        <v>0.0</v>
      </c>
      <c r="AH46" s="185" t="str">
        <f>IFERROR(__xludf.DUMMYFUNCTION("if($C46="""","""",if(join("" - "",{iferror(filter('Student Groupings'!$A:$A,'Student Groupings'!$B:$B=$C46,'Student Groupings'!$H:$H=""Can't be Together""),"""");iferror(filter('Student Groupings'!$A:$A,'Student Groupings'!$E:$E=$C46,'Student Groupings'!$"&amp;"H:$H=""Can't be Together""),"""")})="" - "","""",join("" - "",{iferror(filter('Student Groupings'!$A:$A,'Student Groupings'!$B:$B=$C46,'Student Groupings'!$H:$H=""Can't be Together""),"""");iferror(filter('Student Groupings'!$A:$A,'Student Groupings'!$E:$"&amp;"E=$C46,'Student Groupings'!$H:$H=""Can't be Together""),"""")})))"),"")</f>
        <v/>
      </c>
      <c r="AI46" s="185" t="str">
        <f>IFERROR(__xludf.DUMMYFUNCTION("if($C46="""","""",if(join("" - "",{iferror(filter('Student Groupings'!$A:$A,'Student Groupings'!$B:$B=$C46,'Student Groupings'!$H:$H=""Must be Together""),"""");iferror(filter('Student Groupings'!$A:$A,'Student Groupings'!$E:$E=$C46,'Student Groupings'!$H"&amp;":$H=""Must be Together""),"""")})="" - "","""",join("" - "",{iferror(filter('Student Groupings'!$A:$A,'Student Groupings'!$B:$B=$C46,'Student Groupings'!$H:$H=""Must be Together""),"""");iferror(filter('Student Groupings'!$A:$A,'Student Groupings'!$E:$E=$"&amp;"C46,'Student Groupings'!$H:$H=""Must be Together""),"""")})))"),"")</f>
        <v/>
      </c>
    </row>
    <row r="47">
      <c r="A47" s="167">
        <v>9.0</v>
      </c>
      <c r="B47" s="168">
        <v>29170.0</v>
      </c>
      <c r="C47" s="144" t="s">
        <v>199</v>
      </c>
      <c r="D47" s="180" t="s">
        <v>40</v>
      </c>
      <c r="E47" s="181">
        <v>5.0</v>
      </c>
      <c r="F47" s="167" t="s">
        <v>61</v>
      </c>
      <c r="G47" s="167">
        <v>7.0</v>
      </c>
      <c r="H47" s="182" t="s">
        <v>73</v>
      </c>
      <c r="I47" s="167">
        <v>3.0</v>
      </c>
      <c r="J47" s="183"/>
      <c r="K47" s="167"/>
      <c r="L47" s="184" t="s">
        <v>88</v>
      </c>
      <c r="M47" s="167">
        <v>6.0</v>
      </c>
      <c r="N47" s="184" t="s">
        <v>128</v>
      </c>
      <c r="O47" s="167">
        <v>8.0</v>
      </c>
      <c r="P47" s="184" t="s">
        <v>51</v>
      </c>
      <c r="Q47" s="167">
        <v>4.0</v>
      </c>
      <c r="R47" s="184" t="s">
        <v>124</v>
      </c>
      <c r="S47" s="167">
        <v>1.0</v>
      </c>
      <c r="T47" s="188"/>
      <c r="U47" s="142"/>
      <c r="V47" s="184" t="s">
        <v>23</v>
      </c>
      <c r="W47" s="167">
        <v>2.0</v>
      </c>
      <c r="X47" s="142">
        <v>1.0</v>
      </c>
      <c r="Y47" s="142">
        <v>1.0</v>
      </c>
      <c r="Z47" s="142">
        <v>1.0</v>
      </c>
      <c r="AA47" s="142">
        <v>1.0</v>
      </c>
      <c r="AB47" s="142">
        <v>1.0</v>
      </c>
      <c r="AC47" s="142">
        <v>1.0</v>
      </c>
      <c r="AD47" s="142">
        <v>1.0</v>
      </c>
      <c r="AE47" s="142">
        <v>1.0</v>
      </c>
      <c r="AF47" s="142">
        <v>8.0</v>
      </c>
      <c r="AG47" s="142">
        <v>0.0</v>
      </c>
      <c r="AH47" s="185" t="str">
        <f>IFERROR(__xludf.DUMMYFUNCTION("if($C47="""","""",if(join("" - "",{iferror(filter('Student Groupings'!$A:$A,'Student Groupings'!$B:$B=$C47,'Student Groupings'!$H:$H=""Can't be Together""),"""");iferror(filter('Student Groupings'!$A:$A,'Student Groupings'!$E:$E=$C47,'Student Groupings'!$"&amp;"H:$H=""Can't be Together""),"""")})="" - "","""",join("" - "",{iferror(filter('Student Groupings'!$A:$A,'Student Groupings'!$B:$B=$C47,'Student Groupings'!$H:$H=""Can't be Together""),"""");iferror(filter('Student Groupings'!$A:$A,'Student Groupings'!$E:$"&amp;"E=$C47,'Student Groupings'!$H:$H=""Can't be Together""),"""")})))"),"45 - ")</f>
        <v>45 - </v>
      </c>
      <c r="AI47" s="185" t="str">
        <f>IFERROR(__xludf.DUMMYFUNCTION("if($C47="""","""",if(join("" - "",{iferror(filter('Student Groupings'!$A:$A,'Student Groupings'!$B:$B=$C47,'Student Groupings'!$H:$H=""Must be Together""),"""");iferror(filter('Student Groupings'!$A:$A,'Student Groupings'!$E:$E=$C47,'Student Groupings'!$H"&amp;":$H=""Must be Together""),"""")})="" - "","""",join("" - "",{iferror(filter('Student Groupings'!$A:$A,'Student Groupings'!$B:$B=$C47,'Student Groupings'!$H:$H=""Must be Together""),"""");iferror(filter('Student Groupings'!$A:$A,'Student Groupings'!$E:$E=$"&amp;"C47,'Student Groupings'!$H:$H=""Must be Together""),"""")})))"),"46 - ")</f>
        <v>46 - </v>
      </c>
    </row>
    <row r="48">
      <c r="A48" s="167">
        <v>9.0</v>
      </c>
      <c r="B48" s="168">
        <v>29058.0</v>
      </c>
      <c r="C48" s="144" t="s">
        <v>200</v>
      </c>
      <c r="D48" s="180" t="s">
        <v>40</v>
      </c>
      <c r="E48" s="181">
        <v>5.0</v>
      </c>
      <c r="F48" s="167" t="s">
        <v>61</v>
      </c>
      <c r="G48" s="167">
        <v>6.0</v>
      </c>
      <c r="H48" s="182" t="s">
        <v>76</v>
      </c>
      <c r="I48" s="167">
        <v>7.0</v>
      </c>
      <c r="J48" s="187"/>
      <c r="K48" s="167"/>
      <c r="L48" s="184" t="s">
        <v>88</v>
      </c>
      <c r="M48" s="167">
        <v>3.0</v>
      </c>
      <c r="N48" s="184" t="s">
        <v>128</v>
      </c>
      <c r="O48" s="167">
        <v>8.0</v>
      </c>
      <c r="P48" s="184" t="s">
        <v>51</v>
      </c>
      <c r="Q48" s="167">
        <v>4.0</v>
      </c>
      <c r="R48" s="184" t="s">
        <v>124</v>
      </c>
      <c r="S48" s="167">
        <v>1.0</v>
      </c>
      <c r="T48" s="188"/>
      <c r="U48" s="167"/>
      <c r="V48" s="184" t="s">
        <v>23</v>
      </c>
      <c r="W48" s="180">
        <v>2.0</v>
      </c>
      <c r="X48" s="142">
        <v>1.0</v>
      </c>
      <c r="Y48" s="142">
        <v>1.0</v>
      </c>
      <c r="Z48" s="142">
        <v>1.0</v>
      </c>
      <c r="AA48" s="142">
        <v>1.0</v>
      </c>
      <c r="AB48" s="142">
        <v>1.0</v>
      </c>
      <c r="AC48" s="142">
        <v>1.0</v>
      </c>
      <c r="AD48" s="142">
        <v>1.0</v>
      </c>
      <c r="AE48" s="142">
        <v>1.0</v>
      </c>
      <c r="AF48" s="142">
        <v>8.0</v>
      </c>
      <c r="AG48" s="142">
        <v>0.0</v>
      </c>
      <c r="AH48" s="185" t="str">
        <f>IFERROR(__xludf.DUMMYFUNCTION("if($C48="""","""",if(join("" - "",{iferror(filter('Student Groupings'!$A:$A,'Student Groupings'!$B:$B=$C48,'Student Groupings'!$H:$H=""Can't be Together""),"""");iferror(filter('Student Groupings'!$A:$A,'Student Groupings'!$E:$E=$C48,'Student Groupings'!$"&amp;"H:$H=""Can't be Together""),"""")})="" - "","""",join("" - "",{iferror(filter('Student Groupings'!$A:$A,'Student Groupings'!$B:$B=$C48,'Student Groupings'!$H:$H=""Can't be Together""),"""");iferror(filter('Student Groupings'!$A:$A,'Student Groupings'!$E:$"&amp;"E=$C48,'Student Groupings'!$H:$H=""Can't be Together""),"""")})))"),"")</f>
        <v/>
      </c>
      <c r="AI48" s="185" t="str">
        <f>IFERROR(__xludf.DUMMYFUNCTION("if($C48="""","""",if(join("" - "",{iferror(filter('Student Groupings'!$A:$A,'Student Groupings'!$B:$B=$C48,'Student Groupings'!$H:$H=""Must be Together""),"""");iferror(filter('Student Groupings'!$A:$A,'Student Groupings'!$E:$E=$C48,'Student Groupings'!$H"&amp;":$H=""Must be Together""),"""")})="" - "","""",join("" - "",{iferror(filter('Student Groupings'!$A:$A,'Student Groupings'!$B:$B=$C48,'Student Groupings'!$H:$H=""Must be Together""),"""");iferror(filter('Student Groupings'!$A:$A,'Student Groupings'!$E:$E=$"&amp;"C48,'Student Groupings'!$H:$H=""Must be Together""),"""")})))")," - 46")</f>
        <v> - 46</v>
      </c>
    </row>
    <row r="49">
      <c r="A49" s="167">
        <v>9.0</v>
      </c>
      <c r="B49" s="168">
        <v>29072.0</v>
      </c>
      <c r="C49" s="144" t="s">
        <v>201</v>
      </c>
      <c r="D49" s="180" t="s">
        <v>40</v>
      </c>
      <c r="E49" s="181">
        <v>1.0</v>
      </c>
      <c r="F49" s="167" t="s">
        <v>61</v>
      </c>
      <c r="G49" s="167">
        <v>5.0</v>
      </c>
      <c r="H49" s="182" t="s">
        <v>76</v>
      </c>
      <c r="I49" s="167">
        <v>8.0</v>
      </c>
      <c r="J49" s="187"/>
      <c r="K49" s="167"/>
      <c r="L49" s="184" t="s">
        <v>88</v>
      </c>
      <c r="M49" s="167">
        <v>4.0</v>
      </c>
      <c r="N49" s="184" t="s">
        <v>128</v>
      </c>
      <c r="O49" s="167">
        <v>6.0</v>
      </c>
      <c r="P49" s="184" t="s">
        <v>51</v>
      </c>
      <c r="Q49" s="167">
        <v>3.0</v>
      </c>
      <c r="R49" s="184" t="s">
        <v>124</v>
      </c>
      <c r="S49" s="167">
        <v>2.0</v>
      </c>
      <c r="T49" s="188"/>
      <c r="U49" s="142"/>
      <c r="V49" s="184" t="s">
        <v>24</v>
      </c>
      <c r="W49" s="167">
        <v>7.0</v>
      </c>
      <c r="X49" s="142">
        <v>1.0</v>
      </c>
      <c r="Y49" s="142">
        <v>1.0</v>
      </c>
      <c r="Z49" s="142">
        <v>1.0</v>
      </c>
      <c r="AA49" s="142">
        <v>1.0</v>
      </c>
      <c r="AB49" s="142">
        <v>1.0</v>
      </c>
      <c r="AC49" s="142">
        <v>1.0</v>
      </c>
      <c r="AD49" s="142">
        <v>1.0</v>
      </c>
      <c r="AE49" s="142">
        <v>1.0</v>
      </c>
      <c r="AF49" s="142">
        <v>8.0</v>
      </c>
      <c r="AG49" s="142">
        <v>0.0</v>
      </c>
      <c r="AH49" s="185" t="str">
        <f>IFERROR(__xludf.DUMMYFUNCTION("if($C49="""","""",if(join("" - "",{iferror(filter('Student Groupings'!$A:$A,'Student Groupings'!$B:$B=$C49,'Student Groupings'!$H:$H=""Can't be Together""),"""");iferror(filter('Student Groupings'!$A:$A,'Student Groupings'!$E:$E=$C49,'Student Groupings'!$"&amp;"H:$H=""Can't be Together""),"""")})="" - "","""",join("" - "",{iferror(filter('Student Groupings'!$A:$A,'Student Groupings'!$B:$B=$C49,'Student Groupings'!$H:$H=""Can't be Together""),"""");iferror(filter('Student Groupings'!$A:$A,'Student Groupings'!$E:$"&amp;"E=$C49,'Student Groupings'!$H:$H=""Can't be Together""),"""")})))"),"")</f>
        <v/>
      </c>
      <c r="AI49" s="185" t="str">
        <f>IFERROR(__xludf.DUMMYFUNCTION("if($C49="""","""",if(join("" - "",{iferror(filter('Student Groupings'!$A:$A,'Student Groupings'!$B:$B=$C49,'Student Groupings'!$H:$H=""Must be Together""),"""");iferror(filter('Student Groupings'!$A:$A,'Student Groupings'!$E:$E=$C49,'Student Groupings'!$H"&amp;":$H=""Must be Together""),"""")})="" - "","""",join("" - "",{iferror(filter('Student Groupings'!$A:$A,'Student Groupings'!$B:$B=$C49,'Student Groupings'!$H:$H=""Must be Together""),"""");iferror(filter('Student Groupings'!$A:$A,'Student Groupings'!$E:$E=$"&amp;"C49,'Student Groupings'!$H:$H=""Must be Together""),"""")})))")," - 106 - 124")</f>
        <v> - 106 - 124</v>
      </c>
    </row>
    <row r="50">
      <c r="A50" s="167">
        <v>9.0</v>
      </c>
      <c r="B50" s="168">
        <v>29125.0</v>
      </c>
      <c r="C50" s="144" t="s">
        <v>202</v>
      </c>
      <c r="D50" s="180" t="s">
        <v>40</v>
      </c>
      <c r="E50" s="181">
        <v>8.0</v>
      </c>
      <c r="F50" s="167" t="s">
        <v>61</v>
      </c>
      <c r="G50" s="167">
        <v>7.0</v>
      </c>
      <c r="H50" s="182" t="s">
        <v>76</v>
      </c>
      <c r="I50" s="167">
        <v>1.0</v>
      </c>
      <c r="J50" s="187"/>
      <c r="K50" s="167"/>
      <c r="L50" s="184" t="s">
        <v>88</v>
      </c>
      <c r="M50" s="167">
        <v>2.0</v>
      </c>
      <c r="N50" s="184" t="s">
        <v>128</v>
      </c>
      <c r="O50" s="167">
        <v>5.0</v>
      </c>
      <c r="P50" s="184" t="s">
        <v>51</v>
      </c>
      <c r="Q50" s="167">
        <v>4.0</v>
      </c>
      <c r="R50" s="191" t="s">
        <v>122</v>
      </c>
      <c r="S50" s="167">
        <v>6.0</v>
      </c>
      <c r="T50" s="188"/>
      <c r="U50" s="142"/>
      <c r="V50" s="184" t="s">
        <v>24</v>
      </c>
      <c r="W50" s="167">
        <v>3.0</v>
      </c>
      <c r="X50" s="142">
        <v>1.0</v>
      </c>
      <c r="Y50" s="142">
        <v>1.0</v>
      </c>
      <c r="Z50" s="142">
        <v>1.0</v>
      </c>
      <c r="AA50" s="142">
        <v>1.0</v>
      </c>
      <c r="AB50" s="142">
        <v>1.0</v>
      </c>
      <c r="AC50" s="142">
        <v>1.0</v>
      </c>
      <c r="AD50" s="142">
        <v>1.0</v>
      </c>
      <c r="AE50" s="142">
        <v>1.0</v>
      </c>
      <c r="AF50" s="142">
        <v>8.0</v>
      </c>
      <c r="AG50" s="142">
        <v>0.0</v>
      </c>
      <c r="AH50" s="185" t="str">
        <f>IFERROR(__xludf.DUMMYFUNCTION("if($C50="""","""",if(join("" - "",{iferror(filter('Student Groupings'!$A:$A,'Student Groupings'!$B:$B=$C50,'Student Groupings'!$H:$H=""Can't be Together""),"""");iferror(filter('Student Groupings'!$A:$A,'Student Groupings'!$E:$E=$C50,'Student Groupings'!$"&amp;"H:$H=""Can't be Together""),"""")})="" - "","""",join("" - "",{iferror(filter('Student Groupings'!$A:$A,'Student Groupings'!$B:$B=$C50,'Student Groupings'!$H:$H=""Can't be Together""),"""");iferror(filter('Student Groupings'!$A:$A,'Student Groupings'!$E:$"&amp;"E=$C50,'Student Groupings'!$H:$H=""Can't be Together""),"""")})))"),"")</f>
        <v/>
      </c>
      <c r="AI50" s="185" t="str">
        <f>IFERROR(__xludf.DUMMYFUNCTION("if($C50="""","""",if(join("" - "",{iferror(filter('Student Groupings'!$A:$A,'Student Groupings'!$B:$B=$C50,'Student Groupings'!$H:$H=""Must be Together""),"""");iferror(filter('Student Groupings'!$A:$A,'Student Groupings'!$E:$E=$C50,'Student Groupings'!$H"&amp;":$H=""Must be Together""),"""")})="" - "","""",join("" - "",{iferror(filter('Student Groupings'!$A:$A,'Student Groupings'!$B:$B=$C50,'Student Groupings'!$H:$H=""Must be Together""),"""");iferror(filter('Student Groupings'!$A:$A,'Student Groupings'!$E:$E=$"&amp;"C50,'Student Groupings'!$H:$H=""Must be Together""),"""")})))"),"")</f>
        <v/>
      </c>
    </row>
    <row r="51">
      <c r="A51" s="167">
        <v>9.0</v>
      </c>
      <c r="B51" s="168">
        <v>29045.0</v>
      </c>
      <c r="C51" s="144" t="s">
        <v>203</v>
      </c>
      <c r="D51" s="180" t="s">
        <v>40</v>
      </c>
      <c r="E51" s="181">
        <v>6.0</v>
      </c>
      <c r="F51" s="167" t="s">
        <v>61</v>
      </c>
      <c r="G51" s="167">
        <v>3.0</v>
      </c>
      <c r="H51" s="182" t="s">
        <v>76</v>
      </c>
      <c r="I51" s="167">
        <v>1.0</v>
      </c>
      <c r="J51" s="187"/>
      <c r="K51" s="167"/>
      <c r="L51" s="184" t="s">
        <v>88</v>
      </c>
      <c r="M51" s="167">
        <v>7.0</v>
      </c>
      <c r="N51" s="184" t="s">
        <v>128</v>
      </c>
      <c r="O51" s="167">
        <v>2.0</v>
      </c>
      <c r="P51" s="184" t="s">
        <v>51</v>
      </c>
      <c r="Q51" s="167">
        <v>4.0</v>
      </c>
      <c r="R51" s="184" t="s">
        <v>124</v>
      </c>
      <c r="S51" s="167">
        <v>5.0</v>
      </c>
      <c r="T51" s="188"/>
      <c r="U51" s="189"/>
      <c r="V51" s="184" t="s">
        <v>24</v>
      </c>
      <c r="W51" s="167">
        <v>8.0</v>
      </c>
      <c r="X51" s="142">
        <v>1.0</v>
      </c>
      <c r="Y51" s="142">
        <v>1.0</v>
      </c>
      <c r="Z51" s="142">
        <v>1.0</v>
      </c>
      <c r="AA51" s="142">
        <v>1.0</v>
      </c>
      <c r="AB51" s="142">
        <v>1.0</v>
      </c>
      <c r="AC51" s="142">
        <v>1.0</v>
      </c>
      <c r="AD51" s="142">
        <v>1.0</v>
      </c>
      <c r="AE51" s="142">
        <v>1.0</v>
      </c>
      <c r="AF51" s="142">
        <v>8.0</v>
      </c>
      <c r="AG51" s="142">
        <v>0.0</v>
      </c>
      <c r="AH51" s="185" t="str">
        <f>IFERROR(__xludf.DUMMYFUNCTION("if($C51="""","""",if(join("" - "",{iferror(filter('Student Groupings'!$A:$A,'Student Groupings'!$B:$B=$C51,'Student Groupings'!$H:$H=""Can't be Together""),"""");iferror(filter('Student Groupings'!$A:$A,'Student Groupings'!$E:$E=$C51,'Student Groupings'!$"&amp;"H:$H=""Can't be Together""),"""")})="" - "","""",join("" - "",{iferror(filter('Student Groupings'!$A:$A,'Student Groupings'!$B:$B=$C51,'Student Groupings'!$H:$H=""Can't be Together""),"""");iferror(filter('Student Groupings'!$A:$A,'Student Groupings'!$E:$"&amp;"E=$C51,'Student Groupings'!$H:$H=""Can't be Together""),"""")})))"),"")</f>
        <v/>
      </c>
      <c r="AI51" s="185" t="str">
        <f>IFERROR(__xludf.DUMMYFUNCTION("if($C51="""","""",if(join("" - "",{iferror(filter('Student Groupings'!$A:$A,'Student Groupings'!$B:$B=$C51,'Student Groupings'!$H:$H=""Must be Together""),"""");iferror(filter('Student Groupings'!$A:$A,'Student Groupings'!$E:$E=$C51,'Student Groupings'!$H"&amp;":$H=""Must be Together""),"""")})="" - "","""",join("" - "",{iferror(filter('Student Groupings'!$A:$A,'Student Groupings'!$B:$B=$C51,'Student Groupings'!$H:$H=""Must be Together""),"""");iferror(filter('Student Groupings'!$A:$A,'Student Groupings'!$E:$E=$"&amp;"C51,'Student Groupings'!$H:$H=""Must be Together""),"""")})))"),"")</f>
        <v/>
      </c>
    </row>
    <row r="52">
      <c r="A52" s="167">
        <v>9.0</v>
      </c>
      <c r="B52" s="168">
        <v>28032.0</v>
      </c>
      <c r="C52" s="144" t="s">
        <v>204</v>
      </c>
      <c r="D52" s="180" t="s">
        <v>40</v>
      </c>
      <c r="E52" s="181">
        <v>5.0</v>
      </c>
      <c r="F52" s="167" t="s">
        <v>61</v>
      </c>
      <c r="G52" s="167">
        <v>7.0</v>
      </c>
      <c r="H52" s="182" t="s">
        <v>73</v>
      </c>
      <c r="I52" s="167">
        <v>4.0</v>
      </c>
      <c r="J52" s="187"/>
      <c r="K52" s="167"/>
      <c r="L52" s="184" t="s">
        <v>88</v>
      </c>
      <c r="M52" s="167">
        <v>1.0</v>
      </c>
      <c r="N52" s="184" t="s">
        <v>128</v>
      </c>
      <c r="O52" s="167">
        <v>8.0</v>
      </c>
      <c r="P52" s="184" t="s">
        <v>51</v>
      </c>
      <c r="Q52" s="167">
        <v>2.0</v>
      </c>
      <c r="R52" s="191" t="s">
        <v>122</v>
      </c>
      <c r="S52" s="167">
        <v>6.0</v>
      </c>
      <c r="T52" s="188"/>
      <c r="U52" s="167"/>
      <c r="V52" s="184" t="s">
        <v>27</v>
      </c>
      <c r="W52" s="167">
        <v>3.0</v>
      </c>
      <c r="X52" s="142">
        <v>1.0</v>
      </c>
      <c r="Y52" s="142">
        <v>1.0</v>
      </c>
      <c r="Z52" s="142">
        <v>1.0</v>
      </c>
      <c r="AA52" s="142">
        <v>1.0</v>
      </c>
      <c r="AB52" s="142">
        <v>1.0</v>
      </c>
      <c r="AC52" s="142">
        <v>1.0</v>
      </c>
      <c r="AD52" s="142">
        <v>1.0</v>
      </c>
      <c r="AE52" s="142">
        <v>1.0</v>
      </c>
      <c r="AF52" s="142">
        <v>8.0</v>
      </c>
      <c r="AG52" s="142">
        <v>0.0</v>
      </c>
      <c r="AH52" s="185" t="str">
        <f>IFERROR(__xludf.DUMMYFUNCTION("if($C52="""","""",if(join("" - "",{iferror(filter('Student Groupings'!$A:$A,'Student Groupings'!$B:$B=$C52,'Student Groupings'!$H:$H=""Can't be Together""),"""");iferror(filter('Student Groupings'!$A:$A,'Student Groupings'!$E:$E=$C52,'Student Groupings'!$"&amp;"H:$H=""Can't be Together""),"""")})="" - "","""",join("" - "",{iferror(filter('Student Groupings'!$A:$A,'Student Groupings'!$B:$B=$C52,'Student Groupings'!$H:$H=""Can't be Together""),"""");iferror(filter('Student Groupings'!$A:$A,'Student Groupings'!$E:$"&amp;"E=$C52,'Student Groupings'!$H:$H=""Can't be Together""),"""")})))")," - 49 - 64 - 68")</f>
        <v> - 49 - 64 - 68</v>
      </c>
      <c r="AI52" s="185" t="str">
        <f>IFERROR(__xludf.DUMMYFUNCTION("if($C52="""","""",if(join("" - "",{iferror(filter('Student Groupings'!$A:$A,'Student Groupings'!$B:$B=$C52,'Student Groupings'!$H:$H=""Must be Together""),"""");iferror(filter('Student Groupings'!$A:$A,'Student Groupings'!$E:$E=$C52,'Student Groupings'!$H"&amp;":$H=""Must be Together""),"""")})="" - "","""",join("" - "",{iferror(filter('Student Groupings'!$A:$A,'Student Groupings'!$B:$B=$C52,'Student Groupings'!$H:$H=""Must be Together""),"""");iferror(filter('Student Groupings'!$A:$A,'Student Groupings'!$E:$E=$"&amp;"C52,'Student Groupings'!$H:$H=""Must be Together""),"""")})))"),"")</f>
        <v/>
      </c>
    </row>
    <row r="53">
      <c r="A53" s="167">
        <v>9.0</v>
      </c>
      <c r="B53" s="168">
        <v>29012.0</v>
      </c>
      <c r="C53" s="144" t="s">
        <v>205</v>
      </c>
      <c r="D53" s="180" t="s">
        <v>40</v>
      </c>
      <c r="E53" s="181">
        <v>2.0</v>
      </c>
      <c r="F53" s="167" t="s">
        <v>61</v>
      </c>
      <c r="G53" s="167">
        <v>5.0</v>
      </c>
      <c r="H53" s="182" t="s">
        <v>76</v>
      </c>
      <c r="I53" s="167">
        <v>8.0</v>
      </c>
      <c r="J53" s="187"/>
      <c r="K53" s="167"/>
      <c r="L53" s="184" t="s">
        <v>88</v>
      </c>
      <c r="M53" s="167">
        <v>1.0</v>
      </c>
      <c r="N53" s="184" t="s">
        <v>128</v>
      </c>
      <c r="O53" s="167">
        <v>4.0</v>
      </c>
      <c r="P53" s="184" t="s">
        <v>51</v>
      </c>
      <c r="Q53" s="167">
        <v>7.0</v>
      </c>
      <c r="R53" s="191" t="s">
        <v>122</v>
      </c>
      <c r="S53" s="167">
        <v>6.0</v>
      </c>
      <c r="T53" s="183"/>
      <c r="U53" s="167"/>
      <c r="V53" s="184" t="s">
        <v>24</v>
      </c>
      <c r="W53" s="167">
        <v>3.0</v>
      </c>
      <c r="X53" s="142">
        <v>1.0</v>
      </c>
      <c r="Y53" s="142">
        <v>1.0</v>
      </c>
      <c r="Z53" s="142">
        <v>1.0</v>
      </c>
      <c r="AA53" s="142">
        <v>1.0</v>
      </c>
      <c r="AB53" s="142">
        <v>1.0</v>
      </c>
      <c r="AC53" s="142">
        <v>1.0</v>
      </c>
      <c r="AD53" s="142">
        <v>1.0</v>
      </c>
      <c r="AE53" s="142">
        <v>1.0</v>
      </c>
      <c r="AF53" s="142">
        <v>8.0</v>
      </c>
      <c r="AG53" s="142">
        <v>0.0</v>
      </c>
      <c r="AH53" s="185" t="str">
        <f>IFERROR(__xludf.DUMMYFUNCTION("if($C53="""","""",if(join("" - "",{iferror(filter('Student Groupings'!$A:$A,'Student Groupings'!$B:$B=$C53,'Student Groupings'!$H:$H=""Can't be Together""),"""");iferror(filter('Student Groupings'!$A:$A,'Student Groupings'!$E:$E=$C53,'Student Groupings'!$"&amp;"H:$H=""Can't be Together""),"""")})="" - "","""",join("" - "",{iferror(filter('Student Groupings'!$A:$A,'Student Groupings'!$B:$B=$C53,'Student Groupings'!$H:$H=""Can't be Together""),"""");iferror(filter('Student Groupings'!$A:$A,'Student Groupings'!$E:$"&amp;"E=$C53,'Student Groupings'!$H:$H=""Can't be Together""),"""")})))"),"")</f>
        <v/>
      </c>
      <c r="AI53" s="185" t="str">
        <f>IFERROR(__xludf.DUMMYFUNCTION("if($C53="""","""",if(join("" - "",{iferror(filter('Student Groupings'!$A:$A,'Student Groupings'!$B:$B=$C53,'Student Groupings'!$H:$H=""Must be Together""),"""");iferror(filter('Student Groupings'!$A:$A,'Student Groupings'!$E:$E=$C53,'Student Groupings'!$H"&amp;":$H=""Must be Together""),"""")})="" - "","""",join("" - "",{iferror(filter('Student Groupings'!$A:$A,'Student Groupings'!$B:$B=$C53,'Student Groupings'!$H:$H=""Must be Together""),"""");iferror(filter('Student Groupings'!$A:$A,'Student Groupings'!$E:$E=$"&amp;"C53,'Student Groupings'!$H:$H=""Must be Together""),"""")})))"),"")</f>
        <v/>
      </c>
    </row>
    <row r="54">
      <c r="A54" s="167">
        <v>9.0</v>
      </c>
      <c r="B54" s="168">
        <v>29138.0</v>
      </c>
      <c r="C54" s="144" t="s">
        <v>206</v>
      </c>
      <c r="D54" s="180" t="s">
        <v>40</v>
      </c>
      <c r="E54" s="181">
        <v>5.0</v>
      </c>
      <c r="F54" s="167" t="s">
        <v>61</v>
      </c>
      <c r="G54" s="167">
        <v>3.0</v>
      </c>
      <c r="H54" s="182" t="s">
        <v>76</v>
      </c>
      <c r="I54" s="167">
        <v>1.0</v>
      </c>
      <c r="J54" s="187"/>
      <c r="K54" s="167"/>
      <c r="L54" s="184" t="s">
        <v>88</v>
      </c>
      <c r="M54" s="167">
        <v>2.0</v>
      </c>
      <c r="N54" s="184" t="s">
        <v>128</v>
      </c>
      <c r="O54" s="167">
        <v>4.0</v>
      </c>
      <c r="P54" s="184" t="s">
        <v>51</v>
      </c>
      <c r="Q54" s="167">
        <v>7.0</v>
      </c>
      <c r="R54" s="184" t="s">
        <v>124</v>
      </c>
      <c r="S54" s="167">
        <v>6.0</v>
      </c>
      <c r="T54" s="187"/>
      <c r="U54" s="167"/>
      <c r="V54" s="184" t="s">
        <v>24</v>
      </c>
      <c r="W54" s="180">
        <v>8.0</v>
      </c>
      <c r="X54" s="142">
        <v>1.0</v>
      </c>
      <c r="Y54" s="142">
        <v>1.0</v>
      </c>
      <c r="Z54" s="142">
        <v>1.0</v>
      </c>
      <c r="AA54" s="142">
        <v>1.0</v>
      </c>
      <c r="AB54" s="142">
        <v>1.0</v>
      </c>
      <c r="AC54" s="142">
        <v>1.0</v>
      </c>
      <c r="AD54" s="142">
        <v>1.0</v>
      </c>
      <c r="AE54" s="142">
        <v>1.0</v>
      </c>
      <c r="AF54" s="142">
        <v>8.0</v>
      </c>
      <c r="AG54" s="142">
        <v>0.0</v>
      </c>
      <c r="AH54" s="185" t="str">
        <f>IFERROR(__xludf.DUMMYFUNCTION("if($C54="""","""",if(join("" - "",{iferror(filter('Student Groupings'!$A:$A,'Student Groupings'!$B:$B=$C54,'Student Groupings'!$H:$H=""Can't be Together""),"""");iferror(filter('Student Groupings'!$A:$A,'Student Groupings'!$E:$E=$C54,'Student Groupings'!$"&amp;"H:$H=""Can't be Together""),"""")})="" - "","""",join("" - "",{iferror(filter('Student Groupings'!$A:$A,'Student Groupings'!$B:$B=$C54,'Student Groupings'!$H:$H=""Can't be Together""),"""");iferror(filter('Student Groupings'!$A:$A,'Student Groupings'!$E:$"&amp;"E=$C54,'Student Groupings'!$H:$H=""Can't be Together""),"""")})))")," - 53")</f>
        <v> - 53</v>
      </c>
      <c r="AI54" s="185" t="str">
        <f>IFERROR(__xludf.DUMMYFUNCTION("if($C54="""","""",if(join("" - "",{iferror(filter('Student Groupings'!$A:$A,'Student Groupings'!$B:$B=$C54,'Student Groupings'!$H:$H=""Must be Together""),"""");iferror(filter('Student Groupings'!$A:$A,'Student Groupings'!$E:$E=$C54,'Student Groupings'!$H"&amp;":$H=""Must be Together""),"""")})="" - "","""",join("" - "",{iferror(filter('Student Groupings'!$A:$A,'Student Groupings'!$B:$B=$C54,'Student Groupings'!$H:$H=""Must be Together""),"""");iferror(filter('Student Groupings'!$A:$A,'Student Groupings'!$E:$E=$"&amp;"C54,'Student Groupings'!$H:$H=""Must be Together""),"""")})))"),"")</f>
        <v/>
      </c>
    </row>
    <row r="55">
      <c r="A55" s="167">
        <v>9.0</v>
      </c>
      <c r="B55" s="168">
        <v>29003.0</v>
      </c>
      <c r="C55" s="144" t="s">
        <v>207</v>
      </c>
      <c r="D55" s="180" t="s">
        <v>40</v>
      </c>
      <c r="E55" s="181">
        <v>1.0</v>
      </c>
      <c r="F55" s="167" t="s">
        <v>61</v>
      </c>
      <c r="G55" s="167">
        <v>7.0</v>
      </c>
      <c r="H55" s="182" t="s">
        <v>73</v>
      </c>
      <c r="I55" s="167">
        <v>4.0</v>
      </c>
      <c r="J55" s="187"/>
      <c r="K55" s="167"/>
      <c r="L55" s="184" t="s">
        <v>88</v>
      </c>
      <c r="M55" s="167">
        <v>6.0</v>
      </c>
      <c r="N55" s="184" t="s">
        <v>128</v>
      </c>
      <c r="O55" s="167">
        <v>5.0</v>
      </c>
      <c r="P55" s="184" t="s">
        <v>51</v>
      </c>
      <c r="Q55" s="167">
        <v>2.0</v>
      </c>
      <c r="R55" s="184" t="s">
        <v>120</v>
      </c>
      <c r="S55" s="167">
        <v>3.0</v>
      </c>
      <c r="T55" s="183"/>
      <c r="U55" s="167"/>
      <c r="V55" s="184" t="s">
        <v>30</v>
      </c>
      <c r="W55" s="167">
        <v>8.0</v>
      </c>
      <c r="X55" s="142">
        <v>1.0</v>
      </c>
      <c r="Y55" s="142">
        <v>1.0</v>
      </c>
      <c r="Z55" s="142">
        <v>1.0</v>
      </c>
      <c r="AA55" s="142">
        <v>1.0</v>
      </c>
      <c r="AB55" s="142">
        <v>1.0</v>
      </c>
      <c r="AC55" s="142">
        <v>1.0</v>
      </c>
      <c r="AD55" s="142">
        <v>1.0</v>
      </c>
      <c r="AE55" s="142">
        <v>1.0</v>
      </c>
      <c r="AF55" s="142">
        <v>8.0</v>
      </c>
      <c r="AG55" s="142">
        <v>0.0</v>
      </c>
      <c r="AH55" s="185" t="str">
        <f>IFERROR(__xludf.DUMMYFUNCTION("if($C55="""","""",if(join("" - "",{iferror(filter('Student Groupings'!$A:$A,'Student Groupings'!$B:$B=$C55,'Student Groupings'!$H:$H=""Can't be Together""),"""");iferror(filter('Student Groupings'!$A:$A,'Student Groupings'!$E:$E=$C55,'Student Groupings'!$"&amp;"H:$H=""Can't be Together""),"""")})="" - "","""",join("" - "",{iferror(filter('Student Groupings'!$A:$A,'Student Groupings'!$B:$B=$C55,'Student Groupings'!$H:$H=""Can't be Together""),"""");iferror(filter('Student Groupings'!$A:$A,'Student Groupings'!$E:$"&amp;"E=$C55,'Student Groupings'!$H:$H=""Can't be Together""),"""")})))"),"")</f>
        <v/>
      </c>
      <c r="AI55" s="185" t="str">
        <f>IFERROR(__xludf.DUMMYFUNCTION("if($C55="""","""",if(join("" - "",{iferror(filter('Student Groupings'!$A:$A,'Student Groupings'!$B:$B=$C55,'Student Groupings'!$H:$H=""Must be Together""),"""");iferror(filter('Student Groupings'!$A:$A,'Student Groupings'!$E:$E=$C55,'Student Groupings'!$H"&amp;":$H=""Must be Together""),"""")})="" - "","""",join("" - "",{iferror(filter('Student Groupings'!$A:$A,'Student Groupings'!$B:$B=$C55,'Student Groupings'!$H:$H=""Must be Together""),"""");iferror(filter('Student Groupings'!$A:$A,'Student Groupings'!$E:$E=$"&amp;"C55,'Student Groupings'!$H:$H=""Must be Together""),"""")})))")," - 59")</f>
        <v> - 59</v>
      </c>
    </row>
    <row r="56">
      <c r="A56" s="167">
        <v>9.0</v>
      </c>
      <c r="B56" s="168">
        <v>29158.0</v>
      </c>
      <c r="C56" s="144" t="s">
        <v>208</v>
      </c>
      <c r="D56" s="180" t="s">
        <v>40</v>
      </c>
      <c r="E56" s="181">
        <v>7.0</v>
      </c>
      <c r="F56" s="167" t="s">
        <v>61</v>
      </c>
      <c r="G56" s="167">
        <v>5.0</v>
      </c>
      <c r="H56" s="182" t="s">
        <v>73</v>
      </c>
      <c r="I56" s="167">
        <v>6.0</v>
      </c>
      <c r="J56" s="187"/>
      <c r="K56" s="167"/>
      <c r="L56" s="184" t="s">
        <v>88</v>
      </c>
      <c r="M56" s="167">
        <v>4.0</v>
      </c>
      <c r="N56" s="184" t="s">
        <v>128</v>
      </c>
      <c r="O56" s="167">
        <v>8.0</v>
      </c>
      <c r="P56" s="184" t="s">
        <v>51</v>
      </c>
      <c r="Q56" s="167">
        <v>2.0</v>
      </c>
      <c r="R56" s="184" t="s">
        <v>120</v>
      </c>
      <c r="S56" s="167">
        <v>1.0</v>
      </c>
      <c r="T56" s="188"/>
      <c r="U56" s="189"/>
      <c r="V56" s="184" t="s">
        <v>24</v>
      </c>
      <c r="W56" s="167">
        <v>3.0</v>
      </c>
      <c r="X56" s="142">
        <v>1.0</v>
      </c>
      <c r="Y56" s="142">
        <v>1.0</v>
      </c>
      <c r="Z56" s="142">
        <v>1.0</v>
      </c>
      <c r="AA56" s="142">
        <v>1.0</v>
      </c>
      <c r="AB56" s="142">
        <v>1.0</v>
      </c>
      <c r="AC56" s="142">
        <v>1.0</v>
      </c>
      <c r="AD56" s="142">
        <v>1.0</v>
      </c>
      <c r="AE56" s="142">
        <v>1.0</v>
      </c>
      <c r="AF56" s="142">
        <v>8.0</v>
      </c>
      <c r="AG56" s="142">
        <v>0.0</v>
      </c>
      <c r="AH56" s="185" t="str">
        <f>IFERROR(__xludf.DUMMYFUNCTION("if($C56="""","""",if(join("" - "",{iferror(filter('Student Groupings'!$A:$A,'Student Groupings'!$B:$B=$C56,'Student Groupings'!$H:$H=""Can't be Together""),"""");iferror(filter('Student Groupings'!$A:$A,'Student Groupings'!$E:$E=$C56,'Student Groupings'!$"&amp;"H:$H=""Can't be Together""),"""")})="" - "","""",join("" - "",{iferror(filter('Student Groupings'!$A:$A,'Student Groupings'!$B:$B=$C56,'Student Groupings'!$H:$H=""Can't be Together""),"""");iferror(filter('Student Groupings'!$A:$A,'Student Groupings'!$E:$"&amp;"E=$C56,'Student Groupings'!$H:$H=""Can't be Together""),"""")})))"),"")</f>
        <v/>
      </c>
      <c r="AI56" s="185" t="str">
        <f>IFERROR(__xludf.DUMMYFUNCTION("if($C56="""","""",if(join("" - "",{iferror(filter('Student Groupings'!$A:$A,'Student Groupings'!$B:$B=$C56,'Student Groupings'!$H:$H=""Must be Together""),"""");iferror(filter('Student Groupings'!$A:$A,'Student Groupings'!$E:$E=$C56,'Student Groupings'!$H"&amp;":$H=""Must be Together""),"""")})="" - "","""",join("" - "",{iferror(filter('Student Groupings'!$A:$A,'Student Groupings'!$B:$B=$C56,'Student Groupings'!$H:$H=""Must be Together""),"""");iferror(filter('Student Groupings'!$A:$A,'Student Groupings'!$E:$E=$"&amp;"C56,'Student Groupings'!$H:$H=""Must be Together""),"""")})))"),"")</f>
        <v/>
      </c>
    </row>
    <row r="57">
      <c r="A57" s="167">
        <v>9.0</v>
      </c>
      <c r="B57" s="168">
        <v>29088.0</v>
      </c>
      <c r="C57" s="144" t="s">
        <v>209</v>
      </c>
      <c r="D57" s="180" t="s">
        <v>40</v>
      </c>
      <c r="E57" s="181">
        <v>7.0</v>
      </c>
      <c r="F57" s="167" t="s">
        <v>61</v>
      </c>
      <c r="G57" s="167">
        <v>8.0</v>
      </c>
      <c r="H57" s="182" t="s">
        <v>76</v>
      </c>
      <c r="I57" s="167">
        <v>2.0</v>
      </c>
      <c r="J57" s="183"/>
      <c r="K57" s="167"/>
      <c r="L57" s="184" t="s">
        <v>88</v>
      </c>
      <c r="M57" s="167">
        <v>5.0</v>
      </c>
      <c r="N57" s="184" t="s">
        <v>128</v>
      </c>
      <c r="O57" s="167">
        <v>1.0</v>
      </c>
      <c r="P57" s="184" t="s">
        <v>51</v>
      </c>
      <c r="Q57" s="167">
        <v>4.0</v>
      </c>
      <c r="R57" s="184" t="s">
        <v>124</v>
      </c>
      <c r="S57" s="167">
        <v>6.0</v>
      </c>
      <c r="T57" s="187"/>
      <c r="U57" s="167"/>
      <c r="V57" s="184" t="s">
        <v>24</v>
      </c>
      <c r="W57" s="167">
        <v>3.0</v>
      </c>
      <c r="X57" s="142">
        <v>1.0</v>
      </c>
      <c r="Y57" s="142">
        <v>1.0</v>
      </c>
      <c r="Z57" s="142">
        <v>1.0</v>
      </c>
      <c r="AA57" s="142">
        <v>1.0</v>
      </c>
      <c r="AB57" s="142">
        <v>1.0</v>
      </c>
      <c r="AC57" s="142">
        <v>1.0</v>
      </c>
      <c r="AD57" s="142">
        <v>1.0</v>
      </c>
      <c r="AE57" s="142">
        <v>1.0</v>
      </c>
      <c r="AF57" s="142">
        <v>8.0</v>
      </c>
      <c r="AG57" s="142">
        <v>0.0</v>
      </c>
      <c r="AH57" s="185" t="str">
        <f>IFERROR(__xludf.DUMMYFUNCTION("if($C57="""","""",if(join("" - "",{iferror(filter('Student Groupings'!$A:$A,'Student Groupings'!$B:$B=$C57,'Student Groupings'!$H:$H=""Can't be Together""),"""");iferror(filter('Student Groupings'!$A:$A,'Student Groupings'!$E:$E=$C57,'Student Groupings'!$"&amp;"H:$H=""Can't be Together""),"""")})="" - "","""",join("" - "",{iferror(filter('Student Groupings'!$A:$A,'Student Groupings'!$B:$B=$C57,'Student Groupings'!$H:$H=""Can't be Together""),"""");iferror(filter('Student Groupings'!$A:$A,'Student Groupings'!$E:$"&amp;"E=$C57,'Student Groupings'!$H:$H=""Can't be Together""),"""")})))"),"")</f>
        <v/>
      </c>
      <c r="AI57" s="185" t="str">
        <f>IFERROR(__xludf.DUMMYFUNCTION("if($C57="""","""",if(join("" - "",{iferror(filter('Student Groupings'!$A:$A,'Student Groupings'!$B:$B=$C57,'Student Groupings'!$H:$H=""Must be Together""),"""");iferror(filter('Student Groupings'!$A:$A,'Student Groupings'!$E:$E=$C57,'Student Groupings'!$H"&amp;":$H=""Must be Together""),"""")})="" - "","""",join("" - "",{iferror(filter('Student Groupings'!$A:$A,'Student Groupings'!$B:$B=$C57,'Student Groupings'!$H:$H=""Must be Together""),"""");iferror(filter('Student Groupings'!$A:$A,'Student Groupings'!$E:$E=$"&amp;"C57,'Student Groupings'!$H:$H=""Must be Together""),"""")})))")," - 47 - 98")</f>
        <v> - 47 - 98</v>
      </c>
    </row>
    <row r="58">
      <c r="A58" s="167">
        <v>9.0</v>
      </c>
      <c r="B58" s="168">
        <v>29164.0</v>
      </c>
      <c r="C58" s="144" t="s">
        <v>210</v>
      </c>
      <c r="D58" s="180" t="s">
        <v>40</v>
      </c>
      <c r="E58" s="181">
        <v>7.0</v>
      </c>
      <c r="F58" s="167" t="s">
        <v>61</v>
      </c>
      <c r="G58" s="167">
        <v>8.0</v>
      </c>
      <c r="H58" s="182" t="s">
        <v>73</v>
      </c>
      <c r="I58" s="167">
        <v>6.0</v>
      </c>
      <c r="J58" s="187"/>
      <c r="K58" s="167"/>
      <c r="L58" s="184" t="s">
        <v>88</v>
      </c>
      <c r="M58" s="167">
        <v>3.0</v>
      </c>
      <c r="N58" s="184" t="s">
        <v>128</v>
      </c>
      <c r="O58" s="167">
        <v>1.0</v>
      </c>
      <c r="P58" s="184" t="s">
        <v>51</v>
      </c>
      <c r="Q58" s="167">
        <v>2.0</v>
      </c>
      <c r="R58" s="184" t="s">
        <v>124</v>
      </c>
      <c r="S58" s="167">
        <v>5.0</v>
      </c>
      <c r="T58" s="188"/>
      <c r="U58" s="189"/>
      <c r="V58" s="184" t="s">
        <v>28</v>
      </c>
      <c r="W58" s="180">
        <v>4.0</v>
      </c>
      <c r="X58" s="142">
        <v>1.0</v>
      </c>
      <c r="Y58" s="142">
        <v>1.0</v>
      </c>
      <c r="Z58" s="142">
        <v>1.0</v>
      </c>
      <c r="AA58" s="142">
        <v>1.0</v>
      </c>
      <c r="AB58" s="142">
        <v>1.0</v>
      </c>
      <c r="AC58" s="142">
        <v>1.0</v>
      </c>
      <c r="AD58" s="142">
        <v>1.0</v>
      </c>
      <c r="AE58" s="142">
        <v>1.0</v>
      </c>
      <c r="AF58" s="142">
        <v>8.0</v>
      </c>
      <c r="AG58" s="142">
        <v>0.0</v>
      </c>
      <c r="AH58" s="185" t="str">
        <f>IFERROR(__xludf.DUMMYFUNCTION("if($C58="""","""",if(join("" - "",{iferror(filter('Student Groupings'!$A:$A,'Student Groupings'!$B:$B=$C58,'Student Groupings'!$H:$H=""Can't be Together""),"""");iferror(filter('Student Groupings'!$A:$A,'Student Groupings'!$E:$E=$C58,'Student Groupings'!$"&amp;"H:$H=""Can't be Together""),"""")})="" - "","""",join("" - "",{iferror(filter('Student Groupings'!$A:$A,'Student Groupings'!$B:$B=$C58,'Student Groupings'!$H:$H=""Can't be Together""),"""");iferror(filter('Student Groupings'!$A:$A,'Student Groupings'!$E:$"&amp;"E=$C58,'Student Groupings'!$H:$H=""Can't be Together""),"""")})))"),"")</f>
        <v/>
      </c>
      <c r="AI58" s="185" t="str">
        <f>IFERROR(__xludf.DUMMYFUNCTION("if($C58="""","""",if(join("" - "",{iferror(filter('Student Groupings'!$A:$A,'Student Groupings'!$B:$B=$C58,'Student Groupings'!$H:$H=""Must be Together""),"""");iferror(filter('Student Groupings'!$A:$A,'Student Groupings'!$E:$E=$C58,'Student Groupings'!$H"&amp;":$H=""Must be Together""),"""")})="" - "","""",join("" - "",{iferror(filter('Student Groupings'!$A:$A,'Student Groupings'!$B:$B=$C58,'Student Groupings'!$H:$H=""Must be Together""),"""");iferror(filter('Student Groupings'!$A:$A,'Student Groupings'!$E:$E=$"&amp;"C58,'Student Groupings'!$H:$H=""Must be Together""),"""")})))")," - 69")</f>
        <v> - 69</v>
      </c>
    </row>
    <row r="59">
      <c r="A59" s="167">
        <v>9.0</v>
      </c>
      <c r="B59" s="168">
        <v>29011.0</v>
      </c>
      <c r="C59" s="144" t="s">
        <v>211</v>
      </c>
      <c r="D59" s="180" t="s">
        <v>40</v>
      </c>
      <c r="E59" s="181">
        <v>5.0</v>
      </c>
      <c r="F59" s="167" t="s">
        <v>61</v>
      </c>
      <c r="G59" s="167">
        <v>8.0</v>
      </c>
      <c r="H59" s="182" t="s">
        <v>76</v>
      </c>
      <c r="I59" s="167">
        <v>2.0</v>
      </c>
      <c r="J59" s="187"/>
      <c r="K59" s="167"/>
      <c r="L59" s="184" t="s">
        <v>88</v>
      </c>
      <c r="M59" s="167">
        <v>4.0</v>
      </c>
      <c r="N59" s="184" t="s">
        <v>128</v>
      </c>
      <c r="O59" s="167">
        <v>1.0</v>
      </c>
      <c r="P59" s="184" t="s">
        <v>51</v>
      </c>
      <c r="Q59" s="167">
        <v>3.0</v>
      </c>
      <c r="R59" s="184" t="s">
        <v>124</v>
      </c>
      <c r="S59" s="167">
        <v>6.0</v>
      </c>
      <c r="T59" s="188"/>
      <c r="U59" s="167"/>
      <c r="V59" s="184" t="s">
        <v>24</v>
      </c>
      <c r="W59" s="180">
        <v>7.0</v>
      </c>
      <c r="X59" s="142">
        <v>1.0</v>
      </c>
      <c r="Y59" s="142">
        <v>1.0</v>
      </c>
      <c r="Z59" s="142">
        <v>1.0</v>
      </c>
      <c r="AA59" s="142">
        <v>1.0</v>
      </c>
      <c r="AB59" s="142">
        <v>1.0</v>
      </c>
      <c r="AC59" s="142">
        <v>1.0</v>
      </c>
      <c r="AD59" s="142">
        <v>1.0</v>
      </c>
      <c r="AE59" s="142">
        <v>1.0</v>
      </c>
      <c r="AF59" s="142">
        <v>8.0</v>
      </c>
      <c r="AG59" s="142">
        <v>0.0</v>
      </c>
      <c r="AH59" s="185" t="str">
        <f>IFERROR(__xludf.DUMMYFUNCTION("if($C59="""","""",if(join("" - "",{iferror(filter('Student Groupings'!$A:$A,'Student Groupings'!$B:$B=$C59,'Student Groupings'!$H:$H=""Can't be Together""),"""");iferror(filter('Student Groupings'!$A:$A,'Student Groupings'!$E:$E=$C59,'Student Groupings'!$"&amp;"H:$H=""Can't be Together""),"""")})="" - "","""",join("" - "",{iferror(filter('Student Groupings'!$A:$A,'Student Groupings'!$B:$B=$C59,'Student Groupings'!$H:$H=""Can't be Together""),"""");iferror(filter('Student Groupings'!$A:$A,'Student Groupings'!$E:$"&amp;"E=$C59,'Student Groupings'!$H:$H=""Can't be Together""),"""")})))"),"")</f>
        <v/>
      </c>
      <c r="AI59" s="185" t="str">
        <f>IFERROR(__xludf.DUMMYFUNCTION("if($C59="""","""",if(join("" - "",{iferror(filter('Student Groupings'!$A:$A,'Student Groupings'!$B:$B=$C59,'Student Groupings'!$H:$H=""Must be Together""),"""");iferror(filter('Student Groupings'!$A:$A,'Student Groupings'!$E:$E=$C59,'Student Groupings'!$H"&amp;":$H=""Must be Together""),"""")})="" - "","""",join("" - "",{iferror(filter('Student Groupings'!$A:$A,'Student Groupings'!$B:$B=$C59,'Student Groupings'!$H:$H=""Must be Together""),"""");iferror(filter('Student Groupings'!$A:$A,'Student Groupings'!$E:$E=$"&amp;"C59,'Student Groupings'!$H:$H=""Must be Together""),"""")})))"),"")</f>
        <v/>
      </c>
    </row>
    <row r="60">
      <c r="A60" s="167">
        <v>9.0</v>
      </c>
      <c r="B60" s="168">
        <v>29161.0</v>
      </c>
      <c r="C60" s="144" t="s">
        <v>212</v>
      </c>
      <c r="D60" s="180" t="s">
        <v>40</v>
      </c>
      <c r="E60" s="181">
        <v>1.0</v>
      </c>
      <c r="F60" s="167" t="s">
        <v>62</v>
      </c>
      <c r="G60" s="167">
        <v>8.0</v>
      </c>
      <c r="H60" s="182" t="s">
        <v>76</v>
      </c>
      <c r="I60" s="167">
        <v>2.0</v>
      </c>
      <c r="J60" s="187"/>
      <c r="K60" s="167"/>
      <c r="L60" s="184" t="s">
        <v>88</v>
      </c>
      <c r="M60" s="167">
        <v>5.0</v>
      </c>
      <c r="N60" s="184" t="s">
        <v>128</v>
      </c>
      <c r="O60" s="167">
        <v>4.0</v>
      </c>
      <c r="P60" s="184" t="s">
        <v>51</v>
      </c>
      <c r="Q60" s="167">
        <v>3.0</v>
      </c>
      <c r="R60" s="184" t="s">
        <v>124</v>
      </c>
      <c r="S60" s="167">
        <v>6.0</v>
      </c>
      <c r="T60" s="187"/>
      <c r="U60" s="167"/>
      <c r="V60" s="184" t="s">
        <v>24</v>
      </c>
      <c r="W60" s="167">
        <v>7.0</v>
      </c>
      <c r="X60" s="142">
        <v>1.0</v>
      </c>
      <c r="Y60" s="142">
        <v>1.0</v>
      </c>
      <c r="Z60" s="142">
        <v>1.0</v>
      </c>
      <c r="AA60" s="142">
        <v>1.0</v>
      </c>
      <c r="AB60" s="142">
        <v>1.0</v>
      </c>
      <c r="AC60" s="142">
        <v>1.0</v>
      </c>
      <c r="AD60" s="142">
        <v>1.0</v>
      </c>
      <c r="AE60" s="142">
        <v>1.0</v>
      </c>
      <c r="AF60" s="142">
        <v>8.0</v>
      </c>
      <c r="AG60" s="142">
        <v>0.0</v>
      </c>
      <c r="AH60" s="185" t="str">
        <f>IFERROR(__xludf.DUMMYFUNCTION("if($C60="""","""",if(join("" - "",{iferror(filter('Student Groupings'!$A:$A,'Student Groupings'!$B:$B=$C60,'Student Groupings'!$H:$H=""Can't be Together""),"""");iferror(filter('Student Groupings'!$A:$A,'Student Groupings'!$E:$E=$C60,'Student Groupings'!$"&amp;"H:$H=""Can't be Together""),"""")})="" - "","""",join("" - "",{iferror(filter('Student Groupings'!$A:$A,'Student Groupings'!$B:$B=$C60,'Student Groupings'!$H:$H=""Can't be Together""),"""");iferror(filter('Student Groupings'!$A:$A,'Student Groupings'!$E:$"&amp;"E=$C60,'Student Groupings'!$H:$H=""Can't be Together""),"""")})))"),"")</f>
        <v/>
      </c>
      <c r="AI60" s="185" t="str">
        <f>IFERROR(__xludf.DUMMYFUNCTION("if($C60="""","""",if(join("" - "",{iferror(filter('Student Groupings'!$A:$A,'Student Groupings'!$B:$B=$C60,'Student Groupings'!$H:$H=""Must be Together""),"""");iferror(filter('Student Groupings'!$A:$A,'Student Groupings'!$E:$E=$C60,'Student Groupings'!$H"&amp;":$H=""Must be Together""),"""")})="" - "","""",join("" - "",{iferror(filter('Student Groupings'!$A:$A,'Student Groupings'!$B:$B=$C60,'Student Groupings'!$H:$H=""Must be Together""),"""");iferror(filter('Student Groupings'!$A:$A,'Student Groupings'!$E:$E=$"&amp;"C60,'Student Groupings'!$H:$H=""Must be Together""),"""")})))")," - 60 - 100")</f>
        <v> - 60 - 100</v>
      </c>
    </row>
    <row r="61">
      <c r="A61" s="167">
        <v>9.0</v>
      </c>
      <c r="B61" s="168">
        <v>29103.0</v>
      </c>
      <c r="C61" s="144" t="s">
        <v>213</v>
      </c>
      <c r="D61" s="180" t="s">
        <v>40</v>
      </c>
      <c r="E61" s="181">
        <v>2.0</v>
      </c>
      <c r="F61" s="180" t="s">
        <v>61</v>
      </c>
      <c r="G61" s="167">
        <v>6.0</v>
      </c>
      <c r="H61" s="182" t="s">
        <v>73</v>
      </c>
      <c r="I61" s="167">
        <v>4.0</v>
      </c>
      <c r="J61" s="187"/>
      <c r="K61" s="167"/>
      <c r="L61" s="184" t="s">
        <v>88</v>
      </c>
      <c r="M61" s="180">
        <v>3.0</v>
      </c>
      <c r="N61" s="184" t="s">
        <v>128</v>
      </c>
      <c r="O61" s="167">
        <v>8.0</v>
      </c>
      <c r="P61" s="184" t="s">
        <v>51</v>
      </c>
      <c r="Q61" s="167">
        <v>5.0</v>
      </c>
      <c r="R61" s="184" t="s">
        <v>124</v>
      </c>
      <c r="S61" s="167">
        <v>1.0</v>
      </c>
      <c r="T61" s="188"/>
      <c r="U61" s="189"/>
      <c r="V61" s="184" t="s">
        <v>30</v>
      </c>
      <c r="W61" s="167">
        <v>7.0</v>
      </c>
      <c r="X61" s="142">
        <v>1.0</v>
      </c>
      <c r="Y61" s="142">
        <v>1.0</v>
      </c>
      <c r="Z61" s="142">
        <v>1.0</v>
      </c>
      <c r="AA61" s="142">
        <v>1.0</v>
      </c>
      <c r="AB61" s="142">
        <v>1.0</v>
      </c>
      <c r="AC61" s="142">
        <v>1.0</v>
      </c>
      <c r="AD61" s="142">
        <v>1.0</v>
      </c>
      <c r="AE61" s="142">
        <v>1.0</v>
      </c>
      <c r="AF61" s="142">
        <v>8.0</v>
      </c>
      <c r="AG61" s="142">
        <v>0.0</v>
      </c>
      <c r="AH61" s="185" t="str">
        <f>IFERROR(__xludf.DUMMYFUNCTION("if($C61="""","""",if(join("" - "",{iferror(filter('Student Groupings'!$A:$A,'Student Groupings'!$B:$B=$C61,'Student Groupings'!$H:$H=""Can't be Together""),"""");iferror(filter('Student Groupings'!$A:$A,'Student Groupings'!$E:$E=$C61,'Student Groupings'!$"&amp;"H:$H=""Can't be Together""),"""")})="" - "","""",join("" - "",{iferror(filter('Student Groupings'!$A:$A,'Student Groupings'!$B:$B=$C61,'Student Groupings'!$H:$H=""Can't be Together""),"""");iferror(filter('Student Groupings'!$A:$A,'Student Groupings'!$E:$"&amp;"E=$C61,'Student Groupings'!$H:$H=""Can't be Together""),"""")})))"),"")</f>
        <v/>
      </c>
      <c r="AI61" s="185" t="str">
        <f>IFERROR(__xludf.DUMMYFUNCTION("if($C61="""","""",if(join("" - "",{iferror(filter('Student Groupings'!$A:$A,'Student Groupings'!$B:$B=$C61,'Student Groupings'!$H:$H=""Must be Together""),"""");iferror(filter('Student Groupings'!$A:$A,'Student Groupings'!$E:$E=$C61,'Student Groupings'!$H"&amp;":$H=""Must be Together""),"""")})="" - "","""",join("" - "",{iferror(filter('Student Groupings'!$A:$A,'Student Groupings'!$B:$B=$C61,'Student Groupings'!$H:$H=""Must be Together""),"""");iferror(filter('Student Groupings'!$A:$A,'Student Groupings'!$E:$E=$"&amp;"C61,'Student Groupings'!$H:$H=""Must be Together""),"""")})))"),"")</f>
        <v/>
      </c>
    </row>
    <row r="62">
      <c r="A62" s="167">
        <v>9.0</v>
      </c>
      <c r="B62" s="168">
        <v>29004.0</v>
      </c>
      <c r="C62" s="144" t="s">
        <v>214</v>
      </c>
      <c r="D62" s="180" t="s">
        <v>40</v>
      </c>
      <c r="E62" s="181">
        <v>7.0</v>
      </c>
      <c r="F62" s="167" t="s">
        <v>61</v>
      </c>
      <c r="G62" s="167">
        <v>6.0</v>
      </c>
      <c r="H62" s="182" t="s">
        <v>76</v>
      </c>
      <c r="I62" s="167">
        <v>2.0</v>
      </c>
      <c r="J62" s="187"/>
      <c r="K62" s="167"/>
      <c r="L62" s="184" t="s">
        <v>88</v>
      </c>
      <c r="M62" s="167">
        <v>5.0</v>
      </c>
      <c r="N62" s="184" t="s">
        <v>128</v>
      </c>
      <c r="O62" s="167">
        <v>4.0</v>
      </c>
      <c r="P62" s="184" t="s">
        <v>51</v>
      </c>
      <c r="Q62" s="167">
        <v>8.0</v>
      </c>
      <c r="R62" s="184" t="s">
        <v>124</v>
      </c>
      <c r="S62" s="167">
        <v>1.0</v>
      </c>
      <c r="T62" s="188"/>
      <c r="U62" s="167"/>
      <c r="V62" s="184" t="s">
        <v>24</v>
      </c>
      <c r="W62" s="180">
        <v>3.0</v>
      </c>
      <c r="X62" s="142">
        <v>1.0</v>
      </c>
      <c r="Y62" s="142">
        <v>1.0</v>
      </c>
      <c r="Z62" s="142">
        <v>1.0</v>
      </c>
      <c r="AA62" s="142">
        <v>1.0</v>
      </c>
      <c r="AB62" s="142">
        <v>1.0</v>
      </c>
      <c r="AC62" s="142">
        <v>1.0</v>
      </c>
      <c r="AD62" s="142">
        <v>1.0</v>
      </c>
      <c r="AE62" s="142">
        <v>1.0</v>
      </c>
      <c r="AF62" s="142">
        <v>8.0</v>
      </c>
      <c r="AG62" s="142">
        <v>0.0</v>
      </c>
      <c r="AH62" s="185" t="str">
        <f>IFERROR(__xludf.DUMMYFUNCTION("if($C62="""","""",if(join("" - "",{iferror(filter('Student Groupings'!$A:$A,'Student Groupings'!$B:$B=$C62,'Student Groupings'!$H:$H=""Can't be Together""),"""");iferror(filter('Student Groupings'!$A:$A,'Student Groupings'!$E:$E=$C62,'Student Groupings'!$"&amp;"H:$H=""Can't be Together""),"""")})="" - "","""",join("" - "",{iferror(filter('Student Groupings'!$A:$A,'Student Groupings'!$B:$B=$C62,'Student Groupings'!$H:$H=""Can't be Together""),"""");iferror(filter('Student Groupings'!$A:$A,'Student Groupings'!$E:$"&amp;"E=$C62,'Student Groupings'!$H:$H=""Can't be Together""),"""")})))"),"")</f>
        <v/>
      </c>
      <c r="AI62" s="185" t="str">
        <f>IFERROR(__xludf.DUMMYFUNCTION("if($C62="""","""",if(join("" - "",{iferror(filter('Student Groupings'!$A:$A,'Student Groupings'!$B:$B=$C62,'Student Groupings'!$H:$H=""Must be Together""),"""");iferror(filter('Student Groupings'!$A:$A,'Student Groupings'!$E:$E=$C62,'Student Groupings'!$H"&amp;":$H=""Must be Together""),"""")})="" - "","""",join("" - "",{iferror(filter('Student Groupings'!$A:$A,'Student Groupings'!$B:$B=$C62,'Student Groupings'!$H:$H=""Must be Together""),"""");iferror(filter('Student Groupings'!$A:$A,'Student Groupings'!$E:$E=$"&amp;"C62,'Student Groupings'!$H:$H=""Must be Together""),"""")})))"),"")</f>
        <v/>
      </c>
    </row>
    <row r="63">
      <c r="A63" s="167">
        <v>9.0</v>
      </c>
      <c r="B63" s="168">
        <v>29015.0</v>
      </c>
      <c r="C63" s="144" t="s">
        <v>215</v>
      </c>
      <c r="D63" s="180" t="s">
        <v>40</v>
      </c>
      <c r="E63" s="181">
        <v>6.0</v>
      </c>
      <c r="F63" s="167" t="s">
        <v>61</v>
      </c>
      <c r="G63" s="167">
        <v>7.0</v>
      </c>
      <c r="H63" s="182" t="s">
        <v>73</v>
      </c>
      <c r="I63" s="167">
        <v>3.0</v>
      </c>
      <c r="J63" s="187"/>
      <c r="K63" s="167"/>
      <c r="L63" s="184" t="s">
        <v>88</v>
      </c>
      <c r="M63" s="167">
        <v>1.0</v>
      </c>
      <c r="N63" s="184" t="s">
        <v>128</v>
      </c>
      <c r="O63" s="167">
        <v>8.0</v>
      </c>
      <c r="P63" s="184" t="s">
        <v>51</v>
      </c>
      <c r="Q63" s="167">
        <v>5.0</v>
      </c>
      <c r="R63" s="184" t="s">
        <v>124</v>
      </c>
      <c r="S63" s="167">
        <v>2.0</v>
      </c>
      <c r="T63" s="187"/>
      <c r="U63" s="167"/>
      <c r="V63" s="184" t="s">
        <v>28</v>
      </c>
      <c r="W63" s="167">
        <v>4.0</v>
      </c>
      <c r="X63" s="142">
        <v>1.0</v>
      </c>
      <c r="Y63" s="142">
        <v>1.0</v>
      </c>
      <c r="Z63" s="142">
        <v>1.0</v>
      </c>
      <c r="AA63" s="142">
        <v>1.0</v>
      </c>
      <c r="AB63" s="142">
        <v>1.0</v>
      </c>
      <c r="AC63" s="142">
        <v>1.0</v>
      </c>
      <c r="AD63" s="142">
        <v>1.0</v>
      </c>
      <c r="AE63" s="142">
        <v>1.0</v>
      </c>
      <c r="AF63" s="142">
        <v>8.0</v>
      </c>
      <c r="AG63" s="142">
        <v>0.0</v>
      </c>
      <c r="AH63" s="185" t="str">
        <f>IFERROR(__xludf.DUMMYFUNCTION("if($C63="""","""",if(join("" - "",{iferror(filter('Student Groupings'!$A:$A,'Student Groupings'!$B:$B=$C63,'Student Groupings'!$H:$H=""Can't be Together""),"""");iferror(filter('Student Groupings'!$A:$A,'Student Groupings'!$E:$E=$C63,'Student Groupings'!$"&amp;"H:$H=""Can't be Together""),"""")})="" - "","""",join("" - "",{iferror(filter('Student Groupings'!$A:$A,'Student Groupings'!$B:$B=$C63,'Student Groupings'!$H:$H=""Can't be Together""),"""");iferror(filter('Student Groupings'!$A:$A,'Student Groupings'!$E:$"&amp;"E=$C63,'Student Groupings'!$H:$H=""Can't be Together""),"""")})))"),"")</f>
        <v/>
      </c>
      <c r="AI63" s="185" t="str">
        <f>IFERROR(__xludf.DUMMYFUNCTION("if($C63="""","""",if(join("" - "",{iferror(filter('Student Groupings'!$A:$A,'Student Groupings'!$B:$B=$C63,'Student Groupings'!$H:$H=""Must be Together""),"""");iferror(filter('Student Groupings'!$A:$A,'Student Groupings'!$E:$E=$C63,'Student Groupings'!$H"&amp;":$H=""Must be Together""),"""")})="" - "","""",join("" - "",{iferror(filter('Student Groupings'!$A:$A,'Student Groupings'!$B:$B=$C63,'Student Groupings'!$H:$H=""Must be Together""),"""");iferror(filter('Student Groupings'!$A:$A,'Student Groupings'!$E:$E=$"&amp;"C63,'Student Groupings'!$H:$H=""Must be Together""),"""")})))"),"")</f>
        <v/>
      </c>
    </row>
    <row r="64">
      <c r="A64" s="167">
        <v>9.0</v>
      </c>
      <c r="B64" s="168">
        <v>29052.0</v>
      </c>
      <c r="C64" s="144" t="s">
        <v>216</v>
      </c>
      <c r="D64" s="180" t="s">
        <v>40</v>
      </c>
      <c r="E64" s="181">
        <v>7.0</v>
      </c>
      <c r="F64" s="167" t="s">
        <v>61</v>
      </c>
      <c r="G64" s="167">
        <v>4.0</v>
      </c>
      <c r="H64" s="182" t="s">
        <v>73</v>
      </c>
      <c r="I64" s="167">
        <v>6.0</v>
      </c>
      <c r="J64" s="187"/>
      <c r="K64" s="167"/>
      <c r="L64" s="184" t="s">
        <v>88</v>
      </c>
      <c r="M64" s="167">
        <v>3.0</v>
      </c>
      <c r="N64" s="184" t="s">
        <v>128</v>
      </c>
      <c r="O64" s="167">
        <v>1.0</v>
      </c>
      <c r="P64" s="184" t="s">
        <v>51</v>
      </c>
      <c r="Q64" s="167">
        <v>5.0</v>
      </c>
      <c r="R64" s="184" t="s">
        <v>124</v>
      </c>
      <c r="S64" s="167">
        <v>2.0</v>
      </c>
      <c r="T64" s="187"/>
      <c r="U64" s="167"/>
      <c r="V64" s="184" t="s">
        <v>30</v>
      </c>
      <c r="W64" s="167">
        <v>8.0</v>
      </c>
      <c r="X64" s="142">
        <v>1.0</v>
      </c>
      <c r="Y64" s="142">
        <v>1.0</v>
      </c>
      <c r="Z64" s="142">
        <v>1.0</v>
      </c>
      <c r="AA64" s="142">
        <v>1.0</v>
      </c>
      <c r="AB64" s="142">
        <v>1.0</v>
      </c>
      <c r="AC64" s="142">
        <v>1.0</v>
      </c>
      <c r="AD64" s="142">
        <v>1.0</v>
      </c>
      <c r="AE64" s="142">
        <v>1.0</v>
      </c>
      <c r="AF64" s="142">
        <v>8.0</v>
      </c>
      <c r="AG64" s="142">
        <v>0.0</v>
      </c>
      <c r="AH64" s="185" t="str">
        <f>IFERROR(__xludf.DUMMYFUNCTION("if($C64="""","""",if(join("" - "",{iferror(filter('Student Groupings'!$A:$A,'Student Groupings'!$B:$B=$C64,'Student Groupings'!$H:$H=""Can't be Together""),"""");iferror(filter('Student Groupings'!$A:$A,'Student Groupings'!$E:$E=$C64,'Student Groupings'!$"&amp;"H:$H=""Can't be Together""),"""")})="" - "","""",join("" - "",{iferror(filter('Student Groupings'!$A:$A,'Student Groupings'!$B:$B=$C64,'Student Groupings'!$H:$H=""Can't be Together""),"""");iferror(filter('Student Groupings'!$A:$A,'Student Groupings'!$E:$"&amp;"E=$C64,'Student Groupings'!$H:$H=""Can't be Together""),"""")})))"),"")</f>
        <v/>
      </c>
      <c r="AI64" s="185" t="str">
        <f>IFERROR(__xludf.DUMMYFUNCTION("if($C64="""","""",if(join("" - "",{iferror(filter('Student Groupings'!$A:$A,'Student Groupings'!$B:$B=$C64,'Student Groupings'!$H:$H=""Must be Together""),"""");iferror(filter('Student Groupings'!$A:$A,'Student Groupings'!$E:$E=$C64,'Student Groupings'!$H"&amp;":$H=""Must be Together""),"""")})="" - "","""",join("" - "",{iferror(filter('Student Groupings'!$A:$A,'Student Groupings'!$B:$B=$C64,'Student Groupings'!$H:$H=""Must be Together""),"""");iferror(filter('Student Groupings'!$A:$A,'Student Groupings'!$E:$E=$"&amp;"C64,'Student Groupings'!$H:$H=""Must be Together""),"""")})))"),"")</f>
        <v/>
      </c>
    </row>
    <row r="65">
      <c r="A65" s="167">
        <v>9.0</v>
      </c>
      <c r="B65" s="168">
        <v>29056.0</v>
      </c>
      <c r="C65" s="144" t="s">
        <v>217</v>
      </c>
      <c r="D65" s="180" t="s">
        <v>40</v>
      </c>
      <c r="E65" s="181">
        <v>7.0</v>
      </c>
      <c r="F65" s="167" t="s">
        <v>61</v>
      </c>
      <c r="G65" s="167">
        <v>1.0</v>
      </c>
      <c r="H65" s="182" t="s">
        <v>73</v>
      </c>
      <c r="I65" s="167">
        <v>4.0</v>
      </c>
      <c r="J65" s="187"/>
      <c r="K65" s="167"/>
      <c r="L65" s="184" t="s">
        <v>88</v>
      </c>
      <c r="M65" s="167">
        <v>3.0</v>
      </c>
      <c r="N65" s="184" t="s">
        <v>128</v>
      </c>
      <c r="O65" s="167">
        <v>2.0</v>
      </c>
      <c r="P65" s="184" t="s">
        <v>51</v>
      </c>
      <c r="Q65" s="167">
        <v>5.0</v>
      </c>
      <c r="R65" s="184" t="s">
        <v>124</v>
      </c>
      <c r="S65" s="167">
        <v>6.0</v>
      </c>
      <c r="T65" s="188"/>
      <c r="U65" s="167"/>
      <c r="V65" s="184" t="s">
        <v>24</v>
      </c>
      <c r="W65" s="167">
        <v>8.0</v>
      </c>
      <c r="X65" s="142">
        <v>1.0</v>
      </c>
      <c r="Y65" s="142">
        <v>1.0</v>
      </c>
      <c r="Z65" s="142">
        <v>1.0</v>
      </c>
      <c r="AA65" s="142">
        <v>1.0</v>
      </c>
      <c r="AB65" s="142">
        <v>1.0</v>
      </c>
      <c r="AC65" s="142">
        <v>1.0</v>
      </c>
      <c r="AD65" s="142">
        <v>1.0</v>
      </c>
      <c r="AE65" s="142">
        <v>1.0</v>
      </c>
      <c r="AF65" s="142">
        <v>8.0</v>
      </c>
      <c r="AG65" s="142">
        <v>0.0</v>
      </c>
      <c r="AH65" s="185" t="str">
        <f>IFERROR(__xludf.DUMMYFUNCTION("if($C65="""","""",if(join("" - "",{iferror(filter('Student Groupings'!$A:$A,'Student Groupings'!$B:$B=$C65,'Student Groupings'!$H:$H=""Can't be Together""),"""");iferror(filter('Student Groupings'!$A:$A,'Student Groupings'!$E:$E=$C65,'Student Groupings'!$"&amp;"H:$H=""Can't be Together""),"""")})="" - "","""",join("" - "",{iferror(filter('Student Groupings'!$A:$A,'Student Groupings'!$B:$B=$C65,'Student Groupings'!$H:$H=""Can't be Together""),"""");iferror(filter('Student Groupings'!$A:$A,'Student Groupings'!$E:$"&amp;"E=$C65,'Student Groupings'!$H:$H=""Can't be Together""),"""")})))"),"")</f>
        <v/>
      </c>
      <c r="AI65" s="185" t="str">
        <f>IFERROR(__xludf.DUMMYFUNCTION("if($C65="""","""",if(join("" - "",{iferror(filter('Student Groupings'!$A:$A,'Student Groupings'!$B:$B=$C65,'Student Groupings'!$H:$H=""Must be Together""),"""");iferror(filter('Student Groupings'!$A:$A,'Student Groupings'!$E:$E=$C65,'Student Groupings'!$H"&amp;":$H=""Must be Together""),"""")})="" - "","""",join("" - "",{iferror(filter('Student Groupings'!$A:$A,'Student Groupings'!$B:$B=$C65,'Student Groupings'!$H:$H=""Must be Together""),"""");iferror(filter('Student Groupings'!$A:$A,'Student Groupings'!$E:$E=$"&amp;"C65,'Student Groupings'!$H:$H=""Must be Together""),"""")})))")," - 70")</f>
        <v> - 70</v>
      </c>
    </row>
    <row r="66">
      <c r="A66" s="167">
        <v>9.0</v>
      </c>
      <c r="B66" s="168">
        <v>29073.0</v>
      </c>
      <c r="C66" s="144" t="s">
        <v>218</v>
      </c>
      <c r="D66" s="180" t="s">
        <v>40</v>
      </c>
      <c r="E66" s="181">
        <v>2.0</v>
      </c>
      <c r="F66" s="167" t="s">
        <v>61</v>
      </c>
      <c r="G66" s="167">
        <v>3.0</v>
      </c>
      <c r="H66" s="182" t="s">
        <v>76</v>
      </c>
      <c r="I66" s="167">
        <v>8.0</v>
      </c>
      <c r="J66" s="187"/>
      <c r="K66" s="167"/>
      <c r="L66" s="184" t="s">
        <v>88</v>
      </c>
      <c r="M66" s="167">
        <v>5.0</v>
      </c>
      <c r="N66" s="184" t="s">
        <v>128</v>
      </c>
      <c r="O66" s="167">
        <v>4.0</v>
      </c>
      <c r="P66" s="184" t="s">
        <v>51</v>
      </c>
      <c r="Q66" s="167">
        <v>7.0</v>
      </c>
      <c r="R66" s="184" t="s">
        <v>124</v>
      </c>
      <c r="S66" s="167">
        <v>1.0</v>
      </c>
      <c r="T66" s="188"/>
      <c r="U66" s="189"/>
      <c r="V66" s="184" t="s">
        <v>23</v>
      </c>
      <c r="W66" s="180">
        <v>6.0</v>
      </c>
      <c r="X66" s="142">
        <v>1.0</v>
      </c>
      <c r="Y66" s="142">
        <v>1.0</v>
      </c>
      <c r="Z66" s="142">
        <v>1.0</v>
      </c>
      <c r="AA66" s="142">
        <v>1.0</v>
      </c>
      <c r="AB66" s="142">
        <v>1.0</v>
      </c>
      <c r="AC66" s="142">
        <v>1.0</v>
      </c>
      <c r="AD66" s="142">
        <v>1.0</v>
      </c>
      <c r="AE66" s="142">
        <v>1.0</v>
      </c>
      <c r="AF66" s="142">
        <v>8.0</v>
      </c>
      <c r="AG66" s="142">
        <v>0.0</v>
      </c>
      <c r="AH66" s="185" t="str">
        <f>IFERROR(__xludf.DUMMYFUNCTION("if($C66="""","""",if(join("" - "",{iferror(filter('Student Groupings'!$A:$A,'Student Groupings'!$B:$B=$C66,'Student Groupings'!$H:$H=""Can't be Together""),"""");iferror(filter('Student Groupings'!$A:$A,'Student Groupings'!$E:$E=$C66,'Student Groupings'!$"&amp;"H:$H=""Can't be Together""),"""")})="" - "","""",join("" - "",{iferror(filter('Student Groupings'!$A:$A,'Student Groupings'!$B:$B=$C66,'Student Groupings'!$H:$H=""Can't be Together""),"""");iferror(filter('Student Groupings'!$A:$A,'Student Groupings'!$E:$"&amp;"E=$C66,'Student Groupings'!$H:$H=""Can't be Together""),"""")})))"),"")</f>
        <v/>
      </c>
      <c r="AI66" s="185" t="str">
        <f>IFERROR(__xludf.DUMMYFUNCTION("if($C66="""","""",if(join("" - "",{iferror(filter('Student Groupings'!$A:$A,'Student Groupings'!$B:$B=$C66,'Student Groupings'!$H:$H=""Must be Together""),"""");iferror(filter('Student Groupings'!$A:$A,'Student Groupings'!$E:$E=$C66,'Student Groupings'!$H"&amp;":$H=""Must be Together""),"""")})="" - "","""",join("" - "",{iferror(filter('Student Groupings'!$A:$A,'Student Groupings'!$B:$B=$C66,'Student Groupings'!$H:$H=""Must be Together""),"""");iferror(filter('Student Groupings'!$A:$A,'Student Groupings'!$E:$E=$"&amp;"C66,'Student Groupings'!$H:$H=""Must be Together""),"""")})))"),"")</f>
        <v/>
      </c>
    </row>
    <row r="67">
      <c r="A67" s="167">
        <v>9.0</v>
      </c>
      <c r="B67" s="168">
        <v>29065.0</v>
      </c>
      <c r="C67" s="144" t="s">
        <v>219</v>
      </c>
      <c r="D67" s="180" t="s">
        <v>40</v>
      </c>
      <c r="E67" s="181">
        <v>7.0</v>
      </c>
      <c r="F67" s="167" t="s">
        <v>61</v>
      </c>
      <c r="G67" s="167">
        <v>8.0</v>
      </c>
      <c r="H67" s="182" t="s">
        <v>76</v>
      </c>
      <c r="I67" s="167">
        <v>1.0</v>
      </c>
      <c r="J67" s="187"/>
      <c r="K67" s="167"/>
      <c r="L67" s="184" t="s">
        <v>88</v>
      </c>
      <c r="M67" s="167">
        <v>2.0</v>
      </c>
      <c r="N67" s="184" t="s">
        <v>128</v>
      </c>
      <c r="O67" s="167">
        <v>6.0</v>
      </c>
      <c r="P67" s="184" t="s">
        <v>51</v>
      </c>
      <c r="Q67" s="167">
        <v>3.0</v>
      </c>
      <c r="R67" s="184" t="s">
        <v>124</v>
      </c>
      <c r="S67" s="167">
        <v>5.0</v>
      </c>
      <c r="T67" s="187"/>
      <c r="U67" s="167"/>
      <c r="V67" s="184" t="s">
        <v>30</v>
      </c>
      <c r="W67" s="180">
        <v>4.0</v>
      </c>
      <c r="X67" s="142">
        <v>1.0</v>
      </c>
      <c r="Y67" s="142">
        <v>1.0</v>
      </c>
      <c r="Z67" s="142">
        <v>1.0</v>
      </c>
      <c r="AA67" s="142">
        <v>1.0</v>
      </c>
      <c r="AB67" s="142">
        <v>1.0</v>
      </c>
      <c r="AC67" s="142">
        <v>1.0</v>
      </c>
      <c r="AD67" s="142">
        <v>1.0</v>
      </c>
      <c r="AE67" s="142">
        <v>1.0</v>
      </c>
      <c r="AF67" s="142">
        <v>8.0</v>
      </c>
      <c r="AG67" s="142">
        <v>0.0</v>
      </c>
      <c r="AH67" s="185" t="str">
        <f>IFERROR(__xludf.DUMMYFUNCTION("if($C67="""","""",if(join("" - "",{iferror(filter('Student Groupings'!$A:$A,'Student Groupings'!$B:$B=$C67,'Student Groupings'!$H:$H=""Can't be Together""),"""");iferror(filter('Student Groupings'!$A:$A,'Student Groupings'!$E:$E=$C67,'Student Groupings'!$"&amp;"H:$H=""Can't be Together""),"""")})="" - "","""",join("" - "",{iferror(filter('Student Groupings'!$A:$A,'Student Groupings'!$B:$B=$C67,'Student Groupings'!$H:$H=""Can't be Together""),"""");iferror(filter('Student Groupings'!$A:$A,'Student Groupings'!$E:$"&amp;"E=$C67,'Student Groupings'!$H:$H=""Can't be Together""),"""")})))"),"")</f>
        <v/>
      </c>
      <c r="AI67" s="185" t="str">
        <f>IFERROR(__xludf.DUMMYFUNCTION("if($C67="""","""",if(join("" - "",{iferror(filter('Student Groupings'!$A:$A,'Student Groupings'!$B:$B=$C67,'Student Groupings'!$H:$H=""Must be Together""),"""");iferror(filter('Student Groupings'!$A:$A,'Student Groupings'!$E:$E=$C67,'Student Groupings'!$H"&amp;":$H=""Must be Together""),"""")})="" - "","""",join("" - "",{iferror(filter('Student Groupings'!$A:$A,'Student Groupings'!$B:$B=$C67,'Student Groupings'!$H:$H=""Must be Together""),"""");iferror(filter('Student Groupings'!$A:$A,'Student Groupings'!$E:$E=$"&amp;"C67,'Student Groupings'!$H:$H=""Must be Together""),"""")})))"),"")</f>
        <v/>
      </c>
    </row>
    <row r="68">
      <c r="A68" s="167">
        <v>9.0</v>
      </c>
      <c r="B68" s="168">
        <v>29101.0</v>
      </c>
      <c r="C68" s="144" t="s">
        <v>220</v>
      </c>
      <c r="D68" s="180" t="s">
        <v>40</v>
      </c>
      <c r="E68" s="181">
        <v>5.0</v>
      </c>
      <c r="F68" s="167" t="s">
        <v>61</v>
      </c>
      <c r="G68" s="167">
        <v>7.0</v>
      </c>
      <c r="H68" s="182" t="s">
        <v>76</v>
      </c>
      <c r="I68" s="167">
        <v>2.0</v>
      </c>
      <c r="J68" s="187"/>
      <c r="K68" s="167"/>
      <c r="L68" s="184" t="s">
        <v>88</v>
      </c>
      <c r="M68" s="167">
        <v>4.0</v>
      </c>
      <c r="N68" s="184" t="s">
        <v>128</v>
      </c>
      <c r="O68" s="167">
        <v>6.0</v>
      </c>
      <c r="P68" s="184" t="s">
        <v>51</v>
      </c>
      <c r="Q68" s="167">
        <v>3.0</v>
      </c>
      <c r="R68" s="184" t="s">
        <v>124</v>
      </c>
      <c r="S68" s="167">
        <v>1.0</v>
      </c>
      <c r="T68" s="188"/>
      <c r="U68" s="189"/>
      <c r="V68" s="184" t="s">
        <v>30</v>
      </c>
      <c r="W68" s="167">
        <v>8.0</v>
      </c>
      <c r="X68" s="142">
        <v>1.0</v>
      </c>
      <c r="Y68" s="142">
        <v>1.0</v>
      </c>
      <c r="Z68" s="142">
        <v>1.0</v>
      </c>
      <c r="AA68" s="142">
        <v>1.0</v>
      </c>
      <c r="AB68" s="142">
        <v>1.0</v>
      </c>
      <c r="AC68" s="142">
        <v>1.0</v>
      </c>
      <c r="AD68" s="142">
        <v>1.0</v>
      </c>
      <c r="AE68" s="142">
        <v>1.0</v>
      </c>
      <c r="AF68" s="142">
        <v>8.0</v>
      </c>
      <c r="AG68" s="142">
        <v>0.0</v>
      </c>
      <c r="AH68" s="185" t="str">
        <f>IFERROR(__xludf.DUMMYFUNCTION("if($C68="""","""",if(join("" - "",{iferror(filter('Student Groupings'!$A:$A,'Student Groupings'!$B:$B=$C68,'Student Groupings'!$H:$H=""Can't be Together""),"""");iferror(filter('Student Groupings'!$A:$A,'Student Groupings'!$E:$E=$C68,'Student Groupings'!$"&amp;"H:$H=""Can't be Together""),"""")})="" - "","""",join("" - "",{iferror(filter('Student Groupings'!$A:$A,'Student Groupings'!$B:$B=$C68,'Student Groupings'!$H:$H=""Can't be Together""),"""");iferror(filter('Student Groupings'!$A:$A,'Student Groupings'!$E:$"&amp;"E=$C68,'Student Groupings'!$H:$H=""Can't be Together""),"""")})))"),"")</f>
        <v/>
      </c>
      <c r="AI68" s="185" t="str">
        <f>IFERROR(__xludf.DUMMYFUNCTION("if($C68="""","""",if(join("" - "",{iferror(filter('Student Groupings'!$A:$A,'Student Groupings'!$B:$B=$C68,'Student Groupings'!$H:$H=""Must be Together""),"""");iferror(filter('Student Groupings'!$A:$A,'Student Groupings'!$E:$E=$C68,'Student Groupings'!$H"&amp;":$H=""Must be Together""),"""")})="" - "","""",join("" - "",{iferror(filter('Student Groupings'!$A:$A,'Student Groupings'!$B:$B=$C68,'Student Groupings'!$H:$H=""Must be Together""),"""");iferror(filter('Student Groupings'!$A:$A,'Student Groupings'!$E:$E=$"&amp;"C68,'Student Groupings'!$H:$H=""Must be Together""),"""")})))"),"")</f>
        <v/>
      </c>
    </row>
    <row r="69">
      <c r="A69" s="167">
        <v>9.0</v>
      </c>
      <c r="B69" s="168">
        <v>29036.0</v>
      </c>
      <c r="C69" s="144" t="s">
        <v>221</v>
      </c>
      <c r="D69" s="180" t="s">
        <v>40</v>
      </c>
      <c r="E69" s="181">
        <v>6.0</v>
      </c>
      <c r="F69" s="167" t="s">
        <v>61</v>
      </c>
      <c r="G69" s="167">
        <v>8.0</v>
      </c>
      <c r="H69" s="182" t="s">
        <v>73</v>
      </c>
      <c r="I69" s="167">
        <v>7.0</v>
      </c>
      <c r="J69" s="187"/>
      <c r="K69" s="167"/>
      <c r="L69" s="184" t="s">
        <v>88</v>
      </c>
      <c r="M69" s="167">
        <v>1.0</v>
      </c>
      <c r="N69" s="184" t="s">
        <v>128</v>
      </c>
      <c r="O69" s="167">
        <v>5.0</v>
      </c>
      <c r="P69" s="184" t="s">
        <v>51</v>
      </c>
      <c r="Q69" s="167">
        <v>3.0</v>
      </c>
      <c r="R69" s="184" t="s">
        <v>124</v>
      </c>
      <c r="S69" s="167">
        <v>2.0</v>
      </c>
      <c r="T69" s="188"/>
      <c r="U69" s="167"/>
      <c r="V69" s="184" t="s">
        <v>24</v>
      </c>
      <c r="W69" s="167">
        <v>4.0</v>
      </c>
      <c r="X69" s="142">
        <v>1.0</v>
      </c>
      <c r="Y69" s="142">
        <v>1.0</v>
      </c>
      <c r="Z69" s="142">
        <v>1.0</v>
      </c>
      <c r="AA69" s="142">
        <v>1.0</v>
      </c>
      <c r="AB69" s="142">
        <v>1.0</v>
      </c>
      <c r="AC69" s="142">
        <v>1.0</v>
      </c>
      <c r="AD69" s="142">
        <v>1.0</v>
      </c>
      <c r="AE69" s="142">
        <v>1.0</v>
      </c>
      <c r="AF69" s="142">
        <v>8.0</v>
      </c>
      <c r="AG69" s="142">
        <v>0.0</v>
      </c>
      <c r="AH69" s="185" t="str">
        <f>IFERROR(__xludf.DUMMYFUNCTION("if($C69="""","""",if(join("" - "",{iferror(filter('Student Groupings'!$A:$A,'Student Groupings'!$B:$B=$C69,'Student Groupings'!$H:$H=""Can't be Together""),"""");iferror(filter('Student Groupings'!$A:$A,'Student Groupings'!$E:$E=$C69,'Student Groupings'!$"&amp;"H:$H=""Can't be Together""),"""")})="" - "","""",join("" - "",{iferror(filter('Student Groupings'!$A:$A,'Student Groupings'!$B:$B=$C69,'Student Groupings'!$H:$H=""Can't be Together""),"""");iferror(filter('Student Groupings'!$A:$A,'Student Groupings'!$E:$"&amp;"E=$C69,'Student Groupings'!$H:$H=""Can't be Together""),"""")})))"),"")</f>
        <v/>
      </c>
      <c r="AI69" s="185" t="str">
        <f>IFERROR(__xludf.DUMMYFUNCTION("if($C69="""","""",if(join("" - "",{iferror(filter('Student Groupings'!$A:$A,'Student Groupings'!$B:$B=$C69,'Student Groupings'!$H:$H=""Must be Together""),"""");iferror(filter('Student Groupings'!$A:$A,'Student Groupings'!$E:$E=$C69,'Student Groupings'!$H"&amp;":$H=""Must be Together""),"""")})="" - "","""",join("" - "",{iferror(filter('Student Groupings'!$A:$A,'Student Groupings'!$B:$B=$C69,'Student Groupings'!$H:$H=""Must be Together""),"""");iferror(filter('Student Groupings'!$A:$A,'Student Groupings'!$E:$E=$"&amp;"C69,'Student Groupings'!$H:$H=""Must be Together""),"""")})))"),"")</f>
        <v/>
      </c>
    </row>
    <row r="70">
      <c r="A70" s="167">
        <v>9.0</v>
      </c>
      <c r="B70" s="168">
        <v>29106.0</v>
      </c>
      <c r="C70" s="144" t="s">
        <v>222</v>
      </c>
      <c r="D70" s="180" t="s">
        <v>40</v>
      </c>
      <c r="E70" s="181">
        <v>7.0</v>
      </c>
      <c r="F70" s="167" t="s">
        <v>61</v>
      </c>
      <c r="G70" s="167">
        <v>5.0</v>
      </c>
      <c r="H70" s="182" t="s">
        <v>76</v>
      </c>
      <c r="I70" s="167">
        <v>1.0</v>
      </c>
      <c r="J70" s="187"/>
      <c r="K70" s="167"/>
      <c r="L70" s="184" t="s">
        <v>88</v>
      </c>
      <c r="M70" s="167">
        <v>4.0</v>
      </c>
      <c r="N70" s="184" t="s">
        <v>128</v>
      </c>
      <c r="O70" s="167">
        <v>8.0</v>
      </c>
      <c r="P70" s="184" t="s">
        <v>51</v>
      </c>
      <c r="Q70" s="167">
        <v>3.0</v>
      </c>
      <c r="R70" s="191" t="s">
        <v>122</v>
      </c>
      <c r="S70" s="167">
        <v>6.0</v>
      </c>
      <c r="T70" s="188"/>
      <c r="U70" s="189"/>
      <c r="V70" s="184" t="s">
        <v>23</v>
      </c>
      <c r="W70" s="167">
        <v>2.0</v>
      </c>
      <c r="X70" s="142">
        <v>1.0</v>
      </c>
      <c r="Y70" s="142">
        <v>1.0</v>
      </c>
      <c r="Z70" s="142">
        <v>1.0</v>
      </c>
      <c r="AA70" s="142">
        <v>1.0</v>
      </c>
      <c r="AB70" s="142">
        <v>1.0</v>
      </c>
      <c r="AC70" s="142">
        <v>1.0</v>
      </c>
      <c r="AD70" s="142">
        <v>1.0</v>
      </c>
      <c r="AE70" s="142">
        <v>1.0</v>
      </c>
      <c r="AF70" s="142">
        <v>8.0</v>
      </c>
      <c r="AG70" s="142">
        <v>0.0</v>
      </c>
      <c r="AH70" s="185" t="str">
        <f>IFERROR(__xludf.DUMMYFUNCTION("if($C70="""","""",if(join("" - "",{iferror(filter('Student Groupings'!$A:$A,'Student Groupings'!$B:$B=$C70,'Student Groupings'!$H:$H=""Can't be Together""),"""");iferror(filter('Student Groupings'!$A:$A,'Student Groupings'!$E:$E=$C70,'Student Groupings'!$"&amp;"H:$H=""Can't be Together""),"""")})="" - "","""",join("" - "",{iferror(filter('Student Groupings'!$A:$A,'Student Groupings'!$B:$B=$C70,'Student Groupings'!$H:$H=""Can't be Together""),"""");iferror(filter('Student Groupings'!$A:$A,'Student Groupings'!$E:$"&amp;"E=$C70,'Student Groupings'!$H:$H=""Can't be Together""),"""")})))"),"")</f>
        <v/>
      </c>
      <c r="AI70" s="185" t="str">
        <f>IFERROR(__xludf.DUMMYFUNCTION("if($C70="""","""",if(join("" - "",{iferror(filter('Student Groupings'!$A:$A,'Student Groupings'!$B:$B=$C70,'Student Groupings'!$H:$H=""Must be Together""),"""");iferror(filter('Student Groupings'!$A:$A,'Student Groupings'!$E:$E=$C70,'Student Groupings'!$H"&amp;":$H=""Must be Together""),"""")})="" - "","""",join("" - "",{iferror(filter('Student Groupings'!$A:$A,'Student Groupings'!$B:$B=$C70,'Student Groupings'!$H:$H=""Must be Together""),"""");iferror(filter('Student Groupings'!$A:$A,'Student Groupings'!$E:$E=$"&amp;"C70,'Student Groupings'!$H:$H=""Must be Together""),"""")})))"),"")</f>
        <v/>
      </c>
    </row>
    <row r="71">
      <c r="A71" s="167">
        <v>9.0</v>
      </c>
      <c r="B71" s="168">
        <v>29067.0</v>
      </c>
      <c r="C71" s="144" t="s">
        <v>223</v>
      </c>
      <c r="D71" s="180" t="s">
        <v>40</v>
      </c>
      <c r="E71" s="181">
        <v>1.0</v>
      </c>
      <c r="F71" s="180" t="s">
        <v>61</v>
      </c>
      <c r="G71" s="180">
        <v>8.0</v>
      </c>
      <c r="H71" s="182" t="s">
        <v>73</v>
      </c>
      <c r="I71" s="167">
        <v>3.0</v>
      </c>
      <c r="J71" s="183"/>
      <c r="K71" s="167"/>
      <c r="L71" s="184" t="s">
        <v>88</v>
      </c>
      <c r="M71" s="180">
        <v>2.0</v>
      </c>
      <c r="N71" s="184" t="s">
        <v>128</v>
      </c>
      <c r="O71" s="167">
        <v>6.0</v>
      </c>
      <c r="P71" s="184" t="s">
        <v>51</v>
      </c>
      <c r="Q71" s="167">
        <v>7.0</v>
      </c>
      <c r="R71" s="184" t="s">
        <v>124</v>
      </c>
      <c r="S71" s="167">
        <v>5.0</v>
      </c>
      <c r="T71" s="188"/>
      <c r="U71" s="189"/>
      <c r="V71" s="184" t="s">
        <v>28</v>
      </c>
      <c r="W71" s="180">
        <v>4.0</v>
      </c>
      <c r="X71" s="142">
        <v>1.0</v>
      </c>
      <c r="Y71" s="142">
        <v>1.0</v>
      </c>
      <c r="Z71" s="142">
        <v>1.0</v>
      </c>
      <c r="AA71" s="142">
        <v>1.0</v>
      </c>
      <c r="AB71" s="142">
        <v>1.0</v>
      </c>
      <c r="AC71" s="142">
        <v>1.0</v>
      </c>
      <c r="AD71" s="142">
        <v>1.0</v>
      </c>
      <c r="AE71" s="142">
        <v>1.0</v>
      </c>
      <c r="AF71" s="142">
        <v>8.0</v>
      </c>
      <c r="AG71" s="142">
        <v>0.0</v>
      </c>
      <c r="AH71" s="185" t="str">
        <f>IFERROR(__xludf.DUMMYFUNCTION("if($C71="""","""",if(join("" - "",{iferror(filter('Student Groupings'!$A:$A,'Student Groupings'!$B:$B=$C71,'Student Groupings'!$H:$H=""Can't be Together""),"""");iferror(filter('Student Groupings'!$A:$A,'Student Groupings'!$E:$E=$C71,'Student Groupings'!$"&amp;"H:$H=""Can't be Together""),"""")})="" - "","""",join("" - "",{iferror(filter('Student Groupings'!$A:$A,'Student Groupings'!$B:$B=$C71,'Student Groupings'!$H:$H=""Can't be Together""),"""");iferror(filter('Student Groupings'!$A:$A,'Student Groupings'!$E:$"&amp;"E=$C71,'Student Groupings'!$H:$H=""Can't be Together""),"""")})))"),"")</f>
        <v/>
      </c>
      <c r="AI71" s="185" t="str">
        <f>IFERROR(__xludf.DUMMYFUNCTION("if($C71="""","""",if(join("" - "",{iferror(filter('Student Groupings'!$A:$A,'Student Groupings'!$B:$B=$C71,'Student Groupings'!$H:$H=""Must be Together""),"""");iferror(filter('Student Groupings'!$A:$A,'Student Groupings'!$E:$E=$C71,'Student Groupings'!$H"&amp;":$H=""Must be Together""),"""")})="" - "","""",join("" - "",{iferror(filter('Student Groupings'!$A:$A,'Student Groupings'!$B:$B=$C71,'Student Groupings'!$H:$H=""Must be Together""),"""");iferror(filter('Student Groupings'!$A:$A,'Student Groupings'!$E:$E=$"&amp;"C71,'Student Groupings'!$H:$H=""Must be Together""),"""")})))"),"")</f>
        <v/>
      </c>
    </row>
    <row r="72">
      <c r="A72" s="167">
        <v>9.0</v>
      </c>
      <c r="B72" s="168">
        <v>28023.0</v>
      </c>
      <c r="C72" s="144" t="s">
        <v>224</v>
      </c>
      <c r="D72" s="180" t="s">
        <v>40</v>
      </c>
      <c r="E72" s="181">
        <v>5.0</v>
      </c>
      <c r="F72" s="167" t="s">
        <v>61</v>
      </c>
      <c r="G72" s="180">
        <v>6.0</v>
      </c>
      <c r="H72" s="182" t="s">
        <v>73</v>
      </c>
      <c r="I72" s="167">
        <v>3.0</v>
      </c>
      <c r="J72" s="187"/>
      <c r="K72" s="167"/>
      <c r="L72" s="184" t="s">
        <v>88</v>
      </c>
      <c r="M72" s="167">
        <v>1.0</v>
      </c>
      <c r="N72" s="184" t="s">
        <v>128</v>
      </c>
      <c r="O72" s="167">
        <v>8.0</v>
      </c>
      <c r="P72" s="184" t="s">
        <v>51</v>
      </c>
      <c r="Q72" s="167">
        <v>7.0</v>
      </c>
      <c r="R72" s="184" t="s">
        <v>124</v>
      </c>
      <c r="S72" s="167">
        <v>2.0</v>
      </c>
      <c r="T72" s="188"/>
      <c r="U72" s="189"/>
      <c r="V72" s="184" t="s">
        <v>28</v>
      </c>
      <c r="W72" s="180">
        <v>4.0</v>
      </c>
      <c r="X72" s="142">
        <v>1.0</v>
      </c>
      <c r="Y72" s="142">
        <v>1.0</v>
      </c>
      <c r="Z72" s="142">
        <v>1.0</v>
      </c>
      <c r="AA72" s="142">
        <v>1.0</v>
      </c>
      <c r="AB72" s="142">
        <v>1.0</v>
      </c>
      <c r="AC72" s="142">
        <v>1.0</v>
      </c>
      <c r="AD72" s="142">
        <v>1.0</v>
      </c>
      <c r="AE72" s="142">
        <v>1.0</v>
      </c>
      <c r="AF72" s="142">
        <v>8.0</v>
      </c>
      <c r="AG72" s="142">
        <v>0.0</v>
      </c>
      <c r="AH72" s="185" t="str">
        <f>IFERROR(__xludf.DUMMYFUNCTION("if($C72="""","""",if(join("" - "",{iferror(filter('Student Groupings'!$A:$A,'Student Groupings'!$B:$B=$C72,'Student Groupings'!$H:$H=""Can't be Together""),"""");iferror(filter('Student Groupings'!$A:$A,'Student Groupings'!$E:$E=$C72,'Student Groupings'!$"&amp;"H:$H=""Can't be Together""),"""")})="" - "","""",join("" - "",{iferror(filter('Student Groupings'!$A:$A,'Student Groupings'!$B:$B=$C72,'Student Groupings'!$H:$H=""Can't be Together""),"""");iferror(filter('Student Groupings'!$A:$A,'Student Groupings'!$E:$"&amp;"E=$C72,'Student Groupings'!$H:$H=""Can't be Together""),"""")})))"),"")</f>
        <v/>
      </c>
      <c r="AI72" s="185" t="str">
        <f>IFERROR(__xludf.DUMMYFUNCTION("if($C72="""","""",if(join("" - "",{iferror(filter('Student Groupings'!$A:$A,'Student Groupings'!$B:$B=$C72,'Student Groupings'!$H:$H=""Must be Together""),"""");iferror(filter('Student Groupings'!$A:$A,'Student Groupings'!$E:$E=$C72,'Student Groupings'!$H"&amp;":$H=""Must be Together""),"""")})="" - "","""",join("" - "",{iferror(filter('Student Groupings'!$A:$A,'Student Groupings'!$B:$B=$C72,'Student Groupings'!$H:$H=""Must be Together""),"""");iferror(filter('Student Groupings'!$A:$A,'Student Groupings'!$E:$E=$"&amp;"C72,'Student Groupings'!$H:$H=""Must be Together""),"""")})))"),"")</f>
        <v/>
      </c>
    </row>
    <row r="73">
      <c r="A73" s="167">
        <v>9.0</v>
      </c>
      <c r="B73" s="168">
        <v>29145.0</v>
      </c>
      <c r="C73" s="144" t="s">
        <v>225</v>
      </c>
      <c r="D73" s="180" t="s">
        <v>40</v>
      </c>
      <c r="E73" s="181">
        <v>2.0</v>
      </c>
      <c r="F73" s="167" t="s">
        <v>61</v>
      </c>
      <c r="G73" s="167">
        <v>3.0</v>
      </c>
      <c r="H73" s="182" t="s">
        <v>73</v>
      </c>
      <c r="I73" s="167">
        <v>7.0</v>
      </c>
      <c r="J73" s="183"/>
      <c r="K73" s="167"/>
      <c r="L73" s="184" t="s">
        <v>88</v>
      </c>
      <c r="M73" s="167">
        <v>6.0</v>
      </c>
      <c r="N73" s="184" t="s">
        <v>128</v>
      </c>
      <c r="O73" s="167">
        <v>1.0</v>
      </c>
      <c r="P73" s="184" t="s">
        <v>51</v>
      </c>
      <c r="Q73" s="167">
        <v>8.0</v>
      </c>
      <c r="R73" s="184" t="s">
        <v>124</v>
      </c>
      <c r="S73" s="167">
        <v>5.0</v>
      </c>
      <c r="T73" s="188"/>
      <c r="U73" s="167"/>
      <c r="V73" s="184" t="s">
        <v>28</v>
      </c>
      <c r="W73" s="167">
        <v>4.0</v>
      </c>
      <c r="X73" s="142">
        <v>1.0</v>
      </c>
      <c r="Y73" s="142">
        <v>1.0</v>
      </c>
      <c r="Z73" s="142">
        <v>1.0</v>
      </c>
      <c r="AA73" s="142">
        <v>1.0</v>
      </c>
      <c r="AB73" s="142">
        <v>1.0</v>
      </c>
      <c r="AC73" s="142">
        <v>1.0</v>
      </c>
      <c r="AD73" s="142">
        <v>1.0</v>
      </c>
      <c r="AE73" s="142">
        <v>1.0</v>
      </c>
      <c r="AF73" s="142">
        <v>8.0</v>
      </c>
      <c r="AG73" s="142">
        <v>0.0</v>
      </c>
      <c r="AH73" s="185" t="str">
        <f>IFERROR(__xludf.DUMMYFUNCTION("if($C73="""","""",if(join("" - "",{iferror(filter('Student Groupings'!$A:$A,'Student Groupings'!$B:$B=$C73,'Student Groupings'!$H:$H=""Can't be Together""),"""");iferror(filter('Student Groupings'!$A:$A,'Student Groupings'!$E:$E=$C73,'Student Groupings'!$"&amp;"H:$H=""Can't be Together""),"""")})="" - "","""",join("" - "",{iferror(filter('Student Groupings'!$A:$A,'Student Groupings'!$B:$B=$C73,'Student Groupings'!$H:$H=""Can't be Together""),"""");iferror(filter('Student Groupings'!$A:$A,'Student Groupings'!$E:$"&amp;"E=$C73,'Student Groupings'!$H:$H=""Can't be Together""),"""")})))"),"")</f>
        <v/>
      </c>
      <c r="AI73" s="185" t="str">
        <f>IFERROR(__xludf.DUMMYFUNCTION("if($C73="""","""",if(join("" - "",{iferror(filter('Student Groupings'!$A:$A,'Student Groupings'!$B:$B=$C73,'Student Groupings'!$H:$H=""Must be Together""),"""");iferror(filter('Student Groupings'!$A:$A,'Student Groupings'!$E:$E=$C73,'Student Groupings'!$H"&amp;":$H=""Must be Together""),"""")})="" - "","""",join("" - "",{iferror(filter('Student Groupings'!$A:$A,'Student Groupings'!$B:$B=$C73,'Student Groupings'!$H:$H=""Must be Together""),"""");iferror(filter('Student Groupings'!$A:$A,'Student Groupings'!$E:$E=$"&amp;"C73,'Student Groupings'!$H:$H=""Must be Together""),"""")})))")," - 54")</f>
        <v> - 54</v>
      </c>
    </row>
    <row r="74">
      <c r="A74" s="167">
        <v>9.0</v>
      </c>
      <c r="B74" s="168">
        <v>29061.0</v>
      </c>
      <c r="C74" s="144" t="s">
        <v>226</v>
      </c>
      <c r="D74" s="180" t="s">
        <v>40</v>
      </c>
      <c r="E74" s="181">
        <v>2.0</v>
      </c>
      <c r="F74" s="167" t="s">
        <v>61</v>
      </c>
      <c r="G74" s="167">
        <v>5.0</v>
      </c>
      <c r="H74" s="182" t="s">
        <v>76</v>
      </c>
      <c r="I74" s="167">
        <v>7.0</v>
      </c>
      <c r="J74" s="183"/>
      <c r="K74" s="167"/>
      <c r="L74" s="184" t="s">
        <v>88</v>
      </c>
      <c r="M74" s="167">
        <v>3.0</v>
      </c>
      <c r="N74" s="184" t="s">
        <v>128</v>
      </c>
      <c r="O74" s="167">
        <v>4.0</v>
      </c>
      <c r="P74" s="184" t="s">
        <v>51</v>
      </c>
      <c r="Q74" s="167">
        <v>8.0</v>
      </c>
      <c r="R74" s="184" t="s">
        <v>124</v>
      </c>
      <c r="S74" s="167">
        <v>1.0</v>
      </c>
      <c r="T74" s="188"/>
      <c r="U74" s="189"/>
      <c r="V74" s="184" t="s">
        <v>23</v>
      </c>
      <c r="W74" s="167">
        <v>6.0</v>
      </c>
      <c r="X74" s="142">
        <v>1.0</v>
      </c>
      <c r="Y74" s="142">
        <v>1.0</v>
      </c>
      <c r="Z74" s="142">
        <v>1.0</v>
      </c>
      <c r="AA74" s="142">
        <v>1.0</v>
      </c>
      <c r="AB74" s="142">
        <v>1.0</v>
      </c>
      <c r="AC74" s="142">
        <v>1.0</v>
      </c>
      <c r="AD74" s="142">
        <v>1.0</v>
      </c>
      <c r="AE74" s="142">
        <v>1.0</v>
      </c>
      <c r="AF74" s="142">
        <v>8.0</v>
      </c>
      <c r="AG74" s="142">
        <v>0.0</v>
      </c>
      <c r="AH74" s="185" t="str">
        <f>IFERROR(__xludf.DUMMYFUNCTION("if($C74="""","""",if(join("" - "",{iferror(filter('Student Groupings'!$A:$A,'Student Groupings'!$B:$B=$C74,'Student Groupings'!$H:$H=""Can't be Together""),"""");iferror(filter('Student Groupings'!$A:$A,'Student Groupings'!$E:$E=$C74,'Student Groupings'!$"&amp;"H:$H=""Can't be Together""),"""")})="" - "","""",join("" - "",{iferror(filter('Student Groupings'!$A:$A,'Student Groupings'!$B:$B=$C74,'Student Groupings'!$H:$H=""Can't be Together""),"""");iferror(filter('Student Groupings'!$A:$A,'Student Groupings'!$E:$"&amp;"E=$C74,'Student Groupings'!$H:$H=""Can't be Together""),"""")})))"),"")</f>
        <v/>
      </c>
      <c r="AI74" s="185" t="str">
        <f>IFERROR(__xludf.DUMMYFUNCTION("if($C74="""","""",if(join("" - "",{iferror(filter('Student Groupings'!$A:$A,'Student Groupings'!$B:$B=$C74,'Student Groupings'!$H:$H=""Must be Together""),"""");iferror(filter('Student Groupings'!$A:$A,'Student Groupings'!$E:$E=$C74,'Student Groupings'!$H"&amp;":$H=""Must be Together""),"""")})="" - "","""",join("" - "",{iferror(filter('Student Groupings'!$A:$A,'Student Groupings'!$B:$B=$C74,'Student Groupings'!$H:$H=""Must be Together""),"""");iferror(filter('Student Groupings'!$A:$A,'Student Groupings'!$E:$E=$"&amp;"C74,'Student Groupings'!$H:$H=""Must be Together""),"""")})))"),"")</f>
        <v/>
      </c>
    </row>
    <row r="75">
      <c r="A75" s="167">
        <v>9.0</v>
      </c>
      <c r="B75" s="168">
        <v>29046.0</v>
      </c>
      <c r="C75" s="144" t="s">
        <v>227</v>
      </c>
      <c r="D75" s="180" t="s">
        <v>40</v>
      </c>
      <c r="E75" s="181">
        <v>6.0</v>
      </c>
      <c r="F75" s="167" t="s">
        <v>61</v>
      </c>
      <c r="G75" s="167">
        <v>1.0</v>
      </c>
      <c r="H75" s="182" t="s">
        <v>73</v>
      </c>
      <c r="I75" s="167">
        <v>7.0</v>
      </c>
      <c r="J75" s="183"/>
      <c r="K75" s="167"/>
      <c r="L75" s="184" t="s">
        <v>88</v>
      </c>
      <c r="M75" s="167">
        <v>2.0</v>
      </c>
      <c r="N75" s="184" t="s">
        <v>128</v>
      </c>
      <c r="O75" s="167">
        <v>4.0</v>
      </c>
      <c r="P75" s="184" t="s">
        <v>51</v>
      </c>
      <c r="Q75" s="167">
        <v>8.0</v>
      </c>
      <c r="R75" s="184" t="s">
        <v>124</v>
      </c>
      <c r="S75" s="167">
        <v>5.0</v>
      </c>
      <c r="T75" s="188"/>
      <c r="U75" s="189"/>
      <c r="V75" s="184" t="s">
        <v>24</v>
      </c>
      <c r="W75" s="167">
        <v>3.0</v>
      </c>
      <c r="X75" s="142">
        <v>1.0</v>
      </c>
      <c r="Y75" s="142">
        <v>1.0</v>
      </c>
      <c r="Z75" s="142">
        <v>1.0</v>
      </c>
      <c r="AA75" s="142">
        <v>1.0</v>
      </c>
      <c r="AB75" s="142">
        <v>1.0</v>
      </c>
      <c r="AC75" s="142">
        <v>1.0</v>
      </c>
      <c r="AD75" s="142">
        <v>1.0</v>
      </c>
      <c r="AE75" s="142">
        <v>1.0</v>
      </c>
      <c r="AF75" s="142">
        <v>8.0</v>
      </c>
      <c r="AG75" s="142">
        <v>0.0</v>
      </c>
      <c r="AH75" s="185" t="str">
        <f>IFERROR(__xludf.DUMMYFUNCTION("if($C75="""","""",if(join("" - "",{iferror(filter('Student Groupings'!$A:$A,'Student Groupings'!$B:$B=$C75,'Student Groupings'!$H:$H=""Can't be Together""),"""");iferror(filter('Student Groupings'!$A:$A,'Student Groupings'!$E:$E=$C75,'Student Groupings'!$"&amp;"H:$H=""Can't be Together""),"""")})="" - "","""",join("" - "",{iferror(filter('Student Groupings'!$A:$A,'Student Groupings'!$B:$B=$C75,'Student Groupings'!$H:$H=""Can't be Together""),"""");iferror(filter('Student Groupings'!$A:$A,'Student Groupings'!$E:$"&amp;"E=$C75,'Student Groupings'!$H:$H=""Can't be Together""),"""")})))"),"")</f>
        <v/>
      </c>
      <c r="AI75" s="185" t="str">
        <f>IFERROR(__xludf.DUMMYFUNCTION("if($C75="""","""",if(join("" - "",{iferror(filter('Student Groupings'!$A:$A,'Student Groupings'!$B:$B=$C75,'Student Groupings'!$H:$H=""Must be Together""),"""");iferror(filter('Student Groupings'!$A:$A,'Student Groupings'!$E:$E=$C75,'Student Groupings'!$H"&amp;":$H=""Must be Together""),"""")})="" - "","""",join("" - "",{iferror(filter('Student Groupings'!$A:$A,'Student Groupings'!$B:$B=$C75,'Student Groupings'!$H:$H=""Must be Together""),"""");iferror(filter('Student Groupings'!$A:$A,'Student Groupings'!$E:$E=$"&amp;"C75,'Student Groupings'!$H:$H=""Must be Together""),"""")})))"),"")</f>
        <v/>
      </c>
    </row>
    <row r="76">
      <c r="A76" s="167">
        <v>9.0</v>
      </c>
      <c r="B76" s="168">
        <v>29143.0</v>
      </c>
      <c r="C76" s="144" t="s">
        <v>228</v>
      </c>
      <c r="D76" s="180" t="s">
        <v>40</v>
      </c>
      <c r="E76" s="181">
        <v>2.0</v>
      </c>
      <c r="F76" s="167" t="s">
        <v>61</v>
      </c>
      <c r="G76" s="167">
        <v>6.0</v>
      </c>
      <c r="H76" s="196" t="s">
        <v>73</v>
      </c>
      <c r="I76" s="167">
        <v>7.0</v>
      </c>
      <c r="J76" s="187"/>
      <c r="K76" s="167"/>
      <c r="L76" s="184" t="s">
        <v>88</v>
      </c>
      <c r="M76" s="167">
        <v>4.0</v>
      </c>
      <c r="N76" s="184" t="s">
        <v>128</v>
      </c>
      <c r="O76" s="167">
        <v>1.0</v>
      </c>
      <c r="P76" s="184" t="s">
        <v>51</v>
      </c>
      <c r="Q76" s="167">
        <v>8.0</v>
      </c>
      <c r="R76" s="184" t="s">
        <v>120</v>
      </c>
      <c r="S76" s="167">
        <v>5.0</v>
      </c>
      <c r="T76" s="188"/>
      <c r="U76" s="189"/>
      <c r="V76" s="184" t="s">
        <v>28</v>
      </c>
      <c r="W76" s="167">
        <v>3.0</v>
      </c>
      <c r="X76" s="142">
        <v>1.0</v>
      </c>
      <c r="Y76" s="142">
        <v>1.0</v>
      </c>
      <c r="Z76" s="142">
        <v>1.0</v>
      </c>
      <c r="AA76" s="142">
        <v>1.0</v>
      </c>
      <c r="AB76" s="142">
        <v>1.0</v>
      </c>
      <c r="AC76" s="142">
        <v>1.0</v>
      </c>
      <c r="AD76" s="142">
        <v>1.0</v>
      </c>
      <c r="AE76" s="142">
        <v>1.0</v>
      </c>
      <c r="AF76" s="142">
        <v>8.0</v>
      </c>
      <c r="AG76" s="142">
        <v>0.0</v>
      </c>
      <c r="AH76" s="185" t="str">
        <f>IFERROR(__xludf.DUMMYFUNCTION("if($C76="""","""",if(join("" - "",{iferror(filter('Student Groupings'!$A:$A,'Student Groupings'!$B:$B=$C76,'Student Groupings'!$H:$H=""Can't be Together""),"""");iferror(filter('Student Groupings'!$A:$A,'Student Groupings'!$E:$E=$C76,'Student Groupings'!$"&amp;"H:$H=""Can't be Together""),"""")})="" - "","""",join("" - "",{iferror(filter('Student Groupings'!$A:$A,'Student Groupings'!$B:$B=$C76,'Student Groupings'!$H:$H=""Can't be Together""),"""");iferror(filter('Student Groupings'!$A:$A,'Student Groupings'!$E:$"&amp;"E=$C76,'Student Groupings'!$H:$H=""Can't be Together""),"""")})))"),"")</f>
        <v/>
      </c>
      <c r="AI76" s="185" t="str">
        <f>IFERROR(__xludf.DUMMYFUNCTION("if($C76="""","""",if(join("" - "",{iferror(filter('Student Groupings'!$A:$A,'Student Groupings'!$B:$B=$C76,'Student Groupings'!$H:$H=""Must be Together""),"""");iferror(filter('Student Groupings'!$A:$A,'Student Groupings'!$E:$E=$C76,'Student Groupings'!$H"&amp;":$H=""Must be Together""),"""")})="" - "","""",join("" - "",{iferror(filter('Student Groupings'!$A:$A,'Student Groupings'!$B:$B=$C76,'Student Groupings'!$H:$H=""Must be Together""),"""");iferror(filter('Student Groupings'!$A:$A,'Student Groupings'!$E:$E=$"&amp;"C76,'Student Groupings'!$H:$H=""Must be Together""),"""")})))"),"")</f>
        <v/>
      </c>
    </row>
    <row r="77">
      <c r="A77" s="167">
        <v>9.0</v>
      </c>
      <c r="B77" s="168">
        <v>29109.0</v>
      </c>
      <c r="C77" s="144" t="s">
        <v>229</v>
      </c>
      <c r="D77" s="180" t="s">
        <v>40</v>
      </c>
      <c r="E77" s="181">
        <v>8.0</v>
      </c>
      <c r="F77" s="167" t="s">
        <v>61</v>
      </c>
      <c r="G77" s="167">
        <v>1.0</v>
      </c>
      <c r="H77" s="182" t="s">
        <v>73</v>
      </c>
      <c r="I77" s="167">
        <v>3.0</v>
      </c>
      <c r="J77" s="187"/>
      <c r="K77" s="167"/>
      <c r="L77" s="184" t="s">
        <v>88</v>
      </c>
      <c r="M77" s="167">
        <v>6.0</v>
      </c>
      <c r="N77" s="184" t="s">
        <v>128</v>
      </c>
      <c r="O77" s="167">
        <v>2.0</v>
      </c>
      <c r="P77" s="184" t="s">
        <v>51</v>
      </c>
      <c r="Q77" s="167">
        <v>7.0</v>
      </c>
      <c r="R77" s="184" t="s">
        <v>120</v>
      </c>
      <c r="S77" s="167">
        <v>5.0</v>
      </c>
      <c r="T77" s="187"/>
      <c r="U77" s="167"/>
      <c r="V77" s="184" t="s">
        <v>28</v>
      </c>
      <c r="W77" s="167">
        <v>4.0</v>
      </c>
      <c r="X77" s="142">
        <v>1.0</v>
      </c>
      <c r="Y77" s="142">
        <v>1.0</v>
      </c>
      <c r="Z77" s="142">
        <v>1.0</v>
      </c>
      <c r="AA77" s="142">
        <v>1.0</v>
      </c>
      <c r="AB77" s="142">
        <v>1.0</v>
      </c>
      <c r="AC77" s="142">
        <v>1.0</v>
      </c>
      <c r="AD77" s="142">
        <v>1.0</v>
      </c>
      <c r="AE77" s="142">
        <v>1.0</v>
      </c>
      <c r="AF77" s="142">
        <v>8.0</v>
      </c>
      <c r="AG77" s="142">
        <v>0.0</v>
      </c>
      <c r="AH77" s="185" t="str">
        <f>IFERROR(__xludf.DUMMYFUNCTION("if($C77="""","""",if(join("" - "",{iferror(filter('Student Groupings'!$A:$A,'Student Groupings'!$B:$B=$C77,'Student Groupings'!$H:$H=""Can't be Together""),"""");iferror(filter('Student Groupings'!$A:$A,'Student Groupings'!$E:$E=$C77,'Student Groupings'!$"&amp;"H:$H=""Can't be Together""),"""")})="" - "","""",join("" - "",{iferror(filter('Student Groupings'!$A:$A,'Student Groupings'!$B:$B=$C77,'Student Groupings'!$H:$H=""Can't be Together""),"""");iferror(filter('Student Groupings'!$A:$A,'Student Groupings'!$E:$"&amp;"E=$C77,'Student Groupings'!$H:$H=""Can't be Together""),"""")})))"),"")</f>
        <v/>
      </c>
      <c r="AI77" s="185" t="str">
        <f>IFERROR(__xludf.DUMMYFUNCTION("if($C77="""","""",if(join("" - "",{iferror(filter('Student Groupings'!$A:$A,'Student Groupings'!$B:$B=$C77,'Student Groupings'!$H:$H=""Must be Together""),"""");iferror(filter('Student Groupings'!$A:$A,'Student Groupings'!$E:$E=$C77,'Student Groupings'!$H"&amp;":$H=""Must be Together""),"""")})="" - "","""",join("" - "",{iferror(filter('Student Groupings'!$A:$A,'Student Groupings'!$B:$B=$C77,'Student Groupings'!$H:$H=""Must be Together""),"""");iferror(filter('Student Groupings'!$A:$A,'Student Groupings'!$E:$E=$"&amp;"C77,'Student Groupings'!$H:$H=""Must be Together""),"""")})))"),"")</f>
        <v/>
      </c>
    </row>
    <row r="78">
      <c r="A78" s="167">
        <v>9.0</v>
      </c>
      <c r="B78" s="168">
        <v>29037.0</v>
      </c>
      <c r="C78" s="144" t="s">
        <v>230</v>
      </c>
      <c r="D78" s="180" t="s">
        <v>40</v>
      </c>
      <c r="E78" s="181">
        <v>6.0</v>
      </c>
      <c r="F78" s="180" t="s">
        <v>61</v>
      </c>
      <c r="G78" s="180">
        <v>8.0</v>
      </c>
      <c r="H78" s="182" t="s">
        <v>73</v>
      </c>
      <c r="I78" s="180">
        <v>4.0</v>
      </c>
      <c r="J78" s="183"/>
      <c r="K78" s="180"/>
      <c r="L78" s="184" t="s">
        <v>88</v>
      </c>
      <c r="M78" s="180">
        <v>7.0</v>
      </c>
      <c r="N78" s="184" t="s">
        <v>128</v>
      </c>
      <c r="O78" s="167">
        <v>2.0</v>
      </c>
      <c r="P78" s="184" t="s">
        <v>51</v>
      </c>
      <c r="Q78" s="167">
        <v>5.0</v>
      </c>
      <c r="R78" s="184" t="s">
        <v>120</v>
      </c>
      <c r="S78" s="167">
        <v>1.0</v>
      </c>
      <c r="T78" s="187"/>
      <c r="U78" s="167"/>
      <c r="V78" s="184" t="s">
        <v>28</v>
      </c>
      <c r="W78" s="167">
        <v>3.0</v>
      </c>
      <c r="X78" s="142">
        <v>1.0</v>
      </c>
      <c r="Y78" s="142">
        <v>1.0</v>
      </c>
      <c r="Z78" s="142">
        <v>1.0</v>
      </c>
      <c r="AA78" s="142">
        <v>1.0</v>
      </c>
      <c r="AB78" s="142">
        <v>1.0</v>
      </c>
      <c r="AC78" s="142">
        <v>1.0</v>
      </c>
      <c r="AD78" s="142">
        <v>1.0</v>
      </c>
      <c r="AE78" s="142">
        <v>1.0</v>
      </c>
      <c r="AF78" s="142">
        <v>8.0</v>
      </c>
      <c r="AG78" s="142">
        <v>0.0</v>
      </c>
      <c r="AH78" s="185" t="str">
        <f>IFERROR(__xludf.DUMMYFUNCTION("if($C78="""","""",if(join("" - "",{iferror(filter('Student Groupings'!$A:$A,'Student Groupings'!$B:$B=$C78,'Student Groupings'!$H:$H=""Can't be Together""),"""");iferror(filter('Student Groupings'!$A:$A,'Student Groupings'!$E:$E=$C78,'Student Groupings'!$"&amp;"H:$H=""Can't be Together""),"""")})="" - "","""",join("" - "",{iferror(filter('Student Groupings'!$A:$A,'Student Groupings'!$B:$B=$C78,'Student Groupings'!$H:$H=""Can't be Together""),"""");iferror(filter('Student Groupings'!$A:$A,'Student Groupings'!$E:$"&amp;"E=$C78,'Student Groupings'!$H:$H=""Can't be Together""),"""")})))"),"")</f>
        <v/>
      </c>
      <c r="AI78" s="185" t="str">
        <f>IFERROR(__xludf.DUMMYFUNCTION("if($C78="""","""",if(join("" - "",{iferror(filter('Student Groupings'!$A:$A,'Student Groupings'!$B:$B=$C78,'Student Groupings'!$H:$H=""Must be Together""),"""");iferror(filter('Student Groupings'!$A:$A,'Student Groupings'!$E:$E=$C78,'Student Groupings'!$H"&amp;":$H=""Must be Together""),"""")})="" - "","""",join("" - "",{iferror(filter('Student Groupings'!$A:$A,'Student Groupings'!$B:$B=$C78,'Student Groupings'!$H:$H=""Must be Together""),"""");iferror(filter('Student Groupings'!$A:$A,'Student Groupings'!$E:$E=$"&amp;"C78,'Student Groupings'!$H:$H=""Must be Together""),"""")})))"),"")</f>
        <v/>
      </c>
    </row>
    <row r="79">
      <c r="A79" s="167">
        <v>9.0</v>
      </c>
      <c r="B79" s="168">
        <v>29159.0</v>
      </c>
      <c r="C79" s="144" t="s">
        <v>231</v>
      </c>
      <c r="D79" s="180" t="s">
        <v>40</v>
      </c>
      <c r="E79" s="181">
        <v>2.0</v>
      </c>
      <c r="F79" s="167" t="s">
        <v>61</v>
      </c>
      <c r="G79" s="167">
        <v>5.0</v>
      </c>
      <c r="H79" s="182" t="s">
        <v>76</v>
      </c>
      <c r="I79" s="167">
        <v>8.0</v>
      </c>
      <c r="J79" s="187"/>
      <c r="K79" s="167"/>
      <c r="L79" s="184" t="s">
        <v>88</v>
      </c>
      <c r="M79" s="167">
        <v>1.0</v>
      </c>
      <c r="N79" s="184" t="s">
        <v>128</v>
      </c>
      <c r="O79" s="167">
        <v>6.0</v>
      </c>
      <c r="P79" s="184" t="s">
        <v>51</v>
      </c>
      <c r="Q79" s="167">
        <v>4.0</v>
      </c>
      <c r="R79" s="184" t="s">
        <v>120</v>
      </c>
      <c r="S79" s="167">
        <v>3.0</v>
      </c>
      <c r="T79" s="187"/>
      <c r="U79" s="167"/>
      <c r="V79" s="184" t="s">
        <v>30</v>
      </c>
      <c r="W79" s="167">
        <v>7.0</v>
      </c>
      <c r="X79" s="142">
        <v>1.0</v>
      </c>
      <c r="Y79" s="142">
        <v>1.0</v>
      </c>
      <c r="Z79" s="142">
        <v>1.0</v>
      </c>
      <c r="AA79" s="142">
        <v>1.0</v>
      </c>
      <c r="AB79" s="142">
        <v>1.0</v>
      </c>
      <c r="AC79" s="142">
        <v>1.0</v>
      </c>
      <c r="AD79" s="142">
        <v>1.0</v>
      </c>
      <c r="AE79" s="142">
        <v>1.0</v>
      </c>
      <c r="AF79" s="142">
        <v>8.0</v>
      </c>
      <c r="AG79" s="142">
        <v>0.0</v>
      </c>
      <c r="AH79" s="185" t="str">
        <f>IFERROR(__xludf.DUMMYFUNCTION("if($C79="""","""",if(join("" - "",{iferror(filter('Student Groupings'!$A:$A,'Student Groupings'!$B:$B=$C79,'Student Groupings'!$H:$H=""Can't be Together""),"""");iferror(filter('Student Groupings'!$A:$A,'Student Groupings'!$E:$E=$C79,'Student Groupings'!$"&amp;"H:$H=""Can't be Together""),"""")})="" - "","""",join("" - "",{iferror(filter('Student Groupings'!$A:$A,'Student Groupings'!$B:$B=$C79,'Student Groupings'!$H:$H=""Can't be Together""),"""");iferror(filter('Student Groupings'!$A:$A,'Student Groupings'!$E:$"&amp;"E=$C79,'Student Groupings'!$H:$H=""Can't be Together""),"""")})))"),"")</f>
        <v/>
      </c>
      <c r="AI79" s="185" t="str">
        <f>IFERROR(__xludf.DUMMYFUNCTION("if($C79="""","""",if(join("" - "",{iferror(filter('Student Groupings'!$A:$A,'Student Groupings'!$B:$B=$C79,'Student Groupings'!$H:$H=""Must be Together""),"""");iferror(filter('Student Groupings'!$A:$A,'Student Groupings'!$E:$E=$C79,'Student Groupings'!$H"&amp;":$H=""Must be Together""),"""")})="" - "","""",join("" - "",{iferror(filter('Student Groupings'!$A:$A,'Student Groupings'!$B:$B=$C79,'Student Groupings'!$H:$H=""Must be Together""),"""");iferror(filter('Student Groupings'!$A:$A,'Student Groupings'!$E:$E=$"&amp;"C79,'Student Groupings'!$H:$H=""Must be Together""),"""")})))"),"")</f>
        <v/>
      </c>
    </row>
    <row r="80">
      <c r="A80" s="167">
        <v>9.0</v>
      </c>
      <c r="B80" s="168">
        <v>29142.0</v>
      </c>
      <c r="C80" s="144" t="s">
        <v>232</v>
      </c>
      <c r="D80" s="180" t="s">
        <v>40</v>
      </c>
      <c r="E80" s="181">
        <v>2.0</v>
      </c>
      <c r="F80" s="167" t="s">
        <v>61</v>
      </c>
      <c r="G80" s="167">
        <v>6.0</v>
      </c>
      <c r="H80" s="182" t="s">
        <v>73</v>
      </c>
      <c r="I80" s="167">
        <v>3.0</v>
      </c>
      <c r="J80" s="187"/>
      <c r="K80" s="167"/>
      <c r="L80" s="184" t="s">
        <v>88</v>
      </c>
      <c r="M80" s="167">
        <v>7.0</v>
      </c>
      <c r="N80" s="184" t="s">
        <v>128</v>
      </c>
      <c r="O80" s="167">
        <v>5.0</v>
      </c>
      <c r="P80" s="184" t="s">
        <v>51</v>
      </c>
      <c r="Q80" s="167">
        <v>4.0</v>
      </c>
      <c r="R80" s="184" t="s">
        <v>124</v>
      </c>
      <c r="S80" s="167">
        <v>1.0</v>
      </c>
      <c r="T80" s="188"/>
      <c r="U80" s="189"/>
      <c r="V80" s="184" t="s">
        <v>24</v>
      </c>
      <c r="W80" s="167">
        <v>8.0</v>
      </c>
      <c r="X80" s="142">
        <v>1.0</v>
      </c>
      <c r="Y80" s="142">
        <v>1.0</v>
      </c>
      <c r="Z80" s="142">
        <v>1.0</v>
      </c>
      <c r="AA80" s="142">
        <v>1.0</v>
      </c>
      <c r="AB80" s="142">
        <v>1.0</v>
      </c>
      <c r="AC80" s="142">
        <v>1.0</v>
      </c>
      <c r="AD80" s="142">
        <v>1.0</v>
      </c>
      <c r="AE80" s="142">
        <v>1.0</v>
      </c>
      <c r="AF80" s="142">
        <v>8.0</v>
      </c>
      <c r="AG80" s="142">
        <v>0.0</v>
      </c>
      <c r="AH80" s="185" t="str">
        <f>IFERROR(__xludf.DUMMYFUNCTION("if($C80="""","""",if(join("" - "",{iferror(filter('Student Groupings'!$A:$A,'Student Groupings'!$B:$B=$C80,'Student Groupings'!$H:$H=""Can't be Together""),"""");iferror(filter('Student Groupings'!$A:$A,'Student Groupings'!$E:$E=$C80,'Student Groupings'!$"&amp;"H:$H=""Can't be Together""),"""")})="" - "","""",join("" - "",{iferror(filter('Student Groupings'!$A:$A,'Student Groupings'!$B:$B=$C80,'Student Groupings'!$H:$H=""Can't be Together""),"""");iferror(filter('Student Groupings'!$A:$A,'Student Groupings'!$E:$"&amp;"E=$C80,'Student Groupings'!$H:$H=""Can't be Together""),"""")})))"),"")</f>
        <v/>
      </c>
      <c r="AI80" s="185" t="str">
        <f>IFERROR(__xludf.DUMMYFUNCTION("if($C80="""","""",if(join("" - "",{iferror(filter('Student Groupings'!$A:$A,'Student Groupings'!$B:$B=$C80,'Student Groupings'!$H:$H=""Must be Together""),"""");iferror(filter('Student Groupings'!$A:$A,'Student Groupings'!$E:$E=$C80,'Student Groupings'!$H"&amp;":$H=""Must be Together""),"""")})="" - "","""",join("" - "",{iferror(filter('Student Groupings'!$A:$A,'Student Groupings'!$B:$B=$C80,'Student Groupings'!$H:$H=""Must be Together""),"""");iferror(filter('Student Groupings'!$A:$A,'Student Groupings'!$E:$E=$"&amp;"C80,'Student Groupings'!$H:$H=""Must be Together""),"""")})))"),"")</f>
        <v/>
      </c>
    </row>
    <row r="81">
      <c r="A81" s="167">
        <v>9.0</v>
      </c>
      <c r="B81" s="168">
        <v>29132.0</v>
      </c>
      <c r="C81" s="144" t="s">
        <v>233</v>
      </c>
      <c r="D81" s="180" t="s">
        <v>40</v>
      </c>
      <c r="E81" s="181">
        <v>5.0</v>
      </c>
      <c r="F81" s="167" t="s">
        <v>61</v>
      </c>
      <c r="G81" s="167">
        <v>1.0</v>
      </c>
      <c r="H81" s="182" t="s">
        <v>76</v>
      </c>
      <c r="I81" s="167">
        <v>7.0</v>
      </c>
      <c r="J81" s="187"/>
      <c r="K81" s="167"/>
      <c r="L81" s="184" t="s">
        <v>88</v>
      </c>
      <c r="M81" s="167">
        <v>2.0</v>
      </c>
      <c r="N81" s="184" t="s">
        <v>128</v>
      </c>
      <c r="O81" s="167">
        <v>4.0</v>
      </c>
      <c r="P81" s="184" t="s">
        <v>51</v>
      </c>
      <c r="Q81" s="167">
        <v>3.0</v>
      </c>
      <c r="R81" s="184" t="s">
        <v>124</v>
      </c>
      <c r="S81" s="167">
        <v>6.0</v>
      </c>
      <c r="T81" s="187"/>
      <c r="U81" s="167"/>
      <c r="V81" s="184" t="s">
        <v>24</v>
      </c>
      <c r="W81" s="167">
        <v>8.0</v>
      </c>
      <c r="X81" s="142">
        <v>1.0</v>
      </c>
      <c r="Y81" s="142">
        <v>1.0</v>
      </c>
      <c r="Z81" s="142">
        <v>1.0</v>
      </c>
      <c r="AA81" s="142">
        <v>1.0</v>
      </c>
      <c r="AB81" s="142">
        <v>1.0</v>
      </c>
      <c r="AC81" s="142">
        <v>1.0</v>
      </c>
      <c r="AD81" s="142">
        <v>1.0</v>
      </c>
      <c r="AE81" s="142">
        <v>1.0</v>
      </c>
      <c r="AF81" s="142">
        <v>8.0</v>
      </c>
      <c r="AG81" s="142">
        <v>0.0</v>
      </c>
      <c r="AH81" s="185" t="str">
        <f>IFERROR(__xludf.DUMMYFUNCTION("if($C81="""","""",if(join("" - "",{iferror(filter('Student Groupings'!$A:$A,'Student Groupings'!$B:$B=$C81,'Student Groupings'!$H:$H=""Can't be Together""),"""");iferror(filter('Student Groupings'!$A:$A,'Student Groupings'!$E:$E=$C81,'Student Groupings'!$"&amp;"H:$H=""Can't be Together""),"""")})="" - "","""",join("" - "",{iferror(filter('Student Groupings'!$A:$A,'Student Groupings'!$B:$B=$C81,'Student Groupings'!$H:$H=""Can't be Together""),"""");iferror(filter('Student Groupings'!$A:$A,'Student Groupings'!$E:$"&amp;"E=$C81,'Student Groupings'!$H:$H=""Can't be Together""),"""")})))"),"")</f>
        <v/>
      </c>
      <c r="AI81" s="185" t="str">
        <f>IFERROR(__xludf.DUMMYFUNCTION("if($C81="""","""",if(join("" - "",{iferror(filter('Student Groupings'!$A:$A,'Student Groupings'!$B:$B=$C81,'Student Groupings'!$H:$H=""Must be Together""),"""");iferror(filter('Student Groupings'!$A:$A,'Student Groupings'!$E:$E=$C81,'Student Groupings'!$H"&amp;":$H=""Must be Together""),"""")})="" - "","""",join("" - "",{iferror(filter('Student Groupings'!$A:$A,'Student Groupings'!$B:$B=$C81,'Student Groupings'!$H:$H=""Must be Together""),"""");iferror(filter('Student Groupings'!$A:$A,'Student Groupings'!$E:$E=$"&amp;"C81,'Student Groupings'!$H:$H=""Must be Together""),"""")})))"),"")</f>
        <v/>
      </c>
    </row>
    <row r="82">
      <c r="A82" s="167">
        <v>9.0</v>
      </c>
      <c r="B82" s="168">
        <v>29027.0</v>
      </c>
      <c r="C82" s="144" t="s">
        <v>234</v>
      </c>
      <c r="D82" s="180" t="s">
        <v>40</v>
      </c>
      <c r="E82" s="181">
        <v>2.0</v>
      </c>
      <c r="F82" s="167" t="s">
        <v>61</v>
      </c>
      <c r="G82" s="167">
        <v>1.0</v>
      </c>
      <c r="H82" s="182" t="s">
        <v>76</v>
      </c>
      <c r="I82" s="167">
        <v>8.0</v>
      </c>
      <c r="J82" s="187"/>
      <c r="K82" s="167"/>
      <c r="L82" s="184" t="s">
        <v>88</v>
      </c>
      <c r="M82" s="167">
        <v>7.0</v>
      </c>
      <c r="N82" s="184" t="s">
        <v>128</v>
      </c>
      <c r="O82" s="167">
        <v>5.0</v>
      </c>
      <c r="P82" s="184" t="s">
        <v>51</v>
      </c>
      <c r="Q82" s="167">
        <v>3.0</v>
      </c>
      <c r="R82" s="191" t="s">
        <v>122</v>
      </c>
      <c r="S82" s="167">
        <v>6.0</v>
      </c>
      <c r="T82" s="188"/>
      <c r="U82" s="142"/>
      <c r="V82" s="184" t="s">
        <v>28</v>
      </c>
      <c r="W82" s="167">
        <v>4.0</v>
      </c>
      <c r="X82" s="142">
        <v>1.0</v>
      </c>
      <c r="Y82" s="142">
        <v>1.0</v>
      </c>
      <c r="Z82" s="142">
        <v>1.0</v>
      </c>
      <c r="AA82" s="142">
        <v>1.0</v>
      </c>
      <c r="AB82" s="142">
        <v>1.0</v>
      </c>
      <c r="AC82" s="142">
        <v>1.0</v>
      </c>
      <c r="AD82" s="142">
        <v>1.0</v>
      </c>
      <c r="AE82" s="142">
        <v>1.0</v>
      </c>
      <c r="AF82" s="142">
        <v>8.0</v>
      </c>
      <c r="AG82" s="142">
        <v>0.0</v>
      </c>
      <c r="AH82" s="185" t="str">
        <f>IFERROR(__xludf.DUMMYFUNCTION("if($C82="""","""",if(join("" - "",{iferror(filter('Student Groupings'!$A:$A,'Student Groupings'!$B:$B=$C82,'Student Groupings'!$H:$H=""Can't be Together""),"""");iferror(filter('Student Groupings'!$A:$A,'Student Groupings'!$E:$E=$C82,'Student Groupings'!$"&amp;"H:$H=""Can't be Together""),"""")})="" - "","""",join("" - "",{iferror(filter('Student Groupings'!$A:$A,'Student Groupings'!$B:$B=$C82,'Student Groupings'!$H:$H=""Can't be Together""),"""");iferror(filter('Student Groupings'!$A:$A,'Student Groupings'!$E:$"&amp;"E=$C82,'Student Groupings'!$H:$H=""Can't be Together""),"""")})))"),"")</f>
        <v/>
      </c>
      <c r="AI82" s="185" t="str">
        <f>IFERROR(__xludf.DUMMYFUNCTION("if($C82="""","""",if(join("" - "",{iferror(filter('Student Groupings'!$A:$A,'Student Groupings'!$B:$B=$C82,'Student Groupings'!$H:$H=""Must be Together""),"""");iferror(filter('Student Groupings'!$A:$A,'Student Groupings'!$E:$E=$C82,'Student Groupings'!$H"&amp;":$H=""Must be Together""),"""")})="" - "","""",join("" - "",{iferror(filter('Student Groupings'!$A:$A,'Student Groupings'!$B:$B=$C82,'Student Groupings'!$H:$H=""Must be Together""),"""");iferror(filter('Student Groupings'!$A:$A,'Student Groupings'!$E:$E=$"&amp;"C82,'Student Groupings'!$H:$H=""Must be Together""),"""")})))"),"")</f>
        <v/>
      </c>
    </row>
    <row r="83">
      <c r="A83" s="167">
        <v>9.0</v>
      </c>
      <c r="B83" s="168">
        <v>29024.0</v>
      </c>
      <c r="C83" s="144" t="s">
        <v>235</v>
      </c>
      <c r="D83" s="180" t="s">
        <v>40</v>
      </c>
      <c r="E83" s="181">
        <v>5.0</v>
      </c>
      <c r="F83" s="167" t="s">
        <v>61</v>
      </c>
      <c r="G83" s="167">
        <v>6.0</v>
      </c>
      <c r="H83" s="182" t="s">
        <v>73</v>
      </c>
      <c r="I83" s="191">
        <v>4.0</v>
      </c>
      <c r="J83" s="187"/>
      <c r="K83" s="167"/>
      <c r="L83" s="184" t="s">
        <v>88</v>
      </c>
      <c r="M83" s="167">
        <v>7.0</v>
      </c>
      <c r="N83" s="184" t="s">
        <v>128</v>
      </c>
      <c r="O83" s="167">
        <v>1.0</v>
      </c>
      <c r="P83" s="184" t="s">
        <v>51</v>
      </c>
      <c r="Q83" s="167">
        <v>8.0</v>
      </c>
      <c r="R83" s="184" t="s">
        <v>124</v>
      </c>
      <c r="S83" s="167">
        <v>2.0</v>
      </c>
      <c r="T83" s="188"/>
      <c r="U83" s="142"/>
      <c r="V83" s="184" t="s">
        <v>27</v>
      </c>
      <c r="W83" s="167">
        <v>3.0</v>
      </c>
      <c r="X83" s="142">
        <v>1.0</v>
      </c>
      <c r="Y83" s="142">
        <v>1.0</v>
      </c>
      <c r="Z83" s="142">
        <v>1.0</v>
      </c>
      <c r="AA83" s="142">
        <v>1.0</v>
      </c>
      <c r="AB83" s="142">
        <v>1.0</v>
      </c>
      <c r="AC83" s="142">
        <v>1.0</v>
      </c>
      <c r="AD83" s="142">
        <v>1.0</v>
      </c>
      <c r="AE83" s="142">
        <v>1.0</v>
      </c>
      <c r="AF83" s="142">
        <v>8.0</v>
      </c>
      <c r="AG83" s="142">
        <v>0.0</v>
      </c>
      <c r="AH83" s="185" t="str">
        <f>IFERROR(__xludf.DUMMYFUNCTION("if($C83="""","""",if(join("" - "",{iferror(filter('Student Groupings'!$A:$A,'Student Groupings'!$B:$B=$C83,'Student Groupings'!$H:$H=""Can't be Together""),"""");iferror(filter('Student Groupings'!$A:$A,'Student Groupings'!$E:$E=$C83,'Student Groupings'!$"&amp;"H:$H=""Can't be Together""),"""")})="" - "","""",join("" - "",{iferror(filter('Student Groupings'!$A:$A,'Student Groupings'!$B:$B=$C83,'Student Groupings'!$H:$H=""Can't be Together""),"""");iferror(filter('Student Groupings'!$A:$A,'Student Groupings'!$E:$"&amp;"E=$C83,'Student Groupings'!$H:$H=""Can't be Together""),"""")})))")," - 50")</f>
        <v> - 50</v>
      </c>
      <c r="AI83" s="185" t="str">
        <f>IFERROR(__xludf.DUMMYFUNCTION("if($C83="""","""",if(join("" - "",{iferror(filter('Student Groupings'!$A:$A,'Student Groupings'!$B:$B=$C83,'Student Groupings'!$H:$H=""Must be Together""),"""");iferror(filter('Student Groupings'!$A:$A,'Student Groupings'!$E:$E=$C83,'Student Groupings'!$H"&amp;":$H=""Must be Together""),"""")})="" - "","""",join("" - "",{iferror(filter('Student Groupings'!$A:$A,'Student Groupings'!$B:$B=$C83,'Student Groupings'!$H:$H=""Must be Together""),"""");iferror(filter('Student Groupings'!$A:$A,'Student Groupings'!$E:$E=$"&amp;"C83,'Student Groupings'!$H:$H=""Must be Together""),"""")})))"),"")</f>
        <v/>
      </c>
    </row>
    <row r="84">
      <c r="A84" s="167">
        <v>9.0</v>
      </c>
      <c r="B84" s="168">
        <v>29042.0</v>
      </c>
      <c r="C84" s="144" t="s">
        <v>236</v>
      </c>
      <c r="D84" s="180" t="s">
        <v>40</v>
      </c>
      <c r="E84" s="181">
        <v>6.0</v>
      </c>
      <c r="F84" s="167" t="s">
        <v>61</v>
      </c>
      <c r="G84" s="167">
        <v>1.0</v>
      </c>
      <c r="H84" s="182" t="s">
        <v>73</v>
      </c>
      <c r="I84" s="195">
        <v>4.0</v>
      </c>
      <c r="J84" s="187"/>
      <c r="K84" s="167"/>
      <c r="L84" s="184" t="s">
        <v>88</v>
      </c>
      <c r="M84" s="167">
        <v>2.0</v>
      </c>
      <c r="N84" s="184" t="s">
        <v>128</v>
      </c>
      <c r="O84" s="167">
        <v>8.0</v>
      </c>
      <c r="P84" s="184" t="s">
        <v>51</v>
      </c>
      <c r="Q84" s="167">
        <v>7.0</v>
      </c>
      <c r="R84" s="184" t="s">
        <v>124</v>
      </c>
      <c r="S84" s="167">
        <v>5.0</v>
      </c>
      <c r="T84" s="188"/>
      <c r="U84" s="142"/>
      <c r="V84" s="184" t="s">
        <v>28</v>
      </c>
      <c r="W84" s="167">
        <v>3.0</v>
      </c>
      <c r="X84" s="142">
        <v>1.0</v>
      </c>
      <c r="Y84" s="142">
        <v>1.0</v>
      </c>
      <c r="Z84" s="142">
        <v>1.0</v>
      </c>
      <c r="AA84" s="142">
        <v>1.0</v>
      </c>
      <c r="AB84" s="142">
        <v>1.0</v>
      </c>
      <c r="AC84" s="142">
        <v>1.0</v>
      </c>
      <c r="AD84" s="142">
        <v>1.0</v>
      </c>
      <c r="AE84" s="142">
        <v>1.0</v>
      </c>
      <c r="AF84" s="142">
        <v>8.0</v>
      </c>
      <c r="AG84" s="142">
        <v>0.0</v>
      </c>
      <c r="AH84" s="185" t="str">
        <f>IFERROR(__xludf.DUMMYFUNCTION("if($C84="""","""",if(join("" - "",{iferror(filter('Student Groupings'!$A:$A,'Student Groupings'!$B:$B=$C84,'Student Groupings'!$H:$H=""Can't be Together""),"""");iferror(filter('Student Groupings'!$A:$A,'Student Groupings'!$E:$E=$C84,'Student Groupings'!$"&amp;"H:$H=""Can't be Together""),"""")})="" - "","""",join("" - "",{iferror(filter('Student Groupings'!$A:$A,'Student Groupings'!$B:$B=$C84,'Student Groupings'!$H:$H=""Can't be Together""),"""");iferror(filter('Student Groupings'!$A:$A,'Student Groupings'!$E:$"&amp;"E=$C84,'Student Groupings'!$H:$H=""Can't be Together""),"""")})))"),"")</f>
        <v/>
      </c>
      <c r="AI84" s="185" t="str">
        <f>IFERROR(__xludf.DUMMYFUNCTION("if($C84="""","""",if(join("" - "",{iferror(filter('Student Groupings'!$A:$A,'Student Groupings'!$B:$B=$C84,'Student Groupings'!$H:$H=""Must be Together""),"""");iferror(filter('Student Groupings'!$A:$A,'Student Groupings'!$E:$E=$C84,'Student Groupings'!$H"&amp;":$H=""Must be Together""),"""")})="" - "","""",join("" - "",{iferror(filter('Student Groupings'!$A:$A,'Student Groupings'!$B:$B=$C84,'Student Groupings'!$H:$H=""Must be Together""),"""");iferror(filter('Student Groupings'!$A:$A,'Student Groupings'!$E:$E=$"&amp;"C84,'Student Groupings'!$H:$H=""Must be Together""),"""")})))"),"")</f>
        <v/>
      </c>
    </row>
    <row r="85">
      <c r="A85" s="167">
        <v>9.0</v>
      </c>
      <c r="B85" s="168">
        <v>29120.0</v>
      </c>
      <c r="C85" s="144" t="s">
        <v>237</v>
      </c>
      <c r="D85" s="180" t="s">
        <v>40</v>
      </c>
      <c r="E85" s="181">
        <v>1.0</v>
      </c>
      <c r="F85" s="167" t="s">
        <v>61</v>
      </c>
      <c r="G85" s="167">
        <v>8.0</v>
      </c>
      <c r="H85" s="182" t="s">
        <v>73</v>
      </c>
      <c r="I85" s="167">
        <v>3.0</v>
      </c>
      <c r="J85" s="187"/>
      <c r="K85" s="167"/>
      <c r="L85" s="184" t="s">
        <v>88</v>
      </c>
      <c r="M85" s="167">
        <v>2.0</v>
      </c>
      <c r="N85" s="184" t="s">
        <v>128</v>
      </c>
      <c r="O85" s="167">
        <v>6.0</v>
      </c>
      <c r="P85" s="184" t="s">
        <v>51</v>
      </c>
      <c r="Q85" s="167">
        <v>7.0</v>
      </c>
      <c r="R85" s="184" t="s">
        <v>124</v>
      </c>
      <c r="S85" s="167">
        <v>5.0</v>
      </c>
      <c r="T85" s="188"/>
      <c r="U85" s="142"/>
      <c r="V85" s="184" t="s">
        <v>30</v>
      </c>
      <c r="W85" s="167">
        <v>4.0</v>
      </c>
      <c r="X85" s="142">
        <v>1.0</v>
      </c>
      <c r="Y85" s="142">
        <v>1.0</v>
      </c>
      <c r="Z85" s="142">
        <v>1.0</v>
      </c>
      <c r="AA85" s="142">
        <v>1.0</v>
      </c>
      <c r="AB85" s="142">
        <v>1.0</v>
      </c>
      <c r="AC85" s="142">
        <v>1.0</v>
      </c>
      <c r="AD85" s="142">
        <v>1.0</v>
      </c>
      <c r="AE85" s="142">
        <v>1.0</v>
      </c>
      <c r="AF85" s="142">
        <v>8.0</v>
      </c>
      <c r="AG85" s="142">
        <v>0.0</v>
      </c>
      <c r="AH85" s="185" t="str">
        <f>IFERROR(__xludf.DUMMYFUNCTION("if($C85="""","""",if(join("" - "",{iferror(filter('Student Groupings'!$A:$A,'Student Groupings'!$B:$B=$C85,'Student Groupings'!$H:$H=""Can't be Together""),"""");iferror(filter('Student Groupings'!$A:$A,'Student Groupings'!$E:$E=$C85,'Student Groupings'!$"&amp;"H:$H=""Can't be Together""),"""")})="" - "","""",join("" - "",{iferror(filter('Student Groupings'!$A:$A,'Student Groupings'!$B:$B=$C85,'Student Groupings'!$H:$H=""Can't be Together""),"""");iferror(filter('Student Groupings'!$A:$A,'Student Groupings'!$E:$"&amp;"E=$C85,'Student Groupings'!$H:$H=""Can't be Together""),"""")})))"),"")</f>
        <v/>
      </c>
      <c r="AI85" s="185" t="str">
        <f>IFERROR(__xludf.DUMMYFUNCTION("if($C85="""","""",if(join("" - "",{iferror(filter('Student Groupings'!$A:$A,'Student Groupings'!$B:$B=$C85,'Student Groupings'!$H:$H=""Must be Together""),"""");iferror(filter('Student Groupings'!$A:$A,'Student Groupings'!$E:$E=$C85,'Student Groupings'!$H"&amp;":$H=""Must be Together""),"""")})="" - "","""",join("" - "",{iferror(filter('Student Groupings'!$A:$A,'Student Groupings'!$B:$B=$C85,'Student Groupings'!$H:$H=""Must be Together""),"""");iferror(filter('Student Groupings'!$A:$A,'Student Groupings'!$E:$E=$"&amp;"C85,'Student Groupings'!$H:$H=""Must be Together""),"""")})))"),"")</f>
        <v/>
      </c>
    </row>
    <row r="86">
      <c r="A86" s="167">
        <v>9.0</v>
      </c>
      <c r="B86" s="168">
        <v>29040.0</v>
      </c>
      <c r="C86" s="144" t="s">
        <v>238</v>
      </c>
      <c r="D86" s="180" t="s">
        <v>40</v>
      </c>
      <c r="E86" s="181">
        <v>8.0</v>
      </c>
      <c r="F86" s="167" t="s">
        <v>61</v>
      </c>
      <c r="G86" s="167">
        <v>5.0</v>
      </c>
      <c r="H86" s="182" t="s">
        <v>76</v>
      </c>
      <c r="I86" s="167">
        <v>7.0</v>
      </c>
      <c r="J86" s="187"/>
      <c r="K86" s="167"/>
      <c r="L86" s="184" t="s">
        <v>88</v>
      </c>
      <c r="M86" s="167">
        <v>2.0</v>
      </c>
      <c r="N86" s="184" t="s">
        <v>128</v>
      </c>
      <c r="O86" s="167">
        <v>6.0</v>
      </c>
      <c r="P86" s="184" t="s">
        <v>51</v>
      </c>
      <c r="Q86" s="167">
        <v>4.0</v>
      </c>
      <c r="R86" s="184" t="s">
        <v>124</v>
      </c>
      <c r="S86" s="167">
        <v>1.0</v>
      </c>
      <c r="T86" s="187"/>
      <c r="U86" s="167"/>
      <c r="V86" s="184" t="s">
        <v>24</v>
      </c>
      <c r="W86" s="167">
        <v>3.0</v>
      </c>
      <c r="X86" s="142">
        <v>1.0</v>
      </c>
      <c r="Y86" s="142">
        <v>1.0</v>
      </c>
      <c r="Z86" s="142">
        <v>1.0</v>
      </c>
      <c r="AA86" s="142">
        <v>1.0</v>
      </c>
      <c r="AB86" s="142">
        <v>1.0</v>
      </c>
      <c r="AC86" s="142">
        <v>1.0</v>
      </c>
      <c r="AD86" s="142">
        <v>1.0</v>
      </c>
      <c r="AE86" s="142">
        <v>1.0</v>
      </c>
      <c r="AF86" s="142">
        <v>8.0</v>
      </c>
      <c r="AG86" s="142">
        <v>0.0</v>
      </c>
      <c r="AH86" s="185" t="str">
        <f>IFERROR(__xludf.DUMMYFUNCTION("if($C86="""","""",if(join("" - "",{iferror(filter('Student Groupings'!$A:$A,'Student Groupings'!$B:$B=$C86,'Student Groupings'!$H:$H=""Can't be Together""),"""");iferror(filter('Student Groupings'!$A:$A,'Student Groupings'!$E:$E=$C86,'Student Groupings'!$"&amp;"H:$H=""Can't be Together""),"""")})="" - "","""",join("" - "",{iferror(filter('Student Groupings'!$A:$A,'Student Groupings'!$B:$B=$C86,'Student Groupings'!$H:$H=""Can't be Together""),"""");iferror(filter('Student Groupings'!$A:$A,'Student Groupings'!$E:$"&amp;"E=$C86,'Student Groupings'!$H:$H=""Can't be Together""),"""")})))"),"66 - 67 - ")</f>
        <v>66 - 67 - </v>
      </c>
      <c r="AI86" s="185" t="str">
        <f>IFERROR(__xludf.DUMMYFUNCTION("if($C86="""","""",if(join("" - "",{iferror(filter('Student Groupings'!$A:$A,'Student Groupings'!$B:$B=$C86,'Student Groupings'!$H:$H=""Must be Together""),"""");iferror(filter('Student Groupings'!$A:$A,'Student Groupings'!$E:$E=$C86,'Student Groupings'!$H"&amp;":$H=""Must be Together""),"""")})="" - "","""",join("" - "",{iferror(filter('Student Groupings'!$A:$A,'Student Groupings'!$B:$B=$C86,'Student Groupings'!$H:$H=""Must be Together""),"""");iferror(filter('Student Groupings'!$A:$A,'Student Groupings'!$E:$E=$"&amp;"C86,'Student Groupings'!$H:$H=""Must be Together""),"""")})))"),"")</f>
        <v/>
      </c>
    </row>
    <row r="87">
      <c r="A87" s="167">
        <v>9.0</v>
      </c>
      <c r="B87" s="168">
        <v>29057.0</v>
      </c>
      <c r="C87" s="144" t="s">
        <v>239</v>
      </c>
      <c r="D87" s="180" t="s">
        <v>40</v>
      </c>
      <c r="E87" s="181">
        <v>1.0</v>
      </c>
      <c r="F87" s="167" t="s">
        <v>61</v>
      </c>
      <c r="G87" s="167">
        <v>7.0</v>
      </c>
      <c r="H87" s="182" t="s">
        <v>76</v>
      </c>
      <c r="I87" s="167">
        <v>2.0</v>
      </c>
      <c r="J87" s="187"/>
      <c r="K87" s="167"/>
      <c r="L87" s="184" t="s">
        <v>88</v>
      </c>
      <c r="M87" s="167">
        <v>5.0</v>
      </c>
      <c r="N87" s="184" t="s">
        <v>128</v>
      </c>
      <c r="O87" s="167">
        <v>4.0</v>
      </c>
      <c r="P87" s="184" t="s">
        <v>51</v>
      </c>
      <c r="Q87" s="167">
        <v>3.0</v>
      </c>
      <c r="R87" s="184" t="s">
        <v>124</v>
      </c>
      <c r="S87" s="167">
        <v>6.0</v>
      </c>
      <c r="T87" s="187"/>
      <c r="U87" s="167"/>
      <c r="V87" s="184" t="s">
        <v>30</v>
      </c>
      <c r="W87" s="167">
        <v>8.0</v>
      </c>
      <c r="X87" s="142">
        <v>1.0</v>
      </c>
      <c r="Y87" s="142">
        <v>1.0</v>
      </c>
      <c r="Z87" s="142">
        <v>1.0</v>
      </c>
      <c r="AA87" s="142">
        <v>1.0</v>
      </c>
      <c r="AB87" s="142">
        <v>1.0</v>
      </c>
      <c r="AC87" s="142">
        <v>1.0</v>
      </c>
      <c r="AD87" s="142">
        <v>1.0</v>
      </c>
      <c r="AE87" s="142">
        <v>1.0</v>
      </c>
      <c r="AF87" s="142">
        <v>8.0</v>
      </c>
      <c r="AG87" s="142">
        <v>0.0</v>
      </c>
      <c r="AH87" s="185" t="str">
        <f>IFERROR(__xludf.DUMMYFUNCTION("if($C87="""","""",if(join("" - "",{iferror(filter('Student Groupings'!$A:$A,'Student Groupings'!$B:$B=$C87,'Student Groupings'!$H:$H=""Can't be Together""),"""");iferror(filter('Student Groupings'!$A:$A,'Student Groupings'!$E:$E=$C87,'Student Groupings'!$"&amp;"H:$H=""Can't be Together""),"""")})="" - "","""",join("" - "",{iferror(filter('Student Groupings'!$A:$A,'Student Groupings'!$B:$B=$C87,'Student Groupings'!$H:$H=""Can't be Together""),"""");iferror(filter('Student Groupings'!$A:$A,'Student Groupings'!$E:$"&amp;"E=$C87,'Student Groupings'!$H:$H=""Can't be Together""),"""")})))"),"")</f>
        <v/>
      </c>
      <c r="AI87" s="185" t="str">
        <f>IFERROR(__xludf.DUMMYFUNCTION("if($C87="""","""",if(join("" - "",{iferror(filter('Student Groupings'!$A:$A,'Student Groupings'!$B:$B=$C87,'Student Groupings'!$H:$H=""Must be Together""),"""");iferror(filter('Student Groupings'!$A:$A,'Student Groupings'!$E:$E=$C87,'Student Groupings'!$H"&amp;":$H=""Must be Together""),"""")})="" - "","""",join("" - "",{iferror(filter('Student Groupings'!$A:$A,'Student Groupings'!$B:$B=$C87,'Student Groupings'!$H:$H=""Must be Together""),"""");iferror(filter('Student Groupings'!$A:$A,'Student Groupings'!$E:$E=$"&amp;"C87,'Student Groupings'!$H:$H=""Must be Together""),"""")})))"),"")</f>
        <v/>
      </c>
    </row>
    <row r="88">
      <c r="A88" s="167">
        <v>9.0</v>
      </c>
      <c r="B88" s="168">
        <v>29092.0</v>
      </c>
      <c r="C88" s="144" t="s">
        <v>240</v>
      </c>
      <c r="D88" s="180" t="s">
        <v>40</v>
      </c>
      <c r="E88" s="181">
        <v>1.0</v>
      </c>
      <c r="F88" s="167" t="s">
        <v>61</v>
      </c>
      <c r="G88" s="167">
        <v>3.0</v>
      </c>
      <c r="H88" s="182" t="s">
        <v>76</v>
      </c>
      <c r="I88" s="167">
        <v>7.0</v>
      </c>
      <c r="J88" s="187"/>
      <c r="K88" s="167"/>
      <c r="L88" s="184" t="s">
        <v>88</v>
      </c>
      <c r="M88" s="167">
        <v>2.0</v>
      </c>
      <c r="N88" s="184" t="s">
        <v>128</v>
      </c>
      <c r="O88" s="167">
        <v>5.0</v>
      </c>
      <c r="P88" s="184" t="s">
        <v>51</v>
      </c>
      <c r="Q88" s="167">
        <v>8.0</v>
      </c>
      <c r="R88" s="191" t="s">
        <v>122</v>
      </c>
      <c r="S88" s="167">
        <v>6.0</v>
      </c>
      <c r="T88" s="188"/>
      <c r="U88" s="167"/>
      <c r="V88" s="184" t="s">
        <v>24</v>
      </c>
      <c r="W88" s="180">
        <v>4.0</v>
      </c>
      <c r="X88" s="142">
        <v>1.0</v>
      </c>
      <c r="Y88" s="142">
        <v>1.0</v>
      </c>
      <c r="Z88" s="142">
        <v>1.0</v>
      </c>
      <c r="AA88" s="142">
        <v>1.0</v>
      </c>
      <c r="AB88" s="142">
        <v>1.0</v>
      </c>
      <c r="AC88" s="142">
        <v>1.0</v>
      </c>
      <c r="AD88" s="142">
        <v>1.0</v>
      </c>
      <c r="AE88" s="142">
        <v>1.0</v>
      </c>
      <c r="AF88" s="142">
        <v>8.0</v>
      </c>
      <c r="AG88" s="142">
        <v>0.0</v>
      </c>
      <c r="AH88" s="185" t="str">
        <f>IFERROR(__xludf.DUMMYFUNCTION("if($C88="""","""",if(join("" - "",{iferror(filter('Student Groupings'!$A:$A,'Student Groupings'!$B:$B=$C88,'Student Groupings'!$H:$H=""Can't be Together""),"""");iferror(filter('Student Groupings'!$A:$A,'Student Groupings'!$E:$E=$C88,'Student Groupings'!$"&amp;"H:$H=""Can't be Together""),"""")})="" - "","""",join("" - "",{iferror(filter('Student Groupings'!$A:$A,'Student Groupings'!$B:$B=$C88,'Student Groupings'!$H:$H=""Can't be Together""),"""");iferror(filter('Student Groupings'!$A:$A,'Student Groupings'!$E:$"&amp;"E=$C88,'Student Groupings'!$H:$H=""Can't be Together""),"""")})))"),"")</f>
        <v/>
      </c>
      <c r="AI88" s="185" t="str">
        <f>IFERROR(__xludf.DUMMYFUNCTION("if($C88="""","""",if(join("" - "",{iferror(filter('Student Groupings'!$A:$A,'Student Groupings'!$B:$B=$C88,'Student Groupings'!$H:$H=""Must be Together""),"""");iferror(filter('Student Groupings'!$A:$A,'Student Groupings'!$E:$E=$C88,'Student Groupings'!$H"&amp;":$H=""Must be Together""),"""")})="" - "","""",join("" - "",{iferror(filter('Student Groupings'!$A:$A,'Student Groupings'!$B:$B=$C88,'Student Groupings'!$H:$H=""Must be Together""),"""");iferror(filter('Student Groupings'!$A:$A,'Student Groupings'!$E:$E=$"&amp;"C88,'Student Groupings'!$H:$H=""Must be Together""),"""")})))"),"")</f>
        <v/>
      </c>
    </row>
    <row r="89">
      <c r="A89" s="167">
        <v>9.0</v>
      </c>
      <c r="B89" s="168">
        <v>29129.0</v>
      </c>
      <c r="C89" s="144" t="s">
        <v>241</v>
      </c>
      <c r="D89" s="180" t="s">
        <v>40</v>
      </c>
      <c r="E89" s="181">
        <v>7.0</v>
      </c>
      <c r="F89" s="167" t="s">
        <v>61</v>
      </c>
      <c r="G89" s="167">
        <v>5.0</v>
      </c>
      <c r="H89" s="182" t="s">
        <v>73</v>
      </c>
      <c r="I89" s="167">
        <v>6.0</v>
      </c>
      <c r="J89" s="187"/>
      <c r="K89" s="167"/>
      <c r="L89" s="184" t="s">
        <v>88</v>
      </c>
      <c r="M89" s="167">
        <v>1.0</v>
      </c>
      <c r="N89" s="184" t="s">
        <v>128</v>
      </c>
      <c r="O89" s="167">
        <v>8.0</v>
      </c>
      <c r="P89" s="184" t="s">
        <v>51</v>
      </c>
      <c r="Q89" s="167">
        <v>3.0</v>
      </c>
      <c r="R89" s="184" t="s">
        <v>124</v>
      </c>
      <c r="S89" s="167">
        <v>2.0</v>
      </c>
      <c r="T89" s="183"/>
      <c r="U89" s="167"/>
      <c r="V89" s="184" t="s">
        <v>30</v>
      </c>
      <c r="W89" s="167">
        <v>4.0</v>
      </c>
      <c r="X89" s="142">
        <v>1.0</v>
      </c>
      <c r="Y89" s="142">
        <v>1.0</v>
      </c>
      <c r="Z89" s="142">
        <v>1.0</v>
      </c>
      <c r="AA89" s="142">
        <v>1.0</v>
      </c>
      <c r="AB89" s="142">
        <v>1.0</v>
      </c>
      <c r="AC89" s="142">
        <v>1.0</v>
      </c>
      <c r="AD89" s="142">
        <v>1.0</v>
      </c>
      <c r="AE89" s="142">
        <v>1.0</v>
      </c>
      <c r="AF89" s="142">
        <v>8.0</v>
      </c>
      <c r="AG89" s="142">
        <v>0.0</v>
      </c>
      <c r="AH89" s="185" t="str">
        <f>IFERROR(__xludf.DUMMYFUNCTION("if($C89="""","""",if(join("" - "",{iferror(filter('Student Groupings'!$A:$A,'Student Groupings'!$B:$B=$C89,'Student Groupings'!$H:$H=""Can't be Together""),"""");iferror(filter('Student Groupings'!$A:$A,'Student Groupings'!$E:$E=$C89,'Student Groupings'!$"&amp;"H:$H=""Can't be Together""),"""")})="" - "","""",join("" - "",{iferror(filter('Student Groupings'!$A:$A,'Student Groupings'!$B:$B=$C89,'Student Groupings'!$H:$H=""Can't be Together""),"""");iferror(filter('Student Groupings'!$A:$A,'Student Groupings'!$E:$"&amp;"E=$C89,'Student Groupings'!$H:$H=""Can't be Together""),"""")})))"),"")</f>
        <v/>
      </c>
      <c r="AI89" s="185" t="str">
        <f>IFERROR(__xludf.DUMMYFUNCTION("if($C89="""","""",if(join("" - "",{iferror(filter('Student Groupings'!$A:$A,'Student Groupings'!$B:$B=$C89,'Student Groupings'!$H:$H=""Must be Together""),"""");iferror(filter('Student Groupings'!$A:$A,'Student Groupings'!$E:$E=$C89,'Student Groupings'!$H"&amp;":$H=""Must be Together""),"""")})="" - "","""",join("" - "",{iferror(filter('Student Groupings'!$A:$A,'Student Groupings'!$B:$B=$C89,'Student Groupings'!$H:$H=""Must be Together""),"""");iferror(filter('Student Groupings'!$A:$A,'Student Groupings'!$E:$E=$"&amp;"C89,'Student Groupings'!$H:$H=""Must be Together""),"""")})))"),"")</f>
        <v/>
      </c>
    </row>
    <row r="90">
      <c r="A90" s="167">
        <v>9.0</v>
      </c>
      <c r="B90" s="168">
        <v>29002.0</v>
      </c>
      <c r="C90" s="144" t="s">
        <v>242</v>
      </c>
      <c r="D90" s="180" t="s">
        <v>40</v>
      </c>
      <c r="E90" s="181">
        <v>5.0</v>
      </c>
      <c r="F90" s="167" t="s">
        <v>61</v>
      </c>
      <c r="G90" s="167">
        <v>7.0</v>
      </c>
      <c r="H90" s="182" t="s">
        <v>76</v>
      </c>
      <c r="I90" s="167">
        <v>8.0</v>
      </c>
      <c r="J90" s="187"/>
      <c r="K90" s="167"/>
      <c r="L90" s="184" t="s">
        <v>88</v>
      </c>
      <c r="M90" s="167">
        <v>2.0</v>
      </c>
      <c r="N90" s="184" t="s">
        <v>128</v>
      </c>
      <c r="O90" s="167">
        <v>4.0</v>
      </c>
      <c r="P90" s="184" t="s">
        <v>51</v>
      </c>
      <c r="Q90" s="167">
        <v>3.0</v>
      </c>
      <c r="R90" s="184" t="s">
        <v>124</v>
      </c>
      <c r="S90" s="167">
        <v>1.0</v>
      </c>
      <c r="T90" s="188"/>
      <c r="U90" s="142"/>
      <c r="V90" s="184" t="s">
        <v>23</v>
      </c>
      <c r="W90" s="167">
        <v>6.0</v>
      </c>
      <c r="X90" s="142">
        <v>1.0</v>
      </c>
      <c r="Y90" s="142">
        <v>1.0</v>
      </c>
      <c r="Z90" s="142">
        <v>1.0</v>
      </c>
      <c r="AA90" s="142">
        <v>1.0</v>
      </c>
      <c r="AB90" s="142">
        <v>1.0</v>
      </c>
      <c r="AC90" s="142">
        <v>1.0</v>
      </c>
      <c r="AD90" s="142">
        <v>1.0</v>
      </c>
      <c r="AE90" s="142">
        <v>1.0</v>
      </c>
      <c r="AF90" s="142">
        <v>8.0</v>
      </c>
      <c r="AG90" s="142">
        <v>0.0</v>
      </c>
      <c r="AH90" s="185" t="str">
        <f>IFERROR(__xludf.DUMMYFUNCTION("if($C90="""","""",if(join("" - "",{iferror(filter('Student Groupings'!$A:$A,'Student Groupings'!$B:$B=$C90,'Student Groupings'!$H:$H=""Can't be Together""),"""");iferror(filter('Student Groupings'!$A:$A,'Student Groupings'!$E:$E=$C90,'Student Groupings'!$"&amp;"H:$H=""Can't be Together""),"""")})="" - "","""",join("" - "",{iferror(filter('Student Groupings'!$A:$A,'Student Groupings'!$B:$B=$C90,'Student Groupings'!$H:$H=""Can't be Together""),"""");iferror(filter('Student Groupings'!$A:$A,'Student Groupings'!$E:$"&amp;"E=$C90,'Student Groupings'!$H:$H=""Can't be Together""),"""")})))")," - 121")</f>
        <v> - 121</v>
      </c>
      <c r="AI90" s="185" t="str">
        <f>IFERROR(__xludf.DUMMYFUNCTION("if($C90="""","""",if(join("" - "",{iferror(filter('Student Groupings'!$A:$A,'Student Groupings'!$B:$B=$C90,'Student Groupings'!$H:$H=""Must be Together""),"""");iferror(filter('Student Groupings'!$A:$A,'Student Groupings'!$E:$E=$C90,'Student Groupings'!$H"&amp;":$H=""Must be Together""),"""")})="" - "","""",join("" - "",{iferror(filter('Student Groupings'!$A:$A,'Student Groupings'!$B:$B=$C90,'Student Groupings'!$H:$H=""Must be Together""),"""");iferror(filter('Student Groupings'!$A:$A,'Student Groupings'!$E:$E=$"&amp;"C90,'Student Groupings'!$H:$H=""Must be Together""),"""")})))"),"")</f>
        <v/>
      </c>
    </row>
    <row r="91">
      <c r="A91" s="167">
        <v>9.0</v>
      </c>
      <c r="B91" s="168">
        <v>29099.0</v>
      </c>
      <c r="C91" s="144" t="s">
        <v>243</v>
      </c>
      <c r="D91" s="180" t="s">
        <v>40</v>
      </c>
      <c r="E91" s="181">
        <v>1.0</v>
      </c>
      <c r="F91" s="167" t="s">
        <v>61</v>
      </c>
      <c r="G91" s="167">
        <v>3.0</v>
      </c>
      <c r="H91" s="182" t="s">
        <v>73</v>
      </c>
      <c r="I91" s="167">
        <v>7.0</v>
      </c>
      <c r="J91" s="187"/>
      <c r="K91" s="167"/>
      <c r="L91" s="184" t="s">
        <v>88</v>
      </c>
      <c r="M91" s="167">
        <v>5.0</v>
      </c>
      <c r="N91" s="184" t="s">
        <v>128</v>
      </c>
      <c r="O91" s="167">
        <v>8.0</v>
      </c>
      <c r="P91" s="184" t="s">
        <v>51</v>
      </c>
      <c r="Q91" s="167">
        <v>2.0</v>
      </c>
      <c r="R91" s="191" t="s">
        <v>122</v>
      </c>
      <c r="S91" s="167">
        <v>6.0</v>
      </c>
      <c r="T91" s="188"/>
      <c r="U91" s="142"/>
      <c r="V91" s="184" t="s">
        <v>28</v>
      </c>
      <c r="W91" s="180">
        <v>4.0</v>
      </c>
      <c r="X91" s="142">
        <v>1.0</v>
      </c>
      <c r="Y91" s="142">
        <v>1.0</v>
      </c>
      <c r="Z91" s="142">
        <v>1.0</v>
      </c>
      <c r="AA91" s="142">
        <v>1.0</v>
      </c>
      <c r="AB91" s="142">
        <v>1.0</v>
      </c>
      <c r="AC91" s="142">
        <v>1.0</v>
      </c>
      <c r="AD91" s="142">
        <v>1.0</v>
      </c>
      <c r="AE91" s="142">
        <v>1.0</v>
      </c>
      <c r="AF91" s="142">
        <v>8.0</v>
      </c>
      <c r="AG91" s="142">
        <v>0.0</v>
      </c>
      <c r="AH91" s="185" t="str">
        <f>IFERROR(__xludf.DUMMYFUNCTION("if($C91="""","""",if(join("" - "",{iferror(filter('Student Groupings'!$A:$A,'Student Groupings'!$B:$B=$C91,'Student Groupings'!$H:$H=""Can't be Together""),"""");iferror(filter('Student Groupings'!$A:$A,'Student Groupings'!$E:$E=$C91,'Student Groupings'!$"&amp;"H:$H=""Can't be Together""),"""")})="" - "","""",join("" - "",{iferror(filter('Student Groupings'!$A:$A,'Student Groupings'!$B:$B=$C91,'Student Groupings'!$H:$H=""Can't be Together""),"""");iferror(filter('Student Groupings'!$A:$A,'Student Groupings'!$E:$"&amp;"E=$C91,'Student Groupings'!$H:$H=""Can't be Together""),"""")})))"),"")</f>
        <v/>
      </c>
      <c r="AI91" s="185" t="str">
        <f>IFERROR(__xludf.DUMMYFUNCTION("if($C91="""","""",if(join("" - "",{iferror(filter('Student Groupings'!$A:$A,'Student Groupings'!$B:$B=$C91,'Student Groupings'!$H:$H=""Must be Together""),"""");iferror(filter('Student Groupings'!$A:$A,'Student Groupings'!$E:$E=$C91,'Student Groupings'!$H"&amp;":$H=""Must be Together""),"""")})="" - "","""",join("" - "",{iferror(filter('Student Groupings'!$A:$A,'Student Groupings'!$B:$B=$C91,'Student Groupings'!$H:$H=""Must be Together""),"""");iferror(filter('Student Groupings'!$A:$A,'Student Groupings'!$E:$E=$"&amp;"C91,'Student Groupings'!$H:$H=""Must be Together""),"""")})))"),"")</f>
        <v/>
      </c>
    </row>
    <row r="92">
      <c r="A92" s="167">
        <v>9.0</v>
      </c>
      <c r="B92" s="168">
        <v>29087.0</v>
      </c>
      <c r="C92" s="144" t="s">
        <v>244</v>
      </c>
      <c r="D92" s="180" t="s">
        <v>40</v>
      </c>
      <c r="E92" s="181">
        <v>2.0</v>
      </c>
      <c r="F92" s="167" t="s">
        <v>61</v>
      </c>
      <c r="G92" s="167">
        <v>4.0</v>
      </c>
      <c r="H92" s="182" t="s">
        <v>73</v>
      </c>
      <c r="I92" s="167">
        <v>7.0</v>
      </c>
      <c r="J92" s="187"/>
      <c r="K92" s="167"/>
      <c r="L92" s="184" t="s">
        <v>88</v>
      </c>
      <c r="M92" s="167">
        <v>6.0</v>
      </c>
      <c r="N92" s="184" t="s">
        <v>128</v>
      </c>
      <c r="O92" s="167">
        <v>1.0</v>
      </c>
      <c r="P92" s="184" t="s">
        <v>51</v>
      </c>
      <c r="Q92" s="167">
        <v>8.0</v>
      </c>
      <c r="R92" s="184" t="s">
        <v>120</v>
      </c>
      <c r="S92" s="167">
        <v>5.0</v>
      </c>
      <c r="T92" s="183"/>
      <c r="U92" s="167"/>
      <c r="V92" s="184" t="s">
        <v>27</v>
      </c>
      <c r="W92" s="167">
        <v>3.0</v>
      </c>
      <c r="X92" s="142">
        <v>1.0</v>
      </c>
      <c r="Y92" s="142">
        <v>1.0</v>
      </c>
      <c r="Z92" s="142">
        <v>1.0</v>
      </c>
      <c r="AA92" s="142">
        <v>1.0</v>
      </c>
      <c r="AB92" s="142">
        <v>1.0</v>
      </c>
      <c r="AC92" s="142">
        <v>1.0</v>
      </c>
      <c r="AD92" s="142">
        <v>1.0</v>
      </c>
      <c r="AE92" s="142">
        <v>1.0</v>
      </c>
      <c r="AF92" s="142">
        <v>8.0</v>
      </c>
      <c r="AG92" s="142">
        <v>0.0</v>
      </c>
      <c r="AH92" s="185" t="str">
        <f>IFERROR(__xludf.DUMMYFUNCTION("if($C92="""","""",if(join("" - "",{iferror(filter('Student Groupings'!$A:$A,'Student Groupings'!$B:$B=$C92,'Student Groupings'!$H:$H=""Can't be Together""),"""");iferror(filter('Student Groupings'!$A:$A,'Student Groupings'!$E:$E=$C92,'Student Groupings'!$"&amp;"H:$H=""Can't be Together""),"""")})="" - "","""",join("" - "",{iferror(filter('Student Groupings'!$A:$A,'Student Groupings'!$B:$B=$C92,'Student Groupings'!$H:$H=""Can't be Together""),"""");iferror(filter('Student Groupings'!$A:$A,'Student Groupings'!$E:$"&amp;"E=$C92,'Student Groupings'!$H:$H=""Can't be Together""),"""")})))"),"53 - 105")</f>
        <v>53 - 105</v>
      </c>
      <c r="AI92" s="185" t="str">
        <f>IFERROR(__xludf.DUMMYFUNCTION("if($C92="""","""",if(join("" - "",{iferror(filter('Student Groupings'!$A:$A,'Student Groupings'!$B:$B=$C92,'Student Groupings'!$H:$H=""Must be Together""),"""");iferror(filter('Student Groupings'!$A:$A,'Student Groupings'!$E:$E=$C92,'Student Groupings'!$H"&amp;":$H=""Must be Together""),"""")})="" - "","""",join("" - "",{iferror(filter('Student Groupings'!$A:$A,'Student Groupings'!$B:$B=$C92,'Student Groupings'!$H:$H=""Must be Together""),"""");iferror(filter('Student Groupings'!$A:$A,'Student Groupings'!$E:$E=$"&amp;"C92,'Student Groupings'!$H:$H=""Must be Together""),"""")})))"),"54 - ")</f>
        <v>54 - </v>
      </c>
    </row>
    <row r="93">
      <c r="A93" s="167">
        <v>9.0</v>
      </c>
      <c r="B93" s="168">
        <v>28087.0</v>
      </c>
      <c r="C93" s="144" t="s">
        <v>245</v>
      </c>
      <c r="D93" s="180" t="s">
        <v>40</v>
      </c>
      <c r="E93" s="181">
        <v>1.0</v>
      </c>
      <c r="F93" s="167" t="s">
        <v>61</v>
      </c>
      <c r="G93" s="167">
        <v>8.0</v>
      </c>
      <c r="H93" s="182" t="s">
        <v>73</v>
      </c>
      <c r="I93" s="167">
        <v>7.0</v>
      </c>
      <c r="J93" s="187"/>
      <c r="K93" s="167"/>
      <c r="L93" s="184" t="s">
        <v>88</v>
      </c>
      <c r="M93" s="167">
        <v>5.0</v>
      </c>
      <c r="N93" s="184" t="s">
        <v>128</v>
      </c>
      <c r="O93" s="167">
        <v>2.0</v>
      </c>
      <c r="P93" s="184" t="s">
        <v>51</v>
      </c>
      <c r="Q93" s="167">
        <v>4.0</v>
      </c>
      <c r="R93" s="184" t="s">
        <v>124</v>
      </c>
      <c r="S93" s="167">
        <v>6.0</v>
      </c>
      <c r="T93" s="187"/>
      <c r="U93" s="167"/>
      <c r="V93" s="184" t="s">
        <v>24</v>
      </c>
      <c r="W93" s="180">
        <v>3.0</v>
      </c>
      <c r="X93" s="142">
        <v>1.0</v>
      </c>
      <c r="Y93" s="142">
        <v>1.0</v>
      </c>
      <c r="Z93" s="142">
        <v>1.0</v>
      </c>
      <c r="AA93" s="142">
        <v>1.0</v>
      </c>
      <c r="AB93" s="142">
        <v>1.0</v>
      </c>
      <c r="AC93" s="142">
        <v>1.0</v>
      </c>
      <c r="AD93" s="142">
        <v>1.0</v>
      </c>
      <c r="AE93" s="142">
        <v>1.0</v>
      </c>
      <c r="AF93" s="142">
        <v>8.0</v>
      </c>
      <c r="AG93" s="142">
        <v>0.0</v>
      </c>
      <c r="AH93" s="185" t="str">
        <f>IFERROR(__xludf.DUMMYFUNCTION("if($C93="""","""",if(join("" - "",{iferror(filter('Student Groupings'!$A:$A,'Student Groupings'!$B:$B=$C93,'Student Groupings'!$H:$H=""Can't be Together""),"""");iferror(filter('Student Groupings'!$A:$A,'Student Groupings'!$E:$E=$C93,'Student Groupings'!$"&amp;"H:$H=""Can't be Together""),"""")})="" - "","""",join("" - "",{iferror(filter('Student Groupings'!$A:$A,'Student Groupings'!$B:$B=$C93,'Student Groupings'!$H:$H=""Can't be Together""),"""");iferror(filter('Student Groupings'!$A:$A,'Student Groupings'!$E:$"&amp;"E=$C93,'Student Groupings'!$H:$H=""Can't be Together""),"""")})))"),"48 - 49 - 50 - ")</f>
        <v>48 - 49 - 50 - </v>
      </c>
      <c r="AI93" s="185" t="str">
        <f>IFERROR(__xludf.DUMMYFUNCTION("if($C93="""","""",if(join("" - "",{iferror(filter('Student Groupings'!$A:$A,'Student Groupings'!$B:$B=$C93,'Student Groupings'!$H:$H=""Must be Together""),"""");iferror(filter('Student Groupings'!$A:$A,'Student Groupings'!$E:$E=$C93,'Student Groupings'!$H"&amp;":$H=""Must be Together""),"""")})="" - "","""",join("" - "",{iferror(filter('Student Groupings'!$A:$A,'Student Groupings'!$B:$B=$C93,'Student Groupings'!$H:$H=""Must be Together""),"""");iferror(filter('Student Groupings'!$A:$A,'Student Groupings'!$E:$E=$"&amp;"C93,'Student Groupings'!$H:$H=""Must be Together""),"""")})))"),"47 - ")</f>
        <v>47 - </v>
      </c>
    </row>
    <row r="94">
      <c r="A94" s="167">
        <v>9.0</v>
      </c>
      <c r="B94" s="168">
        <v>29133.0</v>
      </c>
      <c r="C94" s="144" t="s">
        <v>246</v>
      </c>
      <c r="D94" s="180" t="s">
        <v>40</v>
      </c>
      <c r="E94" s="181">
        <v>2.0</v>
      </c>
      <c r="F94" s="186" t="s">
        <v>61</v>
      </c>
      <c r="G94" s="167">
        <v>1.0</v>
      </c>
      <c r="H94" s="182" t="s">
        <v>73</v>
      </c>
      <c r="I94" s="167">
        <v>6.0</v>
      </c>
      <c r="J94" s="187"/>
      <c r="K94" s="167"/>
      <c r="L94" s="184" t="s">
        <v>88</v>
      </c>
      <c r="M94" s="167">
        <v>7.0</v>
      </c>
      <c r="N94" s="184" t="s">
        <v>128</v>
      </c>
      <c r="O94" s="167">
        <v>4.0</v>
      </c>
      <c r="P94" s="184" t="s">
        <v>51</v>
      </c>
      <c r="Q94" s="167">
        <v>8.0</v>
      </c>
      <c r="R94" s="184" t="s">
        <v>124</v>
      </c>
      <c r="S94" s="167">
        <v>5.0</v>
      </c>
      <c r="T94" s="188"/>
      <c r="U94" s="142"/>
      <c r="V94" s="184" t="s">
        <v>24</v>
      </c>
      <c r="W94" s="167">
        <v>3.0</v>
      </c>
      <c r="X94" s="142">
        <v>1.0</v>
      </c>
      <c r="Y94" s="142">
        <v>1.0</v>
      </c>
      <c r="Z94" s="142">
        <v>1.0</v>
      </c>
      <c r="AA94" s="142">
        <v>1.0</v>
      </c>
      <c r="AB94" s="142">
        <v>1.0</v>
      </c>
      <c r="AC94" s="142">
        <v>1.0</v>
      </c>
      <c r="AD94" s="142">
        <v>1.0</v>
      </c>
      <c r="AE94" s="142">
        <v>1.0</v>
      </c>
      <c r="AF94" s="142">
        <v>8.0</v>
      </c>
      <c r="AG94" s="142">
        <v>0.0</v>
      </c>
      <c r="AH94" s="185" t="str">
        <f>IFERROR(__xludf.DUMMYFUNCTION("if($C94="""","""",if(join("" - "",{iferror(filter('Student Groupings'!$A:$A,'Student Groupings'!$B:$B=$C94,'Student Groupings'!$H:$H=""Can't be Together""),"""");iferror(filter('Student Groupings'!$A:$A,'Student Groupings'!$E:$E=$C94,'Student Groupings'!$"&amp;"H:$H=""Can't be Together""),"""")})="" - "","""",join("" - "",{iferror(filter('Student Groupings'!$A:$A,'Student Groupings'!$B:$B=$C94,'Student Groupings'!$H:$H=""Can't be Together""),"""");iferror(filter('Student Groupings'!$A:$A,'Student Groupings'!$E:$"&amp;"E=$C94,'Student Groupings'!$H:$H=""Can't be Together""),"""")})))"),"")</f>
        <v/>
      </c>
      <c r="AI94" s="185" t="str">
        <f>IFERROR(__xludf.DUMMYFUNCTION("if($C94="""","""",if(join("" - "",{iferror(filter('Student Groupings'!$A:$A,'Student Groupings'!$B:$B=$C94,'Student Groupings'!$H:$H=""Must be Together""),"""");iferror(filter('Student Groupings'!$A:$A,'Student Groupings'!$E:$E=$C94,'Student Groupings'!$H"&amp;":$H=""Must be Together""),"""")})="" - "","""",join("" - "",{iferror(filter('Student Groupings'!$A:$A,'Student Groupings'!$B:$B=$C94,'Student Groupings'!$H:$H=""Must be Together""),"""");iferror(filter('Student Groupings'!$A:$A,'Student Groupings'!$E:$E=$"&amp;"C94,'Student Groupings'!$H:$H=""Must be Together""),"""")})))"),"")</f>
        <v/>
      </c>
    </row>
    <row r="95">
      <c r="A95" s="167">
        <v>9.0</v>
      </c>
      <c r="B95" s="168">
        <v>29059.0</v>
      </c>
      <c r="C95" s="144" t="s">
        <v>247</v>
      </c>
      <c r="D95" s="180" t="s">
        <v>40</v>
      </c>
      <c r="E95" s="181">
        <v>2.0</v>
      </c>
      <c r="F95" s="167" t="s">
        <v>61</v>
      </c>
      <c r="G95" s="167">
        <v>4.0</v>
      </c>
      <c r="H95" s="182" t="s">
        <v>73</v>
      </c>
      <c r="I95" s="167">
        <v>6.0</v>
      </c>
      <c r="J95" s="183"/>
      <c r="K95" s="167"/>
      <c r="L95" s="184" t="s">
        <v>88</v>
      </c>
      <c r="M95" s="167">
        <v>1.0</v>
      </c>
      <c r="N95" s="184" t="s">
        <v>128</v>
      </c>
      <c r="O95" s="167">
        <v>8.0</v>
      </c>
      <c r="P95" s="184" t="s">
        <v>51</v>
      </c>
      <c r="Q95" s="167">
        <v>7.0</v>
      </c>
      <c r="R95" s="184" t="s">
        <v>124</v>
      </c>
      <c r="S95" s="167">
        <v>5.0</v>
      </c>
      <c r="T95" s="188"/>
      <c r="U95" s="189"/>
      <c r="V95" s="184" t="s">
        <v>28</v>
      </c>
      <c r="W95" s="180">
        <v>3.0</v>
      </c>
      <c r="X95" s="142">
        <v>1.0</v>
      </c>
      <c r="Y95" s="142">
        <v>1.0</v>
      </c>
      <c r="Z95" s="142">
        <v>1.0</v>
      </c>
      <c r="AA95" s="142">
        <v>1.0</v>
      </c>
      <c r="AB95" s="142">
        <v>1.0</v>
      </c>
      <c r="AC95" s="142">
        <v>1.0</v>
      </c>
      <c r="AD95" s="142">
        <v>1.0</v>
      </c>
      <c r="AE95" s="142">
        <v>1.0</v>
      </c>
      <c r="AF95" s="142">
        <v>8.0</v>
      </c>
      <c r="AG95" s="142">
        <v>0.0</v>
      </c>
      <c r="AH95" s="185" t="str">
        <f>IFERROR(__xludf.DUMMYFUNCTION("if($C95="""","""",if(join("" - "",{iferror(filter('Student Groupings'!$A:$A,'Student Groupings'!$B:$B=$C95,'Student Groupings'!$H:$H=""Can't be Together""),"""");iferror(filter('Student Groupings'!$A:$A,'Student Groupings'!$E:$E=$C95,'Student Groupings'!$"&amp;"H:$H=""Can't be Together""),"""")})="" - "","""",join("" - "",{iferror(filter('Student Groupings'!$A:$A,'Student Groupings'!$B:$B=$C95,'Student Groupings'!$H:$H=""Can't be Together""),"""");iferror(filter('Student Groupings'!$A:$A,'Student Groupings'!$E:$"&amp;"E=$C95,'Student Groupings'!$H:$H=""Can't be Together""),"""")})))"),"")</f>
        <v/>
      </c>
      <c r="AI95" s="185" t="str">
        <f>IFERROR(__xludf.DUMMYFUNCTION("if($C95="""","""",if(join("" - "",{iferror(filter('Student Groupings'!$A:$A,'Student Groupings'!$B:$B=$C95,'Student Groupings'!$H:$H=""Must be Together""),"""");iferror(filter('Student Groupings'!$A:$A,'Student Groupings'!$E:$E=$C95,'Student Groupings'!$H"&amp;":$H=""Must be Together""),"""")})="" - "","""",join("" - "",{iferror(filter('Student Groupings'!$A:$A,'Student Groupings'!$B:$B=$C95,'Student Groupings'!$H:$H=""Must be Together""),"""");iferror(filter('Student Groupings'!$A:$A,'Student Groupings'!$E:$E=$"&amp;"C95,'Student Groupings'!$H:$H=""Must be Together""),"""")})))"),"")</f>
        <v/>
      </c>
    </row>
    <row r="96">
      <c r="A96" s="167">
        <v>9.0</v>
      </c>
      <c r="B96" s="168">
        <v>29050.0</v>
      </c>
      <c r="C96" s="144" t="s">
        <v>248</v>
      </c>
      <c r="D96" s="180" t="s">
        <v>40</v>
      </c>
      <c r="E96" s="181">
        <v>1.0</v>
      </c>
      <c r="F96" s="186" t="s">
        <v>61</v>
      </c>
      <c r="G96" s="167">
        <v>8.0</v>
      </c>
      <c r="H96" s="182" t="s">
        <v>73</v>
      </c>
      <c r="I96" s="167">
        <v>3.0</v>
      </c>
      <c r="J96" s="187"/>
      <c r="K96" s="167"/>
      <c r="L96" s="184" t="s">
        <v>88</v>
      </c>
      <c r="M96" s="167">
        <v>2.0</v>
      </c>
      <c r="N96" s="184" t="s">
        <v>128</v>
      </c>
      <c r="O96" s="167">
        <v>4.0</v>
      </c>
      <c r="P96" s="184" t="s">
        <v>51</v>
      </c>
      <c r="Q96" s="167">
        <v>5.0</v>
      </c>
      <c r="R96" s="184" t="s">
        <v>124</v>
      </c>
      <c r="S96" s="167">
        <v>6.0</v>
      </c>
      <c r="T96" s="183"/>
      <c r="U96" s="167"/>
      <c r="V96" s="184" t="s">
        <v>30</v>
      </c>
      <c r="W96" s="167">
        <v>7.0</v>
      </c>
      <c r="X96" s="142">
        <v>1.0</v>
      </c>
      <c r="Y96" s="142">
        <v>1.0</v>
      </c>
      <c r="Z96" s="142">
        <v>1.0</v>
      </c>
      <c r="AA96" s="142">
        <v>1.0</v>
      </c>
      <c r="AB96" s="142">
        <v>1.0</v>
      </c>
      <c r="AC96" s="142">
        <v>1.0</v>
      </c>
      <c r="AD96" s="142">
        <v>1.0</v>
      </c>
      <c r="AE96" s="142">
        <v>1.0</v>
      </c>
      <c r="AF96" s="142">
        <v>8.0</v>
      </c>
      <c r="AG96" s="142">
        <v>0.0</v>
      </c>
      <c r="AH96" s="185" t="str">
        <f>IFERROR(__xludf.DUMMYFUNCTION("if($C96="""","""",if(join("" - "",{iferror(filter('Student Groupings'!$A:$A,'Student Groupings'!$B:$B=$C96,'Student Groupings'!$H:$H=""Can't be Together""),"""");iferror(filter('Student Groupings'!$A:$A,'Student Groupings'!$E:$E=$C96,'Student Groupings'!$"&amp;"H:$H=""Can't be Together""),"""")})="" - "","""",join("" - "",{iferror(filter('Student Groupings'!$A:$A,'Student Groupings'!$B:$B=$C96,'Student Groupings'!$H:$H=""Can't be Together""),"""");iferror(filter('Student Groupings'!$A:$A,'Student Groupings'!$E:$"&amp;"E=$C96,'Student Groupings'!$H:$H=""Can't be Together""),"""")})))")," - 63")</f>
        <v> - 63</v>
      </c>
      <c r="AI96" s="185" t="str">
        <f>IFERROR(__xludf.DUMMYFUNCTION("if($C96="""","""",if(join("" - "",{iferror(filter('Student Groupings'!$A:$A,'Student Groupings'!$B:$B=$C96,'Student Groupings'!$H:$H=""Must be Together""),"""");iferror(filter('Student Groupings'!$A:$A,'Student Groupings'!$E:$E=$C96,'Student Groupings'!$H"&amp;":$H=""Must be Together""),"""")})="" - "","""",join("" - "",{iferror(filter('Student Groupings'!$A:$A,'Student Groupings'!$B:$B=$C96,'Student Groupings'!$H:$H=""Must be Together""),"""");iferror(filter('Student Groupings'!$A:$A,'Student Groupings'!$E:$E=$"&amp;"C96,'Student Groupings'!$H:$H=""Must be Together""),"""")})))"),"")</f>
        <v/>
      </c>
    </row>
    <row r="97">
      <c r="A97" s="167">
        <v>9.0</v>
      </c>
      <c r="B97" s="168">
        <v>29068.0</v>
      </c>
      <c r="C97" s="144" t="s">
        <v>249</v>
      </c>
      <c r="D97" s="180" t="s">
        <v>40</v>
      </c>
      <c r="E97" s="181">
        <v>8.0</v>
      </c>
      <c r="F97" s="167" t="s">
        <v>61</v>
      </c>
      <c r="G97" s="167">
        <v>7.0</v>
      </c>
      <c r="H97" s="182" t="s">
        <v>73</v>
      </c>
      <c r="I97" s="167">
        <v>6.0</v>
      </c>
      <c r="J97" s="187"/>
      <c r="K97" s="167"/>
      <c r="L97" s="184" t="s">
        <v>88</v>
      </c>
      <c r="M97" s="167">
        <v>5.0</v>
      </c>
      <c r="N97" s="184" t="s">
        <v>128</v>
      </c>
      <c r="O97" s="167">
        <v>2.0</v>
      </c>
      <c r="P97" s="184" t="s">
        <v>51</v>
      </c>
      <c r="Q97" s="167">
        <v>3.0</v>
      </c>
      <c r="R97" s="184" t="s">
        <v>124</v>
      </c>
      <c r="S97" s="167">
        <v>1.0</v>
      </c>
      <c r="T97" s="187"/>
      <c r="U97" s="167"/>
      <c r="V97" s="184" t="s">
        <v>28</v>
      </c>
      <c r="W97" s="167">
        <v>4.0</v>
      </c>
      <c r="X97" s="142">
        <v>1.0</v>
      </c>
      <c r="Y97" s="142">
        <v>1.0</v>
      </c>
      <c r="Z97" s="142">
        <v>1.0</v>
      </c>
      <c r="AA97" s="142">
        <v>1.0</v>
      </c>
      <c r="AB97" s="142">
        <v>1.0</v>
      </c>
      <c r="AC97" s="142">
        <v>1.0</v>
      </c>
      <c r="AD97" s="142">
        <v>1.0</v>
      </c>
      <c r="AE97" s="142">
        <v>1.0</v>
      </c>
      <c r="AF97" s="142">
        <v>8.0</v>
      </c>
      <c r="AG97" s="142">
        <v>0.0</v>
      </c>
      <c r="AH97" s="185" t="str">
        <f>IFERROR(__xludf.DUMMYFUNCTION("if($C97="""","""",if(join("" - "",{iferror(filter('Student Groupings'!$A:$A,'Student Groupings'!$B:$B=$C97,'Student Groupings'!$H:$H=""Can't be Together""),"""");iferror(filter('Student Groupings'!$A:$A,'Student Groupings'!$E:$E=$C97,'Student Groupings'!$"&amp;"H:$H=""Can't be Together""),"""")})="" - "","""",join("" - "",{iferror(filter('Student Groupings'!$A:$A,'Student Groupings'!$B:$B=$C97,'Student Groupings'!$H:$H=""Can't be Together""),"""");iferror(filter('Student Groupings'!$A:$A,'Student Groupings'!$E:$"&amp;"E=$C97,'Student Groupings'!$H:$H=""Can't be Together""),"""")})))")," - 65")</f>
        <v> - 65</v>
      </c>
      <c r="AI97" s="185" t="str">
        <f>IFERROR(__xludf.DUMMYFUNCTION("if($C97="""","""",if(join("" - "",{iferror(filter('Student Groupings'!$A:$A,'Student Groupings'!$B:$B=$C97,'Student Groupings'!$H:$H=""Must be Together""),"""");iferror(filter('Student Groupings'!$A:$A,'Student Groupings'!$E:$E=$C97,'Student Groupings'!$H"&amp;":$H=""Must be Together""),"""")})="" - "","""",join("" - "",{iferror(filter('Student Groupings'!$A:$A,'Student Groupings'!$B:$B=$C97,'Student Groupings'!$H:$H=""Must be Together""),"""");iferror(filter('Student Groupings'!$A:$A,'Student Groupings'!$E:$E=$"&amp;"C97,'Student Groupings'!$H:$H=""Must be Together""),"""")})))"),"")</f>
        <v/>
      </c>
    </row>
    <row r="98">
      <c r="A98" s="167">
        <v>9.0</v>
      </c>
      <c r="B98" s="168">
        <v>29136.0</v>
      </c>
      <c r="C98" s="144" t="s">
        <v>250</v>
      </c>
      <c r="D98" s="180" t="s">
        <v>40</v>
      </c>
      <c r="E98" s="181">
        <v>8.0</v>
      </c>
      <c r="F98" s="167" t="s">
        <v>61</v>
      </c>
      <c r="G98" s="167">
        <v>7.0</v>
      </c>
      <c r="H98" s="182" t="s">
        <v>76</v>
      </c>
      <c r="I98" s="167">
        <v>2.0</v>
      </c>
      <c r="J98" s="187"/>
      <c r="K98" s="167"/>
      <c r="L98" s="184" t="s">
        <v>88</v>
      </c>
      <c r="M98" s="167">
        <v>3.0</v>
      </c>
      <c r="N98" s="184" t="s">
        <v>128</v>
      </c>
      <c r="O98" s="167">
        <v>1.0</v>
      </c>
      <c r="P98" s="184" t="s">
        <v>51</v>
      </c>
      <c r="Q98" s="167">
        <v>5.0</v>
      </c>
      <c r="R98" s="191" t="s">
        <v>122</v>
      </c>
      <c r="S98" s="167">
        <v>6.0</v>
      </c>
      <c r="T98" s="188"/>
      <c r="U98" s="189"/>
      <c r="V98" s="184" t="s">
        <v>24</v>
      </c>
      <c r="W98" s="167">
        <v>4.0</v>
      </c>
      <c r="X98" s="142">
        <v>1.0</v>
      </c>
      <c r="Y98" s="142">
        <v>1.0</v>
      </c>
      <c r="Z98" s="142">
        <v>1.0</v>
      </c>
      <c r="AA98" s="142">
        <v>1.0</v>
      </c>
      <c r="AB98" s="142">
        <v>1.0</v>
      </c>
      <c r="AC98" s="142">
        <v>1.0</v>
      </c>
      <c r="AD98" s="142">
        <v>1.0</v>
      </c>
      <c r="AE98" s="142">
        <v>1.0</v>
      </c>
      <c r="AF98" s="142">
        <v>8.0</v>
      </c>
      <c r="AG98" s="142">
        <v>0.0</v>
      </c>
      <c r="AH98" s="185" t="str">
        <f>IFERROR(__xludf.DUMMYFUNCTION("if($C98="""","""",if(join("" - "",{iferror(filter('Student Groupings'!$A:$A,'Student Groupings'!$B:$B=$C98,'Student Groupings'!$H:$H=""Can't be Together""),"""");iferror(filter('Student Groupings'!$A:$A,'Student Groupings'!$E:$E=$C98,'Student Groupings'!$"&amp;"H:$H=""Can't be Together""),"""")})="" - "","""",join("" - "",{iferror(filter('Student Groupings'!$A:$A,'Student Groupings'!$B:$B=$C98,'Student Groupings'!$H:$H=""Can't be Together""),"""");iferror(filter('Student Groupings'!$A:$A,'Student Groupings'!$E:$"&amp;"E=$C98,'Student Groupings'!$H:$H=""Can't be Together""),"""")})))"),"")</f>
        <v/>
      </c>
      <c r="AI98" s="185" t="str">
        <f>IFERROR(__xludf.DUMMYFUNCTION("if($C98="""","""",if(join("" - "",{iferror(filter('Student Groupings'!$A:$A,'Student Groupings'!$B:$B=$C98,'Student Groupings'!$H:$H=""Must be Together""),"""");iferror(filter('Student Groupings'!$A:$A,'Student Groupings'!$E:$E=$C98,'Student Groupings'!$H"&amp;":$H=""Must be Together""),"""")})="" - "","""",join("" - "",{iferror(filter('Student Groupings'!$A:$A,'Student Groupings'!$B:$B=$C98,'Student Groupings'!$H:$H=""Must be Together""),"""");iferror(filter('Student Groupings'!$A:$A,'Student Groupings'!$E:$E=$"&amp;"C98,'Student Groupings'!$H:$H=""Must be Together""),"""")})))"),"")</f>
        <v/>
      </c>
    </row>
    <row r="99">
      <c r="A99" s="167">
        <v>9.0</v>
      </c>
      <c r="B99" s="168">
        <v>28160.0</v>
      </c>
      <c r="C99" s="144" t="s">
        <v>251</v>
      </c>
      <c r="D99" s="180" t="s">
        <v>40</v>
      </c>
      <c r="E99" s="181">
        <v>5.0</v>
      </c>
      <c r="F99" s="167" t="s">
        <v>61</v>
      </c>
      <c r="G99" s="167">
        <v>3.0</v>
      </c>
      <c r="H99" s="182" t="s">
        <v>73</v>
      </c>
      <c r="I99" s="167">
        <v>6.0</v>
      </c>
      <c r="J99" s="187"/>
      <c r="K99" s="167"/>
      <c r="L99" s="184" t="s">
        <v>88</v>
      </c>
      <c r="M99" s="167">
        <v>1.0</v>
      </c>
      <c r="N99" s="184" t="s">
        <v>128</v>
      </c>
      <c r="O99" s="167">
        <v>4.0</v>
      </c>
      <c r="P99" s="184" t="s">
        <v>51</v>
      </c>
      <c r="Q99" s="167">
        <v>8.0</v>
      </c>
      <c r="R99" s="184" t="s">
        <v>124</v>
      </c>
      <c r="S99" s="167">
        <v>2.0</v>
      </c>
      <c r="T99" s="183"/>
      <c r="U99" s="167"/>
      <c r="V99" s="184" t="s">
        <v>24</v>
      </c>
      <c r="W99" s="167">
        <v>7.0</v>
      </c>
      <c r="X99" s="142">
        <v>1.0</v>
      </c>
      <c r="Y99" s="142">
        <v>1.0</v>
      </c>
      <c r="Z99" s="142">
        <v>1.0</v>
      </c>
      <c r="AA99" s="142">
        <v>1.0</v>
      </c>
      <c r="AB99" s="142">
        <v>1.0</v>
      </c>
      <c r="AC99" s="142">
        <v>1.0</v>
      </c>
      <c r="AD99" s="142">
        <v>1.0</v>
      </c>
      <c r="AE99" s="142">
        <v>1.0</v>
      </c>
      <c r="AF99" s="142">
        <v>8.0</v>
      </c>
      <c r="AG99" s="142">
        <v>0.0</v>
      </c>
      <c r="AH99" s="185" t="str">
        <f>IFERROR(__xludf.DUMMYFUNCTION("if($C99="""","""",if(join("" - "",{iferror(filter('Student Groupings'!$A:$A,'Student Groupings'!$B:$B=$C99,'Student Groupings'!$H:$H=""Can't be Together""),"""");iferror(filter('Student Groupings'!$A:$A,'Student Groupings'!$E:$E=$C99,'Student Groupings'!$"&amp;"H:$H=""Can't be Together""),"""")})="" - "","""",join("" - "",{iferror(filter('Student Groupings'!$A:$A,'Student Groupings'!$B:$B=$C99,'Student Groupings'!$H:$H=""Can't be Together""),"""");iferror(filter('Student Groupings'!$A:$A,'Student Groupings'!$E:$"&amp;"E=$C99,'Student Groupings'!$H:$H=""Can't be Together""),"""")})))"),"")</f>
        <v/>
      </c>
      <c r="AI99" s="185" t="str">
        <f>IFERROR(__xludf.DUMMYFUNCTION("if($C99="""","""",if(join("" - "",{iferror(filter('Student Groupings'!$A:$A,'Student Groupings'!$B:$B=$C99,'Student Groupings'!$H:$H=""Must be Together""),"""");iferror(filter('Student Groupings'!$A:$A,'Student Groupings'!$E:$E=$C99,'Student Groupings'!$H"&amp;":$H=""Must be Together""),"""")})="" - "","""",join("" - "",{iferror(filter('Student Groupings'!$A:$A,'Student Groupings'!$B:$B=$C99,'Student Groupings'!$H:$H=""Must be Together""),"""");iferror(filter('Student Groupings'!$A:$A,'Student Groupings'!$E:$E=$"&amp;"C99,'Student Groupings'!$H:$H=""Must be Together""),"""")})))"),"")</f>
        <v/>
      </c>
    </row>
    <row r="100">
      <c r="A100" s="167">
        <v>9.0</v>
      </c>
      <c r="B100" s="168">
        <v>28046.0</v>
      </c>
      <c r="C100" s="144" t="s">
        <v>252</v>
      </c>
      <c r="D100" s="180" t="s">
        <v>40</v>
      </c>
      <c r="E100" s="181">
        <v>2.0</v>
      </c>
      <c r="F100" s="167" t="s">
        <v>61</v>
      </c>
      <c r="G100" s="167">
        <v>1.0</v>
      </c>
      <c r="H100" s="182" t="s">
        <v>73</v>
      </c>
      <c r="I100" s="180">
        <v>7.0</v>
      </c>
      <c r="J100" s="187"/>
      <c r="K100" s="167"/>
      <c r="L100" s="184" t="s">
        <v>88</v>
      </c>
      <c r="M100" s="167">
        <v>4.0</v>
      </c>
      <c r="N100" s="184" t="s">
        <v>128</v>
      </c>
      <c r="O100" s="167">
        <v>8.0</v>
      </c>
      <c r="P100" s="184" t="s">
        <v>51</v>
      </c>
      <c r="Q100" s="167">
        <v>5.0</v>
      </c>
      <c r="R100" s="191" t="s">
        <v>122</v>
      </c>
      <c r="S100" s="167">
        <v>6.0</v>
      </c>
      <c r="T100" s="188"/>
      <c r="U100" s="189"/>
      <c r="V100" s="184" t="s">
        <v>24</v>
      </c>
      <c r="W100" s="167">
        <v>3.0</v>
      </c>
      <c r="X100" s="142">
        <v>1.0</v>
      </c>
      <c r="Y100" s="142">
        <v>1.0</v>
      </c>
      <c r="Z100" s="142">
        <v>1.0</v>
      </c>
      <c r="AA100" s="142">
        <v>1.0</v>
      </c>
      <c r="AB100" s="142">
        <v>1.0</v>
      </c>
      <c r="AC100" s="142">
        <v>1.0</v>
      </c>
      <c r="AD100" s="142">
        <v>1.0</v>
      </c>
      <c r="AE100" s="142">
        <v>1.0</v>
      </c>
      <c r="AF100" s="142">
        <v>8.0</v>
      </c>
      <c r="AG100" s="142">
        <v>0.0</v>
      </c>
      <c r="AH100" s="185" t="str">
        <f>IFERROR(__xludf.DUMMYFUNCTION("if($C100="""","""",if(join("" - "",{iferror(filter('Student Groupings'!$A:$A,'Student Groupings'!$B:$B=$C100,'Student Groupings'!$H:$H=""Can't be Together""),"""");iferror(filter('Student Groupings'!$A:$A,'Student Groupings'!$E:$E=$C100,'Student Groupings"&amp;"'!$H:$H=""Can't be Together""),"""")})="" - "","""",join("" - "",{iferror(filter('Student Groupings'!$A:$A,'Student Groupings'!$B:$B=$C100,'Student Groupings'!$H:$H=""Can't be Together""),"""");iferror(filter('Student Groupings'!$A:$A,'Student Groupings'!"&amp;"$E:$E=$C100,'Student Groupings'!$H:$H=""Can't be Together""),"""")})))"),"")</f>
        <v/>
      </c>
      <c r="AI100" s="185" t="str">
        <f>IFERROR(__xludf.DUMMYFUNCTION("if($C100="""","""",if(join("" - "",{iferror(filter('Student Groupings'!$A:$A,'Student Groupings'!$B:$B=$C100,'Student Groupings'!$H:$H=""Must be Together""),"""");iferror(filter('Student Groupings'!$A:$A,'Student Groupings'!$E:$E=$C100,'Student Groupings'"&amp;"!$H:$H=""Must be Together""),"""")})="" - "","""",join("" - "",{iferror(filter('Student Groupings'!$A:$A,'Student Groupings'!$B:$B=$C100,'Student Groupings'!$H:$H=""Must be Together""),"""");iferror(filter('Student Groupings'!$A:$A,'Student Groupings'!$E:"&amp;"$E=$C100,'Student Groupings'!$H:$H=""Must be Together""),"""")})))"),"")</f>
        <v/>
      </c>
    </row>
    <row r="101">
      <c r="A101" s="167">
        <v>9.0</v>
      </c>
      <c r="B101" s="168">
        <v>29039.0</v>
      </c>
      <c r="C101" s="144" t="s">
        <v>253</v>
      </c>
      <c r="D101" s="180" t="s">
        <v>40</v>
      </c>
      <c r="E101" s="181">
        <v>5.0</v>
      </c>
      <c r="F101" s="167" t="s">
        <v>61</v>
      </c>
      <c r="G101" s="167">
        <v>7.0</v>
      </c>
      <c r="H101" s="182" t="s">
        <v>73</v>
      </c>
      <c r="I101" s="167">
        <v>6.0</v>
      </c>
      <c r="J101" s="187"/>
      <c r="K101" s="167"/>
      <c r="L101" s="184" t="s">
        <v>88</v>
      </c>
      <c r="M101" s="167">
        <v>3.0</v>
      </c>
      <c r="N101" s="184" t="s">
        <v>128</v>
      </c>
      <c r="O101" s="167">
        <v>8.0</v>
      </c>
      <c r="P101" s="184" t="s">
        <v>51</v>
      </c>
      <c r="Q101" s="167">
        <v>2.0</v>
      </c>
      <c r="R101" s="184" t="s">
        <v>124</v>
      </c>
      <c r="S101" s="167">
        <v>1.0</v>
      </c>
      <c r="T101" s="188"/>
      <c r="U101" s="167"/>
      <c r="V101" s="184" t="s">
        <v>28</v>
      </c>
      <c r="W101" s="167">
        <v>4.0</v>
      </c>
      <c r="X101" s="142">
        <v>1.0</v>
      </c>
      <c r="Y101" s="142">
        <v>1.0</v>
      </c>
      <c r="Z101" s="142">
        <v>1.0</v>
      </c>
      <c r="AA101" s="142">
        <v>1.0</v>
      </c>
      <c r="AB101" s="142">
        <v>1.0</v>
      </c>
      <c r="AC101" s="142">
        <v>1.0</v>
      </c>
      <c r="AD101" s="142">
        <v>1.0</v>
      </c>
      <c r="AE101" s="142">
        <v>1.0</v>
      </c>
      <c r="AF101" s="142">
        <v>8.0</v>
      </c>
      <c r="AG101" s="142">
        <v>0.0</v>
      </c>
      <c r="AH101" s="185" t="str">
        <f>IFERROR(__xludf.DUMMYFUNCTION("if($C101="""","""",if(join("" - "",{iferror(filter('Student Groupings'!$A:$A,'Student Groupings'!$B:$B=$C101,'Student Groupings'!$H:$H=""Can't be Together""),"""");iferror(filter('Student Groupings'!$A:$A,'Student Groupings'!$E:$E=$C101,'Student Groupings"&amp;"'!$H:$H=""Can't be Together""),"""")})="" - "","""",join("" - "",{iferror(filter('Student Groupings'!$A:$A,'Student Groupings'!$B:$B=$C101,'Student Groupings'!$H:$H=""Can't be Together""),"""");iferror(filter('Student Groupings'!$A:$A,'Student Groupings'!"&amp;"$E:$E=$C101,'Student Groupings'!$H:$H=""Can't be Together""),"""")})))"),"")</f>
        <v/>
      </c>
      <c r="AI101" s="185" t="str">
        <f>IFERROR(__xludf.DUMMYFUNCTION("if($C101="""","""",if(join("" - "",{iferror(filter('Student Groupings'!$A:$A,'Student Groupings'!$B:$B=$C101,'Student Groupings'!$H:$H=""Must be Together""),"""");iferror(filter('Student Groupings'!$A:$A,'Student Groupings'!$E:$E=$C101,'Student Groupings'"&amp;"!$H:$H=""Must be Together""),"""")})="" - "","""",join("" - "",{iferror(filter('Student Groupings'!$A:$A,'Student Groupings'!$B:$B=$C101,'Student Groupings'!$H:$H=""Must be Together""),"""");iferror(filter('Student Groupings'!$A:$A,'Student Groupings'!$E:"&amp;"$E=$C101,'Student Groupings'!$H:$H=""Must be Together""),"""")})))")," - 52")</f>
        <v> - 52</v>
      </c>
    </row>
    <row r="102">
      <c r="A102" s="167">
        <v>9.0</v>
      </c>
      <c r="B102" s="168">
        <v>29116.0</v>
      </c>
      <c r="C102" s="144" t="s">
        <v>254</v>
      </c>
      <c r="D102" s="180" t="s">
        <v>40</v>
      </c>
      <c r="E102" s="181">
        <v>5.0</v>
      </c>
      <c r="F102" s="167" t="s">
        <v>61</v>
      </c>
      <c r="G102" s="167">
        <v>4.0</v>
      </c>
      <c r="H102" s="182" t="s">
        <v>73</v>
      </c>
      <c r="I102" s="167">
        <v>3.0</v>
      </c>
      <c r="J102" s="187"/>
      <c r="K102" s="167"/>
      <c r="L102" s="184" t="s">
        <v>88</v>
      </c>
      <c r="M102" s="167">
        <v>2.0</v>
      </c>
      <c r="N102" s="184" t="s">
        <v>128</v>
      </c>
      <c r="O102" s="167">
        <v>1.0</v>
      </c>
      <c r="P102" s="184" t="s">
        <v>51</v>
      </c>
      <c r="Q102" s="167">
        <v>8.0</v>
      </c>
      <c r="R102" s="184" t="s">
        <v>124</v>
      </c>
      <c r="S102" s="167">
        <v>6.0</v>
      </c>
      <c r="T102" s="183"/>
      <c r="U102" s="167"/>
      <c r="V102" s="184" t="s">
        <v>24</v>
      </c>
      <c r="W102" s="167">
        <v>7.0</v>
      </c>
      <c r="X102" s="142">
        <v>1.0</v>
      </c>
      <c r="Y102" s="142">
        <v>1.0</v>
      </c>
      <c r="Z102" s="142">
        <v>1.0</v>
      </c>
      <c r="AA102" s="142">
        <v>1.0</v>
      </c>
      <c r="AB102" s="142">
        <v>1.0</v>
      </c>
      <c r="AC102" s="142">
        <v>1.0</v>
      </c>
      <c r="AD102" s="142">
        <v>1.0</v>
      </c>
      <c r="AE102" s="142">
        <v>1.0</v>
      </c>
      <c r="AF102" s="142">
        <v>8.0</v>
      </c>
      <c r="AG102" s="142">
        <v>0.0</v>
      </c>
      <c r="AH102" s="185" t="str">
        <f>IFERROR(__xludf.DUMMYFUNCTION("if($C102="""","""",if(join("" - "",{iferror(filter('Student Groupings'!$A:$A,'Student Groupings'!$B:$B=$C102,'Student Groupings'!$H:$H=""Can't be Together""),"""");iferror(filter('Student Groupings'!$A:$A,'Student Groupings'!$E:$E=$C102,'Student Groupings"&amp;"'!$H:$H=""Can't be Together""),"""")})="" - "","""",join("" - "",{iferror(filter('Student Groupings'!$A:$A,'Student Groupings'!$B:$B=$C102,'Student Groupings'!$H:$H=""Can't be Together""),"""");iferror(filter('Student Groupings'!$A:$A,'Student Groupings'!"&amp;"$E:$E=$C102,'Student Groupings'!$H:$H=""Can't be Together""),"""")})))"),"")</f>
        <v/>
      </c>
      <c r="AI102" s="185" t="str">
        <f>IFERROR(__xludf.DUMMYFUNCTION("if($C102="""","""",if(join("" - "",{iferror(filter('Student Groupings'!$A:$A,'Student Groupings'!$B:$B=$C102,'Student Groupings'!$H:$H=""Must be Together""),"""");iferror(filter('Student Groupings'!$A:$A,'Student Groupings'!$E:$E=$C102,'Student Groupings'"&amp;"!$H:$H=""Must be Together""),"""")})="" - "","""",join("" - "",{iferror(filter('Student Groupings'!$A:$A,'Student Groupings'!$B:$B=$C102,'Student Groupings'!$H:$H=""Must be Together""),"""");iferror(filter('Student Groupings'!$A:$A,'Student Groupings'!$E:"&amp;"$E=$C102,'Student Groupings'!$H:$H=""Must be Together""),"""")})))"),"")</f>
        <v/>
      </c>
    </row>
    <row r="103">
      <c r="A103" s="167">
        <v>9.0</v>
      </c>
      <c r="B103" s="168">
        <v>29137.0</v>
      </c>
      <c r="C103" s="197" t="s">
        <v>255</v>
      </c>
      <c r="D103" s="180" t="s">
        <v>40</v>
      </c>
      <c r="E103" s="181">
        <v>2.0</v>
      </c>
      <c r="F103" s="167" t="s">
        <v>61</v>
      </c>
      <c r="G103" s="180">
        <v>1.0</v>
      </c>
      <c r="H103" s="182" t="s">
        <v>73</v>
      </c>
      <c r="I103" s="167">
        <v>4.0</v>
      </c>
      <c r="J103" s="187"/>
      <c r="K103" s="167"/>
      <c r="L103" s="184" t="s">
        <v>88</v>
      </c>
      <c r="M103" s="180">
        <v>7.0</v>
      </c>
      <c r="N103" s="184" t="s">
        <v>128</v>
      </c>
      <c r="O103" s="167">
        <v>8.0</v>
      </c>
      <c r="P103" s="184" t="s">
        <v>51</v>
      </c>
      <c r="Q103" s="167">
        <v>5.0</v>
      </c>
      <c r="R103" s="191" t="s">
        <v>122</v>
      </c>
      <c r="S103" s="167">
        <v>6.0</v>
      </c>
      <c r="T103" s="188"/>
      <c r="U103" s="189"/>
      <c r="V103" s="184" t="s">
        <v>24</v>
      </c>
      <c r="W103" s="180">
        <v>3.0</v>
      </c>
      <c r="X103" s="142">
        <v>1.0</v>
      </c>
      <c r="Y103" s="142">
        <v>1.0</v>
      </c>
      <c r="Z103" s="142">
        <v>1.0</v>
      </c>
      <c r="AA103" s="142">
        <v>1.0</v>
      </c>
      <c r="AB103" s="142">
        <v>1.0</v>
      </c>
      <c r="AC103" s="142">
        <v>1.0</v>
      </c>
      <c r="AD103" s="142">
        <v>1.0</v>
      </c>
      <c r="AE103" s="142">
        <v>1.0</v>
      </c>
      <c r="AF103" s="142">
        <v>8.0</v>
      </c>
      <c r="AG103" s="142">
        <v>0.0</v>
      </c>
      <c r="AH103" s="185" t="str">
        <f>IFERROR(__xludf.DUMMYFUNCTION("if($C103="""","""",if(join("" - "",{iferror(filter('Student Groupings'!$A:$A,'Student Groupings'!$B:$B=$C103,'Student Groupings'!$H:$H=""Can't be Together""),"""");iferror(filter('Student Groupings'!$A:$A,'Student Groupings'!$E:$E=$C103,'Student Groupings"&amp;"'!$H:$H=""Can't be Together""),"""")})="" - "","""",join("" - "",{iferror(filter('Student Groupings'!$A:$A,'Student Groupings'!$B:$B=$C103,'Student Groupings'!$H:$H=""Can't be Together""),"""");iferror(filter('Student Groupings'!$A:$A,'Student Groupings'!"&amp;"$E:$E=$C103,'Student Groupings'!$H:$H=""Can't be Together""),"""")})))"),"")</f>
        <v/>
      </c>
      <c r="AI103" s="185" t="str">
        <f>IFERROR(__xludf.DUMMYFUNCTION("if($C103="""","""",if(join("" - "",{iferror(filter('Student Groupings'!$A:$A,'Student Groupings'!$B:$B=$C103,'Student Groupings'!$H:$H=""Must be Together""),"""");iferror(filter('Student Groupings'!$A:$A,'Student Groupings'!$E:$E=$C103,'Student Groupings'"&amp;"!$H:$H=""Must be Together""),"""")})="" - "","""",join("" - "",{iferror(filter('Student Groupings'!$A:$A,'Student Groupings'!$B:$B=$C103,'Student Groupings'!$H:$H=""Must be Together""),"""");iferror(filter('Student Groupings'!$A:$A,'Student Groupings'!$E:"&amp;"$E=$C103,'Student Groupings'!$H:$H=""Must be Together""),"""")})))"),"")</f>
        <v/>
      </c>
    </row>
    <row r="104">
      <c r="A104" s="167">
        <v>9.0</v>
      </c>
      <c r="B104" s="168">
        <v>29172.0</v>
      </c>
      <c r="C104" s="197" t="s">
        <v>256</v>
      </c>
      <c r="D104" s="180" t="s">
        <v>40</v>
      </c>
      <c r="E104" s="181">
        <v>7.0</v>
      </c>
      <c r="F104" s="167" t="s">
        <v>61</v>
      </c>
      <c r="G104" s="167">
        <v>8.0</v>
      </c>
      <c r="H104" s="182" t="s">
        <v>73</v>
      </c>
      <c r="I104" s="167">
        <v>6.0</v>
      </c>
      <c r="J104" s="187"/>
      <c r="K104" s="167"/>
      <c r="L104" s="184" t="s">
        <v>88</v>
      </c>
      <c r="M104" s="167">
        <v>4.0</v>
      </c>
      <c r="N104" s="184" t="s">
        <v>128</v>
      </c>
      <c r="O104" s="167">
        <v>1.0</v>
      </c>
      <c r="P104" s="184" t="s">
        <v>51</v>
      </c>
      <c r="Q104" s="167">
        <v>2.0</v>
      </c>
      <c r="R104" s="184" t="s">
        <v>124</v>
      </c>
      <c r="S104" s="167">
        <v>5.0</v>
      </c>
      <c r="T104" s="183"/>
      <c r="U104" s="167"/>
      <c r="V104" s="184" t="s">
        <v>24</v>
      </c>
      <c r="W104" s="180">
        <v>3.0</v>
      </c>
      <c r="X104" s="142">
        <v>1.0</v>
      </c>
      <c r="Y104" s="142">
        <v>1.0</v>
      </c>
      <c r="Z104" s="142">
        <v>1.0</v>
      </c>
      <c r="AA104" s="142">
        <v>1.0</v>
      </c>
      <c r="AB104" s="142">
        <v>1.0</v>
      </c>
      <c r="AC104" s="142">
        <v>1.0</v>
      </c>
      <c r="AD104" s="142">
        <v>1.0</v>
      </c>
      <c r="AE104" s="142">
        <v>1.0</v>
      </c>
      <c r="AF104" s="142">
        <v>8.0</v>
      </c>
      <c r="AG104" s="142">
        <v>0.0</v>
      </c>
      <c r="AH104" s="185" t="str">
        <f>IFERROR(__xludf.DUMMYFUNCTION("if($C104="""","""",if(join("" - "",{iferror(filter('Student Groupings'!$A:$A,'Student Groupings'!$B:$B=$C104,'Student Groupings'!$H:$H=""Can't be Together""),"""");iferror(filter('Student Groupings'!$A:$A,'Student Groupings'!$E:$E=$C104,'Student Groupings"&amp;"'!$H:$H=""Can't be Together""),"""")})="" - "","""",join("" - "",{iferror(filter('Student Groupings'!$A:$A,'Student Groupings'!$B:$B=$C104,'Student Groupings'!$H:$H=""Can't be Together""),"""");iferror(filter('Student Groupings'!$A:$A,'Student Groupings'!"&amp;"$E:$E=$C104,'Student Groupings'!$H:$H=""Can't be Together""),"""")})))"),"")</f>
        <v/>
      </c>
      <c r="AI104" s="185" t="str">
        <f>IFERROR(__xludf.DUMMYFUNCTION("if($C104="""","""",if(join("" - "",{iferror(filter('Student Groupings'!$A:$A,'Student Groupings'!$B:$B=$C104,'Student Groupings'!$H:$H=""Must be Together""),"""");iferror(filter('Student Groupings'!$A:$A,'Student Groupings'!$E:$E=$C104,'Student Groupings'"&amp;"!$H:$H=""Must be Together""),"""")})="" - "","""",join("" - "",{iferror(filter('Student Groupings'!$A:$A,'Student Groupings'!$B:$B=$C104,'Student Groupings'!$H:$H=""Must be Together""),"""");iferror(filter('Student Groupings'!$A:$A,'Student Groupings'!$E:"&amp;"$E=$C104,'Student Groupings'!$H:$H=""Must be Together""),"""")})))"),"69 - ")</f>
        <v>69 - </v>
      </c>
    </row>
    <row r="105">
      <c r="A105" s="167">
        <v>9.0</v>
      </c>
      <c r="B105" s="168">
        <v>29020.0</v>
      </c>
      <c r="C105" s="197" t="s">
        <v>257</v>
      </c>
      <c r="D105" s="180" t="s">
        <v>40</v>
      </c>
      <c r="E105" s="181">
        <v>8.0</v>
      </c>
      <c r="F105" s="167" t="s">
        <v>61</v>
      </c>
      <c r="G105" s="167">
        <v>5.0</v>
      </c>
      <c r="H105" s="182" t="s">
        <v>73</v>
      </c>
      <c r="I105" s="167">
        <v>3.0</v>
      </c>
      <c r="J105" s="187"/>
      <c r="K105" s="167"/>
      <c r="L105" s="184" t="s">
        <v>88</v>
      </c>
      <c r="M105" s="167">
        <v>2.0</v>
      </c>
      <c r="N105" s="184" t="s">
        <v>128</v>
      </c>
      <c r="O105" s="167">
        <v>4.0</v>
      </c>
      <c r="P105" s="184" t="s">
        <v>51</v>
      </c>
      <c r="Q105" s="167">
        <v>7.0</v>
      </c>
      <c r="R105" s="184" t="s">
        <v>120</v>
      </c>
      <c r="S105" s="167">
        <v>1.0</v>
      </c>
      <c r="T105" s="188"/>
      <c r="U105" s="189"/>
      <c r="V105" s="184" t="s">
        <v>23</v>
      </c>
      <c r="W105" s="167">
        <v>6.0</v>
      </c>
      <c r="X105" s="142">
        <v>1.0</v>
      </c>
      <c r="Y105" s="142">
        <v>1.0</v>
      </c>
      <c r="Z105" s="142">
        <v>1.0</v>
      </c>
      <c r="AA105" s="142">
        <v>1.0</v>
      </c>
      <c r="AB105" s="142">
        <v>1.0</v>
      </c>
      <c r="AC105" s="142">
        <v>1.0</v>
      </c>
      <c r="AD105" s="142">
        <v>1.0</v>
      </c>
      <c r="AE105" s="142">
        <v>1.0</v>
      </c>
      <c r="AF105" s="142">
        <v>8.0</v>
      </c>
      <c r="AG105" s="142">
        <v>0.0</v>
      </c>
      <c r="AH105" s="185" t="str">
        <f>IFERROR(__xludf.DUMMYFUNCTION("if($C105="""","""",if(join("" - "",{iferror(filter('Student Groupings'!$A:$A,'Student Groupings'!$B:$B=$C105,'Student Groupings'!$H:$H=""Can't be Together""),"""");iferror(filter('Student Groupings'!$A:$A,'Student Groupings'!$E:$E=$C105,'Student Groupings"&amp;"'!$H:$H=""Can't be Together""),"""")})="" - "","""",join("" - "",{iferror(filter('Student Groupings'!$A:$A,'Student Groupings'!$B:$B=$C105,'Student Groupings'!$H:$H=""Can't be Together""),"""");iferror(filter('Student Groupings'!$A:$A,'Student Groupings'!"&amp;"$E:$E=$C105,'Student Groupings'!$H:$H=""Can't be Together""),"""")})))"),"105 - 104")</f>
        <v>105 - 104</v>
      </c>
      <c r="AI105" s="185" t="str">
        <f>IFERROR(__xludf.DUMMYFUNCTION("if($C105="""","""",if(join("" - "",{iferror(filter('Student Groupings'!$A:$A,'Student Groupings'!$B:$B=$C105,'Student Groupings'!$H:$H=""Must be Together""),"""");iferror(filter('Student Groupings'!$A:$A,'Student Groupings'!$E:$E=$C105,'Student Groupings'"&amp;"!$H:$H=""Must be Together""),"""")})="" - "","""",join("" - "",{iferror(filter('Student Groupings'!$A:$A,'Student Groupings'!$B:$B=$C105,'Student Groupings'!$H:$H=""Must be Together""),"""");iferror(filter('Student Groupings'!$A:$A,'Student Groupings'!$E:"&amp;"$E=$C105,'Student Groupings'!$H:$H=""Must be Together""),"""")})))"),"124 - 125 - ")</f>
        <v>124 - 125 - </v>
      </c>
    </row>
    <row r="106">
      <c r="A106" s="167">
        <v>9.0</v>
      </c>
      <c r="B106" s="168">
        <v>29069.0</v>
      </c>
      <c r="C106" s="197" t="s">
        <v>258</v>
      </c>
      <c r="D106" s="180" t="s">
        <v>40</v>
      </c>
      <c r="E106" s="181">
        <v>7.0</v>
      </c>
      <c r="F106" s="167" t="s">
        <v>61</v>
      </c>
      <c r="G106" s="167">
        <v>8.0</v>
      </c>
      <c r="H106" s="182" t="s">
        <v>76</v>
      </c>
      <c r="I106" s="167">
        <v>1.0</v>
      </c>
      <c r="J106" s="183"/>
      <c r="K106" s="167"/>
      <c r="L106" s="184" t="s">
        <v>88</v>
      </c>
      <c r="M106" s="167">
        <v>2.0</v>
      </c>
      <c r="N106" s="184" t="s">
        <v>128</v>
      </c>
      <c r="O106" s="167">
        <v>6.0</v>
      </c>
      <c r="P106" s="184" t="s">
        <v>51</v>
      </c>
      <c r="Q106" s="167">
        <v>4.0</v>
      </c>
      <c r="R106" s="184" t="s">
        <v>120</v>
      </c>
      <c r="S106" s="167">
        <v>3.0</v>
      </c>
      <c r="T106" s="188"/>
      <c r="U106" s="167"/>
      <c r="V106" s="184" t="s">
        <v>30</v>
      </c>
      <c r="W106" s="167">
        <v>5.0</v>
      </c>
      <c r="X106" s="142">
        <v>1.0</v>
      </c>
      <c r="Y106" s="142">
        <v>1.0</v>
      </c>
      <c r="Z106" s="142">
        <v>1.0</v>
      </c>
      <c r="AA106" s="142">
        <v>1.0</v>
      </c>
      <c r="AB106" s="142">
        <v>1.0</v>
      </c>
      <c r="AC106" s="142">
        <v>1.0</v>
      </c>
      <c r="AD106" s="142">
        <v>1.0</v>
      </c>
      <c r="AE106" s="142">
        <v>1.0</v>
      </c>
      <c r="AF106" s="142">
        <v>8.0</v>
      </c>
      <c r="AG106" s="142">
        <v>0.0</v>
      </c>
      <c r="AH106" s="185" t="str">
        <f>IFERROR(__xludf.DUMMYFUNCTION("if($C106="""","""",if(join("" - "",{iferror(filter('Student Groupings'!$A:$A,'Student Groupings'!$B:$B=$C106,'Student Groupings'!$H:$H=""Can't be Together""),"""");iferror(filter('Student Groupings'!$A:$A,'Student Groupings'!$E:$E=$C106,'Student Groupings"&amp;"'!$H:$H=""Can't be Together""),"""")})="" - "","""",join("" - "",{iferror(filter('Student Groupings'!$A:$A,'Student Groupings'!$B:$B=$C106,'Student Groupings'!$H:$H=""Can't be Together""),"""");iferror(filter('Student Groupings'!$A:$A,'Student Groupings'!"&amp;"$E:$E=$C106,'Student Groupings'!$H:$H=""Can't be Together""),"""")})))"),"68 - ")</f>
        <v>68 - </v>
      </c>
      <c r="AI106" s="185" t="str">
        <f>IFERROR(__xludf.DUMMYFUNCTION("if($C106="""","""",if(join("" - "",{iferror(filter('Student Groupings'!$A:$A,'Student Groupings'!$B:$B=$C106,'Student Groupings'!$H:$H=""Must be Together""),"""");iferror(filter('Student Groupings'!$A:$A,'Student Groupings'!$E:$E=$C106,'Student Groupings'"&amp;"!$H:$H=""Must be Together""),"""")})="" - "","""",join("" - "",{iferror(filter('Student Groupings'!$A:$A,'Student Groupings'!$B:$B=$C106,'Student Groupings'!$H:$H=""Must be Together""),"""");iferror(filter('Student Groupings'!$A:$A,'Student Groupings'!$E:"&amp;"$E=$C106,'Student Groupings'!$H:$H=""Must be Together""),"""")})))")," - 57")</f>
        <v> - 57</v>
      </c>
    </row>
    <row r="107">
      <c r="A107" s="167">
        <v>9.0</v>
      </c>
      <c r="B107" s="168">
        <v>29160.0</v>
      </c>
      <c r="C107" s="197" t="s">
        <v>259</v>
      </c>
      <c r="D107" s="180" t="s">
        <v>40</v>
      </c>
      <c r="E107" s="181">
        <v>8.0</v>
      </c>
      <c r="F107" s="167" t="s">
        <v>61</v>
      </c>
      <c r="G107" s="167">
        <v>4.0</v>
      </c>
      <c r="H107" s="182" t="s">
        <v>73</v>
      </c>
      <c r="I107" s="167">
        <v>7.0</v>
      </c>
      <c r="J107" s="187"/>
      <c r="K107" s="167"/>
      <c r="L107" s="184" t="s">
        <v>88</v>
      </c>
      <c r="M107" s="167">
        <v>6.0</v>
      </c>
      <c r="N107" s="184" t="s">
        <v>128</v>
      </c>
      <c r="O107" s="167">
        <v>2.0</v>
      </c>
      <c r="P107" s="184" t="s">
        <v>51</v>
      </c>
      <c r="Q107" s="167">
        <v>5.0</v>
      </c>
      <c r="R107" s="184" t="s">
        <v>120</v>
      </c>
      <c r="S107" s="167">
        <v>1.0</v>
      </c>
      <c r="T107" s="187"/>
      <c r="U107" s="167"/>
      <c r="V107" s="184" t="s">
        <v>27</v>
      </c>
      <c r="W107" s="167">
        <v>3.0</v>
      </c>
      <c r="X107" s="142">
        <v>1.0</v>
      </c>
      <c r="Y107" s="142">
        <v>1.0</v>
      </c>
      <c r="Z107" s="142">
        <v>1.0</v>
      </c>
      <c r="AA107" s="142">
        <v>1.0</v>
      </c>
      <c r="AB107" s="142">
        <v>1.0</v>
      </c>
      <c r="AC107" s="142">
        <v>1.0</v>
      </c>
      <c r="AD107" s="142">
        <v>1.0</v>
      </c>
      <c r="AE107" s="142">
        <v>1.0</v>
      </c>
      <c r="AF107" s="142">
        <v>8.0</v>
      </c>
      <c r="AG107" s="142">
        <v>0.0</v>
      </c>
      <c r="AH107" s="185" t="str">
        <f>IFERROR(__xludf.DUMMYFUNCTION("if($C107="""","""",if(join("" - "",{iferror(filter('Student Groupings'!$A:$A,'Student Groupings'!$B:$B=$C107,'Student Groupings'!$H:$H=""Can't be Together""),"""");iferror(filter('Student Groupings'!$A:$A,'Student Groupings'!$E:$E=$C107,'Student Groupings"&amp;"'!$H:$H=""Can't be Together""),"""")})="" - "","""",join("" - "",{iferror(filter('Student Groupings'!$A:$A,'Student Groupings'!$B:$B=$C107,'Student Groupings'!$H:$H=""Can't be Together""),"""");iferror(filter('Student Groupings'!$A:$A,'Student Groupings'!"&amp;"$E:$E=$C107,'Student Groupings'!$H:$H=""Can't be Together""),"""")})))"),"")</f>
        <v/>
      </c>
      <c r="AI107" s="185" t="str">
        <f>IFERROR(__xludf.DUMMYFUNCTION("if($C107="""","""",if(join("" - "",{iferror(filter('Student Groupings'!$A:$A,'Student Groupings'!$B:$B=$C107,'Student Groupings'!$H:$H=""Must be Together""),"""");iferror(filter('Student Groupings'!$A:$A,'Student Groupings'!$E:$E=$C107,'Student Groupings'"&amp;"!$H:$H=""Must be Together""),"""")})="" - "","""",join("" - "",{iferror(filter('Student Groupings'!$A:$A,'Student Groupings'!$B:$B=$C107,'Student Groupings'!$H:$H=""Must be Together""),"""");iferror(filter('Student Groupings'!$A:$A,'Student Groupings'!$E:"&amp;"$E=$C107,'Student Groupings'!$H:$H=""Must be Together""),"""")})))")," - 42")</f>
        <v> - 42</v>
      </c>
    </row>
    <row r="108">
      <c r="A108" s="167">
        <v>9.0</v>
      </c>
      <c r="B108" s="168">
        <v>29155.0</v>
      </c>
      <c r="C108" s="197" t="s">
        <v>260</v>
      </c>
      <c r="D108" s="180" t="s">
        <v>40</v>
      </c>
      <c r="E108" s="181">
        <v>5.0</v>
      </c>
      <c r="F108" s="167" t="s">
        <v>61</v>
      </c>
      <c r="G108" s="167">
        <v>6.0</v>
      </c>
      <c r="H108" s="182" t="s">
        <v>73</v>
      </c>
      <c r="I108" s="167">
        <v>7.0</v>
      </c>
      <c r="J108" s="187"/>
      <c r="K108" s="167"/>
      <c r="L108" s="184" t="s">
        <v>88</v>
      </c>
      <c r="M108" s="167">
        <v>1.0</v>
      </c>
      <c r="N108" s="184" t="s">
        <v>128</v>
      </c>
      <c r="O108" s="167">
        <v>8.0</v>
      </c>
      <c r="P108" s="184" t="s">
        <v>51</v>
      </c>
      <c r="Q108" s="167">
        <v>3.0</v>
      </c>
      <c r="R108" s="184" t="s">
        <v>124</v>
      </c>
      <c r="S108" s="167">
        <v>2.0</v>
      </c>
      <c r="T108" s="187"/>
      <c r="U108" s="167"/>
      <c r="V108" s="184" t="s">
        <v>28</v>
      </c>
      <c r="W108" s="180">
        <v>4.0</v>
      </c>
      <c r="X108" s="142">
        <v>1.0</v>
      </c>
      <c r="Y108" s="142">
        <v>1.0</v>
      </c>
      <c r="Z108" s="142">
        <v>1.0</v>
      </c>
      <c r="AA108" s="142">
        <v>1.0</v>
      </c>
      <c r="AB108" s="142">
        <v>1.0</v>
      </c>
      <c r="AC108" s="142">
        <v>1.0</v>
      </c>
      <c r="AD108" s="142">
        <v>1.0</v>
      </c>
      <c r="AE108" s="142">
        <v>1.0</v>
      </c>
      <c r="AF108" s="142">
        <v>8.0</v>
      </c>
      <c r="AG108" s="142">
        <v>0.0</v>
      </c>
      <c r="AH108" s="185" t="str">
        <f>IFERROR(__xludf.DUMMYFUNCTION("if($C108="""","""",if(join("" - "",{iferror(filter('Student Groupings'!$A:$A,'Student Groupings'!$B:$B=$C108,'Student Groupings'!$H:$H=""Can't be Together""),"""");iferror(filter('Student Groupings'!$A:$A,'Student Groupings'!$E:$E=$C108,'Student Groupings"&amp;"'!$H:$H=""Can't be Together""),"""")})="" - "","""",join("" - "",{iferror(filter('Student Groupings'!$A:$A,'Student Groupings'!$B:$B=$C108,'Student Groupings'!$H:$H=""Can't be Together""),"""");iferror(filter('Student Groupings'!$A:$A,'Student Groupings'!"&amp;"$E:$E=$C108,'Student Groupings'!$H:$H=""Can't be Together""),"""")})))"),"")</f>
        <v/>
      </c>
      <c r="AI108" s="185" t="str">
        <f>IFERROR(__xludf.DUMMYFUNCTION("if($C108="""","""",if(join("" - "",{iferror(filter('Student Groupings'!$A:$A,'Student Groupings'!$B:$B=$C108,'Student Groupings'!$H:$H=""Must be Together""),"""");iferror(filter('Student Groupings'!$A:$A,'Student Groupings'!$E:$E=$C108,'Student Groupings'"&amp;"!$H:$H=""Must be Together""),"""")})="" - "","""",join("" - "",{iferror(filter('Student Groupings'!$A:$A,'Student Groupings'!$B:$B=$C108,'Student Groupings'!$H:$H=""Must be Together""),"""");iferror(filter('Student Groupings'!$A:$A,'Student Groupings'!$E:"&amp;"$E=$C108,'Student Groupings'!$H:$H=""Must be Together""),"""")})))"),"")</f>
        <v/>
      </c>
    </row>
    <row r="109">
      <c r="A109" s="167">
        <v>9.0</v>
      </c>
      <c r="B109" s="168">
        <v>29153.0</v>
      </c>
      <c r="C109" s="197" t="s">
        <v>261</v>
      </c>
      <c r="D109" s="180" t="s">
        <v>40</v>
      </c>
      <c r="E109" s="181">
        <v>8.0</v>
      </c>
      <c r="F109" s="167" t="s">
        <v>61</v>
      </c>
      <c r="G109" s="167">
        <v>4.0</v>
      </c>
      <c r="H109" s="182" t="s">
        <v>76</v>
      </c>
      <c r="I109" s="167">
        <v>7.0</v>
      </c>
      <c r="J109" s="183"/>
      <c r="K109" s="167"/>
      <c r="L109" s="184" t="s">
        <v>88</v>
      </c>
      <c r="M109" s="180">
        <v>6.0</v>
      </c>
      <c r="N109" s="184" t="s">
        <v>128</v>
      </c>
      <c r="O109" s="167">
        <v>2.0</v>
      </c>
      <c r="P109" s="184" t="s">
        <v>51</v>
      </c>
      <c r="Q109" s="167">
        <v>5.0</v>
      </c>
      <c r="R109" s="184" t="s">
        <v>120</v>
      </c>
      <c r="S109" s="167">
        <v>1.0</v>
      </c>
      <c r="T109" s="188"/>
      <c r="U109" s="189"/>
      <c r="V109" s="184" t="s">
        <v>27</v>
      </c>
      <c r="W109" s="180">
        <v>3.0</v>
      </c>
      <c r="X109" s="142">
        <v>1.0</v>
      </c>
      <c r="Y109" s="142">
        <v>1.0</v>
      </c>
      <c r="Z109" s="142">
        <v>1.0</v>
      </c>
      <c r="AA109" s="142">
        <v>1.0</v>
      </c>
      <c r="AB109" s="142">
        <v>1.0</v>
      </c>
      <c r="AC109" s="142">
        <v>1.0</v>
      </c>
      <c r="AD109" s="142">
        <v>1.0</v>
      </c>
      <c r="AE109" s="142">
        <v>1.0</v>
      </c>
      <c r="AF109" s="142">
        <v>8.0</v>
      </c>
      <c r="AG109" s="142">
        <v>0.0</v>
      </c>
      <c r="AH109" s="185" t="str">
        <f>IFERROR(__xludf.DUMMYFUNCTION("if($C109="""","""",if(join("" - "",{iferror(filter('Student Groupings'!$A:$A,'Student Groupings'!$B:$B=$C109,'Student Groupings'!$H:$H=""Can't be Together""),"""");iferror(filter('Student Groupings'!$A:$A,'Student Groupings'!$E:$E=$C109,'Student Groupings"&amp;"'!$H:$H=""Can't be Together""),"""")})="" - "","""",join("" - "",{iferror(filter('Student Groupings'!$A:$A,'Student Groupings'!$B:$B=$C109,'Student Groupings'!$H:$H=""Can't be Together""),"""");iferror(filter('Student Groupings'!$A:$A,'Student Groupings'!"&amp;"$E:$E=$C109,'Student Groupings'!$H:$H=""Can't be Together""),"""")})))"),"")</f>
        <v/>
      </c>
      <c r="AI109" s="185" t="str">
        <f>IFERROR(__xludf.DUMMYFUNCTION("if($C109="""","""",if(join("" - "",{iferror(filter('Student Groupings'!$A:$A,'Student Groupings'!$B:$B=$C109,'Student Groupings'!$H:$H=""Must be Together""),"""");iferror(filter('Student Groupings'!$A:$A,'Student Groupings'!$E:$E=$C109,'Student Groupings'"&amp;"!$H:$H=""Must be Together""),"""")})="" - "","""",join("" - "",{iferror(filter('Student Groupings'!$A:$A,'Student Groupings'!$B:$B=$C109,'Student Groupings'!$H:$H=""Must be Together""),"""");iferror(filter('Student Groupings'!$A:$A,'Student Groupings'!$E:"&amp;"$E=$C109,'Student Groupings'!$H:$H=""Must be Together""),"""")})))")," - 43")</f>
        <v> - 43</v>
      </c>
    </row>
    <row r="110">
      <c r="A110" s="167">
        <v>9.0</v>
      </c>
      <c r="B110" s="168">
        <v>29030.0</v>
      </c>
      <c r="C110" s="197" t="s">
        <v>262</v>
      </c>
      <c r="D110" s="180" t="s">
        <v>40</v>
      </c>
      <c r="E110" s="181">
        <v>2.0</v>
      </c>
      <c r="F110" s="167" t="s">
        <v>61</v>
      </c>
      <c r="G110" s="167">
        <v>8.0</v>
      </c>
      <c r="H110" s="182" t="s">
        <v>76</v>
      </c>
      <c r="I110" s="167">
        <v>1.0</v>
      </c>
      <c r="J110" s="187"/>
      <c r="K110" s="167"/>
      <c r="L110" s="184" t="s">
        <v>88</v>
      </c>
      <c r="M110" s="167">
        <v>3.0</v>
      </c>
      <c r="N110" s="184" t="s">
        <v>128</v>
      </c>
      <c r="O110" s="167">
        <v>5.0</v>
      </c>
      <c r="P110" s="184" t="s">
        <v>51</v>
      </c>
      <c r="Q110" s="167">
        <v>4.0</v>
      </c>
      <c r="R110" s="184" t="s">
        <v>124</v>
      </c>
      <c r="S110" s="167">
        <v>6.0</v>
      </c>
      <c r="T110" s="187"/>
      <c r="U110" s="167"/>
      <c r="V110" s="184" t="s">
        <v>24</v>
      </c>
      <c r="W110" s="167">
        <v>7.0</v>
      </c>
      <c r="X110" s="142">
        <v>1.0</v>
      </c>
      <c r="Y110" s="142">
        <v>1.0</v>
      </c>
      <c r="Z110" s="142">
        <v>1.0</v>
      </c>
      <c r="AA110" s="142">
        <v>1.0</v>
      </c>
      <c r="AB110" s="142">
        <v>1.0</v>
      </c>
      <c r="AC110" s="142">
        <v>1.0</v>
      </c>
      <c r="AD110" s="142">
        <v>1.0</v>
      </c>
      <c r="AE110" s="142">
        <v>1.0</v>
      </c>
      <c r="AF110" s="142">
        <v>8.0</v>
      </c>
      <c r="AG110" s="142">
        <v>0.0</v>
      </c>
      <c r="AH110" s="185" t="str">
        <f>IFERROR(__xludf.DUMMYFUNCTION("if($C110="""","""",if(join("" - "",{iferror(filter('Student Groupings'!$A:$A,'Student Groupings'!$B:$B=$C110,'Student Groupings'!$H:$H=""Can't be Together""),"""");iferror(filter('Student Groupings'!$A:$A,'Student Groupings'!$E:$E=$C110,'Student Groupings"&amp;"'!$H:$H=""Can't be Together""),"""")})="" - "","""",join("" - "",{iferror(filter('Student Groupings'!$A:$A,'Student Groupings'!$B:$B=$C110,'Student Groupings'!$H:$H=""Can't be Together""),"""");iferror(filter('Student Groupings'!$A:$A,'Student Groupings'!"&amp;"$E:$E=$C110,'Student Groupings'!$H:$H=""Can't be Together""),"""")})))"),"")</f>
        <v/>
      </c>
      <c r="AI110" s="185" t="str">
        <f>IFERROR(__xludf.DUMMYFUNCTION("if($C110="""","""",if(join("" - "",{iferror(filter('Student Groupings'!$A:$A,'Student Groupings'!$B:$B=$C110,'Student Groupings'!$H:$H=""Must be Together""),"""");iferror(filter('Student Groupings'!$A:$A,'Student Groupings'!$E:$E=$C110,'Student Groupings'"&amp;"!$H:$H=""Must be Together""),"""")})="" - "","""",join("" - "",{iferror(filter('Student Groupings'!$A:$A,'Student Groupings'!$B:$B=$C110,'Student Groupings'!$H:$H=""Must be Together""),"""");iferror(filter('Student Groupings'!$A:$A,'Student Groupings'!$E:"&amp;"$E=$C110,'Student Groupings'!$H:$H=""Must be Together""),"""")})))"),"51 - 99")</f>
        <v>51 - 99</v>
      </c>
    </row>
    <row r="111">
      <c r="A111" s="167">
        <v>9.0</v>
      </c>
      <c r="B111" s="168">
        <v>29108.0</v>
      </c>
      <c r="C111" s="197" t="s">
        <v>263</v>
      </c>
      <c r="D111" s="180" t="s">
        <v>40</v>
      </c>
      <c r="E111" s="181">
        <v>8.0</v>
      </c>
      <c r="F111" s="167" t="s">
        <v>61</v>
      </c>
      <c r="G111" s="167">
        <v>4.0</v>
      </c>
      <c r="H111" s="182" t="s">
        <v>73</v>
      </c>
      <c r="I111" s="167">
        <v>7.0</v>
      </c>
      <c r="J111" s="187"/>
      <c r="K111" s="167"/>
      <c r="L111" s="184" t="s">
        <v>88</v>
      </c>
      <c r="M111" s="167">
        <v>6.0</v>
      </c>
      <c r="N111" s="184" t="s">
        <v>128</v>
      </c>
      <c r="O111" s="167">
        <v>2.0</v>
      </c>
      <c r="P111" s="184" t="s">
        <v>51</v>
      </c>
      <c r="Q111" s="167">
        <v>5.0</v>
      </c>
      <c r="R111" s="184" t="s">
        <v>120</v>
      </c>
      <c r="S111" s="167">
        <v>1.0</v>
      </c>
      <c r="T111" s="187"/>
      <c r="U111" s="167"/>
      <c r="V111" s="184" t="s">
        <v>27</v>
      </c>
      <c r="W111" s="167">
        <v>3.0</v>
      </c>
      <c r="X111" s="142">
        <v>1.0</v>
      </c>
      <c r="Y111" s="142">
        <v>1.0</v>
      </c>
      <c r="Z111" s="142">
        <v>1.0</v>
      </c>
      <c r="AA111" s="142">
        <v>1.0</v>
      </c>
      <c r="AB111" s="142">
        <v>1.0</v>
      </c>
      <c r="AC111" s="142">
        <v>1.0</v>
      </c>
      <c r="AD111" s="142">
        <v>1.0</v>
      </c>
      <c r="AE111" s="142">
        <v>1.0</v>
      </c>
      <c r="AF111" s="142">
        <v>8.0</v>
      </c>
      <c r="AG111" s="142">
        <v>0.0</v>
      </c>
      <c r="AH111" s="185" t="str">
        <f>IFERROR(__xludf.DUMMYFUNCTION("if($C111="""","""",if(join("" - "",{iferror(filter('Student Groupings'!$A:$A,'Student Groupings'!$B:$B=$C111,'Student Groupings'!$H:$H=""Can't be Together""),"""");iferror(filter('Student Groupings'!$A:$A,'Student Groupings'!$E:$E=$C111,'Student Groupings"&amp;"'!$H:$H=""Can't be Together""),"""")})="" - "","""",join("" - "",{iferror(filter('Student Groupings'!$A:$A,'Student Groupings'!$B:$B=$C111,'Student Groupings'!$H:$H=""Can't be Together""),"""");iferror(filter('Student Groupings'!$A:$A,'Student Groupings'!"&amp;"$E:$E=$C111,'Student Groupings'!$H:$H=""Can't be Together""),"""")})))"),"")</f>
        <v/>
      </c>
      <c r="AI111" s="185" t="str">
        <f>IFERROR(__xludf.DUMMYFUNCTION("if($C111="""","""",if(join("" - "",{iferror(filter('Student Groupings'!$A:$A,'Student Groupings'!$B:$B=$C111,'Student Groupings'!$H:$H=""Must be Together""),"""");iferror(filter('Student Groupings'!$A:$A,'Student Groupings'!$E:$E=$C111,'Student Groupings'"&amp;"!$H:$H=""Must be Together""),"""")})="" - "","""",join("" - "",{iferror(filter('Student Groupings'!$A:$A,'Student Groupings'!$B:$B=$C111,'Student Groupings'!$H:$H=""Must be Together""),"""");iferror(filter('Student Groupings'!$A:$A,'Student Groupings'!$E:"&amp;"$E=$C111,'Student Groupings'!$H:$H=""Must be Together""),"""")})))"),"42 - 43 - 44 - ")</f>
        <v>42 - 43 - 44 - </v>
      </c>
    </row>
    <row r="112">
      <c r="A112" s="167">
        <v>9.0</v>
      </c>
      <c r="B112" s="168">
        <v>29062.0</v>
      </c>
      <c r="C112" s="197" t="s">
        <v>264</v>
      </c>
      <c r="D112" s="180" t="s">
        <v>40</v>
      </c>
      <c r="E112" s="181">
        <v>2.0</v>
      </c>
      <c r="F112" s="167" t="s">
        <v>61</v>
      </c>
      <c r="G112" s="167">
        <v>5.0</v>
      </c>
      <c r="H112" s="182" t="s">
        <v>76</v>
      </c>
      <c r="I112" s="167">
        <v>3.0</v>
      </c>
      <c r="J112" s="187"/>
      <c r="K112" s="167"/>
      <c r="L112" s="184" t="s">
        <v>88</v>
      </c>
      <c r="M112" s="167">
        <v>1.0</v>
      </c>
      <c r="N112" s="184" t="s">
        <v>128</v>
      </c>
      <c r="O112" s="167">
        <v>8.0</v>
      </c>
      <c r="P112" s="184" t="s">
        <v>51</v>
      </c>
      <c r="Q112" s="167">
        <v>7.0</v>
      </c>
      <c r="R112" s="191" t="s">
        <v>122</v>
      </c>
      <c r="S112" s="167">
        <v>6.0</v>
      </c>
      <c r="T112" s="187"/>
      <c r="U112" s="167"/>
      <c r="V112" s="184" t="s">
        <v>28</v>
      </c>
      <c r="W112" s="167">
        <v>4.0</v>
      </c>
      <c r="X112" s="142">
        <v>1.0</v>
      </c>
      <c r="Y112" s="142">
        <v>1.0</v>
      </c>
      <c r="Z112" s="142">
        <v>1.0</v>
      </c>
      <c r="AA112" s="142">
        <v>1.0</v>
      </c>
      <c r="AB112" s="142">
        <v>1.0</v>
      </c>
      <c r="AC112" s="142">
        <v>1.0</v>
      </c>
      <c r="AD112" s="142">
        <v>1.0</v>
      </c>
      <c r="AE112" s="142">
        <v>1.0</v>
      </c>
      <c r="AF112" s="142">
        <v>8.0</v>
      </c>
      <c r="AG112" s="142">
        <v>0.0</v>
      </c>
      <c r="AH112" s="185" t="str">
        <f>IFERROR(__xludf.DUMMYFUNCTION("if($C112="""","""",if(join("" - "",{iferror(filter('Student Groupings'!$A:$A,'Student Groupings'!$B:$B=$C112,'Student Groupings'!$H:$H=""Can't be Together""),"""");iferror(filter('Student Groupings'!$A:$A,'Student Groupings'!$E:$E=$C112,'Student Groupings"&amp;"'!$H:$H=""Can't be Together""),"""")})="" - "","""",join("" - "",{iferror(filter('Student Groupings'!$A:$A,'Student Groupings'!$B:$B=$C112,'Student Groupings'!$H:$H=""Can't be Together""),"""");iferror(filter('Student Groupings'!$A:$A,'Student Groupings'!"&amp;"$E:$E=$C112,'Student Groupings'!$H:$H=""Can't be Together""),"""")})))"),"")</f>
        <v/>
      </c>
      <c r="AI112" s="185" t="str">
        <f>IFERROR(__xludf.DUMMYFUNCTION("if($C112="""","""",if(join("" - "",{iferror(filter('Student Groupings'!$A:$A,'Student Groupings'!$B:$B=$C112,'Student Groupings'!$H:$H=""Must be Together""),"""");iferror(filter('Student Groupings'!$A:$A,'Student Groupings'!$E:$E=$C112,'Student Groupings'"&amp;"!$H:$H=""Must be Together""),"""")})="" - "","""",join("" - "",{iferror(filter('Student Groupings'!$A:$A,'Student Groupings'!$B:$B=$C112,'Student Groupings'!$H:$H=""Must be Together""),"""");iferror(filter('Student Groupings'!$A:$A,'Student Groupings'!$E:"&amp;"$E=$C112,'Student Groupings'!$H:$H=""Must be Together""),"""")})))"),"")</f>
        <v/>
      </c>
    </row>
    <row r="113">
      <c r="A113" s="167">
        <v>9.0</v>
      </c>
      <c r="B113" s="168">
        <v>29115.0</v>
      </c>
      <c r="C113" s="144" t="s">
        <v>265</v>
      </c>
      <c r="D113" s="180" t="s">
        <v>40</v>
      </c>
      <c r="E113" s="181">
        <v>6.0</v>
      </c>
      <c r="F113" s="167" t="s">
        <v>61</v>
      </c>
      <c r="G113" s="167">
        <v>8.0</v>
      </c>
      <c r="H113" s="182" t="s">
        <v>73</v>
      </c>
      <c r="I113" s="167">
        <v>3.0</v>
      </c>
      <c r="J113" s="187"/>
      <c r="K113" s="167"/>
      <c r="L113" s="184" t="s">
        <v>88</v>
      </c>
      <c r="M113" s="167">
        <v>5.0</v>
      </c>
      <c r="N113" s="184" t="s">
        <v>128</v>
      </c>
      <c r="O113" s="167">
        <v>2.0</v>
      </c>
      <c r="P113" s="184" t="s">
        <v>51</v>
      </c>
      <c r="Q113" s="167">
        <v>7.0</v>
      </c>
      <c r="R113" s="184" t="s">
        <v>120</v>
      </c>
      <c r="S113" s="167">
        <v>1.0</v>
      </c>
      <c r="T113" s="183"/>
      <c r="U113" s="167"/>
      <c r="V113" s="184" t="s">
        <v>28</v>
      </c>
      <c r="W113" s="167">
        <v>4.0</v>
      </c>
      <c r="X113" s="142">
        <v>1.0</v>
      </c>
      <c r="Y113" s="142">
        <v>1.0</v>
      </c>
      <c r="Z113" s="142">
        <v>1.0</v>
      </c>
      <c r="AA113" s="142">
        <v>1.0</v>
      </c>
      <c r="AB113" s="142">
        <v>1.0</v>
      </c>
      <c r="AC113" s="142">
        <v>1.0</v>
      </c>
      <c r="AD113" s="142">
        <v>1.0</v>
      </c>
      <c r="AE113" s="142">
        <v>1.0</v>
      </c>
      <c r="AF113" s="142">
        <v>8.0</v>
      </c>
      <c r="AG113" s="142">
        <v>0.0</v>
      </c>
      <c r="AH113" s="185" t="str">
        <f>IFERROR(__xludf.DUMMYFUNCTION("if($C113="""","""",if(join("" - "",{iferror(filter('Student Groupings'!$A:$A,'Student Groupings'!$B:$B=$C113,'Student Groupings'!$H:$H=""Can't be Together""),"""");iferror(filter('Student Groupings'!$A:$A,'Student Groupings'!$E:$E=$C113,'Student Groupings"&amp;"'!$H:$H=""Can't be Together""),"""")})="" - "","""",join("" - "",{iferror(filter('Student Groupings'!$A:$A,'Student Groupings'!$B:$B=$C113,'Student Groupings'!$H:$H=""Can't be Together""),"""");iferror(filter('Student Groupings'!$A:$A,'Student Groupings'!"&amp;"$E:$E=$C113,'Student Groupings'!$H:$H=""Can't be Together""),"""")})))"),"")</f>
        <v/>
      </c>
      <c r="AI113" s="185" t="str">
        <f>IFERROR(__xludf.DUMMYFUNCTION("if($C113="""","""",if(join("" - "",{iferror(filter('Student Groupings'!$A:$A,'Student Groupings'!$B:$B=$C113,'Student Groupings'!$H:$H=""Must be Together""),"""");iferror(filter('Student Groupings'!$A:$A,'Student Groupings'!$E:$E=$C113,'Student Groupings'"&amp;"!$H:$H=""Must be Together""),"""")})="" - "","""",join("" - "",{iferror(filter('Student Groupings'!$A:$A,'Student Groupings'!$B:$B=$C113,'Student Groupings'!$H:$H=""Must be Together""),"""");iferror(filter('Student Groupings'!$A:$A,'Student Groupings'!$E:"&amp;"$E=$C113,'Student Groupings'!$H:$H=""Must be Together""),"""")})))"),"")</f>
        <v/>
      </c>
    </row>
    <row r="114">
      <c r="A114" s="167">
        <v>9.0</v>
      </c>
      <c r="B114" s="168">
        <v>29018.0</v>
      </c>
      <c r="C114" s="144" t="s">
        <v>266</v>
      </c>
      <c r="D114" s="180" t="s">
        <v>40</v>
      </c>
      <c r="E114" s="181">
        <v>2.0</v>
      </c>
      <c r="F114" s="167" t="s">
        <v>61</v>
      </c>
      <c r="G114" s="167">
        <v>7.0</v>
      </c>
      <c r="H114" s="182" t="s">
        <v>73</v>
      </c>
      <c r="I114" s="167">
        <v>4.0</v>
      </c>
      <c r="J114" s="187"/>
      <c r="K114" s="167"/>
      <c r="L114" s="184" t="s">
        <v>88</v>
      </c>
      <c r="M114" s="167">
        <v>1.0</v>
      </c>
      <c r="N114" s="184" t="s">
        <v>128</v>
      </c>
      <c r="O114" s="167">
        <v>6.0</v>
      </c>
      <c r="P114" s="184" t="s">
        <v>51</v>
      </c>
      <c r="Q114" s="167">
        <v>8.0</v>
      </c>
      <c r="R114" s="184" t="s">
        <v>124</v>
      </c>
      <c r="S114" s="167">
        <v>5.0</v>
      </c>
      <c r="T114" s="188"/>
      <c r="U114" s="142"/>
      <c r="V114" s="184" t="s">
        <v>28</v>
      </c>
      <c r="W114" s="167">
        <v>3.0</v>
      </c>
      <c r="X114" s="142">
        <v>1.0</v>
      </c>
      <c r="Y114" s="142">
        <v>1.0</v>
      </c>
      <c r="Z114" s="142">
        <v>1.0</v>
      </c>
      <c r="AA114" s="142">
        <v>1.0</v>
      </c>
      <c r="AB114" s="142">
        <v>1.0</v>
      </c>
      <c r="AC114" s="142">
        <v>1.0</v>
      </c>
      <c r="AD114" s="142">
        <v>1.0</v>
      </c>
      <c r="AE114" s="142">
        <v>1.0</v>
      </c>
      <c r="AF114" s="142">
        <v>8.0</v>
      </c>
      <c r="AG114" s="142">
        <v>0.0</v>
      </c>
      <c r="AH114" s="185" t="str">
        <f>IFERROR(__xludf.DUMMYFUNCTION("if($C114="""","""",if(join("" - "",{iferror(filter('Student Groupings'!$A:$A,'Student Groupings'!$B:$B=$C114,'Student Groupings'!$H:$H=""Can't be Together""),"""");iferror(filter('Student Groupings'!$A:$A,'Student Groupings'!$E:$E=$C114,'Student Groupings"&amp;"'!$H:$H=""Can't be Together""),"""")})="" - "","""",join("" - "",{iferror(filter('Student Groupings'!$A:$A,'Student Groupings'!$B:$B=$C114,'Student Groupings'!$H:$H=""Can't be Together""),"""");iferror(filter('Student Groupings'!$A:$A,'Student Groupings'!"&amp;"$E:$E=$C114,'Student Groupings'!$H:$H=""Can't be Together""),"""")})))"),"")</f>
        <v/>
      </c>
      <c r="AI114" s="185" t="str">
        <f>IFERROR(__xludf.DUMMYFUNCTION("if($C114="""","""",if(join("" - "",{iferror(filter('Student Groupings'!$A:$A,'Student Groupings'!$B:$B=$C114,'Student Groupings'!$H:$H=""Must be Together""),"""");iferror(filter('Student Groupings'!$A:$A,'Student Groupings'!$E:$E=$C114,'Student Groupings'"&amp;"!$H:$H=""Must be Together""),"""")})="" - "","""",join("" - "",{iferror(filter('Student Groupings'!$A:$A,'Student Groupings'!$B:$B=$C114,'Student Groupings'!$H:$H=""Must be Together""),"""");iferror(filter('Student Groupings'!$A:$A,'Student Groupings'!$E:"&amp;"$E=$C114,'Student Groupings'!$H:$H=""Must be Together""),"""")})))")," - 41")</f>
        <v> - 41</v>
      </c>
    </row>
    <row r="115">
      <c r="A115" s="167">
        <v>9.0</v>
      </c>
      <c r="B115" s="168">
        <v>29122.0</v>
      </c>
      <c r="C115" s="144" t="s">
        <v>267</v>
      </c>
      <c r="D115" s="180" t="s">
        <v>40</v>
      </c>
      <c r="E115" s="181">
        <v>5.0</v>
      </c>
      <c r="F115" s="167" t="s">
        <v>61</v>
      </c>
      <c r="G115" s="167">
        <v>4.0</v>
      </c>
      <c r="H115" s="182" t="s">
        <v>73</v>
      </c>
      <c r="I115" s="186">
        <v>6.0</v>
      </c>
      <c r="J115" s="183"/>
      <c r="K115" s="167"/>
      <c r="L115" s="184" t="s">
        <v>88</v>
      </c>
      <c r="M115" s="167">
        <v>1.0</v>
      </c>
      <c r="N115" s="184" t="s">
        <v>128</v>
      </c>
      <c r="O115" s="167">
        <v>8.0</v>
      </c>
      <c r="P115" s="184" t="s">
        <v>51</v>
      </c>
      <c r="Q115" s="167">
        <v>2.0</v>
      </c>
      <c r="R115" s="184" t="s">
        <v>120</v>
      </c>
      <c r="S115" s="167">
        <v>3.0</v>
      </c>
      <c r="T115" s="188"/>
      <c r="U115" s="142"/>
      <c r="V115" s="184" t="s">
        <v>24</v>
      </c>
      <c r="W115" s="167">
        <v>7.0</v>
      </c>
      <c r="X115" s="142">
        <v>1.0</v>
      </c>
      <c r="Y115" s="142">
        <v>1.0</v>
      </c>
      <c r="Z115" s="142">
        <v>1.0</v>
      </c>
      <c r="AA115" s="142">
        <v>1.0</v>
      </c>
      <c r="AB115" s="142">
        <v>1.0</v>
      </c>
      <c r="AC115" s="142">
        <v>1.0</v>
      </c>
      <c r="AD115" s="142">
        <v>1.0</v>
      </c>
      <c r="AE115" s="142">
        <v>1.0</v>
      </c>
      <c r="AF115" s="142">
        <v>8.0</v>
      </c>
      <c r="AG115" s="142">
        <v>0.0</v>
      </c>
      <c r="AH115" s="185" t="str">
        <f>IFERROR(__xludf.DUMMYFUNCTION("if($C115="""","""",if(join("" - "",{iferror(filter('Student Groupings'!$A:$A,'Student Groupings'!$B:$B=$C115,'Student Groupings'!$H:$H=""Can't be Together""),"""");iferror(filter('Student Groupings'!$A:$A,'Student Groupings'!$E:$E=$C115,'Student Groupings"&amp;"'!$H:$H=""Can't be Together""),"""")})="" - "","""",join("" - "",{iferror(filter('Student Groupings'!$A:$A,'Student Groupings'!$B:$B=$C115,'Student Groupings'!$H:$H=""Can't be Together""),"""");iferror(filter('Student Groupings'!$A:$A,'Student Groupings'!"&amp;"$E:$E=$C115,'Student Groupings'!$H:$H=""Can't be Together""),"""")})))"),"")</f>
        <v/>
      </c>
      <c r="AI115" s="185" t="str">
        <f>IFERROR(__xludf.DUMMYFUNCTION("if($C115="""","""",if(join("" - "",{iferror(filter('Student Groupings'!$A:$A,'Student Groupings'!$B:$B=$C115,'Student Groupings'!$H:$H=""Must be Together""),"""");iferror(filter('Student Groupings'!$A:$A,'Student Groupings'!$E:$E=$C115,'Student Groupings'"&amp;"!$H:$H=""Must be Together""),"""")})="" - "","""",join("" - "",{iferror(filter('Student Groupings'!$A:$A,'Student Groupings'!$B:$B=$C115,'Student Groupings'!$H:$H=""Must be Together""),"""");iferror(filter('Student Groupings'!$A:$A,'Student Groupings'!$E:"&amp;"$E=$C115,'Student Groupings'!$H:$H=""Must be Together""),"""")})))"),"52 - ")</f>
        <v>52 - </v>
      </c>
    </row>
    <row r="116">
      <c r="A116" s="167">
        <v>9.0</v>
      </c>
      <c r="B116" s="168">
        <v>29128.0</v>
      </c>
      <c r="C116" s="144" t="s">
        <v>268</v>
      </c>
      <c r="D116" s="180" t="s">
        <v>40</v>
      </c>
      <c r="E116" s="181">
        <v>2.0</v>
      </c>
      <c r="F116" s="167" t="s">
        <v>61</v>
      </c>
      <c r="G116" s="180">
        <v>3.0</v>
      </c>
      <c r="H116" s="182" t="s">
        <v>73</v>
      </c>
      <c r="I116" s="167">
        <v>4.0</v>
      </c>
      <c r="J116" s="183"/>
      <c r="K116" s="167"/>
      <c r="L116" s="184" t="s">
        <v>88</v>
      </c>
      <c r="M116" s="167">
        <v>1.0</v>
      </c>
      <c r="N116" s="184" t="s">
        <v>128</v>
      </c>
      <c r="O116" s="167">
        <v>6.0</v>
      </c>
      <c r="P116" s="184" t="s">
        <v>51</v>
      </c>
      <c r="Q116" s="167">
        <v>8.0</v>
      </c>
      <c r="R116" s="184" t="s">
        <v>120</v>
      </c>
      <c r="S116" s="167">
        <v>5.0</v>
      </c>
      <c r="T116" s="183"/>
      <c r="U116" s="167"/>
      <c r="V116" s="184" t="s">
        <v>24</v>
      </c>
      <c r="W116" s="167">
        <v>7.0</v>
      </c>
      <c r="X116" s="142">
        <v>1.0</v>
      </c>
      <c r="Y116" s="142">
        <v>1.0</v>
      </c>
      <c r="Z116" s="142">
        <v>1.0</v>
      </c>
      <c r="AA116" s="142">
        <v>1.0</v>
      </c>
      <c r="AB116" s="142">
        <v>1.0</v>
      </c>
      <c r="AC116" s="142">
        <v>1.0</v>
      </c>
      <c r="AD116" s="142">
        <v>1.0</v>
      </c>
      <c r="AE116" s="142">
        <v>1.0</v>
      </c>
      <c r="AF116" s="142">
        <v>8.0</v>
      </c>
      <c r="AG116" s="142">
        <v>0.0</v>
      </c>
      <c r="AH116" s="185" t="str">
        <f>IFERROR(__xludf.DUMMYFUNCTION("if($C116="""","""",if(join("" - "",{iferror(filter('Student Groupings'!$A:$A,'Student Groupings'!$B:$B=$C116,'Student Groupings'!$H:$H=""Can't be Together""),"""");iferror(filter('Student Groupings'!$A:$A,'Student Groupings'!$E:$E=$C116,'Student Groupings"&amp;"'!$H:$H=""Can't be Together""),"""")})="" - "","""",join("" - "",{iferror(filter('Student Groupings'!$A:$A,'Student Groupings'!$B:$B=$C116,'Student Groupings'!$H:$H=""Can't be Together""),"""");iferror(filter('Student Groupings'!$A:$A,'Student Groupings'!"&amp;"$E:$E=$C116,'Student Groupings'!$H:$H=""Can't be Together""),"""")})))"),"")</f>
        <v/>
      </c>
      <c r="AI116" s="185" t="str">
        <f>IFERROR(__xludf.DUMMYFUNCTION("if($C116="""","""",if(join("" - "",{iferror(filter('Student Groupings'!$A:$A,'Student Groupings'!$B:$B=$C116,'Student Groupings'!$H:$H=""Must be Together""),"""");iferror(filter('Student Groupings'!$A:$A,'Student Groupings'!$E:$E=$C116,'Student Groupings'"&amp;"!$H:$H=""Must be Together""),"""")})="" - "","""",join("" - "",{iferror(filter('Student Groupings'!$A:$A,'Student Groupings'!$B:$B=$C116,'Student Groupings'!$H:$H=""Must be Together""),"""");iferror(filter('Student Groupings'!$A:$A,'Student Groupings'!$E:"&amp;"$E=$C116,'Student Groupings'!$H:$H=""Must be Together""),"""")})))"),"41 - ")</f>
        <v>41 - </v>
      </c>
    </row>
    <row r="117">
      <c r="A117" s="167">
        <v>9.0</v>
      </c>
      <c r="B117" s="168">
        <v>29049.0</v>
      </c>
      <c r="C117" s="144" t="s">
        <v>269</v>
      </c>
      <c r="D117" s="180" t="s">
        <v>40</v>
      </c>
      <c r="E117" s="181">
        <v>8.0</v>
      </c>
      <c r="F117" s="167" t="s">
        <v>61</v>
      </c>
      <c r="G117" s="167">
        <v>1.0</v>
      </c>
      <c r="H117" s="182" t="s">
        <v>73</v>
      </c>
      <c r="I117" s="167">
        <v>4.0</v>
      </c>
      <c r="J117" s="187"/>
      <c r="K117" s="167"/>
      <c r="L117" s="184" t="s">
        <v>88</v>
      </c>
      <c r="M117" s="167">
        <v>7.0</v>
      </c>
      <c r="N117" s="184" t="s">
        <v>128</v>
      </c>
      <c r="O117" s="167">
        <v>6.0</v>
      </c>
      <c r="P117" s="184" t="s">
        <v>51</v>
      </c>
      <c r="Q117" s="167">
        <v>3.0</v>
      </c>
      <c r="R117" s="184" t="s">
        <v>124</v>
      </c>
      <c r="S117" s="167">
        <v>2.0</v>
      </c>
      <c r="T117" s="188"/>
      <c r="U117" s="189"/>
      <c r="V117" s="184" t="s">
        <v>30</v>
      </c>
      <c r="W117" s="167">
        <v>5.0</v>
      </c>
      <c r="X117" s="142">
        <v>1.0</v>
      </c>
      <c r="Y117" s="142">
        <v>1.0</v>
      </c>
      <c r="Z117" s="142">
        <v>1.0</v>
      </c>
      <c r="AA117" s="142">
        <v>1.0</v>
      </c>
      <c r="AB117" s="142">
        <v>1.0</v>
      </c>
      <c r="AC117" s="142">
        <v>1.0</v>
      </c>
      <c r="AD117" s="142">
        <v>1.0</v>
      </c>
      <c r="AE117" s="142">
        <v>1.0</v>
      </c>
      <c r="AF117" s="142">
        <v>8.0</v>
      </c>
      <c r="AG117" s="142">
        <v>0.0</v>
      </c>
      <c r="AH117" s="185" t="str">
        <f>IFERROR(__xludf.DUMMYFUNCTION("if($C117="""","""",if(join("" - "",{iferror(filter('Student Groupings'!$A:$A,'Student Groupings'!$B:$B=$C117,'Student Groupings'!$H:$H=""Can't be Together""),"""");iferror(filter('Student Groupings'!$A:$A,'Student Groupings'!$E:$E=$C117,'Student Groupings"&amp;"'!$H:$H=""Can't be Together""),"""")})="" - "","""",join("" - "",{iferror(filter('Student Groupings'!$A:$A,'Student Groupings'!$B:$B=$C117,'Student Groupings'!$H:$H=""Can't be Together""),"""");iferror(filter('Student Groupings'!$A:$A,'Student Groupings'!"&amp;"$E:$E=$C117,'Student Groupings'!$H:$H=""Can't be Together""),"""")})))")," - 45 - 48 - 62")</f>
        <v> - 45 - 48 - 62</v>
      </c>
      <c r="AI117" s="185" t="str">
        <f>IFERROR(__xludf.DUMMYFUNCTION("if($C117="""","""",if(join("" - "",{iferror(filter('Student Groupings'!$A:$A,'Student Groupings'!$B:$B=$C117,'Student Groupings'!$H:$H=""Must be Together""),"""");iferror(filter('Student Groupings'!$A:$A,'Student Groupings'!$E:$E=$C117,'Student Groupings'"&amp;"!$H:$H=""Must be Together""),"""")})="" - "","""",join("" - "",{iferror(filter('Student Groupings'!$A:$A,'Student Groupings'!$B:$B=$C117,'Student Groupings'!$H:$H=""Must be Together""),"""");iferror(filter('Student Groupings'!$A:$A,'Student Groupings'!$E:"&amp;"$E=$C117,'Student Groupings'!$H:$H=""Must be Together""),"""")})))"),"")</f>
        <v/>
      </c>
    </row>
    <row r="118">
      <c r="A118" s="167">
        <v>9.0</v>
      </c>
      <c r="B118" s="168">
        <v>29118.0</v>
      </c>
      <c r="C118" s="144" t="s">
        <v>270</v>
      </c>
      <c r="D118" s="180" t="s">
        <v>40</v>
      </c>
      <c r="E118" s="181">
        <v>7.0</v>
      </c>
      <c r="F118" s="167" t="s">
        <v>61</v>
      </c>
      <c r="G118" s="167">
        <v>1.0</v>
      </c>
      <c r="H118" s="182" t="s">
        <v>76</v>
      </c>
      <c r="I118" s="167">
        <v>2.0</v>
      </c>
      <c r="J118" s="187"/>
      <c r="K118" s="167"/>
      <c r="L118" s="184" t="s">
        <v>88</v>
      </c>
      <c r="M118" s="167">
        <v>4.0</v>
      </c>
      <c r="N118" s="184" t="s">
        <v>128</v>
      </c>
      <c r="O118" s="167">
        <v>5.0</v>
      </c>
      <c r="P118" s="184" t="s">
        <v>51</v>
      </c>
      <c r="Q118" s="167">
        <v>8.0</v>
      </c>
      <c r="R118" s="191" t="s">
        <v>122</v>
      </c>
      <c r="S118" s="167">
        <v>6.0</v>
      </c>
      <c r="T118" s="188"/>
      <c r="U118" s="180"/>
      <c r="V118" s="184" t="s">
        <v>24</v>
      </c>
      <c r="W118" s="167">
        <v>3.0</v>
      </c>
      <c r="X118" s="142">
        <v>1.0</v>
      </c>
      <c r="Y118" s="142">
        <v>1.0</v>
      </c>
      <c r="Z118" s="142">
        <v>1.0</v>
      </c>
      <c r="AA118" s="142">
        <v>1.0</v>
      </c>
      <c r="AB118" s="142">
        <v>1.0</v>
      </c>
      <c r="AC118" s="142">
        <v>1.0</v>
      </c>
      <c r="AD118" s="142">
        <v>1.0</v>
      </c>
      <c r="AE118" s="142">
        <v>1.0</v>
      </c>
      <c r="AF118" s="142">
        <v>8.0</v>
      </c>
      <c r="AG118" s="142">
        <v>0.0</v>
      </c>
      <c r="AH118" s="185" t="str">
        <f>IFERROR(__xludf.DUMMYFUNCTION("if($C118="""","""",if(join("" - "",{iferror(filter('Student Groupings'!$A:$A,'Student Groupings'!$B:$B=$C118,'Student Groupings'!$H:$H=""Can't be Together""),"""");iferror(filter('Student Groupings'!$A:$A,'Student Groupings'!$E:$E=$C118,'Student Groupings"&amp;"'!$H:$H=""Can't be Together""),"""")})="" - "","""",join("" - "",{iferror(filter('Student Groupings'!$A:$A,'Student Groupings'!$B:$B=$C118,'Student Groupings'!$H:$H=""Can't be Together""),"""");iferror(filter('Student Groupings'!$A:$A,'Student Groupings'!"&amp;"$E:$E=$C118,'Student Groupings'!$H:$H=""Can't be Together""),"""")})))"),"")</f>
        <v/>
      </c>
      <c r="AI118" s="185" t="str">
        <f>IFERROR(__xludf.DUMMYFUNCTION("if($C118="""","""",if(join("" - "",{iferror(filter('Student Groupings'!$A:$A,'Student Groupings'!$B:$B=$C118,'Student Groupings'!$H:$H=""Must be Together""),"""");iferror(filter('Student Groupings'!$A:$A,'Student Groupings'!$E:$E=$C118,'Student Groupings'"&amp;"!$H:$H=""Must be Together""),"""")})="" - "","""",join("" - "",{iferror(filter('Student Groupings'!$A:$A,'Student Groupings'!$B:$B=$C118,'Student Groupings'!$H:$H=""Must be Together""),"""");iferror(filter('Student Groupings'!$A:$A,'Student Groupings'!$E:"&amp;"$E=$C118,'Student Groupings'!$H:$H=""Must be Together""),"""")})))"),"")</f>
        <v/>
      </c>
    </row>
    <row r="119">
      <c r="A119" s="167">
        <v>9.0</v>
      </c>
      <c r="B119" s="168">
        <v>29096.0</v>
      </c>
      <c r="C119" s="144" t="s">
        <v>271</v>
      </c>
      <c r="D119" s="180" t="s">
        <v>40</v>
      </c>
      <c r="E119" s="181">
        <v>6.0</v>
      </c>
      <c r="F119" s="167" t="s">
        <v>61</v>
      </c>
      <c r="G119" s="167">
        <v>5.0</v>
      </c>
      <c r="H119" s="182" t="s">
        <v>76</v>
      </c>
      <c r="I119" s="167">
        <v>8.0</v>
      </c>
      <c r="J119" s="187"/>
      <c r="K119" s="167"/>
      <c r="L119" s="184" t="s">
        <v>88</v>
      </c>
      <c r="M119" s="167">
        <v>3.0</v>
      </c>
      <c r="N119" s="184" t="s">
        <v>128</v>
      </c>
      <c r="O119" s="167">
        <v>1.0</v>
      </c>
      <c r="P119" s="184" t="s">
        <v>51</v>
      </c>
      <c r="Q119" s="167">
        <v>4.0</v>
      </c>
      <c r="R119" s="184" t="s">
        <v>124</v>
      </c>
      <c r="S119" s="167">
        <v>2.0</v>
      </c>
      <c r="T119" s="183"/>
      <c r="U119" s="167"/>
      <c r="V119" s="184" t="s">
        <v>30</v>
      </c>
      <c r="W119" s="167">
        <v>7.0</v>
      </c>
      <c r="X119" s="142">
        <v>1.0</v>
      </c>
      <c r="Y119" s="142">
        <v>1.0</v>
      </c>
      <c r="Z119" s="142">
        <v>1.0</v>
      </c>
      <c r="AA119" s="142">
        <v>1.0</v>
      </c>
      <c r="AB119" s="142">
        <v>1.0</v>
      </c>
      <c r="AC119" s="142">
        <v>1.0</v>
      </c>
      <c r="AD119" s="142">
        <v>1.0</v>
      </c>
      <c r="AE119" s="142">
        <v>1.0</v>
      </c>
      <c r="AF119" s="142">
        <v>8.0</v>
      </c>
      <c r="AG119" s="142">
        <v>0.0</v>
      </c>
      <c r="AH119" s="185" t="str">
        <f>IFERROR(__xludf.DUMMYFUNCTION("if($C119="""","""",if(join("" - "",{iferror(filter('Student Groupings'!$A:$A,'Student Groupings'!$B:$B=$C119,'Student Groupings'!$H:$H=""Can't be Together""),"""");iferror(filter('Student Groupings'!$A:$A,'Student Groupings'!$E:$E=$C119,'Student Groupings"&amp;"'!$H:$H=""Can't be Together""),"""")})="" - "","""",join("" - "",{iferror(filter('Student Groupings'!$A:$A,'Student Groupings'!$B:$B=$C119,'Student Groupings'!$H:$H=""Can't be Together""),"""");iferror(filter('Student Groupings'!$A:$A,'Student Groupings'!"&amp;"$E:$E=$C119,'Student Groupings'!$H:$H=""Can't be Together""),"""")})))"),"")</f>
        <v/>
      </c>
      <c r="AI119" s="185" t="str">
        <f>IFERROR(__xludf.DUMMYFUNCTION("if($C119="""","""",if(join("" - "",{iferror(filter('Student Groupings'!$A:$A,'Student Groupings'!$B:$B=$C119,'Student Groupings'!$H:$H=""Must be Together""),"""");iferror(filter('Student Groupings'!$A:$A,'Student Groupings'!$E:$E=$C119,'Student Groupings'"&amp;"!$H:$H=""Must be Together""),"""")})="" - "","""",join("" - "",{iferror(filter('Student Groupings'!$A:$A,'Student Groupings'!$B:$B=$C119,'Student Groupings'!$H:$H=""Must be Together""),"""");iferror(filter('Student Groupings'!$A:$A,'Student Groupings'!$E:"&amp;"$E=$C119,'Student Groupings'!$H:$H=""Must be Together""),"""")})))"),"")</f>
        <v/>
      </c>
    </row>
    <row r="120">
      <c r="A120" s="167">
        <v>9.0</v>
      </c>
      <c r="B120" s="168">
        <v>29119.0</v>
      </c>
      <c r="C120" s="144" t="s">
        <v>272</v>
      </c>
      <c r="D120" s="198" t="s">
        <v>40</v>
      </c>
      <c r="E120" s="181">
        <v>6.0</v>
      </c>
      <c r="F120" s="186" t="s">
        <v>61</v>
      </c>
      <c r="G120" s="186">
        <v>8.0</v>
      </c>
      <c r="H120" s="182" t="s">
        <v>76</v>
      </c>
      <c r="I120" s="167">
        <v>7.0</v>
      </c>
      <c r="J120" s="183"/>
      <c r="K120" s="167"/>
      <c r="L120" s="184" t="s">
        <v>88</v>
      </c>
      <c r="M120" s="186">
        <v>2.0</v>
      </c>
      <c r="N120" s="184" t="s">
        <v>128</v>
      </c>
      <c r="O120" s="186">
        <v>1.0</v>
      </c>
      <c r="P120" s="184" t="s">
        <v>51</v>
      </c>
      <c r="Q120" s="167">
        <v>3.0</v>
      </c>
      <c r="R120" s="184" t="s">
        <v>124</v>
      </c>
      <c r="S120" s="186">
        <v>5.0</v>
      </c>
      <c r="T120" s="187"/>
      <c r="U120" s="167"/>
      <c r="V120" s="184" t="s">
        <v>30</v>
      </c>
      <c r="W120" s="198">
        <v>4.0</v>
      </c>
      <c r="X120" s="142">
        <v>1.0</v>
      </c>
      <c r="Y120" s="142">
        <v>1.0</v>
      </c>
      <c r="Z120" s="142">
        <v>1.0</v>
      </c>
      <c r="AA120" s="142">
        <v>1.0</v>
      </c>
      <c r="AB120" s="142">
        <v>1.0</v>
      </c>
      <c r="AC120" s="142">
        <v>1.0</v>
      </c>
      <c r="AD120" s="142">
        <v>1.0</v>
      </c>
      <c r="AE120" s="142">
        <v>1.0</v>
      </c>
      <c r="AF120" s="142">
        <v>8.0</v>
      </c>
      <c r="AG120" s="142">
        <v>0.0</v>
      </c>
      <c r="AH120" s="185" t="str">
        <f>IFERROR(__xludf.DUMMYFUNCTION("if($C120="""","""",if(join("" - "",{iferror(filter('Student Groupings'!$A:$A,'Student Groupings'!$B:$B=$C120,'Student Groupings'!$H:$H=""Can't be Together""),"""");iferror(filter('Student Groupings'!$A:$A,'Student Groupings'!$E:$E=$C120,'Student Groupings"&amp;"'!$H:$H=""Can't be Together""),"""")})="" - "","""",join("" - "",{iferror(filter('Student Groupings'!$A:$A,'Student Groupings'!$B:$B=$C120,'Student Groupings'!$H:$H=""Can't be Together""),"""");iferror(filter('Student Groupings'!$A:$A,'Student Groupings'!"&amp;"$E:$E=$C120,'Student Groupings'!$H:$H=""Can't be Together""),"""")})))"),"")</f>
        <v/>
      </c>
      <c r="AI120" s="185" t="str">
        <f>IFERROR(__xludf.DUMMYFUNCTION("if($C120="""","""",if(join("" - "",{iferror(filter('Student Groupings'!$A:$A,'Student Groupings'!$B:$B=$C120,'Student Groupings'!$H:$H=""Must be Together""),"""");iferror(filter('Student Groupings'!$A:$A,'Student Groupings'!$E:$E=$C120,'Student Groupings'"&amp;"!$H:$H=""Must be Together""),"""")})="" - "","""",join("" - "",{iferror(filter('Student Groupings'!$A:$A,'Student Groupings'!$B:$B=$C120,'Student Groupings'!$H:$H=""Must be Together""),"""");iferror(filter('Student Groupings'!$A:$A,'Student Groupings'!$E:"&amp;"$E=$C120,'Student Groupings'!$H:$H=""Must be Together""),"""")})))"),"")</f>
        <v/>
      </c>
    </row>
    <row r="121">
      <c r="A121" s="186">
        <v>9.0</v>
      </c>
      <c r="B121" s="199">
        <v>29097.0</v>
      </c>
      <c r="C121" s="183" t="s">
        <v>273</v>
      </c>
      <c r="D121" s="180" t="s">
        <v>40</v>
      </c>
      <c r="E121" s="181">
        <v>6.0</v>
      </c>
      <c r="F121" s="186" t="s">
        <v>61</v>
      </c>
      <c r="G121" s="186">
        <v>4.0</v>
      </c>
      <c r="H121" s="196" t="s">
        <v>76</v>
      </c>
      <c r="I121" s="167">
        <v>8.0</v>
      </c>
      <c r="J121" s="187"/>
      <c r="K121" s="200"/>
      <c r="L121" s="184" t="s">
        <v>88</v>
      </c>
      <c r="M121" s="186">
        <v>2.0</v>
      </c>
      <c r="N121" s="184" t="s">
        <v>128</v>
      </c>
      <c r="O121" s="186">
        <v>1.0</v>
      </c>
      <c r="P121" s="184" t="s">
        <v>51</v>
      </c>
      <c r="Q121" s="167">
        <v>7.0</v>
      </c>
      <c r="R121" s="184" t="s">
        <v>120</v>
      </c>
      <c r="S121" s="186">
        <v>3.0</v>
      </c>
      <c r="T121" s="187"/>
      <c r="U121" s="167"/>
      <c r="V121" s="184" t="s">
        <v>30</v>
      </c>
      <c r="W121" s="167">
        <v>5.0</v>
      </c>
      <c r="X121" s="142">
        <v>1.0</v>
      </c>
      <c r="Y121" s="142">
        <v>1.0</v>
      </c>
      <c r="Z121" s="142">
        <v>1.0</v>
      </c>
      <c r="AA121" s="142">
        <v>1.0</v>
      </c>
      <c r="AB121" s="142">
        <v>1.0</v>
      </c>
      <c r="AC121" s="142">
        <v>1.0</v>
      </c>
      <c r="AD121" s="142">
        <v>1.0</v>
      </c>
      <c r="AE121" s="142">
        <v>1.0</v>
      </c>
      <c r="AF121" s="142">
        <v>8.0</v>
      </c>
      <c r="AG121" s="142">
        <v>0.0</v>
      </c>
      <c r="AH121" s="185" t="str">
        <f>IFERROR(__xludf.DUMMYFUNCTION("if($C121="""","""",if(join("" - "",{iferror(filter('Student Groupings'!$A:$A,'Student Groupings'!$B:$B=$C121,'Student Groupings'!$H:$H=""Can't be Together""),"""");iferror(filter('Student Groupings'!$A:$A,'Student Groupings'!$E:$E=$C121,'Student Groupings"&amp;"'!$H:$H=""Can't be Together""),"""")})="" - "","""",join("" - "",{iferror(filter('Student Groupings'!$A:$A,'Student Groupings'!$B:$B=$C121,'Student Groupings'!$H:$H=""Can't be Together""),"""");iferror(filter('Student Groupings'!$A:$A,'Student Groupings'!"&amp;"$E:$E=$C121,'Student Groupings'!$H:$H=""Can't be Together""),"""")})))"),"")</f>
        <v/>
      </c>
      <c r="AI121" s="185" t="str">
        <f>IFERROR(__xludf.DUMMYFUNCTION("if($C121="""","""",if(join("" - "",{iferror(filter('Student Groupings'!$A:$A,'Student Groupings'!$B:$B=$C121,'Student Groupings'!$H:$H=""Must be Together""),"""");iferror(filter('Student Groupings'!$A:$A,'Student Groupings'!$E:$E=$C121,'Student Groupings'"&amp;"!$H:$H=""Must be Together""),"""")})="" - "","""",join("" - "",{iferror(filter('Student Groupings'!$A:$A,'Student Groupings'!$B:$B=$C121,'Student Groupings'!$H:$H=""Must be Together""),"""");iferror(filter('Student Groupings'!$A:$A,'Student Groupings'!$E:"&amp;"$E=$C121,'Student Groupings'!$H:$H=""Must be Together""),"""")})))"),"")</f>
        <v/>
      </c>
    </row>
    <row r="122">
      <c r="A122" s="186">
        <v>9.0</v>
      </c>
      <c r="B122" s="199">
        <v>29169.0</v>
      </c>
      <c r="C122" s="183" t="s">
        <v>274</v>
      </c>
      <c r="D122" s="198" t="s">
        <v>40</v>
      </c>
      <c r="E122" s="181">
        <v>7.0</v>
      </c>
      <c r="F122" s="186" t="s">
        <v>61</v>
      </c>
      <c r="G122" s="186">
        <v>6.0</v>
      </c>
      <c r="H122" s="182" t="s">
        <v>73</v>
      </c>
      <c r="I122" s="180">
        <v>4.0</v>
      </c>
      <c r="J122" s="187"/>
      <c r="K122" s="200"/>
      <c r="L122" s="184" t="s">
        <v>88</v>
      </c>
      <c r="M122" s="186">
        <v>1.0</v>
      </c>
      <c r="N122" s="184" t="s">
        <v>128</v>
      </c>
      <c r="O122" s="186">
        <v>8.0</v>
      </c>
      <c r="P122" s="184" t="s">
        <v>51</v>
      </c>
      <c r="Q122" s="186">
        <v>2.0</v>
      </c>
      <c r="R122" s="184" t="s">
        <v>120</v>
      </c>
      <c r="S122" s="186">
        <v>5.0</v>
      </c>
      <c r="T122" s="187"/>
      <c r="U122" s="200"/>
      <c r="V122" s="184" t="s">
        <v>28</v>
      </c>
      <c r="W122" s="186">
        <v>3.0</v>
      </c>
      <c r="X122" s="142">
        <v>1.0</v>
      </c>
      <c r="Y122" s="142">
        <v>1.0</v>
      </c>
      <c r="Z122" s="142">
        <v>1.0</v>
      </c>
      <c r="AA122" s="142">
        <v>1.0</v>
      </c>
      <c r="AB122" s="142">
        <v>1.0</v>
      </c>
      <c r="AC122" s="142">
        <v>1.0</v>
      </c>
      <c r="AD122" s="142">
        <v>1.0</v>
      </c>
      <c r="AE122" s="142">
        <v>1.0</v>
      </c>
      <c r="AF122" s="142">
        <v>8.0</v>
      </c>
      <c r="AG122" s="142">
        <v>0.0</v>
      </c>
      <c r="AH122" s="185" t="str">
        <f>IFERROR(__xludf.DUMMYFUNCTION("if($C122="""","""",if(join("" - "",{iferror(filter('Student Groupings'!$A:$A,'Student Groupings'!$B:$B=$C122,'Student Groupings'!$H:$H=""Can't be Together""),"""");iferror(filter('Student Groupings'!$A:$A,'Student Groupings'!$E:$E=$C122,'Student Groupings"&amp;"'!$H:$H=""Can't be Together""),"""")})="" - "","""",join("" - "",{iferror(filter('Student Groupings'!$A:$A,'Student Groupings'!$B:$B=$C122,'Student Groupings'!$H:$H=""Can't be Together""),"""");iferror(filter('Student Groupings'!$A:$A,'Student Groupings'!"&amp;"$E:$E=$C122,'Student Groupings'!$H:$H=""Can't be Together""),"""")})))"),"103 - 104 - 115 - 66")</f>
        <v>103 - 104 - 115 - 66</v>
      </c>
      <c r="AI122" s="185" t="str">
        <f>IFERROR(__xludf.DUMMYFUNCTION("if($C122="""","""",if(join("" - "",{iferror(filter('Student Groupings'!$A:$A,'Student Groupings'!$B:$B=$C122,'Student Groupings'!$H:$H=""Must be Together""),"""");iferror(filter('Student Groupings'!$A:$A,'Student Groupings'!$E:$E=$C122,'Student Groupings'"&amp;"!$H:$H=""Must be Together""),"""")})="" - "","""",join("" - "",{iferror(filter('Student Groupings'!$A:$A,'Student Groupings'!$B:$B=$C122,'Student Groupings'!$H:$H=""Must be Together""),"""");iferror(filter('Student Groupings'!$A:$A,'Student Groupings'!$E:"&amp;"$E=$C122,'Student Groupings'!$H:$H=""Must be Together""),"""")})))"),"70 - ")</f>
        <v>70 - </v>
      </c>
    </row>
    <row r="123">
      <c r="A123" s="186">
        <v>9.0</v>
      </c>
      <c r="B123" s="199">
        <v>29156.0</v>
      </c>
      <c r="C123" s="183" t="s">
        <v>275</v>
      </c>
      <c r="D123" s="198" t="s">
        <v>40</v>
      </c>
      <c r="E123" s="181">
        <v>7.0</v>
      </c>
      <c r="F123" s="186" t="s">
        <v>61</v>
      </c>
      <c r="G123" s="186">
        <v>5.0</v>
      </c>
      <c r="H123" s="182" t="s">
        <v>76</v>
      </c>
      <c r="I123" s="167">
        <v>1.0</v>
      </c>
      <c r="J123" s="187"/>
      <c r="K123" s="167"/>
      <c r="L123" s="184" t="s">
        <v>88</v>
      </c>
      <c r="M123" s="186">
        <v>4.0</v>
      </c>
      <c r="N123" s="184" t="s">
        <v>128</v>
      </c>
      <c r="O123" s="186">
        <v>6.0</v>
      </c>
      <c r="P123" s="184" t="s">
        <v>51</v>
      </c>
      <c r="Q123" s="186">
        <v>3.0</v>
      </c>
      <c r="R123" s="184" t="s">
        <v>124</v>
      </c>
      <c r="S123" s="186">
        <v>2.0</v>
      </c>
      <c r="T123" s="187"/>
      <c r="U123" s="200"/>
      <c r="V123" s="184" t="s">
        <v>30</v>
      </c>
      <c r="W123" s="186">
        <v>8.0</v>
      </c>
      <c r="X123" s="142">
        <v>1.0</v>
      </c>
      <c r="Y123" s="142">
        <v>1.0</v>
      </c>
      <c r="Z123" s="142">
        <v>1.0</v>
      </c>
      <c r="AA123" s="142">
        <v>1.0</v>
      </c>
      <c r="AB123" s="142">
        <v>1.0</v>
      </c>
      <c r="AC123" s="142">
        <v>1.0</v>
      </c>
      <c r="AD123" s="142">
        <v>1.0</v>
      </c>
      <c r="AE123" s="142">
        <v>1.0</v>
      </c>
      <c r="AF123" s="142">
        <v>8.0</v>
      </c>
      <c r="AG123" s="142">
        <v>0.0</v>
      </c>
      <c r="AH123" s="185" t="str">
        <f>IFERROR(__xludf.DUMMYFUNCTION("if($C123="""","""",if(join("" - "",{iferror(filter('Student Groupings'!$A:$A,'Student Groupings'!$B:$B=$C123,'Student Groupings'!$H:$H=""Can't be Together""),"""");iferror(filter('Student Groupings'!$A:$A,'Student Groupings'!$E:$E=$C123,'Student Groupings"&amp;"'!$H:$H=""Can't be Together""),"""")})="" - "","""",join("" - "",{iferror(filter('Student Groupings'!$A:$A,'Student Groupings'!$B:$B=$C123,'Student Groupings'!$H:$H=""Can't be Together""),"""");iferror(filter('Student Groupings'!$A:$A,'Student Groupings'!"&amp;"$E:$E=$C123,'Student Groupings'!$H:$H=""Can't be Together""),"""")})))"),"")</f>
        <v/>
      </c>
      <c r="AI123" s="185" t="str">
        <f>IFERROR(__xludf.DUMMYFUNCTION("if($C123="""","""",if(join("" - "",{iferror(filter('Student Groupings'!$A:$A,'Student Groupings'!$B:$B=$C123,'Student Groupings'!$H:$H=""Must be Together""),"""");iferror(filter('Student Groupings'!$A:$A,'Student Groupings'!$E:$E=$C123,'Student Groupings'"&amp;"!$H:$H=""Must be Together""),"""")})="" - "","""",join("" - "",{iferror(filter('Student Groupings'!$A:$A,'Student Groupings'!$B:$B=$C123,'Student Groupings'!$H:$H=""Must be Together""),"""");iferror(filter('Student Groupings'!$A:$A,'Student Groupings'!$E:"&amp;"$E=$C123,'Student Groupings'!$H:$H=""Must be Together""),"""")})))"),"57 - ")</f>
        <v>57 - </v>
      </c>
    </row>
    <row r="124">
      <c r="A124" s="186">
        <v>9.0</v>
      </c>
      <c r="B124" s="199">
        <v>29035.0</v>
      </c>
      <c r="C124" s="183" t="s">
        <v>276</v>
      </c>
      <c r="D124" s="198" t="s">
        <v>40</v>
      </c>
      <c r="E124" s="181">
        <v>1.0</v>
      </c>
      <c r="F124" s="167" t="s">
        <v>61</v>
      </c>
      <c r="G124" s="186">
        <v>3.0</v>
      </c>
      <c r="H124" s="182" t="s">
        <v>76</v>
      </c>
      <c r="I124" s="186">
        <v>2.0</v>
      </c>
      <c r="J124" s="187"/>
      <c r="K124" s="200"/>
      <c r="L124" s="184" t="s">
        <v>88</v>
      </c>
      <c r="M124" s="186">
        <v>4.0</v>
      </c>
      <c r="N124" s="184" t="s">
        <v>128</v>
      </c>
      <c r="O124" s="186">
        <v>8.0</v>
      </c>
      <c r="P124" s="184" t="s">
        <v>51</v>
      </c>
      <c r="Q124" s="167">
        <v>5.0</v>
      </c>
      <c r="R124" s="184" t="s">
        <v>124</v>
      </c>
      <c r="S124" s="186">
        <v>6.0</v>
      </c>
      <c r="T124" s="183"/>
      <c r="U124" s="167"/>
      <c r="V124" s="184" t="s">
        <v>30</v>
      </c>
      <c r="W124" s="186">
        <v>7.0</v>
      </c>
      <c r="X124" s="142">
        <v>1.0</v>
      </c>
      <c r="Y124" s="142">
        <v>1.0</v>
      </c>
      <c r="Z124" s="142">
        <v>1.0</v>
      </c>
      <c r="AA124" s="142">
        <v>1.0</v>
      </c>
      <c r="AB124" s="142">
        <v>1.0</v>
      </c>
      <c r="AC124" s="142">
        <v>1.0</v>
      </c>
      <c r="AD124" s="142">
        <v>1.0</v>
      </c>
      <c r="AE124" s="142">
        <v>1.0</v>
      </c>
      <c r="AF124" s="142">
        <v>8.0</v>
      </c>
      <c r="AG124" s="142">
        <v>0.0</v>
      </c>
      <c r="AH124" s="185" t="str">
        <f>IFERROR(__xludf.DUMMYFUNCTION("if($C124="""","""",if(join("" - "",{iferror(filter('Student Groupings'!$A:$A,'Student Groupings'!$B:$B=$C124,'Student Groupings'!$H:$H=""Can't be Together""),"""");iferror(filter('Student Groupings'!$A:$A,'Student Groupings'!$E:$E=$C124,'Student Groupings"&amp;"'!$H:$H=""Can't be Together""),"""")})="" - "","""",join("" - "",{iferror(filter('Student Groupings'!$A:$A,'Student Groupings'!$B:$B=$C124,'Student Groupings'!$H:$H=""Can't be Together""),"""");iferror(filter('Student Groupings'!$A:$A,'Student Groupings'!"&amp;"$E:$E=$C124,'Student Groupings'!$H:$H=""Can't be Together""),"""")})))"),"")</f>
        <v/>
      </c>
      <c r="AI124" s="185" t="str">
        <f>IFERROR(__xludf.DUMMYFUNCTION("if($C124="""","""",if(join("" - "",{iferror(filter('Student Groupings'!$A:$A,'Student Groupings'!$B:$B=$C124,'Student Groupings'!$H:$H=""Must be Together""),"""");iferror(filter('Student Groupings'!$A:$A,'Student Groupings'!$E:$E=$C124,'Student Groupings'"&amp;"!$H:$H=""Must be Together""),"""")})="" - "","""",join("" - "",{iferror(filter('Student Groupings'!$A:$A,'Student Groupings'!$B:$B=$C124,'Student Groupings'!$H:$H=""Must be Together""),"""");iferror(filter('Student Groupings'!$A:$A,'Student Groupings'!$E:"&amp;"$E=$C124,'Student Groupings'!$H:$H=""Must be Together""),"""")})))"),"")</f>
        <v/>
      </c>
    </row>
    <row r="125">
      <c r="A125" s="186">
        <v>9.0</v>
      </c>
      <c r="B125" s="199">
        <v>29028.0</v>
      </c>
      <c r="C125" s="183" t="s">
        <v>277</v>
      </c>
      <c r="D125" s="198" t="s">
        <v>40</v>
      </c>
      <c r="E125" s="181">
        <v>7.0</v>
      </c>
      <c r="F125" s="186" t="s">
        <v>61</v>
      </c>
      <c r="G125" s="186">
        <v>1.0</v>
      </c>
      <c r="H125" s="182" t="s">
        <v>76</v>
      </c>
      <c r="I125" s="167">
        <v>8.0</v>
      </c>
      <c r="J125" s="183"/>
      <c r="K125" s="186"/>
      <c r="L125" s="184" t="s">
        <v>88</v>
      </c>
      <c r="M125" s="186">
        <v>5.0</v>
      </c>
      <c r="N125" s="184" t="s">
        <v>128</v>
      </c>
      <c r="O125" s="186">
        <v>2.0</v>
      </c>
      <c r="P125" s="184" t="s">
        <v>51</v>
      </c>
      <c r="Q125" s="186">
        <v>3.0</v>
      </c>
      <c r="R125" s="191" t="s">
        <v>122</v>
      </c>
      <c r="S125" s="186">
        <v>6.0</v>
      </c>
      <c r="T125" s="187"/>
      <c r="U125" s="200"/>
      <c r="V125" s="184" t="s">
        <v>28</v>
      </c>
      <c r="W125" s="186">
        <v>4.0</v>
      </c>
      <c r="X125" s="142">
        <v>1.0</v>
      </c>
      <c r="Y125" s="142">
        <v>1.0</v>
      </c>
      <c r="Z125" s="142">
        <v>1.0</v>
      </c>
      <c r="AA125" s="142">
        <v>1.0</v>
      </c>
      <c r="AB125" s="142">
        <v>1.0</v>
      </c>
      <c r="AC125" s="142">
        <v>1.0</v>
      </c>
      <c r="AD125" s="142">
        <v>1.0</v>
      </c>
      <c r="AE125" s="142">
        <v>1.0</v>
      </c>
      <c r="AF125" s="142">
        <v>8.0</v>
      </c>
      <c r="AG125" s="142">
        <v>0.0</v>
      </c>
      <c r="AH125" s="185" t="str">
        <f>IFERROR(__xludf.DUMMYFUNCTION("if($C125="""","""",if(join("" - "",{iferror(filter('Student Groupings'!$A:$A,'Student Groupings'!$B:$B=$C125,'Student Groupings'!$H:$H=""Can't be Together""),"""");iferror(filter('Student Groupings'!$A:$A,'Student Groupings'!$E:$E=$C125,'Student Groupings"&amp;"'!$H:$H=""Can't be Together""),"""")})="" - "","""",join("" - "",{iferror(filter('Student Groupings'!$A:$A,'Student Groupings'!$B:$B=$C125,'Student Groupings'!$H:$H=""Can't be Together""),"""");iferror(filter('Student Groupings'!$A:$A,'Student Groupings'!"&amp;"$E:$E=$C125,'Student Groupings'!$H:$H=""Can't be Together""),"""")})))"),"")</f>
        <v/>
      </c>
      <c r="AI125" s="185" t="str">
        <f>IFERROR(__xludf.DUMMYFUNCTION("if($C125="""","""",if(join("" - "",{iferror(filter('Student Groupings'!$A:$A,'Student Groupings'!$B:$B=$C125,'Student Groupings'!$H:$H=""Must be Together""),"""");iferror(filter('Student Groupings'!$A:$A,'Student Groupings'!$E:$E=$C125,'Student Groupings'"&amp;"!$H:$H=""Must be Together""),"""")})="" - "","""",join("" - "",{iferror(filter('Student Groupings'!$A:$A,'Student Groupings'!$B:$B=$C125,'Student Groupings'!$H:$H=""Must be Together""),"""");iferror(filter('Student Groupings'!$A:$A,'Student Groupings'!$E:"&amp;"$E=$C125,'Student Groupings'!$H:$H=""Must be Together""),"""")})))"),"")</f>
        <v/>
      </c>
    </row>
    <row r="126">
      <c r="A126" s="186">
        <v>9.0</v>
      </c>
      <c r="B126" s="199">
        <v>29110.0</v>
      </c>
      <c r="C126" s="183" t="s">
        <v>278</v>
      </c>
      <c r="D126" s="198" t="s">
        <v>40</v>
      </c>
      <c r="E126" s="181">
        <v>5.0</v>
      </c>
      <c r="F126" s="186" t="s">
        <v>61</v>
      </c>
      <c r="G126" s="186">
        <v>7.0</v>
      </c>
      <c r="H126" s="182" t="s">
        <v>76</v>
      </c>
      <c r="I126" s="167">
        <v>8.0</v>
      </c>
      <c r="J126" s="187"/>
      <c r="K126" s="167"/>
      <c r="L126" s="184" t="s">
        <v>88</v>
      </c>
      <c r="M126" s="186">
        <v>2.0</v>
      </c>
      <c r="N126" s="184" t="s">
        <v>128</v>
      </c>
      <c r="O126" s="186">
        <v>1.0</v>
      </c>
      <c r="P126" s="184" t="s">
        <v>51</v>
      </c>
      <c r="Q126" s="186">
        <v>4.0</v>
      </c>
      <c r="R126" s="184" t="s">
        <v>124</v>
      </c>
      <c r="S126" s="186">
        <v>6.0</v>
      </c>
      <c r="T126" s="187"/>
      <c r="U126" s="200"/>
      <c r="V126" s="184" t="s">
        <v>28</v>
      </c>
      <c r="W126" s="186">
        <v>3.0</v>
      </c>
      <c r="X126" s="142">
        <v>1.0</v>
      </c>
      <c r="Y126" s="142">
        <v>1.0</v>
      </c>
      <c r="Z126" s="142">
        <v>1.0</v>
      </c>
      <c r="AA126" s="142">
        <v>1.0</v>
      </c>
      <c r="AB126" s="142">
        <v>1.0</v>
      </c>
      <c r="AC126" s="142">
        <v>1.0</v>
      </c>
      <c r="AD126" s="142">
        <v>1.0</v>
      </c>
      <c r="AE126" s="142">
        <v>1.0</v>
      </c>
      <c r="AF126" s="142">
        <v>8.0</v>
      </c>
      <c r="AG126" s="142">
        <v>0.0</v>
      </c>
      <c r="AH126" s="185" t="str">
        <f>IFERROR(__xludf.DUMMYFUNCTION("if($C126="""","""",if(join("" - "",{iferror(filter('Student Groupings'!$A:$A,'Student Groupings'!$B:$B=$C126,'Student Groupings'!$H:$H=""Can't be Together""),"""");iferror(filter('Student Groupings'!$A:$A,'Student Groupings'!$E:$E=$C126,'Student Groupings"&amp;"'!$H:$H=""Can't be Together""),"""")})="" - "","""",join("" - "",{iferror(filter('Student Groupings'!$A:$A,'Student Groupings'!$B:$B=$C126,'Student Groupings'!$H:$H=""Can't be Together""),"""");iferror(filter('Student Groupings'!$A:$A,'Student Groupings'!"&amp;"$E:$E=$C126,'Student Groupings'!$H:$H=""Can't be Together""),"""")})))"),"")</f>
        <v/>
      </c>
      <c r="AI126" s="185" t="str">
        <f>IFERROR(__xludf.DUMMYFUNCTION("if($C126="""","""",if(join("" - "",{iferror(filter('Student Groupings'!$A:$A,'Student Groupings'!$B:$B=$C126,'Student Groupings'!$H:$H=""Must be Together""),"""");iferror(filter('Student Groupings'!$A:$A,'Student Groupings'!$E:$E=$C126,'Student Groupings'"&amp;"!$H:$H=""Must be Together""),"""")})="" - "","""",join("" - "",{iferror(filter('Student Groupings'!$A:$A,'Student Groupings'!$B:$B=$C126,'Student Groupings'!$H:$H=""Must be Together""),"""");iferror(filter('Student Groupings'!$A:$A,'Student Groupings'!$E:"&amp;"$E=$C126,'Student Groupings'!$H:$H=""Must be Together""),"""")})))"),"")</f>
        <v/>
      </c>
    </row>
    <row r="127">
      <c r="A127" s="167">
        <v>9.0</v>
      </c>
      <c r="B127" s="168">
        <v>28144.0</v>
      </c>
      <c r="C127" s="144" t="s">
        <v>279</v>
      </c>
      <c r="D127" s="180" t="s">
        <v>40</v>
      </c>
      <c r="E127" s="181">
        <v>5.0</v>
      </c>
      <c r="F127" s="167" t="s">
        <v>61</v>
      </c>
      <c r="G127" s="167">
        <v>4.0</v>
      </c>
      <c r="H127" s="182" t="s">
        <v>76</v>
      </c>
      <c r="I127" s="167">
        <v>8.0</v>
      </c>
      <c r="J127" s="187"/>
      <c r="K127" s="167"/>
      <c r="L127" s="184" t="s">
        <v>88</v>
      </c>
      <c r="M127" s="167">
        <v>2.0</v>
      </c>
      <c r="N127" s="184" t="s">
        <v>128</v>
      </c>
      <c r="O127" s="167">
        <v>1.0</v>
      </c>
      <c r="P127" s="184" t="s">
        <v>51</v>
      </c>
      <c r="Q127" s="167">
        <v>7.0</v>
      </c>
      <c r="R127" s="184" t="s">
        <v>124</v>
      </c>
      <c r="S127" s="167">
        <v>6.0</v>
      </c>
      <c r="T127" s="188"/>
      <c r="U127" s="189"/>
      <c r="V127" s="184" t="s">
        <v>24</v>
      </c>
      <c r="W127" s="167">
        <v>3.0</v>
      </c>
      <c r="X127" s="142">
        <v>1.0</v>
      </c>
      <c r="Y127" s="142">
        <v>1.0</v>
      </c>
      <c r="Z127" s="142">
        <v>1.0</v>
      </c>
      <c r="AA127" s="142">
        <v>1.0</v>
      </c>
      <c r="AB127" s="142">
        <v>1.0</v>
      </c>
      <c r="AC127" s="142">
        <v>1.0</v>
      </c>
      <c r="AD127" s="142">
        <v>1.0</v>
      </c>
      <c r="AE127" s="142">
        <v>1.0</v>
      </c>
      <c r="AF127" s="142">
        <v>8.0</v>
      </c>
      <c r="AG127" s="142">
        <v>0.0</v>
      </c>
      <c r="AH127" s="185" t="str">
        <f>IFERROR(__xludf.DUMMYFUNCTION("if($C127="""","""",if(join("" - "",{iferror(filter('Student Groupings'!$A:$A,'Student Groupings'!$B:$B=$C127,'Student Groupings'!$H:$H=""Can't be Together""),"""");iferror(filter('Student Groupings'!$A:$A,'Student Groupings'!$E:$E=$C127,'Student Groupings"&amp;"'!$H:$H=""Can't be Together""),"""")})="" - "","""",join("" - "",{iferror(filter('Student Groupings'!$A:$A,'Student Groupings'!$B:$B=$C127,'Student Groupings'!$H:$H=""Can't be Together""),"""");iferror(filter('Student Groupings'!$A:$A,'Student Groupings'!"&amp;"$E:$E=$C127,'Student Groupings'!$H:$H=""Can't be Together""),"""")})))"),"")</f>
        <v/>
      </c>
      <c r="AI127" s="185" t="str">
        <f>IFERROR(__xludf.DUMMYFUNCTION("if($C127="""","""",if(join("" - "",{iferror(filter('Student Groupings'!$A:$A,'Student Groupings'!$B:$B=$C127,'Student Groupings'!$H:$H=""Must be Together""),"""");iferror(filter('Student Groupings'!$A:$A,'Student Groupings'!$E:$E=$C127,'Student Groupings'"&amp;"!$H:$H=""Must be Together""),"""")})="" - "","""",join("" - "",{iferror(filter('Student Groupings'!$A:$A,'Student Groupings'!$B:$B=$C127,'Student Groupings'!$H:$H=""Must be Together""),"""");iferror(filter('Student Groupings'!$A:$A,'Student Groupings'!$E:"&amp;"$E=$C127,'Student Groupings'!$H:$H=""Must be Together""),"""")})))")," - 125")</f>
        <v> - 125</v>
      </c>
    </row>
    <row r="128">
      <c r="A128" s="167">
        <v>9.0</v>
      </c>
      <c r="B128" s="168">
        <v>29126.0</v>
      </c>
      <c r="C128" s="144" t="s">
        <v>280</v>
      </c>
      <c r="D128" s="180" t="s">
        <v>40</v>
      </c>
      <c r="E128" s="181">
        <v>1.0</v>
      </c>
      <c r="F128" s="167" t="s">
        <v>61</v>
      </c>
      <c r="G128" s="167">
        <v>8.0</v>
      </c>
      <c r="H128" s="182" t="s">
        <v>73</v>
      </c>
      <c r="I128" s="167">
        <v>3.0</v>
      </c>
      <c r="J128" s="187"/>
      <c r="K128" s="167"/>
      <c r="L128" s="184" t="s">
        <v>88</v>
      </c>
      <c r="M128" s="167">
        <v>2.0</v>
      </c>
      <c r="N128" s="184" t="s">
        <v>128</v>
      </c>
      <c r="O128" s="167">
        <v>5.0</v>
      </c>
      <c r="P128" s="184" t="s">
        <v>51</v>
      </c>
      <c r="Q128" s="167">
        <v>4.0</v>
      </c>
      <c r="R128" s="184" t="s">
        <v>124</v>
      </c>
      <c r="S128" s="167">
        <v>6.0</v>
      </c>
      <c r="T128" s="188"/>
      <c r="U128" s="167"/>
      <c r="V128" s="184" t="s">
        <v>24</v>
      </c>
      <c r="W128" s="167">
        <v>7.0</v>
      </c>
      <c r="X128" s="142">
        <v>1.0</v>
      </c>
      <c r="Y128" s="142">
        <v>1.0</v>
      </c>
      <c r="Z128" s="142">
        <v>1.0</v>
      </c>
      <c r="AA128" s="142">
        <v>1.0</v>
      </c>
      <c r="AB128" s="142">
        <v>1.0</v>
      </c>
      <c r="AC128" s="142">
        <v>1.0</v>
      </c>
      <c r="AD128" s="142">
        <v>1.0</v>
      </c>
      <c r="AE128" s="142">
        <v>1.0</v>
      </c>
      <c r="AF128" s="142">
        <v>8.0</v>
      </c>
      <c r="AG128" s="142">
        <v>0.0</v>
      </c>
      <c r="AH128" s="185" t="str">
        <f>IFERROR(__xludf.DUMMYFUNCTION("if($C128="""","""",if(join("" - "",{iferror(filter('Student Groupings'!$A:$A,'Student Groupings'!$B:$B=$C128,'Student Groupings'!$H:$H=""Can't be Together""),"""");iferror(filter('Student Groupings'!$A:$A,'Student Groupings'!$E:$E=$C128,'Student Groupings"&amp;"'!$H:$H=""Can't be Together""),"""")})="" - "","""",join("" - "",{iferror(filter('Student Groupings'!$A:$A,'Student Groupings'!$B:$B=$C128,'Student Groupings'!$H:$H=""Can't be Together""),"""");iferror(filter('Student Groupings'!$A:$A,'Student Groupings'!"&amp;"$E:$E=$C128,'Student Groupings'!$H:$H=""Can't be Together""),"""")})))"),"")</f>
        <v/>
      </c>
      <c r="AI128" s="185" t="str">
        <f>IFERROR(__xludf.DUMMYFUNCTION("if($C128="""","""",if(join("" - "",{iferror(filter('Student Groupings'!$A:$A,'Student Groupings'!$B:$B=$C128,'Student Groupings'!$H:$H=""Must be Together""),"""");iferror(filter('Student Groupings'!$A:$A,'Student Groupings'!$E:$E=$C128,'Student Groupings'"&amp;"!$H:$H=""Must be Together""),"""")})="" - "","""",join("" - "",{iferror(filter('Student Groupings'!$A:$A,'Student Groupings'!$B:$B=$C128,'Student Groupings'!$H:$H=""Must be Together""),"""");iferror(filter('Student Groupings'!$A:$A,'Student Groupings'!$E:"&amp;"$E=$C128,'Student Groupings'!$H:$H=""Must be Together""),"""")})))"),"97 - 98 - 99 - 100 - ")</f>
        <v>97 - 98 - 99 - 100 - </v>
      </c>
    </row>
    <row r="129">
      <c r="A129" s="167">
        <v>9.0</v>
      </c>
      <c r="B129" s="168">
        <v>29098.0</v>
      </c>
      <c r="C129" s="144" t="s">
        <v>281</v>
      </c>
      <c r="D129" s="180" t="s">
        <v>40</v>
      </c>
      <c r="E129" s="181">
        <v>6.0</v>
      </c>
      <c r="F129" s="167" t="s">
        <v>61</v>
      </c>
      <c r="G129" s="167">
        <v>4.0</v>
      </c>
      <c r="H129" s="182" t="s">
        <v>76</v>
      </c>
      <c r="I129" s="167">
        <v>8.0</v>
      </c>
      <c r="J129" s="187"/>
      <c r="K129" s="167"/>
      <c r="L129" s="184" t="s">
        <v>88</v>
      </c>
      <c r="M129" s="167">
        <v>2.0</v>
      </c>
      <c r="N129" s="184" t="s">
        <v>128</v>
      </c>
      <c r="O129" s="167">
        <v>1.0</v>
      </c>
      <c r="P129" s="184" t="s">
        <v>51</v>
      </c>
      <c r="Q129" s="167">
        <v>7.0</v>
      </c>
      <c r="R129" s="184" t="s">
        <v>120</v>
      </c>
      <c r="S129" s="167">
        <v>3.0</v>
      </c>
      <c r="T129" s="188"/>
      <c r="U129" s="167"/>
      <c r="V129" s="184" t="s">
        <v>30</v>
      </c>
      <c r="W129" s="167">
        <v>5.0</v>
      </c>
      <c r="X129" s="142">
        <v>1.0</v>
      </c>
      <c r="Y129" s="142">
        <v>1.0</v>
      </c>
      <c r="Z129" s="142">
        <v>1.0</v>
      </c>
      <c r="AA129" s="142">
        <v>1.0</v>
      </c>
      <c r="AB129" s="142">
        <v>1.0</v>
      </c>
      <c r="AC129" s="142">
        <v>1.0</v>
      </c>
      <c r="AD129" s="142">
        <v>1.0</v>
      </c>
      <c r="AE129" s="142">
        <v>1.0</v>
      </c>
      <c r="AF129" s="142">
        <v>8.0</v>
      </c>
      <c r="AG129" s="142">
        <v>0.0</v>
      </c>
      <c r="AH129" s="185" t="str">
        <f>IFERROR(__xludf.DUMMYFUNCTION("if($C129="""","""",if(join("" - "",{iferror(filter('Student Groupings'!$A:$A,'Student Groupings'!$B:$B=$C129,'Student Groupings'!$H:$H=""Can't be Together""),"""");iferror(filter('Student Groupings'!$A:$A,'Student Groupings'!$E:$E=$C129,'Student Groupings"&amp;"'!$H:$H=""Can't be Together""),"""")})="" - "","""",join("" - "",{iferror(filter('Student Groupings'!$A:$A,'Student Groupings'!$B:$B=$C129,'Student Groupings'!$H:$H=""Can't be Together""),"""");iferror(filter('Student Groupings'!$A:$A,'Student Groupings'!"&amp;"$E:$E=$C129,'Student Groupings'!$H:$H=""Can't be Together""),"""")})))"),"")</f>
        <v/>
      </c>
      <c r="AI129" s="185" t="str">
        <f>IFERROR(__xludf.DUMMYFUNCTION("if($C129="""","""",if(join("" - "",{iferror(filter('Student Groupings'!$A:$A,'Student Groupings'!$B:$B=$C129,'Student Groupings'!$H:$H=""Must be Together""),"""");iferror(filter('Student Groupings'!$A:$A,'Student Groupings'!$E:$E=$C129,'Student Groupings'"&amp;"!$H:$H=""Must be Together""),"""")})="" - "","""",join("" - "",{iferror(filter('Student Groupings'!$A:$A,'Student Groupings'!$B:$B=$C129,'Student Groupings'!$H:$H=""Must be Together""),"""");iferror(filter('Student Groupings'!$A:$A,'Student Groupings'!$E:"&amp;"$E=$C129,'Student Groupings'!$H:$H=""Must be Together""),"""")})))"),"")</f>
        <v/>
      </c>
    </row>
    <row r="130">
      <c r="A130" s="167">
        <v>9.0</v>
      </c>
      <c r="B130" s="168">
        <v>29083.0</v>
      </c>
      <c r="C130" s="144" t="s">
        <v>282</v>
      </c>
      <c r="D130" s="180" t="s">
        <v>40</v>
      </c>
      <c r="E130" s="181">
        <v>1.0</v>
      </c>
      <c r="F130" s="167" t="s">
        <v>61</v>
      </c>
      <c r="G130" s="167">
        <v>4.0</v>
      </c>
      <c r="H130" s="182" t="s">
        <v>73</v>
      </c>
      <c r="I130" s="167">
        <v>7.0</v>
      </c>
      <c r="J130" s="183"/>
      <c r="K130" s="167"/>
      <c r="L130" s="184" t="s">
        <v>88</v>
      </c>
      <c r="M130" s="201">
        <v>3.0</v>
      </c>
      <c r="N130" s="184" t="s">
        <v>128</v>
      </c>
      <c r="O130" s="167">
        <v>5.0</v>
      </c>
      <c r="P130" s="184" t="s">
        <v>51</v>
      </c>
      <c r="Q130" s="202">
        <v>2.0</v>
      </c>
      <c r="R130" s="184" t="s">
        <v>124</v>
      </c>
      <c r="S130" s="202">
        <v>6.0</v>
      </c>
      <c r="T130" s="188"/>
      <c r="U130" s="167"/>
      <c r="V130" s="203" t="s">
        <v>30</v>
      </c>
      <c r="W130" s="202">
        <v>8.0</v>
      </c>
      <c r="X130" s="142">
        <v>1.0</v>
      </c>
      <c r="Y130" s="142">
        <v>1.0</v>
      </c>
      <c r="Z130" s="142">
        <v>1.0</v>
      </c>
      <c r="AA130" s="142">
        <v>1.0</v>
      </c>
      <c r="AB130" s="142">
        <v>1.0</v>
      </c>
      <c r="AC130" s="142">
        <v>1.0</v>
      </c>
      <c r="AD130" s="142">
        <v>1.0</v>
      </c>
      <c r="AE130" s="142">
        <v>1.0</v>
      </c>
      <c r="AF130" s="142">
        <v>8.0</v>
      </c>
      <c r="AG130" s="142">
        <v>0.0</v>
      </c>
      <c r="AH130" s="185" t="str">
        <f>IFERROR(__xludf.DUMMYFUNCTION("if($C130="""","""",if(join("" - "",{iferror(filter('Student Groupings'!$A:$A,'Student Groupings'!$B:$B=$C130,'Student Groupings'!$H:$H=""Can't be Together""),"""");iferror(filter('Student Groupings'!$A:$A,'Student Groupings'!$E:$E=$C130,'Student Groupings"&amp;"'!$H:$H=""Can't be Together""),"""")})="" - "","""",join("" - "",{iferror(filter('Student Groupings'!$A:$A,'Student Groupings'!$B:$B=$C130,'Student Groupings'!$H:$H=""Can't be Together""),"""");iferror(filter('Student Groupings'!$A:$A,'Student Groupings'!"&amp;"$E:$E=$C130,'Student Groupings'!$H:$H=""Can't be Together""),"""")})))"),"121 - 126 -  - ")</f>
        <v>121 - 126 -  - </v>
      </c>
      <c r="AI130" s="185" t="str">
        <f>IFERROR(__xludf.DUMMYFUNCTION("if($C130="""","""",if(join("" - "",{iferror(filter('Student Groupings'!$A:$A,'Student Groupings'!$B:$B=$C130,'Student Groupings'!$H:$H=""Must be Together""),"""");iferror(filter('Student Groupings'!$A:$A,'Student Groupings'!$E:$E=$C130,'Student Groupings'"&amp;"!$H:$H=""Must be Together""),"""")})="" - "","""",join("" - "",{iferror(filter('Student Groupings'!$A:$A,'Student Groupings'!$B:$B=$C130,'Student Groupings'!$H:$H=""Must be Together""),"""");iferror(filter('Student Groupings'!$A:$A,'Student Groupings'!$E:"&amp;"$E=$C130,'Student Groupings'!$H:$H=""Must be Together""),"""")})))"),"59 - 119 - ")</f>
        <v>59 - 119 - </v>
      </c>
    </row>
    <row r="131">
      <c r="A131" s="167">
        <v>9.0</v>
      </c>
      <c r="B131" s="168">
        <v>29023.0</v>
      </c>
      <c r="C131" s="144" t="s">
        <v>283</v>
      </c>
      <c r="D131" s="180" t="s">
        <v>40</v>
      </c>
      <c r="E131" s="181">
        <v>5.0</v>
      </c>
      <c r="F131" s="180" t="s">
        <v>61</v>
      </c>
      <c r="G131" s="180">
        <v>6.0</v>
      </c>
      <c r="H131" s="182" t="s">
        <v>76</v>
      </c>
      <c r="I131" s="180">
        <v>8.0</v>
      </c>
      <c r="J131" s="187"/>
      <c r="K131" s="180"/>
      <c r="L131" s="184" t="s">
        <v>88</v>
      </c>
      <c r="M131" s="180">
        <v>3.0</v>
      </c>
      <c r="N131" s="184" t="s">
        <v>128</v>
      </c>
      <c r="O131" s="167">
        <v>2.0</v>
      </c>
      <c r="P131" s="184" t="s">
        <v>51</v>
      </c>
      <c r="Q131" s="167">
        <v>4.0</v>
      </c>
      <c r="R131" s="184" t="s">
        <v>120</v>
      </c>
      <c r="S131" s="167">
        <v>1.0</v>
      </c>
      <c r="T131" s="183"/>
      <c r="U131" s="167"/>
      <c r="V131" s="184" t="s">
        <v>30</v>
      </c>
      <c r="W131" s="167">
        <v>7.0</v>
      </c>
      <c r="X131" s="142">
        <v>1.0</v>
      </c>
      <c r="Y131" s="142">
        <v>1.0</v>
      </c>
      <c r="Z131" s="142">
        <v>1.0</v>
      </c>
      <c r="AA131" s="142">
        <v>1.0</v>
      </c>
      <c r="AB131" s="142">
        <v>1.0</v>
      </c>
      <c r="AC131" s="142">
        <v>1.0</v>
      </c>
      <c r="AD131" s="142">
        <v>1.0</v>
      </c>
      <c r="AE131" s="142">
        <v>1.0</v>
      </c>
      <c r="AF131" s="142">
        <v>8.0</v>
      </c>
      <c r="AG131" s="142">
        <v>0.0</v>
      </c>
      <c r="AH131" s="185" t="str">
        <f>IFERROR(__xludf.DUMMYFUNCTION("if($C131="""","""",if(join("" - "",{iferror(filter('Student Groupings'!$A:$A,'Student Groupings'!$B:$B=$C131,'Student Groupings'!$H:$H=""Can't be Together""),"""");iferror(filter('Student Groupings'!$A:$A,'Student Groupings'!$E:$E=$C131,'Student Groupings"&amp;"'!$H:$H=""Can't be Together""),"""")})="" - "","""",join("" - "",{iferror(filter('Student Groupings'!$A:$A,'Student Groupings'!$B:$B=$C131,'Student Groupings'!$H:$H=""Can't be Together""),"""");iferror(filter('Student Groupings'!$A:$A,'Student Groupings'!"&amp;"$E:$E=$C131,'Student Groupings'!$H:$H=""Can't be Together""),"""")})))"),"")</f>
        <v/>
      </c>
      <c r="AI131" s="185" t="str">
        <f>IFERROR(__xludf.DUMMYFUNCTION("if($C131="""","""",if(join("" - "",{iferror(filter('Student Groupings'!$A:$A,'Student Groupings'!$B:$B=$C131,'Student Groupings'!$H:$H=""Must be Together""),"""");iferror(filter('Student Groupings'!$A:$A,'Student Groupings'!$E:$E=$C131,'Student Groupings'"&amp;"!$H:$H=""Must be Together""),"""")})="" - "","""",join("" - "",{iferror(filter('Student Groupings'!$A:$A,'Student Groupings'!$B:$B=$C131,'Student Groupings'!$H:$H=""Must be Together""),"""");iferror(filter('Student Groupings'!$A:$A,'Student Groupings'!$E:"&amp;"$E=$C131,'Student Groupings'!$H:$H=""Must be Together""),"""")})))"),"")</f>
        <v/>
      </c>
    </row>
    <row r="132">
      <c r="A132" s="167">
        <v>10.0</v>
      </c>
      <c r="B132" s="168">
        <v>28042.0</v>
      </c>
      <c r="C132" s="144" t="s">
        <v>284</v>
      </c>
      <c r="D132" s="180" t="s">
        <v>48</v>
      </c>
      <c r="E132" s="181">
        <v>1.0</v>
      </c>
      <c r="F132" s="167" t="s">
        <v>64</v>
      </c>
      <c r="G132" s="167">
        <v>6.0</v>
      </c>
      <c r="H132" s="182" t="s">
        <v>81</v>
      </c>
      <c r="I132" s="167">
        <v>2.0</v>
      </c>
      <c r="J132" s="187"/>
      <c r="K132" s="167"/>
      <c r="L132" s="184" t="s">
        <v>95</v>
      </c>
      <c r="M132" s="167">
        <v>8.0</v>
      </c>
      <c r="N132" s="184" t="s">
        <v>130</v>
      </c>
      <c r="O132" s="167">
        <v>5.0</v>
      </c>
      <c r="P132" s="184" t="s">
        <v>103</v>
      </c>
      <c r="Q132" s="167">
        <v>3.0</v>
      </c>
      <c r="R132" s="184" t="s">
        <v>56</v>
      </c>
      <c r="S132" s="167">
        <v>7.0</v>
      </c>
      <c r="T132" s="183"/>
      <c r="U132" s="167"/>
      <c r="V132" s="184" t="s">
        <v>86</v>
      </c>
      <c r="W132" s="180">
        <v>4.0</v>
      </c>
      <c r="X132" s="142">
        <v>1.0</v>
      </c>
      <c r="Y132" s="142">
        <v>1.0</v>
      </c>
      <c r="Z132" s="142">
        <v>1.0</v>
      </c>
      <c r="AA132" s="142">
        <v>1.0</v>
      </c>
      <c r="AB132" s="142">
        <v>1.0</v>
      </c>
      <c r="AC132" s="142">
        <v>1.0</v>
      </c>
      <c r="AD132" s="142">
        <v>1.0</v>
      </c>
      <c r="AE132" s="142">
        <v>1.0</v>
      </c>
      <c r="AF132" s="142">
        <v>8.0</v>
      </c>
      <c r="AG132" s="142">
        <v>0.0</v>
      </c>
      <c r="AH132" s="185" t="str">
        <f>IFERROR(__xludf.DUMMYFUNCTION("if($C132="""","""",if(join("" - "",{iferror(filter('Student Groupings'!$A:$A,'Student Groupings'!$B:$B=$C132,'Student Groupings'!$H:$H=""Can't be Together""),"""");iferror(filter('Student Groupings'!$A:$A,'Student Groupings'!$E:$E=$C132,'Student Groupings"&amp;"'!$H:$H=""Can't be Together""),"""")})="" - "","""",join("" - "",{iferror(filter('Student Groupings'!$A:$A,'Student Groupings'!$B:$B=$C132,'Student Groupings'!$H:$H=""Can't be Together""),"""");iferror(filter('Student Groupings'!$A:$A,'Student Groupings'!"&amp;"$E:$E=$C132,'Student Groupings'!$H:$H=""Can't be Together""),"""")})))"),"3 - ")</f>
        <v>3 - </v>
      </c>
      <c r="AI132" s="185" t="str">
        <f>IFERROR(__xludf.DUMMYFUNCTION("if($C132="""","""",if(join("" - "",{iferror(filter('Student Groupings'!$A:$A,'Student Groupings'!$B:$B=$C132,'Student Groupings'!$H:$H=""Must be Together""),"""");iferror(filter('Student Groupings'!$A:$A,'Student Groupings'!$E:$E=$C132,'Student Groupings'"&amp;"!$H:$H=""Must be Together""),"""")})="" - "","""",join("" - "",{iferror(filter('Student Groupings'!$A:$A,'Student Groupings'!$B:$B=$C132,'Student Groupings'!$H:$H=""Must be Together""),"""");iferror(filter('Student Groupings'!$A:$A,'Student Groupings'!$E:"&amp;"$E=$C132,'Student Groupings'!$H:$H=""Must be Together""),"""")})))")," - 122")</f>
        <v> - 122</v>
      </c>
    </row>
    <row r="133">
      <c r="A133" s="167">
        <v>10.0</v>
      </c>
      <c r="B133" s="168">
        <v>28116.0</v>
      </c>
      <c r="C133" s="144" t="s">
        <v>285</v>
      </c>
      <c r="D133" s="180" t="s">
        <v>48</v>
      </c>
      <c r="E133" s="181">
        <v>6.0</v>
      </c>
      <c r="F133" s="167" t="s">
        <v>64</v>
      </c>
      <c r="G133" s="167">
        <v>4.0</v>
      </c>
      <c r="H133" s="182" t="s">
        <v>81</v>
      </c>
      <c r="I133" s="167">
        <v>3.0</v>
      </c>
      <c r="J133" s="187"/>
      <c r="K133" s="167"/>
      <c r="L133" s="184" t="s">
        <v>95</v>
      </c>
      <c r="M133" s="167">
        <v>7.0</v>
      </c>
      <c r="N133" s="184" t="s">
        <v>130</v>
      </c>
      <c r="O133" s="167">
        <v>1.0</v>
      </c>
      <c r="P133" s="184" t="s">
        <v>103</v>
      </c>
      <c r="Q133" s="167">
        <v>2.0</v>
      </c>
      <c r="R133" s="184" t="s">
        <v>56</v>
      </c>
      <c r="S133" s="167">
        <v>5.0</v>
      </c>
      <c r="T133" s="188"/>
      <c r="U133" s="167"/>
      <c r="V133" s="184" t="s">
        <v>86</v>
      </c>
      <c r="W133" s="167">
        <v>8.0</v>
      </c>
      <c r="X133" s="142">
        <v>1.0</v>
      </c>
      <c r="Y133" s="142">
        <v>1.0</v>
      </c>
      <c r="Z133" s="142">
        <v>1.0</v>
      </c>
      <c r="AA133" s="142">
        <v>1.0</v>
      </c>
      <c r="AB133" s="142">
        <v>1.0</v>
      </c>
      <c r="AC133" s="142">
        <v>1.0</v>
      </c>
      <c r="AD133" s="142">
        <v>1.0</v>
      </c>
      <c r="AE133" s="142">
        <v>1.0</v>
      </c>
      <c r="AF133" s="142">
        <v>8.0</v>
      </c>
      <c r="AG133" s="142">
        <v>0.0</v>
      </c>
      <c r="AH133" s="185" t="str">
        <f>IFERROR(__xludf.DUMMYFUNCTION("if($C133="""","""",if(join("" - "",{iferror(filter('Student Groupings'!$A:$A,'Student Groupings'!$B:$B=$C133,'Student Groupings'!$H:$H=""Can't be Together""),"""");iferror(filter('Student Groupings'!$A:$A,'Student Groupings'!$E:$E=$C133,'Student Groupings"&amp;"'!$H:$H=""Can't be Together""),"""")})="" - "","""",join("" - "",{iferror(filter('Student Groupings'!$A:$A,'Student Groupings'!$B:$B=$C133,'Student Groupings'!$H:$H=""Can't be Together""),"""");iferror(filter('Student Groupings'!$A:$A,'Student Groupings'!"&amp;"$E:$E=$C133,'Student Groupings'!$H:$H=""Can't be Together""),"""")})))"),"")</f>
        <v/>
      </c>
      <c r="AI133" s="185" t="str">
        <f>IFERROR(__xludf.DUMMYFUNCTION("if($C133="""","""",if(join("" - "",{iferror(filter('Student Groupings'!$A:$A,'Student Groupings'!$B:$B=$C133,'Student Groupings'!$H:$H=""Must be Together""),"""");iferror(filter('Student Groupings'!$A:$A,'Student Groupings'!$E:$E=$C133,'Student Groupings'"&amp;"!$H:$H=""Must be Together""),"""")})="" - "","""",join("" - "",{iferror(filter('Student Groupings'!$A:$A,'Student Groupings'!$B:$B=$C133,'Student Groupings'!$H:$H=""Must be Together""),"""");iferror(filter('Student Groupings'!$A:$A,'Student Groupings'!$E:"&amp;"$E=$C133,'Student Groupings'!$H:$H=""Must be Together""),"""")})))")," - 72 - 102")</f>
        <v> - 72 - 102</v>
      </c>
    </row>
    <row r="134">
      <c r="A134" s="167">
        <v>10.0</v>
      </c>
      <c r="B134" s="168">
        <v>28013.0</v>
      </c>
      <c r="C134" s="144" t="s">
        <v>286</v>
      </c>
      <c r="D134" s="180" t="s">
        <v>37</v>
      </c>
      <c r="E134" s="181">
        <v>5.0</v>
      </c>
      <c r="F134" s="167" t="s">
        <v>64</v>
      </c>
      <c r="G134" s="167">
        <v>6.0</v>
      </c>
      <c r="H134" s="182" t="s">
        <v>81</v>
      </c>
      <c r="I134" s="167">
        <v>2.0</v>
      </c>
      <c r="J134" s="187"/>
      <c r="K134" s="167"/>
      <c r="L134" s="184" t="s">
        <v>95</v>
      </c>
      <c r="M134" s="167">
        <v>1.0</v>
      </c>
      <c r="N134" s="184" t="s">
        <v>130</v>
      </c>
      <c r="O134" s="167">
        <v>7.0</v>
      </c>
      <c r="P134" s="182" t="s">
        <v>100</v>
      </c>
      <c r="Q134" s="167">
        <v>4.0</v>
      </c>
      <c r="R134" s="184" t="s">
        <v>56</v>
      </c>
      <c r="S134" s="167">
        <v>8.0</v>
      </c>
      <c r="T134" s="188"/>
      <c r="U134" s="167"/>
      <c r="V134" s="184" t="s">
        <v>117</v>
      </c>
      <c r="W134" s="167">
        <v>3.0</v>
      </c>
      <c r="X134" s="142">
        <v>1.0</v>
      </c>
      <c r="Y134" s="142">
        <v>1.0</v>
      </c>
      <c r="Z134" s="142">
        <v>1.0</v>
      </c>
      <c r="AA134" s="142">
        <v>1.0</v>
      </c>
      <c r="AB134" s="142">
        <v>1.0</v>
      </c>
      <c r="AC134" s="142">
        <v>1.0</v>
      </c>
      <c r="AD134" s="142">
        <v>1.0</v>
      </c>
      <c r="AE134" s="142">
        <v>1.0</v>
      </c>
      <c r="AF134" s="142">
        <v>8.0</v>
      </c>
      <c r="AG134" s="142">
        <v>0.0</v>
      </c>
      <c r="AH134" s="185" t="str">
        <f>IFERROR(__xludf.DUMMYFUNCTION("if($C134="""","""",if(join("" - "",{iferror(filter('Student Groupings'!$A:$A,'Student Groupings'!$B:$B=$C134,'Student Groupings'!$H:$H=""Can't be Together""),"""");iferror(filter('Student Groupings'!$A:$A,'Student Groupings'!$E:$E=$C134,'Student Groupings"&amp;"'!$H:$H=""Can't be Together""),"""")})="" - "","""",join("" - "",{iferror(filter('Student Groupings'!$A:$A,'Student Groupings'!$B:$B=$C134,'Student Groupings'!$H:$H=""Can't be Together""),"""");iferror(filter('Student Groupings'!$A:$A,'Student Groupings'!"&amp;"$E:$E=$C134,'Student Groupings'!$H:$H=""Can't be Together""),"""")})))"),"")</f>
        <v/>
      </c>
      <c r="AI134" s="185" t="str">
        <f>IFERROR(__xludf.DUMMYFUNCTION("if($C134="""","""",if(join("" - "",{iferror(filter('Student Groupings'!$A:$A,'Student Groupings'!$B:$B=$C134,'Student Groupings'!$H:$H=""Must be Together""),"""");iferror(filter('Student Groupings'!$A:$A,'Student Groupings'!$E:$E=$C134,'Student Groupings'"&amp;"!$H:$H=""Must be Together""),"""")})="" - "","""",join("" - "",{iferror(filter('Student Groupings'!$A:$A,'Student Groupings'!$B:$B=$C134,'Student Groupings'!$H:$H=""Must be Together""),"""");iferror(filter('Student Groupings'!$A:$A,'Student Groupings'!$E:"&amp;"$E=$C134,'Student Groupings'!$H:$H=""Must be Together""),"""")})))"),"")</f>
        <v/>
      </c>
    </row>
    <row r="135">
      <c r="A135" s="167">
        <v>10.0</v>
      </c>
      <c r="B135" s="168">
        <v>28045.0</v>
      </c>
      <c r="C135" s="144" t="s">
        <v>287</v>
      </c>
      <c r="D135" s="180" t="s">
        <v>37</v>
      </c>
      <c r="E135" s="181">
        <v>5.0</v>
      </c>
      <c r="F135" s="167" t="s">
        <v>64</v>
      </c>
      <c r="G135" s="167">
        <v>8.0</v>
      </c>
      <c r="H135" s="182" t="s">
        <v>76</v>
      </c>
      <c r="I135" s="167">
        <v>6.0</v>
      </c>
      <c r="J135" s="187"/>
      <c r="K135" s="167"/>
      <c r="L135" s="184" t="s">
        <v>95</v>
      </c>
      <c r="M135" s="167">
        <v>2.0</v>
      </c>
      <c r="N135" s="184" t="s">
        <v>130</v>
      </c>
      <c r="O135" s="167">
        <v>1.0</v>
      </c>
      <c r="P135" s="182" t="s">
        <v>100</v>
      </c>
      <c r="Q135" s="167">
        <v>7.0</v>
      </c>
      <c r="R135" s="184" t="s">
        <v>56</v>
      </c>
      <c r="S135" s="167">
        <v>3.0</v>
      </c>
      <c r="T135" s="183"/>
      <c r="U135" s="167"/>
      <c r="V135" s="184" t="s">
        <v>86</v>
      </c>
      <c r="W135" s="167">
        <v>4.0</v>
      </c>
      <c r="X135" s="142">
        <v>1.0</v>
      </c>
      <c r="Y135" s="142">
        <v>1.0</v>
      </c>
      <c r="Z135" s="142">
        <v>1.0</v>
      </c>
      <c r="AA135" s="142">
        <v>1.0</v>
      </c>
      <c r="AB135" s="142">
        <v>1.0</v>
      </c>
      <c r="AC135" s="142">
        <v>1.0</v>
      </c>
      <c r="AD135" s="142">
        <v>1.0</v>
      </c>
      <c r="AE135" s="142">
        <v>1.0</v>
      </c>
      <c r="AF135" s="142">
        <v>8.0</v>
      </c>
      <c r="AG135" s="142">
        <v>0.0</v>
      </c>
      <c r="AH135" s="185" t="str">
        <f>IFERROR(__xludf.DUMMYFUNCTION("if($C135="""","""",if(join("" - "",{iferror(filter('Student Groupings'!$A:$A,'Student Groupings'!$B:$B=$C135,'Student Groupings'!$H:$H=""Can't be Together""),"""");iferror(filter('Student Groupings'!$A:$A,'Student Groupings'!$E:$E=$C135,'Student Groupings"&amp;"'!$H:$H=""Can't be Together""),"""")})="" - "","""",join("" - "",{iferror(filter('Student Groupings'!$A:$A,'Student Groupings'!$B:$B=$C135,'Student Groupings'!$H:$H=""Can't be Together""),"""");iferror(filter('Student Groupings'!$A:$A,'Student Groupings'!"&amp;"$E:$E=$C135,'Student Groupings'!$H:$H=""Can't be Together""),"""")})))"),"")</f>
        <v/>
      </c>
      <c r="AI135" s="185" t="str">
        <f>IFERROR(__xludf.DUMMYFUNCTION("if($C135="""","""",if(join("" - "",{iferror(filter('Student Groupings'!$A:$A,'Student Groupings'!$B:$B=$C135,'Student Groupings'!$H:$H=""Must be Together""),"""");iferror(filter('Student Groupings'!$A:$A,'Student Groupings'!$E:$E=$C135,'Student Groupings'"&amp;"!$H:$H=""Must be Together""),"""")})="" - "","""",join("" - "",{iferror(filter('Student Groupings'!$A:$A,'Student Groupings'!$B:$B=$C135,'Student Groupings'!$H:$H=""Must be Together""),"""");iferror(filter('Student Groupings'!$A:$A,'Student Groupings'!$E:"&amp;"$E=$C135,'Student Groupings'!$H:$H=""Must be Together""),"""")})))"),"")</f>
        <v/>
      </c>
    </row>
    <row r="136">
      <c r="A136" s="167">
        <v>10.0</v>
      </c>
      <c r="B136" s="168">
        <v>28022.0</v>
      </c>
      <c r="C136" s="144" t="s">
        <v>288</v>
      </c>
      <c r="D136" s="180" t="s">
        <v>48</v>
      </c>
      <c r="E136" s="181">
        <v>5.0</v>
      </c>
      <c r="F136" s="167" t="s">
        <v>64</v>
      </c>
      <c r="G136" s="167">
        <v>6.0</v>
      </c>
      <c r="H136" s="182" t="s">
        <v>81</v>
      </c>
      <c r="I136" s="167">
        <v>3.0</v>
      </c>
      <c r="J136" s="187"/>
      <c r="K136" s="167"/>
      <c r="L136" s="184" t="s">
        <v>95</v>
      </c>
      <c r="M136" s="167">
        <v>1.0</v>
      </c>
      <c r="N136" s="184" t="s">
        <v>130</v>
      </c>
      <c r="O136" s="167">
        <v>2.0</v>
      </c>
      <c r="P136" s="184" t="s">
        <v>103</v>
      </c>
      <c r="Q136" s="167">
        <v>4.0</v>
      </c>
      <c r="R136" s="184" t="s">
        <v>56</v>
      </c>
      <c r="S136" s="167">
        <v>7.0</v>
      </c>
      <c r="T136" s="188"/>
      <c r="U136" s="142"/>
      <c r="V136" s="184" t="s">
        <v>86</v>
      </c>
      <c r="W136" s="167">
        <v>8.0</v>
      </c>
      <c r="X136" s="142">
        <v>1.0</v>
      </c>
      <c r="Y136" s="142">
        <v>1.0</v>
      </c>
      <c r="Z136" s="142">
        <v>1.0</v>
      </c>
      <c r="AA136" s="142">
        <v>1.0</v>
      </c>
      <c r="AB136" s="142">
        <v>1.0</v>
      </c>
      <c r="AC136" s="142">
        <v>1.0</v>
      </c>
      <c r="AD136" s="142">
        <v>1.0</v>
      </c>
      <c r="AE136" s="142">
        <v>1.0</v>
      </c>
      <c r="AF136" s="142">
        <v>8.0</v>
      </c>
      <c r="AG136" s="142">
        <v>0.0</v>
      </c>
      <c r="AH136" s="185" t="str">
        <f>IFERROR(__xludf.DUMMYFUNCTION("if($C136="""","""",if(join("" - "",{iferror(filter('Student Groupings'!$A:$A,'Student Groupings'!$B:$B=$C136,'Student Groupings'!$H:$H=""Can't be Together""),"""");iferror(filter('Student Groupings'!$A:$A,'Student Groupings'!$E:$E=$C136,'Student Groupings"&amp;"'!$H:$H=""Can't be Together""),"""")})="" - "","""",join("" - "",{iferror(filter('Student Groupings'!$A:$A,'Student Groupings'!$B:$B=$C136,'Student Groupings'!$H:$H=""Can't be Together""),"""");iferror(filter('Student Groupings'!$A:$A,'Student Groupings'!"&amp;"$E:$E=$C136,'Student Groupings'!$H:$H=""Can't be Together""),"""")})))"),"")</f>
        <v/>
      </c>
      <c r="AI136" s="185" t="str">
        <f>IFERROR(__xludf.DUMMYFUNCTION("if($C136="""","""",if(join("" - "",{iferror(filter('Student Groupings'!$A:$A,'Student Groupings'!$B:$B=$C136,'Student Groupings'!$H:$H=""Must be Together""),"""");iferror(filter('Student Groupings'!$A:$A,'Student Groupings'!$E:$E=$C136,'Student Groupings'"&amp;"!$H:$H=""Must be Together""),"""")})="" - "","""",join("" - "",{iferror(filter('Student Groupings'!$A:$A,'Student Groupings'!$B:$B=$C136,'Student Groupings'!$H:$H=""Must be Together""),"""");iferror(filter('Student Groupings'!$A:$A,'Student Groupings'!$E:"&amp;"$E=$C136,'Student Groupings'!$H:$H=""Must be Together""),"""")})))")," - 79")</f>
        <v> - 79</v>
      </c>
    </row>
    <row r="137">
      <c r="A137" s="167">
        <v>10.0</v>
      </c>
      <c r="B137" s="168">
        <v>28166.0</v>
      </c>
      <c r="C137" s="144" t="s">
        <v>289</v>
      </c>
      <c r="D137" s="180" t="s">
        <v>37</v>
      </c>
      <c r="E137" s="181">
        <v>2.0</v>
      </c>
      <c r="F137" s="167" t="s">
        <v>64</v>
      </c>
      <c r="G137" s="167">
        <v>4.0</v>
      </c>
      <c r="H137" s="182" t="s">
        <v>81</v>
      </c>
      <c r="I137" s="167">
        <v>3.0</v>
      </c>
      <c r="J137" s="187"/>
      <c r="K137" s="167"/>
      <c r="L137" s="184" t="s">
        <v>95</v>
      </c>
      <c r="M137" s="167">
        <v>5.0</v>
      </c>
      <c r="N137" s="184" t="s">
        <v>130</v>
      </c>
      <c r="O137" s="167">
        <v>1.0</v>
      </c>
      <c r="P137" s="184" t="s">
        <v>103</v>
      </c>
      <c r="Q137" s="167">
        <v>6.0</v>
      </c>
      <c r="R137" s="184" t="s">
        <v>56</v>
      </c>
      <c r="S137" s="167">
        <v>7.0</v>
      </c>
      <c r="T137" s="188"/>
      <c r="U137" s="167"/>
      <c r="V137" s="184" t="s">
        <v>30</v>
      </c>
      <c r="W137" s="167">
        <v>8.0</v>
      </c>
      <c r="X137" s="142">
        <v>1.0</v>
      </c>
      <c r="Y137" s="142">
        <v>1.0</v>
      </c>
      <c r="Z137" s="142">
        <v>1.0</v>
      </c>
      <c r="AA137" s="142">
        <v>1.0</v>
      </c>
      <c r="AB137" s="142">
        <v>1.0</v>
      </c>
      <c r="AC137" s="142">
        <v>1.0</v>
      </c>
      <c r="AD137" s="142">
        <v>1.0</v>
      </c>
      <c r="AE137" s="142">
        <v>1.0</v>
      </c>
      <c r="AF137" s="142">
        <v>8.0</v>
      </c>
      <c r="AG137" s="142">
        <v>0.0</v>
      </c>
      <c r="AH137" s="185" t="str">
        <f>IFERROR(__xludf.DUMMYFUNCTION("if($C137="""","""",if(join("" - "",{iferror(filter('Student Groupings'!$A:$A,'Student Groupings'!$B:$B=$C137,'Student Groupings'!$H:$H=""Can't be Together""),"""");iferror(filter('Student Groupings'!$A:$A,'Student Groupings'!$E:$E=$C137,'Student Groupings"&amp;"'!$H:$H=""Can't be Together""),"""")})="" - "","""",join("" - "",{iferror(filter('Student Groupings'!$A:$A,'Student Groupings'!$B:$B=$C137,'Student Groupings'!$H:$H=""Can't be Together""),"""");iferror(filter('Student Groupings'!$A:$A,'Student Groupings'!"&amp;"$E:$E=$C137,'Student Groupings'!$H:$H=""Can't be Together""),"""")})))"),"")</f>
        <v/>
      </c>
      <c r="AI137" s="185" t="str">
        <f>IFERROR(__xludf.DUMMYFUNCTION("if($C137="""","""",if(join("" - "",{iferror(filter('Student Groupings'!$A:$A,'Student Groupings'!$B:$B=$C137,'Student Groupings'!$H:$H=""Must be Together""),"""");iferror(filter('Student Groupings'!$A:$A,'Student Groupings'!$E:$E=$C137,'Student Groupings'"&amp;"!$H:$H=""Must be Together""),"""")})="" - "","""",join("" - "",{iferror(filter('Student Groupings'!$A:$A,'Student Groupings'!$B:$B=$C137,'Student Groupings'!$H:$H=""Must be Together""),"""");iferror(filter('Student Groupings'!$A:$A,'Student Groupings'!$E:"&amp;"$E=$C137,'Student Groupings'!$H:$H=""Must be Together""),"""")})))"),"")</f>
        <v/>
      </c>
    </row>
    <row r="138">
      <c r="A138" s="167">
        <v>10.0</v>
      </c>
      <c r="B138" s="194">
        <v>28083.0</v>
      </c>
      <c r="C138" s="144" t="s">
        <v>290</v>
      </c>
      <c r="D138" s="180" t="s">
        <v>48</v>
      </c>
      <c r="E138" s="181">
        <v>1.0</v>
      </c>
      <c r="F138" s="167" t="s">
        <v>64</v>
      </c>
      <c r="G138" s="167">
        <v>5.0</v>
      </c>
      <c r="H138" s="182" t="s">
        <v>81</v>
      </c>
      <c r="I138" s="167">
        <v>3.0</v>
      </c>
      <c r="J138" s="187"/>
      <c r="K138" s="167"/>
      <c r="L138" s="184" t="s">
        <v>95</v>
      </c>
      <c r="M138" s="167">
        <v>2.0</v>
      </c>
      <c r="N138" s="184" t="s">
        <v>130</v>
      </c>
      <c r="O138" s="167">
        <v>4.0</v>
      </c>
      <c r="P138" s="184" t="s">
        <v>103</v>
      </c>
      <c r="Q138" s="167">
        <v>6.0</v>
      </c>
      <c r="R138" s="184" t="s">
        <v>56</v>
      </c>
      <c r="S138" s="167">
        <v>7.0</v>
      </c>
      <c r="T138" s="188"/>
      <c r="U138" s="142"/>
      <c r="V138" s="184" t="s">
        <v>30</v>
      </c>
      <c r="W138" s="180">
        <v>8.0</v>
      </c>
      <c r="X138" s="142">
        <v>1.0</v>
      </c>
      <c r="Y138" s="142">
        <v>1.0</v>
      </c>
      <c r="Z138" s="142">
        <v>1.0</v>
      </c>
      <c r="AA138" s="142">
        <v>1.0</v>
      </c>
      <c r="AB138" s="142">
        <v>1.0</v>
      </c>
      <c r="AC138" s="142">
        <v>1.0</v>
      </c>
      <c r="AD138" s="142">
        <v>1.0</v>
      </c>
      <c r="AE138" s="142">
        <v>1.0</v>
      </c>
      <c r="AF138" s="142">
        <v>8.0</v>
      </c>
      <c r="AG138" s="142">
        <v>0.0</v>
      </c>
      <c r="AH138" s="185" t="str">
        <f>IFERROR(__xludf.DUMMYFUNCTION("if($C138="""","""",if(join("" - "",{iferror(filter('Student Groupings'!$A:$A,'Student Groupings'!$B:$B=$C138,'Student Groupings'!$H:$H=""Can't be Together""),"""");iferror(filter('Student Groupings'!$A:$A,'Student Groupings'!$E:$E=$C138,'Student Groupings"&amp;"'!$H:$H=""Can't be Together""),"""")})="" - "","""",join("" - "",{iferror(filter('Student Groupings'!$A:$A,'Student Groupings'!$B:$B=$C138,'Student Groupings'!$H:$H=""Can't be Together""),"""");iferror(filter('Student Groupings'!$A:$A,'Student Groupings'!"&amp;"$E:$E=$C138,'Student Groupings'!$H:$H=""Can't be Together""),"""")})))"),"")</f>
        <v/>
      </c>
      <c r="AI138" s="185" t="str">
        <f>IFERROR(__xludf.DUMMYFUNCTION("if($C138="""","""",if(join("" - "",{iferror(filter('Student Groupings'!$A:$A,'Student Groupings'!$B:$B=$C138,'Student Groupings'!$H:$H=""Must be Together""),"""");iferror(filter('Student Groupings'!$A:$A,'Student Groupings'!$E:$E=$C138,'Student Groupings'"&amp;"!$H:$H=""Must be Together""),"""")})="" - "","""",join("" - "",{iferror(filter('Student Groupings'!$A:$A,'Student Groupings'!$B:$B=$C138,'Student Groupings'!$H:$H=""Must be Together""),"""");iferror(filter('Student Groupings'!$A:$A,'Student Groupings'!$E:"&amp;"$E=$C138,'Student Groupings'!$H:$H=""Must be Together""),"""")})))"),"")</f>
        <v/>
      </c>
    </row>
    <row r="139">
      <c r="A139" s="167">
        <v>10.0</v>
      </c>
      <c r="B139" s="168">
        <v>28105.0</v>
      </c>
      <c r="C139" s="144" t="s">
        <v>291</v>
      </c>
      <c r="D139" s="180" t="s">
        <v>48</v>
      </c>
      <c r="E139" s="181">
        <v>5.0</v>
      </c>
      <c r="F139" s="167" t="s">
        <v>64</v>
      </c>
      <c r="G139" s="167">
        <v>8.0</v>
      </c>
      <c r="H139" s="182" t="s">
        <v>76</v>
      </c>
      <c r="I139" s="167">
        <v>4.0</v>
      </c>
      <c r="J139" s="187"/>
      <c r="K139" s="167"/>
      <c r="L139" s="184" t="s">
        <v>95</v>
      </c>
      <c r="M139" s="167">
        <v>1.0</v>
      </c>
      <c r="N139" s="184" t="s">
        <v>130</v>
      </c>
      <c r="O139" s="167">
        <v>2.0</v>
      </c>
      <c r="P139" s="184" t="s">
        <v>103</v>
      </c>
      <c r="Q139" s="167">
        <v>6.0</v>
      </c>
      <c r="R139" s="184" t="s">
        <v>56</v>
      </c>
      <c r="S139" s="167">
        <v>7.0</v>
      </c>
      <c r="T139" s="188"/>
      <c r="U139" s="189"/>
      <c r="V139" s="184" t="s">
        <v>117</v>
      </c>
      <c r="W139" s="167">
        <v>3.0</v>
      </c>
      <c r="X139" s="142">
        <v>1.0</v>
      </c>
      <c r="Y139" s="142">
        <v>1.0</v>
      </c>
      <c r="Z139" s="142">
        <v>1.0</v>
      </c>
      <c r="AA139" s="142">
        <v>1.0</v>
      </c>
      <c r="AB139" s="142">
        <v>1.0</v>
      </c>
      <c r="AC139" s="142">
        <v>1.0</v>
      </c>
      <c r="AD139" s="142">
        <v>1.0</v>
      </c>
      <c r="AE139" s="142">
        <v>1.0</v>
      </c>
      <c r="AF139" s="142">
        <v>8.0</v>
      </c>
      <c r="AG139" s="142">
        <v>0.0</v>
      </c>
      <c r="AH139" s="185" t="str">
        <f>IFERROR(__xludf.DUMMYFUNCTION("if($C139="""","""",if(join("" - "",{iferror(filter('Student Groupings'!$A:$A,'Student Groupings'!$B:$B=$C139,'Student Groupings'!$H:$H=""Can't be Together""),"""");iferror(filter('Student Groupings'!$A:$A,'Student Groupings'!$E:$E=$C139,'Student Groupings"&amp;"'!$H:$H=""Can't be Together""),"""")})="" - "","""",join("" - "",{iferror(filter('Student Groupings'!$A:$A,'Student Groupings'!$B:$B=$C139,'Student Groupings'!$H:$H=""Can't be Together""),"""");iferror(filter('Student Groupings'!$A:$A,'Student Groupings'!"&amp;"$E:$E=$C139,'Student Groupings'!$H:$H=""Can't be Together""),"""")})))"),"")</f>
        <v/>
      </c>
      <c r="AI139" s="185" t="str">
        <f>IFERROR(__xludf.DUMMYFUNCTION("if($C139="""","""",if(join("" - "",{iferror(filter('Student Groupings'!$A:$A,'Student Groupings'!$B:$B=$C139,'Student Groupings'!$H:$H=""Must be Together""),"""");iferror(filter('Student Groupings'!$A:$A,'Student Groupings'!$E:$E=$C139,'Student Groupings'"&amp;"!$H:$H=""Must be Together""),"""")})="" - "","""",join("" - "",{iferror(filter('Student Groupings'!$A:$A,'Student Groupings'!$B:$B=$C139,'Student Groupings'!$H:$H=""Must be Together""),"""");iferror(filter('Student Groupings'!$A:$A,'Student Groupings'!$E:"&amp;"$E=$C139,'Student Groupings'!$H:$H=""Must be Together""),"""")})))"),"")</f>
        <v/>
      </c>
    </row>
    <row r="140">
      <c r="A140" s="167">
        <v>10.0</v>
      </c>
      <c r="B140" s="168">
        <v>28017.0</v>
      </c>
      <c r="C140" s="144" t="s">
        <v>292</v>
      </c>
      <c r="D140" s="180" t="s">
        <v>37</v>
      </c>
      <c r="E140" s="181">
        <v>2.0</v>
      </c>
      <c r="F140" s="167" t="s">
        <v>64</v>
      </c>
      <c r="G140" s="167">
        <v>3.0</v>
      </c>
      <c r="H140" s="182" t="s">
        <v>76</v>
      </c>
      <c r="I140" s="167">
        <v>4.0</v>
      </c>
      <c r="J140" s="187"/>
      <c r="K140" s="167"/>
      <c r="L140" s="184" t="s">
        <v>95</v>
      </c>
      <c r="M140" s="167">
        <v>5.0</v>
      </c>
      <c r="N140" s="184" t="s">
        <v>130</v>
      </c>
      <c r="O140" s="167">
        <v>1.0</v>
      </c>
      <c r="P140" s="184" t="s">
        <v>103</v>
      </c>
      <c r="Q140" s="167">
        <v>6.0</v>
      </c>
      <c r="R140" s="184" t="s">
        <v>56</v>
      </c>
      <c r="S140" s="167">
        <v>7.0</v>
      </c>
      <c r="T140" s="188"/>
      <c r="U140" s="189"/>
      <c r="V140" s="184" t="s">
        <v>86</v>
      </c>
      <c r="W140" s="167">
        <v>8.0</v>
      </c>
      <c r="X140" s="142">
        <v>1.0</v>
      </c>
      <c r="Y140" s="142">
        <v>1.0</v>
      </c>
      <c r="Z140" s="142">
        <v>1.0</v>
      </c>
      <c r="AA140" s="142">
        <v>1.0</v>
      </c>
      <c r="AB140" s="142">
        <v>1.0</v>
      </c>
      <c r="AC140" s="142">
        <v>1.0</v>
      </c>
      <c r="AD140" s="142">
        <v>1.0</v>
      </c>
      <c r="AE140" s="142">
        <v>1.0</v>
      </c>
      <c r="AF140" s="142">
        <v>8.0</v>
      </c>
      <c r="AG140" s="142">
        <v>0.0</v>
      </c>
      <c r="AH140" s="185" t="str">
        <f>IFERROR(__xludf.DUMMYFUNCTION("if($C140="""","""",if(join("" - "",{iferror(filter('Student Groupings'!$A:$A,'Student Groupings'!$B:$B=$C140,'Student Groupings'!$H:$H=""Can't be Together""),"""");iferror(filter('Student Groupings'!$A:$A,'Student Groupings'!$E:$E=$C140,'Student Groupings"&amp;"'!$H:$H=""Can't be Together""),"""")})="" - "","""",join("" - "",{iferror(filter('Student Groupings'!$A:$A,'Student Groupings'!$B:$B=$C140,'Student Groupings'!$H:$H=""Can't be Together""),"""");iferror(filter('Student Groupings'!$A:$A,'Student Groupings'!"&amp;"$E:$E=$C140,'Student Groupings'!$H:$H=""Can't be Together""),"""")})))"),"")</f>
        <v/>
      </c>
      <c r="AI140" s="185" t="str">
        <f>IFERROR(__xludf.DUMMYFUNCTION("if($C140="""","""",if(join("" - "",{iferror(filter('Student Groupings'!$A:$A,'Student Groupings'!$B:$B=$C140,'Student Groupings'!$H:$H=""Must be Together""),"""");iferror(filter('Student Groupings'!$A:$A,'Student Groupings'!$E:$E=$C140,'Student Groupings'"&amp;"!$H:$H=""Must be Together""),"""")})="" - "","""",join("" - "",{iferror(filter('Student Groupings'!$A:$A,'Student Groupings'!$B:$B=$C140,'Student Groupings'!$H:$H=""Must be Together""),"""");iferror(filter('Student Groupings'!$A:$A,'Student Groupings'!$E:"&amp;"$E=$C140,'Student Groupings'!$H:$H=""Must be Together""),"""")})))"),"")</f>
        <v/>
      </c>
    </row>
    <row r="141">
      <c r="A141" s="167">
        <v>10.0</v>
      </c>
      <c r="B141" s="168">
        <v>28056.0</v>
      </c>
      <c r="C141" s="144" t="s">
        <v>293</v>
      </c>
      <c r="D141" s="180" t="s">
        <v>37</v>
      </c>
      <c r="E141" s="181">
        <v>5.0</v>
      </c>
      <c r="F141" s="167" t="s">
        <v>64</v>
      </c>
      <c r="G141" s="167">
        <v>4.0</v>
      </c>
      <c r="H141" s="182" t="s">
        <v>76</v>
      </c>
      <c r="I141" s="167">
        <v>7.0</v>
      </c>
      <c r="J141" s="187"/>
      <c r="K141" s="167"/>
      <c r="L141" s="184" t="s">
        <v>95</v>
      </c>
      <c r="M141" s="167">
        <v>8.0</v>
      </c>
      <c r="N141" s="184" t="s">
        <v>130</v>
      </c>
      <c r="O141" s="167">
        <v>6.0</v>
      </c>
      <c r="P141" s="184" t="s">
        <v>103</v>
      </c>
      <c r="Q141" s="167">
        <v>3.0</v>
      </c>
      <c r="R141" s="184" t="s">
        <v>56</v>
      </c>
      <c r="S141" s="167">
        <v>2.0</v>
      </c>
      <c r="T141" s="188"/>
      <c r="U141" s="167"/>
      <c r="V141" s="184" t="s">
        <v>26</v>
      </c>
      <c r="W141" s="167">
        <v>1.0</v>
      </c>
      <c r="X141" s="142">
        <v>1.0</v>
      </c>
      <c r="Y141" s="142">
        <v>1.0</v>
      </c>
      <c r="Z141" s="142">
        <v>1.0</v>
      </c>
      <c r="AA141" s="142">
        <v>1.0</v>
      </c>
      <c r="AB141" s="142">
        <v>1.0</v>
      </c>
      <c r="AC141" s="142">
        <v>1.0</v>
      </c>
      <c r="AD141" s="142">
        <v>1.0</v>
      </c>
      <c r="AE141" s="142">
        <v>1.0</v>
      </c>
      <c r="AF141" s="142">
        <v>8.0</v>
      </c>
      <c r="AG141" s="142">
        <v>0.0</v>
      </c>
      <c r="AH141" s="185" t="str">
        <f>IFERROR(__xludf.DUMMYFUNCTION("if($C141="""","""",if(join("" - "",{iferror(filter('Student Groupings'!$A:$A,'Student Groupings'!$B:$B=$C141,'Student Groupings'!$H:$H=""Can't be Together""),"""");iferror(filter('Student Groupings'!$A:$A,'Student Groupings'!$E:$E=$C141,'Student Groupings"&amp;"'!$H:$H=""Can't be Together""),"""")})="" - "","""",join("" - "",{iferror(filter('Student Groupings'!$A:$A,'Student Groupings'!$B:$B=$C141,'Student Groupings'!$H:$H=""Can't be Together""),"""");iferror(filter('Student Groupings'!$A:$A,'Student Groupings'!"&amp;"$E:$E=$C141,'Student Groupings'!$H:$H=""Can't be Together""),"""")})))"),"")</f>
        <v/>
      </c>
      <c r="AI141" s="185" t="str">
        <f>IFERROR(__xludf.DUMMYFUNCTION("if($C141="""","""",if(join("" - "",{iferror(filter('Student Groupings'!$A:$A,'Student Groupings'!$B:$B=$C141,'Student Groupings'!$H:$H=""Must be Together""),"""");iferror(filter('Student Groupings'!$A:$A,'Student Groupings'!$E:$E=$C141,'Student Groupings'"&amp;"!$H:$H=""Must be Together""),"""")})="" - "","""",join("" - "",{iferror(filter('Student Groupings'!$A:$A,'Student Groupings'!$B:$B=$C141,'Student Groupings'!$H:$H=""Must be Together""),"""");iferror(filter('Student Groupings'!$A:$A,'Student Groupings'!$E:"&amp;"$E=$C141,'Student Groupings'!$H:$H=""Must be Together""),"""")})))"),"")</f>
        <v/>
      </c>
    </row>
    <row r="142">
      <c r="A142" s="167">
        <v>10.0</v>
      </c>
      <c r="B142" s="168">
        <v>27041.0</v>
      </c>
      <c r="C142" s="144" t="s">
        <v>294</v>
      </c>
      <c r="D142" s="180" t="s">
        <v>48</v>
      </c>
      <c r="E142" s="181">
        <v>1.0</v>
      </c>
      <c r="F142" s="167" t="s">
        <v>64</v>
      </c>
      <c r="G142" s="167">
        <v>6.0</v>
      </c>
      <c r="H142" s="182" t="s">
        <v>81</v>
      </c>
      <c r="I142" s="167">
        <v>2.0</v>
      </c>
      <c r="J142" s="187"/>
      <c r="K142" s="167"/>
      <c r="L142" s="184" t="s">
        <v>95</v>
      </c>
      <c r="M142" s="167">
        <v>8.0</v>
      </c>
      <c r="N142" s="184" t="s">
        <v>130</v>
      </c>
      <c r="O142" s="167">
        <v>5.0</v>
      </c>
      <c r="P142" s="184" t="s">
        <v>103</v>
      </c>
      <c r="Q142" s="167">
        <v>3.0</v>
      </c>
      <c r="R142" s="184" t="s">
        <v>56</v>
      </c>
      <c r="S142" s="167">
        <v>7.0</v>
      </c>
      <c r="T142" s="188"/>
      <c r="U142" s="189"/>
      <c r="V142" s="184" t="s">
        <v>86</v>
      </c>
      <c r="W142" s="167">
        <v>4.0</v>
      </c>
      <c r="X142" s="142">
        <v>1.0</v>
      </c>
      <c r="Y142" s="142">
        <v>1.0</v>
      </c>
      <c r="Z142" s="142">
        <v>1.0</v>
      </c>
      <c r="AA142" s="142">
        <v>1.0</v>
      </c>
      <c r="AB142" s="142">
        <v>1.0</v>
      </c>
      <c r="AC142" s="142">
        <v>1.0</v>
      </c>
      <c r="AD142" s="142">
        <v>1.0</v>
      </c>
      <c r="AE142" s="142">
        <v>1.0</v>
      </c>
      <c r="AF142" s="142">
        <v>8.0</v>
      </c>
      <c r="AG142" s="142">
        <v>0.0</v>
      </c>
      <c r="AH142" s="185" t="str">
        <f>IFERROR(__xludf.DUMMYFUNCTION("if($C142="""","""",if(join("" - "",{iferror(filter('Student Groupings'!$A:$A,'Student Groupings'!$B:$B=$C142,'Student Groupings'!$H:$H=""Can't be Together""),"""");iferror(filter('Student Groupings'!$A:$A,'Student Groupings'!$E:$E=$C142,'Student Groupings"&amp;"'!$H:$H=""Can't be Together""),"""")})="" - "","""",join("" - "",{iferror(filter('Student Groupings'!$A:$A,'Student Groupings'!$B:$B=$C142,'Student Groupings'!$H:$H=""Can't be Together""),"""");iferror(filter('Student Groupings'!$A:$A,'Student Groupings'!"&amp;"$E:$E=$C142,'Student Groupings'!$H:$H=""Can't be Together""),"""")})))"),"")</f>
        <v/>
      </c>
      <c r="AI142" s="185" t="str">
        <f>IFERROR(__xludf.DUMMYFUNCTION("if($C142="""","""",if(join("" - "",{iferror(filter('Student Groupings'!$A:$A,'Student Groupings'!$B:$B=$C142,'Student Groupings'!$H:$H=""Must be Together""),"""");iferror(filter('Student Groupings'!$A:$A,'Student Groupings'!$E:$E=$C142,'Student Groupings'"&amp;"!$H:$H=""Must be Together""),"""")})="" - "","""",join("" - "",{iferror(filter('Student Groupings'!$A:$A,'Student Groupings'!$B:$B=$C142,'Student Groupings'!$H:$H=""Must be Together""),"""");iferror(filter('Student Groupings'!$A:$A,'Student Groupings'!$E:"&amp;"$E=$C142,'Student Groupings'!$H:$H=""Must be Together""),"""")})))")," - 123")</f>
        <v> - 123</v>
      </c>
    </row>
    <row r="143">
      <c r="A143" s="167">
        <v>10.0</v>
      </c>
      <c r="B143" s="168">
        <v>28058.0</v>
      </c>
      <c r="C143" s="144" t="s">
        <v>295</v>
      </c>
      <c r="D143" s="180" t="s">
        <v>48</v>
      </c>
      <c r="E143" s="181">
        <v>1.0</v>
      </c>
      <c r="F143" s="167" t="s">
        <v>64</v>
      </c>
      <c r="G143" s="167">
        <v>4.0</v>
      </c>
      <c r="H143" s="182" t="s">
        <v>76</v>
      </c>
      <c r="I143" s="167">
        <v>6.0</v>
      </c>
      <c r="J143" s="187"/>
      <c r="K143" s="167"/>
      <c r="L143" s="184" t="s">
        <v>95</v>
      </c>
      <c r="M143" s="167">
        <v>2.0</v>
      </c>
      <c r="N143" s="184" t="s">
        <v>130</v>
      </c>
      <c r="O143" s="167">
        <v>5.0</v>
      </c>
      <c r="P143" s="184" t="s">
        <v>103</v>
      </c>
      <c r="Q143" s="167">
        <v>3.0</v>
      </c>
      <c r="R143" s="184" t="s">
        <v>56</v>
      </c>
      <c r="S143" s="167">
        <v>7.0</v>
      </c>
      <c r="T143" s="188"/>
      <c r="U143" s="189"/>
      <c r="V143" s="184" t="s">
        <v>79</v>
      </c>
      <c r="W143" s="167">
        <v>8.0</v>
      </c>
      <c r="X143" s="142">
        <v>1.0</v>
      </c>
      <c r="Y143" s="142">
        <v>1.0</v>
      </c>
      <c r="Z143" s="142">
        <v>1.0</v>
      </c>
      <c r="AA143" s="142">
        <v>1.0</v>
      </c>
      <c r="AB143" s="142">
        <v>1.0</v>
      </c>
      <c r="AC143" s="142">
        <v>1.0</v>
      </c>
      <c r="AD143" s="142">
        <v>1.0</v>
      </c>
      <c r="AE143" s="142">
        <v>1.0</v>
      </c>
      <c r="AF143" s="142">
        <v>8.0</v>
      </c>
      <c r="AG143" s="142">
        <v>0.0</v>
      </c>
      <c r="AH143" s="185" t="str">
        <f>IFERROR(__xludf.DUMMYFUNCTION("if($C143="""","""",if(join("" - "",{iferror(filter('Student Groupings'!$A:$A,'Student Groupings'!$B:$B=$C143,'Student Groupings'!$H:$H=""Can't be Together""),"""");iferror(filter('Student Groupings'!$A:$A,'Student Groupings'!$E:$E=$C143,'Student Groupings"&amp;"'!$H:$H=""Can't be Together""),"""")})="" - "","""",join("" - "",{iferror(filter('Student Groupings'!$A:$A,'Student Groupings'!$B:$B=$C143,'Student Groupings'!$H:$H=""Can't be Together""),"""");iferror(filter('Student Groupings'!$A:$A,'Student Groupings'!"&amp;"$E:$E=$C143,'Student Groupings'!$H:$H=""Can't be Together""),"""")})))"),"82 - 73")</f>
        <v>82 - 73</v>
      </c>
      <c r="AI143" s="185" t="str">
        <f>IFERROR(__xludf.DUMMYFUNCTION("if($C143="""","""",if(join("" - "",{iferror(filter('Student Groupings'!$A:$A,'Student Groupings'!$B:$B=$C143,'Student Groupings'!$H:$H=""Must be Together""),"""");iferror(filter('Student Groupings'!$A:$A,'Student Groupings'!$E:$E=$C143,'Student Groupings'"&amp;"!$H:$H=""Must be Together""),"""")})="" - "","""",join("" - "",{iferror(filter('Student Groupings'!$A:$A,'Student Groupings'!$B:$B=$C143,'Student Groupings'!$H:$H=""Must be Together""),"""");iferror(filter('Student Groupings'!$A:$A,'Student Groupings'!$E:"&amp;"$E=$C143,'Student Groupings'!$H:$H=""Must be Together""),"""")})))")," - 11")</f>
        <v> - 11</v>
      </c>
    </row>
    <row r="144">
      <c r="A144" s="167">
        <v>10.0</v>
      </c>
      <c r="B144" s="168">
        <v>28043.0</v>
      </c>
      <c r="C144" s="144" t="s">
        <v>296</v>
      </c>
      <c r="D144" s="180" t="s">
        <v>48</v>
      </c>
      <c r="E144" s="181">
        <v>1.0</v>
      </c>
      <c r="F144" s="167" t="s">
        <v>64</v>
      </c>
      <c r="G144" s="167">
        <v>7.0</v>
      </c>
      <c r="H144" s="182" t="s">
        <v>76</v>
      </c>
      <c r="I144" s="167">
        <v>6.0</v>
      </c>
      <c r="J144" s="187"/>
      <c r="K144" s="167"/>
      <c r="L144" s="184" t="s">
        <v>95</v>
      </c>
      <c r="M144" s="167">
        <v>8.0</v>
      </c>
      <c r="N144" s="184" t="s">
        <v>130</v>
      </c>
      <c r="O144" s="167">
        <v>5.0</v>
      </c>
      <c r="P144" s="182" t="s">
        <v>100</v>
      </c>
      <c r="Q144" s="167">
        <v>4.0</v>
      </c>
      <c r="R144" s="184" t="s">
        <v>56</v>
      </c>
      <c r="S144" s="167">
        <v>2.0</v>
      </c>
      <c r="T144" s="188"/>
      <c r="U144" s="167"/>
      <c r="V144" s="184" t="s">
        <v>117</v>
      </c>
      <c r="W144" s="167">
        <v>3.0</v>
      </c>
      <c r="X144" s="142">
        <v>1.0</v>
      </c>
      <c r="Y144" s="142">
        <v>1.0</v>
      </c>
      <c r="Z144" s="142">
        <v>1.0</v>
      </c>
      <c r="AA144" s="142">
        <v>1.0</v>
      </c>
      <c r="AB144" s="142">
        <v>1.0</v>
      </c>
      <c r="AC144" s="142">
        <v>1.0</v>
      </c>
      <c r="AD144" s="142">
        <v>1.0</v>
      </c>
      <c r="AE144" s="142">
        <v>1.0</v>
      </c>
      <c r="AF144" s="142">
        <v>8.0</v>
      </c>
      <c r="AG144" s="142">
        <v>0.0</v>
      </c>
      <c r="AH144" s="185" t="str">
        <f>IFERROR(__xludf.DUMMYFUNCTION("if($C144="""","""",if(join("" - "",{iferror(filter('Student Groupings'!$A:$A,'Student Groupings'!$B:$B=$C144,'Student Groupings'!$H:$H=""Can't be Together""),"""");iferror(filter('Student Groupings'!$A:$A,'Student Groupings'!$E:$E=$C144,'Student Groupings"&amp;"'!$H:$H=""Can't be Together""),"""")})="" - "","""",join("" - "",{iferror(filter('Student Groupings'!$A:$A,'Student Groupings'!$B:$B=$C144,'Student Groupings'!$H:$H=""Can't be Together""),"""");iferror(filter('Student Groupings'!$A:$A,'Student Groupings'!"&amp;"$E:$E=$C144,'Student Groupings'!$H:$H=""Can't be Together""),"""")})))")," - 71 - ")</f>
        <v> - 71 - </v>
      </c>
      <c r="AI144" s="185" t="str">
        <f>IFERROR(__xludf.DUMMYFUNCTION("if($C144="""","""",if(join("" - "",{iferror(filter('Student Groupings'!$A:$A,'Student Groupings'!$B:$B=$C144,'Student Groupings'!$H:$H=""Must be Together""),"""");iferror(filter('Student Groupings'!$A:$A,'Student Groupings'!$E:$E=$C144,'Student Groupings'"&amp;"!$H:$H=""Must be Together""),"""")})="" - "","""",join("" - "",{iferror(filter('Student Groupings'!$A:$A,'Student Groupings'!$B:$B=$C144,'Student Groupings'!$H:$H=""Must be Together""),"""");iferror(filter('Student Groupings'!$A:$A,'Student Groupings'!$E:"&amp;"$E=$C144,'Student Groupings'!$H:$H=""Must be Together""),"""")})))"),"")</f>
        <v/>
      </c>
    </row>
    <row r="145">
      <c r="A145" s="167">
        <v>10.0</v>
      </c>
      <c r="B145" s="168">
        <v>28113.0</v>
      </c>
      <c r="C145" s="144" t="s">
        <v>297</v>
      </c>
      <c r="D145" s="180" t="s">
        <v>37</v>
      </c>
      <c r="E145" s="181">
        <v>2.0</v>
      </c>
      <c r="F145" s="167" t="s">
        <v>64</v>
      </c>
      <c r="G145" s="167">
        <v>6.0</v>
      </c>
      <c r="H145" s="182" t="s">
        <v>79</v>
      </c>
      <c r="I145" s="167">
        <v>8.0</v>
      </c>
      <c r="J145" s="187"/>
      <c r="K145" s="167"/>
      <c r="L145" s="184" t="s">
        <v>95</v>
      </c>
      <c r="M145" s="167">
        <v>1.0</v>
      </c>
      <c r="N145" s="184" t="s">
        <v>130</v>
      </c>
      <c r="O145" s="167">
        <v>5.0</v>
      </c>
      <c r="P145" s="184" t="s">
        <v>103</v>
      </c>
      <c r="Q145" s="167">
        <v>4.0</v>
      </c>
      <c r="R145" s="184" t="s">
        <v>56</v>
      </c>
      <c r="S145" s="167">
        <v>3.0</v>
      </c>
      <c r="T145" s="188"/>
      <c r="U145" s="189"/>
      <c r="V145" s="184" t="s">
        <v>24</v>
      </c>
      <c r="W145" s="167">
        <v>7.0</v>
      </c>
      <c r="X145" s="142">
        <v>1.0</v>
      </c>
      <c r="Y145" s="142">
        <v>1.0</v>
      </c>
      <c r="Z145" s="142">
        <v>1.0</v>
      </c>
      <c r="AA145" s="142">
        <v>1.0</v>
      </c>
      <c r="AB145" s="142">
        <v>1.0</v>
      </c>
      <c r="AC145" s="142">
        <v>1.0</v>
      </c>
      <c r="AD145" s="142">
        <v>1.0</v>
      </c>
      <c r="AE145" s="142">
        <v>1.0</v>
      </c>
      <c r="AF145" s="142">
        <v>8.0</v>
      </c>
      <c r="AG145" s="142">
        <v>0.0</v>
      </c>
      <c r="AH145" s="185" t="str">
        <f>IFERROR(__xludf.DUMMYFUNCTION("if($C145="""","""",if(join("" - "",{iferror(filter('Student Groupings'!$A:$A,'Student Groupings'!$B:$B=$C145,'Student Groupings'!$H:$H=""Can't be Together""),"""");iferror(filter('Student Groupings'!$A:$A,'Student Groupings'!$E:$E=$C145,'Student Groupings"&amp;"'!$H:$H=""Can't be Together""),"""")})="" - "","""",join("" - "",{iferror(filter('Student Groupings'!$A:$A,'Student Groupings'!$B:$B=$C145,'Student Groupings'!$H:$H=""Can't be Together""),"""");iferror(filter('Student Groupings'!$A:$A,'Student Groupings'!"&amp;"$E:$E=$C145,'Student Groupings'!$H:$H=""Can't be Together""),"""")})))"),"")</f>
        <v/>
      </c>
      <c r="AI145" s="185" t="str">
        <f>IFERROR(__xludf.DUMMYFUNCTION("if($C145="""","""",if(join("" - "",{iferror(filter('Student Groupings'!$A:$A,'Student Groupings'!$B:$B=$C145,'Student Groupings'!$H:$H=""Must be Together""),"""");iferror(filter('Student Groupings'!$A:$A,'Student Groupings'!$E:$E=$C145,'Student Groupings'"&amp;"!$H:$H=""Must be Together""),"""")})="" - "","""",join("" - "",{iferror(filter('Student Groupings'!$A:$A,'Student Groupings'!$B:$B=$C145,'Student Groupings'!$H:$H=""Must be Together""),"""");iferror(filter('Student Groupings'!$A:$A,'Student Groupings'!$E:"&amp;"$E=$C145,'Student Groupings'!$H:$H=""Must be Together""),"""")})))"),"")</f>
        <v/>
      </c>
    </row>
    <row r="146">
      <c r="A146" s="167">
        <v>10.0</v>
      </c>
      <c r="B146" s="168">
        <v>28157.0</v>
      </c>
      <c r="C146" s="144" t="s">
        <v>298</v>
      </c>
      <c r="D146" s="180" t="s">
        <v>37</v>
      </c>
      <c r="E146" s="181">
        <v>8.0</v>
      </c>
      <c r="F146" s="182" t="s">
        <v>64</v>
      </c>
      <c r="G146" s="167">
        <v>7.0</v>
      </c>
      <c r="H146" s="182" t="s">
        <v>81</v>
      </c>
      <c r="I146" s="167">
        <v>2.0</v>
      </c>
      <c r="J146" s="183"/>
      <c r="K146" s="167"/>
      <c r="L146" s="184" t="s">
        <v>95</v>
      </c>
      <c r="M146" s="167">
        <v>6.0</v>
      </c>
      <c r="N146" s="184" t="s">
        <v>130</v>
      </c>
      <c r="O146" s="167">
        <v>1.0</v>
      </c>
      <c r="P146" s="184" t="s">
        <v>103</v>
      </c>
      <c r="Q146" s="167">
        <v>4.0</v>
      </c>
      <c r="R146" s="184" t="s">
        <v>56</v>
      </c>
      <c r="S146" s="167">
        <v>5.0</v>
      </c>
      <c r="T146" s="188"/>
      <c r="U146" s="189"/>
      <c r="V146" s="184" t="s">
        <v>117</v>
      </c>
      <c r="W146" s="167">
        <v>3.0</v>
      </c>
      <c r="X146" s="142">
        <v>1.0</v>
      </c>
      <c r="Y146" s="142">
        <v>1.0</v>
      </c>
      <c r="Z146" s="142">
        <v>1.0</v>
      </c>
      <c r="AA146" s="142">
        <v>1.0</v>
      </c>
      <c r="AB146" s="142">
        <v>1.0</v>
      </c>
      <c r="AC146" s="142">
        <v>1.0</v>
      </c>
      <c r="AD146" s="142">
        <v>1.0</v>
      </c>
      <c r="AE146" s="142">
        <v>1.0</v>
      </c>
      <c r="AF146" s="142">
        <v>8.0</v>
      </c>
      <c r="AG146" s="142">
        <v>0.0</v>
      </c>
      <c r="AH146" s="185" t="str">
        <f>IFERROR(__xludf.DUMMYFUNCTION("if($C146="""","""",if(join("" - "",{iferror(filter('Student Groupings'!$A:$A,'Student Groupings'!$B:$B=$C146,'Student Groupings'!$H:$H=""Can't be Together""),"""");iferror(filter('Student Groupings'!$A:$A,'Student Groupings'!$E:$E=$C146,'Student Groupings"&amp;"'!$H:$H=""Can't be Together""),"""")})="" - "","""",join("" - "",{iferror(filter('Student Groupings'!$A:$A,'Student Groupings'!$B:$B=$C146,'Student Groupings'!$H:$H=""Can't be Together""),"""");iferror(filter('Student Groupings'!$A:$A,'Student Groupings'!"&amp;"$E:$E=$C146,'Student Groupings'!$H:$H=""Can't be Together""),"""")})))"),"")</f>
        <v/>
      </c>
      <c r="AI146" s="185" t="str">
        <f>IFERROR(__xludf.DUMMYFUNCTION("if($C146="""","""",if(join("" - "",{iferror(filter('Student Groupings'!$A:$A,'Student Groupings'!$B:$B=$C146,'Student Groupings'!$H:$H=""Must be Together""),"""");iferror(filter('Student Groupings'!$A:$A,'Student Groupings'!$E:$E=$C146,'Student Groupings'"&amp;"!$H:$H=""Must be Together""),"""")})="" - "","""",join("" - "",{iferror(filter('Student Groupings'!$A:$A,'Student Groupings'!$B:$B=$C146,'Student Groupings'!$H:$H=""Must be Together""),"""");iferror(filter('Student Groupings'!$A:$A,'Student Groupings'!$E:"&amp;"$E=$C146,'Student Groupings'!$H:$H=""Must be Together""),"""")})))"),"")</f>
        <v/>
      </c>
    </row>
    <row r="147">
      <c r="A147" s="167">
        <v>10.0</v>
      </c>
      <c r="B147" s="168">
        <v>28098.0</v>
      </c>
      <c r="C147" s="144" t="s">
        <v>299</v>
      </c>
      <c r="D147" s="180" t="s">
        <v>37</v>
      </c>
      <c r="E147" s="181">
        <v>2.0</v>
      </c>
      <c r="F147" s="167" t="s">
        <v>64</v>
      </c>
      <c r="G147" s="167">
        <v>8.0</v>
      </c>
      <c r="H147" s="182" t="s">
        <v>76</v>
      </c>
      <c r="I147" s="167">
        <v>7.0</v>
      </c>
      <c r="J147" s="187"/>
      <c r="K147" s="167"/>
      <c r="L147" s="184" t="s">
        <v>95</v>
      </c>
      <c r="M147" s="167">
        <v>1.0</v>
      </c>
      <c r="N147" s="184" t="s">
        <v>130</v>
      </c>
      <c r="O147" s="167">
        <v>4.0</v>
      </c>
      <c r="P147" s="184" t="s">
        <v>103</v>
      </c>
      <c r="Q147" s="167">
        <v>3.0</v>
      </c>
      <c r="R147" s="184" t="s">
        <v>56</v>
      </c>
      <c r="S147" s="167">
        <v>5.0</v>
      </c>
      <c r="T147" s="188"/>
      <c r="U147" s="189"/>
      <c r="V147" s="184" t="s">
        <v>79</v>
      </c>
      <c r="W147" s="167">
        <v>6.0</v>
      </c>
      <c r="X147" s="142">
        <v>1.0</v>
      </c>
      <c r="Y147" s="142">
        <v>1.0</v>
      </c>
      <c r="Z147" s="142">
        <v>1.0</v>
      </c>
      <c r="AA147" s="142">
        <v>1.0</v>
      </c>
      <c r="AB147" s="142">
        <v>1.0</v>
      </c>
      <c r="AC147" s="142">
        <v>1.0</v>
      </c>
      <c r="AD147" s="142">
        <v>1.0</v>
      </c>
      <c r="AE147" s="142">
        <v>1.0</v>
      </c>
      <c r="AF147" s="142">
        <v>8.0</v>
      </c>
      <c r="AG147" s="142">
        <v>0.0</v>
      </c>
      <c r="AH147" s="185" t="str">
        <f>IFERROR(__xludf.DUMMYFUNCTION("if($C147="""","""",if(join("" - "",{iferror(filter('Student Groupings'!$A:$A,'Student Groupings'!$B:$B=$C147,'Student Groupings'!$H:$H=""Can't be Together""),"""");iferror(filter('Student Groupings'!$A:$A,'Student Groupings'!$E:$E=$C147,'Student Groupings"&amp;"'!$H:$H=""Can't be Together""),"""")})="" - "","""",join("" - "",{iferror(filter('Student Groupings'!$A:$A,'Student Groupings'!$B:$B=$C147,'Student Groupings'!$H:$H=""Can't be Together""),"""");iferror(filter('Student Groupings'!$A:$A,'Student Groupings'!"&amp;"$E:$E=$C147,'Student Groupings'!$H:$H=""Can't be Together""),"""")})))"),"8 - ")</f>
        <v>8 - </v>
      </c>
      <c r="AI147" s="185" t="str">
        <f>IFERROR(__xludf.DUMMYFUNCTION("if($C147="""","""",if(join("" - "",{iferror(filter('Student Groupings'!$A:$A,'Student Groupings'!$B:$B=$C147,'Student Groupings'!$H:$H=""Must be Together""),"""");iferror(filter('Student Groupings'!$A:$A,'Student Groupings'!$E:$E=$C147,'Student Groupings'"&amp;"!$H:$H=""Must be Together""),"""")})="" - "","""",join("" - "",{iferror(filter('Student Groupings'!$A:$A,'Student Groupings'!$B:$B=$C147,'Student Groupings'!$H:$H=""Must be Together""),"""");iferror(filter('Student Groupings'!$A:$A,'Student Groupings'!$E:"&amp;"$E=$C147,'Student Groupings'!$H:$H=""Must be Together""),"""")})))"),"")</f>
        <v/>
      </c>
    </row>
    <row r="148">
      <c r="A148" s="167">
        <v>10.0</v>
      </c>
      <c r="B148" s="168">
        <v>28117.0</v>
      </c>
      <c r="C148" s="144" t="s">
        <v>300</v>
      </c>
      <c r="D148" s="180" t="s">
        <v>48</v>
      </c>
      <c r="E148" s="181">
        <v>5.0</v>
      </c>
      <c r="F148" s="167" t="s">
        <v>64</v>
      </c>
      <c r="G148" s="167">
        <v>1.0</v>
      </c>
      <c r="H148" s="182" t="s">
        <v>76</v>
      </c>
      <c r="I148" s="167">
        <v>4.0</v>
      </c>
      <c r="J148" s="187"/>
      <c r="K148" s="167"/>
      <c r="L148" s="184" t="s">
        <v>95</v>
      </c>
      <c r="M148" s="167">
        <v>2.0</v>
      </c>
      <c r="N148" s="184" t="s">
        <v>130</v>
      </c>
      <c r="O148" s="167">
        <v>6.0</v>
      </c>
      <c r="P148" s="184" t="s">
        <v>103</v>
      </c>
      <c r="Q148" s="167">
        <v>3.0</v>
      </c>
      <c r="R148" s="184" t="s">
        <v>56</v>
      </c>
      <c r="S148" s="167">
        <v>7.0</v>
      </c>
      <c r="T148" s="188"/>
      <c r="U148" s="167"/>
      <c r="V148" s="184" t="s">
        <v>86</v>
      </c>
      <c r="W148" s="167">
        <v>8.0</v>
      </c>
      <c r="X148" s="142">
        <v>1.0</v>
      </c>
      <c r="Y148" s="142">
        <v>1.0</v>
      </c>
      <c r="Z148" s="142">
        <v>1.0</v>
      </c>
      <c r="AA148" s="142">
        <v>1.0</v>
      </c>
      <c r="AB148" s="142">
        <v>1.0</v>
      </c>
      <c r="AC148" s="142">
        <v>1.0</v>
      </c>
      <c r="AD148" s="142">
        <v>1.0</v>
      </c>
      <c r="AE148" s="142">
        <v>1.0</v>
      </c>
      <c r="AF148" s="142">
        <v>8.0</v>
      </c>
      <c r="AG148" s="142">
        <v>0.0</v>
      </c>
      <c r="AH148" s="185" t="str">
        <f>IFERROR(__xludf.DUMMYFUNCTION("if($C148="""","""",if(join("" - "",{iferror(filter('Student Groupings'!$A:$A,'Student Groupings'!$B:$B=$C148,'Student Groupings'!$H:$H=""Can't be Together""),"""");iferror(filter('Student Groupings'!$A:$A,'Student Groupings'!$E:$E=$C148,'Student Groupings"&amp;"'!$H:$H=""Can't be Together""),"""")})="" - "","""",join("" - "",{iferror(filter('Student Groupings'!$A:$A,'Student Groupings'!$B:$B=$C148,'Student Groupings'!$H:$H=""Can't be Together""),"""");iferror(filter('Student Groupings'!$A:$A,'Student Groupings'!"&amp;"$E:$E=$C148,'Student Groupings'!$H:$H=""Can't be Together""),"""")})))"),"")</f>
        <v/>
      </c>
      <c r="AI148" s="185" t="str">
        <f>IFERROR(__xludf.DUMMYFUNCTION("if($C148="""","""",if(join("" - "",{iferror(filter('Student Groupings'!$A:$A,'Student Groupings'!$B:$B=$C148,'Student Groupings'!$H:$H=""Must be Together""),"""");iferror(filter('Student Groupings'!$A:$A,'Student Groupings'!$E:$E=$C148,'Student Groupings'"&amp;"!$H:$H=""Must be Together""),"""")})="" - "","""",join("" - "",{iferror(filter('Student Groupings'!$A:$A,'Student Groupings'!$B:$B=$C148,'Student Groupings'!$H:$H=""Must be Together""),"""");iferror(filter('Student Groupings'!$A:$A,'Student Groupings'!$E:"&amp;"$E=$C148,'Student Groupings'!$H:$H=""Must be Together""),"""")})))"),"")</f>
        <v/>
      </c>
    </row>
    <row r="149">
      <c r="A149" s="167">
        <v>10.0</v>
      </c>
      <c r="B149" s="168">
        <v>28100.0</v>
      </c>
      <c r="C149" s="144" t="s">
        <v>301</v>
      </c>
      <c r="D149" s="180" t="s">
        <v>48</v>
      </c>
      <c r="E149" s="181">
        <v>1.0</v>
      </c>
      <c r="F149" s="167" t="s">
        <v>64</v>
      </c>
      <c r="G149" s="167">
        <v>3.0</v>
      </c>
      <c r="H149" s="182" t="s">
        <v>79</v>
      </c>
      <c r="I149" s="167">
        <v>5.0</v>
      </c>
      <c r="J149" s="187"/>
      <c r="K149" s="167"/>
      <c r="L149" s="184" t="s">
        <v>95</v>
      </c>
      <c r="M149" s="167">
        <v>8.0</v>
      </c>
      <c r="N149" s="184" t="s">
        <v>130</v>
      </c>
      <c r="O149" s="167">
        <v>6.0</v>
      </c>
      <c r="P149" s="184" t="s">
        <v>103</v>
      </c>
      <c r="Q149" s="167">
        <v>4.0</v>
      </c>
      <c r="R149" s="184" t="s">
        <v>56</v>
      </c>
      <c r="S149" s="167">
        <v>7.0</v>
      </c>
      <c r="T149" s="188"/>
      <c r="U149" s="189"/>
      <c r="V149" s="184" t="s">
        <v>41</v>
      </c>
      <c r="W149" s="167">
        <v>2.0</v>
      </c>
      <c r="X149" s="142">
        <v>1.0</v>
      </c>
      <c r="Y149" s="142">
        <v>1.0</v>
      </c>
      <c r="Z149" s="142">
        <v>1.0</v>
      </c>
      <c r="AA149" s="142">
        <v>1.0</v>
      </c>
      <c r="AB149" s="142">
        <v>1.0</v>
      </c>
      <c r="AC149" s="142">
        <v>1.0</v>
      </c>
      <c r="AD149" s="142">
        <v>1.0</v>
      </c>
      <c r="AE149" s="142">
        <v>1.0</v>
      </c>
      <c r="AF149" s="142">
        <v>8.0</v>
      </c>
      <c r="AG149" s="142">
        <v>0.0</v>
      </c>
      <c r="AH149" s="185" t="str">
        <f>IFERROR(__xludf.DUMMYFUNCTION("if($C149="""","""",if(join("" - "",{iferror(filter('Student Groupings'!$A:$A,'Student Groupings'!$B:$B=$C149,'Student Groupings'!$H:$H=""Can't be Together""),"""");iferror(filter('Student Groupings'!$A:$A,'Student Groupings'!$E:$E=$C149,'Student Groupings"&amp;"'!$H:$H=""Can't be Together""),"""")})="" - "","""",join("" - "",{iferror(filter('Student Groupings'!$A:$A,'Student Groupings'!$B:$B=$C149,'Student Groupings'!$H:$H=""Can't be Together""),"""");iferror(filter('Student Groupings'!$A:$A,'Student Groupings'!"&amp;"$E:$E=$C149,'Student Groupings'!$H:$H=""Can't be Together""),"""")})))"),"")</f>
        <v/>
      </c>
      <c r="AI149" s="185" t="str">
        <f>IFERROR(__xludf.DUMMYFUNCTION("if($C149="""","""",if(join("" - "",{iferror(filter('Student Groupings'!$A:$A,'Student Groupings'!$B:$B=$C149,'Student Groupings'!$H:$H=""Must be Together""),"""");iferror(filter('Student Groupings'!$A:$A,'Student Groupings'!$E:$E=$C149,'Student Groupings'"&amp;"!$H:$H=""Must be Together""),"""")})="" - "","""",join("" - "",{iferror(filter('Student Groupings'!$A:$A,'Student Groupings'!$B:$B=$C149,'Student Groupings'!$H:$H=""Must be Together""),"""");iferror(filter('Student Groupings'!$A:$A,'Student Groupings'!$E:"&amp;"$E=$C149,'Student Groupings'!$H:$H=""Must be Together""),"""")})))"),"")</f>
        <v/>
      </c>
    </row>
    <row r="150">
      <c r="A150" s="167">
        <v>10.0</v>
      </c>
      <c r="B150" s="168">
        <v>28097.0</v>
      </c>
      <c r="C150" s="144" t="s">
        <v>302</v>
      </c>
      <c r="D150" s="180" t="s">
        <v>48</v>
      </c>
      <c r="E150" s="181">
        <v>5.0</v>
      </c>
      <c r="F150" s="167" t="s">
        <v>64</v>
      </c>
      <c r="G150" s="167">
        <v>3.0</v>
      </c>
      <c r="H150" s="182" t="s">
        <v>79</v>
      </c>
      <c r="I150" s="167">
        <v>8.0</v>
      </c>
      <c r="J150" s="187"/>
      <c r="K150" s="167"/>
      <c r="L150" s="184" t="s">
        <v>95</v>
      </c>
      <c r="M150" s="167">
        <v>6.0</v>
      </c>
      <c r="N150" s="184" t="s">
        <v>130</v>
      </c>
      <c r="O150" s="167">
        <v>1.0</v>
      </c>
      <c r="P150" s="184" t="s">
        <v>103</v>
      </c>
      <c r="Q150" s="167">
        <v>2.0</v>
      </c>
      <c r="R150" s="184" t="s">
        <v>56</v>
      </c>
      <c r="S150" s="167">
        <v>7.0</v>
      </c>
      <c r="T150" s="188"/>
      <c r="U150" s="189"/>
      <c r="V150" s="184" t="s">
        <v>86</v>
      </c>
      <c r="W150" s="167">
        <v>4.0</v>
      </c>
      <c r="X150" s="142">
        <v>1.0</v>
      </c>
      <c r="Y150" s="142">
        <v>1.0</v>
      </c>
      <c r="Z150" s="142">
        <v>1.0</v>
      </c>
      <c r="AA150" s="142">
        <v>1.0</v>
      </c>
      <c r="AB150" s="142">
        <v>1.0</v>
      </c>
      <c r="AC150" s="142">
        <v>1.0</v>
      </c>
      <c r="AD150" s="142">
        <v>1.0</v>
      </c>
      <c r="AE150" s="142">
        <v>1.0</v>
      </c>
      <c r="AF150" s="142">
        <v>8.0</v>
      </c>
      <c r="AG150" s="142">
        <v>0.0</v>
      </c>
      <c r="AH150" s="185" t="str">
        <f>IFERROR(__xludf.DUMMYFUNCTION("if($C150="""","""",if(join("" - "",{iferror(filter('Student Groupings'!$A:$A,'Student Groupings'!$B:$B=$C150,'Student Groupings'!$H:$H=""Can't be Together""),"""");iferror(filter('Student Groupings'!$A:$A,'Student Groupings'!$E:$E=$C150,'Student Groupings"&amp;"'!$H:$H=""Can't be Together""),"""")})="" - "","""",join("" - "",{iferror(filter('Student Groupings'!$A:$A,'Student Groupings'!$B:$B=$C150,'Student Groupings'!$H:$H=""Can't be Together""),"""");iferror(filter('Student Groupings'!$A:$A,'Student Groupings'!"&amp;"$E:$E=$C150,'Student Groupings'!$H:$H=""Can't be Together""),"""")})))"),"")</f>
        <v/>
      </c>
      <c r="AI150" s="185" t="str">
        <f>IFERROR(__xludf.DUMMYFUNCTION("if($C150="""","""",if(join("" - "",{iferror(filter('Student Groupings'!$A:$A,'Student Groupings'!$B:$B=$C150,'Student Groupings'!$H:$H=""Must be Together""),"""");iferror(filter('Student Groupings'!$A:$A,'Student Groupings'!$E:$E=$C150,'Student Groupings'"&amp;"!$H:$H=""Must be Together""),"""")})="" - "","""",join("" - "",{iferror(filter('Student Groupings'!$A:$A,'Student Groupings'!$B:$B=$C150,'Student Groupings'!$H:$H=""Must be Together""),"""");iferror(filter('Student Groupings'!$A:$A,'Student Groupings'!$E:"&amp;"$E=$C150,'Student Groupings'!$H:$H=""Must be Together""),"""")})))"),"")</f>
        <v/>
      </c>
    </row>
    <row r="151">
      <c r="A151" s="167">
        <v>10.0</v>
      </c>
      <c r="B151" s="168">
        <v>28053.0</v>
      </c>
      <c r="C151" s="144" t="s">
        <v>303</v>
      </c>
      <c r="D151" s="180" t="s">
        <v>48</v>
      </c>
      <c r="E151" s="181">
        <v>6.0</v>
      </c>
      <c r="F151" s="167" t="s">
        <v>64</v>
      </c>
      <c r="G151" s="167">
        <v>8.0</v>
      </c>
      <c r="H151" s="182" t="s">
        <v>79</v>
      </c>
      <c r="I151" s="167">
        <v>1.0</v>
      </c>
      <c r="J151" s="187"/>
      <c r="K151" s="167"/>
      <c r="L151" s="184" t="s">
        <v>95</v>
      </c>
      <c r="M151" s="167">
        <v>5.0</v>
      </c>
      <c r="N151" s="184" t="s">
        <v>130</v>
      </c>
      <c r="O151" s="167">
        <v>7.0</v>
      </c>
      <c r="P151" s="184" t="s">
        <v>103</v>
      </c>
      <c r="Q151" s="167">
        <v>2.0</v>
      </c>
      <c r="R151" s="184" t="s">
        <v>56</v>
      </c>
      <c r="S151" s="167">
        <v>3.0</v>
      </c>
      <c r="T151" s="183"/>
      <c r="U151" s="167"/>
      <c r="V151" s="184" t="s">
        <v>86</v>
      </c>
      <c r="W151" s="167">
        <v>4.0</v>
      </c>
      <c r="X151" s="142">
        <v>1.0</v>
      </c>
      <c r="Y151" s="142">
        <v>1.0</v>
      </c>
      <c r="Z151" s="142">
        <v>1.0</v>
      </c>
      <c r="AA151" s="142">
        <v>1.0</v>
      </c>
      <c r="AB151" s="142">
        <v>1.0</v>
      </c>
      <c r="AC151" s="142">
        <v>1.0</v>
      </c>
      <c r="AD151" s="142">
        <v>1.0</v>
      </c>
      <c r="AE151" s="142">
        <v>1.0</v>
      </c>
      <c r="AF151" s="142">
        <v>8.0</v>
      </c>
      <c r="AG151" s="142">
        <v>0.0</v>
      </c>
      <c r="AH151" s="185" t="str">
        <f>IFERROR(__xludf.DUMMYFUNCTION("if($C151="""","""",if(join("" - "",{iferror(filter('Student Groupings'!$A:$A,'Student Groupings'!$B:$B=$C151,'Student Groupings'!$H:$H=""Can't be Together""),"""");iferror(filter('Student Groupings'!$A:$A,'Student Groupings'!$E:$E=$C151,'Student Groupings"&amp;"'!$H:$H=""Can't be Together""),"""")})="" - "","""",join("" - "",{iferror(filter('Student Groupings'!$A:$A,'Student Groupings'!$B:$B=$C151,'Student Groupings'!$H:$H=""Can't be Together""),"""");iferror(filter('Student Groupings'!$A:$A,'Student Groupings'!"&amp;"$E:$E=$C151,'Student Groupings'!$H:$H=""Can't be Together""),"""")})))")," - 82")</f>
        <v> - 82</v>
      </c>
      <c r="AI151" s="185" t="str">
        <f>IFERROR(__xludf.DUMMYFUNCTION("if($C151="""","""",if(join("" - "",{iferror(filter('Student Groupings'!$A:$A,'Student Groupings'!$B:$B=$C151,'Student Groupings'!$H:$H=""Must be Together""),"""");iferror(filter('Student Groupings'!$A:$A,'Student Groupings'!$E:$E=$C151,'Student Groupings'"&amp;"!$H:$H=""Must be Together""),"""")})="" - "","""",join("" - "",{iferror(filter('Student Groupings'!$A:$A,'Student Groupings'!$B:$B=$C151,'Student Groupings'!$H:$H=""Must be Together""),"""");iferror(filter('Student Groupings'!$A:$A,'Student Groupings'!$E:"&amp;"$E=$C151,'Student Groupings'!$H:$H=""Must be Together""),"""")})))"),"")</f>
        <v/>
      </c>
    </row>
    <row r="152">
      <c r="A152" s="167">
        <v>10.0</v>
      </c>
      <c r="B152" s="168">
        <v>28090.0</v>
      </c>
      <c r="C152" s="144" t="s">
        <v>304</v>
      </c>
      <c r="D152" s="180" t="s">
        <v>48</v>
      </c>
      <c r="E152" s="181">
        <v>6.0</v>
      </c>
      <c r="F152" s="167" t="s">
        <v>57</v>
      </c>
      <c r="G152" s="167">
        <v>5.0</v>
      </c>
      <c r="H152" s="182" t="s">
        <v>81</v>
      </c>
      <c r="I152" s="167">
        <v>3.0</v>
      </c>
      <c r="J152" s="187"/>
      <c r="K152" s="167"/>
      <c r="L152" s="184" t="s">
        <v>95</v>
      </c>
      <c r="M152" s="167">
        <v>1.0</v>
      </c>
      <c r="N152" s="184" t="s">
        <v>130</v>
      </c>
      <c r="O152" s="167">
        <v>7.0</v>
      </c>
      <c r="P152" s="182" t="s">
        <v>100</v>
      </c>
      <c r="Q152" s="167">
        <v>4.0</v>
      </c>
      <c r="R152" s="184" t="s">
        <v>56</v>
      </c>
      <c r="S152" s="167">
        <v>8.0</v>
      </c>
      <c r="T152" s="188"/>
      <c r="U152" s="189"/>
      <c r="V152" s="184" t="s">
        <v>23</v>
      </c>
      <c r="W152" s="167">
        <v>2.0</v>
      </c>
      <c r="X152" s="142">
        <v>1.0</v>
      </c>
      <c r="Y152" s="142">
        <v>1.0</v>
      </c>
      <c r="Z152" s="142">
        <v>1.0</v>
      </c>
      <c r="AA152" s="142">
        <v>1.0</v>
      </c>
      <c r="AB152" s="142">
        <v>1.0</v>
      </c>
      <c r="AC152" s="142">
        <v>1.0</v>
      </c>
      <c r="AD152" s="142">
        <v>1.0</v>
      </c>
      <c r="AE152" s="142">
        <v>1.0</v>
      </c>
      <c r="AF152" s="142">
        <v>8.0</v>
      </c>
      <c r="AG152" s="142">
        <v>0.0</v>
      </c>
      <c r="AH152" s="185" t="str">
        <f>IFERROR(__xludf.DUMMYFUNCTION("if($C152="""","""",if(join("" - "",{iferror(filter('Student Groupings'!$A:$A,'Student Groupings'!$B:$B=$C152,'Student Groupings'!$H:$H=""Can't be Together""),"""");iferror(filter('Student Groupings'!$A:$A,'Student Groupings'!$E:$E=$C152,'Student Groupings"&amp;"'!$H:$H=""Can't be Together""),"""")})="" - "","""",join("" - "",{iferror(filter('Student Groupings'!$A:$A,'Student Groupings'!$B:$B=$C152,'Student Groupings'!$H:$H=""Can't be Together""),"""");iferror(filter('Student Groupings'!$A:$A,'Student Groupings'!"&amp;"$E:$E=$C152,'Student Groupings'!$H:$H=""Can't be Together""),"""")})))"),"")</f>
        <v/>
      </c>
      <c r="AI152" s="185" t="str">
        <f>IFERROR(__xludf.DUMMYFUNCTION("if($C152="""","""",if(join("" - "",{iferror(filter('Student Groupings'!$A:$A,'Student Groupings'!$B:$B=$C152,'Student Groupings'!$H:$H=""Must be Together""),"""");iferror(filter('Student Groupings'!$A:$A,'Student Groupings'!$E:$E=$C152,'Student Groupings'"&amp;"!$H:$H=""Must be Together""),"""")})="" - "","""",join("" - "",{iferror(filter('Student Groupings'!$A:$A,'Student Groupings'!$B:$B=$C152,'Student Groupings'!$H:$H=""Must be Together""),"""");iferror(filter('Student Groupings'!$A:$A,'Student Groupings'!$E:"&amp;"$E=$C152,'Student Groupings'!$H:$H=""Must be Together""),"""")})))"),"")</f>
        <v/>
      </c>
    </row>
    <row r="153">
      <c r="A153" s="167">
        <v>10.0</v>
      </c>
      <c r="B153" s="168">
        <v>28050.0</v>
      </c>
      <c r="C153" s="144" t="s">
        <v>305</v>
      </c>
      <c r="D153" s="180" t="s">
        <v>48</v>
      </c>
      <c r="E153" s="181">
        <v>1.0</v>
      </c>
      <c r="F153" s="186" t="s">
        <v>64</v>
      </c>
      <c r="G153" s="167">
        <v>4.0</v>
      </c>
      <c r="H153" s="182" t="s">
        <v>81</v>
      </c>
      <c r="I153" s="167">
        <v>2.0</v>
      </c>
      <c r="J153" s="187"/>
      <c r="K153" s="167"/>
      <c r="L153" s="184" t="s">
        <v>95</v>
      </c>
      <c r="M153" s="167">
        <v>7.0</v>
      </c>
      <c r="N153" s="184" t="s">
        <v>130</v>
      </c>
      <c r="O153" s="167">
        <v>5.0</v>
      </c>
      <c r="P153" s="184" t="s">
        <v>103</v>
      </c>
      <c r="Q153" s="167">
        <v>3.0</v>
      </c>
      <c r="R153" s="184" t="s">
        <v>56</v>
      </c>
      <c r="S153" s="167">
        <v>8.0</v>
      </c>
      <c r="T153" s="188"/>
      <c r="U153" s="189"/>
      <c r="V153" s="184" t="s">
        <v>23</v>
      </c>
      <c r="W153" s="167">
        <v>6.0</v>
      </c>
      <c r="X153" s="142">
        <v>1.0</v>
      </c>
      <c r="Y153" s="142">
        <v>1.0</v>
      </c>
      <c r="Z153" s="142">
        <v>1.0</v>
      </c>
      <c r="AA153" s="142">
        <v>1.0</v>
      </c>
      <c r="AB153" s="142">
        <v>1.0</v>
      </c>
      <c r="AC153" s="142">
        <v>1.0</v>
      </c>
      <c r="AD153" s="142">
        <v>1.0</v>
      </c>
      <c r="AE153" s="142">
        <v>1.0</v>
      </c>
      <c r="AF153" s="142">
        <v>8.0</v>
      </c>
      <c r="AG153" s="142">
        <v>0.0</v>
      </c>
      <c r="AH153" s="185" t="str">
        <f>IFERROR(__xludf.DUMMYFUNCTION("if($C153="""","""",if(join("" - "",{iferror(filter('Student Groupings'!$A:$A,'Student Groupings'!$B:$B=$C153,'Student Groupings'!$H:$H=""Can't be Together""),"""");iferror(filter('Student Groupings'!$A:$A,'Student Groupings'!$E:$E=$C153,'Student Groupings"&amp;"'!$H:$H=""Can't be Together""),"""")})="" - "","""",join("" - "",{iferror(filter('Student Groupings'!$A:$A,'Student Groupings'!$B:$B=$C153,'Student Groupings'!$H:$H=""Can't be Together""),"""");iferror(filter('Student Groupings'!$A:$A,'Student Groupings'!"&amp;"$E:$E=$C153,'Student Groupings'!$H:$H=""Can't be Together""),"""")})))"),"")</f>
        <v/>
      </c>
      <c r="AI153" s="185" t="str">
        <f>IFERROR(__xludf.DUMMYFUNCTION("if($C153="""","""",if(join("" - "",{iferror(filter('Student Groupings'!$A:$A,'Student Groupings'!$B:$B=$C153,'Student Groupings'!$H:$H=""Must be Together""),"""");iferror(filter('Student Groupings'!$A:$A,'Student Groupings'!$E:$E=$C153,'Student Groupings'"&amp;"!$H:$H=""Must be Together""),"""")})="" - "","""",join("" - "",{iferror(filter('Student Groupings'!$A:$A,'Student Groupings'!$B:$B=$C153,'Student Groupings'!$H:$H=""Must be Together""),"""");iferror(filter('Student Groupings'!$A:$A,'Student Groupings'!$E:"&amp;"$E=$C153,'Student Groupings'!$H:$H=""Must be Together""),"""")})))"),"9 - ")</f>
        <v>9 - </v>
      </c>
    </row>
    <row r="154">
      <c r="A154" s="167">
        <v>10.0</v>
      </c>
      <c r="B154" s="168">
        <v>28031.0</v>
      </c>
      <c r="C154" s="144" t="s">
        <v>306</v>
      </c>
      <c r="D154" s="180" t="s">
        <v>37</v>
      </c>
      <c r="E154" s="181">
        <v>2.0</v>
      </c>
      <c r="F154" s="167" t="s">
        <v>64</v>
      </c>
      <c r="G154" s="167">
        <v>1.0</v>
      </c>
      <c r="H154" s="182" t="s">
        <v>76</v>
      </c>
      <c r="I154" s="167">
        <v>3.0</v>
      </c>
      <c r="J154" s="187"/>
      <c r="K154" s="167"/>
      <c r="L154" s="184" t="s">
        <v>95</v>
      </c>
      <c r="M154" s="167">
        <v>6.0</v>
      </c>
      <c r="N154" s="184" t="s">
        <v>130</v>
      </c>
      <c r="O154" s="167">
        <v>5.0</v>
      </c>
      <c r="P154" s="182" t="s">
        <v>100</v>
      </c>
      <c r="Q154" s="167">
        <v>7.0</v>
      </c>
      <c r="R154" s="184" t="s">
        <v>56</v>
      </c>
      <c r="S154" s="167">
        <v>4.0</v>
      </c>
      <c r="T154" s="188"/>
      <c r="U154" s="189"/>
      <c r="V154" s="184" t="s">
        <v>24</v>
      </c>
      <c r="W154" s="167">
        <v>8.0</v>
      </c>
      <c r="X154" s="142">
        <v>1.0</v>
      </c>
      <c r="Y154" s="142">
        <v>1.0</v>
      </c>
      <c r="Z154" s="142">
        <v>1.0</v>
      </c>
      <c r="AA154" s="142">
        <v>1.0</v>
      </c>
      <c r="AB154" s="142">
        <v>1.0</v>
      </c>
      <c r="AC154" s="142">
        <v>1.0</v>
      </c>
      <c r="AD154" s="142">
        <v>1.0</v>
      </c>
      <c r="AE154" s="142">
        <v>1.0</v>
      </c>
      <c r="AF154" s="142">
        <v>8.0</v>
      </c>
      <c r="AG154" s="142">
        <v>0.0</v>
      </c>
      <c r="AH154" s="185" t="str">
        <f>IFERROR(__xludf.DUMMYFUNCTION("if($C154="""","""",if(join("" - "",{iferror(filter('Student Groupings'!$A:$A,'Student Groupings'!$B:$B=$C154,'Student Groupings'!$H:$H=""Can't be Together""),"""");iferror(filter('Student Groupings'!$A:$A,'Student Groupings'!$E:$E=$C154,'Student Groupings"&amp;"'!$H:$H=""Can't be Together""),"""")})="" - "","""",join("" - "",{iferror(filter('Student Groupings'!$A:$A,'Student Groupings'!$B:$B=$C154,'Student Groupings'!$H:$H=""Can't be Together""),"""");iferror(filter('Student Groupings'!$A:$A,'Student Groupings'!"&amp;"$E:$E=$C154,'Student Groupings'!$H:$H=""Can't be Together""),"""")})))"),"")</f>
        <v/>
      </c>
      <c r="AI154" s="185" t="str">
        <f>IFERROR(__xludf.DUMMYFUNCTION("if($C154="""","""",if(join("" - "",{iferror(filter('Student Groupings'!$A:$A,'Student Groupings'!$B:$B=$C154,'Student Groupings'!$H:$H=""Must be Together""),"""");iferror(filter('Student Groupings'!$A:$A,'Student Groupings'!$E:$E=$C154,'Student Groupings'"&amp;"!$H:$H=""Must be Together""),"""")})="" - "","""",join("" - "",{iferror(filter('Student Groupings'!$A:$A,'Student Groupings'!$B:$B=$C154,'Student Groupings'!$H:$H=""Must be Together""),"""");iferror(filter('Student Groupings'!$A:$A,'Student Groupings'!$E:"&amp;"$E=$C154,'Student Groupings'!$H:$H=""Must be Together""),"""")})))"),"")</f>
        <v/>
      </c>
    </row>
    <row r="155">
      <c r="A155" s="167">
        <v>10.0</v>
      </c>
      <c r="B155" s="168">
        <v>28162.0</v>
      </c>
      <c r="C155" s="144" t="s">
        <v>307</v>
      </c>
      <c r="D155" s="180" t="s">
        <v>37</v>
      </c>
      <c r="E155" s="181">
        <v>8.0</v>
      </c>
      <c r="F155" s="167" t="s">
        <v>64</v>
      </c>
      <c r="G155" s="167">
        <v>3.0</v>
      </c>
      <c r="H155" s="182" t="s">
        <v>76</v>
      </c>
      <c r="I155" s="167">
        <v>6.0</v>
      </c>
      <c r="J155" s="183"/>
      <c r="K155" s="167"/>
      <c r="L155" s="184" t="s">
        <v>95</v>
      </c>
      <c r="M155" s="167">
        <v>1.0</v>
      </c>
      <c r="N155" s="184" t="s">
        <v>130</v>
      </c>
      <c r="O155" s="167">
        <v>2.0</v>
      </c>
      <c r="P155" s="182" t="s">
        <v>100</v>
      </c>
      <c r="Q155" s="167">
        <v>7.0</v>
      </c>
      <c r="R155" s="184" t="s">
        <v>56</v>
      </c>
      <c r="S155" s="167">
        <v>4.0</v>
      </c>
      <c r="T155" s="188"/>
      <c r="U155" s="167"/>
      <c r="V155" s="184" t="s">
        <v>30</v>
      </c>
      <c r="W155" s="167">
        <v>5.0</v>
      </c>
      <c r="X155" s="142">
        <v>1.0</v>
      </c>
      <c r="Y155" s="142">
        <v>1.0</v>
      </c>
      <c r="Z155" s="142">
        <v>1.0</v>
      </c>
      <c r="AA155" s="142">
        <v>1.0</v>
      </c>
      <c r="AB155" s="142">
        <v>1.0</v>
      </c>
      <c r="AC155" s="142">
        <v>1.0</v>
      </c>
      <c r="AD155" s="142">
        <v>1.0</v>
      </c>
      <c r="AE155" s="142">
        <v>1.0</v>
      </c>
      <c r="AF155" s="142">
        <v>8.0</v>
      </c>
      <c r="AG155" s="142">
        <v>0.0</v>
      </c>
      <c r="AH155" s="185" t="str">
        <f>IFERROR(__xludf.DUMMYFUNCTION("if($C155="""","""",if(join("" - "",{iferror(filter('Student Groupings'!$A:$A,'Student Groupings'!$B:$B=$C155,'Student Groupings'!$H:$H=""Can't be Together""),"""");iferror(filter('Student Groupings'!$A:$A,'Student Groupings'!$E:$E=$C155,'Student Groupings"&amp;"'!$H:$H=""Can't be Together""),"""")})="" - "","""",join("" - "",{iferror(filter('Student Groupings'!$A:$A,'Student Groupings'!$B:$B=$C155,'Student Groupings'!$H:$H=""Can't be Together""),"""");iferror(filter('Student Groupings'!$A:$A,'Student Groupings'!"&amp;"$E:$E=$C155,'Student Groupings'!$H:$H=""Can't be Together""),"""")})))"),"")</f>
        <v/>
      </c>
      <c r="AI155" s="185" t="str">
        <f>IFERROR(__xludf.DUMMYFUNCTION("if($C155="""","""",if(join("" - "",{iferror(filter('Student Groupings'!$A:$A,'Student Groupings'!$B:$B=$C155,'Student Groupings'!$H:$H=""Must be Together""),"""");iferror(filter('Student Groupings'!$A:$A,'Student Groupings'!$E:$E=$C155,'Student Groupings'"&amp;"!$H:$H=""Must be Together""),"""")})="" - "","""",join("" - "",{iferror(filter('Student Groupings'!$A:$A,'Student Groupings'!$B:$B=$C155,'Student Groupings'!$H:$H=""Must be Together""),"""");iferror(filter('Student Groupings'!$A:$A,'Student Groupings'!$E:"&amp;"$E=$C155,'Student Groupings'!$H:$H=""Must be Together""),"""")})))"),"")</f>
        <v/>
      </c>
    </row>
    <row r="156">
      <c r="A156" s="167">
        <v>10.0</v>
      </c>
      <c r="B156" s="168">
        <v>28121.0</v>
      </c>
      <c r="C156" s="144" t="s">
        <v>308</v>
      </c>
      <c r="D156" s="180" t="s">
        <v>48</v>
      </c>
      <c r="E156" s="181">
        <v>1.0</v>
      </c>
      <c r="F156" s="186" t="s">
        <v>64</v>
      </c>
      <c r="G156" s="167">
        <v>8.0</v>
      </c>
      <c r="H156" s="182" t="s">
        <v>79</v>
      </c>
      <c r="I156" s="167">
        <v>5.0</v>
      </c>
      <c r="J156" s="183"/>
      <c r="K156" s="167"/>
      <c r="L156" s="184" t="s">
        <v>95</v>
      </c>
      <c r="M156" s="167">
        <v>2.0</v>
      </c>
      <c r="N156" s="184" t="s">
        <v>130</v>
      </c>
      <c r="O156" s="167">
        <v>7.0</v>
      </c>
      <c r="P156" s="184" t="s">
        <v>103</v>
      </c>
      <c r="Q156" s="167">
        <v>6.0</v>
      </c>
      <c r="R156" s="184" t="s">
        <v>56</v>
      </c>
      <c r="S156" s="167">
        <v>3.0</v>
      </c>
      <c r="T156" s="188"/>
      <c r="U156" s="167"/>
      <c r="V156" s="184" t="s">
        <v>24</v>
      </c>
      <c r="W156" s="167">
        <v>4.0</v>
      </c>
      <c r="X156" s="142">
        <v>1.0</v>
      </c>
      <c r="Y156" s="142">
        <v>1.0</v>
      </c>
      <c r="Z156" s="142">
        <v>1.0</v>
      </c>
      <c r="AA156" s="142">
        <v>1.0</v>
      </c>
      <c r="AB156" s="142">
        <v>1.0</v>
      </c>
      <c r="AC156" s="142">
        <v>1.0</v>
      </c>
      <c r="AD156" s="142">
        <v>1.0</v>
      </c>
      <c r="AE156" s="142">
        <v>1.0</v>
      </c>
      <c r="AF156" s="142">
        <v>8.0</v>
      </c>
      <c r="AG156" s="142">
        <v>0.0</v>
      </c>
      <c r="AH156" s="185" t="str">
        <f>IFERROR(__xludf.DUMMYFUNCTION("if($C156="""","""",if(join("" - "",{iferror(filter('Student Groupings'!$A:$A,'Student Groupings'!$B:$B=$C156,'Student Groupings'!$H:$H=""Can't be Together""),"""");iferror(filter('Student Groupings'!$A:$A,'Student Groupings'!$E:$E=$C156,'Student Groupings"&amp;"'!$H:$H=""Can't be Together""),"""")})="" - "","""",join("" - "",{iferror(filter('Student Groupings'!$A:$A,'Student Groupings'!$B:$B=$C156,'Student Groupings'!$H:$H=""Can't be Together""),"""");iferror(filter('Student Groupings'!$A:$A,'Student Groupings'!"&amp;"$E:$E=$C156,'Student Groupings'!$H:$H=""Can't be Together""),"""")})))"),"")</f>
        <v/>
      </c>
      <c r="AI156" s="185" t="str">
        <f>IFERROR(__xludf.DUMMYFUNCTION("if($C156="""","""",if(join("" - "",{iferror(filter('Student Groupings'!$A:$A,'Student Groupings'!$B:$B=$C156,'Student Groupings'!$H:$H=""Must be Together""),"""");iferror(filter('Student Groupings'!$A:$A,'Student Groupings'!$E:$E=$C156,'Student Groupings'"&amp;"!$H:$H=""Must be Together""),"""")})="" - "","""",join("" - "",{iferror(filter('Student Groupings'!$A:$A,'Student Groupings'!$B:$B=$C156,'Student Groupings'!$H:$H=""Must be Together""),"""");iferror(filter('Student Groupings'!$A:$A,'Student Groupings'!$E:"&amp;"$E=$C156,'Student Groupings'!$H:$H=""Must be Together""),"""")})))"),"")</f>
        <v/>
      </c>
    </row>
    <row r="157">
      <c r="A157" s="167">
        <v>10.0</v>
      </c>
      <c r="B157" s="168">
        <v>28016.0</v>
      </c>
      <c r="C157" s="144" t="s">
        <v>309</v>
      </c>
      <c r="D157" s="180" t="s">
        <v>48</v>
      </c>
      <c r="E157" s="181">
        <v>5.0</v>
      </c>
      <c r="F157" s="167" t="s">
        <v>64</v>
      </c>
      <c r="G157" s="167">
        <v>3.0</v>
      </c>
      <c r="H157" s="182" t="s">
        <v>76</v>
      </c>
      <c r="I157" s="167">
        <v>6.0</v>
      </c>
      <c r="J157" s="187"/>
      <c r="K157" s="167"/>
      <c r="L157" s="184" t="s">
        <v>95</v>
      </c>
      <c r="M157" s="167">
        <v>2.0</v>
      </c>
      <c r="N157" s="184" t="s">
        <v>130</v>
      </c>
      <c r="O157" s="167">
        <v>1.0</v>
      </c>
      <c r="P157" s="182" t="s">
        <v>100</v>
      </c>
      <c r="Q157" s="167">
        <v>4.0</v>
      </c>
      <c r="R157" s="184" t="s">
        <v>56</v>
      </c>
      <c r="S157" s="167">
        <v>8.0</v>
      </c>
      <c r="T157" s="188"/>
      <c r="U157" s="189"/>
      <c r="V157" s="184" t="s">
        <v>34</v>
      </c>
      <c r="W157" s="167">
        <v>7.0</v>
      </c>
      <c r="X157" s="142">
        <v>1.0</v>
      </c>
      <c r="Y157" s="142">
        <v>1.0</v>
      </c>
      <c r="Z157" s="142">
        <v>1.0</v>
      </c>
      <c r="AA157" s="142">
        <v>1.0</v>
      </c>
      <c r="AB157" s="142">
        <v>1.0</v>
      </c>
      <c r="AC157" s="142">
        <v>1.0</v>
      </c>
      <c r="AD157" s="142">
        <v>1.0</v>
      </c>
      <c r="AE157" s="142">
        <v>1.0</v>
      </c>
      <c r="AF157" s="142">
        <v>8.0</v>
      </c>
      <c r="AG157" s="142">
        <v>0.0</v>
      </c>
      <c r="AH157" s="185" t="str">
        <f>IFERROR(__xludf.DUMMYFUNCTION("if($C157="""","""",if(join("" - "",{iferror(filter('Student Groupings'!$A:$A,'Student Groupings'!$B:$B=$C157,'Student Groupings'!$H:$H=""Can't be Together""),"""");iferror(filter('Student Groupings'!$A:$A,'Student Groupings'!$E:$E=$C157,'Student Groupings"&amp;"'!$H:$H=""Can't be Together""),"""")})="" - "","""",join("" - "",{iferror(filter('Student Groupings'!$A:$A,'Student Groupings'!$B:$B=$C157,'Student Groupings'!$H:$H=""Can't be Together""),"""");iferror(filter('Student Groupings'!$A:$A,'Student Groupings'!"&amp;"$E:$E=$C157,'Student Groupings'!$H:$H=""Can't be Together""),"""")})))"),"")</f>
        <v/>
      </c>
      <c r="AI157" s="185" t="str">
        <f>IFERROR(__xludf.DUMMYFUNCTION("if($C157="""","""",if(join("" - "",{iferror(filter('Student Groupings'!$A:$A,'Student Groupings'!$B:$B=$C157,'Student Groupings'!$H:$H=""Must be Together""),"""");iferror(filter('Student Groupings'!$A:$A,'Student Groupings'!$E:$E=$C157,'Student Groupings'"&amp;"!$H:$H=""Must be Together""),"""")})="" - "","""",join("" - "",{iferror(filter('Student Groupings'!$A:$A,'Student Groupings'!$B:$B=$C157,'Student Groupings'!$H:$H=""Must be Together""),"""");iferror(filter('Student Groupings'!$A:$A,'Student Groupings'!$E:"&amp;"$E=$C157,'Student Groupings'!$H:$H=""Must be Together""),"""")})))"),"")</f>
        <v/>
      </c>
    </row>
    <row r="158">
      <c r="A158" s="167">
        <v>10.0</v>
      </c>
      <c r="B158" s="168">
        <v>28170.0</v>
      </c>
      <c r="C158" s="144" t="s">
        <v>310</v>
      </c>
      <c r="D158" s="180" t="s">
        <v>48</v>
      </c>
      <c r="E158" s="181">
        <v>6.0</v>
      </c>
      <c r="F158" s="167" t="s">
        <v>64</v>
      </c>
      <c r="G158" s="167">
        <v>4.0</v>
      </c>
      <c r="H158" s="182" t="s">
        <v>76</v>
      </c>
      <c r="I158" s="167">
        <v>3.0</v>
      </c>
      <c r="J158" s="187"/>
      <c r="K158" s="167"/>
      <c r="L158" s="184" t="s">
        <v>95</v>
      </c>
      <c r="M158" s="167">
        <v>7.0</v>
      </c>
      <c r="N158" s="184" t="s">
        <v>130</v>
      </c>
      <c r="O158" s="167">
        <v>1.0</v>
      </c>
      <c r="P158" s="182" t="s">
        <v>100</v>
      </c>
      <c r="Q158" s="167">
        <v>2.0</v>
      </c>
      <c r="R158" s="184" t="s">
        <v>56</v>
      </c>
      <c r="S158" s="167">
        <v>5.0</v>
      </c>
      <c r="T158" s="188"/>
      <c r="U158" s="167"/>
      <c r="V158" s="184" t="s">
        <v>86</v>
      </c>
      <c r="W158" s="167">
        <v>8.0</v>
      </c>
      <c r="X158" s="142">
        <v>1.0</v>
      </c>
      <c r="Y158" s="142">
        <v>1.0</v>
      </c>
      <c r="Z158" s="142">
        <v>1.0</v>
      </c>
      <c r="AA158" s="142">
        <v>1.0</v>
      </c>
      <c r="AB158" s="142">
        <v>1.0</v>
      </c>
      <c r="AC158" s="142">
        <v>1.0</v>
      </c>
      <c r="AD158" s="142">
        <v>1.0</v>
      </c>
      <c r="AE158" s="142">
        <v>1.0</v>
      </c>
      <c r="AF158" s="142">
        <v>8.0</v>
      </c>
      <c r="AG158" s="142">
        <v>0.0</v>
      </c>
      <c r="AH158" s="185" t="str">
        <f>IFERROR(__xludf.DUMMYFUNCTION("if($C158="""","""",if(join("" - "",{iferror(filter('Student Groupings'!$A:$A,'Student Groupings'!$B:$B=$C158,'Student Groupings'!$H:$H=""Can't be Together""),"""");iferror(filter('Student Groupings'!$A:$A,'Student Groupings'!$E:$E=$C158,'Student Groupings"&amp;"'!$H:$H=""Can't be Together""),"""")})="" - "","""",join("" - "",{iferror(filter('Student Groupings'!$A:$A,'Student Groupings'!$B:$B=$C158,'Student Groupings'!$H:$H=""Can't be Together""),"""");iferror(filter('Student Groupings'!$A:$A,'Student Groupings'!"&amp;"$E:$E=$C158,'Student Groupings'!$H:$H=""Can't be Together""),"""")})))"),"")</f>
        <v/>
      </c>
      <c r="AI158" s="185" t="str">
        <f>IFERROR(__xludf.DUMMYFUNCTION("if($C158="""","""",if(join("" - "",{iferror(filter('Student Groupings'!$A:$A,'Student Groupings'!$B:$B=$C158,'Student Groupings'!$H:$H=""Must be Together""),"""");iferror(filter('Student Groupings'!$A:$A,'Student Groupings'!$E:$E=$C158,'Student Groupings'"&amp;"!$H:$H=""Must be Together""),"""")})="" - "","""",join("" - "",{iferror(filter('Student Groupings'!$A:$A,'Student Groupings'!$B:$B=$C158,'Student Groupings'!$H:$H=""Must be Together""),"""");iferror(filter('Student Groupings'!$A:$A,'Student Groupings'!$E:"&amp;"$E=$C158,'Student Groupings'!$H:$H=""Must be Together""),"""")})))"),"72 - 101")</f>
        <v>72 - 101</v>
      </c>
    </row>
    <row r="159">
      <c r="A159" s="167">
        <v>10.0</v>
      </c>
      <c r="B159" s="168">
        <v>28054.0</v>
      </c>
      <c r="C159" s="144" t="s">
        <v>311</v>
      </c>
      <c r="D159" s="180" t="s">
        <v>48</v>
      </c>
      <c r="E159" s="181">
        <v>5.0</v>
      </c>
      <c r="F159" s="167" t="s">
        <v>64</v>
      </c>
      <c r="G159" s="180">
        <v>7.0</v>
      </c>
      <c r="H159" s="182" t="s">
        <v>81</v>
      </c>
      <c r="I159" s="167">
        <v>2.0</v>
      </c>
      <c r="J159" s="187"/>
      <c r="K159" s="167"/>
      <c r="L159" s="184" t="s">
        <v>95</v>
      </c>
      <c r="M159" s="167">
        <v>3.0</v>
      </c>
      <c r="N159" s="184" t="s">
        <v>130</v>
      </c>
      <c r="O159" s="167">
        <v>1.0</v>
      </c>
      <c r="P159" s="184" t="s">
        <v>103</v>
      </c>
      <c r="Q159" s="167">
        <v>6.0</v>
      </c>
      <c r="R159" s="184" t="s">
        <v>56</v>
      </c>
      <c r="S159" s="167">
        <v>4.0</v>
      </c>
      <c r="T159" s="183"/>
      <c r="U159" s="167"/>
      <c r="V159" s="184" t="s">
        <v>86</v>
      </c>
      <c r="W159" s="167">
        <v>8.0</v>
      </c>
      <c r="X159" s="142">
        <v>1.0</v>
      </c>
      <c r="Y159" s="142">
        <v>1.0</v>
      </c>
      <c r="Z159" s="142">
        <v>1.0</v>
      </c>
      <c r="AA159" s="142">
        <v>1.0</v>
      </c>
      <c r="AB159" s="142">
        <v>1.0</v>
      </c>
      <c r="AC159" s="142">
        <v>1.0</v>
      </c>
      <c r="AD159" s="142">
        <v>1.0</v>
      </c>
      <c r="AE159" s="142">
        <v>1.0</v>
      </c>
      <c r="AF159" s="142">
        <v>8.0</v>
      </c>
      <c r="AG159" s="142">
        <v>0.0</v>
      </c>
      <c r="AH159" s="185" t="str">
        <f>IFERROR(__xludf.DUMMYFUNCTION("if($C159="""","""",if(join("" - "",{iferror(filter('Student Groupings'!$A:$A,'Student Groupings'!$B:$B=$C159,'Student Groupings'!$H:$H=""Can't be Together""),"""");iferror(filter('Student Groupings'!$A:$A,'Student Groupings'!$E:$E=$C159,'Student Groupings"&amp;"'!$H:$H=""Can't be Together""),"""")})="" - "","""",join("" - "",{iferror(filter('Student Groupings'!$A:$A,'Student Groupings'!$B:$B=$C159,'Student Groupings'!$H:$H=""Can't be Together""),"""");iferror(filter('Student Groupings'!$A:$A,'Student Groupings'!"&amp;"$E:$E=$C159,'Student Groupings'!$H:$H=""Can't be Together""),"""")})))"),"")</f>
        <v/>
      </c>
      <c r="AI159" s="185" t="str">
        <f>IFERROR(__xludf.DUMMYFUNCTION("if($C159="""","""",if(join("" - "",{iferror(filter('Student Groupings'!$A:$A,'Student Groupings'!$B:$B=$C159,'Student Groupings'!$H:$H=""Must be Together""),"""");iferror(filter('Student Groupings'!$A:$A,'Student Groupings'!$E:$E=$C159,'Student Groupings'"&amp;"!$H:$H=""Must be Together""),"""")})="" - "","""",join("" - "",{iferror(filter('Student Groupings'!$A:$A,'Student Groupings'!$B:$B=$C159,'Student Groupings'!$H:$H=""Must be Together""),"""");iferror(filter('Student Groupings'!$A:$A,'Student Groupings'!$E:"&amp;"$E=$C159,'Student Groupings'!$H:$H=""Must be Together""),"""")})))")," - 80")</f>
        <v> - 80</v>
      </c>
    </row>
    <row r="160">
      <c r="A160" s="167">
        <v>10.0</v>
      </c>
      <c r="B160" s="168">
        <v>28003.0</v>
      </c>
      <c r="C160" s="144" t="s">
        <v>312</v>
      </c>
      <c r="D160" s="180" t="s">
        <v>48</v>
      </c>
      <c r="E160" s="181">
        <v>5.0</v>
      </c>
      <c r="F160" s="180" t="s">
        <v>64</v>
      </c>
      <c r="G160" s="180">
        <v>8.0</v>
      </c>
      <c r="H160" s="182" t="s">
        <v>79</v>
      </c>
      <c r="I160" s="167">
        <v>1.0</v>
      </c>
      <c r="J160" s="183"/>
      <c r="K160" s="167"/>
      <c r="L160" s="184" t="s">
        <v>95</v>
      </c>
      <c r="M160" s="180">
        <v>6.0</v>
      </c>
      <c r="N160" s="184" t="s">
        <v>130</v>
      </c>
      <c r="O160" s="167">
        <v>2.0</v>
      </c>
      <c r="P160" s="184" t="s">
        <v>103</v>
      </c>
      <c r="Q160" s="167">
        <v>4.0</v>
      </c>
      <c r="R160" s="184" t="s">
        <v>56</v>
      </c>
      <c r="S160" s="167">
        <v>7.0</v>
      </c>
      <c r="T160" s="188"/>
      <c r="U160" s="167"/>
      <c r="V160" s="184" t="s">
        <v>24</v>
      </c>
      <c r="W160" s="180">
        <v>3.0</v>
      </c>
      <c r="X160" s="142">
        <v>1.0</v>
      </c>
      <c r="Y160" s="142">
        <v>1.0</v>
      </c>
      <c r="Z160" s="142">
        <v>1.0</v>
      </c>
      <c r="AA160" s="142">
        <v>1.0</v>
      </c>
      <c r="AB160" s="142">
        <v>1.0</v>
      </c>
      <c r="AC160" s="142">
        <v>1.0</v>
      </c>
      <c r="AD160" s="142">
        <v>1.0</v>
      </c>
      <c r="AE160" s="142">
        <v>1.0</v>
      </c>
      <c r="AF160" s="142">
        <v>8.0</v>
      </c>
      <c r="AG160" s="142">
        <v>0.0</v>
      </c>
      <c r="AH160" s="185" t="str">
        <f>IFERROR(__xludf.DUMMYFUNCTION("if($C160="""","""",if(join("" - "",{iferror(filter('Student Groupings'!$A:$A,'Student Groupings'!$B:$B=$C160,'Student Groupings'!$H:$H=""Can't be Together""),"""");iferror(filter('Student Groupings'!$A:$A,'Student Groupings'!$E:$E=$C160,'Student Groupings"&amp;"'!$H:$H=""Can't be Together""),"""")})="" - "","""",join("" - "",{iferror(filter('Student Groupings'!$A:$A,'Student Groupings'!$B:$B=$C160,'Student Groupings'!$H:$H=""Can't be Together""),"""");iferror(filter('Student Groupings'!$A:$A,'Student Groupings'!"&amp;"$E:$E=$C160,'Student Groupings'!$H:$H=""Can't be Together""),"""")})))"),"")</f>
        <v/>
      </c>
      <c r="AI160" s="185" t="str">
        <f>IFERROR(__xludf.DUMMYFUNCTION("if($C160="""","""",if(join("" - "",{iferror(filter('Student Groupings'!$A:$A,'Student Groupings'!$B:$B=$C160,'Student Groupings'!$H:$H=""Must be Together""),"""");iferror(filter('Student Groupings'!$A:$A,'Student Groupings'!$E:$E=$C160,'Student Groupings'"&amp;"!$H:$H=""Must be Together""),"""")})="" - "","""",join("" - "",{iferror(filter('Student Groupings'!$A:$A,'Student Groupings'!$B:$B=$C160,'Student Groupings'!$H:$H=""Must be Together""),"""");iferror(filter('Student Groupings'!$A:$A,'Student Groupings'!$E:"&amp;"$E=$C160,'Student Groupings'!$H:$H=""Must be Together""),"""")})))"),"")</f>
        <v/>
      </c>
    </row>
    <row r="161">
      <c r="A161" s="167">
        <v>10.0</v>
      </c>
      <c r="B161" s="168">
        <v>28103.0</v>
      </c>
      <c r="C161" s="144" t="s">
        <v>313</v>
      </c>
      <c r="D161" s="180" t="s">
        <v>48</v>
      </c>
      <c r="E161" s="181">
        <v>5.0</v>
      </c>
      <c r="F161" s="167" t="s">
        <v>64</v>
      </c>
      <c r="G161" s="167">
        <v>3.0</v>
      </c>
      <c r="H161" s="182" t="s">
        <v>79</v>
      </c>
      <c r="I161" s="167">
        <v>8.0</v>
      </c>
      <c r="J161" s="187"/>
      <c r="K161" s="167"/>
      <c r="L161" s="184" t="s">
        <v>95</v>
      </c>
      <c r="M161" s="167">
        <v>6.0</v>
      </c>
      <c r="N161" s="184" t="s">
        <v>130</v>
      </c>
      <c r="O161" s="167">
        <v>1.0</v>
      </c>
      <c r="P161" s="184" t="s">
        <v>103</v>
      </c>
      <c r="Q161" s="167">
        <v>2.0</v>
      </c>
      <c r="R161" s="184" t="s">
        <v>56</v>
      </c>
      <c r="S161" s="167">
        <v>7.0</v>
      </c>
      <c r="T161" s="188"/>
      <c r="U161" s="189"/>
      <c r="V161" s="184" t="s">
        <v>24</v>
      </c>
      <c r="W161" s="167">
        <v>4.0</v>
      </c>
      <c r="X161" s="142">
        <v>1.0</v>
      </c>
      <c r="Y161" s="142">
        <v>1.0</v>
      </c>
      <c r="Z161" s="142">
        <v>1.0</v>
      </c>
      <c r="AA161" s="142">
        <v>1.0</v>
      </c>
      <c r="AB161" s="142">
        <v>1.0</v>
      </c>
      <c r="AC161" s="142">
        <v>1.0</v>
      </c>
      <c r="AD161" s="142">
        <v>1.0</v>
      </c>
      <c r="AE161" s="142">
        <v>1.0</v>
      </c>
      <c r="AF161" s="142">
        <v>8.0</v>
      </c>
      <c r="AG161" s="142">
        <v>0.0</v>
      </c>
      <c r="AH161" s="185" t="str">
        <f>IFERROR(__xludf.DUMMYFUNCTION("if($C161="""","""",if(join("" - "",{iferror(filter('Student Groupings'!$A:$A,'Student Groupings'!$B:$B=$C161,'Student Groupings'!$H:$H=""Can't be Together""),"""");iferror(filter('Student Groupings'!$A:$A,'Student Groupings'!$E:$E=$C161,'Student Groupings"&amp;"'!$H:$H=""Can't be Together""),"""")})="" - "","""",join("" - "",{iferror(filter('Student Groupings'!$A:$A,'Student Groupings'!$B:$B=$C161,'Student Groupings'!$H:$H=""Can't be Together""),"""");iferror(filter('Student Groupings'!$A:$A,'Student Groupings'!"&amp;"$E:$E=$C161,'Student Groupings'!$H:$H=""Can't be Together""),"""")})))"),"")</f>
        <v/>
      </c>
      <c r="AI161" s="185" t="str">
        <f>IFERROR(__xludf.DUMMYFUNCTION("if($C161="""","""",if(join("" - "",{iferror(filter('Student Groupings'!$A:$A,'Student Groupings'!$B:$B=$C161,'Student Groupings'!$H:$H=""Must be Together""),"""");iferror(filter('Student Groupings'!$A:$A,'Student Groupings'!$E:$E=$C161,'Student Groupings'"&amp;"!$H:$H=""Must be Together""),"""")})="" - "","""",join("" - "",{iferror(filter('Student Groupings'!$A:$A,'Student Groupings'!$B:$B=$C161,'Student Groupings'!$H:$H=""Must be Together""),"""");iferror(filter('Student Groupings'!$A:$A,'Student Groupings'!$E:"&amp;"$E=$C161,'Student Groupings'!$H:$H=""Must be Together""),"""")})))"),"")</f>
        <v/>
      </c>
    </row>
    <row r="162">
      <c r="A162" s="167">
        <v>10.0</v>
      </c>
      <c r="B162" s="168">
        <v>28163.0</v>
      </c>
      <c r="C162" s="144" t="s">
        <v>314</v>
      </c>
      <c r="D162" s="180" t="s">
        <v>37</v>
      </c>
      <c r="E162" s="181">
        <v>2.0</v>
      </c>
      <c r="F162" s="167" t="s">
        <v>64</v>
      </c>
      <c r="G162" s="167">
        <v>7.0</v>
      </c>
      <c r="H162" s="182" t="s">
        <v>76</v>
      </c>
      <c r="I162" s="167">
        <v>3.0</v>
      </c>
      <c r="J162" s="187"/>
      <c r="K162" s="167"/>
      <c r="L162" s="184" t="s">
        <v>95</v>
      </c>
      <c r="M162" s="167">
        <v>6.0</v>
      </c>
      <c r="N162" s="184" t="s">
        <v>130</v>
      </c>
      <c r="O162" s="167">
        <v>5.0</v>
      </c>
      <c r="P162" s="182" t="s">
        <v>100</v>
      </c>
      <c r="Q162" s="167">
        <v>4.0</v>
      </c>
      <c r="R162" s="184" t="s">
        <v>56</v>
      </c>
      <c r="S162" s="167">
        <v>1.0</v>
      </c>
      <c r="T162" s="188"/>
      <c r="U162" s="193"/>
      <c r="V162" s="184" t="s">
        <v>24</v>
      </c>
      <c r="W162" s="167">
        <v>8.0</v>
      </c>
      <c r="X162" s="142">
        <v>1.0</v>
      </c>
      <c r="Y162" s="142">
        <v>1.0</v>
      </c>
      <c r="Z162" s="142">
        <v>1.0</v>
      </c>
      <c r="AA162" s="142">
        <v>1.0</v>
      </c>
      <c r="AB162" s="142">
        <v>1.0</v>
      </c>
      <c r="AC162" s="142">
        <v>1.0</v>
      </c>
      <c r="AD162" s="142">
        <v>1.0</v>
      </c>
      <c r="AE162" s="142">
        <v>1.0</v>
      </c>
      <c r="AF162" s="142">
        <v>8.0</v>
      </c>
      <c r="AG162" s="142">
        <v>0.0</v>
      </c>
      <c r="AH162" s="185" t="str">
        <f>IFERROR(__xludf.DUMMYFUNCTION("if($C162="""","""",if(join("" - "",{iferror(filter('Student Groupings'!$A:$A,'Student Groupings'!$B:$B=$C162,'Student Groupings'!$H:$H=""Can't be Together""),"""");iferror(filter('Student Groupings'!$A:$A,'Student Groupings'!$E:$E=$C162,'Student Groupings"&amp;"'!$H:$H=""Can't be Together""),"""")})="" - "","""",join("" - "",{iferror(filter('Student Groupings'!$A:$A,'Student Groupings'!$B:$B=$C162,'Student Groupings'!$H:$H=""Can't be Together""),"""");iferror(filter('Student Groupings'!$A:$A,'Student Groupings'!"&amp;"$E:$E=$C162,'Student Groupings'!$H:$H=""Can't be Together""),"""")})))"),"")</f>
        <v/>
      </c>
      <c r="AI162" s="185" t="str">
        <f>IFERROR(__xludf.DUMMYFUNCTION("if($C162="""","""",if(join("" - "",{iferror(filter('Student Groupings'!$A:$A,'Student Groupings'!$B:$B=$C162,'Student Groupings'!$H:$H=""Must be Together""),"""");iferror(filter('Student Groupings'!$A:$A,'Student Groupings'!$E:$E=$C162,'Student Groupings'"&amp;"!$H:$H=""Must be Together""),"""")})="" - "","""",join("" - "",{iferror(filter('Student Groupings'!$A:$A,'Student Groupings'!$B:$B=$C162,'Student Groupings'!$H:$H=""Must be Together""),"""");iferror(filter('Student Groupings'!$A:$A,'Student Groupings'!$E:"&amp;"$E=$C162,'Student Groupings'!$H:$H=""Must be Together""),"""")})))"),"")</f>
        <v/>
      </c>
    </row>
    <row r="163">
      <c r="A163" s="167">
        <v>10.0</v>
      </c>
      <c r="B163" s="168">
        <v>28074.0</v>
      </c>
      <c r="C163" s="144" t="s">
        <v>315</v>
      </c>
      <c r="D163" s="180" t="s">
        <v>37</v>
      </c>
      <c r="E163" s="181">
        <v>5.0</v>
      </c>
      <c r="F163" s="167" t="s">
        <v>64</v>
      </c>
      <c r="G163" s="167">
        <v>4.0</v>
      </c>
      <c r="H163" s="182" t="s">
        <v>79</v>
      </c>
      <c r="I163" s="167">
        <v>1.0</v>
      </c>
      <c r="J163" s="181"/>
      <c r="K163" s="167"/>
      <c r="L163" s="184" t="s">
        <v>95</v>
      </c>
      <c r="M163" s="167">
        <v>8.0</v>
      </c>
      <c r="N163" s="184" t="s">
        <v>130</v>
      </c>
      <c r="O163" s="167">
        <v>7.0</v>
      </c>
      <c r="P163" s="184" t="s">
        <v>103</v>
      </c>
      <c r="Q163" s="167">
        <v>6.0</v>
      </c>
      <c r="R163" s="184" t="s">
        <v>56</v>
      </c>
      <c r="S163" s="167">
        <v>2.0</v>
      </c>
      <c r="T163" s="188"/>
      <c r="U163" s="167"/>
      <c r="V163" s="184" t="s">
        <v>24</v>
      </c>
      <c r="W163" s="167">
        <v>3.0</v>
      </c>
      <c r="X163" s="142">
        <v>1.0</v>
      </c>
      <c r="Y163" s="142">
        <v>1.0</v>
      </c>
      <c r="Z163" s="142">
        <v>1.0</v>
      </c>
      <c r="AA163" s="142">
        <v>1.0</v>
      </c>
      <c r="AB163" s="142">
        <v>1.0</v>
      </c>
      <c r="AC163" s="142">
        <v>1.0</v>
      </c>
      <c r="AD163" s="142">
        <v>1.0</v>
      </c>
      <c r="AE163" s="142">
        <v>1.0</v>
      </c>
      <c r="AF163" s="142">
        <v>8.0</v>
      </c>
      <c r="AG163" s="142">
        <v>0.0</v>
      </c>
      <c r="AH163" s="185" t="str">
        <f>IFERROR(__xludf.DUMMYFUNCTION("if($C163="""","""",if(join("" - "",{iferror(filter('Student Groupings'!$A:$A,'Student Groupings'!$B:$B=$C163,'Student Groupings'!$H:$H=""Can't be Together""),"""");iferror(filter('Student Groupings'!$A:$A,'Student Groupings'!$E:$E=$C163,'Student Groupings"&amp;"'!$H:$H=""Can't be Together""),"""")})="" - "","""",join("" - "",{iferror(filter('Student Groupings'!$A:$A,'Student Groupings'!$B:$B=$C163,'Student Groupings'!$H:$H=""Can't be Together""),"""");iferror(filter('Student Groupings'!$A:$A,'Student Groupings'!"&amp;"$E:$E=$C163,'Student Groupings'!$H:$H=""Can't be Together""),"""")})))"),"")</f>
        <v/>
      </c>
      <c r="AI163" s="185" t="str">
        <f>IFERROR(__xludf.DUMMYFUNCTION("if($C163="""","""",if(join("" - "",{iferror(filter('Student Groupings'!$A:$A,'Student Groupings'!$B:$B=$C163,'Student Groupings'!$H:$H=""Must be Together""),"""");iferror(filter('Student Groupings'!$A:$A,'Student Groupings'!$E:$E=$C163,'Student Groupings'"&amp;"!$H:$H=""Must be Together""),"""")})="" - "","""",join("" - "",{iferror(filter('Student Groupings'!$A:$A,'Student Groupings'!$B:$B=$C163,'Student Groupings'!$H:$H=""Must be Together""),"""");iferror(filter('Student Groupings'!$A:$A,'Student Groupings'!$E:"&amp;"$E=$C163,'Student Groupings'!$H:$H=""Must be Together""),"""")})))"),"")</f>
        <v/>
      </c>
    </row>
    <row r="164">
      <c r="A164" s="167">
        <v>10.0</v>
      </c>
      <c r="B164" s="168">
        <v>28173.0</v>
      </c>
      <c r="C164" s="144" t="s">
        <v>316</v>
      </c>
      <c r="D164" s="180" t="s">
        <v>37</v>
      </c>
      <c r="E164" s="181">
        <v>2.0</v>
      </c>
      <c r="F164" s="167" t="s">
        <v>64</v>
      </c>
      <c r="G164" s="167">
        <v>1.0</v>
      </c>
      <c r="H164" s="182" t="s">
        <v>76</v>
      </c>
      <c r="I164" s="167">
        <v>4.0</v>
      </c>
      <c r="J164" s="187"/>
      <c r="K164" s="167"/>
      <c r="L164" s="184" t="s">
        <v>95</v>
      </c>
      <c r="M164" s="167">
        <v>8.0</v>
      </c>
      <c r="N164" s="184" t="s">
        <v>130</v>
      </c>
      <c r="O164" s="167">
        <v>5.0</v>
      </c>
      <c r="P164" s="184" t="s">
        <v>103</v>
      </c>
      <c r="Q164" s="167">
        <v>6.0</v>
      </c>
      <c r="R164" s="184" t="s">
        <v>56</v>
      </c>
      <c r="S164" s="167">
        <v>3.0</v>
      </c>
      <c r="T164" s="188"/>
      <c r="U164" s="189"/>
      <c r="V164" s="184" t="s">
        <v>24</v>
      </c>
      <c r="W164" s="167">
        <v>7.0</v>
      </c>
      <c r="X164" s="142">
        <v>1.0</v>
      </c>
      <c r="Y164" s="142">
        <v>1.0</v>
      </c>
      <c r="Z164" s="142">
        <v>1.0</v>
      </c>
      <c r="AA164" s="142">
        <v>1.0</v>
      </c>
      <c r="AB164" s="142">
        <v>1.0</v>
      </c>
      <c r="AC164" s="142">
        <v>1.0</v>
      </c>
      <c r="AD164" s="142">
        <v>1.0</v>
      </c>
      <c r="AE164" s="142">
        <v>1.0</v>
      </c>
      <c r="AF164" s="142">
        <v>8.0</v>
      </c>
      <c r="AG164" s="142">
        <v>0.0</v>
      </c>
      <c r="AH164" s="185" t="str">
        <f>IFERROR(__xludf.DUMMYFUNCTION("if($C164="""","""",if(join("" - "",{iferror(filter('Student Groupings'!$A:$A,'Student Groupings'!$B:$B=$C164,'Student Groupings'!$H:$H=""Can't be Together""),"""");iferror(filter('Student Groupings'!$A:$A,'Student Groupings'!$E:$E=$C164,'Student Groupings"&amp;"'!$H:$H=""Can't be Together""),"""")})="" - "","""",join("" - "",{iferror(filter('Student Groupings'!$A:$A,'Student Groupings'!$B:$B=$C164,'Student Groupings'!$H:$H=""Can't be Together""),"""");iferror(filter('Student Groupings'!$A:$A,'Student Groupings'!"&amp;"$E:$E=$C164,'Student Groupings'!$H:$H=""Can't be Together""),"""")})))"),"")</f>
        <v/>
      </c>
      <c r="AI164" s="185" t="str">
        <f>IFERROR(__xludf.DUMMYFUNCTION("if($C164="""","""",if(join("" - "",{iferror(filter('Student Groupings'!$A:$A,'Student Groupings'!$B:$B=$C164,'Student Groupings'!$H:$H=""Must be Together""),"""");iferror(filter('Student Groupings'!$A:$A,'Student Groupings'!$E:$E=$C164,'Student Groupings'"&amp;"!$H:$H=""Must be Together""),"""")})="" - "","""",join("" - "",{iferror(filter('Student Groupings'!$A:$A,'Student Groupings'!$B:$B=$C164,'Student Groupings'!$H:$H=""Must be Together""),"""");iferror(filter('Student Groupings'!$A:$A,'Student Groupings'!$E:"&amp;"$E=$C164,'Student Groupings'!$H:$H=""Must be Together""),"""")})))"),"")</f>
        <v/>
      </c>
    </row>
    <row r="165">
      <c r="A165" s="167">
        <v>10.0</v>
      </c>
      <c r="B165" s="168">
        <v>28159.0</v>
      </c>
      <c r="C165" s="144" t="s">
        <v>317</v>
      </c>
      <c r="D165" s="180" t="s">
        <v>48</v>
      </c>
      <c r="E165" s="181">
        <v>1.0</v>
      </c>
      <c r="F165" s="167" t="s">
        <v>64</v>
      </c>
      <c r="G165" s="167">
        <v>6.0</v>
      </c>
      <c r="H165" s="182" t="s">
        <v>81</v>
      </c>
      <c r="I165" s="167">
        <v>3.0</v>
      </c>
      <c r="J165" s="183"/>
      <c r="K165" s="167"/>
      <c r="L165" s="184" t="s">
        <v>95</v>
      </c>
      <c r="M165" s="167">
        <v>7.0</v>
      </c>
      <c r="N165" s="184" t="s">
        <v>130</v>
      </c>
      <c r="O165" s="167">
        <v>2.0</v>
      </c>
      <c r="P165" s="182" t="s">
        <v>100</v>
      </c>
      <c r="Q165" s="167">
        <v>4.0</v>
      </c>
      <c r="R165" s="184" t="s">
        <v>56</v>
      </c>
      <c r="S165" s="167">
        <v>5.0</v>
      </c>
      <c r="T165" s="188"/>
      <c r="U165" s="189"/>
      <c r="V165" s="184" t="s">
        <v>35</v>
      </c>
      <c r="W165" s="167">
        <v>8.0</v>
      </c>
      <c r="X165" s="142">
        <v>1.0</v>
      </c>
      <c r="Y165" s="142">
        <v>1.0</v>
      </c>
      <c r="Z165" s="142">
        <v>1.0</v>
      </c>
      <c r="AA165" s="142">
        <v>1.0</v>
      </c>
      <c r="AB165" s="142">
        <v>1.0</v>
      </c>
      <c r="AC165" s="142">
        <v>1.0</v>
      </c>
      <c r="AD165" s="142">
        <v>1.0</v>
      </c>
      <c r="AE165" s="142">
        <v>1.0</v>
      </c>
      <c r="AF165" s="142">
        <v>8.0</v>
      </c>
      <c r="AG165" s="142">
        <v>0.0</v>
      </c>
      <c r="AH165" s="185" t="str">
        <f>IFERROR(__xludf.DUMMYFUNCTION("if($C165="""","""",if(join("" - "",{iferror(filter('Student Groupings'!$A:$A,'Student Groupings'!$B:$B=$C165,'Student Groupings'!$H:$H=""Can't be Together""),"""");iferror(filter('Student Groupings'!$A:$A,'Student Groupings'!$E:$E=$C165,'Student Groupings"&amp;"'!$H:$H=""Can't be Together""),"""")})="" - "","""",join("" - "",{iferror(filter('Student Groupings'!$A:$A,'Student Groupings'!$B:$B=$C165,'Student Groupings'!$H:$H=""Can't be Together""),"""");iferror(filter('Student Groupings'!$A:$A,'Student Groupings'!"&amp;"$E:$E=$C165,'Student Groupings'!$H:$H=""Can't be Together""),"""")})))"),"")</f>
        <v/>
      </c>
      <c r="AI165" s="185" t="str">
        <f>IFERROR(__xludf.DUMMYFUNCTION("if($C165="""","""",if(join("" - "",{iferror(filter('Student Groupings'!$A:$A,'Student Groupings'!$B:$B=$C165,'Student Groupings'!$H:$H=""Must be Together""),"""");iferror(filter('Student Groupings'!$A:$A,'Student Groupings'!$E:$E=$C165,'Student Groupings'"&amp;"!$H:$H=""Must be Together""),"""")})="" - "","""",join("" - "",{iferror(filter('Student Groupings'!$A:$A,'Student Groupings'!$B:$B=$C165,'Student Groupings'!$H:$H=""Must be Together""),"""");iferror(filter('Student Groupings'!$A:$A,'Student Groupings'!$E:"&amp;"$E=$C165,'Student Groupings'!$H:$H=""Must be Together""),"""")})))")," - 81")</f>
        <v> - 81</v>
      </c>
    </row>
    <row r="166">
      <c r="A166" s="167">
        <v>10.0</v>
      </c>
      <c r="B166" s="168">
        <v>28063.0</v>
      </c>
      <c r="C166" s="144" t="s">
        <v>318</v>
      </c>
      <c r="D166" s="180" t="s">
        <v>48</v>
      </c>
      <c r="E166" s="181">
        <v>5.0</v>
      </c>
      <c r="F166" s="167" t="s">
        <v>64</v>
      </c>
      <c r="G166" s="167">
        <v>6.0</v>
      </c>
      <c r="H166" s="182" t="s">
        <v>81</v>
      </c>
      <c r="I166" s="167">
        <v>3.0</v>
      </c>
      <c r="J166" s="187"/>
      <c r="K166" s="167"/>
      <c r="L166" s="184" t="s">
        <v>95</v>
      </c>
      <c r="M166" s="167">
        <v>1.0</v>
      </c>
      <c r="N166" s="184" t="s">
        <v>130</v>
      </c>
      <c r="O166" s="167">
        <v>7.0</v>
      </c>
      <c r="P166" s="184" t="s">
        <v>103</v>
      </c>
      <c r="Q166" s="167">
        <v>2.0</v>
      </c>
      <c r="R166" s="184" t="s">
        <v>56</v>
      </c>
      <c r="S166" s="167">
        <v>4.0</v>
      </c>
      <c r="T166" s="188"/>
      <c r="U166" s="167"/>
      <c r="V166" s="184" t="s">
        <v>86</v>
      </c>
      <c r="W166" s="167">
        <v>8.0</v>
      </c>
      <c r="X166" s="142">
        <v>1.0</v>
      </c>
      <c r="Y166" s="142">
        <v>1.0</v>
      </c>
      <c r="Z166" s="142">
        <v>1.0</v>
      </c>
      <c r="AA166" s="142">
        <v>1.0</v>
      </c>
      <c r="AB166" s="142">
        <v>1.0</v>
      </c>
      <c r="AC166" s="142">
        <v>1.0</v>
      </c>
      <c r="AD166" s="142">
        <v>1.0</v>
      </c>
      <c r="AE166" s="142">
        <v>1.0</v>
      </c>
      <c r="AF166" s="142">
        <v>8.0</v>
      </c>
      <c r="AG166" s="142">
        <v>0.0</v>
      </c>
      <c r="AH166" s="185" t="str">
        <f>IFERROR(__xludf.DUMMYFUNCTION("if($C166="""","""",if(join("" - "",{iferror(filter('Student Groupings'!$A:$A,'Student Groupings'!$B:$B=$C166,'Student Groupings'!$H:$H=""Can't be Together""),"""");iferror(filter('Student Groupings'!$A:$A,'Student Groupings'!$E:$E=$C166,'Student Groupings"&amp;"'!$H:$H=""Can't be Together""),"""")})="" - "","""",join("" - "",{iferror(filter('Student Groupings'!$A:$A,'Student Groupings'!$B:$B=$C166,'Student Groupings'!$H:$H=""Can't be Together""),"""");iferror(filter('Student Groupings'!$A:$A,'Student Groupings'!"&amp;"$E:$E=$C166,'Student Groupings'!$H:$H=""Can't be Together""),"""")})))"),"")</f>
        <v/>
      </c>
      <c r="AI166" s="185" t="str">
        <f>IFERROR(__xludf.DUMMYFUNCTION("if($C166="""","""",if(join("" - "",{iferror(filter('Student Groupings'!$A:$A,'Student Groupings'!$B:$B=$C166,'Student Groupings'!$H:$H=""Must be Together""),"""");iferror(filter('Student Groupings'!$A:$A,'Student Groupings'!$E:$E=$C166,'Student Groupings'"&amp;"!$H:$H=""Must be Together""),"""")})="" - "","""",join("" - "",{iferror(filter('Student Groupings'!$A:$A,'Student Groupings'!$B:$B=$C166,'Student Groupings'!$H:$H=""Must be Together""),"""");iferror(filter('Student Groupings'!$A:$A,'Student Groupings'!$E:"&amp;"$E=$C166,'Student Groupings'!$H:$H=""Must be Together""),"""")})))"),"")</f>
        <v/>
      </c>
    </row>
    <row r="167">
      <c r="A167" s="167">
        <v>10.0</v>
      </c>
      <c r="B167" s="168">
        <v>28155.0</v>
      </c>
      <c r="C167" s="144" t="s">
        <v>319</v>
      </c>
      <c r="D167" s="180" t="s">
        <v>48</v>
      </c>
      <c r="E167" s="181">
        <v>6.0</v>
      </c>
      <c r="F167" s="167" t="s">
        <v>64</v>
      </c>
      <c r="G167" s="167">
        <v>8.0</v>
      </c>
      <c r="H167" s="182" t="s">
        <v>81</v>
      </c>
      <c r="I167" s="167">
        <v>3.0</v>
      </c>
      <c r="J167" s="187"/>
      <c r="K167" s="167"/>
      <c r="L167" s="184" t="s">
        <v>95</v>
      </c>
      <c r="M167" s="167">
        <v>7.0</v>
      </c>
      <c r="N167" s="184" t="s">
        <v>130</v>
      </c>
      <c r="O167" s="167">
        <v>1.0</v>
      </c>
      <c r="P167" s="184" t="s">
        <v>103</v>
      </c>
      <c r="Q167" s="167">
        <v>4.0</v>
      </c>
      <c r="R167" s="184" t="s">
        <v>56</v>
      </c>
      <c r="S167" s="167">
        <v>5.0</v>
      </c>
      <c r="T167" s="188"/>
      <c r="U167" s="189"/>
      <c r="V167" s="184" t="s">
        <v>41</v>
      </c>
      <c r="W167" s="167">
        <v>2.0</v>
      </c>
      <c r="X167" s="142">
        <v>1.0</v>
      </c>
      <c r="Y167" s="142">
        <v>1.0</v>
      </c>
      <c r="Z167" s="142">
        <v>1.0</v>
      </c>
      <c r="AA167" s="142">
        <v>1.0</v>
      </c>
      <c r="AB167" s="142">
        <v>1.0</v>
      </c>
      <c r="AC167" s="142">
        <v>1.0</v>
      </c>
      <c r="AD167" s="142">
        <v>1.0</v>
      </c>
      <c r="AE167" s="142">
        <v>1.0</v>
      </c>
      <c r="AF167" s="142">
        <v>8.0</v>
      </c>
      <c r="AG167" s="142">
        <v>0.0</v>
      </c>
      <c r="AH167" s="185" t="str">
        <f>IFERROR(__xludf.DUMMYFUNCTION("if($C167="""","""",if(join("" - "",{iferror(filter('Student Groupings'!$A:$A,'Student Groupings'!$B:$B=$C167,'Student Groupings'!$H:$H=""Can't be Together""),"""");iferror(filter('Student Groupings'!$A:$A,'Student Groupings'!$E:$E=$C167,'Student Groupings"&amp;"'!$H:$H=""Can't be Together""),"""")})="" - "","""",join("" - "",{iferror(filter('Student Groupings'!$A:$A,'Student Groupings'!$B:$B=$C167,'Student Groupings'!$H:$H=""Can't be Together""),"""");iferror(filter('Student Groupings'!$A:$A,'Student Groupings'!"&amp;"$E:$E=$C167,'Student Groupings'!$H:$H=""Can't be Together""),"""")})))"),"")</f>
        <v/>
      </c>
      <c r="AI167" s="185" t="str">
        <f>IFERROR(__xludf.DUMMYFUNCTION("if($C167="""","""",if(join("" - "",{iferror(filter('Student Groupings'!$A:$A,'Student Groupings'!$B:$B=$C167,'Student Groupings'!$H:$H=""Must be Together""),"""");iferror(filter('Student Groupings'!$A:$A,'Student Groupings'!$E:$E=$C167,'Student Groupings'"&amp;"!$H:$H=""Must be Together""),"""")})="" - "","""",join("" - "",{iferror(filter('Student Groupings'!$A:$A,'Student Groupings'!$B:$B=$C167,'Student Groupings'!$H:$H=""Must be Together""),"""");iferror(filter('Student Groupings'!$A:$A,'Student Groupings'!$E:"&amp;"$E=$C167,'Student Groupings'!$H:$H=""Must be Together""),"""")})))"),"")</f>
        <v/>
      </c>
    </row>
    <row r="168">
      <c r="A168" s="167">
        <v>10.0</v>
      </c>
      <c r="B168" s="168">
        <v>28109.0</v>
      </c>
      <c r="C168" s="144" t="s">
        <v>320</v>
      </c>
      <c r="D168" s="180" t="s">
        <v>37</v>
      </c>
      <c r="E168" s="181">
        <v>5.0</v>
      </c>
      <c r="F168" s="167" t="s">
        <v>64</v>
      </c>
      <c r="G168" s="167">
        <v>6.0</v>
      </c>
      <c r="H168" s="182" t="s">
        <v>81</v>
      </c>
      <c r="I168" s="167">
        <v>3.0</v>
      </c>
      <c r="J168" s="187"/>
      <c r="K168" s="167"/>
      <c r="L168" s="184" t="s">
        <v>95</v>
      </c>
      <c r="M168" s="167">
        <v>8.0</v>
      </c>
      <c r="N168" s="184" t="s">
        <v>130</v>
      </c>
      <c r="O168" s="167">
        <v>2.0</v>
      </c>
      <c r="P168" s="182" t="s">
        <v>100</v>
      </c>
      <c r="Q168" s="167">
        <v>7.0</v>
      </c>
      <c r="R168" s="184" t="s">
        <v>56</v>
      </c>
      <c r="S168" s="167">
        <v>1.0</v>
      </c>
      <c r="T168" s="188"/>
      <c r="U168" s="189"/>
      <c r="V168" s="184" t="s">
        <v>28</v>
      </c>
      <c r="W168" s="167">
        <v>4.0</v>
      </c>
      <c r="X168" s="142">
        <v>1.0</v>
      </c>
      <c r="Y168" s="142">
        <v>1.0</v>
      </c>
      <c r="Z168" s="142">
        <v>1.0</v>
      </c>
      <c r="AA168" s="142">
        <v>1.0</v>
      </c>
      <c r="AB168" s="142">
        <v>1.0</v>
      </c>
      <c r="AC168" s="142">
        <v>1.0</v>
      </c>
      <c r="AD168" s="142">
        <v>1.0</v>
      </c>
      <c r="AE168" s="142">
        <v>1.0</v>
      </c>
      <c r="AF168" s="142">
        <v>8.0</v>
      </c>
      <c r="AG168" s="142">
        <v>0.0</v>
      </c>
      <c r="AH168" s="185" t="str">
        <f>IFERROR(__xludf.DUMMYFUNCTION("if($C168="""","""",if(join("" - "",{iferror(filter('Student Groupings'!$A:$A,'Student Groupings'!$B:$B=$C168,'Student Groupings'!$H:$H=""Can't be Together""),"""");iferror(filter('Student Groupings'!$A:$A,'Student Groupings'!$E:$E=$C168,'Student Groupings"&amp;"'!$H:$H=""Can't be Together""),"""")})="" - "","""",join("" - "",{iferror(filter('Student Groupings'!$A:$A,'Student Groupings'!$B:$B=$C168,'Student Groupings'!$H:$H=""Can't be Together""),"""");iferror(filter('Student Groupings'!$A:$A,'Student Groupings'!"&amp;"$E:$E=$C168,'Student Groupings'!$H:$H=""Can't be Together""),"""")})))"),"")</f>
        <v/>
      </c>
      <c r="AI168" s="185" t="str">
        <f>IFERROR(__xludf.DUMMYFUNCTION("if($C168="""","""",if(join("" - "",{iferror(filter('Student Groupings'!$A:$A,'Student Groupings'!$B:$B=$C168,'Student Groupings'!$H:$H=""Must be Together""),"""");iferror(filter('Student Groupings'!$A:$A,'Student Groupings'!$E:$E=$C168,'Student Groupings'"&amp;"!$H:$H=""Must be Together""),"""")})="" - "","""",join("" - "",{iferror(filter('Student Groupings'!$A:$A,'Student Groupings'!$B:$B=$C168,'Student Groupings'!$H:$H=""Must be Together""),"""");iferror(filter('Student Groupings'!$A:$A,'Student Groupings'!$E:"&amp;"$E=$C168,'Student Groupings'!$H:$H=""Must be Together""),"""")})))"),"")</f>
        <v/>
      </c>
    </row>
    <row r="169">
      <c r="A169" s="167">
        <v>10.0</v>
      </c>
      <c r="B169" s="168">
        <v>28108.0</v>
      </c>
      <c r="C169" s="144" t="s">
        <v>321</v>
      </c>
      <c r="D169" s="180" t="s">
        <v>37</v>
      </c>
      <c r="E169" s="181">
        <v>8.0</v>
      </c>
      <c r="F169" s="167" t="s">
        <v>64</v>
      </c>
      <c r="G169" s="167">
        <v>1.0</v>
      </c>
      <c r="H169" s="182" t="s">
        <v>76</v>
      </c>
      <c r="I169" s="167">
        <v>6.0</v>
      </c>
      <c r="J169" s="187"/>
      <c r="K169" s="167"/>
      <c r="L169" s="184" t="s">
        <v>95</v>
      </c>
      <c r="M169" s="167">
        <v>2.0</v>
      </c>
      <c r="N169" s="184" t="s">
        <v>130</v>
      </c>
      <c r="O169" s="167">
        <v>5.0</v>
      </c>
      <c r="P169" s="182" t="s">
        <v>100</v>
      </c>
      <c r="Q169" s="167">
        <v>7.0</v>
      </c>
      <c r="R169" s="184" t="s">
        <v>56</v>
      </c>
      <c r="S169" s="167">
        <v>3.0</v>
      </c>
      <c r="T169" s="188"/>
      <c r="U169" s="167"/>
      <c r="V169" s="184" t="s">
        <v>28</v>
      </c>
      <c r="W169" s="167">
        <v>4.0</v>
      </c>
      <c r="X169" s="142">
        <v>1.0</v>
      </c>
      <c r="Y169" s="142">
        <v>1.0</v>
      </c>
      <c r="Z169" s="142">
        <v>1.0</v>
      </c>
      <c r="AA169" s="142">
        <v>1.0</v>
      </c>
      <c r="AB169" s="142">
        <v>1.0</v>
      </c>
      <c r="AC169" s="142">
        <v>1.0</v>
      </c>
      <c r="AD169" s="142">
        <v>1.0</v>
      </c>
      <c r="AE169" s="142">
        <v>1.0</v>
      </c>
      <c r="AF169" s="142">
        <v>8.0</v>
      </c>
      <c r="AG169" s="142">
        <v>0.0</v>
      </c>
      <c r="AH169" s="185" t="str">
        <f>IFERROR(__xludf.DUMMYFUNCTION("if($C169="""","""",if(join("" - "",{iferror(filter('Student Groupings'!$A:$A,'Student Groupings'!$B:$B=$C169,'Student Groupings'!$H:$H=""Can't be Together""),"""");iferror(filter('Student Groupings'!$A:$A,'Student Groupings'!$E:$E=$C169,'Student Groupings"&amp;"'!$H:$H=""Can't be Together""),"""")})="" - "","""",join("" - "",{iferror(filter('Student Groupings'!$A:$A,'Student Groupings'!$B:$B=$C169,'Student Groupings'!$H:$H=""Can't be Together""),"""");iferror(filter('Student Groupings'!$A:$A,'Student Groupings'!"&amp;"$E:$E=$C169,'Student Groupings'!$H:$H=""Can't be Together""),"""")})))"),"")</f>
        <v/>
      </c>
      <c r="AI169" s="185" t="str">
        <f>IFERROR(__xludf.DUMMYFUNCTION("if($C169="""","""",if(join("" - "",{iferror(filter('Student Groupings'!$A:$A,'Student Groupings'!$B:$B=$C169,'Student Groupings'!$H:$H=""Must be Together""),"""");iferror(filter('Student Groupings'!$A:$A,'Student Groupings'!$E:$E=$C169,'Student Groupings'"&amp;"!$H:$H=""Must be Together""),"""")})="" - "","""",join("" - "",{iferror(filter('Student Groupings'!$A:$A,'Student Groupings'!$B:$B=$C169,'Student Groupings'!$H:$H=""Must be Together""),"""");iferror(filter('Student Groupings'!$A:$A,'Student Groupings'!$E:"&amp;"$E=$C169,'Student Groupings'!$H:$H=""Must be Together""),"""")})))"),"")</f>
        <v/>
      </c>
    </row>
    <row r="170">
      <c r="A170" s="167">
        <v>10.0</v>
      </c>
      <c r="B170" s="168">
        <v>27094.0</v>
      </c>
      <c r="C170" s="144" t="s">
        <v>322</v>
      </c>
      <c r="D170" s="180" t="s">
        <v>37</v>
      </c>
      <c r="E170" s="181">
        <v>8.0</v>
      </c>
      <c r="F170" s="167" t="s">
        <v>64</v>
      </c>
      <c r="G170" s="167">
        <v>5.0</v>
      </c>
      <c r="H170" s="182" t="s">
        <v>76</v>
      </c>
      <c r="I170" s="167">
        <v>7.0</v>
      </c>
      <c r="J170" s="187"/>
      <c r="K170" s="167"/>
      <c r="L170" s="184" t="s">
        <v>95</v>
      </c>
      <c r="M170" s="167">
        <v>6.0</v>
      </c>
      <c r="N170" s="184" t="s">
        <v>130</v>
      </c>
      <c r="O170" s="167">
        <v>2.0</v>
      </c>
      <c r="P170" s="182" t="s">
        <v>100</v>
      </c>
      <c r="Q170" s="167">
        <v>4.0</v>
      </c>
      <c r="R170" s="184" t="s">
        <v>56</v>
      </c>
      <c r="S170" s="167">
        <v>1.0</v>
      </c>
      <c r="T170" s="188"/>
      <c r="U170" s="189"/>
      <c r="V170" s="184" t="s">
        <v>117</v>
      </c>
      <c r="W170" s="167">
        <v>3.0</v>
      </c>
      <c r="X170" s="142">
        <v>1.0</v>
      </c>
      <c r="Y170" s="142">
        <v>1.0</v>
      </c>
      <c r="Z170" s="142">
        <v>1.0</v>
      </c>
      <c r="AA170" s="142">
        <v>1.0</v>
      </c>
      <c r="AB170" s="142">
        <v>1.0</v>
      </c>
      <c r="AC170" s="142">
        <v>1.0</v>
      </c>
      <c r="AD170" s="142">
        <v>1.0</v>
      </c>
      <c r="AE170" s="142">
        <v>1.0</v>
      </c>
      <c r="AF170" s="142">
        <v>8.0</v>
      </c>
      <c r="AG170" s="142">
        <v>0.0</v>
      </c>
      <c r="AH170" s="185" t="str">
        <f>IFERROR(__xludf.DUMMYFUNCTION("if($C170="""","""",if(join("" - "",{iferror(filter('Student Groupings'!$A:$A,'Student Groupings'!$B:$B=$C170,'Student Groupings'!$H:$H=""Can't be Together""),"""");iferror(filter('Student Groupings'!$A:$A,'Student Groupings'!$E:$E=$C170,'Student Groupings"&amp;"'!$H:$H=""Can't be Together""),"""")})="" - "","""",join("" - "",{iferror(filter('Student Groupings'!$A:$A,'Student Groupings'!$B:$B=$C170,'Student Groupings'!$H:$H=""Can't be Together""),"""");iferror(filter('Student Groupings'!$A:$A,'Student Groupings'!"&amp;"$E:$E=$C170,'Student Groupings'!$H:$H=""Can't be Together""),"""")})))"),"")</f>
        <v/>
      </c>
      <c r="AI170" s="185" t="str">
        <f>IFERROR(__xludf.DUMMYFUNCTION("if($C170="""","""",if(join("" - "",{iferror(filter('Student Groupings'!$A:$A,'Student Groupings'!$B:$B=$C170,'Student Groupings'!$H:$H=""Must be Together""),"""");iferror(filter('Student Groupings'!$A:$A,'Student Groupings'!$E:$E=$C170,'Student Groupings'"&amp;"!$H:$H=""Must be Together""),"""")})="" - "","""",join("" - "",{iferror(filter('Student Groupings'!$A:$A,'Student Groupings'!$B:$B=$C170,'Student Groupings'!$H:$H=""Must be Together""),"""");iferror(filter('Student Groupings'!$A:$A,'Student Groupings'!$E:"&amp;"$E=$C170,'Student Groupings'!$H:$H=""Must be Together""),"""")})))"),"")</f>
        <v/>
      </c>
    </row>
    <row r="171">
      <c r="A171" s="167">
        <v>10.0</v>
      </c>
      <c r="B171" s="168">
        <v>28171.0</v>
      </c>
      <c r="C171" s="144" t="s">
        <v>323</v>
      </c>
      <c r="D171" s="180" t="s">
        <v>37</v>
      </c>
      <c r="E171" s="181">
        <v>5.0</v>
      </c>
      <c r="F171" s="167" t="s">
        <v>64</v>
      </c>
      <c r="G171" s="167">
        <v>6.0</v>
      </c>
      <c r="H171" s="182" t="s">
        <v>76</v>
      </c>
      <c r="I171" s="167">
        <v>2.0</v>
      </c>
      <c r="J171" s="187"/>
      <c r="K171" s="167"/>
      <c r="L171" s="184" t="s">
        <v>95</v>
      </c>
      <c r="M171" s="167">
        <v>1.0</v>
      </c>
      <c r="N171" s="184" t="s">
        <v>130</v>
      </c>
      <c r="O171" s="167">
        <v>7.0</v>
      </c>
      <c r="P171" s="184" t="s">
        <v>103</v>
      </c>
      <c r="Q171" s="167">
        <v>3.0</v>
      </c>
      <c r="R171" s="191" t="s">
        <v>121</v>
      </c>
      <c r="S171" s="167">
        <v>4.0</v>
      </c>
      <c r="T171" s="188"/>
      <c r="U171" s="189"/>
      <c r="V171" s="184" t="s">
        <v>86</v>
      </c>
      <c r="W171" s="167">
        <v>8.0</v>
      </c>
      <c r="X171" s="142">
        <v>1.0</v>
      </c>
      <c r="Y171" s="142">
        <v>1.0</v>
      </c>
      <c r="Z171" s="142">
        <v>1.0</v>
      </c>
      <c r="AA171" s="142">
        <v>1.0</v>
      </c>
      <c r="AB171" s="142">
        <v>1.0</v>
      </c>
      <c r="AC171" s="142">
        <v>1.0</v>
      </c>
      <c r="AD171" s="142">
        <v>1.0</v>
      </c>
      <c r="AE171" s="142">
        <v>1.0</v>
      </c>
      <c r="AF171" s="142">
        <v>8.0</v>
      </c>
      <c r="AG171" s="142">
        <v>0.0</v>
      </c>
      <c r="AH171" s="185" t="str">
        <f>IFERROR(__xludf.DUMMYFUNCTION("if($C171="""","""",if(join("" - "",{iferror(filter('Student Groupings'!$A:$A,'Student Groupings'!$B:$B=$C171,'Student Groupings'!$H:$H=""Can't be Together""),"""");iferror(filter('Student Groupings'!$A:$A,'Student Groupings'!$E:$E=$C171,'Student Groupings"&amp;"'!$H:$H=""Can't be Together""),"""")})="" - "","""",join("" - "",{iferror(filter('Student Groupings'!$A:$A,'Student Groupings'!$B:$B=$C171,'Student Groupings'!$H:$H=""Can't be Together""),"""");iferror(filter('Student Groupings'!$A:$A,'Student Groupings'!"&amp;"$E:$E=$C171,'Student Groupings'!$H:$H=""Can't be Together""),"""")})))"),"")</f>
        <v/>
      </c>
      <c r="AI171" s="185" t="str">
        <f>IFERROR(__xludf.DUMMYFUNCTION("if($C171="""","""",if(join("" - "",{iferror(filter('Student Groupings'!$A:$A,'Student Groupings'!$B:$B=$C171,'Student Groupings'!$H:$H=""Must be Together""),"""");iferror(filter('Student Groupings'!$A:$A,'Student Groupings'!$E:$E=$C171,'Student Groupings'"&amp;"!$H:$H=""Must be Together""),"""")})="" - "","""",join("" - "",{iferror(filter('Student Groupings'!$A:$A,'Student Groupings'!$B:$B=$C171,'Student Groupings'!$H:$H=""Must be Together""),"""");iferror(filter('Student Groupings'!$A:$A,'Student Groupings'!$E:"&amp;"$E=$C171,'Student Groupings'!$H:$H=""Must be Together""),"""")})))"),"10 - 11 - ")</f>
        <v>10 - 11 - </v>
      </c>
    </row>
    <row r="172">
      <c r="A172" s="167">
        <v>10.0</v>
      </c>
      <c r="B172" s="168">
        <v>28174.0</v>
      </c>
      <c r="C172" s="144" t="s">
        <v>324</v>
      </c>
      <c r="D172" s="180" t="s">
        <v>49</v>
      </c>
      <c r="E172" s="181">
        <v>7.0</v>
      </c>
      <c r="F172" s="167" t="s">
        <v>62</v>
      </c>
      <c r="G172" s="167">
        <v>8.0</v>
      </c>
      <c r="H172" s="182" t="s">
        <v>76</v>
      </c>
      <c r="I172" s="167">
        <v>2.0</v>
      </c>
      <c r="J172" s="187"/>
      <c r="K172" s="167"/>
      <c r="L172" s="184" t="s">
        <v>95</v>
      </c>
      <c r="M172" s="167">
        <v>5.0</v>
      </c>
      <c r="N172" s="184" t="s">
        <v>130</v>
      </c>
      <c r="O172" s="167">
        <v>6.0</v>
      </c>
      <c r="P172" s="184" t="s">
        <v>103</v>
      </c>
      <c r="Q172" s="167">
        <v>3.0</v>
      </c>
      <c r="R172" s="191" t="s">
        <v>121</v>
      </c>
      <c r="S172" s="167">
        <v>4.0</v>
      </c>
      <c r="T172" s="188"/>
      <c r="U172" s="189"/>
      <c r="V172" s="184" t="s">
        <v>34</v>
      </c>
      <c r="W172" s="167">
        <v>1.0</v>
      </c>
      <c r="X172" s="142">
        <v>1.0</v>
      </c>
      <c r="Y172" s="142">
        <v>1.0</v>
      </c>
      <c r="Z172" s="142">
        <v>1.0</v>
      </c>
      <c r="AA172" s="142">
        <v>1.0</v>
      </c>
      <c r="AB172" s="142">
        <v>1.0</v>
      </c>
      <c r="AC172" s="142">
        <v>1.0</v>
      </c>
      <c r="AD172" s="142">
        <v>1.0</v>
      </c>
      <c r="AE172" s="142">
        <v>1.0</v>
      </c>
      <c r="AF172" s="142">
        <v>8.0</v>
      </c>
      <c r="AG172" s="142">
        <v>0.0</v>
      </c>
      <c r="AH172" s="185" t="str">
        <f>IFERROR(__xludf.DUMMYFUNCTION("if($C172="""","""",if(join("" - "",{iferror(filter('Student Groupings'!$A:$A,'Student Groupings'!$B:$B=$C172,'Student Groupings'!$H:$H=""Can't be Together""),"""");iferror(filter('Student Groupings'!$A:$A,'Student Groupings'!$E:$E=$C172,'Student Groupings"&amp;"'!$H:$H=""Can't be Together""),"""")})="" - "","""",join("" - "",{iferror(filter('Student Groupings'!$A:$A,'Student Groupings'!$B:$B=$C172,'Student Groupings'!$H:$H=""Can't be Together""),"""");iferror(filter('Student Groupings'!$A:$A,'Student Groupings'!"&amp;"$E:$E=$C172,'Student Groupings'!$H:$H=""Can't be Together""),"""")})))"),"")</f>
        <v/>
      </c>
      <c r="AI172" s="185" t="str">
        <f>IFERROR(__xludf.DUMMYFUNCTION("if($C172="""","""",if(join("" - "",{iferror(filter('Student Groupings'!$A:$A,'Student Groupings'!$B:$B=$C172,'Student Groupings'!$H:$H=""Must be Together""),"""");iferror(filter('Student Groupings'!$A:$A,'Student Groupings'!$E:$E=$C172,'Student Groupings'"&amp;"!$H:$H=""Must be Together""),"""")})="" - "","""",join("" - "",{iferror(filter('Student Groupings'!$A:$A,'Student Groupings'!$B:$B=$C172,'Student Groupings'!$H:$H=""Must be Together""),"""");iferror(filter('Student Groupings'!$A:$A,'Student Groupings'!$E:"&amp;"$E=$C172,'Student Groupings'!$H:$H=""Must be Together""),"""")})))")," - 10")</f>
        <v> - 10</v>
      </c>
    </row>
    <row r="173">
      <c r="A173" s="167">
        <v>10.0</v>
      </c>
      <c r="B173" s="168">
        <v>28158.0</v>
      </c>
      <c r="C173" s="144" t="s">
        <v>325</v>
      </c>
      <c r="D173" s="180" t="s">
        <v>48</v>
      </c>
      <c r="E173" s="181">
        <v>1.0</v>
      </c>
      <c r="F173" s="167" t="s">
        <v>64</v>
      </c>
      <c r="G173" s="167">
        <v>6.0</v>
      </c>
      <c r="H173" s="182" t="s">
        <v>81</v>
      </c>
      <c r="I173" s="167">
        <v>2.0</v>
      </c>
      <c r="J173" s="187"/>
      <c r="K173" s="167"/>
      <c r="L173" s="184" t="s">
        <v>95</v>
      </c>
      <c r="M173" s="167">
        <v>5.0</v>
      </c>
      <c r="N173" s="184" t="s">
        <v>130</v>
      </c>
      <c r="O173" s="167">
        <v>7.0</v>
      </c>
      <c r="P173" s="182" t="s">
        <v>100</v>
      </c>
      <c r="Q173" s="167">
        <v>4.0</v>
      </c>
      <c r="R173" s="184" t="s">
        <v>56</v>
      </c>
      <c r="S173" s="167">
        <v>8.0</v>
      </c>
      <c r="T173" s="188"/>
      <c r="U173" s="142"/>
      <c r="V173" s="184" t="s">
        <v>117</v>
      </c>
      <c r="W173" s="167">
        <v>3.0</v>
      </c>
      <c r="X173" s="142">
        <v>1.0</v>
      </c>
      <c r="Y173" s="142">
        <v>1.0</v>
      </c>
      <c r="Z173" s="142">
        <v>1.0</v>
      </c>
      <c r="AA173" s="142">
        <v>1.0</v>
      </c>
      <c r="AB173" s="142">
        <v>1.0</v>
      </c>
      <c r="AC173" s="142">
        <v>1.0</v>
      </c>
      <c r="AD173" s="142">
        <v>1.0</v>
      </c>
      <c r="AE173" s="142">
        <v>1.0</v>
      </c>
      <c r="AF173" s="142">
        <v>8.0</v>
      </c>
      <c r="AG173" s="142">
        <v>0.0</v>
      </c>
      <c r="AH173" s="185" t="str">
        <f>IFERROR(__xludf.DUMMYFUNCTION("if($C173="""","""",if(join("" - "",{iferror(filter('Student Groupings'!$A:$A,'Student Groupings'!$B:$B=$C173,'Student Groupings'!$H:$H=""Can't be Together""),"""");iferror(filter('Student Groupings'!$A:$A,'Student Groupings'!$E:$E=$C173,'Student Groupings"&amp;"'!$H:$H=""Can't be Together""),"""")})="" - "","""",join("" - "",{iferror(filter('Student Groupings'!$A:$A,'Student Groupings'!$B:$B=$C173,'Student Groupings'!$H:$H=""Can't be Together""),"""");iferror(filter('Student Groupings'!$A:$A,'Student Groupings'!"&amp;"$E:$E=$C173,'Student Groupings'!$H:$H=""Can't be Together""),"""")})))"),"")</f>
        <v/>
      </c>
      <c r="AI173" s="185" t="str">
        <f>IFERROR(__xludf.DUMMYFUNCTION("if($C173="""","""",if(join("" - "",{iferror(filter('Student Groupings'!$A:$A,'Student Groupings'!$B:$B=$C173,'Student Groupings'!$H:$H=""Must be Together""),"""");iferror(filter('Student Groupings'!$A:$A,'Student Groupings'!$E:$E=$C173,'Student Groupings'"&amp;"!$H:$H=""Must be Together""),"""")})="" - "","""",join("" - "",{iferror(filter('Student Groupings'!$A:$A,'Student Groupings'!$B:$B=$C173,'Student Groupings'!$H:$H=""Must be Together""),"""");iferror(filter('Student Groupings'!$A:$A,'Student Groupings'!$E:"&amp;"$E=$C173,'Student Groupings'!$H:$H=""Must be Together""),"""")})))"),"")</f>
        <v/>
      </c>
    </row>
    <row r="174">
      <c r="A174" s="167">
        <v>10.0</v>
      </c>
      <c r="B174" s="168">
        <v>28140.0</v>
      </c>
      <c r="C174" s="144" t="s">
        <v>326</v>
      </c>
      <c r="D174" s="180" t="s">
        <v>37</v>
      </c>
      <c r="E174" s="181">
        <v>2.0</v>
      </c>
      <c r="F174" s="167" t="s">
        <v>64</v>
      </c>
      <c r="G174" s="167">
        <v>8.0</v>
      </c>
      <c r="H174" s="182" t="s">
        <v>76</v>
      </c>
      <c r="I174" s="167">
        <v>6.0</v>
      </c>
      <c r="J174" s="187"/>
      <c r="K174" s="167"/>
      <c r="L174" s="184" t="s">
        <v>95</v>
      </c>
      <c r="M174" s="167">
        <v>7.0</v>
      </c>
      <c r="N174" s="184" t="s">
        <v>130</v>
      </c>
      <c r="O174" s="167">
        <v>5.0</v>
      </c>
      <c r="P174" s="182" t="s">
        <v>100</v>
      </c>
      <c r="Q174" s="167">
        <v>4.0</v>
      </c>
      <c r="R174" s="184" t="s">
        <v>56</v>
      </c>
      <c r="S174" s="167">
        <v>3.0</v>
      </c>
      <c r="T174" s="188"/>
      <c r="U174" s="167"/>
      <c r="V174" s="184" t="s">
        <v>34</v>
      </c>
      <c r="W174" s="180">
        <v>1.0</v>
      </c>
      <c r="X174" s="142">
        <v>1.0</v>
      </c>
      <c r="Y174" s="142">
        <v>1.0</v>
      </c>
      <c r="Z174" s="142">
        <v>1.0</v>
      </c>
      <c r="AA174" s="142">
        <v>1.0</v>
      </c>
      <c r="AB174" s="142">
        <v>1.0</v>
      </c>
      <c r="AC174" s="142">
        <v>1.0</v>
      </c>
      <c r="AD174" s="142">
        <v>1.0</v>
      </c>
      <c r="AE174" s="142">
        <v>1.0</v>
      </c>
      <c r="AF174" s="142">
        <v>8.0</v>
      </c>
      <c r="AG174" s="142">
        <v>0.0</v>
      </c>
      <c r="AH174" s="185" t="str">
        <f>IFERROR(__xludf.DUMMYFUNCTION("if($C174="""","""",if(join("" - "",{iferror(filter('Student Groupings'!$A:$A,'Student Groupings'!$B:$B=$C174,'Student Groupings'!$H:$H=""Can't be Together""),"""");iferror(filter('Student Groupings'!$A:$A,'Student Groupings'!$E:$E=$C174,'Student Groupings"&amp;"'!$H:$H=""Can't be Together""),"""")})="" - "","""",join("" - "",{iferror(filter('Student Groupings'!$A:$A,'Student Groupings'!$B:$B=$C174,'Student Groupings'!$H:$H=""Can't be Together""),"""");iferror(filter('Student Groupings'!$A:$A,'Student Groupings'!"&amp;"$E:$E=$C174,'Student Groupings'!$H:$H=""Can't be Together""),"""")})))"),"4 - 5 - ")</f>
        <v>4 - 5 - </v>
      </c>
      <c r="AI174" s="185" t="str">
        <f>IFERROR(__xludf.DUMMYFUNCTION("if($C174="""","""",if(join("" - "",{iferror(filter('Student Groupings'!$A:$A,'Student Groupings'!$B:$B=$C174,'Student Groupings'!$H:$H=""Must be Together""),"""");iferror(filter('Student Groupings'!$A:$A,'Student Groupings'!$E:$E=$C174,'Student Groupings'"&amp;"!$H:$H=""Must be Together""),"""")})="" - "","""",join("" - "",{iferror(filter('Student Groupings'!$A:$A,'Student Groupings'!$B:$B=$C174,'Student Groupings'!$H:$H=""Must be Together""),"""");iferror(filter('Student Groupings'!$A:$A,'Student Groupings'!$E:"&amp;"$E=$C174,'Student Groupings'!$H:$H=""Must be Together""),"""")})))"),"")</f>
        <v/>
      </c>
    </row>
    <row r="175">
      <c r="A175" s="167">
        <v>10.0</v>
      </c>
      <c r="B175" s="168">
        <v>28020.0</v>
      </c>
      <c r="C175" s="144" t="s">
        <v>327</v>
      </c>
      <c r="D175" s="180" t="s">
        <v>37</v>
      </c>
      <c r="E175" s="181">
        <v>8.0</v>
      </c>
      <c r="F175" s="167" t="s">
        <v>64</v>
      </c>
      <c r="G175" s="167">
        <v>5.0</v>
      </c>
      <c r="H175" s="182" t="s">
        <v>81</v>
      </c>
      <c r="I175" s="167">
        <v>2.0</v>
      </c>
      <c r="J175" s="187"/>
      <c r="K175" s="167"/>
      <c r="L175" s="184" t="s">
        <v>95</v>
      </c>
      <c r="M175" s="167">
        <v>7.0</v>
      </c>
      <c r="N175" s="184" t="s">
        <v>130</v>
      </c>
      <c r="O175" s="167">
        <v>6.0</v>
      </c>
      <c r="P175" s="182" t="s">
        <v>100</v>
      </c>
      <c r="Q175" s="167">
        <v>4.0</v>
      </c>
      <c r="R175" s="184" t="s">
        <v>56</v>
      </c>
      <c r="S175" s="167">
        <v>1.0</v>
      </c>
      <c r="T175" s="188"/>
      <c r="U175" s="142"/>
      <c r="V175" s="184" t="s">
        <v>117</v>
      </c>
      <c r="W175" s="167">
        <v>3.0</v>
      </c>
      <c r="X175" s="142">
        <v>1.0</v>
      </c>
      <c r="Y175" s="142">
        <v>1.0</v>
      </c>
      <c r="Z175" s="142">
        <v>1.0</v>
      </c>
      <c r="AA175" s="142">
        <v>1.0</v>
      </c>
      <c r="AB175" s="142">
        <v>1.0</v>
      </c>
      <c r="AC175" s="142">
        <v>1.0</v>
      </c>
      <c r="AD175" s="142">
        <v>1.0</v>
      </c>
      <c r="AE175" s="142">
        <v>1.0</v>
      </c>
      <c r="AF175" s="142">
        <v>8.0</v>
      </c>
      <c r="AG175" s="142">
        <v>0.0</v>
      </c>
      <c r="AH175" s="185" t="str">
        <f>IFERROR(__xludf.DUMMYFUNCTION("if($C175="""","""",if(join("" - "",{iferror(filter('Student Groupings'!$A:$A,'Student Groupings'!$B:$B=$C175,'Student Groupings'!$H:$H=""Can't be Together""),"""");iferror(filter('Student Groupings'!$A:$A,'Student Groupings'!$E:$E=$C175,'Student Groupings"&amp;"'!$H:$H=""Can't be Together""),"""")})="" - "","""",join("" - "",{iferror(filter('Student Groupings'!$A:$A,'Student Groupings'!$B:$B=$C175,'Student Groupings'!$H:$H=""Can't be Together""),"""");iferror(filter('Student Groupings'!$A:$A,'Student Groupings'!"&amp;"$E:$E=$C175,'Student Groupings'!$H:$H=""Can't be Together""),"""")})))"),"78 - ")</f>
        <v>78 - </v>
      </c>
      <c r="AI175" s="185" t="str">
        <f>IFERROR(__xludf.DUMMYFUNCTION("if($C175="""","""",if(join("" - "",{iferror(filter('Student Groupings'!$A:$A,'Student Groupings'!$B:$B=$C175,'Student Groupings'!$H:$H=""Must be Together""),"""");iferror(filter('Student Groupings'!$A:$A,'Student Groupings'!$E:$E=$C175,'Student Groupings'"&amp;"!$H:$H=""Must be Together""),"""")})="" - "","""",join("" - "",{iferror(filter('Student Groupings'!$A:$A,'Student Groupings'!$B:$B=$C175,'Student Groupings'!$H:$H=""Must be Together""),"""");iferror(filter('Student Groupings'!$A:$A,'Student Groupings'!$E:"&amp;"$E=$C175,'Student Groupings'!$H:$H=""Must be Together""),"""")})))"),"")</f>
        <v/>
      </c>
    </row>
    <row r="176">
      <c r="A176" s="167">
        <v>10.0</v>
      </c>
      <c r="B176" s="168">
        <v>28095.0</v>
      </c>
      <c r="C176" s="144" t="s">
        <v>328</v>
      </c>
      <c r="D176" s="180" t="s">
        <v>37</v>
      </c>
      <c r="E176" s="181">
        <v>5.0</v>
      </c>
      <c r="F176" s="167" t="s">
        <v>64</v>
      </c>
      <c r="G176" s="167">
        <v>1.0</v>
      </c>
      <c r="H176" s="182" t="s">
        <v>81</v>
      </c>
      <c r="I176" s="167">
        <v>2.0</v>
      </c>
      <c r="J176" s="187"/>
      <c r="K176" s="167"/>
      <c r="L176" s="184" t="s">
        <v>95</v>
      </c>
      <c r="M176" s="167">
        <v>6.0</v>
      </c>
      <c r="N176" s="184" t="s">
        <v>130</v>
      </c>
      <c r="O176" s="167">
        <v>4.0</v>
      </c>
      <c r="P176" s="182" t="s">
        <v>100</v>
      </c>
      <c r="Q176" s="167">
        <v>7.0</v>
      </c>
      <c r="R176" s="184" t="s">
        <v>56</v>
      </c>
      <c r="S176" s="167">
        <v>8.0</v>
      </c>
      <c r="T176" s="188"/>
      <c r="U176" s="142"/>
      <c r="V176" s="184" t="s">
        <v>117</v>
      </c>
      <c r="W176" s="167">
        <v>3.0</v>
      </c>
      <c r="X176" s="142">
        <v>1.0</v>
      </c>
      <c r="Y176" s="142">
        <v>1.0</v>
      </c>
      <c r="Z176" s="142">
        <v>1.0</v>
      </c>
      <c r="AA176" s="142">
        <v>1.0</v>
      </c>
      <c r="AB176" s="142">
        <v>1.0</v>
      </c>
      <c r="AC176" s="142">
        <v>1.0</v>
      </c>
      <c r="AD176" s="142">
        <v>1.0</v>
      </c>
      <c r="AE176" s="142">
        <v>1.0</v>
      </c>
      <c r="AF176" s="142">
        <v>8.0</v>
      </c>
      <c r="AG176" s="142">
        <v>0.0</v>
      </c>
      <c r="AH176" s="185" t="str">
        <f>IFERROR(__xludf.DUMMYFUNCTION("if($C176="""","""",if(join("" - "",{iferror(filter('Student Groupings'!$A:$A,'Student Groupings'!$B:$B=$C176,'Student Groupings'!$H:$H=""Can't be Together""),"""");iferror(filter('Student Groupings'!$A:$A,'Student Groupings'!$E:$E=$C176,'Student Groupings"&amp;"'!$H:$H=""Can't be Together""),"""")})="" - "","""",join("" - "",{iferror(filter('Student Groupings'!$A:$A,'Student Groupings'!$B:$B=$C176,'Student Groupings'!$H:$H=""Can't be Together""),"""");iferror(filter('Student Groupings'!$A:$A,'Student Groupings'!"&amp;"$E:$E=$C176,'Student Groupings'!$H:$H=""Can't be Together""),"""")})))"),"")</f>
        <v/>
      </c>
      <c r="AI176" s="185" t="str">
        <f>IFERROR(__xludf.DUMMYFUNCTION("if($C176="""","""",if(join("" - "",{iferror(filter('Student Groupings'!$A:$A,'Student Groupings'!$B:$B=$C176,'Student Groupings'!$H:$H=""Must be Together""),"""");iferror(filter('Student Groupings'!$A:$A,'Student Groupings'!$E:$E=$C176,'Student Groupings'"&amp;"!$H:$H=""Must be Together""),"""")})="" - "","""",join("" - "",{iferror(filter('Student Groupings'!$A:$A,'Student Groupings'!$B:$B=$C176,'Student Groupings'!$H:$H=""Must be Together""),"""");iferror(filter('Student Groupings'!$A:$A,'Student Groupings'!$E:"&amp;"$E=$C176,'Student Groupings'!$H:$H=""Must be Together""),"""")})))"),"")</f>
        <v/>
      </c>
    </row>
    <row r="177">
      <c r="A177" s="167">
        <v>10.0</v>
      </c>
      <c r="B177" s="168">
        <v>28002.0</v>
      </c>
      <c r="C177" s="144" t="s">
        <v>329</v>
      </c>
      <c r="D177" s="180" t="s">
        <v>37</v>
      </c>
      <c r="E177" s="181">
        <v>5.0</v>
      </c>
      <c r="F177" s="167" t="s">
        <v>64</v>
      </c>
      <c r="G177" s="167">
        <v>1.0</v>
      </c>
      <c r="H177" s="182" t="s">
        <v>79</v>
      </c>
      <c r="I177" s="167">
        <v>8.0</v>
      </c>
      <c r="J177" s="187"/>
      <c r="K177" s="167"/>
      <c r="L177" s="184" t="s">
        <v>95</v>
      </c>
      <c r="M177" s="167">
        <v>7.0</v>
      </c>
      <c r="N177" s="184" t="s">
        <v>130</v>
      </c>
      <c r="O177" s="167">
        <v>2.0</v>
      </c>
      <c r="P177" s="184" t="s">
        <v>103</v>
      </c>
      <c r="Q177" s="167">
        <v>6.0</v>
      </c>
      <c r="R177" s="184" t="s">
        <v>56</v>
      </c>
      <c r="S177" s="167">
        <v>4.0</v>
      </c>
      <c r="T177" s="188"/>
      <c r="U177" s="142"/>
      <c r="V177" s="184" t="s">
        <v>24</v>
      </c>
      <c r="W177" s="167">
        <v>3.0</v>
      </c>
      <c r="X177" s="142">
        <v>1.0</v>
      </c>
      <c r="Y177" s="142">
        <v>1.0</v>
      </c>
      <c r="Z177" s="142">
        <v>1.0</v>
      </c>
      <c r="AA177" s="142">
        <v>1.0</v>
      </c>
      <c r="AB177" s="142">
        <v>1.0</v>
      </c>
      <c r="AC177" s="142">
        <v>1.0</v>
      </c>
      <c r="AD177" s="142">
        <v>1.0</v>
      </c>
      <c r="AE177" s="142">
        <v>1.0</v>
      </c>
      <c r="AF177" s="142">
        <v>8.0</v>
      </c>
      <c r="AG177" s="142">
        <v>0.0</v>
      </c>
      <c r="AH177" s="185" t="str">
        <f>IFERROR(__xludf.DUMMYFUNCTION("if($C177="""","""",if(join("" - "",{iferror(filter('Student Groupings'!$A:$A,'Student Groupings'!$B:$B=$C177,'Student Groupings'!$H:$H=""Can't be Together""),"""");iferror(filter('Student Groupings'!$A:$A,'Student Groupings'!$E:$E=$C177,'Student Groupings"&amp;"'!$H:$H=""Can't be Together""),"""")})="" - "","""",join("" - "",{iferror(filter('Student Groupings'!$A:$A,'Student Groupings'!$B:$B=$C177,'Student Groupings'!$H:$H=""Can't be Together""),"""");iferror(filter('Student Groupings'!$A:$A,'Student Groupings'!"&amp;"$E:$E=$C177,'Student Groupings'!$H:$H=""Can't be Together""),"""")})))"),"")</f>
        <v/>
      </c>
      <c r="AI177" s="185" t="str">
        <f>IFERROR(__xludf.DUMMYFUNCTION("if($C177="""","""",if(join("" - "",{iferror(filter('Student Groupings'!$A:$A,'Student Groupings'!$B:$B=$C177,'Student Groupings'!$H:$H=""Must be Together""),"""");iferror(filter('Student Groupings'!$A:$A,'Student Groupings'!$E:$E=$C177,'Student Groupings'"&amp;"!$H:$H=""Must be Together""),"""")})="" - "","""",join("" - "",{iferror(filter('Student Groupings'!$A:$A,'Student Groupings'!$B:$B=$C177,'Student Groupings'!$H:$H=""Must be Together""),"""");iferror(filter('Student Groupings'!$A:$A,'Student Groupings'!$E:"&amp;"$E=$C177,'Student Groupings'!$H:$H=""Must be Together""),"""")})))"),"")</f>
        <v/>
      </c>
    </row>
    <row r="178">
      <c r="A178" s="167">
        <v>10.0</v>
      </c>
      <c r="B178" s="168">
        <v>28052.0</v>
      </c>
      <c r="C178" s="144" t="s">
        <v>330</v>
      </c>
      <c r="D178" s="180" t="s">
        <v>37</v>
      </c>
      <c r="E178" s="181">
        <v>2.0</v>
      </c>
      <c r="F178" s="182" t="s">
        <v>64</v>
      </c>
      <c r="G178" s="167">
        <v>4.0</v>
      </c>
      <c r="H178" s="182" t="s">
        <v>79</v>
      </c>
      <c r="I178" s="167">
        <v>1.0</v>
      </c>
      <c r="J178" s="187"/>
      <c r="K178" s="167"/>
      <c r="L178" s="184" t="s">
        <v>95</v>
      </c>
      <c r="M178" s="167">
        <v>3.0</v>
      </c>
      <c r="N178" s="184" t="s">
        <v>130</v>
      </c>
      <c r="O178" s="167">
        <v>5.0</v>
      </c>
      <c r="P178" s="184" t="s">
        <v>103</v>
      </c>
      <c r="Q178" s="167">
        <v>6.0</v>
      </c>
      <c r="R178" s="184" t="s">
        <v>56</v>
      </c>
      <c r="S178" s="167">
        <v>7.0</v>
      </c>
      <c r="T178" s="188"/>
      <c r="U178" s="142"/>
      <c r="V178" s="184" t="s">
        <v>35</v>
      </c>
      <c r="W178" s="167">
        <v>8.0</v>
      </c>
      <c r="X178" s="142">
        <v>1.0</v>
      </c>
      <c r="Y178" s="142">
        <v>1.0</v>
      </c>
      <c r="Z178" s="142">
        <v>1.0</v>
      </c>
      <c r="AA178" s="142">
        <v>1.0</v>
      </c>
      <c r="AB178" s="142">
        <v>1.0</v>
      </c>
      <c r="AC178" s="142">
        <v>1.0</v>
      </c>
      <c r="AD178" s="142">
        <v>1.0</v>
      </c>
      <c r="AE178" s="142">
        <v>1.0</v>
      </c>
      <c r="AF178" s="142">
        <v>8.0</v>
      </c>
      <c r="AG178" s="142">
        <v>0.0</v>
      </c>
      <c r="AH178" s="185" t="str">
        <f>IFERROR(__xludf.DUMMYFUNCTION("if($C178="""","""",if(join("" - "",{iferror(filter('Student Groupings'!$A:$A,'Student Groupings'!$B:$B=$C178,'Student Groupings'!$H:$H=""Can't be Together""),"""");iferror(filter('Student Groupings'!$A:$A,'Student Groupings'!$E:$E=$C178,'Student Groupings"&amp;"'!$H:$H=""Can't be Together""),"""")})="" - "","""",join("" - "",{iferror(filter('Student Groupings'!$A:$A,'Student Groupings'!$B:$B=$C178,'Student Groupings'!$H:$H=""Can't be Together""),"""");iferror(filter('Student Groupings'!$A:$A,'Student Groupings'!"&amp;"$E:$E=$C178,'Student Groupings'!$H:$H=""Can't be Together""),"""")})))"),"")</f>
        <v/>
      </c>
      <c r="AI178" s="185" t="str">
        <f>IFERROR(__xludf.DUMMYFUNCTION("if($C178="""","""",if(join("" - "",{iferror(filter('Student Groupings'!$A:$A,'Student Groupings'!$B:$B=$C178,'Student Groupings'!$H:$H=""Must be Together""),"""");iferror(filter('Student Groupings'!$A:$A,'Student Groupings'!$E:$E=$C178,'Student Groupings'"&amp;"!$H:$H=""Must be Together""),"""")})="" - "","""",join("" - "",{iferror(filter('Student Groupings'!$A:$A,'Student Groupings'!$B:$B=$C178,'Student Groupings'!$H:$H=""Must be Together""),"""");iferror(filter('Student Groupings'!$A:$A,'Student Groupings'!$E:"&amp;"$E=$C178,'Student Groupings'!$H:$H=""Must be Together""),"""")})))"),"")</f>
        <v/>
      </c>
    </row>
    <row r="179">
      <c r="A179" s="167">
        <v>10.0</v>
      </c>
      <c r="B179" s="194">
        <v>28101.0</v>
      </c>
      <c r="C179" s="144" t="s">
        <v>331</v>
      </c>
      <c r="D179" s="180" t="s">
        <v>37</v>
      </c>
      <c r="E179" s="181">
        <v>8.0</v>
      </c>
      <c r="F179" s="167" t="s">
        <v>64</v>
      </c>
      <c r="G179" s="167">
        <v>3.0</v>
      </c>
      <c r="H179" s="182" t="s">
        <v>79</v>
      </c>
      <c r="I179" s="167">
        <v>1.0</v>
      </c>
      <c r="J179" s="187"/>
      <c r="K179" s="167"/>
      <c r="L179" s="184" t="s">
        <v>95</v>
      </c>
      <c r="M179" s="167">
        <v>5.0</v>
      </c>
      <c r="N179" s="184" t="s">
        <v>130</v>
      </c>
      <c r="O179" s="167">
        <v>6.0</v>
      </c>
      <c r="P179" s="184" t="s">
        <v>103</v>
      </c>
      <c r="Q179" s="167">
        <v>4.0</v>
      </c>
      <c r="R179" s="184" t="s">
        <v>56</v>
      </c>
      <c r="S179" s="167">
        <v>2.0</v>
      </c>
      <c r="T179" s="188"/>
      <c r="U179" s="142"/>
      <c r="V179" s="184" t="s">
        <v>24</v>
      </c>
      <c r="W179" s="167">
        <v>7.0</v>
      </c>
      <c r="X179" s="142">
        <v>1.0</v>
      </c>
      <c r="Y179" s="142">
        <v>1.0</v>
      </c>
      <c r="Z179" s="142">
        <v>1.0</v>
      </c>
      <c r="AA179" s="142">
        <v>1.0</v>
      </c>
      <c r="AB179" s="142">
        <v>1.0</v>
      </c>
      <c r="AC179" s="142">
        <v>1.0</v>
      </c>
      <c r="AD179" s="142">
        <v>1.0</v>
      </c>
      <c r="AE179" s="142">
        <v>1.0</v>
      </c>
      <c r="AF179" s="142">
        <v>8.0</v>
      </c>
      <c r="AG179" s="142">
        <v>0.0</v>
      </c>
      <c r="AH179" s="185" t="str">
        <f>IFERROR(__xludf.DUMMYFUNCTION("if($C179="""","""",if(join("" - "",{iferror(filter('Student Groupings'!$A:$A,'Student Groupings'!$B:$B=$C179,'Student Groupings'!$H:$H=""Can't be Together""),"""");iferror(filter('Student Groupings'!$A:$A,'Student Groupings'!$E:$E=$C179,'Student Groupings"&amp;"'!$H:$H=""Can't be Together""),"""")})="" - "","""",join("" - "",{iferror(filter('Student Groupings'!$A:$A,'Student Groupings'!$B:$B=$C179,'Student Groupings'!$H:$H=""Can't be Together""),"""");iferror(filter('Student Groupings'!$A:$A,'Student Groupings'!"&amp;"$E:$E=$C179,'Student Groupings'!$H:$H=""Can't be Together""),"""")})))"),"")</f>
        <v/>
      </c>
      <c r="AI179" s="185" t="str">
        <f>IFERROR(__xludf.DUMMYFUNCTION("if($C179="""","""",if(join("" - "",{iferror(filter('Student Groupings'!$A:$A,'Student Groupings'!$B:$B=$C179,'Student Groupings'!$H:$H=""Must be Together""),"""");iferror(filter('Student Groupings'!$A:$A,'Student Groupings'!$E:$E=$C179,'Student Groupings'"&amp;"!$H:$H=""Must be Together""),"""")})="" - "","""",join("" - "",{iferror(filter('Student Groupings'!$A:$A,'Student Groupings'!$B:$B=$C179,'Student Groupings'!$H:$H=""Must be Together""),"""");iferror(filter('Student Groupings'!$A:$A,'Student Groupings'!$E:"&amp;"$E=$C179,'Student Groupings'!$H:$H=""Must be Together""),"""")})))"),"")</f>
        <v/>
      </c>
    </row>
    <row r="180">
      <c r="A180" s="167">
        <v>10.0</v>
      </c>
      <c r="B180" s="194">
        <v>28061.0</v>
      </c>
      <c r="C180" s="144" t="s">
        <v>332</v>
      </c>
      <c r="D180" s="180" t="s">
        <v>37</v>
      </c>
      <c r="E180" s="181">
        <v>2.0</v>
      </c>
      <c r="F180" s="167" t="s">
        <v>64</v>
      </c>
      <c r="G180" s="167">
        <v>4.0</v>
      </c>
      <c r="H180" s="182" t="s">
        <v>76</v>
      </c>
      <c r="I180" s="167">
        <v>6.0</v>
      </c>
      <c r="J180" s="187"/>
      <c r="K180" s="167"/>
      <c r="L180" s="184" t="s">
        <v>95</v>
      </c>
      <c r="M180" s="167">
        <v>5.0</v>
      </c>
      <c r="N180" s="184" t="s">
        <v>130</v>
      </c>
      <c r="O180" s="167">
        <v>7.0</v>
      </c>
      <c r="P180" s="184" t="s">
        <v>103</v>
      </c>
      <c r="Q180" s="167">
        <v>3.0</v>
      </c>
      <c r="R180" s="184" t="s">
        <v>56</v>
      </c>
      <c r="S180" s="167">
        <v>1.0</v>
      </c>
      <c r="T180" s="188"/>
      <c r="U180" s="142"/>
      <c r="V180" s="184" t="s">
        <v>24</v>
      </c>
      <c r="W180" s="167">
        <v>8.0</v>
      </c>
      <c r="X180" s="142">
        <v>1.0</v>
      </c>
      <c r="Y180" s="142">
        <v>1.0</v>
      </c>
      <c r="Z180" s="142">
        <v>1.0</v>
      </c>
      <c r="AA180" s="142">
        <v>1.0</v>
      </c>
      <c r="AB180" s="142">
        <v>1.0</v>
      </c>
      <c r="AC180" s="142">
        <v>1.0</v>
      </c>
      <c r="AD180" s="142">
        <v>1.0</v>
      </c>
      <c r="AE180" s="142">
        <v>1.0</v>
      </c>
      <c r="AF180" s="142">
        <v>8.0</v>
      </c>
      <c r="AG180" s="142">
        <v>0.0</v>
      </c>
      <c r="AH180" s="185" t="str">
        <f>IFERROR(__xludf.DUMMYFUNCTION("if($C180="""","""",if(join("" - "",{iferror(filter('Student Groupings'!$A:$A,'Student Groupings'!$B:$B=$C180,'Student Groupings'!$H:$H=""Can't be Together""),"""");iferror(filter('Student Groupings'!$A:$A,'Student Groupings'!$E:$E=$C180,'Student Groupings"&amp;"'!$H:$H=""Can't be Together""),"""")})="" - "","""",join("" - "",{iferror(filter('Student Groupings'!$A:$A,'Student Groupings'!$B:$B=$C180,'Student Groupings'!$H:$H=""Can't be Together""),"""");iferror(filter('Student Groupings'!$A:$A,'Student Groupings'!"&amp;"$E:$E=$C180,'Student Groupings'!$H:$H=""Can't be Together""),"""")})))"),"")</f>
        <v/>
      </c>
      <c r="AI180" s="185" t="str">
        <f>IFERROR(__xludf.DUMMYFUNCTION("if($C180="""","""",if(join("" - "",{iferror(filter('Student Groupings'!$A:$A,'Student Groupings'!$B:$B=$C180,'Student Groupings'!$H:$H=""Must be Together""),"""");iferror(filter('Student Groupings'!$A:$A,'Student Groupings'!$E:$E=$C180,'Student Groupings'"&amp;"!$H:$H=""Must be Together""),"""")})="" - "","""",join("" - "",{iferror(filter('Student Groupings'!$A:$A,'Student Groupings'!$B:$B=$C180,'Student Groupings'!$H:$H=""Must be Together""),"""");iferror(filter('Student Groupings'!$A:$A,'Student Groupings'!$E:"&amp;"$E=$C180,'Student Groupings'!$H:$H=""Must be Together""),"""")})))"),"")</f>
        <v/>
      </c>
    </row>
    <row r="181">
      <c r="A181" s="167">
        <v>10.0</v>
      </c>
      <c r="B181" s="194">
        <v>28136.0</v>
      </c>
      <c r="C181" s="144" t="s">
        <v>333</v>
      </c>
      <c r="D181" s="180" t="s">
        <v>48</v>
      </c>
      <c r="E181" s="181">
        <v>5.0</v>
      </c>
      <c r="F181" s="167" t="s">
        <v>64</v>
      </c>
      <c r="G181" s="167">
        <v>8.0</v>
      </c>
      <c r="H181" s="196" t="s">
        <v>81</v>
      </c>
      <c r="I181" s="167">
        <v>3.0</v>
      </c>
      <c r="J181" s="187"/>
      <c r="K181" s="167"/>
      <c r="L181" s="184" t="s">
        <v>95</v>
      </c>
      <c r="M181" s="167">
        <v>6.0</v>
      </c>
      <c r="N181" s="184" t="s">
        <v>130</v>
      </c>
      <c r="O181" s="167">
        <v>4.0</v>
      </c>
      <c r="P181" s="182" t="s">
        <v>100</v>
      </c>
      <c r="Q181" s="167">
        <v>2.0</v>
      </c>
      <c r="R181" s="184" t="s">
        <v>56</v>
      </c>
      <c r="S181" s="167">
        <v>7.0</v>
      </c>
      <c r="T181" s="188"/>
      <c r="U181" s="142"/>
      <c r="V181" s="184" t="s">
        <v>34</v>
      </c>
      <c r="W181" s="167">
        <v>1.0</v>
      </c>
      <c r="X181" s="142">
        <v>1.0</v>
      </c>
      <c r="Y181" s="142">
        <v>1.0</v>
      </c>
      <c r="Z181" s="142">
        <v>1.0</v>
      </c>
      <c r="AA181" s="142">
        <v>1.0</v>
      </c>
      <c r="AB181" s="142">
        <v>1.0</v>
      </c>
      <c r="AC181" s="142">
        <v>1.0</v>
      </c>
      <c r="AD181" s="142">
        <v>1.0</v>
      </c>
      <c r="AE181" s="142">
        <v>1.0</v>
      </c>
      <c r="AF181" s="142">
        <v>8.0</v>
      </c>
      <c r="AG181" s="142">
        <v>0.0</v>
      </c>
      <c r="AH181" s="185" t="str">
        <f>IFERROR(__xludf.DUMMYFUNCTION("if($C181="""","""",if(join("" - "",{iferror(filter('Student Groupings'!$A:$A,'Student Groupings'!$B:$B=$C181,'Student Groupings'!$H:$H=""Can't be Together""),"""");iferror(filter('Student Groupings'!$A:$A,'Student Groupings'!$E:$E=$C181,'Student Groupings"&amp;"'!$H:$H=""Can't be Together""),"""")})="" - "","""",join("" - "",{iferror(filter('Student Groupings'!$A:$A,'Student Groupings'!$B:$B=$C181,'Student Groupings'!$H:$H=""Can't be Together""),"""");iferror(filter('Student Groupings'!$A:$A,'Student Groupings'!"&amp;"$E:$E=$C181,'Student Groupings'!$H:$H=""Can't be Together""),"""")})))"),"")</f>
        <v/>
      </c>
      <c r="AI181" s="185" t="str">
        <f>IFERROR(__xludf.DUMMYFUNCTION("if($C181="""","""",if(join("" - "",{iferror(filter('Student Groupings'!$A:$A,'Student Groupings'!$B:$B=$C181,'Student Groupings'!$H:$H=""Must be Together""),"""");iferror(filter('Student Groupings'!$A:$A,'Student Groupings'!$E:$E=$C181,'Student Groupings'"&amp;"!$H:$H=""Must be Together""),"""")})="" - "","""",join("" - "",{iferror(filter('Student Groupings'!$A:$A,'Student Groupings'!$B:$B=$C181,'Student Groupings'!$H:$H=""Must be Together""),"""");iferror(filter('Student Groupings'!$A:$A,'Student Groupings'!$E:"&amp;"$E=$C181,'Student Groupings'!$H:$H=""Must be Together""),"""")})))"),"")</f>
        <v/>
      </c>
    </row>
    <row r="182">
      <c r="A182" s="167">
        <v>10.0</v>
      </c>
      <c r="B182" s="194">
        <v>28010.0</v>
      </c>
      <c r="C182" s="144" t="s">
        <v>334</v>
      </c>
      <c r="D182" s="180" t="s">
        <v>37</v>
      </c>
      <c r="E182" s="181">
        <v>5.0</v>
      </c>
      <c r="F182" s="167" t="s">
        <v>64</v>
      </c>
      <c r="G182" s="167">
        <v>8.0</v>
      </c>
      <c r="H182" s="182" t="s">
        <v>76</v>
      </c>
      <c r="I182" s="167">
        <v>4.0</v>
      </c>
      <c r="J182" s="187"/>
      <c r="K182" s="167"/>
      <c r="L182" s="184" t="s">
        <v>95</v>
      </c>
      <c r="M182" s="167">
        <v>6.0</v>
      </c>
      <c r="N182" s="184" t="s">
        <v>130</v>
      </c>
      <c r="O182" s="167">
        <v>2.0</v>
      </c>
      <c r="P182" s="182" t="s">
        <v>100</v>
      </c>
      <c r="Q182" s="167">
        <v>7.0</v>
      </c>
      <c r="R182" s="184" t="s">
        <v>56</v>
      </c>
      <c r="S182" s="167">
        <v>3.0</v>
      </c>
      <c r="T182" s="188"/>
      <c r="U182" s="142"/>
      <c r="V182" s="184" t="s">
        <v>34</v>
      </c>
      <c r="W182" s="167">
        <v>1.0</v>
      </c>
      <c r="X182" s="142">
        <v>1.0</v>
      </c>
      <c r="Y182" s="142">
        <v>1.0</v>
      </c>
      <c r="Z182" s="142">
        <v>1.0</v>
      </c>
      <c r="AA182" s="142">
        <v>1.0</v>
      </c>
      <c r="AB182" s="142">
        <v>1.0</v>
      </c>
      <c r="AC182" s="142">
        <v>1.0</v>
      </c>
      <c r="AD182" s="142">
        <v>1.0</v>
      </c>
      <c r="AE182" s="142">
        <v>1.0</v>
      </c>
      <c r="AF182" s="142">
        <v>8.0</v>
      </c>
      <c r="AG182" s="142">
        <v>0.0</v>
      </c>
      <c r="AH182" s="185" t="str">
        <f>IFERROR(__xludf.DUMMYFUNCTION("if($C182="""","""",if(join("" - "",{iferror(filter('Student Groupings'!$A:$A,'Student Groupings'!$B:$B=$C182,'Student Groupings'!$H:$H=""Can't be Together""),"""");iferror(filter('Student Groupings'!$A:$A,'Student Groupings'!$E:$E=$C182,'Student Groupings"&amp;"'!$H:$H=""Can't be Together""),"""")})="" - "","""",join("" - "",{iferror(filter('Student Groupings'!$A:$A,'Student Groupings'!$B:$B=$C182,'Student Groupings'!$H:$H=""Can't be Together""),"""");iferror(filter('Student Groupings'!$A:$A,'Student Groupings'!"&amp;"$E:$E=$C182,'Student Groupings'!$H:$H=""Can't be Together""),"""")})))"),"")</f>
        <v/>
      </c>
      <c r="AI182" s="185" t="str">
        <f>IFERROR(__xludf.DUMMYFUNCTION("if($C182="""","""",if(join("" - "",{iferror(filter('Student Groupings'!$A:$A,'Student Groupings'!$B:$B=$C182,'Student Groupings'!$H:$H=""Must be Together""),"""");iferror(filter('Student Groupings'!$A:$A,'Student Groupings'!$E:$E=$C182,'Student Groupings'"&amp;"!$H:$H=""Must be Together""),"""")})="" - "","""",join("" - "",{iferror(filter('Student Groupings'!$A:$A,'Student Groupings'!$B:$B=$C182,'Student Groupings'!$H:$H=""Must be Together""),"""");iferror(filter('Student Groupings'!$A:$A,'Student Groupings'!$E:"&amp;"$E=$C182,'Student Groupings'!$H:$H=""Must be Together""),"""")})))"),"")</f>
        <v/>
      </c>
    </row>
    <row r="183">
      <c r="A183" s="167">
        <v>10.0</v>
      </c>
      <c r="B183" s="194">
        <v>28035.0</v>
      </c>
      <c r="C183" s="144" t="s">
        <v>335</v>
      </c>
      <c r="D183" s="180" t="s">
        <v>48</v>
      </c>
      <c r="E183" s="181">
        <v>5.0</v>
      </c>
      <c r="F183" s="167" t="s">
        <v>64</v>
      </c>
      <c r="G183" s="167">
        <v>8.0</v>
      </c>
      <c r="H183" s="182" t="s">
        <v>76</v>
      </c>
      <c r="I183" s="167">
        <v>3.0</v>
      </c>
      <c r="J183" s="187"/>
      <c r="K183" s="167"/>
      <c r="L183" s="184" t="s">
        <v>95</v>
      </c>
      <c r="M183" s="167">
        <v>2.0</v>
      </c>
      <c r="N183" s="184" t="s">
        <v>130</v>
      </c>
      <c r="O183" s="167">
        <v>6.0</v>
      </c>
      <c r="P183" s="182" t="s">
        <v>100</v>
      </c>
      <c r="Q183" s="167">
        <v>4.0</v>
      </c>
      <c r="R183" s="184" t="s">
        <v>56</v>
      </c>
      <c r="S183" s="167">
        <v>1.0</v>
      </c>
      <c r="T183" s="188"/>
      <c r="U183" s="167"/>
      <c r="V183" s="184" t="s">
        <v>34</v>
      </c>
      <c r="W183" s="167">
        <v>7.0</v>
      </c>
      <c r="X183" s="142">
        <v>1.0</v>
      </c>
      <c r="Y183" s="142">
        <v>1.0</v>
      </c>
      <c r="Z183" s="142">
        <v>1.0</v>
      </c>
      <c r="AA183" s="142">
        <v>1.0</v>
      </c>
      <c r="AB183" s="142">
        <v>1.0</v>
      </c>
      <c r="AC183" s="142">
        <v>1.0</v>
      </c>
      <c r="AD183" s="142">
        <v>1.0</v>
      </c>
      <c r="AE183" s="142">
        <v>1.0</v>
      </c>
      <c r="AF183" s="142">
        <v>8.0</v>
      </c>
      <c r="AG183" s="142">
        <v>0.0</v>
      </c>
      <c r="AH183" s="185" t="str">
        <f>IFERROR(__xludf.DUMMYFUNCTION("if($C183="""","""",if(join("" - "",{iferror(filter('Student Groupings'!$A:$A,'Student Groupings'!$B:$B=$C183,'Student Groupings'!$H:$H=""Can't be Together""),"""");iferror(filter('Student Groupings'!$A:$A,'Student Groupings'!$E:$E=$C183,'Student Groupings"&amp;"'!$H:$H=""Can't be Together""),"""")})="" - "","""",join("" - "",{iferror(filter('Student Groupings'!$A:$A,'Student Groupings'!$B:$B=$C183,'Student Groupings'!$H:$H=""Can't be Together""),"""");iferror(filter('Student Groupings'!$A:$A,'Student Groupings'!"&amp;"$E:$E=$C183,'Student Groupings'!$H:$H=""Can't be Together""),"""")})))"),"")</f>
        <v/>
      </c>
      <c r="AI183" s="185" t="str">
        <f>IFERROR(__xludf.DUMMYFUNCTION("if($C183="""","""",if(join("" - "",{iferror(filter('Student Groupings'!$A:$A,'Student Groupings'!$B:$B=$C183,'Student Groupings'!$H:$H=""Must be Together""),"""");iferror(filter('Student Groupings'!$A:$A,'Student Groupings'!$E:$E=$C183,'Student Groupings'"&amp;"!$H:$H=""Must be Together""),"""")})="" - "","""",join("" - "",{iferror(filter('Student Groupings'!$A:$A,'Student Groupings'!$B:$B=$C183,'Student Groupings'!$H:$H=""Must be Together""),"""");iferror(filter('Student Groupings'!$A:$A,'Student Groupings'!$E:"&amp;"$E=$C183,'Student Groupings'!$H:$H=""Must be Together""),"""")})))"),"")</f>
        <v/>
      </c>
    </row>
    <row r="184">
      <c r="A184" s="167">
        <v>10.0</v>
      </c>
      <c r="B184" s="194">
        <v>28027.0</v>
      </c>
      <c r="C184" s="144" t="s">
        <v>336</v>
      </c>
      <c r="D184" s="180" t="s">
        <v>48</v>
      </c>
      <c r="E184" s="181">
        <v>5.0</v>
      </c>
      <c r="F184" s="167" t="s">
        <v>64</v>
      </c>
      <c r="G184" s="167">
        <v>8.0</v>
      </c>
      <c r="H184" s="182" t="s">
        <v>79</v>
      </c>
      <c r="I184" s="167">
        <v>1.0</v>
      </c>
      <c r="J184" s="187"/>
      <c r="K184" s="167"/>
      <c r="L184" s="184" t="s">
        <v>95</v>
      </c>
      <c r="M184" s="167">
        <v>6.0</v>
      </c>
      <c r="N184" s="184" t="s">
        <v>130</v>
      </c>
      <c r="O184" s="167">
        <v>7.0</v>
      </c>
      <c r="P184" s="184" t="s">
        <v>103</v>
      </c>
      <c r="Q184" s="167">
        <v>2.0</v>
      </c>
      <c r="R184" s="184" t="s">
        <v>56</v>
      </c>
      <c r="S184" s="167">
        <v>3.0</v>
      </c>
      <c r="T184" s="188"/>
      <c r="U184" s="167"/>
      <c r="V184" s="184" t="s">
        <v>28</v>
      </c>
      <c r="W184" s="167">
        <v>4.0</v>
      </c>
      <c r="X184" s="142">
        <v>1.0</v>
      </c>
      <c r="Y184" s="142">
        <v>1.0</v>
      </c>
      <c r="Z184" s="142">
        <v>1.0</v>
      </c>
      <c r="AA184" s="142">
        <v>1.0</v>
      </c>
      <c r="AB184" s="142">
        <v>1.0</v>
      </c>
      <c r="AC184" s="142">
        <v>1.0</v>
      </c>
      <c r="AD184" s="142">
        <v>1.0</v>
      </c>
      <c r="AE184" s="142">
        <v>1.0</v>
      </c>
      <c r="AF184" s="142">
        <v>8.0</v>
      </c>
      <c r="AG184" s="142">
        <v>0.0</v>
      </c>
      <c r="AH184" s="185" t="str">
        <f>IFERROR(__xludf.DUMMYFUNCTION("if($C184="""","""",if(join("" - "",{iferror(filter('Student Groupings'!$A:$A,'Student Groupings'!$B:$B=$C184,'Student Groupings'!$H:$H=""Can't be Together""),"""");iferror(filter('Student Groupings'!$A:$A,'Student Groupings'!$E:$E=$C184,'Student Groupings"&amp;"'!$H:$H=""Can't be Together""),"""")})="" - "","""",join("" - "",{iferror(filter('Student Groupings'!$A:$A,'Student Groupings'!$B:$B=$C184,'Student Groupings'!$H:$H=""Can't be Together""),"""");iferror(filter('Student Groupings'!$A:$A,'Student Groupings'!"&amp;"$E:$E=$C184,'Student Groupings'!$H:$H=""Can't be Together""),"""")})))"),"")</f>
        <v/>
      </c>
      <c r="AI184" s="185" t="str">
        <f>IFERROR(__xludf.DUMMYFUNCTION("if($C184="""","""",if(join("" - "",{iferror(filter('Student Groupings'!$A:$A,'Student Groupings'!$B:$B=$C184,'Student Groupings'!$H:$H=""Must be Together""),"""");iferror(filter('Student Groupings'!$A:$A,'Student Groupings'!$E:$E=$C184,'Student Groupings'"&amp;"!$H:$H=""Must be Together""),"""")})="" - "","""",join("" - "",{iferror(filter('Student Groupings'!$A:$A,'Student Groupings'!$B:$B=$C184,'Student Groupings'!$H:$H=""Must be Together""),"""");iferror(filter('Student Groupings'!$A:$A,'Student Groupings'!$E:"&amp;"$E=$C184,'Student Groupings'!$H:$H=""Must be Together""),"""")})))"),"")</f>
        <v/>
      </c>
    </row>
    <row r="185">
      <c r="A185" s="167">
        <v>10.0</v>
      </c>
      <c r="B185" s="168">
        <v>27152.0</v>
      </c>
      <c r="C185" s="144" t="s">
        <v>337</v>
      </c>
      <c r="D185" s="180" t="s">
        <v>37</v>
      </c>
      <c r="E185" s="181">
        <v>5.0</v>
      </c>
      <c r="F185" s="167" t="s">
        <v>64</v>
      </c>
      <c r="G185" s="167">
        <v>7.0</v>
      </c>
      <c r="H185" s="182" t="s">
        <v>76</v>
      </c>
      <c r="I185" s="167">
        <v>6.0</v>
      </c>
      <c r="J185" s="187"/>
      <c r="K185" s="167"/>
      <c r="L185" s="184" t="s">
        <v>95</v>
      </c>
      <c r="M185" s="167">
        <v>3.0</v>
      </c>
      <c r="N185" s="184" t="s">
        <v>130</v>
      </c>
      <c r="O185" s="167">
        <v>4.0</v>
      </c>
      <c r="P185" s="182" t="s">
        <v>100</v>
      </c>
      <c r="Q185" s="167">
        <v>2.0</v>
      </c>
      <c r="R185" s="184" t="s">
        <v>56</v>
      </c>
      <c r="S185" s="167">
        <v>8.0</v>
      </c>
      <c r="T185" s="188"/>
      <c r="U185" s="167"/>
      <c r="V185" s="184" t="s">
        <v>26</v>
      </c>
      <c r="W185" s="167">
        <v>1.0</v>
      </c>
      <c r="X185" s="142">
        <v>1.0</v>
      </c>
      <c r="Y185" s="142">
        <v>1.0</v>
      </c>
      <c r="Z185" s="142">
        <v>1.0</v>
      </c>
      <c r="AA185" s="142">
        <v>1.0</v>
      </c>
      <c r="AB185" s="142">
        <v>1.0</v>
      </c>
      <c r="AC185" s="142">
        <v>1.0</v>
      </c>
      <c r="AD185" s="142">
        <v>1.0</v>
      </c>
      <c r="AE185" s="142">
        <v>1.0</v>
      </c>
      <c r="AF185" s="142">
        <v>8.0</v>
      </c>
      <c r="AG185" s="142">
        <v>0.0</v>
      </c>
      <c r="AH185" s="185" t="str">
        <f>IFERROR(__xludf.DUMMYFUNCTION("if($C185="""","""",if(join("" - "",{iferror(filter('Student Groupings'!$A:$A,'Student Groupings'!$B:$B=$C185,'Student Groupings'!$H:$H=""Can't be Together""),"""");iferror(filter('Student Groupings'!$A:$A,'Student Groupings'!$E:$E=$C185,'Student Groupings"&amp;"'!$H:$H=""Can't be Together""),"""")})="" - "","""",join("" - "",{iferror(filter('Student Groupings'!$A:$A,'Student Groupings'!$B:$B=$C185,'Student Groupings'!$H:$H=""Can't be Together""),"""");iferror(filter('Student Groupings'!$A:$A,'Student Groupings'!"&amp;"$E:$E=$C185,'Student Groupings'!$H:$H=""Can't be Together""),"""")})))")," - 4")</f>
        <v> - 4</v>
      </c>
      <c r="AI185" s="185" t="str">
        <f>IFERROR(__xludf.DUMMYFUNCTION("if($C185="""","""",if(join("" - "",{iferror(filter('Student Groupings'!$A:$A,'Student Groupings'!$B:$B=$C185,'Student Groupings'!$H:$H=""Must be Together""),"""");iferror(filter('Student Groupings'!$A:$A,'Student Groupings'!$E:$E=$C185,'Student Groupings'"&amp;"!$H:$H=""Must be Together""),"""")})="" - "","""",join("" - "",{iferror(filter('Student Groupings'!$A:$A,'Student Groupings'!$B:$B=$C185,'Student Groupings'!$H:$H=""Must be Together""),"""");iferror(filter('Student Groupings'!$A:$A,'Student Groupings'!$E:"&amp;"$E=$C185,'Student Groupings'!$H:$H=""Must be Together""),"""")})))"),"")</f>
        <v/>
      </c>
    </row>
    <row r="186">
      <c r="A186" s="167">
        <v>10.0</v>
      </c>
      <c r="B186" s="168">
        <v>28026.0</v>
      </c>
      <c r="C186" s="144" t="s">
        <v>338</v>
      </c>
      <c r="D186" s="180" t="s">
        <v>49</v>
      </c>
      <c r="E186" s="181">
        <v>3.0</v>
      </c>
      <c r="F186" s="167" t="s">
        <v>64</v>
      </c>
      <c r="G186" s="167">
        <v>5.0</v>
      </c>
      <c r="H186" s="182" t="s">
        <v>76</v>
      </c>
      <c r="I186" s="167">
        <v>4.0</v>
      </c>
      <c r="J186" s="187"/>
      <c r="K186" s="167"/>
      <c r="L186" s="184" t="s">
        <v>95</v>
      </c>
      <c r="M186" s="167">
        <v>6.0</v>
      </c>
      <c r="N186" s="184" t="s">
        <v>130</v>
      </c>
      <c r="O186" s="167">
        <v>2.0</v>
      </c>
      <c r="P186" s="182" t="s">
        <v>100</v>
      </c>
      <c r="Q186" s="167">
        <v>7.0</v>
      </c>
      <c r="R186" s="184" t="s">
        <v>56</v>
      </c>
      <c r="S186" s="167">
        <v>8.0</v>
      </c>
      <c r="T186" s="188"/>
      <c r="U186" s="142"/>
      <c r="V186" s="184" t="s">
        <v>34</v>
      </c>
      <c r="W186" s="167">
        <v>1.0</v>
      </c>
      <c r="X186" s="142">
        <v>1.0</v>
      </c>
      <c r="Y186" s="142">
        <v>1.0</v>
      </c>
      <c r="Z186" s="142">
        <v>1.0</v>
      </c>
      <c r="AA186" s="142">
        <v>1.0</v>
      </c>
      <c r="AB186" s="142">
        <v>1.0</v>
      </c>
      <c r="AC186" s="142">
        <v>1.0</v>
      </c>
      <c r="AD186" s="142">
        <v>1.0</v>
      </c>
      <c r="AE186" s="142">
        <v>1.0</v>
      </c>
      <c r="AF186" s="142">
        <v>8.0</v>
      </c>
      <c r="AG186" s="142">
        <v>0.0</v>
      </c>
      <c r="AH186" s="185" t="str">
        <f>IFERROR(__xludf.DUMMYFUNCTION("if($C186="""","""",if(join("" - "",{iferror(filter('Student Groupings'!$A:$A,'Student Groupings'!$B:$B=$C186,'Student Groupings'!$H:$H=""Can't be Together""),"""");iferror(filter('Student Groupings'!$A:$A,'Student Groupings'!$E:$E=$C186,'Student Groupings"&amp;"'!$H:$H=""Can't be Together""),"""")})="" - "","""",join("" - "",{iferror(filter('Student Groupings'!$A:$A,'Student Groupings'!$B:$B=$C186,'Student Groupings'!$H:$H=""Can't be Together""),"""");iferror(filter('Student Groupings'!$A:$A,'Student Groupings'!"&amp;"$E:$E=$C186,'Student Groupings'!$H:$H=""Can't be Together""),"""")})))"),"")</f>
        <v/>
      </c>
      <c r="AI186" s="185" t="str">
        <f>IFERROR(__xludf.DUMMYFUNCTION("if($C186="""","""",if(join("" - "",{iferror(filter('Student Groupings'!$A:$A,'Student Groupings'!$B:$B=$C186,'Student Groupings'!$H:$H=""Must be Together""),"""");iferror(filter('Student Groupings'!$A:$A,'Student Groupings'!$E:$E=$C186,'Student Groupings'"&amp;"!$H:$H=""Must be Together""),"""")})="" - "","""",join("" - "",{iferror(filter('Student Groupings'!$A:$A,'Student Groupings'!$B:$B=$C186,'Student Groupings'!$H:$H=""Must be Together""),"""");iferror(filter('Student Groupings'!$A:$A,'Student Groupings'!$E:"&amp;"$E=$C186,'Student Groupings'!$H:$H=""Must be Together""),"""")})))"),"")</f>
        <v/>
      </c>
    </row>
    <row r="187">
      <c r="A187" s="167">
        <v>10.0</v>
      </c>
      <c r="B187" s="194">
        <v>28025.0</v>
      </c>
      <c r="C187" s="144" t="s">
        <v>339</v>
      </c>
      <c r="D187" s="180" t="s">
        <v>48</v>
      </c>
      <c r="E187" s="181">
        <v>1.0</v>
      </c>
      <c r="F187" s="167" t="s">
        <v>64</v>
      </c>
      <c r="G187" s="167">
        <v>5.0</v>
      </c>
      <c r="H187" s="182" t="s">
        <v>76</v>
      </c>
      <c r="I187" s="167">
        <v>6.0</v>
      </c>
      <c r="J187" s="187"/>
      <c r="K187" s="167"/>
      <c r="L187" s="184" t="s">
        <v>95</v>
      </c>
      <c r="M187" s="167">
        <v>8.0</v>
      </c>
      <c r="N187" s="184" t="s">
        <v>130</v>
      </c>
      <c r="O187" s="167">
        <v>2.0</v>
      </c>
      <c r="P187" s="182" t="s">
        <v>100</v>
      </c>
      <c r="Q187" s="167">
        <v>7.0</v>
      </c>
      <c r="R187" s="184" t="s">
        <v>56</v>
      </c>
      <c r="S187" s="167">
        <v>4.0</v>
      </c>
      <c r="T187" s="188"/>
      <c r="U187" s="142"/>
      <c r="V187" s="184" t="s">
        <v>117</v>
      </c>
      <c r="W187" s="167">
        <v>3.0</v>
      </c>
      <c r="X187" s="142">
        <v>1.0</v>
      </c>
      <c r="Y187" s="142">
        <v>1.0</v>
      </c>
      <c r="Z187" s="142">
        <v>1.0</v>
      </c>
      <c r="AA187" s="142">
        <v>1.0</v>
      </c>
      <c r="AB187" s="142">
        <v>1.0</v>
      </c>
      <c r="AC187" s="142">
        <v>1.0</v>
      </c>
      <c r="AD187" s="142">
        <v>1.0</v>
      </c>
      <c r="AE187" s="142">
        <v>1.0</v>
      </c>
      <c r="AF187" s="142">
        <v>8.0</v>
      </c>
      <c r="AG187" s="142">
        <v>0.0</v>
      </c>
      <c r="AH187" s="185" t="str">
        <f>IFERROR(__xludf.DUMMYFUNCTION("if($C187="""","""",if(join("" - "",{iferror(filter('Student Groupings'!$A:$A,'Student Groupings'!$B:$B=$C187,'Student Groupings'!$H:$H=""Can't be Together""),"""");iferror(filter('Student Groupings'!$A:$A,'Student Groupings'!$E:$E=$C187,'Student Groupings"&amp;"'!$H:$H=""Can't be Together""),"""")})="" - "","""",join("" - "",{iferror(filter('Student Groupings'!$A:$A,'Student Groupings'!$B:$B=$C187,'Student Groupings'!$H:$H=""Can't be Together""),"""");iferror(filter('Student Groupings'!$A:$A,'Student Groupings'!"&amp;"$E:$E=$C187,'Student Groupings'!$H:$H=""Can't be Together""),"""")})))"),"1 - 2 - ")</f>
        <v>1 - 2 - </v>
      </c>
      <c r="AI187" s="185" t="str">
        <f>IFERROR(__xludf.DUMMYFUNCTION("if($C187="""","""",if(join("" - "",{iferror(filter('Student Groupings'!$A:$A,'Student Groupings'!$B:$B=$C187,'Student Groupings'!$H:$H=""Must be Together""),"""");iferror(filter('Student Groupings'!$A:$A,'Student Groupings'!$E:$E=$C187,'Student Groupings'"&amp;"!$H:$H=""Must be Together""),"""")})="" - "","""",join("" - "",{iferror(filter('Student Groupings'!$A:$A,'Student Groupings'!$B:$B=$C187,'Student Groupings'!$H:$H=""Must be Together""),"""");iferror(filter('Student Groupings'!$A:$A,'Student Groupings'!$E:"&amp;"$E=$C187,'Student Groupings'!$H:$H=""Must be Together""),"""")})))"),"")</f>
        <v/>
      </c>
    </row>
    <row r="188">
      <c r="A188" s="167">
        <v>10.0</v>
      </c>
      <c r="B188" s="168">
        <v>27100.0</v>
      </c>
      <c r="C188" s="144" t="s">
        <v>340</v>
      </c>
      <c r="D188" s="180" t="s">
        <v>48</v>
      </c>
      <c r="E188" s="181">
        <v>5.0</v>
      </c>
      <c r="F188" s="167" t="s">
        <v>64</v>
      </c>
      <c r="G188" s="167">
        <v>8.0</v>
      </c>
      <c r="H188" s="182" t="s">
        <v>81</v>
      </c>
      <c r="I188" s="167">
        <v>3.0</v>
      </c>
      <c r="J188" s="187"/>
      <c r="K188" s="167"/>
      <c r="L188" s="184" t="s">
        <v>95</v>
      </c>
      <c r="M188" s="167">
        <v>6.0</v>
      </c>
      <c r="N188" s="184" t="s">
        <v>130</v>
      </c>
      <c r="O188" s="167">
        <v>4.0</v>
      </c>
      <c r="P188" s="182" t="s">
        <v>100</v>
      </c>
      <c r="Q188" s="167">
        <v>7.0</v>
      </c>
      <c r="R188" s="184" t="s">
        <v>56</v>
      </c>
      <c r="S188" s="167">
        <v>2.0</v>
      </c>
      <c r="T188" s="188"/>
      <c r="U188" s="167"/>
      <c r="V188" s="184" t="s">
        <v>34</v>
      </c>
      <c r="W188" s="167">
        <v>1.0</v>
      </c>
      <c r="X188" s="142">
        <v>1.0</v>
      </c>
      <c r="Y188" s="142">
        <v>1.0</v>
      </c>
      <c r="Z188" s="142">
        <v>1.0</v>
      </c>
      <c r="AA188" s="142">
        <v>1.0</v>
      </c>
      <c r="AB188" s="142">
        <v>1.0</v>
      </c>
      <c r="AC188" s="142">
        <v>1.0</v>
      </c>
      <c r="AD188" s="142">
        <v>1.0</v>
      </c>
      <c r="AE188" s="142">
        <v>1.0</v>
      </c>
      <c r="AF188" s="142">
        <v>8.0</v>
      </c>
      <c r="AG188" s="142">
        <v>0.0</v>
      </c>
      <c r="AH188" s="185" t="str">
        <f>IFERROR(__xludf.DUMMYFUNCTION("if($C188="""","""",if(join("" - "",{iferror(filter('Student Groupings'!$A:$A,'Student Groupings'!$B:$B=$C188,'Student Groupings'!$H:$H=""Can't be Together""),"""");iferror(filter('Student Groupings'!$A:$A,'Student Groupings'!$E:$E=$C188,'Student Groupings"&amp;"'!$H:$H=""Can't be Together""),"""")})="" - "","""",join("" - "",{iferror(filter('Student Groupings'!$A:$A,'Student Groupings'!$B:$B=$C188,'Student Groupings'!$H:$H=""Can't be Together""),"""");iferror(filter('Student Groupings'!$A:$A,'Student Groupings'!"&amp;"$E:$E=$C188,'Student Groupings'!$H:$H=""Can't be Together""),"""")})))"),"")</f>
        <v/>
      </c>
      <c r="AI188" s="185" t="str">
        <f>IFERROR(__xludf.DUMMYFUNCTION("if($C188="""","""",if(join("" - "",{iferror(filter('Student Groupings'!$A:$A,'Student Groupings'!$B:$B=$C188,'Student Groupings'!$H:$H=""Must be Together""),"""");iferror(filter('Student Groupings'!$A:$A,'Student Groupings'!$E:$E=$C188,'Student Groupings'"&amp;"!$H:$H=""Must be Together""),"""")})="" - "","""",join("" - "",{iferror(filter('Student Groupings'!$A:$A,'Student Groupings'!$B:$B=$C188,'Student Groupings'!$H:$H=""Must be Together""),"""");iferror(filter('Student Groupings'!$A:$A,'Student Groupings'!$E:"&amp;"$E=$C188,'Student Groupings'!$H:$H=""Must be Together""),"""")})))")," - 74")</f>
        <v> - 74</v>
      </c>
    </row>
    <row r="189">
      <c r="A189" s="167">
        <v>10.0</v>
      </c>
      <c r="B189" s="168">
        <v>28139.0</v>
      </c>
      <c r="C189" s="144" t="s">
        <v>341</v>
      </c>
      <c r="D189" s="180" t="s">
        <v>37</v>
      </c>
      <c r="E189" s="181">
        <v>8.0</v>
      </c>
      <c r="F189" s="167" t="s">
        <v>64</v>
      </c>
      <c r="G189" s="167">
        <v>4.0</v>
      </c>
      <c r="H189" s="182" t="s">
        <v>76</v>
      </c>
      <c r="I189" s="167">
        <v>6.0</v>
      </c>
      <c r="J189" s="187"/>
      <c r="K189" s="167"/>
      <c r="L189" s="184" t="s">
        <v>95</v>
      </c>
      <c r="M189" s="167">
        <v>3.0</v>
      </c>
      <c r="N189" s="184" t="s">
        <v>130</v>
      </c>
      <c r="O189" s="167">
        <v>2.0</v>
      </c>
      <c r="P189" s="182" t="s">
        <v>100</v>
      </c>
      <c r="Q189" s="167">
        <v>7.0</v>
      </c>
      <c r="R189" s="184" t="s">
        <v>56</v>
      </c>
      <c r="S189" s="167">
        <v>5.0</v>
      </c>
      <c r="T189" s="188"/>
      <c r="U189" s="189"/>
      <c r="V189" s="184" t="s">
        <v>34</v>
      </c>
      <c r="W189" s="167">
        <v>1.0</v>
      </c>
      <c r="X189" s="142">
        <v>1.0</v>
      </c>
      <c r="Y189" s="142">
        <v>1.0</v>
      </c>
      <c r="Z189" s="142">
        <v>1.0</v>
      </c>
      <c r="AA189" s="142">
        <v>1.0</v>
      </c>
      <c r="AB189" s="142">
        <v>1.0</v>
      </c>
      <c r="AC189" s="142">
        <v>1.0</v>
      </c>
      <c r="AD189" s="142">
        <v>1.0</v>
      </c>
      <c r="AE189" s="142">
        <v>1.0</v>
      </c>
      <c r="AF189" s="142">
        <v>8.0</v>
      </c>
      <c r="AG189" s="142">
        <v>0.0</v>
      </c>
      <c r="AH189" s="185" t="str">
        <f>IFERROR(__xludf.DUMMYFUNCTION("if($C189="""","""",if(join("" - "",{iferror(filter('Student Groupings'!$A:$A,'Student Groupings'!$B:$B=$C189,'Student Groupings'!$H:$H=""Can't be Together""),"""");iferror(filter('Student Groupings'!$A:$A,'Student Groupings'!$E:$E=$C189,'Student Groupings"&amp;"'!$H:$H=""Can't be Together""),"""")})="" - "","""",join("" - "",{iferror(filter('Student Groupings'!$A:$A,'Student Groupings'!$B:$B=$C189,'Student Groupings'!$H:$H=""Can't be Together""),"""");iferror(filter('Student Groupings'!$A:$A,'Student Groupings'!"&amp;"$E:$E=$C189,'Student Groupings'!$H:$H=""Can't be Together""),"""")})))"),"")</f>
        <v/>
      </c>
      <c r="AI189" s="185" t="str">
        <f>IFERROR(__xludf.DUMMYFUNCTION("if($C189="""","""",if(join("" - "",{iferror(filter('Student Groupings'!$A:$A,'Student Groupings'!$B:$B=$C189,'Student Groupings'!$H:$H=""Must be Together""),"""");iferror(filter('Student Groupings'!$A:$A,'Student Groupings'!$E:$E=$C189,'Student Groupings'"&amp;"!$H:$H=""Must be Together""),"""")})="" - "","""",join("" - "",{iferror(filter('Student Groupings'!$A:$A,'Student Groupings'!$B:$B=$C189,'Student Groupings'!$H:$H=""Must be Together""),"""");iferror(filter('Student Groupings'!$A:$A,'Student Groupings'!$E:"&amp;"$E=$C189,'Student Groupings'!$H:$H=""Must be Together""),"""")})))"),"")</f>
        <v/>
      </c>
    </row>
    <row r="190">
      <c r="A190" s="167">
        <v>10.0</v>
      </c>
      <c r="B190" s="168">
        <v>28048.0</v>
      </c>
      <c r="C190" s="144" t="s">
        <v>342</v>
      </c>
      <c r="D190" s="180" t="s">
        <v>48</v>
      </c>
      <c r="E190" s="181">
        <v>1.0</v>
      </c>
      <c r="F190" s="167" t="s">
        <v>64</v>
      </c>
      <c r="G190" s="167">
        <v>6.0</v>
      </c>
      <c r="H190" s="182" t="s">
        <v>81</v>
      </c>
      <c r="I190" s="167">
        <v>2.0</v>
      </c>
      <c r="J190" s="187"/>
      <c r="K190" s="167"/>
      <c r="L190" s="184" t="s">
        <v>95</v>
      </c>
      <c r="M190" s="167">
        <v>8.0</v>
      </c>
      <c r="N190" s="184" t="s">
        <v>130</v>
      </c>
      <c r="O190" s="167">
        <v>5.0</v>
      </c>
      <c r="P190" s="184" t="s">
        <v>103</v>
      </c>
      <c r="Q190" s="167">
        <v>3.0</v>
      </c>
      <c r="R190" s="184" t="s">
        <v>56</v>
      </c>
      <c r="S190" s="167">
        <v>7.0</v>
      </c>
      <c r="T190" s="188"/>
      <c r="U190" s="189"/>
      <c r="V190" s="184" t="s">
        <v>86</v>
      </c>
      <c r="W190" s="167">
        <v>4.0</v>
      </c>
      <c r="X190" s="142">
        <v>1.0</v>
      </c>
      <c r="Y190" s="142">
        <v>1.0</v>
      </c>
      <c r="Z190" s="142">
        <v>1.0</v>
      </c>
      <c r="AA190" s="142">
        <v>1.0</v>
      </c>
      <c r="AB190" s="142">
        <v>1.0</v>
      </c>
      <c r="AC190" s="142">
        <v>1.0</v>
      </c>
      <c r="AD190" s="142">
        <v>1.0</v>
      </c>
      <c r="AE190" s="142">
        <v>1.0</v>
      </c>
      <c r="AF190" s="142">
        <v>8.0</v>
      </c>
      <c r="AG190" s="142">
        <v>0.0</v>
      </c>
      <c r="AH190" s="185" t="str">
        <f>IFERROR(__xludf.DUMMYFUNCTION("if($C190="""","""",if(join("" - "",{iferror(filter('Student Groupings'!$A:$A,'Student Groupings'!$B:$B=$C190,'Student Groupings'!$H:$H=""Can't be Together""),"""");iferror(filter('Student Groupings'!$A:$A,'Student Groupings'!$E:$E=$C190,'Student Groupings"&amp;"'!$H:$H=""Can't be Together""),"""")})="" - "","""",join("" - "",{iferror(filter('Student Groupings'!$A:$A,'Student Groupings'!$B:$B=$C190,'Student Groupings'!$H:$H=""Can't be Together""),"""");iferror(filter('Student Groupings'!$A:$A,'Student Groupings'!"&amp;"$E:$E=$C190,'Student Groupings'!$H:$H=""Can't be Together""),"""")})))"),"")</f>
        <v/>
      </c>
      <c r="AI190" s="185" t="str">
        <f>IFERROR(__xludf.DUMMYFUNCTION("if($C190="""","""",if(join("" - "",{iferror(filter('Student Groupings'!$A:$A,'Student Groupings'!$B:$B=$C190,'Student Groupings'!$H:$H=""Must be Together""),"""");iferror(filter('Student Groupings'!$A:$A,'Student Groupings'!$E:$E=$C190,'Student Groupings'"&amp;"!$H:$H=""Must be Together""),"""")})="" - "","""",join("" - "",{iferror(filter('Student Groupings'!$A:$A,'Student Groupings'!$B:$B=$C190,'Student Groupings'!$H:$H=""Must be Together""),"""");iferror(filter('Student Groupings'!$A:$A,'Student Groupings'!$E:"&amp;"$E=$C190,'Student Groupings'!$H:$H=""Must be Together""),"""")})))"),"122 - 123 - ")</f>
        <v>122 - 123 - </v>
      </c>
    </row>
    <row r="191">
      <c r="A191" s="167">
        <v>10.0</v>
      </c>
      <c r="B191" s="168">
        <v>27024.0</v>
      </c>
      <c r="C191" s="144" t="s">
        <v>343</v>
      </c>
      <c r="D191" s="180" t="s">
        <v>37</v>
      </c>
      <c r="E191" s="181">
        <v>8.0</v>
      </c>
      <c r="F191" s="167" t="s">
        <v>64</v>
      </c>
      <c r="G191" s="167">
        <v>7.0</v>
      </c>
      <c r="H191" s="182" t="s">
        <v>81</v>
      </c>
      <c r="I191" s="167">
        <v>3.0</v>
      </c>
      <c r="J191" s="187"/>
      <c r="K191" s="167"/>
      <c r="L191" s="184" t="s">
        <v>95</v>
      </c>
      <c r="M191" s="167">
        <v>5.0</v>
      </c>
      <c r="N191" s="184" t="s">
        <v>130</v>
      </c>
      <c r="O191" s="167">
        <v>6.0</v>
      </c>
      <c r="P191" s="182" t="s">
        <v>100</v>
      </c>
      <c r="Q191" s="167">
        <v>4.0</v>
      </c>
      <c r="R191" s="184" t="s">
        <v>56</v>
      </c>
      <c r="S191" s="167">
        <v>1.0</v>
      </c>
      <c r="T191" s="188"/>
      <c r="U191" s="189"/>
      <c r="V191" s="184" t="s">
        <v>23</v>
      </c>
      <c r="W191" s="167">
        <v>2.0</v>
      </c>
      <c r="X191" s="142">
        <v>1.0</v>
      </c>
      <c r="Y191" s="142">
        <v>1.0</v>
      </c>
      <c r="Z191" s="142">
        <v>1.0</v>
      </c>
      <c r="AA191" s="142">
        <v>1.0</v>
      </c>
      <c r="AB191" s="142">
        <v>1.0</v>
      </c>
      <c r="AC191" s="142">
        <v>1.0</v>
      </c>
      <c r="AD191" s="142">
        <v>1.0</v>
      </c>
      <c r="AE191" s="142">
        <v>1.0</v>
      </c>
      <c r="AF191" s="142">
        <v>8.0</v>
      </c>
      <c r="AG191" s="142">
        <v>0.0</v>
      </c>
      <c r="AH191" s="185" t="str">
        <f>IFERROR(__xludf.DUMMYFUNCTION("if($C191="""","""",if(join("" - "",{iferror(filter('Student Groupings'!$A:$A,'Student Groupings'!$B:$B=$C191,'Student Groupings'!$H:$H=""Can't be Together""),"""");iferror(filter('Student Groupings'!$A:$A,'Student Groupings'!$E:$E=$C191,'Student Groupings"&amp;"'!$H:$H=""Can't be Together""),"""")})="" - "","""",join("" - "",{iferror(filter('Student Groupings'!$A:$A,'Student Groupings'!$B:$B=$C191,'Student Groupings'!$H:$H=""Can't be Together""),"""");iferror(filter('Student Groupings'!$A:$A,'Student Groupings'!"&amp;"$E:$E=$C191,'Student Groupings'!$H:$H=""Can't be Together""),"""")})))"),"")</f>
        <v/>
      </c>
      <c r="AI191" s="185" t="str">
        <f>IFERROR(__xludf.DUMMYFUNCTION("if($C191="""","""",if(join("" - "",{iferror(filter('Student Groupings'!$A:$A,'Student Groupings'!$B:$B=$C191,'Student Groupings'!$H:$H=""Must be Together""),"""");iferror(filter('Student Groupings'!$A:$A,'Student Groupings'!$E:$E=$C191,'Student Groupings'"&amp;"!$H:$H=""Must be Together""),"""")})="" - "","""",join("" - "",{iferror(filter('Student Groupings'!$A:$A,'Student Groupings'!$B:$B=$C191,'Student Groupings'!$H:$H=""Must be Together""),"""");iferror(filter('Student Groupings'!$A:$A,'Student Groupings'!$E:"&amp;"$E=$C191,'Student Groupings'!$H:$H=""Must be Together""),"""")})))"),"")</f>
        <v/>
      </c>
    </row>
    <row r="192">
      <c r="A192" s="167">
        <v>10.0</v>
      </c>
      <c r="B192" s="168">
        <v>28044.0</v>
      </c>
      <c r="C192" s="144" t="s">
        <v>344</v>
      </c>
      <c r="D192" s="180" t="s">
        <v>48</v>
      </c>
      <c r="E192" s="181">
        <v>6.0</v>
      </c>
      <c r="F192" s="167" t="s">
        <v>64</v>
      </c>
      <c r="G192" s="167">
        <v>4.0</v>
      </c>
      <c r="H192" s="182" t="s">
        <v>79</v>
      </c>
      <c r="I192" s="167">
        <v>3.0</v>
      </c>
      <c r="J192" s="187"/>
      <c r="K192" s="167"/>
      <c r="L192" s="184" t="s">
        <v>95</v>
      </c>
      <c r="M192" s="167">
        <v>7.0</v>
      </c>
      <c r="N192" s="184" t="s">
        <v>130</v>
      </c>
      <c r="O192" s="167">
        <v>1.0</v>
      </c>
      <c r="P192" s="184" t="s">
        <v>103</v>
      </c>
      <c r="Q192" s="167">
        <v>2.0</v>
      </c>
      <c r="R192" s="184" t="s">
        <v>56</v>
      </c>
      <c r="S192" s="167">
        <v>5.0</v>
      </c>
      <c r="T192" s="188"/>
      <c r="U192" s="189"/>
      <c r="V192" s="184" t="s">
        <v>86</v>
      </c>
      <c r="W192" s="167">
        <v>8.0</v>
      </c>
      <c r="X192" s="142">
        <v>1.0</v>
      </c>
      <c r="Y192" s="142">
        <v>1.0</v>
      </c>
      <c r="Z192" s="142">
        <v>1.0</v>
      </c>
      <c r="AA192" s="142">
        <v>1.0</v>
      </c>
      <c r="AB192" s="142">
        <v>1.0</v>
      </c>
      <c r="AC192" s="142">
        <v>1.0</v>
      </c>
      <c r="AD192" s="142">
        <v>1.0</v>
      </c>
      <c r="AE192" s="142">
        <v>1.0</v>
      </c>
      <c r="AF192" s="142">
        <v>8.0</v>
      </c>
      <c r="AG192" s="142">
        <v>0.0</v>
      </c>
      <c r="AH192" s="185" t="str">
        <f>IFERROR(__xludf.DUMMYFUNCTION("if($C192="""","""",if(join("" - "",{iferror(filter('Student Groupings'!$A:$A,'Student Groupings'!$B:$B=$C192,'Student Groupings'!$H:$H=""Can't be Together""),"""");iferror(filter('Student Groupings'!$A:$A,'Student Groupings'!$E:$E=$C192,'Student Groupings"&amp;"'!$H:$H=""Can't be Together""),"""")})="" - "","""",join("" - "",{iferror(filter('Student Groupings'!$A:$A,'Student Groupings'!$B:$B=$C192,'Student Groupings'!$H:$H=""Can't be Together""),"""");iferror(filter('Student Groupings'!$A:$A,'Student Groupings'!"&amp;"$E:$E=$C192,'Student Groupings'!$H:$H=""Can't be Together""),"""")})))")," - 3")</f>
        <v> - 3</v>
      </c>
      <c r="AI192" s="185" t="str">
        <f>IFERROR(__xludf.DUMMYFUNCTION("if($C192="""","""",if(join("" - "",{iferror(filter('Student Groupings'!$A:$A,'Student Groupings'!$B:$B=$C192,'Student Groupings'!$H:$H=""Must be Together""),"""");iferror(filter('Student Groupings'!$A:$A,'Student Groupings'!$E:$E=$C192,'Student Groupings'"&amp;"!$H:$H=""Must be Together""),"""")})="" - "","""",join("" - "",{iferror(filter('Student Groupings'!$A:$A,'Student Groupings'!$B:$B=$C192,'Student Groupings'!$H:$H=""Must be Together""),"""");iferror(filter('Student Groupings'!$A:$A,'Student Groupings'!$E:"&amp;"$E=$C192,'Student Groupings'!$H:$H=""Must be Together""),"""")})))"),"")</f>
        <v/>
      </c>
    </row>
    <row r="193">
      <c r="A193" s="167">
        <v>10.0</v>
      </c>
      <c r="B193" s="168">
        <v>27058.0</v>
      </c>
      <c r="C193" s="144" t="s">
        <v>345</v>
      </c>
      <c r="D193" s="180" t="s">
        <v>37</v>
      </c>
      <c r="E193" s="181">
        <v>8.0</v>
      </c>
      <c r="F193" s="167" t="s">
        <v>57</v>
      </c>
      <c r="G193" s="167">
        <v>5.0</v>
      </c>
      <c r="H193" s="182" t="s">
        <v>76</v>
      </c>
      <c r="I193" s="167">
        <v>7.0</v>
      </c>
      <c r="J193" s="187"/>
      <c r="K193" s="167"/>
      <c r="L193" s="184" t="s">
        <v>95</v>
      </c>
      <c r="M193" s="167">
        <v>3.0</v>
      </c>
      <c r="N193" s="184" t="s">
        <v>130</v>
      </c>
      <c r="O193" s="167">
        <v>6.0</v>
      </c>
      <c r="P193" s="182" t="s">
        <v>100</v>
      </c>
      <c r="Q193" s="167">
        <v>2.0</v>
      </c>
      <c r="R193" s="184" t="s">
        <v>56</v>
      </c>
      <c r="S193" s="167">
        <v>1.0</v>
      </c>
      <c r="T193" s="188"/>
      <c r="U193" s="189"/>
      <c r="V193" s="184" t="s">
        <v>24</v>
      </c>
      <c r="W193" s="167">
        <v>4.0</v>
      </c>
      <c r="X193" s="142">
        <v>1.0</v>
      </c>
      <c r="Y193" s="142">
        <v>1.0</v>
      </c>
      <c r="Z193" s="142">
        <v>1.0</v>
      </c>
      <c r="AA193" s="142">
        <v>1.0</v>
      </c>
      <c r="AB193" s="142">
        <v>1.0</v>
      </c>
      <c r="AC193" s="142">
        <v>1.0</v>
      </c>
      <c r="AD193" s="142">
        <v>1.0</v>
      </c>
      <c r="AE193" s="142">
        <v>1.0</v>
      </c>
      <c r="AF193" s="142">
        <v>8.0</v>
      </c>
      <c r="AG193" s="142">
        <v>0.0</v>
      </c>
      <c r="AH193" s="185" t="str">
        <f>IFERROR(__xludf.DUMMYFUNCTION("if($C193="""","""",if(join("" - "",{iferror(filter('Student Groupings'!$A:$A,'Student Groupings'!$B:$B=$C193,'Student Groupings'!$H:$H=""Can't be Together""),"""");iferror(filter('Student Groupings'!$A:$A,'Student Groupings'!$E:$E=$C193,'Student Groupings"&amp;"'!$H:$H=""Can't be Together""),"""")})="" - "","""",join("" - "",{iferror(filter('Student Groupings'!$A:$A,'Student Groupings'!$B:$B=$C193,'Student Groupings'!$H:$H=""Can't be Together""),"""");iferror(filter('Student Groupings'!$A:$A,'Student Groupings'!"&amp;"$E:$E=$C193,'Student Groupings'!$H:$H=""Can't be Together""),"""")})))"),"")</f>
        <v/>
      </c>
      <c r="AI193" s="185" t="str">
        <f>IFERROR(__xludf.DUMMYFUNCTION("if($C193="""","""",if(join("" - "",{iferror(filter('Student Groupings'!$A:$A,'Student Groupings'!$B:$B=$C193,'Student Groupings'!$H:$H=""Must be Together""),"""");iferror(filter('Student Groupings'!$A:$A,'Student Groupings'!$E:$E=$C193,'Student Groupings'"&amp;"!$H:$H=""Must be Together""),"""")})="" - "","""",join("" - "",{iferror(filter('Student Groupings'!$A:$A,'Student Groupings'!$B:$B=$C193,'Student Groupings'!$H:$H=""Must be Together""),"""");iferror(filter('Student Groupings'!$A:$A,'Student Groupings'!$E:"&amp;"$E=$C193,'Student Groupings'!$H:$H=""Must be Together""),"""")})))"),"")</f>
        <v/>
      </c>
    </row>
    <row r="194">
      <c r="A194" s="167">
        <v>10.0</v>
      </c>
      <c r="B194" s="168">
        <v>28038.0</v>
      </c>
      <c r="C194" s="144" t="s">
        <v>346</v>
      </c>
      <c r="D194" s="180" t="s">
        <v>37</v>
      </c>
      <c r="E194" s="181">
        <v>2.0</v>
      </c>
      <c r="F194" s="167" t="s">
        <v>64</v>
      </c>
      <c r="G194" s="167">
        <v>3.0</v>
      </c>
      <c r="H194" s="182" t="s">
        <v>79</v>
      </c>
      <c r="I194" s="167">
        <v>1.0</v>
      </c>
      <c r="J194" s="187"/>
      <c r="K194" s="167"/>
      <c r="L194" s="184" t="s">
        <v>95</v>
      </c>
      <c r="M194" s="167">
        <v>5.0</v>
      </c>
      <c r="N194" s="184" t="s">
        <v>130</v>
      </c>
      <c r="O194" s="167">
        <v>4.0</v>
      </c>
      <c r="P194" s="184" t="s">
        <v>103</v>
      </c>
      <c r="Q194" s="167">
        <v>6.0</v>
      </c>
      <c r="R194" s="184" t="s">
        <v>56</v>
      </c>
      <c r="S194" s="167">
        <v>7.0</v>
      </c>
      <c r="T194" s="188"/>
      <c r="U194" s="189"/>
      <c r="V194" s="184" t="s">
        <v>24</v>
      </c>
      <c r="W194" s="167">
        <v>8.0</v>
      </c>
      <c r="X194" s="142">
        <v>1.0</v>
      </c>
      <c r="Y194" s="142">
        <v>1.0</v>
      </c>
      <c r="Z194" s="142">
        <v>1.0</v>
      </c>
      <c r="AA194" s="142">
        <v>1.0</v>
      </c>
      <c r="AB194" s="142">
        <v>1.0</v>
      </c>
      <c r="AC194" s="142">
        <v>1.0</v>
      </c>
      <c r="AD194" s="142">
        <v>1.0</v>
      </c>
      <c r="AE194" s="142">
        <v>1.0</v>
      </c>
      <c r="AF194" s="142">
        <v>8.0</v>
      </c>
      <c r="AG194" s="142">
        <v>0.0</v>
      </c>
      <c r="AH194" s="185" t="str">
        <f>IFERROR(__xludf.DUMMYFUNCTION("if($C194="""","""",if(join("" - "",{iferror(filter('Student Groupings'!$A:$A,'Student Groupings'!$B:$B=$C194,'Student Groupings'!$H:$H=""Can't be Together""),"""");iferror(filter('Student Groupings'!$A:$A,'Student Groupings'!$E:$E=$C194,'Student Groupings"&amp;"'!$H:$H=""Can't be Together""),"""")})="" - "","""",join("" - "",{iferror(filter('Student Groupings'!$A:$A,'Student Groupings'!$B:$B=$C194,'Student Groupings'!$H:$H=""Can't be Together""),"""");iferror(filter('Student Groupings'!$A:$A,'Student Groupings'!"&amp;"$E:$E=$C194,'Student Groupings'!$H:$H=""Can't be Together""),"""")})))"),"")</f>
        <v/>
      </c>
      <c r="AI194" s="185" t="str">
        <f>IFERROR(__xludf.DUMMYFUNCTION("if($C194="""","""",if(join("" - "",{iferror(filter('Student Groupings'!$A:$A,'Student Groupings'!$B:$B=$C194,'Student Groupings'!$H:$H=""Must be Together""),"""");iferror(filter('Student Groupings'!$A:$A,'Student Groupings'!$E:$E=$C194,'Student Groupings'"&amp;"!$H:$H=""Must be Together""),"""")})="" - "","""",join("" - "",{iferror(filter('Student Groupings'!$A:$A,'Student Groupings'!$B:$B=$C194,'Student Groupings'!$H:$H=""Must be Together""),"""");iferror(filter('Student Groupings'!$A:$A,'Student Groupings'!$E:"&amp;"$E=$C194,'Student Groupings'!$H:$H=""Must be Together""),"""")})))"),"")</f>
        <v/>
      </c>
    </row>
    <row r="195">
      <c r="A195" s="167">
        <v>10.0</v>
      </c>
      <c r="B195" s="168">
        <v>28094.0</v>
      </c>
      <c r="C195" s="144" t="s">
        <v>347</v>
      </c>
      <c r="D195" s="180" t="s">
        <v>37</v>
      </c>
      <c r="E195" s="181">
        <v>5.0</v>
      </c>
      <c r="F195" s="167" t="s">
        <v>64</v>
      </c>
      <c r="G195" s="167">
        <v>1.0</v>
      </c>
      <c r="H195" s="182" t="s">
        <v>76</v>
      </c>
      <c r="I195" s="167">
        <v>4.0</v>
      </c>
      <c r="J195" s="187"/>
      <c r="K195" s="167"/>
      <c r="L195" s="184" t="s">
        <v>95</v>
      </c>
      <c r="M195" s="167">
        <v>6.0</v>
      </c>
      <c r="N195" s="184" t="s">
        <v>130</v>
      </c>
      <c r="O195" s="167">
        <v>7.0</v>
      </c>
      <c r="P195" s="182" t="s">
        <v>100</v>
      </c>
      <c r="Q195" s="167">
        <v>2.0</v>
      </c>
      <c r="R195" s="184" t="s">
        <v>56</v>
      </c>
      <c r="S195" s="167">
        <v>8.0</v>
      </c>
      <c r="T195" s="188"/>
      <c r="U195" s="189"/>
      <c r="V195" s="184" t="s">
        <v>24</v>
      </c>
      <c r="W195" s="167">
        <v>3.0</v>
      </c>
      <c r="X195" s="142">
        <v>1.0</v>
      </c>
      <c r="Y195" s="142">
        <v>1.0</v>
      </c>
      <c r="Z195" s="142">
        <v>1.0</v>
      </c>
      <c r="AA195" s="142">
        <v>1.0</v>
      </c>
      <c r="AB195" s="142">
        <v>1.0</v>
      </c>
      <c r="AC195" s="142">
        <v>1.0</v>
      </c>
      <c r="AD195" s="142">
        <v>1.0</v>
      </c>
      <c r="AE195" s="142">
        <v>1.0</v>
      </c>
      <c r="AF195" s="142">
        <v>8.0</v>
      </c>
      <c r="AG195" s="142">
        <v>0.0</v>
      </c>
      <c r="AH195" s="185" t="str">
        <f>IFERROR(__xludf.DUMMYFUNCTION("if($C195="""","""",if(join("" - "",{iferror(filter('Student Groupings'!$A:$A,'Student Groupings'!$B:$B=$C195,'Student Groupings'!$H:$H=""Can't be Together""),"""");iferror(filter('Student Groupings'!$A:$A,'Student Groupings'!$E:$E=$C195,'Student Groupings"&amp;"'!$H:$H=""Can't be Together""),"""")})="" - "","""",join("" - "",{iferror(filter('Student Groupings'!$A:$A,'Student Groupings'!$B:$B=$C195,'Student Groupings'!$H:$H=""Can't be Together""),"""");iferror(filter('Student Groupings'!$A:$A,'Student Groupings'!"&amp;"$E:$E=$C195,'Student Groupings'!$H:$H=""Can't be Together""),"""")})))"),"")</f>
        <v/>
      </c>
      <c r="AI195" s="185" t="str">
        <f>IFERROR(__xludf.DUMMYFUNCTION("if($C195="""","""",if(join("" - "",{iferror(filter('Student Groupings'!$A:$A,'Student Groupings'!$B:$B=$C195,'Student Groupings'!$H:$H=""Must be Together""),"""");iferror(filter('Student Groupings'!$A:$A,'Student Groupings'!$E:$E=$C195,'Student Groupings'"&amp;"!$H:$H=""Must be Together""),"""")})="" - "","""",join("" - "",{iferror(filter('Student Groupings'!$A:$A,'Student Groupings'!$B:$B=$C195,'Student Groupings'!$H:$H=""Must be Together""),"""");iferror(filter('Student Groupings'!$A:$A,'Student Groupings'!$E:"&amp;"$E=$C195,'Student Groupings'!$H:$H=""Must be Together""),"""")})))"),"")</f>
        <v/>
      </c>
    </row>
    <row r="196">
      <c r="A196" s="167">
        <v>10.0</v>
      </c>
      <c r="B196" s="168">
        <v>28041.0</v>
      </c>
      <c r="C196" s="144" t="s">
        <v>348</v>
      </c>
      <c r="D196" s="180" t="s">
        <v>37</v>
      </c>
      <c r="E196" s="181">
        <v>8.0</v>
      </c>
      <c r="F196" s="167" t="s">
        <v>64</v>
      </c>
      <c r="G196" s="167">
        <v>4.0</v>
      </c>
      <c r="H196" s="182" t="s">
        <v>79</v>
      </c>
      <c r="I196" s="167">
        <v>5.0</v>
      </c>
      <c r="J196" s="187"/>
      <c r="K196" s="167"/>
      <c r="L196" s="184" t="s">
        <v>95</v>
      </c>
      <c r="M196" s="167">
        <v>6.0</v>
      </c>
      <c r="N196" s="184" t="s">
        <v>130</v>
      </c>
      <c r="O196" s="167">
        <v>1.0</v>
      </c>
      <c r="P196" s="184" t="s">
        <v>103</v>
      </c>
      <c r="Q196" s="167">
        <v>2.0</v>
      </c>
      <c r="R196" s="184" t="s">
        <v>56</v>
      </c>
      <c r="S196" s="167">
        <v>3.0</v>
      </c>
      <c r="T196" s="188"/>
      <c r="U196" s="167"/>
      <c r="V196" s="184" t="s">
        <v>24</v>
      </c>
      <c r="W196" s="167">
        <v>7.0</v>
      </c>
      <c r="X196" s="142">
        <v>1.0</v>
      </c>
      <c r="Y196" s="142">
        <v>1.0</v>
      </c>
      <c r="Z196" s="142">
        <v>1.0</v>
      </c>
      <c r="AA196" s="142">
        <v>1.0</v>
      </c>
      <c r="AB196" s="142">
        <v>1.0</v>
      </c>
      <c r="AC196" s="142">
        <v>1.0</v>
      </c>
      <c r="AD196" s="142">
        <v>1.0</v>
      </c>
      <c r="AE196" s="142">
        <v>1.0</v>
      </c>
      <c r="AF196" s="142">
        <v>8.0</v>
      </c>
      <c r="AG196" s="142">
        <v>0.0</v>
      </c>
      <c r="AH196" s="185" t="str">
        <f>IFERROR(__xludf.DUMMYFUNCTION("if($C196="""","""",if(join("" - "",{iferror(filter('Student Groupings'!$A:$A,'Student Groupings'!$B:$B=$C196,'Student Groupings'!$H:$H=""Can't be Together""),"""");iferror(filter('Student Groupings'!$A:$A,'Student Groupings'!$E:$E=$C196,'Student Groupings"&amp;"'!$H:$H=""Can't be Together""),"""")})="" - "","""",join("" - "",{iferror(filter('Student Groupings'!$A:$A,'Student Groupings'!$B:$B=$C196,'Student Groupings'!$H:$H=""Can't be Together""),"""");iferror(filter('Student Groupings'!$A:$A,'Student Groupings'!"&amp;"$E:$E=$C196,'Student Groupings'!$H:$H=""Can't be Together""),"""")})))"),"")</f>
        <v/>
      </c>
      <c r="AI196" s="185" t="str">
        <f>IFERROR(__xludf.DUMMYFUNCTION("if($C196="""","""",if(join("" - "",{iferror(filter('Student Groupings'!$A:$A,'Student Groupings'!$B:$B=$C196,'Student Groupings'!$H:$H=""Must be Together""),"""");iferror(filter('Student Groupings'!$A:$A,'Student Groupings'!$E:$E=$C196,'Student Groupings'"&amp;"!$H:$H=""Must be Together""),"""")})="" - "","""",join("" - "",{iferror(filter('Student Groupings'!$A:$A,'Student Groupings'!$B:$B=$C196,'Student Groupings'!$H:$H=""Must be Together""),"""");iferror(filter('Student Groupings'!$A:$A,'Student Groupings'!$E:"&amp;"$E=$C196,'Student Groupings'!$H:$H=""Must be Together""),"""")})))"),"")</f>
        <v/>
      </c>
    </row>
    <row r="197">
      <c r="A197" s="167">
        <v>10.0</v>
      </c>
      <c r="B197" s="168">
        <v>28112.0</v>
      </c>
      <c r="C197" s="144" t="s">
        <v>349</v>
      </c>
      <c r="D197" s="180" t="s">
        <v>48</v>
      </c>
      <c r="E197" s="181">
        <v>1.0</v>
      </c>
      <c r="F197" s="167" t="s">
        <v>64</v>
      </c>
      <c r="G197" s="167">
        <v>7.0</v>
      </c>
      <c r="H197" s="182" t="s">
        <v>81</v>
      </c>
      <c r="I197" s="167">
        <v>2.0</v>
      </c>
      <c r="J197" s="187"/>
      <c r="K197" s="167"/>
      <c r="L197" s="184" t="s">
        <v>95</v>
      </c>
      <c r="M197" s="167">
        <v>8.0</v>
      </c>
      <c r="N197" s="184" t="s">
        <v>130</v>
      </c>
      <c r="O197" s="167">
        <v>6.0</v>
      </c>
      <c r="P197" s="184" t="s">
        <v>103</v>
      </c>
      <c r="Q197" s="167">
        <v>4.0</v>
      </c>
      <c r="R197" s="184" t="s">
        <v>56</v>
      </c>
      <c r="S197" s="167">
        <v>5.0</v>
      </c>
      <c r="T197" s="188"/>
      <c r="U197" s="142"/>
      <c r="V197" s="184" t="s">
        <v>27</v>
      </c>
      <c r="W197" s="180">
        <v>3.0</v>
      </c>
      <c r="X197" s="142">
        <v>1.0</v>
      </c>
      <c r="Y197" s="142">
        <v>1.0</v>
      </c>
      <c r="Z197" s="142">
        <v>1.0</v>
      </c>
      <c r="AA197" s="142">
        <v>1.0</v>
      </c>
      <c r="AB197" s="142">
        <v>1.0</v>
      </c>
      <c r="AC197" s="142">
        <v>1.0</v>
      </c>
      <c r="AD197" s="142">
        <v>1.0</v>
      </c>
      <c r="AE197" s="142">
        <v>1.0</v>
      </c>
      <c r="AF197" s="142">
        <v>8.0</v>
      </c>
      <c r="AG197" s="142">
        <v>0.0</v>
      </c>
      <c r="AH197" s="185" t="str">
        <f>IFERROR(__xludf.DUMMYFUNCTION("if($C197="""","""",if(join("" - "",{iferror(filter('Student Groupings'!$A:$A,'Student Groupings'!$B:$B=$C197,'Student Groupings'!$H:$H=""Can't be Together""),"""");iferror(filter('Student Groupings'!$A:$A,'Student Groupings'!$E:$E=$C197,'Student Groupings"&amp;"'!$H:$H=""Can't be Together""),"""")})="" - "","""",join("" - "",{iferror(filter('Student Groupings'!$A:$A,'Student Groupings'!$B:$B=$C197,'Student Groupings'!$H:$H=""Can't be Together""),"""");iferror(filter('Student Groupings'!$A:$A,'Student Groupings'!"&amp;"$E:$E=$C197,'Student Groupings'!$H:$H=""Can't be Together""),"""")})))"),"")</f>
        <v/>
      </c>
      <c r="AI197" s="185" t="str">
        <f>IFERROR(__xludf.DUMMYFUNCTION("if($C197="""","""",if(join("" - "",{iferror(filter('Student Groupings'!$A:$A,'Student Groupings'!$B:$B=$C197,'Student Groupings'!$H:$H=""Must be Together""),"""");iferror(filter('Student Groupings'!$A:$A,'Student Groupings'!$E:$E=$C197,'Student Groupings'"&amp;"!$H:$H=""Must be Together""),"""")})="" - "","""",join("" - "",{iferror(filter('Student Groupings'!$A:$A,'Student Groupings'!$B:$B=$C197,'Student Groupings'!$H:$H=""Must be Together""),"""");iferror(filter('Student Groupings'!$A:$A,'Student Groupings'!$E:"&amp;"$E=$C197,'Student Groupings'!$H:$H=""Must be Together""),"""")})))"),"")</f>
        <v/>
      </c>
    </row>
    <row r="198">
      <c r="A198" s="167">
        <v>10.0</v>
      </c>
      <c r="B198" s="168">
        <v>28156.0</v>
      </c>
      <c r="C198" s="144" t="s">
        <v>350</v>
      </c>
      <c r="D198" s="180" t="s">
        <v>48</v>
      </c>
      <c r="E198" s="181">
        <v>5.0</v>
      </c>
      <c r="F198" s="167" t="s">
        <v>64</v>
      </c>
      <c r="G198" s="167">
        <v>3.0</v>
      </c>
      <c r="H198" s="182" t="s">
        <v>79</v>
      </c>
      <c r="I198" s="167">
        <v>1.0</v>
      </c>
      <c r="J198" s="187"/>
      <c r="K198" s="167"/>
      <c r="L198" s="184" t="s">
        <v>95</v>
      </c>
      <c r="M198" s="167">
        <v>8.0</v>
      </c>
      <c r="N198" s="184" t="s">
        <v>130</v>
      </c>
      <c r="O198" s="167">
        <v>7.0</v>
      </c>
      <c r="P198" s="184" t="s">
        <v>103</v>
      </c>
      <c r="Q198" s="167">
        <v>6.0</v>
      </c>
      <c r="R198" s="184" t="s">
        <v>56</v>
      </c>
      <c r="S198" s="167">
        <v>2.0</v>
      </c>
      <c r="T198" s="188"/>
      <c r="U198" s="189"/>
      <c r="V198" s="204" t="s">
        <v>121</v>
      </c>
      <c r="W198" s="167">
        <v>4.0</v>
      </c>
      <c r="X198" s="142">
        <v>1.0</v>
      </c>
      <c r="Y198" s="142">
        <v>1.0</v>
      </c>
      <c r="Z198" s="142">
        <v>1.0</v>
      </c>
      <c r="AA198" s="142">
        <v>1.0</v>
      </c>
      <c r="AB198" s="142">
        <v>1.0</v>
      </c>
      <c r="AC198" s="142">
        <v>1.0</v>
      </c>
      <c r="AD198" s="142">
        <v>1.0</v>
      </c>
      <c r="AE198" s="142">
        <v>1.0</v>
      </c>
      <c r="AF198" s="142">
        <v>8.0</v>
      </c>
      <c r="AG198" s="142">
        <v>0.0</v>
      </c>
      <c r="AH198" s="185" t="str">
        <f>IFERROR(__xludf.DUMMYFUNCTION("if($C198="""","""",if(join("" - "",{iferror(filter('Student Groupings'!$A:$A,'Student Groupings'!$B:$B=$C198,'Student Groupings'!$H:$H=""Can't be Together""),"""");iferror(filter('Student Groupings'!$A:$A,'Student Groupings'!$E:$E=$C198,'Student Groupings"&amp;"'!$H:$H=""Can't be Together""),"""")})="" - "","""",join("" - "",{iferror(filter('Student Groupings'!$A:$A,'Student Groupings'!$B:$B=$C198,'Student Groupings'!$H:$H=""Can't be Together""),"""");iferror(filter('Student Groupings'!$A:$A,'Student Groupings'!"&amp;"$E:$E=$C198,'Student Groupings'!$H:$H=""Can't be Together""),"""")})))"),"")</f>
        <v/>
      </c>
      <c r="AI198" s="185" t="str">
        <f>IFERROR(__xludf.DUMMYFUNCTION("if($C198="""","""",if(join("" - "",{iferror(filter('Student Groupings'!$A:$A,'Student Groupings'!$B:$B=$C198,'Student Groupings'!$H:$H=""Must be Together""),"""");iferror(filter('Student Groupings'!$A:$A,'Student Groupings'!$E:$E=$C198,'Student Groupings'"&amp;"!$H:$H=""Must be Together""),"""")})="" - "","""",join("" - "",{iferror(filter('Student Groupings'!$A:$A,'Student Groupings'!$B:$B=$C198,'Student Groupings'!$H:$H=""Must be Together""),"""");iferror(filter('Student Groupings'!$A:$A,'Student Groupings'!$E:"&amp;"$E=$C198,'Student Groupings'!$H:$H=""Must be Together""),"""")})))"),"")</f>
        <v/>
      </c>
    </row>
    <row r="199">
      <c r="A199" s="167">
        <v>10.0</v>
      </c>
      <c r="B199" s="168">
        <v>27009.0</v>
      </c>
      <c r="C199" s="144" t="s">
        <v>351</v>
      </c>
      <c r="D199" s="180" t="s">
        <v>37</v>
      </c>
      <c r="E199" s="181">
        <v>5.0</v>
      </c>
      <c r="F199" s="167" t="s">
        <v>64</v>
      </c>
      <c r="G199" s="167">
        <v>1.0</v>
      </c>
      <c r="H199" s="182" t="s">
        <v>76</v>
      </c>
      <c r="I199" s="167">
        <v>4.0</v>
      </c>
      <c r="J199" s="187"/>
      <c r="K199" s="167"/>
      <c r="L199" s="184" t="s">
        <v>95</v>
      </c>
      <c r="M199" s="167">
        <v>8.0</v>
      </c>
      <c r="N199" s="184" t="s">
        <v>130</v>
      </c>
      <c r="O199" s="167">
        <v>6.0</v>
      </c>
      <c r="P199" s="184" t="s">
        <v>103</v>
      </c>
      <c r="Q199" s="167">
        <v>3.0</v>
      </c>
      <c r="R199" s="184" t="s">
        <v>56</v>
      </c>
      <c r="S199" s="167">
        <v>2.0</v>
      </c>
      <c r="T199" s="188"/>
      <c r="U199" s="167"/>
      <c r="V199" s="184" t="s">
        <v>34</v>
      </c>
      <c r="W199" s="167">
        <v>7.0</v>
      </c>
      <c r="X199" s="142">
        <v>1.0</v>
      </c>
      <c r="Y199" s="142">
        <v>1.0</v>
      </c>
      <c r="Z199" s="142">
        <v>1.0</v>
      </c>
      <c r="AA199" s="142">
        <v>1.0</v>
      </c>
      <c r="AB199" s="142">
        <v>1.0</v>
      </c>
      <c r="AC199" s="142">
        <v>1.0</v>
      </c>
      <c r="AD199" s="142">
        <v>1.0</v>
      </c>
      <c r="AE199" s="142">
        <v>1.0</v>
      </c>
      <c r="AF199" s="142">
        <v>8.0</v>
      </c>
      <c r="AG199" s="142">
        <v>0.0</v>
      </c>
      <c r="AH199" s="185" t="str">
        <f>IFERROR(__xludf.DUMMYFUNCTION("if($C199="""","""",if(join("" - "",{iferror(filter('Student Groupings'!$A:$A,'Student Groupings'!$B:$B=$C199,'Student Groupings'!$H:$H=""Can't be Together""),"""");iferror(filter('Student Groupings'!$A:$A,'Student Groupings'!$E:$E=$C199,'Student Groupings"&amp;"'!$H:$H=""Can't be Together""),"""")})="" - "","""",join("" - "",{iferror(filter('Student Groupings'!$A:$A,'Student Groupings'!$B:$B=$C199,'Student Groupings'!$H:$H=""Can't be Together""),"""");iferror(filter('Student Groupings'!$A:$A,'Student Groupings'!"&amp;"$E:$E=$C199,'Student Groupings'!$H:$H=""Can't be Together""),"""")})))"),"")</f>
        <v/>
      </c>
      <c r="AI199" s="185" t="str">
        <f>IFERROR(__xludf.DUMMYFUNCTION("if($C199="""","""",if(join("" - "",{iferror(filter('Student Groupings'!$A:$A,'Student Groupings'!$B:$B=$C199,'Student Groupings'!$H:$H=""Must be Together""),"""");iferror(filter('Student Groupings'!$A:$A,'Student Groupings'!$E:$E=$C199,'Student Groupings'"&amp;"!$H:$H=""Must be Together""),"""")})="" - "","""",join("" - "",{iferror(filter('Student Groupings'!$A:$A,'Student Groupings'!$B:$B=$C199,'Student Groupings'!$H:$H=""Must be Together""),"""");iferror(filter('Student Groupings'!$A:$A,'Student Groupings'!$E:"&amp;"$E=$C199,'Student Groupings'!$H:$H=""Must be Together""),"""")})))"),"")</f>
        <v/>
      </c>
    </row>
    <row r="200">
      <c r="A200" s="167">
        <v>10.0</v>
      </c>
      <c r="B200" s="168">
        <v>28079.0</v>
      </c>
      <c r="C200" s="144" t="s">
        <v>352</v>
      </c>
      <c r="D200" s="180" t="s">
        <v>48</v>
      </c>
      <c r="E200" s="181">
        <v>1.0</v>
      </c>
      <c r="F200" s="167" t="s">
        <v>64</v>
      </c>
      <c r="G200" s="167">
        <v>6.0</v>
      </c>
      <c r="H200" s="182" t="s">
        <v>81</v>
      </c>
      <c r="I200" s="167">
        <v>3.0</v>
      </c>
      <c r="J200" s="187"/>
      <c r="K200" s="167"/>
      <c r="L200" s="184" t="s">
        <v>95</v>
      </c>
      <c r="M200" s="167">
        <v>5.0</v>
      </c>
      <c r="N200" s="184" t="s">
        <v>130</v>
      </c>
      <c r="O200" s="167">
        <v>2.0</v>
      </c>
      <c r="P200" s="182" t="s">
        <v>100</v>
      </c>
      <c r="Q200" s="167">
        <v>7.0</v>
      </c>
      <c r="R200" s="184" t="s">
        <v>56</v>
      </c>
      <c r="S200" s="167">
        <v>4.0</v>
      </c>
      <c r="T200" s="188"/>
      <c r="U200" s="142"/>
      <c r="V200" s="184" t="s">
        <v>86</v>
      </c>
      <c r="W200" s="167">
        <v>8.0</v>
      </c>
      <c r="X200" s="142">
        <v>1.0</v>
      </c>
      <c r="Y200" s="142">
        <v>1.0</v>
      </c>
      <c r="Z200" s="142">
        <v>1.0</v>
      </c>
      <c r="AA200" s="142">
        <v>1.0</v>
      </c>
      <c r="AB200" s="142">
        <v>1.0</v>
      </c>
      <c r="AC200" s="142">
        <v>1.0</v>
      </c>
      <c r="AD200" s="142">
        <v>1.0</v>
      </c>
      <c r="AE200" s="142">
        <v>1.0</v>
      </c>
      <c r="AF200" s="142">
        <v>8.0</v>
      </c>
      <c r="AG200" s="142">
        <v>0.0</v>
      </c>
      <c r="AH200" s="185" t="str">
        <f>IFERROR(__xludf.DUMMYFUNCTION("if($C200="""","""",if(join("" - "",{iferror(filter('Student Groupings'!$A:$A,'Student Groupings'!$B:$B=$C200,'Student Groupings'!$H:$H=""Can't be Together""),"""");iferror(filter('Student Groupings'!$A:$A,'Student Groupings'!$E:$E=$C200,'Student Groupings"&amp;"'!$H:$H=""Can't be Together""),"""")})="" - "","""",join("" - "",{iferror(filter('Student Groupings'!$A:$A,'Student Groupings'!$B:$B=$C200,'Student Groupings'!$H:$H=""Can't be Together""),"""");iferror(filter('Student Groupings'!$A:$A,'Student Groupings'!"&amp;"$E:$E=$C200,'Student Groupings'!$H:$H=""Can't be Together""),"""")})))"),"")</f>
        <v/>
      </c>
      <c r="AI200" s="185" t="str">
        <f>IFERROR(__xludf.DUMMYFUNCTION("if($C200="""","""",if(join("" - "",{iferror(filter('Student Groupings'!$A:$A,'Student Groupings'!$B:$B=$C200,'Student Groupings'!$H:$H=""Must be Together""),"""");iferror(filter('Student Groupings'!$A:$A,'Student Groupings'!$E:$E=$C200,'Student Groupings'"&amp;"!$H:$H=""Must be Together""),"""")})="" - "","""",join("" - "",{iferror(filter('Student Groupings'!$A:$A,'Student Groupings'!$B:$B=$C200,'Student Groupings'!$H:$H=""Must be Together""),"""");iferror(filter('Student Groupings'!$A:$A,'Student Groupings'!$E:"&amp;"$E=$C200,'Student Groupings'!$H:$H=""Must be Together""),"""")})))"),"")</f>
        <v/>
      </c>
    </row>
    <row r="201">
      <c r="A201" s="167">
        <v>10.0</v>
      </c>
      <c r="B201" s="168">
        <v>28062.0</v>
      </c>
      <c r="C201" s="144" t="s">
        <v>353</v>
      </c>
      <c r="D201" s="180" t="s">
        <v>48</v>
      </c>
      <c r="E201" s="181">
        <v>6.0</v>
      </c>
      <c r="F201" s="167" t="s">
        <v>64</v>
      </c>
      <c r="G201" s="167">
        <v>4.0</v>
      </c>
      <c r="H201" s="182" t="s">
        <v>79</v>
      </c>
      <c r="I201" s="167">
        <v>8.0</v>
      </c>
      <c r="J201" s="187"/>
      <c r="K201" s="167"/>
      <c r="L201" s="184" t="s">
        <v>95</v>
      </c>
      <c r="M201" s="167">
        <v>7.0</v>
      </c>
      <c r="N201" s="184" t="s">
        <v>130</v>
      </c>
      <c r="O201" s="167">
        <v>1.0</v>
      </c>
      <c r="P201" s="184" t="s">
        <v>103</v>
      </c>
      <c r="Q201" s="167">
        <v>3.0</v>
      </c>
      <c r="R201" s="184" t="s">
        <v>56</v>
      </c>
      <c r="S201" s="167">
        <v>5.0</v>
      </c>
      <c r="T201" s="188"/>
      <c r="U201" s="142"/>
      <c r="V201" s="184" t="s">
        <v>41</v>
      </c>
      <c r="W201" s="167">
        <v>2.0</v>
      </c>
      <c r="X201" s="142">
        <v>1.0</v>
      </c>
      <c r="Y201" s="142">
        <v>1.0</v>
      </c>
      <c r="Z201" s="142">
        <v>1.0</v>
      </c>
      <c r="AA201" s="142">
        <v>1.0</v>
      </c>
      <c r="AB201" s="142">
        <v>1.0</v>
      </c>
      <c r="AC201" s="142">
        <v>1.0</v>
      </c>
      <c r="AD201" s="142">
        <v>1.0</v>
      </c>
      <c r="AE201" s="142">
        <v>1.0</v>
      </c>
      <c r="AF201" s="142">
        <v>8.0</v>
      </c>
      <c r="AG201" s="142">
        <v>0.0</v>
      </c>
      <c r="AH201" s="185" t="str">
        <f>IFERROR(__xludf.DUMMYFUNCTION("if($C201="""","""",if(join("" - "",{iferror(filter('Student Groupings'!$A:$A,'Student Groupings'!$B:$B=$C201,'Student Groupings'!$H:$H=""Can't be Together""),"""");iferror(filter('Student Groupings'!$A:$A,'Student Groupings'!$E:$E=$C201,'Student Groupings"&amp;"'!$H:$H=""Can't be Together""),"""")})="" - "","""",join("" - "",{iferror(filter('Student Groupings'!$A:$A,'Student Groupings'!$B:$B=$C201,'Student Groupings'!$H:$H=""Can't be Together""),"""");iferror(filter('Student Groupings'!$A:$A,'Student Groupings'!"&amp;"$E:$E=$C201,'Student Groupings'!$H:$H=""Can't be Together""),"""")})))")," - 1")</f>
        <v> - 1</v>
      </c>
      <c r="AI201" s="185" t="str">
        <f>IFERROR(__xludf.DUMMYFUNCTION("if($C201="""","""",if(join("" - "",{iferror(filter('Student Groupings'!$A:$A,'Student Groupings'!$B:$B=$C201,'Student Groupings'!$H:$H=""Must be Together""),"""");iferror(filter('Student Groupings'!$A:$A,'Student Groupings'!$E:$E=$C201,'Student Groupings'"&amp;"!$H:$H=""Must be Together""),"""")})="" - "","""",join("" - "",{iferror(filter('Student Groupings'!$A:$A,'Student Groupings'!$B:$B=$C201,'Student Groupings'!$H:$H=""Must be Together""),"""");iferror(filter('Student Groupings'!$A:$A,'Student Groupings'!$E:"&amp;"$E=$C201,'Student Groupings'!$H:$H=""Must be Together""),"""")})))"),"101 - 102 - ")</f>
        <v>101 - 102 - </v>
      </c>
    </row>
    <row r="202">
      <c r="A202" s="167">
        <v>10.0</v>
      </c>
      <c r="B202" s="168">
        <v>28118.0</v>
      </c>
      <c r="C202" s="144" t="s">
        <v>354</v>
      </c>
      <c r="D202" s="180" t="s">
        <v>48</v>
      </c>
      <c r="E202" s="181">
        <v>1.0</v>
      </c>
      <c r="F202" s="167" t="s">
        <v>64</v>
      </c>
      <c r="G202" s="167">
        <v>7.0</v>
      </c>
      <c r="H202" s="182" t="s">
        <v>81</v>
      </c>
      <c r="I202" s="167">
        <v>3.0</v>
      </c>
      <c r="J202" s="183"/>
      <c r="K202" s="167"/>
      <c r="L202" s="184" t="s">
        <v>95</v>
      </c>
      <c r="M202" s="167">
        <v>6.0</v>
      </c>
      <c r="N202" s="184" t="s">
        <v>130</v>
      </c>
      <c r="O202" s="167">
        <v>5.0</v>
      </c>
      <c r="P202" s="184" t="s">
        <v>103</v>
      </c>
      <c r="Q202" s="167">
        <v>4.0</v>
      </c>
      <c r="R202" s="184" t="s">
        <v>56</v>
      </c>
      <c r="S202" s="167">
        <v>2.0</v>
      </c>
      <c r="T202" s="188"/>
      <c r="U202" s="167"/>
      <c r="V202" s="184" t="s">
        <v>86</v>
      </c>
      <c r="W202" s="167">
        <v>8.0</v>
      </c>
      <c r="X202" s="142">
        <v>1.0</v>
      </c>
      <c r="Y202" s="142">
        <v>1.0</v>
      </c>
      <c r="Z202" s="142">
        <v>1.0</v>
      </c>
      <c r="AA202" s="142">
        <v>1.0</v>
      </c>
      <c r="AB202" s="142">
        <v>1.0</v>
      </c>
      <c r="AC202" s="142">
        <v>1.0</v>
      </c>
      <c r="AD202" s="142">
        <v>1.0</v>
      </c>
      <c r="AE202" s="142">
        <v>1.0</v>
      </c>
      <c r="AF202" s="142">
        <v>8.0</v>
      </c>
      <c r="AG202" s="142">
        <v>0.0</v>
      </c>
      <c r="AH202" s="185" t="str">
        <f>IFERROR(__xludf.DUMMYFUNCTION("if($C202="""","""",if(join("" - "",{iferror(filter('Student Groupings'!$A:$A,'Student Groupings'!$B:$B=$C202,'Student Groupings'!$H:$H=""Can't be Together""),"""");iferror(filter('Student Groupings'!$A:$A,'Student Groupings'!$E:$E=$C202,'Student Groupings"&amp;"'!$H:$H=""Can't be Together""),"""")})="" - "","""",join("" - "",{iferror(filter('Student Groupings'!$A:$A,'Student Groupings'!$B:$B=$C202,'Student Groupings'!$H:$H=""Can't be Together""),"""");iferror(filter('Student Groupings'!$A:$A,'Student Groupings'!"&amp;"$E:$E=$C202,'Student Groupings'!$H:$H=""Can't be Together""),"""")})))"),"")</f>
        <v/>
      </c>
      <c r="AI202" s="185" t="str">
        <f>IFERROR(__xludf.DUMMYFUNCTION("if($C202="""","""",if(join("" - "",{iferror(filter('Student Groupings'!$A:$A,'Student Groupings'!$B:$B=$C202,'Student Groupings'!$H:$H=""Must be Together""),"""");iferror(filter('Student Groupings'!$A:$A,'Student Groupings'!$E:$E=$C202,'Student Groupings'"&amp;"!$H:$H=""Must be Together""),"""")})="" - "","""",join("" - "",{iferror(filter('Student Groupings'!$A:$A,'Student Groupings'!$B:$B=$C202,'Student Groupings'!$H:$H=""Must be Together""),"""");iferror(filter('Student Groupings'!$A:$A,'Student Groupings'!$E:"&amp;"$E=$C202,'Student Groupings'!$H:$H=""Must be Together""),"""")})))"),"")</f>
        <v/>
      </c>
    </row>
    <row r="203">
      <c r="A203" s="167">
        <v>10.0</v>
      </c>
      <c r="B203" s="168">
        <v>28030.0</v>
      </c>
      <c r="C203" s="144" t="s">
        <v>355</v>
      </c>
      <c r="D203" s="180" t="s">
        <v>48</v>
      </c>
      <c r="E203" s="181">
        <v>5.0</v>
      </c>
      <c r="F203" s="167" t="s">
        <v>64</v>
      </c>
      <c r="G203" s="167">
        <v>7.0</v>
      </c>
      <c r="H203" s="182" t="s">
        <v>79</v>
      </c>
      <c r="I203" s="167">
        <v>1.0</v>
      </c>
      <c r="J203" s="187"/>
      <c r="K203" s="167"/>
      <c r="L203" s="184" t="s">
        <v>95</v>
      </c>
      <c r="M203" s="167">
        <v>3.0</v>
      </c>
      <c r="N203" s="184" t="s">
        <v>130</v>
      </c>
      <c r="O203" s="167">
        <v>4.0</v>
      </c>
      <c r="P203" s="184" t="s">
        <v>103</v>
      </c>
      <c r="Q203" s="167">
        <v>6.0</v>
      </c>
      <c r="R203" s="184" t="s">
        <v>56</v>
      </c>
      <c r="S203" s="167">
        <v>2.0</v>
      </c>
      <c r="T203" s="188"/>
      <c r="U203" s="167"/>
      <c r="V203" s="184" t="s">
        <v>86</v>
      </c>
      <c r="W203" s="180">
        <v>8.0</v>
      </c>
      <c r="X203" s="142">
        <v>1.0</v>
      </c>
      <c r="Y203" s="142">
        <v>1.0</v>
      </c>
      <c r="Z203" s="142">
        <v>1.0</v>
      </c>
      <c r="AA203" s="142">
        <v>1.0</v>
      </c>
      <c r="AB203" s="142">
        <v>1.0</v>
      </c>
      <c r="AC203" s="142">
        <v>1.0</v>
      </c>
      <c r="AD203" s="142">
        <v>1.0</v>
      </c>
      <c r="AE203" s="142">
        <v>1.0</v>
      </c>
      <c r="AF203" s="142">
        <v>8.0</v>
      </c>
      <c r="AG203" s="142">
        <v>0.0</v>
      </c>
      <c r="AH203" s="185" t="str">
        <f>IFERROR(__xludf.DUMMYFUNCTION("if($C203="""","""",if(join("" - "",{iferror(filter('Student Groupings'!$A:$A,'Student Groupings'!$B:$B=$C203,'Student Groupings'!$H:$H=""Can't be Together""),"""");iferror(filter('Student Groupings'!$A:$A,'Student Groupings'!$E:$E=$C203,'Student Groupings"&amp;"'!$H:$H=""Can't be Together""),"""")})="" - "","""",join("" - "",{iferror(filter('Student Groupings'!$A:$A,'Student Groupings'!$B:$B=$C203,'Student Groupings'!$H:$H=""Can't be Together""),"""");iferror(filter('Student Groupings'!$A:$A,'Student Groupings'!"&amp;"$E:$E=$C203,'Student Groupings'!$H:$H=""Can't be Together""),"""")})))"),"73 - ")</f>
        <v>73 - </v>
      </c>
      <c r="AI203" s="185" t="str">
        <f>IFERROR(__xludf.DUMMYFUNCTION("if($C203="""","""",if(join("" - "",{iferror(filter('Student Groupings'!$A:$A,'Student Groupings'!$B:$B=$C203,'Student Groupings'!$H:$H=""Must be Together""),"""");iferror(filter('Student Groupings'!$A:$A,'Student Groupings'!$E:$E=$C203,'Student Groupings'"&amp;"!$H:$H=""Must be Together""),"""")})="" - "","""",join("" - "",{iferror(filter('Student Groupings'!$A:$A,'Student Groupings'!$B:$B=$C203,'Student Groupings'!$H:$H=""Must be Together""),"""");iferror(filter('Student Groupings'!$A:$A,'Student Groupings'!$E:"&amp;"$E=$C203,'Student Groupings'!$H:$H=""Must be Together""),"""")})))"),"74 - 79 - 80 - ")</f>
        <v>74 - 79 - 80 - </v>
      </c>
    </row>
    <row r="204">
      <c r="A204" s="167">
        <v>10.0</v>
      </c>
      <c r="B204" s="168">
        <v>28107.0</v>
      </c>
      <c r="C204" s="144" t="s">
        <v>356</v>
      </c>
      <c r="D204" s="180" t="s">
        <v>37</v>
      </c>
      <c r="E204" s="181">
        <v>8.0</v>
      </c>
      <c r="F204" s="180" t="s">
        <v>57</v>
      </c>
      <c r="G204" s="180">
        <v>5.0</v>
      </c>
      <c r="H204" s="182" t="s">
        <v>79</v>
      </c>
      <c r="I204" s="180">
        <v>6.0</v>
      </c>
      <c r="J204" s="187"/>
      <c r="K204" s="180"/>
      <c r="L204" s="184" t="s">
        <v>95</v>
      </c>
      <c r="M204" s="180">
        <v>3.0</v>
      </c>
      <c r="N204" s="184" t="s">
        <v>130</v>
      </c>
      <c r="O204" s="167">
        <v>1.0</v>
      </c>
      <c r="P204" s="182" t="s">
        <v>100</v>
      </c>
      <c r="Q204" s="167">
        <v>4.0</v>
      </c>
      <c r="R204" s="184" t="s">
        <v>56</v>
      </c>
      <c r="S204" s="167">
        <v>2.0</v>
      </c>
      <c r="T204" s="188"/>
      <c r="U204" s="167"/>
      <c r="V204" s="184" t="s">
        <v>34</v>
      </c>
      <c r="W204" s="180">
        <v>7.0</v>
      </c>
      <c r="X204" s="142">
        <v>1.0</v>
      </c>
      <c r="Y204" s="142">
        <v>1.0</v>
      </c>
      <c r="Z204" s="142">
        <v>1.0</v>
      </c>
      <c r="AA204" s="142">
        <v>1.0</v>
      </c>
      <c r="AB204" s="142">
        <v>1.0</v>
      </c>
      <c r="AC204" s="142">
        <v>1.0</v>
      </c>
      <c r="AD204" s="142">
        <v>1.0</v>
      </c>
      <c r="AE204" s="142">
        <v>1.0</v>
      </c>
      <c r="AF204" s="142">
        <v>8.0</v>
      </c>
      <c r="AG204" s="142">
        <v>0.0</v>
      </c>
      <c r="AH204" s="185" t="str">
        <f>IFERROR(__xludf.DUMMYFUNCTION("if($C204="""","""",if(join("" - "",{iferror(filter('Student Groupings'!$A:$A,'Student Groupings'!$B:$B=$C204,'Student Groupings'!$H:$H=""Can't be Together""),"""");iferror(filter('Student Groupings'!$A:$A,'Student Groupings'!$E:$E=$C204,'Student Groupings"&amp;"'!$H:$H=""Can't be Together""),"""")})="" - "","""",join("" - "",{iferror(filter('Student Groupings'!$A:$A,'Student Groupings'!$B:$B=$C204,'Student Groupings'!$H:$H=""Can't be Together""),"""");iferror(filter('Student Groupings'!$A:$A,'Student Groupings'!"&amp;"$E:$E=$C204,'Student Groupings'!$H:$H=""Can't be Together""),"""")})))"),"")</f>
        <v/>
      </c>
      <c r="AI204" s="185" t="str">
        <f>IFERROR(__xludf.DUMMYFUNCTION("if($C204="""","""",if(join("" - "",{iferror(filter('Student Groupings'!$A:$A,'Student Groupings'!$B:$B=$C204,'Student Groupings'!$H:$H=""Must be Together""),"""");iferror(filter('Student Groupings'!$A:$A,'Student Groupings'!$E:$E=$C204,'Student Groupings'"&amp;"!$H:$H=""Must be Together""),"""")})="" - "","""",join("" - "",{iferror(filter('Student Groupings'!$A:$A,'Student Groupings'!$B:$B=$C204,'Student Groupings'!$H:$H=""Must be Together""),"""");iferror(filter('Student Groupings'!$A:$A,'Student Groupings'!$E:"&amp;"$E=$C204,'Student Groupings'!$H:$H=""Must be Together""),"""")})))"),"")</f>
        <v/>
      </c>
    </row>
    <row r="205">
      <c r="A205" s="167">
        <v>10.0</v>
      </c>
      <c r="B205" s="168">
        <v>27057.0</v>
      </c>
      <c r="C205" s="144" t="s">
        <v>357</v>
      </c>
      <c r="D205" s="180" t="s">
        <v>48</v>
      </c>
      <c r="E205" s="181">
        <v>5.0</v>
      </c>
      <c r="F205" s="180" t="s">
        <v>64</v>
      </c>
      <c r="G205" s="180">
        <v>7.0</v>
      </c>
      <c r="H205" s="182" t="s">
        <v>76</v>
      </c>
      <c r="I205" s="180">
        <v>3.0</v>
      </c>
      <c r="J205" s="187"/>
      <c r="K205" s="180"/>
      <c r="L205" s="184" t="s">
        <v>95</v>
      </c>
      <c r="M205" s="180">
        <v>8.0</v>
      </c>
      <c r="N205" s="184" t="s">
        <v>130</v>
      </c>
      <c r="O205" s="167">
        <v>4.0</v>
      </c>
      <c r="P205" s="182" t="s">
        <v>100</v>
      </c>
      <c r="Q205" s="167">
        <v>2.0</v>
      </c>
      <c r="R205" s="184" t="s">
        <v>56</v>
      </c>
      <c r="S205" s="167">
        <v>1.0</v>
      </c>
      <c r="T205" s="183"/>
      <c r="U205" s="167"/>
      <c r="V205" s="184" t="s">
        <v>23</v>
      </c>
      <c r="W205" s="180">
        <v>6.0</v>
      </c>
      <c r="X205" s="142">
        <v>1.0</v>
      </c>
      <c r="Y205" s="142">
        <v>1.0</v>
      </c>
      <c r="Z205" s="142">
        <v>1.0</v>
      </c>
      <c r="AA205" s="142">
        <v>1.0</v>
      </c>
      <c r="AB205" s="142">
        <v>1.0</v>
      </c>
      <c r="AC205" s="142">
        <v>1.0</v>
      </c>
      <c r="AD205" s="142">
        <v>1.0</v>
      </c>
      <c r="AE205" s="142">
        <v>1.0</v>
      </c>
      <c r="AF205" s="142">
        <v>8.0</v>
      </c>
      <c r="AG205" s="142">
        <v>0.0</v>
      </c>
      <c r="AH205" s="185" t="str">
        <f>IFERROR(__xludf.DUMMYFUNCTION("if($C205="""","""",if(join("" - "",{iferror(filter('Student Groupings'!$A:$A,'Student Groupings'!$B:$B=$C205,'Student Groupings'!$H:$H=""Can't be Together""),"""");iferror(filter('Student Groupings'!$A:$A,'Student Groupings'!$E:$E=$C205,'Student Groupings"&amp;"'!$H:$H=""Can't be Together""),"""")})="" - "","""",join("" - "",{iferror(filter('Student Groupings'!$A:$A,'Student Groupings'!$B:$B=$C205,'Student Groupings'!$H:$H=""Can't be Together""),"""");iferror(filter('Student Groupings'!$A:$A,'Student Groupings'!"&amp;"$E:$E=$C205,'Student Groupings'!$H:$H=""Can't be Together""),"""")})))"),"")</f>
        <v/>
      </c>
      <c r="AI205" s="185" t="str">
        <f>IFERROR(__xludf.DUMMYFUNCTION("if($C205="""","""",if(join("" - "",{iferror(filter('Student Groupings'!$A:$A,'Student Groupings'!$B:$B=$C205,'Student Groupings'!$H:$H=""Must be Together""),"""");iferror(filter('Student Groupings'!$A:$A,'Student Groupings'!$E:$E=$C205,'Student Groupings'"&amp;"!$H:$H=""Must be Together""),"""")})="" - "","""",join("" - "",{iferror(filter('Student Groupings'!$A:$A,'Student Groupings'!$B:$B=$C205,'Student Groupings'!$H:$H=""Must be Together""),"""");iferror(filter('Student Groupings'!$A:$A,'Student Groupings'!$E:"&amp;"$E=$C205,'Student Groupings'!$H:$H=""Must be Together""),"""")})))"),"")</f>
        <v/>
      </c>
    </row>
    <row r="206">
      <c r="A206" s="167">
        <v>10.0</v>
      </c>
      <c r="B206" s="168">
        <v>28169.0</v>
      </c>
      <c r="C206" s="144" t="s">
        <v>358</v>
      </c>
      <c r="D206" s="180" t="s">
        <v>48</v>
      </c>
      <c r="E206" s="181">
        <v>5.0</v>
      </c>
      <c r="F206" s="167" t="s">
        <v>64</v>
      </c>
      <c r="G206" s="180">
        <v>3.0</v>
      </c>
      <c r="H206" s="182" t="s">
        <v>76</v>
      </c>
      <c r="I206" s="167">
        <v>7.0</v>
      </c>
      <c r="J206" s="187"/>
      <c r="K206" s="180"/>
      <c r="L206" s="184" t="s">
        <v>95</v>
      </c>
      <c r="M206" s="180">
        <v>8.0</v>
      </c>
      <c r="N206" s="184" t="s">
        <v>130</v>
      </c>
      <c r="O206" s="167">
        <v>2.0</v>
      </c>
      <c r="P206" s="184" t="s">
        <v>103</v>
      </c>
      <c r="Q206" s="167">
        <v>6.0</v>
      </c>
      <c r="R206" s="184" t="s">
        <v>56</v>
      </c>
      <c r="S206" s="167">
        <v>1.0</v>
      </c>
      <c r="T206" s="183"/>
      <c r="U206" s="167"/>
      <c r="V206" s="184" t="s">
        <v>121</v>
      </c>
      <c r="W206" s="167">
        <v>4.0</v>
      </c>
      <c r="X206" s="142">
        <v>1.0</v>
      </c>
      <c r="Y206" s="142">
        <v>1.0</v>
      </c>
      <c r="Z206" s="142">
        <v>1.0</v>
      </c>
      <c r="AA206" s="142">
        <v>1.0</v>
      </c>
      <c r="AB206" s="142">
        <v>1.0</v>
      </c>
      <c r="AC206" s="142">
        <v>1.0</v>
      </c>
      <c r="AD206" s="142">
        <v>1.0</v>
      </c>
      <c r="AE206" s="142">
        <v>1.0</v>
      </c>
      <c r="AF206" s="142">
        <v>8.0</v>
      </c>
      <c r="AG206" s="142">
        <v>0.0</v>
      </c>
      <c r="AH206" s="185" t="str">
        <f>IFERROR(__xludf.DUMMYFUNCTION("if($C206="""","""",if(join("" - "",{iferror(filter('Student Groupings'!$A:$A,'Student Groupings'!$B:$B=$C206,'Student Groupings'!$H:$H=""Can't be Together""),"""");iferror(filter('Student Groupings'!$A:$A,'Student Groupings'!$E:$E=$C206,'Student Groupings"&amp;"'!$H:$H=""Can't be Together""),"""")})="" - "","""",join("" - "",{iferror(filter('Student Groupings'!$A:$A,'Student Groupings'!$B:$B=$C206,'Student Groupings'!$H:$H=""Can't be Together""),"""");iferror(filter('Student Groupings'!$A:$A,'Student Groupings'!"&amp;"$E:$E=$C206,'Student Groupings'!$H:$H=""Can't be Together""),"""")})))"),"")</f>
        <v/>
      </c>
      <c r="AI206" s="185" t="str">
        <f>IFERROR(__xludf.DUMMYFUNCTION("if($C206="""","""",if(join("" - "",{iferror(filter('Student Groupings'!$A:$A,'Student Groupings'!$B:$B=$C206,'Student Groupings'!$H:$H=""Must be Together""),"""");iferror(filter('Student Groupings'!$A:$A,'Student Groupings'!$E:$E=$C206,'Student Groupings'"&amp;"!$H:$H=""Must be Together""),"""")})="" - "","""",join("" - "",{iferror(filter('Student Groupings'!$A:$A,'Student Groupings'!$B:$B=$C206,'Student Groupings'!$H:$H=""Must be Together""),"""");iferror(filter('Student Groupings'!$A:$A,'Student Groupings'!$E:"&amp;"$E=$C206,'Student Groupings'!$H:$H=""Must be Together""),"""")})))"),"")</f>
        <v/>
      </c>
    </row>
    <row r="207">
      <c r="A207" s="167">
        <v>10.0</v>
      </c>
      <c r="B207" s="168">
        <v>28015.0</v>
      </c>
      <c r="C207" s="144" t="s">
        <v>359</v>
      </c>
      <c r="D207" s="180" t="s">
        <v>37</v>
      </c>
      <c r="E207" s="181">
        <v>8.0</v>
      </c>
      <c r="F207" s="167" t="s">
        <v>64</v>
      </c>
      <c r="G207" s="167">
        <v>6.0</v>
      </c>
      <c r="H207" s="182" t="s">
        <v>81</v>
      </c>
      <c r="I207" s="167">
        <v>3.0</v>
      </c>
      <c r="J207" s="187"/>
      <c r="K207" s="167"/>
      <c r="L207" s="184" t="s">
        <v>95</v>
      </c>
      <c r="M207" s="167">
        <v>5.0</v>
      </c>
      <c r="N207" s="184" t="s">
        <v>130</v>
      </c>
      <c r="O207" s="167">
        <v>1.0</v>
      </c>
      <c r="P207" s="182" t="s">
        <v>100</v>
      </c>
      <c r="Q207" s="167">
        <v>2.0</v>
      </c>
      <c r="R207" s="184" t="s">
        <v>56</v>
      </c>
      <c r="S207" s="167">
        <v>4.0</v>
      </c>
      <c r="T207" s="188"/>
      <c r="U207" s="167"/>
      <c r="V207" s="184" t="s">
        <v>34</v>
      </c>
      <c r="W207" s="167">
        <v>7.0</v>
      </c>
      <c r="X207" s="142">
        <v>1.0</v>
      </c>
      <c r="Y207" s="142">
        <v>1.0</v>
      </c>
      <c r="Z207" s="142">
        <v>1.0</v>
      </c>
      <c r="AA207" s="142">
        <v>1.0</v>
      </c>
      <c r="AB207" s="142">
        <v>1.0</v>
      </c>
      <c r="AC207" s="142">
        <v>1.0</v>
      </c>
      <c r="AD207" s="142">
        <v>1.0</v>
      </c>
      <c r="AE207" s="142">
        <v>1.0</v>
      </c>
      <c r="AF207" s="142">
        <v>8.0</v>
      </c>
      <c r="AG207" s="142">
        <v>0.0</v>
      </c>
      <c r="AH207" s="185" t="str">
        <f>IFERROR(__xludf.DUMMYFUNCTION("if($C207="""","""",if(join("" - "",{iferror(filter('Student Groupings'!$A:$A,'Student Groupings'!$B:$B=$C207,'Student Groupings'!$H:$H=""Can't be Together""),"""");iferror(filter('Student Groupings'!$A:$A,'Student Groupings'!$E:$E=$C207,'Student Groupings"&amp;"'!$H:$H=""Can't be Together""),"""")})="" - "","""",join("" - "",{iferror(filter('Student Groupings'!$A:$A,'Student Groupings'!$B:$B=$C207,'Student Groupings'!$H:$H=""Can't be Together""),"""");iferror(filter('Student Groupings'!$A:$A,'Student Groupings'!"&amp;"$E:$E=$C207,'Student Groupings'!$H:$H=""Can't be Together""),"""")})))"),"")</f>
        <v/>
      </c>
      <c r="AI207" s="185" t="str">
        <f>IFERROR(__xludf.DUMMYFUNCTION("if($C207="""","""",if(join("" - "",{iferror(filter('Student Groupings'!$A:$A,'Student Groupings'!$B:$B=$C207,'Student Groupings'!$H:$H=""Must be Together""),"""");iferror(filter('Student Groupings'!$A:$A,'Student Groupings'!$E:$E=$C207,'Student Groupings'"&amp;"!$H:$H=""Must be Together""),"""")})="" - "","""",join("" - "",{iferror(filter('Student Groupings'!$A:$A,'Student Groupings'!$B:$B=$C207,'Student Groupings'!$H:$H=""Must be Together""),"""");iferror(filter('Student Groupings'!$A:$A,'Student Groupings'!$E:"&amp;"$E=$C207,'Student Groupings'!$H:$H=""Must be Together""),"""")})))"),"")</f>
        <v/>
      </c>
    </row>
    <row r="208">
      <c r="A208" s="167">
        <v>10.0</v>
      </c>
      <c r="B208" s="168">
        <v>28057.0</v>
      </c>
      <c r="C208" s="144" t="s">
        <v>360</v>
      </c>
      <c r="D208" s="180" t="s">
        <v>48</v>
      </c>
      <c r="E208" s="181">
        <v>6.0</v>
      </c>
      <c r="F208" s="167" t="s">
        <v>64</v>
      </c>
      <c r="G208" s="167">
        <v>3.0</v>
      </c>
      <c r="H208" s="182" t="s">
        <v>79</v>
      </c>
      <c r="I208" s="167">
        <v>5.0</v>
      </c>
      <c r="J208" s="187"/>
      <c r="K208" s="167"/>
      <c r="L208" s="184" t="s">
        <v>95</v>
      </c>
      <c r="M208" s="167">
        <v>7.0</v>
      </c>
      <c r="N208" s="184" t="s">
        <v>130</v>
      </c>
      <c r="O208" s="167">
        <v>1.0</v>
      </c>
      <c r="P208" s="184" t="s">
        <v>103</v>
      </c>
      <c r="Q208" s="167">
        <v>2.0</v>
      </c>
      <c r="R208" s="184" t="s">
        <v>56</v>
      </c>
      <c r="S208" s="167">
        <v>4.0</v>
      </c>
      <c r="T208" s="188"/>
      <c r="U208" s="167"/>
      <c r="V208" s="184" t="s">
        <v>86</v>
      </c>
      <c r="W208" s="167">
        <v>8.0</v>
      </c>
      <c r="X208" s="142">
        <v>1.0</v>
      </c>
      <c r="Y208" s="142">
        <v>1.0</v>
      </c>
      <c r="Z208" s="142">
        <v>1.0</v>
      </c>
      <c r="AA208" s="142">
        <v>1.0</v>
      </c>
      <c r="AB208" s="142">
        <v>1.0</v>
      </c>
      <c r="AC208" s="142">
        <v>1.0</v>
      </c>
      <c r="AD208" s="142">
        <v>1.0</v>
      </c>
      <c r="AE208" s="142">
        <v>1.0</v>
      </c>
      <c r="AF208" s="142">
        <v>8.0</v>
      </c>
      <c r="AG208" s="142">
        <v>0.0</v>
      </c>
      <c r="AH208" s="185" t="str">
        <f>IFERROR(__xludf.DUMMYFUNCTION("if($C208="""","""",if(join("" - "",{iferror(filter('Student Groupings'!$A:$A,'Student Groupings'!$B:$B=$C208,'Student Groupings'!$H:$H=""Can't be Together""),"""");iferror(filter('Student Groupings'!$A:$A,'Student Groupings'!$E:$E=$C208,'Student Groupings"&amp;"'!$H:$H=""Can't be Together""),"""")})="" - "","""",join("" - "",{iferror(filter('Student Groupings'!$A:$A,'Student Groupings'!$B:$B=$C208,'Student Groupings'!$H:$H=""Can't be Together""),"""");iferror(filter('Student Groupings'!$A:$A,'Student Groupings'!"&amp;"$E:$E=$C208,'Student Groupings'!$H:$H=""Can't be Together""),"""")})))"),"")</f>
        <v/>
      </c>
      <c r="AI208" s="185" t="str">
        <f>IFERROR(__xludf.DUMMYFUNCTION("if($C208="""","""",if(join("" - "",{iferror(filter('Student Groupings'!$A:$A,'Student Groupings'!$B:$B=$C208,'Student Groupings'!$H:$H=""Must be Together""),"""");iferror(filter('Student Groupings'!$A:$A,'Student Groupings'!$E:$E=$C208,'Student Groupings'"&amp;"!$H:$H=""Must be Together""),"""")})="" - "","""",join("" - "",{iferror(filter('Student Groupings'!$A:$A,'Student Groupings'!$B:$B=$C208,'Student Groupings'!$H:$H=""Must be Together""),"""");iferror(filter('Student Groupings'!$A:$A,'Student Groupings'!$E:"&amp;"$E=$C208,'Student Groupings'!$H:$H=""Must be Together""),"""")})))"),"89 - 120")</f>
        <v>89 - 120</v>
      </c>
    </row>
    <row r="209">
      <c r="A209" s="167">
        <v>10.0</v>
      </c>
      <c r="B209" s="168">
        <v>28135.0</v>
      </c>
      <c r="C209" s="144" t="s">
        <v>361</v>
      </c>
      <c r="D209" s="180" t="s">
        <v>48</v>
      </c>
      <c r="E209" s="181">
        <v>6.0</v>
      </c>
      <c r="F209" s="167" t="s">
        <v>64</v>
      </c>
      <c r="G209" s="167">
        <v>3.0</v>
      </c>
      <c r="H209" s="182" t="s">
        <v>79</v>
      </c>
      <c r="I209" s="167">
        <v>5.0</v>
      </c>
      <c r="J209" s="187"/>
      <c r="K209" s="167"/>
      <c r="L209" s="184" t="s">
        <v>95</v>
      </c>
      <c r="M209" s="167">
        <v>7.0</v>
      </c>
      <c r="N209" s="184" t="s">
        <v>130</v>
      </c>
      <c r="O209" s="167">
        <v>1.0</v>
      </c>
      <c r="P209" s="184" t="s">
        <v>103</v>
      </c>
      <c r="Q209" s="167">
        <v>2.0</v>
      </c>
      <c r="R209" s="184" t="s">
        <v>56</v>
      </c>
      <c r="S209" s="167">
        <v>4.0</v>
      </c>
      <c r="T209" s="188"/>
      <c r="U209" s="167"/>
      <c r="V209" s="184" t="s">
        <v>86</v>
      </c>
      <c r="W209" s="167">
        <v>8.0</v>
      </c>
      <c r="X209" s="142">
        <v>1.0</v>
      </c>
      <c r="Y209" s="142">
        <v>1.0</v>
      </c>
      <c r="Z209" s="142">
        <v>1.0</v>
      </c>
      <c r="AA209" s="142">
        <v>1.0</v>
      </c>
      <c r="AB209" s="142">
        <v>1.0</v>
      </c>
      <c r="AC209" s="142">
        <v>1.0</v>
      </c>
      <c r="AD209" s="142">
        <v>1.0</v>
      </c>
      <c r="AE209" s="142">
        <v>1.0</v>
      </c>
      <c r="AF209" s="142">
        <v>8.0</v>
      </c>
      <c r="AG209" s="142">
        <v>0.0</v>
      </c>
      <c r="AH209" s="185" t="str">
        <f>IFERROR(__xludf.DUMMYFUNCTION("if($C209="""","""",if(join("" - "",{iferror(filter('Student Groupings'!$A:$A,'Student Groupings'!$B:$B=$C209,'Student Groupings'!$H:$H=""Can't be Together""),"""");iferror(filter('Student Groupings'!$A:$A,'Student Groupings'!$E:$E=$C209,'Student Groupings"&amp;"'!$H:$H=""Can't be Together""),"""")})="" - "","""",join("" - "",{iferror(filter('Student Groupings'!$A:$A,'Student Groupings'!$B:$B=$C209,'Student Groupings'!$H:$H=""Can't be Together""),"""");iferror(filter('Student Groupings'!$A:$A,'Student Groupings'!"&amp;"$E:$E=$C209,'Student Groupings'!$H:$H=""Can't be Together""),"""")})))"),"")</f>
        <v/>
      </c>
      <c r="AI209" s="185" t="str">
        <f>IFERROR(__xludf.DUMMYFUNCTION("if($C209="""","""",if(join("" - "",{iferror(filter('Student Groupings'!$A:$A,'Student Groupings'!$B:$B=$C209,'Student Groupings'!$H:$H=""Must be Together""),"""");iferror(filter('Student Groupings'!$A:$A,'Student Groupings'!$E:$E=$C209,'Student Groupings'"&amp;"!$H:$H=""Must be Together""),"""")})="" - "","""",join("" - "",{iferror(filter('Student Groupings'!$A:$A,'Student Groupings'!$B:$B=$C209,'Student Groupings'!$H:$H=""Must be Together""),"""");iferror(filter('Student Groupings'!$A:$A,'Student Groupings'!$E:"&amp;"$E=$C209,'Student Groupings'!$H:$H=""Must be Together""),"""")})))"),"120 - ")</f>
        <v>120 - </v>
      </c>
    </row>
    <row r="210">
      <c r="A210" s="167">
        <v>10.0</v>
      </c>
      <c r="B210" s="168">
        <v>28137.0</v>
      </c>
      <c r="C210" s="144" t="s">
        <v>362</v>
      </c>
      <c r="D210" s="180" t="s">
        <v>37</v>
      </c>
      <c r="E210" s="181">
        <v>5.0</v>
      </c>
      <c r="F210" s="167" t="s">
        <v>64</v>
      </c>
      <c r="G210" s="167">
        <v>7.0</v>
      </c>
      <c r="H210" s="182" t="s">
        <v>76</v>
      </c>
      <c r="I210" s="167">
        <v>6.0</v>
      </c>
      <c r="J210" s="187"/>
      <c r="K210" s="167"/>
      <c r="L210" s="184" t="s">
        <v>95</v>
      </c>
      <c r="M210" s="167">
        <v>3.0</v>
      </c>
      <c r="N210" s="184" t="s">
        <v>130</v>
      </c>
      <c r="O210" s="167">
        <v>4.0</v>
      </c>
      <c r="P210" s="182" t="s">
        <v>100</v>
      </c>
      <c r="Q210" s="167">
        <v>2.0</v>
      </c>
      <c r="R210" s="184" t="s">
        <v>56</v>
      </c>
      <c r="S210" s="167">
        <v>8.0</v>
      </c>
      <c r="T210" s="188"/>
      <c r="U210" s="142"/>
      <c r="V210" s="184" t="s">
        <v>26</v>
      </c>
      <c r="W210" s="167">
        <v>1.0</v>
      </c>
      <c r="X210" s="142">
        <v>1.0</v>
      </c>
      <c r="Y210" s="142">
        <v>1.0</v>
      </c>
      <c r="Z210" s="142">
        <v>1.0</v>
      </c>
      <c r="AA210" s="142">
        <v>1.0</v>
      </c>
      <c r="AB210" s="142">
        <v>1.0</v>
      </c>
      <c r="AC210" s="142">
        <v>1.0</v>
      </c>
      <c r="AD210" s="142">
        <v>1.0</v>
      </c>
      <c r="AE210" s="142">
        <v>1.0</v>
      </c>
      <c r="AF210" s="142">
        <v>8.0</v>
      </c>
      <c r="AG210" s="142">
        <v>0.0</v>
      </c>
      <c r="AH210" s="185" t="str">
        <f>IFERROR(__xludf.DUMMYFUNCTION("if($C210="""","""",if(join("" - "",{iferror(filter('Student Groupings'!$A:$A,'Student Groupings'!$B:$B=$C210,'Student Groupings'!$H:$H=""Can't be Together""),"""");iferror(filter('Student Groupings'!$A:$A,'Student Groupings'!$E:$E=$C210,'Student Groupings"&amp;"'!$H:$H=""Can't be Together""),"""")})="" - "","""",join("" - "",{iferror(filter('Student Groupings'!$A:$A,'Student Groupings'!$B:$B=$C210,'Student Groupings'!$H:$H=""Can't be Together""),"""");iferror(filter('Student Groupings'!$A:$A,'Student Groupings'!"&amp;"$E:$E=$C210,'Student Groupings'!$H:$H=""Can't be Together""),"""")})))")," - 5 - 76")</f>
        <v> - 5 - 76</v>
      </c>
      <c r="AI210" s="185" t="str">
        <f>IFERROR(__xludf.DUMMYFUNCTION("if($C210="""","""",if(join("" - "",{iferror(filter('Student Groupings'!$A:$A,'Student Groupings'!$B:$B=$C210,'Student Groupings'!$H:$H=""Must be Together""),"""");iferror(filter('Student Groupings'!$A:$A,'Student Groupings'!$E:$E=$C210,'Student Groupings'"&amp;"!$H:$H=""Must be Together""),"""")})="" - "","""",join("" - "",{iferror(filter('Student Groupings'!$A:$A,'Student Groupings'!$B:$B=$C210,'Student Groupings'!$H:$H=""Must be Together""),"""");iferror(filter('Student Groupings'!$A:$A,'Student Groupings'!$E:"&amp;"$E=$C210,'Student Groupings'!$H:$H=""Must be Together""),"""")})))"),"")</f>
        <v/>
      </c>
    </row>
    <row r="211">
      <c r="A211" s="167">
        <v>10.0</v>
      </c>
      <c r="B211" s="168">
        <v>28028.0</v>
      </c>
      <c r="C211" s="144" t="s">
        <v>363</v>
      </c>
      <c r="D211" s="180" t="s">
        <v>48</v>
      </c>
      <c r="E211" s="181">
        <v>6.0</v>
      </c>
      <c r="F211" s="167" t="s">
        <v>64</v>
      </c>
      <c r="G211" s="167">
        <v>5.0</v>
      </c>
      <c r="H211" s="182" t="s">
        <v>76</v>
      </c>
      <c r="I211" s="167">
        <v>3.0</v>
      </c>
      <c r="J211" s="167"/>
      <c r="K211" s="167"/>
      <c r="L211" s="184" t="s">
        <v>95</v>
      </c>
      <c r="M211" s="167">
        <v>8.0</v>
      </c>
      <c r="N211" s="184" t="s">
        <v>130</v>
      </c>
      <c r="O211" s="167">
        <v>2.0</v>
      </c>
      <c r="P211" s="182" t="s">
        <v>100</v>
      </c>
      <c r="Q211" s="167">
        <v>4.0</v>
      </c>
      <c r="R211" s="184" t="s">
        <v>56</v>
      </c>
      <c r="S211" s="167">
        <v>7.0</v>
      </c>
      <c r="T211" s="188"/>
      <c r="U211" s="142"/>
      <c r="V211" s="184" t="s">
        <v>79</v>
      </c>
      <c r="W211" s="167">
        <v>1.0</v>
      </c>
      <c r="X211" s="142">
        <v>1.0</v>
      </c>
      <c r="Y211" s="142">
        <v>1.0</v>
      </c>
      <c r="Z211" s="142">
        <v>1.0</v>
      </c>
      <c r="AA211" s="142">
        <v>1.0</v>
      </c>
      <c r="AB211" s="142">
        <v>1.0</v>
      </c>
      <c r="AC211" s="142">
        <v>1.0</v>
      </c>
      <c r="AD211" s="142">
        <v>1.0</v>
      </c>
      <c r="AE211" s="142">
        <v>1.0</v>
      </c>
      <c r="AF211" s="142">
        <v>8.0</v>
      </c>
      <c r="AG211" s="142">
        <v>0.0</v>
      </c>
      <c r="AH211" s="185" t="str">
        <f>IFERROR(__xludf.DUMMYFUNCTION("if($C211="""","""",if(join("" - "",{iferror(filter('Student Groupings'!$A:$A,'Student Groupings'!$B:$B=$C211,'Student Groupings'!$H:$H=""Can't be Together""),"""");iferror(filter('Student Groupings'!$A:$A,'Student Groupings'!$E:$E=$C211,'Student Groupings"&amp;"'!$H:$H=""Can't be Together""),"""")})="" - "","""",join("" - "",{iferror(filter('Student Groupings'!$A:$A,'Student Groupings'!$B:$B=$C211,'Student Groupings'!$H:$H=""Can't be Together""),"""");iferror(filter('Student Groupings'!$A:$A,'Student Groupings'!"&amp;"$E:$E=$C211,'Student Groupings'!$H:$H=""Can't be Together""),"""")})))")," - 75")</f>
        <v> - 75</v>
      </c>
      <c r="AI211" s="185" t="str">
        <f>IFERROR(__xludf.DUMMYFUNCTION("if($C211="""","""",if(join("" - "",{iferror(filter('Student Groupings'!$A:$A,'Student Groupings'!$B:$B=$C211,'Student Groupings'!$H:$H=""Must be Together""),"""");iferror(filter('Student Groupings'!$A:$A,'Student Groupings'!$E:$E=$C211,'Student Groupings'"&amp;"!$H:$H=""Must be Together""),"""")})="" - "","""",join("" - "",{iferror(filter('Student Groupings'!$A:$A,'Student Groupings'!$B:$B=$C211,'Student Groupings'!$H:$H=""Must be Together""),"""");iferror(filter('Student Groupings'!$A:$A,'Student Groupings'!$E:"&amp;"$E=$C211,'Student Groupings'!$H:$H=""Must be Together""),"""")})))"),"")</f>
        <v/>
      </c>
    </row>
    <row r="212">
      <c r="A212" s="167">
        <v>10.0</v>
      </c>
      <c r="B212" s="168">
        <v>28014.0</v>
      </c>
      <c r="C212" s="144" t="s">
        <v>364</v>
      </c>
      <c r="D212" s="180" t="s">
        <v>37</v>
      </c>
      <c r="E212" s="181">
        <v>2.0</v>
      </c>
      <c r="F212" s="167" t="s">
        <v>64</v>
      </c>
      <c r="G212" s="167">
        <v>5.0</v>
      </c>
      <c r="H212" s="182" t="s">
        <v>81</v>
      </c>
      <c r="I212" s="167">
        <v>3.0</v>
      </c>
      <c r="J212" s="187"/>
      <c r="K212" s="167"/>
      <c r="L212" s="184" t="s">
        <v>95</v>
      </c>
      <c r="M212" s="167">
        <v>6.0</v>
      </c>
      <c r="N212" s="184" t="s">
        <v>130</v>
      </c>
      <c r="O212" s="167">
        <v>7.0</v>
      </c>
      <c r="P212" s="184" t="s">
        <v>103</v>
      </c>
      <c r="Q212" s="167">
        <v>4.0</v>
      </c>
      <c r="R212" s="184" t="s">
        <v>56</v>
      </c>
      <c r="S212" s="167">
        <v>1.0</v>
      </c>
      <c r="T212" s="188"/>
      <c r="U212" s="167"/>
      <c r="V212" s="184" t="s">
        <v>30</v>
      </c>
      <c r="W212" s="167">
        <v>8.0</v>
      </c>
      <c r="X212" s="142">
        <v>1.0</v>
      </c>
      <c r="Y212" s="142">
        <v>1.0</v>
      </c>
      <c r="Z212" s="142">
        <v>1.0</v>
      </c>
      <c r="AA212" s="142">
        <v>1.0</v>
      </c>
      <c r="AB212" s="142">
        <v>1.0</v>
      </c>
      <c r="AC212" s="142">
        <v>1.0</v>
      </c>
      <c r="AD212" s="142">
        <v>1.0</v>
      </c>
      <c r="AE212" s="142">
        <v>1.0</v>
      </c>
      <c r="AF212" s="142">
        <v>8.0</v>
      </c>
      <c r="AG212" s="142">
        <v>0.0</v>
      </c>
      <c r="AH212" s="185" t="str">
        <f>IFERROR(__xludf.DUMMYFUNCTION("if($C212="""","""",if(join("" - "",{iferror(filter('Student Groupings'!$A:$A,'Student Groupings'!$B:$B=$C212,'Student Groupings'!$H:$H=""Can't be Together""),"""");iferror(filter('Student Groupings'!$A:$A,'Student Groupings'!$E:$E=$C212,'Student Groupings"&amp;"'!$H:$H=""Can't be Together""),"""")})="" - "","""",join("" - "",{iferror(filter('Student Groupings'!$A:$A,'Student Groupings'!$B:$B=$C212,'Student Groupings'!$H:$H=""Can't be Together""),"""");iferror(filter('Student Groupings'!$A:$A,'Student Groupings'!"&amp;"$E:$E=$C212,'Student Groupings'!$H:$H=""Can't be Together""),"""")})))"),"")</f>
        <v/>
      </c>
      <c r="AI212" s="185" t="str">
        <f>IFERROR(__xludf.DUMMYFUNCTION("if($C212="""","""",if(join("" - "",{iferror(filter('Student Groupings'!$A:$A,'Student Groupings'!$B:$B=$C212,'Student Groupings'!$H:$H=""Must be Together""),"""");iferror(filter('Student Groupings'!$A:$A,'Student Groupings'!$E:$E=$C212,'Student Groupings'"&amp;"!$H:$H=""Must be Together""),"""")})="" - "","""",join("" - "",{iferror(filter('Student Groupings'!$A:$A,'Student Groupings'!$B:$B=$C212,'Student Groupings'!$H:$H=""Must be Together""),"""");iferror(filter('Student Groupings'!$A:$A,'Student Groupings'!$E:"&amp;"$E=$C212,'Student Groupings'!$H:$H=""Must be Together""),"""")})))"),"")</f>
        <v/>
      </c>
    </row>
    <row r="213">
      <c r="A213" s="167">
        <v>10.0</v>
      </c>
      <c r="B213" s="168">
        <v>28075.0</v>
      </c>
      <c r="C213" s="144" t="s">
        <v>365</v>
      </c>
      <c r="D213" s="180" t="s">
        <v>37</v>
      </c>
      <c r="E213" s="181">
        <v>8.0</v>
      </c>
      <c r="F213" s="167" t="s">
        <v>64</v>
      </c>
      <c r="G213" s="167">
        <v>4.0</v>
      </c>
      <c r="H213" s="182" t="s">
        <v>81</v>
      </c>
      <c r="I213" s="167">
        <v>3.0</v>
      </c>
      <c r="J213" s="187"/>
      <c r="K213" s="167"/>
      <c r="L213" s="184" t="s">
        <v>95</v>
      </c>
      <c r="M213" s="167">
        <v>1.0</v>
      </c>
      <c r="N213" s="184" t="s">
        <v>130</v>
      </c>
      <c r="O213" s="167">
        <v>5.0</v>
      </c>
      <c r="P213" s="184" t="s">
        <v>103</v>
      </c>
      <c r="Q213" s="167">
        <v>6.0</v>
      </c>
      <c r="R213" s="184" t="s">
        <v>56</v>
      </c>
      <c r="S213" s="167">
        <v>2.0</v>
      </c>
      <c r="T213" s="188"/>
      <c r="U213" s="142"/>
      <c r="V213" s="184" t="s">
        <v>24</v>
      </c>
      <c r="W213" s="167">
        <v>7.0</v>
      </c>
      <c r="X213" s="142">
        <v>1.0</v>
      </c>
      <c r="Y213" s="142">
        <v>1.0</v>
      </c>
      <c r="Z213" s="142">
        <v>1.0</v>
      </c>
      <c r="AA213" s="142">
        <v>1.0</v>
      </c>
      <c r="AB213" s="142">
        <v>1.0</v>
      </c>
      <c r="AC213" s="142">
        <v>1.0</v>
      </c>
      <c r="AD213" s="142">
        <v>1.0</v>
      </c>
      <c r="AE213" s="142">
        <v>1.0</v>
      </c>
      <c r="AF213" s="142">
        <v>8.0</v>
      </c>
      <c r="AG213" s="142">
        <v>0.0</v>
      </c>
      <c r="AH213" s="185" t="str">
        <f>IFERROR(__xludf.DUMMYFUNCTION("if($C213="""","""",if(join("" - "",{iferror(filter('Student Groupings'!$A:$A,'Student Groupings'!$B:$B=$C213,'Student Groupings'!$H:$H=""Can't be Together""),"""");iferror(filter('Student Groupings'!$A:$A,'Student Groupings'!$E:$E=$C213,'Student Groupings"&amp;"'!$H:$H=""Can't be Together""),"""")})="" - "","""",join("" - "",{iferror(filter('Student Groupings'!$A:$A,'Student Groupings'!$B:$B=$C213,'Student Groupings'!$H:$H=""Can't be Together""),"""");iferror(filter('Student Groupings'!$A:$A,'Student Groupings'!"&amp;"$E:$E=$C213,'Student Groupings'!$H:$H=""Can't be Together""),"""")})))"),"")</f>
        <v/>
      </c>
      <c r="AI213" s="185" t="str">
        <f>IFERROR(__xludf.DUMMYFUNCTION("if($C213="""","""",if(join("" - "",{iferror(filter('Student Groupings'!$A:$A,'Student Groupings'!$B:$B=$C213,'Student Groupings'!$H:$H=""Must be Together""),"""");iferror(filter('Student Groupings'!$A:$A,'Student Groupings'!$E:$E=$C213,'Student Groupings'"&amp;"!$H:$H=""Must be Together""),"""")})="" - "","""",join("" - "",{iferror(filter('Student Groupings'!$A:$A,'Student Groupings'!$B:$B=$C213,'Student Groupings'!$H:$H=""Must be Together""),"""");iferror(filter('Student Groupings'!$A:$A,'Student Groupings'!$E:"&amp;"$E=$C213,'Student Groupings'!$H:$H=""Must be Together""),"""")})))"),"")</f>
        <v/>
      </c>
    </row>
    <row r="214">
      <c r="A214" s="167">
        <v>10.0</v>
      </c>
      <c r="B214" s="168">
        <v>28165.0</v>
      </c>
      <c r="C214" s="144" t="s">
        <v>366</v>
      </c>
      <c r="D214" s="180" t="s">
        <v>37</v>
      </c>
      <c r="E214" s="181">
        <v>5.0</v>
      </c>
      <c r="F214" s="167" t="s">
        <v>64</v>
      </c>
      <c r="G214" s="167">
        <v>3.0</v>
      </c>
      <c r="H214" s="182" t="s">
        <v>76</v>
      </c>
      <c r="I214" s="167">
        <v>6.0</v>
      </c>
      <c r="J214" s="187"/>
      <c r="K214" s="167"/>
      <c r="L214" s="184" t="s">
        <v>95</v>
      </c>
      <c r="M214" s="167">
        <v>8.0</v>
      </c>
      <c r="N214" s="184" t="s">
        <v>130</v>
      </c>
      <c r="O214" s="167">
        <v>4.0</v>
      </c>
      <c r="P214" s="182" t="s">
        <v>100</v>
      </c>
      <c r="Q214" s="167">
        <v>2.0</v>
      </c>
      <c r="R214" s="184" t="s">
        <v>56</v>
      </c>
      <c r="S214" s="167">
        <v>7.0</v>
      </c>
      <c r="T214" s="188"/>
      <c r="U214" s="142"/>
      <c r="V214" s="184" t="s">
        <v>26</v>
      </c>
      <c r="W214" s="167">
        <v>1.0</v>
      </c>
      <c r="X214" s="142">
        <v>1.0</v>
      </c>
      <c r="Y214" s="142">
        <v>1.0</v>
      </c>
      <c r="Z214" s="142">
        <v>1.0</v>
      </c>
      <c r="AA214" s="142">
        <v>1.0</v>
      </c>
      <c r="AB214" s="142">
        <v>1.0</v>
      </c>
      <c r="AC214" s="142">
        <v>1.0</v>
      </c>
      <c r="AD214" s="142">
        <v>1.0</v>
      </c>
      <c r="AE214" s="142">
        <v>1.0</v>
      </c>
      <c r="AF214" s="142">
        <v>8.0</v>
      </c>
      <c r="AG214" s="142">
        <v>0.0</v>
      </c>
      <c r="AH214" s="185" t="str">
        <f>IFERROR(__xludf.DUMMYFUNCTION("if($C214="""","""",if(join("" - "",{iferror(filter('Student Groupings'!$A:$A,'Student Groupings'!$B:$B=$C214,'Student Groupings'!$H:$H=""Can't be Together""),"""");iferror(filter('Student Groupings'!$A:$A,'Student Groupings'!$E:$E=$C214,'Student Groupings"&amp;"'!$H:$H=""Can't be Together""),"""")})="" - "","""",join("" - "",{iferror(filter('Student Groupings'!$A:$A,'Student Groupings'!$B:$B=$C214,'Student Groupings'!$H:$H=""Can't be Together""),"""");iferror(filter('Student Groupings'!$A:$A,'Student Groupings'!"&amp;"$E:$E=$C214,'Student Groupings'!$H:$H=""Can't be Together""),"""")})))"),"")</f>
        <v/>
      </c>
      <c r="AI214" s="185" t="str">
        <f>IFERROR(__xludf.DUMMYFUNCTION("if($C214="""","""",if(join("" - "",{iferror(filter('Student Groupings'!$A:$A,'Student Groupings'!$B:$B=$C214,'Student Groupings'!$H:$H=""Must be Together""),"""");iferror(filter('Student Groupings'!$A:$A,'Student Groupings'!$E:$E=$C214,'Student Groupings'"&amp;"!$H:$H=""Must be Together""),"""")})="" - "","""",join("" - "",{iferror(filter('Student Groupings'!$A:$A,'Student Groupings'!$B:$B=$C214,'Student Groupings'!$H:$H=""Must be Together""),"""");iferror(filter('Student Groupings'!$A:$A,'Student Groupings'!$E:"&amp;"$E=$C214,'Student Groupings'!$H:$H=""Must be Together""),"""")})))"),"")</f>
        <v/>
      </c>
    </row>
    <row r="215">
      <c r="A215" s="167">
        <v>10.0</v>
      </c>
      <c r="B215" s="168">
        <v>28142.0</v>
      </c>
      <c r="C215" s="144" t="s">
        <v>367</v>
      </c>
      <c r="D215" s="180" t="s">
        <v>37</v>
      </c>
      <c r="E215" s="181">
        <v>2.0</v>
      </c>
      <c r="F215" s="167" t="s">
        <v>64</v>
      </c>
      <c r="G215" s="167">
        <v>1.0</v>
      </c>
      <c r="H215" s="182" t="s">
        <v>76</v>
      </c>
      <c r="I215" s="167">
        <v>3.0</v>
      </c>
      <c r="J215" s="187"/>
      <c r="K215" s="167"/>
      <c r="L215" s="184" t="s">
        <v>95</v>
      </c>
      <c r="M215" s="167">
        <v>6.0</v>
      </c>
      <c r="N215" s="184" t="s">
        <v>130</v>
      </c>
      <c r="O215" s="167">
        <v>4.0</v>
      </c>
      <c r="P215" s="182" t="s">
        <v>100</v>
      </c>
      <c r="Q215" s="167">
        <v>7.0</v>
      </c>
      <c r="R215" s="184" t="s">
        <v>56</v>
      </c>
      <c r="S215" s="167">
        <v>8.0</v>
      </c>
      <c r="T215" s="188"/>
      <c r="U215" s="167"/>
      <c r="V215" s="184" t="s">
        <v>79</v>
      </c>
      <c r="W215" s="167">
        <v>5.0</v>
      </c>
      <c r="X215" s="142">
        <v>1.0</v>
      </c>
      <c r="Y215" s="142">
        <v>1.0</v>
      </c>
      <c r="Z215" s="142">
        <v>1.0</v>
      </c>
      <c r="AA215" s="142">
        <v>1.0</v>
      </c>
      <c r="AB215" s="142">
        <v>1.0</v>
      </c>
      <c r="AC215" s="142">
        <v>1.0</v>
      </c>
      <c r="AD215" s="142">
        <v>1.0</v>
      </c>
      <c r="AE215" s="142">
        <v>1.0</v>
      </c>
      <c r="AF215" s="142">
        <v>8.0</v>
      </c>
      <c r="AG215" s="142">
        <v>0.0</v>
      </c>
      <c r="AH215" s="185" t="str">
        <f>IFERROR(__xludf.DUMMYFUNCTION("if($C215="""","""",if(join("" - "",{iferror(filter('Student Groupings'!$A:$A,'Student Groupings'!$B:$B=$C215,'Student Groupings'!$H:$H=""Can't be Together""),"""");iferror(filter('Student Groupings'!$A:$A,'Student Groupings'!$E:$E=$C215,'Student Groupings"&amp;"'!$H:$H=""Can't be Together""),"""")})="" - "","""",join("" - "",{iferror(filter('Student Groupings'!$A:$A,'Student Groupings'!$B:$B=$C215,'Student Groupings'!$H:$H=""Can't be Together""),"""");iferror(filter('Student Groupings'!$A:$A,'Student Groupings'!"&amp;"$E:$E=$C215,'Student Groupings'!$H:$H=""Can't be Together""),"""")})))"),"7 - 78")</f>
        <v>7 - 78</v>
      </c>
      <c r="AI215" s="185" t="str">
        <f>IFERROR(__xludf.DUMMYFUNCTION("if($C215="""","""",if(join("" - "",{iferror(filter('Student Groupings'!$A:$A,'Student Groupings'!$B:$B=$C215,'Student Groupings'!$H:$H=""Must be Together""),"""");iferror(filter('Student Groupings'!$A:$A,'Student Groupings'!$E:$E=$C215,'Student Groupings'"&amp;"!$H:$H=""Must be Together""),"""")})="" - "","""",join("" - "",{iferror(filter('Student Groupings'!$A:$A,'Student Groupings'!$B:$B=$C215,'Student Groupings'!$H:$H=""Must be Together""),"""");iferror(filter('Student Groupings'!$A:$A,'Student Groupings'!$E:"&amp;"$E=$C215,'Student Groupings'!$H:$H=""Must be Together""),"""")})))"),"")</f>
        <v/>
      </c>
    </row>
    <row r="216">
      <c r="A216" s="167">
        <v>10.0</v>
      </c>
      <c r="B216" s="168">
        <v>27008.0</v>
      </c>
      <c r="C216" s="144" t="s">
        <v>368</v>
      </c>
      <c r="D216" s="180" t="s">
        <v>37</v>
      </c>
      <c r="E216" s="181">
        <v>5.0</v>
      </c>
      <c r="F216" s="167" t="s">
        <v>64</v>
      </c>
      <c r="G216" s="167">
        <v>4.0</v>
      </c>
      <c r="H216" s="182" t="s">
        <v>76</v>
      </c>
      <c r="I216" s="167">
        <v>7.0</v>
      </c>
      <c r="J216" s="183"/>
      <c r="K216" s="167"/>
      <c r="L216" s="184" t="s">
        <v>95</v>
      </c>
      <c r="M216" s="167">
        <v>8.0</v>
      </c>
      <c r="N216" s="184" t="s">
        <v>130</v>
      </c>
      <c r="O216" s="167">
        <v>1.0</v>
      </c>
      <c r="P216" s="184" t="s">
        <v>103</v>
      </c>
      <c r="Q216" s="167">
        <v>6.0</v>
      </c>
      <c r="R216" s="184" t="s">
        <v>56</v>
      </c>
      <c r="S216" s="167">
        <v>2.0</v>
      </c>
      <c r="T216" s="188"/>
      <c r="U216" s="167"/>
      <c r="V216" s="184" t="s">
        <v>27</v>
      </c>
      <c r="W216" s="167">
        <v>3.0</v>
      </c>
      <c r="X216" s="142">
        <v>1.0</v>
      </c>
      <c r="Y216" s="142">
        <v>1.0</v>
      </c>
      <c r="Z216" s="142">
        <v>1.0</v>
      </c>
      <c r="AA216" s="142">
        <v>1.0</v>
      </c>
      <c r="AB216" s="142">
        <v>1.0</v>
      </c>
      <c r="AC216" s="142">
        <v>1.0</v>
      </c>
      <c r="AD216" s="142">
        <v>1.0</v>
      </c>
      <c r="AE216" s="142">
        <v>1.0</v>
      </c>
      <c r="AF216" s="142">
        <v>8.0</v>
      </c>
      <c r="AG216" s="142">
        <v>0.0</v>
      </c>
      <c r="AH216" s="185" t="str">
        <f>IFERROR(__xludf.DUMMYFUNCTION("if($C216="""","""",if(join("" - "",{iferror(filter('Student Groupings'!$A:$A,'Student Groupings'!$B:$B=$C216,'Student Groupings'!$H:$H=""Can't be Together""),"""");iferror(filter('Student Groupings'!$A:$A,'Student Groupings'!$E:$E=$C216,'Student Groupings"&amp;"'!$H:$H=""Can't be Together""),"""")})="" - "","""",join("" - "",{iferror(filter('Student Groupings'!$A:$A,'Student Groupings'!$B:$B=$C216,'Student Groupings'!$H:$H=""Can't be Together""),"""");iferror(filter('Student Groupings'!$A:$A,'Student Groupings'!"&amp;"$E:$E=$C216,'Student Groupings'!$H:$H=""Can't be Together""),"""")})))"),"")</f>
        <v/>
      </c>
      <c r="AI216" s="185" t="str">
        <f>IFERROR(__xludf.DUMMYFUNCTION("if($C216="""","""",if(join("" - "",{iferror(filter('Student Groupings'!$A:$A,'Student Groupings'!$B:$B=$C216,'Student Groupings'!$H:$H=""Must be Together""),"""");iferror(filter('Student Groupings'!$A:$A,'Student Groupings'!$E:$E=$C216,'Student Groupings'"&amp;"!$H:$H=""Must be Together""),"""")})="" - "","""",join("" - "",{iferror(filter('Student Groupings'!$A:$A,'Student Groupings'!$B:$B=$C216,'Student Groupings'!$H:$H=""Must be Together""),"""");iferror(filter('Student Groupings'!$A:$A,'Student Groupings'!$E:"&amp;"$E=$C216,'Student Groupings'!$H:$H=""Must be Together""),"""")})))"),"")</f>
        <v/>
      </c>
    </row>
    <row r="217">
      <c r="A217" s="167">
        <v>10.0</v>
      </c>
      <c r="B217" s="168">
        <v>28161.0</v>
      </c>
      <c r="C217" s="144" t="s">
        <v>369</v>
      </c>
      <c r="D217" s="180" t="s">
        <v>48</v>
      </c>
      <c r="E217" s="181">
        <v>5.0</v>
      </c>
      <c r="F217" s="167" t="s">
        <v>64</v>
      </c>
      <c r="G217" s="167">
        <v>3.0</v>
      </c>
      <c r="H217" s="182" t="s">
        <v>79</v>
      </c>
      <c r="I217" s="167">
        <v>1.0</v>
      </c>
      <c r="J217" s="183"/>
      <c r="K217" s="167"/>
      <c r="L217" s="184" t="s">
        <v>95</v>
      </c>
      <c r="M217" s="167">
        <v>7.0</v>
      </c>
      <c r="N217" s="184" t="s">
        <v>130</v>
      </c>
      <c r="O217" s="167">
        <v>4.0</v>
      </c>
      <c r="P217" s="184" t="s">
        <v>103</v>
      </c>
      <c r="Q217" s="167">
        <v>6.0</v>
      </c>
      <c r="R217" s="184" t="s">
        <v>56</v>
      </c>
      <c r="S217" s="167">
        <v>2.0</v>
      </c>
      <c r="T217" s="188"/>
      <c r="U217" s="142"/>
      <c r="V217" s="184" t="s">
        <v>27</v>
      </c>
      <c r="W217" s="167">
        <v>8.0</v>
      </c>
      <c r="X217" s="142">
        <v>1.0</v>
      </c>
      <c r="Y217" s="142">
        <v>1.0</v>
      </c>
      <c r="Z217" s="142">
        <v>1.0</v>
      </c>
      <c r="AA217" s="142">
        <v>1.0</v>
      </c>
      <c r="AB217" s="142">
        <v>1.0</v>
      </c>
      <c r="AC217" s="142">
        <v>1.0</v>
      </c>
      <c r="AD217" s="142">
        <v>1.0</v>
      </c>
      <c r="AE217" s="142">
        <v>1.0</v>
      </c>
      <c r="AF217" s="142">
        <v>8.0</v>
      </c>
      <c r="AG217" s="142">
        <v>0.0</v>
      </c>
      <c r="AH217" s="185" t="str">
        <f>IFERROR(__xludf.DUMMYFUNCTION("if($C217="""","""",if(join("" - "",{iferror(filter('Student Groupings'!$A:$A,'Student Groupings'!$B:$B=$C217,'Student Groupings'!$H:$H=""Can't be Together""),"""");iferror(filter('Student Groupings'!$A:$A,'Student Groupings'!$E:$E=$C217,'Student Groupings"&amp;"'!$H:$H=""Can't be Together""),"""")})="" - "","""",join("" - "",{iferror(filter('Student Groupings'!$A:$A,'Student Groupings'!$B:$B=$C217,'Student Groupings'!$H:$H=""Can't be Together""),"""");iferror(filter('Student Groupings'!$A:$A,'Student Groupings'!"&amp;"$E:$E=$C217,'Student Groupings'!$H:$H=""Can't be Together""),"""")})))"),"")</f>
        <v/>
      </c>
      <c r="AI217" s="185" t="str">
        <f>IFERROR(__xludf.DUMMYFUNCTION("if($C217="""","""",if(join("" - "",{iferror(filter('Student Groupings'!$A:$A,'Student Groupings'!$B:$B=$C217,'Student Groupings'!$H:$H=""Must be Together""),"""");iferror(filter('Student Groupings'!$A:$A,'Student Groupings'!$E:$E=$C217,'Student Groupings'"&amp;"!$H:$H=""Must be Together""),"""")})="" - "","""",join("" - "",{iferror(filter('Student Groupings'!$A:$A,'Student Groupings'!$B:$B=$C217,'Student Groupings'!$H:$H=""Must be Together""),"""");iferror(filter('Student Groupings'!$A:$A,'Student Groupings'!$E:"&amp;"$E=$C217,'Student Groupings'!$H:$H=""Must be Together""),"""")})))"),"")</f>
        <v/>
      </c>
    </row>
    <row r="218">
      <c r="A218" s="167">
        <v>10.0</v>
      </c>
      <c r="B218" s="168">
        <v>28040.0</v>
      </c>
      <c r="C218" s="144" t="s">
        <v>370</v>
      </c>
      <c r="D218" s="180" t="s">
        <v>48</v>
      </c>
      <c r="E218" s="181">
        <v>6.0</v>
      </c>
      <c r="F218" s="167" t="s">
        <v>64</v>
      </c>
      <c r="G218" s="167">
        <v>7.0</v>
      </c>
      <c r="H218" s="182" t="s">
        <v>81</v>
      </c>
      <c r="I218" s="167">
        <v>2.0</v>
      </c>
      <c r="J218" s="187"/>
      <c r="K218" s="167"/>
      <c r="L218" s="184" t="s">
        <v>95</v>
      </c>
      <c r="M218" s="167">
        <v>8.0</v>
      </c>
      <c r="N218" s="184" t="s">
        <v>130</v>
      </c>
      <c r="O218" s="167">
        <v>1.0</v>
      </c>
      <c r="P218" s="184" t="s">
        <v>103</v>
      </c>
      <c r="Q218" s="167">
        <v>3.0</v>
      </c>
      <c r="R218" s="184" t="s">
        <v>56</v>
      </c>
      <c r="S218" s="167">
        <v>5.0</v>
      </c>
      <c r="T218" s="188"/>
      <c r="U218" s="189"/>
      <c r="V218" s="184" t="s">
        <v>28</v>
      </c>
      <c r="W218" s="180">
        <v>4.0</v>
      </c>
      <c r="X218" s="142">
        <v>1.0</v>
      </c>
      <c r="Y218" s="142">
        <v>1.0</v>
      </c>
      <c r="Z218" s="142">
        <v>1.0</v>
      </c>
      <c r="AA218" s="142">
        <v>1.0</v>
      </c>
      <c r="AB218" s="142">
        <v>1.0</v>
      </c>
      <c r="AC218" s="142">
        <v>1.0</v>
      </c>
      <c r="AD218" s="142">
        <v>1.0</v>
      </c>
      <c r="AE218" s="142">
        <v>1.0</v>
      </c>
      <c r="AF218" s="142">
        <v>8.0</v>
      </c>
      <c r="AG218" s="142">
        <v>0.0</v>
      </c>
      <c r="AH218" s="185" t="str">
        <f>IFERROR(__xludf.DUMMYFUNCTION("if($C218="""","""",if(join("" - "",{iferror(filter('Student Groupings'!$A:$A,'Student Groupings'!$B:$B=$C218,'Student Groupings'!$H:$H=""Can't be Together""),"""");iferror(filter('Student Groupings'!$A:$A,'Student Groupings'!$E:$E=$C218,'Student Groupings"&amp;"'!$H:$H=""Can't be Together""),"""")})="" - "","""",join("" - "",{iferror(filter('Student Groupings'!$A:$A,'Student Groupings'!$B:$B=$C218,'Student Groupings'!$H:$H=""Can't be Together""),"""");iferror(filter('Student Groupings'!$A:$A,'Student Groupings'!"&amp;"$E:$E=$C218,'Student Groupings'!$H:$H=""Can't be Together""),"""")})))"),"")</f>
        <v/>
      </c>
      <c r="AI218" s="185" t="str">
        <f>IFERROR(__xludf.DUMMYFUNCTION("if($C218="""","""",if(join("" - "",{iferror(filter('Student Groupings'!$A:$A,'Student Groupings'!$B:$B=$C218,'Student Groupings'!$H:$H=""Must be Together""),"""");iferror(filter('Student Groupings'!$A:$A,'Student Groupings'!$E:$E=$C218,'Student Groupings'"&amp;"!$H:$H=""Must be Together""),"""")})="" - "","""",join("" - "",{iferror(filter('Student Groupings'!$A:$A,'Student Groupings'!$B:$B=$C218,'Student Groupings'!$H:$H=""Must be Together""),"""");iferror(filter('Student Groupings'!$A:$A,'Student Groupings'!$E:"&amp;"$E=$C218,'Student Groupings'!$H:$H=""Must be Together""),"""")})))"),"")</f>
        <v/>
      </c>
    </row>
    <row r="219">
      <c r="A219" s="167">
        <v>10.0</v>
      </c>
      <c r="B219" s="168">
        <v>28007.0</v>
      </c>
      <c r="C219" s="144" t="s">
        <v>371</v>
      </c>
      <c r="D219" s="180" t="s">
        <v>37</v>
      </c>
      <c r="E219" s="181">
        <v>8.0</v>
      </c>
      <c r="F219" s="167" t="s">
        <v>64</v>
      </c>
      <c r="G219" s="167">
        <v>4.0</v>
      </c>
      <c r="H219" s="182" t="s">
        <v>76</v>
      </c>
      <c r="I219" s="167">
        <v>6.0</v>
      </c>
      <c r="J219" s="187"/>
      <c r="K219" s="167"/>
      <c r="L219" s="184" t="s">
        <v>95</v>
      </c>
      <c r="M219" s="167">
        <v>2.0</v>
      </c>
      <c r="N219" s="184" t="s">
        <v>130</v>
      </c>
      <c r="O219" s="167">
        <v>5.0</v>
      </c>
      <c r="P219" s="182" t="s">
        <v>100</v>
      </c>
      <c r="Q219" s="167">
        <v>7.0</v>
      </c>
      <c r="R219" s="184" t="s">
        <v>56</v>
      </c>
      <c r="S219" s="167">
        <v>1.0</v>
      </c>
      <c r="T219" s="188"/>
      <c r="U219" s="189"/>
      <c r="V219" s="184" t="s">
        <v>24</v>
      </c>
      <c r="W219" s="167">
        <v>3.0</v>
      </c>
      <c r="X219" s="142">
        <v>1.0</v>
      </c>
      <c r="Y219" s="142">
        <v>1.0</v>
      </c>
      <c r="Z219" s="142">
        <v>1.0</v>
      </c>
      <c r="AA219" s="142">
        <v>1.0</v>
      </c>
      <c r="AB219" s="142">
        <v>1.0</v>
      </c>
      <c r="AC219" s="142">
        <v>1.0</v>
      </c>
      <c r="AD219" s="142">
        <v>1.0</v>
      </c>
      <c r="AE219" s="142">
        <v>1.0</v>
      </c>
      <c r="AF219" s="142">
        <v>8.0</v>
      </c>
      <c r="AG219" s="142">
        <v>0.0</v>
      </c>
      <c r="AH219" s="185" t="str">
        <f>IFERROR(__xludf.DUMMYFUNCTION("if($C219="""","""",if(join("" - "",{iferror(filter('Student Groupings'!$A:$A,'Student Groupings'!$B:$B=$C219,'Student Groupings'!$H:$H=""Can't be Together""),"""");iferror(filter('Student Groupings'!$A:$A,'Student Groupings'!$E:$E=$C219,'Student Groupings"&amp;"'!$H:$H=""Can't be Together""),"""")})="" - "","""",join("" - "",{iferror(filter('Student Groupings'!$A:$A,'Student Groupings'!$B:$B=$C219,'Student Groupings'!$H:$H=""Can't be Together""),"""");iferror(filter('Student Groupings'!$A:$A,'Student Groupings'!"&amp;"$E:$E=$C219,'Student Groupings'!$H:$H=""Can't be Together""),"""")})))"),"")</f>
        <v/>
      </c>
      <c r="AI219" s="185" t="str">
        <f>IFERROR(__xludf.DUMMYFUNCTION("if($C219="""","""",if(join("" - "",{iferror(filter('Student Groupings'!$A:$A,'Student Groupings'!$B:$B=$C219,'Student Groupings'!$H:$H=""Must be Together""),"""");iferror(filter('Student Groupings'!$A:$A,'Student Groupings'!$E:$E=$C219,'Student Groupings'"&amp;"!$H:$H=""Must be Together""),"""")})="" - "","""",join("" - "",{iferror(filter('Student Groupings'!$A:$A,'Student Groupings'!$B:$B=$C219,'Student Groupings'!$H:$H=""Must be Together""),"""");iferror(filter('Student Groupings'!$A:$A,'Student Groupings'!$E:"&amp;"$E=$C219,'Student Groupings'!$H:$H=""Must be Together""),"""")})))"),"")</f>
        <v/>
      </c>
    </row>
    <row r="220">
      <c r="A220" s="167">
        <v>10.0</v>
      </c>
      <c r="B220" s="168">
        <v>28047.0</v>
      </c>
      <c r="C220" s="144" t="s">
        <v>372</v>
      </c>
      <c r="D220" s="180" t="s">
        <v>48</v>
      </c>
      <c r="E220" s="181">
        <v>6.0</v>
      </c>
      <c r="F220" s="167" t="s">
        <v>64</v>
      </c>
      <c r="G220" s="167">
        <v>7.0</v>
      </c>
      <c r="H220" s="182" t="s">
        <v>79</v>
      </c>
      <c r="I220" s="167">
        <v>8.0</v>
      </c>
      <c r="J220" s="187"/>
      <c r="K220" s="167"/>
      <c r="L220" s="184" t="s">
        <v>95</v>
      </c>
      <c r="M220" s="167">
        <v>5.0</v>
      </c>
      <c r="N220" s="184" t="s">
        <v>130</v>
      </c>
      <c r="O220" s="167">
        <v>1.0</v>
      </c>
      <c r="P220" s="182" t="s">
        <v>100</v>
      </c>
      <c r="Q220" s="167">
        <v>2.0</v>
      </c>
      <c r="R220" s="184" t="s">
        <v>56</v>
      </c>
      <c r="S220" s="167">
        <v>3.0</v>
      </c>
      <c r="T220" s="188"/>
      <c r="U220" s="189"/>
      <c r="V220" s="184" t="s">
        <v>24</v>
      </c>
      <c r="W220" s="167">
        <v>4.0</v>
      </c>
      <c r="X220" s="142">
        <v>1.0</v>
      </c>
      <c r="Y220" s="142">
        <v>1.0</v>
      </c>
      <c r="Z220" s="142">
        <v>1.0</v>
      </c>
      <c r="AA220" s="142">
        <v>1.0</v>
      </c>
      <c r="AB220" s="142">
        <v>1.0</v>
      </c>
      <c r="AC220" s="142">
        <v>1.0</v>
      </c>
      <c r="AD220" s="142">
        <v>1.0</v>
      </c>
      <c r="AE220" s="142">
        <v>1.0</v>
      </c>
      <c r="AF220" s="142">
        <v>8.0</v>
      </c>
      <c r="AG220" s="142">
        <v>0.0</v>
      </c>
      <c r="AH220" s="185" t="str">
        <f>IFERROR(__xludf.DUMMYFUNCTION("if($C220="""","""",if(join("" - "",{iferror(filter('Student Groupings'!$A:$A,'Student Groupings'!$B:$B=$C220,'Student Groupings'!$H:$H=""Can't be Together""),"""");iferror(filter('Student Groupings'!$A:$A,'Student Groupings'!$E:$E=$C220,'Student Groupings"&amp;"'!$H:$H=""Can't be Together""),"""")})="" - "","""",join("" - "",{iferror(filter('Student Groupings'!$A:$A,'Student Groupings'!$B:$B=$C220,'Student Groupings'!$H:$H=""Can't be Together""),"""");iferror(filter('Student Groupings'!$A:$A,'Student Groupings'!"&amp;"$E:$E=$C220,'Student Groupings'!$H:$H=""Can't be Together""),"""")})))"),"")</f>
        <v/>
      </c>
      <c r="AI220" s="185" t="str">
        <f>IFERROR(__xludf.DUMMYFUNCTION("if($C220="""","""",if(join("" - "",{iferror(filter('Student Groupings'!$A:$A,'Student Groupings'!$B:$B=$C220,'Student Groupings'!$H:$H=""Must be Together""),"""");iferror(filter('Student Groupings'!$A:$A,'Student Groupings'!$E:$E=$C220,'Student Groupings'"&amp;"!$H:$H=""Must be Together""),"""")})="" - "","""",join("" - "",{iferror(filter('Student Groupings'!$A:$A,'Student Groupings'!$B:$B=$C220,'Student Groupings'!$H:$H=""Must be Together""),"""");iferror(filter('Student Groupings'!$A:$A,'Student Groupings'!$E:"&amp;"$E=$C220,'Student Groupings'!$H:$H=""Must be Together""),"""")})))"),"")</f>
        <v/>
      </c>
    </row>
    <row r="221">
      <c r="A221" s="167">
        <v>10.0</v>
      </c>
      <c r="B221" s="168">
        <v>28111.0</v>
      </c>
      <c r="C221" s="144" t="s">
        <v>373</v>
      </c>
      <c r="D221" s="180" t="s">
        <v>48</v>
      </c>
      <c r="E221" s="181">
        <v>6.0</v>
      </c>
      <c r="F221" s="167" t="s">
        <v>64</v>
      </c>
      <c r="G221" s="167">
        <v>1.0</v>
      </c>
      <c r="H221" s="182" t="s">
        <v>81</v>
      </c>
      <c r="I221" s="167">
        <v>3.0</v>
      </c>
      <c r="J221" s="187"/>
      <c r="K221" s="167"/>
      <c r="L221" s="184" t="s">
        <v>95</v>
      </c>
      <c r="M221" s="167">
        <v>2.0</v>
      </c>
      <c r="N221" s="184" t="s">
        <v>130</v>
      </c>
      <c r="O221" s="167">
        <v>5.0</v>
      </c>
      <c r="P221" s="184" t="s">
        <v>103</v>
      </c>
      <c r="Q221" s="167">
        <v>4.0</v>
      </c>
      <c r="R221" s="184" t="s">
        <v>56</v>
      </c>
      <c r="S221" s="167">
        <v>8.0</v>
      </c>
      <c r="T221" s="188"/>
      <c r="U221" s="189"/>
      <c r="V221" s="184" t="s">
        <v>24</v>
      </c>
      <c r="W221" s="167">
        <v>7.0</v>
      </c>
      <c r="X221" s="142">
        <v>1.0</v>
      </c>
      <c r="Y221" s="142">
        <v>1.0</v>
      </c>
      <c r="Z221" s="142">
        <v>1.0</v>
      </c>
      <c r="AA221" s="142">
        <v>1.0</v>
      </c>
      <c r="AB221" s="142">
        <v>1.0</v>
      </c>
      <c r="AC221" s="142">
        <v>1.0</v>
      </c>
      <c r="AD221" s="142">
        <v>1.0</v>
      </c>
      <c r="AE221" s="142">
        <v>1.0</v>
      </c>
      <c r="AF221" s="142">
        <v>8.0</v>
      </c>
      <c r="AG221" s="142">
        <v>0.0</v>
      </c>
      <c r="AH221" s="185" t="str">
        <f>IFERROR(__xludf.DUMMYFUNCTION("if($C221="""","""",if(join("" - "",{iferror(filter('Student Groupings'!$A:$A,'Student Groupings'!$B:$B=$C221,'Student Groupings'!$H:$H=""Can't be Together""),"""");iferror(filter('Student Groupings'!$A:$A,'Student Groupings'!$E:$E=$C221,'Student Groupings"&amp;"'!$H:$H=""Can't be Together""),"""")})="" - "","""",join("" - "",{iferror(filter('Student Groupings'!$A:$A,'Student Groupings'!$B:$B=$C221,'Student Groupings'!$H:$H=""Can't be Together""),"""");iferror(filter('Student Groupings'!$A:$A,'Student Groupings'!"&amp;"$E:$E=$C221,'Student Groupings'!$H:$H=""Can't be Together""),"""")})))"),"")</f>
        <v/>
      </c>
      <c r="AI221" s="185" t="str">
        <f>IFERROR(__xludf.DUMMYFUNCTION("if($C221="""","""",if(join("" - "",{iferror(filter('Student Groupings'!$A:$A,'Student Groupings'!$B:$B=$C221,'Student Groupings'!$H:$H=""Must be Together""),"""");iferror(filter('Student Groupings'!$A:$A,'Student Groupings'!$E:$E=$C221,'Student Groupings'"&amp;"!$H:$H=""Must be Together""),"""")})="" - "","""",join("" - "",{iferror(filter('Student Groupings'!$A:$A,'Student Groupings'!$B:$B=$C221,'Student Groupings'!$H:$H=""Must be Together""),"""");iferror(filter('Student Groupings'!$A:$A,'Student Groupings'!$E:"&amp;"$E=$C221,'Student Groupings'!$H:$H=""Must be Together""),"""")})))"),"")</f>
        <v/>
      </c>
    </row>
    <row r="222">
      <c r="A222" s="167">
        <v>10.0</v>
      </c>
      <c r="B222" s="168">
        <v>28011.0</v>
      </c>
      <c r="C222" s="144" t="s">
        <v>374</v>
      </c>
      <c r="D222" s="180" t="s">
        <v>48</v>
      </c>
      <c r="E222" s="181">
        <v>1.0</v>
      </c>
      <c r="F222" s="167" t="s">
        <v>64</v>
      </c>
      <c r="G222" s="167">
        <v>5.0</v>
      </c>
      <c r="H222" s="182" t="s">
        <v>76</v>
      </c>
      <c r="I222" s="167">
        <v>4.0</v>
      </c>
      <c r="J222" s="187"/>
      <c r="K222" s="167"/>
      <c r="L222" s="184" t="s">
        <v>95</v>
      </c>
      <c r="M222" s="167">
        <v>3.0</v>
      </c>
      <c r="N222" s="184" t="s">
        <v>130</v>
      </c>
      <c r="O222" s="167">
        <v>7.0</v>
      </c>
      <c r="P222" s="184" t="s">
        <v>103</v>
      </c>
      <c r="Q222" s="167">
        <v>6.0</v>
      </c>
      <c r="R222" s="184" t="s">
        <v>56</v>
      </c>
      <c r="S222" s="167">
        <v>2.0</v>
      </c>
      <c r="T222" s="188"/>
      <c r="U222" s="167"/>
      <c r="V222" s="184" t="s">
        <v>24</v>
      </c>
      <c r="W222" s="167">
        <v>8.0</v>
      </c>
      <c r="X222" s="142">
        <v>1.0</v>
      </c>
      <c r="Y222" s="142">
        <v>1.0</v>
      </c>
      <c r="Z222" s="142">
        <v>1.0</v>
      </c>
      <c r="AA222" s="142">
        <v>1.0</v>
      </c>
      <c r="AB222" s="142">
        <v>1.0</v>
      </c>
      <c r="AC222" s="142">
        <v>1.0</v>
      </c>
      <c r="AD222" s="142">
        <v>1.0</v>
      </c>
      <c r="AE222" s="142">
        <v>1.0</v>
      </c>
      <c r="AF222" s="142">
        <v>8.0</v>
      </c>
      <c r="AG222" s="142">
        <v>0.0</v>
      </c>
      <c r="AH222" s="185" t="str">
        <f>IFERROR(__xludf.DUMMYFUNCTION("if($C222="""","""",if(join("" - "",{iferror(filter('Student Groupings'!$A:$A,'Student Groupings'!$B:$B=$C222,'Student Groupings'!$H:$H=""Can't be Together""),"""");iferror(filter('Student Groupings'!$A:$A,'Student Groupings'!$E:$E=$C222,'Student Groupings"&amp;"'!$H:$H=""Can't be Together""),"""")})="" - "","""",join("" - "",{iferror(filter('Student Groupings'!$A:$A,'Student Groupings'!$B:$B=$C222,'Student Groupings'!$H:$H=""Can't be Together""),"""");iferror(filter('Student Groupings'!$A:$A,'Student Groupings'!"&amp;"$E:$E=$C222,'Student Groupings'!$H:$H=""Can't be Together""),"""")})))"),"")</f>
        <v/>
      </c>
      <c r="AI222" s="185" t="str">
        <f>IFERROR(__xludf.DUMMYFUNCTION("if($C222="""","""",if(join("" - "",{iferror(filter('Student Groupings'!$A:$A,'Student Groupings'!$B:$B=$C222,'Student Groupings'!$H:$H=""Must be Together""),"""");iferror(filter('Student Groupings'!$A:$A,'Student Groupings'!$E:$E=$C222,'Student Groupings'"&amp;"!$H:$H=""Must be Together""),"""")})="" - "","""",join("" - "",{iferror(filter('Student Groupings'!$A:$A,'Student Groupings'!$B:$B=$C222,'Student Groupings'!$H:$H=""Must be Together""),"""");iferror(filter('Student Groupings'!$A:$A,'Student Groupings'!$E:"&amp;"$E=$C222,'Student Groupings'!$H:$H=""Must be Together""),"""")})))"),"")</f>
        <v/>
      </c>
    </row>
    <row r="223">
      <c r="A223" s="205">
        <v>10.0</v>
      </c>
      <c r="B223" s="206">
        <v>28115.0</v>
      </c>
      <c r="C223" s="207" t="s">
        <v>375</v>
      </c>
      <c r="D223" s="208" t="s">
        <v>48</v>
      </c>
      <c r="E223" s="209">
        <v>5.0</v>
      </c>
      <c r="F223" s="205" t="s">
        <v>64</v>
      </c>
      <c r="G223" s="205">
        <v>6.0</v>
      </c>
      <c r="H223" s="210" t="s">
        <v>76</v>
      </c>
      <c r="I223" s="205">
        <v>4.0</v>
      </c>
      <c r="J223" s="211"/>
      <c r="K223" s="205"/>
      <c r="L223" s="212" t="s">
        <v>95</v>
      </c>
      <c r="M223" s="205">
        <v>8.0</v>
      </c>
      <c r="N223" s="212" t="s">
        <v>130</v>
      </c>
      <c r="O223" s="205">
        <v>2.0</v>
      </c>
      <c r="P223" s="210" t="s">
        <v>100</v>
      </c>
      <c r="Q223" s="205">
        <v>7.0</v>
      </c>
      <c r="R223" s="212" t="s">
        <v>56</v>
      </c>
      <c r="S223" s="205">
        <v>3.0</v>
      </c>
      <c r="T223" s="213"/>
      <c r="U223" s="214"/>
      <c r="V223" s="212" t="s">
        <v>26</v>
      </c>
      <c r="W223" s="205">
        <v>1.0</v>
      </c>
      <c r="X223" s="214">
        <v>1.0</v>
      </c>
      <c r="Y223" s="214">
        <v>1.0</v>
      </c>
      <c r="Z223" s="214">
        <v>1.0</v>
      </c>
      <c r="AA223" s="214">
        <v>1.0</v>
      </c>
      <c r="AB223" s="214">
        <v>1.0</v>
      </c>
      <c r="AC223" s="214">
        <v>1.0</v>
      </c>
      <c r="AD223" s="214">
        <v>1.0</v>
      </c>
      <c r="AE223" s="214">
        <v>1.0</v>
      </c>
      <c r="AF223" s="214">
        <v>8.0</v>
      </c>
      <c r="AG223" s="214">
        <v>0.0</v>
      </c>
      <c r="AH223" s="215" t="str">
        <f>IFERROR(__xludf.DUMMYFUNCTION("if($C223="""","""",if(join("" - "",{iferror(filter('Student Groupings'!$A:$A,'Student Groupings'!$B:$B=$C223,'Student Groupings'!$H:$H=""Can't be Together""),"""");iferror(filter('Student Groupings'!$A:$A,'Student Groupings'!$E:$E=$C223,'Student Groupings"&amp;"'!$H:$H=""Can't be Together""),"""")})="" - "","""",join("" - "",{iferror(filter('Student Groupings'!$A:$A,'Student Groupings'!$B:$B=$C223,'Student Groupings'!$H:$H=""Can't be Together""),"""");iferror(filter('Student Groupings'!$A:$A,'Student Groupings'!"&amp;"$E:$E=$C223,'Student Groupings'!$H:$H=""Can't be Together""),"""")})))"),"")</f>
        <v/>
      </c>
      <c r="AI223" s="215" t="str">
        <f>IFERROR(__xludf.DUMMYFUNCTION("if($C223="""","""",if(join("" - "",{iferror(filter('Student Groupings'!$A:$A,'Student Groupings'!$B:$B=$C223,'Student Groupings'!$H:$H=""Must be Together""),"""");iferror(filter('Student Groupings'!$A:$A,'Student Groupings'!$E:$E=$C223,'Student Groupings'"&amp;"!$H:$H=""Must be Together""),"""")})="" - "","""",join("" - "",{iferror(filter('Student Groupings'!$A:$A,'Student Groupings'!$B:$B=$C223,'Student Groupings'!$H:$H=""Must be Together""),"""");iferror(filter('Student Groupings'!$A:$A,'Student Groupings'!$E:"&amp;"$E=$C223,'Student Groupings'!$H:$H=""Must be Together""),"""")})))"),"")</f>
        <v/>
      </c>
    </row>
    <row r="224">
      <c r="A224" s="167">
        <v>10.0</v>
      </c>
      <c r="B224" s="168">
        <v>28106.0</v>
      </c>
      <c r="C224" s="144" t="s">
        <v>376</v>
      </c>
      <c r="D224" s="180" t="s">
        <v>48</v>
      </c>
      <c r="E224" s="181">
        <v>1.0</v>
      </c>
      <c r="F224" s="167" t="s">
        <v>64</v>
      </c>
      <c r="G224" s="167">
        <v>5.0</v>
      </c>
      <c r="H224" s="182" t="s">
        <v>76</v>
      </c>
      <c r="I224" s="167">
        <v>6.0</v>
      </c>
      <c r="J224" s="187"/>
      <c r="K224" s="167"/>
      <c r="L224" s="184" t="s">
        <v>95</v>
      </c>
      <c r="M224" s="167">
        <v>2.0</v>
      </c>
      <c r="N224" s="184" t="s">
        <v>130</v>
      </c>
      <c r="O224" s="167">
        <v>7.0</v>
      </c>
      <c r="P224" s="182" t="s">
        <v>100</v>
      </c>
      <c r="Q224" s="167">
        <v>4.0</v>
      </c>
      <c r="R224" s="184" t="s">
        <v>56</v>
      </c>
      <c r="S224" s="167">
        <v>8.0</v>
      </c>
      <c r="T224" s="183"/>
      <c r="U224" s="167"/>
      <c r="V224" s="184" t="s">
        <v>117</v>
      </c>
      <c r="W224" s="167">
        <v>3.0</v>
      </c>
      <c r="X224" s="142">
        <v>1.0</v>
      </c>
      <c r="Y224" s="142">
        <v>1.0</v>
      </c>
      <c r="Z224" s="142">
        <v>1.0</v>
      </c>
      <c r="AA224" s="142">
        <v>1.0</v>
      </c>
      <c r="AB224" s="142">
        <v>1.0</v>
      </c>
      <c r="AC224" s="142">
        <v>1.0</v>
      </c>
      <c r="AD224" s="142">
        <v>1.0</v>
      </c>
      <c r="AE224" s="142">
        <v>1.0</v>
      </c>
      <c r="AF224" s="142">
        <v>8.0</v>
      </c>
      <c r="AG224" s="142">
        <v>0.0</v>
      </c>
      <c r="AH224" s="185" t="str">
        <f>IFERROR(__xludf.DUMMYFUNCTION("if($C224="""","""",if(join("" - "",{iferror(filter('Student Groupings'!$A:$A,'Student Groupings'!$B:$B=$C224,'Student Groupings'!$H:$H=""Can't be Together""),"""");iferror(filter('Student Groupings'!$A:$A,'Student Groupings'!$E:$E=$C224,'Student Groupings"&amp;"'!$H:$H=""Can't be Together""),"""")})="" - "","""",join("" - "",{iferror(filter('Student Groupings'!$A:$A,'Student Groupings'!$B:$B=$C224,'Student Groupings'!$H:$H=""Can't be Together""),"""");iferror(filter('Student Groupings'!$A:$A,'Student Groupings'!"&amp;"$E:$E=$C224,'Student Groupings'!$H:$H=""Can't be Together""),"""")})))"),"")</f>
        <v/>
      </c>
      <c r="AI224" s="185" t="str">
        <f>IFERROR(__xludf.DUMMYFUNCTION("if($C224="""","""",if(join("" - "",{iferror(filter('Student Groupings'!$A:$A,'Student Groupings'!$B:$B=$C224,'Student Groupings'!$H:$H=""Must be Together""),"""");iferror(filter('Student Groupings'!$A:$A,'Student Groupings'!$E:$E=$C224,'Student Groupings'"&amp;"!$H:$H=""Must be Together""),"""")})="" - "","""",join("" - "",{iferror(filter('Student Groupings'!$A:$A,'Student Groupings'!$B:$B=$C224,'Student Groupings'!$H:$H=""Must be Together""),"""");iferror(filter('Student Groupings'!$A:$A,'Student Groupings'!$E:"&amp;"$E=$C224,'Student Groupings'!$H:$H=""Must be Together""),"""")})))"),"")</f>
        <v/>
      </c>
    </row>
    <row r="225">
      <c r="A225" s="167">
        <v>10.0</v>
      </c>
      <c r="B225" s="168">
        <v>28004.0</v>
      </c>
      <c r="C225" s="144" t="s">
        <v>377</v>
      </c>
      <c r="D225" s="180" t="s">
        <v>37</v>
      </c>
      <c r="E225" s="181">
        <v>8.0</v>
      </c>
      <c r="F225" s="167" t="s">
        <v>64</v>
      </c>
      <c r="G225" s="167">
        <v>1.0</v>
      </c>
      <c r="H225" s="182" t="s">
        <v>76</v>
      </c>
      <c r="I225" s="167">
        <v>4.0</v>
      </c>
      <c r="J225" s="187"/>
      <c r="K225" s="167"/>
      <c r="L225" s="184" t="s">
        <v>95</v>
      </c>
      <c r="M225" s="180">
        <v>3.0</v>
      </c>
      <c r="N225" s="184" t="s">
        <v>130</v>
      </c>
      <c r="O225" s="167">
        <v>6.0</v>
      </c>
      <c r="P225" s="182" t="s">
        <v>100</v>
      </c>
      <c r="Q225" s="167">
        <v>2.0</v>
      </c>
      <c r="R225" s="184" t="s">
        <v>56</v>
      </c>
      <c r="S225" s="167">
        <v>7.0</v>
      </c>
      <c r="T225" s="188"/>
      <c r="U225" s="142"/>
      <c r="V225" s="184" t="s">
        <v>30</v>
      </c>
      <c r="W225" s="167">
        <v>5.0</v>
      </c>
      <c r="X225" s="142">
        <v>1.0</v>
      </c>
      <c r="Y225" s="142">
        <v>1.0</v>
      </c>
      <c r="Z225" s="142">
        <v>1.0</v>
      </c>
      <c r="AA225" s="142">
        <v>1.0</v>
      </c>
      <c r="AB225" s="142">
        <v>1.0</v>
      </c>
      <c r="AC225" s="142">
        <v>1.0</v>
      </c>
      <c r="AD225" s="142">
        <v>1.0</v>
      </c>
      <c r="AE225" s="142">
        <v>1.0</v>
      </c>
      <c r="AF225" s="142">
        <v>8.0</v>
      </c>
      <c r="AG225" s="142">
        <v>0.0</v>
      </c>
      <c r="AH225" s="185" t="str">
        <f>IFERROR(__xludf.DUMMYFUNCTION("if($C225="""","""",if(join("" - "",{iferror(filter('Student Groupings'!$A:$A,'Student Groupings'!$B:$B=$C225,'Student Groupings'!$H:$H=""Can't be Together""),"""");iferror(filter('Student Groupings'!$A:$A,'Student Groupings'!$E:$E=$C225,'Student Groupings"&amp;"'!$H:$H=""Can't be Together""),"""")})="" - "","""",join("" - "",{iferror(filter('Student Groupings'!$A:$A,'Student Groupings'!$B:$B=$C225,'Student Groupings'!$H:$H=""Can't be Together""),"""");iferror(filter('Student Groupings'!$A:$A,'Student Groupings'!"&amp;"$E:$E=$C225,'Student Groupings'!$H:$H=""Can't be Together""),"""")})))"),"")</f>
        <v/>
      </c>
      <c r="AI225" s="185" t="str">
        <f>IFERROR(__xludf.DUMMYFUNCTION("if($C225="""","""",if(join("" - "",{iferror(filter('Student Groupings'!$A:$A,'Student Groupings'!$B:$B=$C225,'Student Groupings'!$H:$H=""Must be Together""),"""");iferror(filter('Student Groupings'!$A:$A,'Student Groupings'!$E:$E=$C225,'Student Groupings'"&amp;"!$H:$H=""Must be Together""),"""")})="" - "","""",join("" - "",{iferror(filter('Student Groupings'!$A:$A,'Student Groupings'!$B:$B=$C225,'Student Groupings'!$H:$H=""Must be Together""),"""");iferror(filter('Student Groupings'!$A:$A,'Student Groupings'!$E:"&amp;"$E=$C225,'Student Groupings'!$H:$H=""Must be Together""),"""")})))"),"")</f>
        <v/>
      </c>
    </row>
    <row r="226">
      <c r="A226" s="167">
        <v>10.0</v>
      </c>
      <c r="B226" s="168">
        <v>28001.0</v>
      </c>
      <c r="C226" s="144" t="s">
        <v>378</v>
      </c>
      <c r="D226" s="180" t="s">
        <v>37</v>
      </c>
      <c r="E226" s="181">
        <v>8.0</v>
      </c>
      <c r="F226" s="167" t="s">
        <v>64</v>
      </c>
      <c r="G226" s="167">
        <v>5.0</v>
      </c>
      <c r="H226" s="182" t="s">
        <v>76</v>
      </c>
      <c r="I226" s="167">
        <v>6.0</v>
      </c>
      <c r="J226" s="183"/>
      <c r="K226" s="167"/>
      <c r="L226" s="184" t="s">
        <v>95</v>
      </c>
      <c r="M226" s="167">
        <v>2.0</v>
      </c>
      <c r="N226" s="184" t="s">
        <v>130</v>
      </c>
      <c r="O226" s="167">
        <v>4.0</v>
      </c>
      <c r="P226" s="182" t="s">
        <v>100</v>
      </c>
      <c r="Q226" s="167">
        <v>7.0</v>
      </c>
      <c r="R226" s="184" t="s">
        <v>56</v>
      </c>
      <c r="S226" s="167">
        <v>3.0</v>
      </c>
      <c r="T226" s="188"/>
      <c r="U226" s="142"/>
      <c r="V226" s="184" t="s">
        <v>26</v>
      </c>
      <c r="W226" s="167">
        <v>1.0</v>
      </c>
      <c r="X226" s="142">
        <v>1.0</v>
      </c>
      <c r="Y226" s="142">
        <v>1.0</v>
      </c>
      <c r="Z226" s="142">
        <v>1.0</v>
      </c>
      <c r="AA226" s="142">
        <v>1.0</v>
      </c>
      <c r="AB226" s="142">
        <v>1.0</v>
      </c>
      <c r="AC226" s="142">
        <v>1.0</v>
      </c>
      <c r="AD226" s="142">
        <v>1.0</v>
      </c>
      <c r="AE226" s="142">
        <v>1.0</v>
      </c>
      <c r="AF226" s="142">
        <v>8.0</v>
      </c>
      <c r="AG226" s="142">
        <v>0.0</v>
      </c>
      <c r="AH226" s="185" t="str">
        <f>IFERROR(__xludf.DUMMYFUNCTION("if($C226="""","""",if(join("" - "",{iferror(filter('Student Groupings'!$A:$A,'Student Groupings'!$B:$B=$C226,'Student Groupings'!$H:$H=""Can't be Together""),"""");iferror(filter('Student Groupings'!$A:$A,'Student Groupings'!$E:$E=$C226,'Student Groupings"&amp;"'!$H:$H=""Can't be Together""),"""")})="" - "","""",join("" - "",{iferror(filter('Student Groupings'!$A:$A,'Student Groupings'!$B:$B=$C226,'Student Groupings'!$H:$H=""Can't be Together""),"""");iferror(filter('Student Groupings'!$A:$A,'Student Groupings'!"&amp;"$E:$E=$C226,'Student Groupings'!$H:$H=""Can't be Together""),"""")})))")," - 77")</f>
        <v> - 77</v>
      </c>
      <c r="AI226" s="185" t="str">
        <f>IFERROR(__xludf.DUMMYFUNCTION("if($C226="""","""",if(join("" - "",{iferror(filter('Student Groupings'!$A:$A,'Student Groupings'!$B:$B=$C226,'Student Groupings'!$H:$H=""Must be Together""),"""");iferror(filter('Student Groupings'!$A:$A,'Student Groupings'!$E:$E=$C226,'Student Groupings'"&amp;"!$H:$H=""Must be Together""),"""")})="" - "","""",join("" - "",{iferror(filter('Student Groupings'!$A:$A,'Student Groupings'!$B:$B=$C226,'Student Groupings'!$H:$H=""Must be Together""),"""");iferror(filter('Student Groupings'!$A:$A,'Student Groupings'!$E:"&amp;"$E=$C226,'Student Groupings'!$H:$H=""Must be Together""),"""")})))"),"")</f>
        <v/>
      </c>
    </row>
    <row r="227">
      <c r="A227" s="167">
        <v>10.0</v>
      </c>
      <c r="B227" s="194">
        <v>28055.0</v>
      </c>
      <c r="C227" s="144" t="s">
        <v>379</v>
      </c>
      <c r="D227" s="180" t="s">
        <v>37</v>
      </c>
      <c r="E227" s="181">
        <v>5.0</v>
      </c>
      <c r="F227" s="167" t="s">
        <v>64</v>
      </c>
      <c r="G227" s="167">
        <v>6.0</v>
      </c>
      <c r="H227" s="182" t="s">
        <v>76</v>
      </c>
      <c r="I227" s="167">
        <v>3.0</v>
      </c>
      <c r="J227" s="187"/>
      <c r="K227" s="167"/>
      <c r="L227" s="184" t="s">
        <v>95</v>
      </c>
      <c r="M227" s="167">
        <v>8.0</v>
      </c>
      <c r="N227" s="184" t="s">
        <v>130</v>
      </c>
      <c r="O227" s="167">
        <v>7.0</v>
      </c>
      <c r="P227" s="182" t="s">
        <v>100</v>
      </c>
      <c r="Q227" s="167">
        <v>2.0</v>
      </c>
      <c r="R227" s="184" t="s">
        <v>56</v>
      </c>
      <c r="S227" s="167">
        <v>4.0</v>
      </c>
      <c r="T227" s="188"/>
      <c r="U227" s="142"/>
      <c r="V227" s="184" t="s">
        <v>26</v>
      </c>
      <c r="W227" s="167">
        <v>1.0</v>
      </c>
      <c r="X227" s="142">
        <v>1.0</v>
      </c>
      <c r="Y227" s="142">
        <v>1.0</v>
      </c>
      <c r="Z227" s="142">
        <v>1.0</v>
      </c>
      <c r="AA227" s="142">
        <v>1.0</v>
      </c>
      <c r="AB227" s="142">
        <v>1.0</v>
      </c>
      <c r="AC227" s="142">
        <v>1.0</v>
      </c>
      <c r="AD227" s="142">
        <v>1.0</v>
      </c>
      <c r="AE227" s="142">
        <v>1.0</v>
      </c>
      <c r="AF227" s="142">
        <v>8.0</v>
      </c>
      <c r="AG227" s="142">
        <v>0.0</v>
      </c>
      <c r="AH227" s="185" t="str">
        <f>IFERROR(__xludf.DUMMYFUNCTION("if($C227="""","""",if(join("" - "",{iferror(filter('Student Groupings'!$A:$A,'Student Groupings'!$B:$B=$C227,'Student Groupings'!$H:$H=""Can't be Together""),"""");iferror(filter('Student Groupings'!$A:$A,'Student Groupings'!$E:$E=$C227,'Student Groupings"&amp;"'!$H:$H=""Can't be Together""),"""")})="" - "","""",join("" - "",{iferror(filter('Student Groupings'!$A:$A,'Student Groupings'!$B:$B=$C227,'Student Groupings'!$H:$H=""Can't be Together""),"""");iferror(filter('Student Groupings'!$A:$A,'Student Groupings'!"&amp;"$E:$E=$C227,'Student Groupings'!$H:$H=""Can't be Together""),"""")})))"),"")</f>
        <v/>
      </c>
      <c r="AI227" s="185" t="str">
        <f>IFERROR(__xludf.DUMMYFUNCTION("if($C227="""","""",if(join("" - "",{iferror(filter('Student Groupings'!$A:$A,'Student Groupings'!$B:$B=$C227,'Student Groupings'!$H:$H=""Must be Together""),"""");iferror(filter('Student Groupings'!$A:$A,'Student Groupings'!$E:$E=$C227,'Student Groupings'"&amp;"!$H:$H=""Must be Together""),"""")})="" - "","""",join("" - "",{iferror(filter('Student Groupings'!$A:$A,'Student Groupings'!$B:$B=$C227,'Student Groupings'!$H:$H=""Must be Together""),"""");iferror(filter('Student Groupings'!$A:$A,'Student Groupings'!$E:"&amp;"$E=$C227,'Student Groupings'!$H:$H=""Must be Together""),"""")})))"),"")</f>
        <v/>
      </c>
    </row>
    <row r="228">
      <c r="A228" s="167">
        <v>10.0</v>
      </c>
      <c r="B228" s="168">
        <v>28009.0</v>
      </c>
      <c r="C228" s="144" t="s">
        <v>380</v>
      </c>
      <c r="D228" s="180" t="s">
        <v>37</v>
      </c>
      <c r="E228" s="181">
        <v>8.0</v>
      </c>
      <c r="F228" s="167" t="s">
        <v>64</v>
      </c>
      <c r="G228" s="167">
        <v>3.0</v>
      </c>
      <c r="H228" s="182" t="s">
        <v>76</v>
      </c>
      <c r="I228" s="167">
        <v>6.0</v>
      </c>
      <c r="J228" s="187"/>
      <c r="K228" s="167"/>
      <c r="L228" s="184" t="s">
        <v>95</v>
      </c>
      <c r="M228" s="167">
        <v>2.0</v>
      </c>
      <c r="N228" s="184" t="s">
        <v>130</v>
      </c>
      <c r="O228" s="167">
        <v>5.0</v>
      </c>
      <c r="P228" s="182" t="s">
        <v>100</v>
      </c>
      <c r="Q228" s="167">
        <v>4.0</v>
      </c>
      <c r="R228" s="184" t="s">
        <v>56</v>
      </c>
      <c r="S228" s="167">
        <v>7.0</v>
      </c>
      <c r="T228" s="188"/>
      <c r="U228" s="142"/>
      <c r="V228" s="184" t="s">
        <v>26</v>
      </c>
      <c r="W228" s="167">
        <v>1.0</v>
      </c>
      <c r="X228" s="142">
        <v>1.0</v>
      </c>
      <c r="Y228" s="142">
        <v>1.0</v>
      </c>
      <c r="Z228" s="142">
        <v>1.0</v>
      </c>
      <c r="AA228" s="142">
        <v>1.0</v>
      </c>
      <c r="AB228" s="142">
        <v>1.0</v>
      </c>
      <c r="AC228" s="142">
        <v>1.0</v>
      </c>
      <c r="AD228" s="142">
        <v>1.0</v>
      </c>
      <c r="AE228" s="142">
        <v>1.0</v>
      </c>
      <c r="AF228" s="142">
        <v>8.0</v>
      </c>
      <c r="AG228" s="142">
        <v>0.0</v>
      </c>
      <c r="AH228" s="185" t="str">
        <f>IFERROR(__xludf.DUMMYFUNCTION("if($C228="""","""",if(join("" - "",{iferror(filter('Student Groupings'!$A:$A,'Student Groupings'!$B:$B=$C228,'Student Groupings'!$H:$H=""Can't be Together""),"""");iferror(filter('Student Groupings'!$A:$A,'Student Groupings'!$E:$E=$C228,'Student Groupings"&amp;"'!$H:$H=""Can't be Together""),"""")})="" - "","""",join("" - "",{iferror(filter('Student Groupings'!$A:$A,'Student Groupings'!$B:$B=$C228,'Student Groupings'!$H:$H=""Can't be Together""),"""");iferror(filter('Student Groupings'!$A:$A,'Student Groupings'!"&amp;"$E:$E=$C228,'Student Groupings'!$H:$H=""Can't be Together""),"""")})))"),"")</f>
        <v/>
      </c>
      <c r="AI228" s="185" t="str">
        <f>IFERROR(__xludf.DUMMYFUNCTION("if($C228="""","""",if(join("" - "",{iferror(filter('Student Groupings'!$A:$A,'Student Groupings'!$B:$B=$C228,'Student Groupings'!$H:$H=""Must be Together""),"""");iferror(filter('Student Groupings'!$A:$A,'Student Groupings'!$E:$E=$C228,'Student Groupings'"&amp;"!$H:$H=""Must be Together""),"""")})="" - "","""",join("" - "",{iferror(filter('Student Groupings'!$A:$A,'Student Groupings'!$B:$B=$C228,'Student Groupings'!$H:$H=""Must be Together""),"""");iferror(filter('Student Groupings'!$A:$A,'Student Groupings'!$E:"&amp;"$E=$C228,'Student Groupings'!$H:$H=""Must be Together""),"""")})))"),"")</f>
        <v/>
      </c>
    </row>
    <row r="229">
      <c r="A229" s="167">
        <v>10.0</v>
      </c>
      <c r="B229" s="168">
        <v>28089.0</v>
      </c>
      <c r="C229" s="144" t="s">
        <v>381</v>
      </c>
      <c r="D229" s="180" t="s">
        <v>37</v>
      </c>
      <c r="E229" s="181">
        <v>5.0</v>
      </c>
      <c r="F229" s="167" t="s">
        <v>64</v>
      </c>
      <c r="G229" s="167">
        <v>3.0</v>
      </c>
      <c r="H229" s="182" t="s">
        <v>76</v>
      </c>
      <c r="I229" s="167">
        <v>7.0</v>
      </c>
      <c r="J229" s="187"/>
      <c r="K229" s="167"/>
      <c r="L229" s="184" t="s">
        <v>95</v>
      </c>
      <c r="M229" s="167">
        <v>8.0</v>
      </c>
      <c r="N229" s="184" t="s">
        <v>130</v>
      </c>
      <c r="O229" s="167">
        <v>6.0</v>
      </c>
      <c r="P229" s="182" t="s">
        <v>100</v>
      </c>
      <c r="Q229" s="167">
        <v>2.0</v>
      </c>
      <c r="R229" s="184" t="s">
        <v>56</v>
      </c>
      <c r="S229" s="167">
        <v>1.0</v>
      </c>
      <c r="T229" s="188"/>
      <c r="U229" s="142"/>
      <c r="V229" s="184" t="s">
        <v>86</v>
      </c>
      <c r="W229" s="167">
        <v>4.0</v>
      </c>
      <c r="X229" s="142">
        <v>1.0</v>
      </c>
      <c r="Y229" s="142">
        <v>1.0</v>
      </c>
      <c r="Z229" s="142">
        <v>1.0</v>
      </c>
      <c r="AA229" s="142">
        <v>1.0</v>
      </c>
      <c r="AB229" s="142">
        <v>1.0</v>
      </c>
      <c r="AC229" s="142">
        <v>1.0</v>
      </c>
      <c r="AD229" s="142">
        <v>1.0</v>
      </c>
      <c r="AE229" s="142">
        <v>1.0</v>
      </c>
      <c r="AF229" s="142">
        <v>8.0</v>
      </c>
      <c r="AG229" s="142">
        <v>0.0</v>
      </c>
      <c r="AH229" s="185" t="str">
        <f>IFERROR(__xludf.DUMMYFUNCTION("if($C229="""","""",if(join("" - "",{iferror(filter('Student Groupings'!$A:$A,'Student Groupings'!$B:$B=$C229,'Student Groupings'!$H:$H=""Can't be Together""),"""");iferror(filter('Student Groupings'!$A:$A,'Student Groupings'!$E:$E=$C229,'Student Groupings"&amp;"'!$H:$H=""Can't be Together""),"""")})="" - "","""",join("" - "",{iferror(filter('Student Groupings'!$A:$A,'Student Groupings'!$B:$B=$C229,'Student Groupings'!$H:$H=""Can't be Together""),"""");iferror(filter('Student Groupings'!$A:$A,'Student Groupings'!"&amp;"$E:$E=$C229,'Student Groupings'!$H:$H=""Can't be Together""),"""")})))"),"")</f>
        <v/>
      </c>
      <c r="AI229" s="185" t="str">
        <f>IFERROR(__xludf.DUMMYFUNCTION("if($C229="""","""",if(join("" - "",{iferror(filter('Student Groupings'!$A:$A,'Student Groupings'!$B:$B=$C229,'Student Groupings'!$H:$H=""Must be Together""),"""");iferror(filter('Student Groupings'!$A:$A,'Student Groupings'!$E:$E=$C229,'Student Groupings'"&amp;"!$H:$H=""Must be Together""),"""")})="" - "","""",join("" - "",{iferror(filter('Student Groupings'!$A:$A,'Student Groupings'!$B:$B=$C229,'Student Groupings'!$H:$H=""Must be Together""),"""");iferror(filter('Student Groupings'!$A:$A,'Student Groupings'!$E:"&amp;"$E=$C229,'Student Groupings'!$H:$H=""Must be Together""),"""")})))"),"")</f>
        <v/>
      </c>
    </row>
    <row r="230">
      <c r="A230" s="167">
        <v>10.0</v>
      </c>
      <c r="B230" s="168">
        <v>28072.0</v>
      </c>
      <c r="C230" s="144" t="s">
        <v>382</v>
      </c>
      <c r="D230" s="180" t="s">
        <v>37</v>
      </c>
      <c r="E230" s="181">
        <v>2.0</v>
      </c>
      <c r="F230" s="167" t="s">
        <v>64</v>
      </c>
      <c r="G230" s="167">
        <v>8.0</v>
      </c>
      <c r="H230" s="182" t="s">
        <v>76</v>
      </c>
      <c r="I230" s="167">
        <v>6.0</v>
      </c>
      <c r="J230" s="187"/>
      <c r="K230" s="167"/>
      <c r="L230" s="184" t="s">
        <v>95</v>
      </c>
      <c r="M230" s="167">
        <v>1.0</v>
      </c>
      <c r="N230" s="184" t="s">
        <v>130</v>
      </c>
      <c r="O230" s="167">
        <v>5.0</v>
      </c>
      <c r="P230" s="182" t="s">
        <v>100</v>
      </c>
      <c r="Q230" s="167">
        <v>7.0</v>
      </c>
      <c r="R230" s="184" t="s">
        <v>56</v>
      </c>
      <c r="S230" s="167">
        <v>3.0</v>
      </c>
      <c r="T230" s="188"/>
      <c r="U230" s="142"/>
      <c r="V230" s="184" t="s">
        <v>86</v>
      </c>
      <c r="W230" s="167">
        <v>4.0</v>
      </c>
      <c r="X230" s="142">
        <v>1.0</v>
      </c>
      <c r="Y230" s="142">
        <v>1.0</v>
      </c>
      <c r="Z230" s="142">
        <v>1.0</v>
      </c>
      <c r="AA230" s="142">
        <v>1.0</v>
      </c>
      <c r="AB230" s="142">
        <v>1.0</v>
      </c>
      <c r="AC230" s="142">
        <v>1.0</v>
      </c>
      <c r="AD230" s="142">
        <v>1.0</v>
      </c>
      <c r="AE230" s="142">
        <v>1.0</v>
      </c>
      <c r="AF230" s="142">
        <v>8.0</v>
      </c>
      <c r="AG230" s="142">
        <v>0.0</v>
      </c>
      <c r="AH230" s="185" t="str">
        <f>IFERROR(__xludf.DUMMYFUNCTION("if($C230="""","""",if(join("" - "",{iferror(filter('Student Groupings'!$A:$A,'Student Groupings'!$B:$B=$C230,'Student Groupings'!$H:$H=""Can't be Together""),"""");iferror(filter('Student Groupings'!$A:$A,'Student Groupings'!$E:$E=$C230,'Student Groupings"&amp;"'!$H:$H=""Can't be Together""),"""")})="" - "","""",join("" - "",{iferror(filter('Student Groupings'!$A:$A,'Student Groupings'!$B:$B=$C230,'Student Groupings'!$H:$H=""Can't be Together""),"""");iferror(filter('Student Groupings'!$A:$A,'Student Groupings'!"&amp;"$E:$E=$C230,'Student Groupings'!$H:$H=""Can't be Together""),"""")})))")," - 6")</f>
        <v> - 6</v>
      </c>
      <c r="AI230" s="185" t="str">
        <f>IFERROR(__xludf.DUMMYFUNCTION("if($C230="""","""",if(join("" - "",{iferror(filter('Student Groupings'!$A:$A,'Student Groupings'!$B:$B=$C230,'Student Groupings'!$H:$H=""Must be Together""),"""");iferror(filter('Student Groupings'!$A:$A,'Student Groupings'!$E:$E=$C230,'Student Groupings'"&amp;"!$H:$H=""Must be Together""),"""")})="" - "","""",join("" - "",{iferror(filter('Student Groupings'!$A:$A,'Student Groupings'!$B:$B=$C230,'Student Groupings'!$H:$H=""Must be Together""),"""");iferror(filter('Student Groupings'!$A:$A,'Student Groupings'!$E:"&amp;"$E=$C230,'Student Groupings'!$H:$H=""Must be Together""),"""")})))"),"")</f>
        <v/>
      </c>
    </row>
    <row r="231">
      <c r="A231" s="167">
        <v>10.0</v>
      </c>
      <c r="B231" s="168">
        <v>28005.0</v>
      </c>
      <c r="C231" s="144" t="s">
        <v>383</v>
      </c>
      <c r="D231" s="180" t="s">
        <v>48</v>
      </c>
      <c r="E231" s="181">
        <v>1.0</v>
      </c>
      <c r="F231" s="167" t="s">
        <v>64</v>
      </c>
      <c r="G231" s="167">
        <v>5.0</v>
      </c>
      <c r="H231" s="182" t="s">
        <v>79</v>
      </c>
      <c r="I231" s="167">
        <v>3.0</v>
      </c>
      <c r="J231" s="187"/>
      <c r="K231" s="167"/>
      <c r="L231" s="184" t="s">
        <v>95</v>
      </c>
      <c r="M231" s="167">
        <v>7.0</v>
      </c>
      <c r="N231" s="184" t="s">
        <v>130</v>
      </c>
      <c r="O231" s="167">
        <v>6.0</v>
      </c>
      <c r="P231" s="184" t="s">
        <v>103</v>
      </c>
      <c r="Q231" s="167">
        <v>2.0</v>
      </c>
      <c r="R231" s="184" t="s">
        <v>56</v>
      </c>
      <c r="S231" s="167">
        <v>8.0</v>
      </c>
      <c r="T231" s="188"/>
      <c r="U231" s="142"/>
      <c r="V231" s="184" t="s">
        <v>86</v>
      </c>
      <c r="W231" s="167">
        <v>4.0</v>
      </c>
      <c r="X231" s="142">
        <v>1.0</v>
      </c>
      <c r="Y231" s="142">
        <v>1.0</v>
      </c>
      <c r="Z231" s="142">
        <v>1.0</v>
      </c>
      <c r="AA231" s="142">
        <v>1.0</v>
      </c>
      <c r="AB231" s="142">
        <v>1.0</v>
      </c>
      <c r="AC231" s="142">
        <v>1.0</v>
      </c>
      <c r="AD231" s="142">
        <v>1.0</v>
      </c>
      <c r="AE231" s="142">
        <v>1.0</v>
      </c>
      <c r="AF231" s="142">
        <v>8.0</v>
      </c>
      <c r="AG231" s="142">
        <v>0.0</v>
      </c>
      <c r="AH231" s="185" t="str">
        <f>IFERROR(__xludf.DUMMYFUNCTION("if($C231="""","""",if(join("" - "",{iferror(filter('Student Groupings'!$A:$A,'Student Groupings'!$B:$B=$C231,'Student Groupings'!$H:$H=""Can't be Together""),"""");iferror(filter('Student Groupings'!$A:$A,'Student Groupings'!$E:$E=$C231,'Student Groupings"&amp;"'!$H:$H=""Can't be Together""),"""")})="" - "","""",join("" - "",{iferror(filter('Student Groupings'!$A:$A,'Student Groupings'!$B:$B=$C231,'Student Groupings'!$H:$H=""Can't be Together""),"""");iferror(filter('Student Groupings'!$A:$A,'Student Groupings'!"&amp;"$E:$E=$C231,'Student Groupings'!$H:$H=""Can't be Together""),"""")})))"),"75 - ")</f>
        <v>75 - </v>
      </c>
      <c r="AI231" s="185" t="str">
        <f>IFERROR(__xludf.DUMMYFUNCTION("if($C231="""","""",if(join("" - "",{iferror(filter('Student Groupings'!$A:$A,'Student Groupings'!$B:$B=$C231,'Student Groupings'!$H:$H=""Must be Together""),"""");iferror(filter('Student Groupings'!$A:$A,'Student Groupings'!$E:$E=$C231,'Student Groupings'"&amp;"!$H:$H=""Must be Together""),"""")})="" - "","""",join("" - "",{iferror(filter('Student Groupings'!$A:$A,'Student Groupings'!$B:$B=$C231,'Student Groupings'!$H:$H=""Must be Together""),"""");iferror(filter('Student Groupings'!$A:$A,'Student Groupings'!$E:"&amp;"$E=$C231,'Student Groupings'!$H:$H=""Must be Together""),"""")})))"),"")</f>
        <v/>
      </c>
    </row>
    <row r="232">
      <c r="A232" s="167">
        <v>10.0</v>
      </c>
      <c r="B232" s="168">
        <v>28051.0</v>
      </c>
      <c r="C232" s="144" t="s">
        <v>384</v>
      </c>
      <c r="D232" s="180" t="s">
        <v>37</v>
      </c>
      <c r="E232" s="181">
        <v>5.0</v>
      </c>
      <c r="F232" s="167" t="s">
        <v>64</v>
      </c>
      <c r="G232" s="167">
        <v>6.0</v>
      </c>
      <c r="H232" s="182" t="s">
        <v>81</v>
      </c>
      <c r="I232" s="167">
        <v>2.0</v>
      </c>
      <c r="J232" s="187"/>
      <c r="K232" s="167"/>
      <c r="L232" s="184" t="s">
        <v>95</v>
      </c>
      <c r="M232" s="167">
        <v>1.0</v>
      </c>
      <c r="N232" s="184" t="s">
        <v>130</v>
      </c>
      <c r="O232" s="167">
        <v>7.0</v>
      </c>
      <c r="P232" s="184" t="s">
        <v>103</v>
      </c>
      <c r="Q232" s="167">
        <v>4.0</v>
      </c>
      <c r="R232" s="184" t="s">
        <v>56</v>
      </c>
      <c r="S232" s="167">
        <v>3.0</v>
      </c>
      <c r="T232" s="188"/>
      <c r="U232" s="167"/>
      <c r="V232" s="184" t="s">
        <v>86</v>
      </c>
      <c r="W232" s="167">
        <v>8.0</v>
      </c>
      <c r="X232" s="142">
        <v>1.0</v>
      </c>
      <c r="Y232" s="142">
        <v>1.0</v>
      </c>
      <c r="Z232" s="142">
        <v>1.0</v>
      </c>
      <c r="AA232" s="142">
        <v>1.0</v>
      </c>
      <c r="AB232" s="142">
        <v>1.0</v>
      </c>
      <c r="AC232" s="142">
        <v>1.0</v>
      </c>
      <c r="AD232" s="142">
        <v>1.0</v>
      </c>
      <c r="AE232" s="142">
        <v>1.0</v>
      </c>
      <c r="AF232" s="142">
        <v>8.0</v>
      </c>
      <c r="AG232" s="142">
        <v>0.0</v>
      </c>
      <c r="AH232" s="185" t="str">
        <f>IFERROR(__xludf.DUMMYFUNCTION("if($C232="""","""",if(join("" - "",{iferror(filter('Student Groupings'!$A:$A,'Student Groupings'!$B:$B=$C232,'Student Groupings'!$H:$H=""Can't be Together""),"""");iferror(filter('Student Groupings'!$A:$A,'Student Groupings'!$E:$E=$C232,'Student Groupings"&amp;"'!$H:$H=""Can't be Together""),"""")})="" - "","""",join("" - "",{iferror(filter('Student Groupings'!$A:$A,'Student Groupings'!$B:$B=$C232,'Student Groupings'!$H:$H=""Can't be Together""),"""");iferror(filter('Student Groupings'!$A:$A,'Student Groupings'!"&amp;"$E:$E=$C232,'Student Groupings'!$H:$H=""Can't be Together""),"""")})))"),"")</f>
        <v/>
      </c>
      <c r="AI232" s="185" t="str">
        <f>IFERROR(__xludf.DUMMYFUNCTION("if($C232="""","""",if(join("" - "",{iferror(filter('Student Groupings'!$A:$A,'Student Groupings'!$B:$B=$C232,'Student Groupings'!$H:$H=""Must be Together""),"""");iferror(filter('Student Groupings'!$A:$A,'Student Groupings'!$E:$E=$C232,'Student Groupings'"&amp;"!$H:$H=""Must be Together""),"""")})="" - "","""",join("" - "",{iferror(filter('Student Groupings'!$A:$A,'Student Groupings'!$B:$B=$C232,'Student Groupings'!$H:$H=""Must be Together""),"""");iferror(filter('Student Groupings'!$A:$A,'Student Groupings'!$E:"&amp;"$E=$C232,'Student Groupings'!$H:$H=""Must be Together""),"""")})))"),"")</f>
        <v/>
      </c>
    </row>
    <row r="233">
      <c r="A233" s="167">
        <v>10.0</v>
      </c>
      <c r="B233" s="168">
        <v>27007.0</v>
      </c>
      <c r="C233" s="144" t="s">
        <v>385</v>
      </c>
      <c r="D233" s="180" t="s">
        <v>37</v>
      </c>
      <c r="E233" s="181">
        <v>2.0</v>
      </c>
      <c r="F233" s="167" t="s">
        <v>64</v>
      </c>
      <c r="G233" s="167">
        <v>3.0</v>
      </c>
      <c r="H233" s="182" t="s">
        <v>79</v>
      </c>
      <c r="I233" s="167">
        <v>1.0</v>
      </c>
      <c r="J233" s="187"/>
      <c r="K233" s="167"/>
      <c r="L233" s="184" t="s">
        <v>95</v>
      </c>
      <c r="M233" s="167">
        <v>7.0</v>
      </c>
      <c r="N233" s="184" t="s">
        <v>130</v>
      </c>
      <c r="O233" s="167">
        <v>4.0</v>
      </c>
      <c r="P233" s="184" t="s">
        <v>103</v>
      </c>
      <c r="Q233" s="167">
        <v>6.0</v>
      </c>
      <c r="R233" s="184" t="s">
        <v>56</v>
      </c>
      <c r="S233" s="167">
        <v>5.0</v>
      </c>
      <c r="T233" s="188"/>
      <c r="U233" s="167"/>
      <c r="V233" s="184" t="s">
        <v>86</v>
      </c>
      <c r="W233" s="167">
        <v>8.0</v>
      </c>
      <c r="X233" s="142">
        <v>1.0</v>
      </c>
      <c r="Y233" s="142">
        <v>1.0</v>
      </c>
      <c r="Z233" s="142">
        <v>1.0</v>
      </c>
      <c r="AA233" s="142">
        <v>1.0</v>
      </c>
      <c r="AB233" s="142">
        <v>1.0</v>
      </c>
      <c r="AC233" s="142">
        <v>1.0</v>
      </c>
      <c r="AD233" s="142">
        <v>1.0</v>
      </c>
      <c r="AE233" s="142">
        <v>1.0</v>
      </c>
      <c r="AF233" s="142">
        <v>8.0</v>
      </c>
      <c r="AG233" s="142">
        <v>0.0</v>
      </c>
      <c r="AH233" s="185" t="str">
        <f>IFERROR(__xludf.DUMMYFUNCTION("if($C233="""","""",if(join("" - "",{iferror(filter('Student Groupings'!$A:$A,'Student Groupings'!$B:$B=$C233,'Student Groupings'!$H:$H=""Can't be Together""),"""");iferror(filter('Student Groupings'!$A:$A,'Student Groupings'!$E:$E=$C233,'Student Groupings"&amp;"'!$H:$H=""Can't be Together""),"""")})="" - "","""",join("" - "",{iferror(filter('Student Groupings'!$A:$A,'Student Groupings'!$B:$B=$C233,'Student Groupings'!$H:$H=""Can't be Together""),"""");iferror(filter('Student Groupings'!$A:$A,'Student Groupings'!"&amp;"$E:$E=$C233,'Student Groupings'!$H:$H=""Can't be Together""),"""")})))"),"")</f>
        <v/>
      </c>
      <c r="AI233" s="185" t="str">
        <f>IFERROR(__xludf.DUMMYFUNCTION("if($C233="""","""",if(join("" - "",{iferror(filter('Student Groupings'!$A:$A,'Student Groupings'!$B:$B=$C233,'Student Groupings'!$H:$H=""Must be Together""),"""");iferror(filter('Student Groupings'!$A:$A,'Student Groupings'!$E:$E=$C233,'Student Groupings'"&amp;"!$H:$H=""Must be Together""),"""")})="" - "","""",join("" - "",{iferror(filter('Student Groupings'!$A:$A,'Student Groupings'!$B:$B=$C233,'Student Groupings'!$H:$H=""Must be Together""),"""");iferror(filter('Student Groupings'!$A:$A,'Student Groupings'!$E:"&amp;"$E=$C233,'Student Groupings'!$H:$H=""Must be Together""),"""")})))"),"")</f>
        <v/>
      </c>
    </row>
    <row r="234">
      <c r="A234" s="167">
        <v>10.0</v>
      </c>
      <c r="B234" s="168">
        <v>28102.0</v>
      </c>
      <c r="C234" s="144" t="s">
        <v>386</v>
      </c>
      <c r="D234" s="180" t="s">
        <v>37</v>
      </c>
      <c r="E234" s="181">
        <v>5.0</v>
      </c>
      <c r="F234" s="167" t="s">
        <v>64</v>
      </c>
      <c r="G234" s="167">
        <v>7.0</v>
      </c>
      <c r="H234" s="182" t="s">
        <v>76</v>
      </c>
      <c r="I234" s="167">
        <v>6.0</v>
      </c>
      <c r="J234" s="187"/>
      <c r="K234" s="167"/>
      <c r="L234" s="184" t="s">
        <v>95</v>
      </c>
      <c r="M234" s="167">
        <v>3.0</v>
      </c>
      <c r="N234" s="184" t="s">
        <v>130</v>
      </c>
      <c r="O234" s="167">
        <v>2.0</v>
      </c>
      <c r="P234" s="182" t="s">
        <v>100</v>
      </c>
      <c r="Q234" s="167">
        <v>4.0</v>
      </c>
      <c r="R234" s="184" t="s">
        <v>56</v>
      </c>
      <c r="S234" s="167">
        <v>1.0</v>
      </c>
      <c r="T234" s="188"/>
      <c r="U234" s="167"/>
      <c r="V234" s="184" t="s">
        <v>86</v>
      </c>
      <c r="W234" s="167">
        <v>8.0</v>
      </c>
      <c r="X234" s="142">
        <v>1.0</v>
      </c>
      <c r="Y234" s="142">
        <v>1.0</v>
      </c>
      <c r="Z234" s="142">
        <v>1.0</v>
      </c>
      <c r="AA234" s="142">
        <v>1.0</v>
      </c>
      <c r="AB234" s="142">
        <v>1.0</v>
      </c>
      <c r="AC234" s="142">
        <v>1.0</v>
      </c>
      <c r="AD234" s="142">
        <v>1.0</v>
      </c>
      <c r="AE234" s="142">
        <v>1.0</v>
      </c>
      <c r="AF234" s="142">
        <v>8.0</v>
      </c>
      <c r="AG234" s="142">
        <v>0.0</v>
      </c>
      <c r="AH234" s="185" t="str">
        <f>IFERROR(__xludf.DUMMYFUNCTION("if($C234="""","""",if(join("" - "",{iferror(filter('Student Groupings'!$A:$A,'Student Groupings'!$B:$B=$C234,'Student Groupings'!$H:$H=""Can't be Together""),"""");iferror(filter('Student Groupings'!$A:$A,'Student Groupings'!$E:$E=$C234,'Student Groupings"&amp;"'!$H:$H=""Can't be Together""),"""")})="" - "","""",join("" - "",{iferror(filter('Student Groupings'!$A:$A,'Student Groupings'!$B:$B=$C234,'Student Groupings'!$H:$H=""Can't be Together""),"""");iferror(filter('Student Groupings'!$A:$A,'Student Groupings'!"&amp;"$E:$E=$C234,'Student Groupings'!$H:$H=""Can't be Together""),"""")})))"),"6 - ")</f>
        <v>6 - </v>
      </c>
      <c r="AI234" s="185" t="str">
        <f>IFERROR(__xludf.DUMMYFUNCTION("if($C234="""","""",if(join("" - "",{iferror(filter('Student Groupings'!$A:$A,'Student Groupings'!$B:$B=$C234,'Student Groupings'!$H:$H=""Must be Together""),"""");iferror(filter('Student Groupings'!$A:$A,'Student Groupings'!$E:$E=$C234,'Student Groupings'"&amp;"!$H:$H=""Must be Together""),"""")})="" - "","""",join("" - "",{iferror(filter('Student Groupings'!$A:$A,'Student Groupings'!$B:$B=$C234,'Student Groupings'!$H:$H=""Must be Together""),"""");iferror(filter('Student Groupings'!$A:$A,'Student Groupings'!$E:"&amp;"$E=$C234,'Student Groupings'!$H:$H=""Must be Together""),"""")})))"),"")</f>
        <v/>
      </c>
    </row>
    <row r="235">
      <c r="A235" s="167">
        <v>10.0</v>
      </c>
      <c r="B235" s="168">
        <v>28104.0</v>
      </c>
      <c r="C235" s="144" t="s">
        <v>387</v>
      </c>
      <c r="D235" s="180" t="s">
        <v>37</v>
      </c>
      <c r="E235" s="181">
        <v>8.0</v>
      </c>
      <c r="F235" s="167" t="s">
        <v>64</v>
      </c>
      <c r="G235" s="167">
        <v>6.0</v>
      </c>
      <c r="H235" s="182" t="s">
        <v>81</v>
      </c>
      <c r="I235" s="167">
        <v>2.0</v>
      </c>
      <c r="J235" s="187"/>
      <c r="K235" s="167"/>
      <c r="L235" s="184" t="s">
        <v>95</v>
      </c>
      <c r="M235" s="167">
        <v>1.0</v>
      </c>
      <c r="N235" s="184" t="s">
        <v>130</v>
      </c>
      <c r="O235" s="167">
        <v>5.0</v>
      </c>
      <c r="P235" s="182" t="s">
        <v>100</v>
      </c>
      <c r="Q235" s="167">
        <v>7.0</v>
      </c>
      <c r="R235" s="184" t="s">
        <v>56</v>
      </c>
      <c r="S235" s="167">
        <v>4.0</v>
      </c>
      <c r="T235" s="188"/>
      <c r="U235" s="167"/>
      <c r="V235" s="184" t="s">
        <v>117</v>
      </c>
      <c r="W235" s="167">
        <v>3.0</v>
      </c>
      <c r="X235" s="142">
        <v>1.0</v>
      </c>
      <c r="Y235" s="142">
        <v>1.0</v>
      </c>
      <c r="Z235" s="142">
        <v>1.0</v>
      </c>
      <c r="AA235" s="142">
        <v>1.0</v>
      </c>
      <c r="AB235" s="142">
        <v>1.0</v>
      </c>
      <c r="AC235" s="142">
        <v>1.0</v>
      </c>
      <c r="AD235" s="142">
        <v>1.0</v>
      </c>
      <c r="AE235" s="142">
        <v>1.0</v>
      </c>
      <c r="AF235" s="142">
        <v>8.0</v>
      </c>
      <c r="AG235" s="142">
        <v>0.0</v>
      </c>
      <c r="AH235" s="185" t="str">
        <f>IFERROR(__xludf.DUMMYFUNCTION("if($C235="""","""",if(join("" - "",{iferror(filter('Student Groupings'!$A:$A,'Student Groupings'!$B:$B=$C235,'Student Groupings'!$H:$H=""Can't be Together""),"""");iferror(filter('Student Groupings'!$A:$A,'Student Groupings'!$E:$E=$C235,'Student Groupings"&amp;"'!$H:$H=""Can't be Together""),"""")})="" - "","""",join("" - "",{iferror(filter('Student Groupings'!$A:$A,'Student Groupings'!$B:$B=$C235,'Student Groupings'!$H:$H=""Can't be Together""),"""");iferror(filter('Student Groupings'!$A:$A,'Student Groupings'!"&amp;"$E:$E=$C235,'Student Groupings'!$H:$H=""Can't be Together""),"""")})))"),"")</f>
        <v/>
      </c>
      <c r="AI235" s="185" t="str">
        <f>IFERROR(__xludf.DUMMYFUNCTION("if($C235="""","""",if(join("" - "",{iferror(filter('Student Groupings'!$A:$A,'Student Groupings'!$B:$B=$C235,'Student Groupings'!$H:$H=""Must be Together""),"""");iferror(filter('Student Groupings'!$A:$A,'Student Groupings'!$E:$E=$C235,'Student Groupings'"&amp;"!$H:$H=""Must be Together""),"""")})="" - "","""",join("" - "",{iferror(filter('Student Groupings'!$A:$A,'Student Groupings'!$B:$B=$C235,'Student Groupings'!$H:$H=""Must be Together""),"""");iferror(filter('Student Groupings'!$A:$A,'Student Groupings'!$E:"&amp;"$E=$C235,'Student Groupings'!$H:$H=""Must be Together""),"""")})))"),"")</f>
        <v/>
      </c>
    </row>
    <row r="236">
      <c r="A236" s="167">
        <v>10.0</v>
      </c>
      <c r="B236" s="168">
        <v>28008.0</v>
      </c>
      <c r="C236" s="216" t="s">
        <v>388</v>
      </c>
      <c r="D236" s="180" t="s">
        <v>48</v>
      </c>
      <c r="E236" s="181">
        <v>1.0</v>
      </c>
      <c r="F236" s="167" t="s">
        <v>64</v>
      </c>
      <c r="G236" s="167">
        <v>8.0</v>
      </c>
      <c r="H236" s="182" t="s">
        <v>76</v>
      </c>
      <c r="I236" s="167">
        <v>6.0</v>
      </c>
      <c r="J236" s="187"/>
      <c r="K236" s="167"/>
      <c r="L236" s="184" t="s">
        <v>95</v>
      </c>
      <c r="M236" s="167">
        <v>5.0</v>
      </c>
      <c r="N236" s="184" t="s">
        <v>130</v>
      </c>
      <c r="O236" s="167">
        <v>4.0</v>
      </c>
      <c r="P236" s="182" t="s">
        <v>100</v>
      </c>
      <c r="Q236" s="167">
        <v>7.0</v>
      </c>
      <c r="R236" s="184" t="s">
        <v>56</v>
      </c>
      <c r="S236" s="167">
        <v>3.0</v>
      </c>
      <c r="T236" s="188"/>
      <c r="U236" s="167"/>
      <c r="V236" s="184" t="s">
        <v>23</v>
      </c>
      <c r="W236" s="167">
        <v>2.0</v>
      </c>
      <c r="X236" s="142">
        <v>1.0</v>
      </c>
      <c r="Y236" s="142">
        <v>1.0</v>
      </c>
      <c r="Z236" s="142">
        <v>1.0</v>
      </c>
      <c r="AA236" s="142">
        <v>1.0</v>
      </c>
      <c r="AB236" s="142">
        <v>1.0</v>
      </c>
      <c r="AC236" s="142">
        <v>1.0</v>
      </c>
      <c r="AD236" s="142">
        <v>1.0</v>
      </c>
      <c r="AE236" s="142">
        <v>1.0</v>
      </c>
      <c r="AF236" s="142">
        <v>8.0</v>
      </c>
      <c r="AG236" s="142">
        <v>0.0</v>
      </c>
      <c r="AH236" s="185" t="str">
        <f>IFERROR(__xludf.DUMMYFUNCTION("if($C236="""","""",if(join("" - "",{iferror(filter('Student Groupings'!$A:$A,'Student Groupings'!$B:$B=$C236,'Student Groupings'!$H:$H=""Can't be Together""),"""");iferror(filter('Student Groupings'!$A:$A,'Student Groupings'!$E:$E=$C236,'Student Groupings"&amp;"'!$H:$H=""Can't be Together""),"""")})="" - "","""",join("" - "",{iferror(filter('Student Groupings'!$A:$A,'Student Groupings'!$B:$B=$C236,'Student Groupings'!$H:$H=""Can't be Together""),"""");iferror(filter('Student Groupings'!$A:$A,'Student Groupings'!"&amp;"$E:$E=$C236,'Student Groupings'!$H:$H=""Can't be Together""),"""")})))"),"")</f>
        <v/>
      </c>
      <c r="AI236" s="185" t="str">
        <f>IFERROR(__xludf.DUMMYFUNCTION("if($C236="""","""",if(join("" - "",{iferror(filter('Student Groupings'!$A:$A,'Student Groupings'!$B:$B=$C236,'Student Groupings'!$H:$H=""Must be Together""),"""");iferror(filter('Student Groupings'!$A:$A,'Student Groupings'!$E:$E=$C236,'Student Groupings'"&amp;"!$H:$H=""Must be Together""),"""")})="" - "","""",join("" - "",{iferror(filter('Student Groupings'!$A:$A,'Student Groupings'!$B:$B=$C236,'Student Groupings'!$H:$H=""Must be Together""),"""");iferror(filter('Student Groupings'!$A:$A,'Student Groupings'!$E:"&amp;"$E=$C236,'Student Groupings'!$H:$H=""Must be Together""),"""")})))"),"")</f>
        <v/>
      </c>
    </row>
    <row r="237">
      <c r="A237" s="167">
        <v>10.0</v>
      </c>
      <c r="B237" s="168">
        <v>28065.0</v>
      </c>
      <c r="C237" s="144" t="s">
        <v>389</v>
      </c>
      <c r="D237" s="180" t="s">
        <v>37</v>
      </c>
      <c r="E237" s="181">
        <v>2.0</v>
      </c>
      <c r="F237" s="167" t="s">
        <v>64</v>
      </c>
      <c r="G237" s="167">
        <v>1.0</v>
      </c>
      <c r="H237" s="182" t="s">
        <v>76</v>
      </c>
      <c r="I237" s="167">
        <v>7.0</v>
      </c>
      <c r="J237" s="187"/>
      <c r="K237" s="167"/>
      <c r="L237" s="184" t="s">
        <v>95</v>
      </c>
      <c r="M237" s="167">
        <v>3.0</v>
      </c>
      <c r="N237" s="184" t="s">
        <v>130</v>
      </c>
      <c r="O237" s="167">
        <v>6.0</v>
      </c>
      <c r="P237" s="184" t="s">
        <v>103</v>
      </c>
      <c r="Q237" s="167">
        <v>4.0</v>
      </c>
      <c r="R237" s="184" t="s">
        <v>56</v>
      </c>
      <c r="S237" s="167">
        <v>5.0</v>
      </c>
      <c r="T237" s="188"/>
      <c r="U237" s="142"/>
      <c r="V237" s="184" t="s">
        <v>24</v>
      </c>
      <c r="W237" s="167">
        <v>8.0</v>
      </c>
      <c r="X237" s="142">
        <v>1.0</v>
      </c>
      <c r="Y237" s="142">
        <v>1.0</v>
      </c>
      <c r="Z237" s="142">
        <v>1.0</v>
      </c>
      <c r="AA237" s="142">
        <v>1.0</v>
      </c>
      <c r="AB237" s="142">
        <v>1.0</v>
      </c>
      <c r="AC237" s="142">
        <v>1.0</v>
      </c>
      <c r="AD237" s="142">
        <v>1.0</v>
      </c>
      <c r="AE237" s="142">
        <v>1.0</v>
      </c>
      <c r="AF237" s="142">
        <v>8.0</v>
      </c>
      <c r="AG237" s="142">
        <v>0.0</v>
      </c>
      <c r="AH237" s="185" t="str">
        <f>IFERROR(__xludf.DUMMYFUNCTION("if($C237="""","""",if(join("" - "",{iferror(filter('Student Groupings'!$A:$A,'Student Groupings'!$B:$B=$C237,'Student Groupings'!$H:$H=""Can't be Together""),"""");iferror(filter('Student Groupings'!$A:$A,'Student Groupings'!$E:$E=$C237,'Student Groupings"&amp;"'!$H:$H=""Can't be Together""),"""")})="" - "","""",join("" - "",{iferror(filter('Student Groupings'!$A:$A,'Student Groupings'!$B:$B=$C237,'Student Groupings'!$H:$H=""Can't be Together""),"""");iferror(filter('Student Groupings'!$A:$A,'Student Groupings'!"&amp;"$E:$E=$C237,'Student Groupings'!$H:$H=""Can't be Together""),"""")})))"),"")</f>
        <v/>
      </c>
      <c r="AI237" s="185" t="str">
        <f>IFERROR(__xludf.DUMMYFUNCTION("if($C237="""","""",if(join("" - "",{iferror(filter('Student Groupings'!$A:$A,'Student Groupings'!$B:$B=$C237,'Student Groupings'!$H:$H=""Must be Together""),"""");iferror(filter('Student Groupings'!$A:$A,'Student Groupings'!$E:$E=$C237,'Student Groupings'"&amp;"!$H:$H=""Must be Together""),"""")})="" - "","""",join("" - "",{iferror(filter('Student Groupings'!$A:$A,'Student Groupings'!$B:$B=$C237,'Student Groupings'!$H:$H=""Must be Together""),"""");iferror(filter('Student Groupings'!$A:$A,'Student Groupings'!$E:"&amp;"$E=$C237,'Student Groupings'!$H:$H=""Must be Together""),"""")})))"),"")</f>
        <v/>
      </c>
    </row>
    <row r="238">
      <c r="A238" s="167">
        <v>10.0</v>
      </c>
      <c r="B238" s="168">
        <v>28073.0</v>
      </c>
      <c r="C238" s="144" t="s">
        <v>390</v>
      </c>
      <c r="D238" s="180" t="s">
        <v>48</v>
      </c>
      <c r="E238" s="181">
        <v>6.0</v>
      </c>
      <c r="F238" s="180" t="s">
        <v>64</v>
      </c>
      <c r="G238" s="180">
        <v>8.0</v>
      </c>
      <c r="H238" s="182" t="s">
        <v>76</v>
      </c>
      <c r="I238" s="180">
        <v>7.0</v>
      </c>
      <c r="J238" s="183"/>
      <c r="K238" s="167"/>
      <c r="L238" s="184" t="s">
        <v>95</v>
      </c>
      <c r="M238" s="180">
        <v>5.0</v>
      </c>
      <c r="N238" s="184" t="s">
        <v>130</v>
      </c>
      <c r="O238" s="167">
        <v>1.0</v>
      </c>
      <c r="P238" s="182" t="s">
        <v>100</v>
      </c>
      <c r="Q238" s="167">
        <v>2.0</v>
      </c>
      <c r="R238" s="184" t="s">
        <v>56</v>
      </c>
      <c r="S238" s="167">
        <v>3.0</v>
      </c>
      <c r="T238" s="188"/>
      <c r="U238" s="167"/>
      <c r="V238" s="184" t="s">
        <v>86</v>
      </c>
      <c r="W238" s="167">
        <v>4.0</v>
      </c>
      <c r="X238" s="142">
        <v>1.0</v>
      </c>
      <c r="Y238" s="142">
        <v>1.0</v>
      </c>
      <c r="Z238" s="142">
        <v>1.0</v>
      </c>
      <c r="AA238" s="142">
        <v>1.0</v>
      </c>
      <c r="AB238" s="142">
        <v>1.0</v>
      </c>
      <c r="AC238" s="142">
        <v>1.0</v>
      </c>
      <c r="AD238" s="142">
        <v>1.0</v>
      </c>
      <c r="AE238" s="142">
        <v>1.0</v>
      </c>
      <c r="AF238" s="142">
        <v>8.0</v>
      </c>
      <c r="AG238" s="142">
        <v>0.0</v>
      </c>
      <c r="AH238" s="185" t="str">
        <f>IFERROR(__xludf.DUMMYFUNCTION("if($C238="""","""",if(join("" - "",{iferror(filter('Student Groupings'!$A:$A,'Student Groupings'!$B:$B=$C238,'Student Groupings'!$H:$H=""Can't be Together""),"""");iferror(filter('Student Groupings'!$A:$A,'Student Groupings'!$E:$E=$C238,'Student Groupings"&amp;"'!$H:$H=""Can't be Together""),"""")})="" - "","""",join("" - "",{iferror(filter('Student Groupings'!$A:$A,'Student Groupings'!$B:$B=$C238,'Student Groupings'!$H:$H=""Can't be Together""),"""");iferror(filter('Student Groupings'!$A:$A,'Student Groupings'!"&amp;"$E:$E=$C238,'Student Groupings'!$H:$H=""Can't be Together""),"""")})))"),"")</f>
        <v/>
      </c>
      <c r="AI238" s="185" t="str">
        <f>IFERROR(__xludf.DUMMYFUNCTION("if($C238="""","""",if(join("" - "",{iferror(filter('Student Groupings'!$A:$A,'Student Groupings'!$B:$B=$C238,'Student Groupings'!$H:$H=""Must be Together""),"""");iferror(filter('Student Groupings'!$A:$A,'Student Groupings'!$E:$E=$C238,'Student Groupings'"&amp;"!$H:$H=""Must be Together""),"""")})="" - "","""",join("" - "",{iferror(filter('Student Groupings'!$A:$A,'Student Groupings'!$B:$B=$C238,'Student Groupings'!$H:$H=""Must be Together""),"""");iferror(filter('Student Groupings'!$A:$A,'Student Groupings'!$E:"&amp;"$E=$C238,'Student Groupings'!$H:$H=""Must be Together""),"""")})))"),"")</f>
        <v/>
      </c>
    </row>
    <row r="239">
      <c r="A239" s="167">
        <v>10.0</v>
      </c>
      <c r="B239" s="168">
        <v>28081.0</v>
      </c>
      <c r="C239" s="144" t="s">
        <v>391</v>
      </c>
      <c r="D239" s="180" t="s">
        <v>48</v>
      </c>
      <c r="E239" s="181">
        <v>6.0</v>
      </c>
      <c r="F239" s="186" t="s">
        <v>64</v>
      </c>
      <c r="G239" s="167">
        <v>5.0</v>
      </c>
      <c r="H239" s="182" t="s">
        <v>76</v>
      </c>
      <c r="I239" s="167">
        <v>4.0</v>
      </c>
      <c r="J239" s="183"/>
      <c r="K239" s="167"/>
      <c r="L239" s="184" t="s">
        <v>95</v>
      </c>
      <c r="M239" s="167">
        <v>1.0</v>
      </c>
      <c r="N239" s="184" t="s">
        <v>130</v>
      </c>
      <c r="O239" s="167">
        <v>7.0</v>
      </c>
      <c r="P239" s="182" t="s">
        <v>100</v>
      </c>
      <c r="Q239" s="167">
        <v>2.0</v>
      </c>
      <c r="R239" s="184" t="s">
        <v>56</v>
      </c>
      <c r="S239" s="167">
        <v>8.0</v>
      </c>
      <c r="T239" s="188"/>
      <c r="U239" s="142"/>
      <c r="V239" s="184" t="s">
        <v>24</v>
      </c>
      <c r="W239" s="167">
        <v>3.0</v>
      </c>
      <c r="X239" s="142">
        <v>1.0</v>
      </c>
      <c r="Y239" s="142">
        <v>1.0</v>
      </c>
      <c r="Z239" s="142">
        <v>1.0</v>
      </c>
      <c r="AA239" s="142">
        <v>1.0</v>
      </c>
      <c r="AB239" s="142">
        <v>1.0</v>
      </c>
      <c r="AC239" s="142">
        <v>1.0</v>
      </c>
      <c r="AD239" s="142">
        <v>1.0</v>
      </c>
      <c r="AE239" s="142">
        <v>1.0</v>
      </c>
      <c r="AF239" s="142">
        <v>8.0</v>
      </c>
      <c r="AG239" s="142">
        <v>0.0</v>
      </c>
      <c r="AH239" s="185" t="str">
        <f>IFERROR(__xludf.DUMMYFUNCTION("if($C239="""","""",if(join("" - "",{iferror(filter('Student Groupings'!$A:$A,'Student Groupings'!$B:$B=$C239,'Student Groupings'!$H:$H=""Can't be Together""),"""");iferror(filter('Student Groupings'!$A:$A,'Student Groupings'!$E:$E=$C239,'Student Groupings"&amp;"'!$H:$H=""Can't be Together""),"""")})="" - "","""",join("" - "",{iferror(filter('Student Groupings'!$A:$A,'Student Groupings'!$B:$B=$C239,'Student Groupings'!$H:$H=""Can't be Together""),"""");iferror(filter('Student Groupings'!$A:$A,'Student Groupings'!"&amp;"$E:$E=$C239,'Student Groupings'!$H:$H=""Can't be Together""),"""")})))"),"")</f>
        <v/>
      </c>
      <c r="AI239" s="185" t="str">
        <f>IFERROR(__xludf.DUMMYFUNCTION("if($C239="""","""",if(join("" - "",{iferror(filter('Student Groupings'!$A:$A,'Student Groupings'!$B:$B=$C239,'Student Groupings'!$H:$H=""Must be Together""),"""");iferror(filter('Student Groupings'!$A:$A,'Student Groupings'!$E:$E=$C239,'Student Groupings'"&amp;"!$H:$H=""Must be Together""),"""")})="" - "","""",join("" - "",{iferror(filter('Student Groupings'!$A:$A,'Student Groupings'!$B:$B=$C239,'Student Groupings'!$H:$H=""Must be Together""),"""");iferror(filter('Student Groupings'!$A:$A,'Student Groupings'!$E:"&amp;"$E=$C239,'Student Groupings'!$H:$H=""Must be Together""),"""")})))"),"")</f>
        <v/>
      </c>
    </row>
    <row r="240">
      <c r="A240" s="167">
        <v>10.0</v>
      </c>
      <c r="B240" s="168">
        <v>28039.0</v>
      </c>
      <c r="C240" s="144" t="s">
        <v>392</v>
      </c>
      <c r="D240" s="180" t="s">
        <v>48</v>
      </c>
      <c r="E240" s="181">
        <v>6.0</v>
      </c>
      <c r="F240" s="167" t="s">
        <v>64</v>
      </c>
      <c r="G240" s="167">
        <v>8.0</v>
      </c>
      <c r="H240" s="182" t="s">
        <v>79</v>
      </c>
      <c r="I240" s="167">
        <v>5.0</v>
      </c>
      <c r="J240" s="183"/>
      <c r="K240" s="167"/>
      <c r="L240" s="184" t="s">
        <v>95</v>
      </c>
      <c r="M240" s="167">
        <v>1.0</v>
      </c>
      <c r="N240" s="184" t="s">
        <v>130</v>
      </c>
      <c r="O240" s="167">
        <v>4.0</v>
      </c>
      <c r="P240" s="184" t="s">
        <v>103</v>
      </c>
      <c r="Q240" s="167">
        <v>3.0</v>
      </c>
      <c r="R240" s="184" t="s">
        <v>56</v>
      </c>
      <c r="S240" s="167">
        <v>2.0</v>
      </c>
      <c r="T240" s="188"/>
      <c r="U240" s="189"/>
      <c r="V240" s="184" t="s">
        <v>24</v>
      </c>
      <c r="W240" s="167">
        <v>7.0</v>
      </c>
      <c r="X240" s="142">
        <v>1.0</v>
      </c>
      <c r="Y240" s="142">
        <v>1.0</v>
      </c>
      <c r="Z240" s="142">
        <v>1.0</v>
      </c>
      <c r="AA240" s="142">
        <v>1.0</v>
      </c>
      <c r="AB240" s="142">
        <v>1.0</v>
      </c>
      <c r="AC240" s="142">
        <v>1.0</v>
      </c>
      <c r="AD240" s="142">
        <v>1.0</v>
      </c>
      <c r="AE240" s="142">
        <v>1.0</v>
      </c>
      <c r="AF240" s="142">
        <v>8.0</v>
      </c>
      <c r="AG240" s="142">
        <v>0.0</v>
      </c>
      <c r="AH240" s="185" t="str">
        <f>IFERROR(__xludf.DUMMYFUNCTION("if($C240="""","""",if(join("" - "",{iferror(filter('Student Groupings'!$A:$A,'Student Groupings'!$B:$B=$C240,'Student Groupings'!$H:$H=""Can't be Together""),"""");iferror(filter('Student Groupings'!$A:$A,'Student Groupings'!$E:$E=$C240,'Student Groupings"&amp;"'!$H:$H=""Can't be Together""),"""")})="" - "","""",join("" - "",{iferror(filter('Student Groupings'!$A:$A,'Student Groupings'!$B:$B=$C240,'Student Groupings'!$H:$H=""Can't be Together""),"""");iferror(filter('Student Groupings'!$A:$A,'Student Groupings'!"&amp;"$E:$E=$C240,'Student Groupings'!$H:$H=""Can't be Together""),"""")})))"),"")</f>
        <v/>
      </c>
      <c r="AI240" s="185" t="str">
        <f>IFERROR(__xludf.DUMMYFUNCTION("if($C240="""","""",if(join("" - "",{iferror(filter('Student Groupings'!$A:$A,'Student Groupings'!$B:$B=$C240,'Student Groupings'!$H:$H=""Must be Together""),"""");iferror(filter('Student Groupings'!$A:$A,'Student Groupings'!$E:$E=$C240,'Student Groupings'"&amp;"!$H:$H=""Must be Together""),"""")})="" - "","""",join("" - "",{iferror(filter('Student Groupings'!$A:$A,'Student Groupings'!$B:$B=$C240,'Student Groupings'!$H:$H=""Must be Together""),"""");iferror(filter('Student Groupings'!$A:$A,'Student Groupings'!$E:"&amp;"$E=$C240,'Student Groupings'!$H:$H=""Must be Together""),"""")})))"),"")</f>
        <v/>
      </c>
    </row>
    <row r="241">
      <c r="A241" s="167">
        <v>10.0</v>
      </c>
      <c r="B241" s="168">
        <v>28147.0</v>
      </c>
      <c r="C241" s="144" t="s">
        <v>393</v>
      </c>
      <c r="D241" s="180" t="s">
        <v>37</v>
      </c>
      <c r="E241" s="181">
        <v>8.0</v>
      </c>
      <c r="F241" s="167" t="s">
        <v>64</v>
      </c>
      <c r="G241" s="167">
        <v>6.0</v>
      </c>
      <c r="H241" s="182" t="s">
        <v>76</v>
      </c>
      <c r="I241" s="167">
        <v>4.0</v>
      </c>
      <c r="J241" s="183"/>
      <c r="K241" s="167"/>
      <c r="L241" s="184" t="s">
        <v>95</v>
      </c>
      <c r="M241" s="167">
        <v>3.0</v>
      </c>
      <c r="N241" s="184" t="s">
        <v>130</v>
      </c>
      <c r="O241" s="167">
        <v>5.0</v>
      </c>
      <c r="P241" s="182" t="s">
        <v>100</v>
      </c>
      <c r="Q241" s="167">
        <v>2.0</v>
      </c>
      <c r="R241" s="184" t="s">
        <v>56</v>
      </c>
      <c r="S241" s="167">
        <v>7.0</v>
      </c>
      <c r="T241" s="188"/>
      <c r="U241" s="142"/>
      <c r="V241" s="184" t="s">
        <v>26</v>
      </c>
      <c r="W241" s="167">
        <v>1.0</v>
      </c>
      <c r="X241" s="142">
        <v>1.0</v>
      </c>
      <c r="Y241" s="142">
        <v>1.0</v>
      </c>
      <c r="Z241" s="142">
        <v>1.0</v>
      </c>
      <c r="AA241" s="142">
        <v>1.0</v>
      </c>
      <c r="AB241" s="142">
        <v>1.0</v>
      </c>
      <c r="AC241" s="142">
        <v>1.0</v>
      </c>
      <c r="AD241" s="142">
        <v>1.0</v>
      </c>
      <c r="AE241" s="142">
        <v>1.0</v>
      </c>
      <c r="AF241" s="142">
        <v>8.0</v>
      </c>
      <c r="AG241" s="142">
        <v>0.0</v>
      </c>
      <c r="AH241" s="185" t="str">
        <f>IFERROR(__xludf.DUMMYFUNCTION("if($C241="""","""",if(join("" - "",{iferror(filter('Student Groupings'!$A:$A,'Student Groupings'!$B:$B=$C241,'Student Groupings'!$H:$H=""Can't be Together""),"""");iferror(filter('Student Groupings'!$A:$A,'Student Groupings'!$E:$E=$C241,'Student Groupings"&amp;"'!$H:$H=""Can't be Together""),"""")})="" - "","""",join("" - "",{iferror(filter('Student Groupings'!$A:$A,'Student Groupings'!$B:$B=$C241,'Student Groupings'!$H:$H=""Can't be Together""),"""");iferror(filter('Student Groupings'!$A:$A,'Student Groupings'!"&amp;"$E:$E=$C241,'Student Groupings'!$H:$H=""Can't be Together""),"""")})))"),"")</f>
        <v/>
      </c>
      <c r="AI241" s="185" t="str">
        <f>IFERROR(__xludf.DUMMYFUNCTION("if($C241="""","""",if(join("" - "",{iferror(filter('Student Groupings'!$A:$A,'Student Groupings'!$B:$B=$C241,'Student Groupings'!$H:$H=""Must be Together""),"""");iferror(filter('Student Groupings'!$A:$A,'Student Groupings'!$E:$E=$C241,'Student Groupings'"&amp;"!$H:$H=""Must be Together""),"""")})="" - "","""",join("" - "",{iferror(filter('Student Groupings'!$A:$A,'Student Groupings'!$B:$B=$C241,'Student Groupings'!$H:$H=""Must be Together""),"""");iferror(filter('Student Groupings'!$A:$A,'Student Groupings'!$E:"&amp;"$E=$C241,'Student Groupings'!$H:$H=""Must be Together""),"""")})))"),"")</f>
        <v/>
      </c>
    </row>
    <row r="242">
      <c r="A242" s="167">
        <v>10.0</v>
      </c>
      <c r="B242" s="168">
        <v>28088.0</v>
      </c>
      <c r="C242" s="144" t="s">
        <v>394</v>
      </c>
      <c r="D242" s="180" t="s">
        <v>48</v>
      </c>
      <c r="E242" s="181">
        <v>1.0</v>
      </c>
      <c r="F242" s="167" t="s">
        <v>64</v>
      </c>
      <c r="G242" s="167">
        <v>6.0</v>
      </c>
      <c r="H242" s="182" t="s">
        <v>79</v>
      </c>
      <c r="I242" s="167">
        <v>8.0</v>
      </c>
      <c r="J242" s="187"/>
      <c r="K242" s="167"/>
      <c r="L242" s="184" t="s">
        <v>95</v>
      </c>
      <c r="M242" s="167">
        <v>7.0</v>
      </c>
      <c r="N242" s="184" t="s">
        <v>130</v>
      </c>
      <c r="O242" s="167">
        <v>2.0</v>
      </c>
      <c r="P242" s="184" t="s">
        <v>103</v>
      </c>
      <c r="Q242" s="167">
        <v>3.0</v>
      </c>
      <c r="R242" s="184" t="s">
        <v>56</v>
      </c>
      <c r="S242" s="167">
        <v>5.0</v>
      </c>
      <c r="T242" s="188"/>
      <c r="U242" s="167"/>
      <c r="V242" s="184" t="s">
        <v>86</v>
      </c>
      <c r="W242" s="167">
        <v>4.0</v>
      </c>
      <c r="X242" s="142">
        <v>1.0</v>
      </c>
      <c r="Y242" s="142">
        <v>1.0</v>
      </c>
      <c r="Z242" s="142">
        <v>1.0</v>
      </c>
      <c r="AA242" s="142">
        <v>1.0</v>
      </c>
      <c r="AB242" s="142">
        <v>1.0</v>
      </c>
      <c r="AC242" s="142">
        <v>1.0</v>
      </c>
      <c r="AD242" s="142">
        <v>1.0</v>
      </c>
      <c r="AE242" s="142">
        <v>1.0</v>
      </c>
      <c r="AF242" s="142">
        <v>8.0</v>
      </c>
      <c r="AG242" s="142">
        <v>0.0</v>
      </c>
      <c r="AH242" s="185" t="str">
        <f>IFERROR(__xludf.DUMMYFUNCTION("if($C242="""","""",if(join("" - "",{iferror(filter('Student Groupings'!$A:$A,'Student Groupings'!$B:$B=$C242,'Student Groupings'!$H:$H=""Can't be Together""),"""");iferror(filter('Student Groupings'!$A:$A,'Student Groupings'!$E:$E=$C242,'Student Groupings"&amp;"'!$H:$H=""Can't be Together""),"""")})="" - "","""",join("" - "",{iferror(filter('Student Groupings'!$A:$A,'Student Groupings'!$B:$B=$C242,'Student Groupings'!$H:$H=""Can't be Together""),"""");iferror(filter('Student Groupings'!$A:$A,'Student Groupings'!"&amp;"$E:$E=$C242,'Student Groupings'!$H:$H=""Can't be Together""),"""")})))"),"76 - 77 - ")</f>
        <v>76 - 77 - </v>
      </c>
      <c r="AI242" s="185" t="str">
        <f>IFERROR(__xludf.DUMMYFUNCTION("if($C242="""","""",if(join("" - "",{iferror(filter('Student Groupings'!$A:$A,'Student Groupings'!$B:$B=$C242,'Student Groupings'!$H:$H=""Must be Together""),"""");iferror(filter('Student Groupings'!$A:$A,'Student Groupings'!$E:$E=$C242,'Student Groupings'"&amp;"!$H:$H=""Must be Together""),"""")})="" - "","""",join("" - "",{iferror(filter('Student Groupings'!$A:$A,'Student Groupings'!$B:$B=$C242,'Student Groupings'!$H:$H=""Must be Together""),"""");iferror(filter('Student Groupings'!$A:$A,'Student Groupings'!$E:"&amp;"$E=$C242,'Student Groupings'!$H:$H=""Must be Together""),"""")})))"),"")</f>
        <v/>
      </c>
    </row>
    <row r="243">
      <c r="A243" s="167">
        <v>10.0</v>
      </c>
      <c r="B243" s="168">
        <v>28029.0</v>
      </c>
      <c r="C243" s="144" t="s">
        <v>395</v>
      </c>
      <c r="D243" s="180" t="s">
        <v>37</v>
      </c>
      <c r="E243" s="181">
        <v>2.0</v>
      </c>
      <c r="F243" s="167" t="s">
        <v>64</v>
      </c>
      <c r="G243" s="167">
        <v>1.0</v>
      </c>
      <c r="H243" s="182" t="s">
        <v>76</v>
      </c>
      <c r="I243" s="167">
        <v>3.0</v>
      </c>
      <c r="J243" s="183"/>
      <c r="K243" s="167"/>
      <c r="L243" s="184" t="s">
        <v>95</v>
      </c>
      <c r="M243" s="167">
        <v>5.0</v>
      </c>
      <c r="N243" s="184" t="s">
        <v>130</v>
      </c>
      <c r="O243" s="167">
        <v>6.0</v>
      </c>
      <c r="P243" s="182" t="s">
        <v>100</v>
      </c>
      <c r="Q243" s="167">
        <v>7.0</v>
      </c>
      <c r="R243" s="184" t="s">
        <v>56</v>
      </c>
      <c r="S243" s="167">
        <v>4.0</v>
      </c>
      <c r="T243" s="188"/>
      <c r="U243" s="142"/>
      <c r="V243" s="184" t="s">
        <v>27</v>
      </c>
      <c r="W243" s="167">
        <v>8.0</v>
      </c>
      <c r="X243" s="142">
        <v>1.0</v>
      </c>
      <c r="Y243" s="142">
        <v>1.0</v>
      </c>
      <c r="Z243" s="142">
        <v>1.0</v>
      </c>
      <c r="AA243" s="142">
        <v>1.0</v>
      </c>
      <c r="AB243" s="142">
        <v>1.0</v>
      </c>
      <c r="AC243" s="142">
        <v>1.0</v>
      </c>
      <c r="AD243" s="142">
        <v>1.0</v>
      </c>
      <c r="AE243" s="142">
        <v>1.0</v>
      </c>
      <c r="AF243" s="142">
        <v>8.0</v>
      </c>
      <c r="AG243" s="142">
        <v>0.0</v>
      </c>
      <c r="AH243" s="185" t="str">
        <f>IFERROR(__xludf.DUMMYFUNCTION("if($C243="""","""",if(join("" - "",{iferror(filter('Student Groupings'!$A:$A,'Student Groupings'!$B:$B=$C243,'Student Groupings'!$H:$H=""Can't be Together""),"""");iferror(filter('Student Groupings'!$A:$A,'Student Groupings'!$E:$E=$C243,'Student Groupings"&amp;"'!$H:$H=""Can't be Together""),"""")})="" - "","""",join("" - "",{iferror(filter('Student Groupings'!$A:$A,'Student Groupings'!$B:$B=$C243,'Student Groupings'!$H:$H=""Can't be Together""),"""");iferror(filter('Student Groupings'!$A:$A,'Student Groupings'!"&amp;"$E:$E=$C243,'Student Groupings'!$H:$H=""Can't be Together""),"""")})))"),"")</f>
        <v/>
      </c>
      <c r="AI243" s="185" t="str">
        <f>IFERROR(__xludf.DUMMYFUNCTION("if($C243="""","""",if(join("" - "",{iferror(filter('Student Groupings'!$A:$A,'Student Groupings'!$B:$B=$C243,'Student Groupings'!$H:$H=""Must be Together""),"""");iferror(filter('Student Groupings'!$A:$A,'Student Groupings'!$E:$E=$C243,'Student Groupings'"&amp;"!$H:$H=""Must be Together""),"""")})="" - "","""",join("" - "",{iferror(filter('Student Groupings'!$A:$A,'Student Groupings'!$B:$B=$C243,'Student Groupings'!$H:$H=""Must be Together""),"""");iferror(filter('Student Groupings'!$A:$A,'Student Groupings'!$E:"&amp;"$E=$C243,'Student Groupings'!$H:$H=""Must be Together""),"""")})))"),"")</f>
        <v/>
      </c>
    </row>
    <row r="244">
      <c r="A244" s="167">
        <v>10.0</v>
      </c>
      <c r="B244" s="168">
        <v>28084.0</v>
      </c>
      <c r="C244" s="144" t="s">
        <v>396</v>
      </c>
      <c r="D244" s="180" t="s">
        <v>48</v>
      </c>
      <c r="E244" s="181">
        <v>6.0</v>
      </c>
      <c r="F244" s="167" t="s">
        <v>57</v>
      </c>
      <c r="G244" s="167">
        <v>5.0</v>
      </c>
      <c r="H244" s="182" t="s">
        <v>79</v>
      </c>
      <c r="I244" s="167">
        <v>8.0</v>
      </c>
      <c r="J244" s="187"/>
      <c r="K244" s="167"/>
      <c r="L244" s="184" t="s">
        <v>95</v>
      </c>
      <c r="M244" s="167">
        <v>1.0</v>
      </c>
      <c r="N244" s="184" t="s">
        <v>130</v>
      </c>
      <c r="O244" s="167">
        <v>4.0</v>
      </c>
      <c r="P244" s="184" t="s">
        <v>103</v>
      </c>
      <c r="Q244" s="167">
        <v>2.0</v>
      </c>
      <c r="R244" s="184" t="s">
        <v>56</v>
      </c>
      <c r="S244" s="167">
        <v>7.0</v>
      </c>
      <c r="T244" s="183"/>
      <c r="U244" s="167"/>
      <c r="V244" s="184" t="s">
        <v>24</v>
      </c>
      <c r="W244" s="167">
        <v>3.0</v>
      </c>
      <c r="X244" s="142">
        <v>1.0</v>
      </c>
      <c r="Y244" s="142">
        <v>1.0</v>
      </c>
      <c r="Z244" s="142">
        <v>1.0</v>
      </c>
      <c r="AA244" s="142">
        <v>1.0</v>
      </c>
      <c r="AB244" s="142">
        <v>1.0</v>
      </c>
      <c r="AC244" s="142">
        <v>1.0</v>
      </c>
      <c r="AD244" s="142">
        <v>1.0</v>
      </c>
      <c r="AE244" s="142">
        <v>1.0</v>
      </c>
      <c r="AF244" s="142">
        <v>8.0</v>
      </c>
      <c r="AG244" s="142">
        <v>0.0</v>
      </c>
      <c r="AH244" s="185" t="str">
        <f>IFERROR(__xludf.DUMMYFUNCTION("if($C244="""","""",if(join("" - "",{iferror(filter('Student Groupings'!$A:$A,'Student Groupings'!$B:$B=$C244,'Student Groupings'!$H:$H=""Can't be Together""),"""");iferror(filter('Student Groupings'!$A:$A,'Student Groupings'!$E:$E=$C244,'Student Groupings"&amp;"'!$H:$H=""Can't be Together""),"""")})="" - "","""",join("" - "",{iferror(filter('Student Groupings'!$A:$A,'Student Groupings'!$B:$B=$C244,'Student Groupings'!$H:$H=""Can't be Together""),"""");iferror(filter('Student Groupings'!$A:$A,'Student Groupings'!"&amp;"$E:$E=$C244,'Student Groupings'!$H:$H=""Can't be Together""),"""")})))"),"")</f>
        <v/>
      </c>
      <c r="AI244" s="185" t="str">
        <f>IFERROR(__xludf.DUMMYFUNCTION("if($C244="""","""",if(join("" - "",{iferror(filter('Student Groupings'!$A:$A,'Student Groupings'!$B:$B=$C244,'Student Groupings'!$H:$H=""Must be Together""),"""");iferror(filter('Student Groupings'!$A:$A,'Student Groupings'!$E:$E=$C244,'Student Groupings'"&amp;"!$H:$H=""Must be Together""),"""")})="" - "","""",join("" - "",{iferror(filter('Student Groupings'!$A:$A,'Student Groupings'!$B:$B=$C244,'Student Groupings'!$H:$H=""Must be Together""),"""");iferror(filter('Student Groupings'!$A:$A,'Student Groupings'!$E:"&amp;"$E=$C244,'Student Groupings'!$H:$H=""Must be Together""),"""")})))"),"")</f>
        <v/>
      </c>
    </row>
    <row r="245">
      <c r="A245" s="167">
        <v>10.0</v>
      </c>
      <c r="B245" s="168">
        <v>28114.0</v>
      </c>
      <c r="C245" s="144" t="s">
        <v>397</v>
      </c>
      <c r="D245" s="180" t="s">
        <v>48</v>
      </c>
      <c r="E245" s="181">
        <v>6.0</v>
      </c>
      <c r="F245" s="167" t="s">
        <v>64</v>
      </c>
      <c r="G245" s="167">
        <v>5.0</v>
      </c>
      <c r="H245" s="182" t="s">
        <v>76</v>
      </c>
      <c r="I245" s="167">
        <v>3.0</v>
      </c>
      <c r="J245" s="187"/>
      <c r="K245" s="167"/>
      <c r="L245" s="184" t="s">
        <v>95</v>
      </c>
      <c r="M245" s="167">
        <v>7.0</v>
      </c>
      <c r="N245" s="184" t="s">
        <v>130</v>
      </c>
      <c r="O245" s="167">
        <v>4.0</v>
      </c>
      <c r="P245" s="184" t="s">
        <v>103</v>
      </c>
      <c r="Q245" s="167">
        <v>2.0</v>
      </c>
      <c r="R245" s="184" t="s">
        <v>56</v>
      </c>
      <c r="S245" s="167">
        <v>1.0</v>
      </c>
      <c r="T245" s="188"/>
      <c r="U245" s="142"/>
      <c r="V245" s="184" t="s">
        <v>30</v>
      </c>
      <c r="W245" s="167">
        <v>8.0</v>
      </c>
      <c r="X245" s="142">
        <v>1.0</v>
      </c>
      <c r="Y245" s="142">
        <v>1.0</v>
      </c>
      <c r="Z245" s="142">
        <v>1.0</v>
      </c>
      <c r="AA245" s="142">
        <v>1.0</v>
      </c>
      <c r="AB245" s="142">
        <v>1.0</v>
      </c>
      <c r="AC245" s="142">
        <v>1.0</v>
      </c>
      <c r="AD245" s="142">
        <v>1.0</v>
      </c>
      <c r="AE245" s="142">
        <v>1.0</v>
      </c>
      <c r="AF245" s="142">
        <v>8.0</v>
      </c>
      <c r="AG245" s="142">
        <v>0.0</v>
      </c>
      <c r="AH245" s="185" t="str">
        <f>IFERROR(__xludf.DUMMYFUNCTION("if($C245="""","""",if(join("" - "",{iferror(filter('Student Groupings'!$A:$A,'Student Groupings'!$B:$B=$C245,'Student Groupings'!$H:$H=""Can't be Together""),"""");iferror(filter('Student Groupings'!$A:$A,'Student Groupings'!$E:$E=$C245,'Student Groupings"&amp;"'!$H:$H=""Can't be Together""),"""")})="" - "","""",join("" - "",{iferror(filter('Student Groupings'!$A:$A,'Student Groupings'!$B:$B=$C245,'Student Groupings'!$H:$H=""Can't be Together""),"""");iferror(filter('Student Groupings'!$A:$A,'Student Groupings'!"&amp;"$E:$E=$C245,'Student Groupings'!$H:$H=""Can't be Together""),"""")})))"),"")</f>
        <v/>
      </c>
      <c r="AI245" s="185" t="str">
        <f>IFERROR(__xludf.DUMMYFUNCTION("if($C245="""","""",if(join("" - "",{iferror(filter('Student Groupings'!$A:$A,'Student Groupings'!$B:$B=$C245,'Student Groupings'!$H:$H=""Must be Together""),"""");iferror(filter('Student Groupings'!$A:$A,'Student Groupings'!$E:$E=$C245,'Student Groupings'"&amp;"!$H:$H=""Must be Together""),"""")})="" - "","""",join("" - "",{iferror(filter('Student Groupings'!$A:$A,'Student Groupings'!$B:$B=$C245,'Student Groupings'!$H:$H=""Must be Together""),"""");iferror(filter('Student Groupings'!$A:$A,'Student Groupings'!$E:"&amp;"$E=$C245,'Student Groupings'!$H:$H=""Must be Together""),"""")})))"),"")</f>
        <v/>
      </c>
    </row>
    <row r="246">
      <c r="A246" s="167">
        <v>10.0</v>
      </c>
      <c r="B246" s="168">
        <v>28064.0</v>
      </c>
      <c r="C246" s="144" t="s">
        <v>398</v>
      </c>
      <c r="D246" s="180" t="s">
        <v>37</v>
      </c>
      <c r="E246" s="181">
        <v>2.0</v>
      </c>
      <c r="F246" s="167" t="s">
        <v>64</v>
      </c>
      <c r="G246" s="167">
        <v>7.0</v>
      </c>
      <c r="H246" s="182" t="s">
        <v>79</v>
      </c>
      <c r="I246" s="167">
        <v>8.0</v>
      </c>
      <c r="J246" s="187"/>
      <c r="K246" s="167"/>
      <c r="L246" s="184" t="s">
        <v>95</v>
      </c>
      <c r="M246" s="167">
        <v>1.0</v>
      </c>
      <c r="N246" s="184" t="s">
        <v>130</v>
      </c>
      <c r="O246" s="167">
        <v>4.0</v>
      </c>
      <c r="P246" s="184" t="s">
        <v>103</v>
      </c>
      <c r="Q246" s="167">
        <v>6.0</v>
      </c>
      <c r="R246" s="184" t="s">
        <v>56</v>
      </c>
      <c r="S246" s="167">
        <v>5.0</v>
      </c>
      <c r="T246" s="188"/>
      <c r="U246" s="142"/>
      <c r="V246" s="184" t="s">
        <v>27</v>
      </c>
      <c r="W246" s="167">
        <v>3.0</v>
      </c>
      <c r="X246" s="142">
        <v>1.0</v>
      </c>
      <c r="Y246" s="142">
        <v>1.0</v>
      </c>
      <c r="Z246" s="142">
        <v>1.0</v>
      </c>
      <c r="AA246" s="142">
        <v>1.0</v>
      </c>
      <c r="AB246" s="142">
        <v>1.0</v>
      </c>
      <c r="AC246" s="142">
        <v>1.0</v>
      </c>
      <c r="AD246" s="142">
        <v>1.0</v>
      </c>
      <c r="AE246" s="142">
        <v>1.0</v>
      </c>
      <c r="AF246" s="142">
        <v>8.0</v>
      </c>
      <c r="AG246" s="142">
        <v>0.0</v>
      </c>
      <c r="AH246" s="185" t="str">
        <f>IFERROR(__xludf.DUMMYFUNCTION("if($C246="""","""",if(join("" - "",{iferror(filter('Student Groupings'!$A:$A,'Student Groupings'!$B:$B=$C246,'Student Groupings'!$H:$H=""Can't be Together""),"""");iferror(filter('Student Groupings'!$A:$A,'Student Groupings'!$E:$E=$C246,'Student Groupings"&amp;"'!$H:$H=""Can't be Together""),"""")})="" - "","""",join("" - "",{iferror(filter('Student Groupings'!$A:$A,'Student Groupings'!$B:$B=$C246,'Student Groupings'!$H:$H=""Can't be Together""),"""");iferror(filter('Student Groupings'!$A:$A,'Student Groupings'!"&amp;"$E:$E=$C246,'Student Groupings'!$H:$H=""Can't be Together""),"""")})))"),"")</f>
        <v/>
      </c>
      <c r="AI246" s="185" t="str">
        <f>IFERROR(__xludf.DUMMYFUNCTION("if($C246="""","""",if(join("" - "",{iferror(filter('Student Groupings'!$A:$A,'Student Groupings'!$B:$B=$C246,'Student Groupings'!$H:$H=""Must be Together""),"""");iferror(filter('Student Groupings'!$A:$A,'Student Groupings'!$E:$E=$C246,'Student Groupings'"&amp;"!$H:$H=""Must be Together""),"""")})="" - "","""",join("" - "",{iferror(filter('Student Groupings'!$A:$A,'Student Groupings'!$B:$B=$C246,'Student Groupings'!$H:$H=""Must be Together""),"""");iferror(filter('Student Groupings'!$A:$A,'Student Groupings'!$E:"&amp;"$E=$C246,'Student Groupings'!$H:$H=""Must be Together""),"""")})))"),"")</f>
        <v/>
      </c>
    </row>
    <row r="247">
      <c r="A247" s="167">
        <v>10.0</v>
      </c>
      <c r="B247" s="168">
        <v>28036.0</v>
      </c>
      <c r="C247" s="144" t="s">
        <v>399</v>
      </c>
      <c r="D247" s="180" t="s">
        <v>37</v>
      </c>
      <c r="E247" s="181">
        <v>8.0</v>
      </c>
      <c r="F247" s="167" t="s">
        <v>64</v>
      </c>
      <c r="G247" s="167">
        <v>5.0</v>
      </c>
      <c r="H247" s="182" t="s">
        <v>76</v>
      </c>
      <c r="I247" s="167">
        <v>7.0</v>
      </c>
      <c r="J247" s="187"/>
      <c r="K247" s="167"/>
      <c r="L247" s="184" t="s">
        <v>95</v>
      </c>
      <c r="M247" s="167">
        <v>3.0</v>
      </c>
      <c r="N247" s="184" t="s">
        <v>130</v>
      </c>
      <c r="O247" s="167">
        <v>6.0</v>
      </c>
      <c r="P247" s="182" t="s">
        <v>100</v>
      </c>
      <c r="Q247" s="167">
        <v>2.0</v>
      </c>
      <c r="R247" s="184" t="s">
        <v>56</v>
      </c>
      <c r="S247" s="167">
        <v>4.0</v>
      </c>
      <c r="T247" s="188"/>
      <c r="U247" s="167"/>
      <c r="V247" s="184" t="s">
        <v>34</v>
      </c>
      <c r="W247" s="167">
        <v>1.0</v>
      </c>
      <c r="X247" s="142">
        <v>1.0</v>
      </c>
      <c r="Y247" s="142">
        <v>1.0</v>
      </c>
      <c r="Z247" s="142">
        <v>1.0</v>
      </c>
      <c r="AA247" s="142">
        <v>1.0</v>
      </c>
      <c r="AB247" s="142">
        <v>1.0</v>
      </c>
      <c r="AC247" s="142">
        <v>1.0</v>
      </c>
      <c r="AD247" s="142">
        <v>1.0</v>
      </c>
      <c r="AE247" s="142">
        <v>1.0</v>
      </c>
      <c r="AF247" s="142">
        <v>8.0</v>
      </c>
      <c r="AG247" s="142">
        <v>0.0</v>
      </c>
      <c r="AH247" s="185" t="str">
        <f>IFERROR(__xludf.DUMMYFUNCTION("if($C247="""","""",if(join("" - "",{iferror(filter('Student Groupings'!$A:$A,'Student Groupings'!$B:$B=$C247,'Student Groupings'!$H:$H=""Can't be Together""),"""");iferror(filter('Student Groupings'!$A:$A,'Student Groupings'!$E:$E=$C247,'Student Groupings"&amp;"'!$H:$H=""Can't be Together""),"""")})="" - "","""",join("" - "",{iferror(filter('Student Groupings'!$A:$A,'Student Groupings'!$B:$B=$C247,'Student Groupings'!$H:$H=""Can't be Together""),"""");iferror(filter('Student Groupings'!$A:$A,'Student Groupings'!"&amp;"$E:$E=$C247,'Student Groupings'!$H:$H=""Can't be Together""),"""")})))"),"71 -  - 7 - 8")</f>
        <v>71 -  - 7 - 8</v>
      </c>
      <c r="AI247" s="185" t="str">
        <f>IFERROR(__xludf.DUMMYFUNCTION("if($C247="""","""",if(join("" - "",{iferror(filter('Student Groupings'!$A:$A,'Student Groupings'!$B:$B=$C247,'Student Groupings'!$H:$H=""Must be Together""),"""");iferror(filter('Student Groupings'!$A:$A,'Student Groupings'!$E:$E=$C247,'Student Groupings'"&amp;"!$H:$H=""Must be Together""),"""")})="" - "","""",join("" - "",{iferror(filter('Student Groupings'!$A:$A,'Student Groupings'!$B:$B=$C247,'Student Groupings'!$H:$H=""Must be Together""),"""");iferror(filter('Student Groupings'!$A:$A,'Student Groupings'!$E:"&amp;"$E=$C247,'Student Groupings'!$H:$H=""Must be Together""),"""")})))"),"")</f>
        <v/>
      </c>
    </row>
    <row r="248">
      <c r="A248" s="167">
        <v>10.0</v>
      </c>
      <c r="B248" s="168">
        <v>28076.0</v>
      </c>
      <c r="C248" s="144" t="s">
        <v>400</v>
      </c>
      <c r="D248" s="180" t="s">
        <v>48</v>
      </c>
      <c r="E248" s="181">
        <v>5.0</v>
      </c>
      <c r="F248" s="167" t="s">
        <v>64</v>
      </c>
      <c r="G248" s="167">
        <v>1.0</v>
      </c>
      <c r="H248" s="182" t="s">
        <v>81</v>
      </c>
      <c r="I248" s="167">
        <v>3.0</v>
      </c>
      <c r="J248" s="183"/>
      <c r="K248" s="167"/>
      <c r="L248" s="184" t="s">
        <v>95</v>
      </c>
      <c r="M248" s="167">
        <v>8.0</v>
      </c>
      <c r="N248" s="184" t="s">
        <v>130</v>
      </c>
      <c r="O248" s="167">
        <v>7.0</v>
      </c>
      <c r="P248" s="184" t="s">
        <v>103</v>
      </c>
      <c r="Q248" s="167">
        <v>4.0</v>
      </c>
      <c r="R248" s="184" t="s">
        <v>56</v>
      </c>
      <c r="S248" s="167">
        <v>2.0</v>
      </c>
      <c r="T248" s="188"/>
      <c r="U248" s="142"/>
      <c r="V248" s="184" t="s">
        <v>23</v>
      </c>
      <c r="W248" s="167">
        <v>6.0</v>
      </c>
      <c r="X248" s="142">
        <v>1.0</v>
      </c>
      <c r="Y248" s="142">
        <v>1.0</v>
      </c>
      <c r="Z248" s="142">
        <v>1.0</v>
      </c>
      <c r="AA248" s="142">
        <v>1.0</v>
      </c>
      <c r="AB248" s="142">
        <v>1.0</v>
      </c>
      <c r="AC248" s="142">
        <v>1.0</v>
      </c>
      <c r="AD248" s="142">
        <v>1.0</v>
      </c>
      <c r="AE248" s="142">
        <v>1.0</v>
      </c>
      <c r="AF248" s="142">
        <v>8.0</v>
      </c>
      <c r="AG248" s="142">
        <v>0.0</v>
      </c>
      <c r="AH248" s="185" t="str">
        <f>IFERROR(__xludf.DUMMYFUNCTION("if($C248="""","""",if(join("" - "",{iferror(filter('Student Groupings'!$A:$A,'Student Groupings'!$B:$B=$C248,'Student Groupings'!$H:$H=""Can't be Together""),"""");iferror(filter('Student Groupings'!$A:$A,'Student Groupings'!$E:$E=$C248,'Student Groupings"&amp;"'!$H:$H=""Can't be Together""),"""")})="" - "","""",join("" - "",{iferror(filter('Student Groupings'!$A:$A,'Student Groupings'!$B:$B=$C248,'Student Groupings'!$H:$H=""Can't be Together""),"""");iferror(filter('Student Groupings'!$A:$A,'Student Groupings'!"&amp;"$E:$E=$C248,'Student Groupings'!$H:$H=""Can't be Together""),"""")})))"),"")</f>
        <v/>
      </c>
      <c r="AI248" s="185" t="str">
        <f>IFERROR(__xludf.DUMMYFUNCTION("if($C248="""","""",if(join("" - "",{iferror(filter('Student Groupings'!$A:$A,'Student Groupings'!$B:$B=$C248,'Student Groupings'!$H:$H=""Must be Together""),"""");iferror(filter('Student Groupings'!$A:$A,'Student Groupings'!$E:$E=$C248,'Student Groupings'"&amp;"!$H:$H=""Must be Together""),"""")})="" - "","""",join("" - "",{iferror(filter('Student Groupings'!$A:$A,'Student Groupings'!$B:$B=$C248,'Student Groupings'!$H:$H=""Must be Together""),"""");iferror(filter('Student Groupings'!$A:$A,'Student Groupings'!$E:"&amp;"$E=$C248,'Student Groupings'!$H:$H=""Must be Together""),"""")})))"),"")</f>
        <v/>
      </c>
    </row>
    <row r="249">
      <c r="A249" s="167">
        <v>10.0</v>
      </c>
      <c r="B249" s="199">
        <v>28164.0</v>
      </c>
      <c r="C249" s="217" t="s">
        <v>401</v>
      </c>
      <c r="D249" s="198" t="s">
        <v>37</v>
      </c>
      <c r="E249" s="181">
        <v>5.0</v>
      </c>
      <c r="F249" s="186" t="s">
        <v>64</v>
      </c>
      <c r="G249" s="186">
        <v>3.0</v>
      </c>
      <c r="H249" s="182" t="s">
        <v>76</v>
      </c>
      <c r="I249" s="167">
        <v>4.0</v>
      </c>
      <c r="J249" s="187"/>
      <c r="K249" s="186"/>
      <c r="L249" s="184" t="s">
        <v>95</v>
      </c>
      <c r="M249" s="186">
        <v>1.0</v>
      </c>
      <c r="N249" s="184" t="s">
        <v>130</v>
      </c>
      <c r="O249" s="186">
        <v>6.0</v>
      </c>
      <c r="P249" s="184" t="s">
        <v>103</v>
      </c>
      <c r="Q249" s="186">
        <v>2.0</v>
      </c>
      <c r="R249" s="184" t="s">
        <v>56</v>
      </c>
      <c r="S249" s="186">
        <v>7.0</v>
      </c>
      <c r="T249" s="187"/>
      <c r="U249" s="200"/>
      <c r="V249" s="184" t="s">
        <v>86</v>
      </c>
      <c r="W249" s="167">
        <v>8.0</v>
      </c>
      <c r="X249" s="142">
        <v>1.0</v>
      </c>
      <c r="Y249" s="142">
        <v>1.0</v>
      </c>
      <c r="Z249" s="142">
        <v>1.0</v>
      </c>
      <c r="AA249" s="142">
        <v>1.0</v>
      </c>
      <c r="AB249" s="142">
        <v>1.0</v>
      </c>
      <c r="AC249" s="142">
        <v>1.0</v>
      </c>
      <c r="AD249" s="142">
        <v>1.0</v>
      </c>
      <c r="AE249" s="142">
        <v>1.0</v>
      </c>
      <c r="AF249" s="142">
        <v>8.0</v>
      </c>
      <c r="AG249" s="142">
        <v>0.0</v>
      </c>
      <c r="AH249" s="185" t="str">
        <f>IFERROR(__xludf.DUMMYFUNCTION("if($C249="""","""",if(join("" - "",{iferror(filter('Student Groupings'!$A:$A,'Student Groupings'!$B:$B=$C249,'Student Groupings'!$H:$H=""Can't be Together""),"""");iferror(filter('Student Groupings'!$A:$A,'Student Groupings'!$E:$E=$C249,'Student Groupings"&amp;"'!$H:$H=""Can't be Together""),"""")})="" - "","""",join("" - "",{iferror(filter('Student Groupings'!$A:$A,'Student Groupings'!$B:$B=$C249,'Student Groupings'!$H:$H=""Can't be Together""),"""");iferror(filter('Student Groupings'!$A:$A,'Student Groupings'!"&amp;"$E:$E=$C249,'Student Groupings'!$H:$H=""Can't be Together""),"""")})))"),"")</f>
        <v/>
      </c>
      <c r="AI249" s="185" t="str">
        <f>IFERROR(__xludf.DUMMYFUNCTION("if($C249="""","""",if(join("" - "",{iferror(filter('Student Groupings'!$A:$A,'Student Groupings'!$B:$B=$C249,'Student Groupings'!$H:$H=""Must be Together""),"""");iferror(filter('Student Groupings'!$A:$A,'Student Groupings'!$E:$E=$C249,'Student Groupings'"&amp;"!$H:$H=""Must be Together""),"""")})="" - "","""",join("" - "",{iferror(filter('Student Groupings'!$A:$A,'Student Groupings'!$B:$B=$C249,'Student Groupings'!$H:$H=""Must be Together""),"""");iferror(filter('Student Groupings'!$A:$A,'Student Groupings'!$E:"&amp;"$E=$C249,'Student Groupings'!$H:$H=""Must be Together""),"""")})))"),"")</f>
        <v/>
      </c>
    </row>
    <row r="250">
      <c r="A250" s="167">
        <v>10.0</v>
      </c>
      <c r="B250" s="199">
        <v>27088.0</v>
      </c>
      <c r="C250" s="183" t="s">
        <v>402</v>
      </c>
      <c r="D250" s="180" t="s">
        <v>48</v>
      </c>
      <c r="E250" s="181">
        <v>6.0</v>
      </c>
      <c r="F250" s="186" t="s">
        <v>57</v>
      </c>
      <c r="G250" s="167">
        <v>5.0</v>
      </c>
      <c r="H250" s="182" t="s">
        <v>76</v>
      </c>
      <c r="I250" s="167">
        <v>3.0</v>
      </c>
      <c r="J250" s="187"/>
      <c r="K250" s="167"/>
      <c r="L250" s="184" t="s">
        <v>95</v>
      </c>
      <c r="M250" s="167">
        <v>2.0</v>
      </c>
      <c r="N250" s="184" t="s">
        <v>130</v>
      </c>
      <c r="O250" s="186">
        <v>7.0</v>
      </c>
      <c r="P250" s="182" t="s">
        <v>100</v>
      </c>
      <c r="Q250" s="186">
        <v>4.0</v>
      </c>
      <c r="R250" s="184" t="s">
        <v>56</v>
      </c>
      <c r="S250" s="186">
        <v>1.0</v>
      </c>
      <c r="T250" s="187"/>
      <c r="U250" s="200"/>
      <c r="V250" s="184" t="s">
        <v>27</v>
      </c>
      <c r="W250" s="167">
        <v>8.0</v>
      </c>
      <c r="X250" s="142">
        <v>1.0</v>
      </c>
      <c r="Y250" s="142">
        <v>1.0</v>
      </c>
      <c r="Z250" s="142">
        <v>1.0</v>
      </c>
      <c r="AA250" s="142">
        <v>1.0</v>
      </c>
      <c r="AB250" s="142">
        <v>1.0</v>
      </c>
      <c r="AC250" s="142">
        <v>1.0</v>
      </c>
      <c r="AD250" s="142">
        <v>1.0</v>
      </c>
      <c r="AE250" s="142">
        <v>1.0</v>
      </c>
      <c r="AF250" s="142">
        <v>8.0</v>
      </c>
      <c r="AG250" s="142">
        <v>0.0</v>
      </c>
      <c r="AH250" s="185" t="str">
        <f>IFERROR(__xludf.DUMMYFUNCTION("if($C250="""","""",if(join("" - "",{iferror(filter('Student Groupings'!$A:$A,'Student Groupings'!$B:$B=$C250,'Student Groupings'!$H:$H=""Can't be Together""),"""");iferror(filter('Student Groupings'!$A:$A,'Student Groupings'!$E:$E=$C250,'Student Groupings"&amp;"'!$H:$H=""Can't be Together""),"""")})="" - "","""",join("" - "",{iferror(filter('Student Groupings'!$A:$A,'Student Groupings'!$B:$B=$C250,'Student Groupings'!$H:$H=""Can't be Together""),"""");iferror(filter('Student Groupings'!$A:$A,'Student Groupings'!"&amp;"$E:$E=$C250,'Student Groupings'!$H:$H=""Can't be Together""),"""")})))"),"")</f>
        <v/>
      </c>
      <c r="AI250" s="185" t="str">
        <f>IFERROR(__xludf.DUMMYFUNCTION("if($C250="""","""",if(join("" - "",{iferror(filter('Student Groupings'!$A:$A,'Student Groupings'!$B:$B=$C250,'Student Groupings'!$H:$H=""Must be Together""),"""");iferror(filter('Student Groupings'!$A:$A,'Student Groupings'!$E:$E=$C250,'Student Groupings'"&amp;"!$H:$H=""Must be Together""),"""")})="" - "","""",join("" - "",{iferror(filter('Student Groupings'!$A:$A,'Student Groupings'!$B:$B=$C250,'Student Groupings'!$H:$H=""Must be Together""),"""");iferror(filter('Student Groupings'!$A:$A,'Student Groupings'!$E:"&amp;"$E=$C250,'Student Groupings'!$H:$H=""Must be Together""),"""")})))"),"")</f>
        <v/>
      </c>
    </row>
    <row r="251">
      <c r="A251" s="167">
        <v>10.0</v>
      </c>
      <c r="B251" s="168">
        <v>28060.0</v>
      </c>
      <c r="C251" s="144" t="s">
        <v>403</v>
      </c>
      <c r="D251" s="180" t="s">
        <v>37</v>
      </c>
      <c r="E251" s="181">
        <v>2.0</v>
      </c>
      <c r="F251" s="167" t="s">
        <v>64</v>
      </c>
      <c r="G251" s="167">
        <v>1.0</v>
      </c>
      <c r="H251" s="182" t="s">
        <v>76</v>
      </c>
      <c r="I251" s="186">
        <v>3.0</v>
      </c>
      <c r="J251" s="187"/>
      <c r="K251" s="167"/>
      <c r="L251" s="184" t="s">
        <v>95</v>
      </c>
      <c r="M251" s="167">
        <v>6.0</v>
      </c>
      <c r="N251" s="184" t="s">
        <v>130</v>
      </c>
      <c r="O251" s="167">
        <v>7.0</v>
      </c>
      <c r="P251" s="184" t="s">
        <v>103</v>
      </c>
      <c r="Q251" s="167">
        <v>4.0</v>
      </c>
      <c r="R251" s="184" t="s">
        <v>56</v>
      </c>
      <c r="S251" s="167">
        <v>5.0</v>
      </c>
      <c r="T251" s="187"/>
      <c r="U251" s="167"/>
      <c r="V251" s="184" t="s">
        <v>35</v>
      </c>
      <c r="W251" s="167">
        <v>8.0</v>
      </c>
      <c r="X251" s="142">
        <v>1.0</v>
      </c>
      <c r="Y251" s="142">
        <v>1.0</v>
      </c>
      <c r="Z251" s="142">
        <v>1.0</v>
      </c>
      <c r="AA251" s="142">
        <v>1.0</v>
      </c>
      <c r="AB251" s="142">
        <v>1.0</v>
      </c>
      <c r="AC251" s="142">
        <v>1.0</v>
      </c>
      <c r="AD251" s="142">
        <v>1.0</v>
      </c>
      <c r="AE251" s="142">
        <v>1.0</v>
      </c>
      <c r="AF251" s="142">
        <v>8.0</v>
      </c>
      <c r="AG251" s="142">
        <v>0.0</v>
      </c>
      <c r="AH251" s="185" t="str">
        <f>IFERROR(__xludf.DUMMYFUNCTION("if($C251="""","""",if(join("" - "",{iferror(filter('Student Groupings'!$A:$A,'Student Groupings'!$B:$B=$C251,'Student Groupings'!$H:$H=""Can't be Together""),"""");iferror(filter('Student Groupings'!$A:$A,'Student Groupings'!$E:$E=$C251,'Student Groupings"&amp;"'!$H:$H=""Can't be Together""),"""")})="" - "","""",join("" - "",{iferror(filter('Student Groupings'!$A:$A,'Student Groupings'!$B:$B=$C251,'Student Groupings'!$H:$H=""Can't be Together""),"""");iferror(filter('Student Groupings'!$A:$A,'Student Groupings'!"&amp;"$E:$E=$C251,'Student Groupings'!$H:$H=""Can't be Together""),"""")})))"),"")</f>
        <v/>
      </c>
      <c r="AI251" s="185" t="str">
        <f>IFERROR(__xludf.DUMMYFUNCTION("if($C251="""","""",if(join("" - "",{iferror(filter('Student Groupings'!$A:$A,'Student Groupings'!$B:$B=$C251,'Student Groupings'!$H:$H=""Must be Together""),"""");iferror(filter('Student Groupings'!$A:$A,'Student Groupings'!$E:$E=$C251,'Student Groupings'"&amp;"!$H:$H=""Must be Together""),"""")})="" - "","""",join("" - "",{iferror(filter('Student Groupings'!$A:$A,'Student Groupings'!$B:$B=$C251,'Student Groupings'!$H:$H=""Must be Together""),"""");iferror(filter('Student Groupings'!$A:$A,'Student Groupings'!$E:"&amp;"$E=$C251,'Student Groupings'!$H:$H=""Must be Together""),"""")})))"),"")</f>
        <v/>
      </c>
    </row>
    <row r="252">
      <c r="A252" s="167">
        <v>10.0</v>
      </c>
      <c r="B252" s="168">
        <v>28034.0</v>
      </c>
      <c r="C252" s="144" t="s">
        <v>404</v>
      </c>
      <c r="D252" s="180" t="s">
        <v>37</v>
      </c>
      <c r="E252" s="181">
        <v>2.0</v>
      </c>
      <c r="F252" s="167" t="s">
        <v>64</v>
      </c>
      <c r="G252" s="167">
        <v>3.0</v>
      </c>
      <c r="H252" s="182" t="s">
        <v>79</v>
      </c>
      <c r="I252" s="186">
        <v>8.0</v>
      </c>
      <c r="J252" s="187"/>
      <c r="K252" s="167"/>
      <c r="L252" s="184" t="s">
        <v>95</v>
      </c>
      <c r="M252" s="167">
        <v>1.0</v>
      </c>
      <c r="N252" s="184" t="s">
        <v>130</v>
      </c>
      <c r="O252" s="167">
        <v>6.0</v>
      </c>
      <c r="P252" s="182" t="s">
        <v>100</v>
      </c>
      <c r="Q252" s="167">
        <v>4.0</v>
      </c>
      <c r="R252" s="184" t="s">
        <v>56</v>
      </c>
      <c r="S252" s="167">
        <v>5.0</v>
      </c>
      <c r="T252" s="187"/>
      <c r="U252" s="167"/>
      <c r="V252" s="184" t="s">
        <v>24</v>
      </c>
      <c r="W252" s="167">
        <v>7.0</v>
      </c>
      <c r="X252" s="142">
        <v>1.0</v>
      </c>
      <c r="Y252" s="142">
        <v>1.0</v>
      </c>
      <c r="Z252" s="142">
        <v>1.0</v>
      </c>
      <c r="AA252" s="142">
        <v>1.0</v>
      </c>
      <c r="AB252" s="142">
        <v>1.0</v>
      </c>
      <c r="AC252" s="142">
        <v>1.0</v>
      </c>
      <c r="AD252" s="142">
        <v>1.0</v>
      </c>
      <c r="AE252" s="142">
        <v>1.0</v>
      </c>
      <c r="AF252" s="142">
        <v>8.0</v>
      </c>
      <c r="AG252" s="142">
        <v>0.0</v>
      </c>
      <c r="AH252" s="185" t="str">
        <f>IFERROR(__xludf.DUMMYFUNCTION("if($C252="""","""",if(join("" - "",{iferror(filter('Student Groupings'!$A:$A,'Student Groupings'!$B:$B=$C252,'Student Groupings'!$H:$H=""Can't be Together""),"""");iferror(filter('Student Groupings'!$A:$A,'Student Groupings'!$E:$E=$C252,'Student Groupings"&amp;"'!$H:$H=""Can't be Together""),"""")})="" - "","""",join("" - "",{iferror(filter('Student Groupings'!$A:$A,'Student Groupings'!$B:$B=$C252,'Student Groupings'!$H:$H=""Can't be Together""),"""");iferror(filter('Student Groupings'!$A:$A,'Student Groupings'!"&amp;"$E:$E=$C252,'Student Groupings'!$H:$H=""Can't be Together""),"""")})))"),"")</f>
        <v/>
      </c>
      <c r="AI252" s="185" t="str">
        <f>IFERROR(__xludf.DUMMYFUNCTION("if($C252="""","""",if(join("" - "",{iferror(filter('Student Groupings'!$A:$A,'Student Groupings'!$B:$B=$C252,'Student Groupings'!$H:$H=""Must be Together""),"""");iferror(filter('Student Groupings'!$A:$A,'Student Groupings'!$E:$E=$C252,'Student Groupings'"&amp;"!$H:$H=""Must be Together""),"""")})="" - "","""",join("" - "",{iferror(filter('Student Groupings'!$A:$A,'Student Groupings'!$B:$B=$C252,'Student Groupings'!$H:$H=""Must be Together""),"""");iferror(filter('Student Groupings'!$A:$A,'Student Groupings'!$E:"&amp;"$E=$C252,'Student Groupings'!$H:$H=""Must be Together""),"""")})))"),"")</f>
        <v/>
      </c>
    </row>
    <row r="253">
      <c r="A253" s="167">
        <v>10.0</v>
      </c>
      <c r="B253" s="168">
        <v>28049.0</v>
      </c>
      <c r="C253" s="144" t="s">
        <v>405</v>
      </c>
      <c r="D253" s="180" t="s">
        <v>48</v>
      </c>
      <c r="E253" s="181">
        <v>5.0</v>
      </c>
      <c r="F253" s="167" t="s">
        <v>64</v>
      </c>
      <c r="G253" s="167">
        <v>8.0</v>
      </c>
      <c r="H253" s="182" t="s">
        <v>76</v>
      </c>
      <c r="I253" s="167">
        <v>7.0</v>
      </c>
      <c r="J253" s="187"/>
      <c r="K253" s="167"/>
      <c r="L253" s="184" t="s">
        <v>95</v>
      </c>
      <c r="M253" s="167">
        <v>3.0</v>
      </c>
      <c r="N253" s="184" t="s">
        <v>130</v>
      </c>
      <c r="O253" s="167">
        <v>6.0</v>
      </c>
      <c r="P253" s="182" t="s">
        <v>100</v>
      </c>
      <c r="Q253" s="167">
        <v>2.0</v>
      </c>
      <c r="R253" s="184" t="s">
        <v>56</v>
      </c>
      <c r="S253" s="167">
        <v>1.0</v>
      </c>
      <c r="T253" s="187"/>
      <c r="U253" s="167"/>
      <c r="V253" s="184" t="s">
        <v>121</v>
      </c>
      <c r="W253" s="167">
        <v>4.0</v>
      </c>
      <c r="X253" s="142">
        <v>1.0</v>
      </c>
      <c r="Y253" s="142">
        <v>1.0</v>
      </c>
      <c r="Z253" s="142">
        <v>1.0</v>
      </c>
      <c r="AA253" s="142">
        <v>1.0</v>
      </c>
      <c r="AB253" s="142">
        <v>1.0</v>
      </c>
      <c r="AC253" s="142">
        <v>1.0</v>
      </c>
      <c r="AD253" s="142">
        <v>1.0</v>
      </c>
      <c r="AE253" s="142">
        <v>1.0</v>
      </c>
      <c r="AF253" s="142">
        <v>8.0</v>
      </c>
      <c r="AG253" s="142">
        <v>0.0</v>
      </c>
      <c r="AH253" s="185" t="str">
        <f>IFERROR(__xludf.DUMMYFUNCTION("if($C253="""","""",if(join("" - "",{iferror(filter('Student Groupings'!$A:$A,'Student Groupings'!$B:$B=$C253,'Student Groupings'!$H:$H=""Can't be Together""),"""");iferror(filter('Student Groupings'!$A:$A,'Student Groupings'!$E:$E=$C253,'Student Groupings"&amp;"'!$H:$H=""Can't be Together""),"""")})="" - "","""",join("" - "",{iferror(filter('Student Groupings'!$A:$A,'Student Groupings'!$B:$B=$C253,'Student Groupings'!$H:$H=""Can't be Together""),"""");iferror(filter('Student Groupings'!$A:$A,'Student Groupings'!"&amp;"$E:$E=$C253,'Student Groupings'!$H:$H=""Can't be Together""),"""")})))"),"")</f>
        <v/>
      </c>
      <c r="AI253" s="185" t="str">
        <f>IFERROR(__xludf.DUMMYFUNCTION("if($C253="""","""",if(join("" - "",{iferror(filter('Student Groupings'!$A:$A,'Student Groupings'!$B:$B=$C253,'Student Groupings'!$H:$H=""Must be Together""),"""");iferror(filter('Student Groupings'!$A:$A,'Student Groupings'!$E:$E=$C253,'Student Groupings'"&amp;"!$H:$H=""Must be Together""),"""")})="" - "","""",join("" - "",{iferror(filter('Student Groupings'!$A:$A,'Student Groupings'!$B:$B=$C253,'Student Groupings'!$H:$H=""Must be Together""),"""");iferror(filter('Student Groupings'!$A:$A,'Student Groupings'!$E:"&amp;"$E=$C253,'Student Groupings'!$H:$H=""Must be Together""),"""")})))"),"")</f>
        <v/>
      </c>
    </row>
    <row r="254">
      <c r="A254" s="167">
        <v>10.0</v>
      </c>
      <c r="B254" s="168">
        <v>28024.0</v>
      </c>
      <c r="C254" s="144" t="s">
        <v>406</v>
      </c>
      <c r="D254" s="180" t="s">
        <v>37</v>
      </c>
      <c r="E254" s="181">
        <v>2.0</v>
      </c>
      <c r="F254" s="167" t="s">
        <v>64</v>
      </c>
      <c r="G254" s="167">
        <v>7.0</v>
      </c>
      <c r="H254" s="182" t="s">
        <v>79</v>
      </c>
      <c r="I254" s="167">
        <v>6.0</v>
      </c>
      <c r="J254" s="183"/>
      <c r="K254" s="167"/>
      <c r="L254" s="184" t="s">
        <v>95</v>
      </c>
      <c r="M254" s="167">
        <v>1.0</v>
      </c>
      <c r="N254" s="184" t="s">
        <v>130</v>
      </c>
      <c r="O254" s="167">
        <v>5.0</v>
      </c>
      <c r="P254" s="184" t="s">
        <v>103</v>
      </c>
      <c r="Q254" s="167">
        <v>3.0</v>
      </c>
      <c r="R254" s="184" t="s">
        <v>56</v>
      </c>
      <c r="S254" s="167">
        <v>4.0</v>
      </c>
      <c r="T254" s="187"/>
      <c r="U254" s="167"/>
      <c r="V254" s="184" t="s">
        <v>27</v>
      </c>
      <c r="W254" s="167">
        <v>8.0</v>
      </c>
      <c r="X254" s="142">
        <v>1.0</v>
      </c>
      <c r="Y254" s="142">
        <v>1.0</v>
      </c>
      <c r="Z254" s="142">
        <v>1.0</v>
      </c>
      <c r="AA254" s="142">
        <v>1.0</v>
      </c>
      <c r="AB254" s="142">
        <v>1.0</v>
      </c>
      <c r="AC254" s="142">
        <v>1.0</v>
      </c>
      <c r="AD254" s="142">
        <v>1.0</v>
      </c>
      <c r="AE254" s="142">
        <v>1.0</v>
      </c>
      <c r="AF254" s="142">
        <v>8.0</v>
      </c>
      <c r="AG254" s="142">
        <v>0.0</v>
      </c>
      <c r="AH254" s="185" t="str">
        <f>IFERROR(__xludf.DUMMYFUNCTION("if($C254="""","""",if(join("" - "",{iferror(filter('Student Groupings'!$A:$A,'Student Groupings'!$B:$B=$C254,'Student Groupings'!$H:$H=""Can't be Together""),"""");iferror(filter('Student Groupings'!$A:$A,'Student Groupings'!$E:$E=$C254,'Student Groupings"&amp;"'!$H:$H=""Can't be Together""),"""")})="" - "","""",join("" - "",{iferror(filter('Student Groupings'!$A:$A,'Student Groupings'!$B:$B=$C254,'Student Groupings'!$H:$H=""Can't be Together""),"""");iferror(filter('Student Groupings'!$A:$A,'Student Groupings'!"&amp;"$E:$E=$C254,'Student Groupings'!$H:$H=""Can't be Together""),"""")})))"),"")</f>
        <v/>
      </c>
      <c r="AI254" s="185" t="str">
        <f>IFERROR(__xludf.DUMMYFUNCTION("if($C254="""","""",if(join("" - "",{iferror(filter('Student Groupings'!$A:$A,'Student Groupings'!$B:$B=$C254,'Student Groupings'!$H:$H=""Must be Together""),"""");iferror(filter('Student Groupings'!$A:$A,'Student Groupings'!$E:$E=$C254,'Student Groupings'"&amp;"!$H:$H=""Must be Together""),"""")})="" - "","""",join("" - "",{iferror(filter('Student Groupings'!$A:$A,'Student Groupings'!$B:$B=$C254,'Student Groupings'!$H:$H=""Must be Together""),"""");iferror(filter('Student Groupings'!$A:$A,'Student Groupings'!$E:"&amp;"$E=$C254,'Student Groupings'!$H:$H=""Must be Together""),"""")})))"),"")</f>
        <v/>
      </c>
    </row>
    <row r="255">
      <c r="A255" s="167">
        <v>10.0</v>
      </c>
      <c r="B255" s="168">
        <v>28093.0</v>
      </c>
      <c r="C255" s="144" t="s">
        <v>407</v>
      </c>
      <c r="D255" s="180" t="s">
        <v>48</v>
      </c>
      <c r="E255" s="181">
        <v>1.0</v>
      </c>
      <c r="F255" s="167" t="s">
        <v>57</v>
      </c>
      <c r="G255" s="167">
        <v>8.0</v>
      </c>
      <c r="H255" s="182" t="s">
        <v>79</v>
      </c>
      <c r="I255" s="167">
        <v>6.0</v>
      </c>
      <c r="J255" s="187"/>
      <c r="K255" s="167"/>
      <c r="L255" s="184" t="s">
        <v>95</v>
      </c>
      <c r="M255" s="167">
        <v>3.0</v>
      </c>
      <c r="N255" s="184" t="s">
        <v>130</v>
      </c>
      <c r="O255" s="167">
        <v>7.0</v>
      </c>
      <c r="P255" s="184" t="s">
        <v>103</v>
      </c>
      <c r="Q255" s="167">
        <v>2.0</v>
      </c>
      <c r="R255" s="184" t="s">
        <v>56</v>
      </c>
      <c r="S255" s="167">
        <v>5.0</v>
      </c>
      <c r="T255" s="187"/>
      <c r="U255" s="167"/>
      <c r="V255" s="184" t="s">
        <v>86</v>
      </c>
      <c r="W255" s="167">
        <v>4.0</v>
      </c>
      <c r="X255" s="142">
        <v>1.0</v>
      </c>
      <c r="Y255" s="142">
        <v>1.0</v>
      </c>
      <c r="Z255" s="142">
        <v>1.0</v>
      </c>
      <c r="AA255" s="142">
        <v>1.0</v>
      </c>
      <c r="AB255" s="142">
        <v>1.0</v>
      </c>
      <c r="AC255" s="142">
        <v>1.0</v>
      </c>
      <c r="AD255" s="142">
        <v>1.0</v>
      </c>
      <c r="AE255" s="142">
        <v>1.0</v>
      </c>
      <c r="AF255" s="142">
        <v>8.0</v>
      </c>
      <c r="AG255" s="142">
        <v>0.0</v>
      </c>
      <c r="AH255" s="185" t="str">
        <f>IFERROR(__xludf.DUMMYFUNCTION("if($C255="""","""",if(join("" - "",{iferror(filter('Student Groupings'!$A:$A,'Student Groupings'!$B:$B=$C255,'Student Groupings'!$H:$H=""Can't be Together""),"""");iferror(filter('Student Groupings'!$A:$A,'Student Groupings'!$E:$E=$C255,'Student Groupings"&amp;"'!$H:$H=""Can't be Together""),"""")})="" - "","""",join("" - "",{iferror(filter('Student Groupings'!$A:$A,'Student Groupings'!$B:$B=$C255,'Student Groupings'!$H:$H=""Can't be Together""),"""");iferror(filter('Student Groupings'!$A:$A,'Student Groupings'!"&amp;"$E:$E=$C255,'Student Groupings'!$H:$H=""Can't be Together""),"""")})))"),"")</f>
        <v/>
      </c>
      <c r="AI255" s="185" t="str">
        <f>IFERROR(__xludf.DUMMYFUNCTION("if($C255="""","""",if(join("" - "",{iferror(filter('Student Groupings'!$A:$A,'Student Groupings'!$B:$B=$C255,'Student Groupings'!$H:$H=""Must be Together""),"""");iferror(filter('Student Groupings'!$A:$A,'Student Groupings'!$E:$E=$C255,'Student Groupings'"&amp;"!$H:$H=""Must be Together""),"""")})="" - "","""",join("" - "",{iferror(filter('Student Groupings'!$A:$A,'Student Groupings'!$B:$B=$C255,'Student Groupings'!$H:$H=""Must be Together""),"""");iferror(filter('Student Groupings'!$A:$A,'Student Groupings'!$E:"&amp;"$E=$C255,'Student Groupings'!$H:$H=""Must be Together""),"""")})))"),"")</f>
        <v/>
      </c>
    </row>
    <row r="256">
      <c r="A256" s="167">
        <v>10.0</v>
      </c>
      <c r="B256" s="168">
        <v>28070.0</v>
      </c>
      <c r="C256" s="144" t="s">
        <v>408</v>
      </c>
      <c r="D256" s="180" t="s">
        <v>37</v>
      </c>
      <c r="E256" s="181">
        <v>5.0</v>
      </c>
      <c r="F256" s="167" t="s">
        <v>64</v>
      </c>
      <c r="G256" s="167">
        <v>8.0</v>
      </c>
      <c r="H256" s="182" t="s">
        <v>76</v>
      </c>
      <c r="I256" s="186">
        <v>1.0</v>
      </c>
      <c r="J256" s="187"/>
      <c r="K256" s="167"/>
      <c r="L256" s="184" t="s">
        <v>95</v>
      </c>
      <c r="M256" s="167">
        <v>2.0</v>
      </c>
      <c r="N256" s="184" t="s">
        <v>130</v>
      </c>
      <c r="O256" s="167">
        <v>6.0</v>
      </c>
      <c r="P256" s="182" t="s">
        <v>100</v>
      </c>
      <c r="Q256" s="167">
        <v>4.0</v>
      </c>
      <c r="R256" s="184" t="s">
        <v>56</v>
      </c>
      <c r="S256" s="167">
        <v>3.0</v>
      </c>
      <c r="T256" s="187"/>
      <c r="U256" s="167"/>
      <c r="V256" s="184" t="s">
        <v>24</v>
      </c>
      <c r="W256" s="167">
        <v>7.0</v>
      </c>
      <c r="X256" s="142">
        <v>1.0</v>
      </c>
      <c r="Y256" s="142">
        <v>1.0</v>
      </c>
      <c r="Z256" s="142">
        <v>1.0</v>
      </c>
      <c r="AA256" s="142">
        <v>1.0</v>
      </c>
      <c r="AB256" s="142">
        <v>1.0</v>
      </c>
      <c r="AC256" s="142">
        <v>1.0</v>
      </c>
      <c r="AD256" s="142">
        <v>1.0</v>
      </c>
      <c r="AE256" s="142">
        <v>1.0</v>
      </c>
      <c r="AF256" s="142">
        <v>8.0</v>
      </c>
      <c r="AG256" s="142">
        <v>0.0</v>
      </c>
      <c r="AH256" s="185" t="str">
        <f>IFERROR(__xludf.DUMMYFUNCTION("if($C256="""","""",if(join("" - "",{iferror(filter('Student Groupings'!$A:$A,'Student Groupings'!$B:$B=$C256,'Student Groupings'!$H:$H=""Can't be Together""),"""");iferror(filter('Student Groupings'!$A:$A,'Student Groupings'!$E:$E=$C256,'Student Groupings"&amp;"'!$H:$H=""Can't be Together""),"""")})="" - "","""",join("" - "",{iferror(filter('Student Groupings'!$A:$A,'Student Groupings'!$B:$B=$C256,'Student Groupings'!$H:$H=""Can't be Together""),"""");iferror(filter('Student Groupings'!$A:$A,'Student Groupings'!"&amp;"$E:$E=$C256,'Student Groupings'!$H:$H=""Can't be Together""),"""")})))")," - 2")</f>
        <v> - 2</v>
      </c>
      <c r="AI256" s="185" t="str">
        <f>IFERROR(__xludf.DUMMYFUNCTION("if($C256="""","""",if(join("" - "",{iferror(filter('Student Groupings'!$A:$A,'Student Groupings'!$B:$B=$C256,'Student Groupings'!$H:$H=""Must be Together""),"""");iferror(filter('Student Groupings'!$A:$A,'Student Groupings'!$E:$E=$C256,'Student Groupings'"&amp;"!$H:$H=""Must be Together""),"""")})="" - "","""",join("" - "",{iferror(filter('Student Groupings'!$A:$A,'Student Groupings'!$B:$B=$C256,'Student Groupings'!$H:$H=""Must be Together""),"""");iferror(filter('Student Groupings'!$A:$A,'Student Groupings'!$E:"&amp;"$E=$C256,'Student Groupings'!$H:$H=""Must be Together""),"""")})))"),"")</f>
        <v/>
      </c>
    </row>
    <row r="257">
      <c r="A257" s="167">
        <v>10.0</v>
      </c>
      <c r="B257" s="168">
        <v>28110.0</v>
      </c>
      <c r="C257" s="144" t="s">
        <v>409</v>
      </c>
      <c r="D257" s="180" t="s">
        <v>48</v>
      </c>
      <c r="E257" s="181">
        <v>1.0</v>
      </c>
      <c r="F257" s="167" t="s">
        <v>64</v>
      </c>
      <c r="G257" s="167">
        <v>7.0</v>
      </c>
      <c r="H257" s="182" t="s">
        <v>76</v>
      </c>
      <c r="I257" s="167">
        <v>4.0</v>
      </c>
      <c r="J257" s="187"/>
      <c r="K257" s="167"/>
      <c r="L257" s="184" t="s">
        <v>95</v>
      </c>
      <c r="M257" s="167">
        <v>2.0</v>
      </c>
      <c r="N257" s="184" t="s">
        <v>130</v>
      </c>
      <c r="O257" s="167">
        <v>6.0</v>
      </c>
      <c r="P257" s="184" t="s">
        <v>103</v>
      </c>
      <c r="Q257" s="167">
        <v>3.0</v>
      </c>
      <c r="R257" s="184" t="s">
        <v>56</v>
      </c>
      <c r="S257" s="167">
        <v>5.0</v>
      </c>
      <c r="T257" s="187"/>
      <c r="U257" s="167"/>
      <c r="V257" s="184" t="s">
        <v>30</v>
      </c>
      <c r="W257" s="167">
        <v>8.0</v>
      </c>
      <c r="X257" s="142">
        <v>1.0</v>
      </c>
      <c r="Y257" s="142">
        <v>1.0</v>
      </c>
      <c r="Z257" s="142">
        <v>1.0</v>
      </c>
      <c r="AA257" s="142">
        <v>1.0</v>
      </c>
      <c r="AB257" s="142">
        <v>1.0</v>
      </c>
      <c r="AC257" s="142">
        <v>1.0</v>
      </c>
      <c r="AD257" s="142">
        <v>1.0</v>
      </c>
      <c r="AE257" s="142">
        <v>1.0</v>
      </c>
      <c r="AF257" s="142">
        <v>8.0</v>
      </c>
      <c r="AG257" s="142">
        <v>0.0</v>
      </c>
      <c r="AH257" s="185" t="str">
        <f>IFERROR(__xludf.DUMMYFUNCTION("if($C257="""","""",if(join("" - "",{iferror(filter('Student Groupings'!$A:$A,'Student Groupings'!$B:$B=$C257,'Student Groupings'!$H:$H=""Can't be Together""),"""");iferror(filter('Student Groupings'!$A:$A,'Student Groupings'!$E:$E=$C257,'Student Groupings"&amp;"'!$H:$H=""Can't be Together""),"""")})="" - "","""",join("" - "",{iferror(filter('Student Groupings'!$A:$A,'Student Groupings'!$B:$B=$C257,'Student Groupings'!$H:$H=""Can't be Together""),"""");iferror(filter('Student Groupings'!$A:$A,'Student Groupings'!"&amp;"$E:$E=$C257,'Student Groupings'!$H:$H=""Can't be Together""),"""")})))"),"")</f>
        <v/>
      </c>
      <c r="AI257" s="185" t="str">
        <f>IFERROR(__xludf.DUMMYFUNCTION("if($C257="""","""",if(join("" - "",{iferror(filter('Student Groupings'!$A:$A,'Student Groupings'!$B:$B=$C257,'Student Groupings'!$H:$H=""Must be Together""),"""");iferror(filter('Student Groupings'!$A:$A,'Student Groupings'!$E:$E=$C257,'Student Groupings'"&amp;"!$H:$H=""Must be Together""),"""")})="" - "","""",join("" - "",{iferror(filter('Student Groupings'!$A:$A,'Student Groupings'!$B:$B=$C257,'Student Groupings'!$H:$H=""Must be Together""),"""");iferror(filter('Student Groupings'!$A:$A,'Student Groupings'!$E:"&amp;"$E=$C257,'Student Groupings'!$H:$H=""Must be Together""),"""")})))"),"")</f>
        <v/>
      </c>
    </row>
    <row r="258">
      <c r="A258" s="167">
        <v>10.0</v>
      </c>
      <c r="B258" s="168">
        <v>28066.0</v>
      </c>
      <c r="C258" s="144" t="s">
        <v>410</v>
      </c>
      <c r="D258" s="180" t="s">
        <v>37</v>
      </c>
      <c r="E258" s="181">
        <v>8.0</v>
      </c>
      <c r="F258" s="167" t="s">
        <v>64</v>
      </c>
      <c r="G258" s="167">
        <v>5.0</v>
      </c>
      <c r="H258" s="182" t="s">
        <v>76</v>
      </c>
      <c r="I258" s="167">
        <v>7.0</v>
      </c>
      <c r="J258" s="183"/>
      <c r="K258" s="167"/>
      <c r="L258" s="184" t="s">
        <v>95</v>
      </c>
      <c r="M258" s="167">
        <v>3.0</v>
      </c>
      <c r="N258" s="184" t="s">
        <v>130</v>
      </c>
      <c r="O258" s="167">
        <v>4.0</v>
      </c>
      <c r="P258" s="182" t="s">
        <v>100</v>
      </c>
      <c r="Q258" s="167">
        <v>2.0</v>
      </c>
      <c r="R258" s="184" t="s">
        <v>56</v>
      </c>
      <c r="S258" s="167">
        <v>1.0</v>
      </c>
      <c r="T258" s="187"/>
      <c r="U258" s="167"/>
      <c r="V258" s="184" t="s">
        <v>32</v>
      </c>
      <c r="W258" s="167">
        <v>6.0</v>
      </c>
      <c r="X258" s="142">
        <v>1.0</v>
      </c>
      <c r="Y258" s="142">
        <v>1.0</v>
      </c>
      <c r="Z258" s="142">
        <v>1.0</v>
      </c>
      <c r="AA258" s="142">
        <v>1.0</v>
      </c>
      <c r="AB258" s="142">
        <v>1.0</v>
      </c>
      <c r="AC258" s="142">
        <v>1.0</v>
      </c>
      <c r="AD258" s="142">
        <v>1.0</v>
      </c>
      <c r="AE258" s="142">
        <v>1.0</v>
      </c>
      <c r="AF258" s="142">
        <v>8.0</v>
      </c>
      <c r="AG258" s="142">
        <v>0.0</v>
      </c>
      <c r="AH258" s="185" t="str">
        <f>IFERROR(__xludf.DUMMYFUNCTION("if($C258="""","""",if(join("" - "",{iferror(filter('Student Groupings'!$A:$A,'Student Groupings'!$B:$B=$C258,'Student Groupings'!$H:$H=""Can't be Together""),"""");iferror(filter('Student Groupings'!$A:$A,'Student Groupings'!$E:$E=$C258,'Student Groupings"&amp;"'!$H:$H=""Can't be Together""),"""")})="" - "","""",join("" - "",{iferror(filter('Student Groupings'!$A:$A,'Student Groupings'!$B:$B=$C258,'Student Groupings'!$H:$H=""Can't be Together""),"""");iferror(filter('Student Groupings'!$A:$A,'Student Groupings'!"&amp;"$E:$E=$C258,'Student Groupings'!$H:$H=""Can't be Together""),"""")})))"),"")</f>
        <v/>
      </c>
      <c r="AI258" s="185" t="str">
        <f>IFERROR(__xludf.DUMMYFUNCTION("if($C258="""","""",if(join("" - "",{iferror(filter('Student Groupings'!$A:$A,'Student Groupings'!$B:$B=$C258,'Student Groupings'!$H:$H=""Must be Together""),"""");iferror(filter('Student Groupings'!$A:$A,'Student Groupings'!$E:$E=$C258,'Student Groupings'"&amp;"!$H:$H=""Must be Together""),"""")})="" - "","""",join("" - "",{iferror(filter('Student Groupings'!$A:$A,'Student Groupings'!$B:$B=$C258,'Student Groupings'!$H:$H=""Must be Together""),"""");iferror(filter('Student Groupings'!$A:$A,'Student Groupings'!$E:"&amp;"$E=$C258,'Student Groupings'!$H:$H=""Must be Together""),"""")})))"),"")</f>
        <v/>
      </c>
    </row>
    <row r="259">
      <c r="A259" s="167">
        <v>10.0</v>
      </c>
      <c r="B259" s="168">
        <v>28071.0</v>
      </c>
      <c r="C259" s="144" t="s">
        <v>411</v>
      </c>
      <c r="D259" s="180" t="s">
        <v>48</v>
      </c>
      <c r="E259" s="181">
        <v>1.0</v>
      </c>
      <c r="F259" s="167" t="s">
        <v>64</v>
      </c>
      <c r="G259" s="167">
        <v>6.0</v>
      </c>
      <c r="H259" s="182" t="s">
        <v>81</v>
      </c>
      <c r="I259" s="186">
        <v>3.0</v>
      </c>
      <c r="J259" s="187"/>
      <c r="K259" s="167"/>
      <c r="L259" s="184" t="s">
        <v>95</v>
      </c>
      <c r="M259" s="167">
        <v>7.0</v>
      </c>
      <c r="N259" s="184" t="s">
        <v>130</v>
      </c>
      <c r="O259" s="167">
        <v>5.0</v>
      </c>
      <c r="P259" s="182" t="s">
        <v>100</v>
      </c>
      <c r="Q259" s="167">
        <v>2.0</v>
      </c>
      <c r="R259" s="184" t="s">
        <v>56</v>
      </c>
      <c r="S259" s="167">
        <v>8.0</v>
      </c>
      <c r="T259" s="187"/>
      <c r="U259" s="167"/>
      <c r="V259" s="184" t="s">
        <v>86</v>
      </c>
      <c r="W259" s="167">
        <v>4.0</v>
      </c>
      <c r="X259" s="142">
        <v>1.0</v>
      </c>
      <c r="Y259" s="142">
        <v>1.0</v>
      </c>
      <c r="Z259" s="142">
        <v>1.0</v>
      </c>
      <c r="AA259" s="142">
        <v>1.0</v>
      </c>
      <c r="AB259" s="142">
        <v>1.0</v>
      </c>
      <c r="AC259" s="142">
        <v>1.0</v>
      </c>
      <c r="AD259" s="142">
        <v>1.0</v>
      </c>
      <c r="AE259" s="142">
        <v>1.0</v>
      </c>
      <c r="AF259" s="142">
        <v>8.0</v>
      </c>
      <c r="AG259" s="142">
        <v>0.0</v>
      </c>
      <c r="AH259" s="185" t="str">
        <f>IFERROR(__xludf.DUMMYFUNCTION("if($C259="""","""",if(join("" - "",{iferror(filter('Student Groupings'!$A:$A,'Student Groupings'!$B:$B=$C259,'Student Groupings'!$H:$H=""Can't be Together""),"""");iferror(filter('Student Groupings'!$A:$A,'Student Groupings'!$E:$E=$C259,'Student Groupings"&amp;"'!$H:$H=""Can't be Together""),"""")})="" - "","""",join("" - "",{iferror(filter('Student Groupings'!$A:$A,'Student Groupings'!$B:$B=$C259,'Student Groupings'!$H:$H=""Can't be Together""),"""");iferror(filter('Student Groupings'!$A:$A,'Student Groupings'!"&amp;"$E:$E=$C259,'Student Groupings'!$H:$H=""Can't be Together""),"""")})))"),"")</f>
        <v/>
      </c>
      <c r="AI259" s="185" t="str">
        <f>IFERROR(__xludf.DUMMYFUNCTION("if($C259="""","""",if(join("" - "",{iferror(filter('Student Groupings'!$A:$A,'Student Groupings'!$B:$B=$C259,'Student Groupings'!$H:$H=""Must be Together""),"""");iferror(filter('Student Groupings'!$A:$A,'Student Groupings'!$E:$E=$C259,'Student Groupings'"&amp;"!$H:$H=""Must be Together""),"""")})="" - "","""",join("" - "",{iferror(filter('Student Groupings'!$A:$A,'Student Groupings'!$B:$B=$C259,'Student Groupings'!$H:$H=""Must be Together""),"""");iferror(filter('Student Groupings'!$A:$A,'Student Groupings'!$E:"&amp;"$E=$C259,'Student Groupings'!$H:$H=""Must be Together""),"""")})))")," - 9")</f>
        <v> - 9</v>
      </c>
    </row>
    <row r="260">
      <c r="A260" s="167">
        <v>10.0</v>
      </c>
      <c r="B260" s="168">
        <v>28168.0</v>
      </c>
      <c r="C260" s="144" t="s">
        <v>412</v>
      </c>
      <c r="D260" s="180" t="s">
        <v>37</v>
      </c>
      <c r="E260" s="181">
        <v>5.0</v>
      </c>
      <c r="F260" s="167" t="s">
        <v>62</v>
      </c>
      <c r="G260" s="167">
        <v>8.0</v>
      </c>
      <c r="H260" s="182" t="s">
        <v>76</v>
      </c>
      <c r="I260" s="167">
        <v>2.0</v>
      </c>
      <c r="J260" s="187"/>
      <c r="K260" s="167"/>
      <c r="L260" s="184" t="s">
        <v>95</v>
      </c>
      <c r="M260" s="167">
        <v>7.0</v>
      </c>
      <c r="N260" s="184" t="s">
        <v>130</v>
      </c>
      <c r="O260" s="167">
        <v>1.0</v>
      </c>
      <c r="P260" s="184" t="s">
        <v>103</v>
      </c>
      <c r="Q260" s="167">
        <v>6.0</v>
      </c>
      <c r="R260" s="218" t="s">
        <v>86</v>
      </c>
      <c r="S260" s="167">
        <v>4.0</v>
      </c>
      <c r="T260" s="187"/>
      <c r="U260" s="167"/>
      <c r="V260" s="184" t="s">
        <v>28</v>
      </c>
      <c r="W260" s="167">
        <v>3.0</v>
      </c>
      <c r="X260" s="142">
        <v>1.0</v>
      </c>
      <c r="Y260" s="142">
        <v>1.0</v>
      </c>
      <c r="Z260" s="142">
        <v>1.0</v>
      </c>
      <c r="AA260" s="142">
        <v>1.0</v>
      </c>
      <c r="AB260" s="142">
        <v>1.0</v>
      </c>
      <c r="AC260" s="142">
        <v>1.0</v>
      </c>
      <c r="AD260" s="142">
        <v>1.0</v>
      </c>
      <c r="AE260" s="142">
        <v>1.0</v>
      </c>
      <c r="AF260" s="142">
        <v>8.0</v>
      </c>
      <c r="AG260" s="142">
        <v>0.0</v>
      </c>
      <c r="AH260" s="185" t="str">
        <f>IFERROR(__xludf.DUMMYFUNCTION("if($C260="""","""",if(join("" - "",{iferror(filter('Student Groupings'!$A:$A,'Student Groupings'!$B:$B=$C260,'Student Groupings'!$H:$H=""Can't be Together""),"""");iferror(filter('Student Groupings'!$A:$A,'Student Groupings'!$E:$E=$C260,'Student Groupings"&amp;"'!$H:$H=""Can't be Together""),"""")})="" - "","""",join("" - "",{iferror(filter('Student Groupings'!$A:$A,'Student Groupings'!$B:$B=$C260,'Student Groupings'!$H:$H=""Can't be Together""),"""");iferror(filter('Student Groupings'!$A:$A,'Student Groupings'!"&amp;"$E:$E=$C260,'Student Groupings'!$H:$H=""Can't be Together""),"""")})))"),"")</f>
        <v/>
      </c>
      <c r="AI260" s="185" t="str">
        <f>IFERROR(__xludf.DUMMYFUNCTION("if($C260="""","""",if(join("" - "",{iferror(filter('Student Groupings'!$A:$A,'Student Groupings'!$B:$B=$C260,'Student Groupings'!$H:$H=""Must be Together""),"""");iferror(filter('Student Groupings'!$A:$A,'Student Groupings'!$E:$E=$C260,'Student Groupings'"&amp;"!$H:$H=""Must be Together""),"""")})="" - "","""",join("" - "",{iferror(filter('Student Groupings'!$A:$A,'Student Groupings'!$B:$B=$C260,'Student Groupings'!$H:$H=""Must be Together""),"""");iferror(filter('Student Groupings'!$A:$A,'Student Groupings'!$E:"&amp;"$E=$C260,'Student Groupings'!$H:$H=""Must be Together""),"""")})))"),"81 - ")</f>
        <v>81 - </v>
      </c>
    </row>
    <row r="261">
      <c r="A261" s="167">
        <v>11.0</v>
      </c>
      <c r="B261" s="168">
        <v>27118.0</v>
      </c>
      <c r="C261" s="144" t="s">
        <v>413</v>
      </c>
      <c r="D261" s="180" t="s">
        <v>49</v>
      </c>
      <c r="E261" s="181">
        <v>3.0</v>
      </c>
      <c r="F261" s="167" t="s">
        <v>57</v>
      </c>
      <c r="G261" s="167">
        <v>5.0</v>
      </c>
      <c r="H261" s="182" t="s">
        <v>79</v>
      </c>
      <c r="I261" s="167">
        <v>6.0</v>
      </c>
      <c r="J261" s="187"/>
      <c r="K261" s="167"/>
      <c r="L261" s="184" t="s">
        <v>90</v>
      </c>
      <c r="M261" s="167">
        <v>1.0</v>
      </c>
      <c r="N261" s="184" t="s">
        <v>132</v>
      </c>
      <c r="O261" s="167">
        <v>4.0</v>
      </c>
      <c r="P261" s="184" t="s">
        <v>35</v>
      </c>
      <c r="Q261" s="167">
        <v>8.0</v>
      </c>
      <c r="R261" s="184" t="s">
        <v>107</v>
      </c>
      <c r="S261" s="167">
        <v>2.0</v>
      </c>
      <c r="T261" s="187"/>
      <c r="U261" s="167"/>
      <c r="V261" s="184" t="s">
        <v>98</v>
      </c>
      <c r="W261" s="167">
        <v>7.0</v>
      </c>
      <c r="X261" s="142">
        <v>1.0</v>
      </c>
      <c r="Y261" s="142">
        <v>1.0</v>
      </c>
      <c r="Z261" s="142">
        <v>1.0</v>
      </c>
      <c r="AA261" s="142">
        <v>1.0</v>
      </c>
      <c r="AB261" s="142">
        <v>1.0</v>
      </c>
      <c r="AC261" s="142">
        <v>1.0</v>
      </c>
      <c r="AD261" s="142">
        <v>1.0</v>
      </c>
      <c r="AE261" s="142">
        <v>1.0</v>
      </c>
      <c r="AF261" s="142">
        <v>8.0</v>
      </c>
      <c r="AG261" s="142">
        <v>0.0</v>
      </c>
      <c r="AH261" s="185" t="str">
        <f>IFERROR(__xludf.DUMMYFUNCTION("if($C261="""","""",if(join("" - "",{iferror(filter('Student Groupings'!$A:$A,'Student Groupings'!$B:$B=$C261,'Student Groupings'!$H:$H=""Can't be Together""),"""");iferror(filter('Student Groupings'!$A:$A,'Student Groupings'!$E:$E=$C261,'Student Groupings"&amp;"'!$H:$H=""Can't be Together""),"""")})="" - "","""",join("" - "",{iferror(filter('Student Groupings'!$A:$A,'Student Groupings'!$B:$B=$C261,'Student Groupings'!$H:$H=""Can't be Together""),"""");iferror(filter('Student Groupings'!$A:$A,'Student Groupings'!"&amp;"$E:$E=$C261,'Student Groupings'!$H:$H=""Can't be Together""),"""")})))"),"30 - ")</f>
        <v>30 - </v>
      </c>
      <c r="AI261" s="185" t="str">
        <f>IFERROR(__xludf.DUMMYFUNCTION("if($C261="""","""",if(join("" - "",{iferror(filter('Student Groupings'!$A:$A,'Student Groupings'!$B:$B=$C261,'Student Groupings'!$H:$H=""Must be Together""),"""");iferror(filter('Student Groupings'!$A:$A,'Student Groupings'!$E:$E=$C261,'Student Groupings'"&amp;"!$H:$H=""Must be Together""),"""")})="" - "","""",join("" - "",{iferror(filter('Student Groupings'!$A:$A,'Student Groupings'!$B:$B=$C261,'Student Groupings'!$H:$H=""Must be Together""),"""");iferror(filter('Student Groupings'!$A:$A,'Student Groupings'!$E:"&amp;"$E=$C261,'Student Groupings'!$H:$H=""Must be Together""),"""")})))"),"")</f>
        <v/>
      </c>
    </row>
    <row r="262">
      <c r="A262" s="167">
        <v>11.0</v>
      </c>
      <c r="B262" s="168">
        <v>27039.0</v>
      </c>
      <c r="C262" s="144" t="s">
        <v>414</v>
      </c>
      <c r="D262" s="180" t="s">
        <v>46</v>
      </c>
      <c r="E262" s="181">
        <v>4.0</v>
      </c>
      <c r="F262" s="167" t="s">
        <v>57</v>
      </c>
      <c r="G262" s="167">
        <v>8.0</v>
      </c>
      <c r="H262" s="182" t="s">
        <v>79</v>
      </c>
      <c r="I262" s="167">
        <v>1.0</v>
      </c>
      <c r="J262" s="187"/>
      <c r="K262" s="167"/>
      <c r="L262" s="184" t="s">
        <v>90</v>
      </c>
      <c r="M262" s="167">
        <v>2.0</v>
      </c>
      <c r="N262" s="184" t="s">
        <v>132</v>
      </c>
      <c r="O262" s="167">
        <v>3.0</v>
      </c>
      <c r="P262" s="184" t="s">
        <v>30</v>
      </c>
      <c r="Q262" s="167">
        <v>7.0</v>
      </c>
      <c r="R262" s="184" t="s">
        <v>101</v>
      </c>
      <c r="S262" s="167">
        <v>6.0</v>
      </c>
      <c r="T262" s="187"/>
      <c r="U262" s="167"/>
      <c r="V262" s="184" t="s">
        <v>111</v>
      </c>
      <c r="W262" s="167">
        <v>5.0</v>
      </c>
      <c r="X262" s="142">
        <v>1.0</v>
      </c>
      <c r="Y262" s="142">
        <v>1.0</v>
      </c>
      <c r="Z262" s="142">
        <v>1.0</v>
      </c>
      <c r="AA262" s="142">
        <v>1.0</v>
      </c>
      <c r="AB262" s="142">
        <v>1.0</v>
      </c>
      <c r="AC262" s="142">
        <v>1.0</v>
      </c>
      <c r="AD262" s="142">
        <v>1.0</v>
      </c>
      <c r="AE262" s="142">
        <v>1.0</v>
      </c>
      <c r="AF262" s="142">
        <v>8.0</v>
      </c>
      <c r="AG262" s="142">
        <v>0.0</v>
      </c>
      <c r="AH262" s="185" t="str">
        <f>IFERROR(__xludf.DUMMYFUNCTION("if($C262="""","""",if(join("" - "",{iferror(filter('Student Groupings'!$A:$A,'Student Groupings'!$B:$B=$C262,'Student Groupings'!$H:$H=""Can't be Together""),"""");iferror(filter('Student Groupings'!$A:$A,'Student Groupings'!$E:$E=$C262,'Student Groupings"&amp;"'!$H:$H=""Can't be Together""),"""")})="" - "","""",join("" - "",{iferror(filter('Student Groupings'!$A:$A,'Student Groupings'!$B:$B=$C262,'Student Groupings'!$H:$H=""Can't be Together""),"""");iferror(filter('Student Groupings'!$A:$A,'Student Groupings'!"&amp;"$E:$E=$C262,'Student Groupings'!$H:$H=""Can't be Together""),"""")})))"),"91 - 107 - 108 - 18 - 30")</f>
        <v>91 - 107 - 108 - 18 - 30</v>
      </c>
      <c r="AI262" s="185" t="str">
        <f>IFERROR(__xludf.DUMMYFUNCTION("if($C262="""","""",if(join("" - "",{iferror(filter('Student Groupings'!$A:$A,'Student Groupings'!$B:$B=$C262,'Student Groupings'!$H:$H=""Must be Together""),"""");iferror(filter('Student Groupings'!$A:$A,'Student Groupings'!$E:$E=$C262,'Student Groupings'"&amp;"!$H:$H=""Must be Together""),"""")})="" - "","""",join("" - "",{iferror(filter('Student Groupings'!$A:$A,'Student Groupings'!$B:$B=$C262,'Student Groupings'!$H:$H=""Must be Together""),"""");iferror(filter('Student Groupings'!$A:$A,'Student Groupings'!$E:"&amp;"$E=$C262,'Student Groupings'!$H:$H=""Must be Together""),"""")})))"),"90 - 109 - 110 - 111 - 112 - 113 - 85")</f>
        <v>90 - 109 - 110 - 111 - 112 - 113 - 85</v>
      </c>
    </row>
    <row r="263">
      <c r="A263" s="167">
        <v>11.0</v>
      </c>
      <c r="B263" s="168">
        <v>27171.0</v>
      </c>
      <c r="C263" s="144" t="s">
        <v>415</v>
      </c>
      <c r="D263" s="180" t="s">
        <v>43</v>
      </c>
      <c r="E263" s="181">
        <v>6.0</v>
      </c>
      <c r="F263" s="167" t="s">
        <v>57</v>
      </c>
      <c r="G263" s="167">
        <v>8.0</v>
      </c>
      <c r="H263" s="182" t="s">
        <v>79</v>
      </c>
      <c r="I263" s="167">
        <v>3.0</v>
      </c>
      <c r="J263" s="183"/>
      <c r="K263" s="167"/>
      <c r="L263" s="184" t="s">
        <v>90</v>
      </c>
      <c r="M263" s="167">
        <v>2.0</v>
      </c>
      <c r="N263" s="184" t="s">
        <v>132</v>
      </c>
      <c r="O263" s="167">
        <v>4.0</v>
      </c>
      <c r="P263" s="184" t="s">
        <v>34</v>
      </c>
      <c r="Q263" s="167">
        <v>7.0</v>
      </c>
      <c r="R263" s="184" t="s">
        <v>101</v>
      </c>
      <c r="S263" s="167">
        <v>5.0</v>
      </c>
      <c r="T263" s="187"/>
      <c r="U263" s="167"/>
      <c r="V263" s="184" t="s">
        <v>26</v>
      </c>
      <c r="W263" s="167">
        <v>1.0</v>
      </c>
      <c r="X263" s="142">
        <v>1.0</v>
      </c>
      <c r="Y263" s="142">
        <v>1.0</v>
      </c>
      <c r="Z263" s="142">
        <v>1.0</v>
      </c>
      <c r="AA263" s="142">
        <v>1.0</v>
      </c>
      <c r="AB263" s="142">
        <v>1.0</v>
      </c>
      <c r="AC263" s="142">
        <v>1.0</v>
      </c>
      <c r="AD263" s="142">
        <v>1.0</v>
      </c>
      <c r="AE263" s="142">
        <v>1.0</v>
      </c>
      <c r="AF263" s="142">
        <v>8.0</v>
      </c>
      <c r="AG263" s="142">
        <v>0.0</v>
      </c>
      <c r="AH263" s="185" t="str">
        <f>IFERROR(__xludf.DUMMYFUNCTION("if($C263="""","""",if(join("" - "",{iferror(filter('Student Groupings'!$A:$A,'Student Groupings'!$B:$B=$C263,'Student Groupings'!$H:$H=""Can't be Together""),"""");iferror(filter('Student Groupings'!$A:$A,'Student Groupings'!$E:$E=$C263,'Student Groupings"&amp;"'!$H:$H=""Can't be Together""),"""")})="" - "","""",join("" - "",{iferror(filter('Student Groupings'!$A:$A,'Student Groupings'!$B:$B=$C263,'Student Groupings'!$H:$H=""Can't be Together""),"""");iferror(filter('Student Groupings'!$A:$A,'Student Groupings'!"&amp;"$E:$E=$C263,'Student Groupings'!$H:$H=""Can't be Together""),"""")})))"),"")</f>
        <v/>
      </c>
      <c r="AI263" s="185" t="str">
        <f>IFERROR(__xludf.DUMMYFUNCTION("if($C263="""","""",if(join("" - "",{iferror(filter('Student Groupings'!$A:$A,'Student Groupings'!$B:$B=$C263,'Student Groupings'!$H:$H=""Must be Together""),"""");iferror(filter('Student Groupings'!$A:$A,'Student Groupings'!$E:$E=$C263,'Student Groupings'"&amp;"!$H:$H=""Must be Together""),"""")})="" - "","""",join("" - "",{iferror(filter('Student Groupings'!$A:$A,'Student Groupings'!$B:$B=$C263,'Student Groupings'!$H:$H=""Must be Together""),"""");iferror(filter('Student Groupings'!$A:$A,'Student Groupings'!$E:"&amp;"$E=$C263,'Student Groupings'!$H:$H=""Must be Together""),"""")})))"),"83 - ")</f>
        <v>83 - </v>
      </c>
    </row>
    <row r="264">
      <c r="A264" s="167">
        <v>11.0</v>
      </c>
      <c r="B264" s="168">
        <v>27146.0</v>
      </c>
      <c r="C264" s="144" t="s">
        <v>416</v>
      </c>
      <c r="D264" s="180" t="s">
        <v>38</v>
      </c>
      <c r="E264" s="181">
        <v>3.0</v>
      </c>
      <c r="F264" s="167" t="s">
        <v>54</v>
      </c>
      <c r="G264" s="167">
        <v>8.0</v>
      </c>
      <c r="H264" s="182" t="s">
        <v>81</v>
      </c>
      <c r="I264" s="167">
        <v>2.0</v>
      </c>
      <c r="J264" s="219"/>
      <c r="K264" s="167"/>
      <c r="L264" s="184" t="s">
        <v>90</v>
      </c>
      <c r="M264" s="167">
        <v>1.0</v>
      </c>
      <c r="N264" s="184" t="s">
        <v>132</v>
      </c>
      <c r="O264" s="167">
        <v>6.0</v>
      </c>
      <c r="P264" s="184" t="s">
        <v>24</v>
      </c>
      <c r="Q264" s="167">
        <v>7.0</v>
      </c>
      <c r="R264" s="184" t="s">
        <v>105</v>
      </c>
      <c r="S264" s="167">
        <v>5.0</v>
      </c>
      <c r="T264" s="187"/>
      <c r="U264" s="167"/>
      <c r="V264" s="184" t="s">
        <v>111</v>
      </c>
      <c r="W264" s="167">
        <v>4.0</v>
      </c>
      <c r="X264" s="142">
        <v>1.0</v>
      </c>
      <c r="Y264" s="142">
        <v>1.0</v>
      </c>
      <c r="Z264" s="142">
        <v>1.0</v>
      </c>
      <c r="AA264" s="142">
        <v>1.0</v>
      </c>
      <c r="AB264" s="142">
        <v>1.0</v>
      </c>
      <c r="AC264" s="142">
        <v>1.0</v>
      </c>
      <c r="AD264" s="142">
        <v>1.0</v>
      </c>
      <c r="AE264" s="142">
        <v>1.0</v>
      </c>
      <c r="AF264" s="142">
        <v>8.0</v>
      </c>
      <c r="AG264" s="142">
        <v>0.0</v>
      </c>
      <c r="AH264" s="185" t="str">
        <f>IFERROR(__xludf.DUMMYFUNCTION("if($C264="""","""",if(join("" - "",{iferror(filter('Student Groupings'!$A:$A,'Student Groupings'!$B:$B=$C264,'Student Groupings'!$H:$H=""Can't be Together""),"""");iferror(filter('Student Groupings'!$A:$A,'Student Groupings'!$E:$E=$C264,'Student Groupings"&amp;"'!$H:$H=""Can't be Together""),"""")})="" - "","""",join("" - "",{iferror(filter('Student Groupings'!$A:$A,'Student Groupings'!$B:$B=$C264,'Student Groupings'!$H:$H=""Can't be Together""),"""");iferror(filter('Student Groupings'!$A:$A,'Student Groupings'!"&amp;"$E:$E=$C264,'Student Groupings'!$H:$H=""Can't be Together""),"""")})))"),"")</f>
        <v/>
      </c>
      <c r="AI264" s="185" t="str">
        <f>IFERROR(__xludf.DUMMYFUNCTION("if($C264="""","""",if(join("" - "",{iferror(filter('Student Groupings'!$A:$A,'Student Groupings'!$B:$B=$C264,'Student Groupings'!$H:$H=""Must be Together""),"""");iferror(filter('Student Groupings'!$A:$A,'Student Groupings'!$E:$E=$C264,'Student Groupings'"&amp;"!$H:$H=""Must be Together""),"""")})="" - "","""",join("" - "",{iferror(filter('Student Groupings'!$A:$A,'Student Groupings'!$B:$B=$C264,'Student Groupings'!$H:$H=""Must be Together""),"""");iferror(filter('Student Groupings'!$A:$A,'Student Groupings'!$E:"&amp;"$E=$C264,'Student Groupings'!$H:$H=""Must be Together""),"""")})))"),"")</f>
        <v/>
      </c>
    </row>
    <row r="265">
      <c r="A265" s="167">
        <v>11.0</v>
      </c>
      <c r="B265" s="168">
        <v>27073.0</v>
      </c>
      <c r="C265" s="144" t="s">
        <v>417</v>
      </c>
      <c r="D265" s="180" t="s">
        <v>49</v>
      </c>
      <c r="E265" s="181">
        <v>3.0</v>
      </c>
      <c r="F265" s="167" t="s">
        <v>57</v>
      </c>
      <c r="G265" s="167">
        <v>8.0</v>
      </c>
      <c r="H265" s="182" t="s">
        <v>70</v>
      </c>
      <c r="I265" s="167">
        <v>7.0</v>
      </c>
      <c r="J265" s="183"/>
      <c r="K265" s="167"/>
      <c r="L265" s="184" t="s">
        <v>92</v>
      </c>
      <c r="M265" s="167">
        <v>1.0</v>
      </c>
      <c r="N265" s="184" t="s">
        <v>132</v>
      </c>
      <c r="O265" s="167">
        <v>6.0</v>
      </c>
      <c r="P265" s="184" t="s">
        <v>24</v>
      </c>
      <c r="Q265" s="167">
        <v>4.0</v>
      </c>
      <c r="R265" s="184" t="s">
        <v>108</v>
      </c>
      <c r="S265" s="167">
        <v>2.0</v>
      </c>
      <c r="T265" s="187"/>
      <c r="U265" s="167"/>
      <c r="V265" s="184" t="s">
        <v>96</v>
      </c>
      <c r="W265" s="180">
        <v>5.0</v>
      </c>
      <c r="X265" s="142">
        <v>1.0</v>
      </c>
      <c r="Y265" s="142">
        <v>1.0</v>
      </c>
      <c r="Z265" s="142">
        <v>1.0</v>
      </c>
      <c r="AA265" s="142">
        <v>1.0</v>
      </c>
      <c r="AB265" s="142">
        <v>1.0</v>
      </c>
      <c r="AC265" s="142">
        <v>1.0</v>
      </c>
      <c r="AD265" s="142">
        <v>1.0</v>
      </c>
      <c r="AE265" s="142">
        <v>1.0</v>
      </c>
      <c r="AF265" s="142">
        <v>8.0</v>
      </c>
      <c r="AG265" s="142">
        <v>0.0</v>
      </c>
      <c r="AH265" s="185" t="str">
        <f>IFERROR(__xludf.DUMMYFUNCTION("if($C265="""","""",if(join("" - "",{iferror(filter('Student Groupings'!$A:$A,'Student Groupings'!$B:$B=$C265,'Student Groupings'!$H:$H=""Can't be Together""),"""");iferror(filter('Student Groupings'!$A:$A,'Student Groupings'!$E:$E=$C265,'Student Groupings"&amp;"'!$H:$H=""Can't be Together""),"""")})="" - "","""",join("" - "",{iferror(filter('Student Groupings'!$A:$A,'Student Groupings'!$B:$B=$C265,'Student Groupings'!$H:$H=""Can't be Together""),"""");iferror(filter('Student Groupings'!$A:$A,'Student Groupings'!"&amp;"$E:$E=$C265,'Student Groupings'!$H:$H=""Can't be Together""),"""")})))"),"")</f>
        <v/>
      </c>
      <c r="AI265" s="185" t="str">
        <f>IFERROR(__xludf.DUMMYFUNCTION("if($C265="""","""",if(join("" - "",{iferror(filter('Student Groupings'!$A:$A,'Student Groupings'!$B:$B=$C265,'Student Groupings'!$H:$H=""Must be Together""),"""");iferror(filter('Student Groupings'!$A:$A,'Student Groupings'!$E:$E=$C265,'Student Groupings'"&amp;"!$H:$H=""Must be Together""),"""")})="" - "","""",join("" - "",{iferror(filter('Student Groupings'!$A:$A,'Student Groupings'!$B:$B=$C265,'Student Groupings'!$H:$H=""Must be Together""),"""");iferror(filter('Student Groupings'!$A:$A,'Student Groupings'!$E:"&amp;"$E=$C265,'Student Groupings'!$H:$H=""Must be Together""),"""")})))"),"")</f>
        <v/>
      </c>
    </row>
    <row r="266">
      <c r="A266" s="220">
        <v>11.0</v>
      </c>
      <c r="B266" s="168">
        <v>27139.0</v>
      </c>
      <c r="C266" s="144" t="s">
        <v>418</v>
      </c>
      <c r="D266" s="180" t="s">
        <v>49</v>
      </c>
      <c r="E266" s="181">
        <v>7.0</v>
      </c>
      <c r="F266" s="167" t="s">
        <v>66</v>
      </c>
      <c r="G266" s="167">
        <v>6.0</v>
      </c>
      <c r="H266" s="182" t="s">
        <v>70</v>
      </c>
      <c r="I266" s="186">
        <v>2.0</v>
      </c>
      <c r="J266" s="187"/>
      <c r="K266" s="167"/>
      <c r="L266" s="184" t="s">
        <v>90</v>
      </c>
      <c r="M266" s="167">
        <v>8.0</v>
      </c>
      <c r="N266" s="184" t="s">
        <v>132</v>
      </c>
      <c r="O266" s="167">
        <v>1.0</v>
      </c>
      <c r="P266" s="184" t="s">
        <v>27</v>
      </c>
      <c r="Q266" s="167">
        <v>3.0</v>
      </c>
      <c r="R266" s="184" t="s">
        <v>105</v>
      </c>
      <c r="S266" s="167">
        <v>4.0</v>
      </c>
      <c r="T266" s="187"/>
      <c r="U266" s="167"/>
      <c r="V266" s="182" t="s">
        <v>115</v>
      </c>
      <c r="W266" s="167">
        <v>5.0</v>
      </c>
      <c r="X266" s="142">
        <v>1.0</v>
      </c>
      <c r="Y266" s="142">
        <v>1.0</v>
      </c>
      <c r="Z266" s="142">
        <v>1.0</v>
      </c>
      <c r="AA266" s="142">
        <v>1.0</v>
      </c>
      <c r="AB266" s="142">
        <v>1.0</v>
      </c>
      <c r="AC266" s="142">
        <v>1.0</v>
      </c>
      <c r="AD266" s="142">
        <v>1.0</v>
      </c>
      <c r="AE266" s="142">
        <v>1.0</v>
      </c>
      <c r="AF266" s="142">
        <v>8.0</v>
      </c>
      <c r="AG266" s="142">
        <v>0.0</v>
      </c>
      <c r="AH266" s="185" t="str">
        <f>IFERROR(__xludf.DUMMYFUNCTION("if($C266="""","""",if(join("" - "",{iferror(filter('Student Groupings'!$A:$A,'Student Groupings'!$B:$B=$C266,'Student Groupings'!$H:$H=""Can't be Together""),"""");iferror(filter('Student Groupings'!$A:$A,'Student Groupings'!$E:$E=$C266,'Student Groupings"&amp;"'!$H:$H=""Can't be Together""),"""")})="" - "","""",join("" - "",{iferror(filter('Student Groupings'!$A:$A,'Student Groupings'!$B:$B=$C266,'Student Groupings'!$H:$H=""Can't be Together""),"""");iferror(filter('Student Groupings'!$A:$A,'Student Groupings'!"&amp;"$E:$E=$C266,'Student Groupings'!$H:$H=""Can't be Together""),"""")})))"),"")</f>
        <v/>
      </c>
      <c r="AI266" s="185" t="str">
        <f>IFERROR(__xludf.DUMMYFUNCTION("if($C266="""","""",if(join("" - "",{iferror(filter('Student Groupings'!$A:$A,'Student Groupings'!$B:$B=$C266,'Student Groupings'!$H:$H=""Must be Together""),"""");iferror(filter('Student Groupings'!$A:$A,'Student Groupings'!$E:$E=$C266,'Student Groupings'"&amp;"!$H:$H=""Must be Together""),"""")})="" - "","""",join("" - "",{iferror(filter('Student Groupings'!$A:$A,'Student Groupings'!$B:$B=$C266,'Student Groupings'!$H:$H=""Must be Together""),"""");iferror(filter('Student Groupings'!$A:$A,'Student Groupings'!$E:"&amp;"$E=$C266,'Student Groupings'!$H:$H=""Must be Together""),"""")})))"),"")</f>
        <v/>
      </c>
    </row>
    <row r="267">
      <c r="A267" s="167">
        <v>11.0</v>
      </c>
      <c r="B267" s="168">
        <v>27020.0</v>
      </c>
      <c r="C267" s="144" t="s">
        <v>419</v>
      </c>
      <c r="D267" s="180" t="s">
        <v>43</v>
      </c>
      <c r="E267" s="181">
        <v>6.0</v>
      </c>
      <c r="F267" s="167" t="s">
        <v>66</v>
      </c>
      <c r="G267" s="167">
        <v>1.0</v>
      </c>
      <c r="H267" s="182" t="s">
        <v>79</v>
      </c>
      <c r="I267" s="180">
        <v>3.0</v>
      </c>
      <c r="J267" s="181"/>
      <c r="K267" s="167"/>
      <c r="L267" s="184" t="s">
        <v>90</v>
      </c>
      <c r="M267" s="167">
        <v>7.0</v>
      </c>
      <c r="N267" s="184" t="s">
        <v>132</v>
      </c>
      <c r="O267" s="167">
        <v>2.0</v>
      </c>
      <c r="P267" s="184" t="s">
        <v>24</v>
      </c>
      <c r="Q267" s="167">
        <v>4.0</v>
      </c>
      <c r="R267" s="184" t="s">
        <v>107</v>
      </c>
      <c r="S267" s="167">
        <v>8.0</v>
      </c>
      <c r="T267" s="187"/>
      <c r="U267" s="167"/>
      <c r="V267" s="184" t="s">
        <v>96</v>
      </c>
      <c r="W267" s="167">
        <v>5.0</v>
      </c>
      <c r="X267" s="142">
        <v>1.0</v>
      </c>
      <c r="Y267" s="142">
        <v>1.0</v>
      </c>
      <c r="Z267" s="142">
        <v>1.0</v>
      </c>
      <c r="AA267" s="142">
        <v>1.0</v>
      </c>
      <c r="AB267" s="142">
        <v>1.0</v>
      </c>
      <c r="AC267" s="142">
        <v>1.0</v>
      </c>
      <c r="AD267" s="142">
        <v>1.0</v>
      </c>
      <c r="AE267" s="142">
        <v>1.0</v>
      </c>
      <c r="AF267" s="142">
        <v>8.0</v>
      </c>
      <c r="AG267" s="142">
        <v>0.0</v>
      </c>
      <c r="AH267" s="185" t="str">
        <f>IFERROR(__xludf.DUMMYFUNCTION("if($C267="""","""",if(join("" - "",{iferror(filter('Student Groupings'!$A:$A,'Student Groupings'!$B:$B=$C267,'Student Groupings'!$H:$H=""Can't be Together""),"""");iferror(filter('Student Groupings'!$A:$A,'Student Groupings'!$E:$E=$C267,'Student Groupings"&amp;"'!$H:$H=""Can't be Together""),"""")})="" - "","""",join("" - "",{iferror(filter('Student Groupings'!$A:$A,'Student Groupings'!$B:$B=$C267,'Student Groupings'!$H:$H=""Can't be Together""),"""");iferror(filter('Student Groupings'!$A:$A,'Student Groupings'!"&amp;"$E:$E=$C267,'Student Groupings'!$H:$H=""Can't be Together""),"""")})))"),"")</f>
        <v/>
      </c>
      <c r="AI267" s="185" t="str">
        <f>IFERROR(__xludf.DUMMYFUNCTION("if($C267="""","""",if(join("" - "",{iferror(filter('Student Groupings'!$A:$A,'Student Groupings'!$B:$B=$C267,'Student Groupings'!$H:$H=""Must be Together""),"""");iferror(filter('Student Groupings'!$A:$A,'Student Groupings'!$E:$E=$C267,'Student Groupings'"&amp;"!$H:$H=""Must be Together""),"""")})="" - "","""",join("" - "",{iferror(filter('Student Groupings'!$A:$A,'Student Groupings'!$B:$B=$C267,'Student Groupings'!$H:$H=""Must be Together""),"""");iferror(filter('Student Groupings'!$A:$A,'Student Groupings'!$E:"&amp;"$E=$C267,'Student Groupings'!$H:$H=""Must be Together""),"""")})))"),"")</f>
        <v/>
      </c>
    </row>
    <row r="268">
      <c r="A268" s="167">
        <v>11.0</v>
      </c>
      <c r="B268" s="168">
        <v>27059.0</v>
      </c>
      <c r="C268" s="144" t="s">
        <v>420</v>
      </c>
      <c r="D268" s="180" t="s">
        <v>49</v>
      </c>
      <c r="E268" s="181">
        <v>3.0</v>
      </c>
      <c r="F268" s="167" t="s">
        <v>54</v>
      </c>
      <c r="G268" s="167">
        <v>8.0</v>
      </c>
      <c r="H268" s="182" t="s">
        <v>70</v>
      </c>
      <c r="I268" s="186">
        <v>7.0</v>
      </c>
      <c r="J268" s="187"/>
      <c r="K268" s="167"/>
      <c r="L268" s="184" t="s">
        <v>90</v>
      </c>
      <c r="M268" s="167">
        <v>2.0</v>
      </c>
      <c r="N268" s="184" t="s">
        <v>132</v>
      </c>
      <c r="O268" s="167">
        <v>4.0</v>
      </c>
      <c r="P268" s="184" t="s">
        <v>34</v>
      </c>
      <c r="Q268" s="167">
        <v>1.0</v>
      </c>
      <c r="R268" s="184" t="s">
        <v>107</v>
      </c>
      <c r="S268" s="167">
        <v>6.0</v>
      </c>
      <c r="T268" s="187"/>
      <c r="U268" s="167"/>
      <c r="V268" s="182" t="s">
        <v>115</v>
      </c>
      <c r="W268" s="167">
        <v>5.0</v>
      </c>
      <c r="X268" s="142">
        <v>1.0</v>
      </c>
      <c r="Y268" s="142">
        <v>1.0</v>
      </c>
      <c r="Z268" s="142">
        <v>1.0</v>
      </c>
      <c r="AA268" s="142">
        <v>1.0</v>
      </c>
      <c r="AB268" s="142">
        <v>1.0</v>
      </c>
      <c r="AC268" s="142">
        <v>1.0</v>
      </c>
      <c r="AD268" s="142">
        <v>1.0</v>
      </c>
      <c r="AE268" s="142">
        <v>1.0</v>
      </c>
      <c r="AF268" s="142">
        <v>8.0</v>
      </c>
      <c r="AG268" s="142">
        <v>0.0</v>
      </c>
      <c r="AH268" s="185" t="str">
        <f>IFERROR(__xludf.DUMMYFUNCTION("if($C268="""","""",if(join("" - "",{iferror(filter('Student Groupings'!$A:$A,'Student Groupings'!$B:$B=$C268,'Student Groupings'!$H:$H=""Can't be Together""),"""");iferror(filter('Student Groupings'!$A:$A,'Student Groupings'!$E:$E=$C268,'Student Groupings"&amp;"'!$H:$H=""Can't be Together""),"""")})="" - "","""",join("" - "",{iferror(filter('Student Groupings'!$A:$A,'Student Groupings'!$B:$B=$C268,'Student Groupings'!$H:$H=""Can't be Together""),"""");iferror(filter('Student Groupings'!$A:$A,'Student Groupings'!"&amp;"$E:$E=$C268,'Student Groupings'!$H:$H=""Can't be Together""),"""")})))"),"")</f>
        <v/>
      </c>
      <c r="AI268" s="185" t="str">
        <f>IFERROR(__xludf.DUMMYFUNCTION("if($C268="""","""",if(join("" - "",{iferror(filter('Student Groupings'!$A:$A,'Student Groupings'!$B:$B=$C268,'Student Groupings'!$H:$H=""Must be Together""),"""");iferror(filter('Student Groupings'!$A:$A,'Student Groupings'!$E:$E=$C268,'Student Groupings'"&amp;"!$H:$H=""Must be Together""),"""")})="" - "","""",join("" - "",{iferror(filter('Student Groupings'!$A:$A,'Student Groupings'!$B:$B=$C268,'Student Groupings'!$H:$H=""Must be Together""),"""");iferror(filter('Student Groupings'!$A:$A,'Student Groupings'!$E:"&amp;"$E=$C268,'Student Groupings'!$H:$H=""Must be Together""),"""")})))"),"")</f>
        <v/>
      </c>
    </row>
    <row r="269">
      <c r="A269" s="186">
        <v>11.0</v>
      </c>
      <c r="B269" s="194">
        <v>27051.0</v>
      </c>
      <c r="C269" s="181" t="s">
        <v>421</v>
      </c>
      <c r="D269" s="198" t="s">
        <v>43</v>
      </c>
      <c r="E269" s="181">
        <v>6.0</v>
      </c>
      <c r="F269" s="186" t="s">
        <v>66</v>
      </c>
      <c r="G269" s="186">
        <v>3.0</v>
      </c>
      <c r="H269" s="182" t="s">
        <v>79</v>
      </c>
      <c r="I269" s="167">
        <v>1.0</v>
      </c>
      <c r="J269" s="187"/>
      <c r="K269" s="167"/>
      <c r="L269" s="184" t="s">
        <v>90</v>
      </c>
      <c r="M269" s="186">
        <v>7.0</v>
      </c>
      <c r="N269" s="184" t="s">
        <v>132</v>
      </c>
      <c r="O269" s="186">
        <v>2.0</v>
      </c>
      <c r="P269" s="184" t="s">
        <v>24</v>
      </c>
      <c r="Q269" s="186">
        <v>4.0</v>
      </c>
      <c r="R269" s="184" t="s">
        <v>105</v>
      </c>
      <c r="S269" s="186">
        <v>8.0</v>
      </c>
      <c r="T269" s="187"/>
      <c r="U269" s="186"/>
      <c r="V269" s="184" t="s">
        <v>111</v>
      </c>
      <c r="W269" s="186">
        <v>5.0</v>
      </c>
      <c r="X269" s="142">
        <v>1.0</v>
      </c>
      <c r="Y269" s="142">
        <v>1.0</v>
      </c>
      <c r="Z269" s="142">
        <v>1.0</v>
      </c>
      <c r="AA269" s="142">
        <v>1.0</v>
      </c>
      <c r="AB269" s="142">
        <v>1.0</v>
      </c>
      <c r="AC269" s="142">
        <v>1.0</v>
      </c>
      <c r="AD269" s="142">
        <v>1.0</v>
      </c>
      <c r="AE269" s="142">
        <v>1.0</v>
      </c>
      <c r="AF269" s="142">
        <v>8.0</v>
      </c>
      <c r="AG269" s="142">
        <v>0.0</v>
      </c>
      <c r="AH269" s="185" t="str">
        <f>IFERROR(__xludf.DUMMYFUNCTION("if($C269="""","""",if(join("" - "",{iferror(filter('Student Groupings'!$A:$A,'Student Groupings'!$B:$B=$C269,'Student Groupings'!$H:$H=""Can't be Together""),"""");iferror(filter('Student Groupings'!$A:$A,'Student Groupings'!$E:$E=$C269,'Student Groupings"&amp;"'!$H:$H=""Can't be Together""),"""")})="" - "","""",join("" - "",{iferror(filter('Student Groupings'!$A:$A,'Student Groupings'!$B:$B=$C269,'Student Groupings'!$H:$H=""Can't be Together""),"""");iferror(filter('Student Groupings'!$A:$A,'Student Groupings'!"&amp;"$E:$E=$C269,'Student Groupings'!$H:$H=""Can't be Together""),"""")})))"),"")</f>
        <v/>
      </c>
      <c r="AI269" s="185" t="str">
        <f>IFERROR(__xludf.DUMMYFUNCTION("if($C269="""","""",if(join("" - "",{iferror(filter('Student Groupings'!$A:$A,'Student Groupings'!$B:$B=$C269,'Student Groupings'!$H:$H=""Must be Together""),"""");iferror(filter('Student Groupings'!$A:$A,'Student Groupings'!$E:$E=$C269,'Student Groupings'"&amp;"!$H:$H=""Must be Together""),"""")})="" - "","""",join("" - "",{iferror(filter('Student Groupings'!$A:$A,'Student Groupings'!$B:$B=$C269,'Student Groupings'!$H:$H=""Must be Together""),"""");iferror(filter('Student Groupings'!$A:$A,'Student Groupings'!$E:"&amp;"$E=$C269,'Student Groupings'!$H:$H=""Must be Together""),"""")})))"),"")</f>
        <v/>
      </c>
    </row>
    <row r="270">
      <c r="A270" s="167">
        <v>11.0</v>
      </c>
      <c r="B270" s="168">
        <v>27119.0</v>
      </c>
      <c r="C270" s="144" t="s">
        <v>422</v>
      </c>
      <c r="D270" s="180" t="s">
        <v>43</v>
      </c>
      <c r="E270" s="181">
        <v>1.0</v>
      </c>
      <c r="F270" s="167" t="s">
        <v>66</v>
      </c>
      <c r="G270" s="167">
        <v>3.0</v>
      </c>
      <c r="H270" s="182" t="s">
        <v>70</v>
      </c>
      <c r="I270" s="167">
        <v>7.0</v>
      </c>
      <c r="J270" s="187"/>
      <c r="K270" s="167"/>
      <c r="L270" s="184" t="s">
        <v>90</v>
      </c>
      <c r="M270" s="167">
        <v>8.0</v>
      </c>
      <c r="N270" s="184" t="s">
        <v>132</v>
      </c>
      <c r="O270" s="167">
        <v>6.0</v>
      </c>
      <c r="P270" s="184" t="s">
        <v>23</v>
      </c>
      <c r="Q270" s="167">
        <v>2.0</v>
      </c>
      <c r="R270" s="184" t="s">
        <v>111</v>
      </c>
      <c r="S270" s="167">
        <v>4.0</v>
      </c>
      <c r="T270" s="187"/>
      <c r="U270" s="167"/>
      <c r="V270" s="182" t="s">
        <v>115</v>
      </c>
      <c r="W270" s="167">
        <v>5.0</v>
      </c>
      <c r="X270" s="142">
        <v>1.0</v>
      </c>
      <c r="Y270" s="142">
        <v>1.0</v>
      </c>
      <c r="Z270" s="142">
        <v>1.0</v>
      </c>
      <c r="AA270" s="142">
        <v>1.0</v>
      </c>
      <c r="AB270" s="142">
        <v>1.0</v>
      </c>
      <c r="AC270" s="142">
        <v>1.0</v>
      </c>
      <c r="AD270" s="142">
        <v>1.0</v>
      </c>
      <c r="AE270" s="142">
        <v>1.0</v>
      </c>
      <c r="AF270" s="142">
        <v>8.0</v>
      </c>
      <c r="AG270" s="142">
        <v>0.0</v>
      </c>
      <c r="AH270" s="185" t="str">
        <f>IFERROR(__xludf.DUMMYFUNCTION("if($C270="""","""",if(join("" - "",{iferror(filter('Student Groupings'!$A:$A,'Student Groupings'!$B:$B=$C270,'Student Groupings'!$H:$H=""Can't be Together""),"""");iferror(filter('Student Groupings'!$A:$A,'Student Groupings'!$E:$E=$C270,'Student Groupings"&amp;"'!$H:$H=""Can't be Together""),"""")})="" - "","""",join("" - "",{iferror(filter('Student Groupings'!$A:$A,'Student Groupings'!$B:$B=$C270,'Student Groupings'!$H:$H=""Can't be Together""),"""");iferror(filter('Student Groupings'!$A:$A,'Student Groupings'!"&amp;"$E:$E=$C270,'Student Groupings'!$H:$H=""Can't be Together""),"""")})))"),"")</f>
        <v/>
      </c>
      <c r="AI270" s="185" t="str">
        <f>IFERROR(__xludf.DUMMYFUNCTION("if($C270="""","""",if(join("" - "",{iferror(filter('Student Groupings'!$A:$A,'Student Groupings'!$B:$B=$C270,'Student Groupings'!$H:$H=""Must be Together""),"""");iferror(filter('Student Groupings'!$A:$A,'Student Groupings'!$E:$E=$C270,'Student Groupings'"&amp;"!$H:$H=""Must be Together""),"""")})="" - "","""",join("" - "",{iferror(filter('Student Groupings'!$A:$A,'Student Groupings'!$B:$B=$C270,'Student Groupings'!$H:$H=""Must be Together""),"""");iferror(filter('Student Groupings'!$A:$A,'Student Groupings'!$E:"&amp;"$E=$C270,'Student Groupings'!$H:$H=""Must be Together""),"""")})))"),"")</f>
        <v/>
      </c>
    </row>
    <row r="271">
      <c r="A271" s="167">
        <v>11.0</v>
      </c>
      <c r="B271" s="168">
        <v>27074.0</v>
      </c>
      <c r="C271" s="144" t="s">
        <v>423</v>
      </c>
      <c r="D271" s="180" t="s">
        <v>43</v>
      </c>
      <c r="E271" s="181">
        <v>6.0</v>
      </c>
      <c r="F271" s="167" t="s">
        <v>66</v>
      </c>
      <c r="G271" s="167">
        <v>3.0</v>
      </c>
      <c r="H271" s="182" t="s">
        <v>69</v>
      </c>
      <c r="I271" s="167">
        <v>5.0</v>
      </c>
      <c r="J271" s="183"/>
      <c r="K271" s="167"/>
      <c r="L271" s="184" t="s">
        <v>90</v>
      </c>
      <c r="M271" s="167">
        <v>1.0</v>
      </c>
      <c r="N271" s="184" t="s">
        <v>132</v>
      </c>
      <c r="O271" s="167">
        <v>7.0</v>
      </c>
      <c r="P271" s="184" t="s">
        <v>23</v>
      </c>
      <c r="Q271" s="167">
        <v>2.0</v>
      </c>
      <c r="R271" s="184" t="s">
        <v>105</v>
      </c>
      <c r="S271" s="167">
        <v>8.0</v>
      </c>
      <c r="T271" s="187"/>
      <c r="U271" s="167"/>
      <c r="V271" s="184" t="s">
        <v>111</v>
      </c>
      <c r="W271" s="167">
        <v>4.0</v>
      </c>
      <c r="X271" s="142">
        <v>1.0</v>
      </c>
      <c r="Y271" s="142">
        <v>1.0</v>
      </c>
      <c r="Z271" s="142">
        <v>1.0</v>
      </c>
      <c r="AA271" s="142">
        <v>1.0</v>
      </c>
      <c r="AB271" s="142">
        <v>1.0</v>
      </c>
      <c r="AC271" s="142">
        <v>1.0</v>
      </c>
      <c r="AD271" s="142">
        <v>1.0</v>
      </c>
      <c r="AE271" s="142">
        <v>1.0</v>
      </c>
      <c r="AF271" s="142">
        <v>8.0</v>
      </c>
      <c r="AG271" s="142">
        <v>0.0</v>
      </c>
      <c r="AH271" s="185" t="str">
        <f>IFERROR(__xludf.DUMMYFUNCTION("if($C271="""","""",if(join("" - "",{iferror(filter('Student Groupings'!$A:$A,'Student Groupings'!$B:$B=$C271,'Student Groupings'!$H:$H=""Can't be Together""),"""");iferror(filter('Student Groupings'!$A:$A,'Student Groupings'!$E:$E=$C271,'Student Groupings"&amp;"'!$H:$H=""Can't be Together""),"""")})="" - "","""",join("" - "",{iferror(filter('Student Groupings'!$A:$A,'Student Groupings'!$B:$B=$C271,'Student Groupings'!$H:$H=""Can't be Together""),"""");iferror(filter('Student Groupings'!$A:$A,'Student Groupings'!"&amp;"$E:$E=$C271,'Student Groupings'!$H:$H=""Can't be Together""),"""")})))")," - 116")</f>
        <v> - 116</v>
      </c>
      <c r="AI271" s="185" t="str">
        <f>IFERROR(__xludf.DUMMYFUNCTION("if($C271="""","""",if(join("" - "",{iferror(filter('Student Groupings'!$A:$A,'Student Groupings'!$B:$B=$C271,'Student Groupings'!$H:$H=""Must be Together""),"""");iferror(filter('Student Groupings'!$A:$A,'Student Groupings'!$E:$E=$C271,'Student Groupings'"&amp;"!$H:$H=""Must be Together""),"""")})="" - "","""",join("" - "",{iferror(filter('Student Groupings'!$A:$A,'Student Groupings'!$B:$B=$C271,'Student Groupings'!$H:$H=""Must be Together""),"""");iferror(filter('Student Groupings'!$A:$A,'Student Groupings'!$E:"&amp;"$E=$C271,'Student Groupings'!$H:$H=""Must be Together""),"""")})))"),"")</f>
        <v/>
      </c>
    </row>
    <row r="272">
      <c r="A272" s="167">
        <v>11.0</v>
      </c>
      <c r="B272" s="168">
        <v>27124.0</v>
      </c>
      <c r="C272" s="144" t="s">
        <v>424</v>
      </c>
      <c r="D272" s="180" t="s">
        <v>49</v>
      </c>
      <c r="E272" s="181">
        <v>3.0</v>
      </c>
      <c r="F272" s="167" t="s">
        <v>57</v>
      </c>
      <c r="G272" s="167">
        <v>8.0</v>
      </c>
      <c r="H272" s="182" t="s">
        <v>70</v>
      </c>
      <c r="I272" s="186">
        <v>7.0</v>
      </c>
      <c r="J272" s="187"/>
      <c r="K272" s="167"/>
      <c r="L272" s="184" t="s">
        <v>90</v>
      </c>
      <c r="M272" s="167">
        <v>1.0</v>
      </c>
      <c r="N272" s="184" t="s">
        <v>132</v>
      </c>
      <c r="O272" s="167">
        <v>6.0</v>
      </c>
      <c r="P272" s="184" t="s">
        <v>23</v>
      </c>
      <c r="Q272" s="167">
        <v>2.0</v>
      </c>
      <c r="R272" s="184" t="s">
        <v>109</v>
      </c>
      <c r="S272" s="167">
        <v>4.0</v>
      </c>
      <c r="T272" s="187"/>
      <c r="U272" s="167"/>
      <c r="V272" s="184" t="s">
        <v>105</v>
      </c>
      <c r="W272" s="167">
        <v>5.0</v>
      </c>
      <c r="X272" s="142">
        <v>1.0</v>
      </c>
      <c r="Y272" s="142">
        <v>1.0</v>
      </c>
      <c r="Z272" s="142">
        <v>1.0</v>
      </c>
      <c r="AA272" s="142">
        <v>1.0</v>
      </c>
      <c r="AB272" s="142">
        <v>1.0</v>
      </c>
      <c r="AC272" s="142">
        <v>1.0</v>
      </c>
      <c r="AD272" s="142">
        <v>1.0</v>
      </c>
      <c r="AE272" s="142">
        <v>1.0</v>
      </c>
      <c r="AF272" s="142">
        <v>8.0</v>
      </c>
      <c r="AG272" s="142">
        <v>0.0</v>
      </c>
      <c r="AH272" s="185" t="str">
        <f>IFERROR(__xludf.DUMMYFUNCTION("if($C272="""","""",if(join("" - "",{iferror(filter('Student Groupings'!$A:$A,'Student Groupings'!$B:$B=$C272,'Student Groupings'!$H:$H=""Can't be Together""),"""");iferror(filter('Student Groupings'!$A:$A,'Student Groupings'!$E:$E=$C272,'Student Groupings"&amp;"'!$H:$H=""Can't be Together""),"""")})="" - "","""",join("" - "",{iferror(filter('Student Groupings'!$A:$A,'Student Groupings'!$B:$B=$C272,'Student Groupings'!$H:$H=""Can't be Together""),"""");iferror(filter('Student Groupings'!$A:$A,'Student Groupings'!"&amp;"$E:$E=$C272,'Student Groupings'!$H:$H=""Can't be Together""),"""")})))")," - 117")</f>
        <v> - 117</v>
      </c>
      <c r="AI272" s="185" t="str">
        <f>IFERROR(__xludf.DUMMYFUNCTION("if($C272="""","""",if(join("" - "",{iferror(filter('Student Groupings'!$A:$A,'Student Groupings'!$B:$B=$C272,'Student Groupings'!$H:$H=""Must be Together""),"""");iferror(filter('Student Groupings'!$A:$A,'Student Groupings'!$E:$E=$C272,'Student Groupings'"&amp;"!$H:$H=""Must be Together""),"""")})="" - "","""",join("" - "",{iferror(filter('Student Groupings'!$A:$A,'Student Groupings'!$B:$B=$C272,'Student Groupings'!$H:$H=""Must be Together""),"""");iferror(filter('Student Groupings'!$A:$A,'Student Groupings'!$E:"&amp;"$E=$C272,'Student Groupings'!$H:$H=""Must be Together""),"""")})))"),"")</f>
        <v/>
      </c>
    </row>
    <row r="273">
      <c r="A273" s="167">
        <v>11.0</v>
      </c>
      <c r="B273" s="168">
        <v>27095.0</v>
      </c>
      <c r="C273" s="144" t="s">
        <v>425</v>
      </c>
      <c r="D273" s="180" t="s">
        <v>41</v>
      </c>
      <c r="E273" s="181">
        <v>3.0</v>
      </c>
      <c r="F273" s="167" t="s">
        <v>66</v>
      </c>
      <c r="G273" s="167">
        <v>6.0</v>
      </c>
      <c r="H273" s="182" t="s">
        <v>70</v>
      </c>
      <c r="I273" s="167">
        <v>7.0</v>
      </c>
      <c r="J273" s="187"/>
      <c r="K273" s="167"/>
      <c r="L273" s="184" t="s">
        <v>90</v>
      </c>
      <c r="M273" s="167">
        <v>5.0</v>
      </c>
      <c r="N273" s="184" t="s">
        <v>132</v>
      </c>
      <c r="O273" s="167">
        <v>1.0</v>
      </c>
      <c r="P273" s="184" t="s">
        <v>23</v>
      </c>
      <c r="Q273" s="167">
        <v>2.0</v>
      </c>
      <c r="R273" s="184" t="s">
        <v>107</v>
      </c>
      <c r="S273" s="167">
        <v>8.0</v>
      </c>
      <c r="T273" s="187"/>
      <c r="U273" s="167"/>
      <c r="V273" s="184" t="s">
        <v>105</v>
      </c>
      <c r="W273" s="167">
        <v>4.0</v>
      </c>
      <c r="X273" s="142">
        <v>1.0</v>
      </c>
      <c r="Y273" s="142">
        <v>1.0</v>
      </c>
      <c r="Z273" s="142">
        <v>1.0</v>
      </c>
      <c r="AA273" s="142">
        <v>1.0</v>
      </c>
      <c r="AB273" s="142">
        <v>1.0</v>
      </c>
      <c r="AC273" s="142">
        <v>1.0</v>
      </c>
      <c r="AD273" s="142">
        <v>1.0</v>
      </c>
      <c r="AE273" s="142">
        <v>1.0</v>
      </c>
      <c r="AF273" s="142">
        <v>8.0</v>
      </c>
      <c r="AG273" s="142">
        <v>0.0</v>
      </c>
      <c r="AH273" s="185" t="str">
        <f>IFERROR(__xludf.DUMMYFUNCTION("if($C273="""","""",if(join("" - "",{iferror(filter('Student Groupings'!$A:$A,'Student Groupings'!$B:$B=$C273,'Student Groupings'!$H:$H=""Can't be Together""),"""");iferror(filter('Student Groupings'!$A:$A,'Student Groupings'!$E:$E=$C273,'Student Groupings"&amp;"'!$H:$H=""Can't be Together""),"""")})="" - "","""",join("" - "",{iferror(filter('Student Groupings'!$A:$A,'Student Groupings'!$B:$B=$C273,'Student Groupings'!$H:$H=""Can't be Together""),"""");iferror(filter('Student Groupings'!$A:$A,'Student Groupings'!"&amp;"$E:$E=$C273,'Student Groupings'!$H:$H=""Can't be Together""),"""")})))"),"")</f>
        <v/>
      </c>
      <c r="AI273" s="185" t="str">
        <f>IFERROR(__xludf.DUMMYFUNCTION("if($C273="""","""",if(join("" - "",{iferror(filter('Student Groupings'!$A:$A,'Student Groupings'!$B:$B=$C273,'Student Groupings'!$H:$H=""Must be Together""),"""");iferror(filter('Student Groupings'!$A:$A,'Student Groupings'!$E:$E=$C273,'Student Groupings'"&amp;"!$H:$H=""Must be Together""),"""")})="" - "","""",join("" - "",{iferror(filter('Student Groupings'!$A:$A,'Student Groupings'!$B:$B=$C273,'Student Groupings'!$H:$H=""Must be Together""),"""");iferror(filter('Student Groupings'!$A:$A,'Student Groupings'!$E:"&amp;"$E=$C273,'Student Groupings'!$H:$H=""Must be Together""),"""")})))"),"")</f>
        <v/>
      </c>
    </row>
    <row r="274">
      <c r="A274" s="167">
        <v>11.0</v>
      </c>
      <c r="B274" s="168">
        <v>27080.0</v>
      </c>
      <c r="C274" s="144" t="s">
        <v>426</v>
      </c>
      <c r="D274" s="180" t="s">
        <v>45</v>
      </c>
      <c r="E274" s="181">
        <v>1.0</v>
      </c>
      <c r="F274" s="167" t="s">
        <v>57</v>
      </c>
      <c r="G274" s="167">
        <v>8.0</v>
      </c>
      <c r="H274" s="182" t="s">
        <v>79</v>
      </c>
      <c r="I274" s="167">
        <v>3.0</v>
      </c>
      <c r="J274" s="187"/>
      <c r="K274" s="167"/>
      <c r="L274" s="184" t="s">
        <v>90</v>
      </c>
      <c r="M274" s="167">
        <v>2.0</v>
      </c>
      <c r="N274" s="184" t="s">
        <v>132</v>
      </c>
      <c r="O274" s="167">
        <v>7.0</v>
      </c>
      <c r="P274" s="184" t="s">
        <v>29</v>
      </c>
      <c r="Q274" s="167">
        <v>6.0</v>
      </c>
      <c r="R274" s="184" t="s">
        <v>111</v>
      </c>
      <c r="S274" s="167">
        <v>4.0</v>
      </c>
      <c r="T274" s="187"/>
      <c r="U274" s="167"/>
      <c r="V274" s="184" t="s">
        <v>96</v>
      </c>
      <c r="W274" s="167">
        <v>5.0</v>
      </c>
      <c r="X274" s="142">
        <v>1.0</v>
      </c>
      <c r="Y274" s="142">
        <v>1.0</v>
      </c>
      <c r="Z274" s="142">
        <v>1.0</v>
      </c>
      <c r="AA274" s="142">
        <v>1.0</v>
      </c>
      <c r="AB274" s="142">
        <v>1.0</v>
      </c>
      <c r="AC274" s="142">
        <v>1.0</v>
      </c>
      <c r="AD274" s="142">
        <v>1.0</v>
      </c>
      <c r="AE274" s="142">
        <v>1.0</v>
      </c>
      <c r="AF274" s="142">
        <v>8.0</v>
      </c>
      <c r="AG274" s="142">
        <v>0.0</v>
      </c>
      <c r="AH274" s="185" t="str">
        <f>IFERROR(__xludf.DUMMYFUNCTION("if($C274="""","""",if(join("" - "",{iferror(filter('Student Groupings'!$A:$A,'Student Groupings'!$B:$B=$C274,'Student Groupings'!$H:$H=""Can't be Together""),"""");iferror(filter('Student Groupings'!$A:$A,'Student Groupings'!$E:$E=$C274,'Student Groupings"&amp;"'!$H:$H=""Can't be Together""),"""")})="" - "","""",join("" - "",{iferror(filter('Student Groupings'!$A:$A,'Student Groupings'!$B:$B=$C274,'Student Groupings'!$H:$H=""Can't be Together""),"""");iferror(filter('Student Groupings'!$A:$A,'Student Groupings'!"&amp;"$E:$E=$C274,'Student Groupings'!$H:$H=""Can't be Together""),"""")})))")," - 16")</f>
        <v> - 16</v>
      </c>
      <c r="AI274" s="185" t="str">
        <f>IFERROR(__xludf.DUMMYFUNCTION("if($C274="""","""",if(join("" - "",{iferror(filter('Student Groupings'!$A:$A,'Student Groupings'!$B:$B=$C274,'Student Groupings'!$H:$H=""Must be Together""),"""");iferror(filter('Student Groupings'!$A:$A,'Student Groupings'!$E:$E=$C274,'Student Groupings'"&amp;"!$H:$H=""Must be Together""),"""")})="" - "","""",join("" - "",{iferror(filter('Student Groupings'!$A:$A,'Student Groupings'!$B:$B=$C274,'Student Groupings'!$H:$H=""Must be Together""),"""");iferror(filter('Student Groupings'!$A:$A,'Student Groupings'!$E:"&amp;"$E=$C274,'Student Groupings'!$H:$H=""Must be Together""),"""")})))"),"84 - 85 - 86 - 87 - 83")</f>
        <v>84 - 85 - 86 - 87 - 83</v>
      </c>
    </row>
    <row r="275">
      <c r="A275" s="167">
        <v>11.0</v>
      </c>
      <c r="B275" s="168">
        <v>27140.0</v>
      </c>
      <c r="C275" s="144" t="s">
        <v>427</v>
      </c>
      <c r="D275" s="180" t="s">
        <v>41</v>
      </c>
      <c r="E275" s="181">
        <v>2.0</v>
      </c>
      <c r="F275" s="167" t="s">
        <v>66</v>
      </c>
      <c r="G275" s="167">
        <v>4.0</v>
      </c>
      <c r="H275" s="182" t="s">
        <v>79</v>
      </c>
      <c r="I275" s="167">
        <v>5.0</v>
      </c>
      <c r="J275" s="187"/>
      <c r="K275" s="167"/>
      <c r="L275" s="184" t="s">
        <v>90</v>
      </c>
      <c r="M275" s="167">
        <v>8.0</v>
      </c>
      <c r="N275" s="184" t="s">
        <v>132</v>
      </c>
      <c r="O275" s="167">
        <v>1.0</v>
      </c>
      <c r="P275" s="184" t="s">
        <v>23</v>
      </c>
      <c r="Q275" s="167">
        <v>6.0</v>
      </c>
      <c r="R275" s="184" t="s">
        <v>105</v>
      </c>
      <c r="S275" s="167">
        <v>7.0</v>
      </c>
      <c r="T275" s="187"/>
      <c r="U275" s="167"/>
      <c r="V275" s="182" t="s">
        <v>115</v>
      </c>
      <c r="W275" s="167">
        <v>3.0</v>
      </c>
      <c r="X275" s="142">
        <v>1.0</v>
      </c>
      <c r="Y275" s="142">
        <v>1.0</v>
      </c>
      <c r="Z275" s="142">
        <v>1.0</v>
      </c>
      <c r="AA275" s="142">
        <v>1.0</v>
      </c>
      <c r="AB275" s="142">
        <v>1.0</v>
      </c>
      <c r="AC275" s="142">
        <v>1.0</v>
      </c>
      <c r="AD275" s="142">
        <v>1.0</v>
      </c>
      <c r="AE275" s="142">
        <v>1.0</v>
      </c>
      <c r="AF275" s="142">
        <v>8.0</v>
      </c>
      <c r="AG275" s="142">
        <v>0.0</v>
      </c>
      <c r="AH275" s="185" t="str">
        <f>IFERROR(__xludf.DUMMYFUNCTION("if($C275="""","""",if(join("" - "",{iferror(filter('Student Groupings'!$A:$A,'Student Groupings'!$B:$B=$C275,'Student Groupings'!$H:$H=""Can't be Together""),"""");iferror(filter('Student Groupings'!$A:$A,'Student Groupings'!$E:$E=$C275,'Student Groupings"&amp;"'!$H:$H=""Can't be Together""),"""")})="" - "","""",join("" - "",{iferror(filter('Student Groupings'!$A:$A,'Student Groupings'!$B:$B=$C275,'Student Groupings'!$H:$H=""Can't be Together""),"""");iferror(filter('Student Groupings'!$A:$A,'Student Groupings'!"&amp;"$E:$E=$C275,'Student Groupings'!$H:$H=""Can't be Together""),"""")})))"),"")</f>
        <v/>
      </c>
      <c r="AI275" s="185" t="str">
        <f>IFERROR(__xludf.DUMMYFUNCTION("if($C275="""","""",if(join("" - "",{iferror(filter('Student Groupings'!$A:$A,'Student Groupings'!$B:$B=$C275,'Student Groupings'!$H:$H=""Must be Together""),"""");iferror(filter('Student Groupings'!$A:$A,'Student Groupings'!$E:$E=$C275,'Student Groupings'"&amp;"!$H:$H=""Must be Together""),"""")})="" - "","""",join("" - "",{iferror(filter('Student Groupings'!$A:$A,'Student Groupings'!$B:$B=$C275,'Student Groupings'!$H:$H=""Must be Together""),"""");iferror(filter('Student Groupings'!$A:$A,'Student Groupings'!$E:"&amp;"$E=$C275,'Student Groupings'!$H:$H=""Must be Together""),"""")})))"),"")</f>
        <v/>
      </c>
    </row>
    <row r="276">
      <c r="A276" s="167">
        <v>11.0</v>
      </c>
      <c r="B276" s="168">
        <v>27106.0</v>
      </c>
      <c r="C276" s="144" t="s">
        <v>428</v>
      </c>
      <c r="D276" s="180" t="s">
        <v>41</v>
      </c>
      <c r="E276" s="181">
        <v>2.0</v>
      </c>
      <c r="F276" s="167" t="s">
        <v>66</v>
      </c>
      <c r="G276" s="167">
        <v>1.0</v>
      </c>
      <c r="H276" s="182" t="s">
        <v>79</v>
      </c>
      <c r="I276" s="167">
        <v>5.0</v>
      </c>
      <c r="J276" s="187"/>
      <c r="K276" s="167"/>
      <c r="L276" s="184" t="s">
        <v>90</v>
      </c>
      <c r="M276" s="167">
        <v>7.0</v>
      </c>
      <c r="N276" s="184" t="s">
        <v>132</v>
      </c>
      <c r="O276" s="167">
        <v>6.0</v>
      </c>
      <c r="P276" s="184" t="s">
        <v>24</v>
      </c>
      <c r="Q276" s="167">
        <v>8.0</v>
      </c>
      <c r="R276" s="184" t="s">
        <v>109</v>
      </c>
      <c r="S276" s="167">
        <v>4.0</v>
      </c>
      <c r="T276" s="187"/>
      <c r="U276" s="167"/>
      <c r="V276" s="182" t="s">
        <v>115</v>
      </c>
      <c r="W276" s="167">
        <v>3.0</v>
      </c>
      <c r="X276" s="142">
        <v>1.0</v>
      </c>
      <c r="Y276" s="142">
        <v>1.0</v>
      </c>
      <c r="Z276" s="142">
        <v>1.0</v>
      </c>
      <c r="AA276" s="142">
        <v>1.0</v>
      </c>
      <c r="AB276" s="142">
        <v>1.0</v>
      </c>
      <c r="AC276" s="142">
        <v>1.0</v>
      </c>
      <c r="AD276" s="142">
        <v>1.0</v>
      </c>
      <c r="AE276" s="142">
        <v>1.0</v>
      </c>
      <c r="AF276" s="142">
        <v>8.0</v>
      </c>
      <c r="AG276" s="142">
        <v>0.0</v>
      </c>
      <c r="AH276" s="185" t="str">
        <f>IFERROR(__xludf.DUMMYFUNCTION("if($C276="""","""",if(join("" - "",{iferror(filter('Student Groupings'!$A:$A,'Student Groupings'!$B:$B=$C276,'Student Groupings'!$H:$H=""Can't be Together""),"""");iferror(filter('Student Groupings'!$A:$A,'Student Groupings'!$E:$E=$C276,'Student Groupings"&amp;"'!$H:$H=""Can't be Together""),"""")})="" - "","""",join("" - "",{iferror(filter('Student Groupings'!$A:$A,'Student Groupings'!$B:$B=$C276,'Student Groupings'!$H:$H=""Can't be Together""),"""");iferror(filter('Student Groupings'!$A:$A,'Student Groupings'!"&amp;"$E:$E=$C276,'Student Groupings'!$H:$H=""Can't be Together""),"""")})))"),"")</f>
        <v/>
      </c>
      <c r="AI276" s="185" t="str">
        <f>IFERROR(__xludf.DUMMYFUNCTION("if($C276="""","""",if(join("" - "",{iferror(filter('Student Groupings'!$A:$A,'Student Groupings'!$B:$B=$C276,'Student Groupings'!$H:$H=""Must be Together""),"""");iferror(filter('Student Groupings'!$A:$A,'Student Groupings'!$E:$E=$C276,'Student Groupings'"&amp;"!$H:$H=""Must be Together""),"""")})="" - "","""",join("" - "",{iferror(filter('Student Groupings'!$A:$A,'Student Groupings'!$B:$B=$C276,'Student Groupings'!$H:$H=""Must be Together""),"""");iferror(filter('Student Groupings'!$A:$A,'Student Groupings'!$E:"&amp;"$E=$C276,'Student Groupings'!$H:$H=""Must be Together""),"""")})))"),"")</f>
        <v/>
      </c>
    </row>
    <row r="277">
      <c r="A277" s="167">
        <v>11.0</v>
      </c>
      <c r="B277" s="168">
        <v>27002.0</v>
      </c>
      <c r="C277" s="144" t="s">
        <v>429</v>
      </c>
      <c r="D277" s="180" t="s">
        <v>49</v>
      </c>
      <c r="E277" s="181">
        <v>3.0</v>
      </c>
      <c r="F277" s="167" t="s">
        <v>66</v>
      </c>
      <c r="G277" s="167">
        <v>4.0</v>
      </c>
      <c r="H277" s="182" t="s">
        <v>70</v>
      </c>
      <c r="I277" s="167">
        <v>2.0</v>
      </c>
      <c r="J277" s="187"/>
      <c r="K277" s="167"/>
      <c r="L277" s="184" t="s">
        <v>90</v>
      </c>
      <c r="M277" s="167">
        <v>1.0</v>
      </c>
      <c r="N277" s="184" t="s">
        <v>132</v>
      </c>
      <c r="O277" s="167">
        <v>6.0</v>
      </c>
      <c r="P277" s="184" t="s">
        <v>27</v>
      </c>
      <c r="Q277" s="167">
        <v>8.0</v>
      </c>
      <c r="R277" s="184" t="s">
        <v>105</v>
      </c>
      <c r="S277" s="167">
        <v>7.0</v>
      </c>
      <c r="T277" s="187"/>
      <c r="U277" s="167"/>
      <c r="V277" s="182" t="s">
        <v>115</v>
      </c>
      <c r="W277" s="167">
        <v>5.0</v>
      </c>
      <c r="X277" s="142">
        <v>1.0</v>
      </c>
      <c r="Y277" s="142">
        <v>1.0</v>
      </c>
      <c r="Z277" s="142">
        <v>1.0</v>
      </c>
      <c r="AA277" s="142">
        <v>1.0</v>
      </c>
      <c r="AB277" s="142">
        <v>1.0</v>
      </c>
      <c r="AC277" s="142">
        <v>1.0</v>
      </c>
      <c r="AD277" s="142">
        <v>1.0</v>
      </c>
      <c r="AE277" s="142">
        <v>1.0</v>
      </c>
      <c r="AF277" s="142">
        <v>8.0</v>
      </c>
      <c r="AG277" s="142">
        <v>0.0</v>
      </c>
      <c r="AH277" s="185" t="str">
        <f>IFERROR(__xludf.DUMMYFUNCTION("if($C277="""","""",if(join("" - "",{iferror(filter('Student Groupings'!$A:$A,'Student Groupings'!$B:$B=$C277,'Student Groupings'!$H:$H=""Can't be Together""),"""");iferror(filter('Student Groupings'!$A:$A,'Student Groupings'!$E:$E=$C277,'Student Groupings"&amp;"'!$H:$H=""Can't be Together""),"""")})="" - "","""",join("" - "",{iferror(filter('Student Groupings'!$A:$A,'Student Groupings'!$B:$B=$C277,'Student Groupings'!$H:$H=""Can't be Together""),"""");iferror(filter('Student Groupings'!$A:$A,'Student Groupings'!"&amp;"$E:$E=$C277,'Student Groupings'!$H:$H=""Can't be Together""),"""")})))"),"")</f>
        <v/>
      </c>
      <c r="AI277" s="185" t="str">
        <f>IFERROR(__xludf.DUMMYFUNCTION("if($C277="""","""",if(join("" - "",{iferror(filter('Student Groupings'!$A:$A,'Student Groupings'!$B:$B=$C277,'Student Groupings'!$H:$H=""Must be Together""),"""");iferror(filter('Student Groupings'!$A:$A,'Student Groupings'!$E:$E=$C277,'Student Groupings'"&amp;"!$H:$H=""Must be Together""),"""")})="" - "","""",join("" - "",{iferror(filter('Student Groupings'!$A:$A,'Student Groupings'!$B:$B=$C277,'Student Groupings'!$H:$H=""Must be Together""),"""");iferror(filter('Student Groupings'!$A:$A,'Student Groupings'!$E:"&amp;"$E=$C277,'Student Groupings'!$H:$H=""Must be Together""),"""")})))"),"")</f>
        <v/>
      </c>
    </row>
    <row r="278">
      <c r="A278" s="167">
        <v>11.0</v>
      </c>
      <c r="B278" s="168">
        <v>27001.0</v>
      </c>
      <c r="C278" s="144" t="s">
        <v>430</v>
      </c>
      <c r="D278" s="180" t="s">
        <v>43</v>
      </c>
      <c r="E278" s="181">
        <v>4.0</v>
      </c>
      <c r="F278" s="180" t="s">
        <v>66</v>
      </c>
      <c r="G278" s="180">
        <v>3.0</v>
      </c>
      <c r="H278" s="182" t="s">
        <v>79</v>
      </c>
      <c r="I278" s="167">
        <v>5.0</v>
      </c>
      <c r="J278" s="183"/>
      <c r="K278" s="167"/>
      <c r="L278" s="184" t="s">
        <v>90</v>
      </c>
      <c r="M278" s="167">
        <v>8.0</v>
      </c>
      <c r="N278" s="184" t="s">
        <v>132</v>
      </c>
      <c r="O278" s="167">
        <v>2.0</v>
      </c>
      <c r="P278" s="184" t="s">
        <v>34</v>
      </c>
      <c r="Q278" s="167">
        <v>1.0</v>
      </c>
      <c r="R278" s="184" t="s">
        <v>105</v>
      </c>
      <c r="S278" s="167">
        <v>7.0</v>
      </c>
      <c r="T278" s="187"/>
      <c r="U278" s="180"/>
      <c r="V278" s="184" t="s">
        <v>101</v>
      </c>
      <c r="W278" s="167">
        <v>6.0</v>
      </c>
      <c r="X278" s="142">
        <v>1.0</v>
      </c>
      <c r="Y278" s="142">
        <v>1.0</v>
      </c>
      <c r="Z278" s="142">
        <v>1.0</v>
      </c>
      <c r="AA278" s="142">
        <v>1.0</v>
      </c>
      <c r="AB278" s="142">
        <v>1.0</v>
      </c>
      <c r="AC278" s="142">
        <v>1.0</v>
      </c>
      <c r="AD278" s="142">
        <v>1.0</v>
      </c>
      <c r="AE278" s="142">
        <v>1.0</v>
      </c>
      <c r="AF278" s="142">
        <v>8.0</v>
      </c>
      <c r="AG278" s="142">
        <v>0.0</v>
      </c>
      <c r="AH278" s="185" t="str">
        <f>IFERROR(__xludf.DUMMYFUNCTION("if($C278="""","""",if(join("" - "",{iferror(filter('Student Groupings'!$A:$A,'Student Groupings'!$B:$B=$C278,'Student Groupings'!$H:$H=""Can't be Together""),"""");iferror(filter('Student Groupings'!$A:$A,'Student Groupings'!$E:$E=$C278,'Student Groupings"&amp;"'!$H:$H=""Can't be Together""),"""")})="" - "","""",join("" - "",{iferror(filter('Student Groupings'!$A:$A,'Student Groupings'!$B:$B=$C278,'Student Groupings'!$H:$H=""Can't be Together""),"""");iferror(filter('Student Groupings'!$A:$A,'Student Groupings'!"&amp;"$E:$E=$C278,'Student Groupings'!$H:$H=""Can't be Together""),"""")})))"),"")</f>
        <v/>
      </c>
      <c r="AI278" s="185" t="str">
        <f>IFERROR(__xludf.DUMMYFUNCTION("if($C278="""","""",if(join("" - "",{iferror(filter('Student Groupings'!$A:$A,'Student Groupings'!$B:$B=$C278,'Student Groupings'!$H:$H=""Must be Together""),"""");iferror(filter('Student Groupings'!$A:$A,'Student Groupings'!$E:$E=$C278,'Student Groupings'"&amp;"!$H:$H=""Must be Together""),"""")})="" - "","""",join("" - "",{iferror(filter('Student Groupings'!$A:$A,'Student Groupings'!$B:$B=$C278,'Student Groupings'!$H:$H=""Must be Together""),"""");iferror(filter('Student Groupings'!$A:$A,'Student Groupings'!$E:"&amp;"$E=$C278,'Student Groupings'!$H:$H=""Must be Together""),"""")})))"),"")</f>
        <v/>
      </c>
    </row>
    <row r="279">
      <c r="A279" s="167">
        <v>11.0</v>
      </c>
      <c r="B279" s="168">
        <v>26040.0</v>
      </c>
      <c r="C279" s="144" t="s">
        <v>431</v>
      </c>
      <c r="D279" s="180" t="s">
        <v>41</v>
      </c>
      <c r="E279" s="181">
        <v>3.0</v>
      </c>
      <c r="F279" s="167" t="s">
        <v>66</v>
      </c>
      <c r="G279" s="167">
        <v>1.0</v>
      </c>
      <c r="H279" s="182" t="s">
        <v>79</v>
      </c>
      <c r="I279" s="167">
        <v>6.0</v>
      </c>
      <c r="J279" s="187"/>
      <c r="K279" s="167"/>
      <c r="L279" s="184" t="s">
        <v>90</v>
      </c>
      <c r="M279" s="167">
        <v>8.0</v>
      </c>
      <c r="N279" s="184" t="s">
        <v>132</v>
      </c>
      <c r="O279" s="167">
        <v>2.0</v>
      </c>
      <c r="P279" s="184" t="s">
        <v>24</v>
      </c>
      <c r="Q279" s="167">
        <v>4.0</v>
      </c>
      <c r="R279" s="184" t="s">
        <v>107</v>
      </c>
      <c r="S279" s="167">
        <v>7.0</v>
      </c>
      <c r="T279" s="187"/>
      <c r="U279" s="167"/>
      <c r="V279" s="182" t="s">
        <v>115</v>
      </c>
      <c r="W279" s="167">
        <v>5.0</v>
      </c>
      <c r="X279" s="142">
        <v>1.0</v>
      </c>
      <c r="Y279" s="142">
        <v>1.0</v>
      </c>
      <c r="Z279" s="142">
        <v>1.0</v>
      </c>
      <c r="AA279" s="142">
        <v>1.0</v>
      </c>
      <c r="AB279" s="142">
        <v>1.0</v>
      </c>
      <c r="AC279" s="142">
        <v>1.0</v>
      </c>
      <c r="AD279" s="142">
        <v>1.0</v>
      </c>
      <c r="AE279" s="142">
        <v>1.0</v>
      </c>
      <c r="AF279" s="142">
        <v>8.0</v>
      </c>
      <c r="AG279" s="142">
        <v>0.0</v>
      </c>
      <c r="AH279" s="185" t="str">
        <f>IFERROR(__xludf.DUMMYFUNCTION("if($C279="""","""",if(join("" - "",{iferror(filter('Student Groupings'!$A:$A,'Student Groupings'!$B:$B=$C279,'Student Groupings'!$H:$H=""Can't be Together""),"""");iferror(filter('Student Groupings'!$A:$A,'Student Groupings'!$E:$E=$C279,'Student Groupings"&amp;"'!$H:$H=""Can't be Together""),"""")})="" - "","""",join("" - "",{iferror(filter('Student Groupings'!$A:$A,'Student Groupings'!$B:$B=$C279,'Student Groupings'!$H:$H=""Can't be Together""),"""");iferror(filter('Student Groupings'!$A:$A,'Student Groupings'!"&amp;"$E:$E=$C279,'Student Groupings'!$H:$H=""Can't be Together""),"""")})))")," - 13 - 20")</f>
        <v> - 13 - 20</v>
      </c>
      <c r="AI279" s="185" t="str">
        <f>IFERROR(__xludf.DUMMYFUNCTION("if($C279="""","""",if(join("" - "",{iferror(filter('Student Groupings'!$A:$A,'Student Groupings'!$B:$B=$C279,'Student Groupings'!$H:$H=""Must be Together""),"""");iferror(filter('Student Groupings'!$A:$A,'Student Groupings'!$E:$E=$C279,'Student Groupings'"&amp;"!$H:$H=""Must be Together""),"""")})="" - "","""",join("" - "",{iferror(filter('Student Groupings'!$A:$A,'Student Groupings'!$B:$B=$C279,'Student Groupings'!$H:$H=""Must be Together""),"""");iferror(filter('Student Groupings'!$A:$A,'Student Groupings'!$E:"&amp;"$E=$C279,'Student Groupings'!$H:$H=""Must be Together""),"""")})))"),"")</f>
        <v/>
      </c>
    </row>
    <row r="280">
      <c r="A280" s="167">
        <v>11.0</v>
      </c>
      <c r="B280" s="168">
        <v>27086.0</v>
      </c>
      <c r="C280" s="144" t="s">
        <v>432</v>
      </c>
      <c r="D280" s="180" t="s">
        <v>43</v>
      </c>
      <c r="E280" s="181">
        <v>1.0</v>
      </c>
      <c r="F280" s="167" t="s">
        <v>66</v>
      </c>
      <c r="G280" s="167">
        <v>3.0</v>
      </c>
      <c r="H280" s="182" t="s">
        <v>69</v>
      </c>
      <c r="I280" s="167">
        <v>6.0</v>
      </c>
      <c r="J280" s="183"/>
      <c r="K280" s="167"/>
      <c r="L280" s="184" t="s">
        <v>90</v>
      </c>
      <c r="M280" s="167">
        <v>2.0</v>
      </c>
      <c r="N280" s="184" t="s">
        <v>132</v>
      </c>
      <c r="O280" s="167">
        <v>7.0</v>
      </c>
      <c r="P280" s="184" t="s">
        <v>30</v>
      </c>
      <c r="Q280" s="167">
        <v>5.0</v>
      </c>
      <c r="R280" s="184" t="s">
        <v>107</v>
      </c>
      <c r="S280" s="167">
        <v>8.0</v>
      </c>
      <c r="T280" s="187"/>
      <c r="U280" s="167"/>
      <c r="V280" s="184" t="s">
        <v>109</v>
      </c>
      <c r="W280" s="167">
        <v>4.0</v>
      </c>
      <c r="X280" s="142">
        <v>1.0</v>
      </c>
      <c r="Y280" s="142">
        <v>1.0</v>
      </c>
      <c r="Z280" s="142">
        <v>1.0</v>
      </c>
      <c r="AA280" s="142">
        <v>1.0</v>
      </c>
      <c r="AB280" s="142">
        <v>1.0</v>
      </c>
      <c r="AC280" s="142">
        <v>1.0</v>
      </c>
      <c r="AD280" s="142">
        <v>1.0</v>
      </c>
      <c r="AE280" s="142">
        <v>1.0</v>
      </c>
      <c r="AF280" s="142">
        <v>8.0</v>
      </c>
      <c r="AG280" s="142">
        <v>0.0</v>
      </c>
      <c r="AH280" s="185" t="str">
        <f>IFERROR(__xludf.DUMMYFUNCTION("if($C280="""","""",if(join("" - "",{iferror(filter('Student Groupings'!$A:$A,'Student Groupings'!$B:$B=$C280,'Student Groupings'!$H:$H=""Can't be Together""),"""");iferror(filter('Student Groupings'!$A:$A,'Student Groupings'!$E:$E=$C280,'Student Groupings"&amp;"'!$H:$H=""Can't be Together""),"""")})="" - "","""",join("" - "",{iferror(filter('Student Groupings'!$A:$A,'Student Groupings'!$B:$B=$C280,'Student Groupings'!$H:$H=""Can't be Together""),"""");iferror(filter('Student Groupings'!$A:$A,'Student Groupings'!"&amp;"$E:$E=$C280,'Student Groupings'!$H:$H=""Can't be Together""),"""")})))")," - 26")</f>
        <v> - 26</v>
      </c>
      <c r="AI280" s="185" t="str">
        <f>IFERROR(__xludf.DUMMYFUNCTION("if($C280="""","""",if(join("" - "",{iferror(filter('Student Groupings'!$A:$A,'Student Groupings'!$B:$B=$C280,'Student Groupings'!$H:$H=""Must be Together""),"""");iferror(filter('Student Groupings'!$A:$A,'Student Groupings'!$E:$E=$C280,'Student Groupings'"&amp;"!$H:$H=""Must be Together""),"""")})="" - "","""",join("" - "",{iferror(filter('Student Groupings'!$A:$A,'Student Groupings'!$B:$B=$C280,'Student Groupings'!$H:$H=""Must be Together""),"""");iferror(filter('Student Groupings'!$A:$A,'Student Groupings'!$E:"&amp;"$E=$C280,'Student Groupings'!$H:$H=""Must be Together""),"""")})))"),"")</f>
        <v/>
      </c>
    </row>
    <row r="281">
      <c r="A281" s="167">
        <v>11.0</v>
      </c>
      <c r="B281" s="168">
        <v>27060.0</v>
      </c>
      <c r="C281" s="144" t="s">
        <v>433</v>
      </c>
      <c r="D281" s="180" t="s">
        <v>43</v>
      </c>
      <c r="E281" s="181">
        <v>1.0</v>
      </c>
      <c r="F281" s="167" t="s">
        <v>66</v>
      </c>
      <c r="G281" s="167">
        <v>4.0</v>
      </c>
      <c r="H281" s="182" t="s">
        <v>79</v>
      </c>
      <c r="I281" s="167">
        <v>6.0</v>
      </c>
      <c r="J281" s="187"/>
      <c r="K281" s="167"/>
      <c r="L281" s="184" t="s">
        <v>90</v>
      </c>
      <c r="M281" s="167">
        <v>5.0</v>
      </c>
      <c r="N281" s="184" t="s">
        <v>132</v>
      </c>
      <c r="O281" s="167">
        <v>3.0</v>
      </c>
      <c r="P281" s="184" t="s">
        <v>24</v>
      </c>
      <c r="Q281" s="167">
        <v>8.0</v>
      </c>
      <c r="R281" s="184" t="s">
        <v>107</v>
      </c>
      <c r="S281" s="167">
        <v>2.0</v>
      </c>
      <c r="T281" s="183"/>
      <c r="U281" s="167"/>
      <c r="V281" s="184" t="s">
        <v>105</v>
      </c>
      <c r="W281" s="167">
        <v>7.0</v>
      </c>
      <c r="X281" s="142">
        <v>1.0</v>
      </c>
      <c r="Y281" s="142">
        <v>1.0</v>
      </c>
      <c r="Z281" s="142">
        <v>1.0</v>
      </c>
      <c r="AA281" s="142">
        <v>1.0</v>
      </c>
      <c r="AB281" s="142">
        <v>1.0</v>
      </c>
      <c r="AC281" s="142">
        <v>1.0</v>
      </c>
      <c r="AD281" s="142">
        <v>1.0</v>
      </c>
      <c r="AE281" s="142">
        <v>1.0</v>
      </c>
      <c r="AF281" s="142">
        <v>8.0</v>
      </c>
      <c r="AG281" s="142">
        <v>0.0</v>
      </c>
      <c r="AH281" s="185" t="str">
        <f>IFERROR(__xludf.DUMMYFUNCTION("if($C281="""","""",if(join("" - "",{iferror(filter('Student Groupings'!$A:$A,'Student Groupings'!$B:$B=$C281,'Student Groupings'!$H:$H=""Can't be Together""),"""");iferror(filter('Student Groupings'!$A:$A,'Student Groupings'!$E:$E=$C281,'Student Groupings"&amp;"'!$H:$H=""Can't be Together""),"""")})="" - "","""",join("" - "",{iferror(filter('Student Groupings'!$A:$A,'Student Groupings'!$B:$B=$C281,'Student Groupings'!$H:$H=""Can't be Together""),"""");iferror(filter('Student Groupings'!$A:$A,'Student Groupings'!"&amp;"$E:$E=$C281,'Student Groupings'!$H:$H=""Can't be Together""),"""")})))"),"")</f>
        <v/>
      </c>
      <c r="AI281" s="185" t="str">
        <f>IFERROR(__xludf.DUMMYFUNCTION("if($C281="""","""",if(join("" - "",{iferror(filter('Student Groupings'!$A:$A,'Student Groupings'!$B:$B=$C281,'Student Groupings'!$H:$H=""Must be Together""),"""");iferror(filter('Student Groupings'!$A:$A,'Student Groupings'!$E:$E=$C281,'Student Groupings'"&amp;"!$H:$H=""Must be Together""),"""")})="" - "","""",join("" - "",{iferror(filter('Student Groupings'!$A:$A,'Student Groupings'!$B:$B=$C281,'Student Groupings'!$H:$H=""Must be Together""),"""");iferror(filter('Student Groupings'!$A:$A,'Student Groupings'!$E:"&amp;"$E=$C281,'Student Groupings'!$H:$H=""Must be Together""),"""")})))"),"")</f>
        <v/>
      </c>
    </row>
    <row r="282">
      <c r="A282" s="167">
        <v>11.0</v>
      </c>
      <c r="B282" s="168">
        <v>27043.0</v>
      </c>
      <c r="C282" s="144" t="s">
        <v>434</v>
      </c>
      <c r="D282" s="180" t="s">
        <v>41</v>
      </c>
      <c r="E282" s="181">
        <v>2.0</v>
      </c>
      <c r="F282" s="167" t="s">
        <v>66</v>
      </c>
      <c r="G282" s="167">
        <v>5.0</v>
      </c>
      <c r="H282" s="182" t="s">
        <v>69</v>
      </c>
      <c r="I282" s="167">
        <v>1.0</v>
      </c>
      <c r="J282" s="187"/>
      <c r="K282" s="167"/>
      <c r="L282" s="184" t="s">
        <v>90</v>
      </c>
      <c r="M282" s="167">
        <v>8.0</v>
      </c>
      <c r="N282" s="184" t="s">
        <v>132</v>
      </c>
      <c r="O282" s="167">
        <v>7.0</v>
      </c>
      <c r="P282" s="184" t="s">
        <v>27</v>
      </c>
      <c r="Q282" s="167">
        <v>3.0</v>
      </c>
      <c r="R282" s="184" t="s">
        <v>101</v>
      </c>
      <c r="S282" s="167">
        <v>6.0</v>
      </c>
      <c r="T282" s="187"/>
      <c r="U282" s="167"/>
      <c r="V282" s="184" t="s">
        <v>109</v>
      </c>
      <c r="W282" s="167">
        <v>4.0</v>
      </c>
      <c r="X282" s="142">
        <v>1.0</v>
      </c>
      <c r="Y282" s="142">
        <v>1.0</v>
      </c>
      <c r="Z282" s="142">
        <v>1.0</v>
      </c>
      <c r="AA282" s="142">
        <v>1.0</v>
      </c>
      <c r="AB282" s="142">
        <v>1.0</v>
      </c>
      <c r="AC282" s="142">
        <v>1.0</v>
      </c>
      <c r="AD282" s="142">
        <v>1.0</v>
      </c>
      <c r="AE282" s="142">
        <v>1.0</v>
      </c>
      <c r="AF282" s="142">
        <v>8.0</v>
      </c>
      <c r="AG282" s="142">
        <v>0.0</v>
      </c>
      <c r="AH282" s="185" t="str">
        <f>IFERROR(__xludf.DUMMYFUNCTION("if($C282="""","""",if(join("" - "",{iferror(filter('Student Groupings'!$A:$A,'Student Groupings'!$B:$B=$C282,'Student Groupings'!$H:$H=""Can't be Together""),"""");iferror(filter('Student Groupings'!$A:$A,'Student Groupings'!$E:$E=$C282,'Student Groupings"&amp;"'!$H:$H=""Can't be Together""),"""")})="" - "","""",join("" - "",{iferror(filter('Student Groupings'!$A:$A,'Student Groupings'!$B:$B=$C282,'Student Groupings'!$H:$H=""Can't be Together""),"""");iferror(filter('Student Groupings'!$A:$A,'Student Groupings'!"&amp;"$E:$E=$C282,'Student Groupings'!$H:$H=""Can't be Together""),"""")})))"),"")</f>
        <v/>
      </c>
      <c r="AI282" s="185" t="str">
        <f>IFERROR(__xludf.DUMMYFUNCTION("if($C282="""","""",if(join("" - "",{iferror(filter('Student Groupings'!$A:$A,'Student Groupings'!$B:$B=$C282,'Student Groupings'!$H:$H=""Must be Together""),"""");iferror(filter('Student Groupings'!$A:$A,'Student Groupings'!$E:$E=$C282,'Student Groupings'"&amp;"!$H:$H=""Must be Together""),"""")})="" - "","""",join("" - "",{iferror(filter('Student Groupings'!$A:$A,'Student Groupings'!$B:$B=$C282,'Student Groupings'!$H:$H=""Must be Together""),"""");iferror(filter('Student Groupings'!$A:$A,'Student Groupings'!$E:"&amp;"$E=$C282,'Student Groupings'!$H:$H=""Must be Together""),"""")})))"),"")</f>
        <v/>
      </c>
    </row>
    <row r="283">
      <c r="A283" s="167">
        <v>11.0</v>
      </c>
      <c r="B283" s="168">
        <v>27050.0</v>
      </c>
      <c r="C283" s="144" t="s">
        <v>435</v>
      </c>
      <c r="D283" s="167" t="s">
        <v>43</v>
      </c>
      <c r="E283" s="181">
        <v>6.0</v>
      </c>
      <c r="F283" s="167" t="s">
        <v>66</v>
      </c>
      <c r="G283" s="167">
        <v>1.0</v>
      </c>
      <c r="H283" s="182" t="s">
        <v>79</v>
      </c>
      <c r="I283" s="167">
        <v>3.0</v>
      </c>
      <c r="J283" s="187"/>
      <c r="K283" s="167"/>
      <c r="L283" s="184" t="s">
        <v>90</v>
      </c>
      <c r="M283" s="167">
        <v>8.0</v>
      </c>
      <c r="N283" s="184" t="s">
        <v>132</v>
      </c>
      <c r="O283" s="167">
        <v>2.0</v>
      </c>
      <c r="P283" s="184" t="s">
        <v>24</v>
      </c>
      <c r="Q283" s="167">
        <v>4.0</v>
      </c>
      <c r="R283" s="184" t="s">
        <v>105</v>
      </c>
      <c r="S283" s="167">
        <v>7.0</v>
      </c>
      <c r="T283" s="187"/>
      <c r="U283" s="167"/>
      <c r="V283" s="184" t="s">
        <v>111</v>
      </c>
      <c r="W283" s="167">
        <v>5.0</v>
      </c>
      <c r="X283" s="142">
        <v>1.0</v>
      </c>
      <c r="Y283" s="142">
        <v>1.0</v>
      </c>
      <c r="Z283" s="142">
        <v>1.0</v>
      </c>
      <c r="AA283" s="142">
        <v>1.0</v>
      </c>
      <c r="AB283" s="142">
        <v>1.0</v>
      </c>
      <c r="AC283" s="142">
        <v>1.0</v>
      </c>
      <c r="AD283" s="142">
        <v>1.0</v>
      </c>
      <c r="AE283" s="142">
        <v>1.0</v>
      </c>
      <c r="AF283" s="142">
        <v>8.0</v>
      </c>
      <c r="AG283" s="142">
        <v>0.0</v>
      </c>
      <c r="AH283" s="185" t="str">
        <f>IFERROR(__xludf.DUMMYFUNCTION("if($C283="""","""",if(join("" - "",{iferror(filter('Student Groupings'!$A:$A,'Student Groupings'!$B:$B=$C283,'Student Groupings'!$H:$H=""Can't be Together""),"""");iferror(filter('Student Groupings'!$A:$A,'Student Groupings'!$E:$E=$C283,'Student Groupings"&amp;"'!$H:$H=""Can't be Together""),"""")})="" - "","""",join("" - "",{iferror(filter('Student Groupings'!$A:$A,'Student Groupings'!$B:$B=$C283,'Student Groupings'!$H:$H=""Can't be Together""),"""");iferror(filter('Student Groupings'!$A:$A,'Student Groupings'!"&amp;"$E:$E=$C283,'Student Groupings'!$H:$H=""Can't be Together""),"""")})))")," - 23")</f>
        <v> - 23</v>
      </c>
      <c r="AI283" s="185" t="str">
        <f>IFERROR(__xludf.DUMMYFUNCTION("if($C283="""","""",if(join("" - "",{iferror(filter('Student Groupings'!$A:$A,'Student Groupings'!$B:$B=$C283,'Student Groupings'!$H:$H=""Must be Together""),"""");iferror(filter('Student Groupings'!$A:$A,'Student Groupings'!$E:$E=$C283,'Student Groupings'"&amp;"!$H:$H=""Must be Together""),"""")})="" - "","""",join("" - "",{iferror(filter('Student Groupings'!$A:$A,'Student Groupings'!$B:$B=$C283,'Student Groupings'!$H:$H=""Must be Together""),"""");iferror(filter('Student Groupings'!$A:$A,'Student Groupings'!$E:"&amp;"$E=$C283,'Student Groupings'!$H:$H=""Must be Together""),"""")})))"),"")</f>
        <v/>
      </c>
    </row>
    <row r="284">
      <c r="A284" s="167">
        <v>11.0</v>
      </c>
      <c r="B284" s="168">
        <v>27038.0</v>
      </c>
      <c r="C284" s="144" t="s">
        <v>436</v>
      </c>
      <c r="D284" s="180" t="s">
        <v>43</v>
      </c>
      <c r="E284" s="181">
        <v>1.0</v>
      </c>
      <c r="F284" s="167" t="s">
        <v>66</v>
      </c>
      <c r="G284" s="167">
        <v>6.0</v>
      </c>
      <c r="H284" s="182" t="s">
        <v>79</v>
      </c>
      <c r="I284" s="180">
        <v>8.0</v>
      </c>
      <c r="J284" s="187"/>
      <c r="K284" s="167"/>
      <c r="L284" s="184" t="s">
        <v>90</v>
      </c>
      <c r="M284" s="167">
        <v>5.0</v>
      </c>
      <c r="N284" s="184" t="s">
        <v>132</v>
      </c>
      <c r="O284" s="167">
        <v>3.0</v>
      </c>
      <c r="P284" s="184" t="s">
        <v>24</v>
      </c>
      <c r="Q284" s="167">
        <v>7.0</v>
      </c>
      <c r="R284" s="184" t="s">
        <v>107</v>
      </c>
      <c r="S284" s="167">
        <v>2.0</v>
      </c>
      <c r="T284" s="187"/>
      <c r="U284" s="167"/>
      <c r="V284" s="184" t="s">
        <v>86</v>
      </c>
      <c r="W284" s="167">
        <v>4.0</v>
      </c>
      <c r="X284" s="142">
        <v>1.0</v>
      </c>
      <c r="Y284" s="142">
        <v>1.0</v>
      </c>
      <c r="Z284" s="142">
        <v>1.0</v>
      </c>
      <c r="AA284" s="142">
        <v>1.0</v>
      </c>
      <c r="AB284" s="142">
        <v>1.0</v>
      </c>
      <c r="AC284" s="142">
        <v>1.0</v>
      </c>
      <c r="AD284" s="142">
        <v>1.0</v>
      </c>
      <c r="AE284" s="142">
        <v>1.0</v>
      </c>
      <c r="AF284" s="142">
        <v>8.0</v>
      </c>
      <c r="AG284" s="142">
        <v>0.0</v>
      </c>
      <c r="AH284" s="185" t="str">
        <f>IFERROR(__xludf.DUMMYFUNCTION("if($C284="""","""",if(join("" - "",{iferror(filter('Student Groupings'!$A:$A,'Student Groupings'!$B:$B=$C284,'Student Groupings'!$H:$H=""Can't be Together""),"""");iferror(filter('Student Groupings'!$A:$A,'Student Groupings'!$E:$E=$C284,'Student Groupings"&amp;"'!$H:$H=""Can't be Together""),"""")})="" - "","""",join("" - "",{iferror(filter('Student Groupings'!$A:$A,'Student Groupings'!$B:$B=$C284,'Student Groupings'!$H:$H=""Can't be Together""),"""");iferror(filter('Student Groupings'!$A:$A,'Student Groupings'!"&amp;"$E:$E=$C284,'Student Groupings'!$H:$H=""Can't be Together""),"""")})))")," - 25")</f>
        <v> - 25</v>
      </c>
      <c r="AI284" s="185" t="str">
        <f>IFERROR(__xludf.DUMMYFUNCTION("if($C284="""","""",if(join("" - "",{iferror(filter('Student Groupings'!$A:$A,'Student Groupings'!$B:$B=$C284,'Student Groupings'!$H:$H=""Must be Together""),"""");iferror(filter('Student Groupings'!$A:$A,'Student Groupings'!$E:$E=$C284,'Student Groupings'"&amp;"!$H:$H=""Must be Together""),"""")})="" - "","""",join("" - "",{iferror(filter('Student Groupings'!$A:$A,'Student Groupings'!$B:$B=$C284,'Student Groupings'!$H:$H=""Must be Together""),"""");iferror(filter('Student Groupings'!$A:$A,'Student Groupings'!$E:"&amp;"$E=$C284,'Student Groupings'!$H:$H=""Must be Together""),"""")})))"),"")</f>
        <v/>
      </c>
    </row>
    <row r="285">
      <c r="A285" s="167">
        <v>11.0</v>
      </c>
      <c r="B285" s="168">
        <v>27078.0</v>
      </c>
      <c r="C285" s="144" t="s">
        <v>437</v>
      </c>
      <c r="D285" s="180" t="s">
        <v>41</v>
      </c>
      <c r="E285" s="181">
        <v>3.0</v>
      </c>
      <c r="F285" s="167" t="s">
        <v>66</v>
      </c>
      <c r="G285" s="167">
        <v>5.0</v>
      </c>
      <c r="H285" s="182" t="s">
        <v>79</v>
      </c>
      <c r="I285" s="167">
        <v>6.0</v>
      </c>
      <c r="J285" s="187"/>
      <c r="K285" s="167"/>
      <c r="L285" s="184" t="s">
        <v>90</v>
      </c>
      <c r="M285" s="167">
        <v>1.0</v>
      </c>
      <c r="N285" s="184" t="s">
        <v>132</v>
      </c>
      <c r="O285" s="167">
        <v>7.0</v>
      </c>
      <c r="P285" s="184" t="s">
        <v>23</v>
      </c>
      <c r="Q285" s="167">
        <v>2.0</v>
      </c>
      <c r="R285" s="184" t="s">
        <v>111</v>
      </c>
      <c r="S285" s="167">
        <v>4.0</v>
      </c>
      <c r="T285" s="183"/>
      <c r="U285" s="167"/>
      <c r="V285" s="184" t="s">
        <v>105</v>
      </c>
      <c r="W285" s="167">
        <v>8.0</v>
      </c>
      <c r="X285" s="142">
        <v>1.0</v>
      </c>
      <c r="Y285" s="142">
        <v>1.0</v>
      </c>
      <c r="Z285" s="142">
        <v>1.0</v>
      </c>
      <c r="AA285" s="142">
        <v>1.0</v>
      </c>
      <c r="AB285" s="142">
        <v>1.0</v>
      </c>
      <c r="AC285" s="142">
        <v>1.0</v>
      </c>
      <c r="AD285" s="142">
        <v>1.0</v>
      </c>
      <c r="AE285" s="142">
        <v>1.0</v>
      </c>
      <c r="AF285" s="142">
        <v>8.0</v>
      </c>
      <c r="AG285" s="142">
        <v>0.0</v>
      </c>
      <c r="AH285" s="185" t="str">
        <f>IFERROR(__xludf.DUMMYFUNCTION("if($C285="""","""",if(join("" - "",{iferror(filter('Student Groupings'!$A:$A,'Student Groupings'!$B:$B=$C285,'Student Groupings'!$H:$H=""Can't be Together""),"""");iferror(filter('Student Groupings'!$A:$A,'Student Groupings'!$E:$E=$C285,'Student Groupings"&amp;"'!$H:$H=""Can't be Together""),"""")})="" - "","""",join("" - "",{iferror(filter('Student Groupings'!$A:$A,'Student Groupings'!$B:$B=$C285,'Student Groupings'!$H:$H=""Can't be Together""),"""");iferror(filter('Student Groupings'!$A:$A,'Student Groupings'!"&amp;"$E:$E=$C285,'Student Groupings'!$H:$H=""Can't be Together""),"""")})))")," - 108")</f>
        <v> - 108</v>
      </c>
      <c r="AI285" s="185" t="str">
        <f>IFERROR(__xludf.DUMMYFUNCTION("if($C285="""","""",if(join("" - "",{iferror(filter('Student Groupings'!$A:$A,'Student Groupings'!$B:$B=$C285,'Student Groupings'!$H:$H=""Must be Together""),"""");iferror(filter('Student Groupings'!$A:$A,'Student Groupings'!$E:$E=$C285,'Student Groupings'"&amp;"!$H:$H=""Must be Together""),"""")})="" - "","""",join("" - "",{iferror(filter('Student Groupings'!$A:$A,'Student Groupings'!$B:$B=$C285,'Student Groupings'!$H:$H=""Must be Together""),"""");iferror(filter('Student Groupings'!$A:$A,'Student Groupings'!$E:"&amp;"$E=$C285,'Student Groupings'!$H:$H=""Must be Together""),"""")})))"),"")</f>
        <v/>
      </c>
    </row>
    <row r="286">
      <c r="A286" s="167">
        <v>11.0</v>
      </c>
      <c r="B286" s="168">
        <v>26023.0</v>
      </c>
      <c r="C286" s="144" t="s">
        <v>438</v>
      </c>
      <c r="D286" s="180" t="s">
        <v>45</v>
      </c>
      <c r="E286" s="181">
        <v>1.0</v>
      </c>
      <c r="F286" s="167" t="s">
        <v>66</v>
      </c>
      <c r="G286" s="167">
        <v>4.0</v>
      </c>
      <c r="H286" s="182" t="s">
        <v>79</v>
      </c>
      <c r="I286" s="167">
        <v>3.0</v>
      </c>
      <c r="J286" s="187"/>
      <c r="K286" s="167"/>
      <c r="L286" s="184" t="s">
        <v>90</v>
      </c>
      <c r="M286" s="167">
        <v>8.0</v>
      </c>
      <c r="N286" s="184" t="s">
        <v>132</v>
      </c>
      <c r="O286" s="167">
        <v>2.0</v>
      </c>
      <c r="P286" s="184" t="s">
        <v>34</v>
      </c>
      <c r="Q286" s="167">
        <v>7.0</v>
      </c>
      <c r="R286" s="184" t="s">
        <v>101</v>
      </c>
      <c r="S286" s="167">
        <v>6.0</v>
      </c>
      <c r="T286" s="187"/>
      <c r="U286" s="167"/>
      <c r="V286" s="182" t="s">
        <v>115</v>
      </c>
      <c r="W286" s="167">
        <v>5.0</v>
      </c>
      <c r="X286" s="142">
        <v>1.0</v>
      </c>
      <c r="Y286" s="142">
        <v>1.0</v>
      </c>
      <c r="Z286" s="142">
        <v>1.0</v>
      </c>
      <c r="AA286" s="142">
        <v>1.0</v>
      </c>
      <c r="AB286" s="142">
        <v>1.0</v>
      </c>
      <c r="AC286" s="142">
        <v>1.0</v>
      </c>
      <c r="AD286" s="142">
        <v>1.0</v>
      </c>
      <c r="AE286" s="142">
        <v>1.0</v>
      </c>
      <c r="AF286" s="142">
        <v>8.0</v>
      </c>
      <c r="AG286" s="142">
        <v>0.0</v>
      </c>
      <c r="AH286" s="185" t="str">
        <f>IFERROR(__xludf.DUMMYFUNCTION("if($C286="""","""",if(join("" - "",{iferror(filter('Student Groupings'!$A:$A,'Student Groupings'!$B:$B=$C286,'Student Groupings'!$H:$H=""Can't be Together""),"""");iferror(filter('Student Groupings'!$A:$A,'Student Groupings'!$E:$E=$C286,'Student Groupings"&amp;"'!$H:$H=""Can't be Together""),"""")})="" - "","""",join("" - "",{iferror(filter('Student Groupings'!$A:$A,'Student Groupings'!$B:$B=$C286,'Student Groupings'!$H:$H=""Can't be Together""),"""");iferror(filter('Student Groupings'!$A:$A,'Student Groupings'!"&amp;"$E:$E=$C286,'Student Groupings'!$H:$H=""Can't be Together""),"""")})))"),"")</f>
        <v/>
      </c>
      <c r="AI286" s="185" t="str">
        <f>IFERROR(__xludf.DUMMYFUNCTION("if($C286="""","""",if(join("" - "",{iferror(filter('Student Groupings'!$A:$A,'Student Groupings'!$B:$B=$C286,'Student Groupings'!$H:$H=""Must be Together""),"""");iferror(filter('Student Groupings'!$A:$A,'Student Groupings'!$E:$E=$C286,'Student Groupings'"&amp;"!$H:$H=""Must be Together""),"""")})="" - "","""",join("" - "",{iferror(filter('Student Groupings'!$A:$A,'Student Groupings'!$B:$B=$C286,'Student Groupings'!$H:$H=""Must be Together""),"""");iferror(filter('Student Groupings'!$A:$A,'Student Groupings'!$E:"&amp;"$E=$C286,'Student Groupings'!$H:$H=""Must be Together""),"""")})))"),"")</f>
        <v/>
      </c>
    </row>
    <row r="287">
      <c r="A287" s="167">
        <v>11.0</v>
      </c>
      <c r="B287" s="168">
        <v>27012.0</v>
      </c>
      <c r="C287" s="144" t="s">
        <v>439</v>
      </c>
      <c r="D287" s="180" t="s">
        <v>45</v>
      </c>
      <c r="E287" s="181">
        <v>8.0</v>
      </c>
      <c r="F287" s="167" t="s">
        <v>66</v>
      </c>
      <c r="G287" s="167">
        <v>4.0</v>
      </c>
      <c r="H287" s="182" t="s">
        <v>79</v>
      </c>
      <c r="I287" s="186">
        <v>5.0</v>
      </c>
      <c r="J287" s="187"/>
      <c r="K287" s="167"/>
      <c r="L287" s="184" t="s">
        <v>90</v>
      </c>
      <c r="M287" s="167">
        <v>2.0</v>
      </c>
      <c r="N287" s="184" t="s">
        <v>132</v>
      </c>
      <c r="O287" s="167">
        <v>7.0</v>
      </c>
      <c r="P287" s="184" t="s">
        <v>34</v>
      </c>
      <c r="Q287" s="167">
        <v>1.0</v>
      </c>
      <c r="R287" s="184" t="s">
        <v>101</v>
      </c>
      <c r="S287" s="167">
        <v>6.0</v>
      </c>
      <c r="T287" s="187"/>
      <c r="U287" s="167"/>
      <c r="V287" s="182" t="s">
        <v>115</v>
      </c>
      <c r="W287" s="167">
        <v>3.0</v>
      </c>
      <c r="X287" s="142">
        <v>1.0</v>
      </c>
      <c r="Y287" s="142">
        <v>1.0</v>
      </c>
      <c r="Z287" s="142">
        <v>1.0</v>
      </c>
      <c r="AA287" s="142">
        <v>1.0</v>
      </c>
      <c r="AB287" s="142">
        <v>1.0</v>
      </c>
      <c r="AC287" s="142">
        <v>1.0</v>
      </c>
      <c r="AD287" s="142">
        <v>1.0</v>
      </c>
      <c r="AE287" s="142">
        <v>1.0</v>
      </c>
      <c r="AF287" s="142">
        <v>8.0</v>
      </c>
      <c r="AG287" s="142">
        <v>0.0</v>
      </c>
      <c r="AH287" s="185" t="str">
        <f>IFERROR(__xludf.DUMMYFUNCTION("if($C287="""","""",if(join("" - "",{iferror(filter('Student Groupings'!$A:$A,'Student Groupings'!$B:$B=$C287,'Student Groupings'!$H:$H=""Can't be Together""),"""");iferror(filter('Student Groupings'!$A:$A,'Student Groupings'!$E:$E=$C287,'Student Groupings"&amp;"'!$H:$H=""Can't be Together""),"""")})="" - "","""",join("" - "",{iferror(filter('Student Groupings'!$A:$A,'Student Groupings'!$B:$B=$C287,'Student Groupings'!$H:$H=""Can't be Together""),"""");iferror(filter('Student Groupings'!$A:$A,'Student Groupings'!"&amp;"$E:$E=$C287,'Student Groupings'!$H:$H=""Can't be Together""),"""")})))"),"")</f>
        <v/>
      </c>
      <c r="AI287" s="185" t="str">
        <f>IFERROR(__xludf.DUMMYFUNCTION("if($C287="""","""",if(join("" - "",{iferror(filter('Student Groupings'!$A:$A,'Student Groupings'!$B:$B=$C287,'Student Groupings'!$H:$H=""Must be Together""),"""");iferror(filter('Student Groupings'!$A:$A,'Student Groupings'!$E:$E=$C287,'Student Groupings'"&amp;"!$H:$H=""Must be Together""),"""")})="" - "","""",join("" - "",{iferror(filter('Student Groupings'!$A:$A,'Student Groupings'!$B:$B=$C287,'Student Groupings'!$H:$H=""Must be Together""),"""");iferror(filter('Student Groupings'!$A:$A,'Student Groupings'!$E:"&amp;"$E=$C287,'Student Groupings'!$H:$H=""Must be Together""),"""")})))"),"")</f>
        <v/>
      </c>
    </row>
    <row r="288">
      <c r="A288" s="167">
        <v>11.0</v>
      </c>
      <c r="B288" s="168">
        <v>28120.0</v>
      </c>
      <c r="C288" s="144" t="s">
        <v>440</v>
      </c>
      <c r="D288" s="180" t="s">
        <v>43</v>
      </c>
      <c r="E288" s="181">
        <v>6.0</v>
      </c>
      <c r="F288" s="167" t="s">
        <v>66</v>
      </c>
      <c r="G288" s="167">
        <v>1.0</v>
      </c>
      <c r="H288" s="182" t="s">
        <v>79</v>
      </c>
      <c r="I288" s="180">
        <v>8.0</v>
      </c>
      <c r="J288" s="187"/>
      <c r="K288" s="167"/>
      <c r="L288" s="184" t="s">
        <v>90</v>
      </c>
      <c r="M288" s="167">
        <v>2.0</v>
      </c>
      <c r="N288" s="184" t="s">
        <v>132</v>
      </c>
      <c r="O288" s="167">
        <v>7.0</v>
      </c>
      <c r="P288" s="184" t="s">
        <v>30</v>
      </c>
      <c r="Q288" s="167">
        <v>4.0</v>
      </c>
      <c r="R288" s="184" t="s">
        <v>101</v>
      </c>
      <c r="S288" s="167">
        <v>5.0</v>
      </c>
      <c r="T288" s="187"/>
      <c r="U288" s="167"/>
      <c r="V288" s="182" t="s">
        <v>115</v>
      </c>
      <c r="W288" s="167">
        <v>3.0</v>
      </c>
      <c r="X288" s="142">
        <v>1.0</v>
      </c>
      <c r="Y288" s="142">
        <v>1.0</v>
      </c>
      <c r="Z288" s="142">
        <v>1.0</v>
      </c>
      <c r="AA288" s="142">
        <v>1.0</v>
      </c>
      <c r="AB288" s="142">
        <v>1.0</v>
      </c>
      <c r="AC288" s="142">
        <v>1.0</v>
      </c>
      <c r="AD288" s="142">
        <v>1.0</v>
      </c>
      <c r="AE288" s="142">
        <v>1.0</v>
      </c>
      <c r="AF288" s="142">
        <v>8.0</v>
      </c>
      <c r="AG288" s="142">
        <v>0.0</v>
      </c>
      <c r="AH288" s="185" t="str">
        <f>IFERROR(__xludf.DUMMYFUNCTION("if($C288="""","""",if(join("" - "",{iferror(filter('Student Groupings'!$A:$A,'Student Groupings'!$B:$B=$C288,'Student Groupings'!$H:$H=""Can't be Together""),"""");iferror(filter('Student Groupings'!$A:$A,'Student Groupings'!$E:$E=$C288,'Student Groupings"&amp;"'!$H:$H=""Can't be Together""),"""")})="" - "","""",join("" - "",{iferror(filter('Student Groupings'!$A:$A,'Student Groupings'!$B:$B=$C288,'Student Groupings'!$H:$H=""Can't be Together""),"""");iferror(filter('Student Groupings'!$A:$A,'Student Groupings'!"&amp;"$E:$E=$C288,'Student Groupings'!$H:$H=""Can't be Together""),"""")})))"),"")</f>
        <v/>
      </c>
      <c r="AI288" s="185" t="str">
        <f>IFERROR(__xludf.DUMMYFUNCTION("if($C288="""","""",if(join("" - "",{iferror(filter('Student Groupings'!$A:$A,'Student Groupings'!$B:$B=$C288,'Student Groupings'!$H:$H=""Must be Together""),"""");iferror(filter('Student Groupings'!$A:$A,'Student Groupings'!$E:$E=$C288,'Student Groupings'"&amp;"!$H:$H=""Must be Together""),"""")})="" - "","""",join("" - "",{iferror(filter('Student Groupings'!$A:$A,'Student Groupings'!$B:$B=$C288,'Student Groupings'!$H:$H=""Must be Together""),"""");iferror(filter('Student Groupings'!$A:$A,'Student Groupings'!$E:"&amp;"$E=$C288,'Student Groupings'!$H:$H=""Must be Together""),"""")})))"),"")</f>
        <v/>
      </c>
    </row>
    <row r="289">
      <c r="A289" s="167">
        <v>11.0</v>
      </c>
      <c r="B289" s="168">
        <v>27089.0</v>
      </c>
      <c r="C289" s="144" t="s">
        <v>441</v>
      </c>
      <c r="D289" s="180" t="s">
        <v>49</v>
      </c>
      <c r="E289" s="181">
        <v>7.0</v>
      </c>
      <c r="F289" s="167" t="s">
        <v>66</v>
      </c>
      <c r="G289" s="167">
        <v>4.0</v>
      </c>
      <c r="H289" s="182" t="s">
        <v>81</v>
      </c>
      <c r="I289" s="186">
        <v>2.0</v>
      </c>
      <c r="J289" s="187"/>
      <c r="K289" s="167"/>
      <c r="L289" s="184" t="s">
        <v>90</v>
      </c>
      <c r="M289" s="167">
        <v>5.0</v>
      </c>
      <c r="N289" s="184" t="s">
        <v>132</v>
      </c>
      <c r="O289" s="167">
        <v>6.0</v>
      </c>
      <c r="P289" s="184" t="s">
        <v>34</v>
      </c>
      <c r="Q289" s="167">
        <v>1.0</v>
      </c>
      <c r="R289" s="184" t="s">
        <v>105</v>
      </c>
      <c r="S289" s="167">
        <v>8.0</v>
      </c>
      <c r="T289" s="187"/>
      <c r="U289" s="167"/>
      <c r="V289" s="182" t="s">
        <v>115</v>
      </c>
      <c r="W289" s="167">
        <v>3.0</v>
      </c>
      <c r="X289" s="142">
        <v>1.0</v>
      </c>
      <c r="Y289" s="142">
        <v>1.0</v>
      </c>
      <c r="Z289" s="142">
        <v>1.0</v>
      </c>
      <c r="AA289" s="142">
        <v>1.0</v>
      </c>
      <c r="AB289" s="142">
        <v>1.0</v>
      </c>
      <c r="AC289" s="142">
        <v>1.0</v>
      </c>
      <c r="AD289" s="142">
        <v>1.0</v>
      </c>
      <c r="AE289" s="142">
        <v>1.0</v>
      </c>
      <c r="AF289" s="142">
        <v>8.0</v>
      </c>
      <c r="AG289" s="142">
        <v>0.0</v>
      </c>
      <c r="AH289" s="185" t="str">
        <f>IFERROR(__xludf.DUMMYFUNCTION("if($C289="""","""",if(join("" - "",{iferror(filter('Student Groupings'!$A:$A,'Student Groupings'!$B:$B=$C289,'Student Groupings'!$H:$H=""Can't be Together""),"""");iferror(filter('Student Groupings'!$A:$A,'Student Groupings'!$E:$E=$C289,'Student Groupings"&amp;"'!$H:$H=""Can't be Together""),"""")})="" - "","""",join("" - "",{iferror(filter('Student Groupings'!$A:$A,'Student Groupings'!$B:$B=$C289,'Student Groupings'!$H:$H=""Can't be Together""),"""");iferror(filter('Student Groupings'!$A:$A,'Student Groupings'!"&amp;"$E:$E=$C289,'Student Groupings'!$H:$H=""Can't be Together""),"""")})))"),"")</f>
        <v/>
      </c>
      <c r="AI289" s="185" t="str">
        <f>IFERROR(__xludf.DUMMYFUNCTION("if($C289="""","""",if(join("" - "",{iferror(filter('Student Groupings'!$A:$A,'Student Groupings'!$B:$B=$C289,'Student Groupings'!$H:$H=""Must be Together""),"""");iferror(filter('Student Groupings'!$A:$A,'Student Groupings'!$E:$E=$C289,'Student Groupings'"&amp;"!$H:$H=""Must be Together""),"""")})="" - "","""",join("" - "",{iferror(filter('Student Groupings'!$A:$A,'Student Groupings'!$B:$B=$C289,'Student Groupings'!$H:$H=""Must be Together""),"""");iferror(filter('Student Groupings'!$A:$A,'Student Groupings'!$E:"&amp;"$E=$C289,'Student Groupings'!$H:$H=""Must be Together""),"""")})))"),"")</f>
        <v/>
      </c>
    </row>
    <row r="290">
      <c r="A290" s="167">
        <v>11.0</v>
      </c>
      <c r="B290" s="168">
        <v>27142.0</v>
      </c>
      <c r="C290" s="144" t="s">
        <v>442</v>
      </c>
      <c r="D290" s="180" t="s">
        <v>49</v>
      </c>
      <c r="E290" s="181">
        <v>7.0</v>
      </c>
      <c r="F290" s="167" t="s">
        <v>66</v>
      </c>
      <c r="G290" s="167">
        <v>6.0</v>
      </c>
      <c r="H290" s="182" t="s">
        <v>69</v>
      </c>
      <c r="I290" s="167">
        <v>1.0</v>
      </c>
      <c r="J290" s="187"/>
      <c r="K290" s="167"/>
      <c r="L290" s="184" t="s">
        <v>90</v>
      </c>
      <c r="M290" s="167">
        <v>8.0</v>
      </c>
      <c r="N290" s="184" t="s">
        <v>132</v>
      </c>
      <c r="O290" s="167">
        <v>3.0</v>
      </c>
      <c r="P290" s="184" t="s">
        <v>30</v>
      </c>
      <c r="Q290" s="167">
        <v>5.0</v>
      </c>
      <c r="R290" s="184" t="s">
        <v>111</v>
      </c>
      <c r="S290" s="167">
        <v>4.0</v>
      </c>
      <c r="T290" s="187"/>
      <c r="U290" s="167"/>
      <c r="V290" s="184" t="s">
        <v>103</v>
      </c>
      <c r="W290" s="167">
        <v>2.0</v>
      </c>
      <c r="X290" s="142">
        <v>1.0</v>
      </c>
      <c r="Y290" s="142">
        <v>1.0</v>
      </c>
      <c r="Z290" s="142">
        <v>1.0</v>
      </c>
      <c r="AA290" s="142">
        <v>1.0</v>
      </c>
      <c r="AB290" s="142">
        <v>1.0</v>
      </c>
      <c r="AC290" s="142">
        <v>1.0</v>
      </c>
      <c r="AD290" s="142">
        <v>1.0</v>
      </c>
      <c r="AE290" s="142">
        <v>1.0</v>
      </c>
      <c r="AF290" s="142">
        <v>8.0</v>
      </c>
      <c r="AG290" s="142">
        <v>0.0</v>
      </c>
      <c r="AH290" s="185" t="str">
        <f>IFERROR(__xludf.DUMMYFUNCTION("if($C290="""","""",if(join("" - "",{iferror(filter('Student Groupings'!$A:$A,'Student Groupings'!$B:$B=$C290,'Student Groupings'!$H:$H=""Can't be Together""),"""");iferror(filter('Student Groupings'!$A:$A,'Student Groupings'!$E:$E=$C290,'Student Groupings"&amp;"'!$H:$H=""Can't be Together""),"""")})="" - "","""",join("" - "",{iferror(filter('Student Groupings'!$A:$A,'Student Groupings'!$B:$B=$C290,'Student Groupings'!$H:$H=""Can't be Together""),"""");iferror(filter('Student Groupings'!$A:$A,'Student Groupings'!"&amp;"$E:$E=$C290,'Student Groupings'!$H:$H=""Can't be Together""),"""")})))"),"")</f>
        <v/>
      </c>
      <c r="AI290" s="185" t="str">
        <f>IFERROR(__xludf.DUMMYFUNCTION("if($C290="""","""",if(join("" - "",{iferror(filter('Student Groupings'!$A:$A,'Student Groupings'!$B:$B=$C290,'Student Groupings'!$H:$H=""Must be Together""),"""");iferror(filter('Student Groupings'!$A:$A,'Student Groupings'!$E:$E=$C290,'Student Groupings'"&amp;"!$H:$H=""Must be Together""),"""")})="" - "","""",join("" - "",{iferror(filter('Student Groupings'!$A:$A,'Student Groupings'!$B:$B=$C290,'Student Groupings'!$H:$H=""Must be Together""),"""");iferror(filter('Student Groupings'!$A:$A,'Student Groupings'!$E:"&amp;"$E=$C290,'Student Groupings'!$H:$H=""Must be Together""),"""")})))"),"")</f>
        <v/>
      </c>
    </row>
    <row r="291">
      <c r="A291" s="167">
        <v>11.0</v>
      </c>
      <c r="B291" s="168">
        <v>27044.0</v>
      </c>
      <c r="C291" s="144" t="s">
        <v>443</v>
      </c>
      <c r="D291" s="180" t="s">
        <v>43</v>
      </c>
      <c r="E291" s="181">
        <v>6.0</v>
      </c>
      <c r="F291" s="167" t="s">
        <v>66</v>
      </c>
      <c r="G291" s="167">
        <v>3.0</v>
      </c>
      <c r="H291" s="182" t="s">
        <v>74</v>
      </c>
      <c r="I291" s="167">
        <v>7.0</v>
      </c>
      <c r="J291" s="187"/>
      <c r="K291" s="167"/>
      <c r="L291" s="184" t="s">
        <v>92</v>
      </c>
      <c r="M291" s="167">
        <v>1.0</v>
      </c>
      <c r="N291" s="184" t="s">
        <v>132</v>
      </c>
      <c r="O291" s="167">
        <v>2.0</v>
      </c>
      <c r="P291" s="184" t="s">
        <v>27</v>
      </c>
      <c r="Q291" s="167">
        <v>8.0</v>
      </c>
      <c r="R291" s="184" t="s">
        <v>105</v>
      </c>
      <c r="S291" s="167">
        <v>4.0</v>
      </c>
      <c r="T291" s="183"/>
      <c r="U291" s="167"/>
      <c r="V291" s="184" t="s">
        <v>96</v>
      </c>
      <c r="W291" s="167">
        <v>5.0</v>
      </c>
      <c r="X291" s="142">
        <v>1.0</v>
      </c>
      <c r="Y291" s="142">
        <v>1.0</v>
      </c>
      <c r="Z291" s="142">
        <v>1.0</v>
      </c>
      <c r="AA291" s="142">
        <v>1.0</v>
      </c>
      <c r="AB291" s="142">
        <v>1.0</v>
      </c>
      <c r="AC291" s="142">
        <v>1.0</v>
      </c>
      <c r="AD291" s="142">
        <v>1.0</v>
      </c>
      <c r="AE291" s="142">
        <v>1.0</v>
      </c>
      <c r="AF291" s="142">
        <v>8.0</v>
      </c>
      <c r="AG291" s="142">
        <v>0.0</v>
      </c>
      <c r="AH291" s="185" t="str">
        <f>IFERROR(__xludf.DUMMYFUNCTION("if($C291="""","""",if(join("" - "",{iferror(filter('Student Groupings'!$A:$A,'Student Groupings'!$B:$B=$C291,'Student Groupings'!$H:$H=""Can't be Together""),"""");iferror(filter('Student Groupings'!$A:$A,'Student Groupings'!$E:$E=$C291,'Student Groupings"&amp;"'!$H:$H=""Can't be Together""),"""")})="" - "","""",join("" - "",{iferror(filter('Student Groupings'!$A:$A,'Student Groupings'!$B:$B=$C291,'Student Groupings'!$H:$H=""Can't be Together""),"""");iferror(filter('Student Groupings'!$A:$A,'Student Groupings'!"&amp;"$E:$E=$C291,'Student Groupings'!$H:$H=""Can't be Together""),"""")})))"),"")</f>
        <v/>
      </c>
      <c r="AI291" s="185" t="str">
        <f>IFERROR(__xludf.DUMMYFUNCTION("if($C291="""","""",if(join("" - "",{iferror(filter('Student Groupings'!$A:$A,'Student Groupings'!$B:$B=$C291,'Student Groupings'!$H:$H=""Must be Together""),"""");iferror(filter('Student Groupings'!$A:$A,'Student Groupings'!$E:$E=$C291,'Student Groupings'"&amp;"!$H:$H=""Must be Together""),"""")})="" - "","""",join("" - "",{iferror(filter('Student Groupings'!$A:$A,'Student Groupings'!$B:$B=$C291,'Student Groupings'!$H:$H=""Must be Together""),"""");iferror(filter('Student Groupings'!$A:$A,'Student Groupings'!$E:"&amp;"$E=$C291,'Student Groupings'!$H:$H=""Must be Together""),"""")})))"),"")</f>
        <v/>
      </c>
    </row>
    <row r="292">
      <c r="A292" s="167">
        <v>11.0</v>
      </c>
      <c r="B292" s="168">
        <v>27029.0</v>
      </c>
      <c r="C292" s="144" t="s">
        <v>444</v>
      </c>
      <c r="D292" s="180" t="s">
        <v>41</v>
      </c>
      <c r="E292" s="181">
        <v>3.0</v>
      </c>
      <c r="F292" s="167" t="s">
        <v>66</v>
      </c>
      <c r="G292" s="167">
        <v>1.0</v>
      </c>
      <c r="H292" s="182" t="s">
        <v>70</v>
      </c>
      <c r="I292" s="167">
        <v>2.0</v>
      </c>
      <c r="J292" s="183"/>
      <c r="K292" s="167"/>
      <c r="L292" s="184" t="s">
        <v>90</v>
      </c>
      <c r="M292" s="167">
        <v>8.0</v>
      </c>
      <c r="N292" s="184" t="s">
        <v>132</v>
      </c>
      <c r="O292" s="167">
        <v>6.0</v>
      </c>
      <c r="P292" s="184" t="s">
        <v>34</v>
      </c>
      <c r="Q292" s="167">
        <v>7.0</v>
      </c>
      <c r="R292" s="184" t="s">
        <v>105</v>
      </c>
      <c r="S292" s="167">
        <v>4.0</v>
      </c>
      <c r="T292" s="187"/>
      <c r="U292" s="167"/>
      <c r="V292" s="182" t="s">
        <v>115</v>
      </c>
      <c r="W292" s="167">
        <v>5.0</v>
      </c>
      <c r="X292" s="142">
        <v>1.0</v>
      </c>
      <c r="Y292" s="142">
        <v>1.0</v>
      </c>
      <c r="Z292" s="142">
        <v>1.0</v>
      </c>
      <c r="AA292" s="142">
        <v>1.0</v>
      </c>
      <c r="AB292" s="142">
        <v>1.0</v>
      </c>
      <c r="AC292" s="142">
        <v>1.0</v>
      </c>
      <c r="AD292" s="142">
        <v>1.0</v>
      </c>
      <c r="AE292" s="142">
        <v>1.0</v>
      </c>
      <c r="AF292" s="142">
        <v>8.0</v>
      </c>
      <c r="AG292" s="142">
        <v>0.0</v>
      </c>
      <c r="AH292" s="185" t="str">
        <f>IFERROR(__xludf.DUMMYFUNCTION("if($C292="""","""",if(join("" - "",{iferror(filter('Student Groupings'!$A:$A,'Student Groupings'!$B:$B=$C292,'Student Groupings'!$H:$H=""Can't be Together""),"""");iferror(filter('Student Groupings'!$A:$A,'Student Groupings'!$E:$E=$C292,'Student Groupings"&amp;"'!$H:$H=""Can't be Together""),"""")})="" - "","""",join("" - "",{iferror(filter('Student Groupings'!$A:$A,'Student Groupings'!$B:$B=$C292,'Student Groupings'!$H:$H=""Can't be Together""),"""");iferror(filter('Student Groupings'!$A:$A,'Student Groupings'!"&amp;"$E:$E=$C292,'Student Groupings'!$H:$H=""Can't be Together""),"""")})))"),"")</f>
        <v/>
      </c>
      <c r="AI292" s="185" t="str">
        <f>IFERROR(__xludf.DUMMYFUNCTION("if($C292="""","""",if(join("" - "",{iferror(filter('Student Groupings'!$A:$A,'Student Groupings'!$B:$B=$C292,'Student Groupings'!$H:$H=""Must be Together""),"""");iferror(filter('Student Groupings'!$A:$A,'Student Groupings'!$E:$E=$C292,'Student Groupings'"&amp;"!$H:$H=""Must be Together""),"""")})="" - "","""",join("" - "",{iferror(filter('Student Groupings'!$A:$A,'Student Groupings'!$B:$B=$C292,'Student Groupings'!$H:$H=""Must be Together""),"""");iferror(filter('Student Groupings'!$A:$A,'Student Groupings'!$E:"&amp;"$E=$C292,'Student Groupings'!$H:$H=""Must be Together""),"""")})))"),"")</f>
        <v/>
      </c>
    </row>
    <row r="293">
      <c r="A293" s="167">
        <v>11.0</v>
      </c>
      <c r="B293" s="168">
        <v>27036.0</v>
      </c>
      <c r="C293" s="144" t="s">
        <v>445</v>
      </c>
      <c r="D293" s="180" t="s">
        <v>41</v>
      </c>
      <c r="E293" s="181">
        <v>3.0</v>
      </c>
      <c r="F293" s="167" t="s">
        <v>66</v>
      </c>
      <c r="G293" s="167">
        <v>1.0</v>
      </c>
      <c r="H293" s="182" t="s">
        <v>81</v>
      </c>
      <c r="I293" s="167">
        <v>2.0</v>
      </c>
      <c r="J293" s="183"/>
      <c r="K293" s="167"/>
      <c r="L293" s="184" t="s">
        <v>90</v>
      </c>
      <c r="M293" s="167">
        <v>5.0</v>
      </c>
      <c r="N293" s="184" t="s">
        <v>132</v>
      </c>
      <c r="O293" s="167">
        <v>6.0</v>
      </c>
      <c r="P293" s="184" t="s">
        <v>24</v>
      </c>
      <c r="Q293" s="167">
        <v>4.0</v>
      </c>
      <c r="R293" s="184" t="s">
        <v>107</v>
      </c>
      <c r="S293" s="167">
        <v>8.0</v>
      </c>
      <c r="T293" s="187"/>
      <c r="U293" s="167"/>
      <c r="V293" s="184" t="s">
        <v>105</v>
      </c>
      <c r="W293" s="167">
        <v>7.0</v>
      </c>
      <c r="X293" s="142">
        <v>1.0</v>
      </c>
      <c r="Y293" s="142">
        <v>1.0</v>
      </c>
      <c r="Z293" s="142">
        <v>1.0</v>
      </c>
      <c r="AA293" s="142">
        <v>1.0</v>
      </c>
      <c r="AB293" s="142">
        <v>1.0</v>
      </c>
      <c r="AC293" s="142">
        <v>1.0</v>
      </c>
      <c r="AD293" s="142">
        <v>1.0</v>
      </c>
      <c r="AE293" s="142">
        <v>1.0</v>
      </c>
      <c r="AF293" s="142">
        <v>8.0</v>
      </c>
      <c r="AG293" s="142">
        <v>0.0</v>
      </c>
      <c r="AH293" s="185" t="str">
        <f>IFERROR(__xludf.DUMMYFUNCTION("if($C293="""","""",if(join("" - "",{iferror(filter('Student Groupings'!$A:$A,'Student Groupings'!$B:$B=$C293,'Student Groupings'!$H:$H=""Can't be Together""),"""");iferror(filter('Student Groupings'!$A:$A,'Student Groupings'!$E:$E=$C293,'Student Groupings"&amp;"'!$H:$H=""Can't be Together""),"""")})="" - "","""",join("" - "",{iferror(filter('Student Groupings'!$A:$A,'Student Groupings'!$B:$B=$C293,'Student Groupings'!$H:$H=""Can't be Together""),"""");iferror(filter('Student Groupings'!$A:$A,'Student Groupings'!"&amp;"$E:$E=$C293,'Student Groupings'!$H:$H=""Can't be Together""),"""")})))"),"")</f>
        <v/>
      </c>
      <c r="AI293" s="185" t="str">
        <f>IFERROR(__xludf.DUMMYFUNCTION("if($C293="""","""",if(join("" - "",{iferror(filter('Student Groupings'!$A:$A,'Student Groupings'!$B:$B=$C293,'Student Groupings'!$H:$H=""Must be Together""),"""");iferror(filter('Student Groupings'!$A:$A,'Student Groupings'!$E:$E=$C293,'Student Groupings'"&amp;"!$H:$H=""Must be Together""),"""")})="" - "","""",join("" - "",{iferror(filter('Student Groupings'!$A:$A,'Student Groupings'!$B:$B=$C293,'Student Groupings'!$H:$H=""Must be Together""),"""");iferror(filter('Student Groupings'!$A:$A,'Student Groupings'!$E:"&amp;"$E=$C293,'Student Groupings'!$H:$H=""Must be Together""),"""")})))"),"")</f>
        <v/>
      </c>
    </row>
    <row r="294">
      <c r="A294" s="167">
        <v>11.0</v>
      </c>
      <c r="B294" s="168">
        <v>27076.0</v>
      </c>
      <c r="C294" s="144" t="s">
        <v>446</v>
      </c>
      <c r="D294" s="180" t="s">
        <v>43</v>
      </c>
      <c r="E294" s="181">
        <v>6.0</v>
      </c>
      <c r="F294" s="167" t="s">
        <v>66</v>
      </c>
      <c r="G294" s="167">
        <v>3.0</v>
      </c>
      <c r="H294" s="182" t="s">
        <v>79</v>
      </c>
      <c r="I294" s="167">
        <v>1.0</v>
      </c>
      <c r="J294" s="187"/>
      <c r="K294" s="167"/>
      <c r="L294" s="184" t="s">
        <v>90</v>
      </c>
      <c r="M294" s="167">
        <v>5.0</v>
      </c>
      <c r="N294" s="184" t="s">
        <v>132</v>
      </c>
      <c r="O294" s="167">
        <v>2.0</v>
      </c>
      <c r="P294" s="184" t="s">
        <v>24</v>
      </c>
      <c r="Q294" s="167">
        <v>8.0</v>
      </c>
      <c r="R294" s="184" t="s">
        <v>111</v>
      </c>
      <c r="S294" s="167">
        <v>4.0</v>
      </c>
      <c r="T294" s="187"/>
      <c r="U294" s="167"/>
      <c r="V294" s="184" t="s">
        <v>105</v>
      </c>
      <c r="W294" s="167">
        <v>7.0</v>
      </c>
      <c r="X294" s="142">
        <v>1.0</v>
      </c>
      <c r="Y294" s="142">
        <v>1.0</v>
      </c>
      <c r="Z294" s="142">
        <v>1.0</v>
      </c>
      <c r="AA294" s="142">
        <v>1.0</v>
      </c>
      <c r="AB294" s="142">
        <v>1.0</v>
      </c>
      <c r="AC294" s="142">
        <v>1.0</v>
      </c>
      <c r="AD294" s="142">
        <v>1.0</v>
      </c>
      <c r="AE294" s="142">
        <v>1.0</v>
      </c>
      <c r="AF294" s="142">
        <v>8.0</v>
      </c>
      <c r="AG294" s="142">
        <v>0.0</v>
      </c>
      <c r="AH294" s="185" t="str">
        <f>IFERROR(__xludf.DUMMYFUNCTION("if($C294="""","""",if(join("" - "",{iferror(filter('Student Groupings'!$A:$A,'Student Groupings'!$B:$B=$C294,'Student Groupings'!$H:$H=""Can't be Together""),"""");iferror(filter('Student Groupings'!$A:$A,'Student Groupings'!$E:$E=$C294,'Student Groupings"&amp;"'!$H:$H=""Can't be Together""),"""")})="" - "","""",join("" - "",{iferror(filter('Student Groupings'!$A:$A,'Student Groupings'!$B:$B=$C294,'Student Groupings'!$H:$H=""Can't be Together""),"""");iferror(filter('Student Groupings'!$A:$A,'Student Groupings'!"&amp;"$E:$E=$C294,'Student Groupings'!$H:$H=""Can't be Together""),"""")})))"),"23 - 24 - ")</f>
        <v>23 - 24 - </v>
      </c>
      <c r="AI294" s="185" t="str">
        <f>IFERROR(__xludf.DUMMYFUNCTION("if($C294="""","""",if(join("" - "",{iferror(filter('Student Groupings'!$A:$A,'Student Groupings'!$B:$B=$C294,'Student Groupings'!$H:$H=""Must be Together""),"""");iferror(filter('Student Groupings'!$A:$A,'Student Groupings'!$E:$E=$C294,'Student Groupings'"&amp;"!$H:$H=""Must be Together""),"""")})="" - "","""",join("" - "",{iferror(filter('Student Groupings'!$A:$A,'Student Groupings'!$B:$B=$C294,'Student Groupings'!$H:$H=""Must be Together""),"""");iferror(filter('Student Groupings'!$A:$A,'Student Groupings'!$E:"&amp;"$E=$C294,'Student Groupings'!$H:$H=""Must be Together""),"""")})))"),"")</f>
        <v/>
      </c>
    </row>
    <row r="295">
      <c r="A295" s="167">
        <v>11.0</v>
      </c>
      <c r="B295" s="168">
        <v>26024.0</v>
      </c>
      <c r="C295" s="144" t="s">
        <v>447</v>
      </c>
      <c r="D295" s="180" t="s">
        <v>43</v>
      </c>
      <c r="E295" s="181">
        <v>1.0</v>
      </c>
      <c r="F295" s="167" t="s">
        <v>66</v>
      </c>
      <c r="G295" s="167">
        <v>4.0</v>
      </c>
      <c r="H295" s="182" t="s">
        <v>79</v>
      </c>
      <c r="I295" s="167">
        <v>6.0</v>
      </c>
      <c r="J295" s="187"/>
      <c r="K295" s="167"/>
      <c r="L295" s="184" t="s">
        <v>90</v>
      </c>
      <c r="M295" s="167">
        <v>8.0</v>
      </c>
      <c r="N295" s="184" t="s">
        <v>132</v>
      </c>
      <c r="O295" s="167">
        <v>7.0</v>
      </c>
      <c r="P295" s="184" t="s">
        <v>30</v>
      </c>
      <c r="Q295" s="167">
        <v>5.0</v>
      </c>
      <c r="R295" s="184" t="s">
        <v>107</v>
      </c>
      <c r="S295" s="167">
        <v>2.0</v>
      </c>
      <c r="T295" s="187"/>
      <c r="U295" s="167"/>
      <c r="V295" s="182" t="s">
        <v>115</v>
      </c>
      <c r="W295" s="167">
        <v>3.0</v>
      </c>
      <c r="X295" s="142">
        <v>1.0</v>
      </c>
      <c r="Y295" s="142">
        <v>1.0</v>
      </c>
      <c r="Z295" s="142">
        <v>1.0</v>
      </c>
      <c r="AA295" s="142">
        <v>1.0</v>
      </c>
      <c r="AB295" s="142">
        <v>1.0</v>
      </c>
      <c r="AC295" s="142">
        <v>1.0</v>
      </c>
      <c r="AD295" s="142">
        <v>1.0</v>
      </c>
      <c r="AE295" s="142">
        <v>1.0</v>
      </c>
      <c r="AF295" s="142">
        <v>8.0</v>
      </c>
      <c r="AG295" s="142">
        <v>0.0</v>
      </c>
      <c r="AH295" s="185" t="str">
        <f>IFERROR(__xludf.DUMMYFUNCTION("if($C295="""","""",if(join("" - "",{iferror(filter('Student Groupings'!$A:$A,'Student Groupings'!$B:$B=$C295,'Student Groupings'!$H:$H=""Can't be Together""),"""");iferror(filter('Student Groupings'!$A:$A,'Student Groupings'!$E:$E=$C295,'Student Groupings"&amp;"'!$H:$H=""Can't be Together""),"""")})="" - "","""",join("" - "",{iferror(filter('Student Groupings'!$A:$A,'Student Groupings'!$B:$B=$C295,'Student Groupings'!$H:$H=""Can't be Together""),"""");iferror(filter('Student Groupings'!$A:$A,'Student Groupings'!"&amp;"$E:$E=$C295,'Student Groupings'!$H:$H=""Can't be Together""),"""")})))"),"")</f>
        <v/>
      </c>
      <c r="AI295" s="185" t="str">
        <f>IFERROR(__xludf.DUMMYFUNCTION("if($C295="""","""",if(join("" - "",{iferror(filter('Student Groupings'!$A:$A,'Student Groupings'!$B:$B=$C295,'Student Groupings'!$H:$H=""Must be Together""),"""");iferror(filter('Student Groupings'!$A:$A,'Student Groupings'!$E:$E=$C295,'Student Groupings'"&amp;"!$H:$H=""Must be Together""),"""")})="" - "","""",join("" - "",{iferror(filter('Student Groupings'!$A:$A,'Student Groupings'!$B:$B=$C295,'Student Groupings'!$H:$H=""Must be Together""),"""");iferror(filter('Student Groupings'!$A:$A,'Student Groupings'!$E:"&amp;"$E=$C295,'Student Groupings'!$H:$H=""Must be Together""),"""")})))"),"")</f>
        <v/>
      </c>
    </row>
    <row r="296">
      <c r="A296" s="167">
        <v>11.0</v>
      </c>
      <c r="B296" s="168">
        <v>27067.0</v>
      </c>
      <c r="C296" s="144" t="s">
        <v>448</v>
      </c>
      <c r="D296" s="180" t="s">
        <v>38</v>
      </c>
      <c r="E296" s="181">
        <v>7.0</v>
      </c>
      <c r="F296" s="167" t="s">
        <v>57</v>
      </c>
      <c r="G296" s="167">
        <v>8.0</v>
      </c>
      <c r="H296" s="182" t="s">
        <v>79</v>
      </c>
      <c r="I296" s="167">
        <v>3.0</v>
      </c>
      <c r="J296" s="187"/>
      <c r="K296" s="167"/>
      <c r="L296" s="184" t="s">
        <v>90</v>
      </c>
      <c r="M296" s="167">
        <v>1.0</v>
      </c>
      <c r="N296" s="184" t="s">
        <v>132</v>
      </c>
      <c r="O296" s="167">
        <v>4.0</v>
      </c>
      <c r="P296" s="184" t="s">
        <v>30</v>
      </c>
      <c r="Q296" s="167">
        <v>5.0</v>
      </c>
      <c r="R296" s="184" t="s">
        <v>107</v>
      </c>
      <c r="S296" s="167">
        <v>2.0</v>
      </c>
      <c r="T296" s="187"/>
      <c r="U296" s="167"/>
      <c r="V296" s="184" t="s">
        <v>101</v>
      </c>
      <c r="W296" s="167">
        <v>6.0</v>
      </c>
      <c r="X296" s="142">
        <v>1.0</v>
      </c>
      <c r="Y296" s="142">
        <v>1.0</v>
      </c>
      <c r="Z296" s="142">
        <v>1.0</v>
      </c>
      <c r="AA296" s="142">
        <v>1.0</v>
      </c>
      <c r="AB296" s="142">
        <v>1.0</v>
      </c>
      <c r="AC296" s="142">
        <v>1.0</v>
      </c>
      <c r="AD296" s="142">
        <v>1.0</v>
      </c>
      <c r="AE296" s="142">
        <v>1.0</v>
      </c>
      <c r="AF296" s="142">
        <v>8.0</v>
      </c>
      <c r="AG296" s="142">
        <v>0.0</v>
      </c>
      <c r="AH296" s="185" t="str">
        <f>IFERROR(__xludf.DUMMYFUNCTION("if($C296="""","""",if(join("" - "",{iferror(filter('Student Groupings'!$A:$A,'Student Groupings'!$B:$B=$C296,'Student Groupings'!$H:$H=""Can't be Together""),"""");iferror(filter('Student Groupings'!$A:$A,'Student Groupings'!$E:$E=$C296,'Student Groupings"&amp;"'!$H:$H=""Can't be Together""),"""")})="" - "","""",join("" - "",{iferror(filter('Student Groupings'!$A:$A,'Student Groupings'!$B:$B=$C296,'Student Groupings'!$H:$H=""Can't be Together""),"""");iferror(filter('Student Groupings'!$A:$A,'Student Groupings'!"&amp;"$E:$E=$C296,'Student Groupings'!$H:$H=""Can't be Together""),"""")})))"),"")</f>
        <v/>
      </c>
      <c r="AI296" s="185" t="str">
        <f>IFERROR(__xludf.DUMMYFUNCTION("if($C296="""","""",if(join("" - "",{iferror(filter('Student Groupings'!$A:$A,'Student Groupings'!$B:$B=$C296,'Student Groupings'!$H:$H=""Must be Together""),"""");iferror(filter('Student Groupings'!$A:$A,'Student Groupings'!$E:$E=$C296,'Student Groupings'"&amp;"!$H:$H=""Must be Together""),"""")})="" - "","""",join("" - "",{iferror(filter('Student Groupings'!$A:$A,'Student Groupings'!$B:$B=$C296,'Student Groupings'!$H:$H=""Must be Together""),"""");iferror(filter('Student Groupings'!$A:$A,'Student Groupings'!$E:"&amp;"$E=$C296,'Student Groupings'!$H:$H=""Must be Together""),"""")})))"),"")</f>
        <v/>
      </c>
    </row>
    <row r="297">
      <c r="A297" s="167">
        <v>11.0</v>
      </c>
      <c r="B297" s="168">
        <v>27048.0</v>
      </c>
      <c r="C297" s="144" t="s">
        <v>449</v>
      </c>
      <c r="D297" s="180" t="s">
        <v>43</v>
      </c>
      <c r="E297" s="181">
        <v>6.0</v>
      </c>
      <c r="F297" s="186" t="s">
        <v>54</v>
      </c>
      <c r="G297" s="167">
        <v>8.0</v>
      </c>
      <c r="H297" s="182" t="s">
        <v>79</v>
      </c>
      <c r="I297" s="180">
        <v>3.0</v>
      </c>
      <c r="J297" s="183"/>
      <c r="K297" s="167"/>
      <c r="L297" s="184" t="s">
        <v>90</v>
      </c>
      <c r="M297" s="167">
        <v>2.0</v>
      </c>
      <c r="N297" s="184" t="s">
        <v>132</v>
      </c>
      <c r="O297" s="167">
        <v>1.0</v>
      </c>
      <c r="P297" s="184" t="s">
        <v>30</v>
      </c>
      <c r="Q297" s="167">
        <v>7.0</v>
      </c>
      <c r="R297" s="184" t="s">
        <v>111</v>
      </c>
      <c r="S297" s="167">
        <v>4.0</v>
      </c>
      <c r="T297" s="187"/>
      <c r="U297" s="167"/>
      <c r="V297" s="184" t="s">
        <v>96</v>
      </c>
      <c r="W297" s="167">
        <v>5.0</v>
      </c>
      <c r="X297" s="142">
        <v>1.0</v>
      </c>
      <c r="Y297" s="142">
        <v>1.0</v>
      </c>
      <c r="Z297" s="142">
        <v>1.0</v>
      </c>
      <c r="AA297" s="142">
        <v>1.0</v>
      </c>
      <c r="AB297" s="142">
        <v>1.0</v>
      </c>
      <c r="AC297" s="142">
        <v>1.0</v>
      </c>
      <c r="AD297" s="142">
        <v>1.0</v>
      </c>
      <c r="AE297" s="142">
        <v>1.0</v>
      </c>
      <c r="AF297" s="142">
        <v>8.0</v>
      </c>
      <c r="AG297" s="142">
        <v>0.0</v>
      </c>
      <c r="AH297" s="185" t="str">
        <f>IFERROR(__xludf.DUMMYFUNCTION("if($C297="""","""",if(join("" - "",{iferror(filter('Student Groupings'!$A:$A,'Student Groupings'!$B:$B=$C297,'Student Groupings'!$H:$H=""Can't be Together""),"""");iferror(filter('Student Groupings'!$A:$A,'Student Groupings'!$E:$E=$C297,'Student Groupings"&amp;"'!$H:$H=""Can't be Together""),"""")})="" - "","""",join("" - "",{iferror(filter('Student Groupings'!$A:$A,'Student Groupings'!$B:$B=$C297,'Student Groupings'!$H:$H=""Can't be Together""),"""");iferror(filter('Student Groupings'!$A:$A,'Student Groupings'!"&amp;"$E:$E=$C297,'Student Groupings'!$H:$H=""Can't be Together""),"""")})))"),"")</f>
        <v/>
      </c>
      <c r="AI297" s="185" t="str">
        <f>IFERROR(__xludf.DUMMYFUNCTION("if($C297="""","""",if(join("" - "",{iferror(filter('Student Groupings'!$A:$A,'Student Groupings'!$B:$B=$C297,'Student Groupings'!$H:$H=""Must be Together""),"""");iferror(filter('Student Groupings'!$A:$A,'Student Groupings'!$E:$E=$C297,'Student Groupings'"&amp;"!$H:$H=""Must be Together""),"""")})="" - "","""",join("" - "",{iferror(filter('Student Groupings'!$A:$A,'Student Groupings'!$B:$B=$C297,'Student Groupings'!$H:$H=""Must be Together""),"""");iferror(filter('Student Groupings'!$A:$A,'Student Groupings'!$E:"&amp;"$E=$C297,'Student Groupings'!$H:$H=""Must be Together""),"""")})))"),"")</f>
        <v/>
      </c>
    </row>
    <row r="298">
      <c r="A298" s="167">
        <v>11.0</v>
      </c>
      <c r="B298" s="168">
        <v>27132.0</v>
      </c>
      <c r="C298" s="144" t="s">
        <v>450</v>
      </c>
      <c r="D298" s="180" t="s">
        <v>43</v>
      </c>
      <c r="E298" s="181">
        <v>1.0</v>
      </c>
      <c r="F298" s="186" t="s">
        <v>66</v>
      </c>
      <c r="G298" s="167">
        <v>3.0</v>
      </c>
      <c r="H298" s="182" t="s">
        <v>70</v>
      </c>
      <c r="I298" s="186">
        <v>2.0</v>
      </c>
      <c r="J298" s="187"/>
      <c r="K298" s="167"/>
      <c r="L298" s="184" t="s">
        <v>90</v>
      </c>
      <c r="M298" s="167">
        <v>5.0</v>
      </c>
      <c r="N298" s="184" t="s">
        <v>132</v>
      </c>
      <c r="O298" s="167">
        <v>6.0</v>
      </c>
      <c r="P298" s="184" t="s">
        <v>30</v>
      </c>
      <c r="Q298" s="167">
        <v>4.0</v>
      </c>
      <c r="R298" s="184" t="s">
        <v>105</v>
      </c>
      <c r="S298" s="167">
        <v>8.0</v>
      </c>
      <c r="T298" s="187"/>
      <c r="U298" s="167"/>
      <c r="V298" s="182" t="s">
        <v>74</v>
      </c>
      <c r="W298" s="167">
        <v>7.0</v>
      </c>
      <c r="X298" s="142">
        <v>1.0</v>
      </c>
      <c r="Y298" s="142">
        <v>1.0</v>
      </c>
      <c r="Z298" s="142">
        <v>1.0</v>
      </c>
      <c r="AA298" s="142">
        <v>1.0</v>
      </c>
      <c r="AB298" s="142">
        <v>1.0</v>
      </c>
      <c r="AC298" s="142">
        <v>1.0</v>
      </c>
      <c r="AD298" s="142">
        <v>1.0</v>
      </c>
      <c r="AE298" s="142">
        <v>1.0</v>
      </c>
      <c r="AF298" s="142">
        <v>8.0</v>
      </c>
      <c r="AG298" s="142">
        <v>0.0</v>
      </c>
      <c r="AH298" s="185" t="str">
        <f>IFERROR(__xludf.DUMMYFUNCTION("if($C298="""","""",if(join("" - "",{iferror(filter('Student Groupings'!$A:$A,'Student Groupings'!$B:$B=$C298,'Student Groupings'!$H:$H=""Can't be Together""),"""");iferror(filter('Student Groupings'!$A:$A,'Student Groupings'!$E:$E=$C298,'Student Groupings"&amp;"'!$H:$H=""Can't be Together""),"""")})="" - "","""",join("" - "",{iferror(filter('Student Groupings'!$A:$A,'Student Groupings'!$B:$B=$C298,'Student Groupings'!$H:$H=""Can't be Together""),"""");iferror(filter('Student Groupings'!$A:$A,'Student Groupings'!"&amp;"$E:$E=$C298,'Student Groupings'!$H:$H=""Can't be Together""),"""")})))"),"")</f>
        <v/>
      </c>
      <c r="AI298" s="185" t="str">
        <f>IFERROR(__xludf.DUMMYFUNCTION("if($C298="""","""",if(join("" - "",{iferror(filter('Student Groupings'!$A:$A,'Student Groupings'!$B:$B=$C298,'Student Groupings'!$H:$H=""Must be Together""),"""");iferror(filter('Student Groupings'!$A:$A,'Student Groupings'!$E:$E=$C298,'Student Groupings'"&amp;"!$H:$H=""Must be Together""),"""")})="" - "","""",join("" - "",{iferror(filter('Student Groupings'!$A:$A,'Student Groupings'!$B:$B=$C298,'Student Groupings'!$H:$H=""Must be Together""),"""");iferror(filter('Student Groupings'!$A:$A,'Student Groupings'!$E:"&amp;"$E=$C298,'Student Groupings'!$H:$H=""Must be Together""),"""")})))"),"")</f>
        <v/>
      </c>
    </row>
    <row r="299">
      <c r="A299" s="167">
        <v>11.0</v>
      </c>
      <c r="B299" s="168">
        <v>27107.0</v>
      </c>
      <c r="C299" s="144" t="s">
        <v>451</v>
      </c>
      <c r="D299" s="180" t="s">
        <v>45</v>
      </c>
      <c r="E299" s="181">
        <v>1.0</v>
      </c>
      <c r="F299" s="167" t="s">
        <v>66</v>
      </c>
      <c r="G299" s="167">
        <v>6.0</v>
      </c>
      <c r="H299" s="182" t="s">
        <v>79</v>
      </c>
      <c r="I299" s="167">
        <v>3.0</v>
      </c>
      <c r="J299" s="187"/>
      <c r="K299" s="167"/>
      <c r="L299" s="184" t="s">
        <v>90</v>
      </c>
      <c r="M299" s="167">
        <v>8.0</v>
      </c>
      <c r="N299" s="184" t="s">
        <v>132</v>
      </c>
      <c r="O299" s="167">
        <v>7.0</v>
      </c>
      <c r="P299" s="184" t="s">
        <v>30</v>
      </c>
      <c r="Q299" s="167">
        <v>4.0</v>
      </c>
      <c r="R299" s="184" t="s">
        <v>107</v>
      </c>
      <c r="S299" s="167">
        <v>2.0</v>
      </c>
      <c r="T299" s="187"/>
      <c r="U299" s="167"/>
      <c r="V299" s="184" t="s">
        <v>111</v>
      </c>
      <c r="W299" s="167">
        <v>5.0</v>
      </c>
      <c r="X299" s="142">
        <v>1.0</v>
      </c>
      <c r="Y299" s="142">
        <v>1.0</v>
      </c>
      <c r="Z299" s="142">
        <v>1.0</v>
      </c>
      <c r="AA299" s="142">
        <v>1.0</v>
      </c>
      <c r="AB299" s="142">
        <v>1.0</v>
      </c>
      <c r="AC299" s="142">
        <v>1.0</v>
      </c>
      <c r="AD299" s="142">
        <v>1.0</v>
      </c>
      <c r="AE299" s="142">
        <v>1.0</v>
      </c>
      <c r="AF299" s="142">
        <v>8.0</v>
      </c>
      <c r="AG299" s="142">
        <v>0.0</v>
      </c>
      <c r="AH299" s="185" t="str">
        <f>IFERROR(__xludf.DUMMYFUNCTION("if($C299="""","""",if(join("" - "",{iferror(filter('Student Groupings'!$A:$A,'Student Groupings'!$B:$B=$C299,'Student Groupings'!$H:$H=""Can't be Together""),"""");iferror(filter('Student Groupings'!$A:$A,'Student Groupings'!$E:$E=$C299,'Student Groupings"&amp;"'!$H:$H=""Can't be Together""),"""")})="" - "","""",join("" - "",{iferror(filter('Student Groupings'!$A:$A,'Student Groupings'!$B:$B=$C299,'Student Groupings'!$H:$H=""Can't be Together""),"""");iferror(filter('Student Groupings'!$A:$A,'Student Groupings'!"&amp;"$E:$E=$C299,'Student Groupings'!$H:$H=""Can't be Together""),"""")})))"),"")</f>
        <v/>
      </c>
      <c r="AI299" s="185" t="str">
        <f>IFERROR(__xludf.DUMMYFUNCTION("if($C299="""","""",if(join("" - "",{iferror(filter('Student Groupings'!$A:$A,'Student Groupings'!$B:$B=$C299,'Student Groupings'!$H:$H=""Must be Together""),"""");iferror(filter('Student Groupings'!$A:$A,'Student Groupings'!$E:$E=$C299,'Student Groupings'"&amp;"!$H:$H=""Must be Together""),"""")})="" - "","""",join("" - "",{iferror(filter('Student Groupings'!$A:$A,'Student Groupings'!$B:$B=$C299,'Student Groupings'!$H:$H=""Must be Together""),"""");iferror(filter('Student Groupings'!$A:$A,'Student Groupings'!$E:"&amp;"$E=$C299,'Student Groupings'!$H:$H=""Must be Together""),"""")})))"),"")</f>
        <v/>
      </c>
    </row>
    <row r="300">
      <c r="A300" s="167">
        <v>11.0</v>
      </c>
      <c r="B300" s="168">
        <v>27134.0</v>
      </c>
      <c r="C300" s="144" t="s">
        <v>452</v>
      </c>
      <c r="D300" s="180" t="s">
        <v>43</v>
      </c>
      <c r="E300" s="181">
        <v>4.0</v>
      </c>
      <c r="F300" s="167" t="s">
        <v>54</v>
      </c>
      <c r="G300" s="167">
        <v>8.0</v>
      </c>
      <c r="H300" s="182" t="s">
        <v>81</v>
      </c>
      <c r="I300" s="167">
        <v>3.0</v>
      </c>
      <c r="J300" s="187"/>
      <c r="K300" s="167"/>
      <c r="L300" s="184" t="s">
        <v>92</v>
      </c>
      <c r="M300" s="167">
        <v>1.0</v>
      </c>
      <c r="N300" s="184" t="s">
        <v>132</v>
      </c>
      <c r="O300" s="167">
        <v>2.0</v>
      </c>
      <c r="P300" s="184" t="s">
        <v>23</v>
      </c>
      <c r="Q300" s="167">
        <v>6.0</v>
      </c>
      <c r="R300" s="184" t="s">
        <v>111</v>
      </c>
      <c r="S300" s="167">
        <v>5.0</v>
      </c>
      <c r="T300" s="187"/>
      <c r="U300" s="167"/>
      <c r="V300" s="184" t="s">
        <v>98</v>
      </c>
      <c r="W300" s="167">
        <v>7.0</v>
      </c>
      <c r="X300" s="142">
        <v>1.0</v>
      </c>
      <c r="Y300" s="142">
        <v>1.0</v>
      </c>
      <c r="Z300" s="142">
        <v>1.0</v>
      </c>
      <c r="AA300" s="142">
        <v>1.0</v>
      </c>
      <c r="AB300" s="142">
        <v>1.0</v>
      </c>
      <c r="AC300" s="142">
        <v>1.0</v>
      </c>
      <c r="AD300" s="142">
        <v>1.0</v>
      </c>
      <c r="AE300" s="142">
        <v>1.0</v>
      </c>
      <c r="AF300" s="142">
        <v>8.0</v>
      </c>
      <c r="AG300" s="142">
        <v>0.0</v>
      </c>
      <c r="AH300" s="185" t="str">
        <f>IFERROR(__xludf.DUMMYFUNCTION("if($C300="""","""",if(join("" - "",{iferror(filter('Student Groupings'!$A:$A,'Student Groupings'!$B:$B=$C300,'Student Groupings'!$H:$H=""Can't be Together""),"""");iferror(filter('Student Groupings'!$A:$A,'Student Groupings'!$E:$E=$C300,'Student Groupings"&amp;"'!$H:$H=""Can't be Together""),"""")})="" - "","""",join("" - "",{iferror(filter('Student Groupings'!$A:$A,'Student Groupings'!$B:$B=$C300,'Student Groupings'!$H:$H=""Can't be Together""),"""");iferror(filter('Student Groupings'!$A:$A,'Student Groupings'!"&amp;"$E:$E=$C300,'Student Groupings'!$H:$H=""Can't be Together""),"""")})))"),"")</f>
        <v/>
      </c>
      <c r="AI300" s="185" t="str">
        <f>IFERROR(__xludf.DUMMYFUNCTION("if($C300="""","""",if(join("" - "",{iferror(filter('Student Groupings'!$A:$A,'Student Groupings'!$B:$B=$C300,'Student Groupings'!$H:$H=""Must be Together""),"""");iferror(filter('Student Groupings'!$A:$A,'Student Groupings'!$E:$E=$C300,'Student Groupings'"&amp;"!$H:$H=""Must be Together""),"""")})="" - "","""",join("" - "",{iferror(filter('Student Groupings'!$A:$A,'Student Groupings'!$B:$B=$C300,'Student Groupings'!$H:$H=""Must be Together""),"""");iferror(filter('Student Groupings'!$A:$A,'Student Groupings'!$E:"&amp;"$E=$C300,'Student Groupings'!$H:$H=""Must be Together""),"""")})))"),"")</f>
        <v/>
      </c>
    </row>
    <row r="301">
      <c r="A301" s="167">
        <v>11.0</v>
      </c>
      <c r="B301" s="168">
        <v>27126.0</v>
      </c>
      <c r="C301" s="144" t="s">
        <v>453</v>
      </c>
      <c r="D301" s="180" t="s">
        <v>43</v>
      </c>
      <c r="E301" s="181">
        <v>6.0</v>
      </c>
      <c r="F301" s="186" t="s">
        <v>66</v>
      </c>
      <c r="G301" s="167">
        <v>4.0</v>
      </c>
      <c r="H301" s="182" t="s">
        <v>70</v>
      </c>
      <c r="I301" s="167">
        <v>7.0</v>
      </c>
      <c r="J301" s="187"/>
      <c r="K301" s="167"/>
      <c r="L301" s="184" t="s">
        <v>90</v>
      </c>
      <c r="M301" s="167">
        <v>2.0</v>
      </c>
      <c r="N301" s="184" t="s">
        <v>132</v>
      </c>
      <c r="O301" s="167">
        <v>3.0</v>
      </c>
      <c r="P301" s="184" t="s">
        <v>30</v>
      </c>
      <c r="Q301" s="167">
        <v>5.0</v>
      </c>
      <c r="R301" s="184" t="s">
        <v>107</v>
      </c>
      <c r="S301" s="167">
        <v>1.0</v>
      </c>
      <c r="T301" s="183"/>
      <c r="U301" s="167"/>
      <c r="V301" s="184" t="s">
        <v>105</v>
      </c>
      <c r="W301" s="167">
        <v>8.0</v>
      </c>
      <c r="X301" s="142">
        <v>1.0</v>
      </c>
      <c r="Y301" s="142">
        <v>1.0</v>
      </c>
      <c r="Z301" s="142">
        <v>1.0</v>
      </c>
      <c r="AA301" s="142">
        <v>1.0</v>
      </c>
      <c r="AB301" s="142">
        <v>1.0</v>
      </c>
      <c r="AC301" s="142">
        <v>1.0</v>
      </c>
      <c r="AD301" s="142">
        <v>1.0</v>
      </c>
      <c r="AE301" s="142">
        <v>1.0</v>
      </c>
      <c r="AF301" s="142">
        <v>8.0</v>
      </c>
      <c r="AG301" s="142">
        <v>0.0</v>
      </c>
      <c r="AH301" s="185" t="str">
        <f>IFERROR(__xludf.DUMMYFUNCTION("if($C301="""","""",if(join("" - "",{iferror(filter('Student Groupings'!$A:$A,'Student Groupings'!$B:$B=$C301,'Student Groupings'!$H:$H=""Can't be Together""),"""");iferror(filter('Student Groupings'!$A:$A,'Student Groupings'!$E:$E=$C301,'Student Groupings"&amp;"'!$H:$H=""Can't be Together""),"""")})="" - "","""",join("" - "",{iferror(filter('Student Groupings'!$A:$A,'Student Groupings'!$B:$B=$C301,'Student Groupings'!$H:$H=""Can't be Together""),"""");iferror(filter('Student Groupings'!$A:$A,'Student Groupings'!"&amp;"$E:$E=$C301,'Student Groupings'!$H:$H=""Can't be Together""),"""")})))"),"")</f>
        <v/>
      </c>
      <c r="AI301" s="185" t="str">
        <f>IFERROR(__xludf.DUMMYFUNCTION("if($C301="""","""",if(join("" - "",{iferror(filter('Student Groupings'!$A:$A,'Student Groupings'!$B:$B=$C301,'Student Groupings'!$H:$H=""Must be Together""),"""");iferror(filter('Student Groupings'!$A:$A,'Student Groupings'!$E:$E=$C301,'Student Groupings'"&amp;"!$H:$H=""Must be Together""),"""")})="" - "","""",join("" - "",{iferror(filter('Student Groupings'!$A:$A,'Student Groupings'!$B:$B=$C301,'Student Groupings'!$H:$H=""Must be Together""),"""");iferror(filter('Student Groupings'!$A:$A,'Student Groupings'!$E:"&amp;"$E=$C301,'Student Groupings'!$H:$H=""Must be Together""),"""")})))"),"")</f>
        <v/>
      </c>
    </row>
    <row r="302">
      <c r="A302" s="167">
        <v>11.0</v>
      </c>
      <c r="B302" s="168">
        <v>27114.0</v>
      </c>
      <c r="C302" s="144" t="s">
        <v>454</v>
      </c>
      <c r="D302" s="180" t="s">
        <v>43</v>
      </c>
      <c r="E302" s="181">
        <v>4.0</v>
      </c>
      <c r="F302" s="167" t="s">
        <v>54</v>
      </c>
      <c r="G302" s="167">
        <v>8.0</v>
      </c>
      <c r="H302" s="182" t="s">
        <v>69</v>
      </c>
      <c r="I302" s="167">
        <v>2.0</v>
      </c>
      <c r="J302" s="187"/>
      <c r="K302" s="167"/>
      <c r="L302" s="184" t="s">
        <v>90</v>
      </c>
      <c r="M302" s="167">
        <v>5.0</v>
      </c>
      <c r="N302" s="184" t="s">
        <v>132</v>
      </c>
      <c r="O302" s="167">
        <v>7.0</v>
      </c>
      <c r="P302" s="184" t="s">
        <v>23</v>
      </c>
      <c r="Q302" s="167">
        <v>6.0</v>
      </c>
      <c r="R302" s="184" t="s">
        <v>107</v>
      </c>
      <c r="S302" s="167">
        <v>1.0</v>
      </c>
      <c r="T302" s="187"/>
      <c r="U302" s="167"/>
      <c r="V302" s="182" t="s">
        <v>115</v>
      </c>
      <c r="W302" s="167">
        <v>3.0</v>
      </c>
      <c r="X302" s="142">
        <v>1.0</v>
      </c>
      <c r="Y302" s="142">
        <v>1.0</v>
      </c>
      <c r="Z302" s="142">
        <v>1.0</v>
      </c>
      <c r="AA302" s="142">
        <v>1.0</v>
      </c>
      <c r="AB302" s="142">
        <v>1.0</v>
      </c>
      <c r="AC302" s="142">
        <v>1.0</v>
      </c>
      <c r="AD302" s="142">
        <v>1.0</v>
      </c>
      <c r="AE302" s="142">
        <v>1.0</v>
      </c>
      <c r="AF302" s="142">
        <v>8.0</v>
      </c>
      <c r="AG302" s="142">
        <v>0.0</v>
      </c>
      <c r="AH302" s="185" t="str">
        <f>IFERROR(__xludf.DUMMYFUNCTION("if($C302="""","""",if(join("" - "",{iferror(filter('Student Groupings'!$A:$A,'Student Groupings'!$B:$B=$C302,'Student Groupings'!$H:$H=""Can't be Together""),"""");iferror(filter('Student Groupings'!$A:$A,'Student Groupings'!$E:$E=$C302,'Student Groupings"&amp;"'!$H:$H=""Can't be Together""),"""")})="" - "","""",join("" - "",{iferror(filter('Student Groupings'!$A:$A,'Student Groupings'!$B:$B=$C302,'Student Groupings'!$H:$H=""Can't be Together""),"""");iferror(filter('Student Groupings'!$A:$A,'Student Groupings'!"&amp;"$E:$E=$C302,'Student Groupings'!$H:$H=""Can't be Together""),"""")})))")," - 107")</f>
        <v> - 107</v>
      </c>
      <c r="AI302" s="185" t="str">
        <f>IFERROR(__xludf.DUMMYFUNCTION("if($C302="""","""",if(join("" - "",{iferror(filter('Student Groupings'!$A:$A,'Student Groupings'!$B:$B=$C302,'Student Groupings'!$H:$H=""Must be Together""),"""");iferror(filter('Student Groupings'!$A:$A,'Student Groupings'!$E:$E=$C302,'Student Groupings'"&amp;"!$H:$H=""Must be Together""),"""")})="" - "","""",join("" - "",{iferror(filter('Student Groupings'!$A:$A,'Student Groupings'!$B:$B=$C302,'Student Groupings'!$H:$H=""Must be Together""),"""");iferror(filter('Student Groupings'!$A:$A,'Student Groupings'!$E:"&amp;"$E=$C302,'Student Groupings'!$H:$H=""Must be Together""),"""")})))"),"")</f>
        <v/>
      </c>
    </row>
    <row r="303">
      <c r="A303" s="167">
        <v>11.0</v>
      </c>
      <c r="B303" s="168">
        <v>26106.0</v>
      </c>
      <c r="C303" s="144" t="s">
        <v>455</v>
      </c>
      <c r="D303" s="180" t="s">
        <v>43</v>
      </c>
      <c r="E303" s="181">
        <v>4.0</v>
      </c>
      <c r="F303" s="167" t="s">
        <v>57</v>
      </c>
      <c r="G303" s="167">
        <v>5.0</v>
      </c>
      <c r="H303" s="182" t="s">
        <v>79</v>
      </c>
      <c r="I303" s="167">
        <v>6.0</v>
      </c>
      <c r="J303" s="183"/>
      <c r="K303" s="167"/>
      <c r="L303" s="184" t="s">
        <v>92</v>
      </c>
      <c r="M303" s="167">
        <v>1.0</v>
      </c>
      <c r="N303" s="184" t="s">
        <v>132</v>
      </c>
      <c r="O303" s="167">
        <v>3.0</v>
      </c>
      <c r="P303" s="184" t="s">
        <v>27</v>
      </c>
      <c r="Q303" s="167">
        <v>8.0</v>
      </c>
      <c r="R303" s="184" t="s">
        <v>107</v>
      </c>
      <c r="S303" s="167">
        <v>2.0</v>
      </c>
      <c r="T303" s="187"/>
      <c r="U303" s="167"/>
      <c r="V303" s="184" t="s">
        <v>98</v>
      </c>
      <c r="W303" s="167">
        <v>7.0</v>
      </c>
      <c r="X303" s="142">
        <v>1.0</v>
      </c>
      <c r="Y303" s="142">
        <v>1.0</v>
      </c>
      <c r="Z303" s="142">
        <v>1.0</v>
      </c>
      <c r="AA303" s="142">
        <v>1.0</v>
      </c>
      <c r="AB303" s="142">
        <v>1.0</v>
      </c>
      <c r="AC303" s="142">
        <v>1.0</v>
      </c>
      <c r="AD303" s="142">
        <v>1.0</v>
      </c>
      <c r="AE303" s="142">
        <v>1.0</v>
      </c>
      <c r="AF303" s="142">
        <v>8.0</v>
      </c>
      <c r="AG303" s="142">
        <v>0.0</v>
      </c>
      <c r="AH303" s="185" t="str">
        <f>IFERROR(__xludf.DUMMYFUNCTION("if($C303="""","""",if(join("" - "",{iferror(filter('Student Groupings'!$A:$A,'Student Groupings'!$B:$B=$C303,'Student Groupings'!$H:$H=""Can't be Together""),"""");iferror(filter('Student Groupings'!$A:$A,'Student Groupings'!$E:$E=$C303,'Student Groupings"&amp;"'!$H:$H=""Can't be Together""),"""")})="" - "","""",join("" - "",{iferror(filter('Student Groupings'!$A:$A,'Student Groupings'!$B:$B=$C303,'Student Groupings'!$H:$H=""Can't be Together""),"""");iferror(filter('Student Groupings'!$A:$A,'Student Groupings'!"&amp;"$E:$E=$C303,'Student Groupings'!$H:$H=""Can't be Together""),"""")})))"),"")</f>
        <v/>
      </c>
      <c r="AI303" s="185" t="str">
        <f>IFERROR(__xludf.DUMMYFUNCTION("if($C303="""","""",if(join("" - "",{iferror(filter('Student Groupings'!$A:$A,'Student Groupings'!$B:$B=$C303,'Student Groupings'!$H:$H=""Must be Together""),"""");iferror(filter('Student Groupings'!$A:$A,'Student Groupings'!$E:$E=$C303,'Student Groupings'"&amp;"!$H:$H=""Must be Together""),"""")})="" - "","""",join("" - "",{iferror(filter('Student Groupings'!$A:$A,'Student Groupings'!$B:$B=$C303,'Student Groupings'!$H:$H=""Must be Together""),"""");iferror(filter('Student Groupings'!$A:$A,'Student Groupings'!$E:"&amp;"$E=$C303,'Student Groupings'!$H:$H=""Must be Together""),"""")})))")," - 29")</f>
        <v> - 29</v>
      </c>
    </row>
    <row r="304">
      <c r="A304" s="167">
        <v>11.0</v>
      </c>
      <c r="B304" s="168">
        <v>27014.0</v>
      </c>
      <c r="C304" s="144" t="s">
        <v>456</v>
      </c>
      <c r="D304" s="180" t="s">
        <v>49</v>
      </c>
      <c r="E304" s="181">
        <v>3.0</v>
      </c>
      <c r="F304" s="186" t="s">
        <v>66</v>
      </c>
      <c r="G304" s="167">
        <v>6.0</v>
      </c>
      <c r="H304" s="182" t="s">
        <v>70</v>
      </c>
      <c r="I304" s="167">
        <v>2.0</v>
      </c>
      <c r="J304" s="187"/>
      <c r="K304" s="167"/>
      <c r="L304" s="184" t="s">
        <v>90</v>
      </c>
      <c r="M304" s="167">
        <v>7.0</v>
      </c>
      <c r="N304" s="184" t="s">
        <v>132</v>
      </c>
      <c r="O304" s="167">
        <v>1.0</v>
      </c>
      <c r="P304" s="184" t="s">
        <v>30</v>
      </c>
      <c r="Q304" s="167">
        <v>4.0</v>
      </c>
      <c r="R304" s="184" t="s">
        <v>105</v>
      </c>
      <c r="S304" s="167">
        <v>8.0</v>
      </c>
      <c r="T304" s="187"/>
      <c r="U304" s="167"/>
      <c r="V304" s="182" t="s">
        <v>115</v>
      </c>
      <c r="W304" s="167">
        <v>5.0</v>
      </c>
      <c r="X304" s="142">
        <v>1.0</v>
      </c>
      <c r="Y304" s="142">
        <v>1.0</v>
      </c>
      <c r="Z304" s="142">
        <v>1.0</v>
      </c>
      <c r="AA304" s="142">
        <v>1.0</v>
      </c>
      <c r="AB304" s="142">
        <v>1.0</v>
      </c>
      <c r="AC304" s="142">
        <v>1.0</v>
      </c>
      <c r="AD304" s="142">
        <v>1.0</v>
      </c>
      <c r="AE304" s="142">
        <v>1.0</v>
      </c>
      <c r="AF304" s="142">
        <v>8.0</v>
      </c>
      <c r="AG304" s="142">
        <v>0.0</v>
      </c>
      <c r="AH304" s="185" t="str">
        <f>IFERROR(__xludf.DUMMYFUNCTION("if($C304="""","""",if(join("" - "",{iferror(filter('Student Groupings'!$A:$A,'Student Groupings'!$B:$B=$C304,'Student Groupings'!$H:$H=""Can't be Together""),"""");iferror(filter('Student Groupings'!$A:$A,'Student Groupings'!$E:$E=$C304,'Student Groupings"&amp;"'!$H:$H=""Can't be Together""),"""")})="" - "","""",join("" - "",{iferror(filter('Student Groupings'!$A:$A,'Student Groupings'!$B:$B=$C304,'Student Groupings'!$H:$H=""Can't be Together""),"""");iferror(filter('Student Groupings'!$A:$A,'Student Groupings'!"&amp;"$E:$E=$C304,'Student Groupings'!$H:$H=""Can't be Together""),"""")})))"),"")</f>
        <v/>
      </c>
      <c r="AI304" s="185" t="str">
        <f>IFERROR(__xludf.DUMMYFUNCTION("if($C304="""","""",if(join("" - "",{iferror(filter('Student Groupings'!$A:$A,'Student Groupings'!$B:$B=$C304,'Student Groupings'!$H:$H=""Must be Together""),"""");iferror(filter('Student Groupings'!$A:$A,'Student Groupings'!$E:$E=$C304,'Student Groupings'"&amp;"!$H:$H=""Must be Together""),"""")})="" - "","""",join("" - "",{iferror(filter('Student Groupings'!$A:$A,'Student Groupings'!$B:$B=$C304,'Student Groupings'!$H:$H=""Must be Together""),"""");iferror(filter('Student Groupings'!$A:$A,'Student Groupings'!$E:"&amp;"$E=$C304,'Student Groupings'!$H:$H=""Must be Together""),"""")})))"),"")</f>
        <v/>
      </c>
    </row>
    <row r="305">
      <c r="A305" s="167">
        <v>11.0</v>
      </c>
      <c r="B305" s="168">
        <v>27160.0</v>
      </c>
      <c r="C305" s="144" t="s">
        <v>457</v>
      </c>
      <c r="D305" s="180" t="s">
        <v>38</v>
      </c>
      <c r="E305" s="181">
        <v>7.0</v>
      </c>
      <c r="F305" s="167" t="s">
        <v>66</v>
      </c>
      <c r="G305" s="167">
        <v>6.0</v>
      </c>
      <c r="H305" s="182" t="s">
        <v>81</v>
      </c>
      <c r="I305" s="167">
        <v>2.0</v>
      </c>
      <c r="J305" s="183"/>
      <c r="K305" s="167"/>
      <c r="L305" s="184" t="s">
        <v>90</v>
      </c>
      <c r="M305" s="167">
        <v>5.0</v>
      </c>
      <c r="N305" s="184" t="s">
        <v>132</v>
      </c>
      <c r="O305" s="167">
        <v>1.0</v>
      </c>
      <c r="P305" s="184" t="s">
        <v>27</v>
      </c>
      <c r="Q305" s="167">
        <v>8.0</v>
      </c>
      <c r="R305" s="184" t="s">
        <v>105</v>
      </c>
      <c r="S305" s="167">
        <v>4.0</v>
      </c>
      <c r="T305" s="187"/>
      <c r="U305" s="167"/>
      <c r="V305" s="184" t="s">
        <v>117</v>
      </c>
      <c r="W305" s="167">
        <v>3.0</v>
      </c>
      <c r="X305" s="142">
        <v>1.0</v>
      </c>
      <c r="Y305" s="142">
        <v>1.0</v>
      </c>
      <c r="Z305" s="142">
        <v>1.0</v>
      </c>
      <c r="AA305" s="142">
        <v>1.0</v>
      </c>
      <c r="AB305" s="142">
        <v>1.0</v>
      </c>
      <c r="AC305" s="142">
        <v>1.0</v>
      </c>
      <c r="AD305" s="142">
        <v>1.0</v>
      </c>
      <c r="AE305" s="142">
        <v>1.0</v>
      </c>
      <c r="AF305" s="142">
        <v>8.0</v>
      </c>
      <c r="AG305" s="142">
        <v>0.0</v>
      </c>
      <c r="AH305" s="185" t="str">
        <f>IFERROR(__xludf.DUMMYFUNCTION("if($C305="""","""",if(join("" - "",{iferror(filter('Student Groupings'!$A:$A,'Student Groupings'!$B:$B=$C305,'Student Groupings'!$H:$H=""Can't be Together""),"""");iferror(filter('Student Groupings'!$A:$A,'Student Groupings'!$E:$E=$C305,'Student Groupings"&amp;"'!$H:$H=""Can't be Together""),"""")})="" - "","""",join("" - "",{iferror(filter('Student Groupings'!$A:$A,'Student Groupings'!$B:$B=$C305,'Student Groupings'!$H:$H=""Can't be Together""),"""");iferror(filter('Student Groupings'!$A:$A,'Student Groupings'!"&amp;"$E:$E=$C305,'Student Groupings'!$H:$H=""Can't be Together""),"""")})))"),"")</f>
        <v/>
      </c>
      <c r="AI305" s="185" t="str">
        <f>IFERROR(__xludf.DUMMYFUNCTION("if($C305="""","""",if(join("" - "",{iferror(filter('Student Groupings'!$A:$A,'Student Groupings'!$B:$B=$C305,'Student Groupings'!$H:$H=""Must be Together""),"""");iferror(filter('Student Groupings'!$A:$A,'Student Groupings'!$E:$E=$C305,'Student Groupings'"&amp;"!$H:$H=""Must be Together""),"""")})="" - "","""",join("" - "",{iferror(filter('Student Groupings'!$A:$A,'Student Groupings'!$B:$B=$C305,'Student Groupings'!$H:$H=""Must be Together""),"""");iferror(filter('Student Groupings'!$A:$A,'Student Groupings'!$E:"&amp;"$E=$C305,'Student Groupings'!$H:$H=""Must be Together""),"""")})))"),"")</f>
        <v/>
      </c>
    </row>
    <row r="306">
      <c r="A306" s="167">
        <v>11.0</v>
      </c>
      <c r="B306" s="194">
        <v>27030.0</v>
      </c>
      <c r="C306" s="144" t="s">
        <v>458</v>
      </c>
      <c r="D306" s="180" t="s">
        <v>43</v>
      </c>
      <c r="E306" s="181">
        <v>4.0</v>
      </c>
      <c r="F306" s="167" t="s">
        <v>66</v>
      </c>
      <c r="G306" s="167">
        <v>3.0</v>
      </c>
      <c r="H306" s="196" t="s">
        <v>79</v>
      </c>
      <c r="I306" s="167">
        <v>8.0</v>
      </c>
      <c r="J306" s="187"/>
      <c r="K306" s="167"/>
      <c r="L306" s="184" t="s">
        <v>90</v>
      </c>
      <c r="M306" s="180">
        <v>7.0</v>
      </c>
      <c r="N306" s="184" t="s">
        <v>132</v>
      </c>
      <c r="O306" s="167">
        <v>2.0</v>
      </c>
      <c r="P306" s="184" t="s">
        <v>34</v>
      </c>
      <c r="Q306" s="167">
        <v>1.0</v>
      </c>
      <c r="R306" s="184" t="s">
        <v>101</v>
      </c>
      <c r="S306" s="167">
        <v>6.0</v>
      </c>
      <c r="T306" s="187"/>
      <c r="U306" s="167"/>
      <c r="V306" s="182" t="s">
        <v>115</v>
      </c>
      <c r="W306" s="167">
        <v>5.0</v>
      </c>
      <c r="X306" s="142">
        <v>1.0</v>
      </c>
      <c r="Y306" s="142">
        <v>1.0</v>
      </c>
      <c r="Z306" s="142">
        <v>1.0</v>
      </c>
      <c r="AA306" s="142">
        <v>1.0</v>
      </c>
      <c r="AB306" s="142">
        <v>1.0</v>
      </c>
      <c r="AC306" s="142">
        <v>1.0</v>
      </c>
      <c r="AD306" s="142">
        <v>1.0</v>
      </c>
      <c r="AE306" s="142">
        <v>1.0</v>
      </c>
      <c r="AF306" s="142">
        <v>8.0</v>
      </c>
      <c r="AG306" s="142">
        <v>0.0</v>
      </c>
      <c r="AH306" s="185" t="str">
        <f>IFERROR(__xludf.DUMMYFUNCTION("if($C306="""","""",if(join("" - "",{iferror(filter('Student Groupings'!$A:$A,'Student Groupings'!$B:$B=$C306,'Student Groupings'!$H:$H=""Can't be Together""),"""");iferror(filter('Student Groupings'!$A:$A,'Student Groupings'!$E:$E=$C306,'Student Groupings"&amp;"'!$H:$H=""Can't be Together""),"""")})="" - "","""",join("" - "",{iferror(filter('Student Groupings'!$A:$A,'Student Groupings'!$B:$B=$C306,'Student Groupings'!$H:$H=""Can't be Together""),"""");iferror(filter('Student Groupings'!$A:$A,'Student Groupings'!"&amp;"$E:$E=$C306,'Student Groupings'!$H:$H=""Can't be Together""),"""")})))"),"")</f>
        <v/>
      </c>
      <c r="AI306" s="185" t="str">
        <f>IFERROR(__xludf.DUMMYFUNCTION("if($C306="""","""",if(join("" - "",{iferror(filter('Student Groupings'!$A:$A,'Student Groupings'!$B:$B=$C306,'Student Groupings'!$H:$H=""Must be Together""),"""");iferror(filter('Student Groupings'!$A:$A,'Student Groupings'!$E:$E=$C306,'Student Groupings'"&amp;"!$H:$H=""Must be Together""),"""")})="" - "","""",join("" - "",{iferror(filter('Student Groupings'!$A:$A,'Student Groupings'!$B:$B=$C306,'Student Groupings'!$H:$H=""Must be Together""),"""");iferror(filter('Student Groupings'!$A:$A,'Student Groupings'!$E:"&amp;"$E=$C306,'Student Groupings'!$H:$H=""Must be Together""),"""")})))"),"")</f>
        <v/>
      </c>
    </row>
    <row r="307">
      <c r="A307" s="167">
        <v>11.0</v>
      </c>
      <c r="B307" s="194">
        <v>27023.0</v>
      </c>
      <c r="C307" s="144" t="s">
        <v>459</v>
      </c>
      <c r="D307" s="180" t="s">
        <v>45</v>
      </c>
      <c r="E307" s="181">
        <v>8.0</v>
      </c>
      <c r="F307" s="167" t="s">
        <v>66</v>
      </c>
      <c r="G307" s="167">
        <v>5.0</v>
      </c>
      <c r="H307" s="182" t="s">
        <v>70</v>
      </c>
      <c r="I307" s="167">
        <v>2.0</v>
      </c>
      <c r="J307" s="183"/>
      <c r="K307" s="167"/>
      <c r="L307" s="184" t="s">
        <v>92</v>
      </c>
      <c r="M307" s="167">
        <v>1.0</v>
      </c>
      <c r="N307" s="184" t="s">
        <v>132</v>
      </c>
      <c r="O307" s="167">
        <v>4.0</v>
      </c>
      <c r="P307" s="184" t="s">
        <v>28</v>
      </c>
      <c r="Q307" s="167">
        <v>3.0</v>
      </c>
      <c r="R307" s="184" t="s">
        <v>107</v>
      </c>
      <c r="S307" s="167">
        <v>6.0</v>
      </c>
      <c r="T307" s="187"/>
      <c r="U307" s="167"/>
      <c r="V307" s="184" t="s">
        <v>98</v>
      </c>
      <c r="W307" s="167">
        <v>7.0</v>
      </c>
      <c r="X307" s="142">
        <v>1.0</v>
      </c>
      <c r="Y307" s="142">
        <v>1.0</v>
      </c>
      <c r="Z307" s="142">
        <v>1.0</v>
      </c>
      <c r="AA307" s="142">
        <v>1.0</v>
      </c>
      <c r="AB307" s="142">
        <v>1.0</v>
      </c>
      <c r="AC307" s="142">
        <v>1.0</v>
      </c>
      <c r="AD307" s="142">
        <v>1.0</v>
      </c>
      <c r="AE307" s="142">
        <v>1.0</v>
      </c>
      <c r="AF307" s="142">
        <v>8.0</v>
      </c>
      <c r="AG307" s="142">
        <v>0.0</v>
      </c>
      <c r="AH307" s="185" t="str">
        <f>IFERROR(__xludf.DUMMYFUNCTION("if($C307="""","""",if(join("" - "",{iferror(filter('Student Groupings'!$A:$A,'Student Groupings'!$B:$B=$C307,'Student Groupings'!$H:$H=""Can't be Together""),"""");iferror(filter('Student Groupings'!$A:$A,'Student Groupings'!$E:$E=$C307,'Student Groupings"&amp;"'!$H:$H=""Can't be Together""),"""")})="" - "","""",join("" - "",{iferror(filter('Student Groupings'!$A:$A,'Student Groupings'!$B:$B=$C307,'Student Groupings'!$H:$H=""Can't be Together""),"""");iferror(filter('Student Groupings'!$A:$A,'Student Groupings'!"&amp;"$E:$E=$C307,'Student Groupings'!$H:$H=""Can't be Together""),"""")})))"),"")</f>
        <v/>
      </c>
      <c r="AI307" s="185" t="str">
        <f>IFERROR(__xludf.DUMMYFUNCTION("if($C307="""","""",if(join("" - "",{iferror(filter('Student Groupings'!$A:$A,'Student Groupings'!$B:$B=$C307,'Student Groupings'!$H:$H=""Must be Together""),"""");iferror(filter('Student Groupings'!$A:$A,'Student Groupings'!$E:$E=$C307,'Student Groupings'"&amp;"!$H:$H=""Must be Together""),"""")})="" - "","""",join("" - "",{iferror(filter('Student Groupings'!$A:$A,'Student Groupings'!$B:$B=$C307,'Student Groupings'!$H:$H=""Must be Together""),"""");iferror(filter('Student Groupings'!$A:$A,'Student Groupings'!$E:"&amp;"$E=$C307,'Student Groupings'!$H:$H=""Must be Together""),"""")})))")," - 31 - 86")</f>
        <v> - 31 - 86</v>
      </c>
    </row>
    <row r="308">
      <c r="A308" s="167">
        <v>11.0</v>
      </c>
      <c r="B308" s="168">
        <v>27138.0</v>
      </c>
      <c r="C308" s="144" t="s">
        <v>460</v>
      </c>
      <c r="D308" s="180" t="s">
        <v>41</v>
      </c>
      <c r="E308" s="181">
        <v>2.0</v>
      </c>
      <c r="F308" s="167" t="s">
        <v>57</v>
      </c>
      <c r="G308" s="167">
        <v>8.0</v>
      </c>
      <c r="H308" s="182" t="s">
        <v>79</v>
      </c>
      <c r="I308" s="167">
        <v>6.0</v>
      </c>
      <c r="J308" s="187"/>
      <c r="K308" s="167"/>
      <c r="L308" s="184" t="s">
        <v>90</v>
      </c>
      <c r="M308" s="167">
        <v>1.0</v>
      </c>
      <c r="N308" s="184" t="s">
        <v>132</v>
      </c>
      <c r="O308" s="167">
        <v>3.0</v>
      </c>
      <c r="P308" s="184" t="s">
        <v>30</v>
      </c>
      <c r="Q308" s="167">
        <v>4.0</v>
      </c>
      <c r="R308" s="184" t="s">
        <v>111</v>
      </c>
      <c r="S308" s="167">
        <v>5.0</v>
      </c>
      <c r="T308" s="187"/>
      <c r="U308" s="167"/>
      <c r="V308" s="184" t="s">
        <v>105</v>
      </c>
      <c r="W308" s="167">
        <v>7.0</v>
      </c>
      <c r="X308" s="142">
        <v>1.0</v>
      </c>
      <c r="Y308" s="142">
        <v>1.0</v>
      </c>
      <c r="Z308" s="142">
        <v>1.0</v>
      </c>
      <c r="AA308" s="142">
        <v>1.0</v>
      </c>
      <c r="AB308" s="142">
        <v>1.0</v>
      </c>
      <c r="AC308" s="142">
        <v>1.0</v>
      </c>
      <c r="AD308" s="142">
        <v>1.0</v>
      </c>
      <c r="AE308" s="142">
        <v>1.0</v>
      </c>
      <c r="AF308" s="142">
        <v>8.0</v>
      </c>
      <c r="AG308" s="142">
        <v>0.0</v>
      </c>
      <c r="AH308" s="185" t="str">
        <f>IFERROR(__xludf.DUMMYFUNCTION("if($C308="""","""",if(join("" - "",{iferror(filter('Student Groupings'!$A:$A,'Student Groupings'!$B:$B=$C308,'Student Groupings'!$H:$H=""Can't be Together""),"""");iferror(filter('Student Groupings'!$A:$A,'Student Groupings'!$E:$E=$C308,'Student Groupings"&amp;"'!$H:$H=""Can't be Together""),"""")})="" - "","""",join("" - "",{iferror(filter('Student Groupings'!$A:$A,'Student Groupings'!$B:$B=$C308,'Student Groupings'!$H:$H=""Can't be Together""),"""");iferror(filter('Student Groupings'!$A:$A,'Student Groupings'!"&amp;"$E:$E=$C308,'Student Groupings'!$H:$H=""Can't be Together""),"""")})))"),"")</f>
        <v/>
      </c>
      <c r="AI308" s="185" t="str">
        <f>IFERROR(__xludf.DUMMYFUNCTION("if($C308="""","""",if(join("" - "",{iferror(filter('Student Groupings'!$A:$A,'Student Groupings'!$B:$B=$C308,'Student Groupings'!$H:$H=""Must be Together""),"""");iferror(filter('Student Groupings'!$A:$A,'Student Groupings'!$E:$E=$C308,'Student Groupings'"&amp;"!$H:$H=""Must be Together""),"""")})="" - "","""",join("" - "",{iferror(filter('Student Groupings'!$A:$A,'Student Groupings'!$B:$B=$C308,'Student Groupings'!$H:$H=""Must be Together""),"""");iferror(filter('Student Groupings'!$A:$A,'Student Groupings'!$E:"&amp;"$E=$C308,'Student Groupings'!$H:$H=""Must be Together""),"""")})))"),"")</f>
        <v/>
      </c>
    </row>
    <row r="309">
      <c r="A309" s="167">
        <v>11.0</v>
      </c>
      <c r="B309" s="168">
        <v>27091.0</v>
      </c>
      <c r="C309" s="144" t="s">
        <v>461</v>
      </c>
      <c r="D309" s="180" t="s">
        <v>49</v>
      </c>
      <c r="E309" s="181">
        <v>7.0</v>
      </c>
      <c r="F309" s="167" t="s">
        <v>54</v>
      </c>
      <c r="G309" s="167">
        <v>8.0</v>
      </c>
      <c r="H309" s="182" t="s">
        <v>79</v>
      </c>
      <c r="I309" s="167">
        <v>6.0</v>
      </c>
      <c r="J309" s="183"/>
      <c r="K309" s="167"/>
      <c r="L309" s="184" t="s">
        <v>90</v>
      </c>
      <c r="M309" s="167">
        <v>5.0</v>
      </c>
      <c r="N309" s="184" t="s">
        <v>132</v>
      </c>
      <c r="O309" s="167">
        <v>4.0</v>
      </c>
      <c r="P309" s="184" t="s">
        <v>23</v>
      </c>
      <c r="Q309" s="167">
        <v>2.0</v>
      </c>
      <c r="R309" s="184" t="s">
        <v>107</v>
      </c>
      <c r="S309" s="167">
        <v>1.0</v>
      </c>
      <c r="T309" s="187"/>
      <c r="U309" s="167"/>
      <c r="V309" s="182" t="s">
        <v>115</v>
      </c>
      <c r="W309" s="167">
        <v>3.0</v>
      </c>
      <c r="X309" s="142">
        <v>1.0</v>
      </c>
      <c r="Y309" s="142">
        <v>1.0</v>
      </c>
      <c r="Z309" s="142">
        <v>1.0</v>
      </c>
      <c r="AA309" s="142">
        <v>1.0</v>
      </c>
      <c r="AB309" s="142">
        <v>1.0</v>
      </c>
      <c r="AC309" s="142">
        <v>1.0</v>
      </c>
      <c r="AD309" s="142">
        <v>1.0</v>
      </c>
      <c r="AE309" s="142">
        <v>1.0</v>
      </c>
      <c r="AF309" s="142">
        <v>8.0</v>
      </c>
      <c r="AG309" s="142">
        <v>0.0</v>
      </c>
      <c r="AH309" s="185" t="str">
        <f>IFERROR(__xludf.DUMMYFUNCTION("if($C309="""","""",if(join("" - "",{iferror(filter('Student Groupings'!$A:$A,'Student Groupings'!$B:$B=$C309,'Student Groupings'!$H:$H=""Can't be Together""),"""");iferror(filter('Student Groupings'!$A:$A,'Student Groupings'!$E:$E=$C309,'Student Groupings"&amp;"'!$H:$H=""Can't be Together""),"""")})="" - "","""",join("" - "",{iferror(filter('Student Groupings'!$A:$A,'Student Groupings'!$B:$B=$C309,'Student Groupings'!$H:$H=""Can't be Together""),"""");iferror(filter('Student Groupings'!$A:$A,'Student Groupings'!"&amp;"$E:$E=$C309,'Student Groupings'!$H:$H=""Can't be Together""),"""")})))"),"")</f>
        <v/>
      </c>
      <c r="AI309" s="185" t="str">
        <f>IFERROR(__xludf.DUMMYFUNCTION("if($C309="""","""",if(join("" - "",{iferror(filter('Student Groupings'!$A:$A,'Student Groupings'!$B:$B=$C309,'Student Groupings'!$H:$H=""Must be Together""),"""");iferror(filter('Student Groupings'!$A:$A,'Student Groupings'!$E:$E=$C309,'Student Groupings'"&amp;"!$H:$H=""Must be Together""),"""")})="" - "","""",join("" - "",{iferror(filter('Student Groupings'!$A:$A,'Student Groupings'!$B:$B=$C309,'Student Groupings'!$H:$H=""Must be Together""),"""");iferror(filter('Student Groupings'!$A:$A,'Student Groupings'!$E:"&amp;"$E=$C309,'Student Groupings'!$H:$H=""Must be Together""),"""")})))"),"")</f>
        <v/>
      </c>
    </row>
    <row r="310">
      <c r="A310" s="167">
        <v>11.0</v>
      </c>
      <c r="B310" s="168">
        <v>27063.0</v>
      </c>
      <c r="C310" s="144" t="s">
        <v>462</v>
      </c>
      <c r="D310" s="180" t="s">
        <v>43</v>
      </c>
      <c r="E310" s="181">
        <v>4.0</v>
      </c>
      <c r="F310" s="167" t="s">
        <v>66</v>
      </c>
      <c r="G310" s="167">
        <v>3.0</v>
      </c>
      <c r="H310" s="182" t="s">
        <v>79</v>
      </c>
      <c r="I310" s="167">
        <v>1.0</v>
      </c>
      <c r="J310" s="187"/>
      <c r="K310" s="167"/>
      <c r="L310" s="184" t="s">
        <v>90</v>
      </c>
      <c r="M310" s="167">
        <v>7.0</v>
      </c>
      <c r="N310" s="184" t="s">
        <v>132</v>
      </c>
      <c r="O310" s="167">
        <v>2.0</v>
      </c>
      <c r="P310" s="184" t="s">
        <v>29</v>
      </c>
      <c r="Q310" s="167">
        <v>6.0</v>
      </c>
      <c r="R310" s="184" t="s">
        <v>105</v>
      </c>
      <c r="S310" s="167">
        <v>8.0</v>
      </c>
      <c r="T310" s="187"/>
      <c r="U310" s="167"/>
      <c r="V310" s="182" t="s">
        <v>115</v>
      </c>
      <c r="W310" s="167">
        <v>5.0</v>
      </c>
      <c r="X310" s="142">
        <v>1.0</v>
      </c>
      <c r="Y310" s="142">
        <v>1.0</v>
      </c>
      <c r="Z310" s="142">
        <v>1.0</v>
      </c>
      <c r="AA310" s="142">
        <v>1.0</v>
      </c>
      <c r="AB310" s="142">
        <v>1.0</v>
      </c>
      <c r="AC310" s="142">
        <v>1.0</v>
      </c>
      <c r="AD310" s="142">
        <v>1.0</v>
      </c>
      <c r="AE310" s="142">
        <v>1.0</v>
      </c>
      <c r="AF310" s="142">
        <v>8.0</v>
      </c>
      <c r="AG310" s="142">
        <v>0.0</v>
      </c>
      <c r="AH310" s="185" t="str">
        <f>IFERROR(__xludf.DUMMYFUNCTION("if($C310="""","""",if(join("" - "",{iferror(filter('Student Groupings'!$A:$A,'Student Groupings'!$B:$B=$C310,'Student Groupings'!$H:$H=""Can't be Together""),"""");iferror(filter('Student Groupings'!$A:$A,'Student Groupings'!$E:$E=$C310,'Student Groupings"&amp;"'!$H:$H=""Can't be Together""),"""")})="" - "","""",join("" - "",{iferror(filter('Student Groupings'!$A:$A,'Student Groupings'!$B:$B=$C310,'Student Groupings'!$H:$H=""Can't be Together""),"""");iferror(filter('Student Groupings'!$A:$A,'Student Groupings'!"&amp;"$E:$E=$C310,'Student Groupings'!$H:$H=""Can't be Together""),"""")})))"),"")</f>
        <v/>
      </c>
      <c r="AI310" s="185" t="str">
        <f>IFERROR(__xludf.DUMMYFUNCTION("if($C310="""","""",if(join("" - "",{iferror(filter('Student Groupings'!$A:$A,'Student Groupings'!$B:$B=$C310,'Student Groupings'!$H:$H=""Must be Together""),"""");iferror(filter('Student Groupings'!$A:$A,'Student Groupings'!$E:$E=$C310,'Student Groupings'"&amp;"!$H:$H=""Must be Together""),"""")})="" - "","""",join("" - "",{iferror(filter('Student Groupings'!$A:$A,'Student Groupings'!$B:$B=$C310,'Student Groupings'!$H:$H=""Must be Together""),"""");iferror(filter('Student Groupings'!$A:$A,'Student Groupings'!$E:"&amp;"$E=$C310,'Student Groupings'!$H:$H=""Must be Together""),"""")})))")," - 89")</f>
        <v> - 89</v>
      </c>
    </row>
    <row r="311">
      <c r="A311" s="167">
        <v>11.0</v>
      </c>
      <c r="B311" s="168">
        <v>27147.0</v>
      </c>
      <c r="C311" s="144" t="s">
        <v>463</v>
      </c>
      <c r="D311" s="180" t="s">
        <v>38</v>
      </c>
      <c r="E311" s="181">
        <v>8.0</v>
      </c>
      <c r="F311" s="167" t="s">
        <v>57</v>
      </c>
      <c r="G311" s="167">
        <v>5.0</v>
      </c>
      <c r="H311" s="182" t="s">
        <v>81</v>
      </c>
      <c r="I311" s="167">
        <v>2.0</v>
      </c>
      <c r="J311" s="187"/>
      <c r="K311" s="167"/>
      <c r="L311" s="184" t="s">
        <v>92</v>
      </c>
      <c r="M311" s="167">
        <v>1.0</v>
      </c>
      <c r="N311" s="184" t="s">
        <v>132</v>
      </c>
      <c r="O311" s="167">
        <v>4.0</v>
      </c>
      <c r="P311" s="184" t="s">
        <v>23</v>
      </c>
      <c r="Q311" s="167">
        <v>6.0</v>
      </c>
      <c r="R311" s="184" t="s">
        <v>107</v>
      </c>
      <c r="S311" s="167">
        <v>7.0</v>
      </c>
      <c r="T311" s="187"/>
      <c r="U311" s="167"/>
      <c r="V311" s="184" t="s">
        <v>117</v>
      </c>
      <c r="W311" s="167">
        <v>3.0</v>
      </c>
      <c r="X311" s="142">
        <v>1.0</v>
      </c>
      <c r="Y311" s="142">
        <v>1.0</v>
      </c>
      <c r="Z311" s="142">
        <v>1.0</v>
      </c>
      <c r="AA311" s="142">
        <v>1.0</v>
      </c>
      <c r="AB311" s="142">
        <v>1.0</v>
      </c>
      <c r="AC311" s="142">
        <v>1.0</v>
      </c>
      <c r="AD311" s="142">
        <v>1.0</v>
      </c>
      <c r="AE311" s="142">
        <v>1.0</v>
      </c>
      <c r="AF311" s="142">
        <v>8.0</v>
      </c>
      <c r="AG311" s="142">
        <v>0.0</v>
      </c>
      <c r="AH311" s="185" t="str">
        <f>IFERROR(__xludf.DUMMYFUNCTION("if($C311="""","""",if(join("" - "",{iferror(filter('Student Groupings'!$A:$A,'Student Groupings'!$B:$B=$C311,'Student Groupings'!$H:$H=""Can't be Together""),"""");iferror(filter('Student Groupings'!$A:$A,'Student Groupings'!$E:$E=$C311,'Student Groupings"&amp;"'!$H:$H=""Can't be Together""),"""")})="" - "","""",join("" - "",{iferror(filter('Student Groupings'!$A:$A,'Student Groupings'!$B:$B=$C311,'Student Groupings'!$H:$H=""Can't be Together""),"""");iferror(filter('Student Groupings'!$A:$A,'Student Groupings'!"&amp;"$E:$E=$C311,'Student Groupings'!$H:$H=""Can't be Together""),"""")})))"),"")</f>
        <v/>
      </c>
      <c r="AI311" s="185" t="str">
        <f>IFERROR(__xludf.DUMMYFUNCTION("if($C311="""","""",if(join("" - "",{iferror(filter('Student Groupings'!$A:$A,'Student Groupings'!$B:$B=$C311,'Student Groupings'!$H:$H=""Must be Together""),"""");iferror(filter('Student Groupings'!$A:$A,'Student Groupings'!$E:$E=$C311,'Student Groupings'"&amp;"!$H:$H=""Must be Together""),"""")})="" - "","""",join("" - "",{iferror(filter('Student Groupings'!$A:$A,'Student Groupings'!$B:$B=$C311,'Student Groupings'!$H:$H=""Must be Together""),"""");iferror(filter('Student Groupings'!$A:$A,'Student Groupings'!$E:"&amp;"$E=$C311,'Student Groupings'!$H:$H=""Must be Together""),"""")})))"),"29 - ")</f>
        <v>29 - </v>
      </c>
    </row>
    <row r="312">
      <c r="A312" s="167">
        <v>11.0</v>
      </c>
      <c r="B312" s="168">
        <v>27129.0</v>
      </c>
      <c r="C312" s="144" t="s">
        <v>464</v>
      </c>
      <c r="D312" s="180" t="s">
        <v>43</v>
      </c>
      <c r="E312" s="181">
        <v>1.0</v>
      </c>
      <c r="F312" s="167" t="s">
        <v>66</v>
      </c>
      <c r="G312" s="167">
        <v>4.0</v>
      </c>
      <c r="H312" s="182" t="s">
        <v>81</v>
      </c>
      <c r="I312" s="167">
        <v>2.0</v>
      </c>
      <c r="J312" s="183"/>
      <c r="K312" s="167"/>
      <c r="L312" s="184" t="s">
        <v>90</v>
      </c>
      <c r="M312" s="167">
        <v>5.0</v>
      </c>
      <c r="N312" s="184" t="s">
        <v>132</v>
      </c>
      <c r="O312" s="167">
        <v>6.0</v>
      </c>
      <c r="P312" s="184" t="s">
        <v>35</v>
      </c>
      <c r="Q312" s="167">
        <v>8.0</v>
      </c>
      <c r="R312" s="184" t="s">
        <v>105</v>
      </c>
      <c r="S312" s="167">
        <v>7.0</v>
      </c>
      <c r="T312" s="187"/>
      <c r="U312" s="167"/>
      <c r="V312" s="182" t="s">
        <v>115</v>
      </c>
      <c r="W312" s="45">
        <v>3.0</v>
      </c>
      <c r="X312" s="142">
        <v>1.0</v>
      </c>
      <c r="Y312" s="142">
        <v>1.0</v>
      </c>
      <c r="Z312" s="142">
        <v>1.0</v>
      </c>
      <c r="AA312" s="142">
        <v>1.0</v>
      </c>
      <c r="AB312" s="142">
        <v>1.0</v>
      </c>
      <c r="AC312" s="142">
        <v>1.0</v>
      </c>
      <c r="AD312" s="142">
        <v>1.0</v>
      </c>
      <c r="AE312" s="142">
        <v>1.0</v>
      </c>
      <c r="AF312" s="142">
        <v>8.0</v>
      </c>
      <c r="AG312" s="142">
        <v>0.0</v>
      </c>
      <c r="AH312" s="185" t="str">
        <f>IFERROR(__xludf.DUMMYFUNCTION("if($C312="""","""",if(join("" - "",{iferror(filter('Student Groupings'!$A:$A,'Student Groupings'!$B:$B=$C312,'Student Groupings'!$H:$H=""Can't be Together""),"""");iferror(filter('Student Groupings'!$A:$A,'Student Groupings'!$E:$E=$C312,'Student Groupings"&amp;"'!$H:$H=""Can't be Together""),"""")})="" - "","""",join("" - "",{iferror(filter('Student Groupings'!$A:$A,'Student Groupings'!$B:$B=$C312,'Student Groupings'!$H:$H=""Can't be Together""),"""");iferror(filter('Student Groupings'!$A:$A,'Student Groupings'!"&amp;"$E:$E=$C312,'Student Groupings'!$H:$H=""Can't be Together""),"""")})))"),"")</f>
        <v/>
      </c>
      <c r="AI312" s="185" t="str">
        <f>IFERROR(__xludf.DUMMYFUNCTION("if($C312="""","""",if(join("" - "",{iferror(filter('Student Groupings'!$A:$A,'Student Groupings'!$B:$B=$C312,'Student Groupings'!$H:$H=""Must be Together""),"""");iferror(filter('Student Groupings'!$A:$A,'Student Groupings'!$E:$E=$C312,'Student Groupings'"&amp;"!$H:$H=""Must be Together""),"""")})="" - "","""",join("" - "",{iferror(filter('Student Groupings'!$A:$A,'Student Groupings'!$B:$B=$C312,'Student Groupings'!$H:$H=""Must be Together""),"""");iferror(filter('Student Groupings'!$A:$A,'Student Groupings'!$E:"&amp;"$E=$C312,'Student Groupings'!$H:$H=""Must be Together""),"""")})))"),"")</f>
        <v/>
      </c>
    </row>
    <row r="313">
      <c r="A313" s="167">
        <v>11.0</v>
      </c>
      <c r="B313" s="168">
        <v>27015.0</v>
      </c>
      <c r="C313" s="144" t="s">
        <v>465</v>
      </c>
      <c r="D313" s="180" t="s">
        <v>43</v>
      </c>
      <c r="E313" s="181">
        <v>1.0</v>
      </c>
      <c r="F313" s="167" t="s">
        <v>66</v>
      </c>
      <c r="G313" s="167">
        <v>6.0</v>
      </c>
      <c r="H313" s="182" t="s">
        <v>79</v>
      </c>
      <c r="I313" s="167">
        <v>3.0</v>
      </c>
      <c r="J313" s="187"/>
      <c r="K313" s="167"/>
      <c r="L313" s="184" t="s">
        <v>90</v>
      </c>
      <c r="M313" s="167">
        <v>7.0</v>
      </c>
      <c r="N313" s="184" t="s">
        <v>132</v>
      </c>
      <c r="O313" s="167">
        <v>2.0</v>
      </c>
      <c r="P313" s="184" t="s">
        <v>24</v>
      </c>
      <c r="Q313" s="167">
        <v>8.0</v>
      </c>
      <c r="R313" s="184" t="s">
        <v>105</v>
      </c>
      <c r="S313" s="167">
        <v>4.0</v>
      </c>
      <c r="T313" s="187"/>
      <c r="U313" s="167"/>
      <c r="V313" s="184" t="s">
        <v>111</v>
      </c>
      <c r="W313" s="167">
        <v>5.0</v>
      </c>
      <c r="X313" s="142">
        <v>1.0</v>
      </c>
      <c r="Y313" s="142">
        <v>1.0</v>
      </c>
      <c r="Z313" s="142">
        <v>1.0</v>
      </c>
      <c r="AA313" s="142">
        <v>1.0</v>
      </c>
      <c r="AB313" s="142">
        <v>1.0</v>
      </c>
      <c r="AC313" s="142">
        <v>1.0</v>
      </c>
      <c r="AD313" s="142">
        <v>1.0</v>
      </c>
      <c r="AE313" s="142">
        <v>1.0</v>
      </c>
      <c r="AF313" s="142">
        <v>8.0</v>
      </c>
      <c r="AG313" s="142">
        <v>0.0</v>
      </c>
      <c r="AH313" s="185" t="str">
        <f>IFERROR(__xludf.DUMMYFUNCTION("if($C313="""","""",if(join("" - "",{iferror(filter('Student Groupings'!$A:$A,'Student Groupings'!$B:$B=$C313,'Student Groupings'!$H:$H=""Can't be Together""),"""");iferror(filter('Student Groupings'!$A:$A,'Student Groupings'!$E:$E=$C313,'Student Groupings"&amp;"'!$H:$H=""Can't be Together""),"""")})="" - "","""",join("" - "",{iferror(filter('Student Groupings'!$A:$A,'Student Groupings'!$B:$B=$C313,'Student Groupings'!$H:$H=""Can't be Together""),"""");iferror(filter('Student Groupings'!$A:$A,'Student Groupings'!"&amp;"$E:$E=$C313,'Student Groupings'!$H:$H=""Can't be Together""),"""")})))"),"")</f>
        <v/>
      </c>
      <c r="AI313" s="185" t="str">
        <f>IFERROR(__xludf.DUMMYFUNCTION("if($C313="""","""",if(join("" - "",{iferror(filter('Student Groupings'!$A:$A,'Student Groupings'!$B:$B=$C313,'Student Groupings'!$H:$H=""Must be Together""),"""");iferror(filter('Student Groupings'!$A:$A,'Student Groupings'!$E:$E=$C313,'Student Groupings'"&amp;"!$H:$H=""Must be Together""),"""")})="" - "","""",join("" - "",{iferror(filter('Student Groupings'!$A:$A,'Student Groupings'!$B:$B=$C313,'Student Groupings'!$H:$H=""Must be Together""),"""");iferror(filter('Student Groupings'!$A:$A,'Student Groupings'!$E:"&amp;"$E=$C313,'Student Groupings'!$H:$H=""Must be Together""),"""")})))"),"")</f>
        <v/>
      </c>
    </row>
    <row r="314">
      <c r="A314" s="167">
        <v>11.0</v>
      </c>
      <c r="B314" s="168">
        <v>27104.0</v>
      </c>
      <c r="C314" s="144" t="s">
        <v>466</v>
      </c>
      <c r="D314" s="180" t="s">
        <v>49</v>
      </c>
      <c r="E314" s="181">
        <v>7.0</v>
      </c>
      <c r="F314" s="167" t="s">
        <v>66</v>
      </c>
      <c r="G314" s="167">
        <v>1.0</v>
      </c>
      <c r="H314" s="182" t="s">
        <v>79</v>
      </c>
      <c r="I314" s="167">
        <v>8.0</v>
      </c>
      <c r="J314" s="183"/>
      <c r="K314" s="167"/>
      <c r="L314" s="184" t="s">
        <v>90</v>
      </c>
      <c r="M314" s="167">
        <v>2.0</v>
      </c>
      <c r="N314" s="184" t="s">
        <v>132</v>
      </c>
      <c r="O314" s="167">
        <v>3.0</v>
      </c>
      <c r="P314" s="184" t="s">
        <v>30</v>
      </c>
      <c r="Q314" s="167">
        <v>5.0</v>
      </c>
      <c r="R314" s="184" t="s">
        <v>111</v>
      </c>
      <c r="S314" s="167">
        <v>4.0</v>
      </c>
      <c r="T314" s="187"/>
      <c r="U314" s="167"/>
      <c r="V314" s="184" t="s">
        <v>32</v>
      </c>
      <c r="W314" s="167">
        <v>6.0</v>
      </c>
      <c r="X314" s="142">
        <v>1.0</v>
      </c>
      <c r="Y314" s="142">
        <v>1.0</v>
      </c>
      <c r="Z314" s="142">
        <v>1.0</v>
      </c>
      <c r="AA314" s="142">
        <v>1.0</v>
      </c>
      <c r="AB314" s="142">
        <v>1.0</v>
      </c>
      <c r="AC314" s="142">
        <v>1.0</v>
      </c>
      <c r="AD314" s="142">
        <v>1.0</v>
      </c>
      <c r="AE314" s="142">
        <v>1.0</v>
      </c>
      <c r="AF314" s="142">
        <v>8.0</v>
      </c>
      <c r="AG314" s="142">
        <v>0.0</v>
      </c>
      <c r="AH314" s="185" t="str">
        <f>IFERROR(__xludf.DUMMYFUNCTION("if($C314="""","""",if(join("" - "",{iferror(filter('Student Groupings'!$A:$A,'Student Groupings'!$B:$B=$C314,'Student Groupings'!$H:$H=""Can't be Together""),"""");iferror(filter('Student Groupings'!$A:$A,'Student Groupings'!$E:$E=$C314,'Student Groupings"&amp;"'!$H:$H=""Can't be Together""),"""")})="" - "","""",join("" - "",{iferror(filter('Student Groupings'!$A:$A,'Student Groupings'!$B:$B=$C314,'Student Groupings'!$H:$H=""Can't be Together""),"""");iferror(filter('Student Groupings'!$A:$A,'Student Groupings'!"&amp;"$E:$E=$C314,'Student Groupings'!$H:$H=""Can't be Together""),"""")})))"),"")</f>
        <v/>
      </c>
      <c r="AI314" s="185" t="str">
        <f>IFERROR(__xludf.DUMMYFUNCTION("if($C314="""","""",if(join("" - "",{iferror(filter('Student Groupings'!$A:$A,'Student Groupings'!$B:$B=$C314,'Student Groupings'!$H:$H=""Must be Together""),"""");iferror(filter('Student Groupings'!$A:$A,'Student Groupings'!$E:$E=$C314,'Student Groupings'"&amp;"!$H:$H=""Must be Together""),"""")})="" - "","""",join("" - "",{iferror(filter('Student Groupings'!$A:$A,'Student Groupings'!$B:$B=$C314,'Student Groupings'!$H:$H=""Must be Together""),"""");iferror(filter('Student Groupings'!$A:$A,'Student Groupings'!$E:"&amp;"$E=$C314,'Student Groupings'!$H:$H=""Must be Together""),"""")})))"),"")</f>
        <v/>
      </c>
    </row>
    <row r="315">
      <c r="A315" s="167">
        <v>11.0</v>
      </c>
      <c r="B315" s="168">
        <v>27130.0</v>
      </c>
      <c r="C315" s="144" t="s">
        <v>467</v>
      </c>
      <c r="D315" s="180" t="s">
        <v>41</v>
      </c>
      <c r="E315" s="181">
        <v>2.0</v>
      </c>
      <c r="F315" s="167" t="s">
        <v>66</v>
      </c>
      <c r="G315" s="167">
        <v>1.0</v>
      </c>
      <c r="H315" s="182" t="s">
        <v>79</v>
      </c>
      <c r="I315" s="167">
        <v>8.0</v>
      </c>
      <c r="J315" s="183"/>
      <c r="K315" s="167"/>
      <c r="L315" s="184" t="s">
        <v>90</v>
      </c>
      <c r="M315" s="167">
        <v>7.0</v>
      </c>
      <c r="N315" s="184" t="s">
        <v>132</v>
      </c>
      <c r="O315" s="167">
        <v>3.0</v>
      </c>
      <c r="P315" s="184" t="s">
        <v>30</v>
      </c>
      <c r="Q315" s="167">
        <v>4.0</v>
      </c>
      <c r="R315" s="184" t="s">
        <v>111</v>
      </c>
      <c r="S315" s="167">
        <v>5.0</v>
      </c>
      <c r="T315" s="187"/>
      <c r="U315" s="167"/>
      <c r="V315" s="184" t="s">
        <v>32</v>
      </c>
      <c r="W315" s="167">
        <v>6.0</v>
      </c>
      <c r="X315" s="142">
        <v>1.0</v>
      </c>
      <c r="Y315" s="142">
        <v>1.0</v>
      </c>
      <c r="Z315" s="142">
        <v>1.0</v>
      </c>
      <c r="AA315" s="142">
        <v>1.0</v>
      </c>
      <c r="AB315" s="142">
        <v>1.0</v>
      </c>
      <c r="AC315" s="142">
        <v>1.0</v>
      </c>
      <c r="AD315" s="142">
        <v>1.0</v>
      </c>
      <c r="AE315" s="142">
        <v>1.0</v>
      </c>
      <c r="AF315" s="142">
        <v>8.0</v>
      </c>
      <c r="AG315" s="142">
        <v>0.0</v>
      </c>
      <c r="AH315" s="185" t="str">
        <f>IFERROR(__xludf.DUMMYFUNCTION("if($C315="""","""",if(join("" - "",{iferror(filter('Student Groupings'!$A:$A,'Student Groupings'!$B:$B=$C315,'Student Groupings'!$H:$H=""Can't be Together""),"""");iferror(filter('Student Groupings'!$A:$A,'Student Groupings'!$E:$E=$C315,'Student Groupings"&amp;"'!$H:$H=""Can't be Together""),"""")})="" - "","""",join("" - "",{iferror(filter('Student Groupings'!$A:$A,'Student Groupings'!$B:$B=$C315,'Student Groupings'!$H:$H=""Can't be Together""),"""");iferror(filter('Student Groupings'!$A:$A,'Student Groupings'!"&amp;"$E:$E=$C315,'Student Groupings'!$H:$H=""Can't be Together""),"""")})))"),"")</f>
        <v/>
      </c>
      <c r="AI315" s="185" t="str">
        <f>IFERROR(__xludf.DUMMYFUNCTION("if($C315="""","""",if(join("" - "",{iferror(filter('Student Groupings'!$A:$A,'Student Groupings'!$B:$B=$C315,'Student Groupings'!$H:$H=""Must be Together""),"""");iferror(filter('Student Groupings'!$A:$A,'Student Groupings'!$E:$E=$C315,'Student Groupings'"&amp;"!$H:$H=""Must be Together""),"""")})="" - "","""",join("" - "",{iferror(filter('Student Groupings'!$A:$A,'Student Groupings'!$B:$B=$C315,'Student Groupings'!$H:$H=""Must be Together""),"""");iferror(filter('Student Groupings'!$A:$A,'Student Groupings'!$E:"&amp;"$E=$C315,'Student Groupings'!$H:$H=""Must be Together""),"""")})))"),"")</f>
        <v/>
      </c>
    </row>
    <row r="316">
      <c r="A316" s="167">
        <v>11.0</v>
      </c>
      <c r="B316" s="168">
        <v>27096.0</v>
      </c>
      <c r="C316" s="144" t="s">
        <v>468</v>
      </c>
      <c r="D316" s="180" t="s">
        <v>49</v>
      </c>
      <c r="E316" s="181">
        <v>7.0</v>
      </c>
      <c r="F316" s="167" t="s">
        <v>57</v>
      </c>
      <c r="G316" s="167">
        <v>5.0</v>
      </c>
      <c r="H316" s="182" t="s">
        <v>79</v>
      </c>
      <c r="I316" s="186">
        <v>6.0</v>
      </c>
      <c r="J316" s="183"/>
      <c r="K316" s="167"/>
      <c r="L316" s="184" t="s">
        <v>90</v>
      </c>
      <c r="M316" s="167">
        <v>1.0</v>
      </c>
      <c r="N316" s="184" t="s">
        <v>132</v>
      </c>
      <c r="O316" s="167">
        <v>4.0</v>
      </c>
      <c r="P316" s="184" t="s">
        <v>35</v>
      </c>
      <c r="Q316" s="167">
        <v>8.0</v>
      </c>
      <c r="R316" s="184" t="s">
        <v>107</v>
      </c>
      <c r="S316" s="167">
        <v>2.0</v>
      </c>
      <c r="T316" s="187"/>
      <c r="U316" s="167"/>
      <c r="V316" s="184" t="s">
        <v>85</v>
      </c>
      <c r="W316" s="167">
        <v>3.0</v>
      </c>
      <c r="X316" s="142">
        <v>1.0</v>
      </c>
      <c r="Y316" s="142">
        <v>1.0</v>
      </c>
      <c r="Z316" s="142">
        <v>1.0</v>
      </c>
      <c r="AA316" s="142">
        <v>1.0</v>
      </c>
      <c r="AB316" s="142">
        <v>1.0</v>
      </c>
      <c r="AC316" s="142">
        <v>1.0</v>
      </c>
      <c r="AD316" s="142">
        <v>1.0</v>
      </c>
      <c r="AE316" s="142">
        <v>1.0</v>
      </c>
      <c r="AF316" s="142">
        <v>8.0</v>
      </c>
      <c r="AG316" s="142">
        <v>0.0</v>
      </c>
      <c r="AH316" s="185" t="str">
        <f>IFERROR(__xludf.DUMMYFUNCTION("if($C316="""","""",if(join("" - "",{iferror(filter('Student Groupings'!$A:$A,'Student Groupings'!$B:$B=$C316,'Student Groupings'!$H:$H=""Can't be Together""),"""");iferror(filter('Student Groupings'!$A:$A,'Student Groupings'!$E:$E=$C316,'Student Groupings"&amp;"'!$H:$H=""Can't be Together""),"""")})="" - "","""",join("" - "",{iferror(filter('Student Groupings'!$A:$A,'Student Groupings'!$B:$B=$C316,'Student Groupings'!$H:$H=""Can't be Together""),"""");iferror(filter('Student Groupings'!$A:$A,'Student Groupings'!"&amp;"$E:$E=$C316,'Student Groupings'!$H:$H=""Can't be Together""),"""")})))"),"")</f>
        <v/>
      </c>
      <c r="AI316" s="185" t="str">
        <f>IFERROR(__xludf.DUMMYFUNCTION("if($C316="""","""",if(join("" - "",{iferror(filter('Student Groupings'!$A:$A,'Student Groupings'!$B:$B=$C316,'Student Groupings'!$H:$H=""Must be Together""),"""");iferror(filter('Student Groupings'!$A:$A,'Student Groupings'!$E:$E=$C316,'Student Groupings'"&amp;"!$H:$H=""Must be Together""),"""")})="" - "","""",join("" - "",{iferror(filter('Student Groupings'!$A:$A,'Student Groupings'!$B:$B=$C316,'Student Groupings'!$H:$H=""Must be Together""),"""");iferror(filter('Student Groupings'!$A:$A,'Student Groupings'!$E:"&amp;"$E=$C316,'Student Groupings'!$H:$H=""Must be Together""),"""")})))")," - 90")</f>
        <v> - 90</v>
      </c>
    </row>
    <row r="317">
      <c r="A317" s="167">
        <v>11.0</v>
      </c>
      <c r="B317" s="168">
        <v>27131.0</v>
      </c>
      <c r="C317" s="144" t="s">
        <v>469</v>
      </c>
      <c r="D317" s="180" t="s">
        <v>43</v>
      </c>
      <c r="E317" s="181">
        <v>6.0</v>
      </c>
      <c r="F317" s="167" t="s">
        <v>66</v>
      </c>
      <c r="G317" s="167">
        <v>4.0</v>
      </c>
      <c r="H317" s="182" t="s">
        <v>70</v>
      </c>
      <c r="I317" s="180">
        <v>2.0</v>
      </c>
      <c r="J317" s="183"/>
      <c r="K317" s="167"/>
      <c r="L317" s="184" t="s">
        <v>90</v>
      </c>
      <c r="M317" s="167">
        <v>1.0</v>
      </c>
      <c r="N317" s="184" t="s">
        <v>132</v>
      </c>
      <c r="O317" s="167">
        <v>3.0</v>
      </c>
      <c r="P317" s="184" t="s">
        <v>34</v>
      </c>
      <c r="Q317" s="167">
        <v>7.0</v>
      </c>
      <c r="R317" s="184" t="s">
        <v>105</v>
      </c>
      <c r="S317" s="167">
        <v>8.0</v>
      </c>
      <c r="T317" s="187"/>
      <c r="U317" s="167"/>
      <c r="V317" s="184" t="s">
        <v>111</v>
      </c>
      <c r="W317" s="167">
        <v>5.0</v>
      </c>
      <c r="X317" s="142">
        <v>1.0</v>
      </c>
      <c r="Y317" s="142">
        <v>1.0</v>
      </c>
      <c r="Z317" s="142">
        <v>1.0</v>
      </c>
      <c r="AA317" s="142">
        <v>1.0</v>
      </c>
      <c r="AB317" s="142">
        <v>1.0</v>
      </c>
      <c r="AC317" s="142">
        <v>1.0</v>
      </c>
      <c r="AD317" s="142">
        <v>1.0</v>
      </c>
      <c r="AE317" s="142">
        <v>1.0</v>
      </c>
      <c r="AF317" s="142">
        <v>8.0</v>
      </c>
      <c r="AG317" s="142">
        <v>0.0</v>
      </c>
      <c r="AH317" s="185" t="str">
        <f>IFERROR(__xludf.DUMMYFUNCTION("if($C317="""","""",if(join("" - "",{iferror(filter('Student Groupings'!$A:$A,'Student Groupings'!$B:$B=$C317,'Student Groupings'!$H:$H=""Can't be Together""),"""");iferror(filter('Student Groupings'!$A:$A,'Student Groupings'!$E:$E=$C317,'Student Groupings"&amp;"'!$H:$H=""Can't be Together""),"""")})="" - "","""",join("" - "",{iferror(filter('Student Groupings'!$A:$A,'Student Groupings'!$B:$B=$C317,'Student Groupings'!$H:$H=""Can't be Together""),"""");iferror(filter('Student Groupings'!$A:$A,'Student Groupings'!"&amp;"$E:$E=$C317,'Student Groupings'!$H:$H=""Can't be Together""),"""")})))"),"")</f>
        <v/>
      </c>
      <c r="AI317" s="185" t="str">
        <f>IFERROR(__xludf.DUMMYFUNCTION("if($C317="""","""",if(join("" - "",{iferror(filter('Student Groupings'!$A:$A,'Student Groupings'!$B:$B=$C317,'Student Groupings'!$H:$H=""Must be Together""),"""");iferror(filter('Student Groupings'!$A:$A,'Student Groupings'!$E:$E=$C317,'Student Groupings'"&amp;"!$H:$H=""Must be Together""),"""")})="" - "","""",join("" - "",{iferror(filter('Student Groupings'!$A:$A,'Student Groupings'!$B:$B=$C317,'Student Groupings'!$H:$H=""Must be Together""),"""");iferror(filter('Student Groupings'!$A:$A,'Student Groupings'!$E:"&amp;"$E=$C317,'Student Groupings'!$H:$H=""Must be Together""),"""")})))"),"")</f>
        <v/>
      </c>
    </row>
    <row r="318">
      <c r="A318" s="167">
        <v>11.0</v>
      </c>
      <c r="B318" s="168">
        <v>27068.0</v>
      </c>
      <c r="C318" s="144" t="s">
        <v>470</v>
      </c>
      <c r="D318" s="180" t="s">
        <v>49</v>
      </c>
      <c r="E318" s="181">
        <v>7.0</v>
      </c>
      <c r="F318" s="167" t="s">
        <v>66</v>
      </c>
      <c r="G318" s="167">
        <v>1.0</v>
      </c>
      <c r="H318" s="182" t="s">
        <v>79</v>
      </c>
      <c r="I318" s="167">
        <v>5.0</v>
      </c>
      <c r="J318" s="183"/>
      <c r="K318" s="167"/>
      <c r="L318" s="184" t="s">
        <v>90</v>
      </c>
      <c r="M318" s="167">
        <v>8.0</v>
      </c>
      <c r="N318" s="184" t="s">
        <v>132</v>
      </c>
      <c r="O318" s="167">
        <v>2.0</v>
      </c>
      <c r="P318" s="184" t="s">
        <v>27</v>
      </c>
      <c r="Q318" s="167">
        <v>3.0</v>
      </c>
      <c r="R318" s="184" t="s">
        <v>105</v>
      </c>
      <c r="S318" s="167">
        <v>4.0</v>
      </c>
      <c r="T318" s="187"/>
      <c r="U318" s="167"/>
      <c r="V318" s="184" t="s">
        <v>101</v>
      </c>
      <c r="W318" s="167">
        <v>6.0</v>
      </c>
      <c r="X318" s="142">
        <v>1.0</v>
      </c>
      <c r="Y318" s="142">
        <v>1.0</v>
      </c>
      <c r="Z318" s="142">
        <v>1.0</v>
      </c>
      <c r="AA318" s="142">
        <v>1.0</v>
      </c>
      <c r="AB318" s="142">
        <v>1.0</v>
      </c>
      <c r="AC318" s="142">
        <v>1.0</v>
      </c>
      <c r="AD318" s="142">
        <v>1.0</v>
      </c>
      <c r="AE318" s="142">
        <v>1.0</v>
      </c>
      <c r="AF318" s="142">
        <v>8.0</v>
      </c>
      <c r="AG318" s="142">
        <v>0.0</v>
      </c>
      <c r="AH318" s="185" t="str">
        <f>IFERROR(__xludf.DUMMYFUNCTION("if($C318="""","""",if(join("" - "",{iferror(filter('Student Groupings'!$A:$A,'Student Groupings'!$B:$B=$C318,'Student Groupings'!$H:$H=""Can't be Together""),"""");iferror(filter('Student Groupings'!$A:$A,'Student Groupings'!$E:$E=$C318,'Student Groupings"&amp;"'!$H:$H=""Can't be Together""),"""")})="" - "","""",join("" - "",{iferror(filter('Student Groupings'!$A:$A,'Student Groupings'!$B:$B=$C318,'Student Groupings'!$H:$H=""Can't be Together""),"""");iferror(filter('Student Groupings'!$A:$A,'Student Groupings'!"&amp;"$E:$E=$C318,'Student Groupings'!$H:$H=""Can't be Together""),"""")})))"),"")</f>
        <v/>
      </c>
      <c r="AI318" s="185" t="str">
        <f>IFERROR(__xludf.DUMMYFUNCTION("if($C318="""","""",if(join("" - "",{iferror(filter('Student Groupings'!$A:$A,'Student Groupings'!$B:$B=$C318,'Student Groupings'!$H:$H=""Must be Together""),"""");iferror(filter('Student Groupings'!$A:$A,'Student Groupings'!$E:$E=$C318,'Student Groupings'"&amp;"!$H:$H=""Must be Together""),"""")})="" - "","""",join("" - "",{iferror(filter('Student Groupings'!$A:$A,'Student Groupings'!$B:$B=$C318,'Student Groupings'!$H:$H=""Must be Together""),"""");iferror(filter('Student Groupings'!$A:$A,'Student Groupings'!$E:"&amp;"$E=$C318,'Student Groupings'!$H:$H=""Must be Together""),"""")})))"),"")</f>
        <v/>
      </c>
    </row>
    <row r="319">
      <c r="A319" s="167">
        <v>11.0</v>
      </c>
      <c r="B319" s="168">
        <v>27127.0</v>
      </c>
      <c r="C319" s="144" t="s">
        <v>471</v>
      </c>
      <c r="D319" s="180" t="s">
        <v>49</v>
      </c>
      <c r="E319" s="181">
        <v>3.0</v>
      </c>
      <c r="F319" s="167" t="s">
        <v>66</v>
      </c>
      <c r="G319" s="167">
        <v>6.0</v>
      </c>
      <c r="H319" s="182" t="s">
        <v>74</v>
      </c>
      <c r="I319" s="167">
        <v>7.0</v>
      </c>
      <c r="J319" s="183"/>
      <c r="K319" s="167"/>
      <c r="L319" s="184" t="s">
        <v>90</v>
      </c>
      <c r="M319" s="167">
        <v>1.0</v>
      </c>
      <c r="N319" s="184" t="s">
        <v>132</v>
      </c>
      <c r="O319" s="167">
        <v>2.0</v>
      </c>
      <c r="P319" s="184" t="s">
        <v>27</v>
      </c>
      <c r="Q319" s="167">
        <v>8.0</v>
      </c>
      <c r="R319" s="184" t="s">
        <v>105</v>
      </c>
      <c r="S319" s="167">
        <v>5.0</v>
      </c>
      <c r="T319" s="187"/>
      <c r="U319" s="167"/>
      <c r="V319" s="184" t="s">
        <v>82</v>
      </c>
      <c r="W319" s="167">
        <v>4.0</v>
      </c>
      <c r="X319" s="142">
        <v>1.0</v>
      </c>
      <c r="Y319" s="142">
        <v>1.0</v>
      </c>
      <c r="Z319" s="142">
        <v>1.0</v>
      </c>
      <c r="AA319" s="142">
        <v>1.0</v>
      </c>
      <c r="AB319" s="142">
        <v>1.0</v>
      </c>
      <c r="AC319" s="142">
        <v>1.0</v>
      </c>
      <c r="AD319" s="142">
        <v>1.0</v>
      </c>
      <c r="AE319" s="142">
        <v>1.0</v>
      </c>
      <c r="AF319" s="142">
        <v>8.0</v>
      </c>
      <c r="AG319" s="142">
        <v>0.0</v>
      </c>
      <c r="AH319" s="185" t="str">
        <f>IFERROR(__xludf.DUMMYFUNCTION("if($C319="""","""",if(join("" - "",{iferror(filter('Student Groupings'!$A:$A,'Student Groupings'!$B:$B=$C319,'Student Groupings'!$H:$H=""Can't be Together""),"""");iferror(filter('Student Groupings'!$A:$A,'Student Groupings'!$E:$E=$C319,'Student Groupings"&amp;"'!$H:$H=""Can't be Together""),"""")})="" - "","""",join("" - "",{iferror(filter('Student Groupings'!$A:$A,'Student Groupings'!$B:$B=$C319,'Student Groupings'!$H:$H=""Can't be Together""),"""");iferror(filter('Student Groupings'!$A:$A,'Student Groupings'!"&amp;"$E:$E=$C319,'Student Groupings'!$H:$H=""Can't be Together""),"""")})))"),"")</f>
        <v/>
      </c>
      <c r="AI319" s="185" t="str">
        <f>IFERROR(__xludf.DUMMYFUNCTION("if($C319="""","""",if(join("" - "",{iferror(filter('Student Groupings'!$A:$A,'Student Groupings'!$B:$B=$C319,'Student Groupings'!$H:$H=""Must be Together""),"""");iferror(filter('Student Groupings'!$A:$A,'Student Groupings'!$E:$E=$C319,'Student Groupings'"&amp;"!$H:$H=""Must be Together""),"""")})="" - "","""",join("" - "",{iferror(filter('Student Groupings'!$A:$A,'Student Groupings'!$B:$B=$C319,'Student Groupings'!$H:$H=""Must be Together""),"""");iferror(filter('Student Groupings'!$A:$A,'Student Groupings'!$E:"&amp;"$E=$C319,'Student Groupings'!$H:$H=""Must be Together""),"""")})))"),"")</f>
        <v/>
      </c>
    </row>
    <row r="320">
      <c r="A320" s="167">
        <v>11.0</v>
      </c>
      <c r="B320" s="168">
        <v>27172.0</v>
      </c>
      <c r="C320" s="144" t="s">
        <v>472</v>
      </c>
      <c r="D320" s="180" t="s">
        <v>48</v>
      </c>
      <c r="E320" s="181">
        <v>5.0</v>
      </c>
      <c r="F320" s="167" t="s">
        <v>57</v>
      </c>
      <c r="G320" s="167">
        <v>8.0</v>
      </c>
      <c r="H320" s="182" t="s">
        <v>70</v>
      </c>
      <c r="I320" s="167">
        <v>2.0</v>
      </c>
      <c r="J320" s="183"/>
      <c r="K320" s="167"/>
      <c r="L320" s="184" t="s">
        <v>92</v>
      </c>
      <c r="M320" s="167">
        <v>1.0</v>
      </c>
      <c r="N320" s="184" t="s">
        <v>132</v>
      </c>
      <c r="O320" s="167">
        <v>3.0</v>
      </c>
      <c r="P320" s="184" t="s">
        <v>29</v>
      </c>
      <c r="Q320" s="167">
        <v>6.0</v>
      </c>
      <c r="R320" s="184" t="s">
        <v>107</v>
      </c>
      <c r="S320" s="167">
        <v>7.0</v>
      </c>
      <c r="T320" s="187"/>
      <c r="U320" s="167"/>
      <c r="V320" s="184" t="s">
        <v>118</v>
      </c>
      <c r="W320" s="167">
        <v>4.0</v>
      </c>
      <c r="X320" s="142">
        <v>1.0</v>
      </c>
      <c r="Y320" s="142">
        <v>1.0</v>
      </c>
      <c r="Z320" s="142">
        <v>1.0</v>
      </c>
      <c r="AA320" s="142">
        <v>1.0</v>
      </c>
      <c r="AB320" s="142">
        <v>1.0</v>
      </c>
      <c r="AC320" s="142">
        <v>1.0</v>
      </c>
      <c r="AD320" s="142">
        <v>1.0</v>
      </c>
      <c r="AE320" s="142">
        <v>1.0</v>
      </c>
      <c r="AF320" s="142">
        <v>8.0</v>
      </c>
      <c r="AG320" s="142">
        <v>0.0</v>
      </c>
      <c r="AH320" s="185" t="str">
        <f>IFERROR(__xludf.DUMMYFUNCTION("if($C320="""","""",if(join("" - "",{iferror(filter('Student Groupings'!$A:$A,'Student Groupings'!$B:$B=$C320,'Student Groupings'!$H:$H=""Can't be Together""),"""");iferror(filter('Student Groupings'!$A:$A,'Student Groupings'!$E:$E=$C320,'Student Groupings"&amp;"'!$H:$H=""Can't be Together""),"""")})="" - "","""",join("" - "",{iferror(filter('Student Groupings'!$A:$A,'Student Groupings'!$B:$B=$C320,'Student Groupings'!$H:$H=""Can't be Together""),"""");iferror(filter('Student Groupings'!$A:$A,'Student Groupings'!"&amp;"$E:$E=$C320,'Student Groupings'!$H:$H=""Can't be Together""),"""")})))"),"")</f>
        <v/>
      </c>
      <c r="AI320" s="185" t="str">
        <f>IFERROR(__xludf.DUMMYFUNCTION("if($C320="""","""",if(join("" - "",{iferror(filter('Student Groupings'!$A:$A,'Student Groupings'!$B:$B=$C320,'Student Groupings'!$H:$H=""Must be Together""),"""");iferror(filter('Student Groupings'!$A:$A,'Student Groupings'!$E:$E=$C320,'Student Groupings'"&amp;"!$H:$H=""Must be Together""),"""")})="" - "","""",join("" - "",{iferror(filter('Student Groupings'!$A:$A,'Student Groupings'!$B:$B=$C320,'Student Groupings'!$H:$H=""Must be Together""),"""");iferror(filter('Student Groupings'!$A:$A,'Student Groupings'!$E:"&amp;"$E=$C320,'Student Groupings'!$H:$H=""Must be Together""),"""")})))"),"")</f>
        <v/>
      </c>
    </row>
    <row r="321">
      <c r="A321" s="167">
        <v>11.0</v>
      </c>
      <c r="B321" s="168">
        <v>27018.0</v>
      </c>
      <c r="C321" s="144" t="s">
        <v>473</v>
      </c>
      <c r="D321" s="180" t="s">
        <v>38</v>
      </c>
      <c r="E321" s="181">
        <v>8.0</v>
      </c>
      <c r="F321" s="167" t="s">
        <v>66</v>
      </c>
      <c r="G321" s="167">
        <v>1.0</v>
      </c>
      <c r="H321" s="182" t="s">
        <v>69</v>
      </c>
      <c r="I321" s="167">
        <v>2.0</v>
      </c>
      <c r="J321" s="187"/>
      <c r="K321" s="167"/>
      <c r="L321" s="184" t="s">
        <v>90</v>
      </c>
      <c r="M321" s="167">
        <v>5.0</v>
      </c>
      <c r="N321" s="184" t="s">
        <v>132</v>
      </c>
      <c r="O321" s="167">
        <v>6.0</v>
      </c>
      <c r="P321" s="184" t="s">
        <v>24</v>
      </c>
      <c r="Q321" s="167">
        <v>4.0</v>
      </c>
      <c r="R321" s="184" t="s">
        <v>105</v>
      </c>
      <c r="S321" s="167">
        <v>7.0</v>
      </c>
      <c r="T321" s="187"/>
      <c r="U321" s="167"/>
      <c r="V321" s="182" t="s">
        <v>115</v>
      </c>
      <c r="W321" s="167">
        <v>3.0</v>
      </c>
      <c r="X321" s="142">
        <v>1.0</v>
      </c>
      <c r="Y321" s="142">
        <v>1.0</v>
      </c>
      <c r="Z321" s="142">
        <v>1.0</v>
      </c>
      <c r="AA321" s="142">
        <v>1.0</v>
      </c>
      <c r="AB321" s="142">
        <v>1.0</v>
      </c>
      <c r="AC321" s="142">
        <v>1.0</v>
      </c>
      <c r="AD321" s="142">
        <v>1.0</v>
      </c>
      <c r="AE321" s="142">
        <v>1.0</v>
      </c>
      <c r="AF321" s="142">
        <v>8.0</v>
      </c>
      <c r="AG321" s="142">
        <v>0.0</v>
      </c>
      <c r="AH321" s="185" t="str">
        <f>IFERROR(__xludf.DUMMYFUNCTION("if($C321="""","""",if(join("" - "",{iferror(filter('Student Groupings'!$A:$A,'Student Groupings'!$B:$B=$C321,'Student Groupings'!$H:$H=""Can't be Together""),"""");iferror(filter('Student Groupings'!$A:$A,'Student Groupings'!$E:$E=$C321,'Student Groupings"&amp;"'!$H:$H=""Can't be Together""),"""")})="" - "","""",join("" - "",{iferror(filter('Student Groupings'!$A:$A,'Student Groupings'!$B:$B=$C321,'Student Groupings'!$H:$H=""Can't be Together""),"""");iferror(filter('Student Groupings'!$A:$A,'Student Groupings'!"&amp;"$E:$E=$C321,'Student Groupings'!$H:$H=""Can't be Together""),"""")})))"),"")</f>
        <v/>
      </c>
      <c r="AI321" s="185" t="str">
        <f>IFERROR(__xludf.DUMMYFUNCTION("if($C321="""","""",if(join("" - "",{iferror(filter('Student Groupings'!$A:$A,'Student Groupings'!$B:$B=$C321,'Student Groupings'!$H:$H=""Must be Together""),"""");iferror(filter('Student Groupings'!$A:$A,'Student Groupings'!$E:$E=$C321,'Student Groupings'"&amp;"!$H:$H=""Must be Together""),"""")})="" - "","""",join("" - "",{iferror(filter('Student Groupings'!$A:$A,'Student Groupings'!$B:$B=$C321,'Student Groupings'!$H:$H=""Must be Together""),"""");iferror(filter('Student Groupings'!$A:$A,'Student Groupings'!$E:"&amp;"$E=$C321,'Student Groupings'!$H:$H=""Must be Together""),"""")})))"),"")</f>
        <v/>
      </c>
    </row>
    <row r="322">
      <c r="A322" s="167">
        <v>11.0</v>
      </c>
      <c r="B322" s="168">
        <v>27017.0</v>
      </c>
      <c r="C322" s="144" t="s">
        <v>474</v>
      </c>
      <c r="D322" s="180" t="s">
        <v>41</v>
      </c>
      <c r="E322" s="181">
        <v>2.0</v>
      </c>
      <c r="F322" s="167" t="s">
        <v>57</v>
      </c>
      <c r="G322" s="167">
        <v>5.0</v>
      </c>
      <c r="H322" s="182" t="s">
        <v>79</v>
      </c>
      <c r="I322" s="167">
        <v>8.0</v>
      </c>
      <c r="J322" s="187"/>
      <c r="K322" s="167"/>
      <c r="L322" s="184" t="s">
        <v>90</v>
      </c>
      <c r="M322" s="167">
        <v>1.0</v>
      </c>
      <c r="N322" s="184" t="s">
        <v>132</v>
      </c>
      <c r="O322" s="167">
        <v>4.0</v>
      </c>
      <c r="P322" s="184" t="s">
        <v>29</v>
      </c>
      <c r="Q322" s="167">
        <v>6.0</v>
      </c>
      <c r="R322" s="184" t="s">
        <v>105</v>
      </c>
      <c r="S322" s="167">
        <v>7.0</v>
      </c>
      <c r="T322" s="187"/>
      <c r="U322" s="167"/>
      <c r="V322" s="182" t="s">
        <v>115</v>
      </c>
      <c r="W322" s="167">
        <v>3.0</v>
      </c>
      <c r="X322" s="142">
        <v>1.0</v>
      </c>
      <c r="Y322" s="142">
        <v>1.0</v>
      </c>
      <c r="Z322" s="142">
        <v>1.0</v>
      </c>
      <c r="AA322" s="142">
        <v>1.0</v>
      </c>
      <c r="AB322" s="142">
        <v>1.0</v>
      </c>
      <c r="AC322" s="142">
        <v>1.0</v>
      </c>
      <c r="AD322" s="142">
        <v>1.0</v>
      </c>
      <c r="AE322" s="142">
        <v>1.0</v>
      </c>
      <c r="AF322" s="142">
        <v>8.0</v>
      </c>
      <c r="AG322" s="142">
        <v>0.0</v>
      </c>
      <c r="AH322" s="185" t="str">
        <f>IFERROR(__xludf.DUMMYFUNCTION("if($C322="""","""",if(join("" - "",{iferror(filter('Student Groupings'!$A:$A,'Student Groupings'!$B:$B=$C322,'Student Groupings'!$H:$H=""Can't be Together""),"""");iferror(filter('Student Groupings'!$A:$A,'Student Groupings'!$E:$E=$C322,'Student Groupings"&amp;"'!$H:$H=""Can't be Together""),"""")})="" - "","""",join("" - "",{iferror(filter('Student Groupings'!$A:$A,'Student Groupings'!$B:$B=$C322,'Student Groupings'!$H:$H=""Can't be Together""),"""");iferror(filter('Student Groupings'!$A:$A,'Student Groupings'!"&amp;"$E:$E=$C322,'Student Groupings'!$H:$H=""Can't be Together""),"""")})))"),"")</f>
        <v/>
      </c>
      <c r="AI322" s="185" t="str">
        <f>IFERROR(__xludf.DUMMYFUNCTION("if($C322="""","""",if(join("" - "",{iferror(filter('Student Groupings'!$A:$A,'Student Groupings'!$B:$B=$C322,'Student Groupings'!$H:$H=""Must be Together""),"""");iferror(filter('Student Groupings'!$A:$A,'Student Groupings'!$E:$E=$C322,'Student Groupings'"&amp;"!$H:$H=""Must be Together""),"""")})="" - "","""",join("" - "",{iferror(filter('Student Groupings'!$A:$A,'Student Groupings'!$B:$B=$C322,'Student Groupings'!$H:$H=""Must be Together""),"""");iferror(filter('Student Groupings'!$A:$A,'Student Groupings'!$E:"&amp;"$E=$C322,'Student Groupings'!$H:$H=""Must be Together""),"""")})))"),"")</f>
        <v/>
      </c>
    </row>
    <row r="323">
      <c r="A323" s="167">
        <v>11.0</v>
      </c>
      <c r="B323" s="168">
        <v>27113.0</v>
      </c>
      <c r="C323" s="144" t="s">
        <v>475</v>
      </c>
      <c r="D323" s="180" t="s">
        <v>43</v>
      </c>
      <c r="E323" s="181">
        <v>4.0</v>
      </c>
      <c r="F323" s="180" t="s">
        <v>57</v>
      </c>
      <c r="G323" s="180">
        <v>5.0</v>
      </c>
      <c r="H323" s="182" t="s">
        <v>70</v>
      </c>
      <c r="I323" s="186">
        <v>2.0</v>
      </c>
      <c r="J323" s="187"/>
      <c r="K323" s="167"/>
      <c r="L323" s="184" t="s">
        <v>92</v>
      </c>
      <c r="M323" s="180">
        <v>1.0</v>
      </c>
      <c r="N323" s="184" t="s">
        <v>132</v>
      </c>
      <c r="O323" s="167">
        <v>7.0</v>
      </c>
      <c r="P323" s="184" t="s">
        <v>29</v>
      </c>
      <c r="Q323" s="167">
        <v>6.0</v>
      </c>
      <c r="R323" s="184" t="s">
        <v>107</v>
      </c>
      <c r="S323" s="167">
        <v>8.0</v>
      </c>
      <c r="T323" s="187"/>
      <c r="U323" s="167"/>
      <c r="V323" s="184" t="s">
        <v>117</v>
      </c>
      <c r="W323" s="167">
        <v>3.0</v>
      </c>
      <c r="X323" s="142">
        <v>1.0</v>
      </c>
      <c r="Y323" s="142">
        <v>1.0</v>
      </c>
      <c r="Z323" s="142">
        <v>1.0</v>
      </c>
      <c r="AA323" s="142">
        <v>1.0</v>
      </c>
      <c r="AB323" s="142">
        <v>1.0</v>
      </c>
      <c r="AC323" s="142">
        <v>1.0</v>
      </c>
      <c r="AD323" s="142">
        <v>1.0</v>
      </c>
      <c r="AE323" s="142">
        <v>1.0</v>
      </c>
      <c r="AF323" s="142">
        <v>8.0</v>
      </c>
      <c r="AG323" s="142">
        <v>0.0</v>
      </c>
      <c r="AH323" s="185" t="str">
        <f>IFERROR(__xludf.DUMMYFUNCTION("if($C323="""","""",if(join("" - "",{iferror(filter('Student Groupings'!$A:$A,'Student Groupings'!$B:$B=$C323,'Student Groupings'!$H:$H=""Can't be Together""),"""");iferror(filter('Student Groupings'!$A:$A,'Student Groupings'!$E:$E=$C323,'Student Groupings"&amp;"'!$H:$H=""Can't be Together""),"""")})="" - "","""",join("" - "",{iferror(filter('Student Groupings'!$A:$A,'Student Groupings'!$B:$B=$C323,'Student Groupings'!$H:$H=""Can't be Together""),"""");iferror(filter('Student Groupings'!$A:$A,'Student Groupings'!"&amp;"$E:$E=$C323,'Student Groupings'!$H:$H=""Can't be Together""),"""")})))"),"")</f>
        <v/>
      </c>
      <c r="AI323" s="185" t="str">
        <f>IFERROR(__xludf.DUMMYFUNCTION("if($C323="""","""",if(join("" - "",{iferror(filter('Student Groupings'!$A:$A,'Student Groupings'!$B:$B=$C323,'Student Groupings'!$H:$H=""Must be Together""),"""");iferror(filter('Student Groupings'!$A:$A,'Student Groupings'!$E:$E=$C323,'Student Groupings'"&amp;"!$H:$H=""Must be Together""),"""")})="" - "","""",join("" - "",{iferror(filter('Student Groupings'!$A:$A,'Student Groupings'!$B:$B=$C323,'Student Groupings'!$H:$H=""Must be Together""),"""");iferror(filter('Student Groupings'!$A:$A,'Student Groupings'!$E:"&amp;"$E=$C323,'Student Groupings'!$H:$H=""Must be Together""),"""")})))")," - 84 - 112")</f>
        <v> - 84 - 112</v>
      </c>
    </row>
    <row r="324">
      <c r="A324" s="167">
        <v>11.0</v>
      </c>
      <c r="B324" s="168">
        <v>27042.0</v>
      </c>
      <c r="C324" s="144" t="s">
        <v>476</v>
      </c>
      <c r="D324" s="180" t="s">
        <v>43</v>
      </c>
      <c r="E324" s="181">
        <v>1.0</v>
      </c>
      <c r="F324" s="167" t="s">
        <v>66</v>
      </c>
      <c r="G324" s="167">
        <v>6.0</v>
      </c>
      <c r="H324" s="182" t="s">
        <v>79</v>
      </c>
      <c r="I324" s="186">
        <v>8.0</v>
      </c>
      <c r="J324" s="187"/>
      <c r="K324" s="167"/>
      <c r="L324" s="184" t="s">
        <v>90</v>
      </c>
      <c r="M324" s="167">
        <v>2.0</v>
      </c>
      <c r="N324" s="184" t="s">
        <v>132</v>
      </c>
      <c r="O324" s="167">
        <v>3.0</v>
      </c>
      <c r="P324" s="184" t="s">
        <v>34</v>
      </c>
      <c r="Q324" s="167">
        <v>7.0</v>
      </c>
      <c r="R324" s="184" t="s">
        <v>105</v>
      </c>
      <c r="S324" s="167">
        <v>4.0</v>
      </c>
      <c r="T324" s="187"/>
      <c r="U324" s="167"/>
      <c r="V324" s="182" t="s">
        <v>115</v>
      </c>
      <c r="W324" s="167">
        <v>5.0</v>
      </c>
      <c r="X324" s="142">
        <v>1.0</v>
      </c>
      <c r="Y324" s="142">
        <v>1.0</v>
      </c>
      <c r="Z324" s="142">
        <v>1.0</v>
      </c>
      <c r="AA324" s="142">
        <v>1.0</v>
      </c>
      <c r="AB324" s="142">
        <v>1.0</v>
      </c>
      <c r="AC324" s="142">
        <v>1.0</v>
      </c>
      <c r="AD324" s="142">
        <v>1.0</v>
      </c>
      <c r="AE324" s="142">
        <v>1.0</v>
      </c>
      <c r="AF324" s="142">
        <v>8.0</v>
      </c>
      <c r="AG324" s="142">
        <v>0.0</v>
      </c>
      <c r="AH324" s="221" t="str">
        <f>IFERROR(__xludf.DUMMYFUNCTION("if($C324="""","""",if(join("" - "",{iferror(filter('Student Groupings'!$A:$A,'Student Groupings'!$B:$B=$C324,'Student Groupings'!$H:$H=""Can't be Together""),"""");iferror(filter('Student Groupings'!$A:$A,'Student Groupings'!$E:$E=$C324,'Student Groupings"&amp;"'!$H:$H=""Can't be Together""),"""")})="" - "","""",join("" - "",{iferror(filter('Student Groupings'!$A:$A,'Student Groupings'!$B:$B=$C324,'Student Groupings'!$H:$H=""Can't be Together""),"""");iferror(filter('Student Groupings'!$A:$A,'Student Groupings'!"&amp;"$E:$E=$C324,'Student Groupings'!$H:$H=""Can't be Together""),"""")})))"),"116 - 117 - 118 - 22 - 24")</f>
        <v>116 - 117 - 118 - 22 - 24</v>
      </c>
      <c r="AI324" s="185" t="str">
        <f>IFERROR(__xludf.DUMMYFUNCTION("if($C324="""","""",if(join("" - "",{iferror(filter('Student Groupings'!$A:$A,'Student Groupings'!$B:$B=$C324,'Student Groupings'!$H:$H=""Must be Together""),"""");iferror(filter('Student Groupings'!$A:$A,'Student Groupings'!$E:$E=$C324,'Student Groupings'"&amp;"!$H:$H=""Must be Together""),"""")})="" - "","""",join("" - "",{iferror(filter('Student Groupings'!$A:$A,'Student Groupings'!$B:$B=$C324,'Student Groupings'!$H:$H=""Must be Together""),"""");iferror(filter('Student Groupings'!$A:$A,'Student Groupings'!$E:"&amp;"$E=$C324,'Student Groupings'!$H:$H=""Must be Together""),"""")})))"),"")</f>
        <v/>
      </c>
    </row>
    <row r="325">
      <c r="A325" s="167">
        <v>11.0</v>
      </c>
      <c r="B325" s="168">
        <v>27105.0</v>
      </c>
      <c r="C325" s="144" t="s">
        <v>477</v>
      </c>
      <c r="D325" s="180" t="s">
        <v>49</v>
      </c>
      <c r="E325" s="181">
        <v>7.0</v>
      </c>
      <c r="F325" s="167" t="s">
        <v>57</v>
      </c>
      <c r="G325" s="167">
        <v>5.0</v>
      </c>
      <c r="H325" s="182" t="s">
        <v>79</v>
      </c>
      <c r="I325" s="167">
        <v>1.0</v>
      </c>
      <c r="J325" s="187"/>
      <c r="K325" s="167"/>
      <c r="L325" s="184" t="s">
        <v>90</v>
      </c>
      <c r="M325" s="167">
        <v>2.0</v>
      </c>
      <c r="N325" s="184" t="s">
        <v>132</v>
      </c>
      <c r="O325" s="167">
        <v>6.0</v>
      </c>
      <c r="P325" s="184" t="s">
        <v>24</v>
      </c>
      <c r="Q325" s="167">
        <v>8.0</v>
      </c>
      <c r="R325" s="184" t="s">
        <v>111</v>
      </c>
      <c r="S325" s="167">
        <v>4.0</v>
      </c>
      <c r="T325" s="187"/>
      <c r="U325" s="167"/>
      <c r="V325" s="182" t="s">
        <v>115</v>
      </c>
      <c r="W325" s="167">
        <v>3.0</v>
      </c>
      <c r="X325" s="142">
        <v>1.0</v>
      </c>
      <c r="Y325" s="142">
        <v>1.0</v>
      </c>
      <c r="Z325" s="142">
        <v>1.0</v>
      </c>
      <c r="AA325" s="142">
        <v>1.0</v>
      </c>
      <c r="AB325" s="142">
        <v>1.0</v>
      </c>
      <c r="AC325" s="142">
        <v>1.0</v>
      </c>
      <c r="AD325" s="142">
        <v>1.0</v>
      </c>
      <c r="AE325" s="142">
        <v>1.0</v>
      </c>
      <c r="AF325" s="142">
        <v>8.0</v>
      </c>
      <c r="AG325" s="142">
        <v>0.0</v>
      </c>
      <c r="AH325" s="185" t="str">
        <f>IFERROR(__xludf.DUMMYFUNCTION("if($C325="""","""",if(join("" - "",{iferror(filter('Student Groupings'!$A:$A,'Student Groupings'!$B:$B=$C325,'Student Groupings'!$H:$H=""Can't be Together""),"""");iferror(filter('Student Groupings'!$A:$A,'Student Groupings'!$E:$E=$C325,'Student Groupings"&amp;"'!$H:$H=""Can't be Together""),"""")})="" - "","""",join("" - "",{iferror(filter('Student Groupings'!$A:$A,'Student Groupings'!$B:$B=$C325,'Student Groupings'!$H:$H=""Can't be Together""),"""");iferror(filter('Student Groupings'!$A:$A,'Student Groupings'!"&amp;"$E:$E=$C325,'Student Groupings'!$H:$H=""Can't be Together""),"""")})))"),"")</f>
        <v/>
      </c>
      <c r="AI325" s="185" t="str">
        <f>IFERROR(__xludf.DUMMYFUNCTION("if($C325="""","""",if(join("" - "",{iferror(filter('Student Groupings'!$A:$A,'Student Groupings'!$B:$B=$C325,'Student Groupings'!$H:$H=""Must be Together""),"""");iferror(filter('Student Groupings'!$A:$A,'Student Groupings'!$E:$E=$C325,'Student Groupings'"&amp;"!$H:$H=""Must be Together""),"""")})="" - "","""",join("" - "",{iferror(filter('Student Groupings'!$A:$A,'Student Groupings'!$B:$B=$C325,'Student Groupings'!$H:$H=""Must be Together""),"""");iferror(filter('Student Groupings'!$A:$A,'Student Groupings'!$E:"&amp;"$E=$C325,'Student Groupings'!$H:$H=""Must be Together""),"""")})))"),"")</f>
        <v/>
      </c>
    </row>
    <row r="326">
      <c r="A326" s="167">
        <v>11.0</v>
      </c>
      <c r="B326" s="168">
        <v>27035.0</v>
      </c>
      <c r="C326" s="144" t="s">
        <v>478</v>
      </c>
      <c r="D326" s="180" t="s">
        <v>49</v>
      </c>
      <c r="E326" s="181">
        <v>7.0</v>
      </c>
      <c r="F326" s="167" t="s">
        <v>66</v>
      </c>
      <c r="G326" s="180">
        <v>4.0</v>
      </c>
      <c r="H326" s="182" t="s">
        <v>79</v>
      </c>
      <c r="I326" s="167">
        <v>6.0</v>
      </c>
      <c r="J326" s="187"/>
      <c r="K326" s="167"/>
      <c r="L326" s="184" t="s">
        <v>90</v>
      </c>
      <c r="M326" s="167">
        <v>2.0</v>
      </c>
      <c r="N326" s="184" t="s">
        <v>132</v>
      </c>
      <c r="O326" s="167">
        <v>1.0</v>
      </c>
      <c r="P326" s="184" t="s">
        <v>27</v>
      </c>
      <c r="Q326" s="167">
        <v>8.0</v>
      </c>
      <c r="R326" s="184" t="s">
        <v>105</v>
      </c>
      <c r="S326" s="167">
        <v>5.0</v>
      </c>
      <c r="T326" s="187"/>
      <c r="U326" s="167"/>
      <c r="V326" s="182" t="s">
        <v>115</v>
      </c>
      <c r="W326" s="167">
        <v>3.0</v>
      </c>
      <c r="X326" s="142">
        <v>1.0</v>
      </c>
      <c r="Y326" s="142">
        <v>1.0</v>
      </c>
      <c r="Z326" s="142">
        <v>1.0</v>
      </c>
      <c r="AA326" s="142">
        <v>1.0</v>
      </c>
      <c r="AB326" s="142">
        <v>1.0</v>
      </c>
      <c r="AC326" s="142">
        <v>1.0</v>
      </c>
      <c r="AD326" s="142">
        <v>1.0</v>
      </c>
      <c r="AE326" s="142">
        <v>1.0</v>
      </c>
      <c r="AF326" s="142">
        <v>8.0</v>
      </c>
      <c r="AG326" s="142">
        <v>0.0</v>
      </c>
      <c r="AH326" s="185" t="str">
        <f>IFERROR(__xludf.DUMMYFUNCTION("if($C326="""","""",if(join("" - "",{iferror(filter('Student Groupings'!$A:$A,'Student Groupings'!$B:$B=$C326,'Student Groupings'!$H:$H=""Can't be Together""),"""");iferror(filter('Student Groupings'!$A:$A,'Student Groupings'!$E:$E=$C326,'Student Groupings"&amp;"'!$H:$H=""Can't be Together""),"""")})="" - "","""",join("" - "",{iferror(filter('Student Groupings'!$A:$A,'Student Groupings'!$B:$B=$C326,'Student Groupings'!$H:$H=""Can't be Together""),"""");iferror(filter('Student Groupings'!$A:$A,'Student Groupings'!"&amp;"$E:$E=$C326,'Student Groupings'!$H:$H=""Can't be Together""),"""")})))"),"")</f>
        <v/>
      </c>
      <c r="AI326" s="185" t="str">
        <f>IFERROR(__xludf.DUMMYFUNCTION("if($C326="""","""",if(join("" - "",{iferror(filter('Student Groupings'!$A:$A,'Student Groupings'!$B:$B=$C326,'Student Groupings'!$H:$H=""Must be Together""),"""");iferror(filter('Student Groupings'!$A:$A,'Student Groupings'!$E:$E=$C326,'Student Groupings'"&amp;"!$H:$H=""Must be Together""),"""")})="" - "","""",join("" - "",{iferror(filter('Student Groupings'!$A:$A,'Student Groupings'!$B:$B=$C326,'Student Groupings'!$H:$H=""Must be Together""),"""");iferror(filter('Student Groupings'!$A:$A,'Student Groupings'!$E:"&amp;"$E=$C326,'Student Groupings'!$H:$H=""Must be Together""),"""")})))"),"")</f>
        <v/>
      </c>
    </row>
    <row r="327">
      <c r="A327" s="167">
        <v>11.0</v>
      </c>
      <c r="B327" s="168">
        <v>27085.0</v>
      </c>
      <c r="C327" s="144" t="s">
        <v>479</v>
      </c>
      <c r="D327" s="180" t="s">
        <v>49</v>
      </c>
      <c r="E327" s="181">
        <v>7.0</v>
      </c>
      <c r="F327" s="167" t="s">
        <v>66</v>
      </c>
      <c r="G327" s="167">
        <v>4.0</v>
      </c>
      <c r="H327" s="182" t="s">
        <v>69</v>
      </c>
      <c r="I327" s="186">
        <v>6.0</v>
      </c>
      <c r="J327" s="183"/>
      <c r="K327" s="167"/>
      <c r="L327" s="184" t="s">
        <v>90</v>
      </c>
      <c r="M327" s="167">
        <v>2.0</v>
      </c>
      <c r="N327" s="184" t="s">
        <v>132</v>
      </c>
      <c r="O327" s="167">
        <v>1.0</v>
      </c>
      <c r="P327" s="184" t="s">
        <v>30</v>
      </c>
      <c r="Q327" s="167">
        <v>5.0</v>
      </c>
      <c r="R327" s="184" t="s">
        <v>105</v>
      </c>
      <c r="S327" s="167">
        <v>8.0</v>
      </c>
      <c r="T327" s="187"/>
      <c r="U327" s="167"/>
      <c r="V327" s="182" t="s">
        <v>115</v>
      </c>
      <c r="W327" s="167">
        <v>3.0</v>
      </c>
      <c r="X327" s="142">
        <v>1.0</v>
      </c>
      <c r="Y327" s="142">
        <v>1.0</v>
      </c>
      <c r="Z327" s="142">
        <v>1.0</v>
      </c>
      <c r="AA327" s="142">
        <v>1.0</v>
      </c>
      <c r="AB327" s="142">
        <v>1.0</v>
      </c>
      <c r="AC327" s="142">
        <v>1.0</v>
      </c>
      <c r="AD327" s="142">
        <v>1.0</v>
      </c>
      <c r="AE327" s="142">
        <v>1.0</v>
      </c>
      <c r="AF327" s="142">
        <v>8.0</v>
      </c>
      <c r="AG327" s="142">
        <v>0.0</v>
      </c>
      <c r="AH327" s="185" t="str">
        <f>IFERROR(__xludf.DUMMYFUNCTION("if($C327="""","""",if(join("" - "",{iferror(filter('Student Groupings'!$A:$A,'Student Groupings'!$B:$B=$C327,'Student Groupings'!$H:$H=""Can't be Together""),"""");iferror(filter('Student Groupings'!$A:$A,'Student Groupings'!$E:$E=$C327,'Student Groupings"&amp;"'!$H:$H=""Can't be Together""),"""")})="" - "","""",join("" - "",{iferror(filter('Student Groupings'!$A:$A,'Student Groupings'!$B:$B=$C327,'Student Groupings'!$H:$H=""Can't be Together""),"""");iferror(filter('Student Groupings'!$A:$A,'Student Groupings'!"&amp;"$E:$E=$C327,'Student Groupings'!$H:$H=""Can't be Together""),"""")})))"),"")</f>
        <v/>
      </c>
      <c r="AI327" s="185" t="str">
        <f>IFERROR(__xludf.DUMMYFUNCTION("if($C327="""","""",if(join("" - "",{iferror(filter('Student Groupings'!$A:$A,'Student Groupings'!$B:$B=$C327,'Student Groupings'!$H:$H=""Must be Together""),"""");iferror(filter('Student Groupings'!$A:$A,'Student Groupings'!$E:$E=$C327,'Student Groupings'"&amp;"!$H:$H=""Must be Together""),"""")})="" - "","""",join("" - "",{iferror(filter('Student Groupings'!$A:$A,'Student Groupings'!$B:$B=$C327,'Student Groupings'!$H:$H=""Must be Together""),"""");iferror(filter('Student Groupings'!$A:$A,'Student Groupings'!$E:"&amp;"$E=$C327,'Student Groupings'!$H:$H=""Must be Together""),"""")})))"),"")</f>
        <v/>
      </c>
    </row>
    <row r="328">
      <c r="A328" s="167">
        <v>11.0</v>
      </c>
      <c r="B328" s="168">
        <v>27054.0</v>
      </c>
      <c r="C328" s="144" t="s">
        <v>480</v>
      </c>
      <c r="D328" s="180" t="s">
        <v>43</v>
      </c>
      <c r="E328" s="181">
        <v>1.0</v>
      </c>
      <c r="F328" s="167" t="s">
        <v>66</v>
      </c>
      <c r="G328" s="167">
        <v>4.0</v>
      </c>
      <c r="H328" s="182" t="s">
        <v>79</v>
      </c>
      <c r="I328" s="167">
        <v>3.0</v>
      </c>
      <c r="J328" s="187"/>
      <c r="K328" s="167"/>
      <c r="L328" s="184" t="s">
        <v>90</v>
      </c>
      <c r="M328" s="167">
        <v>5.0</v>
      </c>
      <c r="N328" s="184" t="s">
        <v>132</v>
      </c>
      <c r="O328" s="167">
        <v>7.0</v>
      </c>
      <c r="P328" s="184" t="s">
        <v>29</v>
      </c>
      <c r="Q328" s="167">
        <v>6.0</v>
      </c>
      <c r="R328" s="184" t="s">
        <v>107</v>
      </c>
      <c r="S328" s="167">
        <v>2.0</v>
      </c>
      <c r="T328" s="187"/>
      <c r="U328" s="167"/>
      <c r="V328" s="184" t="s">
        <v>35</v>
      </c>
      <c r="W328" s="167">
        <v>8.0</v>
      </c>
      <c r="X328" s="142">
        <v>1.0</v>
      </c>
      <c r="Y328" s="142">
        <v>1.0</v>
      </c>
      <c r="Z328" s="142">
        <v>1.0</v>
      </c>
      <c r="AA328" s="142">
        <v>1.0</v>
      </c>
      <c r="AB328" s="142">
        <v>1.0</v>
      </c>
      <c r="AC328" s="142">
        <v>1.0</v>
      </c>
      <c r="AD328" s="142">
        <v>1.0</v>
      </c>
      <c r="AE328" s="142">
        <v>1.0</v>
      </c>
      <c r="AF328" s="142">
        <v>8.0</v>
      </c>
      <c r="AG328" s="142">
        <v>0.0</v>
      </c>
      <c r="AH328" s="185" t="str">
        <f>IFERROR(__xludf.DUMMYFUNCTION("if($C328="""","""",if(join("" - "",{iferror(filter('Student Groupings'!$A:$A,'Student Groupings'!$B:$B=$C328,'Student Groupings'!$H:$H=""Can't be Together""),"""");iferror(filter('Student Groupings'!$A:$A,'Student Groupings'!$E:$E=$C328,'Student Groupings"&amp;"'!$H:$H=""Can't be Together""),"""")})="" - "","""",join("" - "",{iferror(filter('Student Groupings'!$A:$A,'Student Groupings'!$B:$B=$C328,'Student Groupings'!$H:$H=""Can't be Together""),"""");iferror(filter('Student Groupings'!$A:$A,'Student Groupings'!"&amp;"$E:$E=$C328,'Student Groupings'!$H:$H=""Can't be Together""),"""")})))"),"")</f>
        <v/>
      </c>
      <c r="AI328" s="185" t="str">
        <f>IFERROR(__xludf.DUMMYFUNCTION("if($C328="""","""",if(join("" - "",{iferror(filter('Student Groupings'!$A:$A,'Student Groupings'!$B:$B=$C328,'Student Groupings'!$H:$H=""Must be Together""),"""");iferror(filter('Student Groupings'!$A:$A,'Student Groupings'!$E:$E=$C328,'Student Groupings'"&amp;"!$H:$H=""Must be Together""),"""")})="" - "","""",join("" - "",{iferror(filter('Student Groupings'!$A:$A,'Student Groupings'!$B:$B=$C328,'Student Groupings'!$H:$H=""Must be Together""),"""");iferror(filter('Student Groupings'!$A:$A,'Student Groupings'!$E:"&amp;"$E=$C328,'Student Groupings'!$H:$H=""Must be Together""),"""")})))"),"")</f>
        <v/>
      </c>
    </row>
    <row r="329">
      <c r="A329" s="167">
        <v>11.0</v>
      </c>
      <c r="B329" s="168">
        <v>27053.0</v>
      </c>
      <c r="C329" s="144" t="s">
        <v>481</v>
      </c>
      <c r="D329" s="180" t="s">
        <v>43</v>
      </c>
      <c r="E329" s="181">
        <v>6.0</v>
      </c>
      <c r="F329" s="167" t="s">
        <v>66</v>
      </c>
      <c r="G329" s="167">
        <v>4.0</v>
      </c>
      <c r="H329" s="182" t="s">
        <v>69</v>
      </c>
      <c r="I329" s="186">
        <v>2.0</v>
      </c>
      <c r="J329" s="183"/>
      <c r="K329" s="167"/>
      <c r="L329" s="184" t="s">
        <v>90</v>
      </c>
      <c r="M329" s="167">
        <v>7.0</v>
      </c>
      <c r="N329" s="184" t="s">
        <v>132</v>
      </c>
      <c r="O329" s="167">
        <v>3.0</v>
      </c>
      <c r="P329" s="184" t="s">
        <v>34</v>
      </c>
      <c r="Q329" s="167">
        <v>1.0</v>
      </c>
      <c r="R329" s="184" t="s">
        <v>107</v>
      </c>
      <c r="S329" s="167">
        <v>8.0</v>
      </c>
      <c r="T329" s="187"/>
      <c r="U329" s="167"/>
      <c r="V329" s="182" t="s">
        <v>115</v>
      </c>
      <c r="W329" s="167">
        <v>5.0</v>
      </c>
      <c r="X329" s="142">
        <v>1.0</v>
      </c>
      <c r="Y329" s="142">
        <v>1.0</v>
      </c>
      <c r="Z329" s="142">
        <v>1.0</v>
      </c>
      <c r="AA329" s="142">
        <v>1.0</v>
      </c>
      <c r="AB329" s="142">
        <v>1.0</v>
      </c>
      <c r="AC329" s="142">
        <v>1.0</v>
      </c>
      <c r="AD329" s="142">
        <v>1.0</v>
      </c>
      <c r="AE329" s="142">
        <v>1.0</v>
      </c>
      <c r="AF329" s="142">
        <v>8.0</v>
      </c>
      <c r="AG329" s="142">
        <v>0.0</v>
      </c>
      <c r="AH329" s="185" t="str">
        <f>IFERROR(__xludf.DUMMYFUNCTION("if($C329="""","""",if(join("" - "",{iferror(filter('Student Groupings'!$A:$A,'Student Groupings'!$B:$B=$C329,'Student Groupings'!$H:$H=""Can't be Together""),"""");iferror(filter('Student Groupings'!$A:$A,'Student Groupings'!$E:$E=$C329,'Student Groupings"&amp;"'!$H:$H=""Can't be Together""),"""")})="" - "","""",join("" - "",{iferror(filter('Student Groupings'!$A:$A,'Student Groupings'!$B:$B=$C329,'Student Groupings'!$H:$H=""Can't be Together""),"""");iferror(filter('Student Groupings'!$A:$A,'Student Groupings'!"&amp;"$E:$E=$C329,'Student Groupings'!$H:$H=""Can't be Together""),"""")})))"),"")</f>
        <v/>
      </c>
      <c r="AI329" s="185" t="str">
        <f>IFERROR(__xludf.DUMMYFUNCTION("if($C329="""","""",if(join("" - "",{iferror(filter('Student Groupings'!$A:$A,'Student Groupings'!$B:$B=$C329,'Student Groupings'!$H:$H=""Must be Together""),"""");iferror(filter('Student Groupings'!$A:$A,'Student Groupings'!$E:$E=$C329,'Student Groupings'"&amp;"!$H:$H=""Must be Together""),"""")})="" - "","""",join("" - "",{iferror(filter('Student Groupings'!$A:$A,'Student Groupings'!$B:$B=$C329,'Student Groupings'!$H:$H=""Must be Together""),"""");iferror(filter('Student Groupings'!$A:$A,'Student Groupings'!$E:"&amp;"$E=$C329,'Student Groupings'!$H:$H=""Must be Together""),"""")})))"),"")</f>
        <v/>
      </c>
    </row>
    <row r="330">
      <c r="A330" s="167">
        <v>11.0</v>
      </c>
      <c r="B330" s="168">
        <v>26012.0</v>
      </c>
      <c r="C330" s="144" t="s">
        <v>482</v>
      </c>
      <c r="D330" s="180" t="s">
        <v>45</v>
      </c>
      <c r="E330" s="181">
        <v>8.0</v>
      </c>
      <c r="F330" s="167" t="s">
        <v>66</v>
      </c>
      <c r="G330" s="167">
        <v>6.0</v>
      </c>
      <c r="H330" s="182" t="s">
        <v>79</v>
      </c>
      <c r="I330" s="167">
        <v>1.0</v>
      </c>
      <c r="J330" s="187"/>
      <c r="K330" s="167"/>
      <c r="L330" s="184" t="s">
        <v>90</v>
      </c>
      <c r="M330" s="167">
        <v>5.0</v>
      </c>
      <c r="N330" s="184" t="s">
        <v>132</v>
      </c>
      <c r="O330" s="167">
        <v>7.0</v>
      </c>
      <c r="P330" s="184" t="s">
        <v>28</v>
      </c>
      <c r="Q330" s="167">
        <v>3.0</v>
      </c>
      <c r="R330" s="184" t="s">
        <v>107</v>
      </c>
      <c r="S330" s="167">
        <v>2.0</v>
      </c>
      <c r="T330" s="183"/>
      <c r="U330" s="167"/>
      <c r="V330" s="184" t="s">
        <v>111</v>
      </c>
      <c r="W330" s="167">
        <v>4.0</v>
      </c>
      <c r="X330" s="142">
        <v>1.0</v>
      </c>
      <c r="Y330" s="142">
        <v>1.0</v>
      </c>
      <c r="Z330" s="142">
        <v>1.0</v>
      </c>
      <c r="AA330" s="142">
        <v>1.0</v>
      </c>
      <c r="AB330" s="142">
        <v>1.0</v>
      </c>
      <c r="AC330" s="142">
        <v>1.0</v>
      </c>
      <c r="AD330" s="142">
        <v>1.0</v>
      </c>
      <c r="AE330" s="142">
        <v>1.0</v>
      </c>
      <c r="AF330" s="142">
        <v>8.0</v>
      </c>
      <c r="AG330" s="142">
        <v>0.0</v>
      </c>
      <c r="AH330" s="185" t="str">
        <f>IFERROR(__xludf.DUMMYFUNCTION("if($C330="""","""",if(join("" - "",{iferror(filter('Student Groupings'!$A:$A,'Student Groupings'!$B:$B=$C330,'Student Groupings'!$H:$H=""Can't be Together""),"""");iferror(filter('Student Groupings'!$A:$A,'Student Groupings'!$E:$E=$C330,'Student Groupings"&amp;"'!$H:$H=""Can't be Together""),"""")})="" - "","""",join("" - "",{iferror(filter('Student Groupings'!$A:$A,'Student Groupings'!$B:$B=$C330,'Student Groupings'!$H:$H=""Can't be Together""),"""");iferror(filter('Student Groupings'!$A:$A,'Student Groupings'!"&amp;"$E:$E=$C330,'Student Groupings'!$H:$H=""Can't be Together""),"""")})))"),"")</f>
        <v/>
      </c>
      <c r="AI330" s="185" t="str">
        <f>IFERROR(__xludf.DUMMYFUNCTION("if($C330="""","""",if(join("" - "",{iferror(filter('Student Groupings'!$A:$A,'Student Groupings'!$B:$B=$C330,'Student Groupings'!$H:$H=""Must be Together""),"""");iferror(filter('Student Groupings'!$A:$A,'Student Groupings'!$E:$E=$C330,'Student Groupings'"&amp;"!$H:$H=""Must be Together""),"""")})="" - "","""",join("" - "",{iferror(filter('Student Groupings'!$A:$A,'Student Groupings'!$B:$B=$C330,'Student Groupings'!$H:$H=""Must be Together""),"""");iferror(filter('Student Groupings'!$A:$A,'Student Groupings'!$E:"&amp;"$E=$C330,'Student Groupings'!$H:$H=""Must be Together""),"""")})))"),"31 - 87")</f>
        <v>31 - 87</v>
      </c>
    </row>
    <row r="331">
      <c r="A331" s="167">
        <v>11.0</v>
      </c>
      <c r="B331" s="168">
        <v>27022.0</v>
      </c>
      <c r="C331" s="144" t="s">
        <v>483</v>
      </c>
      <c r="D331" s="180" t="s">
        <v>41</v>
      </c>
      <c r="E331" s="181">
        <v>3.0</v>
      </c>
      <c r="F331" s="167" t="s">
        <v>57</v>
      </c>
      <c r="G331" s="167">
        <v>8.0</v>
      </c>
      <c r="H331" s="182" t="s">
        <v>69</v>
      </c>
      <c r="I331" s="167">
        <v>5.0</v>
      </c>
      <c r="J331" s="183"/>
      <c r="K331" s="167"/>
      <c r="L331" s="184" t="s">
        <v>90</v>
      </c>
      <c r="M331" s="167">
        <v>7.0</v>
      </c>
      <c r="N331" s="184" t="s">
        <v>132</v>
      </c>
      <c r="O331" s="167">
        <v>1.0</v>
      </c>
      <c r="P331" s="184" t="s">
        <v>23</v>
      </c>
      <c r="Q331" s="167">
        <v>6.0</v>
      </c>
      <c r="R331" s="184" t="s">
        <v>108</v>
      </c>
      <c r="S331" s="167">
        <v>2.0</v>
      </c>
      <c r="T331" s="187"/>
      <c r="U331" s="167"/>
      <c r="V331" s="184" t="s">
        <v>121</v>
      </c>
      <c r="W331" s="167">
        <v>4.0</v>
      </c>
      <c r="X331" s="142">
        <v>1.0</v>
      </c>
      <c r="Y331" s="142">
        <v>1.0</v>
      </c>
      <c r="Z331" s="142">
        <v>1.0</v>
      </c>
      <c r="AA331" s="142">
        <v>1.0</v>
      </c>
      <c r="AB331" s="142">
        <v>1.0</v>
      </c>
      <c r="AC331" s="142">
        <v>1.0</v>
      </c>
      <c r="AD331" s="142">
        <v>1.0</v>
      </c>
      <c r="AE331" s="142">
        <v>1.0</v>
      </c>
      <c r="AF331" s="142">
        <v>8.0</v>
      </c>
      <c r="AG331" s="142">
        <v>0.0</v>
      </c>
      <c r="AH331" s="185" t="str">
        <f>IFERROR(__xludf.DUMMYFUNCTION("if($C331="""","""",if(join("" - "",{iferror(filter('Student Groupings'!$A:$A,'Student Groupings'!$B:$B=$C331,'Student Groupings'!$H:$H=""Can't be Together""),"""");iferror(filter('Student Groupings'!$A:$A,'Student Groupings'!$E:$E=$C331,'Student Groupings"&amp;"'!$H:$H=""Can't be Together""),"""")})="" - "","""",join("" - "",{iferror(filter('Student Groupings'!$A:$A,'Student Groupings'!$B:$B=$C331,'Student Groupings'!$H:$H=""Can't be Together""),"""");iferror(filter('Student Groupings'!$A:$A,'Student Groupings'!"&amp;"$E:$E=$C331,'Student Groupings'!$H:$H=""Can't be Together""),"""")})))"),"")</f>
        <v/>
      </c>
      <c r="AI331" s="185" t="str">
        <f>IFERROR(__xludf.DUMMYFUNCTION("if($C331="""","""",if(join("" - "",{iferror(filter('Student Groupings'!$A:$A,'Student Groupings'!$B:$B=$C331,'Student Groupings'!$H:$H=""Must be Together""),"""");iferror(filter('Student Groupings'!$A:$A,'Student Groupings'!$E:$E=$C331,'Student Groupings'"&amp;"!$H:$H=""Must be Together""),"""")})="" - "","""",join("" - "",{iferror(filter('Student Groupings'!$A:$A,'Student Groupings'!$B:$B=$C331,'Student Groupings'!$H:$H=""Must be Together""),"""");iferror(filter('Student Groupings'!$A:$A,'Student Groupings'!$E:"&amp;"$E=$C331,'Student Groupings'!$H:$H=""Must be Together""),"""")})))")," - 88")</f>
        <v> - 88</v>
      </c>
    </row>
    <row r="332">
      <c r="A332" s="167">
        <v>11.0</v>
      </c>
      <c r="B332" s="168">
        <v>27071.0</v>
      </c>
      <c r="C332" s="144" t="s">
        <v>484</v>
      </c>
      <c r="D332" s="180" t="s">
        <v>41</v>
      </c>
      <c r="E332" s="181">
        <v>2.0</v>
      </c>
      <c r="F332" s="167" t="s">
        <v>54</v>
      </c>
      <c r="G332" s="167">
        <v>8.0</v>
      </c>
      <c r="H332" s="182" t="s">
        <v>79</v>
      </c>
      <c r="I332" s="167">
        <v>3.0</v>
      </c>
      <c r="J332" s="183"/>
      <c r="K332" s="167"/>
      <c r="L332" s="184" t="s">
        <v>90</v>
      </c>
      <c r="M332" s="167">
        <v>1.0</v>
      </c>
      <c r="N332" s="184" t="s">
        <v>132</v>
      </c>
      <c r="O332" s="167">
        <v>6.0</v>
      </c>
      <c r="P332" s="184" t="s">
        <v>30</v>
      </c>
      <c r="Q332" s="167">
        <v>4.0</v>
      </c>
      <c r="R332" s="184" t="s">
        <v>105</v>
      </c>
      <c r="S332" s="167">
        <v>7.0</v>
      </c>
      <c r="T332" s="187"/>
      <c r="U332" s="167"/>
      <c r="V332" s="184" t="s">
        <v>111</v>
      </c>
      <c r="W332" s="167">
        <v>5.0</v>
      </c>
      <c r="X332" s="142">
        <v>1.0</v>
      </c>
      <c r="Y332" s="142">
        <v>1.0</v>
      </c>
      <c r="Z332" s="142">
        <v>1.0</v>
      </c>
      <c r="AA332" s="142">
        <v>1.0</v>
      </c>
      <c r="AB332" s="142">
        <v>1.0</v>
      </c>
      <c r="AC332" s="142">
        <v>1.0</v>
      </c>
      <c r="AD332" s="142">
        <v>1.0</v>
      </c>
      <c r="AE332" s="142">
        <v>1.0</v>
      </c>
      <c r="AF332" s="142">
        <v>8.0</v>
      </c>
      <c r="AG332" s="142">
        <v>0.0</v>
      </c>
      <c r="AH332" s="185" t="str">
        <f>IFERROR(__xludf.DUMMYFUNCTION("if($C332="""","""",if(join("" - "",{iferror(filter('Student Groupings'!$A:$A,'Student Groupings'!$B:$B=$C332,'Student Groupings'!$H:$H=""Can't be Together""),"""");iferror(filter('Student Groupings'!$A:$A,'Student Groupings'!$E:$E=$C332,'Student Groupings"&amp;"'!$H:$H=""Can't be Together""),"""")})="" - "","""",join("" - "",{iferror(filter('Student Groupings'!$A:$A,'Student Groupings'!$B:$B=$C332,'Student Groupings'!$H:$H=""Can't be Together""),"""");iferror(filter('Student Groupings'!$A:$A,'Student Groupings'!"&amp;"$E:$E=$C332,'Student Groupings'!$H:$H=""Can't be Together""),"""")})))"),"")</f>
        <v/>
      </c>
      <c r="AI332" s="185" t="str">
        <f>IFERROR(__xludf.DUMMYFUNCTION("if($C332="""","""",if(join("" - "",{iferror(filter('Student Groupings'!$A:$A,'Student Groupings'!$B:$B=$C332,'Student Groupings'!$H:$H=""Must be Together""),"""");iferror(filter('Student Groupings'!$A:$A,'Student Groupings'!$E:$E=$C332,'Student Groupings'"&amp;"!$H:$H=""Must be Together""),"""")})="" - "","""",join("" - "",{iferror(filter('Student Groupings'!$A:$A,'Student Groupings'!$B:$B=$C332,'Student Groupings'!$H:$H=""Must be Together""),"""");iferror(filter('Student Groupings'!$A:$A,'Student Groupings'!$E:"&amp;"$E=$C332,'Student Groupings'!$H:$H=""Must be Together""),"""")})))"),"")</f>
        <v/>
      </c>
    </row>
    <row r="333">
      <c r="A333" s="167">
        <v>11.0</v>
      </c>
      <c r="B333" s="168">
        <v>27006.0</v>
      </c>
      <c r="C333" s="144" t="s">
        <v>485</v>
      </c>
      <c r="D333" s="180" t="s">
        <v>41</v>
      </c>
      <c r="E333" s="181">
        <v>3.0</v>
      </c>
      <c r="F333" s="167" t="s">
        <v>54</v>
      </c>
      <c r="G333" s="167">
        <v>8.0</v>
      </c>
      <c r="H333" s="182" t="s">
        <v>70</v>
      </c>
      <c r="I333" s="167">
        <v>2.0</v>
      </c>
      <c r="J333" s="187"/>
      <c r="K333" s="167"/>
      <c r="L333" s="184" t="s">
        <v>90</v>
      </c>
      <c r="M333" s="167">
        <v>1.0</v>
      </c>
      <c r="N333" s="184" t="s">
        <v>132</v>
      </c>
      <c r="O333" s="167">
        <v>4.0</v>
      </c>
      <c r="P333" s="184" t="s">
        <v>30</v>
      </c>
      <c r="Q333" s="167">
        <v>7.0</v>
      </c>
      <c r="R333" s="184" t="s">
        <v>101</v>
      </c>
      <c r="S333" s="167">
        <v>6.0</v>
      </c>
      <c r="T333" s="187"/>
      <c r="U333" s="167"/>
      <c r="V333" s="184" t="s">
        <v>105</v>
      </c>
      <c r="W333" s="167">
        <v>5.0</v>
      </c>
      <c r="X333" s="142">
        <v>1.0</v>
      </c>
      <c r="Y333" s="142">
        <v>1.0</v>
      </c>
      <c r="Z333" s="142">
        <v>1.0</v>
      </c>
      <c r="AA333" s="142">
        <v>1.0</v>
      </c>
      <c r="AB333" s="142">
        <v>1.0</v>
      </c>
      <c r="AC333" s="142">
        <v>1.0</v>
      </c>
      <c r="AD333" s="142">
        <v>1.0</v>
      </c>
      <c r="AE333" s="142">
        <v>1.0</v>
      </c>
      <c r="AF333" s="142">
        <v>8.0</v>
      </c>
      <c r="AG333" s="142">
        <v>0.0</v>
      </c>
      <c r="AH333" s="185" t="str">
        <f>IFERROR(__xludf.DUMMYFUNCTION("if($C333="""","""",if(join("" - "",{iferror(filter('Student Groupings'!$A:$A,'Student Groupings'!$B:$B=$C333,'Student Groupings'!$H:$H=""Can't be Together""),"""");iferror(filter('Student Groupings'!$A:$A,'Student Groupings'!$E:$E=$C333,'Student Groupings"&amp;"'!$H:$H=""Can't be Together""),"""")})="" - "","""",join("" - "",{iferror(filter('Student Groupings'!$A:$A,'Student Groupings'!$B:$B=$C333,'Student Groupings'!$H:$H=""Can't be Together""),"""");iferror(filter('Student Groupings'!$A:$A,'Student Groupings'!"&amp;"$E:$E=$C333,'Student Groupings'!$H:$H=""Can't be Together""),"""")})))"),"")</f>
        <v/>
      </c>
      <c r="AI333" s="185" t="str">
        <f>IFERROR(__xludf.DUMMYFUNCTION("if($C333="""","""",if(join("" - "",{iferror(filter('Student Groupings'!$A:$A,'Student Groupings'!$B:$B=$C333,'Student Groupings'!$H:$H=""Must be Together""),"""");iferror(filter('Student Groupings'!$A:$A,'Student Groupings'!$E:$E=$C333,'Student Groupings'"&amp;"!$H:$H=""Must be Together""),"""")})="" - "","""",join("" - "",{iferror(filter('Student Groupings'!$A:$A,'Student Groupings'!$B:$B=$C333,'Student Groupings'!$H:$H=""Must be Together""),"""");iferror(filter('Student Groupings'!$A:$A,'Student Groupings'!$E:"&amp;"$E=$C333,'Student Groupings'!$H:$H=""Must be Together""),"""")})))")," - 110")</f>
        <v> - 110</v>
      </c>
    </row>
    <row r="334">
      <c r="A334" s="167">
        <v>11.0</v>
      </c>
      <c r="B334" s="168">
        <v>27101.0</v>
      </c>
      <c r="C334" s="144" t="s">
        <v>486</v>
      </c>
      <c r="D334" s="180" t="s">
        <v>41</v>
      </c>
      <c r="E334" s="181">
        <v>2.0</v>
      </c>
      <c r="F334" s="167" t="s">
        <v>66</v>
      </c>
      <c r="G334" s="167">
        <v>5.0</v>
      </c>
      <c r="H334" s="182" t="s">
        <v>70</v>
      </c>
      <c r="I334" s="167">
        <v>7.0</v>
      </c>
      <c r="J334" s="183"/>
      <c r="K334" s="167"/>
      <c r="L334" s="184" t="s">
        <v>92</v>
      </c>
      <c r="M334" s="167">
        <v>1.0</v>
      </c>
      <c r="N334" s="184" t="s">
        <v>132</v>
      </c>
      <c r="O334" s="167">
        <v>4.0</v>
      </c>
      <c r="P334" s="184" t="s">
        <v>23</v>
      </c>
      <c r="Q334" s="167">
        <v>6.0</v>
      </c>
      <c r="R334" s="184" t="s">
        <v>105</v>
      </c>
      <c r="S334" s="167">
        <v>8.0</v>
      </c>
      <c r="T334" s="187"/>
      <c r="U334" s="167"/>
      <c r="V334" s="184" t="s">
        <v>117</v>
      </c>
      <c r="W334" s="167">
        <v>3.0</v>
      </c>
      <c r="X334" s="142">
        <v>1.0</v>
      </c>
      <c r="Y334" s="142">
        <v>1.0</v>
      </c>
      <c r="Z334" s="142">
        <v>1.0</v>
      </c>
      <c r="AA334" s="142">
        <v>1.0</v>
      </c>
      <c r="AB334" s="142">
        <v>1.0</v>
      </c>
      <c r="AC334" s="142">
        <v>1.0</v>
      </c>
      <c r="AD334" s="142">
        <v>1.0</v>
      </c>
      <c r="AE334" s="142">
        <v>1.0</v>
      </c>
      <c r="AF334" s="142">
        <v>8.0</v>
      </c>
      <c r="AG334" s="142">
        <v>0.0</v>
      </c>
      <c r="AH334" s="185" t="str">
        <f>IFERROR(__xludf.DUMMYFUNCTION("if($C334="""","""",if(join("" - "",{iferror(filter('Student Groupings'!$A:$A,'Student Groupings'!$B:$B=$C334,'Student Groupings'!$H:$H=""Can't be Together""),"""");iferror(filter('Student Groupings'!$A:$A,'Student Groupings'!$E:$E=$C334,'Student Groupings"&amp;"'!$H:$H=""Can't be Together""),"""")})="" - "","""",join("" - "",{iferror(filter('Student Groupings'!$A:$A,'Student Groupings'!$B:$B=$C334,'Student Groupings'!$H:$H=""Can't be Together""),"""");iferror(filter('Student Groupings'!$A:$A,'Student Groupings'!"&amp;"$E:$E=$C334,'Student Groupings'!$H:$H=""Can't be Together""),"""")})))"),"26 - 27 - 28 - ")</f>
        <v>26 - 27 - 28 - </v>
      </c>
      <c r="AI334" s="185" t="str">
        <f>IFERROR(__xludf.DUMMYFUNCTION("if($C334="""","""",if(join("" - "",{iferror(filter('Student Groupings'!$A:$A,'Student Groupings'!$B:$B=$C334,'Student Groupings'!$H:$H=""Must be Together""),"""");iferror(filter('Student Groupings'!$A:$A,'Student Groupings'!$E:$E=$C334,'Student Groupings'"&amp;"!$H:$H=""Must be Together""),"""")})="" - "","""",join("" - "",{iferror(filter('Student Groupings'!$A:$A,'Student Groupings'!$B:$B=$C334,'Student Groupings'!$H:$H=""Must be Together""),"""");iferror(filter('Student Groupings'!$A:$A,'Student Groupings'!$E:"&amp;"$E=$C334,'Student Groupings'!$H:$H=""Must be Together""),"""")})))"),"")</f>
        <v/>
      </c>
    </row>
    <row r="335">
      <c r="A335" s="167">
        <v>11.0</v>
      </c>
      <c r="B335" s="168">
        <v>27046.0</v>
      </c>
      <c r="C335" s="144" t="s">
        <v>487</v>
      </c>
      <c r="D335" s="180" t="s">
        <v>41</v>
      </c>
      <c r="E335" s="181">
        <v>2.0</v>
      </c>
      <c r="F335" s="167" t="s">
        <v>66</v>
      </c>
      <c r="G335" s="167">
        <v>6.0</v>
      </c>
      <c r="H335" s="182" t="s">
        <v>70</v>
      </c>
      <c r="I335" s="167">
        <v>7.0</v>
      </c>
      <c r="J335" s="183"/>
      <c r="K335" s="167"/>
      <c r="L335" s="184" t="s">
        <v>90</v>
      </c>
      <c r="M335" s="167">
        <v>5.0</v>
      </c>
      <c r="N335" s="184" t="s">
        <v>132</v>
      </c>
      <c r="O335" s="167">
        <v>3.0</v>
      </c>
      <c r="P335" s="184" t="s">
        <v>30</v>
      </c>
      <c r="Q335" s="167">
        <v>4.0</v>
      </c>
      <c r="R335" s="184" t="s">
        <v>107</v>
      </c>
      <c r="S335" s="167">
        <v>1.0</v>
      </c>
      <c r="T335" s="187"/>
      <c r="U335" s="167"/>
      <c r="V335" s="184" t="s">
        <v>105</v>
      </c>
      <c r="W335" s="167">
        <v>8.0</v>
      </c>
      <c r="X335" s="142">
        <v>1.0</v>
      </c>
      <c r="Y335" s="142">
        <v>1.0</v>
      </c>
      <c r="Z335" s="142">
        <v>1.0</v>
      </c>
      <c r="AA335" s="142">
        <v>1.0</v>
      </c>
      <c r="AB335" s="142">
        <v>1.0</v>
      </c>
      <c r="AC335" s="142">
        <v>1.0</v>
      </c>
      <c r="AD335" s="142">
        <v>1.0</v>
      </c>
      <c r="AE335" s="142">
        <v>1.0</v>
      </c>
      <c r="AF335" s="142">
        <v>8.0</v>
      </c>
      <c r="AG335" s="142">
        <v>0.0</v>
      </c>
      <c r="AH335" s="185" t="str">
        <f>IFERROR(__xludf.DUMMYFUNCTION("if($C335="""","""",if(join("" - "",{iferror(filter('Student Groupings'!$A:$A,'Student Groupings'!$B:$B=$C335,'Student Groupings'!$H:$H=""Can't be Together""),"""");iferror(filter('Student Groupings'!$A:$A,'Student Groupings'!$E:$E=$C335,'Student Groupings"&amp;"'!$H:$H=""Can't be Together""),"""")})="" - "","""",join("" - "",{iferror(filter('Student Groupings'!$A:$A,'Student Groupings'!$B:$B=$C335,'Student Groupings'!$H:$H=""Can't be Together""),"""");iferror(filter('Student Groupings'!$A:$A,'Student Groupings'!"&amp;"$E:$E=$C335,'Student Groupings'!$H:$H=""Can't be Together""),"""")})))"),"")</f>
        <v/>
      </c>
      <c r="AI335" s="185" t="str">
        <f>IFERROR(__xludf.DUMMYFUNCTION("if($C335="""","""",if(join("" - "",{iferror(filter('Student Groupings'!$A:$A,'Student Groupings'!$B:$B=$C335,'Student Groupings'!$H:$H=""Must be Together""),"""");iferror(filter('Student Groupings'!$A:$A,'Student Groupings'!$E:$E=$C335,'Student Groupings'"&amp;"!$H:$H=""Must be Together""),"""")})="" - "","""",join("" - "",{iferror(filter('Student Groupings'!$A:$A,'Student Groupings'!$B:$B=$C335,'Student Groupings'!$H:$H=""Must be Together""),"""");iferror(filter('Student Groupings'!$A:$A,'Student Groupings'!$E:"&amp;"$E=$C335,'Student Groupings'!$H:$H=""Must be Together""),"""")})))"),"")</f>
        <v/>
      </c>
    </row>
    <row r="336">
      <c r="A336" s="167">
        <v>11.0</v>
      </c>
      <c r="B336" s="168">
        <v>27151.0</v>
      </c>
      <c r="C336" s="144" t="s">
        <v>488</v>
      </c>
      <c r="D336" s="180" t="s">
        <v>43</v>
      </c>
      <c r="E336" s="181">
        <v>4.0</v>
      </c>
      <c r="F336" s="167" t="s">
        <v>66</v>
      </c>
      <c r="G336" s="167">
        <v>6.0</v>
      </c>
      <c r="H336" s="182" t="s">
        <v>70</v>
      </c>
      <c r="I336" s="167">
        <v>2.0</v>
      </c>
      <c r="J336" s="183"/>
      <c r="K336" s="167"/>
      <c r="L336" s="184" t="s">
        <v>92</v>
      </c>
      <c r="M336" s="167">
        <v>1.0</v>
      </c>
      <c r="N336" s="184" t="s">
        <v>132</v>
      </c>
      <c r="O336" s="167">
        <v>7.0</v>
      </c>
      <c r="P336" s="184" t="s">
        <v>27</v>
      </c>
      <c r="Q336" s="167">
        <v>8.0</v>
      </c>
      <c r="R336" s="184" t="s">
        <v>105</v>
      </c>
      <c r="S336" s="167">
        <v>5.0</v>
      </c>
      <c r="T336" s="187"/>
      <c r="U336" s="167"/>
      <c r="V336" s="184" t="s">
        <v>117</v>
      </c>
      <c r="W336" s="167">
        <v>3.0</v>
      </c>
      <c r="X336" s="142">
        <v>1.0</v>
      </c>
      <c r="Y336" s="142">
        <v>1.0</v>
      </c>
      <c r="Z336" s="142">
        <v>1.0</v>
      </c>
      <c r="AA336" s="142">
        <v>1.0</v>
      </c>
      <c r="AB336" s="142">
        <v>1.0</v>
      </c>
      <c r="AC336" s="142">
        <v>1.0</v>
      </c>
      <c r="AD336" s="142">
        <v>1.0</v>
      </c>
      <c r="AE336" s="142">
        <v>1.0</v>
      </c>
      <c r="AF336" s="142">
        <v>8.0</v>
      </c>
      <c r="AG336" s="142">
        <v>0.0</v>
      </c>
      <c r="AH336" s="185" t="str">
        <f>IFERROR(__xludf.DUMMYFUNCTION("if($C336="""","""",if(join("" - "",{iferror(filter('Student Groupings'!$A:$A,'Student Groupings'!$B:$B=$C336,'Student Groupings'!$H:$H=""Can't be Together""),"""");iferror(filter('Student Groupings'!$A:$A,'Student Groupings'!$E:$E=$C336,'Student Groupings"&amp;"'!$H:$H=""Can't be Together""),"""")})="" - "","""",join("" - "",{iferror(filter('Student Groupings'!$A:$A,'Student Groupings'!$B:$B=$C336,'Student Groupings'!$H:$H=""Can't be Together""),"""");iferror(filter('Student Groupings'!$A:$A,'Student Groupings'!"&amp;"$E:$E=$C336,'Student Groupings'!$H:$H=""Can't be Together""),"""")})))")," - 27")</f>
        <v> - 27</v>
      </c>
      <c r="AI336" s="185" t="str">
        <f>IFERROR(__xludf.DUMMYFUNCTION("if($C336="""","""",if(join("" - "",{iferror(filter('Student Groupings'!$A:$A,'Student Groupings'!$B:$B=$C336,'Student Groupings'!$H:$H=""Must be Together""),"""");iferror(filter('Student Groupings'!$A:$A,'Student Groupings'!$E:$E=$C336,'Student Groupings'"&amp;"!$H:$H=""Must be Together""),"""")})="" - "","""",join("" - "",{iferror(filter('Student Groupings'!$A:$A,'Student Groupings'!$B:$B=$C336,'Student Groupings'!$H:$H=""Must be Together""),"""");iferror(filter('Student Groupings'!$A:$A,'Student Groupings'!$E:"&amp;"$E=$C336,'Student Groupings'!$H:$H=""Must be Together""),"""")})))"),"")</f>
        <v/>
      </c>
    </row>
    <row r="337">
      <c r="A337" s="167">
        <v>11.0</v>
      </c>
      <c r="B337" s="168">
        <v>27081.0</v>
      </c>
      <c r="C337" s="144" t="s">
        <v>489</v>
      </c>
      <c r="D337" s="180" t="s">
        <v>49</v>
      </c>
      <c r="E337" s="181">
        <v>7.0</v>
      </c>
      <c r="F337" s="167" t="s">
        <v>66</v>
      </c>
      <c r="G337" s="167">
        <v>3.0</v>
      </c>
      <c r="H337" s="182" t="s">
        <v>70</v>
      </c>
      <c r="I337" s="167">
        <v>2.0</v>
      </c>
      <c r="J337" s="183"/>
      <c r="K337" s="167"/>
      <c r="L337" s="184" t="s">
        <v>92</v>
      </c>
      <c r="M337" s="167">
        <v>1.0</v>
      </c>
      <c r="N337" s="184" t="s">
        <v>132</v>
      </c>
      <c r="O337" s="167">
        <v>6.0</v>
      </c>
      <c r="P337" s="184" t="s">
        <v>30</v>
      </c>
      <c r="Q337" s="167">
        <v>5.0</v>
      </c>
      <c r="R337" s="184" t="s">
        <v>107</v>
      </c>
      <c r="S337" s="167">
        <v>8.0</v>
      </c>
      <c r="T337" s="187"/>
      <c r="U337" s="167"/>
      <c r="V337" s="184" t="s">
        <v>82</v>
      </c>
      <c r="W337" s="167">
        <v>4.0</v>
      </c>
      <c r="X337" s="142">
        <v>1.0</v>
      </c>
      <c r="Y337" s="142">
        <v>1.0</v>
      </c>
      <c r="Z337" s="142">
        <v>1.0</v>
      </c>
      <c r="AA337" s="142">
        <v>1.0</v>
      </c>
      <c r="AB337" s="142">
        <v>1.0</v>
      </c>
      <c r="AC337" s="142">
        <v>1.0</v>
      </c>
      <c r="AD337" s="142">
        <v>1.0</v>
      </c>
      <c r="AE337" s="142">
        <v>1.0</v>
      </c>
      <c r="AF337" s="142">
        <v>8.0</v>
      </c>
      <c r="AG337" s="142">
        <v>0.0</v>
      </c>
      <c r="AH337" s="185" t="str">
        <f>IFERROR(__xludf.DUMMYFUNCTION("if($C337="""","""",if(join("" - "",{iferror(filter('Student Groupings'!$A:$A,'Student Groupings'!$B:$B=$C337,'Student Groupings'!$H:$H=""Can't be Together""),"""");iferror(filter('Student Groupings'!$A:$A,'Student Groupings'!$E:$E=$C337,'Student Groupings"&amp;"'!$H:$H=""Can't be Together""),"""")})="" - "","""",join("" - "",{iferror(filter('Student Groupings'!$A:$A,'Student Groupings'!$B:$B=$C337,'Student Groupings'!$H:$H=""Can't be Together""),"""");iferror(filter('Student Groupings'!$A:$A,'Student Groupings'!"&amp;"$E:$E=$C337,'Student Groupings'!$H:$H=""Can't be Together""),"""")})))"),"")</f>
        <v/>
      </c>
      <c r="AI337" s="185" t="str">
        <f>IFERROR(__xludf.DUMMYFUNCTION("if($C337="""","""",if(join("" - "",{iferror(filter('Student Groupings'!$A:$A,'Student Groupings'!$B:$B=$C337,'Student Groupings'!$H:$H=""Must be Together""),"""");iferror(filter('Student Groupings'!$A:$A,'Student Groupings'!$E:$E=$C337,'Student Groupings'"&amp;"!$H:$H=""Must be Together""),"""")})="" - "","""",join("" - "",{iferror(filter('Student Groupings'!$A:$A,'Student Groupings'!$B:$B=$C337,'Student Groupings'!$H:$H=""Must be Together""),"""");iferror(filter('Student Groupings'!$A:$A,'Student Groupings'!$E:"&amp;"$E=$C337,'Student Groupings'!$H:$H=""Must be Together""),"""")})))"),"")</f>
        <v/>
      </c>
    </row>
    <row r="338">
      <c r="A338" s="167">
        <v>11.0</v>
      </c>
      <c r="B338" s="168">
        <v>26154.0</v>
      </c>
      <c r="C338" s="144" t="s">
        <v>490</v>
      </c>
      <c r="D338" s="180" t="s">
        <v>43</v>
      </c>
      <c r="E338" s="181">
        <v>1.0</v>
      </c>
      <c r="F338" s="167" t="s">
        <v>66</v>
      </c>
      <c r="G338" s="167">
        <v>5.0</v>
      </c>
      <c r="H338" s="182" t="s">
        <v>79</v>
      </c>
      <c r="I338" s="167">
        <v>3.0</v>
      </c>
      <c r="J338" s="183"/>
      <c r="K338" s="167"/>
      <c r="L338" s="184" t="s">
        <v>90</v>
      </c>
      <c r="M338" s="167">
        <v>2.0</v>
      </c>
      <c r="N338" s="184" t="s">
        <v>132</v>
      </c>
      <c r="O338" s="167">
        <v>4.0</v>
      </c>
      <c r="P338" s="184" t="s">
        <v>24</v>
      </c>
      <c r="Q338" s="167">
        <v>8.0</v>
      </c>
      <c r="R338" s="184" t="s">
        <v>105</v>
      </c>
      <c r="S338" s="167">
        <v>7.0</v>
      </c>
      <c r="T338" s="187"/>
      <c r="U338" s="167"/>
      <c r="V338" s="184" t="s">
        <v>101</v>
      </c>
      <c r="W338" s="167">
        <v>6.0</v>
      </c>
      <c r="X338" s="142">
        <v>1.0</v>
      </c>
      <c r="Y338" s="142">
        <v>1.0</v>
      </c>
      <c r="Z338" s="142">
        <v>1.0</v>
      </c>
      <c r="AA338" s="142">
        <v>1.0</v>
      </c>
      <c r="AB338" s="142">
        <v>1.0</v>
      </c>
      <c r="AC338" s="142">
        <v>1.0</v>
      </c>
      <c r="AD338" s="142">
        <v>1.0</v>
      </c>
      <c r="AE338" s="142">
        <v>1.0</v>
      </c>
      <c r="AF338" s="142">
        <v>8.0</v>
      </c>
      <c r="AG338" s="142">
        <v>0.0</v>
      </c>
      <c r="AH338" s="185" t="str">
        <f>IFERROR(__xludf.DUMMYFUNCTION("if($C338="""","""",if(join("" - "",{iferror(filter('Student Groupings'!$A:$A,'Student Groupings'!$B:$B=$C338,'Student Groupings'!$H:$H=""Can't be Together""),"""");iferror(filter('Student Groupings'!$A:$A,'Student Groupings'!$E:$E=$C338,'Student Groupings"&amp;"'!$H:$H=""Can't be Together""),"""")})="" - "","""",join("" - "",{iferror(filter('Student Groupings'!$A:$A,'Student Groupings'!$B:$B=$C338,'Student Groupings'!$H:$H=""Can't be Together""),"""");iferror(filter('Student Groupings'!$A:$A,'Student Groupings'!"&amp;"$E:$E=$C338,'Student Groupings'!$H:$H=""Can't be Together""),"""")})))"),"")</f>
        <v/>
      </c>
      <c r="AI338" s="185" t="str">
        <f>IFERROR(__xludf.DUMMYFUNCTION("if($C338="""","""",if(join("" - "",{iferror(filter('Student Groupings'!$A:$A,'Student Groupings'!$B:$B=$C338,'Student Groupings'!$H:$H=""Must be Together""),"""");iferror(filter('Student Groupings'!$A:$A,'Student Groupings'!$E:$E=$C338,'Student Groupings'"&amp;"!$H:$H=""Must be Together""),"""")})="" - "","""",join("" - "",{iferror(filter('Student Groupings'!$A:$A,'Student Groupings'!$B:$B=$C338,'Student Groupings'!$H:$H=""Must be Together""),"""");iferror(filter('Student Groupings'!$A:$A,'Student Groupings'!$E:"&amp;"$E=$C338,'Student Groupings'!$H:$H=""Must be Together""),"""")})))"),"")</f>
        <v/>
      </c>
    </row>
    <row r="339">
      <c r="A339" s="167">
        <v>11.0</v>
      </c>
      <c r="B339" s="168">
        <v>27040.0</v>
      </c>
      <c r="C339" s="144" t="s">
        <v>491</v>
      </c>
      <c r="D339" s="180" t="s">
        <v>41</v>
      </c>
      <c r="E339" s="181">
        <v>2.0</v>
      </c>
      <c r="F339" s="167" t="s">
        <v>57</v>
      </c>
      <c r="G339" s="167">
        <v>8.0</v>
      </c>
      <c r="H339" s="182" t="s">
        <v>79</v>
      </c>
      <c r="I339" s="167">
        <v>6.0</v>
      </c>
      <c r="J339" s="183"/>
      <c r="K339" s="167"/>
      <c r="L339" s="184" t="s">
        <v>90</v>
      </c>
      <c r="M339" s="167">
        <v>1.0</v>
      </c>
      <c r="N339" s="184" t="s">
        <v>132</v>
      </c>
      <c r="O339" s="186">
        <v>3.0</v>
      </c>
      <c r="P339" s="184" t="s">
        <v>30</v>
      </c>
      <c r="Q339" s="167">
        <v>5.0</v>
      </c>
      <c r="R339" s="184" t="s">
        <v>111</v>
      </c>
      <c r="S339" s="167">
        <v>4.0</v>
      </c>
      <c r="T339" s="187"/>
      <c r="U339" s="167"/>
      <c r="V339" s="184" t="s">
        <v>105</v>
      </c>
      <c r="W339" s="167">
        <v>7.0</v>
      </c>
      <c r="X339" s="142">
        <v>1.0</v>
      </c>
      <c r="Y339" s="142">
        <v>1.0</v>
      </c>
      <c r="Z339" s="142">
        <v>1.0</v>
      </c>
      <c r="AA339" s="142">
        <v>1.0</v>
      </c>
      <c r="AB339" s="142">
        <v>1.0</v>
      </c>
      <c r="AC339" s="142">
        <v>1.0</v>
      </c>
      <c r="AD339" s="142">
        <v>1.0</v>
      </c>
      <c r="AE339" s="142">
        <v>1.0</v>
      </c>
      <c r="AF339" s="142">
        <v>8.0</v>
      </c>
      <c r="AG339" s="142">
        <v>0.0</v>
      </c>
      <c r="AH339" s="185" t="str">
        <f>IFERROR(__xludf.DUMMYFUNCTION("if($C339="""","""",if(join("" - "",{iferror(filter('Student Groupings'!$A:$A,'Student Groupings'!$B:$B=$C339,'Student Groupings'!$H:$H=""Can't be Together""),"""");iferror(filter('Student Groupings'!$A:$A,'Student Groupings'!$E:$E=$C339,'Student Groupings"&amp;"'!$H:$H=""Can't be Together""),"""")})="" - "","""",join("" - "",{iferror(filter('Student Groupings'!$A:$A,'Student Groupings'!$B:$B=$C339,'Student Groupings'!$H:$H=""Can't be Together""),"""");iferror(filter('Student Groupings'!$A:$A,'Student Groupings'!"&amp;"$E:$E=$C339,'Student Groupings'!$H:$H=""Can't be Together""),"""")})))"),"")</f>
        <v/>
      </c>
      <c r="AI339" s="185" t="str">
        <f>IFERROR(__xludf.DUMMYFUNCTION("if($C339="""","""",if(join("" - "",{iferror(filter('Student Groupings'!$A:$A,'Student Groupings'!$B:$B=$C339,'Student Groupings'!$H:$H=""Must be Together""),"""");iferror(filter('Student Groupings'!$A:$A,'Student Groupings'!$E:$E=$C339,'Student Groupings'"&amp;"!$H:$H=""Must be Together""),"""")})="" - "","""",join("" - "",{iferror(filter('Student Groupings'!$A:$A,'Student Groupings'!$B:$B=$C339,'Student Groupings'!$H:$H=""Must be Together""),"""");iferror(filter('Student Groupings'!$A:$A,'Student Groupings'!$E:"&amp;"$E=$C339,'Student Groupings'!$H:$H=""Must be Together""),"""")})))"),"")</f>
        <v/>
      </c>
    </row>
    <row r="340">
      <c r="A340" s="167">
        <v>11.0</v>
      </c>
      <c r="B340" s="168">
        <v>27093.0</v>
      </c>
      <c r="C340" s="144" t="s">
        <v>492</v>
      </c>
      <c r="D340" s="180" t="s">
        <v>41</v>
      </c>
      <c r="E340" s="181">
        <v>3.0</v>
      </c>
      <c r="F340" s="167" t="s">
        <v>57</v>
      </c>
      <c r="G340" s="167">
        <v>8.0</v>
      </c>
      <c r="H340" s="182" t="s">
        <v>70</v>
      </c>
      <c r="I340" s="167">
        <v>2.0</v>
      </c>
      <c r="J340" s="187"/>
      <c r="K340" s="167"/>
      <c r="L340" s="184" t="s">
        <v>90</v>
      </c>
      <c r="M340" s="167">
        <v>1.0</v>
      </c>
      <c r="N340" s="184" t="s">
        <v>132</v>
      </c>
      <c r="O340" s="167">
        <v>4.0</v>
      </c>
      <c r="P340" s="184" t="s">
        <v>34</v>
      </c>
      <c r="Q340" s="167">
        <v>7.0</v>
      </c>
      <c r="R340" s="184" t="s">
        <v>105</v>
      </c>
      <c r="S340" s="167">
        <v>5.0</v>
      </c>
      <c r="T340" s="183"/>
      <c r="U340" s="167"/>
      <c r="V340" s="184" t="s">
        <v>32</v>
      </c>
      <c r="W340" s="167">
        <v>6.0</v>
      </c>
      <c r="X340" s="142">
        <v>1.0</v>
      </c>
      <c r="Y340" s="142">
        <v>1.0</v>
      </c>
      <c r="Z340" s="142">
        <v>1.0</v>
      </c>
      <c r="AA340" s="142">
        <v>1.0</v>
      </c>
      <c r="AB340" s="142">
        <v>1.0</v>
      </c>
      <c r="AC340" s="142">
        <v>1.0</v>
      </c>
      <c r="AD340" s="142">
        <v>1.0</v>
      </c>
      <c r="AE340" s="142">
        <v>1.0</v>
      </c>
      <c r="AF340" s="142">
        <v>8.0</v>
      </c>
      <c r="AG340" s="142">
        <v>0.0</v>
      </c>
      <c r="AH340" s="185" t="str">
        <f>IFERROR(__xludf.DUMMYFUNCTION("if($C340="""","""",if(join("" - "",{iferror(filter('Student Groupings'!$A:$A,'Student Groupings'!$B:$B=$C340,'Student Groupings'!$H:$H=""Can't be Together""),"""");iferror(filter('Student Groupings'!$A:$A,'Student Groupings'!$E:$E=$C340,'Student Groupings"&amp;"'!$H:$H=""Can't be Together""),"""")})="" - "","""",join("" - "",{iferror(filter('Student Groupings'!$A:$A,'Student Groupings'!$B:$B=$C340,'Student Groupings'!$H:$H=""Can't be Together""),"""");iferror(filter('Student Groupings'!$A:$A,'Student Groupings'!"&amp;"$E:$E=$C340,'Student Groupings'!$H:$H=""Can't be Together""),"""")})))"),"")</f>
        <v/>
      </c>
      <c r="AI340" s="185" t="str">
        <f>IFERROR(__xludf.DUMMYFUNCTION("if($C340="""","""",if(join("" - "",{iferror(filter('Student Groupings'!$A:$A,'Student Groupings'!$B:$B=$C340,'Student Groupings'!$H:$H=""Must be Together""),"""");iferror(filter('Student Groupings'!$A:$A,'Student Groupings'!$E:$E=$C340,'Student Groupings'"&amp;"!$H:$H=""Must be Together""),"""")})="" - "","""",join("" - "",{iferror(filter('Student Groupings'!$A:$A,'Student Groupings'!$B:$B=$C340,'Student Groupings'!$H:$H=""Must be Together""),"""");iferror(filter('Student Groupings'!$A:$A,'Student Groupings'!$E:"&amp;"$E=$C340,'Student Groupings'!$H:$H=""Must be Together""),"""")})))"),"")</f>
        <v/>
      </c>
    </row>
    <row r="341">
      <c r="A341" s="167">
        <v>11.0</v>
      </c>
      <c r="B341" s="168">
        <v>27112.0</v>
      </c>
      <c r="C341" s="144" t="s">
        <v>493</v>
      </c>
      <c r="D341" s="180" t="s">
        <v>43</v>
      </c>
      <c r="E341" s="181">
        <v>4.0</v>
      </c>
      <c r="F341" s="167" t="s">
        <v>66</v>
      </c>
      <c r="G341" s="167">
        <v>1.0</v>
      </c>
      <c r="H341" s="182" t="s">
        <v>69</v>
      </c>
      <c r="I341" s="167">
        <v>6.0</v>
      </c>
      <c r="J341" s="183"/>
      <c r="K341" s="167"/>
      <c r="L341" s="184" t="s">
        <v>90</v>
      </c>
      <c r="M341" s="167">
        <v>8.0</v>
      </c>
      <c r="N341" s="184" t="s">
        <v>132</v>
      </c>
      <c r="O341" s="167">
        <v>7.0</v>
      </c>
      <c r="P341" s="184" t="s">
        <v>27</v>
      </c>
      <c r="Q341" s="167">
        <v>3.0</v>
      </c>
      <c r="R341" s="184" t="s">
        <v>107</v>
      </c>
      <c r="S341" s="167">
        <v>2.0</v>
      </c>
      <c r="T341" s="187"/>
      <c r="U341" s="167"/>
      <c r="V341" s="184" t="s">
        <v>96</v>
      </c>
      <c r="W341" s="167">
        <v>5.0</v>
      </c>
      <c r="X341" s="142">
        <v>1.0</v>
      </c>
      <c r="Y341" s="142">
        <v>1.0</v>
      </c>
      <c r="Z341" s="142">
        <v>1.0</v>
      </c>
      <c r="AA341" s="142">
        <v>1.0</v>
      </c>
      <c r="AB341" s="142">
        <v>1.0</v>
      </c>
      <c r="AC341" s="142">
        <v>1.0</v>
      </c>
      <c r="AD341" s="142">
        <v>1.0</v>
      </c>
      <c r="AE341" s="142">
        <v>1.0</v>
      </c>
      <c r="AF341" s="142">
        <v>8.0</v>
      </c>
      <c r="AG341" s="142">
        <v>0.0</v>
      </c>
      <c r="AH341" s="185" t="str">
        <f>IFERROR(__xludf.DUMMYFUNCTION("if($C341="""","""",if(join("" - "",{iferror(filter('Student Groupings'!$A:$A,'Student Groupings'!$B:$B=$C341,'Student Groupings'!$H:$H=""Can't be Together""),"""");iferror(filter('Student Groupings'!$A:$A,'Student Groupings'!$E:$E=$C341,'Student Groupings"&amp;"'!$H:$H=""Can't be Together""),"""")})="" - "","""",join("" - "",{iferror(filter('Student Groupings'!$A:$A,'Student Groupings'!$B:$B=$C341,'Student Groupings'!$H:$H=""Can't be Together""),"""");iferror(filter('Student Groupings'!$A:$A,'Student Groupings'!"&amp;"$E:$E=$C341,'Student Groupings'!$H:$H=""Can't be Together""),"""")})))"),"")</f>
        <v/>
      </c>
      <c r="AI341" s="185" t="str">
        <f>IFERROR(__xludf.DUMMYFUNCTION("if($C341="""","""",if(join("" - "",{iferror(filter('Student Groupings'!$A:$A,'Student Groupings'!$B:$B=$C341,'Student Groupings'!$H:$H=""Must be Together""),"""");iferror(filter('Student Groupings'!$A:$A,'Student Groupings'!$E:$E=$C341,'Student Groupings'"&amp;"!$H:$H=""Must be Together""),"""")})="" - "","""",join("" - "",{iferror(filter('Student Groupings'!$A:$A,'Student Groupings'!$B:$B=$C341,'Student Groupings'!$H:$H=""Must be Together""),"""");iferror(filter('Student Groupings'!$A:$A,'Student Groupings'!$E:"&amp;"$E=$C341,'Student Groupings'!$H:$H=""Must be Together""),"""")})))"),"")</f>
        <v/>
      </c>
    </row>
    <row r="342">
      <c r="A342" s="167">
        <v>11.0</v>
      </c>
      <c r="B342" s="168">
        <v>27083.0</v>
      </c>
      <c r="C342" s="144" t="s">
        <v>494</v>
      </c>
      <c r="D342" s="198" t="s">
        <v>43</v>
      </c>
      <c r="E342" s="181">
        <v>4.0</v>
      </c>
      <c r="F342" s="186" t="s">
        <v>66</v>
      </c>
      <c r="G342" s="180">
        <v>6.0</v>
      </c>
      <c r="H342" s="182" t="s">
        <v>79</v>
      </c>
      <c r="I342" s="167">
        <v>5.0</v>
      </c>
      <c r="J342" s="187"/>
      <c r="K342" s="167"/>
      <c r="L342" s="184" t="s">
        <v>90</v>
      </c>
      <c r="M342" s="167">
        <v>2.0</v>
      </c>
      <c r="N342" s="184" t="s">
        <v>132</v>
      </c>
      <c r="O342" s="167">
        <v>7.0</v>
      </c>
      <c r="P342" s="184" t="s">
        <v>27</v>
      </c>
      <c r="Q342" s="167">
        <v>3.0</v>
      </c>
      <c r="R342" s="184" t="s">
        <v>107</v>
      </c>
      <c r="S342" s="167">
        <v>1.0</v>
      </c>
      <c r="T342" s="187"/>
      <c r="U342" s="167"/>
      <c r="V342" s="184" t="s">
        <v>105</v>
      </c>
      <c r="W342" s="167">
        <v>8.0</v>
      </c>
      <c r="X342" s="142">
        <v>1.0</v>
      </c>
      <c r="Y342" s="142">
        <v>1.0</v>
      </c>
      <c r="Z342" s="142">
        <v>1.0</v>
      </c>
      <c r="AA342" s="142">
        <v>1.0</v>
      </c>
      <c r="AB342" s="142">
        <v>1.0</v>
      </c>
      <c r="AC342" s="142">
        <v>1.0</v>
      </c>
      <c r="AD342" s="142">
        <v>1.0</v>
      </c>
      <c r="AE342" s="142">
        <v>1.0</v>
      </c>
      <c r="AF342" s="142">
        <v>8.0</v>
      </c>
      <c r="AG342" s="142">
        <v>0.0</v>
      </c>
      <c r="AH342" s="185" t="str">
        <f>IFERROR(__xludf.DUMMYFUNCTION("if($C342="""","""",if(join("" - "",{iferror(filter('Student Groupings'!$A:$A,'Student Groupings'!$B:$B=$C342,'Student Groupings'!$H:$H=""Can't be Together""),"""");iferror(filter('Student Groupings'!$A:$A,'Student Groupings'!$E:$E=$C342,'Student Groupings"&amp;"'!$H:$H=""Can't be Together""),"""")})="" - "","""",join("" - "",{iferror(filter('Student Groupings'!$A:$A,'Student Groupings'!$B:$B=$C342,'Student Groupings'!$H:$H=""Can't be Together""),"""");iferror(filter('Student Groupings'!$A:$A,'Student Groupings'!"&amp;"$E:$E=$C342,'Student Groupings'!$H:$H=""Can't be Together""),"""")})))"),"")</f>
        <v/>
      </c>
      <c r="AI342" s="185" t="str">
        <f>IFERROR(__xludf.DUMMYFUNCTION("if($C342="""","""",if(join("" - "",{iferror(filter('Student Groupings'!$A:$A,'Student Groupings'!$B:$B=$C342,'Student Groupings'!$H:$H=""Must be Together""),"""");iferror(filter('Student Groupings'!$A:$A,'Student Groupings'!$E:$E=$C342,'Student Groupings'"&amp;"!$H:$H=""Must be Together""),"""")})="" - "","""",join("" - "",{iferror(filter('Student Groupings'!$A:$A,'Student Groupings'!$B:$B=$C342,'Student Groupings'!$H:$H=""Must be Together""),"""");iferror(filter('Student Groupings'!$A:$A,'Student Groupings'!$E:"&amp;"$E=$C342,'Student Groupings'!$H:$H=""Must be Together""),"""")})))"),"")</f>
        <v/>
      </c>
    </row>
    <row r="343">
      <c r="A343" s="167">
        <v>11.0</v>
      </c>
      <c r="B343" s="168">
        <v>26041.0</v>
      </c>
      <c r="C343" s="144" t="s">
        <v>495</v>
      </c>
      <c r="D343" s="180" t="s">
        <v>41</v>
      </c>
      <c r="E343" s="181">
        <v>2.0</v>
      </c>
      <c r="F343" s="167" t="s">
        <v>57</v>
      </c>
      <c r="G343" s="167">
        <v>5.0</v>
      </c>
      <c r="H343" s="182" t="s">
        <v>79</v>
      </c>
      <c r="I343" s="167">
        <v>6.0</v>
      </c>
      <c r="J343" s="183"/>
      <c r="K343" s="167"/>
      <c r="L343" s="184" t="s">
        <v>90</v>
      </c>
      <c r="M343" s="167">
        <v>8.0</v>
      </c>
      <c r="N343" s="184" t="s">
        <v>132</v>
      </c>
      <c r="O343" s="167">
        <v>1.0</v>
      </c>
      <c r="P343" s="184" t="s">
        <v>30</v>
      </c>
      <c r="Q343" s="167">
        <v>7.0</v>
      </c>
      <c r="R343" s="184" t="s">
        <v>111</v>
      </c>
      <c r="S343" s="167">
        <v>4.0</v>
      </c>
      <c r="T343" s="187"/>
      <c r="U343" s="167"/>
      <c r="V343" s="182" t="s">
        <v>115</v>
      </c>
      <c r="W343" s="167">
        <v>3.0</v>
      </c>
      <c r="X343" s="142">
        <v>1.0</v>
      </c>
      <c r="Y343" s="142">
        <v>1.0</v>
      </c>
      <c r="Z343" s="142">
        <v>1.0</v>
      </c>
      <c r="AA343" s="142">
        <v>1.0</v>
      </c>
      <c r="AB343" s="142">
        <v>1.0</v>
      </c>
      <c r="AC343" s="142">
        <v>1.0</v>
      </c>
      <c r="AD343" s="142">
        <v>1.0</v>
      </c>
      <c r="AE343" s="142">
        <v>1.0</v>
      </c>
      <c r="AF343" s="142">
        <v>8.0</v>
      </c>
      <c r="AG343" s="142">
        <v>0.0</v>
      </c>
      <c r="AH343" s="185" t="str">
        <f>IFERROR(__xludf.DUMMYFUNCTION("if($C343="""","""",if(join("" - "",{iferror(filter('Student Groupings'!$A:$A,'Student Groupings'!$B:$B=$C343,'Student Groupings'!$H:$H=""Can't be Together""),"""");iferror(filter('Student Groupings'!$A:$A,'Student Groupings'!$E:$E=$C343,'Student Groupings"&amp;"'!$H:$H=""Can't be Together""),"""")})="" - "","""",join("" - "",{iferror(filter('Student Groupings'!$A:$A,'Student Groupings'!$B:$B=$C343,'Student Groupings'!$H:$H=""Can't be Together""),"""");iferror(filter('Student Groupings'!$A:$A,'Student Groupings'!"&amp;"$E:$E=$C343,'Student Groupings'!$H:$H=""Can't be Together""),"""")})))"),"")</f>
        <v/>
      </c>
      <c r="AI343" s="185" t="str">
        <f>IFERROR(__xludf.DUMMYFUNCTION("if($C343="""","""",if(join("" - "",{iferror(filter('Student Groupings'!$A:$A,'Student Groupings'!$B:$B=$C343,'Student Groupings'!$H:$H=""Must be Together""),"""");iferror(filter('Student Groupings'!$A:$A,'Student Groupings'!$E:$E=$C343,'Student Groupings'"&amp;"!$H:$H=""Must be Together""),"""")})="" - "","""",join("" - "",{iferror(filter('Student Groupings'!$A:$A,'Student Groupings'!$B:$B=$C343,'Student Groupings'!$H:$H=""Must be Together""),"""");iferror(filter('Student Groupings'!$A:$A,'Student Groupings'!$E:"&amp;"$E=$C343,'Student Groupings'!$H:$H=""Must be Together""),"""")})))"),"")</f>
        <v/>
      </c>
    </row>
    <row r="344">
      <c r="A344" s="186">
        <v>11.0</v>
      </c>
      <c r="B344" s="199">
        <v>27092.0</v>
      </c>
      <c r="C344" s="183" t="s">
        <v>496</v>
      </c>
      <c r="D344" s="198" t="s">
        <v>43</v>
      </c>
      <c r="E344" s="181">
        <v>6.0</v>
      </c>
      <c r="F344" s="186" t="s">
        <v>57</v>
      </c>
      <c r="G344" s="186">
        <v>8.0</v>
      </c>
      <c r="H344" s="182" t="s">
        <v>79</v>
      </c>
      <c r="I344" s="167">
        <v>3.0</v>
      </c>
      <c r="J344" s="183"/>
      <c r="K344" s="167"/>
      <c r="L344" s="184" t="s">
        <v>90</v>
      </c>
      <c r="M344" s="186">
        <v>7.0</v>
      </c>
      <c r="N344" s="184" t="s">
        <v>132</v>
      </c>
      <c r="O344" s="167">
        <v>2.0</v>
      </c>
      <c r="P344" s="184" t="s">
        <v>26</v>
      </c>
      <c r="Q344" s="186">
        <v>1.0</v>
      </c>
      <c r="R344" s="184" t="s">
        <v>111</v>
      </c>
      <c r="S344" s="186">
        <v>5.0</v>
      </c>
      <c r="T344" s="187"/>
      <c r="U344" s="200"/>
      <c r="V344" s="184" t="s">
        <v>121</v>
      </c>
      <c r="W344" s="186">
        <v>4.0</v>
      </c>
      <c r="X344" s="142">
        <v>1.0</v>
      </c>
      <c r="Y344" s="142">
        <v>1.0</v>
      </c>
      <c r="Z344" s="142">
        <v>1.0</v>
      </c>
      <c r="AA344" s="142">
        <v>1.0</v>
      </c>
      <c r="AB344" s="142">
        <v>1.0</v>
      </c>
      <c r="AC344" s="142">
        <v>1.0</v>
      </c>
      <c r="AD344" s="142">
        <v>1.0</v>
      </c>
      <c r="AE344" s="142">
        <v>1.0</v>
      </c>
      <c r="AF344" s="142">
        <v>8.0</v>
      </c>
      <c r="AG344" s="142">
        <v>0.0</v>
      </c>
      <c r="AH344" s="185" t="str">
        <f>IFERROR(__xludf.DUMMYFUNCTION("if($C344="""","""",if(join("" - "",{iferror(filter('Student Groupings'!$A:$A,'Student Groupings'!$B:$B=$C344,'Student Groupings'!$H:$H=""Can't be Together""),"""");iferror(filter('Student Groupings'!$A:$A,'Student Groupings'!$E:$E=$C344,'Student Groupings"&amp;"'!$H:$H=""Can't be Together""),"""")})="" - "","""",join("" - "",{iferror(filter('Student Groupings'!$A:$A,'Student Groupings'!$B:$B=$C344,'Student Groupings'!$H:$H=""Can't be Together""),"""");iferror(filter('Student Groupings'!$A:$A,'Student Groupings'!"&amp;"$E:$E=$C344,'Student Groupings'!$H:$H=""Can't be Together""),"""")})))"),"")</f>
        <v/>
      </c>
      <c r="AI344" s="185" t="str">
        <f>IFERROR(__xludf.DUMMYFUNCTION("if($C344="""","""",if(join("" - "",{iferror(filter('Student Groupings'!$A:$A,'Student Groupings'!$B:$B=$C344,'Student Groupings'!$H:$H=""Must be Together""),"""");iferror(filter('Student Groupings'!$A:$A,'Student Groupings'!$E:$E=$C344,'Student Groupings'"&amp;"!$H:$H=""Must be Together""),"""")})="" - "","""",join("" - "",{iferror(filter('Student Groupings'!$A:$A,'Student Groupings'!$B:$B=$C344,'Student Groupings'!$H:$H=""Must be Together""),"""");iferror(filter('Student Groupings'!$A:$A,'Student Groupings'!$E:"&amp;"$E=$C344,'Student Groupings'!$H:$H=""Must be Together""),"""")})))"),"")</f>
        <v/>
      </c>
    </row>
    <row r="345">
      <c r="A345" s="186">
        <v>11.0</v>
      </c>
      <c r="B345" s="199">
        <v>27055.0</v>
      </c>
      <c r="C345" s="183" t="s">
        <v>497</v>
      </c>
      <c r="D345" s="198" t="s">
        <v>43</v>
      </c>
      <c r="E345" s="181">
        <v>4.0</v>
      </c>
      <c r="F345" s="186" t="s">
        <v>66</v>
      </c>
      <c r="G345" s="186">
        <v>5.0</v>
      </c>
      <c r="H345" s="182" t="s">
        <v>69</v>
      </c>
      <c r="I345" s="186">
        <v>6.0</v>
      </c>
      <c r="J345" s="187"/>
      <c r="K345" s="167"/>
      <c r="L345" s="184" t="s">
        <v>90</v>
      </c>
      <c r="M345" s="186">
        <v>1.0</v>
      </c>
      <c r="N345" s="184" t="s">
        <v>132</v>
      </c>
      <c r="O345" s="186">
        <v>2.0</v>
      </c>
      <c r="P345" s="184" t="s">
        <v>27</v>
      </c>
      <c r="Q345" s="186">
        <v>8.0</v>
      </c>
      <c r="R345" s="184" t="s">
        <v>107</v>
      </c>
      <c r="S345" s="186">
        <v>7.0</v>
      </c>
      <c r="T345" s="187"/>
      <c r="U345" s="200"/>
      <c r="V345" s="182" t="s">
        <v>115</v>
      </c>
      <c r="W345" s="186">
        <v>3.0</v>
      </c>
      <c r="X345" s="142">
        <v>1.0</v>
      </c>
      <c r="Y345" s="142">
        <v>1.0</v>
      </c>
      <c r="Z345" s="142">
        <v>1.0</v>
      </c>
      <c r="AA345" s="142">
        <v>1.0</v>
      </c>
      <c r="AB345" s="142">
        <v>1.0</v>
      </c>
      <c r="AC345" s="142">
        <v>1.0</v>
      </c>
      <c r="AD345" s="142">
        <v>1.0</v>
      </c>
      <c r="AE345" s="142">
        <v>1.0</v>
      </c>
      <c r="AF345" s="142">
        <v>8.0</v>
      </c>
      <c r="AG345" s="142">
        <v>0.0</v>
      </c>
      <c r="AH345" s="185" t="str">
        <f>IFERROR(__xludf.DUMMYFUNCTION("if($C345="""","""",if(join("" - "",{iferror(filter('Student Groupings'!$A:$A,'Student Groupings'!$B:$B=$C345,'Student Groupings'!$H:$H=""Can't be Together""),"""");iferror(filter('Student Groupings'!$A:$A,'Student Groupings'!$E:$E=$C345,'Student Groupings"&amp;"'!$H:$H=""Can't be Together""),"""")})="" - "","""",join("" - "",{iferror(filter('Student Groupings'!$A:$A,'Student Groupings'!$B:$B=$C345,'Student Groupings'!$H:$H=""Can't be Together""),"""");iferror(filter('Student Groupings'!$A:$A,'Student Groupings'!"&amp;"$E:$E=$C345,'Student Groupings'!$H:$H=""Can't be Together""),"""")})))"),"")</f>
        <v/>
      </c>
      <c r="AI345" s="185" t="str">
        <f>IFERROR(__xludf.DUMMYFUNCTION("if($C345="""","""",if(join("" - "",{iferror(filter('Student Groupings'!$A:$A,'Student Groupings'!$B:$B=$C345,'Student Groupings'!$H:$H=""Must be Together""),"""");iferror(filter('Student Groupings'!$A:$A,'Student Groupings'!$E:$E=$C345,'Student Groupings'"&amp;"!$H:$H=""Must be Together""),"""")})="" - "","""",join("" - "",{iferror(filter('Student Groupings'!$A:$A,'Student Groupings'!$B:$B=$C345,'Student Groupings'!$H:$H=""Must be Together""),"""");iferror(filter('Student Groupings'!$A:$A,'Student Groupings'!$E:"&amp;"$E=$C345,'Student Groupings'!$H:$H=""Must be Together""),"""")})))"),"")</f>
        <v/>
      </c>
    </row>
    <row r="346">
      <c r="A346" s="186">
        <v>11.0</v>
      </c>
      <c r="B346" s="182">
        <v>27162.0</v>
      </c>
      <c r="C346" s="183" t="s">
        <v>498</v>
      </c>
      <c r="D346" s="198" t="s">
        <v>41</v>
      </c>
      <c r="E346" s="181">
        <v>2.0</v>
      </c>
      <c r="F346" s="186" t="s">
        <v>66</v>
      </c>
      <c r="G346" s="186">
        <v>6.0</v>
      </c>
      <c r="H346" s="182" t="s">
        <v>79</v>
      </c>
      <c r="I346" s="167">
        <v>3.0</v>
      </c>
      <c r="J346" s="187"/>
      <c r="K346" s="167"/>
      <c r="L346" s="184" t="s">
        <v>90</v>
      </c>
      <c r="M346" s="186">
        <v>7.0</v>
      </c>
      <c r="N346" s="184" t="s">
        <v>132</v>
      </c>
      <c r="O346" s="186">
        <v>1.0</v>
      </c>
      <c r="P346" s="184" t="s">
        <v>30</v>
      </c>
      <c r="Q346" s="186">
        <v>4.0</v>
      </c>
      <c r="R346" s="184" t="s">
        <v>105</v>
      </c>
      <c r="S346" s="186">
        <v>8.0</v>
      </c>
      <c r="T346" s="187"/>
      <c r="U346" s="200"/>
      <c r="V346" s="184" t="s">
        <v>111</v>
      </c>
      <c r="W346" s="167">
        <v>5.0</v>
      </c>
      <c r="X346" s="142">
        <v>1.0</v>
      </c>
      <c r="Y346" s="142">
        <v>1.0</v>
      </c>
      <c r="Z346" s="142">
        <v>1.0</v>
      </c>
      <c r="AA346" s="142">
        <v>1.0</v>
      </c>
      <c r="AB346" s="142">
        <v>1.0</v>
      </c>
      <c r="AC346" s="142">
        <v>1.0</v>
      </c>
      <c r="AD346" s="142">
        <v>1.0</v>
      </c>
      <c r="AE346" s="142">
        <v>1.0</v>
      </c>
      <c r="AF346" s="142">
        <v>8.0</v>
      </c>
      <c r="AG346" s="142">
        <v>0.0</v>
      </c>
      <c r="AH346" s="185" t="str">
        <f>IFERROR(__xludf.DUMMYFUNCTION("if($C346="""","""",if(join("" - "",{iferror(filter('Student Groupings'!$A:$A,'Student Groupings'!$B:$B=$C346,'Student Groupings'!$H:$H=""Can't be Together""),"""");iferror(filter('Student Groupings'!$A:$A,'Student Groupings'!$E:$E=$C346,'Student Groupings"&amp;"'!$H:$H=""Can't be Together""),"""")})="" - "","""",join("" - "",{iferror(filter('Student Groupings'!$A:$A,'Student Groupings'!$B:$B=$C346,'Student Groupings'!$H:$H=""Can't be Together""),"""");iferror(filter('Student Groupings'!$A:$A,'Student Groupings'!"&amp;"$E:$E=$C346,'Student Groupings'!$H:$H=""Can't be Together""),"""")})))"),"")</f>
        <v/>
      </c>
      <c r="AI346" s="185" t="str">
        <f>IFERROR(__xludf.DUMMYFUNCTION("if($C346="""","""",if(join("" - "",{iferror(filter('Student Groupings'!$A:$A,'Student Groupings'!$B:$B=$C346,'Student Groupings'!$H:$H=""Must be Together""),"""");iferror(filter('Student Groupings'!$A:$A,'Student Groupings'!$E:$E=$C346,'Student Groupings'"&amp;"!$H:$H=""Must be Together""),"""")})="" - "","""",join("" - "",{iferror(filter('Student Groupings'!$A:$A,'Student Groupings'!$B:$B=$C346,'Student Groupings'!$H:$H=""Must be Together""),"""");iferror(filter('Student Groupings'!$A:$A,'Student Groupings'!$E:"&amp;"$E=$C346,'Student Groupings'!$H:$H=""Must be Together""),"""")})))"),"")</f>
        <v/>
      </c>
    </row>
    <row r="347">
      <c r="A347" s="186">
        <v>11.0</v>
      </c>
      <c r="B347" s="182">
        <v>27090.0</v>
      </c>
      <c r="C347" s="183" t="s">
        <v>499</v>
      </c>
      <c r="D347" s="198" t="s">
        <v>43</v>
      </c>
      <c r="E347" s="181">
        <v>1.0</v>
      </c>
      <c r="F347" s="186" t="s">
        <v>66</v>
      </c>
      <c r="G347" s="186">
        <v>3.0</v>
      </c>
      <c r="H347" s="182" t="s">
        <v>70</v>
      </c>
      <c r="I347" s="167">
        <v>7.0</v>
      </c>
      <c r="J347" s="187"/>
      <c r="K347" s="200"/>
      <c r="L347" s="184" t="s">
        <v>90</v>
      </c>
      <c r="M347" s="186">
        <v>8.0</v>
      </c>
      <c r="N347" s="184" t="s">
        <v>132</v>
      </c>
      <c r="O347" s="186">
        <v>6.0</v>
      </c>
      <c r="P347" s="184" t="s">
        <v>23</v>
      </c>
      <c r="Q347" s="186">
        <v>2.0</v>
      </c>
      <c r="R347" s="184" t="s">
        <v>105</v>
      </c>
      <c r="S347" s="186">
        <v>4.0</v>
      </c>
      <c r="T347" s="187"/>
      <c r="U347" s="200"/>
      <c r="V347" s="182" t="s">
        <v>115</v>
      </c>
      <c r="W347" s="186">
        <v>5.0</v>
      </c>
      <c r="X347" s="142">
        <v>1.0</v>
      </c>
      <c r="Y347" s="142">
        <v>1.0</v>
      </c>
      <c r="Z347" s="142">
        <v>1.0</v>
      </c>
      <c r="AA347" s="142">
        <v>1.0</v>
      </c>
      <c r="AB347" s="142">
        <v>1.0</v>
      </c>
      <c r="AC347" s="142">
        <v>1.0</v>
      </c>
      <c r="AD347" s="142">
        <v>1.0</v>
      </c>
      <c r="AE347" s="142">
        <v>1.0</v>
      </c>
      <c r="AF347" s="142">
        <v>8.0</v>
      </c>
      <c r="AG347" s="142">
        <v>0.0</v>
      </c>
      <c r="AH347" s="185" t="str">
        <f>IFERROR(__xludf.DUMMYFUNCTION("if($C347="""","""",if(join("" - "",{iferror(filter('Student Groupings'!$A:$A,'Student Groupings'!$B:$B=$C347,'Student Groupings'!$H:$H=""Can't be Together""),"""");iferror(filter('Student Groupings'!$A:$A,'Student Groupings'!$E:$E=$C347,'Student Groupings"&amp;"'!$H:$H=""Can't be Together""),"""")})="" - "","""",join("" - "",{iferror(filter('Student Groupings'!$A:$A,'Student Groupings'!$B:$B=$C347,'Student Groupings'!$H:$H=""Can't be Together""),"""");iferror(filter('Student Groupings'!$A:$A,'Student Groupings'!"&amp;"$E:$E=$C347,'Student Groupings'!$H:$H=""Can't be Together""),"""")})))"),"")</f>
        <v/>
      </c>
      <c r="AI347" s="185" t="str">
        <f>IFERROR(__xludf.DUMMYFUNCTION("if($C347="""","""",if(join("" - "",{iferror(filter('Student Groupings'!$A:$A,'Student Groupings'!$B:$B=$C347,'Student Groupings'!$H:$H=""Must be Together""),"""");iferror(filter('Student Groupings'!$A:$A,'Student Groupings'!$E:$E=$C347,'Student Groupings'"&amp;"!$H:$H=""Must be Together""),"""")})="" - "","""",join("" - "",{iferror(filter('Student Groupings'!$A:$A,'Student Groupings'!$B:$B=$C347,'Student Groupings'!$H:$H=""Must be Together""),"""");iferror(filter('Student Groupings'!$A:$A,'Student Groupings'!$E:"&amp;"$E=$C347,'Student Groupings'!$H:$H=""Must be Together""),"""")})))"),"")</f>
        <v/>
      </c>
    </row>
    <row r="348">
      <c r="A348" s="186">
        <v>11.0</v>
      </c>
      <c r="B348" s="182">
        <v>27120.0</v>
      </c>
      <c r="C348" s="183" t="s">
        <v>500</v>
      </c>
      <c r="D348" s="198" t="s">
        <v>41</v>
      </c>
      <c r="E348" s="181">
        <v>3.0</v>
      </c>
      <c r="F348" s="186" t="s">
        <v>57</v>
      </c>
      <c r="G348" s="186">
        <v>5.0</v>
      </c>
      <c r="H348" s="182" t="s">
        <v>70</v>
      </c>
      <c r="I348" s="186">
        <v>7.0</v>
      </c>
      <c r="J348" s="187"/>
      <c r="K348" s="200"/>
      <c r="L348" s="184" t="s">
        <v>90</v>
      </c>
      <c r="M348" s="186">
        <v>1.0</v>
      </c>
      <c r="N348" s="184" t="s">
        <v>132</v>
      </c>
      <c r="O348" s="167">
        <v>4.0</v>
      </c>
      <c r="P348" s="184" t="s">
        <v>32</v>
      </c>
      <c r="Q348" s="186">
        <v>6.0</v>
      </c>
      <c r="R348" s="184" t="s">
        <v>108</v>
      </c>
      <c r="S348" s="186">
        <v>2.0</v>
      </c>
      <c r="T348" s="187"/>
      <c r="U348" s="200"/>
      <c r="V348" s="184" t="s">
        <v>105</v>
      </c>
      <c r="W348" s="186">
        <v>8.0</v>
      </c>
      <c r="X348" s="142">
        <v>1.0</v>
      </c>
      <c r="Y348" s="142">
        <v>1.0</v>
      </c>
      <c r="Z348" s="142">
        <v>1.0</v>
      </c>
      <c r="AA348" s="142">
        <v>1.0</v>
      </c>
      <c r="AB348" s="142">
        <v>1.0</v>
      </c>
      <c r="AC348" s="142">
        <v>1.0</v>
      </c>
      <c r="AD348" s="142">
        <v>1.0</v>
      </c>
      <c r="AE348" s="142">
        <v>1.0</v>
      </c>
      <c r="AF348" s="142">
        <v>8.0</v>
      </c>
      <c r="AG348" s="142">
        <v>0.0</v>
      </c>
      <c r="AH348" s="185" t="str">
        <f>IFERROR(__xludf.DUMMYFUNCTION("if($C348="""","""",if(join("" - "",{iferror(filter('Student Groupings'!$A:$A,'Student Groupings'!$B:$B=$C348,'Student Groupings'!$H:$H=""Can't be Together""),"""");iferror(filter('Student Groupings'!$A:$A,'Student Groupings'!$E:$E=$C348,'Student Groupings"&amp;"'!$H:$H=""Can't be Together""),"""")})="" - "","""",join("" - "",{iferror(filter('Student Groupings'!$A:$A,'Student Groupings'!$B:$B=$C348,'Student Groupings'!$H:$H=""Can't be Together""),"""");iferror(filter('Student Groupings'!$A:$A,'Student Groupings'!"&amp;"$E:$E=$C348,'Student Groupings'!$H:$H=""Can't be Together""),"""")})))"),"")</f>
        <v/>
      </c>
      <c r="AI348" s="185" t="str">
        <f>IFERROR(__xludf.DUMMYFUNCTION("if($C348="""","""",if(join("" - "",{iferror(filter('Student Groupings'!$A:$A,'Student Groupings'!$B:$B=$C348,'Student Groupings'!$H:$H=""Must be Together""),"""");iferror(filter('Student Groupings'!$A:$A,'Student Groupings'!$E:$E=$C348,'Student Groupings'"&amp;"!$H:$H=""Must be Together""),"""")})="" - "","""",join("" - "",{iferror(filter('Student Groupings'!$A:$A,'Student Groupings'!$B:$B=$C348,'Student Groupings'!$H:$H=""Must be Together""),"""");iferror(filter('Student Groupings'!$A:$A,'Student Groupings'!$E:"&amp;"$E=$C348,'Student Groupings'!$H:$H=""Must be Together""),"""")})))"),"")</f>
        <v/>
      </c>
    </row>
    <row r="349">
      <c r="A349" s="186">
        <v>11.0</v>
      </c>
      <c r="B349" s="182">
        <v>27103.0</v>
      </c>
      <c r="C349" s="183" t="s">
        <v>501</v>
      </c>
      <c r="D349" s="198" t="s">
        <v>41</v>
      </c>
      <c r="E349" s="181">
        <v>3.0</v>
      </c>
      <c r="F349" s="186" t="s">
        <v>66</v>
      </c>
      <c r="G349" s="186">
        <v>5.0</v>
      </c>
      <c r="H349" s="182" t="s">
        <v>79</v>
      </c>
      <c r="I349" s="186">
        <v>6.0</v>
      </c>
      <c r="J349" s="187"/>
      <c r="K349" s="200"/>
      <c r="L349" s="184" t="s">
        <v>90</v>
      </c>
      <c r="M349" s="186">
        <v>8.0</v>
      </c>
      <c r="N349" s="184" t="s">
        <v>132</v>
      </c>
      <c r="O349" s="186">
        <v>1.0</v>
      </c>
      <c r="P349" s="184" t="s">
        <v>23</v>
      </c>
      <c r="Q349" s="186">
        <v>2.0</v>
      </c>
      <c r="R349" s="184" t="s">
        <v>105</v>
      </c>
      <c r="S349" s="186">
        <v>4.0</v>
      </c>
      <c r="T349" s="187"/>
      <c r="U349" s="200"/>
      <c r="V349" s="184" t="s">
        <v>74</v>
      </c>
      <c r="W349" s="186">
        <v>7.0</v>
      </c>
      <c r="X349" s="142">
        <v>1.0</v>
      </c>
      <c r="Y349" s="142">
        <v>1.0</v>
      </c>
      <c r="Z349" s="142">
        <v>1.0</v>
      </c>
      <c r="AA349" s="142">
        <v>1.0</v>
      </c>
      <c r="AB349" s="142">
        <v>1.0</v>
      </c>
      <c r="AC349" s="142">
        <v>1.0</v>
      </c>
      <c r="AD349" s="142">
        <v>1.0</v>
      </c>
      <c r="AE349" s="142">
        <v>1.0</v>
      </c>
      <c r="AF349" s="142">
        <v>8.0</v>
      </c>
      <c r="AG349" s="142">
        <v>0.0</v>
      </c>
      <c r="AH349" s="185" t="str">
        <f>IFERROR(__xludf.DUMMYFUNCTION("if($C349="""","""",if(join("" - "",{iferror(filter('Student Groupings'!$A:$A,'Student Groupings'!$B:$B=$C349,'Student Groupings'!$H:$H=""Can't be Together""),"""");iferror(filter('Student Groupings'!$A:$A,'Student Groupings'!$E:$E=$C349,'Student Groupings"&amp;"'!$H:$H=""Can't be Together""),"""")})="" - "","""",join("" - "",{iferror(filter('Student Groupings'!$A:$A,'Student Groupings'!$B:$B=$C349,'Student Groupings'!$H:$H=""Can't be Together""),"""");iferror(filter('Student Groupings'!$A:$A,'Student Groupings'!"&amp;"$E:$E=$C349,'Student Groupings'!$H:$H=""Can't be Together""),"""")})))")," - 28")</f>
        <v> - 28</v>
      </c>
      <c r="AI349" s="185" t="str">
        <f>IFERROR(__xludf.DUMMYFUNCTION("if($C349="""","""",if(join("" - "",{iferror(filter('Student Groupings'!$A:$A,'Student Groupings'!$B:$B=$C349,'Student Groupings'!$H:$H=""Must be Together""),"""");iferror(filter('Student Groupings'!$A:$A,'Student Groupings'!$E:$E=$C349,'Student Groupings'"&amp;"!$H:$H=""Must be Together""),"""")})="" - "","""",join("" - "",{iferror(filter('Student Groupings'!$A:$A,'Student Groupings'!$B:$B=$C349,'Student Groupings'!$H:$H=""Must be Together""),"""");iferror(filter('Student Groupings'!$A:$A,'Student Groupings'!$E:"&amp;"$E=$C349,'Student Groupings'!$H:$H=""Must be Together""),"""")})))"),"")</f>
        <v/>
      </c>
    </row>
    <row r="350">
      <c r="A350" s="186">
        <v>11.0</v>
      </c>
      <c r="B350" s="182">
        <v>27003.0</v>
      </c>
      <c r="C350" s="183" t="s">
        <v>502</v>
      </c>
      <c r="D350" s="198" t="s">
        <v>43</v>
      </c>
      <c r="E350" s="181">
        <v>6.0</v>
      </c>
      <c r="F350" s="186" t="s">
        <v>66</v>
      </c>
      <c r="G350" s="186">
        <v>1.0</v>
      </c>
      <c r="H350" s="182" t="s">
        <v>79</v>
      </c>
      <c r="I350" s="167">
        <v>8.0</v>
      </c>
      <c r="J350" s="183"/>
      <c r="K350" s="167"/>
      <c r="L350" s="184" t="s">
        <v>90</v>
      </c>
      <c r="M350" s="186">
        <v>2.0</v>
      </c>
      <c r="N350" s="184" t="s">
        <v>132</v>
      </c>
      <c r="O350" s="167">
        <v>7.0</v>
      </c>
      <c r="P350" s="184" t="s">
        <v>24</v>
      </c>
      <c r="Q350" s="186">
        <v>4.0</v>
      </c>
      <c r="R350" s="184" t="s">
        <v>105</v>
      </c>
      <c r="S350" s="167">
        <v>5.0</v>
      </c>
      <c r="T350" s="187"/>
      <c r="U350" s="200"/>
      <c r="V350" s="182" t="s">
        <v>115</v>
      </c>
      <c r="W350" s="186">
        <v>3.0</v>
      </c>
      <c r="X350" s="142">
        <v>1.0</v>
      </c>
      <c r="Y350" s="142">
        <v>1.0</v>
      </c>
      <c r="Z350" s="142">
        <v>1.0</v>
      </c>
      <c r="AA350" s="142">
        <v>1.0</v>
      </c>
      <c r="AB350" s="142">
        <v>1.0</v>
      </c>
      <c r="AC350" s="142">
        <v>1.0</v>
      </c>
      <c r="AD350" s="142">
        <v>1.0</v>
      </c>
      <c r="AE350" s="142">
        <v>1.0</v>
      </c>
      <c r="AF350" s="142">
        <v>8.0</v>
      </c>
      <c r="AG350" s="142">
        <v>0.0</v>
      </c>
      <c r="AH350" s="185" t="str">
        <f>IFERROR(__xludf.DUMMYFUNCTION("if($C350="""","""",if(join("" - "",{iferror(filter('Student Groupings'!$A:$A,'Student Groupings'!$B:$B=$C350,'Student Groupings'!$H:$H=""Can't be Together""),"""");iferror(filter('Student Groupings'!$A:$A,'Student Groupings'!$E:$E=$C350,'Student Groupings"&amp;"'!$H:$H=""Can't be Together""),"""")})="" - "","""",join("" - "",{iferror(filter('Student Groupings'!$A:$A,'Student Groupings'!$B:$B=$C350,'Student Groupings'!$H:$H=""Can't be Together""),"""");iferror(filter('Student Groupings'!$A:$A,'Student Groupings'!"&amp;"$E:$E=$C350,'Student Groupings'!$H:$H=""Can't be Together""),"""")})))"),"")</f>
        <v/>
      </c>
      <c r="AI350" s="185" t="str">
        <f>IFERROR(__xludf.DUMMYFUNCTION("if($C350="""","""",if(join("" - "",{iferror(filter('Student Groupings'!$A:$A,'Student Groupings'!$B:$B=$C350,'Student Groupings'!$H:$H=""Must be Together""),"""");iferror(filter('Student Groupings'!$A:$A,'Student Groupings'!$E:$E=$C350,'Student Groupings'"&amp;"!$H:$H=""Must be Together""),"""")})="" - "","""",join("" - "",{iferror(filter('Student Groupings'!$A:$A,'Student Groupings'!$B:$B=$C350,'Student Groupings'!$H:$H=""Must be Together""),"""");iferror(filter('Student Groupings'!$A:$A,'Student Groupings'!$E:"&amp;"$E=$C350,'Student Groupings'!$H:$H=""Must be Together""),"""")})))"),"")</f>
        <v/>
      </c>
    </row>
    <row r="351">
      <c r="A351" s="186">
        <v>11.0</v>
      </c>
      <c r="B351" s="182">
        <v>27061.0</v>
      </c>
      <c r="C351" s="183" t="s">
        <v>503</v>
      </c>
      <c r="D351" s="198" t="s">
        <v>41</v>
      </c>
      <c r="E351" s="181">
        <v>2.0</v>
      </c>
      <c r="F351" s="186" t="s">
        <v>66</v>
      </c>
      <c r="G351" s="186">
        <v>3.0</v>
      </c>
      <c r="H351" s="182" t="s">
        <v>70</v>
      </c>
      <c r="I351" s="186">
        <v>7.0</v>
      </c>
      <c r="J351" s="187"/>
      <c r="K351" s="200"/>
      <c r="L351" s="184" t="s">
        <v>90</v>
      </c>
      <c r="M351" s="186">
        <v>8.0</v>
      </c>
      <c r="N351" s="184" t="s">
        <v>132</v>
      </c>
      <c r="O351" s="186">
        <v>6.0</v>
      </c>
      <c r="P351" s="184" t="s">
        <v>34</v>
      </c>
      <c r="Q351" s="186">
        <v>1.0</v>
      </c>
      <c r="R351" s="184" t="s">
        <v>105</v>
      </c>
      <c r="S351" s="186">
        <v>4.0</v>
      </c>
      <c r="T351" s="187"/>
      <c r="U351" s="200"/>
      <c r="V351" s="182" t="s">
        <v>115</v>
      </c>
      <c r="W351" s="186">
        <v>5.0</v>
      </c>
      <c r="X351" s="142">
        <v>1.0</v>
      </c>
      <c r="Y351" s="142">
        <v>1.0</v>
      </c>
      <c r="Z351" s="142">
        <v>1.0</v>
      </c>
      <c r="AA351" s="142">
        <v>1.0</v>
      </c>
      <c r="AB351" s="142">
        <v>1.0</v>
      </c>
      <c r="AC351" s="142">
        <v>1.0</v>
      </c>
      <c r="AD351" s="142">
        <v>1.0</v>
      </c>
      <c r="AE351" s="142">
        <v>1.0</v>
      </c>
      <c r="AF351" s="142">
        <v>8.0</v>
      </c>
      <c r="AG351" s="142">
        <v>0.0</v>
      </c>
      <c r="AH351" s="185" t="str">
        <f>IFERROR(__xludf.DUMMYFUNCTION("if($C351="""","""",if(join("" - "",{iferror(filter('Student Groupings'!$A:$A,'Student Groupings'!$B:$B=$C351,'Student Groupings'!$H:$H=""Can't be Together""),"""");iferror(filter('Student Groupings'!$A:$A,'Student Groupings'!$E:$E=$C351,'Student Groupings"&amp;"'!$H:$H=""Can't be Together""),"""")})="" - "","""",join("" - "",{iferror(filter('Student Groupings'!$A:$A,'Student Groupings'!$B:$B=$C351,'Student Groupings'!$H:$H=""Can't be Together""),"""");iferror(filter('Student Groupings'!$A:$A,'Student Groupings'!"&amp;"$E:$E=$C351,'Student Groupings'!$H:$H=""Can't be Together""),"""")})))"),"")</f>
        <v/>
      </c>
      <c r="AI351" s="185" t="str">
        <f>IFERROR(__xludf.DUMMYFUNCTION("if($C351="""","""",if(join("" - "",{iferror(filter('Student Groupings'!$A:$A,'Student Groupings'!$B:$B=$C351,'Student Groupings'!$H:$H=""Must be Together""),"""");iferror(filter('Student Groupings'!$A:$A,'Student Groupings'!$E:$E=$C351,'Student Groupings'"&amp;"!$H:$H=""Must be Together""),"""")})="" - "","""",join("" - "",{iferror(filter('Student Groupings'!$A:$A,'Student Groupings'!$B:$B=$C351,'Student Groupings'!$H:$H=""Must be Together""),"""");iferror(filter('Student Groupings'!$A:$A,'Student Groupings'!$E:"&amp;"$E=$C351,'Student Groupings'!$H:$H=""Must be Together""),"""")})))"),"")</f>
        <v/>
      </c>
    </row>
    <row r="352">
      <c r="A352" s="186">
        <v>11.0</v>
      </c>
      <c r="B352" s="182">
        <v>27028.0</v>
      </c>
      <c r="C352" s="183" t="s">
        <v>504</v>
      </c>
      <c r="D352" s="198" t="s">
        <v>41</v>
      </c>
      <c r="E352" s="181">
        <v>3.0</v>
      </c>
      <c r="F352" s="186" t="s">
        <v>66</v>
      </c>
      <c r="G352" s="186">
        <v>4.0</v>
      </c>
      <c r="H352" s="182" t="s">
        <v>69</v>
      </c>
      <c r="I352" s="167">
        <v>6.0</v>
      </c>
      <c r="J352" s="183"/>
      <c r="K352" s="167"/>
      <c r="L352" s="184" t="s">
        <v>90</v>
      </c>
      <c r="M352" s="186">
        <v>5.0</v>
      </c>
      <c r="N352" s="184" t="s">
        <v>132</v>
      </c>
      <c r="O352" s="186">
        <v>1.0</v>
      </c>
      <c r="P352" s="184" t="s">
        <v>24</v>
      </c>
      <c r="Q352" s="186">
        <v>8.0</v>
      </c>
      <c r="R352" s="184" t="s">
        <v>107</v>
      </c>
      <c r="S352" s="186">
        <v>2.0</v>
      </c>
      <c r="T352" s="187"/>
      <c r="U352" s="200"/>
      <c r="V352" s="184" t="s">
        <v>105</v>
      </c>
      <c r="W352" s="186">
        <v>7.0</v>
      </c>
      <c r="X352" s="142">
        <v>1.0</v>
      </c>
      <c r="Y352" s="142">
        <v>1.0</v>
      </c>
      <c r="Z352" s="142">
        <v>1.0</v>
      </c>
      <c r="AA352" s="142">
        <v>1.0</v>
      </c>
      <c r="AB352" s="142">
        <v>1.0</v>
      </c>
      <c r="AC352" s="142">
        <v>1.0</v>
      </c>
      <c r="AD352" s="142">
        <v>1.0</v>
      </c>
      <c r="AE352" s="142">
        <v>1.0</v>
      </c>
      <c r="AF352" s="142">
        <v>8.0</v>
      </c>
      <c r="AG352" s="142">
        <v>0.0</v>
      </c>
      <c r="AH352" s="185" t="str">
        <f>IFERROR(__xludf.DUMMYFUNCTION("if($C352="""","""",if(join("" - "",{iferror(filter('Student Groupings'!$A:$A,'Student Groupings'!$B:$B=$C352,'Student Groupings'!$H:$H=""Can't be Together""),"""");iferror(filter('Student Groupings'!$A:$A,'Student Groupings'!$E:$E=$C352,'Student Groupings"&amp;"'!$H:$H=""Can't be Together""),"""")})="" - "","""",join("" - "",{iferror(filter('Student Groupings'!$A:$A,'Student Groupings'!$B:$B=$C352,'Student Groupings'!$H:$H=""Can't be Together""),"""");iferror(filter('Student Groupings'!$A:$A,'Student Groupings'!"&amp;"$E:$E=$C352,'Student Groupings'!$H:$H=""Can't be Together""),"""")})))"),"")</f>
        <v/>
      </c>
      <c r="AI352" s="185" t="str">
        <f>IFERROR(__xludf.DUMMYFUNCTION("if($C352="""","""",if(join("" - "",{iferror(filter('Student Groupings'!$A:$A,'Student Groupings'!$B:$B=$C352,'Student Groupings'!$H:$H=""Must be Together""),"""");iferror(filter('Student Groupings'!$A:$A,'Student Groupings'!$E:$E=$C352,'Student Groupings'"&amp;"!$H:$H=""Must be Together""),"""")})="" - "","""",join("" - "",{iferror(filter('Student Groupings'!$A:$A,'Student Groupings'!$B:$B=$C352,'Student Groupings'!$H:$H=""Must be Together""),"""");iferror(filter('Student Groupings'!$A:$A,'Student Groupings'!$E:"&amp;"$E=$C352,'Student Groupings'!$H:$H=""Must be Together""),"""")})))"),"")</f>
        <v/>
      </c>
    </row>
    <row r="353">
      <c r="A353" s="186">
        <v>11.0</v>
      </c>
      <c r="B353" s="182">
        <v>27097.0</v>
      </c>
      <c r="C353" s="183" t="s">
        <v>505</v>
      </c>
      <c r="D353" s="198" t="s">
        <v>49</v>
      </c>
      <c r="E353" s="181">
        <v>3.0</v>
      </c>
      <c r="F353" s="186" t="s">
        <v>66</v>
      </c>
      <c r="G353" s="186">
        <v>1.0</v>
      </c>
      <c r="H353" s="182" t="s">
        <v>70</v>
      </c>
      <c r="I353" s="186">
        <v>2.0</v>
      </c>
      <c r="J353" s="187"/>
      <c r="K353" s="200"/>
      <c r="L353" s="184" t="s">
        <v>90</v>
      </c>
      <c r="M353" s="186">
        <v>8.0</v>
      </c>
      <c r="N353" s="184" t="s">
        <v>132</v>
      </c>
      <c r="O353" s="186">
        <v>6.0</v>
      </c>
      <c r="P353" s="184" t="s">
        <v>30</v>
      </c>
      <c r="Q353" s="186">
        <v>4.0</v>
      </c>
      <c r="R353" s="184" t="s">
        <v>105</v>
      </c>
      <c r="S353" s="186">
        <v>7.0</v>
      </c>
      <c r="T353" s="187"/>
      <c r="U353" s="200"/>
      <c r="V353" s="182" t="s">
        <v>115</v>
      </c>
      <c r="W353" s="186">
        <v>5.0</v>
      </c>
      <c r="X353" s="142">
        <v>1.0</v>
      </c>
      <c r="Y353" s="142">
        <v>1.0</v>
      </c>
      <c r="Z353" s="142">
        <v>1.0</v>
      </c>
      <c r="AA353" s="142">
        <v>1.0</v>
      </c>
      <c r="AB353" s="142">
        <v>1.0</v>
      </c>
      <c r="AC353" s="142">
        <v>1.0</v>
      </c>
      <c r="AD353" s="142">
        <v>1.0</v>
      </c>
      <c r="AE353" s="142">
        <v>1.0</v>
      </c>
      <c r="AF353" s="142">
        <v>8.0</v>
      </c>
      <c r="AG353" s="142">
        <v>0.0</v>
      </c>
      <c r="AH353" s="185" t="str">
        <f>IFERROR(__xludf.DUMMYFUNCTION("if($C353="""","""",if(join("" - "",{iferror(filter('Student Groupings'!$A:$A,'Student Groupings'!$B:$B=$C353,'Student Groupings'!$H:$H=""Can't be Together""),"""");iferror(filter('Student Groupings'!$A:$A,'Student Groupings'!$E:$E=$C353,'Student Groupings"&amp;"'!$H:$H=""Can't be Together""),"""")})="" - "","""",join("" - "",{iferror(filter('Student Groupings'!$A:$A,'Student Groupings'!$B:$B=$C353,'Student Groupings'!$H:$H=""Can't be Together""),"""");iferror(filter('Student Groupings'!$A:$A,'Student Groupings'!"&amp;"$E:$E=$C353,'Student Groupings'!$H:$H=""Can't be Together""),"""")})))"),"")</f>
        <v/>
      </c>
      <c r="AI353" s="185" t="str">
        <f>IFERROR(__xludf.DUMMYFUNCTION("if($C353="""","""",if(join("" - "",{iferror(filter('Student Groupings'!$A:$A,'Student Groupings'!$B:$B=$C353,'Student Groupings'!$H:$H=""Must be Together""),"""");iferror(filter('Student Groupings'!$A:$A,'Student Groupings'!$E:$E=$C353,'Student Groupings'"&amp;"!$H:$H=""Must be Together""),"""")})="" - "","""",join("" - "",{iferror(filter('Student Groupings'!$A:$A,'Student Groupings'!$B:$B=$C353,'Student Groupings'!$H:$H=""Must be Together""),"""");iferror(filter('Student Groupings'!$A:$A,'Student Groupings'!$E:"&amp;"$E=$C353,'Student Groupings'!$H:$H=""Must be Together""),"""")})))"),"")</f>
        <v/>
      </c>
    </row>
    <row r="354">
      <c r="A354" s="186">
        <v>11.0</v>
      </c>
      <c r="B354" s="182">
        <v>27116.0</v>
      </c>
      <c r="C354" s="183" t="s">
        <v>506</v>
      </c>
      <c r="D354" s="198" t="s">
        <v>43</v>
      </c>
      <c r="E354" s="181">
        <v>4.0</v>
      </c>
      <c r="F354" s="186" t="s">
        <v>57</v>
      </c>
      <c r="G354" s="186">
        <v>5.0</v>
      </c>
      <c r="H354" s="182" t="s">
        <v>81</v>
      </c>
      <c r="I354" s="186">
        <v>2.0</v>
      </c>
      <c r="J354" s="187"/>
      <c r="K354" s="200"/>
      <c r="L354" s="184" t="s">
        <v>90</v>
      </c>
      <c r="M354" s="186">
        <v>7.0</v>
      </c>
      <c r="N354" s="184" t="s">
        <v>132</v>
      </c>
      <c r="O354" s="186">
        <v>6.0</v>
      </c>
      <c r="P354" s="184" t="s">
        <v>26</v>
      </c>
      <c r="Q354" s="186">
        <v>1.0</v>
      </c>
      <c r="R354" s="184" t="s">
        <v>107</v>
      </c>
      <c r="S354" s="186">
        <v>8.0</v>
      </c>
      <c r="T354" s="187"/>
      <c r="U354" s="200"/>
      <c r="V354" s="184" t="s">
        <v>117</v>
      </c>
      <c r="W354" s="167">
        <v>3.0</v>
      </c>
      <c r="X354" s="142">
        <v>1.0</v>
      </c>
      <c r="Y354" s="142">
        <v>1.0</v>
      </c>
      <c r="Z354" s="142">
        <v>1.0</v>
      </c>
      <c r="AA354" s="142">
        <v>1.0</v>
      </c>
      <c r="AB354" s="142">
        <v>1.0</v>
      </c>
      <c r="AC354" s="142">
        <v>1.0</v>
      </c>
      <c r="AD354" s="142">
        <v>1.0</v>
      </c>
      <c r="AE354" s="142">
        <v>1.0</v>
      </c>
      <c r="AF354" s="142">
        <v>8.0</v>
      </c>
      <c r="AG354" s="142">
        <v>0.0</v>
      </c>
      <c r="AH354" s="185" t="str">
        <f>IFERROR(__xludf.DUMMYFUNCTION("if($C354="""","""",if(join("" - "",{iferror(filter('Student Groupings'!$A:$A,'Student Groupings'!$B:$B=$C354,'Student Groupings'!$H:$H=""Can't be Together""),"""");iferror(filter('Student Groupings'!$A:$A,'Student Groupings'!$E:$E=$C354,'Student Groupings"&amp;"'!$H:$H=""Can't be Together""),"""")})="" - "","""",join("" - "",{iferror(filter('Student Groupings'!$A:$A,'Student Groupings'!$B:$B=$C354,'Student Groupings'!$H:$H=""Can't be Together""),"""");iferror(filter('Student Groupings'!$A:$A,'Student Groupings'!"&amp;"$E:$E=$C354,'Student Groupings'!$H:$H=""Can't be Together""),"""")})))"),"")</f>
        <v/>
      </c>
      <c r="AI354" s="185" t="str">
        <f>IFERROR(__xludf.DUMMYFUNCTION("if($C354="""","""",if(join("" - "",{iferror(filter('Student Groupings'!$A:$A,'Student Groupings'!$B:$B=$C354,'Student Groupings'!$H:$H=""Must be Together""),"""");iferror(filter('Student Groupings'!$A:$A,'Student Groupings'!$E:$E=$C354,'Student Groupings'"&amp;"!$H:$H=""Must be Together""),"""")})="" - "","""",join("" - "",{iferror(filter('Student Groupings'!$A:$A,'Student Groupings'!$B:$B=$C354,'Student Groupings'!$H:$H=""Must be Together""),"""");iferror(filter('Student Groupings'!$A:$A,'Student Groupings'!$E:"&amp;"$E=$C354,'Student Groupings'!$H:$H=""Must be Together""),"""")})))"),"")</f>
        <v/>
      </c>
    </row>
    <row r="355">
      <c r="A355" s="186">
        <v>11.0</v>
      </c>
      <c r="B355" s="182">
        <v>27019.0</v>
      </c>
      <c r="C355" s="183" t="s">
        <v>507</v>
      </c>
      <c r="D355" s="198" t="s">
        <v>41</v>
      </c>
      <c r="E355" s="181">
        <v>2.0</v>
      </c>
      <c r="F355" s="186" t="s">
        <v>66</v>
      </c>
      <c r="G355" s="186">
        <v>5.0</v>
      </c>
      <c r="H355" s="182" t="s">
        <v>79</v>
      </c>
      <c r="I355" s="186">
        <v>3.0</v>
      </c>
      <c r="J355" s="187"/>
      <c r="K355" s="200"/>
      <c r="L355" s="184" t="s">
        <v>90</v>
      </c>
      <c r="M355" s="186">
        <v>7.0</v>
      </c>
      <c r="N355" s="184" t="s">
        <v>132</v>
      </c>
      <c r="O355" s="186">
        <v>6.0</v>
      </c>
      <c r="P355" s="184" t="s">
        <v>24</v>
      </c>
      <c r="Q355" s="186">
        <v>4.0</v>
      </c>
      <c r="R355" s="184" t="s">
        <v>107</v>
      </c>
      <c r="S355" s="186">
        <v>1.0</v>
      </c>
      <c r="T355" s="187"/>
      <c r="U355" s="200"/>
      <c r="V355" s="184" t="s">
        <v>105</v>
      </c>
      <c r="W355" s="167">
        <v>8.0</v>
      </c>
      <c r="X355" s="142">
        <v>1.0</v>
      </c>
      <c r="Y355" s="142">
        <v>1.0</v>
      </c>
      <c r="Z355" s="142">
        <v>1.0</v>
      </c>
      <c r="AA355" s="142">
        <v>1.0</v>
      </c>
      <c r="AB355" s="142">
        <v>1.0</v>
      </c>
      <c r="AC355" s="142">
        <v>1.0</v>
      </c>
      <c r="AD355" s="142">
        <v>1.0</v>
      </c>
      <c r="AE355" s="142">
        <v>1.0</v>
      </c>
      <c r="AF355" s="142">
        <v>8.0</v>
      </c>
      <c r="AG355" s="142">
        <v>0.0</v>
      </c>
      <c r="AH355" s="185" t="str">
        <f>IFERROR(__xludf.DUMMYFUNCTION("if($C355="""","""",if(join("" - "",{iferror(filter('Student Groupings'!$A:$A,'Student Groupings'!$B:$B=$C355,'Student Groupings'!$H:$H=""Can't be Together""),"""");iferror(filter('Student Groupings'!$A:$A,'Student Groupings'!$E:$E=$C355,'Student Groupings"&amp;"'!$H:$H=""Can't be Together""),"""")})="" - "","""",join("" - "",{iferror(filter('Student Groupings'!$A:$A,'Student Groupings'!$B:$B=$C355,'Student Groupings'!$H:$H=""Can't be Together""),"""");iferror(filter('Student Groupings'!$A:$A,'Student Groupings'!"&amp;"$E:$E=$C355,'Student Groupings'!$H:$H=""Can't be Together""),"""")})))"),"")</f>
        <v/>
      </c>
      <c r="AI355" s="185" t="str">
        <f>IFERROR(__xludf.DUMMYFUNCTION("if($C355="""","""",if(join("" - "",{iferror(filter('Student Groupings'!$A:$A,'Student Groupings'!$B:$B=$C355,'Student Groupings'!$H:$H=""Must be Together""),"""");iferror(filter('Student Groupings'!$A:$A,'Student Groupings'!$E:$E=$C355,'Student Groupings'"&amp;"!$H:$H=""Must be Together""),"""")})="" - "","""",join("" - "",{iferror(filter('Student Groupings'!$A:$A,'Student Groupings'!$B:$B=$C355,'Student Groupings'!$H:$H=""Must be Together""),"""");iferror(filter('Student Groupings'!$A:$A,'Student Groupings'!$E:"&amp;"$E=$C355,'Student Groupings'!$H:$H=""Must be Together""),"""")})))"),"")</f>
        <v/>
      </c>
    </row>
    <row r="356">
      <c r="A356" s="186">
        <v>11.0</v>
      </c>
      <c r="B356" s="182">
        <v>27052.0</v>
      </c>
      <c r="C356" s="183" t="s">
        <v>508</v>
      </c>
      <c r="D356" s="198" t="s">
        <v>41</v>
      </c>
      <c r="E356" s="181">
        <v>3.0</v>
      </c>
      <c r="F356" s="186" t="s">
        <v>66</v>
      </c>
      <c r="G356" s="186">
        <v>5.0</v>
      </c>
      <c r="H356" s="182" t="s">
        <v>79</v>
      </c>
      <c r="I356" s="186">
        <v>1.0</v>
      </c>
      <c r="J356" s="183"/>
      <c r="K356" s="186"/>
      <c r="L356" s="184" t="s">
        <v>90</v>
      </c>
      <c r="M356" s="186">
        <v>7.0</v>
      </c>
      <c r="N356" s="184" t="s">
        <v>132</v>
      </c>
      <c r="O356" s="186">
        <v>2.0</v>
      </c>
      <c r="P356" s="184" t="s">
        <v>24</v>
      </c>
      <c r="Q356" s="186">
        <v>8.0</v>
      </c>
      <c r="R356" s="184" t="s">
        <v>107</v>
      </c>
      <c r="S356" s="186">
        <v>6.0</v>
      </c>
      <c r="T356" s="187"/>
      <c r="U356" s="200"/>
      <c r="V356" s="184" t="s">
        <v>109</v>
      </c>
      <c r="W356" s="167">
        <v>4.0</v>
      </c>
      <c r="X356" s="142">
        <v>1.0</v>
      </c>
      <c r="Y356" s="142">
        <v>1.0</v>
      </c>
      <c r="Z356" s="142">
        <v>1.0</v>
      </c>
      <c r="AA356" s="142">
        <v>1.0</v>
      </c>
      <c r="AB356" s="142">
        <v>1.0</v>
      </c>
      <c r="AC356" s="142">
        <v>1.0</v>
      </c>
      <c r="AD356" s="142">
        <v>1.0</v>
      </c>
      <c r="AE356" s="142">
        <v>1.0</v>
      </c>
      <c r="AF356" s="142">
        <v>8.0</v>
      </c>
      <c r="AG356" s="142">
        <v>0.0</v>
      </c>
      <c r="AH356" s="185" t="str">
        <f>IFERROR(__xludf.DUMMYFUNCTION("if($C356="""","""",if(join("" - "",{iferror(filter('Student Groupings'!$A:$A,'Student Groupings'!$B:$B=$C356,'Student Groupings'!$H:$H=""Can't be Together""),"""");iferror(filter('Student Groupings'!$A:$A,'Student Groupings'!$E:$E=$C356,'Student Groupings"&amp;"'!$H:$H=""Can't be Together""),"""")})="" - "","""",join("" - "",{iferror(filter('Student Groupings'!$A:$A,'Student Groupings'!$B:$B=$C356,'Student Groupings'!$H:$H=""Can't be Together""),"""");iferror(filter('Student Groupings'!$A:$A,'Student Groupings'!"&amp;"$E:$E=$C356,'Student Groupings'!$H:$H=""Can't be Together""),"""")})))")," - 15")</f>
        <v> - 15</v>
      </c>
      <c r="AI356" s="185" t="str">
        <f>IFERROR(__xludf.DUMMYFUNCTION("if($C356="""","""",if(join("" - "",{iferror(filter('Student Groupings'!$A:$A,'Student Groupings'!$B:$B=$C356,'Student Groupings'!$H:$H=""Must be Together""),"""");iferror(filter('Student Groupings'!$A:$A,'Student Groupings'!$E:$E=$C356,'Student Groupings'"&amp;"!$H:$H=""Must be Together""),"""")})="" - "","""",join("" - "",{iferror(filter('Student Groupings'!$A:$A,'Student Groupings'!$B:$B=$C356,'Student Groupings'!$H:$H=""Must be Together""),"""");iferror(filter('Student Groupings'!$A:$A,'Student Groupings'!$E:"&amp;"$E=$C356,'Student Groupings'!$H:$H=""Must be Together""),"""")})))"),"")</f>
        <v/>
      </c>
    </row>
    <row r="357">
      <c r="A357" s="186">
        <v>11.0</v>
      </c>
      <c r="B357" s="182">
        <v>27027.0</v>
      </c>
      <c r="C357" s="183" t="s">
        <v>509</v>
      </c>
      <c r="D357" s="198" t="s">
        <v>43</v>
      </c>
      <c r="E357" s="181">
        <v>6.0</v>
      </c>
      <c r="F357" s="186" t="s">
        <v>66</v>
      </c>
      <c r="G357" s="186">
        <v>5.0</v>
      </c>
      <c r="H357" s="182" t="s">
        <v>79</v>
      </c>
      <c r="I357" s="186">
        <v>3.0</v>
      </c>
      <c r="J357" s="187"/>
      <c r="K357" s="200"/>
      <c r="L357" s="184" t="s">
        <v>90</v>
      </c>
      <c r="M357" s="186">
        <v>2.0</v>
      </c>
      <c r="N357" s="184" t="s">
        <v>132</v>
      </c>
      <c r="O357" s="167">
        <v>1.0</v>
      </c>
      <c r="P357" s="184" t="s">
        <v>24</v>
      </c>
      <c r="Q357" s="167">
        <v>4.0</v>
      </c>
      <c r="R357" s="184" t="s">
        <v>107</v>
      </c>
      <c r="S357" s="186">
        <v>7.0</v>
      </c>
      <c r="T357" s="183"/>
      <c r="U357" s="167"/>
      <c r="V357" s="184" t="s">
        <v>86</v>
      </c>
      <c r="W357" s="186">
        <v>8.0</v>
      </c>
      <c r="X357" s="142">
        <v>1.0</v>
      </c>
      <c r="Y357" s="142">
        <v>1.0</v>
      </c>
      <c r="Z357" s="142">
        <v>1.0</v>
      </c>
      <c r="AA357" s="142">
        <v>1.0</v>
      </c>
      <c r="AB357" s="142">
        <v>1.0</v>
      </c>
      <c r="AC357" s="142">
        <v>1.0</v>
      </c>
      <c r="AD357" s="142">
        <v>1.0</v>
      </c>
      <c r="AE357" s="142">
        <v>1.0</v>
      </c>
      <c r="AF357" s="142">
        <v>8.0</v>
      </c>
      <c r="AG357" s="142">
        <v>0.0</v>
      </c>
      <c r="AH357" s="185" t="str">
        <f>IFERROR(__xludf.DUMMYFUNCTION("if($C357="""","""",if(join("" - "",{iferror(filter('Student Groupings'!$A:$A,'Student Groupings'!$B:$B=$C357,'Student Groupings'!$H:$H=""Can't be Together""),"""");iferror(filter('Student Groupings'!$A:$A,'Student Groupings'!$E:$E=$C357,'Student Groupings"&amp;"'!$H:$H=""Can't be Together""),"""")})="" - "","""",join("" - "",{iferror(filter('Student Groupings'!$A:$A,'Student Groupings'!$B:$B=$C357,'Student Groupings'!$H:$H=""Can't be Together""),"""");iferror(filter('Student Groupings'!$A:$A,'Student Groupings'!"&amp;"$E:$E=$C357,'Student Groupings'!$H:$H=""Can't be Together""),"""")})))"),"94 - ")</f>
        <v>94 - </v>
      </c>
      <c r="AI357" s="185" t="str">
        <f>IFERROR(__xludf.DUMMYFUNCTION("if($C357="""","""",if(join("" - "",{iferror(filter('Student Groupings'!$A:$A,'Student Groupings'!$B:$B=$C357,'Student Groupings'!$H:$H=""Must be Together""),"""");iferror(filter('Student Groupings'!$A:$A,'Student Groupings'!$E:$E=$C357,'Student Groupings'"&amp;"!$H:$H=""Must be Together""),"""")})="" - "","""",join("" - "",{iferror(filter('Student Groupings'!$A:$A,'Student Groupings'!$B:$B=$C357,'Student Groupings'!$H:$H=""Must be Together""),"""");iferror(filter('Student Groupings'!$A:$A,'Student Groupings'!$E:"&amp;"$E=$C357,'Student Groupings'!$H:$H=""Must be Together""),"""")})))"),"")</f>
        <v/>
      </c>
    </row>
    <row r="358">
      <c r="A358" s="186">
        <v>11.0</v>
      </c>
      <c r="B358" s="182">
        <v>27110.0</v>
      </c>
      <c r="C358" s="183" t="s">
        <v>510</v>
      </c>
      <c r="D358" s="198" t="s">
        <v>43</v>
      </c>
      <c r="E358" s="181">
        <v>6.0</v>
      </c>
      <c r="F358" s="186" t="s">
        <v>66</v>
      </c>
      <c r="G358" s="186">
        <v>3.0</v>
      </c>
      <c r="H358" s="182" t="s">
        <v>79</v>
      </c>
      <c r="I358" s="186">
        <v>5.0</v>
      </c>
      <c r="J358" s="187"/>
      <c r="K358" s="200"/>
      <c r="L358" s="184" t="s">
        <v>90</v>
      </c>
      <c r="M358" s="186">
        <v>2.0</v>
      </c>
      <c r="N358" s="184" t="s">
        <v>132</v>
      </c>
      <c r="O358" s="186">
        <v>7.0</v>
      </c>
      <c r="P358" s="184" t="s">
        <v>24</v>
      </c>
      <c r="Q358" s="186">
        <v>8.0</v>
      </c>
      <c r="R358" s="184" t="s">
        <v>107</v>
      </c>
      <c r="S358" s="186">
        <v>1.0</v>
      </c>
      <c r="T358" s="187"/>
      <c r="U358" s="200"/>
      <c r="V358" s="184" t="s">
        <v>105</v>
      </c>
      <c r="W358" s="167">
        <v>4.0</v>
      </c>
      <c r="X358" s="142">
        <v>1.0</v>
      </c>
      <c r="Y358" s="142">
        <v>1.0</v>
      </c>
      <c r="Z358" s="142">
        <v>1.0</v>
      </c>
      <c r="AA358" s="142">
        <v>1.0</v>
      </c>
      <c r="AB358" s="142">
        <v>1.0</v>
      </c>
      <c r="AC358" s="142">
        <v>1.0</v>
      </c>
      <c r="AD358" s="142">
        <v>1.0</v>
      </c>
      <c r="AE358" s="142">
        <v>1.0</v>
      </c>
      <c r="AF358" s="142">
        <v>8.0</v>
      </c>
      <c r="AG358" s="142">
        <v>0.0</v>
      </c>
      <c r="AH358" s="185" t="str">
        <f>IFERROR(__xludf.DUMMYFUNCTION("if($C358="""","""",if(join("" - "",{iferror(filter('Student Groupings'!$A:$A,'Student Groupings'!$B:$B=$C358,'Student Groupings'!$H:$H=""Can't be Together""),"""");iferror(filter('Student Groupings'!$A:$A,'Student Groupings'!$E:$E=$C358,'Student Groupings"&amp;"'!$H:$H=""Can't be Together""),"""")})="" - "","""",join("" - "",{iferror(filter('Student Groupings'!$A:$A,'Student Groupings'!$B:$B=$C358,'Student Groupings'!$H:$H=""Can't be Together""),"""");iferror(filter('Student Groupings'!$A:$A,'Student Groupings'!"&amp;"$E:$E=$C358,'Student Groupings'!$H:$H=""Can't be Together""),"""")})))"),"25 - 14 - 19")</f>
        <v>25 - 14 - 19</v>
      </c>
      <c r="AI358" s="185" t="str">
        <f>IFERROR(__xludf.DUMMYFUNCTION("if($C358="""","""",if(join("" - "",{iferror(filter('Student Groupings'!$A:$A,'Student Groupings'!$B:$B=$C358,'Student Groupings'!$H:$H=""Must be Together""),"""");iferror(filter('Student Groupings'!$A:$A,'Student Groupings'!$E:$E=$C358,'Student Groupings'"&amp;"!$H:$H=""Must be Together""),"""")})="" - "","""",join("" - "",{iferror(filter('Student Groupings'!$A:$A,'Student Groupings'!$B:$B=$C358,'Student Groupings'!$H:$H=""Must be Together""),"""");iferror(filter('Student Groupings'!$A:$A,'Student Groupings'!$E:"&amp;"$E=$C358,'Student Groupings'!$H:$H=""Must be Together""),"""")})))"),"")</f>
        <v/>
      </c>
    </row>
    <row r="359">
      <c r="A359" s="186">
        <v>11.0</v>
      </c>
      <c r="B359" s="182">
        <v>27026.0</v>
      </c>
      <c r="C359" s="183" t="s">
        <v>511</v>
      </c>
      <c r="D359" s="198" t="s">
        <v>43</v>
      </c>
      <c r="E359" s="181">
        <v>4.0</v>
      </c>
      <c r="F359" s="186" t="s">
        <v>66</v>
      </c>
      <c r="G359" s="167">
        <v>6.0</v>
      </c>
      <c r="H359" s="182" t="s">
        <v>79</v>
      </c>
      <c r="I359" s="167">
        <v>3.0</v>
      </c>
      <c r="J359" s="183"/>
      <c r="K359" s="167"/>
      <c r="L359" s="184" t="s">
        <v>90</v>
      </c>
      <c r="M359" s="186">
        <v>2.0</v>
      </c>
      <c r="N359" s="184" t="s">
        <v>132</v>
      </c>
      <c r="O359" s="167">
        <v>7.0</v>
      </c>
      <c r="P359" s="184" t="s">
        <v>34</v>
      </c>
      <c r="Q359" s="186">
        <v>1.0</v>
      </c>
      <c r="R359" s="184" t="s">
        <v>111</v>
      </c>
      <c r="S359" s="186">
        <v>5.0</v>
      </c>
      <c r="T359" s="187"/>
      <c r="U359" s="200"/>
      <c r="V359" s="184" t="s">
        <v>105</v>
      </c>
      <c r="W359" s="167">
        <v>8.0</v>
      </c>
      <c r="X359" s="142">
        <v>1.0</v>
      </c>
      <c r="Y359" s="142">
        <v>1.0</v>
      </c>
      <c r="Z359" s="142">
        <v>1.0</v>
      </c>
      <c r="AA359" s="142">
        <v>1.0</v>
      </c>
      <c r="AB359" s="142">
        <v>1.0</v>
      </c>
      <c r="AC359" s="142">
        <v>1.0</v>
      </c>
      <c r="AD359" s="142">
        <v>1.0</v>
      </c>
      <c r="AE359" s="142">
        <v>1.0</v>
      </c>
      <c r="AF359" s="142">
        <v>8.0</v>
      </c>
      <c r="AG359" s="142">
        <v>0.0</v>
      </c>
      <c r="AH359" s="185" t="str">
        <f>IFERROR(__xludf.DUMMYFUNCTION("if($C359="""","""",if(join("" - "",{iferror(filter('Student Groupings'!$A:$A,'Student Groupings'!$B:$B=$C359,'Student Groupings'!$H:$H=""Can't be Together""),"""");iferror(filter('Student Groupings'!$A:$A,'Student Groupings'!$E:$E=$C359,'Student Groupings"&amp;"'!$H:$H=""Can't be Together""),"""")})="" - "","""",join("" - "",{iferror(filter('Student Groupings'!$A:$A,'Student Groupings'!$B:$B=$C359,'Student Groupings'!$H:$H=""Can't be Together""),"""");iferror(filter('Student Groupings'!$A:$A,'Student Groupings'!"&amp;"$E:$E=$C359,'Student Groupings'!$H:$H=""Can't be Together""),"""")})))"),"")</f>
        <v/>
      </c>
      <c r="AI359" s="185" t="str">
        <f>IFERROR(__xludf.DUMMYFUNCTION("if($C359="""","""",if(join("" - "",{iferror(filter('Student Groupings'!$A:$A,'Student Groupings'!$B:$B=$C359,'Student Groupings'!$H:$H=""Must be Together""),"""");iferror(filter('Student Groupings'!$A:$A,'Student Groupings'!$E:$E=$C359,'Student Groupings'"&amp;"!$H:$H=""Must be Together""),"""")})="" - "","""",join("" - "",{iferror(filter('Student Groupings'!$A:$A,'Student Groupings'!$B:$B=$C359,'Student Groupings'!$H:$H=""Must be Together""),"""");iferror(filter('Student Groupings'!$A:$A,'Student Groupings'!$E:"&amp;"$E=$C359,'Student Groupings'!$H:$H=""Must be Together""),"""")})))"),"")</f>
        <v/>
      </c>
    </row>
    <row r="360">
      <c r="A360" s="186">
        <v>11.0</v>
      </c>
      <c r="B360" s="182">
        <v>27079.0</v>
      </c>
      <c r="C360" s="183" t="s">
        <v>512</v>
      </c>
      <c r="D360" s="198" t="s">
        <v>49</v>
      </c>
      <c r="E360" s="181">
        <v>7.0</v>
      </c>
      <c r="F360" s="186" t="s">
        <v>66</v>
      </c>
      <c r="G360" s="167">
        <v>3.0</v>
      </c>
      <c r="H360" s="182" t="s">
        <v>70</v>
      </c>
      <c r="I360" s="167">
        <v>2.0</v>
      </c>
      <c r="J360" s="183"/>
      <c r="K360" s="167"/>
      <c r="L360" s="184" t="s">
        <v>90</v>
      </c>
      <c r="M360" s="186">
        <v>1.0</v>
      </c>
      <c r="N360" s="184" t="s">
        <v>132</v>
      </c>
      <c r="O360" s="167">
        <v>4.0</v>
      </c>
      <c r="P360" s="184" t="s">
        <v>29</v>
      </c>
      <c r="Q360" s="186">
        <v>6.0</v>
      </c>
      <c r="R360" s="184" t="s">
        <v>107</v>
      </c>
      <c r="S360" s="167">
        <v>8.0</v>
      </c>
      <c r="T360" s="187"/>
      <c r="U360" s="200"/>
      <c r="V360" s="182" t="s">
        <v>115</v>
      </c>
      <c r="W360" s="186">
        <v>5.0</v>
      </c>
      <c r="X360" s="142">
        <v>1.0</v>
      </c>
      <c r="Y360" s="142">
        <v>1.0</v>
      </c>
      <c r="Z360" s="142">
        <v>1.0</v>
      </c>
      <c r="AA360" s="142">
        <v>1.0</v>
      </c>
      <c r="AB360" s="142">
        <v>1.0</v>
      </c>
      <c r="AC360" s="142">
        <v>1.0</v>
      </c>
      <c r="AD360" s="142">
        <v>1.0</v>
      </c>
      <c r="AE360" s="142">
        <v>1.0</v>
      </c>
      <c r="AF360" s="142">
        <v>8.0</v>
      </c>
      <c r="AG360" s="142">
        <v>0.0</v>
      </c>
      <c r="AH360" s="185" t="str">
        <f>IFERROR(__xludf.DUMMYFUNCTION("if($C360="""","""",if(join("" - "",{iferror(filter('Student Groupings'!$A:$A,'Student Groupings'!$B:$B=$C360,'Student Groupings'!$H:$H=""Can't be Together""),"""");iferror(filter('Student Groupings'!$A:$A,'Student Groupings'!$E:$E=$C360,'Student Groupings"&amp;"'!$H:$H=""Can't be Together""),"""")})="" - "","""",join("" - "",{iferror(filter('Student Groupings'!$A:$A,'Student Groupings'!$B:$B=$C360,'Student Groupings'!$H:$H=""Can't be Together""),"""");iferror(filter('Student Groupings'!$A:$A,'Student Groupings'!"&amp;"$E:$E=$C360,'Student Groupings'!$H:$H=""Can't be Together""),"""")})))"),"")</f>
        <v/>
      </c>
      <c r="AI360" s="185" t="str">
        <f>IFERROR(__xludf.DUMMYFUNCTION("if($C360="""","""",if(join("" - "",{iferror(filter('Student Groupings'!$A:$A,'Student Groupings'!$B:$B=$C360,'Student Groupings'!$H:$H=""Must be Together""),"""");iferror(filter('Student Groupings'!$A:$A,'Student Groupings'!$E:$E=$C360,'Student Groupings'"&amp;"!$H:$H=""Must be Together""),"""")})="" - "","""",join("" - "",{iferror(filter('Student Groupings'!$A:$A,'Student Groupings'!$B:$B=$C360,'Student Groupings'!$H:$H=""Must be Together""),"""");iferror(filter('Student Groupings'!$A:$A,'Student Groupings'!$E:"&amp;"$E=$C360,'Student Groupings'!$H:$H=""Must be Together""),"""")})))"),"")</f>
        <v/>
      </c>
    </row>
    <row r="361">
      <c r="A361" s="186">
        <v>11.0</v>
      </c>
      <c r="B361" s="182">
        <v>27032.0</v>
      </c>
      <c r="C361" s="183" t="s">
        <v>513</v>
      </c>
      <c r="D361" s="198" t="s">
        <v>49</v>
      </c>
      <c r="E361" s="181">
        <v>7.0</v>
      </c>
      <c r="F361" s="186" t="s">
        <v>54</v>
      </c>
      <c r="G361" s="167">
        <v>8.0</v>
      </c>
      <c r="H361" s="182" t="s">
        <v>79</v>
      </c>
      <c r="I361" s="186">
        <v>6.0</v>
      </c>
      <c r="J361" s="187"/>
      <c r="K361" s="200"/>
      <c r="L361" s="184" t="s">
        <v>90</v>
      </c>
      <c r="M361" s="186">
        <v>1.0</v>
      </c>
      <c r="N361" s="184" t="s">
        <v>132</v>
      </c>
      <c r="O361" s="167">
        <v>2.0</v>
      </c>
      <c r="P361" s="184" t="s">
        <v>30</v>
      </c>
      <c r="Q361" s="186">
        <v>4.0</v>
      </c>
      <c r="R361" s="184" t="s">
        <v>101</v>
      </c>
      <c r="S361" s="186">
        <v>5.0</v>
      </c>
      <c r="T361" s="187"/>
      <c r="U361" s="200"/>
      <c r="V361" s="182" t="s">
        <v>115</v>
      </c>
      <c r="W361" s="167">
        <v>3.0</v>
      </c>
      <c r="X361" s="142">
        <v>1.0</v>
      </c>
      <c r="Y361" s="142">
        <v>1.0</v>
      </c>
      <c r="Z361" s="142">
        <v>1.0</v>
      </c>
      <c r="AA361" s="142">
        <v>1.0</v>
      </c>
      <c r="AB361" s="142">
        <v>1.0</v>
      </c>
      <c r="AC361" s="142">
        <v>1.0</v>
      </c>
      <c r="AD361" s="142">
        <v>1.0</v>
      </c>
      <c r="AE361" s="142">
        <v>1.0</v>
      </c>
      <c r="AF361" s="142">
        <v>8.0</v>
      </c>
      <c r="AG361" s="142">
        <v>0.0</v>
      </c>
      <c r="AH361" s="185" t="str">
        <f>IFERROR(__xludf.DUMMYFUNCTION("if($C361="""","""",if(join("" - "",{iferror(filter('Student Groupings'!$A:$A,'Student Groupings'!$B:$B=$C361,'Student Groupings'!$H:$H=""Can't be Together""),"""");iferror(filter('Student Groupings'!$A:$A,'Student Groupings'!$E:$E=$C361,'Student Groupings"&amp;"'!$H:$H=""Can't be Together""),"""")})="" - "","""",join("" - "",{iferror(filter('Student Groupings'!$A:$A,'Student Groupings'!$B:$B=$C361,'Student Groupings'!$H:$H=""Can't be Together""),"""");iferror(filter('Student Groupings'!$A:$A,'Student Groupings'!"&amp;"$E:$E=$C361,'Student Groupings'!$H:$H=""Can't be Together""),"""")})))")," - 91")</f>
        <v> - 91</v>
      </c>
      <c r="AI361" s="185" t="str">
        <f>IFERROR(__xludf.DUMMYFUNCTION("if($C361="""","""",if(join("" - "",{iferror(filter('Student Groupings'!$A:$A,'Student Groupings'!$B:$B=$C361,'Student Groupings'!$H:$H=""Must be Together""),"""");iferror(filter('Student Groupings'!$A:$A,'Student Groupings'!$E:$E=$C361,'Student Groupings'"&amp;"!$H:$H=""Must be Together""),"""")})="" - "","""",join("" - "",{iferror(filter('Student Groupings'!$A:$A,'Student Groupings'!$B:$B=$C361,'Student Groupings'!$H:$H=""Must be Together""),"""");iferror(filter('Student Groupings'!$A:$A,'Student Groupings'!$E:"&amp;"$E=$C361,'Student Groupings'!$H:$H=""Must be Together""),"""")})))"),"")</f>
        <v/>
      </c>
    </row>
    <row r="362">
      <c r="A362" s="186">
        <v>11.0</v>
      </c>
      <c r="B362" s="182">
        <v>27174.0</v>
      </c>
      <c r="C362" s="183" t="s">
        <v>514</v>
      </c>
      <c r="D362" s="198" t="s">
        <v>46</v>
      </c>
      <c r="E362" s="181">
        <v>4.0</v>
      </c>
      <c r="F362" s="186" t="s">
        <v>57</v>
      </c>
      <c r="G362" s="186">
        <v>8.0</v>
      </c>
      <c r="H362" s="182" t="s">
        <v>79</v>
      </c>
      <c r="I362" s="167">
        <v>3.0</v>
      </c>
      <c r="J362" s="187"/>
      <c r="K362" s="200"/>
      <c r="L362" s="184" t="s">
        <v>90</v>
      </c>
      <c r="M362" s="186">
        <v>2.0</v>
      </c>
      <c r="N362" s="184" t="s">
        <v>132</v>
      </c>
      <c r="O362" s="186">
        <v>6.0</v>
      </c>
      <c r="P362" s="184" t="s">
        <v>26</v>
      </c>
      <c r="Q362" s="167">
        <v>1.0</v>
      </c>
      <c r="R362" s="184" t="s">
        <v>111</v>
      </c>
      <c r="S362" s="186">
        <v>5.0</v>
      </c>
      <c r="T362" s="187"/>
      <c r="U362" s="200"/>
      <c r="V362" s="198" t="s">
        <v>38</v>
      </c>
      <c r="W362" s="45">
        <v>7.0</v>
      </c>
      <c r="X362" s="142">
        <v>1.0</v>
      </c>
      <c r="Y362" s="142">
        <v>1.0</v>
      </c>
      <c r="Z362" s="142">
        <v>1.0</v>
      </c>
      <c r="AA362" s="142">
        <v>1.0</v>
      </c>
      <c r="AB362" s="142">
        <v>1.0</v>
      </c>
      <c r="AC362" s="142">
        <v>1.0</v>
      </c>
      <c r="AD362" s="142">
        <v>1.0</v>
      </c>
      <c r="AE362" s="142">
        <v>1.0</v>
      </c>
      <c r="AF362" s="142">
        <v>8.0</v>
      </c>
      <c r="AG362" s="142">
        <v>0.0</v>
      </c>
      <c r="AH362" s="185" t="str">
        <f>IFERROR(__xludf.DUMMYFUNCTION("if($C362="""","""",if(join("" - "",{iferror(filter('Student Groupings'!$A:$A,'Student Groupings'!$B:$B=$C362,'Student Groupings'!$H:$H=""Can't be Together""),"""");iferror(filter('Student Groupings'!$A:$A,'Student Groupings'!$E:$E=$C362,'Student Groupings"&amp;"'!$H:$H=""Can't be Together""),"""")})="" - "","""",join("" - "",{iferror(filter('Student Groupings'!$A:$A,'Student Groupings'!$B:$B=$C362,'Student Groupings'!$H:$H=""Can't be Together""),"""");iferror(filter('Student Groupings'!$A:$A,'Student Groupings'!"&amp;"$E:$E=$C362,'Student Groupings'!$H:$H=""Can't be Together""),"""")})))"),"")</f>
        <v/>
      </c>
      <c r="AI362" s="185" t="str">
        <f>IFERROR(__xludf.DUMMYFUNCTION("if($C362="""","""",if(join("" - "",{iferror(filter('Student Groupings'!$A:$A,'Student Groupings'!$B:$B=$C362,'Student Groupings'!$H:$H=""Must be Together""),"""");iferror(filter('Student Groupings'!$A:$A,'Student Groupings'!$E:$E=$C362,'Student Groupings'"&amp;"!$H:$H=""Must be Together""),"""")})="" - "","""",join("" - "",{iferror(filter('Student Groupings'!$A:$A,'Student Groupings'!$B:$B=$C362,'Student Groupings'!$H:$H=""Must be Together""),"""");iferror(filter('Student Groupings'!$A:$A,'Student Groupings'!$E:"&amp;"$E=$C362,'Student Groupings'!$H:$H=""Must be Together""),"""")})))"),"")</f>
        <v/>
      </c>
    </row>
    <row r="363">
      <c r="A363" s="186">
        <v>11.0</v>
      </c>
      <c r="B363" s="182">
        <v>27108.0</v>
      </c>
      <c r="C363" s="183" t="s">
        <v>515</v>
      </c>
      <c r="D363" s="198" t="s">
        <v>43</v>
      </c>
      <c r="E363" s="181">
        <v>4.0</v>
      </c>
      <c r="F363" s="186" t="s">
        <v>66</v>
      </c>
      <c r="G363" s="186">
        <v>3.0</v>
      </c>
      <c r="H363" s="182" t="s">
        <v>69</v>
      </c>
      <c r="I363" s="186">
        <v>6.0</v>
      </c>
      <c r="J363" s="187"/>
      <c r="K363" s="200"/>
      <c r="L363" s="184" t="s">
        <v>90</v>
      </c>
      <c r="M363" s="186">
        <v>1.0</v>
      </c>
      <c r="N363" s="184" t="s">
        <v>132</v>
      </c>
      <c r="O363" s="186">
        <v>7.0</v>
      </c>
      <c r="P363" s="184" t="s">
        <v>27</v>
      </c>
      <c r="Q363" s="186">
        <v>8.0</v>
      </c>
      <c r="R363" s="184" t="s">
        <v>107</v>
      </c>
      <c r="S363" s="186">
        <v>2.0</v>
      </c>
      <c r="T363" s="187"/>
      <c r="U363" s="200"/>
      <c r="V363" s="184" t="s">
        <v>96</v>
      </c>
      <c r="W363" s="186">
        <v>5.0</v>
      </c>
      <c r="X363" s="142">
        <v>1.0</v>
      </c>
      <c r="Y363" s="142">
        <v>1.0</v>
      </c>
      <c r="Z363" s="142">
        <v>1.0</v>
      </c>
      <c r="AA363" s="142">
        <v>1.0</v>
      </c>
      <c r="AB363" s="142">
        <v>1.0</v>
      </c>
      <c r="AC363" s="142">
        <v>1.0</v>
      </c>
      <c r="AD363" s="142">
        <v>1.0</v>
      </c>
      <c r="AE363" s="142">
        <v>1.0</v>
      </c>
      <c r="AF363" s="142">
        <v>8.0</v>
      </c>
      <c r="AG363" s="142">
        <v>0.0</v>
      </c>
      <c r="AH363" s="185" t="str">
        <f>IFERROR(__xludf.DUMMYFUNCTION("if($C363="""","""",if(join("" - "",{iferror(filter('Student Groupings'!$A:$A,'Student Groupings'!$B:$B=$C363,'Student Groupings'!$H:$H=""Can't be Together""),"""");iferror(filter('Student Groupings'!$A:$A,'Student Groupings'!$E:$E=$C363,'Student Groupings"&amp;"'!$H:$H=""Can't be Together""),"""")})="" - "","""",join("" - "",{iferror(filter('Student Groupings'!$A:$A,'Student Groupings'!$B:$B=$C363,'Student Groupings'!$H:$H=""Can't be Together""),"""");iferror(filter('Student Groupings'!$A:$A,'Student Groupings'!"&amp;"$E:$E=$C363,'Student Groupings'!$H:$H=""Can't be Together""),"""")})))"),"")</f>
        <v/>
      </c>
      <c r="AI363" s="185" t="str">
        <f>IFERROR(__xludf.DUMMYFUNCTION("if($C363="""","""",if(join("" - "",{iferror(filter('Student Groupings'!$A:$A,'Student Groupings'!$B:$B=$C363,'Student Groupings'!$H:$H=""Must be Together""),"""");iferror(filter('Student Groupings'!$A:$A,'Student Groupings'!$E:$E=$C363,'Student Groupings'"&amp;"!$H:$H=""Must be Together""),"""")})="" - "","""",join("" - "",{iferror(filter('Student Groupings'!$A:$A,'Student Groupings'!$B:$B=$C363,'Student Groupings'!$H:$H=""Must be Together""),"""");iferror(filter('Student Groupings'!$A:$A,'Student Groupings'!$E:"&amp;"$E=$C363,'Student Groupings'!$H:$H=""Must be Together""),"""")})))"),"")</f>
        <v/>
      </c>
    </row>
    <row r="364">
      <c r="A364" s="186">
        <v>11.0</v>
      </c>
      <c r="B364" s="182">
        <v>27010.0</v>
      </c>
      <c r="C364" s="183" t="s">
        <v>516</v>
      </c>
      <c r="D364" s="198" t="s">
        <v>43</v>
      </c>
      <c r="E364" s="181">
        <v>6.0</v>
      </c>
      <c r="F364" s="186" t="s">
        <v>66</v>
      </c>
      <c r="G364" s="186">
        <v>5.0</v>
      </c>
      <c r="H364" s="182" t="s">
        <v>79</v>
      </c>
      <c r="I364" s="186">
        <v>3.0</v>
      </c>
      <c r="J364" s="187"/>
      <c r="K364" s="200"/>
      <c r="L364" s="184" t="s">
        <v>90</v>
      </c>
      <c r="M364" s="186">
        <v>7.0</v>
      </c>
      <c r="N364" s="184" t="s">
        <v>132</v>
      </c>
      <c r="O364" s="186">
        <v>1.0</v>
      </c>
      <c r="P364" s="184" t="s">
        <v>24</v>
      </c>
      <c r="Q364" s="186">
        <v>4.0</v>
      </c>
      <c r="R364" s="184" t="s">
        <v>107</v>
      </c>
      <c r="S364" s="186">
        <v>2.0</v>
      </c>
      <c r="T364" s="187"/>
      <c r="U364" s="200"/>
      <c r="V364" s="184" t="s">
        <v>86</v>
      </c>
      <c r="W364" s="186">
        <v>8.0</v>
      </c>
      <c r="X364" s="142">
        <v>1.0</v>
      </c>
      <c r="Y364" s="142">
        <v>1.0</v>
      </c>
      <c r="Z364" s="142">
        <v>1.0</v>
      </c>
      <c r="AA364" s="142">
        <v>1.0</v>
      </c>
      <c r="AB364" s="142">
        <v>1.0</v>
      </c>
      <c r="AC364" s="142">
        <v>1.0</v>
      </c>
      <c r="AD364" s="142">
        <v>1.0</v>
      </c>
      <c r="AE364" s="142">
        <v>1.0</v>
      </c>
      <c r="AF364" s="142">
        <v>8.0</v>
      </c>
      <c r="AG364" s="142">
        <v>0.0</v>
      </c>
      <c r="AH364" s="185" t="str">
        <f>IFERROR(__xludf.DUMMYFUNCTION("if($C364="""","""",if(join("" - "",{iferror(filter('Student Groupings'!$A:$A,'Student Groupings'!$B:$B=$C364,'Student Groupings'!$H:$H=""Can't be Together""),"""");iferror(filter('Student Groupings'!$A:$A,'Student Groupings'!$E:$E=$C364,'Student Groupings"&amp;"'!$H:$H=""Can't be Together""),"""")})="" - "","""",join("" - "",{iferror(filter('Student Groupings'!$A:$A,'Student Groupings'!$B:$B=$C364,'Student Groupings'!$H:$H=""Can't be Together""),"""");iferror(filter('Student Groupings'!$A:$A,'Student Groupings'!"&amp;"$E:$E=$C364,'Student Groupings'!$H:$H=""Can't be Together""),"""")})))"),"19 - 20 - 21 - 22 - 12")</f>
        <v>19 - 20 - 21 - 22 - 12</v>
      </c>
      <c r="AI364" s="185" t="str">
        <f>IFERROR(__xludf.DUMMYFUNCTION("if($C364="""","""",if(join("" - "",{iferror(filter('Student Groupings'!$A:$A,'Student Groupings'!$B:$B=$C364,'Student Groupings'!$H:$H=""Must be Together""),"""");iferror(filter('Student Groupings'!$A:$A,'Student Groupings'!$E:$E=$C364,'Student Groupings'"&amp;"!$H:$H=""Must be Together""),"""")})="" - "","""",join("" - "",{iferror(filter('Student Groupings'!$A:$A,'Student Groupings'!$B:$B=$C364,'Student Groupings'!$H:$H=""Must be Together""),"""");iferror(filter('Student Groupings'!$A:$A,'Student Groupings'!$E:"&amp;"$E=$C364,'Student Groupings'!$H:$H=""Must be Together""),"""")})))"),"")</f>
        <v/>
      </c>
    </row>
    <row r="365">
      <c r="A365" s="186">
        <v>11.0</v>
      </c>
      <c r="B365" s="182">
        <v>27163.0</v>
      </c>
      <c r="C365" s="183" t="s">
        <v>517</v>
      </c>
      <c r="D365" s="198" t="s">
        <v>38</v>
      </c>
      <c r="E365" s="181">
        <v>7.0</v>
      </c>
      <c r="F365" s="186" t="s">
        <v>66</v>
      </c>
      <c r="G365" s="186">
        <v>3.0</v>
      </c>
      <c r="H365" s="182" t="s">
        <v>69</v>
      </c>
      <c r="I365" s="167">
        <v>5.0</v>
      </c>
      <c r="J365" s="187"/>
      <c r="K365" s="200"/>
      <c r="L365" s="184" t="s">
        <v>90</v>
      </c>
      <c r="M365" s="186">
        <v>1.0</v>
      </c>
      <c r="N365" s="184" t="s">
        <v>132</v>
      </c>
      <c r="O365" s="167">
        <v>4.0</v>
      </c>
      <c r="P365" s="184" t="s">
        <v>23</v>
      </c>
      <c r="Q365" s="167">
        <v>6.0</v>
      </c>
      <c r="R365" s="184" t="s">
        <v>108</v>
      </c>
      <c r="S365" s="167">
        <v>2.0</v>
      </c>
      <c r="T365" s="183"/>
      <c r="U365" s="167"/>
      <c r="V365" s="184" t="s">
        <v>105</v>
      </c>
      <c r="W365" s="167">
        <v>8.0</v>
      </c>
      <c r="X365" s="142">
        <v>1.0</v>
      </c>
      <c r="Y365" s="142">
        <v>1.0</v>
      </c>
      <c r="Z365" s="142">
        <v>1.0</v>
      </c>
      <c r="AA365" s="142">
        <v>1.0</v>
      </c>
      <c r="AB365" s="142">
        <v>1.0</v>
      </c>
      <c r="AC365" s="142">
        <v>1.0</v>
      </c>
      <c r="AD365" s="142">
        <v>1.0</v>
      </c>
      <c r="AE365" s="142">
        <v>1.0</v>
      </c>
      <c r="AF365" s="142">
        <v>8.0</v>
      </c>
      <c r="AG365" s="142">
        <v>0.0</v>
      </c>
      <c r="AH365" s="185" t="str">
        <f>IFERROR(__xludf.DUMMYFUNCTION("if($C365="""","""",if(join("" - "",{iferror(filter('Student Groupings'!$A:$A,'Student Groupings'!$B:$B=$C365,'Student Groupings'!$H:$H=""Can't be Together""),"""");iferror(filter('Student Groupings'!$A:$A,'Student Groupings'!$E:$E=$C365,'Student Groupings"&amp;"'!$H:$H=""Can't be Together""),"""")})="" - "","""",join("" - "",{iferror(filter('Student Groupings'!$A:$A,'Student Groupings'!$B:$B=$C365,'Student Groupings'!$H:$H=""Can't be Together""),"""");iferror(filter('Student Groupings'!$A:$A,'Student Groupings'!"&amp;"$E:$E=$C365,'Student Groupings'!$H:$H=""Can't be Together""),"""")})))"),"")</f>
        <v/>
      </c>
      <c r="AI365" s="185" t="str">
        <f>IFERROR(__xludf.DUMMYFUNCTION("if($C365="""","""",if(join("" - "",{iferror(filter('Student Groupings'!$A:$A,'Student Groupings'!$B:$B=$C365,'Student Groupings'!$H:$H=""Must be Together""),"""");iferror(filter('Student Groupings'!$A:$A,'Student Groupings'!$E:$E=$C365,'Student Groupings'"&amp;"!$H:$H=""Must be Together""),"""")})="" - "","""",join("" - "",{iferror(filter('Student Groupings'!$A:$A,'Student Groupings'!$B:$B=$C365,'Student Groupings'!$H:$H=""Must be Together""),"""");iferror(filter('Student Groupings'!$A:$A,'Student Groupings'!$E:"&amp;"$E=$C365,'Student Groupings'!$H:$H=""Must be Together""),"""")})))"),"")</f>
        <v/>
      </c>
    </row>
    <row r="366">
      <c r="A366" s="222">
        <v>11.0</v>
      </c>
      <c r="B366" s="223">
        <v>27141.0</v>
      </c>
      <c r="C366" s="183" t="s">
        <v>518</v>
      </c>
      <c r="D366" s="198" t="s">
        <v>43</v>
      </c>
      <c r="E366" s="181">
        <v>6.0</v>
      </c>
      <c r="F366" s="186" t="s">
        <v>66</v>
      </c>
      <c r="G366" s="186">
        <v>1.0</v>
      </c>
      <c r="H366" s="182" t="s">
        <v>69</v>
      </c>
      <c r="I366" s="186">
        <v>2.0</v>
      </c>
      <c r="J366" s="187"/>
      <c r="K366" s="200"/>
      <c r="L366" s="184" t="s">
        <v>90</v>
      </c>
      <c r="M366" s="186">
        <v>8.0</v>
      </c>
      <c r="N366" s="184" t="s">
        <v>132</v>
      </c>
      <c r="O366" s="186">
        <v>3.0</v>
      </c>
      <c r="P366" s="184" t="s">
        <v>30</v>
      </c>
      <c r="Q366" s="186">
        <v>4.0</v>
      </c>
      <c r="R366" s="184" t="s">
        <v>107</v>
      </c>
      <c r="S366" s="186">
        <v>7.0</v>
      </c>
      <c r="T366" s="187"/>
      <c r="U366" s="200"/>
      <c r="V366" s="182" t="s">
        <v>115</v>
      </c>
      <c r="W366" s="167">
        <v>5.0</v>
      </c>
      <c r="X366" s="142">
        <v>1.0</v>
      </c>
      <c r="Y366" s="142">
        <v>1.0</v>
      </c>
      <c r="Z366" s="142">
        <v>1.0</v>
      </c>
      <c r="AA366" s="142">
        <v>1.0</v>
      </c>
      <c r="AB366" s="142">
        <v>1.0</v>
      </c>
      <c r="AC366" s="142">
        <v>1.0</v>
      </c>
      <c r="AD366" s="142">
        <v>1.0</v>
      </c>
      <c r="AE366" s="142">
        <v>1.0</v>
      </c>
      <c r="AF366" s="142">
        <v>8.0</v>
      </c>
      <c r="AG366" s="142">
        <v>0.0</v>
      </c>
      <c r="AH366" s="185" t="str">
        <f>IFERROR(__xludf.DUMMYFUNCTION("if($C366="""","""",if(join("" - "",{iferror(filter('Student Groupings'!$A:$A,'Student Groupings'!$B:$B=$C366,'Student Groupings'!$H:$H=""Can't be Together""),"""");iferror(filter('Student Groupings'!$A:$A,'Student Groupings'!$E:$E=$C366,'Student Groupings"&amp;"'!$H:$H=""Can't be Together""),"""")})="" - "","""",join("" - "",{iferror(filter('Student Groupings'!$A:$A,'Student Groupings'!$B:$B=$C366,'Student Groupings'!$H:$H=""Can't be Together""),"""");iferror(filter('Student Groupings'!$A:$A,'Student Groupings'!"&amp;"$E:$E=$C366,'Student Groupings'!$H:$H=""Can't be Together""),"""")})))"),"")</f>
        <v/>
      </c>
      <c r="AI366" s="185" t="str">
        <f>IFERROR(__xludf.DUMMYFUNCTION("if($C366="""","""",if(join("" - "",{iferror(filter('Student Groupings'!$A:$A,'Student Groupings'!$B:$B=$C366,'Student Groupings'!$H:$H=""Must be Together""),"""");iferror(filter('Student Groupings'!$A:$A,'Student Groupings'!$E:$E=$C366,'Student Groupings'"&amp;"!$H:$H=""Must be Together""),"""")})="" - "","""",join("" - "",{iferror(filter('Student Groupings'!$A:$A,'Student Groupings'!$B:$B=$C366,'Student Groupings'!$H:$H=""Must be Together""),"""");iferror(filter('Student Groupings'!$A:$A,'Student Groupings'!$E:"&amp;"$E=$C366,'Student Groupings'!$H:$H=""Must be Together""),"""")})))"),"")</f>
        <v/>
      </c>
    </row>
    <row r="367">
      <c r="A367" s="186">
        <v>11.0</v>
      </c>
      <c r="B367" s="182">
        <v>27025.0</v>
      </c>
      <c r="C367" s="183" t="s">
        <v>519</v>
      </c>
      <c r="D367" s="184" t="s">
        <v>43</v>
      </c>
      <c r="E367" s="186">
        <v>1.0</v>
      </c>
      <c r="F367" s="186" t="s">
        <v>66</v>
      </c>
      <c r="G367" s="186">
        <v>6.0</v>
      </c>
      <c r="H367" s="182" t="s">
        <v>70</v>
      </c>
      <c r="I367" s="186">
        <v>7.0</v>
      </c>
      <c r="J367" s="187"/>
      <c r="K367" s="200"/>
      <c r="L367" s="184" t="s">
        <v>90</v>
      </c>
      <c r="M367" s="186">
        <v>5.0</v>
      </c>
      <c r="N367" s="184" t="s">
        <v>132</v>
      </c>
      <c r="O367" s="186">
        <v>3.0</v>
      </c>
      <c r="P367" s="184" t="s">
        <v>23</v>
      </c>
      <c r="Q367" s="186">
        <v>2.0</v>
      </c>
      <c r="R367" s="184" t="s">
        <v>107</v>
      </c>
      <c r="S367" s="186">
        <v>8.0</v>
      </c>
      <c r="T367" s="187"/>
      <c r="U367" s="200"/>
      <c r="V367" s="184" t="s">
        <v>111</v>
      </c>
      <c r="W367" s="45">
        <v>4.0</v>
      </c>
      <c r="X367" s="142">
        <v>1.0</v>
      </c>
      <c r="Y367" s="142">
        <v>1.0</v>
      </c>
      <c r="Z367" s="142">
        <v>1.0</v>
      </c>
      <c r="AA367" s="142">
        <v>1.0</v>
      </c>
      <c r="AB367" s="142">
        <v>1.0</v>
      </c>
      <c r="AC367" s="142">
        <v>1.0</v>
      </c>
      <c r="AD367" s="142">
        <v>1.0</v>
      </c>
      <c r="AE367" s="142">
        <v>1.0</v>
      </c>
      <c r="AF367" s="142">
        <v>8.0</v>
      </c>
      <c r="AG367" s="142">
        <v>0.0</v>
      </c>
      <c r="AH367" s="185" t="str">
        <f>IFERROR(__xludf.DUMMYFUNCTION("if($C367="""","""",if(join("" - "",{iferror(filter('Student Groupings'!$A:$A,'Student Groupings'!$B:$B=$C367,'Student Groupings'!$H:$H=""Can't be Together""),"""");iferror(filter('Student Groupings'!$A:$A,'Student Groupings'!$E:$E=$C367,'Student Groupings"&amp;"'!$H:$H=""Can't be Together""),"""")})="" - "","""",join("" - "",{iferror(filter('Student Groupings'!$A:$A,'Student Groupings'!$B:$B=$C367,'Student Groupings'!$H:$H=""Can't be Together""),"""");iferror(filter('Student Groupings'!$A:$A,'Student Groupings'!"&amp;"$E:$E=$C367,'Student Groupings'!$H:$H=""Can't be Together""),"""")})))"),"")</f>
        <v/>
      </c>
      <c r="AI367" s="185" t="str">
        <f>IFERROR(__xludf.DUMMYFUNCTION("if($C367="""","""",if(join("" - "",{iferror(filter('Student Groupings'!$A:$A,'Student Groupings'!$B:$B=$C367,'Student Groupings'!$H:$H=""Must be Together""),"""");iferror(filter('Student Groupings'!$A:$A,'Student Groupings'!$E:$E=$C367,'Student Groupings'"&amp;"!$H:$H=""Must be Together""),"""")})="" - "","""",join("" - "",{iferror(filter('Student Groupings'!$A:$A,'Student Groupings'!$B:$B=$C367,'Student Groupings'!$H:$H=""Must be Together""),"""");iferror(filter('Student Groupings'!$A:$A,'Student Groupings'!$E:"&amp;"$E=$C367,'Student Groupings'!$H:$H=""Must be Together""),"""")})))"),"")</f>
        <v/>
      </c>
    </row>
    <row r="368">
      <c r="A368" s="186">
        <v>11.0</v>
      </c>
      <c r="B368" s="182">
        <v>26009.0</v>
      </c>
      <c r="C368" s="183" t="s">
        <v>520</v>
      </c>
      <c r="D368" s="198" t="s">
        <v>43</v>
      </c>
      <c r="E368" s="181">
        <v>6.0</v>
      </c>
      <c r="F368" s="186" t="s">
        <v>66</v>
      </c>
      <c r="G368" s="186">
        <v>3.0</v>
      </c>
      <c r="H368" s="182" t="s">
        <v>79</v>
      </c>
      <c r="I368" s="186">
        <v>8.0</v>
      </c>
      <c r="J368" s="187"/>
      <c r="K368" s="200"/>
      <c r="L368" s="184" t="s">
        <v>90</v>
      </c>
      <c r="M368" s="186">
        <v>5.0</v>
      </c>
      <c r="N368" s="184" t="s">
        <v>132</v>
      </c>
      <c r="O368" s="167">
        <v>1.0</v>
      </c>
      <c r="P368" s="184" t="s">
        <v>24</v>
      </c>
      <c r="Q368" s="167">
        <v>7.0</v>
      </c>
      <c r="R368" s="184" t="s">
        <v>107</v>
      </c>
      <c r="S368" s="186">
        <v>2.0</v>
      </c>
      <c r="T368" s="183"/>
      <c r="U368" s="167"/>
      <c r="V368" s="184" t="s">
        <v>109</v>
      </c>
      <c r="W368" s="186">
        <v>4.0</v>
      </c>
      <c r="X368" s="142">
        <v>1.0</v>
      </c>
      <c r="Y368" s="142">
        <v>1.0</v>
      </c>
      <c r="Z368" s="142">
        <v>1.0</v>
      </c>
      <c r="AA368" s="142">
        <v>1.0</v>
      </c>
      <c r="AB368" s="142">
        <v>1.0</v>
      </c>
      <c r="AC368" s="142">
        <v>1.0</v>
      </c>
      <c r="AD368" s="142">
        <v>1.0</v>
      </c>
      <c r="AE368" s="142">
        <v>1.0</v>
      </c>
      <c r="AF368" s="142">
        <v>8.0</v>
      </c>
      <c r="AG368" s="142">
        <v>0.0</v>
      </c>
      <c r="AH368" s="185" t="str">
        <f>IFERROR(__xludf.DUMMYFUNCTION("if($C368="""","""",if(join("" - "",{iferror(filter('Student Groupings'!$A:$A,'Student Groupings'!$B:$B=$C368,'Student Groupings'!$H:$H=""Can't be Together""),"""");iferror(filter('Student Groupings'!$A:$A,'Student Groupings'!$E:$E=$C368,'Student Groupings"&amp;"'!$H:$H=""Can't be Together""),"""")})="" - "","""",join("" - "",{iferror(filter('Student Groupings'!$A:$A,'Student Groupings'!$B:$B=$C368,'Student Groupings'!$H:$H=""Can't be Together""),"""");iferror(filter('Student Groupings'!$A:$A,'Student Groupings'!"&amp;"$E:$E=$C368,'Student Groupings'!$H:$H=""Can't be Together""),"""")})))"),"")</f>
        <v/>
      </c>
      <c r="AI368" s="185" t="str">
        <f>IFERROR(__xludf.DUMMYFUNCTION("if($C368="""","""",if(join("" - "",{iferror(filter('Student Groupings'!$A:$A,'Student Groupings'!$B:$B=$C368,'Student Groupings'!$H:$H=""Must be Together""),"""");iferror(filter('Student Groupings'!$A:$A,'Student Groupings'!$E:$E=$C368,'Student Groupings'"&amp;"!$H:$H=""Must be Together""),"""")})="" - "","""",join("" - "",{iferror(filter('Student Groupings'!$A:$A,'Student Groupings'!$B:$B=$C368,'Student Groupings'!$H:$H=""Must be Together""),"""");iferror(filter('Student Groupings'!$A:$A,'Student Groupings'!$E:"&amp;"$E=$C368,'Student Groupings'!$H:$H=""Must be Together""),"""")})))"),"")</f>
        <v/>
      </c>
    </row>
    <row r="369">
      <c r="A369" s="186">
        <v>11.0</v>
      </c>
      <c r="B369" s="182">
        <v>27077.0</v>
      </c>
      <c r="C369" s="183" t="s">
        <v>521</v>
      </c>
      <c r="D369" s="180" t="s">
        <v>43</v>
      </c>
      <c r="E369" s="181">
        <v>1.0</v>
      </c>
      <c r="F369" s="186" t="s">
        <v>66</v>
      </c>
      <c r="G369" s="186">
        <v>3.0</v>
      </c>
      <c r="H369" s="182" t="s">
        <v>79</v>
      </c>
      <c r="I369" s="186">
        <v>6.0</v>
      </c>
      <c r="J369" s="187"/>
      <c r="K369" s="200"/>
      <c r="L369" s="184" t="s">
        <v>90</v>
      </c>
      <c r="M369" s="186">
        <v>8.0</v>
      </c>
      <c r="N369" s="184" t="s">
        <v>132</v>
      </c>
      <c r="O369" s="186">
        <v>2.0</v>
      </c>
      <c r="P369" s="184" t="s">
        <v>24</v>
      </c>
      <c r="Q369" s="186">
        <v>7.0</v>
      </c>
      <c r="R369" s="184" t="s">
        <v>105</v>
      </c>
      <c r="S369" s="186">
        <v>5.0</v>
      </c>
      <c r="T369" s="187"/>
      <c r="U369" s="200"/>
      <c r="V369" s="184" t="s">
        <v>111</v>
      </c>
      <c r="W369" s="186">
        <v>4.0</v>
      </c>
      <c r="X369" s="142">
        <v>1.0</v>
      </c>
      <c r="Y369" s="142">
        <v>1.0</v>
      </c>
      <c r="Z369" s="142">
        <v>1.0</v>
      </c>
      <c r="AA369" s="142">
        <v>1.0</v>
      </c>
      <c r="AB369" s="142">
        <v>1.0</v>
      </c>
      <c r="AC369" s="142">
        <v>1.0</v>
      </c>
      <c r="AD369" s="142">
        <v>1.0</v>
      </c>
      <c r="AE369" s="142">
        <v>1.0</v>
      </c>
      <c r="AF369" s="142">
        <v>8.0</v>
      </c>
      <c r="AG369" s="142">
        <v>0.0</v>
      </c>
      <c r="AH369" s="185" t="str">
        <f>IFERROR(__xludf.DUMMYFUNCTION("if($C369="""","""",if(join("" - "",{iferror(filter('Student Groupings'!$A:$A,'Student Groupings'!$B:$B=$C369,'Student Groupings'!$H:$H=""Can't be Together""),"""");iferror(filter('Student Groupings'!$A:$A,'Student Groupings'!$E:$E=$C369,'Student Groupings"&amp;"'!$H:$H=""Can't be Together""),"""")})="" - "","""",join("" - "",{iferror(filter('Student Groupings'!$A:$A,'Student Groupings'!$B:$B=$C369,'Student Groupings'!$H:$H=""Can't be Together""),"""");iferror(filter('Student Groupings'!$A:$A,'Student Groupings'!"&amp;"$E:$E=$C369,'Student Groupings'!$H:$H=""Can't be Together""),"""")})))")," - 118")</f>
        <v> - 118</v>
      </c>
      <c r="AI369" s="185" t="str">
        <f>IFERROR(__xludf.DUMMYFUNCTION("if($C369="""","""",if(join("" - "",{iferror(filter('Student Groupings'!$A:$A,'Student Groupings'!$B:$B=$C369,'Student Groupings'!$H:$H=""Must be Together""),"""");iferror(filter('Student Groupings'!$A:$A,'Student Groupings'!$E:$E=$C369,'Student Groupings'"&amp;"!$H:$H=""Must be Together""),"""")})="" - "","""",join("" - "",{iferror(filter('Student Groupings'!$A:$A,'Student Groupings'!$B:$B=$C369,'Student Groupings'!$H:$H=""Must be Together""),"""");iferror(filter('Student Groupings'!$A:$A,'Student Groupings'!$E:"&amp;"$E=$C369,'Student Groupings'!$H:$H=""Must be Together""),"""")})))"),"")</f>
        <v/>
      </c>
    </row>
    <row r="370">
      <c r="A370" s="186">
        <v>11.0</v>
      </c>
      <c r="B370" s="182">
        <v>27098.0</v>
      </c>
      <c r="C370" s="183" t="s">
        <v>522</v>
      </c>
      <c r="D370" s="198" t="s">
        <v>38</v>
      </c>
      <c r="E370" s="181">
        <v>8.0</v>
      </c>
      <c r="F370" s="186" t="s">
        <v>66</v>
      </c>
      <c r="G370" s="180">
        <v>6.0</v>
      </c>
      <c r="H370" s="182" t="s">
        <v>81</v>
      </c>
      <c r="I370" s="167">
        <v>2.0</v>
      </c>
      <c r="J370" s="183"/>
      <c r="K370" s="167"/>
      <c r="L370" s="184" t="s">
        <v>90</v>
      </c>
      <c r="M370" s="167">
        <v>7.0</v>
      </c>
      <c r="N370" s="184" t="s">
        <v>132</v>
      </c>
      <c r="O370" s="167">
        <v>4.0</v>
      </c>
      <c r="P370" s="184" t="s">
        <v>26</v>
      </c>
      <c r="Q370" s="186">
        <v>1.0</v>
      </c>
      <c r="R370" s="184" t="s">
        <v>105</v>
      </c>
      <c r="S370" s="186">
        <v>5.0</v>
      </c>
      <c r="T370" s="187"/>
      <c r="U370" s="200"/>
      <c r="V370" s="182" t="s">
        <v>115</v>
      </c>
      <c r="W370" s="186">
        <v>3.0</v>
      </c>
      <c r="X370" s="142">
        <v>1.0</v>
      </c>
      <c r="Y370" s="142">
        <v>1.0</v>
      </c>
      <c r="Z370" s="142">
        <v>1.0</v>
      </c>
      <c r="AA370" s="142">
        <v>1.0</v>
      </c>
      <c r="AB370" s="142">
        <v>1.0</v>
      </c>
      <c r="AC370" s="142">
        <v>1.0</v>
      </c>
      <c r="AD370" s="142">
        <v>1.0</v>
      </c>
      <c r="AE370" s="142">
        <v>1.0</v>
      </c>
      <c r="AF370" s="142">
        <v>8.0</v>
      </c>
      <c r="AG370" s="142">
        <v>0.0</v>
      </c>
      <c r="AH370" s="185" t="str">
        <f>IFERROR(__xludf.DUMMYFUNCTION("if($C370="""","""",if(join("" - "",{iferror(filter('Student Groupings'!$A:$A,'Student Groupings'!$B:$B=$C370,'Student Groupings'!$H:$H=""Can't be Together""),"""");iferror(filter('Student Groupings'!$A:$A,'Student Groupings'!$E:$E=$C370,'Student Groupings"&amp;"'!$H:$H=""Can't be Together""),"""")})="" - "","""",join("" - "",{iferror(filter('Student Groupings'!$A:$A,'Student Groupings'!$B:$B=$C370,'Student Groupings'!$H:$H=""Can't be Together""),"""");iferror(filter('Student Groupings'!$A:$A,'Student Groupings'!"&amp;"$E:$E=$C370,'Student Groupings'!$H:$H=""Can't be Together""),"""")})))"),"")</f>
        <v/>
      </c>
      <c r="AI370" s="185" t="str">
        <f>IFERROR(__xludf.DUMMYFUNCTION("if($C370="""","""",if(join("" - "",{iferror(filter('Student Groupings'!$A:$A,'Student Groupings'!$B:$B=$C370,'Student Groupings'!$H:$H=""Must be Together""),"""");iferror(filter('Student Groupings'!$A:$A,'Student Groupings'!$E:$E=$C370,'Student Groupings'"&amp;"!$H:$H=""Must be Together""),"""")})="" - "","""",join("" - "",{iferror(filter('Student Groupings'!$A:$A,'Student Groupings'!$B:$B=$C370,'Student Groupings'!$H:$H=""Must be Together""),"""");iferror(filter('Student Groupings'!$A:$A,'Student Groupings'!$E:"&amp;"$E=$C370,'Student Groupings'!$H:$H=""Must be Together""),"""")})))"),"")</f>
        <v/>
      </c>
    </row>
    <row r="371">
      <c r="A371" s="186">
        <v>11.0</v>
      </c>
      <c r="B371" s="182">
        <v>27049.0</v>
      </c>
      <c r="C371" s="183" t="s">
        <v>523</v>
      </c>
      <c r="D371" s="198" t="s">
        <v>43</v>
      </c>
      <c r="E371" s="181">
        <v>4.0</v>
      </c>
      <c r="F371" s="186" t="s">
        <v>66</v>
      </c>
      <c r="G371" s="186">
        <v>1.0</v>
      </c>
      <c r="H371" s="182" t="s">
        <v>79</v>
      </c>
      <c r="I371" s="167">
        <v>8.0</v>
      </c>
      <c r="J371" s="183"/>
      <c r="K371" s="167"/>
      <c r="L371" s="184" t="s">
        <v>90</v>
      </c>
      <c r="M371" s="186">
        <v>2.0</v>
      </c>
      <c r="N371" s="184" t="s">
        <v>132</v>
      </c>
      <c r="O371" s="186">
        <v>3.0</v>
      </c>
      <c r="P371" s="184" t="s">
        <v>29</v>
      </c>
      <c r="Q371" s="186">
        <v>6.0</v>
      </c>
      <c r="R371" s="184" t="s">
        <v>107</v>
      </c>
      <c r="S371" s="167">
        <v>7.0</v>
      </c>
      <c r="T371" s="187"/>
      <c r="U371" s="200"/>
      <c r="V371" s="184" t="s">
        <v>111</v>
      </c>
      <c r="W371" s="186">
        <v>5.0</v>
      </c>
      <c r="X371" s="142">
        <v>1.0</v>
      </c>
      <c r="Y371" s="142">
        <v>1.0</v>
      </c>
      <c r="Z371" s="142">
        <v>1.0</v>
      </c>
      <c r="AA371" s="142">
        <v>1.0</v>
      </c>
      <c r="AB371" s="142">
        <v>1.0</v>
      </c>
      <c r="AC371" s="142">
        <v>1.0</v>
      </c>
      <c r="AD371" s="142">
        <v>1.0</v>
      </c>
      <c r="AE371" s="142">
        <v>1.0</v>
      </c>
      <c r="AF371" s="142">
        <v>8.0</v>
      </c>
      <c r="AG371" s="142">
        <v>0.0</v>
      </c>
      <c r="AH371" s="185" t="str">
        <f>IFERROR(__xludf.DUMMYFUNCTION("if($C371="""","""",if(join("" - "",{iferror(filter('Student Groupings'!$A:$A,'Student Groupings'!$B:$B=$C371,'Student Groupings'!$H:$H=""Can't be Together""),"""");iferror(filter('Student Groupings'!$A:$A,'Student Groupings'!$E:$E=$C371,'Student Groupings"&amp;"'!$H:$H=""Can't be Together""),"""")})="" - "","""",join("" - "",{iferror(filter('Student Groupings'!$A:$A,'Student Groupings'!$B:$B=$C371,'Student Groupings'!$H:$H=""Can't be Together""),"""");iferror(filter('Student Groupings'!$A:$A,'Student Groupings'!"&amp;"$E:$E=$C371,'Student Groupings'!$H:$H=""Can't be Together""),"""")})))"),"")</f>
        <v/>
      </c>
      <c r="AI371" s="185" t="str">
        <f>IFERROR(__xludf.DUMMYFUNCTION("if($C371="""","""",if(join("" - "",{iferror(filter('Student Groupings'!$A:$A,'Student Groupings'!$B:$B=$C371,'Student Groupings'!$H:$H=""Must be Together""),"""");iferror(filter('Student Groupings'!$A:$A,'Student Groupings'!$E:$E=$C371,'Student Groupings'"&amp;"!$H:$H=""Must be Together""),"""")})="" - "","""",join("" - "",{iferror(filter('Student Groupings'!$A:$A,'Student Groupings'!$B:$B=$C371,'Student Groupings'!$H:$H=""Must be Together""),"""");iferror(filter('Student Groupings'!$A:$A,'Student Groupings'!$E:"&amp;"$E=$C371,'Student Groupings'!$H:$H=""Must be Together""),"""")})))")," - 111")</f>
        <v> - 111</v>
      </c>
    </row>
    <row r="372">
      <c r="A372" s="186">
        <v>11.0</v>
      </c>
      <c r="B372" s="182">
        <v>27066.0</v>
      </c>
      <c r="C372" s="183" t="s">
        <v>524</v>
      </c>
      <c r="D372" s="198" t="s">
        <v>38</v>
      </c>
      <c r="E372" s="181">
        <v>3.0</v>
      </c>
      <c r="F372" s="186" t="s">
        <v>66</v>
      </c>
      <c r="G372" s="186">
        <v>1.0</v>
      </c>
      <c r="H372" s="182" t="s">
        <v>79</v>
      </c>
      <c r="I372" s="167">
        <v>6.0</v>
      </c>
      <c r="J372" s="183"/>
      <c r="K372" s="186"/>
      <c r="L372" s="184" t="s">
        <v>90</v>
      </c>
      <c r="M372" s="180">
        <v>7.0</v>
      </c>
      <c r="N372" s="184" t="s">
        <v>132</v>
      </c>
      <c r="O372" s="186">
        <v>2.0</v>
      </c>
      <c r="P372" s="184" t="s">
        <v>24</v>
      </c>
      <c r="Q372" s="186">
        <v>4.0</v>
      </c>
      <c r="R372" s="184" t="s">
        <v>101</v>
      </c>
      <c r="S372" s="186">
        <v>5.0</v>
      </c>
      <c r="T372" s="187"/>
      <c r="U372" s="200"/>
      <c r="V372" s="184" t="s">
        <v>105</v>
      </c>
      <c r="W372" s="167">
        <v>8.0</v>
      </c>
      <c r="X372" s="142">
        <v>1.0</v>
      </c>
      <c r="Y372" s="142">
        <v>1.0</v>
      </c>
      <c r="Z372" s="142">
        <v>1.0</v>
      </c>
      <c r="AA372" s="142">
        <v>1.0</v>
      </c>
      <c r="AB372" s="142">
        <v>1.0</v>
      </c>
      <c r="AC372" s="142">
        <v>1.0</v>
      </c>
      <c r="AD372" s="142">
        <v>1.0</v>
      </c>
      <c r="AE372" s="142">
        <v>1.0</v>
      </c>
      <c r="AF372" s="142">
        <v>8.0</v>
      </c>
      <c r="AG372" s="142">
        <v>0.0</v>
      </c>
      <c r="AH372" s="185" t="str">
        <f>IFERROR(__xludf.DUMMYFUNCTION("if($C372="""","""",if(join("" - "",{iferror(filter('Student Groupings'!$A:$A,'Student Groupings'!$B:$B=$C372,'Student Groupings'!$H:$H=""Can't be Together""),"""");iferror(filter('Student Groupings'!$A:$A,'Student Groupings'!$E:$E=$C372,'Student Groupings"&amp;"'!$H:$H=""Can't be Together""),"""")})="" - "","""",join("" - "",{iferror(filter('Student Groupings'!$A:$A,'Student Groupings'!$B:$B=$C372,'Student Groupings'!$H:$H=""Can't be Together""),"""");iferror(filter('Student Groupings'!$A:$A,'Student Groupings'!"&amp;"$E:$E=$C372,'Student Groupings'!$H:$H=""Can't be Together""),"""")})))"),"12 - 13 - 14 - 15 - 16 - 17 - 18 - ")</f>
        <v>12 - 13 - 14 - 15 - 16 - 17 - 18 - </v>
      </c>
      <c r="AI372" s="185" t="str">
        <f>IFERROR(__xludf.DUMMYFUNCTION("if($C372="""","""",if(join("" - "",{iferror(filter('Student Groupings'!$A:$A,'Student Groupings'!$B:$B=$C372,'Student Groupings'!$H:$H=""Must be Together""),"""");iferror(filter('Student Groupings'!$A:$A,'Student Groupings'!$E:$E=$C372,'Student Groupings'"&amp;"!$H:$H=""Must be Together""),"""")})="" - "","""",join("" - "",{iferror(filter('Student Groupings'!$A:$A,'Student Groupings'!$B:$B=$C372,'Student Groupings'!$H:$H=""Must be Together""),"""");iferror(filter('Student Groupings'!$A:$A,'Student Groupings'!$E:"&amp;"$E=$C372,'Student Groupings'!$H:$H=""Must be Together""),"""")})))"),"")</f>
        <v/>
      </c>
    </row>
    <row r="373">
      <c r="A373" s="186">
        <v>11.0</v>
      </c>
      <c r="B373" s="182">
        <v>27123.0</v>
      </c>
      <c r="C373" s="183" t="s">
        <v>525</v>
      </c>
      <c r="D373" s="198" t="s">
        <v>43</v>
      </c>
      <c r="E373" s="181">
        <v>4.0</v>
      </c>
      <c r="F373" s="186" t="s">
        <v>66</v>
      </c>
      <c r="G373" s="186">
        <v>5.0</v>
      </c>
      <c r="H373" s="182" t="s">
        <v>79</v>
      </c>
      <c r="I373" s="186">
        <v>8.0</v>
      </c>
      <c r="J373" s="187"/>
      <c r="K373" s="200"/>
      <c r="L373" s="184" t="s">
        <v>90</v>
      </c>
      <c r="M373" s="167">
        <v>7.0</v>
      </c>
      <c r="N373" s="184" t="s">
        <v>132</v>
      </c>
      <c r="O373" s="186">
        <v>1.0</v>
      </c>
      <c r="P373" s="184" t="s">
        <v>23</v>
      </c>
      <c r="Q373" s="186">
        <v>6.0</v>
      </c>
      <c r="R373" s="184" t="s">
        <v>107</v>
      </c>
      <c r="S373" s="186">
        <v>2.0</v>
      </c>
      <c r="T373" s="187"/>
      <c r="U373" s="200"/>
      <c r="V373" s="182" t="s">
        <v>115</v>
      </c>
      <c r="W373" s="186">
        <v>3.0</v>
      </c>
      <c r="X373" s="142">
        <v>1.0</v>
      </c>
      <c r="Y373" s="142">
        <v>1.0</v>
      </c>
      <c r="Z373" s="142">
        <v>1.0</v>
      </c>
      <c r="AA373" s="142">
        <v>1.0</v>
      </c>
      <c r="AB373" s="142">
        <v>1.0</v>
      </c>
      <c r="AC373" s="142">
        <v>1.0</v>
      </c>
      <c r="AD373" s="142">
        <v>1.0</v>
      </c>
      <c r="AE373" s="142">
        <v>1.0</v>
      </c>
      <c r="AF373" s="142">
        <v>8.0</v>
      </c>
      <c r="AG373" s="142">
        <v>0.0</v>
      </c>
      <c r="AH373" s="185" t="str">
        <f>IFERROR(__xludf.DUMMYFUNCTION("if($C373="""","""",if(join("" - "",{iferror(filter('Student Groupings'!$A:$A,'Student Groupings'!$B:$B=$C373,'Student Groupings'!$H:$H=""Can't be Together""),"""");iferror(filter('Student Groupings'!$A:$A,'Student Groupings'!$E:$E=$C373,'Student Groupings"&amp;"'!$H:$H=""Can't be Together""),"""")})="" - "","""",join("" - "",{iferror(filter('Student Groupings'!$A:$A,'Student Groupings'!$B:$B=$C373,'Student Groupings'!$H:$H=""Can't be Together""),"""");iferror(filter('Student Groupings'!$A:$A,'Student Groupings'!"&amp;"$E:$E=$C373,'Student Groupings'!$H:$H=""Can't be Together""),"""")})))"),"")</f>
        <v/>
      </c>
      <c r="AI373" s="185" t="str">
        <f>IFERROR(__xludf.DUMMYFUNCTION("if($C373="""","""",if(join("" - "",{iferror(filter('Student Groupings'!$A:$A,'Student Groupings'!$B:$B=$C373,'Student Groupings'!$H:$H=""Must be Together""),"""");iferror(filter('Student Groupings'!$A:$A,'Student Groupings'!$E:$E=$C373,'Student Groupings'"&amp;"!$H:$H=""Must be Together""),"""")})="" - "","""",join("" - "",{iferror(filter('Student Groupings'!$A:$A,'Student Groupings'!$B:$B=$C373,'Student Groupings'!$H:$H=""Must be Together""),"""");iferror(filter('Student Groupings'!$A:$A,'Student Groupings'!$E:"&amp;"$E=$C373,'Student Groupings'!$H:$H=""Must be Together""),"""")})))"),"")</f>
        <v/>
      </c>
    </row>
    <row r="374">
      <c r="A374" s="186">
        <v>11.0</v>
      </c>
      <c r="B374" s="182">
        <v>27109.0</v>
      </c>
      <c r="C374" s="183" t="s">
        <v>526</v>
      </c>
      <c r="D374" s="198" t="s">
        <v>45</v>
      </c>
      <c r="E374" s="181">
        <v>8.0</v>
      </c>
      <c r="F374" s="186" t="s">
        <v>66</v>
      </c>
      <c r="G374" s="186">
        <v>5.0</v>
      </c>
      <c r="H374" s="182" t="s">
        <v>70</v>
      </c>
      <c r="I374" s="186">
        <v>7.0</v>
      </c>
      <c r="J374" s="187"/>
      <c r="K374" s="200"/>
      <c r="L374" s="184" t="s">
        <v>92</v>
      </c>
      <c r="M374" s="186">
        <v>1.0</v>
      </c>
      <c r="N374" s="184" t="s">
        <v>132</v>
      </c>
      <c r="O374" s="167">
        <v>2.0</v>
      </c>
      <c r="P374" s="184" t="s">
        <v>28</v>
      </c>
      <c r="Q374" s="186">
        <v>3.0</v>
      </c>
      <c r="R374" s="184" t="s">
        <v>101</v>
      </c>
      <c r="S374" s="186">
        <v>6.0</v>
      </c>
      <c r="T374" s="187"/>
      <c r="U374" s="200"/>
      <c r="V374" s="184" t="s">
        <v>118</v>
      </c>
      <c r="W374" s="167">
        <v>4.0</v>
      </c>
      <c r="X374" s="142">
        <v>1.0</v>
      </c>
      <c r="Y374" s="142">
        <v>1.0</v>
      </c>
      <c r="Z374" s="142">
        <v>1.0</v>
      </c>
      <c r="AA374" s="142">
        <v>1.0</v>
      </c>
      <c r="AB374" s="142">
        <v>1.0</v>
      </c>
      <c r="AC374" s="142">
        <v>1.0</v>
      </c>
      <c r="AD374" s="142">
        <v>1.0</v>
      </c>
      <c r="AE374" s="142">
        <v>1.0</v>
      </c>
      <c r="AF374" s="142">
        <v>8.0</v>
      </c>
      <c r="AG374" s="142">
        <v>0.0</v>
      </c>
      <c r="AH374" s="185" t="str">
        <f>IFERROR(__xludf.DUMMYFUNCTION("if($C374="""","""",if(join("" - "",{iferror(filter('Student Groupings'!$A:$A,'Student Groupings'!$B:$B=$C374,'Student Groupings'!$H:$H=""Can't be Together""),"""");iferror(filter('Student Groupings'!$A:$A,'Student Groupings'!$E:$E=$C374,'Student Groupings"&amp;"'!$H:$H=""Can't be Together""),"""")})="" - "","""",join("" - "",{iferror(filter('Student Groupings'!$A:$A,'Student Groupings'!$B:$B=$C374,'Student Groupings'!$H:$H=""Can't be Together""),"""");iferror(filter('Student Groupings'!$A:$A,'Student Groupings'!"&amp;"$E:$E=$C374,'Student Groupings'!$H:$H=""Can't be Together""),"""")})))"),"")</f>
        <v/>
      </c>
      <c r="AI374" s="185" t="str">
        <f>IFERROR(__xludf.DUMMYFUNCTION("if($C374="""","""",if(join("" - "",{iferror(filter('Student Groupings'!$A:$A,'Student Groupings'!$B:$B=$C374,'Student Groupings'!$H:$H=""Must be Together""),"""");iferror(filter('Student Groupings'!$A:$A,'Student Groupings'!$E:$E=$C374,'Student Groupings'"&amp;"!$H:$H=""Must be Together""),"""")})="" - "","""",join("" - "",{iferror(filter('Student Groupings'!$A:$A,'Student Groupings'!$B:$B=$C374,'Student Groupings'!$H:$H=""Must be Together""),"""");iferror(filter('Student Groupings'!$A:$A,'Student Groupings'!$E:"&amp;"$E=$C374,'Student Groupings'!$H:$H=""Must be Together""),"""")})))"),"88 - 113")</f>
        <v>88 - 113</v>
      </c>
    </row>
    <row r="375">
      <c r="A375" s="186">
        <v>11.0</v>
      </c>
      <c r="B375" s="182">
        <v>27005.0</v>
      </c>
      <c r="C375" s="183" t="s">
        <v>527</v>
      </c>
      <c r="D375" s="198" t="s">
        <v>49</v>
      </c>
      <c r="E375" s="224">
        <v>3.0</v>
      </c>
      <c r="F375" s="186" t="s">
        <v>66</v>
      </c>
      <c r="G375" s="186">
        <v>6.0</v>
      </c>
      <c r="H375" s="182" t="s">
        <v>70</v>
      </c>
      <c r="I375" s="182">
        <v>2.0</v>
      </c>
      <c r="J375" s="187"/>
      <c r="K375" s="184"/>
      <c r="L375" s="184" t="s">
        <v>90</v>
      </c>
      <c r="M375" s="186">
        <v>8.0</v>
      </c>
      <c r="N375" s="184" t="s">
        <v>132</v>
      </c>
      <c r="O375" s="167">
        <v>1.0</v>
      </c>
      <c r="P375" s="184" t="s">
        <v>30</v>
      </c>
      <c r="Q375" s="186">
        <v>5.0</v>
      </c>
      <c r="R375" s="184" t="s">
        <v>105</v>
      </c>
      <c r="S375" s="167">
        <v>7.0</v>
      </c>
      <c r="T375" s="187"/>
      <c r="U375" s="200"/>
      <c r="V375" s="184" t="s">
        <v>118</v>
      </c>
      <c r="W375" s="167">
        <v>4.0</v>
      </c>
      <c r="X375" s="142">
        <v>1.0</v>
      </c>
      <c r="Y375" s="142">
        <v>1.0</v>
      </c>
      <c r="Z375" s="142">
        <v>1.0</v>
      </c>
      <c r="AA375" s="142">
        <v>1.0</v>
      </c>
      <c r="AB375" s="142">
        <v>1.0</v>
      </c>
      <c r="AC375" s="142">
        <v>1.0</v>
      </c>
      <c r="AD375" s="142">
        <v>1.0</v>
      </c>
      <c r="AE375" s="142">
        <v>1.0</v>
      </c>
      <c r="AF375" s="142">
        <v>8.0</v>
      </c>
      <c r="AG375" s="142">
        <v>0.0</v>
      </c>
      <c r="AH375" s="185" t="str">
        <f>IFERROR(__xludf.DUMMYFUNCTION("if($C375="""","""",if(join("" - "",{iferror(filter('Student Groupings'!$A:$A,'Student Groupings'!$B:$B=$C375,'Student Groupings'!$H:$H=""Can't be Together""),"""");iferror(filter('Student Groupings'!$A:$A,'Student Groupings'!$E:$E=$C375,'Student Groupings"&amp;"'!$H:$H=""Can't be Together""),"""")})="" - "","""",join("" - "",{iferror(filter('Student Groupings'!$A:$A,'Student Groupings'!$B:$B=$C375,'Student Groupings'!$H:$H=""Can't be Together""),"""");iferror(filter('Student Groupings'!$A:$A,'Student Groupings'!"&amp;"$E:$E=$C375,'Student Groupings'!$H:$H=""Can't be Together""),"""")})))"),"")</f>
        <v/>
      </c>
      <c r="AI375" s="185" t="str">
        <f>IFERROR(__xludf.DUMMYFUNCTION("if($C375="""","""",if(join("" - "",{iferror(filter('Student Groupings'!$A:$A,'Student Groupings'!$B:$B=$C375,'Student Groupings'!$H:$H=""Must be Together""),"""");iferror(filter('Student Groupings'!$A:$A,'Student Groupings'!$E:$E=$C375,'Student Groupings'"&amp;"!$H:$H=""Must be Together""),"""")})="" - "","""",join("" - "",{iferror(filter('Student Groupings'!$A:$A,'Student Groupings'!$B:$B=$C375,'Student Groupings'!$H:$H=""Must be Together""),"""");iferror(filter('Student Groupings'!$A:$A,'Student Groupings'!$E:"&amp;"$E=$C375,'Student Groupings'!$H:$H=""Must be Together""),"""")})))"),"")</f>
        <v/>
      </c>
    </row>
    <row r="376">
      <c r="A376" s="186">
        <v>11.0</v>
      </c>
      <c r="B376" s="182">
        <v>27111.0</v>
      </c>
      <c r="C376" s="183" t="s">
        <v>528</v>
      </c>
      <c r="D376" s="198" t="s">
        <v>41</v>
      </c>
      <c r="E376" s="181">
        <v>3.0</v>
      </c>
      <c r="F376" s="186" t="s">
        <v>66</v>
      </c>
      <c r="G376" s="186">
        <v>1.0</v>
      </c>
      <c r="H376" s="182" t="s">
        <v>79</v>
      </c>
      <c r="I376" s="167">
        <v>8.0</v>
      </c>
      <c r="J376" s="187"/>
      <c r="K376" s="200"/>
      <c r="L376" s="184" t="s">
        <v>90</v>
      </c>
      <c r="M376" s="186">
        <v>7.0</v>
      </c>
      <c r="N376" s="184" t="s">
        <v>132</v>
      </c>
      <c r="O376" s="186">
        <v>4.0</v>
      </c>
      <c r="P376" s="184" t="s">
        <v>29</v>
      </c>
      <c r="Q376" s="186">
        <v>6.0</v>
      </c>
      <c r="R376" s="184" t="s">
        <v>107</v>
      </c>
      <c r="S376" s="186">
        <v>2.0</v>
      </c>
      <c r="T376" s="187"/>
      <c r="U376" s="200"/>
      <c r="V376" s="182" t="s">
        <v>115</v>
      </c>
      <c r="W376" s="186">
        <v>5.0</v>
      </c>
      <c r="X376" s="142">
        <v>1.0</v>
      </c>
      <c r="Y376" s="142">
        <v>1.0</v>
      </c>
      <c r="Z376" s="142">
        <v>1.0</v>
      </c>
      <c r="AA376" s="142">
        <v>1.0</v>
      </c>
      <c r="AB376" s="142">
        <v>1.0</v>
      </c>
      <c r="AC376" s="142">
        <v>1.0</v>
      </c>
      <c r="AD376" s="142">
        <v>1.0</v>
      </c>
      <c r="AE376" s="142">
        <v>1.0</v>
      </c>
      <c r="AF376" s="142">
        <v>8.0</v>
      </c>
      <c r="AG376" s="142">
        <v>0.0</v>
      </c>
      <c r="AH376" s="185" t="str">
        <f>IFERROR(__xludf.DUMMYFUNCTION("if($C376="""","""",if(join("" - "",{iferror(filter('Student Groupings'!$A:$A,'Student Groupings'!$B:$B=$C376,'Student Groupings'!$H:$H=""Can't be Together""),"""");iferror(filter('Student Groupings'!$A:$A,'Student Groupings'!$E:$E=$C376,'Student Groupings"&amp;"'!$H:$H=""Can't be Together""),"""")})="" - "","""",join("" - "",{iferror(filter('Student Groupings'!$A:$A,'Student Groupings'!$B:$B=$C376,'Student Groupings'!$H:$H=""Can't be Together""),"""");iferror(filter('Student Groupings'!$A:$A,'Student Groupings'!"&amp;"$E:$E=$C376,'Student Groupings'!$H:$H=""Can't be Together""),"""")})))"),"")</f>
        <v/>
      </c>
      <c r="AI376" s="185" t="str">
        <f>IFERROR(__xludf.DUMMYFUNCTION("if($C376="""","""",if(join("" - "",{iferror(filter('Student Groupings'!$A:$A,'Student Groupings'!$B:$B=$C376,'Student Groupings'!$H:$H=""Must be Together""),"""");iferror(filter('Student Groupings'!$A:$A,'Student Groupings'!$E:$E=$C376,'Student Groupings'"&amp;"!$H:$H=""Must be Together""),"""")})="" - "","""",join("" - "",{iferror(filter('Student Groupings'!$A:$A,'Student Groupings'!$B:$B=$C376,'Student Groupings'!$H:$H=""Must be Together""),"""");iferror(filter('Student Groupings'!$A:$A,'Student Groupings'!$E:"&amp;"$E=$C376,'Student Groupings'!$H:$H=""Must be Together""),"""")})))"),"")</f>
        <v/>
      </c>
    </row>
    <row r="377">
      <c r="A377" s="186">
        <v>11.0</v>
      </c>
      <c r="B377" s="182">
        <v>27164.0</v>
      </c>
      <c r="C377" s="183" t="s">
        <v>529</v>
      </c>
      <c r="D377" s="198" t="s">
        <v>45</v>
      </c>
      <c r="E377" s="181">
        <v>7.0</v>
      </c>
      <c r="F377" s="186" t="s">
        <v>66</v>
      </c>
      <c r="G377" s="186">
        <v>1.0</v>
      </c>
      <c r="H377" s="196" t="s">
        <v>79</v>
      </c>
      <c r="I377" s="180">
        <v>8.0</v>
      </c>
      <c r="J377" s="183"/>
      <c r="K377" s="167"/>
      <c r="L377" s="184" t="s">
        <v>90</v>
      </c>
      <c r="M377" s="186">
        <v>2.0</v>
      </c>
      <c r="N377" s="184" t="s">
        <v>132</v>
      </c>
      <c r="O377" s="186">
        <v>6.0</v>
      </c>
      <c r="P377" s="184" t="s">
        <v>24</v>
      </c>
      <c r="Q377" s="186">
        <v>4.0</v>
      </c>
      <c r="R377" s="184" t="s">
        <v>105</v>
      </c>
      <c r="S377" s="186">
        <v>5.0</v>
      </c>
      <c r="T377" s="187"/>
      <c r="U377" s="200"/>
      <c r="V377" s="182" t="s">
        <v>115</v>
      </c>
      <c r="W377" s="186">
        <v>3.0</v>
      </c>
      <c r="X377" s="142">
        <v>1.0</v>
      </c>
      <c r="Y377" s="142">
        <v>1.0</v>
      </c>
      <c r="Z377" s="142">
        <v>1.0</v>
      </c>
      <c r="AA377" s="142">
        <v>1.0</v>
      </c>
      <c r="AB377" s="142">
        <v>1.0</v>
      </c>
      <c r="AC377" s="142">
        <v>1.0</v>
      </c>
      <c r="AD377" s="142">
        <v>1.0</v>
      </c>
      <c r="AE377" s="142">
        <v>1.0</v>
      </c>
      <c r="AF377" s="142">
        <v>8.0</v>
      </c>
      <c r="AG377" s="142">
        <v>0.0</v>
      </c>
      <c r="AH377" s="185" t="str">
        <f>IFERROR(__xludf.DUMMYFUNCTION("if($C377="""","""",if(join("" - "",{iferror(filter('Student Groupings'!$A:$A,'Student Groupings'!$B:$B=$C377,'Student Groupings'!$H:$H=""Can't be Together""),"""");iferror(filter('Student Groupings'!$A:$A,'Student Groupings'!$E:$E=$C377,'Student Groupings"&amp;"'!$H:$H=""Can't be Together""),"""")})="" - "","""",join("" - "",{iferror(filter('Student Groupings'!$A:$A,'Student Groupings'!$B:$B=$C377,'Student Groupings'!$H:$H=""Can't be Together""),"""");iferror(filter('Student Groupings'!$A:$A,'Student Groupings'!"&amp;"$E:$E=$C377,'Student Groupings'!$H:$H=""Can't be Together""),"""")})))")," - 21 - 94")</f>
        <v> - 21 - 94</v>
      </c>
      <c r="AI377" s="185" t="str">
        <f>IFERROR(__xludf.DUMMYFUNCTION("if($C377="""","""",if(join("" - "",{iferror(filter('Student Groupings'!$A:$A,'Student Groupings'!$B:$B=$C377,'Student Groupings'!$H:$H=""Must be Together""),"""");iferror(filter('Student Groupings'!$A:$A,'Student Groupings'!$E:$E=$C377,'Student Groupings'"&amp;"!$H:$H=""Must be Together""),"""")})="" - "","""",join("" - "",{iferror(filter('Student Groupings'!$A:$A,'Student Groupings'!$B:$B=$C377,'Student Groupings'!$H:$H=""Must be Together""),"""");iferror(filter('Student Groupings'!$A:$A,'Student Groupings'!$E:"&amp;"$E=$C377,'Student Groupings'!$H:$H=""Must be Together""),"""")})))"),"")</f>
        <v/>
      </c>
    </row>
    <row r="378">
      <c r="A378" s="186">
        <v>11.0</v>
      </c>
      <c r="B378" s="182">
        <v>27037.0</v>
      </c>
      <c r="C378" s="183" t="s">
        <v>530</v>
      </c>
      <c r="D378" s="198" t="s">
        <v>38</v>
      </c>
      <c r="E378" s="181">
        <v>7.0</v>
      </c>
      <c r="F378" s="186" t="s">
        <v>66</v>
      </c>
      <c r="G378" s="186">
        <v>6.0</v>
      </c>
      <c r="H378" s="182" t="s">
        <v>79</v>
      </c>
      <c r="I378" s="186">
        <v>3.0</v>
      </c>
      <c r="J378" s="187"/>
      <c r="K378" s="200"/>
      <c r="L378" s="184" t="s">
        <v>90</v>
      </c>
      <c r="M378" s="186">
        <v>8.0</v>
      </c>
      <c r="N378" s="184" t="s">
        <v>132</v>
      </c>
      <c r="O378" s="186">
        <v>1.0</v>
      </c>
      <c r="P378" s="184" t="s">
        <v>23</v>
      </c>
      <c r="Q378" s="186">
        <v>2.0</v>
      </c>
      <c r="R378" s="184" t="s">
        <v>111</v>
      </c>
      <c r="S378" s="186">
        <v>5.0</v>
      </c>
      <c r="T378" s="187"/>
      <c r="U378" s="200"/>
      <c r="V378" s="184" t="s">
        <v>109</v>
      </c>
      <c r="W378" s="167">
        <v>4.0</v>
      </c>
      <c r="X378" s="142">
        <v>1.0</v>
      </c>
      <c r="Y378" s="142">
        <v>1.0</v>
      </c>
      <c r="Z378" s="142">
        <v>1.0</v>
      </c>
      <c r="AA378" s="142">
        <v>1.0</v>
      </c>
      <c r="AB378" s="142">
        <v>1.0</v>
      </c>
      <c r="AC378" s="142">
        <v>1.0</v>
      </c>
      <c r="AD378" s="142">
        <v>1.0</v>
      </c>
      <c r="AE378" s="142">
        <v>1.0</v>
      </c>
      <c r="AF378" s="142">
        <v>8.0</v>
      </c>
      <c r="AG378" s="142">
        <v>0.0</v>
      </c>
      <c r="AH378" s="185" t="str">
        <f>IFERROR(__xludf.DUMMYFUNCTION("if($C378="""","""",if(join("" - "",{iferror(filter('Student Groupings'!$A:$A,'Student Groupings'!$B:$B=$C378,'Student Groupings'!$H:$H=""Can't be Together""),"""");iferror(filter('Student Groupings'!$A:$A,'Student Groupings'!$E:$E=$C378,'Student Groupings"&amp;"'!$H:$H=""Can't be Together""),"""")})="" - "","""",join("" - "",{iferror(filter('Student Groupings'!$A:$A,'Student Groupings'!$B:$B=$C378,'Student Groupings'!$H:$H=""Can't be Together""),"""");iferror(filter('Student Groupings'!$A:$A,'Student Groupings'!"&amp;"$E:$E=$C378,'Student Groupings'!$H:$H=""Can't be Together""),"""")})))"),"")</f>
        <v/>
      </c>
      <c r="AI378" s="185" t="str">
        <f>IFERROR(__xludf.DUMMYFUNCTION("if($C378="""","""",if(join("" - "",{iferror(filter('Student Groupings'!$A:$A,'Student Groupings'!$B:$B=$C378,'Student Groupings'!$H:$H=""Must be Together""),"""");iferror(filter('Student Groupings'!$A:$A,'Student Groupings'!$E:$E=$C378,'Student Groupings'"&amp;"!$H:$H=""Must be Together""),"""")})="" - "","""",join("" - "",{iferror(filter('Student Groupings'!$A:$A,'Student Groupings'!$B:$B=$C378,'Student Groupings'!$H:$H=""Must be Together""),"""");iferror(filter('Student Groupings'!$A:$A,'Student Groupings'!$E:"&amp;"$E=$C378,'Student Groupings'!$H:$H=""Must be Together""),"""")})))"),"")</f>
        <v/>
      </c>
    </row>
    <row r="379">
      <c r="A379" s="186">
        <v>12.0</v>
      </c>
      <c r="B379" s="182">
        <v>25084.0</v>
      </c>
      <c r="C379" s="183" t="s">
        <v>531</v>
      </c>
      <c r="D379" s="198" t="s">
        <v>45</v>
      </c>
      <c r="E379" s="181">
        <v>8.0</v>
      </c>
      <c r="F379" s="186" t="s">
        <v>53</v>
      </c>
      <c r="G379" s="186">
        <v>2.0</v>
      </c>
      <c r="H379" s="182" t="s">
        <v>82</v>
      </c>
      <c r="I379" s="167">
        <v>5.0</v>
      </c>
      <c r="J379" s="187"/>
      <c r="K379" s="200"/>
      <c r="L379" s="184" t="s">
        <v>93</v>
      </c>
      <c r="M379" s="186">
        <v>3.0</v>
      </c>
      <c r="N379" s="184" t="s">
        <v>134</v>
      </c>
      <c r="O379" s="186">
        <v>4.0</v>
      </c>
      <c r="P379" s="184" t="s">
        <v>126</v>
      </c>
      <c r="Q379" s="186">
        <v>1.0</v>
      </c>
      <c r="R379" s="184" t="s">
        <v>107</v>
      </c>
      <c r="S379" s="186">
        <v>7.0</v>
      </c>
      <c r="T379" s="187"/>
      <c r="U379" s="200"/>
      <c r="V379" s="225" t="s">
        <v>32</v>
      </c>
      <c r="W379" s="167">
        <v>6.0</v>
      </c>
      <c r="X379" s="142">
        <v>1.0</v>
      </c>
      <c r="Y379" s="142">
        <v>1.0</v>
      </c>
      <c r="Z379" s="142">
        <v>1.0</v>
      </c>
      <c r="AA379" s="142">
        <v>1.0</v>
      </c>
      <c r="AB379" s="142">
        <v>1.0</v>
      </c>
      <c r="AC379" s="142">
        <v>1.0</v>
      </c>
      <c r="AD379" s="142">
        <v>1.0</v>
      </c>
      <c r="AE379" s="142">
        <v>1.0</v>
      </c>
      <c r="AF379" s="142">
        <v>8.0</v>
      </c>
      <c r="AG379" s="142">
        <v>0.0</v>
      </c>
      <c r="AH379" s="185" t="str">
        <f>IFERROR(__xludf.DUMMYFUNCTION("if($C379="""","""",if(join("" - "",{iferror(filter('Student Groupings'!$A:$A,'Student Groupings'!$B:$B=$C379,'Student Groupings'!$H:$H=""Can't be Together""),"""");iferror(filter('Student Groupings'!$A:$A,'Student Groupings'!$E:$E=$C379,'Student Groupings"&amp;"'!$H:$H=""Can't be Together""),"""")})="" - "","""",join("" - "",{iferror(filter('Student Groupings'!$A:$A,'Student Groupings'!$B:$B=$C379,'Student Groupings'!$H:$H=""Can't be Together""),"""");iferror(filter('Student Groupings'!$A:$A,'Student Groupings'!"&amp;"$E:$E=$C379,'Student Groupings'!$H:$H=""Can't be Together""),"""")})))"),"")</f>
        <v/>
      </c>
      <c r="AI379" s="185" t="str">
        <f>IFERROR(__xludf.DUMMYFUNCTION("if($C379="""","""",if(join("" - "",{iferror(filter('Student Groupings'!$A:$A,'Student Groupings'!$B:$B=$C379,'Student Groupings'!$H:$H=""Must be Together""),"""");iferror(filter('Student Groupings'!$A:$A,'Student Groupings'!$E:$E=$C379,'Student Groupings'"&amp;"!$H:$H=""Must be Together""),"""")})="" - "","""",join("" - "",{iferror(filter('Student Groupings'!$A:$A,'Student Groupings'!$B:$B=$C379,'Student Groupings'!$H:$H=""Must be Together""),"""");iferror(filter('Student Groupings'!$A:$A,'Student Groupings'!$E:"&amp;"$E=$C379,'Student Groupings'!$H:$H=""Must be Together""),"""")})))"),"")</f>
        <v/>
      </c>
    </row>
    <row r="380">
      <c r="A380" s="186">
        <v>12.0</v>
      </c>
      <c r="B380" s="182">
        <v>26105.0</v>
      </c>
      <c r="C380" s="183" t="s">
        <v>532</v>
      </c>
      <c r="D380" s="198" t="s">
        <v>45</v>
      </c>
      <c r="E380" s="181">
        <v>1.0</v>
      </c>
      <c r="F380" s="186" t="s">
        <v>53</v>
      </c>
      <c r="G380" s="186">
        <v>4.0</v>
      </c>
      <c r="H380" s="182" t="s">
        <v>82</v>
      </c>
      <c r="I380" s="186">
        <v>5.0</v>
      </c>
      <c r="J380" s="187"/>
      <c r="K380" s="200"/>
      <c r="L380" s="184" t="s">
        <v>84</v>
      </c>
      <c r="M380" s="186">
        <v>6.0</v>
      </c>
      <c r="N380" s="184" t="s">
        <v>134</v>
      </c>
      <c r="O380" s="167">
        <v>2.0</v>
      </c>
      <c r="P380" s="182" t="s">
        <v>114</v>
      </c>
      <c r="Q380" s="186">
        <v>8.0</v>
      </c>
      <c r="R380" s="184" t="s">
        <v>107</v>
      </c>
      <c r="S380" s="186">
        <v>3.0</v>
      </c>
      <c r="T380" s="187"/>
      <c r="U380" s="200"/>
      <c r="V380" s="184" t="s">
        <v>34</v>
      </c>
      <c r="W380" s="186">
        <v>7.0</v>
      </c>
      <c r="X380" s="142">
        <v>1.0</v>
      </c>
      <c r="Y380" s="142">
        <v>1.0</v>
      </c>
      <c r="Z380" s="142">
        <v>1.0</v>
      </c>
      <c r="AA380" s="142">
        <v>1.0</v>
      </c>
      <c r="AB380" s="142">
        <v>1.0</v>
      </c>
      <c r="AC380" s="142">
        <v>1.0</v>
      </c>
      <c r="AD380" s="142">
        <v>1.0</v>
      </c>
      <c r="AE380" s="142">
        <v>1.0</v>
      </c>
      <c r="AF380" s="142">
        <v>8.0</v>
      </c>
      <c r="AG380" s="142">
        <v>0.0</v>
      </c>
      <c r="AH380" s="185" t="str">
        <f>IFERROR(__xludf.DUMMYFUNCTION("if($C380="""","""",if(join("" - "",{iferror(filter('Student Groupings'!$A:$A,'Student Groupings'!$B:$B=$C380,'Student Groupings'!$H:$H=""Can't be Together""),"""");iferror(filter('Student Groupings'!$A:$A,'Student Groupings'!$E:$E=$C380,'Student Groupings"&amp;"'!$H:$H=""Can't be Together""),"""")})="" - "","""",join("" - "",{iferror(filter('Student Groupings'!$A:$A,'Student Groupings'!$B:$B=$C380,'Student Groupings'!$H:$H=""Can't be Together""),"""");iferror(filter('Student Groupings'!$A:$A,'Student Groupings'!"&amp;"$E:$E=$C380,'Student Groupings'!$H:$H=""Can't be Together""),"""")})))"),"")</f>
        <v/>
      </c>
      <c r="AI380" s="185" t="str">
        <f>IFERROR(__xludf.DUMMYFUNCTION("if($C380="""","""",if(join("" - "",{iferror(filter('Student Groupings'!$A:$A,'Student Groupings'!$B:$B=$C380,'Student Groupings'!$H:$H=""Must be Together""),"""");iferror(filter('Student Groupings'!$A:$A,'Student Groupings'!$E:$E=$C380,'Student Groupings'"&amp;"!$H:$H=""Must be Together""),"""")})="" - "","""",join("" - "",{iferror(filter('Student Groupings'!$A:$A,'Student Groupings'!$B:$B=$C380,'Student Groupings'!$H:$H=""Must be Together""),"""");iferror(filter('Student Groupings'!$A:$A,'Student Groupings'!$E:"&amp;"$E=$C380,'Student Groupings'!$H:$H=""Must be Together""),"""")})))"),"")</f>
        <v/>
      </c>
    </row>
    <row r="381">
      <c r="A381" s="186">
        <v>12.0</v>
      </c>
      <c r="B381" s="182">
        <v>26046.0</v>
      </c>
      <c r="C381" s="226" t="s">
        <v>533</v>
      </c>
      <c r="D381" s="198" t="s">
        <v>45</v>
      </c>
      <c r="E381" s="181">
        <v>7.0</v>
      </c>
      <c r="F381" s="186" t="s">
        <v>53</v>
      </c>
      <c r="G381" s="186">
        <v>2.0</v>
      </c>
      <c r="H381" s="182" t="s">
        <v>71</v>
      </c>
      <c r="I381" s="167">
        <v>3.0</v>
      </c>
      <c r="J381" s="183"/>
      <c r="K381" s="167"/>
      <c r="L381" s="184" t="s">
        <v>93</v>
      </c>
      <c r="M381" s="186">
        <v>5.0</v>
      </c>
      <c r="N381" s="184" t="s">
        <v>134</v>
      </c>
      <c r="O381" s="167">
        <v>4.0</v>
      </c>
      <c r="P381" s="182" t="s">
        <v>114</v>
      </c>
      <c r="Q381" s="186">
        <v>6.0</v>
      </c>
      <c r="R381" s="184" t="s">
        <v>107</v>
      </c>
      <c r="S381" s="186">
        <v>8.0</v>
      </c>
      <c r="T381" s="187"/>
      <c r="U381" s="200"/>
      <c r="V381" s="227" t="s">
        <v>92</v>
      </c>
      <c r="W381" s="186">
        <v>1.0</v>
      </c>
      <c r="X381" s="142">
        <v>1.0</v>
      </c>
      <c r="Y381" s="142">
        <v>1.0</v>
      </c>
      <c r="Z381" s="142">
        <v>1.0</v>
      </c>
      <c r="AA381" s="142">
        <v>1.0</v>
      </c>
      <c r="AB381" s="142">
        <v>1.0</v>
      </c>
      <c r="AC381" s="142">
        <v>1.0</v>
      </c>
      <c r="AD381" s="142">
        <v>1.0</v>
      </c>
      <c r="AE381" s="142">
        <v>1.0</v>
      </c>
      <c r="AF381" s="142">
        <v>8.0</v>
      </c>
      <c r="AG381" s="142">
        <v>0.0</v>
      </c>
      <c r="AH381" s="185" t="str">
        <f>IFERROR(__xludf.DUMMYFUNCTION("if($C381="""","""",if(join("" - "",{iferror(filter('Student Groupings'!$A:$A,'Student Groupings'!$B:$B=$C381,'Student Groupings'!$H:$H=""Can't be Together""),"""");iferror(filter('Student Groupings'!$A:$A,'Student Groupings'!$E:$E=$C381,'Student Groupings"&amp;"'!$H:$H=""Can't be Together""),"""")})="" - "","""",join("" - "",{iferror(filter('Student Groupings'!$A:$A,'Student Groupings'!$B:$B=$C381,'Student Groupings'!$H:$H=""Can't be Together""),"""");iferror(filter('Student Groupings'!$A:$A,'Student Groupings'!"&amp;"$E:$E=$C381,'Student Groupings'!$H:$H=""Can't be Together""),"""")})))"),"")</f>
        <v/>
      </c>
      <c r="AI381" s="185" t="str">
        <f>IFERROR(__xludf.DUMMYFUNCTION("if($C381="""","""",if(join("" - "",{iferror(filter('Student Groupings'!$A:$A,'Student Groupings'!$B:$B=$C381,'Student Groupings'!$H:$H=""Must be Together""),"""");iferror(filter('Student Groupings'!$A:$A,'Student Groupings'!$E:$E=$C381,'Student Groupings'"&amp;"!$H:$H=""Must be Together""),"""")})="" - "","""",join("" - "",{iferror(filter('Student Groupings'!$A:$A,'Student Groupings'!$B:$B=$C381,'Student Groupings'!$H:$H=""Must be Together""),"""");iferror(filter('Student Groupings'!$A:$A,'Student Groupings'!$E:"&amp;"$E=$C381,'Student Groupings'!$H:$H=""Must be Together""),"""")})))"),"")</f>
        <v/>
      </c>
    </row>
    <row r="382">
      <c r="A382" s="186">
        <v>12.0</v>
      </c>
      <c r="B382" s="182">
        <v>26165.0</v>
      </c>
      <c r="C382" s="183" t="s">
        <v>534</v>
      </c>
      <c r="D382" s="198" t="s">
        <v>45</v>
      </c>
      <c r="E382" s="181">
        <v>7.0</v>
      </c>
      <c r="F382" s="198" t="s">
        <v>38</v>
      </c>
      <c r="G382" s="186">
        <v>3.0</v>
      </c>
      <c r="H382" s="182" t="s">
        <v>69</v>
      </c>
      <c r="I382" s="167">
        <v>1.0</v>
      </c>
      <c r="J382" s="187"/>
      <c r="K382" s="200"/>
      <c r="L382" s="184" t="s">
        <v>84</v>
      </c>
      <c r="M382" s="186">
        <v>2.0</v>
      </c>
      <c r="N382" s="184" t="s">
        <v>134</v>
      </c>
      <c r="O382" s="186">
        <v>5.0</v>
      </c>
      <c r="P382" s="182" t="s">
        <v>114</v>
      </c>
      <c r="Q382" s="186">
        <v>8.0</v>
      </c>
      <c r="R382" s="184" t="s">
        <v>111</v>
      </c>
      <c r="S382" s="186">
        <v>4.0</v>
      </c>
      <c r="T382" s="187"/>
      <c r="U382" s="200"/>
      <c r="V382" s="184" t="s">
        <v>23</v>
      </c>
      <c r="W382" s="186">
        <v>6.0</v>
      </c>
      <c r="X382" s="142">
        <v>1.0</v>
      </c>
      <c r="Y382" s="142">
        <v>1.0</v>
      </c>
      <c r="Z382" s="142">
        <v>1.0</v>
      </c>
      <c r="AA382" s="142">
        <v>1.0</v>
      </c>
      <c r="AB382" s="142">
        <v>1.0</v>
      </c>
      <c r="AC382" s="142">
        <v>1.0</v>
      </c>
      <c r="AD382" s="142">
        <v>1.0</v>
      </c>
      <c r="AE382" s="142">
        <v>1.0</v>
      </c>
      <c r="AF382" s="142">
        <v>8.0</v>
      </c>
      <c r="AG382" s="142">
        <v>0.0</v>
      </c>
      <c r="AH382" s="185" t="str">
        <f>IFERROR(__xludf.DUMMYFUNCTION("if($C382="""","""",if(join("" - "",{iferror(filter('Student Groupings'!$A:$A,'Student Groupings'!$B:$B=$C382,'Student Groupings'!$H:$H=""Can't be Together""),"""");iferror(filter('Student Groupings'!$A:$A,'Student Groupings'!$E:$E=$C382,'Student Groupings"&amp;"'!$H:$H=""Can't be Together""),"""")})="" - "","""",join("" - "",{iferror(filter('Student Groupings'!$A:$A,'Student Groupings'!$B:$B=$C382,'Student Groupings'!$H:$H=""Can't be Together""),"""");iferror(filter('Student Groupings'!$A:$A,'Student Groupings'!"&amp;"$E:$E=$C382,'Student Groupings'!$H:$H=""Can't be Together""),"""")})))"),"")</f>
        <v/>
      </c>
      <c r="AI382" s="185" t="str">
        <f>IFERROR(__xludf.DUMMYFUNCTION("if($C382="""","""",if(join("" - "",{iferror(filter('Student Groupings'!$A:$A,'Student Groupings'!$B:$B=$C382,'Student Groupings'!$H:$H=""Must be Together""),"""");iferror(filter('Student Groupings'!$A:$A,'Student Groupings'!$E:$E=$C382,'Student Groupings'"&amp;"!$H:$H=""Must be Together""),"""")})="" - "","""",join("" - "",{iferror(filter('Student Groupings'!$A:$A,'Student Groupings'!$B:$B=$C382,'Student Groupings'!$H:$H=""Must be Together""),"""");iferror(filter('Student Groupings'!$A:$A,'Student Groupings'!$E:"&amp;"$E=$C382,'Student Groupings'!$H:$H=""Must be Together""),"""")})))"),"92 - ")</f>
        <v>92 - </v>
      </c>
    </row>
    <row r="383">
      <c r="A383" s="186">
        <v>12.0</v>
      </c>
      <c r="B383" s="182">
        <v>26120.0</v>
      </c>
      <c r="C383" s="183" t="s">
        <v>535</v>
      </c>
      <c r="D383" s="198" t="s">
        <v>45</v>
      </c>
      <c r="E383" s="181">
        <v>7.0</v>
      </c>
      <c r="F383" s="186" t="s">
        <v>53</v>
      </c>
      <c r="G383" s="167">
        <v>4.0</v>
      </c>
      <c r="H383" s="182" t="s">
        <v>71</v>
      </c>
      <c r="I383" s="186">
        <v>3.0</v>
      </c>
      <c r="J383" s="187"/>
      <c r="K383" s="200"/>
      <c r="L383" s="184" t="s">
        <v>93</v>
      </c>
      <c r="M383" s="167">
        <v>5.0</v>
      </c>
      <c r="N383" s="184" t="s">
        <v>134</v>
      </c>
      <c r="O383" s="167">
        <v>6.0</v>
      </c>
      <c r="P383" s="184" t="s">
        <v>126</v>
      </c>
      <c r="Q383" s="167">
        <v>1.0</v>
      </c>
      <c r="R383" s="184" t="s">
        <v>108</v>
      </c>
      <c r="S383" s="186">
        <v>2.0</v>
      </c>
      <c r="T383" s="183"/>
      <c r="U383" s="167"/>
      <c r="V383" s="228" t="s">
        <v>90</v>
      </c>
      <c r="W383" s="167">
        <v>8.0</v>
      </c>
      <c r="X383" s="142">
        <v>1.0</v>
      </c>
      <c r="Y383" s="142">
        <v>1.0</v>
      </c>
      <c r="Z383" s="142">
        <v>1.0</v>
      </c>
      <c r="AA383" s="142">
        <v>1.0</v>
      </c>
      <c r="AB383" s="142">
        <v>1.0</v>
      </c>
      <c r="AC383" s="142">
        <v>1.0</v>
      </c>
      <c r="AD383" s="142">
        <v>1.0</v>
      </c>
      <c r="AE383" s="142">
        <v>1.0</v>
      </c>
      <c r="AF383" s="142">
        <v>8.0</v>
      </c>
      <c r="AG383" s="142">
        <v>0.0</v>
      </c>
      <c r="AH383" s="185" t="str">
        <f>IFERROR(__xludf.DUMMYFUNCTION("if($C383="""","""",if(join("" - "",{iferror(filter('Student Groupings'!$A:$A,'Student Groupings'!$B:$B=$C383,'Student Groupings'!$H:$H=""Can't be Together""),"""");iferror(filter('Student Groupings'!$A:$A,'Student Groupings'!$E:$E=$C383,'Student Groupings"&amp;"'!$H:$H=""Can't be Together""),"""")})="" - "","""",join("" - "",{iferror(filter('Student Groupings'!$A:$A,'Student Groupings'!$B:$B=$C383,'Student Groupings'!$H:$H=""Can't be Together""),"""");iferror(filter('Student Groupings'!$A:$A,'Student Groupings'!"&amp;"$E:$E=$C383,'Student Groupings'!$H:$H=""Can't be Together""),"""")})))"),"")</f>
        <v/>
      </c>
      <c r="AI383" s="185" t="str">
        <f>IFERROR(__xludf.DUMMYFUNCTION("if($C383="""","""",if(join("" - "",{iferror(filter('Student Groupings'!$A:$A,'Student Groupings'!$B:$B=$C383,'Student Groupings'!$H:$H=""Must be Together""),"""");iferror(filter('Student Groupings'!$A:$A,'Student Groupings'!$E:$E=$C383,'Student Groupings'"&amp;"!$H:$H=""Must be Together""),"""")})="" - "","""",join("" - "",{iferror(filter('Student Groupings'!$A:$A,'Student Groupings'!$B:$B=$C383,'Student Groupings'!$H:$H=""Must be Together""),"""");iferror(filter('Student Groupings'!$A:$A,'Student Groupings'!$E:"&amp;"$E=$C383,'Student Groupings'!$H:$H=""Must be Together""),"""")})))"),"")</f>
        <v/>
      </c>
    </row>
    <row r="384">
      <c r="A384" s="186">
        <v>12.0</v>
      </c>
      <c r="B384" s="182">
        <v>26130.0</v>
      </c>
      <c r="C384" s="183" t="s">
        <v>536</v>
      </c>
      <c r="D384" s="198" t="s">
        <v>45</v>
      </c>
      <c r="E384" s="181">
        <v>8.0</v>
      </c>
      <c r="F384" s="186" t="s">
        <v>53</v>
      </c>
      <c r="G384" s="186">
        <v>4.0</v>
      </c>
      <c r="H384" s="182" t="s">
        <v>70</v>
      </c>
      <c r="I384" s="186">
        <v>7.0</v>
      </c>
      <c r="J384" s="187"/>
      <c r="K384" s="200"/>
      <c r="L384" s="184" t="s">
        <v>93</v>
      </c>
      <c r="M384" s="186">
        <v>3.0</v>
      </c>
      <c r="N384" s="184" t="s">
        <v>134</v>
      </c>
      <c r="O384" s="167">
        <v>5.0</v>
      </c>
      <c r="P384" s="182" t="s">
        <v>114</v>
      </c>
      <c r="Q384" s="167">
        <v>1.0</v>
      </c>
      <c r="R384" s="184" t="s">
        <v>108</v>
      </c>
      <c r="S384" s="186">
        <v>2.0</v>
      </c>
      <c r="T384" s="183"/>
      <c r="U384" s="167"/>
      <c r="V384" s="184" t="s">
        <v>23</v>
      </c>
      <c r="W384" s="186">
        <v>6.0</v>
      </c>
      <c r="X384" s="142">
        <v>1.0</v>
      </c>
      <c r="Y384" s="142">
        <v>1.0</v>
      </c>
      <c r="Z384" s="142">
        <v>1.0</v>
      </c>
      <c r="AA384" s="142">
        <v>1.0</v>
      </c>
      <c r="AB384" s="142">
        <v>1.0</v>
      </c>
      <c r="AC384" s="142">
        <v>1.0</v>
      </c>
      <c r="AD384" s="142">
        <v>1.0</v>
      </c>
      <c r="AE384" s="142">
        <v>1.0</v>
      </c>
      <c r="AF384" s="142">
        <v>8.0</v>
      </c>
      <c r="AG384" s="142">
        <v>0.0</v>
      </c>
      <c r="AH384" s="185" t="str">
        <f>IFERROR(__xludf.DUMMYFUNCTION("if($C384="""","""",if(join("" - "",{iferror(filter('Student Groupings'!$A:$A,'Student Groupings'!$B:$B=$C384,'Student Groupings'!$H:$H=""Can't be Together""),"""");iferror(filter('Student Groupings'!$A:$A,'Student Groupings'!$E:$E=$C384,'Student Groupings"&amp;"'!$H:$H=""Can't be Together""),"""")})="" - "","""",join("" - "",{iferror(filter('Student Groupings'!$A:$A,'Student Groupings'!$B:$B=$C384,'Student Groupings'!$H:$H=""Can't be Together""),"""");iferror(filter('Student Groupings'!$A:$A,'Student Groupings'!"&amp;"$E:$E=$C384,'Student Groupings'!$H:$H=""Can't be Together""),"""")})))"),"")</f>
        <v/>
      </c>
      <c r="AI384" s="185" t="str">
        <f>IFERROR(__xludf.DUMMYFUNCTION("if($C384="""","""",if(join("" - "",{iferror(filter('Student Groupings'!$A:$A,'Student Groupings'!$B:$B=$C384,'Student Groupings'!$H:$H=""Must be Together""),"""");iferror(filter('Student Groupings'!$A:$A,'Student Groupings'!$E:$E=$C384,'Student Groupings'"&amp;"!$H:$H=""Must be Together""),"""")})="" - "","""",join("" - "",{iferror(filter('Student Groupings'!$A:$A,'Student Groupings'!$B:$B=$C384,'Student Groupings'!$H:$H=""Must be Together""),"""");iferror(filter('Student Groupings'!$A:$A,'Student Groupings'!$E:"&amp;"$E=$C384,'Student Groupings'!$H:$H=""Must be Together""),"""")})))"),"")</f>
        <v/>
      </c>
    </row>
    <row r="385">
      <c r="A385" s="186">
        <v>12.0</v>
      </c>
      <c r="B385" s="182">
        <v>26117.0</v>
      </c>
      <c r="C385" s="183" t="s">
        <v>537</v>
      </c>
      <c r="D385" s="198" t="s">
        <v>46</v>
      </c>
      <c r="E385" s="181">
        <v>4.0</v>
      </c>
      <c r="F385" s="186" t="s">
        <v>53</v>
      </c>
      <c r="G385" s="186">
        <v>7.0</v>
      </c>
      <c r="H385" s="182" t="s">
        <v>69</v>
      </c>
      <c r="I385" s="167">
        <v>6.0</v>
      </c>
      <c r="J385" s="187"/>
      <c r="K385" s="200"/>
      <c r="L385" s="184" t="s">
        <v>85</v>
      </c>
      <c r="M385" s="186">
        <v>3.0</v>
      </c>
      <c r="N385" s="184" t="s">
        <v>134</v>
      </c>
      <c r="O385" s="186">
        <v>8.0</v>
      </c>
      <c r="P385" s="184" t="s">
        <v>126</v>
      </c>
      <c r="Q385" s="167">
        <v>1.0</v>
      </c>
      <c r="R385" s="184" t="s">
        <v>108</v>
      </c>
      <c r="S385" s="167">
        <v>2.0</v>
      </c>
      <c r="T385" s="183"/>
      <c r="U385" s="167"/>
      <c r="V385" s="184" t="s">
        <v>82</v>
      </c>
      <c r="W385" s="186">
        <v>5.0</v>
      </c>
      <c r="X385" s="142">
        <v>1.0</v>
      </c>
      <c r="Y385" s="142">
        <v>1.0</v>
      </c>
      <c r="Z385" s="142">
        <v>1.0</v>
      </c>
      <c r="AA385" s="142">
        <v>1.0</v>
      </c>
      <c r="AB385" s="142">
        <v>1.0</v>
      </c>
      <c r="AC385" s="142">
        <v>1.0</v>
      </c>
      <c r="AD385" s="142">
        <v>1.0</v>
      </c>
      <c r="AE385" s="142">
        <v>1.0</v>
      </c>
      <c r="AF385" s="142">
        <v>8.0</v>
      </c>
      <c r="AG385" s="142">
        <v>0.0</v>
      </c>
      <c r="AH385" s="185" t="str">
        <f>IFERROR(__xludf.DUMMYFUNCTION("if($C385="""","""",if(join("" - "",{iferror(filter('Student Groupings'!$A:$A,'Student Groupings'!$B:$B=$C385,'Student Groupings'!$H:$H=""Can't be Together""),"""");iferror(filter('Student Groupings'!$A:$A,'Student Groupings'!$E:$E=$C385,'Student Groupings"&amp;"'!$H:$H=""Can't be Together""),"""")})="" - "","""",join("" - "",{iferror(filter('Student Groupings'!$A:$A,'Student Groupings'!$B:$B=$C385,'Student Groupings'!$H:$H=""Can't be Together""),"""");iferror(filter('Student Groupings'!$A:$A,'Student Groupings'!"&amp;"$E:$E=$C385,'Student Groupings'!$H:$H=""Can't be Together""),"""")})))"),"")</f>
        <v/>
      </c>
      <c r="AI385" s="185" t="str">
        <f>IFERROR(__xludf.DUMMYFUNCTION("if($C385="""","""",if(join("" - "",{iferror(filter('Student Groupings'!$A:$A,'Student Groupings'!$B:$B=$C385,'Student Groupings'!$H:$H=""Must be Together""),"""");iferror(filter('Student Groupings'!$A:$A,'Student Groupings'!$E:$E=$C385,'Student Groupings'"&amp;"!$H:$H=""Must be Together""),"""")})="" - "","""",join("" - "",{iferror(filter('Student Groupings'!$A:$A,'Student Groupings'!$B:$B=$C385,'Student Groupings'!$H:$H=""Must be Together""),"""");iferror(filter('Student Groupings'!$A:$A,'Student Groupings'!$E:"&amp;"$E=$C385,'Student Groupings'!$H:$H=""Must be Together""),"""")})))"),"")</f>
        <v/>
      </c>
    </row>
    <row r="386">
      <c r="A386" s="186">
        <v>12.0</v>
      </c>
      <c r="B386" s="182">
        <v>26168.0</v>
      </c>
      <c r="C386" s="183" t="s">
        <v>538</v>
      </c>
      <c r="D386" s="198" t="s">
        <v>45</v>
      </c>
      <c r="E386" s="181">
        <v>7.0</v>
      </c>
      <c r="F386" s="186" t="s">
        <v>53</v>
      </c>
      <c r="G386" s="167">
        <v>3.0</v>
      </c>
      <c r="H386" s="182" t="s">
        <v>69</v>
      </c>
      <c r="I386" s="167">
        <v>5.0</v>
      </c>
      <c r="J386" s="183"/>
      <c r="K386" s="186"/>
      <c r="L386" s="184" t="s">
        <v>84</v>
      </c>
      <c r="M386" s="167">
        <v>8.0</v>
      </c>
      <c r="N386" s="184" t="s">
        <v>134</v>
      </c>
      <c r="O386" s="186">
        <v>2.0</v>
      </c>
      <c r="P386" s="182" t="s">
        <v>114</v>
      </c>
      <c r="Q386" s="186">
        <v>4.0</v>
      </c>
      <c r="R386" s="184" t="s">
        <v>107</v>
      </c>
      <c r="S386" s="186">
        <v>1.0</v>
      </c>
      <c r="T386" s="187"/>
      <c r="U386" s="200"/>
      <c r="V386" s="184" t="s">
        <v>32</v>
      </c>
      <c r="W386" s="186">
        <v>6.0</v>
      </c>
      <c r="X386" s="142">
        <v>1.0</v>
      </c>
      <c r="Y386" s="142">
        <v>1.0</v>
      </c>
      <c r="Z386" s="142">
        <v>1.0</v>
      </c>
      <c r="AA386" s="142">
        <v>1.0</v>
      </c>
      <c r="AB386" s="142">
        <v>1.0</v>
      </c>
      <c r="AC386" s="142">
        <v>1.0</v>
      </c>
      <c r="AD386" s="142">
        <v>1.0</v>
      </c>
      <c r="AE386" s="142">
        <v>1.0</v>
      </c>
      <c r="AF386" s="142">
        <v>8.0</v>
      </c>
      <c r="AG386" s="142">
        <v>0.0</v>
      </c>
      <c r="AH386" s="185" t="str">
        <f>IFERROR(__xludf.DUMMYFUNCTION("if($C386="""","""",if(join("" - "",{iferror(filter('Student Groupings'!$A:$A,'Student Groupings'!$B:$B=$C386,'Student Groupings'!$H:$H=""Can't be Together""),"""");iferror(filter('Student Groupings'!$A:$A,'Student Groupings'!$E:$E=$C386,'Student Groupings"&amp;"'!$H:$H=""Can't be Together""),"""")})="" - "","""",join("" - "",{iferror(filter('Student Groupings'!$A:$A,'Student Groupings'!$B:$B=$C386,'Student Groupings'!$H:$H=""Can't be Together""),"""");iferror(filter('Student Groupings'!$A:$A,'Student Groupings'!"&amp;"$E:$E=$C386,'Student Groupings'!$H:$H=""Can't be Together""),"""")})))"),"")</f>
        <v/>
      </c>
      <c r="AI386" s="185" t="str">
        <f>IFERROR(__xludf.DUMMYFUNCTION("if($C386="""","""",if(join("" - "",{iferror(filter('Student Groupings'!$A:$A,'Student Groupings'!$B:$B=$C386,'Student Groupings'!$H:$H=""Must be Together""),"""");iferror(filter('Student Groupings'!$A:$A,'Student Groupings'!$E:$E=$C386,'Student Groupings'"&amp;"!$H:$H=""Must be Together""),"""")})="" - "","""",join("" - "",{iferror(filter('Student Groupings'!$A:$A,'Student Groupings'!$B:$B=$C386,'Student Groupings'!$H:$H=""Must be Together""),"""");iferror(filter('Student Groupings'!$A:$A,'Student Groupings'!$E:"&amp;"$E=$C386,'Student Groupings'!$H:$H=""Must be Together""),"""")})))"),"")</f>
        <v/>
      </c>
    </row>
    <row r="387">
      <c r="A387" s="186">
        <v>12.0</v>
      </c>
      <c r="B387" s="182">
        <v>26156.0</v>
      </c>
      <c r="C387" s="183" t="s">
        <v>539</v>
      </c>
      <c r="D387" s="198" t="s">
        <v>38</v>
      </c>
      <c r="E387" s="181">
        <v>7.0</v>
      </c>
      <c r="F387" s="186" t="s">
        <v>53</v>
      </c>
      <c r="G387" s="186">
        <v>2.0</v>
      </c>
      <c r="H387" s="182" t="s">
        <v>69</v>
      </c>
      <c r="I387" s="186">
        <v>6.0</v>
      </c>
      <c r="J387" s="187"/>
      <c r="K387" s="200"/>
      <c r="L387" s="184" t="s">
        <v>85</v>
      </c>
      <c r="M387" s="186">
        <v>3.0</v>
      </c>
      <c r="N387" s="184" t="s">
        <v>134</v>
      </c>
      <c r="O387" s="186">
        <v>8.0</v>
      </c>
      <c r="P387" s="182" t="s">
        <v>114</v>
      </c>
      <c r="Q387" s="186">
        <v>1.0</v>
      </c>
      <c r="R387" s="184" t="s">
        <v>105</v>
      </c>
      <c r="S387" s="186">
        <v>5.0</v>
      </c>
      <c r="T387" s="187"/>
      <c r="U387" s="200"/>
      <c r="V387" s="184" t="s">
        <v>30</v>
      </c>
      <c r="W387" s="167">
        <v>4.0</v>
      </c>
      <c r="X387" s="142">
        <v>1.0</v>
      </c>
      <c r="Y387" s="142">
        <v>1.0</v>
      </c>
      <c r="Z387" s="142">
        <v>1.0</v>
      </c>
      <c r="AA387" s="142">
        <v>1.0</v>
      </c>
      <c r="AB387" s="142">
        <v>1.0</v>
      </c>
      <c r="AC387" s="142">
        <v>1.0</v>
      </c>
      <c r="AD387" s="142">
        <v>1.0</v>
      </c>
      <c r="AE387" s="142">
        <v>1.0</v>
      </c>
      <c r="AF387" s="142">
        <v>8.0</v>
      </c>
      <c r="AG387" s="142">
        <v>0.0</v>
      </c>
      <c r="AH387" s="185" t="str">
        <f>IFERROR(__xludf.DUMMYFUNCTION("if($C387="""","""",if(join("" - "",{iferror(filter('Student Groupings'!$A:$A,'Student Groupings'!$B:$B=$C387,'Student Groupings'!$H:$H=""Can't be Together""),"""");iferror(filter('Student Groupings'!$A:$A,'Student Groupings'!$E:$E=$C387,'Student Groupings"&amp;"'!$H:$H=""Can't be Together""),"""")})="" - "","""",join("" - "",{iferror(filter('Student Groupings'!$A:$A,'Student Groupings'!$B:$B=$C387,'Student Groupings'!$H:$H=""Can't be Together""),"""");iferror(filter('Student Groupings'!$A:$A,'Student Groupings'!"&amp;"$E:$E=$C387,'Student Groupings'!$H:$H=""Can't be Together""),"""")})))"),"")</f>
        <v/>
      </c>
      <c r="AI387" s="185" t="str">
        <f>IFERROR(__xludf.DUMMYFUNCTION("if($C387="""","""",if(join("" - "",{iferror(filter('Student Groupings'!$A:$A,'Student Groupings'!$B:$B=$C387,'Student Groupings'!$H:$H=""Must be Together""),"""");iferror(filter('Student Groupings'!$A:$A,'Student Groupings'!$E:$E=$C387,'Student Groupings'"&amp;"!$H:$H=""Must be Together""),"""")})="" - "","""",join("" - "",{iferror(filter('Student Groupings'!$A:$A,'Student Groupings'!$B:$B=$C387,'Student Groupings'!$H:$H=""Must be Together""),"""");iferror(filter('Student Groupings'!$A:$A,'Student Groupings'!$E:"&amp;"$E=$C387,'Student Groupings'!$H:$H=""Must be Together""),"""")})))"),"")</f>
        <v/>
      </c>
    </row>
    <row r="388">
      <c r="A388" s="186">
        <v>12.0</v>
      </c>
      <c r="B388" s="182">
        <v>26127.0</v>
      </c>
      <c r="C388" s="183" t="s">
        <v>540</v>
      </c>
      <c r="D388" s="198" t="s">
        <v>45</v>
      </c>
      <c r="E388" s="181">
        <v>8.0</v>
      </c>
      <c r="F388" s="186" t="s">
        <v>53</v>
      </c>
      <c r="G388" s="186">
        <v>3.0</v>
      </c>
      <c r="H388" s="182" t="s">
        <v>69</v>
      </c>
      <c r="I388" s="186">
        <v>5.0</v>
      </c>
      <c r="J388" s="187"/>
      <c r="K388" s="200"/>
      <c r="L388" s="184" t="s">
        <v>84</v>
      </c>
      <c r="M388" s="186">
        <v>2.0</v>
      </c>
      <c r="N388" s="184" t="s">
        <v>134</v>
      </c>
      <c r="O388" s="186">
        <v>1.0</v>
      </c>
      <c r="P388" s="182" t="s">
        <v>114</v>
      </c>
      <c r="Q388" s="186">
        <v>4.0</v>
      </c>
      <c r="R388" s="184" t="s">
        <v>107</v>
      </c>
      <c r="S388" s="186">
        <v>6.0</v>
      </c>
      <c r="T388" s="187"/>
      <c r="U388" s="200"/>
      <c r="V388" s="229" t="s">
        <v>34</v>
      </c>
      <c r="W388" s="167">
        <v>7.0</v>
      </c>
      <c r="X388" s="142">
        <v>1.0</v>
      </c>
      <c r="Y388" s="142">
        <v>1.0</v>
      </c>
      <c r="Z388" s="142">
        <v>1.0</v>
      </c>
      <c r="AA388" s="142">
        <v>1.0</v>
      </c>
      <c r="AB388" s="142">
        <v>1.0</v>
      </c>
      <c r="AC388" s="142">
        <v>1.0</v>
      </c>
      <c r="AD388" s="142">
        <v>1.0</v>
      </c>
      <c r="AE388" s="142">
        <v>1.0</v>
      </c>
      <c r="AF388" s="142">
        <v>8.0</v>
      </c>
      <c r="AG388" s="142">
        <v>0.0</v>
      </c>
      <c r="AH388" s="185" t="str">
        <f>IFERROR(__xludf.DUMMYFUNCTION("if($C388="""","""",if(join("" - "",{iferror(filter('Student Groupings'!$A:$A,'Student Groupings'!$B:$B=$C388,'Student Groupings'!$H:$H=""Can't be Together""),"""");iferror(filter('Student Groupings'!$A:$A,'Student Groupings'!$E:$E=$C388,'Student Groupings"&amp;"'!$H:$H=""Can't be Together""),"""")})="" - "","""",join("" - "",{iferror(filter('Student Groupings'!$A:$A,'Student Groupings'!$B:$B=$C388,'Student Groupings'!$H:$H=""Can't be Together""),"""");iferror(filter('Student Groupings'!$A:$A,'Student Groupings'!"&amp;"$E:$E=$C388,'Student Groupings'!$H:$H=""Can't be Together""),"""")})))"),"")</f>
        <v/>
      </c>
      <c r="AI388" s="185" t="str">
        <f>IFERROR(__xludf.DUMMYFUNCTION("if($C388="""","""",if(join("" - "",{iferror(filter('Student Groupings'!$A:$A,'Student Groupings'!$B:$B=$C388,'Student Groupings'!$H:$H=""Must be Together""),"""");iferror(filter('Student Groupings'!$A:$A,'Student Groupings'!$E:$E=$C388,'Student Groupings'"&amp;"!$H:$H=""Must be Together""),"""")})="" - "","""",join("" - "",{iferror(filter('Student Groupings'!$A:$A,'Student Groupings'!$B:$B=$C388,'Student Groupings'!$H:$H=""Must be Together""),"""");iferror(filter('Student Groupings'!$A:$A,'Student Groupings'!$E:"&amp;"$E=$C388,'Student Groupings'!$H:$H=""Must be Together""),"""")})))"),"93 - ")</f>
        <v>93 - </v>
      </c>
    </row>
    <row r="389">
      <c r="A389" s="186">
        <v>12.0</v>
      </c>
      <c r="B389" s="182">
        <v>26099.0</v>
      </c>
      <c r="C389" s="183" t="s">
        <v>541</v>
      </c>
      <c r="D389" s="198" t="s">
        <v>45</v>
      </c>
      <c r="E389" s="181">
        <v>1.0</v>
      </c>
      <c r="F389" s="186" t="s">
        <v>53</v>
      </c>
      <c r="G389" s="186">
        <v>3.0</v>
      </c>
      <c r="H389" s="182" t="s">
        <v>69</v>
      </c>
      <c r="I389" s="186">
        <v>6.0</v>
      </c>
      <c r="J389" s="187"/>
      <c r="K389" s="200"/>
      <c r="L389" s="184" t="s">
        <v>84</v>
      </c>
      <c r="M389" s="186">
        <v>2.0</v>
      </c>
      <c r="N389" s="184" t="s">
        <v>134</v>
      </c>
      <c r="O389" s="186">
        <v>4.0</v>
      </c>
      <c r="P389" s="182" t="s">
        <v>114</v>
      </c>
      <c r="Q389" s="186">
        <v>8.0</v>
      </c>
      <c r="R389" s="184" t="s">
        <v>107</v>
      </c>
      <c r="S389" s="186">
        <v>7.0</v>
      </c>
      <c r="T389" s="187"/>
      <c r="U389" s="200"/>
      <c r="V389" s="182" t="s">
        <v>82</v>
      </c>
      <c r="W389" s="186">
        <v>5.0</v>
      </c>
      <c r="X389" s="142">
        <v>1.0</v>
      </c>
      <c r="Y389" s="142">
        <v>1.0</v>
      </c>
      <c r="Z389" s="142">
        <v>1.0</v>
      </c>
      <c r="AA389" s="142">
        <v>1.0</v>
      </c>
      <c r="AB389" s="142">
        <v>1.0</v>
      </c>
      <c r="AC389" s="142">
        <v>1.0</v>
      </c>
      <c r="AD389" s="142">
        <v>1.0</v>
      </c>
      <c r="AE389" s="142">
        <v>1.0</v>
      </c>
      <c r="AF389" s="142">
        <v>8.0</v>
      </c>
      <c r="AG389" s="142">
        <v>0.0</v>
      </c>
      <c r="AH389" s="185" t="str">
        <f>IFERROR(__xludf.DUMMYFUNCTION("if($C389="""","""",if(join("" - "",{iferror(filter('Student Groupings'!$A:$A,'Student Groupings'!$B:$B=$C389,'Student Groupings'!$H:$H=""Can't be Together""),"""");iferror(filter('Student Groupings'!$A:$A,'Student Groupings'!$E:$E=$C389,'Student Groupings"&amp;"'!$H:$H=""Can't be Together""),"""")})="" - "","""",join("" - "",{iferror(filter('Student Groupings'!$A:$A,'Student Groupings'!$B:$B=$C389,'Student Groupings'!$H:$H=""Can't be Together""),"""");iferror(filter('Student Groupings'!$A:$A,'Student Groupings'!"&amp;"$E:$E=$C389,'Student Groupings'!$H:$H=""Can't be Together""),"""")})))"),"")</f>
        <v/>
      </c>
      <c r="AI389" s="185" t="str">
        <f>IFERROR(__xludf.DUMMYFUNCTION("if($C389="""","""",if(join("" - "",{iferror(filter('Student Groupings'!$A:$A,'Student Groupings'!$B:$B=$C389,'Student Groupings'!$H:$H=""Must be Together""),"""");iferror(filter('Student Groupings'!$A:$A,'Student Groupings'!$E:$E=$C389,'Student Groupings'"&amp;"!$H:$H=""Must be Together""),"""")})="" - "","""",join("" - "",{iferror(filter('Student Groupings'!$A:$A,'Student Groupings'!$B:$B=$C389,'Student Groupings'!$H:$H=""Must be Together""),"""");iferror(filter('Student Groupings'!$A:$A,'Student Groupings'!$E:"&amp;"$E=$C389,'Student Groupings'!$H:$H=""Must be Together""),"""")})))"),"")</f>
        <v/>
      </c>
    </row>
    <row r="390">
      <c r="A390" s="186">
        <v>12.0</v>
      </c>
      <c r="B390" s="182">
        <v>26043.0</v>
      </c>
      <c r="C390" s="183" t="s">
        <v>542</v>
      </c>
      <c r="D390" s="198" t="s">
        <v>45</v>
      </c>
      <c r="E390" s="181">
        <v>1.0</v>
      </c>
      <c r="F390" s="186" t="s">
        <v>53</v>
      </c>
      <c r="G390" s="186">
        <v>5.0</v>
      </c>
      <c r="H390" s="182" t="s">
        <v>74</v>
      </c>
      <c r="I390" s="167">
        <v>7.0</v>
      </c>
      <c r="J390" s="183"/>
      <c r="K390" s="167"/>
      <c r="L390" s="184" t="s">
        <v>84</v>
      </c>
      <c r="M390" s="186">
        <v>8.0</v>
      </c>
      <c r="N390" s="184" t="s">
        <v>134</v>
      </c>
      <c r="O390" s="186">
        <v>4.0</v>
      </c>
      <c r="P390" s="182" t="s">
        <v>114</v>
      </c>
      <c r="Q390" s="186">
        <v>3.0</v>
      </c>
      <c r="R390" s="184" t="s">
        <v>101</v>
      </c>
      <c r="S390" s="186">
        <v>6.0</v>
      </c>
      <c r="T390" s="187"/>
      <c r="U390" s="200"/>
      <c r="V390" s="230" t="s">
        <v>132</v>
      </c>
      <c r="W390" s="167">
        <v>2.0</v>
      </c>
      <c r="X390" s="142">
        <v>1.0</v>
      </c>
      <c r="Y390" s="142">
        <v>1.0</v>
      </c>
      <c r="Z390" s="142">
        <v>1.0</v>
      </c>
      <c r="AA390" s="142">
        <v>1.0</v>
      </c>
      <c r="AB390" s="142">
        <v>1.0</v>
      </c>
      <c r="AC390" s="142">
        <v>1.0</v>
      </c>
      <c r="AD390" s="142">
        <v>1.0</v>
      </c>
      <c r="AE390" s="142">
        <v>1.0</v>
      </c>
      <c r="AF390" s="142">
        <v>8.0</v>
      </c>
      <c r="AG390" s="142">
        <v>0.0</v>
      </c>
      <c r="AH390" s="185" t="str">
        <f>IFERROR(__xludf.DUMMYFUNCTION("if($C390="""","""",if(join("" - "",{iferror(filter('Student Groupings'!$A:$A,'Student Groupings'!$B:$B=$C390,'Student Groupings'!$H:$H=""Can't be Together""),"""");iferror(filter('Student Groupings'!$A:$A,'Student Groupings'!$E:$E=$C390,'Student Groupings"&amp;"'!$H:$H=""Can't be Together""),"""")})="" - "","""",join("" - "",{iferror(filter('Student Groupings'!$A:$A,'Student Groupings'!$B:$B=$C390,'Student Groupings'!$H:$H=""Can't be Together""),"""");iferror(filter('Student Groupings'!$A:$A,'Student Groupings'!"&amp;"$E:$E=$C390,'Student Groupings'!$H:$H=""Can't be Together""),"""")})))"),"")</f>
        <v/>
      </c>
      <c r="AI390" s="185" t="str">
        <f>IFERROR(__xludf.DUMMYFUNCTION("if($C390="""","""",if(join("" - "",{iferror(filter('Student Groupings'!$A:$A,'Student Groupings'!$B:$B=$C390,'Student Groupings'!$H:$H=""Must be Together""),"""");iferror(filter('Student Groupings'!$A:$A,'Student Groupings'!$E:$E=$C390,'Student Groupings'"&amp;"!$H:$H=""Must be Together""),"""")})="" - "","""",join("" - "",{iferror(filter('Student Groupings'!$A:$A,'Student Groupings'!$B:$B=$C390,'Student Groupings'!$H:$H=""Must be Together""),"""");iferror(filter('Student Groupings'!$A:$A,'Student Groupings'!$E:"&amp;"$E=$C390,'Student Groupings'!$H:$H=""Must be Together""),"""")})))"),"")</f>
        <v/>
      </c>
    </row>
    <row r="391">
      <c r="A391" s="186">
        <v>12.0</v>
      </c>
      <c r="B391" s="182">
        <v>26081.0</v>
      </c>
      <c r="C391" s="183" t="s">
        <v>543</v>
      </c>
      <c r="D391" s="198" t="s">
        <v>45</v>
      </c>
      <c r="E391" s="181">
        <v>8.0</v>
      </c>
      <c r="F391" s="186" t="s">
        <v>53</v>
      </c>
      <c r="G391" s="186">
        <v>7.0</v>
      </c>
      <c r="H391" s="182" t="s">
        <v>69</v>
      </c>
      <c r="I391" s="186">
        <v>1.0</v>
      </c>
      <c r="J391" s="183"/>
      <c r="K391" s="167"/>
      <c r="L391" s="184" t="s">
        <v>84</v>
      </c>
      <c r="M391" s="186">
        <v>2.0</v>
      </c>
      <c r="N391" s="184" t="s">
        <v>134</v>
      </c>
      <c r="O391" s="186">
        <v>4.0</v>
      </c>
      <c r="P391" s="182" t="s">
        <v>114</v>
      </c>
      <c r="Q391" s="186">
        <v>3.0</v>
      </c>
      <c r="R391" s="184" t="s">
        <v>101</v>
      </c>
      <c r="S391" s="186">
        <v>5.0</v>
      </c>
      <c r="T391" s="187"/>
      <c r="U391" s="200"/>
      <c r="V391" s="184" t="s">
        <v>23</v>
      </c>
      <c r="W391" s="186">
        <v>6.0</v>
      </c>
      <c r="X391" s="142">
        <v>1.0</v>
      </c>
      <c r="Y391" s="142">
        <v>1.0</v>
      </c>
      <c r="Z391" s="142">
        <v>1.0</v>
      </c>
      <c r="AA391" s="142">
        <v>1.0</v>
      </c>
      <c r="AB391" s="142">
        <v>1.0</v>
      </c>
      <c r="AC391" s="142">
        <v>1.0</v>
      </c>
      <c r="AD391" s="142">
        <v>1.0</v>
      </c>
      <c r="AE391" s="142">
        <v>1.0</v>
      </c>
      <c r="AF391" s="142">
        <v>8.0</v>
      </c>
      <c r="AG391" s="142">
        <v>0.0</v>
      </c>
      <c r="AH391" s="185" t="str">
        <f>IFERROR(__xludf.DUMMYFUNCTION("if($C391="""","""",if(join("" - "",{iferror(filter('Student Groupings'!$A:$A,'Student Groupings'!$B:$B=$C391,'Student Groupings'!$H:$H=""Can't be Together""),"""");iferror(filter('Student Groupings'!$A:$A,'Student Groupings'!$E:$E=$C391,'Student Groupings"&amp;"'!$H:$H=""Can't be Together""),"""")})="" - "","""",join("" - "",{iferror(filter('Student Groupings'!$A:$A,'Student Groupings'!$B:$B=$C391,'Student Groupings'!$H:$H=""Can't be Together""),"""");iferror(filter('Student Groupings'!$A:$A,'Student Groupings'!"&amp;"$E:$E=$C391,'Student Groupings'!$H:$H=""Can't be Together""),"""")})))"),"")</f>
        <v/>
      </c>
      <c r="AI391" s="185" t="str">
        <f>IFERROR(__xludf.DUMMYFUNCTION("if($C391="""","""",if(join("" - "",{iferror(filter('Student Groupings'!$A:$A,'Student Groupings'!$B:$B=$C391,'Student Groupings'!$H:$H=""Must be Together""),"""");iferror(filter('Student Groupings'!$A:$A,'Student Groupings'!$E:$E=$C391,'Student Groupings'"&amp;"!$H:$H=""Must be Together""),"""")})="" - "","""",join("" - "",{iferror(filter('Student Groupings'!$A:$A,'Student Groupings'!$B:$B=$C391,'Student Groupings'!$H:$H=""Must be Together""),"""");iferror(filter('Student Groupings'!$A:$A,'Student Groupings'!$E:"&amp;"$E=$C391,'Student Groupings'!$H:$H=""Must be Together""),"""")})))")," - 93 - 109")</f>
        <v> - 93 - 109</v>
      </c>
    </row>
    <row r="392">
      <c r="A392" s="186">
        <v>12.0</v>
      </c>
      <c r="B392" s="182">
        <v>26115.0</v>
      </c>
      <c r="C392" s="183" t="s">
        <v>544</v>
      </c>
      <c r="D392" s="198" t="s">
        <v>38</v>
      </c>
      <c r="E392" s="181">
        <v>7.0</v>
      </c>
      <c r="F392" s="186" t="s">
        <v>53</v>
      </c>
      <c r="G392" s="186">
        <v>3.0</v>
      </c>
      <c r="H392" s="182" t="s">
        <v>69</v>
      </c>
      <c r="I392" s="167">
        <v>6.0</v>
      </c>
      <c r="J392" s="183"/>
      <c r="K392" s="167"/>
      <c r="L392" s="184" t="s">
        <v>84</v>
      </c>
      <c r="M392" s="186">
        <v>2.0</v>
      </c>
      <c r="N392" s="184" t="s">
        <v>134</v>
      </c>
      <c r="O392" s="167">
        <v>1.0</v>
      </c>
      <c r="P392" s="182" t="s">
        <v>114</v>
      </c>
      <c r="Q392" s="186">
        <v>8.0</v>
      </c>
      <c r="R392" s="184" t="s">
        <v>105</v>
      </c>
      <c r="S392" s="186">
        <v>4.0</v>
      </c>
      <c r="T392" s="187"/>
      <c r="U392" s="200"/>
      <c r="V392" s="184" t="s">
        <v>82</v>
      </c>
      <c r="W392" s="167">
        <v>5.0</v>
      </c>
      <c r="X392" s="142">
        <v>1.0</v>
      </c>
      <c r="Y392" s="142">
        <v>1.0</v>
      </c>
      <c r="Z392" s="142">
        <v>1.0</v>
      </c>
      <c r="AA392" s="142">
        <v>1.0</v>
      </c>
      <c r="AB392" s="142">
        <v>1.0</v>
      </c>
      <c r="AC392" s="142">
        <v>1.0</v>
      </c>
      <c r="AD392" s="142">
        <v>1.0</v>
      </c>
      <c r="AE392" s="142">
        <v>1.0</v>
      </c>
      <c r="AF392" s="142">
        <v>8.0</v>
      </c>
      <c r="AG392" s="142">
        <v>0.0</v>
      </c>
      <c r="AH392" s="185" t="str">
        <f>IFERROR(__xludf.DUMMYFUNCTION("if($C392="""","""",if(join("" - "",{iferror(filter('Student Groupings'!$A:$A,'Student Groupings'!$B:$B=$C392,'Student Groupings'!$H:$H=""Can't be Together""),"""");iferror(filter('Student Groupings'!$A:$A,'Student Groupings'!$E:$E=$C392,'Student Groupings"&amp;"'!$H:$H=""Can't be Together""),"""")})="" - "","""",join("" - "",{iferror(filter('Student Groupings'!$A:$A,'Student Groupings'!$B:$B=$C392,'Student Groupings'!$H:$H=""Can't be Together""),"""");iferror(filter('Student Groupings'!$A:$A,'Student Groupings'!"&amp;"$E:$E=$C392,'Student Groupings'!$H:$H=""Can't be Together""),"""")})))"),"")</f>
        <v/>
      </c>
      <c r="AI392" s="185" t="str">
        <f>IFERROR(__xludf.DUMMYFUNCTION("if($C392="""","""",if(join("" - "",{iferror(filter('Student Groupings'!$A:$A,'Student Groupings'!$B:$B=$C392,'Student Groupings'!$H:$H=""Must be Together""),"""");iferror(filter('Student Groupings'!$A:$A,'Student Groupings'!$E:$E=$C392,'Student Groupings'"&amp;"!$H:$H=""Must be Together""),"""")})="" - "","""",join("" - "",{iferror(filter('Student Groupings'!$A:$A,'Student Groupings'!$B:$B=$C392,'Student Groupings'!$H:$H=""Must be Together""),"""");iferror(filter('Student Groupings'!$A:$A,'Student Groupings'!$E:"&amp;"$E=$C392,'Student Groupings'!$H:$H=""Must be Together""),"""")})))"),"")</f>
        <v/>
      </c>
    </row>
    <row r="393">
      <c r="A393" s="222">
        <v>12.0</v>
      </c>
      <c r="B393" s="223">
        <v>26069.0</v>
      </c>
      <c r="C393" s="226" t="s">
        <v>545</v>
      </c>
      <c r="D393" s="231" t="s">
        <v>49</v>
      </c>
      <c r="E393" s="232">
        <v>3.0</v>
      </c>
      <c r="F393" s="222" t="s">
        <v>53</v>
      </c>
      <c r="G393" s="222">
        <v>2.0</v>
      </c>
      <c r="H393" s="223" t="s">
        <v>82</v>
      </c>
      <c r="I393" s="222">
        <v>7.0</v>
      </c>
      <c r="J393" s="233"/>
      <c r="K393" s="234"/>
      <c r="L393" s="235" t="s">
        <v>93</v>
      </c>
      <c r="M393" s="222">
        <v>5.0</v>
      </c>
      <c r="N393" s="235" t="s">
        <v>134</v>
      </c>
      <c r="O393" s="195">
        <v>6.0</v>
      </c>
      <c r="P393" s="235" t="s">
        <v>126</v>
      </c>
      <c r="Q393" s="222">
        <v>1.0</v>
      </c>
      <c r="R393" s="235" t="s">
        <v>107</v>
      </c>
      <c r="S393" s="222">
        <v>8.0</v>
      </c>
      <c r="T393" s="226"/>
      <c r="U393" s="195"/>
      <c r="V393" s="191" t="s">
        <v>56</v>
      </c>
      <c r="W393" s="222">
        <v>4.0</v>
      </c>
      <c r="X393" s="236">
        <v>1.0</v>
      </c>
      <c r="Y393" s="236">
        <v>1.0</v>
      </c>
      <c r="Z393" s="236">
        <v>1.0</v>
      </c>
      <c r="AA393" s="236">
        <v>1.0</v>
      </c>
      <c r="AB393" s="236">
        <v>1.0</v>
      </c>
      <c r="AC393" s="236">
        <v>1.0</v>
      </c>
      <c r="AD393" s="236">
        <v>1.0</v>
      </c>
      <c r="AE393" s="236">
        <v>1.0</v>
      </c>
      <c r="AF393" s="236">
        <v>8.0</v>
      </c>
      <c r="AG393" s="236">
        <v>0.0</v>
      </c>
      <c r="AH393" s="237" t="str">
        <f>IFERROR(__xludf.DUMMYFUNCTION("if($C393="""","""",if(join("" - "",{iferror(filter('Student Groupings'!$A:$A,'Student Groupings'!$B:$B=$C393,'Student Groupings'!$H:$H=""Can't be Together""),"""");iferror(filter('Student Groupings'!$A:$A,'Student Groupings'!$E:$E=$C393,'Student Groupings"&amp;"'!$H:$H=""Can't be Together""),"""")})="" - "","""",join("" - "",{iferror(filter('Student Groupings'!$A:$A,'Student Groupings'!$B:$B=$C393,'Student Groupings'!$H:$H=""Can't be Together""),"""");iferror(filter('Student Groupings'!$A:$A,'Student Groupings'!"&amp;"$E:$E=$C393,'Student Groupings'!$H:$H=""Can't be Together""),"""")})))"),"")</f>
        <v/>
      </c>
      <c r="AI393" s="237" t="str">
        <f>IFERROR(__xludf.DUMMYFUNCTION("if($C393="""","""",if(join("" - "",{iferror(filter('Student Groupings'!$A:$A,'Student Groupings'!$B:$B=$C393,'Student Groupings'!$H:$H=""Must be Together""),"""");iferror(filter('Student Groupings'!$A:$A,'Student Groupings'!$E:$E=$C393,'Student Groupings'"&amp;"!$H:$H=""Must be Together""),"""")})="" - "","""",join("" - "",{iferror(filter('Student Groupings'!$A:$A,'Student Groupings'!$B:$B=$C393,'Student Groupings'!$H:$H=""Must be Together""),"""");iferror(filter('Student Groupings'!$A:$A,'Student Groupings'!$E:"&amp;"$E=$C393,'Student Groupings'!$H:$H=""Must be Together""),"""")})))"),"")</f>
        <v/>
      </c>
    </row>
    <row r="394">
      <c r="A394" s="186">
        <v>12.0</v>
      </c>
      <c r="B394" s="182">
        <v>26103.0</v>
      </c>
      <c r="C394" s="183" t="s">
        <v>546</v>
      </c>
      <c r="D394" s="198" t="s">
        <v>45</v>
      </c>
      <c r="E394" s="181">
        <v>1.0</v>
      </c>
      <c r="F394" s="186" t="s">
        <v>53</v>
      </c>
      <c r="G394" s="186">
        <v>7.0</v>
      </c>
      <c r="H394" s="182" t="s">
        <v>69</v>
      </c>
      <c r="I394" s="167">
        <v>5.0</v>
      </c>
      <c r="J394" s="183"/>
      <c r="K394" s="167"/>
      <c r="L394" s="184" t="s">
        <v>84</v>
      </c>
      <c r="M394" s="186">
        <v>6.0</v>
      </c>
      <c r="N394" s="184" t="s">
        <v>134</v>
      </c>
      <c r="O394" s="186">
        <v>8.0</v>
      </c>
      <c r="P394" s="182" t="s">
        <v>114</v>
      </c>
      <c r="Q394" s="167">
        <v>4.0</v>
      </c>
      <c r="R394" s="184" t="s">
        <v>107</v>
      </c>
      <c r="S394" s="186">
        <v>3.0</v>
      </c>
      <c r="T394" s="187"/>
      <c r="U394" s="200"/>
      <c r="V394" s="184" t="s">
        <v>23</v>
      </c>
      <c r="W394" s="186">
        <v>2.0</v>
      </c>
      <c r="X394" s="142">
        <v>1.0</v>
      </c>
      <c r="Y394" s="142">
        <v>1.0</v>
      </c>
      <c r="Z394" s="142">
        <v>1.0</v>
      </c>
      <c r="AA394" s="142">
        <v>1.0</v>
      </c>
      <c r="AB394" s="142">
        <v>1.0</v>
      </c>
      <c r="AC394" s="142">
        <v>1.0</v>
      </c>
      <c r="AD394" s="142">
        <v>1.0</v>
      </c>
      <c r="AE394" s="142">
        <v>1.0</v>
      </c>
      <c r="AF394" s="142">
        <v>8.0</v>
      </c>
      <c r="AG394" s="142">
        <v>0.0</v>
      </c>
      <c r="AH394" s="185" t="str">
        <f>IFERROR(__xludf.DUMMYFUNCTION("if($C394="""","""",if(join("" - "",{iferror(filter('Student Groupings'!$A:$A,'Student Groupings'!$B:$B=$C394,'Student Groupings'!$H:$H=""Can't be Together""),"""");iferror(filter('Student Groupings'!$A:$A,'Student Groupings'!$E:$E=$C394,'Student Groupings"&amp;"'!$H:$H=""Can't be Together""),"""")})="" - "","""",join("" - "",{iferror(filter('Student Groupings'!$A:$A,'Student Groupings'!$B:$B=$C394,'Student Groupings'!$H:$H=""Can't be Together""),"""");iferror(filter('Student Groupings'!$A:$A,'Student Groupings'!"&amp;"$E:$E=$C394,'Student Groupings'!$H:$H=""Can't be Together""),"""")})))"),"")</f>
        <v/>
      </c>
      <c r="AI394" s="185" t="str">
        <f>IFERROR(__xludf.DUMMYFUNCTION("if($C394="""","""",if(join("" - "",{iferror(filter('Student Groupings'!$A:$A,'Student Groupings'!$B:$B=$C394,'Student Groupings'!$H:$H=""Must be Together""),"""");iferror(filter('Student Groupings'!$A:$A,'Student Groupings'!$E:$E=$C394,'Student Groupings'"&amp;"!$H:$H=""Must be Together""),"""")})="" - "","""",join("" - "",{iferror(filter('Student Groupings'!$A:$A,'Student Groupings'!$B:$B=$C394,'Student Groupings'!$H:$H=""Must be Together""),"""");iferror(filter('Student Groupings'!$A:$A,'Student Groupings'!$E:"&amp;"$E=$C394,'Student Groupings'!$H:$H=""Must be Together""),"""")})))"),"")</f>
        <v/>
      </c>
    </row>
    <row r="395">
      <c r="A395" s="186">
        <v>12.0</v>
      </c>
      <c r="B395" s="182">
        <v>26163.0</v>
      </c>
      <c r="C395" s="183" t="s">
        <v>547</v>
      </c>
      <c r="D395" s="198" t="s">
        <v>46</v>
      </c>
      <c r="E395" s="181">
        <v>4.0</v>
      </c>
      <c r="F395" s="186" t="s">
        <v>53</v>
      </c>
      <c r="G395" s="186">
        <v>5.0</v>
      </c>
      <c r="H395" s="182" t="s">
        <v>82</v>
      </c>
      <c r="I395" s="186">
        <v>7.0</v>
      </c>
      <c r="J395" s="187"/>
      <c r="K395" s="200"/>
      <c r="L395" s="184" t="s">
        <v>93</v>
      </c>
      <c r="M395" s="186">
        <v>3.0</v>
      </c>
      <c r="N395" s="184" t="s">
        <v>134</v>
      </c>
      <c r="O395" s="186">
        <v>6.0</v>
      </c>
      <c r="P395" s="184" t="s">
        <v>126</v>
      </c>
      <c r="Q395" s="167">
        <v>1.0</v>
      </c>
      <c r="R395" s="184" t="s">
        <v>108</v>
      </c>
      <c r="S395" s="186">
        <v>2.0</v>
      </c>
      <c r="T395" s="187"/>
      <c r="U395" s="200"/>
      <c r="V395" s="238" t="s">
        <v>45</v>
      </c>
      <c r="W395" s="186">
        <v>8.0</v>
      </c>
      <c r="X395" s="142">
        <v>1.0</v>
      </c>
      <c r="Y395" s="142">
        <v>1.0</v>
      </c>
      <c r="Z395" s="142">
        <v>1.0</v>
      </c>
      <c r="AA395" s="142">
        <v>1.0</v>
      </c>
      <c r="AB395" s="142">
        <v>1.0</v>
      </c>
      <c r="AC395" s="142">
        <v>1.0</v>
      </c>
      <c r="AD395" s="142">
        <v>1.0</v>
      </c>
      <c r="AE395" s="142">
        <v>1.0</v>
      </c>
      <c r="AF395" s="142">
        <v>8.0</v>
      </c>
      <c r="AG395" s="142">
        <v>0.0</v>
      </c>
      <c r="AH395" s="185" t="str">
        <f>IFERROR(__xludf.DUMMYFUNCTION("if($C395="""","""",if(join("" - "",{iferror(filter('Student Groupings'!$A:$A,'Student Groupings'!$B:$B=$C395,'Student Groupings'!$H:$H=""Can't be Together""),"""");iferror(filter('Student Groupings'!$A:$A,'Student Groupings'!$E:$E=$C395,'Student Groupings"&amp;"'!$H:$H=""Can't be Together""),"""")})="" - "","""",join("" - "",{iferror(filter('Student Groupings'!$A:$A,'Student Groupings'!$B:$B=$C395,'Student Groupings'!$H:$H=""Can't be Together""),"""");iferror(filter('Student Groupings'!$A:$A,'Student Groupings'!"&amp;"$E:$E=$C395,'Student Groupings'!$H:$H=""Can't be Together""),"""")})))"),"")</f>
        <v/>
      </c>
      <c r="AI395" s="185" t="str">
        <f>IFERROR(__xludf.DUMMYFUNCTION("if($C395="""","""",if(join("" - "",{iferror(filter('Student Groupings'!$A:$A,'Student Groupings'!$B:$B=$C395,'Student Groupings'!$H:$H=""Must be Together""),"""");iferror(filter('Student Groupings'!$A:$A,'Student Groupings'!$E:$E=$C395,'Student Groupings'"&amp;"!$H:$H=""Must be Together""),"""")})="" - "","""",join("" - "",{iferror(filter('Student Groupings'!$A:$A,'Student Groupings'!$B:$B=$C395,'Student Groupings'!$H:$H=""Must be Together""),"""");iferror(filter('Student Groupings'!$A:$A,'Student Groupings'!$E:"&amp;"$E=$C395,'Student Groupings'!$H:$H=""Must be Together""),"""")})))"),"")</f>
        <v/>
      </c>
    </row>
    <row r="396">
      <c r="A396" s="186">
        <v>12.0</v>
      </c>
      <c r="B396" s="182">
        <v>26118.0</v>
      </c>
      <c r="C396" s="183" t="s">
        <v>548</v>
      </c>
      <c r="D396" s="198" t="s">
        <v>45</v>
      </c>
      <c r="E396" s="181">
        <v>8.0</v>
      </c>
      <c r="F396" s="186" t="s">
        <v>53</v>
      </c>
      <c r="G396" s="186">
        <v>3.0</v>
      </c>
      <c r="H396" s="182" t="s">
        <v>74</v>
      </c>
      <c r="I396" s="186">
        <v>7.0</v>
      </c>
      <c r="J396" s="187"/>
      <c r="K396" s="200"/>
      <c r="L396" s="184" t="s">
        <v>96</v>
      </c>
      <c r="M396" s="186">
        <v>5.0</v>
      </c>
      <c r="N396" s="184" t="s">
        <v>134</v>
      </c>
      <c r="O396" s="167">
        <v>2.0</v>
      </c>
      <c r="P396" s="182" t="s">
        <v>114</v>
      </c>
      <c r="Q396" s="186">
        <v>1.0</v>
      </c>
      <c r="R396" s="184" t="s">
        <v>107</v>
      </c>
      <c r="S396" s="186">
        <v>6.0</v>
      </c>
      <c r="T396" s="187"/>
      <c r="U396" s="200"/>
      <c r="V396" s="184" t="s">
        <v>86</v>
      </c>
      <c r="W396" s="186">
        <v>4.0</v>
      </c>
      <c r="X396" s="142">
        <v>1.0</v>
      </c>
      <c r="Y396" s="142">
        <v>1.0</v>
      </c>
      <c r="Z396" s="142">
        <v>1.0</v>
      </c>
      <c r="AA396" s="142">
        <v>1.0</v>
      </c>
      <c r="AB396" s="142">
        <v>1.0</v>
      </c>
      <c r="AC396" s="142">
        <v>1.0</v>
      </c>
      <c r="AD396" s="142">
        <v>1.0</v>
      </c>
      <c r="AE396" s="142">
        <v>1.0</v>
      </c>
      <c r="AF396" s="142">
        <v>8.0</v>
      </c>
      <c r="AG396" s="142">
        <v>0.0</v>
      </c>
      <c r="AH396" s="185" t="str">
        <f>IFERROR(__xludf.DUMMYFUNCTION("if($C396="""","""",if(join("" - "",{iferror(filter('Student Groupings'!$A:$A,'Student Groupings'!$B:$B=$C396,'Student Groupings'!$H:$H=""Can't be Together""),"""");iferror(filter('Student Groupings'!$A:$A,'Student Groupings'!$E:$E=$C396,'Student Groupings"&amp;"'!$H:$H=""Can't be Together""),"""")})="" - "","""",join("" - "",{iferror(filter('Student Groupings'!$A:$A,'Student Groupings'!$B:$B=$C396,'Student Groupings'!$H:$H=""Can't be Together""),"""");iferror(filter('Student Groupings'!$A:$A,'Student Groupings'!"&amp;"$E:$E=$C396,'Student Groupings'!$H:$H=""Can't be Together""),"""")})))"),"")</f>
        <v/>
      </c>
      <c r="AI396" s="185" t="str">
        <f>IFERROR(__xludf.DUMMYFUNCTION("if($C396="""","""",if(join("" - "",{iferror(filter('Student Groupings'!$A:$A,'Student Groupings'!$B:$B=$C396,'Student Groupings'!$H:$H=""Must be Together""),"""");iferror(filter('Student Groupings'!$A:$A,'Student Groupings'!$E:$E=$C396,'Student Groupings'"&amp;"!$H:$H=""Must be Together""),"""")})="" - "","""",join("" - "",{iferror(filter('Student Groupings'!$A:$A,'Student Groupings'!$B:$B=$C396,'Student Groupings'!$H:$H=""Must be Together""),"""");iferror(filter('Student Groupings'!$A:$A,'Student Groupings'!$E:"&amp;"$E=$C396,'Student Groupings'!$H:$H=""Must be Together""),"""")})))"),"")</f>
        <v/>
      </c>
    </row>
    <row r="397">
      <c r="A397" s="186">
        <v>12.0</v>
      </c>
      <c r="B397" s="182">
        <v>26112.0</v>
      </c>
      <c r="C397" s="183" t="s">
        <v>549</v>
      </c>
      <c r="D397" s="198" t="s">
        <v>38</v>
      </c>
      <c r="E397" s="181">
        <v>7.0</v>
      </c>
      <c r="F397" s="186" t="s">
        <v>53</v>
      </c>
      <c r="G397" s="186">
        <v>5.0</v>
      </c>
      <c r="H397" s="182" t="s">
        <v>69</v>
      </c>
      <c r="I397" s="186">
        <v>1.0</v>
      </c>
      <c r="J397" s="187"/>
      <c r="K397" s="200"/>
      <c r="L397" s="184" t="s">
        <v>84</v>
      </c>
      <c r="M397" s="186">
        <v>6.0</v>
      </c>
      <c r="N397" s="184" t="s">
        <v>134</v>
      </c>
      <c r="O397" s="167">
        <v>2.0</v>
      </c>
      <c r="P397" s="182" t="s">
        <v>114</v>
      </c>
      <c r="Q397" s="167">
        <v>3.0</v>
      </c>
      <c r="R397" s="184" t="s">
        <v>109</v>
      </c>
      <c r="S397" s="186">
        <v>4.0</v>
      </c>
      <c r="T397" s="183"/>
      <c r="U397" s="167"/>
      <c r="V397" s="184" t="s">
        <v>27</v>
      </c>
      <c r="W397" s="180">
        <v>8.0</v>
      </c>
      <c r="X397" s="142">
        <v>1.0</v>
      </c>
      <c r="Y397" s="142">
        <v>1.0</v>
      </c>
      <c r="Z397" s="142">
        <v>1.0</v>
      </c>
      <c r="AA397" s="142">
        <v>1.0</v>
      </c>
      <c r="AB397" s="142">
        <v>1.0</v>
      </c>
      <c r="AC397" s="142">
        <v>1.0</v>
      </c>
      <c r="AD397" s="142">
        <v>1.0</v>
      </c>
      <c r="AE397" s="142">
        <v>1.0</v>
      </c>
      <c r="AF397" s="142">
        <v>8.0</v>
      </c>
      <c r="AG397" s="142">
        <v>0.0</v>
      </c>
      <c r="AH397" s="185" t="str">
        <f>IFERROR(__xludf.DUMMYFUNCTION("if($C397="""","""",if(join("" - "",{iferror(filter('Student Groupings'!$A:$A,'Student Groupings'!$B:$B=$C397,'Student Groupings'!$H:$H=""Can't be Together""),"""");iferror(filter('Student Groupings'!$A:$A,'Student Groupings'!$E:$E=$C397,'Student Groupings"&amp;"'!$H:$H=""Can't be Together""),"""")})="" - "","""",join("" - "",{iferror(filter('Student Groupings'!$A:$A,'Student Groupings'!$B:$B=$C397,'Student Groupings'!$H:$H=""Can't be Together""),"""");iferror(filter('Student Groupings'!$A:$A,'Student Groupings'!"&amp;"$E:$E=$C397,'Student Groupings'!$H:$H=""Can't be Together""),"""")})))"),"")</f>
        <v/>
      </c>
      <c r="AI397" s="185" t="str">
        <f>IFERROR(__xludf.DUMMYFUNCTION("if($C397="""","""",if(join("" - "",{iferror(filter('Student Groupings'!$A:$A,'Student Groupings'!$B:$B=$C397,'Student Groupings'!$H:$H=""Must be Together""),"""");iferror(filter('Student Groupings'!$A:$A,'Student Groupings'!$E:$E=$C397,'Student Groupings'"&amp;"!$H:$H=""Must be Together""),"""")})="" - "","""",join("" - "",{iferror(filter('Student Groupings'!$A:$A,'Student Groupings'!$B:$B=$C397,'Student Groupings'!$H:$H=""Must be Together""),"""");iferror(filter('Student Groupings'!$A:$A,'Student Groupings'!$E:"&amp;"$E=$C397,'Student Groupings'!$H:$H=""Must be Together""),"""")})))"),"")</f>
        <v/>
      </c>
    </row>
    <row r="398">
      <c r="A398" s="186">
        <v>12.0</v>
      </c>
      <c r="B398" s="182">
        <v>26006.0</v>
      </c>
      <c r="C398" s="183" t="s">
        <v>550</v>
      </c>
      <c r="D398" s="198" t="s">
        <v>45</v>
      </c>
      <c r="E398" s="181">
        <v>7.0</v>
      </c>
      <c r="F398" s="186" t="s">
        <v>53</v>
      </c>
      <c r="G398" s="186">
        <v>5.0</v>
      </c>
      <c r="H398" s="196" t="s">
        <v>69</v>
      </c>
      <c r="I398" s="167">
        <v>1.0</v>
      </c>
      <c r="J398" s="187"/>
      <c r="K398" s="200"/>
      <c r="L398" s="184" t="s">
        <v>84</v>
      </c>
      <c r="M398" s="180">
        <v>6.0</v>
      </c>
      <c r="N398" s="184" t="s">
        <v>134</v>
      </c>
      <c r="O398" s="186">
        <v>2.0</v>
      </c>
      <c r="P398" s="182" t="s">
        <v>114</v>
      </c>
      <c r="Q398" s="186">
        <v>8.0</v>
      </c>
      <c r="R398" s="184" t="s">
        <v>111</v>
      </c>
      <c r="S398" s="186">
        <v>4.0</v>
      </c>
      <c r="T398" s="187"/>
      <c r="U398" s="200"/>
      <c r="V398" s="227" t="s">
        <v>49</v>
      </c>
      <c r="W398" s="186">
        <v>3.0</v>
      </c>
      <c r="X398" s="142">
        <v>1.0</v>
      </c>
      <c r="Y398" s="142">
        <v>1.0</v>
      </c>
      <c r="Z398" s="142">
        <v>1.0</v>
      </c>
      <c r="AA398" s="142">
        <v>1.0</v>
      </c>
      <c r="AB398" s="142">
        <v>1.0</v>
      </c>
      <c r="AC398" s="142">
        <v>1.0</v>
      </c>
      <c r="AD398" s="142">
        <v>1.0</v>
      </c>
      <c r="AE398" s="142">
        <v>1.0</v>
      </c>
      <c r="AF398" s="142">
        <v>8.0</v>
      </c>
      <c r="AG398" s="142">
        <v>0.0</v>
      </c>
      <c r="AH398" s="185" t="str">
        <f>IFERROR(__xludf.DUMMYFUNCTION("if($C398="""","""",if(join("" - "",{iferror(filter('Student Groupings'!$A:$A,'Student Groupings'!$B:$B=$C398,'Student Groupings'!$H:$H=""Can't be Together""),"""");iferror(filter('Student Groupings'!$A:$A,'Student Groupings'!$E:$E=$C398,'Student Groupings"&amp;"'!$H:$H=""Can't be Together""),"""")})="" - "","""",join("" - "",{iferror(filter('Student Groupings'!$A:$A,'Student Groupings'!$B:$B=$C398,'Student Groupings'!$H:$H=""Can't be Together""),"""");iferror(filter('Student Groupings'!$A:$A,'Student Groupings'!"&amp;"$E:$E=$C398,'Student Groupings'!$H:$H=""Can't be Together""),"""")})))"),"")</f>
        <v/>
      </c>
      <c r="AI398" s="185" t="str">
        <f>IFERROR(__xludf.DUMMYFUNCTION("if($C398="""","""",if(join("" - "",{iferror(filter('Student Groupings'!$A:$A,'Student Groupings'!$B:$B=$C398,'Student Groupings'!$H:$H=""Must be Together""),"""");iferror(filter('Student Groupings'!$A:$A,'Student Groupings'!$E:$E=$C398,'Student Groupings'"&amp;"!$H:$H=""Must be Together""),"""")})="" - "","""",join("" - "",{iferror(filter('Student Groupings'!$A:$A,'Student Groupings'!$B:$B=$C398,'Student Groupings'!$H:$H=""Must be Together""),"""");iferror(filter('Student Groupings'!$A:$A,'Student Groupings'!$E:"&amp;"$E=$C398,'Student Groupings'!$H:$H=""Must be Together""),"""")})))"),"")</f>
        <v/>
      </c>
    </row>
    <row r="399">
      <c r="A399" s="186">
        <v>12.0</v>
      </c>
      <c r="B399" s="182">
        <v>26034.0</v>
      </c>
      <c r="C399" s="183" t="s">
        <v>551</v>
      </c>
      <c r="D399" s="198" t="s">
        <v>38</v>
      </c>
      <c r="E399" s="181">
        <v>8.0</v>
      </c>
      <c r="F399" s="186" t="s">
        <v>53</v>
      </c>
      <c r="G399" s="186">
        <v>7.0</v>
      </c>
      <c r="H399" s="182" t="s">
        <v>69</v>
      </c>
      <c r="I399" s="167">
        <v>1.0</v>
      </c>
      <c r="J399" s="187"/>
      <c r="K399" s="200"/>
      <c r="L399" s="184" t="s">
        <v>96</v>
      </c>
      <c r="M399" s="186">
        <v>5.0</v>
      </c>
      <c r="N399" s="184" t="s">
        <v>134</v>
      </c>
      <c r="O399" s="186">
        <v>4.0</v>
      </c>
      <c r="P399" s="182" t="s">
        <v>114</v>
      </c>
      <c r="Q399" s="186">
        <v>3.0</v>
      </c>
      <c r="R399" s="184" t="s">
        <v>108</v>
      </c>
      <c r="S399" s="186">
        <v>2.0</v>
      </c>
      <c r="T399" s="187"/>
      <c r="U399" s="200"/>
      <c r="V399" s="184" t="s">
        <v>29</v>
      </c>
      <c r="W399" s="186">
        <v>6.0</v>
      </c>
      <c r="X399" s="142">
        <v>1.0</v>
      </c>
      <c r="Y399" s="142">
        <v>1.0</v>
      </c>
      <c r="Z399" s="142">
        <v>1.0</v>
      </c>
      <c r="AA399" s="142">
        <v>1.0</v>
      </c>
      <c r="AB399" s="142">
        <v>1.0</v>
      </c>
      <c r="AC399" s="142">
        <v>1.0</v>
      </c>
      <c r="AD399" s="142">
        <v>1.0</v>
      </c>
      <c r="AE399" s="142">
        <v>1.0</v>
      </c>
      <c r="AF399" s="142">
        <v>8.0</v>
      </c>
      <c r="AG399" s="142">
        <v>0.0</v>
      </c>
      <c r="AH399" s="185" t="str">
        <f>IFERROR(__xludf.DUMMYFUNCTION("if($C399="""","""",if(join("" - "",{iferror(filter('Student Groupings'!$A:$A,'Student Groupings'!$B:$B=$C399,'Student Groupings'!$H:$H=""Can't be Together""),"""");iferror(filter('Student Groupings'!$A:$A,'Student Groupings'!$E:$E=$C399,'Student Groupings"&amp;"'!$H:$H=""Can't be Together""),"""")})="" - "","""",join("" - "",{iferror(filter('Student Groupings'!$A:$A,'Student Groupings'!$B:$B=$C399,'Student Groupings'!$H:$H=""Can't be Together""),"""");iferror(filter('Student Groupings'!$A:$A,'Student Groupings'!"&amp;"$E:$E=$C399,'Student Groupings'!$H:$H=""Can't be Together""),"""")})))"),"")</f>
        <v/>
      </c>
      <c r="AI399" s="185" t="str">
        <f>IFERROR(__xludf.DUMMYFUNCTION("if($C399="""","""",if(join("" - "",{iferror(filter('Student Groupings'!$A:$A,'Student Groupings'!$B:$B=$C399,'Student Groupings'!$H:$H=""Must be Together""),"""");iferror(filter('Student Groupings'!$A:$A,'Student Groupings'!$E:$E=$C399,'Student Groupings'"&amp;"!$H:$H=""Must be Together""),"""")})="" - "","""",join("" - "",{iferror(filter('Student Groupings'!$A:$A,'Student Groupings'!$B:$B=$C399,'Student Groupings'!$H:$H=""Must be Together""),"""");iferror(filter('Student Groupings'!$A:$A,'Student Groupings'!$E:"&amp;"$E=$C399,'Student Groupings'!$H:$H=""Must be Together""),"""")})))"),"")</f>
        <v/>
      </c>
    </row>
    <row r="400">
      <c r="A400" s="186">
        <v>12.0</v>
      </c>
      <c r="B400" s="182">
        <v>26028.0</v>
      </c>
      <c r="C400" s="183" t="s">
        <v>552</v>
      </c>
      <c r="D400" s="198" t="s">
        <v>49</v>
      </c>
      <c r="E400" s="181">
        <v>7.0</v>
      </c>
      <c r="F400" s="186" t="s">
        <v>53</v>
      </c>
      <c r="G400" s="180">
        <v>4.0</v>
      </c>
      <c r="H400" s="182" t="s">
        <v>69</v>
      </c>
      <c r="I400" s="167">
        <v>2.0</v>
      </c>
      <c r="J400" s="183"/>
      <c r="K400" s="167"/>
      <c r="L400" s="184" t="s">
        <v>84</v>
      </c>
      <c r="M400" s="186">
        <v>6.0</v>
      </c>
      <c r="N400" s="184" t="s">
        <v>134</v>
      </c>
      <c r="O400" s="182">
        <v>8.0</v>
      </c>
      <c r="P400" s="184" t="s">
        <v>126</v>
      </c>
      <c r="Q400" s="167">
        <v>1.0</v>
      </c>
      <c r="R400" s="184" t="s">
        <v>107</v>
      </c>
      <c r="S400" s="186">
        <v>3.0</v>
      </c>
      <c r="T400" s="187"/>
      <c r="U400" s="200"/>
      <c r="V400" s="182" t="s">
        <v>115</v>
      </c>
      <c r="W400" s="167">
        <v>5.0</v>
      </c>
      <c r="X400" s="142">
        <v>1.0</v>
      </c>
      <c r="Y400" s="142">
        <v>1.0</v>
      </c>
      <c r="Z400" s="142">
        <v>1.0</v>
      </c>
      <c r="AA400" s="142">
        <v>1.0</v>
      </c>
      <c r="AB400" s="142">
        <v>1.0</v>
      </c>
      <c r="AC400" s="142">
        <v>1.0</v>
      </c>
      <c r="AD400" s="142">
        <v>1.0</v>
      </c>
      <c r="AE400" s="142">
        <v>1.0</v>
      </c>
      <c r="AF400" s="142">
        <v>8.0</v>
      </c>
      <c r="AG400" s="142">
        <v>0.0</v>
      </c>
      <c r="AH400" s="185" t="str">
        <f>IFERROR(__xludf.DUMMYFUNCTION("if($C400="""","""",if(join("" - "",{iferror(filter('Student Groupings'!$A:$A,'Student Groupings'!$B:$B=$C400,'Student Groupings'!$H:$H=""Can't be Together""),"""");iferror(filter('Student Groupings'!$A:$A,'Student Groupings'!$E:$E=$C400,'Student Groupings"&amp;"'!$H:$H=""Can't be Together""),"""")})="" - "","""",join("" - "",{iferror(filter('Student Groupings'!$A:$A,'Student Groupings'!$B:$B=$C400,'Student Groupings'!$H:$H=""Can't be Together""),"""");iferror(filter('Student Groupings'!$A:$A,'Student Groupings'!"&amp;"$E:$E=$C400,'Student Groupings'!$H:$H=""Can't be Together""),"""")})))"),"")</f>
        <v/>
      </c>
      <c r="AI400" s="185" t="str">
        <f>IFERROR(__xludf.DUMMYFUNCTION("if($C400="""","""",if(join("" - "",{iferror(filter('Student Groupings'!$A:$A,'Student Groupings'!$B:$B=$C400,'Student Groupings'!$H:$H=""Must be Together""),"""");iferror(filter('Student Groupings'!$A:$A,'Student Groupings'!$E:$E=$C400,'Student Groupings'"&amp;"!$H:$H=""Must be Together""),"""")})="" - "","""",join("" - "",{iferror(filter('Student Groupings'!$A:$A,'Student Groupings'!$B:$B=$C400,'Student Groupings'!$H:$H=""Must be Together""),"""");iferror(filter('Student Groupings'!$A:$A,'Student Groupings'!$E:"&amp;"$E=$C400,'Student Groupings'!$H:$H=""Must be Together""),"""")})))"),"")</f>
        <v/>
      </c>
    </row>
    <row r="401">
      <c r="A401" s="186">
        <v>12.0</v>
      </c>
      <c r="B401" s="182">
        <v>26049.0</v>
      </c>
      <c r="C401" s="183" t="s">
        <v>553</v>
      </c>
      <c r="D401" s="198" t="s">
        <v>49</v>
      </c>
      <c r="E401" s="181">
        <v>7.0</v>
      </c>
      <c r="F401" s="186" t="s">
        <v>53</v>
      </c>
      <c r="G401" s="186">
        <v>2.0</v>
      </c>
      <c r="H401" s="182" t="s">
        <v>69</v>
      </c>
      <c r="I401" s="167">
        <v>6.0</v>
      </c>
      <c r="J401" s="183"/>
      <c r="K401" s="186"/>
      <c r="L401" s="184" t="s">
        <v>84</v>
      </c>
      <c r="M401" s="186">
        <v>8.0</v>
      </c>
      <c r="N401" s="184" t="s">
        <v>134</v>
      </c>
      <c r="O401" s="186">
        <v>4.0</v>
      </c>
      <c r="P401" s="184" t="s">
        <v>126</v>
      </c>
      <c r="Q401" s="186">
        <v>1.0</v>
      </c>
      <c r="R401" s="184" t="s">
        <v>107</v>
      </c>
      <c r="S401" s="186">
        <v>3.0</v>
      </c>
      <c r="T401" s="187"/>
      <c r="U401" s="200"/>
      <c r="V401" s="182" t="s">
        <v>115</v>
      </c>
      <c r="W401" s="186">
        <v>5.0</v>
      </c>
      <c r="X401" s="142">
        <v>1.0</v>
      </c>
      <c r="Y401" s="142">
        <v>1.0</v>
      </c>
      <c r="Z401" s="142">
        <v>1.0</v>
      </c>
      <c r="AA401" s="142">
        <v>1.0</v>
      </c>
      <c r="AB401" s="142">
        <v>1.0</v>
      </c>
      <c r="AC401" s="142">
        <v>1.0</v>
      </c>
      <c r="AD401" s="142">
        <v>1.0</v>
      </c>
      <c r="AE401" s="142">
        <v>1.0</v>
      </c>
      <c r="AF401" s="142">
        <v>8.0</v>
      </c>
      <c r="AG401" s="142">
        <v>0.0</v>
      </c>
      <c r="AH401" s="185" t="str">
        <f>IFERROR(__xludf.DUMMYFUNCTION("if($C401="""","""",if(join("" - "",{iferror(filter('Student Groupings'!$A:$A,'Student Groupings'!$B:$B=$C401,'Student Groupings'!$H:$H=""Can't be Together""),"""");iferror(filter('Student Groupings'!$A:$A,'Student Groupings'!$E:$E=$C401,'Student Groupings"&amp;"'!$H:$H=""Can't be Together""),"""")})="" - "","""",join("" - "",{iferror(filter('Student Groupings'!$A:$A,'Student Groupings'!$B:$B=$C401,'Student Groupings'!$H:$H=""Can't be Together""),"""");iferror(filter('Student Groupings'!$A:$A,'Student Groupings'!"&amp;"$E:$E=$C401,'Student Groupings'!$H:$H=""Can't be Together""),"""")})))"),"")</f>
        <v/>
      </c>
      <c r="AI401" s="185" t="str">
        <f>IFERROR(__xludf.DUMMYFUNCTION("if($C401="""","""",if(join("" - "",{iferror(filter('Student Groupings'!$A:$A,'Student Groupings'!$B:$B=$C401,'Student Groupings'!$H:$H=""Must be Together""),"""");iferror(filter('Student Groupings'!$A:$A,'Student Groupings'!$E:$E=$C401,'Student Groupings'"&amp;"!$H:$H=""Must be Together""),"""")})="" - "","""",join("" - "",{iferror(filter('Student Groupings'!$A:$A,'Student Groupings'!$B:$B=$C401,'Student Groupings'!$H:$H=""Must be Together""),"""");iferror(filter('Student Groupings'!$A:$A,'Student Groupings'!$E:"&amp;"$E=$C401,'Student Groupings'!$H:$H=""Must be Together""),"""")})))"),"")</f>
        <v/>
      </c>
    </row>
    <row r="402">
      <c r="A402" s="186">
        <v>12.0</v>
      </c>
      <c r="B402" s="182">
        <v>26044.0</v>
      </c>
      <c r="C402" s="183" t="s">
        <v>554</v>
      </c>
      <c r="D402" s="198" t="s">
        <v>38</v>
      </c>
      <c r="E402" s="181">
        <v>3.0</v>
      </c>
      <c r="F402" s="186" t="s">
        <v>53</v>
      </c>
      <c r="G402" s="186">
        <v>7.0</v>
      </c>
      <c r="H402" s="182" t="s">
        <v>69</v>
      </c>
      <c r="I402" s="167">
        <v>5.0</v>
      </c>
      <c r="J402" s="183"/>
      <c r="K402" s="167"/>
      <c r="L402" s="184" t="s">
        <v>84</v>
      </c>
      <c r="M402" s="186">
        <v>2.0</v>
      </c>
      <c r="N402" s="184" t="s">
        <v>134</v>
      </c>
      <c r="O402" s="167">
        <v>1.0</v>
      </c>
      <c r="P402" s="182" t="s">
        <v>114</v>
      </c>
      <c r="Q402" s="167">
        <v>6.0</v>
      </c>
      <c r="R402" s="184" t="s">
        <v>109</v>
      </c>
      <c r="S402" s="186">
        <v>4.0</v>
      </c>
      <c r="T402" s="187"/>
      <c r="U402" s="200"/>
      <c r="V402" s="184" t="s">
        <v>27</v>
      </c>
      <c r="W402" s="167">
        <v>8.0</v>
      </c>
      <c r="X402" s="142">
        <v>1.0</v>
      </c>
      <c r="Y402" s="142">
        <v>1.0</v>
      </c>
      <c r="Z402" s="142">
        <v>1.0</v>
      </c>
      <c r="AA402" s="142">
        <v>1.0</v>
      </c>
      <c r="AB402" s="142">
        <v>1.0</v>
      </c>
      <c r="AC402" s="142">
        <v>1.0</v>
      </c>
      <c r="AD402" s="142">
        <v>1.0</v>
      </c>
      <c r="AE402" s="142">
        <v>1.0</v>
      </c>
      <c r="AF402" s="142">
        <v>8.0</v>
      </c>
      <c r="AG402" s="142">
        <v>0.0</v>
      </c>
      <c r="AH402" s="185" t="str">
        <f>IFERROR(__xludf.DUMMYFUNCTION("if($C402="""","""",if(join("" - "",{iferror(filter('Student Groupings'!$A:$A,'Student Groupings'!$B:$B=$C402,'Student Groupings'!$H:$H=""Can't be Together""),"""");iferror(filter('Student Groupings'!$A:$A,'Student Groupings'!$E:$E=$C402,'Student Groupings"&amp;"'!$H:$H=""Can't be Together""),"""")})="" - "","""",join("" - "",{iferror(filter('Student Groupings'!$A:$A,'Student Groupings'!$B:$B=$C402,'Student Groupings'!$H:$H=""Can't be Together""),"""");iferror(filter('Student Groupings'!$A:$A,'Student Groupings'!"&amp;"$E:$E=$C402,'Student Groupings'!$H:$H=""Can't be Together""),"""")})))"),"")</f>
        <v/>
      </c>
      <c r="AI402" s="185" t="str">
        <f>IFERROR(__xludf.DUMMYFUNCTION("if($C402="""","""",if(join("" - "",{iferror(filter('Student Groupings'!$A:$A,'Student Groupings'!$B:$B=$C402,'Student Groupings'!$H:$H=""Must be Together""),"""");iferror(filter('Student Groupings'!$A:$A,'Student Groupings'!$E:$E=$C402,'Student Groupings'"&amp;"!$H:$H=""Must be Together""),"""")})="" - "","""",join("" - "",{iferror(filter('Student Groupings'!$A:$A,'Student Groupings'!$B:$B=$C402,'Student Groupings'!$H:$H=""Must be Together""),"""");iferror(filter('Student Groupings'!$A:$A,'Student Groupings'!$E:"&amp;"$E=$C402,'Student Groupings'!$H:$H=""Must be Together""),"""")})))"),"")</f>
        <v/>
      </c>
    </row>
    <row r="403">
      <c r="A403" s="186">
        <v>12.0</v>
      </c>
      <c r="B403" s="182">
        <v>26056.0</v>
      </c>
      <c r="C403" s="183" t="s">
        <v>555</v>
      </c>
      <c r="D403" s="198" t="s">
        <v>45</v>
      </c>
      <c r="E403" s="181">
        <v>7.0</v>
      </c>
      <c r="F403" s="186" t="s">
        <v>54</v>
      </c>
      <c r="G403" s="186">
        <v>8.0</v>
      </c>
      <c r="H403" s="182" t="s">
        <v>71</v>
      </c>
      <c r="I403" s="167">
        <v>3.0</v>
      </c>
      <c r="J403" s="187"/>
      <c r="K403" s="200"/>
      <c r="L403" s="184" t="s">
        <v>96</v>
      </c>
      <c r="M403" s="186">
        <v>5.0</v>
      </c>
      <c r="N403" s="184" t="s">
        <v>134</v>
      </c>
      <c r="O403" s="186">
        <v>2.0</v>
      </c>
      <c r="P403" s="184" t="s">
        <v>126</v>
      </c>
      <c r="Q403" s="167">
        <v>1.0</v>
      </c>
      <c r="R403" s="184" t="s">
        <v>107</v>
      </c>
      <c r="S403" s="186">
        <v>6.0</v>
      </c>
      <c r="T403" s="187"/>
      <c r="U403" s="200"/>
      <c r="V403" s="184" t="s">
        <v>82</v>
      </c>
      <c r="W403" s="167">
        <v>4.0</v>
      </c>
      <c r="X403" s="142">
        <v>1.0</v>
      </c>
      <c r="Y403" s="142">
        <v>1.0</v>
      </c>
      <c r="Z403" s="142">
        <v>1.0</v>
      </c>
      <c r="AA403" s="142">
        <v>1.0</v>
      </c>
      <c r="AB403" s="142">
        <v>1.0</v>
      </c>
      <c r="AC403" s="142">
        <v>1.0</v>
      </c>
      <c r="AD403" s="142">
        <v>1.0</v>
      </c>
      <c r="AE403" s="142">
        <v>1.0</v>
      </c>
      <c r="AF403" s="142">
        <v>8.0</v>
      </c>
      <c r="AG403" s="142">
        <v>0.0</v>
      </c>
      <c r="AH403" s="185" t="str">
        <f>IFERROR(__xludf.DUMMYFUNCTION("if($C403="""","""",if(join("" - "",{iferror(filter('Student Groupings'!$A:$A,'Student Groupings'!$B:$B=$C403,'Student Groupings'!$H:$H=""Can't be Together""),"""");iferror(filter('Student Groupings'!$A:$A,'Student Groupings'!$E:$E=$C403,'Student Groupings"&amp;"'!$H:$H=""Can't be Together""),"""")})="" - "","""",join("" - "",{iferror(filter('Student Groupings'!$A:$A,'Student Groupings'!$B:$B=$C403,'Student Groupings'!$H:$H=""Can't be Together""),"""");iferror(filter('Student Groupings'!$A:$A,'Student Groupings'!"&amp;"$E:$E=$C403,'Student Groupings'!$H:$H=""Can't be Together""),"""")})))"),"")</f>
        <v/>
      </c>
      <c r="AI403" s="185" t="str">
        <f>IFERROR(__xludf.DUMMYFUNCTION("if($C403="""","""",if(join("" - "",{iferror(filter('Student Groupings'!$A:$A,'Student Groupings'!$B:$B=$C403,'Student Groupings'!$H:$H=""Must be Together""),"""");iferror(filter('Student Groupings'!$A:$A,'Student Groupings'!$E:$E=$C403,'Student Groupings'"&amp;"!$H:$H=""Must be Together""),"""")})="" - "","""",join("" - "",{iferror(filter('Student Groupings'!$A:$A,'Student Groupings'!$B:$B=$C403,'Student Groupings'!$H:$H=""Must be Together""),"""");iferror(filter('Student Groupings'!$A:$A,'Student Groupings'!$E:"&amp;"$E=$C403,'Student Groupings'!$H:$H=""Must be Together""),"""")})))"),"")</f>
        <v/>
      </c>
    </row>
    <row r="404">
      <c r="A404" s="186">
        <v>12.0</v>
      </c>
      <c r="B404" s="182">
        <v>26001.0</v>
      </c>
      <c r="C404" s="183" t="s">
        <v>556</v>
      </c>
      <c r="D404" s="198" t="s">
        <v>38</v>
      </c>
      <c r="E404" s="181">
        <v>8.0</v>
      </c>
      <c r="F404" s="186" t="s">
        <v>53</v>
      </c>
      <c r="G404" s="186">
        <v>3.0</v>
      </c>
      <c r="H404" s="182" t="s">
        <v>82</v>
      </c>
      <c r="I404" s="167">
        <v>7.0</v>
      </c>
      <c r="J404" s="183"/>
      <c r="K404" s="167"/>
      <c r="L404" s="184" t="s">
        <v>93</v>
      </c>
      <c r="M404" s="186">
        <v>5.0</v>
      </c>
      <c r="N404" s="184" t="s">
        <v>134</v>
      </c>
      <c r="O404" s="186">
        <v>2.0</v>
      </c>
      <c r="P404" s="182" t="s">
        <v>114</v>
      </c>
      <c r="Q404" s="186">
        <v>1.0</v>
      </c>
      <c r="R404" s="184" t="s">
        <v>101</v>
      </c>
      <c r="S404" s="186">
        <v>6.0</v>
      </c>
      <c r="T404" s="187"/>
      <c r="U404" s="200"/>
      <c r="V404" s="184" t="s">
        <v>30</v>
      </c>
      <c r="W404" s="186">
        <v>4.0</v>
      </c>
      <c r="X404" s="142">
        <v>1.0</v>
      </c>
      <c r="Y404" s="142">
        <v>1.0</v>
      </c>
      <c r="Z404" s="142">
        <v>1.0</v>
      </c>
      <c r="AA404" s="142">
        <v>1.0</v>
      </c>
      <c r="AB404" s="142">
        <v>1.0</v>
      </c>
      <c r="AC404" s="142">
        <v>1.0</v>
      </c>
      <c r="AD404" s="142">
        <v>1.0</v>
      </c>
      <c r="AE404" s="142">
        <v>1.0</v>
      </c>
      <c r="AF404" s="142">
        <v>8.0</v>
      </c>
      <c r="AG404" s="142">
        <v>0.0</v>
      </c>
      <c r="AH404" s="185" t="str">
        <f>IFERROR(__xludf.DUMMYFUNCTION("if($C404="""","""",if(join("" - "",{iferror(filter('Student Groupings'!$A:$A,'Student Groupings'!$B:$B=$C404,'Student Groupings'!$H:$H=""Can't be Together""),"""");iferror(filter('Student Groupings'!$A:$A,'Student Groupings'!$E:$E=$C404,'Student Groupings"&amp;"'!$H:$H=""Can't be Together""),"""")})="" - "","""",join("" - "",{iferror(filter('Student Groupings'!$A:$A,'Student Groupings'!$B:$B=$C404,'Student Groupings'!$H:$H=""Can't be Together""),"""");iferror(filter('Student Groupings'!$A:$A,'Student Groupings'!"&amp;"$E:$E=$C404,'Student Groupings'!$H:$H=""Can't be Together""),"""")})))"),"")</f>
        <v/>
      </c>
      <c r="AI404" s="185" t="str">
        <f>IFERROR(__xludf.DUMMYFUNCTION("if($C404="""","""",if(join("" - "",{iferror(filter('Student Groupings'!$A:$A,'Student Groupings'!$B:$B=$C404,'Student Groupings'!$H:$H=""Must be Together""),"""");iferror(filter('Student Groupings'!$A:$A,'Student Groupings'!$E:$E=$C404,'Student Groupings'"&amp;"!$H:$H=""Must be Together""),"""")})="" - "","""",join("" - "",{iferror(filter('Student Groupings'!$A:$A,'Student Groupings'!$B:$B=$C404,'Student Groupings'!$H:$H=""Must be Together""),"""");iferror(filter('Student Groupings'!$A:$A,'Student Groupings'!$E:"&amp;"$E=$C404,'Student Groupings'!$H:$H=""Must be Together""),"""")})))"),"")</f>
        <v/>
      </c>
    </row>
    <row r="405">
      <c r="A405" s="186">
        <v>12.0</v>
      </c>
      <c r="B405" s="182">
        <v>26038.0</v>
      </c>
      <c r="C405" s="183" t="s">
        <v>557</v>
      </c>
      <c r="D405" s="198" t="s">
        <v>38</v>
      </c>
      <c r="E405" s="181">
        <v>3.0</v>
      </c>
      <c r="F405" s="186" t="s">
        <v>53</v>
      </c>
      <c r="G405" s="186">
        <v>7.0</v>
      </c>
      <c r="H405" s="182" t="s">
        <v>69</v>
      </c>
      <c r="I405" s="186">
        <v>2.0</v>
      </c>
      <c r="J405" s="187"/>
      <c r="K405" s="200"/>
      <c r="L405" s="184" t="s">
        <v>84</v>
      </c>
      <c r="M405" s="186">
        <v>8.0</v>
      </c>
      <c r="N405" s="184" t="s">
        <v>134</v>
      </c>
      <c r="O405" s="186">
        <v>6.0</v>
      </c>
      <c r="P405" s="182" t="s">
        <v>114</v>
      </c>
      <c r="Q405" s="186">
        <v>4.0</v>
      </c>
      <c r="R405" s="184" t="s">
        <v>105</v>
      </c>
      <c r="S405" s="186">
        <v>5.0</v>
      </c>
      <c r="T405" s="187"/>
      <c r="U405" s="200"/>
      <c r="V405" s="184" t="s">
        <v>34</v>
      </c>
      <c r="W405" s="167">
        <v>1.0</v>
      </c>
      <c r="X405" s="142">
        <v>1.0</v>
      </c>
      <c r="Y405" s="142">
        <v>1.0</v>
      </c>
      <c r="Z405" s="142">
        <v>1.0</v>
      </c>
      <c r="AA405" s="142">
        <v>1.0</v>
      </c>
      <c r="AB405" s="142">
        <v>1.0</v>
      </c>
      <c r="AC405" s="142">
        <v>1.0</v>
      </c>
      <c r="AD405" s="142">
        <v>1.0</v>
      </c>
      <c r="AE405" s="142">
        <v>1.0</v>
      </c>
      <c r="AF405" s="142">
        <v>8.0</v>
      </c>
      <c r="AG405" s="142">
        <v>0.0</v>
      </c>
      <c r="AH405" s="185" t="str">
        <f>IFERROR(__xludf.DUMMYFUNCTION("if($C405="""","""",if(join("" - "",{iferror(filter('Student Groupings'!$A:$A,'Student Groupings'!$B:$B=$C405,'Student Groupings'!$H:$H=""Can't be Together""),"""");iferror(filter('Student Groupings'!$A:$A,'Student Groupings'!$E:$E=$C405,'Student Groupings"&amp;"'!$H:$H=""Can't be Together""),"""")})="" - "","""",join("" - "",{iferror(filter('Student Groupings'!$A:$A,'Student Groupings'!$B:$B=$C405,'Student Groupings'!$H:$H=""Can't be Together""),"""");iferror(filter('Student Groupings'!$A:$A,'Student Groupings'!"&amp;"$E:$E=$C405,'Student Groupings'!$H:$H=""Can't be Together""),"""")})))"),"")</f>
        <v/>
      </c>
      <c r="AI405" s="185" t="str">
        <f>IFERROR(__xludf.DUMMYFUNCTION("if($C405="""","""",if(join("" - "",{iferror(filter('Student Groupings'!$A:$A,'Student Groupings'!$B:$B=$C405,'Student Groupings'!$H:$H=""Must be Together""),"""");iferror(filter('Student Groupings'!$A:$A,'Student Groupings'!$E:$E=$C405,'Student Groupings'"&amp;"!$H:$H=""Must be Together""),"""")})="" - "","""",join("" - "",{iferror(filter('Student Groupings'!$A:$A,'Student Groupings'!$B:$B=$C405,'Student Groupings'!$H:$H=""Must be Together""),"""");iferror(filter('Student Groupings'!$A:$A,'Student Groupings'!$E:"&amp;"$E=$C405,'Student Groupings'!$H:$H=""Must be Together""),"""")})))")," - 40")</f>
        <v> - 40</v>
      </c>
    </row>
    <row r="406">
      <c r="A406" s="186">
        <v>12.0</v>
      </c>
      <c r="B406" s="182">
        <v>26088.0</v>
      </c>
      <c r="C406" s="183" t="s">
        <v>558</v>
      </c>
      <c r="D406" s="198" t="s">
        <v>38</v>
      </c>
      <c r="E406" s="181">
        <v>7.0</v>
      </c>
      <c r="F406" s="186" t="s">
        <v>53</v>
      </c>
      <c r="G406" s="186">
        <v>4.0</v>
      </c>
      <c r="H406" s="182" t="s">
        <v>69</v>
      </c>
      <c r="I406" s="186">
        <v>5.0</v>
      </c>
      <c r="J406" s="187"/>
      <c r="K406" s="200"/>
      <c r="L406" s="184" t="s">
        <v>84</v>
      </c>
      <c r="M406" s="186">
        <v>8.0</v>
      </c>
      <c r="N406" s="184" t="s">
        <v>134</v>
      </c>
      <c r="O406" s="167">
        <v>2.0</v>
      </c>
      <c r="P406" s="182" t="s">
        <v>114</v>
      </c>
      <c r="Q406" s="167">
        <v>1.0</v>
      </c>
      <c r="R406" s="184" t="s">
        <v>107</v>
      </c>
      <c r="S406" s="186">
        <v>3.0</v>
      </c>
      <c r="T406" s="183"/>
      <c r="U406" s="167"/>
      <c r="V406" s="184" t="s">
        <v>23</v>
      </c>
      <c r="W406" s="167">
        <v>6.0</v>
      </c>
      <c r="X406" s="142">
        <v>1.0</v>
      </c>
      <c r="Y406" s="142">
        <v>1.0</v>
      </c>
      <c r="Z406" s="142">
        <v>1.0</v>
      </c>
      <c r="AA406" s="142">
        <v>1.0</v>
      </c>
      <c r="AB406" s="142">
        <v>1.0</v>
      </c>
      <c r="AC406" s="142">
        <v>1.0</v>
      </c>
      <c r="AD406" s="142">
        <v>1.0</v>
      </c>
      <c r="AE406" s="142">
        <v>1.0</v>
      </c>
      <c r="AF406" s="142">
        <v>8.0</v>
      </c>
      <c r="AG406" s="142">
        <v>0.0</v>
      </c>
      <c r="AH406" s="185" t="str">
        <f>IFERROR(__xludf.DUMMYFUNCTION("if($C406="""","""",if(join("" - "",{iferror(filter('Student Groupings'!$A:$A,'Student Groupings'!$B:$B=$C406,'Student Groupings'!$H:$H=""Can't be Together""),"""");iferror(filter('Student Groupings'!$A:$A,'Student Groupings'!$E:$E=$C406,'Student Groupings"&amp;"'!$H:$H=""Can't be Together""),"""")})="" - "","""",join("" - "",{iferror(filter('Student Groupings'!$A:$A,'Student Groupings'!$B:$B=$C406,'Student Groupings'!$H:$H=""Can't be Together""),"""");iferror(filter('Student Groupings'!$A:$A,'Student Groupings'!"&amp;"$E:$E=$C406,'Student Groupings'!$H:$H=""Can't be Together""),"""")})))"),"")</f>
        <v/>
      </c>
      <c r="AI406" s="185" t="str">
        <f>IFERROR(__xludf.DUMMYFUNCTION("if($C406="""","""",if(join("" - "",{iferror(filter('Student Groupings'!$A:$A,'Student Groupings'!$B:$B=$C406,'Student Groupings'!$H:$H=""Must be Together""),"""");iferror(filter('Student Groupings'!$A:$A,'Student Groupings'!$E:$E=$C406,'Student Groupings'"&amp;"!$H:$H=""Must be Together""),"""")})="" - "","""",join("" - "",{iferror(filter('Student Groupings'!$A:$A,'Student Groupings'!$B:$B=$C406,'Student Groupings'!$H:$H=""Must be Together""),"""");iferror(filter('Student Groupings'!$A:$A,'Student Groupings'!$E:"&amp;"$E=$C406,'Student Groupings'!$H:$H=""Must be Together""),"""")})))"),"")</f>
        <v/>
      </c>
    </row>
    <row r="407">
      <c r="A407" s="186">
        <v>12.0</v>
      </c>
      <c r="B407" s="182">
        <v>26010.0</v>
      </c>
      <c r="C407" s="183" t="s">
        <v>559</v>
      </c>
      <c r="D407" s="198" t="s">
        <v>38</v>
      </c>
      <c r="E407" s="181">
        <v>7.0</v>
      </c>
      <c r="F407" s="186" t="s">
        <v>53</v>
      </c>
      <c r="G407" s="186">
        <v>5.0</v>
      </c>
      <c r="H407" s="182" t="s">
        <v>69</v>
      </c>
      <c r="I407" s="186">
        <v>1.0</v>
      </c>
      <c r="J407" s="187"/>
      <c r="K407" s="200"/>
      <c r="L407" s="184" t="s">
        <v>84</v>
      </c>
      <c r="M407" s="186">
        <v>6.0</v>
      </c>
      <c r="N407" s="184" t="s">
        <v>134</v>
      </c>
      <c r="O407" s="186">
        <v>2.0</v>
      </c>
      <c r="P407" s="182" t="s">
        <v>114</v>
      </c>
      <c r="Q407" s="186">
        <v>4.0</v>
      </c>
      <c r="R407" s="184" t="s">
        <v>107</v>
      </c>
      <c r="S407" s="186">
        <v>3.0</v>
      </c>
      <c r="T407" s="187"/>
      <c r="U407" s="200"/>
      <c r="V407" s="184" t="s">
        <v>27</v>
      </c>
      <c r="W407" s="186">
        <v>8.0</v>
      </c>
      <c r="X407" s="142">
        <v>1.0</v>
      </c>
      <c r="Y407" s="142">
        <v>1.0</v>
      </c>
      <c r="Z407" s="142">
        <v>1.0</v>
      </c>
      <c r="AA407" s="142">
        <v>1.0</v>
      </c>
      <c r="AB407" s="142">
        <v>1.0</v>
      </c>
      <c r="AC407" s="142">
        <v>1.0</v>
      </c>
      <c r="AD407" s="142">
        <v>1.0</v>
      </c>
      <c r="AE407" s="142">
        <v>1.0</v>
      </c>
      <c r="AF407" s="142">
        <v>8.0</v>
      </c>
      <c r="AG407" s="142">
        <v>0.0</v>
      </c>
      <c r="AH407" s="185" t="str">
        <f>IFERROR(__xludf.DUMMYFUNCTION("if($C407="""","""",if(join("" - "",{iferror(filter('Student Groupings'!$A:$A,'Student Groupings'!$B:$B=$C407,'Student Groupings'!$H:$H=""Can't be Together""),"""");iferror(filter('Student Groupings'!$A:$A,'Student Groupings'!$E:$E=$C407,'Student Groupings"&amp;"'!$H:$H=""Can't be Together""),"""")})="" - "","""",join("" - "",{iferror(filter('Student Groupings'!$A:$A,'Student Groupings'!$B:$B=$C407,'Student Groupings'!$H:$H=""Can't be Together""),"""");iferror(filter('Student Groupings'!$A:$A,'Student Groupings'!"&amp;"$E:$E=$C407,'Student Groupings'!$H:$H=""Can't be Together""),"""")})))"),"")</f>
        <v/>
      </c>
      <c r="AI407" s="185" t="str">
        <f>IFERROR(__xludf.DUMMYFUNCTION("if($C407="""","""",if(join("" - "",{iferror(filter('Student Groupings'!$A:$A,'Student Groupings'!$B:$B=$C407,'Student Groupings'!$H:$H=""Must be Together""),"""");iferror(filter('Student Groupings'!$A:$A,'Student Groupings'!$E:$E=$C407,'Student Groupings'"&amp;"!$H:$H=""Must be Together""),"""")})="" - "","""",join("" - "",{iferror(filter('Student Groupings'!$A:$A,'Student Groupings'!$B:$B=$C407,'Student Groupings'!$H:$H=""Must be Together""),"""");iferror(filter('Student Groupings'!$A:$A,'Student Groupings'!$E:"&amp;"$E=$C407,'Student Groupings'!$H:$H=""Must be Together""),"""")})))"),"")</f>
        <v/>
      </c>
    </row>
    <row r="408">
      <c r="A408" s="186">
        <v>12.0</v>
      </c>
      <c r="B408" s="182">
        <v>26077.0</v>
      </c>
      <c r="C408" s="183" t="s">
        <v>560</v>
      </c>
      <c r="D408" s="198" t="s">
        <v>45</v>
      </c>
      <c r="E408" s="181">
        <v>1.0</v>
      </c>
      <c r="F408" s="186" t="s">
        <v>53</v>
      </c>
      <c r="G408" s="186">
        <v>2.0</v>
      </c>
      <c r="H408" s="182" t="s">
        <v>70</v>
      </c>
      <c r="I408" s="167">
        <v>7.0</v>
      </c>
      <c r="J408" s="183"/>
      <c r="K408" s="167"/>
      <c r="L408" s="184" t="s">
        <v>93</v>
      </c>
      <c r="M408" s="186">
        <v>3.0</v>
      </c>
      <c r="N408" s="184" t="s">
        <v>134</v>
      </c>
      <c r="O408" s="186">
        <v>8.0</v>
      </c>
      <c r="P408" s="182" t="s">
        <v>114</v>
      </c>
      <c r="Q408" s="186">
        <v>6.0</v>
      </c>
      <c r="R408" s="184" t="s">
        <v>105</v>
      </c>
      <c r="S408" s="186">
        <v>4.0</v>
      </c>
      <c r="T408" s="187"/>
      <c r="U408" s="200"/>
      <c r="V408" s="184" t="s">
        <v>82</v>
      </c>
      <c r="W408" s="167">
        <v>5.0</v>
      </c>
      <c r="X408" s="142">
        <v>1.0</v>
      </c>
      <c r="Y408" s="142">
        <v>1.0</v>
      </c>
      <c r="Z408" s="142">
        <v>1.0</v>
      </c>
      <c r="AA408" s="142">
        <v>1.0</v>
      </c>
      <c r="AB408" s="142">
        <v>1.0</v>
      </c>
      <c r="AC408" s="142">
        <v>1.0</v>
      </c>
      <c r="AD408" s="142">
        <v>1.0</v>
      </c>
      <c r="AE408" s="142">
        <v>1.0</v>
      </c>
      <c r="AF408" s="142">
        <v>8.0</v>
      </c>
      <c r="AG408" s="142">
        <v>0.0</v>
      </c>
      <c r="AH408" s="185" t="str">
        <f>IFERROR(__xludf.DUMMYFUNCTION("if($C408="""","""",if(join("" - "",{iferror(filter('Student Groupings'!$A:$A,'Student Groupings'!$B:$B=$C408,'Student Groupings'!$H:$H=""Can't be Together""),"""");iferror(filter('Student Groupings'!$A:$A,'Student Groupings'!$E:$E=$C408,'Student Groupings"&amp;"'!$H:$H=""Can't be Together""),"""")})="" - "","""",join("" - "",{iferror(filter('Student Groupings'!$A:$A,'Student Groupings'!$B:$B=$C408,'Student Groupings'!$H:$H=""Can't be Together""),"""");iferror(filter('Student Groupings'!$A:$A,'Student Groupings'!"&amp;"$E:$E=$C408,'Student Groupings'!$H:$H=""Can't be Together""),"""")})))"),"")</f>
        <v/>
      </c>
      <c r="AI408" s="185" t="str">
        <f>IFERROR(__xludf.DUMMYFUNCTION("if($C408="""","""",if(join("" - "",{iferror(filter('Student Groupings'!$A:$A,'Student Groupings'!$B:$B=$C408,'Student Groupings'!$H:$H=""Must be Together""),"""");iferror(filter('Student Groupings'!$A:$A,'Student Groupings'!$E:$E=$C408,'Student Groupings'"&amp;"!$H:$H=""Must be Together""),"""")})="" - "","""",join("" - "",{iferror(filter('Student Groupings'!$A:$A,'Student Groupings'!$B:$B=$C408,'Student Groupings'!$H:$H=""Must be Together""),"""");iferror(filter('Student Groupings'!$A:$A,'Student Groupings'!$E:"&amp;"$E=$C408,'Student Groupings'!$H:$H=""Must be Together""),"""")})))"),"")</f>
        <v/>
      </c>
    </row>
    <row r="409">
      <c r="A409" s="186">
        <v>12.0</v>
      </c>
      <c r="B409" s="182">
        <v>26005.0</v>
      </c>
      <c r="C409" s="183" t="s">
        <v>561</v>
      </c>
      <c r="D409" s="198" t="s">
        <v>45</v>
      </c>
      <c r="E409" s="181">
        <v>1.0</v>
      </c>
      <c r="F409" s="186" t="s">
        <v>53</v>
      </c>
      <c r="G409" s="186">
        <v>7.0</v>
      </c>
      <c r="H409" s="182" t="s">
        <v>69</v>
      </c>
      <c r="I409" s="167">
        <v>2.0</v>
      </c>
      <c r="J409" s="183"/>
      <c r="K409" s="167"/>
      <c r="L409" s="184" t="s">
        <v>84</v>
      </c>
      <c r="M409" s="186">
        <v>6.0</v>
      </c>
      <c r="N409" s="184" t="s">
        <v>134</v>
      </c>
      <c r="O409" s="186">
        <v>8.0</v>
      </c>
      <c r="P409" s="182" t="s">
        <v>114</v>
      </c>
      <c r="Q409" s="186">
        <v>3.0</v>
      </c>
      <c r="R409" s="184" t="s">
        <v>101</v>
      </c>
      <c r="S409" s="186">
        <v>5.0</v>
      </c>
      <c r="T409" s="187"/>
      <c r="U409" s="200"/>
      <c r="V409" s="184" t="s">
        <v>30</v>
      </c>
      <c r="W409" s="167">
        <v>4.0</v>
      </c>
      <c r="X409" s="142">
        <v>1.0</v>
      </c>
      <c r="Y409" s="142">
        <v>1.0</v>
      </c>
      <c r="Z409" s="142">
        <v>1.0</v>
      </c>
      <c r="AA409" s="142">
        <v>1.0</v>
      </c>
      <c r="AB409" s="142">
        <v>1.0</v>
      </c>
      <c r="AC409" s="142">
        <v>1.0</v>
      </c>
      <c r="AD409" s="142">
        <v>1.0</v>
      </c>
      <c r="AE409" s="142">
        <v>1.0</v>
      </c>
      <c r="AF409" s="142">
        <v>8.0</v>
      </c>
      <c r="AG409" s="142">
        <v>0.0</v>
      </c>
      <c r="AH409" s="185" t="str">
        <f>IFERROR(__xludf.DUMMYFUNCTION("if($C409="""","""",if(join("" - "",{iferror(filter('Student Groupings'!$A:$A,'Student Groupings'!$B:$B=$C409,'Student Groupings'!$H:$H=""Can't be Together""),"""");iferror(filter('Student Groupings'!$A:$A,'Student Groupings'!$E:$E=$C409,'Student Groupings"&amp;"'!$H:$H=""Can't be Together""),"""")})="" - "","""",join("" - "",{iferror(filter('Student Groupings'!$A:$A,'Student Groupings'!$B:$B=$C409,'Student Groupings'!$H:$H=""Can't be Together""),"""");iferror(filter('Student Groupings'!$A:$A,'Student Groupings'!"&amp;"$E:$E=$C409,'Student Groupings'!$H:$H=""Can't be Together""),"""")})))"),"")</f>
        <v/>
      </c>
      <c r="AI409" s="185" t="str">
        <f>IFERROR(__xludf.DUMMYFUNCTION("if($C409="""","""",if(join("" - "",{iferror(filter('Student Groupings'!$A:$A,'Student Groupings'!$B:$B=$C409,'Student Groupings'!$H:$H=""Must be Together""),"""");iferror(filter('Student Groupings'!$A:$A,'Student Groupings'!$E:$E=$C409,'Student Groupings'"&amp;"!$H:$H=""Must be Together""),"""")})="" - "","""",join("" - "",{iferror(filter('Student Groupings'!$A:$A,'Student Groupings'!$B:$B=$C409,'Student Groupings'!$H:$H=""Must be Together""),"""");iferror(filter('Student Groupings'!$A:$A,'Student Groupings'!$E:"&amp;"$E=$C409,'Student Groupings'!$H:$H=""Must be Together""),"""")})))"),"")</f>
        <v/>
      </c>
    </row>
    <row r="410">
      <c r="A410" s="186">
        <v>12.0</v>
      </c>
      <c r="B410" s="182">
        <v>26124.0</v>
      </c>
      <c r="C410" s="183" t="s">
        <v>562</v>
      </c>
      <c r="D410" s="198" t="s">
        <v>45</v>
      </c>
      <c r="E410" s="181">
        <v>7.0</v>
      </c>
      <c r="F410" s="186" t="s">
        <v>53</v>
      </c>
      <c r="G410" s="186">
        <v>4.0</v>
      </c>
      <c r="H410" s="182" t="s">
        <v>69</v>
      </c>
      <c r="I410" s="186">
        <v>1.0</v>
      </c>
      <c r="J410" s="187"/>
      <c r="K410" s="200"/>
      <c r="L410" s="184" t="s">
        <v>84</v>
      </c>
      <c r="M410" s="186">
        <v>2.0</v>
      </c>
      <c r="N410" s="184" t="s">
        <v>134</v>
      </c>
      <c r="O410" s="167">
        <v>6.0</v>
      </c>
      <c r="P410" s="182" t="s">
        <v>114</v>
      </c>
      <c r="Q410" s="167">
        <v>8.0</v>
      </c>
      <c r="R410" s="184" t="s">
        <v>107</v>
      </c>
      <c r="S410" s="186">
        <v>3.0</v>
      </c>
      <c r="T410" s="183"/>
      <c r="U410" s="167"/>
      <c r="V410" s="184" t="s">
        <v>30</v>
      </c>
      <c r="W410" s="167">
        <v>5.0</v>
      </c>
      <c r="X410" s="142">
        <v>1.0</v>
      </c>
      <c r="Y410" s="142">
        <v>1.0</v>
      </c>
      <c r="Z410" s="142">
        <v>1.0</v>
      </c>
      <c r="AA410" s="142">
        <v>1.0</v>
      </c>
      <c r="AB410" s="142">
        <v>1.0</v>
      </c>
      <c r="AC410" s="142">
        <v>1.0</v>
      </c>
      <c r="AD410" s="142">
        <v>1.0</v>
      </c>
      <c r="AE410" s="142">
        <v>1.0</v>
      </c>
      <c r="AF410" s="142">
        <v>8.0</v>
      </c>
      <c r="AG410" s="142">
        <v>0.0</v>
      </c>
      <c r="AH410" s="185" t="str">
        <f>IFERROR(__xludf.DUMMYFUNCTION("if($C410="""","""",if(join("" - "",{iferror(filter('Student Groupings'!$A:$A,'Student Groupings'!$B:$B=$C410,'Student Groupings'!$H:$H=""Can't be Together""),"""");iferror(filter('Student Groupings'!$A:$A,'Student Groupings'!$E:$E=$C410,'Student Groupings"&amp;"'!$H:$H=""Can't be Together""),"""")})="" - "","""",join("" - "",{iferror(filter('Student Groupings'!$A:$A,'Student Groupings'!$B:$B=$C410,'Student Groupings'!$H:$H=""Can't be Together""),"""");iferror(filter('Student Groupings'!$A:$A,'Student Groupings'!"&amp;"$E:$E=$C410,'Student Groupings'!$H:$H=""Can't be Together""),"""")})))"),"")</f>
        <v/>
      </c>
      <c r="AI410" s="185" t="str">
        <f>IFERROR(__xludf.DUMMYFUNCTION("if($C410="""","""",if(join("" - "",{iferror(filter('Student Groupings'!$A:$A,'Student Groupings'!$B:$B=$C410,'Student Groupings'!$H:$H=""Must be Together""),"""");iferror(filter('Student Groupings'!$A:$A,'Student Groupings'!$E:$E=$C410,'Student Groupings'"&amp;"!$H:$H=""Must be Together""),"""")})="" - "","""",join("" - "",{iferror(filter('Student Groupings'!$A:$A,'Student Groupings'!$B:$B=$C410,'Student Groupings'!$H:$H=""Must be Together""),"""");iferror(filter('Student Groupings'!$A:$A,'Student Groupings'!$E:"&amp;"$E=$C410,'Student Groupings'!$H:$H=""Must be Together""),"""")})))"),"")</f>
        <v/>
      </c>
    </row>
    <row r="411">
      <c r="A411" s="186">
        <v>12.0</v>
      </c>
      <c r="B411" s="182">
        <v>26020.0</v>
      </c>
      <c r="C411" s="183" t="s">
        <v>563</v>
      </c>
      <c r="D411" s="198" t="s">
        <v>38</v>
      </c>
      <c r="E411" s="181">
        <v>8.0</v>
      </c>
      <c r="F411" s="186" t="s">
        <v>53</v>
      </c>
      <c r="G411" s="186">
        <v>4.0</v>
      </c>
      <c r="H411" s="182" t="s">
        <v>70</v>
      </c>
      <c r="I411" s="186">
        <v>7.0</v>
      </c>
      <c r="J411" s="187"/>
      <c r="K411" s="200"/>
      <c r="L411" s="184" t="s">
        <v>93</v>
      </c>
      <c r="M411" s="186">
        <v>3.0</v>
      </c>
      <c r="N411" s="184" t="s">
        <v>134</v>
      </c>
      <c r="O411" s="186">
        <v>2.0</v>
      </c>
      <c r="P411" s="184" t="s">
        <v>126</v>
      </c>
      <c r="Q411" s="167">
        <v>1.0</v>
      </c>
      <c r="R411" s="184" t="s">
        <v>107</v>
      </c>
      <c r="S411" s="186">
        <v>6.0</v>
      </c>
      <c r="T411" s="187"/>
      <c r="U411" s="200"/>
      <c r="V411" s="184" t="s">
        <v>101</v>
      </c>
      <c r="W411" s="186">
        <v>5.0</v>
      </c>
      <c r="X411" s="142">
        <v>1.0</v>
      </c>
      <c r="Y411" s="142">
        <v>1.0</v>
      </c>
      <c r="Z411" s="142">
        <v>1.0</v>
      </c>
      <c r="AA411" s="142">
        <v>1.0</v>
      </c>
      <c r="AB411" s="142">
        <v>1.0</v>
      </c>
      <c r="AC411" s="142">
        <v>1.0</v>
      </c>
      <c r="AD411" s="142">
        <v>1.0</v>
      </c>
      <c r="AE411" s="142">
        <v>1.0</v>
      </c>
      <c r="AF411" s="142">
        <v>8.0</v>
      </c>
      <c r="AG411" s="142">
        <v>0.0</v>
      </c>
      <c r="AH411" s="185" t="str">
        <f>IFERROR(__xludf.DUMMYFUNCTION("if($C411="""","""",if(join("" - "",{iferror(filter('Student Groupings'!$A:$A,'Student Groupings'!$B:$B=$C411,'Student Groupings'!$H:$H=""Can't be Together""),"""");iferror(filter('Student Groupings'!$A:$A,'Student Groupings'!$E:$E=$C411,'Student Groupings"&amp;"'!$H:$H=""Can't be Together""),"""")})="" - "","""",join("" - "",{iferror(filter('Student Groupings'!$A:$A,'Student Groupings'!$B:$B=$C411,'Student Groupings'!$H:$H=""Can't be Together""),"""");iferror(filter('Student Groupings'!$A:$A,'Student Groupings'!"&amp;"$E:$E=$C411,'Student Groupings'!$H:$H=""Can't be Together""),"""")})))"),"")</f>
        <v/>
      </c>
      <c r="AI411" s="185" t="str">
        <f>IFERROR(__xludf.DUMMYFUNCTION("if($C411="""","""",if(join("" - "",{iferror(filter('Student Groupings'!$A:$A,'Student Groupings'!$B:$B=$C411,'Student Groupings'!$H:$H=""Must be Together""),"""");iferror(filter('Student Groupings'!$A:$A,'Student Groupings'!$E:$E=$C411,'Student Groupings'"&amp;"!$H:$H=""Must be Together""),"""")})="" - "","""",join("" - "",{iferror(filter('Student Groupings'!$A:$A,'Student Groupings'!$B:$B=$C411,'Student Groupings'!$H:$H=""Must be Together""),"""");iferror(filter('Student Groupings'!$A:$A,'Student Groupings'!$E:"&amp;"$E=$C411,'Student Groupings'!$H:$H=""Must be Together""),"""")})))"),"")</f>
        <v/>
      </c>
    </row>
    <row r="412">
      <c r="A412" s="186">
        <v>12.0</v>
      </c>
      <c r="B412" s="182">
        <v>26068.0</v>
      </c>
      <c r="C412" s="183" t="s">
        <v>564</v>
      </c>
      <c r="D412" s="198" t="s">
        <v>45</v>
      </c>
      <c r="E412" s="181">
        <v>1.0</v>
      </c>
      <c r="F412" s="186" t="s">
        <v>53</v>
      </c>
      <c r="G412" s="186">
        <v>3.0</v>
      </c>
      <c r="H412" s="182" t="s">
        <v>69</v>
      </c>
      <c r="I412" s="180">
        <v>5.0</v>
      </c>
      <c r="J412" s="183"/>
      <c r="K412" s="167"/>
      <c r="L412" s="184" t="s">
        <v>84</v>
      </c>
      <c r="M412" s="186">
        <v>6.0</v>
      </c>
      <c r="N412" s="184" t="s">
        <v>134</v>
      </c>
      <c r="O412" s="186">
        <v>4.0</v>
      </c>
      <c r="P412" s="182" t="s">
        <v>114</v>
      </c>
      <c r="Q412" s="186">
        <v>8.0</v>
      </c>
      <c r="R412" s="184" t="s">
        <v>107</v>
      </c>
      <c r="S412" s="186">
        <v>7.0</v>
      </c>
      <c r="T412" s="187"/>
      <c r="U412" s="200"/>
      <c r="V412" s="184" t="s">
        <v>23</v>
      </c>
      <c r="W412" s="186">
        <v>2.0</v>
      </c>
      <c r="X412" s="142">
        <v>1.0</v>
      </c>
      <c r="Y412" s="142">
        <v>1.0</v>
      </c>
      <c r="Z412" s="142">
        <v>1.0</v>
      </c>
      <c r="AA412" s="142">
        <v>1.0</v>
      </c>
      <c r="AB412" s="142">
        <v>1.0</v>
      </c>
      <c r="AC412" s="142">
        <v>1.0</v>
      </c>
      <c r="AD412" s="142">
        <v>1.0</v>
      </c>
      <c r="AE412" s="142">
        <v>1.0</v>
      </c>
      <c r="AF412" s="142">
        <v>8.0</v>
      </c>
      <c r="AG412" s="142">
        <v>0.0</v>
      </c>
      <c r="AH412" s="185" t="str">
        <f>IFERROR(__xludf.DUMMYFUNCTION("if($C412="""","""",if(join("" - "",{iferror(filter('Student Groupings'!$A:$A,'Student Groupings'!$B:$B=$C412,'Student Groupings'!$H:$H=""Can't be Together""),"""");iferror(filter('Student Groupings'!$A:$A,'Student Groupings'!$E:$E=$C412,'Student Groupings"&amp;"'!$H:$H=""Can't be Together""),"""")})="" - "","""",join("" - "",{iferror(filter('Student Groupings'!$A:$A,'Student Groupings'!$B:$B=$C412,'Student Groupings'!$H:$H=""Can't be Together""),"""");iferror(filter('Student Groupings'!$A:$A,'Student Groupings'!"&amp;"$E:$E=$C412,'Student Groupings'!$H:$H=""Can't be Together""),"""")})))"),"")</f>
        <v/>
      </c>
      <c r="AI412" s="185" t="str">
        <f>IFERROR(__xludf.DUMMYFUNCTION("if($C412="""","""",if(join("" - "",{iferror(filter('Student Groupings'!$A:$A,'Student Groupings'!$B:$B=$C412,'Student Groupings'!$H:$H=""Must be Together""),"""");iferror(filter('Student Groupings'!$A:$A,'Student Groupings'!$E:$E=$C412,'Student Groupings'"&amp;"!$H:$H=""Must be Together""),"""")})="" - "","""",join("" - "",{iferror(filter('Student Groupings'!$A:$A,'Student Groupings'!$B:$B=$C412,'Student Groupings'!$H:$H=""Must be Together""),"""");iferror(filter('Student Groupings'!$A:$A,'Student Groupings'!$E:"&amp;"$E=$C412,'Student Groupings'!$H:$H=""Must be Together""),"""")})))"),"")</f>
        <v/>
      </c>
    </row>
    <row r="413">
      <c r="A413" s="186">
        <v>12.0</v>
      </c>
      <c r="B413" s="182">
        <v>26013.0</v>
      </c>
      <c r="C413" s="183" t="s">
        <v>565</v>
      </c>
      <c r="D413" s="198" t="s">
        <v>38</v>
      </c>
      <c r="E413" s="181">
        <v>8.0</v>
      </c>
      <c r="F413" s="186" t="s">
        <v>53</v>
      </c>
      <c r="G413" s="167">
        <v>2.0</v>
      </c>
      <c r="H413" s="182" t="s">
        <v>74</v>
      </c>
      <c r="I413" s="167">
        <v>7.0</v>
      </c>
      <c r="J413" s="187"/>
      <c r="K413" s="200"/>
      <c r="L413" s="184" t="s">
        <v>85</v>
      </c>
      <c r="M413" s="167">
        <v>3.0</v>
      </c>
      <c r="N413" s="184" t="s">
        <v>134</v>
      </c>
      <c r="O413" s="186">
        <v>5.0</v>
      </c>
      <c r="P413" s="182" t="s">
        <v>114</v>
      </c>
      <c r="Q413" s="167">
        <v>4.0</v>
      </c>
      <c r="R413" s="184" t="s">
        <v>107</v>
      </c>
      <c r="S413" s="186">
        <v>6.0</v>
      </c>
      <c r="T413" s="183"/>
      <c r="U413" s="167"/>
      <c r="V413" s="184" t="s">
        <v>34</v>
      </c>
      <c r="W413" s="167">
        <v>1.0</v>
      </c>
      <c r="X413" s="142">
        <v>1.0</v>
      </c>
      <c r="Y413" s="142">
        <v>1.0</v>
      </c>
      <c r="Z413" s="142">
        <v>1.0</v>
      </c>
      <c r="AA413" s="142">
        <v>1.0</v>
      </c>
      <c r="AB413" s="142">
        <v>1.0</v>
      </c>
      <c r="AC413" s="142">
        <v>1.0</v>
      </c>
      <c r="AD413" s="142">
        <v>1.0</v>
      </c>
      <c r="AE413" s="142">
        <v>1.0</v>
      </c>
      <c r="AF413" s="142">
        <v>8.0</v>
      </c>
      <c r="AG413" s="142">
        <v>0.0</v>
      </c>
      <c r="AH413" s="185" t="str">
        <f>IFERROR(__xludf.DUMMYFUNCTION("if($C413="""","""",if(join("" - "",{iferror(filter('Student Groupings'!$A:$A,'Student Groupings'!$B:$B=$C413,'Student Groupings'!$H:$H=""Can't be Together""),"""");iferror(filter('Student Groupings'!$A:$A,'Student Groupings'!$E:$E=$C413,'Student Groupings"&amp;"'!$H:$H=""Can't be Together""),"""")})="" - "","""",join("" - "",{iferror(filter('Student Groupings'!$A:$A,'Student Groupings'!$B:$B=$C413,'Student Groupings'!$H:$H=""Can't be Together""),"""");iferror(filter('Student Groupings'!$A:$A,'Student Groupings'!"&amp;"$E:$E=$C413,'Student Groupings'!$H:$H=""Can't be Together""),"""")})))"),"")</f>
        <v/>
      </c>
      <c r="AI413" s="185" t="str">
        <f>IFERROR(__xludf.DUMMYFUNCTION("if($C413="""","""",if(join("" - "",{iferror(filter('Student Groupings'!$A:$A,'Student Groupings'!$B:$B=$C413,'Student Groupings'!$H:$H=""Must be Together""),"""");iferror(filter('Student Groupings'!$A:$A,'Student Groupings'!$E:$E=$C413,'Student Groupings'"&amp;"!$H:$H=""Must be Together""),"""")})="" - "","""",join("" - "",{iferror(filter('Student Groupings'!$A:$A,'Student Groupings'!$B:$B=$C413,'Student Groupings'!$H:$H=""Must be Together""),"""");iferror(filter('Student Groupings'!$A:$A,'Student Groupings'!$E:"&amp;"$E=$C413,'Student Groupings'!$H:$H=""Must be Together""),"""")})))")," - 39")</f>
        <v> - 39</v>
      </c>
    </row>
    <row r="414">
      <c r="A414" s="186">
        <v>12.0</v>
      </c>
      <c r="B414" s="182">
        <v>26159.0</v>
      </c>
      <c r="C414" s="183" t="s">
        <v>566</v>
      </c>
      <c r="D414" s="198" t="s">
        <v>45</v>
      </c>
      <c r="E414" s="181">
        <v>1.0</v>
      </c>
      <c r="F414" s="186" t="s">
        <v>53</v>
      </c>
      <c r="G414" s="186">
        <v>5.0</v>
      </c>
      <c r="H414" s="182" t="s">
        <v>82</v>
      </c>
      <c r="I414" s="186">
        <v>7.0</v>
      </c>
      <c r="J414" s="187"/>
      <c r="K414" s="200"/>
      <c r="L414" s="184" t="s">
        <v>84</v>
      </c>
      <c r="M414" s="167">
        <v>8.0</v>
      </c>
      <c r="N414" s="184" t="s">
        <v>134</v>
      </c>
      <c r="O414" s="186">
        <v>2.0</v>
      </c>
      <c r="P414" s="182" t="s">
        <v>114</v>
      </c>
      <c r="Q414" s="186">
        <v>3.0</v>
      </c>
      <c r="R414" s="184" t="s">
        <v>105</v>
      </c>
      <c r="S414" s="186">
        <v>4.0</v>
      </c>
      <c r="T414" s="187"/>
      <c r="U414" s="200"/>
      <c r="V414" s="184" t="s">
        <v>23</v>
      </c>
      <c r="W414" s="186">
        <v>6.0</v>
      </c>
      <c r="X414" s="142">
        <v>1.0</v>
      </c>
      <c r="Y414" s="142">
        <v>1.0</v>
      </c>
      <c r="Z414" s="142">
        <v>1.0</v>
      </c>
      <c r="AA414" s="142">
        <v>1.0</v>
      </c>
      <c r="AB414" s="142">
        <v>1.0</v>
      </c>
      <c r="AC414" s="142">
        <v>1.0</v>
      </c>
      <c r="AD414" s="142">
        <v>1.0</v>
      </c>
      <c r="AE414" s="142">
        <v>1.0</v>
      </c>
      <c r="AF414" s="142">
        <v>8.0</v>
      </c>
      <c r="AG414" s="142">
        <v>0.0</v>
      </c>
      <c r="AH414" s="185" t="str">
        <f>IFERROR(__xludf.DUMMYFUNCTION("if($C414="""","""",if(join("" - "",{iferror(filter('Student Groupings'!$A:$A,'Student Groupings'!$B:$B=$C414,'Student Groupings'!$H:$H=""Can't be Together""),"""");iferror(filter('Student Groupings'!$A:$A,'Student Groupings'!$E:$E=$C414,'Student Groupings"&amp;"'!$H:$H=""Can't be Together""),"""")})="" - "","""",join("" - "",{iferror(filter('Student Groupings'!$A:$A,'Student Groupings'!$B:$B=$C414,'Student Groupings'!$H:$H=""Can't be Together""),"""");iferror(filter('Student Groupings'!$A:$A,'Student Groupings'!"&amp;"$E:$E=$C414,'Student Groupings'!$H:$H=""Can't be Together""),"""")})))"),"")</f>
        <v/>
      </c>
      <c r="AI414" s="185" t="str">
        <f>IFERROR(__xludf.DUMMYFUNCTION("if($C414="""","""",if(join("" - "",{iferror(filter('Student Groupings'!$A:$A,'Student Groupings'!$B:$B=$C414,'Student Groupings'!$H:$H=""Must be Together""),"""");iferror(filter('Student Groupings'!$A:$A,'Student Groupings'!$E:$E=$C414,'Student Groupings'"&amp;"!$H:$H=""Must be Together""),"""")})="" - "","""",join("" - "",{iferror(filter('Student Groupings'!$A:$A,'Student Groupings'!$B:$B=$C414,'Student Groupings'!$H:$H=""Must be Together""),"""");iferror(filter('Student Groupings'!$A:$A,'Student Groupings'!$E:"&amp;"$E=$C414,'Student Groupings'!$H:$H=""Must be Together""),"""")})))"),"")</f>
        <v/>
      </c>
    </row>
    <row r="415">
      <c r="A415" s="186">
        <v>12.0</v>
      </c>
      <c r="B415" s="182">
        <v>26050.0</v>
      </c>
      <c r="C415" s="183" t="s">
        <v>567</v>
      </c>
      <c r="D415" s="198" t="s">
        <v>45</v>
      </c>
      <c r="E415" s="181">
        <v>7.0</v>
      </c>
      <c r="F415" s="186" t="s">
        <v>53</v>
      </c>
      <c r="G415" s="186">
        <v>5.0</v>
      </c>
      <c r="H415" s="182" t="s">
        <v>82</v>
      </c>
      <c r="I415" s="186">
        <v>4.0</v>
      </c>
      <c r="J415" s="187"/>
      <c r="K415" s="200"/>
      <c r="L415" s="184" t="s">
        <v>84</v>
      </c>
      <c r="M415" s="186">
        <v>6.0</v>
      </c>
      <c r="N415" s="184" t="s">
        <v>134</v>
      </c>
      <c r="O415" s="186">
        <v>8.0</v>
      </c>
      <c r="P415" s="184" t="s">
        <v>126</v>
      </c>
      <c r="Q415" s="186">
        <v>1.0</v>
      </c>
      <c r="R415" s="184" t="s">
        <v>107</v>
      </c>
      <c r="S415" s="186">
        <v>3.0</v>
      </c>
      <c r="T415" s="187"/>
      <c r="U415" s="200"/>
      <c r="V415" s="184" t="s">
        <v>23</v>
      </c>
      <c r="W415" s="167">
        <v>2.0</v>
      </c>
      <c r="X415" s="142">
        <v>1.0</v>
      </c>
      <c r="Y415" s="142">
        <v>1.0</v>
      </c>
      <c r="Z415" s="142">
        <v>1.0</v>
      </c>
      <c r="AA415" s="142">
        <v>1.0</v>
      </c>
      <c r="AB415" s="142">
        <v>1.0</v>
      </c>
      <c r="AC415" s="142">
        <v>1.0</v>
      </c>
      <c r="AD415" s="142">
        <v>1.0</v>
      </c>
      <c r="AE415" s="142">
        <v>1.0</v>
      </c>
      <c r="AF415" s="142">
        <v>8.0</v>
      </c>
      <c r="AG415" s="142">
        <v>0.0</v>
      </c>
      <c r="AH415" s="185" t="str">
        <f>IFERROR(__xludf.DUMMYFUNCTION("if($C415="""","""",if(join("" - "",{iferror(filter('Student Groupings'!$A:$A,'Student Groupings'!$B:$B=$C415,'Student Groupings'!$H:$H=""Can't be Together""),"""");iferror(filter('Student Groupings'!$A:$A,'Student Groupings'!$E:$E=$C415,'Student Groupings"&amp;"'!$H:$H=""Can't be Together""),"""")})="" - "","""",join("" - "",{iferror(filter('Student Groupings'!$A:$A,'Student Groupings'!$B:$B=$C415,'Student Groupings'!$H:$H=""Can't be Together""),"""");iferror(filter('Student Groupings'!$A:$A,'Student Groupings'!"&amp;"$E:$E=$C415,'Student Groupings'!$H:$H=""Can't be Together""),"""")})))"),"")</f>
        <v/>
      </c>
      <c r="AI415" s="185" t="str">
        <f>IFERROR(__xludf.DUMMYFUNCTION("if($C415="""","""",if(join("" - "",{iferror(filter('Student Groupings'!$A:$A,'Student Groupings'!$B:$B=$C415,'Student Groupings'!$H:$H=""Must be Together""),"""");iferror(filter('Student Groupings'!$A:$A,'Student Groupings'!$E:$E=$C415,'Student Groupings'"&amp;"!$H:$H=""Must be Together""),"""")})="" - "","""",join("" - "",{iferror(filter('Student Groupings'!$A:$A,'Student Groupings'!$B:$B=$C415,'Student Groupings'!$H:$H=""Must be Together""),"""");iferror(filter('Student Groupings'!$A:$A,'Student Groupings'!$E:"&amp;"$E=$C415,'Student Groupings'!$H:$H=""Must be Together""),"""")})))"),"")</f>
        <v/>
      </c>
    </row>
    <row r="416">
      <c r="A416" s="186">
        <v>12.0</v>
      </c>
      <c r="B416" s="182">
        <v>26054.0</v>
      </c>
      <c r="C416" s="183" t="s">
        <v>568</v>
      </c>
      <c r="D416" s="198" t="s">
        <v>38</v>
      </c>
      <c r="E416" s="181">
        <v>7.0</v>
      </c>
      <c r="F416" s="186" t="s">
        <v>54</v>
      </c>
      <c r="G416" s="167">
        <v>8.0</v>
      </c>
      <c r="H416" s="182" t="s">
        <v>69</v>
      </c>
      <c r="I416" s="186">
        <v>6.0</v>
      </c>
      <c r="J416" s="187"/>
      <c r="K416" s="200"/>
      <c r="L416" s="184" t="s">
        <v>84</v>
      </c>
      <c r="M416" s="186">
        <v>2.0</v>
      </c>
      <c r="N416" s="184" t="s">
        <v>134</v>
      </c>
      <c r="O416" s="186">
        <v>1.0</v>
      </c>
      <c r="P416" s="182" t="s">
        <v>114</v>
      </c>
      <c r="Q416" s="186">
        <v>3.0</v>
      </c>
      <c r="R416" s="184" t="s">
        <v>109</v>
      </c>
      <c r="S416" s="167">
        <v>4.0</v>
      </c>
      <c r="T416" s="187"/>
      <c r="U416" s="200"/>
      <c r="V416" s="184" t="s">
        <v>30</v>
      </c>
      <c r="W416" s="186">
        <v>5.0</v>
      </c>
      <c r="X416" s="142">
        <v>1.0</v>
      </c>
      <c r="Y416" s="142">
        <v>1.0</v>
      </c>
      <c r="Z416" s="142">
        <v>1.0</v>
      </c>
      <c r="AA416" s="142">
        <v>1.0</v>
      </c>
      <c r="AB416" s="142">
        <v>1.0</v>
      </c>
      <c r="AC416" s="142">
        <v>1.0</v>
      </c>
      <c r="AD416" s="142">
        <v>1.0</v>
      </c>
      <c r="AE416" s="142">
        <v>1.0</v>
      </c>
      <c r="AF416" s="142">
        <v>8.0</v>
      </c>
      <c r="AG416" s="142">
        <v>0.0</v>
      </c>
      <c r="AH416" s="185" t="str">
        <f>IFERROR(__xludf.DUMMYFUNCTION("if($C416="""","""",if(join("" - "",{iferror(filter('Student Groupings'!$A:$A,'Student Groupings'!$B:$B=$C416,'Student Groupings'!$H:$H=""Can't be Together""),"""");iferror(filter('Student Groupings'!$A:$A,'Student Groupings'!$E:$E=$C416,'Student Groupings"&amp;"'!$H:$H=""Can't be Together""),"""")})="" - "","""",join("" - "",{iferror(filter('Student Groupings'!$A:$A,'Student Groupings'!$B:$B=$C416,'Student Groupings'!$H:$H=""Can't be Together""),"""");iferror(filter('Student Groupings'!$A:$A,'Student Groupings'!"&amp;"$E:$E=$C416,'Student Groupings'!$H:$H=""Can't be Together""),"""")})))"),"")</f>
        <v/>
      </c>
      <c r="AI416" s="185" t="str">
        <f>IFERROR(__xludf.DUMMYFUNCTION("if($C416="""","""",if(join("" - "",{iferror(filter('Student Groupings'!$A:$A,'Student Groupings'!$B:$B=$C416,'Student Groupings'!$H:$H=""Must be Together""),"""");iferror(filter('Student Groupings'!$A:$A,'Student Groupings'!$E:$E=$C416,'Student Groupings'"&amp;"!$H:$H=""Must be Together""),"""")})="" - "","""",join("" - "",{iferror(filter('Student Groupings'!$A:$A,'Student Groupings'!$B:$B=$C416,'Student Groupings'!$H:$H=""Must be Together""),"""");iferror(filter('Student Groupings'!$A:$A,'Student Groupings'!$E:"&amp;"$E=$C416,'Student Groupings'!$H:$H=""Must be Together""),"""")})))"),"")</f>
        <v/>
      </c>
    </row>
    <row r="417">
      <c r="A417" s="186">
        <v>12.0</v>
      </c>
      <c r="B417" s="182">
        <v>26098.0</v>
      </c>
      <c r="C417" s="183" t="s">
        <v>569</v>
      </c>
      <c r="D417" s="198" t="s">
        <v>38</v>
      </c>
      <c r="E417" s="181">
        <v>7.0</v>
      </c>
      <c r="F417" s="186" t="s">
        <v>53</v>
      </c>
      <c r="G417" s="186">
        <v>3.0</v>
      </c>
      <c r="H417" s="182" t="s">
        <v>82</v>
      </c>
      <c r="I417" s="186">
        <v>5.0</v>
      </c>
      <c r="J417" s="183"/>
      <c r="K417" s="186"/>
      <c r="L417" s="184" t="s">
        <v>84</v>
      </c>
      <c r="M417" s="186">
        <v>6.0</v>
      </c>
      <c r="N417" s="184" t="s">
        <v>134</v>
      </c>
      <c r="O417" s="186">
        <v>2.0</v>
      </c>
      <c r="P417" s="182" t="s">
        <v>114</v>
      </c>
      <c r="Q417" s="186">
        <v>8.0</v>
      </c>
      <c r="R417" s="184" t="s">
        <v>109</v>
      </c>
      <c r="S417" s="167">
        <v>4.0</v>
      </c>
      <c r="T417" s="187"/>
      <c r="U417" s="200"/>
      <c r="V417" s="184" t="s">
        <v>34</v>
      </c>
      <c r="W417" s="167">
        <v>1.0</v>
      </c>
      <c r="X417" s="142">
        <v>1.0</v>
      </c>
      <c r="Y417" s="142">
        <v>1.0</v>
      </c>
      <c r="Z417" s="142">
        <v>1.0</v>
      </c>
      <c r="AA417" s="142">
        <v>1.0</v>
      </c>
      <c r="AB417" s="142">
        <v>1.0</v>
      </c>
      <c r="AC417" s="142">
        <v>1.0</v>
      </c>
      <c r="AD417" s="142">
        <v>1.0</v>
      </c>
      <c r="AE417" s="142">
        <v>1.0</v>
      </c>
      <c r="AF417" s="142">
        <v>8.0</v>
      </c>
      <c r="AG417" s="142">
        <v>0.0</v>
      </c>
      <c r="AH417" s="185" t="str">
        <f>IFERROR(__xludf.DUMMYFUNCTION("if($C417="""","""",if(join("" - "",{iferror(filter('Student Groupings'!$A:$A,'Student Groupings'!$B:$B=$C417,'Student Groupings'!$H:$H=""Can't be Together""),"""");iferror(filter('Student Groupings'!$A:$A,'Student Groupings'!$E:$E=$C417,'Student Groupings"&amp;"'!$H:$H=""Can't be Together""),"""")})="" - "","""",join("" - "",{iferror(filter('Student Groupings'!$A:$A,'Student Groupings'!$B:$B=$C417,'Student Groupings'!$H:$H=""Can't be Together""),"""");iferror(filter('Student Groupings'!$A:$A,'Student Groupings'!"&amp;"$E:$E=$C417,'Student Groupings'!$H:$H=""Can't be Together""),"""")})))"),"")</f>
        <v/>
      </c>
      <c r="AI417" s="185" t="str">
        <f>IFERROR(__xludf.DUMMYFUNCTION("if($C417="""","""",if(join("" - "",{iferror(filter('Student Groupings'!$A:$A,'Student Groupings'!$B:$B=$C417,'Student Groupings'!$H:$H=""Must be Together""),"""");iferror(filter('Student Groupings'!$A:$A,'Student Groupings'!$E:$E=$C417,'Student Groupings'"&amp;"!$H:$H=""Must be Together""),"""")})="" - "","""",join("" - "",{iferror(filter('Student Groupings'!$A:$A,'Student Groupings'!$B:$B=$C417,'Student Groupings'!$H:$H=""Must be Together""),"""");iferror(filter('Student Groupings'!$A:$A,'Student Groupings'!$E:"&amp;"$E=$C417,'Student Groupings'!$H:$H=""Must be Together""),"""")})))"),"")</f>
        <v/>
      </c>
    </row>
    <row r="418">
      <c r="A418" s="186">
        <v>12.0</v>
      </c>
      <c r="B418" s="182">
        <v>26084.0</v>
      </c>
      <c r="C418" s="183" t="s">
        <v>570</v>
      </c>
      <c r="D418" s="198" t="s">
        <v>38</v>
      </c>
      <c r="E418" s="181">
        <v>7.0</v>
      </c>
      <c r="F418" s="186" t="s">
        <v>54</v>
      </c>
      <c r="G418" s="167">
        <v>8.0</v>
      </c>
      <c r="H418" s="182" t="s">
        <v>69</v>
      </c>
      <c r="I418" s="167">
        <v>5.0</v>
      </c>
      <c r="J418" s="183"/>
      <c r="K418" s="167"/>
      <c r="L418" s="184" t="s">
        <v>84</v>
      </c>
      <c r="M418" s="186">
        <v>6.0</v>
      </c>
      <c r="N418" s="184" t="s">
        <v>134</v>
      </c>
      <c r="O418" s="167">
        <v>4.0</v>
      </c>
      <c r="P418" s="182" t="s">
        <v>114</v>
      </c>
      <c r="Q418" s="167">
        <v>3.0</v>
      </c>
      <c r="R418" s="184" t="s">
        <v>108</v>
      </c>
      <c r="S418" s="186">
        <v>2.0</v>
      </c>
      <c r="T418" s="183"/>
      <c r="U418" s="167"/>
      <c r="V418" s="184" t="s">
        <v>34</v>
      </c>
      <c r="W418" s="186">
        <v>1.0</v>
      </c>
      <c r="X418" s="142">
        <v>1.0</v>
      </c>
      <c r="Y418" s="142">
        <v>1.0</v>
      </c>
      <c r="Z418" s="142">
        <v>1.0</v>
      </c>
      <c r="AA418" s="142">
        <v>1.0</v>
      </c>
      <c r="AB418" s="142">
        <v>1.0</v>
      </c>
      <c r="AC418" s="142">
        <v>1.0</v>
      </c>
      <c r="AD418" s="142">
        <v>1.0</v>
      </c>
      <c r="AE418" s="142">
        <v>1.0</v>
      </c>
      <c r="AF418" s="142">
        <v>8.0</v>
      </c>
      <c r="AG418" s="142">
        <v>0.0</v>
      </c>
      <c r="AH418" s="185" t="str">
        <f>IFERROR(__xludf.DUMMYFUNCTION("if($C418="""","""",if(join("" - "",{iferror(filter('Student Groupings'!$A:$A,'Student Groupings'!$B:$B=$C418,'Student Groupings'!$H:$H=""Can't be Together""),"""");iferror(filter('Student Groupings'!$A:$A,'Student Groupings'!$E:$E=$C418,'Student Groupings"&amp;"'!$H:$H=""Can't be Together""),"""")})="" - "","""",join("" - "",{iferror(filter('Student Groupings'!$A:$A,'Student Groupings'!$B:$B=$C418,'Student Groupings'!$H:$H=""Can't be Together""),"""");iferror(filter('Student Groupings'!$A:$A,'Student Groupings'!"&amp;"$E:$E=$C418,'Student Groupings'!$H:$H=""Can't be Together""),"""")})))"),"")</f>
        <v/>
      </c>
      <c r="AI418" s="185" t="str">
        <f>IFERROR(__xludf.DUMMYFUNCTION("if($C418="""","""",if(join("" - "",{iferror(filter('Student Groupings'!$A:$A,'Student Groupings'!$B:$B=$C418,'Student Groupings'!$H:$H=""Must be Together""),"""");iferror(filter('Student Groupings'!$A:$A,'Student Groupings'!$E:$E=$C418,'Student Groupings'"&amp;"!$H:$H=""Must be Together""),"""")})="" - "","""",join("" - "",{iferror(filter('Student Groupings'!$A:$A,'Student Groupings'!$B:$B=$C418,'Student Groupings'!$H:$H=""Must be Together""),"""");iferror(filter('Student Groupings'!$A:$A,'Student Groupings'!$E:"&amp;"$E=$C418,'Student Groupings'!$H:$H=""Must be Together""),"""")})))"),"")</f>
        <v/>
      </c>
    </row>
    <row r="419">
      <c r="A419" s="186">
        <v>12.0</v>
      </c>
      <c r="B419" s="182">
        <v>26004.0</v>
      </c>
      <c r="C419" s="183" t="s">
        <v>571</v>
      </c>
      <c r="D419" s="198" t="s">
        <v>38</v>
      </c>
      <c r="E419" s="181">
        <v>7.0</v>
      </c>
      <c r="F419" s="186" t="s">
        <v>54</v>
      </c>
      <c r="G419" s="167">
        <v>8.0</v>
      </c>
      <c r="H419" s="182" t="s">
        <v>69</v>
      </c>
      <c r="I419" s="180">
        <v>2.0</v>
      </c>
      <c r="J419" s="183"/>
      <c r="K419" s="167"/>
      <c r="L419" s="184" t="s">
        <v>84</v>
      </c>
      <c r="M419" s="186">
        <v>6.0</v>
      </c>
      <c r="N419" s="184" t="s">
        <v>134</v>
      </c>
      <c r="O419" s="186">
        <v>1.0</v>
      </c>
      <c r="P419" s="182" t="s">
        <v>114</v>
      </c>
      <c r="Q419" s="186">
        <v>3.0</v>
      </c>
      <c r="R419" s="184" t="s">
        <v>109</v>
      </c>
      <c r="S419" s="186">
        <v>4.0</v>
      </c>
      <c r="T419" s="187"/>
      <c r="U419" s="200"/>
      <c r="V419" s="184" t="s">
        <v>30</v>
      </c>
      <c r="W419" s="186">
        <v>5.0</v>
      </c>
      <c r="X419" s="142">
        <v>1.0</v>
      </c>
      <c r="Y419" s="142">
        <v>1.0</v>
      </c>
      <c r="Z419" s="142">
        <v>1.0</v>
      </c>
      <c r="AA419" s="142">
        <v>1.0</v>
      </c>
      <c r="AB419" s="142">
        <v>1.0</v>
      </c>
      <c r="AC419" s="142">
        <v>1.0</v>
      </c>
      <c r="AD419" s="142">
        <v>1.0</v>
      </c>
      <c r="AE419" s="142">
        <v>1.0</v>
      </c>
      <c r="AF419" s="142">
        <v>8.0</v>
      </c>
      <c r="AG419" s="142">
        <v>0.0</v>
      </c>
      <c r="AH419" s="185" t="str">
        <f>IFERROR(__xludf.DUMMYFUNCTION("if($C419="""","""",if(join("" - "",{iferror(filter('Student Groupings'!$A:$A,'Student Groupings'!$B:$B=$C419,'Student Groupings'!$H:$H=""Can't be Together""),"""");iferror(filter('Student Groupings'!$A:$A,'Student Groupings'!$E:$E=$C419,'Student Groupings"&amp;"'!$H:$H=""Can't be Together""),"""")})="" - "","""",join("" - "",{iferror(filter('Student Groupings'!$A:$A,'Student Groupings'!$B:$B=$C419,'Student Groupings'!$H:$H=""Can't be Together""),"""");iferror(filter('Student Groupings'!$A:$A,'Student Groupings'!"&amp;"$E:$E=$C419,'Student Groupings'!$H:$H=""Can't be Together""),"""")})))"),"")</f>
        <v/>
      </c>
      <c r="AI419" s="185" t="str">
        <f>IFERROR(__xludf.DUMMYFUNCTION("if($C419="""","""",if(join("" - "",{iferror(filter('Student Groupings'!$A:$A,'Student Groupings'!$B:$B=$C419,'Student Groupings'!$H:$H=""Must be Together""),"""");iferror(filter('Student Groupings'!$A:$A,'Student Groupings'!$E:$E=$C419,'Student Groupings'"&amp;"!$H:$H=""Must be Together""),"""")})="" - "","""",join("" - "",{iferror(filter('Student Groupings'!$A:$A,'Student Groupings'!$B:$B=$C419,'Student Groupings'!$H:$H=""Must be Together""),"""");iferror(filter('Student Groupings'!$A:$A,'Student Groupings'!$E:"&amp;"$E=$C419,'Student Groupings'!$H:$H=""Must be Together""),"""")})))"),"")</f>
        <v/>
      </c>
    </row>
    <row r="420">
      <c r="A420" s="186">
        <v>12.0</v>
      </c>
      <c r="B420" s="182">
        <v>26085.0</v>
      </c>
      <c r="C420" s="183" t="s">
        <v>572</v>
      </c>
      <c r="D420" s="198" t="s">
        <v>45</v>
      </c>
      <c r="E420" s="181">
        <v>7.0</v>
      </c>
      <c r="F420" s="186" t="s">
        <v>54</v>
      </c>
      <c r="G420" s="186">
        <v>8.0</v>
      </c>
      <c r="H420" s="182" t="s">
        <v>82</v>
      </c>
      <c r="I420" s="186">
        <v>5.0</v>
      </c>
      <c r="J420" s="187"/>
      <c r="K420" s="200"/>
      <c r="L420" s="184" t="s">
        <v>84</v>
      </c>
      <c r="M420" s="186">
        <v>2.0</v>
      </c>
      <c r="N420" s="184" t="s">
        <v>134</v>
      </c>
      <c r="O420" s="186">
        <v>1.0</v>
      </c>
      <c r="P420" s="182" t="s">
        <v>114</v>
      </c>
      <c r="Q420" s="186">
        <v>3.0</v>
      </c>
      <c r="R420" s="184" t="s">
        <v>105</v>
      </c>
      <c r="S420" s="186">
        <v>4.0</v>
      </c>
      <c r="T420" s="187"/>
      <c r="U420" s="200"/>
      <c r="V420" s="184" t="s">
        <v>23</v>
      </c>
      <c r="W420" s="167">
        <v>6.0</v>
      </c>
      <c r="X420" s="142">
        <v>1.0</v>
      </c>
      <c r="Y420" s="142">
        <v>1.0</v>
      </c>
      <c r="Z420" s="142">
        <v>1.0</v>
      </c>
      <c r="AA420" s="142">
        <v>1.0</v>
      </c>
      <c r="AB420" s="142">
        <v>1.0</v>
      </c>
      <c r="AC420" s="142">
        <v>1.0</v>
      </c>
      <c r="AD420" s="142">
        <v>1.0</v>
      </c>
      <c r="AE420" s="142">
        <v>1.0</v>
      </c>
      <c r="AF420" s="142">
        <v>8.0</v>
      </c>
      <c r="AG420" s="142">
        <v>0.0</v>
      </c>
      <c r="AH420" s="185" t="str">
        <f>IFERROR(__xludf.DUMMYFUNCTION("if($C420="""","""",if(join("" - "",{iferror(filter('Student Groupings'!$A:$A,'Student Groupings'!$B:$B=$C420,'Student Groupings'!$H:$H=""Can't be Together""),"""");iferror(filter('Student Groupings'!$A:$A,'Student Groupings'!$E:$E=$C420,'Student Groupings"&amp;"'!$H:$H=""Can't be Together""),"""")})="" - "","""",join("" - "",{iferror(filter('Student Groupings'!$A:$A,'Student Groupings'!$B:$B=$C420,'Student Groupings'!$H:$H=""Can't be Together""),"""");iferror(filter('Student Groupings'!$A:$A,'Student Groupings'!"&amp;"$E:$E=$C420,'Student Groupings'!$H:$H=""Can't be Together""),"""")})))"),"")</f>
        <v/>
      </c>
      <c r="AI420" s="185" t="str">
        <f>IFERROR(__xludf.DUMMYFUNCTION("if($C420="""","""",if(join("" - "",{iferror(filter('Student Groupings'!$A:$A,'Student Groupings'!$B:$B=$C420,'Student Groupings'!$H:$H=""Must be Together""),"""");iferror(filter('Student Groupings'!$A:$A,'Student Groupings'!$E:$E=$C420,'Student Groupings'"&amp;"!$H:$H=""Must be Together""),"""")})="" - "","""",join("" - "",{iferror(filter('Student Groupings'!$A:$A,'Student Groupings'!$B:$B=$C420,'Student Groupings'!$H:$H=""Must be Together""),"""");iferror(filter('Student Groupings'!$A:$A,'Student Groupings'!$E:"&amp;"$E=$C420,'Student Groupings'!$H:$H=""Must be Together""),"""")})))"),"")</f>
        <v/>
      </c>
    </row>
    <row r="421">
      <c r="A421" s="186">
        <v>12.0</v>
      </c>
      <c r="B421" s="182">
        <v>26074.0</v>
      </c>
      <c r="C421" s="183" t="s">
        <v>573</v>
      </c>
      <c r="D421" s="198" t="s">
        <v>45</v>
      </c>
      <c r="E421" s="181">
        <v>7.0</v>
      </c>
      <c r="F421" s="186" t="s">
        <v>54</v>
      </c>
      <c r="G421" s="167">
        <v>8.0</v>
      </c>
      <c r="H421" s="182" t="s">
        <v>69</v>
      </c>
      <c r="I421" s="186">
        <v>5.0</v>
      </c>
      <c r="J421" s="187"/>
      <c r="K421" s="200"/>
      <c r="L421" s="184" t="s">
        <v>84</v>
      </c>
      <c r="M421" s="167">
        <v>6.0</v>
      </c>
      <c r="N421" s="184" t="s">
        <v>134</v>
      </c>
      <c r="O421" s="186">
        <v>1.0</v>
      </c>
      <c r="P421" s="182" t="s">
        <v>114</v>
      </c>
      <c r="Q421" s="186">
        <v>3.0</v>
      </c>
      <c r="R421" s="184" t="s">
        <v>108</v>
      </c>
      <c r="S421" s="186">
        <v>2.0</v>
      </c>
      <c r="T421" s="187"/>
      <c r="U421" s="200"/>
      <c r="V421" s="184" t="s">
        <v>30</v>
      </c>
      <c r="W421" s="167">
        <v>4.0</v>
      </c>
      <c r="X421" s="142">
        <v>1.0</v>
      </c>
      <c r="Y421" s="142">
        <v>1.0</v>
      </c>
      <c r="Z421" s="142">
        <v>1.0</v>
      </c>
      <c r="AA421" s="142">
        <v>1.0</v>
      </c>
      <c r="AB421" s="142">
        <v>1.0</v>
      </c>
      <c r="AC421" s="142">
        <v>1.0</v>
      </c>
      <c r="AD421" s="142">
        <v>1.0</v>
      </c>
      <c r="AE421" s="142">
        <v>1.0</v>
      </c>
      <c r="AF421" s="142">
        <v>8.0</v>
      </c>
      <c r="AG421" s="142">
        <v>0.0</v>
      </c>
      <c r="AH421" s="185" t="str">
        <f>IFERROR(__xludf.DUMMYFUNCTION("if($C421="""","""",if(join("" - "",{iferror(filter('Student Groupings'!$A:$A,'Student Groupings'!$B:$B=$C421,'Student Groupings'!$H:$H=""Can't be Together""),"""");iferror(filter('Student Groupings'!$A:$A,'Student Groupings'!$E:$E=$C421,'Student Groupings"&amp;"'!$H:$H=""Can't be Together""),"""")})="" - "","""",join("" - "",{iferror(filter('Student Groupings'!$A:$A,'Student Groupings'!$B:$B=$C421,'Student Groupings'!$H:$H=""Can't be Together""),"""");iferror(filter('Student Groupings'!$A:$A,'Student Groupings'!"&amp;"$E:$E=$C421,'Student Groupings'!$H:$H=""Can't be Together""),"""")})))"),"")</f>
        <v/>
      </c>
      <c r="AI421" s="185" t="str">
        <f>IFERROR(__xludf.DUMMYFUNCTION("if($C421="""","""",if(join("" - "",{iferror(filter('Student Groupings'!$A:$A,'Student Groupings'!$B:$B=$C421,'Student Groupings'!$H:$H=""Must be Together""),"""");iferror(filter('Student Groupings'!$A:$A,'Student Groupings'!$E:$E=$C421,'Student Groupings'"&amp;"!$H:$H=""Must be Together""),"""")})="" - "","""",join("" - "",{iferror(filter('Student Groupings'!$A:$A,'Student Groupings'!$B:$B=$C421,'Student Groupings'!$H:$H=""Must be Together""),"""");iferror(filter('Student Groupings'!$A:$A,'Student Groupings'!$E:"&amp;"$E=$C421,'Student Groupings'!$H:$H=""Must be Together""),"""")})))"),"")</f>
        <v/>
      </c>
    </row>
    <row r="422">
      <c r="A422" s="186">
        <v>12.0</v>
      </c>
      <c r="B422" s="182">
        <v>26146.0</v>
      </c>
      <c r="C422" s="183" t="s">
        <v>574</v>
      </c>
      <c r="D422" s="198" t="s">
        <v>45</v>
      </c>
      <c r="E422" s="181">
        <v>1.0</v>
      </c>
      <c r="F422" s="186" t="s">
        <v>53</v>
      </c>
      <c r="G422" s="186">
        <v>5.0</v>
      </c>
      <c r="H422" s="182" t="s">
        <v>82</v>
      </c>
      <c r="I422" s="186">
        <v>7.0</v>
      </c>
      <c r="J422" s="187"/>
      <c r="K422" s="200"/>
      <c r="L422" s="184" t="s">
        <v>84</v>
      </c>
      <c r="M422" s="186">
        <v>6.0</v>
      </c>
      <c r="N422" s="184" t="s">
        <v>134</v>
      </c>
      <c r="O422" s="186">
        <v>8.0</v>
      </c>
      <c r="P422" s="182" t="s">
        <v>114</v>
      </c>
      <c r="Q422" s="186">
        <v>3.0</v>
      </c>
      <c r="R422" s="184" t="s">
        <v>105</v>
      </c>
      <c r="S422" s="186">
        <v>4.0</v>
      </c>
      <c r="T422" s="187"/>
      <c r="U422" s="200"/>
      <c r="V422" s="184" t="s">
        <v>23</v>
      </c>
      <c r="W422" s="186">
        <v>2.0</v>
      </c>
      <c r="X422" s="142">
        <v>1.0</v>
      </c>
      <c r="Y422" s="142">
        <v>1.0</v>
      </c>
      <c r="Z422" s="142">
        <v>1.0</v>
      </c>
      <c r="AA422" s="142">
        <v>1.0</v>
      </c>
      <c r="AB422" s="142">
        <v>1.0</v>
      </c>
      <c r="AC422" s="142">
        <v>1.0</v>
      </c>
      <c r="AD422" s="142">
        <v>1.0</v>
      </c>
      <c r="AE422" s="142">
        <v>1.0</v>
      </c>
      <c r="AF422" s="142">
        <v>8.0</v>
      </c>
      <c r="AG422" s="142">
        <v>0.0</v>
      </c>
      <c r="AH422" s="185" t="str">
        <f>IFERROR(__xludf.DUMMYFUNCTION("if($C422="""","""",if(join("" - "",{iferror(filter('Student Groupings'!$A:$A,'Student Groupings'!$B:$B=$C422,'Student Groupings'!$H:$H=""Can't be Together""),"""");iferror(filter('Student Groupings'!$A:$A,'Student Groupings'!$E:$E=$C422,'Student Groupings"&amp;"'!$H:$H=""Can't be Together""),"""")})="" - "","""",join("" - "",{iferror(filter('Student Groupings'!$A:$A,'Student Groupings'!$B:$B=$C422,'Student Groupings'!$H:$H=""Can't be Together""),"""");iferror(filter('Student Groupings'!$A:$A,'Student Groupings'!"&amp;"$E:$E=$C422,'Student Groupings'!$H:$H=""Can't be Together""),"""")})))"),"")</f>
        <v/>
      </c>
      <c r="AI422" s="185" t="str">
        <f>IFERROR(__xludf.DUMMYFUNCTION("if($C422="""","""",if(join("" - "",{iferror(filter('Student Groupings'!$A:$A,'Student Groupings'!$B:$B=$C422,'Student Groupings'!$H:$H=""Must be Together""),"""");iferror(filter('Student Groupings'!$A:$A,'Student Groupings'!$E:$E=$C422,'Student Groupings'"&amp;"!$H:$H=""Must be Together""),"""")})="" - "","""",join("" - "",{iferror(filter('Student Groupings'!$A:$A,'Student Groupings'!$B:$B=$C422,'Student Groupings'!$H:$H=""Must be Together""),"""");iferror(filter('Student Groupings'!$A:$A,'Student Groupings'!$E:"&amp;"$E=$C422,'Student Groupings'!$H:$H=""Must be Together""),"""")})))"),"")</f>
        <v/>
      </c>
    </row>
    <row r="423">
      <c r="A423" s="186">
        <v>12.0</v>
      </c>
      <c r="B423" s="182">
        <v>26029.0</v>
      </c>
      <c r="C423" s="183" t="s">
        <v>575</v>
      </c>
      <c r="D423" s="198" t="s">
        <v>45</v>
      </c>
      <c r="E423" s="181">
        <v>8.0</v>
      </c>
      <c r="F423" s="186" t="s">
        <v>53</v>
      </c>
      <c r="G423" s="186">
        <v>3.0</v>
      </c>
      <c r="H423" s="182" t="s">
        <v>82</v>
      </c>
      <c r="I423" s="167">
        <v>4.0</v>
      </c>
      <c r="J423" s="187"/>
      <c r="K423" s="200"/>
      <c r="L423" s="184" t="s">
        <v>98</v>
      </c>
      <c r="M423" s="186">
        <v>7.0</v>
      </c>
      <c r="N423" s="184" t="s">
        <v>134</v>
      </c>
      <c r="O423" s="186">
        <v>6.0</v>
      </c>
      <c r="P423" s="182" t="s">
        <v>114</v>
      </c>
      <c r="Q423" s="186">
        <v>1.0</v>
      </c>
      <c r="R423" s="184" t="s">
        <v>107</v>
      </c>
      <c r="S423" s="186">
        <v>2.0</v>
      </c>
      <c r="T423" s="187"/>
      <c r="U423" s="200"/>
      <c r="V423" s="239" t="s">
        <v>30</v>
      </c>
      <c r="W423" s="167">
        <v>5.0</v>
      </c>
      <c r="X423" s="142">
        <v>1.0</v>
      </c>
      <c r="Y423" s="142">
        <v>1.0</v>
      </c>
      <c r="Z423" s="142">
        <v>1.0</v>
      </c>
      <c r="AA423" s="142">
        <v>1.0</v>
      </c>
      <c r="AB423" s="142">
        <v>1.0</v>
      </c>
      <c r="AC423" s="142">
        <v>1.0</v>
      </c>
      <c r="AD423" s="142">
        <v>1.0</v>
      </c>
      <c r="AE423" s="142">
        <v>1.0</v>
      </c>
      <c r="AF423" s="142">
        <v>8.0</v>
      </c>
      <c r="AG423" s="142">
        <v>0.0</v>
      </c>
      <c r="AH423" s="185" t="str">
        <f>IFERROR(__xludf.DUMMYFUNCTION("if($C423="""","""",if(join("" - "",{iferror(filter('Student Groupings'!$A:$A,'Student Groupings'!$B:$B=$C423,'Student Groupings'!$H:$H=""Can't be Together""),"""");iferror(filter('Student Groupings'!$A:$A,'Student Groupings'!$E:$E=$C423,'Student Groupings"&amp;"'!$H:$H=""Can't be Together""),"""")})="" - "","""",join("" - "",{iferror(filter('Student Groupings'!$A:$A,'Student Groupings'!$B:$B=$C423,'Student Groupings'!$H:$H=""Can't be Together""),"""");iferror(filter('Student Groupings'!$A:$A,'Student Groupings'!"&amp;"$E:$E=$C423,'Student Groupings'!$H:$H=""Can't be Together""),"""")})))"),"")</f>
        <v/>
      </c>
      <c r="AI423" s="185" t="str">
        <f>IFERROR(__xludf.DUMMYFUNCTION("if($C423="""","""",if(join("" - "",{iferror(filter('Student Groupings'!$A:$A,'Student Groupings'!$B:$B=$C423,'Student Groupings'!$H:$H=""Must be Together""),"""");iferror(filter('Student Groupings'!$A:$A,'Student Groupings'!$E:$E=$C423,'Student Groupings'"&amp;"!$H:$H=""Must be Together""),"""")})="" - "","""",join("" - "",{iferror(filter('Student Groupings'!$A:$A,'Student Groupings'!$B:$B=$C423,'Student Groupings'!$H:$H=""Must be Together""),"""");iferror(filter('Student Groupings'!$A:$A,'Student Groupings'!$E:"&amp;"$E=$C423,'Student Groupings'!$H:$H=""Must be Together""),"""")})))"),"")</f>
        <v/>
      </c>
    </row>
    <row r="424">
      <c r="A424" s="186">
        <v>12.0</v>
      </c>
      <c r="B424" s="182">
        <v>26092.0</v>
      </c>
      <c r="C424" s="183" t="s">
        <v>576</v>
      </c>
      <c r="D424" s="198" t="s">
        <v>45</v>
      </c>
      <c r="E424" s="181">
        <v>1.0</v>
      </c>
      <c r="F424" s="186" t="s">
        <v>53</v>
      </c>
      <c r="G424" s="167">
        <v>5.0</v>
      </c>
      <c r="H424" s="182" t="s">
        <v>69</v>
      </c>
      <c r="I424" s="167">
        <v>2.0</v>
      </c>
      <c r="J424" s="183"/>
      <c r="K424" s="167"/>
      <c r="L424" s="184" t="s">
        <v>98</v>
      </c>
      <c r="M424" s="186">
        <v>7.0</v>
      </c>
      <c r="N424" s="184" t="s">
        <v>134</v>
      </c>
      <c r="O424" s="167">
        <v>6.0</v>
      </c>
      <c r="P424" s="182" t="s">
        <v>114</v>
      </c>
      <c r="Q424" s="167">
        <v>4.0</v>
      </c>
      <c r="R424" s="184" t="s">
        <v>107</v>
      </c>
      <c r="S424" s="167">
        <v>3.0</v>
      </c>
      <c r="T424" s="187"/>
      <c r="U424" s="200"/>
      <c r="V424" s="239" t="s">
        <v>27</v>
      </c>
      <c r="W424" s="167">
        <v>8.0</v>
      </c>
      <c r="X424" s="142">
        <v>1.0</v>
      </c>
      <c r="Y424" s="142">
        <v>1.0</v>
      </c>
      <c r="Z424" s="142">
        <v>1.0</v>
      </c>
      <c r="AA424" s="142">
        <v>1.0</v>
      </c>
      <c r="AB424" s="142">
        <v>1.0</v>
      </c>
      <c r="AC424" s="142">
        <v>1.0</v>
      </c>
      <c r="AD424" s="142">
        <v>1.0</v>
      </c>
      <c r="AE424" s="142">
        <v>1.0</v>
      </c>
      <c r="AF424" s="142">
        <v>8.0</v>
      </c>
      <c r="AG424" s="142">
        <v>0.0</v>
      </c>
      <c r="AH424" s="185" t="str">
        <f>IFERROR(__xludf.DUMMYFUNCTION("if($C424="""","""",if(join("" - "",{iferror(filter('Student Groupings'!$A:$A,'Student Groupings'!$B:$B=$C424,'Student Groupings'!$H:$H=""Can't be Together""),"""");iferror(filter('Student Groupings'!$A:$A,'Student Groupings'!$E:$E=$C424,'Student Groupings"&amp;"'!$H:$H=""Can't be Together""),"""")})="" - "","""",join("" - "",{iferror(filter('Student Groupings'!$A:$A,'Student Groupings'!$B:$B=$C424,'Student Groupings'!$H:$H=""Can't be Together""),"""");iferror(filter('Student Groupings'!$A:$A,'Student Groupings'!"&amp;"$E:$E=$C424,'Student Groupings'!$H:$H=""Can't be Together""),"""")})))"),"")</f>
        <v/>
      </c>
      <c r="AI424" s="185" t="str">
        <f>IFERROR(__xludf.DUMMYFUNCTION("if($C424="""","""",if(join("" - "",{iferror(filter('Student Groupings'!$A:$A,'Student Groupings'!$B:$B=$C424,'Student Groupings'!$H:$H=""Must be Together""),"""");iferror(filter('Student Groupings'!$A:$A,'Student Groupings'!$E:$E=$C424,'Student Groupings'"&amp;"!$H:$H=""Must be Together""),"""")})="" - "","""",join("" - "",{iferror(filter('Student Groupings'!$A:$A,'Student Groupings'!$B:$B=$C424,'Student Groupings'!$H:$H=""Must be Together""),"""");iferror(filter('Student Groupings'!$A:$A,'Student Groupings'!$E:"&amp;"$E=$C424,'Student Groupings'!$H:$H=""Must be Together""),"""")})))"),"")</f>
        <v/>
      </c>
    </row>
    <row r="425">
      <c r="A425" s="186">
        <v>12.0</v>
      </c>
      <c r="B425" s="182">
        <v>26136.0</v>
      </c>
      <c r="C425" s="183" t="s">
        <v>577</v>
      </c>
      <c r="D425" s="198" t="s">
        <v>38</v>
      </c>
      <c r="E425" s="181">
        <v>8.0</v>
      </c>
      <c r="F425" s="186" t="s">
        <v>53</v>
      </c>
      <c r="G425" s="186">
        <v>7.0</v>
      </c>
      <c r="H425" s="182" t="s">
        <v>69</v>
      </c>
      <c r="I425" s="186">
        <v>5.0</v>
      </c>
      <c r="J425" s="187"/>
      <c r="K425" s="200"/>
      <c r="L425" s="184" t="s">
        <v>85</v>
      </c>
      <c r="M425" s="186">
        <v>3.0</v>
      </c>
      <c r="N425" s="184" t="s">
        <v>134</v>
      </c>
      <c r="O425" s="186">
        <v>1.0</v>
      </c>
      <c r="P425" s="182" t="s">
        <v>114</v>
      </c>
      <c r="Q425" s="186">
        <v>6.0</v>
      </c>
      <c r="R425" s="184" t="s">
        <v>108</v>
      </c>
      <c r="S425" s="186">
        <v>2.0</v>
      </c>
      <c r="T425" s="187"/>
      <c r="U425" s="200"/>
      <c r="V425" s="184" t="s">
        <v>105</v>
      </c>
      <c r="W425" s="167">
        <v>4.0</v>
      </c>
      <c r="X425" s="142">
        <v>1.0</v>
      </c>
      <c r="Y425" s="142">
        <v>1.0</v>
      </c>
      <c r="Z425" s="142">
        <v>1.0</v>
      </c>
      <c r="AA425" s="142">
        <v>1.0</v>
      </c>
      <c r="AB425" s="142">
        <v>1.0</v>
      </c>
      <c r="AC425" s="142">
        <v>1.0</v>
      </c>
      <c r="AD425" s="142">
        <v>1.0</v>
      </c>
      <c r="AE425" s="142">
        <v>1.0</v>
      </c>
      <c r="AF425" s="142">
        <v>8.0</v>
      </c>
      <c r="AG425" s="142">
        <v>0.0</v>
      </c>
      <c r="AH425" s="185" t="str">
        <f>IFERROR(__xludf.DUMMYFUNCTION("if($C425="""","""",if(join("" - "",{iferror(filter('Student Groupings'!$A:$A,'Student Groupings'!$B:$B=$C425,'Student Groupings'!$H:$H=""Can't be Together""),"""");iferror(filter('Student Groupings'!$A:$A,'Student Groupings'!$E:$E=$C425,'Student Groupings"&amp;"'!$H:$H=""Can't be Together""),"""")})="" - "","""",join("" - "",{iferror(filter('Student Groupings'!$A:$A,'Student Groupings'!$B:$B=$C425,'Student Groupings'!$H:$H=""Can't be Together""),"""");iferror(filter('Student Groupings'!$A:$A,'Student Groupings'!"&amp;"$E:$E=$C425,'Student Groupings'!$H:$H=""Can't be Together""),"""")})))"),"")</f>
        <v/>
      </c>
      <c r="AI425" s="185" t="str">
        <f>IFERROR(__xludf.DUMMYFUNCTION("if($C425="""","""",if(join("" - "",{iferror(filter('Student Groupings'!$A:$A,'Student Groupings'!$B:$B=$C425,'Student Groupings'!$H:$H=""Must be Together""),"""");iferror(filter('Student Groupings'!$A:$A,'Student Groupings'!$E:$E=$C425,'Student Groupings'"&amp;"!$H:$H=""Must be Together""),"""")})="" - "","""",join("" - "",{iferror(filter('Student Groupings'!$A:$A,'Student Groupings'!$B:$B=$C425,'Student Groupings'!$H:$H=""Must be Together""),"""");iferror(filter('Student Groupings'!$A:$A,'Student Groupings'!$E:"&amp;"$E=$C425,'Student Groupings'!$H:$H=""Must be Together""),"""")})))"),"")</f>
        <v/>
      </c>
    </row>
    <row r="426">
      <c r="A426" s="186">
        <v>12.0</v>
      </c>
      <c r="B426" s="182">
        <v>26170.0</v>
      </c>
      <c r="C426" s="183" t="s">
        <v>578</v>
      </c>
      <c r="D426" s="198" t="s">
        <v>45</v>
      </c>
      <c r="E426" s="181">
        <v>7.0</v>
      </c>
      <c r="F426" s="186" t="s">
        <v>53</v>
      </c>
      <c r="G426" s="186">
        <v>3.0</v>
      </c>
      <c r="H426" s="182" t="s">
        <v>70</v>
      </c>
      <c r="I426" s="186">
        <v>2.0</v>
      </c>
      <c r="J426" s="187"/>
      <c r="K426" s="200"/>
      <c r="L426" s="184" t="s">
        <v>96</v>
      </c>
      <c r="M426" s="186">
        <v>5.0</v>
      </c>
      <c r="N426" s="184" t="s">
        <v>134</v>
      </c>
      <c r="O426" s="167">
        <v>8.0</v>
      </c>
      <c r="P426" s="184" t="s">
        <v>126</v>
      </c>
      <c r="Q426" s="167">
        <v>1.0</v>
      </c>
      <c r="R426" s="184" t="s">
        <v>109</v>
      </c>
      <c r="S426" s="186">
        <v>4.0</v>
      </c>
      <c r="T426" s="183"/>
      <c r="U426" s="167"/>
      <c r="V426" s="227" t="s">
        <v>95</v>
      </c>
      <c r="W426" s="186">
        <v>6.0</v>
      </c>
      <c r="X426" s="142">
        <v>1.0</v>
      </c>
      <c r="Y426" s="142">
        <v>1.0</v>
      </c>
      <c r="Z426" s="142">
        <v>1.0</v>
      </c>
      <c r="AA426" s="142">
        <v>1.0</v>
      </c>
      <c r="AB426" s="142">
        <v>1.0</v>
      </c>
      <c r="AC426" s="142">
        <v>1.0</v>
      </c>
      <c r="AD426" s="142">
        <v>1.0</v>
      </c>
      <c r="AE426" s="142">
        <v>1.0</v>
      </c>
      <c r="AF426" s="142">
        <v>8.0</v>
      </c>
      <c r="AG426" s="142">
        <v>0.0</v>
      </c>
      <c r="AH426" s="185" t="str">
        <f>IFERROR(__xludf.DUMMYFUNCTION("if($C426="""","""",if(join("" - "",{iferror(filter('Student Groupings'!$A:$A,'Student Groupings'!$B:$B=$C426,'Student Groupings'!$H:$H=""Can't be Together""),"""");iferror(filter('Student Groupings'!$A:$A,'Student Groupings'!$E:$E=$C426,'Student Groupings"&amp;"'!$H:$H=""Can't be Together""),"""")})="" - "","""",join("" - "",{iferror(filter('Student Groupings'!$A:$A,'Student Groupings'!$B:$B=$C426,'Student Groupings'!$H:$H=""Can't be Together""),"""");iferror(filter('Student Groupings'!$A:$A,'Student Groupings'!"&amp;"$E:$E=$C426,'Student Groupings'!$H:$H=""Can't be Together""),"""")})))"),"")</f>
        <v/>
      </c>
      <c r="AI426" s="185" t="str">
        <f>IFERROR(__xludf.DUMMYFUNCTION("if($C426="""","""",if(join("" - "",{iferror(filter('Student Groupings'!$A:$A,'Student Groupings'!$B:$B=$C426,'Student Groupings'!$H:$H=""Must be Together""),"""");iferror(filter('Student Groupings'!$A:$A,'Student Groupings'!$E:$E=$C426,'Student Groupings'"&amp;"!$H:$H=""Must be Together""),"""")})="" - "","""",join("" - "",{iferror(filter('Student Groupings'!$A:$A,'Student Groupings'!$B:$B=$C426,'Student Groupings'!$H:$H=""Must be Together""),"""");iferror(filter('Student Groupings'!$A:$A,'Student Groupings'!$E:"&amp;"$E=$C426,'Student Groupings'!$H:$H=""Must be Together""),"""")})))"),"")</f>
        <v/>
      </c>
    </row>
    <row r="427">
      <c r="A427" s="186">
        <v>12.0</v>
      </c>
      <c r="B427" s="182">
        <v>26093.0</v>
      </c>
      <c r="C427" s="183" t="s">
        <v>579</v>
      </c>
      <c r="D427" s="198" t="s">
        <v>46</v>
      </c>
      <c r="E427" s="181">
        <v>4.0</v>
      </c>
      <c r="F427" s="186" t="s">
        <v>54</v>
      </c>
      <c r="G427" s="167">
        <v>8.0</v>
      </c>
      <c r="H427" s="182" t="s">
        <v>71</v>
      </c>
      <c r="I427" s="186">
        <v>3.0</v>
      </c>
      <c r="J427" s="187"/>
      <c r="K427" s="200"/>
      <c r="L427" s="184" t="s">
        <v>93</v>
      </c>
      <c r="M427" s="186">
        <v>5.0</v>
      </c>
      <c r="N427" s="184" t="s">
        <v>134</v>
      </c>
      <c r="O427" s="186">
        <v>6.0</v>
      </c>
      <c r="P427" s="184" t="s">
        <v>126</v>
      </c>
      <c r="Q427" s="167">
        <v>1.0</v>
      </c>
      <c r="R427" s="184" t="s">
        <v>108</v>
      </c>
      <c r="S427" s="186">
        <v>2.0</v>
      </c>
      <c r="T427" s="183"/>
      <c r="U427" s="167"/>
      <c r="V427" s="184" t="s">
        <v>74</v>
      </c>
      <c r="W427" s="186">
        <v>7.0</v>
      </c>
      <c r="X427" s="142">
        <v>1.0</v>
      </c>
      <c r="Y427" s="142">
        <v>1.0</v>
      </c>
      <c r="Z427" s="142">
        <v>1.0</v>
      </c>
      <c r="AA427" s="142">
        <v>1.0</v>
      </c>
      <c r="AB427" s="142">
        <v>1.0</v>
      </c>
      <c r="AC427" s="142">
        <v>1.0</v>
      </c>
      <c r="AD427" s="142">
        <v>1.0</v>
      </c>
      <c r="AE427" s="142">
        <v>1.0</v>
      </c>
      <c r="AF427" s="142">
        <v>8.0</v>
      </c>
      <c r="AG427" s="142">
        <v>0.0</v>
      </c>
      <c r="AH427" s="185" t="str">
        <f>IFERROR(__xludf.DUMMYFUNCTION("if($C427="""","""",if(join("" - "",{iferror(filter('Student Groupings'!$A:$A,'Student Groupings'!$B:$B=$C427,'Student Groupings'!$H:$H=""Can't be Together""),"""");iferror(filter('Student Groupings'!$A:$A,'Student Groupings'!$E:$E=$C427,'Student Groupings"&amp;"'!$H:$H=""Can't be Together""),"""")})="" - "","""",join("" - "",{iferror(filter('Student Groupings'!$A:$A,'Student Groupings'!$B:$B=$C427,'Student Groupings'!$H:$H=""Can't be Together""),"""");iferror(filter('Student Groupings'!$A:$A,'Student Groupings'!"&amp;"$E:$E=$C427,'Student Groupings'!$H:$H=""Can't be Together""),"""")})))"),"")</f>
        <v/>
      </c>
      <c r="AI427" s="185" t="str">
        <f>IFERROR(__xludf.DUMMYFUNCTION("if($C427="""","""",if(join("" - "",{iferror(filter('Student Groupings'!$A:$A,'Student Groupings'!$B:$B=$C427,'Student Groupings'!$H:$H=""Must be Together""),"""");iferror(filter('Student Groupings'!$A:$A,'Student Groupings'!$E:$E=$C427,'Student Groupings'"&amp;"!$H:$H=""Must be Together""),"""")})="" - "","""",join("" - "",{iferror(filter('Student Groupings'!$A:$A,'Student Groupings'!$B:$B=$C427,'Student Groupings'!$H:$H=""Must be Together""),"""");iferror(filter('Student Groupings'!$A:$A,'Student Groupings'!$E:"&amp;"$E=$C427,'Student Groupings'!$H:$H=""Must be Together""),"""")})))"),"")</f>
        <v/>
      </c>
    </row>
    <row r="428">
      <c r="A428" s="186">
        <v>12.0</v>
      </c>
      <c r="B428" s="182">
        <v>26055.0</v>
      </c>
      <c r="C428" s="183" t="s">
        <v>580</v>
      </c>
      <c r="D428" s="198" t="s">
        <v>38</v>
      </c>
      <c r="E428" s="181">
        <v>3.0</v>
      </c>
      <c r="F428" s="186" t="s">
        <v>53</v>
      </c>
      <c r="G428" s="186">
        <v>7.0</v>
      </c>
      <c r="H428" s="182" t="s">
        <v>69</v>
      </c>
      <c r="I428" s="186">
        <v>6.0</v>
      </c>
      <c r="J428" s="187"/>
      <c r="K428" s="200"/>
      <c r="L428" s="184" t="s">
        <v>84</v>
      </c>
      <c r="M428" s="186">
        <v>8.0</v>
      </c>
      <c r="N428" s="184" t="s">
        <v>134</v>
      </c>
      <c r="O428" s="186">
        <v>5.0</v>
      </c>
      <c r="P428" s="182" t="s">
        <v>114</v>
      </c>
      <c r="Q428" s="186">
        <v>1.0</v>
      </c>
      <c r="R428" s="184" t="s">
        <v>108</v>
      </c>
      <c r="S428" s="186">
        <v>2.0</v>
      </c>
      <c r="T428" s="187"/>
      <c r="U428" s="200"/>
      <c r="V428" s="240" t="s">
        <v>121</v>
      </c>
      <c r="W428" s="186">
        <v>4.0</v>
      </c>
      <c r="X428" s="142">
        <v>1.0</v>
      </c>
      <c r="Y428" s="142">
        <v>1.0</v>
      </c>
      <c r="Z428" s="142">
        <v>1.0</v>
      </c>
      <c r="AA428" s="142">
        <v>1.0</v>
      </c>
      <c r="AB428" s="142">
        <v>1.0</v>
      </c>
      <c r="AC428" s="142">
        <v>1.0</v>
      </c>
      <c r="AD428" s="142">
        <v>1.0</v>
      </c>
      <c r="AE428" s="142">
        <v>1.0</v>
      </c>
      <c r="AF428" s="142">
        <v>8.0</v>
      </c>
      <c r="AG428" s="142">
        <v>0.0</v>
      </c>
      <c r="AH428" s="185" t="str">
        <f>IFERROR(__xludf.DUMMYFUNCTION("if($C428="""","""",if(join("" - "",{iferror(filter('Student Groupings'!$A:$A,'Student Groupings'!$B:$B=$C428,'Student Groupings'!$H:$H=""Can't be Together""),"""");iferror(filter('Student Groupings'!$A:$A,'Student Groupings'!$E:$E=$C428,'Student Groupings"&amp;"'!$H:$H=""Can't be Together""),"""")})="" - "","""",join("" - "",{iferror(filter('Student Groupings'!$A:$A,'Student Groupings'!$B:$B=$C428,'Student Groupings'!$H:$H=""Can't be Together""),"""");iferror(filter('Student Groupings'!$A:$A,'Student Groupings'!"&amp;"$E:$E=$C428,'Student Groupings'!$H:$H=""Can't be Together""),"""")})))"),"")</f>
        <v/>
      </c>
      <c r="AI428" s="185" t="str">
        <f>IFERROR(__xludf.DUMMYFUNCTION("if($C428="""","""",if(join("" - "",{iferror(filter('Student Groupings'!$A:$A,'Student Groupings'!$B:$B=$C428,'Student Groupings'!$H:$H=""Must be Together""),"""");iferror(filter('Student Groupings'!$A:$A,'Student Groupings'!$E:$E=$C428,'Student Groupings'"&amp;"!$H:$H=""Must be Together""),"""")})="" - "","""",join("" - "",{iferror(filter('Student Groupings'!$A:$A,'Student Groupings'!$B:$B=$C428,'Student Groupings'!$H:$H=""Must be Together""),"""");iferror(filter('Student Groupings'!$A:$A,'Student Groupings'!$E:"&amp;"$E=$C428,'Student Groupings'!$H:$H=""Must be Together""),"""")})))"),"")</f>
        <v/>
      </c>
    </row>
    <row r="429">
      <c r="A429" s="186">
        <v>12.0</v>
      </c>
      <c r="B429" s="182">
        <v>26060.0</v>
      </c>
      <c r="C429" s="183" t="s">
        <v>581</v>
      </c>
      <c r="D429" s="198" t="s">
        <v>45</v>
      </c>
      <c r="E429" s="181">
        <v>7.0</v>
      </c>
      <c r="F429" s="186" t="s">
        <v>53</v>
      </c>
      <c r="G429" s="186">
        <v>3.0</v>
      </c>
      <c r="H429" s="182" t="s">
        <v>82</v>
      </c>
      <c r="I429" s="167">
        <v>4.0</v>
      </c>
      <c r="J429" s="183"/>
      <c r="K429" s="167"/>
      <c r="L429" s="184" t="s">
        <v>84</v>
      </c>
      <c r="M429" s="186">
        <v>8.0</v>
      </c>
      <c r="N429" s="184" t="s">
        <v>134</v>
      </c>
      <c r="O429" s="186">
        <v>2.0</v>
      </c>
      <c r="P429" s="184" t="s">
        <v>126</v>
      </c>
      <c r="Q429" s="186">
        <v>1.0</v>
      </c>
      <c r="R429" s="184" t="s">
        <v>107</v>
      </c>
      <c r="S429" s="186">
        <v>6.0</v>
      </c>
      <c r="T429" s="187"/>
      <c r="U429" s="200"/>
      <c r="V429" s="184" t="s">
        <v>111</v>
      </c>
      <c r="W429" s="186">
        <v>5.0</v>
      </c>
      <c r="X429" s="142">
        <v>1.0</v>
      </c>
      <c r="Y429" s="142">
        <v>1.0</v>
      </c>
      <c r="Z429" s="142">
        <v>1.0</v>
      </c>
      <c r="AA429" s="142">
        <v>1.0</v>
      </c>
      <c r="AB429" s="142">
        <v>1.0</v>
      </c>
      <c r="AC429" s="142">
        <v>1.0</v>
      </c>
      <c r="AD429" s="142">
        <v>1.0</v>
      </c>
      <c r="AE429" s="142">
        <v>1.0</v>
      </c>
      <c r="AF429" s="142">
        <v>8.0</v>
      </c>
      <c r="AG429" s="142">
        <v>0.0</v>
      </c>
      <c r="AH429" s="185" t="str">
        <f>IFERROR(__xludf.DUMMYFUNCTION("if($C429="""","""",if(join("" - "",{iferror(filter('Student Groupings'!$A:$A,'Student Groupings'!$B:$B=$C429,'Student Groupings'!$H:$H=""Can't be Together""),"""");iferror(filter('Student Groupings'!$A:$A,'Student Groupings'!$E:$E=$C429,'Student Groupings"&amp;"'!$H:$H=""Can't be Together""),"""")})="" - "","""",join("" - "",{iferror(filter('Student Groupings'!$A:$A,'Student Groupings'!$B:$B=$C429,'Student Groupings'!$H:$H=""Can't be Together""),"""");iferror(filter('Student Groupings'!$A:$A,'Student Groupings'!"&amp;"$E:$E=$C429,'Student Groupings'!$H:$H=""Can't be Together""),"""")})))"),"")</f>
        <v/>
      </c>
      <c r="AI429" s="185" t="str">
        <f>IFERROR(__xludf.DUMMYFUNCTION("if($C429="""","""",if(join("" - "",{iferror(filter('Student Groupings'!$A:$A,'Student Groupings'!$B:$B=$C429,'Student Groupings'!$H:$H=""Must be Together""),"""");iferror(filter('Student Groupings'!$A:$A,'Student Groupings'!$E:$E=$C429,'Student Groupings'"&amp;"!$H:$H=""Must be Together""),"""")})="" - "","""",join("" - "",{iferror(filter('Student Groupings'!$A:$A,'Student Groupings'!$B:$B=$C429,'Student Groupings'!$H:$H=""Must be Together""),"""");iferror(filter('Student Groupings'!$A:$A,'Student Groupings'!$E:"&amp;"$E=$C429,'Student Groupings'!$H:$H=""Must be Together""),"""")})))"),"")</f>
        <v/>
      </c>
    </row>
    <row r="430">
      <c r="A430" s="186">
        <v>12.0</v>
      </c>
      <c r="B430" s="182">
        <v>26134.0</v>
      </c>
      <c r="C430" s="183" t="s">
        <v>582</v>
      </c>
      <c r="D430" s="198" t="s">
        <v>46</v>
      </c>
      <c r="E430" s="181">
        <v>4.0</v>
      </c>
      <c r="F430" s="186" t="s">
        <v>53</v>
      </c>
      <c r="G430" s="186">
        <v>5.0</v>
      </c>
      <c r="H430" s="182" t="s">
        <v>82</v>
      </c>
      <c r="I430" s="186">
        <v>7.0</v>
      </c>
      <c r="J430" s="187"/>
      <c r="K430" s="200"/>
      <c r="L430" s="184" t="s">
        <v>85</v>
      </c>
      <c r="M430" s="186">
        <v>3.0</v>
      </c>
      <c r="N430" s="184" t="s">
        <v>134</v>
      </c>
      <c r="O430" s="186">
        <v>6.0</v>
      </c>
      <c r="P430" s="184" t="s">
        <v>126</v>
      </c>
      <c r="Q430" s="167">
        <v>1.0</v>
      </c>
      <c r="R430" s="184" t="s">
        <v>107</v>
      </c>
      <c r="S430" s="186">
        <v>2.0</v>
      </c>
      <c r="T430" s="187"/>
      <c r="U430" s="200"/>
      <c r="V430" s="184" t="s">
        <v>35</v>
      </c>
      <c r="W430" s="186">
        <v>8.0</v>
      </c>
      <c r="X430" s="142">
        <v>1.0</v>
      </c>
      <c r="Y430" s="142">
        <v>1.0</v>
      </c>
      <c r="Z430" s="142">
        <v>1.0</v>
      </c>
      <c r="AA430" s="142">
        <v>1.0</v>
      </c>
      <c r="AB430" s="142">
        <v>1.0</v>
      </c>
      <c r="AC430" s="142">
        <v>1.0</v>
      </c>
      <c r="AD430" s="142">
        <v>1.0</v>
      </c>
      <c r="AE430" s="142">
        <v>1.0</v>
      </c>
      <c r="AF430" s="142">
        <v>8.0</v>
      </c>
      <c r="AG430" s="142">
        <v>0.0</v>
      </c>
      <c r="AH430" s="185" t="str">
        <f>IFERROR(__xludf.DUMMYFUNCTION("if($C430="""","""",if(join("" - "",{iferror(filter('Student Groupings'!$A:$A,'Student Groupings'!$B:$B=$C430,'Student Groupings'!$H:$H=""Can't be Together""),"""");iferror(filter('Student Groupings'!$A:$A,'Student Groupings'!$E:$E=$C430,'Student Groupings"&amp;"'!$H:$H=""Can't be Together""),"""")})="" - "","""",join("" - "",{iferror(filter('Student Groupings'!$A:$A,'Student Groupings'!$B:$B=$C430,'Student Groupings'!$H:$H=""Can't be Together""),"""");iferror(filter('Student Groupings'!$A:$A,'Student Groupings'!"&amp;"$E:$E=$C430,'Student Groupings'!$H:$H=""Can't be Together""),"""")})))"),"")</f>
        <v/>
      </c>
      <c r="AI430" s="185" t="str">
        <f>IFERROR(__xludf.DUMMYFUNCTION("if($C430="""","""",if(join("" - "",{iferror(filter('Student Groupings'!$A:$A,'Student Groupings'!$B:$B=$C430,'Student Groupings'!$H:$H=""Must be Together""),"""");iferror(filter('Student Groupings'!$A:$A,'Student Groupings'!$E:$E=$C430,'Student Groupings'"&amp;"!$H:$H=""Must be Together""),"""")})="" - "","""",join("" - "",{iferror(filter('Student Groupings'!$A:$A,'Student Groupings'!$B:$B=$C430,'Student Groupings'!$H:$H=""Must be Together""),"""");iferror(filter('Student Groupings'!$A:$A,'Student Groupings'!$E:"&amp;"$E=$C430,'Student Groupings'!$H:$H=""Must be Together""),"""")})))"),"")</f>
        <v/>
      </c>
    </row>
    <row r="431">
      <c r="A431" s="186">
        <v>12.0</v>
      </c>
      <c r="B431" s="182">
        <v>26143.0</v>
      </c>
      <c r="C431" s="183" t="s">
        <v>583</v>
      </c>
      <c r="D431" s="198" t="s">
        <v>45</v>
      </c>
      <c r="E431" s="181">
        <v>8.0</v>
      </c>
      <c r="F431" s="186" t="s">
        <v>53</v>
      </c>
      <c r="G431" s="186">
        <v>3.0</v>
      </c>
      <c r="H431" s="182" t="s">
        <v>69</v>
      </c>
      <c r="I431" s="186">
        <v>5.0</v>
      </c>
      <c r="J431" s="183"/>
      <c r="K431" s="167"/>
      <c r="L431" s="184" t="s">
        <v>98</v>
      </c>
      <c r="M431" s="186">
        <v>7.0</v>
      </c>
      <c r="N431" s="184" t="s">
        <v>134</v>
      </c>
      <c r="O431" s="186">
        <v>2.0</v>
      </c>
      <c r="P431" s="182" t="s">
        <v>114</v>
      </c>
      <c r="Q431" s="186">
        <v>1.0</v>
      </c>
      <c r="R431" s="184" t="s">
        <v>107</v>
      </c>
      <c r="S431" s="186">
        <v>6.0</v>
      </c>
      <c r="T431" s="187"/>
      <c r="U431" s="200"/>
      <c r="V431" s="184" t="s">
        <v>82</v>
      </c>
      <c r="W431" s="167">
        <v>4.0</v>
      </c>
      <c r="X431" s="142">
        <v>1.0</v>
      </c>
      <c r="Y431" s="142">
        <v>1.0</v>
      </c>
      <c r="Z431" s="142">
        <v>1.0</v>
      </c>
      <c r="AA431" s="142">
        <v>1.0</v>
      </c>
      <c r="AB431" s="142">
        <v>1.0</v>
      </c>
      <c r="AC431" s="142">
        <v>1.0</v>
      </c>
      <c r="AD431" s="142">
        <v>1.0</v>
      </c>
      <c r="AE431" s="142">
        <v>1.0</v>
      </c>
      <c r="AF431" s="142">
        <v>8.0</v>
      </c>
      <c r="AG431" s="142">
        <v>0.0</v>
      </c>
      <c r="AH431" s="185" t="str">
        <f>IFERROR(__xludf.DUMMYFUNCTION("if($C431="""","""",if(join("" - "",{iferror(filter('Student Groupings'!$A:$A,'Student Groupings'!$B:$B=$C431,'Student Groupings'!$H:$H=""Can't be Together""),"""");iferror(filter('Student Groupings'!$A:$A,'Student Groupings'!$E:$E=$C431,'Student Groupings"&amp;"'!$H:$H=""Can't be Together""),"""")})="" - "","""",join("" - "",{iferror(filter('Student Groupings'!$A:$A,'Student Groupings'!$B:$B=$C431,'Student Groupings'!$H:$H=""Can't be Together""),"""");iferror(filter('Student Groupings'!$A:$A,'Student Groupings'!"&amp;"$E:$E=$C431,'Student Groupings'!$H:$H=""Can't be Together""),"""")})))"),"")</f>
        <v/>
      </c>
      <c r="AI431" s="185" t="str">
        <f>IFERROR(__xludf.DUMMYFUNCTION("if($C431="""","""",if(join("" - "",{iferror(filter('Student Groupings'!$A:$A,'Student Groupings'!$B:$B=$C431,'Student Groupings'!$H:$H=""Must be Together""),"""");iferror(filter('Student Groupings'!$A:$A,'Student Groupings'!$E:$E=$C431,'Student Groupings'"&amp;"!$H:$H=""Must be Together""),"""")})="" - "","""",join("" - "",{iferror(filter('Student Groupings'!$A:$A,'Student Groupings'!$B:$B=$C431,'Student Groupings'!$H:$H=""Must be Together""),"""");iferror(filter('Student Groupings'!$A:$A,'Student Groupings'!$E:"&amp;"$E=$C431,'Student Groupings'!$H:$H=""Must be Together""),"""")})))"),"")</f>
        <v/>
      </c>
    </row>
    <row r="432">
      <c r="A432" s="186">
        <v>12.0</v>
      </c>
      <c r="B432" s="182">
        <v>26063.0</v>
      </c>
      <c r="C432" s="183" t="s">
        <v>584</v>
      </c>
      <c r="D432" s="198" t="s">
        <v>45</v>
      </c>
      <c r="E432" s="181">
        <v>7.0</v>
      </c>
      <c r="F432" s="186" t="s">
        <v>53</v>
      </c>
      <c r="G432" s="186">
        <v>2.0</v>
      </c>
      <c r="H432" s="182" t="s">
        <v>71</v>
      </c>
      <c r="I432" s="167">
        <v>3.0</v>
      </c>
      <c r="J432" s="183"/>
      <c r="K432" s="167"/>
      <c r="L432" s="184" t="s">
        <v>93</v>
      </c>
      <c r="M432" s="167">
        <v>5.0</v>
      </c>
      <c r="N432" s="184" t="s">
        <v>134</v>
      </c>
      <c r="O432" s="186">
        <v>8.0</v>
      </c>
      <c r="P432" s="184" t="s">
        <v>126</v>
      </c>
      <c r="Q432" s="167">
        <v>1.0</v>
      </c>
      <c r="R432" s="184" t="s">
        <v>107</v>
      </c>
      <c r="S432" s="186">
        <v>6.0</v>
      </c>
      <c r="T432" s="187"/>
      <c r="U432" s="200"/>
      <c r="V432" s="184" t="s">
        <v>82</v>
      </c>
      <c r="W432" s="186">
        <v>4.0</v>
      </c>
      <c r="X432" s="142">
        <v>1.0</v>
      </c>
      <c r="Y432" s="142">
        <v>1.0</v>
      </c>
      <c r="Z432" s="142">
        <v>1.0</v>
      </c>
      <c r="AA432" s="142">
        <v>1.0</v>
      </c>
      <c r="AB432" s="142">
        <v>1.0</v>
      </c>
      <c r="AC432" s="142">
        <v>1.0</v>
      </c>
      <c r="AD432" s="142">
        <v>1.0</v>
      </c>
      <c r="AE432" s="142">
        <v>1.0</v>
      </c>
      <c r="AF432" s="142">
        <v>8.0</v>
      </c>
      <c r="AG432" s="142">
        <v>0.0</v>
      </c>
      <c r="AH432" s="185" t="str">
        <f>IFERROR(__xludf.DUMMYFUNCTION("if($C432="""","""",if(join("" - "",{iferror(filter('Student Groupings'!$A:$A,'Student Groupings'!$B:$B=$C432,'Student Groupings'!$H:$H=""Can't be Together""),"""");iferror(filter('Student Groupings'!$A:$A,'Student Groupings'!$E:$E=$C432,'Student Groupings"&amp;"'!$H:$H=""Can't be Together""),"""")})="" - "","""",join("" - "",{iferror(filter('Student Groupings'!$A:$A,'Student Groupings'!$B:$B=$C432,'Student Groupings'!$H:$H=""Can't be Together""),"""");iferror(filter('Student Groupings'!$A:$A,'Student Groupings'!"&amp;"$E:$E=$C432,'Student Groupings'!$H:$H=""Can't be Together""),"""")})))"),"")</f>
        <v/>
      </c>
      <c r="AI432" s="185" t="str">
        <f>IFERROR(__xludf.DUMMYFUNCTION("if($C432="""","""",if(join("" - "",{iferror(filter('Student Groupings'!$A:$A,'Student Groupings'!$B:$B=$C432,'Student Groupings'!$H:$H=""Must be Together""),"""");iferror(filter('Student Groupings'!$A:$A,'Student Groupings'!$E:$E=$C432,'Student Groupings'"&amp;"!$H:$H=""Must be Together""),"""")})="" - "","""",join("" - "",{iferror(filter('Student Groupings'!$A:$A,'Student Groupings'!$B:$B=$C432,'Student Groupings'!$H:$H=""Must be Together""),"""");iferror(filter('Student Groupings'!$A:$A,'Student Groupings'!$E:"&amp;"$E=$C432,'Student Groupings'!$H:$H=""Must be Together""),"""")})))"),"")</f>
        <v/>
      </c>
    </row>
    <row r="433">
      <c r="A433" s="186">
        <v>12.0</v>
      </c>
      <c r="B433" s="182">
        <v>26018.0</v>
      </c>
      <c r="C433" s="183" t="s">
        <v>585</v>
      </c>
      <c r="D433" s="198" t="s">
        <v>45</v>
      </c>
      <c r="E433" s="181">
        <v>7.0</v>
      </c>
      <c r="F433" s="186" t="s">
        <v>53</v>
      </c>
      <c r="G433" s="186">
        <v>4.0</v>
      </c>
      <c r="H433" s="196" t="s">
        <v>69</v>
      </c>
      <c r="I433" s="167">
        <v>2.0</v>
      </c>
      <c r="J433" s="187"/>
      <c r="K433" s="200"/>
      <c r="L433" s="184" t="s">
        <v>84</v>
      </c>
      <c r="M433" s="167">
        <v>6.0</v>
      </c>
      <c r="N433" s="184" t="s">
        <v>134</v>
      </c>
      <c r="O433" s="186">
        <v>8.0</v>
      </c>
      <c r="P433" s="182" t="s">
        <v>114</v>
      </c>
      <c r="Q433" s="186">
        <v>3.0</v>
      </c>
      <c r="R433" s="184" t="s">
        <v>107</v>
      </c>
      <c r="S433" s="186">
        <v>1.0</v>
      </c>
      <c r="T433" s="187"/>
      <c r="U433" s="200"/>
      <c r="V433" s="184" t="s">
        <v>101</v>
      </c>
      <c r="W433" s="186">
        <v>5.0</v>
      </c>
      <c r="X433" s="142">
        <v>1.0</v>
      </c>
      <c r="Y433" s="142">
        <v>1.0</v>
      </c>
      <c r="Z433" s="142">
        <v>1.0</v>
      </c>
      <c r="AA433" s="142">
        <v>1.0</v>
      </c>
      <c r="AB433" s="142">
        <v>1.0</v>
      </c>
      <c r="AC433" s="142">
        <v>1.0</v>
      </c>
      <c r="AD433" s="142">
        <v>1.0</v>
      </c>
      <c r="AE433" s="142">
        <v>1.0</v>
      </c>
      <c r="AF433" s="142">
        <v>8.0</v>
      </c>
      <c r="AG433" s="142">
        <v>0.0</v>
      </c>
      <c r="AH433" s="185" t="str">
        <f>IFERROR(__xludf.DUMMYFUNCTION("if($C433="""","""",if(join("" - "",{iferror(filter('Student Groupings'!$A:$A,'Student Groupings'!$B:$B=$C433,'Student Groupings'!$H:$H=""Can't be Together""),"""");iferror(filter('Student Groupings'!$A:$A,'Student Groupings'!$E:$E=$C433,'Student Groupings"&amp;"'!$H:$H=""Can't be Together""),"""")})="" - "","""",join("" - "",{iferror(filter('Student Groupings'!$A:$A,'Student Groupings'!$B:$B=$C433,'Student Groupings'!$H:$H=""Can't be Together""),"""");iferror(filter('Student Groupings'!$A:$A,'Student Groupings'!"&amp;"$E:$E=$C433,'Student Groupings'!$H:$H=""Can't be Together""),"""")})))"),"")</f>
        <v/>
      </c>
      <c r="AI433" s="185" t="str">
        <f>IFERROR(__xludf.DUMMYFUNCTION("if($C433="""","""",if(join("" - "",{iferror(filter('Student Groupings'!$A:$A,'Student Groupings'!$B:$B=$C433,'Student Groupings'!$H:$H=""Must be Together""),"""");iferror(filter('Student Groupings'!$A:$A,'Student Groupings'!$E:$E=$C433,'Student Groupings'"&amp;"!$H:$H=""Must be Together""),"""")})="" - "","""",join("" - "",{iferror(filter('Student Groupings'!$A:$A,'Student Groupings'!$B:$B=$C433,'Student Groupings'!$H:$H=""Must be Together""),"""");iferror(filter('Student Groupings'!$A:$A,'Student Groupings'!$E:"&amp;"$E=$C433,'Student Groupings'!$H:$H=""Must be Together""),"""")})))"),"")</f>
        <v/>
      </c>
    </row>
    <row r="434">
      <c r="A434" s="186">
        <v>12.0</v>
      </c>
      <c r="B434" s="182">
        <v>26087.0</v>
      </c>
      <c r="C434" s="183" t="s">
        <v>586</v>
      </c>
      <c r="D434" s="198" t="s">
        <v>38</v>
      </c>
      <c r="E434" s="181">
        <v>3.0</v>
      </c>
      <c r="F434" s="186" t="s">
        <v>53</v>
      </c>
      <c r="G434" s="186">
        <v>7.0</v>
      </c>
      <c r="H434" s="182" t="s">
        <v>70</v>
      </c>
      <c r="I434" s="186">
        <v>2.0</v>
      </c>
      <c r="J434" s="187"/>
      <c r="K434" s="200"/>
      <c r="L434" s="184" t="s">
        <v>93</v>
      </c>
      <c r="M434" s="167">
        <v>5.0</v>
      </c>
      <c r="N434" s="184" t="s">
        <v>134</v>
      </c>
      <c r="O434" s="186">
        <v>1.0</v>
      </c>
      <c r="P434" s="182" t="s">
        <v>114</v>
      </c>
      <c r="Q434" s="186">
        <v>8.0</v>
      </c>
      <c r="R434" s="184" t="s">
        <v>107</v>
      </c>
      <c r="S434" s="186">
        <v>6.0</v>
      </c>
      <c r="T434" s="187"/>
      <c r="U434" s="200"/>
      <c r="V434" s="240" t="s">
        <v>121</v>
      </c>
      <c r="W434" s="167">
        <v>4.0</v>
      </c>
      <c r="X434" s="142">
        <v>1.0</v>
      </c>
      <c r="Y434" s="142">
        <v>1.0</v>
      </c>
      <c r="Z434" s="142">
        <v>1.0</v>
      </c>
      <c r="AA434" s="142">
        <v>1.0</v>
      </c>
      <c r="AB434" s="142">
        <v>1.0</v>
      </c>
      <c r="AC434" s="142">
        <v>1.0</v>
      </c>
      <c r="AD434" s="142">
        <v>1.0</v>
      </c>
      <c r="AE434" s="142">
        <v>1.0</v>
      </c>
      <c r="AF434" s="142">
        <v>8.0</v>
      </c>
      <c r="AG434" s="142">
        <v>0.0</v>
      </c>
      <c r="AH434" s="185" t="str">
        <f>IFERROR(__xludf.DUMMYFUNCTION("if($C434="""","""",if(join("" - "",{iferror(filter('Student Groupings'!$A:$A,'Student Groupings'!$B:$B=$C434,'Student Groupings'!$H:$H=""Can't be Together""),"""");iferror(filter('Student Groupings'!$A:$A,'Student Groupings'!$E:$E=$C434,'Student Groupings"&amp;"'!$H:$H=""Can't be Together""),"""")})="" - "","""",join("" - "",{iferror(filter('Student Groupings'!$A:$A,'Student Groupings'!$B:$B=$C434,'Student Groupings'!$H:$H=""Can't be Together""),"""");iferror(filter('Student Groupings'!$A:$A,'Student Groupings'!"&amp;"$E:$E=$C434,'Student Groupings'!$H:$H=""Can't be Together""),"""")})))"),"")</f>
        <v/>
      </c>
      <c r="AI434" s="185" t="str">
        <f>IFERROR(__xludf.DUMMYFUNCTION("if($C434="""","""",if(join("" - "",{iferror(filter('Student Groupings'!$A:$A,'Student Groupings'!$B:$B=$C434,'Student Groupings'!$H:$H=""Must be Together""),"""");iferror(filter('Student Groupings'!$A:$A,'Student Groupings'!$E:$E=$C434,'Student Groupings'"&amp;"!$H:$H=""Must be Together""),"""")})="" - "","""",join("" - "",{iferror(filter('Student Groupings'!$A:$A,'Student Groupings'!$B:$B=$C434,'Student Groupings'!$H:$H=""Must be Together""),"""");iferror(filter('Student Groupings'!$A:$A,'Student Groupings'!$E:"&amp;"$E=$C434,'Student Groupings'!$H:$H=""Must be Together""),"""")})))"),"")</f>
        <v/>
      </c>
    </row>
    <row r="435">
      <c r="A435" s="186">
        <v>12.0</v>
      </c>
      <c r="B435" s="182">
        <v>26065.0</v>
      </c>
      <c r="C435" s="183" t="s">
        <v>587</v>
      </c>
      <c r="D435" s="198" t="s">
        <v>46</v>
      </c>
      <c r="E435" s="181">
        <v>4.0</v>
      </c>
      <c r="F435" s="186" t="s">
        <v>53</v>
      </c>
      <c r="G435" s="186">
        <v>5.0</v>
      </c>
      <c r="H435" s="182" t="s">
        <v>69</v>
      </c>
      <c r="I435" s="186">
        <v>2.0</v>
      </c>
      <c r="J435" s="187"/>
      <c r="K435" s="167"/>
      <c r="L435" s="184" t="s">
        <v>86</v>
      </c>
      <c r="M435" s="186">
        <v>8.0</v>
      </c>
      <c r="N435" s="184" t="s">
        <v>134</v>
      </c>
      <c r="O435" s="186">
        <v>6.0</v>
      </c>
      <c r="P435" s="184" t="s">
        <v>126</v>
      </c>
      <c r="Q435" s="167">
        <v>1.0</v>
      </c>
      <c r="R435" s="184" t="s">
        <v>107</v>
      </c>
      <c r="S435" s="186">
        <v>3.0</v>
      </c>
      <c r="T435" s="183"/>
      <c r="U435" s="167"/>
      <c r="V435" s="184" t="s">
        <v>82</v>
      </c>
      <c r="W435" s="186">
        <v>7.0</v>
      </c>
      <c r="X435" s="142">
        <v>1.0</v>
      </c>
      <c r="Y435" s="142">
        <v>1.0</v>
      </c>
      <c r="Z435" s="142">
        <v>1.0</v>
      </c>
      <c r="AA435" s="142">
        <v>1.0</v>
      </c>
      <c r="AB435" s="142">
        <v>1.0</v>
      </c>
      <c r="AC435" s="142">
        <v>1.0</v>
      </c>
      <c r="AD435" s="142">
        <v>1.0</v>
      </c>
      <c r="AE435" s="142">
        <v>1.0</v>
      </c>
      <c r="AF435" s="142">
        <v>8.0</v>
      </c>
      <c r="AG435" s="142">
        <v>0.0</v>
      </c>
      <c r="AH435" s="185" t="str">
        <f>IFERROR(__xludf.DUMMYFUNCTION("if($C435="""","""",if(join("" - "",{iferror(filter('Student Groupings'!$A:$A,'Student Groupings'!$B:$B=$C435,'Student Groupings'!$H:$H=""Can't be Together""),"""");iferror(filter('Student Groupings'!$A:$A,'Student Groupings'!$E:$E=$C435,'Student Groupings"&amp;"'!$H:$H=""Can't be Together""),"""")})="" - "","""",join("" - "",{iferror(filter('Student Groupings'!$A:$A,'Student Groupings'!$B:$B=$C435,'Student Groupings'!$H:$H=""Can't be Together""),"""");iferror(filter('Student Groupings'!$A:$A,'Student Groupings'!"&amp;"$E:$E=$C435,'Student Groupings'!$H:$H=""Can't be Together""),"""")})))"),"")</f>
        <v/>
      </c>
      <c r="AI435" s="185" t="str">
        <f>IFERROR(__xludf.DUMMYFUNCTION("if($C435="""","""",if(join("" - "",{iferror(filter('Student Groupings'!$A:$A,'Student Groupings'!$B:$B=$C435,'Student Groupings'!$H:$H=""Must be Together""),"""");iferror(filter('Student Groupings'!$A:$A,'Student Groupings'!$E:$E=$C435,'Student Groupings'"&amp;"!$H:$H=""Must be Together""),"""")})="" - "","""",join("" - "",{iferror(filter('Student Groupings'!$A:$A,'Student Groupings'!$B:$B=$C435,'Student Groupings'!$H:$H=""Must be Together""),"""");iferror(filter('Student Groupings'!$A:$A,'Student Groupings'!$E:"&amp;"$E=$C435,'Student Groupings'!$H:$H=""Must be Together""),"""")})))"),"")</f>
        <v/>
      </c>
    </row>
    <row r="436">
      <c r="A436" s="186">
        <v>12.0</v>
      </c>
      <c r="B436" s="182">
        <v>26150.0</v>
      </c>
      <c r="C436" s="183" t="s">
        <v>588</v>
      </c>
      <c r="D436" s="198" t="s">
        <v>38</v>
      </c>
      <c r="E436" s="181">
        <v>7.0</v>
      </c>
      <c r="F436" s="186" t="s">
        <v>54</v>
      </c>
      <c r="G436" s="167">
        <v>8.0</v>
      </c>
      <c r="H436" s="182" t="s">
        <v>69</v>
      </c>
      <c r="I436" s="186">
        <v>2.0</v>
      </c>
      <c r="J436" s="187"/>
      <c r="K436" s="200"/>
      <c r="L436" s="184" t="s">
        <v>84</v>
      </c>
      <c r="M436" s="186">
        <v>6.0</v>
      </c>
      <c r="N436" s="184" t="s">
        <v>134</v>
      </c>
      <c r="O436" s="167">
        <v>4.0</v>
      </c>
      <c r="P436" s="182" t="s">
        <v>114</v>
      </c>
      <c r="Q436" s="167">
        <v>1.0</v>
      </c>
      <c r="R436" s="184" t="s">
        <v>105</v>
      </c>
      <c r="S436" s="186">
        <v>5.0</v>
      </c>
      <c r="T436" s="183"/>
      <c r="U436" s="167"/>
      <c r="V436" s="239" t="s">
        <v>28</v>
      </c>
      <c r="W436" s="167">
        <v>3.0</v>
      </c>
      <c r="X436" s="142">
        <v>1.0</v>
      </c>
      <c r="Y436" s="142">
        <v>1.0</v>
      </c>
      <c r="Z436" s="142">
        <v>1.0</v>
      </c>
      <c r="AA436" s="142">
        <v>1.0</v>
      </c>
      <c r="AB436" s="142">
        <v>1.0</v>
      </c>
      <c r="AC436" s="142">
        <v>1.0</v>
      </c>
      <c r="AD436" s="142">
        <v>1.0</v>
      </c>
      <c r="AE436" s="142">
        <v>1.0</v>
      </c>
      <c r="AF436" s="142">
        <v>8.0</v>
      </c>
      <c r="AG436" s="142">
        <v>0.0</v>
      </c>
      <c r="AH436" s="185" t="str">
        <f>IFERROR(__xludf.DUMMYFUNCTION("if($C436="""","""",if(join("" - "",{iferror(filter('Student Groupings'!$A:$A,'Student Groupings'!$B:$B=$C436,'Student Groupings'!$H:$H=""Can't be Together""),"""");iferror(filter('Student Groupings'!$A:$A,'Student Groupings'!$E:$E=$C436,'Student Groupings"&amp;"'!$H:$H=""Can't be Together""),"""")})="" - "","""",join("" - "",{iferror(filter('Student Groupings'!$A:$A,'Student Groupings'!$B:$B=$C436,'Student Groupings'!$H:$H=""Can't be Together""),"""");iferror(filter('Student Groupings'!$A:$A,'Student Groupings'!"&amp;"$E:$E=$C436,'Student Groupings'!$H:$H=""Can't be Together""),"""")})))"),"")</f>
        <v/>
      </c>
      <c r="AI436" s="185" t="str">
        <f>IFERROR(__xludf.DUMMYFUNCTION("if($C436="""","""",if(join("" - "",{iferror(filter('Student Groupings'!$A:$A,'Student Groupings'!$B:$B=$C436,'Student Groupings'!$H:$H=""Must be Together""),"""");iferror(filter('Student Groupings'!$A:$A,'Student Groupings'!$E:$E=$C436,'Student Groupings'"&amp;"!$H:$H=""Must be Together""),"""")})="" - "","""",join("" - "",{iferror(filter('Student Groupings'!$A:$A,'Student Groupings'!$B:$B=$C436,'Student Groupings'!$H:$H=""Must be Together""),"""");iferror(filter('Student Groupings'!$A:$A,'Student Groupings'!$E:"&amp;"$E=$C436,'Student Groupings'!$H:$H=""Must be Together""),"""")})))"),"")</f>
        <v/>
      </c>
    </row>
    <row r="437">
      <c r="A437" s="186">
        <v>12.0</v>
      </c>
      <c r="B437" s="182">
        <v>26061.0</v>
      </c>
      <c r="C437" s="183" t="s">
        <v>589</v>
      </c>
      <c r="D437" s="198" t="s">
        <v>45</v>
      </c>
      <c r="E437" s="181">
        <v>8.0</v>
      </c>
      <c r="F437" s="186" t="s">
        <v>53</v>
      </c>
      <c r="G437" s="186">
        <v>4.0</v>
      </c>
      <c r="H437" s="182" t="s">
        <v>70</v>
      </c>
      <c r="I437" s="167">
        <v>7.0</v>
      </c>
      <c r="J437" s="183"/>
      <c r="K437" s="167"/>
      <c r="L437" s="184" t="s">
        <v>93</v>
      </c>
      <c r="M437" s="167">
        <v>3.0</v>
      </c>
      <c r="N437" s="184" t="s">
        <v>134</v>
      </c>
      <c r="O437" s="186">
        <v>6.0</v>
      </c>
      <c r="P437" s="184" t="s">
        <v>126</v>
      </c>
      <c r="Q437" s="167">
        <v>1.0</v>
      </c>
      <c r="R437" s="184" t="s">
        <v>108</v>
      </c>
      <c r="S437" s="186">
        <v>2.0</v>
      </c>
      <c r="T437" s="187"/>
      <c r="U437" s="200"/>
      <c r="V437" s="184" t="s">
        <v>96</v>
      </c>
      <c r="W437" s="167">
        <v>5.0</v>
      </c>
      <c r="X437" s="142">
        <v>1.0</v>
      </c>
      <c r="Y437" s="142">
        <v>1.0</v>
      </c>
      <c r="Z437" s="142">
        <v>1.0</v>
      </c>
      <c r="AA437" s="142">
        <v>1.0</v>
      </c>
      <c r="AB437" s="142">
        <v>1.0</v>
      </c>
      <c r="AC437" s="142">
        <v>1.0</v>
      </c>
      <c r="AD437" s="142">
        <v>1.0</v>
      </c>
      <c r="AE437" s="142">
        <v>1.0</v>
      </c>
      <c r="AF437" s="142">
        <v>8.0</v>
      </c>
      <c r="AG437" s="142">
        <v>0.0</v>
      </c>
      <c r="AH437" s="185" t="str">
        <f>IFERROR(__xludf.DUMMYFUNCTION("if($C437="""","""",if(join("" - "",{iferror(filter('Student Groupings'!$A:$A,'Student Groupings'!$B:$B=$C437,'Student Groupings'!$H:$H=""Can't be Together""),"""");iferror(filter('Student Groupings'!$A:$A,'Student Groupings'!$E:$E=$C437,'Student Groupings"&amp;"'!$H:$H=""Can't be Together""),"""")})="" - "","""",join("" - "",{iferror(filter('Student Groupings'!$A:$A,'Student Groupings'!$B:$B=$C437,'Student Groupings'!$H:$H=""Can't be Together""),"""");iferror(filter('Student Groupings'!$A:$A,'Student Groupings'!"&amp;"$E:$E=$C437,'Student Groupings'!$H:$H=""Can't be Together""),"""")})))"),"")</f>
        <v/>
      </c>
      <c r="AI437" s="185" t="str">
        <f>IFERROR(__xludf.DUMMYFUNCTION("if($C437="""","""",if(join("" - "",{iferror(filter('Student Groupings'!$A:$A,'Student Groupings'!$B:$B=$C437,'Student Groupings'!$H:$H=""Must be Together""),"""");iferror(filter('Student Groupings'!$A:$A,'Student Groupings'!$E:$E=$C437,'Student Groupings'"&amp;"!$H:$H=""Must be Together""),"""")})="" - "","""",join("" - "",{iferror(filter('Student Groupings'!$A:$A,'Student Groupings'!$B:$B=$C437,'Student Groupings'!$H:$H=""Must be Together""),"""");iferror(filter('Student Groupings'!$A:$A,'Student Groupings'!$E:"&amp;"$E=$C437,'Student Groupings'!$H:$H=""Must be Together""),"""")})))"),"")</f>
        <v/>
      </c>
    </row>
    <row r="438">
      <c r="A438" s="186">
        <v>12.0</v>
      </c>
      <c r="B438" s="182">
        <v>26157.0</v>
      </c>
      <c r="C438" s="183" t="s">
        <v>590</v>
      </c>
      <c r="D438" s="198" t="s">
        <v>45</v>
      </c>
      <c r="E438" s="181">
        <v>7.0</v>
      </c>
      <c r="F438" s="186" t="s">
        <v>53</v>
      </c>
      <c r="G438" s="186">
        <v>4.0</v>
      </c>
      <c r="H438" s="182" t="s">
        <v>82</v>
      </c>
      <c r="I438" s="167">
        <v>5.0</v>
      </c>
      <c r="J438" s="183"/>
      <c r="K438" s="167"/>
      <c r="L438" s="184" t="s">
        <v>84</v>
      </c>
      <c r="M438" s="186">
        <v>6.0</v>
      </c>
      <c r="N438" s="184" t="s">
        <v>134</v>
      </c>
      <c r="O438" s="186">
        <v>2.0</v>
      </c>
      <c r="P438" s="182" t="s">
        <v>114</v>
      </c>
      <c r="Q438" s="186">
        <v>8.0</v>
      </c>
      <c r="R438" s="184" t="s">
        <v>107</v>
      </c>
      <c r="S438" s="167">
        <v>3.0</v>
      </c>
      <c r="T438" s="187"/>
      <c r="U438" s="200"/>
      <c r="V438" s="184" t="s">
        <v>34</v>
      </c>
      <c r="W438" s="167">
        <v>1.0</v>
      </c>
      <c r="X438" s="142">
        <v>1.0</v>
      </c>
      <c r="Y438" s="142">
        <v>1.0</v>
      </c>
      <c r="Z438" s="142">
        <v>1.0</v>
      </c>
      <c r="AA438" s="142">
        <v>1.0</v>
      </c>
      <c r="AB438" s="142">
        <v>1.0</v>
      </c>
      <c r="AC438" s="142">
        <v>1.0</v>
      </c>
      <c r="AD438" s="142">
        <v>1.0</v>
      </c>
      <c r="AE438" s="142">
        <v>1.0</v>
      </c>
      <c r="AF438" s="142">
        <v>8.0</v>
      </c>
      <c r="AG438" s="142">
        <v>0.0</v>
      </c>
      <c r="AH438" s="185" t="str">
        <f>IFERROR(__xludf.DUMMYFUNCTION("if($C438="""","""",if(join("" - "",{iferror(filter('Student Groupings'!$A:$A,'Student Groupings'!$B:$B=$C438,'Student Groupings'!$H:$H=""Can't be Together""),"""");iferror(filter('Student Groupings'!$A:$A,'Student Groupings'!$E:$E=$C438,'Student Groupings"&amp;"'!$H:$H=""Can't be Together""),"""")})="" - "","""",join("" - "",{iferror(filter('Student Groupings'!$A:$A,'Student Groupings'!$B:$B=$C438,'Student Groupings'!$H:$H=""Can't be Together""),"""");iferror(filter('Student Groupings'!$A:$A,'Student Groupings'!"&amp;"$E:$E=$C438,'Student Groupings'!$H:$H=""Can't be Together""),"""")})))"),"")</f>
        <v/>
      </c>
      <c r="AI438" s="185" t="str">
        <f>IFERROR(__xludf.DUMMYFUNCTION("if($C438="""","""",if(join("" - "",{iferror(filter('Student Groupings'!$A:$A,'Student Groupings'!$B:$B=$C438,'Student Groupings'!$H:$H=""Must be Together""),"""");iferror(filter('Student Groupings'!$A:$A,'Student Groupings'!$E:$E=$C438,'Student Groupings'"&amp;"!$H:$H=""Must be Together""),"""")})="" - "","""",join("" - "",{iferror(filter('Student Groupings'!$A:$A,'Student Groupings'!$B:$B=$C438,'Student Groupings'!$H:$H=""Must be Together""),"""");iferror(filter('Student Groupings'!$A:$A,'Student Groupings'!$E:"&amp;"$E=$C438,'Student Groupings'!$H:$H=""Must be Together""),"""")})))"),"")</f>
        <v/>
      </c>
    </row>
    <row r="439">
      <c r="A439" s="186">
        <v>12.0</v>
      </c>
      <c r="B439" s="182">
        <v>26062.0</v>
      </c>
      <c r="C439" s="183" t="s">
        <v>591</v>
      </c>
      <c r="D439" s="198" t="s">
        <v>45</v>
      </c>
      <c r="E439" s="181">
        <v>8.0</v>
      </c>
      <c r="F439" s="186" t="s">
        <v>53</v>
      </c>
      <c r="G439" s="186">
        <v>2.0</v>
      </c>
      <c r="H439" s="182" t="s">
        <v>70</v>
      </c>
      <c r="I439" s="186">
        <v>7.0</v>
      </c>
      <c r="J439" s="187"/>
      <c r="K439" s="200"/>
      <c r="L439" s="184" t="s">
        <v>93</v>
      </c>
      <c r="M439" s="186">
        <v>5.0</v>
      </c>
      <c r="N439" s="184" t="s">
        <v>134</v>
      </c>
      <c r="O439" s="186">
        <v>1.0</v>
      </c>
      <c r="P439" s="182" t="s">
        <v>114</v>
      </c>
      <c r="Q439" s="186">
        <v>6.0</v>
      </c>
      <c r="R439" s="184" t="s">
        <v>107</v>
      </c>
      <c r="S439" s="186">
        <v>3.0</v>
      </c>
      <c r="T439" s="187"/>
      <c r="U439" s="200"/>
      <c r="V439" s="184" t="s">
        <v>82</v>
      </c>
      <c r="W439" s="167">
        <v>4.0</v>
      </c>
      <c r="X439" s="142">
        <v>1.0</v>
      </c>
      <c r="Y439" s="142">
        <v>1.0</v>
      </c>
      <c r="Z439" s="142">
        <v>1.0</v>
      </c>
      <c r="AA439" s="142">
        <v>1.0</v>
      </c>
      <c r="AB439" s="142">
        <v>1.0</v>
      </c>
      <c r="AC439" s="142">
        <v>1.0</v>
      </c>
      <c r="AD439" s="142">
        <v>1.0</v>
      </c>
      <c r="AE439" s="142">
        <v>1.0</v>
      </c>
      <c r="AF439" s="142">
        <v>8.0</v>
      </c>
      <c r="AG439" s="142">
        <v>0.0</v>
      </c>
      <c r="AH439" s="185" t="str">
        <f>IFERROR(__xludf.DUMMYFUNCTION("if($C439="""","""",if(join("" - "",{iferror(filter('Student Groupings'!$A:$A,'Student Groupings'!$B:$B=$C439,'Student Groupings'!$H:$H=""Can't be Together""),"""");iferror(filter('Student Groupings'!$A:$A,'Student Groupings'!$E:$E=$C439,'Student Groupings"&amp;"'!$H:$H=""Can't be Together""),"""")})="" - "","""",join("" - "",{iferror(filter('Student Groupings'!$A:$A,'Student Groupings'!$B:$B=$C439,'Student Groupings'!$H:$H=""Can't be Together""),"""");iferror(filter('Student Groupings'!$A:$A,'Student Groupings'!"&amp;"$E:$E=$C439,'Student Groupings'!$H:$H=""Can't be Together""),"""")})))"),"")</f>
        <v/>
      </c>
      <c r="AI439" s="185" t="str">
        <f>IFERROR(__xludf.DUMMYFUNCTION("if($C439="""","""",if(join("" - "",{iferror(filter('Student Groupings'!$A:$A,'Student Groupings'!$B:$B=$C439,'Student Groupings'!$H:$H=""Must be Together""),"""");iferror(filter('Student Groupings'!$A:$A,'Student Groupings'!$E:$E=$C439,'Student Groupings'"&amp;"!$H:$H=""Must be Together""),"""")})="" - "","""",join("" - "",{iferror(filter('Student Groupings'!$A:$A,'Student Groupings'!$B:$B=$C439,'Student Groupings'!$H:$H=""Must be Together""),"""");iferror(filter('Student Groupings'!$A:$A,'Student Groupings'!$E:"&amp;"$E=$C439,'Student Groupings'!$H:$H=""Must be Together""),"""")})))"),"")</f>
        <v/>
      </c>
    </row>
    <row r="440">
      <c r="A440" s="186">
        <v>12.0</v>
      </c>
      <c r="B440" s="182">
        <v>26096.0</v>
      </c>
      <c r="C440" s="183" t="s">
        <v>592</v>
      </c>
      <c r="D440" s="198" t="s">
        <v>45</v>
      </c>
      <c r="E440" s="181">
        <v>1.0</v>
      </c>
      <c r="F440" s="186" t="s">
        <v>53</v>
      </c>
      <c r="G440" s="186">
        <v>5.0</v>
      </c>
      <c r="H440" s="182" t="s">
        <v>70</v>
      </c>
      <c r="I440" s="186">
        <v>2.0</v>
      </c>
      <c r="J440" s="183"/>
      <c r="K440" s="186"/>
      <c r="L440" s="184" t="s">
        <v>85</v>
      </c>
      <c r="M440" s="186">
        <v>3.0</v>
      </c>
      <c r="N440" s="184" t="s">
        <v>134</v>
      </c>
      <c r="O440" s="186">
        <v>8.0</v>
      </c>
      <c r="P440" s="182" t="s">
        <v>114</v>
      </c>
      <c r="Q440" s="186">
        <v>4.0</v>
      </c>
      <c r="R440" s="184" t="s">
        <v>107</v>
      </c>
      <c r="S440" s="186">
        <v>7.0</v>
      </c>
      <c r="T440" s="187"/>
      <c r="U440" s="200"/>
      <c r="V440" s="184" t="s">
        <v>32</v>
      </c>
      <c r="W440" s="186">
        <v>6.0</v>
      </c>
      <c r="X440" s="142">
        <v>1.0</v>
      </c>
      <c r="Y440" s="142">
        <v>1.0</v>
      </c>
      <c r="Z440" s="142">
        <v>1.0</v>
      </c>
      <c r="AA440" s="142">
        <v>1.0</v>
      </c>
      <c r="AB440" s="142">
        <v>1.0</v>
      </c>
      <c r="AC440" s="142">
        <v>1.0</v>
      </c>
      <c r="AD440" s="142">
        <v>1.0</v>
      </c>
      <c r="AE440" s="142">
        <v>1.0</v>
      </c>
      <c r="AF440" s="142">
        <v>8.0</v>
      </c>
      <c r="AG440" s="142">
        <v>0.0</v>
      </c>
      <c r="AH440" s="185" t="str">
        <f>IFERROR(__xludf.DUMMYFUNCTION("if($C440="""","""",if(join("" - "",{iferror(filter('Student Groupings'!$A:$A,'Student Groupings'!$B:$B=$C440,'Student Groupings'!$H:$H=""Can't be Together""),"""");iferror(filter('Student Groupings'!$A:$A,'Student Groupings'!$E:$E=$C440,'Student Groupings"&amp;"'!$H:$H=""Can't be Together""),"""")})="" - "","""",join("" - "",{iferror(filter('Student Groupings'!$A:$A,'Student Groupings'!$B:$B=$C440,'Student Groupings'!$H:$H=""Can't be Together""),"""");iferror(filter('Student Groupings'!$A:$A,'Student Groupings'!"&amp;"$E:$E=$C440,'Student Groupings'!$H:$H=""Can't be Together""),"""")})))"),"")</f>
        <v/>
      </c>
      <c r="AI440" s="185" t="str">
        <f>IFERROR(__xludf.DUMMYFUNCTION("if($C440="""","""",if(join("" - "",{iferror(filter('Student Groupings'!$A:$A,'Student Groupings'!$B:$B=$C440,'Student Groupings'!$H:$H=""Must be Together""),"""");iferror(filter('Student Groupings'!$A:$A,'Student Groupings'!$E:$E=$C440,'Student Groupings'"&amp;"!$H:$H=""Must be Together""),"""")})="" - "","""",join("" - "",{iferror(filter('Student Groupings'!$A:$A,'Student Groupings'!$B:$B=$C440,'Student Groupings'!$H:$H=""Must be Together""),"""");iferror(filter('Student Groupings'!$A:$A,'Student Groupings'!$E:"&amp;"$E=$C440,'Student Groupings'!$H:$H=""Must be Together""),"""")})))"),"")</f>
        <v/>
      </c>
    </row>
    <row r="441">
      <c r="A441" s="186">
        <v>12.0</v>
      </c>
      <c r="B441" s="182">
        <v>26045.0</v>
      </c>
      <c r="C441" s="183" t="s">
        <v>593</v>
      </c>
      <c r="D441" s="198" t="s">
        <v>45</v>
      </c>
      <c r="E441" s="181">
        <v>7.0</v>
      </c>
      <c r="F441" s="186" t="s">
        <v>53</v>
      </c>
      <c r="G441" s="186">
        <v>3.0</v>
      </c>
      <c r="H441" s="182" t="s">
        <v>69</v>
      </c>
      <c r="I441" s="167">
        <v>2.0</v>
      </c>
      <c r="J441" s="183"/>
      <c r="K441" s="167"/>
      <c r="L441" s="184" t="s">
        <v>96</v>
      </c>
      <c r="M441" s="167">
        <v>5.0</v>
      </c>
      <c r="N441" s="184" t="s">
        <v>134</v>
      </c>
      <c r="O441" s="186">
        <v>8.0</v>
      </c>
      <c r="P441" s="182" t="s">
        <v>114</v>
      </c>
      <c r="Q441" s="186">
        <v>4.0</v>
      </c>
      <c r="R441" s="184" t="s">
        <v>107</v>
      </c>
      <c r="S441" s="186">
        <v>1.0</v>
      </c>
      <c r="T441" s="187"/>
      <c r="U441" s="200"/>
      <c r="V441" s="184" t="s">
        <v>101</v>
      </c>
      <c r="W441" s="167">
        <v>6.0</v>
      </c>
      <c r="X441" s="142">
        <v>1.0</v>
      </c>
      <c r="Y441" s="142">
        <v>1.0</v>
      </c>
      <c r="Z441" s="142">
        <v>1.0</v>
      </c>
      <c r="AA441" s="142">
        <v>1.0</v>
      </c>
      <c r="AB441" s="142">
        <v>1.0</v>
      </c>
      <c r="AC441" s="142">
        <v>1.0</v>
      </c>
      <c r="AD441" s="142">
        <v>1.0</v>
      </c>
      <c r="AE441" s="142">
        <v>1.0</v>
      </c>
      <c r="AF441" s="142">
        <v>8.0</v>
      </c>
      <c r="AG441" s="142">
        <v>0.0</v>
      </c>
      <c r="AH441" s="185" t="str">
        <f>IFERROR(__xludf.DUMMYFUNCTION("if($C441="""","""",if(join("" - "",{iferror(filter('Student Groupings'!$A:$A,'Student Groupings'!$B:$B=$C441,'Student Groupings'!$H:$H=""Can't be Together""),"""");iferror(filter('Student Groupings'!$A:$A,'Student Groupings'!$E:$E=$C441,'Student Groupings"&amp;"'!$H:$H=""Can't be Together""),"""")})="" - "","""",join("" - "",{iferror(filter('Student Groupings'!$A:$A,'Student Groupings'!$B:$B=$C441,'Student Groupings'!$H:$H=""Can't be Together""),"""");iferror(filter('Student Groupings'!$A:$A,'Student Groupings'!"&amp;"$E:$E=$C441,'Student Groupings'!$H:$H=""Can't be Together""),"""")})))"),"")</f>
        <v/>
      </c>
      <c r="AI441" s="185" t="str">
        <f>IFERROR(__xludf.DUMMYFUNCTION("if($C441="""","""",if(join("" - "",{iferror(filter('Student Groupings'!$A:$A,'Student Groupings'!$B:$B=$C441,'Student Groupings'!$H:$H=""Must be Together""),"""");iferror(filter('Student Groupings'!$A:$A,'Student Groupings'!$E:$E=$C441,'Student Groupings'"&amp;"!$H:$H=""Must be Together""),"""")})="" - "","""",join("" - "",{iferror(filter('Student Groupings'!$A:$A,'Student Groupings'!$B:$B=$C441,'Student Groupings'!$H:$H=""Must be Together""),"""");iferror(filter('Student Groupings'!$A:$A,'Student Groupings'!$E:"&amp;"$E=$C441,'Student Groupings'!$H:$H=""Must be Together""),"""")})))"),"")</f>
        <v/>
      </c>
    </row>
    <row r="442">
      <c r="A442" s="186">
        <v>12.0</v>
      </c>
      <c r="B442" s="182">
        <v>26126.0</v>
      </c>
      <c r="C442" s="183" t="s">
        <v>594</v>
      </c>
      <c r="D442" s="198" t="s">
        <v>45</v>
      </c>
      <c r="E442" s="181">
        <v>8.0</v>
      </c>
      <c r="F442" s="186" t="s">
        <v>53</v>
      </c>
      <c r="G442" s="186">
        <v>3.0</v>
      </c>
      <c r="H442" s="182" t="s">
        <v>70</v>
      </c>
      <c r="I442" s="167">
        <v>2.0</v>
      </c>
      <c r="J442" s="183"/>
      <c r="K442" s="167"/>
      <c r="L442" s="184" t="s">
        <v>93</v>
      </c>
      <c r="M442" s="186">
        <v>5.0</v>
      </c>
      <c r="N442" s="184" t="s">
        <v>134</v>
      </c>
      <c r="O442" s="186">
        <v>4.0</v>
      </c>
      <c r="P442" s="184" t="s">
        <v>126</v>
      </c>
      <c r="Q442" s="186">
        <v>1.0</v>
      </c>
      <c r="R442" s="184" t="s">
        <v>107</v>
      </c>
      <c r="S442" s="186">
        <v>6.0</v>
      </c>
      <c r="T442" s="187"/>
      <c r="U442" s="200"/>
      <c r="V442" s="184" t="s">
        <v>98</v>
      </c>
      <c r="W442" s="186">
        <v>7.0</v>
      </c>
      <c r="X442" s="142">
        <v>1.0</v>
      </c>
      <c r="Y442" s="142">
        <v>1.0</v>
      </c>
      <c r="Z442" s="142">
        <v>1.0</v>
      </c>
      <c r="AA442" s="142">
        <v>1.0</v>
      </c>
      <c r="AB442" s="142">
        <v>1.0</v>
      </c>
      <c r="AC442" s="142">
        <v>1.0</v>
      </c>
      <c r="AD442" s="142">
        <v>1.0</v>
      </c>
      <c r="AE442" s="142">
        <v>1.0</v>
      </c>
      <c r="AF442" s="142">
        <v>8.0</v>
      </c>
      <c r="AG442" s="142">
        <v>0.0</v>
      </c>
      <c r="AH442" s="185" t="str">
        <f>IFERROR(__xludf.DUMMYFUNCTION("if($C442="""","""",if(join("" - "",{iferror(filter('Student Groupings'!$A:$A,'Student Groupings'!$B:$B=$C442,'Student Groupings'!$H:$H=""Can't be Together""),"""");iferror(filter('Student Groupings'!$A:$A,'Student Groupings'!$E:$E=$C442,'Student Groupings"&amp;"'!$H:$H=""Can't be Together""),"""")})="" - "","""",join("" - "",{iferror(filter('Student Groupings'!$A:$A,'Student Groupings'!$B:$B=$C442,'Student Groupings'!$H:$H=""Can't be Together""),"""");iferror(filter('Student Groupings'!$A:$A,'Student Groupings'!"&amp;"$E:$E=$C442,'Student Groupings'!$H:$H=""Can't be Together""),"""")})))"),"")</f>
        <v/>
      </c>
      <c r="AI442" s="185" t="str">
        <f>IFERROR(__xludf.DUMMYFUNCTION("if($C442="""","""",if(join("" - "",{iferror(filter('Student Groupings'!$A:$A,'Student Groupings'!$B:$B=$C442,'Student Groupings'!$H:$H=""Must be Together""),"""");iferror(filter('Student Groupings'!$A:$A,'Student Groupings'!$E:$E=$C442,'Student Groupings'"&amp;"!$H:$H=""Must be Together""),"""")})="" - "","""",join("" - "",{iferror(filter('Student Groupings'!$A:$A,'Student Groupings'!$B:$B=$C442,'Student Groupings'!$H:$H=""Must be Together""),"""");iferror(filter('Student Groupings'!$A:$A,'Student Groupings'!$E:"&amp;"$E=$C442,'Student Groupings'!$H:$H=""Must be Together""),"""")})))"),"")</f>
        <v/>
      </c>
    </row>
    <row r="443">
      <c r="A443" s="186">
        <v>12.0</v>
      </c>
      <c r="B443" s="182">
        <v>26151.0</v>
      </c>
      <c r="C443" s="183" t="s">
        <v>595</v>
      </c>
      <c r="D443" s="198" t="s">
        <v>38</v>
      </c>
      <c r="E443" s="181">
        <v>7.0</v>
      </c>
      <c r="F443" s="186" t="s">
        <v>54</v>
      </c>
      <c r="G443" s="167">
        <v>8.0</v>
      </c>
      <c r="H443" s="182" t="s">
        <v>69</v>
      </c>
      <c r="I443" s="186">
        <v>1.0</v>
      </c>
      <c r="J443" s="187"/>
      <c r="K443" s="167"/>
      <c r="L443" s="184" t="s">
        <v>84</v>
      </c>
      <c r="M443" s="186">
        <v>6.0</v>
      </c>
      <c r="N443" s="184" t="s">
        <v>134</v>
      </c>
      <c r="O443" s="186">
        <v>4.0</v>
      </c>
      <c r="P443" s="182" t="s">
        <v>114</v>
      </c>
      <c r="Q443" s="167">
        <v>3.0</v>
      </c>
      <c r="R443" s="184" t="s">
        <v>108</v>
      </c>
      <c r="S443" s="167">
        <v>2.0</v>
      </c>
      <c r="T443" s="183"/>
      <c r="U443" s="167"/>
      <c r="V443" s="230" t="s">
        <v>105</v>
      </c>
      <c r="W443" s="186">
        <v>5.0</v>
      </c>
      <c r="X443" s="142">
        <v>1.0</v>
      </c>
      <c r="Y443" s="142">
        <v>1.0</v>
      </c>
      <c r="Z443" s="142">
        <v>1.0</v>
      </c>
      <c r="AA443" s="142">
        <v>1.0</v>
      </c>
      <c r="AB443" s="142">
        <v>1.0</v>
      </c>
      <c r="AC443" s="142">
        <v>1.0</v>
      </c>
      <c r="AD443" s="142">
        <v>1.0</v>
      </c>
      <c r="AE443" s="142">
        <v>1.0</v>
      </c>
      <c r="AF443" s="142">
        <v>8.0</v>
      </c>
      <c r="AG443" s="142">
        <v>0.0</v>
      </c>
      <c r="AH443" s="185" t="str">
        <f>IFERROR(__xludf.DUMMYFUNCTION("if($C443="""","""",if(join("" - "",{iferror(filter('Student Groupings'!$A:$A,'Student Groupings'!$B:$B=$C443,'Student Groupings'!$H:$H=""Can't be Together""),"""");iferror(filter('Student Groupings'!$A:$A,'Student Groupings'!$E:$E=$C443,'Student Groupings"&amp;"'!$H:$H=""Can't be Together""),"""")})="" - "","""",join("" - "",{iferror(filter('Student Groupings'!$A:$A,'Student Groupings'!$B:$B=$C443,'Student Groupings'!$H:$H=""Can't be Together""),"""");iferror(filter('Student Groupings'!$A:$A,'Student Groupings'!"&amp;"$E:$E=$C443,'Student Groupings'!$H:$H=""Can't be Together""),"""")})))"),"")</f>
        <v/>
      </c>
      <c r="AI443" s="185" t="str">
        <f>IFERROR(__xludf.DUMMYFUNCTION("if($C443="""","""",if(join("" - "",{iferror(filter('Student Groupings'!$A:$A,'Student Groupings'!$B:$B=$C443,'Student Groupings'!$H:$H=""Must be Together""),"""");iferror(filter('Student Groupings'!$A:$A,'Student Groupings'!$E:$E=$C443,'Student Groupings'"&amp;"!$H:$H=""Must be Together""),"""")})="" - "","""",join("" - "",{iferror(filter('Student Groupings'!$A:$A,'Student Groupings'!$B:$B=$C443,'Student Groupings'!$H:$H=""Must be Together""),"""");iferror(filter('Student Groupings'!$A:$A,'Student Groupings'!$E:"&amp;"$E=$C443,'Student Groupings'!$H:$H=""Must be Together""),"""")})))"),"")</f>
        <v/>
      </c>
    </row>
    <row r="444">
      <c r="A444" s="186">
        <v>12.0</v>
      </c>
      <c r="B444" s="182">
        <v>26175.0</v>
      </c>
      <c r="C444" s="183" t="s">
        <v>596</v>
      </c>
      <c r="D444" s="198" t="s">
        <v>45</v>
      </c>
      <c r="E444" s="181">
        <v>1.0</v>
      </c>
      <c r="F444" s="186" t="s">
        <v>53</v>
      </c>
      <c r="G444" s="186">
        <v>4.0</v>
      </c>
      <c r="H444" s="182" t="s">
        <v>74</v>
      </c>
      <c r="I444" s="167">
        <v>7.0</v>
      </c>
      <c r="J444" s="187"/>
      <c r="K444" s="167"/>
      <c r="L444" s="184" t="s">
        <v>93</v>
      </c>
      <c r="M444" s="186">
        <v>3.0</v>
      </c>
      <c r="N444" s="184" t="s">
        <v>134</v>
      </c>
      <c r="O444" s="186">
        <v>2.0</v>
      </c>
      <c r="P444" s="182" t="s">
        <v>114</v>
      </c>
      <c r="Q444" s="186">
        <v>8.0</v>
      </c>
      <c r="R444" s="184" t="s">
        <v>107</v>
      </c>
      <c r="S444" s="186">
        <v>6.0</v>
      </c>
      <c r="T444" s="187"/>
      <c r="U444" s="200"/>
      <c r="V444" s="184" t="s">
        <v>111</v>
      </c>
      <c r="W444" s="186">
        <v>5.0</v>
      </c>
      <c r="X444" s="142">
        <v>1.0</v>
      </c>
      <c r="Y444" s="142">
        <v>1.0</v>
      </c>
      <c r="Z444" s="142">
        <v>1.0</v>
      </c>
      <c r="AA444" s="142">
        <v>1.0</v>
      </c>
      <c r="AB444" s="142">
        <v>1.0</v>
      </c>
      <c r="AC444" s="142">
        <v>1.0</v>
      </c>
      <c r="AD444" s="142">
        <v>1.0</v>
      </c>
      <c r="AE444" s="142">
        <v>1.0</v>
      </c>
      <c r="AF444" s="142">
        <v>8.0</v>
      </c>
      <c r="AG444" s="142">
        <v>0.0</v>
      </c>
      <c r="AH444" s="185" t="str">
        <f>IFERROR(__xludf.DUMMYFUNCTION("if($C444="""","""",if(join("" - "",{iferror(filter('Student Groupings'!$A:$A,'Student Groupings'!$B:$B=$C444,'Student Groupings'!$H:$H=""Can't be Together""),"""");iferror(filter('Student Groupings'!$A:$A,'Student Groupings'!$E:$E=$C444,'Student Groupings"&amp;"'!$H:$H=""Can't be Together""),"""")})="" - "","""",join("" - "",{iferror(filter('Student Groupings'!$A:$A,'Student Groupings'!$B:$B=$C444,'Student Groupings'!$H:$H=""Can't be Together""),"""");iferror(filter('Student Groupings'!$A:$A,'Student Groupings'!"&amp;"$E:$E=$C444,'Student Groupings'!$H:$H=""Can't be Together""),"""")})))"),"")</f>
        <v/>
      </c>
      <c r="AI444" s="185" t="str">
        <f>IFERROR(__xludf.DUMMYFUNCTION("if($C444="""","""",if(join("" - "",{iferror(filter('Student Groupings'!$A:$A,'Student Groupings'!$B:$B=$C444,'Student Groupings'!$H:$H=""Must be Together""),"""");iferror(filter('Student Groupings'!$A:$A,'Student Groupings'!$E:$E=$C444,'Student Groupings'"&amp;"!$H:$H=""Must be Together""),"""")})="" - "","""",join("" - "",{iferror(filter('Student Groupings'!$A:$A,'Student Groupings'!$B:$B=$C444,'Student Groupings'!$H:$H=""Must be Together""),"""");iferror(filter('Student Groupings'!$A:$A,'Student Groupings'!$E:"&amp;"$E=$C444,'Student Groupings'!$H:$H=""Must be Together""),"""")})))"),"")</f>
        <v/>
      </c>
    </row>
    <row r="445">
      <c r="A445" s="186">
        <v>12.0</v>
      </c>
      <c r="B445" s="182">
        <v>26164.0</v>
      </c>
      <c r="C445" s="183" t="s">
        <v>597</v>
      </c>
      <c r="D445" s="198" t="s">
        <v>45</v>
      </c>
      <c r="E445" s="181">
        <v>8.0</v>
      </c>
      <c r="F445" s="186" t="s">
        <v>38</v>
      </c>
      <c r="G445" s="186">
        <v>3.0</v>
      </c>
      <c r="H445" s="196" t="s">
        <v>74</v>
      </c>
      <c r="I445" s="167">
        <v>7.0</v>
      </c>
      <c r="J445" s="187"/>
      <c r="K445" s="200"/>
      <c r="L445" s="184" t="s">
        <v>84</v>
      </c>
      <c r="M445" s="167">
        <v>2.0</v>
      </c>
      <c r="N445" s="184" t="s">
        <v>134</v>
      </c>
      <c r="O445" s="186">
        <v>5.0</v>
      </c>
      <c r="P445" s="182" t="s">
        <v>114</v>
      </c>
      <c r="Q445" s="186">
        <v>1.0</v>
      </c>
      <c r="R445" s="184" t="s">
        <v>111</v>
      </c>
      <c r="S445" s="186">
        <v>4.0</v>
      </c>
      <c r="T445" s="187"/>
      <c r="U445" s="200"/>
      <c r="V445" s="184" t="s">
        <v>29</v>
      </c>
      <c r="W445" s="186">
        <v>6.0</v>
      </c>
      <c r="X445" s="142">
        <v>1.0</v>
      </c>
      <c r="Y445" s="142">
        <v>1.0</v>
      </c>
      <c r="Z445" s="142">
        <v>1.0</v>
      </c>
      <c r="AA445" s="142">
        <v>1.0</v>
      </c>
      <c r="AB445" s="142">
        <v>1.0</v>
      </c>
      <c r="AC445" s="142">
        <v>1.0</v>
      </c>
      <c r="AD445" s="142">
        <v>1.0</v>
      </c>
      <c r="AE445" s="142">
        <v>1.0</v>
      </c>
      <c r="AF445" s="142">
        <v>8.0</v>
      </c>
      <c r="AG445" s="142">
        <v>0.0</v>
      </c>
      <c r="AH445" s="185" t="str">
        <f>IFERROR(__xludf.DUMMYFUNCTION("if($C445="""","""",if(join("" - "",{iferror(filter('Student Groupings'!$A:$A,'Student Groupings'!$B:$B=$C445,'Student Groupings'!$H:$H=""Can't be Together""),"""");iferror(filter('Student Groupings'!$A:$A,'Student Groupings'!$E:$E=$C445,'Student Groupings"&amp;"'!$H:$H=""Can't be Together""),"""")})="" - "","""",join("" - "",{iferror(filter('Student Groupings'!$A:$A,'Student Groupings'!$B:$B=$C445,'Student Groupings'!$H:$H=""Can't be Together""),"""");iferror(filter('Student Groupings'!$A:$A,'Student Groupings'!"&amp;"$E:$E=$C445,'Student Groupings'!$H:$H=""Can't be Together""),"""")})))"),"")</f>
        <v/>
      </c>
      <c r="AI445" s="185" t="str">
        <f>IFERROR(__xludf.DUMMYFUNCTION("if($C445="""","""",if(join("" - "",{iferror(filter('Student Groupings'!$A:$A,'Student Groupings'!$B:$B=$C445,'Student Groupings'!$H:$H=""Must be Together""),"""");iferror(filter('Student Groupings'!$A:$A,'Student Groupings'!$E:$E=$C445,'Student Groupings'"&amp;"!$H:$H=""Must be Together""),"""")})="" - "","""",join("" - "",{iferror(filter('Student Groupings'!$A:$A,'Student Groupings'!$B:$B=$C445,'Student Groupings'!$H:$H=""Must be Together""),"""");iferror(filter('Student Groupings'!$A:$A,'Student Groupings'!$E:"&amp;"$E=$C445,'Student Groupings'!$H:$H=""Must be Together""),"""")})))")," - 92")</f>
        <v> - 92</v>
      </c>
    </row>
    <row r="446">
      <c r="A446" s="186">
        <v>12.0</v>
      </c>
      <c r="B446" s="182">
        <v>26016.0</v>
      </c>
      <c r="C446" s="183" t="s">
        <v>598</v>
      </c>
      <c r="D446" s="198" t="s">
        <v>45</v>
      </c>
      <c r="E446" s="181">
        <v>7.0</v>
      </c>
      <c r="F446" s="186" t="s">
        <v>53</v>
      </c>
      <c r="G446" s="186">
        <v>2.0</v>
      </c>
      <c r="H446" s="182" t="s">
        <v>82</v>
      </c>
      <c r="I446" s="186">
        <v>5.0</v>
      </c>
      <c r="J446" s="187"/>
      <c r="K446" s="200"/>
      <c r="L446" s="184" t="s">
        <v>93</v>
      </c>
      <c r="M446" s="186">
        <v>3.0</v>
      </c>
      <c r="N446" s="184" t="s">
        <v>134</v>
      </c>
      <c r="O446" s="186">
        <v>8.0</v>
      </c>
      <c r="P446" s="184" t="s">
        <v>126</v>
      </c>
      <c r="Q446" s="167">
        <v>1.0</v>
      </c>
      <c r="R446" s="184" t="s">
        <v>101</v>
      </c>
      <c r="S446" s="186">
        <v>6.0</v>
      </c>
      <c r="T446" s="187"/>
      <c r="U446" s="200"/>
      <c r="V446" s="184" t="s">
        <v>30</v>
      </c>
      <c r="W446" s="167">
        <v>4.0</v>
      </c>
      <c r="X446" s="142">
        <v>1.0</v>
      </c>
      <c r="Y446" s="142">
        <v>1.0</v>
      </c>
      <c r="Z446" s="142">
        <v>1.0</v>
      </c>
      <c r="AA446" s="142">
        <v>1.0</v>
      </c>
      <c r="AB446" s="142">
        <v>1.0</v>
      </c>
      <c r="AC446" s="142">
        <v>1.0</v>
      </c>
      <c r="AD446" s="142">
        <v>1.0</v>
      </c>
      <c r="AE446" s="142">
        <v>1.0</v>
      </c>
      <c r="AF446" s="142">
        <v>8.0</v>
      </c>
      <c r="AG446" s="142">
        <v>0.0</v>
      </c>
      <c r="AH446" s="185" t="str">
        <f>IFERROR(__xludf.DUMMYFUNCTION("if($C446="""","""",if(join("" - "",{iferror(filter('Student Groupings'!$A:$A,'Student Groupings'!$B:$B=$C446,'Student Groupings'!$H:$H=""Can't be Together""),"""");iferror(filter('Student Groupings'!$A:$A,'Student Groupings'!$E:$E=$C446,'Student Groupings"&amp;"'!$H:$H=""Can't be Together""),"""")})="" - "","""",join("" - "",{iferror(filter('Student Groupings'!$A:$A,'Student Groupings'!$B:$B=$C446,'Student Groupings'!$H:$H=""Can't be Together""),"""");iferror(filter('Student Groupings'!$A:$A,'Student Groupings'!"&amp;"$E:$E=$C446,'Student Groupings'!$H:$H=""Can't be Together""),"""")})))"),"")</f>
        <v/>
      </c>
      <c r="AI446" s="185" t="str">
        <f>IFERROR(__xludf.DUMMYFUNCTION("if($C446="""","""",if(join("" - "",{iferror(filter('Student Groupings'!$A:$A,'Student Groupings'!$B:$B=$C446,'Student Groupings'!$H:$H=""Must be Together""),"""");iferror(filter('Student Groupings'!$A:$A,'Student Groupings'!$E:$E=$C446,'Student Groupings'"&amp;"!$H:$H=""Must be Together""),"""")})="" - "","""",join("" - "",{iferror(filter('Student Groupings'!$A:$A,'Student Groupings'!$B:$B=$C446,'Student Groupings'!$H:$H=""Must be Together""),"""");iferror(filter('Student Groupings'!$A:$A,'Student Groupings'!$E:"&amp;"$E=$C446,'Student Groupings'!$H:$H=""Must be Together""),"""")})))"),"")</f>
        <v/>
      </c>
    </row>
    <row r="447">
      <c r="A447" s="186">
        <v>12.0</v>
      </c>
      <c r="B447" s="182">
        <v>26057.0</v>
      </c>
      <c r="C447" s="183" t="s">
        <v>599</v>
      </c>
      <c r="D447" s="198" t="s">
        <v>45</v>
      </c>
      <c r="E447" s="181">
        <v>8.0</v>
      </c>
      <c r="F447" s="186" t="s">
        <v>53</v>
      </c>
      <c r="G447" s="186">
        <v>5.0</v>
      </c>
      <c r="H447" s="182" t="s">
        <v>74</v>
      </c>
      <c r="I447" s="186">
        <v>7.0</v>
      </c>
      <c r="J447" s="187"/>
      <c r="K447" s="200"/>
      <c r="L447" s="184" t="s">
        <v>84</v>
      </c>
      <c r="M447" s="186">
        <v>2.0</v>
      </c>
      <c r="N447" s="184" t="s">
        <v>134</v>
      </c>
      <c r="O447" s="186">
        <v>4.0</v>
      </c>
      <c r="P447" s="182" t="s">
        <v>114</v>
      </c>
      <c r="Q447" s="167">
        <v>1.0</v>
      </c>
      <c r="R447" s="184" t="s">
        <v>107</v>
      </c>
      <c r="S447" s="186">
        <v>6.0</v>
      </c>
      <c r="T447" s="187"/>
      <c r="U447" s="200"/>
      <c r="V447" s="182" t="s">
        <v>115</v>
      </c>
      <c r="W447" s="167">
        <v>3.0</v>
      </c>
      <c r="X447" s="142">
        <v>1.0</v>
      </c>
      <c r="Y447" s="142">
        <v>1.0</v>
      </c>
      <c r="Z447" s="142">
        <v>1.0</v>
      </c>
      <c r="AA447" s="142">
        <v>1.0</v>
      </c>
      <c r="AB447" s="142">
        <v>1.0</v>
      </c>
      <c r="AC447" s="142">
        <v>1.0</v>
      </c>
      <c r="AD447" s="142">
        <v>1.0</v>
      </c>
      <c r="AE447" s="142">
        <v>1.0</v>
      </c>
      <c r="AF447" s="142">
        <v>8.0</v>
      </c>
      <c r="AG447" s="142">
        <v>0.0</v>
      </c>
      <c r="AH447" s="185" t="str">
        <f>IFERROR(__xludf.DUMMYFUNCTION("if($C447="""","""",if(join("" - "",{iferror(filter('Student Groupings'!$A:$A,'Student Groupings'!$B:$B=$C447,'Student Groupings'!$H:$H=""Can't be Together""),"""");iferror(filter('Student Groupings'!$A:$A,'Student Groupings'!$E:$E=$C447,'Student Groupings"&amp;"'!$H:$H=""Can't be Together""),"""")})="" - "","""",join("" - "",{iferror(filter('Student Groupings'!$A:$A,'Student Groupings'!$B:$B=$C447,'Student Groupings'!$H:$H=""Can't be Together""),"""");iferror(filter('Student Groupings'!$A:$A,'Student Groupings'!"&amp;"$E:$E=$C447,'Student Groupings'!$H:$H=""Can't be Together""),"""")})))"),"")</f>
        <v/>
      </c>
      <c r="AI447" s="185" t="str">
        <f>IFERROR(__xludf.DUMMYFUNCTION("if($C447="""","""",if(join("" - "",{iferror(filter('Student Groupings'!$A:$A,'Student Groupings'!$B:$B=$C447,'Student Groupings'!$H:$H=""Must be Together""),"""");iferror(filter('Student Groupings'!$A:$A,'Student Groupings'!$E:$E=$C447,'Student Groupings'"&amp;"!$H:$H=""Must be Together""),"""")})="" - "","""",join("" - "",{iferror(filter('Student Groupings'!$A:$A,'Student Groupings'!$B:$B=$C447,'Student Groupings'!$H:$H=""Must be Together""),"""");iferror(filter('Student Groupings'!$A:$A,'Student Groupings'!$E:"&amp;"$E=$C447,'Student Groupings'!$H:$H=""Must be Together""),"""")})))"),"")</f>
        <v/>
      </c>
    </row>
    <row r="448">
      <c r="A448" s="186">
        <v>12.0</v>
      </c>
      <c r="B448" s="182">
        <v>26059.0</v>
      </c>
      <c r="C448" s="183" t="s">
        <v>600</v>
      </c>
      <c r="D448" s="198" t="s">
        <v>45</v>
      </c>
      <c r="E448" s="181">
        <v>7.0</v>
      </c>
      <c r="F448" s="167" t="s">
        <v>53</v>
      </c>
      <c r="G448" s="186">
        <v>4.0</v>
      </c>
      <c r="H448" s="223" t="s">
        <v>69</v>
      </c>
      <c r="I448" s="186">
        <v>5.0</v>
      </c>
      <c r="J448" s="187"/>
      <c r="K448" s="200"/>
      <c r="L448" s="184" t="s">
        <v>84</v>
      </c>
      <c r="M448" s="186">
        <v>2.0</v>
      </c>
      <c r="N448" s="184" t="s">
        <v>134</v>
      </c>
      <c r="O448" s="167">
        <v>6.0</v>
      </c>
      <c r="P448" s="182" t="s">
        <v>114</v>
      </c>
      <c r="Q448" s="167">
        <v>8.0</v>
      </c>
      <c r="R448" s="184" t="s">
        <v>107</v>
      </c>
      <c r="S448" s="186">
        <v>3.0</v>
      </c>
      <c r="T448" s="183"/>
      <c r="U448" s="167"/>
      <c r="V448" s="184" t="s">
        <v>26</v>
      </c>
      <c r="W448" s="167">
        <v>1.0</v>
      </c>
      <c r="X448" s="142">
        <v>1.0</v>
      </c>
      <c r="Y448" s="142">
        <v>1.0</v>
      </c>
      <c r="Z448" s="142">
        <v>1.0</v>
      </c>
      <c r="AA448" s="142">
        <v>1.0</v>
      </c>
      <c r="AB448" s="142">
        <v>1.0</v>
      </c>
      <c r="AC448" s="142">
        <v>1.0</v>
      </c>
      <c r="AD448" s="142">
        <v>1.0</v>
      </c>
      <c r="AE448" s="142">
        <v>1.0</v>
      </c>
      <c r="AF448" s="142">
        <v>8.0</v>
      </c>
      <c r="AG448" s="142">
        <v>0.0</v>
      </c>
      <c r="AH448" s="185" t="str">
        <f>IFERROR(__xludf.DUMMYFUNCTION("if($C448="""","""",if(join("" - "",{iferror(filter('Student Groupings'!$A:$A,'Student Groupings'!$B:$B=$C448,'Student Groupings'!$H:$H=""Can't be Together""),"""");iferror(filter('Student Groupings'!$A:$A,'Student Groupings'!$E:$E=$C448,'Student Groupings"&amp;"'!$H:$H=""Can't be Together""),"""")})="" - "","""",join("" - "",{iferror(filter('Student Groupings'!$A:$A,'Student Groupings'!$B:$B=$C448,'Student Groupings'!$H:$H=""Can't be Together""),"""");iferror(filter('Student Groupings'!$A:$A,'Student Groupings'!"&amp;"$E:$E=$C448,'Student Groupings'!$H:$H=""Can't be Together""),"""")})))"),"")</f>
        <v/>
      </c>
      <c r="AI448" s="185" t="str">
        <f>IFERROR(__xludf.DUMMYFUNCTION("if($C448="""","""",if(join("" - "",{iferror(filter('Student Groupings'!$A:$A,'Student Groupings'!$B:$B=$C448,'Student Groupings'!$H:$H=""Must be Together""),"""");iferror(filter('Student Groupings'!$A:$A,'Student Groupings'!$E:$E=$C448,'Student Groupings'"&amp;"!$H:$H=""Must be Together""),"""")})="" - "","""",join("" - "",{iferror(filter('Student Groupings'!$A:$A,'Student Groupings'!$B:$B=$C448,'Student Groupings'!$H:$H=""Must be Together""),"""");iferror(filter('Student Groupings'!$A:$A,'Student Groupings'!$E:"&amp;"$E=$C448,'Student Groupings'!$H:$H=""Must be Together""),"""")})))"),"")</f>
        <v/>
      </c>
    </row>
    <row r="449">
      <c r="A449" s="186">
        <v>12.0</v>
      </c>
      <c r="B449" s="182">
        <v>26094.0</v>
      </c>
      <c r="C449" s="183" t="s">
        <v>601</v>
      </c>
      <c r="D449" s="198" t="s">
        <v>45</v>
      </c>
      <c r="E449" s="181">
        <v>8.0</v>
      </c>
      <c r="F449" s="186" t="s">
        <v>53</v>
      </c>
      <c r="G449" s="186">
        <v>7.0</v>
      </c>
      <c r="H449" s="182" t="s">
        <v>69</v>
      </c>
      <c r="I449" s="167">
        <v>5.0</v>
      </c>
      <c r="J449" s="183"/>
      <c r="K449" s="167"/>
      <c r="L449" s="184" t="s">
        <v>84</v>
      </c>
      <c r="M449" s="186">
        <v>2.0</v>
      </c>
      <c r="N449" s="184" t="s">
        <v>134</v>
      </c>
      <c r="O449" s="186">
        <v>4.0</v>
      </c>
      <c r="P449" s="182" t="s">
        <v>114</v>
      </c>
      <c r="Q449" s="186">
        <v>1.0</v>
      </c>
      <c r="R449" s="184" t="s">
        <v>107</v>
      </c>
      <c r="S449" s="186">
        <v>3.0</v>
      </c>
      <c r="T449" s="187"/>
      <c r="U449" s="200"/>
      <c r="V449" s="184" t="s">
        <v>101</v>
      </c>
      <c r="W449" s="186">
        <v>6.0</v>
      </c>
      <c r="X449" s="142">
        <v>1.0</v>
      </c>
      <c r="Y449" s="142">
        <v>1.0</v>
      </c>
      <c r="Z449" s="142">
        <v>1.0</v>
      </c>
      <c r="AA449" s="142">
        <v>1.0</v>
      </c>
      <c r="AB449" s="142">
        <v>1.0</v>
      </c>
      <c r="AC449" s="142">
        <v>1.0</v>
      </c>
      <c r="AD449" s="142">
        <v>1.0</v>
      </c>
      <c r="AE449" s="142">
        <v>1.0</v>
      </c>
      <c r="AF449" s="142">
        <v>8.0</v>
      </c>
      <c r="AG449" s="142">
        <v>0.0</v>
      </c>
      <c r="AH449" s="185" t="str">
        <f>IFERROR(__xludf.DUMMYFUNCTION("if($C449="""","""",if(join("" - "",{iferror(filter('Student Groupings'!$A:$A,'Student Groupings'!$B:$B=$C449,'Student Groupings'!$H:$H=""Can't be Together""),"""");iferror(filter('Student Groupings'!$A:$A,'Student Groupings'!$E:$E=$C449,'Student Groupings"&amp;"'!$H:$H=""Can't be Together""),"""")})="" - "","""",join("" - "",{iferror(filter('Student Groupings'!$A:$A,'Student Groupings'!$B:$B=$C449,'Student Groupings'!$H:$H=""Can't be Together""),"""");iferror(filter('Student Groupings'!$A:$A,'Student Groupings'!"&amp;"$E:$E=$C449,'Student Groupings'!$H:$H=""Can't be Together""),"""")})))"),"")</f>
        <v/>
      </c>
      <c r="AI449" s="185" t="str">
        <f>IFERROR(__xludf.DUMMYFUNCTION("if($C449="""","""",if(join("" - "",{iferror(filter('Student Groupings'!$A:$A,'Student Groupings'!$B:$B=$C449,'Student Groupings'!$H:$H=""Must be Together""),"""");iferror(filter('Student Groupings'!$A:$A,'Student Groupings'!$E:$E=$C449,'Student Groupings'"&amp;"!$H:$H=""Must be Together""),"""")})="" - "","""",join("" - "",{iferror(filter('Student Groupings'!$A:$A,'Student Groupings'!$B:$B=$C449,'Student Groupings'!$H:$H=""Must be Together""),"""");iferror(filter('Student Groupings'!$A:$A,'Student Groupings'!$E:"&amp;"$E=$C449,'Student Groupings'!$H:$H=""Must be Together""),"""")})))"),"")</f>
        <v/>
      </c>
    </row>
    <row r="450">
      <c r="A450" s="186">
        <v>12.0</v>
      </c>
      <c r="B450" s="182">
        <v>26007.0</v>
      </c>
      <c r="C450" s="183" t="s">
        <v>602</v>
      </c>
      <c r="D450" s="198" t="s">
        <v>46</v>
      </c>
      <c r="E450" s="181">
        <v>4.0</v>
      </c>
      <c r="F450" s="186" t="s">
        <v>53</v>
      </c>
      <c r="G450" s="167">
        <v>2.0</v>
      </c>
      <c r="H450" s="182" t="s">
        <v>71</v>
      </c>
      <c r="I450" s="167">
        <v>3.0</v>
      </c>
      <c r="J450" s="187"/>
      <c r="K450" s="200"/>
      <c r="L450" s="184" t="s">
        <v>93</v>
      </c>
      <c r="M450" s="167">
        <v>5.0</v>
      </c>
      <c r="N450" s="184" t="s">
        <v>134</v>
      </c>
      <c r="O450" s="186">
        <v>6.0</v>
      </c>
      <c r="P450" s="182" t="s">
        <v>114</v>
      </c>
      <c r="Q450" s="167">
        <v>1.0</v>
      </c>
      <c r="R450" s="184" t="s">
        <v>107</v>
      </c>
      <c r="S450" s="186">
        <v>8.0</v>
      </c>
      <c r="T450" s="183"/>
      <c r="U450" s="167"/>
      <c r="V450" s="184" t="s">
        <v>82</v>
      </c>
      <c r="W450" s="167">
        <v>7.0</v>
      </c>
      <c r="X450" s="142">
        <v>1.0</v>
      </c>
      <c r="Y450" s="142">
        <v>1.0</v>
      </c>
      <c r="Z450" s="142">
        <v>1.0</v>
      </c>
      <c r="AA450" s="142">
        <v>1.0</v>
      </c>
      <c r="AB450" s="142">
        <v>1.0</v>
      </c>
      <c r="AC450" s="142">
        <v>1.0</v>
      </c>
      <c r="AD450" s="142">
        <v>1.0</v>
      </c>
      <c r="AE450" s="142">
        <v>1.0</v>
      </c>
      <c r="AF450" s="142">
        <v>8.0</v>
      </c>
      <c r="AG450" s="142">
        <v>0.0</v>
      </c>
      <c r="AH450" s="185" t="str">
        <f>IFERROR(__xludf.DUMMYFUNCTION("if($C450="""","""",if(join("" - "",{iferror(filter('Student Groupings'!$A:$A,'Student Groupings'!$B:$B=$C450,'Student Groupings'!$H:$H=""Can't be Together""),"""");iferror(filter('Student Groupings'!$A:$A,'Student Groupings'!$E:$E=$C450,'Student Groupings"&amp;"'!$H:$H=""Can't be Together""),"""")})="" - "","""",join("" - "",{iferror(filter('Student Groupings'!$A:$A,'Student Groupings'!$B:$B=$C450,'Student Groupings'!$H:$H=""Can't be Together""),"""");iferror(filter('Student Groupings'!$A:$A,'Student Groupings'!"&amp;"$E:$E=$C450,'Student Groupings'!$H:$H=""Can't be Together""),"""")})))"),"")</f>
        <v/>
      </c>
      <c r="AI450" s="185" t="str">
        <f>IFERROR(__xludf.DUMMYFUNCTION("if($C450="""","""",if(join("" - "",{iferror(filter('Student Groupings'!$A:$A,'Student Groupings'!$B:$B=$C450,'Student Groupings'!$H:$H=""Must be Together""),"""");iferror(filter('Student Groupings'!$A:$A,'Student Groupings'!$E:$E=$C450,'Student Groupings'"&amp;"!$H:$H=""Must be Together""),"""")})="" - "","""",join("" - "",{iferror(filter('Student Groupings'!$A:$A,'Student Groupings'!$B:$B=$C450,'Student Groupings'!$H:$H=""Must be Together""),"""");iferror(filter('Student Groupings'!$A:$A,'Student Groupings'!$E:"&amp;"$E=$C450,'Student Groupings'!$H:$H=""Must be Together""),"""")})))"),"")</f>
        <v/>
      </c>
    </row>
    <row r="451">
      <c r="A451" s="186">
        <v>12.0</v>
      </c>
      <c r="B451" s="182">
        <v>26176.0</v>
      </c>
      <c r="C451" s="183" t="s">
        <v>603</v>
      </c>
      <c r="D451" s="198" t="s">
        <v>38</v>
      </c>
      <c r="E451" s="181">
        <v>7.0</v>
      </c>
      <c r="F451" s="186" t="s">
        <v>53</v>
      </c>
      <c r="G451" s="186">
        <v>3.0</v>
      </c>
      <c r="H451" s="182" t="s">
        <v>69</v>
      </c>
      <c r="I451" s="186">
        <v>2.0</v>
      </c>
      <c r="J451" s="187"/>
      <c r="K451" s="200"/>
      <c r="L451" s="184" t="s">
        <v>84</v>
      </c>
      <c r="M451" s="186">
        <v>8.0</v>
      </c>
      <c r="N451" s="184" t="s">
        <v>134</v>
      </c>
      <c r="O451" s="186">
        <v>1.0</v>
      </c>
      <c r="P451" s="182" t="s">
        <v>114</v>
      </c>
      <c r="Q451" s="186">
        <v>6.0</v>
      </c>
      <c r="R451" s="184" t="s">
        <v>109</v>
      </c>
      <c r="S451" s="167">
        <v>4.0</v>
      </c>
      <c r="T451" s="187"/>
      <c r="U451" s="200"/>
      <c r="V451" s="184" t="s">
        <v>82</v>
      </c>
      <c r="W451" s="186">
        <v>5.0</v>
      </c>
      <c r="X451" s="142">
        <v>1.0</v>
      </c>
      <c r="Y451" s="142">
        <v>1.0</v>
      </c>
      <c r="Z451" s="142">
        <v>1.0</v>
      </c>
      <c r="AA451" s="142">
        <v>1.0</v>
      </c>
      <c r="AB451" s="142">
        <v>1.0</v>
      </c>
      <c r="AC451" s="142">
        <v>1.0</v>
      </c>
      <c r="AD451" s="142">
        <v>1.0</v>
      </c>
      <c r="AE451" s="142">
        <v>1.0</v>
      </c>
      <c r="AF451" s="142">
        <v>8.0</v>
      </c>
      <c r="AG451" s="142">
        <v>0.0</v>
      </c>
      <c r="AH451" s="185" t="str">
        <f>IFERROR(__xludf.DUMMYFUNCTION("if($C451="""","""",if(join("" - "",{iferror(filter('Student Groupings'!$A:$A,'Student Groupings'!$B:$B=$C451,'Student Groupings'!$H:$H=""Can't be Together""),"""");iferror(filter('Student Groupings'!$A:$A,'Student Groupings'!$E:$E=$C451,'Student Groupings"&amp;"'!$H:$H=""Can't be Together""),"""")})="" - "","""",join("" - "",{iferror(filter('Student Groupings'!$A:$A,'Student Groupings'!$B:$B=$C451,'Student Groupings'!$H:$H=""Can't be Together""),"""");iferror(filter('Student Groupings'!$A:$A,'Student Groupings'!"&amp;"$E:$E=$C451,'Student Groupings'!$H:$H=""Can't be Together""),"""")})))"),"")</f>
        <v/>
      </c>
      <c r="AI451" s="185" t="str">
        <f>IFERROR(__xludf.DUMMYFUNCTION("if($C451="""","""",if(join("" - "",{iferror(filter('Student Groupings'!$A:$A,'Student Groupings'!$B:$B=$C451,'Student Groupings'!$H:$H=""Must be Together""),"""");iferror(filter('Student Groupings'!$A:$A,'Student Groupings'!$E:$E=$C451,'Student Groupings'"&amp;"!$H:$H=""Must be Together""),"""")})="" - "","""",join("" - "",{iferror(filter('Student Groupings'!$A:$A,'Student Groupings'!$B:$B=$C451,'Student Groupings'!$H:$H=""Must be Together""),"""");iferror(filter('Student Groupings'!$A:$A,'Student Groupings'!$E:"&amp;"$E=$C451,'Student Groupings'!$H:$H=""Must be Together""),"""")})))"),"")</f>
        <v/>
      </c>
    </row>
    <row r="452">
      <c r="A452" s="186">
        <v>12.0</v>
      </c>
      <c r="B452" s="182">
        <v>26070.0</v>
      </c>
      <c r="C452" s="183" t="s">
        <v>604</v>
      </c>
      <c r="D452" s="198" t="s">
        <v>38</v>
      </c>
      <c r="E452" s="181">
        <v>7.0</v>
      </c>
      <c r="F452" s="186" t="s">
        <v>53</v>
      </c>
      <c r="G452" s="186">
        <v>3.0</v>
      </c>
      <c r="H452" s="182" t="s">
        <v>69</v>
      </c>
      <c r="I452" s="186">
        <v>6.0</v>
      </c>
      <c r="J452" s="187"/>
      <c r="K452" s="200"/>
      <c r="L452" s="184" t="s">
        <v>84</v>
      </c>
      <c r="M452" s="186">
        <v>2.0</v>
      </c>
      <c r="N452" s="184" t="s">
        <v>134</v>
      </c>
      <c r="O452" s="186">
        <v>5.0</v>
      </c>
      <c r="P452" s="182" t="s">
        <v>114</v>
      </c>
      <c r="Q452" s="167">
        <v>1.0</v>
      </c>
      <c r="R452" s="184" t="s">
        <v>109</v>
      </c>
      <c r="S452" s="167">
        <v>4.0</v>
      </c>
      <c r="T452" s="183"/>
      <c r="U452" s="167"/>
      <c r="V452" s="184" t="s">
        <v>27</v>
      </c>
      <c r="W452" s="186">
        <v>8.0</v>
      </c>
      <c r="X452" s="142">
        <v>1.0</v>
      </c>
      <c r="Y452" s="142">
        <v>1.0</v>
      </c>
      <c r="Z452" s="142">
        <v>1.0</v>
      </c>
      <c r="AA452" s="142">
        <v>1.0</v>
      </c>
      <c r="AB452" s="142">
        <v>1.0</v>
      </c>
      <c r="AC452" s="142">
        <v>1.0</v>
      </c>
      <c r="AD452" s="142">
        <v>1.0</v>
      </c>
      <c r="AE452" s="142">
        <v>1.0</v>
      </c>
      <c r="AF452" s="142">
        <v>8.0</v>
      </c>
      <c r="AG452" s="142">
        <v>0.0</v>
      </c>
      <c r="AH452" s="185" t="str">
        <f>IFERROR(__xludf.DUMMYFUNCTION("if($C452="""","""",if(join("" - "",{iferror(filter('Student Groupings'!$A:$A,'Student Groupings'!$B:$B=$C452,'Student Groupings'!$H:$H=""Can't be Together""),"""");iferror(filter('Student Groupings'!$A:$A,'Student Groupings'!$E:$E=$C452,'Student Groupings"&amp;"'!$H:$H=""Can't be Together""),"""")})="" - "","""",join("" - "",{iferror(filter('Student Groupings'!$A:$A,'Student Groupings'!$B:$B=$C452,'Student Groupings'!$H:$H=""Can't be Together""),"""");iferror(filter('Student Groupings'!$A:$A,'Student Groupings'!"&amp;"$E:$E=$C452,'Student Groupings'!$H:$H=""Can't be Together""),"""")})))"),"")</f>
        <v/>
      </c>
      <c r="AI452" s="185" t="str">
        <f>IFERROR(__xludf.DUMMYFUNCTION("if($C452="""","""",if(join("" - "",{iferror(filter('Student Groupings'!$A:$A,'Student Groupings'!$B:$B=$C452,'Student Groupings'!$H:$H=""Must be Together""),"""");iferror(filter('Student Groupings'!$A:$A,'Student Groupings'!$E:$E=$C452,'Student Groupings'"&amp;"!$H:$H=""Must be Together""),"""")})="" - "","""",join("" - "",{iferror(filter('Student Groupings'!$A:$A,'Student Groupings'!$B:$B=$C452,'Student Groupings'!$H:$H=""Must be Together""),"""");iferror(filter('Student Groupings'!$A:$A,'Student Groupings'!$E:"&amp;"$E=$C452,'Student Groupings'!$H:$H=""Must be Together""),"""")})))"),"")</f>
        <v/>
      </c>
    </row>
    <row r="453">
      <c r="A453" s="186">
        <v>12.0</v>
      </c>
      <c r="B453" s="182">
        <v>26052.0</v>
      </c>
      <c r="C453" s="183" t="s">
        <v>605</v>
      </c>
      <c r="D453" s="198" t="s">
        <v>38</v>
      </c>
      <c r="E453" s="181">
        <v>8.0</v>
      </c>
      <c r="F453" s="167" t="s">
        <v>53</v>
      </c>
      <c r="G453" s="186">
        <v>5.0</v>
      </c>
      <c r="H453" s="182" t="s">
        <v>74</v>
      </c>
      <c r="I453" s="167">
        <v>7.0</v>
      </c>
      <c r="J453" s="187"/>
      <c r="K453" s="200"/>
      <c r="L453" s="184" t="s">
        <v>85</v>
      </c>
      <c r="M453" s="186">
        <v>3.0</v>
      </c>
      <c r="N453" s="184" t="s">
        <v>134</v>
      </c>
      <c r="O453" s="186">
        <v>2.0</v>
      </c>
      <c r="P453" s="182" t="s">
        <v>114</v>
      </c>
      <c r="Q453" s="186">
        <v>4.0</v>
      </c>
      <c r="R453" s="184" t="s">
        <v>107</v>
      </c>
      <c r="S453" s="186">
        <v>6.0</v>
      </c>
      <c r="T453" s="187"/>
      <c r="U453" s="200"/>
      <c r="V453" s="229" t="s">
        <v>34</v>
      </c>
      <c r="W453" s="186">
        <v>1.0</v>
      </c>
      <c r="X453" s="142">
        <v>1.0</v>
      </c>
      <c r="Y453" s="142">
        <v>1.0</v>
      </c>
      <c r="Z453" s="142">
        <v>1.0</v>
      </c>
      <c r="AA453" s="142">
        <v>1.0</v>
      </c>
      <c r="AB453" s="142">
        <v>1.0</v>
      </c>
      <c r="AC453" s="142">
        <v>1.0</v>
      </c>
      <c r="AD453" s="142">
        <v>1.0</v>
      </c>
      <c r="AE453" s="142">
        <v>1.0</v>
      </c>
      <c r="AF453" s="142">
        <v>8.0</v>
      </c>
      <c r="AG453" s="142">
        <v>0.0</v>
      </c>
      <c r="AH453" s="185" t="str">
        <f>IFERROR(__xludf.DUMMYFUNCTION("if($C453="""","""",if(join("" - "",{iferror(filter('Student Groupings'!$A:$A,'Student Groupings'!$B:$B=$C453,'Student Groupings'!$H:$H=""Can't be Together""),"""");iferror(filter('Student Groupings'!$A:$A,'Student Groupings'!$E:$E=$C453,'Student Groupings"&amp;"'!$H:$H=""Can't be Together""),"""")})="" - "","""",join("" - "",{iferror(filter('Student Groupings'!$A:$A,'Student Groupings'!$B:$B=$C453,'Student Groupings'!$H:$H=""Can't be Together""),"""");iferror(filter('Student Groupings'!$A:$A,'Student Groupings'!"&amp;"$E:$E=$C453,'Student Groupings'!$H:$H=""Can't be Together""),"""")})))"),"")</f>
        <v/>
      </c>
      <c r="AI453" s="185" t="str">
        <f>IFERROR(__xludf.DUMMYFUNCTION("if($C453="""","""",if(join("" - "",{iferror(filter('Student Groupings'!$A:$A,'Student Groupings'!$B:$B=$C453,'Student Groupings'!$H:$H=""Must be Together""),"""");iferror(filter('Student Groupings'!$A:$A,'Student Groupings'!$E:$E=$C453,'Student Groupings'"&amp;"!$H:$H=""Must be Together""),"""")})="" - "","""",join("" - "",{iferror(filter('Student Groupings'!$A:$A,'Student Groupings'!$B:$B=$C453,'Student Groupings'!$H:$H=""Must be Together""),"""");iferror(filter('Student Groupings'!$A:$A,'Student Groupings'!$E:"&amp;"$E=$C453,'Student Groupings'!$H:$H=""Must be Together""),"""")})))"),"")</f>
        <v/>
      </c>
    </row>
    <row r="454">
      <c r="A454" s="186">
        <v>12.0</v>
      </c>
      <c r="B454" s="182">
        <v>26123.0</v>
      </c>
      <c r="C454" s="183" t="s">
        <v>606</v>
      </c>
      <c r="D454" s="198" t="s">
        <v>45</v>
      </c>
      <c r="E454" s="181">
        <v>8.0</v>
      </c>
      <c r="F454" s="186" t="s">
        <v>53</v>
      </c>
      <c r="G454" s="186">
        <v>3.0</v>
      </c>
      <c r="H454" s="182" t="s">
        <v>82</v>
      </c>
      <c r="I454" s="167">
        <v>4.0</v>
      </c>
      <c r="J454" s="187"/>
      <c r="K454" s="167"/>
      <c r="L454" s="184" t="s">
        <v>93</v>
      </c>
      <c r="M454" s="186">
        <v>5.0</v>
      </c>
      <c r="N454" s="184" t="s">
        <v>134</v>
      </c>
      <c r="O454" s="186">
        <v>2.0</v>
      </c>
      <c r="P454" s="182" t="s">
        <v>114</v>
      </c>
      <c r="Q454" s="186">
        <v>1.0</v>
      </c>
      <c r="R454" s="184" t="s">
        <v>107</v>
      </c>
      <c r="S454" s="186">
        <v>7.0</v>
      </c>
      <c r="T454" s="187"/>
      <c r="U454" s="200"/>
      <c r="V454" s="184" t="s">
        <v>101</v>
      </c>
      <c r="W454" s="186">
        <v>6.0</v>
      </c>
      <c r="X454" s="142">
        <v>1.0</v>
      </c>
      <c r="Y454" s="142">
        <v>1.0</v>
      </c>
      <c r="Z454" s="142">
        <v>1.0</v>
      </c>
      <c r="AA454" s="142">
        <v>1.0</v>
      </c>
      <c r="AB454" s="142">
        <v>1.0</v>
      </c>
      <c r="AC454" s="142">
        <v>1.0</v>
      </c>
      <c r="AD454" s="142">
        <v>1.0</v>
      </c>
      <c r="AE454" s="142">
        <v>1.0</v>
      </c>
      <c r="AF454" s="142">
        <v>8.0</v>
      </c>
      <c r="AG454" s="142">
        <v>0.0</v>
      </c>
      <c r="AH454" s="185" t="str">
        <f>IFERROR(__xludf.DUMMYFUNCTION("if($C454="""","""",if(join("" - "",{iferror(filter('Student Groupings'!$A:$A,'Student Groupings'!$B:$B=$C454,'Student Groupings'!$H:$H=""Can't be Together""),"""");iferror(filter('Student Groupings'!$A:$A,'Student Groupings'!$E:$E=$C454,'Student Groupings"&amp;"'!$H:$H=""Can't be Together""),"""")})="" - "","""",join("" - "",{iferror(filter('Student Groupings'!$A:$A,'Student Groupings'!$B:$B=$C454,'Student Groupings'!$H:$H=""Can't be Together""),"""");iferror(filter('Student Groupings'!$A:$A,'Student Groupings'!"&amp;"$E:$E=$C454,'Student Groupings'!$H:$H=""Can't be Together""),"""")})))"),"")</f>
        <v/>
      </c>
      <c r="AI454" s="185" t="str">
        <f>IFERROR(__xludf.DUMMYFUNCTION("if($C454="""","""",if(join("" - "",{iferror(filter('Student Groupings'!$A:$A,'Student Groupings'!$B:$B=$C454,'Student Groupings'!$H:$H=""Must be Together""),"""");iferror(filter('Student Groupings'!$A:$A,'Student Groupings'!$E:$E=$C454,'Student Groupings'"&amp;"!$H:$H=""Must be Together""),"""")})="" - "","""",join("" - "",{iferror(filter('Student Groupings'!$A:$A,'Student Groupings'!$B:$B=$C454,'Student Groupings'!$H:$H=""Must be Together""),"""");iferror(filter('Student Groupings'!$A:$A,'Student Groupings'!$E:"&amp;"$E=$C454,'Student Groupings'!$H:$H=""Must be Together""),"""")})))"),"")</f>
        <v/>
      </c>
    </row>
    <row r="455">
      <c r="A455" s="186">
        <v>12.0</v>
      </c>
      <c r="B455" s="182">
        <v>26042.0</v>
      </c>
      <c r="C455" s="183" t="s">
        <v>607</v>
      </c>
      <c r="D455" s="198" t="s">
        <v>38</v>
      </c>
      <c r="E455" s="181">
        <v>7.0</v>
      </c>
      <c r="F455" s="186" t="s">
        <v>53</v>
      </c>
      <c r="G455" s="186">
        <v>5.0</v>
      </c>
      <c r="H455" s="182" t="s">
        <v>69</v>
      </c>
      <c r="I455" s="186">
        <v>2.0</v>
      </c>
      <c r="J455" s="187"/>
      <c r="K455" s="200"/>
      <c r="L455" s="184" t="s">
        <v>85</v>
      </c>
      <c r="M455" s="186">
        <v>3.0</v>
      </c>
      <c r="N455" s="184" t="s">
        <v>134</v>
      </c>
      <c r="O455" s="186">
        <v>4.0</v>
      </c>
      <c r="P455" s="182" t="s">
        <v>114</v>
      </c>
      <c r="Q455" s="186">
        <v>8.0</v>
      </c>
      <c r="R455" s="184" t="s">
        <v>107</v>
      </c>
      <c r="S455" s="186">
        <v>6.0</v>
      </c>
      <c r="T455" s="187"/>
      <c r="U455" s="200"/>
      <c r="V455" s="241" t="s">
        <v>130</v>
      </c>
      <c r="W455" s="186">
        <v>1.0</v>
      </c>
      <c r="X455" s="142">
        <v>1.0</v>
      </c>
      <c r="Y455" s="142">
        <v>1.0</v>
      </c>
      <c r="Z455" s="142">
        <v>1.0</v>
      </c>
      <c r="AA455" s="142">
        <v>1.0</v>
      </c>
      <c r="AB455" s="142">
        <v>1.0</v>
      </c>
      <c r="AC455" s="142">
        <v>1.0</v>
      </c>
      <c r="AD455" s="142">
        <v>1.0</v>
      </c>
      <c r="AE455" s="142">
        <v>1.0</v>
      </c>
      <c r="AF455" s="142">
        <v>8.0</v>
      </c>
      <c r="AG455" s="142">
        <v>0.0</v>
      </c>
      <c r="AH455" s="185" t="str">
        <f>IFERROR(__xludf.DUMMYFUNCTION("if($C455="""","""",if(join("" - "",{iferror(filter('Student Groupings'!$A:$A,'Student Groupings'!$B:$B=$C455,'Student Groupings'!$H:$H=""Can't be Together""),"""");iferror(filter('Student Groupings'!$A:$A,'Student Groupings'!$E:$E=$C455,'Student Groupings"&amp;"'!$H:$H=""Can't be Together""),"""")})="" - "","""",join("" - "",{iferror(filter('Student Groupings'!$A:$A,'Student Groupings'!$B:$B=$C455,'Student Groupings'!$H:$H=""Can't be Together""),"""");iferror(filter('Student Groupings'!$A:$A,'Student Groupings'!"&amp;"$E:$E=$C455,'Student Groupings'!$H:$H=""Can't be Together""),"""")})))"),"")</f>
        <v/>
      </c>
      <c r="AI455" s="185" t="str">
        <f>IFERROR(__xludf.DUMMYFUNCTION("if($C455="""","""",if(join("" - "",{iferror(filter('Student Groupings'!$A:$A,'Student Groupings'!$B:$B=$C455,'Student Groupings'!$H:$H=""Must be Together""),"""");iferror(filter('Student Groupings'!$A:$A,'Student Groupings'!$E:$E=$C455,'Student Groupings'"&amp;"!$H:$H=""Must be Together""),"""")})="" - "","""",join("" - "",{iferror(filter('Student Groupings'!$A:$A,'Student Groupings'!$B:$B=$C455,'Student Groupings'!$H:$H=""Must be Together""),"""");iferror(filter('Student Groupings'!$A:$A,'Student Groupings'!$E:"&amp;"$E=$C455,'Student Groupings'!$H:$H=""Must be Together""),"""")})))"),"")</f>
        <v/>
      </c>
    </row>
    <row r="456">
      <c r="A456" s="186">
        <v>12.0</v>
      </c>
      <c r="B456" s="182">
        <v>26116.0</v>
      </c>
      <c r="C456" s="183" t="s">
        <v>608</v>
      </c>
      <c r="D456" s="198" t="s">
        <v>45</v>
      </c>
      <c r="E456" s="181">
        <v>8.0</v>
      </c>
      <c r="F456" s="186" t="s">
        <v>53</v>
      </c>
      <c r="G456" s="186">
        <v>3.0</v>
      </c>
      <c r="H456" s="182" t="s">
        <v>69</v>
      </c>
      <c r="I456" s="186">
        <v>2.0</v>
      </c>
      <c r="J456" s="187"/>
      <c r="K456" s="200"/>
      <c r="L456" s="184" t="s">
        <v>84</v>
      </c>
      <c r="M456" s="242">
        <v>6.0</v>
      </c>
      <c r="N456" s="184" t="s">
        <v>134</v>
      </c>
      <c r="O456" s="186">
        <v>5.0</v>
      </c>
      <c r="P456" s="182" t="s">
        <v>114</v>
      </c>
      <c r="Q456" s="186">
        <v>1.0</v>
      </c>
      <c r="R456" s="184" t="s">
        <v>109</v>
      </c>
      <c r="S456" s="186">
        <v>4.0</v>
      </c>
      <c r="T456" s="187"/>
      <c r="U456" s="200"/>
      <c r="V456" s="184" t="s">
        <v>82</v>
      </c>
      <c r="W456" s="186">
        <v>7.0</v>
      </c>
      <c r="X456" s="142">
        <v>1.0</v>
      </c>
      <c r="Y456" s="142">
        <v>1.0</v>
      </c>
      <c r="Z456" s="142">
        <v>1.0</v>
      </c>
      <c r="AA456" s="142">
        <v>1.0</v>
      </c>
      <c r="AB456" s="142">
        <v>1.0</v>
      </c>
      <c r="AC456" s="142">
        <v>1.0</v>
      </c>
      <c r="AD456" s="142">
        <v>1.0</v>
      </c>
      <c r="AE456" s="142">
        <v>1.0</v>
      </c>
      <c r="AF456" s="142">
        <v>8.0</v>
      </c>
      <c r="AG456" s="142">
        <v>0.0</v>
      </c>
      <c r="AH456" s="185" t="str">
        <f>IFERROR(__xludf.DUMMYFUNCTION("if($C456="""","""",if(join("" - "",{iferror(filter('Student Groupings'!$A:$A,'Student Groupings'!$B:$B=$C456,'Student Groupings'!$H:$H=""Can't be Together""),"""");iferror(filter('Student Groupings'!$A:$A,'Student Groupings'!$E:$E=$C456,'Student Groupings"&amp;"'!$H:$H=""Can't be Together""),"""")})="" - "","""",join("" - "",{iferror(filter('Student Groupings'!$A:$A,'Student Groupings'!$B:$B=$C456,'Student Groupings'!$H:$H=""Can't be Together""),"""");iferror(filter('Student Groupings'!$A:$A,'Student Groupings'!"&amp;"$E:$E=$C456,'Student Groupings'!$H:$H=""Can't be Together""),"""")})))"),"")</f>
        <v/>
      </c>
      <c r="AI456" s="185" t="str">
        <f>IFERROR(__xludf.DUMMYFUNCTION("if($C456="""","""",if(join("" - "",{iferror(filter('Student Groupings'!$A:$A,'Student Groupings'!$B:$B=$C456,'Student Groupings'!$H:$H=""Must be Together""),"""");iferror(filter('Student Groupings'!$A:$A,'Student Groupings'!$E:$E=$C456,'Student Groupings'"&amp;"!$H:$H=""Must be Together""),"""")})="" - "","""",join("" - "",{iferror(filter('Student Groupings'!$A:$A,'Student Groupings'!$B:$B=$C456,'Student Groupings'!$H:$H=""Must be Together""),"""");iferror(filter('Student Groupings'!$A:$A,'Student Groupings'!$E:"&amp;"$E=$C456,'Student Groupings'!$H:$H=""Must be Together""),"""")})))"),"")</f>
        <v/>
      </c>
    </row>
    <row r="457">
      <c r="A457" s="167">
        <v>12.0</v>
      </c>
      <c r="B457" s="224">
        <v>26039.0</v>
      </c>
      <c r="C457" s="243" t="s">
        <v>609</v>
      </c>
      <c r="D457" s="198" t="s">
        <v>38</v>
      </c>
      <c r="E457" s="181">
        <v>3.0</v>
      </c>
      <c r="F457" s="186" t="s">
        <v>53</v>
      </c>
      <c r="G457" s="186">
        <v>7.0</v>
      </c>
      <c r="H457" s="182" t="s">
        <v>69</v>
      </c>
      <c r="I457" s="186">
        <v>2.0</v>
      </c>
      <c r="J457" s="187"/>
      <c r="K457" s="200"/>
      <c r="L457" s="184" t="s">
        <v>84</v>
      </c>
      <c r="M457" s="186">
        <v>8.0</v>
      </c>
      <c r="N457" s="184" t="s">
        <v>134</v>
      </c>
      <c r="O457" s="186">
        <v>1.0</v>
      </c>
      <c r="P457" s="182" t="s">
        <v>114</v>
      </c>
      <c r="Q457" s="186">
        <v>4.0</v>
      </c>
      <c r="R457" s="184" t="s">
        <v>101</v>
      </c>
      <c r="S457" s="186">
        <v>5.0</v>
      </c>
      <c r="T457" s="187"/>
      <c r="U457" s="200"/>
      <c r="V457" s="184" t="s">
        <v>23</v>
      </c>
      <c r="W457" s="186">
        <v>6.0</v>
      </c>
      <c r="X457" s="142">
        <v>1.0</v>
      </c>
      <c r="Y457" s="142">
        <v>1.0</v>
      </c>
      <c r="Z457" s="142">
        <v>1.0</v>
      </c>
      <c r="AA457" s="142">
        <v>1.0</v>
      </c>
      <c r="AB457" s="142">
        <v>1.0</v>
      </c>
      <c r="AC457" s="142">
        <v>1.0</v>
      </c>
      <c r="AD457" s="142">
        <v>1.0</v>
      </c>
      <c r="AE457" s="142">
        <v>1.0</v>
      </c>
      <c r="AF457" s="142">
        <v>8.0</v>
      </c>
      <c r="AG457" s="142">
        <v>0.0</v>
      </c>
      <c r="AH457" s="185" t="str">
        <f>IFERROR(__xludf.DUMMYFUNCTION("if($C457="""","""",if(join("" - "",{iferror(filter('Student Groupings'!$A:$A,'Student Groupings'!$B:$B=$C457,'Student Groupings'!$H:$H=""Can't be Together""),"""");iferror(filter('Student Groupings'!$A:$A,'Student Groupings'!$E:$E=$C457,'Student Groupings"&amp;"'!$H:$H=""Can't be Together""),"""")})="" - "","""",join("" - "",{iferror(filter('Student Groupings'!$A:$A,'Student Groupings'!$B:$B=$C457,'Student Groupings'!$H:$H=""Can't be Together""),"""");iferror(filter('Student Groupings'!$A:$A,'Student Groupings'!"&amp;"$E:$E=$C457,'Student Groupings'!$H:$H=""Can't be Together""),"""")})))"),"")</f>
        <v/>
      </c>
      <c r="AI457" s="185" t="str">
        <f>IFERROR(__xludf.DUMMYFUNCTION("if($C457="""","""",if(join("" - "",{iferror(filter('Student Groupings'!$A:$A,'Student Groupings'!$B:$B=$C457,'Student Groupings'!$H:$H=""Must be Together""),"""");iferror(filter('Student Groupings'!$A:$A,'Student Groupings'!$E:$E=$C457,'Student Groupings'"&amp;"!$H:$H=""Must be Together""),"""")})="" - "","""",join("" - "",{iferror(filter('Student Groupings'!$A:$A,'Student Groupings'!$B:$B=$C457,'Student Groupings'!$H:$H=""Must be Together""),"""");iferror(filter('Student Groupings'!$A:$A,'Student Groupings'!$E:"&amp;"$E=$C457,'Student Groupings'!$H:$H=""Must be Together""),"""")})))"),"39 - 40 - ")</f>
        <v>39 - 40 - </v>
      </c>
    </row>
    <row r="458">
      <c r="A458" s="186">
        <v>12.0</v>
      </c>
      <c r="B458" s="182">
        <v>26030.0</v>
      </c>
      <c r="C458" s="183" t="s">
        <v>610</v>
      </c>
      <c r="D458" s="198" t="s">
        <v>38</v>
      </c>
      <c r="E458" s="181">
        <v>3.0</v>
      </c>
      <c r="F458" s="186" t="s">
        <v>53</v>
      </c>
      <c r="G458" s="186">
        <v>7.0</v>
      </c>
      <c r="H458" s="182" t="s">
        <v>69</v>
      </c>
      <c r="I458" s="180">
        <v>5.0</v>
      </c>
      <c r="J458" s="183"/>
      <c r="K458" s="167"/>
      <c r="L458" s="184" t="s">
        <v>84</v>
      </c>
      <c r="M458" s="180">
        <v>8.0</v>
      </c>
      <c r="N458" s="184" t="s">
        <v>134</v>
      </c>
      <c r="O458" s="186">
        <v>4.0</v>
      </c>
      <c r="P458" s="182" t="s">
        <v>114</v>
      </c>
      <c r="Q458" s="186">
        <v>1.0</v>
      </c>
      <c r="R458" s="184" t="s">
        <v>101</v>
      </c>
      <c r="S458" s="186">
        <v>6.0</v>
      </c>
      <c r="T458" s="187"/>
      <c r="U458" s="200"/>
      <c r="V458" s="184" t="s">
        <v>23</v>
      </c>
      <c r="W458" s="186">
        <v>2.0</v>
      </c>
      <c r="X458" s="142">
        <v>1.0</v>
      </c>
      <c r="Y458" s="142">
        <v>1.0</v>
      </c>
      <c r="Z458" s="142">
        <v>1.0</v>
      </c>
      <c r="AA458" s="142">
        <v>1.0</v>
      </c>
      <c r="AB458" s="142">
        <v>1.0</v>
      </c>
      <c r="AC458" s="142">
        <v>1.0</v>
      </c>
      <c r="AD458" s="142">
        <v>1.0</v>
      </c>
      <c r="AE458" s="142">
        <v>1.0</v>
      </c>
      <c r="AF458" s="142">
        <v>8.0</v>
      </c>
      <c r="AG458" s="142">
        <v>0.0</v>
      </c>
      <c r="AH458" s="185" t="str">
        <f>IFERROR(__xludf.DUMMYFUNCTION("if($C458="""","""",if(join("" - "",{iferror(filter('Student Groupings'!$A:$A,'Student Groupings'!$B:$B=$C458,'Student Groupings'!$H:$H=""Can't be Together""),"""");iferror(filter('Student Groupings'!$A:$A,'Student Groupings'!$E:$E=$C458,'Student Groupings"&amp;"'!$H:$H=""Can't be Together""),"""")})="" - "","""",join("" - "",{iferror(filter('Student Groupings'!$A:$A,'Student Groupings'!$B:$B=$C458,'Student Groupings'!$H:$H=""Can't be Together""),"""");iferror(filter('Student Groupings'!$A:$A,'Student Groupings'!"&amp;"$E:$E=$C458,'Student Groupings'!$H:$H=""Can't be Together""),"""")})))"),"")</f>
        <v/>
      </c>
      <c r="AI458" s="185" t="str">
        <f>IFERROR(__xludf.DUMMYFUNCTION("if($C458="""","""",if(join("" - "",{iferror(filter('Student Groupings'!$A:$A,'Student Groupings'!$B:$B=$C458,'Student Groupings'!$H:$H=""Must be Together""),"""");iferror(filter('Student Groupings'!$A:$A,'Student Groupings'!$E:$E=$C458,'Student Groupings'"&amp;"!$H:$H=""Must be Together""),"""")})="" - "","""",join("" - "",{iferror(filter('Student Groupings'!$A:$A,'Student Groupings'!$B:$B=$C458,'Student Groupings'!$H:$H=""Must be Together""),"""");iferror(filter('Student Groupings'!$A:$A,'Student Groupings'!$E:"&amp;"$E=$C458,'Student Groupings'!$H:$H=""Must be Together""),"""")})))"),"")</f>
        <v/>
      </c>
    </row>
    <row r="459">
      <c r="A459" s="186">
        <v>12.0</v>
      </c>
      <c r="B459" s="192">
        <v>26003.0</v>
      </c>
      <c r="C459" s="183" t="s">
        <v>611</v>
      </c>
      <c r="D459" s="198" t="s">
        <v>45</v>
      </c>
      <c r="E459" s="181">
        <v>1.0</v>
      </c>
      <c r="F459" s="186" t="s">
        <v>53</v>
      </c>
      <c r="G459" s="186">
        <v>5.0</v>
      </c>
      <c r="H459" s="182" t="s">
        <v>70</v>
      </c>
      <c r="I459" s="167">
        <v>7.0</v>
      </c>
      <c r="J459" s="187"/>
      <c r="K459" s="167"/>
      <c r="L459" s="184" t="s">
        <v>84</v>
      </c>
      <c r="M459" s="186">
        <v>8.0</v>
      </c>
      <c r="N459" s="184" t="s">
        <v>134</v>
      </c>
      <c r="O459" s="186">
        <v>2.0</v>
      </c>
      <c r="P459" s="182" t="s">
        <v>114</v>
      </c>
      <c r="Q459" s="186">
        <v>4.0</v>
      </c>
      <c r="R459" s="184" t="s">
        <v>101</v>
      </c>
      <c r="S459" s="186">
        <v>6.0</v>
      </c>
      <c r="T459" s="187"/>
      <c r="U459" s="200"/>
      <c r="V459" s="182" t="s">
        <v>115</v>
      </c>
      <c r="W459" s="167">
        <v>3.0</v>
      </c>
      <c r="X459" s="142">
        <v>1.0</v>
      </c>
      <c r="Y459" s="142">
        <v>1.0</v>
      </c>
      <c r="Z459" s="142">
        <v>1.0</v>
      </c>
      <c r="AA459" s="142">
        <v>1.0</v>
      </c>
      <c r="AB459" s="142">
        <v>1.0</v>
      </c>
      <c r="AC459" s="142">
        <v>1.0</v>
      </c>
      <c r="AD459" s="142">
        <v>1.0</v>
      </c>
      <c r="AE459" s="142">
        <v>1.0</v>
      </c>
      <c r="AF459" s="142">
        <v>8.0</v>
      </c>
      <c r="AG459" s="142">
        <v>0.0</v>
      </c>
      <c r="AH459" s="185" t="str">
        <f>IFERROR(__xludf.DUMMYFUNCTION("if($C459="""","""",if(join("" - "",{iferror(filter('Student Groupings'!$A:$A,'Student Groupings'!$B:$B=$C459,'Student Groupings'!$H:$H=""Can't be Together""),"""");iferror(filter('Student Groupings'!$A:$A,'Student Groupings'!$E:$E=$C459,'Student Groupings"&amp;"'!$H:$H=""Can't be Together""),"""")})="" - "","""",join("" - "",{iferror(filter('Student Groupings'!$A:$A,'Student Groupings'!$B:$B=$C459,'Student Groupings'!$H:$H=""Can't be Together""),"""");iferror(filter('Student Groupings'!$A:$A,'Student Groupings'!"&amp;"$E:$E=$C459,'Student Groupings'!$H:$H=""Can't be Together""),"""")})))"),"")</f>
        <v/>
      </c>
      <c r="AI459" s="185" t="str">
        <f>IFERROR(__xludf.DUMMYFUNCTION("if($C459="""","""",if(join("" - "",{iferror(filter('Student Groupings'!$A:$A,'Student Groupings'!$B:$B=$C459,'Student Groupings'!$H:$H=""Must be Together""),"""");iferror(filter('Student Groupings'!$A:$A,'Student Groupings'!$E:$E=$C459,'Student Groupings'"&amp;"!$H:$H=""Must be Together""),"""")})="" - "","""",join("" - "",{iferror(filter('Student Groupings'!$A:$A,'Student Groupings'!$B:$B=$C459,'Student Groupings'!$H:$H=""Must be Together""),"""");iferror(filter('Student Groupings'!$A:$A,'Student Groupings'!$E:"&amp;"$E=$C459,'Student Groupings'!$H:$H=""Must be Together""),"""")})))"),"")</f>
        <v/>
      </c>
    </row>
    <row r="460">
      <c r="A460" s="186">
        <v>12.0</v>
      </c>
      <c r="B460" s="168">
        <v>26053.0</v>
      </c>
      <c r="C460" s="183" t="s">
        <v>612</v>
      </c>
      <c r="D460" s="180" t="s">
        <v>38</v>
      </c>
      <c r="E460" s="181">
        <v>8.0</v>
      </c>
      <c r="F460" s="186" t="s">
        <v>53</v>
      </c>
      <c r="G460" s="186">
        <v>2.0</v>
      </c>
      <c r="H460" s="182" t="s">
        <v>82</v>
      </c>
      <c r="I460" s="186">
        <v>4.0</v>
      </c>
      <c r="J460" s="187"/>
      <c r="K460" s="200"/>
      <c r="L460" s="184" t="s">
        <v>98</v>
      </c>
      <c r="M460" s="186">
        <v>7.0</v>
      </c>
      <c r="N460" s="184" t="s">
        <v>134</v>
      </c>
      <c r="O460" s="186">
        <v>1.0</v>
      </c>
      <c r="P460" s="182" t="s">
        <v>114</v>
      </c>
      <c r="Q460" s="186">
        <v>6.0</v>
      </c>
      <c r="R460" s="184" t="s">
        <v>101</v>
      </c>
      <c r="S460" s="186">
        <v>5.0</v>
      </c>
      <c r="T460" s="187"/>
      <c r="U460" s="200"/>
      <c r="V460" s="184" t="s">
        <v>93</v>
      </c>
      <c r="W460" s="186">
        <v>3.0</v>
      </c>
      <c r="X460" s="142">
        <v>1.0</v>
      </c>
      <c r="Y460" s="142">
        <v>1.0</v>
      </c>
      <c r="Z460" s="142">
        <v>1.0</v>
      </c>
      <c r="AA460" s="142">
        <v>1.0</v>
      </c>
      <c r="AB460" s="142">
        <v>1.0</v>
      </c>
      <c r="AC460" s="142">
        <v>1.0</v>
      </c>
      <c r="AD460" s="142">
        <v>1.0</v>
      </c>
      <c r="AE460" s="142">
        <v>1.0</v>
      </c>
      <c r="AF460" s="142">
        <v>8.0</v>
      </c>
      <c r="AG460" s="142">
        <v>0.0</v>
      </c>
      <c r="AH460" s="185" t="str">
        <f>IFERROR(__xludf.DUMMYFUNCTION("if($C460="""","""",if(join("" - "",{iferror(filter('Student Groupings'!$A:$A,'Student Groupings'!$B:$B=$C460,'Student Groupings'!$H:$H=""Can't be Together""),"""");iferror(filter('Student Groupings'!$A:$A,'Student Groupings'!$E:$E=$C460,'Student Groupings"&amp;"'!$H:$H=""Can't be Together""),"""")})="" - "","""",join("" - "",{iferror(filter('Student Groupings'!$A:$A,'Student Groupings'!$B:$B=$C460,'Student Groupings'!$H:$H=""Can't be Together""),"""");iferror(filter('Student Groupings'!$A:$A,'Student Groupings'!"&amp;"$E:$E=$C460,'Student Groupings'!$H:$H=""Can't be Together""),"""")})))"),"")</f>
        <v/>
      </c>
      <c r="AI460" s="185" t="str">
        <f>IFERROR(__xludf.DUMMYFUNCTION("if($C460="""","""",if(join("" - "",{iferror(filter('Student Groupings'!$A:$A,'Student Groupings'!$B:$B=$C460,'Student Groupings'!$H:$H=""Must be Together""),"""");iferror(filter('Student Groupings'!$A:$A,'Student Groupings'!$E:$E=$C460,'Student Groupings'"&amp;"!$H:$H=""Must be Together""),"""")})="" - "","""",join("" - "",{iferror(filter('Student Groupings'!$A:$A,'Student Groupings'!$B:$B=$C460,'Student Groupings'!$H:$H=""Must be Together""),"""");iferror(filter('Student Groupings'!$A:$A,'Student Groupings'!$E:"&amp;"$E=$C460,'Student Groupings'!$H:$H=""Must be Together""),"""")})))"),"")</f>
        <v/>
      </c>
    </row>
    <row r="461">
      <c r="A461" s="186">
        <v>12.0</v>
      </c>
      <c r="B461" s="244">
        <v>26021.0</v>
      </c>
      <c r="C461" s="183" t="s">
        <v>613</v>
      </c>
      <c r="D461" s="180" t="s">
        <v>38</v>
      </c>
      <c r="E461" s="181">
        <v>7.0</v>
      </c>
      <c r="F461" s="186" t="s">
        <v>54</v>
      </c>
      <c r="G461" s="186">
        <v>8.0</v>
      </c>
      <c r="H461" s="182" t="s">
        <v>71</v>
      </c>
      <c r="I461" s="167">
        <v>3.0</v>
      </c>
      <c r="J461" s="183"/>
      <c r="K461" s="167"/>
      <c r="L461" s="184" t="s">
        <v>93</v>
      </c>
      <c r="M461" s="186">
        <v>5.0</v>
      </c>
      <c r="N461" s="184" t="s">
        <v>134</v>
      </c>
      <c r="O461" s="186">
        <v>6.0</v>
      </c>
      <c r="P461" s="182" t="s">
        <v>114</v>
      </c>
      <c r="Q461" s="186">
        <v>1.0</v>
      </c>
      <c r="R461" s="184" t="s">
        <v>108</v>
      </c>
      <c r="S461" s="186">
        <v>2.0</v>
      </c>
      <c r="T461" s="187"/>
      <c r="U461" s="200"/>
      <c r="V461" s="184" t="s">
        <v>30</v>
      </c>
      <c r="W461" s="186">
        <v>4.0</v>
      </c>
      <c r="X461" s="142">
        <v>1.0</v>
      </c>
      <c r="Y461" s="142">
        <v>1.0</v>
      </c>
      <c r="Z461" s="142">
        <v>1.0</v>
      </c>
      <c r="AA461" s="142">
        <v>1.0</v>
      </c>
      <c r="AB461" s="142">
        <v>1.0</v>
      </c>
      <c r="AC461" s="142">
        <v>1.0</v>
      </c>
      <c r="AD461" s="142">
        <v>1.0</v>
      </c>
      <c r="AE461" s="142">
        <v>1.0</v>
      </c>
      <c r="AF461" s="142">
        <v>8.0</v>
      </c>
      <c r="AG461" s="142">
        <v>0.0</v>
      </c>
      <c r="AH461" s="185" t="str">
        <f>IFERROR(__xludf.DUMMYFUNCTION("if($C461="""","""",if(join("" - "",{iferror(filter('Student Groupings'!$A:$A,'Student Groupings'!$B:$B=$C461,'Student Groupings'!$H:$H=""Can't be Together""),"""");iferror(filter('Student Groupings'!$A:$A,'Student Groupings'!$E:$E=$C461,'Student Groupings"&amp;"'!$H:$H=""Can't be Together""),"""")})="" - "","""",join("" - "",{iferror(filter('Student Groupings'!$A:$A,'Student Groupings'!$B:$B=$C461,'Student Groupings'!$H:$H=""Can't be Together""),"""");iferror(filter('Student Groupings'!$A:$A,'Student Groupings'!"&amp;"$E:$E=$C461,'Student Groupings'!$H:$H=""Can't be Together""),"""")})))"),"")</f>
        <v/>
      </c>
      <c r="AI461" s="185" t="str">
        <f>IFERROR(__xludf.DUMMYFUNCTION("if($C461="""","""",if(join("" - "",{iferror(filter('Student Groupings'!$A:$A,'Student Groupings'!$B:$B=$C461,'Student Groupings'!$H:$H=""Must be Together""),"""");iferror(filter('Student Groupings'!$A:$A,'Student Groupings'!$E:$E=$C461,'Student Groupings'"&amp;"!$H:$H=""Must be Together""),"""")})="" - "","""",join("" - "",{iferror(filter('Student Groupings'!$A:$A,'Student Groupings'!$B:$B=$C461,'Student Groupings'!$H:$H=""Must be Together""),"""");iferror(filter('Student Groupings'!$A:$A,'Student Groupings'!$E:"&amp;"$E=$C461,'Student Groupings'!$H:$H=""Must be Together""),"""")})))"),"")</f>
        <v/>
      </c>
    </row>
    <row r="462">
      <c r="A462" s="186">
        <v>12.0</v>
      </c>
      <c r="B462" s="244">
        <v>26089.0</v>
      </c>
      <c r="C462" s="183" t="s">
        <v>614</v>
      </c>
      <c r="D462" s="198" t="s">
        <v>38</v>
      </c>
      <c r="E462" s="181">
        <v>3.0</v>
      </c>
      <c r="F462" s="186" t="s">
        <v>53</v>
      </c>
      <c r="G462" s="186">
        <v>2.0</v>
      </c>
      <c r="H462" s="182" t="s">
        <v>69</v>
      </c>
      <c r="I462" s="167">
        <v>1.0</v>
      </c>
      <c r="J462" s="183"/>
      <c r="K462" s="167"/>
      <c r="L462" s="184" t="s">
        <v>86</v>
      </c>
      <c r="M462" s="186">
        <v>4.0</v>
      </c>
      <c r="N462" s="184" t="s">
        <v>134</v>
      </c>
      <c r="O462" s="186">
        <v>8.0</v>
      </c>
      <c r="P462" s="182" t="s">
        <v>114</v>
      </c>
      <c r="Q462" s="186">
        <v>6.0</v>
      </c>
      <c r="R462" s="184" t="s">
        <v>107</v>
      </c>
      <c r="S462" s="186">
        <v>7.0</v>
      </c>
      <c r="T462" s="187"/>
      <c r="U462" s="200"/>
      <c r="V462" s="182" t="s">
        <v>82</v>
      </c>
      <c r="W462" s="45">
        <v>5.0</v>
      </c>
      <c r="X462" s="142">
        <v>1.0</v>
      </c>
      <c r="Y462" s="142">
        <v>1.0</v>
      </c>
      <c r="Z462" s="142">
        <v>1.0</v>
      </c>
      <c r="AA462" s="142">
        <v>1.0</v>
      </c>
      <c r="AB462" s="142">
        <v>1.0</v>
      </c>
      <c r="AC462" s="142">
        <v>1.0</v>
      </c>
      <c r="AD462" s="142">
        <v>1.0</v>
      </c>
      <c r="AE462" s="142">
        <v>1.0</v>
      </c>
      <c r="AF462" s="142">
        <v>8.0</v>
      </c>
      <c r="AG462" s="142">
        <v>0.0</v>
      </c>
      <c r="AH462" s="185" t="str">
        <f>IFERROR(__xludf.DUMMYFUNCTION("if($C462="""","""",if(join("" - "",{iferror(filter('Student Groupings'!$A:$A,'Student Groupings'!$B:$B=$C462,'Student Groupings'!$H:$H=""Can't be Together""),"""");iferror(filter('Student Groupings'!$A:$A,'Student Groupings'!$E:$E=$C462,'Student Groupings"&amp;"'!$H:$H=""Can't be Together""),"""")})="" - "","""",join("" - "",{iferror(filter('Student Groupings'!$A:$A,'Student Groupings'!$B:$B=$C462,'Student Groupings'!$H:$H=""Can't be Together""),"""");iferror(filter('Student Groupings'!$A:$A,'Student Groupings'!"&amp;"$E:$E=$C462,'Student Groupings'!$H:$H=""Can't be Together""),"""")})))"),"")</f>
        <v/>
      </c>
      <c r="AI462" s="185" t="str">
        <f>IFERROR(__xludf.DUMMYFUNCTION("if($C462="""","""",if(join("" - "",{iferror(filter('Student Groupings'!$A:$A,'Student Groupings'!$B:$B=$C462,'Student Groupings'!$H:$H=""Must be Together""),"""");iferror(filter('Student Groupings'!$A:$A,'Student Groupings'!$E:$E=$C462,'Student Groupings'"&amp;"!$H:$H=""Must be Together""),"""")})="" - "","""",join("" - "",{iferror(filter('Student Groupings'!$A:$A,'Student Groupings'!$B:$B=$C462,'Student Groupings'!$H:$H=""Must be Together""),"""");iferror(filter('Student Groupings'!$A:$A,'Student Groupings'!$E:"&amp;"$E=$C462,'Student Groupings'!$H:$H=""Must be Together""),"""")})))"),"")</f>
        <v/>
      </c>
    </row>
    <row r="463">
      <c r="A463" s="186">
        <v>12.0</v>
      </c>
      <c r="B463" s="244">
        <v>26035.0</v>
      </c>
      <c r="C463" s="183" t="s">
        <v>615</v>
      </c>
      <c r="D463" s="180" t="s">
        <v>45</v>
      </c>
      <c r="E463" s="181">
        <v>1.0</v>
      </c>
      <c r="F463" s="186" t="s">
        <v>53</v>
      </c>
      <c r="G463" s="186">
        <v>4.0</v>
      </c>
      <c r="H463" s="182" t="s">
        <v>69</v>
      </c>
      <c r="I463" s="186">
        <v>5.0</v>
      </c>
      <c r="J463" s="187"/>
      <c r="K463" s="200"/>
      <c r="L463" s="184" t="s">
        <v>84</v>
      </c>
      <c r="M463" s="167">
        <v>2.0</v>
      </c>
      <c r="N463" s="184" t="s">
        <v>134</v>
      </c>
      <c r="O463" s="186">
        <v>8.0</v>
      </c>
      <c r="P463" s="182" t="s">
        <v>114</v>
      </c>
      <c r="Q463" s="186">
        <v>6.0</v>
      </c>
      <c r="R463" s="184" t="s">
        <v>107</v>
      </c>
      <c r="S463" s="186">
        <v>3.0</v>
      </c>
      <c r="T463" s="187"/>
      <c r="U463" s="200"/>
      <c r="V463" s="184" t="s">
        <v>34</v>
      </c>
      <c r="W463" s="186">
        <v>7.0</v>
      </c>
      <c r="X463" s="142">
        <v>1.0</v>
      </c>
      <c r="Y463" s="142">
        <v>1.0</v>
      </c>
      <c r="Z463" s="142">
        <v>1.0</v>
      </c>
      <c r="AA463" s="142">
        <v>1.0</v>
      </c>
      <c r="AB463" s="142">
        <v>1.0</v>
      </c>
      <c r="AC463" s="142">
        <v>1.0</v>
      </c>
      <c r="AD463" s="142">
        <v>1.0</v>
      </c>
      <c r="AE463" s="142">
        <v>1.0</v>
      </c>
      <c r="AF463" s="142">
        <v>8.0</v>
      </c>
      <c r="AG463" s="142">
        <v>0.0</v>
      </c>
      <c r="AH463" s="185" t="str">
        <f>IFERROR(__xludf.DUMMYFUNCTION("if($C463="""","""",if(join("" - "",{iferror(filter('Student Groupings'!$A:$A,'Student Groupings'!$B:$B=$C463,'Student Groupings'!$H:$H=""Can't be Together""),"""");iferror(filter('Student Groupings'!$A:$A,'Student Groupings'!$E:$E=$C463,'Student Groupings"&amp;"'!$H:$H=""Can't be Together""),"""")})="" - "","""",join("" - "",{iferror(filter('Student Groupings'!$A:$A,'Student Groupings'!$B:$B=$C463,'Student Groupings'!$H:$H=""Can't be Together""),"""");iferror(filter('Student Groupings'!$A:$A,'Student Groupings'!"&amp;"$E:$E=$C463,'Student Groupings'!$H:$H=""Can't be Together""),"""")})))"),"")</f>
        <v/>
      </c>
      <c r="AI463" s="185" t="str">
        <f>IFERROR(__xludf.DUMMYFUNCTION("if($C463="""","""",if(join("" - "",{iferror(filter('Student Groupings'!$A:$A,'Student Groupings'!$B:$B=$C463,'Student Groupings'!$H:$H=""Must be Together""),"""");iferror(filter('Student Groupings'!$A:$A,'Student Groupings'!$E:$E=$C463,'Student Groupings'"&amp;"!$H:$H=""Must be Together""),"""")})="" - "","""",join("" - "",{iferror(filter('Student Groupings'!$A:$A,'Student Groupings'!$B:$B=$C463,'Student Groupings'!$H:$H=""Must be Together""),"""");iferror(filter('Student Groupings'!$A:$A,'Student Groupings'!$E:"&amp;"$E=$C463,'Student Groupings'!$H:$H=""Must be Together""),"""")})))"),"")</f>
        <v/>
      </c>
    </row>
    <row r="464">
      <c r="A464" s="186">
        <v>12.0</v>
      </c>
      <c r="B464" s="192">
        <v>26171.0</v>
      </c>
      <c r="C464" s="183" t="s">
        <v>616</v>
      </c>
      <c r="D464" s="180" t="s">
        <v>45</v>
      </c>
      <c r="E464" s="181">
        <v>7.0</v>
      </c>
      <c r="F464" s="186" t="s">
        <v>53</v>
      </c>
      <c r="G464" s="186">
        <v>2.0</v>
      </c>
      <c r="H464" s="182" t="s">
        <v>69</v>
      </c>
      <c r="I464" s="186">
        <v>1.0</v>
      </c>
      <c r="J464" s="187"/>
      <c r="K464" s="200"/>
      <c r="L464" s="184" t="s">
        <v>86</v>
      </c>
      <c r="M464" s="186">
        <v>4.0</v>
      </c>
      <c r="N464" s="184" t="s">
        <v>134</v>
      </c>
      <c r="O464" s="186">
        <v>5.0</v>
      </c>
      <c r="P464" s="182" t="s">
        <v>114</v>
      </c>
      <c r="Q464" s="186">
        <v>6.0</v>
      </c>
      <c r="R464" s="184" t="s">
        <v>107</v>
      </c>
      <c r="S464" s="186">
        <v>3.0</v>
      </c>
      <c r="T464" s="187"/>
      <c r="U464" s="200"/>
      <c r="V464" s="184" t="s">
        <v>27</v>
      </c>
      <c r="W464" s="186">
        <v>8.0</v>
      </c>
      <c r="X464" s="142">
        <v>1.0</v>
      </c>
      <c r="Y464" s="142">
        <v>1.0</v>
      </c>
      <c r="Z464" s="142">
        <v>1.0</v>
      </c>
      <c r="AA464" s="142">
        <v>1.0</v>
      </c>
      <c r="AB464" s="142">
        <v>1.0</v>
      </c>
      <c r="AC464" s="142">
        <v>1.0</v>
      </c>
      <c r="AD464" s="142">
        <v>1.0</v>
      </c>
      <c r="AE464" s="142">
        <v>1.0</v>
      </c>
      <c r="AF464" s="142">
        <v>8.0</v>
      </c>
      <c r="AG464" s="142">
        <v>0.0</v>
      </c>
      <c r="AH464" s="185" t="str">
        <f>IFERROR(__xludf.DUMMYFUNCTION("if($C464="""","""",if(join("" - "",{iferror(filter('Student Groupings'!$A:$A,'Student Groupings'!$B:$B=$C464,'Student Groupings'!$H:$H=""Can't be Together""),"""");iferror(filter('Student Groupings'!$A:$A,'Student Groupings'!$E:$E=$C464,'Student Groupings"&amp;"'!$H:$H=""Can't be Together""),"""")})="" - "","""",join("" - "",{iferror(filter('Student Groupings'!$A:$A,'Student Groupings'!$B:$B=$C464,'Student Groupings'!$H:$H=""Can't be Together""),"""");iferror(filter('Student Groupings'!$A:$A,'Student Groupings'!"&amp;"$E:$E=$C464,'Student Groupings'!$H:$H=""Can't be Together""),"""")})))"),"")</f>
        <v/>
      </c>
      <c r="AI464" s="185" t="str">
        <f>IFERROR(__xludf.DUMMYFUNCTION("if($C464="""","""",if(join("" - "",{iferror(filter('Student Groupings'!$A:$A,'Student Groupings'!$B:$B=$C464,'Student Groupings'!$H:$H=""Must be Together""),"""");iferror(filter('Student Groupings'!$A:$A,'Student Groupings'!$E:$E=$C464,'Student Groupings'"&amp;"!$H:$H=""Must be Together""),"""")})="" - "","""",join("" - "",{iferror(filter('Student Groupings'!$A:$A,'Student Groupings'!$B:$B=$C464,'Student Groupings'!$H:$H=""Must be Together""),"""");iferror(filter('Student Groupings'!$A:$A,'Student Groupings'!$E:"&amp;"$E=$C464,'Student Groupings'!$H:$H=""Must be Together""),"""")})))"),"")</f>
        <v/>
      </c>
    </row>
    <row r="465">
      <c r="A465" s="186">
        <v>12.0</v>
      </c>
      <c r="B465" s="244">
        <v>26066.0</v>
      </c>
      <c r="C465" s="183" t="s">
        <v>617</v>
      </c>
      <c r="D465" s="198" t="s">
        <v>38</v>
      </c>
      <c r="E465" s="181">
        <v>3.0</v>
      </c>
      <c r="F465" s="182" t="s">
        <v>53</v>
      </c>
      <c r="G465" s="186">
        <v>2.0</v>
      </c>
      <c r="H465" s="182" t="s">
        <v>70</v>
      </c>
      <c r="I465" s="186">
        <v>7.0</v>
      </c>
      <c r="J465" s="187"/>
      <c r="K465" s="200"/>
      <c r="L465" s="184" t="s">
        <v>84</v>
      </c>
      <c r="M465" s="186">
        <v>8.0</v>
      </c>
      <c r="N465" s="184" t="s">
        <v>134</v>
      </c>
      <c r="O465" s="186">
        <v>5.0</v>
      </c>
      <c r="P465" s="182" t="s">
        <v>114</v>
      </c>
      <c r="Q465" s="167">
        <v>1.0</v>
      </c>
      <c r="R465" s="184" t="s">
        <v>107</v>
      </c>
      <c r="S465" s="186">
        <v>6.0</v>
      </c>
      <c r="T465" s="187"/>
      <c r="U465" s="186"/>
      <c r="V465" s="184" t="s">
        <v>109</v>
      </c>
      <c r="W465" s="167">
        <v>4.0</v>
      </c>
      <c r="X465" s="142">
        <v>1.0</v>
      </c>
      <c r="Y465" s="142">
        <v>1.0</v>
      </c>
      <c r="Z465" s="142">
        <v>1.0</v>
      </c>
      <c r="AA465" s="142">
        <v>1.0</v>
      </c>
      <c r="AB465" s="142">
        <v>1.0</v>
      </c>
      <c r="AC465" s="142">
        <v>1.0</v>
      </c>
      <c r="AD465" s="142">
        <v>1.0</v>
      </c>
      <c r="AE465" s="142">
        <v>1.0</v>
      </c>
      <c r="AF465" s="142">
        <v>8.0</v>
      </c>
      <c r="AG465" s="142">
        <v>0.0</v>
      </c>
      <c r="AH465" s="185" t="str">
        <f>IFERROR(__xludf.DUMMYFUNCTION("if($C465="""","""",if(join("" - "",{iferror(filter('Student Groupings'!$A:$A,'Student Groupings'!$B:$B=$C465,'Student Groupings'!$H:$H=""Can't be Together""),"""");iferror(filter('Student Groupings'!$A:$A,'Student Groupings'!$E:$E=$C465,'Student Groupings"&amp;"'!$H:$H=""Can't be Together""),"""")})="" - "","""",join("" - "",{iferror(filter('Student Groupings'!$A:$A,'Student Groupings'!$B:$B=$C465,'Student Groupings'!$H:$H=""Can't be Together""),"""");iferror(filter('Student Groupings'!$A:$A,'Student Groupings'!"&amp;"$E:$E=$C465,'Student Groupings'!$H:$H=""Can't be Together""),"""")})))"),"")</f>
        <v/>
      </c>
      <c r="AI465" s="185" t="str">
        <f>IFERROR(__xludf.DUMMYFUNCTION("if($C465="""","""",if(join("" - "",{iferror(filter('Student Groupings'!$A:$A,'Student Groupings'!$B:$B=$C465,'Student Groupings'!$H:$H=""Must be Together""),"""");iferror(filter('Student Groupings'!$A:$A,'Student Groupings'!$E:$E=$C465,'Student Groupings'"&amp;"!$H:$H=""Must be Together""),"""")})="" - "","""",join("" - "",{iferror(filter('Student Groupings'!$A:$A,'Student Groupings'!$B:$B=$C465,'Student Groupings'!$H:$H=""Must be Together""),"""");iferror(filter('Student Groupings'!$A:$A,'Student Groupings'!$E:"&amp;"$E=$C465,'Student Groupings'!$H:$H=""Must be Together""),"""")})))"),"")</f>
        <v/>
      </c>
    </row>
    <row r="466">
      <c r="A466" s="186">
        <v>12.0</v>
      </c>
      <c r="B466" s="224">
        <v>26101.0</v>
      </c>
      <c r="C466" s="183" t="s">
        <v>618</v>
      </c>
      <c r="D466" s="198" t="s">
        <v>38</v>
      </c>
      <c r="E466" s="181">
        <v>7.0</v>
      </c>
      <c r="F466" s="186" t="s">
        <v>53</v>
      </c>
      <c r="G466" s="186">
        <v>2.0</v>
      </c>
      <c r="H466" s="182" t="s">
        <v>69</v>
      </c>
      <c r="I466" s="167">
        <v>1.0</v>
      </c>
      <c r="J466" s="183"/>
      <c r="K466" s="167"/>
      <c r="L466" s="184" t="s">
        <v>84</v>
      </c>
      <c r="M466" s="186">
        <v>6.0</v>
      </c>
      <c r="N466" s="184" t="s">
        <v>134</v>
      </c>
      <c r="O466" s="186">
        <v>5.0</v>
      </c>
      <c r="P466" s="182" t="s">
        <v>114</v>
      </c>
      <c r="Q466" s="186">
        <v>3.0</v>
      </c>
      <c r="R466" s="184" t="s">
        <v>109</v>
      </c>
      <c r="S466" s="186">
        <v>4.0</v>
      </c>
      <c r="T466" s="187"/>
      <c r="U466" s="200"/>
      <c r="V466" s="184" t="s">
        <v>27</v>
      </c>
      <c r="W466" s="167">
        <v>8.0</v>
      </c>
      <c r="X466" s="142">
        <v>1.0</v>
      </c>
      <c r="Y466" s="142">
        <v>1.0</v>
      </c>
      <c r="Z466" s="142">
        <v>1.0</v>
      </c>
      <c r="AA466" s="142">
        <v>1.0</v>
      </c>
      <c r="AB466" s="142">
        <v>1.0</v>
      </c>
      <c r="AC466" s="142">
        <v>1.0</v>
      </c>
      <c r="AD466" s="142">
        <v>1.0</v>
      </c>
      <c r="AE466" s="142">
        <v>1.0</v>
      </c>
      <c r="AF466" s="142">
        <v>8.0</v>
      </c>
      <c r="AG466" s="142">
        <v>0.0</v>
      </c>
      <c r="AH466" s="185" t="str">
        <f>IFERROR(__xludf.DUMMYFUNCTION("if($C466="""","""",if(join("" - "",{iferror(filter('Student Groupings'!$A:$A,'Student Groupings'!$B:$B=$C466,'Student Groupings'!$H:$H=""Can't be Together""),"""");iferror(filter('Student Groupings'!$A:$A,'Student Groupings'!$E:$E=$C466,'Student Groupings"&amp;"'!$H:$H=""Can't be Together""),"""")})="" - "","""",join("" - "",{iferror(filter('Student Groupings'!$A:$A,'Student Groupings'!$B:$B=$C466,'Student Groupings'!$H:$H=""Can't be Together""),"""");iferror(filter('Student Groupings'!$A:$A,'Student Groupings'!"&amp;"$E:$E=$C466,'Student Groupings'!$H:$H=""Can't be Together""),"""")})))"),"38 - 34 - 36")</f>
        <v>38 - 34 - 36</v>
      </c>
      <c r="AI466" s="185" t="str">
        <f>IFERROR(__xludf.DUMMYFUNCTION("if($C466="""","""",if(join("" - "",{iferror(filter('Student Groupings'!$A:$A,'Student Groupings'!$B:$B=$C466,'Student Groupings'!$H:$H=""Must be Together""),"""");iferror(filter('Student Groupings'!$A:$A,'Student Groupings'!$E:$E=$C466,'Student Groupings'"&amp;"!$H:$H=""Must be Together""),"""")})="" - "","""",join("" - "",{iferror(filter('Student Groupings'!$A:$A,'Student Groupings'!$B:$B=$C466,'Student Groupings'!$H:$H=""Must be Together""),"""");iferror(filter('Student Groupings'!$A:$A,'Student Groupings'!$E:"&amp;"$E=$C466,'Student Groupings'!$H:$H=""Must be Together""),"""")})))"),"")</f>
        <v/>
      </c>
    </row>
    <row r="467">
      <c r="A467" s="186">
        <v>12.0</v>
      </c>
      <c r="B467" s="182">
        <v>26008.0</v>
      </c>
      <c r="C467" s="183" t="s">
        <v>619</v>
      </c>
      <c r="D467" s="198" t="s">
        <v>38</v>
      </c>
      <c r="E467" s="181">
        <v>8.0</v>
      </c>
      <c r="F467" s="186" t="s">
        <v>53</v>
      </c>
      <c r="G467" s="186">
        <v>5.0</v>
      </c>
      <c r="H467" s="182" t="s">
        <v>82</v>
      </c>
      <c r="I467" s="167">
        <v>7.0</v>
      </c>
      <c r="J467" s="183"/>
      <c r="K467" s="167"/>
      <c r="L467" s="184" t="s">
        <v>84</v>
      </c>
      <c r="M467" s="186">
        <v>2.0</v>
      </c>
      <c r="N467" s="184" t="s">
        <v>134</v>
      </c>
      <c r="O467" s="186">
        <v>6.0</v>
      </c>
      <c r="P467" s="182" t="s">
        <v>114</v>
      </c>
      <c r="Q467" s="186">
        <v>1.0</v>
      </c>
      <c r="R467" s="184" t="s">
        <v>109</v>
      </c>
      <c r="S467" s="186">
        <v>4.0</v>
      </c>
      <c r="T467" s="187"/>
      <c r="U467" s="200"/>
      <c r="V467" s="184" t="s">
        <v>27</v>
      </c>
      <c r="W467" s="186">
        <v>3.0</v>
      </c>
      <c r="X467" s="142">
        <v>1.0</v>
      </c>
      <c r="Y467" s="142">
        <v>1.0</v>
      </c>
      <c r="Z467" s="142">
        <v>1.0</v>
      </c>
      <c r="AA467" s="142">
        <v>1.0</v>
      </c>
      <c r="AB467" s="142">
        <v>1.0</v>
      </c>
      <c r="AC467" s="142">
        <v>1.0</v>
      </c>
      <c r="AD467" s="142">
        <v>1.0</v>
      </c>
      <c r="AE467" s="142">
        <v>1.0</v>
      </c>
      <c r="AF467" s="142">
        <v>8.0</v>
      </c>
      <c r="AG467" s="142">
        <v>0.0</v>
      </c>
      <c r="AH467" s="185" t="str">
        <f>IFERROR(__xludf.DUMMYFUNCTION("if($C467="""","""",if(join("" - "",{iferror(filter('Student Groupings'!$A:$A,'Student Groupings'!$B:$B=$C467,'Student Groupings'!$H:$H=""Can't be Together""),"""");iferror(filter('Student Groupings'!$A:$A,'Student Groupings'!$E:$E=$C467,'Student Groupings"&amp;"'!$H:$H=""Can't be Together""),"""")})="" - "","""",join("" - "",{iferror(filter('Student Groupings'!$A:$A,'Student Groupings'!$B:$B=$C467,'Student Groupings'!$H:$H=""Can't be Together""),"""");iferror(filter('Student Groupings'!$A:$A,'Student Groupings'!"&amp;"$E:$E=$C467,'Student Groupings'!$H:$H=""Can't be Together""),"""")})))"),"35 - 36 - 37 - 33")</f>
        <v>35 - 36 - 37 - 33</v>
      </c>
      <c r="AI467" s="185" t="str">
        <f>IFERROR(__xludf.DUMMYFUNCTION("if($C467="""","""",if(join("" - "",{iferror(filter('Student Groupings'!$A:$A,'Student Groupings'!$B:$B=$C467,'Student Groupings'!$H:$H=""Must be Together""),"""");iferror(filter('Student Groupings'!$A:$A,'Student Groupings'!$E:$E=$C467,'Student Groupings'"&amp;"!$H:$H=""Must be Together""),"""")})="" - "","""",join("" - "",{iferror(filter('Student Groupings'!$A:$A,'Student Groupings'!$B:$B=$C467,'Student Groupings'!$H:$H=""Must be Together""),"""");iferror(filter('Student Groupings'!$A:$A,'Student Groupings'!$E:"&amp;"$E=$C467,'Student Groupings'!$H:$H=""Must be Together""),"""")})))"),"")</f>
        <v/>
      </c>
    </row>
    <row r="468">
      <c r="A468" s="186">
        <v>12.0</v>
      </c>
      <c r="B468" s="182">
        <v>26011.0</v>
      </c>
      <c r="C468" s="183" t="s">
        <v>620</v>
      </c>
      <c r="D468" s="198" t="s">
        <v>38</v>
      </c>
      <c r="E468" s="181">
        <v>3.0</v>
      </c>
      <c r="F468" s="186" t="s">
        <v>53</v>
      </c>
      <c r="G468" s="186">
        <v>5.0</v>
      </c>
      <c r="H468" s="182" t="s">
        <v>69</v>
      </c>
      <c r="I468" s="186">
        <v>2.0</v>
      </c>
      <c r="J468" s="187"/>
      <c r="K468" s="200"/>
      <c r="L468" s="184" t="s">
        <v>86</v>
      </c>
      <c r="M468" s="186">
        <v>4.0</v>
      </c>
      <c r="N468" s="184" t="s">
        <v>134</v>
      </c>
      <c r="O468" s="186">
        <v>1.0</v>
      </c>
      <c r="P468" s="182" t="s">
        <v>114</v>
      </c>
      <c r="Q468" s="186">
        <v>8.0</v>
      </c>
      <c r="R468" s="184" t="s">
        <v>107</v>
      </c>
      <c r="S468" s="186">
        <v>6.0</v>
      </c>
      <c r="T468" s="187"/>
      <c r="U468" s="200"/>
      <c r="V468" s="184" t="s">
        <v>82</v>
      </c>
      <c r="W468" s="186">
        <v>7.0</v>
      </c>
      <c r="X468" s="142">
        <v>1.0</v>
      </c>
      <c r="Y468" s="142">
        <v>1.0</v>
      </c>
      <c r="Z468" s="142">
        <v>1.0</v>
      </c>
      <c r="AA468" s="142">
        <v>1.0</v>
      </c>
      <c r="AB468" s="142">
        <v>1.0</v>
      </c>
      <c r="AC468" s="142">
        <v>1.0</v>
      </c>
      <c r="AD468" s="142">
        <v>1.0</v>
      </c>
      <c r="AE468" s="142">
        <v>1.0</v>
      </c>
      <c r="AF468" s="142">
        <v>8.0</v>
      </c>
      <c r="AG468" s="142">
        <v>0.0</v>
      </c>
      <c r="AH468" s="185" t="str">
        <f>IFERROR(__xludf.DUMMYFUNCTION("if($C468="""","""",if(join("" - "",{iferror(filter('Student Groupings'!$A:$A,'Student Groupings'!$B:$B=$C468,'Student Groupings'!$H:$H=""Can't be Together""),"""");iferror(filter('Student Groupings'!$A:$A,'Student Groupings'!$E:$E=$C468,'Student Groupings"&amp;"'!$H:$H=""Can't be Together""),"""")})="" - "","""",join("" - "",{iferror(filter('Student Groupings'!$A:$A,'Student Groupings'!$B:$B=$C468,'Student Groupings'!$H:$H=""Can't be Together""),"""");iferror(filter('Student Groupings'!$A:$A,'Student Groupings'!"&amp;"$E:$E=$C468,'Student Groupings'!$H:$H=""Can't be Together""),"""")})))"),"")</f>
        <v/>
      </c>
      <c r="AI468" s="185" t="str">
        <f>IFERROR(__xludf.DUMMYFUNCTION("if($C468="""","""",if(join("" - "",{iferror(filter('Student Groupings'!$A:$A,'Student Groupings'!$B:$B=$C468,'Student Groupings'!$H:$H=""Must be Together""),"""");iferror(filter('Student Groupings'!$A:$A,'Student Groupings'!$E:$E=$C468,'Student Groupings'"&amp;"!$H:$H=""Must be Together""),"""")})="" - "","""",join("" - "",{iferror(filter('Student Groupings'!$A:$A,'Student Groupings'!$B:$B=$C468,'Student Groupings'!$H:$H=""Must be Together""),"""");iferror(filter('Student Groupings'!$A:$A,'Student Groupings'!$E:"&amp;"$E=$C468,'Student Groupings'!$H:$H=""Must be Together""),"""")})))"),"")</f>
        <v/>
      </c>
    </row>
    <row r="469">
      <c r="A469" s="186">
        <v>12.0</v>
      </c>
      <c r="B469" s="245">
        <v>26086.0</v>
      </c>
      <c r="C469" s="192" t="s">
        <v>621</v>
      </c>
      <c r="D469" s="180" t="s">
        <v>38</v>
      </c>
      <c r="E469" s="181">
        <v>8.0</v>
      </c>
      <c r="F469" s="186" t="s">
        <v>53</v>
      </c>
      <c r="G469" s="186">
        <v>5.0</v>
      </c>
      <c r="H469" s="182" t="s">
        <v>69</v>
      </c>
      <c r="I469" s="167">
        <v>1.0</v>
      </c>
      <c r="J469" s="187"/>
      <c r="K469" s="167"/>
      <c r="L469" s="184" t="s">
        <v>84</v>
      </c>
      <c r="M469" s="186">
        <v>6.0</v>
      </c>
      <c r="N469" s="184" t="s">
        <v>134</v>
      </c>
      <c r="O469" s="186">
        <v>4.0</v>
      </c>
      <c r="P469" s="182" t="s">
        <v>114</v>
      </c>
      <c r="Q469" s="186">
        <v>3.0</v>
      </c>
      <c r="R469" s="184" t="s">
        <v>108</v>
      </c>
      <c r="S469" s="186">
        <v>2.0</v>
      </c>
      <c r="T469" s="187"/>
      <c r="U469" s="200"/>
      <c r="V469" s="184" t="s">
        <v>34</v>
      </c>
      <c r="W469" s="186">
        <v>7.0</v>
      </c>
      <c r="X469" s="142">
        <v>1.0</v>
      </c>
      <c r="Y469" s="142">
        <v>1.0</v>
      </c>
      <c r="Z469" s="142">
        <v>1.0</v>
      </c>
      <c r="AA469" s="142">
        <v>1.0</v>
      </c>
      <c r="AB469" s="142">
        <v>1.0</v>
      </c>
      <c r="AC469" s="142">
        <v>1.0</v>
      </c>
      <c r="AD469" s="142">
        <v>1.0</v>
      </c>
      <c r="AE469" s="142">
        <v>1.0</v>
      </c>
      <c r="AF469" s="142">
        <v>8.0</v>
      </c>
      <c r="AG469" s="142">
        <v>0.0</v>
      </c>
      <c r="AH469" s="185" t="str">
        <f>IFERROR(__xludf.DUMMYFUNCTION("if($C469="""","""",if(join("" - "",{iferror(filter('Student Groupings'!$A:$A,'Student Groupings'!$B:$B=$C469,'Student Groupings'!$H:$H=""Can't be Together""),"""");iferror(filter('Student Groupings'!$A:$A,'Student Groupings'!$E:$E=$C469,'Student Groupings"&amp;"'!$H:$H=""Can't be Together""),"""")})="" - "","""",join("" - "",{iferror(filter('Student Groupings'!$A:$A,'Student Groupings'!$B:$B=$C469,'Student Groupings'!$H:$H=""Can't be Together""),"""");iferror(filter('Student Groupings'!$A:$A,'Student Groupings'!"&amp;"$E:$E=$C469,'Student Groupings'!$H:$H=""Can't be Together""),"""")})))"),"")</f>
        <v/>
      </c>
      <c r="AI469" s="185" t="str">
        <f>IFERROR(__xludf.DUMMYFUNCTION("if($C469="""","""",if(join("" - "",{iferror(filter('Student Groupings'!$A:$A,'Student Groupings'!$B:$B=$C469,'Student Groupings'!$H:$H=""Must be Together""),"""");iferror(filter('Student Groupings'!$A:$A,'Student Groupings'!$E:$E=$C469,'Student Groupings'"&amp;"!$H:$H=""Must be Together""),"""")})="" - "","""",join("" - "",{iferror(filter('Student Groupings'!$A:$A,'Student Groupings'!$B:$B=$C469,'Student Groupings'!$H:$H=""Must be Together""),"""");iferror(filter('Student Groupings'!$A:$A,'Student Groupings'!$E:"&amp;"$E=$C469,'Student Groupings'!$H:$H=""Must be Together""),"""")})))"),"")</f>
        <v/>
      </c>
    </row>
    <row r="470">
      <c r="A470" s="186">
        <v>12.0</v>
      </c>
      <c r="B470" s="245">
        <v>25060.0</v>
      </c>
      <c r="C470" s="245" t="s">
        <v>622</v>
      </c>
      <c r="D470" s="198" t="s">
        <v>38</v>
      </c>
      <c r="E470" s="181">
        <v>3.0</v>
      </c>
      <c r="F470" s="186" t="s">
        <v>53</v>
      </c>
      <c r="G470" s="186">
        <v>4.0</v>
      </c>
      <c r="H470" s="182" t="s">
        <v>82</v>
      </c>
      <c r="I470" s="167">
        <v>7.0</v>
      </c>
      <c r="J470" s="183"/>
      <c r="K470" s="167"/>
      <c r="L470" s="184" t="s">
        <v>84</v>
      </c>
      <c r="M470" s="186">
        <v>8.0</v>
      </c>
      <c r="N470" s="184" t="s">
        <v>134</v>
      </c>
      <c r="O470" s="186">
        <v>1.0</v>
      </c>
      <c r="P470" s="182" t="s">
        <v>114</v>
      </c>
      <c r="Q470" s="186">
        <v>6.0</v>
      </c>
      <c r="R470" s="184" t="s">
        <v>101</v>
      </c>
      <c r="S470" s="186">
        <v>5.0</v>
      </c>
      <c r="T470" s="187"/>
      <c r="U470" s="200"/>
      <c r="V470" s="235" t="s">
        <v>56</v>
      </c>
      <c r="W470" s="167">
        <v>2.0</v>
      </c>
      <c r="X470" s="142">
        <v>1.0</v>
      </c>
      <c r="Y470" s="142">
        <v>1.0</v>
      </c>
      <c r="Z470" s="142">
        <v>1.0</v>
      </c>
      <c r="AA470" s="142">
        <v>1.0</v>
      </c>
      <c r="AB470" s="142">
        <v>1.0</v>
      </c>
      <c r="AC470" s="142">
        <v>1.0</v>
      </c>
      <c r="AD470" s="142">
        <v>1.0</v>
      </c>
      <c r="AE470" s="142">
        <v>1.0</v>
      </c>
      <c r="AF470" s="142">
        <v>8.0</v>
      </c>
      <c r="AG470" s="142">
        <v>0.0</v>
      </c>
      <c r="AH470" s="185" t="str">
        <f>IFERROR(__xludf.DUMMYFUNCTION("if($C470="""","""",if(join("" - "",{iferror(filter('Student Groupings'!$A:$A,'Student Groupings'!$B:$B=$C470,'Student Groupings'!$H:$H=""Can't be Together""),"""");iferror(filter('Student Groupings'!$A:$A,'Student Groupings'!$E:$E=$C470,'Student Groupings"&amp;"'!$H:$H=""Can't be Together""),"""")})="" - "","""",join("" - "",{iferror(filter('Student Groupings'!$A:$A,'Student Groupings'!$B:$B=$C470,'Student Groupings'!$H:$H=""Can't be Together""),"""");iferror(filter('Student Groupings'!$A:$A,'Student Groupings'!"&amp;"$E:$E=$C470,'Student Groupings'!$H:$H=""Can't be Together""),"""")})))"),"")</f>
        <v/>
      </c>
      <c r="AI470" s="185" t="str">
        <f>IFERROR(__xludf.DUMMYFUNCTION("if($C470="""","""",if(join("" - "",{iferror(filter('Student Groupings'!$A:$A,'Student Groupings'!$B:$B=$C470,'Student Groupings'!$H:$H=""Must be Together""),"""");iferror(filter('Student Groupings'!$A:$A,'Student Groupings'!$E:$E=$C470,'Student Groupings'"&amp;"!$H:$H=""Must be Together""),"""")})="" - "","""",join("" - "",{iferror(filter('Student Groupings'!$A:$A,'Student Groupings'!$B:$B=$C470,'Student Groupings'!$H:$H=""Must be Together""),"""");iferror(filter('Student Groupings'!$A:$A,'Student Groupings'!$E:"&amp;"$E=$C470,'Student Groupings'!$H:$H=""Must be Together""),"""")})))"),"")</f>
        <v/>
      </c>
    </row>
    <row r="471">
      <c r="A471" s="186">
        <v>12.0</v>
      </c>
      <c r="B471" s="192">
        <v>26058.0</v>
      </c>
      <c r="C471" s="246" t="s">
        <v>623</v>
      </c>
      <c r="D471" s="180" t="s">
        <v>45</v>
      </c>
      <c r="E471" s="181">
        <v>7.0</v>
      </c>
      <c r="F471" s="186" t="s">
        <v>53</v>
      </c>
      <c r="G471" s="186">
        <v>5.0</v>
      </c>
      <c r="H471" s="182" t="s">
        <v>69</v>
      </c>
      <c r="I471" s="167">
        <v>2.0</v>
      </c>
      <c r="J471" s="187"/>
      <c r="K471" s="167"/>
      <c r="L471" s="184" t="s">
        <v>86</v>
      </c>
      <c r="M471" s="186">
        <v>4.0</v>
      </c>
      <c r="N471" s="184" t="s">
        <v>134</v>
      </c>
      <c r="O471" s="186">
        <v>1.0</v>
      </c>
      <c r="P471" s="182" t="s">
        <v>114</v>
      </c>
      <c r="Q471" s="186">
        <v>3.0</v>
      </c>
      <c r="R471" s="184" t="s">
        <v>107</v>
      </c>
      <c r="S471" s="186">
        <v>8.0</v>
      </c>
      <c r="T471" s="187"/>
      <c r="U471" s="200"/>
      <c r="V471" s="184" t="s">
        <v>23</v>
      </c>
      <c r="W471" s="186">
        <v>6.0</v>
      </c>
      <c r="X471" s="142">
        <v>1.0</v>
      </c>
      <c r="Y471" s="142">
        <v>1.0</v>
      </c>
      <c r="Z471" s="142">
        <v>1.0</v>
      </c>
      <c r="AA471" s="142">
        <v>1.0</v>
      </c>
      <c r="AB471" s="142">
        <v>1.0</v>
      </c>
      <c r="AC471" s="142">
        <v>1.0</v>
      </c>
      <c r="AD471" s="142">
        <v>1.0</v>
      </c>
      <c r="AE471" s="142">
        <v>1.0</v>
      </c>
      <c r="AF471" s="142">
        <v>8.0</v>
      </c>
      <c r="AG471" s="142">
        <v>0.0</v>
      </c>
      <c r="AH471" s="185" t="str">
        <f>IFERROR(__xludf.DUMMYFUNCTION("if($C471="""","""",if(join("" - "",{iferror(filter('Student Groupings'!$A:$A,'Student Groupings'!$B:$B=$C471,'Student Groupings'!$H:$H=""Can't be Together""),"""");iferror(filter('Student Groupings'!$A:$A,'Student Groupings'!$E:$E=$C471,'Student Groupings"&amp;"'!$H:$H=""Can't be Together""),"""")})="" - "","""",join("" - "",{iferror(filter('Student Groupings'!$A:$A,'Student Groupings'!$B:$B=$C471,'Student Groupings'!$H:$H=""Can't be Together""),"""");iferror(filter('Student Groupings'!$A:$A,'Student Groupings'!"&amp;"$E:$E=$C471,'Student Groupings'!$H:$H=""Can't be Together""),"""")})))"),"")</f>
        <v/>
      </c>
      <c r="AI471" s="185" t="str">
        <f>IFERROR(__xludf.DUMMYFUNCTION("if($C471="""","""",if(join("" - "",{iferror(filter('Student Groupings'!$A:$A,'Student Groupings'!$B:$B=$C471,'Student Groupings'!$H:$H=""Must be Together""),"""");iferror(filter('Student Groupings'!$A:$A,'Student Groupings'!$E:$E=$C471,'Student Groupings'"&amp;"!$H:$H=""Must be Together""),"""")})="" - "","""",join("" - "",{iferror(filter('Student Groupings'!$A:$A,'Student Groupings'!$B:$B=$C471,'Student Groupings'!$H:$H=""Must be Together""),"""");iferror(filter('Student Groupings'!$A:$A,'Student Groupings'!$E:"&amp;"$E=$C471,'Student Groupings'!$H:$H=""Must be Together""),"""")})))"),"")</f>
        <v/>
      </c>
    </row>
    <row r="472">
      <c r="A472" s="186">
        <v>12.0</v>
      </c>
      <c r="B472" s="192">
        <v>26121.0</v>
      </c>
      <c r="C472" s="183" t="s">
        <v>624</v>
      </c>
      <c r="D472" s="198" t="s">
        <v>45</v>
      </c>
      <c r="E472" s="181">
        <v>1.0</v>
      </c>
      <c r="F472" s="186" t="s">
        <v>53</v>
      </c>
      <c r="G472" s="186">
        <v>4.0</v>
      </c>
      <c r="H472" s="182" t="s">
        <v>74</v>
      </c>
      <c r="I472" s="167">
        <v>7.0</v>
      </c>
      <c r="J472" s="187"/>
      <c r="K472" s="167"/>
      <c r="L472" s="184" t="s">
        <v>84</v>
      </c>
      <c r="M472" s="186">
        <v>8.0</v>
      </c>
      <c r="N472" s="184" t="s">
        <v>134</v>
      </c>
      <c r="O472" s="186">
        <v>5.0</v>
      </c>
      <c r="P472" s="182" t="s">
        <v>114</v>
      </c>
      <c r="Q472" s="167">
        <v>3.0</v>
      </c>
      <c r="R472" s="184" t="s">
        <v>101</v>
      </c>
      <c r="S472" s="186">
        <v>6.0</v>
      </c>
      <c r="T472" s="183"/>
      <c r="U472" s="167"/>
      <c r="V472" s="184" t="s">
        <v>23</v>
      </c>
      <c r="W472" s="186">
        <v>2.0</v>
      </c>
      <c r="X472" s="142">
        <v>1.0</v>
      </c>
      <c r="Y472" s="142">
        <v>1.0</v>
      </c>
      <c r="Z472" s="142">
        <v>1.0</v>
      </c>
      <c r="AA472" s="142">
        <v>1.0</v>
      </c>
      <c r="AB472" s="142">
        <v>1.0</v>
      </c>
      <c r="AC472" s="142">
        <v>1.0</v>
      </c>
      <c r="AD472" s="142">
        <v>1.0</v>
      </c>
      <c r="AE472" s="142">
        <v>1.0</v>
      </c>
      <c r="AF472" s="142">
        <v>8.0</v>
      </c>
      <c r="AG472" s="142">
        <v>0.0</v>
      </c>
      <c r="AH472" s="185" t="str">
        <f>IFERROR(__xludf.DUMMYFUNCTION("if($C472="""","""",if(join("" - "",{iferror(filter('Student Groupings'!$A:$A,'Student Groupings'!$B:$B=$C472,'Student Groupings'!$H:$H=""Can't be Together""),"""");iferror(filter('Student Groupings'!$A:$A,'Student Groupings'!$E:$E=$C472,'Student Groupings"&amp;"'!$H:$H=""Can't be Together""),"""")})="" - "","""",join("" - "",{iferror(filter('Student Groupings'!$A:$A,'Student Groupings'!$B:$B=$C472,'Student Groupings'!$H:$H=""Can't be Together""),"""");iferror(filter('Student Groupings'!$A:$A,'Student Groupings'!"&amp;"$E:$E=$C472,'Student Groupings'!$H:$H=""Can't be Together""),"""")})))"),"")</f>
        <v/>
      </c>
      <c r="AI472" s="185" t="str">
        <f>IFERROR(__xludf.DUMMYFUNCTION("if($C472="""","""",if(join("" - "",{iferror(filter('Student Groupings'!$A:$A,'Student Groupings'!$B:$B=$C472,'Student Groupings'!$H:$H=""Must be Together""),"""");iferror(filter('Student Groupings'!$A:$A,'Student Groupings'!$E:$E=$C472,'Student Groupings'"&amp;"!$H:$H=""Must be Together""),"""")})="" - "","""",join("" - "",{iferror(filter('Student Groupings'!$A:$A,'Student Groupings'!$B:$B=$C472,'Student Groupings'!$H:$H=""Must be Together""),"""");iferror(filter('Student Groupings'!$A:$A,'Student Groupings'!$E:"&amp;"$E=$C472,'Student Groupings'!$H:$H=""Must be Together""),"""")})))"),"")</f>
        <v/>
      </c>
    </row>
    <row r="473">
      <c r="A473" s="186">
        <v>12.0</v>
      </c>
      <c r="B473" s="192">
        <v>26025.0</v>
      </c>
      <c r="C473" s="183" t="s">
        <v>625</v>
      </c>
      <c r="D473" s="198" t="s">
        <v>45</v>
      </c>
      <c r="E473" s="181">
        <v>1.0</v>
      </c>
      <c r="F473" s="186" t="s">
        <v>53</v>
      </c>
      <c r="G473" s="186">
        <v>2.0</v>
      </c>
      <c r="H473" s="182" t="s">
        <v>74</v>
      </c>
      <c r="I473" s="167">
        <v>7.0</v>
      </c>
      <c r="J473" s="187"/>
      <c r="K473" s="167"/>
      <c r="L473" s="184" t="s">
        <v>85</v>
      </c>
      <c r="M473" s="186">
        <v>3.0</v>
      </c>
      <c r="N473" s="184" t="s">
        <v>134</v>
      </c>
      <c r="O473" s="186">
        <v>4.0</v>
      </c>
      <c r="P473" s="182" t="s">
        <v>114</v>
      </c>
      <c r="Q473" s="186">
        <v>8.0</v>
      </c>
      <c r="R473" s="184" t="s">
        <v>101</v>
      </c>
      <c r="S473" s="186">
        <v>5.0</v>
      </c>
      <c r="T473" s="187"/>
      <c r="U473" s="200"/>
      <c r="V473" s="184" t="s">
        <v>32</v>
      </c>
      <c r="W473" s="186">
        <v>6.0</v>
      </c>
      <c r="X473" s="142">
        <v>1.0</v>
      </c>
      <c r="Y473" s="142">
        <v>1.0</v>
      </c>
      <c r="Z473" s="142">
        <v>1.0</v>
      </c>
      <c r="AA473" s="142">
        <v>1.0</v>
      </c>
      <c r="AB473" s="142">
        <v>1.0</v>
      </c>
      <c r="AC473" s="142">
        <v>1.0</v>
      </c>
      <c r="AD473" s="142">
        <v>1.0</v>
      </c>
      <c r="AE473" s="142">
        <v>1.0</v>
      </c>
      <c r="AF473" s="142">
        <v>8.0</v>
      </c>
      <c r="AG473" s="142">
        <v>0.0</v>
      </c>
      <c r="AH473" s="185" t="str">
        <f>IFERROR(__xludf.DUMMYFUNCTION("if($C473="""","""",if(join("" - "",{iferror(filter('Student Groupings'!$A:$A,'Student Groupings'!$B:$B=$C473,'Student Groupings'!$H:$H=""Can't be Together""),"""");iferror(filter('Student Groupings'!$A:$A,'Student Groupings'!$E:$E=$C473,'Student Groupings"&amp;"'!$H:$H=""Can't be Together""),"""")})="" - "","""",join("" - "",{iferror(filter('Student Groupings'!$A:$A,'Student Groupings'!$B:$B=$C473,'Student Groupings'!$H:$H=""Can't be Together""),"""");iferror(filter('Student Groupings'!$A:$A,'Student Groupings'!"&amp;"$E:$E=$C473,'Student Groupings'!$H:$H=""Can't be Together""),"""")})))"),"")</f>
        <v/>
      </c>
      <c r="AI473" s="185" t="str">
        <f>IFERROR(__xludf.DUMMYFUNCTION("if($C473="""","""",if(join("" - "",{iferror(filter('Student Groupings'!$A:$A,'Student Groupings'!$B:$B=$C473,'Student Groupings'!$H:$H=""Must be Together""),"""");iferror(filter('Student Groupings'!$A:$A,'Student Groupings'!$E:$E=$C473,'Student Groupings'"&amp;"!$H:$H=""Must be Together""),"""")})="" - "","""",join("" - "",{iferror(filter('Student Groupings'!$A:$A,'Student Groupings'!$B:$B=$C473,'Student Groupings'!$H:$H=""Must be Together""),"""");iferror(filter('Student Groupings'!$A:$A,'Student Groupings'!$E:"&amp;"$E=$C473,'Student Groupings'!$H:$H=""Must be Together""),"""")})))"),"")</f>
        <v/>
      </c>
    </row>
    <row r="474">
      <c r="A474" s="186">
        <v>12.0</v>
      </c>
      <c r="B474" s="192">
        <v>26014.0</v>
      </c>
      <c r="C474" s="183" t="s">
        <v>626</v>
      </c>
      <c r="D474" s="180" t="s">
        <v>38</v>
      </c>
      <c r="E474" s="181">
        <v>3.0</v>
      </c>
      <c r="F474" s="186" t="s">
        <v>54</v>
      </c>
      <c r="G474" s="167">
        <v>8.0</v>
      </c>
      <c r="H474" s="182" t="s">
        <v>69</v>
      </c>
      <c r="I474" s="167">
        <v>2.0</v>
      </c>
      <c r="J474" s="183"/>
      <c r="K474" s="167"/>
      <c r="L474" s="184" t="s">
        <v>86</v>
      </c>
      <c r="M474" s="186">
        <v>4.0</v>
      </c>
      <c r="N474" s="184" t="s">
        <v>134</v>
      </c>
      <c r="O474" s="186">
        <v>5.0</v>
      </c>
      <c r="P474" s="184" t="s">
        <v>126</v>
      </c>
      <c r="Q474" s="186">
        <v>1.0</v>
      </c>
      <c r="R474" s="184" t="s">
        <v>107</v>
      </c>
      <c r="S474" s="186">
        <v>7.0</v>
      </c>
      <c r="T474" s="183"/>
      <c r="U474" s="167"/>
      <c r="V474" s="184" t="s">
        <v>23</v>
      </c>
      <c r="W474" s="167">
        <v>6.0</v>
      </c>
      <c r="X474" s="142">
        <v>1.0</v>
      </c>
      <c r="Y474" s="142">
        <v>1.0</v>
      </c>
      <c r="Z474" s="142">
        <v>1.0</v>
      </c>
      <c r="AA474" s="142">
        <v>1.0</v>
      </c>
      <c r="AB474" s="142">
        <v>1.0</v>
      </c>
      <c r="AC474" s="142">
        <v>1.0</v>
      </c>
      <c r="AD474" s="142">
        <v>1.0</v>
      </c>
      <c r="AE474" s="142">
        <v>1.0</v>
      </c>
      <c r="AF474" s="142">
        <v>8.0</v>
      </c>
      <c r="AG474" s="142">
        <v>0.0</v>
      </c>
      <c r="AH474" s="185" t="str">
        <f>IFERROR(__xludf.DUMMYFUNCTION("if($C474="""","""",if(join("" - "",{iferror(filter('Student Groupings'!$A:$A,'Student Groupings'!$B:$B=$C474,'Student Groupings'!$H:$H=""Can't be Together""),"""");iferror(filter('Student Groupings'!$A:$A,'Student Groupings'!$E:$E=$C474,'Student Groupings"&amp;"'!$H:$H=""Can't be Together""),"""")})="" - "","""",join("" - "",{iferror(filter('Student Groupings'!$A:$A,'Student Groupings'!$B:$B=$C474,'Student Groupings'!$H:$H=""Can't be Together""),"""");iferror(filter('Student Groupings'!$A:$A,'Student Groupings'!"&amp;"$E:$E=$C474,'Student Groupings'!$H:$H=""Can't be Together""),"""")})))"),"")</f>
        <v/>
      </c>
      <c r="AI474" s="185" t="str">
        <f>IFERROR(__xludf.DUMMYFUNCTION("if($C474="""","""",if(join("" - "",{iferror(filter('Student Groupings'!$A:$A,'Student Groupings'!$B:$B=$C474,'Student Groupings'!$H:$H=""Must be Together""),"""");iferror(filter('Student Groupings'!$A:$A,'Student Groupings'!$E:$E=$C474,'Student Groupings'"&amp;"!$H:$H=""Must be Together""),"""")})="" - "","""",join("" - "",{iferror(filter('Student Groupings'!$A:$A,'Student Groupings'!$B:$B=$C474,'Student Groupings'!$H:$H=""Must be Together""),"""");iferror(filter('Student Groupings'!$A:$A,'Student Groupings'!$E:"&amp;"$E=$C474,'Student Groupings'!$H:$H=""Must be Together""),"""")})))"),"")</f>
        <v/>
      </c>
    </row>
    <row r="475">
      <c r="A475" s="186">
        <v>12.0</v>
      </c>
      <c r="B475" s="192">
        <v>26071.0</v>
      </c>
      <c r="C475" s="183" t="s">
        <v>627</v>
      </c>
      <c r="D475" s="198" t="s">
        <v>45</v>
      </c>
      <c r="E475" s="181">
        <v>8.0</v>
      </c>
      <c r="F475" s="186" t="s">
        <v>53</v>
      </c>
      <c r="G475" s="186">
        <v>3.0</v>
      </c>
      <c r="H475" s="182" t="s">
        <v>82</v>
      </c>
      <c r="I475" s="167">
        <v>4.0</v>
      </c>
      <c r="J475" s="183"/>
      <c r="K475" s="167"/>
      <c r="L475" s="184" t="s">
        <v>98</v>
      </c>
      <c r="M475" s="167">
        <v>7.0</v>
      </c>
      <c r="N475" s="184" t="s">
        <v>134</v>
      </c>
      <c r="O475" s="186">
        <v>2.0</v>
      </c>
      <c r="P475" s="184" t="s">
        <v>126</v>
      </c>
      <c r="Q475" s="167">
        <v>1.0</v>
      </c>
      <c r="R475" s="184" t="s">
        <v>101</v>
      </c>
      <c r="S475" s="186">
        <v>6.0</v>
      </c>
      <c r="T475" s="187"/>
      <c r="U475" s="200"/>
      <c r="V475" s="241" t="s">
        <v>96</v>
      </c>
      <c r="W475" s="186">
        <v>5.0</v>
      </c>
      <c r="X475" s="142">
        <v>1.0</v>
      </c>
      <c r="Y475" s="142">
        <v>1.0</v>
      </c>
      <c r="Z475" s="142">
        <v>1.0</v>
      </c>
      <c r="AA475" s="142">
        <v>1.0</v>
      </c>
      <c r="AB475" s="142">
        <v>1.0</v>
      </c>
      <c r="AC475" s="142">
        <v>1.0</v>
      </c>
      <c r="AD475" s="142">
        <v>1.0</v>
      </c>
      <c r="AE475" s="142">
        <v>1.0</v>
      </c>
      <c r="AF475" s="142">
        <v>8.0</v>
      </c>
      <c r="AG475" s="142">
        <v>0.0</v>
      </c>
      <c r="AH475" s="185" t="str">
        <f>IFERROR(__xludf.DUMMYFUNCTION("if($C475="""","""",if(join("" - "",{iferror(filter('Student Groupings'!$A:$A,'Student Groupings'!$B:$B=$C475,'Student Groupings'!$H:$H=""Can't be Together""),"""");iferror(filter('Student Groupings'!$A:$A,'Student Groupings'!$E:$E=$C475,'Student Groupings"&amp;"'!$H:$H=""Can't be Together""),"""")})="" - "","""",join("" - "",{iferror(filter('Student Groupings'!$A:$A,'Student Groupings'!$B:$B=$C475,'Student Groupings'!$H:$H=""Can't be Together""),"""");iferror(filter('Student Groupings'!$A:$A,'Student Groupings'!"&amp;"$E:$E=$C475,'Student Groupings'!$H:$H=""Can't be Together""),"""")})))"),"")</f>
        <v/>
      </c>
      <c r="AI475" s="185" t="str">
        <f>IFERROR(__xludf.DUMMYFUNCTION("if($C475="""","""",if(join("" - "",{iferror(filter('Student Groupings'!$A:$A,'Student Groupings'!$B:$B=$C475,'Student Groupings'!$H:$H=""Must be Together""),"""");iferror(filter('Student Groupings'!$A:$A,'Student Groupings'!$E:$E=$C475,'Student Groupings'"&amp;"!$H:$H=""Must be Together""),"""")})="" - "","""",join("" - "",{iferror(filter('Student Groupings'!$A:$A,'Student Groupings'!$B:$B=$C475,'Student Groupings'!$H:$H=""Must be Together""),"""");iferror(filter('Student Groupings'!$A:$A,'Student Groupings'!$E:"&amp;"$E=$C475,'Student Groupings'!$H:$H=""Must be Together""),"""")})))"),"")</f>
        <v/>
      </c>
    </row>
    <row r="476">
      <c r="A476" s="186">
        <v>12.0</v>
      </c>
      <c r="B476" s="182">
        <v>26108.0</v>
      </c>
      <c r="C476" s="183" t="s">
        <v>628</v>
      </c>
      <c r="D476" s="180" t="s">
        <v>38</v>
      </c>
      <c r="E476" s="181">
        <v>3.0</v>
      </c>
      <c r="F476" s="167" t="s">
        <v>53</v>
      </c>
      <c r="G476" s="167">
        <v>4.0</v>
      </c>
      <c r="H476" s="182" t="s">
        <v>82</v>
      </c>
      <c r="I476" s="167">
        <v>7.0</v>
      </c>
      <c r="J476" s="183"/>
      <c r="K476" s="167"/>
      <c r="L476" s="184" t="s">
        <v>84</v>
      </c>
      <c r="M476" s="167">
        <v>8.0</v>
      </c>
      <c r="N476" s="184" t="s">
        <v>134</v>
      </c>
      <c r="O476" s="186">
        <v>1.0</v>
      </c>
      <c r="P476" s="182" t="s">
        <v>114</v>
      </c>
      <c r="Q476" s="186">
        <v>6.0</v>
      </c>
      <c r="R476" s="184" t="s">
        <v>101</v>
      </c>
      <c r="S476" s="186">
        <v>5.0</v>
      </c>
      <c r="T476" s="187"/>
      <c r="U476" s="200"/>
      <c r="V476" s="184" t="s">
        <v>23</v>
      </c>
      <c r="W476" s="186">
        <v>2.0</v>
      </c>
      <c r="X476" s="142">
        <v>1.0</v>
      </c>
      <c r="Y476" s="142">
        <v>1.0</v>
      </c>
      <c r="Z476" s="142">
        <v>1.0</v>
      </c>
      <c r="AA476" s="142">
        <v>1.0</v>
      </c>
      <c r="AB476" s="142">
        <v>1.0</v>
      </c>
      <c r="AC476" s="142">
        <v>1.0</v>
      </c>
      <c r="AD476" s="142">
        <v>1.0</v>
      </c>
      <c r="AE476" s="142">
        <v>1.0</v>
      </c>
      <c r="AF476" s="142">
        <v>8.0</v>
      </c>
      <c r="AG476" s="142">
        <v>0.0</v>
      </c>
      <c r="AH476" s="185" t="str">
        <f>IFERROR(__xludf.DUMMYFUNCTION("if($C476="""","""",if(join("" - "",{iferror(filter('Student Groupings'!$A:$A,'Student Groupings'!$B:$B=$C476,'Student Groupings'!$H:$H=""Can't be Together""),"""");iferror(filter('Student Groupings'!$A:$A,'Student Groupings'!$E:$E=$C476,'Student Groupings"&amp;"'!$H:$H=""Can't be Together""),"""")})="" - "","""",join("" - "",{iferror(filter('Student Groupings'!$A:$A,'Student Groupings'!$B:$B=$C476,'Student Groupings'!$H:$H=""Can't be Together""),"""");iferror(filter('Student Groupings'!$A:$A,'Student Groupings'!"&amp;"$E:$E=$C476,'Student Groupings'!$H:$H=""Can't be Together""),"""")})))"),"")</f>
        <v/>
      </c>
      <c r="AI476" s="185" t="str">
        <f>IFERROR(__xludf.DUMMYFUNCTION("if($C476="""","""",if(join("" - "",{iferror(filter('Student Groupings'!$A:$A,'Student Groupings'!$B:$B=$C476,'Student Groupings'!$H:$H=""Must be Together""),"""");iferror(filter('Student Groupings'!$A:$A,'Student Groupings'!$E:$E=$C476,'Student Groupings'"&amp;"!$H:$H=""Must be Together""),"""")})="" - "","""",join("" - "",{iferror(filter('Student Groupings'!$A:$A,'Student Groupings'!$B:$B=$C476,'Student Groupings'!$H:$H=""Must be Together""),"""");iferror(filter('Student Groupings'!$A:$A,'Student Groupings'!$E:"&amp;"$E=$C476,'Student Groupings'!$H:$H=""Must be Together""),"""")})))"),"")</f>
        <v/>
      </c>
    </row>
    <row r="477">
      <c r="A477" s="186">
        <v>12.0</v>
      </c>
      <c r="B477" s="192">
        <v>26082.0</v>
      </c>
      <c r="C477" s="183" t="s">
        <v>629</v>
      </c>
      <c r="D477" s="180" t="s">
        <v>38</v>
      </c>
      <c r="E477" s="181">
        <v>3.0</v>
      </c>
      <c r="F477" s="167" t="s">
        <v>53</v>
      </c>
      <c r="G477" s="167">
        <v>4.0</v>
      </c>
      <c r="H477" s="182" t="s">
        <v>82</v>
      </c>
      <c r="I477" s="167">
        <v>7.0</v>
      </c>
      <c r="J477" s="187"/>
      <c r="K477" s="167"/>
      <c r="L477" s="184" t="s">
        <v>84</v>
      </c>
      <c r="M477" s="186">
        <v>8.0</v>
      </c>
      <c r="N477" s="184" t="s">
        <v>134</v>
      </c>
      <c r="O477" s="186">
        <v>1.0</v>
      </c>
      <c r="P477" s="182" t="s">
        <v>114</v>
      </c>
      <c r="Q477" s="167">
        <v>6.0</v>
      </c>
      <c r="R477" s="184" t="s">
        <v>101</v>
      </c>
      <c r="S477" s="186">
        <v>5.0</v>
      </c>
      <c r="T477" s="183"/>
      <c r="U477" s="167"/>
      <c r="V477" s="184" t="s">
        <v>23</v>
      </c>
      <c r="W477" s="186">
        <v>2.0</v>
      </c>
      <c r="X477" s="142">
        <v>1.0</v>
      </c>
      <c r="Y477" s="142">
        <v>1.0</v>
      </c>
      <c r="Z477" s="142">
        <v>1.0</v>
      </c>
      <c r="AA477" s="142">
        <v>1.0</v>
      </c>
      <c r="AB477" s="142">
        <v>1.0</v>
      </c>
      <c r="AC477" s="142">
        <v>1.0</v>
      </c>
      <c r="AD477" s="142">
        <v>1.0</v>
      </c>
      <c r="AE477" s="142">
        <v>1.0</v>
      </c>
      <c r="AF477" s="142">
        <v>8.0</v>
      </c>
      <c r="AG477" s="142">
        <v>0.0</v>
      </c>
      <c r="AH477" s="185" t="str">
        <f>IFERROR(__xludf.DUMMYFUNCTION("if($C477="""","""",if(join("" - "",{iferror(filter('Student Groupings'!$A:$A,'Student Groupings'!$B:$B=$C477,'Student Groupings'!$H:$H=""Can't be Together""),"""");iferror(filter('Student Groupings'!$A:$A,'Student Groupings'!$E:$E=$C477,'Student Groupings"&amp;"'!$H:$H=""Can't be Together""),"""")})="" - "","""",join("" - "",{iferror(filter('Student Groupings'!$A:$A,'Student Groupings'!$B:$B=$C477,'Student Groupings'!$H:$H=""Can't be Together""),"""");iferror(filter('Student Groupings'!$A:$A,'Student Groupings'!"&amp;"$E:$E=$C477,'Student Groupings'!$H:$H=""Can't be Together""),"""")})))"),"")</f>
        <v/>
      </c>
      <c r="AI477" s="185" t="str">
        <f>IFERROR(__xludf.DUMMYFUNCTION("if($C477="""","""",if(join("" - "",{iferror(filter('Student Groupings'!$A:$A,'Student Groupings'!$B:$B=$C477,'Student Groupings'!$H:$H=""Must be Together""),"""");iferror(filter('Student Groupings'!$A:$A,'Student Groupings'!$E:$E=$C477,'Student Groupings'"&amp;"!$H:$H=""Must be Together""),"""")})="" - "","""",join("" - "",{iferror(filter('Student Groupings'!$A:$A,'Student Groupings'!$B:$B=$C477,'Student Groupings'!$H:$H=""Must be Together""),"""");iferror(filter('Student Groupings'!$A:$A,'Student Groupings'!$E:"&amp;"$E=$C477,'Student Groupings'!$H:$H=""Must be Together""),"""")})))"),"")</f>
        <v/>
      </c>
    </row>
    <row r="478">
      <c r="A478" s="186">
        <v>12.0</v>
      </c>
      <c r="B478" s="192">
        <v>26073.0</v>
      </c>
      <c r="C478" s="183" t="s">
        <v>630</v>
      </c>
      <c r="D478" s="180" t="s">
        <v>38</v>
      </c>
      <c r="E478" s="181">
        <v>3.0</v>
      </c>
      <c r="F478" s="167" t="s">
        <v>53</v>
      </c>
      <c r="G478" s="167">
        <v>4.0</v>
      </c>
      <c r="H478" s="182" t="s">
        <v>82</v>
      </c>
      <c r="I478" s="167">
        <v>7.0</v>
      </c>
      <c r="J478" s="187"/>
      <c r="K478" s="167"/>
      <c r="L478" s="184" t="s">
        <v>84</v>
      </c>
      <c r="M478" s="186">
        <v>8.0</v>
      </c>
      <c r="N478" s="184" t="s">
        <v>134</v>
      </c>
      <c r="O478" s="186">
        <v>1.0</v>
      </c>
      <c r="P478" s="182" t="s">
        <v>114</v>
      </c>
      <c r="Q478" s="186">
        <v>6.0</v>
      </c>
      <c r="R478" s="184" t="s">
        <v>101</v>
      </c>
      <c r="S478" s="186">
        <v>5.0</v>
      </c>
      <c r="T478" s="187"/>
      <c r="U478" s="200"/>
      <c r="V478" s="184" t="s">
        <v>23</v>
      </c>
      <c r="W478" s="186">
        <v>2.0</v>
      </c>
      <c r="X478" s="142">
        <v>1.0</v>
      </c>
      <c r="Y478" s="142">
        <v>1.0</v>
      </c>
      <c r="Z478" s="142">
        <v>1.0</v>
      </c>
      <c r="AA478" s="142">
        <v>1.0</v>
      </c>
      <c r="AB478" s="142">
        <v>1.0</v>
      </c>
      <c r="AC478" s="142">
        <v>1.0</v>
      </c>
      <c r="AD478" s="142">
        <v>1.0</v>
      </c>
      <c r="AE478" s="142">
        <v>1.0</v>
      </c>
      <c r="AF478" s="142">
        <v>8.0</v>
      </c>
      <c r="AG478" s="142">
        <v>0.0</v>
      </c>
      <c r="AH478" s="185" t="str">
        <f>IFERROR(__xludf.DUMMYFUNCTION("if($C478="""","""",if(join("" - "",{iferror(filter('Student Groupings'!$A:$A,'Student Groupings'!$B:$B=$C478,'Student Groupings'!$H:$H=""Can't be Together""),"""");iferror(filter('Student Groupings'!$A:$A,'Student Groupings'!$E:$E=$C478,'Student Groupings"&amp;"'!$H:$H=""Can't be Together""),"""")})="" - "","""",join("" - "",{iferror(filter('Student Groupings'!$A:$A,'Student Groupings'!$B:$B=$C478,'Student Groupings'!$H:$H=""Can't be Together""),"""");iferror(filter('Student Groupings'!$A:$A,'Student Groupings'!"&amp;"$E:$E=$C478,'Student Groupings'!$H:$H=""Can't be Together""),"""")})))"),"")</f>
        <v/>
      </c>
      <c r="AI478" s="185" t="str">
        <f>IFERROR(__xludf.DUMMYFUNCTION("if($C478="""","""",if(join("" - "",{iferror(filter('Student Groupings'!$A:$A,'Student Groupings'!$B:$B=$C478,'Student Groupings'!$H:$H=""Must be Together""),"""");iferror(filter('Student Groupings'!$A:$A,'Student Groupings'!$E:$E=$C478,'Student Groupings'"&amp;"!$H:$H=""Must be Together""),"""")})="" - "","""",join("" - "",{iferror(filter('Student Groupings'!$A:$A,'Student Groupings'!$B:$B=$C478,'Student Groupings'!$H:$H=""Must be Together""),"""");iferror(filter('Student Groupings'!$A:$A,'Student Groupings'!$E:"&amp;"$E=$C478,'Student Groupings'!$H:$H=""Must be Together""),"""")})))"),"")</f>
        <v/>
      </c>
    </row>
    <row r="479">
      <c r="A479" s="186">
        <v>12.0</v>
      </c>
      <c r="B479" s="192">
        <v>26026.0</v>
      </c>
      <c r="C479" s="183" t="s">
        <v>631</v>
      </c>
      <c r="D479" s="180" t="s">
        <v>38</v>
      </c>
      <c r="E479" s="181">
        <v>7.0</v>
      </c>
      <c r="F479" s="186" t="s">
        <v>54</v>
      </c>
      <c r="G479" s="167">
        <v>8.0</v>
      </c>
      <c r="H479" s="182" t="s">
        <v>82</v>
      </c>
      <c r="I479" s="167">
        <v>4.0</v>
      </c>
      <c r="J479" s="183"/>
      <c r="K479" s="167"/>
      <c r="L479" s="184" t="s">
        <v>85</v>
      </c>
      <c r="M479" s="186">
        <v>3.0</v>
      </c>
      <c r="N479" s="184" t="s">
        <v>134</v>
      </c>
      <c r="O479" s="186">
        <v>5.0</v>
      </c>
      <c r="P479" s="184" t="s">
        <v>126</v>
      </c>
      <c r="Q479" s="167">
        <v>1.0</v>
      </c>
      <c r="R479" s="184" t="s">
        <v>107</v>
      </c>
      <c r="S479" s="186">
        <v>2.0</v>
      </c>
      <c r="T479" s="187"/>
      <c r="U479" s="200"/>
      <c r="V479" s="227" t="s">
        <v>132</v>
      </c>
      <c r="W479" s="186">
        <v>6.0</v>
      </c>
      <c r="X479" s="142">
        <v>1.0</v>
      </c>
      <c r="Y479" s="142">
        <v>1.0</v>
      </c>
      <c r="Z479" s="142">
        <v>1.0</v>
      </c>
      <c r="AA479" s="142">
        <v>1.0</v>
      </c>
      <c r="AB479" s="142">
        <v>1.0</v>
      </c>
      <c r="AC479" s="142">
        <v>1.0</v>
      </c>
      <c r="AD479" s="142">
        <v>1.0</v>
      </c>
      <c r="AE479" s="142">
        <v>1.0</v>
      </c>
      <c r="AF479" s="142">
        <v>8.0</v>
      </c>
      <c r="AG479" s="142">
        <v>0.0</v>
      </c>
      <c r="AH479" s="185" t="str">
        <f>IFERROR(__xludf.DUMMYFUNCTION("if($C479="""","""",if(join("" - "",{iferror(filter('Student Groupings'!$A:$A,'Student Groupings'!$B:$B=$C479,'Student Groupings'!$H:$H=""Can't be Together""),"""");iferror(filter('Student Groupings'!$A:$A,'Student Groupings'!$E:$E=$C479,'Student Groupings"&amp;"'!$H:$H=""Can't be Together""),"""")})="" - "","""",join("" - "",{iferror(filter('Student Groupings'!$A:$A,'Student Groupings'!$B:$B=$C479,'Student Groupings'!$H:$H=""Can't be Together""),"""");iferror(filter('Student Groupings'!$A:$A,'Student Groupings'!"&amp;"$E:$E=$C479,'Student Groupings'!$H:$H=""Can't be Together""),"""")})))"),"")</f>
        <v/>
      </c>
      <c r="AI479" s="185" t="str">
        <f>IFERROR(__xludf.DUMMYFUNCTION("if($C479="""","""",if(join("" - "",{iferror(filter('Student Groupings'!$A:$A,'Student Groupings'!$B:$B=$C479,'Student Groupings'!$H:$H=""Must be Together""),"""");iferror(filter('Student Groupings'!$A:$A,'Student Groupings'!$E:$E=$C479,'Student Groupings'"&amp;"!$H:$H=""Must be Together""),"""")})="" - "","""",join("" - "",{iferror(filter('Student Groupings'!$A:$A,'Student Groupings'!$B:$B=$C479,'Student Groupings'!$H:$H=""Must be Together""),"""");iferror(filter('Student Groupings'!$A:$A,'Student Groupings'!$E:"&amp;"$E=$C479,'Student Groupings'!$H:$H=""Must be Together""),"""")})))"),"")</f>
        <v/>
      </c>
    </row>
    <row r="480">
      <c r="A480" s="186">
        <v>12.0</v>
      </c>
      <c r="B480" s="192">
        <v>25008.0</v>
      </c>
      <c r="C480" s="183" t="s">
        <v>632</v>
      </c>
      <c r="D480" s="180" t="s">
        <v>38</v>
      </c>
      <c r="E480" s="181">
        <v>7.0</v>
      </c>
      <c r="F480" s="167" t="s">
        <v>53</v>
      </c>
      <c r="G480" s="167">
        <v>2.0</v>
      </c>
      <c r="H480" s="182" t="s">
        <v>69</v>
      </c>
      <c r="I480" s="167">
        <v>5.0</v>
      </c>
      <c r="J480" s="183"/>
      <c r="K480" s="167"/>
      <c r="L480" s="184" t="s">
        <v>84</v>
      </c>
      <c r="M480" s="186">
        <v>8.0</v>
      </c>
      <c r="N480" s="184" t="s">
        <v>134</v>
      </c>
      <c r="O480" s="186">
        <v>4.0</v>
      </c>
      <c r="P480" s="182" t="s">
        <v>114</v>
      </c>
      <c r="Q480" s="186">
        <v>6.0</v>
      </c>
      <c r="R480" s="184" t="s">
        <v>107</v>
      </c>
      <c r="S480" s="186">
        <v>1.0</v>
      </c>
      <c r="T480" s="187"/>
      <c r="U480" s="200"/>
      <c r="V480" s="184" t="s">
        <v>27</v>
      </c>
      <c r="W480" s="186">
        <v>3.0</v>
      </c>
      <c r="X480" s="142">
        <v>1.0</v>
      </c>
      <c r="Y480" s="142">
        <v>1.0</v>
      </c>
      <c r="Z480" s="142">
        <v>1.0</v>
      </c>
      <c r="AA480" s="142">
        <v>1.0</v>
      </c>
      <c r="AB480" s="142">
        <v>1.0</v>
      </c>
      <c r="AC480" s="142">
        <v>1.0</v>
      </c>
      <c r="AD480" s="142">
        <v>1.0</v>
      </c>
      <c r="AE480" s="142">
        <v>1.0</v>
      </c>
      <c r="AF480" s="142">
        <v>8.0</v>
      </c>
      <c r="AG480" s="142">
        <v>0.0</v>
      </c>
      <c r="AH480" s="185" t="str">
        <f>IFERROR(__xludf.DUMMYFUNCTION("if($C480="""","""",if(join("" - "",{iferror(filter('Student Groupings'!$A:$A,'Student Groupings'!$B:$B=$C480,'Student Groupings'!$H:$H=""Can't be Together""),"""");iferror(filter('Student Groupings'!$A:$A,'Student Groupings'!$E:$E=$C480,'Student Groupings"&amp;"'!$H:$H=""Can't be Together""),"""")})="" - "","""",join("" - "",{iferror(filter('Student Groupings'!$A:$A,'Student Groupings'!$B:$B=$C480,'Student Groupings'!$H:$H=""Can't be Together""),"""");iferror(filter('Student Groupings'!$A:$A,'Student Groupings'!"&amp;"$E:$E=$C480,'Student Groupings'!$H:$H=""Can't be Together""),"""")})))")," - 37")</f>
        <v> - 37</v>
      </c>
      <c r="AI480" s="185" t="str">
        <f>IFERROR(__xludf.DUMMYFUNCTION("if($C480="""","""",if(join("" - "",{iferror(filter('Student Groupings'!$A:$A,'Student Groupings'!$B:$B=$C480,'Student Groupings'!$H:$H=""Must be Together""),"""");iferror(filter('Student Groupings'!$A:$A,'Student Groupings'!$E:$E=$C480,'Student Groupings'"&amp;"!$H:$H=""Must be Together""),"""")})="" - "","""",join("" - "",{iferror(filter('Student Groupings'!$A:$A,'Student Groupings'!$B:$B=$C480,'Student Groupings'!$H:$H=""Must be Together""),"""");iferror(filter('Student Groupings'!$A:$A,'Student Groupings'!$E:"&amp;"$E=$C480,'Student Groupings'!$H:$H=""Must be Together""),"""")})))"),"")</f>
        <v/>
      </c>
    </row>
    <row r="481">
      <c r="A481" s="186">
        <v>12.0</v>
      </c>
      <c r="B481" s="192">
        <v>26079.0</v>
      </c>
      <c r="C481" s="183" t="s">
        <v>633</v>
      </c>
      <c r="D481" s="180" t="s">
        <v>45</v>
      </c>
      <c r="E481" s="181">
        <v>1.0</v>
      </c>
      <c r="F481" s="167" t="s">
        <v>53</v>
      </c>
      <c r="G481" s="167">
        <v>5.0</v>
      </c>
      <c r="H481" s="182" t="s">
        <v>70</v>
      </c>
      <c r="I481" s="167">
        <v>2.0</v>
      </c>
      <c r="J481" s="183"/>
      <c r="K481" s="167"/>
      <c r="L481" s="184" t="s">
        <v>84</v>
      </c>
      <c r="M481" s="186">
        <v>8.0</v>
      </c>
      <c r="N481" s="184" t="s">
        <v>134</v>
      </c>
      <c r="O481" s="186">
        <v>4.0</v>
      </c>
      <c r="P481" s="182" t="s">
        <v>114</v>
      </c>
      <c r="Q481" s="186">
        <v>3.0</v>
      </c>
      <c r="R481" s="184" t="s">
        <v>101</v>
      </c>
      <c r="S481" s="186">
        <v>6.0</v>
      </c>
      <c r="T481" s="187"/>
      <c r="U481" s="200"/>
      <c r="V481" s="184" t="s">
        <v>34</v>
      </c>
      <c r="W481" s="186">
        <v>7.0</v>
      </c>
      <c r="X481" s="142">
        <v>1.0</v>
      </c>
      <c r="Y481" s="142">
        <v>1.0</v>
      </c>
      <c r="Z481" s="142">
        <v>1.0</v>
      </c>
      <c r="AA481" s="142">
        <v>1.0</v>
      </c>
      <c r="AB481" s="142">
        <v>1.0</v>
      </c>
      <c r="AC481" s="142">
        <v>1.0</v>
      </c>
      <c r="AD481" s="142">
        <v>1.0</v>
      </c>
      <c r="AE481" s="142">
        <v>1.0</v>
      </c>
      <c r="AF481" s="142">
        <v>8.0</v>
      </c>
      <c r="AG481" s="142">
        <v>0.0</v>
      </c>
      <c r="AH481" s="185" t="str">
        <f>IFERROR(__xludf.DUMMYFUNCTION("if($C481="""","""",if(join("" - "",{iferror(filter('Student Groupings'!$A:$A,'Student Groupings'!$B:$B=$C481,'Student Groupings'!$H:$H=""Can't be Together""),"""");iferror(filter('Student Groupings'!$A:$A,'Student Groupings'!$E:$E=$C481,'Student Groupings"&amp;"'!$H:$H=""Can't be Together""),"""")})="" - "","""",join("" - "",{iferror(filter('Student Groupings'!$A:$A,'Student Groupings'!$B:$B=$C481,'Student Groupings'!$H:$H=""Can't be Together""),"""");iferror(filter('Student Groupings'!$A:$A,'Student Groupings'!"&amp;"$E:$E=$C481,'Student Groupings'!$H:$H=""Can't be Together""),"""")})))"),"")</f>
        <v/>
      </c>
      <c r="AI481" s="185" t="str">
        <f>IFERROR(__xludf.DUMMYFUNCTION("if($C481="""","""",if(join("" - "",{iferror(filter('Student Groupings'!$A:$A,'Student Groupings'!$B:$B=$C481,'Student Groupings'!$H:$H=""Must be Together""),"""");iferror(filter('Student Groupings'!$A:$A,'Student Groupings'!$E:$E=$C481,'Student Groupings'"&amp;"!$H:$H=""Must be Together""),"""")})="" - "","""",join("" - "",{iferror(filter('Student Groupings'!$A:$A,'Student Groupings'!$B:$B=$C481,'Student Groupings'!$H:$H=""Must be Together""),"""");iferror(filter('Student Groupings'!$A:$A,'Student Groupings'!$E:"&amp;"$E=$C481,'Student Groupings'!$H:$H=""Must be Together""),"""")})))"),"")</f>
        <v/>
      </c>
    </row>
    <row r="482">
      <c r="A482" s="186">
        <v>12.0</v>
      </c>
      <c r="B482" s="192">
        <v>26051.0</v>
      </c>
      <c r="C482" s="192" t="s">
        <v>634</v>
      </c>
      <c r="D482" s="180" t="s">
        <v>38</v>
      </c>
      <c r="E482" s="181">
        <v>8.0</v>
      </c>
      <c r="F482" s="167" t="s">
        <v>53</v>
      </c>
      <c r="G482" s="167">
        <v>7.0</v>
      </c>
      <c r="H482" s="182" t="s">
        <v>82</v>
      </c>
      <c r="I482" s="167">
        <v>5.0</v>
      </c>
      <c r="J482" s="187"/>
      <c r="K482" s="167"/>
      <c r="L482" s="184" t="s">
        <v>84</v>
      </c>
      <c r="M482" s="186">
        <v>2.0</v>
      </c>
      <c r="N482" s="184" t="s">
        <v>134</v>
      </c>
      <c r="O482" s="186">
        <v>1.0</v>
      </c>
      <c r="P482" s="182" t="s">
        <v>114</v>
      </c>
      <c r="Q482" s="186">
        <v>4.0</v>
      </c>
      <c r="R482" s="184" t="s">
        <v>107</v>
      </c>
      <c r="S482" s="186">
        <v>3.0</v>
      </c>
      <c r="T482" s="187"/>
      <c r="U482" s="200"/>
      <c r="V482" s="184" t="s">
        <v>23</v>
      </c>
      <c r="W482" s="167">
        <v>6.0</v>
      </c>
      <c r="X482" s="142">
        <v>1.0</v>
      </c>
      <c r="Y482" s="142">
        <v>1.0</v>
      </c>
      <c r="Z482" s="142">
        <v>1.0</v>
      </c>
      <c r="AA482" s="142">
        <v>1.0</v>
      </c>
      <c r="AB482" s="142">
        <v>1.0</v>
      </c>
      <c r="AC482" s="142">
        <v>1.0</v>
      </c>
      <c r="AD482" s="142">
        <v>1.0</v>
      </c>
      <c r="AE482" s="142">
        <v>1.0</v>
      </c>
      <c r="AF482" s="142">
        <v>8.0</v>
      </c>
      <c r="AG482" s="142">
        <v>0.0</v>
      </c>
      <c r="AH482" s="185" t="str">
        <f>IFERROR(__xludf.DUMMYFUNCTION("if($C482="""","""",if(join("" - "",{iferror(filter('Student Groupings'!$A:$A,'Student Groupings'!$B:$B=$C482,'Student Groupings'!$H:$H=""Can't be Together""),"""");iferror(filter('Student Groupings'!$A:$A,'Student Groupings'!$E:$E=$C482,'Student Groupings"&amp;"'!$H:$H=""Can't be Together""),"""")})="" - "","""",join("" - "",{iferror(filter('Student Groupings'!$A:$A,'Student Groupings'!$B:$B=$C482,'Student Groupings'!$H:$H=""Can't be Together""),"""");iferror(filter('Student Groupings'!$A:$A,'Student Groupings'!"&amp;"$E:$E=$C482,'Student Groupings'!$H:$H=""Can't be Together""),"""")})))"),"")</f>
        <v/>
      </c>
      <c r="AI482" s="185" t="str">
        <f>IFERROR(__xludf.DUMMYFUNCTION("if($C482="""","""",if(join("" - "",{iferror(filter('Student Groupings'!$A:$A,'Student Groupings'!$B:$B=$C482,'Student Groupings'!$H:$H=""Must be Together""),"""");iferror(filter('Student Groupings'!$A:$A,'Student Groupings'!$E:$E=$C482,'Student Groupings'"&amp;"!$H:$H=""Must be Together""),"""")})="" - "","""",join("" - "",{iferror(filter('Student Groupings'!$A:$A,'Student Groupings'!$B:$B=$C482,'Student Groupings'!$H:$H=""Must be Together""),"""");iferror(filter('Student Groupings'!$A:$A,'Student Groupings'!$E:"&amp;"$E=$C482,'Student Groupings'!$H:$H=""Must be Together""),"""")})))"),"")</f>
        <v/>
      </c>
    </row>
    <row r="483">
      <c r="A483" s="186">
        <v>12.0</v>
      </c>
      <c r="B483" s="192">
        <v>26036.0</v>
      </c>
      <c r="C483" s="192" t="s">
        <v>635</v>
      </c>
      <c r="D483" s="180" t="s">
        <v>38</v>
      </c>
      <c r="E483" s="181">
        <v>8.0</v>
      </c>
      <c r="F483" s="167" t="s">
        <v>53</v>
      </c>
      <c r="G483" s="167">
        <v>4.0</v>
      </c>
      <c r="H483" s="182" t="s">
        <v>69</v>
      </c>
      <c r="I483" s="167">
        <v>1.0</v>
      </c>
      <c r="J483" s="187"/>
      <c r="K483" s="167"/>
      <c r="L483" s="184" t="s">
        <v>85</v>
      </c>
      <c r="M483" s="186">
        <v>3.0</v>
      </c>
      <c r="N483" s="184" t="s">
        <v>134</v>
      </c>
      <c r="O483" s="167">
        <v>2.0</v>
      </c>
      <c r="P483" s="182" t="s">
        <v>114</v>
      </c>
      <c r="Q483" s="186">
        <v>6.0</v>
      </c>
      <c r="R483" s="184" t="s">
        <v>107</v>
      </c>
      <c r="S483" s="186">
        <v>7.0</v>
      </c>
      <c r="T483" s="187"/>
      <c r="U483" s="200"/>
      <c r="V483" s="184" t="s">
        <v>82</v>
      </c>
      <c r="W483" s="186">
        <v>5.0</v>
      </c>
      <c r="X483" s="142">
        <v>1.0</v>
      </c>
      <c r="Y483" s="142">
        <v>1.0</v>
      </c>
      <c r="Z483" s="142">
        <v>1.0</v>
      </c>
      <c r="AA483" s="142">
        <v>1.0</v>
      </c>
      <c r="AB483" s="142">
        <v>1.0</v>
      </c>
      <c r="AC483" s="142">
        <v>1.0</v>
      </c>
      <c r="AD483" s="142">
        <v>1.0</v>
      </c>
      <c r="AE483" s="142">
        <v>1.0</v>
      </c>
      <c r="AF483" s="142">
        <v>8.0</v>
      </c>
      <c r="AG483" s="142">
        <v>0.0</v>
      </c>
      <c r="AH483" s="185" t="str">
        <f>IFERROR(__xludf.DUMMYFUNCTION("if($C483="""","""",if(join("" - "",{iferror(filter('Student Groupings'!$A:$A,'Student Groupings'!$B:$B=$C483,'Student Groupings'!$H:$H=""Can't be Together""),"""");iferror(filter('Student Groupings'!$A:$A,'Student Groupings'!$E:$E=$C483,'Student Groupings"&amp;"'!$H:$H=""Can't be Together""),"""")})="" - "","""",join("" - "",{iferror(filter('Student Groupings'!$A:$A,'Student Groupings'!$B:$B=$C483,'Student Groupings'!$H:$H=""Can't be Together""),"""");iferror(filter('Student Groupings'!$A:$A,'Student Groupings'!"&amp;"$E:$E=$C483,'Student Groupings'!$H:$H=""Can't be Together""),"""")})))"),"")</f>
        <v/>
      </c>
      <c r="AI483" s="185" t="str">
        <f>IFERROR(__xludf.DUMMYFUNCTION("if($C483="""","""",if(join("" - "",{iferror(filter('Student Groupings'!$A:$A,'Student Groupings'!$B:$B=$C483,'Student Groupings'!$H:$H=""Must be Together""),"""");iferror(filter('Student Groupings'!$A:$A,'Student Groupings'!$E:$E=$C483,'Student Groupings'"&amp;"!$H:$H=""Must be Together""),"""")})="" - "","""",join("" - "",{iferror(filter('Student Groupings'!$A:$A,'Student Groupings'!$B:$B=$C483,'Student Groupings'!$H:$H=""Must be Together""),"""");iferror(filter('Student Groupings'!$A:$A,'Student Groupings'!$E:"&amp;"$E=$C483,'Student Groupings'!$H:$H=""Must be Together""),"""")})))"),"")</f>
        <v/>
      </c>
    </row>
    <row r="484">
      <c r="A484" s="186">
        <v>12.0</v>
      </c>
      <c r="B484" s="168">
        <v>26100.0</v>
      </c>
      <c r="C484" s="144" t="s">
        <v>636</v>
      </c>
      <c r="D484" s="180" t="s">
        <v>38</v>
      </c>
      <c r="E484" s="181">
        <v>3.0</v>
      </c>
      <c r="F484" s="167" t="s">
        <v>53</v>
      </c>
      <c r="G484" s="167">
        <v>2.0</v>
      </c>
      <c r="H484" s="182" t="s">
        <v>82</v>
      </c>
      <c r="I484" s="167">
        <v>7.0</v>
      </c>
      <c r="J484" s="187"/>
      <c r="K484" s="167"/>
      <c r="L484" s="184" t="s">
        <v>84</v>
      </c>
      <c r="M484" s="186">
        <v>8.0</v>
      </c>
      <c r="N484" s="184" t="s">
        <v>134</v>
      </c>
      <c r="O484" s="186">
        <v>5.0</v>
      </c>
      <c r="P484" s="182" t="s">
        <v>114</v>
      </c>
      <c r="Q484" s="186">
        <v>4.0</v>
      </c>
      <c r="R484" s="184" t="s">
        <v>107</v>
      </c>
      <c r="S484" s="186">
        <v>1.0</v>
      </c>
      <c r="T484" s="187"/>
      <c r="U484" s="200"/>
      <c r="V484" s="184" t="s">
        <v>23</v>
      </c>
      <c r="W484" s="186">
        <v>6.0</v>
      </c>
      <c r="X484" s="142">
        <v>1.0</v>
      </c>
      <c r="Y484" s="142">
        <v>1.0</v>
      </c>
      <c r="Z484" s="142">
        <v>1.0</v>
      </c>
      <c r="AA484" s="142">
        <v>1.0</v>
      </c>
      <c r="AB484" s="142">
        <v>1.0</v>
      </c>
      <c r="AC484" s="142">
        <v>1.0</v>
      </c>
      <c r="AD484" s="142">
        <v>1.0</v>
      </c>
      <c r="AE484" s="142">
        <v>1.0</v>
      </c>
      <c r="AF484" s="142">
        <v>8.0</v>
      </c>
      <c r="AG484" s="142">
        <v>0.0</v>
      </c>
      <c r="AH484" s="185" t="str">
        <f>IFERROR(__xludf.DUMMYFUNCTION("if($C484="""","""",if(join("" - "",{iferror(filter('Student Groupings'!$A:$A,'Student Groupings'!$B:$B=$C484,'Student Groupings'!$H:$H=""Can't be Together""),"""");iferror(filter('Student Groupings'!$A:$A,'Student Groupings'!$E:$E=$C484,'Student Groupings"&amp;"'!$H:$H=""Can't be Together""),"""")})="" - "","""",join("" - "",{iferror(filter('Student Groupings'!$A:$A,'Student Groupings'!$B:$B=$C484,'Student Groupings'!$H:$H=""Can't be Together""),"""");iferror(filter('Student Groupings'!$A:$A,'Student Groupings'!"&amp;"$E:$E=$C484,'Student Groupings'!$H:$H=""Can't be Together""),"""")})))"),"")</f>
        <v/>
      </c>
      <c r="AI484" s="185" t="str">
        <f>IFERROR(__xludf.DUMMYFUNCTION("if($C484="""","""",if(join("" - "",{iferror(filter('Student Groupings'!$A:$A,'Student Groupings'!$B:$B=$C484,'Student Groupings'!$H:$H=""Must be Together""),"""");iferror(filter('Student Groupings'!$A:$A,'Student Groupings'!$E:$E=$C484,'Student Groupings'"&amp;"!$H:$H=""Must be Together""),"""")})="" - "","""",join("" - "",{iferror(filter('Student Groupings'!$A:$A,'Student Groupings'!$B:$B=$C484,'Student Groupings'!$H:$H=""Must be Together""),"""");iferror(filter('Student Groupings'!$A:$A,'Student Groupings'!$E:"&amp;"$E=$C484,'Student Groupings'!$H:$H=""Must be Together""),"""")})))"),"")</f>
        <v/>
      </c>
    </row>
    <row r="485">
      <c r="A485" s="186">
        <v>12.0</v>
      </c>
      <c r="B485" s="192">
        <v>26122.0</v>
      </c>
      <c r="C485" s="192" t="s">
        <v>637</v>
      </c>
      <c r="D485" s="180" t="s">
        <v>38</v>
      </c>
      <c r="E485" s="232">
        <v>3.0</v>
      </c>
      <c r="F485" s="167" t="s">
        <v>53</v>
      </c>
      <c r="G485" s="167">
        <v>5.0</v>
      </c>
      <c r="H485" s="182" t="s">
        <v>69</v>
      </c>
      <c r="I485" s="167">
        <v>2.0</v>
      </c>
      <c r="J485" s="187"/>
      <c r="K485" s="167"/>
      <c r="L485" s="184" t="s">
        <v>84</v>
      </c>
      <c r="M485" s="186">
        <v>8.0</v>
      </c>
      <c r="N485" s="184" t="s">
        <v>134</v>
      </c>
      <c r="O485" s="186">
        <v>6.0</v>
      </c>
      <c r="P485" s="182" t="s">
        <v>114</v>
      </c>
      <c r="Q485" s="186">
        <v>4.0</v>
      </c>
      <c r="R485" s="184" t="s">
        <v>107</v>
      </c>
      <c r="S485" s="186">
        <v>1.0</v>
      </c>
      <c r="T485" s="187"/>
      <c r="U485" s="200"/>
      <c r="V485" s="184" t="s">
        <v>82</v>
      </c>
      <c r="W485" s="186">
        <v>7.0</v>
      </c>
      <c r="X485" s="142">
        <v>1.0</v>
      </c>
      <c r="Y485" s="142">
        <v>1.0</v>
      </c>
      <c r="Z485" s="142">
        <v>1.0</v>
      </c>
      <c r="AA485" s="142">
        <v>1.0</v>
      </c>
      <c r="AB485" s="142">
        <v>1.0</v>
      </c>
      <c r="AC485" s="142">
        <v>1.0</v>
      </c>
      <c r="AD485" s="142">
        <v>1.0</v>
      </c>
      <c r="AE485" s="142">
        <v>1.0</v>
      </c>
      <c r="AF485" s="142">
        <v>8.0</v>
      </c>
      <c r="AG485" s="142">
        <v>0.0</v>
      </c>
      <c r="AH485" s="185" t="str">
        <f>IFERROR(__xludf.DUMMYFUNCTION("if($C485="""","""",if(join("" - "",{iferror(filter('Student Groupings'!$A:$A,'Student Groupings'!$B:$B=$C485,'Student Groupings'!$H:$H=""Can't be Together""),"""");iferror(filter('Student Groupings'!$A:$A,'Student Groupings'!$E:$E=$C485,'Student Groupings"&amp;"'!$H:$H=""Can't be Together""),"""")})="" - "","""",join("" - "",{iferror(filter('Student Groupings'!$A:$A,'Student Groupings'!$B:$B=$C485,'Student Groupings'!$H:$H=""Can't be Together""),"""");iferror(filter('Student Groupings'!$A:$A,'Student Groupings'!"&amp;"$E:$E=$C485,'Student Groupings'!$H:$H=""Can't be Together""),"""")})))"),"95 - 32 - 35 - 38")</f>
        <v>95 - 32 - 35 - 38</v>
      </c>
      <c r="AI485" s="185" t="str">
        <f>IFERROR(__xludf.DUMMYFUNCTION("if($C485="""","""",if(join("" - "",{iferror(filter('Student Groupings'!$A:$A,'Student Groupings'!$B:$B=$C485,'Student Groupings'!$H:$H=""Must be Together""),"""");iferror(filter('Student Groupings'!$A:$A,'Student Groupings'!$E:$E=$C485,'Student Groupings'"&amp;"!$H:$H=""Must be Together""),"""")})="" - "","""",join("" - "",{iferror(filter('Student Groupings'!$A:$A,'Student Groupings'!$B:$B=$C485,'Student Groupings'!$H:$H=""Must be Together""),"""");iferror(filter('Student Groupings'!$A:$A,'Student Groupings'!$E:"&amp;"$E=$C485,'Student Groupings'!$H:$H=""Must be Together""),"""")})))"),"")</f>
        <v/>
      </c>
    </row>
    <row r="486">
      <c r="A486" s="186">
        <v>12.0</v>
      </c>
      <c r="B486" s="192">
        <v>26142.0</v>
      </c>
      <c r="C486" s="192" t="s">
        <v>638</v>
      </c>
      <c r="D486" s="180" t="s">
        <v>38</v>
      </c>
      <c r="E486" s="181">
        <v>7.0</v>
      </c>
      <c r="F486" s="167" t="s">
        <v>53</v>
      </c>
      <c r="G486" s="167">
        <v>2.0</v>
      </c>
      <c r="H486" s="182" t="s">
        <v>82</v>
      </c>
      <c r="I486" s="167">
        <v>4.0</v>
      </c>
      <c r="J486" s="187"/>
      <c r="K486" s="167"/>
      <c r="L486" s="184" t="s">
        <v>84</v>
      </c>
      <c r="M486" s="186">
        <v>8.0</v>
      </c>
      <c r="N486" s="184" t="s">
        <v>134</v>
      </c>
      <c r="O486" s="186">
        <v>5.0</v>
      </c>
      <c r="P486" s="182" t="s">
        <v>114</v>
      </c>
      <c r="Q486" s="186">
        <v>6.0</v>
      </c>
      <c r="R486" s="184" t="s">
        <v>107</v>
      </c>
      <c r="S486" s="186">
        <v>1.0</v>
      </c>
      <c r="T486" s="187"/>
      <c r="U486" s="200"/>
      <c r="V486" s="184" t="s">
        <v>27</v>
      </c>
      <c r="W486" s="186">
        <v>3.0</v>
      </c>
      <c r="X486" s="142">
        <v>1.0</v>
      </c>
      <c r="Y486" s="142">
        <v>1.0</v>
      </c>
      <c r="Z486" s="142">
        <v>1.0</v>
      </c>
      <c r="AA486" s="142">
        <v>1.0</v>
      </c>
      <c r="AB486" s="142">
        <v>1.0</v>
      </c>
      <c r="AC486" s="142">
        <v>1.0</v>
      </c>
      <c r="AD486" s="142">
        <v>1.0</v>
      </c>
      <c r="AE486" s="142">
        <v>1.0</v>
      </c>
      <c r="AF486" s="142">
        <v>8.0</v>
      </c>
      <c r="AG486" s="142">
        <v>0.0</v>
      </c>
      <c r="AH486" s="185" t="str">
        <f>IFERROR(__xludf.DUMMYFUNCTION("if($C486="""","""",if(join("" - "",{iferror(filter('Student Groupings'!$A:$A,'Student Groupings'!$B:$B=$C486,'Student Groupings'!$H:$H=""Can't be Together""),"""");iferror(filter('Student Groupings'!$A:$A,'Student Groupings'!$E:$E=$C486,'Student Groupings"&amp;"'!$H:$H=""Can't be Together""),"""")})="" - "","""",join("" - "",{iferror(filter('Student Groupings'!$A:$A,'Student Groupings'!$B:$B=$C486,'Student Groupings'!$H:$H=""Can't be Together""),"""");iferror(filter('Student Groupings'!$A:$A,'Student Groupings'!"&amp;"$E:$E=$C486,'Student Groupings'!$H:$H=""Can't be Together""),"""")})))")," - 95")</f>
        <v> - 95</v>
      </c>
      <c r="AI486" s="185" t="str">
        <f>IFERROR(__xludf.DUMMYFUNCTION("if($C486="""","""",if(join("" - "",{iferror(filter('Student Groupings'!$A:$A,'Student Groupings'!$B:$B=$C486,'Student Groupings'!$H:$H=""Must be Together""),"""");iferror(filter('Student Groupings'!$A:$A,'Student Groupings'!$E:$E=$C486,'Student Groupings'"&amp;"!$H:$H=""Must be Together""),"""")})="" - "","""",join("" - "",{iferror(filter('Student Groupings'!$A:$A,'Student Groupings'!$B:$B=$C486,'Student Groupings'!$H:$H=""Must be Together""),"""");iferror(filter('Student Groupings'!$A:$A,'Student Groupings'!$E:"&amp;"$E=$C486,'Student Groupings'!$H:$H=""Must be Together""),"""")})))"),"")</f>
        <v/>
      </c>
    </row>
    <row r="487">
      <c r="A487" s="186">
        <v>12.0</v>
      </c>
      <c r="B487" s="192">
        <v>26090.0</v>
      </c>
      <c r="C487" s="192" t="s">
        <v>639</v>
      </c>
      <c r="D487" s="180" t="s">
        <v>45</v>
      </c>
      <c r="E487" s="181">
        <v>8.0</v>
      </c>
      <c r="F487" s="167" t="s">
        <v>53</v>
      </c>
      <c r="G487" s="167">
        <v>7.0</v>
      </c>
      <c r="H487" s="182" t="s">
        <v>69</v>
      </c>
      <c r="I487" s="167">
        <v>1.0</v>
      </c>
      <c r="J487" s="187"/>
      <c r="K487" s="167"/>
      <c r="L487" s="184" t="s">
        <v>84</v>
      </c>
      <c r="M487" s="186">
        <v>2.0</v>
      </c>
      <c r="N487" s="184" t="s">
        <v>134</v>
      </c>
      <c r="O487" s="186">
        <v>4.0</v>
      </c>
      <c r="P487" s="182" t="s">
        <v>114</v>
      </c>
      <c r="Q487" s="186">
        <v>3.0</v>
      </c>
      <c r="R487" s="184" t="s">
        <v>111</v>
      </c>
      <c r="S487" s="186">
        <v>5.0</v>
      </c>
      <c r="T487" s="187"/>
      <c r="U487" s="200"/>
      <c r="V487" s="247" t="s">
        <v>29</v>
      </c>
      <c r="W487" s="186">
        <v>6.0</v>
      </c>
      <c r="X487" s="142">
        <v>1.0</v>
      </c>
      <c r="Y487" s="142">
        <v>1.0</v>
      </c>
      <c r="Z487" s="142">
        <v>1.0</v>
      </c>
      <c r="AA487" s="142">
        <v>1.0</v>
      </c>
      <c r="AB487" s="142">
        <v>1.0</v>
      </c>
      <c r="AC487" s="142">
        <v>1.0</v>
      </c>
      <c r="AD487" s="142">
        <v>1.0</v>
      </c>
      <c r="AE487" s="142">
        <v>1.0</v>
      </c>
      <c r="AF487" s="142">
        <v>8.0</v>
      </c>
      <c r="AG487" s="142">
        <v>0.0</v>
      </c>
      <c r="AH487" s="185" t="str">
        <f>IFERROR(__xludf.DUMMYFUNCTION("if($C487="""","""",if(join("" - "",{iferror(filter('Student Groupings'!$A:$A,'Student Groupings'!$B:$B=$C487,'Student Groupings'!$H:$H=""Can't be Together""),"""");iferror(filter('Student Groupings'!$A:$A,'Student Groupings'!$E:$E=$C487,'Student Groupings"&amp;"'!$H:$H=""Can't be Together""),"""")})="" - "","""",join("" - "",{iferror(filter('Student Groupings'!$A:$A,'Student Groupings'!$B:$B=$C487,'Student Groupings'!$H:$H=""Can't be Together""),"""");iferror(filter('Student Groupings'!$A:$A,'Student Groupings'!"&amp;"$E:$E=$C487,'Student Groupings'!$H:$H=""Can't be Together""),"""")})))"),"")</f>
        <v/>
      </c>
      <c r="AI487" s="185" t="str">
        <f>IFERROR(__xludf.DUMMYFUNCTION("if($C487="""","""",if(join("" - "",{iferror(filter('Student Groupings'!$A:$A,'Student Groupings'!$B:$B=$C487,'Student Groupings'!$H:$H=""Must be Together""),"""");iferror(filter('Student Groupings'!$A:$A,'Student Groupings'!$E:$E=$C487,'Student Groupings'"&amp;"!$H:$H=""Must be Together""),"""")})="" - "","""",join("" - "",{iferror(filter('Student Groupings'!$A:$A,'Student Groupings'!$B:$B=$C487,'Student Groupings'!$H:$H=""Must be Together""),"""");iferror(filter('Student Groupings'!$A:$A,'Student Groupings'!$E:"&amp;"$E=$C487,'Student Groupings'!$H:$H=""Must be Together""),"""")})))"),"")</f>
        <v/>
      </c>
    </row>
    <row r="488">
      <c r="A488" s="186">
        <v>12.0</v>
      </c>
      <c r="B488" s="192">
        <v>26132.0</v>
      </c>
      <c r="C488" s="192" t="s">
        <v>640</v>
      </c>
      <c r="D488" s="180" t="s">
        <v>38</v>
      </c>
      <c r="E488" s="181">
        <v>8.0</v>
      </c>
      <c r="F488" s="167" t="s">
        <v>53</v>
      </c>
      <c r="G488" s="167">
        <v>7.0</v>
      </c>
      <c r="H488" s="182" t="s">
        <v>69</v>
      </c>
      <c r="I488" s="167">
        <v>2.0</v>
      </c>
      <c r="J488" s="187"/>
      <c r="K488" s="167"/>
      <c r="L488" s="184" t="s">
        <v>84</v>
      </c>
      <c r="M488" s="186">
        <v>6.0</v>
      </c>
      <c r="N488" s="184" t="s">
        <v>134</v>
      </c>
      <c r="O488" s="186">
        <v>1.0</v>
      </c>
      <c r="P488" s="182" t="s">
        <v>114</v>
      </c>
      <c r="Q488" s="186">
        <v>3.0</v>
      </c>
      <c r="R488" s="184" t="s">
        <v>109</v>
      </c>
      <c r="S488" s="186">
        <v>4.0</v>
      </c>
      <c r="T488" s="187"/>
      <c r="U488" s="200"/>
      <c r="V488" s="184" t="s">
        <v>30</v>
      </c>
      <c r="W488" s="186">
        <v>5.0</v>
      </c>
      <c r="X488" s="142">
        <v>1.0</v>
      </c>
      <c r="Y488" s="142">
        <v>1.0</v>
      </c>
      <c r="Z488" s="142">
        <v>1.0</v>
      </c>
      <c r="AA488" s="142">
        <v>1.0</v>
      </c>
      <c r="AB488" s="142">
        <v>1.0</v>
      </c>
      <c r="AC488" s="142">
        <v>1.0</v>
      </c>
      <c r="AD488" s="142">
        <v>1.0</v>
      </c>
      <c r="AE488" s="142">
        <v>1.0</v>
      </c>
      <c r="AF488" s="142">
        <v>8.0</v>
      </c>
      <c r="AG488" s="142">
        <v>0.0</v>
      </c>
      <c r="AH488" s="185" t="str">
        <f>IFERROR(__xludf.DUMMYFUNCTION("if($C488="""","""",if(join("" - "",{iferror(filter('Student Groupings'!$A:$A,'Student Groupings'!$B:$B=$C488,'Student Groupings'!$H:$H=""Can't be Together""),"""");iferror(filter('Student Groupings'!$A:$A,'Student Groupings'!$E:$E=$C488,'Student Groupings"&amp;"'!$H:$H=""Can't be Together""),"""")})="" - "","""",join("" - "",{iferror(filter('Student Groupings'!$A:$A,'Student Groupings'!$B:$B=$C488,'Student Groupings'!$H:$H=""Can't be Together""),"""");iferror(filter('Student Groupings'!$A:$A,'Student Groupings'!"&amp;"$E:$E=$C488,'Student Groupings'!$H:$H=""Can't be Together""),"""")})))"),"")</f>
        <v/>
      </c>
      <c r="AI488" s="185" t="str">
        <f>IFERROR(__xludf.DUMMYFUNCTION("if($C488="""","""",if(join("" - "",{iferror(filter('Student Groupings'!$A:$A,'Student Groupings'!$B:$B=$C488,'Student Groupings'!$H:$H=""Must be Together""),"""");iferror(filter('Student Groupings'!$A:$A,'Student Groupings'!$E:$E=$C488,'Student Groupings'"&amp;"!$H:$H=""Must be Together""),"""")})="" - "","""",join("" - "",{iferror(filter('Student Groupings'!$A:$A,'Student Groupings'!$B:$B=$C488,'Student Groupings'!$H:$H=""Must be Together""),"""");iferror(filter('Student Groupings'!$A:$A,'Student Groupings'!$E:"&amp;"$E=$C488,'Student Groupings'!$H:$H=""Must be Together""),"""")})))"),"")</f>
        <v/>
      </c>
    </row>
    <row r="489">
      <c r="A489" s="186">
        <v>12.0</v>
      </c>
      <c r="B489" s="192">
        <v>26109.0</v>
      </c>
      <c r="C489" s="192" t="s">
        <v>641</v>
      </c>
      <c r="D489" s="180" t="s">
        <v>38</v>
      </c>
      <c r="E489" s="181">
        <v>8.0</v>
      </c>
      <c r="F489" s="167" t="s">
        <v>53</v>
      </c>
      <c r="G489" s="167">
        <v>3.0</v>
      </c>
      <c r="H489" s="182" t="s">
        <v>82</v>
      </c>
      <c r="I489" s="167">
        <v>5.0</v>
      </c>
      <c r="J489" s="187"/>
      <c r="K489" s="167"/>
      <c r="L489" s="184" t="s">
        <v>84</v>
      </c>
      <c r="M489" s="186">
        <v>2.0</v>
      </c>
      <c r="N489" s="184" t="s">
        <v>134</v>
      </c>
      <c r="O489" s="186">
        <v>1.0</v>
      </c>
      <c r="P489" s="182" t="s">
        <v>114</v>
      </c>
      <c r="Q489" s="186">
        <v>6.0</v>
      </c>
      <c r="R489" s="184" t="s">
        <v>111</v>
      </c>
      <c r="S489" s="186">
        <v>4.0</v>
      </c>
      <c r="T489" s="187"/>
      <c r="U489" s="200"/>
      <c r="V489" s="184" t="s">
        <v>34</v>
      </c>
      <c r="W489" s="186">
        <v>7.0</v>
      </c>
      <c r="X489" s="142">
        <v>1.0</v>
      </c>
      <c r="Y489" s="142">
        <v>1.0</v>
      </c>
      <c r="Z489" s="142">
        <v>1.0</v>
      </c>
      <c r="AA489" s="142">
        <v>1.0</v>
      </c>
      <c r="AB489" s="142">
        <v>1.0</v>
      </c>
      <c r="AC489" s="142">
        <v>1.0</v>
      </c>
      <c r="AD489" s="142">
        <v>1.0</v>
      </c>
      <c r="AE489" s="142">
        <v>1.0</v>
      </c>
      <c r="AF489" s="142">
        <v>8.0</v>
      </c>
      <c r="AG489" s="142">
        <v>0.0</v>
      </c>
      <c r="AH489" s="185" t="str">
        <f>IFERROR(__xludf.DUMMYFUNCTION("if($C489="""","""",if(join("" - "",{iferror(filter('Student Groupings'!$A:$A,'Student Groupings'!$B:$B=$C489,'Student Groupings'!$H:$H=""Can't be Together""),"""");iferror(filter('Student Groupings'!$A:$A,'Student Groupings'!$E:$E=$C489,'Student Groupings"&amp;"'!$H:$H=""Can't be Together""),"""")})="" - "","""",join("" - "",{iferror(filter('Student Groupings'!$A:$A,'Student Groupings'!$B:$B=$C489,'Student Groupings'!$H:$H=""Can't be Together""),"""");iferror(filter('Student Groupings'!$A:$A,'Student Groupings'!"&amp;"$E:$E=$C489,'Student Groupings'!$H:$H=""Can't be Together""),"""")})))"),"")</f>
        <v/>
      </c>
      <c r="AI489" s="185" t="str">
        <f>IFERROR(__xludf.DUMMYFUNCTION("if($C489="""","""",if(join("" - "",{iferror(filter('Student Groupings'!$A:$A,'Student Groupings'!$B:$B=$C489,'Student Groupings'!$H:$H=""Must be Together""),"""");iferror(filter('Student Groupings'!$A:$A,'Student Groupings'!$E:$E=$C489,'Student Groupings'"&amp;"!$H:$H=""Must be Together""),"""")})="" - "","""",join("" - "",{iferror(filter('Student Groupings'!$A:$A,'Student Groupings'!$B:$B=$C489,'Student Groupings'!$H:$H=""Must be Together""),"""");iferror(filter('Student Groupings'!$A:$A,'Student Groupings'!$E:"&amp;"$E=$C489,'Student Groupings'!$H:$H=""Must be Together""),"""")})))"),"")</f>
        <v/>
      </c>
    </row>
    <row r="490">
      <c r="A490" s="186">
        <v>12.0</v>
      </c>
      <c r="B490" s="192">
        <v>26027.0</v>
      </c>
      <c r="C490" s="192" t="s">
        <v>642</v>
      </c>
      <c r="D490" s="180" t="s">
        <v>38</v>
      </c>
      <c r="E490" s="181">
        <v>8.0</v>
      </c>
      <c r="F490" s="167" t="s">
        <v>53</v>
      </c>
      <c r="G490" s="167">
        <v>4.0</v>
      </c>
      <c r="H490" s="182" t="s">
        <v>82</v>
      </c>
      <c r="I490" s="167">
        <v>5.0</v>
      </c>
      <c r="J490" s="187"/>
      <c r="K490" s="167"/>
      <c r="L490" s="184" t="s">
        <v>93</v>
      </c>
      <c r="M490" s="186">
        <v>3.0</v>
      </c>
      <c r="N490" s="184" t="s">
        <v>134</v>
      </c>
      <c r="O490" s="186">
        <v>2.0</v>
      </c>
      <c r="P490" s="182" t="s">
        <v>114</v>
      </c>
      <c r="Q490" s="186">
        <v>6.0</v>
      </c>
      <c r="R490" s="184" t="s">
        <v>105</v>
      </c>
      <c r="S490" s="186">
        <v>7.0</v>
      </c>
      <c r="T490" s="187"/>
      <c r="U490" s="200"/>
      <c r="V490" s="184" t="s">
        <v>34</v>
      </c>
      <c r="W490" s="186">
        <v>1.0</v>
      </c>
      <c r="X490" s="142">
        <v>1.0</v>
      </c>
      <c r="Y490" s="142">
        <v>1.0</v>
      </c>
      <c r="Z490" s="142">
        <v>1.0</v>
      </c>
      <c r="AA490" s="142">
        <v>1.0</v>
      </c>
      <c r="AB490" s="142">
        <v>1.0</v>
      </c>
      <c r="AC490" s="142">
        <v>1.0</v>
      </c>
      <c r="AD490" s="142">
        <v>1.0</v>
      </c>
      <c r="AE490" s="142">
        <v>1.0</v>
      </c>
      <c r="AF490" s="142">
        <v>8.0</v>
      </c>
      <c r="AG490" s="142">
        <v>0.0</v>
      </c>
      <c r="AH490" s="185" t="str">
        <f>IFERROR(__xludf.DUMMYFUNCTION("if($C490="""","""",if(join("" - "",{iferror(filter('Student Groupings'!$A:$A,'Student Groupings'!$B:$B=$C490,'Student Groupings'!$H:$H=""Can't be Together""),"""");iferror(filter('Student Groupings'!$A:$A,'Student Groupings'!$E:$E=$C490,'Student Groupings"&amp;"'!$H:$H=""Can't be Together""),"""")})="" - "","""",join("" - "",{iferror(filter('Student Groupings'!$A:$A,'Student Groupings'!$B:$B=$C490,'Student Groupings'!$H:$H=""Can't be Together""),"""");iferror(filter('Student Groupings'!$A:$A,'Student Groupings'!"&amp;"$E:$E=$C490,'Student Groupings'!$H:$H=""Can't be Together""),"""")})))"),"")</f>
        <v/>
      </c>
      <c r="AI490" s="185" t="str">
        <f>IFERROR(__xludf.DUMMYFUNCTION("if($C490="""","""",if(join("" - "",{iferror(filter('Student Groupings'!$A:$A,'Student Groupings'!$B:$B=$C490,'Student Groupings'!$H:$H=""Must be Together""),"""");iferror(filter('Student Groupings'!$A:$A,'Student Groupings'!$E:$E=$C490,'Student Groupings'"&amp;"!$H:$H=""Must be Together""),"""")})="" - "","""",join("" - "",{iferror(filter('Student Groupings'!$A:$A,'Student Groupings'!$B:$B=$C490,'Student Groupings'!$H:$H=""Must be Together""),"""");iferror(filter('Student Groupings'!$A:$A,'Student Groupings'!$E:"&amp;"$E=$C490,'Student Groupings'!$H:$H=""Must be Together""),"""")})))"),"")</f>
        <v/>
      </c>
    </row>
    <row r="491">
      <c r="A491" s="186">
        <v>12.0</v>
      </c>
      <c r="B491" s="192">
        <v>26019.0</v>
      </c>
      <c r="C491" s="192" t="s">
        <v>643</v>
      </c>
      <c r="D491" s="180" t="s">
        <v>45</v>
      </c>
      <c r="E491" s="181">
        <v>8.0</v>
      </c>
      <c r="F491" s="167" t="s">
        <v>53</v>
      </c>
      <c r="G491" s="167">
        <v>7.0</v>
      </c>
      <c r="H491" s="182" t="s">
        <v>69</v>
      </c>
      <c r="I491" s="167">
        <v>1.0</v>
      </c>
      <c r="J491" s="187"/>
      <c r="K491" s="167"/>
      <c r="L491" s="184" t="s">
        <v>84</v>
      </c>
      <c r="M491" s="186">
        <v>6.0</v>
      </c>
      <c r="N491" s="184" t="s">
        <v>134</v>
      </c>
      <c r="O491" s="186">
        <v>5.0</v>
      </c>
      <c r="P491" s="182" t="s">
        <v>114</v>
      </c>
      <c r="Q491" s="186">
        <v>4.0</v>
      </c>
      <c r="R491" s="184" t="s">
        <v>108</v>
      </c>
      <c r="S491" s="186">
        <v>2.0</v>
      </c>
      <c r="T491" s="187"/>
      <c r="U491" s="200"/>
      <c r="V491" s="184" t="s">
        <v>117</v>
      </c>
      <c r="W491" s="167">
        <v>3.0</v>
      </c>
      <c r="X491" s="142">
        <v>1.0</v>
      </c>
      <c r="Y491" s="142">
        <v>1.0</v>
      </c>
      <c r="Z491" s="142">
        <v>1.0</v>
      </c>
      <c r="AA491" s="142">
        <v>1.0</v>
      </c>
      <c r="AB491" s="142">
        <v>1.0</v>
      </c>
      <c r="AC491" s="142">
        <v>1.0</v>
      </c>
      <c r="AD491" s="142">
        <v>1.0</v>
      </c>
      <c r="AE491" s="142">
        <v>1.0</v>
      </c>
      <c r="AF491" s="142">
        <v>8.0</v>
      </c>
      <c r="AG491" s="142">
        <v>0.0</v>
      </c>
      <c r="AH491" s="185" t="str">
        <f>IFERROR(__xludf.DUMMYFUNCTION("if($C491="""","""",if(join("" - "",{iferror(filter('Student Groupings'!$A:$A,'Student Groupings'!$B:$B=$C491,'Student Groupings'!$H:$H=""Can't be Together""),"""");iferror(filter('Student Groupings'!$A:$A,'Student Groupings'!$E:$E=$C491,'Student Groupings"&amp;"'!$H:$H=""Can't be Together""),"""")})="" - "","""",join("" - "",{iferror(filter('Student Groupings'!$A:$A,'Student Groupings'!$B:$B=$C491,'Student Groupings'!$H:$H=""Can't be Together""),"""");iferror(filter('Student Groupings'!$A:$A,'Student Groupings'!"&amp;"$E:$E=$C491,'Student Groupings'!$H:$H=""Can't be Together""),"""")})))"),"")</f>
        <v/>
      </c>
      <c r="AI491" s="185" t="str">
        <f>IFERROR(__xludf.DUMMYFUNCTION("if($C491="""","""",if(join("" - "",{iferror(filter('Student Groupings'!$A:$A,'Student Groupings'!$B:$B=$C491,'Student Groupings'!$H:$H=""Must be Together""),"""");iferror(filter('Student Groupings'!$A:$A,'Student Groupings'!$E:$E=$C491,'Student Groupings'"&amp;"!$H:$H=""Must be Together""),"""")})="" - "","""",join("" - "",{iferror(filter('Student Groupings'!$A:$A,'Student Groupings'!$B:$B=$C491,'Student Groupings'!$H:$H=""Must be Together""),"""");iferror(filter('Student Groupings'!$A:$A,'Student Groupings'!$E:"&amp;"$E=$C491,'Student Groupings'!$H:$H=""Must be Together""),"""")})))"),"")</f>
        <v/>
      </c>
    </row>
    <row r="492">
      <c r="A492" s="186">
        <v>12.0</v>
      </c>
      <c r="B492" s="192">
        <v>26031.0</v>
      </c>
      <c r="C492" s="192" t="s">
        <v>644</v>
      </c>
      <c r="D492" s="180" t="s">
        <v>45</v>
      </c>
      <c r="E492" s="181">
        <v>7.0</v>
      </c>
      <c r="F492" s="167" t="s">
        <v>53</v>
      </c>
      <c r="G492" s="167">
        <v>2.0</v>
      </c>
      <c r="H492" s="182" t="s">
        <v>82</v>
      </c>
      <c r="I492" s="167">
        <v>4.0</v>
      </c>
      <c r="J492" s="187"/>
      <c r="K492" s="167"/>
      <c r="L492" s="184" t="s">
        <v>93</v>
      </c>
      <c r="M492" s="186">
        <v>3.0</v>
      </c>
      <c r="N492" s="184" t="s">
        <v>134</v>
      </c>
      <c r="O492" s="186">
        <v>8.0</v>
      </c>
      <c r="P492" s="182" t="s">
        <v>114</v>
      </c>
      <c r="Q492" s="186">
        <v>6.0</v>
      </c>
      <c r="R492" s="184" t="s">
        <v>101</v>
      </c>
      <c r="S492" s="186">
        <v>5.0</v>
      </c>
      <c r="T492" s="187"/>
      <c r="U492" s="200"/>
      <c r="V492" s="184" t="s">
        <v>34</v>
      </c>
      <c r="W492" s="167">
        <v>1.0</v>
      </c>
      <c r="X492" s="142">
        <v>1.0</v>
      </c>
      <c r="Y492" s="142">
        <v>1.0</v>
      </c>
      <c r="Z492" s="142">
        <v>1.0</v>
      </c>
      <c r="AA492" s="142">
        <v>1.0</v>
      </c>
      <c r="AB492" s="142">
        <v>1.0</v>
      </c>
      <c r="AC492" s="142">
        <v>1.0</v>
      </c>
      <c r="AD492" s="142">
        <v>1.0</v>
      </c>
      <c r="AE492" s="142">
        <v>1.0</v>
      </c>
      <c r="AF492" s="142">
        <v>8.0</v>
      </c>
      <c r="AG492" s="142">
        <v>0.0</v>
      </c>
      <c r="AH492" s="185" t="str">
        <f>IFERROR(__xludf.DUMMYFUNCTION("if($C492="""","""",if(join("" - "",{iferror(filter('Student Groupings'!$A:$A,'Student Groupings'!$B:$B=$C492,'Student Groupings'!$H:$H=""Can't be Together""),"""");iferror(filter('Student Groupings'!$A:$A,'Student Groupings'!$E:$E=$C492,'Student Groupings"&amp;"'!$H:$H=""Can't be Together""),"""")})="" - "","""",join("" - "",{iferror(filter('Student Groupings'!$A:$A,'Student Groupings'!$B:$B=$C492,'Student Groupings'!$H:$H=""Can't be Together""),"""");iferror(filter('Student Groupings'!$A:$A,'Student Groupings'!"&amp;"$E:$E=$C492,'Student Groupings'!$H:$H=""Can't be Together""),"""")})))"),"")</f>
        <v/>
      </c>
      <c r="AI492" s="185" t="str">
        <f>IFERROR(__xludf.DUMMYFUNCTION("if($C492="""","""",if(join("" - "",{iferror(filter('Student Groupings'!$A:$A,'Student Groupings'!$B:$B=$C492,'Student Groupings'!$H:$H=""Must be Together""),"""");iferror(filter('Student Groupings'!$A:$A,'Student Groupings'!$E:$E=$C492,'Student Groupings'"&amp;"!$H:$H=""Must be Together""),"""")})="" - "","""",join("" - "",{iferror(filter('Student Groupings'!$A:$A,'Student Groupings'!$B:$B=$C492,'Student Groupings'!$H:$H=""Must be Together""),"""");iferror(filter('Student Groupings'!$A:$A,'Student Groupings'!$E:"&amp;"$E=$C492,'Student Groupings'!$H:$H=""Must be Together""),"""")})))"),"")</f>
        <v/>
      </c>
    </row>
    <row r="493">
      <c r="A493" s="186">
        <v>12.0</v>
      </c>
      <c r="B493" s="192">
        <v>26047.0</v>
      </c>
      <c r="C493" s="192" t="s">
        <v>645</v>
      </c>
      <c r="D493" s="180" t="s">
        <v>38</v>
      </c>
      <c r="E493" s="181">
        <v>8.0</v>
      </c>
      <c r="F493" s="167" t="s">
        <v>53</v>
      </c>
      <c r="G493" s="167">
        <v>7.0</v>
      </c>
      <c r="H493" s="182" t="s">
        <v>69</v>
      </c>
      <c r="I493" s="167">
        <v>1.0</v>
      </c>
      <c r="J493" s="187"/>
      <c r="K493" s="167"/>
      <c r="L493" s="184" t="s">
        <v>84</v>
      </c>
      <c r="M493" s="186">
        <v>2.0</v>
      </c>
      <c r="N493" s="184" t="s">
        <v>134</v>
      </c>
      <c r="O493" s="186">
        <v>5.0</v>
      </c>
      <c r="P493" s="182" t="s">
        <v>114</v>
      </c>
      <c r="Q493" s="186">
        <v>6.0</v>
      </c>
      <c r="R493" s="184" t="s">
        <v>109</v>
      </c>
      <c r="S493" s="186">
        <v>4.0</v>
      </c>
      <c r="T493" s="187"/>
      <c r="U493" s="200"/>
      <c r="V493" s="184" t="s">
        <v>27</v>
      </c>
      <c r="W493" s="167">
        <v>3.0</v>
      </c>
      <c r="X493" s="142">
        <v>1.0</v>
      </c>
      <c r="Y493" s="142">
        <v>1.0</v>
      </c>
      <c r="Z493" s="142">
        <v>1.0</v>
      </c>
      <c r="AA493" s="142">
        <v>1.0</v>
      </c>
      <c r="AB493" s="142">
        <v>1.0</v>
      </c>
      <c r="AC493" s="142">
        <v>1.0</v>
      </c>
      <c r="AD493" s="142">
        <v>1.0</v>
      </c>
      <c r="AE493" s="142">
        <v>1.0</v>
      </c>
      <c r="AF493" s="142">
        <v>8.0</v>
      </c>
      <c r="AG493" s="142">
        <v>0.0</v>
      </c>
      <c r="AH493" s="185" t="str">
        <f>IFERROR(__xludf.DUMMYFUNCTION("if($C493="""","""",if(join("" - "",{iferror(filter('Student Groupings'!$A:$A,'Student Groupings'!$B:$B=$C493,'Student Groupings'!$H:$H=""Can't be Together""),"""");iferror(filter('Student Groupings'!$A:$A,'Student Groupings'!$E:$E=$C493,'Student Groupings"&amp;"'!$H:$H=""Can't be Together""),"""")})="" - "","""",join("" - "",{iferror(filter('Student Groupings'!$A:$A,'Student Groupings'!$B:$B=$C493,'Student Groupings'!$H:$H=""Can't be Together""),"""");iferror(filter('Student Groupings'!$A:$A,'Student Groupings'!"&amp;"$E:$E=$C493,'Student Groupings'!$H:$H=""Can't be Together""),"""")})))"),"32 - 33 - 34 - ")</f>
        <v>32 - 33 - 34 - </v>
      </c>
      <c r="AI493" s="185" t="str">
        <f>IFERROR(__xludf.DUMMYFUNCTION("if($C493="""","""",if(join("" - "",{iferror(filter('Student Groupings'!$A:$A,'Student Groupings'!$B:$B=$C493,'Student Groupings'!$H:$H=""Must be Together""),"""");iferror(filter('Student Groupings'!$A:$A,'Student Groupings'!$E:$E=$C493,'Student Groupings'"&amp;"!$H:$H=""Must be Together""),"""")})="" - "","""",join("" - "",{iferror(filter('Student Groupings'!$A:$A,'Student Groupings'!$B:$B=$C493,'Student Groupings'!$H:$H=""Must be Together""),"""");iferror(filter('Student Groupings'!$A:$A,'Student Groupings'!$E:"&amp;"$E=$C493,'Student Groupings'!$H:$H=""Must be Together""),"""")})))"),"")</f>
        <v/>
      </c>
    </row>
    <row r="494">
      <c r="A494" s="186">
        <v>12.0</v>
      </c>
      <c r="B494" s="192">
        <v>26095.0</v>
      </c>
      <c r="C494" s="192" t="s">
        <v>646</v>
      </c>
      <c r="D494" s="180" t="s">
        <v>45</v>
      </c>
      <c r="E494" s="181">
        <v>8.0</v>
      </c>
      <c r="F494" s="167" t="s">
        <v>53</v>
      </c>
      <c r="G494" s="167">
        <v>4.0</v>
      </c>
      <c r="H494" s="182" t="s">
        <v>82</v>
      </c>
      <c r="I494" s="167">
        <v>5.0</v>
      </c>
      <c r="J494" s="187"/>
      <c r="K494" s="167"/>
      <c r="L494" s="184" t="s">
        <v>85</v>
      </c>
      <c r="M494" s="186">
        <v>3.0</v>
      </c>
      <c r="N494" s="184" t="s">
        <v>134</v>
      </c>
      <c r="O494" s="186">
        <v>6.0</v>
      </c>
      <c r="P494" s="184" t="s">
        <v>126</v>
      </c>
      <c r="Q494" s="186">
        <v>1.0</v>
      </c>
      <c r="R494" s="184" t="s">
        <v>108</v>
      </c>
      <c r="S494" s="186">
        <v>2.0</v>
      </c>
      <c r="T494" s="187"/>
      <c r="U494" s="200"/>
      <c r="V494" s="184" t="s">
        <v>34</v>
      </c>
      <c r="W494" s="186">
        <v>7.0</v>
      </c>
      <c r="X494" s="142">
        <v>1.0</v>
      </c>
      <c r="Y494" s="142">
        <v>1.0</v>
      </c>
      <c r="Z494" s="142">
        <v>1.0</v>
      </c>
      <c r="AA494" s="142">
        <v>1.0</v>
      </c>
      <c r="AB494" s="142">
        <v>1.0</v>
      </c>
      <c r="AC494" s="142">
        <v>1.0</v>
      </c>
      <c r="AD494" s="142">
        <v>1.0</v>
      </c>
      <c r="AE494" s="142">
        <v>1.0</v>
      </c>
      <c r="AF494" s="142">
        <v>8.0</v>
      </c>
      <c r="AG494" s="142">
        <v>0.0</v>
      </c>
      <c r="AH494" s="185" t="str">
        <f>IFERROR(__xludf.DUMMYFUNCTION("if($C494="""","""",if(join("" - "",{iferror(filter('Student Groupings'!$A:$A,'Student Groupings'!$B:$B=$C494,'Student Groupings'!$H:$H=""Can't be Together""),"""");iferror(filter('Student Groupings'!$A:$A,'Student Groupings'!$E:$E=$C494,'Student Groupings"&amp;"'!$H:$H=""Can't be Together""),"""")})="" - "","""",join("" - "",{iferror(filter('Student Groupings'!$A:$A,'Student Groupings'!$B:$B=$C494,'Student Groupings'!$H:$H=""Can't be Together""),"""");iferror(filter('Student Groupings'!$A:$A,'Student Groupings'!"&amp;"$E:$E=$C494,'Student Groupings'!$H:$H=""Can't be Together""),"""")})))"),"")</f>
        <v/>
      </c>
      <c r="AI494" s="185" t="str">
        <f>IFERROR(__xludf.DUMMYFUNCTION("if($C494="""","""",if(join("" - "",{iferror(filter('Student Groupings'!$A:$A,'Student Groupings'!$B:$B=$C494,'Student Groupings'!$H:$H=""Must be Together""),"""");iferror(filter('Student Groupings'!$A:$A,'Student Groupings'!$E:$E=$C494,'Student Groupings'"&amp;"!$H:$H=""Must be Together""),"""")})="" - "","""",join("" - "",{iferror(filter('Student Groupings'!$A:$A,'Student Groupings'!$B:$B=$C494,'Student Groupings'!$H:$H=""Must be Together""),"""");iferror(filter('Student Groupings'!$A:$A,'Student Groupings'!$E:"&amp;"$E=$C494,'Student Groupings'!$H:$H=""Must be Together""),"""")})))"),"")</f>
        <v/>
      </c>
    </row>
    <row r="495">
      <c r="A495" s="186">
        <v>12.0</v>
      </c>
      <c r="B495" s="192">
        <v>26032.0</v>
      </c>
      <c r="C495" s="192" t="s">
        <v>647</v>
      </c>
      <c r="D495" s="180" t="s">
        <v>45</v>
      </c>
      <c r="E495" s="181">
        <v>1.0</v>
      </c>
      <c r="F495" s="167" t="s">
        <v>53</v>
      </c>
      <c r="G495" s="167">
        <v>7.0</v>
      </c>
      <c r="H495" s="182" t="s">
        <v>82</v>
      </c>
      <c r="I495" s="167">
        <v>4.0</v>
      </c>
      <c r="J495" s="187"/>
      <c r="K495" s="167"/>
      <c r="L495" s="184" t="s">
        <v>84</v>
      </c>
      <c r="M495" s="186">
        <v>8.0</v>
      </c>
      <c r="N495" s="184" t="s">
        <v>134</v>
      </c>
      <c r="O495" s="186">
        <v>2.0</v>
      </c>
      <c r="P495" s="182" t="s">
        <v>114</v>
      </c>
      <c r="Q495" s="186">
        <v>3.0</v>
      </c>
      <c r="R495" s="184" t="s">
        <v>111</v>
      </c>
      <c r="S495" s="186">
        <v>5.0</v>
      </c>
      <c r="T495" s="187"/>
      <c r="U495" s="200"/>
      <c r="V495" s="247" t="s">
        <v>29</v>
      </c>
      <c r="W495" s="186">
        <v>6.0</v>
      </c>
      <c r="X495" s="142">
        <v>1.0</v>
      </c>
      <c r="Y495" s="142">
        <v>1.0</v>
      </c>
      <c r="Z495" s="142">
        <v>1.0</v>
      </c>
      <c r="AA495" s="142">
        <v>1.0</v>
      </c>
      <c r="AB495" s="142">
        <v>1.0</v>
      </c>
      <c r="AC495" s="142">
        <v>1.0</v>
      </c>
      <c r="AD495" s="142">
        <v>1.0</v>
      </c>
      <c r="AE495" s="142">
        <v>1.0</v>
      </c>
      <c r="AF495" s="142">
        <v>8.0</v>
      </c>
      <c r="AG495" s="142">
        <v>0.0</v>
      </c>
      <c r="AH495" s="185" t="str">
        <f>IFERROR(__xludf.DUMMYFUNCTION("if($C495="""","""",if(join("" - "",{iferror(filter('Student Groupings'!$A:$A,'Student Groupings'!$B:$B=$C495,'Student Groupings'!$H:$H=""Can't be Together""),"""");iferror(filter('Student Groupings'!$A:$A,'Student Groupings'!$E:$E=$C495,'Student Groupings"&amp;"'!$H:$H=""Can't be Together""),"""")})="" - "","""",join("" - "",{iferror(filter('Student Groupings'!$A:$A,'Student Groupings'!$B:$B=$C495,'Student Groupings'!$H:$H=""Can't be Together""),"""");iferror(filter('Student Groupings'!$A:$A,'Student Groupings'!"&amp;"$E:$E=$C495,'Student Groupings'!$H:$H=""Can't be Together""),"""")})))"),"")</f>
        <v/>
      </c>
      <c r="AI495" s="185" t="str">
        <f>IFERROR(__xludf.DUMMYFUNCTION("if($C495="""","""",if(join("" - "",{iferror(filter('Student Groupings'!$A:$A,'Student Groupings'!$B:$B=$C495,'Student Groupings'!$H:$H=""Must be Together""),"""");iferror(filter('Student Groupings'!$A:$A,'Student Groupings'!$E:$E=$C495,'Student Groupings'"&amp;"!$H:$H=""Must be Together""),"""")})="" - "","""",join("" - "",{iferror(filter('Student Groupings'!$A:$A,'Student Groupings'!$B:$B=$C495,'Student Groupings'!$H:$H=""Must be Together""),"""");iferror(filter('Student Groupings'!$A:$A,'Student Groupings'!$E:"&amp;"$E=$C495,'Student Groupings'!$H:$H=""Must be Together""),"""")})))"),"")</f>
        <v/>
      </c>
    </row>
    <row r="496">
      <c r="A496" s="186">
        <v>12.0</v>
      </c>
      <c r="B496" s="192">
        <v>26072.0</v>
      </c>
      <c r="C496" s="192" t="s">
        <v>648</v>
      </c>
      <c r="D496" s="180" t="s">
        <v>45</v>
      </c>
      <c r="E496" s="181">
        <v>8.0</v>
      </c>
      <c r="F496" s="167" t="s">
        <v>53</v>
      </c>
      <c r="G496" s="167">
        <v>7.0</v>
      </c>
      <c r="H496" s="182" t="s">
        <v>70</v>
      </c>
      <c r="I496" s="167">
        <v>2.0</v>
      </c>
      <c r="J496" s="187"/>
      <c r="K496" s="167"/>
      <c r="L496" s="184" t="s">
        <v>86</v>
      </c>
      <c r="M496" s="186">
        <v>4.0</v>
      </c>
      <c r="N496" s="184" t="s">
        <v>134</v>
      </c>
      <c r="O496" s="186">
        <v>5.0</v>
      </c>
      <c r="P496" s="182" t="s">
        <v>114</v>
      </c>
      <c r="Q496" s="186">
        <v>6.0</v>
      </c>
      <c r="R496" s="184" t="s">
        <v>107</v>
      </c>
      <c r="S496" s="186">
        <v>3.0</v>
      </c>
      <c r="T496" s="187"/>
      <c r="U496" s="200"/>
      <c r="V496" s="227" t="s">
        <v>79</v>
      </c>
      <c r="W496" s="167">
        <v>1.0</v>
      </c>
      <c r="X496" s="142">
        <v>1.0</v>
      </c>
      <c r="Y496" s="142">
        <v>1.0</v>
      </c>
      <c r="Z496" s="142">
        <v>1.0</v>
      </c>
      <c r="AA496" s="142">
        <v>1.0</v>
      </c>
      <c r="AB496" s="142">
        <v>1.0</v>
      </c>
      <c r="AC496" s="142">
        <v>1.0</v>
      </c>
      <c r="AD496" s="142">
        <v>1.0</v>
      </c>
      <c r="AE496" s="142">
        <v>1.0</v>
      </c>
      <c r="AF496" s="142">
        <v>8.0</v>
      </c>
      <c r="AG496" s="142">
        <v>0.0</v>
      </c>
      <c r="AH496" s="185" t="str">
        <f>IFERROR(__xludf.DUMMYFUNCTION("if($C496="""","""",if(join("" - "",{iferror(filter('Student Groupings'!$A:$A,'Student Groupings'!$B:$B=$C496,'Student Groupings'!$H:$H=""Can't be Together""),"""");iferror(filter('Student Groupings'!$A:$A,'Student Groupings'!$E:$E=$C496,'Student Groupings"&amp;"'!$H:$H=""Can't be Together""),"""")})="" - "","""",join("" - "",{iferror(filter('Student Groupings'!$A:$A,'Student Groupings'!$B:$B=$C496,'Student Groupings'!$H:$H=""Can't be Together""),"""");iferror(filter('Student Groupings'!$A:$A,'Student Groupings'!"&amp;"$E:$E=$C496,'Student Groupings'!$H:$H=""Can't be Together""),"""")})))"),"")</f>
        <v/>
      </c>
      <c r="AI496" s="185" t="str">
        <f>IFERROR(__xludf.DUMMYFUNCTION("if($C496="""","""",if(join("" - "",{iferror(filter('Student Groupings'!$A:$A,'Student Groupings'!$B:$B=$C496,'Student Groupings'!$H:$H=""Must be Together""),"""");iferror(filter('Student Groupings'!$A:$A,'Student Groupings'!$E:$E=$C496,'Student Groupings'"&amp;"!$H:$H=""Must be Together""),"""")})="" - "","""",join("" - "",{iferror(filter('Student Groupings'!$A:$A,'Student Groupings'!$B:$B=$C496,'Student Groupings'!$H:$H=""Must be Together""),"""");iferror(filter('Student Groupings'!$A:$A,'Student Groupings'!$E:"&amp;"$E=$C496,'Student Groupings'!$H:$H=""Must be Together""),"""")})))"),"")</f>
        <v/>
      </c>
    </row>
    <row r="497">
      <c r="A497" s="186">
        <v>12.0</v>
      </c>
      <c r="B497" s="192">
        <v>26139.0</v>
      </c>
      <c r="C497" s="183" t="s">
        <v>649</v>
      </c>
      <c r="D497" s="180" t="s">
        <v>46</v>
      </c>
      <c r="E497" s="181">
        <v>4.0</v>
      </c>
      <c r="F497" s="167" t="s">
        <v>53</v>
      </c>
      <c r="G497" s="167">
        <v>7.0</v>
      </c>
      <c r="H497" s="182" t="s">
        <v>70</v>
      </c>
      <c r="I497" s="167">
        <v>2.0</v>
      </c>
      <c r="J497" s="187"/>
      <c r="K497" s="167"/>
      <c r="L497" s="184" t="s">
        <v>93</v>
      </c>
      <c r="M497" s="186">
        <v>3.0</v>
      </c>
      <c r="N497" s="184" t="s">
        <v>134</v>
      </c>
      <c r="O497" s="186">
        <v>8.0</v>
      </c>
      <c r="P497" s="182" t="s">
        <v>114</v>
      </c>
      <c r="Q497" s="186">
        <v>1.0</v>
      </c>
      <c r="R497" s="184" t="s">
        <v>101</v>
      </c>
      <c r="S497" s="186">
        <v>5.0</v>
      </c>
      <c r="T497" s="187"/>
      <c r="U497" s="200"/>
      <c r="V497" s="184" t="s">
        <v>29</v>
      </c>
      <c r="W497" s="186">
        <v>6.0</v>
      </c>
      <c r="X497" s="142">
        <v>1.0</v>
      </c>
      <c r="Y497" s="142">
        <v>1.0</v>
      </c>
      <c r="Z497" s="142">
        <v>1.0</v>
      </c>
      <c r="AA497" s="142">
        <v>1.0</v>
      </c>
      <c r="AB497" s="142">
        <v>1.0</v>
      </c>
      <c r="AC497" s="142">
        <v>1.0</v>
      </c>
      <c r="AD497" s="142">
        <v>1.0</v>
      </c>
      <c r="AE497" s="142">
        <v>1.0</v>
      </c>
      <c r="AF497" s="142">
        <v>8.0</v>
      </c>
      <c r="AG497" s="142">
        <v>0.0</v>
      </c>
      <c r="AH497" s="185" t="str">
        <f>IFERROR(__xludf.DUMMYFUNCTION("if($C497="""","""",if(join("" - "",{iferror(filter('Student Groupings'!$A:$A,'Student Groupings'!$B:$B=$C497,'Student Groupings'!$H:$H=""Can't be Together""),"""");iferror(filter('Student Groupings'!$A:$A,'Student Groupings'!$E:$E=$C497,'Student Groupings"&amp;"'!$H:$H=""Can't be Together""),"""")})="" - "","""",join("" - "",{iferror(filter('Student Groupings'!$A:$A,'Student Groupings'!$B:$B=$C497,'Student Groupings'!$H:$H=""Can't be Together""),"""");iferror(filter('Student Groupings'!$A:$A,'Student Groupings'!"&amp;"$E:$E=$C497,'Student Groupings'!$H:$H=""Can't be Together""),"""")})))"),"")</f>
        <v/>
      </c>
      <c r="AI497" s="185" t="str">
        <f>IFERROR(__xludf.DUMMYFUNCTION("if($C497="""","""",if(join("" - "",{iferror(filter('Student Groupings'!$A:$A,'Student Groupings'!$B:$B=$C497,'Student Groupings'!$H:$H=""Must be Together""),"""");iferror(filter('Student Groupings'!$A:$A,'Student Groupings'!$E:$E=$C497,'Student Groupings'"&amp;"!$H:$H=""Must be Together""),"""")})="" - "","""",join("" - "",{iferror(filter('Student Groupings'!$A:$A,'Student Groupings'!$B:$B=$C497,'Student Groupings'!$H:$H=""Must be Together""),"""");iferror(filter('Student Groupings'!$A:$A,'Student Groupings'!$E:"&amp;"$E=$C497,'Student Groupings'!$H:$H=""Must be Together""),"""")})))"),"")</f>
        <v/>
      </c>
    </row>
    <row r="498">
      <c r="A498" s="186">
        <v>12.0</v>
      </c>
      <c r="B498" s="199">
        <v>26129.0</v>
      </c>
      <c r="C498" s="183" t="s">
        <v>650</v>
      </c>
      <c r="D498" s="180" t="s">
        <v>45</v>
      </c>
      <c r="E498" s="181">
        <v>7.0</v>
      </c>
      <c r="F498" s="167" t="s">
        <v>53</v>
      </c>
      <c r="G498" s="167">
        <v>3.0</v>
      </c>
      <c r="H498" s="182" t="s">
        <v>69</v>
      </c>
      <c r="I498" s="167">
        <v>6.0</v>
      </c>
      <c r="J498" s="187"/>
      <c r="K498" s="167"/>
      <c r="L498" s="184" t="s">
        <v>84</v>
      </c>
      <c r="M498" s="186">
        <v>2.0</v>
      </c>
      <c r="N498" s="184" t="s">
        <v>134</v>
      </c>
      <c r="O498" s="186">
        <v>1.0</v>
      </c>
      <c r="P498" s="182" t="s">
        <v>114</v>
      </c>
      <c r="Q498" s="186">
        <v>8.0</v>
      </c>
      <c r="R498" s="184" t="s">
        <v>105</v>
      </c>
      <c r="S498" s="186">
        <v>5.0</v>
      </c>
      <c r="T498" s="187"/>
      <c r="U498" s="200"/>
      <c r="V498" s="184" t="s">
        <v>121</v>
      </c>
      <c r="W498" s="186">
        <v>4.0</v>
      </c>
      <c r="X498" s="142">
        <v>1.0</v>
      </c>
      <c r="Y498" s="142">
        <v>1.0</v>
      </c>
      <c r="Z498" s="142">
        <v>1.0</v>
      </c>
      <c r="AA498" s="142">
        <v>1.0</v>
      </c>
      <c r="AB498" s="142">
        <v>1.0</v>
      </c>
      <c r="AC498" s="142">
        <v>1.0</v>
      </c>
      <c r="AD498" s="142">
        <v>1.0</v>
      </c>
      <c r="AE498" s="142">
        <v>1.0</v>
      </c>
      <c r="AF498" s="142">
        <v>8.0</v>
      </c>
      <c r="AG498" s="142">
        <v>0.0</v>
      </c>
      <c r="AH498" s="185" t="str">
        <f>IFERROR(__xludf.DUMMYFUNCTION("if($C498="""","""",if(join("" - "",{iferror(filter('Student Groupings'!$A:$A,'Student Groupings'!$B:$B=$C498,'Student Groupings'!$H:$H=""Can't be Together""),"""");iferror(filter('Student Groupings'!$A:$A,'Student Groupings'!$E:$E=$C498,'Student Groupings"&amp;"'!$H:$H=""Can't be Together""),"""")})="" - "","""",join("" - "",{iferror(filter('Student Groupings'!$A:$A,'Student Groupings'!$B:$B=$C498,'Student Groupings'!$H:$H=""Can't be Together""),"""");iferror(filter('Student Groupings'!$A:$A,'Student Groupings'!"&amp;"$E:$E=$C498,'Student Groupings'!$H:$H=""Can't be Together""),"""")})))"),"")</f>
        <v/>
      </c>
      <c r="AI498" s="185" t="str">
        <f>IFERROR(__xludf.DUMMYFUNCTION("if($C498="""","""",if(join("" - "",{iferror(filter('Student Groupings'!$A:$A,'Student Groupings'!$B:$B=$C498,'Student Groupings'!$H:$H=""Must be Together""),"""");iferror(filter('Student Groupings'!$A:$A,'Student Groupings'!$E:$E=$C498,'Student Groupings'"&amp;"!$H:$H=""Must be Together""),"""")})="" - "","""",join("" - "",{iferror(filter('Student Groupings'!$A:$A,'Student Groupings'!$B:$B=$C498,'Student Groupings'!$H:$H=""Must be Together""),"""");iferror(filter('Student Groupings'!$A:$A,'Student Groupings'!$E:"&amp;"$E=$C498,'Student Groupings'!$H:$H=""Must be Together""),"""")})))"),"")</f>
        <v/>
      </c>
    </row>
    <row r="499">
      <c r="A499" s="186">
        <v>12.0</v>
      </c>
      <c r="B499" s="192">
        <v>26125.0</v>
      </c>
      <c r="C499" s="183" t="s">
        <v>651</v>
      </c>
      <c r="D499" s="180" t="s">
        <v>45</v>
      </c>
      <c r="E499" s="181">
        <v>1.0</v>
      </c>
      <c r="F499" s="186" t="s">
        <v>53</v>
      </c>
      <c r="G499" s="167">
        <v>3.0</v>
      </c>
      <c r="H499" s="182" t="s">
        <v>70</v>
      </c>
      <c r="I499" s="167">
        <v>2.0</v>
      </c>
      <c r="J499" s="187"/>
      <c r="K499" s="167"/>
      <c r="L499" s="184" t="s">
        <v>93</v>
      </c>
      <c r="M499" s="186">
        <v>5.0</v>
      </c>
      <c r="N499" s="184" t="s">
        <v>134</v>
      </c>
      <c r="O499" s="186">
        <v>6.0</v>
      </c>
      <c r="P499" s="182" t="s">
        <v>114</v>
      </c>
      <c r="Q499" s="186">
        <v>4.0</v>
      </c>
      <c r="R499" s="184" t="s">
        <v>107</v>
      </c>
      <c r="S499" s="186">
        <v>8.0</v>
      </c>
      <c r="T499" s="187"/>
      <c r="U499" s="200"/>
      <c r="V499" s="184" t="s">
        <v>34</v>
      </c>
      <c r="W499" s="186">
        <v>7.0</v>
      </c>
      <c r="X499" s="142">
        <v>1.0</v>
      </c>
      <c r="Y499" s="142">
        <v>1.0</v>
      </c>
      <c r="Z499" s="142">
        <v>1.0</v>
      </c>
      <c r="AA499" s="142">
        <v>1.0</v>
      </c>
      <c r="AB499" s="142">
        <v>1.0</v>
      </c>
      <c r="AC499" s="142">
        <v>1.0</v>
      </c>
      <c r="AD499" s="142">
        <v>1.0</v>
      </c>
      <c r="AE499" s="142">
        <v>1.0</v>
      </c>
      <c r="AF499" s="142">
        <v>8.0</v>
      </c>
      <c r="AG499" s="142">
        <v>0.0</v>
      </c>
      <c r="AH499" s="185" t="str">
        <f>IFERROR(__xludf.DUMMYFUNCTION("if($C499="""","""",if(join("" - "",{iferror(filter('Student Groupings'!$A:$A,'Student Groupings'!$B:$B=$C499,'Student Groupings'!$H:$H=""Can't be Together""),"""");iferror(filter('Student Groupings'!$A:$A,'Student Groupings'!$E:$E=$C499,'Student Groupings"&amp;"'!$H:$H=""Can't be Together""),"""")})="" - "","""",join("" - "",{iferror(filter('Student Groupings'!$A:$A,'Student Groupings'!$B:$B=$C499,'Student Groupings'!$H:$H=""Can't be Together""),"""");iferror(filter('Student Groupings'!$A:$A,'Student Groupings'!"&amp;"$E:$E=$C499,'Student Groupings'!$H:$H=""Can't be Together""),"""")})))"),"")</f>
        <v/>
      </c>
      <c r="AI499" s="185" t="str">
        <f>IFERROR(__xludf.DUMMYFUNCTION("if($C499="""","""",if(join("" - "",{iferror(filter('Student Groupings'!$A:$A,'Student Groupings'!$B:$B=$C499,'Student Groupings'!$H:$H=""Must be Together""),"""");iferror(filter('Student Groupings'!$A:$A,'Student Groupings'!$E:$E=$C499,'Student Groupings'"&amp;"!$H:$H=""Must be Together""),"""")})="" - "","""",join("" - "",{iferror(filter('Student Groupings'!$A:$A,'Student Groupings'!$B:$B=$C499,'Student Groupings'!$H:$H=""Must be Together""),"""");iferror(filter('Student Groupings'!$A:$A,'Student Groupings'!$E:"&amp;"$E=$C499,'Student Groupings'!$H:$H=""Must be Together""),"""")})))"),"")</f>
        <v/>
      </c>
    </row>
    <row r="500">
      <c r="A500" s="186">
        <v>12.0</v>
      </c>
      <c r="B500" s="192">
        <v>25039.0</v>
      </c>
      <c r="C500" s="183" t="s">
        <v>652</v>
      </c>
      <c r="D500" s="180" t="s">
        <v>45</v>
      </c>
      <c r="E500" s="181">
        <v>7.0</v>
      </c>
      <c r="F500" s="167" t="s">
        <v>53</v>
      </c>
      <c r="G500" s="167">
        <v>3.0</v>
      </c>
      <c r="H500" s="182" t="s">
        <v>82</v>
      </c>
      <c r="I500" s="167">
        <v>5.0</v>
      </c>
      <c r="J500" s="183"/>
      <c r="K500" s="167"/>
      <c r="L500" s="184" t="s">
        <v>84</v>
      </c>
      <c r="M500" s="186">
        <v>2.0</v>
      </c>
      <c r="N500" s="184" t="s">
        <v>134</v>
      </c>
      <c r="O500" s="186">
        <v>8.0</v>
      </c>
      <c r="P500" s="182" t="s">
        <v>114</v>
      </c>
      <c r="Q500" s="186">
        <v>6.0</v>
      </c>
      <c r="R500" s="184" t="s">
        <v>111</v>
      </c>
      <c r="S500" s="167">
        <v>4.0</v>
      </c>
      <c r="T500" s="187"/>
      <c r="U500" s="200"/>
      <c r="V500" s="184" t="s">
        <v>34</v>
      </c>
      <c r="W500" s="186">
        <v>1.0</v>
      </c>
      <c r="X500" s="142">
        <v>1.0</v>
      </c>
      <c r="Y500" s="142">
        <v>1.0</v>
      </c>
      <c r="Z500" s="142">
        <v>1.0</v>
      </c>
      <c r="AA500" s="142">
        <v>1.0</v>
      </c>
      <c r="AB500" s="142">
        <v>1.0</v>
      </c>
      <c r="AC500" s="142">
        <v>1.0</v>
      </c>
      <c r="AD500" s="142">
        <v>1.0</v>
      </c>
      <c r="AE500" s="142">
        <v>1.0</v>
      </c>
      <c r="AF500" s="142">
        <v>8.0</v>
      </c>
      <c r="AG500" s="142">
        <v>0.0</v>
      </c>
      <c r="AH500" s="185" t="str">
        <f>IFERROR(__xludf.DUMMYFUNCTION("if($C500="""","""",if(join("" - "",{iferror(filter('Student Groupings'!$A:$A,'Student Groupings'!$B:$B=$C500,'Student Groupings'!$H:$H=""Can't be Together""),"""");iferror(filter('Student Groupings'!$A:$A,'Student Groupings'!$E:$E=$C500,'Student Groupings"&amp;"'!$H:$H=""Can't be Together""),"""")})="" - "","""",join("" - "",{iferror(filter('Student Groupings'!$A:$A,'Student Groupings'!$B:$B=$C500,'Student Groupings'!$H:$H=""Can't be Together""),"""");iferror(filter('Student Groupings'!$A:$A,'Student Groupings'!"&amp;"$E:$E=$C500,'Student Groupings'!$H:$H=""Can't be Together""),"""")})))"),"")</f>
        <v/>
      </c>
      <c r="AI500" s="185" t="str">
        <f>IFERROR(__xludf.DUMMYFUNCTION("if($C500="""","""",if(join("" - "",{iferror(filter('Student Groupings'!$A:$A,'Student Groupings'!$B:$B=$C500,'Student Groupings'!$H:$H=""Must be Together""),"""");iferror(filter('Student Groupings'!$A:$A,'Student Groupings'!$E:$E=$C500,'Student Groupings'"&amp;"!$H:$H=""Must be Together""),"""")})="" - "","""",join("" - "",{iferror(filter('Student Groupings'!$A:$A,'Student Groupings'!$B:$B=$C500,'Student Groupings'!$H:$H=""Must be Together""),"""");iferror(filter('Student Groupings'!$A:$A,'Student Groupings'!$E:"&amp;"$E=$C500,'Student Groupings'!$H:$H=""Must be Together""),"""")})))"),"")</f>
        <v/>
      </c>
    </row>
    <row r="501">
      <c r="A501" s="186">
        <v>12.0</v>
      </c>
      <c r="B501" s="192">
        <v>26133.0</v>
      </c>
      <c r="C501" s="183" t="s">
        <v>653</v>
      </c>
      <c r="D501" s="180" t="s">
        <v>45</v>
      </c>
      <c r="E501" s="181">
        <v>1.0</v>
      </c>
      <c r="F501" s="167" t="s">
        <v>53</v>
      </c>
      <c r="G501" s="167">
        <v>7.0</v>
      </c>
      <c r="H501" s="182" t="s">
        <v>69</v>
      </c>
      <c r="I501" s="167">
        <v>2.0</v>
      </c>
      <c r="J501" s="187"/>
      <c r="K501" s="167"/>
      <c r="L501" s="184" t="s">
        <v>84</v>
      </c>
      <c r="M501" s="186">
        <v>6.0</v>
      </c>
      <c r="N501" s="184" t="s">
        <v>134</v>
      </c>
      <c r="O501" s="186">
        <v>5.0</v>
      </c>
      <c r="P501" s="182" t="s">
        <v>114</v>
      </c>
      <c r="Q501" s="186">
        <v>3.0</v>
      </c>
      <c r="R501" s="184" t="s">
        <v>109</v>
      </c>
      <c r="S501" s="186">
        <v>4.0</v>
      </c>
      <c r="T501" s="183"/>
      <c r="U501" s="186"/>
      <c r="V501" s="184" t="s">
        <v>27</v>
      </c>
      <c r="W501" s="186">
        <v>8.0</v>
      </c>
      <c r="X501" s="142">
        <v>1.0</v>
      </c>
      <c r="Y501" s="142">
        <v>1.0</v>
      </c>
      <c r="Z501" s="142">
        <v>1.0</v>
      </c>
      <c r="AA501" s="142">
        <v>1.0</v>
      </c>
      <c r="AB501" s="142">
        <v>1.0</v>
      </c>
      <c r="AC501" s="142">
        <v>1.0</v>
      </c>
      <c r="AD501" s="142">
        <v>1.0</v>
      </c>
      <c r="AE501" s="142">
        <v>1.0</v>
      </c>
      <c r="AF501" s="142">
        <v>8.0</v>
      </c>
      <c r="AG501" s="142">
        <v>0.0</v>
      </c>
      <c r="AH501" s="185" t="str">
        <f>IFERROR(__xludf.DUMMYFUNCTION("if($C501="""","""",if(join("" - "",{iferror(filter('Student Groupings'!$A:$A,'Student Groupings'!$B:$B=$C501,'Student Groupings'!$H:$H=""Can't be Together""),"""");iferror(filter('Student Groupings'!$A:$A,'Student Groupings'!$E:$E=$C501,'Student Groupings"&amp;"'!$H:$H=""Can't be Together""),"""")})="" - "","""",join("" - "",{iferror(filter('Student Groupings'!$A:$A,'Student Groupings'!$B:$B=$C501,'Student Groupings'!$H:$H=""Can't be Together""),"""");iferror(filter('Student Groupings'!$A:$A,'Student Groupings'!"&amp;"$E:$E=$C501,'Student Groupings'!$H:$H=""Can't be Together""),"""")})))"),"")</f>
        <v/>
      </c>
      <c r="AI501" s="185" t="str">
        <f>IFERROR(__xludf.DUMMYFUNCTION("if($C501="""","""",if(join("" - "",{iferror(filter('Student Groupings'!$A:$A,'Student Groupings'!$B:$B=$C501,'Student Groupings'!$H:$H=""Must be Together""),"""");iferror(filter('Student Groupings'!$A:$A,'Student Groupings'!$E:$E=$C501,'Student Groupings'"&amp;"!$H:$H=""Must be Together""),"""")})="" - "","""",join("" - "",{iferror(filter('Student Groupings'!$A:$A,'Student Groupings'!$B:$B=$C501,'Student Groupings'!$H:$H=""Must be Together""),"""");iferror(filter('Student Groupings'!$A:$A,'Student Groupings'!$E:"&amp;"$E=$C501,'Student Groupings'!$H:$H=""Must be Together""),"""")})))"),"")</f>
        <v/>
      </c>
    </row>
    <row r="502">
      <c r="A502" s="186">
        <v>12.0</v>
      </c>
      <c r="B502" s="248">
        <v>26110.0</v>
      </c>
      <c r="C502" s="183" t="s">
        <v>654</v>
      </c>
      <c r="D502" s="249" t="s">
        <v>45</v>
      </c>
      <c r="E502" s="181">
        <v>1.0</v>
      </c>
      <c r="F502" s="182" t="s">
        <v>53</v>
      </c>
      <c r="G502" s="186">
        <v>3.0</v>
      </c>
      <c r="H502" s="182" t="s">
        <v>82</v>
      </c>
      <c r="I502" s="186">
        <v>7.0</v>
      </c>
      <c r="J502" s="184"/>
      <c r="K502" s="187"/>
      <c r="L502" s="184" t="s">
        <v>84</v>
      </c>
      <c r="M502" s="186">
        <v>6.0</v>
      </c>
      <c r="N502" s="184" t="s">
        <v>134</v>
      </c>
      <c r="O502" s="186">
        <v>5.0</v>
      </c>
      <c r="P502" s="182" t="s">
        <v>114</v>
      </c>
      <c r="Q502" s="181">
        <v>4.0</v>
      </c>
      <c r="R502" s="184" t="s">
        <v>107</v>
      </c>
      <c r="S502" s="186">
        <v>8.0</v>
      </c>
      <c r="T502" s="184"/>
      <c r="U502" s="187"/>
      <c r="V502" s="228" t="s">
        <v>90</v>
      </c>
      <c r="W502" s="181">
        <v>2.0</v>
      </c>
      <c r="X502" s="142">
        <v>1.0</v>
      </c>
      <c r="Y502" s="142">
        <v>1.0</v>
      </c>
      <c r="Z502" s="142">
        <v>1.0</v>
      </c>
      <c r="AA502" s="142">
        <v>1.0</v>
      </c>
      <c r="AB502" s="142">
        <v>1.0</v>
      </c>
      <c r="AC502" s="142">
        <v>1.0</v>
      </c>
      <c r="AD502" s="142">
        <v>1.0</v>
      </c>
      <c r="AE502" s="142">
        <v>1.0</v>
      </c>
      <c r="AF502" s="142">
        <v>8.0</v>
      </c>
      <c r="AG502" s="142">
        <v>0.0</v>
      </c>
      <c r="AH502" s="185"/>
      <c r="AI502" s="185"/>
    </row>
    <row r="503">
      <c r="A503" s="186">
        <v>12.0</v>
      </c>
      <c r="B503" s="192">
        <v>26022.0</v>
      </c>
      <c r="C503" s="183" t="s">
        <v>655</v>
      </c>
      <c r="D503" s="180" t="s">
        <v>38</v>
      </c>
      <c r="E503" s="181">
        <v>3.0</v>
      </c>
      <c r="F503" s="167" t="s">
        <v>53</v>
      </c>
      <c r="G503" s="167">
        <v>7.0</v>
      </c>
      <c r="H503" s="182" t="s">
        <v>82</v>
      </c>
      <c r="I503" s="167">
        <v>5.0</v>
      </c>
      <c r="J503" s="187"/>
      <c r="K503" s="167"/>
      <c r="L503" s="184" t="s">
        <v>84</v>
      </c>
      <c r="M503" s="186">
        <v>2.0</v>
      </c>
      <c r="N503" s="184" t="s">
        <v>134</v>
      </c>
      <c r="O503" s="186">
        <v>6.0</v>
      </c>
      <c r="P503" s="182" t="s">
        <v>114</v>
      </c>
      <c r="Q503" s="186">
        <v>4.0</v>
      </c>
      <c r="R503" s="184" t="s">
        <v>107</v>
      </c>
      <c r="S503" s="186">
        <v>1.0</v>
      </c>
      <c r="T503" s="187"/>
      <c r="U503" s="200"/>
      <c r="V503" s="184" t="s">
        <v>27</v>
      </c>
      <c r="W503" s="186">
        <v>8.0</v>
      </c>
      <c r="X503" s="142">
        <v>1.0</v>
      </c>
      <c r="Y503" s="142">
        <v>1.0</v>
      </c>
      <c r="Z503" s="142">
        <v>1.0</v>
      </c>
      <c r="AA503" s="142">
        <v>1.0</v>
      </c>
      <c r="AB503" s="142">
        <v>1.0</v>
      </c>
      <c r="AC503" s="142">
        <v>1.0</v>
      </c>
      <c r="AD503" s="142">
        <v>1.0</v>
      </c>
      <c r="AE503" s="142">
        <v>1.0</v>
      </c>
      <c r="AF503" s="142">
        <v>8.0</v>
      </c>
      <c r="AG503" s="142">
        <v>0.0</v>
      </c>
      <c r="AH503" s="185" t="str">
        <f>IFERROR(__xludf.DUMMYFUNCTION("if($C503="""","""",if(join("" - "",{iferror(filter('Student Groupings'!$A:$A,'Student Groupings'!$B:$B=$C503,'Student Groupings'!$H:$H=""Can't be Together""),"""");iferror(filter('Student Groupings'!$A:$A,'Student Groupings'!$E:$E=$C503,'Student Groupings"&amp;"'!$H:$H=""Can't be Together""),"""")})="" - "","""",join("" - "",{iferror(filter('Student Groupings'!$A:$A,'Student Groupings'!$B:$B=$C503,'Student Groupings'!$H:$H=""Can't be Together""),"""");iferror(filter('Student Groupings'!$A:$A,'Student Groupings'!"&amp;"$E:$E=$C503,'Student Groupings'!$H:$H=""Can't be Together""),"""")})))"),"")</f>
        <v/>
      </c>
      <c r="AI503" s="185" t="str">
        <f>IFERROR(__xludf.DUMMYFUNCTION("if($C503="""","""",if(join("" - "",{iferror(filter('Student Groupings'!$A:$A,'Student Groupings'!$B:$B=$C503,'Student Groupings'!$H:$H=""Must be Together""),"""");iferror(filter('Student Groupings'!$A:$A,'Student Groupings'!$E:$E=$C503,'Student Groupings'"&amp;"!$H:$H=""Must be Together""),"""")})="" - "","""",join("" - "",{iferror(filter('Student Groupings'!$A:$A,'Student Groupings'!$B:$B=$C503,'Student Groupings'!$H:$H=""Must be Together""),"""");iferror(filter('Student Groupings'!$A:$A,'Student Groupings'!$E:"&amp;"$E=$C503,'Student Groupings'!$H:$H=""Must be Together""),"""")})))"),"")</f>
        <v/>
      </c>
    </row>
    <row r="504" ht="16.5" customHeight="1">
      <c r="A504" s="186">
        <v>12.0</v>
      </c>
      <c r="B504" s="246">
        <v>26102.0</v>
      </c>
      <c r="C504" s="183" t="s">
        <v>656</v>
      </c>
      <c r="D504" s="180" t="s">
        <v>38</v>
      </c>
      <c r="E504" s="181">
        <v>8.0</v>
      </c>
      <c r="F504" s="167" t="s">
        <v>53</v>
      </c>
      <c r="G504" s="186">
        <v>5.0</v>
      </c>
      <c r="H504" s="182" t="s">
        <v>69</v>
      </c>
      <c r="I504" s="167">
        <v>1.0</v>
      </c>
      <c r="J504" s="183"/>
      <c r="K504" s="167"/>
      <c r="L504" s="184" t="s">
        <v>84</v>
      </c>
      <c r="M504" s="186">
        <v>2.0</v>
      </c>
      <c r="N504" s="184" t="s">
        <v>134</v>
      </c>
      <c r="O504" s="186">
        <v>6.0</v>
      </c>
      <c r="P504" s="182" t="s">
        <v>114</v>
      </c>
      <c r="Q504" s="186">
        <v>4.0</v>
      </c>
      <c r="R504" s="184" t="s">
        <v>107</v>
      </c>
      <c r="S504" s="186">
        <v>3.0</v>
      </c>
      <c r="T504" s="187"/>
      <c r="U504" s="200"/>
      <c r="V504" s="184" t="s">
        <v>34</v>
      </c>
      <c r="W504" s="186">
        <v>7.0</v>
      </c>
      <c r="X504" s="142">
        <v>1.0</v>
      </c>
      <c r="Y504" s="142">
        <v>1.0</v>
      </c>
      <c r="Z504" s="142">
        <v>1.0</v>
      </c>
      <c r="AA504" s="142">
        <v>1.0</v>
      </c>
      <c r="AB504" s="142">
        <v>1.0</v>
      </c>
      <c r="AC504" s="142">
        <v>1.0</v>
      </c>
      <c r="AD504" s="142">
        <v>1.0</v>
      </c>
      <c r="AE504" s="142">
        <v>1.0</v>
      </c>
      <c r="AF504" s="142">
        <v>8.0</v>
      </c>
      <c r="AG504" s="142">
        <v>0.0</v>
      </c>
      <c r="AH504" s="185"/>
      <c r="AI504" s="185"/>
    </row>
    <row r="505" ht="16.5" customHeight="1">
      <c r="A505" s="242">
        <v>12.0</v>
      </c>
      <c r="B505" s="246">
        <v>26107.0</v>
      </c>
      <c r="C505" s="183" t="s">
        <v>657</v>
      </c>
      <c r="D505" s="250" t="s">
        <v>45</v>
      </c>
      <c r="E505" s="251">
        <v>1.0</v>
      </c>
      <c r="F505" s="252" t="s">
        <v>53</v>
      </c>
      <c r="G505" s="252">
        <v>4.0</v>
      </c>
      <c r="H505" s="204" t="s">
        <v>74</v>
      </c>
      <c r="I505" s="252">
        <v>7.0</v>
      </c>
      <c r="J505" s="253"/>
      <c r="K505" s="252"/>
      <c r="L505" s="225" t="s">
        <v>85</v>
      </c>
      <c r="M505" s="242">
        <v>3.0</v>
      </c>
      <c r="N505" s="225" t="s">
        <v>134</v>
      </c>
      <c r="O505" s="242">
        <v>2.0</v>
      </c>
      <c r="P505" s="204" t="s">
        <v>114</v>
      </c>
      <c r="Q505" s="242">
        <v>8.0</v>
      </c>
      <c r="R505" s="225" t="s">
        <v>101</v>
      </c>
      <c r="S505" s="242">
        <v>5.0</v>
      </c>
      <c r="T505" s="253"/>
      <c r="U505" s="254"/>
      <c r="V505" s="225" t="s">
        <v>32</v>
      </c>
      <c r="W505" s="242">
        <v>6.0</v>
      </c>
      <c r="X505" s="255">
        <v>1.0</v>
      </c>
      <c r="Y505" s="255">
        <v>1.0</v>
      </c>
      <c r="Z505" s="255">
        <v>1.0</v>
      </c>
      <c r="AA505" s="255">
        <v>1.0</v>
      </c>
      <c r="AB505" s="255">
        <v>1.0</v>
      </c>
      <c r="AC505" s="255">
        <v>1.0</v>
      </c>
      <c r="AD505" s="255">
        <v>1.0</v>
      </c>
      <c r="AE505" s="255">
        <v>1.0</v>
      </c>
      <c r="AF505" s="255">
        <v>8.0</v>
      </c>
      <c r="AG505" s="255">
        <v>0.0</v>
      </c>
      <c r="AH505" s="185"/>
      <c r="AI505" s="185"/>
    </row>
    <row r="506">
      <c r="A506" s="256">
        <v>11.0</v>
      </c>
      <c r="B506" s="256">
        <v>27148.0</v>
      </c>
      <c r="C506" s="183" t="s">
        <v>658</v>
      </c>
      <c r="D506" s="257" t="s">
        <v>45</v>
      </c>
      <c r="E506" s="258">
        <v>8.0</v>
      </c>
      <c r="F506" s="256" t="s">
        <v>117</v>
      </c>
      <c r="G506" s="256">
        <v>3.0</v>
      </c>
      <c r="H506" s="256" t="s">
        <v>81</v>
      </c>
      <c r="I506" s="256">
        <v>2.0</v>
      </c>
      <c r="J506" s="259"/>
      <c r="K506" s="259"/>
      <c r="L506" s="256" t="s">
        <v>92</v>
      </c>
      <c r="M506" s="256">
        <v>1.0</v>
      </c>
      <c r="N506" s="256" t="s">
        <v>132</v>
      </c>
      <c r="O506" s="256">
        <v>7.0</v>
      </c>
      <c r="P506" s="256" t="s">
        <v>29</v>
      </c>
      <c r="Q506" s="256">
        <v>6.0</v>
      </c>
      <c r="R506" s="256" t="s">
        <v>111</v>
      </c>
      <c r="S506" s="256">
        <v>4.0</v>
      </c>
      <c r="T506" s="259"/>
      <c r="U506" s="259"/>
      <c r="V506" s="256" t="s">
        <v>96</v>
      </c>
      <c r="W506" s="256">
        <v>5.0</v>
      </c>
      <c r="X506" s="255">
        <v>1.0</v>
      </c>
      <c r="Y506" s="255">
        <v>1.0</v>
      </c>
      <c r="Z506" s="255">
        <v>1.0</v>
      </c>
      <c r="AA506" s="255">
        <v>1.0</v>
      </c>
      <c r="AB506" s="255">
        <v>1.0</v>
      </c>
      <c r="AC506" s="255">
        <v>1.0</v>
      </c>
      <c r="AD506" s="255">
        <v>1.0</v>
      </c>
      <c r="AE506" s="255">
        <v>1.0</v>
      </c>
      <c r="AF506" s="255">
        <v>8.0</v>
      </c>
      <c r="AG506" s="255">
        <v>0.0</v>
      </c>
      <c r="AH506" s="185" t="str">
        <f>IFERROR(__xludf.DUMMYFUNCTION("if($C506="""","""",if(join("" - "",{iferror(filter('Student Groupings'!$A:$A,'Student Groupings'!$B:$B=$C506,'Student Groupings'!$H:$H=""Can't be Together""),"""");iferror(filter('Student Groupings'!$A:$A,'Student Groupings'!$E:$E=$C506,'Student Groupings"&amp;"'!$H:$H=""Can't be Together""),"""")})="" - "","""",join("" - "",{iferror(filter('Student Groupings'!$A:$A,'Student Groupings'!$B:$B=$C506,'Student Groupings'!$H:$H=""Can't be Together""),"""");iferror(filter('Student Groupings'!$A:$A,'Student Groupings'!"&amp;"$E:$E=$C506,'Student Groupings'!$H:$H=""Can't be Together""),"""")})))")," - 17")</f>
        <v> - 17</v>
      </c>
      <c r="AI506" s="185" t="str">
        <f>IFERROR(__xludf.DUMMYFUNCTION("if($C506="""","""",if(join("" - "",{iferror(filter('Student Groupings'!$A:$A,'Student Groupings'!$B:$B=$C506,'Student Groupings'!$H:$H=""Must be Together""),"""");iferror(filter('Student Groupings'!$A:$A,'Student Groupings'!$E:$E=$C506,'Student Groupings'"&amp;"!$H:$H=""Must be Together""),"""")})="" - "","""",join("" - "",{iferror(filter('Student Groupings'!$A:$A,'Student Groupings'!$B:$B=$C506,'Student Groupings'!$H:$H=""Must be Together""),"""");iferror(filter('Student Groupings'!$A:$A,'Student Groupings'!$E:"&amp;"$E=$C506,'Student Groupings'!$H:$H=""Must be Together""),"""")})))"),"")</f>
        <v/>
      </c>
    </row>
    <row r="507">
      <c r="A507" s="222">
        <v>11.0</v>
      </c>
      <c r="B507" s="235">
        <v>27180.0</v>
      </c>
      <c r="C507" s="226" t="s">
        <v>659</v>
      </c>
      <c r="D507" s="198" t="s">
        <v>49</v>
      </c>
      <c r="E507" s="251">
        <v>7.0</v>
      </c>
      <c r="F507" s="186" t="s">
        <v>57</v>
      </c>
      <c r="G507" s="252">
        <v>8.0</v>
      </c>
      <c r="H507" s="182" t="s">
        <v>79</v>
      </c>
      <c r="I507" s="252">
        <v>5.0</v>
      </c>
      <c r="J507" s="253"/>
      <c r="K507" s="252"/>
      <c r="L507" s="184" t="s">
        <v>90</v>
      </c>
      <c r="M507" s="242">
        <v>1.0</v>
      </c>
      <c r="N507" s="225" t="s">
        <v>132</v>
      </c>
      <c r="O507" s="242">
        <v>2.0</v>
      </c>
      <c r="P507" s="184" t="s">
        <v>27</v>
      </c>
      <c r="Q507" s="242">
        <v>3.0</v>
      </c>
      <c r="R507" s="184" t="s">
        <v>101</v>
      </c>
      <c r="S507" s="242">
        <v>6.0</v>
      </c>
      <c r="T507" s="253"/>
      <c r="U507" s="254"/>
      <c r="V507" s="198" t="s">
        <v>43</v>
      </c>
      <c r="W507" s="242">
        <v>4.0</v>
      </c>
      <c r="X507" s="255">
        <v>1.0</v>
      </c>
      <c r="Y507" s="255">
        <v>1.0</v>
      </c>
      <c r="Z507" s="255">
        <v>1.0</v>
      </c>
      <c r="AA507" s="255">
        <v>1.0</v>
      </c>
      <c r="AB507" s="255">
        <v>1.0</v>
      </c>
      <c r="AC507" s="255">
        <v>1.0</v>
      </c>
      <c r="AD507" s="255">
        <v>1.0</v>
      </c>
      <c r="AE507" s="255">
        <v>1.0</v>
      </c>
      <c r="AF507" s="255">
        <v>8.0</v>
      </c>
      <c r="AG507" s="255">
        <v>0.0</v>
      </c>
      <c r="AH507" s="185"/>
      <c r="AI507" s="185"/>
    </row>
    <row r="508">
      <c r="A508" s="260">
        <v>11.0</v>
      </c>
      <c r="B508" s="261">
        <v>27183.0</v>
      </c>
      <c r="C508" s="262" t="s">
        <v>660</v>
      </c>
      <c r="D508" s="198" t="s">
        <v>41</v>
      </c>
      <c r="E508" s="181">
        <v>2.0</v>
      </c>
      <c r="F508" s="167" t="s">
        <v>62</v>
      </c>
      <c r="G508" s="167">
        <v>8.0</v>
      </c>
      <c r="H508" s="182" t="s">
        <v>69</v>
      </c>
      <c r="I508" s="167">
        <v>6.0</v>
      </c>
      <c r="J508" s="187"/>
      <c r="K508" s="167"/>
      <c r="L508" s="184" t="s">
        <v>90</v>
      </c>
      <c r="M508" s="186">
        <v>7.0</v>
      </c>
      <c r="N508" s="225" t="s">
        <v>132</v>
      </c>
      <c r="O508" s="186">
        <v>1.0</v>
      </c>
      <c r="P508" s="184" t="s">
        <v>27</v>
      </c>
      <c r="Q508" s="186">
        <v>3.0</v>
      </c>
      <c r="R508" s="184" t="s">
        <v>101</v>
      </c>
      <c r="S508" s="186">
        <v>5.0</v>
      </c>
      <c r="T508" s="187"/>
      <c r="U508" s="200"/>
      <c r="V508" s="184" t="s">
        <v>111</v>
      </c>
      <c r="W508" s="186">
        <v>4.0</v>
      </c>
      <c r="X508" s="142">
        <v>1.0</v>
      </c>
      <c r="Y508" s="142">
        <v>1.0</v>
      </c>
      <c r="Z508" s="142">
        <v>1.0</v>
      </c>
      <c r="AA508" s="142">
        <v>1.0</v>
      </c>
      <c r="AB508" s="142">
        <v>1.0</v>
      </c>
      <c r="AC508" s="142">
        <v>1.0</v>
      </c>
      <c r="AD508" s="142">
        <v>1.0</v>
      </c>
      <c r="AE508" s="142">
        <v>1.0</v>
      </c>
      <c r="AF508" s="142">
        <v>8.0</v>
      </c>
      <c r="AG508" s="142">
        <v>0.0</v>
      </c>
      <c r="AH508" s="185" t="str">
        <f>IFERROR(__xludf.DUMMYFUNCTION("if($C508="""","""",if(join("" - "",{iferror(filter('Student Groupings'!$A:$A,'Student Groupings'!$B:$B=$C508,'Student Groupings'!$H:$H=""Can't be Together""),"""");iferror(filter('Student Groupings'!$A:$A,'Student Groupings'!$E:$E=$C508,'Student Groupings"&amp;"'!$H:$H=""Can't be Together""),"""")})="" - "","""",join("" - "",{iferror(filter('Student Groupings'!$A:$A,'Student Groupings'!$B:$B=$C508,'Student Groupings'!$H:$H=""Can't be Together""),"""");iferror(filter('Student Groupings'!$A:$A,'Student Groupings'!"&amp;"$E:$E=$C508,'Student Groupings'!$H:$H=""Can't be Together""),"""")})))"),"")</f>
        <v/>
      </c>
      <c r="AI508" s="185" t="str">
        <f>IFERROR(__xludf.DUMMYFUNCTION("if($C508="""","""",if(join("" - "",{iferror(filter('Student Groupings'!$A:$A,'Student Groupings'!$B:$B=$C508,'Student Groupings'!$H:$H=""Must be Together""),"""");iferror(filter('Student Groupings'!$A:$A,'Student Groupings'!$E:$E=$C508,'Student Groupings'"&amp;"!$H:$H=""Must be Together""),"""")})="" - "","""",join("" - "",{iferror(filter('Student Groupings'!$A:$A,'Student Groupings'!$B:$B=$C508,'Student Groupings'!$H:$H=""Must be Together""),"""");iferror(filter('Student Groupings'!$A:$A,'Student Groupings'!$E:"&amp;"$E=$C508,'Student Groupings'!$H:$H=""Must be Together""),"""")})))"),"")</f>
        <v/>
      </c>
    </row>
    <row r="509">
      <c r="A509" s="222">
        <v>10.0</v>
      </c>
      <c r="B509" s="263">
        <v>28176.0</v>
      </c>
      <c r="C509" s="262" t="s">
        <v>661</v>
      </c>
      <c r="D509" s="180" t="s">
        <v>37</v>
      </c>
      <c r="E509" s="181">
        <v>2.0</v>
      </c>
      <c r="F509" s="167" t="s">
        <v>64</v>
      </c>
      <c r="G509" s="167">
        <v>5.0</v>
      </c>
      <c r="H509" s="182" t="s">
        <v>79</v>
      </c>
      <c r="I509" s="167">
        <v>1.0</v>
      </c>
      <c r="J509" s="187"/>
      <c r="K509" s="167"/>
      <c r="L509" s="184" t="s">
        <v>95</v>
      </c>
      <c r="M509" s="186">
        <v>6.0</v>
      </c>
      <c r="N509" s="184" t="s">
        <v>130</v>
      </c>
      <c r="O509" s="186">
        <v>7.0</v>
      </c>
      <c r="P509" s="182" t="s">
        <v>100</v>
      </c>
      <c r="Q509" s="186">
        <v>4.0</v>
      </c>
      <c r="R509" s="184" t="s">
        <v>56</v>
      </c>
      <c r="S509" s="186">
        <v>8.0</v>
      </c>
      <c r="T509" s="187"/>
      <c r="U509" s="200"/>
      <c r="V509" s="184" t="s">
        <v>117</v>
      </c>
      <c r="W509" s="186">
        <v>3.0</v>
      </c>
      <c r="X509" s="142">
        <v>1.0</v>
      </c>
      <c r="Y509" s="142">
        <v>1.0</v>
      </c>
      <c r="Z509" s="142">
        <v>1.0</v>
      </c>
      <c r="AA509" s="142">
        <v>1.0</v>
      </c>
      <c r="AB509" s="142">
        <v>1.0</v>
      </c>
      <c r="AC509" s="142">
        <v>1.0</v>
      </c>
      <c r="AD509" s="142">
        <v>1.0</v>
      </c>
      <c r="AE509" s="142">
        <v>1.0</v>
      </c>
      <c r="AF509" s="142">
        <v>8.0</v>
      </c>
      <c r="AG509" s="142">
        <v>0.0</v>
      </c>
      <c r="AH509" s="185" t="str">
        <f>IFERROR(__xludf.DUMMYFUNCTION("if($C509="""","""",if(join("" - "",{iferror(filter('Student Groupings'!$A:$A,'Student Groupings'!$B:$B=$C509,'Student Groupings'!$H:$H=""Can't be Together""),"""");iferror(filter('Student Groupings'!$A:$A,'Student Groupings'!$E:$E=$C509,'Student Groupings"&amp;"'!$H:$H=""Can't be Together""),"""")})="" - "","""",join("" - "",{iferror(filter('Student Groupings'!$A:$A,'Student Groupings'!$B:$B=$C509,'Student Groupings'!$H:$H=""Can't be Together""),"""");iferror(filter('Student Groupings'!$A:$A,'Student Groupings'!"&amp;"$E:$E=$C509,'Student Groupings'!$H:$H=""Can't be Together""),"""")})))"),"")</f>
        <v/>
      </c>
      <c r="AI509" s="185" t="str">
        <f>IFERROR(__xludf.DUMMYFUNCTION("if($C509="""","""",if(join("" - "",{iferror(filter('Student Groupings'!$A:$A,'Student Groupings'!$B:$B=$C509,'Student Groupings'!$H:$H=""Must be Together""),"""");iferror(filter('Student Groupings'!$A:$A,'Student Groupings'!$E:$E=$C509,'Student Groupings'"&amp;"!$H:$H=""Must be Together""),"""")})="" - "","""",join("" - "",{iferror(filter('Student Groupings'!$A:$A,'Student Groupings'!$B:$B=$C509,'Student Groupings'!$H:$H=""Must be Together""),"""");iferror(filter('Student Groupings'!$A:$A,'Student Groupings'!$E:"&amp;"$E=$C509,'Student Groupings'!$H:$H=""Must be Together""),"""")})))"),"")</f>
        <v/>
      </c>
    </row>
    <row r="510">
      <c r="A510" s="222">
        <v>9.0</v>
      </c>
      <c r="B510" s="264">
        <v>29173.0</v>
      </c>
      <c r="C510" s="262" t="s">
        <v>662</v>
      </c>
      <c r="D510" s="198" t="s">
        <v>40</v>
      </c>
      <c r="E510" s="181">
        <v>6.0</v>
      </c>
      <c r="F510" s="167" t="s">
        <v>61</v>
      </c>
      <c r="G510" s="167">
        <v>4.0</v>
      </c>
      <c r="H510" s="182" t="s">
        <v>76</v>
      </c>
      <c r="I510" s="167">
        <v>1.0</v>
      </c>
      <c r="J510" s="187"/>
      <c r="K510" s="167"/>
      <c r="L510" s="184" t="s">
        <v>88</v>
      </c>
      <c r="M510" s="186">
        <v>3.0</v>
      </c>
      <c r="N510" s="184" t="s">
        <v>128</v>
      </c>
      <c r="O510" s="186">
        <v>2.0</v>
      </c>
      <c r="P510" s="184" t="s">
        <v>51</v>
      </c>
      <c r="Q510" s="186">
        <v>8.0</v>
      </c>
      <c r="R510" s="184" t="s">
        <v>120</v>
      </c>
      <c r="S510" s="186">
        <v>5.0</v>
      </c>
      <c r="T510" s="187"/>
      <c r="U510" s="200"/>
      <c r="V510" s="184" t="s">
        <v>30</v>
      </c>
      <c r="W510" s="186">
        <v>7.0</v>
      </c>
      <c r="X510" s="142">
        <v>1.0</v>
      </c>
      <c r="Y510" s="142">
        <v>1.0</v>
      </c>
      <c r="Z510" s="142">
        <v>1.0</v>
      </c>
      <c r="AA510" s="142">
        <v>1.0</v>
      </c>
      <c r="AB510" s="142">
        <v>1.0</v>
      </c>
      <c r="AC510" s="142">
        <v>1.0</v>
      </c>
      <c r="AD510" s="142">
        <v>1.0</v>
      </c>
      <c r="AE510" s="142">
        <v>1.0</v>
      </c>
      <c r="AF510" s="142">
        <v>8.0</v>
      </c>
      <c r="AG510" s="142">
        <v>0.0</v>
      </c>
      <c r="AH510" s="185" t="str">
        <f>IFERROR(__xludf.DUMMYFUNCTION("if($C510="""","""",if(join("" - "",{iferror(filter('Student Groupings'!$A:$A,'Student Groupings'!$B:$B=$C510,'Student Groupings'!$H:$H=""Can't be Together""),"""");iferror(filter('Student Groupings'!$A:$A,'Student Groupings'!$E:$E=$C510,'Student Groupings"&amp;"'!$H:$H=""Can't be Together""),"""")})="" - "","""",join("" - "",{iferror(filter('Student Groupings'!$A:$A,'Student Groupings'!$B:$B=$C510,'Student Groupings'!$H:$H=""Can't be Together""),"""");iferror(filter('Student Groupings'!$A:$A,'Student Groupings'!"&amp;"$E:$E=$C510,'Student Groupings'!$H:$H=""Can't be Together""),"""")})))"),"")</f>
        <v/>
      </c>
      <c r="AI510" s="185" t="str">
        <f>IFERROR(__xludf.DUMMYFUNCTION("if($C510="""","""",if(join("" - "",{iferror(filter('Student Groupings'!$A:$A,'Student Groupings'!$B:$B=$C510,'Student Groupings'!$H:$H=""Must be Together""),"""");iferror(filter('Student Groupings'!$A:$A,'Student Groupings'!$E:$E=$C510,'Student Groupings'"&amp;"!$H:$H=""Must be Together""),"""")})="" - "","""",join("" - "",{iferror(filter('Student Groupings'!$A:$A,'Student Groupings'!$B:$B=$C510,'Student Groupings'!$H:$H=""Must be Together""),"""");iferror(filter('Student Groupings'!$A:$A,'Student Groupings'!$E:"&amp;"$E=$C510,'Student Groupings'!$H:$H=""Must be Together""),"""")})))"),"")</f>
        <v/>
      </c>
    </row>
    <row r="511">
      <c r="A511" s="222">
        <v>9.0</v>
      </c>
      <c r="B511" s="246">
        <v>29174.0</v>
      </c>
      <c r="C511" s="262" t="s">
        <v>663</v>
      </c>
      <c r="D511" s="198" t="s">
        <v>40</v>
      </c>
      <c r="E511" s="181">
        <v>6.0</v>
      </c>
      <c r="F511" s="167" t="s">
        <v>61</v>
      </c>
      <c r="G511" s="167">
        <v>8.0</v>
      </c>
      <c r="H511" s="182" t="s">
        <v>76</v>
      </c>
      <c r="I511" s="167">
        <v>1.0</v>
      </c>
      <c r="J511" s="187"/>
      <c r="K511" s="167"/>
      <c r="L511" s="184" t="s">
        <v>88</v>
      </c>
      <c r="M511" s="186">
        <v>4.0</v>
      </c>
      <c r="N511" s="184" t="s">
        <v>128</v>
      </c>
      <c r="O511" s="186">
        <v>2.0</v>
      </c>
      <c r="P511" s="184" t="s">
        <v>51</v>
      </c>
      <c r="Q511" s="186">
        <v>3.0</v>
      </c>
      <c r="R511" s="184" t="s">
        <v>120</v>
      </c>
      <c r="S511" s="186">
        <v>5.0</v>
      </c>
      <c r="T511" s="187"/>
      <c r="U511" s="200"/>
      <c r="V511" s="184" t="s">
        <v>30</v>
      </c>
      <c r="W511" s="186">
        <v>7.0</v>
      </c>
      <c r="X511" s="142">
        <v>1.0</v>
      </c>
      <c r="Y511" s="142">
        <v>1.0</v>
      </c>
      <c r="Z511" s="142">
        <v>1.0</v>
      </c>
      <c r="AA511" s="142">
        <v>1.0</v>
      </c>
      <c r="AB511" s="142">
        <v>1.0</v>
      </c>
      <c r="AC511" s="142">
        <v>1.0</v>
      </c>
      <c r="AD511" s="142">
        <v>1.0</v>
      </c>
      <c r="AE511" s="142">
        <v>1.0</v>
      </c>
      <c r="AF511" s="142">
        <v>8.0</v>
      </c>
      <c r="AG511" s="142">
        <v>0.0</v>
      </c>
      <c r="AH511" s="185" t="str">
        <f>IFERROR(__xludf.DUMMYFUNCTION("if($C511="""","""",if(join("" - "",{iferror(filter('Student Groupings'!$A:$A,'Student Groupings'!$B:$B=$C511,'Student Groupings'!$H:$H=""Can't be Together""),"""");iferror(filter('Student Groupings'!$A:$A,'Student Groupings'!$E:$E=$C511,'Student Groupings"&amp;"'!$H:$H=""Can't be Together""),"""")})="" - "","""",join("" - "",{iferror(filter('Student Groupings'!$A:$A,'Student Groupings'!$B:$B=$C511,'Student Groupings'!$H:$H=""Can't be Together""),"""");iferror(filter('Student Groupings'!$A:$A,'Student Groupings'!"&amp;"$E:$E=$C511,'Student Groupings'!$H:$H=""Can't be Together""),"""")})))"),"")</f>
        <v/>
      </c>
      <c r="AI511" s="185" t="str">
        <f>IFERROR(__xludf.DUMMYFUNCTION("if($C511="""","""",if(join("" - "",{iferror(filter('Student Groupings'!$A:$A,'Student Groupings'!$B:$B=$C511,'Student Groupings'!$H:$H=""Must be Together""),"""");iferror(filter('Student Groupings'!$A:$A,'Student Groupings'!$E:$E=$C511,'Student Groupings'"&amp;"!$H:$H=""Must be Together""),"""")})="" - "","""",join("" - "",{iferror(filter('Student Groupings'!$A:$A,'Student Groupings'!$B:$B=$C511,'Student Groupings'!$H:$H=""Must be Together""),"""");iferror(filter('Student Groupings'!$A:$A,'Student Groupings'!$E:"&amp;"$E=$C511,'Student Groupings'!$H:$H=""Must be Together""),"""")})))"),"")</f>
        <v/>
      </c>
    </row>
    <row r="512">
      <c r="A512" s="265">
        <v>11.0</v>
      </c>
      <c r="B512" s="266">
        <v>27179.0</v>
      </c>
      <c r="C512" s="267" t="s">
        <v>664</v>
      </c>
      <c r="D512" s="198" t="s">
        <v>41</v>
      </c>
      <c r="E512" s="181">
        <v>2.0</v>
      </c>
      <c r="F512" s="186" t="s">
        <v>66</v>
      </c>
      <c r="G512" s="167">
        <v>1.0</v>
      </c>
      <c r="H512" s="182" t="s">
        <v>69</v>
      </c>
      <c r="I512" s="167">
        <v>6.0</v>
      </c>
      <c r="J512" s="187"/>
      <c r="K512" s="167"/>
      <c r="L512" s="184" t="s">
        <v>90</v>
      </c>
      <c r="M512" s="186">
        <v>7.0</v>
      </c>
      <c r="N512" s="225" t="s">
        <v>132</v>
      </c>
      <c r="O512" s="186">
        <v>3.0</v>
      </c>
      <c r="P512" s="184" t="s">
        <v>30</v>
      </c>
      <c r="Q512" s="186">
        <v>4.0</v>
      </c>
      <c r="R512" s="184" t="s">
        <v>107</v>
      </c>
      <c r="S512" s="186">
        <v>8.0</v>
      </c>
      <c r="T512" s="268"/>
      <c r="U512" s="200"/>
      <c r="V512" s="225" t="s">
        <v>101</v>
      </c>
      <c r="W512" s="186">
        <v>5.0</v>
      </c>
      <c r="X512" s="142">
        <v>1.0</v>
      </c>
      <c r="Y512" s="142">
        <v>1.0</v>
      </c>
      <c r="Z512" s="142">
        <v>1.0</v>
      </c>
      <c r="AA512" s="142">
        <v>1.0</v>
      </c>
      <c r="AB512" s="142">
        <v>1.0</v>
      </c>
      <c r="AC512" s="142">
        <v>1.0</v>
      </c>
      <c r="AD512" s="142">
        <v>1.0</v>
      </c>
      <c r="AE512" s="142">
        <v>1.0</v>
      </c>
      <c r="AF512" s="142">
        <v>8.0</v>
      </c>
      <c r="AG512" s="142">
        <v>0.0</v>
      </c>
      <c r="AH512" s="185"/>
      <c r="AI512" s="185"/>
    </row>
    <row r="513">
      <c r="A513" s="269">
        <v>10.0</v>
      </c>
      <c r="B513" s="270">
        <v>28178.0</v>
      </c>
      <c r="C513" s="267" t="s">
        <v>665</v>
      </c>
      <c r="D513" s="198" t="s">
        <v>49</v>
      </c>
      <c r="E513" s="181">
        <v>7.0</v>
      </c>
      <c r="F513" s="167" t="s">
        <v>64</v>
      </c>
      <c r="G513" s="167">
        <v>1.0</v>
      </c>
      <c r="H513" s="256" t="s">
        <v>81</v>
      </c>
      <c r="I513" s="167">
        <v>2.0</v>
      </c>
      <c r="J513" s="187"/>
      <c r="K513" s="167"/>
      <c r="L513" s="225" t="s">
        <v>85</v>
      </c>
      <c r="M513" s="186">
        <v>3.0</v>
      </c>
      <c r="N513" s="184" t="s">
        <v>130</v>
      </c>
      <c r="O513" s="186">
        <v>5.0</v>
      </c>
      <c r="P513" s="182" t="s">
        <v>100</v>
      </c>
      <c r="Q513" s="186">
        <v>4.0</v>
      </c>
      <c r="R513" s="184" t="s">
        <v>56</v>
      </c>
      <c r="S513" s="186">
        <v>8.0</v>
      </c>
      <c r="T513" s="268"/>
      <c r="U513" s="200"/>
      <c r="V513" s="184" t="s">
        <v>23</v>
      </c>
      <c r="W513" s="186">
        <v>6.0</v>
      </c>
      <c r="X513" s="142">
        <v>1.0</v>
      </c>
      <c r="Y513" s="142">
        <v>1.0</v>
      </c>
      <c r="Z513" s="142">
        <v>1.0</v>
      </c>
      <c r="AA513" s="142">
        <v>1.0</v>
      </c>
      <c r="AB513" s="142">
        <v>1.0</v>
      </c>
      <c r="AC513" s="142">
        <v>1.0</v>
      </c>
      <c r="AD513" s="142">
        <v>1.0</v>
      </c>
      <c r="AE513" s="142">
        <v>1.0</v>
      </c>
      <c r="AF513" s="142">
        <v>8.0</v>
      </c>
      <c r="AG513" s="142">
        <v>0.0</v>
      </c>
      <c r="AH513" s="185"/>
      <c r="AI513" s="185"/>
    </row>
    <row r="514">
      <c r="A514" s="269">
        <v>10.0</v>
      </c>
      <c r="B514" s="270">
        <v>28177.0</v>
      </c>
      <c r="C514" s="267" t="s">
        <v>666</v>
      </c>
      <c r="D514" s="180" t="s">
        <v>48</v>
      </c>
      <c r="E514" s="181">
        <v>6.0</v>
      </c>
      <c r="F514" s="167" t="s">
        <v>64</v>
      </c>
      <c r="G514" s="167">
        <v>1.0</v>
      </c>
      <c r="H514" s="256" t="s">
        <v>81</v>
      </c>
      <c r="I514" s="167">
        <v>3.0</v>
      </c>
      <c r="J514" s="187"/>
      <c r="K514" s="167"/>
      <c r="L514" s="184" t="s">
        <v>95</v>
      </c>
      <c r="M514" s="186">
        <v>7.0</v>
      </c>
      <c r="N514" s="184" t="s">
        <v>130</v>
      </c>
      <c r="O514" s="186">
        <v>5.0</v>
      </c>
      <c r="P514" s="184" t="s">
        <v>103</v>
      </c>
      <c r="Q514" s="186">
        <v>4.0</v>
      </c>
      <c r="R514" s="184" t="s">
        <v>56</v>
      </c>
      <c r="S514" s="186">
        <v>8.0</v>
      </c>
      <c r="T514" s="268"/>
      <c r="U514" s="200"/>
      <c r="V514" s="198" t="s">
        <v>41</v>
      </c>
      <c r="W514" s="186">
        <v>2.0</v>
      </c>
      <c r="X514" s="142">
        <v>1.0</v>
      </c>
      <c r="Y514" s="142">
        <v>1.0</v>
      </c>
      <c r="Z514" s="142">
        <v>1.0</v>
      </c>
      <c r="AA514" s="142">
        <v>1.0</v>
      </c>
      <c r="AB514" s="142">
        <v>1.0</v>
      </c>
      <c r="AC514" s="142">
        <v>1.0</v>
      </c>
      <c r="AD514" s="142">
        <v>1.0</v>
      </c>
      <c r="AE514" s="142">
        <v>1.0</v>
      </c>
      <c r="AF514" s="142">
        <v>8.0</v>
      </c>
      <c r="AG514" s="142">
        <v>0.0</v>
      </c>
      <c r="AH514" s="185"/>
      <c r="AI514" s="185"/>
    </row>
    <row r="515">
      <c r="A515" s="269">
        <v>10.0</v>
      </c>
      <c r="B515" s="270">
        <v>28146.0</v>
      </c>
      <c r="C515" s="267" t="s">
        <v>667</v>
      </c>
      <c r="D515" s="198" t="s">
        <v>49</v>
      </c>
      <c r="E515" s="181">
        <v>3.0</v>
      </c>
      <c r="F515" s="167" t="s">
        <v>64</v>
      </c>
      <c r="G515" s="167">
        <v>5.0</v>
      </c>
      <c r="H515" s="182" t="s">
        <v>79</v>
      </c>
      <c r="I515" s="167">
        <v>6.0</v>
      </c>
      <c r="J515" s="187"/>
      <c r="K515" s="167"/>
      <c r="L515" s="184" t="s">
        <v>95</v>
      </c>
      <c r="M515" s="186">
        <v>2.0</v>
      </c>
      <c r="N515" s="184" t="s">
        <v>130</v>
      </c>
      <c r="O515" s="186">
        <v>4.0</v>
      </c>
      <c r="P515" s="182" t="s">
        <v>100</v>
      </c>
      <c r="Q515" s="186">
        <v>7.0</v>
      </c>
      <c r="R515" s="184" t="s">
        <v>56</v>
      </c>
      <c r="S515" s="186">
        <v>8.0</v>
      </c>
      <c r="T515" s="268"/>
      <c r="U515" s="200"/>
      <c r="V515" s="184" t="s">
        <v>26</v>
      </c>
      <c r="W515" s="186">
        <v>1.0</v>
      </c>
      <c r="X515" s="142">
        <v>1.0</v>
      </c>
      <c r="Y515" s="142">
        <v>1.0</v>
      </c>
      <c r="Z515" s="142">
        <v>1.0</v>
      </c>
      <c r="AA515" s="142">
        <v>1.0</v>
      </c>
      <c r="AB515" s="142">
        <v>1.0</v>
      </c>
      <c r="AC515" s="142">
        <v>1.0</v>
      </c>
      <c r="AD515" s="142">
        <v>1.0</v>
      </c>
      <c r="AE515" s="142">
        <v>1.0</v>
      </c>
      <c r="AF515" s="142">
        <v>8.0</v>
      </c>
      <c r="AG515" s="142">
        <v>0.0</v>
      </c>
      <c r="AH515" s="185"/>
      <c r="AI515" s="185"/>
    </row>
    <row r="516">
      <c r="A516" s="269">
        <v>10.0</v>
      </c>
      <c r="B516" s="270">
        <v>28175.0</v>
      </c>
      <c r="C516" s="267" t="s">
        <v>668</v>
      </c>
      <c r="D516" s="180" t="s">
        <v>37</v>
      </c>
      <c r="E516" s="181">
        <v>5.0</v>
      </c>
      <c r="F516" s="167" t="s">
        <v>62</v>
      </c>
      <c r="G516" s="167">
        <v>8.0</v>
      </c>
      <c r="H516" s="182" t="s">
        <v>69</v>
      </c>
      <c r="I516" s="167">
        <v>6.0</v>
      </c>
      <c r="J516" s="187"/>
      <c r="K516" s="167"/>
      <c r="L516" s="184" t="s">
        <v>95</v>
      </c>
      <c r="M516" s="186">
        <v>7.0</v>
      </c>
      <c r="N516" s="184" t="s">
        <v>130</v>
      </c>
      <c r="O516" s="186">
        <v>1.0</v>
      </c>
      <c r="P516" s="182" t="s">
        <v>100</v>
      </c>
      <c r="Q516" s="186">
        <v>2.0</v>
      </c>
      <c r="R516" s="191" t="s">
        <v>121</v>
      </c>
      <c r="S516" s="186">
        <v>4.0</v>
      </c>
      <c r="T516" s="268"/>
      <c r="U516" s="200"/>
      <c r="V516" s="184" t="s">
        <v>28</v>
      </c>
      <c r="W516" s="186">
        <v>3.0</v>
      </c>
      <c r="X516" s="142">
        <v>1.0</v>
      </c>
      <c r="Y516" s="142">
        <v>1.0</v>
      </c>
      <c r="Z516" s="142">
        <v>1.0</v>
      </c>
      <c r="AA516" s="142">
        <v>1.0</v>
      </c>
      <c r="AB516" s="142">
        <v>1.0</v>
      </c>
      <c r="AC516" s="142">
        <v>1.0</v>
      </c>
      <c r="AD516" s="142">
        <v>1.0</v>
      </c>
      <c r="AE516" s="142">
        <v>1.0</v>
      </c>
      <c r="AF516" s="142">
        <v>8.0</v>
      </c>
      <c r="AG516" s="142">
        <v>0.0</v>
      </c>
      <c r="AH516" s="185"/>
      <c r="AI516" s="185"/>
    </row>
    <row r="517">
      <c r="A517" s="271">
        <v>10.0</v>
      </c>
      <c r="B517" s="272">
        <v>100052.0</v>
      </c>
      <c r="C517" s="273" t="s">
        <v>669</v>
      </c>
      <c r="D517" s="180" t="s">
        <v>48</v>
      </c>
      <c r="E517" s="274">
        <v>1.0</v>
      </c>
      <c r="F517" s="167" t="s">
        <v>64</v>
      </c>
      <c r="G517" s="275">
        <v>5.0</v>
      </c>
      <c r="H517" s="182" t="s">
        <v>79</v>
      </c>
      <c r="I517" s="276">
        <v>3.0</v>
      </c>
      <c r="J517" s="277"/>
      <c r="K517" s="276"/>
      <c r="L517" s="184" t="s">
        <v>95</v>
      </c>
      <c r="M517" s="278">
        <v>7.0</v>
      </c>
      <c r="N517" s="184" t="s">
        <v>130</v>
      </c>
      <c r="O517" s="278">
        <v>6.0</v>
      </c>
      <c r="P517" s="184" t="s">
        <v>103</v>
      </c>
      <c r="Q517" s="278">
        <v>4.0</v>
      </c>
      <c r="R517" s="184" t="s">
        <v>56</v>
      </c>
      <c r="S517" s="278">
        <v>8.0</v>
      </c>
      <c r="T517" s="279"/>
      <c r="U517" s="280"/>
      <c r="V517" s="198" t="s">
        <v>41</v>
      </c>
      <c r="W517" s="276">
        <v>2.0</v>
      </c>
      <c r="X517" s="281">
        <v>1.0</v>
      </c>
      <c r="Y517" s="281">
        <v>1.0</v>
      </c>
      <c r="Z517" s="281">
        <v>1.0</v>
      </c>
      <c r="AA517" s="281">
        <v>1.0</v>
      </c>
      <c r="AB517" s="281">
        <v>1.0</v>
      </c>
      <c r="AC517" s="281">
        <v>1.0</v>
      </c>
      <c r="AD517" s="281">
        <v>1.0</v>
      </c>
      <c r="AE517" s="281">
        <v>1.0</v>
      </c>
      <c r="AF517" s="281">
        <v>8.0</v>
      </c>
      <c r="AG517" s="281">
        <v>0.0</v>
      </c>
      <c r="AH517" s="282"/>
      <c r="AI517" s="282"/>
    </row>
    <row r="518">
      <c r="A518" s="271">
        <v>10.0</v>
      </c>
      <c r="B518" s="272">
        <v>28180.0</v>
      </c>
      <c r="C518" s="267" t="s">
        <v>670</v>
      </c>
      <c r="D518" s="180" t="s">
        <v>37</v>
      </c>
      <c r="E518" s="274">
        <v>5.0</v>
      </c>
      <c r="F518" s="186" t="s">
        <v>57</v>
      </c>
      <c r="G518" s="275">
        <v>8.0</v>
      </c>
      <c r="H518" s="182" t="s">
        <v>76</v>
      </c>
      <c r="I518" s="276">
        <v>1.0</v>
      </c>
      <c r="J518" s="277"/>
      <c r="K518" s="276"/>
      <c r="L518" s="184" t="s">
        <v>95</v>
      </c>
      <c r="M518" s="278">
        <v>7.0</v>
      </c>
      <c r="N518" s="184" t="s">
        <v>130</v>
      </c>
      <c r="O518" s="278">
        <v>6.0</v>
      </c>
      <c r="P518" s="184" t="s">
        <v>103</v>
      </c>
      <c r="Q518" s="278">
        <v>3.0</v>
      </c>
      <c r="R518" s="184" t="s">
        <v>56</v>
      </c>
      <c r="S518" s="278">
        <v>2.0</v>
      </c>
      <c r="T518" s="279"/>
      <c r="U518" s="280"/>
      <c r="V518" s="184" t="s">
        <v>121</v>
      </c>
      <c r="W518" s="276">
        <v>4.0</v>
      </c>
      <c r="X518" s="281">
        <v>1.0</v>
      </c>
      <c r="Y518" s="281">
        <v>1.0</v>
      </c>
      <c r="Z518" s="281">
        <v>1.0</v>
      </c>
      <c r="AA518" s="281">
        <v>1.0</v>
      </c>
      <c r="AB518" s="281">
        <v>1.0</v>
      </c>
      <c r="AC518" s="281">
        <v>1.0</v>
      </c>
      <c r="AD518" s="281">
        <v>1.0</v>
      </c>
      <c r="AE518" s="281">
        <v>1.0</v>
      </c>
      <c r="AF518" s="281">
        <v>8.0</v>
      </c>
      <c r="AG518" s="281">
        <v>0.0</v>
      </c>
      <c r="AH518" s="282"/>
      <c r="AI518" s="282"/>
    </row>
    <row r="519">
      <c r="A519" s="271">
        <v>10.0</v>
      </c>
      <c r="B519" s="272">
        <v>28141.0</v>
      </c>
      <c r="C519" s="273" t="s">
        <v>671</v>
      </c>
      <c r="D519" s="180" t="s">
        <v>48</v>
      </c>
      <c r="E519" s="274">
        <v>6.0</v>
      </c>
      <c r="F519" s="167" t="s">
        <v>64</v>
      </c>
      <c r="G519" s="275">
        <v>8.0</v>
      </c>
      <c r="H519" s="182" t="s">
        <v>79</v>
      </c>
      <c r="I519" s="276">
        <v>5.0</v>
      </c>
      <c r="J519" s="277"/>
      <c r="K519" s="276"/>
      <c r="L519" s="184" t="s">
        <v>95</v>
      </c>
      <c r="M519" s="278">
        <v>2.0</v>
      </c>
      <c r="N519" s="184" t="s">
        <v>130</v>
      </c>
      <c r="O519" s="278">
        <v>7.0</v>
      </c>
      <c r="P519" s="184" t="s">
        <v>103</v>
      </c>
      <c r="Q519" s="278">
        <v>4.0</v>
      </c>
      <c r="R519" s="184" t="s">
        <v>56</v>
      </c>
      <c r="S519" s="278">
        <v>3.0</v>
      </c>
      <c r="T519" s="279"/>
      <c r="U519" s="280"/>
      <c r="V519" s="184" t="s">
        <v>26</v>
      </c>
      <c r="W519" s="276">
        <v>1.0</v>
      </c>
      <c r="X519" s="281">
        <v>1.0</v>
      </c>
      <c r="Y519" s="281">
        <v>1.0</v>
      </c>
      <c r="Z519" s="281">
        <v>1.0</v>
      </c>
      <c r="AA519" s="281">
        <v>1.0</v>
      </c>
      <c r="AB519" s="281">
        <v>1.0</v>
      </c>
      <c r="AC519" s="281">
        <v>1.0</v>
      </c>
      <c r="AD519" s="281">
        <v>1.0</v>
      </c>
      <c r="AE519" s="281">
        <v>1.0</v>
      </c>
      <c r="AF519" s="281">
        <v>8.0</v>
      </c>
      <c r="AG519" s="281">
        <v>0.0</v>
      </c>
      <c r="AH519" s="282"/>
      <c r="AI519" s="282"/>
    </row>
    <row r="520">
      <c r="A520" s="271">
        <v>10.0</v>
      </c>
      <c r="B520" s="272">
        <v>12345.0</v>
      </c>
      <c r="C520" s="273" t="s">
        <v>672</v>
      </c>
      <c r="D520" s="180" t="s">
        <v>37</v>
      </c>
      <c r="E520" s="274">
        <v>2.0</v>
      </c>
      <c r="F520" s="186" t="s">
        <v>57</v>
      </c>
      <c r="G520" s="275">
        <v>5.0</v>
      </c>
      <c r="H520" s="182" t="s">
        <v>76</v>
      </c>
      <c r="I520" s="276">
        <v>6.0</v>
      </c>
      <c r="J520" s="277"/>
      <c r="K520" s="276"/>
      <c r="L520" s="184" t="s">
        <v>95</v>
      </c>
      <c r="M520" s="278">
        <v>1.0</v>
      </c>
      <c r="N520" s="184" t="s">
        <v>130</v>
      </c>
      <c r="O520" s="278">
        <v>4.0</v>
      </c>
      <c r="P520" s="182" t="s">
        <v>100</v>
      </c>
      <c r="Q520" s="278">
        <v>7.0</v>
      </c>
      <c r="R520" s="184" t="s">
        <v>56</v>
      </c>
      <c r="S520" s="278">
        <v>3.0</v>
      </c>
      <c r="T520" s="279"/>
      <c r="U520" s="280"/>
      <c r="V520" s="184" t="s">
        <v>27</v>
      </c>
      <c r="W520" s="167">
        <v>8.0</v>
      </c>
      <c r="X520" s="281">
        <v>1.0</v>
      </c>
      <c r="Y520" s="281">
        <v>1.0</v>
      </c>
      <c r="Z520" s="281">
        <v>1.0</v>
      </c>
      <c r="AA520" s="281">
        <v>1.0</v>
      </c>
      <c r="AB520" s="281">
        <v>1.0</v>
      </c>
      <c r="AC520" s="281">
        <v>1.0</v>
      </c>
      <c r="AD520" s="281">
        <v>1.0</v>
      </c>
      <c r="AE520" s="281">
        <v>1.0</v>
      </c>
      <c r="AF520" s="281">
        <v>8.0</v>
      </c>
      <c r="AG520" s="281">
        <v>0.0</v>
      </c>
      <c r="AH520" s="282"/>
      <c r="AI520" s="282"/>
    </row>
    <row r="521">
      <c r="A521" s="283">
        <v>11.0</v>
      </c>
      <c r="B521" s="284">
        <v>27169.0</v>
      </c>
      <c r="C521" s="285" t="s">
        <v>673</v>
      </c>
      <c r="D521" s="286" t="s">
        <v>43</v>
      </c>
      <c r="E521" s="287">
        <v>4.0</v>
      </c>
      <c r="F521" s="283" t="s">
        <v>66</v>
      </c>
      <c r="G521" s="288">
        <v>1.0</v>
      </c>
      <c r="H521" s="283" t="s">
        <v>69</v>
      </c>
      <c r="I521" s="283">
        <v>6.0</v>
      </c>
      <c r="J521" s="289"/>
      <c r="K521" s="289"/>
      <c r="L521" s="283" t="s">
        <v>90</v>
      </c>
      <c r="M521" s="283">
        <v>2.0</v>
      </c>
      <c r="N521" s="283" t="s">
        <v>132</v>
      </c>
      <c r="O521" s="288">
        <v>3.0</v>
      </c>
      <c r="P521" s="283" t="s">
        <v>34</v>
      </c>
      <c r="Q521" s="283">
        <v>7.0</v>
      </c>
      <c r="R521" s="184" t="s">
        <v>107</v>
      </c>
      <c r="S521" s="283">
        <v>8.0</v>
      </c>
      <c r="T521" s="290"/>
      <c r="U521" s="289"/>
      <c r="V521" s="283" t="s">
        <v>115</v>
      </c>
      <c r="W521" s="283">
        <v>5.0</v>
      </c>
      <c r="X521" s="291">
        <v>1.0</v>
      </c>
      <c r="Y521" s="291">
        <v>1.0</v>
      </c>
      <c r="Z521" s="291">
        <v>1.0</v>
      </c>
      <c r="AA521" s="291">
        <v>1.0</v>
      </c>
      <c r="AB521" s="291">
        <v>1.0</v>
      </c>
      <c r="AC521" s="291">
        <v>1.0</v>
      </c>
      <c r="AD521" s="291">
        <v>1.0</v>
      </c>
      <c r="AE521" s="291">
        <v>1.0</v>
      </c>
      <c r="AF521" s="291">
        <v>8.0</v>
      </c>
      <c r="AG521" s="291">
        <v>0.0</v>
      </c>
      <c r="AH521" s="292" t="str">
        <f>IFERROR(__xludf.DUMMYFUNCTION("if($C521="""","""",if(join("" - "",{iferror(filter('Student Groupings'!$A:$A,'Student Groupings'!$B:$B=$C521,'Student Groupings'!$H:$H=""Can't be Together""),"""");iferror(filter('Student Groupings'!$A:$A,'Student Groupings'!$E:$E=$C521,'Student Groupings"&amp;"'!$H:$H=""Can't be Together""),"""")})="" - "","""",join("" - "",{iferror(filter('Student Groupings'!$A:$A,'Student Groupings'!$B:$B=$C521,'Student Groupings'!$H:$H=""Can't be Together""),"""");iferror(filter('Student Groupings'!$A:$A,'Student Groupings'!"&amp;"$E:$E=$C521,'Student Groupings'!$H:$H=""Can't be Together""),"""")})))"),"")</f>
        <v/>
      </c>
      <c r="AI521" s="292" t="str">
        <f>IFERROR(__xludf.DUMMYFUNCTION("if($C521="""","""",if(join("" - "",{iferror(filter('Student Groupings'!$A:$A,'Student Groupings'!$B:$B=$C521,'Student Groupings'!$H:$H=""Must be Together""),"""");iferror(filter('Student Groupings'!$A:$A,'Student Groupings'!$E:$E=$C521,'Student Groupings'"&amp;"!$H:$H=""Must be Together""),"""")})="" - "","""",join("" - "",{iferror(filter('Student Groupings'!$A:$A,'Student Groupings'!$B:$B=$C521,'Student Groupings'!$H:$H=""Must be Together""),"""");iferror(filter('Student Groupings'!$A:$A,'Student Groupings'!$E:"&amp;"$E=$C521,'Student Groupings'!$H:$H=""Must be Together""),"""")})))"),"")</f>
        <v/>
      </c>
    </row>
  </sheetData>
  <autoFilter ref="$A$2:$AI$520"/>
  <customSheetViews>
    <customSheetView guid="{55E782B4-EB2B-4485-B173-DB9D5CA62E12}" filter="1" showAutoFilter="1">
      <autoFilter ref="$A$1:$AI$520">
        <filterColumn colId="0">
          <filters>
            <filter val="GR"/>
            <filter val="10"/>
          </filters>
        </filterColumn>
      </autoFilter>
    </customSheetView>
    <customSheetView guid="{8C076C10-0F92-4795-AFD4-E6F58520B8BC}" filter="1" showAutoFilter="1">
      <autoFilter ref="$A$2:$AI$520">
        <sortState ref="A2:AI520">
          <sortCondition ref="C2:C520"/>
          <sortCondition ref="R2:R520"/>
        </sortState>
      </autoFilter>
    </customSheetView>
    <customSheetView guid="{B7C9413E-736F-41B5-8934-FEC82628B2B6}" filter="1" showAutoFilter="1">
      <autoFilter ref="$A$1:$AI$520"/>
    </customSheetView>
    <customSheetView guid="{A9A35CD8-447F-4D16-A665-DB2F898FAA8B}" filter="1" showAutoFilter="1">
      <autoFilter ref="$A$1:$AI$520">
        <filterColumn colId="0">
          <filters>
            <filter val="GR"/>
            <filter val="10"/>
          </filters>
        </filterColumn>
      </autoFilter>
    </customSheetView>
    <customSheetView guid="{01AB1293-545B-47AC-9825-B06C7B19702B}" filter="1" showAutoFilter="1">
      <autoFilter ref="$A$1:$AI$520">
        <filterColumn colId="0">
          <filters>
            <filter val="12"/>
            <filter val="GR"/>
          </filters>
        </filterColumn>
        <filterColumn colId="5">
          <filters>
            <filter val="AP Spanish Language and Culture"/>
            <filter val="AP Computer Science Principles"/>
            <filter val="Spanish and Literature 12"/>
            <filter val="Spanish and Literature 11"/>
            <filter val="AP Spanish Literature and Culture"/>
            <filter val="Spanish Film, Art, and Literature"/>
            <filter val="Course"/>
            <filter val="Spanish as a Foreing Language"/>
            <filter val="Journalism Higher Level"/>
            <filter val="Spanish and Literature 9"/>
          </filters>
        </filterColumn>
      </autoFilter>
    </customSheetView>
    <customSheetView guid="{636DCCFC-6B04-4AAD-9EF7-51BDAA230EA5}" filter="1" showAutoFilter="1">
      <autoFilter ref="$A$1:$AI$520"/>
    </customSheetView>
    <customSheetView guid="{8315904B-86A4-4ED1-90C6-30334ECE7A76}" filter="1" showAutoFilter="1">
      <autoFilter ref="$A$1:$AI$520">
        <filterColumn colId="0">
          <filters>
            <filter val="12"/>
            <filter val="GR"/>
          </filters>
        </filterColumn>
      </autoFilter>
    </customSheetView>
  </customSheetViews>
  <conditionalFormatting sqref="AG1:AG521">
    <cfRule type="cellIs" dxfId="0" priority="1" operator="greaterThan">
      <formula>0</formula>
    </cfRule>
  </conditionalFormatting>
  <conditionalFormatting sqref="A3:F521 G3:G501 H3:I521 J3:J162 K3:Q521 R3:R8 S3:U521 V3:V380 W3:AI521 R10:R23 R25:R29 R32:R37 R39 R41:R49 R51 R54:R69 R71:R81 R83:R87 R89:R90 R92:R97 R99 R101:R102 R104:R111 R113:R117 R119:R124 R126:R170 J164:J266 R173:R515 J268:J521 V382 V384:V387 V389:V392 V394:V422 V425 V427 V429:V433 V435 V437:V452 V454 V456:V474 V476:V478 V480:V486 V488:V494 V497:V501 G503:G521 V503:V521 R517:R521">
    <cfRule type="expression" dxfId="2" priority="2">
      <formula>AND($AH3&lt;&gt;"",$AI3&lt;&gt;"")</formula>
    </cfRule>
  </conditionalFormatting>
  <conditionalFormatting sqref="A3:F521 G3:G501 H3:I521 J3:J162 K3:Q521 R3:R8 S3:U521 V3:V380 W3:AI521 R10:R23 R25:R29 R32:R37 R39 R41:R49 R51 R54:R69 R71:R81 R83:R87 R89:R90 R92:R97 R99 R101:R102 R104:R111 R113:R117 R119:R124 R126:R170 J164:J266 R173:R515 J268:J521 V382 V384:V387 V389:V392 V394:V422 V425 V427 V429:V433 V435 V437:V452 V454 V456:V474 V476:V478 V480:V486 V488:V494 V497:V501 G503:G521 V503:V521 R517:R521">
    <cfRule type="expression" dxfId="3" priority="3">
      <formula>AND($AH3&lt;&gt;"")</formula>
    </cfRule>
  </conditionalFormatting>
  <conditionalFormatting sqref="A3:F521 G3:G501 H3:I521 J3:J162 K3:Q521 R3:R8 S3:U521 V3:V380 W3:AI521 R10:R23 R25:R29 R32:R37 R39 R41:R49 R51 R54:R69 R71:R81 R83:R87 R89:R90 R92:R97 R99 R101:R102 R104:R111 R113:R117 R119:R124 R126:R170 J164:J266 R173:R515 J268:J521 V382 V384:V387 V389:V392 V394:V422 V425 V427 V429:V433 V435 V437:V452 V454 V456:V474 V476:V478 V480:V486 V488:V494 V497:V501 G503:G521 V503:V521 R517:R521">
    <cfRule type="expression" dxfId="4" priority="4">
      <formula>AND($AI3&lt;&gt;"")</formula>
    </cfRule>
  </conditionalFormatting>
  <conditionalFormatting sqref="X3:AE497">
    <cfRule type="expression" dxfId="0" priority="5">
      <formula>X3&gt;1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3" max="3" width="17.13"/>
    <col customWidth="1" min="4" max="4" width="16.75"/>
    <col customWidth="1" min="5" max="5" width="17.0"/>
    <col customWidth="1" min="6" max="6" width="24.0"/>
    <col customWidth="1" min="7" max="7" width="16.25"/>
    <col customWidth="1" min="8" max="8" width="15.13"/>
    <col customWidth="1" min="9" max="10" width="17.0"/>
  </cols>
  <sheetData>
    <row r="1" ht="16.5" customHeight="1">
      <c r="A1" s="293" t="s">
        <v>148</v>
      </c>
      <c r="B1" s="293" t="str">
        <f t="array" ref="B1:B958">if(ROW(B:B)=1,"Esquema 1",if($A:$A="","",iferror(iferror(xlookup($A:$A&amp;1,'Students (Vertical)'!$B:$B&amp;'Students (Vertical)'!$E:$E,'Students (Vertical)'!$D:$D),xlookup($A:$A&amp;"1a",'Students (Vertical)'!$B:$B&amp;'Students (Vertical)'!$E:$E,'Students (Vertical)'!$D:$D)),"")))</f>
        <v>Esquema 1</v>
      </c>
      <c r="C1" s="293" t="str">
        <f t="array" ref="C1:C958">if(ROW(C:C)=1,"Esquema 2",if($A:$A="","",iferror(iferror(xlookup($A:$A&amp;2,'Students (Vertical)'!$B:$B&amp;'Students (Vertical)'!$E:$E,'Students (Vertical)'!$D:$D),xlookup($A:$A&amp;"2a",'Students (Vertical)'!$B:$B&amp;'Students (Vertical)'!$E:$E,'Students (Vertical)'!$D:$D)),"")))</f>
        <v>Esquema 2</v>
      </c>
      <c r="D1" s="293" t="str">
        <f t="array" ref="D1:D958">if(ROW(D:D)=1,"Esquema 3",if($A:$A="","",iferror(iferror(xlookup($A:$A&amp;3,'Students (Vertical)'!$B:$B&amp;'Students (Vertical)'!$E:$E,'Students (Vertical)'!$D:$D),xlookup($A:$A&amp;"3a",'Students (Vertical)'!$B:$B&amp;'Students (Vertical)'!$E:$E,'Students (Vertical)'!$D:$D)),"")))</f>
        <v>Esquema 3</v>
      </c>
      <c r="E1" s="293" t="str">
        <f t="array" ref="E1:E958">if(ROW(E:E)=1,"Esquema 4",if($A:$A="","",iferror(iferror(xlookup($A:$A&amp;4,'Students (Vertical)'!$B:$B&amp;'Students (Vertical)'!$E:$E,'Students (Vertical)'!$D:$D),xlookup($A:$A&amp;"4a",'Students (Vertical)'!$B:$B&amp;'Students (Vertical)'!$E:$E,'Students (Vertical)'!$D:$D)),"")))</f>
        <v>Esquema 4</v>
      </c>
      <c r="F1" s="293" t="str">
        <f t="array" ref="F1:F958">if(ROW(F:F)=1,"Esquema 5",if($A:$A="","",iferror(iferror(xlookup($A:$A&amp;5,'Students (Vertical)'!$B:$B&amp;'Students (Vertical)'!$E:$E,'Students (Vertical)'!$D:$D),xlookup($A:$A&amp;"5a",'Students (Vertical)'!$B:$B&amp;'Students (Vertical)'!$E:$E,'Students (Vertical)'!$D:$D)),"")))</f>
        <v>Esquema 5</v>
      </c>
      <c r="G1" s="293" t="str">
        <f t="array" ref="G1:G958">if(ROW(G:G)=1,"Esquema 6",if($A:$A="","",iferror(iferror(xlookup($A:$A&amp;6,'Students (Vertical)'!$B:$B&amp;'Students (Vertical)'!$E:$E,'Students (Vertical)'!$D:$D),xlookup($A:$A&amp;"6a",'Students (Vertical)'!$B:$B&amp;'Students (Vertical)'!$E:$E,'Students (Vertical)'!$D:$D)),"")))</f>
        <v>Esquema 6</v>
      </c>
      <c r="H1" s="293" t="str">
        <f t="array" ref="H1:H958">if(ROW(H:H)=1,"Esquema 7",if($A:$A="","",iferror(iferror(xlookup($A:$A&amp;7,'Students (Vertical)'!$B:$B&amp;'Students (Vertical)'!$E:$E,'Students (Vertical)'!$D:$D),xlookup($A:$A&amp;"7a",'Students (Vertical)'!$B:$B&amp;'Students (Vertical)'!$E:$E,'Students (Vertical)'!$D:$D)),"")))</f>
        <v>Esquema 7</v>
      </c>
      <c r="I1" s="293" t="str">
        <f t="array" ref="I1:I958">if(ROW(I:I)=1,"Esquema 8",if($A:$A="","",iferror(iferror(xlookup($A:$A&amp;8,'Students (Vertical)'!$B:$B&amp;'Students (Vertical)'!$E:$E,'Students (Vertical)'!$D:$D),xlookup($A:$A&amp;"8a",'Students (Vertical)'!$B:$B&amp;'Students (Vertical)'!$E:$E,'Students (Vertical)'!$D:$D)),"")))</f>
        <v>Esquema 8</v>
      </c>
      <c r="J1" s="293" t="str">
        <f t="array" ref="J1:J958">if(ROW(J:J)=1,"Separate codes",if(A:A="","",xlookup(A:A,Students!B:B,Students!AH:AH)))</f>
        <v>Separate codes</v>
      </c>
    </row>
    <row r="2">
      <c r="A2" s="168">
        <v>28050.0</v>
      </c>
      <c r="B2" s="294" t="s">
        <v>48</v>
      </c>
      <c r="C2" s="295" t="s">
        <v>81</v>
      </c>
      <c r="D2" s="296" t="s">
        <v>103</v>
      </c>
      <c r="E2" s="294" t="s">
        <v>64</v>
      </c>
      <c r="F2" s="294" t="s">
        <v>130</v>
      </c>
      <c r="G2" s="294" t="s">
        <v>23</v>
      </c>
      <c r="H2" s="296" t="s">
        <v>95</v>
      </c>
      <c r="I2" s="296" t="s">
        <v>56</v>
      </c>
      <c r="J2" s="294" t="s">
        <v>22</v>
      </c>
    </row>
    <row r="3">
      <c r="A3" s="272">
        <v>28180.0</v>
      </c>
      <c r="B3" s="294" t="s">
        <v>76</v>
      </c>
      <c r="C3" s="294" t="s">
        <v>56</v>
      </c>
      <c r="D3" s="296" t="s">
        <v>103</v>
      </c>
      <c r="E3" s="294" t="s">
        <v>121</v>
      </c>
      <c r="F3" s="294" t="s">
        <v>37</v>
      </c>
      <c r="G3" s="294" t="s">
        <v>130</v>
      </c>
      <c r="H3" s="297" t="s">
        <v>95</v>
      </c>
      <c r="I3" s="296" t="s">
        <v>57</v>
      </c>
      <c r="J3" s="294"/>
    </row>
    <row r="4">
      <c r="A4" s="182"/>
      <c r="B4" s="294" t="s">
        <v>22</v>
      </c>
      <c r="C4" s="294" t="s">
        <v>22</v>
      </c>
      <c r="D4" s="294" t="s">
        <v>22</v>
      </c>
      <c r="E4" s="294" t="s">
        <v>22</v>
      </c>
      <c r="F4" s="294" t="s">
        <v>22</v>
      </c>
      <c r="G4" s="294" t="s">
        <v>22</v>
      </c>
      <c r="H4" s="294" t="s">
        <v>22</v>
      </c>
      <c r="I4" s="294" t="s">
        <v>22</v>
      </c>
      <c r="J4" s="294" t="s">
        <v>22</v>
      </c>
    </row>
    <row r="5">
      <c r="A5" s="168"/>
      <c r="B5" s="294" t="s">
        <v>22</v>
      </c>
      <c r="C5" s="294" t="s">
        <v>22</v>
      </c>
      <c r="D5" s="294" t="s">
        <v>22</v>
      </c>
      <c r="E5" s="294" t="s">
        <v>22</v>
      </c>
      <c r="F5" s="294" t="s">
        <v>22</v>
      </c>
      <c r="G5" s="294" t="s">
        <v>22</v>
      </c>
      <c r="H5" s="294" t="s">
        <v>22</v>
      </c>
      <c r="I5" s="294" t="s">
        <v>22</v>
      </c>
      <c r="J5" s="294" t="s">
        <v>22</v>
      </c>
    </row>
    <row r="6">
      <c r="A6" s="168"/>
      <c r="B6" s="294" t="s">
        <v>22</v>
      </c>
      <c r="C6" s="294" t="s">
        <v>22</v>
      </c>
      <c r="D6" s="294" t="s">
        <v>22</v>
      </c>
      <c r="E6" s="294" t="s">
        <v>22</v>
      </c>
      <c r="F6" s="294" t="s">
        <v>22</v>
      </c>
      <c r="G6" s="294" t="s">
        <v>22</v>
      </c>
      <c r="H6" s="294" t="s">
        <v>22</v>
      </c>
      <c r="I6" s="294" t="s">
        <v>22</v>
      </c>
      <c r="J6" s="294" t="s">
        <v>22</v>
      </c>
    </row>
    <row r="7">
      <c r="A7" s="298"/>
      <c r="B7" s="294" t="s">
        <v>22</v>
      </c>
      <c r="C7" s="294" t="s">
        <v>22</v>
      </c>
      <c r="D7" s="294" t="s">
        <v>22</v>
      </c>
      <c r="E7" s="294" t="s">
        <v>22</v>
      </c>
      <c r="F7" s="294" t="s">
        <v>22</v>
      </c>
      <c r="G7" s="294" t="s">
        <v>22</v>
      </c>
      <c r="H7" s="294" t="s">
        <v>22</v>
      </c>
      <c r="I7" s="294" t="s">
        <v>22</v>
      </c>
      <c r="J7" s="294" t="s">
        <v>22</v>
      </c>
    </row>
    <row r="8">
      <c r="A8" s="204"/>
      <c r="B8" s="294" t="s">
        <v>22</v>
      </c>
      <c r="C8" s="294" t="s">
        <v>22</v>
      </c>
      <c r="D8" s="294" t="s">
        <v>22</v>
      </c>
      <c r="E8" s="294" t="s">
        <v>22</v>
      </c>
      <c r="F8" s="294" t="s">
        <v>22</v>
      </c>
      <c r="G8" s="294" t="s">
        <v>22</v>
      </c>
      <c r="H8" s="294" t="s">
        <v>22</v>
      </c>
      <c r="I8" s="294" t="s">
        <v>22</v>
      </c>
      <c r="J8" s="294" t="s">
        <v>22</v>
      </c>
    </row>
    <row r="9">
      <c r="A9" s="270"/>
      <c r="B9" s="294" t="s">
        <v>22</v>
      </c>
      <c r="C9" s="294" t="s">
        <v>22</v>
      </c>
      <c r="D9" s="294" t="s">
        <v>22</v>
      </c>
      <c r="E9" s="294" t="s">
        <v>22</v>
      </c>
      <c r="F9" s="294" t="s">
        <v>22</v>
      </c>
      <c r="G9" s="294" t="s">
        <v>22</v>
      </c>
      <c r="H9" s="294" t="s">
        <v>22</v>
      </c>
      <c r="I9" s="294" t="s">
        <v>22</v>
      </c>
      <c r="J9" s="294" t="s">
        <v>22</v>
      </c>
    </row>
    <row r="10">
      <c r="A10" s="270"/>
      <c r="B10" s="294" t="s">
        <v>22</v>
      </c>
      <c r="C10" s="294" t="s">
        <v>22</v>
      </c>
      <c r="D10" s="294" t="s">
        <v>22</v>
      </c>
      <c r="E10" s="294" t="s">
        <v>22</v>
      </c>
      <c r="F10" s="294" t="s">
        <v>22</v>
      </c>
      <c r="G10" s="294" t="s">
        <v>22</v>
      </c>
      <c r="H10" s="294" t="s">
        <v>22</v>
      </c>
      <c r="I10" s="294" t="s">
        <v>22</v>
      </c>
      <c r="J10" s="294" t="s">
        <v>22</v>
      </c>
    </row>
    <row r="11">
      <c r="A11" s="298"/>
      <c r="B11" s="294" t="s">
        <v>22</v>
      </c>
      <c r="C11" s="294" t="s">
        <v>22</v>
      </c>
      <c r="D11" s="295" t="s">
        <v>22</v>
      </c>
      <c r="E11" s="294" t="s">
        <v>22</v>
      </c>
      <c r="F11" s="294" t="s">
        <v>22</v>
      </c>
      <c r="G11" s="294" t="s">
        <v>22</v>
      </c>
      <c r="H11" s="294" t="s">
        <v>22</v>
      </c>
      <c r="I11" s="294" t="s">
        <v>22</v>
      </c>
      <c r="J11" s="294" t="s">
        <v>22</v>
      </c>
    </row>
    <row r="12">
      <c r="A12" s="298"/>
      <c r="B12" s="294" t="s">
        <v>22</v>
      </c>
      <c r="C12" s="294" t="s">
        <v>22</v>
      </c>
      <c r="D12" s="294" t="s">
        <v>22</v>
      </c>
      <c r="E12" s="294" t="s">
        <v>22</v>
      </c>
      <c r="F12" s="294" t="s">
        <v>22</v>
      </c>
      <c r="G12" s="294" t="s">
        <v>22</v>
      </c>
      <c r="H12" s="294" t="s">
        <v>22</v>
      </c>
      <c r="I12" s="294" t="s">
        <v>22</v>
      </c>
      <c r="J12" s="294" t="s">
        <v>22</v>
      </c>
    </row>
    <row r="13">
      <c r="A13" s="204"/>
      <c r="B13" s="294" t="s">
        <v>22</v>
      </c>
      <c r="C13" s="294" t="s">
        <v>22</v>
      </c>
      <c r="D13" s="294" t="s">
        <v>22</v>
      </c>
      <c r="E13" s="294" t="s">
        <v>22</v>
      </c>
      <c r="F13" s="294" t="s">
        <v>22</v>
      </c>
      <c r="G13" s="294" t="s">
        <v>22</v>
      </c>
      <c r="H13" s="294" t="s">
        <v>22</v>
      </c>
      <c r="I13" s="294" t="s">
        <v>22</v>
      </c>
      <c r="J13" s="294" t="s">
        <v>22</v>
      </c>
    </row>
    <row r="14">
      <c r="A14" s="294"/>
      <c r="B14" s="294" t="s">
        <v>22</v>
      </c>
      <c r="C14" s="294" t="s">
        <v>22</v>
      </c>
      <c r="D14" s="294" t="s">
        <v>22</v>
      </c>
      <c r="E14" s="294" t="s">
        <v>22</v>
      </c>
      <c r="F14" s="294" t="s">
        <v>22</v>
      </c>
      <c r="G14" s="294" t="s">
        <v>22</v>
      </c>
      <c r="H14" s="294" t="s">
        <v>22</v>
      </c>
      <c r="I14" s="294" t="s">
        <v>22</v>
      </c>
      <c r="J14" s="294" t="s">
        <v>22</v>
      </c>
    </row>
    <row r="15">
      <c r="A15" s="168">
        <v>26040.0</v>
      </c>
      <c r="B15" s="294" t="s">
        <v>66</v>
      </c>
      <c r="C15" s="294" t="s">
        <v>132</v>
      </c>
      <c r="D15" s="294" t="s">
        <v>41</v>
      </c>
      <c r="E15" s="294" t="s">
        <v>24</v>
      </c>
      <c r="F15" s="294" t="s">
        <v>115</v>
      </c>
      <c r="G15" s="294" t="s">
        <v>79</v>
      </c>
      <c r="H15" s="294" t="s">
        <v>107</v>
      </c>
      <c r="I15" s="294" t="s">
        <v>90</v>
      </c>
      <c r="J15" s="294" t="s">
        <v>674</v>
      </c>
    </row>
    <row r="16">
      <c r="A16" s="168">
        <v>27086.0</v>
      </c>
      <c r="B16" s="294" t="s">
        <v>43</v>
      </c>
      <c r="C16" s="294" t="s">
        <v>90</v>
      </c>
      <c r="D16" s="294" t="s">
        <v>66</v>
      </c>
      <c r="E16" s="294" t="s">
        <v>109</v>
      </c>
      <c r="F16" s="294" t="s">
        <v>30</v>
      </c>
      <c r="G16" s="294" t="s">
        <v>69</v>
      </c>
      <c r="H16" s="294" t="s">
        <v>132</v>
      </c>
      <c r="I16" s="294" t="s">
        <v>107</v>
      </c>
      <c r="J16" s="294" t="s">
        <v>675</v>
      </c>
    </row>
    <row r="17">
      <c r="A17" s="298"/>
      <c r="B17" s="294" t="s">
        <v>22</v>
      </c>
      <c r="C17" s="294" t="s">
        <v>22</v>
      </c>
      <c r="D17" s="294" t="s">
        <v>22</v>
      </c>
      <c r="E17" s="294" t="s">
        <v>22</v>
      </c>
      <c r="F17" s="294" t="s">
        <v>22</v>
      </c>
      <c r="G17" s="294" t="s">
        <v>22</v>
      </c>
      <c r="H17" s="294" t="s">
        <v>22</v>
      </c>
      <c r="I17" s="294" t="s">
        <v>22</v>
      </c>
      <c r="J17" s="294" t="s">
        <v>22</v>
      </c>
    </row>
    <row r="18">
      <c r="A18" s="298"/>
      <c r="B18" s="294" t="s">
        <v>22</v>
      </c>
      <c r="C18" s="294" t="s">
        <v>22</v>
      </c>
      <c r="D18" s="294" t="s">
        <v>22</v>
      </c>
      <c r="E18" s="294" t="s">
        <v>22</v>
      </c>
      <c r="F18" s="294" t="s">
        <v>22</v>
      </c>
      <c r="G18" s="294" t="s">
        <v>22</v>
      </c>
      <c r="H18" s="294" t="s">
        <v>22</v>
      </c>
      <c r="I18" s="294" t="s">
        <v>22</v>
      </c>
      <c r="J18" s="294" t="s">
        <v>22</v>
      </c>
    </row>
    <row r="19">
      <c r="A19" s="299"/>
      <c r="B19" s="294" t="s">
        <v>22</v>
      </c>
      <c r="C19" s="294" t="s">
        <v>22</v>
      </c>
      <c r="D19" s="294" t="s">
        <v>22</v>
      </c>
      <c r="E19" s="294" t="s">
        <v>22</v>
      </c>
      <c r="F19" s="294" t="s">
        <v>22</v>
      </c>
      <c r="G19" s="294" t="s">
        <v>22</v>
      </c>
      <c r="H19" s="294" t="s">
        <v>22</v>
      </c>
      <c r="I19" s="294" t="s">
        <v>22</v>
      </c>
      <c r="J19" s="294" t="s">
        <v>22</v>
      </c>
    </row>
    <row r="20">
      <c r="A20" s="2"/>
      <c r="B20" s="294" t="s">
        <v>22</v>
      </c>
      <c r="C20" s="294" t="s">
        <v>22</v>
      </c>
      <c r="D20" s="294" t="s">
        <v>22</v>
      </c>
      <c r="E20" s="294" t="s">
        <v>22</v>
      </c>
      <c r="F20" s="294" t="s">
        <v>22</v>
      </c>
      <c r="G20" s="294" t="s">
        <v>22</v>
      </c>
      <c r="H20" s="294" t="s">
        <v>22</v>
      </c>
      <c r="I20" s="294" t="s">
        <v>22</v>
      </c>
      <c r="J20" s="294" t="s">
        <v>22</v>
      </c>
    </row>
    <row r="21">
      <c r="B21" t="s">
        <v>22</v>
      </c>
      <c r="C21" t="s">
        <v>22</v>
      </c>
      <c r="D21" t="s">
        <v>22</v>
      </c>
      <c r="E21" t="s">
        <v>22</v>
      </c>
      <c r="F21" t="s">
        <v>22</v>
      </c>
      <c r="G21" t="s">
        <v>22</v>
      </c>
      <c r="H21" t="s">
        <v>22</v>
      </c>
      <c r="I21" t="s">
        <v>22</v>
      </c>
      <c r="J21" s="294" t="s">
        <v>22</v>
      </c>
    </row>
    <row r="22">
      <c r="A22" s="168"/>
      <c r="B22" s="294" t="s">
        <v>22</v>
      </c>
      <c r="C22" s="294" t="s">
        <v>22</v>
      </c>
      <c r="D22" s="294" t="s">
        <v>22</v>
      </c>
      <c r="E22" s="294" t="s">
        <v>22</v>
      </c>
      <c r="F22" s="294" t="s">
        <v>22</v>
      </c>
      <c r="G22" s="294" t="s">
        <v>22</v>
      </c>
      <c r="H22" s="294" t="s">
        <v>22</v>
      </c>
      <c r="I22" s="294" t="s">
        <v>22</v>
      </c>
      <c r="J22" s="294" t="s">
        <v>22</v>
      </c>
    </row>
    <row r="23">
      <c r="A23" s="288"/>
      <c r="B23" s="294" t="s">
        <v>22</v>
      </c>
      <c r="C23" s="294" t="s">
        <v>22</v>
      </c>
      <c r="D23" s="294" t="s">
        <v>22</v>
      </c>
      <c r="E23" s="294" t="s">
        <v>22</v>
      </c>
      <c r="F23" s="294" t="s">
        <v>22</v>
      </c>
      <c r="G23" s="294" t="s">
        <v>22</v>
      </c>
      <c r="H23" s="294" t="s">
        <v>22</v>
      </c>
      <c r="I23" s="294" t="s">
        <v>22</v>
      </c>
      <c r="J23" s="294" t="s">
        <v>22</v>
      </c>
    </row>
    <row r="24">
      <c r="A24" s="300"/>
      <c r="B24" s="294" t="s">
        <v>22</v>
      </c>
      <c r="C24" s="294" t="s">
        <v>22</v>
      </c>
      <c r="D24" s="294" t="s">
        <v>22</v>
      </c>
      <c r="E24" s="294" t="s">
        <v>22</v>
      </c>
      <c r="F24" s="294" t="s">
        <v>22</v>
      </c>
      <c r="G24" s="294" t="s">
        <v>22</v>
      </c>
      <c r="H24" s="294" t="s">
        <v>22</v>
      </c>
      <c r="I24" s="294" t="s">
        <v>22</v>
      </c>
      <c r="J24" s="294" t="s">
        <v>22</v>
      </c>
    </row>
    <row r="25">
      <c r="A25" s="300"/>
      <c r="B25" s="294" t="s">
        <v>22</v>
      </c>
      <c r="C25" s="294" t="s">
        <v>22</v>
      </c>
      <c r="D25" s="294" t="s">
        <v>22</v>
      </c>
      <c r="E25" s="294" t="s">
        <v>22</v>
      </c>
      <c r="F25" s="294" t="s">
        <v>22</v>
      </c>
      <c r="G25" s="294" t="s">
        <v>22</v>
      </c>
      <c r="H25" s="294" t="s">
        <v>22</v>
      </c>
      <c r="I25" s="294" t="s">
        <v>22</v>
      </c>
      <c r="J25" s="294" t="s">
        <v>22</v>
      </c>
    </row>
    <row r="26">
      <c r="A26" s="294"/>
      <c r="B26" s="294" t="s">
        <v>22</v>
      </c>
      <c r="C26" s="294" t="s">
        <v>22</v>
      </c>
      <c r="D26" s="294" t="s">
        <v>22</v>
      </c>
      <c r="E26" s="294" t="s">
        <v>22</v>
      </c>
      <c r="F26" s="294" t="s">
        <v>22</v>
      </c>
      <c r="G26" s="294" t="s">
        <v>22</v>
      </c>
      <c r="H26" s="294" t="s">
        <v>22</v>
      </c>
      <c r="I26" s="294" t="s">
        <v>22</v>
      </c>
      <c r="J26" s="294" t="s">
        <v>22</v>
      </c>
    </row>
    <row r="27">
      <c r="A27" s="301"/>
      <c r="B27" s="294" t="s">
        <v>22</v>
      </c>
      <c r="C27" s="296" t="s">
        <v>22</v>
      </c>
      <c r="D27" s="294" t="s">
        <v>22</v>
      </c>
      <c r="E27" s="294" t="s">
        <v>22</v>
      </c>
      <c r="F27" s="296" t="s">
        <v>22</v>
      </c>
      <c r="G27" s="294" t="s">
        <v>22</v>
      </c>
      <c r="H27" s="296" t="s">
        <v>22</v>
      </c>
      <c r="I27" s="294" t="s">
        <v>22</v>
      </c>
      <c r="J27" s="294" t="s">
        <v>22</v>
      </c>
    </row>
    <row r="28">
      <c r="A28" s="301"/>
      <c r="B28" s="296" t="s">
        <v>22</v>
      </c>
      <c r="C28" s="296" t="s">
        <v>22</v>
      </c>
      <c r="D28" s="296" t="s">
        <v>22</v>
      </c>
      <c r="E28" s="296" t="s">
        <v>22</v>
      </c>
      <c r="F28" s="296" t="s">
        <v>22</v>
      </c>
      <c r="G28" s="296" t="s">
        <v>22</v>
      </c>
      <c r="H28" s="296" t="s">
        <v>22</v>
      </c>
      <c r="I28" s="296" t="s">
        <v>22</v>
      </c>
      <c r="J28" s="294" t="s">
        <v>22</v>
      </c>
    </row>
    <row r="29">
      <c r="A29" s="302"/>
      <c r="B29" s="294" t="s">
        <v>22</v>
      </c>
      <c r="C29" s="294" t="s">
        <v>22</v>
      </c>
      <c r="D29" s="294" t="s">
        <v>22</v>
      </c>
      <c r="E29" s="296" t="s">
        <v>22</v>
      </c>
      <c r="F29" s="294" t="s">
        <v>22</v>
      </c>
      <c r="G29" s="296" t="s">
        <v>22</v>
      </c>
      <c r="H29" s="294" t="s">
        <v>22</v>
      </c>
      <c r="I29" s="296" t="s">
        <v>22</v>
      </c>
      <c r="J29" s="294" t="s">
        <v>22</v>
      </c>
    </row>
    <row r="30">
      <c r="A30" s="303"/>
      <c r="B30" s="294" t="s">
        <v>22</v>
      </c>
      <c r="C30" s="294" t="s">
        <v>22</v>
      </c>
      <c r="D30" s="294" t="s">
        <v>22</v>
      </c>
      <c r="E30" s="296" t="s">
        <v>22</v>
      </c>
      <c r="F30" s="294" t="s">
        <v>22</v>
      </c>
      <c r="G30" s="296" t="s">
        <v>22</v>
      </c>
      <c r="H30" s="294" t="s">
        <v>22</v>
      </c>
      <c r="I30" s="296" t="s">
        <v>22</v>
      </c>
      <c r="J30" s="294" t="s">
        <v>22</v>
      </c>
    </row>
    <row r="31">
      <c r="A31" s="53"/>
      <c r="B31" s="294" t="s">
        <v>22</v>
      </c>
      <c r="C31" s="294" t="s">
        <v>22</v>
      </c>
      <c r="D31" s="294" t="s">
        <v>22</v>
      </c>
      <c r="E31" s="294" t="s">
        <v>22</v>
      </c>
      <c r="F31" s="294" t="s">
        <v>22</v>
      </c>
      <c r="G31" s="294" t="s">
        <v>22</v>
      </c>
      <c r="H31" s="294" t="s">
        <v>22</v>
      </c>
      <c r="I31" s="294" t="s">
        <v>22</v>
      </c>
      <c r="J31" s="294" t="s">
        <v>22</v>
      </c>
    </row>
    <row r="32">
      <c r="A32" s="53"/>
      <c r="B32" s="294" t="s">
        <v>22</v>
      </c>
      <c r="C32" s="294" t="s">
        <v>22</v>
      </c>
      <c r="D32" s="294" t="s">
        <v>22</v>
      </c>
      <c r="E32" s="294" t="s">
        <v>22</v>
      </c>
      <c r="F32" s="294" t="s">
        <v>22</v>
      </c>
      <c r="G32" s="294" t="s">
        <v>22</v>
      </c>
      <c r="H32" s="294" t="s">
        <v>22</v>
      </c>
      <c r="I32" s="294" t="s">
        <v>22</v>
      </c>
      <c r="J32" s="294" t="s">
        <v>22</v>
      </c>
    </row>
    <row r="33">
      <c r="A33" s="68"/>
      <c r="B33" s="294" t="s">
        <v>22</v>
      </c>
      <c r="C33" s="294" t="s">
        <v>22</v>
      </c>
      <c r="D33" s="294" t="s">
        <v>22</v>
      </c>
      <c r="E33" s="294" t="s">
        <v>22</v>
      </c>
      <c r="F33" s="294" t="s">
        <v>22</v>
      </c>
      <c r="G33" s="294" t="s">
        <v>22</v>
      </c>
      <c r="H33" s="294" t="s">
        <v>22</v>
      </c>
      <c r="I33" s="294" t="s">
        <v>22</v>
      </c>
      <c r="J33" s="294" t="s">
        <v>22</v>
      </c>
    </row>
    <row r="34">
      <c r="A34" s="294"/>
      <c r="B34" s="294" t="s">
        <v>22</v>
      </c>
      <c r="C34" s="294" t="s">
        <v>22</v>
      </c>
      <c r="D34" s="294" t="s">
        <v>22</v>
      </c>
      <c r="E34" s="294" t="s">
        <v>22</v>
      </c>
      <c r="F34" s="294" t="s">
        <v>22</v>
      </c>
      <c r="G34" s="294" t="s">
        <v>22</v>
      </c>
      <c r="H34" s="294" t="s">
        <v>22</v>
      </c>
      <c r="I34" s="294" t="s">
        <v>22</v>
      </c>
      <c r="J34" s="294" t="s">
        <v>22</v>
      </c>
    </row>
    <row r="35">
      <c r="A35" s="304"/>
      <c r="B35" s="294" t="s">
        <v>22</v>
      </c>
      <c r="C35" s="294" t="s">
        <v>22</v>
      </c>
      <c r="D35" s="294" t="s">
        <v>22</v>
      </c>
      <c r="E35" s="294" t="s">
        <v>22</v>
      </c>
      <c r="F35" s="294" t="s">
        <v>22</v>
      </c>
      <c r="G35" s="294" t="s">
        <v>22</v>
      </c>
      <c r="H35" s="294" t="s">
        <v>22</v>
      </c>
      <c r="I35" s="294" t="s">
        <v>22</v>
      </c>
      <c r="J35" s="294" t="s">
        <v>22</v>
      </c>
    </row>
    <row r="36">
      <c r="A36" s="304"/>
      <c r="B36" s="294" t="s">
        <v>22</v>
      </c>
      <c r="C36" s="294" t="s">
        <v>22</v>
      </c>
      <c r="D36" s="294" t="s">
        <v>22</v>
      </c>
      <c r="E36" s="294" t="s">
        <v>22</v>
      </c>
      <c r="F36" s="294" t="s">
        <v>22</v>
      </c>
      <c r="G36" s="294" t="s">
        <v>22</v>
      </c>
      <c r="H36" s="294" t="s">
        <v>22</v>
      </c>
      <c r="I36" s="294" t="s">
        <v>22</v>
      </c>
      <c r="J36" s="294" t="s">
        <v>22</v>
      </c>
    </row>
    <row r="37">
      <c r="A37" s="294"/>
      <c r="B37" s="294" t="s">
        <v>22</v>
      </c>
      <c r="C37" s="294" t="s">
        <v>22</v>
      </c>
      <c r="D37" s="294" t="s">
        <v>22</v>
      </c>
      <c r="E37" s="294" t="s">
        <v>22</v>
      </c>
      <c r="F37" s="294" t="s">
        <v>22</v>
      </c>
      <c r="G37" s="294" t="s">
        <v>22</v>
      </c>
      <c r="H37" s="294" t="s">
        <v>22</v>
      </c>
      <c r="I37" s="294" t="s">
        <v>22</v>
      </c>
      <c r="J37" s="294" t="s">
        <v>22</v>
      </c>
    </row>
    <row r="38">
      <c r="A38" s="303"/>
      <c r="B38" s="294" t="s">
        <v>22</v>
      </c>
      <c r="C38" s="294" t="s">
        <v>22</v>
      </c>
      <c r="D38" s="294" t="s">
        <v>22</v>
      </c>
      <c r="E38" s="294" t="s">
        <v>22</v>
      </c>
      <c r="F38" s="294" t="s">
        <v>22</v>
      </c>
      <c r="G38" s="294" t="s">
        <v>22</v>
      </c>
      <c r="H38" s="294" t="s">
        <v>22</v>
      </c>
      <c r="I38" s="294" t="s">
        <v>22</v>
      </c>
      <c r="J38" s="294" t="s">
        <v>22</v>
      </c>
    </row>
    <row r="39">
      <c r="A39" s="302"/>
      <c r="B39" s="294" t="s">
        <v>22</v>
      </c>
      <c r="C39" s="294" t="s">
        <v>22</v>
      </c>
      <c r="D39" s="294" t="s">
        <v>22</v>
      </c>
      <c r="E39" s="294" t="s">
        <v>22</v>
      </c>
      <c r="F39" s="294" t="s">
        <v>22</v>
      </c>
      <c r="G39" s="294" t="s">
        <v>22</v>
      </c>
      <c r="H39" s="294" t="s">
        <v>22</v>
      </c>
      <c r="I39" s="294" t="s">
        <v>22</v>
      </c>
      <c r="J39" s="294" t="s">
        <v>22</v>
      </c>
    </row>
    <row r="40">
      <c r="A40" s="305"/>
      <c r="B40" s="294" t="s">
        <v>22</v>
      </c>
      <c r="C40" s="294" t="s">
        <v>22</v>
      </c>
      <c r="D40" s="294" t="s">
        <v>22</v>
      </c>
      <c r="E40" s="294" t="s">
        <v>22</v>
      </c>
      <c r="F40" s="294" t="s">
        <v>22</v>
      </c>
      <c r="G40" s="294" t="s">
        <v>22</v>
      </c>
      <c r="H40" s="294" t="s">
        <v>22</v>
      </c>
      <c r="I40" s="294" t="s">
        <v>22</v>
      </c>
      <c r="J40" s="294" t="s">
        <v>22</v>
      </c>
    </row>
    <row r="41">
      <c r="A41" s="294"/>
      <c r="B41" s="294" t="s">
        <v>22</v>
      </c>
      <c r="C41" s="294" t="s">
        <v>22</v>
      </c>
      <c r="D41" s="294" t="s">
        <v>22</v>
      </c>
      <c r="E41" s="294" t="s">
        <v>22</v>
      </c>
      <c r="F41" s="294" t="s">
        <v>22</v>
      </c>
      <c r="G41" s="294" t="s">
        <v>22</v>
      </c>
      <c r="H41" s="294" t="s">
        <v>22</v>
      </c>
      <c r="I41" s="294" t="s">
        <v>22</v>
      </c>
      <c r="J41" s="294" t="s">
        <v>22</v>
      </c>
    </row>
    <row r="42">
      <c r="A42" s="294"/>
      <c r="B42" s="294" t="s">
        <v>22</v>
      </c>
      <c r="C42" s="294" t="s">
        <v>22</v>
      </c>
      <c r="D42" s="294" t="s">
        <v>22</v>
      </c>
      <c r="E42" s="294" t="s">
        <v>22</v>
      </c>
      <c r="F42" s="294" t="s">
        <v>22</v>
      </c>
      <c r="G42" s="294" t="s">
        <v>22</v>
      </c>
      <c r="H42" s="294" t="s">
        <v>22</v>
      </c>
      <c r="I42" s="294" t="s">
        <v>22</v>
      </c>
      <c r="J42" s="294" t="s">
        <v>22</v>
      </c>
    </row>
    <row r="43">
      <c r="A43" s="304"/>
      <c r="B43" s="294" t="s">
        <v>22</v>
      </c>
      <c r="C43" s="294" t="s">
        <v>22</v>
      </c>
      <c r="D43" s="294" t="s">
        <v>22</v>
      </c>
      <c r="E43" s="294" t="s">
        <v>22</v>
      </c>
      <c r="F43" s="294" t="s">
        <v>22</v>
      </c>
      <c r="G43" s="294" t="s">
        <v>22</v>
      </c>
      <c r="H43" s="294" t="s">
        <v>22</v>
      </c>
      <c r="I43" s="294" t="s">
        <v>22</v>
      </c>
      <c r="J43" s="294" t="s">
        <v>22</v>
      </c>
    </row>
    <row r="44">
      <c r="A44" s="304"/>
      <c r="B44" s="294" t="s">
        <v>22</v>
      </c>
      <c r="C44" s="294" t="s">
        <v>22</v>
      </c>
      <c r="D44" s="294" t="s">
        <v>22</v>
      </c>
      <c r="E44" s="294" t="s">
        <v>22</v>
      </c>
      <c r="F44" s="294" t="s">
        <v>22</v>
      </c>
      <c r="G44" s="294" t="s">
        <v>22</v>
      </c>
      <c r="H44" s="294" t="s">
        <v>22</v>
      </c>
      <c r="I44" s="294" t="s">
        <v>22</v>
      </c>
      <c r="J44" s="294" t="s">
        <v>22</v>
      </c>
    </row>
    <row r="45">
      <c r="A45" s="304"/>
      <c r="B45" s="294" t="s">
        <v>22</v>
      </c>
      <c r="C45" s="294" t="s">
        <v>22</v>
      </c>
      <c r="D45" s="294" t="s">
        <v>22</v>
      </c>
      <c r="E45" s="294" t="s">
        <v>22</v>
      </c>
      <c r="F45" s="294" t="s">
        <v>22</v>
      </c>
      <c r="G45" s="294" t="s">
        <v>22</v>
      </c>
      <c r="H45" s="294" t="s">
        <v>22</v>
      </c>
      <c r="I45" s="294" t="s">
        <v>22</v>
      </c>
      <c r="J45" s="294" t="s">
        <v>22</v>
      </c>
    </row>
    <row r="46">
      <c r="A46" s="294"/>
      <c r="B46" s="294" t="s">
        <v>22</v>
      </c>
      <c r="C46" s="294" t="s">
        <v>22</v>
      </c>
      <c r="D46" s="294" t="s">
        <v>22</v>
      </c>
      <c r="E46" s="294" t="s">
        <v>22</v>
      </c>
      <c r="F46" s="294" t="s">
        <v>22</v>
      </c>
      <c r="G46" s="294" t="s">
        <v>22</v>
      </c>
      <c r="H46" s="294" t="s">
        <v>22</v>
      </c>
      <c r="I46" s="294" t="s">
        <v>22</v>
      </c>
      <c r="J46" s="294" t="s">
        <v>22</v>
      </c>
    </row>
    <row r="47">
      <c r="A47" s="294"/>
      <c r="B47" s="294" t="s">
        <v>22</v>
      </c>
      <c r="C47" s="294" t="s">
        <v>22</v>
      </c>
      <c r="D47" s="294" t="s">
        <v>22</v>
      </c>
      <c r="E47" s="294" t="s">
        <v>22</v>
      </c>
      <c r="F47" s="294" t="s">
        <v>22</v>
      </c>
      <c r="G47" s="294" t="s">
        <v>22</v>
      </c>
      <c r="H47" s="294" t="s">
        <v>22</v>
      </c>
      <c r="I47" s="294" t="s">
        <v>22</v>
      </c>
      <c r="J47" s="294" t="s">
        <v>22</v>
      </c>
    </row>
    <row r="48">
      <c r="A48" s="306"/>
      <c r="B48" s="294" t="s">
        <v>22</v>
      </c>
      <c r="C48" s="294" t="s">
        <v>22</v>
      </c>
      <c r="D48" s="294" t="s">
        <v>22</v>
      </c>
      <c r="E48" s="294" t="s">
        <v>22</v>
      </c>
      <c r="F48" s="294" t="s">
        <v>22</v>
      </c>
      <c r="G48" s="294" t="s">
        <v>22</v>
      </c>
      <c r="H48" s="294" t="s">
        <v>22</v>
      </c>
      <c r="I48" s="294" t="s">
        <v>22</v>
      </c>
      <c r="J48" s="294" t="s">
        <v>22</v>
      </c>
    </row>
    <row r="49">
      <c r="A49" s="307"/>
      <c r="B49" s="294" t="s">
        <v>22</v>
      </c>
      <c r="C49" s="294" t="s">
        <v>22</v>
      </c>
      <c r="D49" s="294" t="s">
        <v>22</v>
      </c>
      <c r="E49" s="294" t="s">
        <v>22</v>
      </c>
      <c r="F49" s="294" t="s">
        <v>22</v>
      </c>
      <c r="G49" s="294" t="s">
        <v>22</v>
      </c>
      <c r="H49" s="294" t="s">
        <v>22</v>
      </c>
      <c r="I49" s="294" t="s">
        <v>22</v>
      </c>
      <c r="J49" s="294" t="s">
        <v>22</v>
      </c>
    </row>
    <row r="50">
      <c r="A50" s="294"/>
      <c r="B50" s="294" t="s">
        <v>22</v>
      </c>
      <c r="C50" s="294" t="s">
        <v>22</v>
      </c>
      <c r="D50" s="294" t="s">
        <v>22</v>
      </c>
      <c r="E50" s="294" t="s">
        <v>22</v>
      </c>
      <c r="F50" s="294" t="s">
        <v>22</v>
      </c>
      <c r="G50" s="294" t="s">
        <v>22</v>
      </c>
      <c r="H50" s="294" t="s">
        <v>22</v>
      </c>
      <c r="I50" s="294" t="s">
        <v>22</v>
      </c>
      <c r="J50" s="294" t="s">
        <v>22</v>
      </c>
    </row>
    <row r="51">
      <c r="A51" s="294"/>
      <c r="B51" s="294" t="s">
        <v>22</v>
      </c>
      <c r="C51" s="294" t="s">
        <v>22</v>
      </c>
      <c r="D51" s="294" t="s">
        <v>22</v>
      </c>
      <c r="E51" s="294" t="s">
        <v>22</v>
      </c>
      <c r="F51" s="294" t="s">
        <v>22</v>
      </c>
      <c r="G51" s="294" t="s">
        <v>22</v>
      </c>
      <c r="H51" s="294" t="s">
        <v>22</v>
      </c>
      <c r="I51" s="294" t="s">
        <v>22</v>
      </c>
      <c r="J51" s="294" t="s">
        <v>22</v>
      </c>
    </row>
    <row r="52">
      <c r="A52" s="308"/>
      <c r="B52" s="294" t="s">
        <v>22</v>
      </c>
      <c r="C52" s="294" t="s">
        <v>22</v>
      </c>
      <c r="D52" s="294" t="s">
        <v>22</v>
      </c>
      <c r="E52" s="294" t="s">
        <v>22</v>
      </c>
      <c r="F52" s="294" t="s">
        <v>22</v>
      </c>
      <c r="G52" s="294" t="s">
        <v>22</v>
      </c>
      <c r="H52" s="294" t="s">
        <v>22</v>
      </c>
      <c r="I52" s="294" t="s">
        <v>22</v>
      </c>
      <c r="J52" s="294" t="s">
        <v>22</v>
      </c>
    </row>
    <row r="53">
      <c r="A53" s="304"/>
      <c r="B53" s="294" t="s">
        <v>22</v>
      </c>
      <c r="C53" s="294" t="s">
        <v>22</v>
      </c>
      <c r="D53" s="294" t="s">
        <v>22</v>
      </c>
      <c r="E53" s="294" t="s">
        <v>22</v>
      </c>
      <c r="F53" s="294" t="s">
        <v>22</v>
      </c>
      <c r="G53" s="294" t="s">
        <v>22</v>
      </c>
      <c r="H53" s="294" t="s">
        <v>22</v>
      </c>
      <c r="I53" s="294" t="s">
        <v>22</v>
      </c>
      <c r="J53" s="294" t="s">
        <v>22</v>
      </c>
    </row>
    <row r="54">
      <c r="A54" s="294"/>
      <c r="B54" s="294" t="s">
        <v>22</v>
      </c>
      <c r="C54" s="294" t="s">
        <v>22</v>
      </c>
      <c r="D54" s="294" t="s">
        <v>22</v>
      </c>
      <c r="E54" s="294" t="s">
        <v>22</v>
      </c>
      <c r="F54" s="294" t="s">
        <v>22</v>
      </c>
      <c r="G54" s="294" t="s">
        <v>22</v>
      </c>
      <c r="H54" s="294" t="s">
        <v>22</v>
      </c>
      <c r="I54" s="294" t="s">
        <v>22</v>
      </c>
      <c r="J54" s="294" t="s">
        <v>22</v>
      </c>
    </row>
    <row r="55">
      <c r="A55" s="307"/>
      <c r="B55" s="294" t="s">
        <v>22</v>
      </c>
      <c r="C55" s="294" t="s">
        <v>22</v>
      </c>
      <c r="D55" s="294" t="s">
        <v>22</v>
      </c>
      <c r="E55" s="294" t="s">
        <v>22</v>
      </c>
      <c r="F55" s="294" t="s">
        <v>22</v>
      </c>
      <c r="G55" s="294" t="s">
        <v>22</v>
      </c>
      <c r="H55" s="294" t="s">
        <v>22</v>
      </c>
      <c r="I55" s="294" t="s">
        <v>22</v>
      </c>
      <c r="J55" s="294" t="s">
        <v>22</v>
      </c>
    </row>
    <row r="56">
      <c r="A56" s="307"/>
      <c r="B56" s="294" t="s">
        <v>22</v>
      </c>
      <c r="C56" s="294" t="s">
        <v>22</v>
      </c>
      <c r="D56" s="294" t="s">
        <v>22</v>
      </c>
      <c r="E56" s="294" t="s">
        <v>22</v>
      </c>
      <c r="F56" s="294" t="s">
        <v>22</v>
      </c>
      <c r="G56" s="294" t="s">
        <v>22</v>
      </c>
      <c r="H56" s="294" t="s">
        <v>22</v>
      </c>
      <c r="I56" s="294" t="s">
        <v>22</v>
      </c>
      <c r="J56" s="294" t="s">
        <v>22</v>
      </c>
    </row>
    <row r="57">
      <c r="A57" s="294"/>
      <c r="B57" s="294" t="s">
        <v>22</v>
      </c>
      <c r="C57" s="294" t="s">
        <v>22</v>
      </c>
      <c r="D57" s="294" t="s">
        <v>22</v>
      </c>
      <c r="E57" s="294" t="s">
        <v>22</v>
      </c>
      <c r="F57" s="294" t="s">
        <v>22</v>
      </c>
      <c r="G57" s="294" t="s">
        <v>22</v>
      </c>
      <c r="H57" s="294" t="s">
        <v>22</v>
      </c>
      <c r="I57" s="294" t="s">
        <v>22</v>
      </c>
      <c r="J57" s="294" t="s">
        <v>22</v>
      </c>
    </row>
    <row r="58">
      <c r="A58" s="301"/>
      <c r="B58" s="294" t="s">
        <v>22</v>
      </c>
      <c r="C58" s="294" t="s">
        <v>22</v>
      </c>
      <c r="D58" s="294" t="s">
        <v>22</v>
      </c>
      <c r="E58" s="294" t="s">
        <v>22</v>
      </c>
      <c r="F58" s="294" t="s">
        <v>22</v>
      </c>
      <c r="G58" s="294" t="s">
        <v>22</v>
      </c>
      <c r="H58" s="294" t="s">
        <v>22</v>
      </c>
      <c r="I58" s="294" t="s">
        <v>22</v>
      </c>
      <c r="J58" s="294" t="s">
        <v>22</v>
      </c>
    </row>
    <row r="59">
      <c r="A59" s="301"/>
      <c r="B59" s="294" t="s">
        <v>22</v>
      </c>
      <c r="C59" s="294" t="s">
        <v>22</v>
      </c>
      <c r="D59" s="294" t="s">
        <v>22</v>
      </c>
      <c r="E59" s="294" t="s">
        <v>22</v>
      </c>
      <c r="F59" s="294" t="s">
        <v>22</v>
      </c>
      <c r="G59" s="294" t="s">
        <v>22</v>
      </c>
      <c r="H59" s="294" t="s">
        <v>22</v>
      </c>
      <c r="I59" s="294" t="s">
        <v>22</v>
      </c>
      <c r="J59" s="294" t="s">
        <v>22</v>
      </c>
    </row>
    <row r="60">
      <c r="A60" s="294"/>
      <c r="B60" s="294" t="s">
        <v>22</v>
      </c>
      <c r="C60" s="294" t="s">
        <v>22</v>
      </c>
      <c r="D60" s="294" t="s">
        <v>22</v>
      </c>
      <c r="E60" s="294" t="s">
        <v>22</v>
      </c>
      <c r="F60" s="294" t="s">
        <v>22</v>
      </c>
      <c r="G60" s="294" t="s">
        <v>22</v>
      </c>
      <c r="H60" s="294" t="s">
        <v>22</v>
      </c>
      <c r="I60" s="294" t="s">
        <v>22</v>
      </c>
      <c r="J60" s="294" t="s">
        <v>22</v>
      </c>
    </row>
    <row r="61">
      <c r="A61" s="301"/>
      <c r="B61" s="294" t="s">
        <v>22</v>
      </c>
      <c r="C61" s="294" t="s">
        <v>22</v>
      </c>
      <c r="D61" s="294" t="s">
        <v>22</v>
      </c>
      <c r="E61" s="294" t="s">
        <v>22</v>
      </c>
      <c r="F61" s="294" t="s">
        <v>22</v>
      </c>
      <c r="G61" s="294" t="s">
        <v>22</v>
      </c>
      <c r="H61" s="294" t="s">
        <v>22</v>
      </c>
      <c r="I61" s="294" t="s">
        <v>22</v>
      </c>
      <c r="J61" s="294" t="s">
        <v>22</v>
      </c>
    </row>
    <row r="62">
      <c r="A62" s="301"/>
      <c r="B62" s="294" t="s">
        <v>22</v>
      </c>
      <c r="C62" s="294" t="s">
        <v>22</v>
      </c>
      <c r="D62" s="294" t="s">
        <v>22</v>
      </c>
      <c r="E62" s="294" t="s">
        <v>22</v>
      </c>
      <c r="F62" s="294" t="s">
        <v>22</v>
      </c>
      <c r="G62" s="294" t="s">
        <v>22</v>
      </c>
      <c r="H62" s="294" t="s">
        <v>22</v>
      </c>
      <c r="I62" s="294" t="s">
        <v>22</v>
      </c>
      <c r="J62" s="294" t="s">
        <v>22</v>
      </c>
    </row>
    <row r="63">
      <c r="A63" s="294"/>
      <c r="B63" s="294" t="s">
        <v>22</v>
      </c>
      <c r="C63" s="294" t="s">
        <v>22</v>
      </c>
      <c r="D63" s="294" t="s">
        <v>22</v>
      </c>
      <c r="E63" s="294" t="s">
        <v>22</v>
      </c>
      <c r="F63" s="294" t="s">
        <v>22</v>
      </c>
      <c r="G63" s="294" t="s">
        <v>22</v>
      </c>
      <c r="H63" s="294" t="s">
        <v>22</v>
      </c>
      <c r="I63" s="294" t="s">
        <v>22</v>
      </c>
      <c r="J63" s="294" t="s">
        <v>22</v>
      </c>
    </row>
    <row r="64">
      <c r="A64" s="294"/>
      <c r="B64" s="294" t="s">
        <v>22</v>
      </c>
      <c r="C64" s="294" t="s">
        <v>22</v>
      </c>
      <c r="D64" s="294" t="s">
        <v>22</v>
      </c>
      <c r="E64" s="294" t="s">
        <v>22</v>
      </c>
      <c r="F64" s="294" t="s">
        <v>22</v>
      </c>
      <c r="G64" s="294" t="s">
        <v>22</v>
      </c>
      <c r="H64" s="294" t="s">
        <v>22</v>
      </c>
      <c r="I64" s="294" t="s">
        <v>22</v>
      </c>
      <c r="J64" s="294" t="s">
        <v>22</v>
      </c>
    </row>
    <row r="65">
      <c r="A65" s="294"/>
      <c r="B65" s="294" t="s">
        <v>22</v>
      </c>
      <c r="C65" s="294" t="s">
        <v>22</v>
      </c>
      <c r="D65" s="294" t="s">
        <v>22</v>
      </c>
      <c r="E65" s="294" t="s">
        <v>22</v>
      </c>
      <c r="F65" s="294" t="s">
        <v>22</v>
      </c>
      <c r="G65" s="294" t="s">
        <v>22</v>
      </c>
      <c r="H65" s="294" t="s">
        <v>22</v>
      </c>
      <c r="I65" s="294" t="s">
        <v>22</v>
      </c>
      <c r="J65" s="294" t="s">
        <v>22</v>
      </c>
    </row>
    <row r="66">
      <c r="A66" s="304"/>
      <c r="B66" s="294" t="s">
        <v>22</v>
      </c>
      <c r="C66" s="294" t="s">
        <v>22</v>
      </c>
      <c r="D66" s="294" t="s">
        <v>22</v>
      </c>
      <c r="E66" s="294" t="s">
        <v>22</v>
      </c>
      <c r="F66" s="294" t="s">
        <v>22</v>
      </c>
      <c r="G66" s="294" t="s">
        <v>22</v>
      </c>
      <c r="H66" s="294" t="s">
        <v>22</v>
      </c>
      <c r="I66" s="294" t="s">
        <v>22</v>
      </c>
      <c r="J66" s="294" t="s">
        <v>22</v>
      </c>
    </row>
    <row r="67">
      <c r="A67" s="295"/>
      <c r="B67" s="294" t="s">
        <v>22</v>
      </c>
      <c r="C67" s="294" t="s">
        <v>22</v>
      </c>
      <c r="D67" s="294" t="s">
        <v>22</v>
      </c>
      <c r="E67" s="294" t="s">
        <v>22</v>
      </c>
      <c r="F67" s="294" t="s">
        <v>22</v>
      </c>
      <c r="G67" s="294" t="s">
        <v>22</v>
      </c>
      <c r="H67" s="294" t="s">
        <v>22</v>
      </c>
      <c r="I67" s="294" t="s">
        <v>22</v>
      </c>
      <c r="J67" s="294" t="s">
        <v>22</v>
      </c>
    </row>
    <row r="68">
      <c r="A68" s="295"/>
      <c r="B68" s="294" t="s">
        <v>22</v>
      </c>
      <c r="C68" s="294" t="s">
        <v>22</v>
      </c>
      <c r="D68" s="294" t="s">
        <v>22</v>
      </c>
      <c r="E68" s="294" t="s">
        <v>22</v>
      </c>
      <c r="F68" s="294" t="s">
        <v>22</v>
      </c>
      <c r="G68" s="294" t="s">
        <v>22</v>
      </c>
      <c r="H68" s="294" t="s">
        <v>22</v>
      </c>
      <c r="I68" s="294" t="s">
        <v>22</v>
      </c>
      <c r="J68" s="294" t="s">
        <v>22</v>
      </c>
    </row>
    <row r="69">
      <c r="A69" s="295"/>
      <c r="B69" s="294" t="s">
        <v>22</v>
      </c>
      <c r="C69" s="294" t="s">
        <v>22</v>
      </c>
      <c r="D69" s="294" t="s">
        <v>22</v>
      </c>
      <c r="E69" s="294" t="s">
        <v>22</v>
      </c>
      <c r="F69" s="294" t="s">
        <v>22</v>
      </c>
      <c r="G69" s="294" t="s">
        <v>22</v>
      </c>
      <c r="H69" s="294" t="s">
        <v>22</v>
      </c>
      <c r="I69" s="294" t="s">
        <v>22</v>
      </c>
      <c r="J69" s="294" t="s">
        <v>22</v>
      </c>
    </row>
    <row r="70">
      <c r="A70" s="295"/>
      <c r="B70" s="294" t="s">
        <v>22</v>
      </c>
      <c r="C70" s="294" t="s">
        <v>22</v>
      </c>
      <c r="D70" s="294" t="s">
        <v>22</v>
      </c>
      <c r="E70" s="294" t="s">
        <v>22</v>
      </c>
      <c r="F70" s="294" t="s">
        <v>22</v>
      </c>
      <c r="G70" s="294" t="s">
        <v>22</v>
      </c>
      <c r="H70" s="294" t="s">
        <v>22</v>
      </c>
      <c r="I70" s="294" t="s">
        <v>22</v>
      </c>
      <c r="J70" s="294" t="s">
        <v>22</v>
      </c>
    </row>
    <row r="71">
      <c r="A71" s="295"/>
      <c r="B71" s="294" t="s">
        <v>22</v>
      </c>
      <c r="C71" s="294" t="s">
        <v>22</v>
      </c>
      <c r="D71" s="294" t="s">
        <v>22</v>
      </c>
      <c r="E71" s="294" t="s">
        <v>22</v>
      </c>
      <c r="F71" s="294" t="s">
        <v>22</v>
      </c>
      <c r="G71" s="294" t="s">
        <v>22</v>
      </c>
      <c r="H71" s="294" t="s">
        <v>22</v>
      </c>
      <c r="I71" s="294" t="s">
        <v>22</v>
      </c>
      <c r="J71" s="294" t="s">
        <v>22</v>
      </c>
    </row>
    <row r="72">
      <c r="A72" s="294"/>
      <c r="B72" s="294" t="s">
        <v>22</v>
      </c>
      <c r="C72" s="294" t="s">
        <v>22</v>
      </c>
      <c r="D72" s="294" t="s">
        <v>22</v>
      </c>
      <c r="E72" s="294" t="s">
        <v>22</v>
      </c>
      <c r="F72" s="294" t="s">
        <v>22</v>
      </c>
      <c r="G72" s="294" t="s">
        <v>22</v>
      </c>
      <c r="H72" s="294" t="s">
        <v>22</v>
      </c>
      <c r="I72" s="294" t="s">
        <v>22</v>
      </c>
      <c r="J72" s="294" t="s">
        <v>22</v>
      </c>
    </row>
    <row r="73">
      <c r="A73" s="294"/>
      <c r="B73" s="294" t="s">
        <v>22</v>
      </c>
      <c r="C73" s="294" t="s">
        <v>22</v>
      </c>
      <c r="D73" s="294" t="s">
        <v>22</v>
      </c>
      <c r="E73" s="294" t="s">
        <v>22</v>
      </c>
      <c r="F73" s="294" t="s">
        <v>22</v>
      </c>
      <c r="G73" s="294" t="s">
        <v>22</v>
      </c>
      <c r="H73" s="294" t="s">
        <v>22</v>
      </c>
      <c r="I73" s="294" t="s">
        <v>22</v>
      </c>
      <c r="J73" s="294" t="s">
        <v>22</v>
      </c>
    </row>
    <row r="74">
      <c r="A74" s="303"/>
      <c r="B74" s="294" t="s">
        <v>22</v>
      </c>
      <c r="C74" s="294" t="s">
        <v>22</v>
      </c>
      <c r="D74" s="294" t="s">
        <v>22</v>
      </c>
      <c r="E74" s="294" t="s">
        <v>22</v>
      </c>
      <c r="F74" s="294" t="s">
        <v>22</v>
      </c>
      <c r="G74" s="294" t="s">
        <v>22</v>
      </c>
      <c r="H74" s="294" t="s">
        <v>22</v>
      </c>
      <c r="I74" s="294" t="s">
        <v>22</v>
      </c>
      <c r="J74" s="294" t="s">
        <v>22</v>
      </c>
    </row>
    <row r="75">
      <c r="A75" s="302"/>
      <c r="B75" s="294" t="s">
        <v>22</v>
      </c>
      <c r="C75" s="294" t="s">
        <v>22</v>
      </c>
      <c r="D75" s="294" t="s">
        <v>22</v>
      </c>
      <c r="E75" s="294" t="s">
        <v>22</v>
      </c>
      <c r="F75" s="294" t="s">
        <v>22</v>
      </c>
      <c r="G75" s="294" t="s">
        <v>22</v>
      </c>
      <c r="H75" s="294" t="s">
        <v>22</v>
      </c>
      <c r="I75" s="294" t="s">
        <v>22</v>
      </c>
      <c r="J75" s="294" t="s">
        <v>22</v>
      </c>
    </row>
    <row r="76">
      <c r="A76" s="305"/>
      <c r="B76" s="294" t="s">
        <v>22</v>
      </c>
      <c r="C76" s="294" t="s">
        <v>22</v>
      </c>
      <c r="D76" s="294" t="s">
        <v>22</v>
      </c>
      <c r="E76" s="294" t="s">
        <v>22</v>
      </c>
      <c r="F76" s="294" t="s">
        <v>22</v>
      </c>
      <c r="G76" s="294" t="s">
        <v>22</v>
      </c>
      <c r="H76" s="294" t="s">
        <v>22</v>
      </c>
      <c r="I76" s="294" t="s">
        <v>22</v>
      </c>
      <c r="J76" s="294" t="s">
        <v>22</v>
      </c>
    </row>
    <row r="77">
      <c r="A77" s="294"/>
      <c r="B77" s="294" t="s">
        <v>22</v>
      </c>
      <c r="C77" s="294" t="s">
        <v>22</v>
      </c>
      <c r="D77" s="294" t="s">
        <v>22</v>
      </c>
      <c r="E77" s="294" t="s">
        <v>22</v>
      </c>
      <c r="F77" s="294" t="s">
        <v>22</v>
      </c>
      <c r="G77" s="294" t="s">
        <v>22</v>
      </c>
      <c r="H77" s="294" t="s">
        <v>22</v>
      </c>
      <c r="I77" s="294" t="s">
        <v>22</v>
      </c>
      <c r="J77" s="294" t="s">
        <v>22</v>
      </c>
    </row>
    <row r="78">
      <c r="A78" s="294"/>
      <c r="B78" s="294" t="s">
        <v>22</v>
      </c>
      <c r="C78" s="294" t="s">
        <v>22</v>
      </c>
      <c r="D78" s="294" t="s">
        <v>22</v>
      </c>
      <c r="E78" s="294" t="s">
        <v>22</v>
      </c>
      <c r="F78" s="294" t="s">
        <v>22</v>
      </c>
      <c r="G78" s="294" t="s">
        <v>22</v>
      </c>
      <c r="H78" s="294" t="s">
        <v>22</v>
      </c>
      <c r="I78" s="294" t="s">
        <v>22</v>
      </c>
      <c r="J78" s="294" t="s">
        <v>22</v>
      </c>
    </row>
    <row r="79">
      <c r="A79" s="306"/>
      <c r="B79" s="294" t="s">
        <v>22</v>
      </c>
      <c r="C79" s="294" t="s">
        <v>22</v>
      </c>
      <c r="D79" s="294" t="s">
        <v>22</v>
      </c>
      <c r="E79" s="294" t="s">
        <v>22</v>
      </c>
      <c r="F79" s="294" t="s">
        <v>22</v>
      </c>
      <c r="G79" s="294" t="s">
        <v>22</v>
      </c>
      <c r="H79" s="294" t="s">
        <v>22</v>
      </c>
      <c r="I79" s="294" t="s">
        <v>22</v>
      </c>
      <c r="J79" s="294" t="s">
        <v>22</v>
      </c>
    </row>
    <row r="80">
      <c r="A80" s="308"/>
      <c r="B80" s="294" t="s">
        <v>22</v>
      </c>
      <c r="C80" s="294" t="s">
        <v>22</v>
      </c>
      <c r="D80" s="294" t="s">
        <v>22</v>
      </c>
      <c r="E80" s="294" t="s">
        <v>22</v>
      </c>
      <c r="F80" s="294" t="s">
        <v>22</v>
      </c>
      <c r="G80" s="294" t="s">
        <v>22</v>
      </c>
      <c r="H80" s="294" t="s">
        <v>22</v>
      </c>
      <c r="I80" s="294" t="s">
        <v>22</v>
      </c>
      <c r="J80" s="294" t="s">
        <v>22</v>
      </c>
    </row>
    <row r="81">
      <c r="A81" s="304"/>
      <c r="B81" s="294" t="s">
        <v>22</v>
      </c>
      <c r="C81" s="294" t="s">
        <v>22</v>
      </c>
      <c r="D81" s="294" t="s">
        <v>22</v>
      </c>
      <c r="E81" s="294" t="s">
        <v>22</v>
      </c>
      <c r="F81" s="294" t="s">
        <v>22</v>
      </c>
      <c r="G81" s="294" t="s">
        <v>22</v>
      </c>
      <c r="H81" s="294" t="s">
        <v>22</v>
      </c>
      <c r="I81" s="294" t="s">
        <v>22</v>
      </c>
      <c r="J81" s="294" t="s">
        <v>22</v>
      </c>
    </row>
    <row r="82">
      <c r="A82" s="294"/>
      <c r="B82" s="294" t="s">
        <v>22</v>
      </c>
      <c r="C82" s="294" t="s">
        <v>22</v>
      </c>
      <c r="D82" s="294" t="s">
        <v>22</v>
      </c>
      <c r="E82" s="294" t="s">
        <v>22</v>
      </c>
      <c r="F82" s="294" t="s">
        <v>22</v>
      </c>
      <c r="G82" s="294" t="s">
        <v>22</v>
      </c>
      <c r="H82" s="294" t="s">
        <v>22</v>
      </c>
      <c r="I82" s="294" t="s">
        <v>22</v>
      </c>
      <c r="J82" s="294" t="s">
        <v>22</v>
      </c>
    </row>
    <row r="83">
      <c r="A83" s="294"/>
      <c r="B83" s="294" t="s">
        <v>22</v>
      </c>
      <c r="C83" s="294" t="s">
        <v>22</v>
      </c>
      <c r="D83" s="294" t="s">
        <v>22</v>
      </c>
      <c r="E83" s="294" t="s">
        <v>22</v>
      </c>
      <c r="F83" s="294" t="s">
        <v>22</v>
      </c>
      <c r="G83" s="294" t="s">
        <v>22</v>
      </c>
      <c r="H83" s="294" t="s">
        <v>22</v>
      </c>
      <c r="I83" s="294" t="s">
        <v>22</v>
      </c>
      <c r="J83" s="294" t="s">
        <v>22</v>
      </c>
    </row>
    <row r="84">
      <c r="A84" s="307"/>
      <c r="B84" s="294" t="s">
        <v>22</v>
      </c>
      <c r="C84" s="294" t="s">
        <v>22</v>
      </c>
      <c r="D84" s="294" t="s">
        <v>22</v>
      </c>
      <c r="E84" s="294" t="s">
        <v>22</v>
      </c>
      <c r="F84" s="294" t="s">
        <v>22</v>
      </c>
      <c r="G84" s="294" t="s">
        <v>22</v>
      </c>
      <c r="H84" s="294" t="s">
        <v>22</v>
      </c>
      <c r="I84" s="294" t="s">
        <v>22</v>
      </c>
      <c r="J84" s="294" t="s">
        <v>22</v>
      </c>
    </row>
    <row r="85">
      <c r="A85" s="307"/>
      <c r="B85" s="294" t="s">
        <v>22</v>
      </c>
      <c r="C85" s="294" t="s">
        <v>22</v>
      </c>
      <c r="D85" s="294" t="s">
        <v>22</v>
      </c>
      <c r="E85" s="294" t="s">
        <v>22</v>
      </c>
      <c r="F85" s="294" t="s">
        <v>22</v>
      </c>
      <c r="G85" s="294" t="s">
        <v>22</v>
      </c>
      <c r="H85" s="294" t="s">
        <v>22</v>
      </c>
      <c r="I85" s="294" t="s">
        <v>22</v>
      </c>
      <c r="J85" s="294" t="s">
        <v>22</v>
      </c>
    </row>
    <row r="86">
      <c r="A86" s="294"/>
      <c r="B86" s="294" t="s">
        <v>22</v>
      </c>
      <c r="C86" s="294" t="s">
        <v>22</v>
      </c>
      <c r="D86" s="294" t="s">
        <v>22</v>
      </c>
      <c r="E86" s="294" t="s">
        <v>22</v>
      </c>
      <c r="F86" s="294" t="s">
        <v>22</v>
      </c>
      <c r="G86" s="294" t="s">
        <v>22</v>
      </c>
      <c r="H86" s="294" t="s">
        <v>22</v>
      </c>
      <c r="I86" s="294" t="s">
        <v>22</v>
      </c>
      <c r="J86" s="294" t="s">
        <v>22</v>
      </c>
    </row>
    <row r="87">
      <c r="A87" s="294"/>
      <c r="B87" s="294" t="s">
        <v>22</v>
      </c>
      <c r="C87" s="294" t="s">
        <v>22</v>
      </c>
      <c r="D87" s="294" t="s">
        <v>22</v>
      </c>
      <c r="E87" s="294" t="s">
        <v>22</v>
      </c>
      <c r="F87" s="294" t="s">
        <v>22</v>
      </c>
      <c r="G87" s="294" t="s">
        <v>22</v>
      </c>
      <c r="H87" s="294" t="s">
        <v>22</v>
      </c>
      <c r="I87" s="294" t="s">
        <v>22</v>
      </c>
      <c r="J87" s="294" t="s">
        <v>22</v>
      </c>
    </row>
    <row r="88">
      <c r="A88" s="294"/>
      <c r="B88" s="294" t="s">
        <v>22</v>
      </c>
      <c r="C88" s="294" t="s">
        <v>22</v>
      </c>
      <c r="D88" s="294" t="s">
        <v>22</v>
      </c>
      <c r="E88" s="294" t="s">
        <v>22</v>
      </c>
      <c r="F88" s="294" t="s">
        <v>22</v>
      </c>
      <c r="G88" s="294" t="s">
        <v>22</v>
      </c>
      <c r="H88" s="294" t="s">
        <v>22</v>
      </c>
      <c r="I88" s="294" t="s">
        <v>22</v>
      </c>
      <c r="J88" s="294" t="s">
        <v>22</v>
      </c>
    </row>
    <row r="89">
      <c r="A89" s="307"/>
      <c r="B89" s="294" t="s">
        <v>22</v>
      </c>
      <c r="C89" s="294" t="s">
        <v>22</v>
      </c>
      <c r="D89" s="294" t="s">
        <v>22</v>
      </c>
      <c r="E89" s="294" t="s">
        <v>22</v>
      </c>
      <c r="F89" s="294" t="s">
        <v>22</v>
      </c>
      <c r="G89" s="294" t="s">
        <v>22</v>
      </c>
      <c r="H89" s="294" t="s">
        <v>22</v>
      </c>
      <c r="I89" s="294" t="s">
        <v>22</v>
      </c>
      <c r="J89" s="294" t="s">
        <v>22</v>
      </c>
    </row>
    <row r="90">
      <c r="A90" s="307"/>
      <c r="B90" s="294" t="s">
        <v>22</v>
      </c>
      <c r="C90" s="294" t="s">
        <v>22</v>
      </c>
      <c r="D90" s="294" t="s">
        <v>22</v>
      </c>
      <c r="E90" s="294" t="s">
        <v>22</v>
      </c>
      <c r="F90" s="294" t="s">
        <v>22</v>
      </c>
      <c r="G90" s="294" t="s">
        <v>22</v>
      </c>
      <c r="H90" s="294" t="s">
        <v>22</v>
      </c>
      <c r="I90" s="294" t="s">
        <v>22</v>
      </c>
      <c r="J90" s="294" t="s">
        <v>22</v>
      </c>
    </row>
    <row r="91">
      <c r="A91" s="294"/>
      <c r="B91" s="294" t="s">
        <v>22</v>
      </c>
      <c r="C91" s="294" t="s">
        <v>22</v>
      </c>
      <c r="D91" s="294" t="s">
        <v>22</v>
      </c>
      <c r="E91" s="294" t="s">
        <v>22</v>
      </c>
      <c r="F91" s="294" t="s">
        <v>22</v>
      </c>
      <c r="G91" s="294" t="s">
        <v>22</v>
      </c>
      <c r="H91" s="294" t="s">
        <v>22</v>
      </c>
      <c r="I91" s="294" t="s">
        <v>22</v>
      </c>
      <c r="J91" s="294" t="s">
        <v>22</v>
      </c>
    </row>
    <row r="92">
      <c r="A92" s="294"/>
      <c r="B92" s="294" t="s">
        <v>22</v>
      </c>
      <c r="C92" s="294" t="s">
        <v>22</v>
      </c>
      <c r="D92" s="294" t="s">
        <v>22</v>
      </c>
      <c r="E92" s="294" t="s">
        <v>22</v>
      </c>
      <c r="F92" s="294" t="s">
        <v>22</v>
      </c>
      <c r="G92" s="294" t="s">
        <v>22</v>
      </c>
      <c r="H92" s="294" t="s">
        <v>22</v>
      </c>
      <c r="I92" s="294" t="s">
        <v>22</v>
      </c>
      <c r="J92" s="294" t="s">
        <v>22</v>
      </c>
    </row>
    <row r="93">
      <c r="A93" s="307"/>
      <c r="B93" s="294" t="s">
        <v>22</v>
      </c>
      <c r="C93" s="294" t="s">
        <v>22</v>
      </c>
      <c r="D93" s="294" t="s">
        <v>22</v>
      </c>
      <c r="E93" s="294" t="s">
        <v>22</v>
      </c>
      <c r="F93" s="294" t="s">
        <v>22</v>
      </c>
      <c r="G93" s="294" t="s">
        <v>22</v>
      </c>
      <c r="H93" s="294" t="s">
        <v>22</v>
      </c>
      <c r="I93" s="294" t="s">
        <v>22</v>
      </c>
      <c r="J93" s="294" t="s">
        <v>22</v>
      </c>
    </row>
    <row r="94">
      <c r="A94" s="307"/>
      <c r="B94" s="294" t="s">
        <v>22</v>
      </c>
      <c r="C94" s="294" t="s">
        <v>22</v>
      </c>
      <c r="D94" s="294" t="s">
        <v>22</v>
      </c>
      <c r="E94" s="294" t="s">
        <v>22</v>
      </c>
      <c r="F94" s="294" t="s">
        <v>22</v>
      </c>
      <c r="G94" s="294" t="s">
        <v>22</v>
      </c>
      <c r="H94" s="294" t="s">
        <v>22</v>
      </c>
      <c r="I94" s="294" t="s">
        <v>22</v>
      </c>
      <c r="J94" s="294" t="s">
        <v>22</v>
      </c>
    </row>
    <row r="95">
      <c r="A95" s="294"/>
      <c r="B95" s="294" t="s">
        <v>22</v>
      </c>
      <c r="C95" s="294" t="s">
        <v>22</v>
      </c>
      <c r="D95" s="294" t="s">
        <v>22</v>
      </c>
      <c r="E95" s="294" t="s">
        <v>22</v>
      </c>
      <c r="F95" s="294" t="s">
        <v>22</v>
      </c>
      <c r="G95" s="294" t="s">
        <v>22</v>
      </c>
      <c r="H95" s="294" t="s">
        <v>22</v>
      </c>
      <c r="I95" s="294" t="s">
        <v>22</v>
      </c>
      <c r="J95" s="294" t="s">
        <v>22</v>
      </c>
    </row>
    <row r="96">
      <c r="A96" s="294"/>
      <c r="B96" s="294" t="s">
        <v>22</v>
      </c>
      <c r="C96" s="294" t="s">
        <v>22</v>
      </c>
      <c r="D96" s="294" t="s">
        <v>22</v>
      </c>
      <c r="E96" s="294" t="s">
        <v>22</v>
      </c>
      <c r="F96" s="294" t="s">
        <v>22</v>
      </c>
      <c r="G96" s="294" t="s">
        <v>22</v>
      </c>
      <c r="H96" s="294" t="s">
        <v>22</v>
      </c>
      <c r="I96" s="294" t="s">
        <v>22</v>
      </c>
      <c r="J96" s="294" t="s">
        <v>22</v>
      </c>
    </row>
    <row r="97">
      <c r="A97" s="307"/>
      <c r="B97" s="294" t="s">
        <v>22</v>
      </c>
      <c r="C97" s="294" t="s">
        <v>22</v>
      </c>
      <c r="D97" s="294" t="s">
        <v>22</v>
      </c>
      <c r="E97" s="294" t="s">
        <v>22</v>
      </c>
      <c r="F97" s="294" t="s">
        <v>22</v>
      </c>
      <c r="G97" s="294" t="s">
        <v>22</v>
      </c>
      <c r="H97" s="294" t="s">
        <v>22</v>
      </c>
      <c r="I97" s="294" t="s">
        <v>22</v>
      </c>
      <c r="J97" s="294" t="s">
        <v>22</v>
      </c>
    </row>
    <row r="98">
      <c r="A98" s="302"/>
      <c r="B98" s="294" t="s">
        <v>22</v>
      </c>
      <c r="C98" s="294" t="s">
        <v>22</v>
      </c>
      <c r="D98" s="294" t="s">
        <v>22</v>
      </c>
      <c r="E98" s="294" t="s">
        <v>22</v>
      </c>
      <c r="F98" s="294" t="s">
        <v>22</v>
      </c>
      <c r="G98" s="294" t="s">
        <v>22</v>
      </c>
      <c r="H98" s="294" t="s">
        <v>22</v>
      </c>
      <c r="I98" s="294" t="s">
        <v>22</v>
      </c>
      <c r="J98" s="294" t="s">
        <v>22</v>
      </c>
    </row>
    <row r="99">
      <c r="A99" s="302"/>
      <c r="B99" s="294" t="s">
        <v>22</v>
      </c>
      <c r="C99" s="294" t="s">
        <v>22</v>
      </c>
      <c r="D99" s="294" t="s">
        <v>22</v>
      </c>
      <c r="E99" s="294" t="s">
        <v>22</v>
      </c>
      <c r="F99" s="294" t="s">
        <v>22</v>
      </c>
      <c r="G99" s="294" t="s">
        <v>22</v>
      </c>
      <c r="H99" s="294" t="s">
        <v>22</v>
      </c>
      <c r="I99" s="294" t="s">
        <v>22</v>
      </c>
      <c r="J99" s="294" t="s">
        <v>22</v>
      </c>
    </row>
    <row r="100">
      <c r="A100" s="294"/>
      <c r="B100" s="294" t="s">
        <v>22</v>
      </c>
      <c r="C100" s="294" t="s">
        <v>22</v>
      </c>
      <c r="D100" s="294" t="s">
        <v>22</v>
      </c>
      <c r="E100" s="294" t="s">
        <v>22</v>
      </c>
      <c r="F100" s="294" t="s">
        <v>22</v>
      </c>
      <c r="G100" s="294" t="s">
        <v>22</v>
      </c>
      <c r="H100" s="294" t="s">
        <v>22</v>
      </c>
      <c r="I100" s="294" t="s">
        <v>22</v>
      </c>
      <c r="J100" s="294" t="s">
        <v>22</v>
      </c>
    </row>
    <row r="101">
      <c r="A101" s="294"/>
      <c r="B101" s="294" t="s">
        <v>22</v>
      </c>
      <c r="C101" s="294" t="s">
        <v>22</v>
      </c>
      <c r="D101" s="294" t="s">
        <v>22</v>
      </c>
      <c r="E101" s="294" t="s">
        <v>22</v>
      </c>
      <c r="F101" s="294" t="s">
        <v>22</v>
      </c>
      <c r="G101" s="294" t="s">
        <v>22</v>
      </c>
      <c r="H101" s="294" t="s">
        <v>22</v>
      </c>
      <c r="I101" s="294" t="s">
        <v>22</v>
      </c>
      <c r="J101" s="294" t="s">
        <v>22</v>
      </c>
    </row>
    <row r="102">
      <c r="A102" s="302"/>
      <c r="B102" s="294" t="s">
        <v>22</v>
      </c>
      <c r="C102" s="294" t="s">
        <v>22</v>
      </c>
      <c r="D102" s="294" t="s">
        <v>22</v>
      </c>
      <c r="E102" s="294" t="s">
        <v>22</v>
      </c>
      <c r="F102" s="294" t="s">
        <v>22</v>
      </c>
      <c r="G102" s="294" t="s">
        <v>22</v>
      </c>
      <c r="H102" s="294" t="s">
        <v>22</v>
      </c>
      <c r="I102" s="294" t="s">
        <v>22</v>
      </c>
      <c r="J102" s="294" t="s">
        <v>22</v>
      </c>
    </row>
    <row r="103">
      <c r="A103" s="302"/>
      <c r="B103" s="294" t="s">
        <v>22</v>
      </c>
      <c r="C103" s="294" t="s">
        <v>22</v>
      </c>
      <c r="D103" s="294" t="s">
        <v>22</v>
      </c>
      <c r="E103" s="294" t="s">
        <v>22</v>
      </c>
      <c r="F103" s="294" t="s">
        <v>22</v>
      </c>
      <c r="G103" s="294" t="s">
        <v>22</v>
      </c>
      <c r="H103" s="294" t="s">
        <v>22</v>
      </c>
      <c r="I103" s="294" t="s">
        <v>22</v>
      </c>
      <c r="J103" s="294" t="s">
        <v>22</v>
      </c>
    </row>
    <row r="104">
      <c r="A104" s="294"/>
      <c r="B104" s="294" t="s">
        <v>22</v>
      </c>
      <c r="C104" s="294" t="s">
        <v>22</v>
      </c>
      <c r="D104" s="294" t="s">
        <v>22</v>
      </c>
      <c r="E104" s="294" t="s">
        <v>22</v>
      </c>
      <c r="F104" s="294" t="s">
        <v>22</v>
      </c>
      <c r="G104" s="294" t="s">
        <v>22</v>
      </c>
      <c r="H104" s="294" t="s">
        <v>22</v>
      </c>
      <c r="I104" s="294" t="s">
        <v>22</v>
      </c>
      <c r="J104" s="294" t="s">
        <v>22</v>
      </c>
    </row>
    <row r="105">
      <c r="A105" s="308"/>
      <c r="B105" s="294" t="s">
        <v>22</v>
      </c>
      <c r="C105" s="294" t="s">
        <v>22</v>
      </c>
      <c r="D105" s="294" t="s">
        <v>22</v>
      </c>
      <c r="E105" s="294" t="s">
        <v>22</v>
      </c>
      <c r="F105" s="294" t="s">
        <v>22</v>
      </c>
      <c r="G105" s="294" t="s">
        <v>22</v>
      </c>
      <c r="H105" s="294" t="s">
        <v>22</v>
      </c>
      <c r="I105" s="294" t="s">
        <v>22</v>
      </c>
      <c r="J105" s="294" t="s">
        <v>22</v>
      </c>
    </row>
    <row r="106">
      <c r="A106" s="308"/>
      <c r="B106" s="294" t="s">
        <v>22</v>
      </c>
      <c r="C106" s="294" t="s">
        <v>22</v>
      </c>
      <c r="D106" s="294" t="s">
        <v>22</v>
      </c>
      <c r="E106" s="294" t="s">
        <v>22</v>
      </c>
      <c r="F106" s="294" t="s">
        <v>22</v>
      </c>
      <c r="G106" s="294" t="s">
        <v>22</v>
      </c>
      <c r="H106" s="294" t="s">
        <v>22</v>
      </c>
      <c r="I106" s="294" t="s">
        <v>22</v>
      </c>
      <c r="J106" s="294" t="s">
        <v>22</v>
      </c>
    </row>
    <row r="107">
      <c r="A107" s="308"/>
      <c r="B107" s="294" t="s">
        <v>22</v>
      </c>
      <c r="C107" s="294" t="s">
        <v>22</v>
      </c>
      <c r="D107" s="294" t="s">
        <v>22</v>
      </c>
      <c r="E107" s="294" t="s">
        <v>22</v>
      </c>
      <c r="F107" s="294" t="s">
        <v>22</v>
      </c>
      <c r="G107" s="294" t="s">
        <v>22</v>
      </c>
      <c r="H107" s="294" t="s">
        <v>22</v>
      </c>
      <c r="I107" s="294" t="s">
        <v>22</v>
      </c>
      <c r="J107" s="294" t="s">
        <v>22</v>
      </c>
    </row>
    <row r="108">
      <c r="A108" s="294"/>
      <c r="B108" s="294" t="s">
        <v>22</v>
      </c>
      <c r="C108" s="294" t="s">
        <v>22</v>
      </c>
      <c r="D108" s="294" t="s">
        <v>22</v>
      </c>
      <c r="E108" s="294" t="s">
        <v>22</v>
      </c>
      <c r="F108" s="294" t="s">
        <v>22</v>
      </c>
      <c r="G108" s="294" t="s">
        <v>22</v>
      </c>
      <c r="H108" s="294" t="s">
        <v>22</v>
      </c>
      <c r="I108" s="294" t="s">
        <v>22</v>
      </c>
      <c r="J108" s="294" t="s">
        <v>22</v>
      </c>
    </row>
    <row r="109">
      <c r="A109" s="294"/>
      <c r="B109" s="294" t="s">
        <v>22</v>
      </c>
      <c r="C109" s="294" t="s">
        <v>22</v>
      </c>
      <c r="D109" s="294" t="s">
        <v>22</v>
      </c>
      <c r="E109" s="294" t="s">
        <v>22</v>
      </c>
      <c r="F109" s="294" t="s">
        <v>22</v>
      </c>
      <c r="G109" s="294" t="s">
        <v>22</v>
      </c>
      <c r="H109" s="294" t="s">
        <v>22</v>
      </c>
      <c r="I109" s="294" t="s">
        <v>22</v>
      </c>
      <c r="J109" s="294" t="s">
        <v>22</v>
      </c>
    </row>
    <row r="110">
      <c r="A110" s="294"/>
      <c r="B110" s="294" t="s">
        <v>22</v>
      </c>
      <c r="C110" s="294" t="s">
        <v>22</v>
      </c>
      <c r="D110" s="294" t="s">
        <v>22</v>
      </c>
      <c r="E110" s="294" t="s">
        <v>22</v>
      </c>
      <c r="F110" s="294" t="s">
        <v>22</v>
      </c>
      <c r="G110" s="294" t="s">
        <v>22</v>
      </c>
      <c r="H110" s="294" t="s">
        <v>22</v>
      </c>
      <c r="I110" s="294" t="s">
        <v>22</v>
      </c>
      <c r="J110" s="294" t="s">
        <v>22</v>
      </c>
    </row>
    <row r="111">
      <c r="A111" s="294"/>
      <c r="B111" s="294" t="s">
        <v>22</v>
      </c>
      <c r="C111" s="294" t="s">
        <v>22</v>
      </c>
      <c r="D111" s="294" t="s">
        <v>22</v>
      </c>
      <c r="E111" s="294" t="s">
        <v>22</v>
      </c>
      <c r="F111" s="294" t="s">
        <v>22</v>
      </c>
      <c r="G111" s="294" t="s">
        <v>22</v>
      </c>
      <c r="H111" s="294" t="s">
        <v>22</v>
      </c>
      <c r="I111" s="294" t="s">
        <v>22</v>
      </c>
      <c r="J111" s="294" t="s">
        <v>22</v>
      </c>
    </row>
    <row r="112">
      <c r="A112" s="294"/>
      <c r="B112" s="294" t="s">
        <v>22</v>
      </c>
      <c r="C112" s="294" t="s">
        <v>22</v>
      </c>
      <c r="D112" s="294" t="s">
        <v>22</v>
      </c>
      <c r="E112" s="294" t="s">
        <v>22</v>
      </c>
      <c r="F112" s="294" t="s">
        <v>22</v>
      </c>
      <c r="G112" s="294" t="s">
        <v>22</v>
      </c>
      <c r="H112" s="294" t="s">
        <v>22</v>
      </c>
      <c r="I112" s="294" t="s">
        <v>22</v>
      </c>
      <c r="J112" s="294" t="s">
        <v>22</v>
      </c>
    </row>
    <row r="113">
      <c r="A113" s="294"/>
      <c r="B113" s="294" t="s">
        <v>22</v>
      </c>
      <c r="C113" s="294" t="s">
        <v>22</v>
      </c>
      <c r="D113" s="294" t="s">
        <v>22</v>
      </c>
      <c r="E113" s="294" t="s">
        <v>22</v>
      </c>
      <c r="F113" s="294" t="s">
        <v>22</v>
      </c>
      <c r="G113" s="294" t="s">
        <v>22</v>
      </c>
      <c r="H113" s="294" t="s">
        <v>22</v>
      </c>
      <c r="I113" s="294" t="s">
        <v>22</v>
      </c>
      <c r="J113" s="294" t="s">
        <v>22</v>
      </c>
    </row>
    <row r="114">
      <c r="A114" s="294"/>
      <c r="B114" s="294" t="s">
        <v>22</v>
      </c>
      <c r="C114" s="294" t="s">
        <v>22</v>
      </c>
      <c r="D114" s="294" t="s">
        <v>22</v>
      </c>
      <c r="E114" s="294" t="s">
        <v>22</v>
      </c>
      <c r="F114" s="294" t="s">
        <v>22</v>
      </c>
      <c r="G114" s="294" t="s">
        <v>22</v>
      </c>
      <c r="H114" s="294" t="s">
        <v>22</v>
      </c>
      <c r="I114" s="294" t="s">
        <v>22</v>
      </c>
      <c r="J114" s="294" t="s">
        <v>22</v>
      </c>
    </row>
    <row r="115">
      <c r="A115" s="294"/>
      <c r="B115" s="294" t="s">
        <v>22</v>
      </c>
      <c r="C115" s="294" t="s">
        <v>22</v>
      </c>
      <c r="D115" s="294" t="s">
        <v>22</v>
      </c>
      <c r="E115" s="294" t="s">
        <v>22</v>
      </c>
      <c r="F115" s="294" t="s">
        <v>22</v>
      </c>
      <c r="G115" s="294" t="s">
        <v>22</v>
      </c>
      <c r="H115" s="294" t="s">
        <v>22</v>
      </c>
      <c r="I115" s="294" t="s">
        <v>22</v>
      </c>
      <c r="J115" s="294" t="s">
        <v>22</v>
      </c>
    </row>
    <row r="116">
      <c r="A116" s="294"/>
      <c r="B116" s="294" t="s">
        <v>22</v>
      </c>
      <c r="C116" s="294" t="s">
        <v>22</v>
      </c>
      <c r="D116" s="294" t="s">
        <v>22</v>
      </c>
      <c r="E116" s="294" t="s">
        <v>22</v>
      </c>
      <c r="F116" s="294" t="s">
        <v>22</v>
      </c>
      <c r="G116" s="294" t="s">
        <v>22</v>
      </c>
      <c r="H116" s="294" t="s">
        <v>22</v>
      </c>
      <c r="I116" s="294" t="s">
        <v>22</v>
      </c>
      <c r="J116" s="294" t="s">
        <v>22</v>
      </c>
    </row>
    <row r="117">
      <c r="A117" s="294"/>
      <c r="B117" s="294" t="s">
        <v>22</v>
      </c>
      <c r="C117" s="294" t="s">
        <v>22</v>
      </c>
      <c r="D117" s="294" t="s">
        <v>22</v>
      </c>
      <c r="E117" s="294" t="s">
        <v>22</v>
      </c>
      <c r="F117" s="294" t="s">
        <v>22</v>
      </c>
      <c r="G117" s="294" t="s">
        <v>22</v>
      </c>
      <c r="H117" s="294" t="s">
        <v>22</v>
      </c>
      <c r="I117" s="294" t="s">
        <v>22</v>
      </c>
      <c r="J117" s="294" t="s">
        <v>22</v>
      </c>
    </row>
    <row r="118">
      <c r="A118" s="294"/>
      <c r="B118" s="294" t="s">
        <v>22</v>
      </c>
      <c r="C118" s="294" t="s">
        <v>22</v>
      </c>
      <c r="D118" s="294" t="s">
        <v>22</v>
      </c>
      <c r="E118" s="294" t="s">
        <v>22</v>
      </c>
      <c r="F118" s="294" t="s">
        <v>22</v>
      </c>
      <c r="G118" s="294" t="s">
        <v>22</v>
      </c>
      <c r="H118" s="294" t="s">
        <v>22</v>
      </c>
      <c r="I118" s="294" t="s">
        <v>22</v>
      </c>
      <c r="J118" s="294" t="s">
        <v>22</v>
      </c>
    </row>
    <row r="119">
      <c r="A119" s="294"/>
      <c r="B119" s="294" t="s">
        <v>22</v>
      </c>
      <c r="C119" s="294" t="s">
        <v>22</v>
      </c>
      <c r="D119" s="294" t="s">
        <v>22</v>
      </c>
      <c r="E119" s="294" t="s">
        <v>22</v>
      </c>
      <c r="F119" s="294" t="s">
        <v>22</v>
      </c>
      <c r="G119" s="294" t="s">
        <v>22</v>
      </c>
      <c r="H119" s="294" t="s">
        <v>22</v>
      </c>
      <c r="I119" s="294" t="s">
        <v>22</v>
      </c>
      <c r="J119" s="294" t="s">
        <v>22</v>
      </c>
    </row>
    <row r="120">
      <c r="A120" s="294"/>
      <c r="B120" s="294" t="s">
        <v>22</v>
      </c>
      <c r="C120" s="294" t="s">
        <v>22</v>
      </c>
      <c r="D120" s="294" t="s">
        <v>22</v>
      </c>
      <c r="E120" s="294" t="s">
        <v>22</v>
      </c>
      <c r="F120" s="294" t="s">
        <v>22</v>
      </c>
      <c r="G120" s="294" t="s">
        <v>22</v>
      </c>
      <c r="H120" s="294" t="s">
        <v>22</v>
      </c>
      <c r="I120" s="294" t="s">
        <v>22</v>
      </c>
      <c r="J120" s="294" t="s">
        <v>22</v>
      </c>
    </row>
    <row r="121">
      <c r="A121" s="294"/>
      <c r="B121" s="294" t="s">
        <v>22</v>
      </c>
      <c r="C121" s="294" t="s">
        <v>22</v>
      </c>
      <c r="D121" s="294" t="s">
        <v>22</v>
      </c>
      <c r="E121" s="294" t="s">
        <v>22</v>
      </c>
      <c r="F121" s="294" t="s">
        <v>22</v>
      </c>
      <c r="G121" s="294" t="s">
        <v>22</v>
      </c>
      <c r="H121" s="294" t="s">
        <v>22</v>
      </c>
      <c r="I121" s="294" t="s">
        <v>22</v>
      </c>
      <c r="J121" s="294" t="s">
        <v>22</v>
      </c>
    </row>
    <row r="122">
      <c r="A122" s="294"/>
      <c r="B122" s="294" t="s">
        <v>22</v>
      </c>
      <c r="C122" s="294" t="s">
        <v>22</v>
      </c>
      <c r="D122" s="294" t="s">
        <v>22</v>
      </c>
      <c r="E122" s="294" t="s">
        <v>22</v>
      </c>
      <c r="F122" s="294" t="s">
        <v>22</v>
      </c>
      <c r="G122" s="294" t="s">
        <v>22</v>
      </c>
      <c r="H122" s="294" t="s">
        <v>22</v>
      </c>
      <c r="I122" s="294" t="s">
        <v>22</v>
      </c>
      <c r="J122" s="294" t="s">
        <v>22</v>
      </c>
    </row>
    <row r="123">
      <c r="A123" s="294"/>
      <c r="B123" s="294" t="s">
        <v>22</v>
      </c>
      <c r="C123" s="294" t="s">
        <v>22</v>
      </c>
      <c r="D123" s="294" t="s">
        <v>22</v>
      </c>
      <c r="E123" s="294" t="s">
        <v>22</v>
      </c>
      <c r="F123" s="294" t="s">
        <v>22</v>
      </c>
      <c r="G123" s="294" t="s">
        <v>22</v>
      </c>
      <c r="H123" s="294" t="s">
        <v>22</v>
      </c>
      <c r="I123" s="294" t="s">
        <v>22</v>
      </c>
      <c r="J123" s="294" t="s">
        <v>22</v>
      </c>
    </row>
    <row r="124">
      <c r="A124" s="294"/>
      <c r="B124" s="294" t="s">
        <v>22</v>
      </c>
      <c r="C124" s="294" t="s">
        <v>22</v>
      </c>
      <c r="D124" s="294" t="s">
        <v>22</v>
      </c>
      <c r="E124" s="294" t="s">
        <v>22</v>
      </c>
      <c r="F124" s="294" t="s">
        <v>22</v>
      </c>
      <c r="G124" s="294" t="s">
        <v>22</v>
      </c>
      <c r="H124" s="294" t="s">
        <v>22</v>
      </c>
      <c r="I124" s="294" t="s">
        <v>22</v>
      </c>
      <c r="J124" s="294" t="s">
        <v>22</v>
      </c>
    </row>
    <row r="125">
      <c r="A125" s="294"/>
      <c r="B125" s="294" t="s">
        <v>22</v>
      </c>
      <c r="C125" s="294" t="s">
        <v>22</v>
      </c>
      <c r="D125" s="294" t="s">
        <v>22</v>
      </c>
      <c r="E125" s="294" t="s">
        <v>22</v>
      </c>
      <c r="F125" s="294" t="s">
        <v>22</v>
      </c>
      <c r="G125" s="294" t="s">
        <v>22</v>
      </c>
      <c r="H125" s="294" t="s">
        <v>22</v>
      </c>
      <c r="I125" s="294" t="s">
        <v>22</v>
      </c>
      <c r="J125" s="294" t="s">
        <v>22</v>
      </c>
    </row>
    <row r="126">
      <c r="A126" s="294"/>
      <c r="B126" s="294" t="s">
        <v>22</v>
      </c>
      <c r="C126" s="294" t="s">
        <v>22</v>
      </c>
      <c r="D126" s="294" t="s">
        <v>22</v>
      </c>
      <c r="E126" s="294" t="s">
        <v>22</v>
      </c>
      <c r="F126" s="294" t="s">
        <v>22</v>
      </c>
      <c r="G126" s="294" t="s">
        <v>22</v>
      </c>
      <c r="H126" s="294" t="s">
        <v>22</v>
      </c>
      <c r="I126" s="294" t="s">
        <v>22</v>
      </c>
      <c r="J126" s="294" t="s">
        <v>22</v>
      </c>
    </row>
    <row r="127">
      <c r="A127" s="294"/>
      <c r="B127" s="294" t="s">
        <v>22</v>
      </c>
      <c r="C127" s="294" t="s">
        <v>22</v>
      </c>
      <c r="D127" s="294" t="s">
        <v>22</v>
      </c>
      <c r="E127" s="294" t="s">
        <v>22</v>
      </c>
      <c r="F127" s="294" t="s">
        <v>22</v>
      </c>
      <c r="G127" s="294" t="s">
        <v>22</v>
      </c>
      <c r="H127" s="294" t="s">
        <v>22</v>
      </c>
      <c r="I127" s="294" t="s">
        <v>22</v>
      </c>
      <c r="J127" s="294" t="s">
        <v>22</v>
      </c>
    </row>
    <row r="128">
      <c r="A128" s="294"/>
      <c r="B128" s="294" t="s">
        <v>22</v>
      </c>
      <c r="C128" s="294" t="s">
        <v>22</v>
      </c>
      <c r="D128" s="294" t="s">
        <v>22</v>
      </c>
      <c r="E128" s="294" t="s">
        <v>22</v>
      </c>
      <c r="F128" s="294" t="s">
        <v>22</v>
      </c>
      <c r="G128" s="294" t="s">
        <v>22</v>
      </c>
      <c r="H128" s="294" t="s">
        <v>22</v>
      </c>
      <c r="I128" s="294" t="s">
        <v>22</v>
      </c>
      <c r="J128" s="294" t="s">
        <v>22</v>
      </c>
    </row>
    <row r="129">
      <c r="A129" s="294"/>
      <c r="B129" s="294" t="s">
        <v>22</v>
      </c>
      <c r="C129" s="294" t="s">
        <v>22</v>
      </c>
      <c r="D129" s="294" t="s">
        <v>22</v>
      </c>
      <c r="E129" s="294" t="s">
        <v>22</v>
      </c>
      <c r="F129" s="294" t="s">
        <v>22</v>
      </c>
      <c r="G129" s="294" t="s">
        <v>22</v>
      </c>
      <c r="H129" s="294" t="s">
        <v>22</v>
      </c>
      <c r="I129" s="294" t="s">
        <v>22</v>
      </c>
      <c r="J129" s="294" t="s">
        <v>22</v>
      </c>
    </row>
    <row r="130">
      <c r="A130" s="294"/>
      <c r="B130" s="294" t="s">
        <v>22</v>
      </c>
      <c r="C130" s="294" t="s">
        <v>22</v>
      </c>
      <c r="D130" s="294" t="s">
        <v>22</v>
      </c>
      <c r="E130" s="294" t="s">
        <v>22</v>
      </c>
      <c r="F130" s="294" t="s">
        <v>22</v>
      </c>
      <c r="G130" s="294" t="s">
        <v>22</v>
      </c>
      <c r="H130" s="294" t="s">
        <v>22</v>
      </c>
      <c r="I130" s="294" t="s">
        <v>22</v>
      </c>
      <c r="J130" s="294" t="s">
        <v>22</v>
      </c>
    </row>
    <row r="131">
      <c r="A131" s="294"/>
      <c r="B131" s="294" t="s">
        <v>22</v>
      </c>
      <c r="C131" s="294" t="s">
        <v>22</v>
      </c>
      <c r="D131" s="294" t="s">
        <v>22</v>
      </c>
      <c r="E131" s="294" t="s">
        <v>22</v>
      </c>
      <c r="F131" s="294" t="s">
        <v>22</v>
      </c>
      <c r="G131" s="294" t="s">
        <v>22</v>
      </c>
      <c r="H131" s="294" t="s">
        <v>22</v>
      </c>
      <c r="I131" s="294" t="s">
        <v>22</v>
      </c>
      <c r="J131" s="294" t="s">
        <v>22</v>
      </c>
    </row>
    <row r="132">
      <c r="A132" s="294"/>
      <c r="B132" s="294" t="s">
        <v>22</v>
      </c>
      <c r="C132" s="294" t="s">
        <v>22</v>
      </c>
      <c r="D132" s="294" t="s">
        <v>22</v>
      </c>
      <c r="E132" s="294" t="s">
        <v>22</v>
      </c>
      <c r="F132" s="294" t="s">
        <v>22</v>
      </c>
      <c r="G132" s="294" t="s">
        <v>22</v>
      </c>
      <c r="H132" s="294" t="s">
        <v>22</v>
      </c>
      <c r="I132" s="294" t="s">
        <v>22</v>
      </c>
      <c r="J132" s="294" t="s">
        <v>22</v>
      </c>
    </row>
    <row r="133">
      <c r="A133" s="294"/>
      <c r="B133" s="294" t="s">
        <v>22</v>
      </c>
      <c r="C133" s="294" t="s">
        <v>22</v>
      </c>
      <c r="D133" s="294" t="s">
        <v>22</v>
      </c>
      <c r="E133" s="294" t="s">
        <v>22</v>
      </c>
      <c r="F133" s="294" t="s">
        <v>22</v>
      </c>
      <c r="G133" s="294" t="s">
        <v>22</v>
      </c>
      <c r="H133" s="294" t="s">
        <v>22</v>
      </c>
      <c r="I133" s="294" t="s">
        <v>22</v>
      </c>
      <c r="J133" s="294" t="s">
        <v>22</v>
      </c>
    </row>
    <row r="134">
      <c r="A134" s="294"/>
      <c r="B134" s="294" t="s">
        <v>22</v>
      </c>
      <c r="C134" s="294" t="s">
        <v>22</v>
      </c>
      <c r="D134" s="294" t="s">
        <v>22</v>
      </c>
      <c r="E134" s="294" t="s">
        <v>22</v>
      </c>
      <c r="F134" s="294" t="s">
        <v>22</v>
      </c>
      <c r="G134" s="294" t="s">
        <v>22</v>
      </c>
      <c r="H134" s="294" t="s">
        <v>22</v>
      </c>
      <c r="I134" s="294" t="s">
        <v>22</v>
      </c>
      <c r="J134" s="294" t="s">
        <v>22</v>
      </c>
    </row>
    <row r="135">
      <c r="A135" s="294"/>
      <c r="B135" s="294" t="s">
        <v>22</v>
      </c>
      <c r="C135" s="294" t="s">
        <v>22</v>
      </c>
      <c r="D135" s="294" t="s">
        <v>22</v>
      </c>
      <c r="E135" s="294" t="s">
        <v>22</v>
      </c>
      <c r="F135" s="294" t="s">
        <v>22</v>
      </c>
      <c r="G135" s="294" t="s">
        <v>22</v>
      </c>
      <c r="H135" s="294" t="s">
        <v>22</v>
      </c>
      <c r="I135" s="294" t="s">
        <v>22</v>
      </c>
      <c r="J135" s="294" t="s">
        <v>22</v>
      </c>
    </row>
    <row r="136">
      <c r="A136" s="294"/>
      <c r="B136" s="294" t="s">
        <v>22</v>
      </c>
      <c r="C136" s="294" t="s">
        <v>22</v>
      </c>
      <c r="D136" s="294" t="s">
        <v>22</v>
      </c>
      <c r="E136" s="294" t="s">
        <v>22</v>
      </c>
      <c r="F136" s="294" t="s">
        <v>22</v>
      </c>
      <c r="G136" s="294" t="s">
        <v>22</v>
      </c>
      <c r="H136" s="294" t="s">
        <v>22</v>
      </c>
      <c r="I136" s="294" t="s">
        <v>22</v>
      </c>
      <c r="J136" s="294" t="s">
        <v>22</v>
      </c>
    </row>
    <row r="137">
      <c r="A137" s="294"/>
      <c r="B137" s="294" t="s">
        <v>22</v>
      </c>
      <c r="C137" s="294" t="s">
        <v>22</v>
      </c>
      <c r="D137" s="294" t="s">
        <v>22</v>
      </c>
      <c r="E137" s="294" t="s">
        <v>22</v>
      </c>
      <c r="F137" s="294" t="s">
        <v>22</v>
      </c>
      <c r="G137" s="294" t="s">
        <v>22</v>
      </c>
      <c r="H137" s="294" t="s">
        <v>22</v>
      </c>
      <c r="I137" s="294" t="s">
        <v>22</v>
      </c>
      <c r="J137" s="294" t="s">
        <v>22</v>
      </c>
    </row>
    <row r="138">
      <c r="A138" s="294"/>
      <c r="B138" s="294" t="s">
        <v>22</v>
      </c>
      <c r="C138" s="294" t="s">
        <v>22</v>
      </c>
      <c r="D138" s="294" t="s">
        <v>22</v>
      </c>
      <c r="E138" s="294" t="s">
        <v>22</v>
      </c>
      <c r="F138" s="294" t="s">
        <v>22</v>
      </c>
      <c r="G138" s="294" t="s">
        <v>22</v>
      </c>
      <c r="H138" s="294" t="s">
        <v>22</v>
      </c>
      <c r="I138" s="294" t="s">
        <v>22</v>
      </c>
      <c r="J138" s="294" t="s">
        <v>22</v>
      </c>
    </row>
    <row r="139">
      <c r="A139" s="294"/>
      <c r="B139" s="294" t="s">
        <v>22</v>
      </c>
      <c r="C139" s="294" t="s">
        <v>22</v>
      </c>
      <c r="D139" s="294" t="s">
        <v>22</v>
      </c>
      <c r="E139" s="294" t="s">
        <v>22</v>
      </c>
      <c r="F139" s="294" t="s">
        <v>22</v>
      </c>
      <c r="G139" s="294" t="s">
        <v>22</v>
      </c>
      <c r="H139" s="294" t="s">
        <v>22</v>
      </c>
      <c r="I139" s="294" t="s">
        <v>22</v>
      </c>
      <c r="J139" s="294" t="s">
        <v>22</v>
      </c>
    </row>
    <row r="140">
      <c r="A140" s="294"/>
      <c r="B140" s="294" t="s">
        <v>22</v>
      </c>
      <c r="C140" s="294" t="s">
        <v>22</v>
      </c>
      <c r="D140" s="294" t="s">
        <v>22</v>
      </c>
      <c r="E140" s="294" t="s">
        <v>22</v>
      </c>
      <c r="F140" s="294" t="s">
        <v>22</v>
      </c>
      <c r="G140" s="294" t="s">
        <v>22</v>
      </c>
      <c r="H140" s="294" t="s">
        <v>22</v>
      </c>
      <c r="I140" s="294" t="s">
        <v>22</v>
      </c>
      <c r="J140" s="294" t="s">
        <v>22</v>
      </c>
    </row>
    <row r="141">
      <c r="A141" s="294"/>
      <c r="B141" s="294" t="s">
        <v>22</v>
      </c>
      <c r="C141" s="294" t="s">
        <v>22</v>
      </c>
      <c r="D141" s="294" t="s">
        <v>22</v>
      </c>
      <c r="E141" s="294" t="s">
        <v>22</v>
      </c>
      <c r="F141" s="294" t="s">
        <v>22</v>
      </c>
      <c r="G141" s="294" t="s">
        <v>22</v>
      </c>
      <c r="H141" s="294" t="s">
        <v>22</v>
      </c>
      <c r="I141" s="294" t="s">
        <v>22</v>
      </c>
      <c r="J141" s="294" t="s">
        <v>22</v>
      </c>
    </row>
    <row r="142">
      <c r="A142" s="294"/>
      <c r="B142" s="294" t="s">
        <v>22</v>
      </c>
      <c r="C142" s="294" t="s">
        <v>22</v>
      </c>
      <c r="D142" s="294" t="s">
        <v>22</v>
      </c>
      <c r="E142" s="294" t="s">
        <v>22</v>
      </c>
      <c r="F142" s="294" t="s">
        <v>22</v>
      </c>
      <c r="G142" s="294" t="s">
        <v>22</v>
      </c>
      <c r="H142" s="294" t="s">
        <v>22</v>
      </c>
      <c r="I142" s="294" t="s">
        <v>22</v>
      </c>
      <c r="J142" s="294" t="s">
        <v>22</v>
      </c>
    </row>
    <row r="143">
      <c r="A143" s="294"/>
      <c r="B143" s="294" t="s">
        <v>22</v>
      </c>
      <c r="C143" s="294" t="s">
        <v>22</v>
      </c>
      <c r="D143" s="294" t="s">
        <v>22</v>
      </c>
      <c r="E143" s="294" t="s">
        <v>22</v>
      </c>
      <c r="F143" s="294" t="s">
        <v>22</v>
      </c>
      <c r="G143" s="294" t="s">
        <v>22</v>
      </c>
      <c r="H143" s="294" t="s">
        <v>22</v>
      </c>
      <c r="I143" s="294" t="s">
        <v>22</v>
      </c>
      <c r="J143" s="294" t="s">
        <v>22</v>
      </c>
    </row>
    <row r="144">
      <c r="A144" s="294"/>
      <c r="B144" s="294" t="s">
        <v>22</v>
      </c>
      <c r="C144" s="294" t="s">
        <v>22</v>
      </c>
      <c r="D144" s="294" t="s">
        <v>22</v>
      </c>
      <c r="E144" s="294" t="s">
        <v>22</v>
      </c>
      <c r="F144" s="294" t="s">
        <v>22</v>
      </c>
      <c r="G144" s="294" t="s">
        <v>22</v>
      </c>
      <c r="H144" s="294" t="s">
        <v>22</v>
      </c>
      <c r="I144" s="294" t="s">
        <v>22</v>
      </c>
      <c r="J144" s="294" t="s">
        <v>22</v>
      </c>
    </row>
    <row r="145">
      <c r="A145" s="294"/>
      <c r="B145" s="294" t="s">
        <v>22</v>
      </c>
      <c r="C145" s="294" t="s">
        <v>22</v>
      </c>
      <c r="D145" s="294" t="s">
        <v>22</v>
      </c>
      <c r="E145" s="294" t="s">
        <v>22</v>
      </c>
      <c r="F145" s="294" t="s">
        <v>22</v>
      </c>
      <c r="G145" s="294" t="s">
        <v>22</v>
      </c>
      <c r="H145" s="294" t="s">
        <v>22</v>
      </c>
      <c r="I145" s="294" t="s">
        <v>22</v>
      </c>
      <c r="J145" s="294" t="s">
        <v>22</v>
      </c>
    </row>
    <row r="146">
      <c r="A146" s="294"/>
      <c r="B146" s="294" t="s">
        <v>22</v>
      </c>
      <c r="C146" s="294" t="s">
        <v>22</v>
      </c>
      <c r="D146" s="294" t="s">
        <v>22</v>
      </c>
      <c r="E146" s="294" t="s">
        <v>22</v>
      </c>
      <c r="F146" s="294" t="s">
        <v>22</v>
      </c>
      <c r="G146" s="294" t="s">
        <v>22</v>
      </c>
      <c r="H146" s="294" t="s">
        <v>22</v>
      </c>
      <c r="I146" s="294" t="s">
        <v>22</v>
      </c>
      <c r="J146" s="294" t="s">
        <v>22</v>
      </c>
    </row>
    <row r="147">
      <c r="A147" s="294"/>
      <c r="B147" s="294" t="s">
        <v>22</v>
      </c>
      <c r="C147" s="294" t="s">
        <v>22</v>
      </c>
      <c r="D147" s="294" t="s">
        <v>22</v>
      </c>
      <c r="E147" s="294" t="s">
        <v>22</v>
      </c>
      <c r="F147" s="294" t="s">
        <v>22</v>
      </c>
      <c r="G147" s="294" t="s">
        <v>22</v>
      </c>
      <c r="H147" s="294" t="s">
        <v>22</v>
      </c>
      <c r="I147" s="294" t="s">
        <v>22</v>
      </c>
      <c r="J147" s="294" t="s">
        <v>22</v>
      </c>
    </row>
    <row r="148">
      <c r="A148" s="294"/>
      <c r="B148" s="294" t="s">
        <v>22</v>
      </c>
      <c r="C148" s="294" t="s">
        <v>22</v>
      </c>
      <c r="D148" s="294" t="s">
        <v>22</v>
      </c>
      <c r="E148" s="294" t="s">
        <v>22</v>
      </c>
      <c r="F148" s="294" t="s">
        <v>22</v>
      </c>
      <c r="G148" s="294" t="s">
        <v>22</v>
      </c>
      <c r="H148" s="294" t="s">
        <v>22</v>
      </c>
      <c r="I148" s="294" t="s">
        <v>22</v>
      </c>
      <c r="J148" s="294" t="s">
        <v>22</v>
      </c>
    </row>
    <row r="149">
      <c r="A149" s="294"/>
      <c r="B149" s="294" t="s">
        <v>22</v>
      </c>
      <c r="C149" s="294" t="s">
        <v>22</v>
      </c>
      <c r="D149" s="294" t="s">
        <v>22</v>
      </c>
      <c r="E149" s="294" t="s">
        <v>22</v>
      </c>
      <c r="F149" s="294" t="s">
        <v>22</v>
      </c>
      <c r="G149" s="294" t="s">
        <v>22</v>
      </c>
      <c r="H149" s="294" t="s">
        <v>22</v>
      </c>
      <c r="I149" s="294" t="s">
        <v>22</v>
      </c>
      <c r="J149" s="294" t="s">
        <v>22</v>
      </c>
    </row>
    <row r="150">
      <c r="A150" s="294"/>
      <c r="B150" s="294" t="s">
        <v>22</v>
      </c>
      <c r="C150" s="294" t="s">
        <v>22</v>
      </c>
      <c r="D150" s="294" t="s">
        <v>22</v>
      </c>
      <c r="E150" s="294" t="s">
        <v>22</v>
      </c>
      <c r="F150" s="294" t="s">
        <v>22</v>
      </c>
      <c r="G150" s="294" t="s">
        <v>22</v>
      </c>
      <c r="H150" s="294" t="s">
        <v>22</v>
      </c>
      <c r="I150" s="294" t="s">
        <v>22</v>
      </c>
      <c r="J150" s="294" t="s">
        <v>22</v>
      </c>
    </row>
    <row r="151">
      <c r="A151" s="294"/>
      <c r="B151" s="294" t="s">
        <v>22</v>
      </c>
      <c r="C151" s="294" t="s">
        <v>22</v>
      </c>
      <c r="D151" s="294" t="s">
        <v>22</v>
      </c>
      <c r="E151" s="294" t="s">
        <v>22</v>
      </c>
      <c r="F151" s="294" t="s">
        <v>22</v>
      </c>
      <c r="G151" s="294" t="s">
        <v>22</v>
      </c>
      <c r="H151" s="294" t="s">
        <v>22</v>
      </c>
      <c r="I151" s="294" t="s">
        <v>22</v>
      </c>
      <c r="J151" s="294" t="s">
        <v>22</v>
      </c>
    </row>
    <row r="152">
      <c r="A152" s="294"/>
      <c r="B152" s="294" t="s">
        <v>22</v>
      </c>
      <c r="C152" s="294" t="s">
        <v>22</v>
      </c>
      <c r="D152" s="294" t="s">
        <v>22</v>
      </c>
      <c r="E152" s="294" t="s">
        <v>22</v>
      </c>
      <c r="F152" s="294" t="s">
        <v>22</v>
      </c>
      <c r="G152" s="294" t="s">
        <v>22</v>
      </c>
      <c r="H152" s="294" t="s">
        <v>22</v>
      </c>
      <c r="I152" s="294" t="s">
        <v>22</v>
      </c>
      <c r="J152" s="294" t="s">
        <v>22</v>
      </c>
    </row>
    <row r="153">
      <c r="A153" s="294"/>
      <c r="B153" s="294" t="s">
        <v>22</v>
      </c>
      <c r="C153" s="294" t="s">
        <v>22</v>
      </c>
      <c r="D153" s="294" t="s">
        <v>22</v>
      </c>
      <c r="E153" s="294" t="s">
        <v>22</v>
      </c>
      <c r="F153" s="294" t="s">
        <v>22</v>
      </c>
      <c r="G153" s="294" t="s">
        <v>22</v>
      </c>
      <c r="H153" s="294" t="s">
        <v>22</v>
      </c>
      <c r="I153" s="294" t="s">
        <v>22</v>
      </c>
      <c r="J153" s="294" t="s">
        <v>22</v>
      </c>
    </row>
    <row r="154">
      <c r="A154" s="294"/>
      <c r="B154" s="294" t="s">
        <v>22</v>
      </c>
      <c r="C154" s="294" t="s">
        <v>22</v>
      </c>
      <c r="D154" s="294" t="s">
        <v>22</v>
      </c>
      <c r="E154" s="294" t="s">
        <v>22</v>
      </c>
      <c r="F154" s="294" t="s">
        <v>22</v>
      </c>
      <c r="G154" s="294" t="s">
        <v>22</v>
      </c>
      <c r="H154" s="294" t="s">
        <v>22</v>
      </c>
      <c r="I154" s="294" t="s">
        <v>22</v>
      </c>
      <c r="J154" s="294" t="s">
        <v>22</v>
      </c>
    </row>
    <row r="155">
      <c r="A155" s="294"/>
      <c r="B155" s="294" t="s">
        <v>22</v>
      </c>
      <c r="C155" s="294" t="s">
        <v>22</v>
      </c>
      <c r="D155" s="294" t="s">
        <v>22</v>
      </c>
      <c r="E155" s="294" t="s">
        <v>22</v>
      </c>
      <c r="F155" s="294" t="s">
        <v>22</v>
      </c>
      <c r="G155" s="294" t="s">
        <v>22</v>
      </c>
      <c r="H155" s="294" t="s">
        <v>22</v>
      </c>
      <c r="I155" s="294" t="s">
        <v>22</v>
      </c>
      <c r="J155" s="294" t="s">
        <v>22</v>
      </c>
    </row>
    <row r="156">
      <c r="A156" s="294"/>
      <c r="B156" s="294" t="s">
        <v>22</v>
      </c>
      <c r="C156" s="294" t="s">
        <v>22</v>
      </c>
      <c r="D156" s="294" t="s">
        <v>22</v>
      </c>
      <c r="E156" s="294" t="s">
        <v>22</v>
      </c>
      <c r="F156" s="294" t="s">
        <v>22</v>
      </c>
      <c r="G156" s="294" t="s">
        <v>22</v>
      </c>
      <c r="H156" s="294" t="s">
        <v>22</v>
      </c>
      <c r="I156" s="294" t="s">
        <v>22</v>
      </c>
      <c r="J156" s="294" t="s">
        <v>22</v>
      </c>
    </row>
    <row r="157">
      <c r="A157" s="294"/>
      <c r="B157" s="294" t="s">
        <v>22</v>
      </c>
      <c r="C157" s="294" t="s">
        <v>22</v>
      </c>
      <c r="D157" s="294" t="s">
        <v>22</v>
      </c>
      <c r="E157" s="294" t="s">
        <v>22</v>
      </c>
      <c r="F157" s="294" t="s">
        <v>22</v>
      </c>
      <c r="G157" s="294" t="s">
        <v>22</v>
      </c>
      <c r="H157" s="294" t="s">
        <v>22</v>
      </c>
      <c r="I157" s="294" t="s">
        <v>22</v>
      </c>
      <c r="J157" s="294" t="s">
        <v>22</v>
      </c>
    </row>
    <row r="158">
      <c r="A158" s="294"/>
      <c r="B158" s="294" t="s">
        <v>22</v>
      </c>
      <c r="C158" s="294" t="s">
        <v>22</v>
      </c>
      <c r="D158" s="294" t="s">
        <v>22</v>
      </c>
      <c r="E158" s="294" t="s">
        <v>22</v>
      </c>
      <c r="F158" s="294" t="s">
        <v>22</v>
      </c>
      <c r="G158" s="294" t="s">
        <v>22</v>
      </c>
      <c r="H158" s="294" t="s">
        <v>22</v>
      </c>
      <c r="I158" s="294" t="s">
        <v>22</v>
      </c>
      <c r="J158" s="294" t="s">
        <v>22</v>
      </c>
    </row>
    <row r="159">
      <c r="A159" s="294"/>
      <c r="B159" s="294" t="s">
        <v>22</v>
      </c>
      <c r="C159" s="294" t="s">
        <v>22</v>
      </c>
      <c r="D159" s="294" t="s">
        <v>22</v>
      </c>
      <c r="E159" s="294" t="s">
        <v>22</v>
      </c>
      <c r="F159" s="294" t="s">
        <v>22</v>
      </c>
      <c r="G159" s="294" t="s">
        <v>22</v>
      </c>
      <c r="H159" s="294" t="s">
        <v>22</v>
      </c>
      <c r="I159" s="294" t="s">
        <v>22</v>
      </c>
      <c r="J159" s="294" t="s">
        <v>22</v>
      </c>
    </row>
    <row r="160">
      <c r="A160" s="294"/>
      <c r="B160" s="294" t="s">
        <v>22</v>
      </c>
      <c r="C160" s="294" t="s">
        <v>22</v>
      </c>
      <c r="D160" s="294" t="s">
        <v>22</v>
      </c>
      <c r="E160" s="294" t="s">
        <v>22</v>
      </c>
      <c r="F160" s="294" t="s">
        <v>22</v>
      </c>
      <c r="G160" s="294" t="s">
        <v>22</v>
      </c>
      <c r="H160" s="294" t="s">
        <v>22</v>
      </c>
      <c r="I160" s="294" t="s">
        <v>22</v>
      </c>
      <c r="J160" s="294" t="s">
        <v>22</v>
      </c>
    </row>
    <row r="161">
      <c r="A161" s="294"/>
      <c r="B161" s="294" t="s">
        <v>22</v>
      </c>
      <c r="C161" s="294" t="s">
        <v>22</v>
      </c>
      <c r="D161" s="294" t="s">
        <v>22</v>
      </c>
      <c r="E161" s="294" t="s">
        <v>22</v>
      </c>
      <c r="F161" s="294" t="s">
        <v>22</v>
      </c>
      <c r="G161" s="294" t="s">
        <v>22</v>
      </c>
      <c r="H161" s="294" t="s">
        <v>22</v>
      </c>
      <c r="I161" s="294" t="s">
        <v>22</v>
      </c>
      <c r="J161" s="294" t="s">
        <v>22</v>
      </c>
    </row>
    <row r="162">
      <c r="A162" s="294"/>
      <c r="B162" s="294" t="s">
        <v>22</v>
      </c>
      <c r="C162" s="294" t="s">
        <v>22</v>
      </c>
      <c r="D162" s="294" t="s">
        <v>22</v>
      </c>
      <c r="E162" s="294" t="s">
        <v>22</v>
      </c>
      <c r="F162" s="294" t="s">
        <v>22</v>
      </c>
      <c r="G162" s="294" t="s">
        <v>22</v>
      </c>
      <c r="H162" s="294" t="s">
        <v>22</v>
      </c>
      <c r="I162" s="294" t="s">
        <v>22</v>
      </c>
      <c r="J162" s="294" t="s">
        <v>22</v>
      </c>
    </row>
    <row r="163">
      <c r="A163" s="294"/>
      <c r="B163" s="294" t="s">
        <v>22</v>
      </c>
      <c r="C163" s="294" t="s">
        <v>22</v>
      </c>
      <c r="D163" s="294" t="s">
        <v>22</v>
      </c>
      <c r="E163" s="294" t="s">
        <v>22</v>
      </c>
      <c r="F163" s="294" t="s">
        <v>22</v>
      </c>
      <c r="G163" s="294" t="s">
        <v>22</v>
      </c>
      <c r="H163" s="294" t="s">
        <v>22</v>
      </c>
      <c r="I163" s="294" t="s">
        <v>22</v>
      </c>
      <c r="J163" s="294" t="s">
        <v>22</v>
      </c>
    </row>
    <row r="164">
      <c r="A164" s="294"/>
      <c r="B164" s="294" t="s">
        <v>22</v>
      </c>
      <c r="C164" s="294" t="s">
        <v>22</v>
      </c>
      <c r="D164" s="294" t="s">
        <v>22</v>
      </c>
      <c r="E164" s="294" t="s">
        <v>22</v>
      </c>
      <c r="F164" s="294" t="s">
        <v>22</v>
      </c>
      <c r="G164" s="294" t="s">
        <v>22</v>
      </c>
      <c r="H164" s="294" t="s">
        <v>22</v>
      </c>
      <c r="I164" s="294" t="s">
        <v>22</v>
      </c>
      <c r="J164" s="294" t="s">
        <v>22</v>
      </c>
    </row>
    <row r="165">
      <c r="A165" s="294"/>
      <c r="B165" s="294" t="s">
        <v>22</v>
      </c>
      <c r="C165" s="294" t="s">
        <v>22</v>
      </c>
      <c r="D165" s="294" t="s">
        <v>22</v>
      </c>
      <c r="E165" s="294" t="s">
        <v>22</v>
      </c>
      <c r="F165" s="294" t="s">
        <v>22</v>
      </c>
      <c r="G165" s="294" t="s">
        <v>22</v>
      </c>
      <c r="H165" s="294" t="s">
        <v>22</v>
      </c>
      <c r="I165" s="294" t="s">
        <v>22</v>
      </c>
      <c r="J165" s="294" t="s">
        <v>22</v>
      </c>
    </row>
    <row r="166">
      <c r="A166" s="294"/>
      <c r="B166" s="294" t="s">
        <v>22</v>
      </c>
      <c r="C166" s="294" t="s">
        <v>22</v>
      </c>
      <c r="D166" s="294" t="s">
        <v>22</v>
      </c>
      <c r="E166" s="294" t="s">
        <v>22</v>
      </c>
      <c r="F166" s="294" t="s">
        <v>22</v>
      </c>
      <c r="G166" s="294" t="s">
        <v>22</v>
      </c>
      <c r="H166" s="294" t="s">
        <v>22</v>
      </c>
      <c r="I166" s="294" t="s">
        <v>22</v>
      </c>
      <c r="J166" s="294" t="s">
        <v>22</v>
      </c>
    </row>
    <row r="167">
      <c r="A167" s="294"/>
      <c r="B167" s="294" t="s">
        <v>22</v>
      </c>
      <c r="C167" s="294" t="s">
        <v>22</v>
      </c>
      <c r="D167" s="294" t="s">
        <v>22</v>
      </c>
      <c r="E167" s="294" t="s">
        <v>22</v>
      </c>
      <c r="F167" s="294" t="s">
        <v>22</v>
      </c>
      <c r="G167" s="294" t="s">
        <v>22</v>
      </c>
      <c r="H167" s="294" t="s">
        <v>22</v>
      </c>
      <c r="I167" s="294" t="s">
        <v>22</v>
      </c>
      <c r="J167" s="294" t="s">
        <v>22</v>
      </c>
    </row>
    <row r="168">
      <c r="A168" s="294"/>
      <c r="B168" s="294" t="s">
        <v>22</v>
      </c>
      <c r="C168" s="294" t="s">
        <v>22</v>
      </c>
      <c r="D168" s="294" t="s">
        <v>22</v>
      </c>
      <c r="E168" s="294" t="s">
        <v>22</v>
      </c>
      <c r="F168" s="294" t="s">
        <v>22</v>
      </c>
      <c r="G168" s="294" t="s">
        <v>22</v>
      </c>
      <c r="H168" s="294" t="s">
        <v>22</v>
      </c>
      <c r="I168" s="294" t="s">
        <v>22</v>
      </c>
      <c r="J168" s="294" t="s">
        <v>22</v>
      </c>
    </row>
    <row r="169">
      <c r="A169" s="294"/>
      <c r="B169" s="294" t="s">
        <v>22</v>
      </c>
      <c r="C169" s="294" t="s">
        <v>22</v>
      </c>
      <c r="D169" s="294" t="s">
        <v>22</v>
      </c>
      <c r="E169" s="294" t="s">
        <v>22</v>
      </c>
      <c r="F169" s="294" t="s">
        <v>22</v>
      </c>
      <c r="G169" s="294" t="s">
        <v>22</v>
      </c>
      <c r="H169" s="294" t="s">
        <v>22</v>
      </c>
      <c r="I169" s="294" t="s">
        <v>22</v>
      </c>
      <c r="J169" s="294" t="s">
        <v>22</v>
      </c>
    </row>
    <row r="170">
      <c r="A170" s="294"/>
      <c r="B170" s="294" t="s">
        <v>22</v>
      </c>
      <c r="C170" s="294" t="s">
        <v>22</v>
      </c>
      <c r="D170" s="294" t="s">
        <v>22</v>
      </c>
      <c r="E170" s="294" t="s">
        <v>22</v>
      </c>
      <c r="F170" s="294" t="s">
        <v>22</v>
      </c>
      <c r="G170" s="294" t="s">
        <v>22</v>
      </c>
      <c r="H170" s="294" t="s">
        <v>22</v>
      </c>
      <c r="I170" s="294" t="s">
        <v>22</v>
      </c>
      <c r="J170" s="294" t="s">
        <v>22</v>
      </c>
    </row>
    <row r="171">
      <c r="A171" s="294"/>
      <c r="B171" s="294" t="s">
        <v>22</v>
      </c>
      <c r="C171" s="294" t="s">
        <v>22</v>
      </c>
      <c r="D171" s="294" t="s">
        <v>22</v>
      </c>
      <c r="E171" s="294" t="s">
        <v>22</v>
      </c>
      <c r="F171" s="294" t="s">
        <v>22</v>
      </c>
      <c r="G171" s="294" t="s">
        <v>22</v>
      </c>
      <c r="H171" s="294" t="s">
        <v>22</v>
      </c>
      <c r="I171" s="294" t="s">
        <v>22</v>
      </c>
      <c r="J171" s="294" t="s">
        <v>22</v>
      </c>
    </row>
    <row r="172">
      <c r="A172" s="294"/>
      <c r="B172" s="294" t="s">
        <v>22</v>
      </c>
      <c r="C172" s="294" t="s">
        <v>22</v>
      </c>
      <c r="D172" s="294" t="s">
        <v>22</v>
      </c>
      <c r="E172" s="294" t="s">
        <v>22</v>
      </c>
      <c r="F172" s="294" t="s">
        <v>22</v>
      </c>
      <c r="G172" s="294" t="s">
        <v>22</v>
      </c>
      <c r="H172" s="294" t="s">
        <v>22</v>
      </c>
      <c r="I172" s="294" t="s">
        <v>22</v>
      </c>
      <c r="J172" s="294" t="s">
        <v>22</v>
      </c>
    </row>
    <row r="173">
      <c r="A173" s="294"/>
      <c r="B173" s="294" t="s">
        <v>22</v>
      </c>
      <c r="C173" s="294" t="s">
        <v>22</v>
      </c>
      <c r="D173" s="294" t="s">
        <v>22</v>
      </c>
      <c r="E173" s="294" t="s">
        <v>22</v>
      </c>
      <c r="F173" s="294" t="s">
        <v>22</v>
      </c>
      <c r="G173" s="294" t="s">
        <v>22</v>
      </c>
      <c r="H173" s="294" t="s">
        <v>22</v>
      </c>
      <c r="I173" s="294" t="s">
        <v>22</v>
      </c>
      <c r="J173" s="294" t="s">
        <v>22</v>
      </c>
    </row>
    <row r="174">
      <c r="A174" s="294"/>
      <c r="B174" s="294" t="s">
        <v>22</v>
      </c>
      <c r="C174" s="294" t="s">
        <v>22</v>
      </c>
      <c r="D174" s="294" t="s">
        <v>22</v>
      </c>
      <c r="E174" s="294" t="s">
        <v>22</v>
      </c>
      <c r="F174" s="294" t="s">
        <v>22</v>
      </c>
      <c r="G174" s="294" t="s">
        <v>22</v>
      </c>
      <c r="H174" s="294" t="s">
        <v>22</v>
      </c>
      <c r="I174" s="294" t="s">
        <v>22</v>
      </c>
      <c r="J174" s="294" t="s">
        <v>22</v>
      </c>
    </row>
    <row r="175">
      <c r="A175" s="294"/>
      <c r="B175" s="294" t="s">
        <v>22</v>
      </c>
      <c r="C175" s="294" t="s">
        <v>22</v>
      </c>
      <c r="D175" s="294" t="s">
        <v>22</v>
      </c>
      <c r="E175" s="294" t="s">
        <v>22</v>
      </c>
      <c r="F175" s="294" t="s">
        <v>22</v>
      </c>
      <c r="G175" s="294" t="s">
        <v>22</v>
      </c>
      <c r="H175" s="294" t="s">
        <v>22</v>
      </c>
      <c r="I175" s="294" t="s">
        <v>22</v>
      </c>
      <c r="J175" s="294" t="s">
        <v>22</v>
      </c>
    </row>
    <row r="176">
      <c r="A176" s="294"/>
      <c r="B176" s="294" t="s">
        <v>22</v>
      </c>
      <c r="C176" s="294" t="s">
        <v>22</v>
      </c>
      <c r="D176" s="294" t="s">
        <v>22</v>
      </c>
      <c r="E176" s="294" t="s">
        <v>22</v>
      </c>
      <c r="F176" s="294" t="s">
        <v>22</v>
      </c>
      <c r="G176" s="294" t="s">
        <v>22</v>
      </c>
      <c r="H176" s="294" t="s">
        <v>22</v>
      </c>
      <c r="I176" s="294" t="s">
        <v>22</v>
      </c>
      <c r="J176" s="294" t="s">
        <v>22</v>
      </c>
    </row>
    <row r="177">
      <c r="A177" s="294"/>
      <c r="B177" s="294" t="s">
        <v>22</v>
      </c>
      <c r="C177" s="294" t="s">
        <v>22</v>
      </c>
      <c r="D177" s="294" t="s">
        <v>22</v>
      </c>
      <c r="E177" s="294" t="s">
        <v>22</v>
      </c>
      <c r="F177" s="294" t="s">
        <v>22</v>
      </c>
      <c r="G177" s="294" t="s">
        <v>22</v>
      </c>
      <c r="H177" s="294" t="s">
        <v>22</v>
      </c>
      <c r="I177" s="294" t="s">
        <v>22</v>
      </c>
      <c r="J177" s="294" t="s">
        <v>22</v>
      </c>
    </row>
    <row r="178">
      <c r="A178" s="294"/>
      <c r="B178" s="294" t="s">
        <v>22</v>
      </c>
      <c r="C178" s="294" t="s">
        <v>22</v>
      </c>
      <c r="D178" s="294" t="s">
        <v>22</v>
      </c>
      <c r="E178" s="294" t="s">
        <v>22</v>
      </c>
      <c r="F178" s="294" t="s">
        <v>22</v>
      </c>
      <c r="G178" s="294" t="s">
        <v>22</v>
      </c>
      <c r="H178" s="294" t="s">
        <v>22</v>
      </c>
      <c r="I178" s="294" t="s">
        <v>22</v>
      </c>
      <c r="J178" s="294" t="s">
        <v>22</v>
      </c>
    </row>
    <row r="179">
      <c r="A179" s="294"/>
      <c r="B179" s="294" t="s">
        <v>22</v>
      </c>
      <c r="C179" s="294" t="s">
        <v>22</v>
      </c>
      <c r="D179" s="294" t="s">
        <v>22</v>
      </c>
      <c r="E179" s="294" t="s">
        <v>22</v>
      </c>
      <c r="F179" s="294" t="s">
        <v>22</v>
      </c>
      <c r="G179" s="294" t="s">
        <v>22</v>
      </c>
      <c r="H179" s="294" t="s">
        <v>22</v>
      </c>
      <c r="I179" s="294" t="s">
        <v>22</v>
      </c>
      <c r="J179" s="294" t="s">
        <v>22</v>
      </c>
    </row>
    <row r="180">
      <c r="A180" s="294"/>
      <c r="B180" s="294" t="s">
        <v>22</v>
      </c>
      <c r="C180" s="294" t="s">
        <v>22</v>
      </c>
      <c r="D180" s="294" t="s">
        <v>22</v>
      </c>
      <c r="E180" s="294" t="s">
        <v>22</v>
      </c>
      <c r="F180" s="294" t="s">
        <v>22</v>
      </c>
      <c r="G180" s="294" t="s">
        <v>22</v>
      </c>
      <c r="H180" s="294" t="s">
        <v>22</v>
      </c>
      <c r="I180" s="294" t="s">
        <v>22</v>
      </c>
      <c r="J180" s="294" t="s">
        <v>22</v>
      </c>
    </row>
    <row r="181">
      <c r="A181" s="294"/>
      <c r="B181" s="294" t="s">
        <v>22</v>
      </c>
      <c r="C181" s="294" t="s">
        <v>22</v>
      </c>
      <c r="D181" s="294" t="s">
        <v>22</v>
      </c>
      <c r="E181" s="294" t="s">
        <v>22</v>
      </c>
      <c r="F181" s="294" t="s">
        <v>22</v>
      </c>
      <c r="G181" s="294" t="s">
        <v>22</v>
      </c>
      <c r="H181" s="294" t="s">
        <v>22</v>
      </c>
      <c r="I181" s="294" t="s">
        <v>22</v>
      </c>
      <c r="J181" s="294" t="s">
        <v>22</v>
      </c>
    </row>
    <row r="182">
      <c r="A182" s="294"/>
      <c r="B182" s="294" t="s">
        <v>22</v>
      </c>
      <c r="C182" s="294" t="s">
        <v>22</v>
      </c>
      <c r="D182" s="294" t="s">
        <v>22</v>
      </c>
      <c r="E182" s="294" t="s">
        <v>22</v>
      </c>
      <c r="F182" s="294" t="s">
        <v>22</v>
      </c>
      <c r="G182" s="294" t="s">
        <v>22</v>
      </c>
      <c r="H182" s="294" t="s">
        <v>22</v>
      </c>
      <c r="I182" s="294" t="s">
        <v>22</v>
      </c>
      <c r="J182" s="294" t="s">
        <v>22</v>
      </c>
    </row>
    <row r="183">
      <c r="A183" s="294"/>
      <c r="B183" s="294" t="s">
        <v>22</v>
      </c>
      <c r="C183" s="294" t="s">
        <v>22</v>
      </c>
      <c r="D183" s="294" t="s">
        <v>22</v>
      </c>
      <c r="E183" s="294" t="s">
        <v>22</v>
      </c>
      <c r="F183" s="294" t="s">
        <v>22</v>
      </c>
      <c r="G183" s="294" t="s">
        <v>22</v>
      </c>
      <c r="H183" s="294" t="s">
        <v>22</v>
      </c>
      <c r="I183" s="294" t="s">
        <v>22</v>
      </c>
      <c r="J183" s="294" t="s">
        <v>22</v>
      </c>
    </row>
    <row r="184">
      <c r="A184" s="294"/>
      <c r="B184" s="294" t="s">
        <v>22</v>
      </c>
      <c r="C184" s="294" t="s">
        <v>22</v>
      </c>
      <c r="D184" s="294" t="s">
        <v>22</v>
      </c>
      <c r="E184" s="294" t="s">
        <v>22</v>
      </c>
      <c r="F184" s="294" t="s">
        <v>22</v>
      </c>
      <c r="G184" s="294" t="s">
        <v>22</v>
      </c>
      <c r="H184" s="294" t="s">
        <v>22</v>
      </c>
      <c r="I184" s="294" t="s">
        <v>22</v>
      </c>
      <c r="J184" s="294" t="s">
        <v>22</v>
      </c>
    </row>
    <row r="185">
      <c r="A185" s="294"/>
      <c r="B185" s="294" t="s">
        <v>22</v>
      </c>
      <c r="C185" s="294" t="s">
        <v>22</v>
      </c>
      <c r="D185" s="294" t="s">
        <v>22</v>
      </c>
      <c r="E185" s="294" t="s">
        <v>22</v>
      </c>
      <c r="F185" s="294" t="s">
        <v>22</v>
      </c>
      <c r="G185" s="294" t="s">
        <v>22</v>
      </c>
      <c r="H185" s="294" t="s">
        <v>22</v>
      </c>
      <c r="I185" s="294" t="s">
        <v>22</v>
      </c>
      <c r="J185" s="294" t="s">
        <v>22</v>
      </c>
    </row>
    <row r="186">
      <c r="A186" s="294"/>
      <c r="B186" s="294" t="s">
        <v>22</v>
      </c>
      <c r="C186" s="294" t="s">
        <v>22</v>
      </c>
      <c r="D186" s="294" t="s">
        <v>22</v>
      </c>
      <c r="E186" s="294" t="s">
        <v>22</v>
      </c>
      <c r="F186" s="294" t="s">
        <v>22</v>
      </c>
      <c r="G186" s="294" t="s">
        <v>22</v>
      </c>
      <c r="H186" s="294" t="s">
        <v>22</v>
      </c>
      <c r="I186" s="294" t="s">
        <v>22</v>
      </c>
      <c r="J186" s="294" t="s">
        <v>22</v>
      </c>
    </row>
    <row r="187">
      <c r="A187" s="294"/>
      <c r="B187" s="294" t="s">
        <v>22</v>
      </c>
      <c r="C187" s="294" t="s">
        <v>22</v>
      </c>
      <c r="D187" s="294" t="s">
        <v>22</v>
      </c>
      <c r="E187" s="294" t="s">
        <v>22</v>
      </c>
      <c r="F187" s="294" t="s">
        <v>22</v>
      </c>
      <c r="G187" s="294" t="s">
        <v>22</v>
      </c>
      <c r="H187" s="294" t="s">
        <v>22</v>
      </c>
      <c r="I187" s="294" t="s">
        <v>22</v>
      </c>
      <c r="J187" s="294" t="s">
        <v>22</v>
      </c>
    </row>
    <row r="188">
      <c r="A188" s="294"/>
      <c r="B188" s="294" t="s">
        <v>22</v>
      </c>
      <c r="C188" s="294" t="s">
        <v>22</v>
      </c>
      <c r="D188" s="294" t="s">
        <v>22</v>
      </c>
      <c r="E188" s="294" t="s">
        <v>22</v>
      </c>
      <c r="F188" s="294" t="s">
        <v>22</v>
      </c>
      <c r="G188" s="294" t="s">
        <v>22</v>
      </c>
      <c r="H188" s="294" t="s">
        <v>22</v>
      </c>
      <c r="I188" s="294" t="s">
        <v>22</v>
      </c>
      <c r="J188" s="294" t="s">
        <v>22</v>
      </c>
    </row>
    <row r="189">
      <c r="A189" s="294"/>
      <c r="B189" s="294" t="s">
        <v>22</v>
      </c>
      <c r="C189" s="294" t="s">
        <v>22</v>
      </c>
      <c r="D189" s="294" t="s">
        <v>22</v>
      </c>
      <c r="E189" s="294" t="s">
        <v>22</v>
      </c>
      <c r="F189" s="294" t="s">
        <v>22</v>
      </c>
      <c r="G189" s="294" t="s">
        <v>22</v>
      </c>
      <c r="H189" s="294" t="s">
        <v>22</v>
      </c>
      <c r="I189" s="294" t="s">
        <v>22</v>
      </c>
      <c r="J189" s="294" t="s">
        <v>22</v>
      </c>
    </row>
    <row r="190">
      <c r="A190" s="294"/>
      <c r="B190" s="294" t="s">
        <v>22</v>
      </c>
      <c r="C190" s="294" t="s">
        <v>22</v>
      </c>
      <c r="D190" s="294" t="s">
        <v>22</v>
      </c>
      <c r="E190" s="294" t="s">
        <v>22</v>
      </c>
      <c r="F190" s="294" t="s">
        <v>22</v>
      </c>
      <c r="G190" s="294" t="s">
        <v>22</v>
      </c>
      <c r="H190" s="294" t="s">
        <v>22</v>
      </c>
      <c r="I190" s="294" t="s">
        <v>22</v>
      </c>
      <c r="J190" s="294" t="s">
        <v>22</v>
      </c>
    </row>
    <row r="191">
      <c r="A191" s="294"/>
      <c r="B191" s="294" t="s">
        <v>22</v>
      </c>
      <c r="C191" s="294" t="s">
        <v>22</v>
      </c>
      <c r="D191" s="294" t="s">
        <v>22</v>
      </c>
      <c r="E191" s="294" t="s">
        <v>22</v>
      </c>
      <c r="F191" s="294" t="s">
        <v>22</v>
      </c>
      <c r="G191" s="294" t="s">
        <v>22</v>
      </c>
      <c r="H191" s="294" t="s">
        <v>22</v>
      </c>
      <c r="I191" s="294" t="s">
        <v>22</v>
      </c>
      <c r="J191" s="294" t="s">
        <v>22</v>
      </c>
    </row>
    <row r="192">
      <c r="A192" s="294"/>
      <c r="B192" s="294" t="s">
        <v>22</v>
      </c>
      <c r="C192" s="294" t="s">
        <v>22</v>
      </c>
      <c r="D192" s="294" t="s">
        <v>22</v>
      </c>
      <c r="E192" s="294" t="s">
        <v>22</v>
      </c>
      <c r="F192" s="294" t="s">
        <v>22</v>
      </c>
      <c r="G192" s="294" t="s">
        <v>22</v>
      </c>
      <c r="H192" s="294" t="s">
        <v>22</v>
      </c>
      <c r="I192" s="294" t="s">
        <v>22</v>
      </c>
      <c r="J192" s="294" t="s">
        <v>22</v>
      </c>
    </row>
    <row r="193">
      <c r="A193" s="294"/>
      <c r="B193" s="294" t="s">
        <v>22</v>
      </c>
      <c r="C193" s="294" t="s">
        <v>22</v>
      </c>
      <c r="D193" s="294" t="s">
        <v>22</v>
      </c>
      <c r="E193" s="294" t="s">
        <v>22</v>
      </c>
      <c r="F193" s="294" t="s">
        <v>22</v>
      </c>
      <c r="G193" s="294" t="s">
        <v>22</v>
      </c>
      <c r="H193" s="294" t="s">
        <v>22</v>
      </c>
      <c r="I193" s="294" t="s">
        <v>22</v>
      </c>
      <c r="J193" s="294" t="s">
        <v>22</v>
      </c>
    </row>
    <row r="194">
      <c r="A194" s="294"/>
      <c r="B194" s="294" t="s">
        <v>22</v>
      </c>
      <c r="C194" s="294" t="s">
        <v>22</v>
      </c>
      <c r="D194" s="294" t="s">
        <v>22</v>
      </c>
      <c r="E194" s="294" t="s">
        <v>22</v>
      </c>
      <c r="F194" s="294" t="s">
        <v>22</v>
      </c>
      <c r="G194" s="294" t="s">
        <v>22</v>
      </c>
      <c r="H194" s="294" t="s">
        <v>22</v>
      </c>
      <c r="I194" s="294" t="s">
        <v>22</v>
      </c>
      <c r="J194" s="294" t="s">
        <v>22</v>
      </c>
    </row>
    <row r="195">
      <c r="A195" s="294"/>
      <c r="B195" s="294" t="s">
        <v>22</v>
      </c>
      <c r="C195" s="294" t="s">
        <v>22</v>
      </c>
      <c r="D195" s="294" t="s">
        <v>22</v>
      </c>
      <c r="E195" s="294" t="s">
        <v>22</v>
      </c>
      <c r="F195" s="294" t="s">
        <v>22</v>
      </c>
      <c r="G195" s="294" t="s">
        <v>22</v>
      </c>
      <c r="H195" s="294" t="s">
        <v>22</v>
      </c>
      <c r="I195" s="294" t="s">
        <v>22</v>
      </c>
      <c r="J195" s="294" t="s">
        <v>22</v>
      </c>
    </row>
    <row r="196">
      <c r="A196" s="294"/>
      <c r="B196" s="294" t="s">
        <v>22</v>
      </c>
      <c r="C196" s="294" t="s">
        <v>22</v>
      </c>
      <c r="D196" s="294" t="s">
        <v>22</v>
      </c>
      <c r="E196" s="294" t="s">
        <v>22</v>
      </c>
      <c r="F196" s="294" t="s">
        <v>22</v>
      </c>
      <c r="G196" s="294" t="s">
        <v>22</v>
      </c>
      <c r="H196" s="294" t="s">
        <v>22</v>
      </c>
      <c r="I196" s="294" t="s">
        <v>22</v>
      </c>
      <c r="J196" s="294" t="s">
        <v>22</v>
      </c>
    </row>
    <row r="197">
      <c r="A197" s="294"/>
      <c r="B197" s="294" t="s">
        <v>22</v>
      </c>
      <c r="C197" s="294" t="s">
        <v>22</v>
      </c>
      <c r="D197" s="294" t="s">
        <v>22</v>
      </c>
      <c r="E197" s="294" t="s">
        <v>22</v>
      </c>
      <c r="F197" s="294" t="s">
        <v>22</v>
      </c>
      <c r="G197" s="294" t="s">
        <v>22</v>
      </c>
      <c r="H197" s="294" t="s">
        <v>22</v>
      </c>
      <c r="I197" s="294" t="s">
        <v>22</v>
      </c>
      <c r="J197" s="294" t="s">
        <v>22</v>
      </c>
    </row>
    <row r="198">
      <c r="A198" s="294"/>
      <c r="B198" s="294" t="s">
        <v>22</v>
      </c>
      <c r="C198" s="294" t="s">
        <v>22</v>
      </c>
      <c r="D198" s="294" t="s">
        <v>22</v>
      </c>
      <c r="E198" s="294" t="s">
        <v>22</v>
      </c>
      <c r="F198" s="294" t="s">
        <v>22</v>
      </c>
      <c r="G198" s="294" t="s">
        <v>22</v>
      </c>
      <c r="H198" s="294" t="s">
        <v>22</v>
      </c>
      <c r="I198" s="294" t="s">
        <v>22</v>
      </c>
      <c r="J198" s="294" t="s">
        <v>22</v>
      </c>
    </row>
    <row r="199">
      <c r="A199" s="294"/>
      <c r="B199" s="294" t="s">
        <v>22</v>
      </c>
      <c r="C199" s="294" t="s">
        <v>22</v>
      </c>
      <c r="D199" s="294" t="s">
        <v>22</v>
      </c>
      <c r="E199" s="294" t="s">
        <v>22</v>
      </c>
      <c r="F199" s="294" t="s">
        <v>22</v>
      </c>
      <c r="G199" s="294" t="s">
        <v>22</v>
      </c>
      <c r="H199" s="294" t="s">
        <v>22</v>
      </c>
      <c r="I199" s="294" t="s">
        <v>22</v>
      </c>
      <c r="J199" s="294" t="s">
        <v>22</v>
      </c>
    </row>
    <row r="200">
      <c r="A200" s="294"/>
      <c r="B200" s="294" t="s">
        <v>22</v>
      </c>
      <c r="C200" s="294" t="s">
        <v>22</v>
      </c>
      <c r="D200" s="294" t="s">
        <v>22</v>
      </c>
      <c r="E200" s="294" t="s">
        <v>22</v>
      </c>
      <c r="F200" s="294" t="s">
        <v>22</v>
      </c>
      <c r="G200" s="294" t="s">
        <v>22</v>
      </c>
      <c r="H200" s="294" t="s">
        <v>22</v>
      </c>
      <c r="I200" s="294" t="s">
        <v>22</v>
      </c>
      <c r="J200" s="294" t="s">
        <v>22</v>
      </c>
    </row>
    <row r="201">
      <c r="A201" s="294"/>
      <c r="B201" s="294" t="s">
        <v>22</v>
      </c>
      <c r="C201" s="294" t="s">
        <v>22</v>
      </c>
      <c r="D201" s="294" t="s">
        <v>22</v>
      </c>
      <c r="E201" s="294" t="s">
        <v>22</v>
      </c>
      <c r="F201" s="294" t="s">
        <v>22</v>
      </c>
      <c r="G201" s="294" t="s">
        <v>22</v>
      </c>
      <c r="H201" s="294" t="s">
        <v>22</v>
      </c>
      <c r="I201" s="294" t="s">
        <v>22</v>
      </c>
      <c r="J201" s="294" t="s">
        <v>22</v>
      </c>
    </row>
    <row r="202">
      <c r="A202" s="294"/>
      <c r="B202" s="294" t="s">
        <v>22</v>
      </c>
      <c r="C202" s="294" t="s">
        <v>22</v>
      </c>
      <c r="D202" s="294" t="s">
        <v>22</v>
      </c>
      <c r="E202" s="294" t="s">
        <v>22</v>
      </c>
      <c r="F202" s="294" t="s">
        <v>22</v>
      </c>
      <c r="G202" s="294" t="s">
        <v>22</v>
      </c>
      <c r="H202" s="294" t="s">
        <v>22</v>
      </c>
      <c r="I202" s="294" t="s">
        <v>22</v>
      </c>
      <c r="J202" s="294" t="s">
        <v>22</v>
      </c>
    </row>
    <row r="203">
      <c r="A203" s="294"/>
      <c r="B203" s="294" t="s">
        <v>22</v>
      </c>
      <c r="C203" s="294" t="s">
        <v>22</v>
      </c>
      <c r="D203" s="294" t="s">
        <v>22</v>
      </c>
      <c r="E203" s="294" t="s">
        <v>22</v>
      </c>
      <c r="F203" s="294" t="s">
        <v>22</v>
      </c>
      <c r="G203" s="294" t="s">
        <v>22</v>
      </c>
      <c r="H203" s="294" t="s">
        <v>22</v>
      </c>
      <c r="I203" s="294" t="s">
        <v>22</v>
      </c>
      <c r="J203" s="294" t="s">
        <v>22</v>
      </c>
    </row>
    <row r="204">
      <c r="A204" s="294"/>
      <c r="B204" s="294" t="s">
        <v>22</v>
      </c>
      <c r="C204" s="294" t="s">
        <v>22</v>
      </c>
      <c r="D204" s="294" t="s">
        <v>22</v>
      </c>
      <c r="E204" s="294" t="s">
        <v>22</v>
      </c>
      <c r="F204" s="294" t="s">
        <v>22</v>
      </c>
      <c r="G204" s="294" t="s">
        <v>22</v>
      </c>
      <c r="H204" s="294" t="s">
        <v>22</v>
      </c>
      <c r="I204" s="294" t="s">
        <v>22</v>
      </c>
      <c r="J204" s="294" t="s">
        <v>22</v>
      </c>
    </row>
    <row r="205">
      <c r="A205" s="294"/>
      <c r="B205" s="294" t="s">
        <v>22</v>
      </c>
      <c r="C205" s="294" t="s">
        <v>22</v>
      </c>
      <c r="D205" s="294" t="s">
        <v>22</v>
      </c>
      <c r="E205" s="294" t="s">
        <v>22</v>
      </c>
      <c r="F205" s="294" t="s">
        <v>22</v>
      </c>
      <c r="G205" s="294" t="s">
        <v>22</v>
      </c>
      <c r="H205" s="294" t="s">
        <v>22</v>
      </c>
      <c r="I205" s="294" t="s">
        <v>22</v>
      </c>
      <c r="J205" s="294" t="s">
        <v>22</v>
      </c>
    </row>
    <row r="206">
      <c r="A206" s="294"/>
      <c r="B206" s="294" t="s">
        <v>22</v>
      </c>
      <c r="C206" s="294" t="s">
        <v>22</v>
      </c>
      <c r="D206" s="294" t="s">
        <v>22</v>
      </c>
      <c r="E206" s="294" t="s">
        <v>22</v>
      </c>
      <c r="F206" s="294" t="s">
        <v>22</v>
      </c>
      <c r="G206" s="294" t="s">
        <v>22</v>
      </c>
      <c r="H206" s="294" t="s">
        <v>22</v>
      </c>
      <c r="I206" s="294" t="s">
        <v>22</v>
      </c>
      <c r="J206" s="294" t="s">
        <v>22</v>
      </c>
    </row>
    <row r="207">
      <c r="A207" s="294"/>
      <c r="B207" s="294" t="s">
        <v>22</v>
      </c>
      <c r="C207" s="294" t="s">
        <v>22</v>
      </c>
      <c r="D207" s="294" t="s">
        <v>22</v>
      </c>
      <c r="E207" s="294" t="s">
        <v>22</v>
      </c>
      <c r="F207" s="294" t="s">
        <v>22</v>
      </c>
      <c r="G207" s="294" t="s">
        <v>22</v>
      </c>
      <c r="H207" s="294" t="s">
        <v>22</v>
      </c>
      <c r="I207" s="294" t="s">
        <v>22</v>
      </c>
      <c r="J207" s="294" t="s">
        <v>22</v>
      </c>
    </row>
    <row r="208">
      <c r="A208" s="294"/>
      <c r="B208" s="294" t="s">
        <v>22</v>
      </c>
      <c r="C208" s="294" t="s">
        <v>22</v>
      </c>
      <c r="D208" s="294" t="s">
        <v>22</v>
      </c>
      <c r="E208" s="294" t="s">
        <v>22</v>
      </c>
      <c r="F208" s="294" t="s">
        <v>22</v>
      </c>
      <c r="G208" s="294" t="s">
        <v>22</v>
      </c>
      <c r="H208" s="294" t="s">
        <v>22</v>
      </c>
      <c r="I208" s="294" t="s">
        <v>22</v>
      </c>
      <c r="J208" s="294" t="s">
        <v>22</v>
      </c>
    </row>
    <row r="209">
      <c r="A209" s="294"/>
      <c r="B209" s="294" t="s">
        <v>22</v>
      </c>
      <c r="C209" s="294" t="s">
        <v>22</v>
      </c>
      <c r="D209" s="294" t="s">
        <v>22</v>
      </c>
      <c r="E209" s="294" t="s">
        <v>22</v>
      </c>
      <c r="F209" s="294" t="s">
        <v>22</v>
      </c>
      <c r="G209" s="294" t="s">
        <v>22</v>
      </c>
      <c r="H209" s="294" t="s">
        <v>22</v>
      </c>
      <c r="I209" s="294" t="s">
        <v>22</v>
      </c>
      <c r="J209" s="294" t="s">
        <v>22</v>
      </c>
    </row>
    <row r="210">
      <c r="A210" s="294"/>
      <c r="B210" s="294" t="s">
        <v>22</v>
      </c>
      <c r="C210" s="294" t="s">
        <v>22</v>
      </c>
      <c r="D210" s="294" t="s">
        <v>22</v>
      </c>
      <c r="E210" s="294" t="s">
        <v>22</v>
      </c>
      <c r="F210" s="294" t="s">
        <v>22</v>
      </c>
      <c r="G210" s="294" t="s">
        <v>22</v>
      </c>
      <c r="H210" s="294" t="s">
        <v>22</v>
      </c>
      <c r="I210" s="294" t="s">
        <v>22</v>
      </c>
      <c r="J210" s="294" t="s">
        <v>22</v>
      </c>
    </row>
    <row r="211">
      <c r="A211" s="294"/>
      <c r="B211" s="294" t="s">
        <v>22</v>
      </c>
      <c r="C211" s="294" t="s">
        <v>22</v>
      </c>
      <c r="D211" s="294" t="s">
        <v>22</v>
      </c>
      <c r="E211" s="294" t="s">
        <v>22</v>
      </c>
      <c r="F211" s="294" t="s">
        <v>22</v>
      </c>
      <c r="G211" s="294" t="s">
        <v>22</v>
      </c>
      <c r="H211" s="294" t="s">
        <v>22</v>
      </c>
      <c r="I211" s="294" t="s">
        <v>22</v>
      </c>
      <c r="J211" s="294" t="s">
        <v>22</v>
      </c>
    </row>
    <row r="212">
      <c r="A212" s="294"/>
      <c r="B212" s="294" t="s">
        <v>22</v>
      </c>
      <c r="C212" s="294" t="s">
        <v>22</v>
      </c>
      <c r="D212" s="294" t="s">
        <v>22</v>
      </c>
      <c r="E212" s="294" t="s">
        <v>22</v>
      </c>
      <c r="F212" s="294" t="s">
        <v>22</v>
      </c>
      <c r="G212" s="294" t="s">
        <v>22</v>
      </c>
      <c r="H212" s="294" t="s">
        <v>22</v>
      </c>
      <c r="I212" s="294" t="s">
        <v>22</v>
      </c>
      <c r="J212" s="294" t="s">
        <v>22</v>
      </c>
    </row>
    <row r="213">
      <c r="A213" s="294"/>
      <c r="B213" s="294" t="s">
        <v>22</v>
      </c>
      <c r="C213" s="294" t="s">
        <v>22</v>
      </c>
      <c r="D213" s="294" t="s">
        <v>22</v>
      </c>
      <c r="E213" s="294" t="s">
        <v>22</v>
      </c>
      <c r="F213" s="294" t="s">
        <v>22</v>
      </c>
      <c r="G213" s="294" t="s">
        <v>22</v>
      </c>
      <c r="H213" s="294" t="s">
        <v>22</v>
      </c>
      <c r="I213" s="294" t="s">
        <v>22</v>
      </c>
      <c r="J213" s="294" t="s">
        <v>22</v>
      </c>
    </row>
    <row r="214">
      <c r="A214" s="294"/>
      <c r="B214" s="294" t="s">
        <v>22</v>
      </c>
      <c r="C214" s="294" t="s">
        <v>22</v>
      </c>
      <c r="D214" s="294" t="s">
        <v>22</v>
      </c>
      <c r="E214" s="294" t="s">
        <v>22</v>
      </c>
      <c r="F214" s="294" t="s">
        <v>22</v>
      </c>
      <c r="G214" s="294" t="s">
        <v>22</v>
      </c>
      <c r="H214" s="294" t="s">
        <v>22</v>
      </c>
      <c r="I214" s="294" t="s">
        <v>22</v>
      </c>
      <c r="J214" s="294" t="s">
        <v>22</v>
      </c>
    </row>
    <row r="215">
      <c r="A215" s="294"/>
      <c r="B215" s="294" t="s">
        <v>22</v>
      </c>
      <c r="C215" s="294" t="s">
        <v>22</v>
      </c>
      <c r="D215" s="294" t="s">
        <v>22</v>
      </c>
      <c r="E215" s="294" t="s">
        <v>22</v>
      </c>
      <c r="F215" s="294" t="s">
        <v>22</v>
      </c>
      <c r="G215" s="294" t="s">
        <v>22</v>
      </c>
      <c r="H215" s="294" t="s">
        <v>22</v>
      </c>
      <c r="I215" s="294" t="s">
        <v>22</v>
      </c>
      <c r="J215" s="294" t="s">
        <v>22</v>
      </c>
    </row>
    <row r="216">
      <c r="A216" s="294"/>
      <c r="B216" s="294" t="s">
        <v>22</v>
      </c>
      <c r="C216" s="294" t="s">
        <v>22</v>
      </c>
      <c r="D216" s="294" t="s">
        <v>22</v>
      </c>
      <c r="E216" s="294" t="s">
        <v>22</v>
      </c>
      <c r="F216" s="294" t="s">
        <v>22</v>
      </c>
      <c r="G216" s="294" t="s">
        <v>22</v>
      </c>
      <c r="H216" s="294" t="s">
        <v>22</v>
      </c>
      <c r="I216" s="294" t="s">
        <v>22</v>
      </c>
      <c r="J216" s="294" t="s">
        <v>22</v>
      </c>
    </row>
    <row r="217">
      <c r="A217" s="294"/>
      <c r="B217" s="294" t="s">
        <v>22</v>
      </c>
      <c r="C217" s="294" t="s">
        <v>22</v>
      </c>
      <c r="D217" s="294" t="s">
        <v>22</v>
      </c>
      <c r="E217" s="294" t="s">
        <v>22</v>
      </c>
      <c r="F217" s="294" t="s">
        <v>22</v>
      </c>
      <c r="G217" s="294" t="s">
        <v>22</v>
      </c>
      <c r="H217" s="294" t="s">
        <v>22</v>
      </c>
      <c r="I217" s="294" t="s">
        <v>22</v>
      </c>
      <c r="J217" s="294" t="s">
        <v>22</v>
      </c>
    </row>
    <row r="218">
      <c r="A218" s="294"/>
      <c r="B218" s="294" t="s">
        <v>22</v>
      </c>
      <c r="C218" s="294" t="s">
        <v>22</v>
      </c>
      <c r="D218" s="294" t="s">
        <v>22</v>
      </c>
      <c r="E218" s="294" t="s">
        <v>22</v>
      </c>
      <c r="F218" s="294" t="s">
        <v>22</v>
      </c>
      <c r="G218" s="294" t="s">
        <v>22</v>
      </c>
      <c r="H218" s="294" t="s">
        <v>22</v>
      </c>
      <c r="I218" s="294" t="s">
        <v>22</v>
      </c>
      <c r="J218" s="294" t="s">
        <v>22</v>
      </c>
    </row>
    <row r="219">
      <c r="A219" s="294"/>
      <c r="B219" s="294" t="s">
        <v>22</v>
      </c>
      <c r="C219" s="294" t="s">
        <v>22</v>
      </c>
      <c r="D219" s="294" t="s">
        <v>22</v>
      </c>
      <c r="E219" s="294" t="s">
        <v>22</v>
      </c>
      <c r="F219" s="294" t="s">
        <v>22</v>
      </c>
      <c r="G219" s="294" t="s">
        <v>22</v>
      </c>
      <c r="H219" s="294" t="s">
        <v>22</v>
      </c>
      <c r="I219" s="294" t="s">
        <v>22</v>
      </c>
      <c r="J219" s="294" t="s">
        <v>22</v>
      </c>
    </row>
    <row r="220">
      <c r="A220" s="294"/>
      <c r="B220" s="294" t="s">
        <v>22</v>
      </c>
      <c r="C220" s="294" t="s">
        <v>22</v>
      </c>
      <c r="D220" s="294" t="s">
        <v>22</v>
      </c>
      <c r="E220" s="294" t="s">
        <v>22</v>
      </c>
      <c r="F220" s="294" t="s">
        <v>22</v>
      </c>
      <c r="G220" s="294" t="s">
        <v>22</v>
      </c>
      <c r="H220" s="294" t="s">
        <v>22</v>
      </c>
      <c r="I220" s="294" t="s">
        <v>22</v>
      </c>
      <c r="J220" s="294" t="s">
        <v>22</v>
      </c>
    </row>
    <row r="221">
      <c r="A221" s="294"/>
      <c r="B221" s="294" t="s">
        <v>22</v>
      </c>
      <c r="C221" s="294" t="s">
        <v>22</v>
      </c>
      <c r="D221" s="294" t="s">
        <v>22</v>
      </c>
      <c r="E221" s="294" t="s">
        <v>22</v>
      </c>
      <c r="F221" s="294" t="s">
        <v>22</v>
      </c>
      <c r="G221" s="294" t="s">
        <v>22</v>
      </c>
      <c r="H221" s="294" t="s">
        <v>22</v>
      </c>
      <c r="I221" s="294" t="s">
        <v>22</v>
      </c>
      <c r="J221" s="294" t="s">
        <v>22</v>
      </c>
    </row>
    <row r="222">
      <c r="A222" s="294"/>
      <c r="B222" s="294" t="s">
        <v>22</v>
      </c>
      <c r="C222" s="294" t="s">
        <v>22</v>
      </c>
      <c r="D222" s="294" t="s">
        <v>22</v>
      </c>
      <c r="E222" s="294" t="s">
        <v>22</v>
      </c>
      <c r="F222" s="294" t="s">
        <v>22</v>
      </c>
      <c r="G222" s="294" t="s">
        <v>22</v>
      </c>
      <c r="H222" s="294" t="s">
        <v>22</v>
      </c>
      <c r="I222" s="294" t="s">
        <v>22</v>
      </c>
      <c r="J222" s="294" t="s">
        <v>22</v>
      </c>
    </row>
    <row r="223">
      <c r="A223" s="294"/>
      <c r="B223" s="294" t="s">
        <v>22</v>
      </c>
      <c r="C223" s="294" t="s">
        <v>22</v>
      </c>
      <c r="D223" s="294" t="s">
        <v>22</v>
      </c>
      <c r="E223" s="294" t="s">
        <v>22</v>
      </c>
      <c r="F223" s="294" t="s">
        <v>22</v>
      </c>
      <c r="G223" s="294" t="s">
        <v>22</v>
      </c>
      <c r="H223" s="294" t="s">
        <v>22</v>
      </c>
      <c r="I223" s="294" t="s">
        <v>22</v>
      </c>
      <c r="J223" s="294" t="s">
        <v>22</v>
      </c>
    </row>
    <row r="224">
      <c r="A224" s="294"/>
      <c r="B224" s="294" t="s">
        <v>22</v>
      </c>
      <c r="C224" s="294" t="s">
        <v>22</v>
      </c>
      <c r="D224" s="294" t="s">
        <v>22</v>
      </c>
      <c r="E224" s="294" t="s">
        <v>22</v>
      </c>
      <c r="F224" s="294" t="s">
        <v>22</v>
      </c>
      <c r="G224" s="294" t="s">
        <v>22</v>
      </c>
      <c r="H224" s="294" t="s">
        <v>22</v>
      </c>
      <c r="I224" s="294" t="s">
        <v>22</v>
      </c>
      <c r="J224" s="294" t="s">
        <v>22</v>
      </c>
    </row>
    <row r="225">
      <c r="A225" s="294"/>
      <c r="B225" s="294" t="s">
        <v>22</v>
      </c>
      <c r="C225" s="294" t="s">
        <v>22</v>
      </c>
      <c r="D225" s="294" t="s">
        <v>22</v>
      </c>
      <c r="E225" s="294" t="s">
        <v>22</v>
      </c>
      <c r="F225" s="294" t="s">
        <v>22</v>
      </c>
      <c r="G225" s="294" t="s">
        <v>22</v>
      </c>
      <c r="H225" s="294" t="s">
        <v>22</v>
      </c>
      <c r="I225" s="294" t="s">
        <v>22</v>
      </c>
      <c r="J225" s="294" t="s">
        <v>22</v>
      </c>
    </row>
    <row r="226">
      <c r="A226" s="294"/>
      <c r="B226" s="294" t="s">
        <v>22</v>
      </c>
      <c r="C226" s="294" t="s">
        <v>22</v>
      </c>
      <c r="D226" s="294" t="s">
        <v>22</v>
      </c>
      <c r="E226" s="294" t="s">
        <v>22</v>
      </c>
      <c r="F226" s="294" t="s">
        <v>22</v>
      </c>
      <c r="G226" s="294" t="s">
        <v>22</v>
      </c>
      <c r="H226" s="294" t="s">
        <v>22</v>
      </c>
      <c r="I226" s="294" t="s">
        <v>22</v>
      </c>
      <c r="J226" s="294" t="s">
        <v>22</v>
      </c>
    </row>
    <row r="227">
      <c r="A227" s="294"/>
      <c r="B227" s="294" t="s">
        <v>22</v>
      </c>
      <c r="C227" s="294" t="s">
        <v>22</v>
      </c>
      <c r="D227" s="294" t="s">
        <v>22</v>
      </c>
      <c r="E227" s="294" t="s">
        <v>22</v>
      </c>
      <c r="F227" s="294" t="s">
        <v>22</v>
      </c>
      <c r="G227" s="294" t="s">
        <v>22</v>
      </c>
      <c r="H227" s="294" t="s">
        <v>22</v>
      </c>
      <c r="I227" s="294" t="s">
        <v>22</v>
      </c>
      <c r="J227" s="294" t="s">
        <v>22</v>
      </c>
    </row>
    <row r="228">
      <c r="A228" s="294"/>
      <c r="B228" s="294" t="s">
        <v>22</v>
      </c>
      <c r="C228" s="294" t="s">
        <v>22</v>
      </c>
      <c r="D228" s="294" t="s">
        <v>22</v>
      </c>
      <c r="E228" s="294" t="s">
        <v>22</v>
      </c>
      <c r="F228" s="294" t="s">
        <v>22</v>
      </c>
      <c r="G228" s="294" t="s">
        <v>22</v>
      </c>
      <c r="H228" s="294" t="s">
        <v>22</v>
      </c>
      <c r="I228" s="294" t="s">
        <v>22</v>
      </c>
      <c r="J228" s="294" t="s">
        <v>22</v>
      </c>
    </row>
    <row r="229">
      <c r="A229" s="294"/>
      <c r="B229" s="294" t="s">
        <v>22</v>
      </c>
      <c r="C229" s="294" t="s">
        <v>22</v>
      </c>
      <c r="D229" s="294" t="s">
        <v>22</v>
      </c>
      <c r="E229" s="294" t="s">
        <v>22</v>
      </c>
      <c r="F229" s="294" t="s">
        <v>22</v>
      </c>
      <c r="G229" s="294" t="s">
        <v>22</v>
      </c>
      <c r="H229" s="294" t="s">
        <v>22</v>
      </c>
      <c r="I229" s="294" t="s">
        <v>22</v>
      </c>
      <c r="J229" s="294" t="s">
        <v>22</v>
      </c>
    </row>
    <row r="230">
      <c r="A230" s="294"/>
      <c r="B230" s="294" t="s">
        <v>22</v>
      </c>
      <c r="C230" s="294" t="s">
        <v>22</v>
      </c>
      <c r="D230" s="294" t="s">
        <v>22</v>
      </c>
      <c r="E230" s="294" t="s">
        <v>22</v>
      </c>
      <c r="F230" s="294" t="s">
        <v>22</v>
      </c>
      <c r="G230" s="294" t="s">
        <v>22</v>
      </c>
      <c r="H230" s="294" t="s">
        <v>22</v>
      </c>
      <c r="I230" s="294" t="s">
        <v>22</v>
      </c>
      <c r="J230" s="294" t="s">
        <v>22</v>
      </c>
    </row>
    <row r="231">
      <c r="A231" s="294"/>
      <c r="B231" s="294" t="s">
        <v>22</v>
      </c>
      <c r="C231" s="294" t="s">
        <v>22</v>
      </c>
      <c r="D231" s="294" t="s">
        <v>22</v>
      </c>
      <c r="E231" s="294" t="s">
        <v>22</v>
      </c>
      <c r="F231" s="294" t="s">
        <v>22</v>
      </c>
      <c r="G231" s="294" t="s">
        <v>22</v>
      </c>
      <c r="H231" s="294" t="s">
        <v>22</v>
      </c>
      <c r="I231" s="294" t="s">
        <v>22</v>
      </c>
      <c r="J231" s="294" t="s">
        <v>22</v>
      </c>
    </row>
    <row r="232">
      <c r="A232" s="294"/>
      <c r="B232" s="294" t="s">
        <v>22</v>
      </c>
      <c r="C232" s="294" t="s">
        <v>22</v>
      </c>
      <c r="D232" s="294" t="s">
        <v>22</v>
      </c>
      <c r="E232" s="294" t="s">
        <v>22</v>
      </c>
      <c r="F232" s="294" t="s">
        <v>22</v>
      </c>
      <c r="G232" s="294" t="s">
        <v>22</v>
      </c>
      <c r="H232" s="294" t="s">
        <v>22</v>
      </c>
      <c r="I232" s="294" t="s">
        <v>22</v>
      </c>
      <c r="J232" s="294" t="s">
        <v>22</v>
      </c>
    </row>
    <row r="233">
      <c r="A233" s="294"/>
      <c r="B233" s="294" t="s">
        <v>22</v>
      </c>
      <c r="C233" s="294" t="s">
        <v>22</v>
      </c>
      <c r="D233" s="294" t="s">
        <v>22</v>
      </c>
      <c r="E233" s="294" t="s">
        <v>22</v>
      </c>
      <c r="F233" s="294" t="s">
        <v>22</v>
      </c>
      <c r="G233" s="294" t="s">
        <v>22</v>
      </c>
      <c r="H233" s="294" t="s">
        <v>22</v>
      </c>
      <c r="I233" s="294" t="s">
        <v>22</v>
      </c>
      <c r="J233" s="294" t="s">
        <v>22</v>
      </c>
    </row>
    <row r="234">
      <c r="A234" s="294"/>
      <c r="B234" s="294" t="s">
        <v>22</v>
      </c>
      <c r="C234" s="294" t="s">
        <v>22</v>
      </c>
      <c r="D234" s="294" t="s">
        <v>22</v>
      </c>
      <c r="E234" s="294" t="s">
        <v>22</v>
      </c>
      <c r="F234" s="294" t="s">
        <v>22</v>
      </c>
      <c r="G234" s="294" t="s">
        <v>22</v>
      </c>
      <c r="H234" s="294" t="s">
        <v>22</v>
      </c>
      <c r="I234" s="294" t="s">
        <v>22</v>
      </c>
      <c r="J234" s="294" t="s">
        <v>22</v>
      </c>
    </row>
    <row r="235">
      <c r="A235" s="294"/>
      <c r="B235" s="294" t="s">
        <v>22</v>
      </c>
      <c r="C235" s="294" t="s">
        <v>22</v>
      </c>
      <c r="D235" s="294" t="s">
        <v>22</v>
      </c>
      <c r="E235" s="294" t="s">
        <v>22</v>
      </c>
      <c r="F235" s="294" t="s">
        <v>22</v>
      </c>
      <c r="G235" s="294" t="s">
        <v>22</v>
      </c>
      <c r="H235" s="294" t="s">
        <v>22</v>
      </c>
      <c r="I235" s="294" t="s">
        <v>22</v>
      </c>
      <c r="J235" s="294" t="s">
        <v>22</v>
      </c>
    </row>
    <row r="236">
      <c r="A236" s="294"/>
      <c r="B236" s="294" t="s">
        <v>22</v>
      </c>
      <c r="C236" s="294" t="s">
        <v>22</v>
      </c>
      <c r="D236" s="294" t="s">
        <v>22</v>
      </c>
      <c r="E236" s="294" t="s">
        <v>22</v>
      </c>
      <c r="F236" s="294" t="s">
        <v>22</v>
      </c>
      <c r="G236" s="294" t="s">
        <v>22</v>
      </c>
      <c r="H236" s="294" t="s">
        <v>22</v>
      </c>
      <c r="I236" s="294" t="s">
        <v>22</v>
      </c>
      <c r="J236" s="294" t="s">
        <v>22</v>
      </c>
    </row>
    <row r="237">
      <c r="A237" s="294"/>
      <c r="B237" s="294" t="s">
        <v>22</v>
      </c>
      <c r="C237" s="294" t="s">
        <v>22</v>
      </c>
      <c r="D237" s="294" t="s">
        <v>22</v>
      </c>
      <c r="E237" s="294" t="s">
        <v>22</v>
      </c>
      <c r="F237" s="294" t="s">
        <v>22</v>
      </c>
      <c r="G237" s="294" t="s">
        <v>22</v>
      </c>
      <c r="H237" s="294" t="s">
        <v>22</v>
      </c>
      <c r="I237" s="294" t="s">
        <v>22</v>
      </c>
      <c r="J237" s="294" t="s">
        <v>22</v>
      </c>
    </row>
    <row r="238">
      <c r="A238" s="294"/>
      <c r="B238" s="294" t="s">
        <v>22</v>
      </c>
      <c r="C238" s="294" t="s">
        <v>22</v>
      </c>
      <c r="D238" s="294" t="s">
        <v>22</v>
      </c>
      <c r="E238" s="294" t="s">
        <v>22</v>
      </c>
      <c r="F238" s="294" t="s">
        <v>22</v>
      </c>
      <c r="G238" s="294" t="s">
        <v>22</v>
      </c>
      <c r="H238" s="294" t="s">
        <v>22</v>
      </c>
      <c r="I238" s="294" t="s">
        <v>22</v>
      </c>
      <c r="J238" s="294" t="s">
        <v>22</v>
      </c>
    </row>
    <row r="239">
      <c r="A239" s="294"/>
      <c r="B239" s="294" t="s">
        <v>22</v>
      </c>
      <c r="C239" s="294" t="s">
        <v>22</v>
      </c>
      <c r="D239" s="294" t="s">
        <v>22</v>
      </c>
      <c r="E239" s="294" t="s">
        <v>22</v>
      </c>
      <c r="F239" s="294" t="s">
        <v>22</v>
      </c>
      <c r="G239" s="294" t="s">
        <v>22</v>
      </c>
      <c r="H239" s="294" t="s">
        <v>22</v>
      </c>
      <c r="I239" s="294" t="s">
        <v>22</v>
      </c>
      <c r="J239" s="294" t="s">
        <v>22</v>
      </c>
    </row>
    <row r="240">
      <c r="A240" s="294"/>
      <c r="B240" s="294" t="s">
        <v>22</v>
      </c>
      <c r="C240" s="294" t="s">
        <v>22</v>
      </c>
      <c r="D240" s="294" t="s">
        <v>22</v>
      </c>
      <c r="E240" s="294" t="s">
        <v>22</v>
      </c>
      <c r="F240" s="294" t="s">
        <v>22</v>
      </c>
      <c r="G240" s="294" t="s">
        <v>22</v>
      </c>
      <c r="H240" s="294" t="s">
        <v>22</v>
      </c>
      <c r="I240" s="294" t="s">
        <v>22</v>
      </c>
      <c r="J240" s="294" t="s">
        <v>22</v>
      </c>
    </row>
    <row r="241">
      <c r="A241" s="294"/>
      <c r="B241" s="294" t="s">
        <v>22</v>
      </c>
      <c r="C241" s="294" t="s">
        <v>22</v>
      </c>
      <c r="D241" s="294" t="s">
        <v>22</v>
      </c>
      <c r="E241" s="294" t="s">
        <v>22</v>
      </c>
      <c r="F241" s="294" t="s">
        <v>22</v>
      </c>
      <c r="G241" s="294" t="s">
        <v>22</v>
      </c>
      <c r="H241" s="294" t="s">
        <v>22</v>
      </c>
      <c r="I241" s="294" t="s">
        <v>22</v>
      </c>
      <c r="J241" s="294" t="s">
        <v>22</v>
      </c>
    </row>
    <row r="242">
      <c r="A242" s="294"/>
      <c r="B242" s="294" t="s">
        <v>22</v>
      </c>
      <c r="C242" s="294" t="s">
        <v>22</v>
      </c>
      <c r="D242" s="294" t="s">
        <v>22</v>
      </c>
      <c r="E242" s="294" t="s">
        <v>22</v>
      </c>
      <c r="F242" s="294" t="s">
        <v>22</v>
      </c>
      <c r="G242" s="294" t="s">
        <v>22</v>
      </c>
      <c r="H242" s="294" t="s">
        <v>22</v>
      </c>
      <c r="I242" s="294" t="s">
        <v>22</v>
      </c>
      <c r="J242" s="294" t="s">
        <v>22</v>
      </c>
    </row>
    <row r="243">
      <c r="A243" s="294"/>
      <c r="B243" s="294" t="s">
        <v>22</v>
      </c>
      <c r="C243" s="294" t="s">
        <v>22</v>
      </c>
      <c r="D243" s="294" t="s">
        <v>22</v>
      </c>
      <c r="E243" s="294" t="s">
        <v>22</v>
      </c>
      <c r="F243" s="294" t="s">
        <v>22</v>
      </c>
      <c r="G243" s="294" t="s">
        <v>22</v>
      </c>
      <c r="H243" s="294" t="s">
        <v>22</v>
      </c>
      <c r="I243" s="294" t="s">
        <v>22</v>
      </c>
      <c r="J243" s="294" t="s">
        <v>22</v>
      </c>
    </row>
    <row r="244">
      <c r="A244" s="294"/>
      <c r="B244" s="294" t="s">
        <v>22</v>
      </c>
      <c r="C244" s="294" t="s">
        <v>22</v>
      </c>
      <c r="D244" s="294" t="s">
        <v>22</v>
      </c>
      <c r="E244" s="294" t="s">
        <v>22</v>
      </c>
      <c r="F244" s="294" t="s">
        <v>22</v>
      </c>
      <c r="G244" s="294" t="s">
        <v>22</v>
      </c>
      <c r="H244" s="294" t="s">
        <v>22</v>
      </c>
      <c r="I244" s="294" t="s">
        <v>22</v>
      </c>
      <c r="J244" s="294" t="s">
        <v>22</v>
      </c>
    </row>
    <row r="245">
      <c r="A245" s="294"/>
      <c r="B245" s="294" t="s">
        <v>22</v>
      </c>
      <c r="C245" s="294" t="s">
        <v>22</v>
      </c>
      <c r="D245" s="294" t="s">
        <v>22</v>
      </c>
      <c r="E245" s="294" t="s">
        <v>22</v>
      </c>
      <c r="F245" s="294" t="s">
        <v>22</v>
      </c>
      <c r="G245" s="294" t="s">
        <v>22</v>
      </c>
      <c r="H245" s="294" t="s">
        <v>22</v>
      </c>
      <c r="I245" s="294" t="s">
        <v>22</v>
      </c>
      <c r="J245" s="294" t="s">
        <v>22</v>
      </c>
    </row>
    <row r="246">
      <c r="A246" s="294"/>
      <c r="B246" s="294" t="s">
        <v>22</v>
      </c>
      <c r="C246" s="294" t="s">
        <v>22</v>
      </c>
      <c r="D246" s="294" t="s">
        <v>22</v>
      </c>
      <c r="E246" s="294" t="s">
        <v>22</v>
      </c>
      <c r="F246" s="294" t="s">
        <v>22</v>
      </c>
      <c r="G246" s="294" t="s">
        <v>22</v>
      </c>
      <c r="H246" s="294" t="s">
        <v>22</v>
      </c>
      <c r="I246" s="294" t="s">
        <v>22</v>
      </c>
      <c r="J246" s="294" t="s">
        <v>22</v>
      </c>
    </row>
    <row r="247">
      <c r="A247" s="294"/>
      <c r="B247" s="294" t="s">
        <v>22</v>
      </c>
      <c r="C247" s="294" t="s">
        <v>22</v>
      </c>
      <c r="D247" s="294" t="s">
        <v>22</v>
      </c>
      <c r="E247" s="294" t="s">
        <v>22</v>
      </c>
      <c r="F247" s="294" t="s">
        <v>22</v>
      </c>
      <c r="G247" s="294" t="s">
        <v>22</v>
      </c>
      <c r="H247" s="294" t="s">
        <v>22</v>
      </c>
      <c r="I247" s="294" t="s">
        <v>22</v>
      </c>
      <c r="J247" s="294" t="s">
        <v>22</v>
      </c>
    </row>
    <row r="248">
      <c r="A248" s="294"/>
      <c r="B248" s="294" t="s">
        <v>22</v>
      </c>
      <c r="C248" s="294" t="s">
        <v>22</v>
      </c>
      <c r="D248" s="294" t="s">
        <v>22</v>
      </c>
      <c r="E248" s="294" t="s">
        <v>22</v>
      </c>
      <c r="F248" s="294" t="s">
        <v>22</v>
      </c>
      <c r="G248" s="294" t="s">
        <v>22</v>
      </c>
      <c r="H248" s="294" t="s">
        <v>22</v>
      </c>
      <c r="I248" s="294" t="s">
        <v>22</v>
      </c>
      <c r="J248" s="294" t="s">
        <v>22</v>
      </c>
    </row>
    <row r="249">
      <c r="A249" s="294"/>
      <c r="B249" s="294" t="s">
        <v>22</v>
      </c>
      <c r="C249" s="294" t="s">
        <v>22</v>
      </c>
      <c r="D249" s="294" t="s">
        <v>22</v>
      </c>
      <c r="E249" s="294" t="s">
        <v>22</v>
      </c>
      <c r="F249" s="294" t="s">
        <v>22</v>
      </c>
      <c r="G249" s="294" t="s">
        <v>22</v>
      </c>
      <c r="H249" s="294" t="s">
        <v>22</v>
      </c>
      <c r="I249" s="294" t="s">
        <v>22</v>
      </c>
      <c r="J249" s="294" t="s">
        <v>22</v>
      </c>
    </row>
    <row r="250">
      <c r="A250" s="294"/>
      <c r="B250" s="294" t="s">
        <v>22</v>
      </c>
      <c r="C250" s="294" t="s">
        <v>22</v>
      </c>
      <c r="D250" s="294" t="s">
        <v>22</v>
      </c>
      <c r="E250" s="294" t="s">
        <v>22</v>
      </c>
      <c r="F250" s="294" t="s">
        <v>22</v>
      </c>
      <c r="G250" s="294" t="s">
        <v>22</v>
      </c>
      <c r="H250" s="294" t="s">
        <v>22</v>
      </c>
      <c r="I250" s="294" t="s">
        <v>22</v>
      </c>
      <c r="J250" s="294" t="s">
        <v>22</v>
      </c>
    </row>
    <row r="251">
      <c r="A251" s="294"/>
      <c r="B251" s="294" t="s">
        <v>22</v>
      </c>
      <c r="C251" s="294" t="s">
        <v>22</v>
      </c>
      <c r="D251" s="294" t="s">
        <v>22</v>
      </c>
      <c r="E251" s="294" t="s">
        <v>22</v>
      </c>
      <c r="F251" s="294" t="s">
        <v>22</v>
      </c>
      <c r="G251" s="294" t="s">
        <v>22</v>
      </c>
      <c r="H251" s="294" t="s">
        <v>22</v>
      </c>
      <c r="I251" s="294" t="s">
        <v>22</v>
      </c>
      <c r="J251" s="294" t="s">
        <v>22</v>
      </c>
    </row>
    <row r="252">
      <c r="A252" s="294"/>
      <c r="B252" s="294" t="s">
        <v>22</v>
      </c>
      <c r="C252" s="294" t="s">
        <v>22</v>
      </c>
      <c r="D252" s="294" t="s">
        <v>22</v>
      </c>
      <c r="E252" s="294" t="s">
        <v>22</v>
      </c>
      <c r="F252" s="294" t="s">
        <v>22</v>
      </c>
      <c r="G252" s="294" t="s">
        <v>22</v>
      </c>
      <c r="H252" s="294" t="s">
        <v>22</v>
      </c>
      <c r="I252" s="294" t="s">
        <v>22</v>
      </c>
      <c r="J252" s="294" t="s">
        <v>22</v>
      </c>
    </row>
    <row r="253">
      <c r="A253" s="294"/>
      <c r="B253" s="294" t="s">
        <v>22</v>
      </c>
      <c r="C253" s="294" t="s">
        <v>22</v>
      </c>
      <c r="D253" s="294" t="s">
        <v>22</v>
      </c>
      <c r="E253" s="294" t="s">
        <v>22</v>
      </c>
      <c r="F253" s="294" t="s">
        <v>22</v>
      </c>
      <c r="G253" s="294" t="s">
        <v>22</v>
      </c>
      <c r="H253" s="294" t="s">
        <v>22</v>
      </c>
      <c r="I253" s="294" t="s">
        <v>22</v>
      </c>
      <c r="J253" s="294" t="s">
        <v>22</v>
      </c>
    </row>
    <row r="254">
      <c r="A254" s="294"/>
      <c r="B254" s="294" t="s">
        <v>22</v>
      </c>
      <c r="C254" s="294" t="s">
        <v>22</v>
      </c>
      <c r="D254" s="294" t="s">
        <v>22</v>
      </c>
      <c r="E254" s="294" t="s">
        <v>22</v>
      </c>
      <c r="F254" s="294" t="s">
        <v>22</v>
      </c>
      <c r="G254" s="294" t="s">
        <v>22</v>
      </c>
      <c r="H254" s="294" t="s">
        <v>22</v>
      </c>
      <c r="I254" s="294" t="s">
        <v>22</v>
      </c>
      <c r="J254" s="294" t="s">
        <v>22</v>
      </c>
    </row>
    <row r="255">
      <c r="A255" s="294"/>
      <c r="B255" s="294" t="s">
        <v>22</v>
      </c>
      <c r="C255" s="294" t="s">
        <v>22</v>
      </c>
      <c r="D255" s="294" t="s">
        <v>22</v>
      </c>
      <c r="E255" s="294" t="s">
        <v>22</v>
      </c>
      <c r="F255" s="294" t="s">
        <v>22</v>
      </c>
      <c r="G255" s="294" t="s">
        <v>22</v>
      </c>
      <c r="H255" s="294" t="s">
        <v>22</v>
      </c>
      <c r="I255" s="294" t="s">
        <v>22</v>
      </c>
      <c r="J255" s="294" t="s">
        <v>22</v>
      </c>
    </row>
    <row r="256">
      <c r="A256" s="294"/>
      <c r="B256" s="294" t="s">
        <v>22</v>
      </c>
      <c r="C256" s="294" t="s">
        <v>22</v>
      </c>
      <c r="D256" s="294" t="s">
        <v>22</v>
      </c>
      <c r="E256" s="294" t="s">
        <v>22</v>
      </c>
      <c r="F256" s="294" t="s">
        <v>22</v>
      </c>
      <c r="G256" s="294" t="s">
        <v>22</v>
      </c>
      <c r="H256" s="294" t="s">
        <v>22</v>
      </c>
      <c r="I256" s="294" t="s">
        <v>22</v>
      </c>
      <c r="J256" s="294" t="s">
        <v>22</v>
      </c>
    </row>
    <row r="257">
      <c r="A257" s="294"/>
      <c r="B257" s="294" t="s">
        <v>22</v>
      </c>
      <c r="C257" s="294" t="s">
        <v>22</v>
      </c>
      <c r="D257" s="294" t="s">
        <v>22</v>
      </c>
      <c r="E257" s="294" t="s">
        <v>22</v>
      </c>
      <c r="F257" s="294" t="s">
        <v>22</v>
      </c>
      <c r="G257" s="294" t="s">
        <v>22</v>
      </c>
      <c r="H257" s="294" t="s">
        <v>22</v>
      </c>
      <c r="I257" s="294" t="s">
        <v>22</v>
      </c>
      <c r="J257" s="294" t="s">
        <v>22</v>
      </c>
    </row>
    <row r="258">
      <c r="A258" s="294"/>
      <c r="B258" s="294" t="s">
        <v>22</v>
      </c>
      <c r="C258" s="294" t="s">
        <v>22</v>
      </c>
      <c r="D258" s="294" t="s">
        <v>22</v>
      </c>
      <c r="E258" s="294" t="s">
        <v>22</v>
      </c>
      <c r="F258" s="294" t="s">
        <v>22</v>
      </c>
      <c r="G258" s="294" t="s">
        <v>22</v>
      </c>
      <c r="H258" s="294" t="s">
        <v>22</v>
      </c>
      <c r="I258" s="294" t="s">
        <v>22</v>
      </c>
      <c r="J258" s="294" t="s">
        <v>22</v>
      </c>
    </row>
    <row r="259">
      <c r="A259" s="294"/>
      <c r="B259" s="294" t="s">
        <v>22</v>
      </c>
      <c r="C259" s="294" t="s">
        <v>22</v>
      </c>
      <c r="D259" s="294" t="s">
        <v>22</v>
      </c>
      <c r="E259" s="294" t="s">
        <v>22</v>
      </c>
      <c r="F259" s="294" t="s">
        <v>22</v>
      </c>
      <c r="G259" s="294" t="s">
        <v>22</v>
      </c>
      <c r="H259" s="294" t="s">
        <v>22</v>
      </c>
      <c r="I259" s="294" t="s">
        <v>22</v>
      </c>
      <c r="J259" s="294" t="s">
        <v>22</v>
      </c>
    </row>
    <row r="260">
      <c r="A260" s="294"/>
      <c r="B260" s="294" t="s">
        <v>22</v>
      </c>
      <c r="C260" s="294" t="s">
        <v>22</v>
      </c>
      <c r="D260" s="294" t="s">
        <v>22</v>
      </c>
      <c r="E260" s="294" t="s">
        <v>22</v>
      </c>
      <c r="F260" s="294" t="s">
        <v>22</v>
      </c>
      <c r="G260" s="294" t="s">
        <v>22</v>
      </c>
      <c r="H260" s="294" t="s">
        <v>22</v>
      </c>
      <c r="I260" s="294" t="s">
        <v>22</v>
      </c>
      <c r="J260" s="294" t="s">
        <v>22</v>
      </c>
    </row>
    <row r="261">
      <c r="A261" s="294"/>
      <c r="B261" s="294" t="s">
        <v>22</v>
      </c>
      <c r="C261" s="294" t="s">
        <v>22</v>
      </c>
      <c r="D261" s="294" t="s">
        <v>22</v>
      </c>
      <c r="E261" s="294" t="s">
        <v>22</v>
      </c>
      <c r="F261" s="294" t="s">
        <v>22</v>
      </c>
      <c r="G261" s="294" t="s">
        <v>22</v>
      </c>
      <c r="H261" s="294" t="s">
        <v>22</v>
      </c>
      <c r="I261" s="294" t="s">
        <v>22</v>
      </c>
      <c r="J261" s="294" t="s">
        <v>22</v>
      </c>
    </row>
    <row r="262">
      <c r="A262" s="294"/>
      <c r="B262" s="294" t="s">
        <v>22</v>
      </c>
      <c r="C262" s="294" t="s">
        <v>22</v>
      </c>
      <c r="D262" s="294" t="s">
        <v>22</v>
      </c>
      <c r="E262" s="294" t="s">
        <v>22</v>
      </c>
      <c r="F262" s="294" t="s">
        <v>22</v>
      </c>
      <c r="G262" s="294" t="s">
        <v>22</v>
      </c>
      <c r="H262" s="294" t="s">
        <v>22</v>
      </c>
      <c r="I262" s="294" t="s">
        <v>22</v>
      </c>
      <c r="J262" s="294" t="s">
        <v>22</v>
      </c>
    </row>
    <row r="263">
      <c r="A263" s="294"/>
      <c r="B263" s="294" t="s">
        <v>22</v>
      </c>
      <c r="C263" s="294" t="s">
        <v>22</v>
      </c>
      <c r="D263" s="294" t="s">
        <v>22</v>
      </c>
      <c r="E263" s="294" t="s">
        <v>22</v>
      </c>
      <c r="F263" s="294" t="s">
        <v>22</v>
      </c>
      <c r="G263" s="294" t="s">
        <v>22</v>
      </c>
      <c r="H263" s="294" t="s">
        <v>22</v>
      </c>
      <c r="I263" s="294" t="s">
        <v>22</v>
      </c>
      <c r="J263" s="294" t="s">
        <v>22</v>
      </c>
    </row>
    <row r="264">
      <c r="A264" s="294"/>
      <c r="B264" s="294" t="s">
        <v>22</v>
      </c>
      <c r="C264" s="294" t="s">
        <v>22</v>
      </c>
      <c r="D264" s="294" t="s">
        <v>22</v>
      </c>
      <c r="E264" s="294" t="s">
        <v>22</v>
      </c>
      <c r="F264" s="294" t="s">
        <v>22</v>
      </c>
      <c r="G264" s="294" t="s">
        <v>22</v>
      </c>
      <c r="H264" s="294" t="s">
        <v>22</v>
      </c>
      <c r="I264" s="294" t="s">
        <v>22</v>
      </c>
      <c r="J264" s="294" t="s">
        <v>22</v>
      </c>
    </row>
    <row r="265">
      <c r="A265" s="294"/>
      <c r="B265" s="294" t="s">
        <v>22</v>
      </c>
      <c r="C265" s="294" t="s">
        <v>22</v>
      </c>
      <c r="D265" s="294" t="s">
        <v>22</v>
      </c>
      <c r="E265" s="294" t="s">
        <v>22</v>
      </c>
      <c r="F265" s="294" t="s">
        <v>22</v>
      </c>
      <c r="G265" s="294" t="s">
        <v>22</v>
      </c>
      <c r="H265" s="294" t="s">
        <v>22</v>
      </c>
      <c r="I265" s="294" t="s">
        <v>22</v>
      </c>
      <c r="J265" s="294" t="s">
        <v>22</v>
      </c>
    </row>
    <row r="266">
      <c r="A266" s="294"/>
      <c r="B266" s="294" t="s">
        <v>22</v>
      </c>
      <c r="C266" s="294" t="s">
        <v>22</v>
      </c>
      <c r="D266" s="294" t="s">
        <v>22</v>
      </c>
      <c r="E266" s="294" t="s">
        <v>22</v>
      </c>
      <c r="F266" s="294" t="s">
        <v>22</v>
      </c>
      <c r="G266" s="294" t="s">
        <v>22</v>
      </c>
      <c r="H266" s="294" t="s">
        <v>22</v>
      </c>
      <c r="I266" s="294" t="s">
        <v>22</v>
      </c>
      <c r="J266" s="294" t="s">
        <v>22</v>
      </c>
    </row>
    <row r="267">
      <c r="A267" s="294"/>
      <c r="B267" s="294" t="s">
        <v>22</v>
      </c>
      <c r="C267" s="294" t="s">
        <v>22</v>
      </c>
      <c r="D267" s="294" t="s">
        <v>22</v>
      </c>
      <c r="E267" s="294" t="s">
        <v>22</v>
      </c>
      <c r="F267" s="294" t="s">
        <v>22</v>
      </c>
      <c r="G267" s="294" t="s">
        <v>22</v>
      </c>
      <c r="H267" s="294" t="s">
        <v>22</v>
      </c>
      <c r="I267" s="294" t="s">
        <v>22</v>
      </c>
      <c r="J267" s="294" t="s">
        <v>22</v>
      </c>
    </row>
    <row r="268">
      <c r="A268" s="294"/>
      <c r="B268" s="294" t="s">
        <v>22</v>
      </c>
      <c r="C268" s="294" t="s">
        <v>22</v>
      </c>
      <c r="D268" s="294" t="s">
        <v>22</v>
      </c>
      <c r="E268" s="294" t="s">
        <v>22</v>
      </c>
      <c r="F268" s="294" t="s">
        <v>22</v>
      </c>
      <c r="G268" s="294" t="s">
        <v>22</v>
      </c>
      <c r="H268" s="294" t="s">
        <v>22</v>
      </c>
      <c r="I268" s="294" t="s">
        <v>22</v>
      </c>
      <c r="J268" s="294" t="s">
        <v>22</v>
      </c>
    </row>
    <row r="269">
      <c r="A269" s="294"/>
      <c r="B269" s="294" t="s">
        <v>22</v>
      </c>
      <c r="C269" s="294" t="s">
        <v>22</v>
      </c>
      <c r="D269" s="294" t="s">
        <v>22</v>
      </c>
      <c r="E269" s="294" t="s">
        <v>22</v>
      </c>
      <c r="F269" s="294" t="s">
        <v>22</v>
      </c>
      <c r="G269" s="294" t="s">
        <v>22</v>
      </c>
      <c r="H269" s="294" t="s">
        <v>22</v>
      </c>
      <c r="I269" s="294" t="s">
        <v>22</v>
      </c>
      <c r="J269" s="294" t="s">
        <v>22</v>
      </c>
    </row>
    <row r="270">
      <c r="A270" s="294"/>
      <c r="B270" s="294" t="s">
        <v>22</v>
      </c>
      <c r="C270" s="294" t="s">
        <v>22</v>
      </c>
      <c r="D270" s="294" t="s">
        <v>22</v>
      </c>
      <c r="E270" s="294" t="s">
        <v>22</v>
      </c>
      <c r="F270" s="294" t="s">
        <v>22</v>
      </c>
      <c r="G270" s="294" t="s">
        <v>22</v>
      </c>
      <c r="H270" s="294" t="s">
        <v>22</v>
      </c>
      <c r="I270" s="294" t="s">
        <v>22</v>
      </c>
      <c r="J270" s="294" t="s">
        <v>22</v>
      </c>
    </row>
    <row r="271">
      <c r="A271" s="294"/>
      <c r="B271" s="294" t="s">
        <v>22</v>
      </c>
      <c r="C271" s="294" t="s">
        <v>22</v>
      </c>
      <c r="D271" s="294" t="s">
        <v>22</v>
      </c>
      <c r="E271" s="294" t="s">
        <v>22</v>
      </c>
      <c r="F271" s="294" t="s">
        <v>22</v>
      </c>
      <c r="G271" s="294" t="s">
        <v>22</v>
      </c>
      <c r="H271" s="294" t="s">
        <v>22</v>
      </c>
      <c r="I271" s="294" t="s">
        <v>22</v>
      </c>
      <c r="J271" s="294" t="s">
        <v>22</v>
      </c>
    </row>
    <row r="272">
      <c r="A272" s="294"/>
      <c r="B272" s="294" t="s">
        <v>22</v>
      </c>
      <c r="C272" s="294" t="s">
        <v>22</v>
      </c>
      <c r="D272" s="294" t="s">
        <v>22</v>
      </c>
      <c r="E272" s="294" t="s">
        <v>22</v>
      </c>
      <c r="F272" s="294" t="s">
        <v>22</v>
      </c>
      <c r="G272" s="294" t="s">
        <v>22</v>
      </c>
      <c r="H272" s="294" t="s">
        <v>22</v>
      </c>
      <c r="I272" s="294" t="s">
        <v>22</v>
      </c>
      <c r="J272" s="294" t="s">
        <v>22</v>
      </c>
    </row>
    <row r="273">
      <c r="A273" s="294"/>
      <c r="B273" s="294" t="s">
        <v>22</v>
      </c>
      <c r="C273" s="294" t="s">
        <v>22</v>
      </c>
      <c r="D273" s="294" t="s">
        <v>22</v>
      </c>
      <c r="E273" s="294" t="s">
        <v>22</v>
      </c>
      <c r="F273" s="294" t="s">
        <v>22</v>
      </c>
      <c r="G273" s="294" t="s">
        <v>22</v>
      </c>
      <c r="H273" s="294" t="s">
        <v>22</v>
      </c>
      <c r="I273" s="294" t="s">
        <v>22</v>
      </c>
      <c r="J273" s="294" t="s">
        <v>22</v>
      </c>
    </row>
    <row r="274">
      <c r="A274" s="294"/>
      <c r="B274" s="294" t="s">
        <v>22</v>
      </c>
      <c r="C274" s="294" t="s">
        <v>22</v>
      </c>
      <c r="D274" s="294" t="s">
        <v>22</v>
      </c>
      <c r="E274" s="294" t="s">
        <v>22</v>
      </c>
      <c r="F274" s="294" t="s">
        <v>22</v>
      </c>
      <c r="G274" s="294" t="s">
        <v>22</v>
      </c>
      <c r="H274" s="294" t="s">
        <v>22</v>
      </c>
      <c r="I274" s="294" t="s">
        <v>22</v>
      </c>
      <c r="J274" s="294" t="s">
        <v>22</v>
      </c>
    </row>
    <row r="275">
      <c r="A275" s="294"/>
      <c r="B275" s="294" t="s">
        <v>22</v>
      </c>
      <c r="C275" s="294" t="s">
        <v>22</v>
      </c>
      <c r="D275" s="294" t="s">
        <v>22</v>
      </c>
      <c r="E275" s="294" t="s">
        <v>22</v>
      </c>
      <c r="F275" s="294" t="s">
        <v>22</v>
      </c>
      <c r="G275" s="294" t="s">
        <v>22</v>
      </c>
      <c r="H275" s="294" t="s">
        <v>22</v>
      </c>
      <c r="I275" s="294" t="s">
        <v>22</v>
      </c>
      <c r="J275" s="294" t="s">
        <v>22</v>
      </c>
    </row>
    <row r="276">
      <c r="A276" s="294"/>
      <c r="B276" s="294" t="s">
        <v>22</v>
      </c>
      <c r="C276" s="294" t="s">
        <v>22</v>
      </c>
      <c r="D276" s="294" t="s">
        <v>22</v>
      </c>
      <c r="E276" s="294" t="s">
        <v>22</v>
      </c>
      <c r="F276" s="294" t="s">
        <v>22</v>
      </c>
      <c r="G276" s="294" t="s">
        <v>22</v>
      </c>
      <c r="H276" s="294" t="s">
        <v>22</v>
      </c>
      <c r="I276" s="294" t="s">
        <v>22</v>
      </c>
      <c r="J276" s="294" t="s">
        <v>22</v>
      </c>
    </row>
    <row r="277">
      <c r="A277" s="294"/>
      <c r="B277" s="294" t="s">
        <v>22</v>
      </c>
      <c r="C277" s="294" t="s">
        <v>22</v>
      </c>
      <c r="D277" s="294" t="s">
        <v>22</v>
      </c>
      <c r="E277" s="294" t="s">
        <v>22</v>
      </c>
      <c r="F277" s="294" t="s">
        <v>22</v>
      </c>
      <c r="G277" s="294" t="s">
        <v>22</v>
      </c>
      <c r="H277" s="294" t="s">
        <v>22</v>
      </c>
      <c r="I277" s="294" t="s">
        <v>22</v>
      </c>
      <c r="J277" s="294" t="s">
        <v>22</v>
      </c>
    </row>
    <row r="278">
      <c r="A278" s="294"/>
      <c r="B278" s="294" t="s">
        <v>22</v>
      </c>
      <c r="C278" s="294" t="s">
        <v>22</v>
      </c>
      <c r="D278" s="294" t="s">
        <v>22</v>
      </c>
      <c r="E278" s="294" t="s">
        <v>22</v>
      </c>
      <c r="F278" s="294" t="s">
        <v>22</v>
      </c>
      <c r="G278" s="294" t="s">
        <v>22</v>
      </c>
      <c r="H278" s="294" t="s">
        <v>22</v>
      </c>
      <c r="I278" s="294" t="s">
        <v>22</v>
      </c>
      <c r="J278" s="294" t="s">
        <v>22</v>
      </c>
    </row>
    <row r="279">
      <c r="A279" s="294"/>
      <c r="B279" s="294" t="s">
        <v>22</v>
      </c>
      <c r="C279" s="294" t="s">
        <v>22</v>
      </c>
      <c r="D279" s="294" t="s">
        <v>22</v>
      </c>
      <c r="E279" s="294" t="s">
        <v>22</v>
      </c>
      <c r="F279" s="294" t="s">
        <v>22</v>
      </c>
      <c r="G279" s="294" t="s">
        <v>22</v>
      </c>
      <c r="H279" s="294" t="s">
        <v>22</v>
      </c>
      <c r="I279" s="294" t="s">
        <v>22</v>
      </c>
      <c r="J279" s="294" t="s">
        <v>22</v>
      </c>
    </row>
    <row r="280">
      <c r="A280" s="294"/>
      <c r="B280" s="294" t="s">
        <v>22</v>
      </c>
      <c r="C280" s="294" t="s">
        <v>22</v>
      </c>
      <c r="D280" s="294" t="s">
        <v>22</v>
      </c>
      <c r="E280" s="294" t="s">
        <v>22</v>
      </c>
      <c r="F280" s="294" t="s">
        <v>22</v>
      </c>
      <c r="G280" s="294" t="s">
        <v>22</v>
      </c>
      <c r="H280" s="294" t="s">
        <v>22</v>
      </c>
      <c r="I280" s="294" t="s">
        <v>22</v>
      </c>
      <c r="J280" s="294" t="s">
        <v>22</v>
      </c>
    </row>
    <row r="281">
      <c r="A281" s="294"/>
      <c r="B281" s="294" t="s">
        <v>22</v>
      </c>
      <c r="C281" s="294" t="s">
        <v>22</v>
      </c>
      <c r="D281" s="294" t="s">
        <v>22</v>
      </c>
      <c r="E281" s="294" t="s">
        <v>22</v>
      </c>
      <c r="F281" s="294" t="s">
        <v>22</v>
      </c>
      <c r="G281" s="294" t="s">
        <v>22</v>
      </c>
      <c r="H281" s="294" t="s">
        <v>22</v>
      </c>
      <c r="I281" s="294" t="s">
        <v>22</v>
      </c>
      <c r="J281" s="294" t="s">
        <v>22</v>
      </c>
    </row>
    <row r="282">
      <c r="A282" s="294"/>
      <c r="B282" s="294" t="s">
        <v>22</v>
      </c>
      <c r="C282" s="294" t="s">
        <v>22</v>
      </c>
      <c r="D282" s="294" t="s">
        <v>22</v>
      </c>
      <c r="E282" s="294" t="s">
        <v>22</v>
      </c>
      <c r="F282" s="294" t="s">
        <v>22</v>
      </c>
      <c r="G282" s="294" t="s">
        <v>22</v>
      </c>
      <c r="H282" s="294" t="s">
        <v>22</v>
      </c>
      <c r="I282" s="294" t="s">
        <v>22</v>
      </c>
      <c r="J282" s="294" t="s">
        <v>22</v>
      </c>
    </row>
    <row r="283">
      <c r="A283" s="294"/>
      <c r="B283" s="294" t="s">
        <v>22</v>
      </c>
      <c r="C283" s="294" t="s">
        <v>22</v>
      </c>
      <c r="D283" s="294" t="s">
        <v>22</v>
      </c>
      <c r="E283" s="294" t="s">
        <v>22</v>
      </c>
      <c r="F283" s="294" t="s">
        <v>22</v>
      </c>
      <c r="G283" s="294" t="s">
        <v>22</v>
      </c>
      <c r="H283" s="294" t="s">
        <v>22</v>
      </c>
      <c r="I283" s="294" t="s">
        <v>22</v>
      </c>
      <c r="J283" s="294" t="s">
        <v>22</v>
      </c>
    </row>
    <row r="284">
      <c r="A284" s="294"/>
      <c r="B284" s="294" t="s">
        <v>22</v>
      </c>
      <c r="C284" s="294" t="s">
        <v>22</v>
      </c>
      <c r="D284" s="294" t="s">
        <v>22</v>
      </c>
      <c r="E284" s="294" t="s">
        <v>22</v>
      </c>
      <c r="F284" s="294" t="s">
        <v>22</v>
      </c>
      <c r="G284" s="294" t="s">
        <v>22</v>
      </c>
      <c r="H284" s="294" t="s">
        <v>22</v>
      </c>
      <c r="I284" s="294" t="s">
        <v>22</v>
      </c>
      <c r="J284" s="294" t="s">
        <v>22</v>
      </c>
    </row>
    <row r="285">
      <c r="A285" s="294"/>
      <c r="B285" s="294" t="s">
        <v>22</v>
      </c>
      <c r="C285" s="294" t="s">
        <v>22</v>
      </c>
      <c r="D285" s="294" t="s">
        <v>22</v>
      </c>
      <c r="E285" s="294" t="s">
        <v>22</v>
      </c>
      <c r="F285" s="294" t="s">
        <v>22</v>
      </c>
      <c r="G285" s="294" t="s">
        <v>22</v>
      </c>
      <c r="H285" s="294" t="s">
        <v>22</v>
      </c>
      <c r="I285" s="294" t="s">
        <v>22</v>
      </c>
      <c r="J285" s="294" t="s">
        <v>22</v>
      </c>
    </row>
    <row r="286">
      <c r="A286" s="294"/>
      <c r="B286" s="294" t="s">
        <v>22</v>
      </c>
      <c r="C286" s="294" t="s">
        <v>22</v>
      </c>
      <c r="D286" s="294" t="s">
        <v>22</v>
      </c>
      <c r="E286" s="294" t="s">
        <v>22</v>
      </c>
      <c r="F286" s="294" t="s">
        <v>22</v>
      </c>
      <c r="G286" s="294" t="s">
        <v>22</v>
      </c>
      <c r="H286" s="294" t="s">
        <v>22</v>
      </c>
      <c r="I286" s="294" t="s">
        <v>22</v>
      </c>
      <c r="J286" s="294" t="s">
        <v>22</v>
      </c>
    </row>
    <row r="287">
      <c r="A287" s="294"/>
      <c r="B287" s="294" t="s">
        <v>22</v>
      </c>
      <c r="C287" s="294" t="s">
        <v>22</v>
      </c>
      <c r="D287" s="294" t="s">
        <v>22</v>
      </c>
      <c r="E287" s="294" t="s">
        <v>22</v>
      </c>
      <c r="F287" s="294" t="s">
        <v>22</v>
      </c>
      <c r="G287" s="294" t="s">
        <v>22</v>
      </c>
      <c r="H287" s="294" t="s">
        <v>22</v>
      </c>
      <c r="I287" s="294" t="s">
        <v>22</v>
      </c>
      <c r="J287" s="294" t="s">
        <v>22</v>
      </c>
    </row>
    <row r="288">
      <c r="A288" s="294"/>
      <c r="B288" s="294" t="s">
        <v>22</v>
      </c>
      <c r="C288" s="294" t="s">
        <v>22</v>
      </c>
      <c r="D288" s="294" t="s">
        <v>22</v>
      </c>
      <c r="E288" s="294" t="s">
        <v>22</v>
      </c>
      <c r="F288" s="294" t="s">
        <v>22</v>
      </c>
      <c r="G288" s="294" t="s">
        <v>22</v>
      </c>
      <c r="H288" s="294" t="s">
        <v>22</v>
      </c>
      <c r="I288" s="294" t="s">
        <v>22</v>
      </c>
      <c r="J288" s="294" t="s">
        <v>22</v>
      </c>
    </row>
    <row r="289">
      <c r="A289" s="294"/>
      <c r="B289" s="294" t="s">
        <v>22</v>
      </c>
      <c r="C289" s="294" t="s">
        <v>22</v>
      </c>
      <c r="D289" s="294" t="s">
        <v>22</v>
      </c>
      <c r="E289" s="294" t="s">
        <v>22</v>
      </c>
      <c r="F289" s="294" t="s">
        <v>22</v>
      </c>
      <c r="G289" s="294" t="s">
        <v>22</v>
      </c>
      <c r="H289" s="294" t="s">
        <v>22</v>
      </c>
      <c r="I289" s="294" t="s">
        <v>22</v>
      </c>
      <c r="J289" s="294" t="s">
        <v>22</v>
      </c>
    </row>
    <row r="290">
      <c r="A290" s="294"/>
      <c r="B290" s="294" t="s">
        <v>22</v>
      </c>
      <c r="C290" s="294" t="s">
        <v>22</v>
      </c>
      <c r="D290" s="294" t="s">
        <v>22</v>
      </c>
      <c r="E290" s="294" t="s">
        <v>22</v>
      </c>
      <c r="F290" s="294" t="s">
        <v>22</v>
      </c>
      <c r="G290" s="294" t="s">
        <v>22</v>
      </c>
      <c r="H290" s="294" t="s">
        <v>22</v>
      </c>
      <c r="I290" s="294" t="s">
        <v>22</v>
      </c>
      <c r="J290" s="294" t="s">
        <v>22</v>
      </c>
    </row>
    <row r="291">
      <c r="A291" s="294"/>
      <c r="B291" s="294" t="s">
        <v>22</v>
      </c>
      <c r="C291" s="294" t="s">
        <v>22</v>
      </c>
      <c r="D291" s="294" t="s">
        <v>22</v>
      </c>
      <c r="E291" s="294" t="s">
        <v>22</v>
      </c>
      <c r="F291" s="294" t="s">
        <v>22</v>
      </c>
      <c r="G291" s="294" t="s">
        <v>22</v>
      </c>
      <c r="H291" s="294" t="s">
        <v>22</v>
      </c>
      <c r="I291" s="294" t="s">
        <v>22</v>
      </c>
      <c r="J291" s="294" t="s">
        <v>22</v>
      </c>
    </row>
    <row r="292">
      <c r="A292" s="294"/>
      <c r="B292" s="294" t="s">
        <v>22</v>
      </c>
      <c r="C292" s="294" t="s">
        <v>22</v>
      </c>
      <c r="D292" s="294" t="s">
        <v>22</v>
      </c>
      <c r="E292" s="294" t="s">
        <v>22</v>
      </c>
      <c r="F292" s="294" t="s">
        <v>22</v>
      </c>
      <c r="G292" s="294" t="s">
        <v>22</v>
      </c>
      <c r="H292" s="294" t="s">
        <v>22</v>
      </c>
      <c r="I292" s="294" t="s">
        <v>22</v>
      </c>
      <c r="J292" s="294" t="s">
        <v>22</v>
      </c>
    </row>
    <row r="293">
      <c r="A293" s="294"/>
      <c r="B293" s="294" t="s">
        <v>22</v>
      </c>
      <c r="C293" s="294" t="s">
        <v>22</v>
      </c>
      <c r="D293" s="294" t="s">
        <v>22</v>
      </c>
      <c r="E293" s="294" t="s">
        <v>22</v>
      </c>
      <c r="F293" s="294" t="s">
        <v>22</v>
      </c>
      <c r="G293" s="294" t="s">
        <v>22</v>
      </c>
      <c r="H293" s="294" t="s">
        <v>22</v>
      </c>
      <c r="I293" s="294" t="s">
        <v>22</v>
      </c>
      <c r="J293" s="294" t="s">
        <v>22</v>
      </c>
    </row>
    <row r="294">
      <c r="A294" s="294"/>
      <c r="B294" s="294" t="s">
        <v>22</v>
      </c>
      <c r="C294" s="294" t="s">
        <v>22</v>
      </c>
      <c r="D294" s="294" t="s">
        <v>22</v>
      </c>
      <c r="E294" s="294" t="s">
        <v>22</v>
      </c>
      <c r="F294" s="294" t="s">
        <v>22</v>
      </c>
      <c r="G294" s="294" t="s">
        <v>22</v>
      </c>
      <c r="H294" s="294" t="s">
        <v>22</v>
      </c>
      <c r="I294" s="294" t="s">
        <v>22</v>
      </c>
      <c r="J294" s="294" t="s">
        <v>22</v>
      </c>
    </row>
    <row r="295">
      <c r="A295" s="294"/>
      <c r="B295" s="294" t="s">
        <v>22</v>
      </c>
      <c r="C295" s="294" t="s">
        <v>22</v>
      </c>
      <c r="D295" s="294" t="s">
        <v>22</v>
      </c>
      <c r="E295" s="294" t="s">
        <v>22</v>
      </c>
      <c r="F295" s="294" t="s">
        <v>22</v>
      </c>
      <c r="G295" s="294" t="s">
        <v>22</v>
      </c>
      <c r="H295" s="294" t="s">
        <v>22</v>
      </c>
      <c r="I295" s="294" t="s">
        <v>22</v>
      </c>
      <c r="J295" s="294" t="s">
        <v>22</v>
      </c>
    </row>
    <row r="296">
      <c r="A296" s="294"/>
      <c r="B296" s="294" t="s">
        <v>22</v>
      </c>
      <c r="C296" s="294" t="s">
        <v>22</v>
      </c>
      <c r="D296" s="294" t="s">
        <v>22</v>
      </c>
      <c r="E296" s="294" t="s">
        <v>22</v>
      </c>
      <c r="F296" s="294" t="s">
        <v>22</v>
      </c>
      <c r="G296" s="294" t="s">
        <v>22</v>
      </c>
      <c r="H296" s="294" t="s">
        <v>22</v>
      </c>
      <c r="I296" s="294" t="s">
        <v>22</v>
      </c>
      <c r="J296" s="294" t="s">
        <v>22</v>
      </c>
    </row>
    <row r="297">
      <c r="A297" s="294"/>
      <c r="B297" s="294" t="s">
        <v>22</v>
      </c>
      <c r="C297" s="294" t="s">
        <v>22</v>
      </c>
      <c r="D297" s="294" t="s">
        <v>22</v>
      </c>
      <c r="E297" s="294" t="s">
        <v>22</v>
      </c>
      <c r="F297" s="294" t="s">
        <v>22</v>
      </c>
      <c r="G297" s="294" t="s">
        <v>22</v>
      </c>
      <c r="H297" s="294" t="s">
        <v>22</v>
      </c>
      <c r="I297" s="294" t="s">
        <v>22</v>
      </c>
      <c r="J297" s="294" t="s">
        <v>22</v>
      </c>
    </row>
    <row r="298">
      <c r="A298" s="294"/>
      <c r="B298" s="294" t="s">
        <v>22</v>
      </c>
      <c r="C298" s="294" t="s">
        <v>22</v>
      </c>
      <c r="D298" s="294" t="s">
        <v>22</v>
      </c>
      <c r="E298" s="294" t="s">
        <v>22</v>
      </c>
      <c r="F298" s="294" t="s">
        <v>22</v>
      </c>
      <c r="G298" s="294" t="s">
        <v>22</v>
      </c>
      <c r="H298" s="294" t="s">
        <v>22</v>
      </c>
      <c r="I298" s="294" t="s">
        <v>22</v>
      </c>
      <c r="J298" s="294" t="s">
        <v>22</v>
      </c>
    </row>
    <row r="299">
      <c r="A299" s="294"/>
      <c r="B299" s="294" t="s">
        <v>22</v>
      </c>
      <c r="C299" s="294" t="s">
        <v>22</v>
      </c>
      <c r="D299" s="294" t="s">
        <v>22</v>
      </c>
      <c r="E299" s="294" t="s">
        <v>22</v>
      </c>
      <c r="F299" s="294" t="s">
        <v>22</v>
      </c>
      <c r="G299" s="294" t="s">
        <v>22</v>
      </c>
      <c r="H299" s="294" t="s">
        <v>22</v>
      </c>
      <c r="I299" s="294" t="s">
        <v>22</v>
      </c>
      <c r="J299" s="294" t="s">
        <v>22</v>
      </c>
    </row>
    <row r="300">
      <c r="A300" s="294"/>
      <c r="B300" s="294" t="s">
        <v>22</v>
      </c>
      <c r="C300" s="294" t="s">
        <v>22</v>
      </c>
      <c r="D300" s="294" t="s">
        <v>22</v>
      </c>
      <c r="E300" s="294" t="s">
        <v>22</v>
      </c>
      <c r="F300" s="294" t="s">
        <v>22</v>
      </c>
      <c r="G300" s="294" t="s">
        <v>22</v>
      </c>
      <c r="H300" s="294" t="s">
        <v>22</v>
      </c>
      <c r="I300" s="294" t="s">
        <v>22</v>
      </c>
      <c r="J300" s="294" t="s">
        <v>22</v>
      </c>
    </row>
    <row r="301">
      <c r="A301" s="294"/>
      <c r="B301" s="294" t="s">
        <v>22</v>
      </c>
      <c r="C301" s="294" t="s">
        <v>22</v>
      </c>
      <c r="D301" s="294" t="s">
        <v>22</v>
      </c>
      <c r="E301" s="294" t="s">
        <v>22</v>
      </c>
      <c r="F301" s="294" t="s">
        <v>22</v>
      </c>
      <c r="G301" s="294" t="s">
        <v>22</v>
      </c>
      <c r="H301" s="294" t="s">
        <v>22</v>
      </c>
      <c r="I301" s="294" t="s">
        <v>22</v>
      </c>
      <c r="J301" s="294" t="s">
        <v>22</v>
      </c>
    </row>
    <row r="302">
      <c r="A302" s="294"/>
      <c r="B302" s="294" t="s">
        <v>22</v>
      </c>
      <c r="C302" s="294" t="s">
        <v>22</v>
      </c>
      <c r="D302" s="294" t="s">
        <v>22</v>
      </c>
      <c r="E302" s="294" t="s">
        <v>22</v>
      </c>
      <c r="F302" s="294" t="s">
        <v>22</v>
      </c>
      <c r="G302" s="294" t="s">
        <v>22</v>
      </c>
      <c r="H302" s="294" t="s">
        <v>22</v>
      </c>
      <c r="I302" s="294" t="s">
        <v>22</v>
      </c>
      <c r="J302" s="294" t="s">
        <v>22</v>
      </c>
    </row>
    <row r="303">
      <c r="A303" s="294"/>
      <c r="B303" s="294" t="s">
        <v>22</v>
      </c>
      <c r="C303" s="294" t="s">
        <v>22</v>
      </c>
      <c r="D303" s="294" t="s">
        <v>22</v>
      </c>
      <c r="E303" s="294" t="s">
        <v>22</v>
      </c>
      <c r="F303" s="294" t="s">
        <v>22</v>
      </c>
      <c r="G303" s="294" t="s">
        <v>22</v>
      </c>
      <c r="H303" s="294" t="s">
        <v>22</v>
      </c>
      <c r="I303" s="294" t="s">
        <v>22</v>
      </c>
      <c r="J303" s="294" t="s">
        <v>22</v>
      </c>
    </row>
    <row r="304">
      <c r="A304" s="294"/>
      <c r="B304" s="294" t="s">
        <v>22</v>
      </c>
      <c r="C304" s="294" t="s">
        <v>22</v>
      </c>
      <c r="D304" s="294" t="s">
        <v>22</v>
      </c>
      <c r="E304" s="294" t="s">
        <v>22</v>
      </c>
      <c r="F304" s="294" t="s">
        <v>22</v>
      </c>
      <c r="G304" s="294" t="s">
        <v>22</v>
      </c>
      <c r="H304" s="294" t="s">
        <v>22</v>
      </c>
      <c r="I304" s="294" t="s">
        <v>22</v>
      </c>
      <c r="J304" s="294" t="s">
        <v>22</v>
      </c>
    </row>
    <row r="305">
      <c r="A305" s="294"/>
      <c r="B305" s="294" t="s">
        <v>22</v>
      </c>
      <c r="C305" s="294" t="s">
        <v>22</v>
      </c>
      <c r="D305" s="294" t="s">
        <v>22</v>
      </c>
      <c r="E305" s="294" t="s">
        <v>22</v>
      </c>
      <c r="F305" s="294" t="s">
        <v>22</v>
      </c>
      <c r="G305" s="294" t="s">
        <v>22</v>
      </c>
      <c r="H305" s="294" t="s">
        <v>22</v>
      </c>
      <c r="I305" s="294" t="s">
        <v>22</v>
      </c>
      <c r="J305" s="294" t="s">
        <v>22</v>
      </c>
    </row>
    <row r="306">
      <c r="A306" s="294"/>
      <c r="B306" s="294" t="s">
        <v>22</v>
      </c>
      <c r="C306" s="294" t="s">
        <v>22</v>
      </c>
      <c r="D306" s="294" t="s">
        <v>22</v>
      </c>
      <c r="E306" s="294" t="s">
        <v>22</v>
      </c>
      <c r="F306" s="294" t="s">
        <v>22</v>
      </c>
      <c r="G306" s="294" t="s">
        <v>22</v>
      </c>
      <c r="H306" s="294" t="s">
        <v>22</v>
      </c>
      <c r="I306" s="294" t="s">
        <v>22</v>
      </c>
      <c r="J306" s="294" t="s">
        <v>22</v>
      </c>
    </row>
    <row r="307">
      <c r="A307" s="294"/>
      <c r="B307" s="294" t="s">
        <v>22</v>
      </c>
      <c r="C307" s="294" t="s">
        <v>22</v>
      </c>
      <c r="D307" s="294" t="s">
        <v>22</v>
      </c>
      <c r="E307" s="294" t="s">
        <v>22</v>
      </c>
      <c r="F307" s="294" t="s">
        <v>22</v>
      </c>
      <c r="G307" s="294" t="s">
        <v>22</v>
      </c>
      <c r="H307" s="294" t="s">
        <v>22</v>
      </c>
      <c r="I307" s="294" t="s">
        <v>22</v>
      </c>
      <c r="J307" s="294" t="s">
        <v>22</v>
      </c>
    </row>
    <row r="308">
      <c r="A308" s="294"/>
      <c r="B308" s="294" t="s">
        <v>22</v>
      </c>
      <c r="C308" s="294" t="s">
        <v>22</v>
      </c>
      <c r="D308" s="294" t="s">
        <v>22</v>
      </c>
      <c r="E308" s="294" t="s">
        <v>22</v>
      </c>
      <c r="F308" s="294" t="s">
        <v>22</v>
      </c>
      <c r="G308" s="294" t="s">
        <v>22</v>
      </c>
      <c r="H308" s="294" t="s">
        <v>22</v>
      </c>
      <c r="I308" s="294" t="s">
        <v>22</v>
      </c>
      <c r="J308" s="294" t="s">
        <v>22</v>
      </c>
    </row>
    <row r="309">
      <c r="A309" s="294"/>
      <c r="B309" s="294" t="s">
        <v>22</v>
      </c>
      <c r="C309" s="294" t="s">
        <v>22</v>
      </c>
      <c r="D309" s="294" t="s">
        <v>22</v>
      </c>
      <c r="E309" s="294" t="s">
        <v>22</v>
      </c>
      <c r="F309" s="294" t="s">
        <v>22</v>
      </c>
      <c r="G309" s="294" t="s">
        <v>22</v>
      </c>
      <c r="H309" s="294" t="s">
        <v>22</v>
      </c>
      <c r="I309" s="294" t="s">
        <v>22</v>
      </c>
      <c r="J309" s="294" t="s">
        <v>22</v>
      </c>
    </row>
    <row r="310">
      <c r="A310" s="294"/>
      <c r="B310" s="294" t="s">
        <v>22</v>
      </c>
      <c r="C310" s="294" t="s">
        <v>22</v>
      </c>
      <c r="D310" s="294" t="s">
        <v>22</v>
      </c>
      <c r="E310" s="294" t="s">
        <v>22</v>
      </c>
      <c r="F310" s="294" t="s">
        <v>22</v>
      </c>
      <c r="G310" s="294" t="s">
        <v>22</v>
      </c>
      <c r="H310" s="294" t="s">
        <v>22</v>
      </c>
      <c r="I310" s="294" t="s">
        <v>22</v>
      </c>
      <c r="J310" s="294" t="s">
        <v>22</v>
      </c>
    </row>
    <row r="311">
      <c r="A311" s="294"/>
      <c r="B311" s="294" t="s">
        <v>22</v>
      </c>
      <c r="C311" s="294" t="s">
        <v>22</v>
      </c>
      <c r="D311" s="294" t="s">
        <v>22</v>
      </c>
      <c r="E311" s="294" t="s">
        <v>22</v>
      </c>
      <c r="F311" s="294" t="s">
        <v>22</v>
      </c>
      <c r="G311" s="294" t="s">
        <v>22</v>
      </c>
      <c r="H311" s="294" t="s">
        <v>22</v>
      </c>
      <c r="I311" s="294" t="s">
        <v>22</v>
      </c>
      <c r="J311" s="294" t="s">
        <v>22</v>
      </c>
    </row>
    <row r="312">
      <c r="A312" s="294"/>
      <c r="B312" s="294" t="s">
        <v>22</v>
      </c>
      <c r="C312" s="294" t="s">
        <v>22</v>
      </c>
      <c r="D312" s="294" t="s">
        <v>22</v>
      </c>
      <c r="E312" s="294" t="s">
        <v>22</v>
      </c>
      <c r="F312" s="294" t="s">
        <v>22</v>
      </c>
      <c r="G312" s="294" t="s">
        <v>22</v>
      </c>
      <c r="H312" s="294" t="s">
        <v>22</v>
      </c>
      <c r="I312" s="294" t="s">
        <v>22</v>
      </c>
      <c r="J312" s="294" t="s">
        <v>22</v>
      </c>
    </row>
    <row r="313">
      <c r="A313" s="294"/>
      <c r="B313" s="294" t="s">
        <v>22</v>
      </c>
      <c r="C313" s="294" t="s">
        <v>22</v>
      </c>
      <c r="D313" s="294" t="s">
        <v>22</v>
      </c>
      <c r="E313" s="294" t="s">
        <v>22</v>
      </c>
      <c r="F313" s="294" t="s">
        <v>22</v>
      </c>
      <c r="G313" s="294" t="s">
        <v>22</v>
      </c>
      <c r="H313" s="294" t="s">
        <v>22</v>
      </c>
      <c r="I313" s="294" t="s">
        <v>22</v>
      </c>
      <c r="J313" s="294" t="s">
        <v>22</v>
      </c>
    </row>
    <row r="314">
      <c r="A314" s="294"/>
      <c r="B314" s="294" t="s">
        <v>22</v>
      </c>
      <c r="C314" s="294" t="s">
        <v>22</v>
      </c>
      <c r="D314" s="294" t="s">
        <v>22</v>
      </c>
      <c r="E314" s="294" t="s">
        <v>22</v>
      </c>
      <c r="F314" s="294" t="s">
        <v>22</v>
      </c>
      <c r="G314" s="294" t="s">
        <v>22</v>
      </c>
      <c r="H314" s="294" t="s">
        <v>22</v>
      </c>
      <c r="I314" s="294" t="s">
        <v>22</v>
      </c>
      <c r="J314" s="294" t="s">
        <v>22</v>
      </c>
    </row>
    <row r="315">
      <c r="A315" s="294"/>
      <c r="B315" s="294" t="s">
        <v>22</v>
      </c>
      <c r="C315" s="294" t="s">
        <v>22</v>
      </c>
      <c r="D315" s="294" t="s">
        <v>22</v>
      </c>
      <c r="E315" s="294" t="s">
        <v>22</v>
      </c>
      <c r="F315" s="294" t="s">
        <v>22</v>
      </c>
      <c r="G315" s="294" t="s">
        <v>22</v>
      </c>
      <c r="H315" s="294" t="s">
        <v>22</v>
      </c>
      <c r="I315" s="294" t="s">
        <v>22</v>
      </c>
      <c r="J315" s="294" t="s">
        <v>22</v>
      </c>
    </row>
    <row r="316">
      <c r="A316" s="294"/>
      <c r="B316" s="294" t="s">
        <v>22</v>
      </c>
      <c r="C316" s="294" t="s">
        <v>22</v>
      </c>
      <c r="D316" s="294" t="s">
        <v>22</v>
      </c>
      <c r="E316" s="294" t="s">
        <v>22</v>
      </c>
      <c r="F316" s="294" t="s">
        <v>22</v>
      </c>
      <c r="G316" s="294" t="s">
        <v>22</v>
      </c>
      <c r="H316" s="294" t="s">
        <v>22</v>
      </c>
      <c r="I316" s="294" t="s">
        <v>22</v>
      </c>
      <c r="J316" s="294" t="s">
        <v>22</v>
      </c>
    </row>
    <row r="317">
      <c r="A317" s="294"/>
      <c r="B317" s="294" t="s">
        <v>22</v>
      </c>
      <c r="C317" s="294" t="s">
        <v>22</v>
      </c>
      <c r="D317" s="294" t="s">
        <v>22</v>
      </c>
      <c r="E317" s="294" t="s">
        <v>22</v>
      </c>
      <c r="F317" s="294" t="s">
        <v>22</v>
      </c>
      <c r="G317" s="294" t="s">
        <v>22</v>
      </c>
      <c r="H317" s="294" t="s">
        <v>22</v>
      </c>
      <c r="I317" s="294" t="s">
        <v>22</v>
      </c>
      <c r="J317" s="294" t="s">
        <v>22</v>
      </c>
    </row>
    <row r="318">
      <c r="A318" s="294"/>
      <c r="B318" s="294" t="s">
        <v>22</v>
      </c>
      <c r="C318" s="294" t="s">
        <v>22</v>
      </c>
      <c r="D318" s="294" t="s">
        <v>22</v>
      </c>
      <c r="E318" s="294" t="s">
        <v>22</v>
      </c>
      <c r="F318" s="294" t="s">
        <v>22</v>
      </c>
      <c r="G318" s="294" t="s">
        <v>22</v>
      </c>
      <c r="H318" s="294" t="s">
        <v>22</v>
      </c>
      <c r="I318" s="294" t="s">
        <v>22</v>
      </c>
      <c r="J318" s="294" t="s">
        <v>22</v>
      </c>
    </row>
    <row r="319">
      <c r="A319" s="294"/>
      <c r="B319" s="294" t="s">
        <v>22</v>
      </c>
      <c r="C319" s="294" t="s">
        <v>22</v>
      </c>
      <c r="D319" s="294" t="s">
        <v>22</v>
      </c>
      <c r="E319" s="294" t="s">
        <v>22</v>
      </c>
      <c r="F319" s="294" t="s">
        <v>22</v>
      </c>
      <c r="G319" s="294" t="s">
        <v>22</v>
      </c>
      <c r="H319" s="294" t="s">
        <v>22</v>
      </c>
      <c r="I319" s="294" t="s">
        <v>22</v>
      </c>
      <c r="J319" s="294" t="s">
        <v>22</v>
      </c>
    </row>
    <row r="320">
      <c r="A320" s="294"/>
      <c r="B320" s="294" t="s">
        <v>22</v>
      </c>
      <c r="C320" s="294" t="s">
        <v>22</v>
      </c>
      <c r="D320" s="294" t="s">
        <v>22</v>
      </c>
      <c r="E320" s="294" t="s">
        <v>22</v>
      </c>
      <c r="F320" s="294" t="s">
        <v>22</v>
      </c>
      <c r="G320" s="294" t="s">
        <v>22</v>
      </c>
      <c r="H320" s="294" t="s">
        <v>22</v>
      </c>
      <c r="I320" s="294" t="s">
        <v>22</v>
      </c>
      <c r="J320" s="294" t="s">
        <v>22</v>
      </c>
    </row>
    <row r="321">
      <c r="A321" s="294"/>
      <c r="B321" s="294" t="s">
        <v>22</v>
      </c>
      <c r="C321" s="294" t="s">
        <v>22</v>
      </c>
      <c r="D321" s="294" t="s">
        <v>22</v>
      </c>
      <c r="E321" s="294" t="s">
        <v>22</v>
      </c>
      <c r="F321" s="294" t="s">
        <v>22</v>
      </c>
      <c r="G321" s="294" t="s">
        <v>22</v>
      </c>
      <c r="H321" s="294" t="s">
        <v>22</v>
      </c>
      <c r="I321" s="294" t="s">
        <v>22</v>
      </c>
      <c r="J321" s="294" t="s">
        <v>22</v>
      </c>
    </row>
    <row r="322">
      <c r="A322" s="294"/>
      <c r="B322" s="294" t="s">
        <v>22</v>
      </c>
      <c r="C322" s="294" t="s">
        <v>22</v>
      </c>
      <c r="D322" s="294" t="s">
        <v>22</v>
      </c>
      <c r="E322" s="294" t="s">
        <v>22</v>
      </c>
      <c r="F322" s="294" t="s">
        <v>22</v>
      </c>
      <c r="G322" s="294" t="s">
        <v>22</v>
      </c>
      <c r="H322" s="294" t="s">
        <v>22</v>
      </c>
      <c r="I322" s="294" t="s">
        <v>22</v>
      </c>
      <c r="J322" s="294" t="s">
        <v>22</v>
      </c>
    </row>
    <row r="323">
      <c r="A323" s="294"/>
      <c r="B323" s="294" t="s">
        <v>22</v>
      </c>
      <c r="C323" s="294" t="s">
        <v>22</v>
      </c>
      <c r="D323" s="294" t="s">
        <v>22</v>
      </c>
      <c r="E323" s="294" t="s">
        <v>22</v>
      </c>
      <c r="F323" s="294" t="s">
        <v>22</v>
      </c>
      <c r="G323" s="294" t="s">
        <v>22</v>
      </c>
      <c r="H323" s="294" t="s">
        <v>22</v>
      </c>
      <c r="I323" s="294" t="s">
        <v>22</v>
      </c>
      <c r="J323" s="294" t="s">
        <v>22</v>
      </c>
    </row>
    <row r="324">
      <c r="A324" s="294"/>
      <c r="B324" s="294" t="s">
        <v>22</v>
      </c>
      <c r="C324" s="294" t="s">
        <v>22</v>
      </c>
      <c r="D324" s="294" t="s">
        <v>22</v>
      </c>
      <c r="E324" s="294" t="s">
        <v>22</v>
      </c>
      <c r="F324" s="294" t="s">
        <v>22</v>
      </c>
      <c r="G324" s="294" t="s">
        <v>22</v>
      </c>
      <c r="H324" s="294" t="s">
        <v>22</v>
      </c>
      <c r="I324" s="294" t="s">
        <v>22</v>
      </c>
      <c r="J324" s="294" t="s">
        <v>22</v>
      </c>
    </row>
    <row r="325">
      <c r="A325" s="294"/>
      <c r="B325" s="294" t="s">
        <v>22</v>
      </c>
      <c r="C325" s="294" t="s">
        <v>22</v>
      </c>
      <c r="D325" s="294" t="s">
        <v>22</v>
      </c>
      <c r="E325" s="294" t="s">
        <v>22</v>
      </c>
      <c r="F325" s="294" t="s">
        <v>22</v>
      </c>
      <c r="G325" s="294" t="s">
        <v>22</v>
      </c>
      <c r="H325" s="294" t="s">
        <v>22</v>
      </c>
      <c r="I325" s="294" t="s">
        <v>22</v>
      </c>
      <c r="J325" s="294" t="s">
        <v>22</v>
      </c>
    </row>
    <row r="326">
      <c r="A326" s="294"/>
      <c r="B326" s="294" t="s">
        <v>22</v>
      </c>
      <c r="C326" s="294" t="s">
        <v>22</v>
      </c>
      <c r="D326" s="294" t="s">
        <v>22</v>
      </c>
      <c r="E326" s="294" t="s">
        <v>22</v>
      </c>
      <c r="F326" s="294" t="s">
        <v>22</v>
      </c>
      <c r="G326" s="294" t="s">
        <v>22</v>
      </c>
      <c r="H326" s="294" t="s">
        <v>22</v>
      </c>
      <c r="I326" s="294" t="s">
        <v>22</v>
      </c>
      <c r="J326" s="294" t="s">
        <v>22</v>
      </c>
    </row>
    <row r="327">
      <c r="A327" s="294"/>
      <c r="B327" s="294" t="s">
        <v>22</v>
      </c>
      <c r="C327" s="294" t="s">
        <v>22</v>
      </c>
      <c r="D327" s="294" t="s">
        <v>22</v>
      </c>
      <c r="E327" s="294" t="s">
        <v>22</v>
      </c>
      <c r="F327" s="294" t="s">
        <v>22</v>
      </c>
      <c r="G327" s="294" t="s">
        <v>22</v>
      </c>
      <c r="H327" s="294" t="s">
        <v>22</v>
      </c>
      <c r="I327" s="294" t="s">
        <v>22</v>
      </c>
      <c r="J327" s="294" t="s">
        <v>22</v>
      </c>
    </row>
    <row r="328">
      <c r="A328" s="294"/>
      <c r="B328" s="294" t="s">
        <v>22</v>
      </c>
      <c r="C328" s="294" t="s">
        <v>22</v>
      </c>
      <c r="D328" s="294" t="s">
        <v>22</v>
      </c>
      <c r="E328" s="294" t="s">
        <v>22</v>
      </c>
      <c r="F328" s="294" t="s">
        <v>22</v>
      </c>
      <c r="G328" s="294" t="s">
        <v>22</v>
      </c>
      <c r="H328" s="294" t="s">
        <v>22</v>
      </c>
      <c r="I328" s="294" t="s">
        <v>22</v>
      </c>
      <c r="J328" s="294" t="s">
        <v>22</v>
      </c>
    </row>
    <row r="329">
      <c r="A329" s="294"/>
      <c r="B329" s="294" t="s">
        <v>22</v>
      </c>
      <c r="C329" s="294" t="s">
        <v>22</v>
      </c>
      <c r="D329" s="294" t="s">
        <v>22</v>
      </c>
      <c r="E329" s="294" t="s">
        <v>22</v>
      </c>
      <c r="F329" s="294" t="s">
        <v>22</v>
      </c>
      <c r="G329" s="294" t="s">
        <v>22</v>
      </c>
      <c r="H329" s="294" t="s">
        <v>22</v>
      </c>
      <c r="I329" s="294" t="s">
        <v>22</v>
      </c>
      <c r="J329" s="294" t="s">
        <v>22</v>
      </c>
    </row>
    <row r="330">
      <c r="A330" s="294"/>
      <c r="B330" s="294" t="s">
        <v>22</v>
      </c>
      <c r="C330" s="294" t="s">
        <v>22</v>
      </c>
      <c r="D330" s="294" t="s">
        <v>22</v>
      </c>
      <c r="E330" s="294" t="s">
        <v>22</v>
      </c>
      <c r="F330" s="294" t="s">
        <v>22</v>
      </c>
      <c r="G330" s="294" t="s">
        <v>22</v>
      </c>
      <c r="H330" s="294" t="s">
        <v>22</v>
      </c>
      <c r="I330" s="294" t="s">
        <v>22</v>
      </c>
      <c r="J330" s="294" t="s">
        <v>22</v>
      </c>
    </row>
    <row r="331">
      <c r="A331" s="294"/>
      <c r="B331" s="294" t="s">
        <v>22</v>
      </c>
      <c r="C331" s="294" t="s">
        <v>22</v>
      </c>
      <c r="D331" s="294" t="s">
        <v>22</v>
      </c>
      <c r="E331" s="294" t="s">
        <v>22</v>
      </c>
      <c r="F331" s="294" t="s">
        <v>22</v>
      </c>
      <c r="G331" s="294" t="s">
        <v>22</v>
      </c>
      <c r="H331" s="294" t="s">
        <v>22</v>
      </c>
      <c r="I331" s="294" t="s">
        <v>22</v>
      </c>
      <c r="J331" s="294" t="s">
        <v>22</v>
      </c>
    </row>
    <row r="332">
      <c r="A332" s="294"/>
      <c r="B332" s="294" t="s">
        <v>22</v>
      </c>
      <c r="C332" s="294" t="s">
        <v>22</v>
      </c>
      <c r="D332" s="294" t="s">
        <v>22</v>
      </c>
      <c r="E332" s="294" t="s">
        <v>22</v>
      </c>
      <c r="F332" s="294" t="s">
        <v>22</v>
      </c>
      <c r="G332" s="294" t="s">
        <v>22</v>
      </c>
      <c r="H332" s="294" t="s">
        <v>22</v>
      </c>
      <c r="I332" s="294" t="s">
        <v>22</v>
      </c>
      <c r="J332" s="294" t="s">
        <v>22</v>
      </c>
    </row>
    <row r="333">
      <c r="A333" s="294"/>
      <c r="B333" s="294" t="s">
        <v>22</v>
      </c>
      <c r="C333" s="294" t="s">
        <v>22</v>
      </c>
      <c r="D333" s="294" t="s">
        <v>22</v>
      </c>
      <c r="E333" s="294" t="s">
        <v>22</v>
      </c>
      <c r="F333" s="294" t="s">
        <v>22</v>
      </c>
      <c r="G333" s="294" t="s">
        <v>22</v>
      </c>
      <c r="H333" s="294" t="s">
        <v>22</v>
      </c>
      <c r="I333" s="294" t="s">
        <v>22</v>
      </c>
      <c r="J333" s="294" t="s">
        <v>22</v>
      </c>
    </row>
    <row r="334">
      <c r="A334" s="294"/>
      <c r="B334" s="294" t="s">
        <v>22</v>
      </c>
      <c r="C334" s="294" t="s">
        <v>22</v>
      </c>
      <c r="D334" s="294" t="s">
        <v>22</v>
      </c>
      <c r="E334" s="294" t="s">
        <v>22</v>
      </c>
      <c r="F334" s="294" t="s">
        <v>22</v>
      </c>
      <c r="G334" s="294" t="s">
        <v>22</v>
      </c>
      <c r="H334" s="294" t="s">
        <v>22</v>
      </c>
      <c r="I334" s="294" t="s">
        <v>22</v>
      </c>
      <c r="J334" s="294" t="s">
        <v>22</v>
      </c>
    </row>
    <row r="335">
      <c r="A335" s="294"/>
      <c r="B335" s="294" t="s">
        <v>22</v>
      </c>
      <c r="C335" s="294" t="s">
        <v>22</v>
      </c>
      <c r="D335" s="294" t="s">
        <v>22</v>
      </c>
      <c r="E335" s="294" t="s">
        <v>22</v>
      </c>
      <c r="F335" s="294" t="s">
        <v>22</v>
      </c>
      <c r="G335" s="294" t="s">
        <v>22</v>
      </c>
      <c r="H335" s="294" t="s">
        <v>22</v>
      </c>
      <c r="I335" s="294" t="s">
        <v>22</v>
      </c>
      <c r="J335" s="294" t="s">
        <v>22</v>
      </c>
    </row>
    <row r="336">
      <c r="A336" s="294"/>
      <c r="B336" s="294" t="s">
        <v>22</v>
      </c>
      <c r="C336" s="294" t="s">
        <v>22</v>
      </c>
      <c r="D336" s="294" t="s">
        <v>22</v>
      </c>
      <c r="E336" s="294" t="s">
        <v>22</v>
      </c>
      <c r="F336" s="294" t="s">
        <v>22</v>
      </c>
      <c r="G336" s="294" t="s">
        <v>22</v>
      </c>
      <c r="H336" s="294" t="s">
        <v>22</v>
      </c>
      <c r="I336" s="294" t="s">
        <v>22</v>
      </c>
      <c r="J336" s="294" t="s">
        <v>22</v>
      </c>
    </row>
    <row r="337">
      <c r="A337" s="294"/>
      <c r="B337" s="294" t="s">
        <v>22</v>
      </c>
      <c r="C337" s="294" t="s">
        <v>22</v>
      </c>
      <c r="D337" s="294" t="s">
        <v>22</v>
      </c>
      <c r="E337" s="294" t="s">
        <v>22</v>
      </c>
      <c r="F337" s="294" t="s">
        <v>22</v>
      </c>
      <c r="G337" s="294" t="s">
        <v>22</v>
      </c>
      <c r="H337" s="294" t="s">
        <v>22</v>
      </c>
      <c r="I337" s="294" t="s">
        <v>22</v>
      </c>
      <c r="J337" s="294" t="s">
        <v>22</v>
      </c>
    </row>
    <row r="338">
      <c r="A338" s="294"/>
      <c r="B338" s="294" t="s">
        <v>22</v>
      </c>
      <c r="C338" s="294" t="s">
        <v>22</v>
      </c>
      <c r="D338" s="294" t="s">
        <v>22</v>
      </c>
      <c r="E338" s="294" t="s">
        <v>22</v>
      </c>
      <c r="F338" s="294" t="s">
        <v>22</v>
      </c>
      <c r="G338" s="294" t="s">
        <v>22</v>
      </c>
      <c r="H338" s="294" t="s">
        <v>22</v>
      </c>
      <c r="I338" s="294" t="s">
        <v>22</v>
      </c>
      <c r="J338" s="294" t="s">
        <v>22</v>
      </c>
    </row>
    <row r="339">
      <c r="A339" s="294"/>
      <c r="B339" s="294" t="s">
        <v>22</v>
      </c>
      <c r="C339" s="294" t="s">
        <v>22</v>
      </c>
      <c r="D339" s="294" t="s">
        <v>22</v>
      </c>
      <c r="E339" s="294" t="s">
        <v>22</v>
      </c>
      <c r="F339" s="294" t="s">
        <v>22</v>
      </c>
      <c r="G339" s="294" t="s">
        <v>22</v>
      </c>
      <c r="H339" s="294" t="s">
        <v>22</v>
      </c>
      <c r="I339" s="294" t="s">
        <v>22</v>
      </c>
      <c r="J339" s="294" t="s">
        <v>22</v>
      </c>
    </row>
    <row r="340">
      <c r="A340" s="294"/>
      <c r="B340" s="294" t="s">
        <v>22</v>
      </c>
      <c r="C340" s="294" t="s">
        <v>22</v>
      </c>
      <c r="D340" s="294" t="s">
        <v>22</v>
      </c>
      <c r="E340" s="294" t="s">
        <v>22</v>
      </c>
      <c r="F340" s="294" t="s">
        <v>22</v>
      </c>
      <c r="G340" s="294" t="s">
        <v>22</v>
      </c>
      <c r="H340" s="294" t="s">
        <v>22</v>
      </c>
      <c r="I340" s="294" t="s">
        <v>22</v>
      </c>
      <c r="J340" s="294" t="s">
        <v>22</v>
      </c>
    </row>
    <row r="341">
      <c r="A341" s="294"/>
      <c r="B341" s="294" t="s">
        <v>22</v>
      </c>
      <c r="C341" s="294" t="s">
        <v>22</v>
      </c>
      <c r="D341" s="294" t="s">
        <v>22</v>
      </c>
      <c r="E341" s="294" t="s">
        <v>22</v>
      </c>
      <c r="F341" s="294" t="s">
        <v>22</v>
      </c>
      <c r="G341" s="294" t="s">
        <v>22</v>
      </c>
      <c r="H341" s="294" t="s">
        <v>22</v>
      </c>
      <c r="I341" s="294" t="s">
        <v>22</v>
      </c>
      <c r="J341" s="294" t="s">
        <v>22</v>
      </c>
    </row>
    <row r="342">
      <c r="A342" s="294"/>
      <c r="B342" s="294" t="s">
        <v>22</v>
      </c>
      <c r="C342" s="294" t="s">
        <v>22</v>
      </c>
      <c r="D342" s="294" t="s">
        <v>22</v>
      </c>
      <c r="E342" s="294" t="s">
        <v>22</v>
      </c>
      <c r="F342" s="294" t="s">
        <v>22</v>
      </c>
      <c r="G342" s="294" t="s">
        <v>22</v>
      </c>
      <c r="H342" s="294" t="s">
        <v>22</v>
      </c>
      <c r="I342" s="294" t="s">
        <v>22</v>
      </c>
      <c r="J342" s="294" t="s">
        <v>22</v>
      </c>
    </row>
    <row r="343">
      <c r="A343" s="294"/>
      <c r="B343" s="294" t="s">
        <v>22</v>
      </c>
      <c r="C343" s="294" t="s">
        <v>22</v>
      </c>
      <c r="D343" s="294" t="s">
        <v>22</v>
      </c>
      <c r="E343" s="294" t="s">
        <v>22</v>
      </c>
      <c r="F343" s="294" t="s">
        <v>22</v>
      </c>
      <c r="G343" s="294" t="s">
        <v>22</v>
      </c>
      <c r="H343" s="294" t="s">
        <v>22</v>
      </c>
      <c r="I343" s="294" t="s">
        <v>22</v>
      </c>
      <c r="J343" s="294" t="s">
        <v>22</v>
      </c>
    </row>
    <row r="344">
      <c r="A344" s="294"/>
      <c r="B344" s="294" t="s">
        <v>22</v>
      </c>
      <c r="C344" s="294" t="s">
        <v>22</v>
      </c>
      <c r="D344" s="294" t="s">
        <v>22</v>
      </c>
      <c r="E344" s="294" t="s">
        <v>22</v>
      </c>
      <c r="F344" s="294" t="s">
        <v>22</v>
      </c>
      <c r="G344" s="294" t="s">
        <v>22</v>
      </c>
      <c r="H344" s="294" t="s">
        <v>22</v>
      </c>
      <c r="I344" s="294" t="s">
        <v>22</v>
      </c>
      <c r="J344" s="294" t="s">
        <v>22</v>
      </c>
    </row>
    <row r="345">
      <c r="A345" s="294"/>
      <c r="B345" s="294" t="s">
        <v>22</v>
      </c>
      <c r="C345" s="294" t="s">
        <v>22</v>
      </c>
      <c r="D345" s="294" t="s">
        <v>22</v>
      </c>
      <c r="E345" s="294" t="s">
        <v>22</v>
      </c>
      <c r="F345" s="294" t="s">
        <v>22</v>
      </c>
      <c r="G345" s="294" t="s">
        <v>22</v>
      </c>
      <c r="H345" s="294" t="s">
        <v>22</v>
      </c>
      <c r="I345" s="294" t="s">
        <v>22</v>
      </c>
      <c r="J345" s="294" t="s">
        <v>22</v>
      </c>
    </row>
    <row r="346">
      <c r="A346" s="294"/>
      <c r="B346" s="294" t="s">
        <v>22</v>
      </c>
      <c r="C346" s="294" t="s">
        <v>22</v>
      </c>
      <c r="D346" s="294" t="s">
        <v>22</v>
      </c>
      <c r="E346" s="294" t="s">
        <v>22</v>
      </c>
      <c r="F346" s="294" t="s">
        <v>22</v>
      </c>
      <c r="G346" s="294" t="s">
        <v>22</v>
      </c>
      <c r="H346" s="294" t="s">
        <v>22</v>
      </c>
      <c r="I346" s="294" t="s">
        <v>22</v>
      </c>
      <c r="J346" s="294" t="s">
        <v>22</v>
      </c>
    </row>
    <row r="347">
      <c r="A347" s="294"/>
      <c r="B347" s="294" t="s">
        <v>22</v>
      </c>
      <c r="C347" s="294" t="s">
        <v>22</v>
      </c>
      <c r="D347" s="294" t="s">
        <v>22</v>
      </c>
      <c r="E347" s="294" t="s">
        <v>22</v>
      </c>
      <c r="F347" s="294" t="s">
        <v>22</v>
      </c>
      <c r="G347" s="294" t="s">
        <v>22</v>
      </c>
      <c r="H347" s="294" t="s">
        <v>22</v>
      </c>
      <c r="I347" s="294" t="s">
        <v>22</v>
      </c>
      <c r="J347" s="294" t="s">
        <v>22</v>
      </c>
    </row>
    <row r="348">
      <c r="A348" s="294"/>
      <c r="B348" s="294" t="s">
        <v>22</v>
      </c>
      <c r="C348" s="294" t="s">
        <v>22</v>
      </c>
      <c r="D348" s="294" t="s">
        <v>22</v>
      </c>
      <c r="E348" s="294" t="s">
        <v>22</v>
      </c>
      <c r="F348" s="294" t="s">
        <v>22</v>
      </c>
      <c r="G348" s="294" t="s">
        <v>22</v>
      </c>
      <c r="H348" s="294" t="s">
        <v>22</v>
      </c>
      <c r="I348" s="294" t="s">
        <v>22</v>
      </c>
      <c r="J348" s="294" t="s">
        <v>22</v>
      </c>
    </row>
    <row r="349">
      <c r="A349" s="294"/>
      <c r="B349" s="294" t="s">
        <v>22</v>
      </c>
      <c r="C349" s="294" t="s">
        <v>22</v>
      </c>
      <c r="D349" s="294" t="s">
        <v>22</v>
      </c>
      <c r="E349" s="294" t="s">
        <v>22</v>
      </c>
      <c r="F349" s="294" t="s">
        <v>22</v>
      </c>
      <c r="G349" s="294" t="s">
        <v>22</v>
      </c>
      <c r="H349" s="294" t="s">
        <v>22</v>
      </c>
      <c r="I349" s="294" t="s">
        <v>22</v>
      </c>
      <c r="J349" s="294" t="s">
        <v>22</v>
      </c>
    </row>
    <row r="350">
      <c r="A350" s="294"/>
      <c r="B350" s="294" t="s">
        <v>22</v>
      </c>
      <c r="C350" s="294" t="s">
        <v>22</v>
      </c>
      <c r="D350" s="294" t="s">
        <v>22</v>
      </c>
      <c r="E350" s="294" t="s">
        <v>22</v>
      </c>
      <c r="F350" s="294" t="s">
        <v>22</v>
      </c>
      <c r="G350" s="294" t="s">
        <v>22</v>
      </c>
      <c r="H350" s="294" t="s">
        <v>22</v>
      </c>
      <c r="I350" s="294" t="s">
        <v>22</v>
      </c>
      <c r="J350" s="294" t="s">
        <v>22</v>
      </c>
    </row>
    <row r="351">
      <c r="A351" s="294"/>
      <c r="B351" s="294" t="s">
        <v>22</v>
      </c>
      <c r="C351" s="294" t="s">
        <v>22</v>
      </c>
      <c r="D351" s="294" t="s">
        <v>22</v>
      </c>
      <c r="E351" s="294" t="s">
        <v>22</v>
      </c>
      <c r="F351" s="294" t="s">
        <v>22</v>
      </c>
      <c r="G351" s="294" t="s">
        <v>22</v>
      </c>
      <c r="H351" s="294" t="s">
        <v>22</v>
      </c>
      <c r="I351" s="294" t="s">
        <v>22</v>
      </c>
      <c r="J351" s="294" t="s">
        <v>22</v>
      </c>
    </row>
    <row r="352">
      <c r="A352" s="294"/>
      <c r="B352" s="294" t="s">
        <v>22</v>
      </c>
      <c r="C352" s="294" t="s">
        <v>22</v>
      </c>
      <c r="D352" s="294" t="s">
        <v>22</v>
      </c>
      <c r="E352" s="294" t="s">
        <v>22</v>
      </c>
      <c r="F352" s="294" t="s">
        <v>22</v>
      </c>
      <c r="G352" s="294" t="s">
        <v>22</v>
      </c>
      <c r="H352" s="294" t="s">
        <v>22</v>
      </c>
      <c r="I352" s="294" t="s">
        <v>22</v>
      </c>
      <c r="J352" s="294" t="s">
        <v>22</v>
      </c>
    </row>
    <row r="353">
      <c r="A353" s="294"/>
      <c r="B353" s="294" t="s">
        <v>22</v>
      </c>
      <c r="C353" s="294" t="s">
        <v>22</v>
      </c>
      <c r="D353" s="294" t="s">
        <v>22</v>
      </c>
      <c r="E353" s="294" t="s">
        <v>22</v>
      </c>
      <c r="F353" s="294" t="s">
        <v>22</v>
      </c>
      <c r="G353" s="294" t="s">
        <v>22</v>
      </c>
      <c r="H353" s="294" t="s">
        <v>22</v>
      </c>
      <c r="I353" s="294" t="s">
        <v>22</v>
      </c>
      <c r="J353" s="294" t="s">
        <v>22</v>
      </c>
    </row>
    <row r="354">
      <c r="A354" s="294"/>
      <c r="B354" s="294" t="s">
        <v>22</v>
      </c>
      <c r="C354" s="294" t="s">
        <v>22</v>
      </c>
      <c r="D354" s="294" t="s">
        <v>22</v>
      </c>
      <c r="E354" s="294" t="s">
        <v>22</v>
      </c>
      <c r="F354" s="294" t="s">
        <v>22</v>
      </c>
      <c r="G354" s="294" t="s">
        <v>22</v>
      </c>
      <c r="H354" s="294" t="s">
        <v>22</v>
      </c>
      <c r="I354" s="294" t="s">
        <v>22</v>
      </c>
      <c r="J354" s="294" t="s">
        <v>22</v>
      </c>
    </row>
    <row r="355">
      <c r="A355" s="294"/>
      <c r="B355" s="294" t="s">
        <v>22</v>
      </c>
      <c r="C355" s="294" t="s">
        <v>22</v>
      </c>
      <c r="D355" s="294" t="s">
        <v>22</v>
      </c>
      <c r="E355" s="294" t="s">
        <v>22</v>
      </c>
      <c r="F355" s="294" t="s">
        <v>22</v>
      </c>
      <c r="G355" s="294" t="s">
        <v>22</v>
      </c>
      <c r="H355" s="294" t="s">
        <v>22</v>
      </c>
      <c r="I355" s="294" t="s">
        <v>22</v>
      </c>
      <c r="J355" s="294" t="s">
        <v>22</v>
      </c>
    </row>
    <row r="356">
      <c r="A356" s="294"/>
      <c r="B356" s="294" t="s">
        <v>22</v>
      </c>
      <c r="C356" s="294" t="s">
        <v>22</v>
      </c>
      <c r="D356" s="294" t="s">
        <v>22</v>
      </c>
      <c r="E356" s="294" t="s">
        <v>22</v>
      </c>
      <c r="F356" s="294" t="s">
        <v>22</v>
      </c>
      <c r="G356" s="294" t="s">
        <v>22</v>
      </c>
      <c r="H356" s="294" t="s">
        <v>22</v>
      </c>
      <c r="I356" s="294" t="s">
        <v>22</v>
      </c>
      <c r="J356" s="294" t="s">
        <v>22</v>
      </c>
    </row>
    <row r="357">
      <c r="A357" s="294"/>
      <c r="B357" s="294" t="s">
        <v>22</v>
      </c>
      <c r="C357" s="294" t="s">
        <v>22</v>
      </c>
      <c r="D357" s="294" t="s">
        <v>22</v>
      </c>
      <c r="E357" s="294" t="s">
        <v>22</v>
      </c>
      <c r="F357" s="294" t="s">
        <v>22</v>
      </c>
      <c r="G357" s="294" t="s">
        <v>22</v>
      </c>
      <c r="H357" s="294" t="s">
        <v>22</v>
      </c>
      <c r="I357" s="294" t="s">
        <v>22</v>
      </c>
      <c r="J357" s="294" t="s">
        <v>22</v>
      </c>
    </row>
    <row r="358">
      <c r="A358" s="294"/>
      <c r="B358" s="294" t="s">
        <v>22</v>
      </c>
      <c r="C358" s="294" t="s">
        <v>22</v>
      </c>
      <c r="D358" s="294" t="s">
        <v>22</v>
      </c>
      <c r="E358" s="294" t="s">
        <v>22</v>
      </c>
      <c r="F358" s="294" t="s">
        <v>22</v>
      </c>
      <c r="G358" s="294" t="s">
        <v>22</v>
      </c>
      <c r="H358" s="294" t="s">
        <v>22</v>
      </c>
      <c r="I358" s="294" t="s">
        <v>22</v>
      </c>
      <c r="J358" s="294" t="s">
        <v>22</v>
      </c>
    </row>
    <row r="359">
      <c r="A359" s="294"/>
      <c r="B359" s="294" t="s">
        <v>22</v>
      </c>
      <c r="C359" s="294" t="s">
        <v>22</v>
      </c>
      <c r="D359" s="294" t="s">
        <v>22</v>
      </c>
      <c r="E359" s="294" t="s">
        <v>22</v>
      </c>
      <c r="F359" s="294" t="s">
        <v>22</v>
      </c>
      <c r="G359" s="294" t="s">
        <v>22</v>
      </c>
      <c r="H359" s="294" t="s">
        <v>22</v>
      </c>
      <c r="I359" s="294" t="s">
        <v>22</v>
      </c>
      <c r="J359" s="294" t="s">
        <v>22</v>
      </c>
    </row>
    <row r="360">
      <c r="A360" s="294"/>
      <c r="B360" s="294" t="s">
        <v>22</v>
      </c>
      <c r="C360" s="294" t="s">
        <v>22</v>
      </c>
      <c r="D360" s="294" t="s">
        <v>22</v>
      </c>
      <c r="E360" s="294" t="s">
        <v>22</v>
      </c>
      <c r="F360" s="294" t="s">
        <v>22</v>
      </c>
      <c r="G360" s="294" t="s">
        <v>22</v>
      </c>
      <c r="H360" s="294" t="s">
        <v>22</v>
      </c>
      <c r="I360" s="294" t="s">
        <v>22</v>
      </c>
      <c r="J360" s="294" t="s">
        <v>22</v>
      </c>
    </row>
    <row r="361">
      <c r="A361" s="294"/>
      <c r="B361" s="294" t="s">
        <v>22</v>
      </c>
      <c r="C361" s="294" t="s">
        <v>22</v>
      </c>
      <c r="D361" s="294" t="s">
        <v>22</v>
      </c>
      <c r="E361" s="294" t="s">
        <v>22</v>
      </c>
      <c r="F361" s="294" t="s">
        <v>22</v>
      </c>
      <c r="G361" s="294" t="s">
        <v>22</v>
      </c>
      <c r="H361" s="294" t="s">
        <v>22</v>
      </c>
      <c r="I361" s="294" t="s">
        <v>22</v>
      </c>
      <c r="J361" s="294" t="s">
        <v>22</v>
      </c>
    </row>
    <row r="362">
      <c r="A362" s="294"/>
      <c r="B362" s="294" t="s">
        <v>22</v>
      </c>
      <c r="C362" s="294" t="s">
        <v>22</v>
      </c>
      <c r="D362" s="294" t="s">
        <v>22</v>
      </c>
      <c r="E362" s="294" t="s">
        <v>22</v>
      </c>
      <c r="F362" s="294" t="s">
        <v>22</v>
      </c>
      <c r="G362" s="294" t="s">
        <v>22</v>
      </c>
      <c r="H362" s="294" t="s">
        <v>22</v>
      </c>
      <c r="I362" s="294" t="s">
        <v>22</v>
      </c>
      <c r="J362" s="294" t="s">
        <v>22</v>
      </c>
    </row>
    <row r="363">
      <c r="A363" s="294"/>
      <c r="B363" s="294" t="s">
        <v>22</v>
      </c>
      <c r="C363" s="294" t="s">
        <v>22</v>
      </c>
      <c r="D363" s="294" t="s">
        <v>22</v>
      </c>
      <c r="E363" s="294" t="s">
        <v>22</v>
      </c>
      <c r="F363" s="294" t="s">
        <v>22</v>
      </c>
      <c r="G363" s="294" t="s">
        <v>22</v>
      </c>
      <c r="H363" s="294" t="s">
        <v>22</v>
      </c>
      <c r="I363" s="294" t="s">
        <v>22</v>
      </c>
      <c r="J363" s="294" t="s">
        <v>22</v>
      </c>
    </row>
    <row r="364">
      <c r="A364" s="294"/>
      <c r="B364" s="294" t="s">
        <v>22</v>
      </c>
      <c r="C364" s="294" t="s">
        <v>22</v>
      </c>
      <c r="D364" s="294" t="s">
        <v>22</v>
      </c>
      <c r="E364" s="294" t="s">
        <v>22</v>
      </c>
      <c r="F364" s="294" t="s">
        <v>22</v>
      </c>
      <c r="G364" s="294" t="s">
        <v>22</v>
      </c>
      <c r="H364" s="294" t="s">
        <v>22</v>
      </c>
      <c r="I364" s="294" t="s">
        <v>22</v>
      </c>
      <c r="J364" s="294" t="s">
        <v>22</v>
      </c>
    </row>
    <row r="365">
      <c r="A365" s="294"/>
      <c r="B365" s="294" t="s">
        <v>22</v>
      </c>
      <c r="C365" s="294" t="s">
        <v>22</v>
      </c>
      <c r="D365" s="294" t="s">
        <v>22</v>
      </c>
      <c r="E365" s="294" t="s">
        <v>22</v>
      </c>
      <c r="F365" s="294" t="s">
        <v>22</v>
      </c>
      <c r="G365" s="294" t="s">
        <v>22</v>
      </c>
      <c r="H365" s="294" t="s">
        <v>22</v>
      </c>
      <c r="I365" s="294" t="s">
        <v>22</v>
      </c>
      <c r="J365" s="294" t="s">
        <v>22</v>
      </c>
    </row>
    <row r="366">
      <c r="A366" s="294"/>
      <c r="B366" s="294" t="s">
        <v>22</v>
      </c>
      <c r="C366" s="294" t="s">
        <v>22</v>
      </c>
      <c r="D366" s="294" t="s">
        <v>22</v>
      </c>
      <c r="E366" s="294" t="s">
        <v>22</v>
      </c>
      <c r="F366" s="294" t="s">
        <v>22</v>
      </c>
      <c r="G366" s="294" t="s">
        <v>22</v>
      </c>
      <c r="H366" s="294" t="s">
        <v>22</v>
      </c>
      <c r="I366" s="294" t="s">
        <v>22</v>
      </c>
      <c r="J366" s="294" t="s">
        <v>22</v>
      </c>
    </row>
    <row r="367">
      <c r="A367" s="294"/>
      <c r="B367" s="294" t="s">
        <v>22</v>
      </c>
      <c r="C367" s="294" t="s">
        <v>22</v>
      </c>
      <c r="D367" s="294" t="s">
        <v>22</v>
      </c>
      <c r="E367" s="294" t="s">
        <v>22</v>
      </c>
      <c r="F367" s="294" t="s">
        <v>22</v>
      </c>
      <c r="G367" s="294" t="s">
        <v>22</v>
      </c>
      <c r="H367" s="294" t="s">
        <v>22</v>
      </c>
      <c r="I367" s="294" t="s">
        <v>22</v>
      </c>
      <c r="J367" s="294" t="s">
        <v>22</v>
      </c>
    </row>
    <row r="368">
      <c r="A368" s="294"/>
      <c r="B368" s="294" t="s">
        <v>22</v>
      </c>
      <c r="C368" s="294" t="s">
        <v>22</v>
      </c>
      <c r="D368" s="294" t="s">
        <v>22</v>
      </c>
      <c r="E368" s="294" t="s">
        <v>22</v>
      </c>
      <c r="F368" s="294" t="s">
        <v>22</v>
      </c>
      <c r="G368" s="294" t="s">
        <v>22</v>
      </c>
      <c r="H368" s="294" t="s">
        <v>22</v>
      </c>
      <c r="I368" s="294" t="s">
        <v>22</v>
      </c>
      <c r="J368" s="294" t="s">
        <v>22</v>
      </c>
    </row>
    <row r="369">
      <c r="A369" s="294"/>
      <c r="B369" s="294" t="s">
        <v>22</v>
      </c>
      <c r="C369" s="294" t="s">
        <v>22</v>
      </c>
      <c r="D369" s="294" t="s">
        <v>22</v>
      </c>
      <c r="E369" s="294" t="s">
        <v>22</v>
      </c>
      <c r="F369" s="294" t="s">
        <v>22</v>
      </c>
      <c r="G369" s="294" t="s">
        <v>22</v>
      </c>
      <c r="H369" s="294" t="s">
        <v>22</v>
      </c>
      <c r="I369" s="294" t="s">
        <v>22</v>
      </c>
      <c r="J369" s="294" t="s">
        <v>22</v>
      </c>
    </row>
    <row r="370">
      <c r="A370" s="294"/>
      <c r="B370" s="294" t="s">
        <v>22</v>
      </c>
      <c r="C370" s="294" t="s">
        <v>22</v>
      </c>
      <c r="D370" s="294" t="s">
        <v>22</v>
      </c>
      <c r="E370" s="294" t="s">
        <v>22</v>
      </c>
      <c r="F370" s="294" t="s">
        <v>22</v>
      </c>
      <c r="G370" s="294" t="s">
        <v>22</v>
      </c>
      <c r="H370" s="294" t="s">
        <v>22</v>
      </c>
      <c r="I370" s="294" t="s">
        <v>22</v>
      </c>
      <c r="J370" s="294" t="s">
        <v>22</v>
      </c>
    </row>
    <row r="371">
      <c r="A371" s="294"/>
      <c r="B371" s="294" t="s">
        <v>22</v>
      </c>
      <c r="C371" s="294" t="s">
        <v>22</v>
      </c>
      <c r="D371" s="294" t="s">
        <v>22</v>
      </c>
      <c r="E371" s="294" t="s">
        <v>22</v>
      </c>
      <c r="F371" s="294" t="s">
        <v>22</v>
      </c>
      <c r="G371" s="294" t="s">
        <v>22</v>
      </c>
      <c r="H371" s="294" t="s">
        <v>22</v>
      </c>
      <c r="I371" s="294" t="s">
        <v>22</v>
      </c>
      <c r="J371" s="294" t="s">
        <v>22</v>
      </c>
    </row>
    <row r="372">
      <c r="A372" s="294"/>
      <c r="B372" s="294" t="s">
        <v>22</v>
      </c>
      <c r="C372" s="294" t="s">
        <v>22</v>
      </c>
      <c r="D372" s="294" t="s">
        <v>22</v>
      </c>
      <c r="E372" s="294" t="s">
        <v>22</v>
      </c>
      <c r="F372" s="294" t="s">
        <v>22</v>
      </c>
      <c r="G372" s="294" t="s">
        <v>22</v>
      </c>
      <c r="H372" s="294" t="s">
        <v>22</v>
      </c>
      <c r="I372" s="294" t="s">
        <v>22</v>
      </c>
      <c r="J372" s="294" t="s">
        <v>22</v>
      </c>
    </row>
    <row r="373">
      <c r="A373" s="294"/>
      <c r="B373" s="294" t="s">
        <v>22</v>
      </c>
      <c r="C373" s="294" t="s">
        <v>22</v>
      </c>
      <c r="D373" s="294" t="s">
        <v>22</v>
      </c>
      <c r="E373" s="294" t="s">
        <v>22</v>
      </c>
      <c r="F373" s="294" t="s">
        <v>22</v>
      </c>
      <c r="G373" s="294" t="s">
        <v>22</v>
      </c>
      <c r="H373" s="294" t="s">
        <v>22</v>
      </c>
      <c r="I373" s="294" t="s">
        <v>22</v>
      </c>
      <c r="J373" s="294" t="s">
        <v>22</v>
      </c>
    </row>
    <row r="374">
      <c r="A374" s="294"/>
      <c r="B374" s="294" t="s">
        <v>22</v>
      </c>
      <c r="C374" s="294" t="s">
        <v>22</v>
      </c>
      <c r="D374" s="294" t="s">
        <v>22</v>
      </c>
      <c r="E374" s="294" t="s">
        <v>22</v>
      </c>
      <c r="F374" s="294" t="s">
        <v>22</v>
      </c>
      <c r="G374" s="294" t="s">
        <v>22</v>
      </c>
      <c r="H374" s="294" t="s">
        <v>22</v>
      </c>
      <c r="I374" s="294" t="s">
        <v>22</v>
      </c>
      <c r="J374" s="294" t="s">
        <v>22</v>
      </c>
    </row>
    <row r="375">
      <c r="A375" s="294"/>
      <c r="B375" s="294" t="s">
        <v>22</v>
      </c>
      <c r="C375" s="294" t="s">
        <v>22</v>
      </c>
      <c r="D375" s="294" t="s">
        <v>22</v>
      </c>
      <c r="E375" s="294" t="s">
        <v>22</v>
      </c>
      <c r="F375" s="294" t="s">
        <v>22</v>
      </c>
      <c r="G375" s="294" t="s">
        <v>22</v>
      </c>
      <c r="H375" s="294" t="s">
        <v>22</v>
      </c>
      <c r="I375" s="294" t="s">
        <v>22</v>
      </c>
      <c r="J375" s="294" t="s">
        <v>22</v>
      </c>
    </row>
    <row r="376">
      <c r="A376" s="294"/>
      <c r="B376" s="294" t="s">
        <v>22</v>
      </c>
      <c r="C376" s="294" t="s">
        <v>22</v>
      </c>
      <c r="D376" s="294" t="s">
        <v>22</v>
      </c>
      <c r="E376" s="294" t="s">
        <v>22</v>
      </c>
      <c r="F376" s="294" t="s">
        <v>22</v>
      </c>
      <c r="G376" s="294" t="s">
        <v>22</v>
      </c>
      <c r="H376" s="294" t="s">
        <v>22</v>
      </c>
      <c r="I376" s="294" t="s">
        <v>22</v>
      </c>
      <c r="J376" s="294" t="s">
        <v>22</v>
      </c>
    </row>
    <row r="377">
      <c r="A377" s="294"/>
      <c r="B377" s="294" t="s">
        <v>22</v>
      </c>
      <c r="C377" s="294" t="s">
        <v>22</v>
      </c>
      <c r="D377" s="294" t="s">
        <v>22</v>
      </c>
      <c r="E377" s="294" t="s">
        <v>22</v>
      </c>
      <c r="F377" s="294" t="s">
        <v>22</v>
      </c>
      <c r="G377" s="294" t="s">
        <v>22</v>
      </c>
      <c r="H377" s="294" t="s">
        <v>22</v>
      </c>
      <c r="I377" s="294" t="s">
        <v>22</v>
      </c>
      <c r="J377" s="294" t="s">
        <v>22</v>
      </c>
    </row>
    <row r="378">
      <c r="A378" s="294"/>
      <c r="B378" s="294" t="s">
        <v>22</v>
      </c>
      <c r="C378" s="294" t="s">
        <v>22</v>
      </c>
      <c r="D378" s="294" t="s">
        <v>22</v>
      </c>
      <c r="E378" s="294" t="s">
        <v>22</v>
      </c>
      <c r="F378" s="294" t="s">
        <v>22</v>
      </c>
      <c r="G378" s="294" t="s">
        <v>22</v>
      </c>
      <c r="H378" s="294" t="s">
        <v>22</v>
      </c>
      <c r="I378" s="294" t="s">
        <v>22</v>
      </c>
      <c r="J378" s="294" t="s">
        <v>22</v>
      </c>
    </row>
    <row r="379">
      <c r="A379" s="294"/>
      <c r="B379" s="294" t="s">
        <v>22</v>
      </c>
      <c r="C379" s="294" t="s">
        <v>22</v>
      </c>
      <c r="D379" s="294" t="s">
        <v>22</v>
      </c>
      <c r="E379" s="294" t="s">
        <v>22</v>
      </c>
      <c r="F379" s="294" t="s">
        <v>22</v>
      </c>
      <c r="G379" s="294" t="s">
        <v>22</v>
      </c>
      <c r="H379" s="294" t="s">
        <v>22</v>
      </c>
      <c r="I379" s="294" t="s">
        <v>22</v>
      </c>
      <c r="J379" s="294" t="s">
        <v>22</v>
      </c>
    </row>
    <row r="380">
      <c r="A380" s="294"/>
      <c r="B380" s="294" t="s">
        <v>22</v>
      </c>
      <c r="C380" s="294" t="s">
        <v>22</v>
      </c>
      <c r="D380" s="294" t="s">
        <v>22</v>
      </c>
      <c r="E380" s="294" t="s">
        <v>22</v>
      </c>
      <c r="F380" s="294" t="s">
        <v>22</v>
      </c>
      <c r="G380" s="294" t="s">
        <v>22</v>
      </c>
      <c r="H380" s="294" t="s">
        <v>22</v>
      </c>
      <c r="I380" s="294" t="s">
        <v>22</v>
      </c>
      <c r="J380" s="294" t="s">
        <v>22</v>
      </c>
    </row>
    <row r="381">
      <c r="A381" s="294"/>
      <c r="B381" s="294" t="s">
        <v>22</v>
      </c>
      <c r="C381" s="294" t="s">
        <v>22</v>
      </c>
      <c r="D381" s="294" t="s">
        <v>22</v>
      </c>
      <c r="E381" s="294" t="s">
        <v>22</v>
      </c>
      <c r="F381" s="294" t="s">
        <v>22</v>
      </c>
      <c r="G381" s="294" t="s">
        <v>22</v>
      </c>
      <c r="H381" s="294" t="s">
        <v>22</v>
      </c>
      <c r="I381" s="294" t="s">
        <v>22</v>
      </c>
      <c r="J381" s="294" t="s">
        <v>22</v>
      </c>
    </row>
    <row r="382">
      <c r="A382" s="294"/>
      <c r="B382" s="294" t="s">
        <v>22</v>
      </c>
      <c r="C382" s="294" t="s">
        <v>22</v>
      </c>
      <c r="D382" s="294" t="s">
        <v>22</v>
      </c>
      <c r="E382" s="294" t="s">
        <v>22</v>
      </c>
      <c r="F382" s="294" t="s">
        <v>22</v>
      </c>
      <c r="G382" s="294" t="s">
        <v>22</v>
      </c>
      <c r="H382" s="294" t="s">
        <v>22</v>
      </c>
      <c r="I382" s="294" t="s">
        <v>22</v>
      </c>
      <c r="J382" s="294" t="s">
        <v>22</v>
      </c>
    </row>
    <row r="383">
      <c r="A383" s="294"/>
      <c r="B383" s="294" t="s">
        <v>22</v>
      </c>
      <c r="C383" s="294" t="s">
        <v>22</v>
      </c>
      <c r="D383" s="294" t="s">
        <v>22</v>
      </c>
      <c r="E383" s="294" t="s">
        <v>22</v>
      </c>
      <c r="F383" s="294" t="s">
        <v>22</v>
      </c>
      <c r="G383" s="294" t="s">
        <v>22</v>
      </c>
      <c r="H383" s="294" t="s">
        <v>22</v>
      </c>
      <c r="I383" s="294" t="s">
        <v>22</v>
      </c>
      <c r="J383" s="294" t="s">
        <v>22</v>
      </c>
    </row>
    <row r="384">
      <c r="A384" s="294"/>
      <c r="B384" s="294" t="s">
        <v>22</v>
      </c>
      <c r="C384" s="294" t="s">
        <v>22</v>
      </c>
      <c r="D384" s="294" t="s">
        <v>22</v>
      </c>
      <c r="E384" s="294" t="s">
        <v>22</v>
      </c>
      <c r="F384" s="294" t="s">
        <v>22</v>
      </c>
      <c r="G384" s="294" t="s">
        <v>22</v>
      </c>
      <c r="H384" s="294" t="s">
        <v>22</v>
      </c>
      <c r="I384" s="294" t="s">
        <v>22</v>
      </c>
      <c r="J384" s="294" t="s">
        <v>22</v>
      </c>
    </row>
    <row r="385">
      <c r="A385" s="294"/>
      <c r="B385" s="294" t="s">
        <v>22</v>
      </c>
      <c r="C385" s="294" t="s">
        <v>22</v>
      </c>
      <c r="D385" s="294" t="s">
        <v>22</v>
      </c>
      <c r="E385" s="294" t="s">
        <v>22</v>
      </c>
      <c r="F385" s="294" t="s">
        <v>22</v>
      </c>
      <c r="G385" s="294" t="s">
        <v>22</v>
      </c>
      <c r="H385" s="294" t="s">
        <v>22</v>
      </c>
      <c r="I385" s="294" t="s">
        <v>22</v>
      </c>
      <c r="J385" s="294" t="s">
        <v>22</v>
      </c>
    </row>
    <row r="386">
      <c r="A386" s="294"/>
      <c r="B386" s="294" t="s">
        <v>22</v>
      </c>
      <c r="C386" s="294" t="s">
        <v>22</v>
      </c>
      <c r="D386" s="294" t="s">
        <v>22</v>
      </c>
      <c r="E386" s="294" t="s">
        <v>22</v>
      </c>
      <c r="F386" s="294" t="s">
        <v>22</v>
      </c>
      <c r="G386" s="294" t="s">
        <v>22</v>
      </c>
      <c r="H386" s="294" t="s">
        <v>22</v>
      </c>
      <c r="I386" s="294" t="s">
        <v>22</v>
      </c>
      <c r="J386" s="294" t="s">
        <v>22</v>
      </c>
    </row>
    <row r="387">
      <c r="A387" s="294"/>
      <c r="B387" s="294" t="s">
        <v>22</v>
      </c>
      <c r="C387" s="294" t="s">
        <v>22</v>
      </c>
      <c r="D387" s="294" t="s">
        <v>22</v>
      </c>
      <c r="E387" s="294" t="s">
        <v>22</v>
      </c>
      <c r="F387" s="294" t="s">
        <v>22</v>
      </c>
      <c r="G387" s="294" t="s">
        <v>22</v>
      </c>
      <c r="H387" s="294" t="s">
        <v>22</v>
      </c>
      <c r="I387" s="294" t="s">
        <v>22</v>
      </c>
      <c r="J387" s="294" t="s">
        <v>22</v>
      </c>
    </row>
    <row r="388">
      <c r="A388" s="294"/>
      <c r="B388" s="294" t="s">
        <v>22</v>
      </c>
      <c r="C388" s="294" t="s">
        <v>22</v>
      </c>
      <c r="D388" s="294" t="s">
        <v>22</v>
      </c>
      <c r="E388" s="294" t="s">
        <v>22</v>
      </c>
      <c r="F388" s="294" t="s">
        <v>22</v>
      </c>
      <c r="G388" s="294" t="s">
        <v>22</v>
      </c>
      <c r="H388" s="294" t="s">
        <v>22</v>
      </c>
      <c r="I388" s="294" t="s">
        <v>22</v>
      </c>
      <c r="J388" s="294" t="s">
        <v>22</v>
      </c>
    </row>
    <row r="389">
      <c r="A389" s="294"/>
      <c r="B389" s="294" t="s">
        <v>22</v>
      </c>
      <c r="C389" s="294" t="s">
        <v>22</v>
      </c>
      <c r="D389" s="294" t="s">
        <v>22</v>
      </c>
      <c r="E389" s="294" t="s">
        <v>22</v>
      </c>
      <c r="F389" s="294" t="s">
        <v>22</v>
      </c>
      <c r="G389" s="294" t="s">
        <v>22</v>
      </c>
      <c r="H389" s="294" t="s">
        <v>22</v>
      </c>
      <c r="I389" s="294" t="s">
        <v>22</v>
      </c>
      <c r="J389" s="294" t="s">
        <v>22</v>
      </c>
    </row>
    <row r="390">
      <c r="A390" s="294"/>
      <c r="B390" s="294" t="s">
        <v>22</v>
      </c>
      <c r="C390" s="294" t="s">
        <v>22</v>
      </c>
      <c r="D390" s="294" t="s">
        <v>22</v>
      </c>
      <c r="E390" s="294" t="s">
        <v>22</v>
      </c>
      <c r="F390" s="294" t="s">
        <v>22</v>
      </c>
      <c r="G390" s="294" t="s">
        <v>22</v>
      </c>
      <c r="H390" s="294" t="s">
        <v>22</v>
      </c>
      <c r="I390" s="294" t="s">
        <v>22</v>
      </c>
      <c r="J390" s="294" t="s">
        <v>22</v>
      </c>
    </row>
    <row r="391">
      <c r="A391" s="294"/>
      <c r="B391" s="294" t="s">
        <v>22</v>
      </c>
      <c r="C391" s="294" t="s">
        <v>22</v>
      </c>
      <c r="D391" s="294" t="s">
        <v>22</v>
      </c>
      <c r="E391" s="294" t="s">
        <v>22</v>
      </c>
      <c r="F391" s="294" t="s">
        <v>22</v>
      </c>
      <c r="G391" s="294" t="s">
        <v>22</v>
      </c>
      <c r="H391" s="294" t="s">
        <v>22</v>
      </c>
      <c r="I391" s="294" t="s">
        <v>22</v>
      </c>
      <c r="J391" s="294" t="s">
        <v>22</v>
      </c>
    </row>
    <row r="392">
      <c r="A392" s="294"/>
      <c r="B392" s="294" t="s">
        <v>22</v>
      </c>
      <c r="C392" s="294" t="s">
        <v>22</v>
      </c>
      <c r="D392" s="294" t="s">
        <v>22</v>
      </c>
      <c r="E392" s="294" t="s">
        <v>22</v>
      </c>
      <c r="F392" s="294" t="s">
        <v>22</v>
      </c>
      <c r="G392" s="294" t="s">
        <v>22</v>
      </c>
      <c r="H392" s="294" t="s">
        <v>22</v>
      </c>
      <c r="I392" s="294" t="s">
        <v>22</v>
      </c>
      <c r="J392" s="294" t="s">
        <v>22</v>
      </c>
    </row>
    <row r="393">
      <c r="A393" s="294"/>
      <c r="B393" s="294" t="s">
        <v>22</v>
      </c>
      <c r="C393" s="294" t="s">
        <v>22</v>
      </c>
      <c r="D393" s="294" t="s">
        <v>22</v>
      </c>
      <c r="E393" s="294" t="s">
        <v>22</v>
      </c>
      <c r="F393" s="294" t="s">
        <v>22</v>
      </c>
      <c r="G393" s="294" t="s">
        <v>22</v>
      </c>
      <c r="H393" s="294" t="s">
        <v>22</v>
      </c>
      <c r="I393" s="294" t="s">
        <v>22</v>
      </c>
      <c r="J393" s="294" t="s">
        <v>22</v>
      </c>
    </row>
    <row r="394">
      <c r="A394" s="294"/>
      <c r="B394" s="294" t="s">
        <v>22</v>
      </c>
      <c r="C394" s="294" t="s">
        <v>22</v>
      </c>
      <c r="D394" s="294" t="s">
        <v>22</v>
      </c>
      <c r="E394" s="294" t="s">
        <v>22</v>
      </c>
      <c r="F394" s="294" t="s">
        <v>22</v>
      </c>
      <c r="G394" s="294" t="s">
        <v>22</v>
      </c>
      <c r="H394" s="294" t="s">
        <v>22</v>
      </c>
      <c r="I394" s="294" t="s">
        <v>22</v>
      </c>
      <c r="J394" s="294" t="s">
        <v>22</v>
      </c>
    </row>
    <row r="395">
      <c r="A395" s="294"/>
      <c r="B395" s="294" t="s">
        <v>22</v>
      </c>
      <c r="C395" s="294" t="s">
        <v>22</v>
      </c>
      <c r="D395" s="294" t="s">
        <v>22</v>
      </c>
      <c r="E395" s="294" t="s">
        <v>22</v>
      </c>
      <c r="F395" s="294" t="s">
        <v>22</v>
      </c>
      <c r="G395" s="294" t="s">
        <v>22</v>
      </c>
      <c r="H395" s="294" t="s">
        <v>22</v>
      </c>
      <c r="I395" s="294" t="s">
        <v>22</v>
      </c>
      <c r="J395" s="294" t="s">
        <v>22</v>
      </c>
    </row>
    <row r="396">
      <c r="A396" s="294"/>
      <c r="B396" s="294" t="s">
        <v>22</v>
      </c>
      <c r="C396" s="294" t="s">
        <v>22</v>
      </c>
      <c r="D396" s="294" t="s">
        <v>22</v>
      </c>
      <c r="E396" s="294" t="s">
        <v>22</v>
      </c>
      <c r="F396" s="294" t="s">
        <v>22</v>
      </c>
      <c r="G396" s="294" t="s">
        <v>22</v>
      </c>
      <c r="H396" s="294" t="s">
        <v>22</v>
      </c>
      <c r="I396" s="294" t="s">
        <v>22</v>
      </c>
      <c r="J396" s="294" t="s">
        <v>22</v>
      </c>
    </row>
    <row r="397">
      <c r="A397" s="294"/>
      <c r="B397" s="294" t="s">
        <v>22</v>
      </c>
      <c r="C397" s="294" t="s">
        <v>22</v>
      </c>
      <c r="D397" s="294" t="s">
        <v>22</v>
      </c>
      <c r="E397" s="294" t="s">
        <v>22</v>
      </c>
      <c r="F397" s="294" t="s">
        <v>22</v>
      </c>
      <c r="G397" s="294" t="s">
        <v>22</v>
      </c>
      <c r="H397" s="294" t="s">
        <v>22</v>
      </c>
      <c r="I397" s="294" t="s">
        <v>22</v>
      </c>
      <c r="J397" s="294" t="s">
        <v>22</v>
      </c>
    </row>
    <row r="398">
      <c r="A398" s="294"/>
      <c r="B398" s="294" t="s">
        <v>22</v>
      </c>
      <c r="C398" s="294" t="s">
        <v>22</v>
      </c>
      <c r="D398" s="294" t="s">
        <v>22</v>
      </c>
      <c r="E398" s="294" t="s">
        <v>22</v>
      </c>
      <c r="F398" s="294" t="s">
        <v>22</v>
      </c>
      <c r="G398" s="294" t="s">
        <v>22</v>
      </c>
      <c r="H398" s="294" t="s">
        <v>22</v>
      </c>
      <c r="I398" s="294" t="s">
        <v>22</v>
      </c>
      <c r="J398" s="294" t="s">
        <v>22</v>
      </c>
    </row>
    <row r="399">
      <c r="A399" s="294"/>
      <c r="B399" s="294" t="s">
        <v>22</v>
      </c>
      <c r="C399" s="294" t="s">
        <v>22</v>
      </c>
      <c r="D399" s="294" t="s">
        <v>22</v>
      </c>
      <c r="E399" s="294" t="s">
        <v>22</v>
      </c>
      <c r="F399" s="294" t="s">
        <v>22</v>
      </c>
      <c r="G399" s="294" t="s">
        <v>22</v>
      </c>
      <c r="H399" s="294" t="s">
        <v>22</v>
      </c>
      <c r="I399" s="294" t="s">
        <v>22</v>
      </c>
      <c r="J399" s="294" t="s">
        <v>22</v>
      </c>
    </row>
    <row r="400">
      <c r="A400" s="294"/>
      <c r="B400" s="294" t="s">
        <v>22</v>
      </c>
      <c r="C400" s="294" t="s">
        <v>22</v>
      </c>
      <c r="D400" s="294" t="s">
        <v>22</v>
      </c>
      <c r="E400" s="294" t="s">
        <v>22</v>
      </c>
      <c r="F400" s="294" t="s">
        <v>22</v>
      </c>
      <c r="G400" s="294" t="s">
        <v>22</v>
      </c>
      <c r="H400" s="294" t="s">
        <v>22</v>
      </c>
      <c r="I400" s="294" t="s">
        <v>22</v>
      </c>
      <c r="J400" s="294" t="s">
        <v>22</v>
      </c>
    </row>
    <row r="401">
      <c r="A401" s="294"/>
      <c r="B401" s="294" t="s">
        <v>22</v>
      </c>
      <c r="C401" s="294" t="s">
        <v>22</v>
      </c>
      <c r="D401" s="294" t="s">
        <v>22</v>
      </c>
      <c r="E401" s="294" t="s">
        <v>22</v>
      </c>
      <c r="F401" s="294" t="s">
        <v>22</v>
      </c>
      <c r="G401" s="294" t="s">
        <v>22</v>
      </c>
      <c r="H401" s="294" t="s">
        <v>22</v>
      </c>
      <c r="I401" s="294" t="s">
        <v>22</v>
      </c>
      <c r="J401" s="294" t="s">
        <v>22</v>
      </c>
    </row>
    <row r="402">
      <c r="A402" s="294"/>
      <c r="B402" s="294" t="s">
        <v>22</v>
      </c>
      <c r="C402" s="294" t="s">
        <v>22</v>
      </c>
      <c r="D402" s="294" t="s">
        <v>22</v>
      </c>
      <c r="E402" s="294" t="s">
        <v>22</v>
      </c>
      <c r="F402" s="294" t="s">
        <v>22</v>
      </c>
      <c r="G402" s="294" t="s">
        <v>22</v>
      </c>
      <c r="H402" s="294" t="s">
        <v>22</v>
      </c>
      <c r="I402" s="294" t="s">
        <v>22</v>
      </c>
      <c r="J402" s="294" t="s">
        <v>22</v>
      </c>
    </row>
    <row r="403">
      <c r="A403" s="294"/>
      <c r="B403" s="294" t="s">
        <v>22</v>
      </c>
      <c r="C403" s="294" t="s">
        <v>22</v>
      </c>
      <c r="D403" s="294" t="s">
        <v>22</v>
      </c>
      <c r="E403" s="294" t="s">
        <v>22</v>
      </c>
      <c r="F403" s="294" t="s">
        <v>22</v>
      </c>
      <c r="G403" s="294" t="s">
        <v>22</v>
      </c>
      <c r="H403" s="294" t="s">
        <v>22</v>
      </c>
      <c r="I403" s="294" t="s">
        <v>22</v>
      </c>
      <c r="J403" s="294" t="s">
        <v>22</v>
      </c>
    </row>
    <row r="404">
      <c r="A404" s="294"/>
      <c r="B404" s="294" t="s">
        <v>22</v>
      </c>
      <c r="C404" s="294" t="s">
        <v>22</v>
      </c>
      <c r="D404" s="294" t="s">
        <v>22</v>
      </c>
      <c r="E404" s="294" t="s">
        <v>22</v>
      </c>
      <c r="F404" s="294" t="s">
        <v>22</v>
      </c>
      <c r="G404" s="294" t="s">
        <v>22</v>
      </c>
      <c r="H404" s="294" t="s">
        <v>22</v>
      </c>
      <c r="I404" s="294" t="s">
        <v>22</v>
      </c>
      <c r="J404" s="294" t="s">
        <v>22</v>
      </c>
    </row>
    <row r="405">
      <c r="A405" s="294"/>
      <c r="B405" s="294" t="s">
        <v>22</v>
      </c>
      <c r="C405" s="294" t="s">
        <v>22</v>
      </c>
      <c r="D405" s="294" t="s">
        <v>22</v>
      </c>
      <c r="E405" s="294" t="s">
        <v>22</v>
      </c>
      <c r="F405" s="294" t="s">
        <v>22</v>
      </c>
      <c r="G405" s="294" t="s">
        <v>22</v>
      </c>
      <c r="H405" s="294" t="s">
        <v>22</v>
      </c>
      <c r="I405" s="294" t="s">
        <v>22</v>
      </c>
      <c r="J405" s="294" t="s">
        <v>22</v>
      </c>
    </row>
    <row r="406">
      <c r="A406" s="294"/>
      <c r="B406" s="294" t="s">
        <v>22</v>
      </c>
      <c r="C406" s="294" t="s">
        <v>22</v>
      </c>
      <c r="D406" s="294" t="s">
        <v>22</v>
      </c>
      <c r="E406" s="294" t="s">
        <v>22</v>
      </c>
      <c r="F406" s="294" t="s">
        <v>22</v>
      </c>
      <c r="G406" s="294" t="s">
        <v>22</v>
      </c>
      <c r="H406" s="294" t="s">
        <v>22</v>
      </c>
      <c r="I406" s="294" t="s">
        <v>22</v>
      </c>
      <c r="J406" s="294" t="s">
        <v>22</v>
      </c>
    </row>
    <row r="407">
      <c r="A407" s="294"/>
      <c r="B407" s="294" t="s">
        <v>22</v>
      </c>
      <c r="C407" s="294" t="s">
        <v>22</v>
      </c>
      <c r="D407" s="294" t="s">
        <v>22</v>
      </c>
      <c r="E407" s="294" t="s">
        <v>22</v>
      </c>
      <c r="F407" s="294" t="s">
        <v>22</v>
      </c>
      <c r="G407" s="294" t="s">
        <v>22</v>
      </c>
      <c r="H407" s="294" t="s">
        <v>22</v>
      </c>
      <c r="I407" s="294" t="s">
        <v>22</v>
      </c>
      <c r="J407" s="294" t="s">
        <v>22</v>
      </c>
    </row>
    <row r="408">
      <c r="A408" s="294"/>
      <c r="B408" s="294" t="s">
        <v>22</v>
      </c>
      <c r="C408" s="294" t="s">
        <v>22</v>
      </c>
      <c r="D408" s="294" t="s">
        <v>22</v>
      </c>
      <c r="E408" s="294" t="s">
        <v>22</v>
      </c>
      <c r="F408" s="294" t="s">
        <v>22</v>
      </c>
      <c r="G408" s="294" t="s">
        <v>22</v>
      </c>
      <c r="H408" s="294" t="s">
        <v>22</v>
      </c>
      <c r="I408" s="294" t="s">
        <v>22</v>
      </c>
      <c r="J408" s="294" t="s">
        <v>22</v>
      </c>
    </row>
    <row r="409">
      <c r="A409" s="294"/>
      <c r="B409" s="294" t="s">
        <v>22</v>
      </c>
      <c r="C409" s="294" t="s">
        <v>22</v>
      </c>
      <c r="D409" s="294" t="s">
        <v>22</v>
      </c>
      <c r="E409" s="294" t="s">
        <v>22</v>
      </c>
      <c r="F409" s="294" t="s">
        <v>22</v>
      </c>
      <c r="G409" s="294" t="s">
        <v>22</v>
      </c>
      <c r="H409" s="294" t="s">
        <v>22</v>
      </c>
      <c r="I409" s="294" t="s">
        <v>22</v>
      </c>
      <c r="J409" s="294" t="s">
        <v>22</v>
      </c>
    </row>
    <row r="410">
      <c r="A410" s="294"/>
      <c r="B410" s="294" t="s">
        <v>22</v>
      </c>
      <c r="C410" s="294" t="s">
        <v>22</v>
      </c>
      <c r="D410" s="294" t="s">
        <v>22</v>
      </c>
      <c r="E410" s="294" t="s">
        <v>22</v>
      </c>
      <c r="F410" s="294" t="s">
        <v>22</v>
      </c>
      <c r="G410" s="294" t="s">
        <v>22</v>
      </c>
      <c r="H410" s="294" t="s">
        <v>22</v>
      </c>
      <c r="I410" s="294" t="s">
        <v>22</v>
      </c>
      <c r="J410" s="294" t="s">
        <v>22</v>
      </c>
    </row>
    <row r="411">
      <c r="A411" s="294"/>
      <c r="B411" s="294" t="s">
        <v>22</v>
      </c>
      <c r="C411" s="294" t="s">
        <v>22</v>
      </c>
      <c r="D411" s="294" t="s">
        <v>22</v>
      </c>
      <c r="E411" s="294" t="s">
        <v>22</v>
      </c>
      <c r="F411" s="294" t="s">
        <v>22</v>
      </c>
      <c r="G411" s="294" t="s">
        <v>22</v>
      </c>
      <c r="H411" s="294" t="s">
        <v>22</v>
      </c>
      <c r="I411" s="294" t="s">
        <v>22</v>
      </c>
      <c r="J411" s="294" t="s">
        <v>22</v>
      </c>
    </row>
    <row r="412">
      <c r="A412" s="294"/>
      <c r="B412" s="294" t="s">
        <v>22</v>
      </c>
      <c r="C412" s="294" t="s">
        <v>22</v>
      </c>
      <c r="D412" s="294" t="s">
        <v>22</v>
      </c>
      <c r="E412" s="294" t="s">
        <v>22</v>
      </c>
      <c r="F412" s="294" t="s">
        <v>22</v>
      </c>
      <c r="G412" s="294" t="s">
        <v>22</v>
      </c>
      <c r="H412" s="294" t="s">
        <v>22</v>
      </c>
      <c r="I412" s="294" t="s">
        <v>22</v>
      </c>
      <c r="J412" s="294" t="s">
        <v>22</v>
      </c>
    </row>
    <row r="413">
      <c r="A413" s="294"/>
      <c r="B413" s="294" t="s">
        <v>22</v>
      </c>
      <c r="C413" s="294" t="s">
        <v>22</v>
      </c>
      <c r="D413" s="294" t="s">
        <v>22</v>
      </c>
      <c r="E413" s="294" t="s">
        <v>22</v>
      </c>
      <c r="F413" s="294" t="s">
        <v>22</v>
      </c>
      <c r="G413" s="294" t="s">
        <v>22</v>
      </c>
      <c r="H413" s="294" t="s">
        <v>22</v>
      </c>
      <c r="I413" s="294" t="s">
        <v>22</v>
      </c>
      <c r="J413" s="294" t="s">
        <v>22</v>
      </c>
    </row>
    <row r="414">
      <c r="A414" s="294"/>
      <c r="B414" s="294" t="s">
        <v>22</v>
      </c>
      <c r="C414" s="294" t="s">
        <v>22</v>
      </c>
      <c r="D414" s="294" t="s">
        <v>22</v>
      </c>
      <c r="E414" s="294" t="s">
        <v>22</v>
      </c>
      <c r="F414" s="294" t="s">
        <v>22</v>
      </c>
      <c r="G414" s="294" t="s">
        <v>22</v>
      </c>
      <c r="H414" s="294" t="s">
        <v>22</v>
      </c>
      <c r="I414" s="294" t="s">
        <v>22</v>
      </c>
      <c r="J414" s="294" t="s">
        <v>22</v>
      </c>
    </row>
    <row r="415">
      <c r="A415" s="294"/>
      <c r="B415" s="294" t="s">
        <v>22</v>
      </c>
      <c r="C415" s="294" t="s">
        <v>22</v>
      </c>
      <c r="D415" s="294" t="s">
        <v>22</v>
      </c>
      <c r="E415" s="294" t="s">
        <v>22</v>
      </c>
      <c r="F415" s="294" t="s">
        <v>22</v>
      </c>
      <c r="G415" s="294" t="s">
        <v>22</v>
      </c>
      <c r="H415" s="294" t="s">
        <v>22</v>
      </c>
      <c r="I415" s="294" t="s">
        <v>22</v>
      </c>
      <c r="J415" s="294" t="s">
        <v>22</v>
      </c>
    </row>
    <row r="416">
      <c r="A416" s="294"/>
      <c r="B416" s="294" t="s">
        <v>22</v>
      </c>
      <c r="C416" s="294" t="s">
        <v>22</v>
      </c>
      <c r="D416" s="294" t="s">
        <v>22</v>
      </c>
      <c r="E416" s="294" t="s">
        <v>22</v>
      </c>
      <c r="F416" s="294" t="s">
        <v>22</v>
      </c>
      <c r="G416" s="294" t="s">
        <v>22</v>
      </c>
      <c r="H416" s="294" t="s">
        <v>22</v>
      </c>
      <c r="I416" s="294" t="s">
        <v>22</v>
      </c>
      <c r="J416" s="294" t="s">
        <v>22</v>
      </c>
    </row>
    <row r="417">
      <c r="A417" s="294"/>
      <c r="B417" s="294" t="s">
        <v>22</v>
      </c>
      <c r="C417" s="294" t="s">
        <v>22</v>
      </c>
      <c r="D417" s="294" t="s">
        <v>22</v>
      </c>
      <c r="E417" s="294" t="s">
        <v>22</v>
      </c>
      <c r="F417" s="294" t="s">
        <v>22</v>
      </c>
      <c r="G417" s="294" t="s">
        <v>22</v>
      </c>
      <c r="H417" s="294" t="s">
        <v>22</v>
      </c>
      <c r="I417" s="294" t="s">
        <v>22</v>
      </c>
      <c r="J417" s="294" t="s">
        <v>22</v>
      </c>
    </row>
    <row r="418">
      <c r="A418" s="294"/>
      <c r="B418" s="294" t="s">
        <v>22</v>
      </c>
      <c r="C418" s="294" t="s">
        <v>22</v>
      </c>
      <c r="D418" s="294" t="s">
        <v>22</v>
      </c>
      <c r="E418" s="294" t="s">
        <v>22</v>
      </c>
      <c r="F418" s="294" t="s">
        <v>22</v>
      </c>
      <c r="G418" s="294" t="s">
        <v>22</v>
      </c>
      <c r="H418" s="294" t="s">
        <v>22</v>
      </c>
      <c r="I418" s="294" t="s">
        <v>22</v>
      </c>
      <c r="J418" s="294" t="s">
        <v>22</v>
      </c>
    </row>
    <row r="419">
      <c r="A419" s="294"/>
      <c r="B419" s="294" t="s">
        <v>22</v>
      </c>
      <c r="C419" s="294" t="s">
        <v>22</v>
      </c>
      <c r="D419" s="294" t="s">
        <v>22</v>
      </c>
      <c r="E419" s="294" t="s">
        <v>22</v>
      </c>
      <c r="F419" s="294" t="s">
        <v>22</v>
      </c>
      <c r="G419" s="294" t="s">
        <v>22</v>
      </c>
      <c r="H419" s="294" t="s">
        <v>22</v>
      </c>
      <c r="I419" s="294" t="s">
        <v>22</v>
      </c>
      <c r="J419" s="294" t="s">
        <v>22</v>
      </c>
    </row>
    <row r="420">
      <c r="A420" s="294"/>
      <c r="B420" s="294" t="s">
        <v>22</v>
      </c>
      <c r="C420" s="294" t="s">
        <v>22</v>
      </c>
      <c r="D420" s="294" t="s">
        <v>22</v>
      </c>
      <c r="E420" s="294" t="s">
        <v>22</v>
      </c>
      <c r="F420" s="294" t="s">
        <v>22</v>
      </c>
      <c r="G420" s="294" t="s">
        <v>22</v>
      </c>
      <c r="H420" s="294" t="s">
        <v>22</v>
      </c>
      <c r="I420" s="294" t="s">
        <v>22</v>
      </c>
      <c r="J420" s="294" t="s">
        <v>22</v>
      </c>
    </row>
    <row r="421">
      <c r="A421" s="294"/>
      <c r="B421" s="294" t="s">
        <v>22</v>
      </c>
      <c r="C421" s="294" t="s">
        <v>22</v>
      </c>
      <c r="D421" s="294" t="s">
        <v>22</v>
      </c>
      <c r="E421" s="294" t="s">
        <v>22</v>
      </c>
      <c r="F421" s="294" t="s">
        <v>22</v>
      </c>
      <c r="G421" s="294" t="s">
        <v>22</v>
      </c>
      <c r="H421" s="294" t="s">
        <v>22</v>
      </c>
      <c r="I421" s="294" t="s">
        <v>22</v>
      </c>
      <c r="J421" s="294" t="s">
        <v>22</v>
      </c>
    </row>
    <row r="422">
      <c r="A422" s="294"/>
      <c r="B422" s="294" t="s">
        <v>22</v>
      </c>
      <c r="C422" s="294" t="s">
        <v>22</v>
      </c>
      <c r="D422" s="294" t="s">
        <v>22</v>
      </c>
      <c r="E422" s="294" t="s">
        <v>22</v>
      </c>
      <c r="F422" s="294" t="s">
        <v>22</v>
      </c>
      <c r="G422" s="294" t="s">
        <v>22</v>
      </c>
      <c r="H422" s="294" t="s">
        <v>22</v>
      </c>
      <c r="I422" s="294" t="s">
        <v>22</v>
      </c>
      <c r="J422" s="294" t="s">
        <v>22</v>
      </c>
    </row>
    <row r="423">
      <c r="A423" s="294"/>
      <c r="B423" s="294" t="s">
        <v>22</v>
      </c>
      <c r="C423" s="294" t="s">
        <v>22</v>
      </c>
      <c r="D423" s="294" t="s">
        <v>22</v>
      </c>
      <c r="E423" s="294" t="s">
        <v>22</v>
      </c>
      <c r="F423" s="294" t="s">
        <v>22</v>
      </c>
      <c r="G423" s="294" t="s">
        <v>22</v>
      </c>
      <c r="H423" s="294" t="s">
        <v>22</v>
      </c>
      <c r="I423" s="294" t="s">
        <v>22</v>
      </c>
      <c r="J423" s="294" t="s">
        <v>22</v>
      </c>
    </row>
    <row r="424">
      <c r="A424" s="294"/>
      <c r="B424" s="294" t="s">
        <v>22</v>
      </c>
      <c r="C424" s="294" t="s">
        <v>22</v>
      </c>
      <c r="D424" s="294" t="s">
        <v>22</v>
      </c>
      <c r="E424" s="294" t="s">
        <v>22</v>
      </c>
      <c r="F424" s="294" t="s">
        <v>22</v>
      </c>
      <c r="G424" s="294" t="s">
        <v>22</v>
      </c>
      <c r="H424" s="294" t="s">
        <v>22</v>
      </c>
      <c r="I424" s="294" t="s">
        <v>22</v>
      </c>
      <c r="J424" s="294" t="s">
        <v>22</v>
      </c>
    </row>
    <row r="425">
      <c r="A425" s="294"/>
      <c r="B425" s="294" t="s">
        <v>22</v>
      </c>
      <c r="C425" s="294" t="s">
        <v>22</v>
      </c>
      <c r="D425" s="294" t="s">
        <v>22</v>
      </c>
      <c r="E425" s="294" t="s">
        <v>22</v>
      </c>
      <c r="F425" s="294" t="s">
        <v>22</v>
      </c>
      <c r="G425" s="294" t="s">
        <v>22</v>
      </c>
      <c r="H425" s="294" t="s">
        <v>22</v>
      </c>
      <c r="I425" s="294" t="s">
        <v>22</v>
      </c>
      <c r="J425" s="294" t="s">
        <v>22</v>
      </c>
    </row>
    <row r="426">
      <c r="A426" s="294"/>
      <c r="B426" s="294" t="s">
        <v>22</v>
      </c>
      <c r="C426" s="294" t="s">
        <v>22</v>
      </c>
      <c r="D426" s="294" t="s">
        <v>22</v>
      </c>
      <c r="E426" s="294" t="s">
        <v>22</v>
      </c>
      <c r="F426" s="294" t="s">
        <v>22</v>
      </c>
      <c r="G426" s="294" t="s">
        <v>22</v>
      </c>
      <c r="H426" s="294" t="s">
        <v>22</v>
      </c>
      <c r="I426" s="294" t="s">
        <v>22</v>
      </c>
      <c r="J426" s="294" t="s">
        <v>22</v>
      </c>
    </row>
    <row r="427">
      <c r="A427" s="294"/>
      <c r="B427" s="294" t="s">
        <v>22</v>
      </c>
      <c r="C427" s="294" t="s">
        <v>22</v>
      </c>
      <c r="D427" s="294" t="s">
        <v>22</v>
      </c>
      <c r="E427" s="294" t="s">
        <v>22</v>
      </c>
      <c r="F427" s="294" t="s">
        <v>22</v>
      </c>
      <c r="G427" s="294" t="s">
        <v>22</v>
      </c>
      <c r="H427" s="294" t="s">
        <v>22</v>
      </c>
      <c r="I427" s="294" t="s">
        <v>22</v>
      </c>
      <c r="J427" s="294" t="s">
        <v>22</v>
      </c>
    </row>
    <row r="428">
      <c r="A428" s="294"/>
      <c r="B428" s="294" t="s">
        <v>22</v>
      </c>
      <c r="C428" s="294" t="s">
        <v>22</v>
      </c>
      <c r="D428" s="294" t="s">
        <v>22</v>
      </c>
      <c r="E428" s="294" t="s">
        <v>22</v>
      </c>
      <c r="F428" s="294" t="s">
        <v>22</v>
      </c>
      <c r="G428" s="294" t="s">
        <v>22</v>
      </c>
      <c r="H428" s="294" t="s">
        <v>22</v>
      </c>
      <c r="I428" s="294" t="s">
        <v>22</v>
      </c>
      <c r="J428" s="294" t="s">
        <v>22</v>
      </c>
    </row>
    <row r="429">
      <c r="A429" s="294"/>
      <c r="B429" s="294" t="s">
        <v>22</v>
      </c>
      <c r="C429" s="294" t="s">
        <v>22</v>
      </c>
      <c r="D429" s="294" t="s">
        <v>22</v>
      </c>
      <c r="E429" s="294" t="s">
        <v>22</v>
      </c>
      <c r="F429" s="294" t="s">
        <v>22</v>
      </c>
      <c r="G429" s="294" t="s">
        <v>22</v>
      </c>
      <c r="H429" s="294" t="s">
        <v>22</v>
      </c>
      <c r="I429" s="294" t="s">
        <v>22</v>
      </c>
      <c r="J429" s="294" t="s">
        <v>22</v>
      </c>
    </row>
    <row r="430">
      <c r="A430" s="294"/>
      <c r="B430" s="294" t="s">
        <v>22</v>
      </c>
      <c r="C430" s="294" t="s">
        <v>22</v>
      </c>
      <c r="D430" s="294" t="s">
        <v>22</v>
      </c>
      <c r="E430" s="294" t="s">
        <v>22</v>
      </c>
      <c r="F430" s="294" t="s">
        <v>22</v>
      </c>
      <c r="G430" s="294" t="s">
        <v>22</v>
      </c>
      <c r="H430" s="294" t="s">
        <v>22</v>
      </c>
      <c r="I430" s="294" t="s">
        <v>22</v>
      </c>
      <c r="J430" s="294" t="s">
        <v>22</v>
      </c>
    </row>
    <row r="431">
      <c r="A431" s="294"/>
      <c r="B431" s="294" t="s">
        <v>22</v>
      </c>
      <c r="C431" s="294" t="s">
        <v>22</v>
      </c>
      <c r="D431" s="294" t="s">
        <v>22</v>
      </c>
      <c r="E431" s="294" t="s">
        <v>22</v>
      </c>
      <c r="F431" s="294" t="s">
        <v>22</v>
      </c>
      <c r="G431" s="294" t="s">
        <v>22</v>
      </c>
      <c r="H431" s="294" t="s">
        <v>22</v>
      </c>
      <c r="I431" s="294" t="s">
        <v>22</v>
      </c>
      <c r="J431" s="294" t="s">
        <v>22</v>
      </c>
    </row>
    <row r="432">
      <c r="A432" s="294"/>
      <c r="B432" s="294" t="s">
        <v>22</v>
      </c>
      <c r="C432" s="294" t="s">
        <v>22</v>
      </c>
      <c r="D432" s="294" t="s">
        <v>22</v>
      </c>
      <c r="E432" s="294" t="s">
        <v>22</v>
      </c>
      <c r="F432" s="294" t="s">
        <v>22</v>
      </c>
      <c r="G432" s="294" t="s">
        <v>22</v>
      </c>
      <c r="H432" s="294" t="s">
        <v>22</v>
      </c>
      <c r="I432" s="294" t="s">
        <v>22</v>
      </c>
      <c r="J432" s="294" t="s">
        <v>22</v>
      </c>
    </row>
    <row r="433">
      <c r="A433" s="294"/>
      <c r="B433" s="294" t="s">
        <v>22</v>
      </c>
      <c r="C433" s="294" t="s">
        <v>22</v>
      </c>
      <c r="D433" s="294" t="s">
        <v>22</v>
      </c>
      <c r="E433" s="294" t="s">
        <v>22</v>
      </c>
      <c r="F433" s="294" t="s">
        <v>22</v>
      </c>
      <c r="G433" s="294" t="s">
        <v>22</v>
      </c>
      <c r="H433" s="294" t="s">
        <v>22</v>
      </c>
      <c r="I433" s="294" t="s">
        <v>22</v>
      </c>
      <c r="J433" s="294" t="s">
        <v>22</v>
      </c>
    </row>
    <row r="434">
      <c r="A434" s="294"/>
      <c r="B434" s="294" t="s">
        <v>22</v>
      </c>
      <c r="C434" s="294" t="s">
        <v>22</v>
      </c>
      <c r="D434" s="294" t="s">
        <v>22</v>
      </c>
      <c r="E434" s="294" t="s">
        <v>22</v>
      </c>
      <c r="F434" s="294" t="s">
        <v>22</v>
      </c>
      <c r="G434" s="294" t="s">
        <v>22</v>
      </c>
      <c r="H434" s="294" t="s">
        <v>22</v>
      </c>
      <c r="I434" s="294" t="s">
        <v>22</v>
      </c>
      <c r="J434" s="294" t="s">
        <v>22</v>
      </c>
    </row>
    <row r="435">
      <c r="A435" s="294"/>
      <c r="B435" s="294" t="s">
        <v>22</v>
      </c>
      <c r="C435" s="294" t="s">
        <v>22</v>
      </c>
      <c r="D435" s="294" t="s">
        <v>22</v>
      </c>
      <c r="E435" s="294" t="s">
        <v>22</v>
      </c>
      <c r="F435" s="294" t="s">
        <v>22</v>
      </c>
      <c r="G435" s="294" t="s">
        <v>22</v>
      </c>
      <c r="H435" s="294" t="s">
        <v>22</v>
      </c>
      <c r="I435" s="294" t="s">
        <v>22</v>
      </c>
      <c r="J435" s="294" t="s">
        <v>22</v>
      </c>
    </row>
    <row r="436">
      <c r="A436" s="294"/>
      <c r="B436" s="294" t="s">
        <v>22</v>
      </c>
      <c r="C436" s="294" t="s">
        <v>22</v>
      </c>
      <c r="D436" s="294" t="s">
        <v>22</v>
      </c>
      <c r="E436" s="294" t="s">
        <v>22</v>
      </c>
      <c r="F436" s="294" t="s">
        <v>22</v>
      </c>
      <c r="G436" s="294" t="s">
        <v>22</v>
      </c>
      <c r="H436" s="294" t="s">
        <v>22</v>
      </c>
      <c r="I436" s="294" t="s">
        <v>22</v>
      </c>
      <c r="J436" s="294" t="s">
        <v>22</v>
      </c>
    </row>
    <row r="437">
      <c r="A437" s="294"/>
      <c r="B437" s="294" t="s">
        <v>22</v>
      </c>
      <c r="C437" s="294" t="s">
        <v>22</v>
      </c>
      <c r="D437" s="294" t="s">
        <v>22</v>
      </c>
      <c r="E437" s="294" t="s">
        <v>22</v>
      </c>
      <c r="F437" s="294" t="s">
        <v>22</v>
      </c>
      <c r="G437" s="294" t="s">
        <v>22</v>
      </c>
      <c r="H437" s="294" t="s">
        <v>22</v>
      </c>
      <c r="I437" s="294" t="s">
        <v>22</v>
      </c>
      <c r="J437" s="294" t="s">
        <v>22</v>
      </c>
    </row>
    <row r="438">
      <c r="A438" s="294"/>
      <c r="B438" s="294" t="s">
        <v>22</v>
      </c>
      <c r="C438" s="294" t="s">
        <v>22</v>
      </c>
      <c r="D438" s="294" t="s">
        <v>22</v>
      </c>
      <c r="E438" s="294" t="s">
        <v>22</v>
      </c>
      <c r="F438" s="294" t="s">
        <v>22</v>
      </c>
      <c r="G438" s="294" t="s">
        <v>22</v>
      </c>
      <c r="H438" s="294" t="s">
        <v>22</v>
      </c>
      <c r="I438" s="294" t="s">
        <v>22</v>
      </c>
      <c r="J438" s="294" t="s">
        <v>22</v>
      </c>
    </row>
    <row r="439">
      <c r="A439" s="294"/>
      <c r="B439" s="294" t="s">
        <v>22</v>
      </c>
      <c r="C439" s="294" t="s">
        <v>22</v>
      </c>
      <c r="D439" s="294" t="s">
        <v>22</v>
      </c>
      <c r="E439" s="294" t="s">
        <v>22</v>
      </c>
      <c r="F439" s="294" t="s">
        <v>22</v>
      </c>
      <c r="G439" s="294" t="s">
        <v>22</v>
      </c>
      <c r="H439" s="294" t="s">
        <v>22</v>
      </c>
      <c r="I439" s="294" t="s">
        <v>22</v>
      </c>
      <c r="J439" s="294" t="s">
        <v>22</v>
      </c>
    </row>
    <row r="440">
      <c r="A440" s="294"/>
      <c r="B440" s="294" t="s">
        <v>22</v>
      </c>
      <c r="C440" s="294" t="s">
        <v>22</v>
      </c>
      <c r="D440" s="294" t="s">
        <v>22</v>
      </c>
      <c r="E440" s="294" t="s">
        <v>22</v>
      </c>
      <c r="F440" s="294" t="s">
        <v>22</v>
      </c>
      <c r="G440" s="294" t="s">
        <v>22</v>
      </c>
      <c r="H440" s="294" t="s">
        <v>22</v>
      </c>
      <c r="I440" s="294" t="s">
        <v>22</v>
      </c>
      <c r="J440" s="294" t="s">
        <v>22</v>
      </c>
    </row>
    <row r="441">
      <c r="A441" s="294"/>
      <c r="B441" s="294" t="s">
        <v>22</v>
      </c>
      <c r="C441" s="294" t="s">
        <v>22</v>
      </c>
      <c r="D441" s="294" t="s">
        <v>22</v>
      </c>
      <c r="E441" s="294" t="s">
        <v>22</v>
      </c>
      <c r="F441" s="294" t="s">
        <v>22</v>
      </c>
      <c r="G441" s="294" t="s">
        <v>22</v>
      </c>
      <c r="H441" s="294" t="s">
        <v>22</v>
      </c>
      <c r="I441" s="294" t="s">
        <v>22</v>
      </c>
      <c r="J441" s="294" t="s">
        <v>22</v>
      </c>
    </row>
    <row r="442">
      <c r="A442" s="294"/>
      <c r="B442" s="294" t="s">
        <v>22</v>
      </c>
      <c r="C442" s="294" t="s">
        <v>22</v>
      </c>
      <c r="D442" s="294" t="s">
        <v>22</v>
      </c>
      <c r="E442" s="294" t="s">
        <v>22</v>
      </c>
      <c r="F442" s="294" t="s">
        <v>22</v>
      </c>
      <c r="G442" s="294" t="s">
        <v>22</v>
      </c>
      <c r="H442" s="294" t="s">
        <v>22</v>
      </c>
      <c r="I442" s="294" t="s">
        <v>22</v>
      </c>
      <c r="J442" s="294" t="s">
        <v>22</v>
      </c>
    </row>
    <row r="443">
      <c r="A443" s="294"/>
      <c r="B443" s="294" t="s">
        <v>22</v>
      </c>
      <c r="C443" s="294" t="s">
        <v>22</v>
      </c>
      <c r="D443" s="294" t="s">
        <v>22</v>
      </c>
      <c r="E443" s="294" t="s">
        <v>22</v>
      </c>
      <c r="F443" s="294" t="s">
        <v>22</v>
      </c>
      <c r="G443" s="294" t="s">
        <v>22</v>
      </c>
      <c r="H443" s="294" t="s">
        <v>22</v>
      </c>
      <c r="I443" s="294" t="s">
        <v>22</v>
      </c>
      <c r="J443" s="294" t="s">
        <v>22</v>
      </c>
    </row>
    <row r="444">
      <c r="A444" s="294"/>
      <c r="B444" s="294" t="s">
        <v>22</v>
      </c>
      <c r="C444" s="294" t="s">
        <v>22</v>
      </c>
      <c r="D444" s="294" t="s">
        <v>22</v>
      </c>
      <c r="E444" s="294" t="s">
        <v>22</v>
      </c>
      <c r="F444" s="294" t="s">
        <v>22</v>
      </c>
      <c r="G444" s="294" t="s">
        <v>22</v>
      </c>
      <c r="H444" s="294" t="s">
        <v>22</v>
      </c>
      <c r="I444" s="294" t="s">
        <v>22</v>
      </c>
      <c r="J444" s="294" t="s">
        <v>22</v>
      </c>
    </row>
    <row r="445">
      <c r="A445" s="294"/>
      <c r="B445" s="294" t="s">
        <v>22</v>
      </c>
      <c r="C445" s="294" t="s">
        <v>22</v>
      </c>
      <c r="D445" s="294" t="s">
        <v>22</v>
      </c>
      <c r="E445" s="294" t="s">
        <v>22</v>
      </c>
      <c r="F445" s="294" t="s">
        <v>22</v>
      </c>
      <c r="G445" s="294" t="s">
        <v>22</v>
      </c>
      <c r="H445" s="294" t="s">
        <v>22</v>
      </c>
      <c r="I445" s="294" t="s">
        <v>22</v>
      </c>
      <c r="J445" s="294" t="s">
        <v>22</v>
      </c>
    </row>
    <row r="446">
      <c r="A446" s="294"/>
      <c r="B446" s="294" t="s">
        <v>22</v>
      </c>
      <c r="C446" s="294" t="s">
        <v>22</v>
      </c>
      <c r="D446" s="294" t="s">
        <v>22</v>
      </c>
      <c r="E446" s="294" t="s">
        <v>22</v>
      </c>
      <c r="F446" s="294" t="s">
        <v>22</v>
      </c>
      <c r="G446" s="294" t="s">
        <v>22</v>
      </c>
      <c r="H446" s="294" t="s">
        <v>22</v>
      </c>
      <c r="I446" s="294" t="s">
        <v>22</v>
      </c>
      <c r="J446" s="294" t="s">
        <v>22</v>
      </c>
    </row>
    <row r="447">
      <c r="A447" s="294"/>
      <c r="B447" s="294" t="s">
        <v>22</v>
      </c>
      <c r="C447" s="294" t="s">
        <v>22</v>
      </c>
      <c r="D447" s="294" t="s">
        <v>22</v>
      </c>
      <c r="E447" s="294" t="s">
        <v>22</v>
      </c>
      <c r="F447" s="294" t="s">
        <v>22</v>
      </c>
      <c r="G447" s="294" t="s">
        <v>22</v>
      </c>
      <c r="H447" s="294" t="s">
        <v>22</v>
      </c>
      <c r="I447" s="294" t="s">
        <v>22</v>
      </c>
      <c r="J447" s="294" t="s">
        <v>22</v>
      </c>
    </row>
    <row r="448">
      <c r="A448" s="294"/>
      <c r="B448" s="294" t="s">
        <v>22</v>
      </c>
      <c r="C448" s="294" t="s">
        <v>22</v>
      </c>
      <c r="D448" s="294" t="s">
        <v>22</v>
      </c>
      <c r="E448" s="294" t="s">
        <v>22</v>
      </c>
      <c r="F448" s="294" t="s">
        <v>22</v>
      </c>
      <c r="G448" s="294" t="s">
        <v>22</v>
      </c>
      <c r="H448" s="294" t="s">
        <v>22</v>
      </c>
      <c r="I448" s="294" t="s">
        <v>22</v>
      </c>
      <c r="J448" s="294" t="s">
        <v>22</v>
      </c>
    </row>
    <row r="449">
      <c r="A449" s="294"/>
      <c r="B449" s="294" t="s">
        <v>22</v>
      </c>
      <c r="C449" s="294" t="s">
        <v>22</v>
      </c>
      <c r="D449" s="294" t="s">
        <v>22</v>
      </c>
      <c r="E449" s="294" t="s">
        <v>22</v>
      </c>
      <c r="F449" s="294" t="s">
        <v>22</v>
      </c>
      <c r="G449" s="294" t="s">
        <v>22</v>
      </c>
      <c r="H449" s="294" t="s">
        <v>22</v>
      </c>
      <c r="I449" s="294" t="s">
        <v>22</v>
      </c>
      <c r="J449" s="294" t="s">
        <v>22</v>
      </c>
    </row>
    <row r="450">
      <c r="A450" s="294"/>
      <c r="B450" s="294" t="s">
        <v>22</v>
      </c>
      <c r="C450" s="294" t="s">
        <v>22</v>
      </c>
      <c r="D450" s="294" t="s">
        <v>22</v>
      </c>
      <c r="E450" s="294" t="s">
        <v>22</v>
      </c>
      <c r="F450" s="294" t="s">
        <v>22</v>
      </c>
      <c r="G450" s="294" t="s">
        <v>22</v>
      </c>
      <c r="H450" s="294" t="s">
        <v>22</v>
      </c>
      <c r="I450" s="294" t="s">
        <v>22</v>
      </c>
      <c r="J450" s="294" t="s">
        <v>22</v>
      </c>
    </row>
    <row r="451">
      <c r="A451" s="294"/>
      <c r="B451" s="294" t="s">
        <v>22</v>
      </c>
      <c r="C451" s="294" t="s">
        <v>22</v>
      </c>
      <c r="D451" s="294" t="s">
        <v>22</v>
      </c>
      <c r="E451" s="294" t="s">
        <v>22</v>
      </c>
      <c r="F451" s="294" t="s">
        <v>22</v>
      </c>
      <c r="G451" s="294" t="s">
        <v>22</v>
      </c>
      <c r="H451" s="294" t="s">
        <v>22</v>
      </c>
      <c r="I451" s="294" t="s">
        <v>22</v>
      </c>
      <c r="J451" s="294" t="s">
        <v>22</v>
      </c>
    </row>
    <row r="452">
      <c r="A452" s="294"/>
      <c r="B452" s="294" t="s">
        <v>22</v>
      </c>
      <c r="C452" s="294" t="s">
        <v>22</v>
      </c>
      <c r="D452" s="294" t="s">
        <v>22</v>
      </c>
      <c r="E452" s="294" t="s">
        <v>22</v>
      </c>
      <c r="F452" s="294" t="s">
        <v>22</v>
      </c>
      <c r="G452" s="294" t="s">
        <v>22</v>
      </c>
      <c r="H452" s="294" t="s">
        <v>22</v>
      </c>
      <c r="I452" s="294" t="s">
        <v>22</v>
      </c>
      <c r="J452" s="294" t="s">
        <v>22</v>
      </c>
    </row>
    <row r="453">
      <c r="A453" s="294"/>
      <c r="B453" s="294" t="s">
        <v>22</v>
      </c>
      <c r="C453" s="294" t="s">
        <v>22</v>
      </c>
      <c r="D453" s="294" t="s">
        <v>22</v>
      </c>
      <c r="E453" s="294" t="s">
        <v>22</v>
      </c>
      <c r="F453" s="294" t="s">
        <v>22</v>
      </c>
      <c r="G453" s="294" t="s">
        <v>22</v>
      </c>
      <c r="H453" s="294" t="s">
        <v>22</v>
      </c>
      <c r="I453" s="294" t="s">
        <v>22</v>
      </c>
      <c r="J453" s="294" t="s">
        <v>22</v>
      </c>
    </row>
    <row r="454">
      <c r="A454" s="294"/>
      <c r="B454" s="294" t="s">
        <v>22</v>
      </c>
      <c r="C454" s="294" t="s">
        <v>22</v>
      </c>
      <c r="D454" s="294" t="s">
        <v>22</v>
      </c>
      <c r="E454" s="294" t="s">
        <v>22</v>
      </c>
      <c r="F454" s="294" t="s">
        <v>22</v>
      </c>
      <c r="G454" s="294" t="s">
        <v>22</v>
      </c>
      <c r="H454" s="294" t="s">
        <v>22</v>
      </c>
      <c r="I454" s="294" t="s">
        <v>22</v>
      </c>
      <c r="J454" s="294" t="s">
        <v>22</v>
      </c>
    </row>
    <row r="455">
      <c r="A455" s="294"/>
      <c r="B455" s="294" t="s">
        <v>22</v>
      </c>
      <c r="C455" s="294" t="s">
        <v>22</v>
      </c>
      <c r="D455" s="294" t="s">
        <v>22</v>
      </c>
      <c r="E455" s="294" t="s">
        <v>22</v>
      </c>
      <c r="F455" s="294" t="s">
        <v>22</v>
      </c>
      <c r="G455" s="294" t="s">
        <v>22</v>
      </c>
      <c r="H455" s="294" t="s">
        <v>22</v>
      </c>
      <c r="I455" s="294" t="s">
        <v>22</v>
      </c>
      <c r="J455" s="294" t="s">
        <v>22</v>
      </c>
    </row>
    <row r="456">
      <c r="A456" s="294"/>
      <c r="B456" s="294" t="s">
        <v>22</v>
      </c>
      <c r="C456" s="294" t="s">
        <v>22</v>
      </c>
      <c r="D456" s="294" t="s">
        <v>22</v>
      </c>
      <c r="E456" s="294" t="s">
        <v>22</v>
      </c>
      <c r="F456" s="294" t="s">
        <v>22</v>
      </c>
      <c r="G456" s="294" t="s">
        <v>22</v>
      </c>
      <c r="H456" s="294" t="s">
        <v>22</v>
      </c>
      <c r="I456" s="294" t="s">
        <v>22</v>
      </c>
      <c r="J456" s="294" t="s">
        <v>22</v>
      </c>
    </row>
    <row r="457">
      <c r="A457" s="294"/>
      <c r="B457" s="294" t="s">
        <v>22</v>
      </c>
      <c r="C457" s="294" t="s">
        <v>22</v>
      </c>
      <c r="D457" s="294" t="s">
        <v>22</v>
      </c>
      <c r="E457" s="294" t="s">
        <v>22</v>
      </c>
      <c r="F457" s="294" t="s">
        <v>22</v>
      </c>
      <c r="G457" s="294" t="s">
        <v>22</v>
      </c>
      <c r="H457" s="294" t="s">
        <v>22</v>
      </c>
      <c r="I457" s="294" t="s">
        <v>22</v>
      </c>
      <c r="J457" s="294" t="s">
        <v>22</v>
      </c>
    </row>
    <row r="458">
      <c r="A458" s="294"/>
      <c r="B458" s="294" t="s">
        <v>22</v>
      </c>
      <c r="C458" s="294" t="s">
        <v>22</v>
      </c>
      <c r="D458" s="294" t="s">
        <v>22</v>
      </c>
      <c r="E458" s="294" t="s">
        <v>22</v>
      </c>
      <c r="F458" s="294" t="s">
        <v>22</v>
      </c>
      <c r="G458" s="294" t="s">
        <v>22</v>
      </c>
      <c r="H458" s="294" t="s">
        <v>22</v>
      </c>
      <c r="I458" s="294" t="s">
        <v>22</v>
      </c>
      <c r="J458" s="294" t="s">
        <v>22</v>
      </c>
    </row>
    <row r="459">
      <c r="A459" s="294"/>
      <c r="B459" s="294" t="s">
        <v>22</v>
      </c>
      <c r="C459" s="294" t="s">
        <v>22</v>
      </c>
      <c r="D459" s="294" t="s">
        <v>22</v>
      </c>
      <c r="E459" s="294" t="s">
        <v>22</v>
      </c>
      <c r="F459" s="294" t="s">
        <v>22</v>
      </c>
      <c r="G459" s="294" t="s">
        <v>22</v>
      </c>
      <c r="H459" s="294" t="s">
        <v>22</v>
      </c>
      <c r="I459" s="294" t="s">
        <v>22</v>
      </c>
      <c r="J459" s="294" t="s">
        <v>22</v>
      </c>
    </row>
    <row r="460">
      <c r="A460" s="294"/>
      <c r="B460" s="294" t="s">
        <v>22</v>
      </c>
      <c r="C460" s="294" t="s">
        <v>22</v>
      </c>
      <c r="D460" s="294" t="s">
        <v>22</v>
      </c>
      <c r="E460" s="294" t="s">
        <v>22</v>
      </c>
      <c r="F460" s="294" t="s">
        <v>22</v>
      </c>
      <c r="G460" s="294" t="s">
        <v>22</v>
      </c>
      <c r="H460" s="294" t="s">
        <v>22</v>
      </c>
      <c r="I460" s="294" t="s">
        <v>22</v>
      </c>
      <c r="J460" s="294" t="s">
        <v>22</v>
      </c>
    </row>
    <row r="461">
      <c r="A461" s="294"/>
      <c r="B461" s="294" t="s">
        <v>22</v>
      </c>
      <c r="C461" s="294" t="s">
        <v>22</v>
      </c>
      <c r="D461" s="294" t="s">
        <v>22</v>
      </c>
      <c r="E461" s="294" t="s">
        <v>22</v>
      </c>
      <c r="F461" s="294" t="s">
        <v>22</v>
      </c>
      <c r="G461" s="294" t="s">
        <v>22</v>
      </c>
      <c r="H461" s="294" t="s">
        <v>22</v>
      </c>
      <c r="I461" s="294" t="s">
        <v>22</v>
      </c>
      <c r="J461" s="294" t="s">
        <v>22</v>
      </c>
    </row>
    <row r="462">
      <c r="A462" s="294"/>
      <c r="B462" s="294" t="s">
        <v>22</v>
      </c>
      <c r="C462" s="294" t="s">
        <v>22</v>
      </c>
      <c r="D462" s="294" t="s">
        <v>22</v>
      </c>
      <c r="E462" s="294" t="s">
        <v>22</v>
      </c>
      <c r="F462" s="294" t="s">
        <v>22</v>
      </c>
      <c r="G462" s="294" t="s">
        <v>22</v>
      </c>
      <c r="H462" s="294" t="s">
        <v>22</v>
      </c>
      <c r="I462" s="294" t="s">
        <v>22</v>
      </c>
      <c r="J462" s="294" t="s">
        <v>22</v>
      </c>
    </row>
    <row r="463">
      <c r="A463" s="294"/>
      <c r="B463" s="294" t="s">
        <v>22</v>
      </c>
      <c r="C463" s="294" t="s">
        <v>22</v>
      </c>
      <c r="D463" s="294" t="s">
        <v>22</v>
      </c>
      <c r="E463" s="294" t="s">
        <v>22</v>
      </c>
      <c r="F463" s="294" t="s">
        <v>22</v>
      </c>
      <c r="G463" s="294" t="s">
        <v>22</v>
      </c>
      <c r="H463" s="294" t="s">
        <v>22</v>
      </c>
      <c r="I463" s="294" t="s">
        <v>22</v>
      </c>
      <c r="J463" s="294" t="s">
        <v>22</v>
      </c>
    </row>
    <row r="464">
      <c r="A464" s="294"/>
      <c r="B464" s="294" t="s">
        <v>22</v>
      </c>
      <c r="C464" s="294" t="s">
        <v>22</v>
      </c>
      <c r="D464" s="294" t="s">
        <v>22</v>
      </c>
      <c r="E464" s="294" t="s">
        <v>22</v>
      </c>
      <c r="F464" s="294" t="s">
        <v>22</v>
      </c>
      <c r="G464" s="294" t="s">
        <v>22</v>
      </c>
      <c r="H464" s="294" t="s">
        <v>22</v>
      </c>
      <c r="I464" s="294" t="s">
        <v>22</v>
      </c>
      <c r="J464" s="294" t="s">
        <v>22</v>
      </c>
    </row>
    <row r="465">
      <c r="A465" s="294"/>
      <c r="B465" s="294" t="s">
        <v>22</v>
      </c>
      <c r="C465" s="294" t="s">
        <v>22</v>
      </c>
      <c r="D465" s="294" t="s">
        <v>22</v>
      </c>
      <c r="E465" s="294" t="s">
        <v>22</v>
      </c>
      <c r="F465" s="294" t="s">
        <v>22</v>
      </c>
      <c r="G465" s="294" t="s">
        <v>22</v>
      </c>
      <c r="H465" s="294" t="s">
        <v>22</v>
      </c>
      <c r="I465" s="294" t="s">
        <v>22</v>
      </c>
      <c r="J465" s="294" t="s">
        <v>22</v>
      </c>
    </row>
    <row r="466">
      <c r="A466" s="294"/>
      <c r="B466" s="294" t="s">
        <v>22</v>
      </c>
      <c r="C466" s="294" t="s">
        <v>22</v>
      </c>
      <c r="D466" s="294" t="s">
        <v>22</v>
      </c>
      <c r="E466" s="294" t="s">
        <v>22</v>
      </c>
      <c r="F466" s="294" t="s">
        <v>22</v>
      </c>
      <c r="G466" s="294" t="s">
        <v>22</v>
      </c>
      <c r="H466" s="294" t="s">
        <v>22</v>
      </c>
      <c r="I466" s="294" t="s">
        <v>22</v>
      </c>
      <c r="J466" s="294" t="s">
        <v>22</v>
      </c>
    </row>
    <row r="467">
      <c r="A467" s="294"/>
      <c r="B467" s="294" t="s">
        <v>22</v>
      </c>
      <c r="C467" s="294" t="s">
        <v>22</v>
      </c>
      <c r="D467" s="294" t="s">
        <v>22</v>
      </c>
      <c r="E467" s="294" t="s">
        <v>22</v>
      </c>
      <c r="F467" s="294" t="s">
        <v>22</v>
      </c>
      <c r="G467" s="294" t="s">
        <v>22</v>
      </c>
      <c r="H467" s="294" t="s">
        <v>22</v>
      </c>
      <c r="I467" s="294" t="s">
        <v>22</v>
      </c>
      <c r="J467" s="294" t="s">
        <v>22</v>
      </c>
    </row>
    <row r="468">
      <c r="A468" s="294"/>
      <c r="B468" s="294" t="s">
        <v>22</v>
      </c>
      <c r="C468" s="294" t="s">
        <v>22</v>
      </c>
      <c r="D468" s="294" t="s">
        <v>22</v>
      </c>
      <c r="E468" s="294" t="s">
        <v>22</v>
      </c>
      <c r="F468" s="294" t="s">
        <v>22</v>
      </c>
      <c r="G468" s="294" t="s">
        <v>22</v>
      </c>
      <c r="H468" s="294" t="s">
        <v>22</v>
      </c>
      <c r="I468" s="294" t="s">
        <v>22</v>
      </c>
      <c r="J468" s="294" t="s">
        <v>22</v>
      </c>
    </row>
    <row r="469">
      <c r="A469" s="294"/>
      <c r="B469" s="294" t="s">
        <v>22</v>
      </c>
      <c r="C469" s="294" t="s">
        <v>22</v>
      </c>
      <c r="D469" s="294" t="s">
        <v>22</v>
      </c>
      <c r="E469" s="294" t="s">
        <v>22</v>
      </c>
      <c r="F469" s="294" t="s">
        <v>22</v>
      </c>
      <c r="G469" s="294" t="s">
        <v>22</v>
      </c>
      <c r="H469" s="294" t="s">
        <v>22</v>
      </c>
      <c r="I469" s="294" t="s">
        <v>22</v>
      </c>
      <c r="J469" s="294" t="s">
        <v>22</v>
      </c>
    </row>
    <row r="470">
      <c r="A470" s="294"/>
      <c r="B470" s="294" t="s">
        <v>22</v>
      </c>
      <c r="C470" s="294" t="s">
        <v>22</v>
      </c>
      <c r="D470" s="294" t="s">
        <v>22</v>
      </c>
      <c r="E470" s="294" t="s">
        <v>22</v>
      </c>
      <c r="F470" s="294" t="s">
        <v>22</v>
      </c>
      <c r="G470" s="294" t="s">
        <v>22</v>
      </c>
      <c r="H470" s="294" t="s">
        <v>22</v>
      </c>
      <c r="I470" s="294" t="s">
        <v>22</v>
      </c>
      <c r="J470" s="294" t="s">
        <v>22</v>
      </c>
    </row>
    <row r="471">
      <c r="A471" s="294"/>
      <c r="B471" s="294" t="s">
        <v>22</v>
      </c>
      <c r="C471" s="294" t="s">
        <v>22</v>
      </c>
      <c r="D471" s="294" t="s">
        <v>22</v>
      </c>
      <c r="E471" s="294" t="s">
        <v>22</v>
      </c>
      <c r="F471" s="294" t="s">
        <v>22</v>
      </c>
      <c r="G471" s="294" t="s">
        <v>22</v>
      </c>
      <c r="H471" s="294" t="s">
        <v>22</v>
      </c>
      <c r="I471" s="294" t="s">
        <v>22</v>
      </c>
      <c r="J471" s="294" t="s">
        <v>22</v>
      </c>
    </row>
    <row r="472">
      <c r="A472" s="294"/>
      <c r="B472" s="294" t="s">
        <v>22</v>
      </c>
      <c r="C472" s="294" t="s">
        <v>22</v>
      </c>
      <c r="D472" s="294" t="s">
        <v>22</v>
      </c>
      <c r="E472" s="294" t="s">
        <v>22</v>
      </c>
      <c r="F472" s="294" t="s">
        <v>22</v>
      </c>
      <c r="G472" s="294" t="s">
        <v>22</v>
      </c>
      <c r="H472" s="294" t="s">
        <v>22</v>
      </c>
      <c r="I472" s="294" t="s">
        <v>22</v>
      </c>
      <c r="J472" s="294" t="s">
        <v>22</v>
      </c>
    </row>
    <row r="473">
      <c r="A473" s="294"/>
      <c r="B473" s="294" t="s">
        <v>22</v>
      </c>
      <c r="C473" s="294" t="s">
        <v>22</v>
      </c>
      <c r="D473" s="294" t="s">
        <v>22</v>
      </c>
      <c r="E473" s="294" t="s">
        <v>22</v>
      </c>
      <c r="F473" s="294" t="s">
        <v>22</v>
      </c>
      <c r="G473" s="294" t="s">
        <v>22</v>
      </c>
      <c r="H473" s="294" t="s">
        <v>22</v>
      </c>
      <c r="I473" s="294" t="s">
        <v>22</v>
      </c>
      <c r="J473" s="294" t="s">
        <v>22</v>
      </c>
    </row>
    <row r="474">
      <c r="A474" s="294"/>
      <c r="B474" s="294" t="s">
        <v>22</v>
      </c>
      <c r="C474" s="294" t="s">
        <v>22</v>
      </c>
      <c r="D474" s="294" t="s">
        <v>22</v>
      </c>
      <c r="E474" s="294" t="s">
        <v>22</v>
      </c>
      <c r="F474" s="294" t="s">
        <v>22</v>
      </c>
      <c r="G474" s="294" t="s">
        <v>22</v>
      </c>
      <c r="H474" s="294" t="s">
        <v>22</v>
      </c>
      <c r="I474" s="294" t="s">
        <v>22</v>
      </c>
      <c r="J474" s="294" t="s">
        <v>22</v>
      </c>
    </row>
    <row r="475">
      <c r="A475" s="294"/>
      <c r="B475" s="294" t="s">
        <v>22</v>
      </c>
      <c r="C475" s="294" t="s">
        <v>22</v>
      </c>
      <c r="D475" s="294" t="s">
        <v>22</v>
      </c>
      <c r="E475" s="294" t="s">
        <v>22</v>
      </c>
      <c r="F475" s="294" t="s">
        <v>22</v>
      </c>
      <c r="G475" s="294" t="s">
        <v>22</v>
      </c>
      <c r="H475" s="294" t="s">
        <v>22</v>
      </c>
      <c r="I475" s="294" t="s">
        <v>22</v>
      </c>
      <c r="J475" s="294" t="s">
        <v>22</v>
      </c>
    </row>
    <row r="476">
      <c r="A476" s="294"/>
      <c r="B476" s="294" t="s">
        <v>22</v>
      </c>
      <c r="C476" s="294" t="s">
        <v>22</v>
      </c>
      <c r="D476" s="294" t="s">
        <v>22</v>
      </c>
      <c r="E476" s="294" t="s">
        <v>22</v>
      </c>
      <c r="F476" s="294" t="s">
        <v>22</v>
      </c>
      <c r="G476" s="294" t="s">
        <v>22</v>
      </c>
      <c r="H476" s="294" t="s">
        <v>22</v>
      </c>
      <c r="I476" s="294" t="s">
        <v>22</v>
      </c>
      <c r="J476" s="294" t="s">
        <v>22</v>
      </c>
    </row>
    <row r="477">
      <c r="A477" s="294"/>
      <c r="B477" s="294" t="s">
        <v>22</v>
      </c>
      <c r="C477" s="294" t="s">
        <v>22</v>
      </c>
      <c r="D477" s="294" t="s">
        <v>22</v>
      </c>
      <c r="E477" s="294" t="s">
        <v>22</v>
      </c>
      <c r="F477" s="294" t="s">
        <v>22</v>
      </c>
      <c r="G477" s="294" t="s">
        <v>22</v>
      </c>
      <c r="H477" s="294" t="s">
        <v>22</v>
      </c>
      <c r="I477" s="294" t="s">
        <v>22</v>
      </c>
      <c r="J477" s="294" t="s">
        <v>22</v>
      </c>
    </row>
    <row r="478">
      <c r="A478" s="294"/>
      <c r="B478" s="294" t="s">
        <v>22</v>
      </c>
      <c r="C478" s="294" t="s">
        <v>22</v>
      </c>
      <c r="D478" s="294" t="s">
        <v>22</v>
      </c>
      <c r="E478" s="294" t="s">
        <v>22</v>
      </c>
      <c r="F478" s="294" t="s">
        <v>22</v>
      </c>
      <c r="G478" s="294" t="s">
        <v>22</v>
      </c>
      <c r="H478" s="294" t="s">
        <v>22</v>
      </c>
      <c r="I478" s="294" t="s">
        <v>22</v>
      </c>
      <c r="J478" s="294" t="s">
        <v>22</v>
      </c>
    </row>
    <row r="479">
      <c r="A479" s="294"/>
      <c r="B479" s="294" t="s">
        <v>22</v>
      </c>
      <c r="C479" s="294" t="s">
        <v>22</v>
      </c>
      <c r="D479" s="294" t="s">
        <v>22</v>
      </c>
      <c r="E479" s="294" t="s">
        <v>22</v>
      </c>
      <c r="F479" s="294" t="s">
        <v>22</v>
      </c>
      <c r="G479" s="294" t="s">
        <v>22</v>
      </c>
      <c r="H479" s="294" t="s">
        <v>22</v>
      </c>
      <c r="I479" s="294" t="s">
        <v>22</v>
      </c>
      <c r="J479" s="294" t="s">
        <v>22</v>
      </c>
    </row>
    <row r="480">
      <c r="A480" s="294"/>
      <c r="B480" s="294" t="s">
        <v>22</v>
      </c>
      <c r="C480" s="294" t="s">
        <v>22</v>
      </c>
      <c r="D480" s="294" t="s">
        <v>22</v>
      </c>
      <c r="E480" s="294" t="s">
        <v>22</v>
      </c>
      <c r="F480" s="294" t="s">
        <v>22</v>
      </c>
      <c r="G480" s="294" t="s">
        <v>22</v>
      </c>
      <c r="H480" s="294" t="s">
        <v>22</v>
      </c>
      <c r="I480" s="294" t="s">
        <v>22</v>
      </c>
      <c r="J480" s="294" t="s">
        <v>22</v>
      </c>
    </row>
    <row r="481">
      <c r="A481" s="294"/>
      <c r="B481" s="294" t="s">
        <v>22</v>
      </c>
      <c r="C481" s="294" t="s">
        <v>22</v>
      </c>
      <c r="D481" s="294" t="s">
        <v>22</v>
      </c>
      <c r="E481" s="294" t="s">
        <v>22</v>
      </c>
      <c r="F481" s="294" t="s">
        <v>22</v>
      </c>
      <c r="G481" s="294" t="s">
        <v>22</v>
      </c>
      <c r="H481" s="294" t="s">
        <v>22</v>
      </c>
      <c r="I481" s="294" t="s">
        <v>22</v>
      </c>
      <c r="J481" s="294" t="s">
        <v>22</v>
      </c>
    </row>
    <row r="482">
      <c r="A482" s="294"/>
      <c r="B482" s="294" t="s">
        <v>22</v>
      </c>
      <c r="C482" s="294" t="s">
        <v>22</v>
      </c>
      <c r="D482" s="294" t="s">
        <v>22</v>
      </c>
      <c r="E482" s="294" t="s">
        <v>22</v>
      </c>
      <c r="F482" s="294" t="s">
        <v>22</v>
      </c>
      <c r="G482" s="294" t="s">
        <v>22</v>
      </c>
      <c r="H482" s="294" t="s">
        <v>22</v>
      </c>
      <c r="I482" s="294" t="s">
        <v>22</v>
      </c>
      <c r="J482" s="294" t="s">
        <v>22</v>
      </c>
    </row>
    <row r="483">
      <c r="A483" s="294"/>
      <c r="B483" s="294" t="s">
        <v>22</v>
      </c>
      <c r="C483" s="294" t="s">
        <v>22</v>
      </c>
      <c r="D483" s="294" t="s">
        <v>22</v>
      </c>
      <c r="E483" s="294" t="s">
        <v>22</v>
      </c>
      <c r="F483" s="294" t="s">
        <v>22</v>
      </c>
      <c r="G483" s="294" t="s">
        <v>22</v>
      </c>
      <c r="H483" s="294" t="s">
        <v>22</v>
      </c>
      <c r="I483" s="294" t="s">
        <v>22</v>
      </c>
      <c r="J483" s="294" t="s">
        <v>22</v>
      </c>
    </row>
    <row r="484">
      <c r="A484" s="294"/>
      <c r="B484" s="294" t="s">
        <v>22</v>
      </c>
      <c r="C484" s="294" t="s">
        <v>22</v>
      </c>
      <c r="D484" s="294" t="s">
        <v>22</v>
      </c>
      <c r="E484" s="294" t="s">
        <v>22</v>
      </c>
      <c r="F484" s="294" t="s">
        <v>22</v>
      </c>
      <c r="G484" s="294" t="s">
        <v>22</v>
      </c>
      <c r="H484" s="294" t="s">
        <v>22</v>
      </c>
      <c r="I484" s="294" t="s">
        <v>22</v>
      </c>
      <c r="J484" s="294" t="s">
        <v>22</v>
      </c>
    </row>
    <row r="485">
      <c r="A485" s="294"/>
      <c r="B485" s="294" t="s">
        <v>22</v>
      </c>
      <c r="C485" s="294" t="s">
        <v>22</v>
      </c>
      <c r="D485" s="294" t="s">
        <v>22</v>
      </c>
      <c r="E485" s="294" t="s">
        <v>22</v>
      </c>
      <c r="F485" s="294" t="s">
        <v>22</v>
      </c>
      <c r="G485" s="294" t="s">
        <v>22</v>
      </c>
      <c r="H485" s="294" t="s">
        <v>22</v>
      </c>
      <c r="I485" s="294" t="s">
        <v>22</v>
      </c>
      <c r="J485" s="294" t="s">
        <v>22</v>
      </c>
    </row>
    <row r="486">
      <c r="A486" s="294"/>
      <c r="B486" s="294" t="s">
        <v>22</v>
      </c>
      <c r="C486" s="294" t="s">
        <v>22</v>
      </c>
      <c r="D486" s="294" t="s">
        <v>22</v>
      </c>
      <c r="E486" s="294" t="s">
        <v>22</v>
      </c>
      <c r="F486" s="294" t="s">
        <v>22</v>
      </c>
      <c r="G486" s="294" t="s">
        <v>22</v>
      </c>
      <c r="H486" s="294" t="s">
        <v>22</v>
      </c>
      <c r="I486" s="294" t="s">
        <v>22</v>
      </c>
      <c r="J486" s="294" t="s">
        <v>22</v>
      </c>
    </row>
    <row r="487">
      <c r="A487" s="294"/>
      <c r="B487" s="294" t="s">
        <v>22</v>
      </c>
      <c r="C487" s="294" t="s">
        <v>22</v>
      </c>
      <c r="D487" s="294" t="s">
        <v>22</v>
      </c>
      <c r="E487" s="294" t="s">
        <v>22</v>
      </c>
      <c r="F487" s="294" t="s">
        <v>22</v>
      </c>
      <c r="G487" s="294" t="s">
        <v>22</v>
      </c>
      <c r="H487" s="294" t="s">
        <v>22</v>
      </c>
      <c r="I487" s="294" t="s">
        <v>22</v>
      </c>
      <c r="J487" s="294" t="s">
        <v>22</v>
      </c>
    </row>
    <row r="488">
      <c r="A488" s="294"/>
      <c r="B488" s="294" t="s">
        <v>22</v>
      </c>
      <c r="C488" s="294" t="s">
        <v>22</v>
      </c>
      <c r="D488" s="294" t="s">
        <v>22</v>
      </c>
      <c r="E488" s="294" t="s">
        <v>22</v>
      </c>
      <c r="F488" s="294" t="s">
        <v>22</v>
      </c>
      <c r="G488" s="294" t="s">
        <v>22</v>
      </c>
      <c r="H488" s="294" t="s">
        <v>22</v>
      </c>
      <c r="I488" s="294" t="s">
        <v>22</v>
      </c>
      <c r="J488" s="294" t="s">
        <v>22</v>
      </c>
    </row>
    <row r="489">
      <c r="A489" s="294"/>
      <c r="B489" s="294" t="s">
        <v>22</v>
      </c>
      <c r="C489" s="294" t="s">
        <v>22</v>
      </c>
      <c r="D489" s="294" t="s">
        <v>22</v>
      </c>
      <c r="E489" s="294" t="s">
        <v>22</v>
      </c>
      <c r="F489" s="294" t="s">
        <v>22</v>
      </c>
      <c r="G489" s="294" t="s">
        <v>22</v>
      </c>
      <c r="H489" s="294" t="s">
        <v>22</v>
      </c>
      <c r="I489" s="294" t="s">
        <v>22</v>
      </c>
      <c r="J489" s="294" t="s">
        <v>22</v>
      </c>
    </row>
    <row r="490">
      <c r="A490" s="294"/>
      <c r="B490" s="294" t="s">
        <v>22</v>
      </c>
      <c r="C490" s="294" t="s">
        <v>22</v>
      </c>
      <c r="D490" s="294" t="s">
        <v>22</v>
      </c>
      <c r="E490" s="294" t="s">
        <v>22</v>
      </c>
      <c r="F490" s="294" t="s">
        <v>22</v>
      </c>
      <c r="G490" s="294" t="s">
        <v>22</v>
      </c>
      <c r="H490" s="294" t="s">
        <v>22</v>
      </c>
      <c r="I490" s="294" t="s">
        <v>22</v>
      </c>
      <c r="J490" s="294" t="s">
        <v>22</v>
      </c>
    </row>
    <row r="491">
      <c r="A491" s="294"/>
      <c r="B491" s="294" t="s">
        <v>22</v>
      </c>
      <c r="C491" s="294" t="s">
        <v>22</v>
      </c>
      <c r="D491" s="294" t="s">
        <v>22</v>
      </c>
      <c r="E491" s="294" t="s">
        <v>22</v>
      </c>
      <c r="F491" s="294" t="s">
        <v>22</v>
      </c>
      <c r="G491" s="294" t="s">
        <v>22</v>
      </c>
      <c r="H491" s="294" t="s">
        <v>22</v>
      </c>
      <c r="I491" s="294" t="s">
        <v>22</v>
      </c>
      <c r="J491" s="294" t="s">
        <v>22</v>
      </c>
    </row>
    <row r="492">
      <c r="A492" s="294"/>
      <c r="B492" s="294" t="s">
        <v>22</v>
      </c>
      <c r="C492" s="294" t="s">
        <v>22</v>
      </c>
      <c r="D492" s="294" t="s">
        <v>22</v>
      </c>
      <c r="E492" s="294" t="s">
        <v>22</v>
      </c>
      <c r="F492" s="294" t="s">
        <v>22</v>
      </c>
      <c r="G492" s="294" t="s">
        <v>22</v>
      </c>
      <c r="H492" s="294" t="s">
        <v>22</v>
      </c>
      <c r="I492" s="294" t="s">
        <v>22</v>
      </c>
      <c r="J492" s="294" t="s">
        <v>22</v>
      </c>
    </row>
    <row r="493">
      <c r="A493" s="294"/>
      <c r="B493" s="294" t="s">
        <v>22</v>
      </c>
      <c r="C493" s="294" t="s">
        <v>22</v>
      </c>
      <c r="D493" s="294" t="s">
        <v>22</v>
      </c>
      <c r="E493" s="294" t="s">
        <v>22</v>
      </c>
      <c r="F493" s="294" t="s">
        <v>22</v>
      </c>
      <c r="G493" s="294" t="s">
        <v>22</v>
      </c>
      <c r="H493" s="294" t="s">
        <v>22</v>
      </c>
      <c r="I493" s="294" t="s">
        <v>22</v>
      </c>
      <c r="J493" s="294" t="s">
        <v>22</v>
      </c>
    </row>
    <row r="494">
      <c r="A494" s="294"/>
      <c r="B494" s="294" t="s">
        <v>22</v>
      </c>
      <c r="C494" s="294" t="s">
        <v>22</v>
      </c>
      <c r="D494" s="294" t="s">
        <v>22</v>
      </c>
      <c r="E494" s="294" t="s">
        <v>22</v>
      </c>
      <c r="F494" s="294" t="s">
        <v>22</v>
      </c>
      <c r="G494" s="294" t="s">
        <v>22</v>
      </c>
      <c r="H494" s="294" t="s">
        <v>22</v>
      </c>
      <c r="I494" s="294" t="s">
        <v>22</v>
      </c>
      <c r="J494" s="294" t="s">
        <v>22</v>
      </c>
    </row>
    <row r="495">
      <c r="A495" s="294"/>
      <c r="B495" s="294" t="s">
        <v>22</v>
      </c>
      <c r="C495" s="294" t="s">
        <v>22</v>
      </c>
      <c r="D495" s="294" t="s">
        <v>22</v>
      </c>
      <c r="E495" s="294" t="s">
        <v>22</v>
      </c>
      <c r="F495" s="294" t="s">
        <v>22</v>
      </c>
      <c r="G495" s="294" t="s">
        <v>22</v>
      </c>
      <c r="H495" s="294" t="s">
        <v>22</v>
      </c>
      <c r="I495" s="294" t="s">
        <v>22</v>
      </c>
      <c r="J495" s="294" t="s">
        <v>22</v>
      </c>
    </row>
    <row r="496">
      <c r="A496" s="294"/>
      <c r="B496" s="294" t="s">
        <v>22</v>
      </c>
      <c r="C496" s="294" t="s">
        <v>22</v>
      </c>
      <c r="D496" s="294" t="s">
        <v>22</v>
      </c>
      <c r="E496" s="294" t="s">
        <v>22</v>
      </c>
      <c r="F496" s="294" t="s">
        <v>22</v>
      </c>
      <c r="G496" s="294" t="s">
        <v>22</v>
      </c>
      <c r="H496" s="294" t="s">
        <v>22</v>
      </c>
      <c r="I496" s="294" t="s">
        <v>22</v>
      </c>
      <c r="J496" s="294" t="s">
        <v>22</v>
      </c>
    </row>
    <row r="497">
      <c r="A497" s="294"/>
      <c r="B497" s="294" t="s">
        <v>22</v>
      </c>
      <c r="C497" s="294" t="s">
        <v>22</v>
      </c>
      <c r="D497" s="294" t="s">
        <v>22</v>
      </c>
      <c r="E497" s="294" t="s">
        <v>22</v>
      </c>
      <c r="F497" s="294" t="s">
        <v>22</v>
      </c>
      <c r="G497" s="294" t="s">
        <v>22</v>
      </c>
      <c r="H497" s="294" t="s">
        <v>22</v>
      </c>
      <c r="I497" s="294" t="s">
        <v>22</v>
      </c>
      <c r="J497" s="294" t="s">
        <v>22</v>
      </c>
    </row>
    <row r="498">
      <c r="A498" s="294"/>
      <c r="B498" s="294" t="s">
        <v>22</v>
      </c>
      <c r="C498" s="294" t="s">
        <v>22</v>
      </c>
      <c r="D498" s="294" t="s">
        <v>22</v>
      </c>
      <c r="E498" s="294" t="s">
        <v>22</v>
      </c>
      <c r="F498" s="294" t="s">
        <v>22</v>
      </c>
      <c r="G498" s="294" t="s">
        <v>22</v>
      </c>
      <c r="H498" s="294" t="s">
        <v>22</v>
      </c>
      <c r="I498" s="294" t="s">
        <v>22</v>
      </c>
      <c r="J498" s="294" t="s">
        <v>22</v>
      </c>
    </row>
    <row r="499">
      <c r="A499" s="294"/>
      <c r="B499" s="294" t="s">
        <v>22</v>
      </c>
      <c r="C499" s="294" t="s">
        <v>22</v>
      </c>
      <c r="D499" s="294" t="s">
        <v>22</v>
      </c>
      <c r="E499" s="294" t="s">
        <v>22</v>
      </c>
      <c r="F499" s="294" t="s">
        <v>22</v>
      </c>
      <c r="G499" s="294" t="s">
        <v>22</v>
      </c>
      <c r="H499" s="294" t="s">
        <v>22</v>
      </c>
      <c r="I499" s="294" t="s">
        <v>22</v>
      </c>
      <c r="J499" s="294" t="s">
        <v>22</v>
      </c>
    </row>
    <row r="500">
      <c r="A500" s="294"/>
      <c r="B500" s="294" t="s">
        <v>22</v>
      </c>
      <c r="C500" s="294" t="s">
        <v>22</v>
      </c>
      <c r="D500" s="294" t="s">
        <v>22</v>
      </c>
      <c r="E500" s="294" t="s">
        <v>22</v>
      </c>
      <c r="F500" s="294" t="s">
        <v>22</v>
      </c>
      <c r="G500" s="294" t="s">
        <v>22</v>
      </c>
      <c r="H500" s="294" t="s">
        <v>22</v>
      </c>
      <c r="I500" s="294" t="s">
        <v>22</v>
      </c>
      <c r="J500" s="294" t="s">
        <v>22</v>
      </c>
    </row>
    <row r="501">
      <c r="A501" s="294"/>
      <c r="B501" s="294" t="s">
        <v>22</v>
      </c>
      <c r="C501" s="294" t="s">
        <v>22</v>
      </c>
      <c r="D501" s="294" t="s">
        <v>22</v>
      </c>
      <c r="E501" s="294" t="s">
        <v>22</v>
      </c>
      <c r="F501" s="294" t="s">
        <v>22</v>
      </c>
      <c r="G501" s="294" t="s">
        <v>22</v>
      </c>
      <c r="H501" s="294" t="s">
        <v>22</v>
      </c>
      <c r="I501" s="294" t="s">
        <v>22</v>
      </c>
      <c r="J501" s="294" t="s">
        <v>22</v>
      </c>
    </row>
    <row r="502">
      <c r="A502" s="294"/>
      <c r="B502" s="294" t="s">
        <v>22</v>
      </c>
      <c r="C502" s="294" t="s">
        <v>22</v>
      </c>
      <c r="D502" s="294" t="s">
        <v>22</v>
      </c>
      <c r="E502" s="294" t="s">
        <v>22</v>
      </c>
      <c r="F502" s="294" t="s">
        <v>22</v>
      </c>
      <c r="G502" s="294" t="s">
        <v>22</v>
      </c>
      <c r="H502" s="294" t="s">
        <v>22</v>
      </c>
      <c r="I502" s="294" t="s">
        <v>22</v>
      </c>
      <c r="J502" s="294" t="s">
        <v>22</v>
      </c>
    </row>
    <row r="503">
      <c r="A503" s="294"/>
      <c r="B503" s="294" t="s">
        <v>22</v>
      </c>
      <c r="C503" s="294" t="s">
        <v>22</v>
      </c>
      <c r="D503" s="294" t="s">
        <v>22</v>
      </c>
      <c r="E503" s="294" t="s">
        <v>22</v>
      </c>
      <c r="F503" s="294" t="s">
        <v>22</v>
      </c>
      <c r="G503" s="294" t="s">
        <v>22</v>
      </c>
      <c r="H503" s="294" t="s">
        <v>22</v>
      </c>
      <c r="I503" s="294" t="s">
        <v>22</v>
      </c>
      <c r="J503" s="294" t="s">
        <v>22</v>
      </c>
    </row>
    <row r="504">
      <c r="A504" s="294"/>
      <c r="B504" s="294" t="s">
        <v>22</v>
      </c>
      <c r="C504" s="294" t="s">
        <v>22</v>
      </c>
      <c r="D504" s="294" t="s">
        <v>22</v>
      </c>
      <c r="E504" s="294" t="s">
        <v>22</v>
      </c>
      <c r="F504" s="294" t="s">
        <v>22</v>
      </c>
      <c r="G504" s="294" t="s">
        <v>22</v>
      </c>
      <c r="H504" s="294" t="s">
        <v>22</v>
      </c>
      <c r="I504" s="294" t="s">
        <v>22</v>
      </c>
      <c r="J504" s="294" t="s">
        <v>22</v>
      </c>
    </row>
    <row r="505">
      <c r="A505" s="294"/>
      <c r="B505" s="294" t="s">
        <v>22</v>
      </c>
      <c r="C505" s="294" t="s">
        <v>22</v>
      </c>
      <c r="D505" s="294" t="s">
        <v>22</v>
      </c>
      <c r="E505" s="294" t="s">
        <v>22</v>
      </c>
      <c r="F505" s="294" t="s">
        <v>22</v>
      </c>
      <c r="G505" s="294" t="s">
        <v>22</v>
      </c>
      <c r="H505" s="294" t="s">
        <v>22</v>
      </c>
      <c r="I505" s="294" t="s">
        <v>22</v>
      </c>
      <c r="J505" s="294" t="s">
        <v>22</v>
      </c>
    </row>
    <row r="506">
      <c r="A506" s="294"/>
      <c r="B506" s="294" t="s">
        <v>22</v>
      </c>
      <c r="C506" s="294" t="s">
        <v>22</v>
      </c>
      <c r="D506" s="294" t="s">
        <v>22</v>
      </c>
      <c r="E506" s="294" t="s">
        <v>22</v>
      </c>
      <c r="F506" s="294" t="s">
        <v>22</v>
      </c>
      <c r="G506" s="294" t="s">
        <v>22</v>
      </c>
      <c r="H506" s="294" t="s">
        <v>22</v>
      </c>
      <c r="I506" s="294" t="s">
        <v>22</v>
      </c>
      <c r="J506" s="294" t="s">
        <v>22</v>
      </c>
    </row>
    <row r="507">
      <c r="A507" s="294"/>
      <c r="B507" s="294" t="s">
        <v>22</v>
      </c>
      <c r="C507" s="294" t="s">
        <v>22</v>
      </c>
      <c r="D507" s="294" t="s">
        <v>22</v>
      </c>
      <c r="E507" s="294" t="s">
        <v>22</v>
      </c>
      <c r="F507" s="294" t="s">
        <v>22</v>
      </c>
      <c r="G507" s="294" t="s">
        <v>22</v>
      </c>
      <c r="H507" s="294" t="s">
        <v>22</v>
      </c>
      <c r="I507" s="294" t="s">
        <v>22</v>
      </c>
      <c r="J507" s="294" t="s">
        <v>22</v>
      </c>
    </row>
    <row r="508">
      <c r="A508" s="294"/>
      <c r="B508" s="294" t="s">
        <v>22</v>
      </c>
      <c r="C508" s="294" t="s">
        <v>22</v>
      </c>
      <c r="D508" s="294" t="s">
        <v>22</v>
      </c>
      <c r="E508" s="294" t="s">
        <v>22</v>
      </c>
      <c r="F508" s="294" t="s">
        <v>22</v>
      </c>
      <c r="G508" s="294" t="s">
        <v>22</v>
      </c>
      <c r="H508" s="294" t="s">
        <v>22</v>
      </c>
      <c r="I508" s="294" t="s">
        <v>22</v>
      </c>
      <c r="J508" s="294" t="s">
        <v>22</v>
      </c>
    </row>
    <row r="509">
      <c r="A509" s="294"/>
      <c r="B509" s="294" t="s">
        <v>22</v>
      </c>
      <c r="C509" s="294" t="s">
        <v>22</v>
      </c>
      <c r="D509" s="294" t="s">
        <v>22</v>
      </c>
      <c r="E509" s="294" t="s">
        <v>22</v>
      </c>
      <c r="F509" s="294" t="s">
        <v>22</v>
      </c>
      <c r="G509" s="294" t="s">
        <v>22</v>
      </c>
      <c r="H509" s="294" t="s">
        <v>22</v>
      </c>
      <c r="I509" s="294" t="s">
        <v>22</v>
      </c>
      <c r="J509" s="294" t="s">
        <v>22</v>
      </c>
    </row>
    <row r="510">
      <c r="A510" s="294"/>
      <c r="B510" s="294" t="s">
        <v>22</v>
      </c>
      <c r="C510" s="294" t="s">
        <v>22</v>
      </c>
      <c r="D510" s="294" t="s">
        <v>22</v>
      </c>
      <c r="E510" s="294" t="s">
        <v>22</v>
      </c>
      <c r="F510" s="294" t="s">
        <v>22</v>
      </c>
      <c r="G510" s="294" t="s">
        <v>22</v>
      </c>
      <c r="H510" s="294" t="s">
        <v>22</v>
      </c>
      <c r="I510" s="294" t="s">
        <v>22</v>
      </c>
      <c r="J510" s="294" t="s">
        <v>22</v>
      </c>
    </row>
    <row r="511">
      <c r="A511" s="294"/>
      <c r="B511" s="294" t="s">
        <v>22</v>
      </c>
      <c r="C511" s="294" t="s">
        <v>22</v>
      </c>
      <c r="D511" s="294" t="s">
        <v>22</v>
      </c>
      <c r="E511" s="294" t="s">
        <v>22</v>
      </c>
      <c r="F511" s="294" t="s">
        <v>22</v>
      </c>
      <c r="G511" s="294" t="s">
        <v>22</v>
      </c>
      <c r="H511" s="294" t="s">
        <v>22</v>
      </c>
      <c r="I511" s="294" t="s">
        <v>22</v>
      </c>
      <c r="J511" s="294" t="s">
        <v>22</v>
      </c>
    </row>
    <row r="512">
      <c r="A512" s="294"/>
      <c r="B512" s="294" t="s">
        <v>22</v>
      </c>
      <c r="C512" s="294" t="s">
        <v>22</v>
      </c>
      <c r="D512" s="294" t="s">
        <v>22</v>
      </c>
      <c r="E512" s="294" t="s">
        <v>22</v>
      </c>
      <c r="F512" s="294" t="s">
        <v>22</v>
      </c>
      <c r="G512" s="294" t="s">
        <v>22</v>
      </c>
      <c r="H512" s="294" t="s">
        <v>22</v>
      </c>
      <c r="I512" s="294" t="s">
        <v>22</v>
      </c>
      <c r="J512" s="294" t="s">
        <v>22</v>
      </c>
    </row>
    <row r="513">
      <c r="A513" s="294"/>
      <c r="B513" s="294" t="s">
        <v>22</v>
      </c>
      <c r="C513" s="294" t="s">
        <v>22</v>
      </c>
      <c r="D513" s="294" t="s">
        <v>22</v>
      </c>
      <c r="E513" s="294" t="s">
        <v>22</v>
      </c>
      <c r="F513" s="294" t="s">
        <v>22</v>
      </c>
      <c r="G513" s="294" t="s">
        <v>22</v>
      </c>
      <c r="H513" s="294" t="s">
        <v>22</v>
      </c>
      <c r="I513" s="294" t="s">
        <v>22</v>
      </c>
      <c r="J513" s="294" t="s">
        <v>22</v>
      </c>
    </row>
    <row r="514">
      <c r="A514" s="294"/>
      <c r="B514" s="294" t="s">
        <v>22</v>
      </c>
      <c r="C514" s="294" t="s">
        <v>22</v>
      </c>
      <c r="D514" s="294" t="s">
        <v>22</v>
      </c>
      <c r="E514" s="294" t="s">
        <v>22</v>
      </c>
      <c r="F514" s="294" t="s">
        <v>22</v>
      </c>
      <c r="G514" s="294" t="s">
        <v>22</v>
      </c>
      <c r="H514" s="294" t="s">
        <v>22</v>
      </c>
      <c r="I514" s="294" t="s">
        <v>22</v>
      </c>
      <c r="J514" s="294" t="s">
        <v>22</v>
      </c>
    </row>
    <row r="515">
      <c r="A515" s="294"/>
      <c r="B515" s="294" t="s">
        <v>22</v>
      </c>
      <c r="C515" s="294" t="s">
        <v>22</v>
      </c>
      <c r="D515" s="294" t="s">
        <v>22</v>
      </c>
      <c r="E515" s="294" t="s">
        <v>22</v>
      </c>
      <c r="F515" s="294" t="s">
        <v>22</v>
      </c>
      <c r="G515" s="294" t="s">
        <v>22</v>
      </c>
      <c r="H515" s="294" t="s">
        <v>22</v>
      </c>
      <c r="I515" s="294" t="s">
        <v>22</v>
      </c>
      <c r="J515" s="294" t="s">
        <v>22</v>
      </c>
    </row>
    <row r="516">
      <c r="A516" s="294"/>
      <c r="B516" s="294" t="s">
        <v>22</v>
      </c>
      <c r="C516" s="294" t="s">
        <v>22</v>
      </c>
      <c r="D516" s="294" t="s">
        <v>22</v>
      </c>
      <c r="E516" s="294" t="s">
        <v>22</v>
      </c>
      <c r="F516" s="294" t="s">
        <v>22</v>
      </c>
      <c r="G516" s="294" t="s">
        <v>22</v>
      </c>
      <c r="H516" s="294" t="s">
        <v>22</v>
      </c>
      <c r="I516" s="294" t="s">
        <v>22</v>
      </c>
      <c r="J516" s="294" t="s">
        <v>22</v>
      </c>
    </row>
    <row r="517">
      <c r="A517" s="294"/>
      <c r="B517" s="294" t="s">
        <v>22</v>
      </c>
      <c r="C517" s="294" t="s">
        <v>22</v>
      </c>
      <c r="D517" s="294" t="s">
        <v>22</v>
      </c>
      <c r="E517" s="294" t="s">
        <v>22</v>
      </c>
      <c r="F517" s="294" t="s">
        <v>22</v>
      </c>
      <c r="G517" s="294" t="s">
        <v>22</v>
      </c>
      <c r="H517" s="294" t="s">
        <v>22</v>
      </c>
      <c r="I517" s="294" t="s">
        <v>22</v>
      </c>
      <c r="J517" s="294" t="s">
        <v>22</v>
      </c>
    </row>
    <row r="518">
      <c r="A518" s="294"/>
      <c r="B518" s="294" t="s">
        <v>22</v>
      </c>
      <c r="C518" s="294" t="s">
        <v>22</v>
      </c>
      <c r="D518" s="294" t="s">
        <v>22</v>
      </c>
      <c r="E518" s="294" t="s">
        <v>22</v>
      </c>
      <c r="F518" s="294" t="s">
        <v>22</v>
      </c>
      <c r="G518" s="294" t="s">
        <v>22</v>
      </c>
      <c r="H518" s="294" t="s">
        <v>22</v>
      </c>
      <c r="I518" s="294" t="s">
        <v>22</v>
      </c>
      <c r="J518" s="294" t="s">
        <v>22</v>
      </c>
    </row>
    <row r="519">
      <c r="A519" s="294"/>
      <c r="B519" s="294" t="s">
        <v>22</v>
      </c>
      <c r="C519" s="294" t="s">
        <v>22</v>
      </c>
      <c r="D519" s="294" t="s">
        <v>22</v>
      </c>
      <c r="E519" s="294" t="s">
        <v>22</v>
      </c>
      <c r="F519" s="294" t="s">
        <v>22</v>
      </c>
      <c r="G519" s="294" t="s">
        <v>22</v>
      </c>
      <c r="H519" s="294" t="s">
        <v>22</v>
      </c>
      <c r="I519" s="294" t="s">
        <v>22</v>
      </c>
      <c r="J519" s="294" t="s">
        <v>22</v>
      </c>
    </row>
    <row r="520">
      <c r="A520" s="294"/>
      <c r="B520" s="294" t="s">
        <v>22</v>
      </c>
      <c r="C520" s="294" t="s">
        <v>22</v>
      </c>
      <c r="D520" s="294" t="s">
        <v>22</v>
      </c>
      <c r="E520" s="294" t="s">
        <v>22</v>
      </c>
      <c r="F520" s="294" t="s">
        <v>22</v>
      </c>
      <c r="G520" s="294" t="s">
        <v>22</v>
      </c>
      <c r="H520" s="294" t="s">
        <v>22</v>
      </c>
      <c r="I520" s="294" t="s">
        <v>22</v>
      </c>
      <c r="J520" s="294" t="s">
        <v>22</v>
      </c>
    </row>
    <row r="521">
      <c r="A521" s="294"/>
      <c r="B521" s="294" t="s">
        <v>22</v>
      </c>
      <c r="C521" s="294" t="s">
        <v>22</v>
      </c>
      <c r="D521" s="294" t="s">
        <v>22</v>
      </c>
      <c r="E521" s="294" t="s">
        <v>22</v>
      </c>
      <c r="F521" s="294" t="s">
        <v>22</v>
      </c>
      <c r="G521" s="294" t="s">
        <v>22</v>
      </c>
      <c r="H521" s="294" t="s">
        <v>22</v>
      </c>
      <c r="I521" s="294" t="s">
        <v>22</v>
      </c>
      <c r="J521" s="294" t="s">
        <v>22</v>
      </c>
    </row>
    <row r="522">
      <c r="A522" s="294"/>
      <c r="B522" s="294" t="s">
        <v>22</v>
      </c>
      <c r="C522" s="294" t="s">
        <v>22</v>
      </c>
      <c r="D522" s="294" t="s">
        <v>22</v>
      </c>
      <c r="E522" s="294" t="s">
        <v>22</v>
      </c>
      <c r="F522" s="294" t="s">
        <v>22</v>
      </c>
      <c r="G522" s="294" t="s">
        <v>22</v>
      </c>
      <c r="H522" s="294" t="s">
        <v>22</v>
      </c>
      <c r="I522" s="294" t="s">
        <v>22</v>
      </c>
      <c r="J522" s="294" t="s">
        <v>22</v>
      </c>
    </row>
    <row r="523">
      <c r="A523" s="294"/>
      <c r="B523" s="294" t="s">
        <v>22</v>
      </c>
      <c r="C523" s="294" t="s">
        <v>22</v>
      </c>
      <c r="D523" s="294" t="s">
        <v>22</v>
      </c>
      <c r="E523" s="294" t="s">
        <v>22</v>
      </c>
      <c r="F523" s="294" t="s">
        <v>22</v>
      </c>
      <c r="G523" s="294" t="s">
        <v>22</v>
      </c>
      <c r="H523" s="294" t="s">
        <v>22</v>
      </c>
      <c r="I523" s="294" t="s">
        <v>22</v>
      </c>
      <c r="J523" s="294" t="s">
        <v>22</v>
      </c>
    </row>
    <row r="524">
      <c r="A524" s="294"/>
      <c r="B524" s="294" t="s">
        <v>22</v>
      </c>
      <c r="C524" s="294" t="s">
        <v>22</v>
      </c>
      <c r="D524" s="294" t="s">
        <v>22</v>
      </c>
      <c r="E524" s="294" t="s">
        <v>22</v>
      </c>
      <c r="F524" s="294" t="s">
        <v>22</v>
      </c>
      <c r="G524" s="294" t="s">
        <v>22</v>
      </c>
      <c r="H524" s="294" t="s">
        <v>22</v>
      </c>
      <c r="I524" s="294" t="s">
        <v>22</v>
      </c>
      <c r="J524" s="294" t="s">
        <v>22</v>
      </c>
    </row>
    <row r="525">
      <c r="A525" s="294"/>
      <c r="B525" s="294" t="s">
        <v>22</v>
      </c>
      <c r="C525" s="294" t="s">
        <v>22</v>
      </c>
      <c r="D525" s="294" t="s">
        <v>22</v>
      </c>
      <c r="E525" s="294" t="s">
        <v>22</v>
      </c>
      <c r="F525" s="294" t="s">
        <v>22</v>
      </c>
      <c r="G525" s="294" t="s">
        <v>22</v>
      </c>
      <c r="H525" s="294" t="s">
        <v>22</v>
      </c>
      <c r="I525" s="294" t="s">
        <v>22</v>
      </c>
      <c r="J525" s="294" t="s">
        <v>22</v>
      </c>
    </row>
    <row r="526">
      <c r="A526" s="294"/>
      <c r="B526" s="294" t="s">
        <v>22</v>
      </c>
      <c r="C526" s="294" t="s">
        <v>22</v>
      </c>
      <c r="D526" s="294" t="s">
        <v>22</v>
      </c>
      <c r="E526" s="294" t="s">
        <v>22</v>
      </c>
      <c r="F526" s="294" t="s">
        <v>22</v>
      </c>
      <c r="G526" s="294" t="s">
        <v>22</v>
      </c>
      <c r="H526" s="294" t="s">
        <v>22</v>
      </c>
      <c r="I526" s="294" t="s">
        <v>22</v>
      </c>
      <c r="J526" s="294" t="s">
        <v>22</v>
      </c>
    </row>
    <row r="527">
      <c r="A527" s="294"/>
      <c r="B527" s="294" t="s">
        <v>22</v>
      </c>
      <c r="C527" s="294" t="s">
        <v>22</v>
      </c>
      <c r="D527" s="294" t="s">
        <v>22</v>
      </c>
      <c r="E527" s="294" t="s">
        <v>22</v>
      </c>
      <c r="F527" s="294" t="s">
        <v>22</v>
      </c>
      <c r="G527" s="294" t="s">
        <v>22</v>
      </c>
      <c r="H527" s="294" t="s">
        <v>22</v>
      </c>
      <c r="I527" s="294" t="s">
        <v>22</v>
      </c>
      <c r="J527" s="294" t="s">
        <v>22</v>
      </c>
    </row>
    <row r="528">
      <c r="A528" s="294"/>
      <c r="B528" s="294" t="s">
        <v>22</v>
      </c>
      <c r="C528" s="294" t="s">
        <v>22</v>
      </c>
      <c r="D528" s="294" t="s">
        <v>22</v>
      </c>
      <c r="E528" s="294" t="s">
        <v>22</v>
      </c>
      <c r="F528" s="294" t="s">
        <v>22</v>
      </c>
      <c r="G528" s="294" t="s">
        <v>22</v>
      </c>
      <c r="H528" s="294" t="s">
        <v>22</v>
      </c>
      <c r="I528" s="294" t="s">
        <v>22</v>
      </c>
      <c r="J528" s="294" t="s">
        <v>22</v>
      </c>
    </row>
    <row r="529">
      <c r="A529" s="294"/>
      <c r="B529" s="294" t="s">
        <v>22</v>
      </c>
      <c r="C529" s="294" t="s">
        <v>22</v>
      </c>
      <c r="D529" s="294" t="s">
        <v>22</v>
      </c>
      <c r="E529" s="294" t="s">
        <v>22</v>
      </c>
      <c r="F529" s="294" t="s">
        <v>22</v>
      </c>
      <c r="G529" s="294" t="s">
        <v>22</v>
      </c>
      <c r="H529" s="294" t="s">
        <v>22</v>
      </c>
      <c r="I529" s="294" t="s">
        <v>22</v>
      </c>
      <c r="J529" s="294" t="s">
        <v>22</v>
      </c>
    </row>
    <row r="530">
      <c r="A530" s="294"/>
      <c r="B530" s="294" t="s">
        <v>22</v>
      </c>
      <c r="C530" s="294" t="s">
        <v>22</v>
      </c>
      <c r="D530" s="294" t="s">
        <v>22</v>
      </c>
      <c r="E530" s="294" t="s">
        <v>22</v>
      </c>
      <c r="F530" s="294" t="s">
        <v>22</v>
      </c>
      <c r="G530" s="294" t="s">
        <v>22</v>
      </c>
      <c r="H530" s="294" t="s">
        <v>22</v>
      </c>
      <c r="I530" s="294" t="s">
        <v>22</v>
      </c>
      <c r="J530" s="294" t="s">
        <v>22</v>
      </c>
    </row>
    <row r="531">
      <c r="A531" s="294"/>
      <c r="B531" s="294" t="s">
        <v>22</v>
      </c>
      <c r="C531" s="294" t="s">
        <v>22</v>
      </c>
      <c r="D531" s="294" t="s">
        <v>22</v>
      </c>
      <c r="E531" s="294" t="s">
        <v>22</v>
      </c>
      <c r="F531" s="294" t="s">
        <v>22</v>
      </c>
      <c r="G531" s="294" t="s">
        <v>22</v>
      </c>
      <c r="H531" s="294" t="s">
        <v>22</v>
      </c>
      <c r="I531" s="294" t="s">
        <v>22</v>
      </c>
      <c r="J531" s="294" t="s">
        <v>22</v>
      </c>
    </row>
    <row r="532">
      <c r="A532" s="294"/>
      <c r="B532" s="294" t="s">
        <v>22</v>
      </c>
      <c r="C532" s="294" t="s">
        <v>22</v>
      </c>
      <c r="D532" s="294" t="s">
        <v>22</v>
      </c>
      <c r="E532" s="294" t="s">
        <v>22</v>
      </c>
      <c r="F532" s="294" t="s">
        <v>22</v>
      </c>
      <c r="G532" s="294" t="s">
        <v>22</v>
      </c>
      <c r="H532" s="294" t="s">
        <v>22</v>
      </c>
      <c r="I532" s="294" t="s">
        <v>22</v>
      </c>
      <c r="J532" s="294" t="s">
        <v>22</v>
      </c>
    </row>
    <row r="533">
      <c r="A533" s="294"/>
      <c r="B533" s="294" t="s">
        <v>22</v>
      </c>
      <c r="C533" s="294" t="s">
        <v>22</v>
      </c>
      <c r="D533" s="294" t="s">
        <v>22</v>
      </c>
      <c r="E533" s="294" t="s">
        <v>22</v>
      </c>
      <c r="F533" s="294" t="s">
        <v>22</v>
      </c>
      <c r="G533" s="294" t="s">
        <v>22</v>
      </c>
      <c r="H533" s="294" t="s">
        <v>22</v>
      </c>
      <c r="I533" s="294" t="s">
        <v>22</v>
      </c>
      <c r="J533" s="294" t="s">
        <v>22</v>
      </c>
    </row>
    <row r="534">
      <c r="A534" s="294"/>
      <c r="B534" s="294" t="s">
        <v>22</v>
      </c>
      <c r="C534" s="294" t="s">
        <v>22</v>
      </c>
      <c r="D534" s="294" t="s">
        <v>22</v>
      </c>
      <c r="E534" s="294" t="s">
        <v>22</v>
      </c>
      <c r="F534" s="294" t="s">
        <v>22</v>
      </c>
      <c r="G534" s="294" t="s">
        <v>22</v>
      </c>
      <c r="H534" s="294" t="s">
        <v>22</v>
      </c>
      <c r="I534" s="294" t="s">
        <v>22</v>
      </c>
      <c r="J534" s="294" t="s">
        <v>22</v>
      </c>
    </row>
    <row r="535">
      <c r="A535" s="294"/>
      <c r="B535" s="294" t="s">
        <v>22</v>
      </c>
      <c r="C535" s="294" t="s">
        <v>22</v>
      </c>
      <c r="D535" s="294" t="s">
        <v>22</v>
      </c>
      <c r="E535" s="294" t="s">
        <v>22</v>
      </c>
      <c r="F535" s="294" t="s">
        <v>22</v>
      </c>
      <c r="G535" s="294" t="s">
        <v>22</v>
      </c>
      <c r="H535" s="294" t="s">
        <v>22</v>
      </c>
      <c r="I535" s="294" t="s">
        <v>22</v>
      </c>
      <c r="J535" s="294" t="s">
        <v>22</v>
      </c>
    </row>
    <row r="536">
      <c r="A536" s="294"/>
      <c r="B536" s="294" t="s">
        <v>22</v>
      </c>
      <c r="C536" s="294" t="s">
        <v>22</v>
      </c>
      <c r="D536" s="294" t="s">
        <v>22</v>
      </c>
      <c r="E536" s="294" t="s">
        <v>22</v>
      </c>
      <c r="F536" s="294" t="s">
        <v>22</v>
      </c>
      <c r="G536" s="294" t="s">
        <v>22</v>
      </c>
      <c r="H536" s="294" t="s">
        <v>22</v>
      </c>
      <c r="I536" s="294" t="s">
        <v>22</v>
      </c>
      <c r="J536" s="294" t="s">
        <v>22</v>
      </c>
    </row>
    <row r="537">
      <c r="A537" s="294"/>
      <c r="B537" s="294" t="s">
        <v>22</v>
      </c>
      <c r="C537" s="294" t="s">
        <v>22</v>
      </c>
      <c r="D537" s="294" t="s">
        <v>22</v>
      </c>
      <c r="E537" s="294" t="s">
        <v>22</v>
      </c>
      <c r="F537" s="294" t="s">
        <v>22</v>
      </c>
      <c r="G537" s="294" t="s">
        <v>22</v>
      </c>
      <c r="H537" s="294" t="s">
        <v>22</v>
      </c>
      <c r="I537" s="294" t="s">
        <v>22</v>
      </c>
      <c r="J537" s="294" t="s">
        <v>22</v>
      </c>
    </row>
    <row r="538">
      <c r="A538" s="294"/>
      <c r="B538" s="294" t="s">
        <v>22</v>
      </c>
      <c r="C538" s="294" t="s">
        <v>22</v>
      </c>
      <c r="D538" s="294" t="s">
        <v>22</v>
      </c>
      <c r="E538" s="294" t="s">
        <v>22</v>
      </c>
      <c r="F538" s="294" t="s">
        <v>22</v>
      </c>
      <c r="G538" s="294" t="s">
        <v>22</v>
      </c>
      <c r="H538" s="294" t="s">
        <v>22</v>
      </c>
      <c r="I538" s="294" t="s">
        <v>22</v>
      </c>
      <c r="J538" s="294" t="s">
        <v>22</v>
      </c>
    </row>
    <row r="539">
      <c r="A539" s="294"/>
      <c r="B539" s="294" t="s">
        <v>22</v>
      </c>
      <c r="C539" s="294" t="s">
        <v>22</v>
      </c>
      <c r="D539" s="294" t="s">
        <v>22</v>
      </c>
      <c r="E539" s="294" t="s">
        <v>22</v>
      </c>
      <c r="F539" s="294" t="s">
        <v>22</v>
      </c>
      <c r="G539" s="294" t="s">
        <v>22</v>
      </c>
      <c r="H539" s="294" t="s">
        <v>22</v>
      </c>
      <c r="I539" s="294" t="s">
        <v>22</v>
      </c>
      <c r="J539" s="294" t="s">
        <v>22</v>
      </c>
    </row>
    <row r="540">
      <c r="A540" s="294"/>
      <c r="B540" s="294" t="s">
        <v>22</v>
      </c>
      <c r="C540" s="294" t="s">
        <v>22</v>
      </c>
      <c r="D540" s="294" t="s">
        <v>22</v>
      </c>
      <c r="E540" s="294" t="s">
        <v>22</v>
      </c>
      <c r="F540" s="294" t="s">
        <v>22</v>
      </c>
      <c r="G540" s="294" t="s">
        <v>22</v>
      </c>
      <c r="H540" s="294" t="s">
        <v>22</v>
      </c>
      <c r="I540" s="294" t="s">
        <v>22</v>
      </c>
      <c r="J540" s="294" t="s">
        <v>22</v>
      </c>
    </row>
    <row r="541">
      <c r="A541" s="294"/>
      <c r="B541" s="294" t="s">
        <v>22</v>
      </c>
      <c r="C541" s="294" t="s">
        <v>22</v>
      </c>
      <c r="D541" s="294" t="s">
        <v>22</v>
      </c>
      <c r="E541" s="294" t="s">
        <v>22</v>
      </c>
      <c r="F541" s="294" t="s">
        <v>22</v>
      </c>
      <c r="G541" s="294" t="s">
        <v>22</v>
      </c>
      <c r="H541" s="294" t="s">
        <v>22</v>
      </c>
      <c r="I541" s="294" t="s">
        <v>22</v>
      </c>
      <c r="J541" s="294" t="s">
        <v>22</v>
      </c>
    </row>
    <row r="542">
      <c r="A542" s="294"/>
      <c r="B542" s="294" t="s">
        <v>22</v>
      </c>
      <c r="C542" s="294" t="s">
        <v>22</v>
      </c>
      <c r="D542" s="294" t="s">
        <v>22</v>
      </c>
      <c r="E542" s="294" t="s">
        <v>22</v>
      </c>
      <c r="F542" s="294" t="s">
        <v>22</v>
      </c>
      <c r="G542" s="294" t="s">
        <v>22</v>
      </c>
      <c r="H542" s="294" t="s">
        <v>22</v>
      </c>
      <c r="I542" s="294" t="s">
        <v>22</v>
      </c>
      <c r="J542" s="294" t="s">
        <v>22</v>
      </c>
    </row>
    <row r="543">
      <c r="A543" s="294"/>
      <c r="B543" s="294" t="s">
        <v>22</v>
      </c>
      <c r="C543" s="294" t="s">
        <v>22</v>
      </c>
      <c r="D543" s="294" t="s">
        <v>22</v>
      </c>
      <c r="E543" s="294" t="s">
        <v>22</v>
      </c>
      <c r="F543" s="294" t="s">
        <v>22</v>
      </c>
      <c r="G543" s="294" t="s">
        <v>22</v>
      </c>
      <c r="H543" s="294" t="s">
        <v>22</v>
      </c>
      <c r="I543" s="294" t="s">
        <v>22</v>
      </c>
      <c r="J543" s="294" t="s">
        <v>22</v>
      </c>
    </row>
    <row r="544">
      <c r="A544" s="294"/>
      <c r="B544" s="294" t="s">
        <v>22</v>
      </c>
      <c r="C544" s="294" t="s">
        <v>22</v>
      </c>
      <c r="D544" s="294" t="s">
        <v>22</v>
      </c>
      <c r="E544" s="294" t="s">
        <v>22</v>
      </c>
      <c r="F544" s="294" t="s">
        <v>22</v>
      </c>
      <c r="G544" s="294" t="s">
        <v>22</v>
      </c>
      <c r="H544" s="294" t="s">
        <v>22</v>
      </c>
      <c r="I544" s="294" t="s">
        <v>22</v>
      </c>
      <c r="J544" s="294" t="s">
        <v>22</v>
      </c>
    </row>
    <row r="545">
      <c r="A545" s="294"/>
      <c r="B545" s="294" t="s">
        <v>22</v>
      </c>
      <c r="C545" s="294" t="s">
        <v>22</v>
      </c>
      <c r="D545" s="294" t="s">
        <v>22</v>
      </c>
      <c r="E545" s="294" t="s">
        <v>22</v>
      </c>
      <c r="F545" s="294" t="s">
        <v>22</v>
      </c>
      <c r="G545" s="294" t="s">
        <v>22</v>
      </c>
      <c r="H545" s="294" t="s">
        <v>22</v>
      </c>
      <c r="I545" s="294" t="s">
        <v>22</v>
      </c>
      <c r="J545" s="294" t="s">
        <v>22</v>
      </c>
    </row>
    <row r="546">
      <c r="A546" s="294"/>
      <c r="B546" s="294" t="s">
        <v>22</v>
      </c>
      <c r="C546" s="294" t="s">
        <v>22</v>
      </c>
      <c r="D546" s="294" t="s">
        <v>22</v>
      </c>
      <c r="E546" s="294" t="s">
        <v>22</v>
      </c>
      <c r="F546" s="294" t="s">
        <v>22</v>
      </c>
      <c r="G546" s="294" t="s">
        <v>22</v>
      </c>
      <c r="H546" s="294" t="s">
        <v>22</v>
      </c>
      <c r="I546" s="294" t="s">
        <v>22</v>
      </c>
      <c r="J546" s="294" t="s">
        <v>22</v>
      </c>
    </row>
    <row r="547">
      <c r="A547" s="294"/>
      <c r="B547" s="294" t="s">
        <v>22</v>
      </c>
      <c r="C547" s="294" t="s">
        <v>22</v>
      </c>
      <c r="D547" s="294" t="s">
        <v>22</v>
      </c>
      <c r="E547" s="294" t="s">
        <v>22</v>
      </c>
      <c r="F547" s="294" t="s">
        <v>22</v>
      </c>
      <c r="G547" s="294" t="s">
        <v>22</v>
      </c>
      <c r="H547" s="294" t="s">
        <v>22</v>
      </c>
      <c r="I547" s="294" t="s">
        <v>22</v>
      </c>
      <c r="J547" s="294" t="s">
        <v>22</v>
      </c>
    </row>
    <row r="548">
      <c r="A548" s="294"/>
      <c r="B548" s="294" t="s">
        <v>22</v>
      </c>
      <c r="C548" s="294" t="s">
        <v>22</v>
      </c>
      <c r="D548" s="294" t="s">
        <v>22</v>
      </c>
      <c r="E548" s="294" t="s">
        <v>22</v>
      </c>
      <c r="F548" s="294" t="s">
        <v>22</v>
      </c>
      <c r="G548" s="294" t="s">
        <v>22</v>
      </c>
      <c r="H548" s="294" t="s">
        <v>22</v>
      </c>
      <c r="I548" s="294" t="s">
        <v>22</v>
      </c>
      <c r="J548" s="294" t="s">
        <v>22</v>
      </c>
    </row>
    <row r="549">
      <c r="A549" s="294"/>
      <c r="B549" s="294" t="s">
        <v>22</v>
      </c>
      <c r="C549" s="294" t="s">
        <v>22</v>
      </c>
      <c r="D549" s="294" t="s">
        <v>22</v>
      </c>
      <c r="E549" s="294" t="s">
        <v>22</v>
      </c>
      <c r="F549" s="294" t="s">
        <v>22</v>
      </c>
      <c r="G549" s="294" t="s">
        <v>22</v>
      </c>
      <c r="H549" s="294" t="s">
        <v>22</v>
      </c>
      <c r="I549" s="294" t="s">
        <v>22</v>
      </c>
      <c r="J549" s="294" t="s">
        <v>22</v>
      </c>
    </row>
    <row r="550">
      <c r="A550" s="294"/>
      <c r="B550" s="294" t="s">
        <v>22</v>
      </c>
      <c r="C550" s="294" t="s">
        <v>22</v>
      </c>
      <c r="D550" s="294" t="s">
        <v>22</v>
      </c>
      <c r="E550" s="294" t="s">
        <v>22</v>
      </c>
      <c r="F550" s="294" t="s">
        <v>22</v>
      </c>
      <c r="G550" s="294" t="s">
        <v>22</v>
      </c>
      <c r="H550" s="294" t="s">
        <v>22</v>
      </c>
      <c r="I550" s="294" t="s">
        <v>22</v>
      </c>
      <c r="J550" s="294" t="s">
        <v>22</v>
      </c>
    </row>
    <row r="551">
      <c r="A551" s="294"/>
      <c r="B551" s="294" t="s">
        <v>22</v>
      </c>
      <c r="C551" s="294" t="s">
        <v>22</v>
      </c>
      <c r="D551" s="294" t="s">
        <v>22</v>
      </c>
      <c r="E551" s="294" t="s">
        <v>22</v>
      </c>
      <c r="F551" s="294" t="s">
        <v>22</v>
      </c>
      <c r="G551" s="294" t="s">
        <v>22</v>
      </c>
      <c r="H551" s="294" t="s">
        <v>22</v>
      </c>
      <c r="I551" s="294" t="s">
        <v>22</v>
      </c>
      <c r="J551" s="294" t="s">
        <v>22</v>
      </c>
    </row>
    <row r="552">
      <c r="A552" s="294"/>
      <c r="B552" s="294" t="s">
        <v>22</v>
      </c>
      <c r="C552" s="294" t="s">
        <v>22</v>
      </c>
      <c r="D552" s="294" t="s">
        <v>22</v>
      </c>
      <c r="E552" s="294" t="s">
        <v>22</v>
      </c>
      <c r="F552" s="294" t="s">
        <v>22</v>
      </c>
      <c r="G552" s="294" t="s">
        <v>22</v>
      </c>
      <c r="H552" s="294" t="s">
        <v>22</v>
      </c>
      <c r="I552" s="294" t="s">
        <v>22</v>
      </c>
      <c r="J552" s="294" t="s">
        <v>22</v>
      </c>
    </row>
    <row r="553">
      <c r="A553" s="294"/>
      <c r="B553" s="294" t="s">
        <v>22</v>
      </c>
      <c r="C553" s="294" t="s">
        <v>22</v>
      </c>
      <c r="D553" s="294" t="s">
        <v>22</v>
      </c>
      <c r="E553" s="294" t="s">
        <v>22</v>
      </c>
      <c r="F553" s="294" t="s">
        <v>22</v>
      </c>
      <c r="G553" s="294" t="s">
        <v>22</v>
      </c>
      <c r="H553" s="294" t="s">
        <v>22</v>
      </c>
      <c r="I553" s="294" t="s">
        <v>22</v>
      </c>
      <c r="J553" s="294" t="s">
        <v>22</v>
      </c>
    </row>
    <row r="554">
      <c r="A554" s="294"/>
      <c r="B554" s="294" t="s">
        <v>22</v>
      </c>
      <c r="C554" s="294" t="s">
        <v>22</v>
      </c>
      <c r="D554" s="294" t="s">
        <v>22</v>
      </c>
      <c r="E554" s="294" t="s">
        <v>22</v>
      </c>
      <c r="F554" s="294" t="s">
        <v>22</v>
      </c>
      <c r="G554" s="294" t="s">
        <v>22</v>
      </c>
      <c r="H554" s="294" t="s">
        <v>22</v>
      </c>
      <c r="I554" s="294" t="s">
        <v>22</v>
      </c>
      <c r="J554" s="294" t="s">
        <v>22</v>
      </c>
    </row>
    <row r="555">
      <c r="A555" s="294"/>
      <c r="B555" s="294" t="s">
        <v>22</v>
      </c>
      <c r="C555" s="294" t="s">
        <v>22</v>
      </c>
      <c r="D555" s="294" t="s">
        <v>22</v>
      </c>
      <c r="E555" s="294" t="s">
        <v>22</v>
      </c>
      <c r="F555" s="294" t="s">
        <v>22</v>
      </c>
      <c r="G555" s="294" t="s">
        <v>22</v>
      </c>
      <c r="H555" s="294" t="s">
        <v>22</v>
      </c>
      <c r="I555" s="294" t="s">
        <v>22</v>
      </c>
      <c r="J555" s="294" t="s">
        <v>22</v>
      </c>
    </row>
    <row r="556">
      <c r="A556" s="294"/>
      <c r="B556" s="294" t="s">
        <v>22</v>
      </c>
      <c r="C556" s="294" t="s">
        <v>22</v>
      </c>
      <c r="D556" s="294" t="s">
        <v>22</v>
      </c>
      <c r="E556" s="294" t="s">
        <v>22</v>
      </c>
      <c r="F556" s="294" t="s">
        <v>22</v>
      </c>
      <c r="G556" s="294" t="s">
        <v>22</v>
      </c>
      <c r="H556" s="294" t="s">
        <v>22</v>
      </c>
      <c r="I556" s="294" t="s">
        <v>22</v>
      </c>
      <c r="J556" s="294" t="s">
        <v>22</v>
      </c>
    </row>
    <row r="557">
      <c r="A557" s="294"/>
      <c r="B557" s="294" t="s">
        <v>22</v>
      </c>
      <c r="C557" s="294" t="s">
        <v>22</v>
      </c>
      <c r="D557" s="294" t="s">
        <v>22</v>
      </c>
      <c r="E557" s="294" t="s">
        <v>22</v>
      </c>
      <c r="F557" s="294" t="s">
        <v>22</v>
      </c>
      <c r="G557" s="294" t="s">
        <v>22</v>
      </c>
      <c r="H557" s="294" t="s">
        <v>22</v>
      </c>
      <c r="I557" s="294" t="s">
        <v>22</v>
      </c>
      <c r="J557" s="294" t="s">
        <v>22</v>
      </c>
    </row>
    <row r="558">
      <c r="A558" s="294"/>
      <c r="B558" s="294" t="s">
        <v>22</v>
      </c>
      <c r="C558" s="294" t="s">
        <v>22</v>
      </c>
      <c r="D558" s="294" t="s">
        <v>22</v>
      </c>
      <c r="E558" s="294" t="s">
        <v>22</v>
      </c>
      <c r="F558" s="294" t="s">
        <v>22</v>
      </c>
      <c r="G558" s="294" t="s">
        <v>22</v>
      </c>
      <c r="H558" s="294" t="s">
        <v>22</v>
      </c>
      <c r="I558" s="294" t="s">
        <v>22</v>
      </c>
      <c r="J558" s="294" t="s">
        <v>22</v>
      </c>
    </row>
    <row r="559">
      <c r="A559" s="294"/>
      <c r="B559" s="294" t="s">
        <v>22</v>
      </c>
      <c r="C559" s="294" t="s">
        <v>22</v>
      </c>
      <c r="D559" s="294" t="s">
        <v>22</v>
      </c>
      <c r="E559" s="294" t="s">
        <v>22</v>
      </c>
      <c r="F559" s="294" t="s">
        <v>22</v>
      </c>
      <c r="G559" s="294" t="s">
        <v>22</v>
      </c>
      <c r="H559" s="294" t="s">
        <v>22</v>
      </c>
      <c r="I559" s="294" t="s">
        <v>22</v>
      </c>
      <c r="J559" s="294" t="s">
        <v>22</v>
      </c>
    </row>
    <row r="560">
      <c r="A560" s="294"/>
      <c r="B560" s="294" t="s">
        <v>22</v>
      </c>
      <c r="C560" s="294" t="s">
        <v>22</v>
      </c>
      <c r="D560" s="294" t="s">
        <v>22</v>
      </c>
      <c r="E560" s="294" t="s">
        <v>22</v>
      </c>
      <c r="F560" s="294" t="s">
        <v>22</v>
      </c>
      <c r="G560" s="294" t="s">
        <v>22</v>
      </c>
      <c r="H560" s="294" t="s">
        <v>22</v>
      </c>
      <c r="I560" s="294" t="s">
        <v>22</v>
      </c>
      <c r="J560" s="294" t="s">
        <v>22</v>
      </c>
    </row>
    <row r="561">
      <c r="A561" s="294"/>
      <c r="B561" s="294" t="s">
        <v>22</v>
      </c>
      <c r="C561" s="294" t="s">
        <v>22</v>
      </c>
      <c r="D561" s="294" t="s">
        <v>22</v>
      </c>
      <c r="E561" s="294" t="s">
        <v>22</v>
      </c>
      <c r="F561" s="294" t="s">
        <v>22</v>
      </c>
      <c r="G561" s="294" t="s">
        <v>22</v>
      </c>
      <c r="H561" s="294" t="s">
        <v>22</v>
      </c>
      <c r="I561" s="294" t="s">
        <v>22</v>
      </c>
      <c r="J561" s="294" t="s">
        <v>22</v>
      </c>
    </row>
    <row r="562">
      <c r="A562" s="294"/>
      <c r="B562" s="294" t="s">
        <v>22</v>
      </c>
      <c r="C562" s="294" t="s">
        <v>22</v>
      </c>
      <c r="D562" s="294" t="s">
        <v>22</v>
      </c>
      <c r="E562" s="294" t="s">
        <v>22</v>
      </c>
      <c r="F562" s="294" t="s">
        <v>22</v>
      </c>
      <c r="G562" s="294" t="s">
        <v>22</v>
      </c>
      <c r="H562" s="294" t="s">
        <v>22</v>
      </c>
      <c r="I562" s="294" t="s">
        <v>22</v>
      </c>
      <c r="J562" s="294" t="s">
        <v>22</v>
      </c>
    </row>
    <row r="563">
      <c r="A563" s="294"/>
      <c r="B563" s="294" t="s">
        <v>22</v>
      </c>
      <c r="C563" s="294" t="s">
        <v>22</v>
      </c>
      <c r="D563" s="294" t="s">
        <v>22</v>
      </c>
      <c r="E563" s="294" t="s">
        <v>22</v>
      </c>
      <c r="F563" s="294" t="s">
        <v>22</v>
      </c>
      <c r="G563" s="294" t="s">
        <v>22</v>
      </c>
      <c r="H563" s="294" t="s">
        <v>22</v>
      </c>
      <c r="I563" s="294" t="s">
        <v>22</v>
      </c>
      <c r="J563" s="294" t="s">
        <v>22</v>
      </c>
    </row>
    <row r="564">
      <c r="A564" s="294"/>
      <c r="B564" s="294" t="s">
        <v>22</v>
      </c>
      <c r="C564" s="294" t="s">
        <v>22</v>
      </c>
      <c r="D564" s="294" t="s">
        <v>22</v>
      </c>
      <c r="E564" s="294" t="s">
        <v>22</v>
      </c>
      <c r="F564" s="294" t="s">
        <v>22</v>
      </c>
      <c r="G564" s="294" t="s">
        <v>22</v>
      </c>
      <c r="H564" s="294" t="s">
        <v>22</v>
      </c>
      <c r="I564" s="294" t="s">
        <v>22</v>
      </c>
      <c r="J564" s="294" t="s">
        <v>22</v>
      </c>
    </row>
    <row r="565">
      <c r="A565" s="294"/>
      <c r="B565" s="294" t="s">
        <v>22</v>
      </c>
      <c r="C565" s="294" t="s">
        <v>22</v>
      </c>
      <c r="D565" s="294" t="s">
        <v>22</v>
      </c>
      <c r="E565" s="294" t="s">
        <v>22</v>
      </c>
      <c r="F565" s="294" t="s">
        <v>22</v>
      </c>
      <c r="G565" s="294" t="s">
        <v>22</v>
      </c>
      <c r="H565" s="294" t="s">
        <v>22</v>
      </c>
      <c r="I565" s="294" t="s">
        <v>22</v>
      </c>
      <c r="J565" s="294" t="s">
        <v>22</v>
      </c>
    </row>
    <row r="566">
      <c r="A566" s="294"/>
      <c r="B566" s="294" t="s">
        <v>22</v>
      </c>
      <c r="C566" s="294" t="s">
        <v>22</v>
      </c>
      <c r="D566" s="294" t="s">
        <v>22</v>
      </c>
      <c r="E566" s="294" t="s">
        <v>22</v>
      </c>
      <c r="F566" s="294" t="s">
        <v>22</v>
      </c>
      <c r="G566" s="294" t="s">
        <v>22</v>
      </c>
      <c r="H566" s="294" t="s">
        <v>22</v>
      </c>
      <c r="I566" s="294" t="s">
        <v>22</v>
      </c>
      <c r="J566" s="294" t="s">
        <v>22</v>
      </c>
    </row>
    <row r="567">
      <c r="A567" s="294"/>
      <c r="B567" s="294" t="s">
        <v>22</v>
      </c>
      <c r="C567" s="294" t="s">
        <v>22</v>
      </c>
      <c r="D567" s="294" t="s">
        <v>22</v>
      </c>
      <c r="E567" s="294" t="s">
        <v>22</v>
      </c>
      <c r="F567" s="294" t="s">
        <v>22</v>
      </c>
      <c r="G567" s="294" t="s">
        <v>22</v>
      </c>
      <c r="H567" s="294" t="s">
        <v>22</v>
      </c>
      <c r="I567" s="294" t="s">
        <v>22</v>
      </c>
      <c r="J567" s="294" t="s">
        <v>22</v>
      </c>
    </row>
    <row r="568">
      <c r="A568" s="294"/>
      <c r="B568" s="294" t="s">
        <v>22</v>
      </c>
      <c r="C568" s="294" t="s">
        <v>22</v>
      </c>
      <c r="D568" s="294" t="s">
        <v>22</v>
      </c>
      <c r="E568" s="294" t="s">
        <v>22</v>
      </c>
      <c r="F568" s="294" t="s">
        <v>22</v>
      </c>
      <c r="G568" s="294" t="s">
        <v>22</v>
      </c>
      <c r="H568" s="294" t="s">
        <v>22</v>
      </c>
      <c r="I568" s="294" t="s">
        <v>22</v>
      </c>
      <c r="J568" s="294" t="s">
        <v>22</v>
      </c>
    </row>
    <row r="569">
      <c r="A569" s="294"/>
      <c r="B569" s="294" t="s">
        <v>22</v>
      </c>
      <c r="C569" s="294" t="s">
        <v>22</v>
      </c>
      <c r="D569" s="294" t="s">
        <v>22</v>
      </c>
      <c r="E569" s="294" t="s">
        <v>22</v>
      </c>
      <c r="F569" s="294" t="s">
        <v>22</v>
      </c>
      <c r="G569" s="294" t="s">
        <v>22</v>
      </c>
      <c r="H569" s="294" t="s">
        <v>22</v>
      </c>
      <c r="I569" s="294" t="s">
        <v>22</v>
      </c>
      <c r="J569" s="294" t="s">
        <v>22</v>
      </c>
    </row>
    <row r="570">
      <c r="A570" s="294"/>
      <c r="B570" s="294" t="s">
        <v>22</v>
      </c>
      <c r="C570" s="294" t="s">
        <v>22</v>
      </c>
      <c r="D570" s="294" t="s">
        <v>22</v>
      </c>
      <c r="E570" s="294" t="s">
        <v>22</v>
      </c>
      <c r="F570" s="294" t="s">
        <v>22</v>
      </c>
      <c r="G570" s="294" t="s">
        <v>22</v>
      </c>
      <c r="H570" s="294" t="s">
        <v>22</v>
      </c>
      <c r="I570" s="294" t="s">
        <v>22</v>
      </c>
      <c r="J570" s="294" t="s">
        <v>22</v>
      </c>
    </row>
    <row r="571">
      <c r="A571" s="294"/>
      <c r="B571" s="294" t="s">
        <v>22</v>
      </c>
      <c r="C571" s="294" t="s">
        <v>22</v>
      </c>
      <c r="D571" s="294" t="s">
        <v>22</v>
      </c>
      <c r="E571" s="294" t="s">
        <v>22</v>
      </c>
      <c r="F571" s="294" t="s">
        <v>22</v>
      </c>
      <c r="G571" s="294" t="s">
        <v>22</v>
      </c>
      <c r="H571" s="294" t="s">
        <v>22</v>
      </c>
      <c r="I571" s="294" t="s">
        <v>22</v>
      </c>
      <c r="J571" s="294" t="s">
        <v>22</v>
      </c>
    </row>
    <row r="572">
      <c r="A572" s="294"/>
      <c r="B572" s="294" t="s">
        <v>22</v>
      </c>
      <c r="C572" s="294" t="s">
        <v>22</v>
      </c>
      <c r="D572" s="294" t="s">
        <v>22</v>
      </c>
      <c r="E572" s="294" t="s">
        <v>22</v>
      </c>
      <c r="F572" s="294" t="s">
        <v>22</v>
      </c>
      <c r="G572" s="294" t="s">
        <v>22</v>
      </c>
      <c r="H572" s="294" t="s">
        <v>22</v>
      </c>
      <c r="I572" s="294" t="s">
        <v>22</v>
      </c>
      <c r="J572" s="294" t="s">
        <v>22</v>
      </c>
    </row>
    <row r="573">
      <c r="A573" s="294"/>
      <c r="B573" s="294" t="s">
        <v>22</v>
      </c>
      <c r="C573" s="294" t="s">
        <v>22</v>
      </c>
      <c r="D573" s="294" t="s">
        <v>22</v>
      </c>
      <c r="E573" s="294" t="s">
        <v>22</v>
      </c>
      <c r="F573" s="294" t="s">
        <v>22</v>
      </c>
      <c r="G573" s="294" t="s">
        <v>22</v>
      </c>
      <c r="H573" s="294" t="s">
        <v>22</v>
      </c>
      <c r="I573" s="294" t="s">
        <v>22</v>
      </c>
      <c r="J573" s="294" t="s">
        <v>22</v>
      </c>
    </row>
    <row r="574">
      <c r="A574" s="294"/>
      <c r="B574" s="294" t="s">
        <v>22</v>
      </c>
      <c r="C574" s="294" t="s">
        <v>22</v>
      </c>
      <c r="D574" s="294" t="s">
        <v>22</v>
      </c>
      <c r="E574" s="294" t="s">
        <v>22</v>
      </c>
      <c r="F574" s="294" t="s">
        <v>22</v>
      </c>
      <c r="G574" s="294" t="s">
        <v>22</v>
      </c>
      <c r="H574" s="294" t="s">
        <v>22</v>
      </c>
      <c r="I574" s="294" t="s">
        <v>22</v>
      </c>
      <c r="J574" s="294" t="s">
        <v>22</v>
      </c>
    </row>
    <row r="575">
      <c r="A575" s="294"/>
      <c r="B575" s="294" t="s">
        <v>22</v>
      </c>
      <c r="C575" s="294" t="s">
        <v>22</v>
      </c>
      <c r="D575" s="294" t="s">
        <v>22</v>
      </c>
      <c r="E575" s="294" t="s">
        <v>22</v>
      </c>
      <c r="F575" s="294" t="s">
        <v>22</v>
      </c>
      <c r="G575" s="294" t="s">
        <v>22</v>
      </c>
      <c r="H575" s="294" t="s">
        <v>22</v>
      </c>
      <c r="I575" s="294" t="s">
        <v>22</v>
      </c>
      <c r="J575" s="294" t="s">
        <v>22</v>
      </c>
    </row>
    <row r="576">
      <c r="A576" s="294"/>
      <c r="B576" s="294" t="s">
        <v>22</v>
      </c>
      <c r="C576" s="294" t="s">
        <v>22</v>
      </c>
      <c r="D576" s="294" t="s">
        <v>22</v>
      </c>
      <c r="E576" s="294" t="s">
        <v>22</v>
      </c>
      <c r="F576" s="294" t="s">
        <v>22</v>
      </c>
      <c r="G576" s="294" t="s">
        <v>22</v>
      </c>
      <c r="H576" s="294" t="s">
        <v>22</v>
      </c>
      <c r="I576" s="294" t="s">
        <v>22</v>
      </c>
      <c r="J576" s="294" t="s">
        <v>22</v>
      </c>
    </row>
    <row r="577">
      <c r="A577" s="294"/>
      <c r="B577" s="294" t="s">
        <v>22</v>
      </c>
      <c r="C577" s="294" t="s">
        <v>22</v>
      </c>
      <c r="D577" s="294" t="s">
        <v>22</v>
      </c>
      <c r="E577" s="294" t="s">
        <v>22</v>
      </c>
      <c r="F577" s="294" t="s">
        <v>22</v>
      </c>
      <c r="G577" s="294" t="s">
        <v>22</v>
      </c>
      <c r="H577" s="294" t="s">
        <v>22</v>
      </c>
      <c r="I577" s="294" t="s">
        <v>22</v>
      </c>
      <c r="J577" s="294" t="s">
        <v>22</v>
      </c>
    </row>
    <row r="578">
      <c r="A578" s="294"/>
      <c r="B578" s="294" t="s">
        <v>22</v>
      </c>
      <c r="C578" s="294" t="s">
        <v>22</v>
      </c>
      <c r="D578" s="294" t="s">
        <v>22</v>
      </c>
      <c r="E578" s="294" t="s">
        <v>22</v>
      </c>
      <c r="F578" s="294" t="s">
        <v>22</v>
      </c>
      <c r="G578" s="294" t="s">
        <v>22</v>
      </c>
      <c r="H578" s="294" t="s">
        <v>22</v>
      </c>
      <c r="I578" s="294" t="s">
        <v>22</v>
      </c>
      <c r="J578" s="294" t="s">
        <v>22</v>
      </c>
    </row>
    <row r="579">
      <c r="A579" s="294"/>
      <c r="B579" s="294" t="s">
        <v>22</v>
      </c>
      <c r="C579" s="294" t="s">
        <v>22</v>
      </c>
      <c r="D579" s="294" t="s">
        <v>22</v>
      </c>
      <c r="E579" s="294" t="s">
        <v>22</v>
      </c>
      <c r="F579" s="294" t="s">
        <v>22</v>
      </c>
      <c r="G579" s="294" t="s">
        <v>22</v>
      </c>
      <c r="H579" s="294" t="s">
        <v>22</v>
      </c>
      <c r="I579" s="294" t="s">
        <v>22</v>
      </c>
      <c r="J579" s="294" t="s">
        <v>22</v>
      </c>
    </row>
    <row r="580">
      <c r="A580" s="294"/>
      <c r="B580" s="294" t="s">
        <v>22</v>
      </c>
      <c r="C580" s="294" t="s">
        <v>22</v>
      </c>
      <c r="D580" s="294" t="s">
        <v>22</v>
      </c>
      <c r="E580" s="294" t="s">
        <v>22</v>
      </c>
      <c r="F580" s="294" t="s">
        <v>22</v>
      </c>
      <c r="G580" s="294" t="s">
        <v>22</v>
      </c>
      <c r="H580" s="294" t="s">
        <v>22</v>
      </c>
      <c r="I580" s="294" t="s">
        <v>22</v>
      </c>
      <c r="J580" s="294" t="s">
        <v>22</v>
      </c>
    </row>
    <row r="581">
      <c r="A581" s="294"/>
      <c r="B581" s="294" t="s">
        <v>22</v>
      </c>
      <c r="C581" s="294" t="s">
        <v>22</v>
      </c>
      <c r="D581" s="294" t="s">
        <v>22</v>
      </c>
      <c r="E581" s="294" t="s">
        <v>22</v>
      </c>
      <c r="F581" s="294" t="s">
        <v>22</v>
      </c>
      <c r="G581" s="294" t="s">
        <v>22</v>
      </c>
      <c r="H581" s="294" t="s">
        <v>22</v>
      </c>
      <c r="I581" s="294" t="s">
        <v>22</v>
      </c>
      <c r="J581" s="294" t="s">
        <v>22</v>
      </c>
    </row>
    <row r="582">
      <c r="A582" s="294"/>
      <c r="B582" s="294" t="s">
        <v>22</v>
      </c>
      <c r="C582" s="294" t="s">
        <v>22</v>
      </c>
      <c r="D582" s="294" t="s">
        <v>22</v>
      </c>
      <c r="E582" s="294" t="s">
        <v>22</v>
      </c>
      <c r="F582" s="294" t="s">
        <v>22</v>
      </c>
      <c r="G582" s="294" t="s">
        <v>22</v>
      </c>
      <c r="H582" s="294" t="s">
        <v>22</v>
      </c>
      <c r="I582" s="294" t="s">
        <v>22</v>
      </c>
      <c r="J582" s="294" t="s">
        <v>22</v>
      </c>
    </row>
    <row r="583">
      <c r="A583" s="294"/>
      <c r="B583" s="294" t="s">
        <v>22</v>
      </c>
      <c r="C583" s="294" t="s">
        <v>22</v>
      </c>
      <c r="D583" s="294" t="s">
        <v>22</v>
      </c>
      <c r="E583" s="294" t="s">
        <v>22</v>
      </c>
      <c r="F583" s="294" t="s">
        <v>22</v>
      </c>
      <c r="G583" s="294" t="s">
        <v>22</v>
      </c>
      <c r="H583" s="294" t="s">
        <v>22</v>
      </c>
      <c r="I583" s="294" t="s">
        <v>22</v>
      </c>
      <c r="J583" s="294" t="s">
        <v>22</v>
      </c>
    </row>
    <row r="584">
      <c r="A584" s="294"/>
      <c r="B584" s="294" t="s">
        <v>22</v>
      </c>
      <c r="C584" s="294" t="s">
        <v>22</v>
      </c>
      <c r="D584" s="294" t="s">
        <v>22</v>
      </c>
      <c r="E584" s="294" t="s">
        <v>22</v>
      </c>
      <c r="F584" s="294" t="s">
        <v>22</v>
      </c>
      <c r="G584" s="294" t="s">
        <v>22</v>
      </c>
      <c r="H584" s="294" t="s">
        <v>22</v>
      </c>
      <c r="I584" s="294" t="s">
        <v>22</v>
      </c>
      <c r="J584" s="294" t="s">
        <v>22</v>
      </c>
    </row>
    <row r="585">
      <c r="A585" s="294"/>
      <c r="B585" s="294" t="s">
        <v>22</v>
      </c>
      <c r="C585" s="294" t="s">
        <v>22</v>
      </c>
      <c r="D585" s="294" t="s">
        <v>22</v>
      </c>
      <c r="E585" s="294" t="s">
        <v>22</v>
      </c>
      <c r="F585" s="294" t="s">
        <v>22</v>
      </c>
      <c r="G585" s="294" t="s">
        <v>22</v>
      </c>
      <c r="H585" s="294" t="s">
        <v>22</v>
      </c>
      <c r="I585" s="294" t="s">
        <v>22</v>
      </c>
      <c r="J585" s="294" t="s">
        <v>22</v>
      </c>
    </row>
    <row r="586">
      <c r="A586" s="294"/>
      <c r="B586" s="294" t="s">
        <v>22</v>
      </c>
      <c r="C586" s="294" t="s">
        <v>22</v>
      </c>
      <c r="D586" s="294" t="s">
        <v>22</v>
      </c>
      <c r="E586" s="294" t="s">
        <v>22</v>
      </c>
      <c r="F586" s="294" t="s">
        <v>22</v>
      </c>
      <c r="G586" s="294" t="s">
        <v>22</v>
      </c>
      <c r="H586" s="294" t="s">
        <v>22</v>
      </c>
      <c r="I586" s="294" t="s">
        <v>22</v>
      </c>
      <c r="J586" s="294" t="s">
        <v>22</v>
      </c>
    </row>
    <row r="587">
      <c r="A587" s="294"/>
      <c r="B587" s="294" t="s">
        <v>22</v>
      </c>
      <c r="C587" s="294" t="s">
        <v>22</v>
      </c>
      <c r="D587" s="294" t="s">
        <v>22</v>
      </c>
      <c r="E587" s="294" t="s">
        <v>22</v>
      </c>
      <c r="F587" s="294" t="s">
        <v>22</v>
      </c>
      <c r="G587" s="294" t="s">
        <v>22</v>
      </c>
      <c r="H587" s="294" t="s">
        <v>22</v>
      </c>
      <c r="I587" s="294" t="s">
        <v>22</v>
      </c>
      <c r="J587" s="294" t="s">
        <v>22</v>
      </c>
    </row>
    <row r="588">
      <c r="A588" s="294"/>
      <c r="B588" s="294" t="s">
        <v>22</v>
      </c>
      <c r="C588" s="294" t="s">
        <v>22</v>
      </c>
      <c r="D588" s="294" t="s">
        <v>22</v>
      </c>
      <c r="E588" s="294" t="s">
        <v>22</v>
      </c>
      <c r="F588" s="294" t="s">
        <v>22</v>
      </c>
      <c r="G588" s="294" t="s">
        <v>22</v>
      </c>
      <c r="H588" s="294" t="s">
        <v>22</v>
      </c>
      <c r="I588" s="294" t="s">
        <v>22</v>
      </c>
      <c r="J588" s="294" t="s">
        <v>22</v>
      </c>
    </row>
    <row r="589">
      <c r="A589" s="294"/>
      <c r="B589" s="294" t="s">
        <v>22</v>
      </c>
      <c r="C589" s="294" t="s">
        <v>22</v>
      </c>
      <c r="D589" s="294" t="s">
        <v>22</v>
      </c>
      <c r="E589" s="294" t="s">
        <v>22</v>
      </c>
      <c r="F589" s="294" t="s">
        <v>22</v>
      </c>
      <c r="G589" s="294" t="s">
        <v>22</v>
      </c>
      <c r="H589" s="294" t="s">
        <v>22</v>
      </c>
      <c r="I589" s="294" t="s">
        <v>22</v>
      </c>
      <c r="J589" s="294" t="s">
        <v>22</v>
      </c>
    </row>
    <row r="590">
      <c r="A590" s="294"/>
      <c r="B590" s="294" t="s">
        <v>22</v>
      </c>
      <c r="C590" s="294" t="s">
        <v>22</v>
      </c>
      <c r="D590" s="294" t="s">
        <v>22</v>
      </c>
      <c r="E590" s="294" t="s">
        <v>22</v>
      </c>
      <c r="F590" s="294" t="s">
        <v>22</v>
      </c>
      <c r="G590" s="294" t="s">
        <v>22</v>
      </c>
      <c r="H590" s="294" t="s">
        <v>22</v>
      </c>
      <c r="I590" s="294" t="s">
        <v>22</v>
      </c>
      <c r="J590" s="294" t="s">
        <v>22</v>
      </c>
    </row>
    <row r="591">
      <c r="A591" s="294"/>
      <c r="B591" s="294" t="s">
        <v>22</v>
      </c>
      <c r="C591" s="294" t="s">
        <v>22</v>
      </c>
      <c r="D591" s="294" t="s">
        <v>22</v>
      </c>
      <c r="E591" s="294" t="s">
        <v>22</v>
      </c>
      <c r="F591" s="294" t="s">
        <v>22</v>
      </c>
      <c r="G591" s="294" t="s">
        <v>22</v>
      </c>
      <c r="H591" s="294" t="s">
        <v>22</v>
      </c>
      <c r="I591" s="294" t="s">
        <v>22</v>
      </c>
      <c r="J591" s="294" t="s">
        <v>22</v>
      </c>
    </row>
    <row r="592">
      <c r="A592" s="294"/>
      <c r="B592" s="294" t="s">
        <v>22</v>
      </c>
      <c r="C592" s="294" t="s">
        <v>22</v>
      </c>
      <c r="D592" s="294" t="s">
        <v>22</v>
      </c>
      <c r="E592" s="294" t="s">
        <v>22</v>
      </c>
      <c r="F592" s="294" t="s">
        <v>22</v>
      </c>
      <c r="G592" s="294" t="s">
        <v>22</v>
      </c>
      <c r="H592" s="294" t="s">
        <v>22</v>
      </c>
      <c r="I592" s="294" t="s">
        <v>22</v>
      </c>
      <c r="J592" s="294" t="s">
        <v>22</v>
      </c>
    </row>
    <row r="593">
      <c r="A593" s="294"/>
      <c r="B593" s="294" t="s">
        <v>22</v>
      </c>
      <c r="C593" s="294" t="s">
        <v>22</v>
      </c>
      <c r="D593" s="294" t="s">
        <v>22</v>
      </c>
      <c r="E593" s="294" t="s">
        <v>22</v>
      </c>
      <c r="F593" s="294" t="s">
        <v>22</v>
      </c>
      <c r="G593" s="294" t="s">
        <v>22</v>
      </c>
      <c r="H593" s="294" t="s">
        <v>22</v>
      </c>
      <c r="I593" s="294" t="s">
        <v>22</v>
      </c>
      <c r="J593" s="294" t="s">
        <v>22</v>
      </c>
    </row>
    <row r="594">
      <c r="A594" s="294"/>
      <c r="B594" s="294" t="s">
        <v>22</v>
      </c>
      <c r="C594" s="294" t="s">
        <v>22</v>
      </c>
      <c r="D594" s="294" t="s">
        <v>22</v>
      </c>
      <c r="E594" s="294" t="s">
        <v>22</v>
      </c>
      <c r="F594" s="294" t="s">
        <v>22</v>
      </c>
      <c r="G594" s="294" t="s">
        <v>22</v>
      </c>
      <c r="H594" s="294" t="s">
        <v>22</v>
      </c>
      <c r="I594" s="294" t="s">
        <v>22</v>
      </c>
      <c r="J594" s="294" t="s">
        <v>22</v>
      </c>
    </row>
    <row r="595">
      <c r="A595" s="294"/>
      <c r="B595" s="294" t="s">
        <v>22</v>
      </c>
      <c r="C595" s="294" t="s">
        <v>22</v>
      </c>
      <c r="D595" s="294" t="s">
        <v>22</v>
      </c>
      <c r="E595" s="294" t="s">
        <v>22</v>
      </c>
      <c r="F595" s="294" t="s">
        <v>22</v>
      </c>
      <c r="G595" s="294" t="s">
        <v>22</v>
      </c>
      <c r="H595" s="294" t="s">
        <v>22</v>
      </c>
      <c r="I595" s="294" t="s">
        <v>22</v>
      </c>
      <c r="J595" s="294" t="s">
        <v>22</v>
      </c>
    </row>
    <row r="596">
      <c r="A596" s="294"/>
      <c r="B596" s="294" t="s">
        <v>22</v>
      </c>
      <c r="C596" s="294" t="s">
        <v>22</v>
      </c>
      <c r="D596" s="294" t="s">
        <v>22</v>
      </c>
      <c r="E596" s="294" t="s">
        <v>22</v>
      </c>
      <c r="F596" s="294" t="s">
        <v>22</v>
      </c>
      <c r="G596" s="294" t="s">
        <v>22</v>
      </c>
      <c r="H596" s="294" t="s">
        <v>22</v>
      </c>
      <c r="I596" s="294" t="s">
        <v>22</v>
      </c>
      <c r="J596" s="294" t="s">
        <v>22</v>
      </c>
    </row>
    <row r="597">
      <c r="A597" s="294"/>
      <c r="B597" s="294" t="s">
        <v>22</v>
      </c>
      <c r="C597" s="294" t="s">
        <v>22</v>
      </c>
      <c r="D597" s="294" t="s">
        <v>22</v>
      </c>
      <c r="E597" s="294" t="s">
        <v>22</v>
      </c>
      <c r="F597" s="294" t="s">
        <v>22</v>
      </c>
      <c r="G597" s="294" t="s">
        <v>22</v>
      </c>
      <c r="H597" s="294" t="s">
        <v>22</v>
      </c>
      <c r="I597" s="294" t="s">
        <v>22</v>
      </c>
      <c r="J597" s="294" t="s">
        <v>22</v>
      </c>
    </row>
    <row r="598">
      <c r="A598" s="294"/>
      <c r="B598" s="294" t="s">
        <v>22</v>
      </c>
      <c r="C598" s="294" t="s">
        <v>22</v>
      </c>
      <c r="D598" s="294" t="s">
        <v>22</v>
      </c>
      <c r="E598" s="294" t="s">
        <v>22</v>
      </c>
      <c r="F598" s="294" t="s">
        <v>22</v>
      </c>
      <c r="G598" s="294" t="s">
        <v>22</v>
      </c>
      <c r="H598" s="294" t="s">
        <v>22</v>
      </c>
      <c r="I598" s="294" t="s">
        <v>22</v>
      </c>
      <c r="J598" s="294" t="s">
        <v>22</v>
      </c>
    </row>
    <row r="599">
      <c r="A599" s="294"/>
      <c r="B599" s="294" t="s">
        <v>22</v>
      </c>
      <c r="C599" s="294" t="s">
        <v>22</v>
      </c>
      <c r="D599" s="294" t="s">
        <v>22</v>
      </c>
      <c r="E599" s="294" t="s">
        <v>22</v>
      </c>
      <c r="F599" s="294" t="s">
        <v>22</v>
      </c>
      <c r="G599" s="294" t="s">
        <v>22</v>
      </c>
      <c r="H599" s="294" t="s">
        <v>22</v>
      </c>
      <c r="I599" s="294" t="s">
        <v>22</v>
      </c>
      <c r="J599" s="294" t="s">
        <v>22</v>
      </c>
    </row>
    <row r="600">
      <c r="A600" s="294"/>
      <c r="B600" s="294" t="s">
        <v>22</v>
      </c>
      <c r="C600" s="294" t="s">
        <v>22</v>
      </c>
      <c r="D600" s="294" t="s">
        <v>22</v>
      </c>
      <c r="E600" s="294" t="s">
        <v>22</v>
      </c>
      <c r="F600" s="294" t="s">
        <v>22</v>
      </c>
      <c r="G600" s="294" t="s">
        <v>22</v>
      </c>
      <c r="H600" s="294" t="s">
        <v>22</v>
      </c>
      <c r="I600" s="294" t="s">
        <v>22</v>
      </c>
      <c r="J600" s="294" t="s">
        <v>22</v>
      </c>
    </row>
    <row r="601">
      <c r="A601" s="294"/>
      <c r="B601" s="294" t="s">
        <v>22</v>
      </c>
      <c r="C601" s="294" t="s">
        <v>22</v>
      </c>
      <c r="D601" s="294" t="s">
        <v>22</v>
      </c>
      <c r="E601" s="294" t="s">
        <v>22</v>
      </c>
      <c r="F601" s="294" t="s">
        <v>22</v>
      </c>
      <c r="G601" s="294" t="s">
        <v>22</v>
      </c>
      <c r="H601" s="294" t="s">
        <v>22</v>
      </c>
      <c r="I601" s="294" t="s">
        <v>22</v>
      </c>
      <c r="J601" s="294" t="s">
        <v>22</v>
      </c>
    </row>
    <row r="602">
      <c r="A602" s="294"/>
      <c r="B602" s="294" t="s">
        <v>22</v>
      </c>
      <c r="C602" s="294" t="s">
        <v>22</v>
      </c>
      <c r="D602" s="294" t="s">
        <v>22</v>
      </c>
      <c r="E602" s="294" t="s">
        <v>22</v>
      </c>
      <c r="F602" s="294" t="s">
        <v>22</v>
      </c>
      <c r="G602" s="294" t="s">
        <v>22</v>
      </c>
      <c r="H602" s="294" t="s">
        <v>22</v>
      </c>
      <c r="I602" s="294" t="s">
        <v>22</v>
      </c>
      <c r="J602" s="294" t="s">
        <v>22</v>
      </c>
    </row>
    <row r="603">
      <c r="A603" s="294"/>
      <c r="B603" s="294" t="s">
        <v>22</v>
      </c>
      <c r="C603" s="294" t="s">
        <v>22</v>
      </c>
      <c r="D603" s="294" t="s">
        <v>22</v>
      </c>
      <c r="E603" s="294" t="s">
        <v>22</v>
      </c>
      <c r="F603" s="294" t="s">
        <v>22</v>
      </c>
      <c r="G603" s="294" t="s">
        <v>22</v>
      </c>
      <c r="H603" s="294" t="s">
        <v>22</v>
      </c>
      <c r="I603" s="294" t="s">
        <v>22</v>
      </c>
      <c r="J603" s="294" t="s">
        <v>22</v>
      </c>
    </row>
    <row r="604">
      <c r="A604" s="294"/>
      <c r="B604" s="294" t="s">
        <v>22</v>
      </c>
      <c r="C604" s="294" t="s">
        <v>22</v>
      </c>
      <c r="D604" s="294" t="s">
        <v>22</v>
      </c>
      <c r="E604" s="294" t="s">
        <v>22</v>
      </c>
      <c r="F604" s="294" t="s">
        <v>22</v>
      </c>
      <c r="G604" s="294" t="s">
        <v>22</v>
      </c>
      <c r="H604" s="294" t="s">
        <v>22</v>
      </c>
      <c r="I604" s="294" t="s">
        <v>22</v>
      </c>
      <c r="J604" s="294" t="s">
        <v>22</v>
      </c>
    </row>
    <row r="605">
      <c r="A605" s="294"/>
      <c r="B605" s="294" t="s">
        <v>22</v>
      </c>
      <c r="C605" s="294" t="s">
        <v>22</v>
      </c>
      <c r="D605" s="294" t="s">
        <v>22</v>
      </c>
      <c r="E605" s="294" t="s">
        <v>22</v>
      </c>
      <c r="F605" s="294" t="s">
        <v>22</v>
      </c>
      <c r="G605" s="294" t="s">
        <v>22</v>
      </c>
      <c r="H605" s="294" t="s">
        <v>22</v>
      </c>
      <c r="I605" s="294" t="s">
        <v>22</v>
      </c>
      <c r="J605" s="294" t="s">
        <v>22</v>
      </c>
    </row>
    <row r="606">
      <c r="A606" s="294"/>
      <c r="B606" s="294" t="s">
        <v>22</v>
      </c>
      <c r="C606" s="294" t="s">
        <v>22</v>
      </c>
      <c r="D606" s="294" t="s">
        <v>22</v>
      </c>
      <c r="E606" s="294" t="s">
        <v>22</v>
      </c>
      <c r="F606" s="294" t="s">
        <v>22</v>
      </c>
      <c r="G606" s="294" t="s">
        <v>22</v>
      </c>
      <c r="H606" s="294" t="s">
        <v>22</v>
      </c>
      <c r="I606" s="294" t="s">
        <v>22</v>
      </c>
      <c r="J606" s="294" t="s">
        <v>22</v>
      </c>
    </row>
    <row r="607">
      <c r="A607" s="294"/>
      <c r="B607" s="294" t="s">
        <v>22</v>
      </c>
      <c r="C607" s="294" t="s">
        <v>22</v>
      </c>
      <c r="D607" s="294" t="s">
        <v>22</v>
      </c>
      <c r="E607" s="294" t="s">
        <v>22</v>
      </c>
      <c r="F607" s="294" t="s">
        <v>22</v>
      </c>
      <c r="G607" s="294" t="s">
        <v>22</v>
      </c>
      <c r="H607" s="294" t="s">
        <v>22</v>
      </c>
      <c r="I607" s="294" t="s">
        <v>22</v>
      </c>
      <c r="J607" s="294" t="s">
        <v>22</v>
      </c>
    </row>
    <row r="608">
      <c r="A608" s="294"/>
      <c r="B608" s="294" t="s">
        <v>22</v>
      </c>
      <c r="C608" s="294" t="s">
        <v>22</v>
      </c>
      <c r="D608" s="294" t="s">
        <v>22</v>
      </c>
      <c r="E608" s="294" t="s">
        <v>22</v>
      </c>
      <c r="F608" s="294" t="s">
        <v>22</v>
      </c>
      <c r="G608" s="294" t="s">
        <v>22</v>
      </c>
      <c r="H608" s="294" t="s">
        <v>22</v>
      </c>
      <c r="I608" s="294" t="s">
        <v>22</v>
      </c>
      <c r="J608" s="294" t="s">
        <v>22</v>
      </c>
    </row>
    <row r="609">
      <c r="A609" s="294"/>
      <c r="B609" s="294" t="s">
        <v>22</v>
      </c>
      <c r="C609" s="294" t="s">
        <v>22</v>
      </c>
      <c r="D609" s="294" t="s">
        <v>22</v>
      </c>
      <c r="E609" s="294" t="s">
        <v>22</v>
      </c>
      <c r="F609" s="294" t="s">
        <v>22</v>
      </c>
      <c r="G609" s="294" t="s">
        <v>22</v>
      </c>
      <c r="H609" s="294" t="s">
        <v>22</v>
      </c>
      <c r="I609" s="294" t="s">
        <v>22</v>
      </c>
      <c r="J609" s="294" t="s">
        <v>22</v>
      </c>
    </row>
    <row r="610">
      <c r="A610" s="294"/>
      <c r="B610" s="294" t="s">
        <v>22</v>
      </c>
      <c r="C610" s="294" t="s">
        <v>22</v>
      </c>
      <c r="D610" s="294" t="s">
        <v>22</v>
      </c>
      <c r="E610" s="294" t="s">
        <v>22</v>
      </c>
      <c r="F610" s="294" t="s">
        <v>22</v>
      </c>
      <c r="G610" s="294" t="s">
        <v>22</v>
      </c>
      <c r="H610" s="294" t="s">
        <v>22</v>
      </c>
      <c r="I610" s="294" t="s">
        <v>22</v>
      </c>
      <c r="J610" s="294" t="s">
        <v>22</v>
      </c>
    </row>
    <row r="611">
      <c r="A611" s="294"/>
      <c r="B611" s="294" t="s">
        <v>22</v>
      </c>
      <c r="C611" s="294" t="s">
        <v>22</v>
      </c>
      <c r="D611" s="294" t="s">
        <v>22</v>
      </c>
      <c r="E611" s="294" t="s">
        <v>22</v>
      </c>
      <c r="F611" s="294" t="s">
        <v>22</v>
      </c>
      <c r="G611" s="294" t="s">
        <v>22</v>
      </c>
      <c r="H611" s="294" t="s">
        <v>22</v>
      </c>
      <c r="I611" s="294" t="s">
        <v>22</v>
      </c>
      <c r="J611" s="294" t="s">
        <v>22</v>
      </c>
    </row>
    <row r="612">
      <c r="A612" s="294"/>
      <c r="B612" s="294" t="s">
        <v>22</v>
      </c>
      <c r="C612" s="294" t="s">
        <v>22</v>
      </c>
      <c r="D612" s="294" t="s">
        <v>22</v>
      </c>
      <c r="E612" s="294" t="s">
        <v>22</v>
      </c>
      <c r="F612" s="294" t="s">
        <v>22</v>
      </c>
      <c r="G612" s="294" t="s">
        <v>22</v>
      </c>
      <c r="H612" s="294" t="s">
        <v>22</v>
      </c>
      <c r="I612" s="294" t="s">
        <v>22</v>
      </c>
      <c r="J612" s="294" t="s">
        <v>22</v>
      </c>
    </row>
    <row r="613">
      <c r="A613" s="294"/>
      <c r="B613" s="294" t="s">
        <v>22</v>
      </c>
      <c r="C613" s="294" t="s">
        <v>22</v>
      </c>
      <c r="D613" s="294" t="s">
        <v>22</v>
      </c>
      <c r="E613" s="294" t="s">
        <v>22</v>
      </c>
      <c r="F613" s="294" t="s">
        <v>22</v>
      </c>
      <c r="G613" s="294" t="s">
        <v>22</v>
      </c>
      <c r="H613" s="294" t="s">
        <v>22</v>
      </c>
      <c r="I613" s="294" t="s">
        <v>22</v>
      </c>
      <c r="J613" s="294" t="s">
        <v>22</v>
      </c>
    </row>
    <row r="614">
      <c r="A614" s="294"/>
      <c r="B614" s="294" t="s">
        <v>22</v>
      </c>
      <c r="C614" s="294" t="s">
        <v>22</v>
      </c>
      <c r="D614" s="294" t="s">
        <v>22</v>
      </c>
      <c r="E614" s="294" t="s">
        <v>22</v>
      </c>
      <c r="F614" s="294" t="s">
        <v>22</v>
      </c>
      <c r="G614" s="294" t="s">
        <v>22</v>
      </c>
      <c r="H614" s="294" t="s">
        <v>22</v>
      </c>
      <c r="I614" s="294" t="s">
        <v>22</v>
      </c>
      <c r="J614" s="294" t="s">
        <v>22</v>
      </c>
    </row>
    <row r="615">
      <c r="A615" s="294"/>
      <c r="B615" s="294" t="s">
        <v>22</v>
      </c>
      <c r="C615" s="294" t="s">
        <v>22</v>
      </c>
      <c r="D615" s="294" t="s">
        <v>22</v>
      </c>
      <c r="E615" s="294" t="s">
        <v>22</v>
      </c>
      <c r="F615" s="294" t="s">
        <v>22</v>
      </c>
      <c r="G615" s="294" t="s">
        <v>22</v>
      </c>
      <c r="H615" s="294" t="s">
        <v>22</v>
      </c>
      <c r="I615" s="294" t="s">
        <v>22</v>
      </c>
      <c r="J615" s="294" t="s">
        <v>22</v>
      </c>
    </row>
    <row r="616">
      <c r="A616" s="294"/>
      <c r="B616" s="294" t="s">
        <v>22</v>
      </c>
      <c r="C616" s="294" t="s">
        <v>22</v>
      </c>
      <c r="D616" s="294" t="s">
        <v>22</v>
      </c>
      <c r="E616" s="294" t="s">
        <v>22</v>
      </c>
      <c r="F616" s="294" t="s">
        <v>22</v>
      </c>
      <c r="G616" s="294" t="s">
        <v>22</v>
      </c>
      <c r="H616" s="294" t="s">
        <v>22</v>
      </c>
      <c r="I616" s="294" t="s">
        <v>22</v>
      </c>
      <c r="J616" s="294" t="s">
        <v>22</v>
      </c>
    </row>
    <row r="617">
      <c r="A617" s="294"/>
      <c r="B617" s="294" t="s">
        <v>22</v>
      </c>
      <c r="C617" s="294" t="s">
        <v>22</v>
      </c>
      <c r="D617" s="294" t="s">
        <v>22</v>
      </c>
      <c r="E617" s="294" t="s">
        <v>22</v>
      </c>
      <c r="F617" s="294" t="s">
        <v>22</v>
      </c>
      <c r="G617" s="294" t="s">
        <v>22</v>
      </c>
      <c r="H617" s="294" t="s">
        <v>22</v>
      </c>
      <c r="I617" s="294" t="s">
        <v>22</v>
      </c>
      <c r="J617" s="294" t="s">
        <v>22</v>
      </c>
    </row>
    <row r="618">
      <c r="A618" s="294"/>
      <c r="B618" s="294" t="s">
        <v>22</v>
      </c>
      <c r="C618" s="294" t="s">
        <v>22</v>
      </c>
      <c r="D618" s="294" t="s">
        <v>22</v>
      </c>
      <c r="E618" s="294" t="s">
        <v>22</v>
      </c>
      <c r="F618" s="294" t="s">
        <v>22</v>
      </c>
      <c r="G618" s="294" t="s">
        <v>22</v>
      </c>
      <c r="H618" s="294" t="s">
        <v>22</v>
      </c>
      <c r="I618" s="294" t="s">
        <v>22</v>
      </c>
      <c r="J618" s="294" t="s">
        <v>22</v>
      </c>
    </row>
    <row r="619">
      <c r="A619" s="294"/>
      <c r="B619" s="294" t="s">
        <v>22</v>
      </c>
      <c r="C619" s="294" t="s">
        <v>22</v>
      </c>
      <c r="D619" s="294" t="s">
        <v>22</v>
      </c>
      <c r="E619" s="294" t="s">
        <v>22</v>
      </c>
      <c r="F619" s="294" t="s">
        <v>22</v>
      </c>
      <c r="G619" s="294" t="s">
        <v>22</v>
      </c>
      <c r="H619" s="294" t="s">
        <v>22</v>
      </c>
      <c r="I619" s="294" t="s">
        <v>22</v>
      </c>
      <c r="J619" s="294" t="s">
        <v>22</v>
      </c>
    </row>
    <row r="620">
      <c r="A620" s="294"/>
      <c r="B620" s="294" t="s">
        <v>22</v>
      </c>
      <c r="C620" s="294" t="s">
        <v>22</v>
      </c>
      <c r="D620" s="294" t="s">
        <v>22</v>
      </c>
      <c r="E620" s="294" t="s">
        <v>22</v>
      </c>
      <c r="F620" s="294" t="s">
        <v>22</v>
      </c>
      <c r="G620" s="294" t="s">
        <v>22</v>
      </c>
      <c r="H620" s="294" t="s">
        <v>22</v>
      </c>
      <c r="I620" s="294" t="s">
        <v>22</v>
      </c>
      <c r="J620" s="294" t="s">
        <v>22</v>
      </c>
    </row>
    <row r="621">
      <c r="A621" s="294"/>
      <c r="B621" s="294" t="s">
        <v>22</v>
      </c>
      <c r="C621" s="294" t="s">
        <v>22</v>
      </c>
      <c r="D621" s="294" t="s">
        <v>22</v>
      </c>
      <c r="E621" s="294" t="s">
        <v>22</v>
      </c>
      <c r="F621" s="294" t="s">
        <v>22</v>
      </c>
      <c r="G621" s="294" t="s">
        <v>22</v>
      </c>
      <c r="H621" s="294" t="s">
        <v>22</v>
      </c>
      <c r="I621" s="294" t="s">
        <v>22</v>
      </c>
      <c r="J621" s="294" t="s">
        <v>22</v>
      </c>
    </row>
    <row r="622">
      <c r="A622" s="294"/>
      <c r="B622" s="294" t="s">
        <v>22</v>
      </c>
      <c r="C622" s="294" t="s">
        <v>22</v>
      </c>
      <c r="D622" s="294" t="s">
        <v>22</v>
      </c>
      <c r="E622" s="294" t="s">
        <v>22</v>
      </c>
      <c r="F622" s="294" t="s">
        <v>22</v>
      </c>
      <c r="G622" s="294" t="s">
        <v>22</v>
      </c>
      <c r="H622" s="294" t="s">
        <v>22</v>
      </c>
      <c r="I622" s="294" t="s">
        <v>22</v>
      </c>
      <c r="J622" s="294" t="s">
        <v>22</v>
      </c>
    </row>
    <row r="623">
      <c r="A623" s="294"/>
      <c r="B623" s="294" t="s">
        <v>22</v>
      </c>
      <c r="C623" s="294" t="s">
        <v>22</v>
      </c>
      <c r="D623" s="294" t="s">
        <v>22</v>
      </c>
      <c r="E623" s="294" t="s">
        <v>22</v>
      </c>
      <c r="F623" s="294" t="s">
        <v>22</v>
      </c>
      <c r="G623" s="294" t="s">
        <v>22</v>
      </c>
      <c r="H623" s="294" t="s">
        <v>22</v>
      </c>
      <c r="I623" s="294" t="s">
        <v>22</v>
      </c>
      <c r="J623" s="294" t="s">
        <v>22</v>
      </c>
    </row>
    <row r="624">
      <c r="A624" s="294"/>
      <c r="B624" s="294" t="s">
        <v>22</v>
      </c>
      <c r="C624" s="294" t="s">
        <v>22</v>
      </c>
      <c r="D624" s="294" t="s">
        <v>22</v>
      </c>
      <c r="E624" s="294" t="s">
        <v>22</v>
      </c>
      <c r="F624" s="294" t="s">
        <v>22</v>
      </c>
      <c r="G624" s="294" t="s">
        <v>22</v>
      </c>
      <c r="H624" s="294" t="s">
        <v>22</v>
      </c>
      <c r="I624" s="294" t="s">
        <v>22</v>
      </c>
      <c r="J624" s="294" t="s">
        <v>22</v>
      </c>
    </row>
    <row r="625">
      <c r="A625" s="294"/>
      <c r="B625" s="294" t="s">
        <v>22</v>
      </c>
      <c r="C625" s="294" t="s">
        <v>22</v>
      </c>
      <c r="D625" s="294" t="s">
        <v>22</v>
      </c>
      <c r="E625" s="294" t="s">
        <v>22</v>
      </c>
      <c r="F625" s="294" t="s">
        <v>22</v>
      </c>
      <c r="G625" s="294" t="s">
        <v>22</v>
      </c>
      <c r="H625" s="294" t="s">
        <v>22</v>
      </c>
      <c r="I625" s="294" t="s">
        <v>22</v>
      </c>
      <c r="J625" s="294" t="s">
        <v>22</v>
      </c>
    </row>
    <row r="626">
      <c r="A626" s="294"/>
      <c r="B626" s="294" t="s">
        <v>22</v>
      </c>
      <c r="C626" s="294" t="s">
        <v>22</v>
      </c>
      <c r="D626" s="294" t="s">
        <v>22</v>
      </c>
      <c r="E626" s="294" t="s">
        <v>22</v>
      </c>
      <c r="F626" s="294" t="s">
        <v>22</v>
      </c>
      <c r="G626" s="294" t="s">
        <v>22</v>
      </c>
      <c r="H626" s="294" t="s">
        <v>22</v>
      </c>
      <c r="I626" s="294" t="s">
        <v>22</v>
      </c>
      <c r="J626" s="294" t="s">
        <v>22</v>
      </c>
    </row>
    <row r="627">
      <c r="A627" s="294"/>
      <c r="B627" s="294" t="s">
        <v>22</v>
      </c>
      <c r="C627" s="294" t="s">
        <v>22</v>
      </c>
      <c r="D627" s="294" t="s">
        <v>22</v>
      </c>
      <c r="E627" s="294" t="s">
        <v>22</v>
      </c>
      <c r="F627" s="294" t="s">
        <v>22</v>
      </c>
      <c r="G627" s="294" t="s">
        <v>22</v>
      </c>
      <c r="H627" s="294" t="s">
        <v>22</v>
      </c>
      <c r="I627" s="294" t="s">
        <v>22</v>
      </c>
      <c r="J627" s="294" t="s">
        <v>22</v>
      </c>
    </row>
    <row r="628">
      <c r="A628" s="294"/>
      <c r="B628" s="294" t="s">
        <v>22</v>
      </c>
      <c r="C628" s="294" t="s">
        <v>22</v>
      </c>
      <c r="D628" s="294" t="s">
        <v>22</v>
      </c>
      <c r="E628" s="294" t="s">
        <v>22</v>
      </c>
      <c r="F628" s="294" t="s">
        <v>22</v>
      </c>
      <c r="G628" s="294" t="s">
        <v>22</v>
      </c>
      <c r="H628" s="294" t="s">
        <v>22</v>
      </c>
      <c r="I628" s="294" t="s">
        <v>22</v>
      </c>
      <c r="J628" s="294" t="s">
        <v>22</v>
      </c>
    </row>
    <row r="629">
      <c r="A629" s="294"/>
      <c r="B629" s="294" t="s">
        <v>22</v>
      </c>
      <c r="C629" s="294" t="s">
        <v>22</v>
      </c>
      <c r="D629" s="294" t="s">
        <v>22</v>
      </c>
      <c r="E629" s="294" t="s">
        <v>22</v>
      </c>
      <c r="F629" s="294" t="s">
        <v>22</v>
      </c>
      <c r="G629" s="294" t="s">
        <v>22</v>
      </c>
      <c r="H629" s="294" t="s">
        <v>22</v>
      </c>
      <c r="I629" s="294" t="s">
        <v>22</v>
      </c>
      <c r="J629" s="294" t="s">
        <v>22</v>
      </c>
    </row>
    <row r="630">
      <c r="A630" s="294"/>
      <c r="B630" s="294" t="s">
        <v>22</v>
      </c>
      <c r="C630" s="294" t="s">
        <v>22</v>
      </c>
      <c r="D630" s="294" t="s">
        <v>22</v>
      </c>
      <c r="E630" s="294" t="s">
        <v>22</v>
      </c>
      <c r="F630" s="294" t="s">
        <v>22</v>
      </c>
      <c r="G630" s="294" t="s">
        <v>22</v>
      </c>
      <c r="H630" s="294" t="s">
        <v>22</v>
      </c>
      <c r="I630" s="294" t="s">
        <v>22</v>
      </c>
      <c r="J630" s="294" t="s">
        <v>22</v>
      </c>
    </row>
    <row r="631">
      <c r="A631" s="294"/>
      <c r="B631" s="294" t="s">
        <v>22</v>
      </c>
      <c r="C631" s="294" t="s">
        <v>22</v>
      </c>
      <c r="D631" s="294" t="s">
        <v>22</v>
      </c>
      <c r="E631" s="294" t="s">
        <v>22</v>
      </c>
      <c r="F631" s="294" t="s">
        <v>22</v>
      </c>
      <c r="G631" s="294" t="s">
        <v>22</v>
      </c>
      <c r="H631" s="294" t="s">
        <v>22</v>
      </c>
      <c r="I631" s="294" t="s">
        <v>22</v>
      </c>
      <c r="J631" s="294" t="s">
        <v>22</v>
      </c>
    </row>
    <row r="632">
      <c r="A632" s="294"/>
      <c r="B632" s="294" t="s">
        <v>22</v>
      </c>
      <c r="C632" s="294" t="s">
        <v>22</v>
      </c>
      <c r="D632" s="294" t="s">
        <v>22</v>
      </c>
      <c r="E632" s="294" t="s">
        <v>22</v>
      </c>
      <c r="F632" s="294" t="s">
        <v>22</v>
      </c>
      <c r="G632" s="294" t="s">
        <v>22</v>
      </c>
      <c r="H632" s="294" t="s">
        <v>22</v>
      </c>
      <c r="I632" s="294" t="s">
        <v>22</v>
      </c>
      <c r="J632" s="294" t="s">
        <v>22</v>
      </c>
    </row>
    <row r="633">
      <c r="A633" s="294"/>
      <c r="B633" s="294" t="s">
        <v>22</v>
      </c>
      <c r="C633" s="294" t="s">
        <v>22</v>
      </c>
      <c r="D633" s="294" t="s">
        <v>22</v>
      </c>
      <c r="E633" s="294" t="s">
        <v>22</v>
      </c>
      <c r="F633" s="294" t="s">
        <v>22</v>
      </c>
      <c r="G633" s="294" t="s">
        <v>22</v>
      </c>
      <c r="H633" s="294" t="s">
        <v>22</v>
      </c>
      <c r="I633" s="294" t="s">
        <v>22</v>
      </c>
      <c r="J633" s="294" t="s">
        <v>22</v>
      </c>
    </row>
    <row r="634">
      <c r="A634" s="294"/>
      <c r="B634" s="294" t="s">
        <v>22</v>
      </c>
      <c r="C634" s="294" t="s">
        <v>22</v>
      </c>
      <c r="D634" s="294" t="s">
        <v>22</v>
      </c>
      <c r="E634" s="294" t="s">
        <v>22</v>
      </c>
      <c r="F634" s="294" t="s">
        <v>22</v>
      </c>
      <c r="G634" s="294" t="s">
        <v>22</v>
      </c>
      <c r="H634" s="294" t="s">
        <v>22</v>
      </c>
      <c r="I634" s="294" t="s">
        <v>22</v>
      </c>
      <c r="J634" s="294" t="s">
        <v>22</v>
      </c>
    </row>
    <row r="635">
      <c r="A635" s="294"/>
      <c r="B635" s="294" t="s">
        <v>22</v>
      </c>
      <c r="C635" s="294" t="s">
        <v>22</v>
      </c>
      <c r="D635" s="294" t="s">
        <v>22</v>
      </c>
      <c r="E635" s="294" t="s">
        <v>22</v>
      </c>
      <c r="F635" s="294" t="s">
        <v>22</v>
      </c>
      <c r="G635" s="294" t="s">
        <v>22</v>
      </c>
      <c r="H635" s="294" t="s">
        <v>22</v>
      </c>
      <c r="I635" s="294" t="s">
        <v>22</v>
      </c>
      <c r="J635" s="294" t="s">
        <v>22</v>
      </c>
    </row>
    <row r="636">
      <c r="A636" s="294"/>
      <c r="B636" s="294" t="s">
        <v>22</v>
      </c>
      <c r="C636" s="294" t="s">
        <v>22</v>
      </c>
      <c r="D636" s="294" t="s">
        <v>22</v>
      </c>
      <c r="E636" s="294" t="s">
        <v>22</v>
      </c>
      <c r="F636" s="294" t="s">
        <v>22</v>
      </c>
      <c r="G636" s="294" t="s">
        <v>22</v>
      </c>
      <c r="H636" s="294" t="s">
        <v>22</v>
      </c>
      <c r="I636" s="294" t="s">
        <v>22</v>
      </c>
      <c r="J636" s="294" t="s">
        <v>22</v>
      </c>
    </row>
    <row r="637">
      <c r="A637" s="294"/>
      <c r="B637" s="294" t="s">
        <v>22</v>
      </c>
      <c r="C637" s="294" t="s">
        <v>22</v>
      </c>
      <c r="D637" s="294" t="s">
        <v>22</v>
      </c>
      <c r="E637" s="294" t="s">
        <v>22</v>
      </c>
      <c r="F637" s="294" t="s">
        <v>22</v>
      </c>
      <c r="G637" s="294" t="s">
        <v>22</v>
      </c>
      <c r="H637" s="294" t="s">
        <v>22</v>
      </c>
      <c r="I637" s="294" t="s">
        <v>22</v>
      </c>
      <c r="J637" s="294" t="s">
        <v>22</v>
      </c>
    </row>
    <row r="638">
      <c r="A638" s="294"/>
      <c r="B638" s="294" t="s">
        <v>22</v>
      </c>
      <c r="C638" s="294" t="s">
        <v>22</v>
      </c>
      <c r="D638" s="294" t="s">
        <v>22</v>
      </c>
      <c r="E638" s="294" t="s">
        <v>22</v>
      </c>
      <c r="F638" s="294" t="s">
        <v>22</v>
      </c>
      <c r="G638" s="294" t="s">
        <v>22</v>
      </c>
      <c r="H638" s="294" t="s">
        <v>22</v>
      </c>
      <c r="I638" s="294" t="s">
        <v>22</v>
      </c>
      <c r="J638" s="294" t="s">
        <v>22</v>
      </c>
    </row>
    <row r="639">
      <c r="A639" s="294"/>
      <c r="B639" s="294" t="s">
        <v>22</v>
      </c>
      <c r="C639" s="294" t="s">
        <v>22</v>
      </c>
      <c r="D639" s="294" t="s">
        <v>22</v>
      </c>
      <c r="E639" s="294" t="s">
        <v>22</v>
      </c>
      <c r="F639" s="294" t="s">
        <v>22</v>
      </c>
      <c r="G639" s="294" t="s">
        <v>22</v>
      </c>
      <c r="H639" s="294" t="s">
        <v>22</v>
      </c>
      <c r="I639" s="294" t="s">
        <v>22</v>
      </c>
      <c r="J639" s="294" t="s">
        <v>22</v>
      </c>
    </row>
    <row r="640">
      <c r="A640" s="294"/>
      <c r="B640" s="294" t="s">
        <v>22</v>
      </c>
      <c r="C640" s="294" t="s">
        <v>22</v>
      </c>
      <c r="D640" s="294" t="s">
        <v>22</v>
      </c>
      <c r="E640" s="294" t="s">
        <v>22</v>
      </c>
      <c r="F640" s="294" t="s">
        <v>22</v>
      </c>
      <c r="G640" s="294" t="s">
        <v>22</v>
      </c>
      <c r="H640" s="294" t="s">
        <v>22</v>
      </c>
      <c r="I640" s="294" t="s">
        <v>22</v>
      </c>
      <c r="J640" s="294" t="s">
        <v>22</v>
      </c>
    </row>
    <row r="641">
      <c r="A641" s="294"/>
      <c r="B641" s="294" t="s">
        <v>22</v>
      </c>
      <c r="C641" s="294" t="s">
        <v>22</v>
      </c>
      <c r="D641" s="294" t="s">
        <v>22</v>
      </c>
      <c r="E641" s="294" t="s">
        <v>22</v>
      </c>
      <c r="F641" s="294" t="s">
        <v>22</v>
      </c>
      <c r="G641" s="294" t="s">
        <v>22</v>
      </c>
      <c r="H641" s="294" t="s">
        <v>22</v>
      </c>
      <c r="I641" s="294" t="s">
        <v>22</v>
      </c>
      <c r="J641" s="294" t="s">
        <v>22</v>
      </c>
    </row>
    <row r="642">
      <c r="A642" s="294"/>
      <c r="B642" s="294" t="s">
        <v>22</v>
      </c>
      <c r="C642" s="294" t="s">
        <v>22</v>
      </c>
      <c r="D642" s="294" t="s">
        <v>22</v>
      </c>
      <c r="E642" s="294" t="s">
        <v>22</v>
      </c>
      <c r="F642" s="294" t="s">
        <v>22</v>
      </c>
      <c r="G642" s="294" t="s">
        <v>22</v>
      </c>
      <c r="H642" s="294" t="s">
        <v>22</v>
      </c>
      <c r="I642" s="294" t="s">
        <v>22</v>
      </c>
      <c r="J642" s="294" t="s">
        <v>22</v>
      </c>
    </row>
    <row r="643">
      <c r="A643" s="294"/>
      <c r="B643" s="294" t="s">
        <v>22</v>
      </c>
      <c r="C643" s="294" t="s">
        <v>22</v>
      </c>
      <c r="D643" s="294" t="s">
        <v>22</v>
      </c>
      <c r="E643" s="294" t="s">
        <v>22</v>
      </c>
      <c r="F643" s="294" t="s">
        <v>22</v>
      </c>
      <c r="G643" s="294" t="s">
        <v>22</v>
      </c>
      <c r="H643" s="294" t="s">
        <v>22</v>
      </c>
      <c r="I643" s="294" t="s">
        <v>22</v>
      </c>
      <c r="J643" s="294" t="s">
        <v>22</v>
      </c>
    </row>
    <row r="644">
      <c r="A644" s="294"/>
      <c r="B644" s="294" t="s">
        <v>22</v>
      </c>
      <c r="C644" s="294" t="s">
        <v>22</v>
      </c>
      <c r="D644" s="294" t="s">
        <v>22</v>
      </c>
      <c r="E644" s="294" t="s">
        <v>22</v>
      </c>
      <c r="F644" s="294" t="s">
        <v>22</v>
      </c>
      <c r="G644" s="294" t="s">
        <v>22</v>
      </c>
      <c r="H644" s="294" t="s">
        <v>22</v>
      </c>
      <c r="I644" s="294" t="s">
        <v>22</v>
      </c>
      <c r="J644" s="294" t="s">
        <v>22</v>
      </c>
    </row>
    <row r="645">
      <c r="A645" s="294"/>
      <c r="B645" s="294" t="s">
        <v>22</v>
      </c>
      <c r="C645" s="294" t="s">
        <v>22</v>
      </c>
      <c r="D645" s="294" t="s">
        <v>22</v>
      </c>
      <c r="E645" s="294" t="s">
        <v>22</v>
      </c>
      <c r="F645" s="294" t="s">
        <v>22</v>
      </c>
      <c r="G645" s="294" t="s">
        <v>22</v>
      </c>
      <c r="H645" s="294" t="s">
        <v>22</v>
      </c>
      <c r="I645" s="294" t="s">
        <v>22</v>
      </c>
      <c r="J645" s="294" t="s">
        <v>22</v>
      </c>
    </row>
    <row r="646">
      <c r="A646" s="294"/>
      <c r="B646" s="294" t="s">
        <v>22</v>
      </c>
      <c r="C646" s="294" t="s">
        <v>22</v>
      </c>
      <c r="D646" s="294" t="s">
        <v>22</v>
      </c>
      <c r="E646" s="294" t="s">
        <v>22</v>
      </c>
      <c r="F646" s="294" t="s">
        <v>22</v>
      </c>
      <c r="G646" s="294" t="s">
        <v>22</v>
      </c>
      <c r="H646" s="294" t="s">
        <v>22</v>
      </c>
      <c r="I646" s="294" t="s">
        <v>22</v>
      </c>
      <c r="J646" s="294" t="s">
        <v>22</v>
      </c>
    </row>
    <row r="647">
      <c r="A647" s="294"/>
      <c r="B647" s="294" t="s">
        <v>22</v>
      </c>
      <c r="C647" s="294" t="s">
        <v>22</v>
      </c>
      <c r="D647" s="294" t="s">
        <v>22</v>
      </c>
      <c r="E647" s="294" t="s">
        <v>22</v>
      </c>
      <c r="F647" s="294" t="s">
        <v>22</v>
      </c>
      <c r="G647" s="294" t="s">
        <v>22</v>
      </c>
      <c r="H647" s="294" t="s">
        <v>22</v>
      </c>
      <c r="I647" s="294" t="s">
        <v>22</v>
      </c>
      <c r="J647" s="294" t="s">
        <v>22</v>
      </c>
    </row>
    <row r="648">
      <c r="A648" s="294"/>
      <c r="B648" s="294" t="s">
        <v>22</v>
      </c>
      <c r="C648" s="294" t="s">
        <v>22</v>
      </c>
      <c r="D648" s="294" t="s">
        <v>22</v>
      </c>
      <c r="E648" s="294" t="s">
        <v>22</v>
      </c>
      <c r="F648" s="294" t="s">
        <v>22</v>
      </c>
      <c r="G648" s="294" t="s">
        <v>22</v>
      </c>
      <c r="H648" s="294" t="s">
        <v>22</v>
      </c>
      <c r="I648" s="294" t="s">
        <v>22</v>
      </c>
      <c r="J648" s="294" t="s">
        <v>22</v>
      </c>
    </row>
    <row r="649">
      <c r="A649" s="294"/>
      <c r="B649" s="294" t="s">
        <v>22</v>
      </c>
      <c r="C649" s="294" t="s">
        <v>22</v>
      </c>
      <c r="D649" s="294" t="s">
        <v>22</v>
      </c>
      <c r="E649" s="294" t="s">
        <v>22</v>
      </c>
      <c r="F649" s="294" t="s">
        <v>22</v>
      </c>
      <c r="G649" s="294" t="s">
        <v>22</v>
      </c>
      <c r="H649" s="294" t="s">
        <v>22</v>
      </c>
      <c r="I649" s="294" t="s">
        <v>22</v>
      </c>
      <c r="J649" s="294" t="s">
        <v>22</v>
      </c>
    </row>
    <row r="650">
      <c r="A650" s="294"/>
      <c r="B650" s="294" t="s">
        <v>22</v>
      </c>
      <c r="C650" s="294" t="s">
        <v>22</v>
      </c>
      <c r="D650" s="294" t="s">
        <v>22</v>
      </c>
      <c r="E650" s="294" t="s">
        <v>22</v>
      </c>
      <c r="F650" s="294" t="s">
        <v>22</v>
      </c>
      <c r="G650" s="294" t="s">
        <v>22</v>
      </c>
      <c r="H650" s="294" t="s">
        <v>22</v>
      </c>
      <c r="I650" s="294" t="s">
        <v>22</v>
      </c>
      <c r="J650" s="294" t="s">
        <v>22</v>
      </c>
    </row>
    <row r="651">
      <c r="A651" s="294"/>
      <c r="B651" s="294" t="s">
        <v>22</v>
      </c>
      <c r="C651" s="294" t="s">
        <v>22</v>
      </c>
      <c r="D651" s="294" t="s">
        <v>22</v>
      </c>
      <c r="E651" s="294" t="s">
        <v>22</v>
      </c>
      <c r="F651" s="294" t="s">
        <v>22</v>
      </c>
      <c r="G651" s="294" t="s">
        <v>22</v>
      </c>
      <c r="H651" s="294" t="s">
        <v>22</v>
      </c>
      <c r="I651" s="294" t="s">
        <v>22</v>
      </c>
      <c r="J651" s="294" t="s">
        <v>22</v>
      </c>
    </row>
    <row r="652">
      <c r="A652" s="294"/>
      <c r="B652" s="294" t="s">
        <v>22</v>
      </c>
      <c r="C652" s="294" t="s">
        <v>22</v>
      </c>
      <c r="D652" s="294" t="s">
        <v>22</v>
      </c>
      <c r="E652" s="294" t="s">
        <v>22</v>
      </c>
      <c r="F652" s="294" t="s">
        <v>22</v>
      </c>
      <c r="G652" s="294" t="s">
        <v>22</v>
      </c>
      <c r="H652" s="294" t="s">
        <v>22</v>
      </c>
      <c r="I652" s="294" t="s">
        <v>22</v>
      </c>
      <c r="J652" s="294" t="s">
        <v>22</v>
      </c>
    </row>
    <row r="653">
      <c r="A653" s="294"/>
      <c r="B653" s="294" t="s">
        <v>22</v>
      </c>
      <c r="C653" s="294" t="s">
        <v>22</v>
      </c>
      <c r="D653" s="294" t="s">
        <v>22</v>
      </c>
      <c r="E653" s="294" t="s">
        <v>22</v>
      </c>
      <c r="F653" s="294" t="s">
        <v>22</v>
      </c>
      <c r="G653" s="294" t="s">
        <v>22</v>
      </c>
      <c r="H653" s="294" t="s">
        <v>22</v>
      </c>
      <c r="I653" s="294" t="s">
        <v>22</v>
      </c>
      <c r="J653" s="294" t="s">
        <v>22</v>
      </c>
    </row>
    <row r="654">
      <c r="A654" s="294"/>
      <c r="B654" s="294" t="s">
        <v>22</v>
      </c>
      <c r="C654" s="294" t="s">
        <v>22</v>
      </c>
      <c r="D654" s="294" t="s">
        <v>22</v>
      </c>
      <c r="E654" s="294" t="s">
        <v>22</v>
      </c>
      <c r="F654" s="294" t="s">
        <v>22</v>
      </c>
      <c r="G654" s="294" t="s">
        <v>22</v>
      </c>
      <c r="H654" s="294" t="s">
        <v>22</v>
      </c>
      <c r="I654" s="294" t="s">
        <v>22</v>
      </c>
      <c r="J654" s="294" t="s">
        <v>22</v>
      </c>
    </row>
    <row r="655">
      <c r="A655" s="294"/>
      <c r="B655" s="294" t="s">
        <v>22</v>
      </c>
      <c r="C655" s="294" t="s">
        <v>22</v>
      </c>
      <c r="D655" s="294" t="s">
        <v>22</v>
      </c>
      <c r="E655" s="294" t="s">
        <v>22</v>
      </c>
      <c r="F655" s="294" t="s">
        <v>22</v>
      </c>
      <c r="G655" s="294" t="s">
        <v>22</v>
      </c>
      <c r="H655" s="294" t="s">
        <v>22</v>
      </c>
      <c r="I655" s="294" t="s">
        <v>22</v>
      </c>
      <c r="J655" s="294" t="s">
        <v>22</v>
      </c>
    </row>
    <row r="656">
      <c r="A656" s="294"/>
      <c r="B656" s="294" t="s">
        <v>22</v>
      </c>
      <c r="C656" s="294" t="s">
        <v>22</v>
      </c>
      <c r="D656" s="294" t="s">
        <v>22</v>
      </c>
      <c r="E656" s="294" t="s">
        <v>22</v>
      </c>
      <c r="F656" s="294" t="s">
        <v>22</v>
      </c>
      <c r="G656" s="294" t="s">
        <v>22</v>
      </c>
      <c r="H656" s="294" t="s">
        <v>22</v>
      </c>
      <c r="I656" s="294" t="s">
        <v>22</v>
      </c>
      <c r="J656" s="294" t="s">
        <v>22</v>
      </c>
    </row>
    <row r="657">
      <c r="A657" s="294"/>
      <c r="B657" s="294" t="s">
        <v>22</v>
      </c>
      <c r="C657" s="294" t="s">
        <v>22</v>
      </c>
      <c r="D657" s="294" t="s">
        <v>22</v>
      </c>
      <c r="E657" s="294" t="s">
        <v>22</v>
      </c>
      <c r="F657" s="294" t="s">
        <v>22</v>
      </c>
      <c r="G657" s="294" t="s">
        <v>22</v>
      </c>
      <c r="H657" s="294" t="s">
        <v>22</v>
      </c>
      <c r="I657" s="294" t="s">
        <v>22</v>
      </c>
      <c r="J657" s="294" t="s">
        <v>22</v>
      </c>
    </row>
    <row r="658">
      <c r="A658" s="294"/>
      <c r="B658" s="294" t="s">
        <v>22</v>
      </c>
      <c r="C658" s="294" t="s">
        <v>22</v>
      </c>
      <c r="D658" s="294" t="s">
        <v>22</v>
      </c>
      <c r="E658" s="294" t="s">
        <v>22</v>
      </c>
      <c r="F658" s="294" t="s">
        <v>22</v>
      </c>
      <c r="G658" s="294" t="s">
        <v>22</v>
      </c>
      <c r="H658" s="294" t="s">
        <v>22</v>
      </c>
      <c r="I658" s="294" t="s">
        <v>22</v>
      </c>
      <c r="J658" s="294" t="s">
        <v>22</v>
      </c>
    </row>
    <row r="659">
      <c r="A659" s="294"/>
      <c r="B659" s="294" t="s">
        <v>22</v>
      </c>
      <c r="C659" s="294" t="s">
        <v>22</v>
      </c>
      <c r="D659" s="294" t="s">
        <v>22</v>
      </c>
      <c r="E659" s="294" t="s">
        <v>22</v>
      </c>
      <c r="F659" s="294" t="s">
        <v>22</v>
      </c>
      <c r="G659" s="294" t="s">
        <v>22</v>
      </c>
      <c r="H659" s="294" t="s">
        <v>22</v>
      </c>
      <c r="I659" s="294" t="s">
        <v>22</v>
      </c>
      <c r="J659" s="294" t="s">
        <v>22</v>
      </c>
    </row>
    <row r="660">
      <c r="A660" s="294"/>
      <c r="B660" s="294" t="s">
        <v>22</v>
      </c>
      <c r="C660" s="294" t="s">
        <v>22</v>
      </c>
      <c r="D660" s="294" t="s">
        <v>22</v>
      </c>
      <c r="E660" s="294" t="s">
        <v>22</v>
      </c>
      <c r="F660" s="294" t="s">
        <v>22</v>
      </c>
      <c r="G660" s="294" t="s">
        <v>22</v>
      </c>
      <c r="H660" s="294" t="s">
        <v>22</v>
      </c>
      <c r="I660" s="294" t="s">
        <v>22</v>
      </c>
      <c r="J660" s="294" t="s">
        <v>22</v>
      </c>
    </row>
    <row r="661">
      <c r="A661" s="294"/>
      <c r="B661" s="294" t="s">
        <v>22</v>
      </c>
      <c r="C661" s="294" t="s">
        <v>22</v>
      </c>
      <c r="D661" s="294" t="s">
        <v>22</v>
      </c>
      <c r="E661" s="294" t="s">
        <v>22</v>
      </c>
      <c r="F661" s="294" t="s">
        <v>22</v>
      </c>
      <c r="G661" s="294" t="s">
        <v>22</v>
      </c>
      <c r="H661" s="294" t="s">
        <v>22</v>
      </c>
      <c r="I661" s="294" t="s">
        <v>22</v>
      </c>
      <c r="J661" s="294" t="s">
        <v>22</v>
      </c>
    </row>
    <row r="662">
      <c r="A662" s="294"/>
      <c r="B662" s="294" t="s">
        <v>22</v>
      </c>
      <c r="C662" s="294" t="s">
        <v>22</v>
      </c>
      <c r="D662" s="294" t="s">
        <v>22</v>
      </c>
      <c r="E662" s="294" t="s">
        <v>22</v>
      </c>
      <c r="F662" s="294" t="s">
        <v>22</v>
      </c>
      <c r="G662" s="294" t="s">
        <v>22</v>
      </c>
      <c r="H662" s="294" t="s">
        <v>22</v>
      </c>
      <c r="I662" s="294" t="s">
        <v>22</v>
      </c>
      <c r="J662" s="294" t="s">
        <v>22</v>
      </c>
    </row>
    <row r="663">
      <c r="A663" s="294"/>
      <c r="B663" s="294" t="s">
        <v>22</v>
      </c>
      <c r="C663" s="294" t="s">
        <v>22</v>
      </c>
      <c r="D663" s="294" t="s">
        <v>22</v>
      </c>
      <c r="E663" s="294" t="s">
        <v>22</v>
      </c>
      <c r="F663" s="294" t="s">
        <v>22</v>
      </c>
      <c r="G663" s="294" t="s">
        <v>22</v>
      </c>
      <c r="H663" s="294" t="s">
        <v>22</v>
      </c>
      <c r="I663" s="294" t="s">
        <v>22</v>
      </c>
      <c r="J663" s="294" t="s">
        <v>22</v>
      </c>
    </row>
    <row r="664">
      <c r="A664" s="294"/>
      <c r="B664" s="294" t="s">
        <v>22</v>
      </c>
      <c r="C664" s="294" t="s">
        <v>22</v>
      </c>
      <c r="D664" s="294" t="s">
        <v>22</v>
      </c>
      <c r="E664" s="294" t="s">
        <v>22</v>
      </c>
      <c r="F664" s="294" t="s">
        <v>22</v>
      </c>
      <c r="G664" s="294" t="s">
        <v>22</v>
      </c>
      <c r="H664" s="294" t="s">
        <v>22</v>
      </c>
      <c r="I664" s="294" t="s">
        <v>22</v>
      </c>
      <c r="J664" s="294" t="s">
        <v>22</v>
      </c>
    </row>
    <row r="665">
      <c r="A665" s="294"/>
      <c r="B665" s="294" t="s">
        <v>22</v>
      </c>
      <c r="C665" s="294" t="s">
        <v>22</v>
      </c>
      <c r="D665" s="294" t="s">
        <v>22</v>
      </c>
      <c r="E665" s="294" t="s">
        <v>22</v>
      </c>
      <c r="F665" s="294" t="s">
        <v>22</v>
      </c>
      <c r="G665" s="294" t="s">
        <v>22</v>
      </c>
      <c r="H665" s="294" t="s">
        <v>22</v>
      </c>
      <c r="I665" s="294" t="s">
        <v>22</v>
      </c>
      <c r="J665" s="294" t="s">
        <v>22</v>
      </c>
    </row>
    <row r="666">
      <c r="A666" s="294"/>
      <c r="B666" s="294" t="s">
        <v>22</v>
      </c>
      <c r="C666" s="294" t="s">
        <v>22</v>
      </c>
      <c r="D666" s="294" t="s">
        <v>22</v>
      </c>
      <c r="E666" s="294" t="s">
        <v>22</v>
      </c>
      <c r="F666" s="294" t="s">
        <v>22</v>
      </c>
      <c r="G666" s="294" t="s">
        <v>22</v>
      </c>
      <c r="H666" s="294" t="s">
        <v>22</v>
      </c>
      <c r="I666" s="294" t="s">
        <v>22</v>
      </c>
      <c r="J666" s="294" t="s">
        <v>22</v>
      </c>
    </row>
    <row r="667">
      <c r="A667" s="294"/>
      <c r="B667" s="294" t="s">
        <v>22</v>
      </c>
      <c r="C667" s="294" t="s">
        <v>22</v>
      </c>
      <c r="D667" s="294" t="s">
        <v>22</v>
      </c>
      <c r="E667" s="294" t="s">
        <v>22</v>
      </c>
      <c r="F667" s="294" t="s">
        <v>22</v>
      </c>
      <c r="G667" s="294" t="s">
        <v>22</v>
      </c>
      <c r="H667" s="294" t="s">
        <v>22</v>
      </c>
      <c r="I667" s="294" t="s">
        <v>22</v>
      </c>
      <c r="J667" s="294" t="s">
        <v>22</v>
      </c>
    </row>
    <row r="668">
      <c r="A668" s="294"/>
      <c r="B668" s="294" t="s">
        <v>22</v>
      </c>
      <c r="C668" s="294" t="s">
        <v>22</v>
      </c>
      <c r="D668" s="294" t="s">
        <v>22</v>
      </c>
      <c r="E668" s="294" t="s">
        <v>22</v>
      </c>
      <c r="F668" s="294" t="s">
        <v>22</v>
      </c>
      <c r="G668" s="294" t="s">
        <v>22</v>
      </c>
      <c r="H668" s="294" t="s">
        <v>22</v>
      </c>
      <c r="I668" s="294" t="s">
        <v>22</v>
      </c>
      <c r="J668" s="294" t="s">
        <v>22</v>
      </c>
    </row>
    <row r="669">
      <c r="A669" s="294"/>
      <c r="B669" s="294" t="s">
        <v>22</v>
      </c>
      <c r="C669" s="294" t="s">
        <v>22</v>
      </c>
      <c r="D669" s="294" t="s">
        <v>22</v>
      </c>
      <c r="E669" s="294" t="s">
        <v>22</v>
      </c>
      <c r="F669" s="294" t="s">
        <v>22</v>
      </c>
      <c r="G669" s="294" t="s">
        <v>22</v>
      </c>
      <c r="H669" s="294" t="s">
        <v>22</v>
      </c>
      <c r="I669" s="294" t="s">
        <v>22</v>
      </c>
      <c r="J669" s="294" t="s">
        <v>22</v>
      </c>
    </row>
    <row r="670">
      <c r="A670" s="294"/>
      <c r="B670" s="294" t="s">
        <v>22</v>
      </c>
      <c r="C670" s="294" t="s">
        <v>22</v>
      </c>
      <c r="D670" s="294" t="s">
        <v>22</v>
      </c>
      <c r="E670" s="294" t="s">
        <v>22</v>
      </c>
      <c r="F670" s="294" t="s">
        <v>22</v>
      </c>
      <c r="G670" s="294" t="s">
        <v>22</v>
      </c>
      <c r="H670" s="294" t="s">
        <v>22</v>
      </c>
      <c r="I670" s="294" t="s">
        <v>22</v>
      </c>
      <c r="J670" s="294" t="s">
        <v>22</v>
      </c>
    </row>
    <row r="671">
      <c r="A671" s="294"/>
      <c r="B671" s="294" t="s">
        <v>22</v>
      </c>
      <c r="C671" s="294" t="s">
        <v>22</v>
      </c>
      <c r="D671" s="294" t="s">
        <v>22</v>
      </c>
      <c r="E671" s="294" t="s">
        <v>22</v>
      </c>
      <c r="F671" s="294" t="s">
        <v>22</v>
      </c>
      <c r="G671" s="294" t="s">
        <v>22</v>
      </c>
      <c r="H671" s="294" t="s">
        <v>22</v>
      </c>
      <c r="I671" s="294" t="s">
        <v>22</v>
      </c>
      <c r="J671" s="294" t="s">
        <v>22</v>
      </c>
    </row>
    <row r="672">
      <c r="A672" s="294"/>
      <c r="B672" s="294" t="s">
        <v>22</v>
      </c>
      <c r="C672" s="294" t="s">
        <v>22</v>
      </c>
      <c r="D672" s="294" t="s">
        <v>22</v>
      </c>
      <c r="E672" s="294" t="s">
        <v>22</v>
      </c>
      <c r="F672" s="294" t="s">
        <v>22</v>
      </c>
      <c r="G672" s="294" t="s">
        <v>22</v>
      </c>
      <c r="H672" s="294" t="s">
        <v>22</v>
      </c>
      <c r="I672" s="294" t="s">
        <v>22</v>
      </c>
      <c r="J672" s="294" t="s">
        <v>22</v>
      </c>
    </row>
    <row r="673">
      <c r="A673" s="294"/>
      <c r="B673" s="294" t="s">
        <v>22</v>
      </c>
      <c r="C673" s="294" t="s">
        <v>22</v>
      </c>
      <c r="D673" s="294" t="s">
        <v>22</v>
      </c>
      <c r="E673" s="294" t="s">
        <v>22</v>
      </c>
      <c r="F673" s="294" t="s">
        <v>22</v>
      </c>
      <c r="G673" s="294" t="s">
        <v>22</v>
      </c>
      <c r="H673" s="294" t="s">
        <v>22</v>
      </c>
      <c r="I673" s="294" t="s">
        <v>22</v>
      </c>
      <c r="J673" s="294" t="s">
        <v>22</v>
      </c>
    </row>
    <row r="674">
      <c r="A674" s="294"/>
      <c r="B674" s="294" t="s">
        <v>22</v>
      </c>
      <c r="C674" s="294" t="s">
        <v>22</v>
      </c>
      <c r="D674" s="294" t="s">
        <v>22</v>
      </c>
      <c r="E674" s="294" t="s">
        <v>22</v>
      </c>
      <c r="F674" s="294" t="s">
        <v>22</v>
      </c>
      <c r="G674" s="294" t="s">
        <v>22</v>
      </c>
      <c r="H674" s="294" t="s">
        <v>22</v>
      </c>
      <c r="I674" s="294" t="s">
        <v>22</v>
      </c>
      <c r="J674" s="294" t="s">
        <v>22</v>
      </c>
    </row>
    <row r="675">
      <c r="A675" s="294"/>
      <c r="B675" s="294" t="s">
        <v>22</v>
      </c>
      <c r="C675" s="294" t="s">
        <v>22</v>
      </c>
      <c r="D675" s="294" t="s">
        <v>22</v>
      </c>
      <c r="E675" s="294" t="s">
        <v>22</v>
      </c>
      <c r="F675" s="294" t="s">
        <v>22</v>
      </c>
      <c r="G675" s="294" t="s">
        <v>22</v>
      </c>
      <c r="H675" s="294" t="s">
        <v>22</v>
      </c>
      <c r="I675" s="294" t="s">
        <v>22</v>
      </c>
      <c r="J675" s="294" t="s">
        <v>22</v>
      </c>
    </row>
    <row r="676">
      <c r="A676" s="294"/>
      <c r="B676" s="294" t="s">
        <v>22</v>
      </c>
      <c r="C676" s="294" t="s">
        <v>22</v>
      </c>
      <c r="D676" s="294" t="s">
        <v>22</v>
      </c>
      <c r="E676" s="294" t="s">
        <v>22</v>
      </c>
      <c r="F676" s="294" t="s">
        <v>22</v>
      </c>
      <c r="G676" s="294" t="s">
        <v>22</v>
      </c>
      <c r="H676" s="294" t="s">
        <v>22</v>
      </c>
      <c r="I676" s="294" t="s">
        <v>22</v>
      </c>
      <c r="J676" s="294" t="s">
        <v>22</v>
      </c>
    </row>
    <row r="677">
      <c r="A677" s="294"/>
      <c r="B677" s="294" t="s">
        <v>22</v>
      </c>
      <c r="C677" s="294" t="s">
        <v>22</v>
      </c>
      <c r="D677" s="294" t="s">
        <v>22</v>
      </c>
      <c r="E677" s="294" t="s">
        <v>22</v>
      </c>
      <c r="F677" s="294" t="s">
        <v>22</v>
      </c>
      <c r="G677" s="294" t="s">
        <v>22</v>
      </c>
      <c r="H677" s="294" t="s">
        <v>22</v>
      </c>
      <c r="I677" s="294" t="s">
        <v>22</v>
      </c>
      <c r="J677" s="294" t="s">
        <v>22</v>
      </c>
    </row>
    <row r="678">
      <c r="A678" s="294"/>
      <c r="B678" s="294" t="s">
        <v>22</v>
      </c>
      <c r="C678" s="294" t="s">
        <v>22</v>
      </c>
      <c r="D678" s="294" t="s">
        <v>22</v>
      </c>
      <c r="E678" s="294" t="s">
        <v>22</v>
      </c>
      <c r="F678" s="294" t="s">
        <v>22</v>
      </c>
      <c r="G678" s="294" t="s">
        <v>22</v>
      </c>
      <c r="H678" s="294" t="s">
        <v>22</v>
      </c>
      <c r="I678" s="294" t="s">
        <v>22</v>
      </c>
      <c r="J678" s="294" t="s">
        <v>22</v>
      </c>
    </row>
    <row r="679">
      <c r="A679" s="294"/>
      <c r="B679" s="294" t="s">
        <v>22</v>
      </c>
      <c r="C679" s="294" t="s">
        <v>22</v>
      </c>
      <c r="D679" s="294" t="s">
        <v>22</v>
      </c>
      <c r="E679" s="294" t="s">
        <v>22</v>
      </c>
      <c r="F679" s="294" t="s">
        <v>22</v>
      </c>
      <c r="G679" s="294" t="s">
        <v>22</v>
      </c>
      <c r="H679" s="294" t="s">
        <v>22</v>
      </c>
      <c r="I679" s="294" t="s">
        <v>22</v>
      </c>
      <c r="J679" s="294" t="s">
        <v>22</v>
      </c>
    </row>
    <row r="680">
      <c r="A680" s="294"/>
      <c r="B680" s="294" t="s">
        <v>22</v>
      </c>
      <c r="C680" s="294" t="s">
        <v>22</v>
      </c>
      <c r="D680" s="294" t="s">
        <v>22</v>
      </c>
      <c r="E680" s="294" t="s">
        <v>22</v>
      </c>
      <c r="F680" s="294" t="s">
        <v>22</v>
      </c>
      <c r="G680" s="294" t="s">
        <v>22</v>
      </c>
      <c r="H680" s="294" t="s">
        <v>22</v>
      </c>
      <c r="I680" s="294" t="s">
        <v>22</v>
      </c>
      <c r="J680" s="294" t="s">
        <v>22</v>
      </c>
    </row>
    <row r="681">
      <c r="A681" s="294"/>
      <c r="B681" s="294" t="s">
        <v>22</v>
      </c>
      <c r="C681" s="294" t="s">
        <v>22</v>
      </c>
      <c r="D681" s="294" t="s">
        <v>22</v>
      </c>
      <c r="E681" s="294" t="s">
        <v>22</v>
      </c>
      <c r="F681" s="294" t="s">
        <v>22</v>
      </c>
      <c r="G681" s="294" t="s">
        <v>22</v>
      </c>
      <c r="H681" s="294" t="s">
        <v>22</v>
      </c>
      <c r="I681" s="294" t="s">
        <v>22</v>
      </c>
      <c r="J681" s="294" t="s">
        <v>22</v>
      </c>
    </row>
    <row r="682">
      <c r="A682" s="294"/>
      <c r="B682" s="294" t="s">
        <v>22</v>
      </c>
      <c r="C682" s="294" t="s">
        <v>22</v>
      </c>
      <c r="D682" s="294" t="s">
        <v>22</v>
      </c>
      <c r="E682" s="294" t="s">
        <v>22</v>
      </c>
      <c r="F682" s="294" t="s">
        <v>22</v>
      </c>
      <c r="G682" s="294" t="s">
        <v>22</v>
      </c>
      <c r="H682" s="294" t="s">
        <v>22</v>
      </c>
      <c r="I682" s="294" t="s">
        <v>22</v>
      </c>
      <c r="J682" s="294" t="s">
        <v>22</v>
      </c>
    </row>
    <row r="683">
      <c r="A683" s="294"/>
      <c r="B683" s="294" t="s">
        <v>22</v>
      </c>
      <c r="C683" s="294" t="s">
        <v>22</v>
      </c>
      <c r="D683" s="294" t="s">
        <v>22</v>
      </c>
      <c r="E683" s="294" t="s">
        <v>22</v>
      </c>
      <c r="F683" s="294" t="s">
        <v>22</v>
      </c>
      <c r="G683" s="294" t="s">
        <v>22</v>
      </c>
      <c r="H683" s="294" t="s">
        <v>22</v>
      </c>
      <c r="I683" s="294" t="s">
        <v>22</v>
      </c>
      <c r="J683" s="294" t="s">
        <v>22</v>
      </c>
    </row>
    <row r="684">
      <c r="A684" s="294"/>
      <c r="B684" s="294" t="s">
        <v>22</v>
      </c>
      <c r="C684" s="294" t="s">
        <v>22</v>
      </c>
      <c r="D684" s="294" t="s">
        <v>22</v>
      </c>
      <c r="E684" s="294" t="s">
        <v>22</v>
      </c>
      <c r="F684" s="294" t="s">
        <v>22</v>
      </c>
      <c r="G684" s="294" t="s">
        <v>22</v>
      </c>
      <c r="H684" s="294" t="s">
        <v>22</v>
      </c>
      <c r="I684" s="294" t="s">
        <v>22</v>
      </c>
      <c r="J684" s="294" t="s">
        <v>22</v>
      </c>
    </row>
    <row r="685">
      <c r="A685" s="294"/>
      <c r="B685" s="294" t="s">
        <v>22</v>
      </c>
      <c r="C685" s="294" t="s">
        <v>22</v>
      </c>
      <c r="D685" s="294" t="s">
        <v>22</v>
      </c>
      <c r="E685" s="294" t="s">
        <v>22</v>
      </c>
      <c r="F685" s="294" t="s">
        <v>22</v>
      </c>
      <c r="G685" s="294" t="s">
        <v>22</v>
      </c>
      <c r="H685" s="294" t="s">
        <v>22</v>
      </c>
      <c r="I685" s="294" t="s">
        <v>22</v>
      </c>
      <c r="J685" s="294" t="s">
        <v>22</v>
      </c>
    </row>
    <row r="686">
      <c r="A686" s="294"/>
      <c r="B686" s="294" t="s">
        <v>22</v>
      </c>
      <c r="C686" s="294" t="s">
        <v>22</v>
      </c>
      <c r="D686" s="294" t="s">
        <v>22</v>
      </c>
      <c r="E686" s="294" t="s">
        <v>22</v>
      </c>
      <c r="F686" s="294" t="s">
        <v>22</v>
      </c>
      <c r="G686" s="294" t="s">
        <v>22</v>
      </c>
      <c r="H686" s="294" t="s">
        <v>22</v>
      </c>
      <c r="I686" s="294" t="s">
        <v>22</v>
      </c>
      <c r="J686" s="294" t="s">
        <v>22</v>
      </c>
    </row>
    <row r="687">
      <c r="A687" s="294"/>
      <c r="B687" s="294" t="s">
        <v>22</v>
      </c>
      <c r="C687" s="294" t="s">
        <v>22</v>
      </c>
      <c r="D687" s="294" t="s">
        <v>22</v>
      </c>
      <c r="E687" s="294" t="s">
        <v>22</v>
      </c>
      <c r="F687" s="294" t="s">
        <v>22</v>
      </c>
      <c r="G687" s="294" t="s">
        <v>22</v>
      </c>
      <c r="H687" s="294" t="s">
        <v>22</v>
      </c>
      <c r="I687" s="294" t="s">
        <v>22</v>
      </c>
      <c r="J687" s="294" t="s">
        <v>22</v>
      </c>
    </row>
    <row r="688">
      <c r="A688" s="294"/>
      <c r="B688" s="294" t="s">
        <v>22</v>
      </c>
      <c r="C688" s="294" t="s">
        <v>22</v>
      </c>
      <c r="D688" s="294" t="s">
        <v>22</v>
      </c>
      <c r="E688" s="294" t="s">
        <v>22</v>
      </c>
      <c r="F688" s="294" t="s">
        <v>22</v>
      </c>
      <c r="G688" s="294" t="s">
        <v>22</v>
      </c>
      <c r="H688" s="294" t="s">
        <v>22</v>
      </c>
      <c r="I688" s="294" t="s">
        <v>22</v>
      </c>
      <c r="J688" s="294" t="s">
        <v>22</v>
      </c>
    </row>
    <row r="689">
      <c r="A689" s="294"/>
      <c r="B689" s="294" t="s">
        <v>22</v>
      </c>
      <c r="C689" s="294" t="s">
        <v>22</v>
      </c>
      <c r="D689" s="294" t="s">
        <v>22</v>
      </c>
      <c r="E689" s="294" t="s">
        <v>22</v>
      </c>
      <c r="F689" s="294" t="s">
        <v>22</v>
      </c>
      <c r="G689" s="294" t="s">
        <v>22</v>
      </c>
      <c r="H689" s="294" t="s">
        <v>22</v>
      </c>
      <c r="I689" s="294" t="s">
        <v>22</v>
      </c>
      <c r="J689" s="294" t="s">
        <v>22</v>
      </c>
    </row>
    <row r="690">
      <c r="A690" s="294"/>
      <c r="B690" s="294" t="s">
        <v>22</v>
      </c>
      <c r="C690" s="294" t="s">
        <v>22</v>
      </c>
      <c r="D690" s="294" t="s">
        <v>22</v>
      </c>
      <c r="E690" s="294" t="s">
        <v>22</v>
      </c>
      <c r="F690" s="294" t="s">
        <v>22</v>
      </c>
      <c r="G690" s="294" t="s">
        <v>22</v>
      </c>
      <c r="H690" s="294" t="s">
        <v>22</v>
      </c>
      <c r="I690" s="294" t="s">
        <v>22</v>
      </c>
      <c r="J690" s="294" t="s">
        <v>22</v>
      </c>
    </row>
    <row r="691">
      <c r="A691" s="294"/>
      <c r="B691" s="294" t="s">
        <v>22</v>
      </c>
      <c r="C691" s="294" t="s">
        <v>22</v>
      </c>
      <c r="D691" s="294" t="s">
        <v>22</v>
      </c>
      <c r="E691" s="294" t="s">
        <v>22</v>
      </c>
      <c r="F691" s="294" t="s">
        <v>22</v>
      </c>
      <c r="G691" s="294" t="s">
        <v>22</v>
      </c>
      <c r="H691" s="294" t="s">
        <v>22</v>
      </c>
      <c r="I691" s="294" t="s">
        <v>22</v>
      </c>
      <c r="J691" s="294" t="s">
        <v>22</v>
      </c>
    </row>
    <row r="692">
      <c r="A692" s="294"/>
      <c r="B692" s="294" t="s">
        <v>22</v>
      </c>
      <c r="C692" s="294" t="s">
        <v>22</v>
      </c>
      <c r="D692" s="294" t="s">
        <v>22</v>
      </c>
      <c r="E692" s="294" t="s">
        <v>22</v>
      </c>
      <c r="F692" s="294" t="s">
        <v>22</v>
      </c>
      <c r="G692" s="294" t="s">
        <v>22</v>
      </c>
      <c r="H692" s="294" t="s">
        <v>22</v>
      </c>
      <c r="I692" s="294" t="s">
        <v>22</v>
      </c>
      <c r="J692" s="294" t="s">
        <v>22</v>
      </c>
    </row>
    <row r="693">
      <c r="A693" s="294"/>
      <c r="B693" s="294" t="s">
        <v>22</v>
      </c>
      <c r="C693" s="294" t="s">
        <v>22</v>
      </c>
      <c r="D693" s="294" t="s">
        <v>22</v>
      </c>
      <c r="E693" s="294" t="s">
        <v>22</v>
      </c>
      <c r="F693" s="294" t="s">
        <v>22</v>
      </c>
      <c r="G693" s="294" t="s">
        <v>22</v>
      </c>
      <c r="H693" s="294" t="s">
        <v>22</v>
      </c>
      <c r="I693" s="294" t="s">
        <v>22</v>
      </c>
      <c r="J693" s="294" t="s">
        <v>22</v>
      </c>
    </row>
    <row r="694">
      <c r="A694" s="294"/>
      <c r="B694" s="294" t="s">
        <v>22</v>
      </c>
      <c r="C694" s="294" t="s">
        <v>22</v>
      </c>
      <c r="D694" s="294" t="s">
        <v>22</v>
      </c>
      <c r="E694" s="294" t="s">
        <v>22</v>
      </c>
      <c r="F694" s="294" t="s">
        <v>22</v>
      </c>
      <c r="G694" s="294" t="s">
        <v>22</v>
      </c>
      <c r="H694" s="294" t="s">
        <v>22</v>
      </c>
      <c r="I694" s="294" t="s">
        <v>22</v>
      </c>
      <c r="J694" s="294" t="s">
        <v>22</v>
      </c>
    </row>
    <row r="695">
      <c r="A695" s="294"/>
      <c r="B695" s="294" t="s">
        <v>22</v>
      </c>
      <c r="C695" s="294" t="s">
        <v>22</v>
      </c>
      <c r="D695" s="294" t="s">
        <v>22</v>
      </c>
      <c r="E695" s="294" t="s">
        <v>22</v>
      </c>
      <c r="F695" s="294" t="s">
        <v>22</v>
      </c>
      <c r="G695" s="294" t="s">
        <v>22</v>
      </c>
      <c r="H695" s="294" t="s">
        <v>22</v>
      </c>
      <c r="I695" s="294" t="s">
        <v>22</v>
      </c>
      <c r="J695" s="294" t="s">
        <v>22</v>
      </c>
    </row>
    <row r="696">
      <c r="A696" s="294"/>
      <c r="B696" s="294" t="s">
        <v>22</v>
      </c>
      <c r="C696" s="294" t="s">
        <v>22</v>
      </c>
      <c r="D696" s="294" t="s">
        <v>22</v>
      </c>
      <c r="E696" s="294" t="s">
        <v>22</v>
      </c>
      <c r="F696" s="294" t="s">
        <v>22</v>
      </c>
      <c r="G696" s="294" t="s">
        <v>22</v>
      </c>
      <c r="H696" s="294" t="s">
        <v>22</v>
      </c>
      <c r="I696" s="294" t="s">
        <v>22</v>
      </c>
      <c r="J696" s="294" t="s">
        <v>22</v>
      </c>
    </row>
    <row r="697">
      <c r="A697" s="294"/>
      <c r="B697" s="294" t="s">
        <v>22</v>
      </c>
      <c r="C697" s="294" t="s">
        <v>22</v>
      </c>
      <c r="D697" s="294" t="s">
        <v>22</v>
      </c>
      <c r="E697" s="294" t="s">
        <v>22</v>
      </c>
      <c r="F697" s="294" t="s">
        <v>22</v>
      </c>
      <c r="G697" s="294" t="s">
        <v>22</v>
      </c>
      <c r="H697" s="294" t="s">
        <v>22</v>
      </c>
      <c r="I697" s="294" t="s">
        <v>22</v>
      </c>
      <c r="J697" s="294" t="s">
        <v>22</v>
      </c>
    </row>
    <row r="698">
      <c r="A698" s="294"/>
      <c r="B698" s="294" t="s">
        <v>22</v>
      </c>
      <c r="C698" s="294" t="s">
        <v>22</v>
      </c>
      <c r="D698" s="294" t="s">
        <v>22</v>
      </c>
      <c r="E698" s="294" t="s">
        <v>22</v>
      </c>
      <c r="F698" s="294" t="s">
        <v>22</v>
      </c>
      <c r="G698" s="294" t="s">
        <v>22</v>
      </c>
      <c r="H698" s="294" t="s">
        <v>22</v>
      </c>
      <c r="I698" s="294" t="s">
        <v>22</v>
      </c>
      <c r="J698" s="294" t="s">
        <v>22</v>
      </c>
    </row>
    <row r="699">
      <c r="A699" s="294"/>
      <c r="B699" s="294" t="s">
        <v>22</v>
      </c>
      <c r="C699" s="294" t="s">
        <v>22</v>
      </c>
      <c r="D699" s="294" t="s">
        <v>22</v>
      </c>
      <c r="E699" s="294" t="s">
        <v>22</v>
      </c>
      <c r="F699" s="294" t="s">
        <v>22</v>
      </c>
      <c r="G699" s="294" t="s">
        <v>22</v>
      </c>
      <c r="H699" s="294" t="s">
        <v>22</v>
      </c>
      <c r="I699" s="294" t="s">
        <v>22</v>
      </c>
      <c r="J699" s="294" t="s">
        <v>22</v>
      </c>
    </row>
    <row r="700">
      <c r="A700" s="294"/>
      <c r="B700" s="294" t="s">
        <v>22</v>
      </c>
      <c r="C700" s="294" t="s">
        <v>22</v>
      </c>
      <c r="D700" s="294" t="s">
        <v>22</v>
      </c>
      <c r="E700" s="294" t="s">
        <v>22</v>
      </c>
      <c r="F700" s="294" t="s">
        <v>22</v>
      </c>
      <c r="G700" s="294" t="s">
        <v>22</v>
      </c>
      <c r="H700" s="294" t="s">
        <v>22</v>
      </c>
      <c r="I700" s="294" t="s">
        <v>22</v>
      </c>
      <c r="J700" s="294" t="s">
        <v>22</v>
      </c>
    </row>
    <row r="701">
      <c r="A701" s="294"/>
      <c r="B701" s="294" t="s">
        <v>22</v>
      </c>
      <c r="C701" s="294" t="s">
        <v>22</v>
      </c>
      <c r="D701" s="294" t="s">
        <v>22</v>
      </c>
      <c r="E701" s="294" t="s">
        <v>22</v>
      </c>
      <c r="F701" s="294" t="s">
        <v>22</v>
      </c>
      <c r="G701" s="294" t="s">
        <v>22</v>
      </c>
      <c r="H701" s="294" t="s">
        <v>22</v>
      </c>
      <c r="I701" s="294" t="s">
        <v>22</v>
      </c>
      <c r="J701" s="294" t="s">
        <v>22</v>
      </c>
    </row>
    <row r="702">
      <c r="A702" s="294"/>
      <c r="B702" s="294" t="s">
        <v>22</v>
      </c>
      <c r="C702" s="294" t="s">
        <v>22</v>
      </c>
      <c r="D702" s="294" t="s">
        <v>22</v>
      </c>
      <c r="E702" s="294" t="s">
        <v>22</v>
      </c>
      <c r="F702" s="294" t="s">
        <v>22</v>
      </c>
      <c r="G702" s="294" t="s">
        <v>22</v>
      </c>
      <c r="H702" s="294" t="s">
        <v>22</v>
      </c>
      <c r="I702" s="294" t="s">
        <v>22</v>
      </c>
      <c r="J702" s="294" t="s">
        <v>22</v>
      </c>
    </row>
    <row r="703">
      <c r="A703" s="294"/>
      <c r="B703" s="294" t="s">
        <v>22</v>
      </c>
      <c r="C703" s="294" t="s">
        <v>22</v>
      </c>
      <c r="D703" s="294" t="s">
        <v>22</v>
      </c>
      <c r="E703" s="294" t="s">
        <v>22</v>
      </c>
      <c r="F703" s="294" t="s">
        <v>22</v>
      </c>
      <c r="G703" s="294" t="s">
        <v>22</v>
      </c>
      <c r="H703" s="294" t="s">
        <v>22</v>
      </c>
      <c r="I703" s="294" t="s">
        <v>22</v>
      </c>
      <c r="J703" s="294" t="s">
        <v>22</v>
      </c>
    </row>
    <row r="704">
      <c r="A704" s="294"/>
      <c r="B704" s="294" t="s">
        <v>22</v>
      </c>
      <c r="C704" s="294" t="s">
        <v>22</v>
      </c>
      <c r="D704" s="294" t="s">
        <v>22</v>
      </c>
      <c r="E704" s="294" t="s">
        <v>22</v>
      </c>
      <c r="F704" s="294" t="s">
        <v>22</v>
      </c>
      <c r="G704" s="294" t="s">
        <v>22</v>
      </c>
      <c r="H704" s="294" t="s">
        <v>22</v>
      </c>
      <c r="I704" s="294" t="s">
        <v>22</v>
      </c>
      <c r="J704" s="294" t="s">
        <v>22</v>
      </c>
    </row>
    <row r="705">
      <c r="A705" s="294"/>
      <c r="B705" s="294" t="s">
        <v>22</v>
      </c>
      <c r="C705" s="294" t="s">
        <v>22</v>
      </c>
      <c r="D705" s="294" t="s">
        <v>22</v>
      </c>
      <c r="E705" s="294" t="s">
        <v>22</v>
      </c>
      <c r="F705" s="294" t="s">
        <v>22</v>
      </c>
      <c r="G705" s="294" t="s">
        <v>22</v>
      </c>
      <c r="H705" s="294" t="s">
        <v>22</v>
      </c>
      <c r="I705" s="294" t="s">
        <v>22</v>
      </c>
      <c r="J705" s="294" t="s">
        <v>22</v>
      </c>
    </row>
    <row r="706">
      <c r="A706" s="294"/>
      <c r="B706" s="294" t="s">
        <v>22</v>
      </c>
      <c r="C706" s="294" t="s">
        <v>22</v>
      </c>
      <c r="D706" s="294" t="s">
        <v>22</v>
      </c>
      <c r="E706" s="294" t="s">
        <v>22</v>
      </c>
      <c r="F706" s="294" t="s">
        <v>22</v>
      </c>
      <c r="G706" s="294" t="s">
        <v>22</v>
      </c>
      <c r="H706" s="294" t="s">
        <v>22</v>
      </c>
      <c r="I706" s="294" t="s">
        <v>22</v>
      </c>
      <c r="J706" s="294" t="s">
        <v>22</v>
      </c>
    </row>
    <row r="707">
      <c r="A707" s="294"/>
      <c r="B707" s="294" t="s">
        <v>22</v>
      </c>
      <c r="C707" s="294" t="s">
        <v>22</v>
      </c>
      <c r="D707" s="294" t="s">
        <v>22</v>
      </c>
      <c r="E707" s="294" t="s">
        <v>22</v>
      </c>
      <c r="F707" s="294" t="s">
        <v>22</v>
      </c>
      <c r="G707" s="294" t="s">
        <v>22</v>
      </c>
      <c r="H707" s="294" t="s">
        <v>22</v>
      </c>
      <c r="I707" s="294" t="s">
        <v>22</v>
      </c>
      <c r="J707" s="294" t="s">
        <v>22</v>
      </c>
    </row>
    <row r="708">
      <c r="A708" s="294"/>
      <c r="B708" s="294" t="s">
        <v>22</v>
      </c>
      <c r="C708" s="294" t="s">
        <v>22</v>
      </c>
      <c r="D708" s="294" t="s">
        <v>22</v>
      </c>
      <c r="E708" s="294" t="s">
        <v>22</v>
      </c>
      <c r="F708" s="294" t="s">
        <v>22</v>
      </c>
      <c r="G708" s="294" t="s">
        <v>22</v>
      </c>
      <c r="H708" s="294" t="s">
        <v>22</v>
      </c>
      <c r="I708" s="294" t="s">
        <v>22</v>
      </c>
      <c r="J708" s="294" t="s">
        <v>22</v>
      </c>
    </row>
    <row r="709">
      <c r="A709" s="294"/>
      <c r="B709" s="294" t="s">
        <v>22</v>
      </c>
      <c r="C709" s="294" t="s">
        <v>22</v>
      </c>
      <c r="D709" s="294" t="s">
        <v>22</v>
      </c>
      <c r="E709" s="294" t="s">
        <v>22</v>
      </c>
      <c r="F709" s="294" t="s">
        <v>22</v>
      </c>
      <c r="G709" s="294" t="s">
        <v>22</v>
      </c>
      <c r="H709" s="294" t="s">
        <v>22</v>
      </c>
      <c r="I709" s="294" t="s">
        <v>22</v>
      </c>
      <c r="J709" s="294" t="s">
        <v>22</v>
      </c>
    </row>
    <row r="710">
      <c r="A710" s="294"/>
      <c r="B710" s="294" t="s">
        <v>22</v>
      </c>
      <c r="C710" s="294" t="s">
        <v>22</v>
      </c>
      <c r="D710" s="294" t="s">
        <v>22</v>
      </c>
      <c r="E710" s="294" t="s">
        <v>22</v>
      </c>
      <c r="F710" s="294" t="s">
        <v>22</v>
      </c>
      <c r="G710" s="294" t="s">
        <v>22</v>
      </c>
      <c r="H710" s="294" t="s">
        <v>22</v>
      </c>
      <c r="I710" s="294" t="s">
        <v>22</v>
      </c>
      <c r="J710" s="294" t="s">
        <v>22</v>
      </c>
    </row>
    <row r="711">
      <c r="A711" s="294"/>
      <c r="B711" s="294" t="s">
        <v>22</v>
      </c>
      <c r="C711" s="294" t="s">
        <v>22</v>
      </c>
      <c r="D711" s="294" t="s">
        <v>22</v>
      </c>
      <c r="E711" s="294" t="s">
        <v>22</v>
      </c>
      <c r="F711" s="294" t="s">
        <v>22</v>
      </c>
      <c r="G711" s="294" t="s">
        <v>22</v>
      </c>
      <c r="H711" s="294" t="s">
        <v>22</v>
      </c>
      <c r="I711" s="294" t="s">
        <v>22</v>
      </c>
      <c r="J711" s="294" t="s">
        <v>22</v>
      </c>
    </row>
    <row r="712">
      <c r="A712" s="294"/>
      <c r="B712" s="294" t="s">
        <v>22</v>
      </c>
      <c r="C712" s="294" t="s">
        <v>22</v>
      </c>
      <c r="D712" s="294" t="s">
        <v>22</v>
      </c>
      <c r="E712" s="294" t="s">
        <v>22</v>
      </c>
      <c r="F712" s="294" t="s">
        <v>22</v>
      </c>
      <c r="G712" s="294" t="s">
        <v>22</v>
      </c>
      <c r="H712" s="294" t="s">
        <v>22</v>
      </c>
      <c r="I712" s="294" t="s">
        <v>22</v>
      </c>
      <c r="J712" s="294" t="s">
        <v>22</v>
      </c>
    </row>
    <row r="713">
      <c r="A713" s="294"/>
      <c r="B713" s="294" t="s">
        <v>22</v>
      </c>
      <c r="C713" s="294" t="s">
        <v>22</v>
      </c>
      <c r="D713" s="294" t="s">
        <v>22</v>
      </c>
      <c r="E713" s="294" t="s">
        <v>22</v>
      </c>
      <c r="F713" s="294" t="s">
        <v>22</v>
      </c>
      <c r="G713" s="294" t="s">
        <v>22</v>
      </c>
      <c r="H713" s="294" t="s">
        <v>22</v>
      </c>
      <c r="I713" s="294" t="s">
        <v>22</v>
      </c>
      <c r="J713" s="294" t="s">
        <v>22</v>
      </c>
    </row>
    <row r="714">
      <c r="A714" s="294"/>
      <c r="B714" s="294" t="s">
        <v>22</v>
      </c>
      <c r="C714" s="294" t="s">
        <v>22</v>
      </c>
      <c r="D714" s="294" t="s">
        <v>22</v>
      </c>
      <c r="E714" s="294" t="s">
        <v>22</v>
      </c>
      <c r="F714" s="294" t="s">
        <v>22</v>
      </c>
      <c r="G714" s="294" t="s">
        <v>22</v>
      </c>
      <c r="H714" s="294" t="s">
        <v>22</v>
      </c>
      <c r="I714" s="294" t="s">
        <v>22</v>
      </c>
      <c r="J714" s="294" t="s">
        <v>22</v>
      </c>
    </row>
    <row r="715">
      <c r="A715" s="294"/>
      <c r="B715" s="294" t="s">
        <v>22</v>
      </c>
      <c r="C715" s="294" t="s">
        <v>22</v>
      </c>
      <c r="D715" s="294" t="s">
        <v>22</v>
      </c>
      <c r="E715" s="294" t="s">
        <v>22</v>
      </c>
      <c r="F715" s="294" t="s">
        <v>22</v>
      </c>
      <c r="G715" s="294" t="s">
        <v>22</v>
      </c>
      <c r="H715" s="294" t="s">
        <v>22</v>
      </c>
      <c r="I715" s="294" t="s">
        <v>22</v>
      </c>
      <c r="J715" s="294" t="s">
        <v>22</v>
      </c>
    </row>
    <row r="716">
      <c r="A716" s="294"/>
      <c r="B716" s="294" t="s">
        <v>22</v>
      </c>
      <c r="C716" s="294" t="s">
        <v>22</v>
      </c>
      <c r="D716" s="294" t="s">
        <v>22</v>
      </c>
      <c r="E716" s="294" t="s">
        <v>22</v>
      </c>
      <c r="F716" s="294" t="s">
        <v>22</v>
      </c>
      <c r="G716" s="294" t="s">
        <v>22</v>
      </c>
      <c r="H716" s="294" t="s">
        <v>22</v>
      </c>
      <c r="I716" s="294" t="s">
        <v>22</v>
      </c>
      <c r="J716" s="294" t="s">
        <v>22</v>
      </c>
    </row>
    <row r="717">
      <c r="A717" s="294"/>
      <c r="B717" s="294" t="s">
        <v>22</v>
      </c>
      <c r="C717" s="294" t="s">
        <v>22</v>
      </c>
      <c r="D717" s="294" t="s">
        <v>22</v>
      </c>
      <c r="E717" s="294" t="s">
        <v>22</v>
      </c>
      <c r="F717" s="294" t="s">
        <v>22</v>
      </c>
      <c r="G717" s="294" t="s">
        <v>22</v>
      </c>
      <c r="H717" s="294" t="s">
        <v>22</v>
      </c>
      <c r="I717" s="294" t="s">
        <v>22</v>
      </c>
      <c r="J717" s="294" t="s">
        <v>22</v>
      </c>
    </row>
    <row r="718">
      <c r="A718" s="294"/>
      <c r="B718" s="294" t="s">
        <v>22</v>
      </c>
      <c r="C718" s="294" t="s">
        <v>22</v>
      </c>
      <c r="D718" s="294" t="s">
        <v>22</v>
      </c>
      <c r="E718" s="294" t="s">
        <v>22</v>
      </c>
      <c r="F718" s="294" t="s">
        <v>22</v>
      </c>
      <c r="G718" s="294" t="s">
        <v>22</v>
      </c>
      <c r="H718" s="294" t="s">
        <v>22</v>
      </c>
      <c r="I718" s="294" t="s">
        <v>22</v>
      </c>
      <c r="J718" s="294" t="s">
        <v>22</v>
      </c>
    </row>
    <row r="719">
      <c r="A719" s="294"/>
      <c r="B719" s="294" t="s">
        <v>22</v>
      </c>
      <c r="C719" s="294" t="s">
        <v>22</v>
      </c>
      <c r="D719" s="294" t="s">
        <v>22</v>
      </c>
      <c r="E719" s="294" t="s">
        <v>22</v>
      </c>
      <c r="F719" s="294" t="s">
        <v>22</v>
      </c>
      <c r="G719" s="294" t="s">
        <v>22</v>
      </c>
      <c r="H719" s="294" t="s">
        <v>22</v>
      </c>
      <c r="I719" s="294" t="s">
        <v>22</v>
      </c>
      <c r="J719" s="294" t="s">
        <v>22</v>
      </c>
    </row>
    <row r="720">
      <c r="A720" s="294"/>
      <c r="B720" s="294" t="s">
        <v>22</v>
      </c>
      <c r="C720" s="294" t="s">
        <v>22</v>
      </c>
      <c r="D720" s="294" t="s">
        <v>22</v>
      </c>
      <c r="E720" s="294" t="s">
        <v>22</v>
      </c>
      <c r="F720" s="294" t="s">
        <v>22</v>
      </c>
      <c r="G720" s="294" t="s">
        <v>22</v>
      </c>
      <c r="H720" s="294" t="s">
        <v>22</v>
      </c>
      <c r="I720" s="294" t="s">
        <v>22</v>
      </c>
      <c r="J720" s="294" t="s">
        <v>22</v>
      </c>
    </row>
    <row r="721">
      <c r="A721" s="294"/>
      <c r="B721" s="294" t="s">
        <v>22</v>
      </c>
      <c r="C721" s="294" t="s">
        <v>22</v>
      </c>
      <c r="D721" s="294" t="s">
        <v>22</v>
      </c>
      <c r="E721" s="294" t="s">
        <v>22</v>
      </c>
      <c r="F721" s="294" t="s">
        <v>22</v>
      </c>
      <c r="G721" s="294" t="s">
        <v>22</v>
      </c>
      <c r="H721" s="294" t="s">
        <v>22</v>
      </c>
      <c r="I721" s="294" t="s">
        <v>22</v>
      </c>
      <c r="J721" s="294" t="s">
        <v>22</v>
      </c>
    </row>
    <row r="722">
      <c r="A722" s="294"/>
      <c r="B722" s="294" t="s">
        <v>22</v>
      </c>
      <c r="C722" s="294" t="s">
        <v>22</v>
      </c>
      <c r="D722" s="294" t="s">
        <v>22</v>
      </c>
      <c r="E722" s="294" t="s">
        <v>22</v>
      </c>
      <c r="F722" s="294" t="s">
        <v>22</v>
      </c>
      <c r="G722" s="294" t="s">
        <v>22</v>
      </c>
      <c r="H722" s="294" t="s">
        <v>22</v>
      </c>
      <c r="I722" s="294" t="s">
        <v>22</v>
      </c>
      <c r="J722" s="294" t="s">
        <v>22</v>
      </c>
    </row>
    <row r="723">
      <c r="A723" s="294"/>
      <c r="B723" s="294" t="s">
        <v>22</v>
      </c>
      <c r="C723" s="294" t="s">
        <v>22</v>
      </c>
      <c r="D723" s="294" t="s">
        <v>22</v>
      </c>
      <c r="E723" s="294" t="s">
        <v>22</v>
      </c>
      <c r="F723" s="294" t="s">
        <v>22</v>
      </c>
      <c r="G723" s="294" t="s">
        <v>22</v>
      </c>
      <c r="H723" s="294" t="s">
        <v>22</v>
      </c>
      <c r="I723" s="294" t="s">
        <v>22</v>
      </c>
      <c r="J723" s="294" t="s">
        <v>22</v>
      </c>
    </row>
    <row r="724">
      <c r="A724" s="294"/>
      <c r="B724" s="294" t="s">
        <v>22</v>
      </c>
      <c r="C724" s="294" t="s">
        <v>22</v>
      </c>
      <c r="D724" s="294" t="s">
        <v>22</v>
      </c>
      <c r="E724" s="294" t="s">
        <v>22</v>
      </c>
      <c r="F724" s="294" t="s">
        <v>22</v>
      </c>
      <c r="G724" s="294" t="s">
        <v>22</v>
      </c>
      <c r="H724" s="294" t="s">
        <v>22</v>
      </c>
      <c r="I724" s="294" t="s">
        <v>22</v>
      </c>
      <c r="J724" s="294" t="s">
        <v>22</v>
      </c>
    </row>
    <row r="725">
      <c r="A725" s="294"/>
      <c r="B725" s="294" t="s">
        <v>22</v>
      </c>
      <c r="C725" s="294" t="s">
        <v>22</v>
      </c>
      <c r="D725" s="294" t="s">
        <v>22</v>
      </c>
      <c r="E725" s="294" t="s">
        <v>22</v>
      </c>
      <c r="F725" s="294" t="s">
        <v>22</v>
      </c>
      <c r="G725" s="294" t="s">
        <v>22</v>
      </c>
      <c r="H725" s="294" t="s">
        <v>22</v>
      </c>
      <c r="I725" s="294" t="s">
        <v>22</v>
      </c>
      <c r="J725" s="294" t="s">
        <v>22</v>
      </c>
    </row>
    <row r="726">
      <c r="A726" s="294"/>
      <c r="B726" s="294" t="s">
        <v>22</v>
      </c>
      <c r="C726" s="294" t="s">
        <v>22</v>
      </c>
      <c r="D726" s="294" t="s">
        <v>22</v>
      </c>
      <c r="E726" s="294" t="s">
        <v>22</v>
      </c>
      <c r="F726" s="294" t="s">
        <v>22</v>
      </c>
      <c r="G726" s="294" t="s">
        <v>22</v>
      </c>
      <c r="H726" s="294" t="s">
        <v>22</v>
      </c>
      <c r="I726" s="294" t="s">
        <v>22</v>
      </c>
      <c r="J726" s="294" t="s">
        <v>22</v>
      </c>
    </row>
    <row r="727">
      <c r="A727" s="294"/>
      <c r="B727" s="294" t="s">
        <v>22</v>
      </c>
      <c r="C727" s="294" t="s">
        <v>22</v>
      </c>
      <c r="D727" s="294" t="s">
        <v>22</v>
      </c>
      <c r="E727" s="294" t="s">
        <v>22</v>
      </c>
      <c r="F727" s="294" t="s">
        <v>22</v>
      </c>
      <c r="G727" s="294" t="s">
        <v>22</v>
      </c>
      <c r="H727" s="294" t="s">
        <v>22</v>
      </c>
      <c r="I727" s="294" t="s">
        <v>22</v>
      </c>
      <c r="J727" s="294" t="s">
        <v>22</v>
      </c>
    </row>
    <row r="728">
      <c r="A728" s="294"/>
      <c r="B728" s="294" t="s">
        <v>22</v>
      </c>
      <c r="C728" s="294" t="s">
        <v>22</v>
      </c>
      <c r="D728" s="294" t="s">
        <v>22</v>
      </c>
      <c r="E728" s="294" t="s">
        <v>22</v>
      </c>
      <c r="F728" s="294" t="s">
        <v>22</v>
      </c>
      <c r="G728" s="294" t="s">
        <v>22</v>
      </c>
      <c r="H728" s="294" t="s">
        <v>22</v>
      </c>
      <c r="I728" s="294" t="s">
        <v>22</v>
      </c>
      <c r="J728" s="294" t="s">
        <v>22</v>
      </c>
    </row>
    <row r="729">
      <c r="A729" s="294"/>
      <c r="B729" s="294" t="s">
        <v>22</v>
      </c>
      <c r="C729" s="294" t="s">
        <v>22</v>
      </c>
      <c r="D729" s="294" t="s">
        <v>22</v>
      </c>
      <c r="E729" s="294" t="s">
        <v>22</v>
      </c>
      <c r="F729" s="294" t="s">
        <v>22</v>
      </c>
      <c r="G729" s="294" t="s">
        <v>22</v>
      </c>
      <c r="H729" s="294" t="s">
        <v>22</v>
      </c>
      <c r="I729" s="294" t="s">
        <v>22</v>
      </c>
      <c r="J729" s="294" t="s">
        <v>22</v>
      </c>
    </row>
    <row r="730">
      <c r="A730" s="294"/>
      <c r="B730" s="294" t="s">
        <v>22</v>
      </c>
      <c r="C730" s="294" t="s">
        <v>22</v>
      </c>
      <c r="D730" s="294" t="s">
        <v>22</v>
      </c>
      <c r="E730" s="294" t="s">
        <v>22</v>
      </c>
      <c r="F730" s="294" t="s">
        <v>22</v>
      </c>
      <c r="G730" s="294" t="s">
        <v>22</v>
      </c>
      <c r="H730" s="294" t="s">
        <v>22</v>
      </c>
      <c r="I730" s="294" t="s">
        <v>22</v>
      </c>
      <c r="J730" s="294" t="s">
        <v>22</v>
      </c>
    </row>
    <row r="731">
      <c r="A731" s="294"/>
      <c r="B731" s="294" t="s">
        <v>22</v>
      </c>
      <c r="C731" s="294" t="s">
        <v>22</v>
      </c>
      <c r="D731" s="294" t="s">
        <v>22</v>
      </c>
      <c r="E731" s="294" t="s">
        <v>22</v>
      </c>
      <c r="F731" s="294" t="s">
        <v>22</v>
      </c>
      <c r="G731" s="294" t="s">
        <v>22</v>
      </c>
      <c r="H731" s="294" t="s">
        <v>22</v>
      </c>
      <c r="I731" s="294" t="s">
        <v>22</v>
      </c>
      <c r="J731" s="294" t="s">
        <v>22</v>
      </c>
    </row>
    <row r="732">
      <c r="A732" s="294"/>
      <c r="B732" s="294" t="s">
        <v>22</v>
      </c>
      <c r="C732" s="294" t="s">
        <v>22</v>
      </c>
      <c r="D732" s="294" t="s">
        <v>22</v>
      </c>
      <c r="E732" s="294" t="s">
        <v>22</v>
      </c>
      <c r="F732" s="294" t="s">
        <v>22</v>
      </c>
      <c r="G732" s="294" t="s">
        <v>22</v>
      </c>
      <c r="H732" s="294" t="s">
        <v>22</v>
      </c>
      <c r="I732" s="294" t="s">
        <v>22</v>
      </c>
      <c r="J732" s="294" t="s">
        <v>22</v>
      </c>
    </row>
    <row r="733">
      <c r="A733" s="294"/>
      <c r="B733" s="294" t="s">
        <v>22</v>
      </c>
      <c r="C733" s="294" t="s">
        <v>22</v>
      </c>
      <c r="D733" s="294" t="s">
        <v>22</v>
      </c>
      <c r="E733" s="294" t="s">
        <v>22</v>
      </c>
      <c r="F733" s="294" t="s">
        <v>22</v>
      </c>
      <c r="G733" s="294" t="s">
        <v>22</v>
      </c>
      <c r="H733" s="294" t="s">
        <v>22</v>
      </c>
      <c r="I733" s="294" t="s">
        <v>22</v>
      </c>
      <c r="J733" s="294" t="s">
        <v>22</v>
      </c>
    </row>
    <row r="734">
      <c r="A734" s="294"/>
      <c r="B734" s="294" t="s">
        <v>22</v>
      </c>
      <c r="C734" s="294" t="s">
        <v>22</v>
      </c>
      <c r="D734" s="294" t="s">
        <v>22</v>
      </c>
      <c r="E734" s="294" t="s">
        <v>22</v>
      </c>
      <c r="F734" s="294" t="s">
        <v>22</v>
      </c>
      <c r="G734" s="294" t="s">
        <v>22</v>
      </c>
      <c r="H734" s="294" t="s">
        <v>22</v>
      </c>
      <c r="I734" s="294" t="s">
        <v>22</v>
      </c>
      <c r="J734" s="294" t="s">
        <v>22</v>
      </c>
    </row>
    <row r="735">
      <c r="A735" s="294"/>
      <c r="B735" s="294" t="s">
        <v>22</v>
      </c>
      <c r="C735" s="294" t="s">
        <v>22</v>
      </c>
      <c r="D735" s="294" t="s">
        <v>22</v>
      </c>
      <c r="E735" s="294" t="s">
        <v>22</v>
      </c>
      <c r="F735" s="294" t="s">
        <v>22</v>
      </c>
      <c r="G735" s="294" t="s">
        <v>22</v>
      </c>
      <c r="H735" s="294" t="s">
        <v>22</v>
      </c>
      <c r="I735" s="294" t="s">
        <v>22</v>
      </c>
      <c r="J735" s="294" t="s">
        <v>22</v>
      </c>
    </row>
    <row r="736">
      <c r="A736" s="294"/>
      <c r="B736" s="294" t="s">
        <v>22</v>
      </c>
      <c r="C736" s="294" t="s">
        <v>22</v>
      </c>
      <c r="D736" s="294" t="s">
        <v>22</v>
      </c>
      <c r="E736" s="294" t="s">
        <v>22</v>
      </c>
      <c r="F736" s="294" t="s">
        <v>22</v>
      </c>
      <c r="G736" s="294" t="s">
        <v>22</v>
      </c>
      <c r="H736" s="294" t="s">
        <v>22</v>
      </c>
      <c r="I736" s="294" t="s">
        <v>22</v>
      </c>
      <c r="J736" s="294" t="s">
        <v>22</v>
      </c>
    </row>
    <row r="737">
      <c r="A737" s="294"/>
      <c r="B737" s="294" t="s">
        <v>22</v>
      </c>
      <c r="C737" s="294" t="s">
        <v>22</v>
      </c>
      <c r="D737" s="294" t="s">
        <v>22</v>
      </c>
      <c r="E737" s="294" t="s">
        <v>22</v>
      </c>
      <c r="F737" s="294" t="s">
        <v>22</v>
      </c>
      <c r="G737" s="294" t="s">
        <v>22</v>
      </c>
      <c r="H737" s="294" t="s">
        <v>22</v>
      </c>
      <c r="I737" s="294" t="s">
        <v>22</v>
      </c>
      <c r="J737" s="294" t="s">
        <v>22</v>
      </c>
    </row>
    <row r="738">
      <c r="A738" s="294"/>
      <c r="B738" s="294" t="s">
        <v>22</v>
      </c>
      <c r="C738" s="294" t="s">
        <v>22</v>
      </c>
      <c r="D738" s="294" t="s">
        <v>22</v>
      </c>
      <c r="E738" s="294" t="s">
        <v>22</v>
      </c>
      <c r="F738" s="294" t="s">
        <v>22</v>
      </c>
      <c r="G738" s="294" t="s">
        <v>22</v>
      </c>
      <c r="H738" s="294" t="s">
        <v>22</v>
      </c>
      <c r="I738" s="294" t="s">
        <v>22</v>
      </c>
      <c r="J738" s="294" t="s">
        <v>22</v>
      </c>
    </row>
    <row r="739">
      <c r="A739" s="294"/>
      <c r="B739" s="294" t="s">
        <v>22</v>
      </c>
      <c r="C739" s="294" t="s">
        <v>22</v>
      </c>
      <c r="D739" s="294" t="s">
        <v>22</v>
      </c>
      <c r="E739" s="294" t="s">
        <v>22</v>
      </c>
      <c r="F739" s="294" t="s">
        <v>22</v>
      </c>
      <c r="G739" s="294" t="s">
        <v>22</v>
      </c>
      <c r="H739" s="294" t="s">
        <v>22</v>
      </c>
      <c r="I739" s="294" t="s">
        <v>22</v>
      </c>
      <c r="J739" s="294" t="s">
        <v>22</v>
      </c>
    </row>
    <row r="740">
      <c r="A740" s="294"/>
      <c r="B740" s="294" t="s">
        <v>22</v>
      </c>
      <c r="C740" s="294" t="s">
        <v>22</v>
      </c>
      <c r="D740" s="294" t="s">
        <v>22</v>
      </c>
      <c r="E740" s="294" t="s">
        <v>22</v>
      </c>
      <c r="F740" s="294" t="s">
        <v>22</v>
      </c>
      <c r="G740" s="294" t="s">
        <v>22</v>
      </c>
      <c r="H740" s="294" t="s">
        <v>22</v>
      </c>
      <c r="I740" s="294" t="s">
        <v>22</v>
      </c>
      <c r="J740" s="294" t="s">
        <v>22</v>
      </c>
    </row>
    <row r="741">
      <c r="A741" s="294"/>
      <c r="B741" s="294" t="s">
        <v>22</v>
      </c>
      <c r="C741" s="294" t="s">
        <v>22</v>
      </c>
      <c r="D741" s="294" t="s">
        <v>22</v>
      </c>
      <c r="E741" s="294" t="s">
        <v>22</v>
      </c>
      <c r="F741" s="294" t="s">
        <v>22</v>
      </c>
      <c r="G741" s="294" t="s">
        <v>22</v>
      </c>
      <c r="H741" s="294" t="s">
        <v>22</v>
      </c>
      <c r="I741" s="294" t="s">
        <v>22</v>
      </c>
      <c r="J741" s="294" t="s">
        <v>22</v>
      </c>
    </row>
    <row r="742">
      <c r="A742" s="294"/>
      <c r="B742" s="294" t="s">
        <v>22</v>
      </c>
      <c r="C742" s="294" t="s">
        <v>22</v>
      </c>
      <c r="D742" s="294" t="s">
        <v>22</v>
      </c>
      <c r="E742" s="294" t="s">
        <v>22</v>
      </c>
      <c r="F742" s="294" t="s">
        <v>22</v>
      </c>
      <c r="G742" s="294" t="s">
        <v>22</v>
      </c>
      <c r="H742" s="294" t="s">
        <v>22</v>
      </c>
      <c r="I742" s="294" t="s">
        <v>22</v>
      </c>
      <c r="J742" s="294" t="s">
        <v>22</v>
      </c>
    </row>
    <row r="743">
      <c r="A743" s="294"/>
      <c r="B743" s="294" t="s">
        <v>22</v>
      </c>
      <c r="C743" s="294" t="s">
        <v>22</v>
      </c>
      <c r="D743" s="294" t="s">
        <v>22</v>
      </c>
      <c r="E743" s="294" t="s">
        <v>22</v>
      </c>
      <c r="F743" s="294" t="s">
        <v>22</v>
      </c>
      <c r="G743" s="294" t="s">
        <v>22</v>
      </c>
      <c r="H743" s="294" t="s">
        <v>22</v>
      </c>
      <c r="I743" s="294" t="s">
        <v>22</v>
      </c>
      <c r="J743" s="294" t="s">
        <v>22</v>
      </c>
    </row>
    <row r="744">
      <c r="A744" s="294"/>
      <c r="B744" s="294" t="s">
        <v>22</v>
      </c>
      <c r="C744" s="294" t="s">
        <v>22</v>
      </c>
      <c r="D744" s="294" t="s">
        <v>22</v>
      </c>
      <c r="E744" s="294" t="s">
        <v>22</v>
      </c>
      <c r="F744" s="294" t="s">
        <v>22</v>
      </c>
      <c r="G744" s="294" t="s">
        <v>22</v>
      </c>
      <c r="H744" s="294" t="s">
        <v>22</v>
      </c>
      <c r="I744" s="294" t="s">
        <v>22</v>
      </c>
      <c r="J744" s="294" t="s">
        <v>22</v>
      </c>
    </row>
    <row r="745">
      <c r="A745" s="294"/>
      <c r="B745" s="294" t="s">
        <v>22</v>
      </c>
      <c r="C745" s="294" t="s">
        <v>22</v>
      </c>
      <c r="D745" s="294" t="s">
        <v>22</v>
      </c>
      <c r="E745" s="294" t="s">
        <v>22</v>
      </c>
      <c r="F745" s="294" t="s">
        <v>22</v>
      </c>
      <c r="G745" s="294" t="s">
        <v>22</v>
      </c>
      <c r="H745" s="294" t="s">
        <v>22</v>
      </c>
      <c r="I745" s="294" t="s">
        <v>22</v>
      </c>
      <c r="J745" s="294" t="s">
        <v>22</v>
      </c>
    </row>
    <row r="746">
      <c r="A746" s="294"/>
      <c r="B746" s="294" t="s">
        <v>22</v>
      </c>
      <c r="C746" s="294" t="s">
        <v>22</v>
      </c>
      <c r="D746" s="294" t="s">
        <v>22</v>
      </c>
      <c r="E746" s="294" t="s">
        <v>22</v>
      </c>
      <c r="F746" s="294" t="s">
        <v>22</v>
      </c>
      <c r="G746" s="294" t="s">
        <v>22</v>
      </c>
      <c r="H746" s="294" t="s">
        <v>22</v>
      </c>
      <c r="I746" s="294" t="s">
        <v>22</v>
      </c>
      <c r="J746" s="294" t="s">
        <v>22</v>
      </c>
    </row>
    <row r="747">
      <c r="A747" s="294"/>
      <c r="B747" s="294" t="s">
        <v>22</v>
      </c>
      <c r="C747" s="294" t="s">
        <v>22</v>
      </c>
      <c r="D747" s="294" t="s">
        <v>22</v>
      </c>
      <c r="E747" s="294" t="s">
        <v>22</v>
      </c>
      <c r="F747" s="294" t="s">
        <v>22</v>
      </c>
      <c r="G747" s="294" t="s">
        <v>22</v>
      </c>
      <c r="H747" s="294" t="s">
        <v>22</v>
      </c>
      <c r="I747" s="294" t="s">
        <v>22</v>
      </c>
      <c r="J747" s="294" t="s">
        <v>22</v>
      </c>
    </row>
    <row r="748">
      <c r="A748" s="294"/>
      <c r="B748" s="294" t="s">
        <v>22</v>
      </c>
      <c r="C748" s="294" t="s">
        <v>22</v>
      </c>
      <c r="D748" s="294" t="s">
        <v>22</v>
      </c>
      <c r="E748" s="294" t="s">
        <v>22</v>
      </c>
      <c r="F748" s="294" t="s">
        <v>22</v>
      </c>
      <c r="G748" s="294" t="s">
        <v>22</v>
      </c>
      <c r="H748" s="294" t="s">
        <v>22</v>
      </c>
      <c r="I748" s="294" t="s">
        <v>22</v>
      </c>
      <c r="J748" s="294" t="s">
        <v>22</v>
      </c>
    </row>
    <row r="749">
      <c r="A749" s="294"/>
      <c r="B749" s="294" t="s">
        <v>22</v>
      </c>
      <c r="C749" s="294" t="s">
        <v>22</v>
      </c>
      <c r="D749" s="294" t="s">
        <v>22</v>
      </c>
      <c r="E749" s="294" t="s">
        <v>22</v>
      </c>
      <c r="F749" s="294" t="s">
        <v>22</v>
      </c>
      <c r="G749" s="294" t="s">
        <v>22</v>
      </c>
      <c r="H749" s="294" t="s">
        <v>22</v>
      </c>
      <c r="I749" s="294" t="s">
        <v>22</v>
      </c>
      <c r="J749" s="294" t="s">
        <v>22</v>
      </c>
    </row>
    <row r="750">
      <c r="A750" s="294"/>
      <c r="B750" s="294" t="s">
        <v>22</v>
      </c>
      <c r="C750" s="294" t="s">
        <v>22</v>
      </c>
      <c r="D750" s="294" t="s">
        <v>22</v>
      </c>
      <c r="E750" s="294" t="s">
        <v>22</v>
      </c>
      <c r="F750" s="294" t="s">
        <v>22</v>
      </c>
      <c r="G750" s="294" t="s">
        <v>22</v>
      </c>
      <c r="H750" s="294" t="s">
        <v>22</v>
      </c>
      <c r="I750" s="294" t="s">
        <v>22</v>
      </c>
      <c r="J750" s="294" t="s">
        <v>22</v>
      </c>
    </row>
    <row r="751">
      <c r="A751" s="294"/>
      <c r="B751" s="294" t="s">
        <v>22</v>
      </c>
      <c r="C751" s="294" t="s">
        <v>22</v>
      </c>
      <c r="D751" s="294" t="s">
        <v>22</v>
      </c>
      <c r="E751" s="294" t="s">
        <v>22</v>
      </c>
      <c r="F751" s="294" t="s">
        <v>22</v>
      </c>
      <c r="G751" s="294" t="s">
        <v>22</v>
      </c>
      <c r="H751" s="294" t="s">
        <v>22</v>
      </c>
      <c r="I751" s="294" t="s">
        <v>22</v>
      </c>
      <c r="J751" s="294" t="s">
        <v>22</v>
      </c>
    </row>
    <row r="752">
      <c r="A752" s="294"/>
      <c r="B752" s="294" t="s">
        <v>22</v>
      </c>
      <c r="C752" s="294" t="s">
        <v>22</v>
      </c>
      <c r="D752" s="294" t="s">
        <v>22</v>
      </c>
      <c r="E752" s="294" t="s">
        <v>22</v>
      </c>
      <c r="F752" s="294" t="s">
        <v>22</v>
      </c>
      <c r="G752" s="294" t="s">
        <v>22</v>
      </c>
      <c r="H752" s="294" t="s">
        <v>22</v>
      </c>
      <c r="I752" s="294" t="s">
        <v>22</v>
      </c>
      <c r="J752" s="294" t="s">
        <v>22</v>
      </c>
    </row>
    <row r="753">
      <c r="A753" s="294"/>
      <c r="B753" s="294" t="s">
        <v>22</v>
      </c>
      <c r="C753" s="294" t="s">
        <v>22</v>
      </c>
      <c r="D753" s="294" t="s">
        <v>22</v>
      </c>
      <c r="E753" s="294" t="s">
        <v>22</v>
      </c>
      <c r="F753" s="294" t="s">
        <v>22</v>
      </c>
      <c r="G753" s="294" t="s">
        <v>22</v>
      </c>
      <c r="H753" s="294" t="s">
        <v>22</v>
      </c>
      <c r="I753" s="294" t="s">
        <v>22</v>
      </c>
      <c r="J753" s="294" t="s">
        <v>22</v>
      </c>
    </row>
    <row r="754">
      <c r="A754" s="294"/>
      <c r="B754" s="294" t="s">
        <v>22</v>
      </c>
      <c r="C754" s="294" t="s">
        <v>22</v>
      </c>
      <c r="D754" s="294" t="s">
        <v>22</v>
      </c>
      <c r="E754" s="294" t="s">
        <v>22</v>
      </c>
      <c r="F754" s="294" t="s">
        <v>22</v>
      </c>
      <c r="G754" s="294" t="s">
        <v>22</v>
      </c>
      <c r="H754" s="294" t="s">
        <v>22</v>
      </c>
      <c r="I754" s="294" t="s">
        <v>22</v>
      </c>
      <c r="J754" s="294" t="s">
        <v>22</v>
      </c>
    </row>
    <row r="755">
      <c r="A755" s="294"/>
      <c r="B755" s="294" t="s">
        <v>22</v>
      </c>
      <c r="C755" s="294" t="s">
        <v>22</v>
      </c>
      <c r="D755" s="294" t="s">
        <v>22</v>
      </c>
      <c r="E755" s="294" t="s">
        <v>22</v>
      </c>
      <c r="F755" s="294" t="s">
        <v>22</v>
      </c>
      <c r="G755" s="294" t="s">
        <v>22</v>
      </c>
      <c r="H755" s="294" t="s">
        <v>22</v>
      </c>
      <c r="I755" s="294" t="s">
        <v>22</v>
      </c>
      <c r="J755" s="294" t="s">
        <v>22</v>
      </c>
    </row>
    <row r="756">
      <c r="A756" s="294"/>
      <c r="B756" s="294" t="s">
        <v>22</v>
      </c>
      <c r="C756" s="294" t="s">
        <v>22</v>
      </c>
      <c r="D756" s="294" t="s">
        <v>22</v>
      </c>
      <c r="E756" s="294" t="s">
        <v>22</v>
      </c>
      <c r="F756" s="294" t="s">
        <v>22</v>
      </c>
      <c r="G756" s="294" t="s">
        <v>22</v>
      </c>
      <c r="H756" s="294" t="s">
        <v>22</v>
      </c>
      <c r="I756" s="294" t="s">
        <v>22</v>
      </c>
      <c r="J756" s="294" t="s">
        <v>22</v>
      </c>
    </row>
    <row r="757">
      <c r="A757" s="294"/>
      <c r="B757" s="294" t="s">
        <v>22</v>
      </c>
      <c r="C757" s="294" t="s">
        <v>22</v>
      </c>
      <c r="D757" s="294" t="s">
        <v>22</v>
      </c>
      <c r="E757" s="294" t="s">
        <v>22</v>
      </c>
      <c r="F757" s="294" t="s">
        <v>22</v>
      </c>
      <c r="G757" s="294" t="s">
        <v>22</v>
      </c>
      <c r="H757" s="294" t="s">
        <v>22</v>
      </c>
      <c r="I757" s="294" t="s">
        <v>22</v>
      </c>
      <c r="J757" s="294" t="s">
        <v>22</v>
      </c>
    </row>
    <row r="758">
      <c r="A758" s="294"/>
      <c r="B758" s="294" t="s">
        <v>22</v>
      </c>
      <c r="C758" s="294" t="s">
        <v>22</v>
      </c>
      <c r="D758" s="294" t="s">
        <v>22</v>
      </c>
      <c r="E758" s="294" t="s">
        <v>22</v>
      </c>
      <c r="F758" s="294" t="s">
        <v>22</v>
      </c>
      <c r="G758" s="294" t="s">
        <v>22</v>
      </c>
      <c r="H758" s="294" t="s">
        <v>22</v>
      </c>
      <c r="I758" s="294" t="s">
        <v>22</v>
      </c>
      <c r="J758" s="294" t="s">
        <v>22</v>
      </c>
    </row>
    <row r="759">
      <c r="A759" s="294"/>
      <c r="B759" s="294" t="s">
        <v>22</v>
      </c>
      <c r="C759" s="294" t="s">
        <v>22</v>
      </c>
      <c r="D759" s="294" t="s">
        <v>22</v>
      </c>
      <c r="E759" s="294" t="s">
        <v>22</v>
      </c>
      <c r="F759" s="294" t="s">
        <v>22</v>
      </c>
      <c r="G759" s="294" t="s">
        <v>22</v>
      </c>
      <c r="H759" s="294" t="s">
        <v>22</v>
      </c>
      <c r="I759" s="294" t="s">
        <v>22</v>
      </c>
      <c r="J759" s="294" t="s">
        <v>22</v>
      </c>
    </row>
    <row r="760">
      <c r="A760" s="294"/>
      <c r="B760" s="294" t="s">
        <v>22</v>
      </c>
      <c r="C760" s="294" t="s">
        <v>22</v>
      </c>
      <c r="D760" s="294" t="s">
        <v>22</v>
      </c>
      <c r="E760" s="294" t="s">
        <v>22</v>
      </c>
      <c r="F760" s="294" t="s">
        <v>22</v>
      </c>
      <c r="G760" s="294" t="s">
        <v>22</v>
      </c>
      <c r="H760" s="294" t="s">
        <v>22</v>
      </c>
      <c r="I760" s="294" t="s">
        <v>22</v>
      </c>
      <c r="J760" s="294" t="s">
        <v>22</v>
      </c>
    </row>
    <row r="761">
      <c r="A761" s="294"/>
      <c r="B761" s="294" t="s">
        <v>22</v>
      </c>
      <c r="C761" s="294" t="s">
        <v>22</v>
      </c>
      <c r="D761" s="294" t="s">
        <v>22</v>
      </c>
      <c r="E761" s="294" t="s">
        <v>22</v>
      </c>
      <c r="F761" s="294" t="s">
        <v>22</v>
      </c>
      <c r="G761" s="294" t="s">
        <v>22</v>
      </c>
      <c r="H761" s="294" t="s">
        <v>22</v>
      </c>
      <c r="I761" s="294" t="s">
        <v>22</v>
      </c>
      <c r="J761" s="294" t="s">
        <v>22</v>
      </c>
    </row>
    <row r="762">
      <c r="A762" s="294"/>
      <c r="B762" s="294" t="s">
        <v>22</v>
      </c>
      <c r="C762" s="294" t="s">
        <v>22</v>
      </c>
      <c r="D762" s="294" t="s">
        <v>22</v>
      </c>
      <c r="E762" s="294" t="s">
        <v>22</v>
      </c>
      <c r="F762" s="294" t="s">
        <v>22</v>
      </c>
      <c r="G762" s="294" t="s">
        <v>22</v>
      </c>
      <c r="H762" s="294" t="s">
        <v>22</v>
      </c>
      <c r="I762" s="294" t="s">
        <v>22</v>
      </c>
      <c r="J762" s="294" t="s">
        <v>22</v>
      </c>
    </row>
    <row r="763">
      <c r="A763" s="294"/>
      <c r="B763" s="294" t="s">
        <v>22</v>
      </c>
      <c r="C763" s="294" t="s">
        <v>22</v>
      </c>
      <c r="D763" s="294" t="s">
        <v>22</v>
      </c>
      <c r="E763" s="294" t="s">
        <v>22</v>
      </c>
      <c r="F763" s="294" t="s">
        <v>22</v>
      </c>
      <c r="G763" s="294" t="s">
        <v>22</v>
      </c>
      <c r="H763" s="294" t="s">
        <v>22</v>
      </c>
      <c r="I763" s="294" t="s">
        <v>22</v>
      </c>
      <c r="J763" s="294" t="s">
        <v>22</v>
      </c>
    </row>
    <row r="764">
      <c r="A764" s="294"/>
      <c r="B764" s="294" t="s">
        <v>22</v>
      </c>
      <c r="C764" s="294" t="s">
        <v>22</v>
      </c>
      <c r="D764" s="294" t="s">
        <v>22</v>
      </c>
      <c r="E764" s="294" t="s">
        <v>22</v>
      </c>
      <c r="F764" s="294" t="s">
        <v>22</v>
      </c>
      <c r="G764" s="294" t="s">
        <v>22</v>
      </c>
      <c r="H764" s="294" t="s">
        <v>22</v>
      </c>
      <c r="I764" s="294" t="s">
        <v>22</v>
      </c>
      <c r="J764" s="294" t="s">
        <v>22</v>
      </c>
    </row>
    <row r="765">
      <c r="A765" s="294"/>
      <c r="B765" s="294" t="s">
        <v>22</v>
      </c>
      <c r="C765" s="294" t="s">
        <v>22</v>
      </c>
      <c r="D765" s="294" t="s">
        <v>22</v>
      </c>
      <c r="E765" s="294" t="s">
        <v>22</v>
      </c>
      <c r="F765" s="294" t="s">
        <v>22</v>
      </c>
      <c r="G765" s="294" t="s">
        <v>22</v>
      </c>
      <c r="H765" s="294" t="s">
        <v>22</v>
      </c>
      <c r="I765" s="294" t="s">
        <v>22</v>
      </c>
      <c r="J765" s="294" t="s">
        <v>22</v>
      </c>
    </row>
    <row r="766">
      <c r="A766" s="294"/>
      <c r="B766" s="294" t="s">
        <v>22</v>
      </c>
      <c r="C766" s="294" t="s">
        <v>22</v>
      </c>
      <c r="D766" s="294" t="s">
        <v>22</v>
      </c>
      <c r="E766" s="294" t="s">
        <v>22</v>
      </c>
      <c r="F766" s="294" t="s">
        <v>22</v>
      </c>
      <c r="G766" s="294" t="s">
        <v>22</v>
      </c>
      <c r="H766" s="294" t="s">
        <v>22</v>
      </c>
      <c r="I766" s="294" t="s">
        <v>22</v>
      </c>
      <c r="J766" s="294" t="s">
        <v>22</v>
      </c>
    </row>
    <row r="767">
      <c r="A767" s="294"/>
      <c r="B767" s="294" t="s">
        <v>22</v>
      </c>
      <c r="C767" s="294" t="s">
        <v>22</v>
      </c>
      <c r="D767" s="294" t="s">
        <v>22</v>
      </c>
      <c r="E767" s="294" t="s">
        <v>22</v>
      </c>
      <c r="F767" s="294" t="s">
        <v>22</v>
      </c>
      <c r="G767" s="294" t="s">
        <v>22</v>
      </c>
      <c r="H767" s="294" t="s">
        <v>22</v>
      </c>
      <c r="I767" s="294" t="s">
        <v>22</v>
      </c>
      <c r="J767" s="294" t="s">
        <v>22</v>
      </c>
    </row>
    <row r="768">
      <c r="A768" s="294"/>
      <c r="B768" s="294" t="s">
        <v>22</v>
      </c>
      <c r="C768" s="294" t="s">
        <v>22</v>
      </c>
      <c r="D768" s="294" t="s">
        <v>22</v>
      </c>
      <c r="E768" s="294" t="s">
        <v>22</v>
      </c>
      <c r="F768" s="294" t="s">
        <v>22</v>
      </c>
      <c r="G768" s="294" t="s">
        <v>22</v>
      </c>
      <c r="H768" s="294" t="s">
        <v>22</v>
      </c>
      <c r="I768" s="294" t="s">
        <v>22</v>
      </c>
      <c r="J768" s="294" t="s">
        <v>22</v>
      </c>
    </row>
    <row r="769">
      <c r="A769" s="294"/>
      <c r="B769" s="294" t="s">
        <v>22</v>
      </c>
      <c r="C769" s="294" t="s">
        <v>22</v>
      </c>
      <c r="D769" s="294" t="s">
        <v>22</v>
      </c>
      <c r="E769" s="294" t="s">
        <v>22</v>
      </c>
      <c r="F769" s="294" t="s">
        <v>22</v>
      </c>
      <c r="G769" s="294" t="s">
        <v>22</v>
      </c>
      <c r="H769" s="294" t="s">
        <v>22</v>
      </c>
      <c r="I769" s="294" t="s">
        <v>22</v>
      </c>
      <c r="J769" s="294" t="s">
        <v>22</v>
      </c>
    </row>
    <row r="770">
      <c r="A770" s="294"/>
      <c r="B770" s="294" t="s">
        <v>22</v>
      </c>
      <c r="C770" s="294" t="s">
        <v>22</v>
      </c>
      <c r="D770" s="294" t="s">
        <v>22</v>
      </c>
      <c r="E770" s="294" t="s">
        <v>22</v>
      </c>
      <c r="F770" s="294" t="s">
        <v>22</v>
      </c>
      <c r="G770" s="294" t="s">
        <v>22</v>
      </c>
      <c r="H770" s="294" t="s">
        <v>22</v>
      </c>
      <c r="I770" s="294" t="s">
        <v>22</v>
      </c>
      <c r="J770" s="294" t="s">
        <v>22</v>
      </c>
    </row>
    <row r="771">
      <c r="A771" s="294"/>
      <c r="B771" s="294" t="s">
        <v>22</v>
      </c>
      <c r="C771" s="294" t="s">
        <v>22</v>
      </c>
      <c r="D771" s="294" t="s">
        <v>22</v>
      </c>
      <c r="E771" s="294" t="s">
        <v>22</v>
      </c>
      <c r="F771" s="294" t="s">
        <v>22</v>
      </c>
      <c r="G771" s="294" t="s">
        <v>22</v>
      </c>
      <c r="H771" s="294" t="s">
        <v>22</v>
      </c>
      <c r="I771" s="294" t="s">
        <v>22</v>
      </c>
      <c r="J771" s="294" t="s">
        <v>22</v>
      </c>
    </row>
    <row r="772">
      <c r="A772" s="294"/>
      <c r="B772" s="294" t="s">
        <v>22</v>
      </c>
      <c r="C772" s="294" t="s">
        <v>22</v>
      </c>
      <c r="D772" s="294" t="s">
        <v>22</v>
      </c>
      <c r="E772" s="294" t="s">
        <v>22</v>
      </c>
      <c r="F772" s="294" t="s">
        <v>22</v>
      </c>
      <c r="G772" s="294" t="s">
        <v>22</v>
      </c>
      <c r="H772" s="294" t="s">
        <v>22</v>
      </c>
      <c r="I772" s="294" t="s">
        <v>22</v>
      </c>
      <c r="J772" s="294" t="s">
        <v>22</v>
      </c>
    </row>
    <row r="773">
      <c r="A773" s="294"/>
      <c r="B773" s="294" t="s">
        <v>22</v>
      </c>
      <c r="C773" s="294" t="s">
        <v>22</v>
      </c>
      <c r="D773" s="294" t="s">
        <v>22</v>
      </c>
      <c r="E773" s="294" t="s">
        <v>22</v>
      </c>
      <c r="F773" s="294" t="s">
        <v>22</v>
      </c>
      <c r="G773" s="294" t="s">
        <v>22</v>
      </c>
      <c r="H773" s="294" t="s">
        <v>22</v>
      </c>
      <c r="I773" s="294" t="s">
        <v>22</v>
      </c>
      <c r="J773" s="294" t="s">
        <v>22</v>
      </c>
    </row>
    <row r="774">
      <c r="A774" s="294"/>
      <c r="B774" s="294" t="s">
        <v>22</v>
      </c>
      <c r="C774" s="294" t="s">
        <v>22</v>
      </c>
      <c r="D774" s="294" t="s">
        <v>22</v>
      </c>
      <c r="E774" s="294" t="s">
        <v>22</v>
      </c>
      <c r="F774" s="294" t="s">
        <v>22</v>
      </c>
      <c r="G774" s="294" t="s">
        <v>22</v>
      </c>
      <c r="H774" s="294" t="s">
        <v>22</v>
      </c>
      <c r="I774" s="294" t="s">
        <v>22</v>
      </c>
      <c r="J774" s="294" t="s">
        <v>22</v>
      </c>
    </row>
    <row r="775">
      <c r="A775" s="294"/>
      <c r="B775" s="294" t="s">
        <v>22</v>
      </c>
      <c r="C775" s="294" t="s">
        <v>22</v>
      </c>
      <c r="D775" s="294" t="s">
        <v>22</v>
      </c>
      <c r="E775" s="294" t="s">
        <v>22</v>
      </c>
      <c r="F775" s="294" t="s">
        <v>22</v>
      </c>
      <c r="G775" s="294" t="s">
        <v>22</v>
      </c>
      <c r="H775" s="294" t="s">
        <v>22</v>
      </c>
      <c r="I775" s="294" t="s">
        <v>22</v>
      </c>
      <c r="J775" s="294" t="s">
        <v>22</v>
      </c>
    </row>
    <row r="776">
      <c r="A776" s="294"/>
      <c r="B776" s="294" t="s">
        <v>22</v>
      </c>
      <c r="C776" s="294" t="s">
        <v>22</v>
      </c>
      <c r="D776" s="294" t="s">
        <v>22</v>
      </c>
      <c r="E776" s="294" t="s">
        <v>22</v>
      </c>
      <c r="F776" s="294" t="s">
        <v>22</v>
      </c>
      <c r="G776" s="294" t="s">
        <v>22</v>
      </c>
      <c r="H776" s="294" t="s">
        <v>22</v>
      </c>
      <c r="I776" s="294" t="s">
        <v>22</v>
      </c>
      <c r="J776" s="294" t="s">
        <v>22</v>
      </c>
    </row>
    <row r="777">
      <c r="A777" s="294"/>
      <c r="B777" s="294" t="s">
        <v>22</v>
      </c>
      <c r="C777" s="294" t="s">
        <v>22</v>
      </c>
      <c r="D777" s="294" t="s">
        <v>22</v>
      </c>
      <c r="E777" s="294" t="s">
        <v>22</v>
      </c>
      <c r="F777" s="294" t="s">
        <v>22</v>
      </c>
      <c r="G777" s="294" t="s">
        <v>22</v>
      </c>
      <c r="H777" s="294" t="s">
        <v>22</v>
      </c>
      <c r="I777" s="294" t="s">
        <v>22</v>
      </c>
      <c r="J777" s="294" t="s">
        <v>22</v>
      </c>
    </row>
    <row r="778">
      <c r="A778" s="294"/>
      <c r="B778" s="294" t="s">
        <v>22</v>
      </c>
      <c r="C778" s="294" t="s">
        <v>22</v>
      </c>
      <c r="D778" s="294" t="s">
        <v>22</v>
      </c>
      <c r="E778" s="294" t="s">
        <v>22</v>
      </c>
      <c r="F778" s="294" t="s">
        <v>22</v>
      </c>
      <c r="G778" s="294" t="s">
        <v>22</v>
      </c>
      <c r="H778" s="294" t="s">
        <v>22</v>
      </c>
      <c r="I778" s="294" t="s">
        <v>22</v>
      </c>
      <c r="J778" s="294" t="s">
        <v>22</v>
      </c>
    </row>
    <row r="779">
      <c r="A779" s="294"/>
      <c r="B779" s="294" t="s">
        <v>22</v>
      </c>
      <c r="C779" s="294" t="s">
        <v>22</v>
      </c>
      <c r="D779" s="294" t="s">
        <v>22</v>
      </c>
      <c r="E779" s="294" t="s">
        <v>22</v>
      </c>
      <c r="F779" s="294" t="s">
        <v>22</v>
      </c>
      <c r="G779" s="294" t="s">
        <v>22</v>
      </c>
      <c r="H779" s="294" t="s">
        <v>22</v>
      </c>
      <c r="I779" s="294" t="s">
        <v>22</v>
      </c>
      <c r="J779" s="294" t="s">
        <v>22</v>
      </c>
    </row>
    <row r="780">
      <c r="A780" s="294"/>
      <c r="B780" s="294" t="s">
        <v>22</v>
      </c>
      <c r="C780" s="294" t="s">
        <v>22</v>
      </c>
      <c r="D780" s="294" t="s">
        <v>22</v>
      </c>
      <c r="E780" s="294" t="s">
        <v>22</v>
      </c>
      <c r="F780" s="294" t="s">
        <v>22</v>
      </c>
      <c r="G780" s="294" t="s">
        <v>22</v>
      </c>
      <c r="H780" s="294" t="s">
        <v>22</v>
      </c>
      <c r="I780" s="294" t="s">
        <v>22</v>
      </c>
      <c r="J780" s="294" t="s">
        <v>22</v>
      </c>
    </row>
    <row r="781">
      <c r="A781" s="294"/>
      <c r="B781" s="294" t="s">
        <v>22</v>
      </c>
      <c r="C781" s="294" t="s">
        <v>22</v>
      </c>
      <c r="D781" s="294" t="s">
        <v>22</v>
      </c>
      <c r="E781" s="294" t="s">
        <v>22</v>
      </c>
      <c r="F781" s="294" t="s">
        <v>22</v>
      </c>
      <c r="G781" s="294" t="s">
        <v>22</v>
      </c>
      <c r="H781" s="294" t="s">
        <v>22</v>
      </c>
      <c r="I781" s="294" t="s">
        <v>22</v>
      </c>
      <c r="J781" s="294" t="s">
        <v>22</v>
      </c>
    </row>
    <row r="782">
      <c r="A782" s="294"/>
      <c r="B782" s="294" t="s">
        <v>22</v>
      </c>
      <c r="C782" s="294" t="s">
        <v>22</v>
      </c>
      <c r="D782" s="294" t="s">
        <v>22</v>
      </c>
      <c r="E782" s="294" t="s">
        <v>22</v>
      </c>
      <c r="F782" s="294" t="s">
        <v>22</v>
      </c>
      <c r="G782" s="294" t="s">
        <v>22</v>
      </c>
      <c r="H782" s="294" t="s">
        <v>22</v>
      </c>
      <c r="I782" s="294" t="s">
        <v>22</v>
      </c>
      <c r="J782" s="294" t="s">
        <v>22</v>
      </c>
    </row>
    <row r="783">
      <c r="A783" s="294"/>
      <c r="B783" s="294" t="s">
        <v>22</v>
      </c>
      <c r="C783" s="294" t="s">
        <v>22</v>
      </c>
      <c r="D783" s="294" t="s">
        <v>22</v>
      </c>
      <c r="E783" s="294" t="s">
        <v>22</v>
      </c>
      <c r="F783" s="294" t="s">
        <v>22</v>
      </c>
      <c r="G783" s="294" t="s">
        <v>22</v>
      </c>
      <c r="H783" s="294" t="s">
        <v>22</v>
      </c>
      <c r="I783" s="294" t="s">
        <v>22</v>
      </c>
      <c r="J783" s="294" t="s">
        <v>22</v>
      </c>
    </row>
    <row r="784">
      <c r="A784" s="294"/>
      <c r="B784" s="294" t="s">
        <v>22</v>
      </c>
      <c r="C784" s="294" t="s">
        <v>22</v>
      </c>
      <c r="D784" s="294" t="s">
        <v>22</v>
      </c>
      <c r="E784" s="294" t="s">
        <v>22</v>
      </c>
      <c r="F784" s="294" t="s">
        <v>22</v>
      </c>
      <c r="G784" s="294" t="s">
        <v>22</v>
      </c>
      <c r="H784" s="294" t="s">
        <v>22</v>
      </c>
      <c r="I784" s="294" t="s">
        <v>22</v>
      </c>
      <c r="J784" s="294" t="s">
        <v>22</v>
      </c>
    </row>
    <row r="785">
      <c r="A785" s="294"/>
      <c r="B785" s="294" t="s">
        <v>22</v>
      </c>
      <c r="C785" s="294" t="s">
        <v>22</v>
      </c>
      <c r="D785" s="294" t="s">
        <v>22</v>
      </c>
      <c r="E785" s="294" t="s">
        <v>22</v>
      </c>
      <c r="F785" s="294" t="s">
        <v>22</v>
      </c>
      <c r="G785" s="294" t="s">
        <v>22</v>
      </c>
      <c r="H785" s="294" t="s">
        <v>22</v>
      </c>
      <c r="I785" s="294" t="s">
        <v>22</v>
      </c>
      <c r="J785" s="294" t="s">
        <v>22</v>
      </c>
    </row>
    <row r="786">
      <c r="A786" s="294"/>
      <c r="B786" s="294" t="s">
        <v>22</v>
      </c>
      <c r="C786" s="294" t="s">
        <v>22</v>
      </c>
      <c r="D786" s="294" t="s">
        <v>22</v>
      </c>
      <c r="E786" s="294" t="s">
        <v>22</v>
      </c>
      <c r="F786" s="294" t="s">
        <v>22</v>
      </c>
      <c r="G786" s="294" t="s">
        <v>22</v>
      </c>
      <c r="H786" s="294" t="s">
        <v>22</v>
      </c>
      <c r="I786" s="294" t="s">
        <v>22</v>
      </c>
      <c r="J786" s="294" t="s">
        <v>22</v>
      </c>
    </row>
    <row r="787">
      <c r="A787" s="294"/>
      <c r="B787" s="294" t="s">
        <v>22</v>
      </c>
      <c r="C787" s="294" t="s">
        <v>22</v>
      </c>
      <c r="D787" s="294" t="s">
        <v>22</v>
      </c>
      <c r="E787" s="294" t="s">
        <v>22</v>
      </c>
      <c r="F787" s="294" t="s">
        <v>22</v>
      </c>
      <c r="G787" s="294" t="s">
        <v>22</v>
      </c>
      <c r="H787" s="294" t="s">
        <v>22</v>
      </c>
      <c r="I787" s="294" t="s">
        <v>22</v>
      </c>
      <c r="J787" s="294" t="s">
        <v>22</v>
      </c>
    </row>
    <row r="788">
      <c r="A788" s="294"/>
      <c r="B788" s="294" t="s">
        <v>22</v>
      </c>
      <c r="C788" s="294" t="s">
        <v>22</v>
      </c>
      <c r="D788" s="294" t="s">
        <v>22</v>
      </c>
      <c r="E788" s="294" t="s">
        <v>22</v>
      </c>
      <c r="F788" s="294" t="s">
        <v>22</v>
      </c>
      <c r="G788" s="294" t="s">
        <v>22</v>
      </c>
      <c r="H788" s="294" t="s">
        <v>22</v>
      </c>
      <c r="I788" s="294" t="s">
        <v>22</v>
      </c>
      <c r="J788" s="294" t="s">
        <v>22</v>
      </c>
    </row>
    <row r="789">
      <c r="A789" s="294"/>
      <c r="B789" s="294" t="s">
        <v>22</v>
      </c>
      <c r="C789" s="294" t="s">
        <v>22</v>
      </c>
      <c r="D789" s="294" t="s">
        <v>22</v>
      </c>
      <c r="E789" s="294" t="s">
        <v>22</v>
      </c>
      <c r="F789" s="294" t="s">
        <v>22</v>
      </c>
      <c r="G789" s="294" t="s">
        <v>22</v>
      </c>
      <c r="H789" s="294" t="s">
        <v>22</v>
      </c>
      <c r="I789" s="294" t="s">
        <v>22</v>
      </c>
      <c r="J789" s="294" t="s">
        <v>22</v>
      </c>
    </row>
    <row r="790">
      <c r="A790" s="294"/>
      <c r="B790" s="294" t="s">
        <v>22</v>
      </c>
      <c r="C790" s="294" t="s">
        <v>22</v>
      </c>
      <c r="D790" s="294" t="s">
        <v>22</v>
      </c>
      <c r="E790" s="294" t="s">
        <v>22</v>
      </c>
      <c r="F790" s="294" t="s">
        <v>22</v>
      </c>
      <c r="G790" s="294" t="s">
        <v>22</v>
      </c>
      <c r="H790" s="294" t="s">
        <v>22</v>
      </c>
      <c r="I790" s="294" t="s">
        <v>22</v>
      </c>
      <c r="J790" s="294" t="s">
        <v>22</v>
      </c>
    </row>
    <row r="791">
      <c r="A791" s="294"/>
      <c r="B791" s="294" t="s">
        <v>22</v>
      </c>
      <c r="C791" s="294" t="s">
        <v>22</v>
      </c>
      <c r="D791" s="294" t="s">
        <v>22</v>
      </c>
      <c r="E791" s="294" t="s">
        <v>22</v>
      </c>
      <c r="F791" s="294" t="s">
        <v>22</v>
      </c>
      <c r="G791" s="294" t="s">
        <v>22</v>
      </c>
      <c r="H791" s="294" t="s">
        <v>22</v>
      </c>
      <c r="I791" s="294" t="s">
        <v>22</v>
      </c>
      <c r="J791" s="294" t="s">
        <v>22</v>
      </c>
    </row>
    <row r="792">
      <c r="A792" s="294"/>
      <c r="B792" s="294" t="s">
        <v>22</v>
      </c>
      <c r="C792" s="294" t="s">
        <v>22</v>
      </c>
      <c r="D792" s="294" t="s">
        <v>22</v>
      </c>
      <c r="E792" s="294" t="s">
        <v>22</v>
      </c>
      <c r="F792" s="294" t="s">
        <v>22</v>
      </c>
      <c r="G792" s="294" t="s">
        <v>22</v>
      </c>
      <c r="H792" s="294" t="s">
        <v>22</v>
      </c>
      <c r="I792" s="294" t="s">
        <v>22</v>
      </c>
      <c r="J792" s="294" t="s">
        <v>22</v>
      </c>
    </row>
    <row r="793">
      <c r="A793" s="294"/>
      <c r="B793" s="294" t="s">
        <v>22</v>
      </c>
      <c r="C793" s="294" t="s">
        <v>22</v>
      </c>
      <c r="D793" s="294" t="s">
        <v>22</v>
      </c>
      <c r="E793" s="294" t="s">
        <v>22</v>
      </c>
      <c r="F793" s="294" t="s">
        <v>22</v>
      </c>
      <c r="G793" s="294" t="s">
        <v>22</v>
      </c>
      <c r="H793" s="294" t="s">
        <v>22</v>
      </c>
      <c r="I793" s="294" t="s">
        <v>22</v>
      </c>
      <c r="J793" s="294" t="s">
        <v>22</v>
      </c>
    </row>
    <row r="794">
      <c r="A794" s="294"/>
      <c r="B794" s="294" t="s">
        <v>22</v>
      </c>
      <c r="C794" s="294" t="s">
        <v>22</v>
      </c>
      <c r="D794" s="294" t="s">
        <v>22</v>
      </c>
      <c r="E794" s="294" t="s">
        <v>22</v>
      </c>
      <c r="F794" s="294" t="s">
        <v>22</v>
      </c>
      <c r="G794" s="294" t="s">
        <v>22</v>
      </c>
      <c r="H794" s="294" t="s">
        <v>22</v>
      </c>
      <c r="I794" s="294" t="s">
        <v>22</v>
      </c>
      <c r="J794" s="294" t="s">
        <v>22</v>
      </c>
    </row>
    <row r="795">
      <c r="A795" s="294"/>
      <c r="B795" s="294" t="s">
        <v>22</v>
      </c>
      <c r="C795" s="294" t="s">
        <v>22</v>
      </c>
      <c r="D795" s="294" t="s">
        <v>22</v>
      </c>
      <c r="E795" s="294" t="s">
        <v>22</v>
      </c>
      <c r="F795" s="294" t="s">
        <v>22</v>
      </c>
      <c r="G795" s="294" t="s">
        <v>22</v>
      </c>
      <c r="H795" s="294" t="s">
        <v>22</v>
      </c>
      <c r="I795" s="294" t="s">
        <v>22</v>
      </c>
      <c r="J795" s="294" t="s">
        <v>22</v>
      </c>
    </row>
    <row r="796">
      <c r="A796" s="294"/>
      <c r="B796" s="294" t="s">
        <v>22</v>
      </c>
      <c r="C796" s="294" t="s">
        <v>22</v>
      </c>
      <c r="D796" s="294" t="s">
        <v>22</v>
      </c>
      <c r="E796" s="294" t="s">
        <v>22</v>
      </c>
      <c r="F796" s="294" t="s">
        <v>22</v>
      </c>
      <c r="G796" s="294" t="s">
        <v>22</v>
      </c>
      <c r="H796" s="294" t="s">
        <v>22</v>
      </c>
      <c r="I796" s="294" t="s">
        <v>22</v>
      </c>
      <c r="J796" s="294" t="s">
        <v>22</v>
      </c>
    </row>
    <row r="797">
      <c r="A797" s="294"/>
      <c r="B797" s="294" t="s">
        <v>22</v>
      </c>
      <c r="C797" s="294" t="s">
        <v>22</v>
      </c>
      <c r="D797" s="294" t="s">
        <v>22</v>
      </c>
      <c r="E797" s="294" t="s">
        <v>22</v>
      </c>
      <c r="F797" s="294" t="s">
        <v>22</v>
      </c>
      <c r="G797" s="294" t="s">
        <v>22</v>
      </c>
      <c r="H797" s="294" t="s">
        <v>22</v>
      </c>
      <c r="I797" s="294" t="s">
        <v>22</v>
      </c>
      <c r="J797" s="294" t="s">
        <v>22</v>
      </c>
    </row>
    <row r="798">
      <c r="A798" s="294"/>
      <c r="B798" s="294" t="s">
        <v>22</v>
      </c>
      <c r="C798" s="294" t="s">
        <v>22</v>
      </c>
      <c r="D798" s="294" t="s">
        <v>22</v>
      </c>
      <c r="E798" s="294" t="s">
        <v>22</v>
      </c>
      <c r="F798" s="294" t="s">
        <v>22</v>
      </c>
      <c r="G798" s="294" t="s">
        <v>22</v>
      </c>
      <c r="H798" s="294" t="s">
        <v>22</v>
      </c>
      <c r="I798" s="294" t="s">
        <v>22</v>
      </c>
      <c r="J798" s="294" t="s">
        <v>22</v>
      </c>
    </row>
    <row r="799">
      <c r="A799" s="294"/>
      <c r="B799" s="294" t="s">
        <v>22</v>
      </c>
      <c r="C799" s="294" t="s">
        <v>22</v>
      </c>
      <c r="D799" s="294" t="s">
        <v>22</v>
      </c>
      <c r="E799" s="294" t="s">
        <v>22</v>
      </c>
      <c r="F799" s="294" t="s">
        <v>22</v>
      </c>
      <c r="G799" s="294" t="s">
        <v>22</v>
      </c>
      <c r="H799" s="294" t="s">
        <v>22</v>
      </c>
      <c r="I799" s="294" t="s">
        <v>22</v>
      </c>
      <c r="J799" s="294" t="s">
        <v>22</v>
      </c>
    </row>
    <row r="800">
      <c r="A800" s="294"/>
      <c r="B800" s="294" t="s">
        <v>22</v>
      </c>
      <c r="C800" s="294" t="s">
        <v>22</v>
      </c>
      <c r="D800" s="294" t="s">
        <v>22</v>
      </c>
      <c r="E800" s="294" t="s">
        <v>22</v>
      </c>
      <c r="F800" s="294" t="s">
        <v>22</v>
      </c>
      <c r="G800" s="294" t="s">
        <v>22</v>
      </c>
      <c r="H800" s="294" t="s">
        <v>22</v>
      </c>
      <c r="I800" s="294" t="s">
        <v>22</v>
      </c>
      <c r="J800" s="294" t="s">
        <v>22</v>
      </c>
    </row>
    <row r="801">
      <c r="A801" s="294"/>
      <c r="B801" s="294" t="s">
        <v>22</v>
      </c>
      <c r="C801" s="294" t="s">
        <v>22</v>
      </c>
      <c r="D801" s="294" t="s">
        <v>22</v>
      </c>
      <c r="E801" s="294" t="s">
        <v>22</v>
      </c>
      <c r="F801" s="294" t="s">
        <v>22</v>
      </c>
      <c r="G801" s="294" t="s">
        <v>22</v>
      </c>
      <c r="H801" s="294" t="s">
        <v>22</v>
      </c>
      <c r="I801" s="294" t="s">
        <v>22</v>
      </c>
      <c r="J801" s="294" t="s">
        <v>22</v>
      </c>
    </row>
    <row r="802">
      <c r="A802" s="294"/>
      <c r="B802" s="294" t="s">
        <v>22</v>
      </c>
      <c r="C802" s="294" t="s">
        <v>22</v>
      </c>
      <c r="D802" s="294" t="s">
        <v>22</v>
      </c>
      <c r="E802" s="294" t="s">
        <v>22</v>
      </c>
      <c r="F802" s="294" t="s">
        <v>22</v>
      </c>
      <c r="G802" s="294" t="s">
        <v>22</v>
      </c>
      <c r="H802" s="294" t="s">
        <v>22</v>
      </c>
      <c r="I802" s="294" t="s">
        <v>22</v>
      </c>
      <c r="J802" s="294" t="s">
        <v>22</v>
      </c>
    </row>
    <row r="803">
      <c r="A803" s="294"/>
      <c r="B803" s="294" t="s">
        <v>22</v>
      </c>
      <c r="C803" s="294" t="s">
        <v>22</v>
      </c>
      <c r="D803" s="294" t="s">
        <v>22</v>
      </c>
      <c r="E803" s="294" t="s">
        <v>22</v>
      </c>
      <c r="F803" s="294" t="s">
        <v>22</v>
      </c>
      <c r="G803" s="294" t="s">
        <v>22</v>
      </c>
      <c r="H803" s="294" t="s">
        <v>22</v>
      </c>
      <c r="I803" s="294" t="s">
        <v>22</v>
      </c>
      <c r="J803" s="294" t="s">
        <v>22</v>
      </c>
    </row>
    <row r="804">
      <c r="A804" s="294"/>
      <c r="B804" s="294" t="s">
        <v>22</v>
      </c>
      <c r="C804" s="294" t="s">
        <v>22</v>
      </c>
      <c r="D804" s="294" t="s">
        <v>22</v>
      </c>
      <c r="E804" s="294" t="s">
        <v>22</v>
      </c>
      <c r="F804" s="294" t="s">
        <v>22</v>
      </c>
      <c r="G804" s="294" t="s">
        <v>22</v>
      </c>
      <c r="H804" s="294" t="s">
        <v>22</v>
      </c>
      <c r="I804" s="294" t="s">
        <v>22</v>
      </c>
      <c r="J804" s="294" t="s">
        <v>22</v>
      </c>
    </row>
    <row r="805">
      <c r="A805" s="294"/>
      <c r="B805" s="294" t="s">
        <v>22</v>
      </c>
      <c r="C805" s="294" t="s">
        <v>22</v>
      </c>
      <c r="D805" s="294" t="s">
        <v>22</v>
      </c>
      <c r="E805" s="294" t="s">
        <v>22</v>
      </c>
      <c r="F805" s="294" t="s">
        <v>22</v>
      </c>
      <c r="G805" s="294" t="s">
        <v>22</v>
      </c>
      <c r="H805" s="294" t="s">
        <v>22</v>
      </c>
      <c r="I805" s="294" t="s">
        <v>22</v>
      </c>
      <c r="J805" s="294" t="s">
        <v>22</v>
      </c>
    </row>
    <row r="806">
      <c r="A806" s="294"/>
      <c r="B806" s="294" t="s">
        <v>22</v>
      </c>
      <c r="C806" s="294" t="s">
        <v>22</v>
      </c>
      <c r="D806" s="294" t="s">
        <v>22</v>
      </c>
      <c r="E806" s="294" t="s">
        <v>22</v>
      </c>
      <c r="F806" s="294" t="s">
        <v>22</v>
      </c>
      <c r="G806" s="294" t="s">
        <v>22</v>
      </c>
      <c r="H806" s="294" t="s">
        <v>22</v>
      </c>
      <c r="I806" s="294" t="s">
        <v>22</v>
      </c>
      <c r="J806" s="294" t="s">
        <v>22</v>
      </c>
    </row>
    <row r="807">
      <c r="A807" s="294"/>
      <c r="B807" s="294" t="s">
        <v>22</v>
      </c>
      <c r="C807" s="294" t="s">
        <v>22</v>
      </c>
      <c r="D807" s="294" t="s">
        <v>22</v>
      </c>
      <c r="E807" s="294" t="s">
        <v>22</v>
      </c>
      <c r="F807" s="294" t="s">
        <v>22</v>
      </c>
      <c r="G807" s="294" t="s">
        <v>22</v>
      </c>
      <c r="H807" s="294" t="s">
        <v>22</v>
      </c>
      <c r="I807" s="294" t="s">
        <v>22</v>
      </c>
      <c r="J807" s="294" t="s">
        <v>22</v>
      </c>
    </row>
    <row r="808">
      <c r="A808" s="294"/>
      <c r="B808" s="294" t="s">
        <v>22</v>
      </c>
      <c r="C808" s="294" t="s">
        <v>22</v>
      </c>
      <c r="D808" s="294" t="s">
        <v>22</v>
      </c>
      <c r="E808" s="294" t="s">
        <v>22</v>
      </c>
      <c r="F808" s="294" t="s">
        <v>22</v>
      </c>
      <c r="G808" s="294" t="s">
        <v>22</v>
      </c>
      <c r="H808" s="294" t="s">
        <v>22</v>
      </c>
      <c r="I808" s="294" t="s">
        <v>22</v>
      </c>
      <c r="J808" s="294" t="s">
        <v>22</v>
      </c>
    </row>
    <row r="809">
      <c r="A809" s="294"/>
      <c r="B809" s="294" t="s">
        <v>22</v>
      </c>
      <c r="C809" s="294" t="s">
        <v>22</v>
      </c>
      <c r="D809" s="294" t="s">
        <v>22</v>
      </c>
      <c r="E809" s="294" t="s">
        <v>22</v>
      </c>
      <c r="F809" s="294" t="s">
        <v>22</v>
      </c>
      <c r="G809" s="294" t="s">
        <v>22</v>
      </c>
      <c r="H809" s="294" t="s">
        <v>22</v>
      </c>
      <c r="I809" s="294" t="s">
        <v>22</v>
      </c>
      <c r="J809" s="294" t="s">
        <v>22</v>
      </c>
    </row>
    <row r="810">
      <c r="A810" s="294"/>
      <c r="B810" s="294" t="s">
        <v>22</v>
      </c>
      <c r="C810" s="294" t="s">
        <v>22</v>
      </c>
      <c r="D810" s="294" t="s">
        <v>22</v>
      </c>
      <c r="E810" s="294" t="s">
        <v>22</v>
      </c>
      <c r="F810" s="294" t="s">
        <v>22</v>
      </c>
      <c r="G810" s="294" t="s">
        <v>22</v>
      </c>
      <c r="H810" s="294" t="s">
        <v>22</v>
      </c>
      <c r="I810" s="294" t="s">
        <v>22</v>
      </c>
      <c r="J810" s="294" t="s">
        <v>22</v>
      </c>
    </row>
    <row r="811">
      <c r="A811" s="294"/>
      <c r="B811" s="294" t="s">
        <v>22</v>
      </c>
      <c r="C811" s="294" t="s">
        <v>22</v>
      </c>
      <c r="D811" s="294" t="s">
        <v>22</v>
      </c>
      <c r="E811" s="294" t="s">
        <v>22</v>
      </c>
      <c r="F811" s="294" t="s">
        <v>22</v>
      </c>
      <c r="G811" s="294" t="s">
        <v>22</v>
      </c>
      <c r="H811" s="294" t="s">
        <v>22</v>
      </c>
      <c r="I811" s="294" t="s">
        <v>22</v>
      </c>
      <c r="J811" s="294" t="s">
        <v>22</v>
      </c>
    </row>
    <row r="812">
      <c r="A812" s="294"/>
      <c r="B812" s="294" t="s">
        <v>22</v>
      </c>
      <c r="C812" s="294" t="s">
        <v>22</v>
      </c>
      <c r="D812" s="294" t="s">
        <v>22</v>
      </c>
      <c r="E812" s="294" t="s">
        <v>22</v>
      </c>
      <c r="F812" s="294" t="s">
        <v>22</v>
      </c>
      <c r="G812" s="294" t="s">
        <v>22</v>
      </c>
      <c r="H812" s="294" t="s">
        <v>22</v>
      </c>
      <c r="I812" s="294" t="s">
        <v>22</v>
      </c>
      <c r="J812" s="294" t="s">
        <v>22</v>
      </c>
    </row>
    <row r="813">
      <c r="A813" s="294"/>
      <c r="B813" s="294" t="s">
        <v>22</v>
      </c>
      <c r="C813" s="294" t="s">
        <v>22</v>
      </c>
      <c r="D813" s="294" t="s">
        <v>22</v>
      </c>
      <c r="E813" s="294" t="s">
        <v>22</v>
      </c>
      <c r="F813" s="294" t="s">
        <v>22</v>
      </c>
      <c r="G813" s="294" t="s">
        <v>22</v>
      </c>
      <c r="H813" s="294" t="s">
        <v>22</v>
      </c>
      <c r="I813" s="294" t="s">
        <v>22</v>
      </c>
      <c r="J813" s="294" t="s">
        <v>22</v>
      </c>
    </row>
    <row r="814">
      <c r="A814" s="294"/>
      <c r="B814" s="294" t="s">
        <v>22</v>
      </c>
      <c r="C814" s="294" t="s">
        <v>22</v>
      </c>
      <c r="D814" s="294" t="s">
        <v>22</v>
      </c>
      <c r="E814" s="294" t="s">
        <v>22</v>
      </c>
      <c r="F814" s="294" t="s">
        <v>22</v>
      </c>
      <c r="G814" s="294" t="s">
        <v>22</v>
      </c>
      <c r="H814" s="294" t="s">
        <v>22</v>
      </c>
      <c r="I814" s="294" t="s">
        <v>22</v>
      </c>
      <c r="J814" s="294" t="s">
        <v>22</v>
      </c>
    </row>
    <row r="815">
      <c r="A815" s="294"/>
      <c r="B815" s="294" t="s">
        <v>22</v>
      </c>
      <c r="C815" s="294" t="s">
        <v>22</v>
      </c>
      <c r="D815" s="294" t="s">
        <v>22</v>
      </c>
      <c r="E815" s="294" t="s">
        <v>22</v>
      </c>
      <c r="F815" s="294" t="s">
        <v>22</v>
      </c>
      <c r="G815" s="294" t="s">
        <v>22</v>
      </c>
      <c r="H815" s="294" t="s">
        <v>22</v>
      </c>
      <c r="I815" s="294" t="s">
        <v>22</v>
      </c>
      <c r="J815" s="294" t="s">
        <v>22</v>
      </c>
    </row>
    <row r="816">
      <c r="A816" s="294"/>
      <c r="B816" s="294" t="s">
        <v>22</v>
      </c>
      <c r="C816" s="294" t="s">
        <v>22</v>
      </c>
      <c r="D816" s="294" t="s">
        <v>22</v>
      </c>
      <c r="E816" s="294" t="s">
        <v>22</v>
      </c>
      <c r="F816" s="294" t="s">
        <v>22</v>
      </c>
      <c r="G816" s="294" t="s">
        <v>22</v>
      </c>
      <c r="H816" s="294" t="s">
        <v>22</v>
      </c>
      <c r="I816" s="294" t="s">
        <v>22</v>
      </c>
      <c r="J816" s="294" t="s">
        <v>22</v>
      </c>
    </row>
    <row r="817">
      <c r="A817" s="294"/>
      <c r="B817" s="294" t="s">
        <v>22</v>
      </c>
      <c r="C817" s="294" t="s">
        <v>22</v>
      </c>
      <c r="D817" s="294" t="s">
        <v>22</v>
      </c>
      <c r="E817" s="294" t="s">
        <v>22</v>
      </c>
      <c r="F817" s="294" t="s">
        <v>22</v>
      </c>
      <c r="G817" s="294" t="s">
        <v>22</v>
      </c>
      <c r="H817" s="294" t="s">
        <v>22</v>
      </c>
      <c r="I817" s="294" t="s">
        <v>22</v>
      </c>
      <c r="J817" s="294" t="s">
        <v>22</v>
      </c>
    </row>
    <row r="818">
      <c r="A818" s="294"/>
      <c r="B818" s="294" t="s">
        <v>22</v>
      </c>
      <c r="C818" s="294" t="s">
        <v>22</v>
      </c>
      <c r="D818" s="294" t="s">
        <v>22</v>
      </c>
      <c r="E818" s="294" t="s">
        <v>22</v>
      </c>
      <c r="F818" s="294" t="s">
        <v>22</v>
      </c>
      <c r="G818" s="294" t="s">
        <v>22</v>
      </c>
      <c r="H818" s="294" t="s">
        <v>22</v>
      </c>
      <c r="I818" s="294" t="s">
        <v>22</v>
      </c>
      <c r="J818" s="294" t="s">
        <v>22</v>
      </c>
    </row>
    <row r="819">
      <c r="A819" s="294"/>
      <c r="B819" s="294" t="s">
        <v>22</v>
      </c>
      <c r="C819" s="294" t="s">
        <v>22</v>
      </c>
      <c r="D819" s="294" t="s">
        <v>22</v>
      </c>
      <c r="E819" s="294" t="s">
        <v>22</v>
      </c>
      <c r="F819" s="294" t="s">
        <v>22</v>
      </c>
      <c r="G819" s="294" t="s">
        <v>22</v>
      </c>
      <c r="H819" s="294" t="s">
        <v>22</v>
      </c>
      <c r="I819" s="294" t="s">
        <v>22</v>
      </c>
      <c r="J819" s="294" t="s">
        <v>22</v>
      </c>
    </row>
    <row r="820">
      <c r="A820" s="294"/>
      <c r="B820" s="294" t="s">
        <v>22</v>
      </c>
      <c r="C820" s="294" t="s">
        <v>22</v>
      </c>
      <c r="D820" s="294" t="s">
        <v>22</v>
      </c>
      <c r="E820" s="294" t="s">
        <v>22</v>
      </c>
      <c r="F820" s="294" t="s">
        <v>22</v>
      </c>
      <c r="G820" s="294" t="s">
        <v>22</v>
      </c>
      <c r="H820" s="294" t="s">
        <v>22</v>
      </c>
      <c r="I820" s="294" t="s">
        <v>22</v>
      </c>
      <c r="J820" s="294" t="s">
        <v>22</v>
      </c>
    </row>
    <row r="821">
      <c r="A821" s="294"/>
      <c r="B821" s="294" t="s">
        <v>22</v>
      </c>
      <c r="C821" s="294" t="s">
        <v>22</v>
      </c>
      <c r="D821" s="294" t="s">
        <v>22</v>
      </c>
      <c r="E821" s="294" t="s">
        <v>22</v>
      </c>
      <c r="F821" s="294" t="s">
        <v>22</v>
      </c>
      <c r="G821" s="294" t="s">
        <v>22</v>
      </c>
      <c r="H821" s="294" t="s">
        <v>22</v>
      </c>
      <c r="I821" s="294" t="s">
        <v>22</v>
      </c>
      <c r="J821" s="294" t="s">
        <v>22</v>
      </c>
    </row>
    <row r="822">
      <c r="A822" s="294"/>
      <c r="B822" s="294" t="s">
        <v>22</v>
      </c>
      <c r="C822" s="294" t="s">
        <v>22</v>
      </c>
      <c r="D822" s="294" t="s">
        <v>22</v>
      </c>
      <c r="E822" s="294" t="s">
        <v>22</v>
      </c>
      <c r="F822" s="294" t="s">
        <v>22</v>
      </c>
      <c r="G822" s="294" t="s">
        <v>22</v>
      </c>
      <c r="H822" s="294" t="s">
        <v>22</v>
      </c>
      <c r="I822" s="294" t="s">
        <v>22</v>
      </c>
      <c r="J822" s="294" t="s">
        <v>22</v>
      </c>
    </row>
    <row r="823">
      <c r="A823" s="294"/>
      <c r="B823" s="294" t="s">
        <v>22</v>
      </c>
      <c r="C823" s="294" t="s">
        <v>22</v>
      </c>
      <c r="D823" s="294" t="s">
        <v>22</v>
      </c>
      <c r="E823" s="294" t="s">
        <v>22</v>
      </c>
      <c r="F823" s="294" t="s">
        <v>22</v>
      </c>
      <c r="G823" s="294" t="s">
        <v>22</v>
      </c>
      <c r="H823" s="294" t="s">
        <v>22</v>
      </c>
      <c r="I823" s="294" t="s">
        <v>22</v>
      </c>
      <c r="J823" s="294" t="s">
        <v>22</v>
      </c>
    </row>
    <row r="824">
      <c r="A824" s="294"/>
      <c r="B824" s="294" t="s">
        <v>22</v>
      </c>
      <c r="C824" s="294" t="s">
        <v>22</v>
      </c>
      <c r="D824" s="294" t="s">
        <v>22</v>
      </c>
      <c r="E824" s="294" t="s">
        <v>22</v>
      </c>
      <c r="F824" s="294" t="s">
        <v>22</v>
      </c>
      <c r="G824" s="294" t="s">
        <v>22</v>
      </c>
      <c r="H824" s="294" t="s">
        <v>22</v>
      </c>
      <c r="I824" s="294" t="s">
        <v>22</v>
      </c>
      <c r="J824" s="294" t="s">
        <v>22</v>
      </c>
    </row>
    <row r="825">
      <c r="A825" s="294"/>
      <c r="B825" s="294" t="s">
        <v>22</v>
      </c>
      <c r="C825" s="294" t="s">
        <v>22</v>
      </c>
      <c r="D825" s="294" t="s">
        <v>22</v>
      </c>
      <c r="E825" s="294" t="s">
        <v>22</v>
      </c>
      <c r="F825" s="294" t="s">
        <v>22</v>
      </c>
      <c r="G825" s="294" t="s">
        <v>22</v>
      </c>
      <c r="H825" s="294" t="s">
        <v>22</v>
      </c>
      <c r="I825" s="294" t="s">
        <v>22</v>
      </c>
      <c r="J825" s="294" t="s">
        <v>22</v>
      </c>
    </row>
    <row r="826">
      <c r="A826" s="294"/>
      <c r="B826" s="294" t="s">
        <v>22</v>
      </c>
      <c r="C826" s="294" t="s">
        <v>22</v>
      </c>
      <c r="D826" s="294" t="s">
        <v>22</v>
      </c>
      <c r="E826" s="294" t="s">
        <v>22</v>
      </c>
      <c r="F826" s="294" t="s">
        <v>22</v>
      </c>
      <c r="G826" s="294" t="s">
        <v>22</v>
      </c>
      <c r="H826" s="294" t="s">
        <v>22</v>
      </c>
      <c r="I826" s="294" t="s">
        <v>22</v>
      </c>
      <c r="J826" s="294" t="s">
        <v>22</v>
      </c>
    </row>
    <row r="827">
      <c r="A827" s="294"/>
      <c r="B827" s="294" t="s">
        <v>22</v>
      </c>
      <c r="C827" s="294" t="s">
        <v>22</v>
      </c>
      <c r="D827" s="294" t="s">
        <v>22</v>
      </c>
      <c r="E827" s="294" t="s">
        <v>22</v>
      </c>
      <c r="F827" s="294" t="s">
        <v>22</v>
      </c>
      <c r="G827" s="294" t="s">
        <v>22</v>
      </c>
      <c r="H827" s="294" t="s">
        <v>22</v>
      </c>
      <c r="I827" s="294" t="s">
        <v>22</v>
      </c>
      <c r="J827" s="294" t="s">
        <v>22</v>
      </c>
    </row>
    <row r="828">
      <c r="A828" s="294"/>
      <c r="B828" s="294" t="s">
        <v>22</v>
      </c>
      <c r="C828" s="294" t="s">
        <v>22</v>
      </c>
      <c r="D828" s="294" t="s">
        <v>22</v>
      </c>
      <c r="E828" s="294" t="s">
        <v>22</v>
      </c>
      <c r="F828" s="294" t="s">
        <v>22</v>
      </c>
      <c r="G828" s="294" t="s">
        <v>22</v>
      </c>
      <c r="H828" s="294" t="s">
        <v>22</v>
      </c>
      <c r="I828" s="294" t="s">
        <v>22</v>
      </c>
      <c r="J828" s="294" t="s">
        <v>22</v>
      </c>
    </row>
    <row r="829">
      <c r="A829" s="294"/>
      <c r="B829" s="294" t="s">
        <v>22</v>
      </c>
      <c r="C829" s="294" t="s">
        <v>22</v>
      </c>
      <c r="D829" s="294" t="s">
        <v>22</v>
      </c>
      <c r="E829" s="294" t="s">
        <v>22</v>
      </c>
      <c r="F829" s="294" t="s">
        <v>22</v>
      </c>
      <c r="G829" s="294" t="s">
        <v>22</v>
      </c>
      <c r="H829" s="294" t="s">
        <v>22</v>
      </c>
      <c r="I829" s="294" t="s">
        <v>22</v>
      </c>
      <c r="J829" s="294" t="s">
        <v>22</v>
      </c>
    </row>
    <row r="830">
      <c r="A830" s="294"/>
      <c r="B830" s="294" t="s">
        <v>22</v>
      </c>
      <c r="C830" s="294" t="s">
        <v>22</v>
      </c>
      <c r="D830" s="294" t="s">
        <v>22</v>
      </c>
      <c r="E830" s="294" t="s">
        <v>22</v>
      </c>
      <c r="F830" s="294" t="s">
        <v>22</v>
      </c>
      <c r="G830" s="294" t="s">
        <v>22</v>
      </c>
      <c r="H830" s="294" t="s">
        <v>22</v>
      </c>
      <c r="I830" s="294" t="s">
        <v>22</v>
      </c>
      <c r="J830" s="294" t="s">
        <v>22</v>
      </c>
    </row>
    <row r="831">
      <c r="A831" s="294"/>
      <c r="B831" s="294" t="s">
        <v>22</v>
      </c>
      <c r="C831" s="294" t="s">
        <v>22</v>
      </c>
      <c r="D831" s="294" t="s">
        <v>22</v>
      </c>
      <c r="E831" s="294" t="s">
        <v>22</v>
      </c>
      <c r="F831" s="294" t="s">
        <v>22</v>
      </c>
      <c r="G831" s="294" t="s">
        <v>22</v>
      </c>
      <c r="H831" s="294" t="s">
        <v>22</v>
      </c>
      <c r="I831" s="294" t="s">
        <v>22</v>
      </c>
      <c r="J831" s="294" t="s">
        <v>22</v>
      </c>
    </row>
    <row r="832">
      <c r="A832" s="294"/>
      <c r="B832" s="294" t="s">
        <v>22</v>
      </c>
      <c r="C832" s="294" t="s">
        <v>22</v>
      </c>
      <c r="D832" s="294" t="s">
        <v>22</v>
      </c>
      <c r="E832" s="294" t="s">
        <v>22</v>
      </c>
      <c r="F832" s="294" t="s">
        <v>22</v>
      </c>
      <c r="G832" s="294" t="s">
        <v>22</v>
      </c>
      <c r="H832" s="294" t="s">
        <v>22</v>
      </c>
      <c r="I832" s="294" t="s">
        <v>22</v>
      </c>
      <c r="J832" s="294" t="s">
        <v>22</v>
      </c>
    </row>
    <row r="833">
      <c r="A833" s="294"/>
      <c r="B833" s="294" t="s">
        <v>22</v>
      </c>
      <c r="C833" s="294" t="s">
        <v>22</v>
      </c>
      <c r="D833" s="294" t="s">
        <v>22</v>
      </c>
      <c r="E833" s="294" t="s">
        <v>22</v>
      </c>
      <c r="F833" s="294" t="s">
        <v>22</v>
      </c>
      <c r="G833" s="294" t="s">
        <v>22</v>
      </c>
      <c r="H833" s="294" t="s">
        <v>22</v>
      </c>
      <c r="I833" s="294" t="s">
        <v>22</v>
      </c>
      <c r="J833" s="294" t="s">
        <v>22</v>
      </c>
    </row>
    <row r="834">
      <c r="A834" s="294"/>
      <c r="B834" s="294" t="s">
        <v>22</v>
      </c>
      <c r="C834" s="294" t="s">
        <v>22</v>
      </c>
      <c r="D834" s="294" t="s">
        <v>22</v>
      </c>
      <c r="E834" s="294" t="s">
        <v>22</v>
      </c>
      <c r="F834" s="294" t="s">
        <v>22</v>
      </c>
      <c r="G834" s="294" t="s">
        <v>22</v>
      </c>
      <c r="H834" s="294" t="s">
        <v>22</v>
      </c>
      <c r="I834" s="294" t="s">
        <v>22</v>
      </c>
      <c r="J834" s="294" t="s">
        <v>22</v>
      </c>
    </row>
    <row r="835">
      <c r="A835" s="294"/>
      <c r="B835" s="294" t="s">
        <v>22</v>
      </c>
      <c r="C835" s="294" t="s">
        <v>22</v>
      </c>
      <c r="D835" s="294" t="s">
        <v>22</v>
      </c>
      <c r="E835" s="294" t="s">
        <v>22</v>
      </c>
      <c r="F835" s="294" t="s">
        <v>22</v>
      </c>
      <c r="G835" s="294" t="s">
        <v>22</v>
      </c>
      <c r="H835" s="294" t="s">
        <v>22</v>
      </c>
      <c r="I835" s="294" t="s">
        <v>22</v>
      </c>
      <c r="J835" s="294" t="s">
        <v>22</v>
      </c>
    </row>
    <row r="836">
      <c r="A836" s="294"/>
      <c r="B836" s="294" t="s">
        <v>22</v>
      </c>
      <c r="C836" s="294" t="s">
        <v>22</v>
      </c>
      <c r="D836" s="294" t="s">
        <v>22</v>
      </c>
      <c r="E836" s="294" t="s">
        <v>22</v>
      </c>
      <c r="F836" s="294" t="s">
        <v>22</v>
      </c>
      <c r="G836" s="294" t="s">
        <v>22</v>
      </c>
      <c r="H836" s="294" t="s">
        <v>22</v>
      </c>
      <c r="I836" s="294" t="s">
        <v>22</v>
      </c>
      <c r="J836" s="294" t="s">
        <v>22</v>
      </c>
    </row>
    <row r="837">
      <c r="A837" s="294"/>
      <c r="B837" s="294" t="s">
        <v>22</v>
      </c>
      <c r="C837" s="294" t="s">
        <v>22</v>
      </c>
      <c r="D837" s="294" t="s">
        <v>22</v>
      </c>
      <c r="E837" s="294" t="s">
        <v>22</v>
      </c>
      <c r="F837" s="294" t="s">
        <v>22</v>
      </c>
      <c r="G837" s="294" t="s">
        <v>22</v>
      </c>
      <c r="H837" s="294" t="s">
        <v>22</v>
      </c>
      <c r="I837" s="294" t="s">
        <v>22</v>
      </c>
      <c r="J837" s="294" t="s">
        <v>22</v>
      </c>
    </row>
    <row r="838">
      <c r="A838" s="294"/>
      <c r="B838" s="294" t="s">
        <v>22</v>
      </c>
      <c r="C838" s="294" t="s">
        <v>22</v>
      </c>
      <c r="D838" s="294" t="s">
        <v>22</v>
      </c>
      <c r="E838" s="294" t="s">
        <v>22</v>
      </c>
      <c r="F838" s="294" t="s">
        <v>22</v>
      </c>
      <c r="G838" s="294" t="s">
        <v>22</v>
      </c>
      <c r="H838" s="294" t="s">
        <v>22</v>
      </c>
      <c r="I838" s="294" t="s">
        <v>22</v>
      </c>
      <c r="J838" s="294" t="s">
        <v>22</v>
      </c>
    </row>
    <row r="839">
      <c r="A839" s="294"/>
      <c r="B839" s="294" t="s">
        <v>22</v>
      </c>
      <c r="C839" s="294" t="s">
        <v>22</v>
      </c>
      <c r="D839" s="294" t="s">
        <v>22</v>
      </c>
      <c r="E839" s="294" t="s">
        <v>22</v>
      </c>
      <c r="F839" s="294" t="s">
        <v>22</v>
      </c>
      <c r="G839" s="294" t="s">
        <v>22</v>
      </c>
      <c r="H839" s="294" t="s">
        <v>22</v>
      </c>
      <c r="I839" s="294" t="s">
        <v>22</v>
      </c>
      <c r="J839" s="294" t="s">
        <v>22</v>
      </c>
    </row>
    <row r="840">
      <c r="A840" s="294"/>
      <c r="B840" s="294" t="s">
        <v>22</v>
      </c>
      <c r="C840" s="294" t="s">
        <v>22</v>
      </c>
      <c r="D840" s="294" t="s">
        <v>22</v>
      </c>
      <c r="E840" s="294" t="s">
        <v>22</v>
      </c>
      <c r="F840" s="294" t="s">
        <v>22</v>
      </c>
      <c r="G840" s="294" t="s">
        <v>22</v>
      </c>
      <c r="H840" s="294" t="s">
        <v>22</v>
      </c>
      <c r="I840" s="294" t="s">
        <v>22</v>
      </c>
      <c r="J840" s="294" t="s">
        <v>22</v>
      </c>
    </row>
    <row r="841">
      <c r="A841" s="294"/>
      <c r="B841" s="294" t="s">
        <v>22</v>
      </c>
      <c r="C841" s="294" t="s">
        <v>22</v>
      </c>
      <c r="D841" s="294" t="s">
        <v>22</v>
      </c>
      <c r="E841" s="294" t="s">
        <v>22</v>
      </c>
      <c r="F841" s="294" t="s">
        <v>22</v>
      </c>
      <c r="G841" s="294" t="s">
        <v>22</v>
      </c>
      <c r="H841" s="294" t="s">
        <v>22</v>
      </c>
      <c r="I841" s="294" t="s">
        <v>22</v>
      </c>
      <c r="J841" s="294" t="s">
        <v>22</v>
      </c>
    </row>
    <row r="842">
      <c r="A842" s="294"/>
      <c r="B842" s="294" t="s">
        <v>22</v>
      </c>
      <c r="C842" s="294" t="s">
        <v>22</v>
      </c>
      <c r="D842" s="294" t="s">
        <v>22</v>
      </c>
      <c r="E842" s="294" t="s">
        <v>22</v>
      </c>
      <c r="F842" s="294" t="s">
        <v>22</v>
      </c>
      <c r="G842" s="294" t="s">
        <v>22</v>
      </c>
      <c r="H842" s="294" t="s">
        <v>22</v>
      </c>
      <c r="I842" s="294" t="s">
        <v>22</v>
      </c>
      <c r="J842" s="294" t="s">
        <v>22</v>
      </c>
    </row>
    <row r="843">
      <c r="A843" s="294"/>
      <c r="B843" s="294" t="s">
        <v>22</v>
      </c>
      <c r="C843" s="294" t="s">
        <v>22</v>
      </c>
      <c r="D843" s="294" t="s">
        <v>22</v>
      </c>
      <c r="E843" s="294" t="s">
        <v>22</v>
      </c>
      <c r="F843" s="294" t="s">
        <v>22</v>
      </c>
      <c r="G843" s="294" t="s">
        <v>22</v>
      </c>
      <c r="H843" s="294" t="s">
        <v>22</v>
      </c>
      <c r="I843" s="294" t="s">
        <v>22</v>
      </c>
      <c r="J843" s="294" t="s">
        <v>22</v>
      </c>
    </row>
    <row r="844">
      <c r="A844" s="294"/>
      <c r="B844" s="294" t="s">
        <v>22</v>
      </c>
      <c r="C844" s="294" t="s">
        <v>22</v>
      </c>
      <c r="D844" s="294" t="s">
        <v>22</v>
      </c>
      <c r="E844" s="294" t="s">
        <v>22</v>
      </c>
      <c r="F844" s="294" t="s">
        <v>22</v>
      </c>
      <c r="G844" s="294" t="s">
        <v>22</v>
      </c>
      <c r="H844" s="294" t="s">
        <v>22</v>
      </c>
      <c r="I844" s="294" t="s">
        <v>22</v>
      </c>
      <c r="J844" s="294" t="s">
        <v>22</v>
      </c>
    </row>
    <row r="845">
      <c r="A845" s="294"/>
      <c r="B845" s="294" t="s">
        <v>22</v>
      </c>
      <c r="C845" s="294" t="s">
        <v>22</v>
      </c>
      <c r="D845" s="294" t="s">
        <v>22</v>
      </c>
      <c r="E845" s="294" t="s">
        <v>22</v>
      </c>
      <c r="F845" s="294" t="s">
        <v>22</v>
      </c>
      <c r="G845" s="294" t="s">
        <v>22</v>
      </c>
      <c r="H845" s="294" t="s">
        <v>22</v>
      </c>
      <c r="I845" s="294" t="s">
        <v>22</v>
      </c>
      <c r="J845" s="294" t="s">
        <v>22</v>
      </c>
    </row>
    <row r="846">
      <c r="A846" s="294"/>
      <c r="B846" s="294" t="s">
        <v>22</v>
      </c>
      <c r="C846" s="294" t="s">
        <v>22</v>
      </c>
      <c r="D846" s="294" t="s">
        <v>22</v>
      </c>
      <c r="E846" s="294" t="s">
        <v>22</v>
      </c>
      <c r="F846" s="294" t="s">
        <v>22</v>
      </c>
      <c r="G846" s="294" t="s">
        <v>22</v>
      </c>
      <c r="H846" s="294" t="s">
        <v>22</v>
      </c>
      <c r="I846" s="294" t="s">
        <v>22</v>
      </c>
      <c r="J846" s="294" t="s">
        <v>22</v>
      </c>
    </row>
    <row r="847">
      <c r="A847" s="294"/>
      <c r="B847" s="294" t="s">
        <v>22</v>
      </c>
      <c r="C847" s="294" t="s">
        <v>22</v>
      </c>
      <c r="D847" s="294" t="s">
        <v>22</v>
      </c>
      <c r="E847" s="294" t="s">
        <v>22</v>
      </c>
      <c r="F847" s="294" t="s">
        <v>22</v>
      </c>
      <c r="G847" s="294" t="s">
        <v>22</v>
      </c>
      <c r="H847" s="294" t="s">
        <v>22</v>
      </c>
      <c r="I847" s="294" t="s">
        <v>22</v>
      </c>
      <c r="J847" s="294" t="s">
        <v>22</v>
      </c>
    </row>
    <row r="848">
      <c r="A848" s="294"/>
      <c r="B848" s="294" t="s">
        <v>22</v>
      </c>
      <c r="C848" s="294" t="s">
        <v>22</v>
      </c>
      <c r="D848" s="294" t="s">
        <v>22</v>
      </c>
      <c r="E848" s="294" t="s">
        <v>22</v>
      </c>
      <c r="F848" s="294" t="s">
        <v>22</v>
      </c>
      <c r="G848" s="294" t="s">
        <v>22</v>
      </c>
      <c r="H848" s="294" t="s">
        <v>22</v>
      </c>
      <c r="I848" s="294" t="s">
        <v>22</v>
      </c>
      <c r="J848" s="294" t="s">
        <v>22</v>
      </c>
    </row>
    <row r="849">
      <c r="A849" s="294"/>
      <c r="B849" s="294" t="s">
        <v>22</v>
      </c>
      <c r="C849" s="294" t="s">
        <v>22</v>
      </c>
      <c r="D849" s="294" t="s">
        <v>22</v>
      </c>
      <c r="E849" s="294" t="s">
        <v>22</v>
      </c>
      <c r="F849" s="294" t="s">
        <v>22</v>
      </c>
      <c r="G849" s="294" t="s">
        <v>22</v>
      </c>
      <c r="H849" s="294" t="s">
        <v>22</v>
      </c>
      <c r="I849" s="294" t="s">
        <v>22</v>
      </c>
      <c r="J849" s="294" t="s">
        <v>22</v>
      </c>
    </row>
    <row r="850">
      <c r="A850" s="294"/>
      <c r="B850" s="294" t="s">
        <v>22</v>
      </c>
      <c r="C850" s="294" t="s">
        <v>22</v>
      </c>
      <c r="D850" s="294" t="s">
        <v>22</v>
      </c>
      <c r="E850" s="294" t="s">
        <v>22</v>
      </c>
      <c r="F850" s="294" t="s">
        <v>22</v>
      </c>
      <c r="G850" s="294" t="s">
        <v>22</v>
      </c>
      <c r="H850" s="294" t="s">
        <v>22</v>
      </c>
      <c r="I850" s="294" t="s">
        <v>22</v>
      </c>
      <c r="J850" s="294" t="s">
        <v>22</v>
      </c>
    </row>
    <row r="851">
      <c r="A851" s="294"/>
      <c r="B851" s="294" t="s">
        <v>22</v>
      </c>
      <c r="C851" s="294" t="s">
        <v>22</v>
      </c>
      <c r="D851" s="294" t="s">
        <v>22</v>
      </c>
      <c r="E851" s="294" t="s">
        <v>22</v>
      </c>
      <c r="F851" s="294" t="s">
        <v>22</v>
      </c>
      <c r="G851" s="294" t="s">
        <v>22</v>
      </c>
      <c r="H851" s="294" t="s">
        <v>22</v>
      </c>
      <c r="I851" s="294" t="s">
        <v>22</v>
      </c>
      <c r="J851" s="294" t="s">
        <v>22</v>
      </c>
    </row>
    <row r="852">
      <c r="A852" s="294"/>
      <c r="B852" s="294" t="s">
        <v>22</v>
      </c>
      <c r="C852" s="294" t="s">
        <v>22</v>
      </c>
      <c r="D852" s="294" t="s">
        <v>22</v>
      </c>
      <c r="E852" s="294" t="s">
        <v>22</v>
      </c>
      <c r="F852" s="294" t="s">
        <v>22</v>
      </c>
      <c r="G852" s="294" t="s">
        <v>22</v>
      </c>
      <c r="H852" s="294" t="s">
        <v>22</v>
      </c>
      <c r="I852" s="294" t="s">
        <v>22</v>
      </c>
      <c r="J852" s="294" t="s">
        <v>22</v>
      </c>
    </row>
    <row r="853">
      <c r="A853" s="294"/>
      <c r="B853" s="294" t="s">
        <v>22</v>
      </c>
      <c r="C853" s="294" t="s">
        <v>22</v>
      </c>
      <c r="D853" s="294" t="s">
        <v>22</v>
      </c>
      <c r="E853" s="294" t="s">
        <v>22</v>
      </c>
      <c r="F853" s="294" t="s">
        <v>22</v>
      </c>
      <c r="G853" s="294" t="s">
        <v>22</v>
      </c>
      <c r="H853" s="294" t="s">
        <v>22</v>
      </c>
      <c r="I853" s="294" t="s">
        <v>22</v>
      </c>
      <c r="J853" s="294" t="s">
        <v>22</v>
      </c>
    </row>
    <row r="854">
      <c r="A854" s="294"/>
      <c r="B854" s="294" t="s">
        <v>22</v>
      </c>
      <c r="C854" s="294" t="s">
        <v>22</v>
      </c>
      <c r="D854" s="294" t="s">
        <v>22</v>
      </c>
      <c r="E854" s="294" t="s">
        <v>22</v>
      </c>
      <c r="F854" s="294" t="s">
        <v>22</v>
      </c>
      <c r="G854" s="294" t="s">
        <v>22</v>
      </c>
      <c r="H854" s="294" t="s">
        <v>22</v>
      </c>
      <c r="I854" s="294" t="s">
        <v>22</v>
      </c>
      <c r="J854" s="294" t="s">
        <v>22</v>
      </c>
    </row>
    <row r="855">
      <c r="A855" s="294"/>
      <c r="B855" s="294" t="s">
        <v>22</v>
      </c>
      <c r="C855" s="294" t="s">
        <v>22</v>
      </c>
      <c r="D855" s="294" t="s">
        <v>22</v>
      </c>
      <c r="E855" s="294" t="s">
        <v>22</v>
      </c>
      <c r="F855" s="294" t="s">
        <v>22</v>
      </c>
      <c r="G855" s="294" t="s">
        <v>22</v>
      </c>
      <c r="H855" s="294" t="s">
        <v>22</v>
      </c>
      <c r="I855" s="294" t="s">
        <v>22</v>
      </c>
      <c r="J855" s="294" t="s">
        <v>22</v>
      </c>
    </row>
    <row r="856">
      <c r="A856" s="294"/>
      <c r="B856" s="294" t="s">
        <v>22</v>
      </c>
      <c r="C856" s="294" t="s">
        <v>22</v>
      </c>
      <c r="D856" s="294" t="s">
        <v>22</v>
      </c>
      <c r="E856" s="294" t="s">
        <v>22</v>
      </c>
      <c r="F856" s="294" t="s">
        <v>22</v>
      </c>
      <c r="G856" s="294" t="s">
        <v>22</v>
      </c>
      <c r="H856" s="294" t="s">
        <v>22</v>
      </c>
      <c r="I856" s="294" t="s">
        <v>22</v>
      </c>
      <c r="J856" s="294" t="s">
        <v>22</v>
      </c>
    </row>
    <row r="857">
      <c r="A857" s="294"/>
      <c r="B857" s="294" t="s">
        <v>22</v>
      </c>
      <c r="C857" s="294" t="s">
        <v>22</v>
      </c>
      <c r="D857" s="294" t="s">
        <v>22</v>
      </c>
      <c r="E857" s="294" t="s">
        <v>22</v>
      </c>
      <c r="F857" s="294" t="s">
        <v>22</v>
      </c>
      <c r="G857" s="294" t="s">
        <v>22</v>
      </c>
      <c r="H857" s="294" t="s">
        <v>22</v>
      </c>
      <c r="I857" s="294" t="s">
        <v>22</v>
      </c>
      <c r="J857" s="294" t="s">
        <v>22</v>
      </c>
    </row>
    <row r="858">
      <c r="A858" s="294"/>
      <c r="B858" s="294" t="s">
        <v>22</v>
      </c>
      <c r="C858" s="294" t="s">
        <v>22</v>
      </c>
      <c r="D858" s="294" t="s">
        <v>22</v>
      </c>
      <c r="E858" s="294" t="s">
        <v>22</v>
      </c>
      <c r="F858" s="294" t="s">
        <v>22</v>
      </c>
      <c r="G858" s="294" t="s">
        <v>22</v>
      </c>
      <c r="H858" s="294" t="s">
        <v>22</v>
      </c>
      <c r="I858" s="294" t="s">
        <v>22</v>
      </c>
      <c r="J858" s="294" t="s">
        <v>22</v>
      </c>
    </row>
    <row r="859">
      <c r="A859" s="294"/>
      <c r="B859" s="294" t="s">
        <v>22</v>
      </c>
      <c r="C859" s="294" t="s">
        <v>22</v>
      </c>
      <c r="D859" s="294" t="s">
        <v>22</v>
      </c>
      <c r="E859" s="294" t="s">
        <v>22</v>
      </c>
      <c r="F859" s="294" t="s">
        <v>22</v>
      </c>
      <c r="G859" s="294" t="s">
        <v>22</v>
      </c>
      <c r="H859" s="294" t="s">
        <v>22</v>
      </c>
      <c r="I859" s="294" t="s">
        <v>22</v>
      </c>
      <c r="J859" s="294" t="s">
        <v>22</v>
      </c>
    </row>
    <row r="860">
      <c r="A860" s="294"/>
      <c r="B860" s="294" t="s">
        <v>22</v>
      </c>
      <c r="C860" s="294" t="s">
        <v>22</v>
      </c>
      <c r="D860" s="294" t="s">
        <v>22</v>
      </c>
      <c r="E860" s="294" t="s">
        <v>22</v>
      </c>
      <c r="F860" s="294" t="s">
        <v>22</v>
      </c>
      <c r="G860" s="294" t="s">
        <v>22</v>
      </c>
      <c r="H860" s="294" t="s">
        <v>22</v>
      </c>
      <c r="I860" s="294" t="s">
        <v>22</v>
      </c>
      <c r="J860" s="294" t="s">
        <v>22</v>
      </c>
    </row>
    <row r="861">
      <c r="A861" s="294"/>
      <c r="B861" s="294" t="s">
        <v>22</v>
      </c>
      <c r="C861" s="294" t="s">
        <v>22</v>
      </c>
      <c r="D861" s="294" t="s">
        <v>22</v>
      </c>
      <c r="E861" s="294" t="s">
        <v>22</v>
      </c>
      <c r="F861" s="294" t="s">
        <v>22</v>
      </c>
      <c r="G861" s="294" t="s">
        <v>22</v>
      </c>
      <c r="H861" s="294" t="s">
        <v>22</v>
      </c>
      <c r="I861" s="294" t="s">
        <v>22</v>
      </c>
      <c r="J861" s="294" t="s">
        <v>22</v>
      </c>
    </row>
    <row r="862">
      <c r="A862" s="294"/>
      <c r="B862" s="294" t="s">
        <v>22</v>
      </c>
      <c r="C862" s="294" t="s">
        <v>22</v>
      </c>
      <c r="D862" s="294" t="s">
        <v>22</v>
      </c>
      <c r="E862" s="294" t="s">
        <v>22</v>
      </c>
      <c r="F862" s="294" t="s">
        <v>22</v>
      </c>
      <c r="G862" s="294" t="s">
        <v>22</v>
      </c>
      <c r="H862" s="294" t="s">
        <v>22</v>
      </c>
      <c r="I862" s="294" t="s">
        <v>22</v>
      </c>
      <c r="J862" s="294" t="s">
        <v>22</v>
      </c>
    </row>
    <row r="863">
      <c r="A863" s="294"/>
      <c r="B863" s="294" t="s">
        <v>22</v>
      </c>
      <c r="C863" s="294" t="s">
        <v>22</v>
      </c>
      <c r="D863" s="294" t="s">
        <v>22</v>
      </c>
      <c r="E863" s="294" t="s">
        <v>22</v>
      </c>
      <c r="F863" s="294" t="s">
        <v>22</v>
      </c>
      <c r="G863" s="294" t="s">
        <v>22</v>
      </c>
      <c r="H863" s="294" t="s">
        <v>22</v>
      </c>
      <c r="I863" s="294" t="s">
        <v>22</v>
      </c>
      <c r="J863" s="294" t="s">
        <v>22</v>
      </c>
    </row>
    <row r="864">
      <c r="A864" s="294"/>
      <c r="B864" s="294" t="s">
        <v>22</v>
      </c>
      <c r="C864" s="294" t="s">
        <v>22</v>
      </c>
      <c r="D864" s="294" t="s">
        <v>22</v>
      </c>
      <c r="E864" s="294" t="s">
        <v>22</v>
      </c>
      <c r="F864" s="294" t="s">
        <v>22</v>
      </c>
      <c r="G864" s="294" t="s">
        <v>22</v>
      </c>
      <c r="H864" s="294" t="s">
        <v>22</v>
      </c>
      <c r="I864" s="294" t="s">
        <v>22</v>
      </c>
      <c r="J864" s="294" t="s">
        <v>22</v>
      </c>
    </row>
    <row r="865">
      <c r="A865" s="294"/>
      <c r="B865" s="294" t="s">
        <v>22</v>
      </c>
      <c r="C865" s="294" t="s">
        <v>22</v>
      </c>
      <c r="D865" s="294" t="s">
        <v>22</v>
      </c>
      <c r="E865" s="294" t="s">
        <v>22</v>
      </c>
      <c r="F865" s="294" t="s">
        <v>22</v>
      </c>
      <c r="G865" s="294" t="s">
        <v>22</v>
      </c>
      <c r="H865" s="294" t="s">
        <v>22</v>
      </c>
      <c r="I865" s="294" t="s">
        <v>22</v>
      </c>
      <c r="J865" s="294" t="s">
        <v>22</v>
      </c>
    </row>
    <row r="866">
      <c r="A866" s="294"/>
      <c r="B866" s="294" t="s">
        <v>22</v>
      </c>
      <c r="C866" s="294" t="s">
        <v>22</v>
      </c>
      <c r="D866" s="294" t="s">
        <v>22</v>
      </c>
      <c r="E866" s="294" t="s">
        <v>22</v>
      </c>
      <c r="F866" s="294" t="s">
        <v>22</v>
      </c>
      <c r="G866" s="294" t="s">
        <v>22</v>
      </c>
      <c r="H866" s="294" t="s">
        <v>22</v>
      </c>
      <c r="I866" s="294" t="s">
        <v>22</v>
      </c>
      <c r="J866" s="294" t="s">
        <v>22</v>
      </c>
    </row>
    <row r="867">
      <c r="A867" s="294"/>
      <c r="B867" s="294" t="s">
        <v>22</v>
      </c>
      <c r="C867" s="294" t="s">
        <v>22</v>
      </c>
      <c r="D867" s="294" t="s">
        <v>22</v>
      </c>
      <c r="E867" s="294" t="s">
        <v>22</v>
      </c>
      <c r="F867" s="294" t="s">
        <v>22</v>
      </c>
      <c r="G867" s="294" t="s">
        <v>22</v>
      </c>
      <c r="H867" s="294" t="s">
        <v>22</v>
      </c>
      <c r="I867" s="294" t="s">
        <v>22</v>
      </c>
      <c r="J867" s="294" t="s">
        <v>22</v>
      </c>
    </row>
    <row r="868">
      <c r="A868" s="294"/>
      <c r="B868" s="294" t="s">
        <v>22</v>
      </c>
      <c r="C868" s="294" t="s">
        <v>22</v>
      </c>
      <c r="D868" s="294" t="s">
        <v>22</v>
      </c>
      <c r="E868" s="294" t="s">
        <v>22</v>
      </c>
      <c r="F868" s="294" t="s">
        <v>22</v>
      </c>
      <c r="G868" s="294" t="s">
        <v>22</v>
      </c>
      <c r="H868" s="294" t="s">
        <v>22</v>
      </c>
      <c r="I868" s="294" t="s">
        <v>22</v>
      </c>
      <c r="J868" s="294" t="s">
        <v>22</v>
      </c>
    </row>
    <row r="869">
      <c r="A869" s="294"/>
      <c r="B869" s="294" t="s">
        <v>22</v>
      </c>
      <c r="C869" s="294" t="s">
        <v>22</v>
      </c>
      <c r="D869" s="294" t="s">
        <v>22</v>
      </c>
      <c r="E869" s="294" t="s">
        <v>22</v>
      </c>
      <c r="F869" s="294" t="s">
        <v>22</v>
      </c>
      <c r="G869" s="294" t="s">
        <v>22</v>
      </c>
      <c r="H869" s="294" t="s">
        <v>22</v>
      </c>
      <c r="I869" s="294" t="s">
        <v>22</v>
      </c>
      <c r="J869" s="294" t="s">
        <v>22</v>
      </c>
    </row>
    <row r="870">
      <c r="A870" s="294"/>
      <c r="B870" s="294" t="s">
        <v>22</v>
      </c>
      <c r="C870" s="294" t="s">
        <v>22</v>
      </c>
      <c r="D870" s="294" t="s">
        <v>22</v>
      </c>
      <c r="E870" s="294" t="s">
        <v>22</v>
      </c>
      <c r="F870" s="294" t="s">
        <v>22</v>
      </c>
      <c r="G870" s="294" t="s">
        <v>22</v>
      </c>
      <c r="H870" s="294" t="s">
        <v>22</v>
      </c>
      <c r="I870" s="294" t="s">
        <v>22</v>
      </c>
      <c r="J870" s="294" t="s">
        <v>22</v>
      </c>
    </row>
    <row r="871">
      <c r="A871" s="294"/>
      <c r="B871" s="294" t="s">
        <v>22</v>
      </c>
      <c r="C871" s="294" t="s">
        <v>22</v>
      </c>
      <c r="D871" s="294" t="s">
        <v>22</v>
      </c>
      <c r="E871" s="294" t="s">
        <v>22</v>
      </c>
      <c r="F871" s="294" t="s">
        <v>22</v>
      </c>
      <c r="G871" s="294" t="s">
        <v>22</v>
      </c>
      <c r="H871" s="294" t="s">
        <v>22</v>
      </c>
      <c r="I871" s="294" t="s">
        <v>22</v>
      </c>
      <c r="J871" s="294" t="s">
        <v>22</v>
      </c>
    </row>
    <row r="872">
      <c r="A872" s="294"/>
      <c r="B872" s="294" t="s">
        <v>22</v>
      </c>
      <c r="C872" s="294" t="s">
        <v>22</v>
      </c>
      <c r="D872" s="294" t="s">
        <v>22</v>
      </c>
      <c r="E872" s="294" t="s">
        <v>22</v>
      </c>
      <c r="F872" s="294" t="s">
        <v>22</v>
      </c>
      <c r="G872" s="294" t="s">
        <v>22</v>
      </c>
      <c r="H872" s="294" t="s">
        <v>22</v>
      </c>
      <c r="I872" s="294" t="s">
        <v>22</v>
      </c>
      <c r="J872" s="294" t="s">
        <v>22</v>
      </c>
    </row>
    <row r="873">
      <c r="A873" s="294"/>
      <c r="B873" s="294" t="s">
        <v>22</v>
      </c>
      <c r="C873" s="294" t="s">
        <v>22</v>
      </c>
      <c r="D873" s="294" t="s">
        <v>22</v>
      </c>
      <c r="E873" s="294" t="s">
        <v>22</v>
      </c>
      <c r="F873" s="294" t="s">
        <v>22</v>
      </c>
      <c r="G873" s="294" t="s">
        <v>22</v>
      </c>
      <c r="H873" s="294" t="s">
        <v>22</v>
      </c>
      <c r="I873" s="294" t="s">
        <v>22</v>
      </c>
      <c r="J873" s="294" t="s">
        <v>22</v>
      </c>
    </row>
    <row r="874">
      <c r="A874" s="294"/>
      <c r="B874" s="294" t="s">
        <v>22</v>
      </c>
      <c r="C874" s="294" t="s">
        <v>22</v>
      </c>
      <c r="D874" s="294" t="s">
        <v>22</v>
      </c>
      <c r="E874" s="294" t="s">
        <v>22</v>
      </c>
      <c r="F874" s="294" t="s">
        <v>22</v>
      </c>
      <c r="G874" s="294" t="s">
        <v>22</v>
      </c>
      <c r="H874" s="294" t="s">
        <v>22</v>
      </c>
      <c r="I874" s="294" t="s">
        <v>22</v>
      </c>
      <c r="J874" s="294" t="s">
        <v>22</v>
      </c>
    </row>
    <row r="875">
      <c r="A875" s="294"/>
      <c r="B875" s="294" t="s">
        <v>22</v>
      </c>
      <c r="C875" s="294" t="s">
        <v>22</v>
      </c>
      <c r="D875" s="294" t="s">
        <v>22</v>
      </c>
      <c r="E875" s="294" t="s">
        <v>22</v>
      </c>
      <c r="F875" s="294" t="s">
        <v>22</v>
      </c>
      <c r="G875" s="294" t="s">
        <v>22</v>
      </c>
      <c r="H875" s="294" t="s">
        <v>22</v>
      </c>
      <c r="I875" s="294" t="s">
        <v>22</v>
      </c>
      <c r="J875" s="294" t="s">
        <v>22</v>
      </c>
    </row>
    <row r="876">
      <c r="A876" s="294"/>
      <c r="B876" s="294" t="s">
        <v>22</v>
      </c>
      <c r="C876" s="294" t="s">
        <v>22</v>
      </c>
      <c r="D876" s="294" t="s">
        <v>22</v>
      </c>
      <c r="E876" s="294" t="s">
        <v>22</v>
      </c>
      <c r="F876" s="294" t="s">
        <v>22</v>
      </c>
      <c r="G876" s="294" t="s">
        <v>22</v>
      </c>
      <c r="H876" s="294" t="s">
        <v>22</v>
      </c>
      <c r="I876" s="294" t="s">
        <v>22</v>
      </c>
      <c r="J876" s="294" t="s">
        <v>22</v>
      </c>
    </row>
    <row r="877">
      <c r="A877" s="294"/>
      <c r="B877" s="294" t="s">
        <v>22</v>
      </c>
      <c r="C877" s="294" t="s">
        <v>22</v>
      </c>
      <c r="D877" s="294" t="s">
        <v>22</v>
      </c>
      <c r="E877" s="294" t="s">
        <v>22</v>
      </c>
      <c r="F877" s="294" t="s">
        <v>22</v>
      </c>
      <c r="G877" s="294" t="s">
        <v>22</v>
      </c>
      <c r="H877" s="294" t="s">
        <v>22</v>
      </c>
      <c r="I877" s="294" t="s">
        <v>22</v>
      </c>
      <c r="J877" s="294" t="s">
        <v>22</v>
      </c>
    </row>
    <row r="878">
      <c r="A878" s="294"/>
      <c r="B878" s="294" t="s">
        <v>22</v>
      </c>
      <c r="C878" s="294" t="s">
        <v>22</v>
      </c>
      <c r="D878" s="294" t="s">
        <v>22</v>
      </c>
      <c r="E878" s="294" t="s">
        <v>22</v>
      </c>
      <c r="F878" s="294" t="s">
        <v>22</v>
      </c>
      <c r="G878" s="294" t="s">
        <v>22</v>
      </c>
      <c r="H878" s="294" t="s">
        <v>22</v>
      </c>
      <c r="I878" s="294" t="s">
        <v>22</v>
      </c>
      <c r="J878" s="294" t="s">
        <v>22</v>
      </c>
    </row>
    <row r="879">
      <c r="A879" s="294"/>
      <c r="B879" s="294" t="s">
        <v>22</v>
      </c>
      <c r="C879" s="294" t="s">
        <v>22</v>
      </c>
      <c r="D879" s="294" t="s">
        <v>22</v>
      </c>
      <c r="E879" s="294" t="s">
        <v>22</v>
      </c>
      <c r="F879" s="294" t="s">
        <v>22</v>
      </c>
      <c r="G879" s="294" t="s">
        <v>22</v>
      </c>
      <c r="H879" s="294" t="s">
        <v>22</v>
      </c>
      <c r="I879" s="294" t="s">
        <v>22</v>
      </c>
      <c r="J879" s="294" t="s">
        <v>22</v>
      </c>
    </row>
    <row r="880">
      <c r="A880" s="294"/>
      <c r="B880" s="294" t="s">
        <v>22</v>
      </c>
      <c r="C880" s="294" t="s">
        <v>22</v>
      </c>
      <c r="D880" s="294" t="s">
        <v>22</v>
      </c>
      <c r="E880" s="294" t="s">
        <v>22</v>
      </c>
      <c r="F880" s="294" t="s">
        <v>22</v>
      </c>
      <c r="G880" s="294" t="s">
        <v>22</v>
      </c>
      <c r="H880" s="294" t="s">
        <v>22</v>
      </c>
      <c r="I880" s="294" t="s">
        <v>22</v>
      </c>
      <c r="J880" s="294" t="s">
        <v>22</v>
      </c>
    </row>
    <row r="881">
      <c r="A881" s="294"/>
      <c r="B881" s="294" t="s">
        <v>22</v>
      </c>
      <c r="C881" s="294" t="s">
        <v>22</v>
      </c>
      <c r="D881" s="294" t="s">
        <v>22</v>
      </c>
      <c r="E881" s="294" t="s">
        <v>22</v>
      </c>
      <c r="F881" s="294" t="s">
        <v>22</v>
      </c>
      <c r="G881" s="294" t="s">
        <v>22</v>
      </c>
      <c r="H881" s="294" t="s">
        <v>22</v>
      </c>
      <c r="I881" s="294" t="s">
        <v>22</v>
      </c>
      <c r="J881" s="294" t="s">
        <v>22</v>
      </c>
    </row>
    <row r="882">
      <c r="A882" s="294"/>
      <c r="B882" s="294" t="s">
        <v>22</v>
      </c>
      <c r="C882" s="294" t="s">
        <v>22</v>
      </c>
      <c r="D882" s="294" t="s">
        <v>22</v>
      </c>
      <c r="E882" s="294" t="s">
        <v>22</v>
      </c>
      <c r="F882" s="294" t="s">
        <v>22</v>
      </c>
      <c r="G882" s="294" t="s">
        <v>22</v>
      </c>
      <c r="H882" s="294" t="s">
        <v>22</v>
      </c>
      <c r="I882" s="294" t="s">
        <v>22</v>
      </c>
      <c r="J882" s="294" t="s">
        <v>22</v>
      </c>
    </row>
    <row r="883">
      <c r="A883" s="294"/>
      <c r="B883" s="294" t="s">
        <v>22</v>
      </c>
      <c r="C883" s="294" t="s">
        <v>22</v>
      </c>
      <c r="D883" s="294" t="s">
        <v>22</v>
      </c>
      <c r="E883" s="294" t="s">
        <v>22</v>
      </c>
      <c r="F883" s="294" t="s">
        <v>22</v>
      </c>
      <c r="G883" s="294" t="s">
        <v>22</v>
      </c>
      <c r="H883" s="294" t="s">
        <v>22</v>
      </c>
      <c r="I883" s="294" t="s">
        <v>22</v>
      </c>
      <c r="J883" s="294" t="s">
        <v>22</v>
      </c>
    </row>
    <row r="884">
      <c r="A884" s="294"/>
      <c r="B884" s="294" t="s">
        <v>22</v>
      </c>
      <c r="C884" s="294" t="s">
        <v>22</v>
      </c>
      <c r="D884" s="294" t="s">
        <v>22</v>
      </c>
      <c r="E884" s="294" t="s">
        <v>22</v>
      </c>
      <c r="F884" s="294" t="s">
        <v>22</v>
      </c>
      <c r="G884" s="294" t="s">
        <v>22</v>
      </c>
      <c r="H884" s="294" t="s">
        <v>22</v>
      </c>
      <c r="I884" s="294" t="s">
        <v>22</v>
      </c>
      <c r="J884" s="294" t="s">
        <v>22</v>
      </c>
    </row>
    <row r="885">
      <c r="A885" s="294"/>
      <c r="B885" s="294" t="s">
        <v>22</v>
      </c>
      <c r="C885" s="294" t="s">
        <v>22</v>
      </c>
      <c r="D885" s="294" t="s">
        <v>22</v>
      </c>
      <c r="E885" s="294" t="s">
        <v>22</v>
      </c>
      <c r="F885" s="294" t="s">
        <v>22</v>
      </c>
      <c r="G885" s="294" t="s">
        <v>22</v>
      </c>
      <c r="H885" s="294" t="s">
        <v>22</v>
      </c>
      <c r="I885" s="294" t="s">
        <v>22</v>
      </c>
      <c r="J885" s="294" t="s">
        <v>22</v>
      </c>
    </row>
    <row r="886">
      <c r="A886" s="294"/>
      <c r="B886" s="294" t="s">
        <v>22</v>
      </c>
      <c r="C886" s="294" t="s">
        <v>22</v>
      </c>
      <c r="D886" s="294" t="s">
        <v>22</v>
      </c>
      <c r="E886" s="294" t="s">
        <v>22</v>
      </c>
      <c r="F886" s="294" t="s">
        <v>22</v>
      </c>
      <c r="G886" s="294" t="s">
        <v>22</v>
      </c>
      <c r="H886" s="294" t="s">
        <v>22</v>
      </c>
      <c r="I886" s="294" t="s">
        <v>22</v>
      </c>
      <c r="J886" s="294" t="s">
        <v>22</v>
      </c>
    </row>
    <row r="887">
      <c r="A887" s="294"/>
      <c r="B887" s="294" t="s">
        <v>22</v>
      </c>
      <c r="C887" s="294" t="s">
        <v>22</v>
      </c>
      <c r="D887" s="294" t="s">
        <v>22</v>
      </c>
      <c r="E887" s="294" t="s">
        <v>22</v>
      </c>
      <c r="F887" s="294" t="s">
        <v>22</v>
      </c>
      <c r="G887" s="294" t="s">
        <v>22</v>
      </c>
      <c r="H887" s="294" t="s">
        <v>22</v>
      </c>
      <c r="I887" s="294" t="s">
        <v>22</v>
      </c>
      <c r="J887" s="294" t="s">
        <v>22</v>
      </c>
    </row>
    <row r="888">
      <c r="A888" s="294"/>
      <c r="B888" s="294" t="s">
        <v>22</v>
      </c>
      <c r="C888" s="294" t="s">
        <v>22</v>
      </c>
      <c r="D888" s="294" t="s">
        <v>22</v>
      </c>
      <c r="E888" s="294" t="s">
        <v>22</v>
      </c>
      <c r="F888" s="294" t="s">
        <v>22</v>
      </c>
      <c r="G888" s="294" t="s">
        <v>22</v>
      </c>
      <c r="H888" s="294" t="s">
        <v>22</v>
      </c>
      <c r="I888" s="294" t="s">
        <v>22</v>
      </c>
      <c r="J888" s="294" t="s">
        <v>22</v>
      </c>
    </row>
    <row r="889">
      <c r="A889" s="294"/>
      <c r="B889" s="294" t="s">
        <v>22</v>
      </c>
      <c r="C889" s="294" t="s">
        <v>22</v>
      </c>
      <c r="D889" s="294" t="s">
        <v>22</v>
      </c>
      <c r="E889" s="294" t="s">
        <v>22</v>
      </c>
      <c r="F889" s="294" t="s">
        <v>22</v>
      </c>
      <c r="G889" s="294" t="s">
        <v>22</v>
      </c>
      <c r="H889" s="294" t="s">
        <v>22</v>
      </c>
      <c r="I889" s="294" t="s">
        <v>22</v>
      </c>
      <c r="J889" s="294" t="s">
        <v>22</v>
      </c>
    </row>
    <row r="890">
      <c r="A890" s="294"/>
      <c r="B890" s="294" t="s">
        <v>22</v>
      </c>
      <c r="C890" s="294" t="s">
        <v>22</v>
      </c>
      <c r="D890" s="294" t="s">
        <v>22</v>
      </c>
      <c r="E890" s="294" t="s">
        <v>22</v>
      </c>
      <c r="F890" s="294" t="s">
        <v>22</v>
      </c>
      <c r="G890" s="294" t="s">
        <v>22</v>
      </c>
      <c r="H890" s="294" t="s">
        <v>22</v>
      </c>
      <c r="I890" s="294" t="s">
        <v>22</v>
      </c>
      <c r="J890" s="294" t="s">
        <v>22</v>
      </c>
    </row>
    <row r="891">
      <c r="A891" s="294"/>
      <c r="B891" s="294" t="s">
        <v>22</v>
      </c>
      <c r="C891" s="294" t="s">
        <v>22</v>
      </c>
      <c r="D891" s="294" t="s">
        <v>22</v>
      </c>
      <c r="E891" s="294" t="s">
        <v>22</v>
      </c>
      <c r="F891" s="294" t="s">
        <v>22</v>
      </c>
      <c r="G891" s="294" t="s">
        <v>22</v>
      </c>
      <c r="H891" s="294" t="s">
        <v>22</v>
      </c>
      <c r="I891" s="294" t="s">
        <v>22</v>
      </c>
      <c r="J891" s="294" t="s">
        <v>22</v>
      </c>
    </row>
    <row r="892">
      <c r="A892" s="294"/>
      <c r="B892" s="294" t="s">
        <v>22</v>
      </c>
      <c r="C892" s="294" t="s">
        <v>22</v>
      </c>
      <c r="D892" s="294" t="s">
        <v>22</v>
      </c>
      <c r="E892" s="294" t="s">
        <v>22</v>
      </c>
      <c r="F892" s="294" t="s">
        <v>22</v>
      </c>
      <c r="G892" s="294" t="s">
        <v>22</v>
      </c>
      <c r="H892" s="294" t="s">
        <v>22</v>
      </c>
      <c r="I892" s="294" t="s">
        <v>22</v>
      </c>
      <c r="J892" s="294" t="s">
        <v>22</v>
      </c>
    </row>
    <row r="893">
      <c r="A893" s="294"/>
      <c r="B893" s="294" t="s">
        <v>22</v>
      </c>
      <c r="C893" s="294" t="s">
        <v>22</v>
      </c>
      <c r="D893" s="294" t="s">
        <v>22</v>
      </c>
      <c r="E893" s="294" t="s">
        <v>22</v>
      </c>
      <c r="F893" s="294" t="s">
        <v>22</v>
      </c>
      <c r="G893" s="294" t="s">
        <v>22</v>
      </c>
      <c r="H893" s="294" t="s">
        <v>22</v>
      </c>
      <c r="I893" s="294" t="s">
        <v>22</v>
      </c>
      <c r="J893" s="294" t="s">
        <v>22</v>
      </c>
    </row>
    <row r="894">
      <c r="A894" s="294"/>
      <c r="B894" s="294" t="s">
        <v>22</v>
      </c>
      <c r="C894" s="294" t="s">
        <v>22</v>
      </c>
      <c r="D894" s="294" t="s">
        <v>22</v>
      </c>
      <c r="E894" s="294" t="s">
        <v>22</v>
      </c>
      <c r="F894" s="294" t="s">
        <v>22</v>
      </c>
      <c r="G894" s="294" t="s">
        <v>22</v>
      </c>
      <c r="H894" s="294" t="s">
        <v>22</v>
      </c>
      <c r="I894" s="294" t="s">
        <v>22</v>
      </c>
      <c r="J894" s="294" t="s">
        <v>22</v>
      </c>
    </row>
    <row r="895">
      <c r="A895" s="294"/>
      <c r="B895" s="294" t="s">
        <v>22</v>
      </c>
      <c r="C895" s="294" t="s">
        <v>22</v>
      </c>
      <c r="D895" s="294" t="s">
        <v>22</v>
      </c>
      <c r="E895" s="294" t="s">
        <v>22</v>
      </c>
      <c r="F895" s="294" t="s">
        <v>22</v>
      </c>
      <c r="G895" s="294" t="s">
        <v>22</v>
      </c>
      <c r="H895" s="294" t="s">
        <v>22</v>
      </c>
      <c r="I895" s="294" t="s">
        <v>22</v>
      </c>
      <c r="J895" s="294" t="s">
        <v>22</v>
      </c>
    </row>
    <row r="896">
      <c r="A896" s="294"/>
      <c r="B896" s="294" t="s">
        <v>22</v>
      </c>
      <c r="C896" s="294" t="s">
        <v>22</v>
      </c>
      <c r="D896" s="294" t="s">
        <v>22</v>
      </c>
      <c r="E896" s="294" t="s">
        <v>22</v>
      </c>
      <c r="F896" s="294" t="s">
        <v>22</v>
      </c>
      <c r="G896" s="294" t="s">
        <v>22</v>
      </c>
      <c r="H896" s="294" t="s">
        <v>22</v>
      </c>
      <c r="I896" s="294" t="s">
        <v>22</v>
      </c>
      <c r="J896" s="294" t="s">
        <v>22</v>
      </c>
    </row>
    <row r="897">
      <c r="A897" s="294"/>
      <c r="B897" s="294" t="s">
        <v>22</v>
      </c>
      <c r="C897" s="294" t="s">
        <v>22</v>
      </c>
      <c r="D897" s="294" t="s">
        <v>22</v>
      </c>
      <c r="E897" s="294" t="s">
        <v>22</v>
      </c>
      <c r="F897" s="294" t="s">
        <v>22</v>
      </c>
      <c r="G897" s="294" t="s">
        <v>22</v>
      </c>
      <c r="H897" s="294" t="s">
        <v>22</v>
      </c>
      <c r="I897" s="294" t="s">
        <v>22</v>
      </c>
      <c r="J897" s="294" t="s">
        <v>22</v>
      </c>
    </row>
    <row r="898">
      <c r="A898" s="294"/>
      <c r="B898" s="294" t="s">
        <v>22</v>
      </c>
      <c r="C898" s="294" t="s">
        <v>22</v>
      </c>
      <c r="D898" s="294" t="s">
        <v>22</v>
      </c>
      <c r="E898" s="294" t="s">
        <v>22</v>
      </c>
      <c r="F898" s="294" t="s">
        <v>22</v>
      </c>
      <c r="G898" s="294" t="s">
        <v>22</v>
      </c>
      <c r="H898" s="294" t="s">
        <v>22</v>
      </c>
      <c r="I898" s="294" t="s">
        <v>22</v>
      </c>
      <c r="J898" s="294" t="s">
        <v>22</v>
      </c>
    </row>
    <row r="899">
      <c r="A899" s="294"/>
      <c r="B899" s="294" t="s">
        <v>22</v>
      </c>
      <c r="C899" s="294" t="s">
        <v>22</v>
      </c>
      <c r="D899" s="294" t="s">
        <v>22</v>
      </c>
      <c r="E899" s="294" t="s">
        <v>22</v>
      </c>
      <c r="F899" s="294" t="s">
        <v>22</v>
      </c>
      <c r="G899" s="294" t="s">
        <v>22</v>
      </c>
      <c r="H899" s="294" t="s">
        <v>22</v>
      </c>
      <c r="I899" s="294" t="s">
        <v>22</v>
      </c>
      <c r="J899" s="294" t="s">
        <v>22</v>
      </c>
    </row>
    <row r="900">
      <c r="A900" s="294"/>
      <c r="B900" s="294" t="s">
        <v>22</v>
      </c>
      <c r="C900" s="294" t="s">
        <v>22</v>
      </c>
      <c r="D900" s="294" t="s">
        <v>22</v>
      </c>
      <c r="E900" s="294" t="s">
        <v>22</v>
      </c>
      <c r="F900" s="294" t="s">
        <v>22</v>
      </c>
      <c r="G900" s="294" t="s">
        <v>22</v>
      </c>
      <c r="H900" s="294" t="s">
        <v>22</v>
      </c>
      <c r="I900" s="294" t="s">
        <v>22</v>
      </c>
      <c r="J900" s="294" t="s">
        <v>22</v>
      </c>
    </row>
    <row r="901">
      <c r="A901" s="294"/>
      <c r="B901" s="294" t="s">
        <v>22</v>
      </c>
      <c r="C901" s="294" t="s">
        <v>22</v>
      </c>
      <c r="D901" s="294" t="s">
        <v>22</v>
      </c>
      <c r="E901" s="294" t="s">
        <v>22</v>
      </c>
      <c r="F901" s="294" t="s">
        <v>22</v>
      </c>
      <c r="G901" s="294" t="s">
        <v>22</v>
      </c>
      <c r="H901" s="294" t="s">
        <v>22</v>
      </c>
      <c r="I901" s="294" t="s">
        <v>22</v>
      </c>
      <c r="J901" s="294" t="s">
        <v>22</v>
      </c>
    </row>
    <row r="902">
      <c r="A902" s="294"/>
      <c r="B902" s="294" t="s">
        <v>22</v>
      </c>
      <c r="C902" s="294" t="s">
        <v>22</v>
      </c>
      <c r="D902" s="294" t="s">
        <v>22</v>
      </c>
      <c r="E902" s="294" t="s">
        <v>22</v>
      </c>
      <c r="F902" s="294" t="s">
        <v>22</v>
      </c>
      <c r="G902" s="294" t="s">
        <v>22</v>
      </c>
      <c r="H902" s="294" t="s">
        <v>22</v>
      </c>
      <c r="I902" s="294" t="s">
        <v>22</v>
      </c>
      <c r="J902" s="294" t="s">
        <v>22</v>
      </c>
    </row>
    <row r="903">
      <c r="A903" s="294"/>
      <c r="B903" s="294" t="s">
        <v>22</v>
      </c>
      <c r="C903" s="294" t="s">
        <v>22</v>
      </c>
      <c r="D903" s="294" t="s">
        <v>22</v>
      </c>
      <c r="E903" s="294" t="s">
        <v>22</v>
      </c>
      <c r="F903" s="294" t="s">
        <v>22</v>
      </c>
      <c r="G903" s="294" t="s">
        <v>22</v>
      </c>
      <c r="H903" s="294" t="s">
        <v>22</v>
      </c>
      <c r="I903" s="294" t="s">
        <v>22</v>
      </c>
      <c r="J903" s="294" t="s">
        <v>22</v>
      </c>
    </row>
    <row r="904">
      <c r="A904" s="294"/>
      <c r="B904" s="294" t="s">
        <v>22</v>
      </c>
      <c r="C904" s="294" t="s">
        <v>22</v>
      </c>
      <c r="D904" s="294" t="s">
        <v>22</v>
      </c>
      <c r="E904" s="294" t="s">
        <v>22</v>
      </c>
      <c r="F904" s="294" t="s">
        <v>22</v>
      </c>
      <c r="G904" s="294" t="s">
        <v>22</v>
      </c>
      <c r="H904" s="294" t="s">
        <v>22</v>
      </c>
      <c r="I904" s="294" t="s">
        <v>22</v>
      </c>
      <c r="J904" s="294" t="s">
        <v>22</v>
      </c>
    </row>
    <row r="905">
      <c r="A905" s="294"/>
      <c r="B905" s="294" t="s">
        <v>22</v>
      </c>
      <c r="C905" s="294" t="s">
        <v>22</v>
      </c>
      <c r="D905" s="294" t="s">
        <v>22</v>
      </c>
      <c r="E905" s="294" t="s">
        <v>22</v>
      </c>
      <c r="F905" s="294" t="s">
        <v>22</v>
      </c>
      <c r="G905" s="294" t="s">
        <v>22</v>
      </c>
      <c r="H905" s="294" t="s">
        <v>22</v>
      </c>
      <c r="I905" s="294" t="s">
        <v>22</v>
      </c>
      <c r="J905" s="294" t="s">
        <v>22</v>
      </c>
    </row>
    <row r="906">
      <c r="A906" s="294"/>
      <c r="B906" s="294" t="s">
        <v>22</v>
      </c>
      <c r="C906" s="294" t="s">
        <v>22</v>
      </c>
      <c r="D906" s="294" t="s">
        <v>22</v>
      </c>
      <c r="E906" s="294" t="s">
        <v>22</v>
      </c>
      <c r="F906" s="294" t="s">
        <v>22</v>
      </c>
      <c r="G906" s="294" t="s">
        <v>22</v>
      </c>
      <c r="H906" s="294" t="s">
        <v>22</v>
      </c>
      <c r="I906" s="294" t="s">
        <v>22</v>
      </c>
      <c r="J906" s="294" t="s">
        <v>22</v>
      </c>
    </row>
    <row r="907">
      <c r="A907" s="294"/>
      <c r="B907" s="294" t="s">
        <v>22</v>
      </c>
      <c r="C907" s="294" t="s">
        <v>22</v>
      </c>
      <c r="D907" s="294" t="s">
        <v>22</v>
      </c>
      <c r="E907" s="294" t="s">
        <v>22</v>
      </c>
      <c r="F907" s="294" t="s">
        <v>22</v>
      </c>
      <c r="G907" s="294" t="s">
        <v>22</v>
      </c>
      <c r="H907" s="294" t="s">
        <v>22</v>
      </c>
      <c r="I907" s="294" t="s">
        <v>22</v>
      </c>
      <c r="J907" s="294" t="s">
        <v>22</v>
      </c>
    </row>
    <row r="908">
      <c r="A908" s="294"/>
      <c r="B908" s="294" t="s">
        <v>22</v>
      </c>
      <c r="C908" s="294" t="s">
        <v>22</v>
      </c>
      <c r="D908" s="294" t="s">
        <v>22</v>
      </c>
      <c r="E908" s="294" t="s">
        <v>22</v>
      </c>
      <c r="F908" s="294" t="s">
        <v>22</v>
      </c>
      <c r="G908" s="294" t="s">
        <v>22</v>
      </c>
      <c r="H908" s="294" t="s">
        <v>22</v>
      </c>
      <c r="I908" s="294" t="s">
        <v>22</v>
      </c>
      <c r="J908" s="294" t="s">
        <v>22</v>
      </c>
    </row>
    <row r="909">
      <c r="A909" s="294"/>
      <c r="B909" s="294" t="s">
        <v>22</v>
      </c>
      <c r="C909" s="294" t="s">
        <v>22</v>
      </c>
      <c r="D909" s="294" t="s">
        <v>22</v>
      </c>
      <c r="E909" s="294" t="s">
        <v>22</v>
      </c>
      <c r="F909" s="294" t="s">
        <v>22</v>
      </c>
      <c r="G909" s="294" t="s">
        <v>22</v>
      </c>
      <c r="H909" s="294" t="s">
        <v>22</v>
      </c>
      <c r="I909" s="294" t="s">
        <v>22</v>
      </c>
      <c r="J909" s="294" t="s">
        <v>22</v>
      </c>
    </row>
    <row r="910">
      <c r="A910" s="294"/>
      <c r="B910" s="294" t="s">
        <v>22</v>
      </c>
      <c r="C910" s="294" t="s">
        <v>22</v>
      </c>
      <c r="D910" s="294" t="s">
        <v>22</v>
      </c>
      <c r="E910" s="294" t="s">
        <v>22</v>
      </c>
      <c r="F910" s="294" t="s">
        <v>22</v>
      </c>
      <c r="G910" s="294" t="s">
        <v>22</v>
      </c>
      <c r="H910" s="294" t="s">
        <v>22</v>
      </c>
      <c r="I910" s="294" t="s">
        <v>22</v>
      </c>
      <c r="J910" s="294" t="s">
        <v>22</v>
      </c>
    </row>
    <row r="911">
      <c r="A911" s="294"/>
      <c r="B911" s="294" t="s">
        <v>22</v>
      </c>
      <c r="C911" s="294" t="s">
        <v>22</v>
      </c>
      <c r="D911" s="294" t="s">
        <v>22</v>
      </c>
      <c r="E911" s="294" t="s">
        <v>22</v>
      </c>
      <c r="F911" s="294" t="s">
        <v>22</v>
      </c>
      <c r="G911" s="294" t="s">
        <v>22</v>
      </c>
      <c r="H911" s="294" t="s">
        <v>22</v>
      </c>
      <c r="I911" s="294" t="s">
        <v>22</v>
      </c>
      <c r="J911" s="294" t="s">
        <v>22</v>
      </c>
    </row>
    <row r="912">
      <c r="A912" s="294"/>
      <c r="B912" s="294" t="s">
        <v>22</v>
      </c>
      <c r="C912" s="294" t="s">
        <v>22</v>
      </c>
      <c r="D912" s="294" t="s">
        <v>22</v>
      </c>
      <c r="E912" s="294" t="s">
        <v>22</v>
      </c>
      <c r="F912" s="294" t="s">
        <v>22</v>
      </c>
      <c r="G912" s="294" t="s">
        <v>22</v>
      </c>
      <c r="H912" s="294" t="s">
        <v>22</v>
      </c>
      <c r="I912" s="294" t="s">
        <v>22</v>
      </c>
      <c r="J912" s="294" t="s">
        <v>22</v>
      </c>
    </row>
    <row r="913">
      <c r="A913" s="294"/>
      <c r="B913" s="294" t="s">
        <v>22</v>
      </c>
      <c r="C913" s="294" t="s">
        <v>22</v>
      </c>
      <c r="D913" s="294" t="s">
        <v>22</v>
      </c>
      <c r="E913" s="294" t="s">
        <v>22</v>
      </c>
      <c r="F913" s="294" t="s">
        <v>22</v>
      </c>
      <c r="G913" s="294" t="s">
        <v>22</v>
      </c>
      <c r="H913" s="294" t="s">
        <v>22</v>
      </c>
      <c r="I913" s="294" t="s">
        <v>22</v>
      </c>
      <c r="J913" s="294" t="s">
        <v>22</v>
      </c>
    </row>
    <row r="914">
      <c r="A914" s="294"/>
      <c r="B914" s="294" t="s">
        <v>22</v>
      </c>
      <c r="C914" s="294" t="s">
        <v>22</v>
      </c>
      <c r="D914" s="294" t="s">
        <v>22</v>
      </c>
      <c r="E914" s="294" t="s">
        <v>22</v>
      </c>
      <c r="F914" s="294" t="s">
        <v>22</v>
      </c>
      <c r="G914" s="294" t="s">
        <v>22</v>
      </c>
      <c r="H914" s="294" t="s">
        <v>22</v>
      </c>
      <c r="I914" s="294" t="s">
        <v>22</v>
      </c>
      <c r="J914" s="294" t="s">
        <v>22</v>
      </c>
    </row>
    <row r="915">
      <c r="A915" s="294"/>
      <c r="B915" s="294" t="s">
        <v>22</v>
      </c>
      <c r="C915" s="294" t="s">
        <v>22</v>
      </c>
      <c r="D915" s="294" t="s">
        <v>22</v>
      </c>
      <c r="E915" s="294" t="s">
        <v>22</v>
      </c>
      <c r="F915" s="294" t="s">
        <v>22</v>
      </c>
      <c r="G915" s="294" t="s">
        <v>22</v>
      </c>
      <c r="H915" s="294" t="s">
        <v>22</v>
      </c>
      <c r="I915" s="294" t="s">
        <v>22</v>
      </c>
      <c r="J915" s="294" t="s">
        <v>22</v>
      </c>
    </row>
    <row r="916">
      <c r="A916" s="294"/>
      <c r="B916" s="294" t="s">
        <v>22</v>
      </c>
      <c r="C916" s="294" t="s">
        <v>22</v>
      </c>
      <c r="D916" s="294" t="s">
        <v>22</v>
      </c>
      <c r="E916" s="294" t="s">
        <v>22</v>
      </c>
      <c r="F916" s="294" t="s">
        <v>22</v>
      </c>
      <c r="G916" s="294" t="s">
        <v>22</v>
      </c>
      <c r="H916" s="294" t="s">
        <v>22</v>
      </c>
      <c r="I916" s="294" t="s">
        <v>22</v>
      </c>
      <c r="J916" s="294" t="s">
        <v>22</v>
      </c>
    </row>
    <row r="917">
      <c r="A917" s="294"/>
      <c r="B917" s="294" t="s">
        <v>22</v>
      </c>
      <c r="C917" s="294" t="s">
        <v>22</v>
      </c>
      <c r="D917" s="294" t="s">
        <v>22</v>
      </c>
      <c r="E917" s="294" t="s">
        <v>22</v>
      </c>
      <c r="F917" s="294" t="s">
        <v>22</v>
      </c>
      <c r="G917" s="294" t="s">
        <v>22</v>
      </c>
      <c r="H917" s="294" t="s">
        <v>22</v>
      </c>
      <c r="I917" s="294" t="s">
        <v>22</v>
      </c>
      <c r="J917" s="294" t="s">
        <v>22</v>
      </c>
    </row>
    <row r="918">
      <c r="A918" s="294"/>
      <c r="B918" s="294" t="s">
        <v>22</v>
      </c>
      <c r="C918" s="294" t="s">
        <v>22</v>
      </c>
      <c r="D918" s="294" t="s">
        <v>22</v>
      </c>
      <c r="E918" s="294" t="s">
        <v>22</v>
      </c>
      <c r="F918" s="294" t="s">
        <v>22</v>
      </c>
      <c r="G918" s="294" t="s">
        <v>22</v>
      </c>
      <c r="H918" s="294" t="s">
        <v>22</v>
      </c>
      <c r="I918" s="294" t="s">
        <v>22</v>
      </c>
      <c r="J918" s="294" t="s">
        <v>22</v>
      </c>
    </row>
    <row r="919">
      <c r="A919" s="294"/>
      <c r="B919" s="294" t="s">
        <v>22</v>
      </c>
      <c r="C919" s="294" t="s">
        <v>22</v>
      </c>
      <c r="D919" s="294" t="s">
        <v>22</v>
      </c>
      <c r="E919" s="294" t="s">
        <v>22</v>
      </c>
      <c r="F919" s="294" t="s">
        <v>22</v>
      </c>
      <c r="G919" s="294" t="s">
        <v>22</v>
      </c>
      <c r="H919" s="294" t="s">
        <v>22</v>
      </c>
      <c r="I919" s="294" t="s">
        <v>22</v>
      </c>
      <c r="J919" s="294" t="s">
        <v>22</v>
      </c>
    </row>
    <row r="920">
      <c r="A920" s="294"/>
      <c r="B920" s="294" t="s">
        <v>22</v>
      </c>
      <c r="C920" s="294" t="s">
        <v>22</v>
      </c>
      <c r="D920" s="294" t="s">
        <v>22</v>
      </c>
      <c r="E920" s="294" t="s">
        <v>22</v>
      </c>
      <c r="F920" s="294" t="s">
        <v>22</v>
      </c>
      <c r="G920" s="294" t="s">
        <v>22</v>
      </c>
      <c r="H920" s="294" t="s">
        <v>22</v>
      </c>
      <c r="I920" s="294" t="s">
        <v>22</v>
      </c>
      <c r="J920" s="294" t="s">
        <v>22</v>
      </c>
    </row>
    <row r="921">
      <c r="A921" s="294"/>
      <c r="B921" s="294" t="s">
        <v>22</v>
      </c>
      <c r="C921" s="294" t="s">
        <v>22</v>
      </c>
      <c r="D921" s="294" t="s">
        <v>22</v>
      </c>
      <c r="E921" s="294" t="s">
        <v>22</v>
      </c>
      <c r="F921" s="294" t="s">
        <v>22</v>
      </c>
      <c r="G921" s="294" t="s">
        <v>22</v>
      </c>
      <c r="H921" s="294" t="s">
        <v>22</v>
      </c>
      <c r="I921" s="294" t="s">
        <v>22</v>
      </c>
      <c r="J921" s="294" t="s">
        <v>22</v>
      </c>
    </row>
    <row r="922">
      <c r="A922" s="294"/>
      <c r="B922" s="294" t="s">
        <v>22</v>
      </c>
      <c r="C922" s="294" t="s">
        <v>22</v>
      </c>
      <c r="D922" s="294" t="s">
        <v>22</v>
      </c>
      <c r="E922" s="294" t="s">
        <v>22</v>
      </c>
      <c r="F922" s="294" t="s">
        <v>22</v>
      </c>
      <c r="G922" s="294" t="s">
        <v>22</v>
      </c>
      <c r="H922" s="294" t="s">
        <v>22</v>
      </c>
      <c r="I922" s="294" t="s">
        <v>22</v>
      </c>
      <c r="J922" s="294" t="s">
        <v>22</v>
      </c>
    </row>
    <row r="923">
      <c r="A923" s="294"/>
      <c r="B923" s="294" t="s">
        <v>22</v>
      </c>
      <c r="C923" s="294" t="s">
        <v>22</v>
      </c>
      <c r="D923" s="294" t="s">
        <v>22</v>
      </c>
      <c r="E923" s="294" t="s">
        <v>22</v>
      </c>
      <c r="F923" s="294" t="s">
        <v>22</v>
      </c>
      <c r="G923" s="294" t="s">
        <v>22</v>
      </c>
      <c r="H923" s="294" t="s">
        <v>22</v>
      </c>
      <c r="I923" s="294" t="s">
        <v>22</v>
      </c>
      <c r="J923" s="294" t="s">
        <v>22</v>
      </c>
    </row>
    <row r="924">
      <c r="A924" s="294"/>
      <c r="B924" s="294" t="s">
        <v>22</v>
      </c>
      <c r="C924" s="294" t="s">
        <v>22</v>
      </c>
      <c r="D924" s="294" t="s">
        <v>22</v>
      </c>
      <c r="E924" s="294" t="s">
        <v>22</v>
      </c>
      <c r="F924" s="294" t="s">
        <v>22</v>
      </c>
      <c r="G924" s="294" t="s">
        <v>22</v>
      </c>
      <c r="H924" s="294" t="s">
        <v>22</v>
      </c>
      <c r="I924" s="294" t="s">
        <v>22</v>
      </c>
      <c r="J924" s="294" t="s">
        <v>22</v>
      </c>
    </row>
    <row r="925">
      <c r="A925" s="294"/>
      <c r="B925" s="294" t="s">
        <v>22</v>
      </c>
      <c r="C925" s="294" t="s">
        <v>22</v>
      </c>
      <c r="D925" s="294" t="s">
        <v>22</v>
      </c>
      <c r="E925" s="294" t="s">
        <v>22</v>
      </c>
      <c r="F925" s="294" t="s">
        <v>22</v>
      </c>
      <c r="G925" s="294" t="s">
        <v>22</v>
      </c>
      <c r="H925" s="294" t="s">
        <v>22</v>
      </c>
      <c r="I925" s="294" t="s">
        <v>22</v>
      </c>
      <c r="J925" s="294" t="s">
        <v>22</v>
      </c>
    </row>
    <row r="926">
      <c r="A926" s="294"/>
      <c r="B926" s="294" t="s">
        <v>22</v>
      </c>
      <c r="C926" s="294" t="s">
        <v>22</v>
      </c>
      <c r="D926" s="294" t="s">
        <v>22</v>
      </c>
      <c r="E926" s="294" t="s">
        <v>22</v>
      </c>
      <c r="F926" s="294" t="s">
        <v>22</v>
      </c>
      <c r="G926" s="294" t="s">
        <v>22</v>
      </c>
      <c r="H926" s="294" t="s">
        <v>22</v>
      </c>
      <c r="I926" s="294" t="s">
        <v>22</v>
      </c>
      <c r="J926" s="294" t="s">
        <v>22</v>
      </c>
    </row>
    <row r="927">
      <c r="A927" s="294"/>
      <c r="B927" s="294" t="s">
        <v>22</v>
      </c>
      <c r="C927" s="294" t="s">
        <v>22</v>
      </c>
      <c r="D927" s="294" t="s">
        <v>22</v>
      </c>
      <c r="E927" s="294" t="s">
        <v>22</v>
      </c>
      <c r="F927" s="294" t="s">
        <v>22</v>
      </c>
      <c r="G927" s="294" t="s">
        <v>22</v>
      </c>
      <c r="H927" s="294" t="s">
        <v>22</v>
      </c>
      <c r="I927" s="294" t="s">
        <v>22</v>
      </c>
      <c r="J927" s="294" t="s">
        <v>22</v>
      </c>
    </row>
    <row r="928">
      <c r="A928" s="294"/>
      <c r="B928" s="294" t="s">
        <v>22</v>
      </c>
      <c r="C928" s="294" t="s">
        <v>22</v>
      </c>
      <c r="D928" s="294" t="s">
        <v>22</v>
      </c>
      <c r="E928" s="294" t="s">
        <v>22</v>
      </c>
      <c r="F928" s="294" t="s">
        <v>22</v>
      </c>
      <c r="G928" s="294" t="s">
        <v>22</v>
      </c>
      <c r="H928" s="294" t="s">
        <v>22</v>
      </c>
      <c r="I928" s="294" t="s">
        <v>22</v>
      </c>
      <c r="J928" s="294" t="s">
        <v>22</v>
      </c>
    </row>
    <row r="929">
      <c r="A929" s="294"/>
      <c r="B929" s="294" t="s">
        <v>22</v>
      </c>
      <c r="C929" s="294" t="s">
        <v>22</v>
      </c>
      <c r="D929" s="294" t="s">
        <v>22</v>
      </c>
      <c r="E929" s="294" t="s">
        <v>22</v>
      </c>
      <c r="F929" s="294" t="s">
        <v>22</v>
      </c>
      <c r="G929" s="294" t="s">
        <v>22</v>
      </c>
      <c r="H929" s="294" t="s">
        <v>22</v>
      </c>
      <c r="I929" s="294" t="s">
        <v>22</v>
      </c>
      <c r="J929" s="294" t="s">
        <v>22</v>
      </c>
    </row>
    <row r="930">
      <c r="A930" s="294"/>
      <c r="B930" s="294" t="s">
        <v>22</v>
      </c>
      <c r="C930" s="294" t="s">
        <v>22</v>
      </c>
      <c r="D930" s="294" t="s">
        <v>22</v>
      </c>
      <c r="E930" s="294" t="s">
        <v>22</v>
      </c>
      <c r="F930" s="294" t="s">
        <v>22</v>
      </c>
      <c r="G930" s="294" t="s">
        <v>22</v>
      </c>
      <c r="H930" s="294" t="s">
        <v>22</v>
      </c>
      <c r="I930" s="294" t="s">
        <v>22</v>
      </c>
      <c r="J930" s="294" t="s">
        <v>22</v>
      </c>
    </row>
    <row r="931">
      <c r="A931" s="294"/>
      <c r="B931" s="294" t="s">
        <v>22</v>
      </c>
      <c r="C931" s="294" t="s">
        <v>22</v>
      </c>
      <c r="D931" s="294" t="s">
        <v>22</v>
      </c>
      <c r="E931" s="294" t="s">
        <v>22</v>
      </c>
      <c r="F931" s="294" t="s">
        <v>22</v>
      </c>
      <c r="G931" s="294" t="s">
        <v>22</v>
      </c>
      <c r="H931" s="294" t="s">
        <v>22</v>
      </c>
      <c r="I931" s="294" t="s">
        <v>22</v>
      </c>
      <c r="J931" s="294" t="s">
        <v>22</v>
      </c>
    </row>
    <row r="932">
      <c r="A932" s="294"/>
      <c r="B932" s="294" t="s">
        <v>22</v>
      </c>
      <c r="C932" s="294" t="s">
        <v>22</v>
      </c>
      <c r="D932" s="294" t="s">
        <v>22</v>
      </c>
      <c r="E932" s="294" t="s">
        <v>22</v>
      </c>
      <c r="F932" s="294" t="s">
        <v>22</v>
      </c>
      <c r="G932" s="294" t="s">
        <v>22</v>
      </c>
      <c r="H932" s="294" t="s">
        <v>22</v>
      </c>
      <c r="I932" s="294" t="s">
        <v>22</v>
      </c>
      <c r="J932" s="294" t="s">
        <v>22</v>
      </c>
    </row>
    <row r="933">
      <c r="A933" s="294"/>
      <c r="B933" s="294" t="s">
        <v>22</v>
      </c>
      <c r="C933" s="294" t="s">
        <v>22</v>
      </c>
      <c r="D933" s="294" t="s">
        <v>22</v>
      </c>
      <c r="E933" s="294" t="s">
        <v>22</v>
      </c>
      <c r="F933" s="294" t="s">
        <v>22</v>
      </c>
      <c r="G933" s="294" t="s">
        <v>22</v>
      </c>
      <c r="H933" s="294" t="s">
        <v>22</v>
      </c>
      <c r="I933" s="294" t="s">
        <v>22</v>
      </c>
      <c r="J933" s="294" t="s">
        <v>22</v>
      </c>
    </row>
    <row r="934">
      <c r="A934" s="294"/>
      <c r="B934" s="294" t="s">
        <v>22</v>
      </c>
      <c r="C934" s="294" t="s">
        <v>22</v>
      </c>
      <c r="D934" s="294" t="s">
        <v>22</v>
      </c>
      <c r="E934" s="294" t="s">
        <v>22</v>
      </c>
      <c r="F934" s="294" t="s">
        <v>22</v>
      </c>
      <c r="G934" s="294" t="s">
        <v>22</v>
      </c>
      <c r="H934" s="294" t="s">
        <v>22</v>
      </c>
      <c r="I934" s="294" t="s">
        <v>22</v>
      </c>
      <c r="J934" s="294" t="s">
        <v>22</v>
      </c>
    </row>
    <row r="935">
      <c r="A935" s="294"/>
      <c r="B935" s="294" t="s">
        <v>22</v>
      </c>
      <c r="C935" s="294" t="s">
        <v>22</v>
      </c>
      <c r="D935" s="294" t="s">
        <v>22</v>
      </c>
      <c r="E935" s="294" t="s">
        <v>22</v>
      </c>
      <c r="F935" s="294" t="s">
        <v>22</v>
      </c>
      <c r="G935" s="294" t="s">
        <v>22</v>
      </c>
      <c r="H935" s="294" t="s">
        <v>22</v>
      </c>
      <c r="I935" s="294" t="s">
        <v>22</v>
      </c>
      <c r="J935" s="294" t="s">
        <v>22</v>
      </c>
    </row>
    <row r="936">
      <c r="A936" s="294"/>
      <c r="B936" s="294" t="s">
        <v>22</v>
      </c>
      <c r="C936" s="294" t="s">
        <v>22</v>
      </c>
      <c r="D936" s="294" t="s">
        <v>22</v>
      </c>
      <c r="E936" s="294" t="s">
        <v>22</v>
      </c>
      <c r="F936" s="294" t="s">
        <v>22</v>
      </c>
      <c r="G936" s="294" t="s">
        <v>22</v>
      </c>
      <c r="H936" s="294" t="s">
        <v>22</v>
      </c>
      <c r="I936" s="294" t="s">
        <v>22</v>
      </c>
      <c r="J936" s="294" t="s">
        <v>22</v>
      </c>
    </row>
    <row r="937">
      <c r="A937" s="294"/>
      <c r="B937" s="294" t="s">
        <v>22</v>
      </c>
      <c r="C937" s="294" t="s">
        <v>22</v>
      </c>
      <c r="D937" s="294" t="s">
        <v>22</v>
      </c>
      <c r="E937" s="294" t="s">
        <v>22</v>
      </c>
      <c r="F937" s="294" t="s">
        <v>22</v>
      </c>
      <c r="G937" s="294" t="s">
        <v>22</v>
      </c>
      <c r="H937" s="294" t="s">
        <v>22</v>
      </c>
      <c r="I937" s="294" t="s">
        <v>22</v>
      </c>
      <c r="J937" s="294" t="s">
        <v>22</v>
      </c>
    </row>
    <row r="938">
      <c r="A938" s="294"/>
      <c r="B938" s="294" t="s">
        <v>22</v>
      </c>
      <c r="C938" s="294" t="s">
        <v>22</v>
      </c>
      <c r="D938" s="294" t="s">
        <v>22</v>
      </c>
      <c r="E938" s="294" t="s">
        <v>22</v>
      </c>
      <c r="F938" s="294" t="s">
        <v>22</v>
      </c>
      <c r="G938" s="294" t="s">
        <v>22</v>
      </c>
      <c r="H938" s="294" t="s">
        <v>22</v>
      </c>
      <c r="I938" s="294" t="s">
        <v>22</v>
      </c>
      <c r="J938" s="294" t="s">
        <v>22</v>
      </c>
    </row>
    <row r="939">
      <c r="A939" s="294"/>
      <c r="B939" s="294" t="s">
        <v>22</v>
      </c>
      <c r="C939" s="294" t="s">
        <v>22</v>
      </c>
      <c r="D939" s="294" t="s">
        <v>22</v>
      </c>
      <c r="E939" s="294" t="s">
        <v>22</v>
      </c>
      <c r="F939" s="294" t="s">
        <v>22</v>
      </c>
      <c r="G939" s="294" t="s">
        <v>22</v>
      </c>
      <c r="H939" s="294" t="s">
        <v>22</v>
      </c>
      <c r="I939" s="294" t="s">
        <v>22</v>
      </c>
      <c r="J939" s="294" t="s">
        <v>22</v>
      </c>
    </row>
    <row r="940">
      <c r="A940" s="294"/>
      <c r="B940" s="294" t="s">
        <v>22</v>
      </c>
      <c r="C940" s="294" t="s">
        <v>22</v>
      </c>
      <c r="D940" s="294" t="s">
        <v>22</v>
      </c>
      <c r="E940" s="294" t="s">
        <v>22</v>
      </c>
      <c r="F940" s="294" t="s">
        <v>22</v>
      </c>
      <c r="G940" s="294" t="s">
        <v>22</v>
      </c>
      <c r="H940" s="294" t="s">
        <v>22</v>
      </c>
      <c r="I940" s="294" t="s">
        <v>22</v>
      </c>
      <c r="J940" s="294" t="s">
        <v>22</v>
      </c>
    </row>
    <row r="941">
      <c r="A941" s="294"/>
      <c r="B941" s="294" t="s">
        <v>22</v>
      </c>
      <c r="C941" s="294" t="s">
        <v>22</v>
      </c>
      <c r="D941" s="294" t="s">
        <v>22</v>
      </c>
      <c r="E941" s="294" t="s">
        <v>22</v>
      </c>
      <c r="F941" s="294" t="s">
        <v>22</v>
      </c>
      <c r="G941" s="294" t="s">
        <v>22</v>
      </c>
      <c r="H941" s="294" t="s">
        <v>22</v>
      </c>
      <c r="I941" s="294" t="s">
        <v>22</v>
      </c>
      <c r="J941" s="294" t="s">
        <v>22</v>
      </c>
    </row>
    <row r="942">
      <c r="A942" s="294"/>
      <c r="B942" s="294" t="s">
        <v>22</v>
      </c>
      <c r="C942" s="294" t="s">
        <v>22</v>
      </c>
      <c r="D942" s="294" t="s">
        <v>22</v>
      </c>
      <c r="E942" s="294" t="s">
        <v>22</v>
      </c>
      <c r="F942" s="294" t="s">
        <v>22</v>
      </c>
      <c r="G942" s="294" t="s">
        <v>22</v>
      </c>
      <c r="H942" s="294" t="s">
        <v>22</v>
      </c>
      <c r="I942" s="294" t="s">
        <v>22</v>
      </c>
      <c r="J942" s="294" t="s">
        <v>22</v>
      </c>
    </row>
    <row r="943">
      <c r="A943" s="294"/>
      <c r="B943" s="294" t="s">
        <v>22</v>
      </c>
      <c r="C943" s="294" t="s">
        <v>22</v>
      </c>
      <c r="D943" s="294" t="s">
        <v>22</v>
      </c>
      <c r="E943" s="294" t="s">
        <v>22</v>
      </c>
      <c r="F943" s="294" t="s">
        <v>22</v>
      </c>
      <c r="G943" s="294" t="s">
        <v>22</v>
      </c>
      <c r="H943" s="294" t="s">
        <v>22</v>
      </c>
      <c r="I943" s="294" t="s">
        <v>22</v>
      </c>
      <c r="J943" s="294" t="s">
        <v>22</v>
      </c>
    </row>
    <row r="944">
      <c r="A944" s="294"/>
      <c r="B944" s="294" t="s">
        <v>22</v>
      </c>
      <c r="C944" s="294" t="s">
        <v>22</v>
      </c>
      <c r="D944" s="294" t="s">
        <v>22</v>
      </c>
      <c r="E944" s="294" t="s">
        <v>22</v>
      </c>
      <c r="F944" s="294" t="s">
        <v>22</v>
      </c>
      <c r="G944" s="294" t="s">
        <v>22</v>
      </c>
      <c r="H944" s="294" t="s">
        <v>22</v>
      </c>
      <c r="I944" s="294" t="s">
        <v>22</v>
      </c>
      <c r="J944" s="294" t="s">
        <v>22</v>
      </c>
    </row>
    <row r="945">
      <c r="A945" s="294"/>
      <c r="B945" s="294" t="s">
        <v>22</v>
      </c>
      <c r="C945" s="294" t="s">
        <v>22</v>
      </c>
      <c r="D945" s="294" t="s">
        <v>22</v>
      </c>
      <c r="E945" s="294" t="s">
        <v>22</v>
      </c>
      <c r="F945" s="294" t="s">
        <v>22</v>
      </c>
      <c r="G945" s="294" t="s">
        <v>22</v>
      </c>
      <c r="H945" s="294" t="s">
        <v>22</v>
      </c>
      <c r="I945" s="294" t="s">
        <v>22</v>
      </c>
      <c r="J945" s="294" t="s">
        <v>22</v>
      </c>
    </row>
    <row r="946">
      <c r="A946" s="294"/>
      <c r="B946" s="294" t="s">
        <v>22</v>
      </c>
      <c r="C946" s="294" t="s">
        <v>22</v>
      </c>
      <c r="D946" s="294" t="s">
        <v>22</v>
      </c>
      <c r="E946" s="294" t="s">
        <v>22</v>
      </c>
      <c r="F946" s="294" t="s">
        <v>22</v>
      </c>
      <c r="G946" s="294" t="s">
        <v>22</v>
      </c>
      <c r="H946" s="294" t="s">
        <v>22</v>
      </c>
      <c r="I946" s="294" t="s">
        <v>22</v>
      </c>
      <c r="J946" s="294" t="s">
        <v>22</v>
      </c>
    </row>
    <row r="947">
      <c r="A947" s="294"/>
      <c r="B947" s="294" t="s">
        <v>22</v>
      </c>
      <c r="C947" s="294" t="s">
        <v>22</v>
      </c>
      <c r="D947" s="294" t="s">
        <v>22</v>
      </c>
      <c r="E947" s="294" t="s">
        <v>22</v>
      </c>
      <c r="F947" s="294" t="s">
        <v>22</v>
      </c>
      <c r="G947" s="294" t="s">
        <v>22</v>
      </c>
      <c r="H947" s="294" t="s">
        <v>22</v>
      </c>
      <c r="I947" s="294" t="s">
        <v>22</v>
      </c>
      <c r="J947" s="294" t="s">
        <v>22</v>
      </c>
    </row>
    <row r="948">
      <c r="A948" s="294"/>
      <c r="B948" s="294" t="s">
        <v>22</v>
      </c>
      <c r="C948" s="294" t="s">
        <v>22</v>
      </c>
      <c r="D948" s="294" t="s">
        <v>22</v>
      </c>
      <c r="E948" s="294" t="s">
        <v>22</v>
      </c>
      <c r="F948" s="294" t="s">
        <v>22</v>
      </c>
      <c r="G948" s="294" t="s">
        <v>22</v>
      </c>
      <c r="H948" s="294" t="s">
        <v>22</v>
      </c>
      <c r="I948" s="294" t="s">
        <v>22</v>
      </c>
      <c r="J948" s="294" t="s">
        <v>22</v>
      </c>
    </row>
    <row r="949">
      <c r="A949" s="294"/>
      <c r="B949" s="294" t="s">
        <v>22</v>
      </c>
      <c r="C949" s="294" t="s">
        <v>22</v>
      </c>
      <c r="D949" s="294" t="s">
        <v>22</v>
      </c>
      <c r="E949" s="294" t="s">
        <v>22</v>
      </c>
      <c r="F949" s="294" t="s">
        <v>22</v>
      </c>
      <c r="G949" s="294" t="s">
        <v>22</v>
      </c>
      <c r="H949" s="294" t="s">
        <v>22</v>
      </c>
      <c r="I949" s="294" t="s">
        <v>22</v>
      </c>
      <c r="J949" s="294" t="s">
        <v>22</v>
      </c>
    </row>
    <row r="950">
      <c r="A950" s="294"/>
      <c r="B950" s="294" t="s">
        <v>22</v>
      </c>
      <c r="C950" s="294" t="s">
        <v>22</v>
      </c>
      <c r="D950" s="294" t="s">
        <v>22</v>
      </c>
      <c r="E950" s="294" t="s">
        <v>22</v>
      </c>
      <c r="F950" s="294" t="s">
        <v>22</v>
      </c>
      <c r="G950" s="294" t="s">
        <v>22</v>
      </c>
      <c r="H950" s="294" t="s">
        <v>22</v>
      </c>
      <c r="I950" s="294" t="s">
        <v>22</v>
      </c>
      <c r="J950" s="294" t="s">
        <v>22</v>
      </c>
    </row>
    <row r="951">
      <c r="A951" s="294"/>
      <c r="B951" s="294" t="s">
        <v>22</v>
      </c>
      <c r="C951" s="294" t="s">
        <v>22</v>
      </c>
      <c r="D951" s="294" t="s">
        <v>22</v>
      </c>
      <c r="E951" s="294" t="s">
        <v>22</v>
      </c>
      <c r="F951" s="294" t="s">
        <v>22</v>
      </c>
      <c r="G951" s="294" t="s">
        <v>22</v>
      </c>
      <c r="H951" s="294" t="s">
        <v>22</v>
      </c>
      <c r="I951" s="294" t="s">
        <v>22</v>
      </c>
      <c r="J951" s="294" t="s">
        <v>22</v>
      </c>
    </row>
    <row r="952">
      <c r="A952" s="294"/>
      <c r="B952" s="294" t="s">
        <v>22</v>
      </c>
      <c r="C952" s="294" t="s">
        <v>22</v>
      </c>
      <c r="D952" s="294" t="s">
        <v>22</v>
      </c>
      <c r="E952" s="294" t="s">
        <v>22</v>
      </c>
      <c r="F952" s="294" t="s">
        <v>22</v>
      </c>
      <c r="G952" s="294" t="s">
        <v>22</v>
      </c>
      <c r="H952" s="294" t="s">
        <v>22</v>
      </c>
      <c r="I952" s="294" t="s">
        <v>22</v>
      </c>
      <c r="J952" s="294" t="s">
        <v>22</v>
      </c>
    </row>
    <row r="953">
      <c r="A953" s="294"/>
      <c r="B953" s="294" t="s">
        <v>22</v>
      </c>
      <c r="C953" s="294" t="s">
        <v>22</v>
      </c>
      <c r="D953" s="294" t="s">
        <v>22</v>
      </c>
      <c r="E953" s="294" t="s">
        <v>22</v>
      </c>
      <c r="F953" s="294" t="s">
        <v>22</v>
      </c>
      <c r="G953" s="294" t="s">
        <v>22</v>
      </c>
      <c r="H953" s="294" t="s">
        <v>22</v>
      </c>
      <c r="I953" s="294" t="s">
        <v>22</v>
      </c>
      <c r="J953" s="294" t="s">
        <v>22</v>
      </c>
    </row>
    <row r="954">
      <c r="A954" s="294"/>
      <c r="B954" s="294" t="s">
        <v>22</v>
      </c>
      <c r="C954" s="294" t="s">
        <v>22</v>
      </c>
      <c r="D954" s="294" t="s">
        <v>22</v>
      </c>
      <c r="E954" s="294" t="s">
        <v>22</v>
      </c>
      <c r="F954" s="294" t="s">
        <v>22</v>
      </c>
      <c r="G954" s="294" t="s">
        <v>22</v>
      </c>
      <c r="H954" s="294" t="s">
        <v>22</v>
      </c>
      <c r="I954" s="294" t="s">
        <v>22</v>
      </c>
      <c r="J954" s="294" t="s">
        <v>22</v>
      </c>
    </row>
    <row r="955">
      <c r="A955" s="294"/>
      <c r="B955" s="294" t="s">
        <v>22</v>
      </c>
      <c r="C955" s="294" t="s">
        <v>22</v>
      </c>
      <c r="D955" s="294" t="s">
        <v>22</v>
      </c>
      <c r="E955" s="294" t="s">
        <v>22</v>
      </c>
      <c r="F955" s="294" t="s">
        <v>22</v>
      </c>
      <c r="G955" s="294" t="s">
        <v>22</v>
      </c>
      <c r="H955" s="294" t="s">
        <v>22</v>
      </c>
      <c r="I955" s="294" t="s">
        <v>22</v>
      </c>
      <c r="J955" s="294" t="s">
        <v>22</v>
      </c>
    </row>
    <row r="956">
      <c r="A956" s="294"/>
      <c r="B956" s="294" t="s">
        <v>22</v>
      </c>
      <c r="C956" s="294" t="s">
        <v>22</v>
      </c>
      <c r="D956" s="294" t="s">
        <v>22</v>
      </c>
      <c r="E956" s="294" t="s">
        <v>22</v>
      </c>
      <c r="F956" s="294" t="s">
        <v>22</v>
      </c>
      <c r="G956" s="294" t="s">
        <v>22</v>
      </c>
      <c r="H956" s="294" t="s">
        <v>22</v>
      </c>
      <c r="I956" s="294" t="s">
        <v>22</v>
      </c>
      <c r="J956" s="294" t="s">
        <v>22</v>
      </c>
    </row>
    <row r="957">
      <c r="A957" s="294"/>
      <c r="B957" s="294" t="s">
        <v>22</v>
      </c>
      <c r="C957" s="294" t="s">
        <v>22</v>
      </c>
      <c r="D957" s="294" t="s">
        <v>22</v>
      </c>
      <c r="E957" s="294" t="s">
        <v>22</v>
      </c>
      <c r="F957" s="294" t="s">
        <v>22</v>
      </c>
      <c r="G957" s="294" t="s">
        <v>22</v>
      </c>
      <c r="H957" s="294" t="s">
        <v>22</v>
      </c>
      <c r="I957" s="294" t="s">
        <v>22</v>
      </c>
      <c r="J957" s="294" t="s">
        <v>22</v>
      </c>
    </row>
    <row r="958">
      <c r="A958" s="294"/>
      <c r="B958" s="294" t="s">
        <v>22</v>
      </c>
      <c r="C958" s="294" t="s">
        <v>22</v>
      </c>
      <c r="D958" s="294" t="s">
        <v>22</v>
      </c>
      <c r="E958" s="294" t="s">
        <v>22</v>
      </c>
      <c r="F958" s="294" t="s">
        <v>22</v>
      </c>
      <c r="G958" s="294" t="s">
        <v>22</v>
      </c>
      <c r="H958" s="294" t="s">
        <v>22</v>
      </c>
      <c r="I958" s="294" t="s">
        <v>22</v>
      </c>
      <c r="J958" s="294" t="s">
        <v>22</v>
      </c>
    </row>
  </sheetData>
  <mergeCells count="1">
    <mergeCell ref="A30:A33"/>
  </mergeCells>
  <conditionalFormatting sqref="A2:A19 A22:A23">
    <cfRule type="expression" dxfId="2" priority="1">
      <formula>AND($AH2&lt;&gt;"",$AI2&lt;&gt;"")</formula>
    </cfRule>
  </conditionalFormatting>
  <conditionalFormatting sqref="A2:A19 A22:A23">
    <cfRule type="expression" dxfId="3" priority="2">
      <formula>AND($AH2&lt;&gt;"")</formula>
    </cfRule>
  </conditionalFormatting>
  <conditionalFormatting sqref="A2:A19 A22:A23">
    <cfRule type="expression" dxfId="4" priority="3">
      <formula>AND($AI2&lt;&gt;"")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25"/>
    <col customWidth="1" min="2" max="2" width="10.38"/>
    <col customWidth="1" min="3" max="3" width="14.5"/>
    <col customWidth="1" min="4" max="4" width="10.5"/>
    <col customWidth="1" min="9" max="11" width="9.0"/>
    <col customWidth="1" min="12" max="12" width="14.5"/>
  </cols>
  <sheetData>
    <row r="1">
      <c r="A1" s="309" t="s">
        <v>676</v>
      </c>
      <c r="B1" s="310" t="str">
        <f t="array" ref="B1:B100">if(ROW(B:B)=1,"Duration",if(A:A="","",xlookup(A:A,'Teachers and Groups'!A:A,'Teachers and Groups'!D:D)))</f>
        <v>Duration</v>
      </c>
      <c r="C1" s="311" t="str">
        <f t="array" ref="C1:C100">if(ROW(C:C)=1,"total groups goal",if(A:A="","",xlookup(A:A,'Total Groups'!A:A,'Total Groups'!B:B)))</f>
        <v>total groups goal</v>
      </c>
      <c r="D1" s="312" t="str">
        <f t="array" ref="D1:D100">if(ROW(D:D)=1,"aver per class",if(I:I="","",I:I/C:C))</f>
        <v>aver per class</v>
      </c>
      <c r="E1" s="313">
        <v>9.0</v>
      </c>
      <c r="F1" s="313">
        <v>10.0</v>
      </c>
      <c r="G1" s="313">
        <v>11.0</v>
      </c>
      <c r="H1" s="313">
        <v>12.0</v>
      </c>
      <c r="I1" s="314" t="s">
        <v>677</v>
      </c>
      <c r="J1" s="314" t="s">
        <v>678</v>
      </c>
      <c r="K1" s="314" t="s">
        <v>679</v>
      </c>
      <c r="L1" s="314"/>
    </row>
    <row r="2">
      <c r="A2" s="315" t="str">
        <f>IFERROR(__xludf.DUMMYFUNCTION("sort(unique(filter('Students (Vertical)'!D2:D100,'Students (Vertical)'!D2:D100&lt;&gt;"""")))"),"AAA")</f>
        <v>AAA</v>
      </c>
      <c r="B2" s="316" t="e">
        <v>#N/A</v>
      </c>
      <c r="C2" s="317" t="e">
        <v>#N/A</v>
      </c>
      <c r="D2" s="318" t="e">
        <v>#N/A</v>
      </c>
      <c r="E2" s="255">
        <f>if($A2="","",COUNTIFS(Students!$A:$A,E$1,Students!$D:$D,$A2)+COUNTIFS(Students!$A:$A,E$1,Students!$F:$F,$A2)+COUNTIFS(Students!$A:$A,E$1,Students!$H:$H,$A2)+COUNTIFS(Students!$A:$A,E$1,Students!$J:$J,$A2)+COUNTIFS(Students!$A:$A,E$1,Students!$L:$L,$A2)+COUNTIFS(Students!$A:$A,E$1,Students!$N:$N,$A2)+COUNTIFS(Students!$A:$A,E$1,Students!$P:$P,$A2)+COUNTIFS(Students!$A:$A,E$1,Students!$R:$R,$A2)+COUNTIFS(Students!$A:$A,E$1,Students!$T:$T,$A2)+COUNTIFS(Students!$A:$A,E$1,Students!$V:$V,$A2))</f>
        <v>2</v>
      </c>
      <c r="F2" s="255">
        <f>if($A2="","",COUNTIFS(Students!$A:$A,F$1,Students!$D:$D,$A2)+COUNTIFS(Students!$A:$A,F$1,Students!$F:$F,$A2)+COUNTIFS(Students!$A:$A,F$1,Students!$H:$H,$A2)+COUNTIFS(Students!$A:$A,F$1,Students!$J:$J,$A2)+COUNTIFS(Students!$A:$A,F$1,Students!$L:$L,$A2)+COUNTIFS(Students!$A:$A,F$1,Students!$N:$N,$A2)+COUNTIFS(Students!$A:$A,F$1,Students!$P:$P,$A2)+COUNTIFS(Students!$A:$A,F$1,Students!$R:$R,$A2)+COUNTIFS(Students!$A:$A,F$1,Students!$T:$T,$A2)+COUNTIFS(Students!$A:$A,F$1,Students!$V:$V,$A2))</f>
        <v>0</v>
      </c>
      <c r="G2" s="255">
        <f>if($A2="","",COUNTIFS(Students!$A:$A,G$1,Students!$D:$D,$A2)+COUNTIFS(Students!$A:$A,G$1,Students!$F:$F,$A2)+COUNTIFS(Students!$A:$A,G$1,Students!$H:$H,$A2)+COUNTIFS(Students!$A:$A,G$1,Students!$J:$J,$A2)+COUNTIFS(Students!$A:$A,G$1,Students!$L:$L,$A2)+COUNTIFS(Students!$A:$A,G$1,Students!$N:$N,$A2)+COUNTIFS(Students!$A:$A,G$1,Students!$P:$P,$A2)+COUNTIFS(Students!$A:$A,G$1,Students!$R:$R,$A2)+COUNTIFS(Students!$A:$A,G$1,Students!$T:$T,$A2)+COUNTIFS(Students!$A:$A,G$1,Students!$V:$V,$A2))</f>
        <v>0</v>
      </c>
      <c r="H2" s="255">
        <f>if($A2="","",COUNTIFS(Students!$A:$A,H$1,Students!$D:$D,$A2)+COUNTIFS(Students!$A:$A,H$1,Students!$F:$F,$A2)+COUNTIFS(Students!$A:$A,H$1,Students!$H:$H,$A2)+COUNTIFS(Students!$A:$A,H$1,Students!$J:$J,$A2)+COUNTIFS(Students!$A:$A,H$1,Students!$L:$L,$A2)+COUNTIFS(Students!$A:$A,H$1,Students!$N:$N,$A2)+COUNTIFS(Students!$A:$A,H$1,Students!$P:$P,$A2)+COUNTIFS(Students!$A:$A,H$1,Students!$R:$R,$A2)+COUNTIFS(Students!$A:$A,H$1,Students!$T:$T,$A2)+COUNTIFS(Students!$A:$A,H$1,Students!$V:$V,$A2))</f>
        <v>0</v>
      </c>
      <c r="I2" s="319">
        <f t="shared" ref="I2:I100" si="1">if($A2="","",sum(E2:H2))</f>
        <v>2</v>
      </c>
      <c r="J2" s="319">
        <f>if($A2="","",sumifs(Schedule!$R:$R,Schedule!$P:$P,$A2)+sumifs(Schedule!$U:$U,Schedule!$S:$S,$A2)+sumifs(Schedule!$X:$X,Schedule!$V:$V,$A2)+sumifs(Schedule!$AA:$AA,Schedule!$Y:$Y,$A2)+sumifs(Schedule!$AD:$AD,Schedule!$AB:$AB,$A2)+sumifs(Schedule!$AG:$AG,Schedule!$AE:$AE,$A2)+sumifs(Schedule!$AJ:$AJ,Schedule!$AH:$AH,$A2)+sumifs(Schedule!$AM:$AM,Schedule!$AK:$AK,$A2))</f>
        <v>0</v>
      </c>
      <c r="K2" s="319">
        <f t="shared" ref="K2:K100" si="2">if($A2="","",J2-I2)</f>
        <v>-2</v>
      </c>
      <c r="L2" s="320">
        <f>if(A2="","",countifs(Schedule!P$1:AK100,A2))</f>
        <v>0</v>
      </c>
    </row>
    <row r="3">
      <c r="A3" s="321" t="str">
        <f>IFERROR(__xludf.DUMMYFUNCTION("""COMPUTED_VALUE"""),"Algebra I")</f>
        <v>Algebra I</v>
      </c>
      <c r="B3" s="316" t="s">
        <v>680</v>
      </c>
      <c r="C3" s="317">
        <v>4.0</v>
      </c>
      <c r="D3" s="318">
        <v>14.5</v>
      </c>
      <c r="E3" s="255">
        <f>if($A3="","",COUNTIFS(Students!$A:$A,E$1,Students!$D:$D,$A3)+COUNTIFS(Students!$A:$A,E$1,Students!$F:$F,$A3)+COUNTIFS(Students!$A:$A,E$1,Students!$H:$H,$A3)+COUNTIFS(Students!$A:$A,E$1,Students!$J:$J,$A3)+COUNTIFS(Students!$A:$A,E$1,Students!$L:$L,$A3)+COUNTIFS(Students!$A:$A,E$1,Students!$N:$N,$A3)+COUNTIFS(Students!$A:$A,E$1,Students!$P:$P,$A3)+COUNTIFS(Students!$A:$A,E$1,Students!$R:$R,$A3)+COUNTIFS(Students!$A:$A,E$1,Students!$T:$T,$A3)+COUNTIFS(Students!$A:$A,E$1,Students!$V:$V,$A3))</f>
        <v>58</v>
      </c>
      <c r="F3" s="255">
        <f>if($A3="","",COUNTIFS(Students!$A:$A,F$1,Students!$D:$D,$A3)+COUNTIFS(Students!$A:$A,F$1,Students!$F:$F,$A3)+COUNTIFS(Students!$A:$A,F$1,Students!$H:$H,$A3)+COUNTIFS(Students!$A:$A,F$1,Students!$J:$J,$A3)+COUNTIFS(Students!$A:$A,F$1,Students!$L:$L,$A3)+COUNTIFS(Students!$A:$A,F$1,Students!$N:$N,$A3)+COUNTIFS(Students!$A:$A,F$1,Students!$P:$P,$A3)+COUNTIFS(Students!$A:$A,F$1,Students!$R:$R,$A3)+COUNTIFS(Students!$A:$A,F$1,Students!$T:$T,$A3)+COUNTIFS(Students!$A:$A,F$1,Students!$V:$V,$A3))</f>
        <v>0</v>
      </c>
      <c r="G3" s="255">
        <f>if($A3="","",COUNTIFS(Students!$A:$A,G$1,Students!$D:$D,$A3)+COUNTIFS(Students!$A:$A,G$1,Students!$F:$F,$A3)+COUNTIFS(Students!$A:$A,G$1,Students!$H:$H,$A3)+COUNTIFS(Students!$A:$A,G$1,Students!$J:$J,$A3)+COUNTIFS(Students!$A:$A,G$1,Students!$L:$L,$A3)+COUNTIFS(Students!$A:$A,G$1,Students!$N:$N,$A3)+COUNTIFS(Students!$A:$A,G$1,Students!$P:$P,$A3)+COUNTIFS(Students!$A:$A,G$1,Students!$R:$R,$A3)+COUNTIFS(Students!$A:$A,G$1,Students!$T:$T,$A3)+COUNTIFS(Students!$A:$A,G$1,Students!$V:$V,$A3))</f>
        <v>0</v>
      </c>
      <c r="H3" s="255">
        <f>if($A3="","",COUNTIFS(Students!$A:$A,H$1,Students!$D:$D,$A3)+COUNTIFS(Students!$A:$A,H$1,Students!$F:$F,$A3)+COUNTIFS(Students!$A:$A,H$1,Students!$H:$H,$A3)+COUNTIFS(Students!$A:$A,H$1,Students!$J:$J,$A3)+COUNTIFS(Students!$A:$A,H$1,Students!$L:$L,$A3)+COUNTIFS(Students!$A:$A,H$1,Students!$N:$N,$A3)+COUNTIFS(Students!$A:$A,H$1,Students!$P:$P,$A3)+COUNTIFS(Students!$A:$A,H$1,Students!$R:$R,$A3)+COUNTIFS(Students!$A:$A,H$1,Students!$T:$T,$A3)+COUNTIFS(Students!$A:$A,H$1,Students!$V:$V,$A3))</f>
        <v>0</v>
      </c>
      <c r="I3" s="319">
        <f t="shared" si="1"/>
        <v>58</v>
      </c>
      <c r="J3" s="319">
        <f>if($A3="","",sumifs(Schedule!$R:$R,Schedule!$P:$P,$A3)+sumifs(Schedule!$U:$U,Schedule!$S:$S,$A3)+sumifs(Schedule!$X:$X,Schedule!$V:$V,$A3)+sumifs(Schedule!$AA:$AA,Schedule!$Y:$Y,$A3)+sumifs(Schedule!$AD:$AD,Schedule!$AB:$AB,$A3)+sumifs(Schedule!$AG:$AG,Schedule!$AE:$AE,$A3)+sumifs(Schedule!$AJ:$AJ,Schedule!$AH:$AH,$A3)+sumifs(Schedule!$AM:$AM,Schedule!$AK:$AK,$A3))</f>
        <v>58</v>
      </c>
      <c r="K3" s="319">
        <f t="shared" si="2"/>
        <v>0</v>
      </c>
      <c r="L3" s="320">
        <f>if(A3="","",countifs(Schedule!P$1:AK100,A3))</f>
        <v>4</v>
      </c>
    </row>
    <row r="4">
      <c r="A4" s="321" t="str">
        <f>IFERROR(__xludf.DUMMYFUNCTION("""COMPUTED_VALUE"""),"Algebra II")</f>
        <v>Algebra II</v>
      </c>
      <c r="B4" s="316" t="s">
        <v>680</v>
      </c>
      <c r="C4" s="317">
        <v>5.0</v>
      </c>
      <c r="D4" s="318">
        <v>21.0</v>
      </c>
      <c r="E4" s="255">
        <f>if($A4="","",COUNTIFS(Students!$A:$A,E$1,Students!$D:$D,$A4)+COUNTIFS(Students!$A:$A,E$1,Students!$F:$F,$A4)+COUNTIFS(Students!$A:$A,E$1,Students!$H:$H,$A4)+COUNTIFS(Students!$A:$A,E$1,Students!$J:$J,$A4)+COUNTIFS(Students!$A:$A,E$1,Students!$L:$L,$A4)+COUNTIFS(Students!$A:$A,E$1,Students!$N:$N,$A4)+COUNTIFS(Students!$A:$A,E$1,Students!$P:$P,$A4)+COUNTIFS(Students!$A:$A,E$1,Students!$R:$R,$A4)+COUNTIFS(Students!$A:$A,E$1,Students!$T:$T,$A4)+COUNTIFS(Students!$A:$A,E$1,Students!$V:$V,$A4))</f>
        <v>0</v>
      </c>
      <c r="F4" s="255">
        <f>if($A4="","",COUNTIFS(Students!$A:$A,F$1,Students!$D:$D,$A4)+COUNTIFS(Students!$A:$A,F$1,Students!$F:$F,$A4)+COUNTIFS(Students!$A:$A,F$1,Students!$H:$H,$A4)+COUNTIFS(Students!$A:$A,F$1,Students!$J:$J,$A4)+COUNTIFS(Students!$A:$A,F$1,Students!$L:$L,$A4)+COUNTIFS(Students!$A:$A,F$1,Students!$N:$N,$A4)+COUNTIFS(Students!$A:$A,F$1,Students!$P:$P,$A4)+COUNTIFS(Students!$A:$A,F$1,Students!$R:$R,$A4)+COUNTIFS(Students!$A:$A,F$1,Students!$T:$T,$A4)+COUNTIFS(Students!$A:$A,F$1,Students!$V:$V,$A4))</f>
        <v>40</v>
      </c>
      <c r="G4" s="255">
        <f>if($A4="","",COUNTIFS(Students!$A:$A,G$1,Students!$D:$D,$A4)+COUNTIFS(Students!$A:$A,G$1,Students!$F:$F,$A4)+COUNTIFS(Students!$A:$A,G$1,Students!$H:$H,$A4)+COUNTIFS(Students!$A:$A,G$1,Students!$J:$J,$A4)+COUNTIFS(Students!$A:$A,G$1,Students!$L:$L,$A4)+COUNTIFS(Students!$A:$A,G$1,Students!$N:$N,$A4)+COUNTIFS(Students!$A:$A,G$1,Students!$P:$P,$A4)+COUNTIFS(Students!$A:$A,G$1,Students!$R:$R,$A4)+COUNTIFS(Students!$A:$A,G$1,Students!$T:$T,$A4)+COUNTIFS(Students!$A:$A,G$1,Students!$V:$V,$A4))</f>
        <v>64</v>
      </c>
      <c r="H4" s="255">
        <f>if($A4="","",COUNTIFS(Students!$A:$A,H$1,Students!$D:$D,$A4)+COUNTIFS(Students!$A:$A,H$1,Students!$F:$F,$A4)+COUNTIFS(Students!$A:$A,H$1,Students!$H:$H,$A4)+COUNTIFS(Students!$A:$A,H$1,Students!$J:$J,$A4)+COUNTIFS(Students!$A:$A,H$1,Students!$L:$L,$A4)+COUNTIFS(Students!$A:$A,H$1,Students!$N:$N,$A4)+COUNTIFS(Students!$A:$A,H$1,Students!$P:$P,$A4)+COUNTIFS(Students!$A:$A,H$1,Students!$R:$R,$A4)+COUNTIFS(Students!$A:$A,H$1,Students!$T:$T,$A4)+COUNTIFS(Students!$A:$A,H$1,Students!$V:$V,$A4))</f>
        <v>1</v>
      </c>
      <c r="I4" s="319">
        <f t="shared" si="1"/>
        <v>105</v>
      </c>
      <c r="J4" s="319">
        <f>if($A4="","",sumifs(Schedule!$R:$R,Schedule!$P:$P,$A4)+sumifs(Schedule!$U:$U,Schedule!$S:$S,$A4)+sumifs(Schedule!$X:$X,Schedule!$V:$V,$A4)+sumifs(Schedule!$AA:$AA,Schedule!$Y:$Y,$A4)+sumifs(Schedule!$AD:$AD,Schedule!$AB:$AB,$A4)+sumifs(Schedule!$AG:$AG,Schedule!$AE:$AE,$A4)+sumifs(Schedule!$AJ:$AJ,Schedule!$AH:$AH,$A4)+sumifs(Schedule!$AM:$AM,Schedule!$AK:$AK,$A4))</f>
        <v>105</v>
      </c>
      <c r="K4" s="319">
        <f t="shared" si="2"/>
        <v>0</v>
      </c>
      <c r="L4" s="320">
        <v>5.0</v>
      </c>
    </row>
    <row r="5">
      <c r="A5" s="321" t="str">
        <f>IFERROR(__xludf.DUMMYFUNCTION("""COMPUTED_VALUE"""),"Anatomy and Physiology")</f>
        <v>Anatomy and Physiology</v>
      </c>
      <c r="B5" s="316" t="s">
        <v>680</v>
      </c>
      <c r="C5" s="317">
        <v>2.0</v>
      </c>
      <c r="D5" s="318">
        <v>21.5</v>
      </c>
      <c r="E5" s="255">
        <f>if($A5="","",COUNTIFS(Students!$A:$A,E$1,Students!$D:$D,$A5)+COUNTIFS(Students!$A:$A,E$1,Students!$F:$F,$A5)+COUNTIFS(Students!$A:$A,E$1,Students!$H:$H,$A5)+COUNTIFS(Students!$A:$A,E$1,Students!$J:$J,$A5)+COUNTIFS(Students!$A:$A,E$1,Students!$L:$L,$A5)+COUNTIFS(Students!$A:$A,E$1,Students!$N:$N,$A5)+COUNTIFS(Students!$A:$A,E$1,Students!$P:$P,$A5)+COUNTIFS(Students!$A:$A,E$1,Students!$R:$R,$A5)+COUNTIFS(Students!$A:$A,E$1,Students!$T:$T,$A5)+COUNTIFS(Students!$A:$A,E$1,Students!$V:$V,$A5))</f>
        <v>0</v>
      </c>
      <c r="F5" s="255">
        <f>if($A5="","",COUNTIFS(Students!$A:$A,F$1,Students!$D:$D,$A5)+COUNTIFS(Students!$A:$A,F$1,Students!$F:$F,$A5)+COUNTIFS(Students!$A:$A,F$1,Students!$H:$H,$A5)+COUNTIFS(Students!$A:$A,F$1,Students!$J:$J,$A5)+COUNTIFS(Students!$A:$A,F$1,Students!$L:$L,$A5)+COUNTIFS(Students!$A:$A,F$1,Students!$N:$N,$A5)+COUNTIFS(Students!$A:$A,F$1,Students!$P:$P,$A5)+COUNTIFS(Students!$A:$A,F$1,Students!$R:$R,$A5)+COUNTIFS(Students!$A:$A,F$1,Students!$T:$T,$A5)+COUNTIFS(Students!$A:$A,F$1,Students!$V:$V,$A5))</f>
        <v>32</v>
      </c>
      <c r="G5" s="255">
        <f>if($A5="","",COUNTIFS(Students!$A:$A,G$1,Students!$D:$D,$A5)+COUNTIFS(Students!$A:$A,G$1,Students!$F:$F,$A5)+COUNTIFS(Students!$A:$A,G$1,Students!$H:$H,$A5)+COUNTIFS(Students!$A:$A,G$1,Students!$J:$J,$A5)+COUNTIFS(Students!$A:$A,G$1,Students!$L:$L,$A5)+COUNTIFS(Students!$A:$A,G$1,Students!$N:$N,$A5)+COUNTIFS(Students!$A:$A,G$1,Students!$P:$P,$A5)+COUNTIFS(Students!$A:$A,G$1,Students!$R:$R,$A5)+COUNTIFS(Students!$A:$A,G$1,Students!$T:$T,$A5)+COUNTIFS(Students!$A:$A,G$1,Students!$V:$V,$A5))</f>
        <v>3</v>
      </c>
      <c r="H5" s="255">
        <f>if($A5="","",COUNTIFS(Students!$A:$A,H$1,Students!$D:$D,$A5)+COUNTIFS(Students!$A:$A,H$1,Students!$F:$F,$A5)+COUNTIFS(Students!$A:$A,H$1,Students!$H:$H,$A5)+COUNTIFS(Students!$A:$A,H$1,Students!$J:$J,$A5)+COUNTIFS(Students!$A:$A,H$1,Students!$L:$L,$A5)+COUNTIFS(Students!$A:$A,H$1,Students!$N:$N,$A5)+COUNTIFS(Students!$A:$A,H$1,Students!$P:$P,$A5)+COUNTIFS(Students!$A:$A,H$1,Students!$R:$R,$A5)+COUNTIFS(Students!$A:$A,H$1,Students!$T:$T,$A5)+COUNTIFS(Students!$A:$A,H$1,Students!$V:$V,$A5))</f>
        <v>8</v>
      </c>
      <c r="I5" s="319">
        <f t="shared" si="1"/>
        <v>43</v>
      </c>
      <c r="J5" s="319">
        <f>if($A5="","",sumifs(Schedule!$R:$R,Schedule!$P:$P,$A5)+sumifs(Schedule!$U:$U,Schedule!$S:$S,$A5)+sumifs(Schedule!$X:$X,Schedule!$V:$V,$A5)+sumifs(Schedule!$AA:$AA,Schedule!$Y:$Y,$A5)+sumifs(Schedule!$AD:$AD,Schedule!$AB:$AB,$A5)+sumifs(Schedule!$AG:$AG,Schedule!$AE:$AE,$A5)+sumifs(Schedule!$AJ:$AJ,Schedule!$AH:$AH,$A5)+sumifs(Schedule!$AM:$AM,Schedule!$AK:$AK,$A5))</f>
        <v>43</v>
      </c>
      <c r="K5" s="319">
        <f t="shared" si="2"/>
        <v>0</v>
      </c>
      <c r="L5" s="320">
        <f>if(A5="","",countifs(Schedule!P$1:AK100,A5))</f>
        <v>2</v>
      </c>
    </row>
    <row r="6">
      <c r="A6" s="321" t="str">
        <f>IFERROR(__xludf.DUMMYFUNCTION("""COMPUTED_VALUE"""),"AP 2-D Art and Design")</f>
        <v>AP 2-D Art and Design</v>
      </c>
      <c r="B6" s="316" t="s">
        <v>680</v>
      </c>
      <c r="C6" s="317">
        <v>1.0</v>
      </c>
      <c r="D6" s="318">
        <v>17.0</v>
      </c>
      <c r="E6" s="255">
        <f>if($A6="","",COUNTIFS(Students!$A:$A,E$1,Students!$D:$D,$A6)+COUNTIFS(Students!$A:$A,E$1,Students!$F:$F,$A6)+COUNTIFS(Students!$A:$A,E$1,Students!$H:$H,$A6)+COUNTIFS(Students!$A:$A,E$1,Students!$J:$J,$A6)+COUNTIFS(Students!$A:$A,E$1,Students!$L:$L,$A6)+COUNTIFS(Students!$A:$A,E$1,Students!$N:$N,$A6)+COUNTIFS(Students!$A:$A,E$1,Students!$P:$P,$A6)+COUNTIFS(Students!$A:$A,E$1,Students!$R:$R,$A6)+COUNTIFS(Students!$A:$A,E$1,Students!$T:$T,$A6)+COUNTIFS(Students!$A:$A,E$1,Students!$V:$V,$A6))</f>
        <v>0</v>
      </c>
      <c r="F6" s="255">
        <f>if($A6="","",COUNTIFS(Students!$A:$A,F$1,Students!$D:$D,$A6)+COUNTIFS(Students!$A:$A,F$1,Students!$F:$F,$A6)+COUNTIFS(Students!$A:$A,F$1,Students!$H:$H,$A6)+COUNTIFS(Students!$A:$A,F$1,Students!$J:$J,$A6)+COUNTIFS(Students!$A:$A,F$1,Students!$L:$L,$A6)+COUNTIFS(Students!$A:$A,F$1,Students!$N:$N,$A6)+COUNTIFS(Students!$A:$A,F$1,Students!$P:$P,$A6)+COUNTIFS(Students!$A:$A,F$1,Students!$R:$R,$A6)+COUNTIFS(Students!$A:$A,F$1,Students!$T:$T,$A6)+COUNTIFS(Students!$A:$A,F$1,Students!$V:$V,$A6))</f>
        <v>11</v>
      </c>
      <c r="G6" s="255">
        <f>if($A6="","",COUNTIFS(Students!$A:$A,G$1,Students!$D:$D,$A6)+COUNTIFS(Students!$A:$A,G$1,Students!$F:$F,$A6)+COUNTIFS(Students!$A:$A,G$1,Students!$H:$H,$A6)+COUNTIFS(Students!$A:$A,G$1,Students!$J:$J,$A6)+COUNTIFS(Students!$A:$A,G$1,Students!$L:$L,$A6)+COUNTIFS(Students!$A:$A,G$1,Students!$N:$N,$A6)+COUNTIFS(Students!$A:$A,G$1,Students!$P:$P,$A6)+COUNTIFS(Students!$A:$A,G$1,Students!$R:$R,$A6)+COUNTIFS(Students!$A:$A,G$1,Students!$T:$T,$A6)+COUNTIFS(Students!$A:$A,G$1,Students!$V:$V,$A6))</f>
        <v>5</v>
      </c>
      <c r="H6" s="255">
        <f>if($A6="","",COUNTIFS(Students!$A:$A,H$1,Students!$D:$D,$A6)+COUNTIFS(Students!$A:$A,H$1,Students!$F:$F,$A6)+COUNTIFS(Students!$A:$A,H$1,Students!$H:$H,$A6)+COUNTIFS(Students!$A:$A,H$1,Students!$J:$J,$A6)+COUNTIFS(Students!$A:$A,H$1,Students!$L:$L,$A6)+COUNTIFS(Students!$A:$A,H$1,Students!$N:$N,$A6)+COUNTIFS(Students!$A:$A,H$1,Students!$P:$P,$A6)+COUNTIFS(Students!$A:$A,H$1,Students!$R:$R,$A6)+COUNTIFS(Students!$A:$A,H$1,Students!$T:$T,$A6)+COUNTIFS(Students!$A:$A,H$1,Students!$V:$V,$A6))</f>
        <v>1</v>
      </c>
      <c r="I6" s="319">
        <f t="shared" si="1"/>
        <v>17</v>
      </c>
      <c r="J6" s="319">
        <f>if($A6="","",sumifs(Schedule!$R:$R,Schedule!$P:$P,$A6)+sumifs(Schedule!$U:$U,Schedule!$S:$S,$A6)+sumifs(Schedule!$X:$X,Schedule!$V:$V,$A6)+sumifs(Schedule!$AA:$AA,Schedule!$Y:$Y,$A6)+sumifs(Schedule!$AD:$AD,Schedule!$AB:$AB,$A6)+sumifs(Schedule!$AG:$AG,Schedule!$AE:$AE,$A6)+sumifs(Schedule!$AJ:$AJ,Schedule!$AH:$AH,$A6)+sumifs(Schedule!$AM:$AM,Schedule!$AK:$AK,$A6))</f>
        <v>17</v>
      </c>
      <c r="K6" s="319">
        <f t="shared" si="2"/>
        <v>0</v>
      </c>
      <c r="L6" s="320">
        <f>if(A6="","",countifs(Schedule!P$1:AK100,A6))</f>
        <v>1</v>
      </c>
    </row>
    <row r="7">
      <c r="A7" s="322" t="str">
        <f>IFERROR(__xludf.DUMMYFUNCTION("""COMPUTED_VALUE"""),"AP 3-D Art and Design")</f>
        <v>AP 3-D Art and Design</v>
      </c>
      <c r="B7" s="323" t="s">
        <v>680</v>
      </c>
      <c r="C7" s="317">
        <v>1.0</v>
      </c>
      <c r="D7" s="318">
        <v>10.0</v>
      </c>
      <c r="E7" s="255">
        <f>if($A7="","",COUNTIFS(Students!$A:$A,E$1,Students!$D:$D,$A7)+COUNTIFS(Students!$A:$A,E$1,Students!$F:$F,$A7)+COUNTIFS(Students!$A:$A,E$1,Students!$H:$H,$A7)+COUNTIFS(Students!$A:$A,E$1,Students!$J:$J,$A7)+COUNTIFS(Students!$A:$A,E$1,Students!$L:$L,$A7)+COUNTIFS(Students!$A:$A,E$1,Students!$N:$N,$A7)+COUNTIFS(Students!$A:$A,E$1,Students!$P:$P,$A7)+COUNTIFS(Students!$A:$A,E$1,Students!$R:$R,$A7)+COUNTIFS(Students!$A:$A,E$1,Students!$T:$T,$A7)+COUNTIFS(Students!$A:$A,E$1,Students!$V:$V,$A7))</f>
        <v>0</v>
      </c>
      <c r="F7" s="255">
        <f>if($A7="","",COUNTIFS(Students!$A:$A,F$1,Students!$D:$D,$A7)+COUNTIFS(Students!$A:$A,F$1,Students!$F:$F,$A7)+COUNTIFS(Students!$A:$A,F$1,Students!$H:$H,$A7)+COUNTIFS(Students!$A:$A,F$1,Students!$J:$J,$A7)+COUNTIFS(Students!$A:$A,F$1,Students!$L:$L,$A7)+COUNTIFS(Students!$A:$A,F$1,Students!$N:$N,$A7)+COUNTIFS(Students!$A:$A,F$1,Students!$P:$P,$A7)+COUNTIFS(Students!$A:$A,F$1,Students!$R:$R,$A7)+COUNTIFS(Students!$A:$A,F$1,Students!$T:$T,$A7)+COUNTIFS(Students!$A:$A,F$1,Students!$V:$V,$A7))</f>
        <v>1</v>
      </c>
      <c r="G7" s="255">
        <f>if($A7="","",COUNTIFS(Students!$A:$A,G$1,Students!$D:$D,$A7)+COUNTIFS(Students!$A:$A,G$1,Students!$F:$F,$A7)+COUNTIFS(Students!$A:$A,G$1,Students!$H:$H,$A7)+COUNTIFS(Students!$A:$A,G$1,Students!$J:$J,$A7)+COUNTIFS(Students!$A:$A,G$1,Students!$L:$L,$A7)+COUNTIFS(Students!$A:$A,G$1,Students!$N:$N,$A7)+COUNTIFS(Students!$A:$A,G$1,Students!$P:$P,$A7)+COUNTIFS(Students!$A:$A,G$1,Students!$R:$R,$A7)+COUNTIFS(Students!$A:$A,G$1,Students!$T:$T,$A7)+COUNTIFS(Students!$A:$A,G$1,Students!$V:$V,$A7))</f>
        <v>4</v>
      </c>
      <c r="H7" s="255">
        <f>if($A7="","",COUNTIFS(Students!$A:$A,H$1,Students!$D:$D,$A7)+COUNTIFS(Students!$A:$A,H$1,Students!$F:$F,$A7)+COUNTIFS(Students!$A:$A,H$1,Students!$H:$H,$A7)+COUNTIFS(Students!$A:$A,H$1,Students!$J:$J,$A7)+COUNTIFS(Students!$A:$A,H$1,Students!$L:$L,$A7)+COUNTIFS(Students!$A:$A,H$1,Students!$N:$N,$A7)+COUNTIFS(Students!$A:$A,H$1,Students!$P:$P,$A7)+COUNTIFS(Students!$A:$A,H$1,Students!$R:$R,$A7)+COUNTIFS(Students!$A:$A,H$1,Students!$T:$T,$A7)+COUNTIFS(Students!$A:$A,H$1,Students!$V:$V,$A7))</f>
        <v>5</v>
      </c>
      <c r="I7" s="319">
        <f t="shared" si="1"/>
        <v>10</v>
      </c>
      <c r="J7" s="319">
        <f>if($A7="","",sumifs(Schedule!$R:$R,Schedule!$P:$P,$A7)+sumifs(Schedule!$U:$U,Schedule!$S:$S,$A7)+sumifs(Schedule!$X:$X,Schedule!$V:$V,$A7)+sumifs(Schedule!$AA:$AA,Schedule!$Y:$Y,$A7)+sumifs(Schedule!$AD:$AD,Schedule!$AB:$AB,$A7)+sumifs(Schedule!$AG:$AG,Schedule!$AE:$AE,$A7)+sumifs(Schedule!$AJ:$AJ,Schedule!$AH:$AH,$A7)+sumifs(Schedule!$AM:$AM,Schedule!$AK:$AK,$A7))</f>
        <v>10</v>
      </c>
      <c r="K7" s="319">
        <f t="shared" si="2"/>
        <v>0</v>
      </c>
      <c r="L7" s="320">
        <f>if(A7="","",countifs(Schedule!P$1:AK100,A7))</f>
        <v>1</v>
      </c>
    </row>
    <row r="8">
      <c r="A8" s="324" t="str">
        <f>IFERROR(__xludf.DUMMYFUNCTION("""COMPUTED_VALUE"""),"AP Biology")</f>
        <v>AP Biology</v>
      </c>
      <c r="B8" s="325" t="s">
        <v>680</v>
      </c>
      <c r="C8" s="317">
        <v>1.0</v>
      </c>
      <c r="D8" s="318">
        <v>15.0</v>
      </c>
      <c r="E8" s="255">
        <f>if($A8="","",COUNTIFS(Students!$A:$A,E$1,Students!$D:$D,$A8)+COUNTIFS(Students!$A:$A,E$1,Students!$F:$F,$A8)+COUNTIFS(Students!$A:$A,E$1,Students!$H:$H,$A8)+COUNTIFS(Students!$A:$A,E$1,Students!$J:$J,$A8)+COUNTIFS(Students!$A:$A,E$1,Students!$L:$L,$A8)+COUNTIFS(Students!$A:$A,E$1,Students!$N:$N,$A8)+COUNTIFS(Students!$A:$A,E$1,Students!$P:$P,$A8)+COUNTIFS(Students!$A:$A,E$1,Students!$R:$R,$A8)+COUNTIFS(Students!$A:$A,E$1,Students!$T:$T,$A8)+COUNTIFS(Students!$A:$A,E$1,Students!$V:$V,$A8))</f>
        <v>0</v>
      </c>
      <c r="F8" s="255">
        <f>if($A8="","",COUNTIFS(Students!$A:$A,F$1,Students!$D:$D,$A8)+COUNTIFS(Students!$A:$A,F$1,Students!$F:$F,$A8)+COUNTIFS(Students!$A:$A,F$1,Students!$H:$H,$A8)+COUNTIFS(Students!$A:$A,F$1,Students!$J:$J,$A8)+COUNTIFS(Students!$A:$A,F$1,Students!$L:$L,$A8)+COUNTIFS(Students!$A:$A,F$1,Students!$N:$N,$A8)+COUNTIFS(Students!$A:$A,F$1,Students!$P:$P,$A8)+COUNTIFS(Students!$A:$A,F$1,Students!$R:$R,$A8)+COUNTIFS(Students!$A:$A,F$1,Students!$T:$T,$A8)+COUNTIFS(Students!$A:$A,F$1,Students!$V:$V,$A8))</f>
        <v>0</v>
      </c>
      <c r="G8" s="255">
        <f>if($A8="","",COUNTIFS(Students!$A:$A,G$1,Students!$D:$D,$A8)+COUNTIFS(Students!$A:$A,G$1,Students!$F:$F,$A8)+COUNTIFS(Students!$A:$A,G$1,Students!$H:$H,$A8)+COUNTIFS(Students!$A:$A,G$1,Students!$J:$J,$A8)+COUNTIFS(Students!$A:$A,G$1,Students!$L:$L,$A8)+COUNTIFS(Students!$A:$A,G$1,Students!$N:$N,$A8)+COUNTIFS(Students!$A:$A,G$1,Students!$P:$P,$A8)+COUNTIFS(Students!$A:$A,G$1,Students!$R:$R,$A8)+COUNTIFS(Students!$A:$A,G$1,Students!$T:$T,$A8)+COUNTIFS(Students!$A:$A,G$1,Students!$V:$V,$A8))</f>
        <v>8</v>
      </c>
      <c r="H8" s="255">
        <f>if($A8="","",COUNTIFS(Students!$A:$A,H$1,Students!$D:$D,$A8)+COUNTIFS(Students!$A:$A,H$1,Students!$F:$F,$A8)+COUNTIFS(Students!$A:$A,H$1,Students!$H:$H,$A8)+COUNTIFS(Students!$A:$A,H$1,Students!$J:$J,$A8)+COUNTIFS(Students!$A:$A,H$1,Students!$L:$L,$A8)+COUNTIFS(Students!$A:$A,H$1,Students!$N:$N,$A8)+COUNTIFS(Students!$A:$A,H$1,Students!$P:$P,$A8)+COUNTIFS(Students!$A:$A,H$1,Students!$R:$R,$A8)+COUNTIFS(Students!$A:$A,H$1,Students!$T:$T,$A8)+COUNTIFS(Students!$A:$A,H$1,Students!$V:$V,$A8))</f>
        <v>7</v>
      </c>
      <c r="I8" s="319">
        <f t="shared" si="1"/>
        <v>15</v>
      </c>
      <c r="J8" s="319">
        <f>if($A8="","",sumifs(Schedule!$R:$R,Schedule!$P:$P,$A8)+sumifs(Schedule!$U:$U,Schedule!$S:$S,$A8)+sumifs(Schedule!$X:$X,Schedule!$V:$V,$A8)+sumifs(Schedule!$AA:$AA,Schedule!$Y:$Y,$A8)+sumifs(Schedule!$AD:$AD,Schedule!$AB:$AB,$A8)+sumifs(Schedule!$AG:$AG,Schedule!$AE:$AE,$A8)+sumifs(Schedule!$AJ:$AJ,Schedule!$AH:$AH,$A8)+sumifs(Schedule!$AM:$AM,Schedule!$AK:$AK,$A8))</f>
        <v>15</v>
      </c>
      <c r="K8" s="319">
        <f t="shared" si="2"/>
        <v>0</v>
      </c>
      <c r="L8" s="320">
        <f>if(A8="","",countifs(Schedule!P$1:AK100,A8))</f>
        <v>1</v>
      </c>
    </row>
    <row r="9">
      <c r="A9" s="326" t="str">
        <f>IFERROR(__xludf.DUMMYFUNCTION("""COMPUTED_VALUE"""),"AP Calculus AB")</f>
        <v>AP Calculus AB</v>
      </c>
      <c r="B9" s="327" t="s">
        <v>680</v>
      </c>
      <c r="C9" s="317">
        <v>2.0</v>
      </c>
      <c r="D9" s="318">
        <v>22.0</v>
      </c>
      <c r="E9" s="255">
        <f>if($A9="","",COUNTIFS(Students!$A:$A,E$1,Students!$D:$D,$A9)+COUNTIFS(Students!$A:$A,E$1,Students!$F:$F,$A9)+COUNTIFS(Students!$A:$A,E$1,Students!$H:$H,$A9)+COUNTIFS(Students!$A:$A,E$1,Students!$J:$J,$A9)+COUNTIFS(Students!$A:$A,E$1,Students!$L:$L,$A9)+COUNTIFS(Students!$A:$A,E$1,Students!$N:$N,$A9)+COUNTIFS(Students!$A:$A,E$1,Students!$P:$P,$A9)+COUNTIFS(Students!$A:$A,E$1,Students!$R:$R,$A9)+COUNTIFS(Students!$A:$A,E$1,Students!$T:$T,$A9)+COUNTIFS(Students!$A:$A,E$1,Students!$V:$V,$A9))</f>
        <v>0</v>
      </c>
      <c r="F9" s="255">
        <f>if($A9="","",COUNTIFS(Students!$A:$A,F$1,Students!$D:$D,$A9)+COUNTIFS(Students!$A:$A,F$1,Students!$F:$F,$A9)+COUNTIFS(Students!$A:$A,F$1,Students!$H:$H,$A9)+COUNTIFS(Students!$A:$A,F$1,Students!$J:$J,$A9)+COUNTIFS(Students!$A:$A,F$1,Students!$L:$L,$A9)+COUNTIFS(Students!$A:$A,F$1,Students!$N:$N,$A9)+COUNTIFS(Students!$A:$A,F$1,Students!$P:$P,$A9)+COUNTIFS(Students!$A:$A,F$1,Students!$R:$R,$A9)+COUNTIFS(Students!$A:$A,F$1,Students!$T:$T,$A9)+COUNTIFS(Students!$A:$A,F$1,Students!$V:$V,$A9))</f>
        <v>0</v>
      </c>
      <c r="G9" s="255">
        <f>if($A9="","",COUNTIFS(Students!$A:$A,G$1,Students!$D:$D,$A9)+COUNTIFS(Students!$A:$A,G$1,Students!$F:$F,$A9)+COUNTIFS(Students!$A:$A,G$1,Students!$H:$H,$A9)+COUNTIFS(Students!$A:$A,G$1,Students!$J:$J,$A9)+COUNTIFS(Students!$A:$A,G$1,Students!$L:$L,$A9)+COUNTIFS(Students!$A:$A,G$1,Students!$N:$N,$A9)+COUNTIFS(Students!$A:$A,G$1,Students!$P:$P,$A9)+COUNTIFS(Students!$A:$A,G$1,Students!$R:$R,$A9)+COUNTIFS(Students!$A:$A,G$1,Students!$T:$T,$A9)+COUNTIFS(Students!$A:$A,G$1,Students!$V:$V,$A9))</f>
        <v>29</v>
      </c>
      <c r="H9" s="255">
        <f>if($A9="","",COUNTIFS(Students!$A:$A,H$1,Students!$D:$D,$A9)+COUNTIFS(Students!$A:$A,H$1,Students!$F:$F,$A9)+COUNTIFS(Students!$A:$A,H$1,Students!$H:$H,$A9)+COUNTIFS(Students!$A:$A,H$1,Students!$J:$J,$A9)+COUNTIFS(Students!$A:$A,H$1,Students!$L:$L,$A9)+COUNTIFS(Students!$A:$A,H$1,Students!$N:$N,$A9)+COUNTIFS(Students!$A:$A,H$1,Students!$P:$P,$A9)+COUNTIFS(Students!$A:$A,H$1,Students!$R:$R,$A9)+COUNTIFS(Students!$A:$A,H$1,Students!$T:$T,$A9)+COUNTIFS(Students!$A:$A,H$1,Students!$V:$V,$A9))</f>
        <v>15</v>
      </c>
      <c r="I9" s="319">
        <f t="shared" si="1"/>
        <v>44</v>
      </c>
      <c r="J9" s="319">
        <f>if($A9="","",sumifs(Schedule!$R:$R,Schedule!$P:$P,$A9)+sumifs(Schedule!$U:$U,Schedule!$S:$S,$A9)+sumifs(Schedule!$X:$X,Schedule!$V:$V,$A9)+sumifs(Schedule!$AA:$AA,Schedule!$Y:$Y,$A9)+sumifs(Schedule!$AD:$AD,Schedule!$AB:$AB,$A9)+sumifs(Schedule!$AG:$AG,Schedule!$AE:$AE,$A9)+sumifs(Schedule!$AJ:$AJ,Schedule!$AH:$AH,$A9)+sumifs(Schedule!$AM:$AM,Schedule!$AK:$AK,$A9))</f>
        <v>44</v>
      </c>
      <c r="K9" s="319">
        <f t="shared" si="2"/>
        <v>0</v>
      </c>
      <c r="L9" s="320">
        <f>if(A9="","",countifs(Schedule!P$1:AK100,A9))</f>
        <v>2</v>
      </c>
    </row>
    <row r="10">
      <c r="A10" s="321" t="str">
        <f>IFERROR(__xludf.DUMMYFUNCTION("""COMPUTED_VALUE"""),"AP Calculus BC")</f>
        <v>AP Calculus BC</v>
      </c>
      <c r="B10" s="316" t="s">
        <v>680</v>
      </c>
      <c r="C10" s="317">
        <v>1.0</v>
      </c>
      <c r="D10" s="318">
        <v>7.0</v>
      </c>
      <c r="E10" s="255">
        <f>if($A10="","",COUNTIFS(Students!$A:$A,E$1,Students!$D:$D,$A10)+COUNTIFS(Students!$A:$A,E$1,Students!$F:$F,$A10)+COUNTIFS(Students!$A:$A,E$1,Students!$H:$H,$A10)+COUNTIFS(Students!$A:$A,E$1,Students!$J:$J,$A10)+COUNTIFS(Students!$A:$A,E$1,Students!$L:$L,$A10)+COUNTIFS(Students!$A:$A,E$1,Students!$N:$N,$A10)+COUNTIFS(Students!$A:$A,E$1,Students!$P:$P,$A10)+COUNTIFS(Students!$A:$A,E$1,Students!$R:$R,$A10)+COUNTIFS(Students!$A:$A,E$1,Students!$T:$T,$A10)+COUNTIFS(Students!$A:$A,E$1,Students!$V:$V,$A10))</f>
        <v>0</v>
      </c>
      <c r="F10" s="255">
        <f>if($A10="","",COUNTIFS(Students!$A:$A,F$1,Students!$D:$D,$A10)+COUNTIFS(Students!$A:$A,F$1,Students!$F:$F,$A10)+COUNTIFS(Students!$A:$A,F$1,Students!$H:$H,$A10)+COUNTIFS(Students!$A:$A,F$1,Students!$J:$J,$A10)+COUNTIFS(Students!$A:$A,F$1,Students!$L:$L,$A10)+COUNTIFS(Students!$A:$A,F$1,Students!$N:$N,$A10)+COUNTIFS(Students!$A:$A,F$1,Students!$P:$P,$A10)+COUNTIFS(Students!$A:$A,F$1,Students!$R:$R,$A10)+COUNTIFS(Students!$A:$A,F$1,Students!$T:$T,$A10)+COUNTIFS(Students!$A:$A,F$1,Students!$V:$V,$A10))</f>
        <v>0</v>
      </c>
      <c r="G10" s="255">
        <f>if($A10="","",COUNTIFS(Students!$A:$A,G$1,Students!$D:$D,$A10)+COUNTIFS(Students!$A:$A,G$1,Students!$F:$F,$A10)+COUNTIFS(Students!$A:$A,G$1,Students!$H:$H,$A10)+COUNTIFS(Students!$A:$A,G$1,Students!$J:$J,$A10)+COUNTIFS(Students!$A:$A,G$1,Students!$L:$L,$A10)+COUNTIFS(Students!$A:$A,G$1,Students!$N:$N,$A10)+COUNTIFS(Students!$A:$A,G$1,Students!$P:$P,$A10)+COUNTIFS(Students!$A:$A,G$1,Students!$R:$R,$A10)+COUNTIFS(Students!$A:$A,G$1,Students!$T:$T,$A10)+COUNTIFS(Students!$A:$A,G$1,Students!$V:$V,$A10))</f>
        <v>0</v>
      </c>
      <c r="H10" s="255">
        <f>if($A10="","",COUNTIFS(Students!$A:$A,H$1,Students!$D:$D,$A10)+COUNTIFS(Students!$A:$A,H$1,Students!$F:$F,$A10)+COUNTIFS(Students!$A:$A,H$1,Students!$H:$H,$A10)+COUNTIFS(Students!$A:$A,H$1,Students!$J:$J,$A10)+COUNTIFS(Students!$A:$A,H$1,Students!$L:$L,$A10)+COUNTIFS(Students!$A:$A,H$1,Students!$N:$N,$A10)+COUNTIFS(Students!$A:$A,H$1,Students!$P:$P,$A10)+COUNTIFS(Students!$A:$A,H$1,Students!$R:$R,$A10)+COUNTIFS(Students!$A:$A,H$1,Students!$T:$T,$A10)+COUNTIFS(Students!$A:$A,H$1,Students!$V:$V,$A10))</f>
        <v>7</v>
      </c>
      <c r="I10" s="319">
        <f t="shared" si="1"/>
        <v>7</v>
      </c>
      <c r="J10" s="319">
        <f>if($A10="","",sumifs(Schedule!$R:$R,Schedule!$P:$P,$A10)+sumifs(Schedule!$U:$U,Schedule!$S:$S,$A10)+sumifs(Schedule!$X:$X,Schedule!$V:$V,$A10)+sumifs(Schedule!$AA:$AA,Schedule!$Y:$Y,$A10)+sumifs(Schedule!$AD:$AD,Schedule!$AB:$AB,$A10)+sumifs(Schedule!$AG:$AG,Schedule!$AE:$AE,$A10)+sumifs(Schedule!$AJ:$AJ,Schedule!$AH:$AH,$A10)+sumifs(Schedule!$AM:$AM,Schedule!$AK:$AK,$A10))</f>
        <v>7</v>
      </c>
      <c r="K10" s="319">
        <f t="shared" si="2"/>
        <v>0</v>
      </c>
      <c r="L10" s="320">
        <f>if(A10="","",countifs(Schedule!P$1:AK100,A10))</f>
        <v>1</v>
      </c>
    </row>
    <row r="11">
      <c r="A11" s="322" t="str">
        <f>IFERROR(__xludf.DUMMYFUNCTION("""COMPUTED_VALUE"""),"AP Chemistry")</f>
        <v>AP Chemistry</v>
      </c>
      <c r="B11" s="323" t="s">
        <v>680</v>
      </c>
      <c r="C11" s="317">
        <v>1.0</v>
      </c>
      <c r="D11" s="318">
        <v>10.0</v>
      </c>
      <c r="E11" s="255">
        <f>if($A11="","",COUNTIFS(Students!$A:$A,E$1,Students!$D:$D,$A11)+COUNTIFS(Students!$A:$A,E$1,Students!$F:$F,$A11)+COUNTIFS(Students!$A:$A,E$1,Students!$H:$H,$A11)+COUNTIFS(Students!$A:$A,E$1,Students!$J:$J,$A11)+COUNTIFS(Students!$A:$A,E$1,Students!$L:$L,$A11)+COUNTIFS(Students!$A:$A,E$1,Students!$N:$N,$A11)+COUNTIFS(Students!$A:$A,E$1,Students!$P:$P,$A11)+COUNTIFS(Students!$A:$A,E$1,Students!$R:$R,$A11)+COUNTIFS(Students!$A:$A,E$1,Students!$T:$T,$A11)+COUNTIFS(Students!$A:$A,E$1,Students!$V:$V,$A11))</f>
        <v>0</v>
      </c>
      <c r="F11" s="255">
        <f>if($A11="","",COUNTIFS(Students!$A:$A,F$1,Students!$D:$D,$A11)+COUNTIFS(Students!$A:$A,F$1,Students!$F:$F,$A11)+COUNTIFS(Students!$A:$A,F$1,Students!$H:$H,$A11)+COUNTIFS(Students!$A:$A,F$1,Students!$J:$J,$A11)+COUNTIFS(Students!$A:$A,F$1,Students!$L:$L,$A11)+COUNTIFS(Students!$A:$A,F$1,Students!$N:$N,$A11)+COUNTIFS(Students!$A:$A,F$1,Students!$P:$P,$A11)+COUNTIFS(Students!$A:$A,F$1,Students!$R:$R,$A11)+COUNTIFS(Students!$A:$A,F$1,Students!$T:$T,$A11)+COUNTIFS(Students!$A:$A,F$1,Students!$V:$V,$A11))</f>
        <v>0</v>
      </c>
      <c r="G11" s="255">
        <f>if($A11="","",COUNTIFS(Students!$A:$A,G$1,Students!$D:$D,$A11)+COUNTIFS(Students!$A:$A,G$1,Students!$F:$F,$A11)+COUNTIFS(Students!$A:$A,G$1,Students!$H:$H,$A11)+COUNTIFS(Students!$A:$A,G$1,Students!$J:$J,$A11)+COUNTIFS(Students!$A:$A,G$1,Students!$L:$L,$A11)+COUNTIFS(Students!$A:$A,G$1,Students!$N:$N,$A11)+COUNTIFS(Students!$A:$A,G$1,Students!$P:$P,$A11)+COUNTIFS(Students!$A:$A,G$1,Students!$R:$R,$A11)+COUNTIFS(Students!$A:$A,G$1,Students!$T:$T,$A11)+COUNTIFS(Students!$A:$A,G$1,Students!$V:$V,$A11))</f>
        <v>4</v>
      </c>
      <c r="H11" s="255">
        <f>if($A11="","",COUNTIFS(Students!$A:$A,H$1,Students!$D:$D,$A11)+COUNTIFS(Students!$A:$A,H$1,Students!$F:$F,$A11)+COUNTIFS(Students!$A:$A,H$1,Students!$H:$H,$A11)+COUNTIFS(Students!$A:$A,H$1,Students!$J:$J,$A11)+COUNTIFS(Students!$A:$A,H$1,Students!$L:$L,$A11)+COUNTIFS(Students!$A:$A,H$1,Students!$N:$N,$A11)+COUNTIFS(Students!$A:$A,H$1,Students!$P:$P,$A11)+COUNTIFS(Students!$A:$A,H$1,Students!$R:$R,$A11)+COUNTIFS(Students!$A:$A,H$1,Students!$T:$T,$A11)+COUNTIFS(Students!$A:$A,H$1,Students!$V:$V,$A11))</f>
        <v>6</v>
      </c>
      <c r="I11" s="319">
        <f t="shared" si="1"/>
        <v>10</v>
      </c>
      <c r="J11" s="319">
        <f>if($A11="","",sumifs(Schedule!$R:$R,Schedule!$P:$P,$A11)+sumifs(Schedule!$U:$U,Schedule!$S:$S,$A11)+sumifs(Schedule!$X:$X,Schedule!$V:$V,$A11)+sumifs(Schedule!$AA:$AA,Schedule!$Y:$Y,$A11)+sumifs(Schedule!$AD:$AD,Schedule!$AB:$AB,$A11)+sumifs(Schedule!$AG:$AG,Schedule!$AE:$AE,$A11)+sumifs(Schedule!$AJ:$AJ,Schedule!$AH:$AH,$A11)+sumifs(Schedule!$AM:$AM,Schedule!$AK:$AK,$A11))</f>
        <v>10</v>
      </c>
      <c r="K11" s="319">
        <f t="shared" si="2"/>
        <v>0</v>
      </c>
      <c r="L11" s="320">
        <f>if(A11="","",countifs(Schedule!P$1:AK100,A11))</f>
        <v>1</v>
      </c>
    </row>
    <row r="12">
      <c r="A12" s="321" t="str">
        <f>IFERROR(__xludf.DUMMYFUNCTION("""COMPUTED_VALUE"""),"AP Computer Science A")</f>
        <v>AP Computer Science A</v>
      </c>
      <c r="B12" s="316" t="s">
        <v>680</v>
      </c>
      <c r="C12" s="317">
        <v>1.0</v>
      </c>
      <c r="D12" s="318">
        <v>3.0</v>
      </c>
      <c r="E12" s="255">
        <f>if($A12="","",COUNTIFS(Students!$A:$A,E$1,Students!$D:$D,$A12)+COUNTIFS(Students!$A:$A,E$1,Students!$F:$F,$A12)+COUNTIFS(Students!$A:$A,E$1,Students!$H:$H,$A12)+COUNTIFS(Students!$A:$A,E$1,Students!$J:$J,$A12)+COUNTIFS(Students!$A:$A,E$1,Students!$L:$L,$A12)+COUNTIFS(Students!$A:$A,E$1,Students!$N:$N,$A12)+COUNTIFS(Students!$A:$A,E$1,Students!$P:$P,$A12)+COUNTIFS(Students!$A:$A,E$1,Students!$R:$R,$A12)+COUNTIFS(Students!$A:$A,E$1,Students!$T:$T,$A12)+COUNTIFS(Students!$A:$A,E$1,Students!$V:$V,$A12))</f>
        <v>0</v>
      </c>
      <c r="F12" s="255">
        <f>if($A12="","",COUNTIFS(Students!$A:$A,F$1,Students!$D:$D,$A12)+COUNTIFS(Students!$A:$A,F$1,Students!$F:$F,$A12)+COUNTIFS(Students!$A:$A,F$1,Students!$H:$H,$A12)+COUNTIFS(Students!$A:$A,F$1,Students!$J:$J,$A12)+COUNTIFS(Students!$A:$A,F$1,Students!$L:$L,$A12)+COUNTIFS(Students!$A:$A,F$1,Students!$N:$N,$A12)+COUNTIFS(Students!$A:$A,F$1,Students!$P:$P,$A12)+COUNTIFS(Students!$A:$A,F$1,Students!$R:$R,$A12)+COUNTIFS(Students!$A:$A,F$1,Students!$T:$T,$A12)+COUNTIFS(Students!$A:$A,F$1,Students!$V:$V,$A12))</f>
        <v>0</v>
      </c>
      <c r="G12" s="255">
        <f>if($A12="","",COUNTIFS(Students!$A:$A,G$1,Students!$D:$D,$A12)+COUNTIFS(Students!$A:$A,G$1,Students!$F:$F,$A12)+COUNTIFS(Students!$A:$A,G$1,Students!$H:$H,$A12)+COUNTIFS(Students!$A:$A,G$1,Students!$J:$J,$A12)+COUNTIFS(Students!$A:$A,G$1,Students!$L:$L,$A12)+COUNTIFS(Students!$A:$A,G$1,Students!$N:$N,$A12)+COUNTIFS(Students!$A:$A,G$1,Students!$P:$P,$A12)+COUNTIFS(Students!$A:$A,G$1,Students!$R:$R,$A12)+COUNTIFS(Students!$A:$A,G$1,Students!$T:$T,$A12)+COUNTIFS(Students!$A:$A,G$1,Students!$V:$V,$A12))</f>
        <v>3</v>
      </c>
      <c r="H12" s="255">
        <f>if($A12="","",COUNTIFS(Students!$A:$A,H$1,Students!$D:$D,$A12)+COUNTIFS(Students!$A:$A,H$1,Students!$F:$F,$A12)+COUNTIFS(Students!$A:$A,H$1,Students!$H:$H,$A12)+COUNTIFS(Students!$A:$A,H$1,Students!$J:$J,$A12)+COUNTIFS(Students!$A:$A,H$1,Students!$L:$L,$A12)+COUNTIFS(Students!$A:$A,H$1,Students!$N:$N,$A12)+COUNTIFS(Students!$A:$A,H$1,Students!$P:$P,$A12)+COUNTIFS(Students!$A:$A,H$1,Students!$R:$R,$A12)+COUNTIFS(Students!$A:$A,H$1,Students!$T:$T,$A12)+COUNTIFS(Students!$A:$A,H$1,Students!$V:$V,$A12))</f>
        <v>0</v>
      </c>
      <c r="I12" s="319">
        <f t="shared" si="1"/>
        <v>3</v>
      </c>
      <c r="J12" s="319">
        <f>if($A12="","",sumifs(Schedule!$R:$R,Schedule!$P:$P,$A12)+sumifs(Schedule!$U:$U,Schedule!$S:$S,$A12)+sumifs(Schedule!$X:$X,Schedule!$V:$V,$A12)+sumifs(Schedule!$AA:$AA,Schedule!$Y:$Y,$A12)+sumifs(Schedule!$AD:$AD,Schedule!$AB:$AB,$A12)+sumifs(Schedule!$AG:$AG,Schedule!$AE:$AE,$A12)+sumifs(Schedule!$AJ:$AJ,Schedule!$AH:$AH,$A12)+sumifs(Schedule!$AM:$AM,Schedule!$AK:$AK,$A12))</f>
        <v>3</v>
      </c>
      <c r="K12" s="319">
        <f t="shared" si="2"/>
        <v>0</v>
      </c>
      <c r="L12" s="320">
        <f>if(A12="","",countifs(Schedule!P$1:AK100,A12))</f>
        <v>1</v>
      </c>
    </row>
    <row r="13">
      <c r="A13" s="328" t="str">
        <f>IFERROR(__xludf.DUMMYFUNCTION("""COMPUTED_VALUE"""),"AP Computer Science Principles")</f>
        <v>AP Computer Science Principles</v>
      </c>
      <c r="B13" s="329" t="s">
        <v>680</v>
      </c>
      <c r="C13" s="317">
        <v>1.0</v>
      </c>
      <c r="D13" s="318">
        <v>20.0</v>
      </c>
      <c r="E13" s="255">
        <f>if($A13="","",COUNTIFS(Students!$A:$A,E$1,Students!$D:$D,$A13)+COUNTIFS(Students!$A:$A,E$1,Students!$F:$F,$A13)+COUNTIFS(Students!$A:$A,E$1,Students!$H:$H,$A13)+COUNTIFS(Students!$A:$A,E$1,Students!$J:$J,$A13)+COUNTIFS(Students!$A:$A,E$1,Students!$L:$L,$A13)+COUNTIFS(Students!$A:$A,E$1,Students!$N:$N,$A13)+COUNTIFS(Students!$A:$A,E$1,Students!$P:$P,$A13)+COUNTIFS(Students!$A:$A,E$1,Students!$R:$R,$A13)+COUNTIFS(Students!$A:$A,E$1,Students!$T:$T,$A13)+COUNTIFS(Students!$A:$A,E$1,Students!$V:$V,$A13))</f>
        <v>0</v>
      </c>
      <c r="F13" s="255">
        <f>if($A13="","",COUNTIFS(Students!$A:$A,F$1,Students!$D:$D,$A13)+COUNTIFS(Students!$A:$A,F$1,Students!$F:$F,$A13)+COUNTIFS(Students!$A:$A,F$1,Students!$H:$H,$A13)+COUNTIFS(Students!$A:$A,F$1,Students!$J:$J,$A13)+COUNTIFS(Students!$A:$A,F$1,Students!$L:$L,$A13)+COUNTIFS(Students!$A:$A,F$1,Students!$N:$N,$A13)+COUNTIFS(Students!$A:$A,F$1,Students!$P:$P,$A13)+COUNTIFS(Students!$A:$A,F$1,Students!$R:$R,$A13)+COUNTIFS(Students!$A:$A,F$1,Students!$T:$T,$A13)+COUNTIFS(Students!$A:$A,F$1,Students!$V:$V,$A13))</f>
        <v>12</v>
      </c>
      <c r="G13" s="255">
        <f>if($A13="","",COUNTIFS(Students!$A:$A,G$1,Students!$D:$D,$A13)+COUNTIFS(Students!$A:$A,G$1,Students!$F:$F,$A13)+COUNTIFS(Students!$A:$A,G$1,Students!$H:$H,$A13)+COUNTIFS(Students!$A:$A,G$1,Students!$J:$J,$A13)+COUNTIFS(Students!$A:$A,G$1,Students!$L:$L,$A13)+COUNTIFS(Students!$A:$A,G$1,Students!$N:$N,$A13)+COUNTIFS(Students!$A:$A,G$1,Students!$P:$P,$A13)+COUNTIFS(Students!$A:$A,G$1,Students!$R:$R,$A13)+COUNTIFS(Students!$A:$A,G$1,Students!$T:$T,$A13)+COUNTIFS(Students!$A:$A,G$1,Students!$V:$V,$A13))</f>
        <v>7</v>
      </c>
      <c r="H13" s="255">
        <f>if($A13="","",COUNTIFS(Students!$A:$A,H$1,Students!$D:$D,$A13)+COUNTIFS(Students!$A:$A,H$1,Students!$F:$F,$A13)+COUNTIFS(Students!$A:$A,H$1,Students!$H:$H,$A13)+COUNTIFS(Students!$A:$A,H$1,Students!$J:$J,$A13)+COUNTIFS(Students!$A:$A,H$1,Students!$L:$L,$A13)+COUNTIFS(Students!$A:$A,H$1,Students!$N:$N,$A13)+COUNTIFS(Students!$A:$A,H$1,Students!$P:$P,$A13)+COUNTIFS(Students!$A:$A,H$1,Students!$R:$R,$A13)+COUNTIFS(Students!$A:$A,H$1,Students!$T:$T,$A13)+COUNTIFS(Students!$A:$A,H$1,Students!$V:$V,$A13))</f>
        <v>1</v>
      </c>
      <c r="I13" s="319">
        <f t="shared" si="1"/>
        <v>20</v>
      </c>
      <c r="J13" s="319">
        <f>if($A13="","",sumifs(Schedule!$R:$R,Schedule!$P:$P,$A13)+sumifs(Schedule!$U:$U,Schedule!$S:$S,$A13)+sumifs(Schedule!$X:$X,Schedule!$V:$V,$A13)+sumifs(Schedule!$AA:$AA,Schedule!$Y:$Y,$A13)+sumifs(Schedule!$AD:$AD,Schedule!$AB:$AB,$A13)+sumifs(Schedule!$AG:$AG,Schedule!$AE:$AE,$A13)+sumifs(Schedule!$AJ:$AJ,Schedule!$AH:$AH,$A13)+sumifs(Schedule!$AM:$AM,Schedule!$AK:$AK,$A13))</f>
        <v>20</v>
      </c>
      <c r="K13" s="319">
        <f t="shared" si="2"/>
        <v>0</v>
      </c>
      <c r="L13" s="320">
        <f>if(A13="","",countifs(Schedule!P$1:AK100,A13))</f>
        <v>1</v>
      </c>
    </row>
    <row r="14">
      <c r="A14" s="321" t="str">
        <f>IFERROR(__xludf.DUMMYFUNCTION("""COMPUTED_VALUE"""),"AP Drawing")</f>
        <v>AP Drawing</v>
      </c>
      <c r="B14" s="316" t="s">
        <v>680</v>
      </c>
      <c r="C14" s="317">
        <v>1.0</v>
      </c>
      <c r="D14" s="318">
        <v>8.0</v>
      </c>
      <c r="E14" s="255">
        <f>if($A14="","",COUNTIFS(Students!$A:$A,E$1,Students!$D:$D,$A14)+COUNTIFS(Students!$A:$A,E$1,Students!$F:$F,$A14)+COUNTIFS(Students!$A:$A,E$1,Students!$H:$H,$A14)+COUNTIFS(Students!$A:$A,E$1,Students!$J:$J,$A14)+COUNTIFS(Students!$A:$A,E$1,Students!$L:$L,$A14)+COUNTIFS(Students!$A:$A,E$1,Students!$N:$N,$A14)+COUNTIFS(Students!$A:$A,E$1,Students!$P:$P,$A14)+COUNTIFS(Students!$A:$A,E$1,Students!$R:$R,$A14)+COUNTIFS(Students!$A:$A,E$1,Students!$T:$T,$A14)+COUNTIFS(Students!$A:$A,E$1,Students!$V:$V,$A14))</f>
        <v>0</v>
      </c>
      <c r="F14" s="255">
        <f>if($A14="","",COUNTIFS(Students!$A:$A,F$1,Students!$D:$D,$A14)+COUNTIFS(Students!$A:$A,F$1,Students!$F:$F,$A14)+COUNTIFS(Students!$A:$A,F$1,Students!$H:$H,$A14)+COUNTIFS(Students!$A:$A,F$1,Students!$J:$J,$A14)+COUNTIFS(Students!$A:$A,F$1,Students!$L:$L,$A14)+COUNTIFS(Students!$A:$A,F$1,Students!$N:$N,$A14)+COUNTIFS(Students!$A:$A,F$1,Students!$P:$P,$A14)+COUNTIFS(Students!$A:$A,F$1,Students!$R:$R,$A14)+COUNTIFS(Students!$A:$A,F$1,Students!$T:$T,$A14)+COUNTIFS(Students!$A:$A,F$1,Students!$V:$V,$A14))</f>
        <v>3</v>
      </c>
      <c r="G14" s="255">
        <f>if($A14="","",COUNTIFS(Students!$A:$A,G$1,Students!$D:$D,$A14)+COUNTIFS(Students!$A:$A,G$1,Students!$F:$F,$A14)+COUNTIFS(Students!$A:$A,G$1,Students!$H:$H,$A14)+COUNTIFS(Students!$A:$A,G$1,Students!$J:$J,$A14)+COUNTIFS(Students!$A:$A,G$1,Students!$L:$L,$A14)+COUNTIFS(Students!$A:$A,G$1,Students!$N:$N,$A14)+COUNTIFS(Students!$A:$A,G$1,Students!$P:$P,$A14)+COUNTIFS(Students!$A:$A,G$1,Students!$R:$R,$A14)+COUNTIFS(Students!$A:$A,G$1,Students!$T:$T,$A14)+COUNTIFS(Students!$A:$A,G$1,Students!$V:$V,$A14))</f>
        <v>4</v>
      </c>
      <c r="H14" s="255">
        <f>if($A14="","",COUNTIFS(Students!$A:$A,H$1,Students!$D:$D,$A14)+COUNTIFS(Students!$A:$A,H$1,Students!$F:$F,$A14)+COUNTIFS(Students!$A:$A,H$1,Students!$H:$H,$A14)+COUNTIFS(Students!$A:$A,H$1,Students!$J:$J,$A14)+COUNTIFS(Students!$A:$A,H$1,Students!$L:$L,$A14)+COUNTIFS(Students!$A:$A,H$1,Students!$N:$N,$A14)+COUNTIFS(Students!$A:$A,H$1,Students!$P:$P,$A14)+COUNTIFS(Students!$A:$A,H$1,Students!$R:$R,$A14)+COUNTIFS(Students!$A:$A,H$1,Students!$T:$T,$A14)+COUNTIFS(Students!$A:$A,H$1,Students!$V:$V,$A14))</f>
        <v>1</v>
      </c>
      <c r="I14" s="319">
        <f t="shared" si="1"/>
        <v>8</v>
      </c>
      <c r="J14" s="319">
        <f>if($A14="","",sumifs(Schedule!$R:$R,Schedule!$P:$P,$A14)+sumifs(Schedule!$U:$U,Schedule!$S:$S,$A14)+sumifs(Schedule!$X:$X,Schedule!$V:$V,$A14)+sumifs(Schedule!$AA:$AA,Schedule!$Y:$Y,$A14)+sumifs(Schedule!$AD:$AD,Schedule!$AB:$AB,$A14)+sumifs(Schedule!$AG:$AG,Schedule!$AE:$AE,$A14)+sumifs(Schedule!$AJ:$AJ,Schedule!$AH:$AH,$A14)+sumifs(Schedule!$AM:$AM,Schedule!$AK:$AK,$A14))</f>
        <v>8</v>
      </c>
      <c r="K14" s="319">
        <f t="shared" si="2"/>
        <v>0</v>
      </c>
      <c r="L14" s="320">
        <f>if(A14="","",countifs(Schedule!P$1:AK100,A14))</f>
        <v>1</v>
      </c>
    </row>
    <row r="15">
      <c r="A15" s="321" t="str">
        <f>IFERROR(__xludf.DUMMYFUNCTION("""COMPUTED_VALUE"""),"AP Economics")</f>
        <v>AP Economics</v>
      </c>
      <c r="B15" s="316" t="s">
        <v>680</v>
      </c>
      <c r="C15" s="317">
        <v>4.0</v>
      </c>
      <c r="D15" s="318">
        <v>17.75</v>
      </c>
      <c r="E15" s="255">
        <f>if($A15="","",COUNTIFS(Students!$A:$A,E$1,Students!$D:$D,$A15)+COUNTIFS(Students!$A:$A,E$1,Students!$F:$F,$A15)+COUNTIFS(Students!$A:$A,E$1,Students!$H:$H,$A15)+COUNTIFS(Students!$A:$A,E$1,Students!$J:$J,$A15)+COUNTIFS(Students!$A:$A,E$1,Students!$L:$L,$A15)+COUNTIFS(Students!$A:$A,E$1,Students!$N:$N,$A15)+COUNTIFS(Students!$A:$A,E$1,Students!$P:$P,$A15)+COUNTIFS(Students!$A:$A,E$1,Students!$R:$R,$A15)+COUNTIFS(Students!$A:$A,E$1,Students!$T:$T,$A15)+COUNTIFS(Students!$A:$A,E$1,Students!$V:$V,$A15))</f>
        <v>0</v>
      </c>
      <c r="F15" s="255">
        <f>if($A15="","",COUNTIFS(Students!$A:$A,F$1,Students!$D:$D,$A15)+COUNTIFS(Students!$A:$A,F$1,Students!$F:$F,$A15)+COUNTIFS(Students!$A:$A,F$1,Students!$H:$H,$A15)+COUNTIFS(Students!$A:$A,F$1,Students!$J:$J,$A15)+COUNTIFS(Students!$A:$A,F$1,Students!$L:$L,$A15)+COUNTIFS(Students!$A:$A,F$1,Students!$N:$N,$A15)+COUNTIFS(Students!$A:$A,F$1,Students!$P:$P,$A15)+COUNTIFS(Students!$A:$A,F$1,Students!$R:$R,$A15)+COUNTIFS(Students!$A:$A,F$1,Students!$T:$T,$A15)+COUNTIFS(Students!$A:$A,F$1,Students!$V:$V,$A15))</f>
        <v>0</v>
      </c>
      <c r="G15" s="255">
        <f>if($A15="","",COUNTIFS(Students!$A:$A,G$1,Students!$D:$D,$A15)+COUNTIFS(Students!$A:$A,G$1,Students!$F:$F,$A15)+COUNTIFS(Students!$A:$A,G$1,Students!$H:$H,$A15)+COUNTIFS(Students!$A:$A,G$1,Students!$J:$J,$A15)+COUNTIFS(Students!$A:$A,G$1,Students!$L:$L,$A15)+COUNTIFS(Students!$A:$A,G$1,Students!$N:$N,$A15)+COUNTIFS(Students!$A:$A,G$1,Students!$P:$P,$A15)+COUNTIFS(Students!$A:$A,G$1,Students!$R:$R,$A15)+COUNTIFS(Students!$A:$A,G$1,Students!$T:$T,$A15)+COUNTIFS(Students!$A:$A,G$1,Students!$V:$V,$A15))</f>
        <v>59</v>
      </c>
      <c r="H15" s="255">
        <f>if($A15="","",COUNTIFS(Students!$A:$A,H$1,Students!$D:$D,$A15)+COUNTIFS(Students!$A:$A,H$1,Students!$F:$F,$A15)+COUNTIFS(Students!$A:$A,H$1,Students!$H:$H,$A15)+COUNTIFS(Students!$A:$A,H$1,Students!$J:$J,$A15)+COUNTIFS(Students!$A:$A,H$1,Students!$L:$L,$A15)+COUNTIFS(Students!$A:$A,H$1,Students!$N:$N,$A15)+COUNTIFS(Students!$A:$A,H$1,Students!$P:$P,$A15)+COUNTIFS(Students!$A:$A,H$1,Students!$R:$R,$A15)+COUNTIFS(Students!$A:$A,H$1,Students!$T:$T,$A15)+COUNTIFS(Students!$A:$A,H$1,Students!$V:$V,$A15))</f>
        <v>12</v>
      </c>
      <c r="I15" s="319">
        <f t="shared" si="1"/>
        <v>71</v>
      </c>
      <c r="J15" s="319">
        <f>if($A15="","",sumifs(Schedule!$R:$R,Schedule!$P:$P,$A15)+sumifs(Schedule!$U:$U,Schedule!$S:$S,$A15)+sumifs(Schedule!$X:$X,Schedule!$V:$V,$A15)+sumifs(Schedule!$AA:$AA,Schedule!$Y:$Y,$A15)+sumifs(Schedule!$AD:$AD,Schedule!$AB:$AB,$A15)+sumifs(Schedule!$AG:$AG,Schedule!$AE:$AE,$A15)+sumifs(Schedule!$AJ:$AJ,Schedule!$AH:$AH,$A15)+sumifs(Schedule!$AM:$AM,Schedule!$AK:$AK,$A15))</f>
        <v>71</v>
      </c>
      <c r="K15" s="319">
        <f t="shared" si="2"/>
        <v>0</v>
      </c>
      <c r="L15" s="320">
        <f>if(A15="","",countifs(Schedule!P$1:AK100,A15))</f>
        <v>4</v>
      </c>
    </row>
    <row r="16">
      <c r="A16" s="321" t="str">
        <f>IFERROR(__xludf.DUMMYFUNCTION("""COMPUTED_VALUE"""),"AP English Language")</f>
        <v>AP English Language</v>
      </c>
      <c r="B16" s="316" t="s">
        <v>680</v>
      </c>
      <c r="C16" s="317">
        <v>2.0</v>
      </c>
      <c r="D16" s="318">
        <v>15.5</v>
      </c>
      <c r="E16" s="255">
        <f>if($A16="","",COUNTIFS(Students!$A:$A,E$1,Students!$D:$D,$A16)+COUNTIFS(Students!$A:$A,E$1,Students!$F:$F,$A16)+COUNTIFS(Students!$A:$A,E$1,Students!$H:$H,$A16)+COUNTIFS(Students!$A:$A,E$1,Students!$J:$J,$A16)+COUNTIFS(Students!$A:$A,E$1,Students!$L:$L,$A16)+COUNTIFS(Students!$A:$A,E$1,Students!$N:$N,$A16)+COUNTIFS(Students!$A:$A,E$1,Students!$P:$P,$A16)+COUNTIFS(Students!$A:$A,E$1,Students!$R:$R,$A16)+COUNTIFS(Students!$A:$A,E$1,Students!$T:$T,$A16)+COUNTIFS(Students!$A:$A,E$1,Students!$V:$V,$A16))</f>
        <v>0</v>
      </c>
      <c r="F16" s="255">
        <f>if($A16="","",COUNTIFS(Students!$A:$A,F$1,Students!$D:$D,$A16)+COUNTIFS(Students!$A:$A,F$1,Students!$F:$F,$A16)+COUNTIFS(Students!$A:$A,F$1,Students!$H:$H,$A16)+COUNTIFS(Students!$A:$A,F$1,Students!$J:$J,$A16)+COUNTIFS(Students!$A:$A,F$1,Students!$L:$L,$A16)+COUNTIFS(Students!$A:$A,F$1,Students!$N:$N,$A16)+COUNTIFS(Students!$A:$A,F$1,Students!$P:$P,$A16)+COUNTIFS(Students!$A:$A,F$1,Students!$R:$R,$A16)+COUNTIFS(Students!$A:$A,F$1,Students!$T:$T,$A16)+COUNTIFS(Students!$A:$A,F$1,Students!$V:$V,$A16))</f>
        <v>4</v>
      </c>
      <c r="G16" s="255">
        <f>if($A16="","",COUNTIFS(Students!$A:$A,G$1,Students!$D:$D,$A16)+COUNTIFS(Students!$A:$A,G$1,Students!$F:$F,$A16)+COUNTIFS(Students!$A:$A,G$1,Students!$H:$H,$A16)+COUNTIFS(Students!$A:$A,G$1,Students!$J:$J,$A16)+COUNTIFS(Students!$A:$A,G$1,Students!$L:$L,$A16)+COUNTIFS(Students!$A:$A,G$1,Students!$N:$N,$A16)+COUNTIFS(Students!$A:$A,G$1,Students!$P:$P,$A16)+COUNTIFS(Students!$A:$A,G$1,Students!$R:$R,$A16)+COUNTIFS(Students!$A:$A,G$1,Students!$T:$T,$A16)+COUNTIFS(Students!$A:$A,G$1,Students!$V:$V,$A16))</f>
        <v>23</v>
      </c>
      <c r="H16" s="255">
        <f>if($A16="","",COUNTIFS(Students!$A:$A,H$1,Students!$D:$D,$A16)+COUNTIFS(Students!$A:$A,H$1,Students!$F:$F,$A16)+COUNTIFS(Students!$A:$A,H$1,Students!$H:$H,$A16)+COUNTIFS(Students!$A:$A,H$1,Students!$J:$J,$A16)+COUNTIFS(Students!$A:$A,H$1,Students!$L:$L,$A16)+COUNTIFS(Students!$A:$A,H$1,Students!$N:$N,$A16)+COUNTIFS(Students!$A:$A,H$1,Students!$P:$P,$A16)+COUNTIFS(Students!$A:$A,H$1,Students!$R:$R,$A16)+COUNTIFS(Students!$A:$A,H$1,Students!$T:$T,$A16)+COUNTIFS(Students!$A:$A,H$1,Students!$V:$V,$A16))</f>
        <v>4</v>
      </c>
      <c r="I16" s="319">
        <f t="shared" si="1"/>
        <v>31</v>
      </c>
      <c r="J16" s="319">
        <f>if($A16="","",sumifs(Schedule!$R:$R,Schedule!$P:$P,$A16)+sumifs(Schedule!$U:$U,Schedule!$S:$S,$A16)+sumifs(Schedule!$X:$X,Schedule!$V:$V,$A16)+sumifs(Schedule!$AA:$AA,Schedule!$Y:$Y,$A16)+sumifs(Schedule!$AD:$AD,Schedule!$AB:$AB,$A16)+sumifs(Schedule!$AG:$AG,Schedule!$AE:$AE,$A16)+sumifs(Schedule!$AJ:$AJ,Schedule!$AH:$AH,$A16)+sumifs(Schedule!$AM:$AM,Schedule!$AK:$AK,$A16))</f>
        <v>31</v>
      </c>
      <c r="K16" s="319">
        <f t="shared" si="2"/>
        <v>0</v>
      </c>
      <c r="L16" s="320">
        <f>if(A16="","",countifs(Schedule!P$1:AK100,A16))</f>
        <v>2</v>
      </c>
    </row>
    <row r="17">
      <c r="A17" s="322" t="str">
        <f>IFERROR(__xludf.DUMMYFUNCTION("""COMPUTED_VALUE"""),"AP English Literature")</f>
        <v>AP English Literature</v>
      </c>
      <c r="B17" s="323" t="s">
        <v>680</v>
      </c>
      <c r="C17" s="317">
        <v>1.0</v>
      </c>
      <c r="D17" s="318">
        <v>9.0</v>
      </c>
      <c r="E17" s="255">
        <f>if($A17="","",COUNTIFS(Students!$A:$A,E$1,Students!$D:$D,$A17)+COUNTIFS(Students!$A:$A,E$1,Students!$F:$F,$A17)+COUNTIFS(Students!$A:$A,E$1,Students!$H:$H,$A17)+COUNTIFS(Students!$A:$A,E$1,Students!$J:$J,$A17)+COUNTIFS(Students!$A:$A,E$1,Students!$L:$L,$A17)+COUNTIFS(Students!$A:$A,E$1,Students!$N:$N,$A17)+COUNTIFS(Students!$A:$A,E$1,Students!$P:$P,$A17)+COUNTIFS(Students!$A:$A,E$1,Students!$R:$R,$A17)+COUNTIFS(Students!$A:$A,E$1,Students!$T:$T,$A17)+COUNTIFS(Students!$A:$A,E$1,Students!$V:$V,$A17))</f>
        <v>0</v>
      </c>
      <c r="F17" s="255">
        <f>if($A17="","",COUNTIFS(Students!$A:$A,F$1,Students!$D:$D,$A17)+COUNTIFS(Students!$A:$A,F$1,Students!$F:$F,$A17)+COUNTIFS(Students!$A:$A,F$1,Students!$H:$H,$A17)+COUNTIFS(Students!$A:$A,F$1,Students!$J:$J,$A17)+COUNTIFS(Students!$A:$A,F$1,Students!$L:$L,$A17)+COUNTIFS(Students!$A:$A,F$1,Students!$N:$N,$A17)+COUNTIFS(Students!$A:$A,F$1,Students!$P:$P,$A17)+COUNTIFS(Students!$A:$A,F$1,Students!$R:$R,$A17)+COUNTIFS(Students!$A:$A,F$1,Students!$T:$T,$A17)+COUNTIFS(Students!$A:$A,F$1,Students!$V:$V,$A17))</f>
        <v>0</v>
      </c>
      <c r="G17" s="255">
        <f>if($A17="","",COUNTIFS(Students!$A:$A,G$1,Students!$D:$D,$A17)+COUNTIFS(Students!$A:$A,G$1,Students!$F:$F,$A17)+COUNTIFS(Students!$A:$A,G$1,Students!$H:$H,$A17)+COUNTIFS(Students!$A:$A,G$1,Students!$J:$J,$A17)+COUNTIFS(Students!$A:$A,G$1,Students!$L:$L,$A17)+COUNTIFS(Students!$A:$A,G$1,Students!$N:$N,$A17)+COUNTIFS(Students!$A:$A,G$1,Students!$P:$P,$A17)+COUNTIFS(Students!$A:$A,G$1,Students!$R:$R,$A17)+COUNTIFS(Students!$A:$A,G$1,Students!$T:$T,$A17)+COUNTIFS(Students!$A:$A,G$1,Students!$V:$V,$A17))</f>
        <v>2</v>
      </c>
      <c r="H17" s="255">
        <f>if($A17="","",COUNTIFS(Students!$A:$A,H$1,Students!$D:$D,$A17)+COUNTIFS(Students!$A:$A,H$1,Students!$F:$F,$A17)+COUNTIFS(Students!$A:$A,H$1,Students!$H:$H,$A17)+COUNTIFS(Students!$A:$A,H$1,Students!$J:$J,$A17)+COUNTIFS(Students!$A:$A,H$1,Students!$L:$L,$A17)+COUNTIFS(Students!$A:$A,H$1,Students!$N:$N,$A17)+COUNTIFS(Students!$A:$A,H$1,Students!$P:$P,$A17)+COUNTIFS(Students!$A:$A,H$1,Students!$R:$R,$A17)+COUNTIFS(Students!$A:$A,H$1,Students!$T:$T,$A17)+COUNTIFS(Students!$A:$A,H$1,Students!$V:$V,$A17))</f>
        <v>7</v>
      </c>
      <c r="I17" s="319">
        <f t="shared" si="1"/>
        <v>9</v>
      </c>
      <c r="J17" s="319">
        <f>if($A17="","",sumifs(Schedule!$R:$R,Schedule!$P:$P,$A17)+sumifs(Schedule!$U:$U,Schedule!$S:$S,$A17)+sumifs(Schedule!$X:$X,Schedule!$V:$V,$A17)+sumifs(Schedule!$AA:$AA,Schedule!$Y:$Y,$A17)+sumifs(Schedule!$AD:$AD,Schedule!$AB:$AB,$A17)+sumifs(Schedule!$AG:$AG,Schedule!$AE:$AE,$A17)+sumifs(Schedule!$AJ:$AJ,Schedule!$AH:$AH,$A17)+sumifs(Schedule!$AM:$AM,Schedule!$AK:$AK,$A17))</f>
        <v>9</v>
      </c>
      <c r="K17" s="319">
        <f t="shared" si="2"/>
        <v>0</v>
      </c>
      <c r="L17" s="320">
        <f>if(A17="","",countifs(Schedule!P$1:AK100,A17))</f>
        <v>1</v>
      </c>
    </row>
    <row r="18">
      <c r="A18" s="321" t="str">
        <f>IFERROR(__xludf.DUMMYFUNCTION("""COMPUTED_VALUE"""),"AP Environmental Science")</f>
        <v>AP Environmental Science</v>
      </c>
      <c r="B18" s="316" t="s">
        <v>680</v>
      </c>
      <c r="C18" s="317">
        <v>1.0</v>
      </c>
      <c r="D18" s="318">
        <v>15.0</v>
      </c>
      <c r="E18" s="255">
        <f>if($A18="","",COUNTIFS(Students!$A:$A,E$1,Students!$D:$D,$A18)+COUNTIFS(Students!$A:$A,E$1,Students!$F:$F,$A18)+COUNTIFS(Students!$A:$A,E$1,Students!$H:$H,$A18)+COUNTIFS(Students!$A:$A,E$1,Students!$J:$J,$A18)+COUNTIFS(Students!$A:$A,E$1,Students!$L:$L,$A18)+COUNTIFS(Students!$A:$A,E$1,Students!$N:$N,$A18)+COUNTIFS(Students!$A:$A,E$1,Students!$P:$P,$A18)+COUNTIFS(Students!$A:$A,E$1,Students!$R:$R,$A18)+COUNTIFS(Students!$A:$A,E$1,Students!$T:$T,$A18)+COUNTIFS(Students!$A:$A,E$1,Students!$V:$V,$A18))</f>
        <v>0</v>
      </c>
      <c r="F18" s="255">
        <f>if($A18="","",COUNTIFS(Students!$A:$A,F$1,Students!$D:$D,$A18)+COUNTIFS(Students!$A:$A,F$1,Students!$F:$F,$A18)+COUNTIFS(Students!$A:$A,F$1,Students!$H:$H,$A18)+COUNTIFS(Students!$A:$A,F$1,Students!$J:$J,$A18)+COUNTIFS(Students!$A:$A,F$1,Students!$L:$L,$A18)+COUNTIFS(Students!$A:$A,F$1,Students!$N:$N,$A18)+COUNTIFS(Students!$A:$A,F$1,Students!$P:$P,$A18)+COUNTIFS(Students!$A:$A,F$1,Students!$R:$R,$A18)+COUNTIFS(Students!$A:$A,F$1,Students!$T:$T,$A18)+COUNTIFS(Students!$A:$A,F$1,Students!$V:$V,$A18))</f>
        <v>1</v>
      </c>
      <c r="G18" s="255">
        <f>if($A18="","",COUNTIFS(Students!$A:$A,G$1,Students!$D:$D,$A18)+COUNTIFS(Students!$A:$A,G$1,Students!$F:$F,$A18)+COUNTIFS(Students!$A:$A,G$1,Students!$H:$H,$A18)+COUNTIFS(Students!$A:$A,G$1,Students!$J:$J,$A18)+COUNTIFS(Students!$A:$A,G$1,Students!$L:$L,$A18)+COUNTIFS(Students!$A:$A,G$1,Students!$N:$N,$A18)+COUNTIFS(Students!$A:$A,G$1,Students!$P:$P,$A18)+COUNTIFS(Students!$A:$A,G$1,Students!$R:$R,$A18)+COUNTIFS(Students!$A:$A,G$1,Students!$T:$T,$A18)+COUNTIFS(Students!$A:$A,G$1,Students!$V:$V,$A18))</f>
        <v>1</v>
      </c>
      <c r="H18" s="255">
        <f>if($A18="","",COUNTIFS(Students!$A:$A,H$1,Students!$D:$D,$A18)+COUNTIFS(Students!$A:$A,H$1,Students!$F:$F,$A18)+COUNTIFS(Students!$A:$A,H$1,Students!$H:$H,$A18)+COUNTIFS(Students!$A:$A,H$1,Students!$J:$J,$A18)+COUNTIFS(Students!$A:$A,H$1,Students!$L:$L,$A18)+COUNTIFS(Students!$A:$A,H$1,Students!$N:$N,$A18)+COUNTIFS(Students!$A:$A,H$1,Students!$P:$P,$A18)+COUNTIFS(Students!$A:$A,H$1,Students!$R:$R,$A18)+COUNTIFS(Students!$A:$A,H$1,Students!$T:$T,$A18)+COUNTIFS(Students!$A:$A,H$1,Students!$V:$V,$A18))</f>
        <v>13</v>
      </c>
      <c r="I18" s="319">
        <f t="shared" si="1"/>
        <v>15</v>
      </c>
      <c r="J18" s="319">
        <f>if($A18="","",sumifs(Schedule!$R:$R,Schedule!$P:$P,$A18)+sumifs(Schedule!$U:$U,Schedule!$S:$S,$A18)+sumifs(Schedule!$X:$X,Schedule!$V:$V,$A18)+sumifs(Schedule!$AA:$AA,Schedule!$Y:$Y,$A18)+sumifs(Schedule!$AD:$AD,Schedule!$AB:$AB,$A18)+sumifs(Schedule!$AG:$AG,Schedule!$AE:$AE,$A18)+sumifs(Schedule!$AJ:$AJ,Schedule!$AH:$AH,$A18)+sumifs(Schedule!$AM:$AM,Schedule!$AK:$AK,$A18))</f>
        <v>15</v>
      </c>
      <c r="K18" s="319">
        <f t="shared" si="2"/>
        <v>0</v>
      </c>
      <c r="L18" s="320">
        <f>if(A18="","",countifs(Schedule!P$1:AK100,A18))</f>
        <v>1</v>
      </c>
    </row>
    <row r="19">
      <c r="A19" s="321" t="str">
        <f>IFERROR(__xludf.DUMMYFUNCTION("""COMPUTED_VALUE"""),"AP Human Geography")</f>
        <v>AP Human Geography</v>
      </c>
      <c r="B19" s="316" t="s">
        <v>680</v>
      </c>
      <c r="C19" s="317">
        <v>4.0</v>
      </c>
      <c r="D19" s="318">
        <v>18.5</v>
      </c>
      <c r="E19" s="255">
        <f>if($A19="","",COUNTIFS(Students!$A:$A,E$1,Students!$D:$D,$A19)+COUNTIFS(Students!$A:$A,E$1,Students!$F:$F,$A19)+COUNTIFS(Students!$A:$A,E$1,Students!$H:$H,$A19)+COUNTIFS(Students!$A:$A,E$1,Students!$J:$J,$A19)+COUNTIFS(Students!$A:$A,E$1,Students!$L:$L,$A19)+COUNTIFS(Students!$A:$A,E$1,Students!$N:$N,$A19)+COUNTIFS(Students!$A:$A,E$1,Students!$P:$P,$A19)+COUNTIFS(Students!$A:$A,E$1,Students!$R:$R,$A19)+COUNTIFS(Students!$A:$A,E$1,Students!$T:$T,$A19)+COUNTIFS(Students!$A:$A,E$1,Students!$V:$V,$A19))</f>
        <v>0</v>
      </c>
      <c r="F19" s="255">
        <f>if($A19="","",COUNTIFS(Students!$A:$A,F$1,Students!$D:$D,$A19)+COUNTIFS(Students!$A:$A,F$1,Students!$F:$F,$A19)+COUNTIFS(Students!$A:$A,F$1,Students!$H:$H,$A19)+COUNTIFS(Students!$A:$A,F$1,Students!$J:$J,$A19)+COUNTIFS(Students!$A:$A,F$1,Students!$L:$L,$A19)+COUNTIFS(Students!$A:$A,F$1,Students!$N:$N,$A19)+COUNTIFS(Students!$A:$A,F$1,Students!$P:$P,$A19)+COUNTIFS(Students!$A:$A,F$1,Students!$R:$R,$A19)+COUNTIFS(Students!$A:$A,F$1,Students!$T:$T,$A19)+COUNTIFS(Students!$A:$A,F$1,Students!$V:$V,$A19))</f>
        <v>73</v>
      </c>
      <c r="G19" s="255">
        <f>if($A19="","",COUNTIFS(Students!$A:$A,G$1,Students!$D:$D,$A19)+COUNTIFS(Students!$A:$A,G$1,Students!$F:$F,$A19)+COUNTIFS(Students!$A:$A,G$1,Students!$H:$H,$A19)+COUNTIFS(Students!$A:$A,G$1,Students!$J:$J,$A19)+COUNTIFS(Students!$A:$A,G$1,Students!$L:$L,$A19)+COUNTIFS(Students!$A:$A,G$1,Students!$N:$N,$A19)+COUNTIFS(Students!$A:$A,G$1,Students!$P:$P,$A19)+COUNTIFS(Students!$A:$A,G$1,Students!$R:$R,$A19)+COUNTIFS(Students!$A:$A,G$1,Students!$T:$T,$A19)+COUNTIFS(Students!$A:$A,G$1,Students!$V:$V,$A19))</f>
        <v>1</v>
      </c>
      <c r="H19" s="255">
        <f>if($A19="","",COUNTIFS(Students!$A:$A,H$1,Students!$D:$D,$A19)+COUNTIFS(Students!$A:$A,H$1,Students!$F:$F,$A19)+COUNTIFS(Students!$A:$A,H$1,Students!$H:$H,$A19)+COUNTIFS(Students!$A:$A,H$1,Students!$J:$J,$A19)+COUNTIFS(Students!$A:$A,H$1,Students!$L:$L,$A19)+COUNTIFS(Students!$A:$A,H$1,Students!$N:$N,$A19)+COUNTIFS(Students!$A:$A,H$1,Students!$P:$P,$A19)+COUNTIFS(Students!$A:$A,H$1,Students!$R:$R,$A19)+COUNTIFS(Students!$A:$A,H$1,Students!$T:$T,$A19)+COUNTIFS(Students!$A:$A,H$1,Students!$V:$V,$A19))</f>
        <v>0</v>
      </c>
      <c r="I19" s="319">
        <f t="shared" si="1"/>
        <v>74</v>
      </c>
      <c r="J19" s="319">
        <f>if($A19="","",sumifs(Schedule!$R:$R,Schedule!$P:$P,$A19)+sumifs(Schedule!$U:$U,Schedule!$S:$S,$A19)+sumifs(Schedule!$X:$X,Schedule!$V:$V,$A19)+sumifs(Schedule!$AA:$AA,Schedule!$Y:$Y,$A19)+sumifs(Schedule!$AD:$AD,Schedule!$AB:$AB,$A19)+sumifs(Schedule!$AG:$AG,Schedule!$AE:$AE,$A19)+sumifs(Schedule!$AJ:$AJ,Schedule!$AH:$AH,$A19)+sumifs(Schedule!$AM:$AM,Schedule!$AK:$AK,$A19))</f>
        <v>74</v>
      </c>
      <c r="K19" s="319">
        <f t="shared" si="2"/>
        <v>0</v>
      </c>
      <c r="L19" s="320">
        <f>if(A19="","",countifs(Schedule!P$1:AK100,A19))</f>
        <v>4</v>
      </c>
    </row>
    <row r="20">
      <c r="A20" s="326" t="str">
        <f>IFERROR(__xludf.DUMMYFUNCTION("""COMPUTED_VALUE"""),"AP Physics 1")</f>
        <v>AP Physics 1</v>
      </c>
      <c r="B20" s="327" t="s">
        <v>680</v>
      </c>
      <c r="C20" s="317">
        <v>1.0</v>
      </c>
      <c r="D20" s="318">
        <v>14.0</v>
      </c>
      <c r="E20" s="255">
        <f>if($A20="","",COUNTIFS(Students!$A:$A,E$1,Students!$D:$D,$A20)+COUNTIFS(Students!$A:$A,E$1,Students!$F:$F,$A20)+COUNTIFS(Students!$A:$A,E$1,Students!$H:$H,$A20)+COUNTIFS(Students!$A:$A,E$1,Students!$J:$J,$A20)+COUNTIFS(Students!$A:$A,E$1,Students!$L:$L,$A20)+COUNTIFS(Students!$A:$A,E$1,Students!$N:$N,$A20)+COUNTIFS(Students!$A:$A,E$1,Students!$P:$P,$A20)+COUNTIFS(Students!$A:$A,E$1,Students!$R:$R,$A20)+COUNTIFS(Students!$A:$A,E$1,Students!$T:$T,$A20)+COUNTIFS(Students!$A:$A,E$1,Students!$V:$V,$A20))</f>
        <v>0</v>
      </c>
      <c r="F20" s="255">
        <f>if($A20="","",COUNTIFS(Students!$A:$A,F$1,Students!$D:$D,$A20)+COUNTIFS(Students!$A:$A,F$1,Students!$F:$F,$A20)+COUNTIFS(Students!$A:$A,F$1,Students!$H:$H,$A20)+COUNTIFS(Students!$A:$A,F$1,Students!$J:$J,$A20)+COUNTIFS(Students!$A:$A,F$1,Students!$L:$L,$A20)+COUNTIFS(Students!$A:$A,F$1,Students!$N:$N,$A20)+COUNTIFS(Students!$A:$A,F$1,Students!$P:$P,$A20)+COUNTIFS(Students!$A:$A,F$1,Students!$R:$R,$A20)+COUNTIFS(Students!$A:$A,F$1,Students!$T:$T,$A20)+COUNTIFS(Students!$A:$A,F$1,Students!$V:$V,$A20))</f>
        <v>0</v>
      </c>
      <c r="G20" s="255">
        <f>if($A20="","",COUNTIFS(Students!$A:$A,G$1,Students!$D:$D,$A20)+COUNTIFS(Students!$A:$A,G$1,Students!$F:$F,$A20)+COUNTIFS(Students!$A:$A,G$1,Students!$H:$H,$A20)+COUNTIFS(Students!$A:$A,G$1,Students!$J:$J,$A20)+COUNTIFS(Students!$A:$A,G$1,Students!$L:$L,$A20)+COUNTIFS(Students!$A:$A,G$1,Students!$N:$N,$A20)+COUNTIFS(Students!$A:$A,G$1,Students!$P:$P,$A20)+COUNTIFS(Students!$A:$A,G$1,Students!$R:$R,$A20)+COUNTIFS(Students!$A:$A,G$1,Students!$T:$T,$A20)+COUNTIFS(Students!$A:$A,G$1,Students!$V:$V,$A20))</f>
        <v>13</v>
      </c>
      <c r="H20" s="255">
        <f>if($A20="","",COUNTIFS(Students!$A:$A,H$1,Students!$D:$D,$A20)+COUNTIFS(Students!$A:$A,H$1,Students!$F:$F,$A20)+COUNTIFS(Students!$A:$A,H$1,Students!$H:$H,$A20)+COUNTIFS(Students!$A:$A,H$1,Students!$J:$J,$A20)+COUNTIFS(Students!$A:$A,H$1,Students!$L:$L,$A20)+COUNTIFS(Students!$A:$A,H$1,Students!$N:$N,$A20)+COUNTIFS(Students!$A:$A,H$1,Students!$P:$P,$A20)+COUNTIFS(Students!$A:$A,H$1,Students!$R:$R,$A20)+COUNTIFS(Students!$A:$A,H$1,Students!$T:$T,$A20)+COUNTIFS(Students!$A:$A,H$1,Students!$V:$V,$A20))</f>
        <v>1</v>
      </c>
      <c r="I20" s="319">
        <f t="shared" si="1"/>
        <v>14</v>
      </c>
      <c r="J20" s="319">
        <f>if($A20="","",sumifs(Schedule!$R:$R,Schedule!$P:$P,$A20)+sumifs(Schedule!$U:$U,Schedule!$S:$S,$A20)+sumifs(Schedule!$X:$X,Schedule!$V:$V,$A20)+sumifs(Schedule!$AA:$AA,Schedule!$Y:$Y,$A20)+sumifs(Schedule!$AD:$AD,Schedule!$AB:$AB,$A20)+sumifs(Schedule!$AG:$AG,Schedule!$AE:$AE,$A20)+sumifs(Schedule!$AJ:$AJ,Schedule!$AH:$AH,$A20)+sumifs(Schedule!$AM:$AM,Schedule!$AK:$AK,$A20))</f>
        <v>14</v>
      </c>
      <c r="K20" s="319">
        <f t="shared" si="2"/>
        <v>0</v>
      </c>
      <c r="L20" s="320">
        <f>if(A20="","",countifs(Schedule!P$1:AK100,A20))</f>
        <v>1</v>
      </c>
    </row>
    <row r="21">
      <c r="A21" s="321" t="str">
        <f>IFERROR(__xludf.DUMMYFUNCTION("""COMPUTED_VALUE"""),"AP Physics 2")</f>
        <v>AP Physics 2</v>
      </c>
      <c r="B21" s="316" t="s">
        <v>680</v>
      </c>
      <c r="C21" s="317">
        <v>2.0</v>
      </c>
      <c r="D21" s="318">
        <v>12.5</v>
      </c>
      <c r="E21" s="255">
        <f>if($A21="","",COUNTIFS(Students!$A:$A,E$1,Students!$D:$D,$A21)+COUNTIFS(Students!$A:$A,E$1,Students!$F:$F,$A21)+COUNTIFS(Students!$A:$A,E$1,Students!$H:$H,$A21)+COUNTIFS(Students!$A:$A,E$1,Students!$J:$J,$A21)+COUNTIFS(Students!$A:$A,E$1,Students!$L:$L,$A21)+COUNTIFS(Students!$A:$A,E$1,Students!$N:$N,$A21)+COUNTIFS(Students!$A:$A,E$1,Students!$P:$P,$A21)+COUNTIFS(Students!$A:$A,E$1,Students!$R:$R,$A21)+COUNTIFS(Students!$A:$A,E$1,Students!$T:$T,$A21)+COUNTIFS(Students!$A:$A,E$1,Students!$V:$V,$A21))</f>
        <v>0</v>
      </c>
      <c r="F21" s="255">
        <f>if($A21="","",COUNTIFS(Students!$A:$A,F$1,Students!$D:$D,$A21)+COUNTIFS(Students!$A:$A,F$1,Students!$F:$F,$A21)+COUNTIFS(Students!$A:$A,F$1,Students!$H:$H,$A21)+COUNTIFS(Students!$A:$A,F$1,Students!$J:$J,$A21)+COUNTIFS(Students!$A:$A,F$1,Students!$L:$L,$A21)+COUNTIFS(Students!$A:$A,F$1,Students!$N:$N,$A21)+COUNTIFS(Students!$A:$A,F$1,Students!$P:$P,$A21)+COUNTIFS(Students!$A:$A,F$1,Students!$R:$R,$A21)+COUNTIFS(Students!$A:$A,F$1,Students!$T:$T,$A21)+COUNTIFS(Students!$A:$A,F$1,Students!$V:$V,$A21))</f>
        <v>0</v>
      </c>
      <c r="G21" s="255">
        <f>if($A21="","",COUNTIFS(Students!$A:$A,G$1,Students!$D:$D,$A21)+COUNTIFS(Students!$A:$A,G$1,Students!$F:$F,$A21)+COUNTIFS(Students!$A:$A,G$1,Students!$H:$H,$A21)+COUNTIFS(Students!$A:$A,G$1,Students!$J:$J,$A21)+COUNTIFS(Students!$A:$A,G$1,Students!$L:$L,$A21)+COUNTIFS(Students!$A:$A,G$1,Students!$N:$N,$A21)+COUNTIFS(Students!$A:$A,G$1,Students!$P:$P,$A21)+COUNTIFS(Students!$A:$A,G$1,Students!$R:$R,$A21)+COUNTIFS(Students!$A:$A,G$1,Students!$T:$T,$A21)+COUNTIFS(Students!$A:$A,G$1,Students!$V:$V,$A21))</f>
        <v>0</v>
      </c>
      <c r="H21" s="255">
        <f>if($A21="","",COUNTIFS(Students!$A:$A,H$1,Students!$D:$D,$A21)+COUNTIFS(Students!$A:$A,H$1,Students!$F:$F,$A21)+COUNTIFS(Students!$A:$A,H$1,Students!$H:$H,$A21)+COUNTIFS(Students!$A:$A,H$1,Students!$J:$J,$A21)+COUNTIFS(Students!$A:$A,H$1,Students!$L:$L,$A21)+COUNTIFS(Students!$A:$A,H$1,Students!$N:$N,$A21)+COUNTIFS(Students!$A:$A,H$1,Students!$P:$P,$A21)+COUNTIFS(Students!$A:$A,H$1,Students!$R:$R,$A21)+COUNTIFS(Students!$A:$A,H$1,Students!$T:$T,$A21)+COUNTIFS(Students!$A:$A,H$1,Students!$V:$V,$A21))</f>
        <v>25</v>
      </c>
      <c r="I21" s="319">
        <f t="shared" si="1"/>
        <v>25</v>
      </c>
      <c r="J21" s="319">
        <f>if($A21="","",sumifs(Schedule!$R:$R,Schedule!$P:$P,$A21)+sumifs(Schedule!$U:$U,Schedule!$S:$S,$A21)+sumifs(Schedule!$X:$X,Schedule!$V:$V,$A21)+sumifs(Schedule!$AA:$AA,Schedule!$Y:$Y,$A21)+sumifs(Schedule!$AD:$AD,Schedule!$AB:$AB,$A21)+sumifs(Schedule!$AG:$AG,Schedule!$AE:$AE,$A21)+sumifs(Schedule!$AJ:$AJ,Schedule!$AH:$AH,$A21)+sumifs(Schedule!$AM:$AM,Schedule!$AK:$AK,$A21))</f>
        <v>25</v>
      </c>
      <c r="K21" s="319">
        <f t="shared" si="2"/>
        <v>0</v>
      </c>
      <c r="L21" s="320">
        <f>if(A21="","",countifs(Schedule!P$1:AK100,A21))</f>
        <v>2</v>
      </c>
    </row>
    <row r="22">
      <c r="A22" s="321" t="str">
        <f>IFERROR(__xludf.DUMMYFUNCTION("""COMPUTED_VALUE"""),"AP Precalculus")</f>
        <v>AP Precalculus</v>
      </c>
      <c r="B22" s="316" t="s">
        <v>680</v>
      </c>
      <c r="C22" s="317">
        <v>2.0</v>
      </c>
      <c r="D22" s="318">
        <v>23.0</v>
      </c>
      <c r="E22" s="255">
        <f>if($A22="","",COUNTIFS(Students!$A:$A,E$1,Students!$D:$D,$A22)+COUNTIFS(Students!$A:$A,E$1,Students!$F:$F,$A22)+COUNTIFS(Students!$A:$A,E$1,Students!$H:$H,$A22)+COUNTIFS(Students!$A:$A,E$1,Students!$J:$J,$A22)+COUNTIFS(Students!$A:$A,E$1,Students!$L:$L,$A22)+COUNTIFS(Students!$A:$A,E$1,Students!$N:$N,$A22)+COUNTIFS(Students!$A:$A,E$1,Students!$P:$P,$A22)+COUNTIFS(Students!$A:$A,E$1,Students!$R:$R,$A22)+COUNTIFS(Students!$A:$A,E$1,Students!$T:$T,$A22)+COUNTIFS(Students!$A:$A,E$1,Students!$V:$V,$A22))</f>
        <v>0</v>
      </c>
      <c r="F22" s="255">
        <f>if($A22="","",COUNTIFS(Students!$A:$A,F$1,Students!$D:$D,$A22)+COUNTIFS(Students!$A:$A,F$1,Students!$F:$F,$A22)+COUNTIFS(Students!$A:$A,F$1,Students!$H:$H,$A22)+COUNTIFS(Students!$A:$A,F$1,Students!$J:$J,$A22)+COUNTIFS(Students!$A:$A,F$1,Students!$L:$L,$A22)+COUNTIFS(Students!$A:$A,F$1,Students!$N:$N,$A22)+COUNTIFS(Students!$A:$A,F$1,Students!$P:$P,$A22)+COUNTIFS(Students!$A:$A,F$1,Students!$R:$R,$A22)+COUNTIFS(Students!$A:$A,F$1,Students!$T:$T,$A22)+COUNTIFS(Students!$A:$A,F$1,Students!$V:$V,$A22))</f>
        <v>36</v>
      </c>
      <c r="G22" s="255">
        <f>if($A22="","",COUNTIFS(Students!$A:$A,G$1,Students!$D:$D,$A22)+COUNTIFS(Students!$A:$A,G$1,Students!$F:$F,$A22)+COUNTIFS(Students!$A:$A,G$1,Students!$H:$H,$A22)+COUNTIFS(Students!$A:$A,G$1,Students!$J:$J,$A22)+COUNTIFS(Students!$A:$A,G$1,Students!$L:$L,$A22)+COUNTIFS(Students!$A:$A,G$1,Students!$N:$N,$A22)+COUNTIFS(Students!$A:$A,G$1,Students!$P:$P,$A22)+COUNTIFS(Students!$A:$A,G$1,Students!$R:$R,$A22)+COUNTIFS(Students!$A:$A,G$1,Students!$T:$T,$A22)+COUNTIFS(Students!$A:$A,G$1,Students!$V:$V,$A22))</f>
        <v>10</v>
      </c>
      <c r="H22" s="255">
        <f>if($A22="","",COUNTIFS(Students!$A:$A,H$1,Students!$D:$D,$A22)+COUNTIFS(Students!$A:$A,H$1,Students!$F:$F,$A22)+COUNTIFS(Students!$A:$A,H$1,Students!$H:$H,$A22)+COUNTIFS(Students!$A:$A,H$1,Students!$J:$J,$A22)+COUNTIFS(Students!$A:$A,H$1,Students!$L:$L,$A22)+COUNTIFS(Students!$A:$A,H$1,Students!$N:$N,$A22)+COUNTIFS(Students!$A:$A,H$1,Students!$P:$P,$A22)+COUNTIFS(Students!$A:$A,H$1,Students!$R:$R,$A22)+COUNTIFS(Students!$A:$A,H$1,Students!$T:$T,$A22)+COUNTIFS(Students!$A:$A,H$1,Students!$V:$V,$A22))</f>
        <v>0</v>
      </c>
      <c r="I22" s="319">
        <f t="shared" si="1"/>
        <v>46</v>
      </c>
      <c r="J22" s="319">
        <f>if($A22="","",sumifs(Schedule!$R:$R,Schedule!$P:$P,$A22)+sumifs(Schedule!$U:$U,Schedule!$S:$S,$A22)+sumifs(Schedule!$X:$X,Schedule!$V:$V,$A22)+sumifs(Schedule!$AA:$AA,Schedule!$Y:$Y,$A22)+sumifs(Schedule!$AD:$AD,Schedule!$AB:$AB,$A22)+sumifs(Schedule!$AG:$AG,Schedule!$AE:$AE,$A22)+sumifs(Schedule!$AJ:$AJ,Schedule!$AH:$AH,$A22)+sumifs(Schedule!$AM:$AM,Schedule!$AK:$AK,$A22))</f>
        <v>46</v>
      </c>
      <c r="K22" s="319">
        <f t="shared" si="2"/>
        <v>0</v>
      </c>
      <c r="L22" s="320">
        <f>if(A22="","",countifs(Schedule!P$1:AK100,A22))</f>
        <v>2</v>
      </c>
    </row>
    <row r="23">
      <c r="A23" s="322" t="str">
        <f>IFERROR(__xludf.DUMMYFUNCTION("""COMPUTED_VALUE"""),"AP Psychology")</f>
        <v>AP Psychology</v>
      </c>
      <c r="B23" s="323" t="s">
        <v>680</v>
      </c>
      <c r="C23" s="317">
        <v>2.0</v>
      </c>
      <c r="D23" s="318">
        <v>21.0</v>
      </c>
      <c r="E23" s="255">
        <f>if($A23="","",COUNTIFS(Students!$A:$A,E$1,Students!$D:$D,$A23)+COUNTIFS(Students!$A:$A,E$1,Students!$F:$F,$A23)+COUNTIFS(Students!$A:$A,E$1,Students!$H:$H,$A23)+COUNTIFS(Students!$A:$A,E$1,Students!$J:$J,$A23)+COUNTIFS(Students!$A:$A,E$1,Students!$L:$L,$A23)+COUNTIFS(Students!$A:$A,E$1,Students!$N:$N,$A23)+COUNTIFS(Students!$A:$A,E$1,Students!$P:$P,$A23)+COUNTIFS(Students!$A:$A,E$1,Students!$R:$R,$A23)+COUNTIFS(Students!$A:$A,E$1,Students!$T:$T,$A23)+COUNTIFS(Students!$A:$A,E$1,Students!$V:$V,$A23))</f>
        <v>0</v>
      </c>
      <c r="F23" s="255">
        <f>if($A23="","",COUNTIFS(Students!$A:$A,F$1,Students!$D:$D,$A23)+COUNTIFS(Students!$A:$A,F$1,Students!$F:$F,$A23)+COUNTIFS(Students!$A:$A,F$1,Students!$H:$H,$A23)+COUNTIFS(Students!$A:$A,F$1,Students!$J:$J,$A23)+COUNTIFS(Students!$A:$A,F$1,Students!$L:$L,$A23)+COUNTIFS(Students!$A:$A,F$1,Students!$N:$N,$A23)+COUNTIFS(Students!$A:$A,F$1,Students!$P:$P,$A23)+COUNTIFS(Students!$A:$A,F$1,Students!$R:$R,$A23)+COUNTIFS(Students!$A:$A,F$1,Students!$T:$T,$A23)+COUNTIFS(Students!$A:$A,F$1,Students!$V:$V,$A23))</f>
        <v>0</v>
      </c>
      <c r="G23" s="255">
        <f>if($A23="","",COUNTIFS(Students!$A:$A,G$1,Students!$D:$D,$A23)+COUNTIFS(Students!$A:$A,G$1,Students!$F:$F,$A23)+COUNTIFS(Students!$A:$A,G$1,Students!$H:$H,$A23)+COUNTIFS(Students!$A:$A,G$1,Students!$J:$J,$A23)+COUNTIFS(Students!$A:$A,G$1,Students!$L:$L,$A23)+COUNTIFS(Students!$A:$A,G$1,Students!$N:$N,$A23)+COUNTIFS(Students!$A:$A,G$1,Students!$P:$P,$A23)+COUNTIFS(Students!$A:$A,G$1,Students!$R:$R,$A23)+COUNTIFS(Students!$A:$A,G$1,Students!$T:$T,$A23)+COUNTIFS(Students!$A:$A,G$1,Students!$V:$V,$A23))</f>
        <v>33</v>
      </c>
      <c r="H23" s="255">
        <f>if($A23="","",COUNTIFS(Students!$A:$A,H$1,Students!$D:$D,$A23)+COUNTIFS(Students!$A:$A,H$1,Students!$F:$F,$A23)+COUNTIFS(Students!$A:$A,H$1,Students!$H:$H,$A23)+COUNTIFS(Students!$A:$A,H$1,Students!$J:$J,$A23)+COUNTIFS(Students!$A:$A,H$1,Students!$L:$L,$A23)+COUNTIFS(Students!$A:$A,H$1,Students!$N:$N,$A23)+COUNTIFS(Students!$A:$A,H$1,Students!$P:$P,$A23)+COUNTIFS(Students!$A:$A,H$1,Students!$R:$R,$A23)+COUNTIFS(Students!$A:$A,H$1,Students!$T:$T,$A23)+COUNTIFS(Students!$A:$A,H$1,Students!$V:$V,$A23))</f>
        <v>9</v>
      </c>
      <c r="I23" s="319">
        <f t="shared" si="1"/>
        <v>42</v>
      </c>
      <c r="J23" s="319">
        <f>if($A23="","",sumifs(Schedule!$R:$R,Schedule!$P:$P,$A23)+sumifs(Schedule!$U:$U,Schedule!$S:$S,$A23)+sumifs(Schedule!$X:$X,Schedule!$V:$V,$A23)+sumifs(Schedule!$AA:$AA,Schedule!$Y:$Y,$A23)+sumifs(Schedule!$AD:$AD,Schedule!$AB:$AB,$A23)+sumifs(Schedule!$AG:$AG,Schedule!$AE:$AE,$A23)+sumifs(Schedule!$AJ:$AJ,Schedule!$AH:$AH,$A23)+sumifs(Schedule!$AM:$AM,Schedule!$AK:$AK,$A23))</f>
        <v>42</v>
      </c>
      <c r="K23" s="319">
        <f t="shared" si="2"/>
        <v>0</v>
      </c>
      <c r="L23" s="320">
        <f>if(A23="","",countifs(Schedule!P$1:AK100,A23))</f>
        <v>2</v>
      </c>
    </row>
    <row r="24">
      <c r="A24" s="321" t="str">
        <f>IFERROR(__xludf.DUMMYFUNCTION("""COMPUTED_VALUE"""),"AP Research")</f>
        <v>AP Research</v>
      </c>
      <c r="B24" s="316" t="s">
        <v>680</v>
      </c>
      <c r="C24" s="317">
        <v>1.0</v>
      </c>
      <c r="D24" s="318">
        <v>23.0</v>
      </c>
      <c r="E24" s="255">
        <f>if($A24="","",COUNTIFS(Students!$A:$A,E$1,Students!$D:$D,$A24)+COUNTIFS(Students!$A:$A,E$1,Students!$F:$F,$A24)+COUNTIFS(Students!$A:$A,E$1,Students!$H:$H,$A24)+COUNTIFS(Students!$A:$A,E$1,Students!$J:$J,$A24)+COUNTIFS(Students!$A:$A,E$1,Students!$L:$L,$A24)+COUNTIFS(Students!$A:$A,E$1,Students!$N:$N,$A24)+COUNTIFS(Students!$A:$A,E$1,Students!$P:$P,$A24)+COUNTIFS(Students!$A:$A,E$1,Students!$R:$R,$A24)+COUNTIFS(Students!$A:$A,E$1,Students!$T:$T,$A24)+COUNTIFS(Students!$A:$A,E$1,Students!$V:$V,$A24))</f>
        <v>0</v>
      </c>
      <c r="F24" s="255">
        <f>if($A24="","",COUNTIFS(Students!$A:$A,F$1,Students!$D:$D,$A24)+COUNTIFS(Students!$A:$A,F$1,Students!$F:$F,$A24)+COUNTIFS(Students!$A:$A,F$1,Students!$H:$H,$A24)+COUNTIFS(Students!$A:$A,F$1,Students!$J:$J,$A24)+COUNTIFS(Students!$A:$A,F$1,Students!$L:$L,$A24)+COUNTIFS(Students!$A:$A,F$1,Students!$N:$N,$A24)+COUNTIFS(Students!$A:$A,F$1,Students!$P:$P,$A24)+COUNTIFS(Students!$A:$A,F$1,Students!$R:$R,$A24)+COUNTIFS(Students!$A:$A,F$1,Students!$T:$T,$A24)+COUNTIFS(Students!$A:$A,F$1,Students!$V:$V,$A24))</f>
        <v>0</v>
      </c>
      <c r="G24" s="255">
        <f>if($A24="","",COUNTIFS(Students!$A:$A,G$1,Students!$D:$D,$A24)+COUNTIFS(Students!$A:$A,G$1,Students!$F:$F,$A24)+COUNTIFS(Students!$A:$A,G$1,Students!$H:$H,$A24)+COUNTIFS(Students!$A:$A,G$1,Students!$J:$J,$A24)+COUNTIFS(Students!$A:$A,G$1,Students!$L:$L,$A24)+COUNTIFS(Students!$A:$A,G$1,Students!$N:$N,$A24)+COUNTIFS(Students!$A:$A,G$1,Students!$P:$P,$A24)+COUNTIFS(Students!$A:$A,G$1,Students!$R:$R,$A24)+COUNTIFS(Students!$A:$A,G$1,Students!$T:$T,$A24)+COUNTIFS(Students!$A:$A,G$1,Students!$V:$V,$A24))</f>
        <v>0</v>
      </c>
      <c r="H24" s="255">
        <f>if($A24="","",COUNTIFS(Students!$A:$A,H$1,Students!$D:$D,$A24)+COUNTIFS(Students!$A:$A,H$1,Students!$F:$F,$A24)+COUNTIFS(Students!$A:$A,H$1,Students!$H:$H,$A24)+COUNTIFS(Students!$A:$A,H$1,Students!$J:$J,$A24)+COUNTIFS(Students!$A:$A,H$1,Students!$L:$L,$A24)+COUNTIFS(Students!$A:$A,H$1,Students!$N:$N,$A24)+COUNTIFS(Students!$A:$A,H$1,Students!$P:$P,$A24)+COUNTIFS(Students!$A:$A,H$1,Students!$R:$R,$A24)+COUNTIFS(Students!$A:$A,H$1,Students!$T:$T,$A24)+COUNTIFS(Students!$A:$A,H$1,Students!$V:$V,$A24))</f>
        <v>23</v>
      </c>
      <c r="I24" s="319">
        <f t="shared" si="1"/>
        <v>23</v>
      </c>
      <c r="J24" s="319">
        <f>if($A24="","",sumifs(Schedule!$R:$R,Schedule!$P:$P,$A24)+sumifs(Schedule!$U:$U,Schedule!$S:$S,$A24)+sumifs(Schedule!$X:$X,Schedule!$V:$V,$A24)+sumifs(Schedule!$AA:$AA,Schedule!$Y:$Y,$A24)+sumifs(Schedule!$AD:$AD,Schedule!$AB:$AB,$A24)+sumifs(Schedule!$AG:$AG,Schedule!$AE:$AE,$A24)+sumifs(Schedule!$AJ:$AJ,Schedule!$AH:$AH,$A24)+sumifs(Schedule!$AM:$AM,Schedule!$AK:$AK,$A24))</f>
        <v>23</v>
      </c>
      <c r="K24" s="319">
        <f t="shared" si="2"/>
        <v>0</v>
      </c>
      <c r="L24" s="320">
        <f>if(A24="","",countifs(Schedule!P$1:AK100,A24))</f>
        <v>1</v>
      </c>
    </row>
    <row r="25">
      <c r="A25" s="321" t="str">
        <f>IFERROR(__xludf.DUMMYFUNCTION("""COMPUTED_VALUE"""),"AP Seminar")</f>
        <v>AP Seminar</v>
      </c>
      <c r="B25" s="316" t="s">
        <v>680</v>
      </c>
      <c r="C25" s="317">
        <v>3.0</v>
      </c>
      <c r="D25" s="318">
        <v>22.333333333333332</v>
      </c>
      <c r="E25" s="255">
        <f>if($A25="","",COUNTIFS(Students!$A:$A,E$1,Students!$D:$D,$A25)+COUNTIFS(Students!$A:$A,E$1,Students!$F:$F,$A25)+COUNTIFS(Students!$A:$A,E$1,Students!$H:$H,$A25)+COUNTIFS(Students!$A:$A,E$1,Students!$J:$J,$A25)+COUNTIFS(Students!$A:$A,E$1,Students!$L:$L,$A25)+COUNTIFS(Students!$A:$A,E$1,Students!$N:$N,$A25)+COUNTIFS(Students!$A:$A,E$1,Students!$P:$P,$A25)+COUNTIFS(Students!$A:$A,E$1,Students!$R:$R,$A25)+COUNTIFS(Students!$A:$A,E$1,Students!$T:$T,$A25)+COUNTIFS(Students!$A:$A,E$1,Students!$V:$V,$A25))</f>
        <v>0</v>
      </c>
      <c r="F25" s="255">
        <f>if($A25="","",COUNTIFS(Students!$A:$A,F$1,Students!$D:$D,$A25)+COUNTIFS(Students!$A:$A,F$1,Students!$F:$F,$A25)+COUNTIFS(Students!$A:$A,F$1,Students!$H:$H,$A25)+COUNTIFS(Students!$A:$A,F$1,Students!$J:$J,$A25)+COUNTIFS(Students!$A:$A,F$1,Students!$L:$L,$A25)+COUNTIFS(Students!$A:$A,F$1,Students!$N:$N,$A25)+COUNTIFS(Students!$A:$A,F$1,Students!$P:$P,$A25)+COUNTIFS(Students!$A:$A,F$1,Students!$R:$R,$A25)+COUNTIFS(Students!$A:$A,F$1,Students!$T:$T,$A25)+COUNTIFS(Students!$A:$A,F$1,Students!$V:$V,$A25))</f>
        <v>66</v>
      </c>
      <c r="G25" s="255">
        <f>if($A25="","",COUNTIFS(Students!$A:$A,G$1,Students!$D:$D,$A25)+COUNTIFS(Students!$A:$A,G$1,Students!$F:$F,$A25)+COUNTIFS(Students!$A:$A,G$1,Students!$H:$H,$A25)+COUNTIFS(Students!$A:$A,G$1,Students!$J:$J,$A25)+COUNTIFS(Students!$A:$A,G$1,Students!$L:$L,$A25)+COUNTIFS(Students!$A:$A,G$1,Students!$N:$N,$A25)+COUNTIFS(Students!$A:$A,G$1,Students!$P:$P,$A25)+COUNTIFS(Students!$A:$A,G$1,Students!$R:$R,$A25)+COUNTIFS(Students!$A:$A,G$1,Students!$T:$T,$A25)+COUNTIFS(Students!$A:$A,G$1,Students!$V:$V,$A25))</f>
        <v>1</v>
      </c>
      <c r="H25" s="255">
        <f>if($A25="","",COUNTIFS(Students!$A:$A,H$1,Students!$D:$D,$A25)+COUNTIFS(Students!$A:$A,H$1,Students!$F:$F,$A25)+COUNTIFS(Students!$A:$A,H$1,Students!$H:$H,$A25)+COUNTIFS(Students!$A:$A,H$1,Students!$J:$J,$A25)+COUNTIFS(Students!$A:$A,H$1,Students!$L:$L,$A25)+COUNTIFS(Students!$A:$A,H$1,Students!$N:$N,$A25)+COUNTIFS(Students!$A:$A,H$1,Students!$P:$P,$A25)+COUNTIFS(Students!$A:$A,H$1,Students!$R:$R,$A25)+COUNTIFS(Students!$A:$A,H$1,Students!$T:$T,$A25)+COUNTIFS(Students!$A:$A,H$1,Students!$V:$V,$A25))</f>
        <v>0</v>
      </c>
      <c r="I25" s="319">
        <f t="shared" si="1"/>
        <v>67</v>
      </c>
      <c r="J25" s="319">
        <f>if($A25="","",sumifs(Schedule!$R:$R,Schedule!$P:$P,$A25)+sumifs(Schedule!$U:$U,Schedule!$S:$S,$A25)+sumifs(Schedule!$X:$X,Schedule!$V:$V,$A25)+sumifs(Schedule!$AA:$AA,Schedule!$Y:$Y,$A25)+sumifs(Schedule!$AD:$AD,Schedule!$AB:$AB,$A25)+sumifs(Schedule!$AG:$AG,Schedule!$AE:$AE,$A25)+sumifs(Schedule!$AJ:$AJ,Schedule!$AH:$AH,$A25)+sumifs(Schedule!$AM:$AM,Schedule!$AK:$AK,$A25))</f>
        <v>67</v>
      </c>
      <c r="K25" s="319">
        <f t="shared" si="2"/>
        <v>0</v>
      </c>
      <c r="L25" s="320">
        <f>if(A25="","",countifs(Schedule!P$1:AK100,A25))</f>
        <v>3</v>
      </c>
    </row>
    <row r="26">
      <c r="A26" s="322" t="str">
        <f>IFERROR(__xludf.DUMMYFUNCTION("""COMPUTED_VALUE"""),"AP Spanish Language and Culture")</f>
        <v>AP Spanish Language and Culture</v>
      </c>
      <c r="B26" s="323" t="s">
        <v>680</v>
      </c>
      <c r="C26" s="317">
        <v>7.0</v>
      </c>
      <c r="D26" s="318">
        <v>18.142857142857142</v>
      </c>
      <c r="E26" s="255">
        <f>if($A26="","",COUNTIFS(Students!$A:$A,E$1,Students!$D:$D,$A26)+COUNTIFS(Students!$A:$A,E$1,Students!$F:$F,$A26)+COUNTIFS(Students!$A:$A,E$1,Students!$H:$H,$A26)+COUNTIFS(Students!$A:$A,E$1,Students!$J:$J,$A26)+COUNTIFS(Students!$A:$A,E$1,Students!$L:$L,$A26)+COUNTIFS(Students!$A:$A,E$1,Students!$N:$N,$A26)+COUNTIFS(Students!$A:$A,E$1,Students!$P:$P,$A26)+COUNTIFS(Students!$A:$A,E$1,Students!$R:$R,$A26)+COUNTIFS(Students!$A:$A,E$1,Students!$T:$T,$A26)+COUNTIFS(Students!$A:$A,E$1,Students!$V:$V,$A26))</f>
        <v>0</v>
      </c>
      <c r="F26" s="255">
        <f>if($A26="","",COUNTIFS(Students!$A:$A,F$1,Students!$D:$D,$A26)+COUNTIFS(Students!$A:$A,F$1,Students!$F:$F,$A26)+COUNTIFS(Students!$A:$A,F$1,Students!$H:$H,$A26)+COUNTIFS(Students!$A:$A,F$1,Students!$J:$J,$A26)+COUNTIFS(Students!$A:$A,F$1,Students!$L:$L,$A26)+COUNTIFS(Students!$A:$A,F$1,Students!$N:$N,$A26)+COUNTIFS(Students!$A:$A,F$1,Students!$P:$P,$A26)+COUNTIFS(Students!$A:$A,F$1,Students!$R:$R,$A26)+COUNTIFS(Students!$A:$A,F$1,Students!$T:$T,$A26)+COUNTIFS(Students!$A:$A,F$1,Students!$V:$V,$A26))</f>
        <v>127</v>
      </c>
      <c r="G26" s="255">
        <f>if($A26="","",COUNTIFS(Students!$A:$A,G$1,Students!$D:$D,$A26)+COUNTIFS(Students!$A:$A,G$1,Students!$F:$F,$A26)+COUNTIFS(Students!$A:$A,G$1,Students!$H:$H,$A26)+COUNTIFS(Students!$A:$A,G$1,Students!$J:$J,$A26)+COUNTIFS(Students!$A:$A,G$1,Students!$L:$L,$A26)+COUNTIFS(Students!$A:$A,G$1,Students!$N:$N,$A26)+COUNTIFS(Students!$A:$A,G$1,Students!$P:$P,$A26)+COUNTIFS(Students!$A:$A,G$1,Students!$R:$R,$A26)+COUNTIFS(Students!$A:$A,G$1,Students!$T:$T,$A26)+COUNTIFS(Students!$A:$A,G$1,Students!$V:$V,$A26))</f>
        <v>0</v>
      </c>
      <c r="H26" s="255">
        <f>if($A26="","",COUNTIFS(Students!$A:$A,H$1,Students!$D:$D,$A26)+COUNTIFS(Students!$A:$A,H$1,Students!$F:$F,$A26)+COUNTIFS(Students!$A:$A,H$1,Students!$H:$H,$A26)+COUNTIFS(Students!$A:$A,H$1,Students!$J:$J,$A26)+COUNTIFS(Students!$A:$A,H$1,Students!$L:$L,$A26)+COUNTIFS(Students!$A:$A,H$1,Students!$N:$N,$A26)+COUNTIFS(Students!$A:$A,H$1,Students!$P:$P,$A26)+COUNTIFS(Students!$A:$A,H$1,Students!$R:$R,$A26)+COUNTIFS(Students!$A:$A,H$1,Students!$T:$T,$A26)+COUNTIFS(Students!$A:$A,H$1,Students!$V:$V,$A26))</f>
        <v>0</v>
      </c>
      <c r="I26" s="319">
        <f t="shared" si="1"/>
        <v>127</v>
      </c>
      <c r="J26" s="319">
        <f>if($A26="","",sumifs(Schedule!$R:$R,Schedule!$P:$P,$A26)+sumifs(Schedule!$U:$U,Schedule!$S:$S,$A26)+sumifs(Schedule!$X:$X,Schedule!$V:$V,$A26)+sumifs(Schedule!$AA:$AA,Schedule!$Y:$Y,$A26)+sumifs(Schedule!$AD:$AD,Schedule!$AB:$AB,$A26)+sumifs(Schedule!$AG:$AG,Schedule!$AE:$AE,$A26)+sumifs(Schedule!$AJ:$AJ,Schedule!$AH:$AH,$A26)+sumifs(Schedule!$AM:$AM,Schedule!$AK:$AK,$A26))</f>
        <v>127</v>
      </c>
      <c r="K26" s="319">
        <f t="shared" si="2"/>
        <v>0</v>
      </c>
      <c r="L26" s="320">
        <f>if(A26="","",countifs(Schedule!P$1:AK100,A26))</f>
        <v>7</v>
      </c>
    </row>
    <row r="27">
      <c r="A27" s="321" t="str">
        <f>IFERROR(__xludf.DUMMYFUNCTION("""COMPUTED_VALUE"""),"AP Spanish Literature and Culture")</f>
        <v>AP Spanish Literature and Culture</v>
      </c>
      <c r="B27" s="316" t="s">
        <v>680</v>
      </c>
      <c r="C27" s="317">
        <v>1.0</v>
      </c>
      <c r="D27" s="318">
        <v>21.0</v>
      </c>
      <c r="E27" s="255">
        <f>if($A27="","",COUNTIFS(Students!$A:$A,E$1,Students!$D:$D,$A27)+COUNTIFS(Students!$A:$A,E$1,Students!$F:$F,$A27)+COUNTIFS(Students!$A:$A,E$1,Students!$H:$H,$A27)+COUNTIFS(Students!$A:$A,E$1,Students!$J:$J,$A27)+COUNTIFS(Students!$A:$A,E$1,Students!$L:$L,$A27)+COUNTIFS(Students!$A:$A,E$1,Students!$N:$N,$A27)+COUNTIFS(Students!$A:$A,E$1,Students!$P:$P,$A27)+COUNTIFS(Students!$A:$A,E$1,Students!$R:$R,$A27)+COUNTIFS(Students!$A:$A,E$1,Students!$T:$T,$A27)+COUNTIFS(Students!$A:$A,E$1,Students!$V:$V,$A27))</f>
        <v>0</v>
      </c>
      <c r="F27" s="255">
        <f>if($A27="","",COUNTIFS(Students!$A:$A,F$1,Students!$D:$D,$A27)+COUNTIFS(Students!$A:$A,F$1,Students!$F:$F,$A27)+COUNTIFS(Students!$A:$A,F$1,Students!$H:$H,$A27)+COUNTIFS(Students!$A:$A,F$1,Students!$J:$J,$A27)+COUNTIFS(Students!$A:$A,F$1,Students!$L:$L,$A27)+COUNTIFS(Students!$A:$A,F$1,Students!$N:$N,$A27)+COUNTIFS(Students!$A:$A,F$1,Students!$P:$P,$A27)+COUNTIFS(Students!$A:$A,F$1,Students!$R:$R,$A27)+COUNTIFS(Students!$A:$A,F$1,Students!$T:$T,$A27)+COUNTIFS(Students!$A:$A,F$1,Students!$V:$V,$A27))</f>
        <v>0</v>
      </c>
      <c r="G27" s="255">
        <f>if($A27="","",COUNTIFS(Students!$A:$A,G$1,Students!$D:$D,$A27)+COUNTIFS(Students!$A:$A,G$1,Students!$F:$F,$A27)+COUNTIFS(Students!$A:$A,G$1,Students!$H:$H,$A27)+COUNTIFS(Students!$A:$A,G$1,Students!$J:$J,$A27)+COUNTIFS(Students!$A:$A,G$1,Students!$L:$L,$A27)+COUNTIFS(Students!$A:$A,G$1,Students!$N:$N,$A27)+COUNTIFS(Students!$A:$A,G$1,Students!$P:$P,$A27)+COUNTIFS(Students!$A:$A,G$1,Students!$R:$R,$A27)+COUNTIFS(Students!$A:$A,G$1,Students!$T:$T,$A27)+COUNTIFS(Students!$A:$A,G$1,Students!$V:$V,$A27))</f>
        <v>9</v>
      </c>
      <c r="H27" s="255">
        <f>if($A27="","",COUNTIFS(Students!$A:$A,H$1,Students!$D:$D,$A27)+COUNTIFS(Students!$A:$A,H$1,Students!$F:$F,$A27)+COUNTIFS(Students!$A:$A,H$1,Students!$H:$H,$A27)+COUNTIFS(Students!$A:$A,H$1,Students!$J:$J,$A27)+COUNTIFS(Students!$A:$A,H$1,Students!$L:$L,$A27)+COUNTIFS(Students!$A:$A,H$1,Students!$N:$N,$A27)+COUNTIFS(Students!$A:$A,H$1,Students!$P:$P,$A27)+COUNTIFS(Students!$A:$A,H$1,Students!$R:$R,$A27)+COUNTIFS(Students!$A:$A,H$1,Students!$T:$T,$A27)+COUNTIFS(Students!$A:$A,H$1,Students!$V:$V,$A27))</f>
        <v>12</v>
      </c>
      <c r="I27" s="319">
        <f t="shared" si="1"/>
        <v>21</v>
      </c>
      <c r="J27" s="319">
        <f>if($A27="","",sumifs(Schedule!$R:$R,Schedule!$P:$P,$A27)+sumifs(Schedule!$U:$U,Schedule!$S:$S,$A27)+sumifs(Schedule!$X:$X,Schedule!$V:$V,$A27)+sumifs(Schedule!$AA:$AA,Schedule!$Y:$Y,$A27)+sumifs(Schedule!$AD:$AD,Schedule!$AB:$AB,$A27)+sumifs(Schedule!$AG:$AG,Schedule!$AE:$AE,$A27)+sumifs(Schedule!$AJ:$AJ,Schedule!$AH:$AH,$A27)+sumifs(Schedule!$AM:$AM,Schedule!$AK:$AK,$A27))</f>
        <v>21</v>
      </c>
      <c r="K27" s="319">
        <f t="shared" si="2"/>
        <v>0</v>
      </c>
      <c r="L27" s="320">
        <f>if(A27="","",countifs(Schedule!P$1:AK100,A27))</f>
        <v>1</v>
      </c>
    </row>
    <row r="28">
      <c r="A28" s="321" t="str">
        <f>IFERROR(__xludf.DUMMYFUNCTION("""COMPUTED_VALUE"""),"AP Statistics")</f>
        <v>AP Statistics</v>
      </c>
      <c r="B28" s="316" t="s">
        <v>680</v>
      </c>
      <c r="C28" s="317">
        <v>1.0</v>
      </c>
      <c r="D28" s="318">
        <v>15.0</v>
      </c>
      <c r="E28" s="255">
        <f>if($A28="","",COUNTIFS(Students!$A:$A,E$1,Students!$D:$D,$A28)+COUNTIFS(Students!$A:$A,E$1,Students!$F:$F,$A28)+COUNTIFS(Students!$A:$A,E$1,Students!$H:$H,$A28)+COUNTIFS(Students!$A:$A,E$1,Students!$J:$J,$A28)+COUNTIFS(Students!$A:$A,E$1,Students!$L:$L,$A28)+COUNTIFS(Students!$A:$A,E$1,Students!$N:$N,$A28)+COUNTIFS(Students!$A:$A,E$1,Students!$P:$P,$A28)+COUNTIFS(Students!$A:$A,E$1,Students!$R:$R,$A28)+COUNTIFS(Students!$A:$A,E$1,Students!$T:$T,$A28)+COUNTIFS(Students!$A:$A,E$1,Students!$V:$V,$A28))</f>
        <v>0</v>
      </c>
      <c r="F28" s="255">
        <f>if($A28="","",COUNTIFS(Students!$A:$A,F$1,Students!$D:$D,$A28)+COUNTIFS(Students!$A:$A,F$1,Students!$F:$F,$A28)+COUNTIFS(Students!$A:$A,F$1,Students!$H:$H,$A28)+COUNTIFS(Students!$A:$A,F$1,Students!$J:$J,$A28)+COUNTIFS(Students!$A:$A,F$1,Students!$L:$L,$A28)+COUNTIFS(Students!$A:$A,F$1,Students!$N:$N,$A28)+COUNTIFS(Students!$A:$A,F$1,Students!$P:$P,$A28)+COUNTIFS(Students!$A:$A,F$1,Students!$R:$R,$A28)+COUNTIFS(Students!$A:$A,F$1,Students!$T:$T,$A28)+COUNTIFS(Students!$A:$A,F$1,Students!$V:$V,$A28))</f>
        <v>0</v>
      </c>
      <c r="G28" s="255">
        <f>if($A28="","",COUNTIFS(Students!$A:$A,G$1,Students!$D:$D,$A28)+COUNTIFS(Students!$A:$A,G$1,Students!$F:$F,$A28)+COUNTIFS(Students!$A:$A,G$1,Students!$H:$H,$A28)+COUNTIFS(Students!$A:$A,G$1,Students!$J:$J,$A28)+COUNTIFS(Students!$A:$A,G$1,Students!$L:$L,$A28)+COUNTIFS(Students!$A:$A,G$1,Students!$N:$N,$A28)+COUNTIFS(Students!$A:$A,G$1,Students!$P:$P,$A28)+COUNTIFS(Students!$A:$A,G$1,Students!$R:$R,$A28)+COUNTIFS(Students!$A:$A,G$1,Students!$T:$T,$A28)+COUNTIFS(Students!$A:$A,G$1,Students!$V:$V,$A28))</f>
        <v>4</v>
      </c>
      <c r="H28" s="255">
        <f>if($A28="","",COUNTIFS(Students!$A:$A,H$1,Students!$D:$D,$A28)+COUNTIFS(Students!$A:$A,H$1,Students!$F:$F,$A28)+COUNTIFS(Students!$A:$A,H$1,Students!$H:$H,$A28)+COUNTIFS(Students!$A:$A,H$1,Students!$J:$J,$A28)+COUNTIFS(Students!$A:$A,H$1,Students!$L:$L,$A28)+COUNTIFS(Students!$A:$A,H$1,Students!$N:$N,$A28)+COUNTIFS(Students!$A:$A,H$1,Students!$P:$P,$A28)+COUNTIFS(Students!$A:$A,H$1,Students!$R:$R,$A28)+COUNTIFS(Students!$A:$A,H$1,Students!$T:$T,$A28)+COUNTIFS(Students!$A:$A,H$1,Students!$V:$V,$A28))</f>
        <v>11</v>
      </c>
      <c r="I28" s="319">
        <f t="shared" si="1"/>
        <v>15</v>
      </c>
      <c r="J28" s="319">
        <f>if($A28="","",sumifs(Schedule!$R:$R,Schedule!$P:$P,$A28)+sumifs(Schedule!$U:$U,Schedule!$S:$S,$A28)+sumifs(Schedule!$X:$X,Schedule!$V:$V,$A28)+sumifs(Schedule!$AA:$AA,Schedule!$Y:$Y,$A28)+sumifs(Schedule!$AD:$AD,Schedule!$AB:$AB,$A28)+sumifs(Schedule!$AG:$AG,Schedule!$AE:$AE,$A28)+sumifs(Schedule!$AJ:$AJ,Schedule!$AH:$AH,$A28)+sumifs(Schedule!$AM:$AM,Schedule!$AK:$AK,$A28))</f>
        <v>15</v>
      </c>
      <c r="K28" s="319">
        <f t="shared" si="2"/>
        <v>0</v>
      </c>
      <c r="L28" s="320">
        <f>if(A28="","",countifs(Schedule!P$1:AK100,A28))</f>
        <v>1</v>
      </c>
    </row>
    <row r="29">
      <c r="A29" s="321" t="str">
        <f>IFERROR(__xludf.DUMMYFUNCTION("""COMPUTED_VALUE"""),"AP World History")</f>
        <v>AP World History</v>
      </c>
      <c r="B29" s="316" t="s">
        <v>680</v>
      </c>
      <c r="C29" s="317">
        <v>2.0</v>
      </c>
      <c r="D29" s="318">
        <v>21.5</v>
      </c>
      <c r="E29" s="255">
        <f>if($A29="","",COUNTIFS(Students!$A:$A,E$1,Students!$D:$D,$A29)+COUNTIFS(Students!$A:$A,E$1,Students!$F:$F,$A29)+COUNTIFS(Students!$A:$A,E$1,Students!$H:$H,$A29)+COUNTIFS(Students!$A:$A,E$1,Students!$J:$J,$A29)+COUNTIFS(Students!$A:$A,E$1,Students!$L:$L,$A29)+COUNTIFS(Students!$A:$A,E$1,Students!$N:$N,$A29)+COUNTIFS(Students!$A:$A,E$1,Students!$P:$P,$A29)+COUNTIFS(Students!$A:$A,E$1,Students!$R:$R,$A29)+COUNTIFS(Students!$A:$A,E$1,Students!$T:$T,$A29)+COUNTIFS(Students!$A:$A,E$1,Students!$V:$V,$A29))</f>
        <v>0</v>
      </c>
      <c r="F29" s="255">
        <f>if($A29="","",COUNTIFS(Students!$A:$A,F$1,Students!$D:$D,$A29)+COUNTIFS(Students!$A:$A,F$1,Students!$F:$F,$A29)+COUNTIFS(Students!$A:$A,F$1,Students!$H:$H,$A29)+COUNTIFS(Students!$A:$A,F$1,Students!$J:$J,$A29)+COUNTIFS(Students!$A:$A,F$1,Students!$L:$L,$A29)+COUNTIFS(Students!$A:$A,F$1,Students!$N:$N,$A29)+COUNTIFS(Students!$A:$A,F$1,Students!$P:$P,$A29)+COUNTIFS(Students!$A:$A,F$1,Students!$R:$R,$A29)+COUNTIFS(Students!$A:$A,F$1,Students!$T:$T,$A29)+COUNTIFS(Students!$A:$A,F$1,Students!$V:$V,$A29))</f>
        <v>0</v>
      </c>
      <c r="G29" s="255">
        <f>if($A29="","",COUNTIFS(Students!$A:$A,G$1,Students!$D:$D,$A29)+COUNTIFS(Students!$A:$A,G$1,Students!$F:$F,$A29)+COUNTIFS(Students!$A:$A,G$1,Students!$H:$H,$A29)+COUNTIFS(Students!$A:$A,G$1,Students!$J:$J,$A29)+COUNTIFS(Students!$A:$A,G$1,Students!$L:$L,$A29)+COUNTIFS(Students!$A:$A,G$1,Students!$N:$N,$A29)+COUNTIFS(Students!$A:$A,G$1,Students!$P:$P,$A29)+COUNTIFS(Students!$A:$A,G$1,Students!$R:$R,$A29)+COUNTIFS(Students!$A:$A,G$1,Students!$T:$T,$A29)+COUNTIFS(Students!$A:$A,G$1,Students!$V:$V,$A29))</f>
        <v>18</v>
      </c>
      <c r="H29" s="255">
        <f>if($A29="","",COUNTIFS(Students!$A:$A,H$1,Students!$D:$D,$A29)+COUNTIFS(Students!$A:$A,H$1,Students!$F:$F,$A29)+COUNTIFS(Students!$A:$A,H$1,Students!$H:$H,$A29)+COUNTIFS(Students!$A:$A,H$1,Students!$J:$J,$A29)+COUNTIFS(Students!$A:$A,H$1,Students!$L:$L,$A29)+COUNTIFS(Students!$A:$A,H$1,Students!$N:$N,$A29)+COUNTIFS(Students!$A:$A,H$1,Students!$P:$P,$A29)+COUNTIFS(Students!$A:$A,H$1,Students!$R:$R,$A29)+COUNTIFS(Students!$A:$A,H$1,Students!$T:$T,$A29)+COUNTIFS(Students!$A:$A,H$1,Students!$V:$V,$A29))</f>
        <v>25</v>
      </c>
      <c r="I29" s="319">
        <f t="shared" si="1"/>
        <v>43</v>
      </c>
      <c r="J29" s="319">
        <f>if($A29="","",sumifs(Schedule!$R:$R,Schedule!$P:$P,$A29)+sumifs(Schedule!$U:$U,Schedule!$S:$S,$A29)+sumifs(Schedule!$X:$X,Schedule!$V:$V,$A29)+sumifs(Schedule!$AA:$AA,Schedule!$Y:$Y,$A29)+sumifs(Schedule!$AD:$AD,Schedule!$AB:$AB,$A29)+sumifs(Schedule!$AG:$AG,Schedule!$AE:$AE,$A29)+sumifs(Schedule!$AJ:$AJ,Schedule!$AH:$AH,$A29)+sumifs(Schedule!$AM:$AM,Schedule!$AK:$AK,$A29))</f>
        <v>43</v>
      </c>
      <c r="K29" s="319">
        <f t="shared" si="2"/>
        <v>0</v>
      </c>
      <c r="L29" s="320">
        <f>if(A29="","",countifs(Schedule!P$1:AK100,A29))</f>
        <v>2</v>
      </c>
    </row>
    <row r="30">
      <c r="A30" s="321" t="str">
        <f>IFERROR(__xludf.DUMMYFUNCTION("""COMPUTED_VALUE"""),"Art of Fiction Higher Level")</f>
        <v>Art of Fiction Higher Level</v>
      </c>
      <c r="B30" s="316" t="s">
        <v>680</v>
      </c>
      <c r="C30" s="317">
        <v>3.0</v>
      </c>
      <c r="D30" s="318">
        <v>25.0</v>
      </c>
      <c r="E30" s="255">
        <f>if($A30="","",COUNTIFS(Students!$A:$A,E$1,Students!$D:$D,$A30)+COUNTIFS(Students!$A:$A,E$1,Students!$F:$F,$A30)+COUNTIFS(Students!$A:$A,E$1,Students!$H:$H,$A30)+COUNTIFS(Students!$A:$A,E$1,Students!$J:$J,$A30)+COUNTIFS(Students!$A:$A,E$1,Students!$L:$L,$A30)+COUNTIFS(Students!$A:$A,E$1,Students!$N:$N,$A30)+COUNTIFS(Students!$A:$A,E$1,Students!$P:$P,$A30)+COUNTIFS(Students!$A:$A,E$1,Students!$R:$R,$A30)+COUNTIFS(Students!$A:$A,E$1,Students!$T:$T,$A30)+COUNTIFS(Students!$A:$A,E$1,Students!$V:$V,$A30))</f>
        <v>0</v>
      </c>
      <c r="F30" s="255">
        <f>if($A30="","",COUNTIFS(Students!$A:$A,F$1,Students!$D:$D,$A30)+COUNTIFS(Students!$A:$A,F$1,Students!$F:$F,$A30)+COUNTIFS(Students!$A:$A,F$1,Students!$H:$H,$A30)+COUNTIFS(Students!$A:$A,F$1,Students!$J:$J,$A30)+COUNTIFS(Students!$A:$A,F$1,Students!$L:$L,$A30)+COUNTIFS(Students!$A:$A,F$1,Students!$N:$N,$A30)+COUNTIFS(Students!$A:$A,F$1,Students!$P:$P,$A30)+COUNTIFS(Students!$A:$A,F$1,Students!$R:$R,$A30)+COUNTIFS(Students!$A:$A,F$1,Students!$T:$T,$A30)+COUNTIFS(Students!$A:$A,F$1,Students!$V:$V,$A30))</f>
        <v>0</v>
      </c>
      <c r="G30" s="255">
        <f>if($A30="","",COUNTIFS(Students!$A:$A,G$1,Students!$D:$D,$A30)+COUNTIFS(Students!$A:$A,G$1,Students!$F:$F,$A30)+COUNTIFS(Students!$A:$A,G$1,Students!$H:$H,$A30)+COUNTIFS(Students!$A:$A,G$1,Students!$J:$J,$A30)+COUNTIFS(Students!$A:$A,G$1,Students!$L:$L,$A30)+COUNTIFS(Students!$A:$A,G$1,Students!$N:$N,$A30)+COUNTIFS(Students!$A:$A,G$1,Students!$P:$P,$A30)+COUNTIFS(Students!$A:$A,G$1,Students!$R:$R,$A30)+COUNTIFS(Students!$A:$A,G$1,Students!$T:$T,$A30)+COUNTIFS(Students!$A:$A,G$1,Students!$V:$V,$A30))</f>
        <v>9</v>
      </c>
      <c r="H30" s="255">
        <f>if($A30="","",COUNTIFS(Students!$A:$A,H$1,Students!$D:$D,$A30)+COUNTIFS(Students!$A:$A,H$1,Students!$F:$F,$A30)+COUNTIFS(Students!$A:$A,H$1,Students!$H:$H,$A30)+COUNTIFS(Students!$A:$A,H$1,Students!$J:$J,$A30)+COUNTIFS(Students!$A:$A,H$1,Students!$L:$L,$A30)+COUNTIFS(Students!$A:$A,H$1,Students!$N:$N,$A30)+COUNTIFS(Students!$A:$A,H$1,Students!$P:$P,$A30)+COUNTIFS(Students!$A:$A,H$1,Students!$R:$R,$A30)+COUNTIFS(Students!$A:$A,H$1,Students!$T:$T,$A30)+COUNTIFS(Students!$A:$A,H$1,Students!$V:$V,$A30))</f>
        <v>66</v>
      </c>
      <c r="I30" s="319">
        <f t="shared" si="1"/>
        <v>75</v>
      </c>
      <c r="J30" s="319">
        <f>if($A30="","",sumifs(Schedule!$R:$R,Schedule!$P:$P,$A30)+sumifs(Schedule!$U:$U,Schedule!$S:$S,$A30)+sumifs(Schedule!$X:$X,Schedule!$V:$V,$A30)+sumifs(Schedule!$AA:$AA,Schedule!$Y:$Y,$A30)+sumifs(Schedule!$AD:$AD,Schedule!$AB:$AB,$A30)+sumifs(Schedule!$AG:$AG,Schedule!$AE:$AE,$A30)+sumifs(Schedule!$AJ:$AJ,Schedule!$AH:$AH,$A30)+sumifs(Schedule!$AM:$AM,Schedule!$AK:$AK,$A30))</f>
        <v>75</v>
      </c>
      <c r="K30" s="319">
        <f t="shared" si="2"/>
        <v>0</v>
      </c>
      <c r="L30" s="320">
        <f>if(A30="","",countifs(Schedule!P$1:AK100,A30))</f>
        <v>3</v>
      </c>
    </row>
    <row r="31">
      <c r="A31" s="321" t="str">
        <f>IFERROR(__xludf.DUMMYFUNCTION("""COMPUTED_VALUE"""),"Art of Fiction Intermediate Level")</f>
        <v>Art of Fiction Intermediate Level</v>
      </c>
      <c r="B31" s="316" t="s">
        <v>680</v>
      </c>
      <c r="C31" s="317">
        <v>3.0</v>
      </c>
      <c r="D31" s="318">
        <v>17.0</v>
      </c>
      <c r="E31" s="255">
        <f>if($A31="","",COUNTIFS(Students!$A:$A,E$1,Students!$D:$D,$A31)+COUNTIFS(Students!$A:$A,E$1,Students!$F:$F,$A31)+COUNTIFS(Students!$A:$A,E$1,Students!$H:$H,$A31)+COUNTIFS(Students!$A:$A,E$1,Students!$J:$J,$A31)+COUNTIFS(Students!$A:$A,E$1,Students!$L:$L,$A31)+COUNTIFS(Students!$A:$A,E$1,Students!$N:$N,$A31)+COUNTIFS(Students!$A:$A,E$1,Students!$P:$P,$A31)+COUNTIFS(Students!$A:$A,E$1,Students!$R:$R,$A31)+COUNTIFS(Students!$A:$A,E$1,Students!$T:$T,$A31)+COUNTIFS(Students!$A:$A,E$1,Students!$V:$V,$A31))</f>
        <v>0</v>
      </c>
      <c r="F31" s="255">
        <f>if($A31="","",COUNTIFS(Students!$A:$A,F$1,Students!$D:$D,$A31)+COUNTIFS(Students!$A:$A,F$1,Students!$F:$F,$A31)+COUNTIFS(Students!$A:$A,F$1,Students!$H:$H,$A31)+COUNTIFS(Students!$A:$A,F$1,Students!$J:$J,$A31)+COUNTIFS(Students!$A:$A,F$1,Students!$L:$L,$A31)+COUNTIFS(Students!$A:$A,F$1,Students!$N:$N,$A31)+COUNTIFS(Students!$A:$A,F$1,Students!$P:$P,$A31)+COUNTIFS(Students!$A:$A,F$1,Students!$R:$R,$A31)+COUNTIFS(Students!$A:$A,F$1,Students!$T:$T,$A31)+COUNTIFS(Students!$A:$A,F$1,Students!$V:$V,$A31))</f>
        <v>0</v>
      </c>
      <c r="G31" s="255">
        <f>if($A31="","",COUNTIFS(Students!$A:$A,G$1,Students!$D:$D,$A31)+COUNTIFS(Students!$A:$A,G$1,Students!$F:$F,$A31)+COUNTIFS(Students!$A:$A,G$1,Students!$H:$H,$A31)+COUNTIFS(Students!$A:$A,G$1,Students!$J:$J,$A31)+COUNTIFS(Students!$A:$A,G$1,Students!$L:$L,$A31)+COUNTIFS(Students!$A:$A,G$1,Students!$N:$N,$A31)+COUNTIFS(Students!$A:$A,G$1,Students!$P:$P,$A31)+COUNTIFS(Students!$A:$A,G$1,Students!$R:$R,$A31)+COUNTIFS(Students!$A:$A,G$1,Students!$T:$T,$A31)+COUNTIFS(Students!$A:$A,G$1,Students!$V:$V,$A31))</f>
        <v>51</v>
      </c>
      <c r="H31" s="255">
        <f>if($A31="","",COUNTIFS(Students!$A:$A,H$1,Students!$D:$D,$A31)+COUNTIFS(Students!$A:$A,H$1,Students!$F:$F,$A31)+COUNTIFS(Students!$A:$A,H$1,Students!$H:$H,$A31)+COUNTIFS(Students!$A:$A,H$1,Students!$J:$J,$A31)+COUNTIFS(Students!$A:$A,H$1,Students!$L:$L,$A31)+COUNTIFS(Students!$A:$A,H$1,Students!$N:$N,$A31)+COUNTIFS(Students!$A:$A,H$1,Students!$P:$P,$A31)+COUNTIFS(Students!$A:$A,H$1,Students!$R:$R,$A31)+COUNTIFS(Students!$A:$A,H$1,Students!$T:$T,$A31)+COUNTIFS(Students!$A:$A,H$1,Students!$V:$V,$A31))</f>
        <v>0</v>
      </c>
      <c r="I31" s="319">
        <f t="shared" si="1"/>
        <v>51</v>
      </c>
      <c r="J31" s="319">
        <f>if($A31="","",sumifs(Schedule!$R:$R,Schedule!$P:$P,$A31)+sumifs(Schedule!$U:$U,Schedule!$S:$S,$A31)+sumifs(Schedule!$X:$X,Schedule!$V:$V,$A31)+sumifs(Schedule!$AA:$AA,Schedule!$Y:$Y,$A31)+sumifs(Schedule!$AD:$AD,Schedule!$AB:$AB,$A31)+sumifs(Schedule!$AG:$AG,Schedule!$AE:$AE,$A31)+sumifs(Schedule!$AJ:$AJ,Schedule!$AH:$AH,$A31)+sumifs(Schedule!$AM:$AM,Schedule!$AK:$AK,$A31))</f>
        <v>51</v>
      </c>
      <c r="K31" s="319">
        <f t="shared" si="2"/>
        <v>0</v>
      </c>
      <c r="L31" s="320">
        <f>if(A31="","",countifs(Schedule!P$1:AK100,A31))</f>
        <v>3</v>
      </c>
    </row>
    <row r="32">
      <c r="A32" s="321" t="str">
        <f>IFERROR(__xludf.DUMMYFUNCTION("""COMPUTED_VALUE"""),"Band Level I")</f>
        <v>Band Level I</v>
      </c>
      <c r="B32" s="316" t="s">
        <v>680</v>
      </c>
      <c r="C32" s="317">
        <v>4.0</v>
      </c>
      <c r="D32" s="318">
        <v>22.5</v>
      </c>
      <c r="E32" s="255">
        <f>if($A32="","",COUNTIFS(Students!$A:$A,E$1,Students!$D:$D,$A32)+COUNTIFS(Students!$A:$A,E$1,Students!$F:$F,$A32)+COUNTIFS(Students!$A:$A,E$1,Students!$H:$H,$A32)+COUNTIFS(Students!$A:$A,E$1,Students!$J:$J,$A32)+COUNTIFS(Students!$A:$A,E$1,Students!$L:$L,$A32)+COUNTIFS(Students!$A:$A,E$1,Students!$N:$N,$A32)+COUNTIFS(Students!$A:$A,E$1,Students!$P:$P,$A32)+COUNTIFS(Students!$A:$A,E$1,Students!$R:$R,$A32)+COUNTIFS(Students!$A:$A,E$1,Students!$T:$T,$A32)+COUNTIFS(Students!$A:$A,E$1,Students!$V:$V,$A32))</f>
        <v>38</v>
      </c>
      <c r="F32" s="255">
        <f>if($A32="","",COUNTIFS(Students!$A:$A,F$1,Students!$D:$D,$A32)+COUNTIFS(Students!$A:$A,F$1,Students!$F:$F,$A32)+COUNTIFS(Students!$A:$A,F$1,Students!$H:$H,$A32)+COUNTIFS(Students!$A:$A,F$1,Students!$J:$J,$A32)+COUNTIFS(Students!$A:$A,F$1,Students!$L:$L,$A32)+COUNTIFS(Students!$A:$A,F$1,Students!$N:$N,$A32)+COUNTIFS(Students!$A:$A,F$1,Students!$P:$P,$A32)+COUNTIFS(Students!$A:$A,F$1,Students!$R:$R,$A32)+COUNTIFS(Students!$A:$A,F$1,Students!$T:$T,$A32)+COUNTIFS(Students!$A:$A,F$1,Students!$V:$V,$A32))</f>
        <v>26</v>
      </c>
      <c r="G32" s="255">
        <f>if($A32="","",COUNTIFS(Students!$A:$A,G$1,Students!$D:$D,$A32)+COUNTIFS(Students!$A:$A,G$1,Students!$F:$F,$A32)+COUNTIFS(Students!$A:$A,G$1,Students!$H:$H,$A32)+COUNTIFS(Students!$A:$A,G$1,Students!$J:$J,$A32)+COUNTIFS(Students!$A:$A,G$1,Students!$L:$L,$A32)+COUNTIFS(Students!$A:$A,G$1,Students!$N:$N,$A32)+COUNTIFS(Students!$A:$A,G$1,Students!$P:$P,$A32)+COUNTIFS(Students!$A:$A,G$1,Students!$R:$R,$A32)+COUNTIFS(Students!$A:$A,G$1,Students!$T:$T,$A32)+COUNTIFS(Students!$A:$A,G$1,Students!$V:$V,$A32))</f>
        <v>26</v>
      </c>
      <c r="H32" s="255">
        <f>if($A32="","",COUNTIFS(Students!$A:$A,H$1,Students!$D:$D,$A32)+COUNTIFS(Students!$A:$A,H$1,Students!$F:$F,$A32)+COUNTIFS(Students!$A:$A,H$1,Students!$H:$H,$A32)+COUNTIFS(Students!$A:$A,H$1,Students!$J:$J,$A32)+COUNTIFS(Students!$A:$A,H$1,Students!$L:$L,$A32)+COUNTIFS(Students!$A:$A,H$1,Students!$N:$N,$A32)+COUNTIFS(Students!$A:$A,H$1,Students!$P:$P,$A32)+COUNTIFS(Students!$A:$A,H$1,Students!$R:$R,$A32)+COUNTIFS(Students!$A:$A,H$1,Students!$T:$T,$A32)+COUNTIFS(Students!$A:$A,H$1,Students!$V:$V,$A32))</f>
        <v>0</v>
      </c>
      <c r="I32" s="319">
        <f t="shared" si="1"/>
        <v>90</v>
      </c>
      <c r="J32" s="319">
        <f>if($A32="","",sumifs(Schedule!$R:$R,Schedule!$P:$P,$A32)+sumifs(Schedule!$U:$U,Schedule!$S:$S,$A32)+sumifs(Schedule!$X:$X,Schedule!$V:$V,$A32)+sumifs(Schedule!$AA:$AA,Schedule!$Y:$Y,$A32)+sumifs(Schedule!$AD:$AD,Schedule!$AB:$AB,$A32)+sumifs(Schedule!$AG:$AG,Schedule!$AE:$AE,$A32)+sumifs(Schedule!$AJ:$AJ,Schedule!$AH:$AH,$A32)+sumifs(Schedule!$AM:$AM,Schedule!$AK:$AK,$A32))</f>
        <v>90</v>
      </c>
      <c r="K32" s="319">
        <f t="shared" si="2"/>
        <v>0</v>
      </c>
      <c r="L32" s="320">
        <f>if(A32="","",countifs(Schedule!P$1:AK100,A32))</f>
        <v>4</v>
      </c>
    </row>
    <row r="33">
      <c r="A33" s="321" t="str">
        <f>IFERROR(__xludf.DUMMYFUNCTION("""COMPUTED_VALUE"""),"Band Level II")</f>
        <v>Band Level II</v>
      </c>
      <c r="B33" s="316" t="s">
        <v>680</v>
      </c>
      <c r="C33" s="317">
        <v>2.0</v>
      </c>
      <c r="D33" s="318">
        <v>27.0</v>
      </c>
      <c r="E33" s="255">
        <f>if($A33="","",COUNTIFS(Students!$A:$A,E$1,Students!$D:$D,$A33)+COUNTIFS(Students!$A:$A,E$1,Students!$F:$F,$A33)+COUNTIFS(Students!$A:$A,E$1,Students!$H:$H,$A33)+COUNTIFS(Students!$A:$A,E$1,Students!$J:$J,$A33)+COUNTIFS(Students!$A:$A,E$1,Students!$L:$L,$A33)+COUNTIFS(Students!$A:$A,E$1,Students!$N:$N,$A33)+COUNTIFS(Students!$A:$A,E$1,Students!$P:$P,$A33)+COUNTIFS(Students!$A:$A,E$1,Students!$R:$R,$A33)+COUNTIFS(Students!$A:$A,E$1,Students!$T:$T,$A33)+COUNTIFS(Students!$A:$A,E$1,Students!$V:$V,$A33))</f>
        <v>9</v>
      </c>
      <c r="F33" s="255">
        <f>if($A33="","",COUNTIFS(Students!$A:$A,F$1,Students!$D:$D,$A33)+COUNTIFS(Students!$A:$A,F$1,Students!$F:$F,$A33)+COUNTIFS(Students!$A:$A,F$1,Students!$H:$H,$A33)+COUNTIFS(Students!$A:$A,F$1,Students!$J:$J,$A33)+COUNTIFS(Students!$A:$A,F$1,Students!$L:$L,$A33)+COUNTIFS(Students!$A:$A,F$1,Students!$N:$N,$A33)+COUNTIFS(Students!$A:$A,F$1,Students!$P:$P,$A33)+COUNTIFS(Students!$A:$A,F$1,Students!$R:$R,$A33)+COUNTIFS(Students!$A:$A,F$1,Students!$T:$T,$A33)+COUNTIFS(Students!$A:$A,F$1,Students!$V:$V,$A33))</f>
        <v>7</v>
      </c>
      <c r="G33" s="255">
        <f>if($A33="","",COUNTIFS(Students!$A:$A,G$1,Students!$D:$D,$A33)+COUNTIFS(Students!$A:$A,G$1,Students!$F:$F,$A33)+COUNTIFS(Students!$A:$A,G$1,Students!$H:$H,$A33)+COUNTIFS(Students!$A:$A,G$1,Students!$J:$J,$A33)+COUNTIFS(Students!$A:$A,G$1,Students!$L:$L,$A33)+COUNTIFS(Students!$A:$A,G$1,Students!$N:$N,$A33)+COUNTIFS(Students!$A:$A,G$1,Students!$P:$P,$A33)+COUNTIFS(Students!$A:$A,G$1,Students!$R:$R,$A33)+COUNTIFS(Students!$A:$A,G$1,Students!$T:$T,$A33)+COUNTIFS(Students!$A:$A,G$1,Students!$V:$V,$A33))</f>
        <v>18</v>
      </c>
      <c r="H33" s="255">
        <f>if($A33="","",COUNTIFS(Students!$A:$A,H$1,Students!$D:$D,$A33)+COUNTIFS(Students!$A:$A,H$1,Students!$F:$F,$A33)+COUNTIFS(Students!$A:$A,H$1,Students!$H:$H,$A33)+COUNTIFS(Students!$A:$A,H$1,Students!$J:$J,$A33)+COUNTIFS(Students!$A:$A,H$1,Students!$L:$L,$A33)+COUNTIFS(Students!$A:$A,H$1,Students!$N:$N,$A33)+COUNTIFS(Students!$A:$A,H$1,Students!$P:$P,$A33)+COUNTIFS(Students!$A:$A,H$1,Students!$R:$R,$A33)+COUNTIFS(Students!$A:$A,H$1,Students!$T:$T,$A33)+COUNTIFS(Students!$A:$A,H$1,Students!$V:$V,$A33))</f>
        <v>20</v>
      </c>
      <c r="I33" s="319">
        <f t="shared" si="1"/>
        <v>54</v>
      </c>
      <c r="J33" s="319">
        <f>if($A33="","",sumifs(Schedule!$R:$R,Schedule!$P:$P,$A33)+sumifs(Schedule!$U:$U,Schedule!$S:$S,$A33)+sumifs(Schedule!$X:$X,Schedule!$V:$V,$A33)+sumifs(Schedule!$AA:$AA,Schedule!$Y:$Y,$A33)+sumifs(Schedule!$AD:$AD,Schedule!$AB:$AB,$A33)+sumifs(Schedule!$AG:$AG,Schedule!$AE:$AE,$A33)+sumifs(Schedule!$AJ:$AJ,Schedule!$AH:$AH,$A33)+sumifs(Schedule!$AM:$AM,Schedule!$AK:$AK,$A33))</f>
        <v>54</v>
      </c>
      <c r="K33" s="319">
        <f t="shared" si="2"/>
        <v>0</v>
      </c>
      <c r="L33" s="320">
        <f>if(A33="","",countifs(Schedule!P$1:AK100,A33))</f>
        <v>2</v>
      </c>
    </row>
    <row r="34">
      <c r="A34" s="322" t="str">
        <f>IFERROR(__xludf.DUMMYFUNCTION("""COMPUTED_VALUE"""),"Biology 9")</f>
        <v>Biology 9</v>
      </c>
      <c r="B34" s="323" t="s">
        <v>680</v>
      </c>
      <c r="C34" s="317">
        <v>7.0</v>
      </c>
      <c r="D34" s="318">
        <v>18.714285714285715</v>
      </c>
      <c r="E34" s="255">
        <f>if($A34="","",COUNTIFS(Students!$A:$A,E$1,Students!$D:$D,$A34)+COUNTIFS(Students!$A:$A,E$1,Students!$F:$F,$A34)+COUNTIFS(Students!$A:$A,E$1,Students!$H:$H,$A34)+COUNTIFS(Students!$A:$A,E$1,Students!$J:$J,$A34)+COUNTIFS(Students!$A:$A,E$1,Students!$L:$L,$A34)+COUNTIFS(Students!$A:$A,E$1,Students!$N:$N,$A34)+COUNTIFS(Students!$A:$A,E$1,Students!$P:$P,$A34)+COUNTIFS(Students!$A:$A,E$1,Students!$R:$R,$A34)+COUNTIFS(Students!$A:$A,E$1,Students!$T:$T,$A34)+COUNTIFS(Students!$A:$A,E$1,Students!$V:$V,$A34))</f>
        <v>131</v>
      </c>
      <c r="F34" s="255">
        <f>if($A34="","",COUNTIFS(Students!$A:$A,F$1,Students!$D:$D,$A34)+COUNTIFS(Students!$A:$A,F$1,Students!$F:$F,$A34)+COUNTIFS(Students!$A:$A,F$1,Students!$H:$H,$A34)+COUNTIFS(Students!$A:$A,F$1,Students!$J:$J,$A34)+COUNTIFS(Students!$A:$A,F$1,Students!$L:$L,$A34)+COUNTIFS(Students!$A:$A,F$1,Students!$N:$N,$A34)+COUNTIFS(Students!$A:$A,F$1,Students!$P:$P,$A34)+COUNTIFS(Students!$A:$A,F$1,Students!$R:$R,$A34)+COUNTIFS(Students!$A:$A,F$1,Students!$T:$T,$A34)+COUNTIFS(Students!$A:$A,F$1,Students!$V:$V,$A34))</f>
        <v>0</v>
      </c>
      <c r="G34" s="255">
        <f>if($A34="","",COUNTIFS(Students!$A:$A,G$1,Students!$D:$D,$A34)+COUNTIFS(Students!$A:$A,G$1,Students!$F:$F,$A34)+COUNTIFS(Students!$A:$A,G$1,Students!$H:$H,$A34)+COUNTIFS(Students!$A:$A,G$1,Students!$J:$J,$A34)+COUNTIFS(Students!$A:$A,G$1,Students!$L:$L,$A34)+COUNTIFS(Students!$A:$A,G$1,Students!$N:$N,$A34)+COUNTIFS(Students!$A:$A,G$1,Students!$P:$P,$A34)+COUNTIFS(Students!$A:$A,G$1,Students!$R:$R,$A34)+COUNTIFS(Students!$A:$A,G$1,Students!$T:$T,$A34)+COUNTIFS(Students!$A:$A,G$1,Students!$V:$V,$A34))</f>
        <v>0</v>
      </c>
      <c r="H34" s="255">
        <f>if($A34="","",COUNTIFS(Students!$A:$A,H$1,Students!$D:$D,$A34)+COUNTIFS(Students!$A:$A,H$1,Students!$F:$F,$A34)+COUNTIFS(Students!$A:$A,H$1,Students!$H:$H,$A34)+COUNTIFS(Students!$A:$A,H$1,Students!$J:$J,$A34)+COUNTIFS(Students!$A:$A,H$1,Students!$L:$L,$A34)+COUNTIFS(Students!$A:$A,H$1,Students!$N:$N,$A34)+COUNTIFS(Students!$A:$A,H$1,Students!$P:$P,$A34)+COUNTIFS(Students!$A:$A,H$1,Students!$R:$R,$A34)+COUNTIFS(Students!$A:$A,H$1,Students!$T:$T,$A34)+COUNTIFS(Students!$A:$A,H$1,Students!$V:$V,$A34))</f>
        <v>0</v>
      </c>
      <c r="I34" s="319">
        <f t="shared" si="1"/>
        <v>131</v>
      </c>
      <c r="J34" s="319">
        <f>if($A34="","",sumifs(Schedule!$R:$R,Schedule!$P:$P,$A34)+sumifs(Schedule!$U:$U,Schedule!$S:$S,$A34)+sumifs(Schedule!$X:$X,Schedule!$V:$V,$A34)+sumifs(Schedule!$AA:$AA,Schedule!$Y:$Y,$A34)+sumifs(Schedule!$AD:$AD,Schedule!$AB:$AB,$A34)+sumifs(Schedule!$AG:$AG,Schedule!$AE:$AE,$A34)+sumifs(Schedule!$AJ:$AJ,Schedule!$AH:$AH,$A34)+sumifs(Schedule!$AM:$AM,Schedule!$AK:$AK,$A34))</f>
        <v>131</v>
      </c>
      <c r="K34" s="319">
        <f t="shared" si="2"/>
        <v>0</v>
      </c>
      <c r="L34" s="320">
        <f>if(A34="","",countifs(Schedule!P$1:AK100,A34))</f>
        <v>7</v>
      </c>
    </row>
    <row r="35">
      <c r="A35" s="321" t="str">
        <f>IFERROR(__xludf.DUMMYFUNCTION("""COMPUTED_VALUE"""),"Calculus")</f>
        <v>Calculus</v>
      </c>
      <c r="B35" s="316" t="s">
        <v>680</v>
      </c>
      <c r="C35" s="317">
        <v>4.0</v>
      </c>
      <c r="D35" s="318">
        <v>19.75</v>
      </c>
      <c r="E35" s="255">
        <f>if($A35="","",COUNTIFS(Students!$A:$A,E$1,Students!$D:$D,$A35)+COUNTIFS(Students!$A:$A,E$1,Students!$F:$F,$A35)+COUNTIFS(Students!$A:$A,E$1,Students!$H:$H,$A35)+COUNTIFS(Students!$A:$A,E$1,Students!$J:$J,$A35)+COUNTIFS(Students!$A:$A,E$1,Students!$L:$L,$A35)+COUNTIFS(Students!$A:$A,E$1,Students!$N:$N,$A35)+COUNTIFS(Students!$A:$A,E$1,Students!$P:$P,$A35)+COUNTIFS(Students!$A:$A,E$1,Students!$R:$R,$A35)+COUNTIFS(Students!$A:$A,E$1,Students!$T:$T,$A35)+COUNTIFS(Students!$A:$A,E$1,Students!$V:$V,$A35))</f>
        <v>0</v>
      </c>
      <c r="F35" s="255">
        <f>if($A35="","",COUNTIFS(Students!$A:$A,F$1,Students!$D:$D,$A35)+COUNTIFS(Students!$A:$A,F$1,Students!$F:$F,$A35)+COUNTIFS(Students!$A:$A,F$1,Students!$H:$H,$A35)+COUNTIFS(Students!$A:$A,F$1,Students!$J:$J,$A35)+COUNTIFS(Students!$A:$A,F$1,Students!$L:$L,$A35)+COUNTIFS(Students!$A:$A,F$1,Students!$N:$N,$A35)+COUNTIFS(Students!$A:$A,F$1,Students!$P:$P,$A35)+COUNTIFS(Students!$A:$A,F$1,Students!$R:$R,$A35)+COUNTIFS(Students!$A:$A,F$1,Students!$T:$T,$A35)+COUNTIFS(Students!$A:$A,F$1,Students!$V:$V,$A35))</f>
        <v>1</v>
      </c>
      <c r="G35" s="255">
        <f>if($A35="","",COUNTIFS(Students!$A:$A,G$1,Students!$D:$D,$A35)+COUNTIFS(Students!$A:$A,G$1,Students!$F:$F,$A35)+COUNTIFS(Students!$A:$A,G$1,Students!$H:$H,$A35)+COUNTIFS(Students!$A:$A,G$1,Students!$J:$J,$A35)+COUNTIFS(Students!$A:$A,G$1,Students!$L:$L,$A35)+COUNTIFS(Students!$A:$A,G$1,Students!$N:$N,$A35)+COUNTIFS(Students!$A:$A,G$1,Students!$P:$P,$A35)+COUNTIFS(Students!$A:$A,G$1,Students!$R:$R,$A35)+COUNTIFS(Students!$A:$A,G$1,Students!$T:$T,$A35)+COUNTIFS(Students!$A:$A,G$1,Students!$V:$V,$A35))</f>
        <v>18</v>
      </c>
      <c r="H35" s="255">
        <f>if($A35="","",COUNTIFS(Students!$A:$A,H$1,Students!$D:$D,$A35)+COUNTIFS(Students!$A:$A,H$1,Students!$F:$F,$A35)+COUNTIFS(Students!$A:$A,H$1,Students!$H:$H,$A35)+COUNTIFS(Students!$A:$A,H$1,Students!$J:$J,$A35)+COUNTIFS(Students!$A:$A,H$1,Students!$L:$L,$A35)+COUNTIFS(Students!$A:$A,H$1,Students!$N:$N,$A35)+COUNTIFS(Students!$A:$A,H$1,Students!$P:$P,$A35)+COUNTIFS(Students!$A:$A,H$1,Students!$R:$R,$A35)+COUNTIFS(Students!$A:$A,H$1,Students!$T:$T,$A35)+COUNTIFS(Students!$A:$A,H$1,Students!$V:$V,$A35))</f>
        <v>60</v>
      </c>
      <c r="I35" s="319">
        <f t="shared" si="1"/>
        <v>79</v>
      </c>
      <c r="J35" s="319">
        <f>if($A35="","",sumifs(Schedule!$R:$R,Schedule!$P:$P,$A35)+sumifs(Schedule!$U:$U,Schedule!$S:$S,$A35)+sumifs(Schedule!$X:$X,Schedule!$V:$V,$A35)+sumifs(Schedule!$AA:$AA,Schedule!$Y:$Y,$A35)+sumifs(Schedule!$AD:$AD,Schedule!$AB:$AB,$A35)+sumifs(Schedule!$AG:$AG,Schedule!$AE:$AE,$A35)+sumifs(Schedule!$AJ:$AJ,Schedule!$AH:$AH,$A35)+sumifs(Schedule!$AM:$AM,Schedule!$AK:$AK,$A35))</f>
        <v>79</v>
      </c>
      <c r="K35" s="319">
        <f t="shared" si="2"/>
        <v>0</v>
      </c>
      <c r="L35" s="320">
        <f>if(A35="","",countifs(Schedule!P$1:AK100,A35))</f>
        <v>4</v>
      </c>
    </row>
    <row r="36">
      <c r="A36" s="321" t="str">
        <f>IFERROR(__xludf.DUMMYFUNCTION("""COMPUTED_VALUE"""),"Chemistry")</f>
        <v>Chemistry</v>
      </c>
      <c r="B36" s="316" t="s">
        <v>680</v>
      </c>
      <c r="C36" s="317">
        <v>7.0</v>
      </c>
      <c r="D36" s="318">
        <v>19.714285714285715</v>
      </c>
      <c r="E36" s="255">
        <f>if($A36="","",COUNTIFS(Students!$A:$A,E$1,Students!$D:$D,$A36)+COUNTIFS(Students!$A:$A,E$1,Students!$F:$F,$A36)+COUNTIFS(Students!$A:$A,E$1,Students!$H:$H,$A36)+COUNTIFS(Students!$A:$A,E$1,Students!$J:$J,$A36)+COUNTIFS(Students!$A:$A,E$1,Students!$L:$L,$A36)+COUNTIFS(Students!$A:$A,E$1,Students!$N:$N,$A36)+COUNTIFS(Students!$A:$A,E$1,Students!$P:$P,$A36)+COUNTIFS(Students!$A:$A,E$1,Students!$R:$R,$A36)+COUNTIFS(Students!$A:$A,E$1,Students!$T:$T,$A36)+COUNTIFS(Students!$A:$A,E$1,Students!$V:$V,$A36))</f>
        <v>0</v>
      </c>
      <c r="F36" s="255">
        <f>if($A36="","",COUNTIFS(Students!$A:$A,F$1,Students!$D:$D,$A36)+COUNTIFS(Students!$A:$A,F$1,Students!$F:$F,$A36)+COUNTIFS(Students!$A:$A,F$1,Students!$H:$H,$A36)+COUNTIFS(Students!$A:$A,F$1,Students!$J:$J,$A36)+COUNTIFS(Students!$A:$A,F$1,Students!$L:$L,$A36)+COUNTIFS(Students!$A:$A,F$1,Students!$N:$N,$A36)+COUNTIFS(Students!$A:$A,F$1,Students!$P:$P,$A36)+COUNTIFS(Students!$A:$A,F$1,Students!$R:$R,$A36)+COUNTIFS(Students!$A:$A,F$1,Students!$T:$T,$A36)+COUNTIFS(Students!$A:$A,F$1,Students!$V:$V,$A36))</f>
        <v>137</v>
      </c>
      <c r="G36" s="255">
        <f>if($A36="","",COUNTIFS(Students!$A:$A,G$1,Students!$D:$D,$A36)+COUNTIFS(Students!$A:$A,G$1,Students!$F:$F,$A36)+COUNTIFS(Students!$A:$A,G$1,Students!$H:$H,$A36)+COUNTIFS(Students!$A:$A,G$1,Students!$J:$J,$A36)+COUNTIFS(Students!$A:$A,G$1,Students!$L:$L,$A36)+COUNTIFS(Students!$A:$A,G$1,Students!$N:$N,$A36)+COUNTIFS(Students!$A:$A,G$1,Students!$P:$P,$A36)+COUNTIFS(Students!$A:$A,G$1,Students!$R:$R,$A36)+COUNTIFS(Students!$A:$A,G$1,Students!$T:$T,$A36)+COUNTIFS(Students!$A:$A,G$1,Students!$V:$V,$A36))</f>
        <v>0</v>
      </c>
      <c r="H36" s="255">
        <f>if($A36="","",COUNTIFS(Students!$A:$A,H$1,Students!$D:$D,$A36)+COUNTIFS(Students!$A:$A,H$1,Students!$F:$F,$A36)+COUNTIFS(Students!$A:$A,H$1,Students!$H:$H,$A36)+COUNTIFS(Students!$A:$A,H$1,Students!$J:$J,$A36)+COUNTIFS(Students!$A:$A,H$1,Students!$L:$L,$A36)+COUNTIFS(Students!$A:$A,H$1,Students!$N:$N,$A36)+COUNTIFS(Students!$A:$A,H$1,Students!$P:$P,$A36)+COUNTIFS(Students!$A:$A,H$1,Students!$R:$R,$A36)+COUNTIFS(Students!$A:$A,H$1,Students!$T:$T,$A36)+COUNTIFS(Students!$A:$A,H$1,Students!$V:$V,$A36))</f>
        <v>1</v>
      </c>
      <c r="I36" s="319">
        <f t="shared" si="1"/>
        <v>138</v>
      </c>
      <c r="J36" s="319">
        <f>if($A36="","",sumifs(Schedule!$R:$R,Schedule!$P:$P,$A36)+sumifs(Schedule!$U:$U,Schedule!$S:$S,$A36)+sumifs(Schedule!$X:$X,Schedule!$V:$V,$A36)+sumifs(Schedule!$AA:$AA,Schedule!$Y:$Y,$A36)+sumifs(Schedule!$AD:$AD,Schedule!$AB:$AB,$A36)+sumifs(Schedule!$AG:$AG,Schedule!$AE:$AE,$A36)+sumifs(Schedule!$AJ:$AJ,Schedule!$AH:$AH,$A36)+sumifs(Schedule!$AM:$AM,Schedule!$AK:$AK,$A36))</f>
        <v>138</v>
      </c>
      <c r="K36" s="319">
        <f t="shared" si="2"/>
        <v>0</v>
      </c>
      <c r="L36" s="320">
        <f>if(A36="","",countifs(Schedule!P$1:AK100,A36))</f>
        <v>7</v>
      </c>
    </row>
    <row r="37">
      <c r="A37" s="321" t="str">
        <f>IFERROR(__xludf.DUMMYFUNCTION("""COMPUTED_VALUE"""),"Creative Design")</f>
        <v>Creative Design</v>
      </c>
      <c r="B37" s="316" t="s">
        <v>680</v>
      </c>
      <c r="C37" s="317">
        <v>1.0</v>
      </c>
      <c r="D37" s="318">
        <v>12.0</v>
      </c>
      <c r="E37" s="255">
        <f>if($A37="","",COUNTIFS(Students!$A:$A,E$1,Students!$D:$D,$A37)+COUNTIFS(Students!$A:$A,E$1,Students!$F:$F,$A37)+COUNTIFS(Students!$A:$A,E$1,Students!$H:$H,$A37)+COUNTIFS(Students!$A:$A,E$1,Students!$J:$J,$A37)+COUNTIFS(Students!$A:$A,E$1,Students!$L:$L,$A37)+COUNTIFS(Students!$A:$A,E$1,Students!$N:$N,$A37)+COUNTIFS(Students!$A:$A,E$1,Students!$P:$P,$A37)+COUNTIFS(Students!$A:$A,E$1,Students!$R:$R,$A37)+COUNTIFS(Students!$A:$A,E$1,Students!$T:$T,$A37)+COUNTIFS(Students!$A:$A,E$1,Students!$V:$V,$A37))</f>
        <v>0</v>
      </c>
      <c r="F37" s="255">
        <f>if($A37="","",COUNTIFS(Students!$A:$A,F$1,Students!$D:$D,$A37)+COUNTIFS(Students!$A:$A,F$1,Students!$F:$F,$A37)+COUNTIFS(Students!$A:$A,F$1,Students!$H:$H,$A37)+COUNTIFS(Students!$A:$A,F$1,Students!$J:$J,$A37)+COUNTIFS(Students!$A:$A,F$1,Students!$L:$L,$A37)+COUNTIFS(Students!$A:$A,F$1,Students!$N:$N,$A37)+COUNTIFS(Students!$A:$A,F$1,Students!$P:$P,$A37)+COUNTIFS(Students!$A:$A,F$1,Students!$R:$R,$A37)+COUNTIFS(Students!$A:$A,F$1,Students!$T:$T,$A37)+COUNTIFS(Students!$A:$A,F$1,Students!$V:$V,$A37))</f>
        <v>7</v>
      </c>
      <c r="G37" s="255">
        <f>if($A37="","",COUNTIFS(Students!$A:$A,G$1,Students!$D:$D,$A37)+COUNTIFS(Students!$A:$A,G$1,Students!$F:$F,$A37)+COUNTIFS(Students!$A:$A,G$1,Students!$H:$H,$A37)+COUNTIFS(Students!$A:$A,G$1,Students!$J:$J,$A37)+COUNTIFS(Students!$A:$A,G$1,Students!$L:$L,$A37)+COUNTIFS(Students!$A:$A,G$1,Students!$N:$N,$A37)+COUNTIFS(Students!$A:$A,G$1,Students!$P:$P,$A37)+COUNTIFS(Students!$A:$A,G$1,Students!$R:$R,$A37)+COUNTIFS(Students!$A:$A,G$1,Students!$T:$T,$A37)+COUNTIFS(Students!$A:$A,G$1,Students!$V:$V,$A37))</f>
        <v>2</v>
      </c>
      <c r="H37" s="255">
        <f>if($A37="","",COUNTIFS(Students!$A:$A,H$1,Students!$D:$D,$A37)+COUNTIFS(Students!$A:$A,H$1,Students!$F:$F,$A37)+COUNTIFS(Students!$A:$A,H$1,Students!$H:$H,$A37)+COUNTIFS(Students!$A:$A,H$1,Students!$J:$J,$A37)+COUNTIFS(Students!$A:$A,H$1,Students!$L:$L,$A37)+COUNTIFS(Students!$A:$A,H$1,Students!$N:$N,$A37)+COUNTIFS(Students!$A:$A,H$1,Students!$P:$P,$A37)+COUNTIFS(Students!$A:$A,H$1,Students!$R:$R,$A37)+COUNTIFS(Students!$A:$A,H$1,Students!$T:$T,$A37)+COUNTIFS(Students!$A:$A,H$1,Students!$V:$V,$A37))</f>
        <v>3</v>
      </c>
      <c r="I37" s="319">
        <f t="shared" si="1"/>
        <v>12</v>
      </c>
      <c r="J37" s="319">
        <f>if($A37="","",sumifs(Schedule!$R:$R,Schedule!$P:$P,$A37)+sumifs(Schedule!$U:$U,Schedule!$S:$S,$A37)+sumifs(Schedule!$X:$X,Schedule!$V:$V,$A37)+sumifs(Schedule!$AA:$AA,Schedule!$Y:$Y,$A37)+sumifs(Schedule!$AD:$AD,Schedule!$AB:$AB,$A37)+sumifs(Schedule!$AG:$AG,Schedule!$AE:$AE,$A37)+sumifs(Schedule!$AJ:$AJ,Schedule!$AH:$AH,$A37)+sumifs(Schedule!$AM:$AM,Schedule!$AK:$AK,$A37))</f>
        <v>12</v>
      </c>
      <c r="K37" s="319">
        <f t="shared" si="2"/>
        <v>0</v>
      </c>
      <c r="L37" s="320">
        <f>if(A37="","",countifs(Schedule!P$1:AK100,A37))</f>
        <v>1</v>
      </c>
    </row>
    <row r="38">
      <c r="A38" s="321" t="str">
        <f>IFERROR(__xludf.DUMMYFUNCTION("""COMPUTED_VALUE"""),"Drawing I")</f>
        <v>Drawing I</v>
      </c>
      <c r="B38" s="316" t="s">
        <v>680</v>
      </c>
      <c r="C38" s="317">
        <v>2.0</v>
      </c>
      <c r="D38" s="318">
        <v>22.5</v>
      </c>
      <c r="E38" s="255">
        <f>if($A38="","",COUNTIFS(Students!$A:$A,E$1,Students!$D:$D,$A38)+COUNTIFS(Students!$A:$A,E$1,Students!$F:$F,$A38)+COUNTIFS(Students!$A:$A,E$1,Students!$H:$H,$A38)+COUNTIFS(Students!$A:$A,E$1,Students!$J:$J,$A38)+COUNTIFS(Students!$A:$A,E$1,Students!$L:$L,$A38)+COUNTIFS(Students!$A:$A,E$1,Students!$N:$N,$A38)+COUNTIFS(Students!$A:$A,E$1,Students!$P:$P,$A38)+COUNTIFS(Students!$A:$A,E$1,Students!$R:$R,$A38)+COUNTIFS(Students!$A:$A,E$1,Students!$T:$T,$A38)+COUNTIFS(Students!$A:$A,E$1,Students!$V:$V,$A38))</f>
        <v>8</v>
      </c>
      <c r="F38" s="255">
        <f>if($A38="","",COUNTIFS(Students!$A:$A,F$1,Students!$D:$D,$A38)+COUNTIFS(Students!$A:$A,F$1,Students!$F:$F,$A38)+COUNTIFS(Students!$A:$A,F$1,Students!$H:$H,$A38)+COUNTIFS(Students!$A:$A,F$1,Students!$J:$J,$A38)+COUNTIFS(Students!$A:$A,F$1,Students!$L:$L,$A38)+COUNTIFS(Students!$A:$A,F$1,Students!$N:$N,$A38)+COUNTIFS(Students!$A:$A,F$1,Students!$P:$P,$A38)+COUNTIFS(Students!$A:$A,F$1,Students!$R:$R,$A38)+COUNTIFS(Students!$A:$A,F$1,Students!$T:$T,$A38)+COUNTIFS(Students!$A:$A,F$1,Students!$V:$V,$A38))</f>
        <v>8</v>
      </c>
      <c r="G38" s="255">
        <f>if($A38="","",COUNTIFS(Students!$A:$A,G$1,Students!$D:$D,$A38)+COUNTIFS(Students!$A:$A,G$1,Students!$F:$F,$A38)+COUNTIFS(Students!$A:$A,G$1,Students!$H:$H,$A38)+COUNTIFS(Students!$A:$A,G$1,Students!$J:$J,$A38)+COUNTIFS(Students!$A:$A,G$1,Students!$L:$L,$A38)+COUNTIFS(Students!$A:$A,G$1,Students!$N:$N,$A38)+COUNTIFS(Students!$A:$A,G$1,Students!$P:$P,$A38)+COUNTIFS(Students!$A:$A,G$1,Students!$R:$R,$A38)+COUNTIFS(Students!$A:$A,G$1,Students!$T:$T,$A38)+COUNTIFS(Students!$A:$A,G$1,Students!$V:$V,$A38))</f>
        <v>16</v>
      </c>
      <c r="H38" s="255">
        <f>if($A38="","",COUNTIFS(Students!$A:$A,H$1,Students!$D:$D,$A38)+COUNTIFS(Students!$A:$A,H$1,Students!$F:$F,$A38)+COUNTIFS(Students!$A:$A,H$1,Students!$H:$H,$A38)+COUNTIFS(Students!$A:$A,H$1,Students!$J:$J,$A38)+COUNTIFS(Students!$A:$A,H$1,Students!$L:$L,$A38)+COUNTIFS(Students!$A:$A,H$1,Students!$N:$N,$A38)+COUNTIFS(Students!$A:$A,H$1,Students!$P:$P,$A38)+COUNTIFS(Students!$A:$A,H$1,Students!$R:$R,$A38)+COUNTIFS(Students!$A:$A,H$1,Students!$T:$T,$A38)+COUNTIFS(Students!$A:$A,H$1,Students!$V:$V,$A38))</f>
        <v>13</v>
      </c>
      <c r="I38" s="319">
        <f t="shared" si="1"/>
        <v>45</v>
      </c>
      <c r="J38" s="319">
        <f>if($A38="","",sumifs(Schedule!$R:$R,Schedule!$P:$P,$A38)+sumifs(Schedule!$U:$U,Schedule!$S:$S,$A38)+sumifs(Schedule!$X:$X,Schedule!$V:$V,$A38)+sumifs(Schedule!$AA:$AA,Schedule!$Y:$Y,$A38)+sumifs(Schedule!$AD:$AD,Schedule!$AB:$AB,$A38)+sumifs(Schedule!$AG:$AG,Schedule!$AE:$AE,$A38)+sumifs(Schedule!$AJ:$AJ,Schedule!$AH:$AH,$A38)+sumifs(Schedule!$AM:$AM,Schedule!$AK:$AK,$A38))</f>
        <v>45</v>
      </c>
      <c r="K38" s="319">
        <f t="shared" si="2"/>
        <v>0</v>
      </c>
      <c r="L38" s="320">
        <f>if(A38="","",countifs(Schedule!P$1:AK100,A38))</f>
        <v>2</v>
      </c>
    </row>
    <row r="39">
      <c r="A39" s="321" t="str">
        <f>IFERROR(__xludf.DUMMYFUNCTION("""COMPUTED_VALUE"""),"English 10")</f>
        <v>English 10</v>
      </c>
      <c r="B39" s="316" t="s">
        <v>680</v>
      </c>
      <c r="C39" s="317">
        <v>3.0</v>
      </c>
      <c r="D39" s="318">
        <v>22.666666666666668</v>
      </c>
      <c r="E39" s="255">
        <f>if($A39="","",COUNTIFS(Students!$A:$A,E$1,Students!$D:$D,$A39)+COUNTIFS(Students!$A:$A,E$1,Students!$F:$F,$A39)+COUNTIFS(Students!$A:$A,E$1,Students!$H:$H,$A39)+COUNTIFS(Students!$A:$A,E$1,Students!$J:$J,$A39)+COUNTIFS(Students!$A:$A,E$1,Students!$L:$L,$A39)+COUNTIFS(Students!$A:$A,E$1,Students!$N:$N,$A39)+COUNTIFS(Students!$A:$A,E$1,Students!$P:$P,$A39)+COUNTIFS(Students!$A:$A,E$1,Students!$R:$R,$A39)+COUNTIFS(Students!$A:$A,E$1,Students!$T:$T,$A39)+COUNTIFS(Students!$A:$A,E$1,Students!$V:$V,$A39))</f>
        <v>0</v>
      </c>
      <c r="F39" s="255">
        <f>if($A39="","",COUNTIFS(Students!$A:$A,F$1,Students!$D:$D,$A39)+COUNTIFS(Students!$A:$A,F$1,Students!$F:$F,$A39)+COUNTIFS(Students!$A:$A,F$1,Students!$H:$H,$A39)+COUNTIFS(Students!$A:$A,F$1,Students!$J:$J,$A39)+COUNTIFS(Students!$A:$A,F$1,Students!$L:$L,$A39)+COUNTIFS(Students!$A:$A,F$1,Students!$N:$N,$A39)+COUNTIFS(Students!$A:$A,F$1,Students!$P:$P,$A39)+COUNTIFS(Students!$A:$A,F$1,Students!$R:$R,$A39)+COUNTIFS(Students!$A:$A,F$1,Students!$T:$T,$A39)+COUNTIFS(Students!$A:$A,F$1,Students!$V:$V,$A39))</f>
        <v>68</v>
      </c>
      <c r="G39" s="255">
        <f>if($A39="","",COUNTIFS(Students!$A:$A,G$1,Students!$D:$D,$A39)+COUNTIFS(Students!$A:$A,G$1,Students!$F:$F,$A39)+COUNTIFS(Students!$A:$A,G$1,Students!$H:$H,$A39)+COUNTIFS(Students!$A:$A,G$1,Students!$J:$J,$A39)+COUNTIFS(Students!$A:$A,G$1,Students!$L:$L,$A39)+COUNTIFS(Students!$A:$A,G$1,Students!$N:$N,$A39)+COUNTIFS(Students!$A:$A,G$1,Students!$P:$P,$A39)+COUNTIFS(Students!$A:$A,G$1,Students!$R:$R,$A39)+COUNTIFS(Students!$A:$A,G$1,Students!$T:$T,$A39)+COUNTIFS(Students!$A:$A,G$1,Students!$V:$V,$A39))</f>
        <v>0</v>
      </c>
      <c r="H39" s="255">
        <f>if($A39="","",COUNTIFS(Students!$A:$A,H$1,Students!$D:$D,$A39)+COUNTIFS(Students!$A:$A,H$1,Students!$F:$F,$A39)+COUNTIFS(Students!$A:$A,H$1,Students!$H:$H,$A39)+COUNTIFS(Students!$A:$A,H$1,Students!$J:$J,$A39)+COUNTIFS(Students!$A:$A,H$1,Students!$L:$L,$A39)+COUNTIFS(Students!$A:$A,H$1,Students!$N:$N,$A39)+COUNTIFS(Students!$A:$A,H$1,Students!$P:$P,$A39)+COUNTIFS(Students!$A:$A,H$1,Students!$R:$R,$A39)+COUNTIFS(Students!$A:$A,H$1,Students!$T:$T,$A39)+COUNTIFS(Students!$A:$A,H$1,Students!$V:$V,$A39))</f>
        <v>0</v>
      </c>
      <c r="I39" s="319">
        <f t="shared" si="1"/>
        <v>68</v>
      </c>
      <c r="J39" s="319">
        <f>if($A39="","",sumifs(Schedule!$R:$R,Schedule!$P:$P,$A39)+sumifs(Schedule!$U:$U,Schedule!$S:$S,$A39)+sumifs(Schedule!$X:$X,Schedule!$V:$V,$A39)+sumifs(Schedule!$AA:$AA,Schedule!$Y:$Y,$A39)+sumifs(Schedule!$AD:$AD,Schedule!$AB:$AB,$A39)+sumifs(Schedule!$AG:$AG,Schedule!$AE:$AE,$A39)+sumifs(Schedule!$AJ:$AJ,Schedule!$AH:$AH,$A39)+sumifs(Schedule!$AM:$AM,Schedule!$AK:$AK,$A39))</f>
        <v>68</v>
      </c>
      <c r="K39" s="319">
        <f t="shared" si="2"/>
        <v>0</v>
      </c>
      <c r="L39" s="320">
        <f>if(A39="","",countifs(Schedule!P$1:AK100,A39))</f>
        <v>3</v>
      </c>
    </row>
    <row r="40">
      <c r="A40" s="321" t="str">
        <f>IFERROR(__xludf.DUMMYFUNCTION("""COMPUTED_VALUE"""),"English 9")</f>
        <v>English 9</v>
      </c>
      <c r="B40" s="316" t="s">
        <v>680</v>
      </c>
      <c r="C40" s="317">
        <v>6.0</v>
      </c>
      <c r="D40" s="318">
        <v>21.833333333333332</v>
      </c>
      <c r="E40" s="255">
        <f>if($A40="","",COUNTIFS(Students!$A:$A,E$1,Students!$D:$D,$A40)+COUNTIFS(Students!$A:$A,E$1,Students!$F:$F,$A40)+COUNTIFS(Students!$A:$A,E$1,Students!$H:$H,$A40)+COUNTIFS(Students!$A:$A,E$1,Students!$J:$J,$A40)+COUNTIFS(Students!$A:$A,E$1,Students!$L:$L,$A40)+COUNTIFS(Students!$A:$A,E$1,Students!$N:$N,$A40)+COUNTIFS(Students!$A:$A,E$1,Students!$P:$P,$A40)+COUNTIFS(Students!$A:$A,E$1,Students!$R:$R,$A40)+COUNTIFS(Students!$A:$A,E$1,Students!$T:$T,$A40)+COUNTIFS(Students!$A:$A,E$1,Students!$V:$V,$A40))</f>
        <v>131</v>
      </c>
      <c r="F40" s="255">
        <f>if($A40="","",COUNTIFS(Students!$A:$A,F$1,Students!$D:$D,$A40)+COUNTIFS(Students!$A:$A,F$1,Students!$F:$F,$A40)+COUNTIFS(Students!$A:$A,F$1,Students!$H:$H,$A40)+COUNTIFS(Students!$A:$A,F$1,Students!$J:$J,$A40)+COUNTIFS(Students!$A:$A,F$1,Students!$L:$L,$A40)+COUNTIFS(Students!$A:$A,F$1,Students!$N:$N,$A40)+COUNTIFS(Students!$A:$A,F$1,Students!$P:$P,$A40)+COUNTIFS(Students!$A:$A,F$1,Students!$R:$R,$A40)+COUNTIFS(Students!$A:$A,F$1,Students!$T:$T,$A40)+COUNTIFS(Students!$A:$A,F$1,Students!$V:$V,$A40))</f>
        <v>0</v>
      </c>
      <c r="G40" s="255">
        <f>if($A40="","",COUNTIFS(Students!$A:$A,G$1,Students!$D:$D,$A40)+COUNTIFS(Students!$A:$A,G$1,Students!$F:$F,$A40)+COUNTIFS(Students!$A:$A,G$1,Students!$H:$H,$A40)+COUNTIFS(Students!$A:$A,G$1,Students!$J:$J,$A40)+COUNTIFS(Students!$A:$A,G$1,Students!$L:$L,$A40)+COUNTIFS(Students!$A:$A,G$1,Students!$N:$N,$A40)+COUNTIFS(Students!$A:$A,G$1,Students!$P:$P,$A40)+COUNTIFS(Students!$A:$A,G$1,Students!$R:$R,$A40)+COUNTIFS(Students!$A:$A,G$1,Students!$T:$T,$A40)+COUNTIFS(Students!$A:$A,G$1,Students!$V:$V,$A40))</f>
        <v>0</v>
      </c>
      <c r="H40" s="255">
        <f>if($A40="","",COUNTIFS(Students!$A:$A,H$1,Students!$D:$D,$A40)+COUNTIFS(Students!$A:$A,H$1,Students!$F:$F,$A40)+COUNTIFS(Students!$A:$A,H$1,Students!$H:$H,$A40)+COUNTIFS(Students!$A:$A,H$1,Students!$J:$J,$A40)+COUNTIFS(Students!$A:$A,H$1,Students!$L:$L,$A40)+COUNTIFS(Students!$A:$A,H$1,Students!$N:$N,$A40)+COUNTIFS(Students!$A:$A,H$1,Students!$P:$P,$A40)+COUNTIFS(Students!$A:$A,H$1,Students!$R:$R,$A40)+COUNTIFS(Students!$A:$A,H$1,Students!$T:$T,$A40)+COUNTIFS(Students!$A:$A,H$1,Students!$V:$V,$A40))</f>
        <v>0</v>
      </c>
      <c r="I40" s="319">
        <f t="shared" si="1"/>
        <v>131</v>
      </c>
      <c r="J40" s="319">
        <f>if($A40="","",sumifs(Schedule!$R:$R,Schedule!$P:$P,$A40)+sumifs(Schedule!$U:$U,Schedule!$S:$S,$A40)+sumifs(Schedule!$X:$X,Schedule!$V:$V,$A40)+sumifs(Schedule!$AA:$AA,Schedule!$Y:$Y,$A40)+sumifs(Schedule!$AD:$AD,Schedule!$AB:$AB,$A40)+sumifs(Schedule!$AG:$AG,Schedule!$AE:$AE,$A40)+sumifs(Schedule!$AJ:$AJ,Schedule!$AH:$AH,$A40)+sumifs(Schedule!$AM:$AM,Schedule!$AK:$AK,$A40))</f>
        <v>131</v>
      </c>
      <c r="K40" s="319">
        <f t="shared" si="2"/>
        <v>0</v>
      </c>
      <c r="L40" s="320">
        <f>if(A40="","",countifs(Schedule!P$1:AK100,A40))</f>
        <v>6</v>
      </c>
    </row>
    <row r="41">
      <c r="A41" s="321" t="str">
        <f>IFERROR(__xludf.DUMMYFUNCTION("""COMPUTED_VALUE"""),"Entrepreneurship - Business Tech")</f>
        <v>Entrepreneurship - Business Tech</v>
      </c>
      <c r="B41" s="316" t="s">
        <v>680</v>
      </c>
      <c r="C41" s="317">
        <v>2.0</v>
      </c>
      <c r="D41" s="318">
        <v>22.0</v>
      </c>
      <c r="E41" s="255">
        <f>if($A41="","",COUNTIFS(Students!$A:$A,E$1,Students!$D:$D,$A41)+COUNTIFS(Students!$A:$A,E$1,Students!$F:$F,$A41)+COUNTIFS(Students!$A:$A,E$1,Students!$H:$H,$A41)+COUNTIFS(Students!$A:$A,E$1,Students!$J:$J,$A41)+COUNTIFS(Students!$A:$A,E$1,Students!$L:$L,$A41)+COUNTIFS(Students!$A:$A,E$1,Students!$N:$N,$A41)+COUNTIFS(Students!$A:$A,E$1,Students!$P:$P,$A41)+COUNTIFS(Students!$A:$A,E$1,Students!$R:$R,$A41)+COUNTIFS(Students!$A:$A,E$1,Students!$T:$T,$A41)+COUNTIFS(Students!$A:$A,E$1,Students!$V:$V,$A41))</f>
        <v>0</v>
      </c>
      <c r="F41" s="255">
        <f>if($A41="","",COUNTIFS(Students!$A:$A,F$1,Students!$D:$D,$A41)+COUNTIFS(Students!$A:$A,F$1,Students!$F:$F,$A41)+COUNTIFS(Students!$A:$A,F$1,Students!$H:$H,$A41)+COUNTIFS(Students!$A:$A,F$1,Students!$J:$J,$A41)+COUNTIFS(Students!$A:$A,F$1,Students!$L:$L,$A41)+COUNTIFS(Students!$A:$A,F$1,Students!$N:$N,$A41)+COUNTIFS(Students!$A:$A,F$1,Students!$P:$P,$A41)+COUNTIFS(Students!$A:$A,F$1,Students!$R:$R,$A41)+COUNTIFS(Students!$A:$A,F$1,Students!$T:$T,$A41)+COUNTIFS(Students!$A:$A,F$1,Students!$V:$V,$A41))</f>
        <v>0</v>
      </c>
      <c r="G41" s="255">
        <f>if($A41="","",COUNTIFS(Students!$A:$A,G$1,Students!$D:$D,$A41)+COUNTIFS(Students!$A:$A,G$1,Students!$F:$F,$A41)+COUNTIFS(Students!$A:$A,G$1,Students!$H:$H,$A41)+COUNTIFS(Students!$A:$A,G$1,Students!$J:$J,$A41)+COUNTIFS(Students!$A:$A,G$1,Students!$L:$L,$A41)+COUNTIFS(Students!$A:$A,G$1,Students!$N:$N,$A41)+COUNTIFS(Students!$A:$A,G$1,Students!$P:$P,$A41)+COUNTIFS(Students!$A:$A,G$1,Students!$R:$R,$A41)+COUNTIFS(Students!$A:$A,G$1,Students!$T:$T,$A41)+COUNTIFS(Students!$A:$A,G$1,Students!$V:$V,$A41))</f>
        <v>40</v>
      </c>
      <c r="H41" s="255">
        <f>if($A41="","",COUNTIFS(Students!$A:$A,H$1,Students!$D:$D,$A41)+COUNTIFS(Students!$A:$A,H$1,Students!$F:$F,$A41)+COUNTIFS(Students!$A:$A,H$1,Students!$H:$H,$A41)+COUNTIFS(Students!$A:$A,H$1,Students!$J:$J,$A41)+COUNTIFS(Students!$A:$A,H$1,Students!$L:$L,$A41)+COUNTIFS(Students!$A:$A,H$1,Students!$N:$N,$A41)+COUNTIFS(Students!$A:$A,H$1,Students!$P:$P,$A41)+COUNTIFS(Students!$A:$A,H$1,Students!$R:$R,$A41)+COUNTIFS(Students!$A:$A,H$1,Students!$T:$T,$A41)+COUNTIFS(Students!$A:$A,H$1,Students!$V:$V,$A41))</f>
        <v>4</v>
      </c>
      <c r="I41" s="319">
        <f t="shared" si="1"/>
        <v>44</v>
      </c>
      <c r="J41" s="319">
        <f>if($A41="","",sumifs(Schedule!$R:$R,Schedule!$P:$P,$A41)+sumifs(Schedule!$U:$U,Schedule!$S:$S,$A41)+sumifs(Schedule!$X:$X,Schedule!$V:$V,$A41)+sumifs(Schedule!$AA:$AA,Schedule!$Y:$Y,$A41)+sumifs(Schedule!$AD:$AD,Schedule!$AB:$AB,$A41)+sumifs(Schedule!$AG:$AG,Schedule!$AE:$AE,$A41)+sumifs(Schedule!$AJ:$AJ,Schedule!$AH:$AH,$A41)+sumifs(Schedule!$AM:$AM,Schedule!$AK:$AK,$A41))</f>
        <v>44</v>
      </c>
      <c r="K41" s="319">
        <f t="shared" si="2"/>
        <v>0</v>
      </c>
      <c r="L41" s="320">
        <f>if(A41="","",countifs(Schedule!P$1:AK100,A41))</f>
        <v>2</v>
      </c>
    </row>
    <row r="42">
      <c r="A42" s="330" t="str">
        <f>IFERROR(__xludf.DUMMYFUNCTION("""COMPUTED_VALUE"""),"Environmental Science")</f>
        <v>Environmental Science</v>
      </c>
      <c r="B42" s="331" t="s">
        <v>680</v>
      </c>
      <c r="C42" s="317">
        <v>3.0</v>
      </c>
      <c r="D42" s="318">
        <v>24.333333333333332</v>
      </c>
      <c r="E42" s="255">
        <f>if($A42="","",COUNTIFS(Students!$A:$A,E$1,Students!$D:$D,$A42)+COUNTIFS(Students!$A:$A,E$1,Students!$F:$F,$A42)+COUNTIFS(Students!$A:$A,E$1,Students!$H:$H,$A42)+COUNTIFS(Students!$A:$A,E$1,Students!$J:$J,$A42)+COUNTIFS(Students!$A:$A,E$1,Students!$L:$L,$A42)+COUNTIFS(Students!$A:$A,E$1,Students!$N:$N,$A42)+COUNTIFS(Students!$A:$A,E$1,Students!$P:$P,$A42)+COUNTIFS(Students!$A:$A,E$1,Students!$R:$R,$A42)+COUNTIFS(Students!$A:$A,E$1,Students!$T:$T,$A42)+COUNTIFS(Students!$A:$A,E$1,Students!$V:$V,$A42))</f>
        <v>0</v>
      </c>
      <c r="F42" s="255">
        <f>if($A42="","",COUNTIFS(Students!$A:$A,F$1,Students!$D:$D,$A42)+COUNTIFS(Students!$A:$A,F$1,Students!$F:$F,$A42)+COUNTIFS(Students!$A:$A,F$1,Students!$H:$H,$A42)+COUNTIFS(Students!$A:$A,F$1,Students!$J:$J,$A42)+COUNTIFS(Students!$A:$A,F$1,Students!$L:$L,$A42)+COUNTIFS(Students!$A:$A,F$1,Students!$N:$N,$A42)+COUNTIFS(Students!$A:$A,F$1,Students!$P:$P,$A42)+COUNTIFS(Students!$A:$A,F$1,Students!$R:$R,$A42)+COUNTIFS(Students!$A:$A,F$1,Students!$T:$T,$A42)+COUNTIFS(Students!$A:$A,F$1,Students!$V:$V,$A42))</f>
        <v>0</v>
      </c>
      <c r="G42" s="255">
        <f>if($A42="","",COUNTIFS(Students!$A:$A,G$1,Students!$D:$D,$A42)+COUNTIFS(Students!$A:$A,G$1,Students!$F:$F,$A42)+COUNTIFS(Students!$A:$A,G$1,Students!$H:$H,$A42)+COUNTIFS(Students!$A:$A,G$1,Students!$J:$J,$A42)+COUNTIFS(Students!$A:$A,G$1,Students!$L:$L,$A42)+COUNTIFS(Students!$A:$A,G$1,Students!$N:$N,$A42)+COUNTIFS(Students!$A:$A,G$1,Students!$P:$P,$A42)+COUNTIFS(Students!$A:$A,G$1,Students!$R:$R,$A42)+COUNTIFS(Students!$A:$A,G$1,Students!$T:$T,$A42)+COUNTIFS(Students!$A:$A,G$1,Students!$V:$V,$A42))</f>
        <v>0</v>
      </c>
      <c r="H42" s="255">
        <f>if($A42="","",COUNTIFS(Students!$A:$A,H$1,Students!$D:$D,$A42)+COUNTIFS(Students!$A:$A,H$1,Students!$F:$F,$A42)+COUNTIFS(Students!$A:$A,H$1,Students!$H:$H,$A42)+COUNTIFS(Students!$A:$A,H$1,Students!$J:$J,$A42)+COUNTIFS(Students!$A:$A,H$1,Students!$L:$L,$A42)+COUNTIFS(Students!$A:$A,H$1,Students!$N:$N,$A42)+COUNTIFS(Students!$A:$A,H$1,Students!$P:$P,$A42)+COUNTIFS(Students!$A:$A,H$1,Students!$R:$R,$A42)+COUNTIFS(Students!$A:$A,H$1,Students!$T:$T,$A42)+COUNTIFS(Students!$A:$A,H$1,Students!$V:$V,$A42))</f>
        <v>73</v>
      </c>
      <c r="I42" s="319">
        <f t="shared" si="1"/>
        <v>73</v>
      </c>
      <c r="J42" s="319">
        <f>if($A42="","",sumifs(Schedule!$R:$R,Schedule!$P:$P,$A42)+sumifs(Schedule!$U:$U,Schedule!$S:$S,$A42)+sumifs(Schedule!$X:$X,Schedule!$V:$V,$A42)+sumifs(Schedule!$AA:$AA,Schedule!$Y:$Y,$A42)+sumifs(Schedule!$AD:$AD,Schedule!$AB:$AB,$A42)+sumifs(Schedule!$AG:$AG,Schedule!$AE:$AE,$A42)+sumifs(Schedule!$AJ:$AJ,Schedule!$AH:$AH,$A42)+sumifs(Schedule!$AM:$AM,Schedule!$AK:$AK,$A42))</f>
        <v>73</v>
      </c>
      <c r="K42" s="319">
        <f t="shared" si="2"/>
        <v>0</v>
      </c>
      <c r="L42" s="320">
        <f>if(A42="","",countifs(Schedule!P$1:AK100,A42))</f>
        <v>3</v>
      </c>
    </row>
    <row r="43">
      <c r="A43" s="321" t="str">
        <f>IFERROR(__xludf.DUMMYFUNCTION("""COMPUTED_VALUE"""),"Financial Math")</f>
        <v>Financial Math</v>
      </c>
      <c r="B43" s="316" t="s">
        <v>680</v>
      </c>
      <c r="C43" s="317">
        <v>3.0</v>
      </c>
      <c r="D43" s="318">
        <v>17.666666666666668</v>
      </c>
      <c r="E43" s="255">
        <f>if($A43="","",COUNTIFS(Students!$A:$A,E$1,Students!$D:$D,$A43)+COUNTIFS(Students!$A:$A,E$1,Students!$F:$F,$A43)+COUNTIFS(Students!$A:$A,E$1,Students!$H:$H,$A43)+COUNTIFS(Students!$A:$A,E$1,Students!$J:$J,$A43)+COUNTIFS(Students!$A:$A,E$1,Students!$L:$L,$A43)+COUNTIFS(Students!$A:$A,E$1,Students!$N:$N,$A43)+COUNTIFS(Students!$A:$A,E$1,Students!$P:$P,$A43)+COUNTIFS(Students!$A:$A,E$1,Students!$R:$R,$A43)+COUNTIFS(Students!$A:$A,E$1,Students!$T:$T,$A43)+COUNTIFS(Students!$A:$A,E$1,Students!$V:$V,$A43))</f>
        <v>0</v>
      </c>
      <c r="F43" s="255">
        <f>if($A43="","",COUNTIFS(Students!$A:$A,F$1,Students!$D:$D,$A43)+COUNTIFS(Students!$A:$A,F$1,Students!$F:$F,$A43)+COUNTIFS(Students!$A:$A,F$1,Students!$H:$H,$A43)+COUNTIFS(Students!$A:$A,F$1,Students!$J:$J,$A43)+COUNTIFS(Students!$A:$A,F$1,Students!$L:$L,$A43)+COUNTIFS(Students!$A:$A,F$1,Students!$N:$N,$A43)+COUNTIFS(Students!$A:$A,F$1,Students!$P:$P,$A43)+COUNTIFS(Students!$A:$A,F$1,Students!$R:$R,$A43)+COUNTIFS(Students!$A:$A,F$1,Students!$T:$T,$A43)+COUNTIFS(Students!$A:$A,F$1,Students!$V:$V,$A43))</f>
        <v>0</v>
      </c>
      <c r="G43" s="255">
        <f>if($A43="","",COUNTIFS(Students!$A:$A,G$1,Students!$D:$D,$A43)+COUNTIFS(Students!$A:$A,G$1,Students!$F:$F,$A43)+COUNTIFS(Students!$A:$A,G$1,Students!$H:$H,$A43)+COUNTIFS(Students!$A:$A,G$1,Students!$J:$J,$A43)+COUNTIFS(Students!$A:$A,G$1,Students!$L:$L,$A43)+COUNTIFS(Students!$A:$A,G$1,Students!$N:$N,$A43)+COUNTIFS(Students!$A:$A,G$1,Students!$P:$P,$A43)+COUNTIFS(Students!$A:$A,G$1,Students!$R:$R,$A43)+COUNTIFS(Students!$A:$A,G$1,Students!$T:$T,$A43)+COUNTIFS(Students!$A:$A,G$1,Students!$V:$V,$A43))</f>
        <v>2</v>
      </c>
      <c r="H43" s="255">
        <f>if($A43="","",COUNTIFS(Students!$A:$A,H$1,Students!$D:$D,$A43)+COUNTIFS(Students!$A:$A,H$1,Students!$F:$F,$A43)+COUNTIFS(Students!$A:$A,H$1,Students!$H:$H,$A43)+COUNTIFS(Students!$A:$A,H$1,Students!$J:$J,$A43)+COUNTIFS(Students!$A:$A,H$1,Students!$L:$L,$A43)+COUNTIFS(Students!$A:$A,H$1,Students!$N:$N,$A43)+COUNTIFS(Students!$A:$A,H$1,Students!$P:$P,$A43)+COUNTIFS(Students!$A:$A,H$1,Students!$R:$R,$A43)+COUNTIFS(Students!$A:$A,H$1,Students!$T:$T,$A43)+COUNTIFS(Students!$A:$A,H$1,Students!$V:$V,$A43))</f>
        <v>51</v>
      </c>
      <c r="I43" s="319">
        <f t="shared" si="1"/>
        <v>53</v>
      </c>
      <c r="J43" s="319">
        <f>if($A43="","",sumifs(Schedule!$R:$R,Schedule!$P:$P,$A43)+sumifs(Schedule!$U:$U,Schedule!$S:$S,$A43)+sumifs(Schedule!$X:$X,Schedule!$V:$V,$A43)+sumifs(Schedule!$AA:$AA,Schedule!$Y:$Y,$A43)+sumifs(Schedule!$AD:$AD,Schedule!$AB:$AB,$A43)+sumifs(Schedule!$AG:$AG,Schedule!$AE:$AE,$A43)+sumifs(Schedule!$AJ:$AJ,Schedule!$AH:$AH,$A43)+sumifs(Schedule!$AM:$AM,Schedule!$AK:$AK,$A43))</f>
        <v>53</v>
      </c>
      <c r="K43" s="319">
        <f t="shared" si="2"/>
        <v>0</v>
      </c>
      <c r="L43" s="320">
        <f>if(A43="","",countifs(Schedule!P$1:AK100,A43))</f>
        <v>3</v>
      </c>
    </row>
    <row r="44">
      <c r="A44" s="332" t="str">
        <f>IFERROR(__xludf.DUMMYFUNCTION("""COMPUTED_VALUE"""),"FRC 9")</f>
        <v>FRC 9</v>
      </c>
      <c r="B44" s="316" t="s">
        <v>680</v>
      </c>
      <c r="C44" s="317">
        <v>1.0</v>
      </c>
      <c r="D44" s="318">
        <v>19.0</v>
      </c>
      <c r="E44" s="255">
        <f>if($A44="","",COUNTIFS(Students!$A:$A,E$1,Students!$D:$D,$A44)+COUNTIFS(Students!$A:$A,E$1,Students!$F:$F,$A44)+COUNTIFS(Students!$A:$A,E$1,Students!$H:$H,$A44)+COUNTIFS(Students!$A:$A,E$1,Students!$J:$J,$A44)+COUNTIFS(Students!$A:$A,E$1,Students!$L:$L,$A44)+COUNTIFS(Students!$A:$A,E$1,Students!$N:$N,$A44)+COUNTIFS(Students!$A:$A,E$1,Students!$P:$P,$A44)+COUNTIFS(Students!$A:$A,E$1,Students!$R:$R,$A44)+COUNTIFS(Students!$A:$A,E$1,Students!$T:$T,$A44)+COUNTIFS(Students!$A:$A,E$1,Students!$V:$V,$A44))</f>
        <v>19</v>
      </c>
      <c r="F44" s="255">
        <f>if($A44="","",COUNTIFS(Students!$A:$A,F$1,Students!$D:$D,$A44)+COUNTIFS(Students!$A:$A,F$1,Students!$F:$F,$A44)+COUNTIFS(Students!$A:$A,F$1,Students!$H:$H,$A44)+COUNTIFS(Students!$A:$A,F$1,Students!$J:$J,$A44)+COUNTIFS(Students!$A:$A,F$1,Students!$L:$L,$A44)+COUNTIFS(Students!$A:$A,F$1,Students!$N:$N,$A44)+COUNTIFS(Students!$A:$A,F$1,Students!$P:$P,$A44)+COUNTIFS(Students!$A:$A,F$1,Students!$R:$R,$A44)+COUNTIFS(Students!$A:$A,F$1,Students!$T:$T,$A44)+COUNTIFS(Students!$A:$A,F$1,Students!$V:$V,$A44))</f>
        <v>0</v>
      </c>
      <c r="G44" s="255">
        <f>if($A44="","",COUNTIFS(Students!$A:$A,G$1,Students!$D:$D,$A44)+COUNTIFS(Students!$A:$A,G$1,Students!$F:$F,$A44)+COUNTIFS(Students!$A:$A,G$1,Students!$H:$H,$A44)+COUNTIFS(Students!$A:$A,G$1,Students!$J:$J,$A44)+COUNTIFS(Students!$A:$A,G$1,Students!$L:$L,$A44)+COUNTIFS(Students!$A:$A,G$1,Students!$N:$N,$A44)+COUNTIFS(Students!$A:$A,G$1,Students!$P:$P,$A44)+COUNTIFS(Students!$A:$A,G$1,Students!$R:$R,$A44)+COUNTIFS(Students!$A:$A,G$1,Students!$T:$T,$A44)+COUNTIFS(Students!$A:$A,G$1,Students!$V:$V,$A44))</f>
        <v>0</v>
      </c>
      <c r="H44" s="255">
        <f>if($A44="","",COUNTIFS(Students!$A:$A,H$1,Students!$D:$D,$A44)+COUNTIFS(Students!$A:$A,H$1,Students!$F:$F,$A44)+COUNTIFS(Students!$A:$A,H$1,Students!$H:$H,$A44)+COUNTIFS(Students!$A:$A,H$1,Students!$J:$J,$A44)+COUNTIFS(Students!$A:$A,H$1,Students!$L:$L,$A44)+COUNTIFS(Students!$A:$A,H$1,Students!$N:$N,$A44)+COUNTIFS(Students!$A:$A,H$1,Students!$P:$P,$A44)+COUNTIFS(Students!$A:$A,H$1,Students!$R:$R,$A44)+COUNTIFS(Students!$A:$A,H$1,Students!$T:$T,$A44)+COUNTIFS(Students!$A:$A,H$1,Students!$V:$V,$A44))</f>
        <v>0</v>
      </c>
      <c r="I44" s="319">
        <f t="shared" si="1"/>
        <v>19</v>
      </c>
      <c r="J44" s="319">
        <f>if($A44="","",sumifs(Schedule!$R:$R,Schedule!$P:$P,$A44)+sumifs(Schedule!$U:$U,Schedule!$S:$S,$A44)+sumifs(Schedule!$X:$X,Schedule!$V:$V,$A44)+sumifs(Schedule!$AA:$AA,Schedule!$Y:$Y,$A44)+sumifs(Schedule!$AD:$AD,Schedule!$AB:$AB,$A44)+sumifs(Schedule!$AG:$AG,Schedule!$AE:$AE,$A44)+sumifs(Schedule!$AJ:$AJ,Schedule!$AH:$AH,$A44)+sumifs(Schedule!$AM:$AM,Schedule!$AK:$AK,$A44))</f>
        <v>19</v>
      </c>
      <c r="K44" s="319">
        <f t="shared" si="2"/>
        <v>0</v>
      </c>
      <c r="L44" s="320">
        <f>if(A44="","",countifs(Schedule!P$1:AK100,A44))</f>
        <v>1</v>
      </c>
    </row>
    <row r="45">
      <c r="A45" s="332" t="str">
        <f>IFERROR(__xludf.DUMMYFUNCTION("""COMPUTED_VALUE"""),"FRC 9 Robotics")</f>
        <v>FRC 9 Robotics</v>
      </c>
      <c r="B45" s="316" t="s">
        <v>680</v>
      </c>
      <c r="C45" s="317">
        <v>4.0</v>
      </c>
      <c r="D45" s="318">
        <v>15.75</v>
      </c>
      <c r="E45" s="255">
        <f>if($A45="","",COUNTIFS(Students!$A:$A,E$1,Students!$D:$D,$A45)+COUNTIFS(Students!$A:$A,E$1,Students!$F:$F,$A45)+COUNTIFS(Students!$A:$A,E$1,Students!$H:$H,$A45)+COUNTIFS(Students!$A:$A,E$1,Students!$J:$J,$A45)+COUNTIFS(Students!$A:$A,E$1,Students!$L:$L,$A45)+COUNTIFS(Students!$A:$A,E$1,Students!$N:$N,$A45)+COUNTIFS(Students!$A:$A,E$1,Students!$P:$P,$A45)+COUNTIFS(Students!$A:$A,E$1,Students!$R:$R,$A45)+COUNTIFS(Students!$A:$A,E$1,Students!$T:$T,$A45)+COUNTIFS(Students!$A:$A,E$1,Students!$V:$V,$A45))</f>
        <v>63</v>
      </c>
      <c r="F45" s="255">
        <f>if($A45="","",COUNTIFS(Students!$A:$A,F$1,Students!$D:$D,$A45)+COUNTIFS(Students!$A:$A,F$1,Students!$F:$F,$A45)+COUNTIFS(Students!$A:$A,F$1,Students!$H:$H,$A45)+COUNTIFS(Students!$A:$A,F$1,Students!$J:$J,$A45)+COUNTIFS(Students!$A:$A,F$1,Students!$L:$L,$A45)+COUNTIFS(Students!$A:$A,F$1,Students!$N:$N,$A45)+COUNTIFS(Students!$A:$A,F$1,Students!$P:$P,$A45)+COUNTIFS(Students!$A:$A,F$1,Students!$R:$R,$A45)+COUNTIFS(Students!$A:$A,F$1,Students!$T:$T,$A45)+COUNTIFS(Students!$A:$A,F$1,Students!$V:$V,$A45))</f>
        <v>0</v>
      </c>
      <c r="G45" s="255">
        <f>if($A45="","",COUNTIFS(Students!$A:$A,G$1,Students!$D:$D,$A45)+COUNTIFS(Students!$A:$A,G$1,Students!$F:$F,$A45)+COUNTIFS(Students!$A:$A,G$1,Students!$H:$H,$A45)+COUNTIFS(Students!$A:$A,G$1,Students!$J:$J,$A45)+COUNTIFS(Students!$A:$A,G$1,Students!$L:$L,$A45)+COUNTIFS(Students!$A:$A,G$1,Students!$N:$N,$A45)+COUNTIFS(Students!$A:$A,G$1,Students!$P:$P,$A45)+COUNTIFS(Students!$A:$A,G$1,Students!$R:$R,$A45)+COUNTIFS(Students!$A:$A,G$1,Students!$T:$T,$A45)+COUNTIFS(Students!$A:$A,G$1,Students!$V:$V,$A45))</f>
        <v>0</v>
      </c>
      <c r="H45" s="255">
        <f>if($A45="","",COUNTIFS(Students!$A:$A,H$1,Students!$D:$D,$A45)+COUNTIFS(Students!$A:$A,H$1,Students!$F:$F,$A45)+COUNTIFS(Students!$A:$A,H$1,Students!$H:$H,$A45)+COUNTIFS(Students!$A:$A,H$1,Students!$J:$J,$A45)+COUNTIFS(Students!$A:$A,H$1,Students!$L:$L,$A45)+COUNTIFS(Students!$A:$A,H$1,Students!$N:$N,$A45)+COUNTIFS(Students!$A:$A,H$1,Students!$P:$P,$A45)+COUNTIFS(Students!$A:$A,H$1,Students!$R:$R,$A45)+COUNTIFS(Students!$A:$A,H$1,Students!$T:$T,$A45)+COUNTIFS(Students!$A:$A,H$1,Students!$V:$V,$A45))</f>
        <v>0</v>
      </c>
      <c r="I45" s="319">
        <f t="shared" si="1"/>
        <v>63</v>
      </c>
      <c r="J45" s="319">
        <f>if($A45="","",sumifs(Schedule!$R:$R,Schedule!$P:$P,$A45)+sumifs(Schedule!$U:$U,Schedule!$S:$S,$A45)+sumifs(Schedule!$X:$X,Schedule!$V:$V,$A45)+sumifs(Schedule!$AA:$AA,Schedule!$Y:$Y,$A45)+sumifs(Schedule!$AD:$AD,Schedule!$AB:$AB,$A45)+sumifs(Schedule!$AG:$AG,Schedule!$AE:$AE,$A45)+sumifs(Schedule!$AJ:$AJ,Schedule!$AH:$AH,$A45)+sumifs(Schedule!$AM:$AM,Schedule!$AK:$AK,$A45))</f>
        <v>63</v>
      </c>
      <c r="K45" s="319">
        <f t="shared" si="2"/>
        <v>0</v>
      </c>
      <c r="L45" s="320">
        <f>if(A45="","",countifs(Schedule!P$1:AK100,A45))</f>
        <v>4</v>
      </c>
    </row>
    <row r="46">
      <c r="A46" s="321" t="str">
        <f>IFERROR(__xludf.DUMMYFUNCTION("""COMPUTED_VALUE"""),"Geometry")</f>
        <v>Geometry</v>
      </c>
      <c r="B46" s="316" t="s">
        <v>680</v>
      </c>
      <c r="C46" s="317">
        <v>7.0</v>
      </c>
      <c r="D46" s="318">
        <v>19.714285714285715</v>
      </c>
      <c r="E46" s="255">
        <f>if($A46="","",COUNTIFS(Students!$A:$A,E$1,Students!$D:$D,$A46)+COUNTIFS(Students!$A:$A,E$1,Students!$F:$F,$A46)+COUNTIFS(Students!$A:$A,E$1,Students!$H:$H,$A46)+COUNTIFS(Students!$A:$A,E$1,Students!$J:$J,$A46)+COUNTIFS(Students!$A:$A,E$1,Students!$L:$L,$A46)+COUNTIFS(Students!$A:$A,E$1,Students!$N:$N,$A46)+COUNTIFS(Students!$A:$A,E$1,Students!$P:$P,$A46)+COUNTIFS(Students!$A:$A,E$1,Students!$R:$R,$A46)+COUNTIFS(Students!$A:$A,E$1,Students!$T:$T,$A46)+COUNTIFS(Students!$A:$A,E$1,Students!$V:$V,$A46))</f>
        <v>73</v>
      </c>
      <c r="F46" s="255">
        <f>if($A46="","",COUNTIFS(Students!$A:$A,F$1,Students!$D:$D,$A46)+COUNTIFS(Students!$A:$A,F$1,Students!$F:$F,$A46)+COUNTIFS(Students!$A:$A,F$1,Students!$H:$H,$A46)+COUNTIFS(Students!$A:$A,F$1,Students!$J:$J,$A46)+COUNTIFS(Students!$A:$A,F$1,Students!$L:$L,$A46)+COUNTIFS(Students!$A:$A,F$1,Students!$N:$N,$A46)+COUNTIFS(Students!$A:$A,F$1,Students!$P:$P,$A46)+COUNTIFS(Students!$A:$A,F$1,Students!$R:$R,$A46)+COUNTIFS(Students!$A:$A,F$1,Students!$T:$T,$A46)+COUNTIFS(Students!$A:$A,F$1,Students!$V:$V,$A46))</f>
        <v>65</v>
      </c>
      <c r="G46" s="255">
        <f>if($A46="","",COUNTIFS(Students!$A:$A,G$1,Students!$D:$D,$A46)+COUNTIFS(Students!$A:$A,G$1,Students!$F:$F,$A46)+COUNTIFS(Students!$A:$A,G$1,Students!$H:$H,$A46)+COUNTIFS(Students!$A:$A,G$1,Students!$J:$J,$A46)+COUNTIFS(Students!$A:$A,G$1,Students!$L:$L,$A46)+COUNTIFS(Students!$A:$A,G$1,Students!$N:$N,$A46)+COUNTIFS(Students!$A:$A,G$1,Students!$P:$P,$A46)+COUNTIFS(Students!$A:$A,G$1,Students!$R:$R,$A46)+COUNTIFS(Students!$A:$A,G$1,Students!$T:$T,$A46)+COUNTIFS(Students!$A:$A,G$1,Students!$V:$V,$A46))</f>
        <v>0</v>
      </c>
      <c r="H46" s="255">
        <f>if($A46="","",COUNTIFS(Students!$A:$A,H$1,Students!$D:$D,$A46)+COUNTIFS(Students!$A:$A,H$1,Students!$F:$F,$A46)+COUNTIFS(Students!$A:$A,H$1,Students!$H:$H,$A46)+COUNTIFS(Students!$A:$A,H$1,Students!$J:$J,$A46)+COUNTIFS(Students!$A:$A,H$1,Students!$L:$L,$A46)+COUNTIFS(Students!$A:$A,H$1,Students!$N:$N,$A46)+COUNTIFS(Students!$A:$A,H$1,Students!$P:$P,$A46)+COUNTIFS(Students!$A:$A,H$1,Students!$R:$R,$A46)+COUNTIFS(Students!$A:$A,H$1,Students!$T:$T,$A46)+COUNTIFS(Students!$A:$A,H$1,Students!$V:$V,$A46))</f>
        <v>0</v>
      </c>
      <c r="I46" s="319">
        <f t="shared" si="1"/>
        <v>138</v>
      </c>
      <c r="J46" s="319">
        <f>if($A46="","",sumifs(Schedule!$R:$R,Schedule!$P:$P,$A46)+sumifs(Schedule!$U:$U,Schedule!$S:$S,$A46)+sumifs(Schedule!$X:$X,Schedule!$V:$V,$A46)+sumifs(Schedule!$AA:$AA,Schedule!$Y:$Y,$A46)+sumifs(Schedule!$AD:$AD,Schedule!$AB:$AB,$A46)+sumifs(Schedule!$AG:$AG,Schedule!$AE:$AE,$A46)+sumifs(Schedule!$AJ:$AJ,Schedule!$AH:$AH,$A46)+sumifs(Schedule!$AM:$AM,Schedule!$AK:$AK,$A46))</f>
        <v>138</v>
      </c>
      <c r="K46" s="319">
        <f t="shared" si="2"/>
        <v>0</v>
      </c>
      <c r="L46" s="320">
        <f>if(A46="","",countifs(Schedule!P$1:AK100,A46))</f>
        <v>7</v>
      </c>
    </row>
    <row r="47">
      <c r="A47" s="322" t="str">
        <f>IFERROR(__xludf.DUMMYFUNCTION("""COMPUTED_VALUE"""),"Global")</f>
        <v>Global</v>
      </c>
      <c r="B47" s="323" t="s">
        <v>680</v>
      </c>
      <c r="C47" s="317">
        <v>3.0</v>
      </c>
      <c r="D47" s="318">
        <v>21.666666666666668</v>
      </c>
      <c r="E47" s="255">
        <f>if($A47="","",COUNTIFS(Students!$A:$A,E$1,Students!$D:$D,$A47)+COUNTIFS(Students!$A:$A,E$1,Students!$F:$F,$A47)+COUNTIFS(Students!$A:$A,E$1,Students!$H:$H,$A47)+COUNTIFS(Students!$A:$A,E$1,Students!$J:$J,$A47)+COUNTIFS(Students!$A:$A,E$1,Students!$L:$L,$A47)+COUNTIFS(Students!$A:$A,E$1,Students!$N:$N,$A47)+COUNTIFS(Students!$A:$A,E$1,Students!$P:$P,$A47)+COUNTIFS(Students!$A:$A,E$1,Students!$R:$R,$A47)+COUNTIFS(Students!$A:$A,E$1,Students!$T:$T,$A47)+COUNTIFS(Students!$A:$A,E$1,Students!$V:$V,$A47))</f>
        <v>0</v>
      </c>
      <c r="F47" s="255">
        <f>if($A47="","",COUNTIFS(Students!$A:$A,F$1,Students!$D:$D,$A47)+COUNTIFS(Students!$A:$A,F$1,Students!$F:$F,$A47)+COUNTIFS(Students!$A:$A,F$1,Students!$H:$H,$A47)+COUNTIFS(Students!$A:$A,F$1,Students!$J:$J,$A47)+COUNTIFS(Students!$A:$A,F$1,Students!$L:$L,$A47)+COUNTIFS(Students!$A:$A,F$1,Students!$N:$N,$A47)+COUNTIFS(Students!$A:$A,F$1,Students!$P:$P,$A47)+COUNTIFS(Students!$A:$A,F$1,Students!$R:$R,$A47)+COUNTIFS(Students!$A:$A,F$1,Students!$T:$T,$A47)+COUNTIFS(Students!$A:$A,F$1,Students!$V:$V,$A47))</f>
        <v>65</v>
      </c>
      <c r="G47" s="255">
        <f>if($A47="","",COUNTIFS(Students!$A:$A,G$1,Students!$D:$D,$A47)+COUNTIFS(Students!$A:$A,G$1,Students!$F:$F,$A47)+COUNTIFS(Students!$A:$A,G$1,Students!$H:$H,$A47)+COUNTIFS(Students!$A:$A,G$1,Students!$J:$J,$A47)+COUNTIFS(Students!$A:$A,G$1,Students!$L:$L,$A47)+COUNTIFS(Students!$A:$A,G$1,Students!$N:$N,$A47)+COUNTIFS(Students!$A:$A,G$1,Students!$P:$P,$A47)+COUNTIFS(Students!$A:$A,G$1,Students!$R:$R,$A47)+COUNTIFS(Students!$A:$A,G$1,Students!$T:$T,$A47)+COUNTIFS(Students!$A:$A,G$1,Students!$V:$V,$A47))</f>
        <v>0</v>
      </c>
      <c r="H47" s="255">
        <f>if($A47="","",COUNTIFS(Students!$A:$A,H$1,Students!$D:$D,$A47)+COUNTIFS(Students!$A:$A,H$1,Students!$F:$F,$A47)+COUNTIFS(Students!$A:$A,H$1,Students!$H:$H,$A47)+COUNTIFS(Students!$A:$A,H$1,Students!$J:$J,$A47)+COUNTIFS(Students!$A:$A,H$1,Students!$L:$L,$A47)+COUNTIFS(Students!$A:$A,H$1,Students!$N:$N,$A47)+COUNTIFS(Students!$A:$A,H$1,Students!$P:$P,$A47)+COUNTIFS(Students!$A:$A,H$1,Students!$R:$R,$A47)+COUNTIFS(Students!$A:$A,H$1,Students!$T:$T,$A47)+COUNTIFS(Students!$A:$A,H$1,Students!$V:$V,$A47))</f>
        <v>0</v>
      </c>
      <c r="I47" s="319">
        <f t="shared" si="1"/>
        <v>65</v>
      </c>
      <c r="J47" s="319">
        <f>if($A47="","",sumifs(Schedule!$R:$R,Schedule!$P:$P,$A47)+sumifs(Schedule!$U:$U,Schedule!$S:$S,$A47)+sumifs(Schedule!$X:$X,Schedule!$V:$V,$A47)+sumifs(Schedule!$AA:$AA,Schedule!$Y:$Y,$A47)+sumifs(Schedule!$AD:$AD,Schedule!$AB:$AB,$A47)+sumifs(Schedule!$AG:$AG,Schedule!$AE:$AE,$A47)+sumifs(Schedule!$AJ:$AJ,Schedule!$AH:$AH,$A47)+sumifs(Schedule!$AM:$AM,Schedule!$AK:$AK,$A47))</f>
        <v>65</v>
      </c>
      <c r="K47" s="319">
        <f t="shared" si="2"/>
        <v>0</v>
      </c>
      <c r="L47" s="320">
        <f>if(A47="","",countifs(Schedule!P$1:AK100,A47))</f>
        <v>3</v>
      </c>
    </row>
    <row r="48">
      <c r="A48" s="321" t="str">
        <f>IFERROR(__xludf.DUMMYFUNCTION("""COMPUTED_VALUE"""),"Introduction to Law")</f>
        <v>Introduction to Law</v>
      </c>
      <c r="B48" s="316" t="s">
        <v>680</v>
      </c>
      <c r="C48" s="317">
        <v>1.0</v>
      </c>
      <c r="D48" s="318">
        <v>22.0</v>
      </c>
      <c r="E48" s="255">
        <f>if($A48="","",COUNTIFS(Students!$A:$A,E$1,Students!$D:$D,$A48)+COUNTIFS(Students!$A:$A,E$1,Students!$F:$F,$A48)+COUNTIFS(Students!$A:$A,E$1,Students!$H:$H,$A48)+COUNTIFS(Students!$A:$A,E$1,Students!$J:$J,$A48)+COUNTIFS(Students!$A:$A,E$1,Students!$L:$L,$A48)+COUNTIFS(Students!$A:$A,E$1,Students!$N:$N,$A48)+COUNTIFS(Students!$A:$A,E$1,Students!$P:$P,$A48)+COUNTIFS(Students!$A:$A,E$1,Students!$R:$R,$A48)+COUNTIFS(Students!$A:$A,E$1,Students!$T:$T,$A48)+COUNTIFS(Students!$A:$A,E$1,Students!$V:$V,$A48))</f>
        <v>0</v>
      </c>
      <c r="F48" s="255">
        <f>if($A48="","",COUNTIFS(Students!$A:$A,F$1,Students!$D:$D,$A48)+COUNTIFS(Students!$A:$A,F$1,Students!$F:$F,$A48)+COUNTIFS(Students!$A:$A,F$1,Students!$H:$H,$A48)+COUNTIFS(Students!$A:$A,F$1,Students!$J:$J,$A48)+COUNTIFS(Students!$A:$A,F$1,Students!$L:$L,$A48)+COUNTIFS(Students!$A:$A,F$1,Students!$N:$N,$A48)+COUNTIFS(Students!$A:$A,F$1,Students!$P:$P,$A48)+COUNTIFS(Students!$A:$A,F$1,Students!$R:$R,$A48)+COUNTIFS(Students!$A:$A,F$1,Students!$T:$T,$A48)+COUNTIFS(Students!$A:$A,F$1,Students!$V:$V,$A48))</f>
        <v>0</v>
      </c>
      <c r="G48" s="255">
        <f>if($A48="","",COUNTIFS(Students!$A:$A,G$1,Students!$D:$D,$A48)+COUNTIFS(Students!$A:$A,G$1,Students!$F:$F,$A48)+COUNTIFS(Students!$A:$A,G$1,Students!$H:$H,$A48)+COUNTIFS(Students!$A:$A,G$1,Students!$J:$J,$A48)+COUNTIFS(Students!$A:$A,G$1,Students!$L:$L,$A48)+COUNTIFS(Students!$A:$A,G$1,Students!$N:$N,$A48)+COUNTIFS(Students!$A:$A,G$1,Students!$P:$P,$A48)+COUNTIFS(Students!$A:$A,G$1,Students!$R:$R,$A48)+COUNTIFS(Students!$A:$A,G$1,Students!$T:$T,$A48)+COUNTIFS(Students!$A:$A,G$1,Students!$V:$V,$A48))</f>
        <v>7</v>
      </c>
      <c r="H48" s="255">
        <f>if($A48="","",COUNTIFS(Students!$A:$A,H$1,Students!$D:$D,$A48)+COUNTIFS(Students!$A:$A,H$1,Students!$F:$F,$A48)+COUNTIFS(Students!$A:$A,H$1,Students!$H:$H,$A48)+COUNTIFS(Students!$A:$A,H$1,Students!$J:$J,$A48)+COUNTIFS(Students!$A:$A,H$1,Students!$L:$L,$A48)+COUNTIFS(Students!$A:$A,H$1,Students!$N:$N,$A48)+COUNTIFS(Students!$A:$A,H$1,Students!$P:$P,$A48)+COUNTIFS(Students!$A:$A,H$1,Students!$R:$R,$A48)+COUNTIFS(Students!$A:$A,H$1,Students!$T:$T,$A48)+COUNTIFS(Students!$A:$A,H$1,Students!$V:$V,$A48))</f>
        <v>15</v>
      </c>
      <c r="I48" s="319">
        <f t="shared" si="1"/>
        <v>22</v>
      </c>
      <c r="J48" s="319">
        <f>if($A48="","",sumifs(Schedule!$R:$R,Schedule!$P:$P,$A48)+sumifs(Schedule!$U:$U,Schedule!$S:$S,$A48)+sumifs(Schedule!$X:$X,Schedule!$V:$V,$A48)+sumifs(Schedule!$AA:$AA,Schedule!$Y:$Y,$A48)+sumifs(Schedule!$AD:$AD,Schedule!$AB:$AB,$A48)+sumifs(Schedule!$AG:$AG,Schedule!$AE:$AE,$A48)+sumifs(Schedule!$AJ:$AJ,Schedule!$AH:$AH,$A48)+sumifs(Schedule!$AM:$AM,Schedule!$AK:$AK,$A48))</f>
        <v>22</v>
      </c>
      <c r="K48" s="319">
        <f t="shared" si="2"/>
        <v>0</v>
      </c>
      <c r="L48" s="320">
        <f>if(A48="","",countifs(Schedule!P$1:AK100,A48))</f>
        <v>1</v>
      </c>
    </row>
    <row r="49">
      <c r="A49" s="321" t="str">
        <f>IFERROR(__xludf.DUMMYFUNCTION("""COMPUTED_VALUE"""),"ISC")</f>
        <v>ISC</v>
      </c>
      <c r="B49" s="316" t="s">
        <v>680</v>
      </c>
      <c r="C49" s="317">
        <v>5.0</v>
      </c>
      <c r="D49" s="318">
        <v>20.8</v>
      </c>
      <c r="E49" s="255">
        <f>if($A49="","",COUNTIFS(Students!$A:$A,E$1,Students!$D:$D,$A49)+COUNTIFS(Students!$A:$A,E$1,Students!$F:$F,$A49)+COUNTIFS(Students!$A:$A,E$1,Students!$H:$H,$A49)+COUNTIFS(Students!$A:$A,E$1,Students!$J:$J,$A49)+COUNTIFS(Students!$A:$A,E$1,Students!$L:$L,$A49)+COUNTIFS(Students!$A:$A,E$1,Students!$N:$N,$A49)+COUNTIFS(Students!$A:$A,E$1,Students!$P:$P,$A49)+COUNTIFS(Students!$A:$A,E$1,Students!$R:$R,$A49)+COUNTIFS(Students!$A:$A,E$1,Students!$T:$T,$A49)+COUNTIFS(Students!$A:$A,E$1,Students!$V:$V,$A49))</f>
        <v>0</v>
      </c>
      <c r="F49" s="255">
        <f>if($A49="","",COUNTIFS(Students!$A:$A,F$1,Students!$D:$D,$A49)+COUNTIFS(Students!$A:$A,F$1,Students!$F:$F,$A49)+COUNTIFS(Students!$A:$A,F$1,Students!$H:$H,$A49)+COUNTIFS(Students!$A:$A,F$1,Students!$J:$J,$A49)+COUNTIFS(Students!$A:$A,F$1,Students!$L:$L,$A49)+COUNTIFS(Students!$A:$A,F$1,Students!$N:$N,$A49)+COUNTIFS(Students!$A:$A,F$1,Students!$P:$P,$A49)+COUNTIFS(Students!$A:$A,F$1,Students!$R:$R,$A49)+COUNTIFS(Students!$A:$A,F$1,Students!$T:$T,$A49)+COUNTIFS(Students!$A:$A,F$1,Students!$V:$V,$A49))</f>
        <v>0</v>
      </c>
      <c r="G49" s="255">
        <f>if($A49="","",COUNTIFS(Students!$A:$A,G$1,Students!$D:$D,$A49)+COUNTIFS(Students!$A:$A,G$1,Students!$F:$F,$A49)+COUNTIFS(Students!$A:$A,G$1,Students!$H:$H,$A49)+COUNTIFS(Students!$A:$A,G$1,Students!$J:$J,$A49)+COUNTIFS(Students!$A:$A,G$1,Students!$L:$L,$A49)+COUNTIFS(Students!$A:$A,G$1,Students!$N:$N,$A49)+COUNTIFS(Students!$A:$A,G$1,Students!$P:$P,$A49)+COUNTIFS(Students!$A:$A,G$1,Students!$R:$R,$A49)+COUNTIFS(Students!$A:$A,G$1,Students!$T:$T,$A49)+COUNTIFS(Students!$A:$A,G$1,Students!$V:$V,$A49))</f>
        <v>0</v>
      </c>
      <c r="H49" s="255">
        <f>if($A49="","",COUNTIFS(Students!$A:$A,H$1,Students!$D:$D,$A49)+COUNTIFS(Students!$A:$A,H$1,Students!$F:$F,$A49)+COUNTIFS(Students!$A:$A,H$1,Students!$H:$H,$A49)+COUNTIFS(Students!$A:$A,H$1,Students!$J:$J,$A49)+COUNTIFS(Students!$A:$A,H$1,Students!$L:$L,$A49)+COUNTIFS(Students!$A:$A,H$1,Students!$N:$N,$A49)+COUNTIFS(Students!$A:$A,H$1,Students!$P:$P,$A49)+COUNTIFS(Students!$A:$A,H$1,Students!$R:$R,$A49)+COUNTIFS(Students!$A:$A,H$1,Students!$T:$T,$A49)+COUNTIFS(Students!$A:$A,H$1,Students!$V:$V,$A49))</f>
        <v>104</v>
      </c>
      <c r="I49" s="319">
        <f t="shared" si="1"/>
        <v>104</v>
      </c>
      <c r="J49" s="319">
        <f>if($A49="","",sumifs(Schedule!$R:$R,Schedule!$P:$P,$A49)+sumifs(Schedule!$U:$U,Schedule!$S:$S,$A49)+sumifs(Schedule!$X:$X,Schedule!$V:$V,$A49)+sumifs(Schedule!$AA:$AA,Schedule!$Y:$Y,$A49)+sumifs(Schedule!$AD:$AD,Schedule!$AB:$AB,$A49)+sumifs(Schedule!$AG:$AG,Schedule!$AE:$AE,$A49)+sumifs(Schedule!$AJ:$AJ,Schedule!$AH:$AH,$A49)+sumifs(Schedule!$AM:$AM,Schedule!$AK:$AK,$A49))</f>
        <v>104</v>
      </c>
      <c r="K49" s="319">
        <f t="shared" si="2"/>
        <v>0</v>
      </c>
      <c r="L49" s="320">
        <f>if(A49="","",countifs(Schedule!P$1:AK100,A49))</f>
        <v>5</v>
      </c>
    </row>
    <row r="50">
      <c r="A50" s="321" t="str">
        <f>IFERROR(__xludf.DUMMYFUNCTION("""COMPUTED_VALUE"""),"Journalism Higher Level")</f>
        <v>Journalism Higher Level</v>
      </c>
      <c r="B50" s="316" t="s">
        <v>680</v>
      </c>
      <c r="C50" s="317">
        <v>3.0</v>
      </c>
      <c r="D50" s="318">
        <v>21.333333333333332</v>
      </c>
      <c r="E50" s="255">
        <f>if($A50="","",COUNTIFS(Students!$A:$A,E$1,Students!$D:$D,$A50)+COUNTIFS(Students!$A:$A,E$1,Students!$F:$F,$A50)+COUNTIFS(Students!$A:$A,E$1,Students!$H:$H,$A50)+COUNTIFS(Students!$A:$A,E$1,Students!$J:$J,$A50)+COUNTIFS(Students!$A:$A,E$1,Students!$L:$L,$A50)+COUNTIFS(Students!$A:$A,E$1,Students!$N:$N,$A50)+COUNTIFS(Students!$A:$A,E$1,Students!$P:$P,$A50)+COUNTIFS(Students!$A:$A,E$1,Students!$R:$R,$A50)+COUNTIFS(Students!$A:$A,E$1,Students!$T:$T,$A50)+COUNTIFS(Students!$A:$A,E$1,Students!$V:$V,$A50))</f>
        <v>0</v>
      </c>
      <c r="F50" s="255">
        <f>if($A50="","",COUNTIFS(Students!$A:$A,F$1,Students!$D:$D,$A50)+COUNTIFS(Students!$A:$A,F$1,Students!$F:$F,$A50)+COUNTIFS(Students!$A:$A,F$1,Students!$H:$H,$A50)+COUNTIFS(Students!$A:$A,F$1,Students!$J:$J,$A50)+COUNTIFS(Students!$A:$A,F$1,Students!$L:$L,$A50)+COUNTIFS(Students!$A:$A,F$1,Students!$N:$N,$A50)+COUNTIFS(Students!$A:$A,F$1,Students!$P:$P,$A50)+COUNTIFS(Students!$A:$A,F$1,Students!$R:$R,$A50)+COUNTIFS(Students!$A:$A,F$1,Students!$T:$T,$A50)+COUNTIFS(Students!$A:$A,F$1,Students!$V:$V,$A50))</f>
        <v>0</v>
      </c>
      <c r="G50" s="255">
        <f>if($A50="","",COUNTIFS(Students!$A:$A,G$1,Students!$D:$D,$A50)+COUNTIFS(Students!$A:$A,G$1,Students!$F:$F,$A50)+COUNTIFS(Students!$A:$A,G$1,Students!$H:$H,$A50)+COUNTIFS(Students!$A:$A,G$1,Students!$J:$J,$A50)+COUNTIFS(Students!$A:$A,G$1,Students!$L:$L,$A50)+COUNTIFS(Students!$A:$A,G$1,Students!$N:$N,$A50)+COUNTIFS(Students!$A:$A,G$1,Students!$P:$P,$A50)+COUNTIFS(Students!$A:$A,G$1,Students!$R:$R,$A50)+COUNTIFS(Students!$A:$A,G$1,Students!$T:$T,$A50)+COUNTIFS(Students!$A:$A,G$1,Students!$V:$V,$A50))</f>
        <v>10</v>
      </c>
      <c r="H50" s="255">
        <f>if($A50="","",COUNTIFS(Students!$A:$A,H$1,Students!$D:$D,$A50)+COUNTIFS(Students!$A:$A,H$1,Students!$F:$F,$A50)+COUNTIFS(Students!$A:$A,H$1,Students!$H:$H,$A50)+COUNTIFS(Students!$A:$A,H$1,Students!$J:$J,$A50)+COUNTIFS(Students!$A:$A,H$1,Students!$L:$L,$A50)+COUNTIFS(Students!$A:$A,H$1,Students!$N:$N,$A50)+COUNTIFS(Students!$A:$A,H$1,Students!$P:$P,$A50)+COUNTIFS(Students!$A:$A,H$1,Students!$R:$R,$A50)+COUNTIFS(Students!$A:$A,H$1,Students!$T:$T,$A50)+COUNTIFS(Students!$A:$A,H$1,Students!$V:$V,$A50))</f>
        <v>54</v>
      </c>
      <c r="I50" s="319">
        <f t="shared" si="1"/>
        <v>64</v>
      </c>
      <c r="J50" s="319">
        <f>if($A50="","",sumifs(Schedule!$R:$R,Schedule!$P:$P,$A50)+sumifs(Schedule!$U:$U,Schedule!$S:$S,$A50)+sumifs(Schedule!$X:$X,Schedule!$V:$V,$A50)+sumifs(Schedule!$AA:$AA,Schedule!$Y:$Y,$A50)+sumifs(Schedule!$AD:$AD,Schedule!$AB:$AB,$A50)+sumifs(Schedule!$AG:$AG,Schedule!$AE:$AE,$A50)+sumifs(Schedule!$AJ:$AJ,Schedule!$AH:$AH,$A50)+sumifs(Schedule!$AM:$AM,Schedule!$AK:$AK,$A50))</f>
        <v>64</v>
      </c>
      <c r="K50" s="319">
        <f t="shared" si="2"/>
        <v>0</v>
      </c>
      <c r="L50" s="320">
        <f>if(A50="","",countifs(Schedule!P$1:AK100,A50))</f>
        <v>3</v>
      </c>
    </row>
    <row r="51">
      <c r="A51" s="321" t="str">
        <f>IFERROR(__xludf.DUMMYFUNCTION("""COMPUTED_VALUE"""),"Journalism Intermediate Level")</f>
        <v>Journalism Intermediate Level</v>
      </c>
      <c r="B51" s="316" t="s">
        <v>680</v>
      </c>
      <c r="C51" s="317">
        <v>2.0</v>
      </c>
      <c r="D51" s="318">
        <v>17.0</v>
      </c>
      <c r="E51" s="255">
        <f>if($A51="","",COUNTIFS(Students!$A:$A,E$1,Students!$D:$D,$A51)+COUNTIFS(Students!$A:$A,E$1,Students!$F:$F,$A51)+COUNTIFS(Students!$A:$A,E$1,Students!$H:$H,$A51)+COUNTIFS(Students!$A:$A,E$1,Students!$J:$J,$A51)+COUNTIFS(Students!$A:$A,E$1,Students!$L:$L,$A51)+COUNTIFS(Students!$A:$A,E$1,Students!$N:$N,$A51)+COUNTIFS(Students!$A:$A,E$1,Students!$P:$P,$A51)+COUNTIFS(Students!$A:$A,E$1,Students!$R:$R,$A51)+COUNTIFS(Students!$A:$A,E$1,Students!$T:$T,$A51)+COUNTIFS(Students!$A:$A,E$1,Students!$V:$V,$A51))</f>
        <v>0</v>
      </c>
      <c r="F51" s="255">
        <f>if($A51="","",COUNTIFS(Students!$A:$A,F$1,Students!$D:$D,$A51)+COUNTIFS(Students!$A:$A,F$1,Students!$F:$F,$A51)+COUNTIFS(Students!$A:$A,F$1,Students!$H:$H,$A51)+COUNTIFS(Students!$A:$A,F$1,Students!$J:$J,$A51)+COUNTIFS(Students!$A:$A,F$1,Students!$L:$L,$A51)+COUNTIFS(Students!$A:$A,F$1,Students!$N:$N,$A51)+COUNTIFS(Students!$A:$A,F$1,Students!$P:$P,$A51)+COUNTIFS(Students!$A:$A,F$1,Students!$R:$R,$A51)+COUNTIFS(Students!$A:$A,F$1,Students!$T:$T,$A51)+COUNTIFS(Students!$A:$A,F$1,Students!$V:$V,$A51))</f>
        <v>5</v>
      </c>
      <c r="G51" s="255">
        <f>if($A51="","",COUNTIFS(Students!$A:$A,G$1,Students!$D:$D,$A51)+COUNTIFS(Students!$A:$A,G$1,Students!$F:$F,$A51)+COUNTIFS(Students!$A:$A,G$1,Students!$H:$H,$A51)+COUNTIFS(Students!$A:$A,G$1,Students!$J:$J,$A51)+COUNTIFS(Students!$A:$A,G$1,Students!$L:$L,$A51)+COUNTIFS(Students!$A:$A,G$1,Students!$N:$N,$A51)+COUNTIFS(Students!$A:$A,G$1,Students!$P:$P,$A51)+COUNTIFS(Students!$A:$A,G$1,Students!$R:$R,$A51)+COUNTIFS(Students!$A:$A,G$1,Students!$T:$T,$A51)+COUNTIFS(Students!$A:$A,G$1,Students!$V:$V,$A51))</f>
        <v>29</v>
      </c>
      <c r="H51" s="255">
        <f>if($A51="","",COUNTIFS(Students!$A:$A,H$1,Students!$D:$D,$A51)+COUNTIFS(Students!$A:$A,H$1,Students!$F:$F,$A51)+COUNTIFS(Students!$A:$A,H$1,Students!$H:$H,$A51)+COUNTIFS(Students!$A:$A,H$1,Students!$J:$J,$A51)+COUNTIFS(Students!$A:$A,H$1,Students!$L:$L,$A51)+COUNTIFS(Students!$A:$A,H$1,Students!$N:$N,$A51)+COUNTIFS(Students!$A:$A,H$1,Students!$P:$P,$A51)+COUNTIFS(Students!$A:$A,H$1,Students!$R:$R,$A51)+COUNTIFS(Students!$A:$A,H$1,Students!$T:$T,$A51)+COUNTIFS(Students!$A:$A,H$1,Students!$V:$V,$A51))</f>
        <v>0</v>
      </c>
      <c r="I51" s="319">
        <f t="shared" si="1"/>
        <v>34</v>
      </c>
      <c r="J51" s="319">
        <f>if($A51="","",sumifs(Schedule!$R:$R,Schedule!$P:$P,$A51)+sumifs(Schedule!$U:$U,Schedule!$S:$S,$A51)+sumifs(Schedule!$X:$X,Schedule!$V:$V,$A51)+sumifs(Schedule!$AA:$AA,Schedule!$Y:$Y,$A51)+sumifs(Schedule!$AD:$AD,Schedule!$AB:$AB,$A51)+sumifs(Schedule!$AG:$AG,Schedule!$AE:$AE,$A51)+sumifs(Schedule!$AJ:$AJ,Schedule!$AH:$AH,$A51)+sumifs(Schedule!$AM:$AM,Schedule!$AK:$AK,$A51))</f>
        <v>34</v>
      </c>
      <c r="K51" s="319">
        <f t="shared" si="2"/>
        <v>0</v>
      </c>
      <c r="L51" s="320">
        <f>if(A51="","",countifs(Schedule!P$1:AK100,A51))</f>
        <v>2</v>
      </c>
    </row>
    <row r="52">
      <c r="A52" s="322" t="str">
        <f>IFERROR(__xludf.DUMMYFUNCTION("""COMPUTED_VALUE"""),"Life Purpose")</f>
        <v>Life Purpose</v>
      </c>
      <c r="B52" s="323" t="s">
        <v>680</v>
      </c>
      <c r="C52" s="317">
        <v>6.0</v>
      </c>
      <c r="D52" s="318">
        <v>17.666666666666668</v>
      </c>
      <c r="E52" s="255">
        <f>if($A52="","",COUNTIFS(Students!$A:$A,E$1,Students!$D:$D,$A52)+COUNTIFS(Students!$A:$A,E$1,Students!$F:$F,$A52)+COUNTIFS(Students!$A:$A,E$1,Students!$H:$H,$A52)+COUNTIFS(Students!$A:$A,E$1,Students!$J:$J,$A52)+COUNTIFS(Students!$A:$A,E$1,Students!$L:$L,$A52)+COUNTIFS(Students!$A:$A,E$1,Students!$N:$N,$A52)+COUNTIFS(Students!$A:$A,E$1,Students!$P:$P,$A52)+COUNTIFS(Students!$A:$A,E$1,Students!$R:$R,$A52)+COUNTIFS(Students!$A:$A,E$1,Students!$T:$T,$A52)+COUNTIFS(Students!$A:$A,E$1,Students!$V:$V,$A52))</f>
        <v>0</v>
      </c>
      <c r="F52" s="255">
        <f>if($A52="","",COUNTIFS(Students!$A:$A,F$1,Students!$D:$D,$A52)+COUNTIFS(Students!$A:$A,F$1,Students!$F:$F,$A52)+COUNTIFS(Students!$A:$A,F$1,Students!$H:$H,$A52)+COUNTIFS(Students!$A:$A,F$1,Students!$J:$J,$A52)+COUNTIFS(Students!$A:$A,F$1,Students!$L:$L,$A52)+COUNTIFS(Students!$A:$A,F$1,Students!$N:$N,$A52)+COUNTIFS(Students!$A:$A,F$1,Students!$P:$P,$A52)+COUNTIFS(Students!$A:$A,F$1,Students!$R:$R,$A52)+COUNTIFS(Students!$A:$A,F$1,Students!$T:$T,$A52)+COUNTIFS(Students!$A:$A,F$1,Students!$V:$V,$A52))</f>
        <v>0</v>
      </c>
      <c r="G52" s="255">
        <f>if($A52="","",COUNTIFS(Students!$A:$A,G$1,Students!$D:$D,$A52)+COUNTIFS(Students!$A:$A,G$1,Students!$F:$F,$A52)+COUNTIFS(Students!$A:$A,G$1,Students!$H:$H,$A52)+COUNTIFS(Students!$A:$A,G$1,Students!$J:$J,$A52)+COUNTIFS(Students!$A:$A,G$1,Students!$L:$L,$A52)+COUNTIFS(Students!$A:$A,G$1,Students!$N:$N,$A52)+COUNTIFS(Students!$A:$A,G$1,Students!$P:$P,$A52)+COUNTIFS(Students!$A:$A,G$1,Students!$R:$R,$A52)+COUNTIFS(Students!$A:$A,G$1,Students!$T:$T,$A52)+COUNTIFS(Students!$A:$A,G$1,Students!$V:$V,$A52))</f>
        <v>46</v>
      </c>
      <c r="H52" s="255">
        <f>if($A52="","",COUNTIFS(Students!$A:$A,H$1,Students!$D:$D,$A52)+COUNTIFS(Students!$A:$A,H$1,Students!$F:$F,$A52)+COUNTIFS(Students!$A:$A,H$1,Students!$H:$H,$A52)+COUNTIFS(Students!$A:$A,H$1,Students!$J:$J,$A52)+COUNTIFS(Students!$A:$A,H$1,Students!$L:$L,$A52)+COUNTIFS(Students!$A:$A,H$1,Students!$N:$N,$A52)+COUNTIFS(Students!$A:$A,H$1,Students!$P:$P,$A52)+COUNTIFS(Students!$A:$A,H$1,Students!$R:$R,$A52)+COUNTIFS(Students!$A:$A,H$1,Students!$T:$T,$A52)+COUNTIFS(Students!$A:$A,H$1,Students!$V:$V,$A52))</f>
        <v>60</v>
      </c>
      <c r="I52" s="319">
        <f t="shared" si="1"/>
        <v>106</v>
      </c>
      <c r="J52" s="319">
        <f>if($A52="","",sumifs(Schedule!$R:$R,Schedule!$P:$P,$A52)+sumifs(Schedule!$U:$U,Schedule!$S:$S,$A52)+sumifs(Schedule!$X:$X,Schedule!$V:$V,$A52)+sumifs(Schedule!$AA:$AA,Schedule!$Y:$Y,$A52)+sumifs(Schedule!$AD:$AD,Schedule!$AB:$AB,$A52)+sumifs(Schedule!$AG:$AG,Schedule!$AE:$AE,$A52)+sumifs(Schedule!$AJ:$AJ,Schedule!$AH:$AH,$A52)+sumifs(Schedule!$AM:$AM,Schedule!$AK:$AK,$A52))</f>
        <v>106</v>
      </c>
      <c r="K52" s="319">
        <f t="shared" si="2"/>
        <v>0</v>
      </c>
      <c r="L52" s="320">
        <f>if(A52="","",countifs(Schedule!P$1:AK100,A52))</f>
        <v>6</v>
      </c>
    </row>
    <row r="53">
      <c r="A53" s="322" t="str">
        <f>IFERROR(__xludf.DUMMYFUNCTION("""COMPUTED_VALUE"""),"Mixed Media Art")</f>
        <v>Mixed Media Art</v>
      </c>
      <c r="B53" s="323" t="s">
        <v>680</v>
      </c>
      <c r="C53" s="317">
        <v>1.0</v>
      </c>
      <c r="D53" s="318">
        <v>15.0</v>
      </c>
      <c r="E53" s="255">
        <f>if($A53="","",COUNTIFS(Students!$A:$A,E$1,Students!$D:$D,$A53)+COUNTIFS(Students!$A:$A,E$1,Students!$F:$F,$A53)+COUNTIFS(Students!$A:$A,E$1,Students!$H:$H,$A53)+COUNTIFS(Students!$A:$A,E$1,Students!$J:$J,$A53)+COUNTIFS(Students!$A:$A,E$1,Students!$L:$L,$A53)+COUNTIFS(Students!$A:$A,E$1,Students!$N:$N,$A53)+COUNTIFS(Students!$A:$A,E$1,Students!$P:$P,$A53)+COUNTIFS(Students!$A:$A,E$1,Students!$R:$R,$A53)+COUNTIFS(Students!$A:$A,E$1,Students!$T:$T,$A53)+COUNTIFS(Students!$A:$A,E$1,Students!$V:$V,$A53))</f>
        <v>0</v>
      </c>
      <c r="F53" s="255">
        <f>if($A53="","",COUNTIFS(Students!$A:$A,F$1,Students!$D:$D,$A53)+COUNTIFS(Students!$A:$A,F$1,Students!$F:$F,$A53)+COUNTIFS(Students!$A:$A,F$1,Students!$H:$H,$A53)+COUNTIFS(Students!$A:$A,F$1,Students!$J:$J,$A53)+COUNTIFS(Students!$A:$A,F$1,Students!$L:$L,$A53)+COUNTIFS(Students!$A:$A,F$1,Students!$N:$N,$A53)+COUNTIFS(Students!$A:$A,F$1,Students!$P:$P,$A53)+COUNTIFS(Students!$A:$A,F$1,Students!$R:$R,$A53)+COUNTIFS(Students!$A:$A,F$1,Students!$T:$T,$A53)+COUNTIFS(Students!$A:$A,F$1,Students!$V:$V,$A53))</f>
        <v>0</v>
      </c>
      <c r="G53" s="255">
        <f>if($A53="","",COUNTIFS(Students!$A:$A,G$1,Students!$D:$D,$A53)+COUNTIFS(Students!$A:$A,G$1,Students!$F:$F,$A53)+COUNTIFS(Students!$A:$A,G$1,Students!$H:$H,$A53)+COUNTIFS(Students!$A:$A,G$1,Students!$J:$J,$A53)+COUNTIFS(Students!$A:$A,G$1,Students!$L:$L,$A53)+COUNTIFS(Students!$A:$A,G$1,Students!$N:$N,$A53)+COUNTIFS(Students!$A:$A,G$1,Students!$P:$P,$A53)+COUNTIFS(Students!$A:$A,G$1,Students!$R:$R,$A53)+COUNTIFS(Students!$A:$A,G$1,Students!$T:$T,$A53)+COUNTIFS(Students!$A:$A,G$1,Students!$V:$V,$A53))</f>
        <v>10</v>
      </c>
      <c r="H53" s="255">
        <f>if($A53="","",COUNTIFS(Students!$A:$A,H$1,Students!$D:$D,$A53)+COUNTIFS(Students!$A:$A,H$1,Students!$F:$F,$A53)+COUNTIFS(Students!$A:$A,H$1,Students!$H:$H,$A53)+COUNTIFS(Students!$A:$A,H$1,Students!$J:$J,$A53)+COUNTIFS(Students!$A:$A,H$1,Students!$L:$L,$A53)+COUNTIFS(Students!$A:$A,H$1,Students!$N:$N,$A53)+COUNTIFS(Students!$A:$A,H$1,Students!$P:$P,$A53)+COUNTIFS(Students!$A:$A,H$1,Students!$R:$R,$A53)+COUNTIFS(Students!$A:$A,H$1,Students!$T:$T,$A53)+COUNTIFS(Students!$A:$A,H$1,Students!$V:$V,$A53))</f>
        <v>5</v>
      </c>
      <c r="I53" s="319">
        <f t="shared" si="1"/>
        <v>15</v>
      </c>
      <c r="J53" s="319">
        <f>if($A53="","",sumifs(Schedule!$R:$R,Schedule!$P:$P,$A53)+sumifs(Schedule!$U:$U,Schedule!$S:$S,$A53)+sumifs(Schedule!$X:$X,Schedule!$V:$V,$A53)+sumifs(Schedule!$AA:$AA,Schedule!$Y:$Y,$A53)+sumifs(Schedule!$AD:$AD,Schedule!$AB:$AB,$A53)+sumifs(Schedule!$AG:$AG,Schedule!$AE:$AE,$A53)+sumifs(Schedule!$AJ:$AJ,Schedule!$AH:$AH,$A53)+sumifs(Schedule!$AM:$AM,Schedule!$AK:$AK,$A53))</f>
        <v>15</v>
      </c>
      <c r="K53" s="319">
        <f t="shared" si="2"/>
        <v>0</v>
      </c>
      <c r="L53" s="320">
        <f>if(A53="","",countifs(Schedule!P$1:AK100,A53))</f>
        <v>1</v>
      </c>
    </row>
    <row r="54">
      <c r="A54" s="322" t="str">
        <f>IFERROR(__xludf.DUMMYFUNCTION("""COMPUTED_VALUE"""),"Painting I")</f>
        <v>Painting I</v>
      </c>
      <c r="B54" s="323" t="s">
        <v>680</v>
      </c>
      <c r="C54" s="317">
        <v>4.0</v>
      </c>
      <c r="D54" s="318">
        <v>23.25</v>
      </c>
      <c r="E54" s="255">
        <f>if($A54="","",COUNTIFS(Students!$A:$A,E$1,Students!$D:$D,$A54)+COUNTIFS(Students!$A:$A,E$1,Students!$F:$F,$A54)+COUNTIFS(Students!$A:$A,E$1,Students!$H:$H,$A54)+COUNTIFS(Students!$A:$A,E$1,Students!$J:$J,$A54)+COUNTIFS(Students!$A:$A,E$1,Students!$L:$L,$A54)+COUNTIFS(Students!$A:$A,E$1,Students!$N:$N,$A54)+COUNTIFS(Students!$A:$A,E$1,Students!$P:$P,$A54)+COUNTIFS(Students!$A:$A,E$1,Students!$R:$R,$A54)+COUNTIFS(Students!$A:$A,E$1,Students!$T:$T,$A54)+COUNTIFS(Students!$A:$A,E$1,Students!$V:$V,$A54))</f>
        <v>48</v>
      </c>
      <c r="F54" s="255">
        <f>if($A54="","",COUNTIFS(Students!$A:$A,F$1,Students!$D:$D,$A54)+COUNTIFS(Students!$A:$A,F$1,Students!$F:$F,$A54)+COUNTIFS(Students!$A:$A,F$1,Students!$H:$H,$A54)+COUNTIFS(Students!$A:$A,F$1,Students!$J:$J,$A54)+COUNTIFS(Students!$A:$A,F$1,Students!$L:$L,$A54)+COUNTIFS(Students!$A:$A,F$1,Students!$N:$N,$A54)+COUNTIFS(Students!$A:$A,F$1,Students!$P:$P,$A54)+COUNTIFS(Students!$A:$A,F$1,Students!$R:$R,$A54)+COUNTIFS(Students!$A:$A,F$1,Students!$T:$T,$A54)+COUNTIFS(Students!$A:$A,F$1,Students!$V:$V,$A54))</f>
        <v>7</v>
      </c>
      <c r="G54" s="255">
        <f>if($A54="","",COUNTIFS(Students!$A:$A,G$1,Students!$D:$D,$A54)+COUNTIFS(Students!$A:$A,G$1,Students!$F:$F,$A54)+COUNTIFS(Students!$A:$A,G$1,Students!$H:$H,$A54)+COUNTIFS(Students!$A:$A,G$1,Students!$J:$J,$A54)+COUNTIFS(Students!$A:$A,G$1,Students!$L:$L,$A54)+COUNTIFS(Students!$A:$A,G$1,Students!$N:$N,$A54)+COUNTIFS(Students!$A:$A,G$1,Students!$P:$P,$A54)+COUNTIFS(Students!$A:$A,G$1,Students!$R:$R,$A54)+COUNTIFS(Students!$A:$A,G$1,Students!$T:$T,$A54)+COUNTIFS(Students!$A:$A,G$1,Students!$V:$V,$A54))</f>
        <v>27</v>
      </c>
      <c r="H54" s="255">
        <f>if($A54="","",COUNTIFS(Students!$A:$A,H$1,Students!$D:$D,$A54)+COUNTIFS(Students!$A:$A,H$1,Students!$F:$F,$A54)+COUNTIFS(Students!$A:$A,H$1,Students!$H:$H,$A54)+COUNTIFS(Students!$A:$A,H$1,Students!$J:$J,$A54)+COUNTIFS(Students!$A:$A,H$1,Students!$L:$L,$A54)+COUNTIFS(Students!$A:$A,H$1,Students!$N:$N,$A54)+COUNTIFS(Students!$A:$A,H$1,Students!$P:$P,$A54)+COUNTIFS(Students!$A:$A,H$1,Students!$R:$R,$A54)+COUNTIFS(Students!$A:$A,H$1,Students!$T:$T,$A54)+COUNTIFS(Students!$A:$A,H$1,Students!$V:$V,$A54))</f>
        <v>11</v>
      </c>
      <c r="I54" s="319">
        <f t="shared" si="1"/>
        <v>93</v>
      </c>
      <c r="J54" s="319">
        <f>if($A54="","",sumifs(Schedule!$R:$R,Schedule!$P:$P,$A54)+sumifs(Schedule!$U:$U,Schedule!$S:$S,$A54)+sumifs(Schedule!$X:$X,Schedule!$V:$V,$A54)+sumifs(Schedule!$AA:$AA,Schedule!$Y:$Y,$A54)+sumifs(Schedule!$AD:$AD,Schedule!$AB:$AB,$A54)+sumifs(Schedule!$AG:$AG,Schedule!$AE:$AE,$A54)+sumifs(Schedule!$AJ:$AJ,Schedule!$AH:$AH,$A54)+sumifs(Schedule!$AM:$AM,Schedule!$AK:$AK,$A54))</f>
        <v>93</v>
      </c>
      <c r="K54" s="319">
        <f t="shared" si="2"/>
        <v>0</v>
      </c>
      <c r="L54" s="320">
        <f>if(A54="","",countifs(Schedule!P$1:AK100,A54))</f>
        <v>4</v>
      </c>
    </row>
    <row r="55">
      <c r="A55" s="322" t="str">
        <f>IFERROR(__xludf.DUMMYFUNCTION("""COMPUTED_VALUE"""),"Painting II")</f>
        <v>Painting II</v>
      </c>
      <c r="B55" s="323" t="s">
        <v>680</v>
      </c>
      <c r="C55" s="317">
        <v>2.0</v>
      </c>
      <c r="D55" s="318">
        <v>23.0</v>
      </c>
      <c r="E55" s="255">
        <f>if($A55="","",COUNTIFS(Students!$A:$A,E$1,Students!$D:$D,$A55)+COUNTIFS(Students!$A:$A,E$1,Students!$F:$F,$A55)+COUNTIFS(Students!$A:$A,E$1,Students!$H:$H,$A55)+COUNTIFS(Students!$A:$A,E$1,Students!$J:$J,$A55)+COUNTIFS(Students!$A:$A,E$1,Students!$L:$L,$A55)+COUNTIFS(Students!$A:$A,E$1,Students!$N:$N,$A55)+COUNTIFS(Students!$A:$A,E$1,Students!$P:$P,$A55)+COUNTIFS(Students!$A:$A,E$1,Students!$R:$R,$A55)+COUNTIFS(Students!$A:$A,E$1,Students!$T:$T,$A55)+COUNTIFS(Students!$A:$A,E$1,Students!$V:$V,$A55))</f>
        <v>0</v>
      </c>
      <c r="F55" s="255">
        <f>if($A55="","",COUNTIFS(Students!$A:$A,F$1,Students!$D:$D,$A55)+COUNTIFS(Students!$A:$A,F$1,Students!$F:$F,$A55)+COUNTIFS(Students!$A:$A,F$1,Students!$H:$H,$A55)+COUNTIFS(Students!$A:$A,F$1,Students!$J:$J,$A55)+COUNTIFS(Students!$A:$A,F$1,Students!$L:$L,$A55)+COUNTIFS(Students!$A:$A,F$1,Students!$N:$N,$A55)+COUNTIFS(Students!$A:$A,F$1,Students!$P:$P,$A55)+COUNTIFS(Students!$A:$A,F$1,Students!$R:$R,$A55)+COUNTIFS(Students!$A:$A,F$1,Students!$T:$T,$A55)+COUNTIFS(Students!$A:$A,F$1,Students!$V:$V,$A55))</f>
        <v>13</v>
      </c>
      <c r="G55" s="255">
        <f>if($A55="","",COUNTIFS(Students!$A:$A,G$1,Students!$D:$D,$A55)+COUNTIFS(Students!$A:$A,G$1,Students!$F:$F,$A55)+COUNTIFS(Students!$A:$A,G$1,Students!$H:$H,$A55)+COUNTIFS(Students!$A:$A,G$1,Students!$J:$J,$A55)+COUNTIFS(Students!$A:$A,G$1,Students!$L:$L,$A55)+COUNTIFS(Students!$A:$A,G$1,Students!$N:$N,$A55)+COUNTIFS(Students!$A:$A,G$1,Students!$P:$P,$A55)+COUNTIFS(Students!$A:$A,G$1,Students!$R:$R,$A55)+COUNTIFS(Students!$A:$A,G$1,Students!$T:$T,$A55)+COUNTIFS(Students!$A:$A,G$1,Students!$V:$V,$A55))</f>
        <v>15</v>
      </c>
      <c r="H55" s="255">
        <f>if($A55="","",COUNTIFS(Students!$A:$A,H$1,Students!$D:$D,$A55)+COUNTIFS(Students!$A:$A,H$1,Students!$F:$F,$A55)+COUNTIFS(Students!$A:$A,H$1,Students!$H:$H,$A55)+COUNTIFS(Students!$A:$A,H$1,Students!$J:$J,$A55)+COUNTIFS(Students!$A:$A,H$1,Students!$L:$L,$A55)+COUNTIFS(Students!$A:$A,H$1,Students!$N:$N,$A55)+COUNTIFS(Students!$A:$A,H$1,Students!$P:$P,$A55)+COUNTIFS(Students!$A:$A,H$1,Students!$R:$R,$A55)+COUNTIFS(Students!$A:$A,H$1,Students!$T:$T,$A55)+COUNTIFS(Students!$A:$A,H$1,Students!$V:$V,$A55))</f>
        <v>18</v>
      </c>
      <c r="I55" s="319">
        <f t="shared" si="1"/>
        <v>46</v>
      </c>
      <c r="J55" s="319">
        <f>if($A55="","",sumifs(Schedule!$R:$R,Schedule!$P:$P,$A55)+sumifs(Schedule!$U:$U,Schedule!$S:$S,$A55)+sumifs(Schedule!$X:$X,Schedule!$V:$V,$A55)+sumifs(Schedule!$AA:$AA,Schedule!$Y:$Y,$A55)+sumifs(Schedule!$AD:$AD,Schedule!$AB:$AB,$A55)+sumifs(Schedule!$AG:$AG,Schedule!$AE:$AE,$A55)+sumifs(Schedule!$AJ:$AJ,Schedule!$AH:$AH,$A55)+sumifs(Schedule!$AM:$AM,Schedule!$AK:$AK,$A55))</f>
        <v>46</v>
      </c>
      <c r="K55" s="319">
        <f t="shared" si="2"/>
        <v>0</v>
      </c>
      <c r="L55" s="320">
        <f>if(A55="","",countifs(Schedule!P$1:AK100,A55))</f>
        <v>2</v>
      </c>
    </row>
    <row r="56">
      <c r="A56" s="322" t="str">
        <f>IFERROR(__xludf.DUMMYFUNCTION("""COMPUTED_VALUE"""),"PE 10")</f>
        <v>PE 10</v>
      </c>
      <c r="B56" s="323" t="s">
        <v>680</v>
      </c>
      <c r="C56" s="317">
        <v>6.0</v>
      </c>
      <c r="D56" s="318">
        <v>23.166666666666668</v>
      </c>
      <c r="E56" s="255">
        <f>if($A56="","",COUNTIFS(Students!$A:$A,E$1,Students!$D:$D,$A56)+COUNTIFS(Students!$A:$A,E$1,Students!$F:$F,$A56)+COUNTIFS(Students!$A:$A,E$1,Students!$H:$H,$A56)+COUNTIFS(Students!$A:$A,E$1,Students!$J:$J,$A56)+COUNTIFS(Students!$A:$A,E$1,Students!$L:$L,$A56)+COUNTIFS(Students!$A:$A,E$1,Students!$N:$N,$A56)+COUNTIFS(Students!$A:$A,E$1,Students!$P:$P,$A56)+COUNTIFS(Students!$A:$A,E$1,Students!$R:$R,$A56)+COUNTIFS(Students!$A:$A,E$1,Students!$T:$T,$A56)+COUNTIFS(Students!$A:$A,E$1,Students!$V:$V,$A56))</f>
        <v>0</v>
      </c>
      <c r="F56" s="255">
        <f>if($A56="","",COUNTIFS(Students!$A:$A,F$1,Students!$D:$D,$A56)+COUNTIFS(Students!$A:$A,F$1,Students!$F:$F,$A56)+COUNTIFS(Students!$A:$A,F$1,Students!$H:$H,$A56)+COUNTIFS(Students!$A:$A,F$1,Students!$J:$J,$A56)+COUNTIFS(Students!$A:$A,F$1,Students!$L:$L,$A56)+COUNTIFS(Students!$A:$A,F$1,Students!$N:$N,$A56)+COUNTIFS(Students!$A:$A,F$1,Students!$P:$P,$A56)+COUNTIFS(Students!$A:$A,F$1,Students!$R:$R,$A56)+COUNTIFS(Students!$A:$A,F$1,Students!$T:$T,$A56)+COUNTIFS(Students!$A:$A,F$1,Students!$V:$V,$A56))</f>
        <v>138</v>
      </c>
      <c r="G56" s="255">
        <f>if($A56="","",COUNTIFS(Students!$A:$A,G$1,Students!$D:$D,$A56)+COUNTIFS(Students!$A:$A,G$1,Students!$F:$F,$A56)+COUNTIFS(Students!$A:$A,G$1,Students!$H:$H,$A56)+COUNTIFS(Students!$A:$A,G$1,Students!$J:$J,$A56)+COUNTIFS(Students!$A:$A,G$1,Students!$L:$L,$A56)+COUNTIFS(Students!$A:$A,G$1,Students!$N:$N,$A56)+COUNTIFS(Students!$A:$A,G$1,Students!$P:$P,$A56)+COUNTIFS(Students!$A:$A,G$1,Students!$R:$R,$A56)+COUNTIFS(Students!$A:$A,G$1,Students!$T:$T,$A56)+COUNTIFS(Students!$A:$A,G$1,Students!$V:$V,$A56))</f>
        <v>0</v>
      </c>
      <c r="H56" s="255">
        <f>if($A56="","",COUNTIFS(Students!$A:$A,H$1,Students!$D:$D,$A56)+COUNTIFS(Students!$A:$A,H$1,Students!$F:$F,$A56)+COUNTIFS(Students!$A:$A,H$1,Students!$H:$H,$A56)+COUNTIFS(Students!$A:$A,H$1,Students!$J:$J,$A56)+COUNTIFS(Students!$A:$A,H$1,Students!$L:$L,$A56)+COUNTIFS(Students!$A:$A,H$1,Students!$N:$N,$A56)+COUNTIFS(Students!$A:$A,H$1,Students!$P:$P,$A56)+COUNTIFS(Students!$A:$A,H$1,Students!$R:$R,$A56)+COUNTIFS(Students!$A:$A,H$1,Students!$T:$T,$A56)+COUNTIFS(Students!$A:$A,H$1,Students!$V:$V,$A56))</f>
        <v>1</v>
      </c>
      <c r="I56" s="319">
        <f t="shared" si="1"/>
        <v>139</v>
      </c>
      <c r="J56" s="319">
        <f>if($A56="","",sumifs(Schedule!$R:$R,Schedule!$P:$P,$A56)+sumifs(Schedule!$U:$U,Schedule!$S:$S,$A56)+sumifs(Schedule!$X:$X,Schedule!$V:$V,$A56)+sumifs(Schedule!$AA:$AA,Schedule!$Y:$Y,$A56)+sumifs(Schedule!$AD:$AD,Schedule!$AB:$AB,$A56)+sumifs(Schedule!$AG:$AG,Schedule!$AE:$AE,$A56)+sumifs(Schedule!$AJ:$AJ,Schedule!$AH:$AH,$A56)+sumifs(Schedule!$AM:$AM,Schedule!$AK:$AK,$A56))</f>
        <v>139</v>
      </c>
      <c r="K56" s="319">
        <f t="shared" si="2"/>
        <v>0</v>
      </c>
      <c r="L56" s="320">
        <f>if(A56="","",countifs(Schedule!P$1:AK100,A56))</f>
        <v>6</v>
      </c>
    </row>
    <row r="57">
      <c r="A57" s="322" t="str">
        <f>IFERROR(__xludf.DUMMYFUNCTION("""COMPUTED_VALUE"""),"PE 11")</f>
        <v>PE 11</v>
      </c>
      <c r="B57" s="323" t="s">
        <v>680</v>
      </c>
      <c r="C57" s="317">
        <v>6.0</v>
      </c>
      <c r="D57" s="318">
        <v>20.833333333333332</v>
      </c>
      <c r="E57" s="255">
        <f>if($A57="","",COUNTIFS(Students!$A:$A,E$1,Students!$D:$D,$A57)+COUNTIFS(Students!$A:$A,E$1,Students!$F:$F,$A57)+COUNTIFS(Students!$A:$A,E$1,Students!$H:$H,$A57)+COUNTIFS(Students!$A:$A,E$1,Students!$J:$J,$A57)+COUNTIFS(Students!$A:$A,E$1,Students!$L:$L,$A57)+COUNTIFS(Students!$A:$A,E$1,Students!$N:$N,$A57)+COUNTIFS(Students!$A:$A,E$1,Students!$P:$P,$A57)+COUNTIFS(Students!$A:$A,E$1,Students!$R:$R,$A57)+COUNTIFS(Students!$A:$A,E$1,Students!$T:$T,$A57)+COUNTIFS(Students!$A:$A,E$1,Students!$V:$V,$A57))</f>
        <v>0</v>
      </c>
      <c r="F57" s="255">
        <f>if($A57="","",COUNTIFS(Students!$A:$A,F$1,Students!$D:$D,$A57)+COUNTIFS(Students!$A:$A,F$1,Students!$F:$F,$A57)+COUNTIFS(Students!$A:$A,F$1,Students!$H:$H,$A57)+COUNTIFS(Students!$A:$A,F$1,Students!$J:$J,$A57)+COUNTIFS(Students!$A:$A,F$1,Students!$L:$L,$A57)+COUNTIFS(Students!$A:$A,F$1,Students!$N:$N,$A57)+COUNTIFS(Students!$A:$A,F$1,Students!$P:$P,$A57)+COUNTIFS(Students!$A:$A,F$1,Students!$R:$R,$A57)+COUNTIFS(Students!$A:$A,F$1,Students!$T:$T,$A57)+COUNTIFS(Students!$A:$A,F$1,Students!$V:$V,$A57))</f>
        <v>0</v>
      </c>
      <c r="G57" s="255">
        <f>if($A57="","",COUNTIFS(Students!$A:$A,G$1,Students!$D:$D,$A57)+COUNTIFS(Students!$A:$A,G$1,Students!$F:$F,$A57)+COUNTIFS(Students!$A:$A,G$1,Students!$H:$H,$A57)+COUNTIFS(Students!$A:$A,G$1,Students!$J:$J,$A57)+COUNTIFS(Students!$A:$A,G$1,Students!$L:$L,$A57)+COUNTIFS(Students!$A:$A,G$1,Students!$N:$N,$A57)+COUNTIFS(Students!$A:$A,G$1,Students!$P:$P,$A57)+COUNTIFS(Students!$A:$A,G$1,Students!$R:$R,$A57)+COUNTIFS(Students!$A:$A,G$1,Students!$T:$T,$A57)+COUNTIFS(Students!$A:$A,G$1,Students!$V:$V,$A57))</f>
        <v>123</v>
      </c>
      <c r="H57" s="255">
        <f>if($A57="","",COUNTIFS(Students!$A:$A,H$1,Students!$D:$D,$A57)+COUNTIFS(Students!$A:$A,H$1,Students!$F:$F,$A57)+COUNTIFS(Students!$A:$A,H$1,Students!$H:$H,$A57)+COUNTIFS(Students!$A:$A,H$1,Students!$J:$J,$A57)+COUNTIFS(Students!$A:$A,H$1,Students!$L:$L,$A57)+COUNTIFS(Students!$A:$A,H$1,Students!$N:$N,$A57)+COUNTIFS(Students!$A:$A,H$1,Students!$P:$P,$A57)+COUNTIFS(Students!$A:$A,H$1,Students!$R:$R,$A57)+COUNTIFS(Students!$A:$A,H$1,Students!$T:$T,$A57)+COUNTIFS(Students!$A:$A,H$1,Students!$V:$V,$A57))</f>
        <v>2</v>
      </c>
      <c r="I57" s="319">
        <f t="shared" si="1"/>
        <v>125</v>
      </c>
      <c r="J57" s="319">
        <f>if($A57="","",sumifs(Schedule!$R:$R,Schedule!$P:$P,$A57)+sumifs(Schedule!$U:$U,Schedule!$S:$S,$A57)+sumifs(Schedule!$X:$X,Schedule!$V:$V,$A57)+sumifs(Schedule!$AA:$AA,Schedule!$Y:$Y,$A57)+sumifs(Schedule!$AD:$AD,Schedule!$AB:$AB,$A57)+sumifs(Schedule!$AG:$AG,Schedule!$AE:$AE,$A57)+sumifs(Schedule!$AJ:$AJ,Schedule!$AH:$AH,$A57)+sumifs(Schedule!$AM:$AM,Schedule!$AK:$AK,$A57))</f>
        <v>125</v>
      </c>
      <c r="K57" s="319">
        <f t="shared" si="2"/>
        <v>0</v>
      </c>
      <c r="L57" s="320">
        <f>if(A57="","",countifs(Schedule!P$1:AK100,A57))</f>
        <v>6</v>
      </c>
    </row>
    <row r="58">
      <c r="A58" s="322" t="str">
        <f>IFERROR(__xludf.DUMMYFUNCTION("""COMPUTED_VALUE"""),"PE 12")</f>
        <v>PE 12</v>
      </c>
      <c r="B58" s="323" t="s">
        <v>680</v>
      </c>
      <c r="C58" s="317">
        <v>6.0</v>
      </c>
      <c r="D58" s="318">
        <v>21.166666666666668</v>
      </c>
      <c r="E58" s="255">
        <f>if($A58="","",COUNTIFS(Students!$A:$A,E$1,Students!$D:$D,$A58)+COUNTIFS(Students!$A:$A,E$1,Students!$F:$F,$A58)+COUNTIFS(Students!$A:$A,E$1,Students!$H:$H,$A58)+COUNTIFS(Students!$A:$A,E$1,Students!$J:$J,$A58)+COUNTIFS(Students!$A:$A,E$1,Students!$L:$L,$A58)+COUNTIFS(Students!$A:$A,E$1,Students!$N:$N,$A58)+COUNTIFS(Students!$A:$A,E$1,Students!$P:$P,$A58)+COUNTIFS(Students!$A:$A,E$1,Students!$R:$R,$A58)+COUNTIFS(Students!$A:$A,E$1,Students!$T:$T,$A58)+COUNTIFS(Students!$A:$A,E$1,Students!$V:$V,$A58))</f>
        <v>0</v>
      </c>
      <c r="F58" s="255">
        <f>if($A58="","",COUNTIFS(Students!$A:$A,F$1,Students!$D:$D,$A58)+COUNTIFS(Students!$A:$A,F$1,Students!$F:$F,$A58)+COUNTIFS(Students!$A:$A,F$1,Students!$H:$H,$A58)+COUNTIFS(Students!$A:$A,F$1,Students!$J:$J,$A58)+COUNTIFS(Students!$A:$A,F$1,Students!$L:$L,$A58)+COUNTIFS(Students!$A:$A,F$1,Students!$N:$N,$A58)+COUNTIFS(Students!$A:$A,F$1,Students!$P:$P,$A58)+COUNTIFS(Students!$A:$A,F$1,Students!$R:$R,$A58)+COUNTIFS(Students!$A:$A,F$1,Students!$T:$T,$A58)+COUNTIFS(Students!$A:$A,F$1,Students!$V:$V,$A58))</f>
        <v>0</v>
      </c>
      <c r="G58" s="255">
        <f>if($A58="","",COUNTIFS(Students!$A:$A,G$1,Students!$D:$D,$A58)+COUNTIFS(Students!$A:$A,G$1,Students!$F:$F,$A58)+COUNTIFS(Students!$A:$A,G$1,Students!$H:$H,$A58)+COUNTIFS(Students!$A:$A,G$1,Students!$J:$J,$A58)+COUNTIFS(Students!$A:$A,G$1,Students!$L:$L,$A58)+COUNTIFS(Students!$A:$A,G$1,Students!$N:$N,$A58)+COUNTIFS(Students!$A:$A,G$1,Students!$P:$P,$A58)+COUNTIFS(Students!$A:$A,G$1,Students!$R:$R,$A58)+COUNTIFS(Students!$A:$A,G$1,Students!$T:$T,$A58)+COUNTIFS(Students!$A:$A,G$1,Students!$V:$V,$A58))</f>
        <v>0</v>
      </c>
      <c r="H58" s="255">
        <f>if($A58="","",COUNTIFS(Students!$A:$A,H$1,Students!$D:$D,$A58)+COUNTIFS(Students!$A:$A,H$1,Students!$F:$F,$A58)+COUNTIFS(Students!$A:$A,H$1,Students!$H:$H,$A58)+COUNTIFS(Students!$A:$A,H$1,Students!$J:$J,$A58)+COUNTIFS(Students!$A:$A,H$1,Students!$L:$L,$A58)+COUNTIFS(Students!$A:$A,H$1,Students!$N:$N,$A58)+COUNTIFS(Students!$A:$A,H$1,Students!$P:$P,$A58)+COUNTIFS(Students!$A:$A,H$1,Students!$R:$R,$A58)+COUNTIFS(Students!$A:$A,H$1,Students!$T:$T,$A58)+COUNTIFS(Students!$A:$A,H$1,Students!$V:$V,$A58))</f>
        <v>127</v>
      </c>
      <c r="I58" s="319">
        <f t="shared" si="1"/>
        <v>127</v>
      </c>
      <c r="J58" s="319">
        <f>if($A58="","",sumifs(Schedule!$R:$R,Schedule!$P:$P,$A58)+sumifs(Schedule!$U:$U,Schedule!$S:$S,$A58)+sumifs(Schedule!$X:$X,Schedule!$V:$V,$A58)+sumifs(Schedule!$AA:$AA,Schedule!$Y:$Y,$A58)+sumifs(Schedule!$AD:$AD,Schedule!$AB:$AB,$A58)+sumifs(Schedule!$AG:$AG,Schedule!$AE:$AE,$A58)+sumifs(Schedule!$AJ:$AJ,Schedule!$AH:$AH,$A58)+sumifs(Schedule!$AM:$AM,Schedule!$AK:$AK,$A58))</f>
        <v>127</v>
      </c>
      <c r="K58" s="319">
        <f t="shared" si="2"/>
        <v>0</v>
      </c>
      <c r="L58" s="320">
        <f>if(A58="","",countifs(Schedule!P$1:AK100,A58))</f>
        <v>6</v>
      </c>
    </row>
    <row r="59">
      <c r="A59" s="322" t="str">
        <f>IFERROR(__xludf.DUMMYFUNCTION("""COMPUTED_VALUE"""),"PE 9")</f>
        <v>PE 9</v>
      </c>
      <c r="B59" s="323" t="s">
        <v>680</v>
      </c>
      <c r="C59" s="317">
        <v>6.0</v>
      </c>
      <c r="D59" s="318">
        <v>21.833333333333332</v>
      </c>
      <c r="E59" s="255">
        <f>if($A59="","",COUNTIFS(Students!$A:$A,E$1,Students!$D:$D,$A59)+COUNTIFS(Students!$A:$A,E$1,Students!$F:$F,$A59)+COUNTIFS(Students!$A:$A,E$1,Students!$H:$H,$A59)+COUNTIFS(Students!$A:$A,E$1,Students!$J:$J,$A59)+COUNTIFS(Students!$A:$A,E$1,Students!$L:$L,$A59)+COUNTIFS(Students!$A:$A,E$1,Students!$N:$N,$A59)+COUNTIFS(Students!$A:$A,E$1,Students!$P:$P,$A59)+COUNTIFS(Students!$A:$A,E$1,Students!$R:$R,$A59)+COUNTIFS(Students!$A:$A,E$1,Students!$T:$T,$A59)+COUNTIFS(Students!$A:$A,E$1,Students!$V:$V,$A59))</f>
        <v>131</v>
      </c>
      <c r="F59" s="255">
        <f>if($A59="","",COUNTIFS(Students!$A:$A,F$1,Students!$D:$D,$A59)+COUNTIFS(Students!$A:$A,F$1,Students!$F:$F,$A59)+COUNTIFS(Students!$A:$A,F$1,Students!$H:$H,$A59)+COUNTIFS(Students!$A:$A,F$1,Students!$J:$J,$A59)+COUNTIFS(Students!$A:$A,F$1,Students!$L:$L,$A59)+COUNTIFS(Students!$A:$A,F$1,Students!$N:$N,$A59)+COUNTIFS(Students!$A:$A,F$1,Students!$P:$P,$A59)+COUNTIFS(Students!$A:$A,F$1,Students!$R:$R,$A59)+COUNTIFS(Students!$A:$A,F$1,Students!$T:$T,$A59)+COUNTIFS(Students!$A:$A,F$1,Students!$V:$V,$A59))</f>
        <v>0</v>
      </c>
      <c r="G59" s="255">
        <f>if($A59="","",COUNTIFS(Students!$A:$A,G$1,Students!$D:$D,$A59)+COUNTIFS(Students!$A:$A,G$1,Students!$F:$F,$A59)+COUNTIFS(Students!$A:$A,G$1,Students!$H:$H,$A59)+COUNTIFS(Students!$A:$A,G$1,Students!$J:$J,$A59)+COUNTIFS(Students!$A:$A,G$1,Students!$L:$L,$A59)+COUNTIFS(Students!$A:$A,G$1,Students!$N:$N,$A59)+COUNTIFS(Students!$A:$A,G$1,Students!$P:$P,$A59)+COUNTIFS(Students!$A:$A,G$1,Students!$R:$R,$A59)+COUNTIFS(Students!$A:$A,G$1,Students!$T:$T,$A59)+COUNTIFS(Students!$A:$A,G$1,Students!$V:$V,$A59))</f>
        <v>0</v>
      </c>
      <c r="H59" s="255">
        <f>if($A59="","",COUNTIFS(Students!$A:$A,H$1,Students!$D:$D,$A59)+COUNTIFS(Students!$A:$A,H$1,Students!$F:$F,$A59)+COUNTIFS(Students!$A:$A,H$1,Students!$H:$H,$A59)+COUNTIFS(Students!$A:$A,H$1,Students!$J:$J,$A59)+COUNTIFS(Students!$A:$A,H$1,Students!$L:$L,$A59)+COUNTIFS(Students!$A:$A,H$1,Students!$N:$N,$A59)+COUNTIFS(Students!$A:$A,H$1,Students!$P:$P,$A59)+COUNTIFS(Students!$A:$A,H$1,Students!$R:$R,$A59)+COUNTIFS(Students!$A:$A,H$1,Students!$T:$T,$A59)+COUNTIFS(Students!$A:$A,H$1,Students!$V:$V,$A59))</f>
        <v>0</v>
      </c>
      <c r="I59" s="319">
        <f t="shared" si="1"/>
        <v>131</v>
      </c>
      <c r="J59" s="319">
        <f>if($A59="","",sumifs(Schedule!$R:$R,Schedule!$P:$P,$A59)+sumifs(Schedule!$U:$U,Schedule!$S:$S,$A59)+sumifs(Schedule!$X:$X,Schedule!$V:$V,$A59)+sumifs(Schedule!$AA:$AA,Schedule!$Y:$Y,$A59)+sumifs(Schedule!$AD:$AD,Schedule!$AB:$AB,$A59)+sumifs(Schedule!$AG:$AG,Schedule!$AE:$AE,$A59)+sumifs(Schedule!$AJ:$AJ,Schedule!$AH:$AH,$A59)+sumifs(Schedule!$AM:$AM,Schedule!$AK:$AK,$A59))</f>
        <v>131</v>
      </c>
      <c r="K59" s="319">
        <f t="shared" si="2"/>
        <v>0</v>
      </c>
      <c r="L59" s="320">
        <f>if(A59="","",countifs(Schedule!P$1:AK100,A59))</f>
        <v>6</v>
      </c>
    </row>
    <row r="60">
      <c r="A60" s="322" t="str">
        <f>IFERROR(__xludf.DUMMYFUNCTION("""COMPUTED_VALUE"""),"Pensar nuestro tiempo")</f>
        <v>Pensar nuestro tiempo</v>
      </c>
      <c r="B60" s="323" t="s">
        <v>680</v>
      </c>
      <c r="C60" s="317">
        <v>1.0</v>
      </c>
      <c r="D60" s="318">
        <v>20.0</v>
      </c>
      <c r="E60" s="255">
        <f>if($A60="","",COUNTIFS(Students!$A:$A,E$1,Students!$D:$D,$A60)+COUNTIFS(Students!$A:$A,E$1,Students!$F:$F,$A60)+COUNTIFS(Students!$A:$A,E$1,Students!$H:$H,$A60)+COUNTIFS(Students!$A:$A,E$1,Students!$J:$J,$A60)+COUNTIFS(Students!$A:$A,E$1,Students!$L:$L,$A60)+COUNTIFS(Students!$A:$A,E$1,Students!$N:$N,$A60)+COUNTIFS(Students!$A:$A,E$1,Students!$P:$P,$A60)+COUNTIFS(Students!$A:$A,E$1,Students!$R:$R,$A60)+COUNTIFS(Students!$A:$A,E$1,Students!$T:$T,$A60)+COUNTIFS(Students!$A:$A,E$1,Students!$V:$V,$A60))</f>
        <v>0</v>
      </c>
      <c r="F60" s="255">
        <f>if($A60="","",COUNTIFS(Students!$A:$A,F$1,Students!$D:$D,$A60)+COUNTIFS(Students!$A:$A,F$1,Students!$F:$F,$A60)+COUNTIFS(Students!$A:$A,F$1,Students!$H:$H,$A60)+COUNTIFS(Students!$A:$A,F$1,Students!$J:$J,$A60)+COUNTIFS(Students!$A:$A,F$1,Students!$L:$L,$A60)+COUNTIFS(Students!$A:$A,F$1,Students!$N:$N,$A60)+COUNTIFS(Students!$A:$A,F$1,Students!$P:$P,$A60)+COUNTIFS(Students!$A:$A,F$1,Students!$R:$R,$A60)+COUNTIFS(Students!$A:$A,F$1,Students!$T:$T,$A60)+COUNTIFS(Students!$A:$A,F$1,Students!$V:$V,$A60))</f>
        <v>0</v>
      </c>
      <c r="G60" s="255">
        <f>if($A60="","",COUNTIFS(Students!$A:$A,G$1,Students!$D:$D,$A60)+COUNTIFS(Students!$A:$A,G$1,Students!$F:$F,$A60)+COUNTIFS(Students!$A:$A,G$1,Students!$H:$H,$A60)+COUNTIFS(Students!$A:$A,G$1,Students!$J:$J,$A60)+COUNTIFS(Students!$A:$A,G$1,Students!$L:$L,$A60)+COUNTIFS(Students!$A:$A,G$1,Students!$N:$N,$A60)+COUNTIFS(Students!$A:$A,G$1,Students!$P:$P,$A60)+COUNTIFS(Students!$A:$A,G$1,Students!$R:$R,$A60)+COUNTIFS(Students!$A:$A,G$1,Students!$T:$T,$A60)+COUNTIFS(Students!$A:$A,G$1,Students!$V:$V,$A60))</f>
        <v>4</v>
      </c>
      <c r="H60" s="255">
        <f>if($A60="","",COUNTIFS(Students!$A:$A,H$1,Students!$D:$D,$A60)+COUNTIFS(Students!$A:$A,H$1,Students!$F:$F,$A60)+COUNTIFS(Students!$A:$A,H$1,Students!$H:$H,$A60)+COUNTIFS(Students!$A:$A,H$1,Students!$J:$J,$A60)+COUNTIFS(Students!$A:$A,H$1,Students!$L:$L,$A60)+COUNTIFS(Students!$A:$A,H$1,Students!$N:$N,$A60)+COUNTIFS(Students!$A:$A,H$1,Students!$P:$P,$A60)+COUNTIFS(Students!$A:$A,H$1,Students!$R:$R,$A60)+COUNTIFS(Students!$A:$A,H$1,Students!$T:$T,$A60)+COUNTIFS(Students!$A:$A,H$1,Students!$V:$V,$A60))</f>
        <v>16</v>
      </c>
      <c r="I60" s="319">
        <f t="shared" si="1"/>
        <v>20</v>
      </c>
      <c r="J60" s="319">
        <f>if($A60="","",sumifs(Schedule!$R:$R,Schedule!$P:$P,$A60)+sumifs(Schedule!$U:$U,Schedule!$S:$S,$A60)+sumifs(Schedule!$X:$X,Schedule!$V:$V,$A60)+sumifs(Schedule!$AA:$AA,Schedule!$Y:$Y,$A60)+sumifs(Schedule!$AD:$AD,Schedule!$AB:$AB,$A60)+sumifs(Schedule!$AG:$AG,Schedule!$AE:$AE,$A60)+sumifs(Schedule!$AJ:$AJ,Schedule!$AH:$AH,$A60)+sumifs(Schedule!$AM:$AM,Schedule!$AK:$AK,$A60))</f>
        <v>20</v>
      </c>
      <c r="K60" s="319">
        <f t="shared" si="2"/>
        <v>0</v>
      </c>
      <c r="L60" s="320">
        <f>if(A60="","",countifs(Schedule!P$1:AK100,A60))</f>
        <v>1</v>
      </c>
    </row>
    <row r="61">
      <c r="A61" s="322" t="str">
        <f>IFERROR(__xludf.DUMMYFUNCTION("""COMPUTED_VALUE"""),"Physics")</f>
        <v>Physics</v>
      </c>
      <c r="B61" s="323" t="s">
        <v>680</v>
      </c>
      <c r="C61" s="317">
        <v>5.0</v>
      </c>
      <c r="D61" s="318">
        <v>22.4</v>
      </c>
      <c r="E61" s="255">
        <f>if($A61="","",COUNTIFS(Students!$A:$A,E$1,Students!$D:$D,$A61)+COUNTIFS(Students!$A:$A,E$1,Students!$F:$F,$A61)+COUNTIFS(Students!$A:$A,E$1,Students!$H:$H,$A61)+COUNTIFS(Students!$A:$A,E$1,Students!$J:$J,$A61)+COUNTIFS(Students!$A:$A,E$1,Students!$L:$L,$A61)+COUNTIFS(Students!$A:$A,E$1,Students!$N:$N,$A61)+COUNTIFS(Students!$A:$A,E$1,Students!$P:$P,$A61)+COUNTIFS(Students!$A:$A,E$1,Students!$R:$R,$A61)+COUNTIFS(Students!$A:$A,E$1,Students!$T:$T,$A61)+COUNTIFS(Students!$A:$A,E$1,Students!$V:$V,$A61))</f>
        <v>0</v>
      </c>
      <c r="F61" s="255">
        <f>if($A61="","",COUNTIFS(Students!$A:$A,F$1,Students!$D:$D,$A61)+COUNTIFS(Students!$A:$A,F$1,Students!$F:$F,$A61)+COUNTIFS(Students!$A:$A,F$1,Students!$H:$H,$A61)+COUNTIFS(Students!$A:$A,F$1,Students!$J:$J,$A61)+COUNTIFS(Students!$A:$A,F$1,Students!$L:$L,$A61)+COUNTIFS(Students!$A:$A,F$1,Students!$N:$N,$A61)+COUNTIFS(Students!$A:$A,F$1,Students!$P:$P,$A61)+COUNTIFS(Students!$A:$A,F$1,Students!$R:$R,$A61)+COUNTIFS(Students!$A:$A,F$1,Students!$T:$T,$A61)+COUNTIFS(Students!$A:$A,F$1,Students!$V:$V,$A61))</f>
        <v>0</v>
      </c>
      <c r="G61" s="255">
        <f>if($A61="","",COUNTIFS(Students!$A:$A,G$1,Students!$D:$D,$A61)+COUNTIFS(Students!$A:$A,G$1,Students!$F:$F,$A61)+COUNTIFS(Students!$A:$A,G$1,Students!$H:$H,$A61)+COUNTIFS(Students!$A:$A,G$1,Students!$J:$J,$A61)+COUNTIFS(Students!$A:$A,G$1,Students!$L:$L,$A61)+COUNTIFS(Students!$A:$A,G$1,Students!$N:$N,$A61)+COUNTIFS(Students!$A:$A,G$1,Students!$P:$P,$A61)+COUNTIFS(Students!$A:$A,G$1,Students!$R:$R,$A61)+COUNTIFS(Students!$A:$A,G$1,Students!$T:$T,$A61)+COUNTIFS(Students!$A:$A,G$1,Students!$V:$V,$A61))</f>
        <v>110</v>
      </c>
      <c r="H61" s="255">
        <f>if($A61="","",COUNTIFS(Students!$A:$A,H$1,Students!$D:$D,$A61)+COUNTIFS(Students!$A:$A,H$1,Students!$F:$F,$A61)+COUNTIFS(Students!$A:$A,H$1,Students!$H:$H,$A61)+COUNTIFS(Students!$A:$A,H$1,Students!$J:$J,$A61)+COUNTIFS(Students!$A:$A,H$1,Students!$L:$L,$A61)+COUNTIFS(Students!$A:$A,H$1,Students!$N:$N,$A61)+COUNTIFS(Students!$A:$A,H$1,Students!$P:$P,$A61)+COUNTIFS(Students!$A:$A,H$1,Students!$R:$R,$A61)+COUNTIFS(Students!$A:$A,H$1,Students!$T:$T,$A61)+COUNTIFS(Students!$A:$A,H$1,Students!$V:$V,$A61))</f>
        <v>2</v>
      </c>
      <c r="I61" s="319">
        <f t="shared" si="1"/>
        <v>112</v>
      </c>
      <c r="J61" s="319">
        <f>if($A61="","",sumifs(Schedule!$R:$R,Schedule!$P:$P,$A61)+sumifs(Schedule!$U:$U,Schedule!$S:$S,$A61)+sumifs(Schedule!$X:$X,Schedule!$V:$V,$A61)+sumifs(Schedule!$AA:$AA,Schedule!$Y:$Y,$A61)+sumifs(Schedule!$AD:$AD,Schedule!$AB:$AB,$A61)+sumifs(Schedule!$AG:$AG,Schedule!$AE:$AE,$A61)+sumifs(Schedule!$AJ:$AJ,Schedule!$AH:$AH,$A61)+sumifs(Schedule!$AM:$AM,Schedule!$AK:$AK,$A61))</f>
        <v>112</v>
      </c>
      <c r="K61" s="319">
        <f t="shared" si="2"/>
        <v>0</v>
      </c>
      <c r="L61" s="320">
        <f>if(A61="","",countifs(Schedule!P$1:AK100,A61))</f>
        <v>5</v>
      </c>
    </row>
    <row r="62">
      <c r="A62" s="322" t="str">
        <f>IFERROR(__xludf.DUMMYFUNCTION("""COMPUTED_VALUE"""),"Sculpture I")</f>
        <v>Sculpture I</v>
      </c>
      <c r="B62" s="323" t="s">
        <v>680</v>
      </c>
      <c r="C62" s="317">
        <v>2.0</v>
      </c>
      <c r="D62" s="318">
        <v>19.0</v>
      </c>
      <c r="E62" s="255">
        <f>if($A62="","",COUNTIFS(Students!$A:$A,E$1,Students!$D:$D,$A62)+COUNTIFS(Students!$A:$A,E$1,Students!$F:$F,$A62)+COUNTIFS(Students!$A:$A,E$1,Students!$H:$H,$A62)+COUNTIFS(Students!$A:$A,E$1,Students!$J:$J,$A62)+COUNTIFS(Students!$A:$A,E$1,Students!$L:$L,$A62)+COUNTIFS(Students!$A:$A,E$1,Students!$N:$N,$A62)+COUNTIFS(Students!$A:$A,E$1,Students!$P:$P,$A62)+COUNTIFS(Students!$A:$A,E$1,Students!$R:$R,$A62)+COUNTIFS(Students!$A:$A,E$1,Students!$T:$T,$A62)+COUNTIFS(Students!$A:$A,E$1,Students!$V:$V,$A62))</f>
        <v>28</v>
      </c>
      <c r="F62" s="255">
        <f>if($A62="","",COUNTIFS(Students!$A:$A,F$1,Students!$D:$D,$A62)+COUNTIFS(Students!$A:$A,F$1,Students!$F:$F,$A62)+COUNTIFS(Students!$A:$A,F$1,Students!$H:$H,$A62)+COUNTIFS(Students!$A:$A,F$1,Students!$J:$J,$A62)+COUNTIFS(Students!$A:$A,F$1,Students!$L:$L,$A62)+COUNTIFS(Students!$A:$A,F$1,Students!$N:$N,$A62)+COUNTIFS(Students!$A:$A,F$1,Students!$P:$P,$A62)+COUNTIFS(Students!$A:$A,F$1,Students!$R:$R,$A62)+COUNTIFS(Students!$A:$A,F$1,Students!$T:$T,$A62)+COUNTIFS(Students!$A:$A,F$1,Students!$V:$V,$A62))</f>
        <v>6</v>
      </c>
      <c r="G62" s="255">
        <f>if($A62="","",COUNTIFS(Students!$A:$A,G$1,Students!$D:$D,$A62)+COUNTIFS(Students!$A:$A,G$1,Students!$F:$F,$A62)+COUNTIFS(Students!$A:$A,G$1,Students!$H:$H,$A62)+COUNTIFS(Students!$A:$A,G$1,Students!$J:$J,$A62)+COUNTIFS(Students!$A:$A,G$1,Students!$L:$L,$A62)+COUNTIFS(Students!$A:$A,G$1,Students!$N:$N,$A62)+COUNTIFS(Students!$A:$A,G$1,Students!$P:$P,$A62)+COUNTIFS(Students!$A:$A,G$1,Students!$R:$R,$A62)+COUNTIFS(Students!$A:$A,G$1,Students!$T:$T,$A62)+COUNTIFS(Students!$A:$A,G$1,Students!$V:$V,$A62))</f>
        <v>3</v>
      </c>
      <c r="H62" s="255">
        <f>if($A62="","",COUNTIFS(Students!$A:$A,H$1,Students!$D:$D,$A62)+COUNTIFS(Students!$A:$A,H$1,Students!$F:$F,$A62)+COUNTIFS(Students!$A:$A,H$1,Students!$H:$H,$A62)+COUNTIFS(Students!$A:$A,H$1,Students!$J:$J,$A62)+COUNTIFS(Students!$A:$A,H$1,Students!$L:$L,$A62)+COUNTIFS(Students!$A:$A,H$1,Students!$N:$N,$A62)+COUNTIFS(Students!$A:$A,H$1,Students!$P:$P,$A62)+COUNTIFS(Students!$A:$A,H$1,Students!$R:$R,$A62)+COUNTIFS(Students!$A:$A,H$1,Students!$T:$T,$A62)+COUNTIFS(Students!$A:$A,H$1,Students!$V:$V,$A62))</f>
        <v>1</v>
      </c>
      <c r="I62" s="319">
        <f t="shared" si="1"/>
        <v>38</v>
      </c>
      <c r="J62" s="319">
        <f>if($A62="","",sumifs(Schedule!$R:$R,Schedule!$P:$P,$A62)+sumifs(Schedule!$U:$U,Schedule!$S:$S,$A62)+sumifs(Schedule!$X:$X,Schedule!$V:$V,$A62)+sumifs(Schedule!$AA:$AA,Schedule!$Y:$Y,$A62)+sumifs(Schedule!$AD:$AD,Schedule!$AB:$AB,$A62)+sumifs(Schedule!$AG:$AG,Schedule!$AE:$AE,$A62)+sumifs(Schedule!$AJ:$AJ,Schedule!$AH:$AH,$A62)+sumifs(Schedule!$AM:$AM,Schedule!$AK:$AK,$A62))</f>
        <v>38</v>
      </c>
      <c r="K62" s="319">
        <f t="shared" si="2"/>
        <v>0</v>
      </c>
      <c r="L62" s="320">
        <f>if(A62="","",countifs(Schedule!P$1:AK100,A62))</f>
        <v>2</v>
      </c>
    </row>
    <row r="63">
      <c r="A63" s="322" t="str">
        <f>IFERROR(__xludf.DUMMYFUNCTION("""COMPUTED_VALUE"""),"Social Studies 9")</f>
        <v>Social Studies 9</v>
      </c>
      <c r="B63" s="323" t="s">
        <v>680</v>
      </c>
      <c r="C63" s="317">
        <v>6.0</v>
      </c>
      <c r="D63" s="318">
        <v>21.833333333333332</v>
      </c>
      <c r="E63" s="255">
        <f>if($A63="","",COUNTIFS(Students!$A:$A,E$1,Students!$D:$D,$A63)+COUNTIFS(Students!$A:$A,E$1,Students!$F:$F,$A63)+COUNTIFS(Students!$A:$A,E$1,Students!$H:$H,$A63)+COUNTIFS(Students!$A:$A,E$1,Students!$J:$J,$A63)+COUNTIFS(Students!$A:$A,E$1,Students!$L:$L,$A63)+COUNTIFS(Students!$A:$A,E$1,Students!$N:$N,$A63)+COUNTIFS(Students!$A:$A,E$1,Students!$P:$P,$A63)+COUNTIFS(Students!$A:$A,E$1,Students!$R:$R,$A63)+COUNTIFS(Students!$A:$A,E$1,Students!$T:$T,$A63)+COUNTIFS(Students!$A:$A,E$1,Students!$V:$V,$A63))</f>
        <v>131</v>
      </c>
      <c r="F63" s="255">
        <f>if($A63="","",COUNTIFS(Students!$A:$A,F$1,Students!$D:$D,$A63)+COUNTIFS(Students!$A:$A,F$1,Students!$F:$F,$A63)+COUNTIFS(Students!$A:$A,F$1,Students!$H:$H,$A63)+COUNTIFS(Students!$A:$A,F$1,Students!$J:$J,$A63)+COUNTIFS(Students!$A:$A,F$1,Students!$L:$L,$A63)+COUNTIFS(Students!$A:$A,F$1,Students!$N:$N,$A63)+COUNTIFS(Students!$A:$A,F$1,Students!$P:$P,$A63)+COUNTIFS(Students!$A:$A,F$1,Students!$R:$R,$A63)+COUNTIFS(Students!$A:$A,F$1,Students!$T:$T,$A63)+COUNTIFS(Students!$A:$A,F$1,Students!$V:$V,$A63))</f>
        <v>0</v>
      </c>
      <c r="G63" s="255">
        <f>if($A63="","",COUNTIFS(Students!$A:$A,G$1,Students!$D:$D,$A63)+COUNTIFS(Students!$A:$A,G$1,Students!$F:$F,$A63)+COUNTIFS(Students!$A:$A,G$1,Students!$H:$H,$A63)+COUNTIFS(Students!$A:$A,G$1,Students!$J:$J,$A63)+COUNTIFS(Students!$A:$A,G$1,Students!$L:$L,$A63)+COUNTIFS(Students!$A:$A,G$1,Students!$N:$N,$A63)+COUNTIFS(Students!$A:$A,G$1,Students!$P:$P,$A63)+COUNTIFS(Students!$A:$A,G$1,Students!$R:$R,$A63)+COUNTIFS(Students!$A:$A,G$1,Students!$T:$T,$A63)+COUNTIFS(Students!$A:$A,G$1,Students!$V:$V,$A63))</f>
        <v>0</v>
      </c>
      <c r="H63" s="255">
        <f>if($A63="","",COUNTIFS(Students!$A:$A,H$1,Students!$D:$D,$A63)+COUNTIFS(Students!$A:$A,H$1,Students!$F:$F,$A63)+COUNTIFS(Students!$A:$A,H$1,Students!$H:$H,$A63)+COUNTIFS(Students!$A:$A,H$1,Students!$J:$J,$A63)+COUNTIFS(Students!$A:$A,H$1,Students!$L:$L,$A63)+COUNTIFS(Students!$A:$A,H$1,Students!$N:$N,$A63)+COUNTIFS(Students!$A:$A,H$1,Students!$P:$P,$A63)+COUNTIFS(Students!$A:$A,H$1,Students!$R:$R,$A63)+COUNTIFS(Students!$A:$A,H$1,Students!$T:$T,$A63)+COUNTIFS(Students!$A:$A,H$1,Students!$V:$V,$A63))</f>
        <v>0</v>
      </c>
      <c r="I63" s="319">
        <f t="shared" si="1"/>
        <v>131</v>
      </c>
      <c r="J63" s="319">
        <f>if($A63="","",sumifs(Schedule!$R:$R,Schedule!$P:$P,$A63)+sumifs(Schedule!$U:$U,Schedule!$S:$S,$A63)+sumifs(Schedule!$X:$X,Schedule!$V:$V,$A63)+sumifs(Schedule!$AA:$AA,Schedule!$Y:$Y,$A63)+sumifs(Schedule!$AD:$AD,Schedule!$AB:$AB,$A63)+sumifs(Schedule!$AG:$AG,Schedule!$AE:$AE,$A63)+sumifs(Schedule!$AJ:$AJ,Schedule!$AH:$AH,$A63)+sumifs(Schedule!$AM:$AM,Schedule!$AK:$AK,$A63))</f>
        <v>131</v>
      </c>
      <c r="K63" s="319">
        <f t="shared" si="2"/>
        <v>0</v>
      </c>
      <c r="L63" s="320">
        <f>if(A63="","",countifs(Schedule!P$1:AK100,A63))</f>
        <v>6</v>
      </c>
    </row>
    <row r="64">
      <c r="A64" s="322" t="str">
        <f>IFERROR(__xludf.DUMMYFUNCTION("""COMPUTED_VALUE"""),"Sociales 10")</f>
        <v>Sociales 10</v>
      </c>
      <c r="B64" s="323" t="s">
        <v>680</v>
      </c>
      <c r="C64" s="317">
        <v>7.0</v>
      </c>
      <c r="D64" s="318">
        <v>19.428571428571427</v>
      </c>
      <c r="E64" s="255">
        <f>if($A64="","",COUNTIFS(Students!$A:$A,E$1,Students!$D:$D,$A64)+COUNTIFS(Students!$A:$A,E$1,Students!$F:$F,$A64)+COUNTIFS(Students!$A:$A,E$1,Students!$H:$H,$A64)+COUNTIFS(Students!$A:$A,E$1,Students!$J:$J,$A64)+COUNTIFS(Students!$A:$A,E$1,Students!$L:$L,$A64)+COUNTIFS(Students!$A:$A,E$1,Students!$N:$N,$A64)+COUNTIFS(Students!$A:$A,E$1,Students!$P:$P,$A64)+COUNTIFS(Students!$A:$A,E$1,Students!$R:$R,$A64)+COUNTIFS(Students!$A:$A,E$1,Students!$T:$T,$A64)+COUNTIFS(Students!$A:$A,E$1,Students!$V:$V,$A64))</f>
        <v>0</v>
      </c>
      <c r="F64" s="255">
        <f>if($A64="","",COUNTIFS(Students!$A:$A,F$1,Students!$D:$D,$A64)+COUNTIFS(Students!$A:$A,F$1,Students!$F:$F,$A64)+COUNTIFS(Students!$A:$A,F$1,Students!$H:$H,$A64)+COUNTIFS(Students!$A:$A,F$1,Students!$J:$J,$A64)+COUNTIFS(Students!$A:$A,F$1,Students!$L:$L,$A64)+COUNTIFS(Students!$A:$A,F$1,Students!$N:$N,$A64)+COUNTIFS(Students!$A:$A,F$1,Students!$P:$P,$A64)+COUNTIFS(Students!$A:$A,F$1,Students!$R:$R,$A64)+COUNTIFS(Students!$A:$A,F$1,Students!$T:$T,$A64)+COUNTIFS(Students!$A:$A,F$1,Students!$V:$V,$A64))</f>
        <v>134</v>
      </c>
      <c r="G64" s="255">
        <f>if($A64="","",COUNTIFS(Students!$A:$A,G$1,Students!$D:$D,$A64)+COUNTIFS(Students!$A:$A,G$1,Students!$F:$F,$A64)+COUNTIFS(Students!$A:$A,G$1,Students!$H:$H,$A64)+COUNTIFS(Students!$A:$A,G$1,Students!$J:$J,$A64)+COUNTIFS(Students!$A:$A,G$1,Students!$L:$L,$A64)+COUNTIFS(Students!$A:$A,G$1,Students!$N:$N,$A64)+COUNTIFS(Students!$A:$A,G$1,Students!$P:$P,$A64)+COUNTIFS(Students!$A:$A,G$1,Students!$R:$R,$A64)+COUNTIFS(Students!$A:$A,G$1,Students!$T:$T,$A64)+COUNTIFS(Students!$A:$A,G$1,Students!$V:$V,$A64))</f>
        <v>0</v>
      </c>
      <c r="H64" s="255">
        <f>if($A64="","",COUNTIFS(Students!$A:$A,H$1,Students!$D:$D,$A64)+COUNTIFS(Students!$A:$A,H$1,Students!$F:$F,$A64)+COUNTIFS(Students!$A:$A,H$1,Students!$H:$H,$A64)+COUNTIFS(Students!$A:$A,H$1,Students!$J:$J,$A64)+COUNTIFS(Students!$A:$A,H$1,Students!$L:$L,$A64)+COUNTIFS(Students!$A:$A,H$1,Students!$N:$N,$A64)+COUNTIFS(Students!$A:$A,H$1,Students!$P:$P,$A64)+COUNTIFS(Students!$A:$A,H$1,Students!$R:$R,$A64)+COUNTIFS(Students!$A:$A,H$1,Students!$T:$T,$A64)+COUNTIFS(Students!$A:$A,H$1,Students!$V:$V,$A64))</f>
        <v>2</v>
      </c>
      <c r="I64" s="319">
        <f t="shared" si="1"/>
        <v>136</v>
      </c>
      <c r="J64" s="319">
        <f>if($A64="","",sumifs(Schedule!$R:$R,Schedule!$P:$P,$A64)+sumifs(Schedule!$U:$U,Schedule!$S:$S,$A64)+sumifs(Schedule!$X:$X,Schedule!$V:$V,$A64)+sumifs(Schedule!$AA:$AA,Schedule!$Y:$Y,$A64)+sumifs(Schedule!$AD:$AD,Schedule!$AB:$AB,$A64)+sumifs(Schedule!$AG:$AG,Schedule!$AE:$AE,$A64)+sumifs(Schedule!$AJ:$AJ,Schedule!$AH:$AH,$A64)+sumifs(Schedule!$AM:$AM,Schedule!$AK:$AK,$A64))</f>
        <v>136</v>
      </c>
      <c r="K64" s="319">
        <f t="shared" si="2"/>
        <v>0</v>
      </c>
      <c r="L64" s="320">
        <f>if(A64="","",countifs(Schedule!P$1:AK100,A64))</f>
        <v>7</v>
      </c>
    </row>
    <row r="65">
      <c r="A65" s="322" t="str">
        <f>IFERROR(__xludf.DUMMYFUNCTION("""COMPUTED_VALUE"""),"Spanish and Literature 11")</f>
        <v>Spanish and Literature 11</v>
      </c>
      <c r="B65" s="323" t="s">
        <v>680</v>
      </c>
      <c r="C65" s="317">
        <v>5.0</v>
      </c>
      <c r="D65" s="318">
        <v>17.6</v>
      </c>
      <c r="E65" s="255">
        <f>if($A65="","",COUNTIFS(Students!$A:$A,E$1,Students!$D:$D,$A65)+COUNTIFS(Students!$A:$A,E$1,Students!$F:$F,$A65)+COUNTIFS(Students!$A:$A,E$1,Students!$H:$H,$A65)+COUNTIFS(Students!$A:$A,E$1,Students!$J:$J,$A65)+COUNTIFS(Students!$A:$A,E$1,Students!$L:$L,$A65)+COUNTIFS(Students!$A:$A,E$1,Students!$N:$N,$A65)+COUNTIFS(Students!$A:$A,E$1,Students!$P:$P,$A65)+COUNTIFS(Students!$A:$A,E$1,Students!$R:$R,$A65)+COUNTIFS(Students!$A:$A,E$1,Students!$T:$T,$A65)+COUNTIFS(Students!$A:$A,E$1,Students!$V:$V,$A65))</f>
        <v>0</v>
      </c>
      <c r="F65" s="255">
        <f>if($A65="","",COUNTIFS(Students!$A:$A,F$1,Students!$D:$D,$A65)+COUNTIFS(Students!$A:$A,F$1,Students!$F:$F,$A65)+COUNTIFS(Students!$A:$A,F$1,Students!$H:$H,$A65)+COUNTIFS(Students!$A:$A,F$1,Students!$J:$J,$A65)+COUNTIFS(Students!$A:$A,F$1,Students!$L:$L,$A65)+COUNTIFS(Students!$A:$A,F$1,Students!$N:$N,$A65)+COUNTIFS(Students!$A:$A,F$1,Students!$P:$P,$A65)+COUNTIFS(Students!$A:$A,F$1,Students!$R:$R,$A65)+COUNTIFS(Students!$A:$A,F$1,Students!$T:$T,$A65)+COUNTIFS(Students!$A:$A,F$1,Students!$V:$V,$A65))</f>
        <v>0</v>
      </c>
      <c r="G65" s="255">
        <f>if($A65="","",COUNTIFS(Students!$A:$A,G$1,Students!$D:$D,$A65)+COUNTIFS(Students!$A:$A,G$1,Students!$F:$F,$A65)+COUNTIFS(Students!$A:$A,G$1,Students!$H:$H,$A65)+COUNTIFS(Students!$A:$A,G$1,Students!$J:$J,$A65)+COUNTIFS(Students!$A:$A,G$1,Students!$L:$L,$A65)+COUNTIFS(Students!$A:$A,G$1,Students!$N:$N,$A65)+COUNTIFS(Students!$A:$A,G$1,Students!$P:$P,$A65)+COUNTIFS(Students!$A:$A,G$1,Students!$R:$R,$A65)+COUNTIFS(Students!$A:$A,G$1,Students!$T:$T,$A65)+COUNTIFS(Students!$A:$A,G$1,Students!$V:$V,$A65))</f>
        <v>88</v>
      </c>
      <c r="H65" s="255">
        <f>if($A65="","",COUNTIFS(Students!$A:$A,H$1,Students!$D:$D,$A65)+COUNTIFS(Students!$A:$A,H$1,Students!$F:$F,$A65)+COUNTIFS(Students!$A:$A,H$1,Students!$H:$H,$A65)+COUNTIFS(Students!$A:$A,H$1,Students!$J:$J,$A65)+COUNTIFS(Students!$A:$A,H$1,Students!$L:$L,$A65)+COUNTIFS(Students!$A:$A,H$1,Students!$N:$N,$A65)+COUNTIFS(Students!$A:$A,H$1,Students!$P:$P,$A65)+COUNTIFS(Students!$A:$A,H$1,Students!$R:$R,$A65)+COUNTIFS(Students!$A:$A,H$1,Students!$T:$T,$A65)+COUNTIFS(Students!$A:$A,H$1,Students!$V:$V,$A65))</f>
        <v>0</v>
      </c>
      <c r="I65" s="319">
        <f t="shared" si="1"/>
        <v>88</v>
      </c>
      <c r="J65" s="319">
        <f>if($A65="","",sumifs(Schedule!$R:$R,Schedule!$P:$P,$A65)+sumifs(Schedule!$U:$U,Schedule!$S:$S,$A65)+sumifs(Schedule!$X:$X,Schedule!$V:$V,$A65)+sumifs(Schedule!$AA:$AA,Schedule!$Y:$Y,$A65)+sumifs(Schedule!$AD:$AD,Schedule!$AB:$AB,$A65)+sumifs(Schedule!$AG:$AG,Schedule!$AE:$AE,$A65)+sumifs(Schedule!$AJ:$AJ,Schedule!$AH:$AH,$A65)+sumifs(Schedule!$AM:$AM,Schedule!$AK:$AK,$A65))</f>
        <v>88</v>
      </c>
      <c r="K65" s="319">
        <f t="shared" si="2"/>
        <v>0</v>
      </c>
      <c r="L65" s="320">
        <f>if(A65="","",countifs(Schedule!P$1:AK100,A65))</f>
        <v>5</v>
      </c>
    </row>
    <row r="66">
      <c r="A66" s="322" t="str">
        <f>IFERROR(__xludf.DUMMYFUNCTION("""COMPUTED_VALUE"""),"Spanish and Literature 12")</f>
        <v>Spanish and Literature 12</v>
      </c>
      <c r="B66" s="323" t="s">
        <v>680</v>
      </c>
      <c r="C66" s="317">
        <v>5.0</v>
      </c>
      <c r="D66" s="318">
        <v>22.6</v>
      </c>
      <c r="E66" s="255">
        <f>if($A66="","",COUNTIFS(Students!$A:$A,E$1,Students!$D:$D,$A66)+COUNTIFS(Students!$A:$A,E$1,Students!$F:$F,$A66)+COUNTIFS(Students!$A:$A,E$1,Students!$H:$H,$A66)+COUNTIFS(Students!$A:$A,E$1,Students!$J:$J,$A66)+COUNTIFS(Students!$A:$A,E$1,Students!$L:$L,$A66)+COUNTIFS(Students!$A:$A,E$1,Students!$N:$N,$A66)+COUNTIFS(Students!$A:$A,E$1,Students!$P:$P,$A66)+COUNTIFS(Students!$A:$A,E$1,Students!$R:$R,$A66)+COUNTIFS(Students!$A:$A,E$1,Students!$T:$T,$A66)+COUNTIFS(Students!$A:$A,E$1,Students!$V:$V,$A66))</f>
        <v>0</v>
      </c>
      <c r="F66" s="255">
        <f>if($A66="","",COUNTIFS(Students!$A:$A,F$1,Students!$D:$D,$A66)+COUNTIFS(Students!$A:$A,F$1,Students!$F:$F,$A66)+COUNTIFS(Students!$A:$A,F$1,Students!$H:$H,$A66)+COUNTIFS(Students!$A:$A,F$1,Students!$J:$J,$A66)+COUNTIFS(Students!$A:$A,F$1,Students!$L:$L,$A66)+COUNTIFS(Students!$A:$A,F$1,Students!$N:$N,$A66)+COUNTIFS(Students!$A:$A,F$1,Students!$P:$P,$A66)+COUNTIFS(Students!$A:$A,F$1,Students!$R:$R,$A66)+COUNTIFS(Students!$A:$A,F$1,Students!$T:$T,$A66)+COUNTIFS(Students!$A:$A,F$1,Students!$V:$V,$A66))</f>
        <v>0</v>
      </c>
      <c r="G66" s="255">
        <f>if($A66="","",COUNTIFS(Students!$A:$A,G$1,Students!$D:$D,$A66)+COUNTIFS(Students!$A:$A,G$1,Students!$F:$F,$A66)+COUNTIFS(Students!$A:$A,G$1,Students!$H:$H,$A66)+COUNTIFS(Students!$A:$A,G$1,Students!$J:$J,$A66)+COUNTIFS(Students!$A:$A,G$1,Students!$L:$L,$A66)+COUNTIFS(Students!$A:$A,G$1,Students!$N:$N,$A66)+COUNTIFS(Students!$A:$A,G$1,Students!$P:$P,$A66)+COUNTIFS(Students!$A:$A,G$1,Students!$R:$R,$A66)+COUNTIFS(Students!$A:$A,G$1,Students!$T:$T,$A66)+COUNTIFS(Students!$A:$A,G$1,Students!$V:$V,$A66))</f>
        <v>0</v>
      </c>
      <c r="H66" s="255">
        <f>if($A66="","",COUNTIFS(Students!$A:$A,H$1,Students!$D:$D,$A66)+COUNTIFS(Students!$A:$A,H$1,Students!$F:$F,$A66)+COUNTIFS(Students!$A:$A,H$1,Students!$H:$H,$A66)+COUNTIFS(Students!$A:$A,H$1,Students!$J:$J,$A66)+COUNTIFS(Students!$A:$A,H$1,Students!$L:$L,$A66)+COUNTIFS(Students!$A:$A,H$1,Students!$N:$N,$A66)+COUNTIFS(Students!$A:$A,H$1,Students!$P:$P,$A66)+COUNTIFS(Students!$A:$A,H$1,Students!$R:$R,$A66)+COUNTIFS(Students!$A:$A,H$1,Students!$T:$T,$A66)+COUNTIFS(Students!$A:$A,H$1,Students!$V:$V,$A66))</f>
        <v>113</v>
      </c>
      <c r="I66" s="319">
        <f t="shared" si="1"/>
        <v>113</v>
      </c>
      <c r="J66" s="319">
        <f>if($A66="","",sumifs(Schedule!$R:$R,Schedule!$P:$P,$A66)+sumifs(Schedule!$U:$U,Schedule!$S:$S,$A66)+sumifs(Schedule!$X:$X,Schedule!$V:$V,$A66)+sumifs(Schedule!$AA:$AA,Schedule!$Y:$Y,$A66)+sumifs(Schedule!$AD:$AD,Schedule!$AB:$AB,$A66)+sumifs(Schedule!$AG:$AG,Schedule!$AE:$AE,$A66)+sumifs(Schedule!$AJ:$AJ,Schedule!$AH:$AH,$A66)+sumifs(Schedule!$AM:$AM,Schedule!$AK:$AK,$A66))</f>
        <v>113</v>
      </c>
      <c r="K66" s="319">
        <f t="shared" si="2"/>
        <v>0</v>
      </c>
      <c r="L66" s="320">
        <f>if(A66="","",countifs(Schedule!P$1:AK100,A66))</f>
        <v>5</v>
      </c>
    </row>
    <row r="67">
      <c r="A67" s="322" t="str">
        <f>IFERROR(__xludf.DUMMYFUNCTION("""COMPUTED_VALUE"""),"Spanish and Literature 9")</f>
        <v>Spanish and Literature 9</v>
      </c>
      <c r="B67" s="323" t="s">
        <v>680</v>
      </c>
      <c r="C67" s="317">
        <v>7.0</v>
      </c>
      <c r="D67" s="318">
        <v>18.571428571428573</v>
      </c>
      <c r="E67" s="255">
        <f>if($A67="","",COUNTIFS(Students!$A:$A,E$1,Students!$D:$D,$A67)+COUNTIFS(Students!$A:$A,E$1,Students!$F:$F,$A67)+COUNTIFS(Students!$A:$A,E$1,Students!$H:$H,$A67)+COUNTIFS(Students!$A:$A,E$1,Students!$J:$J,$A67)+COUNTIFS(Students!$A:$A,E$1,Students!$L:$L,$A67)+COUNTIFS(Students!$A:$A,E$1,Students!$N:$N,$A67)+COUNTIFS(Students!$A:$A,E$1,Students!$P:$P,$A67)+COUNTIFS(Students!$A:$A,E$1,Students!$R:$R,$A67)+COUNTIFS(Students!$A:$A,E$1,Students!$T:$T,$A67)+COUNTIFS(Students!$A:$A,E$1,Students!$V:$V,$A67))</f>
        <v>130</v>
      </c>
      <c r="F67" s="255">
        <f>if($A67="","",COUNTIFS(Students!$A:$A,F$1,Students!$D:$D,$A67)+COUNTIFS(Students!$A:$A,F$1,Students!$F:$F,$A67)+COUNTIFS(Students!$A:$A,F$1,Students!$H:$H,$A67)+COUNTIFS(Students!$A:$A,F$1,Students!$J:$J,$A67)+COUNTIFS(Students!$A:$A,F$1,Students!$L:$L,$A67)+COUNTIFS(Students!$A:$A,F$1,Students!$N:$N,$A67)+COUNTIFS(Students!$A:$A,F$1,Students!$P:$P,$A67)+COUNTIFS(Students!$A:$A,F$1,Students!$R:$R,$A67)+COUNTIFS(Students!$A:$A,F$1,Students!$T:$T,$A67)+COUNTIFS(Students!$A:$A,F$1,Students!$V:$V,$A67))</f>
        <v>0</v>
      </c>
      <c r="G67" s="255">
        <f>if($A67="","",COUNTIFS(Students!$A:$A,G$1,Students!$D:$D,$A67)+COUNTIFS(Students!$A:$A,G$1,Students!$F:$F,$A67)+COUNTIFS(Students!$A:$A,G$1,Students!$H:$H,$A67)+COUNTIFS(Students!$A:$A,G$1,Students!$J:$J,$A67)+COUNTIFS(Students!$A:$A,G$1,Students!$L:$L,$A67)+COUNTIFS(Students!$A:$A,G$1,Students!$N:$N,$A67)+COUNTIFS(Students!$A:$A,G$1,Students!$P:$P,$A67)+COUNTIFS(Students!$A:$A,G$1,Students!$R:$R,$A67)+COUNTIFS(Students!$A:$A,G$1,Students!$T:$T,$A67)+COUNTIFS(Students!$A:$A,G$1,Students!$V:$V,$A67))</f>
        <v>0</v>
      </c>
      <c r="H67" s="255">
        <f>if($A67="","",COUNTIFS(Students!$A:$A,H$1,Students!$D:$D,$A67)+COUNTIFS(Students!$A:$A,H$1,Students!$F:$F,$A67)+COUNTIFS(Students!$A:$A,H$1,Students!$H:$H,$A67)+COUNTIFS(Students!$A:$A,H$1,Students!$J:$J,$A67)+COUNTIFS(Students!$A:$A,H$1,Students!$L:$L,$A67)+COUNTIFS(Students!$A:$A,H$1,Students!$N:$N,$A67)+COUNTIFS(Students!$A:$A,H$1,Students!$P:$P,$A67)+COUNTIFS(Students!$A:$A,H$1,Students!$R:$R,$A67)+COUNTIFS(Students!$A:$A,H$1,Students!$T:$T,$A67)+COUNTIFS(Students!$A:$A,H$1,Students!$V:$V,$A67))</f>
        <v>0</v>
      </c>
      <c r="I67" s="319">
        <f t="shared" si="1"/>
        <v>130</v>
      </c>
      <c r="J67" s="319">
        <f>if($A67="","",sumifs(Schedule!$R:$R,Schedule!$P:$P,$A67)+sumifs(Schedule!$U:$U,Schedule!$S:$S,$A67)+sumifs(Schedule!$X:$X,Schedule!$V:$V,$A67)+sumifs(Schedule!$AA:$AA,Schedule!$Y:$Y,$A67)+sumifs(Schedule!$AD:$AD,Schedule!$AB:$AB,$A67)+sumifs(Schedule!$AG:$AG,Schedule!$AE:$AE,$A67)+sumifs(Schedule!$AJ:$AJ,Schedule!$AH:$AH,$A67)+sumifs(Schedule!$AM:$AM,Schedule!$AK:$AK,$A67))</f>
        <v>130</v>
      </c>
      <c r="K67" s="319">
        <f t="shared" si="2"/>
        <v>0</v>
      </c>
      <c r="L67" s="320">
        <f>if(A67="","",countifs(Schedule!P$1:AK100,A67))</f>
        <v>7</v>
      </c>
    </row>
    <row r="68">
      <c r="A68" s="322" t="str">
        <f>IFERROR(__xludf.DUMMYFUNCTION("""COMPUTED_VALUE"""),"Spanish as a Foreing Language")</f>
        <v>Spanish as a Foreing Language</v>
      </c>
      <c r="B68" s="323" t="s">
        <v>680</v>
      </c>
      <c r="C68" s="317">
        <v>1.0</v>
      </c>
      <c r="D68" s="318">
        <v>5.0</v>
      </c>
      <c r="E68" s="255">
        <f>if($A68="","",COUNTIFS(Students!$A:$A,E$1,Students!$D:$D,$A68)+COUNTIFS(Students!$A:$A,E$1,Students!$F:$F,$A68)+COUNTIFS(Students!$A:$A,E$1,Students!$H:$H,$A68)+COUNTIFS(Students!$A:$A,E$1,Students!$J:$J,$A68)+COUNTIFS(Students!$A:$A,E$1,Students!$L:$L,$A68)+COUNTIFS(Students!$A:$A,E$1,Students!$N:$N,$A68)+COUNTIFS(Students!$A:$A,E$1,Students!$P:$P,$A68)+COUNTIFS(Students!$A:$A,E$1,Students!$R:$R,$A68)+COUNTIFS(Students!$A:$A,E$1,Students!$T:$T,$A68)+COUNTIFS(Students!$A:$A,E$1,Students!$V:$V,$A68))</f>
        <v>1</v>
      </c>
      <c r="F68" s="255">
        <f>if($A68="","",COUNTIFS(Students!$A:$A,F$1,Students!$D:$D,$A68)+COUNTIFS(Students!$A:$A,F$1,Students!$F:$F,$A68)+COUNTIFS(Students!$A:$A,F$1,Students!$H:$H,$A68)+COUNTIFS(Students!$A:$A,F$1,Students!$J:$J,$A68)+COUNTIFS(Students!$A:$A,F$1,Students!$L:$L,$A68)+COUNTIFS(Students!$A:$A,F$1,Students!$N:$N,$A68)+COUNTIFS(Students!$A:$A,F$1,Students!$P:$P,$A68)+COUNTIFS(Students!$A:$A,F$1,Students!$R:$R,$A68)+COUNTIFS(Students!$A:$A,F$1,Students!$T:$T,$A68)+COUNTIFS(Students!$A:$A,F$1,Students!$V:$V,$A68))</f>
        <v>3</v>
      </c>
      <c r="G68" s="255">
        <f>if($A68="","",COUNTIFS(Students!$A:$A,G$1,Students!$D:$D,$A68)+COUNTIFS(Students!$A:$A,G$1,Students!$F:$F,$A68)+COUNTIFS(Students!$A:$A,G$1,Students!$H:$H,$A68)+COUNTIFS(Students!$A:$A,G$1,Students!$J:$J,$A68)+COUNTIFS(Students!$A:$A,G$1,Students!$L:$L,$A68)+COUNTIFS(Students!$A:$A,G$1,Students!$N:$N,$A68)+COUNTIFS(Students!$A:$A,G$1,Students!$P:$P,$A68)+COUNTIFS(Students!$A:$A,G$1,Students!$R:$R,$A68)+COUNTIFS(Students!$A:$A,G$1,Students!$T:$T,$A68)+COUNTIFS(Students!$A:$A,G$1,Students!$V:$V,$A68))</f>
        <v>1</v>
      </c>
      <c r="H68" s="255">
        <f>if($A68="","",COUNTIFS(Students!$A:$A,H$1,Students!$D:$D,$A68)+COUNTIFS(Students!$A:$A,H$1,Students!$F:$F,$A68)+COUNTIFS(Students!$A:$A,H$1,Students!$H:$H,$A68)+COUNTIFS(Students!$A:$A,H$1,Students!$J:$J,$A68)+COUNTIFS(Students!$A:$A,H$1,Students!$L:$L,$A68)+COUNTIFS(Students!$A:$A,H$1,Students!$N:$N,$A68)+COUNTIFS(Students!$A:$A,H$1,Students!$P:$P,$A68)+COUNTIFS(Students!$A:$A,H$1,Students!$R:$R,$A68)+COUNTIFS(Students!$A:$A,H$1,Students!$T:$T,$A68)+COUNTIFS(Students!$A:$A,H$1,Students!$V:$V,$A68))</f>
        <v>0</v>
      </c>
      <c r="I68" s="319">
        <f t="shared" si="1"/>
        <v>5</v>
      </c>
      <c r="J68" s="319">
        <f>if($A68="","",sumifs(Schedule!$R:$R,Schedule!$P:$P,$A68)+sumifs(Schedule!$U:$U,Schedule!$S:$S,$A68)+sumifs(Schedule!$X:$X,Schedule!$V:$V,$A68)+sumifs(Schedule!$AA:$AA,Schedule!$Y:$Y,$A68)+sumifs(Schedule!$AD:$AD,Schedule!$AB:$AB,$A68)+sumifs(Schedule!$AG:$AG,Schedule!$AE:$AE,$A68)+sumifs(Schedule!$AJ:$AJ,Schedule!$AH:$AH,$A68)+sumifs(Schedule!$AM:$AM,Schedule!$AK:$AK,$A68))</f>
        <v>5</v>
      </c>
      <c r="K68" s="319">
        <f t="shared" si="2"/>
        <v>0</v>
      </c>
      <c r="L68" s="320">
        <f>if(A68="","",countifs(Schedule!P$1:AK100,A68))</f>
        <v>1</v>
      </c>
    </row>
    <row r="69">
      <c r="A69" s="322" t="str">
        <f>IFERROR(__xludf.DUMMYFUNCTION("""COMPUTED_VALUE"""),"Spanish Film, Art, and Literature")</f>
        <v>Spanish Film, Art, and Literature</v>
      </c>
      <c r="B69" s="323" t="s">
        <v>680</v>
      </c>
      <c r="C69" s="320">
        <v>2.0</v>
      </c>
      <c r="D69" s="318">
        <v>16.0</v>
      </c>
      <c r="E69" s="255">
        <f>if($A69="","",COUNTIFS(Students!$A:$A,E$1,Students!$D:$D,$A69)+COUNTIFS(Students!$A:$A,E$1,Students!$F:$F,$A69)+COUNTIFS(Students!$A:$A,E$1,Students!$H:$H,$A69)+COUNTIFS(Students!$A:$A,E$1,Students!$J:$J,$A69)+COUNTIFS(Students!$A:$A,E$1,Students!$L:$L,$A69)+COUNTIFS(Students!$A:$A,E$1,Students!$N:$N,$A69)+COUNTIFS(Students!$A:$A,E$1,Students!$P:$P,$A69)+COUNTIFS(Students!$A:$A,E$1,Students!$R:$R,$A69)+COUNTIFS(Students!$A:$A,E$1,Students!$T:$T,$A69)+COUNTIFS(Students!$A:$A,E$1,Students!$V:$V,$A69))</f>
        <v>0</v>
      </c>
      <c r="F69" s="255">
        <f>if($A69="","",COUNTIFS(Students!$A:$A,F$1,Students!$D:$D,$A69)+COUNTIFS(Students!$A:$A,F$1,Students!$F:$F,$A69)+COUNTIFS(Students!$A:$A,F$1,Students!$H:$H,$A69)+COUNTIFS(Students!$A:$A,F$1,Students!$J:$J,$A69)+COUNTIFS(Students!$A:$A,F$1,Students!$L:$L,$A69)+COUNTIFS(Students!$A:$A,F$1,Students!$N:$N,$A69)+COUNTIFS(Students!$A:$A,F$1,Students!$P:$P,$A69)+COUNTIFS(Students!$A:$A,F$1,Students!$R:$R,$A69)+COUNTIFS(Students!$A:$A,F$1,Students!$T:$T,$A69)+COUNTIFS(Students!$A:$A,F$1,Students!$V:$V,$A69))</f>
        <v>8</v>
      </c>
      <c r="G69" s="255">
        <f>if($A69="","",COUNTIFS(Students!$A:$A,G$1,Students!$D:$D,$A69)+COUNTIFS(Students!$A:$A,G$1,Students!$F:$F,$A69)+COUNTIFS(Students!$A:$A,G$1,Students!$H:$H,$A69)+COUNTIFS(Students!$A:$A,G$1,Students!$J:$J,$A69)+COUNTIFS(Students!$A:$A,G$1,Students!$L:$L,$A69)+COUNTIFS(Students!$A:$A,G$1,Students!$N:$N,$A69)+COUNTIFS(Students!$A:$A,G$1,Students!$P:$P,$A69)+COUNTIFS(Students!$A:$A,G$1,Students!$R:$R,$A69)+COUNTIFS(Students!$A:$A,G$1,Students!$T:$T,$A69)+COUNTIFS(Students!$A:$A,G$1,Students!$V:$V,$A69))</f>
        <v>24</v>
      </c>
      <c r="H69" s="255">
        <f>if($A69="","",COUNTIFS(Students!$A:$A,H$1,Students!$D:$D,$A69)+COUNTIFS(Students!$A:$A,H$1,Students!$F:$F,$A69)+COUNTIFS(Students!$A:$A,H$1,Students!$H:$H,$A69)+COUNTIFS(Students!$A:$A,H$1,Students!$J:$J,$A69)+COUNTIFS(Students!$A:$A,H$1,Students!$L:$L,$A69)+COUNTIFS(Students!$A:$A,H$1,Students!$N:$N,$A69)+COUNTIFS(Students!$A:$A,H$1,Students!$P:$P,$A69)+COUNTIFS(Students!$A:$A,H$1,Students!$R:$R,$A69)+COUNTIFS(Students!$A:$A,H$1,Students!$T:$T,$A69)+COUNTIFS(Students!$A:$A,H$1,Students!$V:$V,$A69))</f>
        <v>0</v>
      </c>
      <c r="I69" s="319">
        <f t="shared" si="1"/>
        <v>32</v>
      </c>
      <c r="J69" s="319">
        <f>if($A69="","",sumifs(Schedule!$R:$R,Schedule!$P:$P,$A69)+sumifs(Schedule!$U:$U,Schedule!$S:$S,$A69)+sumifs(Schedule!$X:$X,Schedule!$V:$V,$A69)+sumifs(Schedule!$AA:$AA,Schedule!$Y:$Y,$A69)+sumifs(Schedule!$AD:$AD,Schedule!$AB:$AB,$A69)+sumifs(Schedule!$AG:$AG,Schedule!$AE:$AE,$A69)+sumifs(Schedule!$AJ:$AJ,Schedule!$AH:$AH,$A69)+sumifs(Schedule!$AM:$AM,Schedule!$AK:$AK,$A69))</f>
        <v>32</v>
      </c>
      <c r="K69" s="319">
        <f t="shared" si="2"/>
        <v>0</v>
      </c>
      <c r="L69" s="320">
        <v>3.0</v>
      </c>
    </row>
    <row r="70">
      <c r="A70" s="322" t="str">
        <f>IFERROR(__xludf.DUMMYFUNCTION("""COMPUTED_VALUE"""),"Technology 9")</f>
        <v>Technology 9</v>
      </c>
      <c r="B70" s="323" t="s">
        <v>680</v>
      </c>
      <c r="C70" s="317">
        <v>3.0</v>
      </c>
      <c r="D70" s="318">
        <v>16.333333333333332</v>
      </c>
      <c r="E70" s="255">
        <f>if($A70="","",COUNTIFS(Students!$A:$A,E$1,Students!$D:$D,$A70)+COUNTIFS(Students!$A:$A,E$1,Students!$F:$F,$A70)+COUNTIFS(Students!$A:$A,E$1,Students!$H:$H,$A70)+COUNTIFS(Students!$A:$A,E$1,Students!$J:$J,$A70)+COUNTIFS(Students!$A:$A,E$1,Students!$L:$L,$A70)+COUNTIFS(Students!$A:$A,E$1,Students!$N:$N,$A70)+COUNTIFS(Students!$A:$A,E$1,Students!$P:$P,$A70)+COUNTIFS(Students!$A:$A,E$1,Students!$R:$R,$A70)+COUNTIFS(Students!$A:$A,E$1,Students!$T:$T,$A70)+COUNTIFS(Students!$A:$A,E$1,Students!$V:$V,$A70))</f>
        <v>49</v>
      </c>
      <c r="F70" s="255">
        <f>if($A70="","",COUNTIFS(Students!$A:$A,F$1,Students!$D:$D,$A70)+COUNTIFS(Students!$A:$A,F$1,Students!$F:$F,$A70)+COUNTIFS(Students!$A:$A,F$1,Students!$H:$H,$A70)+COUNTIFS(Students!$A:$A,F$1,Students!$J:$J,$A70)+COUNTIFS(Students!$A:$A,F$1,Students!$L:$L,$A70)+COUNTIFS(Students!$A:$A,F$1,Students!$N:$N,$A70)+COUNTIFS(Students!$A:$A,F$1,Students!$P:$P,$A70)+COUNTIFS(Students!$A:$A,F$1,Students!$R:$R,$A70)+COUNTIFS(Students!$A:$A,F$1,Students!$T:$T,$A70)+COUNTIFS(Students!$A:$A,F$1,Students!$V:$V,$A70))</f>
        <v>0</v>
      </c>
      <c r="G70" s="255">
        <f>if($A70="","",COUNTIFS(Students!$A:$A,G$1,Students!$D:$D,$A70)+COUNTIFS(Students!$A:$A,G$1,Students!$F:$F,$A70)+COUNTIFS(Students!$A:$A,G$1,Students!$H:$H,$A70)+COUNTIFS(Students!$A:$A,G$1,Students!$J:$J,$A70)+COUNTIFS(Students!$A:$A,G$1,Students!$L:$L,$A70)+COUNTIFS(Students!$A:$A,G$1,Students!$N:$N,$A70)+COUNTIFS(Students!$A:$A,G$1,Students!$P:$P,$A70)+COUNTIFS(Students!$A:$A,G$1,Students!$R:$R,$A70)+COUNTIFS(Students!$A:$A,G$1,Students!$T:$T,$A70)+COUNTIFS(Students!$A:$A,G$1,Students!$V:$V,$A70))</f>
        <v>0</v>
      </c>
      <c r="H70" s="255">
        <f>if($A70="","",COUNTIFS(Students!$A:$A,H$1,Students!$D:$D,$A70)+COUNTIFS(Students!$A:$A,H$1,Students!$F:$F,$A70)+COUNTIFS(Students!$A:$A,H$1,Students!$H:$H,$A70)+COUNTIFS(Students!$A:$A,H$1,Students!$J:$J,$A70)+COUNTIFS(Students!$A:$A,H$1,Students!$L:$L,$A70)+COUNTIFS(Students!$A:$A,H$1,Students!$N:$N,$A70)+COUNTIFS(Students!$A:$A,H$1,Students!$P:$P,$A70)+COUNTIFS(Students!$A:$A,H$1,Students!$R:$R,$A70)+COUNTIFS(Students!$A:$A,H$1,Students!$T:$T,$A70)+COUNTIFS(Students!$A:$A,H$1,Students!$V:$V,$A70))</f>
        <v>0</v>
      </c>
      <c r="I70" s="319">
        <f t="shared" si="1"/>
        <v>49</v>
      </c>
      <c r="J70" s="319">
        <f>if($A70="","",sumifs(Schedule!$R:$R,Schedule!$P:$P,$A70)+sumifs(Schedule!$U:$U,Schedule!$S:$S,$A70)+sumifs(Schedule!$X:$X,Schedule!$V:$V,$A70)+sumifs(Schedule!$AA:$AA,Schedule!$Y:$Y,$A70)+sumifs(Schedule!$AD:$AD,Schedule!$AB:$AB,$A70)+sumifs(Schedule!$AG:$AG,Schedule!$AE:$AE,$A70)+sumifs(Schedule!$AJ:$AJ,Schedule!$AH:$AH,$A70)+sumifs(Schedule!$AM:$AM,Schedule!$AK:$AK,$A70))</f>
        <v>49</v>
      </c>
      <c r="K70" s="319">
        <f t="shared" si="2"/>
        <v>0</v>
      </c>
      <c r="L70" s="320">
        <f>if(A70="","",countifs(Schedule!P$1:AK100,A70))</f>
        <v>3</v>
      </c>
    </row>
    <row r="71">
      <c r="A71" s="322"/>
      <c r="B71" s="323" t="s">
        <v>22</v>
      </c>
      <c r="C71" s="317" t="s">
        <v>22</v>
      </c>
      <c r="D71" s="318" t="s">
        <v>22</v>
      </c>
      <c r="E71" s="255" t="str">
        <f>if($A71="","",COUNTIFS(Students!$A:$A,E$1,Students!$D:$D,$A71)+COUNTIFS(Students!$A:$A,E$1,Students!$F:$F,$A71)+COUNTIFS(Students!$A:$A,E$1,Students!$H:$H,$A71)+COUNTIFS(Students!$A:$A,E$1,Students!$J:$J,$A71)+COUNTIFS(Students!$A:$A,E$1,Students!$L:$L,$A71)+COUNTIFS(Students!$A:$A,E$1,Students!$N:$N,$A71)+COUNTIFS(Students!$A:$A,E$1,Students!$P:$P,$A71)+COUNTIFS(Students!$A:$A,E$1,Students!$R:$R,$A71)+COUNTIFS(Students!$A:$A,E$1,Students!$T:$T,$A71)+COUNTIFS(Students!$A:$A,E$1,Students!$V:$V,$A71))</f>
        <v/>
      </c>
      <c r="F71" s="255" t="str">
        <f>if($A71="","",COUNTIFS(Students!$A:$A,F$1,Students!$D:$D,$A71)+COUNTIFS(Students!$A:$A,F$1,Students!$F:$F,$A71)+COUNTIFS(Students!$A:$A,F$1,Students!$H:$H,$A71)+COUNTIFS(Students!$A:$A,F$1,Students!$J:$J,$A71)+COUNTIFS(Students!$A:$A,F$1,Students!$L:$L,$A71)+COUNTIFS(Students!$A:$A,F$1,Students!$N:$N,$A71)+COUNTIFS(Students!$A:$A,F$1,Students!$P:$P,$A71)+COUNTIFS(Students!$A:$A,F$1,Students!$R:$R,$A71)+COUNTIFS(Students!$A:$A,F$1,Students!$T:$T,$A71)+COUNTIFS(Students!$A:$A,F$1,Students!$V:$V,$A71))</f>
        <v/>
      </c>
      <c r="G71" s="255" t="str">
        <f>if($A71="","",COUNTIFS(Students!$A:$A,G$1,Students!$D:$D,$A71)+COUNTIFS(Students!$A:$A,G$1,Students!$F:$F,$A71)+COUNTIFS(Students!$A:$A,G$1,Students!$H:$H,$A71)+COUNTIFS(Students!$A:$A,G$1,Students!$J:$J,$A71)+COUNTIFS(Students!$A:$A,G$1,Students!$L:$L,$A71)+COUNTIFS(Students!$A:$A,G$1,Students!$N:$N,$A71)+COUNTIFS(Students!$A:$A,G$1,Students!$P:$P,$A71)+COUNTIFS(Students!$A:$A,G$1,Students!$R:$R,$A71)+COUNTIFS(Students!$A:$A,G$1,Students!$T:$T,$A71)+COUNTIFS(Students!$A:$A,G$1,Students!$V:$V,$A71))</f>
        <v/>
      </c>
      <c r="H71" s="255" t="str">
        <f>if($A71="","",COUNTIFS(Students!$A:$A,H$1,Students!$D:$D,$A71)+COUNTIFS(Students!$A:$A,H$1,Students!$F:$F,$A71)+COUNTIFS(Students!$A:$A,H$1,Students!$H:$H,$A71)+COUNTIFS(Students!$A:$A,H$1,Students!$J:$J,$A71)+COUNTIFS(Students!$A:$A,H$1,Students!$L:$L,$A71)+COUNTIFS(Students!$A:$A,H$1,Students!$N:$N,$A71)+COUNTIFS(Students!$A:$A,H$1,Students!$P:$P,$A71)+COUNTIFS(Students!$A:$A,H$1,Students!$R:$R,$A71)+COUNTIFS(Students!$A:$A,H$1,Students!$T:$T,$A71)+COUNTIFS(Students!$A:$A,H$1,Students!$V:$V,$A71))</f>
        <v/>
      </c>
      <c r="I71" s="319" t="str">
        <f t="shared" si="1"/>
        <v/>
      </c>
      <c r="J71" s="319" t="str">
        <f>if($A71="","",sumifs(Schedule!$R:$R,Schedule!$P:$P,$A71)+sumifs(Schedule!$U:$U,Schedule!$S:$S,$A71)+sumifs(Schedule!$X:$X,Schedule!$V:$V,$A71)+sumifs(Schedule!$AA:$AA,Schedule!$Y:$Y,$A71)+sumifs(Schedule!$AD:$AD,Schedule!$AB:$AB,$A71)+sumifs(Schedule!$AG:$AG,Schedule!$AE:$AE,$A71)+sumifs(Schedule!$AJ:$AJ,Schedule!$AH:$AH,$A71)+sumifs(Schedule!$AM:$AM,Schedule!$AK:$AK,$A71))</f>
        <v/>
      </c>
      <c r="K71" s="319" t="str">
        <f t="shared" si="2"/>
        <v/>
      </c>
      <c r="L71" s="320" t="str">
        <f>if(A71="","",countifs(Schedule!P$1:AK100,A71))</f>
        <v/>
      </c>
    </row>
    <row r="72">
      <c r="A72" s="322"/>
      <c r="B72" s="323" t="s">
        <v>22</v>
      </c>
      <c r="C72" s="317" t="s">
        <v>22</v>
      </c>
      <c r="D72" s="318" t="s">
        <v>22</v>
      </c>
      <c r="E72" s="255" t="str">
        <f>if($A72="","",COUNTIFS(Students!$A:$A,E$1,Students!$D:$D,$A72)+COUNTIFS(Students!$A:$A,E$1,Students!$F:$F,$A72)+COUNTIFS(Students!$A:$A,E$1,Students!$H:$H,$A72)+COUNTIFS(Students!$A:$A,E$1,Students!$J:$J,$A72)+COUNTIFS(Students!$A:$A,E$1,Students!$L:$L,$A72)+COUNTIFS(Students!$A:$A,E$1,Students!$N:$N,$A72)+COUNTIFS(Students!$A:$A,E$1,Students!$P:$P,$A72)+COUNTIFS(Students!$A:$A,E$1,Students!$R:$R,$A72)+COUNTIFS(Students!$A:$A,E$1,Students!$T:$T,$A72)+COUNTIFS(Students!$A:$A,E$1,Students!$V:$V,$A72))</f>
        <v/>
      </c>
      <c r="F72" s="255" t="str">
        <f>if($A72="","",COUNTIFS(Students!$A:$A,F$1,Students!$D:$D,$A72)+COUNTIFS(Students!$A:$A,F$1,Students!$F:$F,$A72)+COUNTIFS(Students!$A:$A,F$1,Students!$H:$H,$A72)+COUNTIFS(Students!$A:$A,F$1,Students!$J:$J,$A72)+COUNTIFS(Students!$A:$A,F$1,Students!$L:$L,$A72)+COUNTIFS(Students!$A:$A,F$1,Students!$N:$N,$A72)+COUNTIFS(Students!$A:$A,F$1,Students!$P:$P,$A72)+COUNTIFS(Students!$A:$A,F$1,Students!$R:$R,$A72)+COUNTIFS(Students!$A:$A,F$1,Students!$T:$T,$A72)+COUNTIFS(Students!$A:$A,F$1,Students!$V:$V,$A72))</f>
        <v/>
      </c>
      <c r="G72" s="255" t="str">
        <f>if($A72="","",COUNTIFS(Students!$A:$A,G$1,Students!$D:$D,$A72)+COUNTIFS(Students!$A:$A,G$1,Students!$F:$F,$A72)+COUNTIFS(Students!$A:$A,G$1,Students!$H:$H,$A72)+COUNTIFS(Students!$A:$A,G$1,Students!$J:$J,$A72)+COUNTIFS(Students!$A:$A,G$1,Students!$L:$L,$A72)+COUNTIFS(Students!$A:$A,G$1,Students!$N:$N,$A72)+COUNTIFS(Students!$A:$A,G$1,Students!$P:$P,$A72)+COUNTIFS(Students!$A:$A,G$1,Students!$R:$R,$A72)+COUNTIFS(Students!$A:$A,G$1,Students!$T:$T,$A72)+COUNTIFS(Students!$A:$A,G$1,Students!$V:$V,$A72))</f>
        <v/>
      </c>
      <c r="H72" s="255" t="str">
        <f>if($A72="","",COUNTIFS(Students!$A:$A,H$1,Students!$D:$D,$A72)+COUNTIFS(Students!$A:$A,H$1,Students!$F:$F,$A72)+COUNTIFS(Students!$A:$A,H$1,Students!$H:$H,$A72)+COUNTIFS(Students!$A:$A,H$1,Students!$J:$J,$A72)+COUNTIFS(Students!$A:$A,H$1,Students!$L:$L,$A72)+COUNTIFS(Students!$A:$A,H$1,Students!$N:$N,$A72)+COUNTIFS(Students!$A:$A,H$1,Students!$P:$P,$A72)+COUNTIFS(Students!$A:$A,H$1,Students!$R:$R,$A72)+COUNTIFS(Students!$A:$A,H$1,Students!$T:$T,$A72)+COUNTIFS(Students!$A:$A,H$1,Students!$V:$V,$A72))</f>
        <v/>
      </c>
      <c r="I72" s="319" t="str">
        <f t="shared" si="1"/>
        <v/>
      </c>
      <c r="J72" s="319" t="str">
        <f>if($A72="","",sumifs(Schedule!$R:$R,Schedule!$P:$P,$A72)+sumifs(Schedule!$U:$U,Schedule!$S:$S,$A72)+sumifs(Schedule!$X:$X,Schedule!$V:$V,$A72)+sumifs(Schedule!$AA:$AA,Schedule!$Y:$Y,$A72)+sumifs(Schedule!$AD:$AD,Schedule!$AB:$AB,$A72)+sumifs(Schedule!$AG:$AG,Schedule!$AE:$AE,$A72)+sumifs(Schedule!$AJ:$AJ,Schedule!$AH:$AH,$A72)+sumifs(Schedule!$AM:$AM,Schedule!$AK:$AK,$A72))</f>
        <v/>
      </c>
      <c r="K72" s="319" t="str">
        <f t="shared" si="2"/>
        <v/>
      </c>
      <c r="L72" s="320" t="str">
        <f>if(A72="","",countifs(Schedule!P$1:AK100,A72))</f>
        <v/>
      </c>
    </row>
    <row r="73">
      <c r="A73" s="322"/>
      <c r="B73" s="323" t="s">
        <v>22</v>
      </c>
      <c r="C73" s="317" t="s">
        <v>22</v>
      </c>
      <c r="D73" s="318" t="s">
        <v>22</v>
      </c>
      <c r="E73" s="255" t="str">
        <f>if($A73="","",COUNTIFS(Students!$A:$A,E$1,Students!$D:$D,$A73)+COUNTIFS(Students!$A:$A,E$1,Students!$F:$F,$A73)+COUNTIFS(Students!$A:$A,E$1,Students!$H:$H,$A73)+COUNTIFS(Students!$A:$A,E$1,Students!$J:$J,$A73)+COUNTIFS(Students!$A:$A,E$1,Students!$L:$L,$A73)+COUNTIFS(Students!$A:$A,E$1,Students!$N:$N,$A73)+COUNTIFS(Students!$A:$A,E$1,Students!$P:$P,$A73)+COUNTIFS(Students!$A:$A,E$1,Students!$R:$R,$A73)+COUNTIFS(Students!$A:$A,E$1,Students!$T:$T,$A73)+COUNTIFS(Students!$A:$A,E$1,Students!$V:$V,$A73))</f>
        <v/>
      </c>
      <c r="F73" s="255" t="str">
        <f>if($A73="","",COUNTIFS(Students!$A:$A,F$1,Students!$D:$D,$A73)+COUNTIFS(Students!$A:$A,F$1,Students!$F:$F,$A73)+COUNTIFS(Students!$A:$A,F$1,Students!$H:$H,$A73)+COUNTIFS(Students!$A:$A,F$1,Students!$J:$J,$A73)+COUNTIFS(Students!$A:$A,F$1,Students!$L:$L,$A73)+COUNTIFS(Students!$A:$A,F$1,Students!$N:$N,$A73)+COUNTIFS(Students!$A:$A,F$1,Students!$P:$P,$A73)+COUNTIFS(Students!$A:$A,F$1,Students!$R:$R,$A73)+COUNTIFS(Students!$A:$A,F$1,Students!$T:$T,$A73)+COUNTIFS(Students!$A:$A,F$1,Students!$V:$V,$A73))</f>
        <v/>
      </c>
      <c r="G73" s="255" t="str">
        <f>if($A73="","",COUNTIFS(Students!$A:$A,G$1,Students!$D:$D,$A73)+COUNTIFS(Students!$A:$A,G$1,Students!$F:$F,$A73)+COUNTIFS(Students!$A:$A,G$1,Students!$H:$H,$A73)+COUNTIFS(Students!$A:$A,G$1,Students!$J:$J,$A73)+COUNTIFS(Students!$A:$A,G$1,Students!$L:$L,$A73)+COUNTIFS(Students!$A:$A,G$1,Students!$N:$N,$A73)+COUNTIFS(Students!$A:$A,G$1,Students!$P:$P,$A73)+COUNTIFS(Students!$A:$A,G$1,Students!$R:$R,$A73)+COUNTIFS(Students!$A:$A,G$1,Students!$T:$T,$A73)+COUNTIFS(Students!$A:$A,G$1,Students!$V:$V,$A73))</f>
        <v/>
      </c>
      <c r="H73" s="255" t="str">
        <f>if($A73="","",COUNTIFS(Students!$A:$A,H$1,Students!$D:$D,$A73)+COUNTIFS(Students!$A:$A,H$1,Students!$F:$F,$A73)+COUNTIFS(Students!$A:$A,H$1,Students!$H:$H,$A73)+COUNTIFS(Students!$A:$A,H$1,Students!$J:$J,$A73)+COUNTIFS(Students!$A:$A,H$1,Students!$L:$L,$A73)+COUNTIFS(Students!$A:$A,H$1,Students!$N:$N,$A73)+COUNTIFS(Students!$A:$A,H$1,Students!$P:$P,$A73)+COUNTIFS(Students!$A:$A,H$1,Students!$R:$R,$A73)+COUNTIFS(Students!$A:$A,H$1,Students!$T:$T,$A73)+COUNTIFS(Students!$A:$A,H$1,Students!$V:$V,$A73))</f>
        <v/>
      </c>
      <c r="I73" s="319" t="str">
        <f t="shared" si="1"/>
        <v/>
      </c>
      <c r="J73" s="319" t="str">
        <f>if($A73="","",sumifs(Schedule!$R:$R,Schedule!$P:$P,$A73)+sumifs(Schedule!$U:$U,Schedule!$S:$S,$A73)+sumifs(Schedule!$X:$X,Schedule!$V:$V,$A73)+sumifs(Schedule!$AA:$AA,Schedule!$Y:$Y,$A73)+sumifs(Schedule!$AD:$AD,Schedule!$AB:$AB,$A73)+sumifs(Schedule!$AG:$AG,Schedule!$AE:$AE,$A73)+sumifs(Schedule!$AJ:$AJ,Schedule!$AH:$AH,$A73)+sumifs(Schedule!$AM:$AM,Schedule!$AK:$AK,$A73))</f>
        <v/>
      </c>
      <c r="K73" s="319" t="str">
        <f t="shared" si="2"/>
        <v/>
      </c>
      <c r="L73" s="320" t="str">
        <f>if(A73="","",countifs(Schedule!P$1:AK100,A73))</f>
        <v/>
      </c>
    </row>
    <row r="74">
      <c r="A74" s="322"/>
      <c r="B74" s="323" t="s">
        <v>22</v>
      </c>
      <c r="C74" s="317" t="s">
        <v>22</v>
      </c>
      <c r="D74" s="318" t="s">
        <v>22</v>
      </c>
      <c r="E74" s="255" t="str">
        <f>if($A74="","",COUNTIFS(Students!$A:$A,E$1,Students!$D:$D,$A74)+COUNTIFS(Students!$A:$A,E$1,Students!$F:$F,$A74)+COUNTIFS(Students!$A:$A,E$1,Students!$H:$H,$A74)+COUNTIFS(Students!$A:$A,E$1,Students!$J:$J,$A74)+COUNTIFS(Students!$A:$A,E$1,Students!$L:$L,$A74)+COUNTIFS(Students!$A:$A,E$1,Students!$N:$N,$A74)+COUNTIFS(Students!$A:$A,E$1,Students!$P:$P,$A74)+COUNTIFS(Students!$A:$A,E$1,Students!$R:$R,$A74)+COUNTIFS(Students!$A:$A,E$1,Students!$T:$T,$A74)+COUNTIFS(Students!$A:$A,E$1,Students!$V:$V,$A74))</f>
        <v/>
      </c>
      <c r="F74" s="255" t="str">
        <f>if($A74="","",COUNTIFS(Students!$A:$A,F$1,Students!$D:$D,$A74)+COUNTIFS(Students!$A:$A,F$1,Students!$F:$F,$A74)+COUNTIFS(Students!$A:$A,F$1,Students!$H:$H,$A74)+COUNTIFS(Students!$A:$A,F$1,Students!$J:$J,$A74)+COUNTIFS(Students!$A:$A,F$1,Students!$L:$L,$A74)+COUNTIFS(Students!$A:$A,F$1,Students!$N:$N,$A74)+COUNTIFS(Students!$A:$A,F$1,Students!$P:$P,$A74)+COUNTIFS(Students!$A:$A,F$1,Students!$R:$R,$A74)+COUNTIFS(Students!$A:$A,F$1,Students!$T:$T,$A74)+COUNTIFS(Students!$A:$A,F$1,Students!$V:$V,$A74))</f>
        <v/>
      </c>
      <c r="G74" s="255" t="str">
        <f>if($A74="","",COUNTIFS(Students!$A:$A,G$1,Students!$D:$D,$A74)+COUNTIFS(Students!$A:$A,G$1,Students!$F:$F,$A74)+COUNTIFS(Students!$A:$A,G$1,Students!$H:$H,$A74)+COUNTIFS(Students!$A:$A,G$1,Students!$J:$J,$A74)+COUNTIFS(Students!$A:$A,G$1,Students!$L:$L,$A74)+COUNTIFS(Students!$A:$A,G$1,Students!$N:$N,$A74)+COUNTIFS(Students!$A:$A,G$1,Students!$P:$P,$A74)+COUNTIFS(Students!$A:$A,G$1,Students!$R:$R,$A74)+COUNTIFS(Students!$A:$A,G$1,Students!$T:$T,$A74)+COUNTIFS(Students!$A:$A,G$1,Students!$V:$V,$A74))</f>
        <v/>
      </c>
      <c r="H74" s="255" t="str">
        <f>if($A74="","",COUNTIFS(Students!$A:$A,H$1,Students!$D:$D,$A74)+COUNTIFS(Students!$A:$A,H$1,Students!$F:$F,$A74)+COUNTIFS(Students!$A:$A,H$1,Students!$H:$H,$A74)+COUNTIFS(Students!$A:$A,H$1,Students!$J:$J,$A74)+COUNTIFS(Students!$A:$A,H$1,Students!$L:$L,$A74)+COUNTIFS(Students!$A:$A,H$1,Students!$N:$N,$A74)+COUNTIFS(Students!$A:$A,H$1,Students!$P:$P,$A74)+COUNTIFS(Students!$A:$A,H$1,Students!$R:$R,$A74)+COUNTIFS(Students!$A:$A,H$1,Students!$T:$T,$A74)+COUNTIFS(Students!$A:$A,H$1,Students!$V:$V,$A74))</f>
        <v/>
      </c>
      <c r="I74" s="319" t="str">
        <f t="shared" si="1"/>
        <v/>
      </c>
      <c r="J74" s="319" t="str">
        <f>if($A74="","",sumifs(Schedule!$R:$R,Schedule!$P:$P,$A74)+sumifs(Schedule!$U:$U,Schedule!$S:$S,$A74)+sumifs(Schedule!$X:$X,Schedule!$V:$V,$A74)+sumifs(Schedule!$AA:$AA,Schedule!$Y:$Y,$A74)+sumifs(Schedule!$AD:$AD,Schedule!$AB:$AB,$A74)+sumifs(Schedule!$AG:$AG,Schedule!$AE:$AE,$A74)+sumifs(Schedule!$AJ:$AJ,Schedule!$AH:$AH,$A74)+sumifs(Schedule!$AM:$AM,Schedule!$AK:$AK,$A74))</f>
        <v/>
      </c>
      <c r="K74" s="319" t="str">
        <f t="shared" si="2"/>
        <v/>
      </c>
      <c r="L74" s="320" t="str">
        <f>if(A74="","",countifs(Schedule!P$1:AK100,A74))</f>
        <v/>
      </c>
    </row>
    <row r="75">
      <c r="A75" s="322"/>
      <c r="B75" s="323" t="s">
        <v>22</v>
      </c>
      <c r="C75" s="317" t="s">
        <v>22</v>
      </c>
      <c r="D75" s="318" t="s">
        <v>22</v>
      </c>
      <c r="E75" s="255" t="str">
        <f>if($A75="","",COUNTIFS(Students!$A:$A,E$1,Students!$D:$D,$A75)+COUNTIFS(Students!$A:$A,E$1,Students!$F:$F,$A75)+COUNTIFS(Students!$A:$A,E$1,Students!$H:$H,$A75)+COUNTIFS(Students!$A:$A,E$1,Students!$J:$J,$A75)+COUNTIFS(Students!$A:$A,E$1,Students!$L:$L,$A75)+COUNTIFS(Students!$A:$A,E$1,Students!$N:$N,$A75)+COUNTIFS(Students!$A:$A,E$1,Students!$P:$P,$A75)+COUNTIFS(Students!$A:$A,E$1,Students!$R:$R,$A75)+COUNTIFS(Students!$A:$A,E$1,Students!$T:$T,$A75)+COUNTIFS(Students!$A:$A,E$1,Students!$V:$V,$A75))</f>
        <v/>
      </c>
      <c r="F75" s="255" t="str">
        <f>if($A75="","",COUNTIFS(Students!$A:$A,F$1,Students!$D:$D,$A75)+COUNTIFS(Students!$A:$A,F$1,Students!$F:$F,$A75)+COUNTIFS(Students!$A:$A,F$1,Students!$H:$H,$A75)+COUNTIFS(Students!$A:$A,F$1,Students!$J:$J,$A75)+COUNTIFS(Students!$A:$A,F$1,Students!$L:$L,$A75)+COUNTIFS(Students!$A:$A,F$1,Students!$N:$N,$A75)+COUNTIFS(Students!$A:$A,F$1,Students!$P:$P,$A75)+COUNTIFS(Students!$A:$A,F$1,Students!$R:$R,$A75)+COUNTIFS(Students!$A:$A,F$1,Students!$T:$T,$A75)+COUNTIFS(Students!$A:$A,F$1,Students!$V:$V,$A75))</f>
        <v/>
      </c>
      <c r="G75" s="255" t="str">
        <f>if($A75="","",COUNTIFS(Students!$A:$A,G$1,Students!$D:$D,$A75)+COUNTIFS(Students!$A:$A,G$1,Students!$F:$F,$A75)+COUNTIFS(Students!$A:$A,G$1,Students!$H:$H,$A75)+COUNTIFS(Students!$A:$A,G$1,Students!$J:$J,$A75)+COUNTIFS(Students!$A:$A,G$1,Students!$L:$L,$A75)+COUNTIFS(Students!$A:$A,G$1,Students!$N:$N,$A75)+COUNTIFS(Students!$A:$A,G$1,Students!$P:$P,$A75)+COUNTIFS(Students!$A:$A,G$1,Students!$R:$R,$A75)+COUNTIFS(Students!$A:$A,G$1,Students!$T:$T,$A75)+COUNTIFS(Students!$A:$A,G$1,Students!$V:$V,$A75))</f>
        <v/>
      </c>
      <c r="H75" s="255" t="str">
        <f>if($A75="","",COUNTIFS(Students!$A:$A,H$1,Students!$D:$D,$A75)+COUNTIFS(Students!$A:$A,H$1,Students!$F:$F,$A75)+COUNTIFS(Students!$A:$A,H$1,Students!$H:$H,$A75)+COUNTIFS(Students!$A:$A,H$1,Students!$J:$J,$A75)+COUNTIFS(Students!$A:$A,H$1,Students!$L:$L,$A75)+COUNTIFS(Students!$A:$A,H$1,Students!$N:$N,$A75)+COUNTIFS(Students!$A:$A,H$1,Students!$P:$P,$A75)+COUNTIFS(Students!$A:$A,H$1,Students!$R:$R,$A75)+COUNTIFS(Students!$A:$A,H$1,Students!$T:$T,$A75)+COUNTIFS(Students!$A:$A,H$1,Students!$V:$V,$A75))</f>
        <v/>
      </c>
      <c r="I75" s="319" t="str">
        <f t="shared" si="1"/>
        <v/>
      </c>
      <c r="J75" s="319" t="str">
        <f>if($A75="","",sumifs(Schedule!$R:$R,Schedule!$P:$P,$A75)+sumifs(Schedule!$U:$U,Schedule!$S:$S,$A75)+sumifs(Schedule!$X:$X,Schedule!$V:$V,$A75)+sumifs(Schedule!$AA:$AA,Schedule!$Y:$Y,$A75)+sumifs(Schedule!$AD:$AD,Schedule!$AB:$AB,$A75)+sumifs(Schedule!$AG:$AG,Schedule!$AE:$AE,$A75)+sumifs(Schedule!$AJ:$AJ,Schedule!$AH:$AH,$A75)+sumifs(Schedule!$AM:$AM,Schedule!$AK:$AK,$A75))</f>
        <v/>
      </c>
      <c r="K75" s="319" t="str">
        <f t="shared" si="2"/>
        <v/>
      </c>
      <c r="L75" s="320" t="str">
        <f>if(A75="","",countifs(Schedule!P$1:AK100,A75))</f>
        <v/>
      </c>
    </row>
    <row r="76">
      <c r="A76" s="322"/>
      <c r="B76" s="323" t="s">
        <v>22</v>
      </c>
      <c r="C76" s="317" t="s">
        <v>22</v>
      </c>
      <c r="D76" s="318" t="s">
        <v>22</v>
      </c>
      <c r="E76" s="255" t="str">
        <f>if($A76="","",COUNTIFS(Students!$A:$A,E$1,Students!$D:$D,$A76)+COUNTIFS(Students!$A:$A,E$1,Students!$F:$F,$A76)+COUNTIFS(Students!$A:$A,E$1,Students!$H:$H,$A76)+COUNTIFS(Students!$A:$A,E$1,Students!$J:$J,$A76)+COUNTIFS(Students!$A:$A,E$1,Students!$L:$L,$A76)+COUNTIFS(Students!$A:$A,E$1,Students!$N:$N,$A76)+COUNTIFS(Students!$A:$A,E$1,Students!$P:$P,$A76)+COUNTIFS(Students!$A:$A,E$1,Students!$R:$R,$A76)+COUNTIFS(Students!$A:$A,E$1,Students!$T:$T,$A76)+COUNTIFS(Students!$A:$A,E$1,Students!$V:$V,$A76))</f>
        <v/>
      </c>
      <c r="F76" s="255" t="str">
        <f>if($A76="","",COUNTIFS(Students!$A:$A,F$1,Students!$D:$D,$A76)+COUNTIFS(Students!$A:$A,F$1,Students!$F:$F,$A76)+COUNTIFS(Students!$A:$A,F$1,Students!$H:$H,$A76)+COUNTIFS(Students!$A:$A,F$1,Students!$J:$J,$A76)+COUNTIFS(Students!$A:$A,F$1,Students!$L:$L,$A76)+COUNTIFS(Students!$A:$A,F$1,Students!$N:$N,$A76)+COUNTIFS(Students!$A:$A,F$1,Students!$P:$P,$A76)+COUNTIFS(Students!$A:$A,F$1,Students!$R:$R,$A76)+COUNTIFS(Students!$A:$A,F$1,Students!$T:$T,$A76)+COUNTIFS(Students!$A:$A,F$1,Students!$V:$V,$A76))</f>
        <v/>
      </c>
      <c r="G76" s="255" t="str">
        <f>if($A76="","",COUNTIFS(Students!$A:$A,G$1,Students!$D:$D,$A76)+COUNTIFS(Students!$A:$A,G$1,Students!$F:$F,$A76)+COUNTIFS(Students!$A:$A,G$1,Students!$H:$H,$A76)+COUNTIFS(Students!$A:$A,G$1,Students!$J:$J,$A76)+COUNTIFS(Students!$A:$A,G$1,Students!$L:$L,$A76)+COUNTIFS(Students!$A:$A,G$1,Students!$N:$N,$A76)+COUNTIFS(Students!$A:$A,G$1,Students!$P:$P,$A76)+COUNTIFS(Students!$A:$A,G$1,Students!$R:$R,$A76)+COUNTIFS(Students!$A:$A,G$1,Students!$T:$T,$A76)+COUNTIFS(Students!$A:$A,G$1,Students!$V:$V,$A76))</f>
        <v/>
      </c>
      <c r="H76" s="255" t="str">
        <f>if($A76="","",COUNTIFS(Students!$A:$A,H$1,Students!$D:$D,$A76)+COUNTIFS(Students!$A:$A,H$1,Students!$F:$F,$A76)+COUNTIFS(Students!$A:$A,H$1,Students!$H:$H,$A76)+COUNTIFS(Students!$A:$A,H$1,Students!$J:$J,$A76)+COUNTIFS(Students!$A:$A,H$1,Students!$L:$L,$A76)+COUNTIFS(Students!$A:$A,H$1,Students!$N:$N,$A76)+COUNTIFS(Students!$A:$A,H$1,Students!$P:$P,$A76)+COUNTIFS(Students!$A:$A,H$1,Students!$R:$R,$A76)+COUNTIFS(Students!$A:$A,H$1,Students!$T:$T,$A76)+COUNTIFS(Students!$A:$A,H$1,Students!$V:$V,$A76))</f>
        <v/>
      </c>
      <c r="I76" s="319" t="str">
        <f t="shared" si="1"/>
        <v/>
      </c>
      <c r="J76" s="319" t="str">
        <f>if($A76="","",sumifs(Schedule!$R:$R,Schedule!$P:$P,$A76)+sumifs(Schedule!$U:$U,Schedule!$S:$S,$A76)+sumifs(Schedule!$X:$X,Schedule!$V:$V,$A76)+sumifs(Schedule!$AA:$AA,Schedule!$Y:$Y,$A76)+sumifs(Schedule!$AD:$AD,Schedule!$AB:$AB,$A76)+sumifs(Schedule!$AG:$AG,Schedule!$AE:$AE,$A76)+sumifs(Schedule!$AJ:$AJ,Schedule!$AH:$AH,$A76)+sumifs(Schedule!$AM:$AM,Schedule!$AK:$AK,$A76))</f>
        <v/>
      </c>
      <c r="K76" s="319" t="str">
        <f t="shared" si="2"/>
        <v/>
      </c>
      <c r="L76" s="320" t="str">
        <f>if(A76="","",countifs(Schedule!P$1:AK100,A76))</f>
        <v/>
      </c>
    </row>
    <row r="77">
      <c r="A77" s="322"/>
      <c r="B77" s="323" t="s">
        <v>22</v>
      </c>
      <c r="C77" s="317" t="s">
        <v>22</v>
      </c>
      <c r="D77" s="318" t="s">
        <v>22</v>
      </c>
      <c r="E77" s="255" t="str">
        <f>if($A77="","",COUNTIFS(Students!$A:$A,E$1,Students!$D:$D,$A77)+COUNTIFS(Students!$A:$A,E$1,Students!$F:$F,$A77)+COUNTIFS(Students!$A:$A,E$1,Students!$H:$H,$A77)+COUNTIFS(Students!$A:$A,E$1,Students!$J:$J,$A77)+COUNTIFS(Students!$A:$A,E$1,Students!$L:$L,$A77)+COUNTIFS(Students!$A:$A,E$1,Students!$N:$N,$A77)+COUNTIFS(Students!$A:$A,E$1,Students!$P:$P,$A77)+COUNTIFS(Students!$A:$A,E$1,Students!$R:$R,$A77)+COUNTIFS(Students!$A:$A,E$1,Students!$T:$T,$A77)+COUNTIFS(Students!$A:$A,E$1,Students!$V:$V,$A77))</f>
        <v/>
      </c>
      <c r="F77" s="255" t="str">
        <f>if($A77="","",COUNTIFS(Students!$A:$A,F$1,Students!$D:$D,$A77)+COUNTIFS(Students!$A:$A,F$1,Students!$F:$F,$A77)+COUNTIFS(Students!$A:$A,F$1,Students!$H:$H,$A77)+COUNTIFS(Students!$A:$A,F$1,Students!$J:$J,$A77)+COUNTIFS(Students!$A:$A,F$1,Students!$L:$L,$A77)+COUNTIFS(Students!$A:$A,F$1,Students!$N:$N,$A77)+COUNTIFS(Students!$A:$A,F$1,Students!$P:$P,$A77)+COUNTIFS(Students!$A:$A,F$1,Students!$R:$R,$A77)+COUNTIFS(Students!$A:$A,F$1,Students!$T:$T,$A77)+COUNTIFS(Students!$A:$A,F$1,Students!$V:$V,$A77))</f>
        <v/>
      </c>
      <c r="G77" s="255" t="str">
        <f>if($A77="","",COUNTIFS(Students!$A:$A,G$1,Students!$D:$D,$A77)+COUNTIFS(Students!$A:$A,G$1,Students!$F:$F,$A77)+COUNTIFS(Students!$A:$A,G$1,Students!$H:$H,$A77)+COUNTIFS(Students!$A:$A,G$1,Students!$J:$J,$A77)+COUNTIFS(Students!$A:$A,G$1,Students!$L:$L,$A77)+COUNTIFS(Students!$A:$A,G$1,Students!$N:$N,$A77)+COUNTIFS(Students!$A:$A,G$1,Students!$P:$P,$A77)+COUNTIFS(Students!$A:$A,G$1,Students!$R:$R,$A77)+COUNTIFS(Students!$A:$A,G$1,Students!$T:$T,$A77)+COUNTIFS(Students!$A:$A,G$1,Students!$V:$V,$A77))</f>
        <v/>
      </c>
      <c r="H77" s="255" t="str">
        <f>if($A77="","",COUNTIFS(Students!$A:$A,H$1,Students!$D:$D,$A77)+COUNTIFS(Students!$A:$A,H$1,Students!$F:$F,$A77)+COUNTIFS(Students!$A:$A,H$1,Students!$H:$H,$A77)+COUNTIFS(Students!$A:$A,H$1,Students!$J:$J,$A77)+COUNTIFS(Students!$A:$A,H$1,Students!$L:$L,$A77)+COUNTIFS(Students!$A:$A,H$1,Students!$N:$N,$A77)+COUNTIFS(Students!$A:$A,H$1,Students!$P:$P,$A77)+COUNTIFS(Students!$A:$A,H$1,Students!$R:$R,$A77)+COUNTIFS(Students!$A:$A,H$1,Students!$T:$T,$A77)+COUNTIFS(Students!$A:$A,H$1,Students!$V:$V,$A77))</f>
        <v/>
      </c>
      <c r="I77" s="319" t="str">
        <f t="shared" si="1"/>
        <v/>
      </c>
      <c r="J77" s="319" t="str">
        <f>if($A77="","",sumifs(Schedule!$R:$R,Schedule!$P:$P,$A77)+sumifs(Schedule!$U:$U,Schedule!$S:$S,$A77)+sumifs(Schedule!$X:$X,Schedule!$V:$V,$A77)+sumifs(Schedule!$AA:$AA,Schedule!$Y:$Y,$A77)+sumifs(Schedule!$AD:$AD,Schedule!$AB:$AB,$A77)+sumifs(Schedule!$AG:$AG,Schedule!$AE:$AE,$A77)+sumifs(Schedule!$AJ:$AJ,Schedule!$AH:$AH,$A77)+sumifs(Schedule!$AM:$AM,Schedule!$AK:$AK,$A77))</f>
        <v/>
      </c>
      <c r="K77" s="319" t="str">
        <f t="shared" si="2"/>
        <v/>
      </c>
      <c r="L77" s="320" t="str">
        <f>if(A77="","",countifs(Schedule!P$1:AK100,A77))</f>
        <v/>
      </c>
    </row>
    <row r="78">
      <c r="A78" s="322"/>
      <c r="B78" s="323" t="s">
        <v>22</v>
      </c>
      <c r="C78" s="317" t="s">
        <v>22</v>
      </c>
      <c r="D78" s="318" t="s">
        <v>22</v>
      </c>
      <c r="E78" s="255" t="str">
        <f>if($A78="","",COUNTIFS(Students!$A:$A,E$1,Students!$D:$D,$A78)+COUNTIFS(Students!$A:$A,E$1,Students!$F:$F,$A78)+COUNTIFS(Students!$A:$A,E$1,Students!$H:$H,$A78)+COUNTIFS(Students!$A:$A,E$1,Students!$J:$J,$A78)+COUNTIFS(Students!$A:$A,E$1,Students!$L:$L,$A78)+COUNTIFS(Students!$A:$A,E$1,Students!$N:$N,$A78)+COUNTIFS(Students!$A:$A,E$1,Students!$P:$P,$A78)+COUNTIFS(Students!$A:$A,E$1,Students!$R:$R,$A78)+COUNTIFS(Students!$A:$A,E$1,Students!$T:$T,$A78)+COUNTIFS(Students!$A:$A,E$1,Students!$V:$V,$A78))</f>
        <v/>
      </c>
      <c r="F78" s="255" t="str">
        <f>if($A78="","",COUNTIFS(Students!$A:$A,F$1,Students!$D:$D,$A78)+COUNTIFS(Students!$A:$A,F$1,Students!$F:$F,$A78)+COUNTIFS(Students!$A:$A,F$1,Students!$H:$H,$A78)+COUNTIFS(Students!$A:$A,F$1,Students!$J:$J,$A78)+COUNTIFS(Students!$A:$A,F$1,Students!$L:$L,$A78)+COUNTIFS(Students!$A:$A,F$1,Students!$N:$N,$A78)+COUNTIFS(Students!$A:$A,F$1,Students!$P:$P,$A78)+COUNTIFS(Students!$A:$A,F$1,Students!$R:$R,$A78)+COUNTIFS(Students!$A:$A,F$1,Students!$T:$T,$A78)+COUNTIFS(Students!$A:$A,F$1,Students!$V:$V,$A78))</f>
        <v/>
      </c>
      <c r="G78" s="255" t="str">
        <f>if($A78="","",COUNTIFS(Students!$A:$A,G$1,Students!$D:$D,$A78)+COUNTIFS(Students!$A:$A,G$1,Students!$F:$F,$A78)+COUNTIFS(Students!$A:$A,G$1,Students!$H:$H,$A78)+COUNTIFS(Students!$A:$A,G$1,Students!$J:$J,$A78)+COUNTIFS(Students!$A:$A,G$1,Students!$L:$L,$A78)+COUNTIFS(Students!$A:$A,G$1,Students!$N:$N,$A78)+COUNTIFS(Students!$A:$A,G$1,Students!$P:$P,$A78)+COUNTIFS(Students!$A:$A,G$1,Students!$R:$R,$A78)+COUNTIFS(Students!$A:$A,G$1,Students!$T:$T,$A78)+COUNTIFS(Students!$A:$A,G$1,Students!$V:$V,$A78))</f>
        <v/>
      </c>
      <c r="H78" s="255" t="str">
        <f>if($A78="","",COUNTIFS(Students!$A:$A,H$1,Students!$D:$D,$A78)+COUNTIFS(Students!$A:$A,H$1,Students!$F:$F,$A78)+COUNTIFS(Students!$A:$A,H$1,Students!$H:$H,$A78)+COUNTIFS(Students!$A:$A,H$1,Students!$J:$J,$A78)+COUNTIFS(Students!$A:$A,H$1,Students!$L:$L,$A78)+COUNTIFS(Students!$A:$A,H$1,Students!$N:$N,$A78)+COUNTIFS(Students!$A:$A,H$1,Students!$P:$P,$A78)+COUNTIFS(Students!$A:$A,H$1,Students!$R:$R,$A78)+COUNTIFS(Students!$A:$A,H$1,Students!$T:$T,$A78)+COUNTIFS(Students!$A:$A,H$1,Students!$V:$V,$A78))</f>
        <v/>
      </c>
      <c r="I78" s="319" t="str">
        <f t="shared" si="1"/>
        <v/>
      </c>
      <c r="J78" s="319" t="str">
        <f>if($A78="","",sumifs(Schedule!$R:$R,Schedule!$P:$P,$A78)+sumifs(Schedule!$U:$U,Schedule!$S:$S,$A78)+sumifs(Schedule!$X:$X,Schedule!$V:$V,$A78)+sumifs(Schedule!$AA:$AA,Schedule!$Y:$Y,$A78)+sumifs(Schedule!$AD:$AD,Schedule!$AB:$AB,$A78)+sumifs(Schedule!$AG:$AG,Schedule!$AE:$AE,$A78)+sumifs(Schedule!$AJ:$AJ,Schedule!$AH:$AH,$A78)+sumifs(Schedule!$AM:$AM,Schedule!$AK:$AK,$A78))</f>
        <v/>
      </c>
      <c r="K78" s="319" t="str">
        <f t="shared" si="2"/>
        <v/>
      </c>
      <c r="L78" s="320" t="str">
        <f>if(A78="","",countifs(Schedule!P$1:AK100,A78))</f>
        <v/>
      </c>
    </row>
    <row r="79">
      <c r="A79" s="322"/>
      <c r="B79" s="323" t="s">
        <v>22</v>
      </c>
      <c r="C79" s="317" t="s">
        <v>22</v>
      </c>
      <c r="D79" s="318" t="s">
        <v>22</v>
      </c>
      <c r="E79" s="255" t="str">
        <f>if($A79="","",COUNTIFS(Students!$A:$A,E$1,Students!$D:$D,$A79)+COUNTIFS(Students!$A:$A,E$1,Students!$F:$F,$A79)+COUNTIFS(Students!$A:$A,E$1,Students!$H:$H,$A79)+COUNTIFS(Students!$A:$A,E$1,Students!$J:$J,$A79)+COUNTIFS(Students!$A:$A,E$1,Students!$L:$L,$A79)+COUNTIFS(Students!$A:$A,E$1,Students!$N:$N,$A79)+COUNTIFS(Students!$A:$A,E$1,Students!$P:$P,$A79)+COUNTIFS(Students!$A:$A,E$1,Students!$R:$R,$A79)+COUNTIFS(Students!$A:$A,E$1,Students!$T:$T,$A79)+COUNTIFS(Students!$A:$A,E$1,Students!$V:$V,$A79))</f>
        <v/>
      </c>
      <c r="F79" s="255" t="str">
        <f>if($A79="","",COUNTIFS(Students!$A:$A,F$1,Students!$D:$D,$A79)+COUNTIFS(Students!$A:$A,F$1,Students!$F:$F,$A79)+COUNTIFS(Students!$A:$A,F$1,Students!$H:$H,$A79)+COUNTIFS(Students!$A:$A,F$1,Students!$J:$J,$A79)+COUNTIFS(Students!$A:$A,F$1,Students!$L:$L,$A79)+COUNTIFS(Students!$A:$A,F$1,Students!$N:$N,$A79)+COUNTIFS(Students!$A:$A,F$1,Students!$P:$P,$A79)+COUNTIFS(Students!$A:$A,F$1,Students!$R:$R,$A79)+COUNTIFS(Students!$A:$A,F$1,Students!$T:$T,$A79)+COUNTIFS(Students!$A:$A,F$1,Students!$V:$V,$A79))</f>
        <v/>
      </c>
      <c r="G79" s="255" t="str">
        <f>if($A79="","",COUNTIFS(Students!$A:$A,G$1,Students!$D:$D,$A79)+COUNTIFS(Students!$A:$A,G$1,Students!$F:$F,$A79)+COUNTIFS(Students!$A:$A,G$1,Students!$H:$H,$A79)+COUNTIFS(Students!$A:$A,G$1,Students!$J:$J,$A79)+COUNTIFS(Students!$A:$A,G$1,Students!$L:$L,$A79)+COUNTIFS(Students!$A:$A,G$1,Students!$N:$N,$A79)+COUNTIFS(Students!$A:$A,G$1,Students!$P:$P,$A79)+COUNTIFS(Students!$A:$A,G$1,Students!$R:$R,$A79)+COUNTIFS(Students!$A:$A,G$1,Students!$T:$T,$A79)+COUNTIFS(Students!$A:$A,G$1,Students!$V:$V,$A79))</f>
        <v/>
      </c>
      <c r="H79" s="255" t="str">
        <f>if($A79="","",COUNTIFS(Students!$A:$A,H$1,Students!$D:$D,$A79)+COUNTIFS(Students!$A:$A,H$1,Students!$F:$F,$A79)+COUNTIFS(Students!$A:$A,H$1,Students!$H:$H,$A79)+COUNTIFS(Students!$A:$A,H$1,Students!$J:$J,$A79)+COUNTIFS(Students!$A:$A,H$1,Students!$L:$L,$A79)+COUNTIFS(Students!$A:$A,H$1,Students!$N:$N,$A79)+COUNTIFS(Students!$A:$A,H$1,Students!$P:$P,$A79)+COUNTIFS(Students!$A:$A,H$1,Students!$R:$R,$A79)+COUNTIFS(Students!$A:$A,H$1,Students!$T:$T,$A79)+COUNTIFS(Students!$A:$A,H$1,Students!$V:$V,$A79))</f>
        <v/>
      </c>
      <c r="I79" s="319" t="str">
        <f t="shared" si="1"/>
        <v/>
      </c>
      <c r="J79" s="319" t="str">
        <f>if($A79="","",sumifs(Schedule!$R:$R,Schedule!$P:$P,$A79)+sumifs(Schedule!$U:$U,Schedule!$S:$S,$A79)+sumifs(Schedule!$X:$X,Schedule!$V:$V,$A79)+sumifs(Schedule!$AA:$AA,Schedule!$Y:$Y,$A79)+sumifs(Schedule!$AD:$AD,Schedule!$AB:$AB,$A79)+sumifs(Schedule!$AG:$AG,Schedule!$AE:$AE,$A79)+sumifs(Schedule!$AJ:$AJ,Schedule!$AH:$AH,$A79)+sumifs(Schedule!$AM:$AM,Schedule!$AK:$AK,$A79))</f>
        <v/>
      </c>
      <c r="K79" s="319" t="str">
        <f t="shared" si="2"/>
        <v/>
      </c>
      <c r="L79" s="320" t="str">
        <f>if(A79="","",countifs(Schedule!P$1:AK100,A79))</f>
        <v/>
      </c>
    </row>
    <row r="80">
      <c r="A80" s="322"/>
      <c r="B80" s="323" t="s">
        <v>22</v>
      </c>
      <c r="C80" s="317" t="s">
        <v>22</v>
      </c>
      <c r="D80" s="318" t="s">
        <v>22</v>
      </c>
      <c r="E80" s="255" t="str">
        <f>if($A80="","",COUNTIFS(Students!$A:$A,E$1,Students!$D:$D,$A80)+COUNTIFS(Students!$A:$A,E$1,Students!$F:$F,$A80)+COUNTIFS(Students!$A:$A,E$1,Students!$H:$H,$A80)+COUNTIFS(Students!$A:$A,E$1,Students!$J:$J,$A80)+COUNTIFS(Students!$A:$A,E$1,Students!$L:$L,$A80)+COUNTIFS(Students!$A:$A,E$1,Students!$N:$N,$A80)+COUNTIFS(Students!$A:$A,E$1,Students!$P:$P,$A80)+COUNTIFS(Students!$A:$A,E$1,Students!$R:$R,$A80)+COUNTIFS(Students!$A:$A,E$1,Students!$T:$T,$A80)+COUNTIFS(Students!$A:$A,E$1,Students!$V:$V,$A80))</f>
        <v/>
      </c>
      <c r="F80" s="255" t="str">
        <f>if($A80="","",COUNTIFS(Students!$A:$A,F$1,Students!$D:$D,$A80)+COUNTIFS(Students!$A:$A,F$1,Students!$F:$F,$A80)+COUNTIFS(Students!$A:$A,F$1,Students!$H:$H,$A80)+COUNTIFS(Students!$A:$A,F$1,Students!$J:$J,$A80)+COUNTIFS(Students!$A:$A,F$1,Students!$L:$L,$A80)+COUNTIFS(Students!$A:$A,F$1,Students!$N:$N,$A80)+COUNTIFS(Students!$A:$A,F$1,Students!$P:$P,$A80)+COUNTIFS(Students!$A:$A,F$1,Students!$R:$R,$A80)+COUNTIFS(Students!$A:$A,F$1,Students!$T:$T,$A80)+COUNTIFS(Students!$A:$A,F$1,Students!$V:$V,$A80))</f>
        <v/>
      </c>
      <c r="G80" s="255" t="str">
        <f>if($A80="","",COUNTIFS(Students!$A:$A,G$1,Students!$D:$D,$A80)+COUNTIFS(Students!$A:$A,G$1,Students!$F:$F,$A80)+COUNTIFS(Students!$A:$A,G$1,Students!$H:$H,$A80)+COUNTIFS(Students!$A:$A,G$1,Students!$J:$J,$A80)+COUNTIFS(Students!$A:$A,G$1,Students!$L:$L,$A80)+COUNTIFS(Students!$A:$A,G$1,Students!$N:$N,$A80)+COUNTIFS(Students!$A:$A,G$1,Students!$P:$P,$A80)+COUNTIFS(Students!$A:$A,G$1,Students!$R:$R,$A80)+COUNTIFS(Students!$A:$A,G$1,Students!$T:$T,$A80)+COUNTIFS(Students!$A:$A,G$1,Students!$V:$V,$A80))</f>
        <v/>
      </c>
      <c r="H80" s="255" t="str">
        <f>if($A80="","",COUNTIFS(Students!$A:$A,H$1,Students!$D:$D,$A80)+COUNTIFS(Students!$A:$A,H$1,Students!$F:$F,$A80)+COUNTIFS(Students!$A:$A,H$1,Students!$H:$H,$A80)+COUNTIFS(Students!$A:$A,H$1,Students!$J:$J,$A80)+COUNTIFS(Students!$A:$A,H$1,Students!$L:$L,$A80)+COUNTIFS(Students!$A:$A,H$1,Students!$N:$N,$A80)+COUNTIFS(Students!$A:$A,H$1,Students!$P:$P,$A80)+COUNTIFS(Students!$A:$A,H$1,Students!$R:$R,$A80)+COUNTIFS(Students!$A:$A,H$1,Students!$T:$T,$A80)+COUNTIFS(Students!$A:$A,H$1,Students!$V:$V,$A80))</f>
        <v/>
      </c>
      <c r="I80" s="319" t="str">
        <f t="shared" si="1"/>
        <v/>
      </c>
      <c r="J80" s="319" t="str">
        <f>if($A80="","",sumifs(Schedule!$R:$R,Schedule!$P:$P,$A80)+sumifs(Schedule!$U:$U,Schedule!$S:$S,$A80)+sumifs(Schedule!$X:$X,Schedule!$V:$V,$A80)+sumifs(Schedule!$AA:$AA,Schedule!$Y:$Y,$A80)+sumifs(Schedule!$AD:$AD,Schedule!$AB:$AB,$A80)+sumifs(Schedule!$AG:$AG,Schedule!$AE:$AE,$A80)+sumifs(Schedule!$AJ:$AJ,Schedule!$AH:$AH,$A80)+sumifs(Schedule!$AM:$AM,Schedule!$AK:$AK,$A80))</f>
        <v/>
      </c>
      <c r="K80" s="319" t="str">
        <f t="shared" si="2"/>
        <v/>
      </c>
      <c r="L80" s="320" t="str">
        <f>if(A80="","",countifs(Schedule!P$1:AK100,A80))</f>
        <v/>
      </c>
    </row>
    <row r="81">
      <c r="A81" s="322"/>
      <c r="B81" s="323" t="s">
        <v>22</v>
      </c>
      <c r="C81" s="317" t="s">
        <v>22</v>
      </c>
      <c r="D81" s="318" t="s">
        <v>22</v>
      </c>
      <c r="E81" s="255" t="str">
        <f>if($A81="","",COUNTIFS(Students!$A:$A,E$1,Students!$D:$D,$A81)+COUNTIFS(Students!$A:$A,E$1,Students!$F:$F,$A81)+COUNTIFS(Students!$A:$A,E$1,Students!$H:$H,$A81)+COUNTIFS(Students!$A:$A,E$1,Students!$J:$J,$A81)+COUNTIFS(Students!$A:$A,E$1,Students!$L:$L,$A81)+COUNTIFS(Students!$A:$A,E$1,Students!$N:$N,$A81)+COUNTIFS(Students!$A:$A,E$1,Students!$P:$P,$A81)+COUNTIFS(Students!$A:$A,E$1,Students!$R:$R,$A81)+COUNTIFS(Students!$A:$A,E$1,Students!$T:$T,$A81)+COUNTIFS(Students!$A:$A,E$1,Students!$V:$V,$A81))</f>
        <v/>
      </c>
      <c r="F81" s="255" t="str">
        <f>if($A81="","",COUNTIFS(Students!$A:$A,F$1,Students!$D:$D,$A81)+COUNTIFS(Students!$A:$A,F$1,Students!$F:$F,$A81)+COUNTIFS(Students!$A:$A,F$1,Students!$H:$H,$A81)+COUNTIFS(Students!$A:$A,F$1,Students!$J:$J,$A81)+COUNTIFS(Students!$A:$A,F$1,Students!$L:$L,$A81)+COUNTIFS(Students!$A:$A,F$1,Students!$N:$N,$A81)+COUNTIFS(Students!$A:$A,F$1,Students!$P:$P,$A81)+COUNTIFS(Students!$A:$A,F$1,Students!$R:$R,$A81)+COUNTIFS(Students!$A:$A,F$1,Students!$T:$T,$A81)+COUNTIFS(Students!$A:$A,F$1,Students!$V:$V,$A81))</f>
        <v/>
      </c>
      <c r="G81" s="255" t="str">
        <f>if($A81="","",COUNTIFS(Students!$A:$A,G$1,Students!$D:$D,$A81)+COUNTIFS(Students!$A:$A,G$1,Students!$F:$F,$A81)+COUNTIFS(Students!$A:$A,G$1,Students!$H:$H,$A81)+COUNTIFS(Students!$A:$A,G$1,Students!$J:$J,$A81)+COUNTIFS(Students!$A:$A,G$1,Students!$L:$L,$A81)+COUNTIFS(Students!$A:$A,G$1,Students!$N:$N,$A81)+COUNTIFS(Students!$A:$A,G$1,Students!$P:$P,$A81)+COUNTIFS(Students!$A:$A,G$1,Students!$R:$R,$A81)+COUNTIFS(Students!$A:$A,G$1,Students!$T:$T,$A81)+COUNTIFS(Students!$A:$A,G$1,Students!$V:$V,$A81))</f>
        <v/>
      </c>
      <c r="H81" s="255" t="str">
        <f>if($A81="","",COUNTIFS(Students!$A:$A,H$1,Students!$D:$D,$A81)+COUNTIFS(Students!$A:$A,H$1,Students!$F:$F,$A81)+COUNTIFS(Students!$A:$A,H$1,Students!$H:$H,$A81)+COUNTIFS(Students!$A:$A,H$1,Students!$J:$J,$A81)+COUNTIFS(Students!$A:$A,H$1,Students!$L:$L,$A81)+COUNTIFS(Students!$A:$A,H$1,Students!$N:$N,$A81)+COUNTIFS(Students!$A:$A,H$1,Students!$P:$P,$A81)+COUNTIFS(Students!$A:$A,H$1,Students!$R:$R,$A81)+COUNTIFS(Students!$A:$A,H$1,Students!$T:$T,$A81)+COUNTIFS(Students!$A:$A,H$1,Students!$V:$V,$A81))</f>
        <v/>
      </c>
      <c r="I81" s="319" t="str">
        <f t="shared" si="1"/>
        <v/>
      </c>
      <c r="J81" s="319" t="str">
        <f>if($A81="","",sumifs(Schedule!$R:$R,Schedule!$P:$P,$A81)+sumifs(Schedule!$U:$U,Schedule!$S:$S,$A81)+sumifs(Schedule!$X:$X,Schedule!$V:$V,$A81)+sumifs(Schedule!$AA:$AA,Schedule!$Y:$Y,$A81)+sumifs(Schedule!$AD:$AD,Schedule!$AB:$AB,$A81)+sumifs(Schedule!$AG:$AG,Schedule!$AE:$AE,$A81)+sumifs(Schedule!$AJ:$AJ,Schedule!$AH:$AH,$A81)+sumifs(Schedule!$AM:$AM,Schedule!$AK:$AK,$A81))</f>
        <v/>
      </c>
      <c r="K81" s="319" t="str">
        <f t="shared" si="2"/>
        <v/>
      </c>
      <c r="L81" s="320" t="str">
        <f>if(A81="","",countifs(Schedule!P$1:AK100,A81))</f>
        <v/>
      </c>
    </row>
    <row r="82">
      <c r="A82" s="322"/>
      <c r="B82" s="323" t="s">
        <v>22</v>
      </c>
      <c r="C82" s="317" t="s">
        <v>22</v>
      </c>
      <c r="D82" s="318" t="s">
        <v>22</v>
      </c>
      <c r="E82" s="255" t="str">
        <f>if($A82="","",COUNTIFS(Students!$A:$A,E$1,Students!$D:$D,$A82)+COUNTIFS(Students!$A:$A,E$1,Students!$F:$F,$A82)+COUNTIFS(Students!$A:$A,E$1,Students!$H:$H,$A82)+COUNTIFS(Students!$A:$A,E$1,Students!$J:$J,$A82)+COUNTIFS(Students!$A:$A,E$1,Students!$L:$L,$A82)+COUNTIFS(Students!$A:$A,E$1,Students!$N:$N,$A82)+COUNTIFS(Students!$A:$A,E$1,Students!$P:$P,$A82)+COUNTIFS(Students!$A:$A,E$1,Students!$R:$R,$A82)+COUNTIFS(Students!$A:$A,E$1,Students!$T:$T,$A82)+COUNTIFS(Students!$A:$A,E$1,Students!$V:$V,$A82))</f>
        <v/>
      </c>
      <c r="F82" s="255" t="str">
        <f>if($A82="","",COUNTIFS(Students!$A:$A,F$1,Students!$D:$D,$A82)+COUNTIFS(Students!$A:$A,F$1,Students!$F:$F,$A82)+COUNTIFS(Students!$A:$A,F$1,Students!$H:$H,$A82)+COUNTIFS(Students!$A:$A,F$1,Students!$J:$J,$A82)+COUNTIFS(Students!$A:$A,F$1,Students!$L:$L,$A82)+COUNTIFS(Students!$A:$A,F$1,Students!$N:$N,$A82)+COUNTIFS(Students!$A:$A,F$1,Students!$P:$P,$A82)+COUNTIFS(Students!$A:$A,F$1,Students!$R:$R,$A82)+COUNTIFS(Students!$A:$A,F$1,Students!$T:$T,$A82)+COUNTIFS(Students!$A:$A,F$1,Students!$V:$V,$A82))</f>
        <v/>
      </c>
      <c r="G82" s="255" t="str">
        <f>if($A82="","",COUNTIFS(Students!$A:$A,G$1,Students!$D:$D,$A82)+COUNTIFS(Students!$A:$A,G$1,Students!$F:$F,$A82)+COUNTIFS(Students!$A:$A,G$1,Students!$H:$H,$A82)+COUNTIFS(Students!$A:$A,G$1,Students!$J:$J,$A82)+COUNTIFS(Students!$A:$A,G$1,Students!$L:$L,$A82)+COUNTIFS(Students!$A:$A,G$1,Students!$N:$N,$A82)+COUNTIFS(Students!$A:$A,G$1,Students!$P:$P,$A82)+COUNTIFS(Students!$A:$A,G$1,Students!$R:$R,$A82)+COUNTIFS(Students!$A:$A,G$1,Students!$T:$T,$A82)+COUNTIFS(Students!$A:$A,G$1,Students!$V:$V,$A82))</f>
        <v/>
      </c>
      <c r="H82" s="255" t="str">
        <f>if($A82="","",COUNTIFS(Students!$A:$A,H$1,Students!$D:$D,$A82)+COUNTIFS(Students!$A:$A,H$1,Students!$F:$F,$A82)+COUNTIFS(Students!$A:$A,H$1,Students!$H:$H,$A82)+COUNTIFS(Students!$A:$A,H$1,Students!$J:$J,$A82)+COUNTIFS(Students!$A:$A,H$1,Students!$L:$L,$A82)+COUNTIFS(Students!$A:$A,H$1,Students!$N:$N,$A82)+COUNTIFS(Students!$A:$A,H$1,Students!$P:$P,$A82)+COUNTIFS(Students!$A:$A,H$1,Students!$R:$R,$A82)+COUNTIFS(Students!$A:$A,H$1,Students!$T:$T,$A82)+COUNTIFS(Students!$A:$A,H$1,Students!$V:$V,$A82))</f>
        <v/>
      </c>
      <c r="I82" s="319" t="str">
        <f t="shared" si="1"/>
        <v/>
      </c>
      <c r="J82" s="319" t="str">
        <f>if($A82="","",sumifs(Schedule!$R:$R,Schedule!$P:$P,$A82)+sumifs(Schedule!$U:$U,Schedule!$S:$S,$A82)+sumifs(Schedule!$X:$X,Schedule!$V:$V,$A82)+sumifs(Schedule!$AA:$AA,Schedule!$Y:$Y,$A82)+sumifs(Schedule!$AD:$AD,Schedule!$AB:$AB,$A82)+sumifs(Schedule!$AG:$AG,Schedule!$AE:$AE,$A82)+sumifs(Schedule!$AJ:$AJ,Schedule!$AH:$AH,$A82)+sumifs(Schedule!$AM:$AM,Schedule!$AK:$AK,$A82))</f>
        <v/>
      </c>
      <c r="K82" s="319" t="str">
        <f t="shared" si="2"/>
        <v/>
      </c>
      <c r="L82" s="320" t="str">
        <f>if(A82="","",countifs(Schedule!P$1:AK100,A82))</f>
        <v/>
      </c>
    </row>
    <row r="83">
      <c r="A83" s="322"/>
      <c r="B83" s="323" t="s">
        <v>22</v>
      </c>
      <c r="C83" s="317" t="s">
        <v>22</v>
      </c>
      <c r="D83" s="318" t="s">
        <v>22</v>
      </c>
      <c r="E83" s="255" t="str">
        <f>if($A83="","",COUNTIFS(Students!$A:$A,E$1,Students!$D:$D,$A83)+COUNTIFS(Students!$A:$A,E$1,Students!$F:$F,$A83)+COUNTIFS(Students!$A:$A,E$1,Students!$H:$H,$A83)+COUNTIFS(Students!$A:$A,E$1,Students!$J:$J,$A83)+COUNTIFS(Students!$A:$A,E$1,Students!$L:$L,$A83)+COUNTIFS(Students!$A:$A,E$1,Students!$N:$N,$A83)+COUNTIFS(Students!$A:$A,E$1,Students!$P:$P,$A83)+COUNTIFS(Students!$A:$A,E$1,Students!$R:$R,$A83)+COUNTIFS(Students!$A:$A,E$1,Students!$T:$T,$A83)+COUNTIFS(Students!$A:$A,E$1,Students!$V:$V,$A83))</f>
        <v/>
      </c>
      <c r="F83" s="255" t="str">
        <f>if($A83="","",COUNTIFS(Students!$A:$A,F$1,Students!$D:$D,$A83)+COUNTIFS(Students!$A:$A,F$1,Students!$F:$F,$A83)+COUNTIFS(Students!$A:$A,F$1,Students!$H:$H,$A83)+COUNTIFS(Students!$A:$A,F$1,Students!$J:$J,$A83)+COUNTIFS(Students!$A:$A,F$1,Students!$L:$L,$A83)+COUNTIFS(Students!$A:$A,F$1,Students!$N:$N,$A83)+COUNTIFS(Students!$A:$A,F$1,Students!$P:$P,$A83)+COUNTIFS(Students!$A:$A,F$1,Students!$R:$R,$A83)+COUNTIFS(Students!$A:$A,F$1,Students!$T:$T,$A83)+COUNTIFS(Students!$A:$A,F$1,Students!$V:$V,$A83))</f>
        <v/>
      </c>
      <c r="G83" s="255" t="str">
        <f>if($A83="","",COUNTIFS(Students!$A:$A,G$1,Students!$D:$D,$A83)+COUNTIFS(Students!$A:$A,G$1,Students!$F:$F,$A83)+COUNTIFS(Students!$A:$A,G$1,Students!$H:$H,$A83)+COUNTIFS(Students!$A:$A,G$1,Students!$J:$J,$A83)+COUNTIFS(Students!$A:$A,G$1,Students!$L:$L,$A83)+COUNTIFS(Students!$A:$A,G$1,Students!$N:$N,$A83)+COUNTIFS(Students!$A:$A,G$1,Students!$P:$P,$A83)+COUNTIFS(Students!$A:$A,G$1,Students!$R:$R,$A83)+COUNTIFS(Students!$A:$A,G$1,Students!$T:$T,$A83)+COUNTIFS(Students!$A:$A,G$1,Students!$V:$V,$A83))</f>
        <v/>
      </c>
      <c r="H83" s="255" t="str">
        <f>if($A83="","",COUNTIFS(Students!$A:$A,H$1,Students!$D:$D,$A83)+COUNTIFS(Students!$A:$A,H$1,Students!$F:$F,$A83)+COUNTIFS(Students!$A:$A,H$1,Students!$H:$H,$A83)+COUNTIFS(Students!$A:$A,H$1,Students!$J:$J,$A83)+COUNTIFS(Students!$A:$A,H$1,Students!$L:$L,$A83)+COUNTIFS(Students!$A:$A,H$1,Students!$N:$N,$A83)+COUNTIFS(Students!$A:$A,H$1,Students!$P:$P,$A83)+COUNTIFS(Students!$A:$A,H$1,Students!$R:$R,$A83)+COUNTIFS(Students!$A:$A,H$1,Students!$T:$T,$A83)+COUNTIFS(Students!$A:$A,H$1,Students!$V:$V,$A83))</f>
        <v/>
      </c>
      <c r="I83" s="319" t="str">
        <f t="shared" si="1"/>
        <v/>
      </c>
      <c r="J83" s="319" t="str">
        <f>if($A83="","",sumifs(Schedule!$R:$R,Schedule!$P:$P,$A83)+sumifs(Schedule!$U:$U,Schedule!$S:$S,$A83)+sumifs(Schedule!$X:$X,Schedule!$V:$V,$A83)+sumifs(Schedule!$AA:$AA,Schedule!$Y:$Y,$A83)+sumifs(Schedule!$AD:$AD,Schedule!$AB:$AB,$A83)+sumifs(Schedule!$AG:$AG,Schedule!$AE:$AE,$A83)+sumifs(Schedule!$AJ:$AJ,Schedule!$AH:$AH,$A83)+sumifs(Schedule!$AM:$AM,Schedule!$AK:$AK,$A83))</f>
        <v/>
      </c>
      <c r="K83" s="319" t="str">
        <f t="shared" si="2"/>
        <v/>
      </c>
      <c r="L83" s="320" t="str">
        <f>if(A83="","",countifs(Schedule!P$1:AK100,A83))</f>
        <v/>
      </c>
    </row>
    <row r="84">
      <c r="A84" s="322"/>
      <c r="B84" s="323" t="s">
        <v>22</v>
      </c>
      <c r="C84" s="317" t="s">
        <v>22</v>
      </c>
      <c r="D84" s="318" t="s">
        <v>22</v>
      </c>
      <c r="E84" s="255" t="str">
        <f>if($A84="","",COUNTIFS(Students!$A:$A,E$1,Students!$D:$D,$A84)+COUNTIFS(Students!$A:$A,E$1,Students!$F:$F,$A84)+COUNTIFS(Students!$A:$A,E$1,Students!$H:$H,$A84)+COUNTIFS(Students!$A:$A,E$1,Students!$J:$J,$A84)+COUNTIFS(Students!$A:$A,E$1,Students!$L:$L,$A84)+COUNTIFS(Students!$A:$A,E$1,Students!$N:$N,$A84)+COUNTIFS(Students!$A:$A,E$1,Students!$P:$P,$A84)+COUNTIFS(Students!$A:$A,E$1,Students!$R:$R,$A84)+COUNTIFS(Students!$A:$A,E$1,Students!$T:$T,$A84)+COUNTIFS(Students!$A:$A,E$1,Students!$V:$V,$A84))</f>
        <v/>
      </c>
      <c r="F84" s="255" t="str">
        <f>if($A84="","",COUNTIFS(Students!$A:$A,F$1,Students!$D:$D,$A84)+COUNTIFS(Students!$A:$A,F$1,Students!$F:$F,$A84)+COUNTIFS(Students!$A:$A,F$1,Students!$H:$H,$A84)+COUNTIFS(Students!$A:$A,F$1,Students!$J:$J,$A84)+COUNTIFS(Students!$A:$A,F$1,Students!$L:$L,$A84)+COUNTIFS(Students!$A:$A,F$1,Students!$N:$N,$A84)+COUNTIFS(Students!$A:$A,F$1,Students!$P:$P,$A84)+COUNTIFS(Students!$A:$A,F$1,Students!$R:$R,$A84)+COUNTIFS(Students!$A:$A,F$1,Students!$T:$T,$A84)+COUNTIFS(Students!$A:$A,F$1,Students!$V:$V,$A84))</f>
        <v/>
      </c>
      <c r="G84" s="255" t="str">
        <f>if($A84="","",COUNTIFS(Students!$A:$A,G$1,Students!$D:$D,$A84)+COUNTIFS(Students!$A:$A,G$1,Students!$F:$F,$A84)+COUNTIFS(Students!$A:$A,G$1,Students!$H:$H,$A84)+COUNTIFS(Students!$A:$A,G$1,Students!$J:$J,$A84)+COUNTIFS(Students!$A:$A,G$1,Students!$L:$L,$A84)+COUNTIFS(Students!$A:$A,G$1,Students!$N:$N,$A84)+COUNTIFS(Students!$A:$A,G$1,Students!$P:$P,$A84)+COUNTIFS(Students!$A:$A,G$1,Students!$R:$R,$A84)+COUNTIFS(Students!$A:$A,G$1,Students!$T:$T,$A84)+COUNTIFS(Students!$A:$A,G$1,Students!$V:$V,$A84))</f>
        <v/>
      </c>
      <c r="H84" s="255" t="str">
        <f>if($A84="","",COUNTIFS(Students!$A:$A,H$1,Students!$D:$D,$A84)+COUNTIFS(Students!$A:$A,H$1,Students!$F:$F,$A84)+COUNTIFS(Students!$A:$A,H$1,Students!$H:$H,$A84)+COUNTIFS(Students!$A:$A,H$1,Students!$J:$J,$A84)+COUNTIFS(Students!$A:$A,H$1,Students!$L:$L,$A84)+COUNTIFS(Students!$A:$A,H$1,Students!$N:$N,$A84)+COUNTIFS(Students!$A:$A,H$1,Students!$P:$P,$A84)+COUNTIFS(Students!$A:$A,H$1,Students!$R:$R,$A84)+COUNTIFS(Students!$A:$A,H$1,Students!$T:$T,$A84)+COUNTIFS(Students!$A:$A,H$1,Students!$V:$V,$A84))</f>
        <v/>
      </c>
      <c r="I84" s="319" t="str">
        <f t="shared" si="1"/>
        <v/>
      </c>
      <c r="J84" s="319" t="str">
        <f>if($A84="","",sumifs(Schedule!$R:$R,Schedule!$P:$P,$A84)+sumifs(Schedule!$U:$U,Schedule!$S:$S,$A84)+sumifs(Schedule!$X:$X,Schedule!$V:$V,$A84)+sumifs(Schedule!$AA:$AA,Schedule!$Y:$Y,$A84)+sumifs(Schedule!$AD:$AD,Schedule!$AB:$AB,$A84)+sumifs(Schedule!$AG:$AG,Schedule!$AE:$AE,$A84)+sumifs(Schedule!$AJ:$AJ,Schedule!$AH:$AH,$A84)+sumifs(Schedule!$AM:$AM,Schedule!$AK:$AK,$A84))</f>
        <v/>
      </c>
      <c r="K84" s="319" t="str">
        <f t="shared" si="2"/>
        <v/>
      </c>
      <c r="L84" s="320" t="str">
        <f>if(A84="","",countifs(Schedule!P$1:AK100,A84))</f>
        <v/>
      </c>
    </row>
    <row r="85">
      <c r="A85" s="322"/>
      <c r="B85" s="323" t="s">
        <v>22</v>
      </c>
      <c r="C85" s="317" t="s">
        <v>22</v>
      </c>
      <c r="D85" s="318" t="s">
        <v>22</v>
      </c>
      <c r="E85" s="255" t="str">
        <f>if($A85="","",COUNTIFS(Students!$A:$A,E$1,Students!$D:$D,$A85)+COUNTIFS(Students!$A:$A,E$1,Students!$F:$F,$A85)+COUNTIFS(Students!$A:$A,E$1,Students!$H:$H,$A85)+COUNTIFS(Students!$A:$A,E$1,Students!$J:$J,$A85)+COUNTIFS(Students!$A:$A,E$1,Students!$L:$L,$A85)+COUNTIFS(Students!$A:$A,E$1,Students!$N:$N,$A85)+COUNTIFS(Students!$A:$A,E$1,Students!$P:$P,$A85)+COUNTIFS(Students!$A:$A,E$1,Students!$R:$R,$A85)+COUNTIFS(Students!$A:$A,E$1,Students!$T:$T,$A85)+COUNTIFS(Students!$A:$A,E$1,Students!$V:$V,$A85))</f>
        <v/>
      </c>
      <c r="F85" s="255" t="str">
        <f>if($A85="","",COUNTIFS(Students!$A:$A,F$1,Students!$D:$D,$A85)+COUNTIFS(Students!$A:$A,F$1,Students!$F:$F,$A85)+COUNTIFS(Students!$A:$A,F$1,Students!$H:$H,$A85)+COUNTIFS(Students!$A:$A,F$1,Students!$J:$J,$A85)+COUNTIFS(Students!$A:$A,F$1,Students!$L:$L,$A85)+COUNTIFS(Students!$A:$A,F$1,Students!$N:$N,$A85)+COUNTIFS(Students!$A:$A,F$1,Students!$P:$P,$A85)+COUNTIFS(Students!$A:$A,F$1,Students!$R:$R,$A85)+COUNTIFS(Students!$A:$A,F$1,Students!$T:$T,$A85)+COUNTIFS(Students!$A:$A,F$1,Students!$V:$V,$A85))</f>
        <v/>
      </c>
      <c r="G85" s="255" t="str">
        <f>if($A85="","",COUNTIFS(Students!$A:$A,G$1,Students!$D:$D,$A85)+COUNTIFS(Students!$A:$A,G$1,Students!$F:$F,$A85)+COUNTIFS(Students!$A:$A,G$1,Students!$H:$H,$A85)+COUNTIFS(Students!$A:$A,G$1,Students!$J:$J,$A85)+COUNTIFS(Students!$A:$A,G$1,Students!$L:$L,$A85)+COUNTIFS(Students!$A:$A,G$1,Students!$N:$N,$A85)+COUNTIFS(Students!$A:$A,G$1,Students!$P:$P,$A85)+COUNTIFS(Students!$A:$A,G$1,Students!$R:$R,$A85)+COUNTIFS(Students!$A:$A,G$1,Students!$T:$T,$A85)+COUNTIFS(Students!$A:$A,G$1,Students!$V:$V,$A85))</f>
        <v/>
      </c>
      <c r="H85" s="255" t="str">
        <f>if($A85="","",COUNTIFS(Students!$A:$A,H$1,Students!$D:$D,$A85)+COUNTIFS(Students!$A:$A,H$1,Students!$F:$F,$A85)+COUNTIFS(Students!$A:$A,H$1,Students!$H:$H,$A85)+COUNTIFS(Students!$A:$A,H$1,Students!$J:$J,$A85)+COUNTIFS(Students!$A:$A,H$1,Students!$L:$L,$A85)+COUNTIFS(Students!$A:$A,H$1,Students!$N:$N,$A85)+COUNTIFS(Students!$A:$A,H$1,Students!$P:$P,$A85)+COUNTIFS(Students!$A:$A,H$1,Students!$R:$R,$A85)+COUNTIFS(Students!$A:$A,H$1,Students!$T:$T,$A85)+COUNTIFS(Students!$A:$A,H$1,Students!$V:$V,$A85))</f>
        <v/>
      </c>
      <c r="I85" s="319" t="str">
        <f t="shared" si="1"/>
        <v/>
      </c>
      <c r="J85" s="319" t="str">
        <f>if($A85="","",sumifs(Schedule!$R:$R,Schedule!$P:$P,$A85)+sumifs(Schedule!$U:$U,Schedule!$S:$S,$A85)+sumifs(Schedule!$X:$X,Schedule!$V:$V,$A85)+sumifs(Schedule!$AA:$AA,Schedule!$Y:$Y,$A85)+sumifs(Schedule!$AD:$AD,Schedule!$AB:$AB,$A85)+sumifs(Schedule!$AG:$AG,Schedule!$AE:$AE,$A85)+sumifs(Schedule!$AJ:$AJ,Schedule!$AH:$AH,$A85)+sumifs(Schedule!$AM:$AM,Schedule!$AK:$AK,$A85))</f>
        <v/>
      </c>
      <c r="K85" s="319" t="str">
        <f t="shared" si="2"/>
        <v/>
      </c>
      <c r="L85" s="320" t="str">
        <f>if(A85="","",countifs(Schedule!P$1:AK100,A85))</f>
        <v/>
      </c>
    </row>
    <row r="86">
      <c r="A86" s="322"/>
      <c r="B86" s="323" t="s">
        <v>22</v>
      </c>
      <c r="C86" s="317" t="s">
        <v>22</v>
      </c>
      <c r="D86" s="318" t="s">
        <v>22</v>
      </c>
      <c r="E86" s="255" t="str">
        <f>if($A86="","",COUNTIFS(Students!$A:$A,E$1,Students!$D:$D,$A86)+COUNTIFS(Students!$A:$A,E$1,Students!$F:$F,$A86)+COUNTIFS(Students!$A:$A,E$1,Students!$H:$H,$A86)+COUNTIFS(Students!$A:$A,E$1,Students!$J:$J,$A86)+COUNTIFS(Students!$A:$A,E$1,Students!$L:$L,$A86)+COUNTIFS(Students!$A:$A,E$1,Students!$N:$N,$A86)+COUNTIFS(Students!$A:$A,E$1,Students!$P:$P,$A86)+COUNTIFS(Students!$A:$A,E$1,Students!$R:$R,$A86)+COUNTIFS(Students!$A:$A,E$1,Students!$T:$T,$A86)+COUNTIFS(Students!$A:$A,E$1,Students!$V:$V,$A86))</f>
        <v/>
      </c>
      <c r="F86" s="255" t="str">
        <f>if($A86="","",COUNTIFS(Students!$A:$A,F$1,Students!$D:$D,$A86)+COUNTIFS(Students!$A:$A,F$1,Students!$F:$F,$A86)+COUNTIFS(Students!$A:$A,F$1,Students!$H:$H,$A86)+COUNTIFS(Students!$A:$A,F$1,Students!$J:$J,$A86)+COUNTIFS(Students!$A:$A,F$1,Students!$L:$L,$A86)+COUNTIFS(Students!$A:$A,F$1,Students!$N:$N,$A86)+COUNTIFS(Students!$A:$A,F$1,Students!$P:$P,$A86)+COUNTIFS(Students!$A:$A,F$1,Students!$R:$R,$A86)+COUNTIFS(Students!$A:$A,F$1,Students!$T:$T,$A86)+COUNTIFS(Students!$A:$A,F$1,Students!$V:$V,$A86))</f>
        <v/>
      </c>
      <c r="G86" s="255" t="str">
        <f>if($A86="","",COUNTIFS(Students!$A:$A,G$1,Students!$D:$D,$A86)+COUNTIFS(Students!$A:$A,G$1,Students!$F:$F,$A86)+COUNTIFS(Students!$A:$A,G$1,Students!$H:$H,$A86)+COUNTIFS(Students!$A:$A,G$1,Students!$J:$J,$A86)+COUNTIFS(Students!$A:$A,G$1,Students!$L:$L,$A86)+COUNTIFS(Students!$A:$A,G$1,Students!$N:$N,$A86)+COUNTIFS(Students!$A:$A,G$1,Students!$P:$P,$A86)+COUNTIFS(Students!$A:$A,G$1,Students!$R:$R,$A86)+COUNTIFS(Students!$A:$A,G$1,Students!$T:$T,$A86)+COUNTIFS(Students!$A:$A,G$1,Students!$V:$V,$A86))</f>
        <v/>
      </c>
      <c r="H86" s="255" t="str">
        <f>if($A86="","",COUNTIFS(Students!$A:$A,H$1,Students!$D:$D,$A86)+COUNTIFS(Students!$A:$A,H$1,Students!$F:$F,$A86)+COUNTIFS(Students!$A:$A,H$1,Students!$H:$H,$A86)+COUNTIFS(Students!$A:$A,H$1,Students!$J:$J,$A86)+COUNTIFS(Students!$A:$A,H$1,Students!$L:$L,$A86)+COUNTIFS(Students!$A:$A,H$1,Students!$N:$N,$A86)+COUNTIFS(Students!$A:$A,H$1,Students!$P:$P,$A86)+COUNTIFS(Students!$A:$A,H$1,Students!$R:$R,$A86)+COUNTIFS(Students!$A:$A,H$1,Students!$T:$T,$A86)+COUNTIFS(Students!$A:$A,H$1,Students!$V:$V,$A86))</f>
        <v/>
      </c>
      <c r="I86" s="319" t="str">
        <f t="shared" si="1"/>
        <v/>
      </c>
      <c r="J86" s="319" t="str">
        <f>if($A86="","",sumifs(Schedule!$R:$R,Schedule!$P:$P,$A86)+sumifs(Schedule!$U:$U,Schedule!$S:$S,$A86)+sumifs(Schedule!$X:$X,Schedule!$V:$V,$A86)+sumifs(Schedule!$AA:$AA,Schedule!$Y:$Y,$A86)+sumifs(Schedule!$AD:$AD,Schedule!$AB:$AB,$A86)+sumifs(Schedule!$AG:$AG,Schedule!$AE:$AE,$A86)+sumifs(Schedule!$AJ:$AJ,Schedule!$AH:$AH,$A86)+sumifs(Schedule!$AM:$AM,Schedule!$AK:$AK,$A86))</f>
        <v/>
      </c>
      <c r="K86" s="319" t="str">
        <f t="shared" si="2"/>
        <v/>
      </c>
      <c r="L86" s="320" t="str">
        <f>if(A86="","",countifs(Schedule!P$1:AK100,A86))</f>
        <v/>
      </c>
    </row>
    <row r="87">
      <c r="A87" s="322"/>
      <c r="B87" s="323" t="s">
        <v>22</v>
      </c>
      <c r="C87" s="317" t="s">
        <v>22</v>
      </c>
      <c r="D87" s="318" t="s">
        <v>22</v>
      </c>
      <c r="E87" s="255" t="str">
        <f>if($A87="","",COUNTIFS(Students!$A:$A,E$1,Students!$D:$D,$A87)+COUNTIFS(Students!$A:$A,E$1,Students!$F:$F,$A87)+COUNTIFS(Students!$A:$A,E$1,Students!$H:$H,$A87)+COUNTIFS(Students!$A:$A,E$1,Students!$J:$J,$A87)+COUNTIFS(Students!$A:$A,E$1,Students!$L:$L,$A87)+COUNTIFS(Students!$A:$A,E$1,Students!$N:$N,$A87)+COUNTIFS(Students!$A:$A,E$1,Students!$P:$P,$A87)+COUNTIFS(Students!$A:$A,E$1,Students!$R:$R,$A87)+COUNTIFS(Students!$A:$A,E$1,Students!$T:$T,$A87)+COUNTIFS(Students!$A:$A,E$1,Students!$V:$V,$A87))</f>
        <v/>
      </c>
      <c r="F87" s="255" t="str">
        <f>if($A87="","",COUNTIFS(Students!$A:$A,F$1,Students!$D:$D,$A87)+COUNTIFS(Students!$A:$A,F$1,Students!$F:$F,$A87)+COUNTIFS(Students!$A:$A,F$1,Students!$H:$H,$A87)+COUNTIFS(Students!$A:$A,F$1,Students!$J:$J,$A87)+COUNTIFS(Students!$A:$A,F$1,Students!$L:$L,$A87)+COUNTIFS(Students!$A:$A,F$1,Students!$N:$N,$A87)+COUNTIFS(Students!$A:$A,F$1,Students!$P:$P,$A87)+COUNTIFS(Students!$A:$A,F$1,Students!$R:$R,$A87)+COUNTIFS(Students!$A:$A,F$1,Students!$T:$T,$A87)+COUNTIFS(Students!$A:$A,F$1,Students!$V:$V,$A87))</f>
        <v/>
      </c>
      <c r="G87" s="255" t="str">
        <f>if($A87="","",COUNTIFS(Students!$A:$A,G$1,Students!$D:$D,$A87)+COUNTIFS(Students!$A:$A,G$1,Students!$F:$F,$A87)+COUNTIFS(Students!$A:$A,G$1,Students!$H:$H,$A87)+COUNTIFS(Students!$A:$A,G$1,Students!$J:$J,$A87)+COUNTIFS(Students!$A:$A,G$1,Students!$L:$L,$A87)+COUNTIFS(Students!$A:$A,G$1,Students!$N:$N,$A87)+COUNTIFS(Students!$A:$A,G$1,Students!$P:$P,$A87)+COUNTIFS(Students!$A:$A,G$1,Students!$R:$R,$A87)+COUNTIFS(Students!$A:$A,G$1,Students!$T:$T,$A87)+COUNTIFS(Students!$A:$A,G$1,Students!$V:$V,$A87))</f>
        <v/>
      </c>
      <c r="H87" s="255" t="str">
        <f>if($A87="","",COUNTIFS(Students!$A:$A,H$1,Students!$D:$D,$A87)+COUNTIFS(Students!$A:$A,H$1,Students!$F:$F,$A87)+COUNTIFS(Students!$A:$A,H$1,Students!$H:$H,$A87)+COUNTIFS(Students!$A:$A,H$1,Students!$J:$J,$A87)+COUNTIFS(Students!$A:$A,H$1,Students!$L:$L,$A87)+COUNTIFS(Students!$A:$A,H$1,Students!$N:$N,$A87)+COUNTIFS(Students!$A:$A,H$1,Students!$P:$P,$A87)+COUNTIFS(Students!$A:$A,H$1,Students!$R:$R,$A87)+COUNTIFS(Students!$A:$A,H$1,Students!$T:$T,$A87)+COUNTIFS(Students!$A:$A,H$1,Students!$V:$V,$A87))</f>
        <v/>
      </c>
      <c r="I87" s="319" t="str">
        <f t="shared" si="1"/>
        <v/>
      </c>
      <c r="J87" s="319" t="str">
        <f>if($A87="","",sumifs(Schedule!$R:$R,Schedule!$P:$P,$A87)+sumifs(Schedule!$U:$U,Schedule!$S:$S,$A87)+sumifs(Schedule!$X:$X,Schedule!$V:$V,$A87)+sumifs(Schedule!$AA:$AA,Schedule!$Y:$Y,$A87)+sumifs(Schedule!$AD:$AD,Schedule!$AB:$AB,$A87)+sumifs(Schedule!$AG:$AG,Schedule!$AE:$AE,$A87)+sumifs(Schedule!$AJ:$AJ,Schedule!$AH:$AH,$A87)+sumifs(Schedule!$AM:$AM,Schedule!$AK:$AK,$A87))</f>
        <v/>
      </c>
      <c r="K87" s="319" t="str">
        <f t="shared" si="2"/>
        <v/>
      </c>
      <c r="L87" s="320" t="str">
        <f>if(A87="","",countifs(Schedule!P$1:AK100,A87))</f>
        <v/>
      </c>
    </row>
    <row r="88">
      <c r="A88" s="322"/>
      <c r="B88" s="323" t="s">
        <v>22</v>
      </c>
      <c r="C88" s="317" t="s">
        <v>22</v>
      </c>
      <c r="D88" s="318" t="s">
        <v>22</v>
      </c>
      <c r="E88" s="255" t="str">
        <f>if($A88="","",COUNTIFS(Students!$A:$A,E$1,Students!$D:$D,$A88)+COUNTIFS(Students!$A:$A,E$1,Students!$F:$F,$A88)+COUNTIFS(Students!$A:$A,E$1,Students!$H:$H,$A88)+COUNTIFS(Students!$A:$A,E$1,Students!$J:$J,$A88)+COUNTIFS(Students!$A:$A,E$1,Students!$L:$L,$A88)+COUNTIFS(Students!$A:$A,E$1,Students!$N:$N,$A88)+COUNTIFS(Students!$A:$A,E$1,Students!$P:$P,$A88)+COUNTIFS(Students!$A:$A,E$1,Students!$R:$R,$A88)+COUNTIFS(Students!$A:$A,E$1,Students!$T:$T,$A88)+COUNTIFS(Students!$A:$A,E$1,Students!$V:$V,$A88))</f>
        <v/>
      </c>
      <c r="F88" s="255" t="str">
        <f>if($A88="","",COUNTIFS(Students!$A:$A,F$1,Students!$D:$D,$A88)+COUNTIFS(Students!$A:$A,F$1,Students!$F:$F,$A88)+COUNTIFS(Students!$A:$A,F$1,Students!$H:$H,$A88)+COUNTIFS(Students!$A:$A,F$1,Students!$J:$J,$A88)+COUNTIFS(Students!$A:$A,F$1,Students!$L:$L,$A88)+COUNTIFS(Students!$A:$A,F$1,Students!$N:$N,$A88)+COUNTIFS(Students!$A:$A,F$1,Students!$P:$P,$A88)+COUNTIFS(Students!$A:$A,F$1,Students!$R:$R,$A88)+COUNTIFS(Students!$A:$A,F$1,Students!$T:$T,$A88)+COUNTIFS(Students!$A:$A,F$1,Students!$V:$V,$A88))</f>
        <v/>
      </c>
      <c r="G88" s="255" t="str">
        <f>if($A88="","",COUNTIFS(Students!$A:$A,G$1,Students!$D:$D,$A88)+COUNTIFS(Students!$A:$A,G$1,Students!$F:$F,$A88)+COUNTIFS(Students!$A:$A,G$1,Students!$H:$H,$A88)+COUNTIFS(Students!$A:$A,G$1,Students!$J:$J,$A88)+COUNTIFS(Students!$A:$A,G$1,Students!$L:$L,$A88)+COUNTIFS(Students!$A:$A,G$1,Students!$N:$N,$A88)+COUNTIFS(Students!$A:$A,G$1,Students!$P:$P,$A88)+COUNTIFS(Students!$A:$A,G$1,Students!$R:$R,$A88)+COUNTIFS(Students!$A:$A,G$1,Students!$T:$T,$A88)+COUNTIFS(Students!$A:$A,G$1,Students!$V:$V,$A88))</f>
        <v/>
      </c>
      <c r="H88" s="255" t="str">
        <f>if($A88="","",COUNTIFS(Students!$A:$A,H$1,Students!$D:$D,$A88)+COUNTIFS(Students!$A:$A,H$1,Students!$F:$F,$A88)+COUNTIFS(Students!$A:$A,H$1,Students!$H:$H,$A88)+COUNTIFS(Students!$A:$A,H$1,Students!$J:$J,$A88)+COUNTIFS(Students!$A:$A,H$1,Students!$L:$L,$A88)+COUNTIFS(Students!$A:$A,H$1,Students!$N:$N,$A88)+COUNTIFS(Students!$A:$A,H$1,Students!$P:$P,$A88)+COUNTIFS(Students!$A:$A,H$1,Students!$R:$R,$A88)+COUNTIFS(Students!$A:$A,H$1,Students!$T:$T,$A88)+COUNTIFS(Students!$A:$A,H$1,Students!$V:$V,$A88))</f>
        <v/>
      </c>
      <c r="I88" s="319" t="str">
        <f t="shared" si="1"/>
        <v/>
      </c>
      <c r="J88" s="319" t="str">
        <f>if($A88="","",sumifs(Schedule!$R:$R,Schedule!$P:$P,$A88)+sumifs(Schedule!$U:$U,Schedule!$S:$S,$A88)+sumifs(Schedule!$X:$X,Schedule!$V:$V,$A88)+sumifs(Schedule!$AA:$AA,Schedule!$Y:$Y,$A88)+sumifs(Schedule!$AD:$AD,Schedule!$AB:$AB,$A88)+sumifs(Schedule!$AG:$AG,Schedule!$AE:$AE,$A88)+sumifs(Schedule!$AJ:$AJ,Schedule!$AH:$AH,$A88)+sumifs(Schedule!$AM:$AM,Schedule!$AK:$AK,$A88))</f>
        <v/>
      </c>
      <c r="K88" s="319" t="str">
        <f t="shared" si="2"/>
        <v/>
      </c>
      <c r="L88" s="320" t="str">
        <f>if(A88="","",countifs(Schedule!P$1:AK100,A88))</f>
        <v/>
      </c>
    </row>
    <row r="89">
      <c r="A89" s="322"/>
      <c r="B89" s="323" t="s">
        <v>22</v>
      </c>
      <c r="C89" s="317" t="s">
        <v>22</v>
      </c>
      <c r="D89" s="318" t="s">
        <v>22</v>
      </c>
      <c r="E89" s="255" t="str">
        <f>if($A89="","",COUNTIFS(Students!$A:$A,E$1,Students!$D:$D,$A89)+COUNTIFS(Students!$A:$A,E$1,Students!$F:$F,$A89)+COUNTIFS(Students!$A:$A,E$1,Students!$H:$H,$A89)+COUNTIFS(Students!$A:$A,E$1,Students!$J:$J,$A89)+COUNTIFS(Students!$A:$A,E$1,Students!$L:$L,$A89)+COUNTIFS(Students!$A:$A,E$1,Students!$N:$N,$A89)+COUNTIFS(Students!$A:$A,E$1,Students!$P:$P,$A89)+COUNTIFS(Students!$A:$A,E$1,Students!$R:$R,$A89)+COUNTIFS(Students!$A:$A,E$1,Students!$T:$T,$A89)+COUNTIFS(Students!$A:$A,E$1,Students!$V:$V,$A89))</f>
        <v/>
      </c>
      <c r="F89" s="255" t="str">
        <f>if($A89="","",COUNTIFS(Students!$A:$A,F$1,Students!$D:$D,$A89)+COUNTIFS(Students!$A:$A,F$1,Students!$F:$F,$A89)+COUNTIFS(Students!$A:$A,F$1,Students!$H:$H,$A89)+COUNTIFS(Students!$A:$A,F$1,Students!$J:$J,$A89)+COUNTIFS(Students!$A:$A,F$1,Students!$L:$L,$A89)+COUNTIFS(Students!$A:$A,F$1,Students!$N:$N,$A89)+COUNTIFS(Students!$A:$A,F$1,Students!$P:$P,$A89)+COUNTIFS(Students!$A:$A,F$1,Students!$R:$R,$A89)+COUNTIFS(Students!$A:$A,F$1,Students!$T:$T,$A89)+COUNTIFS(Students!$A:$A,F$1,Students!$V:$V,$A89))</f>
        <v/>
      </c>
      <c r="G89" s="255" t="str">
        <f>if($A89="","",COUNTIFS(Students!$A:$A,G$1,Students!$D:$D,$A89)+COUNTIFS(Students!$A:$A,G$1,Students!$F:$F,$A89)+COUNTIFS(Students!$A:$A,G$1,Students!$H:$H,$A89)+COUNTIFS(Students!$A:$A,G$1,Students!$J:$J,$A89)+COUNTIFS(Students!$A:$A,G$1,Students!$L:$L,$A89)+COUNTIFS(Students!$A:$A,G$1,Students!$N:$N,$A89)+COUNTIFS(Students!$A:$A,G$1,Students!$P:$P,$A89)+COUNTIFS(Students!$A:$A,G$1,Students!$R:$R,$A89)+COUNTIFS(Students!$A:$A,G$1,Students!$T:$T,$A89)+COUNTIFS(Students!$A:$A,G$1,Students!$V:$V,$A89))</f>
        <v/>
      </c>
      <c r="H89" s="255" t="str">
        <f>if($A89="","",COUNTIFS(Students!$A:$A,H$1,Students!$D:$D,$A89)+COUNTIFS(Students!$A:$A,H$1,Students!$F:$F,$A89)+COUNTIFS(Students!$A:$A,H$1,Students!$H:$H,$A89)+COUNTIFS(Students!$A:$A,H$1,Students!$J:$J,$A89)+COUNTIFS(Students!$A:$A,H$1,Students!$L:$L,$A89)+COUNTIFS(Students!$A:$A,H$1,Students!$N:$N,$A89)+COUNTIFS(Students!$A:$A,H$1,Students!$P:$P,$A89)+COUNTIFS(Students!$A:$A,H$1,Students!$R:$R,$A89)+COUNTIFS(Students!$A:$A,H$1,Students!$T:$T,$A89)+COUNTIFS(Students!$A:$A,H$1,Students!$V:$V,$A89))</f>
        <v/>
      </c>
      <c r="I89" s="319" t="str">
        <f t="shared" si="1"/>
        <v/>
      </c>
      <c r="J89" s="319" t="str">
        <f>if($A89="","",sumifs(Schedule!$R:$R,Schedule!$P:$P,$A89)+sumifs(Schedule!$U:$U,Schedule!$S:$S,$A89)+sumifs(Schedule!$X:$X,Schedule!$V:$V,$A89)+sumifs(Schedule!$AA:$AA,Schedule!$Y:$Y,$A89)+sumifs(Schedule!$AD:$AD,Schedule!$AB:$AB,$A89)+sumifs(Schedule!$AG:$AG,Schedule!$AE:$AE,$A89)+sumifs(Schedule!$AJ:$AJ,Schedule!$AH:$AH,$A89)+sumifs(Schedule!$AM:$AM,Schedule!$AK:$AK,$A89))</f>
        <v/>
      </c>
      <c r="K89" s="319" t="str">
        <f t="shared" si="2"/>
        <v/>
      </c>
      <c r="L89" s="320" t="str">
        <f>if(A89="","",countifs(Schedule!P$1:AK100,A89))</f>
        <v/>
      </c>
    </row>
    <row r="90">
      <c r="A90" s="322"/>
      <c r="B90" s="323" t="s">
        <v>22</v>
      </c>
      <c r="C90" s="317" t="s">
        <v>22</v>
      </c>
      <c r="D90" s="318" t="s">
        <v>22</v>
      </c>
      <c r="E90" s="255" t="str">
        <f>if($A90="","",COUNTIFS(Students!$A:$A,E$1,Students!$D:$D,$A90)+COUNTIFS(Students!$A:$A,E$1,Students!$F:$F,$A90)+COUNTIFS(Students!$A:$A,E$1,Students!$H:$H,$A90)+COUNTIFS(Students!$A:$A,E$1,Students!$J:$J,$A90)+COUNTIFS(Students!$A:$A,E$1,Students!$L:$L,$A90)+COUNTIFS(Students!$A:$A,E$1,Students!$N:$N,$A90)+COUNTIFS(Students!$A:$A,E$1,Students!$P:$P,$A90)+COUNTIFS(Students!$A:$A,E$1,Students!$R:$R,$A90)+COUNTIFS(Students!$A:$A,E$1,Students!$T:$T,$A90)+COUNTIFS(Students!$A:$A,E$1,Students!$V:$V,$A90))</f>
        <v/>
      </c>
      <c r="F90" s="255" t="str">
        <f>if($A90="","",COUNTIFS(Students!$A:$A,F$1,Students!$D:$D,$A90)+COUNTIFS(Students!$A:$A,F$1,Students!$F:$F,$A90)+COUNTIFS(Students!$A:$A,F$1,Students!$H:$H,$A90)+COUNTIFS(Students!$A:$A,F$1,Students!$J:$J,$A90)+COUNTIFS(Students!$A:$A,F$1,Students!$L:$L,$A90)+COUNTIFS(Students!$A:$A,F$1,Students!$N:$N,$A90)+COUNTIFS(Students!$A:$A,F$1,Students!$P:$P,$A90)+COUNTIFS(Students!$A:$A,F$1,Students!$R:$R,$A90)+COUNTIFS(Students!$A:$A,F$1,Students!$T:$T,$A90)+COUNTIFS(Students!$A:$A,F$1,Students!$V:$V,$A90))</f>
        <v/>
      </c>
      <c r="G90" s="255" t="str">
        <f>if($A90="","",COUNTIFS(Students!$A:$A,G$1,Students!$D:$D,$A90)+COUNTIFS(Students!$A:$A,G$1,Students!$F:$F,$A90)+COUNTIFS(Students!$A:$A,G$1,Students!$H:$H,$A90)+COUNTIFS(Students!$A:$A,G$1,Students!$J:$J,$A90)+COUNTIFS(Students!$A:$A,G$1,Students!$L:$L,$A90)+COUNTIFS(Students!$A:$A,G$1,Students!$N:$N,$A90)+COUNTIFS(Students!$A:$A,G$1,Students!$P:$P,$A90)+COUNTIFS(Students!$A:$A,G$1,Students!$R:$R,$A90)+COUNTIFS(Students!$A:$A,G$1,Students!$T:$T,$A90)+COUNTIFS(Students!$A:$A,G$1,Students!$V:$V,$A90))</f>
        <v/>
      </c>
      <c r="H90" s="255" t="str">
        <f>if($A90="","",COUNTIFS(Students!$A:$A,H$1,Students!$D:$D,$A90)+COUNTIFS(Students!$A:$A,H$1,Students!$F:$F,$A90)+COUNTIFS(Students!$A:$A,H$1,Students!$H:$H,$A90)+COUNTIFS(Students!$A:$A,H$1,Students!$J:$J,$A90)+COUNTIFS(Students!$A:$A,H$1,Students!$L:$L,$A90)+COUNTIFS(Students!$A:$A,H$1,Students!$N:$N,$A90)+COUNTIFS(Students!$A:$A,H$1,Students!$P:$P,$A90)+COUNTIFS(Students!$A:$A,H$1,Students!$R:$R,$A90)+COUNTIFS(Students!$A:$A,H$1,Students!$T:$T,$A90)+COUNTIFS(Students!$A:$A,H$1,Students!$V:$V,$A90))</f>
        <v/>
      </c>
      <c r="I90" s="319" t="str">
        <f t="shared" si="1"/>
        <v/>
      </c>
      <c r="J90" s="319" t="str">
        <f>if($A90="","",sumifs(Schedule!$R:$R,Schedule!$P:$P,$A90)+sumifs(Schedule!$U:$U,Schedule!$S:$S,$A90)+sumifs(Schedule!$X:$X,Schedule!$V:$V,$A90)+sumifs(Schedule!$AA:$AA,Schedule!$Y:$Y,$A90)+sumifs(Schedule!$AD:$AD,Schedule!$AB:$AB,$A90)+sumifs(Schedule!$AG:$AG,Schedule!$AE:$AE,$A90)+sumifs(Schedule!$AJ:$AJ,Schedule!$AH:$AH,$A90)+sumifs(Schedule!$AM:$AM,Schedule!$AK:$AK,$A90))</f>
        <v/>
      </c>
      <c r="K90" s="319" t="str">
        <f t="shared" si="2"/>
        <v/>
      </c>
      <c r="L90" s="320" t="str">
        <f>if(A90="","",countifs(Schedule!P$1:AK100,A90))</f>
        <v/>
      </c>
    </row>
    <row r="91">
      <c r="A91" s="322"/>
      <c r="B91" s="323" t="s">
        <v>22</v>
      </c>
      <c r="C91" s="317" t="s">
        <v>22</v>
      </c>
      <c r="D91" s="318" t="s">
        <v>22</v>
      </c>
      <c r="E91" s="255" t="str">
        <f>if($A91="","",COUNTIFS(Students!$A:$A,E$1,Students!$D:$D,$A91)+COUNTIFS(Students!$A:$A,E$1,Students!$F:$F,$A91)+COUNTIFS(Students!$A:$A,E$1,Students!$H:$H,$A91)+COUNTIFS(Students!$A:$A,E$1,Students!$J:$J,$A91)+COUNTIFS(Students!$A:$A,E$1,Students!$L:$L,$A91)+COUNTIFS(Students!$A:$A,E$1,Students!$N:$N,$A91)+COUNTIFS(Students!$A:$A,E$1,Students!$P:$P,$A91)+COUNTIFS(Students!$A:$A,E$1,Students!$R:$R,$A91)+COUNTIFS(Students!$A:$A,E$1,Students!$T:$T,$A91)+COUNTIFS(Students!$A:$A,E$1,Students!$V:$V,$A91))</f>
        <v/>
      </c>
      <c r="F91" s="255" t="str">
        <f>if($A91="","",COUNTIFS(Students!$A:$A,F$1,Students!$D:$D,$A91)+COUNTIFS(Students!$A:$A,F$1,Students!$F:$F,$A91)+COUNTIFS(Students!$A:$A,F$1,Students!$H:$H,$A91)+COUNTIFS(Students!$A:$A,F$1,Students!$J:$J,$A91)+COUNTIFS(Students!$A:$A,F$1,Students!$L:$L,$A91)+COUNTIFS(Students!$A:$A,F$1,Students!$N:$N,$A91)+COUNTIFS(Students!$A:$A,F$1,Students!$P:$P,$A91)+COUNTIFS(Students!$A:$A,F$1,Students!$R:$R,$A91)+COUNTIFS(Students!$A:$A,F$1,Students!$T:$T,$A91)+COUNTIFS(Students!$A:$A,F$1,Students!$V:$V,$A91))</f>
        <v/>
      </c>
      <c r="G91" s="255" t="str">
        <f>if($A91="","",COUNTIFS(Students!$A:$A,G$1,Students!$D:$D,$A91)+COUNTIFS(Students!$A:$A,G$1,Students!$F:$F,$A91)+COUNTIFS(Students!$A:$A,G$1,Students!$H:$H,$A91)+COUNTIFS(Students!$A:$A,G$1,Students!$J:$J,$A91)+COUNTIFS(Students!$A:$A,G$1,Students!$L:$L,$A91)+COUNTIFS(Students!$A:$A,G$1,Students!$N:$N,$A91)+COUNTIFS(Students!$A:$A,G$1,Students!$P:$P,$A91)+COUNTIFS(Students!$A:$A,G$1,Students!$R:$R,$A91)+COUNTIFS(Students!$A:$A,G$1,Students!$T:$T,$A91)+COUNTIFS(Students!$A:$A,G$1,Students!$V:$V,$A91))</f>
        <v/>
      </c>
      <c r="H91" s="255" t="str">
        <f>if($A91="","",COUNTIFS(Students!$A:$A,H$1,Students!$D:$D,$A91)+COUNTIFS(Students!$A:$A,H$1,Students!$F:$F,$A91)+COUNTIFS(Students!$A:$A,H$1,Students!$H:$H,$A91)+COUNTIFS(Students!$A:$A,H$1,Students!$J:$J,$A91)+COUNTIFS(Students!$A:$A,H$1,Students!$L:$L,$A91)+COUNTIFS(Students!$A:$A,H$1,Students!$N:$N,$A91)+COUNTIFS(Students!$A:$A,H$1,Students!$P:$P,$A91)+COUNTIFS(Students!$A:$A,H$1,Students!$R:$R,$A91)+COUNTIFS(Students!$A:$A,H$1,Students!$T:$T,$A91)+COUNTIFS(Students!$A:$A,H$1,Students!$V:$V,$A91))</f>
        <v/>
      </c>
      <c r="I91" s="319" t="str">
        <f t="shared" si="1"/>
        <v/>
      </c>
      <c r="J91" s="319" t="str">
        <f>if($A91="","",sumifs(Schedule!$R:$R,Schedule!$P:$P,$A91)+sumifs(Schedule!$U:$U,Schedule!$S:$S,$A91)+sumifs(Schedule!$X:$X,Schedule!$V:$V,$A91)+sumifs(Schedule!$AA:$AA,Schedule!$Y:$Y,$A91)+sumifs(Schedule!$AD:$AD,Schedule!$AB:$AB,$A91)+sumifs(Schedule!$AG:$AG,Schedule!$AE:$AE,$A91)+sumifs(Schedule!$AJ:$AJ,Schedule!$AH:$AH,$A91)+sumifs(Schedule!$AM:$AM,Schedule!$AK:$AK,$A91))</f>
        <v/>
      </c>
      <c r="K91" s="319" t="str">
        <f t="shared" si="2"/>
        <v/>
      </c>
      <c r="L91" s="320" t="str">
        <f>if(A91="","",countifs(Schedule!P$1:AK100,A91))</f>
        <v/>
      </c>
    </row>
    <row r="92">
      <c r="A92" s="322"/>
      <c r="B92" s="323" t="s">
        <v>22</v>
      </c>
      <c r="C92" s="317" t="s">
        <v>22</v>
      </c>
      <c r="D92" s="318" t="s">
        <v>22</v>
      </c>
      <c r="E92" s="255" t="str">
        <f>if($A92="","",COUNTIFS(Students!$A:$A,E$1,Students!$D:$D,$A92)+COUNTIFS(Students!$A:$A,E$1,Students!$F:$F,$A92)+COUNTIFS(Students!$A:$A,E$1,Students!$H:$H,$A92)+COUNTIFS(Students!$A:$A,E$1,Students!$J:$J,$A92)+COUNTIFS(Students!$A:$A,E$1,Students!$L:$L,$A92)+COUNTIFS(Students!$A:$A,E$1,Students!$N:$N,$A92)+COUNTIFS(Students!$A:$A,E$1,Students!$P:$P,$A92)+COUNTIFS(Students!$A:$A,E$1,Students!$R:$R,$A92)+COUNTIFS(Students!$A:$A,E$1,Students!$T:$T,$A92)+COUNTIFS(Students!$A:$A,E$1,Students!$V:$V,$A92))</f>
        <v/>
      </c>
      <c r="F92" s="255" t="str">
        <f>if($A92="","",COUNTIFS(Students!$A:$A,F$1,Students!$D:$D,$A92)+COUNTIFS(Students!$A:$A,F$1,Students!$F:$F,$A92)+COUNTIFS(Students!$A:$A,F$1,Students!$H:$H,$A92)+COUNTIFS(Students!$A:$A,F$1,Students!$J:$J,$A92)+COUNTIFS(Students!$A:$A,F$1,Students!$L:$L,$A92)+COUNTIFS(Students!$A:$A,F$1,Students!$N:$N,$A92)+COUNTIFS(Students!$A:$A,F$1,Students!$P:$P,$A92)+COUNTIFS(Students!$A:$A,F$1,Students!$R:$R,$A92)+COUNTIFS(Students!$A:$A,F$1,Students!$T:$T,$A92)+COUNTIFS(Students!$A:$A,F$1,Students!$V:$V,$A92))</f>
        <v/>
      </c>
      <c r="G92" s="255" t="str">
        <f>if($A92="","",COUNTIFS(Students!$A:$A,G$1,Students!$D:$D,$A92)+COUNTIFS(Students!$A:$A,G$1,Students!$F:$F,$A92)+COUNTIFS(Students!$A:$A,G$1,Students!$H:$H,$A92)+COUNTIFS(Students!$A:$A,G$1,Students!$J:$J,$A92)+COUNTIFS(Students!$A:$A,G$1,Students!$L:$L,$A92)+COUNTIFS(Students!$A:$A,G$1,Students!$N:$N,$A92)+COUNTIFS(Students!$A:$A,G$1,Students!$P:$P,$A92)+COUNTIFS(Students!$A:$A,G$1,Students!$R:$R,$A92)+COUNTIFS(Students!$A:$A,G$1,Students!$T:$T,$A92)+COUNTIFS(Students!$A:$A,G$1,Students!$V:$V,$A92))</f>
        <v/>
      </c>
      <c r="H92" s="255" t="str">
        <f>if($A92="","",COUNTIFS(Students!$A:$A,H$1,Students!$D:$D,$A92)+COUNTIFS(Students!$A:$A,H$1,Students!$F:$F,$A92)+COUNTIFS(Students!$A:$A,H$1,Students!$H:$H,$A92)+COUNTIFS(Students!$A:$A,H$1,Students!$J:$J,$A92)+COUNTIFS(Students!$A:$A,H$1,Students!$L:$L,$A92)+COUNTIFS(Students!$A:$A,H$1,Students!$N:$N,$A92)+COUNTIFS(Students!$A:$A,H$1,Students!$P:$P,$A92)+COUNTIFS(Students!$A:$A,H$1,Students!$R:$R,$A92)+COUNTIFS(Students!$A:$A,H$1,Students!$T:$T,$A92)+COUNTIFS(Students!$A:$A,H$1,Students!$V:$V,$A92))</f>
        <v/>
      </c>
      <c r="I92" s="319" t="str">
        <f t="shared" si="1"/>
        <v/>
      </c>
      <c r="J92" s="319" t="str">
        <f>if($A92="","",sumifs(Schedule!$R:$R,Schedule!$P:$P,$A92)+sumifs(Schedule!$U:$U,Schedule!$S:$S,$A92)+sumifs(Schedule!$X:$X,Schedule!$V:$V,$A92)+sumifs(Schedule!$AA:$AA,Schedule!$Y:$Y,$A92)+sumifs(Schedule!$AD:$AD,Schedule!$AB:$AB,$A92)+sumifs(Schedule!$AG:$AG,Schedule!$AE:$AE,$A92)+sumifs(Schedule!$AJ:$AJ,Schedule!$AH:$AH,$A92)+sumifs(Schedule!$AM:$AM,Schedule!$AK:$AK,$A92))</f>
        <v/>
      </c>
      <c r="K92" s="319" t="str">
        <f t="shared" si="2"/>
        <v/>
      </c>
      <c r="L92" s="320" t="str">
        <f>if(A92="","",countifs(Schedule!P$1:AK100,A92))</f>
        <v/>
      </c>
    </row>
    <row r="93">
      <c r="A93" s="322"/>
      <c r="B93" s="323" t="s">
        <v>22</v>
      </c>
      <c r="C93" s="317" t="s">
        <v>22</v>
      </c>
      <c r="D93" s="318" t="s">
        <v>22</v>
      </c>
      <c r="E93" s="255" t="str">
        <f>if($A93="","",COUNTIFS(Students!$A:$A,E$1,Students!$D:$D,$A93)+COUNTIFS(Students!$A:$A,E$1,Students!$F:$F,$A93)+COUNTIFS(Students!$A:$A,E$1,Students!$H:$H,$A93)+COUNTIFS(Students!$A:$A,E$1,Students!$J:$J,$A93)+COUNTIFS(Students!$A:$A,E$1,Students!$L:$L,$A93)+COUNTIFS(Students!$A:$A,E$1,Students!$N:$N,$A93)+COUNTIFS(Students!$A:$A,E$1,Students!$P:$P,$A93)+COUNTIFS(Students!$A:$A,E$1,Students!$R:$R,$A93)+COUNTIFS(Students!$A:$A,E$1,Students!$T:$T,$A93)+COUNTIFS(Students!$A:$A,E$1,Students!$V:$V,$A93))</f>
        <v/>
      </c>
      <c r="F93" s="255" t="str">
        <f>if($A93="","",COUNTIFS(Students!$A:$A,F$1,Students!$D:$D,$A93)+COUNTIFS(Students!$A:$A,F$1,Students!$F:$F,$A93)+COUNTIFS(Students!$A:$A,F$1,Students!$H:$H,$A93)+COUNTIFS(Students!$A:$A,F$1,Students!$J:$J,$A93)+COUNTIFS(Students!$A:$A,F$1,Students!$L:$L,$A93)+COUNTIFS(Students!$A:$A,F$1,Students!$N:$N,$A93)+COUNTIFS(Students!$A:$A,F$1,Students!$P:$P,$A93)+COUNTIFS(Students!$A:$A,F$1,Students!$R:$R,$A93)+COUNTIFS(Students!$A:$A,F$1,Students!$T:$T,$A93)+COUNTIFS(Students!$A:$A,F$1,Students!$V:$V,$A93))</f>
        <v/>
      </c>
      <c r="G93" s="255" t="str">
        <f>if($A93="","",COUNTIFS(Students!$A:$A,G$1,Students!$D:$D,$A93)+COUNTIFS(Students!$A:$A,G$1,Students!$F:$F,$A93)+COUNTIFS(Students!$A:$A,G$1,Students!$H:$H,$A93)+COUNTIFS(Students!$A:$A,G$1,Students!$J:$J,$A93)+COUNTIFS(Students!$A:$A,G$1,Students!$L:$L,$A93)+COUNTIFS(Students!$A:$A,G$1,Students!$N:$N,$A93)+COUNTIFS(Students!$A:$A,G$1,Students!$P:$P,$A93)+COUNTIFS(Students!$A:$A,G$1,Students!$R:$R,$A93)+COUNTIFS(Students!$A:$A,G$1,Students!$T:$T,$A93)+COUNTIFS(Students!$A:$A,G$1,Students!$V:$V,$A93))</f>
        <v/>
      </c>
      <c r="H93" s="255" t="str">
        <f>if($A93="","",COUNTIFS(Students!$A:$A,H$1,Students!$D:$D,$A93)+COUNTIFS(Students!$A:$A,H$1,Students!$F:$F,$A93)+COUNTIFS(Students!$A:$A,H$1,Students!$H:$H,$A93)+COUNTIFS(Students!$A:$A,H$1,Students!$J:$J,$A93)+COUNTIFS(Students!$A:$A,H$1,Students!$L:$L,$A93)+COUNTIFS(Students!$A:$A,H$1,Students!$N:$N,$A93)+COUNTIFS(Students!$A:$A,H$1,Students!$P:$P,$A93)+COUNTIFS(Students!$A:$A,H$1,Students!$R:$R,$A93)+COUNTIFS(Students!$A:$A,H$1,Students!$T:$T,$A93)+COUNTIFS(Students!$A:$A,H$1,Students!$V:$V,$A93))</f>
        <v/>
      </c>
      <c r="I93" s="319" t="str">
        <f t="shared" si="1"/>
        <v/>
      </c>
      <c r="J93" s="319" t="str">
        <f>if($A93="","",sumifs(Schedule!$R:$R,Schedule!$P:$P,$A93)+sumifs(Schedule!$U:$U,Schedule!$S:$S,$A93)+sumifs(Schedule!$X:$X,Schedule!$V:$V,$A93)+sumifs(Schedule!$AA:$AA,Schedule!$Y:$Y,$A93)+sumifs(Schedule!$AD:$AD,Schedule!$AB:$AB,$A93)+sumifs(Schedule!$AG:$AG,Schedule!$AE:$AE,$A93)+sumifs(Schedule!$AJ:$AJ,Schedule!$AH:$AH,$A93)+sumifs(Schedule!$AM:$AM,Schedule!$AK:$AK,$A93))</f>
        <v/>
      </c>
      <c r="K93" s="319" t="str">
        <f t="shared" si="2"/>
        <v/>
      </c>
      <c r="L93" s="320" t="str">
        <f>if(A93="","",countifs(Schedule!P$1:AK100,A93))</f>
        <v/>
      </c>
    </row>
    <row r="94">
      <c r="A94" s="322"/>
      <c r="B94" s="323" t="s">
        <v>22</v>
      </c>
      <c r="C94" s="317" t="s">
        <v>22</v>
      </c>
      <c r="D94" s="318" t="s">
        <v>22</v>
      </c>
      <c r="E94" s="255" t="str">
        <f>if($A94="","",COUNTIFS(Students!$A:$A,E$1,Students!$D:$D,$A94)+COUNTIFS(Students!$A:$A,E$1,Students!$F:$F,$A94)+COUNTIFS(Students!$A:$A,E$1,Students!$H:$H,$A94)+COUNTIFS(Students!$A:$A,E$1,Students!$J:$J,$A94)+COUNTIFS(Students!$A:$A,E$1,Students!$L:$L,$A94)+COUNTIFS(Students!$A:$A,E$1,Students!$N:$N,$A94)+COUNTIFS(Students!$A:$A,E$1,Students!$P:$P,$A94)+COUNTIFS(Students!$A:$A,E$1,Students!$R:$R,$A94)+COUNTIFS(Students!$A:$A,E$1,Students!$T:$T,$A94)+COUNTIFS(Students!$A:$A,E$1,Students!$V:$V,$A94))</f>
        <v/>
      </c>
      <c r="F94" s="255" t="str">
        <f>if($A94="","",COUNTIFS(Students!$A:$A,F$1,Students!$D:$D,$A94)+COUNTIFS(Students!$A:$A,F$1,Students!$F:$F,$A94)+COUNTIFS(Students!$A:$A,F$1,Students!$H:$H,$A94)+COUNTIFS(Students!$A:$A,F$1,Students!$J:$J,$A94)+COUNTIFS(Students!$A:$A,F$1,Students!$L:$L,$A94)+COUNTIFS(Students!$A:$A,F$1,Students!$N:$N,$A94)+COUNTIFS(Students!$A:$A,F$1,Students!$P:$P,$A94)+COUNTIFS(Students!$A:$A,F$1,Students!$R:$R,$A94)+COUNTIFS(Students!$A:$A,F$1,Students!$T:$T,$A94)+COUNTIFS(Students!$A:$A,F$1,Students!$V:$V,$A94))</f>
        <v/>
      </c>
      <c r="G94" s="255" t="str">
        <f>if($A94="","",COUNTIFS(Students!$A:$A,G$1,Students!$D:$D,$A94)+COUNTIFS(Students!$A:$A,G$1,Students!$F:$F,$A94)+COUNTIFS(Students!$A:$A,G$1,Students!$H:$H,$A94)+COUNTIFS(Students!$A:$A,G$1,Students!$J:$J,$A94)+COUNTIFS(Students!$A:$A,G$1,Students!$L:$L,$A94)+COUNTIFS(Students!$A:$A,G$1,Students!$N:$N,$A94)+COUNTIFS(Students!$A:$A,G$1,Students!$P:$P,$A94)+COUNTIFS(Students!$A:$A,G$1,Students!$R:$R,$A94)+COUNTIFS(Students!$A:$A,G$1,Students!$T:$T,$A94)+COUNTIFS(Students!$A:$A,G$1,Students!$V:$V,$A94))</f>
        <v/>
      </c>
      <c r="H94" s="255" t="str">
        <f>if($A94="","",COUNTIFS(Students!$A:$A,H$1,Students!$D:$D,$A94)+COUNTIFS(Students!$A:$A,H$1,Students!$F:$F,$A94)+COUNTIFS(Students!$A:$A,H$1,Students!$H:$H,$A94)+COUNTIFS(Students!$A:$A,H$1,Students!$J:$J,$A94)+COUNTIFS(Students!$A:$A,H$1,Students!$L:$L,$A94)+COUNTIFS(Students!$A:$A,H$1,Students!$N:$N,$A94)+COUNTIFS(Students!$A:$A,H$1,Students!$P:$P,$A94)+COUNTIFS(Students!$A:$A,H$1,Students!$R:$R,$A94)+COUNTIFS(Students!$A:$A,H$1,Students!$T:$T,$A94)+COUNTIFS(Students!$A:$A,H$1,Students!$V:$V,$A94))</f>
        <v/>
      </c>
      <c r="I94" s="319" t="str">
        <f t="shared" si="1"/>
        <v/>
      </c>
      <c r="J94" s="319" t="str">
        <f>if($A94="","",sumifs(Schedule!$R:$R,Schedule!$P:$P,$A94)+sumifs(Schedule!$U:$U,Schedule!$S:$S,$A94)+sumifs(Schedule!$X:$X,Schedule!$V:$V,$A94)+sumifs(Schedule!$AA:$AA,Schedule!$Y:$Y,$A94)+sumifs(Schedule!$AD:$AD,Schedule!$AB:$AB,$A94)+sumifs(Schedule!$AG:$AG,Schedule!$AE:$AE,$A94)+sumifs(Schedule!$AJ:$AJ,Schedule!$AH:$AH,$A94)+sumifs(Schedule!$AM:$AM,Schedule!$AK:$AK,$A94))</f>
        <v/>
      </c>
      <c r="K94" s="319" t="str">
        <f t="shared" si="2"/>
        <v/>
      </c>
      <c r="L94" s="320" t="str">
        <f>if(A94="","",countifs(Schedule!P$1:AK100,A94))</f>
        <v/>
      </c>
    </row>
    <row r="95">
      <c r="A95" s="322"/>
      <c r="B95" s="323" t="s">
        <v>22</v>
      </c>
      <c r="C95" s="317" t="s">
        <v>22</v>
      </c>
      <c r="D95" s="318" t="s">
        <v>22</v>
      </c>
      <c r="E95" s="255" t="str">
        <f>if($A95="","",COUNTIFS(Students!$A:$A,E$1,Students!$D:$D,$A95)+COUNTIFS(Students!$A:$A,E$1,Students!$F:$F,$A95)+COUNTIFS(Students!$A:$A,E$1,Students!$H:$H,$A95)+COUNTIFS(Students!$A:$A,E$1,Students!$J:$J,$A95)+COUNTIFS(Students!$A:$A,E$1,Students!$L:$L,$A95)+COUNTIFS(Students!$A:$A,E$1,Students!$N:$N,$A95)+COUNTIFS(Students!$A:$A,E$1,Students!$P:$P,$A95)+COUNTIFS(Students!$A:$A,E$1,Students!$R:$R,$A95)+COUNTIFS(Students!$A:$A,E$1,Students!$T:$T,$A95)+COUNTIFS(Students!$A:$A,E$1,Students!$V:$V,$A95))</f>
        <v/>
      </c>
      <c r="F95" s="255" t="str">
        <f>if($A95="","",COUNTIFS(Students!$A:$A,F$1,Students!$D:$D,$A95)+COUNTIFS(Students!$A:$A,F$1,Students!$F:$F,$A95)+COUNTIFS(Students!$A:$A,F$1,Students!$H:$H,$A95)+COUNTIFS(Students!$A:$A,F$1,Students!$J:$J,$A95)+COUNTIFS(Students!$A:$A,F$1,Students!$L:$L,$A95)+COUNTIFS(Students!$A:$A,F$1,Students!$N:$N,$A95)+COUNTIFS(Students!$A:$A,F$1,Students!$P:$P,$A95)+COUNTIFS(Students!$A:$A,F$1,Students!$R:$R,$A95)+COUNTIFS(Students!$A:$A,F$1,Students!$T:$T,$A95)+COUNTIFS(Students!$A:$A,F$1,Students!$V:$V,$A95))</f>
        <v/>
      </c>
      <c r="G95" s="255" t="str">
        <f>if($A95="","",COUNTIFS(Students!$A:$A,G$1,Students!$D:$D,$A95)+COUNTIFS(Students!$A:$A,G$1,Students!$F:$F,$A95)+COUNTIFS(Students!$A:$A,G$1,Students!$H:$H,$A95)+COUNTIFS(Students!$A:$A,G$1,Students!$J:$J,$A95)+COUNTIFS(Students!$A:$A,G$1,Students!$L:$L,$A95)+COUNTIFS(Students!$A:$A,G$1,Students!$N:$N,$A95)+COUNTIFS(Students!$A:$A,G$1,Students!$P:$P,$A95)+COUNTIFS(Students!$A:$A,G$1,Students!$R:$R,$A95)+COUNTIFS(Students!$A:$A,G$1,Students!$T:$T,$A95)+COUNTIFS(Students!$A:$A,G$1,Students!$V:$V,$A95))</f>
        <v/>
      </c>
      <c r="H95" s="255" t="str">
        <f>if($A95="","",COUNTIFS(Students!$A:$A,H$1,Students!$D:$D,$A95)+COUNTIFS(Students!$A:$A,H$1,Students!$F:$F,$A95)+COUNTIFS(Students!$A:$A,H$1,Students!$H:$H,$A95)+COUNTIFS(Students!$A:$A,H$1,Students!$J:$J,$A95)+COUNTIFS(Students!$A:$A,H$1,Students!$L:$L,$A95)+COUNTIFS(Students!$A:$A,H$1,Students!$N:$N,$A95)+COUNTIFS(Students!$A:$A,H$1,Students!$P:$P,$A95)+COUNTIFS(Students!$A:$A,H$1,Students!$R:$R,$A95)+COUNTIFS(Students!$A:$A,H$1,Students!$T:$T,$A95)+COUNTIFS(Students!$A:$A,H$1,Students!$V:$V,$A95))</f>
        <v/>
      </c>
      <c r="I95" s="319" t="str">
        <f t="shared" si="1"/>
        <v/>
      </c>
      <c r="J95" s="319" t="str">
        <f>if($A95="","",sumifs(Schedule!$R:$R,Schedule!$P:$P,$A95)+sumifs(Schedule!$U:$U,Schedule!$S:$S,$A95)+sumifs(Schedule!$X:$X,Schedule!$V:$V,$A95)+sumifs(Schedule!$AA:$AA,Schedule!$Y:$Y,$A95)+sumifs(Schedule!$AD:$AD,Schedule!$AB:$AB,$A95)+sumifs(Schedule!$AG:$AG,Schedule!$AE:$AE,$A95)+sumifs(Schedule!$AJ:$AJ,Schedule!$AH:$AH,$A95)+sumifs(Schedule!$AM:$AM,Schedule!$AK:$AK,$A95))</f>
        <v/>
      </c>
      <c r="K95" s="319" t="str">
        <f t="shared" si="2"/>
        <v/>
      </c>
      <c r="L95" s="320" t="str">
        <f>if(A95="","",countifs(Schedule!P$1:AK100,A95))</f>
        <v/>
      </c>
    </row>
    <row r="96">
      <c r="A96" s="322"/>
      <c r="B96" s="323" t="s">
        <v>22</v>
      </c>
      <c r="C96" s="317" t="s">
        <v>22</v>
      </c>
      <c r="D96" s="318" t="s">
        <v>22</v>
      </c>
      <c r="E96" s="255" t="str">
        <f>if($A96="","",COUNTIFS(Students!$A:$A,E$1,Students!$D:$D,$A96)+COUNTIFS(Students!$A:$A,E$1,Students!$F:$F,$A96)+COUNTIFS(Students!$A:$A,E$1,Students!$H:$H,$A96)+COUNTIFS(Students!$A:$A,E$1,Students!$J:$J,$A96)+COUNTIFS(Students!$A:$A,E$1,Students!$L:$L,$A96)+COUNTIFS(Students!$A:$A,E$1,Students!$N:$N,$A96)+COUNTIFS(Students!$A:$A,E$1,Students!$P:$P,$A96)+COUNTIFS(Students!$A:$A,E$1,Students!$R:$R,$A96)+COUNTIFS(Students!$A:$A,E$1,Students!$T:$T,$A96)+COUNTIFS(Students!$A:$A,E$1,Students!$V:$V,$A96))</f>
        <v/>
      </c>
      <c r="F96" s="255" t="str">
        <f>if($A96="","",COUNTIFS(Students!$A:$A,F$1,Students!$D:$D,$A96)+COUNTIFS(Students!$A:$A,F$1,Students!$F:$F,$A96)+COUNTIFS(Students!$A:$A,F$1,Students!$H:$H,$A96)+COUNTIFS(Students!$A:$A,F$1,Students!$J:$J,$A96)+COUNTIFS(Students!$A:$A,F$1,Students!$L:$L,$A96)+COUNTIFS(Students!$A:$A,F$1,Students!$N:$N,$A96)+COUNTIFS(Students!$A:$A,F$1,Students!$P:$P,$A96)+COUNTIFS(Students!$A:$A,F$1,Students!$R:$R,$A96)+COUNTIFS(Students!$A:$A,F$1,Students!$T:$T,$A96)+COUNTIFS(Students!$A:$A,F$1,Students!$V:$V,$A96))</f>
        <v/>
      </c>
      <c r="G96" s="255" t="str">
        <f>if($A96="","",COUNTIFS(Students!$A:$A,G$1,Students!$D:$D,$A96)+COUNTIFS(Students!$A:$A,G$1,Students!$F:$F,$A96)+COUNTIFS(Students!$A:$A,G$1,Students!$H:$H,$A96)+COUNTIFS(Students!$A:$A,G$1,Students!$J:$J,$A96)+COUNTIFS(Students!$A:$A,G$1,Students!$L:$L,$A96)+COUNTIFS(Students!$A:$A,G$1,Students!$N:$N,$A96)+COUNTIFS(Students!$A:$A,G$1,Students!$P:$P,$A96)+COUNTIFS(Students!$A:$A,G$1,Students!$R:$R,$A96)+COUNTIFS(Students!$A:$A,G$1,Students!$T:$T,$A96)+COUNTIFS(Students!$A:$A,G$1,Students!$V:$V,$A96))</f>
        <v/>
      </c>
      <c r="H96" s="255" t="str">
        <f>if($A96="","",COUNTIFS(Students!$A:$A,H$1,Students!$D:$D,$A96)+COUNTIFS(Students!$A:$A,H$1,Students!$F:$F,$A96)+COUNTIFS(Students!$A:$A,H$1,Students!$H:$H,$A96)+COUNTIFS(Students!$A:$A,H$1,Students!$J:$J,$A96)+COUNTIFS(Students!$A:$A,H$1,Students!$L:$L,$A96)+COUNTIFS(Students!$A:$A,H$1,Students!$N:$N,$A96)+COUNTIFS(Students!$A:$A,H$1,Students!$P:$P,$A96)+COUNTIFS(Students!$A:$A,H$1,Students!$R:$R,$A96)+COUNTIFS(Students!$A:$A,H$1,Students!$T:$T,$A96)+COUNTIFS(Students!$A:$A,H$1,Students!$V:$V,$A96))</f>
        <v/>
      </c>
      <c r="I96" s="319" t="str">
        <f t="shared" si="1"/>
        <v/>
      </c>
      <c r="J96" s="319" t="str">
        <f>if($A96="","",sumifs(Schedule!$R:$R,Schedule!$P:$P,$A96)+sumifs(Schedule!$U:$U,Schedule!$S:$S,$A96)+sumifs(Schedule!$X:$X,Schedule!$V:$V,$A96)+sumifs(Schedule!$AA:$AA,Schedule!$Y:$Y,$A96)+sumifs(Schedule!$AD:$AD,Schedule!$AB:$AB,$A96)+sumifs(Schedule!$AG:$AG,Schedule!$AE:$AE,$A96)+sumifs(Schedule!$AJ:$AJ,Schedule!$AH:$AH,$A96)+sumifs(Schedule!$AM:$AM,Schedule!$AK:$AK,$A96))</f>
        <v/>
      </c>
      <c r="K96" s="319" t="str">
        <f t="shared" si="2"/>
        <v/>
      </c>
      <c r="L96" s="320" t="str">
        <f>if(A96="","",countifs(Schedule!P$1:AK100,A96))</f>
        <v/>
      </c>
    </row>
    <row r="97">
      <c r="A97" s="322"/>
      <c r="B97" s="323" t="s">
        <v>22</v>
      </c>
      <c r="C97" s="317" t="s">
        <v>22</v>
      </c>
      <c r="D97" s="318" t="s">
        <v>22</v>
      </c>
      <c r="E97" s="255" t="str">
        <f>if($A97="","",COUNTIFS(Students!$A:$A,E$1,Students!$D:$D,$A97)+COUNTIFS(Students!$A:$A,E$1,Students!$F:$F,$A97)+COUNTIFS(Students!$A:$A,E$1,Students!$H:$H,$A97)+COUNTIFS(Students!$A:$A,E$1,Students!$J:$J,$A97)+COUNTIFS(Students!$A:$A,E$1,Students!$L:$L,$A97)+COUNTIFS(Students!$A:$A,E$1,Students!$N:$N,$A97)+COUNTIFS(Students!$A:$A,E$1,Students!$P:$P,$A97)+COUNTIFS(Students!$A:$A,E$1,Students!$R:$R,$A97)+COUNTIFS(Students!$A:$A,E$1,Students!$T:$T,$A97)+COUNTIFS(Students!$A:$A,E$1,Students!$V:$V,$A97))</f>
        <v/>
      </c>
      <c r="F97" s="255" t="str">
        <f>if($A97="","",COUNTIFS(Students!$A:$A,F$1,Students!$D:$D,$A97)+COUNTIFS(Students!$A:$A,F$1,Students!$F:$F,$A97)+COUNTIFS(Students!$A:$A,F$1,Students!$H:$H,$A97)+COUNTIFS(Students!$A:$A,F$1,Students!$J:$J,$A97)+COUNTIFS(Students!$A:$A,F$1,Students!$L:$L,$A97)+COUNTIFS(Students!$A:$A,F$1,Students!$N:$N,$A97)+COUNTIFS(Students!$A:$A,F$1,Students!$P:$P,$A97)+COUNTIFS(Students!$A:$A,F$1,Students!$R:$R,$A97)+COUNTIFS(Students!$A:$A,F$1,Students!$T:$T,$A97)+COUNTIFS(Students!$A:$A,F$1,Students!$V:$V,$A97))</f>
        <v/>
      </c>
      <c r="G97" s="255" t="str">
        <f>if($A97="","",COUNTIFS(Students!$A:$A,G$1,Students!$D:$D,$A97)+COUNTIFS(Students!$A:$A,G$1,Students!$F:$F,$A97)+COUNTIFS(Students!$A:$A,G$1,Students!$H:$H,$A97)+COUNTIFS(Students!$A:$A,G$1,Students!$J:$J,$A97)+COUNTIFS(Students!$A:$A,G$1,Students!$L:$L,$A97)+COUNTIFS(Students!$A:$A,G$1,Students!$N:$N,$A97)+COUNTIFS(Students!$A:$A,G$1,Students!$P:$P,$A97)+COUNTIFS(Students!$A:$A,G$1,Students!$R:$R,$A97)+COUNTIFS(Students!$A:$A,G$1,Students!$T:$T,$A97)+COUNTIFS(Students!$A:$A,G$1,Students!$V:$V,$A97))</f>
        <v/>
      </c>
      <c r="H97" s="255" t="str">
        <f>if($A97="","",COUNTIFS(Students!$A:$A,H$1,Students!$D:$D,$A97)+COUNTIFS(Students!$A:$A,H$1,Students!$F:$F,$A97)+COUNTIFS(Students!$A:$A,H$1,Students!$H:$H,$A97)+COUNTIFS(Students!$A:$A,H$1,Students!$J:$J,$A97)+COUNTIFS(Students!$A:$A,H$1,Students!$L:$L,$A97)+COUNTIFS(Students!$A:$A,H$1,Students!$N:$N,$A97)+COUNTIFS(Students!$A:$A,H$1,Students!$P:$P,$A97)+COUNTIFS(Students!$A:$A,H$1,Students!$R:$R,$A97)+COUNTIFS(Students!$A:$A,H$1,Students!$T:$T,$A97)+COUNTIFS(Students!$A:$A,H$1,Students!$V:$V,$A97))</f>
        <v/>
      </c>
      <c r="I97" s="319" t="str">
        <f t="shared" si="1"/>
        <v/>
      </c>
      <c r="J97" s="319" t="str">
        <f>if($A97="","",sumifs(Schedule!$R:$R,Schedule!$P:$P,$A97)+sumifs(Schedule!$U:$U,Schedule!$S:$S,$A97)+sumifs(Schedule!$X:$X,Schedule!$V:$V,$A97)+sumifs(Schedule!$AA:$AA,Schedule!$Y:$Y,$A97)+sumifs(Schedule!$AD:$AD,Schedule!$AB:$AB,$A97)+sumifs(Schedule!$AG:$AG,Schedule!$AE:$AE,$A97)+sumifs(Schedule!$AJ:$AJ,Schedule!$AH:$AH,$A97)+sumifs(Schedule!$AM:$AM,Schedule!$AK:$AK,$A97))</f>
        <v/>
      </c>
      <c r="K97" s="319" t="str">
        <f t="shared" si="2"/>
        <v/>
      </c>
      <c r="L97" s="320" t="str">
        <f>if(A97="","",countifs(Schedule!P$1:AK100,A97))</f>
        <v/>
      </c>
    </row>
    <row r="98">
      <c r="A98" s="322"/>
      <c r="B98" s="323" t="s">
        <v>22</v>
      </c>
      <c r="C98" s="317" t="s">
        <v>22</v>
      </c>
      <c r="D98" s="318" t="s">
        <v>22</v>
      </c>
      <c r="E98" s="255" t="str">
        <f>if($A98="","",COUNTIFS(Students!$A:$A,E$1,Students!$D:$D,$A98)+COUNTIFS(Students!$A:$A,E$1,Students!$F:$F,$A98)+COUNTIFS(Students!$A:$A,E$1,Students!$H:$H,$A98)+COUNTIFS(Students!$A:$A,E$1,Students!$J:$J,$A98)+COUNTIFS(Students!$A:$A,E$1,Students!$L:$L,$A98)+COUNTIFS(Students!$A:$A,E$1,Students!$N:$N,$A98)+COUNTIFS(Students!$A:$A,E$1,Students!$P:$P,$A98)+COUNTIFS(Students!$A:$A,E$1,Students!$R:$R,$A98)+COUNTIFS(Students!$A:$A,E$1,Students!$T:$T,$A98)+COUNTIFS(Students!$A:$A,E$1,Students!$V:$V,$A98))</f>
        <v/>
      </c>
      <c r="F98" s="255" t="str">
        <f>if($A98="","",COUNTIFS(Students!$A:$A,F$1,Students!$D:$D,$A98)+COUNTIFS(Students!$A:$A,F$1,Students!$F:$F,$A98)+COUNTIFS(Students!$A:$A,F$1,Students!$H:$H,$A98)+COUNTIFS(Students!$A:$A,F$1,Students!$J:$J,$A98)+COUNTIFS(Students!$A:$A,F$1,Students!$L:$L,$A98)+COUNTIFS(Students!$A:$A,F$1,Students!$N:$N,$A98)+COUNTIFS(Students!$A:$A,F$1,Students!$P:$P,$A98)+COUNTIFS(Students!$A:$A,F$1,Students!$R:$R,$A98)+COUNTIFS(Students!$A:$A,F$1,Students!$T:$T,$A98)+COUNTIFS(Students!$A:$A,F$1,Students!$V:$V,$A98))</f>
        <v/>
      </c>
      <c r="G98" s="255" t="str">
        <f>if($A98="","",COUNTIFS(Students!$A:$A,G$1,Students!$D:$D,$A98)+COUNTIFS(Students!$A:$A,G$1,Students!$F:$F,$A98)+COUNTIFS(Students!$A:$A,G$1,Students!$H:$H,$A98)+COUNTIFS(Students!$A:$A,G$1,Students!$J:$J,$A98)+COUNTIFS(Students!$A:$A,G$1,Students!$L:$L,$A98)+COUNTIFS(Students!$A:$A,G$1,Students!$N:$N,$A98)+COUNTIFS(Students!$A:$A,G$1,Students!$P:$P,$A98)+COUNTIFS(Students!$A:$A,G$1,Students!$R:$R,$A98)+COUNTIFS(Students!$A:$A,G$1,Students!$T:$T,$A98)+COUNTIFS(Students!$A:$A,G$1,Students!$V:$V,$A98))</f>
        <v/>
      </c>
      <c r="H98" s="255" t="str">
        <f>if($A98="","",COUNTIFS(Students!$A:$A,H$1,Students!$D:$D,$A98)+COUNTIFS(Students!$A:$A,H$1,Students!$F:$F,$A98)+COUNTIFS(Students!$A:$A,H$1,Students!$H:$H,$A98)+COUNTIFS(Students!$A:$A,H$1,Students!$J:$J,$A98)+COUNTIFS(Students!$A:$A,H$1,Students!$L:$L,$A98)+COUNTIFS(Students!$A:$A,H$1,Students!$N:$N,$A98)+COUNTIFS(Students!$A:$A,H$1,Students!$P:$P,$A98)+COUNTIFS(Students!$A:$A,H$1,Students!$R:$R,$A98)+COUNTIFS(Students!$A:$A,H$1,Students!$T:$T,$A98)+COUNTIFS(Students!$A:$A,H$1,Students!$V:$V,$A98))</f>
        <v/>
      </c>
      <c r="I98" s="319" t="str">
        <f t="shared" si="1"/>
        <v/>
      </c>
      <c r="J98" s="319" t="str">
        <f>if($A98="","",sumifs(Schedule!$R:$R,Schedule!$P:$P,$A98)+sumifs(Schedule!$U:$U,Schedule!$S:$S,$A98)+sumifs(Schedule!$X:$X,Schedule!$V:$V,$A98)+sumifs(Schedule!$AA:$AA,Schedule!$Y:$Y,$A98)+sumifs(Schedule!$AD:$AD,Schedule!$AB:$AB,$A98)+sumifs(Schedule!$AG:$AG,Schedule!$AE:$AE,$A98)+sumifs(Schedule!$AJ:$AJ,Schedule!$AH:$AH,$A98)+sumifs(Schedule!$AM:$AM,Schedule!$AK:$AK,$A98))</f>
        <v/>
      </c>
      <c r="K98" s="319" t="str">
        <f t="shared" si="2"/>
        <v/>
      </c>
      <c r="L98" s="320" t="str">
        <f>if(A98="","",countifs(Schedule!P$1:AK100,A98))</f>
        <v/>
      </c>
    </row>
    <row r="99">
      <c r="A99" s="322"/>
      <c r="B99" s="323" t="s">
        <v>22</v>
      </c>
      <c r="C99" s="317" t="s">
        <v>22</v>
      </c>
      <c r="D99" s="318" t="s">
        <v>22</v>
      </c>
      <c r="E99" s="255" t="str">
        <f>if($A99="","",COUNTIFS(Students!$A:$A,E$1,Students!$D:$D,$A99)+COUNTIFS(Students!$A:$A,E$1,Students!$F:$F,$A99)+COUNTIFS(Students!$A:$A,E$1,Students!$H:$H,$A99)+COUNTIFS(Students!$A:$A,E$1,Students!$J:$J,$A99)+COUNTIFS(Students!$A:$A,E$1,Students!$L:$L,$A99)+COUNTIFS(Students!$A:$A,E$1,Students!$N:$N,$A99)+COUNTIFS(Students!$A:$A,E$1,Students!$P:$P,$A99)+COUNTIFS(Students!$A:$A,E$1,Students!$R:$R,$A99)+COUNTIFS(Students!$A:$A,E$1,Students!$T:$T,$A99)+COUNTIFS(Students!$A:$A,E$1,Students!$V:$V,$A99))</f>
        <v/>
      </c>
      <c r="F99" s="255" t="str">
        <f>if($A99="","",COUNTIFS(Students!$A:$A,F$1,Students!$D:$D,$A99)+COUNTIFS(Students!$A:$A,F$1,Students!$F:$F,$A99)+COUNTIFS(Students!$A:$A,F$1,Students!$H:$H,$A99)+COUNTIFS(Students!$A:$A,F$1,Students!$J:$J,$A99)+COUNTIFS(Students!$A:$A,F$1,Students!$L:$L,$A99)+COUNTIFS(Students!$A:$A,F$1,Students!$N:$N,$A99)+COUNTIFS(Students!$A:$A,F$1,Students!$P:$P,$A99)+COUNTIFS(Students!$A:$A,F$1,Students!$R:$R,$A99)+COUNTIFS(Students!$A:$A,F$1,Students!$T:$T,$A99)+COUNTIFS(Students!$A:$A,F$1,Students!$V:$V,$A99))</f>
        <v/>
      </c>
      <c r="G99" s="255" t="str">
        <f>if($A99="","",COUNTIFS(Students!$A:$A,G$1,Students!$D:$D,$A99)+COUNTIFS(Students!$A:$A,G$1,Students!$F:$F,$A99)+COUNTIFS(Students!$A:$A,G$1,Students!$H:$H,$A99)+COUNTIFS(Students!$A:$A,G$1,Students!$J:$J,$A99)+COUNTIFS(Students!$A:$A,G$1,Students!$L:$L,$A99)+COUNTIFS(Students!$A:$A,G$1,Students!$N:$N,$A99)+COUNTIFS(Students!$A:$A,G$1,Students!$P:$P,$A99)+COUNTIFS(Students!$A:$A,G$1,Students!$R:$R,$A99)+COUNTIFS(Students!$A:$A,G$1,Students!$T:$T,$A99)+COUNTIFS(Students!$A:$A,G$1,Students!$V:$V,$A99))</f>
        <v/>
      </c>
      <c r="H99" s="255" t="str">
        <f>if($A99="","",COUNTIFS(Students!$A:$A,H$1,Students!$D:$D,$A99)+COUNTIFS(Students!$A:$A,H$1,Students!$F:$F,$A99)+COUNTIFS(Students!$A:$A,H$1,Students!$H:$H,$A99)+COUNTIFS(Students!$A:$A,H$1,Students!$J:$J,$A99)+COUNTIFS(Students!$A:$A,H$1,Students!$L:$L,$A99)+COUNTIFS(Students!$A:$A,H$1,Students!$N:$N,$A99)+COUNTIFS(Students!$A:$A,H$1,Students!$P:$P,$A99)+COUNTIFS(Students!$A:$A,H$1,Students!$R:$R,$A99)+COUNTIFS(Students!$A:$A,H$1,Students!$T:$T,$A99)+COUNTIFS(Students!$A:$A,H$1,Students!$V:$V,$A99))</f>
        <v/>
      </c>
      <c r="I99" s="319" t="str">
        <f t="shared" si="1"/>
        <v/>
      </c>
      <c r="J99" s="319" t="str">
        <f>if($A99="","",sumifs(Schedule!$R:$R,Schedule!$P:$P,$A99)+sumifs(Schedule!$U:$U,Schedule!$S:$S,$A99)+sumifs(Schedule!$X:$X,Schedule!$V:$V,$A99)+sumifs(Schedule!$AA:$AA,Schedule!$Y:$Y,$A99)+sumifs(Schedule!$AD:$AD,Schedule!$AB:$AB,$A99)+sumifs(Schedule!$AG:$AG,Schedule!$AE:$AE,$A99)+sumifs(Schedule!$AJ:$AJ,Schedule!$AH:$AH,$A99)+sumifs(Schedule!$AM:$AM,Schedule!$AK:$AK,$A99))</f>
        <v/>
      </c>
      <c r="K99" s="319" t="str">
        <f t="shared" si="2"/>
        <v/>
      </c>
      <c r="L99" s="320" t="str">
        <f>if(A99="","",countifs(Schedule!P$1:AK100,A99))</f>
        <v/>
      </c>
    </row>
    <row r="100">
      <c r="A100" s="322"/>
      <c r="B100" s="323" t="s">
        <v>22</v>
      </c>
      <c r="C100" s="317" t="s">
        <v>22</v>
      </c>
      <c r="D100" s="318" t="s">
        <v>22</v>
      </c>
      <c r="E100" s="255" t="str">
        <f>if($A100="","",COUNTIFS(Students!$A:$A,E$1,Students!$D:$D,$A100)+COUNTIFS(Students!$A:$A,E$1,Students!$F:$F,$A100)+COUNTIFS(Students!$A:$A,E$1,Students!$H:$H,$A100)+COUNTIFS(Students!$A:$A,E$1,Students!$J:$J,$A100)+COUNTIFS(Students!$A:$A,E$1,Students!$L:$L,$A100)+COUNTIFS(Students!$A:$A,E$1,Students!$N:$N,$A100)+COUNTIFS(Students!$A:$A,E$1,Students!$P:$P,$A100)+COUNTIFS(Students!$A:$A,E$1,Students!$R:$R,$A100)+COUNTIFS(Students!$A:$A,E$1,Students!$T:$T,$A100)+COUNTIFS(Students!$A:$A,E$1,Students!$V:$V,$A100))</f>
        <v/>
      </c>
      <c r="F100" s="255" t="str">
        <f>if($A100="","",COUNTIFS(Students!$A:$A,F$1,Students!$D:$D,$A100)+COUNTIFS(Students!$A:$A,F$1,Students!$F:$F,$A100)+COUNTIFS(Students!$A:$A,F$1,Students!$H:$H,$A100)+COUNTIFS(Students!$A:$A,F$1,Students!$J:$J,$A100)+COUNTIFS(Students!$A:$A,F$1,Students!$L:$L,$A100)+COUNTIFS(Students!$A:$A,F$1,Students!$N:$N,$A100)+COUNTIFS(Students!$A:$A,F$1,Students!$P:$P,$A100)+COUNTIFS(Students!$A:$A,F$1,Students!$R:$R,$A100)+COUNTIFS(Students!$A:$A,F$1,Students!$T:$T,$A100)+COUNTIFS(Students!$A:$A,F$1,Students!$V:$V,$A100))</f>
        <v/>
      </c>
      <c r="G100" s="255" t="str">
        <f>if($A100="","",COUNTIFS(Students!$A:$A,G$1,Students!$D:$D,$A100)+COUNTIFS(Students!$A:$A,G$1,Students!$F:$F,$A100)+COUNTIFS(Students!$A:$A,G$1,Students!$H:$H,$A100)+COUNTIFS(Students!$A:$A,G$1,Students!$J:$J,$A100)+COUNTIFS(Students!$A:$A,G$1,Students!$L:$L,$A100)+COUNTIFS(Students!$A:$A,G$1,Students!$N:$N,$A100)+COUNTIFS(Students!$A:$A,G$1,Students!$P:$P,$A100)+COUNTIFS(Students!$A:$A,G$1,Students!$R:$R,$A100)+COUNTIFS(Students!$A:$A,G$1,Students!$T:$T,$A100)+COUNTIFS(Students!$A:$A,G$1,Students!$V:$V,$A100))</f>
        <v/>
      </c>
      <c r="H100" s="255" t="str">
        <f>if($A100="","",COUNTIFS(Students!$A:$A,H$1,Students!$D:$D,$A100)+COUNTIFS(Students!$A:$A,H$1,Students!$F:$F,$A100)+COUNTIFS(Students!$A:$A,H$1,Students!$H:$H,$A100)+COUNTIFS(Students!$A:$A,H$1,Students!$J:$J,$A100)+COUNTIFS(Students!$A:$A,H$1,Students!$L:$L,$A100)+COUNTIFS(Students!$A:$A,H$1,Students!$N:$N,$A100)+COUNTIFS(Students!$A:$A,H$1,Students!$P:$P,$A100)+COUNTIFS(Students!$A:$A,H$1,Students!$R:$R,$A100)+COUNTIFS(Students!$A:$A,H$1,Students!$T:$T,$A100)+COUNTIFS(Students!$A:$A,H$1,Students!$V:$V,$A100))</f>
        <v/>
      </c>
      <c r="I100" s="319" t="str">
        <f t="shared" si="1"/>
        <v/>
      </c>
      <c r="J100" s="319" t="str">
        <f>if($A100="","",sumifs(Schedule!$R:$R,Schedule!$P:$P,$A100)+sumifs(Schedule!$U:$U,Schedule!$S:$S,$A100)+sumifs(Schedule!$X:$X,Schedule!$V:$V,$A100)+sumifs(Schedule!$AA:$AA,Schedule!$Y:$Y,$A100)+sumifs(Schedule!$AD:$AD,Schedule!$AB:$AB,$A100)+sumifs(Schedule!$AG:$AG,Schedule!$AE:$AE,$A100)+sumifs(Schedule!$AJ:$AJ,Schedule!$AH:$AH,$A100)+sumifs(Schedule!$AM:$AM,Schedule!$AK:$AK,$A100))</f>
        <v/>
      </c>
      <c r="K100" s="319" t="str">
        <f t="shared" si="2"/>
        <v/>
      </c>
      <c r="L100" s="320" t="str">
        <f>if(A100="","",countifs(Schedule!P$1:AK100,A100))</f>
        <v/>
      </c>
    </row>
  </sheetData>
  <autoFilter ref="$A$1:$L$100"/>
  <conditionalFormatting sqref="J2:J100">
    <cfRule type="expression" dxfId="3" priority="1">
      <formula>AND(J2&lt;&gt;I2,J2&lt;&gt;"")</formula>
    </cfRule>
  </conditionalFormatting>
  <conditionalFormatting sqref="I1:K100">
    <cfRule type="expression" dxfId="5" priority="2">
      <formula>AND($I1=$J1,$I1&lt;&gt;"")</formula>
    </cfRule>
  </conditionalFormatting>
  <conditionalFormatting sqref="K2:K100">
    <cfRule type="expression" dxfId="3" priority="3">
      <formula>AND(K2&lt;&gt;0,K2&lt;&gt;"")</formula>
    </cfRule>
  </conditionalFormatting>
  <conditionalFormatting sqref="C2:C100">
    <cfRule type="expression" dxfId="0" priority="4">
      <formula>AND(K2=0,L2&lt;&gt;C2)</formula>
    </cfRule>
  </conditionalFormatting>
  <conditionalFormatting sqref="D1:D100">
    <cfRule type="colorScale" priority="5">
      <colorScale>
        <cfvo type="formula" val="22"/>
        <cfvo type="max"/>
        <color rgb="FFFFFFFF"/>
        <color rgb="FFE67C73"/>
      </colorScale>
    </cfRule>
  </conditionalFormatting>
  <conditionalFormatting sqref="C1">
    <cfRule type="notContainsBlanks" dxfId="1" priority="6">
      <formula>LEN(TRIM(C1))&gt;0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88"/>
    <col customWidth="1" min="2" max="2" width="29.38"/>
    <col customWidth="1" min="3" max="3" width="30.5"/>
    <col customWidth="1" min="4" max="4" width="10.75"/>
    <col customWidth="1" min="6" max="6" width="18.0"/>
    <col customWidth="1" min="7" max="7" width="17.63"/>
  </cols>
  <sheetData>
    <row r="1">
      <c r="A1" s="333" t="s">
        <v>681</v>
      </c>
      <c r="B1" s="333" t="s">
        <v>682</v>
      </c>
      <c r="C1" s="333" t="s">
        <v>683</v>
      </c>
      <c r="D1" s="334" t="str">
        <f t="array" ref="D1:D1000">if(ROW(D:D)=1,"Grade Level (Automated)",if(C:C="","",vlookup(C:C,{Students!C:C,Students!A:A},2,false)))</f>
        <v>Grade Level (Automated)</v>
      </c>
      <c r="E1" s="335" t="s">
        <v>684</v>
      </c>
      <c r="F1" s="335" t="s">
        <v>685</v>
      </c>
      <c r="G1" s="335" t="s">
        <v>686</v>
      </c>
    </row>
    <row r="2">
      <c r="A2" s="336" t="s">
        <v>687</v>
      </c>
      <c r="B2" s="337" t="s">
        <v>688</v>
      </c>
      <c r="C2" s="294"/>
      <c r="D2" s="299" t="s">
        <v>22</v>
      </c>
      <c r="E2" s="338"/>
      <c r="F2" s="339"/>
      <c r="G2" s="339"/>
    </row>
    <row r="3">
      <c r="A3" s="336" t="s">
        <v>689</v>
      </c>
      <c r="B3" s="337" t="s">
        <v>690</v>
      </c>
      <c r="C3" s="294"/>
      <c r="D3" s="299" t="s">
        <v>22</v>
      </c>
      <c r="E3" s="338"/>
      <c r="F3" s="299"/>
      <c r="G3" s="299"/>
    </row>
    <row r="4">
      <c r="A4" s="336" t="s">
        <v>691</v>
      </c>
      <c r="B4" s="337" t="s">
        <v>690</v>
      </c>
      <c r="C4" s="294"/>
      <c r="D4" s="299" t="s">
        <v>22</v>
      </c>
      <c r="E4" s="338"/>
      <c r="F4" s="299"/>
      <c r="G4" s="299"/>
    </row>
    <row r="5">
      <c r="A5" s="336" t="s">
        <v>692</v>
      </c>
      <c r="B5" s="340" t="s">
        <v>693</v>
      </c>
      <c r="C5" s="294"/>
      <c r="D5" s="299" t="s">
        <v>22</v>
      </c>
      <c r="E5" s="338"/>
      <c r="F5" s="299"/>
      <c r="G5" s="299"/>
    </row>
    <row r="6">
      <c r="A6" s="336" t="s">
        <v>694</v>
      </c>
      <c r="B6" s="337" t="s">
        <v>695</v>
      </c>
      <c r="C6" s="294"/>
      <c r="D6" s="299" t="s">
        <v>22</v>
      </c>
      <c r="E6" s="338"/>
      <c r="F6" s="299"/>
      <c r="G6" s="299"/>
    </row>
    <row r="7">
      <c r="A7" s="336" t="s">
        <v>696</v>
      </c>
      <c r="B7" s="337" t="s">
        <v>688</v>
      </c>
      <c r="C7" s="294"/>
      <c r="D7" s="299" t="s">
        <v>22</v>
      </c>
      <c r="E7" s="338"/>
      <c r="F7" s="299"/>
      <c r="G7" s="299"/>
    </row>
    <row r="8">
      <c r="A8" s="336" t="s">
        <v>697</v>
      </c>
      <c r="B8" s="337" t="s">
        <v>698</v>
      </c>
      <c r="C8" s="295"/>
      <c r="D8" s="299" t="s">
        <v>22</v>
      </c>
      <c r="E8" s="338"/>
      <c r="F8" s="299"/>
      <c r="G8" s="299"/>
    </row>
    <row r="9">
      <c r="A9" s="336" t="s">
        <v>699</v>
      </c>
      <c r="B9" s="337" t="s">
        <v>700</v>
      </c>
      <c r="C9" s="294"/>
      <c r="D9" s="299" t="s">
        <v>22</v>
      </c>
      <c r="E9" s="338"/>
      <c r="F9" s="299"/>
      <c r="G9" s="299"/>
    </row>
    <row r="10">
      <c r="A10" s="336" t="s">
        <v>701</v>
      </c>
      <c r="B10" s="337" t="s">
        <v>700</v>
      </c>
      <c r="C10" s="294"/>
      <c r="D10" s="299" t="s">
        <v>22</v>
      </c>
      <c r="E10" s="338"/>
      <c r="F10" s="299"/>
      <c r="G10" s="299"/>
    </row>
    <row r="11">
      <c r="A11" s="336" t="s">
        <v>702</v>
      </c>
      <c r="B11" s="337" t="s">
        <v>688</v>
      </c>
      <c r="C11" s="294"/>
      <c r="D11" s="299" t="s">
        <v>22</v>
      </c>
      <c r="E11" s="338"/>
      <c r="F11" s="299"/>
      <c r="G11" s="299"/>
    </row>
    <row r="12">
      <c r="A12" s="337" t="s">
        <v>703</v>
      </c>
      <c r="B12" s="337" t="s">
        <v>688</v>
      </c>
      <c r="C12" s="294"/>
      <c r="D12" s="299" t="s">
        <v>22</v>
      </c>
      <c r="E12" s="338"/>
      <c r="F12" s="299"/>
      <c r="G12" s="299"/>
    </row>
    <row r="13">
      <c r="A13" s="337" t="s">
        <v>704</v>
      </c>
      <c r="B13" s="337" t="s">
        <v>705</v>
      </c>
      <c r="C13" s="294"/>
      <c r="D13" s="299" t="s">
        <v>22</v>
      </c>
      <c r="E13" s="338"/>
      <c r="F13" s="299"/>
      <c r="G13" s="299"/>
    </row>
    <row r="14">
      <c r="A14" s="337" t="s">
        <v>706</v>
      </c>
      <c r="B14" s="337" t="s">
        <v>698</v>
      </c>
      <c r="C14" s="294"/>
      <c r="D14" s="299" t="s">
        <v>22</v>
      </c>
      <c r="E14" s="338"/>
      <c r="F14" s="299"/>
      <c r="G14" s="299"/>
    </row>
    <row r="15">
      <c r="A15" s="337" t="s">
        <v>707</v>
      </c>
      <c r="B15" s="337" t="s">
        <v>708</v>
      </c>
      <c r="D15" s="300" t="s">
        <v>22</v>
      </c>
      <c r="E15" s="341"/>
      <c r="F15" s="3"/>
      <c r="G15" s="3"/>
    </row>
    <row r="16">
      <c r="A16" s="337" t="s">
        <v>709</v>
      </c>
      <c r="B16" s="337" t="s">
        <v>710</v>
      </c>
      <c r="D16" s="300" t="s">
        <v>22</v>
      </c>
      <c r="E16" s="341"/>
      <c r="F16" s="3"/>
      <c r="G16" s="3"/>
    </row>
    <row r="17">
      <c r="A17" s="342" t="s">
        <v>711</v>
      </c>
      <c r="B17" s="340" t="s">
        <v>693</v>
      </c>
      <c r="D17" s="300" t="s">
        <v>22</v>
      </c>
      <c r="E17" s="341"/>
      <c r="F17" s="3"/>
      <c r="G17" s="3"/>
    </row>
    <row r="18">
      <c r="A18" s="342" t="s">
        <v>712</v>
      </c>
      <c r="B18" s="337" t="s">
        <v>700</v>
      </c>
      <c r="D18" s="300" t="s">
        <v>22</v>
      </c>
      <c r="E18" s="341"/>
      <c r="F18" s="3"/>
      <c r="G18" s="3"/>
    </row>
    <row r="19">
      <c r="A19" s="342" t="s">
        <v>713</v>
      </c>
      <c r="B19" s="337" t="s">
        <v>690</v>
      </c>
      <c r="D19" s="300" t="s">
        <v>22</v>
      </c>
      <c r="E19" s="341"/>
      <c r="F19" s="3"/>
      <c r="G19" s="3"/>
    </row>
    <row r="20">
      <c r="A20" s="342" t="s">
        <v>714</v>
      </c>
      <c r="B20" s="340" t="s">
        <v>715</v>
      </c>
      <c r="D20" s="300" t="s">
        <v>22</v>
      </c>
      <c r="E20" s="341"/>
      <c r="F20" s="3"/>
      <c r="G20" s="3"/>
    </row>
    <row r="21">
      <c r="A21" s="342" t="s">
        <v>716</v>
      </c>
      <c r="B21" s="342" t="s">
        <v>717</v>
      </c>
      <c r="D21" s="300" t="s">
        <v>22</v>
      </c>
      <c r="E21" s="341"/>
      <c r="F21" s="3"/>
      <c r="G21" s="3"/>
    </row>
    <row r="22">
      <c r="A22" s="342" t="s">
        <v>718</v>
      </c>
      <c r="B22" s="337" t="s">
        <v>710</v>
      </c>
      <c r="D22" s="300" t="s">
        <v>22</v>
      </c>
      <c r="E22" s="341"/>
      <c r="F22" s="3"/>
      <c r="G22" s="3"/>
    </row>
    <row r="23">
      <c r="A23" s="342" t="s">
        <v>719</v>
      </c>
      <c r="B23" s="337" t="s">
        <v>710</v>
      </c>
      <c r="D23" s="300" t="s">
        <v>22</v>
      </c>
      <c r="E23" s="341"/>
      <c r="F23" s="3"/>
      <c r="G23" s="3"/>
    </row>
    <row r="24">
      <c r="A24" s="342"/>
      <c r="B24" s="343"/>
      <c r="D24" s="300" t="s">
        <v>22</v>
      </c>
      <c r="E24" s="341"/>
      <c r="F24" s="3"/>
      <c r="G24" s="3"/>
    </row>
    <row r="25">
      <c r="A25" s="342"/>
      <c r="B25" s="343"/>
      <c r="D25" s="300" t="s">
        <v>22</v>
      </c>
      <c r="E25" s="341"/>
      <c r="F25" s="3"/>
      <c r="G25" s="3"/>
    </row>
    <row r="26">
      <c r="A26" s="343"/>
      <c r="B26" s="343"/>
      <c r="D26" s="300" t="s">
        <v>22</v>
      </c>
      <c r="E26" s="341"/>
      <c r="F26" s="3"/>
      <c r="G26" s="3"/>
    </row>
    <row r="27">
      <c r="A27" s="342" t="s">
        <v>720</v>
      </c>
      <c r="B27" s="343"/>
      <c r="D27" s="300" t="s">
        <v>22</v>
      </c>
      <c r="E27" s="341"/>
      <c r="F27" s="3"/>
      <c r="G27" s="3"/>
    </row>
    <row r="28">
      <c r="A28" s="343"/>
      <c r="B28" s="343"/>
      <c r="D28" s="300" t="s">
        <v>22</v>
      </c>
      <c r="E28" s="341"/>
      <c r="F28" s="3"/>
      <c r="G28" s="3"/>
    </row>
    <row r="29">
      <c r="A29" s="343"/>
      <c r="B29" s="343"/>
      <c r="D29" s="300" t="s">
        <v>22</v>
      </c>
      <c r="E29" s="341"/>
      <c r="F29" s="3"/>
      <c r="G29" s="3"/>
    </row>
    <row r="30">
      <c r="A30" s="342" t="s">
        <v>721</v>
      </c>
      <c r="B30" s="342" t="s">
        <v>722</v>
      </c>
      <c r="D30" s="300" t="s">
        <v>22</v>
      </c>
      <c r="E30" s="341"/>
      <c r="F30" s="3"/>
      <c r="G30" s="3"/>
    </row>
    <row r="31">
      <c r="A31" s="343"/>
      <c r="B31" s="343"/>
      <c r="D31" s="300" t="s">
        <v>22</v>
      </c>
      <c r="E31" s="341"/>
      <c r="F31" s="3"/>
      <c r="G31" s="3"/>
    </row>
    <row r="32">
      <c r="A32" s="343"/>
      <c r="B32" s="343"/>
      <c r="D32" s="300" t="s">
        <v>22</v>
      </c>
      <c r="E32" s="341"/>
      <c r="F32" s="3"/>
      <c r="G32" s="3"/>
    </row>
    <row r="33">
      <c r="A33" s="344" t="s">
        <v>186</v>
      </c>
      <c r="B33" s="345" t="s">
        <v>723</v>
      </c>
      <c r="D33" s="300" t="s">
        <v>22</v>
      </c>
      <c r="E33" s="3"/>
      <c r="F33" s="3"/>
      <c r="G33" s="3"/>
    </row>
    <row r="34">
      <c r="A34" s="344" t="s">
        <v>237</v>
      </c>
      <c r="B34" s="345" t="s">
        <v>724</v>
      </c>
      <c r="D34" s="300" t="s">
        <v>22</v>
      </c>
      <c r="E34" s="3"/>
      <c r="F34" s="3"/>
      <c r="G34" s="3"/>
    </row>
    <row r="35">
      <c r="A35" s="344" t="s">
        <v>269</v>
      </c>
      <c r="B35" s="346" t="s">
        <v>725</v>
      </c>
      <c r="D35" s="300" t="s">
        <v>22</v>
      </c>
      <c r="E35" s="3"/>
      <c r="F35" s="3"/>
      <c r="G35" s="3"/>
    </row>
    <row r="36">
      <c r="A36" s="344" t="s">
        <v>377</v>
      </c>
      <c r="B36" s="345" t="s">
        <v>726</v>
      </c>
      <c r="D36" s="300" t="s">
        <v>22</v>
      </c>
      <c r="E36" s="3"/>
      <c r="F36" s="3"/>
      <c r="G36" s="3"/>
    </row>
    <row r="37">
      <c r="A37" s="343"/>
      <c r="B37" s="343"/>
      <c r="D37" s="300" t="s">
        <v>22</v>
      </c>
      <c r="E37" s="3"/>
      <c r="F37" s="3"/>
      <c r="G37" s="3"/>
    </row>
    <row r="38">
      <c r="A38" s="343"/>
      <c r="B38" s="343"/>
      <c r="D38" s="300" t="s">
        <v>22</v>
      </c>
      <c r="E38" s="3"/>
      <c r="F38" s="3"/>
      <c r="G38" s="3"/>
    </row>
    <row r="39">
      <c r="A39" s="347" t="s">
        <v>727</v>
      </c>
      <c r="B39" s="343"/>
      <c r="D39" s="300" t="s">
        <v>22</v>
      </c>
      <c r="E39" s="3"/>
      <c r="F39" s="3"/>
      <c r="G39" s="3"/>
    </row>
    <row r="40">
      <c r="A40" s="347" t="s">
        <v>728</v>
      </c>
      <c r="B40" s="343"/>
      <c r="D40" s="300" t="s">
        <v>22</v>
      </c>
      <c r="E40" s="3"/>
      <c r="F40" s="3"/>
      <c r="G40" s="3"/>
    </row>
    <row r="41">
      <c r="A41" s="347" t="s">
        <v>729</v>
      </c>
      <c r="B41" s="343"/>
      <c r="D41" s="300" t="s">
        <v>22</v>
      </c>
      <c r="E41" s="3"/>
      <c r="F41" s="3"/>
      <c r="G41" s="3"/>
    </row>
    <row r="42">
      <c r="A42" s="347" t="s">
        <v>730</v>
      </c>
      <c r="B42" s="343"/>
      <c r="D42" s="300" t="s">
        <v>22</v>
      </c>
      <c r="E42" s="3"/>
      <c r="F42" s="3"/>
      <c r="G42" s="3"/>
    </row>
    <row r="43">
      <c r="A43" s="347" t="s">
        <v>731</v>
      </c>
      <c r="B43" s="343"/>
      <c r="D43" s="300" t="s">
        <v>22</v>
      </c>
      <c r="E43" s="3"/>
      <c r="F43" s="3"/>
      <c r="G43" s="3"/>
    </row>
    <row r="44">
      <c r="A44" s="343"/>
      <c r="B44" s="343"/>
      <c r="D44" s="300" t="s">
        <v>22</v>
      </c>
      <c r="E44" s="3"/>
      <c r="F44" s="3"/>
      <c r="G44" s="3"/>
    </row>
    <row r="45">
      <c r="A45" s="343"/>
      <c r="B45" s="343"/>
      <c r="D45" s="300" t="s">
        <v>22</v>
      </c>
      <c r="E45" s="3"/>
      <c r="F45" s="3"/>
      <c r="G45" s="3"/>
    </row>
    <row r="46">
      <c r="A46" s="348" t="s">
        <v>732</v>
      </c>
      <c r="B46" s="348"/>
      <c r="D46" s="300" t="s">
        <v>22</v>
      </c>
      <c r="E46" s="3"/>
      <c r="F46" s="3"/>
      <c r="G46" s="3"/>
    </row>
    <row r="47">
      <c r="A47" s="348"/>
      <c r="B47" s="348"/>
      <c r="D47" s="300" t="s">
        <v>22</v>
      </c>
      <c r="E47" s="3"/>
      <c r="F47" s="3"/>
      <c r="G47" s="3"/>
    </row>
    <row r="48">
      <c r="A48" s="348" t="s">
        <v>733</v>
      </c>
      <c r="B48" s="348"/>
      <c r="D48" s="300" t="s">
        <v>22</v>
      </c>
      <c r="E48" s="3"/>
      <c r="F48" s="3"/>
      <c r="G48" s="3"/>
    </row>
    <row r="49">
      <c r="A49" s="349" t="s">
        <v>734</v>
      </c>
      <c r="B49" s="350" t="s">
        <v>735</v>
      </c>
      <c r="D49" s="300" t="s">
        <v>22</v>
      </c>
      <c r="E49" s="3"/>
      <c r="F49" s="3"/>
      <c r="G49" s="3"/>
    </row>
    <row r="50">
      <c r="A50" s="349" t="s">
        <v>736</v>
      </c>
      <c r="B50" s="350" t="s">
        <v>735</v>
      </c>
      <c r="D50" s="300" t="s">
        <v>22</v>
      </c>
      <c r="E50" s="3"/>
      <c r="F50" s="3"/>
      <c r="G50" s="3"/>
    </row>
    <row r="51">
      <c r="A51" s="349" t="s">
        <v>737</v>
      </c>
      <c r="B51" s="350" t="s">
        <v>735</v>
      </c>
      <c r="D51" s="300" t="s">
        <v>22</v>
      </c>
      <c r="E51" s="3"/>
      <c r="F51" s="3"/>
      <c r="G51" s="3"/>
    </row>
    <row r="52">
      <c r="A52" s="349" t="s">
        <v>738</v>
      </c>
      <c r="B52" s="350" t="s">
        <v>735</v>
      </c>
      <c r="D52" s="300" t="s">
        <v>22</v>
      </c>
      <c r="E52" s="3"/>
      <c r="F52" s="3"/>
      <c r="G52" s="3"/>
    </row>
    <row r="53">
      <c r="A53" s="349" t="s">
        <v>739</v>
      </c>
      <c r="B53" s="350" t="s">
        <v>735</v>
      </c>
      <c r="D53" s="300" t="s">
        <v>22</v>
      </c>
      <c r="E53" s="3"/>
      <c r="F53" s="3"/>
      <c r="G53" s="3"/>
    </row>
    <row r="54">
      <c r="A54" s="349" t="s">
        <v>740</v>
      </c>
      <c r="B54" s="350" t="s">
        <v>735</v>
      </c>
      <c r="D54" s="300" t="s">
        <v>22</v>
      </c>
      <c r="E54" s="3"/>
      <c r="F54" s="3"/>
      <c r="G54" s="3"/>
    </row>
    <row r="55">
      <c r="A55" s="349" t="s">
        <v>741</v>
      </c>
      <c r="B55" s="350" t="s">
        <v>735</v>
      </c>
      <c r="D55" s="300" t="s">
        <v>22</v>
      </c>
      <c r="E55" s="3"/>
      <c r="F55" s="3"/>
      <c r="G55" s="3"/>
    </row>
    <row r="56">
      <c r="A56" s="349" t="s">
        <v>742</v>
      </c>
      <c r="B56" s="350" t="s">
        <v>735</v>
      </c>
      <c r="D56" s="300" t="s">
        <v>22</v>
      </c>
      <c r="E56" s="3"/>
      <c r="F56" s="3"/>
      <c r="G56" s="3"/>
    </row>
    <row r="57">
      <c r="A57" s="348"/>
      <c r="B57" s="348"/>
      <c r="D57" s="300" t="s">
        <v>22</v>
      </c>
      <c r="E57" s="3"/>
      <c r="F57" s="3"/>
      <c r="G57" s="3"/>
    </row>
    <row r="58">
      <c r="A58" s="348" t="s">
        <v>743</v>
      </c>
      <c r="B58" s="348"/>
      <c r="D58" s="300" t="s">
        <v>22</v>
      </c>
      <c r="E58" s="3"/>
      <c r="F58" s="3"/>
      <c r="G58" s="3"/>
    </row>
    <row r="59">
      <c r="A59" s="349" t="s">
        <v>744</v>
      </c>
      <c r="B59" s="348"/>
      <c r="D59" s="300" t="s">
        <v>22</v>
      </c>
      <c r="E59" s="3"/>
      <c r="F59" s="3"/>
      <c r="G59" s="3"/>
    </row>
    <row r="60">
      <c r="A60" s="349" t="s">
        <v>745</v>
      </c>
      <c r="B60" s="348"/>
      <c r="D60" s="300" t="s">
        <v>22</v>
      </c>
      <c r="E60" s="3"/>
      <c r="F60" s="3"/>
      <c r="G60" s="3"/>
    </row>
    <row r="61">
      <c r="A61" s="349" t="s">
        <v>746</v>
      </c>
      <c r="B61" s="348"/>
      <c r="D61" s="300" t="s">
        <v>22</v>
      </c>
      <c r="E61" s="3"/>
      <c r="F61" s="3"/>
      <c r="G61" s="3"/>
    </row>
    <row r="62">
      <c r="A62" s="349" t="s">
        <v>747</v>
      </c>
      <c r="B62" s="348"/>
      <c r="D62" s="300" t="s">
        <v>22</v>
      </c>
      <c r="E62" s="3"/>
      <c r="F62" s="3"/>
      <c r="G62" s="3"/>
    </row>
    <row r="63">
      <c r="A63" s="349" t="s">
        <v>748</v>
      </c>
      <c r="B63" s="348"/>
      <c r="D63" s="300" t="s">
        <v>22</v>
      </c>
      <c r="E63" s="3"/>
      <c r="F63" s="3"/>
      <c r="G63" s="3"/>
    </row>
    <row r="64">
      <c r="A64" s="349" t="s">
        <v>749</v>
      </c>
      <c r="B64" s="348"/>
      <c r="D64" s="300" t="s">
        <v>22</v>
      </c>
      <c r="E64" s="3"/>
      <c r="F64" s="3"/>
      <c r="G64" s="3"/>
    </row>
    <row r="65">
      <c r="A65" s="343"/>
      <c r="B65" s="343"/>
      <c r="D65" s="300" t="s">
        <v>22</v>
      </c>
      <c r="E65" s="3"/>
      <c r="F65" s="3"/>
      <c r="G65" s="3"/>
    </row>
    <row r="66">
      <c r="A66" s="342" t="s">
        <v>750</v>
      </c>
      <c r="B66" s="343"/>
      <c r="D66" s="300" t="s">
        <v>22</v>
      </c>
      <c r="E66" s="3"/>
      <c r="F66" s="3"/>
      <c r="G66" s="3"/>
    </row>
    <row r="67">
      <c r="A67" s="351" t="s">
        <v>751</v>
      </c>
      <c r="B67" s="343"/>
      <c r="D67" s="300" t="s">
        <v>22</v>
      </c>
      <c r="E67" s="3"/>
      <c r="F67" s="3"/>
      <c r="G67" s="3"/>
    </row>
    <row r="68">
      <c r="A68" s="351" t="s">
        <v>752</v>
      </c>
      <c r="B68" s="343"/>
      <c r="D68" s="300" t="s">
        <v>22</v>
      </c>
      <c r="E68" s="3"/>
      <c r="F68" s="3"/>
      <c r="G68" s="3"/>
    </row>
    <row r="69">
      <c r="A69" s="343"/>
      <c r="B69" s="343"/>
      <c r="D69" s="300" t="s">
        <v>22</v>
      </c>
      <c r="E69" s="3"/>
      <c r="F69" s="3"/>
      <c r="G69" s="3"/>
    </row>
    <row r="70">
      <c r="A70" s="343"/>
      <c r="B70" s="343"/>
      <c r="D70" s="300" t="s">
        <v>22</v>
      </c>
      <c r="E70" s="3"/>
      <c r="F70" s="3"/>
      <c r="G70" s="3"/>
    </row>
    <row r="71">
      <c r="A71" s="343"/>
      <c r="B71" s="343"/>
      <c r="D71" s="300" t="s">
        <v>22</v>
      </c>
      <c r="E71" s="3"/>
      <c r="F71" s="3"/>
      <c r="G71" s="3"/>
    </row>
    <row r="72">
      <c r="A72" s="343"/>
      <c r="B72" s="343"/>
      <c r="D72" s="300" t="s">
        <v>22</v>
      </c>
      <c r="E72" s="3"/>
      <c r="F72" s="3"/>
      <c r="G72" s="3"/>
    </row>
    <row r="73">
      <c r="A73" s="343"/>
      <c r="B73" s="343"/>
      <c r="D73" s="300" t="s">
        <v>22</v>
      </c>
      <c r="E73" s="3"/>
      <c r="F73" s="3"/>
      <c r="G73" s="3"/>
    </row>
    <row r="74">
      <c r="A74" s="343"/>
      <c r="B74" s="343"/>
      <c r="D74" s="300" t="s">
        <v>22</v>
      </c>
      <c r="E74" s="3"/>
      <c r="F74" s="3"/>
      <c r="G74" s="3"/>
    </row>
    <row r="75">
      <c r="A75" s="343"/>
      <c r="B75" s="343"/>
      <c r="D75" s="300" t="s">
        <v>22</v>
      </c>
      <c r="E75" s="3"/>
      <c r="F75" s="3"/>
      <c r="G75" s="3"/>
    </row>
    <row r="76">
      <c r="A76" s="343"/>
      <c r="B76" s="343"/>
      <c r="D76" s="300" t="s">
        <v>22</v>
      </c>
      <c r="E76" s="3"/>
      <c r="F76" s="3"/>
      <c r="G76" s="3"/>
    </row>
    <row r="77">
      <c r="A77" s="343"/>
      <c r="B77" s="343"/>
      <c r="D77" s="300" t="s">
        <v>22</v>
      </c>
      <c r="E77" s="3"/>
      <c r="F77" s="3"/>
      <c r="G77" s="3"/>
    </row>
    <row r="78">
      <c r="A78" s="343"/>
      <c r="B78" s="343"/>
      <c r="D78" s="300" t="s">
        <v>22</v>
      </c>
      <c r="E78" s="3"/>
      <c r="F78" s="3"/>
      <c r="G78" s="3"/>
    </row>
    <row r="79">
      <c r="A79" s="343"/>
      <c r="B79" s="343"/>
      <c r="D79" s="300" t="s">
        <v>22</v>
      </c>
      <c r="E79" s="3"/>
      <c r="F79" s="3"/>
      <c r="G79" s="3"/>
    </row>
    <row r="80">
      <c r="A80" s="343"/>
      <c r="B80" s="343"/>
      <c r="D80" s="300" t="s">
        <v>22</v>
      </c>
      <c r="E80" s="3"/>
      <c r="F80" s="3"/>
      <c r="G80" s="3"/>
    </row>
    <row r="81">
      <c r="A81" s="343"/>
      <c r="B81" s="343"/>
      <c r="D81" s="300" t="s">
        <v>22</v>
      </c>
      <c r="E81" s="3"/>
      <c r="F81" s="3"/>
      <c r="G81" s="3"/>
    </row>
    <row r="82">
      <c r="A82" s="343"/>
      <c r="B82" s="343"/>
      <c r="D82" s="300" t="s">
        <v>22</v>
      </c>
      <c r="E82" s="3"/>
      <c r="F82" s="3"/>
      <c r="G82" s="3"/>
    </row>
    <row r="83">
      <c r="A83" s="343"/>
      <c r="B83" s="343"/>
      <c r="D83" s="300" t="s">
        <v>22</v>
      </c>
      <c r="E83" s="3"/>
      <c r="F83" s="3"/>
      <c r="G83" s="3"/>
    </row>
    <row r="84">
      <c r="A84" s="343"/>
      <c r="B84" s="343"/>
      <c r="D84" s="300" t="s">
        <v>22</v>
      </c>
      <c r="E84" s="3"/>
      <c r="F84" s="3"/>
      <c r="G84" s="3"/>
    </row>
    <row r="85">
      <c r="A85" s="343"/>
      <c r="B85" s="343"/>
      <c r="D85" s="300" t="s">
        <v>22</v>
      </c>
      <c r="E85" s="3"/>
      <c r="F85" s="3"/>
      <c r="G85" s="3"/>
    </row>
    <row r="86">
      <c r="A86" s="343"/>
      <c r="B86" s="343"/>
      <c r="D86" s="300" t="s">
        <v>22</v>
      </c>
      <c r="E86" s="3"/>
      <c r="F86" s="3"/>
      <c r="G86" s="3"/>
    </row>
    <row r="87">
      <c r="A87" s="343"/>
      <c r="B87" s="343"/>
      <c r="D87" s="300" t="s">
        <v>22</v>
      </c>
      <c r="E87" s="3"/>
      <c r="F87" s="3"/>
      <c r="G87" s="3"/>
    </row>
    <row r="88">
      <c r="A88" s="343"/>
      <c r="B88" s="343"/>
      <c r="D88" s="300" t="s">
        <v>22</v>
      </c>
      <c r="E88" s="3"/>
      <c r="F88" s="3"/>
      <c r="G88" s="3"/>
    </row>
    <row r="89">
      <c r="A89" s="343"/>
      <c r="B89" s="343"/>
      <c r="D89" s="300" t="s">
        <v>22</v>
      </c>
      <c r="E89" s="3"/>
      <c r="F89" s="3"/>
      <c r="G89" s="3"/>
    </row>
    <row r="90">
      <c r="A90" s="343"/>
      <c r="B90" s="343"/>
      <c r="D90" s="300" t="s">
        <v>22</v>
      </c>
      <c r="E90" s="3"/>
      <c r="F90" s="3"/>
      <c r="G90" s="3"/>
    </row>
    <row r="91">
      <c r="A91" s="343"/>
      <c r="B91" s="343"/>
      <c r="D91" s="300" t="s">
        <v>22</v>
      </c>
      <c r="E91" s="3"/>
      <c r="F91" s="3"/>
      <c r="G91" s="3"/>
    </row>
    <row r="92">
      <c r="A92" s="343"/>
      <c r="B92" s="343"/>
      <c r="D92" s="300" t="s">
        <v>22</v>
      </c>
      <c r="E92" s="3"/>
      <c r="F92" s="3"/>
      <c r="G92" s="3"/>
    </row>
    <row r="93">
      <c r="A93" s="343"/>
      <c r="B93" s="343"/>
      <c r="D93" s="300" t="s">
        <v>22</v>
      </c>
      <c r="E93" s="3"/>
      <c r="F93" s="3"/>
      <c r="G93" s="3"/>
    </row>
    <row r="94">
      <c r="A94" s="343"/>
      <c r="B94" s="343"/>
      <c r="D94" s="300" t="s">
        <v>22</v>
      </c>
      <c r="E94" s="3"/>
      <c r="F94" s="3"/>
      <c r="G94" s="3"/>
    </row>
    <row r="95">
      <c r="A95" s="343"/>
      <c r="B95" s="343"/>
      <c r="D95" s="300" t="s">
        <v>22</v>
      </c>
      <c r="E95" s="3"/>
      <c r="F95" s="3"/>
      <c r="G95" s="3"/>
    </row>
    <row r="96">
      <c r="A96" s="343"/>
      <c r="B96" s="343"/>
      <c r="D96" s="300" t="s">
        <v>22</v>
      </c>
      <c r="E96" s="3"/>
      <c r="F96" s="3"/>
      <c r="G96" s="3"/>
    </row>
    <row r="97">
      <c r="A97" s="343"/>
      <c r="B97" s="343"/>
      <c r="D97" s="300" t="s">
        <v>22</v>
      </c>
      <c r="E97" s="3"/>
      <c r="F97" s="3"/>
      <c r="G97" s="3"/>
    </row>
    <row r="98">
      <c r="A98" s="343"/>
      <c r="B98" s="343"/>
      <c r="D98" s="300" t="s">
        <v>22</v>
      </c>
      <c r="E98" s="3"/>
      <c r="F98" s="3"/>
      <c r="G98" s="3"/>
    </row>
    <row r="99">
      <c r="A99" s="343"/>
      <c r="B99" s="343"/>
      <c r="D99" s="300" t="s">
        <v>22</v>
      </c>
      <c r="E99" s="3"/>
      <c r="F99" s="3"/>
      <c r="G99" s="3"/>
    </row>
    <row r="100">
      <c r="A100" s="343"/>
      <c r="B100" s="343"/>
      <c r="D100" s="300" t="s">
        <v>22</v>
      </c>
      <c r="E100" s="3"/>
      <c r="F100" s="3"/>
      <c r="G100" s="3"/>
    </row>
    <row r="101">
      <c r="A101" s="343"/>
      <c r="B101" s="343"/>
      <c r="D101" s="300" t="s">
        <v>22</v>
      </c>
      <c r="E101" s="3"/>
      <c r="F101" s="3"/>
      <c r="G101" s="3"/>
    </row>
    <row r="102">
      <c r="A102" s="343"/>
      <c r="B102" s="343"/>
      <c r="D102" s="300" t="s">
        <v>22</v>
      </c>
      <c r="E102" s="3"/>
      <c r="F102" s="3"/>
      <c r="G102" s="3"/>
    </row>
    <row r="103">
      <c r="A103" s="343"/>
      <c r="B103" s="343"/>
      <c r="D103" s="300" t="s">
        <v>22</v>
      </c>
      <c r="E103" s="3"/>
      <c r="F103" s="3"/>
      <c r="G103" s="3"/>
    </row>
    <row r="104">
      <c r="A104" s="343"/>
      <c r="B104" s="343"/>
      <c r="D104" s="300" t="s">
        <v>22</v>
      </c>
      <c r="E104" s="3"/>
      <c r="F104" s="3"/>
      <c r="G104" s="3"/>
    </row>
    <row r="105">
      <c r="A105" s="343"/>
      <c r="B105" s="343"/>
      <c r="D105" s="300" t="s">
        <v>22</v>
      </c>
      <c r="E105" s="3"/>
      <c r="F105" s="3"/>
      <c r="G105" s="3"/>
    </row>
    <row r="106">
      <c r="A106" s="343"/>
      <c r="B106" s="343"/>
      <c r="D106" s="300" t="s">
        <v>22</v>
      </c>
      <c r="E106" s="3"/>
      <c r="F106" s="3"/>
      <c r="G106" s="3"/>
    </row>
    <row r="107">
      <c r="A107" s="343"/>
      <c r="B107" s="343"/>
      <c r="D107" s="300" t="s">
        <v>22</v>
      </c>
      <c r="E107" s="3"/>
      <c r="F107" s="3"/>
      <c r="G107" s="3"/>
    </row>
    <row r="108">
      <c r="A108" s="343"/>
      <c r="B108" s="343"/>
      <c r="D108" s="300" t="s">
        <v>22</v>
      </c>
      <c r="E108" s="3"/>
      <c r="F108" s="3"/>
      <c r="G108" s="3"/>
    </row>
    <row r="109">
      <c r="A109" s="343"/>
      <c r="B109" s="343"/>
      <c r="D109" s="300" t="s">
        <v>22</v>
      </c>
      <c r="E109" s="3"/>
      <c r="F109" s="3"/>
      <c r="G109" s="3"/>
    </row>
    <row r="110">
      <c r="A110" s="343"/>
      <c r="B110" s="343"/>
      <c r="D110" s="300" t="s">
        <v>22</v>
      </c>
      <c r="E110" s="3"/>
      <c r="F110" s="3"/>
      <c r="G110" s="3"/>
    </row>
    <row r="111">
      <c r="A111" s="343"/>
      <c r="B111" s="343"/>
      <c r="D111" s="300" t="s">
        <v>22</v>
      </c>
      <c r="E111" s="3"/>
      <c r="F111" s="3"/>
      <c r="G111" s="3"/>
    </row>
    <row r="112">
      <c r="A112" s="343"/>
      <c r="B112" s="343"/>
      <c r="D112" s="300" t="s">
        <v>22</v>
      </c>
      <c r="E112" s="3"/>
      <c r="F112" s="3"/>
      <c r="G112" s="3"/>
    </row>
    <row r="113">
      <c r="A113" s="343"/>
      <c r="B113" s="343"/>
      <c r="D113" s="300" t="s">
        <v>22</v>
      </c>
      <c r="E113" s="3"/>
      <c r="F113" s="3"/>
      <c r="G113" s="3"/>
    </row>
    <row r="114">
      <c r="A114" s="343"/>
      <c r="B114" s="343"/>
      <c r="D114" s="300" t="s">
        <v>22</v>
      </c>
      <c r="E114" s="3"/>
      <c r="F114" s="3"/>
      <c r="G114" s="3"/>
    </row>
    <row r="115">
      <c r="A115" s="343"/>
      <c r="B115" s="343"/>
      <c r="D115" s="300" t="s">
        <v>22</v>
      </c>
      <c r="E115" s="3"/>
      <c r="F115" s="3"/>
      <c r="G115" s="3"/>
    </row>
    <row r="116">
      <c r="A116" s="343"/>
      <c r="B116" s="343"/>
      <c r="D116" s="300" t="s">
        <v>22</v>
      </c>
      <c r="E116" s="3"/>
      <c r="F116" s="3"/>
      <c r="G116" s="3"/>
    </row>
    <row r="117">
      <c r="A117" s="343"/>
      <c r="B117" s="343"/>
      <c r="D117" s="300" t="s">
        <v>22</v>
      </c>
      <c r="E117" s="3"/>
      <c r="F117" s="3"/>
      <c r="G117" s="3"/>
    </row>
    <row r="118">
      <c r="A118" s="343"/>
      <c r="B118" s="343"/>
      <c r="D118" s="300" t="s">
        <v>22</v>
      </c>
      <c r="E118" s="3"/>
      <c r="F118" s="3"/>
      <c r="G118" s="3"/>
    </row>
    <row r="119">
      <c r="A119" s="343"/>
      <c r="B119" s="343"/>
      <c r="D119" s="300" t="s">
        <v>22</v>
      </c>
      <c r="E119" s="3"/>
      <c r="F119" s="3"/>
      <c r="G119" s="3"/>
    </row>
    <row r="120">
      <c r="A120" s="343"/>
      <c r="B120" s="343"/>
      <c r="D120" s="300" t="s">
        <v>22</v>
      </c>
      <c r="E120" s="3"/>
      <c r="F120" s="3"/>
      <c r="G120" s="3"/>
    </row>
    <row r="121">
      <c r="A121" s="343"/>
      <c r="B121" s="343"/>
      <c r="D121" s="300" t="s">
        <v>22</v>
      </c>
      <c r="E121" s="3"/>
      <c r="F121" s="3"/>
      <c r="G121" s="3"/>
    </row>
    <row r="122">
      <c r="A122" s="343"/>
      <c r="B122" s="343"/>
      <c r="D122" s="300" t="s">
        <v>22</v>
      </c>
      <c r="E122" s="3"/>
      <c r="F122" s="3"/>
      <c r="G122" s="3"/>
    </row>
    <row r="123">
      <c r="A123" s="343"/>
      <c r="B123" s="343"/>
      <c r="D123" s="300" t="s">
        <v>22</v>
      </c>
      <c r="E123" s="3"/>
      <c r="F123" s="3"/>
      <c r="G123" s="3"/>
    </row>
    <row r="124">
      <c r="A124" s="343"/>
      <c r="B124" s="343"/>
      <c r="D124" s="300" t="s">
        <v>22</v>
      </c>
      <c r="E124" s="3"/>
      <c r="F124" s="3"/>
      <c r="G124" s="3"/>
    </row>
    <row r="125">
      <c r="A125" s="343"/>
      <c r="B125" s="343"/>
      <c r="D125" s="300" t="s">
        <v>22</v>
      </c>
      <c r="E125" s="3"/>
      <c r="F125" s="3"/>
      <c r="G125" s="3"/>
    </row>
    <row r="126">
      <c r="A126" s="343"/>
      <c r="B126" s="343"/>
      <c r="D126" s="300" t="s">
        <v>22</v>
      </c>
      <c r="E126" s="3"/>
      <c r="F126" s="3"/>
      <c r="G126" s="3"/>
    </row>
    <row r="127">
      <c r="A127" s="343"/>
      <c r="B127" s="343"/>
      <c r="D127" s="300" t="s">
        <v>22</v>
      </c>
      <c r="E127" s="3"/>
      <c r="F127" s="3"/>
      <c r="G127" s="3"/>
    </row>
    <row r="128">
      <c r="A128" s="343"/>
      <c r="B128" s="343"/>
      <c r="D128" s="300" t="s">
        <v>22</v>
      </c>
      <c r="E128" s="3"/>
      <c r="F128" s="3"/>
      <c r="G128" s="3"/>
    </row>
    <row r="129">
      <c r="A129" s="343"/>
      <c r="B129" s="343"/>
      <c r="D129" s="300" t="s">
        <v>22</v>
      </c>
      <c r="E129" s="3"/>
      <c r="F129" s="3"/>
      <c r="G129" s="3"/>
    </row>
    <row r="130">
      <c r="A130" s="343"/>
      <c r="B130" s="343"/>
      <c r="D130" s="300" t="s">
        <v>22</v>
      </c>
      <c r="E130" s="3"/>
      <c r="F130" s="3"/>
      <c r="G130" s="3"/>
    </row>
    <row r="131">
      <c r="A131" s="343"/>
      <c r="B131" s="343"/>
      <c r="D131" s="300" t="s">
        <v>22</v>
      </c>
      <c r="E131" s="3"/>
      <c r="F131" s="3"/>
      <c r="G131" s="3"/>
    </row>
    <row r="132">
      <c r="A132" s="343"/>
      <c r="B132" s="343"/>
      <c r="D132" s="300" t="s">
        <v>22</v>
      </c>
      <c r="E132" s="3"/>
      <c r="F132" s="3"/>
      <c r="G132" s="3"/>
    </row>
    <row r="133">
      <c r="A133" s="343"/>
      <c r="B133" s="343"/>
      <c r="D133" s="300" t="s">
        <v>22</v>
      </c>
      <c r="E133" s="3"/>
      <c r="F133" s="3"/>
      <c r="G133" s="3"/>
    </row>
    <row r="134">
      <c r="A134" s="343"/>
      <c r="B134" s="343"/>
      <c r="D134" s="300" t="s">
        <v>22</v>
      </c>
      <c r="E134" s="3"/>
      <c r="F134" s="3"/>
      <c r="G134" s="3"/>
    </row>
    <row r="135">
      <c r="A135" s="343"/>
      <c r="B135" s="343"/>
      <c r="D135" s="300" t="s">
        <v>22</v>
      </c>
      <c r="E135" s="3"/>
      <c r="F135" s="3"/>
      <c r="G135" s="3"/>
    </row>
    <row r="136">
      <c r="A136" s="343"/>
      <c r="B136" s="343"/>
      <c r="D136" s="300" t="s">
        <v>22</v>
      </c>
      <c r="E136" s="3"/>
      <c r="F136" s="3"/>
      <c r="G136" s="3"/>
    </row>
    <row r="137">
      <c r="A137" s="343"/>
      <c r="B137" s="343"/>
      <c r="D137" s="300" t="s">
        <v>22</v>
      </c>
      <c r="E137" s="3"/>
      <c r="F137" s="3"/>
      <c r="G137" s="3"/>
    </row>
    <row r="138">
      <c r="A138" s="343"/>
      <c r="B138" s="343"/>
      <c r="D138" s="300" t="s">
        <v>22</v>
      </c>
      <c r="E138" s="3"/>
      <c r="F138" s="3"/>
      <c r="G138" s="3"/>
    </row>
    <row r="139">
      <c r="A139" s="343"/>
      <c r="B139" s="343"/>
      <c r="D139" s="300" t="s">
        <v>22</v>
      </c>
      <c r="E139" s="3"/>
      <c r="F139" s="3"/>
      <c r="G139" s="3"/>
    </row>
    <row r="140">
      <c r="A140" s="343"/>
      <c r="B140" s="343"/>
      <c r="D140" s="300" t="s">
        <v>22</v>
      </c>
      <c r="E140" s="3"/>
      <c r="F140" s="3"/>
      <c r="G140" s="3"/>
    </row>
    <row r="141">
      <c r="A141" s="343"/>
      <c r="B141" s="343"/>
      <c r="D141" s="300" t="s">
        <v>22</v>
      </c>
      <c r="E141" s="3"/>
      <c r="F141" s="3"/>
      <c r="G141" s="3"/>
    </row>
    <row r="142">
      <c r="A142" s="343"/>
      <c r="B142" s="343"/>
      <c r="D142" s="300" t="s">
        <v>22</v>
      </c>
      <c r="E142" s="3"/>
      <c r="F142" s="3"/>
      <c r="G142" s="3"/>
    </row>
    <row r="143">
      <c r="A143" s="343"/>
      <c r="B143" s="343"/>
      <c r="D143" s="300" t="s">
        <v>22</v>
      </c>
      <c r="E143" s="3"/>
      <c r="F143" s="3"/>
      <c r="G143" s="3"/>
    </row>
    <row r="144">
      <c r="A144" s="343"/>
      <c r="B144" s="343"/>
      <c r="D144" s="300" t="s">
        <v>22</v>
      </c>
      <c r="E144" s="3"/>
      <c r="F144" s="3"/>
      <c r="G144" s="3"/>
    </row>
    <row r="145">
      <c r="A145" s="343"/>
      <c r="B145" s="343"/>
      <c r="D145" s="300" t="s">
        <v>22</v>
      </c>
      <c r="E145" s="3"/>
      <c r="F145" s="3"/>
      <c r="G145" s="3"/>
    </row>
    <row r="146">
      <c r="A146" s="343"/>
      <c r="B146" s="343"/>
      <c r="D146" s="300" t="s">
        <v>22</v>
      </c>
      <c r="E146" s="3"/>
      <c r="F146" s="3"/>
      <c r="G146" s="3"/>
    </row>
    <row r="147">
      <c r="A147" s="343"/>
      <c r="B147" s="343"/>
      <c r="D147" s="300" t="s">
        <v>22</v>
      </c>
      <c r="E147" s="3"/>
      <c r="F147" s="3"/>
      <c r="G147" s="3"/>
    </row>
    <row r="148">
      <c r="A148" s="343"/>
      <c r="B148" s="343"/>
      <c r="D148" s="300" t="s">
        <v>22</v>
      </c>
      <c r="E148" s="3"/>
      <c r="F148" s="3"/>
      <c r="G148" s="3"/>
    </row>
    <row r="149">
      <c r="A149" s="343"/>
      <c r="B149" s="343"/>
      <c r="D149" s="300" t="s">
        <v>22</v>
      </c>
      <c r="E149" s="3"/>
      <c r="F149" s="3"/>
      <c r="G149" s="3"/>
    </row>
    <row r="150">
      <c r="A150" s="343"/>
      <c r="B150" s="343"/>
      <c r="D150" s="300" t="s">
        <v>22</v>
      </c>
      <c r="E150" s="3"/>
      <c r="F150" s="3"/>
      <c r="G150" s="3"/>
    </row>
    <row r="151">
      <c r="A151" s="343"/>
      <c r="B151" s="343"/>
      <c r="D151" s="300" t="s">
        <v>22</v>
      </c>
      <c r="E151" s="3"/>
      <c r="F151" s="3"/>
      <c r="G151" s="3"/>
    </row>
    <row r="152">
      <c r="A152" s="343"/>
      <c r="B152" s="343"/>
      <c r="D152" s="300" t="s">
        <v>22</v>
      </c>
      <c r="E152" s="3"/>
      <c r="F152" s="3"/>
      <c r="G152" s="3"/>
    </row>
    <row r="153">
      <c r="A153" s="343"/>
      <c r="B153" s="343"/>
      <c r="D153" s="300" t="s">
        <v>22</v>
      </c>
      <c r="E153" s="3"/>
      <c r="F153" s="3"/>
      <c r="G153" s="3"/>
    </row>
    <row r="154">
      <c r="A154" s="343"/>
      <c r="B154" s="343"/>
      <c r="D154" s="300" t="s">
        <v>22</v>
      </c>
      <c r="E154" s="3"/>
      <c r="F154" s="3"/>
      <c r="G154" s="3"/>
    </row>
    <row r="155">
      <c r="A155" s="343"/>
      <c r="B155" s="343"/>
      <c r="D155" s="300" t="s">
        <v>22</v>
      </c>
      <c r="E155" s="3"/>
      <c r="F155" s="3"/>
      <c r="G155" s="3"/>
    </row>
    <row r="156">
      <c r="A156" s="343"/>
      <c r="B156" s="343"/>
      <c r="D156" s="300" t="s">
        <v>22</v>
      </c>
      <c r="E156" s="3"/>
      <c r="F156" s="3"/>
      <c r="G156" s="3"/>
    </row>
    <row r="157">
      <c r="A157" s="343"/>
      <c r="B157" s="343"/>
      <c r="D157" s="300" t="s">
        <v>22</v>
      </c>
      <c r="E157" s="3"/>
      <c r="F157" s="3"/>
      <c r="G157" s="3"/>
    </row>
    <row r="158">
      <c r="A158" s="343"/>
      <c r="B158" s="343"/>
      <c r="D158" s="300" t="s">
        <v>22</v>
      </c>
      <c r="E158" s="3"/>
      <c r="F158" s="3"/>
      <c r="G158" s="3"/>
    </row>
    <row r="159">
      <c r="A159" s="343"/>
      <c r="B159" s="343"/>
      <c r="D159" s="300" t="s">
        <v>22</v>
      </c>
      <c r="E159" s="3"/>
      <c r="F159" s="3"/>
      <c r="G159" s="3"/>
    </row>
    <row r="160">
      <c r="A160" s="343"/>
      <c r="B160" s="343"/>
      <c r="D160" s="300" t="s">
        <v>22</v>
      </c>
      <c r="E160" s="3"/>
      <c r="F160" s="3"/>
      <c r="G160" s="3"/>
    </row>
    <row r="161">
      <c r="A161" s="343"/>
      <c r="B161" s="343"/>
      <c r="D161" s="300" t="s">
        <v>22</v>
      </c>
      <c r="E161" s="3"/>
      <c r="F161" s="3"/>
      <c r="G161" s="3"/>
    </row>
    <row r="162">
      <c r="A162" s="343"/>
      <c r="B162" s="343"/>
      <c r="D162" s="300" t="s">
        <v>22</v>
      </c>
      <c r="E162" s="3"/>
      <c r="F162" s="3"/>
      <c r="G162" s="3"/>
    </row>
    <row r="163">
      <c r="A163" s="343"/>
      <c r="B163" s="343"/>
      <c r="D163" s="300" t="s">
        <v>22</v>
      </c>
      <c r="E163" s="3"/>
      <c r="F163" s="3"/>
      <c r="G163" s="3"/>
    </row>
    <row r="164">
      <c r="A164" s="343"/>
      <c r="B164" s="343"/>
      <c r="D164" s="300" t="s">
        <v>22</v>
      </c>
      <c r="E164" s="3"/>
      <c r="F164" s="3"/>
      <c r="G164" s="3"/>
    </row>
    <row r="165">
      <c r="A165" s="343"/>
      <c r="B165" s="343"/>
      <c r="D165" s="300" t="s">
        <v>22</v>
      </c>
      <c r="E165" s="3"/>
      <c r="F165" s="3"/>
      <c r="G165" s="3"/>
    </row>
    <row r="166">
      <c r="A166" s="343"/>
      <c r="B166" s="343"/>
      <c r="D166" s="300" t="s">
        <v>22</v>
      </c>
      <c r="E166" s="3"/>
      <c r="F166" s="3"/>
      <c r="G166" s="3"/>
    </row>
    <row r="167">
      <c r="A167" s="343"/>
      <c r="B167" s="343"/>
      <c r="D167" s="300" t="s">
        <v>22</v>
      </c>
      <c r="E167" s="3"/>
      <c r="F167" s="3"/>
      <c r="G167" s="3"/>
    </row>
    <row r="168">
      <c r="A168" s="343"/>
      <c r="B168" s="343"/>
      <c r="D168" s="300" t="s">
        <v>22</v>
      </c>
      <c r="E168" s="3"/>
      <c r="F168" s="3"/>
      <c r="G168" s="3"/>
    </row>
    <row r="169">
      <c r="A169" s="343"/>
      <c r="B169" s="343"/>
      <c r="D169" s="300" t="s">
        <v>22</v>
      </c>
      <c r="E169" s="3"/>
      <c r="F169" s="3"/>
      <c r="G169" s="3"/>
    </row>
    <row r="170">
      <c r="A170" s="343"/>
      <c r="B170" s="343"/>
      <c r="D170" s="300" t="s">
        <v>22</v>
      </c>
      <c r="E170" s="3"/>
      <c r="F170" s="3"/>
      <c r="G170" s="3"/>
    </row>
    <row r="171">
      <c r="A171" s="343"/>
      <c r="B171" s="343"/>
      <c r="D171" s="300" t="s">
        <v>22</v>
      </c>
      <c r="E171" s="3"/>
      <c r="F171" s="3"/>
      <c r="G171" s="3"/>
    </row>
    <row r="172">
      <c r="A172" s="343"/>
      <c r="B172" s="343"/>
      <c r="D172" s="300" t="s">
        <v>22</v>
      </c>
      <c r="E172" s="3"/>
      <c r="F172" s="3"/>
      <c r="G172" s="3"/>
    </row>
    <row r="173">
      <c r="A173" s="343"/>
      <c r="B173" s="343"/>
      <c r="D173" s="300" t="s">
        <v>22</v>
      </c>
      <c r="E173" s="3"/>
      <c r="F173" s="3"/>
      <c r="G173" s="3"/>
    </row>
    <row r="174">
      <c r="A174" s="343"/>
      <c r="B174" s="343"/>
      <c r="D174" s="300" t="s">
        <v>22</v>
      </c>
      <c r="E174" s="3"/>
      <c r="F174" s="3"/>
      <c r="G174" s="3"/>
    </row>
    <row r="175">
      <c r="A175" s="343"/>
      <c r="B175" s="343"/>
      <c r="D175" s="300" t="s">
        <v>22</v>
      </c>
      <c r="E175" s="3"/>
      <c r="F175" s="3"/>
      <c r="G175" s="3"/>
    </row>
    <row r="176">
      <c r="A176" s="343"/>
      <c r="B176" s="343"/>
      <c r="D176" s="300" t="s">
        <v>22</v>
      </c>
      <c r="E176" s="3"/>
      <c r="F176" s="3"/>
      <c r="G176" s="3"/>
    </row>
    <row r="177">
      <c r="A177" s="343"/>
      <c r="B177" s="343"/>
      <c r="D177" s="300" t="s">
        <v>22</v>
      </c>
      <c r="E177" s="3"/>
      <c r="F177" s="3"/>
      <c r="G177" s="3"/>
    </row>
    <row r="178">
      <c r="A178" s="343"/>
      <c r="B178" s="343"/>
      <c r="D178" s="300" t="s">
        <v>22</v>
      </c>
      <c r="E178" s="3"/>
      <c r="F178" s="3"/>
      <c r="G178" s="3"/>
    </row>
    <row r="179">
      <c r="A179" s="343"/>
      <c r="B179" s="343"/>
      <c r="D179" s="300" t="s">
        <v>22</v>
      </c>
      <c r="E179" s="3"/>
      <c r="F179" s="3"/>
      <c r="G179" s="3"/>
    </row>
    <row r="180">
      <c r="A180" s="343"/>
      <c r="B180" s="343"/>
      <c r="D180" s="300" t="s">
        <v>22</v>
      </c>
      <c r="E180" s="3"/>
      <c r="F180" s="3"/>
      <c r="G180" s="3"/>
    </row>
    <row r="181">
      <c r="A181" s="343"/>
      <c r="B181" s="343"/>
      <c r="D181" s="300" t="s">
        <v>22</v>
      </c>
      <c r="E181" s="3"/>
      <c r="F181" s="3"/>
      <c r="G181" s="3"/>
    </row>
    <row r="182">
      <c r="A182" s="343"/>
      <c r="B182" s="343"/>
      <c r="D182" s="300" t="s">
        <v>22</v>
      </c>
      <c r="E182" s="3"/>
      <c r="F182" s="3"/>
      <c r="G182" s="3"/>
    </row>
    <row r="183">
      <c r="A183" s="343"/>
      <c r="B183" s="343"/>
      <c r="D183" s="300" t="s">
        <v>22</v>
      </c>
      <c r="E183" s="3"/>
      <c r="F183" s="3"/>
      <c r="G183" s="3"/>
    </row>
    <row r="184">
      <c r="A184" s="343"/>
      <c r="B184" s="343"/>
      <c r="D184" s="300" t="s">
        <v>22</v>
      </c>
      <c r="E184" s="3"/>
      <c r="F184" s="3"/>
      <c r="G184" s="3"/>
    </row>
    <row r="185">
      <c r="A185" s="343"/>
      <c r="B185" s="343"/>
      <c r="D185" s="300" t="s">
        <v>22</v>
      </c>
      <c r="E185" s="3"/>
      <c r="F185" s="3"/>
      <c r="G185" s="3"/>
    </row>
    <row r="186">
      <c r="A186" s="343"/>
      <c r="B186" s="343"/>
      <c r="D186" s="300" t="s">
        <v>22</v>
      </c>
      <c r="E186" s="3"/>
      <c r="F186" s="3"/>
      <c r="G186" s="3"/>
    </row>
    <row r="187">
      <c r="A187" s="343"/>
      <c r="B187" s="343"/>
      <c r="D187" s="300" t="s">
        <v>22</v>
      </c>
      <c r="E187" s="3"/>
      <c r="F187" s="3"/>
      <c r="G187" s="3"/>
    </row>
    <row r="188">
      <c r="A188" s="343"/>
      <c r="B188" s="343"/>
      <c r="D188" s="300" t="s">
        <v>22</v>
      </c>
      <c r="E188" s="3"/>
      <c r="F188" s="3"/>
      <c r="G188" s="3"/>
    </row>
    <row r="189">
      <c r="A189" s="343"/>
      <c r="B189" s="343"/>
      <c r="D189" s="300" t="s">
        <v>22</v>
      </c>
      <c r="E189" s="3"/>
      <c r="F189" s="3"/>
      <c r="G189" s="3"/>
    </row>
    <row r="190">
      <c r="A190" s="343"/>
      <c r="B190" s="343"/>
      <c r="D190" s="300" t="s">
        <v>22</v>
      </c>
      <c r="E190" s="3"/>
      <c r="F190" s="3"/>
      <c r="G190" s="3"/>
    </row>
    <row r="191">
      <c r="A191" s="343"/>
      <c r="B191" s="343"/>
      <c r="D191" s="300" t="s">
        <v>22</v>
      </c>
      <c r="E191" s="3"/>
      <c r="F191" s="3"/>
      <c r="G191" s="3"/>
    </row>
    <row r="192">
      <c r="A192" s="343"/>
      <c r="B192" s="343"/>
      <c r="D192" s="300" t="s">
        <v>22</v>
      </c>
      <c r="E192" s="3"/>
      <c r="F192" s="3"/>
      <c r="G192" s="3"/>
    </row>
    <row r="193">
      <c r="A193" s="343"/>
      <c r="B193" s="343"/>
      <c r="D193" s="300" t="s">
        <v>22</v>
      </c>
      <c r="E193" s="3"/>
      <c r="F193" s="3"/>
      <c r="G193" s="3"/>
    </row>
    <row r="194">
      <c r="A194" s="343"/>
      <c r="B194" s="343"/>
      <c r="D194" s="300" t="s">
        <v>22</v>
      </c>
      <c r="E194" s="3"/>
      <c r="F194" s="3"/>
      <c r="G194" s="3"/>
    </row>
    <row r="195">
      <c r="A195" s="343"/>
      <c r="B195" s="343"/>
      <c r="D195" s="300" t="s">
        <v>22</v>
      </c>
      <c r="E195" s="3"/>
      <c r="F195" s="3"/>
      <c r="G195" s="3"/>
    </row>
    <row r="196">
      <c r="A196" s="343"/>
      <c r="B196" s="343"/>
      <c r="D196" s="300" t="s">
        <v>22</v>
      </c>
      <c r="E196" s="3"/>
      <c r="F196" s="3"/>
      <c r="G196" s="3"/>
    </row>
    <row r="197">
      <c r="A197" s="343"/>
      <c r="B197" s="343"/>
      <c r="D197" s="300" t="s">
        <v>22</v>
      </c>
      <c r="E197" s="3"/>
      <c r="F197" s="3"/>
      <c r="G197" s="3"/>
    </row>
    <row r="198">
      <c r="A198" s="343"/>
      <c r="B198" s="343"/>
      <c r="D198" s="300" t="s">
        <v>22</v>
      </c>
      <c r="E198" s="3"/>
      <c r="F198" s="3"/>
      <c r="G198" s="3"/>
    </row>
    <row r="199">
      <c r="A199" s="343"/>
      <c r="B199" s="343"/>
      <c r="D199" s="300" t="s">
        <v>22</v>
      </c>
      <c r="E199" s="3"/>
      <c r="F199" s="3"/>
      <c r="G199" s="3"/>
    </row>
    <row r="200">
      <c r="A200" s="343"/>
      <c r="B200" s="343"/>
      <c r="D200" s="300" t="s">
        <v>22</v>
      </c>
      <c r="E200" s="3"/>
      <c r="F200" s="3"/>
      <c r="G200" s="3"/>
    </row>
    <row r="201">
      <c r="A201" s="343"/>
      <c r="B201" s="343"/>
      <c r="D201" s="300" t="s">
        <v>22</v>
      </c>
      <c r="E201" s="3"/>
      <c r="F201" s="3"/>
      <c r="G201" s="3"/>
    </row>
    <row r="202">
      <c r="A202" s="343"/>
      <c r="B202" s="343"/>
      <c r="D202" s="300" t="s">
        <v>22</v>
      </c>
      <c r="E202" s="3"/>
      <c r="F202" s="3"/>
      <c r="G202" s="3"/>
    </row>
    <row r="203">
      <c r="A203" s="343"/>
      <c r="B203" s="343"/>
      <c r="D203" s="300" t="s">
        <v>22</v>
      </c>
      <c r="E203" s="3"/>
      <c r="F203" s="3"/>
      <c r="G203" s="3"/>
    </row>
    <row r="204">
      <c r="A204" s="343"/>
      <c r="B204" s="343"/>
      <c r="D204" s="300" t="s">
        <v>22</v>
      </c>
      <c r="E204" s="3"/>
      <c r="F204" s="3"/>
      <c r="G204" s="3"/>
    </row>
    <row r="205">
      <c r="A205" s="343"/>
      <c r="B205" s="343"/>
      <c r="D205" s="300" t="s">
        <v>22</v>
      </c>
      <c r="E205" s="3"/>
      <c r="F205" s="3"/>
      <c r="G205" s="3"/>
    </row>
    <row r="206">
      <c r="A206" s="343"/>
      <c r="B206" s="343"/>
      <c r="D206" s="300" t="s">
        <v>22</v>
      </c>
      <c r="E206" s="3"/>
      <c r="F206" s="3"/>
      <c r="G206" s="3"/>
    </row>
    <row r="207">
      <c r="A207" s="343"/>
      <c r="B207" s="343"/>
      <c r="D207" s="300" t="s">
        <v>22</v>
      </c>
      <c r="E207" s="3"/>
      <c r="F207" s="3"/>
      <c r="G207" s="3"/>
    </row>
    <row r="208">
      <c r="A208" s="343"/>
      <c r="B208" s="343"/>
      <c r="D208" s="300" t="s">
        <v>22</v>
      </c>
      <c r="E208" s="3"/>
      <c r="F208" s="3"/>
      <c r="G208" s="3"/>
    </row>
    <row r="209">
      <c r="A209" s="343"/>
      <c r="B209" s="343"/>
      <c r="D209" s="300" t="s">
        <v>22</v>
      </c>
      <c r="E209" s="3"/>
      <c r="F209" s="3"/>
      <c r="G209" s="3"/>
    </row>
    <row r="210">
      <c r="A210" s="343"/>
      <c r="B210" s="343"/>
      <c r="D210" s="300" t="s">
        <v>22</v>
      </c>
      <c r="E210" s="3"/>
      <c r="F210" s="3"/>
      <c r="G210" s="3"/>
    </row>
    <row r="211">
      <c r="A211" s="343"/>
      <c r="B211" s="343"/>
      <c r="D211" s="300" t="s">
        <v>22</v>
      </c>
      <c r="E211" s="3"/>
      <c r="F211" s="3"/>
      <c r="G211" s="3"/>
    </row>
    <row r="212">
      <c r="A212" s="343"/>
      <c r="B212" s="343"/>
      <c r="D212" s="300" t="s">
        <v>22</v>
      </c>
      <c r="E212" s="3"/>
      <c r="F212" s="3"/>
      <c r="G212" s="3"/>
    </row>
    <row r="213">
      <c r="A213" s="343"/>
      <c r="B213" s="343"/>
      <c r="D213" s="300" t="s">
        <v>22</v>
      </c>
      <c r="E213" s="3"/>
      <c r="F213" s="3"/>
      <c r="G213" s="3"/>
    </row>
    <row r="214">
      <c r="A214" s="343"/>
      <c r="B214" s="343"/>
      <c r="D214" s="300" t="s">
        <v>22</v>
      </c>
      <c r="E214" s="3"/>
      <c r="F214" s="3"/>
      <c r="G214" s="3"/>
    </row>
    <row r="215">
      <c r="A215" s="343"/>
      <c r="B215" s="343"/>
      <c r="D215" s="300" t="s">
        <v>22</v>
      </c>
      <c r="E215" s="3"/>
      <c r="F215" s="3"/>
      <c r="G215" s="3"/>
    </row>
    <row r="216">
      <c r="A216" s="343"/>
      <c r="B216" s="343"/>
      <c r="D216" s="300" t="s">
        <v>22</v>
      </c>
      <c r="E216" s="3"/>
      <c r="F216" s="3"/>
      <c r="G216" s="3"/>
    </row>
    <row r="217">
      <c r="A217" s="343"/>
      <c r="B217" s="343"/>
      <c r="D217" s="300" t="s">
        <v>22</v>
      </c>
      <c r="E217" s="3"/>
      <c r="F217" s="3"/>
      <c r="G217" s="3"/>
    </row>
    <row r="218">
      <c r="A218" s="343"/>
      <c r="B218" s="343"/>
      <c r="D218" s="300" t="s">
        <v>22</v>
      </c>
      <c r="E218" s="3"/>
      <c r="F218" s="3"/>
      <c r="G218" s="3"/>
    </row>
    <row r="219">
      <c r="A219" s="343"/>
      <c r="B219" s="343"/>
      <c r="D219" s="300" t="s">
        <v>22</v>
      </c>
      <c r="E219" s="3"/>
      <c r="F219" s="3"/>
      <c r="G219" s="3"/>
    </row>
    <row r="220">
      <c r="A220" s="343"/>
      <c r="B220" s="343"/>
      <c r="D220" s="300" t="s">
        <v>22</v>
      </c>
      <c r="E220" s="3"/>
      <c r="F220" s="3"/>
      <c r="G220" s="3"/>
    </row>
    <row r="221">
      <c r="A221" s="343"/>
      <c r="B221" s="343"/>
      <c r="D221" s="300" t="s">
        <v>22</v>
      </c>
      <c r="E221" s="3"/>
      <c r="F221" s="3"/>
      <c r="G221" s="3"/>
    </row>
    <row r="222">
      <c r="A222" s="343"/>
      <c r="B222" s="343"/>
      <c r="D222" s="300" t="s">
        <v>22</v>
      </c>
      <c r="E222" s="3"/>
      <c r="F222" s="3"/>
      <c r="G222" s="3"/>
    </row>
    <row r="223">
      <c r="A223" s="343"/>
      <c r="B223" s="343"/>
      <c r="D223" s="300" t="s">
        <v>22</v>
      </c>
      <c r="E223" s="3"/>
      <c r="F223" s="3"/>
      <c r="G223" s="3"/>
    </row>
    <row r="224">
      <c r="A224" s="343"/>
      <c r="B224" s="343"/>
      <c r="D224" s="300" t="s">
        <v>22</v>
      </c>
      <c r="E224" s="3"/>
      <c r="F224" s="3"/>
      <c r="G224" s="3"/>
    </row>
    <row r="225">
      <c r="A225" s="343"/>
      <c r="B225" s="343"/>
      <c r="D225" s="300" t="s">
        <v>22</v>
      </c>
      <c r="E225" s="3"/>
      <c r="F225" s="3"/>
      <c r="G225" s="3"/>
    </row>
    <row r="226">
      <c r="A226" s="343"/>
      <c r="B226" s="343"/>
      <c r="D226" s="300" t="s">
        <v>22</v>
      </c>
      <c r="E226" s="3"/>
      <c r="F226" s="3"/>
      <c r="G226" s="3"/>
    </row>
    <row r="227">
      <c r="A227" s="343"/>
      <c r="B227" s="343"/>
      <c r="D227" s="300" t="s">
        <v>22</v>
      </c>
      <c r="E227" s="3"/>
      <c r="F227" s="3"/>
      <c r="G227" s="3"/>
    </row>
    <row r="228">
      <c r="A228" s="343"/>
      <c r="B228" s="343"/>
      <c r="D228" s="300" t="s">
        <v>22</v>
      </c>
      <c r="E228" s="3"/>
      <c r="F228" s="3"/>
      <c r="G228" s="3"/>
    </row>
    <row r="229">
      <c r="A229" s="343"/>
      <c r="B229" s="343"/>
      <c r="D229" s="300" t="s">
        <v>22</v>
      </c>
      <c r="E229" s="3"/>
      <c r="F229" s="3"/>
      <c r="G229" s="3"/>
    </row>
    <row r="230">
      <c r="A230" s="343"/>
      <c r="B230" s="343"/>
      <c r="D230" s="300" t="s">
        <v>22</v>
      </c>
      <c r="E230" s="3"/>
      <c r="F230" s="3"/>
      <c r="G230" s="3"/>
    </row>
    <row r="231">
      <c r="A231" s="343"/>
      <c r="B231" s="343"/>
      <c r="D231" s="300" t="s">
        <v>22</v>
      </c>
      <c r="E231" s="3"/>
      <c r="F231" s="3"/>
      <c r="G231" s="3"/>
    </row>
    <row r="232">
      <c r="A232" s="343"/>
      <c r="B232" s="343"/>
      <c r="D232" s="300" t="s">
        <v>22</v>
      </c>
      <c r="E232" s="3"/>
      <c r="F232" s="3"/>
      <c r="G232" s="3"/>
    </row>
    <row r="233">
      <c r="A233" s="343"/>
      <c r="B233" s="343"/>
      <c r="D233" s="300" t="s">
        <v>22</v>
      </c>
      <c r="E233" s="3"/>
      <c r="F233" s="3"/>
      <c r="G233" s="3"/>
    </row>
    <row r="234">
      <c r="A234" s="343"/>
      <c r="B234" s="343"/>
      <c r="D234" s="300" t="s">
        <v>22</v>
      </c>
      <c r="E234" s="3"/>
      <c r="F234" s="3"/>
      <c r="G234" s="3"/>
    </row>
    <row r="235">
      <c r="A235" s="343"/>
      <c r="B235" s="343"/>
      <c r="D235" s="300" t="s">
        <v>22</v>
      </c>
      <c r="E235" s="3"/>
      <c r="F235" s="3"/>
      <c r="G235" s="3"/>
    </row>
    <row r="236">
      <c r="A236" s="343"/>
      <c r="B236" s="343"/>
      <c r="D236" s="300" t="s">
        <v>22</v>
      </c>
      <c r="E236" s="3"/>
      <c r="F236" s="3"/>
      <c r="G236" s="3"/>
    </row>
    <row r="237">
      <c r="A237" s="343"/>
      <c r="B237" s="343"/>
      <c r="D237" s="300" t="s">
        <v>22</v>
      </c>
      <c r="E237" s="3"/>
      <c r="F237" s="3"/>
      <c r="G237" s="3"/>
    </row>
    <row r="238">
      <c r="A238" s="343"/>
      <c r="B238" s="343"/>
      <c r="D238" s="300" t="s">
        <v>22</v>
      </c>
      <c r="E238" s="3"/>
      <c r="F238" s="3"/>
      <c r="G238" s="3"/>
    </row>
    <row r="239">
      <c r="A239" s="343"/>
      <c r="B239" s="343"/>
      <c r="D239" s="300" t="s">
        <v>22</v>
      </c>
      <c r="E239" s="3"/>
      <c r="F239" s="3"/>
      <c r="G239" s="3"/>
    </row>
    <row r="240">
      <c r="A240" s="343"/>
      <c r="B240" s="343"/>
      <c r="D240" s="300" t="s">
        <v>22</v>
      </c>
      <c r="E240" s="3"/>
      <c r="F240" s="3"/>
      <c r="G240" s="3"/>
    </row>
    <row r="241">
      <c r="A241" s="343"/>
      <c r="B241" s="343"/>
      <c r="D241" s="300" t="s">
        <v>22</v>
      </c>
      <c r="E241" s="3"/>
      <c r="F241" s="3"/>
      <c r="G241" s="3"/>
    </row>
    <row r="242">
      <c r="A242" s="343"/>
      <c r="B242" s="343"/>
      <c r="D242" s="300" t="s">
        <v>22</v>
      </c>
      <c r="E242" s="3"/>
      <c r="F242" s="3"/>
      <c r="G242" s="3"/>
    </row>
    <row r="243">
      <c r="A243" s="343"/>
      <c r="B243" s="343"/>
      <c r="D243" s="300" t="s">
        <v>22</v>
      </c>
      <c r="E243" s="3"/>
      <c r="F243" s="3"/>
      <c r="G243" s="3"/>
    </row>
    <row r="244">
      <c r="A244" s="343"/>
      <c r="B244" s="343"/>
      <c r="D244" s="300" t="s">
        <v>22</v>
      </c>
      <c r="E244" s="3"/>
      <c r="F244" s="3"/>
      <c r="G244" s="3"/>
    </row>
    <row r="245">
      <c r="A245" s="343"/>
      <c r="B245" s="343"/>
      <c r="D245" s="300" t="s">
        <v>22</v>
      </c>
      <c r="E245" s="3"/>
      <c r="F245" s="3"/>
      <c r="G245" s="3"/>
    </row>
    <row r="246">
      <c r="A246" s="343"/>
      <c r="B246" s="343"/>
      <c r="D246" s="300" t="s">
        <v>22</v>
      </c>
      <c r="E246" s="3"/>
      <c r="F246" s="3"/>
      <c r="G246" s="3"/>
    </row>
    <row r="247">
      <c r="A247" s="343"/>
      <c r="B247" s="343"/>
      <c r="D247" s="300" t="s">
        <v>22</v>
      </c>
      <c r="E247" s="3"/>
      <c r="F247" s="3"/>
      <c r="G247" s="3"/>
    </row>
    <row r="248">
      <c r="A248" s="343"/>
      <c r="B248" s="343"/>
      <c r="D248" s="300" t="s">
        <v>22</v>
      </c>
      <c r="E248" s="3"/>
      <c r="F248" s="3"/>
      <c r="G248" s="3"/>
    </row>
    <row r="249">
      <c r="A249" s="343"/>
      <c r="B249" s="343"/>
      <c r="D249" s="300" t="s">
        <v>22</v>
      </c>
      <c r="E249" s="3"/>
      <c r="F249" s="3"/>
      <c r="G249" s="3"/>
    </row>
    <row r="250">
      <c r="A250" s="343"/>
      <c r="B250" s="343"/>
      <c r="D250" s="300" t="s">
        <v>22</v>
      </c>
      <c r="E250" s="3"/>
      <c r="F250" s="3"/>
      <c r="G250" s="3"/>
    </row>
    <row r="251">
      <c r="A251" s="343"/>
      <c r="B251" s="343"/>
      <c r="D251" s="300" t="s">
        <v>22</v>
      </c>
      <c r="E251" s="3"/>
      <c r="F251" s="3"/>
      <c r="G251" s="3"/>
    </row>
    <row r="252">
      <c r="A252" s="343"/>
      <c r="B252" s="343"/>
      <c r="D252" s="300" t="s">
        <v>22</v>
      </c>
      <c r="E252" s="3"/>
      <c r="F252" s="3"/>
      <c r="G252" s="3"/>
    </row>
    <row r="253">
      <c r="A253" s="343"/>
      <c r="B253" s="343"/>
      <c r="D253" s="300" t="s">
        <v>22</v>
      </c>
      <c r="E253" s="3"/>
      <c r="F253" s="3"/>
      <c r="G253" s="3"/>
    </row>
    <row r="254">
      <c r="A254" s="343"/>
      <c r="B254" s="343"/>
      <c r="D254" s="300" t="s">
        <v>22</v>
      </c>
      <c r="E254" s="3"/>
      <c r="F254" s="3"/>
      <c r="G254" s="3"/>
    </row>
    <row r="255">
      <c r="A255" s="343"/>
      <c r="B255" s="343"/>
      <c r="D255" s="300" t="s">
        <v>22</v>
      </c>
      <c r="E255" s="3"/>
      <c r="F255" s="3"/>
      <c r="G255" s="3"/>
    </row>
    <row r="256">
      <c r="A256" s="343"/>
      <c r="B256" s="343"/>
      <c r="D256" s="300" t="s">
        <v>22</v>
      </c>
      <c r="E256" s="3"/>
      <c r="F256" s="3"/>
      <c r="G256" s="3"/>
    </row>
    <row r="257">
      <c r="A257" s="343"/>
      <c r="B257" s="343"/>
      <c r="D257" s="300" t="s">
        <v>22</v>
      </c>
      <c r="E257" s="3"/>
      <c r="F257" s="3"/>
      <c r="G257" s="3"/>
    </row>
    <row r="258">
      <c r="A258" s="343"/>
      <c r="B258" s="343"/>
      <c r="D258" s="300" t="s">
        <v>22</v>
      </c>
      <c r="E258" s="3"/>
      <c r="F258" s="3"/>
      <c r="G258" s="3"/>
    </row>
    <row r="259">
      <c r="A259" s="343"/>
      <c r="B259" s="343"/>
      <c r="D259" s="300" t="s">
        <v>22</v>
      </c>
      <c r="E259" s="3"/>
      <c r="F259" s="3"/>
      <c r="G259" s="3"/>
    </row>
    <row r="260">
      <c r="A260" s="343"/>
      <c r="B260" s="343"/>
      <c r="D260" s="300" t="s">
        <v>22</v>
      </c>
      <c r="E260" s="3"/>
      <c r="F260" s="3"/>
      <c r="G260" s="3"/>
    </row>
    <row r="261">
      <c r="A261" s="343"/>
      <c r="B261" s="343"/>
      <c r="D261" s="300" t="s">
        <v>22</v>
      </c>
      <c r="E261" s="3"/>
      <c r="F261" s="3"/>
      <c r="G261" s="3"/>
    </row>
    <row r="262">
      <c r="A262" s="343"/>
      <c r="B262" s="343"/>
      <c r="D262" s="300" t="s">
        <v>22</v>
      </c>
      <c r="E262" s="3"/>
      <c r="F262" s="3"/>
      <c r="G262" s="3"/>
    </row>
    <row r="263">
      <c r="A263" s="343"/>
      <c r="B263" s="343"/>
      <c r="D263" s="300" t="s">
        <v>22</v>
      </c>
      <c r="E263" s="3"/>
      <c r="F263" s="3"/>
      <c r="G263" s="3"/>
    </row>
    <row r="264">
      <c r="A264" s="343"/>
      <c r="B264" s="343"/>
      <c r="D264" s="300" t="s">
        <v>22</v>
      </c>
      <c r="E264" s="3"/>
      <c r="F264" s="3"/>
      <c r="G264" s="3"/>
    </row>
    <row r="265">
      <c r="A265" s="343"/>
      <c r="B265" s="343"/>
      <c r="D265" s="300" t="s">
        <v>22</v>
      </c>
      <c r="E265" s="3"/>
      <c r="F265" s="3"/>
      <c r="G265" s="3"/>
    </row>
    <row r="266">
      <c r="A266" s="343"/>
      <c r="B266" s="343"/>
      <c r="D266" s="300" t="s">
        <v>22</v>
      </c>
      <c r="E266" s="3"/>
      <c r="F266" s="3"/>
      <c r="G266" s="3"/>
    </row>
    <row r="267">
      <c r="A267" s="343"/>
      <c r="B267" s="343"/>
      <c r="D267" s="300" t="s">
        <v>22</v>
      </c>
      <c r="E267" s="3"/>
      <c r="F267" s="3"/>
      <c r="G267" s="3"/>
    </row>
    <row r="268">
      <c r="A268" s="343"/>
      <c r="B268" s="343"/>
      <c r="D268" s="300" t="s">
        <v>22</v>
      </c>
      <c r="E268" s="3"/>
      <c r="F268" s="3"/>
      <c r="G268" s="3"/>
    </row>
    <row r="269">
      <c r="A269" s="343"/>
      <c r="B269" s="343"/>
      <c r="D269" s="300" t="s">
        <v>22</v>
      </c>
      <c r="E269" s="3"/>
      <c r="F269" s="3"/>
      <c r="G269" s="3"/>
    </row>
    <row r="270">
      <c r="A270" s="343"/>
      <c r="B270" s="343"/>
      <c r="D270" s="300" t="s">
        <v>22</v>
      </c>
      <c r="E270" s="3"/>
      <c r="F270" s="3"/>
      <c r="G270" s="3"/>
    </row>
    <row r="271">
      <c r="A271" s="343"/>
      <c r="B271" s="343"/>
      <c r="D271" s="300" t="s">
        <v>22</v>
      </c>
      <c r="E271" s="3"/>
      <c r="F271" s="3"/>
      <c r="G271" s="3"/>
    </row>
    <row r="272">
      <c r="A272" s="343"/>
      <c r="B272" s="343"/>
      <c r="D272" s="300" t="s">
        <v>22</v>
      </c>
      <c r="E272" s="3"/>
      <c r="F272" s="3"/>
      <c r="G272" s="3"/>
    </row>
    <row r="273">
      <c r="A273" s="343"/>
      <c r="B273" s="343"/>
      <c r="D273" s="300" t="s">
        <v>22</v>
      </c>
      <c r="E273" s="3"/>
      <c r="F273" s="3"/>
      <c r="G273" s="3"/>
    </row>
    <row r="274">
      <c r="A274" s="343"/>
      <c r="B274" s="343"/>
      <c r="D274" s="300" t="s">
        <v>22</v>
      </c>
      <c r="E274" s="3"/>
      <c r="F274" s="3"/>
      <c r="G274" s="3"/>
    </row>
    <row r="275">
      <c r="A275" s="343"/>
      <c r="B275" s="343"/>
      <c r="D275" s="300" t="s">
        <v>22</v>
      </c>
      <c r="E275" s="3"/>
      <c r="F275" s="3"/>
      <c r="G275" s="3"/>
    </row>
    <row r="276">
      <c r="A276" s="343"/>
      <c r="B276" s="343"/>
      <c r="D276" s="300" t="s">
        <v>22</v>
      </c>
      <c r="E276" s="3"/>
      <c r="F276" s="3"/>
      <c r="G276" s="3"/>
    </row>
    <row r="277">
      <c r="A277" s="343"/>
      <c r="B277" s="343"/>
      <c r="D277" s="300" t="s">
        <v>22</v>
      </c>
      <c r="E277" s="3"/>
      <c r="F277" s="3"/>
      <c r="G277" s="3"/>
    </row>
    <row r="278">
      <c r="A278" s="343"/>
      <c r="B278" s="343"/>
      <c r="D278" s="300" t="s">
        <v>22</v>
      </c>
      <c r="E278" s="3"/>
      <c r="F278" s="3"/>
      <c r="G278" s="3"/>
    </row>
    <row r="279">
      <c r="A279" s="343"/>
      <c r="B279" s="343"/>
      <c r="D279" s="300" t="s">
        <v>22</v>
      </c>
      <c r="E279" s="3"/>
      <c r="F279" s="3"/>
      <c r="G279" s="3"/>
    </row>
    <row r="280">
      <c r="A280" s="343"/>
      <c r="B280" s="343"/>
      <c r="D280" s="300" t="s">
        <v>22</v>
      </c>
      <c r="E280" s="3"/>
      <c r="F280" s="3"/>
      <c r="G280" s="3"/>
    </row>
    <row r="281">
      <c r="A281" s="343"/>
      <c r="B281" s="343"/>
      <c r="D281" s="300" t="s">
        <v>22</v>
      </c>
      <c r="E281" s="3"/>
      <c r="F281" s="3"/>
      <c r="G281" s="3"/>
    </row>
    <row r="282">
      <c r="A282" s="343"/>
      <c r="B282" s="343"/>
      <c r="D282" s="300" t="s">
        <v>22</v>
      </c>
      <c r="E282" s="3"/>
      <c r="F282" s="3"/>
      <c r="G282" s="3"/>
    </row>
    <row r="283">
      <c r="A283" s="343"/>
      <c r="B283" s="343"/>
      <c r="D283" s="300" t="s">
        <v>22</v>
      </c>
      <c r="E283" s="3"/>
      <c r="F283" s="3"/>
      <c r="G283" s="3"/>
    </row>
    <row r="284">
      <c r="A284" s="343"/>
      <c r="B284" s="343"/>
      <c r="D284" s="300" t="s">
        <v>22</v>
      </c>
      <c r="E284" s="3"/>
      <c r="F284" s="3"/>
      <c r="G284" s="3"/>
    </row>
    <row r="285">
      <c r="A285" s="343"/>
      <c r="B285" s="343"/>
      <c r="D285" s="300" t="s">
        <v>22</v>
      </c>
      <c r="E285" s="3"/>
      <c r="F285" s="3"/>
      <c r="G285" s="3"/>
    </row>
    <row r="286">
      <c r="A286" s="343"/>
      <c r="B286" s="343"/>
      <c r="D286" s="300" t="s">
        <v>22</v>
      </c>
      <c r="E286" s="3"/>
      <c r="F286" s="3"/>
      <c r="G286" s="3"/>
    </row>
    <row r="287">
      <c r="A287" s="343"/>
      <c r="B287" s="343"/>
      <c r="D287" s="300" t="s">
        <v>22</v>
      </c>
      <c r="E287" s="3"/>
      <c r="F287" s="3"/>
      <c r="G287" s="3"/>
    </row>
    <row r="288">
      <c r="A288" s="343"/>
      <c r="B288" s="343"/>
      <c r="D288" s="300" t="s">
        <v>22</v>
      </c>
      <c r="E288" s="3"/>
      <c r="F288" s="3"/>
      <c r="G288" s="3"/>
    </row>
    <row r="289">
      <c r="A289" s="343"/>
      <c r="B289" s="343"/>
      <c r="D289" s="300" t="s">
        <v>22</v>
      </c>
      <c r="E289" s="3"/>
      <c r="F289" s="3"/>
      <c r="G289" s="3"/>
    </row>
    <row r="290">
      <c r="A290" s="343"/>
      <c r="B290" s="343"/>
      <c r="D290" s="300" t="s">
        <v>22</v>
      </c>
      <c r="E290" s="3"/>
      <c r="F290" s="3"/>
      <c r="G290" s="3"/>
    </row>
    <row r="291">
      <c r="A291" s="343"/>
      <c r="B291" s="343"/>
      <c r="D291" s="300" t="s">
        <v>22</v>
      </c>
      <c r="E291" s="3"/>
      <c r="F291" s="3"/>
      <c r="G291" s="3"/>
    </row>
    <row r="292">
      <c r="A292" s="343"/>
      <c r="B292" s="343"/>
      <c r="D292" s="300" t="s">
        <v>22</v>
      </c>
      <c r="E292" s="3"/>
      <c r="F292" s="3"/>
      <c r="G292" s="3"/>
    </row>
    <row r="293">
      <c r="A293" s="343"/>
      <c r="B293" s="343"/>
      <c r="D293" s="300" t="s">
        <v>22</v>
      </c>
      <c r="E293" s="3"/>
      <c r="F293" s="3"/>
      <c r="G293" s="3"/>
    </row>
    <row r="294">
      <c r="A294" s="343"/>
      <c r="B294" s="343"/>
      <c r="D294" s="300" t="s">
        <v>22</v>
      </c>
      <c r="E294" s="3"/>
      <c r="F294" s="3"/>
      <c r="G294" s="3"/>
    </row>
    <row r="295">
      <c r="A295" s="343"/>
      <c r="B295" s="343"/>
      <c r="D295" s="300" t="s">
        <v>22</v>
      </c>
      <c r="E295" s="3"/>
      <c r="F295" s="3"/>
      <c r="G295" s="3"/>
    </row>
    <row r="296">
      <c r="A296" s="343"/>
      <c r="B296" s="343"/>
      <c r="D296" s="300" t="s">
        <v>22</v>
      </c>
      <c r="E296" s="3"/>
      <c r="F296" s="3"/>
      <c r="G296" s="3"/>
    </row>
    <row r="297">
      <c r="A297" s="343"/>
      <c r="B297" s="343"/>
      <c r="D297" s="300" t="s">
        <v>22</v>
      </c>
      <c r="E297" s="3"/>
      <c r="F297" s="3"/>
      <c r="G297" s="3"/>
    </row>
    <row r="298">
      <c r="A298" s="343"/>
      <c r="B298" s="343"/>
      <c r="D298" s="300" t="s">
        <v>22</v>
      </c>
      <c r="E298" s="3"/>
      <c r="F298" s="3"/>
      <c r="G298" s="3"/>
    </row>
    <row r="299">
      <c r="A299" s="343"/>
      <c r="B299" s="343"/>
      <c r="D299" s="300" t="s">
        <v>22</v>
      </c>
      <c r="E299" s="3"/>
      <c r="F299" s="3"/>
      <c r="G299" s="3"/>
    </row>
    <row r="300">
      <c r="A300" s="343"/>
      <c r="B300" s="343"/>
      <c r="D300" s="300" t="s">
        <v>22</v>
      </c>
      <c r="E300" s="3"/>
      <c r="F300" s="3"/>
      <c r="G300" s="3"/>
    </row>
    <row r="301">
      <c r="A301" s="343"/>
      <c r="B301" s="343"/>
      <c r="D301" s="300" t="s">
        <v>22</v>
      </c>
      <c r="E301" s="3"/>
      <c r="F301" s="3"/>
      <c r="G301" s="3"/>
    </row>
    <row r="302">
      <c r="A302" s="343"/>
      <c r="B302" s="343"/>
      <c r="D302" s="300" t="s">
        <v>22</v>
      </c>
      <c r="E302" s="3"/>
      <c r="F302" s="3"/>
      <c r="G302" s="3"/>
    </row>
    <row r="303">
      <c r="A303" s="343"/>
      <c r="B303" s="343"/>
      <c r="D303" s="300" t="s">
        <v>22</v>
      </c>
      <c r="E303" s="3"/>
      <c r="F303" s="3"/>
      <c r="G303" s="3"/>
    </row>
    <row r="304">
      <c r="A304" s="343"/>
      <c r="B304" s="343"/>
      <c r="D304" s="300" t="s">
        <v>22</v>
      </c>
      <c r="E304" s="3"/>
      <c r="F304" s="3"/>
      <c r="G304" s="3"/>
    </row>
    <row r="305">
      <c r="A305" s="343"/>
      <c r="B305" s="343"/>
      <c r="D305" s="300" t="s">
        <v>22</v>
      </c>
      <c r="E305" s="3"/>
      <c r="F305" s="3"/>
      <c r="G305" s="3"/>
    </row>
    <row r="306">
      <c r="A306" s="343"/>
      <c r="B306" s="343"/>
      <c r="D306" s="300" t="s">
        <v>22</v>
      </c>
      <c r="E306" s="3"/>
      <c r="F306" s="3"/>
      <c r="G306" s="3"/>
    </row>
    <row r="307">
      <c r="A307" s="343"/>
      <c r="B307" s="343"/>
      <c r="D307" s="300" t="s">
        <v>22</v>
      </c>
      <c r="E307" s="3"/>
      <c r="F307" s="3"/>
      <c r="G307" s="3"/>
    </row>
    <row r="308">
      <c r="A308" s="343"/>
      <c r="B308" s="343"/>
      <c r="D308" s="300" t="s">
        <v>22</v>
      </c>
      <c r="E308" s="3"/>
      <c r="F308" s="3"/>
      <c r="G308" s="3"/>
    </row>
    <row r="309">
      <c r="A309" s="343"/>
      <c r="B309" s="343"/>
      <c r="D309" s="300" t="s">
        <v>22</v>
      </c>
      <c r="E309" s="3"/>
      <c r="F309" s="3"/>
      <c r="G309" s="3"/>
    </row>
    <row r="310">
      <c r="A310" s="343"/>
      <c r="B310" s="343"/>
      <c r="D310" s="300" t="s">
        <v>22</v>
      </c>
      <c r="E310" s="3"/>
      <c r="F310" s="3"/>
      <c r="G310" s="3"/>
    </row>
    <row r="311">
      <c r="A311" s="343"/>
      <c r="B311" s="343"/>
      <c r="D311" s="300" t="s">
        <v>22</v>
      </c>
      <c r="E311" s="3"/>
      <c r="F311" s="3"/>
      <c r="G311" s="3"/>
    </row>
    <row r="312">
      <c r="A312" s="343"/>
      <c r="B312" s="343"/>
      <c r="D312" s="300" t="s">
        <v>22</v>
      </c>
      <c r="E312" s="3"/>
      <c r="F312" s="3"/>
      <c r="G312" s="3"/>
    </row>
    <row r="313">
      <c r="A313" s="343"/>
      <c r="B313" s="343"/>
      <c r="D313" s="300" t="s">
        <v>22</v>
      </c>
      <c r="E313" s="3"/>
      <c r="F313" s="3"/>
      <c r="G313" s="3"/>
    </row>
    <row r="314">
      <c r="A314" s="343"/>
      <c r="B314" s="343"/>
      <c r="D314" s="300" t="s">
        <v>22</v>
      </c>
      <c r="E314" s="3"/>
      <c r="F314" s="3"/>
      <c r="G314" s="3"/>
    </row>
    <row r="315">
      <c r="A315" s="343"/>
      <c r="B315" s="343"/>
      <c r="D315" s="300" t="s">
        <v>22</v>
      </c>
      <c r="E315" s="3"/>
      <c r="F315" s="3"/>
      <c r="G315" s="3"/>
    </row>
    <row r="316">
      <c r="A316" s="343"/>
      <c r="B316" s="343"/>
      <c r="D316" s="300" t="s">
        <v>22</v>
      </c>
      <c r="E316" s="3"/>
      <c r="F316" s="3"/>
      <c r="G316" s="3"/>
    </row>
    <row r="317">
      <c r="A317" s="343"/>
      <c r="B317" s="343"/>
      <c r="D317" s="300" t="s">
        <v>22</v>
      </c>
      <c r="E317" s="3"/>
      <c r="F317" s="3"/>
      <c r="G317" s="3"/>
    </row>
    <row r="318">
      <c r="A318" s="343"/>
      <c r="B318" s="343"/>
      <c r="D318" s="300" t="s">
        <v>22</v>
      </c>
      <c r="E318" s="3"/>
      <c r="F318" s="3"/>
      <c r="G318" s="3"/>
    </row>
    <row r="319">
      <c r="A319" s="343"/>
      <c r="B319" s="343"/>
      <c r="D319" s="300" t="s">
        <v>22</v>
      </c>
      <c r="E319" s="3"/>
      <c r="F319" s="3"/>
      <c r="G319" s="3"/>
    </row>
    <row r="320">
      <c r="A320" s="343"/>
      <c r="B320" s="343"/>
      <c r="D320" s="300" t="s">
        <v>22</v>
      </c>
      <c r="E320" s="3"/>
      <c r="F320" s="3"/>
      <c r="G320" s="3"/>
    </row>
    <row r="321">
      <c r="A321" s="343"/>
      <c r="B321" s="343"/>
      <c r="D321" s="300" t="s">
        <v>22</v>
      </c>
      <c r="E321" s="3"/>
      <c r="F321" s="3"/>
      <c r="G321" s="3"/>
    </row>
    <row r="322">
      <c r="A322" s="343"/>
      <c r="B322" s="343"/>
      <c r="D322" s="300" t="s">
        <v>22</v>
      </c>
      <c r="E322" s="3"/>
      <c r="F322" s="3"/>
      <c r="G322" s="3"/>
    </row>
    <row r="323">
      <c r="A323" s="343"/>
      <c r="B323" s="343"/>
      <c r="D323" s="300" t="s">
        <v>22</v>
      </c>
      <c r="E323" s="3"/>
      <c r="F323" s="3"/>
      <c r="G323" s="3"/>
    </row>
    <row r="324">
      <c r="A324" s="343"/>
      <c r="B324" s="343"/>
      <c r="D324" s="300" t="s">
        <v>22</v>
      </c>
      <c r="E324" s="3"/>
      <c r="F324" s="3"/>
      <c r="G324" s="3"/>
    </row>
    <row r="325">
      <c r="A325" s="343"/>
      <c r="B325" s="343"/>
      <c r="D325" s="300" t="s">
        <v>22</v>
      </c>
      <c r="E325" s="3"/>
      <c r="F325" s="3"/>
      <c r="G325" s="3"/>
    </row>
    <row r="326">
      <c r="A326" s="343"/>
      <c r="B326" s="343"/>
      <c r="D326" s="300" t="s">
        <v>22</v>
      </c>
      <c r="E326" s="3"/>
      <c r="F326" s="3"/>
      <c r="G326" s="3"/>
    </row>
    <row r="327">
      <c r="A327" s="343"/>
      <c r="B327" s="343"/>
      <c r="D327" s="300" t="s">
        <v>22</v>
      </c>
      <c r="E327" s="3"/>
      <c r="F327" s="3"/>
      <c r="G327" s="3"/>
    </row>
    <row r="328">
      <c r="A328" s="343"/>
      <c r="B328" s="343"/>
      <c r="D328" s="300" t="s">
        <v>22</v>
      </c>
      <c r="E328" s="3"/>
      <c r="F328" s="3"/>
      <c r="G328" s="3"/>
    </row>
    <row r="329">
      <c r="A329" s="343"/>
      <c r="B329" s="343"/>
      <c r="D329" s="300" t="s">
        <v>22</v>
      </c>
      <c r="E329" s="3"/>
      <c r="F329" s="3"/>
      <c r="G329" s="3"/>
    </row>
    <row r="330">
      <c r="A330" s="343"/>
      <c r="B330" s="343"/>
      <c r="D330" s="300" t="s">
        <v>22</v>
      </c>
      <c r="E330" s="3"/>
      <c r="F330" s="3"/>
      <c r="G330" s="3"/>
    </row>
    <row r="331">
      <c r="A331" s="343"/>
      <c r="B331" s="343"/>
      <c r="D331" s="300" t="s">
        <v>22</v>
      </c>
      <c r="E331" s="3"/>
      <c r="F331" s="3"/>
      <c r="G331" s="3"/>
    </row>
    <row r="332">
      <c r="A332" s="343"/>
      <c r="B332" s="343"/>
      <c r="D332" s="300" t="s">
        <v>22</v>
      </c>
      <c r="E332" s="3"/>
      <c r="F332" s="3"/>
      <c r="G332" s="3"/>
    </row>
    <row r="333">
      <c r="A333" s="343"/>
      <c r="B333" s="343"/>
      <c r="D333" s="300" t="s">
        <v>22</v>
      </c>
      <c r="E333" s="3"/>
      <c r="F333" s="3"/>
      <c r="G333" s="3"/>
    </row>
    <row r="334">
      <c r="A334" s="343"/>
      <c r="B334" s="343"/>
      <c r="D334" s="300" t="s">
        <v>22</v>
      </c>
      <c r="E334" s="3"/>
      <c r="F334" s="3"/>
      <c r="G334" s="3"/>
    </row>
    <row r="335">
      <c r="A335" s="343"/>
      <c r="B335" s="343"/>
      <c r="D335" s="300" t="s">
        <v>22</v>
      </c>
      <c r="E335" s="3"/>
      <c r="F335" s="3"/>
      <c r="G335" s="3"/>
    </row>
    <row r="336">
      <c r="A336" s="343"/>
      <c r="B336" s="343"/>
      <c r="D336" s="300" t="s">
        <v>22</v>
      </c>
      <c r="E336" s="3"/>
      <c r="F336" s="3"/>
      <c r="G336" s="3"/>
    </row>
    <row r="337">
      <c r="A337" s="343"/>
      <c r="B337" s="343"/>
      <c r="D337" s="300" t="s">
        <v>22</v>
      </c>
      <c r="E337" s="3"/>
      <c r="F337" s="3"/>
      <c r="G337" s="3"/>
    </row>
    <row r="338">
      <c r="A338" s="343"/>
      <c r="B338" s="343"/>
      <c r="D338" s="300" t="s">
        <v>22</v>
      </c>
      <c r="E338" s="3"/>
      <c r="F338" s="3"/>
      <c r="G338" s="3"/>
    </row>
    <row r="339">
      <c r="A339" s="343"/>
      <c r="B339" s="343"/>
      <c r="D339" s="300" t="s">
        <v>22</v>
      </c>
      <c r="E339" s="3"/>
      <c r="F339" s="3"/>
      <c r="G339" s="3"/>
    </row>
    <row r="340">
      <c r="A340" s="343"/>
      <c r="B340" s="343"/>
      <c r="D340" s="300" t="s">
        <v>22</v>
      </c>
      <c r="E340" s="3"/>
      <c r="F340" s="3"/>
      <c r="G340" s="3"/>
    </row>
    <row r="341">
      <c r="A341" s="343"/>
      <c r="B341" s="343"/>
      <c r="D341" s="300" t="s">
        <v>22</v>
      </c>
      <c r="E341" s="3"/>
      <c r="F341" s="3"/>
      <c r="G341" s="3"/>
    </row>
    <row r="342">
      <c r="A342" s="343"/>
      <c r="B342" s="343"/>
      <c r="D342" s="300" t="s">
        <v>22</v>
      </c>
      <c r="E342" s="3"/>
      <c r="F342" s="3"/>
      <c r="G342" s="3"/>
    </row>
    <row r="343">
      <c r="A343" s="343"/>
      <c r="B343" s="343"/>
      <c r="D343" s="300" t="s">
        <v>22</v>
      </c>
      <c r="E343" s="3"/>
      <c r="F343" s="3"/>
      <c r="G343" s="3"/>
    </row>
    <row r="344">
      <c r="A344" s="343"/>
      <c r="B344" s="343"/>
      <c r="D344" s="300" t="s">
        <v>22</v>
      </c>
      <c r="E344" s="3"/>
      <c r="F344" s="3"/>
      <c r="G344" s="3"/>
    </row>
    <row r="345">
      <c r="A345" s="343"/>
      <c r="B345" s="343"/>
      <c r="D345" s="300" t="s">
        <v>22</v>
      </c>
      <c r="E345" s="3"/>
      <c r="F345" s="3"/>
      <c r="G345" s="3"/>
    </row>
    <row r="346">
      <c r="A346" s="343"/>
      <c r="B346" s="343"/>
      <c r="D346" s="300" t="s">
        <v>22</v>
      </c>
      <c r="E346" s="3"/>
      <c r="F346" s="3"/>
      <c r="G346" s="3"/>
    </row>
    <row r="347">
      <c r="A347" s="343"/>
      <c r="B347" s="343"/>
      <c r="D347" s="300" t="s">
        <v>22</v>
      </c>
      <c r="E347" s="3"/>
      <c r="F347" s="3"/>
      <c r="G347" s="3"/>
    </row>
    <row r="348">
      <c r="A348" s="343"/>
      <c r="B348" s="343"/>
      <c r="D348" s="300" t="s">
        <v>22</v>
      </c>
      <c r="E348" s="3"/>
      <c r="F348" s="3"/>
      <c r="G348" s="3"/>
    </row>
    <row r="349">
      <c r="A349" s="343"/>
      <c r="B349" s="343"/>
      <c r="D349" s="300" t="s">
        <v>22</v>
      </c>
      <c r="E349" s="3"/>
      <c r="F349" s="3"/>
      <c r="G349" s="3"/>
    </row>
    <row r="350">
      <c r="A350" s="343"/>
      <c r="B350" s="343"/>
      <c r="D350" s="300" t="s">
        <v>22</v>
      </c>
      <c r="E350" s="3"/>
      <c r="F350" s="3"/>
      <c r="G350" s="3"/>
    </row>
    <row r="351">
      <c r="A351" s="343"/>
      <c r="B351" s="343"/>
      <c r="D351" s="300" t="s">
        <v>22</v>
      </c>
      <c r="E351" s="3"/>
      <c r="F351" s="3"/>
      <c r="G351" s="3"/>
    </row>
    <row r="352">
      <c r="A352" s="343"/>
      <c r="B352" s="343"/>
      <c r="D352" s="300" t="s">
        <v>22</v>
      </c>
      <c r="E352" s="3"/>
      <c r="F352" s="3"/>
      <c r="G352" s="3"/>
    </row>
    <row r="353">
      <c r="A353" s="343"/>
      <c r="B353" s="343"/>
      <c r="D353" s="300" t="s">
        <v>22</v>
      </c>
      <c r="E353" s="3"/>
      <c r="F353" s="3"/>
      <c r="G353" s="3"/>
    </row>
    <row r="354">
      <c r="A354" s="343"/>
      <c r="B354" s="343"/>
      <c r="D354" s="300" t="s">
        <v>22</v>
      </c>
      <c r="E354" s="3"/>
      <c r="F354" s="3"/>
      <c r="G354" s="3"/>
    </row>
    <row r="355">
      <c r="A355" s="343"/>
      <c r="B355" s="343"/>
      <c r="D355" s="300" t="s">
        <v>22</v>
      </c>
      <c r="E355" s="3"/>
      <c r="F355" s="3"/>
      <c r="G355" s="3"/>
    </row>
    <row r="356">
      <c r="A356" s="343"/>
      <c r="B356" s="343"/>
      <c r="D356" s="300" t="s">
        <v>22</v>
      </c>
      <c r="E356" s="3"/>
      <c r="F356" s="3"/>
      <c r="G356" s="3"/>
    </row>
    <row r="357">
      <c r="A357" s="343"/>
      <c r="B357" s="343"/>
      <c r="D357" s="300" t="s">
        <v>22</v>
      </c>
      <c r="E357" s="3"/>
      <c r="F357" s="3"/>
      <c r="G357" s="3"/>
    </row>
    <row r="358">
      <c r="A358" s="343"/>
      <c r="B358" s="343"/>
      <c r="D358" s="300" t="s">
        <v>22</v>
      </c>
      <c r="E358" s="3"/>
      <c r="F358" s="3"/>
      <c r="G358" s="3"/>
    </row>
    <row r="359">
      <c r="A359" s="343"/>
      <c r="B359" s="343"/>
      <c r="D359" s="300" t="s">
        <v>22</v>
      </c>
      <c r="E359" s="3"/>
      <c r="F359" s="3"/>
      <c r="G359" s="3"/>
    </row>
    <row r="360">
      <c r="A360" s="343"/>
      <c r="B360" s="343"/>
      <c r="D360" s="300" t="s">
        <v>22</v>
      </c>
      <c r="E360" s="3"/>
      <c r="F360" s="3"/>
      <c r="G360" s="3"/>
    </row>
    <row r="361">
      <c r="A361" s="343"/>
      <c r="B361" s="343"/>
      <c r="D361" s="300" t="s">
        <v>22</v>
      </c>
      <c r="E361" s="3"/>
      <c r="F361" s="3"/>
      <c r="G361" s="3"/>
    </row>
    <row r="362">
      <c r="A362" s="343"/>
      <c r="B362" s="343"/>
      <c r="D362" s="300" t="s">
        <v>22</v>
      </c>
      <c r="E362" s="3"/>
      <c r="F362" s="3"/>
      <c r="G362" s="3"/>
    </row>
    <row r="363">
      <c r="A363" s="343"/>
      <c r="B363" s="343"/>
      <c r="D363" s="300" t="s">
        <v>22</v>
      </c>
      <c r="E363" s="3"/>
      <c r="F363" s="3"/>
      <c r="G363" s="3"/>
    </row>
    <row r="364">
      <c r="A364" s="343"/>
      <c r="B364" s="343"/>
      <c r="D364" s="300" t="s">
        <v>22</v>
      </c>
      <c r="E364" s="3"/>
      <c r="F364" s="3"/>
      <c r="G364" s="3"/>
    </row>
    <row r="365">
      <c r="A365" s="343"/>
      <c r="B365" s="343"/>
      <c r="D365" s="300" t="s">
        <v>22</v>
      </c>
      <c r="E365" s="3"/>
      <c r="F365" s="3"/>
      <c r="G365" s="3"/>
    </row>
    <row r="366">
      <c r="A366" s="343"/>
      <c r="B366" s="343"/>
      <c r="D366" s="300" t="s">
        <v>22</v>
      </c>
      <c r="E366" s="3"/>
      <c r="F366" s="3"/>
      <c r="G366" s="3"/>
    </row>
    <row r="367">
      <c r="A367" s="343"/>
      <c r="B367" s="343"/>
      <c r="D367" s="300" t="s">
        <v>22</v>
      </c>
      <c r="E367" s="3"/>
      <c r="F367" s="3"/>
      <c r="G367" s="3"/>
    </row>
    <row r="368">
      <c r="A368" s="343"/>
      <c r="B368" s="343"/>
      <c r="D368" s="300" t="s">
        <v>22</v>
      </c>
      <c r="E368" s="3"/>
      <c r="F368" s="3"/>
      <c r="G368" s="3"/>
    </row>
    <row r="369">
      <c r="A369" s="343"/>
      <c r="B369" s="343"/>
      <c r="D369" s="300" t="s">
        <v>22</v>
      </c>
      <c r="E369" s="3"/>
      <c r="F369" s="3"/>
      <c r="G369" s="3"/>
    </row>
    <row r="370">
      <c r="A370" s="343"/>
      <c r="B370" s="343"/>
      <c r="D370" s="300" t="s">
        <v>22</v>
      </c>
      <c r="E370" s="3"/>
      <c r="F370" s="3"/>
      <c r="G370" s="3"/>
    </row>
    <row r="371">
      <c r="A371" s="343"/>
      <c r="B371" s="343"/>
      <c r="D371" s="300" t="s">
        <v>22</v>
      </c>
      <c r="E371" s="3"/>
      <c r="F371" s="3"/>
      <c r="G371" s="3"/>
    </row>
    <row r="372">
      <c r="A372" s="343"/>
      <c r="B372" s="343"/>
      <c r="D372" s="300" t="s">
        <v>22</v>
      </c>
      <c r="E372" s="3"/>
      <c r="F372" s="3"/>
      <c r="G372" s="3"/>
    </row>
    <row r="373">
      <c r="A373" s="343"/>
      <c r="B373" s="343"/>
      <c r="D373" s="300" t="s">
        <v>22</v>
      </c>
      <c r="E373" s="3"/>
      <c r="F373" s="3"/>
      <c r="G373" s="3"/>
    </row>
    <row r="374">
      <c r="A374" s="343"/>
      <c r="B374" s="343"/>
      <c r="D374" s="300" t="s">
        <v>22</v>
      </c>
      <c r="E374" s="3"/>
      <c r="F374" s="3"/>
      <c r="G374" s="3"/>
    </row>
    <row r="375">
      <c r="A375" s="343"/>
      <c r="B375" s="343"/>
      <c r="D375" s="300" t="s">
        <v>22</v>
      </c>
      <c r="E375" s="3"/>
      <c r="F375" s="3"/>
      <c r="G375" s="3"/>
    </row>
    <row r="376">
      <c r="A376" s="343"/>
      <c r="B376" s="343"/>
      <c r="D376" s="300" t="s">
        <v>22</v>
      </c>
      <c r="E376" s="3"/>
      <c r="F376" s="3"/>
      <c r="G376" s="3"/>
    </row>
    <row r="377">
      <c r="A377" s="343"/>
      <c r="B377" s="343"/>
      <c r="D377" s="300" t="s">
        <v>22</v>
      </c>
      <c r="E377" s="3"/>
      <c r="F377" s="3"/>
      <c r="G377" s="3"/>
    </row>
    <row r="378">
      <c r="A378" s="343"/>
      <c r="B378" s="343"/>
      <c r="D378" s="300" t="s">
        <v>22</v>
      </c>
      <c r="E378" s="3"/>
      <c r="F378" s="3"/>
      <c r="G378" s="3"/>
    </row>
    <row r="379">
      <c r="A379" s="343"/>
      <c r="B379" s="343"/>
      <c r="D379" s="300" t="s">
        <v>22</v>
      </c>
      <c r="E379" s="3"/>
      <c r="F379" s="3"/>
      <c r="G379" s="3"/>
    </row>
    <row r="380">
      <c r="A380" s="343"/>
      <c r="B380" s="343"/>
      <c r="D380" s="300" t="s">
        <v>22</v>
      </c>
      <c r="E380" s="3"/>
      <c r="F380" s="3"/>
      <c r="G380" s="3"/>
    </row>
    <row r="381">
      <c r="A381" s="343"/>
      <c r="B381" s="343"/>
      <c r="D381" s="300" t="s">
        <v>22</v>
      </c>
      <c r="E381" s="3"/>
      <c r="F381" s="3"/>
      <c r="G381" s="3"/>
    </row>
    <row r="382">
      <c r="A382" s="343"/>
      <c r="B382" s="343"/>
      <c r="D382" s="300" t="s">
        <v>22</v>
      </c>
      <c r="E382" s="3"/>
      <c r="F382" s="3"/>
      <c r="G382" s="3"/>
    </row>
    <row r="383">
      <c r="A383" s="343"/>
      <c r="B383" s="343"/>
      <c r="D383" s="300" t="s">
        <v>22</v>
      </c>
      <c r="E383" s="3"/>
      <c r="F383" s="3"/>
      <c r="G383" s="3"/>
    </row>
    <row r="384">
      <c r="A384" s="343"/>
      <c r="B384" s="343"/>
      <c r="D384" s="300" t="s">
        <v>22</v>
      </c>
      <c r="E384" s="3"/>
      <c r="F384" s="3"/>
      <c r="G384" s="3"/>
    </row>
    <row r="385">
      <c r="A385" s="343"/>
      <c r="B385" s="343"/>
      <c r="D385" s="300" t="s">
        <v>22</v>
      </c>
      <c r="E385" s="3"/>
      <c r="F385" s="3"/>
      <c r="G385" s="3"/>
    </row>
    <row r="386">
      <c r="A386" s="343"/>
      <c r="B386" s="343"/>
      <c r="D386" s="300" t="s">
        <v>22</v>
      </c>
      <c r="E386" s="3"/>
      <c r="F386" s="3"/>
      <c r="G386" s="3"/>
    </row>
    <row r="387">
      <c r="A387" s="343"/>
      <c r="B387" s="343"/>
      <c r="D387" s="300" t="s">
        <v>22</v>
      </c>
      <c r="E387" s="3"/>
      <c r="F387" s="3"/>
      <c r="G387" s="3"/>
    </row>
    <row r="388">
      <c r="A388" s="343"/>
      <c r="B388" s="343"/>
      <c r="D388" s="300" t="s">
        <v>22</v>
      </c>
      <c r="E388" s="3"/>
      <c r="F388" s="3"/>
      <c r="G388" s="3"/>
    </row>
    <row r="389">
      <c r="A389" s="343"/>
      <c r="B389" s="343"/>
      <c r="D389" s="300" t="s">
        <v>22</v>
      </c>
      <c r="E389" s="3"/>
      <c r="F389" s="3"/>
      <c r="G389" s="3"/>
    </row>
    <row r="390">
      <c r="A390" s="343"/>
      <c r="B390" s="343"/>
      <c r="D390" s="300" t="s">
        <v>22</v>
      </c>
      <c r="E390" s="3"/>
      <c r="F390" s="3"/>
      <c r="G390" s="3"/>
    </row>
    <row r="391">
      <c r="A391" s="343"/>
      <c r="B391" s="343"/>
      <c r="D391" s="300" t="s">
        <v>22</v>
      </c>
      <c r="E391" s="3"/>
      <c r="F391" s="3"/>
      <c r="G391" s="3"/>
    </row>
    <row r="392">
      <c r="A392" s="343"/>
      <c r="B392" s="343"/>
      <c r="D392" s="300" t="s">
        <v>22</v>
      </c>
      <c r="E392" s="3"/>
      <c r="F392" s="3"/>
      <c r="G392" s="3"/>
    </row>
    <row r="393">
      <c r="A393" s="343"/>
      <c r="B393" s="343"/>
      <c r="D393" s="300" t="s">
        <v>22</v>
      </c>
      <c r="E393" s="3"/>
      <c r="F393" s="3"/>
      <c r="G393" s="3"/>
    </row>
    <row r="394">
      <c r="A394" s="343"/>
      <c r="B394" s="343"/>
      <c r="D394" s="300" t="s">
        <v>22</v>
      </c>
      <c r="E394" s="3"/>
      <c r="F394" s="3"/>
      <c r="G394" s="3"/>
    </row>
    <row r="395">
      <c r="A395" s="343"/>
      <c r="B395" s="343"/>
      <c r="D395" s="300" t="s">
        <v>22</v>
      </c>
      <c r="E395" s="3"/>
      <c r="F395" s="3"/>
      <c r="G395" s="3"/>
    </row>
    <row r="396">
      <c r="A396" s="343"/>
      <c r="B396" s="343"/>
      <c r="D396" s="300" t="s">
        <v>22</v>
      </c>
      <c r="E396" s="3"/>
      <c r="F396" s="3"/>
      <c r="G396" s="3"/>
    </row>
    <row r="397">
      <c r="A397" s="343"/>
      <c r="B397" s="343"/>
      <c r="D397" s="300" t="s">
        <v>22</v>
      </c>
      <c r="E397" s="3"/>
      <c r="F397" s="3"/>
      <c r="G397" s="3"/>
    </row>
    <row r="398">
      <c r="A398" s="343"/>
      <c r="B398" s="343"/>
      <c r="D398" s="300" t="s">
        <v>22</v>
      </c>
      <c r="E398" s="3"/>
      <c r="F398" s="3"/>
      <c r="G398" s="3"/>
    </row>
    <row r="399">
      <c r="A399" s="343"/>
      <c r="B399" s="343"/>
      <c r="D399" s="300" t="s">
        <v>22</v>
      </c>
      <c r="E399" s="3"/>
      <c r="F399" s="3"/>
      <c r="G399" s="3"/>
    </row>
    <row r="400">
      <c r="A400" s="343"/>
      <c r="B400" s="343"/>
      <c r="D400" s="300" t="s">
        <v>22</v>
      </c>
      <c r="E400" s="3"/>
      <c r="F400" s="3"/>
      <c r="G400" s="3"/>
    </row>
    <row r="401">
      <c r="A401" s="343"/>
      <c r="B401" s="343"/>
      <c r="D401" s="300" t="s">
        <v>22</v>
      </c>
      <c r="E401" s="3"/>
      <c r="F401" s="3"/>
      <c r="G401" s="3"/>
    </row>
    <row r="402">
      <c r="A402" s="343"/>
      <c r="B402" s="343"/>
      <c r="D402" s="300" t="s">
        <v>22</v>
      </c>
      <c r="E402" s="3"/>
      <c r="F402" s="3"/>
      <c r="G402" s="3"/>
    </row>
    <row r="403">
      <c r="A403" s="343"/>
      <c r="B403" s="343"/>
      <c r="D403" s="300" t="s">
        <v>22</v>
      </c>
      <c r="E403" s="3"/>
      <c r="F403" s="3"/>
      <c r="G403" s="3"/>
    </row>
    <row r="404">
      <c r="A404" s="343"/>
      <c r="B404" s="343"/>
      <c r="D404" s="300" t="s">
        <v>22</v>
      </c>
      <c r="E404" s="3"/>
      <c r="F404" s="3"/>
      <c r="G404" s="3"/>
    </row>
    <row r="405">
      <c r="A405" s="343"/>
      <c r="B405" s="343"/>
      <c r="D405" s="300" t="s">
        <v>22</v>
      </c>
      <c r="E405" s="3"/>
      <c r="F405" s="3"/>
      <c r="G405" s="3"/>
    </row>
    <row r="406">
      <c r="A406" s="343"/>
      <c r="B406" s="343"/>
      <c r="D406" s="300" t="s">
        <v>22</v>
      </c>
      <c r="E406" s="3"/>
      <c r="F406" s="3"/>
      <c r="G406" s="3"/>
    </row>
    <row r="407">
      <c r="A407" s="343"/>
      <c r="B407" s="343"/>
      <c r="D407" s="300" t="s">
        <v>22</v>
      </c>
      <c r="E407" s="3"/>
      <c r="F407" s="3"/>
      <c r="G407" s="3"/>
    </row>
    <row r="408">
      <c r="A408" s="343"/>
      <c r="B408" s="343"/>
      <c r="D408" s="300" t="s">
        <v>22</v>
      </c>
      <c r="E408" s="3"/>
      <c r="F408" s="3"/>
      <c r="G408" s="3"/>
    </row>
    <row r="409">
      <c r="A409" s="343"/>
      <c r="B409" s="343"/>
      <c r="D409" s="300" t="s">
        <v>22</v>
      </c>
      <c r="E409" s="3"/>
      <c r="F409" s="3"/>
      <c r="G409" s="3"/>
    </row>
    <row r="410">
      <c r="A410" s="343"/>
      <c r="B410" s="343"/>
      <c r="D410" s="300" t="s">
        <v>22</v>
      </c>
      <c r="E410" s="3"/>
      <c r="F410" s="3"/>
      <c r="G410" s="3"/>
    </row>
    <row r="411">
      <c r="A411" s="343"/>
      <c r="B411" s="343"/>
      <c r="D411" s="300" t="s">
        <v>22</v>
      </c>
      <c r="E411" s="3"/>
      <c r="F411" s="3"/>
      <c r="G411" s="3"/>
    </row>
    <row r="412">
      <c r="A412" s="343"/>
      <c r="B412" s="343"/>
      <c r="D412" s="300" t="s">
        <v>22</v>
      </c>
      <c r="E412" s="3"/>
      <c r="F412" s="3"/>
      <c r="G412" s="3"/>
    </row>
    <row r="413">
      <c r="A413" s="343"/>
      <c r="B413" s="343"/>
      <c r="D413" s="300" t="s">
        <v>22</v>
      </c>
      <c r="E413" s="3"/>
      <c r="F413" s="3"/>
      <c r="G413" s="3"/>
    </row>
    <row r="414">
      <c r="A414" s="343"/>
      <c r="B414" s="343"/>
      <c r="D414" s="300" t="s">
        <v>22</v>
      </c>
      <c r="E414" s="3"/>
      <c r="F414" s="3"/>
      <c r="G414" s="3"/>
    </row>
    <row r="415">
      <c r="A415" s="343"/>
      <c r="B415" s="343"/>
      <c r="D415" s="300" t="s">
        <v>22</v>
      </c>
      <c r="E415" s="3"/>
      <c r="F415" s="3"/>
      <c r="G415" s="3"/>
    </row>
    <row r="416">
      <c r="A416" s="343"/>
      <c r="B416" s="343"/>
      <c r="D416" s="300" t="s">
        <v>22</v>
      </c>
      <c r="E416" s="3"/>
      <c r="F416" s="3"/>
      <c r="G416" s="3"/>
    </row>
    <row r="417">
      <c r="A417" s="343"/>
      <c r="B417" s="343"/>
      <c r="D417" s="300" t="s">
        <v>22</v>
      </c>
      <c r="E417" s="3"/>
      <c r="F417" s="3"/>
      <c r="G417" s="3"/>
    </row>
    <row r="418">
      <c r="A418" s="343"/>
      <c r="B418" s="343"/>
      <c r="D418" s="300" t="s">
        <v>22</v>
      </c>
      <c r="E418" s="3"/>
      <c r="F418" s="3"/>
      <c r="G418" s="3"/>
    </row>
    <row r="419">
      <c r="A419" s="343"/>
      <c r="B419" s="343"/>
      <c r="D419" s="300" t="s">
        <v>22</v>
      </c>
      <c r="E419" s="3"/>
      <c r="F419" s="3"/>
      <c r="G419" s="3"/>
    </row>
    <row r="420">
      <c r="A420" s="343"/>
      <c r="B420" s="343"/>
      <c r="D420" s="300" t="s">
        <v>22</v>
      </c>
      <c r="E420" s="3"/>
      <c r="F420" s="3"/>
      <c r="G420" s="3"/>
    </row>
    <row r="421">
      <c r="A421" s="343"/>
      <c r="B421" s="343"/>
      <c r="D421" s="300" t="s">
        <v>22</v>
      </c>
      <c r="E421" s="3"/>
      <c r="F421" s="3"/>
      <c r="G421" s="3"/>
    </row>
    <row r="422">
      <c r="A422" s="343"/>
      <c r="B422" s="343"/>
      <c r="D422" s="300" t="s">
        <v>22</v>
      </c>
      <c r="E422" s="3"/>
      <c r="F422" s="3"/>
      <c r="G422" s="3"/>
    </row>
    <row r="423">
      <c r="A423" s="343"/>
      <c r="B423" s="343"/>
      <c r="D423" s="300" t="s">
        <v>22</v>
      </c>
      <c r="E423" s="3"/>
      <c r="F423" s="3"/>
      <c r="G423" s="3"/>
    </row>
    <row r="424">
      <c r="A424" s="343"/>
      <c r="B424" s="343"/>
      <c r="D424" s="300" t="s">
        <v>22</v>
      </c>
      <c r="E424" s="3"/>
      <c r="F424" s="3"/>
      <c r="G424" s="3"/>
    </row>
    <row r="425">
      <c r="A425" s="343"/>
      <c r="B425" s="343"/>
      <c r="D425" s="300" t="s">
        <v>22</v>
      </c>
      <c r="E425" s="3"/>
      <c r="F425" s="3"/>
      <c r="G425" s="3"/>
    </row>
    <row r="426">
      <c r="A426" s="343"/>
      <c r="B426" s="343"/>
      <c r="D426" s="300" t="s">
        <v>22</v>
      </c>
      <c r="E426" s="3"/>
      <c r="F426" s="3"/>
      <c r="G426" s="3"/>
    </row>
    <row r="427">
      <c r="A427" s="343"/>
      <c r="B427" s="343"/>
      <c r="D427" s="300" t="s">
        <v>22</v>
      </c>
      <c r="E427" s="3"/>
      <c r="F427" s="3"/>
      <c r="G427" s="3"/>
    </row>
    <row r="428">
      <c r="A428" s="343"/>
      <c r="B428" s="343"/>
      <c r="D428" s="300" t="s">
        <v>22</v>
      </c>
      <c r="E428" s="3"/>
      <c r="F428" s="3"/>
      <c r="G428" s="3"/>
    </row>
    <row r="429">
      <c r="A429" s="343"/>
      <c r="B429" s="343"/>
      <c r="D429" s="300" t="s">
        <v>22</v>
      </c>
      <c r="E429" s="3"/>
      <c r="F429" s="3"/>
      <c r="G429" s="3"/>
    </row>
    <row r="430">
      <c r="A430" s="343"/>
      <c r="B430" s="343"/>
      <c r="D430" s="300" t="s">
        <v>22</v>
      </c>
      <c r="E430" s="3"/>
      <c r="F430" s="3"/>
      <c r="G430" s="3"/>
    </row>
    <row r="431">
      <c r="A431" s="343"/>
      <c r="B431" s="343"/>
      <c r="D431" s="300" t="s">
        <v>22</v>
      </c>
      <c r="E431" s="3"/>
      <c r="F431" s="3"/>
      <c r="G431" s="3"/>
    </row>
    <row r="432">
      <c r="A432" s="343"/>
      <c r="B432" s="343"/>
      <c r="D432" s="300" t="s">
        <v>22</v>
      </c>
      <c r="E432" s="3"/>
      <c r="F432" s="3"/>
      <c r="G432" s="3"/>
    </row>
    <row r="433">
      <c r="A433" s="343"/>
      <c r="B433" s="343"/>
      <c r="D433" s="300" t="s">
        <v>22</v>
      </c>
      <c r="E433" s="3"/>
      <c r="F433" s="3"/>
      <c r="G433" s="3"/>
    </row>
    <row r="434">
      <c r="A434" s="343"/>
      <c r="B434" s="343"/>
      <c r="D434" s="300" t="s">
        <v>22</v>
      </c>
      <c r="E434" s="3"/>
      <c r="F434" s="3"/>
      <c r="G434" s="3"/>
    </row>
    <row r="435">
      <c r="A435" s="343"/>
      <c r="B435" s="343"/>
      <c r="D435" s="300" t="s">
        <v>22</v>
      </c>
      <c r="E435" s="3"/>
      <c r="F435" s="3"/>
      <c r="G435" s="3"/>
    </row>
    <row r="436">
      <c r="A436" s="343"/>
      <c r="B436" s="343"/>
      <c r="D436" s="300" t="s">
        <v>22</v>
      </c>
      <c r="E436" s="3"/>
      <c r="F436" s="3"/>
      <c r="G436" s="3"/>
    </row>
    <row r="437">
      <c r="A437" s="343"/>
      <c r="B437" s="343"/>
      <c r="D437" s="300" t="s">
        <v>22</v>
      </c>
      <c r="E437" s="3"/>
      <c r="F437" s="3"/>
      <c r="G437" s="3"/>
    </row>
    <row r="438">
      <c r="A438" s="343"/>
      <c r="B438" s="343"/>
      <c r="D438" s="300" t="s">
        <v>22</v>
      </c>
      <c r="E438" s="3"/>
      <c r="F438" s="3"/>
      <c r="G438" s="3"/>
    </row>
    <row r="439">
      <c r="A439" s="343"/>
      <c r="B439" s="343"/>
      <c r="D439" s="300" t="s">
        <v>22</v>
      </c>
      <c r="E439" s="3"/>
      <c r="F439" s="3"/>
      <c r="G439" s="3"/>
    </row>
    <row r="440">
      <c r="A440" s="343"/>
      <c r="B440" s="343"/>
      <c r="D440" s="300" t="s">
        <v>22</v>
      </c>
      <c r="E440" s="3"/>
      <c r="F440" s="3"/>
      <c r="G440" s="3"/>
    </row>
    <row r="441">
      <c r="A441" s="343"/>
      <c r="B441" s="343"/>
      <c r="D441" s="300" t="s">
        <v>22</v>
      </c>
      <c r="E441" s="3"/>
      <c r="F441" s="3"/>
      <c r="G441" s="3"/>
    </row>
    <row r="442">
      <c r="A442" s="343"/>
      <c r="B442" s="343"/>
      <c r="D442" s="300" t="s">
        <v>22</v>
      </c>
      <c r="E442" s="3"/>
      <c r="F442" s="3"/>
      <c r="G442" s="3"/>
    </row>
    <row r="443">
      <c r="A443" s="343"/>
      <c r="B443" s="343"/>
      <c r="D443" s="300" t="s">
        <v>22</v>
      </c>
      <c r="E443" s="3"/>
      <c r="F443" s="3"/>
      <c r="G443" s="3"/>
    </row>
    <row r="444">
      <c r="A444" s="343"/>
      <c r="B444" s="343"/>
      <c r="D444" s="300" t="s">
        <v>22</v>
      </c>
      <c r="E444" s="3"/>
      <c r="F444" s="3"/>
      <c r="G444" s="3"/>
    </row>
    <row r="445">
      <c r="A445" s="343"/>
      <c r="B445" s="343"/>
      <c r="D445" s="300" t="s">
        <v>22</v>
      </c>
      <c r="E445" s="3"/>
      <c r="F445" s="3"/>
      <c r="G445" s="3"/>
    </row>
    <row r="446">
      <c r="A446" s="343"/>
      <c r="B446" s="343"/>
      <c r="D446" s="300" t="s">
        <v>22</v>
      </c>
      <c r="E446" s="3"/>
      <c r="F446" s="3"/>
      <c r="G446" s="3"/>
    </row>
    <row r="447">
      <c r="A447" s="343"/>
      <c r="B447" s="343"/>
      <c r="D447" s="300" t="s">
        <v>22</v>
      </c>
      <c r="E447" s="3"/>
      <c r="F447" s="3"/>
      <c r="G447" s="3"/>
    </row>
    <row r="448">
      <c r="A448" s="343"/>
      <c r="B448" s="343"/>
      <c r="D448" s="300" t="s">
        <v>22</v>
      </c>
      <c r="E448" s="3"/>
      <c r="F448" s="3"/>
      <c r="G448" s="3"/>
    </row>
    <row r="449">
      <c r="A449" s="343"/>
      <c r="B449" s="343"/>
      <c r="D449" s="300" t="s">
        <v>22</v>
      </c>
      <c r="E449" s="3"/>
      <c r="F449" s="3"/>
      <c r="G449" s="3"/>
    </row>
    <row r="450">
      <c r="A450" s="343"/>
      <c r="B450" s="343"/>
      <c r="D450" s="300" t="s">
        <v>22</v>
      </c>
      <c r="E450" s="3"/>
      <c r="F450" s="3"/>
      <c r="G450" s="3"/>
    </row>
    <row r="451">
      <c r="A451" s="343"/>
      <c r="B451" s="343"/>
      <c r="D451" s="300" t="s">
        <v>22</v>
      </c>
      <c r="E451" s="3"/>
      <c r="F451" s="3"/>
      <c r="G451" s="3"/>
    </row>
    <row r="452">
      <c r="A452" s="343"/>
      <c r="B452" s="343"/>
      <c r="D452" s="300" t="s">
        <v>22</v>
      </c>
      <c r="E452" s="3"/>
      <c r="F452" s="3"/>
      <c r="G452" s="3"/>
    </row>
    <row r="453">
      <c r="A453" s="343"/>
      <c r="B453" s="343"/>
      <c r="D453" s="300" t="s">
        <v>22</v>
      </c>
      <c r="E453" s="3"/>
      <c r="F453" s="3"/>
      <c r="G453" s="3"/>
    </row>
    <row r="454">
      <c r="A454" s="343"/>
      <c r="B454" s="343"/>
      <c r="D454" s="300" t="s">
        <v>22</v>
      </c>
      <c r="E454" s="3"/>
      <c r="F454" s="3"/>
      <c r="G454" s="3"/>
    </row>
    <row r="455">
      <c r="A455" s="343"/>
      <c r="B455" s="343"/>
      <c r="D455" s="300" t="s">
        <v>22</v>
      </c>
      <c r="E455" s="3"/>
      <c r="F455" s="3"/>
      <c r="G455" s="3"/>
    </row>
    <row r="456">
      <c r="A456" s="343"/>
      <c r="B456" s="343"/>
      <c r="D456" s="300" t="s">
        <v>22</v>
      </c>
      <c r="E456" s="3"/>
      <c r="F456" s="3"/>
      <c r="G456" s="3"/>
    </row>
    <row r="457">
      <c r="A457" s="343"/>
      <c r="B457" s="343"/>
      <c r="D457" s="300" t="s">
        <v>22</v>
      </c>
      <c r="E457" s="3"/>
      <c r="F457" s="3"/>
      <c r="G457" s="3"/>
    </row>
    <row r="458">
      <c r="A458" s="343"/>
      <c r="B458" s="343"/>
      <c r="D458" s="300" t="s">
        <v>22</v>
      </c>
      <c r="E458" s="3"/>
      <c r="F458" s="3"/>
      <c r="G458" s="3"/>
    </row>
    <row r="459">
      <c r="A459" s="343"/>
      <c r="B459" s="343"/>
      <c r="D459" s="300" t="s">
        <v>22</v>
      </c>
      <c r="E459" s="3"/>
      <c r="F459" s="3"/>
      <c r="G459" s="3"/>
    </row>
    <row r="460">
      <c r="A460" s="343"/>
      <c r="B460" s="343"/>
      <c r="D460" s="300" t="s">
        <v>22</v>
      </c>
      <c r="E460" s="3"/>
      <c r="F460" s="3"/>
      <c r="G460" s="3"/>
    </row>
    <row r="461">
      <c r="A461" s="343"/>
      <c r="B461" s="343"/>
      <c r="D461" s="300" t="s">
        <v>22</v>
      </c>
      <c r="E461" s="3"/>
      <c r="F461" s="3"/>
      <c r="G461" s="3"/>
    </row>
    <row r="462">
      <c r="A462" s="343"/>
      <c r="B462" s="343"/>
      <c r="D462" s="300" t="s">
        <v>22</v>
      </c>
      <c r="E462" s="3"/>
      <c r="F462" s="3"/>
      <c r="G462" s="3"/>
    </row>
    <row r="463">
      <c r="A463" s="343"/>
      <c r="B463" s="343"/>
      <c r="D463" s="300" t="s">
        <v>22</v>
      </c>
      <c r="E463" s="3"/>
      <c r="F463" s="3"/>
      <c r="G463" s="3"/>
    </row>
    <row r="464">
      <c r="A464" s="343"/>
      <c r="B464" s="343"/>
      <c r="D464" s="300" t="s">
        <v>22</v>
      </c>
      <c r="E464" s="3"/>
      <c r="F464" s="3"/>
      <c r="G464" s="3"/>
    </row>
    <row r="465">
      <c r="A465" s="343"/>
      <c r="B465" s="343"/>
      <c r="D465" s="300" t="s">
        <v>22</v>
      </c>
      <c r="E465" s="3"/>
      <c r="F465" s="3"/>
      <c r="G465" s="3"/>
    </row>
    <row r="466">
      <c r="A466" s="343"/>
      <c r="B466" s="343"/>
      <c r="D466" s="300" t="s">
        <v>22</v>
      </c>
      <c r="E466" s="3"/>
      <c r="F466" s="3"/>
      <c r="G466" s="3"/>
    </row>
    <row r="467">
      <c r="A467" s="343"/>
      <c r="B467" s="343"/>
      <c r="D467" s="300" t="s">
        <v>22</v>
      </c>
      <c r="E467" s="3"/>
      <c r="F467" s="3"/>
      <c r="G467" s="3"/>
    </row>
    <row r="468">
      <c r="A468" s="343"/>
      <c r="B468" s="343"/>
      <c r="D468" s="300" t="s">
        <v>22</v>
      </c>
      <c r="E468" s="3"/>
      <c r="F468" s="3"/>
      <c r="G468" s="3"/>
    </row>
    <row r="469">
      <c r="A469" s="343"/>
      <c r="B469" s="343"/>
      <c r="D469" s="300" t="s">
        <v>22</v>
      </c>
      <c r="E469" s="3"/>
      <c r="F469" s="3"/>
      <c r="G469" s="3"/>
    </row>
    <row r="470">
      <c r="A470" s="343"/>
      <c r="B470" s="343"/>
      <c r="D470" s="300" t="s">
        <v>22</v>
      </c>
      <c r="E470" s="3"/>
      <c r="F470" s="3"/>
      <c r="G470" s="3"/>
    </row>
    <row r="471">
      <c r="A471" s="343"/>
      <c r="B471" s="343"/>
      <c r="D471" s="300" t="s">
        <v>22</v>
      </c>
      <c r="E471" s="3"/>
      <c r="F471" s="3"/>
      <c r="G471" s="3"/>
    </row>
    <row r="472">
      <c r="A472" s="343"/>
      <c r="B472" s="343"/>
      <c r="D472" s="300" t="s">
        <v>22</v>
      </c>
      <c r="E472" s="3"/>
      <c r="F472" s="3"/>
      <c r="G472" s="3"/>
    </row>
    <row r="473">
      <c r="A473" s="343"/>
      <c r="B473" s="343"/>
      <c r="D473" s="300" t="s">
        <v>22</v>
      </c>
      <c r="E473" s="3"/>
      <c r="F473" s="3"/>
      <c r="G473" s="3"/>
    </row>
    <row r="474">
      <c r="A474" s="343"/>
      <c r="B474" s="343"/>
      <c r="D474" s="300" t="s">
        <v>22</v>
      </c>
      <c r="E474" s="3"/>
      <c r="F474" s="3"/>
      <c r="G474" s="3"/>
    </row>
    <row r="475">
      <c r="A475" s="343"/>
      <c r="B475" s="343"/>
      <c r="D475" s="300" t="s">
        <v>22</v>
      </c>
      <c r="E475" s="3"/>
      <c r="F475" s="3"/>
      <c r="G475" s="3"/>
    </row>
    <row r="476">
      <c r="A476" s="343"/>
      <c r="B476" s="343"/>
      <c r="D476" s="300" t="s">
        <v>22</v>
      </c>
      <c r="E476" s="3"/>
      <c r="F476" s="3"/>
      <c r="G476" s="3"/>
    </row>
    <row r="477">
      <c r="A477" s="343"/>
      <c r="B477" s="343"/>
      <c r="D477" s="300" t="s">
        <v>22</v>
      </c>
      <c r="E477" s="3"/>
      <c r="F477" s="3"/>
      <c r="G477" s="3"/>
    </row>
    <row r="478">
      <c r="A478" s="343"/>
      <c r="B478" s="343"/>
      <c r="D478" s="300" t="s">
        <v>22</v>
      </c>
      <c r="E478" s="3"/>
      <c r="F478" s="3"/>
      <c r="G478" s="3"/>
    </row>
    <row r="479">
      <c r="A479" s="343"/>
      <c r="B479" s="343"/>
      <c r="D479" s="300" t="s">
        <v>22</v>
      </c>
      <c r="E479" s="3"/>
      <c r="F479" s="3"/>
      <c r="G479" s="3"/>
    </row>
    <row r="480">
      <c r="A480" s="343"/>
      <c r="B480" s="343"/>
      <c r="D480" s="300" t="s">
        <v>22</v>
      </c>
      <c r="E480" s="3"/>
      <c r="F480" s="3"/>
      <c r="G480" s="3"/>
    </row>
    <row r="481">
      <c r="A481" s="343"/>
      <c r="B481" s="343"/>
      <c r="D481" s="300" t="s">
        <v>22</v>
      </c>
      <c r="E481" s="3"/>
      <c r="F481" s="3"/>
      <c r="G481" s="3"/>
    </row>
    <row r="482">
      <c r="A482" s="343"/>
      <c r="B482" s="343"/>
      <c r="D482" s="300" t="s">
        <v>22</v>
      </c>
      <c r="E482" s="3"/>
      <c r="F482" s="3"/>
      <c r="G482" s="3"/>
    </row>
    <row r="483">
      <c r="A483" s="343"/>
      <c r="B483" s="343"/>
      <c r="D483" s="300" t="s">
        <v>22</v>
      </c>
      <c r="E483" s="3"/>
      <c r="F483" s="3"/>
      <c r="G483" s="3"/>
    </row>
    <row r="484">
      <c r="A484" s="343"/>
      <c r="B484" s="343"/>
      <c r="D484" s="300" t="s">
        <v>22</v>
      </c>
      <c r="E484" s="3"/>
      <c r="F484" s="3"/>
      <c r="G484" s="3"/>
    </row>
    <row r="485">
      <c r="A485" s="343"/>
      <c r="B485" s="343"/>
      <c r="D485" s="300" t="s">
        <v>22</v>
      </c>
      <c r="E485" s="3"/>
      <c r="F485" s="3"/>
      <c r="G485" s="3"/>
    </row>
    <row r="486">
      <c r="A486" s="343"/>
      <c r="B486" s="343"/>
      <c r="D486" s="300" t="s">
        <v>22</v>
      </c>
      <c r="E486" s="3"/>
      <c r="F486" s="3"/>
      <c r="G486" s="3"/>
    </row>
    <row r="487">
      <c r="A487" s="343"/>
      <c r="B487" s="343"/>
      <c r="D487" s="300" t="s">
        <v>22</v>
      </c>
      <c r="E487" s="3"/>
      <c r="F487" s="3"/>
      <c r="G487" s="3"/>
    </row>
    <row r="488">
      <c r="A488" s="343"/>
      <c r="B488" s="343"/>
      <c r="D488" s="300" t="s">
        <v>22</v>
      </c>
      <c r="E488" s="3"/>
      <c r="F488" s="3"/>
      <c r="G488" s="3"/>
    </row>
    <row r="489">
      <c r="A489" s="343"/>
      <c r="B489" s="343"/>
      <c r="D489" s="300" t="s">
        <v>22</v>
      </c>
      <c r="E489" s="3"/>
      <c r="F489" s="3"/>
      <c r="G489" s="3"/>
    </row>
    <row r="490">
      <c r="A490" s="343"/>
      <c r="B490" s="343"/>
      <c r="D490" s="300" t="s">
        <v>22</v>
      </c>
      <c r="E490" s="3"/>
      <c r="F490" s="3"/>
      <c r="G490" s="3"/>
    </row>
    <row r="491">
      <c r="A491" s="343"/>
      <c r="B491" s="343"/>
      <c r="D491" s="300" t="s">
        <v>22</v>
      </c>
      <c r="E491" s="3"/>
      <c r="F491" s="3"/>
      <c r="G491" s="3"/>
    </row>
    <row r="492">
      <c r="A492" s="343"/>
      <c r="B492" s="343"/>
      <c r="D492" s="300" t="s">
        <v>22</v>
      </c>
      <c r="E492" s="3"/>
      <c r="F492" s="3"/>
      <c r="G492" s="3"/>
    </row>
    <row r="493">
      <c r="A493" s="343"/>
      <c r="B493" s="343"/>
      <c r="D493" s="300" t="s">
        <v>22</v>
      </c>
      <c r="E493" s="3"/>
      <c r="F493" s="3"/>
      <c r="G493" s="3"/>
    </row>
    <row r="494">
      <c r="A494" s="343"/>
      <c r="B494" s="343"/>
      <c r="D494" s="300" t="s">
        <v>22</v>
      </c>
      <c r="E494" s="3"/>
      <c r="F494" s="3"/>
      <c r="G494" s="3"/>
    </row>
    <row r="495">
      <c r="A495" s="343"/>
      <c r="B495" s="343"/>
      <c r="D495" s="300" t="s">
        <v>22</v>
      </c>
      <c r="E495" s="3"/>
      <c r="F495" s="3"/>
      <c r="G495" s="3"/>
    </row>
    <row r="496">
      <c r="A496" s="343"/>
      <c r="B496" s="343"/>
      <c r="D496" s="300" t="s">
        <v>22</v>
      </c>
      <c r="E496" s="3"/>
      <c r="F496" s="3"/>
      <c r="G496" s="3"/>
    </row>
    <row r="497">
      <c r="A497" s="343"/>
      <c r="B497" s="343"/>
      <c r="D497" s="300" t="s">
        <v>22</v>
      </c>
      <c r="E497" s="3"/>
      <c r="F497" s="3"/>
      <c r="G497" s="3"/>
    </row>
    <row r="498">
      <c r="A498" s="343"/>
      <c r="B498" s="343"/>
      <c r="D498" s="300" t="s">
        <v>22</v>
      </c>
      <c r="E498" s="3"/>
      <c r="F498" s="3"/>
      <c r="G498" s="3"/>
    </row>
    <row r="499">
      <c r="A499" s="343"/>
      <c r="B499" s="343"/>
      <c r="D499" s="300" t="s">
        <v>22</v>
      </c>
      <c r="E499" s="3"/>
      <c r="F499" s="3"/>
      <c r="G499" s="3"/>
    </row>
    <row r="500">
      <c r="A500" s="343"/>
      <c r="B500" s="343"/>
      <c r="D500" s="300" t="s">
        <v>22</v>
      </c>
      <c r="E500" s="3"/>
      <c r="F500" s="3"/>
      <c r="G500" s="3"/>
    </row>
    <row r="501">
      <c r="A501" s="343"/>
      <c r="B501" s="343"/>
      <c r="D501" s="300" t="s">
        <v>22</v>
      </c>
      <c r="E501" s="3"/>
      <c r="F501" s="3"/>
      <c r="G501" s="3"/>
    </row>
    <row r="502">
      <c r="A502" s="343"/>
      <c r="B502" s="343"/>
      <c r="D502" s="300" t="s">
        <v>22</v>
      </c>
      <c r="E502" s="3"/>
      <c r="F502" s="3"/>
      <c r="G502" s="3"/>
    </row>
    <row r="503">
      <c r="A503" s="343"/>
      <c r="B503" s="343"/>
      <c r="D503" s="300" t="s">
        <v>22</v>
      </c>
      <c r="E503" s="3"/>
      <c r="F503" s="3"/>
      <c r="G503" s="3"/>
    </row>
    <row r="504">
      <c r="A504" s="343"/>
      <c r="B504" s="343"/>
      <c r="D504" s="300" t="s">
        <v>22</v>
      </c>
      <c r="E504" s="3"/>
      <c r="F504" s="3"/>
      <c r="G504" s="3"/>
    </row>
    <row r="505">
      <c r="A505" s="343"/>
      <c r="B505" s="343"/>
      <c r="D505" s="300" t="s">
        <v>22</v>
      </c>
      <c r="E505" s="3"/>
      <c r="F505" s="3"/>
      <c r="G505" s="3"/>
    </row>
    <row r="506">
      <c r="A506" s="343"/>
      <c r="B506" s="343"/>
      <c r="D506" s="300" t="s">
        <v>22</v>
      </c>
      <c r="E506" s="3"/>
      <c r="F506" s="3"/>
      <c r="G506" s="3"/>
    </row>
    <row r="507">
      <c r="A507" s="343"/>
      <c r="B507" s="343"/>
      <c r="D507" s="300" t="s">
        <v>22</v>
      </c>
      <c r="E507" s="3"/>
      <c r="F507" s="3"/>
      <c r="G507" s="3"/>
    </row>
    <row r="508">
      <c r="A508" s="343"/>
      <c r="B508" s="343"/>
      <c r="D508" s="300" t="s">
        <v>22</v>
      </c>
      <c r="E508" s="3"/>
      <c r="F508" s="3"/>
      <c r="G508" s="3"/>
    </row>
    <row r="509">
      <c r="A509" s="343"/>
      <c r="B509" s="343"/>
      <c r="D509" s="300" t="s">
        <v>22</v>
      </c>
      <c r="E509" s="3"/>
      <c r="F509" s="3"/>
      <c r="G509" s="3"/>
    </row>
    <row r="510">
      <c r="A510" s="343"/>
      <c r="B510" s="343"/>
      <c r="D510" s="300" t="s">
        <v>22</v>
      </c>
      <c r="E510" s="3"/>
      <c r="F510" s="3"/>
      <c r="G510" s="3"/>
    </row>
    <row r="511">
      <c r="A511" s="343"/>
      <c r="B511" s="343"/>
      <c r="D511" s="300" t="s">
        <v>22</v>
      </c>
      <c r="E511" s="3"/>
      <c r="F511" s="3"/>
      <c r="G511" s="3"/>
    </row>
    <row r="512">
      <c r="A512" s="343"/>
      <c r="B512" s="343"/>
      <c r="D512" s="300" t="s">
        <v>22</v>
      </c>
      <c r="E512" s="3"/>
      <c r="F512" s="3"/>
      <c r="G512" s="3"/>
    </row>
    <row r="513">
      <c r="A513" s="343"/>
      <c r="B513" s="343"/>
      <c r="D513" s="300" t="s">
        <v>22</v>
      </c>
      <c r="E513" s="3"/>
      <c r="F513" s="3"/>
      <c r="G513" s="3"/>
    </row>
    <row r="514">
      <c r="A514" s="343"/>
      <c r="B514" s="343"/>
      <c r="D514" s="300" t="s">
        <v>22</v>
      </c>
      <c r="E514" s="3"/>
      <c r="F514" s="3"/>
      <c r="G514" s="3"/>
    </row>
    <row r="515">
      <c r="A515" s="343"/>
      <c r="B515" s="343"/>
      <c r="D515" s="300" t="s">
        <v>22</v>
      </c>
      <c r="E515" s="3"/>
      <c r="F515" s="3"/>
      <c r="G515" s="3"/>
    </row>
    <row r="516">
      <c r="A516" s="343"/>
      <c r="B516" s="343"/>
      <c r="D516" s="300" t="s">
        <v>22</v>
      </c>
      <c r="E516" s="3"/>
      <c r="F516" s="3"/>
      <c r="G516" s="3"/>
    </row>
    <row r="517">
      <c r="A517" s="343"/>
      <c r="B517" s="343"/>
      <c r="D517" s="300" t="s">
        <v>22</v>
      </c>
      <c r="E517" s="3"/>
      <c r="F517" s="3"/>
      <c r="G517" s="3"/>
    </row>
    <row r="518">
      <c r="A518" s="343"/>
      <c r="B518" s="343"/>
      <c r="D518" s="300" t="s">
        <v>22</v>
      </c>
      <c r="E518" s="3"/>
      <c r="F518" s="3"/>
      <c r="G518" s="3"/>
    </row>
    <row r="519">
      <c r="A519" s="343"/>
      <c r="B519" s="343"/>
      <c r="D519" s="300" t="s">
        <v>22</v>
      </c>
      <c r="E519" s="3"/>
      <c r="F519" s="3"/>
      <c r="G519" s="3"/>
    </row>
    <row r="520">
      <c r="A520" s="343"/>
      <c r="B520" s="343"/>
      <c r="D520" s="300" t="s">
        <v>22</v>
      </c>
      <c r="E520" s="3"/>
      <c r="F520" s="3"/>
      <c r="G520" s="3"/>
    </row>
    <row r="521">
      <c r="A521" s="343"/>
      <c r="B521" s="343"/>
      <c r="D521" s="300" t="s">
        <v>22</v>
      </c>
      <c r="E521" s="3"/>
      <c r="F521" s="3"/>
      <c r="G521" s="3"/>
    </row>
    <row r="522">
      <c r="A522" s="343"/>
      <c r="B522" s="343"/>
      <c r="D522" s="300" t="s">
        <v>22</v>
      </c>
      <c r="E522" s="3"/>
      <c r="F522" s="3"/>
      <c r="G522" s="3"/>
    </row>
    <row r="523">
      <c r="A523" s="343"/>
      <c r="B523" s="343"/>
      <c r="D523" s="300" t="s">
        <v>22</v>
      </c>
      <c r="E523" s="3"/>
      <c r="F523" s="3"/>
      <c r="G523" s="3"/>
    </row>
    <row r="524">
      <c r="A524" s="343"/>
      <c r="B524" s="343"/>
      <c r="D524" s="300" t="s">
        <v>22</v>
      </c>
      <c r="E524" s="3"/>
      <c r="F524" s="3"/>
      <c r="G524" s="3"/>
    </row>
    <row r="525">
      <c r="A525" s="343"/>
      <c r="B525" s="343"/>
      <c r="D525" s="300" t="s">
        <v>22</v>
      </c>
      <c r="E525" s="3"/>
      <c r="F525" s="3"/>
      <c r="G525" s="3"/>
    </row>
    <row r="526">
      <c r="A526" s="343"/>
      <c r="B526" s="343"/>
      <c r="D526" s="300" t="s">
        <v>22</v>
      </c>
      <c r="E526" s="3"/>
      <c r="F526" s="3"/>
      <c r="G526" s="3"/>
    </row>
    <row r="527">
      <c r="A527" s="343"/>
      <c r="B527" s="343"/>
      <c r="D527" s="300" t="s">
        <v>22</v>
      </c>
      <c r="E527" s="3"/>
      <c r="F527" s="3"/>
      <c r="G527" s="3"/>
    </row>
    <row r="528">
      <c r="A528" s="343"/>
      <c r="B528" s="343"/>
      <c r="D528" s="300" t="s">
        <v>22</v>
      </c>
      <c r="E528" s="3"/>
      <c r="F528" s="3"/>
      <c r="G528" s="3"/>
    </row>
    <row r="529">
      <c r="A529" s="343"/>
      <c r="B529" s="343"/>
      <c r="D529" s="300" t="s">
        <v>22</v>
      </c>
      <c r="E529" s="3"/>
      <c r="F529" s="3"/>
      <c r="G529" s="3"/>
    </row>
    <row r="530">
      <c r="A530" s="343"/>
      <c r="B530" s="343"/>
      <c r="D530" s="300" t="s">
        <v>22</v>
      </c>
      <c r="E530" s="3"/>
      <c r="F530" s="3"/>
      <c r="G530" s="3"/>
    </row>
    <row r="531">
      <c r="A531" s="343"/>
      <c r="B531" s="343"/>
      <c r="D531" s="300" t="s">
        <v>22</v>
      </c>
      <c r="E531" s="3"/>
      <c r="F531" s="3"/>
      <c r="G531" s="3"/>
    </row>
    <row r="532">
      <c r="A532" s="343"/>
      <c r="B532" s="343"/>
      <c r="D532" s="300" t="s">
        <v>22</v>
      </c>
      <c r="E532" s="3"/>
      <c r="F532" s="3"/>
      <c r="G532" s="3"/>
    </row>
    <row r="533">
      <c r="A533" s="343"/>
      <c r="B533" s="343"/>
      <c r="D533" s="300" t="s">
        <v>22</v>
      </c>
      <c r="E533" s="3"/>
      <c r="F533" s="3"/>
      <c r="G533" s="3"/>
    </row>
    <row r="534">
      <c r="A534" s="343"/>
      <c r="B534" s="343"/>
      <c r="D534" s="300" t="s">
        <v>22</v>
      </c>
      <c r="E534" s="3"/>
      <c r="F534" s="3"/>
      <c r="G534" s="3"/>
    </row>
    <row r="535">
      <c r="A535" s="343"/>
      <c r="B535" s="343"/>
      <c r="D535" s="300" t="s">
        <v>22</v>
      </c>
      <c r="E535" s="3"/>
      <c r="F535" s="3"/>
      <c r="G535" s="3"/>
    </row>
    <row r="536">
      <c r="A536" s="343"/>
      <c r="B536" s="343"/>
      <c r="D536" s="300" t="s">
        <v>22</v>
      </c>
      <c r="E536" s="3"/>
      <c r="F536" s="3"/>
      <c r="G536" s="3"/>
    </row>
    <row r="537">
      <c r="A537" s="343"/>
      <c r="B537" s="343"/>
      <c r="D537" s="300" t="s">
        <v>22</v>
      </c>
      <c r="E537" s="3"/>
      <c r="F537" s="3"/>
      <c r="G537" s="3"/>
    </row>
    <row r="538">
      <c r="A538" s="343"/>
      <c r="B538" s="343"/>
      <c r="D538" s="300" t="s">
        <v>22</v>
      </c>
      <c r="E538" s="3"/>
      <c r="F538" s="3"/>
      <c r="G538" s="3"/>
    </row>
    <row r="539">
      <c r="A539" s="343"/>
      <c r="B539" s="343"/>
      <c r="D539" s="300" t="s">
        <v>22</v>
      </c>
      <c r="E539" s="3"/>
      <c r="F539" s="3"/>
      <c r="G539" s="3"/>
    </row>
    <row r="540">
      <c r="A540" s="343"/>
      <c r="B540" s="343"/>
      <c r="D540" s="300" t="s">
        <v>22</v>
      </c>
      <c r="E540" s="3"/>
      <c r="F540" s="3"/>
      <c r="G540" s="3"/>
    </row>
    <row r="541">
      <c r="A541" s="343"/>
      <c r="B541" s="343"/>
      <c r="D541" s="300" t="s">
        <v>22</v>
      </c>
      <c r="E541" s="3"/>
      <c r="F541" s="3"/>
      <c r="G541" s="3"/>
    </row>
    <row r="542">
      <c r="A542" s="343"/>
      <c r="B542" s="343"/>
      <c r="D542" s="300" t="s">
        <v>22</v>
      </c>
      <c r="E542" s="3"/>
      <c r="F542" s="3"/>
      <c r="G542" s="3"/>
    </row>
    <row r="543">
      <c r="A543" s="343"/>
      <c r="B543" s="343"/>
      <c r="D543" s="300" t="s">
        <v>22</v>
      </c>
      <c r="E543" s="3"/>
      <c r="F543" s="3"/>
      <c r="G543" s="3"/>
    </row>
    <row r="544">
      <c r="A544" s="343"/>
      <c r="B544" s="343"/>
      <c r="D544" s="300" t="s">
        <v>22</v>
      </c>
      <c r="E544" s="3"/>
      <c r="F544" s="3"/>
      <c r="G544" s="3"/>
    </row>
    <row r="545">
      <c r="A545" s="343"/>
      <c r="B545" s="343"/>
      <c r="D545" s="300" t="s">
        <v>22</v>
      </c>
      <c r="E545" s="3"/>
      <c r="F545" s="3"/>
      <c r="G545" s="3"/>
    </row>
    <row r="546">
      <c r="A546" s="343"/>
      <c r="B546" s="343"/>
      <c r="D546" s="300" t="s">
        <v>22</v>
      </c>
      <c r="E546" s="3"/>
      <c r="F546" s="3"/>
      <c r="G546" s="3"/>
    </row>
    <row r="547">
      <c r="A547" s="343"/>
      <c r="B547" s="343"/>
      <c r="D547" s="300" t="s">
        <v>22</v>
      </c>
      <c r="E547" s="3"/>
      <c r="F547" s="3"/>
      <c r="G547" s="3"/>
    </row>
    <row r="548">
      <c r="A548" s="343"/>
      <c r="B548" s="343"/>
      <c r="D548" s="300" t="s">
        <v>22</v>
      </c>
      <c r="E548" s="3"/>
      <c r="F548" s="3"/>
      <c r="G548" s="3"/>
    </row>
    <row r="549">
      <c r="A549" s="343"/>
      <c r="B549" s="343"/>
      <c r="D549" s="300" t="s">
        <v>22</v>
      </c>
      <c r="E549" s="3"/>
      <c r="F549" s="3"/>
      <c r="G549" s="3"/>
    </row>
    <row r="550">
      <c r="A550" s="343"/>
      <c r="B550" s="343"/>
      <c r="D550" s="300" t="s">
        <v>22</v>
      </c>
      <c r="E550" s="3"/>
      <c r="F550" s="3"/>
      <c r="G550" s="3"/>
    </row>
    <row r="551">
      <c r="A551" s="343"/>
      <c r="B551" s="343"/>
      <c r="D551" s="300" t="s">
        <v>22</v>
      </c>
      <c r="E551" s="3"/>
      <c r="F551" s="3"/>
      <c r="G551" s="3"/>
    </row>
    <row r="552">
      <c r="A552" s="343"/>
      <c r="B552" s="343"/>
      <c r="D552" s="300" t="s">
        <v>22</v>
      </c>
      <c r="E552" s="3"/>
      <c r="F552" s="3"/>
      <c r="G552" s="3"/>
    </row>
    <row r="553">
      <c r="A553" s="343"/>
      <c r="B553" s="343"/>
      <c r="D553" s="300" t="s">
        <v>22</v>
      </c>
      <c r="E553" s="3"/>
      <c r="F553" s="3"/>
      <c r="G553" s="3"/>
    </row>
    <row r="554">
      <c r="A554" s="343"/>
      <c r="B554" s="343"/>
      <c r="D554" s="300" t="s">
        <v>22</v>
      </c>
      <c r="E554" s="3"/>
      <c r="F554" s="3"/>
      <c r="G554" s="3"/>
    </row>
    <row r="555">
      <c r="A555" s="343"/>
      <c r="B555" s="343"/>
      <c r="D555" s="300" t="s">
        <v>22</v>
      </c>
      <c r="E555" s="3"/>
      <c r="F555" s="3"/>
      <c r="G555" s="3"/>
    </row>
    <row r="556">
      <c r="A556" s="343"/>
      <c r="B556" s="343"/>
      <c r="D556" s="300" t="s">
        <v>22</v>
      </c>
      <c r="E556" s="3"/>
      <c r="F556" s="3"/>
      <c r="G556" s="3"/>
    </row>
    <row r="557">
      <c r="A557" s="343"/>
      <c r="B557" s="343"/>
      <c r="D557" s="300" t="s">
        <v>22</v>
      </c>
      <c r="E557" s="3"/>
      <c r="F557" s="3"/>
      <c r="G557" s="3"/>
    </row>
    <row r="558">
      <c r="A558" s="343"/>
      <c r="B558" s="343"/>
      <c r="D558" s="300" t="s">
        <v>22</v>
      </c>
      <c r="E558" s="3"/>
      <c r="F558" s="3"/>
      <c r="G558" s="3"/>
    </row>
    <row r="559">
      <c r="A559" s="343"/>
      <c r="B559" s="343"/>
      <c r="D559" s="300" t="s">
        <v>22</v>
      </c>
      <c r="E559" s="3"/>
      <c r="F559" s="3"/>
      <c r="G559" s="3"/>
    </row>
    <row r="560">
      <c r="A560" s="343"/>
      <c r="B560" s="343"/>
      <c r="D560" s="300" t="s">
        <v>22</v>
      </c>
      <c r="E560" s="3"/>
      <c r="F560" s="3"/>
      <c r="G560" s="3"/>
    </row>
    <row r="561">
      <c r="A561" s="343"/>
      <c r="B561" s="343"/>
      <c r="D561" s="300" t="s">
        <v>22</v>
      </c>
      <c r="E561" s="3"/>
      <c r="F561" s="3"/>
      <c r="G561" s="3"/>
    </row>
    <row r="562">
      <c r="A562" s="343"/>
      <c r="B562" s="343"/>
      <c r="D562" s="300" t="s">
        <v>22</v>
      </c>
      <c r="E562" s="3"/>
      <c r="F562" s="3"/>
      <c r="G562" s="3"/>
    </row>
    <row r="563">
      <c r="A563" s="343"/>
      <c r="B563" s="343"/>
      <c r="D563" s="300" t="s">
        <v>22</v>
      </c>
      <c r="E563" s="3"/>
      <c r="F563" s="3"/>
      <c r="G563" s="3"/>
    </row>
    <row r="564">
      <c r="A564" s="343"/>
      <c r="B564" s="343"/>
      <c r="D564" s="300" t="s">
        <v>22</v>
      </c>
      <c r="E564" s="3"/>
      <c r="F564" s="3"/>
      <c r="G564" s="3"/>
    </row>
    <row r="565">
      <c r="A565" s="343"/>
      <c r="B565" s="343"/>
      <c r="D565" s="300" t="s">
        <v>22</v>
      </c>
      <c r="E565" s="3"/>
      <c r="F565" s="3"/>
      <c r="G565" s="3"/>
    </row>
    <row r="566">
      <c r="A566" s="343"/>
      <c r="B566" s="343"/>
      <c r="D566" s="300" t="s">
        <v>22</v>
      </c>
      <c r="E566" s="3"/>
      <c r="F566" s="3"/>
      <c r="G566" s="3"/>
    </row>
    <row r="567">
      <c r="A567" s="343"/>
      <c r="B567" s="343"/>
      <c r="D567" s="300" t="s">
        <v>22</v>
      </c>
      <c r="E567" s="3"/>
      <c r="F567" s="3"/>
      <c r="G567" s="3"/>
    </row>
    <row r="568">
      <c r="A568" s="343"/>
      <c r="B568" s="343"/>
      <c r="D568" s="300" t="s">
        <v>22</v>
      </c>
      <c r="E568" s="3"/>
      <c r="F568" s="3"/>
      <c r="G568" s="3"/>
    </row>
    <row r="569">
      <c r="A569" s="343"/>
      <c r="B569" s="343"/>
      <c r="D569" s="300" t="s">
        <v>22</v>
      </c>
      <c r="E569" s="3"/>
      <c r="F569" s="3"/>
      <c r="G569" s="3"/>
    </row>
    <row r="570">
      <c r="A570" s="343"/>
      <c r="B570" s="343"/>
      <c r="D570" s="300" t="s">
        <v>22</v>
      </c>
      <c r="E570" s="3"/>
      <c r="F570" s="3"/>
      <c r="G570" s="3"/>
    </row>
    <row r="571">
      <c r="A571" s="343"/>
      <c r="B571" s="343"/>
      <c r="D571" s="300" t="s">
        <v>22</v>
      </c>
      <c r="E571" s="3"/>
      <c r="F571" s="3"/>
      <c r="G571" s="3"/>
    </row>
    <row r="572">
      <c r="A572" s="343"/>
      <c r="B572" s="343"/>
      <c r="D572" s="300" t="s">
        <v>22</v>
      </c>
      <c r="E572" s="3"/>
      <c r="F572" s="3"/>
      <c r="G572" s="3"/>
    </row>
    <row r="573">
      <c r="A573" s="343"/>
      <c r="B573" s="343"/>
      <c r="D573" s="300" t="s">
        <v>22</v>
      </c>
      <c r="E573" s="3"/>
      <c r="F573" s="3"/>
      <c r="G573" s="3"/>
    </row>
    <row r="574">
      <c r="A574" s="343"/>
      <c r="B574" s="343"/>
      <c r="D574" s="300" t="s">
        <v>22</v>
      </c>
      <c r="E574" s="3"/>
      <c r="F574" s="3"/>
      <c r="G574" s="3"/>
    </row>
    <row r="575">
      <c r="A575" s="343"/>
      <c r="B575" s="343"/>
      <c r="D575" s="300" t="s">
        <v>22</v>
      </c>
      <c r="E575" s="3"/>
      <c r="F575" s="3"/>
      <c r="G575" s="3"/>
    </row>
    <row r="576">
      <c r="A576" s="343"/>
      <c r="B576" s="343"/>
      <c r="D576" s="300" t="s">
        <v>22</v>
      </c>
      <c r="E576" s="3"/>
      <c r="F576" s="3"/>
      <c r="G576" s="3"/>
    </row>
    <row r="577">
      <c r="A577" s="343"/>
      <c r="B577" s="343"/>
      <c r="D577" s="300" t="s">
        <v>22</v>
      </c>
      <c r="E577" s="3"/>
      <c r="F577" s="3"/>
      <c r="G577" s="3"/>
    </row>
    <row r="578">
      <c r="A578" s="343"/>
      <c r="B578" s="343"/>
      <c r="D578" s="300" t="s">
        <v>22</v>
      </c>
      <c r="E578" s="3"/>
      <c r="F578" s="3"/>
      <c r="G578" s="3"/>
    </row>
    <row r="579">
      <c r="A579" s="343"/>
      <c r="B579" s="343"/>
      <c r="D579" s="300" t="s">
        <v>22</v>
      </c>
      <c r="E579" s="3"/>
      <c r="F579" s="3"/>
      <c r="G579" s="3"/>
    </row>
    <row r="580">
      <c r="A580" s="343"/>
      <c r="B580" s="343"/>
      <c r="D580" s="300" t="s">
        <v>22</v>
      </c>
      <c r="E580" s="3"/>
      <c r="F580" s="3"/>
      <c r="G580" s="3"/>
    </row>
    <row r="581">
      <c r="A581" s="343"/>
      <c r="B581" s="343"/>
      <c r="D581" s="300" t="s">
        <v>22</v>
      </c>
      <c r="E581" s="3"/>
      <c r="F581" s="3"/>
      <c r="G581" s="3"/>
    </row>
    <row r="582">
      <c r="A582" s="343"/>
      <c r="B582" s="343"/>
      <c r="D582" s="300" t="s">
        <v>22</v>
      </c>
      <c r="E582" s="3"/>
      <c r="F582" s="3"/>
      <c r="G582" s="3"/>
    </row>
    <row r="583">
      <c r="A583" s="343"/>
      <c r="B583" s="343"/>
      <c r="D583" s="300" t="s">
        <v>22</v>
      </c>
      <c r="E583" s="3"/>
      <c r="F583" s="3"/>
      <c r="G583" s="3"/>
    </row>
    <row r="584">
      <c r="A584" s="343"/>
      <c r="B584" s="343"/>
      <c r="D584" s="300" t="s">
        <v>22</v>
      </c>
      <c r="E584" s="3"/>
      <c r="F584" s="3"/>
      <c r="G584" s="3"/>
    </row>
    <row r="585">
      <c r="A585" s="343"/>
      <c r="B585" s="343"/>
      <c r="D585" s="300" t="s">
        <v>22</v>
      </c>
      <c r="E585" s="3"/>
      <c r="F585" s="3"/>
      <c r="G585" s="3"/>
    </row>
    <row r="586">
      <c r="A586" s="343"/>
      <c r="B586" s="343"/>
      <c r="D586" s="300" t="s">
        <v>22</v>
      </c>
      <c r="E586" s="3"/>
      <c r="F586" s="3"/>
      <c r="G586" s="3"/>
    </row>
    <row r="587">
      <c r="A587" s="343"/>
      <c r="B587" s="343"/>
      <c r="D587" s="300" t="s">
        <v>22</v>
      </c>
      <c r="E587" s="3"/>
      <c r="F587" s="3"/>
      <c r="G587" s="3"/>
    </row>
    <row r="588">
      <c r="A588" s="343"/>
      <c r="B588" s="343"/>
      <c r="D588" s="300" t="s">
        <v>22</v>
      </c>
      <c r="E588" s="3"/>
      <c r="F588" s="3"/>
      <c r="G588" s="3"/>
    </row>
    <row r="589">
      <c r="A589" s="343"/>
      <c r="B589" s="343"/>
      <c r="D589" s="300" t="s">
        <v>22</v>
      </c>
      <c r="E589" s="3"/>
      <c r="F589" s="3"/>
      <c r="G589" s="3"/>
    </row>
    <row r="590">
      <c r="A590" s="343"/>
      <c r="B590" s="343"/>
      <c r="D590" s="300" t="s">
        <v>22</v>
      </c>
      <c r="E590" s="3"/>
      <c r="F590" s="3"/>
      <c r="G590" s="3"/>
    </row>
    <row r="591">
      <c r="A591" s="343"/>
      <c r="B591" s="343"/>
      <c r="D591" s="300" t="s">
        <v>22</v>
      </c>
      <c r="E591" s="3"/>
      <c r="F591" s="3"/>
      <c r="G591" s="3"/>
    </row>
    <row r="592">
      <c r="A592" s="343"/>
      <c r="B592" s="343"/>
      <c r="D592" s="300" t="s">
        <v>22</v>
      </c>
      <c r="E592" s="3"/>
      <c r="F592" s="3"/>
      <c r="G592" s="3"/>
    </row>
    <row r="593">
      <c r="A593" s="343"/>
      <c r="B593" s="343"/>
      <c r="D593" s="300" t="s">
        <v>22</v>
      </c>
      <c r="E593" s="3"/>
      <c r="F593" s="3"/>
      <c r="G593" s="3"/>
    </row>
    <row r="594">
      <c r="A594" s="343"/>
      <c r="B594" s="343"/>
      <c r="D594" s="300" t="s">
        <v>22</v>
      </c>
      <c r="E594" s="3"/>
      <c r="F594" s="3"/>
      <c r="G594" s="3"/>
    </row>
    <row r="595">
      <c r="A595" s="343"/>
      <c r="B595" s="343"/>
      <c r="D595" s="300" t="s">
        <v>22</v>
      </c>
      <c r="E595" s="3"/>
      <c r="F595" s="3"/>
      <c r="G595" s="3"/>
    </row>
    <row r="596">
      <c r="A596" s="343"/>
      <c r="B596" s="343"/>
      <c r="D596" s="300" t="s">
        <v>22</v>
      </c>
      <c r="E596" s="3"/>
      <c r="F596" s="3"/>
      <c r="G596" s="3"/>
    </row>
    <row r="597">
      <c r="A597" s="343"/>
      <c r="B597" s="343"/>
      <c r="D597" s="300" t="s">
        <v>22</v>
      </c>
      <c r="E597" s="3"/>
      <c r="F597" s="3"/>
      <c r="G597" s="3"/>
    </row>
    <row r="598">
      <c r="A598" s="343"/>
      <c r="B598" s="343"/>
      <c r="D598" s="300" t="s">
        <v>22</v>
      </c>
      <c r="E598" s="3"/>
      <c r="F598" s="3"/>
      <c r="G598" s="3"/>
    </row>
    <row r="599">
      <c r="A599" s="343"/>
      <c r="B599" s="343"/>
      <c r="D599" s="300" t="s">
        <v>22</v>
      </c>
      <c r="E599" s="3"/>
      <c r="F599" s="3"/>
      <c r="G599" s="3"/>
    </row>
    <row r="600">
      <c r="A600" s="343"/>
      <c r="B600" s="343"/>
      <c r="D600" s="300" t="s">
        <v>22</v>
      </c>
      <c r="E600" s="3"/>
      <c r="F600" s="3"/>
      <c r="G600" s="3"/>
    </row>
    <row r="601">
      <c r="A601" s="343"/>
      <c r="B601" s="343"/>
      <c r="D601" s="300" t="s">
        <v>22</v>
      </c>
      <c r="E601" s="3"/>
      <c r="F601" s="3"/>
      <c r="G601" s="3"/>
    </row>
    <row r="602">
      <c r="A602" s="343"/>
      <c r="B602" s="343"/>
      <c r="D602" s="300" t="s">
        <v>22</v>
      </c>
      <c r="E602" s="3"/>
      <c r="F602" s="3"/>
      <c r="G602" s="3"/>
    </row>
    <row r="603">
      <c r="A603" s="343"/>
      <c r="B603" s="343"/>
      <c r="D603" s="300" t="s">
        <v>22</v>
      </c>
      <c r="E603" s="3"/>
      <c r="F603" s="3"/>
      <c r="G603" s="3"/>
    </row>
    <row r="604">
      <c r="A604" s="343"/>
      <c r="B604" s="343"/>
      <c r="D604" s="300" t="s">
        <v>22</v>
      </c>
      <c r="E604" s="3"/>
      <c r="F604" s="3"/>
      <c r="G604" s="3"/>
    </row>
    <row r="605">
      <c r="A605" s="343"/>
      <c r="B605" s="343"/>
      <c r="D605" s="300" t="s">
        <v>22</v>
      </c>
      <c r="E605" s="3"/>
      <c r="F605" s="3"/>
      <c r="G605" s="3"/>
    </row>
    <row r="606">
      <c r="A606" s="343"/>
      <c r="B606" s="343"/>
      <c r="D606" s="300" t="s">
        <v>22</v>
      </c>
      <c r="E606" s="3"/>
      <c r="F606" s="3"/>
      <c r="G606" s="3"/>
    </row>
    <row r="607">
      <c r="A607" s="343"/>
      <c r="B607" s="343"/>
      <c r="D607" s="300" t="s">
        <v>22</v>
      </c>
      <c r="E607" s="3"/>
      <c r="F607" s="3"/>
      <c r="G607" s="3"/>
    </row>
    <row r="608">
      <c r="A608" s="343"/>
      <c r="B608" s="343"/>
      <c r="D608" s="300" t="s">
        <v>22</v>
      </c>
      <c r="E608" s="3"/>
      <c r="F608" s="3"/>
      <c r="G608" s="3"/>
    </row>
    <row r="609">
      <c r="A609" s="343"/>
      <c r="B609" s="343"/>
      <c r="D609" s="300" t="s">
        <v>22</v>
      </c>
      <c r="E609" s="3"/>
      <c r="F609" s="3"/>
      <c r="G609" s="3"/>
    </row>
    <row r="610">
      <c r="A610" s="343"/>
      <c r="B610" s="343"/>
      <c r="D610" s="300" t="s">
        <v>22</v>
      </c>
      <c r="E610" s="3"/>
      <c r="F610" s="3"/>
      <c r="G610" s="3"/>
    </row>
    <row r="611">
      <c r="A611" s="343"/>
      <c r="B611" s="343"/>
      <c r="D611" s="300" t="s">
        <v>22</v>
      </c>
      <c r="E611" s="3"/>
      <c r="F611" s="3"/>
      <c r="G611" s="3"/>
    </row>
    <row r="612">
      <c r="A612" s="343"/>
      <c r="B612" s="343"/>
      <c r="D612" s="300" t="s">
        <v>22</v>
      </c>
      <c r="E612" s="3"/>
      <c r="F612" s="3"/>
      <c r="G612" s="3"/>
    </row>
    <row r="613">
      <c r="A613" s="343"/>
      <c r="B613" s="343"/>
      <c r="D613" s="300" t="s">
        <v>22</v>
      </c>
      <c r="E613" s="3"/>
      <c r="F613" s="3"/>
      <c r="G613" s="3"/>
    </row>
    <row r="614">
      <c r="A614" s="343"/>
      <c r="B614" s="343"/>
      <c r="D614" s="300" t="s">
        <v>22</v>
      </c>
      <c r="E614" s="3"/>
      <c r="F614" s="3"/>
      <c r="G614" s="3"/>
    </row>
    <row r="615">
      <c r="A615" s="343"/>
      <c r="B615" s="343"/>
      <c r="D615" s="300" t="s">
        <v>22</v>
      </c>
      <c r="E615" s="3"/>
      <c r="F615" s="3"/>
      <c r="G615" s="3"/>
    </row>
    <row r="616">
      <c r="A616" s="343"/>
      <c r="B616" s="343"/>
      <c r="D616" s="300" t="s">
        <v>22</v>
      </c>
      <c r="E616" s="3"/>
      <c r="F616" s="3"/>
      <c r="G616" s="3"/>
    </row>
    <row r="617">
      <c r="A617" s="343"/>
      <c r="B617" s="343"/>
      <c r="D617" s="300" t="s">
        <v>22</v>
      </c>
      <c r="E617" s="3"/>
      <c r="F617" s="3"/>
      <c r="G617" s="3"/>
    </row>
    <row r="618">
      <c r="A618" s="343"/>
      <c r="B618" s="343"/>
      <c r="D618" s="300" t="s">
        <v>22</v>
      </c>
      <c r="E618" s="3"/>
      <c r="F618" s="3"/>
      <c r="G618" s="3"/>
    </row>
    <row r="619">
      <c r="A619" s="343"/>
      <c r="B619" s="343"/>
      <c r="D619" s="300" t="s">
        <v>22</v>
      </c>
      <c r="E619" s="3"/>
      <c r="F619" s="3"/>
      <c r="G619" s="3"/>
    </row>
    <row r="620">
      <c r="A620" s="343"/>
      <c r="B620" s="343"/>
      <c r="D620" s="300" t="s">
        <v>22</v>
      </c>
      <c r="E620" s="3"/>
      <c r="F620" s="3"/>
      <c r="G620" s="3"/>
    </row>
    <row r="621">
      <c r="A621" s="343"/>
      <c r="B621" s="343"/>
      <c r="D621" s="300" t="s">
        <v>22</v>
      </c>
      <c r="E621" s="3"/>
      <c r="F621" s="3"/>
      <c r="G621" s="3"/>
    </row>
    <row r="622">
      <c r="A622" s="343"/>
      <c r="B622" s="343"/>
      <c r="D622" s="300" t="s">
        <v>22</v>
      </c>
      <c r="E622" s="3"/>
      <c r="F622" s="3"/>
      <c r="G622" s="3"/>
    </row>
    <row r="623">
      <c r="A623" s="343"/>
      <c r="B623" s="343"/>
      <c r="D623" s="300" t="s">
        <v>22</v>
      </c>
      <c r="E623" s="3"/>
      <c r="F623" s="3"/>
      <c r="G623" s="3"/>
    </row>
    <row r="624">
      <c r="A624" s="343"/>
      <c r="B624" s="343"/>
      <c r="D624" s="300" t="s">
        <v>22</v>
      </c>
      <c r="E624" s="3"/>
      <c r="F624" s="3"/>
      <c r="G624" s="3"/>
    </row>
    <row r="625">
      <c r="A625" s="343"/>
      <c r="B625" s="343"/>
      <c r="D625" s="300" t="s">
        <v>22</v>
      </c>
      <c r="E625" s="3"/>
      <c r="F625" s="3"/>
      <c r="G625" s="3"/>
    </row>
    <row r="626">
      <c r="A626" s="343"/>
      <c r="B626" s="343"/>
      <c r="D626" s="300" t="s">
        <v>22</v>
      </c>
      <c r="E626" s="3"/>
      <c r="F626" s="3"/>
      <c r="G626" s="3"/>
    </row>
    <row r="627">
      <c r="A627" s="343"/>
      <c r="B627" s="343"/>
      <c r="D627" s="300" t="s">
        <v>22</v>
      </c>
      <c r="E627" s="3"/>
      <c r="F627" s="3"/>
      <c r="G627" s="3"/>
    </row>
    <row r="628">
      <c r="A628" s="343"/>
      <c r="B628" s="343"/>
      <c r="D628" s="300" t="s">
        <v>22</v>
      </c>
      <c r="E628" s="3"/>
      <c r="F628" s="3"/>
      <c r="G628" s="3"/>
    </row>
    <row r="629">
      <c r="A629" s="343"/>
      <c r="B629" s="343"/>
      <c r="D629" s="300" t="s">
        <v>22</v>
      </c>
      <c r="E629" s="3"/>
      <c r="F629" s="3"/>
      <c r="G629" s="3"/>
    </row>
    <row r="630">
      <c r="A630" s="343"/>
      <c r="B630" s="343"/>
      <c r="D630" s="300" t="s">
        <v>22</v>
      </c>
      <c r="E630" s="3"/>
      <c r="F630" s="3"/>
      <c r="G630" s="3"/>
    </row>
    <row r="631">
      <c r="A631" s="343"/>
      <c r="B631" s="343"/>
      <c r="D631" s="300" t="s">
        <v>22</v>
      </c>
      <c r="E631" s="3"/>
      <c r="F631" s="3"/>
      <c r="G631" s="3"/>
    </row>
    <row r="632">
      <c r="A632" s="343"/>
      <c r="B632" s="343"/>
      <c r="D632" s="300" t="s">
        <v>22</v>
      </c>
      <c r="E632" s="3"/>
      <c r="F632" s="3"/>
      <c r="G632" s="3"/>
    </row>
    <row r="633">
      <c r="A633" s="343"/>
      <c r="B633" s="343"/>
      <c r="D633" s="300" t="s">
        <v>22</v>
      </c>
      <c r="E633" s="3"/>
      <c r="F633" s="3"/>
      <c r="G633" s="3"/>
    </row>
    <row r="634">
      <c r="A634" s="343"/>
      <c r="B634" s="343"/>
      <c r="D634" s="300" t="s">
        <v>22</v>
      </c>
      <c r="E634" s="3"/>
      <c r="F634" s="3"/>
      <c r="G634" s="3"/>
    </row>
    <row r="635">
      <c r="A635" s="343"/>
      <c r="B635" s="343"/>
      <c r="D635" s="300" t="s">
        <v>22</v>
      </c>
      <c r="E635" s="3"/>
      <c r="F635" s="3"/>
      <c r="G635" s="3"/>
    </row>
    <row r="636">
      <c r="A636" s="343"/>
      <c r="B636" s="343"/>
      <c r="D636" s="300" t="s">
        <v>22</v>
      </c>
      <c r="E636" s="3"/>
      <c r="F636" s="3"/>
      <c r="G636" s="3"/>
    </row>
    <row r="637">
      <c r="A637" s="343"/>
      <c r="B637" s="343"/>
      <c r="D637" s="300" t="s">
        <v>22</v>
      </c>
      <c r="E637" s="3"/>
      <c r="F637" s="3"/>
      <c r="G637" s="3"/>
    </row>
    <row r="638">
      <c r="A638" s="343"/>
      <c r="B638" s="343"/>
      <c r="D638" s="300" t="s">
        <v>22</v>
      </c>
      <c r="E638" s="3"/>
      <c r="F638" s="3"/>
      <c r="G638" s="3"/>
    </row>
    <row r="639">
      <c r="A639" s="343"/>
      <c r="B639" s="343"/>
      <c r="D639" s="300" t="s">
        <v>22</v>
      </c>
      <c r="E639" s="3"/>
      <c r="F639" s="3"/>
      <c r="G639" s="3"/>
    </row>
    <row r="640">
      <c r="A640" s="343"/>
      <c r="B640" s="343"/>
      <c r="D640" s="300" t="s">
        <v>22</v>
      </c>
      <c r="E640" s="3"/>
      <c r="F640" s="3"/>
      <c r="G640" s="3"/>
    </row>
    <row r="641">
      <c r="A641" s="343"/>
      <c r="B641" s="343"/>
      <c r="D641" s="300" t="s">
        <v>22</v>
      </c>
      <c r="E641" s="3"/>
      <c r="F641" s="3"/>
      <c r="G641" s="3"/>
    </row>
    <row r="642">
      <c r="A642" s="343"/>
      <c r="B642" s="343"/>
      <c r="D642" s="300" t="s">
        <v>22</v>
      </c>
      <c r="E642" s="3"/>
      <c r="F642" s="3"/>
      <c r="G642" s="3"/>
    </row>
    <row r="643">
      <c r="A643" s="343"/>
      <c r="B643" s="343"/>
      <c r="D643" s="300" t="s">
        <v>22</v>
      </c>
      <c r="E643" s="3"/>
      <c r="F643" s="3"/>
      <c r="G643" s="3"/>
    </row>
    <row r="644">
      <c r="A644" s="343"/>
      <c r="B644" s="343"/>
      <c r="D644" s="300" t="s">
        <v>22</v>
      </c>
      <c r="E644" s="3"/>
      <c r="F644" s="3"/>
      <c r="G644" s="3"/>
    </row>
    <row r="645">
      <c r="A645" s="343"/>
      <c r="B645" s="343"/>
      <c r="D645" s="300" t="s">
        <v>22</v>
      </c>
      <c r="E645" s="3"/>
      <c r="F645" s="3"/>
      <c r="G645" s="3"/>
    </row>
    <row r="646">
      <c r="A646" s="343"/>
      <c r="B646" s="343"/>
      <c r="D646" s="300" t="s">
        <v>22</v>
      </c>
      <c r="E646" s="3"/>
      <c r="F646" s="3"/>
      <c r="G646" s="3"/>
    </row>
    <row r="647">
      <c r="A647" s="343"/>
      <c r="B647" s="343"/>
      <c r="D647" s="300" t="s">
        <v>22</v>
      </c>
      <c r="E647" s="3"/>
      <c r="F647" s="3"/>
      <c r="G647" s="3"/>
    </row>
    <row r="648">
      <c r="A648" s="343"/>
      <c r="B648" s="343"/>
      <c r="D648" s="300" t="s">
        <v>22</v>
      </c>
      <c r="E648" s="3"/>
      <c r="F648" s="3"/>
      <c r="G648" s="3"/>
    </row>
    <row r="649">
      <c r="A649" s="343"/>
      <c r="B649" s="343"/>
      <c r="D649" s="300" t="s">
        <v>22</v>
      </c>
      <c r="E649" s="3"/>
      <c r="F649" s="3"/>
      <c r="G649" s="3"/>
    </row>
    <row r="650">
      <c r="A650" s="343"/>
      <c r="B650" s="343"/>
      <c r="D650" s="300" t="s">
        <v>22</v>
      </c>
      <c r="E650" s="3"/>
      <c r="F650" s="3"/>
      <c r="G650" s="3"/>
    </row>
    <row r="651">
      <c r="A651" s="343"/>
      <c r="B651" s="343"/>
      <c r="D651" s="300" t="s">
        <v>22</v>
      </c>
      <c r="E651" s="3"/>
      <c r="F651" s="3"/>
      <c r="G651" s="3"/>
    </row>
    <row r="652">
      <c r="A652" s="343"/>
      <c r="B652" s="343"/>
      <c r="D652" s="300" t="s">
        <v>22</v>
      </c>
      <c r="E652" s="3"/>
      <c r="F652" s="3"/>
      <c r="G652" s="3"/>
    </row>
    <row r="653">
      <c r="A653" s="343"/>
      <c r="B653" s="343"/>
      <c r="D653" s="300" t="s">
        <v>22</v>
      </c>
      <c r="E653" s="3"/>
      <c r="F653" s="3"/>
      <c r="G653" s="3"/>
    </row>
    <row r="654">
      <c r="A654" s="343"/>
      <c r="B654" s="343"/>
      <c r="D654" s="300" t="s">
        <v>22</v>
      </c>
      <c r="E654" s="3"/>
      <c r="F654" s="3"/>
      <c r="G654" s="3"/>
    </row>
    <row r="655">
      <c r="A655" s="343"/>
      <c r="B655" s="343"/>
      <c r="D655" s="300" t="s">
        <v>22</v>
      </c>
      <c r="E655" s="3"/>
      <c r="F655" s="3"/>
      <c r="G655" s="3"/>
    </row>
    <row r="656">
      <c r="A656" s="343"/>
      <c r="B656" s="343"/>
      <c r="D656" s="300" t="s">
        <v>22</v>
      </c>
      <c r="E656" s="3"/>
      <c r="F656" s="3"/>
      <c r="G656" s="3"/>
    </row>
    <row r="657">
      <c r="A657" s="343"/>
      <c r="B657" s="343"/>
      <c r="D657" s="300" t="s">
        <v>22</v>
      </c>
      <c r="E657" s="3"/>
      <c r="F657" s="3"/>
      <c r="G657" s="3"/>
    </row>
    <row r="658">
      <c r="A658" s="343"/>
      <c r="B658" s="343"/>
      <c r="D658" s="300" t="s">
        <v>22</v>
      </c>
      <c r="E658" s="3"/>
      <c r="F658" s="3"/>
      <c r="G658" s="3"/>
    </row>
    <row r="659">
      <c r="A659" s="343"/>
      <c r="B659" s="343"/>
      <c r="D659" s="300" t="s">
        <v>22</v>
      </c>
      <c r="E659" s="3"/>
      <c r="F659" s="3"/>
      <c r="G659" s="3"/>
    </row>
    <row r="660">
      <c r="A660" s="343"/>
      <c r="B660" s="343"/>
      <c r="D660" s="300" t="s">
        <v>22</v>
      </c>
      <c r="E660" s="3"/>
      <c r="F660" s="3"/>
      <c r="G660" s="3"/>
    </row>
    <row r="661">
      <c r="A661" s="343"/>
      <c r="B661" s="343"/>
      <c r="D661" s="300" t="s">
        <v>22</v>
      </c>
      <c r="E661" s="3"/>
      <c r="F661" s="3"/>
      <c r="G661" s="3"/>
    </row>
    <row r="662">
      <c r="A662" s="343"/>
      <c r="B662" s="343"/>
      <c r="D662" s="300" t="s">
        <v>22</v>
      </c>
      <c r="E662" s="3"/>
      <c r="F662" s="3"/>
      <c r="G662" s="3"/>
    </row>
    <row r="663">
      <c r="A663" s="343"/>
      <c r="B663" s="343"/>
      <c r="D663" s="300" t="s">
        <v>22</v>
      </c>
      <c r="E663" s="3"/>
      <c r="F663" s="3"/>
      <c r="G663" s="3"/>
    </row>
    <row r="664">
      <c r="A664" s="343"/>
      <c r="B664" s="343"/>
      <c r="D664" s="300" t="s">
        <v>22</v>
      </c>
      <c r="E664" s="3"/>
      <c r="F664" s="3"/>
      <c r="G664" s="3"/>
    </row>
    <row r="665">
      <c r="A665" s="343"/>
      <c r="B665" s="343"/>
      <c r="D665" s="300" t="s">
        <v>22</v>
      </c>
      <c r="E665" s="3"/>
      <c r="F665" s="3"/>
      <c r="G665" s="3"/>
    </row>
    <row r="666">
      <c r="A666" s="343"/>
      <c r="B666" s="343"/>
      <c r="D666" s="300" t="s">
        <v>22</v>
      </c>
      <c r="E666" s="3"/>
      <c r="F666" s="3"/>
      <c r="G666" s="3"/>
    </row>
    <row r="667">
      <c r="A667" s="343"/>
      <c r="B667" s="343"/>
      <c r="D667" s="300" t="s">
        <v>22</v>
      </c>
      <c r="E667" s="3"/>
      <c r="F667" s="3"/>
      <c r="G667" s="3"/>
    </row>
    <row r="668">
      <c r="A668" s="343"/>
      <c r="B668" s="343"/>
      <c r="D668" s="300" t="s">
        <v>22</v>
      </c>
      <c r="E668" s="3"/>
      <c r="F668" s="3"/>
      <c r="G668" s="3"/>
    </row>
    <row r="669">
      <c r="A669" s="343"/>
      <c r="B669" s="343"/>
      <c r="D669" s="300" t="s">
        <v>22</v>
      </c>
      <c r="E669" s="3"/>
      <c r="F669" s="3"/>
      <c r="G669" s="3"/>
    </row>
    <row r="670">
      <c r="A670" s="343"/>
      <c r="B670" s="343"/>
      <c r="D670" s="300" t="s">
        <v>22</v>
      </c>
      <c r="E670" s="3"/>
      <c r="F670" s="3"/>
      <c r="G670" s="3"/>
    </row>
    <row r="671">
      <c r="A671" s="343"/>
      <c r="B671" s="343"/>
      <c r="D671" s="300" t="s">
        <v>22</v>
      </c>
      <c r="E671" s="3"/>
      <c r="F671" s="3"/>
      <c r="G671" s="3"/>
    </row>
    <row r="672">
      <c r="A672" s="343"/>
      <c r="B672" s="343"/>
      <c r="D672" s="300" t="s">
        <v>22</v>
      </c>
      <c r="E672" s="3"/>
      <c r="F672" s="3"/>
      <c r="G672" s="3"/>
    </row>
    <row r="673">
      <c r="A673" s="343"/>
      <c r="B673" s="343"/>
      <c r="D673" s="300" t="s">
        <v>22</v>
      </c>
      <c r="E673" s="3"/>
      <c r="F673" s="3"/>
      <c r="G673" s="3"/>
    </row>
    <row r="674">
      <c r="A674" s="343"/>
      <c r="B674" s="343"/>
      <c r="D674" s="300" t="s">
        <v>22</v>
      </c>
      <c r="E674" s="3"/>
      <c r="F674" s="3"/>
      <c r="G674" s="3"/>
    </row>
    <row r="675">
      <c r="A675" s="343"/>
      <c r="B675" s="343"/>
      <c r="D675" s="300" t="s">
        <v>22</v>
      </c>
      <c r="E675" s="3"/>
      <c r="F675" s="3"/>
      <c r="G675" s="3"/>
    </row>
    <row r="676">
      <c r="A676" s="343"/>
      <c r="B676" s="343"/>
      <c r="D676" s="300" t="s">
        <v>22</v>
      </c>
      <c r="E676" s="3"/>
      <c r="F676" s="3"/>
      <c r="G676" s="3"/>
    </row>
    <row r="677">
      <c r="A677" s="343"/>
      <c r="B677" s="343"/>
      <c r="D677" s="300" t="s">
        <v>22</v>
      </c>
      <c r="E677" s="3"/>
      <c r="F677" s="3"/>
      <c r="G677" s="3"/>
    </row>
    <row r="678">
      <c r="A678" s="343"/>
      <c r="B678" s="343"/>
      <c r="D678" s="300" t="s">
        <v>22</v>
      </c>
      <c r="E678" s="3"/>
      <c r="F678" s="3"/>
      <c r="G678" s="3"/>
    </row>
    <row r="679">
      <c r="A679" s="343"/>
      <c r="B679" s="343"/>
      <c r="D679" s="300" t="s">
        <v>22</v>
      </c>
      <c r="E679" s="3"/>
      <c r="F679" s="3"/>
      <c r="G679" s="3"/>
    </row>
    <row r="680">
      <c r="A680" s="343"/>
      <c r="B680" s="343"/>
      <c r="D680" s="300" t="s">
        <v>22</v>
      </c>
      <c r="E680" s="3"/>
      <c r="F680" s="3"/>
      <c r="G680" s="3"/>
    </row>
    <row r="681">
      <c r="A681" s="343"/>
      <c r="B681" s="343"/>
      <c r="D681" s="300" t="s">
        <v>22</v>
      </c>
      <c r="E681" s="3"/>
      <c r="F681" s="3"/>
      <c r="G681" s="3"/>
    </row>
    <row r="682">
      <c r="A682" s="343"/>
      <c r="B682" s="343"/>
      <c r="D682" s="300" t="s">
        <v>22</v>
      </c>
      <c r="E682" s="3"/>
      <c r="F682" s="3"/>
      <c r="G682" s="3"/>
    </row>
    <row r="683">
      <c r="A683" s="343"/>
      <c r="B683" s="343"/>
      <c r="D683" s="300" t="s">
        <v>22</v>
      </c>
      <c r="E683" s="3"/>
      <c r="F683" s="3"/>
      <c r="G683" s="3"/>
    </row>
    <row r="684">
      <c r="A684" s="343"/>
      <c r="B684" s="343"/>
      <c r="D684" s="300" t="s">
        <v>22</v>
      </c>
      <c r="E684" s="3"/>
      <c r="F684" s="3"/>
      <c r="G684" s="3"/>
    </row>
    <row r="685">
      <c r="A685" s="343"/>
      <c r="B685" s="343"/>
      <c r="D685" s="300" t="s">
        <v>22</v>
      </c>
      <c r="E685" s="3"/>
      <c r="F685" s="3"/>
      <c r="G685" s="3"/>
    </row>
    <row r="686">
      <c r="A686" s="343"/>
      <c r="B686" s="343"/>
      <c r="D686" s="300" t="s">
        <v>22</v>
      </c>
      <c r="E686" s="3"/>
      <c r="F686" s="3"/>
      <c r="G686" s="3"/>
    </row>
    <row r="687">
      <c r="A687" s="343"/>
      <c r="B687" s="343"/>
      <c r="D687" s="300" t="s">
        <v>22</v>
      </c>
      <c r="E687" s="3"/>
      <c r="F687" s="3"/>
      <c r="G687" s="3"/>
    </row>
    <row r="688">
      <c r="A688" s="343"/>
      <c r="B688" s="343"/>
      <c r="D688" s="300" t="s">
        <v>22</v>
      </c>
      <c r="E688" s="3"/>
      <c r="F688" s="3"/>
      <c r="G688" s="3"/>
    </row>
    <row r="689">
      <c r="A689" s="343"/>
      <c r="B689" s="343"/>
      <c r="D689" s="300" t="s">
        <v>22</v>
      </c>
      <c r="E689" s="3"/>
      <c r="F689" s="3"/>
      <c r="G689" s="3"/>
    </row>
    <row r="690">
      <c r="A690" s="343"/>
      <c r="B690" s="343"/>
      <c r="D690" s="300" t="s">
        <v>22</v>
      </c>
      <c r="E690" s="3"/>
      <c r="F690" s="3"/>
      <c r="G690" s="3"/>
    </row>
    <row r="691">
      <c r="A691" s="343"/>
      <c r="B691" s="343"/>
      <c r="D691" s="300" t="s">
        <v>22</v>
      </c>
      <c r="E691" s="3"/>
      <c r="F691" s="3"/>
      <c r="G691" s="3"/>
    </row>
    <row r="692">
      <c r="A692" s="343"/>
      <c r="B692" s="343"/>
      <c r="D692" s="300" t="s">
        <v>22</v>
      </c>
      <c r="E692" s="3"/>
      <c r="F692" s="3"/>
      <c r="G692" s="3"/>
    </row>
    <row r="693">
      <c r="A693" s="343"/>
      <c r="B693" s="343"/>
      <c r="D693" s="300" t="s">
        <v>22</v>
      </c>
      <c r="E693" s="3"/>
      <c r="F693" s="3"/>
      <c r="G693" s="3"/>
    </row>
    <row r="694">
      <c r="A694" s="343"/>
      <c r="B694" s="343"/>
      <c r="D694" s="300" t="s">
        <v>22</v>
      </c>
      <c r="E694" s="3"/>
      <c r="F694" s="3"/>
      <c r="G694" s="3"/>
    </row>
    <row r="695">
      <c r="A695" s="343"/>
      <c r="B695" s="343"/>
      <c r="D695" s="300" t="s">
        <v>22</v>
      </c>
      <c r="E695" s="3"/>
      <c r="F695" s="3"/>
      <c r="G695" s="3"/>
    </row>
    <row r="696">
      <c r="A696" s="343"/>
      <c r="B696" s="343"/>
      <c r="D696" s="300" t="s">
        <v>22</v>
      </c>
      <c r="E696" s="3"/>
      <c r="F696" s="3"/>
      <c r="G696" s="3"/>
    </row>
    <row r="697">
      <c r="A697" s="343"/>
      <c r="B697" s="343"/>
      <c r="D697" s="300" t="s">
        <v>22</v>
      </c>
      <c r="E697" s="3"/>
      <c r="F697" s="3"/>
      <c r="G697" s="3"/>
    </row>
    <row r="698">
      <c r="A698" s="343"/>
      <c r="B698" s="343"/>
      <c r="D698" s="300" t="s">
        <v>22</v>
      </c>
      <c r="E698" s="3"/>
      <c r="F698" s="3"/>
      <c r="G698" s="3"/>
    </row>
    <row r="699">
      <c r="A699" s="343"/>
      <c r="B699" s="343"/>
      <c r="D699" s="300" t="s">
        <v>22</v>
      </c>
      <c r="E699" s="3"/>
      <c r="F699" s="3"/>
      <c r="G699" s="3"/>
    </row>
    <row r="700">
      <c r="A700" s="343"/>
      <c r="B700" s="343"/>
      <c r="D700" s="300" t="s">
        <v>22</v>
      </c>
      <c r="E700" s="3"/>
      <c r="F700" s="3"/>
      <c r="G700" s="3"/>
    </row>
    <row r="701">
      <c r="A701" s="343"/>
      <c r="B701" s="343"/>
      <c r="D701" s="300" t="s">
        <v>22</v>
      </c>
      <c r="E701" s="3"/>
      <c r="F701" s="3"/>
      <c r="G701" s="3"/>
    </row>
    <row r="702">
      <c r="A702" s="343"/>
      <c r="B702" s="343"/>
      <c r="D702" s="300" t="s">
        <v>22</v>
      </c>
      <c r="E702" s="3"/>
      <c r="F702" s="3"/>
      <c r="G702" s="3"/>
    </row>
    <row r="703">
      <c r="A703" s="343"/>
      <c r="B703" s="343"/>
      <c r="D703" s="300" t="s">
        <v>22</v>
      </c>
      <c r="E703" s="3"/>
      <c r="F703" s="3"/>
      <c r="G703" s="3"/>
    </row>
    <row r="704">
      <c r="A704" s="343"/>
      <c r="B704" s="343"/>
      <c r="D704" s="300" t="s">
        <v>22</v>
      </c>
      <c r="E704" s="3"/>
      <c r="F704" s="3"/>
      <c r="G704" s="3"/>
    </row>
    <row r="705">
      <c r="A705" s="343"/>
      <c r="B705" s="343"/>
      <c r="D705" s="300" t="s">
        <v>22</v>
      </c>
      <c r="E705" s="3"/>
      <c r="F705" s="3"/>
      <c r="G705" s="3"/>
    </row>
    <row r="706">
      <c r="A706" s="343"/>
      <c r="B706" s="343"/>
      <c r="D706" s="300" t="s">
        <v>22</v>
      </c>
      <c r="E706" s="3"/>
      <c r="F706" s="3"/>
      <c r="G706" s="3"/>
    </row>
    <row r="707">
      <c r="A707" s="343"/>
      <c r="B707" s="343"/>
      <c r="D707" s="300" t="s">
        <v>22</v>
      </c>
      <c r="E707" s="3"/>
      <c r="F707" s="3"/>
      <c r="G707" s="3"/>
    </row>
    <row r="708">
      <c r="A708" s="343"/>
      <c r="B708" s="343"/>
      <c r="D708" s="300" t="s">
        <v>22</v>
      </c>
      <c r="E708" s="3"/>
      <c r="F708" s="3"/>
      <c r="G708" s="3"/>
    </row>
    <row r="709">
      <c r="A709" s="343"/>
      <c r="B709" s="343"/>
      <c r="D709" s="300" t="s">
        <v>22</v>
      </c>
      <c r="E709" s="3"/>
      <c r="F709" s="3"/>
      <c r="G709" s="3"/>
    </row>
    <row r="710">
      <c r="A710" s="343"/>
      <c r="B710" s="343"/>
      <c r="D710" s="300" t="s">
        <v>22</v>
      </c>
      <c r="E710" s="3"/>
      <c r="F710" s="3"/>
      <c r="G710" s="3"/>
    </row>
    <row r="711">
      <c r="A711" s="343"/>
      <c r="B711" s="343"/>
      <c r="D711" s="300" t="s">
        <v>22</v>
      </c>
      <c r="E711" s="3"/>
      <c r="F711" s="3"/>
      <c r="G711" s="3"/>
    </row>
    <row r="712">
      <c r="A712" s="343"/>
      <c r="B712" s="343"/>
      <c r="D712" s="300" t="s">
        <v>22</v>
      </c>
      <c r="E712" s="3"/>
      <c r="F712" s="3"/>
      <c r="G712" s="3"/>
    </row>
    <row r="713">
      <c r="A713" s="343"/>
      <c r="B713" s="343"/>
      <c r="D713" s="300" t="s">
        <v>22</v>
      </c>
      <c r="E713" s="3"/>
      <c r="F713" s="3"/>
      <c r="G713" s="3"/>
    </row>
    <row r="714">
      <c r="A714" s="343"/>
      <c r="B714" s="343"/>
      <c r="D714" s="300" t="s">
        <v>22</v>
      </c>
      <c r="E714" s="3"/>
      <c r="F714" s="3"/>
      <c r="G714" s="3"/>
    </row>
    <row r="715">
      <c r="A715" s="343"/>
      <c r="B715" s="343"/>
      <c r="D715" s="300" t="s">
        <v>22</v>
      </c>
      <c r="E715" s="3"/>
      <c r="F715" s="3"/>
      <c r="G715" s="3"/>
    </row>
    <row r="716">
      <c r="A716" s="343"/>
      <c r="B716" s="343"/>
      <c r="D716" s="300" t="s">
        <v>22</v>
      </c>
      <c r="E716" s="3"/>
      <c r="F716" s="3"/>
      <c r="G716" s="3"/>
    </row>
    <row r="717">
      <c r="A717" s="343"/>
      <c r="B717" s="343"/>
      <c r="D717" s="300" t="s">
        <v>22</v>
      </c>
      <c r="E717" s="3"/>
      <c r="F717" s="3"/>
      <c r="G717" s="3"/>
    </row>
    <row r="718">
      <c r="A718" s="343"/>
      <c r="B718" s="343"/>
      <c r="D718" s="300" t="s">
        <v>22</v>
      </c>
      <c r="E718" s="3"/>
      <c r="F718" s="3"/>
      <c r="G718" s="3"/>
    </row>
    <row r="719">
      <c r="A719" s="343"/>
      <c r="B719" s="343"/>
      <c r="D719" s="300" t="s">
        <v>22</v>
      </c>
      <c r="E719" s="3"/>
      <c r="F719" s="3"/>
      <c r="G719" s="3"/>
    </row>
    <row r="720">
      <c r="A720" s="343"/>
      <c r="B720" s="343"/>
      <c r="D720" s="300" t="s">
        <v>22</v>
      </c>
      <c r="E720" s="3"/>
      <c r="F720" s="3"/>
      <c r="G720" s="3"/>
    </row>
    <row r="721">
      <c r="A721" s="343"/>
      <c r="B721" s="343"/>
      <c r="D721" s="300" t="s">
        <v>22</v>
      </c>
      <c r="E721" s="3"/>
      <c r="F721" s="3"/>
      <c r="G721" s="3"/>
    </row>
    <row r="722">
      <c r="A722" s="343"/>
      <c r="B722" s="343"/>
      <c r="D722" s="300" t="s">
        <v>22</v>
      </c>
      <c r="E722" s="3"/>
      <c r="F722" s="3"/>
      <c r="G722" s="3"/>
    </row>
    <row r="723">
      <c r="A723" s="343"/>
      <c r="B723" s="343"/>
      <c r="D723" s="300" t="s">
        <v>22</v>
      </c>
      <c r="E723" s="3"/>
      <c r="F723" s="3"/>
      <c r="G723" s="3"/>
    </row>
    <row r="724">
      <c r="A724" s="343"/>
      <c r="B724" s="343"/>
      <c r="D724" s="300" t="s">
        <v>22</v>
      </c>
      <c r="E724" s="3"/>
      <c r="F724" s="3"/>
      <c r="G724" s="3"/>
    </row>
    <row r="725">
      <c r="A725" s="343"/>
      <c r="B725" s="343"/>
      <c r="D725" s="300" t="s">
        <v>22</v>
      </c>
      <c r="E725" s="3"/>
      <c r="F725" s="3"/>
      <c r="G725" s="3"/>
    </row>
    <row r="726">
      <c r="A726" s="343"/>
      <c r="B726" s="343"/>
      <c r="D726" s="300" t="s">
        <v>22</v>
      </c>
      <c r="E726" s="3"/>
      <c r="F726" s="3"/>
      <c r="G726" s="3"/>
    </row>
    <row r="727">
      <c r="A727" s="343"/>
      <c r="B727" s="343"/>
      <c r="D727" s="300" t="s">
        <v>22</v>
      </c>
      <c r="E727" s="3"/>
      <c r="F727" s="3"/>
      <c r="G727" s="3"/>
    </row>
    <row r="728">
      <c r="A728" s="343"/>
      <c r="B728" s="343"/>
      <c r="D728" s="300" t="s">
        <v>22</v>
      </c>
      <c r="E728" s="3"/>
      <c r="F728" s="3"/>
      <c r="G728" s="3"/>
    </row>
    <row r="729">
      <c r="A729" s="343"/>
      <c r="B729" s="343"/>
      <c r="D729" s="300" t="s">
        <v>22</v>
      </c>
      <c r="E729" s="3"/>
      <c r="F729" s="3"/>
      <c r="G729" s="3"/>
    </row>
    <row r="730">
      <c r="A730" s="343"/>
      <c r="B730" s="343"/>
      <c r="D730" s="300" t="s">
        <v>22</v>
      </c>
      <c r="E730" s="3"/>
      <c r="F730" s="3"/>
      <c r="G730" s="3"/>
    </row>
    <row r="731">
      <c r="A731" s="343"/>
      <c r="B731" s="343"/>
      <c r="D731" s="300" t="s">
        <v>22</v>
      </c>
      <c r="E731" s="3"/>
      <c r="F731" s="3"/>
      <c r="G731" s="3"/>
    </row>
    <row r="732">
      <c r="A732" s="343"/>
      <c r="B732" s="343"/>
      <c r="D732" s="300" t="s">
        <v>22</v>
      </c>
      <c r="E732" s="3"/>
      <c r="F732" s="3"/>
      <c r="G732" s="3"/>
    </row>
    <row r="733">
      <c r="A733" s="343"/>
      <c r="B733" s="343"/>
      <c r="D733" s="300" t="s">
        <v>22</v>
      </c>
      <c r="E733" s="3"/>
      <c r="F733" s="3"/>
      <c r="G733" s="3"/>
    </row>
    <row r="734">
      <c r="A734" s="343"/>
      <c r="B734" s="343"/>
      <c r="D734" s="300" t="s">
        <v>22</v>
      </c>
      <c r="E734" s="3"/>
      <c r="F734" s="3"/>
      <c r="G734" s="3"/>
    </row>
    <row r="735">
      <c r="A735" s="343"/>
      <c r="B735" s="343"/>
      <c r="D735" s="300" t="s">
        <v>22</v>
      </c>
      <c r="E735" s="3"/>
      <c r="F735" s="3"/>
      <c r="G735" s="3"/>
    </row>
    <row r="736">
      <c r="A736" s="343"/>
      <c r="B736" s="343"/>
      <c r="D736" s="300" t="s">
        <v>22</v>
      </c>
      <c r="E736" s="3"/>
      <c r="F736" s="3"/>
      <c r="G736" s="3"/>
    </row>
    <row r="737">
      <c r="A737" s="343"/>
      <c r="B737" s="343"/>
      <c r="D737" s="300" t="s">
        <v>22</v>
      </c>
      <c r="E737" s="3"/>
      <c r="F737" s="3"/>
      <c r="G737" s="3"/>
    </row>
    <row r="738">
      <c r="A738" s="343"/>
      <c r="B738" s="343"/>
      <c r="D738" s="300" t="s">
        <v>22</v>
      </c>
      <c r="E738" s="3"/>
      <c r="F738" s="3"/>
      <c r="G738" s="3"/>
    </row>
    <row r="739">
      <c r="A739" s="343"/>
      <c r="B739" s="343"/>
      <c r="D739" s="300" t="s">
        <v>22</v>
      </c>
      <c r="E739" s="3"/>
      <c r="F739" s="3"/>
      <c r="G739" s="3"/>
    </row>
    <row r="740">
      <c r="A740" s="343"/>
      <c r="B740" s="343"/>
      <c r="D740" s="300" t="s">
        <v>22</v>
      </c>
      <c r="E740" s="3"/>
      <c r="F740" s="3"/>
      <c r="G740" s="3"/>
    </row>
    <row r="741">
      <c r="A741" s="343"/>
      <c r="B741" s="343"/>
      <c r="D741" s="300" t="s">
        <v>22</v>
      </c>
      <c r="E741" s="3"/>
      <c r="F741" s="3"/>
      <c r="G741" s="3"/>
    </row>
    <row r="742">
      <c r="A742" s="343"/>
      <c r="B742" s="343"/>
      <c r="D742" s="300" t="s">
        <v>22</v>
      </c>
      <c r="E742" s="3"/>
      <c r="F742" s="3"/>
      <c r="G742" s="3"/>
    </row>
    <row r="743">
      <c r="A743" s="343"/>
      <c r="B743" s="343"/>
      <c r="D743" s="300" t="s">
        <v>22</v>
      </c>
      <c r="E743" s="3"/>
      <c r="F743" s="3"/>
      <c r="G743" s="3"/>
    </row>
    <row r="744">
      <c r="A744" s="343"/>
      <c r="B744" s="343"/>
      <c r="D744" s="300" t="s">
        <v>22</v>
      </c>
      <c r="E744" s="3"/>
      <c r="F744" s="3"/>
      <c r="G744" s="3"/>
    </row>
    <row r="745">
      <c r="A745" s="343"/>
      <c r="B745" s="343"/>
      <c r="D745" s="300" t="s">
        <v>22</v>
      </c>
      <c r="E745" s="3"/>
      <c r="F745" s="3"/>
      <c r="G745" s="3"/>
    </row>
    <row r="746">
      <c r="A746" s="343"/>
      <c r="B746" s="343"/>
      <c r="D746" s="300" t="s">
        <v>22</v>
      </c>
      <c r="E746" s="3"/>
      <c r="F746" s="3"/>
      <c r="G746" s="3"/>
    </row>
    <row r="747">
      <c r="A747" s="343"/>
      <c r="B747" s="343"/>
      <c r="D747" s="300" t="s">
        <v>22</v>
      </c>
      <c r="E747" s="3"/>
      <c r="F747" s="3"/>
      <c r="G747" s="3"/>
    </row>
    <row r="748">
      <c r="A748" s="343"/>
      <c r="B748" s="343"/>
      <c r="D748" s="300" t="s">
        <v>22</v>
      </c>
      <c r="E748" s="3"/>
      <c r="F748" s="3"/>
      <c r="G748" s="3"/>
    </row>
    <row r="749">
      <c r="A749" s="343"/>
      <c r="B749" s="343"/>
      <c r="D749" s="300" t="s">
        <v>22</v>
      </c>
      <c r="E749" s="3"/>
      <c r="F749" s="3"/>
      <c r="G749" s="3"/>
    </row>
    <row r="750">
      <c r="A750" s="343"/>
      <c r="B750" s="343"/>
      <c r="D750" s="300" t="s">
        <v>22</v>
      </c>
      <c r="E750" s="3"/>
      <c r="F750" s="3"/>
      <c r="G750" s="3"/>
    </row>
    <row r="751">
      <c r="A751" s="343"/>
      <c r="B751" s="343"/>
      <c r="D751" s="300" t="s">
        <v>22</v>
      </c>
      <c r="E751" s="3"/>
      <c r="F751" s="3"/>
      <c r="G751" s="3"/>
    </row>
    <row r="752">
      <c r="A752" s="343"/>
      <c r="B752" s="343"/>
      <c r="D752" s="300" t="s">
        <v>22</v>
      </c>
      <c r="E752" s="3"/>
      <c r="F752" s="3"/>
      <c r="G752" s="3"/>
    </row>
    <row r="753">
      <c r="A753" s="343"/>
      <c r="B753" s="343"/>
      <c r="D753" s="300" t="s">
        <v>22</v>
      </c>
      <c r="E753" s="3"/>
      <c r="F753" s="3"/>
      <c r="G753" s="3"/>
    </row>
    <row r="754">
      <c r="A754" s="343"/>
      <c r="B754" s="343"/>
      <c r="D754" s="300" t="s">
        <v>22</v>
      </c>
      <c r="E754" s="3"/>
      <c r="F754" s="3"/>
      <c r="G754" s="3"/>
    </row>
    <row r="755">
      <c r="A755" s="343"/>
      <c r="B755" s="343"/>
      <c r="D755" s="300" t="s">
        <v>22</v>
      </c>
      <c r="E755" s="3"/>
      <c r="F755" s="3"/>
      <c r="G755" s="3"/>
    </row>
    <row r="756">
      <c r="A756" s="343"/>
      <c r="B756" s="343"/>
      <c r="D756" s="300" t="s">
        <v>22</v>
      </c>
      <c r="E756" s="3"/>
      <c r="F756" s="3"/>
      <c r="G756" s="3"/>
    </row>
    <row r="757">
      <c r="A757" s="343"/>
      <c r="B757" s="343"/>
      <c r="D757" s="300" t="s">
        <v>22</v>
      </c>
      <c r="E757" s="3"/>
      <c r="F757" s="3"/>
      <c r="G757" s="3"/>
    </row>
    <row r="758">
      <c r="A758" s="343"/>
      <c r="B758" s="343"/>
      <c r="D758" s="300" t="s">
        <v>22</v>
      </c>
      <c r="E758" s="3"/>
      <c r="F758" s="3"/>
      <c r="G758" s="3"/>
    </row>
    <row r="759">
      <c r="A759" s="343"/>
      <c r="B759" s="343"/>
      <c r="D759" s="300" t="s">
        <v>22</v>
      </c>
      <c r="E759" s="3"/>
      <c r="F759" s="3"/>
      <c r="G759" s="3"/>
    </row>
    <row r="760">
      <c r="A760" s="343"/>
      <c r="B760" s="343"/>
      <c r="D760" s="300" t="s">
        <v>22</v>
      </c>
      <c r="E760" s="3"/>
      <c r="F760" s="3"/>
      <c r="G760" s="3"/>
    </row>
    <row r="761">
      <c r="A761" s="343"/>
      <c r="B761" s="343"/>
      <c r="D761" s="300" t="s">
        <v>22</v>
      </c>
      <c r="E761" s="3"/>
      <c r="F761" s="3"/>
      <c r="G761" s="3"/>
    </row>
    <row r="762">
      <c r="A762" s="343"/>
      <c r="B762" s="343"/>
      <c r="D762" s="300" t="s">
        <v>22</v>
      </c>
      <c r="E762" s="3"/>
      <c r="F762" s="3"/>
      <c r="G762" s="3"/>
    </row>
    <row r="763">
      <c r="A763" s="343"/>
      <c r="B763" s="343"/>
      <c r="D763" s="300" t="s">
        <v>22</v>
      </c>
      <c r="E763" s="3"/>
      <c r="F763" s="3"/>
      <c r="G763" s="3"/>
    </row>
    <row r="764">
      <c r="A764" s="343"/>
      <c r="B764" s="343"/>
      <c r="D764" s="300" t="s">
        <v>22</v>
      </c>
      <c r="E764" s="3"/>
      <c r="F764" s="3"/>
      <c r="G764" s="3"/>
    </row>
    <row r="765">
      <c r="A765" s="343"/>
      <c r="B765" s="343"/>
      <c r="D765" s="300" t="s">
        <v>22</v>
      </c>
      <c r="E765" s="3"/>
      <c r="F765" s="3"/>
      <c r="G765" s="3"/>
    </row>
    <row r="766">
      <c r="A766" s="343"/>
      <c r="B766" s="343"/>
      <c r="D766" s="300" t="s">
        <v>22</v>
      </c>
      <c r="E766" s="3"/>
      <c r="F766" s="3"/>
      <c r="G766" s="3"/>
    </row>
    <row r="767">
      <c r="A767" s="343"/>
      <c r="B767" s="343"/>
      <c r="D767" s="300" t="s">
        <v>22</v>
      </c>
      <c r="E767" s="3"/>
      <c r="F767" s="3"/>
      <c r="G767" s="3"/>
    </row>
    <row r="768">
      <c r="A768" s="343"/>
      <c r="B768" s="343"/>
      <c r="D768" s="300" t="s">
        <v>22</v>
      </c>
      <c r="E768" s="3"/>
      <c r="F768" s="3"/>
      <c r="G768" s="3"/>
    </row>
    <row r="769">
      <c r="A769" s="343"/>
      <c r="B769" s="343"/>
      <c r="D769" s="300" t="s">
        <v>22</v>
      </c>
      <c r="E769" s="3"/>
      <c r="F769" s="3"/>
      <c r="G769" s="3"/>
    </row>
    <row r="770">
      <c r="A770" s="343"/>
      <c r="B770" s="343"/>
      <c r="D770" s="300" t="s">
        <v>22</v>
      </c>
      <c r="E770" s="3"/>
      <c r="F770" s="3"/>
      <c r="G770" s="3"/>
    </row>
    <row r="771">
      <c r="A771" s="343"/>
      <c r="B771" s="343"/>
      <c r="D771" s="300" t="s">
        <v>22</v>
      </c>
      <c r="E771" s="3"/>
      <c r="F771" s="3"/>
      <c r="G771" s="3"/>
    </row>
    <row r="772">
      <c r="A772" s="343"/>
      <c r="B772" s="343"/>
      <c r="D772" s="300" t="s">
        <v>22</v>
      </c>
      <c r="E772" s="3"/>
      <c r="F772" s="3"/>
      <c r="G772" s="3"/>
    </row>
    <row r="773">
      <c r="A773" s="343"/>
      <c r="B773" s="343"/>
      <c r="D773" s="300" t="s">
        <v>22</v>
      </c>
      <c r="E773" s="3"/>
      <c r="F773" s="3"/>
      <c r="G773" s="3"/>
    </row>
    <row r="774">
      <c r="A774" s="343"/>
      <c r="B774" s="343"/>
      <c r="D774" s="300" t="s">
        <v>22</v>
      </c>
      <c r="E774" s="3"/>
      <c r="F774" s="3"/>
      <c r="G774" s="3"/>
    </row>
    <row r="775">
      <c r="A775" s="343"/>
      <c r="B775" s="343"/>
      <c r="D775" s="300" t="s">
        <v>22</v>
      </c>
      <c r="E775" s="3"/>
      <c r="F775" s="3"/>
      <c r="G775" s="3"/>
    </row>
    <row r="776">
      <c r="A776" s="343"/>
      <c r="B776" s="343"/>
      <c r="D776" s="300" t="s">
        <v>22</v>
      </c>
      <c r="E776" s="3"/>
      <c r="F776" s="3"/>
      <c r="G776" s="3"/>
    </row>
    <row r="777">
      <c r="A777" s="343"/>
      <c r="B777" s="343"/>
      <c r="D777" s="300" t="s">
        <v>22</v>
      </c>
      <c r="E777" s="3"/>
      <c r="F777" s="3"/>
      <c r="G777" s="3"/>
    </row>
    <row r="778">
      <c r="A778" s="343"/>
      <c r="B778" s="343"/>
      <c r="D778" s="300" t="s">
        <v>22</v>
      </c>
      <c r="E778" s="3"/>
      <c r="F778" s="3"/>
      <c r="G778" s="3"/>
    </row>
    <row r="779">
      <c r="A779" s="343"/>
      <c r="B779" s="343"/>
      <c r="D779" s="300" t="s">
        <v>22</v>
      </c>
      <c r="E779" s="3"/>
      <c r="F779" s="3"/>
      <c r="G779" s="3"/>
    </row>
    <row r="780">
      <c r="A780" s="343"/>
      <c r="B780" s="343"/>
      <c r="D780" s="300" t="s">
        <v>22</v>
      </c>
      <c r="E780" s="3"/>
      <c r="F780" s="3"/>
      <c r="G780" s="3"/>
    </row>
    <row r="781">
      <c r="A781" s="343"/>
      <c r="B781" s="343"/>
      <c r="D781" s="300" t="s">
        <v>22</v>
      </c>
      <c r="E781" s="3"/>
      <c r="F781" s="3"/>
      <c r="G781" s="3"/>
    </row>
    <row r="782">
      <c r="A782" s="343"/>
      <c r="B782" s="343"/>
      <c r="D782" s="300" t="s">
        <v>22</v>
      </c>
      <c r="E782" s="3"/>
      <c r="F782" s="3"/>
      <c r="G782" s="3"/>
    </row>
    <row r="783">
      <c r="A783" s="343"/>
      <c r="B783" s="343"/>
      <c r="D783" s="300" t="s">
        <v>22</v>
      </c>
      <c r="E783" s="3"/>
      <c r="F783" s="3"/>
      <c r="G783" s="3"/>
    </row>
    <row r="784">
      <c r="A784" s="343"/>
      <c r="B784" s="343"/>
      <c r="D784" s="300" t="s">
        <v>22</v>
      </c>
      <c r="E784" s="3"/>
      <c r="F784" s="3"/>
      <c r="G784" s="3"/>
    </row>
    <row r="785">
      <c r="A785" s="343"/>
      <c r="B785" s="343"/>
      <c r="D785" s="300" t="s">
        <v>22</v>
      </c>
      <c r="E785" s="3"/>
      <c r="F785" s="3"/>
      <c r="G785" s="3"/>
    </row>
    <row r="786">
      <c r="A786" s="343"/>
      <c r="B786" s="343"/>
      <c r="D786" s="300" t="s">
        <v>22</v>
      </c>
      <c r="E786" s="3"/>
      <c r="F786" s="3"/>
      <c r="G786" s="3"/>
    </row>
    <row r="787">
      <c r="A787" s="343"/>
      <c r="B787" s="343"/>
      <c r="D787" s="300" t="s">
        <v>22</v>
      </c>
      <c r="E787" s="3"/>
      <c r="F787" s="3"/>
      <c r="G787" s="3"/>
    </row>
    <row r="788">
      <c r="A788" s="343"/>
      <c r="B788" s="343"/>
      <c r="D788" s="300" t="s">
        <v>22</v>
      </c>
      <c r="E788" s="3"/>
      <c r="F788" s="3"/>
      <c r="G788" s="3"/>
    </row>
    <row r="789">
      <c r="A789" s="343"/>
      <c r="B789" s="343"/>
      <c r="D789" s="300" t="s">
        <v>22</v>
      </c>
      <c r="E789" s="3"/>
      <c r="F789" s="3"/>
      <c r="G789" s="3"/>
    </row>
    <row r="790">
      <c r="A790" s="343"/>
      <c r="B790" s="343"/>
      <c r="D790" s="300" t="s">
        <v>22</v>
      </c>
      <c r="E790" s="3"/>
      <c r="F790" s="3"/>
      <c r="G790" s="3"/>
    </row>
    <row r="791">
      <c r="A791" s="343"/>
      <c r="B791" s="343"/>
      <c r="D791" s="300" t="s">
        <v>22</v>
      </c>
      <c r="E791" s="3"/>
      <c r="F791" s="3"/>
      <c r="G791" s="3"/>
    </row>
    <row r="792">
      <c r="A792" s="343"/>
      <c r="B792" s="343"/>
      <c r="D792" s="300" t="s">
        <v>22</v>
      </c>
      <c r="E792" s="3"/>
      <c r="F792" s="3"/>
      <c r="G792" s="3"/>
    </row>
    <row r="793">
      <c r="A793" s="343"/>
      <c r="B793" s="343"/>
      <c r="D793" s="300" t="s">
        <v>22</v>
      </c>
      <c r="E793" s="3"/>
      <c r="F793" s="3"/>
      <c r="G793" s="3"/>
    </row>
    <row r="794">
      <c r="A794" s="343"/>
      <c r="B794" s="343"/>
      <c r="D794" s="300" t="s">
        <v>22</v>
      </c>
      <c r="E794" s="3"/>
      <c r="F794" s="3"/>
      <c r="G794" s="3"/>
    </row>
    <row r="795">
      <c r="A795" s="343"/>
      <c r="B795" s="343"/>
      <c r="D795" s="300" t="s">
        <v>22</v>
      </c>
      <c r="E795" s="3"/>
      <c r="F795" s="3"/>
      <c r="G795" s="3"/>
    </row>
    <row r="796">
      <c r="A796" s="343"/>
      <c r="B796" s="343"/>
      <c r="D796" s="300" t="s">
        <v>22</v>
      </c>
      <c r="E796" s="3"/>
      <c r="F796" s="3"/>
      <c r="G796" s="3"/>
    </row>
    <row r="797">
      <c r="A797" s="343"/>
      <c r="B797" s="343"/>
      <c r="D797" s="300" t="s">
        <v>22</v>
      </c>
      <c r="E797" s="3"/>
      <c r="F797" s="3"/>
      <c r="G797" s="3"/>
    </row>
    <row r="798">
      <c r="A798" s="343"/>
      <c r="B798" s="343"/>
      <c r="D798" s="300" t="s">
        <v>22</v>
      </c>
      <c r="E798" s="3"/>
      <c r="F798" s="3"/>
      <c r="G798" s="3"/>
    </row>
    <row r="799">
      <c r="A799" s="343"/>
      <c r="B799" s="343"/>
      <c r="D799" s="300" t="s">
        <v>22</v>
      </c>
      <c r="E799" s="3"/>
      <c r="F799" s="3"/>
      <c r="G799" s="3"/>
    </row>
    <row r="800">
      <c r="A800" s="343"/>
      <c r="B800" s="343"/>
      <c r="D800" s="300" t="s">
        <v>22</v>
      </c>
      <c r="E800" s="3"/>
      <c r="F800" s="3"/>
      <c r="G800" s="3"/>
    </row>
    <row r="801">
      <c r="A801" s="343"/>
      <c r="B801" s="343"/>
      <c r="D801" s="300" t="s">
        <v>22</v>
      </c>
      <c r="E801" s="3"/>
      <c r="F801" s="3"/>
      <c r="G801" s="3"/>
    </row>
    <row r="802">
      <c r="A802" s="343"/>
      <c r="B802" s="343"/>
      <c r="D802" s="300" t="s">
        <v>22</v>
      </c>
      <c r="E802" s="3"/>
      <c r="F802" s="3"/>
      <c r="G802" s="3"/>
    </row>
    <row r="803">
      <c r="A803" s="343"/>
      <c r="B803" s="343"/>
      <c r="D803" s="300" t="s">
        <v>22</v>
      </c>
      <c r="E803" s="3"/>
      <c r="F803" s="3"/>
      <c r="G803" s="3"/>
    </row>
    <row r="804">
      <c r="A804" s="343"/>
      <c r="B804" s="343"/>
      <c r="D804" s="300" t="s">
        <v>22</v>
      </c>
      <c r="E804" s="3"/>
      <c r="F804" s="3"/>
      <c r="G804" s="3"/>
    </row>
    <row r="805">
      <c r="A805" s="343"/>
      <c r="B805" s="343"/>
      <c r="D805" s="300" t="s">
        <v>22</v>
      </c>
      <c r="E805" s="3"/>
      <c r="F805" s="3"/>
      <c r="G805" s="3"/>
    </row>
    <row r="806">
      <c r="A806" s="343"/>
      <c r="B806" s="343"/>
      <c r="D806" s="300" t="s">
        <v>22</v>
      </c>
      <c r="E806" s="3"/>
      <c r="F806" s="3"/>
      <c r="G806" s="3"/>
    </row>
    <row r="807">
      <c r="A807" s="343"/>
      <c r="B807" s="343"/>
      <c r="D807" s="300" t="s">
        <v>22</v>
      </c>
      <c r="E807" s="3"/>
      <c r="F807" s="3"/>
      <c r="G807" s="3"/>
    </row>
    <row r="808">
      <c r="A808" s="343"/>
      <c r="B808" s="343"/>
      <c r="D808" s="300" t="s">
        <v>22</v>
      </c>
      <c r="E808" s="3"/>
      <c r="F808" s="3"/>
      <c r="G808" s="3"/>
    </row>
    <row r="809">
      <c r="A809" s="343"/>
      <c r="B809" s="343"/>
      <c r="D809" s="300" t="s">
        <v>22</v>
      </c>
      <c r="E809" s="3"/>
      <c r="F809" s="3"/>
      <c r="G809" s="3"/>
    </row>
    <row r="810">
      <c r="A810" s="343"/>
      <c r="B810" s="343"/>
      <c r="D810" s="300" t="s">
        <v>22</v>
      </c>
      <c r="E810" s="3"/>
      <c r="F810" s="3"/>
      <c r="G810" s="3"/>
    </row>
    <row r="811">
      <c r="A811" s="343"/>
      <c r="B811" s="343"/>
      <c r="D811" s="300" t="s">
        <v>22</v>
      </c>
      <c r="E811" s="3"/>
      <c r="F811" s="3"/>
      <c r="G811" s="3"/>
    </row>
    <row r="812">
      <c r="A812" s="343"/>
      <c r="B812" s="343"/>
      <c r="D812" s="300" t="s">
        <v>22</v>
      </c>
      <c r="E812" s="3"/>
      <c r="F812" s="3"/>
      <c r="G812" s="3"/>
    </row>
    <row r="813">
      <c r="A813" s="343"/>
      <c r="B813" s="343"/>
      <c r="D813" s="300" t="s">
        <v>22</v>
      </c>
      <c r="E813" s="3"/>
      <c r="F813" s="3"/>
      <c r="G813" s="3"/>
    </row>
    <row r="814">
      <c r="A814" s="343"/>
      <c r="B814" s="343"/>
      <c r="D814" s="300" t="s">
        <v>22</v>
      </c>
      <c r="E814" s="3"/>
      <c r="F814" s="3"/>
      <c r="G814" s="3"/>
    </row>
    <row r="815">
      <c r="A815" s="343"/>
      <c r="B815" s="343"/>
      <c r="D815" s="300" t="s">
        <v>22</v>
      </c>
      <c r="E815" s="3"/>
      <c r="F815" s="3"/>
      <c r="G815" s="3"/>
    </row>
    <row r="816">
      <c r="A816" s="343"/>
      <c r="B816" s="343"/>
      <c r="D816" s="300" t="s">
        <v>22</v>
      </c>
      <c r="E816" s="3"/>
      <c r="F816" s="3"/>
      <c r="G816" s="3"/>
    </row>
    <row r="817">
      <c r="A817" s="343"/>
      <c r="B817" s="343"/>
      <c r="D817" s="300" t="s">
        <v>22</v>
      </c>
      <c r="E817" s="3"/>
      <c r="F817" s="3"/>
      <c r="G817" s="3"/>
    </row>
    <row r="818">
      <c r="A818" s="343"/>
      <c r="B818" s="343"/>
      <c r="D818" s="300" t="s">
        <v>22</v>
      </c>
      <c r="E818" s="3"/>
      <c r="F818" s="3"/>
      <c r="G818" s="3"/>
    </row>
    <row r="819">
      <c r="A819" s="343"/>
      <c r="B819" s="343"/>
      <c r="D819" s="300" t="s">
        <v>22</v>
      </c>
      <c r="E819" s="3"/>
      <c r="F819" s="3"/>
      <c r="G819" s="3"/>
    </row>
    <row r="820">
      <c r="A820" s="343"/>
      <c r="B820" s="343"/>
      <c r="D820" s="300" t="s">
        <v>22</v>
      </c>
      <c r="E820" s="3"/>
      <c r="F820" s="3"/>
      <c r="G820" s="3"/>
    </row>
    <row r="821">
      <c r="A821" s="343"/>
      <c r="B821" s="343"/>
      <c r="D821" s="300" t="s">
        <v>22</v>
      </c>
      <c r="E821" s="3"/>
      <c r="F821" s="3"/>
      <c r="G821" s="3"/>
    </row>
    <row r="822">
      <c r="A822" s="343"/>
      <c r="B822" s="343"/>
      <c r="D822" s="300" t="s">
        <v>22</v>
      </c>
      <c r="E822" s="3"/>
      <c r="F822" s="3"/>
      <c r="G822" s="3"/>
    </row>
    <row r="823">
      <c r="A823" s="343"/>
      <c r="B823" s="343"/>
      <c r="D823" s="300" t="s">
        <v>22</v>
      </c>
      <c r="E823" s="3"/>
      <c r="F823" s="3"/>
      <c r="G823" s="3"/>
    </row>
    <row r="824">
      <c r="A824" s="343"/>
      <c r="B824" s="343"/>
      <c r="D824" s="300" t="s">
        <v>22</v>
      </c>
      <c r="E824" s="3"/>
      <c r="F824" s="3"/>
      <c r="G824" s="3"/>
    </row>
    <row r="825">
      <c r="A825" s="343"/>
      <c r="B825" s="343"/>
      <c r="D825" s="300" t="s">
        <v>22</v>
      </c>
      <c r="E825" s="3"/>
      <c r="F825" s="3"/>
      <c r="G825" s="3"/>
    </row>
    <row r="826">
      <c r="A826" s="343"/>
      <c r="B826" s="343"/>
      <c r="D826" s="300" t="s">
        <v>22</v>
      </c>
      <c r="E826" s="3"/>
      <c r="F826" s="3"/>
      <c r="G826" s="3"/>
    </row>
    <row r="827">
      <c r="A827" s="343"/>
      <c r="B827" s="343"/>
      <c r="D827" s="300" t="s">
        <v>22</v>
      </c>
      <c r="E827" s="3"/>
      <c r="F827" s="3"/>
      <c r="G827" s="3"/>
    </row>
    <row r="828">
      <c r="A828" s="343"/>
      <c r="B828" s="343"/>
      <c r="D828" s="300" t="s">
        <v>22</v>
      </c>
      <c r="E828" s="3"/>
      <c r="F828" s="3"/>
      <c r="G828" s="3"/>
    </row>
    <row r="829">
      <c r="A829" s="343"/>
      <c r="B829" s="343"/>
      <c r="D829" s="300" t="s">
        <v>22</v>
      </c>
      <c r="E829" s="3"/>
      <c r="F829" s="3"/>
      <c r="G829" s="3"/>
    </row>
    <row r="830">
      <c r="A830" s="343"/>
      <c r="B830" s="343"/>
      <c r="D830" s="300" t="s">
        <v>22</v>
      </c>
      <c r="E830" s="3"/>
      <c r="F830" s="3"/>
      <c r="G830" s="3"/>
    </row>
    <row r="831">
      <c r="A831" s="343"/>
      <c r="B831" s="343"/>
      <c r="D831" s="300" t="s">
        <v>22</v>
      </c>
      <c r="E831" s="3"/>
      <c r="F831" s="3"/>
      <c r="G831" s="3"/>
    </row>
    <row r="832">
      <c r="A832" s="343"/>
      <c r="B832" s="343"/>
      <c r="D832" s="300" t="s">
        <v>22</v>
      </c>
      <c r="E832" s="3"/>
      <c r="F832" s="3"/>
      <c r="G832" s="3"/>
    </row>
    <row r="833">
      <c r="A833" s="343"/>
      <c r="B833" s="343"/>
      <c r="D833" s="300" t="s">
        <v>22</v>
      </c>
      <c r="E833" s="3"/>
      <c r="F833" s="3"/>
      <c r="G833" s="3"/>
    </row>
    <row r="834">
      <c r="A834" s="343"/>
      <c r="B834" s="343"/>
      <c r="D834" s="300" t="s">
        <v>22</v>
      </c>
      <c r="E834" s="3"/>
      <c r="F834" s="3"/>
      <c r="G834" s="3"/>
    </row>
    <row r="835">
      <c r="A835" s="343"/>
      <c r="B835" s="343"/>
      <c r="D835" s="300" t="s">
        <v>22</v>
      </c>
      <c r="E835" s="3"/>
      <c r="F835" s="3"/>
      <c r="G835" s="3"/>
    </row>
    <row r="836">
      <c r="A836" s="343"/>
      <c r="B836" s="343"/>
      <c r="D836" s="300" t="s">
        <v>22</v>
      </c>
      <c r="E836" s="3"/>
      <c r="F836" s="3"/>
      <c r="G836" s="3"/>
    </row>
    <row r="837">
      <c r="A837" s="343"/>
      <c r="B837" s="343"/>
      <c r="D837" s="300" t="s">
        <v>22</v>
      </c>
      <c r="E837" s="3"/>
      <c r="F837" s="3"/>
      <c r="G837" s="3"/>
    </row>
    <row r="838">
      <c r="A838" s="343"/>
      <c r="B838" s="343"/>
      <c r="D838" s="300" t="s">
        <v>22</v>
      </c>
      <c r="E838" s="3"/>
      <c r="F838" s="3"/>
      <c r="G838" s="3"/>
    </row>
    <row r="839">
      <c r="A839" s="343"/>
      <c r="B839" s="343"/>
      <c r="D839" s="300" t="s">
        <v>22</v>
      </c>
      <c r="E839" s="3"/>
      <c r="F839" s="3"/>
      <c r="G839" s="3"/>
    </row>
    <row r="840">
      <c r="A840" s="343"/>
      <c r="B840" s="343"/>
      <c r="D840" s="300" t="s">
        <v>22</v>
      </c>
      <c r="E840" s="3"/>
      <c r="F840" s="3"/>
      <c r="G840" s="3"/>
    </row>
    <row r="841">
      <c r="A841" s="343"/>
      <c r="B841" s="343"/>
      <c r="D841" s="300" t="s">
        <v>22</v>
      </c>
      <c r="E841" s="3"/>
      <c r="F841" s="3"/>
      <c r="G841" s="3"/>
    </row>
    <row r="842">
      <c r="A842" s="343"/>
      <c r="B842" s="343"/>
      <c r="D842" s="300" t="s">
        <v>22</v>
      </c>
      <c r="E842" s="3"/>
      <c r="F842" s="3"/>
      <c r="G842" s="3"/>
    </row>
    <row r="843">
      <c r="A843" s="343"/>
      <c r="B843" s="343"/>
      <c r="D843" s="300" t="s">
        <v>22</v>
      </c>
      <c r="E843" s="3"/>
      <c r="F843" s="3"/>
      <c r="G843" s="3"/>
    </row>
    <row r="844">
      <c r="A844" s="343"/>
      <c r="B844" s="343"/>
      <c r="D844" s="300" t="s">
        <v>22</v>
      </c>
      <c r="E844" s="3"/>
      <c r="F844" s="3"/>
      <c r="G844" s="3"/>
    </row>
    <row r="845">
      <c r="A845" s="343"/>
      <c r="B845" s="343"/>
      <c r="D845" s="300" t="s">
        <v>22</v>
      </c>
      <c r="E845" s="3"/>
      <c r="F845" s="3"/>
      <c r="G845" s="3"/>
    </row>
    <row r="846">
      <c r="A846" s="343"/>
      <c r="B846" s="343"/>
      <c r="D846" s="300" t="s">
        <v>22</v>
      </c>
      <c r="E846" s="3"/>
      <c r="F846" s="3"/>
      <c r="G846" s="3"/>
    </row>
    <row r="847">
      <c r="A847" s="343"/>
      <c r="B847" s="343"/>
      <c r="D847" s="300" t="s">
        <v>22</v>
      </c>
      <c r="E847" s="3"/>
      <c r="F847" s="3"/>
      <c r="G847" s="3"/>
    </row>
    <row r="848">
      <c r="A848" s="343"/>
      <c r="B848" s="343"/>
      <c r="D848" s="300" t="s">
        <v>22</v>
      </c>
      <c r="E848" s="3"/>
      <c r="F848" s="3"/>
      <c r="G848" s="3"/>
    </row>
    <row r="849">
      <c r="A849" s="343"/>
      <c r="B849" s="343"/>
      <c r="D849" s="300" t="s">
        <v>22</v>
      </c>
      <c r="E849" s="3"/>
      <c r="F849" s="3"/>
      <c r="G849" s="3"/>
    </row>
    <row r="850">
      <c r="A850" s="343"/>
      <c r="B850" s="343"/>
      <c r="D850" s="300" t="s">
        <v>22</v>
      </c>
      <c r="E850" s="3"/>
      <c r="F850" s="3"/>
      <c r="G850" s="3"/>
    </row>
    <row r="851">
      <c r="A851" s="343"/>
      <c r="B851" s="343"/>
      <c r="D851" s="300" t="s">
        <v>22</v>
      </c>
      <c r="E851" s="3"/>
      <c r="F851" s="3"/>
      <c r="G851" s="3"/>
    </row>
    <row r="852">
      <c r="A852" s="343"/>
      <c r="B852" s="343"/>
      <c r="D852" s="300" t="s">
        <v>22</v>
      </c>
      <c r="E852" s="3"/>
      <c r="F852" s="3"/>
      <c r="G852" s="3"/>
    </row>
    <row r="853">
      <c r="A853" s="343"/>
      <c r="B853" s="343"/>
      <c r="D853" s="300" t="s">
        <v>22</v>
      </c>
      <c r="E853" s="3"/>
      <c r="F853" s="3"/>
      <c r="G853" s="3"/>
    </row>
    <row r="854">
      <c r="A854" s="343"/>
      <c r="B854" s="343"/>
      <c r="D854" s="300" t="s">
        <v>22</v>
      </c>
      <c r="E854" s="3"/>
      <c r="F854" s="3"/>
      <c r="G854" s="3"/>
    </row>
    <row r="855">
      <c r="A855" s="343"/>
      <c r="B855" s="343"/>
      <c r="D855" s="300" t="s">
        <v>22</v>
      </c>
      <c r="E855" s="3"/>
      <c r="F855" s="3"/>
      <c r="G855" s="3"/>
    </row>
    <row r="856">
      <c r="A856" s="343"/>
      <c r="B856" s="343"/>
      <c r="D856" s="300" t="s">
        <v>22</v>
      </c>
      <c r="E856" s="3"/>
      <c r="F856" s="3"/>
      <c r="G856" s="3"/>
    </row>
    <row r="857">
      <c r="A857" s="343"/>
      <c r="B857" s="343"/>
      <c r="D857" s="300" t="s">
        <v>22</v>
      </c>
      <c r="E857" s="3"/>
      <c r="F857" s="3"/>
      <c r="G857" s="3"/>
    </row>
    <row r="858">
      <c r="A858" s="343"/>
      <c r="B858" s="343"/>
      <c r="D858" s="300" t="s">
        <v>22</v>
      </c>
      <c r="E858" s="3"/>
      <c r="F858" s="3"/>
      <c r="G858" s="3"/>
    </row>
    <row r="859">
      <c r="A859" s="343"/>
      <c r="B859" s="343"/>
      <c r="D859" s="300" t="s">
        <v>22</v>
      </c>
      <c r="E859" s="3"/>
      <c r="F859" s="3"/>
      <c r="G859" s="3"/>
    </row>
    <row r="860">
      <c r="A860" s="343"/>
      <c r="B860" s="343"/>
      <c r="D860" s="300" t="s">
        <v>22</v>
      </c>
      <c r="E860" s="3"/>
      <c r="F860" s="3"/>
      <c r="G860" s="3"/>
    </row>
    <row r="861">
      <c r="A861" s="343"/>
      <c r="B861" s="343"/>
      <c r="D861" s="300" t="s">
        <v>22</v>
      </c>
      <c r="E861" s="3"/>
      <c r="F861" s="3"/>
      <c r="G861" s="3"/>
    </row>
    <row r="862">
      <c r="A862" s="343"/>
      <c r="B862" s="343"/>
      <c r="D862" s="300" t="s">
        <v>22</v>
      </c>
      <c r="E862" s="3"/>
      <c r="F862" s="3"/>
      <c r="G862" s="3"/>
    </row>
    <row r="863">
      <c r="A863" s="343"/>
      <c r="B863" s="343"/>
      <c r="D863" s="300" t="s">
        <v>22</v>
      </c>
      <c r="E863" s="3"/>
      <c r="F863" s="3"/>
      <c r="G863" s="3"/>
    </row>
    <row r="864">
      <c r="A864" s="343"/>
      <c r="B864" s="343"/>
      <c r="D864" s="300" t="s">
        <v>22</v>
      </c>
      <c r="E864" s="3"/>
      <c r="F864" s="3"/>
      <c r="G864" s="3"/>
    </row>
    <row r="865">
      <c r="A865" s="343"/>
      <c r="B865" s="343"/>
      <c r="D865" s="300" t="s">
        <v>22</v>
      </c>
      <c r="E865" s="3"/>
      <c r="F865" s="3"/>
      <c r="G865" s="3"/>
    </row>
    <row r="866">
      <c r="A866" s="343"/>
      <c r="B866" s="343"/>
      <c r="D866" s="300" t="s">
        <v>22</v>
      </c>
      <c r="E866" s="3"/>
      <c r="F866" s="3"/>
      <c r="G866" s="3"/>
    </row>
    <row r="867">
      <c r="A867" s="343"/>
      <c r="B867" s="343"/>
      <c r="D867" s="300" t="s">
        <v>22</v>
      </c>
      <c r="E867" s="3"/>
      <c r="F867" s="3"/>
      <c r="G867" s="3"/>
    </row>
    <row r="868">
      <c r="A868" s="343"/>
      <c r="B868" s="343"/>
      <c r="D868" s="300" t="s">
        <v>22</v>
      </c>
      <c r="E868" s="3"/>
      <c r="F868" s="3"/>
      <c r="G868" s="3"/>
    </row>
    <row r="869">
      <c r="A869" s="343"/>
      <c r="B869" s="343"/>
      <c r="D869" s="300" t="s">
        <v>22</v>
      </c>
      <c r="E869" s="3"/>
      <c r="F869" s="3"/>
      <c r="G869" s="3"/>
    </row>
    <row r="870">
      <c r="A870" s="343"/>
      <c r="B870" s="343"/>
      <c r="D870" s="300" t="s">
        <v>22</v>
      </c>
      <c r="E870" s="3"/>
      <c r="F870" s="3"/>
      <c r="G870" s="3"/>
    </row>
    <row r="871">
      <c r="A871" s="343"/>
      <c r="B871" s="343"/>
      <c r="D871" s="300" t="s">
        <v>22</v>
      </c>
      <c r="E871" s="3"/>
      <c r="F871" s="3"/>
      <c r="G871" s="3"/>
    </row>
    <row r="872">
      <c r="A872" s="343"/>
      <c r="B872" s="343"/>
      <c r="D872" s="300" t="s">
        <v>22</v>
      </c>
      <c r="E872" s="3"/>
      <c r="F872" s="3"/>
      <c r="G872" s="3"/>
    </row>
    <row r="873">
      <c r="A873" s="343"/>
      <c r="B873" s="343"/>
      <c r="D873" s="300" t="s">
        <v>22</v>
      </c>
      <c r="E873" s="3"/>
      <c r="F873" s="3"/>
      <c r="G873" s="3"/>
    </row>
    <row r="874">
      <c r="A874" s="343"/>
      <c r="B874" s="343"/>
      <c r="D874" s="300" t="s">
        <v>22</v>
      </c>
      <c r="E874" s="3"/>
      <c r="F874" s="3"/>
      <c r="G874" s="3"/>
    </row>
    <row r="875">
      <c r="A875" s="343"/>
      <c r="B875" s="343"/>
      <c r="D875" s="300" t="s">
        <v>22</v>
      </c>
      <c r="E875" s="3"/>
      <c r="F875" s="3"/>
      <c r="G875" s="3"/>
    </row>
    <row r="876">
      <c r="A876" s="343"/>
      <c r="B876" s="343"/>
      <c r="D876" s="300" t="s">
        <v>22</v>
      </c>
      <c r="E876" s="3"/>
      <c r="F876" s="3"/>
      <c r="G876" s="3"/>
    </row>
    <row r="877">
      <c r="A877" s="343"/>
      <c r="B877" s="343"/>
      <c r="D877" s="300" t="s">
        <v>22</v>
      </c>
      <c r="E877" s="3"/>
      <c r="F877" s="3"/>
      <c r="G877" s="3"/>
    </row>
    <row r="878">
      <c r="A878" s="343"/>
      <c r="B878" s="343"/>
      <c r="D878" s="300" t="s">
        <v>22</v>
      </c>
      <c r="E878" s="3"/>
      <c r="F878" s="3"/>
      <c r="G878" s="3"/>
    </row>
    <row r="879">
      <c r="A879" s="343"/>
      <c r="B879" s="343"/>
      <c r="D879" s="300" t="s">
        <v>22</v>
      </c>
      <c r="E879" s="3"/>
      <c r="F879" s="3"/>
      <c r="G879" s="3"/>
    </row>
    <row r="880">
      <c r="A880" s="343"/>
      <c r="B880" s="343"/>
      <c r="D880" s="300" t="s">
        <v>22</v>
      </c>
      <c r="E880" s="3"/>
      <c r="F880" s="3"/>
      <c r="G880" s="3"/>
    </row>
    <row r="881">
      <c r="A881" s="343"/>
      <c r="B881" s="343"/>
      <c r="D881" s="300" t="s">
        <v>22</v>
      </c>
      <c r="E881" s="3"/>
      <c r="F881" s="3"/>
      <c r="G881" s="3"/>
    </row>
    <row r="882">
      <c r="A882" s="343"/>
      <c r="B882" s="343"/>
      <c r="D882" s="300" t="s">
        <v>22</v>
      </c>
      <c r="E882" s="3"/>
      <c r="F882" s="3"/>
      <c r="G882" s="3"/>
    </row>
    <row r="883">
      <c r="A883" s="343"/>
      <c r="B883" s="343"/>
      <c r="D883" s="300" t="s">
        <v>22</v>
      </c>
      <c r="E883" s="3"/>
      <c r="F883" s="3"/>
      <c r="G883" s="3"/>
    </row>
    <row r="884">
      <c r="A884" s="343"/>
      <c r="B884" s="343"/>
      <c r="D884" s="300" t="s">
        <v>22</v>
      </c>
      <c r="E884" s="3"/>
      <c r="F884" s="3"/>
      <c r="G884" s="3"/>
    </row>
    <row r="885">
      <c r="A885" s="343"/>
      <c r="B885" s="343"/>
      <c r="D885" s="300" t="s">
        <v>22</v>
      </c>
      <c r="E885" s="3"/>
      <c r="F885" s="3"/>
      <c r="G885" s="3"/>
    </row>
    <row r="886">
      <c r="A886" s="343"/>
      <c r="B886" s="343"/>
      <c r="D886" s="300" t="s">
        <v>22</v>
      </c>
      <c r="E886" s="3"/>
      <c r="F886" s="3"/>
      <c r="G886" s="3"/>
    </row>
    <row r="887">
      <c r="A887" s="343"/>
      <c r="B887" s="343"/>
      <c r="D887" s="300" t="s">
        <v>22</v>
      </c>
      <c r="E887" s="3"/>
      <c r="F887" s="3"/>
      <c r="G887" s="3"/>
    </row>
    <row r="888">
      <c r="A888" s="343"/>
      <c r="B888" s="343"/>
      <c r="D888" s="300" t="s">
        <v>22</v>
      </c>
      <c r="E888" s="3"/>
      <c r="F888" s="3"/>
      <c r="G888" s="3"/>
    </row>
    <row r="889">
      <c r="A889" s="343"/>
      <c r="B889" s="343"/>
      <c r="D889" s="300" t="s">
        <v>22</v>
      </c>
      <c r="E889" s="3"/>
      <c r="F889" s="3"/>
      <c r="G889" s="3"/>
    </row>
    <row r="890">
      <c r="A890" s="343"/>
      <c r="B890" s="343"/>
      <c r="D890" s="300" t="s">
        <v>22</v>
      </c>
      <c r="E890" s="3"/>
      <c r="F890" s="3"/>
      <c r="G890" s="3"/>
    </row>
    <row r="891">
      <c r="A891" s="343"/>
      <c r="B891" s="343"/>
      <c r="D891" s="300" t="s">
        <v>22</v>
      </c>
      <c r="E891" s="3"/>
      <c r="F891" s="3"/>
      <c r="G891" s="3"/>
    </row>
    <row r="892">
      <c r="A892" s="343"/>
      <c r="B892" s="343"/>
      <c r="D892" s="300" t="s">
        <v>22</v>
      </c>
      <c r="E892" s="3"/>
      <c r="F892" s="3"/>
      <c r="G892" s="3"/>
    </row>
    <row r="893">
      <c r="A893" s="343"/>
      <c r="B893" s="343"/>
      <c r="D893" s="300" t="s">
        <v>22</v>
      </c>
      <c r="E893" s="3"/>
      <c r="F893" s="3"/>
      <c r="G893" s="3"/>
    </row>
    <row r="894">
      <c r="A894" s="343"/>
      <c r="B894" s="343"/>
      <c r="D894" s="300" t="s">
        <v>22</v>
      </c>
      <c r="E894" s="3"/>
      <c r="F894" s="3"/>
      <c r="G894" s="3"/>
    </row>
    <row r="895">
      <c r="A895" s="343"/>
      <c r="B895" s="343"/>
      <c r="D895" s="300" t="s">
        <v>22</v>
      </c>
      <c r="E895" s="3"/>
      <c r="F895" s="3"/>
      <c r="G895" s="3"/>
    </row>
    <row r="896">
      <c r="A896" s="343"/>
      <c r="B896" s="343"/>
      <c r="D896" s="300" t="s">
        <v>22</v>
      </c>
      <c r="E896" s="3"/>
      <c r="F896" s="3"/>
      <c r="G896" s="3"/>
    </row>
    <row r="897">
      <c r="A897" s="343"/>
      <c r="B897" s="343"/>
      <c r="D897" s="300" t="s">
        <v>22</v>
      </c>
      <c r="E897" s="3"/>
      <c r="F897" s="3"/>
      <c r="G897" s="3"/>
    </row>
    <row r="898">
      <c r="A898" s="343"/>
      <c r="B898" s="343"/>
      <c r="D898" s="300" t="s">
        <v>22</v>
      </c>
      <c r="E898" s="3"/>
      <c r="F898" s="3"/>
      <c r="G898" s="3"/>
    </row>
    <row r="899">
      <c r="A899" s="343"/>
      <c r="B899" s="343"/>
      <c r="D899" s="300" t="s">
        <v>22</v>
      </c>
      <c r="E899" s="3"/>
      <c r="F899" s="3"/>
      <c r="G899" s="3"/>
    </row>
    <row r="900">
      <c r="A900" s="343"/>
      <c r="B900" s="343"/>
      <c r="D900" s="300" t="s">
        <v>22</v>
      </c>
      <c r="E900" s="3"/>
      <c r="F900" s="3"/>
      <c r="G900" s="3"/>
    </row>
    <row r="901">
      <c r="A901" s="343"/>
      <c r="B901" s="343"/>
      <c r="D901" s="300" t="s">
        <v>22</v>
      </c>
      <c r="E901" s="3"/>
      <c r="F901" s="3"/>
      <c r="G901" s="3"/>
    </row>
    <row r="902">
      <c r="A902" s="343"/>
      <c r="B902" s="343"/>
      <c r="D902" s="300" t="s">
        <v>22</v>
      </c>
      <c r="E902" s="3"/>
      <c r="F902" s="3"/>
      <c r="G902" s="3"/>
    </row>
    <row r="903">
      <c r="A903" s="343"/>
      <c r="B903" s="343"/>
      <c r="D903" s="300" t="s">
        <v>22</v>
      </c>
      <c r="E903" s="3"/>
      <c r="F903" s="3"/>
      <c r="G903" s="3"/>
    </row>
    <row r="904">
      <c r="A904" s="343"/>
      <c r="B904" s="343"/>
      <c r="D904" s="300" t="s">
        <v>22</v>
      </c>
      <c r="E904" s="3"/>
      <c r="F904" s="3"/>
      <c r="G904" s="3"/>
    </row>
    <row r="905">
      <c r="A905" s="343"/>
      <c r="B905" s="343"/>
      <c r="D905" s="300" t="s">
        <v>22</v>
      </c>
      <c r="E905" s="3"/>
      <c r="F905" s="3"/>
      <c r="G905" s="3"/>
    </row>
    <row r="906">
      <c r="A906" s="343"/>
      <c r="B906" s="343"/>
      <c r="D906" s="300" t="s">
        <v>22</v>
      </c>
      <c r="E906" s="3"/>
      <c r="F906" s="3"/>
      <c r="G906" s="3"/>
    </row>
    <row r="907">
      <c r="A907" s="343"/>
      <c r="B907" s="343"/>
      <c r="D907" s="300" t="s">
        <v>22</v>
      </c>
      <c r="E907" s="3"/>
      <c r="F907" s="3"/>
      <c r="G907" s="3"/>
    </row>
    <row r="908">
      <c r="A908" s="343"/>
      <c r="B908" s="343"/>
      <c r="D908" s="300" t="s">
        <v>22</v>
      </c>
      <c r="E908" s="3"/>
      <c r="F908" s="3"/>
      <c r="G908" s="3"/>
    </row>
    <row r="909">
      <c r="A909" s="343"/>
      <c r="B909" s="343"/>
      <c r="D909" s="300" t="s">
        <v>22</v>
      </c>
      <c r="E909" s="3"/>
      <c r="F909" s="3"/>
      <c r="G909" s="3"/>
    </row>
    <row r="910">
      <c r="A910" s="343"/>
      <c r="B910" s="343"/>
      <c r="D910" s="300" t="s">
        <v>22</v>
      </c>
      <c r="E910" s="3"/>
      <c r="F910" s="3"/>
      <c r="G910" s="3"/>
    </row>
    <row r="911">
      <c r="A911" s="343"/>
      <c r="B911" s="343"/>
      <c r="D911" s="300" t="s">
        <v>22</v>
      </c>
      <c r="E911" s="3"/>
      <c r="F911" s="3"/>
      <c r="G911" s="3"/>
    </row>
    <row r="912">
      <c r="A912" s="343"/>
      <c r="B912" s="343"/>
      <c r="D912" s="300" t="s">
        <v>22</v>
      </c>
      <c r="E912" s="3"/>
      <c r="F912" s="3"/>
      <c r="G912" s="3"/>
    </row>
    <row r="913">
      <c r="A913" s="343"/>
      <c r="B913" s="343"/>
      <c r="D913" s="300" t="s">
        <v>22</v>
      </c>
      <c r="E913" s="3"/>
      <c r="F913" s="3"/>
      <c r="G913" s="3"/>
    </row>
    <row r="914">
      <c r="A914" s="343"/>
      <c r="B914" s="343"/>
      <c r="D914" s="300" t="s">
        <v>22</v>
      </c>
      <c r="E914" s="3"/>
      <c r="F914" s="3"/>
      <c r="G914" s="3"/>
    </row>
    <row r="915">
      <c r="A915" s="343"/>
      <c r="B915" s="343"/>
      <c r="D915" s="300" t="s">
        <v>22</v>
      </c>
      <c r="E915" s="3"/>
      <c r="F915" s="3"/>
      <c r="G915" s="3"/>
    </row>
    <row r="916">
      <c r="A916" s="343"/>
      <c r="B916" s="343"/>
      <c r="D916" s="300" t="s">
        <v>22</v>
      </c>
      <c r="E916" s="3"/>
      <c r="F916" s="3"/>
      <c r="G916" s="3"/>
    </row>
    <row r="917">
      <c r="A917" s="343"/>
      <c r="B917" s="343"/>
      <c r="D917" s="300" t="s">
        <v>22</v>
      </c>
      <c r="E917" s="3"/>
      <c r="F917" s="3"/>
      <c r="G917" s="3"/>
    </row>
    <row r="918">
      <c r="A918" s="343"/>
      <c r="B918" s="343"/>
      <c r="D918" s="300" t="s">
        <v>22</v>
      </c>
      <c r="E918" s="3"/>
      <c r="F918" s="3"/>
      <c r="G918" s="3"/>
    </row>
    <row r="919">
      <c r="A919" s="343"/>
      <c r="B919" s="343"/>
      <c r="D919" s="300" t="s">
        <v>22</v>
      </c>
      <c r="E919" s="3"/>
      <c r="F919" s="3"/>
      <c r="G919" s="3"/>
    </row>
    <row r="920">
      <c r="A920" s="343"/>
      <c r="B920" s="343"/>
      <c r="D920" s="300" t="s">
        <v>22</v>
      </c>
      <c r="E920" s="3"/>
      <c r="F920" s="3"/>
      <c r="G920" s="3"/>
    </row>
    <row r="921">
      <c r="A921" s="343"/>
      <c r="B921" s="343"/>
      <c r="D921" s="300" t="s">
        <v>22</v>
      </c>
      <c r="E921" s="3"/>
      <c r="F921" s="3"/>
      <c r="G921" s="3"/>
    </row>
    <row r="922">
      <c r="A922" s="343"/>
      <c r="B922" s="343"/>
      <c r="D922" s="300" t="s">
        <v>22</v>
      </c>
      <c r="E922" s="3"/>
      <c r="F922" s="3"/>
      <c r="G922" s="3"/>
    </row>
    <row r="923">
      <c r="A923" s="343"/>
      <c r="B923" s="343"/>
      <c r="D923" s="300" t="s">
        <v>22</v>
      </c>
      <c r="E923" s="3"/>
      <c r="F923" s="3"/>
      <c r="G923" s="3"/>
    </row>
    <row r="924">
      <c r="A924" s="343"/>
      <c r="B924" s="343"/>
      <c r="D924" s="300" t="s">
        <v>22</v>
      </c>
      <c r="E924" s="3"/>
      <c r="F924" s="3"/>
      <c r="G924" s="3"/>
    </row>
    <row r="925">
      <c r="A925" s="343"/>
      <c r="B925" s="343"/>
      <c r="D925" s="300" t="s">
        <v>22</v>
      </c>
      <c r="E925" s="3"/>
      <c r="F925" s="3"/>
      <c r="G925" s="3"/>
    </row>
    <row r="926">
      <c r="A926" s="343"/>
      <c r="B926" s="343"/>
      <c r="D926" s="300" t="s">
        <v>22</v>
      </c>
      <c r="E926" s="3"/>
      <c r="F926" s="3"/>
      <c r="G926" s="3"/>
    </row>
    <row r="927">
      <c r="A927" s="343"/>
      <c r="B927" s="343"/>
      <c r="D927" s="300" t="s">
        <v>22</v>
      </c>
      <c r="E927" s="3"/>
      <c r="F927" s="3"/>
      <c r="G927" s="3"/>
    </row>
    <row r="928">
      <c r="A928" s="343"/>
      <c r="B928" s="343"/>
      <c r="D928" s="300" t="s">
        <v>22</v>
      </c>
      <c r="E928" s="3"/>
      <c r="F928" s="3"/>
      <c r="G928" s="3"/>
    </row>
    <row r="929">
      <c r="A929" s="343"/>
      <c r="B929" s="343"/>
      <c r="D929" s="300" t="s">
        <v>22</v>
      </c>
      <c r="E929" s="3"/>
      <c r="F929" s="3"/>
      <c r="G929" s="3"/>
    </row>
    <row r="930">
      <c r="A930" s="343"/>
      <c r="B930" s="343"/>
      <c r="D930" s="300" t="s">
        <v>22</v>
      </c>
      <c r="E930" s="3"/>
      <c r="F930" s="3"/>
      <c r="G930" s="3"/>
    </row>
    <row r="931">
      <c r="A931" s="343"/>
      <c r="B931" s="343"/>
      <c r="D931" s="300" t="s">
        <v>22</v>
      </c>
      <c r="E931" s="3"/>
      <c r="F931" s="3"/>
      <c r="G931" s="3"/>
    </row>
    <row r="932">
      <c r="A932" s="343"/>
      <c r="B932" s="343"/>
      <c r="D932" s="300" t="s">
        <v>22</v>
      </c>
      <c r="E932" s="3"/>
      <c r="F932" s="3"/>
      <c r="G932" s="3"/>
    </row>
    <row r="933">
      <c r="A933" s="343"/>
      <c r="B933" s="343"/>
      <c r="D933" s="300" t="s">
        <v>22</v>
      </c>
      <c r="E933" s="3"/>
      <c r="F933" s="3"/>
      <c r="G933" s="3"/>
    </row>
    <row r="934">
      <c r="A934" s="343"/>
      <c r="B934" s="343"/>
      <c r="D934" s="300" t="s">
        <v>22</v>
      </c>
      <c r="E934" s="3"/>
      <c r="F934" s="3"/>
      <c r="G934" s="3"/>
    </row>
    <row r="935">
      <c r="A935" s="343"/>
      <c r="B935" s="343"/>
      <c r="D935" s="300" t="s">
        <v>22</v>
      </c>
      <c r="E935" s="3"/>
      <c r="F935" s="3"/>
      <c r="G935" s="3"/>
    </row>
    <row r="936">
      <c r="A936" s="343"/>
      <c r="B936" s="343"/>
      <c r="D936" s="300" t="s">
        <v>22</v>
      </c>
      <c r="E936" s="3"/>
      <c r="F936" s="3"/>
      <c r="G936" s="3"/>
    </row>
    <row r="937">
      <c r="A937" s="343"/>
      <c r="B937" s="343"/>
      <c r="D937" s="300" t="s">
        <v>22</v>
      </c>
      <c r="E937" s="3"/>
      <c r="F937" s="3"/>
      <c r="G937" s="3"/>
    </row>
    <row r="938">
      <c r="A938" s="343"/>
      <c r="B938" s="343"/>
      <c r="D938" s="300" t="s">
        <v>22</v>
      </c>
      <c r="E938" s="3"/>
      <c r="F938" s="3"/>
      <c r="G938" s="3"/>
    </row>
    <row r="939">
      <c r="A939" s="343"/>
      <c r="B939" s="343"/>
      <c r="D939" s="300" t="s">
        <v>22</v>
      </c>
      <c r="E939" s="3"/>
      <c r="F939" s="3"/>
      <c r="G939" s="3"/>
    </row>
    <row r="940">
      <c r="A940" s="343"/>
      <c r="B940" s="343"/>
      <c r="D940" s="300" t="s">
        <v>22</v>
      </c>
      <c r="E940" s="3"/>
      <c r="F940" s="3"/>
      <c r="G940" s="3"/>
    </row>
    <row r="941">
      <c r="A941" s="343"/>
      <c r="B941" s="343"/>
      <c r="D941" s="300" t="s">
        <v>22</v>
      </c>
      <c r="E941" s="3"/>
      <c r="F941" s="3"/>
      <c r="G941" s="3"/>
    </row>
    <row r="942">
      <c r="A942" s="343"/>
      <c r="B942" s="343"/>
      <c r="D942" s="300" t="s">
        <v>22</v>
      </c>
      <c r="E942" s="3"/>
      <c r="F942" s="3"/>
      <c r="G942" s="3"/>
    </row>
    <row r="943">
      <c r="A943" s="343"/>
      <c r="B943" s="343"/>
      <c r="D943" s="300" t="s">
        <v>22</v>
      </c>
      <c r="E943" s="3"/>
      <c r="F943" s="3"/>
      <c r="G943" s="3"/>
    </row>
    <row r="944">
      <c r="A944" s="343"/>
      <c r="B944" s="343"/>
      <c r="D944" s="300" t="s">
        <v>22</v>
      </c>
      <c r="E944" s="3"/>
      <c r="F944" s="3"/>
      <c r="G944" s="3"/>
    </row>
    <row r="945">
      <c r="A945" s="343"/>
      <c r="B945" s="343"/>
      <c r="D945" s="300" t="s">
        <v>22</v>
      </c>
      <c r="E945" s="3"/>
      <c r="F945" s="3"/>
      <c r="G945" s="3"/>
    </row>
    <row r="946">
      <c r="A946" s="343"/>
      <c r="B946" s="343"/>
      <c r="D946" s="300" t="s">
        <v>22</v>
      </c>
      <c r="E946" s="3"/>
      <c r="F946" s="3"/>
      <c r="G946" s="3"/>
    </row>
    <row r="947">
      <c r="A947" s="343"/>
      <c r="B947" s="343"/>
      <c r="D947" s="300" t="s">
        <v>22</v>
      </c>
      <c r="E947" s="3"/>
      <c r="F947" s="3"/>
      <c r="G947" s="3"/>
    </row>
    <row r="948">
      <c r="A948" s="343"/>
      <c r="B948" s="343"/>
      <c r="D948" s="300" t="s">
        <v>22</v>
      </c>
      <c r="E948" s="3"/>
      <c r="F948" s="3"/>
      <c r="G948" s="3"/>
    </row>
    <row r="949">
      <c r="A949" s="343"/>
      <c r="B949" s="343"/>
      <c r="D949" s="300" t="s">
        <v>22</v>
      </c>
      <c r="E949" s="3"/>
      <c r="F949" s="3"/>
      <c r="G949" s="3"/>
    </row>
    <row r="950">
      <c r="A950" s="343"/>
      <c r="B950" s="343"/>
      <c r="D950" s="300" t="s">
        <v>22</v>
      </c>
      <c r="E950" s="3"/>
      <c r="F950" s="3"/>
      <c r="G950" s="3"/>
    </row>
    <row r="951">
      <c r="A951" s="343"/>
      <c r="B951" s="343"/>
      <c r="D951" s="300" t="s">
        <v>22</v>
      </c>
      <c r="E951" s="3"/>
      <c r="F951" s="3"/>
      <c r="G951" s="3"/>
    </row>
    <row r="952">
      <c r="A952" s="343"/>
      <c r="B952" s="343"/>
      <c r="D952" s="300" t="s">
        <v>22</v>
      </c>
      <c r="E952" s="3"/>
      <c r="F952" s="3"/>
      <c r="G952" s="3"/>
    </row>
    <row r="953">
      <c r="A953" s="343"/>
      <c r="B953" s="343"/>
      <c r="D953" s="300" t="s">
        <v>22</v>
      </c>
      <c r="E953" s="3"/>
      <c r="F953" s="3"/>
      <c r="G953" s="3"/>
    </row>
    <row r="954">
      <c r="A954" s="343"/>
      <c r="B954" s="343"/>
      <c r="D954" s="300" t="s">
        <v>22</v>
      </c>
      <c r="E954" s="3"/>
      <c r="F954" s="3"/>
      <c r="G954" s="3"/>
    </row>
    <row r="955">
      <c r="A955" s="343"/>
      <c r="B955" s="343"/>
      <c r="D955" s="300" t="s">
        <v>22</v>
      </c>
      <c r="E955" s="3"/>
      <c r="F955" s="3"/>
      <c r="G955" s="3"/>
    </row>
    <row r="956">
      <c r="A956" s="343"/>
      <c r="B956" s="343"/>
      <c r="D956" s="300" t="s">
        <v>22</v>
      </c>
      <c r="E956" s="3"/>
      <c r="F956" s="3"/>
      <c r="G956" s="3"/>
    </row>
    <row r="957">
      <c r="A957" s="343"/>
      <c r="B957" s="343"/>
      <c r="D957" s="300" t="s">
        <v>22</v>
      </c>
      <c r="E957" s="3"/>
      <c r="F957" s="3"/>
      <c r="G957" s="3"/>
    </row>
    <row r="958">
      <c r="A958" s="343"/>
      <c r="B958" s="343"/>
      <c r="D958" s="300" t="s">
        <v>22</v>
      </c>
      <c r="E958" s="3"/>
      <c r="F958" s="3"/>
      <c r="G958" s="3"/>
    </row>
    <row r="959">
      <c r="A959" s="343"/>
      <c r="B959" s="343"/>
      <c r="D959" s="300" t="s">
        <v>22</v>
      </c>
      <c r="E959" s="3"/>
      <c r="F959" s="3"/>
      <c r="G959" s="3"/>
    </row>
    <row r="960">
      <c r="A960" s="343"/>
      <c r="B960" s="343"/>
      <c r="D960" s="300" t="s">
        <v>22</v>
      </c>
      <c r="E960" s="3"/>
      <c r="F960" s="3"/>
      <c r="G960" s="3"/>
    </row>
    <row r="961">
      <c r="A961" s="343"/>
      <c r="B961" s="343"/>
      <c r="D961" s="300" t="s">
        <v>22</v>
      </c>
      <c r="E961" s="3"/>
      <c r="F961" s="3"/>
      <c r="G961" s="3"/>
    </row>
    <row r="962">
      <c r="A962" s="343"/>
      <c r="B962" s="343"/>
      <c r="D962" s="300" t="s">
        <v>22</v>
      </c>
      <c r="E962" s="3"/>
      <c r="F962" s="3"/>
      <c r="G962" s="3"/>
    </row>
    <row r="963">
      <c r="A963" s="343"/>
      <c r="B963" s="343"/>
      <c r="D963" s="300" t="s">
        <v>22</v>
      </c>
      <c r="E963" s="3"/>
      <c r="F963" s="3"/>
      <c r="G963" s="3"/>
    </row>
    <row r="964">
      <c r="A964" s="343"/>
      <c r="B964" s="343"/>
      <c r="D964" s="300" t="s">
        <v>22</v>
      </c>
      <c r="E964" s="3"/>
      <c r="F964" s="3"/>
      <c r="G964" s="3"/>
    </row>
    <row r="965">
      <c r="A965" s="343"/>
      <c r="B965" s="343"/>
      <c r="D965" s="300" t="s">
        <v>22</v>
      </c>
      <c r="E965" s="3"/>
      <c r="F965" s="3"/>
      <c r="G965" s="3"/>
    </row>
    <row r="966">
      <c r="A966" s="343"/>
      <c r="B966" s="343"/>
      <c r="D966" s="300" t="s">
        <v>22</v>
      </c>
      <c r="E966" s="3"/>
      <c r="F966" s="3"/>
      <c r="G966" s="3"/>
    </row>
    <row r="967">
      <c r="A967" s="343"/>
      <c r="B967" s="343"/>
      <c r="D967" s="300" t="s">
        <v>22</v>
      </c>
      <c r="E967" s="3"/>
      <c r="F967" s="3"/>
      <c r="G967" s="3"/>
    </row>
    <row r="968">
      <c r="A968" s="343"/>
      <c r="B968" s="343"/>
      <c r="D968" s="300" t="s">
        <v>22</v>
      </c>
      <c r="E968" s="3"/>
      <c r="F968" s="3"/>
      <c r="G968" s="3"/>
    </row>
    <row r="969">
      <c r="A969" s="343"/>
      <c r="B969" s="343"/>
      <c r="D969" s="300" t="s">
        <v>22</v>
      </c>
      <c r="E969" s="3"/>
      <c r="F969" s="3"/>
      <c r="G969" s="3"/>
    </row>
    <row r="970">
      <c r="A970" s="343"/>
      <c r="B970" s="343"/>
      <c r="D970" s="300" t="s">
        <v>22</v>
      </c>
      <c r="E970" s="3"/>
      <c r="F970" s="3"/>
      <c r="G970" s="3"/>
    </row>
    <row r="971">
      <c r="A971" s="343"/>
      <c r="B971" s="343"/>
      <c r="D971" s="300" t="s">
        <v>22</v>
      </c>
      <c r="E971" s="3"/>
      <c r="F971" s="3"/>
      <c r="G971" s="3"/>
    </row>
    <row r="972">
      <c r="A972" s="343"/>
      <c r="B972" s="343"/>
      <c r="D972" s="300" t="s">
        <v>22</v>
      </c>
      <c r="E972" s="3"/>
      <c r="F972" s="3"/>
      <c r="G972" s="3"/>
    </row>
    <row r="973">
      <c r="A973" s="343"/>
      <c r="B973" s="343"/>
      <c r="D973" s="300" t="s">
        <v>22</v>
      </c>
      <c r="E973" s="3"/>
      <c r="F973" s="3"/>
      <c r="G973" s="3"/>
    </row>
    <row r="974">
      <c r="A974" s="343"/>
      <c r="B974" s="343"/>
      <c r="D974" s="300" t="s">
        <v>22</v>
      </c>
      <c r="E974" s="3"/>
      <c r="F974" s="3"/>
      <c r="G974" s="3"/>
    </row>
    <row r="975">
      <c r="A975" s="343"/>
      <c r="B975" s="343"/>
      <c r="D975" s="300" t="s">
        <v>22</v>
      </c>
      <c r="E975" s="3"/>
      <c r="F975" s="3"/>
      <c r="G975" s="3"/>
    </row>
    <row r="976">
      <c r="A976" s="343"/>
      <c r="B976" s="343"/>
      <c r="D976" s="300" t="s">
        <v>22</v>
      </c>
      <c r="E976" s="3"/>
      <c r="F976" s="3"/>
      <c r="G976" s="3"/>
    </row>
    <row r="977">
      <c r="A977" s="343"/>
      <c r="B977" s="343"/>
      <c r="D977" s="300" t="s">
        <v>22</v>
      </c>
      <c r="E977" s="3"/>
      <c r="F977" s="3"/>
      <c r="G977" s="3"/>
    </row>
    <row r="978">
      <c r="A978" s="343"/>
      <c r="B978" s="343"/>
      <c r="D978" s="300" t="s">
        <v>22</v>
      </c>
      <c r="E978" s="3"/>
      <c r="F978" s="3"/>
      <c r="G978" s="3"/>
    </row>
    <row r="979">
      <c r="A979" s="343"/>
      <c r="B979" s="343"/>
      <c r="D979" s="300" t="s">
        <v>22</v>
      </c>
      <c r="E979" s="3"/>
      <c r="F979" s="3"/>
      <c r="G979" s="3"/>
    </row>
    <row r="980">
      <c r="A980" s="343"/>
      <c r="B980" s="343"/>
      <c r="D980" s="300" t="s">
        <v>22</v>
      </c>
      <c r="E980" s="3"/>
      <c r="F980" s="3"/>
      <c r="G980" s="3"/>
    </row>
    <row r="981">
      <c r="A981" s="343"/>
      <c r="B981" s="343"/>
      <c r="D981" s="300" t="s">
        <v>22</v>
      </c>
      <c r="E981" s="3"/>
      <c r="F981" s="3"/>
      <c r="G981" s="3"/>
    </row>
    <row r="982">
      <c r="A982" s="343"/>
      <c r="B982" s="343"/>
      <c r="D982" s="300" t="s">
        <v>22</v>
      </c>
      <c r="E982" s="3"/>
      <c r="F982" s="3"/>
      <c r="G982" s="3"/>
    </row>
    <row r="983">
      <c r="A983" s="343"/>
      <c r="B983" s="343"/>
      <c r="D983" s="300" t="s">
        <v>22</v>
      </c>
      <c r="E983" s="3"/>
      <c r="F983" s="3"/>
      <c r="G983" s="3"/>
    </row>
    <row r="984">
      <c r="A984" s="343"/>
      <c r="B984" s="343"/>
      <c r="D984" s="300" t="s">
        <v>22</v>
      </c>
      <c r="E984" s="3"/>
      <c r="F984" s="3"/>
      <c r="G984" s="3"/>
    </row>
    <row r="985">
      <c r="A985" s="343"/>
      <c r="B985" s="343"/>
      <c r="D985" s="300" t="s">
        <v>22</v>
      </c>
      <c r="E985" s="3"/>
      <c r="F985" s="3"/>
      <c r="G985" s="3"/>
    </row>
    <row r="986">
      <c r="A986" s="343"/>
      <c r="B986" s="343"/>
      <c r="D986" s="300" t="s">
        <v>22</v>
      </c>
      <c r="E986" s="3"/>
      <c r="F986" s="3"/>
      <c r="G986" s="3"/>
    </row>
    <row r="987">
      <c r="A987" s="343"/>
      <c r="B987" s="343"/>
      <c r="D987" s="300" t="s">
        <v>22</v>
      </c>
      <c r="E987" s="3"/>
      <c r="F987" s="3"/>
      <c r="G987" s="3"/>
    </row>
    <row r="988">
      <c r="A988" s="343"/>
      <c r="B988" s="343"/>
      <c r="D988" s="300" t="s">
        <v>22</v>
      </c>
      <c r="E988" s="3"/>
      <c r="F988" s="3"/>
      <c r="G988" s="3"/>
    </row>
    <row r="989">
      <c r="A989" s="343"/>
      <c r="B989" s="343"/>
      <c r="D989" s="300" t="s">
        <v>22</v>
      </c>
      <c r="E989" s="3"/>
      <c r="F989" s="3"/>
      <c r="G989" s="3"/>
    </row>
    <row r="990">
      <c r="A990" s="343"/>
      <c r="B990" s="343"/>
      <c r="D990" s="300" t="s">
        <v>22</v>
      </c>
      <c r="E990" s="3"/>
      <c r="F990" s="3"/>
      <c r="G990" s="3"/>
    </row>
    <row r="991">
      <c r="A991" s="343"/>
      <c r="B991" s="343"/>
      <c r="D991" s="300" t="s">
        <v>22</v>
      </c>
      <c r="E991" s="3"/>
      <c r="F991" s="3"/>
      <c r="G991" s="3"/>
    </row>
    <row r="992">
      <c r="A992" s="343"/>
      <c r="B992" s="343"/>
      <c r="D992" s="300" t="s">
        <v>22</v>
      </c>
      <c r="E992" s="3"/>
      <c r="F992" s="3"/>
      <c r="G992" s="3"/>
    </row>
    <row r="993">
      <c r="A993" s="343"/>
      <c r="B993" s="343"/>
      <c r="D993" s="300" t="s">
        <v>22</v>
      </c>
      <c r="E993" s="3"/>
      <c r="F993" s="3"/>
      <c r="G993" s="3"/>
    </row>
    <row r="994">
      <c r="A994" s="343"/>
      <c r="B994" s="343"/>
      <c r="D994" s="300" t="s">
        <v>22</v>
      </c>
      <c r="E994" s="3"/>
      <c r="F994" s="3"/>
      <c r="G994" s="3"/>
    </row>
    <row r="995">
      <c r="A995" s="343"/>
      <c r="B995" s="343"/>
      <c r="D995" s="300" t="s">
        <v>22</v>
      </c>
      <c r="E995" s="3"/>
      <c r="F995" s="3"/>
      <c r="G995" s="3"/>
    </row>
    <row r="996">
      <c r="A996" s="343"/>
      <c r="B996" s="343"/>
      <c r="D996" s="300" t="s">
        <v>22</v>
      </c>
      <c r="E996" s="3"/>
      <c r="F996" s="3"/>
      <c r="G996" s="3"/>
    </row>
    <row r="997">
      <c r="A997" s="343"/>
      <c r="B997" s="343"/>
      <c r="D997" s="300" t="s">
        <v>22</v>
      </c>
      <c r="E997" s="3"/>
      <c r="F997" s="3"/>
      <c r="G997" s="3"/>
    </row>
    <row r="998">
      <c r="A998" s="343"/>
      <c r="B998" s="343"/>
      <c r="D998" s="300" t="s">
        <v>22</v>
      </c>
      <c r="E998" s="3"/>
      <c r="F998" s="3"/>
      <c r="G998" s="3"/>
    </row>
    <row r="999">
      <c r="A999" s="343"/>
      <c r="B999" s="343"/>
      <c r="D999" s="300" t="s">
        <v>22</v>
      </c>
      <c r="E999" s="3"/>
      <c r="F999" s="3"/>
      <c r="G999" s="3"/>
    </row>
    <row r="1000">
      <c r="A1000" s="343"/>
      <c r="B1000" s="343"/>
      <c r="D1000" s="300" t="s">
        <v>22</v>
      </c>
      <c r="E1000" s="3"/>
      <c r="F1000" s="3"/>
      <c r="G1000" s="3"/>
    </row>
  </sheetData>
  <dataValidations>
    <dataValidation type="list" allowBlank="1" showErrorMessage="1" sqref="C2:C1000">
      <formula1>Students!$C$3:$C1000</formula1>
    </dataValidation>
    <dataValidation type="custom" allowBlank="1" showDropDown="1" showErrorMessage="1" sqref="E2:G1000">
      <formula1>OR(NOT(ISERROR(DATEVALUE(E2))), AND(ISNUMBER(E2), LEFT(CELL("format", E2))="D"))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37.13"/>
    <col customWidth="1" min="3" max="4" width="14.13"/>
    <col customWidth="1" min="5" max="5" width="26.13"/>
    <col customWidth="1" min="6" max="7" width="14.5"/>
    <col customWidth="1" min="8" max="8" width="16.63"/>
    <col customWidth="1" min="9" max="9" width="24.75"/>
    <col customWidth="1" min="10" max="11" width="30.75"/>
  </cols>
  <sheetData>
    <row r="1">
      <c r="A1" s="352" t="str">
        <f t="array" ref="A1:A981">if(ROW(A:A)=1,"Código",if(K:K="","",row(A:A)-1))</f>
        <v>Código</v>
      </c>
      <c r="B1" s="353" t="s">
        <v>753</v>
      </c>
      <c r="C1" s="354" t="str">
        <f t="array" ref="C1:C981">if(ROW(C:C)=1,"ID",if(B:B="","",xlookup(B:B,Students!C:C,Students!B:B)))</f>
        <v>ID</v>
      </c>
      <c r="D1" s="354" t="str">
        <f t="array" ref="D1:D981">if(ROW(D:D)=1,"Grade next year (automated)",if(B:B="","",vlookup(B:B,{Students!$C:$C,Students!$A:$A},2,false)))</f>
        <v>Grade next year (automated)</v>
      </c>
      <c r="E1" s="353" t="s">
        <v>754</v>
      </c>
      <c r="F1" s="354" t="str">
        <f t="array" ref="F1:F981">if(ROW(C:C)=1,"ID",if(E:E="","",xlookup(E:E,Students!C:C,Students!B:B)))</f>
        <v>ID</v>
      </c>
      <c r="G1" s="354" t="str">
        <f t="array" ref="G1:G981">if(ROW(G:G)=1,"Grade next year (automated)",if(E:E="","",vlookup(E:E,{Students!$C:$C,Students!$A:$A},2,false)))</f>
        <v>Grade next year (automated)</v>
      </c>
      <c r="H1" s="353" t="s">
        <v>755</v>
      </c>
      <c r="I1" s="334" t="s">
        <v>756</v>
      </c>
      <c r="J1" s="334" t="s">
        <v>757</v>
      </c>
      <c r="K1" s="334" t="s">
        <v>758</v>
      </c>
    </row>
    <row r="2">
      <c r="A2" s="355">
        <v>1.0</v>
      </c>
      <c r="B2" s="295" t="s">
        <v>339</v>
      </c>
      <c r="C2" s="300">
        <v>28025.0</v>
      </c>
      <c r="D2" s="300">
        <v>10.0</v>
      </c>
      <c r="E2" s="45" t="s">
        <v>353</v>
      </c>
      <c r="F2" s="300">
        <v>28062.0</v>
      </c>
      <c r="G2" s="300">
        <v>10.0</v>
      </c>
      <c r="H2" s="45" t="s">
        <v>759</v>
      </c>
      <c r="I2" s="356" t="str">
        <f>IFERROR(__xludf.DUMMYFUNCTION("if(H2=""Must be Together"",iferror(join("", "",unique(filter({filter('Students (Vertical)'!O:O,'Students (Vertical)'!C:C=B2,'Students (Vertical)'!O:O&lt;&gt;"""");filter('Students (Vertical)'!O:O,'Students (Vertical)'!C:C=E2,'Students (Vertical)'!O:O&lt;&gt;"""")},co"&amp;"untifs({filter('Students (Vertical)'!O:O,'Students (Vertical)'!C:C=B2,'Students (Vertical)'!O:O&lt;&gt;"""");filter('Students (Vertical)'!O:O,'Students (Vertical)'!C:C=E2,'Students (Vertical)'!O:O&lt;&gt;"""")},{filter('Students (Vertical)'!O:O,'Students (Vertical)'!"&amp;"C:C=B2,'Students (Vertical)'!O:O&lt;&gt;"""");filter('Students (Vertical)'!O:O,'Students (Vertical)'!C:C=E2,'Students (Vertical)'!O:O&lt;&gt;"""")})&gt;1))),""No shared courses""),"""")"),"")</f>
        <v/>
      </c>
      <c r="J2" s="357" t="str">
        <f>IFERROR(__xludf.DUMMYFUNCTION("if(H2=""Can't be Together"",iferror(join("", "",unique(filter({filter('Students (Vertical)'!O:O,'Students (Vertical)'!C:C=B2,'Students (Vertical)'!O:O&lt;&gt;"""",'Students (Vertical)'!P:P&gt;1);filter('Students (Vertical)'!O:O,'Students (Vertical)'!C:C=E2,'Studen"&amp;"ts (Vertical)'!O:O&lt;&gt;"""",'Students (Vertical)'!P:P&gt;1)},countifs({filter('Students (Vertical)'!O:O,'Students (Vertical)'!C:C=B2,'Students (Vertical)'!O:O&lt;&gt;"""",'Students (Vertical)'!P:P&gt;1);filter('Students (Vertical)'!O:O,'Students (Vertical)'!C:C=E2,'Stud"&amp;"ents (Vertical)'!O:O&lt;&gt;"""",'Students (Vertical)'!P:P&gt;1)},{filter('Students (Vertical)'!O:O,'Students (Vertical)'!C:C=B2,'Students (Vertical)'!O:O&lt;&gt;"""",'Students (Vertical)'!P:P&gt;1);filter('Students (Vertical)'!O:O,'Students (Vertical)'!C:C=E2,'Students (V"&amp;"ertical)'!O:O&lt;&gt;"""",'Students (Vertical)'!P:P&gt;1)})&gt;1))),""""),"""")"),"")</f>
        <v/>
      </c>
      <c r="K2" s="358" t="str">
        <f>IFERROR(__xludf.DUMMYFUNCTION("iferror(join("", "",unique(filter({filter('Students (Vertical)'!D:D,'Students (Vertical)'!C:C=B2,'Students (Vertical)'!D:D&lt;&gt;"""");filter('Students (Vertical)'!D:D,'Students (Vertical)'!C:C=E2,'Students (Vertical)'!D:D&lt;&gt;"""")},countifs({filter('Students (V"&amp;"ertical)'!D:D,'Students (Vertical)'!C:C=B2,'Students (Vertical)'!D:D&lt;&gt;"""");filter('Students (Vertical)'!D:D,'Students (Vertical)'!C:C=E2,'Students (Vertical)'!D:D&lt;&gt;"""")},{filter('Students (Vertical)'!D:D,'Students (Vertical)'!C:C=B2,'Students (Vertical)"&amp;"'!D:D&lt;&gt;"""");filter('Students (Vertical)'!D:D,'Students (Vertical)'!C:C=E2,'Students (Vertical)'!D:D&lt;&gt;"""")})&gt;1))),"""")"),"AP Seminar, AP Spanish Language and Culture, Chemistry, PE 10, Sociales 10")</f>
        <v>AP Seminar, AP Spanish Language and Culture, Chemistry, PE 10, Sociales 10</v>
      </c>
    </row>
    <row r="3">
      <c r="A3" s="355">
        <v>2.0</v>
      </c>
      <c r="B3" s="45" t="s">
        <v>339</v>
      </c>
      <c r="C3" s="300">
        <v>28025.0</v>
      </c>
      <c r="D3" s="300">
        <v>10.0</v>
      </c>
      <c r="E3" s="45" t="s">
        <v>408</v>
      </c>
      <c r="F3" s="300">
        <v>28070.0</v>
      </c>
      <c r="G3" s="300">
        <v>10.0</v>
      </c>
      <c r="H3" s="45" t="s">
        <v>759</v>
      </c>
      <c r="I3" s="356" t="str">
        <f>IFERROR(__xludf.DUMMYFUNCTION("if(H3=""Must be Together"",iferror(join("", "",unique(filter({filter('Students (Vertical)'!O:O,'Students (Vertical)'!C:C=B3,'Students (Vertical)'!O:O&lt;&gt;"""");filter('Students (Vertical)'!O:O,'Students (Vertical)'!C:C=E3,'Students (Vertical)'!O:O&lt;&gt;"""")},co"&amp;"untifs({filter('Students (Vertical)'!O:O,'Students (Vertical)'!C:C=B3,'Students (Vertical)'!O:O&lt;&gt;"""");filter('Students (Vertical)'!O:O,'Students (Vertical)'!C:C=E3,'Students (Vertical)'!O:O&lt;&gt;"""")},{filter('Students (Vertical)'!O:O,'Students (Vertical)'!"&amp;"C:C=B3,'Students (Vertical)'!O:O&lt;&gt;"""");filter('Students (Vertical)'!O:O,'Students (Vertical)'!C:C=E3,'Students (Vertical)'!O:O&lt;&gt;"""")})&gt;1))),""No shared courses""),"""")"),"")</f>
        <v/>
      </c>
      <c r="J3" s="357" t="str">
        <f>IFERROR(__xludf.DUMMYFUNCTION("if(H3=""Can't be Together"",iferror(join("", "",unique(filter({filter('Students (Vertical)'!O:O,'Students (Vertical)'!C:C=B3,'Students (Vertical)'!O:O&lt;&gt;"""",'Students (Vertical)'!P:P&gt;1);filter('Students (Vertical)'!O:O,'Students (Vertical)'!C:C=E3,'Studen"&amp;"ts (Vertical)'!O:O&lt;&gt;"""",'Students (Vertical)'!P:P&gt;1)},countifs({filter('Students (Vertical)'!O:O,'Students (Vertical)'!C:C=B3,'Students (Vertical)'!O:O&lt;&gt;"""",'Students (Vertical)'!P:P&gt;1);filter('Students (Vertical)'!O:O,'Students (Vertical)'!C:C=E3,'Stud"&amp;"ents (Vertical)'!O:O&lt;&gt;"""",'Students (Vertical)'!P:P&gt;1)},{filter('Students (Vertical)'!O:O,'Students (Vertical)'!C:C=B3,'Students (Vertical)'!O:O&lt;&gt;"""",'Students (Vertical)'!P:P&gt;1);filter('Students (Vertical)'!O:O,'Students (Vertical)'!C:C=E3,'Students (V"&amp;"ertical)'!O:O&lt;&gt;"""",'Students (Vertical)'!P:P&gt;1)})&gt;1))),""""),"""")"),"")</f>
        <v/>
      </c>
      <c r="K3" s="358" t="str">
        <f>IFERROR(__xludf.DUMMYFUNCTION("iferror(join("", "",unique(filter({filter('Students (Vertical)'!D:D,'Students (Vertical)'!C:C=B3,'Students (Vertical)'!D:D&lt;&gt;"""");filter('Students (Vertical)'!D:D,'Students (Vertical)'!C:C=E3,'Students (Vertical)'!D:D&lt;&gt;"""")},countifs({filter('Students (V"&amp;"ertical)'!D:D,'Students (Vertical)'!C:C=B3,'Students (Vertical)'!D:D&lt;&gt;"""");filter('Students (Vertical)'!D:D,'Students (Vertical)'!C:C=E3,'Students (Vertical)'!D:D&lt;&gt;"""")},{filter('Students (Vertical)'!D:D,'Students (Vertical)'!C:C=B3,'Students (Vertical)"&amp;"'!D:D&lt;&gt;"""");filter('Students (Vertical)'!D:D,'Students (Vertical)'!C:C=E3,'Students (Vertical)'!D:D&lt;&gt;"""")})&gt;1))),"""")"),"AP Spanish Language and Culture, Geometry, Chemistry, PE 10, Global, Sociales 10")</f>
        <v>AP Spanish Language and Culture, Geometry, Chemistry, PE 10, Global, Sociales 10</v>
      </c>
    </row>
    <row r="4">
      <c r="A4" s="355">
        <v>3.0</v>
      </c>
      <c r="B4" s="45" t="s">
        <v>284</v>
      </c>
      <c r="C4" s="300">
        <v>28042.0</v>
      </c>
      <c r="D4" s="300">
        <v>10.0</v>
      </c>
      <c r="E4" s="45" t="s">
        <v>344</v>
      </c>
      <c r="F4" s="300">
        <v>28044.0</v>
      </c>
      <c r="G4" s="300">
        <v>10.0</v>
      </c>
      <c r="H4" s="45" t="s">
        <v>759</v>
      </c>
      <c r="I4" s="356" t="str">
        <f>IFERROR(__xludf.DUMMYFUNCTION("if(H4=""Must be Together"",iferror(join("", "",unique(filter({filter('Students (Vertical)'!O:O,'Students (Vertical)'!C:C=B4,'Students (Vertical)'!O:O&lt;&gt;"""");filter('Students (Vertical)'!O:O,'Students (Vertical)'!C:C=E4,'Students (Vertical)'!O:O&lt;&gt;"""")},co"&amp;"untifs({filter('Students (Vertical)'!O:O,'Students (Vertical)'!C:C=B4,'Students (Vertical)'!O:O&lt;&gt;"""");filter('Students (Vertical)'!O:O,'Students (Vertical)'!C:C=E4,'Students (Vertical)'!O:O&lt;&gt;"""")},{filter('Students (Vertical)'!O:O,'Students (Vertical)'!"&amp;"C:C=B4,'Students (Vertical)'!O:O&lt;&gt;"""");filter('Students (Vertical)'!O:O,'Students (Vertical)'!C:C=E4,'Students (Vertical)'!O:O&lt;&gt;"""")})&gt;1))),""No shared courses""),"""")"),"")</f>
        <v/>
      </c>
      <c r="J4" s="357" t="str">
        <f>IFERROR(__xludf.DUMMYFUNCTION("if(H4=""Can't be Together"",iferror(join("", "",unique(filter({filter('Students (Vertical)'!O:O,'Students (Vertical)'!C:C=B4,'Students (Vertical)'!O:O&lt;&gt;"""",'Students (Vertical)'!P:P&gt;1);filter('Students (Vertical)'!O:O,'Students (Vertical)'!C:C=E4,'Studen"&amp;"ts (Vertical)'!O:O&lt;&gt;"""",'Students (Vertical)'!P:P&gt;1)},countifs({filter('Students (Vertical)'!O:O,'Students (Vertical)'!C:C=B4,'Students (Vertical)'!O:O&lt;&gt;"""",'Students (Vertical)'!P:P&gt;1);filter('Students (Vertical)'!O:O,'Students (Vertical)'!C:C=E4,'Stud"&amp;"ents (Vertical)'!O:O&lt;&gt;"""",'Students (Vertical)'!P:P&gt;1)},{filter('Students (Vertical)'!O:O,'Students (Vertical)'!C:C=B4,'Students (Vertical)'!O:O&lt;&gt;"""",'Students (Vertical)'!P:P&gt;1);filter('Students (Vertical)'!O:O,'Students (Vertical)'!C:C=E4,'Students (V"&amp;"ertical)'!O:O&lt;&gt;"""",'Students (Vertical)'!P:P&gt;1)})&gt;1))),""""),"""")"),"")</f>
        <v/>
      </c>
      <c r="K4" s="358" t="str">
        <f>IFERROR(__xludf.DUMMYFUNCTION("iferror(join("", "",unique(filter({filter('Students (Vertical)'!D:D,'Students (Vertical)'!C:C=B4,'Students (Vertical)'!D:D&lt;&gt;"""");filter('Students (Vertical)'!D:D,'Students (Vertical)'!C:C=E4,'Students (Vertical)'!D:D&lt;&gt;"""")},countifs({filter('Students (V"&amp;"ertical)'!D:D,'Students (Vertical)'!C:C=B4,'Students (Vertical)'!D:D&lt;&gt;"""");filter('Students (Vertical)'!D:D,'Students (Vertical)'!C:C=E4,'Students (Vertical)'!D:D&lt;&gt;"""")},{filter('Students (Vertical)'!D:D,'Students (Vertical)'!C:C=B4,'Students (Vertical)"&amp;"'!D:D&lt;&gt;"""");filter('Students (Vertical)'!D:D,'Students (Vertical)'!C:C=E4,'Students (Vertical)'!D:D&lt;&gt;"""")})&gt;1))),"""")"),"AP Seminar, AP Spanish Language and Culture, Chemistry, PE 10, AP Human Geography, Sociales 10, Anatomy and Physiology")</f>
        <v>AP Seminar, AP Spanish Language and Culture, Chemistry, PE 10, AP Human Geography, Sociales 10, Anatomy and Physiology</v>
      </c>
    </row>
    <row r="5">
      <c r="A5" s="355">
        <v>4.0</v>
      </c>
      <c r="B5" s="45" t="s">
        <v>326</v>
      </c>
      <c r="C5" s="300">
        <v>28140.0</v>
      </c>
      <c r="D5" s="300">
        <v>10.0</v>
      </c>
      <c r="E5" s="45" t="s">
        <v>337</v>
      </c>
      <c r="F5" s="300">
        <v>27152.0</v>
      </c>
      <c r="G5" s="300">
        <v>10.0</v>
      </c>
      <c r="H5" s="45" t="s">
        <v>759</v>
      </c>
      <c r="I5" s="356" t="str">
        <f>IFERROR(__xludf.DUMMYFUNCTION("if(H5=""Must be Together"",iferror(join("", "",unique(filter({filter('Students (Vertical)'!O:O,'Students (Vertical)'!C:C=B5,'Students (Vertical)'!O:O&lt;&gt;"""");filter('Students (Vertical)'!O:O,'Students (Vertical)'!C:C=E5,'Students (Vertical)'!O:O&lt;&gt;"""")},co"&amp;"untifs({filter('Students (Vertical)'!O:O,'Students (Vertical)'!C:C=B5,'Students (Vertical)'!O:O&lt;&gt;"""");filter('Students (Vertical)'!O:O,'Students (Vertical)'!C:C=E5,'Students (Vertical)'!O:O&lt;&gt;"""")},{filter('Students (Vertical)'!O:O,'Students (Vertical)'!"&amp;"C:C=B5,'Students (Vertical)'!O:O&lt;&gt;"""");filter('Students (Vertical)'!O:O,'Students (Vertical)'!C:C=E5,'Students (Vertical)'!O:O&lt;&gt;"""")})&gt;1))),""No shared courses""),"""")"),"")</f>
        <v/>
      </c>
      <c r="J5" s="357" t="str">
        <f>IFERROR(__xludf.DUMMYFUNCTION("if(H5=""Can't be Together"",iferror(join("", "",unique(filter({filter('Students (Vertical)'!O:O,'Students (Vertical)'!C:C=B5,'Students (Vertical)'!O:O&lt;&gt;"""",'Students (Vertical)'!P:P&gt;1);filter('Students (Vertical)'!O:O,'Students (Vertical)'!C:C=E5,'Studen"&amp;"ts (Vertical)'!O:O&lt;&gt;"""",'Students (Vertical)'!P:P&gt;1)},countifs({filter('Students (Vertical)'!O:O,'Students (Vertical)'!C:C=B5,'Students (Vertical)'!O:O&lt;&gt;"""",'Students (Vertical)'!P:P&gt;1);filter('Students (Vertical)'!O:O,'Students (Vertical)'!C:C=E5,'Stud"&amp;"ents (Vertical)'!O:O&lt;&gt;"""",'Students (Vertical)'!P:P&gt;1)},{filter('Students (Vertical)'!O:O,'Students (Vertical)'!C:C=B5,'Students (Vertical)'!O:O&lt;&gt;"""",'Students (Vertical)'!P:P&gt;1);filter('Students (Vertical)'!O:O,'Students (Vertical)'!C:C=E5,'Students (V"&amp;"ertical)'!O:O&lt;&gt;"""",'Students (Vertical)'!P:P&gt;1)})&gt;1))),""""),"""")"),"Geometry-6")</f>
        <v>Geometry-6</v>
      </c>
      <c r="K5" s="358" t="str">
        <f>IFERROR(__xludf.DUMMYFUNCTION("iferror(join("", "",unique(filter({filter('Students (Vertical)'!D:D,'Students (Vertical)'!C:C=B5,'Students (Vertical)'!D:D&lt;&gt;"""");filter('Students (Vertical)'!D:D,'Students (Vertical)'!C:C=E5,'Students (Vertical)'!D:D&lt;&gt;"""")},countifs({filter('Students (V"&amp;"ertical)'!D:D,'Students (Vertical)'!C:C=B5,'Students (Vertical)'!D:D&lt;&gt;"""");filter('Students (Vertical)'!D:D,'Students (Vertical)'!C:C=E5,'Students (Vertical)'!D:D&lt;&gt;"""")},{filter('Students (Vertical)'!D:D,'Students (Vertical)'!C:C=B5,'Students (Vertical)"&amp;"'!D:D&lt;&gt;"""");filter('Students (Vertical)'!D:D,'Students (Vertical)'!C:C=E5,'Students (Vertical)'!D:D&lt;&gt;"""")})&gt;1))),"""")"),"English 10, AP Spanish Language and Culture, Geometry, Chemistry, PE 10, Global, Sociales 10")</f>
        <v>English 10, AP Spanish Language and Culture, Geometry, Chemistry, PE 10, Global, Sociales 10</v>
      </c>
    </row>
    <row r="6">
      <c r="A6" s="355">
        <v>5.0</v>
      </c>
      <c r="B6" s="45" t="s">
        <v>326</v>
      </c>
      <c r="C6" s="300">
        <v>28140.0</v>
      </c>
      <c r="D6" s="300">
        <v>10.0</v>
      </c>
      <c r="E6" s="45" t="s">
        <v>362</v>
      </c>
      <c r="F6" s="300">
        <v>28137.0</v>
      </c>
      <c r="G6" s="300">
        <v>10.0</v>
      </c>
      <c r="H6" s="45" t="s">
        <v>759</v>
      </c>
      <c r="I6" s="356" t="str">
        <f>IFERROR(__xludf.DUMMYFUNCTION("if(H6=""Must be Together"",iferror(join("", "",unique(filter({filter('Students (Vertical)'!O:O,'Students (Vertical)'!C:C=B6,'Students (Vertical)'!O:O&lt;&gt;"""");filter('Students (Vertical)'!O:O,'Students (Vertical)'!C:C=E6,'Students (Vertical)'!O:O&lt;&gt;"""")},co"&amp;"untifs({filter('Students (Vertical)'!O:O,'Students (Vertical)'!C:C=B6,'Students (Vertical)'!O:O&lt;&gt;"""");filter('Students (Vertical)'!O:O,'Students (Vertical)'!C:C=E6,'Students (Vertical)'!O:O&lt;&gt;"""")},{filter('Students (Vertical)'!O:O,'Students (Vertical)'!"&amp;"C:C=B6,'Students (Vertical)'!O:O&lt;&gt;"""");filter('Students (Vertical)'!O:O,'Students (Vertical)'!C:C=E6,'Students (Vertical)'!O:O&lt;&gt;"""")})&gt;1))),""No shared courses""),"""")"),"")</f>
        <v/>
      </c>
      <c r="J6" s="357" t="str">
        <f>IFERROR(__xludf.DUMMYFUNCTION("if(H6=""Can't be Together"",iferror(join("", "",unique(filter({filter('Students (Vertical)'!O:O,'Students (Vertical)'!C:C=B6,'Students (Vertical)'!O:O&lt;&gt;"""",'Students (Vertical)'!P:P&gt;1);filter('Students (Vertical)'!O:O,'Students (Vertical)'!C:C=E6,'Studen"&amp;"ts (Vertical)'!O:O&lt;&gt;"""",'Students (Vertical)'!P:P&gt;1)},countifs({filter('Students (Vertical)'!O:O,'Students (Vertical)'!C:C=B6,'Students (Vertical)'!O:O&lt;&gt;"""",'Students (Vertical)'!P:P&gt;1);filter('Students (Vertical)'!O:O,'Students (Vertical)'!C:C=E6,'Stud"&amp;"ents (Vertical)'!O:O&lt;&gt;"""",'Students (Vertical)'!P:P&gt;1)},{filter('Students (Vertical)'!O:O,'Students (Vertical)'!C:C=B6,'Students (Vertical)'!O:O&lt;&gt;"""",'Students (Vertical)'!P:P&gt;1);filter('Students (Vertical)'!O:O,'Students (Vertical)'!C:C=E6,'Students (V"&amp;"ertical)'!O:O&lt;&gt;"""",'Students (Vertical)'!P:P&gt;1)})&gt;1))),""""),"""")"),"Geometry-6")</f>
        <v>Geometry-6</v>
      </c>
      <c r="K6" s="358" t="str">
        <f>IFERROR(__xludf.DUMMYFUNCTION("iferror(join("", "",unique(filter({filter('Students (Vertical)'!D:D,'Students (Vertical)'!C:C=B6,'Students (Vertical)'!D:D&lt;&gt;"""");filter('Students (Vertical)'!D:D,'Students (Vertical)'!C:C=E6,'Students (Vertical)'!D:D&lt;&gt;"""")},countifs({filter('Students (V"&amp;"ertical)'!D:D,'Students (Vertical)'!C:C=B6,'Students (Vertical)'!D:D&lt;&gt;"""");filter('Students (Vertical)'!D:D,'Students (Vertical)'!C:C=E6,'Students (Vertical)'!D:D&lt;&gt;"""")},{filter('Students (Vertical)'!D:D,'Students (Vertical)'!C:C=B6,'Students (Vertical)"&amp;"'!D:D&lt;&gt;"""");filter('Students (Vertical)'!D:D,'Students (Vertical)'!C:C=E6,'Students (Vertical)'!D:D&lt;&gt;"""")})&gt;1))),"""")"),"English 10, AP Spanish Language and Culture, Geometry, Chemistry, PE 10, Global, Sociales 10")</f>
        <v>English 10, AP Spanish Language and Culture, Geometry, Chemistry, PE 10, Global, Sociales 10</v>
      </c>
    </row>
    <row r="7">
      <c r="A7" s="355">
        <v>6.0</v>
      </c>
      <c r="B7" s="45" t="s">
        <v>386</v>
      </c>
      <c r="C7" s="300">
        <v>28102.0</v>
      </c>
      <c r="D7" s="300">
        <v>10.0</v>
      </c>
      <c r="E7" s="45" t="s">
        <v>382</v>
      </c>
      <c r="F7" s="300">
        <v>28072.0</v>
      </c>
      <c r="G7" s="300">
        <v>10.0</v>
      </c>
      <c r="H7" s="45" t="s">
        <v>759</v>
      </c>
      <c r="I7" s="356" t="str">
        <f>IFERROR(__xludf.DUMMYFUNCTION("if(H7=""Must be Together"",iferror(join("", "",unique(filter({filter('Students (Vertical)'!O:O,'Students (Vertical)'!C:C=B7,'Students (Vertical)'!O:O&lt;&gt;"""");filter('Students (Vertical)'!O:O,'Students (Vertical)'!C:C=E7,'Students (Vertical)'!O:O&lt;&gt;"""")},co"&amp;"untifs({filter('Students (Vertical)'!O:O,'Students (Vertical)'!C:C=B7,'Students (Vertical)'!O:O&lt;&gt;"""");filter('Students (Vertical)'!O:O,'Students (Vertical)'!C:C=E7,'Students (Vertical)'!O:O&lt;&gt;"""")},{filter('Students (Vertical)'!O:O,'Students (Vertical)'!"&amp;"C:C=B7,'Students (Vertical)'!O:O&lt;&gt;"""");filter('Students (Vertical)'!O:O,'Students (Vertical)'!C:C=E7,'Students (Vertical)'!O:O&lt;&gt;"""")})&gt;1))),""No shared courses""),"""")"),"")</f>
        <v/>
      </c>
      <c r="J7" s="357" t="str">
        <f>IFERROR(__xludf.DUMMYFUNCTION("if(H7=""Can't be Together"",iferror(join("", "",unique(filter({filter('Students (Vertical)'!O:O,'Students (Vertical)'!C:C=B7,'Students (Vertical)'!O:O&lt;&gt;"""",'Students (Vertical)'!P:P&gt;1);filter('Students (Vertical)'!O:O,'Students (Vertical)'!C:C=E7,'Studen"&amp;"ts (Vertical)'!O:O&lt;&gt;"""",'Students (Vertical)'!P:P&gt;1)},countifs({filter('Students (Vertical)'!O:O,'Students (Vertical)'!C:C=B7,'Students (Vertical)'!O:O&lt;&gt;"""",'Students (Vertical)'!P:P&gt;1);filter('Students (Vertical)'!O:O,'Students (Vertical)'!C:C=E7,'Stud"&amp;"ents (Vertical)'!O:O&lt;&gt;"""",'Students (Vertical)'!P:P&gt;1)},{filter('Students (Vertical)'!O:O,'Students (Vertical)'!C:C=B7,'Students (Vertical)'!O:O&lt;&gt;"""",'Students (Vertical)'!P:P&gt;1);filter('Students (Vertical)'!O:O,'Students (Vertical)'!C:C=E7,'Students (V"&amp;"ertical)'!O:O&lt;&gt;"""",'Students (Vertical)'!P:P&gt;1)})&gt;1))),""""),"""")"),"Geometry-6")</f>
        <v>Geometry-6</v>
      </c>
      <c r="K7" s="358" t="str">
        <f>IFERROR(__xludf.DUMMYFUNCTION("iferror(join("", "",unique(filter({filter('Students (Vertical)'!D:D,'Students (Vertical)'!C:C=B7,'Students (Vertical)'!D:D&lt;&gt;"""");filter('Students (Vertical)'!D:D,'Students (Vertical)'!C:C=E7,'Students (Vertical)'!D:D&lt;&gt;"""")},countifs({filter('Students (V"&amp;"ertical)'!D:D,'Students (Vertical)'!C:C=B7,'Students (Vertical)'!D:D&lt;&gt;"""");filter('Students (Vertical)'!D:D,'Students (Vertical)'!C:C=E7,'Students (Vertical)'!D:D&lt;&gt;"""")},{filter('Students (Vertical)'!D:D,'Students (Vertical)'!C:C=B7,'Students (Vertical)"&amp;"'!D:D&lt;&gt;"""");filter('Students (Vertical)'!D:D,'Students (Vertical)'!C:C=E7,'Students (Vertical)'!D:D&lt;&gt;"""")})&gt;1))),"""")"),"English 10, AP Spanish Language and Culture, Geometry, Chemistry, PE 10, Global, Sociales 10, Anatomy and Physiology")</f>
        <v>English 10, AP Spanish Language and Culture, Geometry, Chemistry, PE 10, Global, Sociales 10, Anatomy and Physiology</v>
      </c>
    </row>
    <row r="8">
      <c r="A8" s="355">
        <v>7.0</v>
      </c>
      <c r="B8" s="45" t="s">
        <v>367</v>
      </c>
      <c r="C8" s="300">
        <v>28142.0</v>
      </c>
      <c r="D8" s="300">
        <v>10.0</v>
      </c>
      <c r="E8" s="45" t="s">
        <v>399</v>
      </c>
      <c r="F8" s="300">
        <v>28036.0</v>
      </c>
      <c r="G8" s="300">
        <v>10.0</v>
      </c>
      <c r="H8" s="45" t="s">
        <v>759</v>
      </c>
      <c r="I8" s="356" t="str">
        <f>IFERROR(__xludf.DUMMYFUNCTION("if(H8=""Must be Together"",iferror(join("", "",unique(filter({filter('Students (Vertical)'!O:O,'Students (Vertical)'!C:C=B8,'Students (Vertical)'!O:O&lt;&gt;"""");filter('Students (Vertical)'!O:O,'Students (Vertical)'!C:C=E8,'Students (Vertical)'!O:O&lt;&gt;"""")},co"&amp;"untifs({filter('Students (Vertical)'!O:O,'Students (Vertical)'!C:C=B8,'Students (Vertical)'!O:O&lt;&gt;"""");filter('Students (Vertical)'!O:O,'Students (Vertical)'!C:C=E8,'Students (Vertical)'!O:O&lt;&gt;"""")},{filter('Students (Vertical)'!O:O,'Students (Vertical)'!"&amp;"C:C=B8,'Students (Vertical)'!O:O&lt;&gt;"""");filter('Students (Vertical)'!O:O,'Students (Vertical)'!C:C=E8,'Students (Vertical)'!O:O&lt;&gt;"""")})&gt;1))),""No shared courses""),"""")"),"")</f>
        <v/>
      </c>
      <c r="J8" s="357" t="str">
        <f>IFERROR(__xludf.DUMMYFUNCTION("if(H8=""Can't be Together"",iferror(join("", "",unique(filter({filter('Students (Vertical)'!O:O,'Students (Vertical)'!C:C=B8,'Students (Vertical)'!O:O&lt;&gt;"""",'Students (Vertical)'!P:P&gt;1);filter('Students (Vertical)'!O:O,'Students (Vertical)'!C:C=E8,'Studen"&amp;"ts (Vertical)'!O:O&lt;&gt;"""",'Students (Vertical)'!P:P&gt;1)},countifs({filter('Students (Vertical)'!O:O,'Students (Vertical)'!C:C=B8,'Students (Vertical)'!O:O&lt;&gt;"""",'Students (Vertical)'!P:P&gt;1);filter('Students (Vertical)'!O:O,'Students (Vertical)'!C:C=E8,'Stud"&amp;"ents (Vertical)'!O:O&lt;&gt;"""",'Students (Vertical)'!P:P&gt;1)},{filter('Students (Vertical)'!O:O,'Students (Vertical)'!C:C=B8,'Students (Vertical)'!O:O&lt;&gt;"""",'Students (Vertical)'!P:P&gt;1);filter('Students (Vertical)'!O:O,'Students (Vertical)'!C:C=E8,'Students (V"&amp;"ertical)'!O:O&lt;&gt;"""",'Students (Vertical)'!P:P&gt;1)})&gt;1))),""""),"""")"),"")</f>
        <v/>
      </c>
      <c r="K8" s="358" t="str">
        <f>IFERROR(__xludf.DUMMYFUNCTION("iferror(join("", "",unique(filter({filter('Students (Vertical)'!D:D,'Students (Vertical)'!C:C=B8,'Students (Vertical)'!D:D&lt;&gt;"""");filter('Students (Vertical)'!D:D,'Students (Vertical)'!C:C=E8,'Students (Vertical)'!D:D&lt;&gt;"""")},countifs({filter('Students (V"&amp;"ertical)'!D:D,'Students (Vertical)'!C:C=B8,'Students (Vertical)'!D:D&lt;&gt;"""");filter('Students (Vertical)'!D:D,'Students (Vertical)'!C:C=E8,'Students (Vertical)'!D:D&lt;&gt;"""")},{filter('Students (Vertical)'!D:D,'Students (Vertical)'!C:C=B8,'Students (Vertical)"&amp;"'!D:D&lt;&gt;"""");filter('Students (Vertical)'!D:D,'Students (Vertical)'!C:C=E8,'Students (Vertical)'!D:D&lt;&gt;"""")})&gt;1))),"""")"),"English 10, AP Spanish Language and Culture, Geometry, Chemistry, PE 10, Global, Sociales 10")</f>
        <v>English 10, AP Spanish Language and Culture, Geometry, Chemistry, PE 10, Global, Sociales 10</v>
      </c>
    </row>
    <row r="9">
      <c r="A9" s="355">
        <v>8.0</v>
      </c>
      <c r="B9" s="45" t="s">
        <v>299</v>
      </c>
      <c r="C9" s="300">
        <v>28098.0</v>
      </c>
      <c r="D9" s="300">
        <v>10.0</v>
      </c>
      <c r="E9" s="45" t="s">
        <v>399</v>
      </c>
      <c r="F9" s="300">
        <v>28036.0</v>
      </c>
      <c r="G9" s="300">
        <v>10.0</v>
      </c>
      <c r="H9" s="45" t="s">
        <v>759</v>
      </c>
      <c r="I9" s="356" t="str">
        <f>IFERROR(__xludf.DUMMYFUNCTION("if(H9=""Must be Together"",iferror(join("", "",unique(filter({filter('Students (Vertical)'!O:O,'Students (Vertical)'!C:C=B9,'Students (Vertical)'!O:O&lt;&gt;"""");filter('Students (Vertical)'!O:O,'Students (Vertical)'!C:C=E9,'Students (Vertical)'!O:O&lt;&gt;"""")},co"&amp;"untifs({filter('Students (Vertical)'!O:O,'Students (Vertical)'!C:C=B9,'Students (Vertical)'!O:O&lt;&gt;"""");filter('Students (Vertical)'!O:O,'Students (Vertical)'!C:C=E9,'Students (Vertical)'!O:O&lt;&gt;"""")},{filter('Students (Vertical)'!O:O,'Students (Vertical)'!"&amp;"C:C=B9,'Students (Vertical)'!O:O&lt;&gt;"""");filter('Students (Vertical)'!O:O,'Students (Vertical)'!C:C=E9,'Students (Vertical)'!O:O&lt;&gt;"""")})&gt;1))),""No shared courses""),"""")"),"")</f>
        <v/>
      </c>
      <c r="J9" s="357" t="str">
        <f>IFERROR(__xludf.DUMMYFUNCTION("if(H9=""Can't be Together"",iferror(join("", "",unique(filter({filter('Students (Vertical)'!O:O,'Students (Vertical)'!C:C=B9,'Students (Vertical)'!O:O&lt;&gt;"""",'Students (Vertical)'!P:P&gt;1);filter('Students (Vertical)'!O:O,'Students (Vertical)'!C:C=E9,'Studen"&amp;"ts (Vertical)'!O:O&lt;&gt;"""",'Students (Vertical)'!P:P&gt;1)},countifs({filter('Students (Vertical)'!O:O,'Students (Vertical)'!C:C=B9,'Students (Vertical)'!O:O&lt;&gt;"""",'Students (Vertical)'!P:P&gt;1);filter('Students (Vertical)'!O:O,'Students (Vertical)'!C:C=E9,'Stud"&amp;"ents (Vertical)'!O:O&lt;&gt;"""",'Students (Vertical)'!P:P&gt;1)},{filter('Students (Vertical)'!O:O,'Students (Vertical)'!C:C=B9,'Students (Vertical)'!O:O&lt;&gt;"""",'Students (Vertical)'!P:P&gt;1);filter('Students (Vertical)'!O:O,'Students (Vertical)'!C:C=E9,'Students (V"&amp;"ertical)'!O:O&lt;&gt;"""",'Students (Vertical)'!P:P&gt;1)})&gt;1))),""""),"""")"),"Geometry-7")</f>
        <v>Geometry-7</v>
      </c>
      <c r="K9" s="358" t="str">
        <f>IFERROR(__xludf.DUMMYFUNCTION("iferror(join("", "",unique(filter({filter('Students (Vertical)'!D:D,'Students (Vertical)'!C:C=B9,'Students (Vertical)'!D:D&lt;&gt;"""");filter('Students (Vertical)'!D:D,'Students (Vertical)'!C:C=E9,'Students (Vertical)'!D:D&lt;&gt;"""")},countifs({filter('Students (V"&amp;"ertical)'!D:D,'Students (Vertical)'!C:C=B9,'Students (Vertical)'!D:D&lt;&gt;"""");filter('Students (Vertical)'!D:D,'Students (Vertical)'!C:C=E9,'Students (Vertical)'!D:D&lt;&gt;"""")},{filter('Students (Vertical)'!D:D,'Students (Vertical)'!C:C=B9,'Students (Vertical)"&amp;"'!D:D&lt;&gt;"""");filter('Students (Vertical)'!D:D,'Students (Vertical)'!C:C=E9,'Students (Vertical)'!D:D&lt;&gt;"""")})&gt;1))),"""")"),"English 10, AP Spanish Language and Culture, Geometry, Chemistry, PE 10, Sociales 10")</f>
        <v>English 10, AP Spanish Language and Culture, Geometry, Chemistry, PE 10, Sociales 10</v>
      </c>
    </row>
    <row r="10">
      <c r="A10" s="355">
        <v>9.0</v>
      </c>
      <c r="B10" s="45" t="s">
        <v>305</v>
      </c>
      <c r="C10" s="300">
        <v>28050.0</v>
      </c>
      <c r="D10" s="300">
        <v>10.0</v>
      </c>
      <c r="E10" s="45" t="s">
        <v>411</v>
      </c>
      <c r="F10" s="300">
        <v>28071.0</v>
      </c>
      <c r="G10" s="300">
        <v>10.0</v>
      </c>
      <c r="H10" s="45" t="s">
        <v>760</v>
      </c>
      <c r="I10" s="356" t="str">
        <f>IFERROR(__xludf.DUMMYFUNCTION("if(H10=""Must be Together"",iferror(join("", "",unique(filter({filter('Students (Vertical)'!O:O,'Students (Vertical)'!C:C=B10,'Students (Vertical)'!O:O&lt;&gt;"""");filter('Students (Vertical)'!O:O,'Students (Vertical)'!C:C=E10,'Students (Vertical)'!O:O&lt;&gt;"""")}"&amp;",countifs({filter('Students (Vertical)'!O:O,'Students (Vertical)'!C:C=B10,'Students (Vertical)'!O:O&lt;&gt;"""");filter('Students (Vertical)'!O:O,'Students (Vertical)'!C:C=E10,'Students (Vertical)'!O:O&lt;&gt;"""")},{filter('Students (Vertical)'!O:O,'Students (Vertic"&amp;"al)'!C:C=B10,'Students (Vertical)'!O:O&lt;&gt;"""");filter('Students (Vertical)'!O:O,'Students (Vertical)'!C:C=E10,'Students (Vertical)'!O:O&lt;&gt;"""")})&gt;1))),""No shared courses""),"""")"),"AP Seminar-1, Chemistry-7, PE 10-5, Sociales 10-8")</f>
        <v>AP Seminar-1, Chemistry-7, PE 10-5, Sociales 10-8</v>
      </c>
      <c r="J10" s="357" t="str">
        <f>IFERROR(__xludf.DUMMYFUNCTION("if(H10=""Can't be Together"",iferror(join("", "",unique(filter({filter('Students (Vertical)'!O:O,'Students (Vertical)'!C:C=B10,'Students (Vertical)'!O:O&lt;&gt;"""",'Students (Vertical)'!P:P&gt;1);filter('Students (Vertical)'!O:O,'Students (Vertical)'!C:C=E10,'Stu"&amp;"dents (Vertical)'!O:O&lt;&gt;"""",'Students (Vertical)'!P:P&gt;1)},countifs({filter('Students (Vertical)'!O:O,'Students (Vertical)'!C:C=B10,'Students (Vertical)'!O:O&lt;&gt;"""",'Students (Vertical)'!P:P&gt;1);filter('Students (Vertical)'!O:O,'Students (Vertical)'!C:C=E10,"&amp;"'Students (Vertical)'!O:O&lt;&gt;"""",'Students (Vertical)'!P:P&gt;1)},{filter('Students (Vertical)'!O:O,'Students (Vertical)'!C:C=B10,'Students (Vertical)'!O:O&lt;&gt;"""",'Students (Vertical)'!P:P&gt;1);filter('Students (Vertical)'!O:O,'Students (Vertical)'!C:C=E10,'Stud"&amp;"ents (Vertical)'!O:O&lt;&gt;"""",'Students (Vertical)'!P:P&gt;1)})&gt;1))),""""),"""")"),"")</f>
        <v/>
      </c>
      <c r="K10" s="358" t="str">
        <f>IFERROR(__xludf.DUMMYFUNCTION("iferror(join("", "",unique(filter({filter('Students (Vertical)'!D:D,'Students (Vertical)'!C:C=B10,'Students (Vertical)'!D:D&lt;&gt;"""");filter('Students (Vertical)'!D:D,'Students (Vertical)'!C:C=E10,'Students (Vertical)'!D:D&lt;&gt;"""")},countifs({filter('Students "&amp;"(Vertical)'!D:D,'Students (Vertical)'!C:C=B10,'Students (Vertical)'!D:D&lt;&gt;"""");filter('Students (Vertical)'!D:D,'Students (Vertical)'!C:C=E10,'Students (Vertical)'!D:D&lt;&gt;"""")},{filter('Students (Vertical)'!D:D,'Students (Vertical)'!C:C=B10,'Students (Vert"&amp;"ical)'!D:D&lt;&gt;"""");filter('Students (Vertical)'!D:D,'Students (Vertical)'!C:C=E10,'Students (Vertical)'!D:D&lt;&gt;"""")})&gt;1))),"""")"),"AP Seminar, AP Spanish Language and Culture, AP Precalculus, Chemistry, PE 10, Sociales 10")</f>
        <v>AP Seminar, AP Spanish Language and Culture, AP Precalculus, Chemistry, PE 10, Sociales 10</v>
      </c>
    </row>
    <row r="11">
      <c r="A11" s="355">
        <v>10.0</v>
      </c>
      <c r="B11" s="45" t="s">
        <v>323</v>
      </c>
      <c r="C11" s="300">
        <v>28171.0</v>
      </c>
      <c r="D11" s="300">
        <v>10.0</v>
      </c>
      <c r="E11" s="45" t="s">
        <v>324</v>
      </c>
      <c r="F11" s="300">
        <v>28174.0</v>
      </c>
      <c r="G11" s="300">
        <v>10.0</v>
      </c>
      <c r="H11" s="45" t="s">
        <v>760</v>
      </c>
      <c r="I11" s="356" t="str">
        <f>IFERROR(__xludf.DUMMYFUNCTION("if(H11=""Must be Together"",iferror(join("", "",unique(filter({filter('Students (Vertical)'!O:O,'Students (Vertical)'!C:C=B11,'Students (Vertical)'!O:O&lt;&gt;"""");filter('Students (Vertical)'!O:O,'Students (Vertical)'!C:C=E11,'Students (Vertical)'!O:O&lt;&gt;"""")}"&amp;",countifs({filter('Students (Vertical)'!O:O,'Students (Vertical)'!C:C=B11,'Students (Vertical)'!O:O&lt;&gt;"""");filter('Students (Vertical)'!O:O,'Students (Vertical)'!C:C=E11,'Students (Vertical)'!O:O&lt;&gt;"""")},{filter('Students (Vertical)'!O:O,'Students (Vertic"&amp;"al)'!C:C=B11,'Students (Vertical)'!O:O&lt;&gt;"""");filter('Students (Vertical)'!O:O,'Students (Vertical)'!C:C=E11,'Students (Vertical)'!O:O&lt;&gt;"""")})&gt;1))),""No shared courses""),"""")"),"Geometry-2, AP Human Geography-3, Creative Design-4")</f>
        <v>Geometry-2, AP Human Geography-3, Creative Design-4</v>
      </c>
      <c r="J11" s="357" t="str">
        <f>IFERROR(__xludf.DUMMYFUNCTION("if(H11=""Can't be Together"",iferror(join("", "",unique(filter({filter('Students (Vertical)'!O:O,'Students (Vertical)'!C:C=B11,'Students (Vertical)'!O:O&lt;&gt;"""",'Students (Vertical)'!P:P&gt;1);filter('Students (Vertical)'!O:O,'Students (Vertical)'!C:C=E11,'Stu"&amp;"dents (Vertical)'!O:O&lt;&gt;"""",'Students (Vertical)'!P:P&gt;1)},countifs({filter('Students (Vertical)'!O:O,'Students (Vertical)'!C:C=B11,'Students (Vertical)'!O:O&lt;&gt;"""",'Students (Vertical)'!P:P&gt;1);filter('Students (Vertical)'!O:O,'Students (Vertical)'!C:C=E11,"&amp;"'Students (Vertical)'!O:O&lt;&gt;"""",'Students (Vertical)'!P:P&gt;1)},{filter('Students (Vertical)'!O:O,'Students (Vertical)'!C:C=B11,'Students (Vertical)'!O:O&lt;&gt;"""",'Students (Vertical)'!P:P&gt;1);filter('Students (Vertical)'!O:O,'Students (Vertical)'!C:C=E11,'Stud"&amp;"ents (Vertical)'!O:O&lt;&gt;"""",'Students (Vertical)'!P:P&gt;1)})&gt;1))),""""),"""")"),"")</f>
        <v/>
      </c>
      <c r="K11" s="358" t="str">
        <f>IFERROR(__xludf.DUMMYFUNCTION("iferror(join("", "",unique(filter({filter('Students (Vertical)'!D:D,'Students (Vertical)'!C:C=B11,'Students (Vertical)'!D:D&lt;&gt;"""");filter('Students (Vertical)'!D:D,'Students (Vertical)'!C:C=E11,'Students (Vertical)'!D:D&lt;&gt;"""")},countifs({filter('Students "&amp;"(Vertical)'!D:D,'Students (Vertical)'!C:C=B11,'Students (Vertical)'!D:D&lt;&gt;"""");filter('Students (Vertical)'!D:D,'Students (Vertical)'!C:C=E11,'Students (Vertical)'!D:D&lt;&gt;"""")},{filter('Students (Vertical)'!D:D,'Students (Vertical)'!C:C=B11,'Students (Vert"&amp;"ical)'!D:D&lt;&gt;"""");filter('Students (Vertical)'!D:D,'Students (Vertical)'!C:C=E11,'Students (Vertical)'!D:D&lt;&gt;"""")})&gt;1))),"""")"),"Geometry, Chemistry, PE 10, AP Human Geography, Creative Design")</f>
        <v>Geometry, Chemistry, PE 10, AP Human Geography, Creative Design</v>
      </c>
    </row>
    <row r="12">
      <c r="A12" s="355">
        <v>11.0</v>
      </c>
      <c r="B12" s="45" t="s">
        <v>323</v>
      </c>
      <c r="C12" s="300">
        <v>28171.0</v>
      </c>
      <c r="D12" s="300">
        <v>10.0</v>
      </c>
      <c r="E12" s="45" t="s">
        <v>295</v>
      </c>
      <c r="F12" s="300">
        <v>28058.0</v>
      </c>
      <c r="G12" s="300">
        <v>10.0</v>
      </c>
      <c r="H12" s="45" t="s">
        <v>760</v>
      </c>
      <c r="I12" s="356" t="str">
        <f>IFERROR(__xludf.DUMMYFUNCTION("if(H12=""Must be Together"",iferror(join("", "",unique(filter({filter('Students (Vertical)'!O:O,'Students (Vertical)'!C:C=B12,'Students (Vertical)'!O:O&lt;&gt;"""");filter('Students (Vertical)'!O:O,'Students (Vertical)'!C:C=E12,'Students (Vertical)'!O:O&lt;&gt;"""")}"&amp;",countifs({filter('Students (Vertical)'!O:O,'Students (Vertical)'!C:C=B12,'Students (Vertical)'!O:O&lt;&gt;"""");filter('Students (Vertical)'!O:O,'Students (Vertical)'!C:C=E12,'Students (Vertical)'!O:O&lt;&gt;"""")},{filter('Students (Vertical)'!O:O,'Students (Vertic"&amp;"al)'!C:C=B12,'Students (Vertical)'!O:O&lt;&gt;"""");filter('Students (Vertical)'!O:O,'Students (Vertical)'!C:C=E12,'Students (Vertical)'!O:O&lt;&gt;"""")})&gt;1))),""No shared courses""),"""")"),"AP Human Geography-3")</f>
        <v>AP Human Geography-3</v>
      </c>
      <c r="J12" s="357" t="str">
        <f>IFERROR(__xludf.DUMMYFUNCTION("if(H12=""Can't be Together"",iferror(join("", "",unique(filter({filter('Students (Vertical)'!O:O,'Students (Vertical)'!C:C=B12,'Students (Vertical)'!O:O&lt;&gt;"""",'Students (Vertical)'!P:P&gt;1);filter('Students (Vertical)'!O:O,'Students (Vertical)'!C:C=E12,'Stu"&amp;"dents (Vertical)'!O:O&lt;&gt;"""",'Students (Vertical)'!P:P&gt;1)},countifs({filter('Students (Vertical)'!O:O,'Students (Vertical)'!C:C=B12,'Students (Vertical)'!O:O&lt;&gt;"""",'Students (Vertical)'!P:P&gt;1);filter('Students (Vertical)'!O:O,'Students (Vertical)'!C:C=E12,"&amp;"'Students (Vertical)'!O:O&lt;&gt;"""",'Students (Vertical)'!P:P&gt;1)},{filter('Students (Vertical)'!O:O,'Students (Vertical)'!C:C=B12,'Students (Vertical)'!O:O&lt;&gt;"""",'Students (Vertical)'!P:P&gt;1);filter('Students (Vertical)'!O:O,'Students (Vertical)'!C:C=E12,'Stud"&amp;"ents (Vertical)'!O:O&lt;&gt;"""",'Students (Vertical)'!P:P&gt;1)})&gt;1))),""""),"""")"),"")</f>
        <v/>
      </c>
      <c r="K12" s="358" t="str">
        <f>IFERROR(__xludf.DUMMYFUNCTION("iferror(join("", "",unique(filter({filter('Students (Vertical)'!D:D,'Students (Vertical)'!C:C=B12,'Students (Vertical)'!D:D&lt;&gt;"""");filter('Students (Vertical)'!D:D,'Students (Vertical)'!C:C=E12,'Students (Vertical)'!D:D&lt;&gt;"""")},countifs({filter('Students "&amp;"(Vertical)'!D:D,'Students (Vertical)'!C:C=B12,'Students (Vertical)'!D:D&lt;&gt;"""");filter('Students (Vertical)'!D:D,'Students (Vertical)'!C:C=E12,'Students (Vertical)'!D:D&lt;&gt;"""")},{filter('Students (Vertical)'!D:D,'Students (Vertical)'!C:C=B12,'Students (Vert"&amp;"ical)'!D:D&lt;&gt;"""");filter('Students (Vertical)'!D:D,'Students (Vertical)'!C:C=E12,'Students (Vertical)'!D:D&lt;&gt;"""")})&gt;1))),"""")"),"AP Spanish Language and Culture, Geometry, Chemistry, PE 10, AP Human Geography")</f>
        <v>AP Spanish Language and Culture, Geometry, Chemistry, PE 10, AP Human Geography</v>
      </c>
    </row>
    <row r="13">
      <c r="A13" s="355">
        <v>12.0</v>
      </c>
      <c r="B13" s="45" t="s">
        <v>524</v>
      </c>
      <c r="C13" s="300">
        <v>27066.0</v>
      </c>
      <c r="D13" s="300">
        <v>11.0</v>
      </c>
      <c r="E13" s="45" t="s">
        <v>516</v>
      </c>
      <c r="F13" s="300">
        <v>27010.0</v>
      </c>
      <c r="G13" s="300">
        <v>11.0</v>
      </c>
      <c r="H13" s="45" t="s">
        <v>759</v>
      </c>
      <c r="I13" s="356" t="str">
        <f>IFERROR(__xludf.DUMMYFUNCTION("if(H13=""Must be Together"",iferror(join("", "",unique(filter({filter('Students (Vertical)'!O:O,'Students (Vertical)'!C:C=B13,'Students (Vertical)'!O:O&lt;&gt;"""");filter('Students (Vertical)'!O:O,'Students (Vertical)'!C:C=E13,'Students (Vertical)'!O:O&lt;&gt;"""")}"&amp;",countifs({filter('Students (Vertical)'!O:O,'Students (Vertical)'!C:C=B13,'Students (Vertical)'!O:O&lt;&gt;"""");filter('Students (Vertical)'!O:O,'Students (Vertical)'!C:C=E13,'Students (Vertical)'!O:O&lt;&gt;"""")},{filter('Students (Vertical)'!O:O,'Students (Vertic"&amp;"al)'!C:C=B13,'Students (Vertical)'!O:O&lt;&gt;"""");filter('Students (Vertical)'!O:O,'Students (Vertical)'!C:C=E13,'Students (Vertical)'!O:O&lt;&gt;"""")})&gt;1))),""No shared courses""),"""")"),"")</f>
        <v/>
      </c>
      <c r="J13" s="357" t="str">
        <f>IFERROR(__xludf.DUMMYFUNCTION("if(H13=""Can't be Together"",iferror(join("", "",unique(filter({filter('Students (Vertical)'!O:O,'Students (Vertical)'!C:C=B13,'Students (Vertical)'!O:O&lt;&gt;"""",'Students (Vertical)'!P:P&gt;1);filter('Students (Vertical)'!O:O,'Students (Vertical)'!C:C=E13,'Stu"&amp;"dents (Vertical)'!O:O&lt;&gt;"""",'Students (Vertical)'!P:P&gt;1)},countifs({filter('Students (Vertical)'!O:O,'Students (Vertical)'!C:C=B13,'Students (Vertical)'!O:O&lt;&gt;"""",'Students (Vertical)'!P:P&gt;1);filter('Students (Vertical)'!O:O,'Students (Vertical)'!C:C=E13,"&amp;"'Students (Vertical)'!O:O&lt;&gt;"""",'Students (Vertical)'!P:P&gt;1)},{filter('Students (Vertical)'!O:O,'Students (Vertical)'!C:C=B13,'Students (Vertical)'!O:O&lt;&gt;"""",'Students (Vertical)'!P:P&gt;1);filter('Students (Vertical)'!O:O,'Students (Vertical)'!C:C=E13,'Stud"&amp;"ents (Vertical)'!O:O&lt;&gt;"""",'Students (Vertical)'!P:P&gt;1)})&gt;1))),""""),"""")"),"Physics-7, Band Level I-4")</f>
        <v>Physics-7, Band Level I-4</v>
      </c>
      <c r="K13" s="358" t="str">
        <f>IFERROR(__xludf.DUMMYFUNCTION("iferror(join("", "",unique(filter({filter('Students (Vertical)'!D:D,'Students (Vertical)'!C:C=B13,'Students (Vertical)'!D:D&lt;&gt;"""");filter('Students (Vertical)'!D:D,'Students (Vertical)'!C:C=E13,'Students (Vertical)'!D:D&lt;&gt;"""")},countifs({filter('Students "&amp;"(Vertical)'!D:D,'Students (Vertical)'!C:C=B13,'Students (Vertical)'!D:D&lt;&gt;"""");filter('Students (Vertical)'!D:D,'Students (Vertical)'!C:C=E13,'Students (Vertical)'!D:D&lt;&gt;"""")},{filter('Students (Vertical)'!D:D,'Students (Vertical)'!C:C=B13,'Students (Vert"&amp;"ical)'!D:D&lt;&gt;"""");filter('Students (Vertical)'!D:D,'Students (Vertical)'!C:C=E13,'Students (Vertical)'!D:D&lt;&gt;"""")})&gt;1))),"""")"),"Spanish and Literature 11, Algebra II, Physics, PE 11, Band Level I")</f>
        <v>Spanish and Literature 11, Algebra II, Physics, PE 11, Band Level I</v>
      </c>
    </row>
    <row r="14">
      <c r="A14" s="355">
        <v>13.0</v>
      </c>
      <c r="B14" s="45" t="s">
        <v>524</v>
      </c>
      <c r="C14" s="300">
        <v>27066.0</v>
      </c>
      <c r="D14" s="300">
        <v>11.0</v>
      </c>
      <c r="E14" s="45" t="s">
        <v>431</v>
      </c>
      <c r="F14" s="300">
        <v>26040.0</v>
      </c>
      <c r="G14" s="300">
        <v>11.0</v>
      </c>
      <c r="H14" s="45" t="s">
        <v>759</v>
      </c>
      <c r="I14" s="356" t="str">
        <f>IFERROR(__xludf.DUMMYFUNCTION("if(H14=""Must be Together"",iferror(join("", "",unique(filter({filter('Students (Vertical)'!O:O,'Students (Vertical)'!C:C=B14,'Students (Vertical)'!O:O&lt;&gt;"""");filter('Students (Vertical)'!O:O,'Students (Vertical)'!C:C=E14,'Students (Vertical)'!O:O&lt;&gt;"""")}"&amp;",countifs({filter('Students (Vertical)'!O:O,'Students (Vertical)'!C:C=B14,'Students (Vertical)'!O:O&lt;&gt;"""");filter('Students (Vertical)'!O:O,'Students (Vertical)'!C:C=E14,'Students (Vertical)'!O:O&lt;&gt;"""")},{filter('Students (Vertical)'!O:O,'Students (Vertic"&amp;"al)'!C:C=B14,'Students (Vertical)'!O:O&lt;&gt;"""");filter('Students (Vertical)'!O:O,'Students (Vertical)'!C:C=E14,'Students (Vertical)'!O:O&lt;&gt;"""")})&gt;1))),""No shared courses""),"""")"),"")</f>
        <v/>
      </c>
      <c r="J14" s="357" t="str">
        <f>IFERROR(__xludf.DUMMYFUNCTION("if(H14=""Can't be Together"",iferror(join("", "",unique(filter({filter('Students (Vertical)'!O:O,'Students (Vertical)'!C:C=B14,'Students (Vertical)'!O:O&lt;&gt;"""",'Students (Vertical)'!P:P&gt;1);filter('Students (Vertical)'!O:O,'Students (Vertical)'!C:C=E14,'Stu"&amp;"dents (Vertical)'!O:O&lt;&gt;"""",'Students (Vertical)'!P:P&gt;1)},countifs({filter('Students (Vertical)'!O:O,'Students (Vertical)'!C:C=B14,'Students (Vertical)'!O:O&lt;&gt;"""",'Students (Vertical)'!P:P&gt;1);filter('Students (Vertical)'!O:O,'Students (Vertical)'!C:C=E14,"&amp;"'Students (Vertical)'!O:O&lt;&gt;"""",'Students (Vertical)'!P:P&gt;1)},{filter('Students (Vertical)'!O:O,'Students (Vertical)'!C:C=B14,'Students (Vertical)'!O:O&lt;&gt;"""",'Students (Vertical)'!P:P&gt;1);filter('Students (Vertical)'!O:O,'Students (Vertical)'!C:C=E14,'Stud"&amp;"ents (Vertical)'!O:O&lt;&gt;"""",'Students (Vertical)'!P:P&gt;1)})&gt;1))),""""),"""")"),"Spanish and Literature 11-1, Algebra II-6, PE 11-2, Band Level I-4")</f>
        <v>Spanish and Literature 11-1, Algebra II-6, PE 11-2, Band Level I-4</v>
      </c>
      <c r="K14" s="358" t="str">
        <f>IFERROR(__xludf.DUMMYFUNCTION("iferror(join("", "",unique(filter({filter('Students (Vertical)'!D:D,'Students (Vertical)'!C:C=B14,'Students (Vertical)'!D:D&lt;&gt;"""");filter('Students (Vertical)'!D:D,'Students (Vertical)'!C:C=E14,'Students (Vertical)'!D:D&lt;&gt;"""")},countifs({filter('Students "&amp;"(Vertical)'!D:D,'Students (Vertical)'!C:C=B14,'Students (Vertical)'!D:D&lt;&gt;"""");filter('Students (Vertical)'!D:D,'Students (Vertical)'!C:C=E14,'Students (Vertical)'!D:D&lt;&gt;"""")},{filter('Students (Vertical)'!D:D,'Students (Vertical)'!C:C=B14,'Students (Vert"&amp;"ical)'!D:D&lt;&gt;"""");filter('Students (Vertical)'!D:D,'Students (Vertical)'!C:C=E14,'Students (Vertical)'!D:D&lt;&gt;"""")})&gt;1))),"""")"),"Spanish and Literature 11, Algebra II, Physics, PE 11, Band Level I")</f>
        <v>Spanish and Literature 11, Algebra II, Physics, PE 11, Band Level I</v>
      </c>
    </row>
    <row r="15">
      <c r="A15" s="355">
        <v>14.0</v>
      </c>
      <c r="B15" s="45" t="s">
        <v>524</v>
      </c>
      <c r="C15" s="300">
        <v>27066.0</v>
      </c>
      <c r="D15" s="300">
        <v>11.0</v>
      </c>
      <c r="E15" s="45" t="s">
        <v>510</v>
      </c>
      <c r="F15" s="300">
        <v>27110.0</v>
      </c>
      <c r="G15" s="300">
        <v>11.0</v>
      </c>
      <c r="H15" s="45" t="s">
        <v>759</v>
      </c>
      <c r="I15" s="356" t="str">
        <f>IFERROR(__xludf.DUMMYFUNCTION("if(H15=""Must be Together"",iferror(join("", "",unique(filter({filter('Students (Vertical)'!O:O,'Students (Vertical)'!C:C=B15,'Students (Vertical)'!O:O&lt;&gt;"""");filter('Students (Vertical)'!O:O,'Students (Vertical)'!C:C=E15,'Students (Vertical)'!O:O&lt;&gt;"""")}"&amp;",countifs({filter('Students (Vertical)'!O:O,'Students (Vertical)'!C:C=B15,'Students (Vertical)'!O:O&lt;&gt;"""");filter('Students (Vertical)'!O:O,'Students (Vertical)'!C:C=E15,'Students (Vertical)'!O:O&lt;&gt;"""")},{filter('Students (Vertical)'!O:O,'Students (Vertic"&amp;"al)'!C:C=B15,'Students (Vertical)'!O:O&lt;&gt;"""");filter('Students (Vertical)'!O:O,'Students (Vertical)'!C:C=E15,'Students (Vertical)'!O:O&lt;&gt;"""")})&gt;1))),""No shared courses""),"""")"),"")</f>
        <v/>
      </c>
      <c r="J15" s="357" t="str">
        <f>IFERROR(__xludf.DUMMYFUNCTION("if(H15=""Can't be Together"",iferror(join("", "",unique(filter({filter('Students (Vertical)'!O:O,'Students (Vertical)'!C:C=B15,'Students (Vertical)'!O:O&lt;&gt;"""",'Students (Vertical)'!P:P&gt;1);filter('Students (Vertical)'!O:O,'Students (Vertical)'!C:C=E15,'Stu"&amp;"dents (Vertical)'!O:O&lt;&gt;"""",'Students (Vertical)'!P:P&gt;1)},countifs({filter('Students (Vertical)'!O:O,'Students (Vertical)'!C:C=B15,'Students (Vertical)'!O:O&lt;&gt;"""",'Students (Vertical)'!P:P&gt;1);filter('Students (Vertical)'!O:O,'Students (Vertical)'!C:C=E15,"&amp;"'Students (Vertical)'!O:O&lt;&gt;"""",'Students (Vertical)'!P:P&gt;1)},{filter('Students (Vertical)'!O:O,'Students (Vertical)'!C:C=B15,'Students (Vertical)'!O:O&lt;&gt;"""",'Students (Vertical)'!P:P&gt;1);filter('Students (Vertical)'!O:O,'Students (Vertical)'!C:C=E15,'Stud"&amp;"ents (Vertical)'!O:O&lt;&gt;"""",'Students (Vertical)'!P:P&gt;1)})&gt;1))),""""),"""")"),"")</f>
        <v/>
      </c>
      <c r="K15" s="358" t="str">
        <f>IFERROR(__xludf.DUMMYFUNCTION("iferror(join("", "",unique(filter({filter('Students (Vertical)'!D:D,'Students (Vertical)'!C:C=B15,'Students (Vertical)'!D:D&lt;&gt;"""");filter('Students (Vertical)'!D:D,'Students (Vertical)'!C:C=E15,'Students (Vertical)'!D:D&lt;&gt;"""")},countifs({filter('Students "&amp;"(Vertical)'!D:D,'Students (Vertical)'!C:C=B15,'Students (Vertical)'!D:D&lt;&gt;"""");filter('Students (Vertical)'!D:D,'Students (Vertical)'!C:C=E15,'Students (Vertical)'!D:D&lt;&gt;"""")},{filter('Students (Vertical)'!D:D,'Students (Vertical)'!C:C=B15,'Students (Vert"&amp;"ical)'!D:D&lt;&gt;"""");filter('Students (Vertical)'!D:D,'Students (Vertical)'!C:C=E15,'Students (Vertical)'!D:D&lt;&gt;"""")})&gt;1))),"""")"),"Spanish and Literature 11, Algebra II, Physics, PE 11, Band Level I, AP Economics")</f>
        <v>Spanish and Literature 11, Algebra II, Physics, PE 11, Band Level I, AP Economics</v>
      </c>
    </row>
    <row r="16">
      <c r="A16" s="355">
        <v>15.0</v>
      </c>
      <c r="B16" s="45" t="s">
        <v>524</v>
      </c>
      <c r="C16" s="300">
        <v>27066.0</v>
      </c>
      <c r="D16" s="300">
        <v>11.0</v>
      </c>
      <c r="E16" s="45" t="s">
        <v>508</v>
      </c>
      <c r="F16" s="300">
        <v>27052.0</v>
      </c>
      <c r="G16" s="300">
        <v>11.0</v>
      </c>
      <c r="H16" s="45" t="s">
        <v>759</v>
      </c>
      <c r="I16" s="356" t="str">
        <f>IFERROR(__xludf.DUMMYFUNCTION("if(H16=""Must be Together"",iferror(join("", "",unique(filter({filter('Students (Vertical)'!O:O,'Students (Vertical)'!C:C=B16,'Students (Vertical)'!O:O&lt;&gt;"""");filter('Students (Vertical)'!O:O,'Students (Vertical)'!C:C=E16,'Students (Vertical)'!O:O&lt;&gt;"""")}"&amp;",countifs({filter('Students (Vertical)'!O:O,'Students (Vertical)'!C:C=B16,'Students (Vertical)'!O:O&lt;&gt;"""");filter('Students (Vertical)'!O:O,'Students (Vertical)'!C:C=E16,'Students (Vertical)'!O:O&lt;&gt;"""")},{filter('Students (Vertical)'!O:O,'Students (Vertic"&amp;"al)'!C:C=B16,'Students (Vertical)'!O:O&lt;&gt;"""");filter('Students (Vertical)'!O:O,'Students (Vertical)'!C:C=E16,'Students (Vertical)'!O:O&lt;&gt;"""")})&gt;1))),""No shared courses""),"""")"),"")</f>
        <v/>
      </c>
      <c r="J16" s="357" t="str">
        <f>IFERROR(__xludf.DUMMYFUNCTION("if(H16=""Can't be Together"",iferror(join("", "",unique(filter({filter('Students (Vertical)'!O:O,'Students (Vertical)'!C:C=B16,'Students (Vertical)'!O:O&lt;&gt;"""",'Students (Vertical)'!P:P&gt;1);filter('Students (Vertical)'!O:O,'Students (Vertical)'!C:C=E16,'Stu"&amp;"dents (Vertical)'!O:O&lt;&gt;"""",'Students (Vertical)'!P:P&gt;1)},countifs({filter('Students (Vertical)'!O:O,'Students (Vertical)'!C:C=B16,'Students (Vertical)'!O:O&lt;&gt;"""",'Students (Vertical)'!P:P&gt;1);filter('Students (Vertical)'!O:O,'Students (Vertical)'!C:C=E16,"&amp;"'Students (Vertical)'!O:O&lt;&gt;"""",'Students (Vertical)'!P:P&gt;1)},{filter('Students (Vertical)'!O:O,'Students (Vertical)'!C:C=B16,'Students (Vertical)'!O:O&lt;&gt;"""",'Students (Vertical)'!P:P&gt;1);filter('Students (Vertical)'!O:O,'Students (Vertical)'!C:C=E16,'Stud"&amp;"ents (Vertical)'!O:O&lt;&gt;"""",'Students (Vertical)'!P:P&gt;1)})&gt;1))),""""),"""")"),"Physics-7, PE 11-2")</f>
        <v>Physics-7, PE 11-2</v>
      </c>
      <c r="K16" s="358" t="str">
        <f>IFERROR(__xludf.DUMMYFUNCTION("iferror(join("", "",unique(filter({filter('Students (Vertical)'!D:D,'Students (Vertical)'!C:C=B16,'Students (Vertical)'!D:D&lt;&gt;"""");filter('Students (Vertical)'!D:D,'Students (Vertical)'!C:C=E16,'Students (Vertical)'!D:D&lt;&gt;"""")},countifs({filter('Students "&amp;"(Vertical)'!D:D,'Students (Vertical)'!C:C=B16,'Students (Vertical)'!D:D&lt;&gt;"""");filter('Students (Vertical)'!D:D,'Students (Vertical)'!C:C=E16,'Students (Vertical)'!D:D&lt;&gt;"""")},{filter('Students (Vertical)'!D:D,'Students (Vertical)'!C:C=B16,'Students (Vert"&amp;"ical)'!D:D&lt;&gt;"""");filter('Students (Vertical)'!D:D,'Students (Vertical)'!C:C=E16,'Students (Vertical)'!D:D&lt;&gt;"""")})&gt;1))),"""")"),"Spanish and Literature 11, Algebra II, Physics, PE 11, Band Level I")</f>
        <v>Spanish and Literature 11, Algebra II, Physics, PE 11, Band Level I</v>
      </c>
    </row>
    <row r="17">
      <c r="A17" s="355">
        <v>16.0</v>
      </c>
      <c r="B17" s="45" t="s">
        <v>524</v>
      </c>
      <c r="C17" s="300">
        <v>27066.0</v>
      </c>
      <c r="D17" s="300">
        <v>11.0</v>
      </c>
      <c r="E17" s="45" t="s">
        <v>426</v>
      </c>
      <c r="F17" s="300">
        <v>27080.0</v>
      </c>
      <c r="G17" s="300">
        <v>11.0</v>
      </c>
      <c r="H17" s="45" t="s">
        <v>759</v>
      </c>
      <c r="I17" s="356" t="str">
        <f>IFERROR(__xludf.DUMMYFUNCTION("if(H17=""Must be Together"",iferror(join("", "",unique(filter({filter('Students (Vertical)'!O:O,'Students (Vertical)'!C:C=B17,'Students (Vertical)'!O:O&lt;&gt;"""");filter('Students (Vertical)'!O:O,'Students (Vertical)'!C:C=E17,'Students (Vertical)'!O:O&lt;&gt;"""")}"&amp;",countifs({filter('Students (Vertical)'!O:O,'Students (Vertical)'!C:C=B17,'Students (Vertical)'!O:O&lt;&gt;"""");filter('Students (Vertical)'!O:O,'Students (Vertical)'!C:C=E17,'Students (Vertical)'!O:O&lt;&gt;"""")},{filter('Students (Vertical)'!O:O,'Students (Vertic"&amp;"al)'!C:C=B17,'Students (Vertical)'!O:O&lt;&gt;"""");filter('Students (Vertical)'!O:O,'Students (Vertical)'!C:C=E17,'Students (Vertical)'!O:O&lt;&gt;"""")})&gt;1))),""No shared courses""),"""")"),"")</f>
        <v/>
      </c>
      <c r="J17" s="357" t="str">
        <f>IFERROR(__xludf.DUMMYFUNCTION("if(H17=""Can't be Together"",iferror(join("", "",unique(filter({filter('Students (Vertical)'!O:O,'Students (Vertical)'!C:C=B17,'Students (Vertical)'!O:O&lt;&gt;"""",'Students (Vertical)'!P:P&gt;1);filter('Students (Vertical)'!O:O,'Students (Vertical)'!C:C=E17,'Stu"&amp;"dents (Vertical)'!O:O&lt;&gt;"""",'Students (Vertical)'!P:P&gt;1)},countifs({filter('Students (Vertical)'!O:O,'Students (Vertical)'!C:C=B17,'Students (Vertical)'!O:O&lt;&gt;"""",'Students (Vertical)'!P:P&gt;1);filter('Students (Vertical)'!O:O,'Students (Vertical)'!C:C=E17,"&amp;"'Students (Vertical)'!O:O&lt;&gt;"""",'Students (Vertical)'!P:P&gt;1)},{filter('Students (Vertical)'!O:O,'Students (Vertical)'!C:C=B17,'Students (Vertical)'!O:O&lt;&gt;"""",'Students (Vertical)'!P:P&gt;1);filter('Students (Vertical)'!O:O,'Students (Vertical)'!C:C=E17,'Stud"&amp;"ents (Vertical)'!O:O&lt;&gt;"""",'Students (Vertical)'!P:P&gt;1)})&gt;1))),""""),"""")"),"")</f>
        <v/>
      </c>
      <c r="K17" s="358" t="str">
        <f>IFERROR(__xludf.DUMMYFUNCTION("iferror(join("", "",unique(filter({filter('Students (Vertical)'!D:D,'Students (Vertical)'!C:C=B17,'Students (Vertical)'!D:D&lt;&gt;"""");filter('Students (Vertical)'!D:D,'Students (Vertical)'!C:C=E17,'Students (Vertical)'!D:D&lt;&gt;"""")},countifs({filter('Students "&amp;"(Vertical)'!D:D,'Students (Vertical)'!C:C=B17,'Students (Vertical)'!D:D&lt;&gt;"""");filter('Students (Vertical)'!D:D,'Students (Vertical)'!C:C=E17,'Students (Vertical)'!D:D&lt;&gt;"""")},{filter('Students (Vertical)'!D:D,'Students (Vertical)'!C:C=B17,'Students (Vert"&amp;"ical)'!D:D&lt;&gt;"""");filter('Students (Vertical)'!D:D,'Students (Vertical)'!C:C=E17,'Students (Vertical)'!D:D&lt;&gt;"""")})&gt;1))),"""")"),"Algebra II, Physics, PE 11")</f>
        <v>Algebra II, Physics, PE 11</v>
      </c>
    </row>
    <row r="18">
      <c r="A18" s="355">
        <v>17.0</v>
      </c>
      <c r="B18" s="45" t="s">
        <v>524</v>
      </c>
      <c r="C18" s="300">
        <v>27066.0</v>
      </c>
      <c r="D18" s="300">
        <v>11.0</v>
      </c>
      <c r="E18" s="45" t="s">
        <v>658</v>
      </c>
      <c r="F18" s="300">
        <v>27148.0</v>
      </c>
      <c r="G18" s="300">
        <v>11.0</v>
      </c>
      <c r="H18" s="45" t="s">
        <v>759</v>
      </c>
      <c r="I18" s="356" t="str">
        <f>IFERROR(__xludf.DUMMYFUNCTION("if(H18=""Must be Together"",iferror(join("", "",unique(filter({filter('Students (Vertical)'!O:O,'Students (Vertical)'!C:C=B18,'Students (Vertical)'!O:O&lt;&gt;"""");filter('Students (Vertical)'!O:O,'Students (Vertical)'!C:C=E18,'Students (Vertical)'!O:O&lt;&gt;"""")}"&amp;",countifs({filter('Students (Vertical)'!O:O,'Students (Vertical)'!C:C=B18,'Students (Vertical)'!O:O&lt;&gt;"""");filter('Students (Vertical)'!O:O,'Students (Vertical)'!C:C=E18,'Students (Vertical)'!O:O&lt;&gt;"""")},{filter('Students (Vertical)'!O:O,'Students (Vertic"&amp;"al)'!C:C=B18,'Students (Vertical)'!O:O&lt;&gt;"""");filter('Students (Vertical)'!O:O,'Students (Vertical)'!C:C=E18,'Students (Vertical)'!O:O&lt;&gt;"""")})&gt;1))),""No shared courses""),"""")"),"")</f>
        <v/>
      </c>
      <c r="J18" s="357" t="str">
        <f>IFERROR(__xludf.DUMMYFUNCTION("if(H18=""Can't be Together"",iferror(join("", "",unique(filter({filter('Students (Vertical)'!O:O,'Students (Vertical)'!C:C=B18,'Students (Vertical)'!O:O&lt;&gt;"""",'Students (Vertical)'!P:P&gt;1);filter('Students (Vertical)'!O:O,'Students (Vertical)'!C:C=E18,'Stu"&amp;"dents (Vertical)'!O:O&lt;&gt;"""",'Students (Vertical)'!P:P&gt;1)},countifs({filter('Students (Vertical)'!O:O,'Students (Vertical)'!C:C=B18,'Students (Vertical)'!O:O&lt;&gt;"""",'Students (Vertical)'!P:P&gt;1);filter('Students (Vertical)'!O:O,'Students (Vertical)'!C:C=E18,"&amp;"'Students (Vertical)'!O:O&lt;&gt;"""",'Students (Vertical)'!P:P&gt;1)},{filter('Students (Vertical)'!O:O,'Students (Vertical)'!C:C=B18,'Students (Vertical)'!O:O&lt;&gt;"""",'Students (Vertical)'!P:P&gt;1);filter('Students (Vertical)'!O:O,'Students (Vertical)'!C:C=E18,'Stud"&amp;"ents (Vertical)'!O:O&lt;&gt;"""",'Students (Vertical)'!P:P&gt;1)})&gt;1))),""""),"""")"),"")</f>
        <v/>
      </c>
      <c r="K18" s="358" t="str">
        <f>IFERROR(__xludf.DUMMYFUNCTION("iferror(join("", "",unique(filter({filter('Students (Vertical)'!D:D,'Students (Vertical)'!C:C=B18,'Students (Vertical)'!D:D&lt;&gt;"""");filter('Students (Vertical)'!D:D,'Students (Vertical)'!C:C=E18,'Students (Vertical)'!D:D&lt;&gt;"""")},countifs({filter('Students "&amp;"(Vertical)'!D:D,'Students (Vertical)'!C:C=B18,'Students (Vertical)'!D:D&lt;&gt;"""");filter('Students (Vertical)'!D:D,'Students (Vertical)'!C:C=E18,'Students (Vertical)'!D:D&lt;&gt;"""")},{filter('Students (Vertical)'!D:D,'Students (Vertical)'!C:C=B18,'Students (Vert"&amp;"ical)'!D:D&lt;&gt;"""");filter('Students (Vertical)'!D:D,'Students (Vertical)'!C:C=E18,'Students (Vertical)'!D:D&lt;&gt;"""")})&gt;1))),"""")"),"PE 11")</f>
        <v>PE 11</v>
      </c>
    </row>
    <row r="19">
      <c r="A19" s="355">
        <v>18.0</v>
      </c>
      <c r="B19" s="45" t="s">
        <v>524</v>
      </c>
      <c r="C19" s="300">
        <v>27066.0</v>
      </c>
      <c r="D19" s="300">
        <v>11.0</v>
      </c>
      <c r="E19" s="45" t="s">
        <v>414</v>
      </c>
      <c r="F19" s="300">
        <v>27039.0</v>
      </c>
      <c r="G19" s="300">
        <v>11.0</v>
      </c>
      <c r="H19" s="45" t="s">
        <v>759</v>
      </c>
      <c r="I19" s="356" t="str">
        <f>IFERROR(__xludf.DUMMYFUNCTION("if(H19=""Must be Together"",iferror(join("", "",unique(filter({filter('Students (Vertical)'!O:O,'Students (Vertical)'!C:C=B19,'Students (Vertical)'!O:O&lt;&gt;"""");filter('Students (Vertical)'!O:O,'Students (Vertical)'!C:C=E19,'Students (Vertical)'!O:O&lt;&gt;"""")}"&amp;",countifs({filter('Students (Vertical)'!O:O,'Students (Vertical)'!C:C=B19,'Students (Vertical)'!O:O&lt;&gt;"""");filter('Students (Vertical)'!O:O,'Students (Vertical)'!C:C=E19,'Students (Vertical)'!O:O&lt;&gt;"""")},{filter('Students (Vertical)'!O:O,'Students (Vertic"&amp;"al)'!C:C=B19,'Students (Vertical)'!O:O&lt;&gt;"""");filter('Students (Vertical)'!O:O,'Students (Vertical)'!C:C=E19,'Students (Vertical)'!O:O&lt;&gt;"""")})&gt;1))),""No shared courses""),"""")"),"")</f>
        <v/>
      </c>
      <c r="J19" s="357" t="str">
        <f>IFERROR(__xludf.DUMMYFUNCTION("if(H19=""Can't be Together"",iferror(join("", "",unique(filter({filter('Students (Vertical)'!O:O,'Students (Vertical)'!C:C=B19,'Students (Vertical)'!O:O&lt;&gt;"""",'Students (Vertical)'!P:P&gt;1);filter('Students (Vertical)'!O:O,'Students (Vertical)'!C:C=E19,'Stu"&amp;"dents (Vertical)'!O:O&lt;&gt;"""",'Students (Vertical)'!P:P&gt;1)},countifs({filter('Students (Vertical)'!O:O,'Students (Vertical)'!C:C=B19,'Students (Vertical)'!O:O&lt;&gt;"""",'Students (Vertical)'!P:P&gt;1);filter('Students (Vertical)'!O:O,'Students (Vertical)'!C:C=E19,"&amp;"'Students (Vertical)'!O:O&lt;&gt;"""",'Students (Vertical)'!P:P&gt;1)},{filter('Students (Vertical)'!O:O,'Students (Vertical)'!C:C=B19,'Students (Vertical)'!O:O&lt;&gt;"""",'Students (Vertical)'!P:P&gt;1);filter('Students (Vertical)'!O:O,'Students (Vertical)'!C:C=E19,'Stud"&amp;"ents (Vertical)'!O:O&lt;&gt;"""",'Students (Vertical)'!P:P&gt;1)})&gt;1))),""""),"""")"),"")</f>
        <v/>
      </c>
      <c r="K19" s="358" t="str">
        <f>IFERROR(__xludf.DUMMYFUNCTION("iferror(join("", "",unique(filter({filter('Students (Vertical)'!D:D,'Students (Vertical)'!C:C=B19,'Students (Vertical)'!D:D&lt;&gt;"""");filter('Students (Vertical)'!D:D,'Students (Vertical)'!C:C=E19,'Students (Vertical)'!D:D&lt;&gt;"""")},countifs({filter('Students "&amp;"(Vertical)'!D:D,'Students (Vertical)'!C:C=B19,'Students (Vertical)'!D:D&lt;&gt;"""");filter('Students (Vertical)'!D:D,'Students (Vertical)'!C:C=E19,'Students (Vertical)'!D:D&lt;&gt;"""")},{filter('Students (Vertical)'!D:D,'Students (Vertical)'!C:C=B19,'Students (Vert"&amp;"ical)'!D:D&lt;&gt;"""");filter('Students (Vertical)'!D:D,'Students (Vertical)'!C:C=E19,'Students (Vertical)'!D:D&lt;&gt;"""")})&gt;1))),"""")"),"Algebra II, Physics, PE 11, AP World History")</f>
        <v>Algebra II, Physics, PE 11, AP World History</v>
      </c>
    </row>
    <row r="20">
      <c r="A20" s="355">
        <v>19.0</v>
      </c>
      <c r="B20" s="45" t="s">
        <v>516</v>
      </c>
      <c r="C20" s="300">
        <v>27010.0</v>
      </c>
      <c r="D20" s="300">
        <v>11.0</v>
      </c>
      <c r="E20" s="45" t="s">
        <v>510</v>
      </c>
      <c r="F20" s="300">
        <v>27110.0</v>
      </c>
      <c r="G20" s="300">
        <v>11.0</v>
      </c>
      <c r="H20" s="45" t="s">
        <v>759</v>
      </c>
      <c r="I20" s="356" t="str">
        <f>IFERROR(__xludf.DUMMYFUNCTION("if(H20=""Must be Together"",iferror(join("", "",unique(filter({filter('Students (Vertical)'!O:O,'Students (Vertical)'!C:C=B20,'Students (Vertical)'!O:O&lt;&gt;"""");filter('Students (Vertical)'!O:O,'Students (Vertical)'!C:C=E20,'Students (Vertical)'!O:O&lt;&gt;"""")}"&amp;",countifs({filter('Students (Vertical)'!O:O,'Students (Vertical)'!C:C=B20,'Students (Vertical)'!O:O&lt;&gt;"""");filter('Students (Vertical)'!O:O,'Students (Vertical)'!C:C=E20,'Students (Vertical)'!O:O&lt;&gt;"""")},{filter('Students (Vertical)'!O:O,'Students (Vertic"&amp;"al)'!C:C=B20,'Students (Vertical)'!O:O&lt;&gt;"""");filter('Students (Vertical)'!O:O,'Students (Vertical)'!C:C=E20,'Students (Vertical)'!O:O&lt;&gt;"""")})&gt;1))),""No shared courses""),"""")"),"")</f>
        <v/>
      </c>
      <c r="J20" s="356" t="str">
        <f>IFERROR(__xludf.DUMMYFUNCTION("if(H20=""Can't be Together"",iferror(join("", "",unique(filter({filter('Students (Vertical)'!O:O,'Students (Vertical)'!C:C=B20,'Students (Vertical)'!O:O&lt;&gt;"""",'Students (Vertical)'!P:P&gt;1);filter('Students (Vertical)'!O:O,'Students (Vertical)'!C:C=E20,'Stu"&amp;"dents (Vertical)'!O:O&lt;&gt;"""",'Students (Vertical)'!P:P&gt;1)},countifs({filter('Students (Vertical)'!O:O,'Students (Vertical)'!C:C=B20,'Students (Vertical)'!O:O&lt;&gt;"""",'Students (Vertical)'!P:P&gt;1);filter('Students (Vertical)'!O:O,'Students (Vertical)'!C:C=E20,"&amp;"'Students (Vertical)'!O:O&lt;&gt;"""",'Students (Vertical)'!P:P&gt;1)},{filter('Students (Vertical)'!O:O,'Students (Vertical)'!C:C=B20,'Students (Vertical)'!O:O&lt;&gt;"""",'Students (Vertical)'!P:P&gt;1);filter('Students (Vertical)'!O:O,'Students (Vertical)'!C:C=E20,'Stud"&amp;"ents (Vertical)'!O:O&lt;&gt;"""",'Students (Vertical)'!P:P&gt;1)})&gt;1))),""""),"""")"),"Art of Fiction Intermediate Level-6")</f>
        <v>Art of Fiction Intermediate Level-6</v>
      </c>
      <c r="K20" s="358" t="str">
        <f>IFERROR(__xludf.DUMMYFUNCTION("iferror(join("", "",unique(filter({filter('Students (Vertical)'!D:D,'Students (Vertical)'!C:C=B20,'Students (Vertical)'!D:D&lt;&gt;"""");filter('Students (Vertical)'!D:D,'Students (Vertical)'!C:C=E20,'Students (Vertical)'!D:D&lt;&gt;"""")},countifs({filter('Students "&amp;"(Vertical)'!D:D,'Students (Vertical)'!C:C=B20,'Students (Vertical)'!D:D&lt;&gt;"""");filter('Students (Vertical)'!D:D,'Students (Vertical)'!C:C=E20,'Students (Vertical)'!D:D&lt;&gt;"""")},{filter('Students (Vertical)'!D:D,'Students (Vertical)'!C:C=B20,'Students (Vert"&amp;"ical)'!D:D&lt;&gt;"""");filter('Students (Vertical)'!D:D,'Students (Vertical)'!C:C=E20,'Students (Vertical)'!D:D&lt;&gt;"""")})&gt;1))),"""")"),"Art of Fiction Intermediate Level, Spanish and Literature 11, Algebra II, Physics, PE 11, Band Level I, Life Purpose")</f>
        <v>Art of Fiction Intermediate Level, Spanish and Literature 11, Algebra II, Physics, PE 11, Band Level I, Life Purpose</v>
      </c>
    </row>
    <row r="21">
      <c r="A21" s="355">
        <v>20.0</v>
      </c>
      <c r="B21" s="45" t="s">
        <v>516</v>
      </c>
      <c r="C21" s="300">
        <v>27010.0</v>
      </c>
      <c r="D21" s="300">
        <v>11.0</v>
      </c>
      <c r="E21" s="45" t="s">
        <v>431</v>
      </c>
      <c r="F21" s="300">
        <v>26040.0</v>
      </c>
      <c r="G21" s="300">
        <v>11.0</v>
      </c>
      <c r="H21" s="45" t="s">
        <v>759</v>
      </c>
      <c r="I21" s="356" t="str">
        <f>IFERROR(__xludf.DUMMYFUNCTION("if(H21=""Must be Together"",iferror(join("", "",unique(filter({filter('Students (Vertical)'!O:O,'Students (Vertical)'!C:C=B21,'Students (Vertical)'!O:O&lt;&gt;"""");filter('Students (Vertical)'!O:O,'Students (Vertical)'!C:C=E21,'Students (Vertical)'!O:O&lt;&gt;"""")}"&amp;",countifs({filter('Students (Vertical)'!O:O,'Students (Vertical)'!C:C=B21,'Students (Vertical)'!O:O&lt;&gt;"""");filter('Students (Vertical)'!O:O,'Students (Vertical)'!C:C=E21,'Students (Vertical)'!O:O&lt;&gt;"""")},{filter('Students (Vertical)'!O:O,'Students (Vertic"&amp;"al)'!C:C=B21,'Students (Vertical)'!O:O&lt;&gt;"""");filter('Students (Vertical)'!O:O,'Students (Vertical)'!C:C=E21,'Students (Vertical)'!O:O&lt;&gt;"""")})&gt;1))),""No shared courses""),"""")"),"")</f>
        <v/>
      </c>
      <c r="J21" s="357" t="str">
        <f>IFERROR(__xludf.DUMMYFUNCTION("if(H21=""Can't be Together"",iferror(join("", "",unique(filter({filter('Students (Vertical)'!O:O,'Students (Vertical)'!C:C=B21,'Students (Vertical)'!O:O&lt;&gt;"""",'Students (Vertical)'!P:P&gt;1);filter('Students (Vertical)'!O:O,'Students (Vertical)'!C:C=E21,'Stu"&amp;"dents (Vertical)'!O:O&lt;&gt;"""",'Students (Vertical)'!P:P&gt;1)},countifs({filter('Students (Vertical)'!O:O,'Students (Vertical)'!C:C=B21,'Students (Vertical)'!O:O&lt;&gt;"""",'Students (Vertical)'!P:P&gt;1);filter('Students (Vertical)'!O:O,'Students (Vertical)'!C:C=E21,"&amp;"'Students (Vertical)'!O:O&lt;&gt;"""",'Students (Vertical)'!P:P&gt;1)},{filter('Students (Vertical)'!O:O,'Students (Vertical)'!C:C=B21,'Students (Vertical)'!O:O&lt;&gt;"""",'Students (Vertical)'!P:P&gt;1);filter('Students (Vertical)'!O:O,'Students (Vertical)'!C:C=E21,'Stud"&amp;"ents (Vertical)'!O:O&lt;&gt;"""",'Students (Vertical)'!P:P&gt;1)})&gt;1))),""""),"""")"),"Band Level I-4")</f>
        <v>Band Level I-4</v>
      </c>
      <c r="K21" s="358" t="str">
        <f>IFERROR(__xludf.DUMMYFUNCTION("iferror(join("", "",unique(filter({filter('Students (Vertical)'!D:D,'Students (Vertical)'!C:C=B21,'Students (Vertical)'!D:D&lt;&gt;"""");filter('Students (Vertical)'!D:D,'Students (Vertical)'!C:C=E21,'Students (Vertical)'!D:D&lt;&gt;"""")},countifs({filter('Students "&amp;"(Vertical)'!D:D,'Students (Vertical)'!C:C=B21,'Students (Vertical)'!D:D&lt;&gt;"""");filter('Students (Vertical)'!D:D,'Students (Vertical)'!C:C=E21,'Students (Vertical)'!D:D&lt;&gt;"""")},{filter('Students (Vertical)'!D:D,'Students (Vertical)'!C:C=B21,'Students (Vert"&amp;"ical)'!D:D&lt;&gt;"""");filter('Students (Vertical)'!D:D,'Students (Vertical)'!C:C=E21,'Students (Vertical)'!D:D&lt;&gt;"""")})&gt;1))),"""")"),"Spanish and Literature 11, Algebra II, Physics, PE 11, Band Level I, Life Purpose")</f>
        <v>Spanish and Literature 11, Algebra II, Physics, PE 11, Band Level I, Life Purpose</v>
      </c>
    </row>
    <row r="22">
      <c r="A22" s="355">
        <v>21.0</v>
      </c>
      <c r="B22" s="45" t="s">
        <v>516</v>
      </c>
      <c r="C22" s="300">
        <v>27010.0</v>
      </c>
      <c r="D22" s="300">
        <v>11.0</v>
      </c>
      <c r="E22" s="45" t="s">
        <v>529</v>
      </c>
      <c r="F22" s="300">
        <v>27164.0</v>
      </c>
      <c r="G22" s="300">
        <v>11.0</v>
      </c>
      <c r="H22" s="45" t="s">
        <v>759</v>
      </c>
      <c r="I22" s="356" t="str">
        <f>IFERROR(__xludf.DUMMYFUNCTION("if(H22=""Must be Together"",iferror(join("", "",unique(filter({filter('Students (Vertical)'!O:O,'Students (Vertical)'!C:C=B22,'Students (Vertical)'!O:O&lt;&gt;"""");filter('Students (Vertical)'!O:O,'Students (Vertical)'!C:C=E22,'Students (Vertical)'!O:O&lt;&gt;"""")}"&amp;",countifs({filter('Students (Vertical)'!O:O,'Students (Vertical)'!C:C=B22,'Students (Vertical)'!O:O&lt;&gt;"""");filter('Students (Vertical)'!O:O,'Students (Vertical)'!C:C=E22,'Students (Vertical)'!O:O&lt;&gt;"""")},{filter('Students (Vertical)'!O:O,'Students (Vertic"&amp;"al)'!C:C=B22,'Students (Vertical)'!O:O&lt;&gt;"""");filter('Students (Vertical)'!O:O,'Students (Vertical)'!C:C=E22,'Students (Vertical)'!O:O&lt;&gt;"""")})&gt;1))),""No shared courses""),"""")"),"")</f>
        <v/>
      </c>
      <c r="J22" s="357" t="str">
        <f>IFERROR(__xludf.DUMMYFUNCTION("if(H22=""Can't be Together"",iferror(join("", "",unique(filter({filter('Students (Vertical)'!O:O,'Students (Vertical)'!C:C=B22,'Students (Vertical)'!O:O&lt;&gt;"""",'Students (Vertical)'!P:P&gt;1);filter('Students (Vertical)'!O:O,'Students (Vertical)'!C:C=E22,'Stu"&amp;"dents (Vertical)'!O:O&lt;&gt;"""",'Students (Vertical)'!P:P&gt;1)},countifs({filter('Students (Vertical)'!O:O,'Students (Vertical)'!C:C=B22,'Students (Vertical)'!O:O&lt;&gt;"""",'Students (Vertical)'!P:P&gt;1);filter('Students (Vertical)'!O:O,'Students (Vertical)'!C:C=E22,"&amp;"'Students (Vertical)'!O:O&lt;&gt;"""",'Students (Vertical)'!P:P&gt;1)},{filter('Students (Vertical)'!O:O,'Students (Vertical)'!C:C=B22,'Students (Vertical)'!O:O&lt;&gt;"""",'Students (Vertical)'!P:P&gt;1);filter('Students (Vertical)'!O:O,'Students (Vertical)'!C:C=E22,'Stud"&amp;"ents (Vertical)'!O:O&lt;&gt;"""",'Students (Vertical)'!P:P&gt;1)})&gt;1))),""""),"""")"),"Band Level I-4")</f>
        <v>Band Level I-4</v>
      </c>
      <c r="K22" s="358" t="str">
        <f>IFERROR(__xludf.DUMMYFUNCTION("iferror(join("", "",unique(filter({filter('Students (Vertical)'!D:D,'Students (Vertical)'!C:C=B22,'Students (Vertical)'!D:D&lt;&gt;"""");filter('Students (Vertical)'!D:D,'Students (Vertical)'!C:C=E22,'Students (Vertical)'!D:D&lt;&gt;"""")},countifs({filter('Students "&amp;"(Vertical)'!D:D,'Students (Vertical)'!C:C=B22,'Students (Vertical)'!D:D&lt;&gt;"""");filter('Students (Vertical)'!D:D,'Students (Vertical)'!C:C=E22,'Students (Vertical)'!D:D&lt;&gt;"""")},{filter('Students (Vertical)'!D:D,'Students (Vertical)'!C:C=B22,'Students (Vert"&amp;"ical)'!D:D&lt;&gt;"""");filter('Students (Vertical)'!D:D,'Students (Vertical)'!C:C=E22,'Students (Vertical)'!D:D&lt;&gt;"""")})&gt;1))),"""")"),"Spanish and Literature 11, Algebra II, Physics, PE 11, Band Level I")</f>
        <v>Spanish and Literature 11, Algebra II, Physics, PE 11, Band Level I</v>
      </c>
    </row>
    <row r="23">
      <c r="A23" s="355">
        <v>22.0</v>
      </c>
      <c r="B23" s="45" t="s">
        <v>516</v>
      </c>
      <c r="C23" s="300">
        <v>27010.0</v>
      </c>
      <c r="D23" s="300">
        <v>11.0</v>
      </c>
      <c r="E23" s="45" t="s">
        <v>476</v>
      </c>
      <c r="F23" s="300">
        <v>27042.0</v>
      </c>
      <c r="G23" s="300">
        <v>11.0</v>
      </c>
      <c r="H23" s="45" t="s">
        <v>759</v>
      </c>
      <c r="I23" s="356" t="str">
        <f>IFERROR(__xludf.DUMMYFUNCTION("if(H23=""Must be Together"",iferror(join("", "",unique(filter({filter('Students (Vertical)'!O:O,'Students (Vertical)'!C:C=B23,'Students (Vertical)'!O:O&lt;&gt;"""");filter('Students (Vertical)'!O:O,'Students (Vertical)'!C:C=E23,'Students (Vertical)'!O:O&lt;&gt;"""")}"&amp;",countifs({filter('Students (Vertical)'!O:O,'Students (Vertical)'!C:C=B23,'Students (Vertical)'!O:O&lt;&gt;"""");filter('Students (Vertical)'!O:O,'Students (Vertical)'!C:C=E23,'Students (Vertical)'!O:O&lt;&gt;"""")},{filter('Students (Vertical)'!O:O,'Students (Vertic"&amp;"al)'!C:C=B23,'Students (Vertical)'!O:O&lt;&gt;"""");filter('Students (Vertical)'!O:O,'Students (Vertical)'!C:C=E23,'Students (Vertical)'!O:O&lt;&gt;"""")})&gt;1))),""No shared courses""),"""")"),"")</f>
        <v/>
      </c>
      <c r="J23" s="357" t="str">
        <f>IFERROR(__xludf.DUMMYFUNCTION("if(H23=""Can't be Together"",iferror(join("", "",unique(filter({filter('Students (Vertical)'!O:O,'Students (Vertical)'!C:C=B23,'Students (Vertical)'!O:O&lt;&gt;"""",'Students (Vertical)'!P:P&gt;1);filter('Students (Vertical)'!O:O,'Students (Vertical)'!C:C=E23,'Stu"&amp;"dents (Vertical)'!O:O&lt;&gt;"""",'Students (Vertical)'!P:P&gt;1)},countifs({filter('Students (Vertical)'!O:O,'Students (Vertical)'!C:C=B23,'Students (Vertical)'!O:O&lt;&gt;"""",'Students (Vertical)'!P:P&gt;1);filter('Students (Vertical)'!O:O,'Students (Vertical)'!C:C=E23,"&amp;"'Students (Vertical)'!O:O&lt;&gt;"""",'Students (Vertical)'!P:P&gt;1)},{filter('Students (Vertical)'!O:O,'Students (Vertical)'!C:C=B23,'Students (Vertical)'!O:O&lt;&gt;"""",'Students (Vertical)'!P:P&gt;1);filter('Students (Vertical)'!O:O,'Students (Vertical)'!C:C=E23,'Stud"&amp;"ents (Vertical)'!O:O&lt;&gt;"""",'Students (Vertical)'!P:P&gt;1)})&gt;1))),""""),"""")"),"")</f>
        <v/>
      </c>
      <c r="K23" s="358" t="str">
        <f>IFERROR(__xludf.DUMMYFUNCTION("iferror(join("", "",unique(filter({filter('Students (Vertical)'!D:D,'Students (Vertical)'!C:C=B23,'Students (Vertical)'!D:D&lt;&gt;"""");filter('Students (Vertical)'!D:D,'Students (Vertical)'!C:C=E23,'Students (Vertical)'!D:D&lt;&gt;"""")},countifs({filter('Students "&amp;"(Vertical)'!D:D,'Students (Vertical)'!C:C=B23,'Students (Vertical)'!D:D&lt;&gt;"""");filter('Students (Vertical)'!D:D,'Students (Vertical)'!C:C=E23,'Students (Vertical)'!D:D&lt;&gt;"""")},{filter('Students (Vertical)'!D:D,'Students (Vertical)'!C:C=B23,'Students (Vert"&amp;"ical)'!D:D&lt;&gt;"""");filter('Students (Vertical)'!D:D,'Students (Vertical)'!C:C=E23,'Students (Vertical)'!D:D&lt;&gt;"""")})&gt;1))),"""")"),"Art of Fiction Intermediate Level, Spanish and Literature 11, Algebra II, Physics, PE 11")</f>
        <v>Art of Fiction Intermediate Level, Spanish and Literature 11, Algebra II, Physics, PE 11</v>
      </c>
    </row>
    <row r="24">
      <c r="A24" s="355">
        <v>23.0</v>
      </c>
      <c r="B24" s="45" t="s">
        <v>446</v>
      </c>
      <c r="C24" s="300">
        <v>27076.0</v>
      </c>
      <c r="D24" s="300">
        <v>11.0</v>
      </c>
      <c r="E24" s="45" t="s">
        <v>435</v>
      </c>
      <c r="F24" s="300">
        <v>27050.0</v>
      </c>
      <c r="G24" s="300">
        <v>11.0</v>
      </c>
      <c r="H24" s="45" t="s">
        <v>759</v>
      </c>
      <c r="I24" s="356" t="str">
        <f>IFERROR(__xludf.DUMMYFUNCTION("if(H24=""Must be Together"",iferror(join("", "",unique(filter({filter('Students (Vertical)'!O:O,'Students (Vertical)'!C:C=B24,'Students (Vertical)'!O:O&lt;&gt;"""");filter('Students (Vertical)'!O:O,'Students (Vertical)'!C:C=E24,'Students (Vertical)'!O:O&lt;&gt;"""")}"&amp;",countifs({filter('Students (Vertical)'!O:O,'Students (Vertical)'!C:C=B24,'Students (Vertical)'!O:O&lt;&gt;"""");filter('Students (Vertical)'!O:O,'Students (Vertical)'!C:C=E24,'Students (Vertical)'!O:O&lt;&gt;"""")},{filter('Students (Vertical)'!O:O,'Students (Vertic"&amp;"al)'!C:C=B24,'Students (Vertical)'!O:O&lt;&gt;"""");filter('Students (Vertical)'!O:O,'Students (Vertical)'!C:C=E24,'Students (Vertical)'!O:O&lt;&gt;"""")})&gt;1))),""No shared courses""),"""")"),"")</f>
        <v/>
      </c>
      <c r="J24" s="356" t="str">
        <f>IFERROR(__xludf.DUMMYFUNCTION("if(H24=""Can't be Together"",iferror(join("", "",unique(filter({filter('Students (Vertical)'!O:O,'Students (Vertical)'!C:C=B24,'Students (Vertical)'!O:O&lt;&gt;"""",'Students (Vertical)'!P:P&gt;1);filter('Students (Vertical)'!O:O,'Students (Vertical)'!C:C=E24,'Stu"&amp;"dents (Vertical)'!O:O&lt;&gt;"""",'Students (Vertical)'!P:P&gt;1)},countifs({filter('Students (Vertical)'!O:O,'Students (Vertical)'!C:C=B24,'Students (Vertical)'!O:O&lt;&gt;"""",'Students (Vertical)'!P:P&gt;1);filter('Students (Vertical)'!O:O,'Students (Vertical)'!C:C=E24,"&amp;"'Students (Vertical)'!O:O&lt;&gt;"""",'Students (Vertical)'!P:P&gt;1)},{filter('Students (Vertical)'!O:O,'Students (Vertical)'!C:C=B24,'Students (Vertical)'!O:O&lt;&gt;"""",'Students (Vertical)'!P:P&gt;1);filter('Students (Vertical)'!O:O,'Students (Vertical)'!C:C=E24,'Stud"&amp;"ents (Vertical)'!O:O&lt;&gt;"""",'Students (Vertical)'!P:P&gt;1)})&gt;1))),""""),"""")"),"Art of Fiction Intermediate Level-6, PE 11-2, AP Economics-7")</f>
        <v>Art of Fiction Intermediate Level-6, PE 11-2, AP Economics-7</v>
      </c>
      <c r="K24" s="358" t="str">
        <f>IFERROR(__xludf.DUMMYFUNCTION("iferror(join("", "",unique(filter({filter('Students (Vertical)'!D:D,'Students (Vertical)'!C:C=B24,'Students (Vertical)'!D:D&lt;&gt;"""");filter('Students (Vertical)'!D:D,'Students (Vertical)'!C:C=E24,'Students (Vertical)'!D:D&lt;&gt;"""")},countifs({filter('Students "&amp;"(Vertical)'!D:D,'Students (Vertical)'!C:C=B24,'Students (Vertical)'!D:D&lt;&gt;"""");filter('Students (Vertical)'!D:D,'Students (Vertical)'!C:C=E24,'Students (Vertical)'!D:D&lt;&gt;"""")},{filter('Students (Vertical)'!D:D,'Students (Vertical)'!C:C=B24,'Students (Vert"&amp;"ical)'!D:D&lt;&gt;"""");filter('Students (Vertical)'!D:D,'Students (Vertical)'!C:C=E24,'Students (Vertical)'!D:D&lt;&gt;"""")})&gt;1))),"""")"),"Art of Fiction Intermediate Level, Spanish and Literature 11, Algebra II, Physics, PE 11, Band Level I, AP Psychology, AP Economics")</f>
        <v>Art of Fiction Intermediate Level, Spanish and Literature 11, Algebra II, Physics, PE 11, Band Level I, AP Psychology, AP Economics</v>
      </c>
    </row>
    <row r="25">
      <c r="A25" s="355">
        <v>24.0</v>
      </c>
      <c r="B25" s="45" t="s">
        <v>446</v>
      </c>
      <c r="C25" s="300">
        <v>27076.0</v>
      </c>
      <c r="D25" s="300">
        <v>11.0</v>
      </c>
      <c r="E25" s="45" t="s">
        <v>476</v>
      </c>
      <c r="F25" s="300">
        <v>27042.0</v>
      </c>
      <c r="G25" s="300">
        <v>11.0</v>
      </c>
      <c r="H25" s="45" t="s">
        <v>759</v>
      </c>
      <c r="I25" s="356" t="str">
        <f>IFERROR(__xludf.DUMMYFUNCTION("if(H25=""Must be Together"",iferror(join("", "",unique(filter({filter('Students (Vertical)'!O:O,'Students (Vertical)'!C:C=B25,'Students (Vertical)'!O:O&lt;&gt;"""");filter('Students (Vertical)'!O:O,'Students (Vertical)'!C:C=E25,'Students (Vertical)'!O:O&lt;&gt;"""")}"&amp;",countifs({filter('Students (Vertical)'!O:O,'Students (Vertical)'!C:C=B25,'Students (Vertical)'!O:O&lt;&gt;"""");filter('Students (Vertical)'!O:O,'Students (Vertical)'!C:C=E25,'Students (Vertical)'!O:O&lt;&gt;"""")},{filter('Students (Vertical)'!O:O,'Students (Vertic"&amp;"al)'!C:C=B25,'Students (Vertical)'!O:O&lt;&gt;"""");filter('Students (Vertical)'!O:O,'Students (Vertical)'!C:C=E25,'Students (Vertical)'!O:O&lt;&gt;"""")})&gt;1))),""No shared courses""),"""")"),"")</f>
        <v/>
      </c>
      <c r="J25" s="357" t="str">
        <f>IFERROR(__xludf.DUMMYFUNCTION("if(H25=""Can't be Together"",iferror(join("", "",unique(filter({filter('Students (Vertical)'!O:O,'Students (Vertical)'!C:C=B25,'Students (Vertical)'!O:O&lt;&gt;"""",'Students (Vertical)'!P:P&gt;1);filter('Students (Vertical)'!O:O,'Students (Vertical)'!C:C=E25,'Stu"&amp;"dents (Vertical)'!O:O&lt;&gt;"""",'Students (Vertical)'!P:P&gt;1)},countifs({filter('Students (Vertical)'!O:O,'Students (Vertical)'!C:C=B25,'Students (Vertical)'!O:O&lt;&gt;"""",'Students (Vertical)'!P:P&gt;1);filter('Students (Vertical)'!O:O,'Students (Vertical)'!C:C=E25,"&amp;"'Students (Vertical)'!O:O&lt;&gt;"""",'Students (Vertical)'!P:P&gt;1)},{filter('Students (Vertical)'!O:O,'Students (Vertical)'!C:C=B25,'Students (Vertical)'!O:O&lt;&gt;"""",'Students (Vertical)'!P:P&gt;1);filter('Students (Vertical)'!O:O,'Students (Vertical)'!C:C=E25,'Stud"&amp;"ents (Vertical)'!O:O&lt;&gt;"""",'Students (Vertical)'!P:P&gt;1)})&gt;1))),""""),"""")"),"")</f>
        <v/>
      </c>
      <c r="K25" s="358" t="str">
        <f>IFERROR(__xludf.DUMMYFUNCTION("iferror(join("", "",unique(filter({filter('Students (Vertical)'!D:D,'Students (Vertical)'!C:C=B25,'Students (Vertical)'!D:D&lt;&gt;"""");filter('Students (Vertical)'!D:D,'Students (Vertical)'!C:C=E25,'Students (Vertical)'!D:D&lt;&gt;"""")},countifs({filter('Students "&amp;"(Vertical)'!D:D,'Students (Vertical)'!C:C=B25,'Students (Vertical)'!D:D&lt;&gt;"""");filter('Students (Vertical)'!D:D,'Students (Vertical)'!C:C=E25,'Students (Vertical)'!D:D&lt;&gt;"""")},{filter('Students (Vertical)'!D:D,'Students (Vertical)'!C:C=B25,'Students (Vert"&amp;"ical)'!D:D&lt;&gt;"""");filter('Students (Vertical)'!D:D,'Students (Vertical)'!C:C=E25,'Students (Vertical)'!D:D&lt;&gt;"""")})&gt;1))),"""")"),"Art of Fiction Intermediate Level, Spanish and Literature 11, Algebra II, Physics, PE 11, AP Economics")</f>
        <v>Art of Fiction Intermediate Level, Spanish and Literature 11, Algebra II, Physics, PE 11, AP Economics</v>
      </c>
    </row>
    <row r="26">
      <c r="A26" s="355">
        <v>25.0</v>
      </c>
      <c r="B26" s="45" t="s">
        <v>510</v>
      </c>
      <c r="C26" s="300">
        <v>27110.0</v>
      </c>
      <c r="D26" s="300">
        <v>11.0</v>
      </c>
      <c r="E26" s="45" t="s">
        <v>436</v>
      </c>
      <c r="F26" s="300">
        <v>27038.0</v>
      </c>
      <c r="G26" s="300">
        <v>11.0</v>
      </c>
      <c r="H26" s="45" t="s">
        <v>759</v>
      </c>
      <c r="I26" s="356" t="str">
        <f>IFERROR(__xludf.DUMMYFUNCTION("if(H26=""Must be Together"",iferror(join("", "",unique(filter({filter('Students (Vertical)'!O:O,'Students (Vertical)'!C:C=B26,'Students (Vertical)'!O:O&lt;&gt;"""");filter('Students (Vertical)'!O:O,'Students (Vertical)'!C:C=E26,'Students (Vertical)'!O:O&lt;&gt;"""")}"&amp;",countifs({filter('Students (Vertical)'!O:O,'Students (Vertical)'!C:C=B26,'Students (Vertical)'!O:O&lt;&gt;"""");filter('Students (Vertical)'!O:O,'Students (Vertical)'!C:C=E26,'Students (Vertical)'!O:O&lt;&gt;"""")},{filter('Students (Vertical)'!O:O,'Students (Vertic"&amp;"al)'!C:C=B26,'Students (Vertical)'!O:O&lt;&gt;"""");filter('Students (Vertical)'!O:O,'Students (Vertical)'!C:C=E26,'Students (Vertical)'!O:O&lt;&gt;"""")})&gt;1))),""No shared courses""),"""")"),"")</f>
        <v/>
      </c>
      <c r="J26" s="356" t="str">
        <f>IFERROR(__xludf.DUMMYFUNCTION("if(H26=""Can't be Together"",iferror(join("", "",unique(filter({filter('Students (Vertical)'!O:O,'Students (Vertical)'!C:C=B26,'Students (Vertical)'!O:O&lt;&gt;"""",'Students (Vertical)'!P:P&gt;1);filter('Students (Vertical)'!O:O,'Students (Vertical)'!C:C=E26,'Stu"&amp;"dents (Vertical)'!O:O&lt;&gt;"""",'Students (Vertical)'!P:P&gt;1)},countifs({filter('Students (Vertical)'!O:O,'Students (Vertical)'!C:C=B26,'Students (Vertical)'!O:O&lt;&gt;"""",'Students (Vertical)'!P:P&gt;1);filter('Students (Vertical)'!O:O,'Students (Vertical)'!C:C=E26,"&amp;"'Students (Vertical)'!O:O&lt;&gt;"""",'Students (Vertical)'!P:P&gt;1)},{filter('Students (Vertical)'!O:O,'Students (Vertical)'!C:C=B26,'Students (Vertical)'!O:O&lt;&gt;"""",'Students (Vertical)'!P:P&gt;1);filter('Students (Vertical)'!O:O,'Students (Vertical)'!C:C=E26,'Stud"&amp;"ents (Vertical)'!O:O&lt;&gt;"""",'Students (Vertical)'!P:P&gt;1)})&gt;1))),""""),"""")"),"")</f>
        <v/>
      </c>
      <c r="K26" s="358" t="str">
        <f>IFERROR(__xludf.DUMMYFUNCTION("iferror(join("", "",unique(filter({filter('Students (Vertical)'!D:D,'Students (Vertical)'!C:C=B26,'Students (Vertical)'!D:D&lt;&gt;"""");filter('Students (Vertical)'!D:D,'Students (Vertical)'!C:C=E26,'Students (Vertical)'!D:D&lt;&gt;"""")},countifs({filter('Students "&amp;"(Vertical)'!D:D,'Students (Vertical)'!C:C=B26,'Students (Vertical)'!D:D&lt;&gt;"""");filter('Students (Vertical)'!D:D,'Students (Vertical)'!C:C=E26,'Students (Vertical)'!D:D&lt;&gt;"""")},{filter('Students (Vertical)'!D:D,'Students (Vertical)'!C:C=B26,'Students (Vert"&amp;"ical)'!D:D&lt;&gt;"""");filter('Students (Vertical)'!D:D,'Students (Vertical)'!C:C=E26,'Students (Vertical)'!D:D&lt;&gt;"""")})&gt;1))),"""")"),"Art of Fiction Intermediate Level, Spanish and Literature 11, Algebra II, Physics, PE 11, Band Level I, Life Purpose")</f>
        <v>Art of Fiction Intermediate Level, Spanish and Literature 11, Algebra II, Physics, PE 11, Band Level I, Life Purpose</v>
      </c>
    </row>
    <row r="27">
      <c r="A27" s="355">
        <v>26.0</v>
      </c>
      <c r="B27" s="45" t="s">
        <v>486</v>
      </c>
      <c r="C27" s="300">
        <v>27101.0</v>
      </c>
      <c r="D27" s="300">
        <v>11.0</v>
      </c>
      <c r="E27" s="45" t="s">
        <v>432</v>
      </c>
      <c r="F27" s="300">
        <v>27086.0</v>
      </c>
      <c r="G27" s="300">
        <v>11.0</v>
      </c>
      <c r="H27" s="45" t="s">
        <v>759</v>
      </c>
      <c r="I27" s="356" t="str">
        <f>IFERROR(__xludf.DUMMYFUNCTION("if(H27=""Must be Together"",iferror(join("", "",unique(filter({filter('Students (Vertical)'!O:O,'Students (Vertical)'!C:C=B27,'Students (Vertical)'!O:O&lt;&gt;"""");filter('Students (Vertical)'!O:O,'Students (Vertical)'!C:C=E27,'Students (Vertical)'!O:O&lt;&gt;"""")}"&amp;",countifs({filter('Students (Vertical)'!O:O,'Students (Vertical)'!C:C=B27,'Students (Vertical)'!O:O&lt;&gt;"""");filter('Students (Vertical)'!O:O,'Students (Vertical)'!C:C=E27,'Students (Vertical)'!O:O&lt;&gt;"""")},{filter('Students (Vertical)'!O:O,'Students (Vertic"&amp;"al)'!C:C=B27,'Students (Vertical)'!O:O&lt;&gt;"""");filter('Students (Vertical)'!O:O,'Students (Vertical)'!C:C=E27,'Students (Vertical)'!O:O&lt;&gt;"""")})&gt;1))),""No shared courses""),"""")"),"")</f>
        <v/>
      </c>
      <c r="J27" s="357" t="str">
        <f>IFERROR(__xludf.DUMMYFUNCTION("if(H27=""Can't be Together"",iferror(join("", "",unique(filter({filter('Students (Vertical)'!O:O,'Students (Vertical)'!C:C=B27,'Students (Vertical)'!O:O&lt;&gt;"""",'Students (Vertical)'!P:P&gt;1);filter('Students (Vertical)'!O:O,'Students (Vertical)'!C:C=E27,'Stu"&amp;"dents (Vertical)'!O:O&lt;&gt;"""",'Students (Vertical)'!P:P&gt;1)},countifs({filter('Students (Vertical)'!O:O,'Students (Vertical)'!C:C=B27,'Students (Vertical)'!O:O&lt;&gt;"""",'Students (Vertical)'!P:P&gt;1);filter('Students (Vertical)'!O:O,'Students (Vertical)'!C:C=E27,"&amp;"'Students (Vertical)'!O:O&lt;&gt;"""",'Students (Vertical)'!P:P&gt;1)},{filter('Students (Vertical)'!O:O,'Students (Vertical)'!C:C=B27,'Students (Vertical)'!O:O&lt;&gt;"""",'Students (Vertical)'!P:P&gt;1);filter('Students (Vertical)'!O:O,'Students (Vertical)'!C:C=E27,'Stud"&amp;"ents (Vertical)'!O:O&lt;&gt;"""",'Students (Vertical)'!P:P&gt;1)})&gt;1))),""""),"""")"),"")</f>
        <v/>
      </c>
      <c r="K27" s="358" t="str">
        <f>IFERROR(__xludf.DUMMYFUNCTION("iferror(join("", "",unique(filter({filter('Students (Vertical)'!D:D,'Students (Vertical)'!C:C=B27,'Students (Vertical)'!D:D&lt;&gt;"""");filter('Students (Vertical)'!D:D,'Students (Vertical)'!C:C=E27,'Students (Vertical)'!D:D&lt;&gt;"""")},countifs({filter('Students "&amp;"(Vertical)'!D:D,'Students (Vertical)'!C:C=B27,'Students (Vertical)'!D:D&lt;&gt;"""");filter('Students (Vertical)'!D:D,'Students (Vertical)'!C:C=E27,'Students (Vertical)'!D:D&lt;&gt;"""")},{filter('Students (Vertical)'!D:D,'Students (Vertical)'!C:C=B27,'Students (Vert"&amp;"ical)'!D:D&lt;&gt;"""");filter('Students (Vertical)'!D:D,'Students (Vertical)'!C:C=E27,'Students (Vertical)'!D:D&lt;&gt;"""")})&gt;1))),"""")"),"Spanish and Literature 11, PE 11")</f>
        <v>Spanish and Literature 11, PE 11</v>
      </c>
    </row>
    <row r="28">
      <c r="A28" s="355">
        <v>27.0</v>
      </c>
      <c r="B28" s="45" t="s">
        <v>486</v>
      </c>
      <c r="C28" s="300">
        <v>27101.0</v>
      </c>
      <c r="D28" s="300">
        <v>11.0</v>
      </c>
      <c r="E28" s="45" t="s">
        <v>488</v>
      </c>
      <c r="F28" s="300">
        <v>27151.0</v>
      </c>
      <c r="G28" s="300">
        <v>11.0</v>
      </c>
      <c r="H28" s="45" t="s">
        <v>759</v>
      </c>
      <c r="I28" s="356" t="str">
        <f>IFERROR(__xludf.DUMMYFUNCTION("if(H28=""Must be Together"",iferror(join("", "",unique(filter({filter('Students (Vertical)'!O:O,'Students (Vertical)'!C:C=B28,'Students (Vertical)'!O:O&lt;&gt;"""");filter('Students (Vertical)'!O:O,'Students (Vertical)'!C:C=E28,'Students (Vertical)'!O:O&lt;&gt;"""")}"&amp;",countifs({filter('Students (Vertical)'!O:O,'Students (Vertical)'!C:C=B28,'Students (Vertical)'!O:O&lt;&gt;"""");filter('Students (Vertical)'!O:O,'Students (Vertical)'!C:C=E28,'Students (Vertical)'!O:O&lt;&gt;"""")},{filter('Students (Vertical)'!O:O,'Students (Vertic"&amp;"al)'!C:C=B28,'Students (Vertical)'!O:O&lt;&gt;"""");filter('Students (Vertical)'!O:O,'Students (Vertical)'!C:C=E28,'Students (Vertical)'!O:O&lt;&gt;"""")})&gt;1))),""No shared courses""),"""")"),"")</f>
        <v/>
      </c>
      <c r="J28" s="357" t="str">
        <f>IFERROR(__xludf.DUMMYFUNCTION("if(H28=""Can't be Together"",iferror(join("", "",unique(filter({filter('Students (Vertical)'!O:O,'Students (Vertical)'!C:C=B28,'Students (Vertical)'!O:O&lt;&gt;"""",'Students (Vertical)'!P:P&gt;1);filter('Students (Vertical)'!O:O,'Students (Vertical)'!C:C=E28,'Stu"&amp;"dents (Vertical)'!O:O&lt;&gt;"""",'Students (Vertical)'!P:P&gt;1)},countifs({filter('Students (Vertical)'!O:O,'Students (Vertical)'!C:C=B28,'Students (Vertical)'!O:O&lt;&gt;"""",'Students (Vertical)'!P:P&gt;1);filter('Students (Vertical)'!O:O,'Students (Vertical)'!C:C=E28,"&amp;"'Students (Vertical)'!O:O&lt;&gt;"""",'Students (Vertical)'!P:P&gt;1)},{filter('Students (Vertical)'!O:O,'Students (Vertical)'!C:C=B28,'Students (Vertical)'!O:O&lt;&gt;"""",'Students (Vertical)'!P:P&gt;1);filter('Students (Vertical)'!O:O,'Students (Vertical)'!C:C=E28,'Stud"&amp;"ents (Vertical)'!O:O&lt;&gt;"""",'Students (Vertical)'!P:P&gt;1)})&gt;1))),""""),"""")"),"")</f>
        <v/>
      </c>
      <c r="K28" s="358" t="str">
        <f>IFERROR(__xludf.DUMMYFUNCTION("iferror(join("", "",unique(filter({filter('Students (Vertical)'!D:D,'Students (Vertical)'!C:C=B28,'Students (Vertical)'!D:D&lt;&gt;"""");filter('Students (Vertical)'!D:D,'Students (Vertical)'!C:C=E28,'Students (Vertical)'!D:D&lt;&gt;"""")},countifs({filter('Students "&amp;"(Vertical)'!D:D,'Students (Vertical)'!C:C=B28,'Students (Vertical)'!D:D&lt;&gt;"""");filter('Students (Vertical)'!D:D,'Students (Vertical)'!C:C=E28,'Students (Vertical)'!D:D&lt;&gt;"""")},{filter('Students (Vertical)'!D:D,'Students (Vertical)'!C:C=B28,'Students (Vert"&amp;"ical)'!D:D&lt;&gt;"""");filter('Students (Vertical)'!D:D,'Students (Vertical)'!C:C=E28,'Students (Vertical)'!D:D&lt;&gt;"""")})&gt;1))),"""")"),"Spanish and Literature 11, AP Calculus AB, AP Physics 1, PE 11, AP Economics, AP Computer Science Principles")</f>
        <v>Spanish and Literature 11, AP Calculus AB, AP Physics 1, PE 11, AP Economics, AP Computer Science Principles</v>
      </c>
    </row>
    <row r="29">
      <c r="A29" s="355">
        <v>28.0</v>
      </c>
      <c r="B29" s="45" t="s">
        <v>486</v>
      </c>
      <c r="C29" s="300">
        <v>27101.0</v>
      </c>
      <c r="D29" s="300">
        <v>11.0</v>
      </c>
      <c r="E29" s="45" t="s">
        <v>501</v>
      </c>
      <c r="F29" s="300">
        <v>27103.0</v>
      </c>
      <c r="G29" s="300">
        <v>11.0</v>
      </c>
      <c r="H29" s="45" t="s">
        <v>759</v>
      </c>
      <c r="I29" s="356" t="str">
        <f>IFERROR(__xludf.DUMMYFUNCTION("if(H29=""Must be Together"",iferror(join("", "",unique(filter({filter('Students (Vertical)'!O:O,'Students (Vertical)'!C:C=B29,'Students (Vertical)'!O:O&lt;&gt;"""");filter('Students (Vertical)'!O:O,'Students (Vertical)'!C:C=E29,'Students (Vertical)'!O:O&lt;&gt;"""")}"&amp;",countifs({filter('Students (Vertical)'!O:O,'Students (Vertical)'!C:C=B29,'Students (Vertical)'!O:O&lt;&gt;"""");filter('Students (Vertical)'!O:O,'Students (Vertical)'!C:C=E29,'Students (Vertical)'!O:O&lt;&gt;"""")},{filter('Students (Vertical)'!O:O,'Students (Vertic"&amp;"al)'!C:C=B29,'Students (Vertical)'!O:O&lt;&gt;"""");filter('Students (Vertical)'!O:O,'Students (Vertical)'!C:C=E29,'Students (Vertical)'!O:O&lt;&gt;"""")})&gt;1))),""No shared courses""),"""")"),"")</f>
        <v/>
      </c>
      <c r="J29" s="356" t="str">
        <f>IFERROR(__xludf.DUMMYFUNCTION("if(H29=""Can't be Together"",iferror(join("", "",unique(filter({filter('Students (Vertical)'!O:O,'Students (Vertical)'!C:C=B29,'Students (Vertical)'!O:O&lt;&gt;"""",'Students (Vertical)'!P:P&gt;1);filter('Students (Vertical)'!O:O,'Students (Vertical)'!C:C=E29,'Stu"&amp;"dents (Vertical)'!O:O&lt;&gt;"""",'Students (Vertical)'!P:P&gt;1)},countifs({filter('Students (Vertical)'!O:O,'Students (Vertical)'!C:C=B29,'Students (Vertical)'!O:O&lt;&gt;"""",'Students (Vertical)'!P:P&gt;1);filter('Students (Vertical)'!O:O,'Students (Vertical)'!C:C=E29,"&amp;"'Students (Vertical)'!O:O&lt;&gt;"""",'Students (Vertical)'!P:P&gt;1)},{filter('Students (Vertical)'!O:O,'Students (Vertical)'!C:C=B29,'Students (Vertical)'!O:O&lt;&gt;"""",'Students (Vertical)'!P:P&gt;1);filter('Students (Vertical)'!O:O,'Students (Vertical)'!C:C=E29,'Stud"&amp;"ents (Vertical)'!O:O&lt;&gt;"""",'Students (Vertical)'!P:P&gt;1)})&gt;1))),""""),"""")"),"Spanish and Literature 11-5")</f>
        <v>Spanish and Literature 11-5</v>
      </c>
      <c r="K29" s="358" t="str">
        <f>IFERROR(__xludf.DUMMYFUNCTION("iferror(join("", "",unique(filter({filter('Students (Vertical)'!D:D,'Students (Vertical)'!C:C=B29,'Students (Vertical)'!D:D&lt;&gt;"""");filter('Students (Vertical)'!D:D,'Students (Vertical)'!C:C=E29,'Students (Vertical)'!D:D&lt;&gt;"""")},countifs({filter('Students "&amp;"(Vertical)'!D:D,'Students (Vertical)'!C:C=B29,'Students (Vertical)'!D:D&lt;&gt;"""");filter('Students (Vertical)'!D:D,'Students (Vertical)'!C:C=E29,'Students (Vertical)'!D:D&lt;&gt;"""")},{filter('Students (Vertical)'!D:D,'Students (Vertical)'!C:C=B29,'Students (Vert"&amp;"ical)'!D:D&lt;&gt;"""");filter('Students (Vertical)'!D:D,'Students (Vertical)'!C:C=E29,'Students (Vertical)'!D:D&lt;&gt;"""")})&gt;1))),"""")"),"Journalism Intermediate Level, Spanish and Literature 11, PE 11, Band Level II, AP Economics")</f>
        <v>Journalism Intermediate Level, Spanish and Literature 11, PE 11, Band Level II, AP Economics</v>
      </c>
    </row>
    <row r="30">
      <c r="A30" s="355">
        <v>29.0</v>
      </c>
      <c r="B30" s="45" t="s">
        <v>463</v>
      </c>
      <c r="C30" s="300">
        <v>27147.0</v>
      </c>
      <c r="D30" s="300">
        <v>11.0</v>
      </c>
      <c r="E30" s="45" t="s">
        <v>455</v>
      </c>
      <c r="F30" s="300">
        <v>26106.0</v>
      </c>
      <c r="G30" s="300">
        <v>11.0</v>
      </c>
      <c r="H30" s="45" t="s">
        <v>760</v>
      </c>
      <c r="I30" s="356" t="str">
        <f>IFERROR(__xludf.DUMMYFUNCTION("if(H30=""Must be Together"",iferror(join("", "",unique(filter({filter('Students (Vertical)'!O:O,'Students (Vertical)'!C:C=B30,'Students (Vertical)'!O:O&lt;&gt;"""");filter('Students (Vertical)'!O:O,'Students (Vertical)'!C:C=E30,'Students (Vertical)'!O:O&lt;&gt;"""")}"&amp;",countifs({filter('Students (Vertical)'!O:O,'Students (Vertical)'!C:C=B30,'Students (Vertical)'!O:O&lt;&gt;"""");filter('Students (Vertical)'!O:O,'Students (Vertical)'!C:C=E30,'Students (Vertical)'!O:O&lt;&gt;"""")},{filter('Students (Vertical)'!O:O,'Students (Vertic"&amp;"al)'!C:C=B30,'Students (Vertical)'!O:O&lt;&gt;"""");filter('Students (Vertical)'!O:O,'Students (Vertical)'!C:C=E30,'Students (Vertical)'!O:O&lt;&gt;"""")})&gt;1))),""No shared courses""),"""")"),"Spanish Film, Art, and Literature-5, AP Physics 1-1")</f>
        <v>Spanish Film, Art, and Literature-5, AP Physics 1-1</v>
      </c>
      <c r="J30" s="357" t="str">
        <f>IFERROR(__xludf.DUMMYFUNCTION("if(H30=""Can't be Together"",iferror(join("", "",unique(filter({filter('Students (Vertical)'!O:O,'Students (Vertical)'!C:C=B30,'Students (Vertical)'!O:O&lt;&gt;"""",'Students (Vertical)'!P:P&gt;1);filter('Students (Vertical)'!O:O,'Students (Vertical)'!C:C=E30,'Stu"&amp;"dents (Vertical)'!O:O&lt;&gt;"""",'Students (Vertical)'!P:P&gt;1)},countifs({filter('Students (Vertical)'!O:O,'Students (Vertical)'!C:C=B30,'Students (Vertical)'!O:O&lt;&gt;"""",'Students (Vertical)'!P:P&gt;1);filter('Students (Vertical)'!O:O,'Students (Vertical)'!C:C=E30,"&amp;"'Students (Vertical)'!O:O&lt;&gt;"""",'Students (Vertical)'!P:P&gt;1)},{filter('Students (Vertical)'!O:O,'Students (Vertical)'!C:C=B30,'Students (Vertical)'!O:O&lt;&gt;"""",'Students (Vertical)'!P:P&gt;1);filter('Students (Vertical)'!O:O,'Students (Vertical)'!C:C=E30,'Stud"&amp;"ents (Vertical)'!O:O&lt;&gt;"""",'Students (Vertical)'!P:P&gt;1)})&gt;1))),""""),"""")"),"")</f>
        <v/>
      </c>
      <c r="K30" s="358" t="str">
        <f>IFERROR(__xludf.DUMMYFUNCTION("iferror(join("", "",unique(filter({filter('Students (Vertical)'!D:D,'Students (Vertical)'!C:C=B30,'Students (Vertical)'!D:D&lt;&gt;"""");filter('Students (Vertical)'!D:D,'Students (Vertical)'!C:C=E30,'Students (Vertical)'!D:D&lt;&gt;"""")},countifs({filter('Students "&amp;"(Vertical)'!D:D,'Students (Vertical)'!C:C=B30,'Students (Vertical)'!D:D&lt;&gt;"""");filter('Students (Vertical)'!D:D,'Students (Vertical)'!C:C=E30,'Students (Vertical)'!D:D&lt;&gt;"""")},{filter('Students (Vertical)'!D:D,'Students (Vertical)'!C:C=B30,'Students (Vert"&amp;"ical)'!D:D&lt;&gt;"""");filter('Students (Vertical)'!D:D,'Students (Vertical)'!C:C=E30,'Students (Vertical)'!D:D&lt;&gt;"""")})&gt;1))),"""")"),"Spanish Film, Art, and Literature, AP Physics 1, PE 11, Life Purpose")</f>
        <v>Spanish Film, Art, and Literature, AP Physics 1, PE 11, Life Purpose</v>
      </c>
    </row>
    <row r="31">
      <c r="A31" s="355">
        <v>30.0</v>
      </c>
      <c r="B31" s="45" t="s">
        <v>413</v>
      </c>
      <c r="C31" s="300">
        <v>27118.0</v>
      </c>
      <c r="D31" s="300">
        <v>11.0</v>
      </c>
      <c r="E31" s="45" t="s">
        <v>414</v>
      </c>
      <c r="F31" s="300">
        <v>27039.0</v>
      </c>
      <c r="G31" s="300">
        <v>11.0</v>
      </c>
      <c r="H31" s="45" t="s">
        <v>759</v>
      </c>
      <c r="I31" s="356" t="str">
        <f>IFERROR(__xludf.DUMMYFUNCTION("if(H31=""Must be Together"",iferror(join("", "",unique(filter({filter('Students (Vertical)'!O:O,'Students (Vertical)'!C:C=B31,'Students (Vertical)'!O:O&lt;&gt;"""");filter('Students (Vertical)'!O:O,'Students (Vertical)'!C:C=E31,'Students (Vertical)'!O:O&lt;&gt;"""")}"&amp;",countifs({filter('Students (Vertical)'!O:O,'Students (Vertical)'!C:C=B31,'Students (Vertical)'!O:O&lt;&gt;"""");filter('Students (Vertical)'!O:O,'Students (Vertical)'!C:C=E31,'Students (Vertical)'!O:O&lt;&gt;"""")},{filter('Students (Vertical)'!O:O,'Students (Vertic"&amp;"al)'!C:C=B31,'Students (Vertical)'!O:O&lt;&gt;"""");filter('Students (Vertical)'!O:O,'Students (Vertical)'!C:C=E31,'Students (Vertical)'!O:O&lt;&gt;"""")})&gt;1))),""No shared courses""),"""")"),"")</f>
        <v/>
      </c>
      <c r="J31" s="357" t="str">
        <f>IFERROR(__xludf.DUMMYFUNCTION("if(H31=""Can't be Together"",iferror(join("", "",unique(filter({filter('Students (Vertical)'!O:O,'Students (Vertical)'!C:C=B31,'Students (Vertical)'!O:O&lt;&gt;"""",'Students (Vertical)'!P:P&gt;1);filter('Students (Vertical)'!O:O,'Students (Vertical)'!C:C=E31,'Stu"&amp;"dents (Vertical)'!O:O&lt;&gt;"""",'Students (Vertical)'!P:P&gt;1)},countifs({filter('Students (Vertical)'!O:O,'Students (Vertical)'!C:C=B31,'Students (Vertical)'!O:O&lt;&gt;"""",'Students (Vertical)'!P:P&gt;1);filter('Students (Vertical)'!O:O,'Students (Vertical)'!C:C=E31,"&amp;"'Students (Vertical)'!O:O&lt;&gt;"""",'Students (Vertical)'!P:P&gt;1)},{filter('Students (Vertical)'!O:O,'Students (Vertical)'!C:C=B31,'Students (Vertical)'!O:O&lt;&gt;"""",'Students (Vertical)'!P:P&gt;1);filter('Students (Vertical)'!O:O,'Students (Vertical)'!C:C=E31,'Stud"&amp;"ents (Vertical)'!O:O&lt;&gt;"""",'Students (Vertical)'!P:P&gt;1)})&gt;1))),""""),"""")"),"")</f>
        <v/>
      </c>
      <c r="K31" s="358" t="str">
        <f>IFERROR(__xludf.DUMMYFUNCTION("iferror(join("", "",unique(filter({filter('Students (Vertical)'!D:D,'Students (Vertical)'!C:C=B31,'Students (Vertical)'!D:D&lt;&gt;"""");filter('Students (Vertical)'!D:D,'Students (Vertical)'!C:C=E31,'Students (Vertical)'!D:D&lt;&gt;"""")},countifs({filter('Students "&amp;"(Vertical)'!D:D,'Students (Vertical)'!C:C=B31,'Students (Vertical)'!D:D&lt;&gt;"""");filter('Students (Vertical)'!D:D,'Students (Vertical)'!C:C=E31,'Students (Vertical)'!D:D&lt;&gt;"""")},{filter('Students (Vertical)'!D:D,'Students (Vertical)'!C:C=B31,'Students (Vert"&amp;"ical)'!D:D&lt;&gt;"""");filter('Students (Vertical)'!D:D,'Students (Vertical)'!C:C=E31,'Students (Vertical)'!D:D&lt;&gt;"""")})&gt;1))),"""")"),"Spanish Film, Art, and Literature, Algebra II, Physics, PE 11")</f>
        <v>Spanish Film, Art, and Literature, Algebra II, Physics, PE 11</v>
      </c>
    </row>
    <row r="32">
      <c r="A32" s="355">
        <v>31.0</v>
      </c>
      <c r="B32" s="45" t="s">
        <v>482</v>
      </c>
      <c r="C32" s="300">
        <v>26012.0</v>
      </c>
      <c r="D32" s="300">
        <v>11.0</v>
      </c>
      <c r="E32" s="45" t="s">
        <v>459</v>
      </c>
      <c r="F32" s="300">
        <v>27023.0</v>
      </c>
      <c r="G32" s="300">
        <v>11.0</v>
      </c>
      <c r="H32" s="45" t="s">
        <v>760</v>
      </c>
      <c r="I32" s="356" t="str">
        <f>IFERROR(__xludf.DUMMYFUNCTION("if(H32=""Must be Together"",iferror(join("", "",unique(filter({filter('Students (Vertical)'!O:O,'Students (Vertical)'!C:C=B32,'Students (Vertical)'!O:O&lt;&gt;"""");filter('Students (Vertical)'!O:O,'Students (Vertical)'!C:C=E32,'Students (Vertical)'!O:O&lt;&gt;"""")}"&amp;",countifs({filter('Students (Vertical)'!O:O,'Students (Vertical)'!C:C=B32,'Students (Vertical)'!O:O&lt;&gt;"""");filter('Students (Vertical)'!O:O,'Students (Vertical)'!C:C=E32,'Students (Vertical)'!O:O&lt;&gt;"""")},{filter('Students (Vertical)'!O:O,'Students (Vertic"&amp;"al)'!C:C=B32,'Students (Vertical)'!O:O&lt;&gt;"""");filter('Students (Vertical)'!O:O,'Students (Vertical)'!C:C=E32,'Students (Vertical)'!O:O&lt;&gt;"""")})&gt;1))),""No shared courses""),"""")"),"Art of Fiction Higher Level-8, Sculpture I-3")</f>
        <v>Art of Fiction Higher Level-8, Sculpture I-3</v>
      </c>
      <c r="J32" s="357" t="str">
        <f>IFERROR(__xludf.DUMMYFUNCTION("if(H32=""Can't be Together"",iferror(join("", "",unique(filter({filter('Students (Vertical)'!O:O,'Students (Vertical)'!C:C=B32,'Students (Vertical)'!O:O&lt;&gt;"""",'Students (Vertical)'!P:P&gt;1);filter('Students (Vertical)'!O:O,'Students (Vertical)'!C:C=E32,'Stu"&amp;"dents (Vertical)'!O:O&lt;&gt;"""",'Students (Vertical)'!P:P&gt;1)},countifs({filter('Students (Vertical)'!O:O,'Students (Vertical)'!C:C=B32,'Students (Vertical)'!O:O&lt;&gt;"""",'Students (Vertical)'!P:P&gt;1);filter('Students (Vertical)'!O:O,'Students (Vertical)'!C:C=E32,"&amp;"'Students (Vertical)'!O:O&lt;&gt;"""",'Students (Vertical)'!P:P&gt;1)},{filter('Students (Vertical)'!O:O,'Students (Vertical)'!C:C=B32,'Students (Vertical)'!O:O&lt;&gt;"""",'Students (Vertical)'!P:P&gt;1);filter('Students (Vertical)'!O:O,'Students (Vertical)'!C:C=E32,'Stud"&amp;"ents (Vertical)'!O:O&lt;&gt;"""",'Students (Vertical)'!P:P&gt;1)})&gt;1))),""""),"""")"),"")</f>
        <v/>
      </c>
      <c r="K32" s="358" t="str">
        <f>IFERROR(__xludf.DUMMYFUNCTION("iferror(join("", "",unique(filter({filter('Students (Vertical)'!D:D,'Students (Vertical)'!C:C=B32,'Students (Vertical)'!D:D&lt;&gt;"""");filter('Students (Vertical)'!D:D,'Students (Vertical)'!C:C=E32,'Students (Vertical)'!D:D&lt;&gt;"""")},countifs({filter('Students "&amp;"(Vertical)'!D:D,'Students (Vertical)'!C:C=B32,'Students (Vertical)'!D:D&lt;&gt;"""");filter('Students (Vertical)'!D:D,'Students (Vertical)'!C:C=E32,'Students (Vertical)'!D:D&lt;&gt;"""")},{filter('Students (Vertical)'!D:D,'Students (Vertical)'!C:C=B32,'Students (Vert"&amp;"ical)'!D:D&lt;&gt;"""");filter('Students (Vertical)'!D:D,'Students (Vertical)'!C:C=E32,'Students (Vertical)'!D:D&lt;&gt;"""")})&gt;1))),"""")"),"Art of Fiction Higher Level, Spanish and Literature 11, PE 11, Sculpture I, Life Purpose")</f>
        <v>Art of Fiction Higher Level, Spanish and Literature 11, PE 11, Sculpture I, Life Purpose</v>
      </c>
    </row>
    <row r="33">
      <c r="A33" s="355">
        <v>32.0</v>
      </c>
      <c r="B33" s="45" t="s">
        <v>645</v>
      </c>
      <c r="C33" s="300">
        <v>26047.0</v>
      </c>
      <c r="D33" s="300">
        <v>12.0</v>
      </c>
      <c r="E33" s="45" t="s">
        <v>637</v>
      </c>
      <c r="F33" s="300">
        <v>26122.0</v>
      </c>
      <c r="G33" s="300">
        <v>12.0</v>
      </c>
      <c r="H33" s="45" t="s">
        <v>759</v>
      </c>
      <c r="I33" s="356" t="str">
        <f>IFERROR(__xludf.DUMMYFUNCTION("if(H33=""Must be Together"",iferror(join("", "",unique(filter({filter('Students (Vertical)'!O:O,'Students (Vertical)'!C:C=B33,'Students (Vertical)'!O:O&lt;&gt;"""");filter('Students (Vertical)'!O:O,'Students (Vertical)'!C:C=E33,'Students (Vertical)'!O:O&lt;&gt;"""")}"&amp;",countifs({filter('Students (Vertical)'!O:O,'Students (Vertical)'!C:C=B33,'Students (Vertical)'!O:O&lt;&gt;"""");filter('Students (Vertical)'!O:O,'Students (Vertical)'!C:C=E33,'Students (Vertical)'!O:O&lt;&gt;"""")},{filter('Students (Vertical)'!O:O,'Students (Vertic"&amp;"al)'!C:C=B33,'Students (Vertical)'!O:O&lt;&gt;"""");filter('Students (Vertical)'!O:O,'Students (Vertical)'!C:C=E33,'Students (Vertical)'!O:O&lt;&gt;"""")})&gt;1))),""No shared courses""),"""")"),"")</f>
        <v/>
      </c>
      <c r="J33" s="357" t="str">
        <f>IFERROR(__xludf.DUMMYFUNCTION("if(H33=""Can't be Together"",iferror(join("", "",unique(filter({filter('Students (Vertical)'!O:O,'Students (Vertical)'!C:C=B33,'Students (Vertical)'!O:O&lt;&gt;"""",'Students (Vertical)'!P:P&gt;1);filter('Students (Vertical)'!O:O,'Students (Vertical)'!C:C=E33,'Stu"&amp;"dents (Vertical)'!O:O&lt;&gt;"""",'Students (Vertical)'!P:P&gt;1)},countifs({filter('Students (Vertical)'!O:O,'Students (Vertical)'!C:C=B33,'Students (Vertical)'!O:O&lt;&gt;"""",'Students (Vertical)'!P:P&gt;1);filter('Students (Vertical)'!O:O,'Students (Vertical)'!C:C=E33,"&amp;"'Students (Vertical)'!O:O&lt;&gt;"""",'Students (Vertical)'!P:P&gt;1)},{filter('Students (Vertical)'!O:O,'Students (Vertical)'!C:C=B33,'Students (Vertical)'!O:O&lt;&gt;"""",'Students (Vertical)'!P:P&gt;1);filter('Students (Vertical)'!O:O,'Students (Vertical)'!C:C=E33,'Stud"&amp;"ents (Vertical)'!O:O&lt;&gt;"""",'Students (Vertical)'!P:P&gt;1)})&gt;1))),""""),"""")"),"")</f>
        <v/>
      </c>
      <c r="K33" s="358" t="str">
        <f>IFERROR(__xludf.DUMMYFUNCTION("iferror(join("", "",unique(filter({filter('Students (Vertical)'!D:D,'Students (Vertical)'!C:C=B33,'Students (Vertical)'!D:D&lt;&gt;"""");filter('Students (Vertical)'!D:D,'Students (Vertical)'!C:C=E33,'Students (Vertical)'!D:D&lt;&gt;"""")},countifs({filter('Students "&amp;"(Vertical)'!D:D,'Students (Vertical)'!C:C=B33,'Students (Vertical)'!D:D&lt;&gt;"""");filter('Students (Vertical)'!D:D,'Students (Vertical)'!C:C=E33,'Students (Vertical)'!D:D&lt;&gt;"""")},{filter('Students (Vertical)'!D:D,'Students (Vertical)'!C:C=B33,'Students (Vert"&amp;"ical)'!D:D&lt;&gt;"""");filter('Students (Vertical)'!D:D,'Students (Vertical)'!C:C=E33,'Students (Vertical)'!D:D&lt;&gt;"""")})&gt;1))),"""")"),"Journalism Higher Level, Spanish and Literature 12, Calculus, Environmental Science, PE 12, ISC")</f>
        <v>Journalism Higher Level, Spanish and Literature 12, Calculus, Environmental Science, PE 12, ISC</v>
      </c>
    </row>
    <row r="34">
      <c r="A34" s="355">
        <v>33.0</v>
      </c>
      <c r="B34" s="45" t="s">
        <v>645</v>
      </c>
      <c r="C34" s="300">
        <v>26047.0</v>
      </c>
      <c r="D34" s="300">
        <v>12.0</v>
      </c>
      <c r="E34" s="45" t="s">
        <v>619</v>
      </c>
      <c r="F34" s="300">
        <v>26008.0</v>
      </c>
      <c r="G34" s="300">
        <v>12.0</v>
      </c>
      <c r="H34" s="45" t="s">
        <v>759</v>
      </c>
      <c r="I34" s="356" t="str">
        <f>IFERROR(__xludf.DUMMYFUNCTION("if(H34=""Must be Together"",iferror(join("", "",unique(filter({filter('Students (Vertical)'!O:O,'Students (Vertical)'!C:C=B34,'Students (Vertical)'!O:O&lt;&gt;"""");filter('Students (Vertical)'!O:O,'Students (Vertical)'!C:C=E34,'Students (Vertical)'!O:O&lt;&gt;"""")}"&amp;",countifs({filter('Students (Vertical)'!O:O,'Students (Vertical)'!C:C=B34,'Students (Vertical)'!O:O&lt;&gt;"""");filter('Students (Vertical)'!O:O,'Students (Vertical)'!C:C=E34,'Students (Vertical)'!O:O&lt;&gt;"""")},{filter('Students (Vertical)'!O:O,'Students (Vertic"&amp;"al)'!C:C=B34,'Students (Vertical)'!O:O&lt;&gt;"""");filter('Students (Vertical)'!O:O,'Students (Vertical)'!C:C=E34,'Students (Vertical)'!O:O&lt;&gt;"""")})&gt;1))),""No shared courses""),"""")"),"")</f>
        <v/>
      </c>
      <c r="J34" s="356" t="str">
        <f>IFERROR(__xludf.DUMMYFUNCTION("if(H34=""Can't be Together"",iferror(join("", "",unique(filter({filter('Students (Vertical)'!O:O,'Students (Vertical)'!C:C=B34,'Students (Vertical)'!O:O&lt;&gt;"""",'Students (Vertical)'!P:P&gt;1);filter('Students (Vertical)'!O:O,'Students (Vertical)'!C:C=E34,'Stu"&amp;"dents (Vertical)'!O:O&lt;&gt;"""",'Students (Vertical)'!P:P&gt;1)},countifs({filter('Students (Vertical)'!O:O,'Students (Vertical)'!C:C=B34,'Students (Vertical)'!O:O&lt;&gt;"""",'Students (Vertical)'!P:P&gt;1);filter('Students (Vertical)'!O:O,'Students (Vertical)'!C:C=E34,"&amp;"'Students (Vertical)'!O:O&lt;&gt;"""",'Students (Vertical)'!P:P&gt;1)},{filter('Students (Vertical)'!O:O,'Students (Vertical)'!C:C=B34,'Students (Vertical)'!O:O&lt;&gt;"""",'Students (Vertical)'!P:P&gt;1);filter('Students (Vertical)'!O:O,'Students (Vertical)'!C:C=E34,'Stud"&amp;"ents (Vertical)'!O:O&lt;&gt;"""",'Students (Vertical)'!P:P&gt;1)})&gt;1))),""""),"""")"),"Journalism Higher Level-8, Environmental Science-2, Drawing I-3")</f>
        <v>Journalism Higher Level-8, Environmental Science-2, Drawing I-3</v>
      </c>
      <c r="K34" s="358" t="str">
        <f>IFERROR(__xludf.DUMMYFUNCTION("iferror(join("", "",unique(filter({filter('Students (Vertical)'!D:D,'Students (Vertical)'!C:C=B34,'Students (Vertical)'!D:D&lt;&gt;"""");filter('Students (Vertical)'!D:D,'Students (Vertical)'!C:C=E34,'Students (Vertical)'!D:D&lt;&gt;"""")},countifs({filter('Students "&amp;"(Vertical)'!D:D,'Students (Vertical)'!C:C=B34,'Students (Vertical)'!D:D&lt;&gt;"""");filter('Students (Vertical)'!D:D,'Students (Vertical)'!C:C=E34,'Students (Vertical)'!D:D&lt;&gt;"""")},{filter('Students (Vertical)'!D:D,'Students (Vertical)'!C:C=B34,'Students (Vert"&amp;"ical)'!D:D&lt;&gt;"""");filter('Students (Vertical)'!D:D,'Students (Vertical)'!C:C=E34,'Students (Vertical)'!D:D&lt;&gt;"""")})&gt;1))),"""")"),"Journalism Higher Level, Spanish and Literature 12, Environmental Science, PE 12, ISC, Introduction to Law, Drawing I")</f>
        <v>Journalism Higher Level, Spanish and Literature 12, Environmental Science, PE 12, ISC, Introduction to Law, Drawing I</v>
      </c>
    </row>
    <row r="35">
      <c r="A35" s="355">
        <v>34.0</v>
      </c>
      <c r="B35" s="45" t="s">
        <v>645</v>
      </c>
      <c r="C35" s="300">
        <v>26047.0</v>
      </c>
      <c r="D35" s="300">
        <v>12.0</v>
      </c>
      <c r="E35" s="45" t="s">
        <v>618</v>
      </c>
      <c r="F35" s="300">
        <v>26101.0</v>
      </c>
      <c r="G35" s="300">
        <v>12.0</v>
      </c>
      <c r="H35" s="45" t="s">
        <v>759</v>
      </c>
      <c r="I35" s="356" t="str">
        <f>IFERROR(__xludf.DUMMYFUNCTION("if(H35=""Must be Together"",iferror(join("", "",unique(filter({filter('Students (Vertical)'!O:O,'Students (Vertical)'!C:C=B35,'Students (Vertical)'!O:O&lt;&gt;"""");filter('Students (Vertical)'!O:O,'Students (Vertical)'!C:C=E35,'Students (Vertical)'!O:O&lt;&gt;"""")}"&amp;",countifs({filter('Students (Vertical)'!O:O,'Students (Vertical)'!C:C=B35,'Students (Vertical)'!O:O&lt;&gt;"""");filter('Students (Vertical)'!O:O,'Students (Vertical)'!C:C=E35,'Students (Vertical)'!O:O&lt;&gt;"""")},{filter('Students (Vertical)'!O:O,'Students (Vertic"&amp;"al)'!C:C=B35,'Students (Vertical)'!O:O&lt;&gt;"""");filter('Students (Vertical)'!O:O,'Students (Vertical)'!C:C=E35,'Students (Vertical)'!O:O&lt;&gt;"""")})&gt;1))),""No shared courses""),"""")"),"")</f>
        <v/>
      </c>
      <c r="J35" s="357" t="str">
        <f>IFERROR(__xludf.DUMMYFUNCTION("if(H35=""Can't be Together"",iferror(join("", "",unique(filter({filter('Students (Vertical)'!O:O,'Students (Vertical)'!C:C=B35,'Students (Vertical)'!O:O&lt;&gt;"""",'Students (Vertical)'!P:P&gt;1);filter('Students (Vertical)'!O:O,'Students (Vertical)'!C:C=E35,'Stu"&amp;"dents (Vertical)'!O:O&lt;&gt;"""",'Students (Vertical)'!P:P&gt;1)},countifs({filter('Students (Vertical)'!O:O,'Students (Vertical)'!C:C=B35,'Students (Vertical)'!O:O&lt;&gt;"""",'Students (Vertical)'!P:P&gt;1);filter('Students (Vertical)'!O:O,'Students (Vertical)'!C:C=E35,"&amp;"'Students (Vertical)'!O:O&lt;&gt;"""",'Students (Vertical)'!P:P&gt;1)},{filter('Students (Vertical)'!O:O,'Students (Vertical)'!C:C=B35,'Students (Vertical)'!O:O&lt;&gt;"""",'Students (Vertical)'!P:P&gt;1);filter('Students (Vertical)'!O:O,'Students (Vertical)'!C:C=E35,'Stud"&amp;"ents (Vertical)'!O:O&lt;&gt;"""",'Students (Vertical)'!P:P&gt;1)})&gt;1))),""""),"""")"),"Calculus-1, PE 12-5")</f>
        <v>Calculus-1, PE 12-5</v>
      </c>
      <c r="K35" s="358" t="str">
        <f>IFERROR(__xludf.DUMMYFUNCTION("iferror(join("", "",unique(filter({filter('Students (Vertical)'!D:D,'Students (Vertical)'!C:C=B35,'Students (Vertical)'!D:D&lt;&gt;"""");filter('Students (Vertical)'!D:D,'Students (Vertical)'!C:C=E35,'Students (Vertical)'!D:D&lt;&gt;"""")},countifs({filter('Students "&amp;"(Vertical)'!D:D,'Students (Vertical)'!C:C=B35,'Students (Vertical)'!D:D&lt;&gt;"""");filter('Students (Vertical)'!D:D,'Students (Vertical)'!C:C=E35,'Students (Vertical)'!D:D&lt;&gt;"""")},{filter('Students (Vertical)'!D:D,'Students (Vertical)'!C:C=B35,'Students (Vert"&amp;"ical)'!D:D&lt;&gt;"""");filter('Students (Vertical)'!D:D,'Students (Vertical)'!C:C=E35,'Students (Vertical)'!D:D&lt;&gt;"""")})&gt;1))),"""")"),"Journalism Higher Level, Spanish and Literature 12, Calculus, Environmental Science, PE 12, ISC, Introduction to Law, Drawing I")</f>
        <v>Journalism Higher Level, Spanish and Literature 12, Calculus, Environmental Science, PE 12, ISC, Introduction to Law, Drawing I</v>
      </c>
    </row>
    <row r="36">
      <c r="A36" s="355">
        <v>35.0</v>
      </c>
      <c r="B36" s="45" t="s">
        <v>619</v>
      </c>
      <c r="C36" s="300">
        <v>26008.0</v>
      </c>
      <c r="D36" s="300">
        <v>12.0</v>
      </c>
      <c r="E36" s="45" t="s">
        <v>637</v>
      </c>
      <c r="F36" s="300">
        <v>26122.0</v>
      </c>
      <c r="G36" s="300">
        <v>12.0</v>
      </c>
      <c r="H36" s="45" t="s">
        <v>759</v>
      </c>
      <c r="I36" s="356" t="str">
        <f>IFERROR(__xludf.DUMMYFUNCTION("if(H36=""Must be Together"",iferror(join("", "",unique(filter({filter('Students (Vertical)'!O:O,'Students (Vertical)'!C:C=B36,'Students (Vertical)'!O:O&lt;&gt;"""");filter('Students (Vertical)'!O:O,'Students (Vertical)'!C:C=E36,'Students (Vertical)'!O:O&lt;&gt;"""")}"&amp;",countifs({filter('Students (Vertical)'!O:O,'Students (Vertical)'!C:C=B36,'Students (Vertical)'!O:O&lt;&gt;"""");filter('Students (Vertical)'!O:O,'Students (Vertical)'!C:C=E36,'Students (Vertical)'!O:O&lt;&gt;"""")},{filter('Students (Vertical)'!O:O,'Students (Vertic"&amp;"al)'!C:C=B36,'Students (Vertical)'!O:O&lt;&gt;"""");filter('Students (Vertical)'!O:O,'Students (Vertical)'!C:C=E36,'Students (Vertical)'!O:O&lt;&gt;"""")})&gt;1))),""No shared courses""),"""")"),"")</f>
        <v/>
      </c>
      <c r="J36" s="357" t="str">
        <f>IFERROR(__xludf.DUMMYFUNCTION("if(H36=""Can't be Together"",iferror(join("", "",unique(filter({filter('Students (Vertical)'!O:O,'Students (Vertical)'!C:C=B36,'Students (Vertical)'!O:O&lt;&gt;"""",'Students (Vertical)'!P:P&gt;1);filter('Students (Vertical)'!O:O,'Students (Vertical)'!C:C=E36,'Stu"&amp;"dents (Vertical)'!O:O&lt;&gt;"""",'Students (Vertical)'!P:P&gt;1)},countifs({filter('Students (Vertical)'!O:O,'Students (Vertical)'!C:C=B36,'Students (Vertical)'!O:O&lt;&gt;"""",'Students (Vertical)'!P:P&gt;1);filter('Students (Vertical)'!O:O,'Students (Vertical)'!C:C=E36,"&amp;"'Students (Vertical)'!O:O&lt;&gt;"""",'Students (Vertical)'!P:P&gt;1)},{filter('Students (Vertical)'!O:O,'Students (Vertical)'!C:C=B36,'Students (Vertical)'!O:O&lt;&gt;"""",'Students (Vertical)'!P:P&gt;1);filter('Students (Vertical)'!O:O,'Students (Vertical)'!C:C=E36,'Stud"&amp;"ents (Vertical)'!O:O&lt;&gt;"""",'Students (Vertical)'!P:P&gt;1)})&gt;1))),""""),"""")"),"Spanish and Literature 12-5, Financial Math-7, PE 12-6")</f>
        <v>Spanish and Literature 12-5, Financial Math-7, PE 12-6</v>
      </c>
      <c r="K36" s="358" t="str">
        <f>IFERROR(__xludf.DUMMYFUNCTION("iferror(join("", "",unique(filter({filter('Students (Vertical)'!D:D,'Students (Vertical)'!C:C=B36,'Students (Vertical)'!D:D&lt;&gt;"""");filter('Students (Vertical)'!D:D,'Students (Vertical)'!C:C=E36,'Students (Vertical)'!D:D&lt;&gt;"""")},countifs({filter('Students "&amp;"(Vertical)'!D:D,'Students (Vertical)'!C:C=B36,'Students (Vertical)'!D:D&lt;&gt;"""");filter('Students (Vertical)'!D:D,'Students (Vertical)'!C:C=E36,'Students (Vertical)'!D:D&lt;&gt;"""")},{filter('Students (Vertical)'!D:D,'Students (Vertical)'!C:C=B36,'Students (Vert"&amp;"ical)'!D:D&lt;&gt;"""");filter('Students (Vertical)'!D:D,'Students (Vertical)'!C:C=E36,'Students (Vertical)'!D:D&lt;&gt;"""")})&gt;1))),"""")"),"Journalism Higher Level, Spanish and Literature 12, Financial Math, Environmental Science, PE 12, ISC")</f>
        <v>Journalism Higher Level, Spanish and Literature 12, Financial Math, Environmental Science, PE 12, ISC</v>
      </c>
    </row>
    <row r="37">
      <c r="A37" s="355">
        <v>36.0</v>
      </c>
      <c r="B37" s="45" t="s">
        <v>619</v>
      </c>
      <c r="C37" s="300">
        <v>26008.0</v>
      </c>
      <c r="D37" s="300">
        <v>12.0</v>
      </c>
      <c r="E37" s="45" t="s">
        <v>618</v>
      </c>
      <c r="F37" s="300">
        <v>26101.0</v>
      </c>
      <c r="G37" s="300">
        <v>12.0</v>
      </c>
      <c r="H37" s="45" t="s">
        <v>759</v>
      </c>
      <c r="I37" s="356" t="str">
        <f>IFERROR(__xludf.DUMMYFUNCTION("if(H37=""Must be Together"",iferror(join("", "",unique(filter({filter('Students (Vertical)'!O:O,'Students (Vertical)'!C:C=B37,'Students (Vertical)'!O:O&lt;&gt;"""");filter('Students (Vertical)'!O:O,'Students (Vertical)'!C:C=E37,'Students (Vertical)'!O:O&lt;&gt;"""")}"&amp;",countifs({filter('Students (Vertical)'!O:O,'Students (Vertical)'!C:C=B37,'Students (Vertical)'!O:O&lt;&gt;"""");filter('Students (Vertical)'!O:O,'Students (Vertical)'!C:C=E37,'Students (Vertical)'!O:O&lt;&gt;"""")},{filter('Students (Vertical)'!O:O,'Students (Vertic"&amp;"al)'!C:C=B37,'Students (Vertical)'!O:O&lt;&gt;"""");filter('Students (Vertical)'!O:O,'Students (Vertical)'!C:C=E37,'Students (Vertical)'!O:O&lt;&gt;"""")})&gt;1))),""No shared courses""),"""")"),"")</f>
        <v/>
      </c>
      <c r="J37" s="356" t="str">
        <f>IFERROR(__xludf.DUMMYFUNCTION("if(H37=""Can't be Together"",iferror(join("", "",unique(filter({filter('Students (Vertical)'!O:O,'Students (Vertical)'!C:C=B37,'Students (Vertical)'!O:O&lt;&gt;"""",'Students (Vertical)'!P:P&gt;1);filter('Students (Vertical)'!O:O,'Students (Vertical)'!C:C=E37,'Stu"&amp;"dents (Vertical)'!O:O&lt;&gt;"""",'Students (Vertical)'!P:P&gt;1)},countifs({filter('Students (Vertical)'!O:O,'Students (Vertical)'!C:C=B37,'Students (Vertical)'!O:O&lt;&gt;"""",'Students (Vertical)'!P:P&gt;1);filter('Students (Vertical)'!O:O,'Students (Vertical)'!C:C=E37,"&amp;"'Students (Vertical)'!O:O&lt;&gt;"""",'Students (Vertical)'!P:P&gt;1)},{filter('Students (Vertical)'!O:O,'Students (Vertical)'!C:C=B37,'Students (Vertical)'!O:O&lt;&gt;"""",'Students (Vertical)'!P:P&gt;1);filter('Students (Vertical)'!O:O,'Students (Vertical)'!C:C=E37,'Stud"&amp;"ents (Vertical)'!O:O&lt;&gt;"""",'Students (Vertical)'!P:P&gt;1)})&gt;1))),""""),"""")"),"")</f>
        <v/>
      </c>
      <c r="K37" s="358" t="str">
        <f>IFERROR(__xludf.DUMMYFUNCTION("iferror(join("", "",unique(filter({filter('Students (Vertical)'!D:D,'Students (Vertical)'!C:C=B37,'Students (Vertical)'!D:D&lt;&gt;"""");filter('Students (Vertical)'!D:D,'Students (Vertical)'!C:C=E37,'Students (Vertical)'!D:D&lt;&gt;"""")},countifs({filter('Students "&amp;"(Vertical)'!D:D,'Students (Vertical)'!C:C=B37,'Students (Vertical)'!D:D&lt;&gt;"""");filter('Students (Vertical)'!D:D,'Students (Vertical)'!C:C=E37,'Students (Vertical)'!D:D&lt;&gt;"""")},{filter('Students (Vertical)'!D:D,'Students (Vertical)'!C:C=B37,'Students (Vert"&amp;"ical)'!D:D&lt;&gt;"""");filter('Students (Vertical)'!D:D,'Students (Vertical)'!C:C=E37,'Students (Vertical)'!D:D&lt;&gt;"""")})&gt;1))),"""")"),"Journalism Higher Level, Spanish and Literature 12, Environmental Science, PE 12, ISC, Introduction to Law, Drawing I")</f>
        <v>Journalism Higher Level, Spanish and Literature 12, Environmental Science, PE 12, ISC, Introduction to Law, Drawing I</v>
      </c>
    </row>
    <row r="38">
      <c r="A38" s="355">
        <v>37.0</v>
      </c>
      <c r="B38" s="45" t="s">
        <v>619</v>
      </c>
      <c r="C38" s="300">
        <v>26008.0</v>
      </c>
      <c r="D38" s="300">
        <v>12.0</v>
      </c>
      <c r="E38" s="45" t="s">
        <v>632</v>
      </c>
      <c r="F38" s="300">
        <v>25008.0</v>
      </c>
      <c r="G38" s="300">
        <v>12.0</v>
      </c>
      <c r="H38" s="45" t="s">
        <v>759</v>
      </c>
      <c r="I38" s="356" t="str">
        <f>IFERROR(__xludf.DUMMYFUNCTION("if(H38=""Must be Together"",iferror(join("", "",unique(filter({filter('Students (Vertical)'!O:O,'Students (Vertical)'!C:C=B38,'Students (Vertical)'!O:O&lt;&gt;"""");filter('Students (Vertical)'!O:O,'Students (Vertical)'!C:C=E38,'Students (Vertical)'!O:O&lt;&gt;"""")}"&amp;",countifs({filter('Students (Vertical)'!O:O,'Students (Vertical)'!C:C=B38,'Students (Vertical)'!O:O&lt;&gt;"""");filter('Students (Vertical)'!O:O,'Students (Vertical)'!C:C=E38,'Students (Vertical)'!O:O&lt;&gt;"""")},{filter('Students (Vertical)'!O:O,'Students (Vertic"&amp;"al)'!C:C=B38,'Students (Vertical)'!O:O&lt;&gt;"""");filter('Students (Vertical)'!O:O,'Students (Vertical)'!C:C=E38,'Students (Vertical)'!O:O&lt;&gt;"""")})&gt;1))),""No shared courses""),"""")"),"")</f>
        <v/>
      </c>
      <c r="J38" s="357" t="str">
        <f>IFERROR(__xludf.DUMMYFUNCTION("if(H38=""Can't be Together"",iferror(join("", "",unique(filter({filter('Students (Vertical)'!O:O,'Students (Vertical)'!C:C=B38,'Students (Vertical)'!O:O&lt;&gt;"""",'Students (Vertical)'!P:P&gt;1);filter('Students (Vertical)'!O:O,'Students (Vertical)'!C:C=E38,'Stu"&amp;"dents (Vertical)'!O:O&lt;&gt;"""",'Students (Vertical)'!P:P&gt;1)},countifs({filter('Students (Vertical)'!O:O,'Students (Vertical)'!C:C=B38,'Students (Vertical)'!O:O&lt;&gt;"""",'Students (Vertical)'!P:P&gt;1);filter('Students (Vertical)'!O:O,'Students (Vertical)'!C:C=E38,"&amp;"'Students (Vertical)'!O:O&lt;&gt;"""",'Students (Vertical)'!P:P&gt;1)},{filter('Students (Vertical)'!O:O,'Students (Vertical)'!C:C=B38,'Students (Vertical)'!O:O&lt;&gt;"""",'Students (Vertical)'!P:P&gt;1);filter('Students (Vertical)'!O:O,'Students (Vertical)'!C:C=E38,'Stud"&amp;"ents (Vertical)'!O:O&lt;&gt;"""",'Students (Vertical)'!P:P&gt;1)})&gt;1))),""""),"""")"),"Drawing I-3")</f>
        <v>Drawing I-3</v>
      </c>
      <c r="K38" s="358" t="str">
        <f>IFERROR(__xludf.DUMMYFUNCTION("iferror(join("", "",unique(filter({filter('Students (Vertical)'!D:D,'Students (Vertical)'!C:C=B38,'Students (Vertical)'!D:D&lt;&gt;"""");filter('Students (Vertical)'!D:D,'Students (Vertical)'!C:C=E38,'Students (Vertical)'!D:D&lt;&gt;"""")},countifs({filter('Students "&amp;"(Vertical)'!D:D,'Students (Vertical)'!C:C=B38,'Students (Vertical)'!D:D&lt;&gt;"""");filter('Students (Vertical)'!D:D,'Students (Vertical)'!C:C=E38,'Students (Vertical)'!D:D&lt;&gt;"""")},{filter('Students (Vertical)'!D:D,'Students (Vertical)'!C:C=B38,'Students (Vert"&amp;"ical)'!D:D&lt;&gt;"""");filter('Students (Vertical)'!D:D,'Students (Vertical)'!C:C=E38,'Students (Vertical)'!D:D&lt;&gt;"""")})&gt;1))),"""")"),"Journalism Higher Level, Spanish and Literature 12, Environmental Science, PE 12, ISC, Drawing I")</f>
        <v>Journalism Higher Level, Spanish and Literature 12, Environmental Science, PE 12, ISC, Drawing I</v>
      </c>
    </row>
    <row r="39">
      <c r="A39" s="355">
        <v>38.0</v>
      </c>
      <c r="B39" s="45" t="s">
        <v>618</v>
      </c>
      <c r="C39" s="300">
        <v>26101.0</v>
      </c>
      <c r="D39" s="300">
        <v>12.0</v>
      </c>
      <c r="E39" s="45" t="s">
        <v>637</v>
      </c>
      <c r="F39" s="300">
        <v>26122.0</v>
      </c>
      <c r="G39" s="300">
        <v>12.0</v>
      </c>
      <c r="H39" s="45" t="s">
        <v>759</v>
      </c>
      <c r="I39" s="356" t="str">
        <f>IFERROR(__xludf.DUMMYFUNCTION("if(H39=""Must be Together"",iferror(join("", "",unique(filter({filter('Students (Vertical)'!O:O,'Students (Vertical)'!C:C=B39,'Students (Vertical)'!O:O&lt;&gt;"""");filter('Students (Vertical)'!O:O,'Students (Vertical)'!C:C=E39,'Students (Vertical)'!O:O&lt;&gt;"""")}"&amp;",countifs({filter('Students (Vertical)'!O:O,'Students (Vertical)'!C:C=B39,'Students (Vertical)'!O:O&lt;&gt;"""");filter('Students (Vertical)'!O:O,'Students (Vertical)'!C:C=E39,'Students (Vertical)'!O:O&lt;&gt;"""")},{filter('Students (Vertical)'!O:O,'Students (Vertic"&amp;"al)'!C:C=B39,'Students (Vertical)'!O:O&lt;&gt;"""");filter('Students (Vertical)'!O:O,'Students (Vertical)'!C:C=E39,'Students (Vertical)'!O:O&lt;&gt;"""")})&gt;1))),""No shared courses""),"""")"),"")</f>
        <v/>
      </c>
      <c r="J39" s="357" t="str">
        <f>IFERROR(__xludf.DUMMYFUNCTION("if(H39=""Can't be Together"",iferror(join("", "",unique(filter({filter('Students (Vertical)'!O:O,'Students (Vertical)'!C:C=B39,'Students (Vertical)'!O:O&lt;&gt;"""",'Students (Vertical)'!P:P&gt;1);filter('Students (Vertical)'!O:O,'Students (Vertical)'!C:C=E39,'Stu"&amp;"dents (Vertical)'!O:O&lt;&gt;"""",'Students (Vertical)'!P:P&gt;1)},countifs({filter('Students (Vertical)'!O:O,'Students (Vertical)'!C:C=B39,'Students (Vertical)'!O:O&lt;&gt;"""",'Students (Vertical)'!P:P&gt;1);filter('Students (Vertical)'!O:O,'Students (Vertical)'!C:C=E39,"&amp;"'Students (Vertical)'!O:O&lt;&gt;"""",'Students (Vertical)'!P:P&gt;1)},{filter('Students (Vertical)'!O:O,'Students (Vertical)'!C:C=B39,'Students (Vertical)'!O:O&lt;&gt;"""",'Students (Vertical)'!P:P&gt;1);filter('Students (Vertical)'!O:O,'Students (Vertical)'!C:C=E39,'Stud"&amp;"ents (Vertical)'!O:O&lt;&gt;"""",'Students (Vertical)'!P:P&gt;1)})&gt;1))),""""),"""")"),"")</f>
        <v/>
      </c>
      <c r="K39" s="358" t="str">
        <f>IFERROR(__xludf.DUMMYFUNCTION("iferror(join("", "",unique(filter({filter('Students (Vertical)'!D:D,'Students (Vertical)'!C:C=B39,'Students (Vertical)'!D:D&lt;&gt;"""");filter('Students (Vertical)'!D:D,'Students (Vertical)'!C:C=E39,'Students (Vertical)'!D:D&lt;&gt;"""")},countifs({filter('Students "&amp;"(Vertical)'!D:D,'Students (Vertical)'!C:C=B39,'Students (Vertical)'!D:D&lt;&gt;"""");filter('Students (Vertical)'!D:D,'Students (Vertical)'!C:C=E39,'Students (Vertical)'!D:D&lt;&gt;"""")},{filter('Students (Vertical)'!D:D,'Students (Vertical)'!C:C=B39,'Students (Vert"&amp;"ical)'!D:D&lt;&gt;"""");filter('Students (Vertical)'!D:D,'Students (Vertical)'!C:C=E39,'Students (Vertical)'!D:D&lt;&gt;"""")})&gt;1))),"""")"),"Journalism Higher Level, Spanish and Literature 12, Calculus, Environmental Science, PE 12, ISC")</f>
        <v>Journalism Higher Level, Spanish and Literature 12, Calculus, Environmental Science, PE 12, ISC</v>
      </c>
    </row>
    <row r="40">
      <c r="A40" s="355">
        <v>39.0</v>
      </c>
      <c r="B40" s="45" t="s">
        <v>609</v>
      </c>
      <c r="C40" s="300">
        <v>26039.0</v>
      </c>
      <c r="D40" s="300">
        <v>12.0</v>
      </c>
      <c r="E40" s="45" t="s">
        <v>565</v>
      </c>
      <c r="F40" s="300">
        <v>26013.0</v>
      </c>
      <c r="G40" s="300">
        <v>12.0</v>
      </c>
      <c r="H40" s="45" t="s">
        <v>760</v>
      </c>
      <c r="I40" s="356" t="str">
        <f>IFERROR(__xludf.DUMMYFUNCTION("if(H40=""Must be Together"",iferror(join("", "",unique(filter({filter('Students (Vertical)'!O:O,'Students (Vertical)'!C:C=B40,'Students (Vertical)'!O:O&lt;&gt;"""");filter('Students (Vertical)'!O:O,'Students (Vertical)'!C:C=E40,'Students (Vertical)'!O:O&lt;&gt;"""")}"&amp;",countifs({filter('Students (Vertical)'!O:O,'Students (Vertical)'!C:C=B40,'Students (Vertical)'!O:O&lt;&gt;"""");filter('Students (Vertical)'!O:O,'Students (Vertical)'!C:C=E40,'Students (Vertical)'!O:O&lt;&gt;"""")},{filter('Students (Vertical)'!O:O,'Students (Vertic"&amp;"al)'!C:C=B40,'Students (Vertical)'!O:O&lt;&gt;"""");filter('Students (Vertical)'!O:O,'Students (Vertical)'!C:C=E40,'Students (Vertical)'!O:O&lt;&gt;"""")})&gt;1))),""No shared courses""),"""")"),"ISC-4")</f>
        <v>ISC-4</v>
      </c>
      <c r="J40" s="357" t="str">
        <f>IFERROR(__xludf.DUMMYFUNCTION("if(H40=""Can't be Together"",iferror(join("", "",unique(filter({filter('Students (Vertical)'!O:O,'Students (Vertical)'!C:C=B40,'Students (Vertical)'!O:O&lt;&gt;"""",'Students (Vertical)'!P:P&gt;1);filter('Students (Vertical)'!O:O,'Students (Vertical)'!C:C=E40,'Stu"&amp;"dents (Vertical)'!O:O&lt;&gt;"""",'Students (Vertical)'!P:P&gt;1)},countifs({filter('Students (Vertical)'!O:O,'Students (Vertical)'!C:C=B40,'Students (Vertical)'!O:O&lt;&gt;"""",'Students (Vertical)'!P:P&gt;1);filter('Students (Vertical)'!O:O,'Students (Vertical)'!C:C=E40,"&amp;"'Students (Vertical)'!O:O&lt;&gt;"""",'Students (Vertical)'!P:P&gt;1)},{filter('Students (Vertical)'!O:O,'Students (Vertical)'!C:C=B40,'Students (Vertical)'!O:O&lt;&gt;"""",'Students (Vertical)'!P:P&gt;1);filter('Students (Vertical)'!O:O,'Students (Vertical)'!C:C=E40,'Stud"&amp;"ents (Vertical)'!O:O&lt;&gt;"""",'Students (Vertical)'!P:P&gt;1)})&gt;1))),""""),"""")"),"")</f>
        <v/>
      </c>
      <c r="K40" s="358" t="str">
        <f>IFERROR(__xludf.DUMMYFUNCTION("iferror(join("", "",unique(filter({filter('Students (Vertical)'!D:D,'Students (Vertical)'!C:C=B40,'Students (Vertical)'!D:D&lt;&gt;"""");filter('Students (Vertical)'!D:D,'Students (Vertical)'!C:C=E40,'Students (Vertical)'!D:D&lt;&gt;"""")},countifs({filter('Students "&amp;"(Vertical)'!D:D,'Students (Vertical)'!C:C=B40,'Students (Vertical)'!D:D&lt;&gt;"""");filter('Students (Vertical)'!D:D,'Students (Vertical)'!C:C=E40,'Students (Vertical)'!D:D&lt;&gt;"""")},{filter('Students (Vertical)'!D:D,'Students (Vertical)'!C:C=B40,'Students (Vert"&amp;"ical)'!D:D&lt;&gt;"""");filter('Students (Vertical)'!D:D,'Students (Vertical)'!C:C=E40,'Students (Vertical)'!D:D&lt;&gt;"""")})&gt;1))),"""")"),"Journalism Higher Level, Spanish and Literature 12, PE 12, ISC")</f>
        <v>Journalism Higher Level, Spanish and Literature 12, PE 12, ISC</v>
      </c>
    </row>
    <row r="41">
      <c r="A41" s="355">
        <v>40.0</v>
      </c>
      <c r="B41" s="295" t="s">
        <v>609</v>
      </c>
      <c r="C41" s="300">
        <v>26039.0</v>
      </c>
      <c r="D41" s="300">
        <v>12.0</v>
      </c>
      <c r="E41" s="45" t="s">
        <v>557</v>
      </c>
      <c r="F41" s="300">
        <v>26038.0</v>
      </c>
      <c r="G41" s="300">
        <v>12.0</v>
      </c>
      <c r="H41" s="45" t="s">
        <v>760</v>
      </c>
      <c r="I41" s="356" t="str">
        <f>IFERROR(__xludf.DUMMYFUNCTION("if(H41=""Must be Together"",iferror(join("", "",unique(filter({filter('Students (Vertical)'!O:O,'Students (Vertical)'!C:C=B41,'Students (Vertical)'!O:O&lt;&gt;"""");filter('Students (Vertical)'!O:O,'Students (Vertical)'!C:C=E41,'Students (Vertical)'!O:O&lt;&gt;"""")}"&amp;",countifs({filter('Students (Vertical)'!O:O,'Students (Vertical)'!C:C=B41,'Students (Vertical)'!O:O&lt;&gt;"""");filter('Students (Vertical)'!O:O,'Students (Vertical)'!C:C=E41,'Students (Vertical)'!O:O&lt;&gt;"""")},{filter('Students (Vertical)'!O:O,'Students (Vertic"&amp;"al)'!C:C=B41,'Students (Vertical)'!O:O&lt;&gt;"""");filter('Students (Vertical)'!O:O,'Students (Vertical)'!C:C=E41,'Students (Vertical)'!O:O&lt;&gt;"""")})&gt;1))),""No shared courses""),"""")"),"Journalism Higher Level-3, Spanish and Literature 12-7, Calculus-2, Environmental Science-8, ISC-4")</f>
        <v>Journalism Higher Level-3, Spanish and Literature 12-7, Calculus-2, Environmental Science-8, ISC-4</v>
      </c>
      <c r="J41" s="357" t="str">
        <f>IFERROR(__xludf.DUMMYFUNCTION("if(H41=""Can't be Together"",iferror(join("", "",unique(filter({filter('Students (Vertical)'!O:O,'Students (Vertical)'!C:C=B41,'Students (Vertical)'!O:O&lt;&gt;"""",'Students (Vertical)'!P:P&gt;1);filter('Students (Vertical)'!O:O,'Students (Vertical)'!C:C=E41,'Stu"&amp;"dents (Vertical)'!O:O&lt;&gt;"""",'Students (Vertical)'!P:P&gt;1)},countifs({filter('Students (Vertical)'!O:O,'Students (Vertical)'!C:C=B41,'Students (Vertical)'!O:O&lt;&gt;"""",'Students (Vertical)'!P:P&gt;1);filter('Students (Vertical)'!O:O,'Students (Vertical)'!C:C=E41,"&amp;"'Students (Vertical)'!O:O&lt;&gt;"""",'Students (Vertical)'!P:P&gt;1)},{filter('Students (Vertical)'!O:O,'Students (Vertical)'!C:C=B41,'Students (Vertical)'!O:O&lt;&gt;"""",'Students (Vertical)'!P:P&gt;1);filter('Students (Vertical)'!O:O,'Students (Vertical)'!C:C=E41,'Stud"&amp;"ents (Vertical)'!O:O&lt;&gt;"""",'Students (Vertical)'!P:P&gt;1)})&gt;1))),""""),"""")"),"")</f>
        <v/>
      </c>
      <c r="K41" s="358" t="str">
        <f>IFERROR(__xludf.DUMMYFUNCTION("iferror(join("", "",unique(filter({filter('Students (Vertical)'!D:D,'Students (Vertical)'!C:C=B41,'Students (Vertical)'!D:D&lt;&gt;"""");filter('Students (Vertical)'!D:D,'Students (Vertical)'!C:C=E41,'Students (Vertical)'!D:D&lt;&gt;"""")},countifs({filter('Students "&amp;"(Vertical)'!D:D,'Students (Vertical)'!C:C=B41,'Students (Vertical)'!D:D&lt;&gt;"""");filter('Students (Vertical)'!D:D,'Students (Vertical)'!C:C=E41,'Students (Vertical)'!D:D&lt;&gt;"""")},{filter('Students (Vertical)'!D:D,'Students (Vertical)'!C:C=B41,'Students (Vert"&amp;"ical)'!D:D&lt;&gt;"""");filter('Students (Vertical)'!D:D,'Students (Vertical)'!C:C=E41,'Students (Vertical)'!D:D&lt;&gt;"""")})&gt;1))),"""")"),"Journalism Higher Level, Spanish and Literature 12, Calculus, Environmental Science, PE 12, ISC")</f>
        <v>Journalism Higher Level, Spanish and Literature 12, Calculus, Environmental Science, PE 12, ISC</v>
      </c>
    </row>
    <row r="42">
      <c r="A42" s="355">
        <v>41.0</v>
      </c>
      <c r="B42" s="45" t="s">
        <v>268</v>
      </c>
      <c r="C42" s="300">
        <v>29128.0</v>
      </c>
      <c r="D42" s="300">
        <v>9.0</v>
      </c>
      <c r="E42" s="45" t="s">
        <v>266</v>
      </c>
      <c r="F42" s="300">
        <v>29018.0</v>
      </c>
      <c r="G42" s="300">
        <v>9.0</v>
      </c>
      <c r="H42" s="45" t="s">
        <v>760</v>
      </c>
      <c r="I42" s="356" t="str">
        <f>IFERROR(__xludf.DUMMYFUNCTION("if(H42=""Must be Together"",iferror(join("", "",unique(filter({filter('Students (Vertical)'!O:O,'Students (Vertical)'!C:C=B42,'Students (Vertical)'!O:O&lt;&gt;"""");filter('Students (Vertical)'!O:O,'Students (Vertical)'!C:C=E42,'Students (Vertical)'!O:O&lt;&gt;"""")}"&amp;",countifs({filter('Students (Vertical)'!O:O,'Students (Vertical)'!C:C=B42,'Students (Vertical)'!O:O&lt;&gt;"""");filter('Students (Vertical)'!O:O,'Students (Vertical)'!C:C=E42,'Students (Vertical)'!O:O&lt;&gt;"""")},{filter('Students (Vertical)'!O:O,'Students (Vertic"&amp;"al)'!C:C=B42,'Students (Vertical)'!O:O&lt;&gt;"""");filter('Students (Vertical)'!O:O,'Students (Vertical)'!C:C=E42,'Students (Vertical)'!O:O&lt;&gt;"""")})&gt;1))),""No shared courses""),"""")"),"English 9-2, Algebra I-4, Biology 9-1, PE 9-6, Social Studies 9-8")</f>
        <v>English 9-2, Algebra I-4, Biology 9-1, PE 9-6, Social Studies 9-8</v>
      </c>
      <c r="J42" s="357" t="str">
        <f>IFERROR(__xludf.DUMMYFUNCTION("if(H42=""Can't be Together"",iferror(join("", "",unique(filter({filter('Students (Vertical)'!O:O,'Students (Vertical)'!C:C=B42,'Students (Vertical)'!O:O&lt;&gt;"""",'Students (Vertical)'!P:P&gt;1);filter('Students (Vertical)'!O:O,'Students (Vertical)'!C:C=E42,'Stu"&amp;"dents (Vertical)'!O:O&lt;&gt;"""",'Students (Vertical)'!P:P&gt;1)},countifs({filter('Students (Vertical)'!O:O,'Students (Vertical)'!C:C=B42,'Students (Vertical)'!O:O&lt;&gt;"""",'Students (Vertical)'!P:P&gt;1);filter('Students (Vertical)'!O:O,'Students (Vertical)'!C:C=E42,"&amp;"'Students (Vertical)'!O:O&lt;&gt;"""",'Students (Vertical)'!P:P&gt;1)},{filter('Students (Vertical)'!O:O,'Students (Vertical)'!C:C=B42,'Students (Vertical)'!O:O&lt;&gt;"""",'Students (Vertical)'!P:P&gt;1);filter('Students (Vertical)'!O:O,'Students (Vertical)'!C:C=E42,'Stud"&amp;"ents (Vertical)'!O:O&lt;&gt;"""",'Students (Vertical)'!P:P&gt;1)})&gt;1))),""""),"""")"),"")</f>
        <v/>
      </c>
      <c r="K42" s="358" t="str">
        <f>IFERROR(__xludf.DUMMYFUNCTION("iferror(join("", "",unique(filter({filter('Students (Vertical)'!D:D,'Students (Vertical)'!C:C=B42,'Students (Vertical)'!D:D&lt;&gt;"""");filter('Students (Vertical)'!D:D,'Students (Vertical)'!C:C=E42,'Students (Vertical)'!D:D&lt;&gt;"""")},countifs({filter('Students "&amp;"(Vertical)'!D:D,'Students (Vertical)'!C:C=B42,'Students (Vertical)'!D:D&lt;&gt;"""");filter('Students (Vertical)'!D:D,'Students (Vertical)'!C:C=E42,'Students (Vertical)'!D:D&lt;&gt;"""")},{filter('Students (Vertical)'!D:D,'Students (Vertical)'!C:C=B42,'Students (Vert"&amp;"ical)'!D:D&lt;&gt;"""");filter('Students (Vertical)'!D:D,'Students (Vertical)'!C:C=E42,'Students (Vertical)'!D:D&lt;&gt;"""")})&gt;1))),"""")"),"English 9, Spanish and Literature 9, Algebra I, Biology 9, PE 9, Social Studies 9")</f>
        <v>English 9, Spanish and Literature 9, Algebra I, Biology 9, PE 9, Social Studies 9</v>
      </c>
    </row>
    <row r="43">
      <c r="A43" s="355">
        <v>42.0</v>
      </c>
      <c r="B43" s="45" t="s">
        <v>263</v>
      </c>
      <c r="C43" s="355">
        <v>29108.0</v>
      </c>
      <c r="D43" s="300">
        <v>9.0</v>
      </c>
      <c r="E43" s="45" t="s">
        <v>259</v>
      </c>
      <c r="F43" s="300">
        <v>29160.0</v>
      </c>
      <c r="G43" s="300">
        <v>9.0</v>
      </c>
      <c r="H43" s="45" t="s">
        <v>760</v>
      </c>
      <c r="I43" s="356" t="str">
        <f>IFERROR(__xludf.DUMMYFUNCTION("if(H43=""Must be Together"",iferror(join("", "",unique(filter({filter('Students (Vertical)'!O:O,'Students (Vertical)'!C:C=B43,'Students (Vertical)'!O:O&lt;&gt;"""");filter('Students (Vertical)'!O:O,'Students (Vertical)'!C:C=E43,'Students (Vertical)'!O:O&lt;&gt;"""")}"&amp;",countifs({filter('Students (Vertical)'!O:O,'Students (Vertical)'!C:C=B43,'Students (Vertical)'!O:O&lt;&gt;"""");filter('Students (Vertical)'!O:O,'Students (Vertical)'!C:C=E43,'Students (Vertical)'!O:O&lt;&gt;"""")},{filter('Students (Vertical)'!O:O,'Students (Vertic"&amp;"al)'!C:C=B43,'Students (Vertical)'!O:O&lt;&gt;"""");filter('Students (Vertical)'!O:O,'Students (Vertical)'!C:C=E43,'Students (Vertical)'!O:O&lt;&gt;"""")})&gt;1))),""No shared courses""),"""")"),"English 9-8, Spanish and Literature 9-4, Algebra I-7, Biology 9-6, PE 9-2, Social Studies 9-5, Technology 9-1, Drawing I-3")</f>
        <v>English 9-8, Spanish and Literature 9-4, Algebra I-7, Biology 9-6, PE 9-2, Social Studies 9-5, Technology 9-1, Drawing I-3</v>
      </c>
      <c r="J43" s="357" t="str">
        <f>IFERROR(__xludf.DUMMYFUNCTION("if(H43=""Can't be Together"",iferror(join("", "",unique(filter({filter('Students (Vertical)'!O:O,'Students (Vertical)'!C:C=B43,'Students (Vertical)'!O:O&lt;&gt;"""",'Students (Vertical)'!P:P&gt;1);filter('Students (Vertical)'!O:O,'Students (Vertical)'!C:C=E43,'Stu"&amp;"dents (Vertical)'!O:O&lt;&gt;"""",'Students (Vertical)'!P:P&gt;1)},countifs({filter('Students (Vertical)'!O:O,'Students (Vertical)'!C:C=B43,'Students (Vertical)'!O:O&lt;&gt;"""",'Students (Vertical)'!P:P&gt;1);filter('Students (Vertical)'!O:O,'Students (Vertical)'!C:C=E43,"&amp;"'Students (Vertical)'!O:O&lt;&gt;"""",'Students (Vertical)'!P:P&gt;1)},{filter('Students (Vertical)'!O:O,'Students (Vertical)'!C:C=B43,'Students (Vertical)'!O:O&lt;&gt;"""",'Students (Vertical)'!P:P&gt;1);filter('Students (Vertical)'!O:O,'Students (Vertical)'!C:C=E43,'Stud"&amp;"ents (Vertical)'!O:O&lt;&gt;"""",'Students (Vertical)'!P:P&gt;1)})&gt;1))),""""),"""")"),"")</f>
        <v/>
      </c>
      <c r="K43" s="358" t="str">
        <f>IFERROR(__xludf.DUMMYFUNCTION("iferror(join("", "",unique(filter({filter('Students (Vertical)'!D:D,'Students (Vertical)'!C:C=B43,'Students (Vertical)'!D:D&lt;&gt;"""");filter('Students (Vertical)'!D:D,'Students (Vertical)'!C:C=E43,'Students (Vertical)'!D:D&lt;&gt;"""")},countifs({filter('Students "&amp;"(Vertical)'!D:D,'Students (Vertical)'!C:C=B43,'Students (Vertical)'!D:D&lt;&gt;"""");filter('Students (Vertical)'!D:D,'Students (Vertical)'!C:C=E43,'Students (Vertical)'!D:D&lt;&gt;"""")},{filter('Students (Vertical)'!D:D,'Students (Vertical)'!C:C=B43,'Students (Vert"&amp;"ical)'!D:D&lt;&gt;"""");filter('Students (Vertical)'!D:D,'Students (Vertical)'!C:C=E43,'Students (Vertical)'!D:D&lt;&gt;"""")})&gt;1))),"""")"),"English 9, Spanish and Literature 9, Algebra I, Biology 9, PE 9, Social Studies 9, Technology 9, Drawing I")</f>
        <v>English 9, Spanish and Literature 9, Algebra I, Biology 9, PE 9, Social Studies 9, Technology 9, Drawing I</v>
      </c>
    </row>
    <row r="44">
      <c r="A44" s="355">
        <v>43.0</v>
      </c>
      <c r="B44" s="45" t="s">
        <v>263</v>
      </c>
      <c r="C44" s="300">
        <v>29108.0</v>
      </c>
      <c r="D44" s="300">
        <v>9.0</v>
      </c>
      <c r="E44" s="45" t="s">
        <v>261</v>
      </c>
      <c r="F44" s="300">
        <v>29153.0</v>
      </c>
      <c r="G44" s="300">
        <v>9.0</v>
      </c>
      <c r="H44" s="45" t="s">
        <v>760</v>
      </c>
      <c r="I44" s="356" t="str">
        <f>IFERROR(__xludf.DUMMYFUNCTION("if(H44=""Must be Together"",iferror(join("", "",unique(filter({filter('Students (Vertical)'!O:O,'Students (Vertical)'!C:C=B44,'Students (Vertical)'!O:O&lt;&gt;"""");filter('Students (Vertical)'!O:O,'Students (Vertical)'!C:C=E44,'Students (Vertical)'!O:O&lt;&gt;"""")}"&amp;",countifs({filter('Students (Vertical)'!O:O,'Students (Vertical)'!C:C=B44,'Students (Vertical)'!O:O&lt;&gt;"""");filter('Students (Vertical)'!O:O,'Students (Vertical)'!C:C=E44,'Students (Vertical)'!O:O&lt;&gt;"""")},{filter('Students (Vertical)'!O:O,'Students (Vertic"&amp;"al)'!C:C=B44,'Students (Vertical)'!O:O&lt;&gt;"""");filter('Students (Vertical)'!O:O,'Students (Vertical)'!C:C=E44,'Students (Vertical)'!O:O&lt;&gt;"""")})&gt;1))),""No shared courses""),"""")"),"English 9-8, Spanish and Literature 9-4, Biology 9-6, PE 9-2, Social Studies 9-5, Technology 9-1, Drawing I-3")</f>
        <v>English 9-8, Spanish and Literature 9-4, Biology 9-6, PE 9-2, Social Studies 9-5, Technology 9-1, Drawing I-3</v>
      </c>
      <c r="J44" s="357" t="str">
        <f>IFERROR(__xludf.DUMMYFUNCTION("if(H44=""Can't be Together"",iferror(join("", "",unique(filter({filter('Students (Vertical)'!O:O,'Students (Vertical)'!C:C=B44,'Students (Vertical)'!O:O&lt;&gt;"""",'Students (Vertical)'!P:P&gt;1);filter('Students (Vertical)'!O:O,'Students (Vertical)'!C:C=E44,'Stu"&amp;"dents (Vertical)'!O:O&lt;&gt;"""",'Students (Vertical)'!P:P&gt;1)},countifs({filter('Students (Vertical)'!O:O,'Students (Vertical)'!C:C=B44,'Students (Vertical)'!O:O&lt;&gt;"""",'Students (Vertical)'!P:P&gt;1);filter('Students (Vertical)'!O:O,'Students (Vertical)'!C:C=E44,"&amp;"'Students (Vertical)'!O:O&lt;&gt;"""",'Students (Vertical)'!P:P&gt;1)},{filter('Students (Vertical)'!O:O,'Students (Vertical)'!C:C=B44,'Students (Vertical)'!O:O&lt;&gt;"""",'Students (Vertical)'!P:P&gt;1);filter('Students (Vertical)'!O:O,'Students (Vertical)'!C:C=E44,'Stud"&amp;"ents (Vertical)'!O:O&lt;&gt;"""",'Students (Vertical)'!P:P&gt;1)})&gt;1))),""""),"""")"),"")</f>
        <v/>
      </c>
      <c r="K44" s="358" t="str">
        <f>IFERROR(__xludf.DUMMYFUNCTION("iferror(join("", "",unique(filter({filter('Students (Vertical)'!D:D,'Students (Vertical)'!C:C=B44,'Students (Vertical)'!D:D&lt;&gt;"""");filter('Students (Vertical)'!D:D,'Students (Vertical)'!C:C=E44,'Students (Vertical)'!D:D&lt;&gt;"""")},countifs({filter('Students "&amp;"(Vertical)'!D:D,'Students (Vertical)'!C:C=B44,'Students (Vertical)'!D:D&lt;&gt;"""");filter('Students (Vertical)'!D:D,'Students (Vertical)'!C:C=E44,'Students (Vertical)'!D:D&lt;&gt;"""")},{filter('Students (Vertical)'!D:D,'Students (Vertical)'!C:C=B44,'Students (Vert"&amp;"ical)'!D:D&lt;&gt;"""");filter('Students (Vertical)'!D:D,'Students (Vertical)'!C:C=E44,'Students (Vertical)'!D:D&lt;&gt;"""")})&gt;1))),"""")"),"English 9, Spanish and Literature 9, Biology 9, PE 9, Social Studies 9, Technology 9, Drawing I")</f>
        <v>English 9, Spanish and Literature 9, Biology 9, PE 9, Social Studies 9, Technology 9, Drawing I</v>
      </c>
    </row>
    <row r="45">
      <c r="A45" s="300">
        <v>44.0</v>
      </c>
      <c r="B45" s="45" t="s">
        <v>263</v>
      </c>
      <c r="C45" s="300">
        <v>29108.0</v>
      </c>
      <c r="D45" s="300">
        <v>9.0</v>
      </c>
      <c r="E45" s="45" t="s">
        <v>193</v>
      </c>
      <c r="F45" s="300">
        <v>29038.0</v>
      </c>
      <c r="G45" s="300">
        <v>9.0</v>
      </c>
      <c r="H45" s="45" t="s">
        <v>760</v>
      </c>
      <c r="I45" s="356" t="str">
        <f>IFERROR(__xludf.DUMMYFUNCTION("if(H45=""Must be Together"",iferror(join("", "",unique(filter({filter('Students (Vertical)'!O:O,'Students (Vertical)'!C:C=B45,'Students (Vertical)'!O:O&lt;&gt;"""");filter('Students (Vertical)'!O:O,'Students (Vertical)'!C:C=E45,'Students (Vertical)'!O:O&lt;&gt;"""")}"&amp;",countifs({filter('Students (Vertical)'!O:O,'Students (Vertical)'!C:C=B45,'Students (Vertical)'!O:O&lt;&gt;"""");filter('Students (Vertical)'!O:O,'Students (Vertical)'!C:C=E45,'Students (Vertical)'!O:O&lt;&gt;"""")},{filter('Students (Vertical)'!O:O,'Students (Vertic"&amp;"al)'!C:C=B45,'Students (Vertical)'!O:O&lt;&gt;"""");filter('Students (Vertical)'!O:O,'Students (Vertical)'!C:C=E45,'Students (Vertical)'!O:O&lt;&gt;"""")})&gt;1))),""No shared courses""),"""")"),"English 9-8, Spanish and Literature 9-4, Algebra I-7, Biology 9-6, PE 9-2, Social Studies 9-5, Technology 9-1, Drawing I-3")</f>
        <v>English 9-8, Spanish and Literature 9-4, Algebra I-7, Biology 9-6, PE 9-2, Social Studies 9-5, Technology 9-1, Drawing I-3</v>
      </c>
      <c r="J45" s="357" t="str">
        <f>IFERROR(__xludf.DUMMYFUNCTION("if(H45=""Can't be Together"",iferror(join("", "",unique(filter({filter('Students (Vertical)'!O:O,'Students (Vertical)'!C:C=B45,'Students (Vertical)'!O:O&lt;&gt;"""",'Students (Vertical)'!P:P&gt;1);filter('Students (Vertical)'!O:O,'Students (Vertical)'!C:C=E45,'Stu"&amp;"dents (Vertical)'!O:O&lt;&gt;"""",'Students (Vertical)'!P:P&gt;1)},countifs({filter('Students (Vertical)'!O:O,'Students (Vertical)'!C:C=B45,'Students (Vertical)'!O:O&lt;&gt;"""",'Students (Vertical)'!P:P&gt;1);filter('Students (Vertical)'!O:O,'Students (Vertical)'!C:C=E45,"&amp;"'Students (Vertical)'!O:O&lt;&gt;"""",'Students (Vertical)'!P:P&gt;1)},{filter('Students (Vertical)'!O:O,'Students (Vertical)'!C:C=B45,'Students (Vertical)'!O:O&lt;&gt;"""",'Students (Vertical)'!P:P&gt;1);filter('Students (Vertical)'!O:O,'Students (Vertical)'!C:C=E45,'Stud"&amp;"ents (Vertical)'!O:O&lt;&gt;"""",'Students (Vertical)'!P:P&gt;1)})&gt;1))),""""),"""")"),"")</f>
        <v/>
      </c>
      <c r="K45" s="358" t="str">
        <f>IFERROR(__xludf.DUMMYFUNCTION("iferror(join("", "",unique(filter({filter('Students (Vertical)'!D:D,'Students (Vertical)'!C:C=B45,'Students (Vertical)'!D:D&lt;&gt;"""");filter('Students (Vertical)'!D:D,'Students (Vertical)'!C:C=E45,'Students (Vertical)'!D:D&lt;&gt;"""")},countifs({filter('Students "&amp;"(Vertical)'!D:D,'Students (Vertical)'!C:C=B45,'Students (Vertical)'!D:D&lt;&gt;"""");filter('Students (Vertical)'!D:D,'Students (Vertical)'!C:C=E45,'Students (Vertical)'!D:D&lt;&gt;"""")},{filter('Students (Vertical)'!D:D,'Students (Vertical)'!C:C=B45,'Students (Vert"&amp;"ical)'!D:D&lt;&gt;"""");filter('Students (Vertical)'!D:D,'Students (Vertical)'!C:C=E45,'Students (Vertical)'!D:D&lt;&gt;"""")})&gt;1))),"""")"),"English 9, Spanish and Literature 9, Algebra I, Biology 9, PE 9, Social Studies 9, Technology 9, Drawing I")</f>
        <v>English 9, Spanish and Literature 9, Algebra I, Biology 9, PE 9, Social Studies 9, Technology 9, Drawing I</v>
      </c>
    </row>
    <row r="46">
      <c r="A46" s="300">
        <v>45.0</v>
      </c>
      <c r="B46" s="45" t="s">
        <v>199</v>
      </c>
      <c r="C46" s="300">
        <v>29170.0</v>
      </c>
      <c r="D46" s="300">
        <v>9.0</v>
      </c>
      <c r="E46" s="45" t="s">
        <v>269</v>
      </c>
      <c r="F46" s="300">
        <v>29049.0</v>
      </c>
      <c r="G46" s="300">
        <v>9.0</v>
      </c>
      <c r="H46" s="45" t="s">
        <v>759</v>
      </c>
      <c r="I46" s="356" t="str">
        <f>IFERROR(__xludf.DUMMYFUNCTION("if(H46=""Must be Together"",iferror(join("", "",unique(filter({filter('Students (Vertical)'!O:O,'Students (Vertical)'!C:C=B46,'Students (Vertical)'!O:O&lt;&gt;"""");filter('Students (Vertical)'!O:O,'Students (Vertical)'!C:C=E46,'Students (Vertical)'!O:O&lt;&gt;"""")}"&amp;",countifs({filter('Students (Vertical)'!O:O,'Students (Vertical)'!C:C=B46,'Students (Vertical)'!O:O&lt;&gt;"""");filter('Students (Vertical)'!O:O,'Students (Vertical)'!C:C=E46,'Students (Vertical)'!O:O&lt;&gt;"""")},{filter('Students (Vertical)'!O:O,'Students (Vertic"&amp;"al)'!C:C=B46,'Students (Vertical)'!O:O&lt;&gt;"""");filter('Students (Vertical)'!O:O,'Students (Vertical)'!C:C=E46,'Students (Vertical)'!O:O&lt;&gt;"""")})&gt;1))),""No shared courses""),"""")"),"")</f>
        <v/>
      </c>
      <c r="J46" s="357" t="str">
        <f>IFERROR(__xludf.DUMMYFUNCTION("if(H46=""Can't be Together"",iferror(join("", "",unique(filter({filter('Students (Vertical)'!O:O,'Students (Vertical)'!C:C=B46,'Students (Vertical)'!O:O&lt;&gt;"""",'Students (Vertical)'!P:P&gt;1);filter('Students (Vertical)'!O:O,'Students (Vertical)'!C:C=E46,'Stu"&amp;"dents (Vertical)'!O:O&lt;&gt;"""",'Students (Vertical)'!P:P&gt;1)},countifs({filter('Students (Vertical)'!O:O,'Students (Vertical)'!C:C=B46,'Students (Vertical)'!O:O&lt;&gt;"""",'Students (Vertical)'!P:P&gt;1);filter('Students (Vertical)'!O:O,'Students (Vertical)'!C:C=E46,"&amp;"'Students (Vertical)'!O:O&lt;&gt;"""",'Students (Vertical)'!P:P&gt;1)},{filter('Students (Vertical)'!O:O,'Students (Vertical)'!C:C=B46,'Students (Vertical)'!O:O&lt;&gt;"""",'Students (Vertical)'!P:P&gt;1);filter('Students (Vertical)'!O:O,'Students (Vertical)'!C:C=E46,'Stud"&amp;"ents (Vertical)'!O:O&lt;&gt;"""",'Students (Vertical)'!P:P&gt;1)})&gt;1))),""""),"""")"),"")</f>
        <v/>
      </c>
      <c r="K46" s="358" t="str">
        <f>IFERROR(__xludf.DUMMYFUNCTION("iferror(join("", "",unique(filter({filter('Students (Vertical)'!D:D,'Students (Vertical)'!C:C=B46,'Students (Vertical)'!D:D&lt;&gt;"""");filter('Students (Vertical)'!D:D,'Students (Vertical)'!C:C=E46,'Students (Vertical)'!D:D&lt;&gt;"""")},countifs({filter('Students "&amp;"(Vertical)'!D:D,'Students (Vertical)'!C:C=B46,'Students (Vertical)'!D:D&lt;&gt;"""");filter('Students (Vertical)'!D:D,'Students (Vertical)'!C:C=E46,'Students (Vertical)'!D:D&lt;&gt;"""")},{filter('Students (Vertical)'!D:D,'Students (Vertical)'!C:C=B46,'Students (Vert"&amp;"ical)'!D:D&lt;&gt;"""");filter('Students (Vertical)'!D:D,'Students (Vertical)'!C:C=E46,'Students (Vertical)'!D:D&lt;&gt;"""")})&gt;1))),"""")"),"English 9, Spanish and Literature 9, Algebra I, Biology 9, PE 9, Social Studies 9, FRC 9 Robotics")</f>
        <v>English 9, Spanish and Literature 9, Algebra I, Biology 9, PE 9, Social Studies 9, FRC 9 Robotics</v>
      </c>
    </row>
    <row r="47">
      <c r="A47" s="300">
        <v>46.0</v>
      </c>
      <c r="B47" s="45" t="s">
        <v>199</v>
      </c>
      <c r="C47" s="300">
        <v>29170.0</v>
      </c>
      <c r="D47" s="300">
        <v>9.0</v>
      </c>
      <c r="E47" s="45" t="s">
        <v>200</v>
      </c>
      <c r="F47" s="300">
        <v>29058.0</v>
      </c>
      <c r="G47" s="300">
        <v>9.0</v>
      </c>
      <c r="H47" s="45" t="s">
        <v>760</v>
      </c>
      <c r="I47" s="356" t="str">
        <f>IFERROR(__xludf.DUMMYFUNCTION("if(H47=""Must be Together"",iferror(join("", "",unique(filter({filter('Students (Vertical)'!O:O,'Students (Vertical)'!C:C=B47,'Students (Vertical)'!O:O&lt;&gt;"""");filter('Students (Vertical)'!O:O,'Students (Vertical)'!C:C=E47,'Students (Vertical)'!O:O&lt;&gt;"""")}"&amp;",countifs({filter('Students (Vertical)'!O:O,'Students (Vertical)'!C:C=B47,'Students (Vertical)'!O:O&lt;&gt;"""");filter('Students (Vertical)'!O:O,'Students (Vertical)'!C:C=E47,'Students (Vertical)'!O:O&lt;&gt;"""")},{filter('Students (Vertical)'!O:O,'Students (Vertic"&amp;"al)'!C:C=B47,'Students (Vertical)'!O:O&lt;&gt;"""");filter('Students (Vertical)'!O:O,'Students (Vertical)'!C:C=E47,'Students (Vertical)'!O:O&lt;&gt;"""")})&gt;1))),""No shared courses""),"""")"),"English 9-5, PE 9-8, Social Studies 9-4, FRC 9 Robotics-1, Band Level II-2")</f>
        <v>English 9-5, PE 9-8, Social Studies 9-4, FRC 9 Robotics-1, Band Level II-2</v>
      </c>
      <c r="J47" s="357" t="str">
        <f>IFERROR(__xludf.DUMMYFUNCTION("if(H47=""Can't be Together"",iferror(join("", "",unique(filter({filter('Students (Vertical)'!O:O,'Students (Vertical)'!C:C=B47,'Students (Vertical)'!O:O&lt;&gt;"""",'Students (Vertical)'!P:P&gt;1);filter('Students (Vertical)'!O:O,'Students (Vertical)'!C:C=E47,'Stu"&amp;"dents (Vertical)'!O:O&lt;&gt;"""",'Students (Vertical)'!P:P&gt;1)},countifs({filter('Students (Vertical)'!O:O,'Students (Vertical)'!C:C=B47,'Students (Vertical)'!O:O&lt;&gt;"""",'Students (Vertical)'!P:P&gt;1);filter('Students (Vertical)'!O:O,'Students (Vertical)'!C:C=E47,"&amp;"'Students (Vertical)'!O:O&lt;&gt;"""",'Students (Vertical)'!P:P&gt;1)},{filter('Students (Vertical)'!O:O,'Students (Vertical)'!C:C=B47,'Students (Vertical)'!O:O&lt;&gt;"""",'Students (Vertical)'!P:P&gt;1);filter('Students (Vertical)'!O:O,'Students (Vertical)'!C:C=E47,'Stud"&amp;"ents (Vertical)'!O:O&lt;&gt;"""",'Students (Vertical)'!P:P&gt;1)})&gt;1))),""""),"""")"),"")</f>
        <v/>
      </c>
      <c r="K47" s="358" t="str">
        <f>IFERROR(__xludf.DUMMYFUNCTION("iferror(join("", "",unique(filter({filter('Students (Vertical)'!D:D,'Students (Vertical)'!C:C=B47,'Students (Vertical)'!D:D&lt;&gt;"""");filter('Students (Vertical)'!D:D,'Students (Vertical)'!C:C=E47,'Students (Vertical)'!D:D&lt;&gt;"""")},countifs({filter('Students "&amp;"(Vertical)'!D:D,'Students (Vertical)'!C:C=B47,'Students (Vertical)'!D:D&lt;&gt;"""");filter('Students (Vertical)'!D:D,'Students (Vertical)'!C:C=E47,'Students (Vertical)'!D:D&lt;&gt;"""")},{filter('Students (Vertical)'!D:D,'Students (Vertical)'!C:C=B47,'Students (Vert"&amp;"ical)'!D:D&lt;&gt;"""");filter('Students (Vertical)'!D:D,'Students (Vertical)'!C:C=E47,'Students (Vertical)'!D:D&lt;&gt;"""")})&gt;1))),"""")"),"English 9, Spanish and Literature 9, Biology 9, PE 9, Social Studies 9, FRC 9 Robotics, Band Level II")</f>
        <v>English 9, Spanish and Literature 9, Biology 9, PE 9, Social Studies 9, FRC 9 Robotics, Band Level II</v>
      </c>
    </row>
    <row r="48">
      <c r="A48" s="355">
        <v>47.0</v>
      </c>
      <c r="B48" s="45" t="s">
        <v>245</v>
      </c>
      <c r="C48" s="300">
        <v>28087.0</v>
      </c>
      <c r="D48" s="300">
        <v>9.0</v>
      </c>
      <c r="E48" s="45" t="s">
        <v>209</v>
      </c>
      <c r="F48" s="300">
        <v>29088.0</v>
      </c>
      <c r="G48" s="300">
        <v>9.0</v>
      </c>
      <c r="H48" s="45" t="s">
        <v>760</v>
      </c>
      <c r="I48" s="356" t="str">
        <f>IFERROR(__xludf.DUMMYFUNCTION("if(H48=""Must be Together"",iferror(join("", "",unique(filter({filter('Students (Vertical)'!O:O,'Students (Vertical)'!C:C=B48,'Students (Vertical)'!O:O&lt;&gt;"""");filter('Students (Vertical)'!O:O,'Students (Vertical)'!C:C=E48,'Students (Vertical)'!O:O&lt;&gt;"""")}"&amp;",countifs({filter('Students (Vertical)'!O:O,'Students (Vertical)'!C:C=B48,'Students (Vertical)'!O:O&lt;&gt;"""");filter('Students (Vertical)'!O:O,'Students (Vertical)'!C:C=E48,'Students (Vertical)'!O:O&lt;&gt;"""")},{filter('Students (Vertical)'!O:O,'Students (Vertic"&amp;"al)'!C:C=B48,'Students (Vertical)'!O:O&lt;&gt;"""");filter('Students (Vertical)'!O:O,'Students (Vertical)'!C:C=E48,'Students (Vertical)'!O:O&lt;&gt;"""")})&gt;1))),""No shared courses""),"""")"),"Spanish and Literature 9-8, Biology 9-5, Social Studies 9-4, FRC 9 Robotics-6, Band Level I-3")</f>
        <v>Spanish and Literature 9-8, Biology 9-5, Social Studies 9-4, FRC 9 Robotics-6, Band Level I-3</v>
      </c>
      <c r="J48" s="357" t="str">
        <f>IFERROR(__xludf.DUMMYFUNCTION("if(H48=""Can't be Together"",iferror(join("", "",unique(filter({filter('Students (Vertical)'!O:O,'Students (Vertical)'!C:C=B48,'Students (Vertical)'!O:O&lt;&gt;"""",'Students (Vertical)'!P:P&gt;1);filter('Students (Vertical)'!O:O,'Students (Vertical)'!C:C=E48,'Stu"&amp;"dents (Vertical)'!O:O&lt;&gt;"""",'Students (Vertical)'!P:P&gt;1)},countifs({filter('Students (Vertical)'!O:O,'Students (Vertical)'!C:C=B48,'Students (Vertical)'!O:O&lt;&gt;"""",'Students (Vertical)'!P:P&gt;1);filter('Students (Vertical)'!O:O,'Students (Vertical)'!C:C=E48,"&amp;"'Students (Vertical)'!O:O&lt;&gt;"""",'Students (Vertical)'!P:P&gt;1)},{filter('Students (Vertical)'!O:O,'Students (Vertical)'!C:C=B48,'Students (Vertical)'!O:O&lt;&gt;"""",'Students (Vertical)'!P:P&gt;1);filter('Students (Vertical)'!O:O,'Students (Vertical)'!C:C=E48,'Stud"&amp;"ents (Vertical)'!O:O&lt;&gt;"""",'Students (Vertical)'!P:P&gt;1)})&gt;1))),""""),"""")"),"")</f>
        <v/>
      </c>
      <c r="K48" s="358" t="str">
        <f>IFERROR(__xludf.DUMMYFUNCTION("iferror(join("", "",unique(filter({filter('Students (Vertical)'!D:D,'Students (Vertical)'!C:C=B48,'Students (Vertical)'!D:D&lt;&gt;"""");filter('Students (Vertical)'!D:D,'Students (Vertical)'!C:C=E48,'Students (Vertical)'!D:D&lt;&gt;"""")},countifs({filter('Students "&amp;"(Vertical)'!D:D,'Students (Vertical)'!C:C=B48,'Students (Vertical)'!D:D&lt;&gt;"""");filter('Students (Vertical)'!D:D,'Students (Vertical)'!C:C=E48,'Students (Vertical)'!D:D&lt;&gt;"""")},{filter('Students (Vertical)'!D:D,'Students (Vertical)'!C:C=B48,'Students (Vert"&amp;"ical)'!D:D&lt;&gt;"""");filter('Students (Vertical)'!D:D,'Students (Vertical)'!C:C=E48,'Students (Vertical)'!D:D&lt;&gt;"""")})&gt;1))),"""")"),"English 9, Spanish and Literature 9, Biology 9, PE 9, Social Studies 9, FRC 9 Robotics, Band Level I")</f>
        <v>English 9, Spanish and Literature 9, Biology 9, PE 9, Social Studies 9, FRC 9 Robotics, Band Level I</v>
      </c>
    </row>
    <row r="49">
      <c r="A49" s="355">
        <v>48.0</v>
      </c>
      <c r="B49" s="45" t="s">
        <v>245</v>
      </c>
      <c r="C49" s="300">
        <v>28087.0</v>
      </c>
      <c r="D49" s="300">
        <v>9.0</v>
      </c>
      <c r="E49" s="45" t="s">
        <v>269</v>
      </c>
      <c r="F49" s="300">
        <v>29049.0</v>
      </c>
      <c r="G49" s="300">
        <v>9.0</v>
      </c>
      <c r="H49" s="45" t="s">
        <v>759</v>
      </c>
      <c r="I49" s="356" t="str">
        <f>IFERROR(__xludf.DUMMYFUNCTION("if(H49=""Must be Together"",iferror(join("", "",unique(filter({filter('Students (Vertical)'!O:O,'Students (Vertical)'!C:C=B49,'Students (Vertical)'!O:O&lt;&gt;"""");filter('Students (Vertical)'!O:O,'Students (Vertical)'!C:C=E49,'Students (Vertical)'!O:O&lt;&gt;"""")}"&amp;",countifs({filter('Students (Vertical)'!O:O,'Students (Vertical)'!C:C=B49,'Students (Vertical)'!O:O&lt;&gt;"""");filter('Students (Vertical)'!O:O,'Students (Vertical)'!C:C=E49,'Students (Vertical)'!O:O&lt;&gt;"""")},{filter('Students (Vertical)'!O:O,'Students (Vertic"&amp;"al)'!C:C=B49,'Students (Vertical)'!O:O&lt;&gt;"""");filter('Students (Vertical)'!O:O,'Students (Vertical)'!C:C=E49,'Students (Vertical)'!O:O&lt;&gt;"""")})&gt;1))),""No shared courses""),"""")"),"")</f>
        <v/>
      </c>
      <c r="J49" s="357" t="str">
        <f>IFERROR(__xludf.DUMMYFUNCTION("if(H49=""Can't be Together"",iferror(join("", "",unique(filter({filter('Students (Vertical)'!O:O,'Students (Vertical)'!C:C=B49,'Students (Vertical)'!O:O&lt;&gt;"""",'Students (Vertical)'!P:P&gt;1);filter('Students (Vertical)'!O:O,'Students (Vertical)'!C:C=E49,'Stu"&amp;"dents (Vertical)'!O:O&lt;&gt;"""",'Students (Vertical)'!P:P&gt;1)},countifs({filter('Students (Vertical)'!O:O,'Students (Vertical)'!C:C=B49,'Students (Vertical)'!O:O&lt;&gt;"""",'Students (Vertical)'!P:P&gt;1);filter('Students (Vertical)'!O:O,'Students (Vertical)'!C:C=E49,"&amp;"'Students (Vertical)'!O:O&lt;&gt;"""",'Students (Vertical)'!P:P&gt;1)},{filter('Students (Vertical)'!O:O,'Students (Vertical)'!C:C=B49,'Students (Vertical)'!O:O&lt;&gt;"""",'Students (Vertical)'!P:P&gt;1);filter('Students (Vertical)'!O:O,'Students (Vertical)'!C:C=E49,'Stud"&amp;"ents (Vertical)'!O:O&lt;&gt;"""",'Students (Vertical)'!P:P&gt;1)})&gt;1))),""""),"""")"),"")</f>
        <v/>
      </c>
      <c r="K49" s="358" t="str">
        <f>IFERROR(__xludf.DUMMYFUNCTION("iferror(join("", "",unique(filter({filter('Students (Vertical)'!D:D,'Students (Vertical)'!C:C=B49,'Students (Vertical)'!D:D&lt;&gt;"""");filter('Students (Vertical)'!D:D,'Students (Vertical)'!C:C=E49,'Students (Vertical)'!D:D&lt;&gt;"""")},countifs({filter('Students "&amp;"(Vertical)'!D:D,'Students (Vertical)'!C:C=B49,'Students (Vertical)'!D:D&lt;&gt;"""");filter('Students (Vertical)'!D:D,'Students (Vertical)'!C:C=E49,'Students (Vertical)'!D:D&lt;&gt;"""")},{filter('Students (Vertical)'!D:D,'Students (Vertical)'!C:C=B49,'Students (Vert"&amp;"ical)'!D:D&lt;&gt;"""");filter('Students (Vertical)'!D:D,'Students (Vertical)'!C:C=E49,'Students (Vertical)'!D:D&lt;&gt;"""")})&gt;1))),"""")"),"English 9, Spanish and Literature 9, Algebra I, Biology 9, PE 9, Social Studies 9, FRC 9 Robotics")</f>
        <v>English 9, Spanish and Literature 9, Algebra I, Biology 9, PE 9, Social Studies 9, FRC 9 Robotics</v>
      </c>
    </row>
    <row r="50">
      <c r="A50" s="300">
        <v>49.0</v>
      </c>
      <c r="B50" s="45" t="s">
        <v>245</v>
      </c>
      <c r="C50" s="300">
        <v>28087.0</v>
      </c>
      <c r="D50" s="300">
        <v>9.0</v>
      </c>
      <c r="E50" s="45" t="s">
        <v>204</v>
      </c>
      <c r="F50" s="300">
        <v>28032.0</v>
      </c>
      <c r="G50" s="300">
        <v>9.0</v>
      </c>
      <c r="H50" s="45" t="s">
        <v>759</v>
      </c>
      <c r="I50" s="356" t="str">
        <f>IFERROR(__xludf.DUMMYFUNCTION("if(H50=""Must be Together"",iferror(join("", "",unique(filter({filter('Students (Vertical)'!O:O,'Students (Vertical)'!C:C=B50,'Students (Vertical)'!O:O&lt;&gt;"""");filter('Students (Vertical)'!O:O,'Students (Vertical)'!C:C=E50,'Students (Vertical)'!O:O&lt;&gt;"""")}"&amp;",countifs({filter('Students (Vertical)'!O:O,'Students (Vertical)'!C:C=B50,'Students (Vertical)'!O:O&lt;&gt;"""");filter('Students (Vertical)'!O:O,'Students (Vertical)'!C:C=E50,'Students (Vertical)'!O:O&lt;&gt;"""")},{filter('Students (Vertical)'!O:O,'Students (Vertic"&amp;"al)'!C:C=B50,'Students (Vertical)'!O:O&lt;&gt;"""");filter('Students (Vertical)'!O:O,'Students (Vertical)'!C:C=E50,'Students (Vertical)'!O:O&lt;&gt;"""")})&gt;1))),""No shared courses""),"""")"),"")</f>
        <v/>
      </c>
      <c r="J50" s="357" t="str">
        <f>IFERROR(__xludf.DUMMYFUNCTION("if(H50=""Can't be Together"",iferror(join("", "",unique(filter({filter('Students (Vertical)'!O:O,'Students (Vertical)'!C:C=B50,'Students (Vertical)'!O:O&lt;&gt;"""",'Students (Vertical)'!P:P&gt;1);filter('Students (Vertical)'!O:O,'Students (Vertical)'!C:C=E50,'Stu"&amp;"dents (Vertical)'!O:O&lt;&gt;"""",'Students (Vertical)'!P:P&gt;1)},countifs({filter('Students (Vertical)'!O:O,'Students (Vertical)'!C:C=B50,'Students (Vertical)'!O:O&lt;&gt;"""",'Students (Vertical)'!P:P&gt;1);filter('Students (Vertical)'!O:O,'Students (Vertical)'!C:C=E50,"&amp;"'Students (Vertical)'!O:O&lt;&gt;"""",'Students (Vertical)'!P:P&gt;1)},{filter('Students (Vertical)'!O:O,'Students (Vertical)'!C:C=B50,'Students (Vertical)'!O:O&lt;&gt;"""",'Students (Vertical)'!P:P&gt;1);filter('Students (Vertical)'!O:O,'Students (Vertical)'!C:C=E50,'Stud"&amp;"ents (Vertical)'!O:O&lt;&gt;"""",'Students (Vertical)'!P:P&gt;1)})&gt;1))),""""),"""")"),"")</f>
        <v/>
      </c>
      <c r="K50" s="358" t="str">
        <f>IFERROR(__xludf.DUMMYFUNCTION("iferror(join("", "",unique(filter({filter('Students (Vertical)'!D:D,'Students (Vertical)'!C:C=B50,'Students (Vertical)'!D:D&lt;&gt;"""");filter('Students (Vertical)'!D:D,'Students (Vertical)'!C:C=E50,'Students (Vertical)'!D:D&lt;&gt;"""")},countifs({filter('Students "&amp;"(Vertical)'!D:D,'Students (Vertical)'!C:C=B50,'Students (Vertical)'!D:D&lt;&gt;"""");filter('Students (Vertical)'!D:D,'Students (Vertical)'!C:C=E50,'Students (Vertical)'!D:D&lt;&gt;"""")},{filter('Students (Vertical)'!D:D,'Students (Vertical)'!C:C=B50,'Students (Vert"&amp;"ical)'!D:D&lt;&gt;"""");filter('Students (Vertical)'!D:D,'Students (Vertical)'!C:C=E50,'Students (Vertical)'!D:D&lt;&gt;"""")})&gt;1))),"""")"),"English 9, Spanish and Literature 9, Algebra I, Biology 9, PE 9, Social Studies 9")</f>
        <v>English 9, Spanish and Literature 9, Algebra I, Biology 9, PE 9, Social Studies 9</v>
      </c>
    </row>
    <row r="51">
      <c r="A51" s="300">
        <v>50.0</v>
      </c>
      <c r="B51" s="45" t="s">
        <v>245</v>
      </c>
      <c r="C51" s="300">
        <v>28087.0</v>
      </c>
      <c r="D51" s="300">
        <v>9.0</v>
      </c>
      <c r="E51" s="45" t="s">
        <v>235</v>
      </c>
      <c r="F51" s="300">
        <v>29024.0</v>
      </c>
      <c r="G51" s="300">
        <v>9.0</v>
      </c>
      <c r="H51" s="45" t="s">
        <v>759</v>
      </c>
      <c r="I51" s="356" t="str">
        <f>IFERROR(__xludf.DUMMYFUNCTION("if(H51=""Must be Together"",iferror(join("", "",unique(filter({filter('Students (Vertical)'!O:O,'Students (Vertical)'!C:C=B51,'Students (Vertical)'!O:O&lt;&gt;"""");filter('Students (Vertical)'!O:O,'Students (Vertical)'!C:C=E51,'Students (Vertical)'!O:O&lt;&gt;"""")}"&amp;",countifs({filter('Students (Vertical)'!O:O,'Students (Vertical)'!C:C=B51,'Students (Vertical)'!O:O&lt;&gt;"""");filter('Students (Vertical)'!O:O,'Students (Vertical)'!C:C=E51,'Students (Vertical)'!O:O&lt;&gt;"""")},{filter('Students (Vertical)'!O:O,'Students (Vertic"&amp;"al)'!C:C=B51,'Students (Vertical)'!O:O&lt;&gt;"""");filter('Students (Vertical)'!O:O,'Students (Vertical)'!C:C=E51,'Students (Vertical)'!O:O&lt;&gt;"""")})&gt;1))),""No shared courses""),"""")"),"")</f>
        <v/>
      </c>
      <c r="J51" s="357" t="str">
        <f>IFERROR(__xludf.DUMMYFUNCTION("if(H51=""Can't be Together"",iferror(join("", "",unique(filter({filter('Students (Vertical)'!O:O,'Students (Vertical)'!C:C=B51,'Students (Vertical)'!O:O&lt;&gt;"""",'Students (Vertical)'!P:P&gt;1);filter('Students (Vertical)'!O:O,'Students (Vertical)'!C:C=E51,'Stu"&amp;"dents (Vertical)'!O:O&lt;&gt;"""",'Students (Vertical)'!P:P&gt;1)},countifs({filter('Students (Vertical)'!O:O,'Students (Vertical)'!C:C=B51,'Students (Vertical)'!O:O&lt;&gt;"""",'Students (Vertical)'!P:P&gt;1);filter('Students (Vertical)'!O:O,'Students (Vertical)'!C:C=E51,"&amp;"'Students (Vertical)'!O:O&lt;&gt;"""",'Students (Vertical)'!P:P&gt;1)},{filter('Students (Vertical)'!O:O,'Students (Vertical)'!C:C=B51,'Students (Vertical)'!O:O&lt;&gt;"""",'Students (Vertical)'!P:P&gt;1);filter('Students (Vertical)'!O:O,'Students (Vertical)'!C:C=E51,'Stud"&amp;"ents (Vertical)'!O:O&lt;&gt;"""",'Students (Vertical)'!P:P&gt;1)})&gt;1))),""""),"""")"),"")</f>
        <v/>
      </c>
      <c r="K51" s="358" t="str">
        <f>IFERROR(__xludf.DUMMYFUNCTION("iferror(join("", "",unique(filter({filter('Students (Vertical)'!D:D,'Students (Vertical)'!C:C=B51,'Students (Vertical)'!D:D&lt;&gt;"""");filter('Students (Vertical)'!D:D,'Students (Vertical)'!C:C=E51,'Students (Vertical)'!D:D&lt;&gt;"""")},countifs({filter('Students "&amp;"(Vertical)'!D:D,'Students (Vertical)'!C:C=B51,'Students (Vertical)'!D:D&lt;&gt;"""");filter('Students (Vertical)'!D:D,'Students (Vertical)'!C:C=E51,'Students (Vertical)'!D:D&lt;&gt;"""")},{filter('Students (Vertical)'!D:D,'Students (Vertical)'!C:C=B51,'Students (Vert"&amp;"ical)'!D:D&lt;&gt;"""");filter('Students (Vertical)'!D:D,'Students (Vertical)'!C:C=E51,'Students (Vertical)'!D:D&lt;&gt;"""")})&gt;1))),"""")"),"English 9, Spanish and Literature 9, Algebra I, Biology 9, PE 9, Social Studies 9, FRC 9 Robotics")</f>
        <v>English 9, Spanish and Literature 9, Algebra I, Biology 9, PE 9, Social Studies 9, FRC 9 Robotics</v>
      </c>
    </row>
    <row r="52">
      <c r="A52" s="300">
        <v>51.0</v>
      </c>
      <c r="B52" s="45" t="s">
        <v>262</v>
      </c>
      <c r="C52" s="300">
        <v>29030.0</v>
      </c>
      <c r="D52" s="300">
        <v>9.0</v>
      </c>
      <c r="E52" s="45" t="s">
        <v>168</v>
      </c>
      <c r="F52" s="300">
        <v>29001.0</v>
      </c>
      <c r="G52" s="300">
        <v>9.0</v>
      </c>
      <c r="H52" s="45" t="s">
        <v>760</v>
      </c>
      <c r="I52" s="356" t="str">
        <f>IFERROR(__xludf.DUMMYFUNCTION("if(H52=""Must be Together"",iferror(join("", "",unique(filter({filter('Students (Vertical)'!O:O,'Students (Vertical)'!C:C=B52,'Students (Vertical)'!O:O&lt;&gt;"""");filter('Students (Vertical)'!O:O,'Students (Vertical)'!C:C=E52,'Students (Vertical)'!O:O&lt;&gt;"""")}"&amp;",countifs({filter('Students (Vertical)'!O:O,'Students (Vertical)'!C:C=B52,'Students (Vertical)'!O:O&lt;&gt;"""");filter('Students (Vertical)'!O:O,'Students (Vertical)'!C:C=E52,'Students (Vertical)'!O:O&lt;&gt;"""")},{filter('Students (Vertical)'!O:O,'Students (Vertic"&amp;"al)'!C:C=B52,'Students (Vertical)'!O:O&lt;&gt;"""");filter('Students (Vertical)'!O:O,'Students (Vertical)'!C:C=E52,'Students (Vertical)'!O:O&lt;&gt;"""")})&gt;1))),""No shared courses""),"""")"),"English 9-2, PE 9-5, Social Studies 9-4")</f>
        <v>English 9-2, PE 9-5, Social Studies 9-4</v>
      </c>
      <c r="J52" s="357" t="str">
        <f>IFERROR(__xludf.DUMMYFUNCTION("if(H52=""Can't be Together"",iferror(join("", "",unique(filter({filter('Students (Vertical)'!O:O,'Students (Vertical)'!C:C=B52,'Students (Vertical)'!O:O&lt;&gt;"""",'Students (Vertical)'!P:P&gt;1);filter('Students (Vertical)'!O:O,'Students (Vertical)'!C:C=E52,'Stu"&amp;"dents (Vertical)'!O:O&lt;&gt;"""",'Students (Vertical)'!P:P&gt;1)},countifs({filter('Students (Vertical)'!O:O,'Students (Vertical)'!C:C=B52,'Students (Vertical)'!O:O&lt;&gt;"""",'Students (Vertical)'!P:P&gt;1);filter('Students (Vertical)'!O:O,'Students (Vertical)'!C:C=E52,"&amp;"'Students (Vertical)'!O:O&lt;&gt;"""",'Students (Vertical)'!P:P&gt;1)},{filter('Students (Vertical)'!O:O,'Students (Vertical)'!C:C=B52,'Students (Vertical)'!O:O&lt;&gt;"""",'Students (Vertical)'!P:P&gt;1);filter('Students (Vertical)'!O:O,'Students (Vertical)'!C:C=E52,'Stud"&amp;"ents (Vertical)'!O:O&lt;&gt;"""",'Students (Vertical)'!P:P&gt;1)})&gt;1))),""""),"""")"),"")</f>
        <v/>
      </c>
      <c r="K52" s="358" t="str">
        <f>IFERROR(__xludf.DUMMYFUNCTION("iferror(join("", "",unique(filter({filter('Students (Vertical)'!D:D,'Students (Vertical)'!C:C=B52,'Students (Vertical)'!D:D&lt;&gt;"""");filter('Students (Vertical)'!D:D,'Students (Vertical)'!C:C=E52,'Students (Vertical)'!D:D&lt;&gt;"""")},countifs({filter('Students "&amp;"(Vertical)'!D:D,'Students (Vertical)'!C:C=B52,'Students (Vertical)'!D:D&lt;&gt;"""");filter('Students (Vertical)'!D:D,'Students (Vertical)'!C:C=E52,'Students (Vertical)'!D:D&lt;&gt;"""")},{filter('Students (Vertical)'!D:D,'Students (Vertical)'!C:C=B52,'Students (Vert"&amp;"ical)'!D:D&lt;&gt;"""");filter('Students (Vertical)'!D:D,'Students (Vertical)'!C:C=E52,'Students (Vertical)'!D:D&lt;&gt;"""")})&gt;1))),"""")"),"English 9, Spanish and Literature 9, Geometry, Biology 9, PE 9, Social Studies 9")</f>
        <v>English 9, Spanish and Literature 9, Geometry, Biology 9, PE 9, Social Studies 9</v>
      </c>
    </row>
    <row r="53">
      <c r="A53" s="300">
        <v>52.0</v>
      </c>
      <c r="B53" s="45" t="s">
        <v>267</v>
      </c>
      <c r="C53" s="300">
        <v>29122.0</v>
      </c>
      <c r="D53" s="300">
        <v>9.0</v>
      </c>
      <c r="E53" s="45" t="s">
        <v>253</v>
      </c>
      <c r="F53" s="300">
        <v>29039.0</v>
      </c>
      <c r="G53" s="300">
        <v>9.0</v>
      </c>
      <c r="H53" s="45" t="s">
        <v>760</v>
      </c>
      <c r="I53" s="356" t="str">
        <f>IFERROR(__xludf.DUMMYFUNCTION("if(H53=""Must be Together"",iferror(join("", "",unique(filter({filter('Students (Vertical)'!O:O,'Students (Vertical)'!C:C=B53,'Students (Vertical)'!O:O&lt;&gt;"""");filter('Students (Vertical)'!O:O,'Students (Vertical)'!C:C=E53,'Students (Vertical)'!O:O&lt;&gt;"""")}"&amp;",countifs({filter('Students (Vertical)'!O:O,'Students (Vertical)'!C:C=B53,'Students (Vertical)'!O:O&lt;&gt;"""");filter('Students (Vertical)'!O:O,'Students (Vertical)'!C:C=E53,'Students (Vertical)'!O:O&lt;&gt;"""")},{filter('Students (Vertical)'!O:O,'Students (Vertic"&amp;"al)'!C:C=B53,'Students (Vertical)'!O:O&lt;&gt;"""");filter('Students (Vertical)'!O:O,'Students (Vertical)'!C:C=E53,'Students (Vertical)'!O:O&lt;&gt;"""")})&gt;1))),""No shared courses""),"""")"),"English 9-5, Algebra I-6, PE 9-8, Social Studies 9-2")</f>
        <v>English 9-5, Algebra I-6, PE 9-8, Social Studies 9-2</v>
      </c>
      <c r="J53" s="357" t="str">
        <f>IFERROR(__xludf.DUMMYFUNCTION("if(H53=""Can't be Together"",iferror(join("", "",unique(filter({filter('Students (Vertical)'!O:O,'Students (Vertical)'!C:C=B53,'Students (Vertical)'!O:O&lt;&gt;"""",'Students (Vertical)'!P:P&gt;1);filter('Students (Vertical)'!O:O,'Students (Vertical)'!C:C=E53,'Stu"&amp;"dents (Vertical)'!O:O&lt;&gt;"""",'Students (Vertical)'!P:P&gt;1)},countifs({filter('Students (Vertical)'!O:O,'Students (Vertical)'!C:C=B53,'Students (Vertical)'!O:O&lt;&gt;"""",'Students (Vertical)'!P:P&gt;1);filter('Students (Vertical)'!O:O,'Students (Vertical)'!C:C=E53,"&amp;"'Students (Vertical)'!O:O&lt;&gt;"""",'Students (Vertical)'!P:P&gt;1)},{filter('Students (Vertical)'!O:O,'Students (Vertical)'!C:C=B53,'Students (Vertical)'!O:O&lt;&gt;"""",'Students (Vertical)'!P:P&gt;1);filter('Students (Vertical)'!O:O,'Students (Vertical)'!C:C=E53,'Stud"&amp;"ents (Vertical)'!O:O&lt;&gt;"""",'Students (Vertical)'!P:P&gt;1)})&gt;1))),""""),"""")"),"")</f>
        <v/>
      </c>
      <c r="K53" s="358" t="str">
        <f>IFERROR(__xludf.DUMMYFUNCTION("iferror(join("", "",unique(filter({filter('Students (Vertical)'!D:D,'Students (Vertical)'!C:C=B53,'Students (Vertical)'!D:D&lt;&gt;"""");filter('Students (Vertical)'!D:D,'Students (Vertical)'!C:C=E53,'Students (Vertical)'!D:D&lt;&gt;"""")},countifs({filter('Students "&amp;"(Vertical)'!D:D,'Students (Vertical)'!C:C=B53,'Students (Vertical)'!D:D&lt;&gt;"""");filter('Students (Vertical)'!D:D,'Students (Vertical)'!C:C=E53,'Students (Vertical)'!D:D&lt;&gt;"""")},{filter('Students (Vertical)'!D:D,'Students (Vertical)'!C:C=B53,'Students (Vert"&amp;"ical)'!D:D&lt;&gt;"""");filter('Students (Vertical)'!D:D,'Students (Vertical)'!C:C=E53,'Students (Vertical)'!D:D&lt;&gt;"""")})&gt;1))),"""")"),"English 9, Spanish and Literature 9, Algebra I, Biology 9, PE 9, Social Studies 9")</f>
        <v>English 9, Spanish and Literature 9, Algebra I, Biology 9, PE 9, Social Studies 9</v>
      </c>
    </row>
    <row r="54">
      <c r="A54" s="300">
        <v>53.0</v>
      </c>
      <c r="B54" s="45" t="s">
        <v>244</v>
      </c>
      <c r="C54" s="300">
        <v>29087.0</v>
      </c>
      <c r="D54" s="300">
        <v>9.0</v>
      </c>
      <c r="E54" s="45" t="s">
        <v>206</v>
      </c>
      <c r="F54" s="300">
        <v>29138.0</v>
      </c>
      <c r="G54" s="300">
        <v>9.0</v>
      </c>
      <c r="H54" s="45" t="s">
        <v>759</v>
      </c>
      <c r="I54" s="356" t="str">
        <f>IFERROR(__xludf.DUMMYFUNCTION("if(H54=""Must be Together"",iferror(join("", "",unique(filter({filter('Students (Vertical)'!O:O,'Students (Vertical)'!C:C=B54,'Students (Vertical)'!O:O&lt;&gt;"""");filter('Students (Vertical)'!O:O,'Students (Vertical)'!C:C=E54,'Students (Vertical)'!O:O&lt;&gt;"""")}"&amp;",countifs({filter('Students (Vertical)'!O:O,'Students (Vertical)'!C:C=B54,'Students (Vertical)'!O:O&lt;&gt;"""");filter('Students (Vertical)'!O:O,'Students (Vertical)'!C:C=E54,'Students (Vertical)'!O:O&lt;&gt;"""")},{filter('Students (Vertical)'!O:O,'Students (Vertic"&amp;"al)'!C:C=B54,'Students (Vertical)'!O:O&lt;&gt;"""");filter('Students (Vertical)'!O:O,'Students (Vertical)'!C:C=E54,'Students (Vertical)'!O:O&lt;&gt;"""")})&gt;1))),""No shared courses""),"""")"),"")</f>
        <v/>
      </c>
      <c r="J54" s="357" t="str">
        <f>IFERROR(__xludf.DUMMYFUNCTION("if(H54=""Can't be Together"",iferror(join("", "",unique(filter({filter('Students (Vertical)'!O:O,'Students (Vertical)'!C:C=B54,'Students (Vertical)'!O:O&lt;&gt;"""",'Students (Vertical)'!P:P&gt;1);filter('Students (Vertical)'!O:O,'Students (Vertical)'!C:C=E54,'Stu"&amp;"dents (Vertical)'!O:O&lt;&gt;"""",'Students (Vertical)'!P:P&gt;1)},countifs({filter('Students (Vertical)'!O:O,'Students (Vertical)'!C:C=B54,'Students (Vertical)'!O:O&lt;&gt;"""",'Students (Vertical)'!P:P&gt;1);filter('Students (Vertical)'!O:O,'Students (Vertical)'!C:C=E54,"&amp;"'Students (Vertical)'!O:O&lt;&gt;"""",'Students (Vertical)'!P:P&gt;1)},{filter('Students (Vertical)'!O:O,'Students (Vertical)'!C:C=B54,'Students (Vertical)'!O:O&lt;&gt;"""",'Students (Vertical)'!P:P&gt;1);filter('Students (Vertical)'!O:O,'Students (Vertical)'!C:C=E54,'Stud"&amp;"ents (Vertical)'!O:O&lt;&gt;"""",'Students (Vertical)'!P:P&gt;1)})&gt;1))),""""),"""")"),"")</f>
        <v/>
      </c>
      <c r="K54" s="358" t="str">
        <f>IFERROR(__xludf.DUMMYFUNCTION("iferror(join("", "",unique(filter({filter('Students (Vertical)'!D:D,'Students (Vertical)'!C:C=B54,'Students (Vertical)'!D:D&lt;&gt;"""");filter('Students (Vertical)'!D:D,'Students (Vertical)'!C:C=E54,'Students (Vertical)'!D:D&lt;&gt;"""")},countifs({filter('Students "&amp;"(Vertical)'!D:D,'Students (Vertical)'!C:C=B54,'Students (Vertical)'!D:D&lt;&gt;"""");filter('Students (Vertical)'!D:D,'Students (Vertical)'!C:C=E54,'Students (Vertical)'!D:D&lt;&gt;"""")},{filter('Students (Vertical)'!D:D,'Students (Vertical)'!C:C=B54,'Students (Vert"&amp;"ical)'!D:D&lt;&gt;"""");filter('Students (Vertical)'!D:D,'Students (Vertical)'!C:C=E54,'Students (Vertical)'!D:D&lt;&gt;"""")})&gt;1))),"""")"),"English 9, Spanish and Literature 9, Biology 9, PE 9, Social Studies 9")</f>
        <v>English 9, Spanish and Literature 9, Biology 9, PE 9, Social Studies 9</v>
      </c>
    </row>
    <row r="55">
      <c r="A55" s="300">
        <v>54.0</v>
      </c>
      <c r="B55" s="45" t="s">
        <v>244</v>
      </c>
      <c r="C55" s="300">
        <v>29087.0</v>
      </c>
      <c r="D55" s="300">
        <v>9.0</v>
      </c>
      <c r="E55" s="45" t="s">
        <v>225</v>
      </c>
      <c r="F55" s="300">
        <v>29145.0</v>
      </c>
      <c r="G55" s="300">
        <v>9.0</v>
      </c>
      <c r="H55" s="45" t="s">
        <v>760</v>
      </c>
      <c r="I55" s="356" t="str">
        <f>IFERROR(__xludf.DUMMYFUNCTION("if(H55=""Must be Together"",iferror(join("", "",unique(filter({filter('Students (Vertical)'!O:O,'Students (Vertical)'!C:C=B55,'Students (Vertical)'!O:O&lt;&gt;"""");filter('Students (Vertical)'!O:O,'Students (Vertical)'!C:C=E55,'Students (Vertical)'!O:O&lt;&gt;"""")}"&amp;",countifs({filter('Students (Vertical)'!O:O,'Students (Vertical)'!C:C=B55,'Students (Vertical)'!O:O&lt;&gt;"""");filter('Students (Vertical)'!O:O,'Students (Vertical)'!C:C=E55,'Students (Vertical)'!O:O&lt;&gt;"""")},{filter('Students (Vertical)'!O:O,'Students (Vertic"&amp;"al)'!C:C=B55,'Students (Vertical)'!O:O&lt;&gt;"""");filter('Students (Vertical)'!O:O,'Students (Vertical)'!C:C=E55,'Students (Vertical)'!O:O&lt;&gt;"""")})&gt;1))),""No shared courses""),"""")"),"English 9-2, Algebra I-7, Biology 9-6, PE 9-1, Social Studies 9-8")</f>
        <v>English 9-2, Algebra I-7, Biology 9-6, PE 9-1, Social Studies 9-8</v>
      </c>
      <c r="J55" s="357" t="str">
        <f>IFERROR(__xludf.DUMMYFUNCTION("if(H55=""Can't be Together"",iferror(join("", "",unique(filter({filter('Students (Vertical)'!O:O,'Students (Vertical)'!C:C=B55,'Students (Vertical)'!O:O&lt;&gt;"""",'Students (Vertical)'!P:P&gt;1);filter('Students (Vertical)'!O:O,'Students (Vertical)'!C:C=E55,'Stu"&amp;"dents (Vertical)'!O:O&lt;&gt;"""",'Students (Vertical)'!P:P&gt;1)},countifs({filter('Students (Vertical)'!O:O,'Students (Vertical)'!C:C=B55,'Students (Vertical)'!O:O&lt;&gt;"""",'Students (Vertical)'!P:P&gt;1);filter('Students (Vertical)'!O:O,'Students (Vertical)'!C:C=E55,"&amp;"'Students (Vertical)'!O:O&lt;&gt;"""",'Students (Vertical)'!P:P&gt;1)},{filter('Students (Vertical)'!O:O,'Students (Vertical)'!C:C=B55,'Students (Vertical)'!O:O&lt;&gt;"""",'Students (Vertical)'!P:P&gt;1);filter('Students (Vertical)'!O:O,'Students (Vertical)'!C:C=E55,'Stud"&amp;"ents (Vertical)'!O:O&lt;&gt;"""",'Students (Vertical)'!P:P&gt;1)})&gt;1))),""""),"""")"),"")</f>
        <v/>
      </c>
      <c r="K55" s="358" t="str">
        <f>IFERROR(__xludf.DUMMYFUNCTION("iferror(join("", "",unique(filter({filter('Students (Vertical)'!D:D,'Students (Vertical)'!C:C=B55,'Students (Vertical)'!D:D&lt;&gt;"""");filter('Students (Vertical)'!D:D,'Students (Vertical)'!C:C=E55,'Students (Vertical)'!D:D&lt;&gt;"""")},countifs({filter('Students "&amp;"(Vertical)'!D:D,'Students (Vertical)'!C:C=B55,'Students (Vertical)'!D:D&lt;&gt;"""");filter('Students (Vertical)'!D:D,'Students (Vertical)'!C:C=E55,'Students (Vertical)'!D:D&lt;&gt;"""")},{filter('Students (Vertical)'!D:D,'Students (Vertical)'!C:C=B55,'Students (Vert"&amp;"ical)'!D:D&lt;&gt;"""");filter('Students (Vertical)'!D:D,'Students (Vertical)'!C:C=E55,'Students (Vertical)'!D:D&lt;&gt;"""")})&gt;1))),"""")"),"English 9, Spanish and Literature 9, Algebra I, Biology 9, PE 9, Social Studies 9")</f>
        <v>English 9, Spanish and Literature 9, Algebra I, Biology 9, PE 9, Social Studies 9</v>
      </c>
    </row>
    <row r="56">
      <c r="A56" s="300">
        <v>55.0</v>
      </c>
      <c r="B56" s="45" t="s">
        <v>189</v>
      </c>
      <c r="C56" s="300">
        <v>29007.0</v>
      </c>
      <c r="D56" s="300">
        <v>9.0</v>
      </c>
      <c r="E56" s="45" t="s">
        <v>184</v>
      </c>
      <c r="F56" s="300">
        <v>29112.0</v>
      </c>
      <c r="G56" s="300">
        <v>9.0</v>
      </c>
      <c r="H56" s="45" t="s">
        <v>759</v>
      </c>
      <c r="I56" s="356" t="str">
        <f>IFERROR(__xludf.DUMMYFUNCTION("if(H56=""Must be Together"",iferror(join("", "",unique(filter({filter('Students (Vertical)'!O:O,'Students (Vertical)'!C:C=B56,'Students (Vertical)'!O:O&lt;&gt;"""");filter('Students (Vertical)'!O:O,'Students (Vertical)'!C:C=E56,'Students (Vertical)'!O:O&lt;&gt;"""")}"&amp;",countifs({filter('Students (Vertical)'!O:O,'Students (Vertical)'!C:C=B56,'Students (Vertical)'!O:O&lt;&gt;"""");filter('Students (Vertical)'!O:O,'Students (Vertical)'!C:C=E56,'Students (Vertical)'!O:O&lt;&gt;"""")},{filter('Students (Vertical)'!O:O,'Students (Vertic"&amp;"al)'!C:C=B56,'Students (Vertical)'!O:O&lt;&gt;"""");filter('Students (Vertical)'!O:O,'Students (Vertical)'!C:C=E56,'Students (Vertical)'!O:O&lt;&gt;"""")})&gt;1))),""No shared courses""),"""")"),"")</f>
        <v/>
      </c>
      <c r="J56" s="357" t="str">
        <f>IFERROR(__xludf.DUMMYFUNCTION("if(H56=""Can't be Together"",iferror(join("", "",unique(filter({filter('Students (Vertical)'!O:O,'Students (Vertical)'!C:C=B56,'Students (Vertical)'!O:O&lt;&gt;"""",'Students (Vertical)'!P:P&gt;1);filter('Students (Vertical)'!O:O,'Students (Vertical)'!C:C=E56,'Stu"&amp;"dents (Vertical)'!O:O&lt;&gt;"""",'Students (Vertical)'!P:P&gt;1)},countifs({filter('Students (Vertical)'!O:O,'Students (Vertical)'!C:C=B56,'Students (Vertical)'!O:O&lt;&gt;"""",'Students (Vertical)'!P:P&gt;1);filter('Students (Vertical)'!O:O,'Students (Vertical)'!C:C=E56,"&amp;"'Students (Vertical)'!O:O&lt;&gt;"""",'Students (Vertical)'!P:P&gt;1)},{filter('Students (Vertical)'!O:O,'Students (Vertical)'!C:C=B56,'Students (Vertical)'!O:O&lt;&gt;"""",'Students (Vertical)'!P:P&gt;1);filter('Students (Vertical)'!O:O,'Students (Vertical)'!C:C=E56,'Stud"&amp;"ents (Vertical)'!O:O&lt;&gt;"""",'Students (Vertical)'!P:P&gt;1)})&gt;1))),""""),"""")"),"")</f>
        <v/>
      </c>
      <c r="K56" s="358" t="str">
        <f>IFERROR(__xludf.DUMMYFUNCTION("iferror(join("", "",unique(filter({filter('Students (Vertical)'!D:D,'Students (Vertical)'!C:C=B56,'Students (Vertical)'!D:D&lt;&gt;"""");filter('Students (Vertical)'!D:D,'Students (Vertical)'!C:C=E56,'Students (Vertical)'!D:D&lt;&gt;"""")},countifs({filter('Students "&amp;"(Vertical)'!D:D,'Students (Vertical)'!C:C=B56,'Students (Vertical)'!D:D&lt;&gt;"""");filter('Students (Vertical)'!D:D,'Students (Vertical)'!C:C=E56,'Students (Vertical)'!D:D&lt;&gt;"""")},{filter('Students (Vertical)'!D:D,'Students (Vertical)'!C:C=B56,'Students (Vert"&amp;"ical)'!D:D&lt;&gt;"""");filter('Students (Vertical)'!D:D,'Students (Vertical)'!C:C=E56,'Students (Vertical)'!D:D&lt;&gt;"""")})&gt;1))),"""")"),"English 9, Spanish and Literature 9, Biology 9, PE 9, Social Studies 9, Technology 9")</f>
        <v>English 9, Spanish and Literature 9, Biology 9, PE 9, Social Studies 9, Technology 9</v>
      </c>
    </row>
    <row r="57">
      <c r="A57" s="300">
        <v>56.0</v>
      </c>
      <c r="B57" s="45" t="s">
        <v>188</v>
      </c>
      <c r="C57" s="300">
        <v>29147.0</v>
      </c>
      <c r="D57" s="300">
        <v>9.0</v>
      </c>
      <c r="E57" s="45" t="s">
        <v>184</v>
      </c>
      <c r="F57" s="300">
        <v>29112.0</v>
      </c>
      <c r="G57" s="300">
        <v>9.0</v>
      </c>
      <c r="H57" s="45" t="s">
        <v>759</v>
      </c>
      <c r="I57" s="356" t="str">
        <f>IFERROR(__xludf.DUMMYFUNCTION("if(H57=""Must be Together"",iferror(join("", "",unique(filter({filter('Students (Vertical)'!O:O,'Students (Vertical)'!C:C=B57,'Students (Vertical)'!O:O&lt;&gt;"""");filter('Students (Vertical)'!O:O,'Students (Vertical)'!C:C=E57,'Students (Vertical)'!O:O&lt;&gt;"""")}"&amp;",countifs({filter('Students (Vertical)'!O:O,'Students (Vertical)'!C:C=B57,'Students (Vertical)'!O:O&lt;&gt;"""");filter('Students (Vertical)'!O:O,'Students (Vertical)'!C:C=E57,'Students (Vertical)'!O:O&lt;&gt;"""")},{filter('Students (Vertical)'!O:O,'Students (Vertic"&amp;"al)'!C:C=B57,'Students (Vertical)'!O:O&lt;&gt;"""");filter('Students (Vertical)'!O:O,'Students (Vertical)'!C:C=E57,'Students (Vertical)'!O:O&lt;&gt;"""")})&gt;1))),""No shared courses""),"""")"),"")</f>
        <v/>
      </c>
      <c r="J57" s="357" t="str">
        <f>IFERROR(__xludf.DUMMYFUNCTION("if(H57=""Can't be Together"",iferror(join("", "",unique(filter({filter('Students (Vertical)'!O:O,'Students (Vertical)'!C:C=B57,'Students (Vertical)'!O:O&lt;&gt;"""",'Students (Vertical)'!P:P&gt;1);filter('Students (Vertical)'!O:O,'Students (Vertical)'!C:C=E57,'Stu"&amp;"dents (Vertical)'!O:O&lt;&gt;"""",'Students (Vertical)'!P:P&gt;1)},countifs({filter('Students (Vertical)'!O:O,'Students (Vertical)'!C:C=B57,'Students (Vertical)'!O:O&lt;&gt;"""",'Students (Vertical)'!P:P&gt;1);filter('Students (Vertical)'!O:O,'Students (Vertical)'!C:C=E57,"&amp;"'Students (Vertical)'!O:O&lt;&gt;"""",'Students (Vertical)'!P:P&gt;1)},{filter('Students (Vertical)'!O:O,'Students (Vertical)'!C:C=B57,'Students (Vertical)'!O:O&lt;&gt;"""",'Students (Vertical)'!P:P&gt;1);filter('Students (Vertical)'!O:O,'Students (Vertical)'!C:C=E57,'Stud"&amp;"ents (Vertical)'!O:O&lt;&gt;"""",'Students (Vertical)'!P:P&gt;1)})&gt;1))),""""),"""")"),"")</f>
        <v/>
      </c>
      <c r="K57" s="358" t="str">
        <f>IFERROR(__xludf.DUMMYFUNCTION("iferror(join("", "",unique(filter({filter('Students (Vertical)'!D:D,'Students (Vertical)'!C:C=B57,'Students (Vertical)'!D:D&lt;&gt;"""");filter('Students (Vertical)'!D:D,'Students (Vertical)'!C:C=E57,'Students (Vertical)'!D:D&lt;&gt;"""")},countifs({filter('Students "&amp;"(Vertical)'!D:D,'Students (Vertical)'!C:C=B57,'Students (Vertical)'!D:D&lt;&gt;"""");filter('Students (Vertical)'!D:D,'Students (Vertical)'!C:C=E57,'Students (Vertical)'!D:D&lt;&gt;"""")},{filter('Students (Vertical)'!D:D,'Students (Vertical)'!C:C=B57,'Students (Vert"&amp;"ical)'!D:D&lt;&gt;"""");filter('Students (Vertical)'!D:D,'Students (Vertical)'!C:C=E57,'Students (Vertical)'!D:D&lt;&gt;"""")})&gt;1))),"""")"),"English 9, Spanish and Literature 9, Biology 9, PE 9, Social Studies 9, Technology 9, Painting I")</f>
        <v>English 9, Spanish and Literature 9, Biology 9, PE 9, Social Studies 9, Technology 9, Painting I</v>
      </c>
    </row>
    <row r="58">
      <c r="A58" s="300">
        <v>57.0</v>
      </c>
      <c r="B58" s="45" t="s">
        <v>275</v>
      </c>
      <c r="C58" s="300">
        <v>29156.0</v>
      </c>
      <c r="D58" s="300">
        <v>9.0</v>
      </c>
      <c r="E58" s="45" t="s">
        <v>258</v>
      </c>
      <c r="F58" s="300">
        <v>29069.0</v>
      </c>
      <c r="G58" s="300">
        <v>9.0</v>
      </c>
      <c r="H58" s="45" t="s">
        <v>760</v>
      </c>
      <c r="I58" s="356" t="str">
        <f>IFERROR(__xludf.DUMMYFUNCTION("if(H58=""Must be Together"",iferror(join("", "",unique(filter({filter('Students (Vertical)'!O:O,'Students (Vertical)'!C:C=B58,'Students (Vertical)'!O:O&lt;&gt;"""");filter('Students (Vertical)'!O:O,'Students (Vertical)'!C:C=E58,'Students (Vertical)'!O:O&lt;&gt;"""")}"&amp;",countifs({filter('Students (Vertical)'!O:O,'Students (Vertical)'!C:C=B58,'Students (Vertical)'!O:O&lt;&gt;"""");filter('Students (Vertical)'!O:O,'Students (Vertical)'!C:C=E58,'Students (Vertical)'!O:O&lt;&gt;"""")},{filter('Students (Vertical)'!O:O,'Students (Vertic"&amp;"al)'!C:C=B58,'Students (Vertical)'!O:O&lt;&gt;"""");filter('Students (Vertical)'!O:O,'Students (Vertical)'!C:C=E58,'Students (Vertical)'!O:O&lt;&gt;"""")})&gt;1))),""No shared courses""),"""")"),"English 9-7, Geometry-1, PE 9-6")</f>
        <v>English 9-7, Geometry-1, PE 9-6</v>
      </c>
      <c r="J58" s="357" t="str">
        <f>IFERROR(__xludf.DUMMYFUNCTION("if(H58=""Can't be Together"",iferror(join("", "",unique(filter({filter('Students (Vertical)'!O:O,'Students (Vertical)'!C:C=B58,'Students (Vertical)'!O:O&lt;&gt;"""",'Students (Vertical)'!P:P&gt;1);filter('Students (Vertical)'!O:O,'Students (Vertical)'!C:C=E58,'Stu"&amp;"dents (Vertical)'!O:O&lt;&gt;"""",'Students (Vertical)'!P:P&gt;1)},countifs({filter('Students (Vertical)'!O:O,'Students (Vertical)'!C:C=B58,'Students (Vertical)'!O:O&lt;&gt;"""",'Students (Vertical)'!P:P&gt;1);filter('Students (Vertical)'!O:O,'Students (Vertical)'!C:C=E58,"&amp;"'Students (Vertical)'!O:O&lt;&gt;"""",'Students (Vertical)'!P:P&gt;1)},{filter('Students (Vertical)'!O:O,'Students (Vertical)'!C:C=B58,'Students (Vertical)'!O:O&lt;&gt;"""",'Students (Vertical)'!P:P&gt;1);filter('Students (Vertical)'!O:O,'Students (Vertical)'!C:C=E58,'Stud"&amp;"ents (Vertical)'!O:O&lt;&gt;"""",'Students (Vertical)'!P:P&gt;1)})&gt;1))),""""),"""")"),"")</f>
        <v/>
      </c>
      <c r="K58" s="358" t="str">
        <f>IFERROR(__xludf.DUMMYFUNCTION("iferror(join("", "",unique(filter({filter('Students (Vertical)'!D:D,'Students (Vertical)'!C:C=B58,'Students (Vertical)'!D:D&lt;&gt;"""");filter('Students (Vertical)'!D:D,'Students (Vertical)'!C:C=E58,'Students (Vertical)'!D:D&lt;&gt;"""")},countifs({filter('Students "&amp;"(Vertical)'!D:D,'Students (Vertical)'!C:C=B58,'Students (Vertical)'!D:D&lt;&gt;"""");filter('Students (Vertical)'!D:D,'Students (Vertical)'!C:C=E58,'Students (Vertical)'!D:D&lt;&gt;"""")},{filter('Students (Vertical)'!D:D,'Students (Vertical)'!C:C=B58,'Students (Vert"&amp;"ical)'!D:D&lt;&gt;"""");filter('Students (Vertical)'!D:D,'Students (Vertical)'!C:C=E58,'Students (Vertical)'!D:D&lt;&gt;"""")})&gt;1))),"""")"),"English 9, Spanish and Literature 9, Geometry, Biology 9, PE 9, Social Studies 9, Painting I")</f>
        <v>English 9, Spanish and Literature 9, Geometry, Biology 9, PE 9, Social Studies 9, Painting I</v>
      </c>
    </row>
    <row r="59">
      <c r="A59" s="300" t="s">
        <v>22</v>
      </c>
      <c r="B59" s="45" t="s">
        <v>761</v>
      </c>
      <c r="C59" s="300" t="e">
        <v>#N/A</v>
      </c>
      <c r="D59" s="300" t="e">
        <v>#N/A</v>
      </c>
      <c r="E59" s="45" t="s">
        <v>253</v>
      </c>
      <c r="F59" s="300">
        <v>29039.0</v>
      </c>
      <c r="G59" s="300">
        <v>9.0</v>
      </c>
      <c r="H59" s="45" t="s">
        <v>759</v>
      </c>
      <c r="I59" s="356" t="str">
        <f>IFERROR(__xludf.DUMMYFUNCTION("if(H59=""Must be Together"",iferror(join("", "",unique(filter({filter('Students (Vertical)'!O:O,'Students (Vertical)'!C:C=B59,'Students (Vertical)'!O:O&lt;&gt;"""");filter('Students (Vertical)'!O:O,'Students (Vertical)'!C:C=E59,'Students (Vertical)'!O:O&lt;&gt;"""")}"&amp;",countifs({filter('Students (Vertical)'!O:O,'Students (Vertical)'!C:C=B59,'Students (Vertical)'!O:O&lt;&gt;"""");filter('Students (Vertical)'!O:O,'Students (Vertical)'!C:C=E59,'Students (Vertical)'!O:O&lt;&gt;"""")},{filter('Students (Vertical)'!O:O,'Students (Vertic"&amp;"al)'!C:C=B59,'Students (Vertical)'!O:O&lt;&gt;"""");filter('Students (Vertical)'!O:O,'Students (Vertical)'!C:C=E59,'Students (Vertical)'!O:O&lt;&gt;"""")})&gt;1))),""No shared courses""),"""")"),"")</f>
        <v/>
      </c>
      <c r="J59" s="357" t="str">
        <f>IFERROR(__xludf.DUMMYFUNCTION("if(H59=""Can't be Together"",iferror(join("", "",unique(filter({filter('Students (Vertical)'!O:O,'Students (Vertical)'!C:C=B59,'Students (Vertical)'!O:O&lt;&gt;"""",'Students (Vertical)'!P:P&gt;1);filter('Students (Vertical)'!O:O,'Students (Vertical)'!C:C=E59,'Stu"&amp;"dents (Vertical)'!O:O&lt;&gt;"""",'Students (Vertical)'!P:P&gt;1)},countifs({filter('Students (Vertical)'!O:O,'Students (Vertical)'!C:C=B59,'Students (Vertical)'!O:O&lt;&gt;"""",'Students (Vertical)'!P:P&gt;1);filter('Students (Vertical)'!O:O,'Students (Vertical)'!C:C=E59,"&amp;"'Students (Vertical)'!O:O&lt;&gt;"""",'Students (Vertical)'!P:P&gt;1)},{filter('Students (Vertical)'!O:O,'Students (Vertical)'!C:C=B59,'Students (Vertical)'!O:O&lt;&gt;"""",'Students (Vertical)'!P:P&gt;1);filter('Students (Vertical)'!O:O,'Students (Vertical)'!C:C=E59,'Stud"&amp;"ents (Vertical)'!O:O&lt;&gt;"""",'Students (Vertical)'!P:P&gt;1)})&gt;1))),""""),"""")"),"")</f>
        <v/>
      </c>
      <c r="K59" s="358" t="str">
        <f>IFERROR(__xludf.DUMMYFUNCTION("iferror(join("", "",unique(filter({filter('Students (Vertical)'!D:D,'Students (Vertical)'!C:C=B59,'Students (Vertical)'!D:D&lt;&gt;"""");filter('Students (Vertical)'!D:D,'Students (Vertical)'!C:C=E59,'Students (Vertical)'!D:D&lt;&gt;"""")},countifs({filter('Students "&amp;"(Vertical)'!D:D,'Students (Vertical)'!C:C=B59,'Students (Vertical)'!D:D&lt;&gt;"""");filter('Students (Vertical)'!D:D,'Students (Vertical)'!C:C=E59,'Students (Vertical)'!D:D&lt;&gt;"""")},{filter('Students (Vertical)'!D:D,'Students (Vertical)'!C:C=B59,'Students (Vert"&amp;"ical)'!D:D&lt;&gt;"""");filter('Students (Vertical)'!D:D,'Students (Vertical)'!C:C=E59,'Students (Vertical)'!D:D&lt;&gt;"""")})&gt;1))),"""")"),"")</f>
        <v/>
      </c>
    </row>
    <row r="60">
      <c r="A60" s="300">
        <v>59.0</v>
      </c>
      <c r="B60" s="45" t="s">
        <v>282</v>
      </c>
      <c r="C60" s="300">
        <v>29083.0</v>
      </c>
      <c r="D60" s="300">
        <v>9.0</v>
      </c>
      <c r="E60" s="45" t="s">
        <v>207</v>
      </c>
      <c r="F60" s="300">
        <v>29003.0</v>
      </c>
      <c r="G60" s="300">
        <v>9.0</v>
      </c>
      <c r="H60" s="45" t="s">
        <v>760</v>
      </c>
      <c r="I60" s="356" t="str">
        <f>IFERROR(__xludf.DUMMYFUNCTION("if(H60=""Must be Together"",iferror(join("", "",unique(filter({filter('Students (Vertical)'!O:O,'Students (Vertical)'!C:C=B60,'Students (Vertical)'!O:O&lt;&gt;"""");filter('Students (Vertical)'!O:O,'Students (Vertical)'!C:C=E60,'Students (Vertical)'!O:O&lt;&gt;"""")}"&amp;",countifs({filter('Students (Vertical)'!O:O,'Students (Vertical)'!C:C=B60,'Students (Vertical)'!O:O&lt;&gt;"""");filter('Students (Vertical)'!O:O,'Students (Vertical)'!C:C=E60,'Students (Vertical)'!O:O&lt;&gt;"""")},{filter('Students (Vertical)'!O:O,'Students (Vertic"&amp;"al)'!C:C=B60,'Students (Vertical)'!O:O&lt;&gt;"""");filter('Students (Vertical)'!O:O,'Students (Vertical)'!C:C=E60,'Students (Vertical)'!O:O&lt;&gt;"""")})&gt;1))),""No shared courses""),"""")"),"English 9-1, PE 9-5, Social Studies 9-2, Painting I-8")</f>
        <v>English 9-1, PE 9-5, Social Studies 9-2, Painting I-8</v>
      </c>
      <c r="J60" s="357" t="str">
        <f>IFERROR(__xludf.DUMMYFUNCTION("if(H60=""Can't be Together"",iferror(join("", "",unique(filter({filter('Students (Vertical)'!O:O,'Students (Vertical)'!C:C=B60,'Students (Vertical)'!O:O&lt;&gt;"""",'Students (Vertical)'!P:P&gt;1);filter('Students (Vertical)'!O:O,'Students (Vertical)'!C:C=E60,'Stu"&amp;"dents (Vertical)'!O:O&lt;&gt;"""",'Students (Vertical)'!P:P&gt;1)},countifs({filter('Students (Vertical)'!O:O,'Students (Vertical)'!C:C=B60,'Students (Vertical)'!O:O&lt;&gt;"""",'Students (Vertical)'!P:P&gt;1);filter('Students (Vertical)'!O:O,'Students (Vertical)'!C:C=E60,"&amp;"'Students (Vertical)'!O:O&lt;&gt;"""",'Students (Vertical)'!P:P&gt;1)},{filter('Students (Vertical)'!O:O,'Students (Vertical)'!C:C=B60,'Students (Vertical)'!O:O&lt;&gt;"""",'Students (Vertical)'!P:P&gt;1);filter('Students (Vertical)'!O:O,'Students (Vertical)'!C:C=E60,'Stud"&amp;"ents (Vertical)'!O:O&lt;&gt;"""",'Students (Vertical)'!P:P&gt;1)})&gt;1))),""""),"""")"),"")</f>
        <v/>
      </c>
      <c r="K60" s="358" t="str">
        <f>IFERROR(__xludf.DUMMYFUNCTION("iferror(join("", "",unique(filter({filter('Students (Vertical)'!D:D,'Students (Vertical)'!C:C=B60,'Students (Vertical)'!D:D&lt;&gt;"""");filter('Students (Vertical)'!D:D,'Students (Vertical)'!C:C=E60,'Students (Vertical)'!D:D&lt;&gt;"""")},countifs({filter('Students "&amp;"(Vertical)'!D:D,'Students (Vertical)'!C:C=B60,'Students (Vertical)'!D:D&lt;&gt;"""");filter('Students (Vertical)'!D:D,'Students (Vertical)'!C:C=E60,'Students (Vertical)'!D:D&lt;&gt;"""")},{filter('Students (Vertical)'!D:D,'Students (Vertical)'!C:C=B60,'Students (Vert"&amp;"ical)'!D:D&lt;&gt;"""");filter('Students (Vertical)'!D:D,'Students (Vertical)'!C:C=E60,'Students (Vertical)'!D:D&lt;&gt;"""")})&gt;1))),"""")"),"English 9, Spanish and Literature 9, Algebra I, Biology 9, PE 9, Social Studies 9, Painting I")</f>
        <v>English 9, Spanish and Literature 9, Algebra I, Biology 9, PE 9, Social Studies 9, Painting I</v>
      </c>
    </row>
    <row r="61">
      <c r="A61" s="300">
        <v>60.0</v>
      </c>
      <c r="B61" s="45" t="s">
        <v>157</v>
      </c>
      <c r="C61" s="300">
        <v>29149.0</v>
      </c>
      <c r="D61" s="300">
        <v>9.0</v>
      </c>
      <c r="E61" s="45" t="s">
        <v>212</v>
      </c>
      <c r="F61" s="300">
        <v>29161.0</v>
      </c>
      <c r="G61" s="300">
        <v>9.0</v>
      </c>
      <c r="H61" s="45" t="s">
        <v>760</v>
      </c>
      <c r="I61" s="356" t="str">
        <f>IFERROR(__xludf.DUMMYFUNCTION("if(H61=""Must be Together"",iferror(join("", "",unique(filter({filter('Students (Vertical)'!O:O,'Students (Vertical)'!C:C=B61,'Students (Vertical)'!O:O&lt;&gt;"""");filter('Students (Vertical)'!O:O,'Students (Vertical)'!C:C=E61,'Students (Vertical)'!O:O&lt;&gt;"""")}"&amp;",countifs({filter('Students (Vertical)'!O:O,'Students (Vertical)'!C:C=B61,'Students (Vertical)'!O:O&lt;&gt;"""");filter('Students (Vertical)'!O:O,'Students (Vertical)'!C:C=E61,'Students (Vertical)'!O:O&lt;&gt;"""")},{filter('Students (Vertical)'!O:O,'Students (Vertic"&amp;"al)'!C:C=B61,'Students (Vertical)'!O:O&lt;&gt;"""");filter('Students (Vertical)'!O:O,'Students (Vertical)'!C:C=E61,'Students (Vertical)'!O:O&lt;&gt;"""")})&gt;1))),""No shared courses""),"""")"),"English 9-1, Geometry-2, FRC 9 Robotics-6")</f>
        <v>English 9-1, Geometry-2, FRC 9 Robotics-6</v>
      </c>
      <c r="J61" s="357" t="str">
        <f>IFERROR(__xludf.DUMMYFUNCTION("if(H61=""Can't be Together"",iferror(join("", "",unique(filter({filter('Students (Vertical)'!O:O,'Students (Vertical)'!C:C=B61,'Students (Vertical)'!O:O&lt;&gt;"""",'Students (Vertical)'!P:P&gt;1);filter('Students (Vertical)'!O:O,'Students (Vertical)'!C:C=E61,'Stu"&amp;"dents (Vertical)'!O:O&lt;&gt;"""",'Students (Vertical)'!P:P&gt;1)},countifs({filter('Students (Vertical)'!O:O,'Students (Vertical)'!C:C=B61,'Students (Vertical)'!O:O&lt;&gt;"""",'Students (Vertical)'!P:P&gt;1);filter('Students (Vertical)'!O:O,'Students (Vertical)'!C:C=E61,"&amp;"'Students (Vertical)'!O:O&lt;&gt;"""",'Students (Vertical)'!P:P&gt;1)},{filter('Students (Vertical)'!O:O,'Students (Vertical)'!C:C=B61,'Students (Vertical)'!O:O&lt;&gt;"""",'Students (Vertical)'!P:P&gt;1);filter('Students (Vertical)'!O:O,'Students (Vertical)'!C:C=E61,'Stud"&amp;"ents (Vertical)'!O:O&lt;&gt;"""",'Students (Vertical)'!P:P&gt;1)})&gt;1))),""""),"""")"),"")</f>
        <v/>
      </c>
      <c r="K61" s="358" t="str">
        <f>IFERROR(__xludf.DUMMYFUNCTION("iferror(join("", "",unique(filter({filter('Students (Vertical)'!D:D,'Students (Vertical)'!C:C=B61,'Students (Vertical)'!D:D&lt;&gt;"""");filter('Students (Vertical)'!D:D,'Students (Vertical)'!C:C=E61,'Students (Vertical)'!D:D&lt;&gt;"""")},countifs({filter('Students "&amp;"(Vertical)'!D:D,'Students (Vertical)'!C:C=B61,'Students (Vertical)'!D:D&lt;&gt;"""");filter('Students (Vertical)'!D:D,'Students (Vertical)'!C:C=E61,'Students (Vertical)'!D:D&lt;&gt;"""")},{filter('Students (Vertical)'!D:D,'Students (Vertical)'!C:C=B61,'Students (Vert"&amp;"ical)'!D:D&lt;&gt;"""");filter('Students (Vertical)'!D:D,'Students (Vertical)'!C:C=E61,'Students (Vertical)'!D:D&lt;&gt;"""")})&gt;1))),"""")"),"English 9, Geometry, Biology 9, PE 9, Social Studies 9, FRC 9 Robotics")</f>
        <v>English 9, Geometry, Biology 9, PE 9, Social Studies 9, FRC 9 Robotics</v>
      </c>
    </row>
    <row r="62">
      <c r="A62" s="300">
        <v>61.0</v>
      </c>
      <c r="B62" s="45" t="s">
        <v>154</v>
      </c>
      <c r="C62" s="300">
        <v>29070.0</v>
      </c>
      <c r="D62" s="300">
        <v>9.0</v>
      </c>
      <c r="E62" s="45" t="s">
        <v>175</v>
      </c>
      <c r="F62" s="300">
        <v>29111.0</v>
      </c>
      <c r="G62" s="300">
        <v>9.0</v>
      </c>
      <c r="H62" s="45" t="s">
        <v>760</v>
      </c>
      <c r="I62" s="356" t="str">
        <f>IFERROR(__xludf.DUMMYFUNCTION("if(H62=""Must be Together"",iferror(join("", "",unique(filter({filter('Students (Vertical)'!O:O,'Students (Vertical)'!C:C=B62,'Students (Vertical)'!O:O&lt;&gt;"""");filter('Students (Vertical)'!O:O,'Students (Vertical)'!C:C=E62,'Students (Vertical)'!O:O&lt;&gt;"""")}"&amp;",countifs({filter('Students (Vertical)'!O:O,'Students (Vertical)'!C:C=B62,'Students (Vertical)'!O:O&lt;&gt;"""");filter('Students (Vertical)'!O:O,'Students (Vertical)'!C:C=E62,'Students (Vertical)'!O:O&lt;&gt;"""")},{filter('Students (Vertical)'!O:O,'Students (Vertic"&amp;"al)'!C:C=B62,'Students (Vertical)'!O:O&lt;&gt;"""");filter('Students (Vertical)'!O:O,'Students (Vertical)'!C:C=E62,'Students (Vertical)'!O:O&lt;&gt;"""")})&gt;1))),""No shared courses""),"""")"),"English 9-8, Spanish and Literature 9-7, Geometry-1, Biology 9-6, PE 9-4, Social Studies 9-2, FRC 9 Robotics-5, Sculpture I-3")</f>
        <v>English 9-8, Spanish and Literature 9-7, Geometry-1, Biology 9-6, PE 9-4, Social Studies 9-2, FRC 9 Robotics-5, Sculpture I-3</v>
      </c>
      <c r="J62" s="357" t="str">
        <f>IFERROR(__xludf.DUMMYFUNCTION("if(H62=""Can't be Together"",iferror(join("", "",unique(filter({filter('Students (Vertical)'!O:O,'Students (Vertical)'!C:C=B62,'Students (Vertical)'!O:O&lt;&gt;"""",'Students (Vertical)'!P:P&gt;1);filter('Students (Vertical)'!O:O,'Students (Vertical)'!C:C=E62,'Stu"&amp;"dents (Vertical)'!O:O&lt;&gt;"""",'Students (Vertical)'!P:P&gt;1)},countifs({filter('Students (Vertical)'!O:O,'Students (Vertical)'!C:C=B62,'Students (Vertical)'!O:O&lt;&gt;"""",'Students (Vertical)'!P:P&gt;1);filter('Students (Vertical)'!O:O,'Students (Vertical)'!C:C=E62,"&amp;"'Students (Vertical)'!O:O&lt;&gt;"""",'Students (Vertical)'!P:P&gt;1)},{filter('Students (Vertical)'!O:O,'Students (Vertical)'!C:C=B62,'Students (Vertical)'!O:O&lt;&gt;"""",'Students (Vertical)'!P:P&gt;1);filter('Students (Vertical)'!O:O,'Students (Vertical)'!C:C=E62,'Stud"&amp;"ents (Vertical)'!O:O&lt;&gt;"""",'Students (Vertical)'!P:P&gt;1)})&gt;1))),""""),"""")"),"")</f>
        <v/>
      </c>
      <c r="K62" s="358" t="str">
        <f>IFERROR(__xludf.DUMMYFUNCTION("iferror(join("", "",unique(filter({filter('Students (Vertical)'!D:D,'Students (Vertical)'!C:C=B62,'Students (Vertical)'!D:D&lt;&gt;"""");filter('Students (Vertical)'!D:D,'Students (Vertical)'!C:C=E62,'Students (Vertical)'!D:D&lt;&gt;"""")},countifs({filter('Students "&amp;"(Vertical)'!D:D,'Students (Vertical)'!C:C=B62,'Students (Vertical)'!D:D&lt;&gt;"""");filter('Students (Vertical)'!D:D,'Students (Vertical)'!C:C=E62,'Students (Vertical)'!D:D&lt;&gt;"""")},{filter('Students (Vertical)'!D:D,'Students (Vertical)'!C:C=B62,'Students (Vert"&amp;"ical)'!D:D&lt;&gt;"""");filter('Students (Vertical)'!D:D,'Students (Vertical)'!C:C=E62,'Students (Vertical)'!D:D&lt;&gt;"""")})&gt;1))),"""")"),"English 9, Spanish and Literature 9, Geometry, AAA, Biology 9, PE 9, Social Studies 9, FRC 9 Robotics, Sculpture I")</f>
        <v>English 9, Spanish and Literature 9, Geometry, AAA, Biology 9, PE 9, Social Studies 9, FRC 9 Robotics, Sculpture I</v>
      </c>
    </row>
    <row r="63">
      <c r="A63" s="300">
        <v>62.0</v>
      </c>
      <c r="B63" s="45" t="s">
        <v>186</v>
      </c>
      <c r="C63" s="300">
        <v>29085.0</v>
      </c>
      <c r="D63" s="300">
        <v>9.0</v>
      </c>
      <c r="E63" s="45" t="s">
        <v>269</v>
      </c>
      <c r="F63" s="300">
        <v>29049.0</v>
      </c>
      <c r="G63" s="300">
        <v>9.0</v>
      </c>
      <c r="H63" s="45" t="s">
        <v>759</v>
      </c>
      <c r="I63" s="356" t="str">
        <f>IFERROR(__xludf.DUMMYFUNCTION("if(H63=""Must be Together"",iferror(join("", "",unique(filter({filter('Students (Vertical)'!O:O,'Students (Vertical)'!C:C=B63,'Students (Vertical)'!O:O&lt;&gt;"""");filter('Students (Vertical)'!O:O,'Students (Vertical)'!C:C=E63,'Students (Vertical)'!O:O&lt;&gt;"""")}"&amp;",countifs({filter('Students (Vertical)'!O:O,'Students (Vertical)'!C:C=B63,'Students (Vertical)'!O:O&lt;&gt;"""");filter('Students (Vertical)'!O:O,'Students (Vertical)'!C:C=E63,'Students (Vertical)'!O:O&lt;&gt;"""")},{filter('Students (Vertical)'!O:O,'Students (Vertic"&amp;"al)'!C:C=B63,'Students (Vertical)'!O:O&lt;&gt;"""");filter('Students (Vertical)'!O:O,'Students (Vertical)'!C:C=E63,'Students (Vertical)'!O:O&lt;&gt;"""")})&gt;1))),""No shared courses""),"""")"),"")</f>
        <v/>
      </c>
      <c r="J63" s="357" t="str">
        <f>IFERROR(__xludf.DUMMYFUNCTION("if(H63=""Can't be Together"",iferror(join("", "",unique(filter({filter('Students (Vertical)'!O:O,'Students (Vertical)'!C:C=B63,'Students (Vertical)'!O:O&lt;&gt;"""",'Students (Vertical)'!P:P&gt;1);filter('Students (Vertical)'!O:O,'Students (Vertical)'!C:C=E63,'Stu"&amp;"dents (Vertical)'!O:O&lt;&gt;"""",'Students (Vertical)'!P:P&gt;1)},countifs({filter('Students (Vertical)'!O:O,'Students (Vertical)'!C:C=B63,'Students (Vertical)'!O:O&lt;&gt;"""",'Students (Vertical)'!P:P&gt;1);filter('Students (Vertical)'!O:O,'Students (Vertical)'!C:C=E63,"&amp;"'Students (Vertical)'!O:O&lt;&gt;"""",'Students (Vertical)'!P:P&gt;1)},{filter('Students (Vertical)'!O:O,'Students (Vertical)'!C:C=B63,'Students (Vertical)'!O:O&lt;&gt;"""",'Students (Vertical)'!P:P&gt;1);filter('Students (Vertical)'!O:O,'Students (Vertical)'!C:C=E63,'Stud"&amp;"ents (Vertical)'!O:O&lt;&gt;"""",'Students (Vertical)'!P:P&gt;1)})&gt;1))),""""),"""")"),"")</f>
        <v/>
      </c>
      <c r="K63" s="358" t="str">
        <f>IFERROR(__xludf.DUMMYFUNCTION("iferror(join("", "",unique(filter({filter('Students (Vertical)'!D:D,'Students (Vertical)'!C:C=B63,'Students (Vertical)'!D:D&lt;&gt;"""");filter('Students (Vertical)'!D:D,'Students (Vertical)'!C:C=E63,'Students (Vertical)'!D:D&lt;&gt;"""")},countifs({filter('Students "&amp;"(Vertical)'!D:D,'Students (Vertical)'!C:C=B63,'Students (Vertical)'!D:D&lt;&gt;"""");filter('Students (Vertical)'!D:D,'Students (Vertical)'!C:C=E63,'Students (Vertical)'!D:D&lt;&gt;"""")},{filter('Students (Vertical)'!D:D,'Students (Vertical)'!C:C=B63,'Students (Vert"&amp;"ical)'!D:D&lt;&gt;"""");filter('Students (Vertical)'!D:D,'Students (Vertical)'!C:C=E63,'Students (Vertical)'!D:D&lt;&gt;"""")})&gt;1))),"""")"),"English 9, Spanish and Literature 9, Algebra I, Biology 9, PE 9, Social Studies 9, Painting I")</f>
        <v>English 9, Spanish and Literature 9, Algebra I, Biology 9, PE 9, Social Studies 9, Painting I</v>
      </c>
    </row>
    <row r="64">
      <c r="A64" s="300">
        <v>63.0</v>
      </c>
      <c r="B64" s="45" t="s">
        <v>186</v>
      </c>
      <c r="C64" s="300">
        <v>29085.0</v>
      </c>
      <c r="D64" s="300">
        <v>9.0</v>
      </c>
      <c r="E64" s="45" t="s">
        <v>248</v>
      </c>
      <c r="F64" s="300">
        <v>29050.0</v>
      </c>
      <c r="G64" s="300">
        <v>9.0</v>
      </c>
      <c r="H64" s="45" t="s">
        <v>759</v>
      </c>
      <c r="I64" s="356" t="str">
        <f>IFERROR(__xludf.DUMMYFUNCTION("if(H64=""Must be Together"",iferror(join("", "",unique(filter({filter('Students (Vertical)'!O:O,'Students (Vertical)'!C:C=B64,'Students (Vertical)'!O:O&lt;&gt;"""");filter('Students (Vertical)'!O:O,'Students (Vertical)'!C:C=E64,'Students (Vertical)'!O:O&lt;&gt;"""")}"&amp;",countifs({filter('Students (Vertical)'!O:O,'Students (Vertical)'!C:C=B64,'Students (Vertical)'!O:O&lt;&gt;"""");filter('Students (Vertical)'!O:O,'Students (Vertical)'!C:C=E64,'Students (Vertical)'!O:O&lt;&gt;"""")},{filter('Students (Vertical)'!O:O,'Students (Vertic"&amp;"al)'!C:C=B64,'Students (Vertical)'!O:O&lt;&gt;"""");filter('Students (Vertical)'!O:O,'Students (Vertical)'!C:C=E64,'Students (Vertical)'!O:O&lt;&gt;"""")})&gt;1))),""No shared courses""),"""")"),"")</f>
        <v/>
      </c>
      <c r="J64" s="357" t="str">
        <f>IFERROR(__xludf.DUMMYFUNCTION("if(H64=""Can't be Together"",iferror(join("", "",unique(filter({filter('Students (Vertical)'!O:O,'Students (Vertical)'!C:C=B64,'Students (Vertical)'!O:O&lt;&gt;"""",'Students (Vertical)'!P:P&gt;1);filter('Students (Vertical)'!O:O,'Students (Vertical)'!C:C=E64,'Stu"&amp;"dents (Vertical)'!O:O&lt;&gt;"""",'Students (Vertical)'!P:P&gt;1)},countifs({filter('Students (Vertical)'!O:O,'Students (Vertical)'!C:C=B64,'Students (Vertical)'!O:O&lt;&gt;"""",'Students (Vertical)'!P:P&gt;1);filter('Students (Vertical)'!O:O,'Students (Vertical)'!C:C=E64,"&amp;"'Students (Vertical)'!O:O&lt;&gt;"""",'Students (Vertical)'!P:P&gt;1)},{filter('Students (Vertical)'!O:O,'Students (Vertical)'!C:C=B64,'Students (Vertical)'!O:O&lt;&gt;"""",'Students (Vertical)'!P:P&gt;1);filter('Students (Vertical)'!O:O,'Students (Vertical)'!C:C=E64,'Stud"&amp;"ents (Vertical)'!O:O&lt;&gt;"""",'Students (Vertical)'!P:P&gt;1)})&gt;1))),""""),"""")"),"")</f>
        <v/>
      </c>
      <c r="K64" s="358" t="str">
        <f>IFERROR(__xludf.DUMMYFUNCTION("iferror(join("", "",unique(filter({filter('Students (Vertical)'!D:D,'Students (Vertical)'!C:C=B64,'Students (Vertical)'!D:D&lt;&gt;"""");filter('Students (Vertical)'!D:D,'Students (Vertical)'!C:C=E64,'Students (Vertical)'!D:D&lt;&gt;"""")},countifs({filter('Students "&amp;"(Vertical)'!D:D,'Students (Vertical)'!C:C=B64,'Students (Vertical)'!D:D&lt;&gt;"""");filter('Students (Vertical)'!D:D,'Students (Vertical)'!C:C=E64,'Students (Vertical)'!D:D&lt;&gt;"""")},{filter('Students (Vertical)'!D:D,'Students (Vertical)'!C:C=B64,'Students (Vert"&amp;"ical)'!D:D&lt;&gt;"""");filter('Students (Vertical)'!D:D,'Students (Vertical)'!C:C=E64,'Students (Vertical)'!D:D&lt;&gt;"""")})&gt;1))),"""")"),"English 9, Spanish and Literature 9, Algebra I, Biology 9, PE 9, Social Studies 9, Painting I")</f>
        <v>English 9, Spanish and Literature 9, Algebra I, Biology 9, PE 9, Social Studies 9, Painting I</v>
      </c>
    </row>
    <row r="65">
      <c r="A65" s="300">
        <v>64.0</v>
      </c>
      <c r="B65" s="45" t="s">
        <v>186</v>
      </c>
      <c r="C65" s="300">
        <v>29085.0</v>
      </c>
      <c r="D65" s="300">
        <v>9.0</v>
      </c>
      <c r="E65" s="45" t="s">
        <v>204</v>
      </c>
      <c r="F65" s="300">
        <v>28032.0</v>
      </c>
      <c r="G65" s="300">
        <v>9.0</v>
      </c>
      <c r="H65" s="45" t="s">
        <v>759</v>
      </c>
      <c r="I65" s="356" t="str">
        <f>IFERROR(__xludf.DUMMYFUNCTION("if(H65=""Must be Together"",iferror(join("", "",unique(filter({filter('Students (Vertical)'!O:O,'Students (Vertical)'!C:C=B65,'Students (Vertical)'!O:O&lt;&gt;"""");filter('Students (Vertical)'!O:O,'Students (Vertical)'!C:C=E65,'Students (Vertical)'!O:O&lt;&gt;"""")}"&amp;",countifs({filter('Students (Vertical)'!O:O,'Students (Vertical)'!C:C=B65,'Students (Vertical)'!O:O&lt;&gt;"""");filter('Students (Vertical)'!O:O,'Students (Vertical)'!C:C=E65,'Students (Vertical)'!O:O&lt;&gt;"""")},{filter('Students (Vertical)'!O:O,'Students (Vertic"&amp;"al)'!C:C=B65,'Students (Vertical)'!O:O&lt;&gt;"""");filter('Students (Vertical)'!O:O,'Students (Vertical)'!C:C=E65,'Students (Vertical)'!O:O&lt;&gt;"""")})&gt;1))),""No shared courses""),"""")"),"")</f>
        <v/>
      </c>
      <c r="J65" s="357" t="str">
        <f>IFERROR(__xludf.DUMMYFUNCTION("if(H65=""Can't be Together"",iferror(join("", "",unique(filter({filter('Students (Vertical)'!O:O,'Students (Vertical)'!C:C=B65,'Students (Vertical)'!O:O&lt;&gt;"""",'Students (Vertical)'!P:P&gt;1);filter('Students (Vertical)'!O:O,'Students (Vertical)'!C:C=E65,'Stu"&amp;"dents (Vertical)'!O:O&lt;&gt;"""",'Students (Vertical)'!P:P&gt;1)},countifs({filter('Students (Vertical)'!O:O,'Students (Vertical)'!C:C=B65,'Students (Vertical)'!O:O&lt;&gt;"""",'Students (Vertical)'!P:P&gt;1);filter('Students (Vertical)'!O:O,'Students (Vertical)'!C:C=E65,"&amp;"'Students (Vertical)'!O:O&lt;&gt;"""",'Students (Vertical)'!P:P&gt;1)},{filter('Students (Vertical)'!O:O,'Students (Vertical)'!C:C=B65,'Students (Vertical)'!O:O&lt;&gt;"""",'Students (Vertical)'!P:P&gt;1);filter('Students (Vertical)'!O:O,'Students (Vertical)'!C:C=E65,'Stud"&amp;"ents (Vertical)'!O:O&lt;&gt;"""",'Students (Vertical)'!P:P&gt;1)})&gt;1))),""""),"""")"),"")</f>
        <v/>
      </c>
      <c r="K65" s="358" t="str">
        <f>IFERROR(__xludf.DUMMYFUNCTION("iferror(join("", "",unique(filter({filter('Students (Vertical)'!D:D,'Students (Vertical)'!C:C=B65,'Students (Vertical)'!D:D&lt;&gt;"""");filter('Students (Vertical)'!D:D,'Students (Vertical)'!C:C=E65,'Students (Vertical)'!D:D&lt;&gt;"""")},countifs({filter('Students "&amp;"(Vertical)'!D:D,'Students (Vertical)'!C:C=B65,'Students (Vertical)'!D:D&lt;&gt;"""");filter('Students (Vertical)'!D:D,'Students (Vertical)'!C:C=E65,'Students (Vertical)'!D:D&lt;&gt;"""")},{filter('Students (Vertical)'!D:D,'Students (Vertical)'!C:C=B65,'Students (Vert"&amp;"ical)'!D:D&lt;&gt;"""");filter('Students (Vertical)'!D:D,'Students (Vertical)'!C:C=E65,'Students (Vertical)'!D:D&lt;&gt;"""")})&gt;1))),"""")"),"English 9, Spanish and Literature 9, Algebra I, Biology 9, PE 9, Social Studies 9")</f>
        <v>English 9, Spanish and Literature 9, Algebra I, Biology 9, PE 9, Social Studies 9</v>
      </c>
    </row>
    <row r="66">
      <c r="A66" s="300">
        <v>65.0</v>
      </c>
      <c r="B66" s="45" t="s">
        <v>186</v>
      </c>
      <c r="C66" s="300">
        <v>29085.0</v>
      </c>
      <c r="D66" s="300">
        <v>9.0</v>
      </c>
      <c r="E66" s="45" t="s">
        <v>249</v>
      </c>
      <c r="F66" s="300">
        <v>29068.0</v>
      </c>
      <c r="G66" s="300">
        <v>9.0</v>
      </c>
      <c r="H66" s="45" t="s">
        <v>759</v>
      </c>
      <c r="I66" s="356" t="str">
        <f>IFERROR(__xludf.DUMMYFUNCTION("if(H66=""Must be Together"",iferror(join("", "",unique(filter({filter('Students (Vertical)'!O:O,'Students (Vertical)'!C:C=B66,'Students (Vertical)'!O:O&lt;&gt;"""");filter('Students (Vertical)'!O:O,'Students (Vertical)'!C:C=E66,'Students (Vertical)'!O:O&lt;&gt;"""")}"&amp;",countifs({filter('Students (Vertical)'!O:O,'Students (Vertical)'!C:C=B66,'Students (Vertical)'!O:O&lt;&gt;"""");filter('Students (Vertical)'!O:O,'Students (Vertical)'!C:C=E66,'Students (Vertical)'!O:O&lt;&gt;"""")},{filter('Students (Vertical)'!O:O,'Students (Vertic"&amp;"al)'!C:C=B66,'Students (Vertical)'!O:O&lt;&gt;"""");filter('Students (Vertical)'!O:O,'Students (Vertical)'!C:C=E66,'Students (Vertical)'!O:O&lt;&gt;"""")})&gt;1))),""No shared courses""),"""")"),"")</f>
        <v/>
      </c>
      <c r="J66" s="357" t="str">
        <f>IFERROR(__xludf.DUMMYFUNCTION("if(H66=""Can't be Together"",iferror(join("", "",unique(filter({filter('Students (Vertical)'!O:O,'Students (Vertical)'!C:C=B66,'Students (Vertical)'!O:O&lt;&gt;"""",'Students (Vertical)'!P:P&gt;1);filter('Students (Vertical)'!O:O,'Students (Vertical)'!C:C=E66,'Stu"&amp;"dents (Vertical)'!O:O&lt;&gt;"""",'Students (Vertical)'!P:P&gt;1)},countifs({filter('Students (Vertical)'!O:O,'Students (Vertical)'!C:C=B66,'Students (Vertical)'!O:O&lt;&gt;"""",'Students (Vertical)'!P:P&gt;1);filter('Students (Vertical)'!O:O,'Students (Vertical)'!C:C=E66,"&amp;"'Students (Vertical)'!O:O&lt;&gt;"""",'Students (Vertical)'!P:P&gt;1)},{filter('Students (Vertical)'!O:O,'Students (Vertical)'!C:C=B66,'Students (Vertical)'!O:O&lt;&gt;"""",'Students (Vertical)'!P:P&gt;1);filter('Students (Vertical)'!O:O,'Students (Vertical)'!C:C=E66,'Stud"&amp;"ents (Vertical)'!O:O&lt;&gt;"""",'Students (Vertical)'!P:P&gt;1)})&gt;1))),""""),"""")"),"")</f>
        <v/>
      </c>
      <c r="K66" s="358" t="str">
        <f>IFERROR(__xludf.DUMMYFUNCTION("iferror(join("", "",unique(filter({filter('Students (Vertical)'!D:D,'Students (Vertical)'!C:C=B66,'Students (Vertical)'!D:D&lt;&gt;"""");filter('Students (Vertical)'!D:D,'Students (Vertical)'!C:C=E66,'Students (Vertical)'!D:D&lt;&gt;"""")},countifs({filter('Students "&amp;"(Vertical)'!D:D,'Students (Vertical)'!C:C=B66,'Students (Vertical)'!D:D&lt;&gt;"""");filter('Students (Vertical)'!D:D,'Students (Vertical)'!C:C=E66,'Students (Vertical)'!D:D&lt;&gt;"""")},{filter('Students (Vertical)'!D:D,'Students (Vertical)'!C:C=B66,'Students (Vert"&amp;"ical)'!D:D&lt;&gt;"""");filter('Students (Vertical)'!D:D,'Students (Vertical)'!C:C=E66,'Students (Vertical)'!D:D&lt;&gt;"""")})&gt;1))),"""")"),"English 9, Spanish and Literature 9, Algebra I, Biology 9, PE 9, Social Studies 9")</f>
        <v>English 9, Spanish and Literature 9, Algebra I, Biology 9, PE 9, Social Studies 9</v>
      </c>
    </row>
    <row r="67">
      <c r="A67" s="300">
        <v>66.0</v>
      </c>
      <c r="B67" s="45" t="s">
        <v>238</v>
      </c>
      <c r="C67" s="300">
        <v>29040.0</v>
      </c>
      <c r="D67" s="300">
        <v>9.0</v>
      </c>
      <c r="E67" s="45" t="s">
        <v>274</v>
      </c>
      <c r="F67" s="300">
        <v>29169.0</v>
      </c>
      <c r="G67" s="300">
        <v>9.0</v>
      </c>
      <c r="H67" s="45" t="s">
        <v>759</v>
      </c>
      <c r="I67" s="356" t="str">
        <f>IFERROR(__xludf.DUMMYFUNCTION("if(H67=""Must be Together"",iferror(join("", "",unique(filter({filter('Students (Vertical)'!O:O,'Students (Vertical)'!C:C=B67,'Students (Vertical)'!O:O&lt;&gt;"""");filter('Students (Vertical)'!O:O,'Students (Vertical)'!C:C=E67,'Students (Vertical)'!O:O&lt;&gt;"""")}"&amp;",countifs({filter('Students (Vertical)'!O:O,'Students (Vertical)'!C:C=B67,'Students (Vertical)'!O:O&lt;&gt;"""");filter('Students (Vertical)'!O:O,'Students (Vertical)'!C:C=E67,'Students (Vertical)'!O:O&lt;&gt;"""")},{filter('Students (Vertical)'!O:O,'Students (Vertic"&amp;"al)'!C:C=B67,'Students (Vertical)'!O:O&lt;&gt;"""");filter('Students (Vertical)'!O:O,'Students (Vertical)'!C:C=E67,'Students (Vertical)'!O:O&lt;&gt;"""")})&gt;1))),""No shared courses""),"""")"),"")</f>
        <v/>
      </c>
      <c r="J67" s="357" t="str">
        <f>IFERROR(__xludf.DUMMYFUNCTION("if(H67=""Can't be Together"",iferror(join("", "",unique(filter({filter('Students (Vertical)'!O:O,'Students (Vertical)'!C:C=B67,'Students (Vertical)'!O:O&lt;&gt;"""",'Students (Vertical)'!P:P&gt;1);filter('Students (Vertical)'!O:O,'Students (Vertical)'!C:C=E67,'Stu"&amp;"dents (Vertical)'!O:O&lt;&gt;"""",'Students (Vertical)'!P:P&gt;1)},countifs({filter('Students (Vertical)'!O:O,'Students (Vertical)'!C:C=B67,'Students (Vertical)'!O:O&lt;&gt;"""",'Students (Vertical)'!P:P&gt;1);filter('Students (Vertical)'!O:O,'Students (Vertical)'!C:C=E67,"&amp;"'Students (Vertical)'!O:O&lt;&gt;"""",'Students (Vertical)'!P:P&gt;1)},{filter('Students (Vertical)'!O:O,'Students (Vertical)'!C:C=B67,'Students (Vertical)'!O:O&lt;&gt;"""",'Students (Vertical)'!P:P&gt;1);filter('Students (Vertical)'!O:O,'Students (Vertical)'!C:C=E67,'Stud"&amp;"ents (Vertical)'!O:O&lt;&gt;"""",'Students (Vertical)'!P:P&gt;1)})&gt;1))),""""),"""")"),"")</f>
        <v/>
      </c>
      <c r="K67" s="358" t="str">
        <f>IFERROR(__xludf.DUMMYFUNCTION("iferror(join("", "",unique(filter({filter('Students (Vertical)'!D:D,'Students (Vertical)'!C:C=B67,'Students (Vertical)'!D:D&lt;&gt;"""");filter('Students (Vertical)'!D:D,'Students (Vertical)'!C:C=E67,'Students (Vertical)'!D:D&lt;&gt;"""")},countifs({filter('Students "&amp;"(Vertical)'!D:D,'Students (Vertical)'!C:C=B67,'Students (Vertical)'!D:D&lt;&gt;"""");filter('Students (Vertical)'!D:D,'Students (Vertical)'!C:C=E67,'Students (Vertical)'!D:D&lt;&gt;"""")},{filter('Students (Vertical)'!D:D,'Students (Vertical)'!C:C=B67,'Students (Vert"&amp;"ical)'!D:D&lt;&gt;"""");filter('Students (Vertical)'!D:D,'Students (Vertical)'!C:C=E67,'Students (Vertical)'!D:D&lt;&gt;"""")})&gt;1))),"""")"),"English 9, Spanish and Literature 9, Biology 9, PE 9, Social Studies 9")</f>
        <v>English 9, Spanish and Literature 9, Biology 9, PE 9, Social Studies 9</v>
      </c>
    </row>
    <row r="68">
      <c r="A68" s="300">
        <v>67.0</v>
      </c>
      <c r="B68" s="45" t="s">
        <v>238</v>
      </c>
      <c r="C68" s="300">
        <v>29040.0</v>
      </c>
      <c r="D68" s="300">
        <v>9.0</v>
      </c>
      <c r="E68" s="45" t="s">
        <v>185</v>
      </c>
      <c r="F68" s="300">
        <v>29022.0</v>
      </c>
      <c r="G68" s="300">
        <v>9.0</v>
      </c>
      <c r="H68" s="45" t="s">
        <v>759</v>
      </c>
      <c r="I68" s="356" t="str">
        <f>IFERROR(__xludf.DUMMYFUNCTION("if(H68=""Must be Together"",iferror(join("", "",unique(filter({filter('Students (Vertical)'!O:O,'Students (Vertical)'!C:C=B68,'Students (Vertical)'!O:O&lt;&gt;"""");filter('Students (Vertical)'!O:O,'Students (Vertical)'!C:C=E68,'Students (Vertical)'!O:O&lt;&gt;"""")}"&amp;",countifs({filter('Students (Vertical)'!O:O,'Students (Vertical)'!C:C=B68,'Students (Vertical)'!O:O&lt;&gt;"""");filter('Students (Vertical)'!O:O,'Students (Vertical)'!C:C=E68,'Students (Vertical)'!O:O&lt;&gt;"""")},{filter('Students (Vertical)'!O:O,'Students (Vertic"&amp;"al)'!C:C=B68,'Students (Vertical)'!O:O&lt;&gt;"""");filter('Students (Vertical)'!O:O,'Students (Vertical)'!C:C=E68,'Students (Vertical)'!O:O&lt;&gt;"""")})&gt;1))),""No shared courses""),"""")"),"")</f>
        <v/>
      </c>
      <c r="J68" s="357" t="str">
        <f>IFERROR(__xludf.DUMMYFUNCTION("if(H68=""Can't be Together"",iferror(join("", "",unique(filter({filter('Students (Vertical)'!O:O,'Students (Vertical)'!C:C=B68,'Students (Vertical)'!O:O&lt;&gt;"""",'Students (Vertical)'!P:P&gt;1);filter('Students (Vertical)'!O:O,'Students (Vertical)'!C:C=E68,'Stu"&amp;"dents (Vertical)'!O:O&lt;&gt;"""",'Students (Vertical)'!P:P&gt;1)},countifs({filter('Students (Vertical)'!O:O,'Students (Vertical)'!C:C=B68,'Students (Vertical)'!O:O&lt;&gt;"""",'Students (Vertical)'!P:P&gt;1);filter('Students (Vertical)'!O:O,'Students (Vertical)'!C:C=E68,"&amp;"'Students (Vertical)'!O:O&lt;&gt;"""",'Students (Vertical)'!P:P&gt;1)},{filter('Students (Vertical)'!O:O,'Students (Vertical)'!C:C=B68,'Students (Vertical)'!O:O&lt;&gt;"""",'Students (Vertical)'!P:P&gt;1);filter('Students (Vertical)'!O:O,'Students (Vertical)'!C:C=E68,'Stud"&amp;"ents (Vertical)'!O:O&lt;&gt;"""",'Students (Vertical)'!P:P&gt;1)})&gt;1))),""""),"""")"),"")</f>
        <v/>
      </c>
      <c r="K68" s="358" t="str">
        <f>IFERROR(__xludf.DUMMYFUNCTION("iferror(join("", "",unique(filter({filter('Students (Vertical)'!D:D,'Students (Vertical)'!C:C=B68,'Students (Vertical)'!D:D&lt;&gt;"""");filter('Students (Vertical)'!D:D,'Students (Vertical)'!C:C=E68,'Students (Vertical)'!D:D&lt;&gt;"""")},countifs({filter('Students "&amp;"(Vertical)'!D:D,'Students (Vertical)'!C:C=B68,'Students (Vertical)'!D:D&lt;&gt;"""");filter('Students (Vertical)'!D:D,'Students (Vertical)'!C:C=E68,'Students (Vertical)'!D:D&lt;&gt;"""")},{filter('Students (Vertical)'!D:D,'Students (Vertical)'!C:C=B68,'Students (Vert"&amp;"ical)'!D:D&lt;&gt;"""");filter('Students (Vertical)'!D:D,'Students (Vertical)'!C:C=E68,'Students (Vertical)'!D:D&lt;&gt;"""")})&gt;1))),"""")"),"English 9, Spanish and Literature 9, Geometry, Biology 9, PE 9, Social Studies 9, FRC 9 Robotics")</f>
        <v>English 9, Spanish and Literature 9, Geometry, Biology 9, PE 9, Social Studies 9, FRC 9 Robotics</v>
      </c>
    </row>
    <row r="69">
      <c r="A69" s="300">
        <v>68.0</v>
      </c>
      <c r="B69" s="45" t="s">
        <v>258</v>
      </c>
      <c r="C69" s="300">
        <v>29069.0</v>
      </c>
      <c r="D69" s="300">
        <v>9.0</v>
      </c>
      <c r="E69" s="45" t="s">
        <v>204</v>
      </c>
      <c r="F69" s="300">
        <v>28032.0</v>
      </c>
      <c r="G69" s="300">
        <v>9.0</v>
      </c>
      <c r="H69" s="45" t="s">
        <v>759</v>
      </c>
      <c r="I69" s="356" t="str">
        <f>IFERROR(__xludf.DUMMYFUNCTION("if(H69=""Must be Together"",iferror(join("", "",unique(filter({filter('Students (Vertical)'!O:O,'Students (Vertical)'!C:C=B69,'Students (Vertical)'!O:O&lt;&gt;"""");filter('Students (Vertical)'!O:O,'Students (Vertical)'!C:C=E69,'Students (Vertical)'!O:O&lt;&gt;"""")}"&amp;",countifs({filter('Students (Vertical)'!O:O,'Students (Vertical)'!C:C=B69,'Students (Vertical)'!O:O&lt;&gt;"""");filter('Students (Vertical)'!O:O,'Students (Vertical)'!C:C=E69,'Students (Vertical)'!O:O&lt;&gt;"""")},{filter('Students (Vertical)'!O:O,'Students (Vertic"&amp;"al)'!C:C=B69,'Students (Vertical)'!O:O&lt;&gt;"""");filter('Students (Vertical)'!O:O,'Students (Vertical)'!C:C=E69,'Students (Vertical)'!O:O&lt;&gt;"""")})&gt;1))),""No shared courses""),"""")"),"")</f>
        <v/>
      </c>
      <c r="J69" s="357" t="str">
        <f>IFERROR(__xludf.DUMMYFUNCTION("if(H69=""Can't be Together"",iferror(join("", "",unique(filter({filter('Students (Vertical)'!O:O,'Students (Vertical)'!C:C=B69,'Students (Vertical)'!O:O&lt;&gt;"""",'Students (Vertical)'!P:P&gt;1);filter('Students (Vertical)'!O:O,'Students (Vertical)'!C:C=E69,'Stu"&amp;"dents (Vertical)'!O:O&lt;&gt;"""",'Students (Vertical)'!P:P&gt;1)},countifs({filter('Students (Vertical)'!O:O,'Students (Vertical)'!C:C=B69,'Students (Vertical)'!O:O&lt;&gt;"""",'Students (Vertical)'!P:P&gt;1);filter('Students (Vertical)'!O:O,'Students (Vertical)'!C:C=E69,"&amp;"'Students (Vertical)'!O:O&lt;&gt;"""",'Students (Vertical)'!P:P&gt;1)},{filter('Students (Vertical)'!O:O,'Students (Vertical)'!C:C=B69,'Students (Vertical)'!O:O&lt;&gt;"""",'Students (Vertical)'!P:P&gt;1);filter('Students (Vertical)'!O:O,'Students (Vertical)'!C:C=E69,'Stud"&amp;"ents (Vertical)'!O:O&lt;&gt;"""",'Students (Vertical)'!P:P&gt;1)})&gt;1))),""""),"""")"),"")</f>
        <v/>
      </c>
      <c r="K69" s="358" t="str">
        <f>IFERROR(__xludf.DUMMYFUNCTION("iferror(join("", "",unique(filter({filter('Students (Vertical)'!D:D,'Students (Vertical)'!C:C=B69,'Students (Vertical)'!D:D&lt;&gt;"""");filter('Students (Vertical)'!D:D,'Students (Vertical)'!C:C=E69,'Students (Vertical)'!D:D&lt;&gt;"""")},countifs({filter('Students "&amp;"(Vertical)'!D:D,'Students (Vertical)'!C:C=B69,'Students (Vertical)'!D:D&lt;&gt;"""");filter('Students (Vertical)'!D:D,'Students (Vertical)'!C:C=E69,'Students (Vertical)'!D:D&lt;&gt;"""")},{filter('Students (Vertical)'!D:D,'Students (Vertical)'!C:C=B69,'Students (Vert"&amp;"ical)'!D:D&lt;&gt;"""");filter('Students (Vertical)'!D:D,'Students (Vertical)'!C:C=E69,'Students (Vertical)'!D:D&lt;&gt;"""")})&gt;1))),"""")"),"English 9, Spanish and Literature 9, Biology 9, PE 9, Social Studies 9")</f>
        <v>English 9, Spanish and Literature 9, Biology 9, PE 9, Social Studies 9</v>
      </c>
    </row>
    <row r="70">
      <c r="A70" s="300">
        <v>69.0</v>
      </c>
      <c r="B70" s="45" t="s">
        <v>256</v>
      </c>
      <c r="C70" s="300">
        <v>29172.0</v>
      </c>
      <c r="D70" s="300">
        <v>9.0</v>
      </c>
      <c r="E70" s="45" t="s">
        <v>210</v>
      </c>
      <c r="F70" s="300">
        <v>29164.0</v>
      </c>
      <c r="G70" s="300">
        <v>9.0</v>
      </c>
      <c r="H70" s="45" t="s">
        <v>760</v>
      </c>
      <c r="I70" s="356" t="str">
        <f>IFERROR(__xludf.DUMMYFUNCTION("if(H70=""Must be Together"",iferror(join("", "",unique(filter({filter('Students (Vertical)'!O:O,'Students (Vertical)'!C:C=B70,'Students (Vertical)'!O:O&lt;&gt;"""");filter('Students (Vertical)'!O:O,'Students (Vertical)'!C:C=E70,'Students (Vertical)'!O:O&lt;&gt;"""")}"&amp;",countifs({filter('Students (Vertical)'!O:O,'Students (Vertical)'!C:C=B70,'Students (Vertical)'!O:O&lt;&gt;"""");filter('Students (Vertical)'!O:O,'Students (Vertical)'!C:C=E70,'Students (Vertical)'!O:O&lt;&gt;"""")},{filter('Students (Vertical)'!O:O,'Students (Vertic"&amp;"al)'!C:C=B70,'Students (Vertical)'!O:O&lt;&gt;"""");filter('Students (Vertical)'!O:O,'Students (Vertical)'!C:C=E70,'Students (Vertical)'!O:O&lt;&gt;"""")})&gt;1))),""No shared courses""),"""")"),"English 9-7, Spanish and Literature 9-8, Algebra I-6, PE 9-1, Social Studies 9-2, FRC 9 Robotics-5")</f>
        <v>English 9-7, Spanish and Literature 9-8, Algebra I-6, PE 9-1, Social Studies 9-2, FRC 9 Robotics-5</v>
      </c>
      <c r="J70" s="357" t="str">
        <f>IFERROR(__xludf.DUMMYFUNCTION("if(H70=""Can't be Together"",iferror(join("", "",unique(filter({filter('Students (Vertical)'!O:O,'Students (Vertical)'!C:C=B70,'Students (Vertical)'!O:O&lt;&gt;"""",'Students (Vertical)'!P:P&gt;1);filter('Students (Vertical)'!O:O,'Students (Vertical)'!C:C=E70,'Stu"&amp;"dents (Vertical)'!O:O&lt;&gt;"""",'Students (Vertical)'!P:P&gt;1)},countifs({filter('Students (Vertical)'!O:O,'Students (Vertical)'!C:C=B70,'Students (Vertical)'!O:O&lt;&gt;"""",'Students (Vertical)'!P:P&gt;1);filter('Students (Vertical)'!O:O,'Students (Vertical)'!C:C=E70,"&amp;"'Students (Vertical)'!O:O&lt;&gt;"""",'Students (Vertical)'!P:P&gt;1)},{filter('Students (Vertical)'!O:O,'Students (Vertical)'!C:C=B70,'Students (Vertical)'!O:O&lt;&gt;"""",'Students (Vertical)'!P:P&gt;1);filter('Students (Vertical)'!O:O,'Students (Vertical)'!C:C=E70,'Stud"&amp;"ents (Vertical)'!O:O&lt;&gt;"""",'Students (Vertical)'!P:P&gt;1)})&gt;1))),""""),"""")"),"")</f>
        <v/>
      </c>
      <c r="K70" s="358" t="str">
        <f>IFERROR(__xludf.DUMMYFUNCTION("iferror(join("", "",unique(filter({filter('Students (Vertical)'!D:D,'Students (Vertical)'!C:C=B70,'Students (Vertical)'!D:D&lt;&gt;"""");filter('Students (Vertical)'!D:D,'Students (Vertical)'!C:C=E70,'Students (Vertical)'!D:D&lt;&gt;"""")},countifs({filter('Students "&amp;"(Vertical)'!D:D,'Students (Vertical)'!C:C=B70,'Students (Vertical)'!D:D&lt;&gt;"""");filter('Students (Vertical)'!D:D,'Students (Vertical)'!C:C=E70,'Students (Vertical)'!D:D&lt;&gt;"""")},{filter('Students (Vertical)'!D:D,'Students (Vertical)'!C:C=B70,'Students (Vert"&amp;"ical)'!D:D&lt;&gt;"""");filter('Students (Vertical)'!D:D,'Students (Vertical)'!C:C=E70,'Students (Vertical)'!D:D&lt;&gt;"""")})&gt;1))),"""")"),"English 9, Spanish and Literature 9, Algebra I, Biology 9, PE 9, Social Studies 9, FRC 9 Robotics")</f>
        <v>English 9, Spanish and Literature 9, Algebra I, Biology 9, PE 9, Social Studies 9, FRC 9 Robotics</v>
      </c>
    </row>
    <row r="71">
      <c r="A71" s="300">
        <v>70.0</v>
      </c>
      <c r="B71" s="45" t="s">
        <v>274</v>
      </c>
      <c r="C71" s="300">
        <v>29169.0</v>
      </c>
      <c r="D71" s="300">
        <v>9.0</v>
      </c>
      <c r="E71" s="45" t="s">
        <v>217</v>
      </c>
      <c r="F71" s="300">
        <v>29056.0</v>
      </c>
      <c r="G71" s="300">
        <v>9.0</v>
      </c>
      <c r="H71" s="45" t="s">
        <v>760</v>
      </c>
      <c r="I71" s="356" t="str">
        <f>IFERROR(__xludf.DUMMYFUNCTION("if(H71=""Must be Together"",iferror(join("", "",unique(filter({filter('Students (Vertical)'!O:O,'Students (Vertical)'!C:C=B71,'Students (Vertical)'!O:O&lt;&gt;"""");filter('Students (Vertical)'!O:O,'Students (Vertical)'!C:C=E71,'Students (Vertical)'!O:O&lt;&gt;"""")}"&amp;",countifs({filter('Students (Vertical)'!O:O,'Students (Vertical)'!C:C=B71,'Students (Vertical)'!O:O&lt;&gt;"""");filter('Students (Vertical)'!O:O,'Students (Vertical)'!C:C=E71,'Students (Vertical)'!O:O&lt;&gt;"""")},{filter('Students (Vertical)'!O:O,'Students (Vertic"&amp;"al)'!C:C=B71,'Students (Vertical)'!O:O&lt;&gt;"""");filter('Students (Vertical)'!O:O,'Students (Vertical)'!C:C=E71,'Students (Vertical)'!O:O&lt;&gt;"""")})&gt;1))),""No shared courses""),"""")"),"English 9-7, Algebra I-4")</f>
        <v>English 9-7, Algebra I-4</v>
      </c>
      <c r="J71" s="357" t="str">
        <f>IFERROR(__xludf.DUMMYFUNCTION("if(H71=""Can't be Together"",iferror(join("", "",unique(filter({filter('Students (Vertical)'!O:O,'Students (Vertical)'!C:C=B71,'Students (Vertical)'!O:O&lt;&gt;"""",'Students (Vertical)'!P:P&gt;1);filter('Students (Vertical)'!O:O,'Students (Vertical)'!C:C=E71,'Stu"&amp;"dents (Vertical)'!O:O&lt;&gt;"""",'Students (Vertical)'!P:P&gt;1)},countifs({filter('Students (Vertical)'!O:O,'Students (Vertical)'!C:C=B71,'Students (Vertical)'!O:O&lt;&gt;"""",'Students (Vertical)'!P:P&gt;1);filter('Students (Vertical)'!O:O,'Students (Vertical)'!C:C=E71,"&amp;"'Students (Vertical)'!O:O&lt;&gt;"""",'Students (Vertical)'!P:P&gt;1)},{filter('Students (Vertical)'!O:O,'Students (Vertical)'!C:C=B71,'Students (Vertical)'!O:O&lt;&gt;"""",'Students (Vertical)'!P:P&gt;1);filter('Students (Vertical)'!O:O,'Students (Vertical)'!C:C=E71,'Stud"&amp;"ents (Vertical)'!O:O&lt;&gt;"""",'Students (Vertical)'!P:P&gt;1)})&gt;1))),""""),"""")"),"")</f>
        <v/>
      </c>
      <c r="K71" s="358" t="str">
        <f>IFERROR(__xludf.DUMMYFUNCTION("iferror(join("", "",unique(filter({filter('Students (Vertical)'!D:D,'Students (Vertical)'!C:C=B71,'Students (Vertical)'!D:D&lt;&gt;"""");filter('Students (Vertical)'!D:D,'Students (Vertical)'!C:C=E71,'Students (Vertical)'!D:D&lt;&gt;"""")},countifs({filter('Students "&amp;"(Vertical)'!D:D,'Students (Vertical)'!C:C=B71,'Students (Vertical)'!D:D&lt;&gt;"""");filter('Students (Vertical)'!D:D,'Students (Vertical)'!C:C=E71,'Students (Vertical)'!D:D&lt;&gt;"""")},{filter('Students (Vertical)'!D:D,'Students (Vertical)'!C:C=B71,'Students (Vert"&amp;"ical)'!D:D&lt;&gt;"""");filter('Students (Vertical)'!D:D,'Students (Vertical)'!C:C=E71,'Students (Vertical)'!D:D&lt;&gt;"""")})&gt;1))),"""")"),"English 9, Spanish and Literature 9, Algebra I, Biology 9, PE 9, Social Studies 9")</f>
        <v>English 9, Spanish and Literature 9, Algebra I, Biology 9, PE 9, Social Studies 9</v>
      </c>
    </row>
    <row r="72">
      <c r="A72" s="300">
        <v>71.0</v>
      </c>
      <c r="B72" s="45" t="s">
        <v>399</v>
      </c>
      <c r="C72" s="300">
        <v>28036.0</v>
      </c>
      <c r="D72" s="300">
        <v>10.0</v>
      </c>
      <c r="E72" s="45" t="s">
        <v>296</v>
      </c>
      <c r="F72" s="300">
        <v>28043.0</v>
      </c>
      <c r="G72" s="300">
        <v>10.0</v>
      </c>
      <c r="H72" s="45" t="s">
        <v>759</v>
      </c>
      <c r="I72" s="356" t="str">
        <f>IFERROR(__xludf.DUMMYFUNCTION("if(H72=""Must be Together"",iferror(join("", "",unique(filter({filter('Students (Vertical)'!O:O,'Students (Vertical)'!C:C=B72,'Students (Vertical)'!O:O&lt;&gt;"""");filter('Students (Vertical)'!O:O,'Students (Vertical)'!C:C=E72,'Students (Vertical)'!O:O&lt;&gt;"""")}"&amp;",countifs({filter('Students (Vertical)'!O:O,'Students (Vertical)'!C:C=B72,'Students (Vertical)'!O:O&lt;&gt;"""");filter('Students (Vertical)'!O:O,'Students (Vertical)'!C:C=E72,'Students (Vertical)'!O:O&lt;&gt;"""")},{filter('Students (Vertical)'!O:O,'Students (Vertic"&amp;"al)'!C:C=B72,'Students (Vertical)'!O:O&lt;&gt;"""");filter('Students (Vertical)'!O:O,'Students (Vertical)'!C:C=E72,'Students (Vertical)'!O:O&lt;&gt;"""")})&gt;1))),""No shared courses""),"""")"),"")</f>
        <v/>
      </c>
      <c r="J72" s="357" t="str">
        <f>IFERROR(__xludf.DUMMYFUNCTION("if(H72=""Can't be Together"",iferror(join("", "",unique(filter({filter('Students (Vertical)'!O:O,'Students (Vertical)'!C:C=B72,'Students (Vertical)'!O:O&lt;&gt;"""",'Students (Vertical)'!P:P&gt;1);filter('Students (Vertical)'!O:O,'Students (Vertical)'!C:C=E72,'Stu"&amp;"dents (Vertical)'!O:O&lt;&gt;"""",'Students (Vertical)'!P:P&gt;1)},countifs({filter('Students (Vertical)'!O:O,'Students (Vertical)'!C:C=B72,'Students (Vertical)'!O:O&lt;&gt;"""",'Students (Vertical)'!P:P&gt;1);filter('Students (Vertical)'!O:O,'Students (Vertical)'!C:C=E72,"&amp;"'Students (Vertical)'!O:O&lt;&gt;"""",'Students (Vertical)'!P:P&gt;1)},{filter('Students (Vertical)'!O:O,'Students (Vertical)'!C:C=B72,'Students (Vertical)'!O:O&lt;&gt;"""",'Students (Vertical)'!P:P&gt;1);filter('Students (Vertical)'!O:O,'Students (Vertical)'!C:C=E72,'Stud"&amp;"ents (Vertical)'!O:O&lt;&gt;"""",'Students (Vertical)'!P:P&gt;1)})&gt;1))),""""),"""")"),"")</f>
        <v/>
      </c>
      <c r="K72" s="358" t="str">
        <f>IFERROR(__xludf.DUMMYFUNCTION("iferror(join("", "",unique(filter({filter('Students (Vertical)'!D:D,'Students (Vertical)'!C:C=B72,'Students (Vertical)'!D:D&lt;&gt;"""");filter('Students (Vertical)'!D:D,'Students (Vertical)'!C:C=E72,'Students (Vertical)'!D:D&lt;&gt;"""")},countifs({filter('Students "&amp;"(Vertical)'!D:D,'Students (Vertical)'!C:C=B72,'Students (Vertical)'!D:D&lt;&gt;"""");filter('Students (Vertical)'!D:D,'Students (Vertical)'!C:C=E72,'Students (Vertical)'!D:D&lt;&gt;"""")},{filter('Students (Vertical)'!D:D,'Students (Vertical)'!C:C=B72,'Students (Vert"&amp;"ical)'!D:D&lt;&gt;"""");filter('Students (Vertical)'!D:D,'Students (Vertical)'!C:C=E72,'Students (Vertical)'!D:D&lt;&gt;"""")})&gt;1))),"""")"),"AP Spanish Language and Culture, Geometry, Chemistry, PE 10, Global, Sociales 10")</f>
        <v>AP Spanish Language and Culture, Geometry, Chemistry, PE 10, Global, Sociales 10</v>
      </c>
    </row>
    <row r="73">
      <c r="A73" s="300">
        <v>72.0</v>
      </c>
      <c r="B73" s="45" t="s">
        <v>310</v>
      </c>
      <c r="C73" s="300">
        <v>28170.0</v>
      </c>
      <c r="D73" s="300">
        <v>10.0</v>
      </c>
      <c r="E73" s="45" t="s">
        <v>285</v>
      </c>
      <c r="F73" s="300">
        <v>28116.0</v>
      </c>
      <c r="G73" s="300">
        <v>10.0</v>
      </c>
      <c r="H73" s="45" t="s">
        <v>760</v>
      </c>
      <c r="I73" s="356" t="str">
        <f>IFERROR(__xludf.DUMMYFUNCTION("if(H73=""Must be Together"",iferror(join("", "",unique(filter({filter('Students (Vertical)'!O:O,'Students (Vertical)'!C:C=B73,'Students (Vertical)'!O:O&lt;&gt;"""");filter('Students (Vertical)'!O:O,'Students (Vertical)'!C:C=E73,'Students (Vertical)'!O:O&lt;&gt;"""")}"&amp;",countifs({filter('Students (Vertical)'!O:O,'Students (Vertical)'!C:C=B73,'Students (Vertical)'!O:O&lt;&gt;"""");filter('Students (Vertical)'!O:O,'Students (Vertical)'!C:C=E73,'Students (Vertical)'!O:O&lt;&gt;"""")},{filter('Students (Vertical)'!O:O,'Students (Vertic"&amp;"al)'!C:C=B73,'Students (Vertical)'!O:O&lt;&gt;"""");filter('Students (Vertical)'!O:O,'Students (Vertical)'!C:C=E73,'Students (Vertical)'!O:O&lt;&gt;"""")})&gt;1))),""No shared courses""),"""")"),"AP Seminar-6, AP Spanish Language and Culture-4, Chemistry-7, PE 10-1, Sociales 10-5, Anatomy and Physiology-8")</f>
        <v>AP Seminar-6, AP Spanish Language and Culture-4, Chemistry-7, PE 10-1, Sociales 10-5, Anatomy and Physiology-8</v>
      </c>
      <c r="J73" s="357" t="str">
        <f>IFERROR(__xludf.DUMMYFUNCTION("if(H73=""Can't be Together"",iferror(join("", "",unique(filter({filter('Students (Vertical)'!O:O,'Students (Vertical)'!C:C=B73,'Students (Vertical)'!O:O&lt;&gt;"""",'Students (Vertical)'!P:P&gt;1);filter('Students (Vertical)'!O:O,'Students (Vertical)'!C:C=E73,'Stu"&amp;"dents (Vertical)'!O:O&lt;&gt;"""",'Students (Vertical)'!P:P&gt;1)},countifs({filter('Students (Vertical)'!O:O,'Students (Vertical)'!C:C=B73,'Students (Vertical)'!O:O&lt;&gt;"""",'Students (Vertical)'!P:P&gt;1);filter('Students (Vertical)'!O:O,'Students (Vertical)'!C:C=E73,"&amp;"'Students (Vertical)'!O:O&lt;&gt;"""",'Students (Vertical)'!P:P&gt;1)},{filter('Students (Vertical)'!O:O,'Students (Vertical)'!C:C=B73,'Students (Vertical)'!O:O&lt;&gt;"""",'Students (Vertical)'!P:P&gt;1);filter('Students (Vertical)'!O:O,'Students (Vertical)'!C:C=E73,'Stud"&amp;"ents (Vertical)'!O:O&lt;&gt;"""",'Students (Vertical)'!P:P&gt;1)})&gt;1))),""""),"""")"),"")</f>
        <v/>
      </c>
      <c r="K73" s="358" t="str">
        <f>IFERROR(__xludf.DUMMYFUNCTION("iferror(join("", "",unique(filter({filter('Students (Vertical)'!D:D,'Students (Vertical)'!C:C=B73,'Students (Vertical)'!D:D&lt;&gt;"""");filter('Students (Vertical)'!D:D,'Students (Vertical)'!C:C=E73,'Students (Vertical)'!D:D&lt;&gt;"""")},countifs({filter('Students "&amp;"(Vertical)'!D:D,'Students (Vertical)'!C:C=B73,'Students (Vertical)'!D:D&lt;&gt;"""");filter('Students (Vertical)'!D:D,'Students (Vertical)'!C:C=E73,'Students (Vertical)'!D:D&lt;&gt;"""")},{filter('Students (Vertical)'!D:D,'Students (Vertical)'!C:C=B73,'Students (Vert"&amp;"ical)'!D:D&lt;&gt;"""");filter('Students (Vertical)'!D:D,'Students (Vertical)'!C:C=E73,'Students (Vertical)'!D:D&lt;&gt;"""")})&gt;1))),"""")"),"AP Seminar, AP Spanish Language and Culture, Chemistry, PE 10, Sociales 10, Anatomy and Physiology")</f>
        <v>AP Seminar, AP Spanish Language and Culture, Chemistry, PE 10, Sociales 10, Anatomy and Physiology</v>
      </c>
    </row>
    <row r="74">
      <c r="A74" s="300">
        <v>73.0</v>
      </c>
      <c r="B74" s="45" t="s">
        <v>355</v>
      </c>
      <c r="C74" s="300">
        <v>28030.0</v>
      </c>
      <c r="D74" s="300">
        <v>10.0</v>
      </c>
      <c r="E74" s="45" t="s">
        <v>295</v>
      </c>
      <c r="F74" s="300">
        <v>28058.0</v>
      </c>
      <c r="G74" s="300">
        <v>10.0</v>
      </c>
      <c r="H74" s="45" t="s">
        <v>759</v>
      </c>
      <c r="I74" s="356" t="str">
        <f>IFERROR(__xludf.DUMMYFUNCTION("if(H74=""Must be Together"",iferror(join("", "",unique(filter({filter('Students (Vertical)'!O:O,'Students (Vertical)'!C:C=B74,'Students (Vertical)'!O:O&lt;&gt;"""");filter('Students (Vertical)'!O:O,'Students (Vertical)'!C:C=E74,'Students (Vertical)'!O:O&lt;&gt;"""")}"&amp;",countifs({filter('Students (Vertical)'!O:O,'Students (Vertical)'!C:C=B74,'Students (Vertical)'!O:O&lt;&gt;"""");filter('Students (Vertical)'!O:O,'Students (Vertical)'!C:C=E74,'Students (Vertical)'!O:O&lt;&gt;"""")},{filter('Students (Vertical)'!O:O,'Students (Vertic"&amp;"al)'!C:C=B74,'Students (Vertical)'!O:O&lt;&gt;"""");filter('Students (Vertical)'!O:O,'Students (Vertical)'!C:C=E74,'Students (Vertical)'!O:O&lt;&gt;"""")})&gt;1))),""No shared courses""),"""")"),"")</f>
        <v/>
      </c>
      <c r="J74" s="357" t="str">
        <f>IFERROR(__xludf.DUMMYFUNCTION("if(H74=""Can't be Together"",iferror(join("", "",unique(filter({filter('Students (Vertical)'!O:O,'Students (Vertical)'!C:C=B74,'Students (Vertical)'!O:O&lt;&gt;"""",'Students (Vertical)'!P:P&gt;1);filter('Students (Vertical)'!O:O,'Students (Vertical)'!C:C=E74,'Stu"&amp;"dents (Vertical)'!O:O&lt;&gt;"""",'Students (Vertical)'!P:P&gt;1)},countifs({filter('Students (Vertical)'!O:O,'Students (Vertical)'!C:C=B74,'Students (Vertical)'!O:O&lt;&gt;"""",'Students (Vertical)'!P:P&gt;1);filter('Students (Vertical)'!O:O,'Students (Vertical)'!C:C=E74,"&amp;"'Students (Vertical)'!O:O&lt;&gt;"""",'Students (Vertical)'!P:P&gt;1)},{filter('Students (Vertical)'!O:O,'Students (Vertical)'!C:C=B74,'Students (Vertical)'!O:O&lt;&gt;"""",'Students (Vertical)'!P:P&gt;1);filter('Students (Vertical)'!O:O,'Students (Vertical)'!C:C=E74,'Stud"&amp;"ents (Vertical)'!O:O&lt;&gt;"""",'Students (Vertical)'!P:P&gt;1)})&gt;1))),""""),"""")"),"")</f>
        <v/>
      </c>
      <c r="K74" s="358" t="str">
        <f>IFERROR(__xludf.DUMMYFUNCTION("iferror(join("", "",unique(filter({filter('Students (Vertical)'!D:D,'Students (Vertical)'!C:C=B74,'Students (Vertical)'!D:D&lt;&gt;"""");filter('Students (Vertical)'!D:D,'Students (Vertical)'!C:C=E74,'Students (Vertical)'!D:D&lt;&gt;"""")},countifs({filter('Students "&amp;"(Vertical)'!D:D,'Students (Vertical)'!C:C=B74,'Students (Vertical)'!D:D&lt;&gt;"""");filter('Students (Vertical)'!D:D,'Students (Vertical)'!C:C=E74,'Students (Vertical)'!D:D&lt;&gt;"""")},{filter('Students (Vertical)'!D:D,'Students (Vertical)'!C:C=B74,'Students (Vert"&amp;"ical)'!D:D&lt;&gt;"""");filter('Students (Vertical)'!D:D,'Students (Vertical)'!C:C=E74,'Students (Vertical)'!D:D&lt;&gt;"""")})&gt;1))),"""")"),"AP Seminar, AP Spanish Language and Culture, Algebra II, Chemistry, PE 10, AP Human Geography, Sociales 10")</f>
        <v>AP Seminar, AP Spanish Language and Culture, Algebra II, Chemistry, PE 10, AP Human Geography, Sociales 10</v>
      </c>
    </row>
    <row r="75">
      <c r="A75" s="300">
        <v>74.0</v>
      </c>
      <c r="B75" s="45" t="s">
        <v>355</v>
      </c>
      <c r="C75" s="300">
        <v>28030.0</v>
      </c>
      <c r="D75" s="300">
        <v>10.0</v>
      </c>
      <c r="E75" s="45" t="s">
        <v>340</v>
      </c>
      <c r="F75" s="300">
        <v>27100.0</v>
      </c>
      <c r="G75" s="300">
        <v>10.0</v>
      </c>
      <c r="H75" s="45" t="s">
        <v>760</v>
      </c>
      <c r="I75" s="356" t="str">
        <f>IFERROR(__xludf.DUMMYFUNCTION("if(H75=""Must be Together"",iferror(join("", "",unique(filter({filter('Students (Vertical)'!O:O,'Students (Vertical)'!C:C=B75,'Students (Vertical)'!O:O&lt;&gt;"""");filter('Students (Vertical)'!O:O,'Students (Vertical)'!C:C=E75,'Students (Vertical)'!O:O&lt;&gt;"""")}"&amp;",countifs({filter('Students (Vertical)'!O:O,'Students (Vertical)'!C:C=B75,'Students (Vertical)'!O:O&lt;&gt;"""");filter('Students (Vertical)'!O:O,'Students (Vertical)'!C:C=E75,'Students (Vertical)'!O:O&lt;&gt;"""")},{filter('Students (Vertical)'!O:O,'Students (Vertic"&amp;"al)'!C:C=B75,'Students (Vertical)'!O:O&lt;&gt;"""");filter('Students (Vertical)'!O:O,'Students (Vertical)'!C:C=E75,'Students (Vertical)'!O:O&lt;&gt;"""")})&gt;1))),""No shared courses""),"""")"),"AP Seminar-5, PE 10-4, Sociales 10-2")</f>
        <v>AP Seminar-5, PE 10-4, Sociales 10-2</v>
      </c>
      <c r="J75" s="357" t="str">
        <f>IFERROR(__xludf.DUMMYFUNCTION("if(H75=""Can't be Together"",iferror(join("", "",unique(filter({filter('Students (Vertical)'!O:O,'Students (Vertical)'!C:C=B75,'Students (Vertical)'!O:O&lt;&gt;"""",'Students (Vertical)'!P:P&gt;1);filter('Students (Vertical)'!O:O,'Students (Vertical)'!C:C=E75,'Stu"&amp;"dents (Vertical)'!O:O&lt;&gt;"""",'Students (Vertical)'!P:P&gt;1)},countifs({filter('Students (Vertical)'!O:O,'Students (Vertical)'!C:C=B75,'Students (Vertical)'!O:O&lt;&gt;"""",'Students (Vertical)'!P:P&gt;1);filter('Students (Vertical)'!O:O,'Students (Vertical)'!C:C=E75,"&amp;"'Students (Vertical)'!O:O&lt;&gt;"""",'Students (Vertical)'!P:P&gt;1)},{filter('Students (Vertical)'!O:O,'Students (Vertical)'!C:C=B75,'Students (Vertical)'!O:O&lt;&gt;"""",'Students (Vertical)'!P:P&gt;1);filter('Students (Vertical)'!O:O,'Students (Vertical)'!C:C=E75,'Stud"&amp;"ents (Vertical)'!O:O&lt;&gt;"""",'Students (Vertical)'!P:P&gt;1)})&gt;1))),""""),"""")"),"")</f>
        <v/>
      </c>
      <c r="K75" s="358" t="str">
        <f>IFERROR(__xludf.DUMMYFUNCTION("iferror(join("", "",unique(filter({filter('Students (Vertical)'!D:D,'Students (Vertical)'!C:C=B75,'Students (Vertical)'!D:D&lt;&gt;"""");filter('Students (Vertical)'!D:D,'Students (Vertical)'!C:C=E75,'Students (Vertical)'!D:D&lt;&gt;"""")},countifs({filter('Students "&amp;"(Vertical)'!D:D,'Students (Vertical)'!C:C=B75,'Students (Vertical)'!D:D&lt;&gt;"""");filter('Students (Vertical)'!D:D,'Students (Vertical)'!C:C=E75,'Students (Vertical)'!D:D&lt;&gt;"""")},{filter('Students (Vertical)'!D:D,'Students (Vertical)'!C:C=B75,'Students (Vert"&amp;"ical)'!D:D&lt;&gt;"""");filter('Students (Vertical)'!D:D,'Students (Vertical)'!C:C=E75,'Students (Vertical)'!D:D&lt;&gt;"""")})&gt;1))),"""")"),"AP Seminar, AP Spanish Language and Culture, Chemistry, PE 10, Sociales 10")</f>
        <v>AP Seminar, AP Spanish Language and Culture, Chemistry, PE 10, Sociales 10</v>
      </c>
    </row>
    <row r="76">
      <c r="A76" s="300">
        <v>75.0</v>
      </c>
      <c r="B76" s="45" t="s">
        <v>383</v>
      </c>
      <c r="C76" s="300">
        <v>28005.0</v>
      </c>
      <c r="D76" s="300">
        <v>10.0</v>
      </c>
      <c r="E76" s="45" t="s">
        <v>363</v>
      </c>
      <c r="F76" s="300">
        <v>28028.0</v>
      </c>
      <c r="G76" s="300">
        <v>10.0</v>
      </c>
      <c r="H76" s="45" t="s">
        <v>759</v>
      </c>
      <c r="I76" s="356" t="str">
        <f>IFERROR(__xludf.DUMMYFUNCTION("if(H76=""Must be Together"",iferror(join("", "",unique(filter({filter('Students (Vertical)'!O:O,'Students (Vertical)'!C:C=B76,'Students (Vertical)'!O:O&lt;&gt;"""");filter('Students (Vertical)'!O:O,'Students (Vertical)'!C:C=E76,'Students (Vertical)'!O:O&lt;&gt;"""")}"&amp;",countifs({filter('Students (Vertical)'!O:O,'Students (Vertical)'!C:C=B76,'Students (Vertical)'!O:O&lt;&gt;"""");filter('Students (Vertical)'!O:O,'Students (Vertical)'!C:C=E76,'Students (Vertical)'!O:O&lt;&gt;"""")},{filter('Students (Vertical)'!O:O,'Students (Vertic"&amp;"al)'!C:C=B76,'Students (Vertical)'!O:O&lt;&gt;"""");filter('Students (Vertical)'!O:O,'Students (Vertical)'!C:C=E76,'Students (Vertical)'!O:O&lt;&gt;"""")})&gt;1))),""No shared courses""),"""")"),"")</f>
        <v/>
      </c>
      <c r="J76" s="357" t="str">
        <f>IFERROR(__xludf.DUMMYFUNCTION("if(H76=""Can't be Together"",iferror(join("", "",unique(filter({filter('Students (Vertical)'!O:O,'Students (Vertical)'!C:C=B76,'Students (Vertical)'!O:O&lt;&gt;"""",'Students (Vertical)'!P:P&gt;1);filter('Students (Vertical)'!O:O,'Students (Vertical)'!C:C=E76,'Stu"&amp;"dents (Vertical)'!O:O&lt;&gt;"""",'Students (Vertical)'!P:P&gt;1)},countifs({filter('Students (Vertical)'!O:O,'Students (Vertical)'!C:C=B76,'Students (Vertical)'!O:O&lt;&gt;"""",'Students (Vertical)'!P:P&gt;1);filter('Students (Vertical)'!O:O,'Students (Vertical)'!C:C=E76,"&amp;"'Students (Vertical)'!O:O&lt;&gt;"""",'Students (Vertical)'!P:P&gt;1)},{filter('Students (Vertical)'!O:O,'Students (Vertical)'!C:C=B76,'Students (Vertical)'!O:O&lt;&gt;"""",'Students (Vertical)'!P:P&gt;1);filter('Students (Vertical)'!O:O,'Students (Vertical)'!C:C=E76,'Stud"&amp;"ents (Vertical)'!O:O&lt;&gt;"""",'Students (Vertical)'!P:P&gt;1)})&gt;1))),""""),"""")"),"AP Spanish Language and Culture-5")</f>
        <v>AP Spanish Language and Culture-5</v>
      </c>
      <c r="K76" s="358" t="str">
        <f>IFERROR(__xludf.DUMMYFUNCTION("iferror(join("", "",unique(filter({filter('Students (Vertical)'!D:D,'Students (Vertical)'!C:C=B76,'Students (Vertical)'!D:D&lt;&gt;"""");filter('Students (Vertical)'!D:D,'Students (Vertical)'!C:C=E76,'Students (Vertical)'!D:D&lt;&gt;"""")},countifs({filter('Students "&amp;"(Vertical)'!D:D,'Students (Vertical)'!C:C=B76,'Students (Vertical)'!D:D&lt;&gt;"""");filter('Students (Vertical)'!D:D,'Students (Vertical)'!C:C=E76,'Students (Vertical)'!D:D&lt;&gt;"""")},{filter('Students (Vertical)'!D:D,'Students (Vertical)'!C:C=B76,'Students (Vert"&amp;"ical)'!D:D&lt;&gt;"""");filter('Students (Vertical)'!D:D,'Students (Vertical)'!C:C=E76,'Students (Vertical)'!D:D&lt;&gt;"""")})&gt;1))),"""")"),"AP Seminar, AP Spanish Language and Culture, Algebra II, Chemistry, PE 10, Sociales 10")</f>
        <v>AP Seminar, AP Spanish Language and Culture, Algebra II, Chemistry, PE 10, Sociales 10</v>
      </c>
    </row>
    <row r="77">
      <c r="A77" s="300">
        <v>76.0</v>
      </c>
      <c r="B77" s="45" t="s">
        <v>394</v>
      </c>
      <c r="C77" s="300">
        <v>28088.0</v>
      </c>
      <c r="D77" s="300">
        <v>10.0</v>
      </c>
      <c r="E77" s="45" t="s">
        <v>362</v>
      </c>
      <c r="F77" s="300">
        <v>28137.0</v>
      </c>
      <c r="G77" s="300">
        <v>10.0</v>
      </c>
      <c r="H77" s="45" t="s">
        <v>759</v>
      </c>
      <c r="I77" s="356" t="str">
        <f>IFERROR(__xludf.DUMMYFUNCTION("if(H77=""Must be Together"",iferror(join("", "",unique(filter({filter('Students (Vertical)'!O:O,'Students (Vertical)'!C:C=B77,'Students (Vertical)'!O:O&lt;&gt;"""");filter('Students (Vertical)'!O:O,'Students (Vertical)'!C:C=E77,'Students (Vertical)'!O:O&lt;&gt;"""")}"&amp;",countifs({filter('Students (Vertical)'!O:O,'Students (Vertical)'!C:C=B77,'Students (Vertical)'!O:O&lt;&gt;"""");filter('Students (Vertical)'!O:O,'Students (Vertical)'!C:C=E77,'Students (Vertical)'!O:O&lt;&gt;"""")},{filter('Students (Vertical)'!O:O,'Students (Vertic"&amp;"al)'!C:C=B77,'Students (Vertical)'!O:O&lt;&gt;"""");filter('Students (Vertical)'!O:O,'Students (Vertical)'!C:C=E77,'Students (Vertical)'!O:O&lt;&gt;"""")})&gt;1))),""No shared courses""),"""")"),"")</f>
        <v/>
      </c>
      <c r="J77" s="357" t="str">
        <f>IFERROR(__xludf.DUMMYFUNCTION("if(H77=""Can't be Together"",iferror(join("", "",unique(filter({filter('Students (Vertical)'!O:O,'Students (Vertical)'!C:C=B77,'Students (Vertical)'!O:O&lt;&gt;"""",'Students (Vertical)'!P:P&gt;1);filter('Students (Vertical)'!O:O,'Students (Vertical)'!C:C=E77,'Stu"&amp;"dents (Vertical)'!O:O&lt;&gt;"""",'Students (Vertical)'!P:P&gt;1)},countifs({filter('Students (Vertical)'!O:O,'Students (Vertical)'!C:C=B77,'Students (Vertical)'!O:O&lt;&gt;"""",'Students (Vertical)'!P:P&gt;1);filter('Students (Vertical)'!O:O,'Students (Vertical)'!C:C=E77,"&amp;"'Students (Vertical)'!O:O&lt;&gt;"""",'Students (Vertical)'!P:P&gt;1)},{filter('Students (Vertical)'!O:O,'Students (Vertical)'!C:C=B77,'Students (Vertical)'!O:O&lt;&gt;"""",'Students (Vertical)'!P:P&gt;1);filter('Students (Vertical)'!O:O,'Students (Vertical)'!C:C=E77,'Stud"&amp;"ents (Vertical)'!O:O&lt;&gt;"""",'Students (Vertical)'!P:P&gt;1)})&gt;1))),""""),"""")"),"")</f>
        <v/>
      </c>
      <c r="K77" s="358" t="str">
        <f>IFERROR(__xludf.DUMMYFUNCTION("iferror(join("", "",unique(filter({filter('Students (Vertical)'!D:D,'Students (Vertical)'!C:C=B77,'Students (Vertical)'!D:D&lt;&gt;"""");filter('Students (Vertical)'!D:D,'Students (Vertical)'!C:C=E77,'Students (Vertical)'!D:D&lt;&gt;"""")},countifs({filter('Students "&amp;"(Vertical)'!D:D,'Students (Vertical)'!C:C=B77,'Students (Vertical)'!D:D&lt;&gt;"""");filter('Students (Vertical)'!D:D,'Students (Vertical)'!C:C=E77,'Students (Vertical)'!D:D&lt;&gt;"""")},{filter('Students (Vertical)'!D:D,'Students (Vertical)'!C:C=B77,'Students (Vert"&amp;"ical)'!D:D&lt;&gt;"""");filter('Students (Vertical)'!D:D,'Students (Vertical)'!C:C=E77,'Students (Vertical)'!D:D&lt;&gt;"""")})&gt;1))),"""")"),"AP Spanish Language and Culture, Chemistry, PE 10, Sociales 10")</f>
        <v>AP Spanish Language and Culture, Chemistry, PE 10, Sociales 10</v>
      </c>
    </row>
    <row r="78">
      <c r="A78" s="300">
        <v>77.0</v>
      </c>
      <c r="B78" s="45" t="s">
        <v>394</v>
      </c>
      <c r="C78" s="300">
        <v>28088.0</v>
      </c>
      <c r="D78" s="300">
        <v>10.0</v>
      </c>
      <c r="E78" s="45" t="s">
        <v>378</v>
      </c>
      <c r="F78" s="300">
        <v>28001.0</v>
      </c>
      <c r="G78" s="300">
        <v>10.0</v>
      </c>
      <c r="H78" s="45" t="s">
        <v>759</v>
      </c>
      <c r="I78" s="356" t="str">
        <f>IFERROR(__xludf.DUMMYFUNCTION("if(H78=""Must be Together"",iferror(join("", "",unique(filter({filter('Students (Vertical)'!O:O,'Students (Vertical)'!C:C=B78,'Students (Vertical)'!O:O&lt;&gt;"""");filter('Students (Vertical)'!O:O,'Students (Vertical)'!C:C=E78,'Students (Vertical)'!O:O&lt;&gt;"""")}"&amp;",countifs({filter('Students (Vertical)'!O:O,'Students (Vertical)'!C:C=B78,'Students (Vertical)'!O:O&lt;&gt;"""");filter('Students (Vertical)'!O:O,'Students (Vertical)'!C:C=E78,'Students (Vertical)'!O:O&lt;&gt;"""")},{filter('Students (Vertical)'!O:O,'Students (Vertic"&amp;"al)'!C:C=B78,'Students (Vertical)'!O:O&lt;&gt;"""");filter('Students (Vertical)'!O:O,'Students (Vertical)'!C:C=E78,'Students (Vertical)'!O:O&lt;&gt;"""")})&gt;1))),""No shared courses""),"""")"),"")</f>
        <v/>
      </c>
      <c r="J78" s="357" t="str">
        <f>IFERROR(__xludf.DUMMYFUNCTION("if(H78=""Can't be Together"",iferror(join("", "",unique(filter({filter('Students (Vertical)'!O:O,'Students (Vertical)'!C:C=B78,'Students (Vertical)'!O:O&lt;&gt;"""",'Students (Vertical)'!P:P&gt;1);filter('Students (Vertical)'!O:O,'Students (Vertical)'!C:C=E78,'Stu"&amp;"dents (Vertical)'!O:O&lt;&gt;"""",'Students (Vertical)'!P:P&gt;1)},countifs({filter('Students (Vertical)'!O:O,'Students (Vertical)'!C:C=B78,'Students (Vertical)'!O:O&lt;&gt;"""",'Students (Vertical)'!P:P&gt;1);filter('Students (Vertical)'!O:O,'Students (Vertical)'!C:C=E78,"&amp;"'Students (Vertical)'!O:O&lt;&gt;"""",'Students (Vertical)'!P:P&gt;1)},{filter('Students (Vertical)'!O:O,'Students (Vertical)'!C:C=B78,'Students (Vertical)'!O:O&lt;&gt;"""",'Students (Vertical)'!P:P&gt;1);filter('Students (Vertical)'!O:O,'Students (Vertical)'!C:C=E78,'Stud"&amp;"ents (Vertical)'!O:O&lt;&gt;"""",'Students (Vertical)'!P:P&gt;1)})&gt;1))),""""),"""")"),"")</f>
        <v/>
      </c>
      <c r="K78" s="358" t="str">
        <f>IFERROR(__xludf.DUMMYFUNCTION("iferror(join("", "",unique(filter({filter('Students (Vertical)'!D:D,'Students (Vertical)'!C:C=B78,'Students (Vertical)'!D:D&lt;&gt;"""");filter('Students (Vertical)'!D:D,'Students (Vertical)'!C:C=E78,'Students (Vertical)'!D:D&lt;&gt;"""")},countifs({filter('Students "&amp;"(Vertical)'!D:D,'Students (Vertical)'!C:C=B78,'Students (Vertical)'!D:D&lt;&gt;"""");filter('Students (Vertical)'!D:D,'Students (Vertical)'!C:C=E78,'Students (Vertical)'!D:D&lt;&gt;"""")},{filter('Students (Vertical)'!D:D,'Students (Vertical)'!C:C=B78,'Students (Vert"&amp;"ical)'!D:D&lt;&gt;"""");filter('Students (Vertical)'!D:D,'Students (Vertical)'!C:C=E78,'Students (Vertical)'!D:D&lt;&gt;"""")})&gt;1))),"""")"),"AP Spanish Language and Culture, Chemistry, PE 10, Sociales 10")</f>
        <v>AP Spanish Language and Culture, Chemistry, PE 10, Sociales 10</v>
      </c>
    </row>
    <row r="79">
      <c r="A79" s="300">
        <v>78.0</v>
      </c>
      <c r="B79" s="45" t="s">
        <v>327</v>
      </c>
      <c r="C79" s="300">
        <v>28020.0</v>
      </c>
      <c r="D79" s="300">
        <v>10.0</v>
      </c>
      <c r="E79" s="45" t="s">
        <v>367</v>
      </c>
      <c r="F79" s="300">
        <v>28142.0</v>
      </c>
      <c r="G79" s="300">
        <v>10.0</v>
      </c>
      <c r="H79" s="45" t="s">
        <v>759</v>
      </c>
      <c r="I79" s="356" t="str">
        <f>IFERROR(__xludf.DUMMYFUNCTION("if(H79=""Must be Together"",iferror(join("", "",unique(filter({filter('Students (Vertical)'!O:O,'Students (Vertical)'!C:C=B79,'Students (Vertical)'!O:O&lt;&gt;"""");filter('Students (Vertical)'!O:O,'Students (Vertical)'!C:C=E79,'Students (Vertical)'!O:O&lt;&gt;"""")}"&amp;",countifs({filter('Students (Vertical)'!O:O,'Students (Vertical)'!C:C=B79,'Students (Vertical)'!O:O&lt;&gt;"""");filter('Students (Vertical)'!O:O,'Students (Vertical)'!C:C=E79,'Students (Vertical)'!O:O&lt;&gt;"""")},{filter('Students (Vertical)'!O:O,'Students (Vertic"&amp;"al)'!C:C=B79,'Students (Vertical)'!O:O&lt;&gt;"""");filter('Students (Vertical)'!O:O,'Students (Vertical)'!C:C=E79,'Students (Vertical)'!O:O&lt;&gt;"""")})&gt;1))),""No shared courses""),"""")"),"")</f>
        <v/>
      </c>
      <c r="J79" s="357" t="str">
        <f>IFERROR(__xludf.DUMMYFUNCTION("if(H79=""Can't be Together"",iferror(join("", "",unique(filter({filter('Students (Vertical)'!O:O,'Students (Vertical)'!C:C=B79,'Students (Vertical)'!O:O&lt;&gt;"""",'Students (Vertical)'!P:P&gt;1);filter('Students (Vertical)'!O:O,'Students (Vertical)'!C:C=E79,'Stu"&amp;"dents (Vertical)'!O:O&lt;&gt;"""",'Students (Vertical)'!P:P&gt;1)},countifs({filter('Students (Vertical)'!O:O,'Students (Vertical)'!C:C=B79,'Students (Vertical)'!O:O&lt;&gt;"""",'Students (Vertical)'!P:P&gt;1);filter('Students (Vertical)'!O:O,'Students (Vertical)'!C:C=E79,"&amp;"'Students (Vertical)'!O:O&lt;&gt;"""",'Students (Vertical)'!P:P&gt;1)},{filter('Students (Vertical)'!O:O,'Students (Vertical)'!C:C=B79,'Students (Vertical)'!O:O&lt;&gt;"""",'Students (Vertical)'!P:P&gt;1);filter('Students (Vertical)'!O:O,'Students (Vertical)'!C:C=E79,'Stud"&amp;"ents (Vertical)'!O:O&lt;&gt;"""",'Students (Vertical)'!P:P&gt;1)})&gt;1))),""""),"""")"),"")</f>
        <v/>
      </c>
      <c r="K79" s="358" t="str">
        <f>IFERROR(__xludf.DUMMYFUNCTION("iferror(join("", "",unique(filter({filter('Students (Vertical)'!D:D,'Students (Vertical)'!C:C=B79,'Students (Vertical)'!D:D&lt;&gt;"""");filter('Students (Vertical)'!D:D,'Students (Vertical)'!C:C=E79,'Students (Vertical)'!D:D&lt;&gt;"""")},countifs({filter('Students "&amp;"(Vertical)'!D:D,'Students (Vertical)'!C:C=B79,'Students (Vertical)'!D:D&lt;&gt;"""");filter('Students (Vertical)'!D:D,'Students (Vertical)'!C:C=E79,'Students (Vertical)'!D:D&lt;&gt;"""")},{filter('Students (Vertical)'!D:D,'Students (Vertical)'!C:C=B79,'Students (Vert"&amp;"ical)'!D:D&lt;&gt;"""");filter('Students (Vertical)'!D:D,'Students (Vertical)'!C:C=E79,'Students (Vertical)'!D:D&lt;&gt;"""")})&gt;1))),"""")"),"English 10, AP Spanish Language and Culture, Chemistry, PE 10, Global, Sociales 10")</f>
        <v>English 10, AP Spanish Language and Culture, Chemistry, PE 10, Global, Sociales 10</v>
      </c>
    </row>
    <row r="80">
      <c r="A80" s="300">
        <v>79.0</v>
      </c>
      <c r="B80" s="45" t="s">
        <v>355</v>
      </c>
      <c r="C80" s="300">
        <v>28030.0</v>
      </c>
      <c r="D80" s="300">
        <v>10.0</v>
      </c>
      <c r="E80" s="45" t="s">
        <v>288</v>
      </c>
      <c r="F80" s="300">
        <v>28022.0</v>
      </c>
      <c r="G80" s="300">
        <v>10.0</v>
      </c>
      <c r="H80" s="45" t="s">
        <v>760</v>
      </c>
      <c r="I80" s="356" t="str">
        <f>IFERROR(__xludf.DUMMYFUNCTION("if(H80=""Must be Together"",iferror(join("", "",unique(filter({filter('Students (Vertical)'!O:O,'Students (Vertical)'!C:C=B80,'Students (Vertical)'!O:O&lt;&gt;"""");filter('Students (Vertical)'!O:O,'Students (Vertical)'!C:C=E80,'Students (Vertical)'!O:O&lt;&gt;"""")}"&amp;",countifs({filter('Students (Vertical)'!O:O,'Students (Vertical)'!C:C=B80,'Students (Vertical)'!O:O&lt;&gt;"""");filter('Students (Vertical)'!O:O,'Students (Vertical)'!C:C=E80,'Students (Vertical)'!O:O&lt;&gt;"""")},{filter('Students (Vertical)'!O:O,'Students (Vertic"&amp;"al)'!C:C=B80,'Students (Vertical)'!O:O&lt;&gt;"""");filter('Students (Vertical)'!O:O,'Students (Vertical)'!C:C=E80,'Students (Vertical)'!O:O&lt;&gt;"""")})&gt;1))),""No shared courses""),"""")"),"AP Seminar-5, Anatomy and Physiology-8")</f>
        <v>AP Seminar-5, Anatomy and Physiology-8</v>
      </c>
      <c r="J80" s="357" t="str">
        <f>IFERROR(__xludf.DUMMYFUNCTION("if(H80=""Can't be Together"",iferror(join("", "",unique(filter({filter('Students (Vertical)'!O:O,'Students (Vertical)'!C:C=B80,'Students (Vertical)'!O:O&lt;&gt;"""",'Students (Vertical)'!P:P&gt;1);filter('Students (Vertical)'!O:O,'Students (Vertical)'!C:C=E80,'Stu"&amp;"dents (Vertical)'!O:O&lt;&gt;"""",'Students (Vertical)'!P:P&gt;1)},countifs({filter('Students (Vertical)'!O:O,'Students (Vertical)'!C:C=B80,'Students (Vertical)'!O:O&lt;&gt;"""",'Students (Vertical)'!P:P&gt;1);filter('Students (Vertical)'!O:O,'Students (Vertical)'!C:C=E80,"&amp;"'Students (Vertical)'!O:O&lt;&gt;"""",'Students (Vertical)'!P:P&gt;1)},{filter('Students (Vertical)'!O:O,'Students (Vertical)'!C:C=B80,'Students (Vertical)'!O:O&lt;&gt;"""",'Students (Vertical)'!P:P&gt;1);filter('Students (Vertical)'!O:O,'Students (Vertical)'!C:C=E80,'Stud"&amp;"ents (Vertical)'!O:O&lt;&gt;"""",'Students (Vertical)'!P:P&gt;1)})&gt;1))),""""),"""")"),"")</f>
        <v/>
      </c>
      <c r="K80" s="358" t="str">
        <f>IFERROR(__xludf.DUMMYFUNCTION("iferror(join("", "",unique(filter({filter('Students (Vertical)'!D:D,'Students (Vertical)'!C:C=B80,'Students (Vertical)'!D:D&lt;&gt;"""");filter('Students (Vertical)'!D:D,'Students (Vertical)'!C:C=E80,'Students (Vertical)'!D:D&lt;&gt;"""")},countifs({filter('Students "&amp;"(Vertical)'!D:D,'Students (Vertical)'!C:C=B80,'Students (Vertical)'!D:D&lt;&gt;"""");filter('Students (Vertical)'!D:D,'Students (Vertical)'!C:C=E80,'Students (Vertical)'!D:D&lt;&gt;"""")},{filter('Students (Vertical)'!D:D,'Students (Vertical)'!C:C=B80,'Students (Vert"&amp;"ical)'!D:D&lt;&gt;"""");filter('Students (Vertical)'!D:D,'Students (Vertical)'!C:C=E80,'Students (Vertical)'!D:D&lt;&gt;"""")})&gt;1))),"""")"),"AP Seminar, AP Spanish Language and Culture, Chemistry, PE 10, AP Human Geography, Sociales 10, Anatomy and Physiology")</f>
        <v>AP Seminar, AP Spanish Language and Culture, Chemistry, PE 10, AP Human Geography, Sociales 10, Anatomy and Physiology</v>
      </c>
    </row>
    <row r="81">
      <c r="A81" s="300">
        <v>80.0</v>
      </c>
      <c r="B81" s="45" t="s">
        <v>355</v>
      </c>
      <c r="C81" s="300">
        <v>28030.0</v>
      </c>
      <c r="D81" s="300">
        <v>10.0</v>
      </c>
      <c r="E81" s="45" t="s">
        <v>311</v>
      </c>
      <c r="F81" s="300">
        <v>28054.0</v>
      </c>
      <c r="G81" s="300">
        <v>10.0</v>
      </c>
      <c r="H81" s="45" t="s">
        <v>760</v>
      </c>
      <c r="I81" s="356" t="str">
        <f>IFERROR(__xludf.DUMMYFUNCTION("if(H81=""Must be Together"",iferror(join("", "",unique(filter({filter('Students (Vertical)'!O:O,'Students (Vertical)'!C:C=B81,'Students (Vertical)'!O:O&lt;&gt;"""");filter('Students (Vertical)'!O:O,'Students (Vertical)'!C:C=E81,'Students (Vertical)'!O:O&lt;&gt;"""")}"&amp;",countifs({filter('Students (Vertical)'!O:O,'Students (Vertical)'!C:C=B81,'Students (Vertical)'!O:O&lt;&gt;"""");filter('Students (Vertical)'!O:O,'Students (Vertical)'!C:C=E81,'Students (Vertical)'!O:O&lt;&gt;"""")},{filter('Students (Vertical)'!O:O,'Students (Vertic"&amp;"al)'!C:C=B81,'Students (Vertical)'!O:O&lt;&gt;"""");filter('Students (Vertical)'!O:O,'Students (Vertical)'!C:C=E81,'Students (Vertical)'!O:O&lt;&gt;"""")})&gt;1))),""No shared courses""),"""")"),"AP Seminar-5, AP Spanish Language and Culture-7, Chemistry-3, AP Human Geography-6, Anatomy and Physiology-8")</f>
        <v>AP Seminar-5, AP Spanish Language and Culture-7, Chemistry-3, AP Human Geography-6, Anatomy and Physiology-8</v>
      </c>
      <c r="J81" s="357" t="str">
        <f>IFERROR(__xludf.DUMMYFUNCTION("if(H81=""Can't be Together"",iferror(join("", "",unique(filter({filter('Students (Vertical)'!O:O,'Students (Vertical)'!C:C=B81,'Students (Vertical)'!O:O&lt;&gt;"""",'Students (Vertical)'!P:P&gt;1);filter('Students (Vertical)'!O:O,'Students (Vertical)'!C:C=E81,'Stu"&amp;"dents (Vertical)'!O:O&lt;&gt;"""",'Students (Vertical)'!P:P&gt;1)},countifs({filter('Students (Vertical)'!O:O,'Students (Vertical)'!C:C=B81,'Students (Vertical)'!O:O&lt;&gt;"""",'Students (Vertical)'!P:P&gt;1);filter('Students (Vertical)'!O:O,'Students (Vertical)'!C:C=E81,"&amp;"'Students (Vertical)'!O:O&lt;&gt;"""",'Students (Vertical)'!P:P&gt;1)},{filter('Students (Vertical)'!O:O,'Students (Vertical)'!C:C=B81,'Students (Vertical)'!O:O&lt;&gt;"""",'Students (Vertical)'!P:P&gt;1);filter('Students (Vertical)'!O:O,'Students (Vertical)'!C:C=E81,'Stud"&amp;"ents (Vertical)'!O:O&lt;&gt;"""",'Students (Vertical)'!P:P&gt;1)})&gt;1))),""""),"""")"),"")</f>
        <v/>
      </c>
      <c r="K81" s="358" t="str">
        <f>IFERROR(__xludf.DUMMYFUNCTION("iferror(join("", "",unique(filter({filter('Students (Vertical)'!D:D,'Students (Vertical)'!C:C=B81,'Students (Vertical)'!D:D&lt;&gt;"""");filter('Students (Vertical)'!D:D,'Students (Vertical)'!C:C=E81,'Students (Vertical)'!D:D&lt;&gt;"""")},countifs({filter('Students "&amp;"(Vertical)'!D:D,'Students (Vertical)'!C:C=B81,'Students (Vertical)'!D:D&lt;&gt;"""");filter('Students (Vertical)'!D:D,'Students (Vertical)'!C:C=E81,'Students (Vertical)'!D:D&lt;&gt;"""")},{filter('Students (Vertical)'!D:D,'Students (Vertical)'!C:C=B81,'Students (Vert"&amp;"ical)'!D:D&lt;&gt;"""");filter('Students (Vertical)'!D:D,'Students (Vertical)'!C:C=E81,'Students (Vertical)'!D:D&lt;&gt;"""")})&gt;1))),"""")"),"AP Seminar, AP Spanish Language and Culture, Chemistry, PE 10, AP Human Geography, Sociales 10, Anatomy and Physiology")</f>
        <v>AP Seminar, AP Spanish Language and Culture, Chemistry, PE 10, AP Human Geography, Sociales 10, Anatomy and Physiology</v>
      </c>
    </row>
    <row r="82">
      <c r="A82" s="300">
        <v>81.0</v>
      </c>
      <c r="B82" s="45" t="s">
        <v>412</v>
      </c>
      <c r="C82" s="300">
        <v>28168.0</v>
      </c>
      <c r="D82" s="300">
        <v>10.0</v>
      </c>
      <c r="E82" s="45" t="s">
        <v>317</v>
      </c>
      <c r="F82" s="300">
        <v>28159.0</v>
      </c>
      <c r="G82" s="300">
        <v>10.0</v>
      </c>
      <c r="H82" s="45" t="s">
        <v>760</v>
      </c>
      <c r="I82" s="356" t="str">
        <f>IFERROR(__xludf.DUMMYFUNCTION("if(H82=""Must be Together"",iferror(join("", "",unique(filter({filter('Students (Vertical)'!O:O,'Students (Vertical)'!C:C=B82,'Students (Vertical)'!O:O&lt;&gt;"""");filter('Students (Vertical)'!O:O,'Students (Vertical)'!C:C=E82,'Students (Vertical)'!O:O&lt;&gt;"""")}"&amp;",countifs({filter('Students (Vertical)'!O:O,'Students (Vertical)'!C:C=B82,'Students (Vertical)'!O:O&lt;&gt;"""");filter('Students (Vertical)'!O:O,'Students (Vertical)'!C:C=E82,'Students (Vertical)'!O:O&lt;&gt;"""")},{filter('Students (Vertical)'!O:O,'Students (Vertic"&amp;"al)'!C:C=B82,'Students (Vertical)'!O:O&lt;&gt;"""");filter('Students (Vertical)'!O:O,'Students (Vertical)'!C:C=E82,'Students (Vertical)'!O:O&lt;&gt;"""")})&gt;1))),""No shared courses""),"""")"),"Chemistry-7")</f>
        <v>Chemistry-7</v>
      </c>
      <c r="J82" s="357" t="str">
        <f>IFERROR(__xludf.DUMMYFUNCTION("if(H82=""Can't be Together"",iferror(join("", "",unique(filter({filter('Students (Vertical)'!O:O,'Students (Vertical)'!C:C=B82,'Students (Vertical)'!O:O&lt;&gt;"""",'Students (Vertical)'!P:P&gt;1);filter('Students (Vertical)'!O:O,'Students (Vertical)'!C:C=E82,'Stu"&amp;"dents (Vertical)'!O:O&lt;&gt;"""",'Students (Vertical)'!P:P&gt;1)},countifs({filter('Students (Vertical)'!O:O,'Students (Vertical)'!C:C=B82,'Students (Vertical)'!O:O&lt;&gt;"""",'Students (Vertical)'!P:P&gt;1);filter('Students (Vertical)'!O:O,'Students (Vertical)'!C:C=E82,"&amp;"'Students (Vertical)'!O:O&lt;&gt;"""",'Students (Vertical)'!P:P&gt;1)},{filter('Students (Vertical)'!O:O,'Students (Vertical)'!C:C=B82,'Students (Vertical)'!O:O&lt;&gt;"""",'Students (Vertical)'!P:P&gt;1);filter('Students (Vertical)'!O:O,'Students (Vertical)'!C:C=E82,'Stud"&amp;"ents (Vertical)'!O:O&lt;&gt;"""",'Students (Vertical)'!P:P&gt;1)})&gt;1))),""""),"""")"),"")</f>
        <v/>
      </c>
      <c r="K82" s="358" t="str">
        <f>IFERROR(__xludf.DUMMYFUNCTION("iferror(join("", "",unique(filter({filter('Students (Vertical)'!D:D,'Students (Vertical)'!C:C=B82,'Students (Vertical)'!D:D&lt;&gt;"""");filter('Students (Vertical)'!D:D,'Students (Vertical)'!C:C=E82,'Students (Vertical)'!D:D&lt;&gt;"""")},countifs({filter('Students "&amp;"(Vertical)'!D:D,'Students (Vertical)'!C:C=B82,'Students (Vertical)'!D:D&lt;&gt;"""");filter('Students (Vertical)'!D:D,'Students (Vertical)'!C:C=E82,'Students (Vertical)'!D:D&lt;&gt;"""")},{filter('Students (Vertical)'!D:D,'Students (Vertical)'!C:C=B82,'Students (Vert"&amp;"ical)'!D:D&lt;&gt;"""");filter('Students (Vertical)'!D:D,'Students (Vertical)'!C:C=E82,'Students (Vertical)'!D:D&lt;&gt;"""")})&gt;1))),"""")"),"Chemistry, PE 10")</f>
        <v>Chemistry, PE 10</v>
      </c>
    </row>
    <row r="83">
      <c r="A83" s="300">
        <v>82.0</v>
      </c>
      <c r="B83" s="45" t="s">
        <v>295</v>
      </c>
      <c r="C83" s="300">
        <v>28058.0</v>
      </c>
      <c r="D83" s="300">
        <v>10.0</v>
      </c>
      <c r="E83" s="45" t="s">
        <v>303</v>
      </c>
      <c r="F83" s="300">
        <v>28053.0</v>
      </c>
      <c r="G83" s="300">
        <v>10.0</v>
      </c>
      <c r="H83" s="45" t="s">
        <v>759</v>
      </c>
      <c r="I83" s="356" t="str">
        <f>IFERROR(__xludf.DUMMYFUNCTION("if(H83=""Must be Together"",iferror(join("", "",unique(filter({filter('Students (Vertical)'!O:O,'Students (Vertical)'!C:C=B83,'Students (Vertical)'!O:O&lt;&gt;"""");filter('Students (Vertical)'!O:O,'Students (Vertical)'!C:C=E83,'Students (Vertical)'!O:O&lt;&gt;"""")}"&amp;",countifs({filter('Students (Vertical)'!O:O,'Students (Vertical)'!C:C=B83,'Students (Vertical)'!O:O&lt;&gt;"""");filter('Students (Vertical)'!O:O,'Students (Vertical)'!C:C=E83,'Students (Vertical)'!O:O&lt;&gt;"""")},{filter('Students (Vertical)'!O:O,'Students (Vertic"&amp;"al)'!C:C=B83,'Students (Vertical)'!O:O&lt;&gt;"""");filter('Students (Vertical)'!O:O,'Students (Vertical)'!C:C=E83,'Students (Vertical)'!O:O&lt;&gt;"""")})&gt;1))),""No shared courses""),"""")"),"")</f>
        <v/>
      </c>
      <c r="J83" s="357" t="str">
        <f>IFERROR(__xludf.DUMMYFUNCTION("if(H83=""Can't be Together"",iferror(join("", "",unique(filter({filter('Students (Vertical)'!O:O,'Students (Vertical)'!C:C=B83,'Students (Vertical)'!O:O&lt;&gt;"""",'Students (Vertical)'!P:P&gt;1);filter('Students (Vertical)'!O:O,'Students (Vertical)'!C:C=E83,'Stu"&amp;"dents (Vertical)'!O:O&lt;&gt;"""",'Students (Vertical)'!P:P&gt;1)},countifs({filter('Students (Vertical)'!O:O,'Students (Vertical)'!C:C=B83,'Students (Vertical)'!O:O&lt;&gt;"""",'Students (Vertical)'!P:P&gt;1);filter('Students (Vertical)'!O:O,'Students (Vertical)'!C:C=E83,"&amp;"'Students (Vertical)'!O:O&lt;&gt;"""",'Students (Vertical)'!P:P&gt;1)},{filter('Students (Vertical)'!O:O,'Students (Vertical)'!C:C=B83,'Students (Vertical)'!O:O&lt;&gt;"""",'Students (Vertical)'!P:P&gt;1);filter('Students (Vertical)'!O:O,'Students (Vertical)'!C:C=E83,'Stud"&amp;"ents (Vertical)'!O:O&lt;&gt;"""",'Students (Vertical)'!P:P&gt;1)})&gt;1))),""""),"""")"),"")</f>
        <v/>
      </c>
      <c r="K83" s="358" t="str">
        <f>IFERROR(__xludf.DUMMYFUNCTION("iferror(join("", "",unique(filter({filter('Students (Vertical)'!D:D,'Students (Vertical)'!C:C=B83,'Students (Vertical)'!D:D&lt;&gt;"""");filter('Students (Vertical)'!D:D,'Students (Vertical)'!C:C=E83,'Students (Vertical)'!D:D&lt;&gt;"""")},countifs({filter('Students "&amp;"(Vertical)'!D:D,'Students (Vertical)'!C:C=B83,'Students (Vertical)'!D:D&lt;&gt;"""");filter('Students (Vertical)'!D:D,'Students (Vertical)'!C:C=E83,'Students (Vertical)'!D:D&lt;&gt;"""")},{filter('Students (Vertical)'!D:D,'Students (Vertical)'!C:C=B83,'Students (Vert"&amp;"ical)'!D:D&lt;&gt;"""");filter('Students (Vertical)'!D:D,'Students (Vertical)'!C:C=E83,'Students (Vertical)'!D:D&lt;&gt;"""")})&gt;1))),"""")"),"AP Seminar, AP Spanish Language and Culture, Chemistry, PE 10, AP Human Geography, Sociales 10, Algebra II")</f>
        <v>AP Seminar, AP Spanish Language and Culture, Chemistry, PE 10, AP Human Geography, Sociales 10, Algebra II</v>
      </c>
    </row>
    <row r="84">
      <c r="A84" s="300">
        <v>83.0</v>
      </c>
      <c r="B84" s="45" t="s">
        <v>415</v>
      </c>
      <c r="C84" s="300">
        <v>27171.0</v>
      </c>
      <c r="D84" s="300">
        <v>11.0</v>
      </c>
      <c r="E84" s="45" t="s">
        <v>426</v>
      </c>
      <c r="F84" s="300">
        <v>27080.0</v>
      </c>
      <c r="G84" s="300">
        <v>11.0</v>
      </c>
      <c r="H84" s="45" t="s">
        <v>760</v>
      </c>
      <c r="I84" s="356" t="str">
        <f>IFERROR(__xludf.DUMMYFUNCTION("if(H84=""Must be Together"",iferror(join("", "",unique(filter({filter('Students (Vertical)'!O:O,'Students (Vertical)'!C:C=B84,'Students (Vertical)'!O:O&lt;&gt;"""");filter('Students (Vertical)'!O:O,'Students (Vertical)'!C:C=E84,'Students (Vertical)'!O:O&lt;&gt;"""")}"&amp;",countifs({filter('Students (Vertical)'!O:O,'Students (Vertical)'!C:C=B84,'Students (Vertical)'!O:O&lt;&gt;"""");filter('Students (Vertical)'!O:O,'Students (Vertical)'!C:C=E84,'Students (Vertical)'!O:O&lt;&gt;"""")},{filter('Students (Vertical)'!O:O,'Students (Vertic"&amp;"al)'!C:C=B84,'Students (Vertical)'!O:O&lt;&gt;"""");filter('Students (Vertical)'!O:O,'Students (Vertical)'!C:C=E84,'Students (Vertical)'!O:O&lt;&gt;"""")})&gt;1))),""No shared courses""),"""")"),"Spanish Film, Art, and Literature-8, Algebra II-3, Physics-2")</f>
        <v>Spanish Film, Art, and Literature-8, Algebra II-3, Physics-2</v>
      </c>
      <c r="J84" s="357" t="str">
        <f>IFERROR(__xludf.DUMMYFUNCTION("if(H84=""Can't be Together"",iferror(join("", "",unique(filter({filter('Students (Vertical)'!O:O,'Students (Vertical)'!C:C=B84,'Students (Vertical)'!O:O&lt;&gt;"""",'Students (Vertical)'!P:P&gt;1);filter('Students (Vertical)'!O:O,'Students (Vertical)'!C:C=E84,'Stu"&amp;"dents (Vertical)'!O:O&lt;&gt;"""",'Students (Vertical)'!P:P&gt;1)},countifs({filter('Students (Vertical)'!O:O,'Students (Vertical)'!C:C=B84,'Students (Vertical)'!O:O&lt;&gt;"""",'Students (Vertical)'!P:P&gt;1);filter('Students (Vertical)'!O:O,'Students (Vertical)'!C:C=E84,"&amp;"'Students (Vertical)'!O:O&lt;&gt;"""",'Students (Vertical)'!P:P&gt;1)},{filter('Students (Vertical)'!O:O,'Students (Vertical)'!C:C=B84,'Students (Vertical)'!O:O&lt;&gt;"""",'Students (Vertical)'!P:P&gt;1);filter('Students (Vertical)'!O:O,'Students (Vertical)'!C:C=E84,'Stud"&amp;"ents (Vertical)'!O:O&lt;&gt;"""",'Students (Vertical)'!P:P&gt;1)})&gt;1))),""""),"""")"),"")</f>
        <v/>
      </c>
      <c r="K84" s="358" t="str">
        <f>IFERROR(__xludf.DUMMYFUNCTION("iferror(join("", "",unique(filter({filter('Students (Vertical)'!D:D,'Students (Vertical)'!C:C=B84,'Students (Vertical)'!D:D&lt;&gt;"""");filter('Students (Vertical)'!D:D,'Students (Vertical)'!C:C=E84,'Students (Vertical)'!D:D&lt;&gt;"""")},countifs({filter('Students "&amp;"(Vertical)'!D:D,'Students (Vertical)'!C:C=B84,'Students (Vertical)'!D:D&lt;&gt;"""");filter('Students (Vertical)'!D:D,'Students (Vertical)'!C:C=E84,'Students (Vertical)'!D:D&lt;&gt;"""")},{filter('Students (Vertical)'!D:D,'Students (Vertical)'!C:C=B84,'Students (Vert"&amp;"ical)'!D:D&lt;&gt;"""");filter('Students (Vertical)'!D:D,'Students (Vertical)'!C:C=E84,'Students (Vertical)'!D:D&lt;&gt;"""")})&gt;1))),"""")"),"Spanish Film, Art, and Literature, Algebra II, Physics, PE 11")</f>
        <v>Spanish Film, Art, and Literature, Algebra II, Physics, PE 11</v>
      </c>
    </row>
    <row r="85">
      <c r="A85" s="300">
        <v>84.0</v>
      </c>
      <c r="B85" s="45" t="s">
        <v>426</v>
      </c>
      <c r="C85" s="300">
        <v>27080.0</v>
      </c>
      <c r="D85" s="300">
        <v>11.0</v>
      </c>
      <c r="E85" s="45" t="s">
        <v>475</v>
      </c>
      <c r="F85" s="300">
        <v>27113.0</v>
      </c>
      <c r="G85" s="300">
        <v>11.0</v>
      </c>
      <c r="H85" s="45" t="s">
        <v>760</v>
      </c>
      <c r="I85" s="356" t="str">
        <f>IFERROR(__xludf.DUMMYFUNCTION("if(H85=""Must be Together"",iferror(join("", "",unique(filter({filter('Students (Vertical)'!O:O,'Students (Vertical)'!C:C=B85,'Students (Vertical)'!O:O&lt;&gt;"""");filter('Students (Vertical)'!O:O,'Students (Vertical)'!C:C=E85,'Students (Vertical)'!O:O&lt;&gt;"""")}"&amp;",countifs({filter('Students (Vertical)'!O:O,'Students (Vertical)'!C:C=B85,'Students (Vertical)'!O:O&lt;&gt;"""");filter('Students (Vertical)'!O:O,'Students (Vertical)'!C:C=E85,'Students (Vertical)'!O:O&lt;&gt;"""")},{filter('Students (Vertical)'!O:O,'Students (Vertic"&amp;"al)'!C:C=B85,'Students (Vertical)'!O:O&lt;&gt;"""");filter('Students (Vertical)'!O:O,'Students (Vertical)'!C:C=E85,'Students (Vertical)'!O:O&lt;&gt;"""")})&gt;1))),""No shared courses""),"""")"),"PE 11-7, Mixed Media Art-6")</f>
        <v>PE 11-7, Mixed Media Art-6</v>
      </c>
      <c r="J85" s="357" t="str">
        <f>IFERROR(__xludf.DUMMYFUNCTION("if(H85=""Can't be Together"",iferror(join("", "",unique(filter({filter('Students (Vertical)'!O:O,'Students (Vertical)'!C:C=B85,'Students (Vertical)'!O:O&lt;&gt;"""",'Students (Vertical)'!P:P&gt;1);filter('Students (Vertical)'!O:O,'Students (Vertical)'!C:C=E85,'Stu"&amp;"dents (Vertical)'!O:O&lt;&gt;"""",'Students (Vertical)'!P:P&gt;1)},countifs({filter('Students (Vertical)'!O:O,'Students (Vertical)'!C:C=B85,'Students (Vertical)'!O:O&lt;&gt;"""",'Students (Vertical)'!P:P&gt;1);filter('Students (Vertical)'!O:O,'Students (Vertical)'!C:C=E85,"&amp;"'Students (Vertical)'!O:O&lt;&gt;"""",'Students (Vertical)'!P:P&gt;1)},{filter('Students (Vertical)'!O:O,'Students (Vertical)'!C:C=B85,'Students (Vertical)'!O:O&lt;&gt;"""",'Students (Vertical)'!P:P&gt;1);filter('Students (Vertical)'!O:O,'Students (Vertical)'!C:C=E85,'Stud"&amp;"ents (Vertical)'!O:O&lt;&gt;"""",'Students (Vertical)'!P:P&gt;1)})&gt;1))),""""),"""")"),"")</f>
        <v/>
      </c>
      <c r="K85" s="358" t="str">
        <f>IFERROR(__xludf.DUMMYFUNCTION("iferror(join("", "",unique(filter({filter('Students (Vertical)'!D:D,'Students (Vertical)'!C:C=B85,'Students (Vertical)'!D:D&lt;&gt;"""");filter('Students (Vertical)'!D:D,'Students (Vertical)'!C:C=E85,'Students (Vertical)'!D:D&lt;&gt;"""")},countifs({filter('Students "&amp;"(Vertical)'!D:D,'Students (Vertical)'!C:C=B85,'Students (Vertical)'!D:D&lt;&gt;"""");filter('Students (Vertical)'!D:D,'Students (Vertical)'!C:C=E85,'Students (Vertical)'!D:D&lt;&gt;"""")},{filter('Students (Vertical)'!D:D,'Students (Vertical)'!C:C=B85,'Students (Vert"&amp;"ical)'!D:D&lt;&gt;"""");filter('Students (Vertical)'!D:D,'Students (Vertical)'!C:C=E85,'Students (Vertical)'!D:D&lt;&gt;"""")})&gt;1))),"""")"),"Spanish Film, Art, and Literature, PE 11, Mixed Media Art")</f>
        <v>Spanish Film, Art, and Literature, PE 11, Mixed Media Art</v>
      </c>
    </row>
    <row r="86">
      <c r="A86" s="300">
        <v>85.0</v>
      </c>
      <c r="B86" s="45" t="s">
        <v>426</v>
      </c>
      <c r="C86" s="300">
        <v>27080.0</v>
      </c>
      <c r="D86" s="300">
        <v>11.0</v>
      </c>
      <c r="E86" s="45" t="s">
        <v>414</v>
      </c>
      <c r="F86" s="300">
        <v>27039.0</v>
      </c>
      <c r="G86" s="300">
        <v>11.0</v>
      </c>
      <c r="H86" s="45" t="s">
        <v>760</v>
      </c>
      <c r="I86" s="356" t="str">
        <f>IFERROR(__xludf.DUMMYFUNCTION("if(H86=""Must be Together"",iferror(join("", "",unique(filter({filter('Students (Vertical)'!O:O,'Students (Vertical)'!C:C=B86,'Students (Vertical)'!O:O&lt;&gt;"""");filter('Students (Vertical)'!O:O,'Students (Vertical)'!C:C=E86,'Students (Vertical)'!O:O&lt;&gt;"""")}"&amp;",countifs({filter('Students (Vertical)'!O:O,'Students (Vertical)'!C:C=B86,'Students (Vertical)'!O:O&lt;&gt;"""");filter('Students (Vertical)'!O:O,'Students (Vertical)'!C:C=E86,'Students (Vertical)'!O:O&lt;&gt;"""")},{filter('Students (Vertical)'!O:O,'Students (Vertic"&amp;"al)'!C:C=B86,'Students (Vertical)'!O:O&lt;&gt;"""");filter('Students (Vertical)'!O:O,'Students (Vertical)'!C:C=E86,'Students (Vertical)'!O:O&lt;&gt;"""")})&gt;1))),""No shared courses""),"""")"),"Spanish Film, Art, and Literature-8, Physics-2")</f>
        <v>Spanish Film, Art, and Literature-8, Physics-2</v>
      </c>
      <c r="J86" s="357" t="str">
        <f>IFERROR(__xludf.DUMMYFUNCTION("if(H86=""Can't be Together"",iferror(join("", "",unique(filter({filter('Students (Vertical)'!O:O,'Students (Vertical)'!C:C=B86,'Students (Vertical)'!O:O&lt;&gt;"""",'Students (Vertical)'!P:P&gt;1);filter('Students (Vertical)'!O:O,'Students (Vertical)'!C:C=E86,'Stu"&amp;"dents (Vertical)'!O:O&lt;&gt;"""",'Students (Vertical)'!P:P&gt;1)},countifs({filter('Students (Vertical)'!O:O,'Students (Vertical)'!C:C=B86,'Students (Vertical)'!O:O&lt;&gt;"""",'Students (Vertical)'!P:P&gt;1);filter('Students (Vertical)'!O:O,'Students (Vertical)'!C:C=E86,"&amp;"'Students (Vertical)'!O:O&lt;&gt;"""",'Students (Vertical)'!P:P&gt;1)},{filter('Students (Vertical)'!O:O,'Students (Vertical)'!C:C=B86,'Students (Vertical)'!O:O&lt;&gt;"""",'Students (Vertical)'!P:P&gt;1);filter('Students (Vertical)'!O:O,'Students (Vertical)'!C:C=E86,'Stud"&amp;"ents (Vertical)'!O:O&lt;&gt;"""",'Students (Vertical)'!P:P&gt;1)})&gt;1))),""""),"""")"),"")</f>
        <v/>
      </c>
      <c r="K86" s="358" t="str">
        <f>IFERROR(__xludf.DUMMYFUNCTION("iferror(join("", "",unique(filter({filter('Students (Vertical)'!D:D,'Students (Vertical)'!C:C=B86,'Students (Vertical)'!D:D&lt;&gt;"""");filter('Students (Vertical)'!D:D,'Students (Vertical)'!C:C=E86,'Students (Vertical)'!D:D&lt;&gt;"""")},countifs({filter('Students "&amp;"(Vertical)'!D:D,'Students (Vertical)'!C:C=B86,'Students (Vertical)'!D:D&lt;&gt;"""");filter('Students (Vertical)'!D:D,'Students (Vertical)'!C:C=E86,'Students (Vertical)'!D:D&lt;&gt;"""")},{filter('Students (Vertical)'!D:D,'Students (Vertical)'!C:C=B86,'Students (Vert"&amp;"ical)'!D:D&lt;&gt;"""");filter('Students (Vertical)'!D:D,'Students (Vertical)'!C:C=E86,'Students (Vertical)'!D:D&lt;&gt;"""")})&gt;1))),"""")"),"Spanish Film, Art, and Literature, Algebra II, Physics, PE 11, AP Psychology")</f>
        <v>Spanish Film, Art, and Literature, Algebra II, Physics, PE 11, AP Psychology</v>
      </c>
    </row>
    <row r="87">
      <c r="A87" s="300">
        <v>86.0</v>
      </c>
      <c r="B87" s="45" t="s">
        <v>426</v>
      </c>
      <c r="C87" s="300">
        <v>27080.0</v>
      </c>
      <c r="D87" s="300">
        <v>11.0</v>
      </c>
      <c r="E87" s="45" t="s">
        <v>459</v>
      </c>
      <c r="F87" s="300">
        <v>27023.0</v>
      </c>
      <c r="G87" s="300">
        <v>11.0</v>
      </c>
      <c r="H87" s="45" t="s">
        <v>760</v>
      </c>
      <c r="I87" s="356" t="str">
        <f>IFERROR(__xludf.DUMMYFUNCTION("if(H87=""Must be Together"",iferror(join("", "",unique(filter({filter('Students (Vertical)'!O:O,'Students (Vertical)'!C:C=B87,'Students (Vertical)'!O:O&lt;&gt;"""");filter('Students (Vertical)'!O:O,'Students (Vertical)'!C:C=E87,'Students (Vertical)'!O:O&lt;&gt;"""")}"&amp;",countifs({filter('Students (Vertical)'!O:O,'Students (Vertical)'!C:C=B87,'Students (Vertical)'!O:O&lt;&gt;"""");filter('Students (Vertical)'!O:O,'Students (Vertical)'!C:C=E87,'Students (Vertical)'!O:O&lt;&gt;"""")},{filter('Students (Vertical)'!O:O,'Students (Vertic"&amp;"al)'!C:C=B87,'Students (Vertical)'!O:O&lt;&gt;"""");filter('Students (Vertical)'!O:O,'Students (Vertical)'!C:C=E87,'Students (Vertical)'!O:O&lt;&gt;"""")})&gt;1))),""No shared courses""),"""")"),"No shared courses")</f>
        <v>No shared courses</v>
      </c>
      <c r="J87" s="357" t="str">
        <f>IFERROR(__xludf.DUMMYFUNCTION("if(H87=""Can't be Together"",iferror(join("", "",unique(filter({filter('Students (Vertical)'!O:O,'Students (Vertical)'!C:C=B87,'Students (Vertical)'!O:O&lt;&gt;"""",'Students (Vertical)'!P:P&gt;1);filter('Students (Vertical)'!O:O,'Students (Vertical)'!C:C=E87,'Stu"&amp;"dents (Vertical)'!O:O&lt;&gt;"""",'Students (Vertical)'!P:P&gt;1)},countifs({filter('Students (Vertical)'!O:O,'Students (Vertical)'!C:C=B87,'Students (Vertical)'!O:O&lt;&gt;"""",'Students (Vertical)'!P:P&gt;1);filter('Students (Vertical)'!O:O,'Students (Vertical)'!C:C=E87,"&amp;"'Students (Vertical)'!O:O&lt;&gt;"""",'Students (Vertical)'!P:P&gt;1)},{filter('Students (Vertical)'!O:O,'Students (Vertical)'!C:C=B87,'Students (Vertical)'!O:O&lt;&gt;"""",'Students (Vertical)'!P:P&gt;1);filter('Students (Vertical)'!O:O,'Students (Vertical)'!C:C=E87,'Stud"&amp;"ents (Vertical)'!O:O&lt;&gt;"""",'Students (Vertical)'!P:P&gt;1)})&gt;1))),""""),"""")"),"")</f>
        <v/>
      </c>
      <c r="K87" s="358" t="str">
        <f>IFERROR(__xludf.DUMMYFUNCTION("iferror(join("", "",unique(filter({filter('Students (Vertical)'!D:D,'Students (Vertical)'!C:C=B87,'Students (Vertical)'!D:D&lt;&gt;"""");filter('Students (Vertical)'!D:D,'Students (Vertical)'!C:C=E87,'Students (Vertical)'!D:D&lt;&gt;"""")},countifs({filter('Students "&amp;"(Vertical)'!D:D,'Students (Vertical)'!C:C=B87,'Students (Vertical)'!D:D&lt;&gt;"""");filter('Students (Vertical)'!D:D,'Students (Vertical)'!C:C=E87,'Students (Vertical)'!D:D&lt;&gt;"""")},{filter('Students (Vertical)'!D:D,'Students (Vertical)'!C:C=B87,'Students (Vert"&amp;"ical)'!D:D&lt;&gt;"""");filter('Students (Vertical)'!D:D,'Students (Vertical)'!C:C=E87,'Students (Vertical)'!D:D&lt;&gt;"""")})&gt;1))),"""")"),"Art of Fiction Higher Level, PE 11")</f>
        <v>Art of Fiction Higher Level, PE 11</v>
      </c>
    </row>
    <row r="88">
      <c r="A88" s="300">
        <v>87.0</v>
      </c>
      <c r="B88" s="45" t="s">
        <v>426</v>
      </c>
      <c r="C88" s="300">
        <v>27080.0</v>
      </c>
      <c r="D88" s="300">
        <v>11.0</v>
      </c>
      <c r="E88" s="45" t="s">
        <v>482</v>
      </c>
      <c r="F88" s="300">
        <v>26012.0</v>
      </c>
      <c r="G88" s="300">
        <v>11.0</v>
      </c>
      <c r="H88" s="45" t="s">
        <v>760</v>
      </c>
      <c r="I88" s="356" t="str">
        <f>IFERROR(__xludf.DUMMYFUNCTION("if(H88=""Must be Together"",iferror(join("", "",unique(filter({filter('Students (Vertical)'!O:O,'Students (Vertical)'!C:C=B88,'Students (Vertical)'!O:O&lt;&gt;"""");filter('Students (Vertical)'!O:O,'Students (Vertical)'!C:C=E88,'Students (Vertical)'!O:O&lt;&gt;"""")}"&amp;",countifs({filter('Students (Vertical)'!O:O,'Students (Vertical)'!C:C=B88,'Students (Vertical)'!O:O&lt;&gt;"""");filter('Students (Vertical)'!O:O,'Students (Vertical)'!C:C=E88,'Students (Vertical)'!O:O&lt;&gt;"""")},{filter('Students (Vertical)'!O:O,'Students (Vertic"&amp;"al)'!C:C=B88,'Students (Vertical)'!O:O&lt;&gt;"""");filter('Students (Vertical)'!O:O,'Students (Vertical)'!C:C=E88,'Students (Vertical)'!O:O&lt;&gt;"""")})&gt;1))),""No shared courses""),"""")"),"PE 11-7, AP Psychology-4")</f>
        <v>PE 11-7, AP Psychology-4</v>
      </c>
      <c r="J88" s="357" t="str">
        <f>IFERROR(__xludf.DUMMYFUNCTION("if(H88=""Can't be Together"",iferror(join("", "",unique(filter({filter('Students (Vertical)'!O:O,'Students (Vertical)'!C:C=B88,'Students (Vertical)'!O:O&lt;&gt;"""",'Students (Vertical)'!P:P&gt;1);filter('Students (Vertical)'!O:O,'Students (Vertical)'!C:C=E88,'Stu"&amp;"dents (Vertical)'!O:O&lt;&gt;"""",'Students (Vertical)'!P:P&gt;1)},countifs({filter('Students (Vertical)'!O:O,'Students (Vertical)'!C:C=B88,'Students (Vertical)'!O:O&lt;&gt;"""",'Students (Vertical)'!P:P&gt;1);filter('Students (Vertical)'!O:O,'Students (Vertical)'!C:C=E88,"&amp;"'Students (Vertical)'!O:O&lt;&gt;"""",'Students (Vertical)'!P:P&gt;1)},{filter('Students (Vertical)'!O:O,'Students (Vertical)'!C:C=B88,'Students (Vertical)'!O:O&lt;&gt;"""",'Students (Vertical)'!P:P&gt;1);filter('Students (Vertical)'!O:O,'Students (Vertical)'!C:C=E88,'Stud"&amp;"ents (Vertical)'!O:O&lt;&gt;"""",'Students (Vertical)'!P:P&gt;1)})&gt;1))),""""),"""")"),"")</f>
        <v/>
      </c>
      <c r="K88" s="358" t="str">
        <f>IFERROR(__xludf.DUMMYFUNCTION("iferror(join("", "",unique(filter({filter('Students (Vertical)'!D:D,'Students (Vertical)'!C:C=B88,'Students (Vertical)'!D:D&lt;&gt;"""");filter('Students (Vertical)'!D:D,'Students (Vertical)'!C:C=E88,'Students (Vertical)'!D:D&lt;&gt;"""")},countifs({filter('Students "&amp;"(Vertical)'!D:D,'Students (Vertical)'!C:C=B88,'Students (Vertical)'!D:D&lt;&gt;"""");filter('Students (Vertical)'!D:D,'Students (Vertical)'!C:C=E88,'Students (Vertical)'!D:D&lt;&gt;"""")},{filter('Students (Vertical)'!D:D,'Students (Vertical)'!C:C=B88,'Students (Vert"&amp;"ical)'!D:D&lt;&gt;"""");filter('Students (Vertical)'!D:D,'Students (Vertical)'!C:C=E88,'Students (Vertical)'!D:D&lt;&gt;"""")})&gt;1))),"""")"),"Art of Fiction Higher Level, Algebra II, Physics, PE 11, AP Psychology")</f>
        <v>Art of Fiction Higher Level, Algebra II, Physics, PE 11, AP Psychology</v>
      </c>
    </row>
    <row r="89">
      <c r="A89" s="300">
        <v>88.0</v>
      </c>
      <c r="B89" s="45" t="s">
        <v>526</v>
      </c>
      <c r="C89" s="300">
        <v>27109.0</v>
      </c>
      <c r="D89" s="300">
        <v>11.0</v>
      </c>
      <c r="E89" s="45" t="s">
        <v>483</v>
      </c>
      <c r="F89" s="300">
        <v>27022.0</v>
      </c>
      <c r="G89" s="300">
        <v>11.0</v>
      </c>
      <c r="H89" s="45" t="s">
        <v>760</v>
      </c>
      <c r="I89" s="356" t="str">
        <f>IFERROR(__xludf.DUMMYFUNCTION("if(H89=""Must be Together"",iferror(join("", "",unique(filter({filter('Students (Vertical)'!O:O,'Students (Vertical)'!C:C=B89,'Students (Vertical)'!O:O&lt;&gt;"""");filter('Students (Vertical)'!O:O,'Students (Vertical)'!C:C=E89,'Students (Vertical)'!O:O&lt;&gt;"""")}"&amp;",countifs({filter('Students (Vertical)'!O:O,'Students (Vertical)'!C:C=B89,'Students (Vertical)'!O:O&lt;&gt;"""");filter('Students (Vertical)'!O:O,'Students (Vertical)'!C:C=E89,'Students (Vertical)'!O:O&lt;&gt;"""")},{filter('Students (Vertical)'!O:O,'Students (Vertic"&amp;"al)'!C:C=B89,'Students (Vertical)'!O:O&lt;&gt;"""");filter('Students (Vertical)'!O:O,'Students (Vertical)'!C:C=E89,'Students (Vertical)'!O:O&lt;&gt;"""")})&gt;1))),""No shared courses""),"""")"),"No shared courses")</f>
        <v>No shared courses</v>
      </c>
      <c r="J89" s="357" t="str">
        <f>IFERROR(__xludf.DUMMYFUNCTION("if(H89=""Can't be Together"",iferror(join("", "",unique(filter({filter('Students (Vertical)'!O:O,'Students (Vertical)'!C:C=B89,'Students (Vertical)'!O:O&lt;&gt;"""",'Students (Vertical)'!P:P&gt;1);filter('Students (Vertical)'!O:O,'Students (Vertical)'!C:C=E89,'Stu"&amp;"dents (Vertical)'!O:O&lt;&gt;"""",'Students (Vertical)'!P:P&gt;1)},countifs({filter('Students (Vertical)'!O:O,'Students (Vertical)'!C:C=B89,'Students (Vertical)'!O:O&lt;&gt;"""",'Students (Vertical)'!P:P&gt;1);filter('Students (Vertical)'!O:O,'Students (Vertical)'!C:C=E89,"&amp;"'Students (Vertical)'!O:O&lt;&gt;"""",'Students (Vertical)'!P:P&gt;1)},{filter('Students (Vertical)'!O:O,'Students (Vertical)'!C:C=B89,'Students (Vertical)'!O:O&lt;&gt;"""",'Students (Vertical)'!P:P&gt;1);filter('Students (Vertical)'!O:O,'Students (Vertical)'!C:C=E89,'Stud"&amp;"ents (Vertical)'!O:O&lt;&gt;"""",'Students (Vertical)'!P:P&gt;1)})&gt;1))),""""),"""")"),"")</f>
        <v/>
      </c>
      <c r="K89" s="358" t="str">
        <f>IFERROR(__xludf.DUMMYFUNCTION("iferror(join("", "",unique(filter({filter('Students (Vertical)'!D:D,'Students (Vertical)'!C:C=B89,'Students (Vertical)'!D:D&lt;&gt;"""");filter('Students (Vertical)'!D:D,'Students (Vertical)'!C:C=E89,'Students (Vertical)'!D:D&lt;&gt;"""")},countifs({filter('Students "&amp;"(Vertical)'!D:D,'Students (Vertical)'!C:C=B89,'Students (Vertical)'!D:D&lt;&gt;"""");filter('Students (Vertical)'!D:D,'Students (Vertical)'!C:C=E89,'Students (Vertical)'!D:D&lt;&gt;"""")},{filter('Students (Vertical)'!D:D,'Students (Vertical)'!C:C=B89,'Students (Vert"&amp;"ical)'!D:D&lt;&gt;"""");filter('Students (Vertical)'!D:D,'Students (Vertical)'!C:C=E89,'Students (Vertical)'!D:D&lt;&gt;"""")})&gt;1))),"""")"),"PE 11")</f>
        <v>PE 11</v>
      </c>
    </row>
    <row r="90">
      <c r="A90" s="355">
        <v>89.0</v>
      </c>
      <c r="B90" s="45" t="s">
        <v>360</v>
      </c>
      <c r="C90" s="300">
        <v>28057.0</v>
      </c>
      <c r="D90" s="300">
        <v>10.0</v>
      </c>
      <c r="E90" s="45" t="s">
        <v>462</v>
      </c>
      <c r="F90" s="300">
        <v>27063.0</v>
      </c>
      <c r="G90" s="300">
        <v>11.0</v>
      </c>
      <c r="H90" s="45" t="s">
        <v>760</v>
      </c>
      <c r="I90" s="356" t="str">
        <f>IFERROR(__xludf.DUMMYFUNCTION("if(H90=""Must be Together"",iferror(join("", "",unique(filter({filter('Students (Vertical)'!O:O,'Students (Vertical)'!C:C=B90,'Students (Vertical)'!O:O&lt;&gt;"""");filter('Students (Vertical)'!O:O,'Students (Vertical)'!C:C=E90,'Students (Vertical)'!O:O&lt;&gt;"""")}"&amp;",countifs({filter('Students (Vertical)'!O:O,'Students (Vertical)'!C:C=B90,'Students (Vertical)'!O:O&lt;&gt;"""");filter('Students (Vertical)'!O:O,'Students (Vertical)'!C:C=E90,'Students (Vertical)'!O:O&lt;&gt;"""")},{filter('Students (Vertical)'!O:O,'Students (Vertic"&amp;"al)'!C:C=B90,'Students (Vertical)'!O:O&lt;&gt;"""");filter('Students (Vertical)'!O:O,'Students (Vertical)'!C:C=E90,'Students (Vertical)'!O:O&lt;&gt;"""")})&gt;1))),""No shared courses""),"""")"),"No shared courses")</f>
        <v>No shared courses</v>
      </c>
      <c r="J90" s="357" t="str">
        <f>IFERROR(__xludf.DUMMYFUNCTION("if(H90=""Can't be Together"",iferror(join("", "",unique(filter({filter('Students (Vertical)'!O:O,'Students (Vertical)'!C:C=B90,'Students (Vertical)'!O:O&lt;&gt;"""",'Students (Vertical)'!P:P&gt;1);filter('Students (Vertical)'!O:O,'Students (Vertical)'!C:C=E90,'Stu"&amp;"dents (Vertical)'!O:O&lt;&gt;"""",'Students (Vertical)'!P:P&gt;1)},countifs({filter('Students (Vertical)'!O:O,'Students (Vertical)'!C:C=B90,'Students (Vertical)'!O:O&lt;&gt;"""",'Students (Vertical)'!P:P&gt;1);filter('Students (Vertical)'!O:O,'Students (Vertical)'!C:C=E90,"&amp;"'Students (Vertical)'!O:O&lt;&gt;"""",'Students (Vertical)'!P:P&gt;1)},{filter('Students (Vertical)'!O:O,'Students (Vertical)'!C:C=B90,'Students (Vertical)'!O:O&lt;&gt;"""",'Students (Vertical)'!P:P&gt;1);filter('Students (Vertical)'!O:O,'Students (Vertical)'!C:C=E90,'Stud"&amp;"ents (Vertical)'!O:O&lt;&gt;"""",'Students (Vertical)'!P:P&gt;1)})&gt;1))),""""),"""")"),"")</f>
        <v/>
      </c>
      <c r="K90" s="358" t="str">
        <f>IFERROR(__xludf.DUMMYFUNCTION("iferror(join("", "",unique(filter({filter('Students (Vertical)'!D:D,'Students (Vertical)'!C:C=B90,'Students (Vertical)'!D:D&lt;&gt;"""");filter('Students (Vertical)'!D:D,'Students (Vertical)'!C:C=E90,'Students (Vertical)'!D:D&lt;&gt;"""")},countifs({filter('Students "&amp;"(Vertical)'!D:D,'Students (Vertical)'!C:C=B90,'Students (Vertical)'!D:D&lt;&gt;"""");filter('Students (Vertical)'!D:D,'Students (Vertical)'!C:C=E90,'Students (Vertical)'!D:D&lt;&gt;"""")},{filter('Students (Vertical)'!D:D,'Students (Vertical)'!C:C=B90,'Students (Vert"&amp;"ical)'!D:D&lt;&gt;"""");filter('Students (Vertical)'!D:D,'Students (Vertical)'!C:C=E90,'Students (Vertical)'!D:D&lt;&gt;"""")})&gt;1))),"""")"),"Algebra II")</f>
        <v>Algebra II</v>
      </c>
    </row>
    <row r="91">
      <c r="A91" s="300">
        <v>90.0</v>
      </c>
      <c r="B91" s="45" t="s">
        <v>414</v>
      </c>
      <c r="C91" s="300">
        <v>27039.0</v>
      </c>
      <c r="D91" s="300">
        <v>11.0</v>
      </c>
      <c r="E91" s="45" t="s">
        <v>468</v>
      </c>
      <c r="F91" s="300">
        <v>27096.0</v>
      </c>
      <c r="G91" s="300">
        <v>11.0</v>
      </c>
      <c r="H91" s="45" t="s">
        <v>760</v>
      </c>
      <c r="I91" s="356" t="str">
        <f>IFERROR(__xludf.DUMMYFUNCTION("if(H91=""Must be Together"",iferror(join("", "",unique(filter({filter('Students (Vertical)'!O:O,'Students (Vertical)'!C:C=B91,'Students (Vertical)'!O:O&lt;&gt;"""");filter('Students (Vertical)'!O:O,'Students (Vertical)'!C:C=E91,'Students (Vertical)'!O:O&lt;&gt;"""")}"&amp;",countifs({filter('Students (Vertical)'!O:O,'Students (Vertical)'!C:C=B91,'Students (Vertical)'!O:O&lt;&gt;"""");filter('Students (Vertical)'!O:O,'Students (Vertical)'!C:C=E91,'Students (Vertical)'!O:O&lt;&gt;"""")},{filter('Students (Vertical)'!O:O,'Students (Vertic"&amp;"al)'!C:C=B91,'Students (Vertical)'!O:O&lt;&gt;"""");filter('Students (Vertical)'!O:O,'Students (Vertical)'!C:C=E91,'Students (Vertical)'!O:O&lt;&gt;"""")})&gt;1))),""No shared courses""),"""")"),"No shared courses")</f>
        <v>No shared courses</v>
      </c>
      <c r="J91" s="357" t="str">
        <f>IFERROR(__xludf.DUMMYFUNCTION("if(H91=""Can't be Together"",iferror(join("", "",unique(filter({filter('Students (Vertical)'!O:O,'Students (Vertical)'!C:C=B91,'Students (Vertical)'!O:O&lt;&gt;"""",'Students (Vertical)'!P:P&gt;1);filter('Students (Vertical)'!O:O,'Students (Vertical)'!C:C=E91,'Stu"&amp;"dents (Vertical)'!O:O&lt;&gt;"""",'Students (Vertical)'!P:P&gt;1)},countifs({filter('Students (Vertical)'!O:O,'Students (Vertical)'!C:C=B91,'Students (Vertical)'!O:O&lt;&gt;"""",'Students (Vertical)'!P:P&gt;1);filter('Students (Vertical)'!O:O,'Students (Vertical)'!C:C=E91,"&amp;"'Students (Vertical)'!O:O&lt;&gt;"""",'Students (Vertical)'!P:P&gt;1)},{filter('Students (Vertical)'!O:O,'Students (Vertical)'!C:C=B91,'Students (Vertical)'!O:O&lt;&gt;"""",'Students (Vertical)'!P:P&gt;1);filter('Students (Vertical)'!O:O,'Students (Vertical)'!C:C=E91,'Stud"&amp;"ents (Vertical)'!O:O&lt;&gt;"""",'Students (Vertical)'!P:P&gt;1)})&gt;1))),""""),"""")"),"")</f>
        <v/>
      </c>
      <c r="K91" s="358" t="str">
        <f>IFERROR(__xludf.DUMMYFUNCTION("iferror(join("", "",unique(filter({filter('Students (Vertical)'!D:D,'Students (Vertical)'!C:C=B91,'Students (Vertical)'!D:D&lt;&gt;"""");filter('Students (Vertical)'!D:D,'Students (Vertical)'!C:C=E91,'Students (Vertical)'!D:D&lt;&gt;"""")},countifs({filter('Students "&amp;"(Vertical)'!D:D,'Students (Vertical)'!C:C=B91,'Students (Vertical)'!D:D&lt;&gt;"""");filter('Students (Vertical)'!D:D,'Students (Vertical)'!C:C=E91,'Students (Vertical)'!D:D&lt;&gt;"""")},{filter('Students (Vertical)'!D:D,'Students (Vertical)'!C:C=B91,'Students (Vert"&amp;"ical)'!D:D&lt;&gt;"""");filter('Students (Vertical)'!D:D,'Students (Vertical)'!C:C=E91,'Students (Vertical)'!D:D&lt;&gt;"""")})&gt;1))),"""")"),"Spanish Film, Art, and Literature, Algebra II, Physics, PE 11")</f>
        <v>Spanish Film, Art, and Literature, Algebra II, Physics, PE 11</v>
      </c>
    </row>
    <row r="92">
      <c r="A92" s="300">
        <v>91.0</v>
      </c>
      <c r="B92" s="45" t="s">
        <v>414</v>
      </c>
      <c r="C92" s="300">
        <v>27039.0</v>
      </c>
      <c r="D92" s="300">
        <v>11.0</v>
      </c>
      <c r="E92" s="45" t="s">
        <v>513</v>
      </c>
      <c r="F92" s="300">
        <v>27032.0</v>
      </c>
      <c r="G92" s="300">
        <v>11.0</v>
      </c>
      <c r="H92" s="45" t="s">
        <v>759</v>
      </c>
      <c r="I92" s="356" t="str">
        <f>IFERROR(__xludf.DUMMYFUNCTION("if(H92=""Must be Together"",iferror(join("", "",unique(filter({filter('Students (Vertical)'!O:O,'Students (Vertical)'!C:C=B92,'Students (Vertical)'!O:O&lt;&gt;"""");filter('Students (Vertical)'!O:O,'Students (Vertical)'!C:C=E92,'Students (Vertical)'!O:O&lt;&gt;"""")}"&amp;",countifs({filter('Students (Vertical)'!O:O,'Students (Vertical)'!C:C=B92,'Students (Vertical)'!O:O&lt;&gt;"""");filter('Students (Vertical)'!O:O,'Students (Vertical)'!C:C=E92,'Students (Vertical)'!O:O&lt;&gt;"""")},{filter('Students (Vertical)'!O:O,'Students (Vertic"&amp;"al)'!C:C=B92,'Students (Vertical)'!O:O&lt;&gt;"""");filter('Students (Vertical)'!O:O,'Students (Vertical)'!C:C=E92,'Students (Vertical)'!O:O&lt;&gt;"""")})&gt;1))),""No shared courses""),"""")"),"")</f>
        <v/>
      </c>
      <c r="J92" s="357" t="str">
        <f>IFERROR(__xludf.DUMMYFUNCTION("if(H92=""Can't be Together"",iferror(join("", "",unique(filter({filter('Students (Vertical)'!O:O,'Students (Vertical)'!C:C=B92,'Students (Vertical)'!O:O&lt;&gt;"""",'Students (Vertical)'!P:P&gt;1);filter('Students (Vertical)'!O:O,'Students (Vertical)'!C:C=E92,'Stu"&amp;"dents (Vertical)'!O:O&lt;&gt;"""",'Students (Vertical)'!P:P&gt;1)},countifs({filter('Students (Vertical)'!O:O,'Students (Vertical)'!C:C=B92,'Students (Vertical)'!O:O&lt;&gt;"""",'Students (Vertical)'!P:P&gt;1);filter('Students (Vertical)'!O:O,'Students (Vertical)'!C:C=E92,"&amp;"'Students (Vertical)'!O:O&lt;&gt;"""",'Students (Vertical)'!P:P&gt;1)},{filter('Students (Vertical)'!O:O,'Students (Vertical)'!C:C=B92,'Students (Vertical)'!O:O&lt;&gt;"""",'Students (Vertical)'!P:P&gt;1);filter('Students (Vertical)'!O:O,'Students (Vertical)'!C:C=E92,'Stud"&amp;"ents (Vertical)'!O:O&lt;&gt;"""",'Students (Vertical)'!P:P&gt;1)})&gt;1))),""""),"""")"),"")</f>
        <v/>
      </c>
      <c r="K92" s="358" t="str">
        <f>IFERROR(__xludf.DUMMYFUNCTION("iferror(join("", "",unique(filter({filter('Students (Vertical)'!D:D,'Students (Vertical)'!C:C=B92,'Students (Vertical)'!D:D&lt;&gt;"""");filter('Students (Vertical)'!D:D,'Students (Vertical)'!C:C=E92,'Students (Vertical)'!D:D&lt;&gt;"""")},countifs({filter('Students "&amp;"(Vertical)'!D:D,'Students (Vertical)'!C:C=B92,'Students (Vertical)'!D:D&lt;&gt;"""");filter('Students (Vertical)'!D:D,'Students (Vertical)'!C:C=E92,'Students (Vertical)'!D:D&lt;&gt;"""")},{filter('Students (Vertical)'!D:D,'Students (Vertical)'!C:C=B92,'Students (Vert"&amp;"ical)'!D:D&lt;&gt;"""");filter('Students (Vertical)'!D:D,'Students (Vertical)'!C:C=E92,'Students (Vertical)'!D:D&lt;&gt;"""")})&gt;1))),"""")"),"Algebra II, Physics, PE 11, Painting I, AP World History")</f>
        <v>Algebra II, Physics, PE 11, Painting I, AP World History</v>
      </c>
    </row>
    <row r="93">
      <c r="A93" s="300">
        <v>92.0</v>
      </c>
      <c r="B93" s="45" t="s">
        <v>534</v>
      </c>
      <c r="C93" s="300">
        <v>26165.0</v>
      </c>
      <c r="D93" s="300">
        <v>12.0</v>
      </c>
      <c r="E93" s="45" t="s">
        <v>597</v>
      </c>
      <c r="F93" s="300">
        <v>26164.0</v>
      </c>
      <c r="G93" s="300">
        <v>12.0</v>
      </c>
      <c r="H93" s="45" t="s">
        <v>760</v>
      </c>
      <c r="I93" s="356" t="str">
        <f>IFERROR(__xludf.DUMMYFUNCTION("if(H93=""Must be Together"",iferror(join("", "",unique(filter({filter('Students (Vertical)'!O:O,'Students (Vertical)'!C:C=B93,'Students (Vertical)'!O:O&lt;&gt;"""");filter('Students (Vertical)'!O:O,'Students (Vertical)'!C:C=E93,'Students (Vertical)'!O:O&lt;&gt;"""")}"&amp;",countifs({filter('Students (Vertical)'!O:O,'Students (Vertical)'!C:C=B93,'Students (Vertical)'!O:O&lt;&gt;"""");filter('Students (Vertical)'!O:O,'Students (Vertical)'!C:C=E93,'Students (Vertical)'!O:O&lt;&gt;"""")},{filter('Students (Vertical)'!O:O,'Students (Vertic"&amp;"al)'!C:C=B93,'Students (Vertical)'!O:O&lt;&gt;"""");filter('Students (Vertical)'!O:O,'Students (Vertical)'!C:C=E93,'Students (Vertical)'!O:O&lt;&gt;"""")})&gt;1))),""No shared courses""),"""")"),"Journalism Higher Level-3, Environmental Science-2, PE 12-5, AP Psychology-4")</f>
        <v>Journalism Higher Level-3, Environmental Science-2, PE 12-5, AP Psychology-4</v>
      </c>
      <c r="J93" s="357" t="str">
        <f>IFERROR(__xludf.DUMMYFUNCTION("if(H93=""Can't be Together"",iferror(join("", "",unique(filter({filter('Students (Vertical)'!O:O,'Students (Vertical)'!C:C=B93,'Students (Vertical)'!O:O&lt;&gt;"""",'Students (Vertical)'!P:P&gt;1);filter('Students (Vertical)'!O:O,'Students (Vertical)'!C:C=E93,'Stu"&amp;"dents (Vertical)'!O:O&lt;&gt;"""",'Students (Vertical)'!P:P&gt;1)},countifs({filter('Students (Vertical)'!O:O,'Students (Vertical)'!C:C=B93,'Students (Vertical)'!O:O&lt;&gt;"""",'Students (Vertical)'!P:P&gt;1);filter('Students (Vertical)'!O:O,'Students (Vertical)'!C:C=E93,"&amp;"'Students (Vertical)'!O:O&lt;&gt;"""",'Students (Vertical)'!P:P&gt;1)},{filter('Students (Vertical)'!O:O,'Students (Vertical)'!C:C=B93,'Students (Vertical)'!O:O&lt;&gt;"""",'Students (Vertical)'!P:P&gt;1);filter('Students (Vertical)'!O:O,'Students (Vertical)'!C:C=E93,'Stud"&amp;"ents (Vertical)'!O:O&lt;&gt;"""",'Students (Vertical)'!P:P&gt;1)})&gt;1))),""""),"""")"),"")</f>
        <v/>
      </c>
      <c r="K93" s="358" t="str">
        <f>IFERROR(__xludf.DUMMYFUNCTION("iferror(join("", "",unique(filter({filter('Students (Vertical)'!D:D,'Students (Vertical)'!C:C=B93,'Students (Vertical)'!D:D&lt;&gt;"""");filter('Students (Vertical)'!D:D,'Students (Vertical)'!C:C=E93,'Students (Vertical)'!D:D&lt;&gt;"""")},countifs({filter('Students "&amp;"(Vertical)'!D:D,'Students (Vertical)'!C:C=B93,'Students (Vertical)'!D:D&lt;&gt;"""");filter('Students (Vertical)'!D:D,'Students (Vertical)'!C:C=E93,'Students (Vertical)'!D:D&lt;&gt;"""")},{filter('Students (Vertical)'!D:D,'Students (Vertical)'!C:C=B93,'Students (Vert"&amp;"ical)'!D:D&lt;&gt;"""");filter('Students (Vertical)'!D:D,'Students (Vertical)'!C:C=E93,'Students (Vertical)'!D:D&lt;&gt;"""")})&gt;1))),"""")"),"Art of Fiction Higher Level, Journalism Higher Level, Environmental Science, PE 12, ISC, AP Psychology")</f>
        <v>Art of Fiction Higher Level, Journalism Higher Level, Environmental Science, PE 12, ISC, AP Psychology</v>
      </c>
    </row>
    <row r="94">
      <c r="A94" s="300">
        <v>93.0</v>
      </c>
      <c r="B94" s="45" t="s">
        <v>540</v>
      </c>
      <c r="C94" s="300">
        <v>26127.0</v>
      </c>
      <c r="D94" s="300">
        <v>12.0</v>
      </c>
      <c r="E94" s="45" t="s">
        <v>543</v>
      </c>
      <c r="F94" s="300">
        <v>26081.0</v>
      </c>
      <c r="G94" s="300">
        <v>12.0</v>
      </c>
      <c r="H94" s="45" t="s">
        <v>760</v>
      </c>
      <c r="I94" s="356" t="str">
        <f>IFERROR(__xludf.DUMMYFUNCTION("if(H94=""Must be Together"",iferror(join("", "",unique(filter({filter('Students (Vertical)'!O:O,'Students (Vertical)'!C:C=B94,'Students (Vertical)'!O:O&lt;&gt;"""");filter('Students (Vertical)'!O:O,'Students (Vertical)'!C:C=E94,'Students (Vertical)'!O:O&lt;&gt;"""")}"&amp;",countifs({filter('Students (Vertical)'!O:O,'Students (Vertical)'!C:C=B94,'Students (Vertical)'!O:O&lt;&gt;"""");filter('Students (Vertical)'!O:O,'Students (Vertical)'!C:C=E94,'Students (Vertical)'!O:O&lt;&gt;"""")},{filter('Students (Vertical)'!O:O,'Students (Vertic"&amp;"al)'!C:C=B94,'Students (Vertical)'!O:O&lt;&gt;"""");filter('Students (Vertical)'!O:O,'Students (Vertical)'!C:C=E94,'Students (Vertical)'!O:O&lt;&gt;"""")})&gt;1))),""No shared courses""),"""")"),"Art of Fiction Higher Level-8, Environmental Science-2")</f>
        <v>Art of Fiction Higher Level-8, Environmental Science-2</v>
      </c>
      <c r="J94" s="357" t="str">
        <f>IFERROR(__xludf.DUMMYFUNCTION("if(H94=""Can't be Together"",iferror(join("", "",unique(filter({filter('Students (Vertical)'!O:O,'Students (Vertical)'!C:C=B94,'Students (Vertical)'!O:O&lt;&gt;"""",'Students (Vertical)'!P:P&gt;1);filter('Students (Vertical)'!O:O,'Students (Vertical)'!C:C=E94,'Stu"&amp;"dents (Vertical)'!O:O&lt;&gt;"""",'Students (Vertical)'!P:P&gt;1)},countifs({filter('Students (Vertical)'!O:O,'Students (Vertical)'!C:C=B94,'Students (Vertical)'!O:O&lt;&gt;"""",'Students (Vertical)'!P:P&gt;1);filter('Students (Vertical)'!O:O,'Students (Vertical)'!C:C=E94,"&amp;"'Students (Vertical)'!O:O&lt;&gt;"""",'Students (Vertical)'!P:P&gt;1)},{filter('Students (Vertical)'!O:O,'Students (Vertical)'!C:C=B94,'Students (Vertical)'!O:O&lt;&gt;"""",'Students (Vertical)'!P:P&gt;1);filter('Students (Vertical)'!O:O,'Students (Vertical)'!C:C=E94,'Stud"&amp;"ents (Vertical)'!O:O&lt;&gt;"""",'Students (Vertical)'!P:P&gt;1)})&gt;1))),""""),"""")"),"")</f>
        <v/>
      </c>
      <c r="K94" s="358" t="str">
        <f>IFERROR(__xludf.DUMMYFUNCTION("iferror(join("", "",unique(filter({filter('Students (Vertical)'!D:D,'Students (Vertical)'!C:C=B94,'Students (Vertical)'!D:D&lt;&gt;"""");filter('Students (Vertical)'!D:D,'Students (Vertical)'!C:C=E94,'Students (Vertical)'!D:D&lt;&gt;"""")},countifs({filter('Students "&amp;"(Vertical)'!D:D,'Students (Vertical)'!C:C=B94,'Students (Vertical)'!D:D&lt;&gt;"""");filter('Students (Vertical)'!D:D,'Students (Vertical)'!C:C=E94,'Students (Vertical)'!D:D&lt;&gt;"""")},{filter('Students (Vertical)'!D:D,'Students (Vertical)'!C:C=B94,'Students (Vert"&amp;"ical)'!D:D&lt;&gt;"""");filter('Students (Vertical)'!D:D,'Students (Vertical)'!C:C=E94,'Students (Vertical)'!D:D&lt;&gt;"""")})&gt;1))),"""")"),"Art of Fiction Higher Level, Spanish and Literature 12, Calculus, Environmental Science, PE 12, ISC")</f>
        <v>Art of Fiction Higher Level, Spanish and Literature 12, Calculus, Environmental Science, PE 12, ISC</v>
      </c>
    </row>
    <row r="95">
      <c r="A95" s="300">
        <v>94.0</v>
      </c>
      <c r="B95" s="45" t="s">
        <v>509</v>
      </c>
      <c r="C95" s="300">
        <v>27027.0</v>
      </c>
      <c r="D95" s="300">
        <v>11.0</v>
      </c>
      <c r="E95" s="45" t="s">
        <v>529</v>
      </c>
      <c r="F95" s="300">
        <v>27164.0</v>
      </c>
      <c r="G95" s="300">
        <v>11.0</v>
      </c>
      <c r="H95" s="45" t="s">
        <v>759</v>
      </c>
      <c r="I95" s="356" t="str">
        <f>IFERROR(__xludf.DUMMYFUNCTION("if(H95=""Must be Together"",iferror(join("", "",unique(filter({filter('Students (Vertical)'!O:O,'Students (Vertical)'!C:C=B95,'Students (Vertical)'!O:O&lt;&gt;"""");filter('Students (Vertical)'!O:O,'Students (Vertical)'!C:C=E95,'Students (Vertical)'!O:O&lt;&gt;"""")}"&amp;",countifs({filter('Students (Vertical)'!O:O,'Students (Vertical)'!C:C=B95,'Students (Vertical)'!O:O&lt;&gt;"""");filter('Students (Vertical)'!O:O,'Students (Vertical)'!C:C=E95,'Students (Vertical)'!O:O&lt;&gt;"""")},{filter('Students (Vertical)'!O:O,'Students (Vertic"&amp;"al)'!C:C=B95,'Students (Vertical)'!O:O&lt;&gt;"""");filter('Students (Vertical)'!O:O,'Students (Vertical)'!C:C=E95,'Students (Vertical)'!O:O&lt;&gt;"""")})&gt;1))),""No shared courses""),"""")"),"")</f>
        <v/>
      </c>
      <c r="J95" s="357" t="str">
        <f>IFERROR(__xludf.DUMMYFUNCTION("if(H95=""Can't be Together"",iferror(join("", "",unique(filter({filter('Students (Vertical)'!O:O,'Students (Vertical)'!C:C=B95,'Students (Vertical)'!O:O&lt;&gt;"""",'Students (Vertical)'!P:P&gt;1);filter('Students (Vertical)'!O:O,'Students (Vertical)'!C:C=E95,'Stu"&amp;"dents (Vertical)'!O:O&lt;&gt;"""",'Students (Vertical)'!P:P&gt;1)},countifs({filter('Students (Vertical)'!O:O,'Students (Vertical)'!C:C=B95,'Students (Vertical)'!O:O&lt;&gt;"""",'Students (Vertical)'!P:P&gt;1);filter('Students (Vertical)'!O:O,'Students (Vertical)'!C:C=E95,"&amp;"'Students (Vertical)'!O:O&lt;&gt;"""",'Students (Vertical)'!P:P&gt;1)},{filter('Students (Vertical)'!O:O,'Students (Vertical)'!C:C=B95,'Students (Vertical)'!O:O&lt;&gt;"""",'Students (Vertical)'!P:P&gt;1);filter('Students (Vertical)'!O:O,'Students (Vertical)'!C:C=E95,'Stud"&amp;"ents (Vertical)'!O:O&lt;&gt;"""",'Students (Vertical)'!P:P&gt;1)})&gt;1))),""""),"""")"),"Physics-2, Band Level I-4")</f>
        <v>Physics-2, Band Level I-4</v>
      </c>
      <c r="K95" s="358" t="str">
        <f>IFERROR(__xludf.DUMMYFUNCTION("iferror(join("", "",unique(filter({filter('Students (Vertical)'!D:D,'Students (Vertical)'!C:C=B95,'Students (Vertical)'!D:D&lt;&gt;"""");filter('Students (Vertical)'!D:D,'Students (Vertical)'!C:C=E95,'Students (Vertical)'!D:D&lt;&gt;"""")},countifs({filter('Students "&amp;"(Vertical)'!D:D,'Students (Vertical)'!C:C=B95,'Students (Vertical)'!D:D&lt;&gt;"""");filter('Students (Vertical)'!D:D,'Students (Vertical)'!C:C=E95,'Students (Vertical)'!D:D&lt;&gt;"""")},{filter('Students (Vertical)'!D:D,'Students (Vertical)'!C:C=B95,'Students (Vert"&amp;"ical)'!D:D&lt;&gt;"""");filter('Students (Vertical)'!D:D,'Students (Vertical)'!C:C=E95,'Students (Vertical)'!D:D&lt;&gt;"""")})&gt;1))),"""")"),"Spanish and Literature 11, Algebra II, Physics, PE 11, Band Level I")</f>
        <v>Spanish and Literature 11, Algebra II, Physics, PE 11, Band Level I</v>
      </c>
    </row>
    <row r="96">
      <c r="A96" s="300">
        <v>95.0</v>
      </c>
      <c r="B96" s="45" t="s">
        <v>637</v>
      </c>
      <c r="C96" s="300">
        <v>26122.0</v>
      </c>
      <c r="D96" s="300">
        <v>12.0</v>
      </c>
      <c r="E96" s="45" t="s">
        <v>638</v>
      </c>
      <c r="F96" s="300">
        <v>26142.0</v>
      </c>
      <c r="G96" s="300">
        <v>12.0</v>
      </c>
      <c r="H96" s="45" t="s">
        <v>759</v>
      </c>
      <c r="I96" s="356" t="str">
        <f>IFERROR(__xludf.DUMMYFUNCTION("if(H96=""Must be Together"",iferror(join("", "",unique(filter({filter('Students (Vertical)'!O:O,'Students (Vertical)'!C:C=B96,'Students (Vertical)'!O:O&lt;&gt;"""");filter('Students (Vertical)'!O:O,'Students (Vertical)'!C:C=E96,'Students (Vertical)'!O:O&lt;&gt;"""")}"&amp;",countifs({filter('Students (Vertical)'!O:O,'Students (Vertical)'!C:C=B96,'Students (Vertical)'!O:O&lt;&gt;"""");filter('Students (Vertical)'!O:O,'Students (Vertical)'!C:C=E96,'Students (Vertical)'!O:O&lt;&gt;"""")},{filter('Students (Vertical)'!O:O,'Students (Vertic"&amp;"al)'!C:C=B96,'Students (Vertical)'!O:O&lt;&gt;"""");filter('Students (Vertical)'!O:O,'Students (Vertical)'!C:C=E96,'Students (Vertical)'!O:O&lt;&gt;"""")})&gt;1))),""No shared courses""),"""")"),"")</f>
        <v/>
      </c>
      <c r="J96" s="356" t="str">
        <f>IFERROR(__xludf.DUMMYFUNCTION("if(H96=""Can't be Together"",iferror(join("", "",unique(filter({filter('Students (Vertical)'!O:O,'Students (Vertical)'!C:C=B96,'Students (Vertical)'!O:O&lt;&gt;"""",'Students (Vertical)'!P:P&gt;1);filter('Students (Vertical)'!O:O,'Students (Vertical)'!C:C=E96,'Stu"&amp;"dents (Vertical)'!O:O&lt;&gt;"""",'Students (Vertical)'!P:P&gt;1)},countifs({filter('Students (Vertical)'!O:O,'Students (Vertical)'!C:C=B96,'Students (Vertical)'!O:O&lt;&gt;"""",'Students (Vertical)'!P:P&gt;1);filter('Students (Vertical)'!O:O,'Students (Vertical)'!C:C=E96,"&amp;"'Students (Vertical)'!O:O&lt;&gt;"""",'Students (Vertical)'!P:P&gt;1)},{filter('Students (Vertical)'!O:O,'Students (Vertical)'!C:C=B96,'Students (Vertical)'!O:O&lt;&gt;"""",'Students (Vertical)'!P:P&gt;1);filter('Students (Vertical)'!O:O,'Students (Vertical)'!C:C=E96,'Stud"&amp;"ents (Vertical)'!O:O&lt;&gt;"""",'Students (Vertical)'!P:P&gt;1)})&gt;1))),""""),"""")"),"Environmental Science-8, Life Purpose-1")</f>
        <v>Environmental Science-8, Life Purpose-1</v>
      </c>
      <c r="K96" s="358" t="str">
        <f>IFERROR(__xludf.DUMMYFUNCTION("iferror(join("", "",unique(filter({filter('Students (Vertical)'!D:D,'Students (Vertical)'!C:C=B96,'Students (Vertical)'!D:D&lt;&gt;"""");filter('Students (Vertical)'!D:D,'Students (Vertical)'!C:C=E96,'Students (Vertical)'!D:D&lt;&gt;"""")},countifs({filter('Students "&amp;"(Vertical)'!D:D,'Students (Vertical)'!C:C=B96,'Students (Vertical)'!D:D&lt;&gt;"""");filter('Students (Vertical)'!D:D,'Students (Vertical)'!C:C=E96,'Students (Vertical)'!D:D&lt;&gt;"""")},{filter('Students (Vertical)'!D:D,'Students (Vertical)'!C:C=B96,'Students (Vert"&amp;"ical)'!D:D&lt;&gt;"""");filter('Students (Vertical)'!D:D,'Students (Vertical)'!C:C=E96,'Students (Vertical)'!D:D&lt;&gt;"""")})&gt;1))),"""")"),"Journalism Higher Level, Spanish and Literature 12, Environmental Science, PE 12, ISC, Life Purpose, Financial Math")</f>
        <v>Journalism Higher Level, Spanish and Literature 12, Environmental Science, PE 12, ISC, Life Purpose, Financial Math</v>
      </c>
    </row>
    <row r="97">
      <c r="A97" s="300" t="s">
        <v>22</v>
      </c>
      <c r="B97" s="45" t="s">
        <v>399</v>
      </c>
      <c r="C97" s="300">
        <v>28036.0</v>
      </c>
      <c r="D97" s="300">
        <v>10.0</v>
      </c>
      <c r="E97" s="45" t="s">
        <v>296</v>
      </c>
      <c r="F97" s="300">
        <v>28043.0</v>
      </c>
      <c r="G97" s="300">
        <v>10.0</v>
      </c>
      <c r="H97" s="45" t="s">
        <v>759</v>
      </c>
      <c r="I97" s="356"/>
      <c r="J97" s="357"/>
      <c r="K97" s="358"/>
    </row>
    <row r="98">
      <c r="A98" s="300">
        <v>97.0</v>
      </c>
      <c r="B98" s="45" t="s">
        <v>280</v>
      </c>
      <c r="C98" s="300">
        <v>29126.0</v>
      </c>
      <c r="D98" s="300">
        <v>9.0</v>
      </c>
      <c r="E98" s="45" t="s">
        <v>168</v>
      </c>
      <c r="F98" s="300">
        <v>29001.0</v>
      </c>
      <c r="G98" s="300">
        <v>9.0</v>
      </c>
      <c r="H98" s="45" t="s">
        <v>760</v>
      </c>
      <c r="I98" s="356" t="str">
        <f>IFERROR(__xludf.DUMMYFUNCTION("if(H98=""Must be Together"",iferror(join("", "",unique(filter({filter('Students (Vertical)'!O:O,'Students (Vertical)'!C:C=B98,'Students (Vertical)'!O:O&lt;&gt;"""");filter('Students (Vertical)'!O:O,'Students (Vertical)'!C:C=E98,'Students (Vertical)'!O:O&lt;&gt;"""")}"&amp;",countifs({filter('Students (Vertical)'!O:O,'Students (Vertical)'!C:C=B98,'Students (Vertical)'!O:O&lt;&gt;"""");filter('Students (Vertical)'!O:O,'Students (Vertical)'!C:C=E98,'Students (Vertical)'!O:O&lt;&gt;"""")},{filter('Students (Vertical)'!O:O,'Students (Vertic"&amp;"al)'!C:C=B98,'Students (Vertical)'!O:O&lt;&gt;"""");filter('Students (Vertical)'!O:O,'Students (Vertical)'!C:C=E98,'Students (Vertical)'!O:O&lt;&gt;"""")})&gt;1))),""No shared courses""),"""")"),"PE 9-5, Social Studies 9-4")</f>
        <v>PE 9-5, Social Studies 9-4</v>
      </c>
      <c r="J98" s="357" t="str">
        <f>IFERROR(__xludf.DUMMYFUNCTION("if(H98=""Can't be Together"",iferror(join("", "",unique(filter({filter('Students (Vertical)'!O:O,'Students (Vertical)'!C:C=B98,'Students (Vertical)'!O:O&lt;&gt;"""",'Students (Vertical)'!P:P&gt;1);filter('Students (Vertical)'!O:O,'Students (Vertical)'!C:C=E98,'Stu"&amp;"dents (Vertical)'!O:O&lt;&gt;"""",'Students (Vertical)'!P:P&gt;1)},countifs({filter('Students (Vertical)'!O:O,'Students (Vertical)'!C:C=B98,'Students (Vertical)'!O:O&lt;&gt;"""",'Students (Vertical)'!P:P&gt;1);filter('Students (Vertical)'!O:O,'Students (Vertical)'!C:C=E98,"&amp;"'Students (Vertical)'!O:O&lt;&gt;"""",'Students (Vertical)'!P:P&gt;1)},{filter('Students (Vertical)'!O:O,'Students (Vertical)'!C:C=B98,'Students (Vertical)'!O:O&lt;&gt;"""",'Students (Vertical)'!P:P&gt;1);filter('Students (Vertical)'!O:O,'Students (Vertical)'!C:C=E98,'Stud"&amp;"ents (Vertical)'!O:O&lt;&gt;"""",'Students (Vertical)'!P:P&gt;1)})&gt;1))),""""),"""")"),"")</f>
        <v/>
      </c>
      <c r="K98" s="358" t="str">
        <f>IFERROR(__xludf.DUMMYFUNCTION("iferror(join("", "",unique(filter({filter('Students (Vertical)'!D:D,'Students (Vertical)'!C:C=B98,'Students (Vertical)'!D:D&lt;&gt;"""");filter('Students (Vertical)'!D:D,'Students (Vertical)'!C:C=E98,'Students (Vertical)'!D:D&lt;&gt;"""")},countifs({filter('Students "&amp;"(Vertical)'!D:D,'Students (Vertical)'!C:C=B98,'Students (Vertical)'!D:D&lt;&gt;"""");filter('Students (Vertical)'!D:D,'Students (Vertical)'!C:C=E98,'Students (Vertical)'!D:D&lt;&gt;"""")},{filter('Students (Vertical)'!D:D,'Students (Vertical)'!C:C=B98,'Students (Vert"&amp;"ical)'!D:D&lt;&gt;"""");filter('Students (Vertical)'!D:D,'Students (Vertical)'!C:C=E98,'Students (Vertical)'!D:D&lt;&gt;"""")})&gt;1))),"""")"),"English 9, Spanish and Literature 9, Biology 9, PE 9, Social Studies 9")</f>
        <v>English 9, Spanish and Literature 9, Biology 9, PE 9, Social Studies 9</v>
      </c>
    </row>
    <row r="99">
      <c r="A99" s="300">
        <v>98.0</v>
      </c>
      <c r="B99" s="45" t="s">
        <v>280</v>
      </c>
      <c r="C99" s="300">
        <v>29126.0</v>
      </c>
      <c r="D99" s="300">
        <v>9.0</v>
      </c>
      <c r="E99" s="45" t="s">
        <v>209</v>
      </c>
      <c r="F99" s="300">
        <v>29088.0</v>
      </c>
      <c r="G99" s="300">
        <v>9.0</v>
      </c>
      <c r="H99" s="45" t="s">
        <v>760</v>
      </c>
      <c r="I99" s="356" t="str">
        <f>IFERROR(__xludf.DUMMYFUNCTION("if(H99=""Must be Together"",iferror(join("", "",unique(filter({filter('Students (Vertical)'!O:O,'Students (Vertical)'!C:C=B99,'Students (Vertical)'!O:O&lt;&gt;"""");filter('Students (Vertical)'!O:O,'Students (Vertical)'!C:C=E99,'Students (Vertical)'!O:O&lt;&gt;"""")}"&amp;",countifs({filter('Students (Vertical)'!O:O,'Students (Vertical)'!C:C=B99,'Students (Vertical)'!O:O&lt;&gt;"""");filter('Students (Vertical)'!O:O,'Students (Vertical)'!C:C=E99,'Students (Vertical)'!O:O&lt;&gt;"""")},{filter('Students (Vertical)'!O:O,'Students (Vertic"&amp;"al)'!C:C=B99,'Students (Vertical)'!O:O&lt;&gt;"""");filter('Students (Vertical)'!O:O,'Students (Vertical)'!C:C=E99,'Students (Vertical)'!O:O&lt;&gt;"""")})&gt;1))),""No shared courses""),"""")"),"Spanish and Literature 9-8, Social Studies 9-4, FRC 9 Robotics-6")</f>
        <v>Spanish and Literature 9-8, Social Studies 9-4, FRC 9 Robotics-6</v>
      </c>
      <c r="J99" s="357" t="str">
        <f>IFERROR(__xludf.DUMMYFUNCTION("if(H99=""Can't be Together"",iferror(join("", "",unique(filter({filter('Students (Vertical)'!O:O,'Students (Vertical)'!C:C=B99,'Students (Vertical)'!O:O&lt;&gt;"""",'Students (Vertical)'!P:P&gt;1);filter('Students (Vertical)'!O:O,'Students (Vertical)'!C:C=E99,'Stu"&amp;"dents (Vertical)'!O:O&lt;&gt;"""",'Students (Vertical)'!P:P&gt;1)},countifs({filter('Students (Vertical)'!O:O,'Students (Vertical)'!C:C=B99,'Students (Vertical)'!O:O&lt;&gt;"""",'Students (Vertical)'!P:P&gt;1);filter('Students (Vertical)'!O:O,'Students (Vertical)'!C:C=E99,"&amp;"'Students (Vertical)'!O:O&lt;&gt;"""",'Students (Vertical)'!P:P&gt;1)},{filter('Students (Vertical)'!O:O,'Students (Vertical)'!C:C=B99,'Students (Vertical)'!O:O&lt;&gt;"""",'Students (Vertical)'!P:P&gt;1);filter('Students (Vertical)'!O:O,'Students (Vertical)'!C:C=E99,'Stud"&amp;"ents (Vertical)'!O:O&lt;&gt;"""",'Students (Vertical)'!P:P&gt;1)})&gt;1))),""""),"""")"),"")</f>
        <v/>
      </c>
      <c r="K99" s="358" t="str">
        <f>IFERROR(__xludf.DUMMYFUNCTION("iferror(join("", "",unique(filter({filter('Students (Vertical)'!D:D,'Students (Vertical)'!C:C=B99,'Students (Vertical)'!D:D&lt;&gt;"""");filter('Students (Vertical)'!D:D,'Students (Vertical)'!C:C=E99,'Students (Vertical)'!D:D&lt;&gt;"""")},countifs({filter('Students "&amp;"(Vertical)'!D:D,'Students (Vertical)'!C:C=B99,'Students (Vertical)'!D:D&lt;&gt;"""");filter('Students (Vertical)'!D:D,'Students (Vertical)'!C:C=E99,'Students (Vertical)'!D:D&lt;&gt;"""")},{filter('Students (Vertical)'!D:D,'Students (Vertical)'!C:C=B99,'Students (Vert"&amp;"ical)'!D:D&lt;&gt;"""");filter('Students (Vertical)'!D:D,'Students (Vertical)'!C:C=E99,'Students (Vertical)'!D:D&lt;&gt;"""")})&gt;1))),"""")"),"English 9, Spanish and Literature 9, Biology 9, PE 9, Social Studies 9, FRC 9 Robotics, Band Level I")</f>
        <v>English 9, Spanish and Literature 9, Biology 9, PE 9, Social Studies 9, FRC 9 Robotics, Band Level I</v>
      </c>
    </row>
    <row r="100">
      <c r="A100" s="300">
        <v>99.0</v>
      </c>
      <c r="B100" s="45" t="s">
        <v>280</v>
      </c>
      <c r="C100" s="300">
        <v>29126.0</v>
      </c>
      <c r="D100" s="300">
        <v>9.0</v>
      </c>
      <c r="E100" s="45" t="s">
        <v>262</v>
      </c>
      <c r="F100" s="300">
        <v>29030.0</v>
      </c>
      <c r="G100" s="300">
        <v>9.0</v>
      </c>
      <c r="H100" s="45" t="s">
        <v>760</v>
      </c>
      <c r="I100" s="356" t="str">
        <f>IFERROR(__xludf.DUMMYFUNCTION("if(H100=""Must be Together"",iferror(join("", "",unique(filter({filter('Students (Vertical)'!O:O,'Students (Vertical)'!C:C=B100,'Students (Vertical)'!O:O&lt;&gt;"""");filter('Students (Vertical)'!O:O,'Students (Vertical)'!C:C=E100,'Students (Vertical)'!O:O&lt;&gt;"""&amp;""")},countifs({filter('Students (Vertical)'!O:O,'Students (Vertical)'!C:C=B100,'Students (Vertical)'!O:O&lt;&gt;"""");filter('Students (Vertical)'!O:O,'Students (Vertical)'!C:C=E100,'Students (Vertical)'!O:O&lt;&gt;"""")},{filter('Students (Vertical)'!O:O,'Students ("&amp;"Vertical)'!C:C=B100,'Students (Vertical)'!O:O&lt;&gt;"""");filter('Students (Vertical)'!O:O,'Students (Vertical)'!C:C=E100,'Students (Vertical)'!O:O&lt;&gt;"""")})&gt;1))),""No shared courses""),"""")"),"Spanish and Literature 9-8, PE 9-5, Social Studies 9-4, FRC 9 Robotics-6, Band Level I-7")</f>
        <v>Spanish and Literature 9-8, PE 9-5, Social Studies 9-4, FRC 9 Robotics-6, Band Level I-7</v>
      </c>
      <c r="J100" s="357" t="str">
        <f>IFERROR(__xludf.DUMMYFUNCTION("if(H100=""Can't be Together"",iferror(join("", "",unique(filter({filter('Students (Vertical)'!O:O,'Students (Vertical)'!C:C=B100,'Students (Vertical)'!O:O&lt;&gt;"""",'Students (Vertical)'!P:P&gt;1);filter('Students (Vertical)'!O:O,'Students (Vertical)'!C:C=E100,'"&amp;"Students (Vertical)'!O:O&lt;&gt;"""",'Students (Vertical)'!P:P&gt;1)},countifs({filter('Students (Vertical)'!O:O,'Students (Vertical)'!C:C=B100,'Students (Vertical)'!O:O&lt;&gt;"""",'Students (Vertical)'!P:P&gt;1);filter('Students (Vertical)'!O:O,'Students (Vertical)'!C:C="&amp;"E100,'Students (Vertical)'!O:O&lt;&gt;"""",'Students (Vertical)'!P:P&gt;1)},{filter('Students (Vertical)'!O:O,'Students (Vertical)'!C:C=B100,'Students (Vertical)'!O:O&lt;&gt;"""",'Students (Vertical)'!P:P&gt;1);filter('Students (Vertical)'!O:O,'Students (Vertical)'!C:C=E10"&amp;"0,'Students (Vertical)'!O:O&lt;&gt;"""",'Students (Vertical)'!P:P&gt;1)})&gt;1))),""""),"""")"),"")</f>
        <v/>
      </c>
      <c r="K100" s="358" t="str">
        <f>IFERROR(__xludf.DUMMYFUNCTION("iferror(join("", "",unique(filter({filter('Students (Vertical)'!D:D,'Students (Vertical)'!C:C=B100,'Students (Vertical)'!D:D&lt;&gt;"""");filter('Students (Vertical)'!D:D,'Students (Vertical)'!C:C=E100,'Students (Vertical)'!D:D&lt;&gt;"""")},countifs({filter('Student"&amp;"s (Vertical)'!D:D,'Students (Vertical)'!C:C=B100,'Students (Vertical)'!D:D&lt;&gt;"""");filter('Students (Vertical)'!D:D,'Students (Vertical)'!C:C=E100,'Students (Vertical)'!D:D&lt;&gt;"""")},{filter('Students (Vertical)'!D:D,'Students (Vertical)'!C:C=B100,'Students "&amp;"(Vertical)'!D:D&lt;&gt;"""");filter('Students (Vertical)'!D:D,'Students (Vertical)'!C:C=E100,'Students (Vertical)'!D:D&lt;&gt;"""")})&gt;1))),"""")"),"English 9, Spanish and Literature 9, Biology 9, PE 9, Social Studies 9, FRC 9 Robotics, Band Level I")</f>
        <v>English 9, Spanish and Literature 9, Biology 9, PE 9, Social Studies 9, FRC 9 Robotics, Band Level I</v>
      </c>
    </row>
    <row r="101">
      <c r="A101" s="300">
        <v>100.0</v>
      </c>
      <c r="B101" s="45" t="s">
        <v>280</v>
      </c>
      <c r="C101" s="300">
        <v>29126.0</v>
      </c>
      <c r="D101" s="300">
        <v>9.0</v>
      </c>
      <c r="E101" s="45" t="s">
        <v>212</v>
      </c>
      <c r="F101" s="300">
        <v>29161.0</v>
      </c>
      <c r="G101" s="300">
        <v>9.0</v>
      </c>
      <c r="H101" s="45" t="s">
        <v>760</v>
      </c>
      <c r="I101" s="356" t="str">
        <f>IFERROR(__xludf.DUMMYFUNCTION("if(H101=""Must be Together"",iferror(join("", "",unique(filter({filter('Students (Vertical)'!O:O,'Students (Vertical)'!C:C=B101,'Students (Vertical)'!O:O&lt;&gt;"""");filter('Students (Vertical)'!O:O,'Students (Vertical)'!C:C=E101,'Students (Vertical)'!O:O&lt;&gt;"""&amp;""")},countifs({filter('Students (Vertical)'!O:O,'Students (Vertical)'!C:C=B101,'Students (Vertical)'!O:O&lt;&gt;"""");filter('Students (Vertical)'!O:O,'Students (Vertical)'!C:C=E101,'Students (Vertical)'!O:O&lt;&gt;"""")},{filter('Students (Vertical)'!O:O,'Students ("&amp;"Vertical)'!C:C=B101,'Students (Vertical)'!O:O&lt;&gt;"""");filter('Students (Vertical)'!O:O,'Students (Vertical)'!C:C=E101,'Students (Vertical)'!O:O&lt;&gt;"""")})&gt;1))),""No shared courses""),"""")"),"English 9-1, FRC 9 Robotics-6, Band Level I-7")</f>
        <v>English 9-1, FRC 9 Robotics-6, Band Level I-7</v>
      </c>
      <c r="J101" s="357" t="str">
        <f>IFERROR(__xludf.DUMMYFUNCTION("if(H101=""Can't be Together"",iferror(join("", "",unique(filter({filter('Students (Vertical)'!O:O,'Students (Vertical)'!C:C=B101,'Students (Vertical)'!O:O&lt;&gt;"""",'Students (Vertical)'!P:P&gt;1);filter('Students (Vertical)'!O:O,'Students (Vertical)'!C:C=E101,'"&amp;"Students (Vertical)'!O:O&lt;&gt;"""",'Students (Vertical)'!P:P&gt;1)},countifs({filter('Students (Vertical)'!O:O,'Students (Vertical)'!C:C=B101,'Students (Vertical)'!O:O&lt;&gt;"""",'Students (Vertical)'!P:P&gt;1);filter('Students (Vertical)'!O:O,'Students (Vertical)'!C:C="&amp;"E101,'Students (Vertical)'!O:O&lt;&gt;"""",'Students (Vertical)'!P:P&gt;1)},{filter('Students (Vertical)'!O:O,'Students (Vertical)'!C:C=B101,'Students (Vertical)'!O:O&lt;&gt;"""",'Students (Vertical)'!P:P&gt;1);filter('Students (Vertical)'!O:O,'Students (Vertical)'!C:C=E10"&amp;"1,'Students (Vertical)'!O:O&lt;&gt;"""",'Students (Vertical)'!P:P&gt;1)})&gt;1))),""""),"""")"),"")</f>
        <v/>
      </c>
      <c r="K101" s="358" t="str">
        <f>IFERROR(__xludf.DUMMYFUNCTION("iferror(join("", "",unique(filter({filter('Students (Vertical)'!D:D,'Students (Vertical)'!C:C=B101,'Students (Vertical)'!D:D&lt;&gt;"""");filter('Students (Vertical)'!D:D,'Students (Vertical)'!C:C=E101,'Students (Vertical)'!D:D&lt;&gt;"""")},countifs({filter('Student"&amp;"s (Vertical)'!D:D,'Students (Vertical)'!C:C=B101,'Students (Vertical)'!D:D&lt;&gt;"""");filter('Students (Vertical)'!D:D,'Students (Vertical)'!C:C=E101,'Students (Vertical)'!D:D&lt;&gt;"""")},{filter('Students (Vertical)'!D:D,'Students (Vertical)'!C:C=B101,'Students "&amp;"(Vertical)'!D:D&lt;&gt;"""");filter('Students (Vertical)'!D:D,'Students (Vertical)'!C:C=E101,'Students (Vertical)'!D:D&lt;&gt;"""")})&gt;1))),"""")"),"English 9, Biology 9, PE 9, Social Studies 9, FRC 9 Robotics, Band Level I")</f>
        <v>English 9, Biology 9, PE 9, Social Studies 9, FRC 9 Robotics, Band Level I</v>
      </c>
    </row>
    <row r="102">
      <c r="A102" s="300">
        <v>101.0</v>
      </c>
      <c r="B102" s="45" t="s">
        <v>353</v>
      </c>
      <c r="C102" s="300">
        <v>28062.0</v>
      </c>
      <c r="D102" s="300">
        <v>10.0</v>
      </c>
      <c r="E102" s="45" t="s">
        <v>310</v>
      </c>
      <c r="F102" s="300">
        <v>28170.0</v>
      </c>
      <c r="G102" s="300">
        <v>10.0</v>
      </c>
      <c r="H102" s="45" t="s">
        <v>760</v>
      </c>
      <c r="I102" s="356" t="str">
        <f>IFERROR(__xludf.DUMMYFUNCTION("if(H102=""Must be Together"",iferror(join("", "",unique(filter({filter('Students (Vertical)'!O:O,'Students (Vertical)'!C:C=B102,'Students (Vertical)'!O:O&lt;&gt;"""");filter('Students (Vertical)'!O:O,'Students (Vertical)'!C:C=E102,'Students (Vertical)'!O:O&lt;&gt;"""&amp;""")},countifs({filter('Students (Vertical)'!O:O,'Students (Vertical)'!C:C=B102,'Students (Vertical)'!O:O&lt;&gt;"""");filter('Students (Vertical)'!O:O,'Students (Vertical)'!C:C=E102,'Students (Vertical)'!O:O&lt;&gt;"""")},{filter('Students (Vertical)'!O:O,'Students ("&amp;"Vertical)'!C:C=B102,'Students (Vertical)'!O:O&lt;&gt;"""");filter('Students (Vertical)'!O:O,'Students (Vertical)'!C:C=E102,'Students (Vertical)'!O:O&lt;&gt;"""")})&gt;1))),""No shared courses""),"""")"),"AP Seminar-6, AP Spanish Language and Culture-4, Chemistry-7, PE 10-1, Sociales 10-5")</f>
        <v>AP Seminar-6, AP Spanish Language and Culture-4, Chemistry-7, PE 10-1, Sociales 10-5</v>
      </c>
      <c r="J102" s="357" t="str">
        <f>IFERROR(__xludf.DUMMYFUNCTION("if(H102=""Can't be Together"",iferror(join("", "",unique(filter({filter('Students (Vertical)'!O:O,'Students (Vertical)'!C:C=B102,'Students (Vertical)'!O:O&lt;&gt;"""",'Students (Vertical)'!P:P&gt;1);filter('Students (Vertical)'!O:O,'Students (Vertical)'!C:C=E102,'"&amp;"Students (Vertical)'!O:O&lt;&gt;"""",'Students (Vertical)'!P:P&gt;1)},countifs({filter('Students (Vertical)'!O:O,'Students (Vertical)'!C:C=B102,'Students (Vertical)'!O:O&lt;&gt;"""",'Students (Vertical)'!P:P&gt;1);filter('Students (Vertical)'!O:O,'Students (Vertical)'!C:C="&amp;"E102,'Students (Vertical)'!O:O&lt;&gt;"""",'Students (Vertical)'!P:P&gt;1)},{filter('Students (Vertical)'!O:O,'Students (Vertical)'!C:C=B102,'Students (Vertical)'!O:O&lt;&gt;"""",'Students (Vertical)'!P:P&gt;1);filter('Students (Vertical)'!O:O,'Students (Vertical)'!C:C=E10"&amp;"2,'Students (Vertical)'!O:O&lt;&gt;"""",'Students (Vertical)'!P:P&gt;1)})&gt;1))),""""),"""")"),"")</f>
        <v/>
      </c>
      <c r="K102" s="358" t="str">
        <f>IFERROR(__xludf.DUMMYFUNCTION("iferror(join("", "",unique(filter({filter('Students (Vertical)'!D:D,'Students (Vertical)'!C:C=B102,'Students (Vertical)'!D:D&lt;&gt;"""");filter('Students (Vertical)'!D:D,'Students (Vertical)'!C:C=E102,'Students (Vertical)'!D:D&lt;&gt;"""")},countifs({filter('Student"&amp;"s (Vertical)'!D:D,'Students (Vertical)'!C:C=B102,'Students (Vertical)'!D:D&lt;&gt;"""");filter('Students (Vertical)'!D:D,'Students (Vertical)'!C:C=E102,'Students (Vertical)'!D:D&lt;&gt;"""")},{filter('Students (Vertical)'!D:D,'Students (Vertical)'!C:C=B102,'Students "&amp;"(Vertical)'!D:D&lt;&gt;"""");filter('Students (Vertical)'!D:D,'Students (Vertical)'!C:C=E102,'Students (Vertical)'!D:D&lt;&gt;"""")})&gt;1))),"""")"),"AP Seminar, AP Spanish Language and Culture, Chemistry, PE 10, Sociales 10")</f>
        <v>AP Seminar, AP Spanish Language and Culture, Chemistry, PE 10, Sociales 10</v>
      </c>
    </row>
    <row r="103">
      <c r="A103" s="300">
        <v>102.0</v>
      </c>
      <c r="B103" s="45" t="s">
        <v>353</v>
      </c>
      <c r="C103" s="300">
        <v>28062.0</v>
      </c>
      <c r="D103" s="300">
        <v>10.0</v>
      </c>
      <c r="E103" s="45" t="s">
        <v>285</v>
      </c>
      <c r="F103" s="300">
        <v>28116.0</v>
      </c>
      <c r="G103" s="300">
        <v>10.0</v>
      </c>
      <c r="H103" s="45" t="s">
        <v>760</v>
      </c>
      <c r="I103" s="356" t="str">
        <f>IFERROR(__xludf.DUMMYFUNCTION("if(H103=""Must be Together"",iferror(join("", "",unique(filter({filter('Students (Vertical)'!O:O,'Students (Vertical)'!C:C=B103,'Students (Vertical)'!O:O&lt;&gt;"""");filter('Students (Vertical)'!O:O,'Students (Vertical)'!C:C=E103,'Students (Vertical)'!O:O&lt;&gt;"""&amp;""")},countifs({filter('Students (Vertical)'!O:O,'Students (Vertical)'!C:C=B103,'Students (Vertical)'!O:O&lt;&gt;"""");filter('Students (Vertical)'!O:O,'Students (Vertical)'!C:C=E103,'Students (Vertical)'!O:O&lt;&gt;"""")},{filter('Students (Vertical)'!O:O,'Students ("&amp;"Vertical)'!C:C=B103,'Students (Vertical)'!O:O&lt;&gt;"""");filter('Students (Vertical)'!O:O,'Students (Vertical)'!C:C=E103,'Students (Vertical)'!O:O&lt;&gt;"""")})&gt;1))),""No shared courses""),"""")"),"AP Seminar-6, AP Spanish Language and Culture-4, Chemistry-7, PE 10-1, Sociales 10-5")</f>
        <v>AP Seminar-6, AP Spanish Language and Culture-4, Chemistry-7, PE 10-1, Sociales 10-5</v>
      </c>
      <c r="J103" s="357" t="str">
        <f>IFERROR(__xludf.DUMMYFUNCTION("if(H103=""Can't be Together"",iferror(join("", "",unique(filter({filter('Students (Vertical)'!O:O,'Students (Vertical)'!C:C=B103,'Students (Vertical)'!O:O&lt;&gt;"""",'Students (Vertical)'!P:P&gt;1);filter('Students (Vertical)'!O:O,'Students (Vertical)'!C:C=E103,'"&amp;"Students (Vertical)'!O:O&lt;&gt;"""",'Students (Vertical)'!P:P&gt;1)},countifs({filter('Students (Vertical)'!O:O,'Students (Vertical)'!C:C=B103,'Students (Vertical)'!O:O&lt;&gt;"""",'Students (Vertical)'!P:P&gt;1);filter('Students (Vertical)'!O:O,'Students (Vertical)'!C:C="&amp;"E103,'Students (Vertical)'!O:O&lt;&gt;"""",'Students (Vertical)'!P:P&gt;1)},{filter('Students (Vertical)'!O:O,'Students (Vertical)'!C:C=B103,'Students (Vertical)'!O:O&lt;&gt;"""",'Students (Vertical)'!P:P&gt;1);filter('Students (Vertical)'!O:O,'Students (Vertical)'!C:C=E10"&amp;"3,'Students (Vertical)'!O:O&lt;&gt;"""",'Students (Vertical)'!P:P&gt;1)})&gt;1))),""""),"""")"),"")</f>
        <v/>
      </c>
      <c r="K103" s="358" t="str">
        <f>IFERROR(__xludf.DUMMYFUNCTION("iferror(join("", "",unique(filter({filter('Students (Vertical)'!D:D,'Students (Vertical)'!C:C=B103,'Students (Vertical)'!D:D&lt;&gt;"""");filter('Students (Vertical)'!D:D,'Students (Vertical)'!C:C=E103,'Students (Vertical)'!D:D&lt;&gt;"""")},countifs({filter('Student"&amp;"s (Vertical)'!D:D,'Students (Vertical)'!C:C=B103,'Students (Vertical)'!D:D&lt;&gt;"""");filter('Students (Vertical)'!D:D,'Students (Vertical)'!C:C=E103,'Students (Vertical)'!D:D&lt;&gt;"""")},{filter('Students (Vertical)'!D:D,'Students (Vertical)'!C:C=B103,'Students "&amp;"(Vertical)'!D:D&lt;&gt;"""");filter('Students (Vertical)'!D:D,'Students (Vertical)'!C:C=E103,'Students (Vertical)'!D:D&lt;&gt;"""")})&gt;1))),"""")"),"AP Seminar, AP Spanish Language and Culture, Chemistry, PE 10, AP Human Geography, Sociales 10")</f>
        <v>AP Seminar, AP Spanish Language and Culture, Chemistry, PE 10, AP Human Geography, Sociales 10</v>
      </c>
    </row>
    <row r="104">
      <c r="A104" s="300">
        <v>103.0</v>
      </c>
      <c r="B104" s="45" t="s">
        <v>274</v>
      </c>
      <c r="C104" s="300">
        <v>29169.0</v>
      </c>
      <c r="D104" s="300">
        <v>9.0</v>
      </c>
      <c r="E104" s="45" t="s">
        <v>196</v>
      </c>
      <c r="F104" s="300">
        <v>29021.0</v>
      </c>
      <c r="G104" s="300">
        <v>9.0</v>
      </c>
      <c r="H104" s="45" t="s">
        <v>759</v>
      </c>
      <c r="I104" s="356" t="str">
        <f>IFERROR(__xludf.DUMMYFUNCTION("if(H104=""Must be Together"",iferror(join("", "",unique(filter({filter('Students (Vertical)'!O:O,'Students (Vertical)'!C:C=B104,'Students (Vertical)'!O:O&lt;&gt;"""");filter('Students (Vertical)'!O:O,'Students (Vertical)'!C:C=E104,'Students (Vertical)'!O:O&lt;&gt;"""&amp;""")},countifs({filter('Students (Vertical)'!O:O,'Students (Vertical)'!C:C=B104,'Students (Vertical)'!O:O&lt;&gt;"""");filter('Students (Vertical)'!O:O,'Students (Vertical)'!C:C=E104,'Students (Vertical)'!O:O&lt;&gt;"""")},{filter('Students (Vertical)'!O:O,'Students ("&amp;"Vertical)'!C:C=B104,'Students (Vertical)'!O:O&lt;&gt;"""");filter('Students (Vertical)'!O:O,'Students (Vertical)'!C:C=E104,'Students (Vertical)'!O:O&lt;&gt;"""")})&gt;1))),""No shared courses""),"""")"),"")</f>
        <v/>
      </c>
      <c r="J104" s="357" t="str">
        <f>IFERROR(__xludf.DUMMYFUNCTION("if(H104=""Can't be Together"",iferror(join("", "",unique(filter({filter('Students (Vertical)'!O:O,'Students (Vertical)'!C:C=B104,'Students (Vertical)'!O:O&lt;&gt;"""",'Students (Vertical)'!P:P&gt;1);filter('Students (Vertical)'!O:O,'Students (Vertical)'!C:C=E104,'"&amp;"Students (Vertical)'!O:O&lt;&gt;"""",'Students (Vertical)'!P:P&gt;1)},countifs({filter('Students (Vertical)'!O:O,'Students (Vertical)'!C:C=B104,'Students (Vertical)'!O:O&lt;&gt;"""",'Students (Vertical)'!P:P&gt;1);filter('Students (Vertical)'!O:O,'Students (Vertical)'!C:C="&amp;"E104,'Students (Vertical)'!O:O&lt;&gt;"""",'Students (Vertical)'!P:P&gt;1)},{filter('Students (Vertical)'!O:O,'Students (Vertical)'!C:C=B104,'Students (Vertical)'!O:O&lt;&gt;"""",'Students (Vertical)'!P:P&gt;1);filter('Students (Vertical)'!O:O,'Students (Vertical)'!C:C=E10"&amp;"4,'Students (Vertical)'!O:O&lt;&gt;"""",'Students (Vertical)'!P:P&gt;1)})&gt;1))),""""),"""")"),"")</f>
        <v/>
      </c>
      <c r="K104" s="358" t="str">
        <f>IFERROR(__xludf.DUMMYFUNCTION("iferror(join("", "",unique(filter({filter('Students (Vertical)'!D:D,'Students (Vertical)'!C:C=B104,'Students (Vertical)'!D:D&lt;&gt;"""");filter('Students (Vertical)'!D:D,'Students (Vertical)'!C:C=E104,'Students (Vertical)'!D:D&lt;&gt;"""")},countifs({filter('Student"&amp;"s (Vertical)'!D:D,'Students (Vertical)'!C:C=B104,'Students (Vertical)'!D:D&lt;&gt;"""");filter('Students (Vertical)'!D:D,'Students (Vertical)'!C:C=E104,'Students (Vertical)'!D:D&lt;&gt;"""")},{filter('Students (Vertical)'!D:D,'Students (Vertical)'!C:C=B104,'Students "&amp;"(Vertical)'!D:D&lt;&gt;"""");filter('Students (Vertical)'!D:D,'Students (Vertical)'!C:C=E104,'Students (Vertical)'!D:D&lt;&gt;"""")})&gt;1))),"""")"),"English 9, Spanish and Literature 9, Biology 9, PE 9, Social Studies 9")</f>
        <v>English 9, Spanish and Literature 9, Biology 9, PE 9, Social Studies 9</v>
      </c>
    </row>
    <row r="105">
      <c r="A105" s="300">
        <v>104.0</v>
      </c>
      <c r="B105" s="45" t="s">
        <v>274</v>
      </c>
      <c r="C105" s="300">
        <v>29169.0</v>
      </c>
      <c r="D105" s="300">
        <v>9.0</v>
      </c>
      <c r="E105" s="45" t="s">
        <v>257</v>
      </c>
      <c r="F105" s="300">
        <v>29020.0</v>
      </c>
      <c r="G105" s="300">
        <v>9.0</v>
      </c>
      <c r="H105" s="45" t="s">
        <v>759</v>
      </c>
      <c r="I105" s="356" t="str">
        <f>IFERROR(__xludf.DUMMYFUNCTION("if(H105=""Must be Together"",iferror(join("", "",unique(filter({filter('Students (Vertical)'!O:O,'Students (Vertical)'!C:C=B105,'Students (Vertical)'!O:O&lt;&gt;"""");filter('Students (Vertical)'!O:O,'Students (Vertical)'!C:C=E105,'Students (Vertical)'!O:O&lt;&gt;"""&amp;""")},countifs({filter('Students (Vertical)'!O:O,'Students (Vertical)'!C:C=B105,'Students (Vertical)'!O:O&lt;&gt;"""");filter('Students (Vertical)'!O:O,'Students (Vertical)'!C:C=E105,'Students (Vertical)'!O:O&lt;&gt;"""")},{filter('Students (Vertical)'!O:O,'Students ("&amp;"Vertical)'!C:C=B105,'Students (Vertical)'!O:O&lt;&gt;"""");filter('Students (Vertical)'!O:O,'Students (Vertical)'!C:C=E105,'Students (Vertical)'!O:O&lt;&gt;"""")})&gt;1))),""No shared courses""),"""")"),"")</f>
        <v/>
      </c>
      <c r="J105" s="357" t="str">
        <f>IFERROR(__xludf.DUMMYFUNCTION("if(H105=""Can't be Together"",iferror(join("", "",unique(filter({filter('Students (Vertical)'!O:O,'Students (Vertical)'!C:C=B105,'Students (Vertical)'!O:O&lt;&gt;"""",'Students (Vertical)'!P:P&gt;1);filter('Students (Vertical)'!O:O,'Students (Vertical)'!C:C=E105,'"&amp;"Students (Vertical)'!O:O&lt;&gt;"""",'Students (Vertical)'!P:P&gt;1)},countifs({filter('Students (Vertical)'!O:O,'Students (Vertical)'!C:C=B105,'Students (Vertical)'!O:O&lt;&gt;"""",'Students (Vertical)'!P:P&gt;1);filter('Students (Vertical)'!O:O,'Students (Vertical)'!C:C="&amp;"E105,'Students (Vertical)'!O:O&lt;&gt;"""",'Students (Vertical)'!P:P&gt;1)},{filter('Students (Vertical)'!O:O,'Students (Vertical)'!C:C=B105,'Students (Vertical)'!O:O&lt;&gt;"""",'Students (Vertical)'!P:P&gt;1);filter('Students (Vertical)'!O:O,'Students (Vertical)'!C:C=E10"&amp;"5,'Students (Vertical)'!O:O&lt;&gt;"""",'Students (Vertical)'!P:P&gt;1)})&gt;1))),""""),"""")"),"")</f>
        <v/>
      </c>
      <c r="K105" s="358" t="str">
        <f>IFERROR(__xludf.DUMMYFUNCTION("iferror(join("", "",unique(filter({filter('Students (Vertical)'!D:D,'Students (Vertical)'!C:C=B105,'Students (Vertical)'!D:D&lt;&gt;"""");filter('Students (Vertical)'!D:D,'Students (Vertical)'!C:C=E105,'Students (Vertical)'!D:D&lt;&gt;"""")},countifs({filter('Student"&amp;"s (Vertical)'!D:D,'Students (Vertical)'!C:C=B105,'Students (Vertical)'!D:D&lt;&gt;"""");filter('Students (Vertical)'!D:D,'Students (Vertical)'!C:C=E105,'Students (Vertical)'!D:D&lt;&gt;"""")},{filter('Students (Vertical)'!D:D,'Students (Vertical)'!C:C=B105,'Students "&amp;"(Vertical)'!D:D&lt;&gt;"""");filter('Students (Vertical)'!D:D,'Students (Vertical)'!C:C=E105,'Students (Vertical)'!D:D&lt;&gt;"""")})&gt;1))),"""")"),"English 9, Spanish and Literature 9, Algebra I, Biology 9, PE 9, Social Studies 9, Technology 9")</f>
        <v>English 9, Spanish and Literature 9, Algebra I, Biology 9, PE 9, Social Studies 9, Technology 9</v>
      </c>
    </row>
    <row r="106">
      <c r="A106" s="300">
        <v>105.0</v>
      </c>
      <c r="B106" s="45" t="s">
        <v>257</v>
      </c>
      <c r="C106" s="300">
        <v>29020.0</v>
      </c>
      <c r="D106" s="300">
        <v>9.0</v>
      </c>
      <c r="E106" s="45" t="s">
        <v>244</v>
      </c>
      <c r="F106" s="300">
        <v>29087.0</v>
      </c>
      <c r="G106" s="300">
        <v>9.0</v>
      </c>
      <c r="H106" s="45" t="s">
        <v>759</v>
      </c>
      <c r="I106" s="356" t="str">
        <f>IFERROR(__xludf.DUMMYFUNCTION("if(H106=""Must be Together"",iferror(join("", "",unique(filter({filter('Students (Vertical)'!O:O,'Students (Vertical)'!C:C=B106,'Students (Vertical)'!O:O&lt;&gt;"""");filter('Students (Vertical)'!O:O,'Students (Vertical)'!C:C=E106,'Students (Vertical)'!O:O&lt;&gt;"""&amp;""")},countifs({filter('Students (Vertical)'!O:O,'Students (Vertical)'!C:C=B106,'Students (Vertical)'!O:O&lt;&gt;"""");filter('Students (Vertical)'!O:O,'Students (Vertical)'!C:C=E106,'Students (Vertical)'!O:O&lt;&gt;"""")},{filter('Students (Vertical)'!O:O,'Students ("&amp;"Vertical)'!C:C=B106,'Students (Vertical)'!O:O&lt;&gt;"""");filter('Students (Vertical)'!O:O,'Students (Vertical)'!C:C=E106,'Students (Vertical)'!O:O&lt;&gt;"""")})&gt;1))),""No shared courses""),"""")"),"")</f>
        <v/>
      </c>
      <c r="J106" s="357" t="str">
        <f>IFERROR(__xludf.DUMMYFUNCTION("if(H106=""Can't be Together"",iferror(join("", "",unique(filter({filter('Students (Vertical)'!O:O,'Students (Vertical)'!C:C=B106,'Students (Vertical)'!O:O&lt;&gt;"""",'Students (Vertical)'!P:P&gt;1);filter('Students (Vertical)'!O:O,'Students (Vertical)'!C:C=E106,'"&amp;"Students (Vertical)'!O:O&lt;&gt;"""",'Students (Vertical)'!P:P&gt;1)},countifs({filter('Students (Vertical)'!O:O,'Students (Vertical)'!C:C=B106,'Students (Vertical)'!O:O&lt;&gt;"""",'Students (Vertical)'!P:P&gt;1);filter('Students (Vertical)'!O:O,'Students (Vertical)'!C:C="&amp;"E106,'Students (Vertical)'!O:O&lt;&gt;"""",'Students (Vertical)'!P:P&gt;1)},{filter('Students (Vertical)'!O:O,'Students (Vertical)'!C:C=B106,'Students (Vertical)'!O:O&lt;&gt;"""",'Students (Vertical)'!P:P&gt;1);filter('Students (Vertical)'!O:O,'Students (Vertical)'!C:C=E10"&amp;"6,'Students (Vertical)'!O:O&lt;&gt;"""",'Students (Vertical)'!P:P&gt;1)})&gt;1))),""""),"""")"),"")</f>
        <v/>
      </c>
      <c r="K106" s="358" t="str">
        <f>IFERROR(__xludf.DUMMYFUNCTION("iferror(join("", "",unique(filter({filter('Students (Vertical)'!D:D,'Students (Vertical)'!C:C=B106,'Students (Vertical)'!D:D&lt;&gt;"""");filter('Students (Vertical)'!D:D,'Students (Vertical)'!C:C=E106,'Students (Vertical)'!D:D&lt;&gt;"""")},countifs({filter('Student"&amp;"s (Vertical)'!D:D,'Students (Vertical)'!C:C=B106,'Students (Vertical)'!D:D&lt;&gt;"""");filter('Students (Vertical)'!D:D,'Students (Vertical)'!C:C=E106,'Students (Vertical)'!D:D&lt;&gt;"""")},{filter('Students (Vertical)'!D:D,'Students (Vertical)'!C:C=B106,'Students "&amp;"(Vertical)'!D:D&lt;&gt;"""");filter('Students (Vertical)'!D:D,'Students (Vertical)'!C:C=E106,'Students (Vertical)'!D:D&lt;&gt;"""")})&gt;1))),"""")"),"English 9, Spanish and Literature 9, Algebra I, Biology 9, PE 9, Social Studies 9, Technology 9")</f>
        <v>English 9, Spanish and Literature 9, Algebra I, Biology 9, PE 9, Social Studies 9, Technology 9</v>
      </c>
    </row>
    <row r="107">
      <c r="A107" s="300">
        <v>106.0</v>
      </c>
      <c r="B107" s="45" t="s">
        <v>196</v>
      </c>
      <c r="C107" s="300">
        <v>29021.0</v>
      </c>
      <c r="D107" s="300">
        <v>9.0</v>
      </c>
      <c r="E107" s="45" t="s">
        <v>201</v>
      </c>
      <c r="F107" s="300">
        <v>29072.0</v>
      </c>
      <c r="G107" s="300">
        <v>9.0</v>
      </c>
      <c r="H107" s="45" t="s">
        <v>760</v>
      </c>
      <c r="I107" s="356" t="str">
        <f>IFERROR(__xludf.DUMMYFUNCTION("if(H107=""Must be Together"",iferror(join("", "",unique(filter({filter('Students (Vertical)'!O:O,'Students (Vertical)'!C:C=B107,'Students (Vertical)'!O:O&lt;&gt;"""");filter('Students (Vertical)'!O:O,'Students (Vertical)'!C:C=E107,'Students (Vertical)'!O:O&lt;&gt;"""&amp;""")},countifs({filter('Students (Vertical)'!O:O,'Students (Vertical)'!C:C=B107,'Students (Vertical)'!O:O&lt;&gt;"""");filter('Students (Vertical)'!O:O,'Students (Vertical)'!C:C=E107,'Students (Vertical)'!O:O&lt;&gt;"""")},{filter('Students (Vertical)'!O:O,'Students ("&amp;"Vertical)'!C:C=B107,'Students (Vertical)'!O:O&lt;&gt;"""");filter('Students (Vertical)'!O:O,'Students (Vertical)'!C:C=E107,'Students (Vertical)'!O:O&lt;&gt;"""")})&gt;1))),""No shared courses""),"""")"),"English 9-1, Geometry-8, Biology 9-4, PE 9-6, Social Studies 9-3")</f>
        <v>English 9-1, Geometry-8, Biology 9-4, PE 9-6, Social Studies 9-3</v>
      </c>
      <c r="J107" s="357" t="str">
        <f>IFERROR(__xludf.DUMMYFUNCTION("if(H107=""Can't be Together"",iferror(join("", "",unique(filter({filter('Students (Vertical)'!O:O,'Students (Vertical)'!C:C=B107,'Students (Vertical)'!O:O&lt;&gt;"""",'Students (Vertical)'!P:P&gt;1);filter('Students (Vertical)'!O:O,'Students (Vertical)'!C:C=E107,'"&amp;"Students (Vertical)'!O:O&lt;&gt;"""",'Students (Vertical)'!P:P&gt;1)},countifs({filter('Students (Vertical)'!O:O,'Students (Vertical)'!C:C=B107,'Students (Vertical)'!O:O&lt;&gt;"""",'Students (Vertical)'!P:P&gt;1);filter('Students (Vertical)'!O:O,'Students (Vertical)'!C:C="&amp;"E107,'Students (Vertical)'!O:O&lt;&gt;"""",'Students (Vertical)'!P:P&gt;1)},{filter('Students (Vertical)'!O:O,'Students (Vertical)'!C:C=B107,'Students (Vertical)'!O:O&lt;&gt;"""",'Students (Vertical)'!P:P&gt;1);filter('Students (Vertical)'!O:O,'Students (Vertical)'!C:C=E10"&amp;"7,'Students (Vertical)'!O:O&lt;&gt;"""",'Students (Vertical)'!P:P&gt;1)})&gt;1))),""""),"""")"),"")</f>
        <v/>
      </c>
      <c r="K107" s="358" t="str">
        <f>IFERROR(__xludf.DUMMYFUNCTION("iferror(join("", "",unique(filter({filter('Students (Vertical)'!D:D,'Students (Vertical)'!C:C=B107,'Students (Vertical)'!D:D&lt;&gt;"""");filter('Students (Vertical)'!D:D,'Students (Vertical)'!C:C=E107,'Students (Vertical)'!D:D&lt;&gt;"""")},countifs({filter('Student"&amp;"s (Vertical)'!D:D,'Students (Vertical)'!C:C=B107,'Students (Vertical)'!D:D&lt;&gt;"""");filter('Students (Vertical)'!D:D,'Students (Vertical)'!C:C=E107,'Students (Vertical)'!D:D&lt;&gt;"""")},{filter('Students (Vertical)'!D:D,'Students (Vertical)'!C:C=B107,'Students "&amp;"(Vertical)'!D:D&lt;&gt;"""");filter('Students (Vertical)'!D:D,'Students (Vertical)'!C:C=E107,'Students (Vertical)'!D:D&lt;&gt;"""")})&gt;1))),"""")"),"English 9, Spanish and Literature 9, Geometry, Biology 9, PE 9, Social Studies 9, FRC 9 Robotics")</f>
        <v>English 9, Spanish and Literature 9, Geometry, Biology 9, PE 9, Social Studies 9, FRC 9 Robotics</v>
      </c>
    </row>
    <row r="108">
      <c r="A108" s="300">
        <v>107.0</v>
      </c>
      <c r="B108" s="45" t="s">
        <v>414</v>
      </c>
      <c r="C108" s="300">
        <v>27039.0</v>
      </c>
      <c r="D108" s="300">
        <v>11.0</v>
      </c>
      <c r="E108" s="45" t="s">
        <v>454</v>
      </c>
      <c r="F108" s="300">
        <v>27114.0</v>
      </c>
      <c r="G108" s="300">
        <v>11.0</v>
      </c>
      <c r="H108" s="45" t="s">
        <v>759</v>
      </c>
      <c r="I108" s="356" t="str">
        <f>IFERROR(__xludf.DUMMYFUNCTION("if(H108=""Must be Together"",iferror(join("", "",unique(filter({filter('Students (Vertical)'!O:O,'Students (Vertical)'!C:C=B108,'Students (Vertical)'!O:O&lt;&gt;"""");filter('Students (Vertical)'!O:O,'Students (Vertical)'!C:C=E108,'Students (Vertical)'!O:O&lt;&gt;"""&amp;""")},countifs({filter('Students (Vertical)'!O:O,'Students (Vertical)'!C:C=B108,'Students (Vertical)'!O:O&lt;&gt;"""");filter('Students (Vertical)'!O:O,'Students (Vertical)'!C:C=E108,'Students (Vertical)'!O:O&lt;&gt;"""")},{filter('Students (Vertical)'!O:O,'Students ("&amp;"Vertical)'!C:C=B108,'Students (Vertical)'!O:O&lt;&gt;"""");filter('Students (Vertical)'!O:O,'Students (Vertical)'!C:C=E108,'Students (Vertical)'!O:O&lt;&gt;"""")})&gt;1))),""No shared courses""),"""")"),"")</f>
        <v/>
      </c>
      <c r="J108" s="357" t="str">
        <f>IFERROR(__xludf.DUMMYFUNCTION("if(H108=""Can't be Together"",iferror(join("", "",unique(filter({filter('Students (Vertical)'!O:O,'Students (Vertical)'!C:C=B108,'Students (Vertical)'!O:O&lt;&gt;"""",'Students (Vertical)'!P:P&gt;1);filter('Students (Vertical)'!O:O,'Students (Vertical)'!C:C=E108,'"&amp;"Students (Vertical)'!O:O&lt;&gt;"""",'Students (Vertical)'!P:P&gt;1)},countifs({filter('Students (Vertical)'!O:O,'Students (Vertical)'!C:C=B108,'Students (Vertical)'!O:O&lt;&gt;"""",'Students (Vertical)'!P:P&gt;1);filter('Students (Vertical)'!O:O,'Students (Vertical)'!C:C="&amp;"E108,'Students (Vertical)'!O:O&lt;&gt;"""",'Students (Vertical)'!P:P&gt;1)},{filter('Students (Vertical)'!O:O,'Students (Vertical)'!C:C=B108,'Students (Vertical)'!O:O&lt;&gt;"""",'Students (Vertical)'!P:P&gt;1);filter('Students (Vertical)'!O:O,'Students (Vertical)'!C:C=E10"&amp;"8,'Students (Vertical)'!O:O&lt;&gt;"""",'Students (Vertical)'!P:P&gt;1)})&gt;1))),""""),"""")"),"")</f>
        <v/>
      </c>
      <c r="K108" s="358" t="str">
        <f>IFERROR(__xludf.DUMMYFUNCTION("iferror(join("", "",unique(filter({filter('Students (Vertical)'!D:D,'Students (Vertical)'!C:C=B108,'Students (Vertical)'!D:D&lt;&gt;"""");filter('Students (Vertical)'!D:D,'Students (Vertical)'!C:C=E108,'Students (Vertical)'!D:D&lt;&gt;"""")},countifs({filter('Student"&amp;"s (Vertical)'!D:D,'Students (Vertical)'!C:C=B108,'Students (Vertical)'!D:D&lt;&gt;"""");filter('Students (Vertical)'!D:D,'Students (Vertical)'!C:C=E108,'Students (Vertical)'!D:D&lt;&gt;"""")},{filter('Students (Vertical)'!D:D,'Students (Vertical)'!C:C=B108,'Students "&amp;"(Vertical)'!D:D&lt;&gt;"""");filter('Students (Vertical)'!D:D,'Students (Vertical)'!C:C=E108,'Students (Vertical)'!D:D&lt;&gt;"""")})&gt;1))),"""")"),"Physics, PE 11")</f>
        <v>Physics, PE 11</v>
      </c>
    </row>
    <row r="109">
      <c r="A109" s="300">
        <v>108.0</v>
      </c>
      <c r="B109" s="45" t="s">
        <v>414</v>
      </c>
      <c r="C109" s="300">
        <v>27039.0</v>
      </c>
      <c r="D109" s="300">
        <v>11.0</v>
      </c>
      <c r="E109" s="45" t="s">
        <v>437</v>
      </c>
      <c r="F109" s="300">
        <v>27078.0</v>
      </c>
      <c r="G109" s="300">
        <v>11.0</v>
      </c>
      <c r="H109" s="45" t="s">
        <v>759</v>
      </c>
      <c r="I109" s="356" t="str">
        <f>IFERROR(__xludf.DUMMYFUNCTION("if(H109=""Must be Together"",iferror(join("", "",unique(filter({filter('Students (Vertical)'!O:O,'Students (Vertical)'!C:C=B109,'Students (Vertical)'!O:O&lt;&gt;"""");filter('Students (Vertical)'!O:O,'Students (Vertical)'!C:C=E109,'Students (Vertical)'!O:O&lt;&gt;"""&amp;""")},countifs({filter('Students (Vertical)'!O:O,'Students (Vertical)'!C:C=B109,'Students (Vertical)'!O:O&lt;&gt;"""");filter('Students (Vertical)'!O:O,'Students (Vertical)'!C:C=E109,'Students (Vertical)'!O:O&lt;&gt;"""")},{filter('Students (Vertical)'!O:O,'Students ("&amp;"Vertical)'!C:C=B109,'Students (Vertical)'!O:O&lt;&gt;"""");filter('Students (Vertical)'!O:O,'Students (Vertical)'!C:C=E109,'Students (Vertical)'!O:O&lt;&gt;"""")})&gt;1))),""No shared courses""),"""")"),"")</f>
        <v/>
      </c>
      <c r="J109" s="357" t="str">
        <f>IFERROR(__xludf.DUMMYFUNCTION("if(H109=""Can't be Together"",iferror(join("", "",unique(filter({filter('Students (Vertical)'!O:O,'Students (Vertical)'!C:C=B109,'Students (Vertical)'!O:O&lt;&gt;"""",'Students (Vertical)'!P:P&gt;1);filter('Students (Vertical)'!O:O,'Students (Vertical)'!C:C=E109,'"&amp;"Students (Vertical)'!O:O&lt;&gt;"""",'Students (Vertical)'!P:P&gt;1)},countifs({filter('Students (Vertical)'!O:O,'Students (Vertical)'!C:C=B109,'Students (Vertical)'!O:O&lt;&gt;"""",'Students (Vertical)'!P:P&gt;1);filter('Students (Vertical)'!O:O,'Students (Vertical)'!C:C="&amp;"E109,'Students (Vertical)'!O:O&lt;&gt;"""",'Students (Vertical)'!P:P&gt;1)},{filter('Students (Vertical)'!O:O,'Students (Vertical)'!C:C=B109,'Students (Vertical)'!O:O&lt;&gt;"""",'Students (Vertical)'!P:P&gt;1);filter('Students (Vertical)'!O:O,'Students (Vertical)'!C:C=E10"&amp;"9,'Students (Vertical)'!O:O&lt;&gt;"""",'Students (Vertical)'!P:P&gt;1)})&gt;1))),""""),"""")"),"")</f>
        <v/>
      </c>
      <c r="K109" s="358" t="str">
        <f>IFERROR(__xludf.DUMMYFUNCTION("iferror(join("", "",unique(filter({filter('Students (Vertical)'!D:D,'Students (Vertical)'!C:C=B109,'Students (Vertical)'!D:D&lt;&gt;"""");filter('Students (Vertical)'!D:D,'Students (Vertical)'!C:C=E109,'Students (Vertical)'!D:D&lt;&gt;"""")},countifs({filter('Student"&amp;"s (Vertical)'!D:D,'Students (Vertical)'!C:C=B109,'Students (Vertical)'!D:D&lt;&gt;"""");filter('Students (Vertical)'!D:D,'Students (Vertical)'!C:C=E109,'Students (Vertical)'!D:D&lt;&gt;"""")},{filter('Students (Vertical)'!D:D,'Students (Vertical)'!C:C=B109,'Students "&amp;"(Vertical)'!D:D&lt;&gt;"""");filter('Students (Vertical)'!D:D,'Students (Vertical)'!C:C=E109,'Students (Vertical)'!D:D&lt;&gt;"""")})&gt;1))),"""")"),"Algebra II, Physics, PE 11, AP Psychology")</f>
        <v>Algebra II, Physics, PE 11, AP Psychology</v>
      </c>
    </row>
    <row r="110">
      <c r="A110" s="300">
        <v>109.0</v>
      </c>
      <c r="B110" s="45" t="s">
        <v>414</v>
      </c>
      <c r="C110" s="300">
        <v>27039.0</v>
      </c>
      <c r="D110" s="300">
        <v>11.0</v>
      </c>
      <c r="E110" s="45" t="s">
        <v>543</v>
      </c>
      <c r="F110" s="300">
        <v>26081.0</v>
      </c>
      <c r="G110" s="300">
        <v>12.0</v>
      </c>
      <c r="H110" s="45" t="s">
        <v>760</v>
      </c>
      <c r="I110" s="356" t="str">
        <f>IFERROR(__xludf.DUMMYFUNCTION("if(H110=""Must be Together"",iferror(join("", "",unique(filter({filter('Students (Vertical)'!O:O,'Students (Vertical)'!C:C=B110,'Students (Vertical)'!O:O&lt;&gt;"""");filter('Students (Vertical)'!O:O,'Students (Vertical)'!C:C=E110,'Students (Vertical)'!O:O&lt;&gt;"""&amp;""")},countifs({filter('Students (Vertical)'!O:O,'Students (Vertical)'!C:C=B110,'Students (Vertical)'!O:O&lt;&gt;"""");filter('Students (Vertical)'!O:O,'Students (Vertical)'!C:C=E110,'Students (Vertical)'!O:O&lt;&gt;"""")},{filter('Students (Vertical)'!O:O,'Students ("&amp;"Vertical)'!C:C=B110,'Students (Vertical)'!O:O&lt;&gt;"""");filter('Students (Vertical)'!O:O,'Students (Vertical)'!C:C=E110,'Students (Vertical)'!O:O&lt;&gt;"""")})&gt;1))),""No shared courses""),"""")"),"No shared courses")</f>
        <v>No shared courses</v>
      </c>
      <c r="J110" s="357" t="str">
        <f>IFERROR(__xludf.DUMMYFUNCTION("if(H110=""Can't be Together"",iferror(join("", "",unique(filter({filter('Students (Vertical)'!O:O,'Students (Vertical)'!C:C=B110,'Students (Vertical)'!O:O&lt;&gt;"""",'Students (Vertical)'!P:P&gt;1);filter('Students (Vertical)'!O:O,'Students (Vertical)'!C:C=E110,'"&amp;"Students (Vertical)'!O:O&lt;&gt;"""",'Students (Vertical)'!P:P&gt;1)},countifs({filter('Students (Vertical)'!O:O,'Students (Vertical)'!C:C=B110,'Students (Vertical)'!O:O&lt;&gt;"""",'Students (Vertical)'!P:P&gt;1);filter('Students (Vertical)'!O:O,'Students (Vertical)'!C:C="&amp;"E110,'Students (Vertical)'!O:O&lt;&gt;"""",'Students (Vertical)'!P:P&gt;1)},{filter('Students (Vertical)'!O:O,'Students (Vertical)'!C:C=B110,'Students (Vertical)'!O:O&lt;&gt;"""",'Students (Vertical)'!P:P&gt;1);filter('Students (Vertical)'!O:O,'Students (Vertical)'!C:C=E11"&amp;"0,'Students (Vertical)'!O:O&lt;&gt;"""",'Students (Vertical)'!P:P&gt;1)})&gt;1))),""""),"""")"),"")</f>
        <v/>
      </c>
      <c r="K110" s="358" t="str">
        <f>IFERROR(__xludf.DUMMYFUNCTION("iferror(join("", "",unique(filter({filter('Students (Vertical)'!D:D,'Students (Vertical)'!C:C=B110,'Students (Vertical)'!D:D&lt;&gt;"""");filter('Students (Vertical)'!D:D,'Students (Vertical)'!C:C=E110,'Students (Vertical)'!D:D&lt;&gt;"""")},countifs({filter('Student"&amp;"s (Vertical)'!D:D,'Students (Vertical)'!C:C=B110,'Students (Vertical)'!D:D&lt;&gt;"""");filter('Students (Vertical)'!D:D,'Students (Vertical)'!C:C=E110,'Students (Vertical)'!D:D&lt;&gt;"""")},{filter('Students (Vertical)'!D:D,'Students (Vertical)'!C:C=B110,'Students "&amp;"(Vertical)'!D:D&lt;&gt;"""");filter('Students (Vertical)'!D:D,'Students (Vertical)'!C:C=E110,'Students (Vertical)'!D:D&lt;&gt;"""")})&gt;1))),"""")"),"AP World History")</f>
        <v>AP World History</v>
      </c>
    </row>
    <row r="111">
      <c r="A111" s="300">
        <v>110.0</v>
      </c>
      <c r="B111" s="45" t="s">
        <v>414</v>
      </c>
      <c r="C111" s="300">
        <v>27039.0</v>
      </c>
      <c r="D111" s="300">
        <v>11.0</v>
      </c>
      <c r="E111" s="45" t="s">
        <v>485</v>
      </c>
      <c r="F111" s="300">
        <v>27006.0</v>
      </c>
      <c r="G111" s="300">
        <v>11.0</v>
      </c>
      <c r="H111" s="45" t="s">
        <v>760</v>
      </c>
      <c r="I111" s="356" t="str">
        <f>IFERROR(__xludf.DUMMYFUNCTION("if(H111=""Must be Together"",iferror(join("", "",unique(filter({filter('Students (Vertical)'!O:O,'Students (Vertical)'!C:C=B111,'Students (Vertical)'!O:O&lt;&gt;"""");filter('Students (Vertical)'!O:O,'Students (Vertical)'!C:C=E111,'Students (Vertical)'!O:O&lt;&gt;"""&amp;""")},countifs({filter('Students (Vertical)'!O:O,'Students (Vertical)'!C:C=B111,'Students (Vertical)'!O:O&lt;&gt;"""");filter('Students (Vertical)'!O:O,'Students (Vertical)'!C:C=E111,'Students (Vertical)'!O:O&lt;&gt;"""")},{filter('Students (Vertical)'!O:O,'Students ("&amp;"Vertical)'!C:C=B111,'Students (Vertical)'!O:O&lt;&gt;"""");filter('Students (Vertical)'!O:O,'Students (Vertical)'!C:C=E111,'Students (Vertical)'!O:O&lt;&gt;"""")})&gt;1))),""No shared courses""),"""")"),"Painting I-7, AP World History-6")</f>
        <v>Painting I-7, AP World History-6</v>
      </c>
      <c r="J111" s="357" t="str">
        <f>IFERROR(__xludf.DUMMYFUNCTION("if(H111=""Can't be Together"",iferror(join("", "",unique(filter({filter('Students (Vertical)'!O:O,'Students (Vertical)'!C:C=B111,'Students (Vertical)'!O:O&lt;&gt;"""",'Students (Vertical)'!P:P&gt;1);filter('Students (Vertical)'!O:O,'Students (Vertical)'!C:C=E111,'"&amp;"Students (Vertical)'!O:O&lt;&gt;"""",'Students (Vertical)'!P:P&gt;1)},countifs({filter('Students (Vertical)'!O:O,'Students (Vertical)'!C:C=B111,'Students (Vertical)'!O:O&lt;&gt;"""",'Students (Vertical)'!P:P&gt;1);filter('Students (Vertical)'!O:O,'Students (Vertical)'!C:C="&amp;"E111,'Students (Vertical)'!O:O&lt;&gt;"""",'Students (Vertical)'!P:P&gt;1)},{filter('Students (Vertical)'!O:O,'Students (Vertical)'!C:C=B111,'Students (Vertical)'!O:O&lt;&gt;"""",'Students (Vertical)'!P:P&gt;1);filter('Students (Vertical)'!O:O,'Students (Vertical)'!C:C=E11"&amp;"1,'Students (Vertical)'!O:O&lt;&gt;"""",'Students (Vertical)'!P:P&gt;1)})&gt;1))),""""),"""")"),"")</f>
        <v/>
      </c>
      <c r="K111" s="358" t="str">
        <f>IFERROR(__xludf.DUMMYFUNCTION("iferror(join("", "",unique(filter({filter('Students (Vertical)'!D:D,'Students (Vertical)'!C:C=B111,'Students (Vertical)'!D:D&lt;&gt;"""");filter('Students (Vertical)'!D:D,'Students (Vertical)'!C:C=E111,'Students (Vertical)'!D:D&lt;&gt;"""")},countifs({filter('Student"&amp;"s (Vertical)'!D:D,'Students (Vertical)'!C:C=B111,'Students (Vertical)'!D:D&lt;&gt;"""");filter('Students (Vertical)'!D:D,'Students (Vertical)'!C:C=E111,'Students (Vertical)'!D:D&lt;&gt;"""")},{filter('Students (Vertical)'!D:D,'Students (Vertical)'!C:C=B111,'Students "&amp;"(Vertical)'!D:D&lt;&gt;"""");filter('Students (Vertical)'!D:D,'Students (Vertical)'!C:C=E111,'Students (Vertical)'!D:D&lt;&gt;"""")})&gt;1))),"""")"),"Physics, PE 11, Painting I, AP World History")</f>
        <v>Physics, PE 11, Painting I, AP World History</v>
      </c>
    </row>
    <row r="112">
      <c r="A112" s="300">
        <v>111.0</v>
      </c>
      <c r="B112" s="45" t="s">
        <v>414</v>
      </c>
      <c r="C112" s="300">
        <v>27039.0</v>
      </c>
      <c r="D112" s="300">
        <v>11.0</v>
      </c>
      <c r="E112" s="45" t="s">
        <v>523</v>
      </c>
      <c r="F112" s="300">
        <v>27049.0</v>
      </c>
      <c r="G112" s="300">
        <v>11.0</v>
      </c>
      <c r="H112" s="45" t="s">
        <v>760</v>
      </c>
      <c r="I112" s="356" t="str">
        <f>IFERROR(__xludf.DUMMYFUNCTION("if(H112=""Must be Together"",iferror(join("", "",unique(filter({filter('Students (Vertical)'!O:O,'Students (Vertical)'!C:C=B112,'Students (Vertical)'!O:O&lt;&gt;"""");filter('Students (Vertical)'!O:O,'Students (Vertical)'!C:C=E112,'Students (Vertical)'!O:O&lt;&gt;"""&amp;""")},countifs({filter('Students (Vertical)'!O:O,'Students (Vertical)'!C:C=B112,'Students (Vertical)'!O:O&lt;&gt;"""");filter('Students (Vertical)'!O:O,'Students (Vertical)'!C:C=E112,'Students (Vertical)'!O:O&lt;&gt;"""")},{filter('Students (Vertical)'!O:O,'Students ("&amp;"Vertical)'!C:C=B112,'Students (Vertical)'!O:O&lt;&gt;"""");filter('Students (Vertical)'!O:O,'Students (Vertical)'!C:C=E112,'Students (Vertical)'!O:O&lt;&gt;"""")})&gt;1))),""No shared courses""),"""")"),"Physics-2, PE 11-3, AP Psychology-5")</f>
        <v>Physics-2, PE 11-3, AP Psychology-5</v>
      </c>
      <c r="J112" s="357" t="str">
        <f>IFERROR(__xludf.DUMMYFUNCTION("if(H112=""Can't be Together"",iferror(join("", "",unique(filter({filter('Students (Vertical)'!O:O,'Students (Vertical)'!C:C=B112,'Students (Vertical)'!O:O&lt;&gt;"""",'Students (Vertical)'!P:P&gt;1);filter('Students (Vertical)'!O:O,'Students (Vertical)'!C:C=E112,'"&amp;"Students (Vertical)'!O:O&lt;&gt;"""",'Students (Vertical)'!P:P&gt;1)},countifs({filter('Students (Vertical)'!O:O,'Students (Vertical)'!C:C=B112,'Students (Vertical)'!O:O&lt;&gt;"""",'Students (Vertical)'!P:P&gt;1);filter('Students (Vertical)'!O:O,'Students (Vertical)'!C:C="&amp;"E112,'Students (Vertical)'!O:O&lt;&gt;"""",'Students (Vertical)'!P:P&gt;1)},{filter('Students (Vertical)'!O:O,'Students (Vertical)'!C:C=B112,'Students (Vertical)'!O:O&lt;&gt;"""",'Students (Vertical)'!P:P&gt;1);filter('Students (Vertical)'!O:O,'Students (Vertical)'!C:C=E11"&amp;"2,'Students (Vertical)'!O:O&lt;&gt;"""",'Students (Vertical)'!P:P&gt;1)})&gt;1))),""""),"""")"),"")</f>
        <v/>
      </c>
      <c r="K112" s="358" t="str">
        <f>IFERROR(__xludf.DUMMYFUNCTION("iferror(join("", "",unique(filter({filter('Students (Vertical)'!D:D,'Students (Vertical)'!C:C=B112,'Students (Vertical)'!D:D&lt;&gt;"""");filter('Students (Vertical)'!D:D,'Students (Vertical)'!C:C=E112,'Students (Vertical)'!D:D&lt;&gt;"""")},countifs({filter('Student"&amp;"s (Vertical)'!D:D,'Students (Vertical)'!C:C=B112,'Students (Vertical)'!D:D&lt;&gt;"""");filter('Students (Vertical)'!D:D,'Students (Vertical)'!C:C=E112,'Students (Vertical)'!D:D&lt;&gt;"""")},{filter('Students (Vertical)'!D:D,'Students (Vertical)'!C:C=B112,'Students "&amp;"(Vertical)'!D:D&lt;&gt;"""");filter('Students (Vertical)'!D:D,'Students (Vertical)'!C:C=E112,'Students (Vertical)'!D:D&lt;&gt;"""")})&gt;1))),"""")"),"Algebra II, Physics, PE 11, AP Psychology")</f>
        <v>Algebra II, Physics, PE 11, AP Psychology</v>
      </c>
    </row>
    <row r="113">
      <c r="A113" s="300">
        <v>112.0</v>
      </c>
      <c r="B113" s="45" t="s">
        <v>414</v>
      </c>
      <c r="C113" s="300">
        <v>27039.0</v>
      </c>
      <c r="D113" s="300">
        <v>11.0</v>
      </c>
      <c r="E113" s="45" t="s">
        <v>475</v>
      </c>
      <c r="F113" s="300">
        <v>27113.0</v>
      </c>
      <c r="G113" s="300">
        <v>11.0</v>
      </c>
      <c r="H113" s="45" t="s">
        <v>760</v>
      </c>
      <c r="I113" s="356" t="str">
        <f>IFERROR(__xludf.DUMMYFUNCTION("if(H113=""Must be Together"",iferror(join("", "",unique(filter({filter('Students (Vertical)'!O:O,'Students (Vertical)'!C:C=B113,'Students (Vertical)'!O:O&lt;&gt;"""");filter('Students (Vertical)'!O:O,'Students (Vertical)'!C:C=E113,'Students (Vertical)'!O:O&lt;&gt;"""&amp;""")},countifs({filter('Students (Vertical)'!O:O,'Students (Vertical)'!C:C=B113,'Students (Vertical)'!O:O&lt;&gt;"""");filter('Students (Vertical)'!O:O,'Students (Vertical)'!C:C=E113,'Students (Vertical)'!O:O&lt;&gt;"""")},{filter('Students (Vertical)'!O:O,'Students ("&amp;"Vertical)'!C:C=B113,'Students (Vertical)'!O:O&lt;&gt;"""");filter('Students (Vertical)'!O:O,'Students (Vertical)'!C:C=E113,'Students (Vertical)'!O:O&lt;&gt;"""")})&gt;1))),""No shared courses""),"""")"),"No shared courses")</f>
        <v>No shared courses</v>
      </c>
      <c r="J113" s="357" t="str">
        <f>IFERROR(__xludf.DUMMYFUNCTION("if(H113=""Can't be Together"",iferror(join("", "",unique(filter({filter('Students (Vertical)'!O:O,'Students (Vertical)'!C:C=B113,'Students (Vertical)'!O:O&lt;&gt;"""",'Students (Vertical)'!P:P&gt;1);filter('Students (Vertical)'!O:O,'Students (Vertical)'!C:C=E113,'"&amp;"Students (Vertical)'!O:O&lt;&gt;"""",'Students (Vertical)'!P:P&gt;1)},countifs({filter('Students (Vertical)'!O:O,'Students (Vertical)'!C:C=B113,'Students (Vertical)'!O:O&lt;&gt;"""",'Students (Vertical)'!P:P&gt;1);filter('Students (Vertical)'!O:O,'Students (Vertical)'!C:C="&amp;"E113,'Students (Vertical)'!O:O&lt;&gt;"""",'Students (Vertical)'!P:P&gt;1)},{filter('Students (Vertical)'!O:O,'Students (Vertical)'!C:C=B113,'Students (Vertical)'!O:O&lt;&gt;"""",'Students (Vertical)'!P:P&gt;1);filter('Students (Vertical)'!O:O,'Students (Vertical)'!C:C=E11"&amp;"3,'Students (Vertical)'!O:O&lt;&gt;"""",'Students (Vertical)'!P:P&gt;1)})&gt;1))),""""),"""")"),"")</f>
        <v/>
      </c>
      <c r="K113" s="358" t="str">
        <f>IFERROR(__xludf.DUMMYFUNCTION("iferror(join("", "",unique(filter({filter('Students (Vertical)'!D:D,'Students (Vertical)'!C:C=B113,'Students (Vertical)'!D:D&lt;&gt;"""");filter('Students (Vertical)'!D:D,'Students (Vertical)'!C:C=E113,'Students (Vertical)'!D:D&lt;&gt;"""")},countifs({filter('Student"&amp;"s (Vertical)'!D:D,'Students (Vertical)'!C:C=B113,'Students (Vertical)'!D:D&lt;&gt;"""");filter('Students (Vertical)'!D:D,'Students (Vertical)'!C:C=E113,'Students (Vertical)'!D:D&lt;&gt;"""")},{filter('Students (Vertical)'!D:D,'Students (Vertical)'!C:C=B113,'Students "&amp;"(Vertical)'!D:D&lt;&gt;"""");filter('Students (Vertical)'!D:D,'Students (Vertical)'!C:C=E113,'Students (Vertical)'!D:D&lt;&gt;"""")})&gt;1))),"""")"),"Spanish Film, Art, and Literature, PE 11")</f>
        <v>Spanish Film, Art, and Literature, PE 11</v>
      </c>
    </row>
    <row r="114">
      <c r="A114" s="300">
        <v>113.0</v>
      </c>
      <c r="B114" s="45" t="s">
        <v>414</v>
      </c>
      <c r="C114" s="300">
        <v>27039.0</v>
      </c>
      <c r="D114" s="300">
        <v>11.0</v>
      </c>
      <c r="E114" s="45" t="s">
        <v>526</v>
      </c>
      <c r="F114" s="300">
        <v>27109.0</v>
      </c>
      <c r="G114" s="300">
        <v>11.0</v>
      </c>
      <c r="H114" s="45" t="s">
        <v>760</v>
      </c>
      <c r="I114" s="356" t="str">
        <f>IFERROR(__xludf.DUMMYFUNCTION("if(H114=""Must be Together"",iferror(join("", "",unique(filter({filter('Students (Vertical)'!O:O,'Students (Vertical)'!C:C=B114,'Students (Vertical)'!O:O&lt;&gt;"""");filter('Students (Vertical)'!O:O,'Students (Vertical)'!C:C=E114,'Students (Vertical)'!O:O&lt;&gt;"""&amp;""")},countifs({filter('Students (Vertical)'!O:O,'Students (Vertical)'!C:C=B114,'Students (Vertical)'!O:O&lt;&gt;"""");filter('Students (Vertical)'!O:O,'Students (Vertical)'!C:C=E114,'Students (Vertical)'!O:O&lt;&gt;"""")},{filter('Students (Vertical)'!O:O,'Students ("&amp;"Vertical)'!C:C=B114,'Students (Vertical)'!O:O&lt;&gt;"""");filter('Students (Vertical)'!O:O,'Students (Vertical)'!C:C=E114,'Students (Vertical)'!O:O&lt;&gt;"""")})&gt;1))),""No shared courses""),"""")"),"AP World History-6")</f>
        <v>AP World History-6</v>
      </c>
      <c r="J114" s="357" t="str">
        <f>IFERROR(__xludf.DUMMYFUNCTION("if(H114=""Can't be Together"",iferror(join("", "",unique(filter({filter('Students (Vertical)'!O:O,'Students (Vertical)'!C:C=B114,'Students (Vertical)'!O:O&lt;&gt;"""",'Students (Vertical)'!P:P&gt;1);filter('Students (Vertical)'!O:O,'Students (Vertical)'!C:C=E114,'"&amp;"Students (Vertical)'!O:O&lt;&gt;"""",'Students (Vertical)'!P:P&gt;1)},countifs({filter('Students (Vertical)'!O:O,'Students (Vertical)'!C:C=B114,'Students (Vertical)'!O:O&lt;&gt;"""",'Students (Vertical)'!P:P&gt;1);filter('Students (Vertical)'!O:O,'Students (Vertical)'!C:C="&amp;"E114,'Students (Vertical)'!O:O&lt;&gt;"""",'Students (Vertical)'!P:P&gt;1)},{filter('Students (Vertical)'!O:O,'Students (Vertical)'!C:C=B114,'Students (Vertical)'!O:O&lt;&gt;"""",'Students (Vertical)'!P:P&gt;1);filter('Students (Vertical)'!O:O,'Students (Vertical)'!C:C=E11"&amp;"4,'Students (Vertical)'!O:O&lt;&gt;"""",'Students (Vertical)'!P:P&gt;1)})&gt;1))),""""),"""")"),"")</f>
        <v/>
      </c>
      <c r="K114" s="358" t="str">
        <f>IFERROR(__xludf.DUMMYFUNCTION("iferror(join("", "",unique(filter({filter('Students (Vertical)'!D:D,'Students (Vertical)'!C:C=B114,'Students (Vertical)'!D:D&lt;&gt;"""");filter('Students (Vertical)'!D:D,'Students (Vertical)'!C:C=E114,'Students (Vertical)'!D:D&lt;&gt;"""")},countifs({filter('Student"&amp;"s (Vertical)'!D:D,'Students (Vertical)'!C:C=B114,'Students (Vertical)'!D:D&lt;&gt;"""");filter('Students (Vertical)'!D:D,'Students (Vertical)'!C:C=E114,'Students (Vertical)'!D:D&lt;&gt;"""")},{filter('Students (Vertical)'!D:D,'Students (Vertical)'!C:C=B114,'Students "&amp;"(Vertical)'!D:D&lt;&gt;"""");filter('Students (Vertical)'!D:D,'Students (Vertical)'!C:C=E114,'Students (Vertical)'!D:D&lt;&gt;"""")})&gt;1))),"""")"),"PE 11, AP World History")</f>
        <v>PE 11, AP World History</v>
      </c>
    </row>
    <row r="115">
      <c r="A115" s="300" t="s">
        <v>22</v>
      </c>
      <c r="B115" s="45" t="s">
        <v>547</v>
      </c>
      <c r="C115" s="300">
        <v>26163.0</v>
      </c>
      <c r="D115" s="300">
        <v>12.0</v>
      </c>
      <c r="E115" s="45" t="s">
        <v>452</v>
      </c>
      <c r="F115" s="300">
        <v>27134.0</v>
      </c>
      <c r="G115" s="300">
        <v>11.0</v>
      </c>
      <c r="H115" s="45" t="s">
        <v>759</v>
      </c>
      <c r="I115" s="356" t="str">
        <f>IFERROR(__xludf.DUMMYFUNCTION("if(H115=""Must be Together"",iferror(join("", "",unique(filter({filter('Students (Vertical)'!O:O,'Students (Vertical)'!C:C=B115,'Students (Vertical)'!O:O&lt;&gt;"""");filter('Students (Vertical)'!O:O,'Students (Vertical)'!C:C=E115,'Students (Vertical)'!O:O&lt;&gt;"""&amp;""")},countifs({filter('Students (Vertical)'!O:O,'Students (Vertical)'!C:C=B115,'Students (Vertical)'!O:O&lt;&gt;"""");filter('Students (Vertical)'!O:O,'Students (Vertical)'!C:C=E115,'Students (Vertical)'!O:O&lt;&gt;"""")},{filter('Students (Vertical)'!O:O,'Students ("&amp;"Vertical)'!C:C=B115,'Students (Vertical)'!O:O&lt;&gt;"""");filter('Students (Vertical)'!O:O,'Students (Vertical)'!C:C=E115,'Students (Vertical)'!O:O&lt;&gt;"""")})&gt;1))),""No shared courses""),"""")"),"")</f>
        <v/>
      </c>
      <c r="J115" s="357" t="str">
        <f>IFERROR(__xludf.DUMMYFUNCTION("if(H115=""Can't be Together"",iferror(join("", "",unique(filter({filter('Students (Vertical)'!O:O,'Students (Vertical)'!C:C=B115,'Students (Vertical)'!O:O&lt;&gt;"""",'Students (Vertical)'!P:P&gt;1);filter('Students (Vertical)'!O:O,'Students (Vertical)'!C:C=E115,'"&amp;"Students (Vertical)'!O:O&lt;&gt;"""",'Students (Vertical)'!P:P&gt;1)},countifs({filter('Students (Vertical)'!O:O,'Students (Vertical)'!C:C=B115,'Students (Vertical)'!O:O&lt;&gt;"""",'Students (Vertical)'!P:P&gt;1);filter('Students (Vertical)'!O:O,'Students (Vertical)'!C:C="&amp;"E115,'Students (Vertical)'!O:O&lt;&gt;"""",'Students (Vertical)'!P:P&gt;1)},{filter('Students (Vertical)'!O:O,'Students (Vertical)'!C:C=B115,'Students (Vertical)'!O:O&lt;&gt;"""",'Students (Vertical)'!P:P&gt;1);filter('Students (Vertical)'!O:O,'Students (Vertical)'!C:C=E11"&amp;"5,'Students (Vertical)'!O:O&lt;&gt;"""",'Students (Vertical)'!P:P&gt;1)})&gt;1))),""""),"""")"),"")</f>
        <v/>
      </c>
      <c r="K115" s="358" t="str">
        <f>IFERROR(__xludf.DUMMYFUNCTION("iferror(join("", "",unique(filter({filter('Students (Vertical)'!D:D,'Students (Vertical)'!C:C=B115,'Students (Vertical)'!D:D&lt;&gt;"""");filter('Students (Vertical)'!D:D,'Students (Vertical)'!C:C=E115,'Students (Vertical)'!D:D&lt;&gt;"""")},countifs({filter('Student"&amp;"s (Vertical)'!D:D,'Students (Vertical)'!C:C=B115,'Students (Vertical)'!D:D&lt;&gt;"""");filter('Students (Vertical)'!D:D,'Students (Vertical)'!C:C=E115,'Students (Vertical)'!D:D&lt;&gt;"""")},{filter('Students (Vertical)'!D:D,'Students (Vertical)'!C:C=B115,'Students "&amp;"(Vertical)'!D:D&lt;&gt;"""");filter('Students (Vertical)'!D:D,'Students (Vertical)'!C:C=E115,'Students (Vertical)'!D:D&lt;&gt;"""")})&gt;1))),"""")"),"")</f>
        <v/>
      </c>
    </row>
    <row r="116">
      <c r="A116" s="300">
        <v>115.0</v>
      </c>
      <c r="B116" s="45" t="s">
        <v>274</v>
      </c>
      <c r="C116" s="300">
        <v>29169.0</v>
      </c>
      <c r="D116" s="300">
        <v>9.0</v>
      </c>
      <c r="E116" s="45" t="s">
        <v>193</v>
      </c>
      <c r="F116" s="300">
        <v>29038.0</v>
      </c>
      <c r="G116" s="300">
        <v>9.0</v>
      </c>
      <c r="H116" s="45" t="s">
        <v>759</v>
      </c>
      <c r="I116" s="356" t="str">
        <f>IFERROR(__xludf.DUMMYFUNCTION("if(H116=""Must be Together"",iferror(join("", "",unique(filter({filter('Students (Vertical)'!O:O,'Students (Vertical)'!C:C=B116,'Students (Vertical)'!O:O&lt;&gt;"""");filter('Students (Vertical)'!O:O,'Students (Vertical)'!C:C=E116,'Students (Vertical)'!O:O&lt;&gt;"""&amp;""")},countifs({filter('Students (Vertical)'!O:O,'Students (Vertical)'!C:C=B116,'Students (Vertical)'!O:O&lt;&gt;"""");filter('Students (Vertical)'!O:O,'Students (Vertical)'!C:C=E116,'Students (Vertical)'!O:O&lt;&gt;"""")},{filter('Students (Vertical)'!O:O,'Students ("&amp;"Vertical)'!C:C=B116,'Students (Vertical)'!O:O&lt;&gt;"""");filter('Students (Vertical)'!O:O,'Students (Vertical)'!C:C=E116,'Students (Vertical)'!O:O&lt;&gt;"""")})&gt;1))),""No shared courses""),"""")"),"")</f>
        <v/>
      </c>
      <c r="J116" s="357" t="str">
        <f>IFERROR(__xludf.DUMMYFUNCTION("if(H116=""Can't be Together"",iferror(join("", "",unique(filter({filter('Students (Vertical)'!O:O,'Students (Vertical)'!C:C=B116,'Students (Vertical)'!O:O&lt;&gt;"""",'Students (Vertical)'!P:P&gt;1);filter('Students (Vertical)'!O:O,'Students (Vertical)'!C:C=E116,'"&amp;"Students (Vertical)'!O:O&lt;&gt;"""",'Students (Vertical)'!P:P&gt;1)},countifs({filter('Students (Vertical)'!O:O,'Students (Vertical)'!C:C=B116,'Students (Vertical)'!O:O&lt;&gt;"""",'Students (Vertical)'!P:P&gt;1);filter('Students (Vertical)'!O:O,'Students (Vertical)'!C:C="&amp;"E116,'Students (Vertical)'!O:O&lt;&gt;"""",'Students (Vertical)'!P:P&gt;1)},{filter('Students (Vertical)'!O:O,'Students (Vertical)'!C:C=B116,'Students (Vertical)'!O:O&lt;&gt;"""",'Students (Vertical)'!P:P&gt;1);filter('Students (Vertical)'!O:O,'Students (Vertical)'!C:C=E11"&amp;"6,'Students (Vertical)'!O:O&lt;&gt;"""",'Students (Vertical)'!P:P&gt;1)})&gt;1))),""""),"""")"),"")</f>
        <v/>
      </c>
      <c r="K116" s="358" t="str">
        <f>IFERROR(__xludf.DUMMYFUNCTION("iferror(join("", "",unique(filter({filter('Students (Vertical)'!D:D,'Students (Vertical)'!C:C=B116,'Students (Vertical)'!D:D&lt;&gt;"""");filter('Students (Vertical)'!D:D,'Students (Vertical)'!C:C=E116,'Students (Vertical)'!D:D&lt;&gt;"""")},countifs({filter('Student"&amp;"s (Vertical)'!D:D,'Students (Vertical)'!C:C=B116,'Students (Vertical)'!D:D&lt;&gt;"""");filter('Students (Vertical)'!D:D,'Students (Vertical)'!C:C=E116,'Students (Vertical)'!D:D&lt;&gt;"""")},{filter('Students (Vertical)'!D:D,'Students (Vertical)'!C:C=B116,'Students "&amp;"(Vertical)'!D:D&lt;&gt;"""");filter('Students (Vertical)'!D:D,'Students (Vertical)'!C:C=E116,'Students (Vertical)'!D:D&lt;&gt;"""")})&gt;1))),"""")"),"English 9, Spanish and Literature 9, Algebra I, Biology 9, PE 9, Social Studies 9, Technology 9")</f>
        <v>English 9, Spanish and Literature 9, Algebra I, Biology 9, PE 9, Social Studies 9, Technology 9</v>
      </c>
    </row>
    <row r="117">
      <c r="A117" s="300">
        <v>116.0</v>
      </c>
      <c r="B117" s="45" t="s">
        <v>476</v>
      </c>
      <c r="C117" s="300">
        <v>27042.0</v>
      </c>
      <c r="D117" s="300">
        <v>11.0</v>
      </c>
      <c r="E117" s="45" t="s">
        <v>423</v>
      </c>
      <c r="F117" s="300">
        <v>27074.0</v>
      </c>
      <c r="G117" s="300">
        <v>11.0</v>
      </c>
      <c r="H117" s="45" t="s">
        <v>759</v>
      </c>
      <c r="I117" s="356" t="str">
        <f>IFERROR(__xludf.DUMMYFUNCTION("if(H117=""Must be Together"",iferror(join("", "",unique(filter({filter('Students (Vertical)'!O:O,'Students (Vertical)'!C:C=B117,'Students (Vertical)'!O:O&lt;&gt;"""");filter('Students (Vertical)'!O:O,'Students (Vertical)'!C:C=E117,'Students (Vertical)'!O:O&lt;&gt;"""&amp;""")},countifs({filter('Students (Vertical)'!O:O,'Students (Vertical)'!C:C=B117,'Students (Vertical)'!O:O&lt;&gt;"""");filter('Students (Vertical)'!O:O,'Students (Vertical)'!C:C=E117,'Students (Vertical)'!O:O&lt;&gt;"""")},{filter('Students (Vertical)'!O:O,'Students ("&amp;"Vertical)'!C:C=B117,'Students (Vertical)'!O:O&lt;&gt;"""");filter('Students (Vertical)'!O:O,'Students (Vertical)'!C:C=E117,'Students (Vertical)'!O:O&lt;&gt;"""")})&gt;1))),""No shared courses""),"""")"),"")</f>
        <v/>
      </c>
      <c r="J117" s="357" t="str">
        <f>IFERROR(__xludf.DUMMYFUNCTION("if(H117=""Can't be Together"",iferror(join("", "",unique(filter({filter('Students (Vertical)'!O:O,'Students (Vertical)'!C:C=B117,'Students (Vertical)'!O:O&lt;&gt;"""",'Students (Vertical)'!P:P&gt;1);filter('Students (Vertical)'!O:O,'Students (Vertical)'!C:C=E117,'"&amp;"Students (Vertical)'!O:O&lt;&gt;"""",'Students (Vertical)'!P:P&gt;1)},countifs({filter('Students (Vertical)'!O:O,'Students (Vertical)'!C:C=B117,'Students (Vertical)'!O:O&lt;&gt;"""",'Students (Vertical)'!P:P&gt;1);filter('Students (Vertical)'!O:O,'Students (Vertical)'!C:C="&amp;"E117,'Students (Vertical)'!O:O&lt;&gt;"""",'Students (Vertical)'!P:P&gt;1)},{filter('Students (Vertical)'!O:O,'Students (Vertical)'!C:C=B117,'Students (Vertical)'!O:O&lt;&gt;"""",'Students (Vertical)'!P:P&gt;1);filter('Students (Vertical)'!O:O,'Students (Vertical)'!C:C=E11"&amp;"7,'Students (Vertical)'!O:O&lt;&gt;"""",'Students (Vertical)'!P:P&gt;1)})&gt;1))),""""),"""")"),"")</f>
        <v/>
      </c>
      <c r="K117" s="358" t="str">
        <f>IFERROR(__xludf.DUMMYFUNCTION("iferror(join("", "",unique(filter({filter('Students (Vertical)'!D:D,'Students (Vertical)'!C:C=B117,'Students (Vertical)'!D:D&lt;&gt;"""");filter('Students (Vertical)'!D:D,'Students (Vertical)'!C:C=E117,'Students (Vertical)'!D:D&lt;&gt;"""")},countifs({filter('Student"&amp;"s (Vertical)'!D:D,'Students (Vertical)'!C:C=B117,'Students (Vertical)'!D:D&lt;&gt;"""");filter('Students (Vertical)'!D:D,'Students (Vertical)'!C:C=E117,'Students (Vertical)'!D:D&lt;&gt;"""")},{filter('Students (Vertical)'!D:D,'Students (Vertical)'!C:C=B117,'Students "&amp;"(Vertical)'!D:D&lt;&gt;"""");filter('Students (Vertical)'!D:D,'Students (Vertical)'!C:C=E117,'Students (Vertical)'!D:D&lt;&gt;"""")})&gt;1))),"""")"),"Art of Fiction Intermediate Level, Spanish and Literature 11, Physics, PE 11, AP Economics")</f>
        <v>Art of Fiction Intermediate Level, Spanish and Literature 11, Physics, PE 11, AP Economics</v>
      </c>
    </row>
    <row r="118">
      <c r="A118" s="300">
        <v>117.0</v>
      </c>
      <c r="B118" s="45" t="s">
        <v>476</v>
      </c>
      <c r="C118" s="300">
        <v>27042.0</v>
      </c>
      <c r="D118" s="300">
        <v>11.0</v>
      </c>
      <c r="E118" s="45" t="s">
        <v>424</v>
      </c>
      <c r="F118" s="300">
        <v>27124.0</v>
      </c>
      <c r="G118" s="300">
        <v>11.0</v>
      </c>
      <c r="H118" s="45" t="s">
        <v>759</v>
      </c>
      <c r="I118" s="356" t="str">
        <f>IFERROR(__xludf.DUMMYFUNCTION("if(H118=""Must be Together"",iferror(join("", "",unique(filter({filter('Students (Vertical)'!O:O,'Students (Vertical)'!C:C=B118,'Students (Vertical)'!O:O&lt;&gt;"""");filter('Students (Vertical)'!O:O,'Students (Vertical)'!C:C=E118,'Students (Vertical)'!O:O&lt;&gt;"""&amp;""")},countifs({filter('Students (Vertical)'!O:O,'Students (Vertical)'!C:C=B118,'Students (Vertical)'!O:O&lt;&gt;"""");filter('Students (Vertical)'!O:O,'Students (Vertical)'!C:C=E118,'Students (Vertical)'!O:O&lt;&gt;"""")},{filter('Students (Vertical)'!O:O,'Students ("&amp;"Vertical)'!C:C=B118,'Students (Vertical)'!O:O&lt;&gt;"""");filter('Students (Vertical)'!O:O,'Students (Vertical)'!C:C=E118,'Students (Vertical)'!O:O&lt;&gt;"""")})&gt;1))),""No shared courses""),"""")"),"")</f>
        <v/>
      </c>
      <c r="J118" s="357" t="str">
        <f>IFERROR(__xludf.DUMMYFUNCTION("if(H118=""Can't be Together"",iferror(join("", "",unique(filter({filter('Students (Vertical)'!O:O,'Students (Vertical)'!C:C=B118,'Students (Vertical)'!O:O&lt;&gt;"""",'Students (Vertical)'!P:P&gt;1);filter('Students (Vertical)'!O:O,'Students (Vertical)'!C:C=E118,'"&amp;"Students (Vertical)'!O:O&lt;&gt;"""",'Students (Vertical)'!P:P&gt;1)},countifs({filter('Students (Vertical)'!O:O,'Students (Vertical)'!C:C=B118,'Students (Vertical)'!O:O&lt;&gt;"""",'Students (Vertical)'!P:P&gt;1);filter('Students (Vertical)'!O:O,'Students (Vertical)'!C:C="&amp;"E118,'Students (Vertical)'!O:O&lt;&gt;"""",'Students (Vertical)'!P:P&gt;1)},{filter('Students (Vertical)'!O:O,'Students (Vertical)'!C:C=B118,'Students (Vertical)'!O:O&lt;&gt;"""",'Students (Vertical)'!P:P&gt;1);filter('Students (Vertical)'!O:O,'Students (Vertical)'!C:C=E11"&amp;"8,'Students (Vertical)'!O:O&lt;&gt;"""",'Students (Vertical)'!P:P&gt;1)})&gt;1))),""""),"""")"),"")</f>
        <v/>
      </c>
      <c r="K118" s="358" t="str">
        <f>IFERROR(__xludf.DUMMYFUNCTION("iferror(join("", "",unique(filter({filter('Students (Vertical)'!D:D,'Students (Vertical)'!C:C=B118,'Students (Vertical)'!D:D&lt;&gt;"""");filter('Students (Vertical)'!D:D,'Students (Vertical)'!C:C=E118,'Students (Vertical)'!D:D&lt;&gt;"""")},countifs({filter('Student"&amp;"s (Vertical)'!D:D,'Students (Vertical)'!C:C=B118,'Students (Vertical)'!D:D&lt;&gt;"""");filter('Students (Vertical)'!D:D,'Students (Vertical)'!C:C=E118,'Students (Vertical)'!D:D&lt;&gt;"""")},{filter('Students (Vertical)'!D:D,'Students (Vertical)'!C:C=B118,'Students "&amp;"(Vertical)'!D:D&lt;&gt;"""");filter('Students (Vertical)'!D:D,'Students (Vertical)'!C:C=E118,'Students (Vertical)'!D:D&lt;&gt;"""")})&gt;1))),"""")"),"Physics, PE 11, AP Economics")</f>
        <v>Physics, PE 11, AP Economics</v>
      </c>
    </row>
    <row r="119">
      <c r="A119" s="300">
        <v>118.0</v>
      </c>
      <c r="B119" s="45" t="s">
        <v>476</v>
      </c>
      <c r="C119" s="300">
        <v>27042.0</v>
      </c>
      <c r="D119" s="300">
        <v>11.0</v>
      </c>
      <c r="E119" s="45" t="s">
        <v>521</v>
      </c>
      <c r="F119" s="300">
        <v>27077.0</v>
      </c>
      <c r="G119" s="300">
        <v>11.0</v>
      </c>
      <c r="H119" s="45" t="s">
        <v>759</v>
      </c>
      <c r="I119" s="356" t="str">
        <f>IFERROR(__xludf.DUMMYFUNCTION("if(H119=""Must be Together"",iferror(join("", "",unique(filter({filter('Students (Vertical)'!O:O,'Students (Vertical)'!C:C=B119,'Students (Vertical)'!O:O&lt;&gt;"""");filter('Students (Vertical)'!O:O,'Students (Vertical)'!C:C=E119,'Students (Vertical)'!O:O&lt;&gt;"""&amp;""")},countifs({filter('Students (Vertical)'!O:O,'Students (Vertical)'!C:C=B119,'Students (Vertical)'!O:O&lt;&gt;"""");filter('Students (Vertical)'!O:O,'Students (Vertical)'!C:C=E119,'Students (Vertical)'!O:O&lt;&gt;"""")},{filter('Students (Vertical)'!O:O,'Students ("&amp;"Vertical)'!C:C=B119,'Students (Vertical)'!O:O&lt;&gt;"""");filter('Students (Vertical)'!O:O,'Students (Vertical)'!C:C=E119,'Students (Vertical)'!O:O&lt;&gt;"""")})&gt;1))),""No shared courses""),"""")"),"")</f>
        <v/>
      </c>
      <c r="J119" s="357" t="str">
        <f>IFERROR(__xludf.DUMMYFUNCTION("if(H119=""Can't be Together"",iferror(join("", "",unique(filter({filter('Students (Vertical)'!O:O,'Students (Vertical)'!C:C=B119,'Students (Vertical)'!O:O&lt;&gt;"""",'Students (Vertical)'!P:P&gt;1);filter('Students (Vertical)'!O:O,'Students (Vertical)'!C:C=E119,'"&amp;"Students (Vertical)'!O:O&lt;&gt;"""",'Students (Vertical)'!P:P&gt;1)},countifs({filter('Students (Vertical)'!O:O,'Students (Vertical)'!C:C=B119,'Students (Vertical)'!O:O&lt;&gt;"""",'Students (Vertical)'!P:P&gt;1);filter('Students (Vertical)'!O:O,'Students (Vertical)'!C:C="&amp;"E119,'Students (Vertical)'!O:O&lt;&gt;"""",'Students (Vertical)'!P:P&gt;1)},{filter('Students (Vertical)'!O:O,'Students (Vertical)'!C:C=B119,'Students (Vertical)'!O:O&lt;&gt;"""",'Students (Vertical)'!P:P&gt;1);filter('Students (Vertical)'!O:O,'Students (Vertical)'!C:C=E11"&amp;"9,'Students (Vertical)'!O:O&lt;&gt;"""",'Students (Vertical)'!P:P&gt;1)})&gt;1))),""""),"""")"),"Art of Fiction Intermediate Level-1")</f>
        <v>Art of Fiction Intermediate Level-1</v>
      </c>
      <c r="K119" s="358" t="str">
        <f>IFERROR(__xludf.DUMMYFUNCTION("iferror(join("", "",unique(filter({filter('Students (Vertical)'!D:D,'Students (Vertical)'!C:C=B119,'Students (Vertical)'!D:D&lt;&gt;"""");filter('Students (Vertical)'!D:D,'Students (Vertical)'!C:C=E119,'Students (Vertical)'!D:D&lt;&gt;"""")},countifs({filter('Student"&amp;"s (Vertical)'!D:D,'Students (Vertical)'!C:C=B119,'Students (Vertical)'!D:D&lt;&gt;"""");filter('Students (Vertical)'!D:D,'Students (Vertical)'!C:C=E119,'Students (Vertical)'!D:D&lt;&gt;"""")},{filter('Students (Vertical)'!D:D,'Students (Vertical)'!C:C=B119,'Students "&amp;"(Vertical)'!D:D&lt;&gt;"""");filter('Students (Vertical)'!D:D,'Students (Vertical)'!C:C=E119,'Students (Vertical)'!D:D&lt;&gt;"""")})&gt;1))),"""")"),"Art of Fiction Intermediate Level, Spanish and Literature 11, Algebra II, Physics, PE 11, AP Economics")</f>
        <v>Art of Fiction Intermediate Level, Spanish and Literature 11, Algebra II, Physics, PE 11, AP Economics</v>
      </c>
    </row>
    <row r="120">
      <c r="A120" s="300">
        <v>119.0</v>
      </c>
      <c r="B120" s="45" t="s">
        <v>282</v>
      </c>
      <c r="C120" s="300">
        <v>29083.0</v>
      </c>
      <c r="D120" s="300">
        <v>9.0</v>
      </c>
      <c r="E120" s="45" t="s">
        <v>172</v>
      </c>
      <c r="F120" s="300">
        <v>29034.0</v>
      </c>
      <c r="G120" s="300">
        <v>9.0</v>
      </c>
      <c r="H120" s="45" t="s">
        <v>760</v>
      </c>
      <c r="I120" s="356" t="str">
        <f>IFERROR(__xludf.DUMMYFUNCTION("if(H120=""Must be Together"",iferror(join("", "",unique(filter({filter('Students (Vertical)'!O:O,'Students (Vertical)'!C:C=B120,'Students (Vertical)'!O:O&lt;&gt;"""");filter('Students (Vertical)'!O:O,'Students (Vertical)'!C:C=E120,'Students (Vertical)'!O:O&lt;&gt;"""&amp;""")},countifs({filter('Students (Vertical)'!O:O,'Students (Vertical)'!C:C=B120,'Students (Vertical)'!O:O&lt;&gt;"""");filter('Students (Vertical)'!O:O,'Students (Vertical)'!C:C=E120,'Students (Vertical)'!O:O&lt;&gt;"""")},{filter('Students (Vertical)'!O:O,'Students ("&amp;"Vertical)'!C:C=B120,'Students (Vertical)'!O:O&lt;&gt;"""");filter('Students (Vertical)'!O:O,'Students (Vertical)'!C:C=E120,'Students (Vertical)'!O:O&lt;&gt;"""")})&gt;1))),""No shared courses""),"""")"),"Spanish and Literature 9-4, Biology 9-3, PE 9-5")</f>
        <v>Spanish and Literature 9-4, Biology 9-3, PE 9-5</v>
      </c>
      <c r="J120" s="357" t="str">
        <f>IFERROR(__xludf.DUMMYFUNCTION("if(H120=""Can't be Together"",iferror(join("", "",unique(filter({filter('Students (Vertical)'!O:O,'Students (Vertical)'!C:C=B120,'Students (Vertical)'!O:O&lt;&gt;"""",'Students (Vertical)'!P:P&gt;1);filter('Students (Vertical)'!O:O,'Students (Vertical)'!C:C=E120,'"&amp;"Students (Vertical)'!O:O&lt;&gt;"""",'Students (Vertical)'!P:P&gt;1)},countifs({filter('Students (Vertical)'!O:O,'Students (Vertical)'!C:C=B120,'Students (Vertical)'!O:O&lt;&gt;"""",'Students (Vertical)'!P:P&gt;1);filter('Students (Vertical)'!O:O,'Students (Vertical)'!C:C="&amp;"E120,'Students (Vertical)'!O:O&lt;&gt;"""",'Students (Vertical)'!P:P&gt;1)},{filter('Students (Vertical)'!O:O,'Students (Vertical)'!C:C=B120,'Students (Vertical)'!O:O&lt;&gt;"""",'Students (Vertical)'!P:P&gt;1);filter('Students (Vertical)'!O:O,'Students (Vertical)'!C:C=E12"&amp;"0,'Students (Vertical)'!O:O&lt;&gt;"""",'Students (Vertical)'!P:P&gt;1)})&gt;1))),""""),"""")"),"")</f>
        <v/>
      </c>
      <c r="K120" s="358" t="str">
        <f>IFERROR(__xludf.DUMMYFUNCTION("iferror(join("", "",unique(filter({filter('Students (Vertical)'!D:D,'Students (Vertical)'!C:C=B120,'Students (Vertical)'!D:D&lt;&gt;"""");filter('Students (Vertical)'!D:D,'Students (Vertical)'!C:C=E120,'Students (Vertical)'!D:D&lt;&gt;"""")},countifs({filter('Student"&amp;"s (Vertical)'!D:D,'Students (Vertical)'!C:C=B120,'Students (Vertical)'!D:D&lt;&gt;"""");filter('Students (Vertical)'!D:D,'Students (Vertical)'!C:C=E120,'Students (Vertical)'!D:D&lt;&gt;"""")},{filter('Students (Vertical)'!D:D,'Students (Vertical)'!C:C=B120,'Students "&amp;"(Vertical)'!D:D&lt;&gt;"""");filter('Students (Vertical)'!D:D,'Students (Vertical)'!C:C=E120,'Students (Vertical)'!D:D&lt;&gt;"""")})&gt;1))),"""")"),"English 9, Spanish and Literature 9, Biology 9, PE 9, Social Studies 9, FRC 9 Robotics, Painting I")</f>
        <v>English 9, Spanish and Literature 9, Biology 9, PE 9, Social Studies 9, FRC 9 Robotics, Painting I</v>
      </c>
    </row>
    <row r="121">
      <c r="A121" s="300">
        <v>120.0</v>
      </c>
      <c r="B121" s="45" t="s">
        <v>361</v>
      </c>
      <c r="C121" s="300">
        <v>28135.0</v>
      </c>
      <c r="D121" s="300">
        <v>10.0</v>
      </c>
      <c r="E121" s="45" t="s">
        <v>360</v>
      </c>
      <c r="F121" s="300">
        <v>28057.0</v>
      </c>
      <c r="G121" s="300">
        <v>10.0</v>
      </c>
      <c r="H121" s="45" t="s">
        <v>760</v>
      </c>
      <c r="I121" s="356" t="str">
        <f>IFERROR(__xludf.DUMMYFUNCTION("if(H121=""Must be Together"",iferror(join("", "",unique(filter({filter('Students (Vertical)'!O:O,'Students (Vertical)'!C:C=B121,'Students (Vertical)'!O:O&lt;&gt;"""");filter('Students (Vertical)'!O:O,'Students (Vertical)'!C:C=E121,'Students (Vertical)'!O:O&lt;&gt;"""&amp;""")},countifs({filter('Students (Vertical)'!O:O,'Students (Vertical)'!C:C=B121,'Students (Vertical)'!O:O&lt;&gt;"""");filter('Students (Vertical)'!O:O,'Students (Vertical)'!C:C=E121,'Students (Vertical)'!O:O&lt;&gt;"""")},{filter('Students (Vertical)'!O:O,'Students ("&amp;"Vertical)'!C:C=B121,'Students (Vertical)'!O:O&lt;&gt;"""");filter('Students (Vertical)'!O:O,'Students (Vertical)'!C:C=E121,'Students (Vertical)'!O:O&lt;&gt;"""")})&gt;1))),""No shared courses""),"""")"),"AP Seminar-6, AP Spanish Language and Culture-3, Algebra II-5, Chemistry-7, PE 10-1, AP Human Geography-2, Sociales 10-4, Anatomy and Physiology-8")</f>
        <v>AP Seminar-6, AP Spanish Language and Culture-3, Algebra II-5, Chemistry-7, PE 10-1, AP Human Geography-2, Sociales 10-4, Anatomy and Physiology-8</v>
      </c>
      <c r="J121" s="357" t="str">
        <f>IFERROR(__xludf.DUMMYFUNCTION("if(H121=""Can't be Together"",iferror(join("", "",unique(filter({filter('Students (Vertical)'!O:O,'Students (Vertical)'!C:C=B121,'Students (Vertical)'!O:O&lt;&gt;"""",'Students (Vertical)'!P:P&gt;1);filter('Students (Vertical)'!O:O,'Students (Vertical)'!C:C=E121,'"&amp;"Students (Vertical)'!O:O&lt;&gt;"""",'Students (Vertical)'!P:P&gt;1)},countifs({filter('Students (Vertical)'!O:O,'Students (Vertical)'!C:C=B121,'Students (Vertical)'!O:O&lt;&gt;"""",'Students (Vertical)'!P:P&gt;1);filter('Students (Vertical)'!O:O,'Students (Vertical)'!C:C="&amp;"E121,'Students (Vertical)'!O:O&lt;&gt;"""",'Students (Vertical)'!P:P&gt;1)},{filter('Students (Vertical)'!O:O,'Students (Vertical)'!C:C=B121,'Students (Vertical)'!O:O&lt;&gt;"""",'Students (Vertical)'!P:P&gt;1);filter('Students (Vertical)'!O:O,'Students (Vertical)'!C:C=E12"&amp;"1,'Students (Vertical)'!O:O&lt;&gt;"""",'Students (Vertical)'!P:P&gt;1)})&gt;1))),""""),"""")"),"")</f>
        <v/>
      </c>
      <c r="K121" s="358" t="str">
        <f>IFERROR(__xludf.DUMMYFUNCTION("iferror(join("", "",unique(filter({filter('Students (Vertical)'!D:D,'Students (Vertical)'!C:C=B121,'Students (Vertical)'!D:D&lt;&gt;"""");filter('Students (Vertical)'!D:D,'Students (Vertical)'!C:C=E121,'Students (Vertical)'!D:D&lt;&gt;"""")},countifs({filter('Student"&amp;"s (Vertical)'!D:D,'Students (Vertical)'!C:C=B121,'Students (Vertical)'!D:D&lt;&gt;"""");filter('Students (Vertical)'!D:D,'Students (Vertical)'!C:C=E121,'Students (Vertical)'!D:D&lt;&gt;"""")},{filter('Students (Vertical)'!D:D,'Students (Vertical)'!C:C=B121,'Students "&amp;"(Vertical)'!D:D&lt;&gt;"""");filter('Students (Vertical)'!D:D,'Students (Vertical)'!C:C=E121,'Students (Vertical)'!D:D&lt;&gt;"""")})&gt;1))),"""")"),"AP Seminar, AP Spanish Language and Culture, Algebra II, Chemistry, PE 10, AP Human Geography, Sociales 10, Anatomy and Physiology")</f>
        <v>AP Seminar, AP Spanish Language and Culture, Algebra II, Chemistry, PE 10, AP Human Geography, Sociales 10, Anatomy and Physiology</v>
      </c>
    </row>
    <row r="122">
      <c r="A122" s="300">
        <v>121.0</v>
      </c>
      <c r="B122" s="45" t="s">
        <v>282</v>
      </c>
      <c r="C122" s="300">
        <v>29083.0</v>
      </c>
      <c r="D122" s="300">
        <v>9.0</v>
      </c>
      <c r="E122" s="45" t="s">
        <v>242</v>
      </c>
      <c r="F122" s="300">
        <v>29002.0</v>
      </c>
      <c r="G122" s="300">
        <v>9.0</v>
      </c>
      <c r="H122" s="45" t="s">
        <v>759</v>
      </c>
      <c r="I122" s="356" t="str">
        <f>IFERROR(__xludf.DUMMYFUNCTION("if(H122=""Must be Together"",iferror(join("", "",unique(filter({filter('Students (Vertical)'!O:O,'Students (Vertical)'!C:C=B122,'Students (Vertical)'!O:O&lt;&gt;"""");filter('Students (Vertical)'!O:O,'Students (Vertical)'!C:C=E122,'Students (Vertical)'!O:O&lt;&gt;"""&amp;""")},countifs({filter('Students (Vertical)'!O:O,'Students (Vertical)'!C:C=B122,'Students (Vertical)'!O:O&lt;&gt;"""");filter('Students (Vertical)'!O:O,'Students (Vertical)'!C:C=E122,'Students (Vertical)'!O:O&lt;&gt;"""")},{filter('Students (Vertical)'!O:O,'Students ("&amp;"Vertical)'!C:C=B122,'Students (Vertical)'!O:O&lt;&gt;"""");filter('Students (Vertical)'!O:O,'Students (Vertical)'!C:C=E122,'Students (Vertical)'!O:O&lt;&gt;"""")})&gt;1))),""No shared courses""),"""")"),"")</f>
        <v/>
      </c>
      <c r="J122" s="357" t="str">
        <f>IFERROR(__xludf.DUMMYFUNCTION("if(H122=""Can't be Together"",iferror(join("", "",unique(filter({filter('Students (Vertical)'!O:O,'Students (Vertical)'!C:C=B122,'Students (Vertical)'!O:O&lt;&gt;"""",'Students (Vertical)'!P:P&gt;1);filter('Students (Vertical)'!O:O,'Students (Vertical)'!C:C=E122,'"&amp;"Students (Vertical)'!O:O&lt;&gt;"""",'Students (Vertical)'!P:P&gt;1)},countifs({filter('Students (Vertical)'!O:O,'Students (Vertical)'!C:C=B122,'Students (Vertical)'!O:O&lt;&gt;"""",'Students (Vertical)'!P:P&gt;1);filter('Students (Vertical)'!O:O,'Students (Vertical)'!C:C="&amp;"E122,'Students (Vertical)'!O:O&lt;&gt;"""",'Students (Vertical)'!P:P&gt;1)},{filter('Students (Vertical)'!O:O,'Students (Vertical)'!C:C=B122,'Students (Vertical)'!O:O&lt;&gt;"""",'Students (Vertical)'!P:P&gt;1);filter('Students (Vertical)'!O:O,'Students (Vertical)'!C:C=E12"&amp;"2,'Students (Vertical)'!O:O&lt;&gt;"""",'Students (Vertical)'!P:P&gt;1)})&gt;1))),""""),"""")"),"")</f>
        <v/>
      </c>
      <c r="K122" s="358" t="str">
        <f>IFERROR(__xludf.DUMMYFUNCTION("iferror(join("", "",unique(filter({filter('Students (Vertical)'!D:D,'Students (Vertical)'!C:C=B122,'Students (Vertical)'!D:D&lt;&gt;"""");filter('Students (Vertical)'!D:D,'Students (Vertical)'!C:C=E122,'Students (Vertical)'!D:D&lt;&gt;"""")},countifs({filter('Student"&amp;"s (Vertical)'!D:D,'Students (Vertical)'!C:C=B122,'Students (Vertical)'!D:D&lt;&gt;"""");filter('Students (Vertical)'!D:D,'Students (Vertical)'!C:C=E122,'Students (Vertical)'!D:D&lt;&gt;"""")},{filter('Students (Vertical)'!D:D,'Students (Vertical)'!C:C=B122,'Students "&amp;"(Vertical)'!D:D&lt;&gt;"""");filter('Students (Vertical)'!D:D,'Students (Vertical)'!C:C=E122,'Students (Vertical)'!D:D&lt;&gt;"""")})&gt;1))),"""")"),"English 9, Spanish and Literature 9, Biology 9, PE 9, Social Studies 9, FRC 9 Robotics")</f>
        <v>English 9, Spanish and Literature 9, Biology 9, PE 9, Social Studies 9, FRC 9 Robotics</v>
      </c>
    </row>
    <row r="123">
      <c r="A123" s="300">
        <v>122.0</v>
      </c>
      <c r="B123" s="45" t="s">
        <v>342</v>
      </c>
      <c r="C123" s="300">
        <v>28048.0</v>
      </c>
      <c r="D123" s="300">
        <v>10.0</v>
      </c>
      <c r="E123" s="45" t="s">
        <v>284</v>
      </c>
      <c r="F123" s="300">
        <v>28042.0</v>
      </c>
      <c r="G123" s="300">
        <v>10.0</v>
      </c>
      <c r="H123" s="45" t="s">
        <v>760</v>
      </c>
      <c r="I123" s="356" t="str">
        <f>IFERROR(__xludf.DUMMYFUNCTION("if(H123=""Must be Together"",iferror(join("", "",unique(filter({filter('Students (Vertical)'!O:O,'Students (Vertical)'!C:C=B123,'Students (Vertical)'!O:O&lt;&gt;"""");filter('Students (Vertical)'!O:O,'Students (Vertical)'!C:C=E123,'Students (Vertical)'!O:O&lt;&gt;"""&amp;""")},countifs({filter('Students (Vertical)'!O:O,'Students (Vertical)'!C:C=B123,'Students (Vertical)'!O:O&lt;&gt;"""");filter('Students (Vertical)'!O:O,'Students (Vertical)'!C:C=E123,'Students (Vertical)'!O:O&lt;&gt;"""")},{filter('Students (Vertical)'!O:O,'Students ("&amp;"Vertical)'!C:C=B123,'Students (Vertical)'!O:O&lt;&gt;"""");filter('Students (Vertical)'!O:O,'Students (Vertical)'!C:C=E123,'Students (Vertical)'!O:O&lt;&gt;"""")})&gt;1))),""No shared courses""),"""")"),"AP Seminar-1, AP Spanish Language and Culture-6, AP Precalculus-2, Chemistry-8, PE 10-5, AP Human Geography-3, Sociales 10-7, Anatomy and Physiology-4")</f>
        <v>AP Seminar-1, AP Spanish Language and Culture-6, AP Precalculus-2, Chemistry-8, PE 10-5, AP Human Geography-3, Sociales 10-7, Anatomy and Physiology-4</v>
      </c>
      <c r="J123" s="357" t="str">
        <f>IFERROR(__xludf.DUMMYFUNCTION("if(H123=""Can't be Together"",iferror(join("", "",unique(filter({filter('Students (Vertical)'!O:O,'Students (Vertical)'!C:C=B123,'Students (Vertical)'!O:O&lt;&gt;"""",'Students (Vertical)'!P:P&gt;1);filter('Students (Vertical)'!O:O,'Students (Vertical)'!C:C=E123,'"&amp;"Students (Vertical)'!O:O&lt;&gt;"""",'Students (Vertical)'!P:P&gt;1)},countifs({filter('Students (Vertical)'!O:O,'Students (Vertical)'!C:C=B123,'Students (Vertical)'!O:O&lt;&gt;"""",'Students (Vertical)'!P:P&gt;1);filter('Students (Vertical)'!O:O,'Students (Vertical)'!C:C="&amp;"E123,'Students (Vertical)'!O:O&lt;&gt;"""",'Students (Vertical)'!P:P&gt;1)},{filter('Students (Vertical)'!O:O,'Students (Vertical)'!C:C=B123,'Students (Vertical)'!O:O&lt;&gt;"""",'Students (Vertical)'!P:P&gt;1);filter('Students (Vertical)'!O:O,'Students (Vertical)'!C:C=E12"&amp;"3,'Students (Vertical)'!O:O&lt;&gt;"""",'Students (Vertical)'!P:P&gt;1)})&gt;1))),""""),"""")"),"")</f>
        <v/>
      </c>
      <c r="K123" s="358" t="str">
        <f>IFERROR(__xludf.DUMMYFUNCTION("iferror(join("", "",unique(filter({filter('Students (Vertical)'!D:D,'Students (Vertical)'!C:C=B123,'Students (Vertical)'!D:D&lt;&gt;"""");filter('Students (Vertical)'!D:D,'Students (Vertical)'!C:C=E123,'Students (Vertical)'!D:D&lt;&gt;"""")},countifs({filter('Student"&amp;"s (Vertical)'!D:D,'Students (Vertical)'!C:C=B123,'Students (Vertical)'!D:D&lt;&gt;"""");filter('Students (Vertical)'!D:D,'Students (Vertical)'!C:C=E123,'Students (Vertical)'!D:D&lt;&gt;"""")},{filter('Students (Vertical)'!D:D,'Students (Vertical)'!C:C=B123,'Students "&amp;"(Vertical)'!D:D&lt;&gt;"""");filter('Students (Vertical)'!D:D,'Students (Vertical)'!C:C=E123,'Students (Vertical)'!D:D&lt;&gt;"""")})&gt;1))),"""")"),"AP Seminar, AP Spanish Language and Culture, AP Precalculus, Chemistry, PE 10, AP Human Geography, Sociales 10, Anatomy and Physiology")</f>
        <v>AP Seminar, AP Spanish Language and Culture, AP Precalculus, Chemistry, PE 10, AP Human Geography, Sociales 10, Anatomy and Physiology</v>
      </c>
    </row>
    <row r="124">
      <c r="A124" s="300">
        <v>123.0</v>
      </c>
      <c r="B124" s="45" t="s">
        <v>342</v>
      </c>
      <c r="C124" s="300">
        <v>28048.0</v>
      </c>
      <c r="D124" s="300">
        <v>10.0</v>
      </c>
      <c r="E124" s="45" t="s">
        <v>294</v>
      </c>
      <c r="F124" s="300">
        <v>27041.0</v>
      </c>
      <c r="G124" s="300">
        <v>10.0</v>
      </c>
      <c r="H124" s="45" t="s">
        <v>760</v>
      </c>
      <c r="I124" s="356" t="str">
        <f>IFERROR(__xludf.DUMMYFUNCTION("if(H124=""Must be Together"",iferror(join("", "",unique(filter({filter('Students (Vertical)'!O:O,'Students (Vertical)'!C:C=B124,'Students (Vertical)'!O:O&lt;&gt;"""");filter('Students (Vertical)'!O:O,'Students (Vertical)'!C:C=E124,'Students (Vertical)'!O:O&lt;&gt;"""&amp;""")},countifs({filter('Students (Vertical)'!O:O,'Students (Vertical)'!C:C=B124,'Students (Vertical)'!O:O&lt;&gt;"""");filter('Students (Vertical)'!O:O,'Students (Vertical)'!C:C=E124,'Students (Vertical)'!O:O&lt;&gt;"""")},{filter('Students (Vertical)'!O:O,'Students ("&amp;"Vertical)'!C:C=B124,'Students (Vertical)'!O:O&lt;&gt;"""");filter('Students (Vertical)'!O:O,'Students (Vertical)'!C:C=E124,'Students (Vertical)'!O:O&lt;&gt;"""")})&gt;1))),""No shared courses""),"""")"),"AP Seminar-1, AP Spanish Language and Culture-6, AP Precalculus-2, Chemistry-8, PE 10-5, AP Human Geography-3, Sociales 10-7, Anatomy and Physiology-4")</f>
        <v>AP Seminar-1, AP Spanish Language and Culture-6, AP Precalculus-2, Chemistry-8, PE 10-5, AP Human Geography-3, Sociales 10-7, Anatomy and Physiology-4</v>
      </c>
      <c r="J124" s="357" t="str">
        <f>IFERROR(__xludf.DUMMYFUNCTION("if(H124=""Can't be Together"",iferror(join("", "",unique(filter({filter('Students (Vertical)'!O:O,'Students (Vertical)'!C:C=B124,'Students (Vertical)'!O:O&lt;&gt;"""",'Students (Vertical)'!P:P&gt;1);filter('Students (Vertical)'!O:O,'Students (Vertical)'!C:C=E124,'"&amp;"Students (Vertical)'!O:O&lt;&gt;"""",'Students (Vertical)'!P:P&gt;1)},countifs({filter('Students (Vertical)'!O:O,'Students (Vertical)'!C:C=B124,'Students (Vertical)'!O:O&lt;&gt;"""",'Students (Vertical)'!P:P&gt;1);filter('Students (Vertical)'!O:O,'Students (Vertical)'!C:C="&amp;"E124,'Students (Vertical)'!O:O&lt;&gt;"""",'Students (Vertical)'!P:P&gt;1)},{filter('Students (Vertical)'!O:O,'Students (Vertical)'!C:C=B124,'Students (Vertical)'!O:O&lt;&gt;"""",'Students (Vertical)'!P:P&gt;1);filter('Students (Vertical)'!O:O,'Students (Vertical)'!C:C=E12"&amp;"4,'Students (Vertical)'!O:O&lt;&gt;"""",'Students (Vertical)'!P:P&gt;1)})&gt;1))),""""),"""")"),"")</f>
        <v/>
      </c>
      <c r="K124" s="358" t="str">
        <f>IFERROR(__xludf.DUMMYFUNCTION("iferror(join("", "",unique(filter({filter('Students (Vertical)'!D:D,'Students (Vertical)'!C:C=B124,'Students (Vertical)'!D:D&lt;&gt;"""");filter('Students (Vertical)'!D:D,'Students (Vertical)'!C:C=E124,'Students (Vertical)'!D:D&lt;&gt;"""")},countifs({filter('Student"&amp;"s (Vertical)'!D:D,'Students (Vertical)'!C:C=B124,'Students (Vertical)'!D:D&lt;&gt;"""");filter('Students (Vertical)'!D:D,'Students (Vertical)'!C:C=E124,'Students (Vertical)'!D:D&lt;&gt;"""")},{filter('Students (Vertical)'!D:D,'Students (Vertical)'!C:C=B124,'Students "&amp;"(Vertical)'!D:D&lt;&gt;"""");filter('Students (Vertical)'!D:D,'Students (Vertical)'!C:C=E124,'Students (Vertical)'!D:D&lt;&gt;"""")})&gt;1))),"""")"),"AP Seminar, AP Spanish Language and Culture, AP Precalculus, Chemistry, PE 10, AP Human Geography, Sociales 10, Anatomy and Physiology")</f>
        <v>AP Seminar, AP Spanish Language and Culture, AP Precalculus, Chemistry, PE 10, AP Human Geography, Sociales 10, Anatomy and Physiology</v>
      </c>
    </row>
    <row r="125">
      <c r="A125" s="300">
        <v>124.0</v>
      </c>
      <c r="B125" s="45" t="s">
        <v>257</v>
      </c>
      <c r="C125" s="300">
        <v>29020.0</v>
      </c>
      <c r="D125" s="300">
        <v>9.0</v>
      </c>
      <c r="E125" s="45" t="s">
        <v>201</v>
      </c>
      <c r="F125" s="300">
        <v>29072.0</v>
      </c>
      <c r="G125" s="300">
        <v>9.0</v>
      </c>
      <c r="H125" s="45" t="s">
        <v>760</v>
      </c>
      <c r="I125" s="356" t="str">
        <f>IFERROR(__xludf.DUMMYFUNCTION("if(H125=""Must be Together"",iferror(join("", "",unique(filter({filter('Students (Vertical)'!O:O,'Students (Vertical)'!C:C=B125,'Students (Vertical)'!O:O&lt;&gt;"""");filter('Students (Vertical)'!O:O,'Students (Vertical)'!C:C=E125,'Students (Vertical)'!O:O&lt;&gt;"""&amp;""")},countifs({filter('Students (Vertical)'!O:O,'Students (Vertical)'!C:C=B125,'Students (Vertical)'!O:O&lt;&gt;"""");filter('Students (Vertical)'!O:O,'Students (Vertical)'!C:C=E125,'Students (Vertical)'!O:O&lt;&gt;"""")},{filter('Students (Vertical)'!O:O,'Students ("&amp;"Vertical)'!C:C=B125,'Students (Vertical)'!O:O&lt;&gt;"""");filter('Students (Vertical)'!O:O,'Students (Vertical)'!C:C=E125,'Students (Vertical)'!O:O&lt;&gt;"""")})&gt;1))),""No shared courses""),"""")"),"Spanish and Literature 9-5")</f>
        <v>Spanish and Literature 9-5</v>
      </c>
      <c r="J125" s="357" t="str">
        <f>IFERROR(__xludf.DUMMYFUNCTION("if(H125=""Can't be Together"",iferror(join("", "",unique(filter({filter('Students (Vertical)'!O:O,'Students (Vertical)'!C:C=B125,'Students (Vertical)'!O:O&lt;&gt;"""",'Students (Vertical)'!P:P&gt;1);filter('Students (Vertical)'!O:O,'Students (Vertical)'!C:C=E125,'"&amp;"Students (Vertical)'!O:O&lt;&gt;"""",'Students (Vertical)'!P:P&gt;1)},countifs({filter('Students (Vertical)'!O:O,'Students (Vertical)'!C:C=B125,'Students (Vertical)'!O:O&lt;&gt;"""",'Students (Vertical)'!P:P&gt;1);filter('Students (Vertical)'!O:O,'Students (Vertical)'!C:C="&amp;"E125,'Students (Vertical)'!O:O&lt;&gt;"""",'Students (Vertical)'!P:P&gt;1)},{filter('Students (Vertical)'!O:O,'Students (Vertical)'!C:C=B125,'Students (Vertical)'!O:O&lt;&gt;"""",'Students (Vertical)'!P:P&gt;1);filter('Students (Vertical)'!O:O,'Students (Vertical)'!C:C=E12"&amp;"5,'Students (Vertical)'!O:O&lt;&gt;"""",'Students (Vertical)'!P:P&gt;1)})&gt;1))),""""),"""")"),"")</f>
        <v/>
      </c>
      <c r="K125" s="358" t="str">
        <f>IFERROR(__xludf.DUMMYFUNCTION("iferror(join("", "",unique(filter({filter('Students (Vertical)'!D:D,'Students (Vertical)'!C:C=B125,'Students (Vertical)'!D:D&lt;&gt;"""");filter('Students (Vertical)'!D:D,'Students (Vertical)'!C:C=E125,'Students (Vertical)'!D:D&lt;&gt;"""")},countifs({filter('Student"&amp;"s (Vertical)'!D:D,'Students (Vertical)'!C:C=B125,'Students (Vertical)'!D:D&lt;&gt;"""");filter('Students (Vertical)'!D:D,'Students (Vertical)'!C:C=E125,'Students (Vertical)'!D:D&lt;&gt;"""")},{filter('Students (Vertical)'!D:D,'Students (Vertical)'!C:C=B125,'Students "&amp;"(Vertical)'!D:D&lt;&gt;"""");filter('Students (Vertical)'!D:D,'Students (Vertical)'!C:C=E125,'Students (Vertical)'!D:D&lt;&gt;"""")})&gt;1))),"""")"),"English 9, Spanish and Literature 9, Biology 9, PE 9, Social Studies 9")</f>
        <v>English 9, Spanish and Literature 9, Biology 9, PE 9, Social Studies 9</v>
      </c>
    </row>
    <row r="126">
      <c r="A126" s="300">
        <v>125.0</v>
      </c>
      <c r="B126" s="45" t="s">
        <v>257</v>
      </c>
      <c r="C126" s="300">
        <v>29020.0</v>
      </c>
      <c r="D126" s="300">
        <v>9.0</v>
      </c>
      <c r="E126" s="45" t="s">
        <v>279</v>
      </c>
      <c r="F126" s="300">
        <v>28144.0</v>
      </c>
      <c r="G126" s="300">
        <v>9.0</v>
      </c>
      <c r="H126" s="45" t="s">
        <v>760</v>
      </c>
      <c r="I126" s="356" t="str">
        <f>IFERROR(__xludf.DUMMYFUNCTION("if(H126=""Must be Together"",iferror(join("", "",unique(filter({filter('Students (Vertical)'!O:O,'Students (Vertical)'!C:C=B126,'Students (Vertical)'!O:O&lt;&gt;"""");filter('Students (Vertical)'!O:O,'Students (Vertical)'!C:C=E126,'Students (Vertical)'!O:O&lt;&gt;"""&amp;""")},countifs({filter('Students (Vertical)'!O:O,'Students (Vertical)'!C:C=B126,'Students (Vertical)'!O:O&lt;&gt;"""");filter('Students (Vertical)'!O:O,'Students (Vertical)'!C:C=E126,'Students (Vertical)'!O:O&lt;&gt;"""")},{filter('Students (Vertical)'!O:O,'Students ("&amp;"Vertical)'!C:C=B126,'Students (Vertical)'!O:O&lt;&gt;"""");filter('Students (Vertical)'!O:O,'Students (Vertical)'!C:C=E126,'Students (Vertical)'!O:O&lt;&gt;"""")})&gt;1))),""No shared courses""),"""")"),"Biology 9-2, Social Studies 9-7")</f>
        <v>Biology 9-2, Social Studies 9-7</v>
      </c>
      <c r="J126" s="357" t="str">
        <f>IFERROR(__xludf.DUMMYFUNCTION("if(H126=""Can't be Together"",iferror(join("", "",unique(filter({filter('Students (Vertical)'!O:O,'Students (Vertical)'!C:C=B126,'Students (Vertical)'!O:O&lt;&gt;"""",'Students (Vertical)'!P:P&gt;1);filter('Students (Vertical)'!O:O,'Students (Vertical)'!C:C=E126,'"&amp;"Students (Vertical)'!O:O&lt;&gt;"""",'Students (Vertical)'!P:P&gt;1)},countifs({filter('Students (Vertical)'!O:O,'Students (Vertical)'!C:C=B126,'Students (Vertical)'!O:O&lt;&gt;"""",'Students (Vertical)'!P:P&gt;1);filter('Students (Vertical)'!O:O,'Students (Vertical)'!C:C="&amp;"E126,'Students (Vertical)'!O:O&lt;&gt;"""",'Students (Vertical)'!P:P&gt;1)},{filter('Students (Vertical)'!O:O,'Students (Vertical)'!C:C=B126,'Students (Vertical)'!O:O&lt;&gt;"""",'Students (Vertical)'!P:P&gt;1);filter('Students (Vertical)'!O:O,'Students (Vertical)'!C:C=E12"&amp;"6,'Students (Vertical)'!O:O&lt;&gt;"""",'Students (Vertical)'!P:P&gt;1)})&gt;1))),""""),"""")"),"")</f>
        <v/>
      </c>
      <c r="K126" s="358" t="str">
        <f>IFERROR(__xludf.DUMMYFUNCTION("iferror(join("", "",unique(filter({filter('Students (Vertical)'!D:D,'Students (Vertical)'!C:C=B126,'Students (Vertical)'!D:D&lt;&gt;"""");filter('Students (Vertical)'!D:D,'Students (Vertical)'!C:C=E126,'Students (Vertical)'!D:D&lt;&gt;"""")},countifs({filter('Student"&amp;"s (Vertical)'!D:D,'Students (Vertical)'!C:C=B126,'Students (Vertical)'!D:D&lt;&gt;"""");filter('Students (Vertical)'!D:D,'Students (Vertical)'!C:C=E126,'Students (Vertical)'!D:D&lt;&gt;"""")},{filter('Students (Vertical)'!D:D,'Students (Vertical)'!C:C=B126,'Students "&amp;"(Vertical)'!D:D&lt;&gt;"""");filter('Students (Vertical)'!D:D,'Students (Vertical)'!C:C=E126,'Students (Vertical)'!D:D&lt;&gt;"""")})&gt;1))),"""")"),"English 9, Spanish and Literature 9, Biology 9, PE 9, Social Studies 9")</f>
        <v>English 9, Spanish and Literature 9, Biology 9, PE 9, Social Studies 9</v>
      </c>
    </row>
    <row r="127">
      <c r="A127" s="300">
        <v>126.0</v>
      </c>
      <c r="B127" s="45" t="s">
        <v>282</v>
      </c>
      <c r="C127" s="300">
        <v>29083.0</v>
      </c>
      <c r="D127" s="300">
        <v>9.0</v>
      </c>
      <c r="E127" s="45" t="s">
        <v>156</v>
      </c>
      <c r="F127" s="300">
        <v>29075.0</v>
      </c>
      <c r="G127" s="300">
        <v>9.0</v>
      </c>
      <c r="H127" s="45" t="s">
        <v>759</v>
      </c>
      <c r="I127" s="356" t="str">
        <f>IFERROR(__xludf.DUMMYFUNCTION("if(H127=""Must be Together"",iferror(join("", "",unique(filter({filter('Students (Vertical)'!O:O,'Students (Vertical)'!C:C=B127,'Students (Vertical)'!O:O&lt;&gt;"""");filter('Students (Vertical)'!O:O,'Students (Vertical)'!C:C=E127,'Students (Vertical)'!O:O&lt;&gt;"""&amp;""")},countifs({filter('Students (Vertical)'!O:O,'Students (Vertical)'!C:C=B127,'Students (Vertical)'!O:O&lt;&gt;"""");filter('Students (Vertical)'!O:O,'Students (Vertical)'!C:C=E127,'Students (Vertical)'!O:O&lt;&gt;"""")},{filter('Students (Vertical)'!O:O,'Students ("&amp;"Vertical)'!C:C=B127,'Students (Vertical)'!O:O&lt;&gt;"""");filter('Students (Vertical)'!O:O,'Students (Vertical)'!C:C=E127,'Students (Vertical)'!O:O&lt;&gt;"""")})&gt;1))),""No shared courses""),"""")"),"")</f>
        <v/>
      </c>
      <c r="J127" s="357" t="str">
        <f>IFERROR(__xludf.DUMMYFUNCTION("if(H127=""Can't be Together"",iferror(join("", "",unique(filter({filter('Students (Vertical)'!O:O,'Students (Vertical)'!C:C=B127,'Students (Vertical)'!O:O&lt;&gt;"""",'Students (Vertical)'!P:P&gt;1);filter('Students (Vertical)'!O:O,'Students (Vertical)'!C:C=E127,'"&amp;"Students (Vertical)'!O:O&lt;&gt;"""",'Students (Vertical)'!P:P&gt;1)},countifs({filter('Students (Vertical)'!O:O,'Students (Vertical)'!C:C=B127,'Students (Vertical)'!O:O&lt;&gt;"""",'Students (Vertical)'!P:P&gt;1);filter('Students (Vertical)'!O:O,'Students (Vertical)'!C:C="&amp;"E127,'Students (Vertical)'!O:O&lt;&gt;"""",'Students (Vertical)'!P:P&gt;1)},{filter('Students (Vertical)'!O:O,'Students (Vertical)'!C:C=B127,'Students (Vertical)'!O:O&lt;&gt;"""",'Students (Vertical)'!P:P&gt;1);filter('Students (Vertical)'!O:O,'Students (Vertical)'!C:C=E12"&amp;"7,'Students (Vertical)'!O:O&lt;&gt;"""",'Students (Vertical)'!P:P&gt;1)})&gt;1))),""""),"""")"),"Social Studies 9-2, Painting I-8")</f>
        <v>Social Studies 9-2, Painting I-8</v>
      </c>
      <c r="K127" s="358" t="str">
        <f>IFERROR(__xludf.DUMMYFUNCTION("iferror(join("", "",unique(filter({filter('Students (Vertical)'!D:D,'Students (Vertical)'!C:C=B127,'Students (Vertical)'!D:D&lt;&gt;"""");filter('Students (Vertical)'!D:D,'Students (Vertical)'!C:C=E127,'Students (Vertical)'!D:D&lt;&gt;"""")},countifs({filter('Student"&amp;"s (Vertical)'!D:D,'Students (Vertical)'!C:C=B127,'Students (Vertical)'!D:D&lt;&gt;"""");filter('Students (Vertical)'!D:D,'Students (Vertical)'!C:C=E127,'Students (Vertical)'!D:D&lt;&gt;"""")},{filter('Students (Vertical)'!D:D,'Students (Vertical)'!C:C=B127,'Students "&amp;"(Vertical)'!D:D&lt;&gt;"""");filter('Students (Vertical)'!D:D,'Students (Vertical)'!C:C=E127,'Students (Vertical)'!D:D&lt;&gt;"""")})&gt;1))),"""")"),"English 9, Spanish and Literature 9, Biology 9, PE 9, Social Studies 9, Painting I")</f>
        <v>English 9, Spanish and Literature 9, Biology 9, PE 9, Social Studies 9, Painting I</v>
      </c>
    </row>
    <row r="128">
      <c r="A128" s="300" t="s">
        <v>22</v>
      </c>
      <c r="B128" s="45" t="s">
        <v>282</v>
      </c>
      <c r="C128" s="300">
        <v>29083.0</v>
      </c>
      <c r="D128" s="300">
        <v>9.0</v>
      </c>
      <c r="E128" s="45" t="s">
        <v>346</v>
      </c>
      <c r="F128" s="300">
        <v>28038.0</v>
      </c>
      <c r="G128" s="300">
        <v>10.0</v>
      </c>
      <c r="H128" s="45" t="s">
        <v>759</v>
      </c>
      <c r="I128" s="356" t="str">
        <f>IFERROR(__xludf.DUMMYFUNCTION("if(H128=""Must be Together"",iferror(join("", "",unique(filter({filter('Students (Vertical)'!O:O,'Students (Vertical)'!C:C=B128,'Students (Vertical)'!O:O&lt;&gt;"""");filter('Students (Vertical)'!O:O,'Students (Vertical)'!C:C=E128,'Students (Vertical)'!O:O&lt;&gt;"""&amp;""")},countifs({filter('Students (Vertical)'!O:O,'Students (Vertical)'!C:C=B128,'Students (Vertical)'!O:O&lt;&gt;"""");filter('Students (Vertical)'!O:O,'Students (Vertical)'!C:C=E128,'Students (Vertical)'!O:O&lt;&gt;"""")},{filter('Students (Vertical)'!O:O,'Students ("&amp;"Vertical)'!C:C=B128,'Students (Vertical)'!O:O&lt;&gt;"""");filter('Students (Vertical)'!O:O,'Students (Vertical)'!C:C=E128,'Students (Vertical)'!O:O&lt;&gt;"""")})&gt;1))),""No shared courses""),"""")"),"")</f>
        <v/>
      </c>
      <c r="J128" s="357" t="str">
        <f>IFERROR(__xludf.DUMMYFUNCTION("if(H128=""Can't be Together"",iferror(join("", "",unique(filter({filter('Students (Vertical)'!O:O,'Students (Vertical)'!C:C=B128,'Students (Vertical)'!O:O&lt;&gt;"""",'Students (Vertical)'!P:P&gt;1);filter('Students (Vertical)'!O:O,'Students (Vertical)'!C:C=E128,'"&amp;"Students (Vertical)'!O:O&lt;&gt;"""",'Students (Vertical)'!P:P&gt;1)},countifs({filter('Students (Vertical)'!O:O,'Students (Vertical)'!C:C=B128,'Students (Vertical)'!O:O&lt;&gt;"""",'Students (Vertical)'!P:P&gt;1);filter('Students (Vertical)'!O:O,'Students (Vertical)'!C:C="&amp;"E128,'Students (Vertical)'!O:O&lt;&gt;"""",'Students (Vertical)'!P:P&gt;1)},{filter('Students (Vertical)'!O:O,'Students (Vertical)'!C:C=B128,'Students (Vertical)'!O:O&lt;&gt;"""",'Students (Vertical)'!P:P&gt;1);filter('Students (Vertical)'!O:O,'Students (Vertical)'!C:C=E12"&amp;"8,'Students (Vertical)'!O:O&lt;&gt;"""",'Students (Vertical)'!P:P&gt;1)})&gt;1))),""""),"""")"),"")</f>
        <v/>
      </c>
      <c r="K128" s="358" t="str">
        <f>IFERROR(__xludf.DUMMYFUNCTION("iferror(join("", "",unique(filter({filter('Students (Vertical)'!D:D,'Students (Vertical)'!C:C=B128,'Students (Vertical)'!D:D&lt;&gt;"""");filter('Students (Vertical)'!D:D,'Students (Vertical)'!C:C=E128,'Students (Vertical)'!D:D&lt;&gt;"""")},countifs({filter('Student"&amp;"s (Vertical)'!D:D,'Students (Vertical)'!C:C=B128,'Students (Vertical)'!D:D&lt;&gt;"""");filter('Students (Vertical)'!D:D,'Students (Vertical)'!C:C=E128,'Students (Vertical)'!D:D&lt;&gt;"""")},{filter('Students (Vertical)'!D:D,'Students (Vertical)'!C:C=B128,'Students "&amp;"(Vertical)'!D:D&lt;&gt;"""");filter('Students (Vertical)'!D:D,'Students (Vertical)'!C:C=E128,'Students (Vertical)'!D:D&lt;&gt;"""")})&gt;1))),"""")"),"")</f>
        <v/>
      </c>
    </row>
    <row r="129">
      <c r="A129" s="300" t="s">
        <v>22</v>
      </c>
      <c r="C129" s="300" t="s">
        <v>22</v>
      </c>
      <c r="D129" s="300" t="s">
        <v>22</v>
      </c>
      <c r="F129" s="300" t="s">
        <v>22</v>
      </c>
      <c r="G129" s="300" t="s">
        <v>22</v>
      </c>
      <c r="I129" s="356" t="str">
        <f>IFERROR(__xludf.DUMMYFUNCTION("if(H129=""Must be Together"",iferror(join("", "",unique(filter({filter('Students (Vertical)'!O:O,'Students (Vertical)'!C:C=B129,'Students (Vertical)'!O:O&lt;&gt;"""");filter('Students (Vertical)'!O:O,'Students (Vertical)'!C:C=E129,'Students (Vertical)'!O:O&lt;&gt;"""&amp;""")},countifs({filter('Students (Vertical)'!O:O,'Students (Vertical)'!C:C=B129,'Students (Vertical)'!O:O&lt;&gt;"""");filter('Students (Vertical)'!O:O,'Students (Vertical)'!C:C=E129,'Students (Vertical)'!O:O&lt;&gt;"""")},{filter('Students (Vertical)'!O:O,'Students ("&amp;"Vertical)'!C:C=B129,'Students (Vertical)'!O:O&lt;&gt;"""");filter('Students (Vertical)'!O:O,'Students (Vertical)'!C:C=E129,'Students (Vertical)'!O:O&lt;&gt;"""")})&gt;1))),""No shared courses""),"""")"),"")</f>
        <v/>
      </c>
      <c r="J129" s="357" t="str">
        <f>IFERROR(__xludf.DUMMYFUNCTION("if(H129=""Can't be Together"",iferror(join("", "",unique(filter({filter('Students (Vertical)'!O:O,'Students (Vertical)'!C:C=B129,'Students (Vertical)'!O:O&lt;&gt;"""",'Students (Vertical)'!P:P&gt;1);filter('Students (Vertical)'!O:O,'Students (Vertical)'!C:C=E129,'"&amp;"Students (Vertical)'!O:O&lt;&gt;"""",'Students (Vertical)'!P:P&gt;1)},countifs({filter('Students (Vertical)'!O:O,'Students (Vertical)'!C:C=B129,'Students (Vertical)'!O:O&lt;&gt;"""",'Students (Vertical)'!P:P&gt;1);filter('Students (Vertical)'!O:O,'Students (Vertical)'!C:C="&amp;"E129,'Students (Vertical)'!O:O&lt;&gt;"""",'Students (Vertical)'!P:P&gt;1)},{filter('Students (Vertical)'!O:O,'Students (Vertical)'!C:C=B129,'Students (Vertical)'!O:O&lt;&gt;"""",'Students (Vertical)'!P:P&gt;1);filter('Students (Vertical)'!O:O,'Students (Vertical)'!C:C=E12"&amp;"9,'Students (Vertical)'!O:O&lt;&gt;"""",'Students (Vertical)'!P:P&gt;1)})&gt;1))),""""),"""")"),"")</f>
        <v/>
      </c>
      <c r="K129" s="358" t="str">
        <f>IFERROR(__xludf.DUMMYFUNCTION("iferror(join("", "",unique(filter({filter('Students (Vertical)'!D:D,'Students (Vertical)'!C:C=B129,'Students (Vertical)'!D:D&lt;&gt;"""");filter('Students (Vertical)'!D:D,'Students (Vertical)'!C:C=E129,'Students (Vertical)'!D:D&lt;&gt;"""")},countifs({filter('Student"&amp;"s (Vertical)'!D:D,'Students (Vertical)'!C:C=B129,'Students (Vertical)'!D:D&lt;&gt;"""");filter('Students (Vertical)'!D:D,'Students (Vertical)'!C:C=E129,'Students (Vertical)'!D:D&lt;&gt;"""")},{filter('Students (Vertical)'!D:D,'Students (Vertical)'!C:C=B129,'Students "&amp;"(Vertical)'!D:D&lt;&gt;"""");filter('Students (Vertical)'!D:D,'Students (Vertical)'!C:C=E129,'Students (Vertical)'!D:D&lt;&gt;"""")})&gt;1))),"""")"),"")</f>
        <v/>
      </c>
    </row>
    <row r="130">
      <c r="A130" s="300" t="s">
        <v>22</v>
      </c>
      <c r="C130" s="300" t="s">
        <v>22</v>
      </c>
      <c r="D130" s="300" t="s">
        <v>22</v>
      </c>
      <c r="F130" s="300" t="s">
        <v>22</v>
      </c>
      <c r="G130" s="300" t="s">
        <v>22</v>
      </c>
      <c r="I130" s="356" t="str">
        <f>IFERROR(__xludf.DUMMYFUNCTION("if(H130=""Must be Together"",iferror(join("", "",unique(filter({filter('Students (Vertical)'!O:O,'Students (Vertical)'!C:C=B130,'Students (Vertical)'!O:O&lt;&gt;"""");filter('Students (Vertical)'!O:O,'Students (Vertical)'!C:C=E130,'Students (Vertical)'!O:O&lt;&gt;"""&amp;""")},countifs({filter('Students (Vertical)'!O:O,'Students (Vertical)'!C:C=B130,'Students (Vertical)'!O:O&lt;&gt;"""");filter('Students (Vertical)'!O:O,'Students (Vertical)'!C:C=E130,'Students (Vertical)'!O:O&lt;&gt;"""")},{filter('Students (Vertical)'!O:O,'Students ("&amp;"Vertical)'!C:C=B130,'Students (Vertical)'!O:O&lt;&gt;"""");filter('Students (Vertical)'!O:O,'Students (Vertical)'!C:C=E130,'Students (Vertical)'!O:O&lt;&gt;"""")})&gt;1))),""No shared courses""),"""")"),"")</f>
        <v/>
      </c>
      <c r="J130" s="357" t="str">
        <f>IFERROR(__xludf.DUMMYFUNCTION("if(H130=""Can't be Together"",iferror(join("", "",unique(filter({filter('Students (Vertical)'!O:O,'Students (Vertical)'!C:C=B130,'Students (Vertical)'!O:O&lt;&gt;"""",'Students (Vertical)'!P:P&gt;1);filter('Students (Vertical)'!O:O,'Students (Vertical)'!C:C=E130,'"&amp;"Students (Vertical)'!O:O&lt;&gt;"""",'Students (Vertical)'!P:P&gt;1)},countifs({filter('Students (Vertical)'!O:O,'Students (Vertical)'!C:C=B130,'Students (Vertical)'!O:O&lt;&gt;"""",'Students (Vertical)'!P:P&gt;1);filter('Students (Vertical)'!O:O,'Students (Vertical)'!C:C="&amp;"E130,'Students (Vertical)'!O:O&lt;&gt;"""",'Students (Vertical)'!P:P&gt;1)},{filter('Students (Vertical)'!O:O,'Students (Vertical)'!C:C=B130,'Students (Vertical)'!O:O&lt;&gt;"""",'Students (Vertical)'!P:P&gt;1);filter('Students (Vertical)'!O:O,'Students (Vertical)'!C:C=E13"&amp;"0,'Students (Vertical)'!O:O&lt;&gt;"""",'Students (Vertical)'!P:P&gt;1)})&gt;1))),""""),"""")"),"")</f>
        <v/>
      </c>
      <c r="K130" s="358" t="str">
        <f>IFERROR(__xludf.DUMMYFUNCTION("iferror(join("", "",unique(filter({filter('Students (Vertical)'!D:D,'Students (Vertical)'!C:C=B130,'Students (Vertical)'!D:D&lt;&gt;"""");filter('Students (Vertical)'!D:D,'Students (Vertical)'!C:C=E130,'Students (Vertical)'!D:D&lt;&gt;"""")},countifs({filter('Student"&amp;"s (Vertical)'!D:D,'Students (Vertical)'!C:C=B130,'Students (Vertical)'!D:D&lt;&gt;"""");filter('Students (Vertical)'!D:D,'Students (Vertical)'!C:C=E130,'Students (Vertical)'!D:D&lt;&gt;"""")},{filter('Students (Vertical)'!D:D,'Students (Vertical)'!C:C=B130,'Students "&amp;"(Vertical)'!D:D&lt;&gt;"""");filter('Students (Vertical)'!D:D,'Students (Vertical)'!C:C=E130,'Students (Vertical)'!D:D&lt;&gt;"""")})&gt;1))),"""")"),"")</f>
        <v/>
      </c>
    </row>
    <row r="131">
      <c r="A131" s="300" t="s">
        <v>22</v>
      </c>
      <c r="C131" s="300" t="s">
        <v>22</v>
      </c>
      <c r="D131" s="300" t="s">
        <v>22</v>
      </c>
      <c r="F131" s="300" t="s">
        <v>22</v>
      </c>
      <c r="G131" s="300" t="s">
        <v>22</v>
      </c>
      <c r="I131" s="356" t="str">
        <f>IFERROR(__xludf.DUMMYFUNCTION("if(H131=""Must be Together"",iferror(join("", "",unique(filter({filter('Students (Vertical)'!O:O,'Students (Vertical)'!C:C=B131,'Students (Vertical)'!O:O&lt;&gt;"""");filter('Students (Vertical)'!O:O,'Students (Vertical)'!C:C=E131,'Students (Vertical)'!O:O&lt;&gt;"""&amp;""")},countifs({filter('Students (Vertical)'!O:O,'Students (Vertical)'!C:C=B131,'Students (Vertical)'!O:O&lt;&gt;"""");filter('Students (Vertical)'!O:O,'Students (Vertical)'!C:C=E131,'Students (Vertical)'!O:O&lt;&gt;"""")},{filter('Students (Vertical)'!O:O,'Students ("&amp;"Vertical)'!C:C=B131,'Students (Vertical)'!O:O&lt;&gt;"""");filter('Students (Vertical)'!O:O,'Students (Vertical)'!C:C=E131,'Students (Vertical)'!O:O&lt;&gt;"""")})&gt;1))),""No shared courses""),"""")"),"")</f>
        <v/>
      </c>
      <c r="J131" s="357" t="str">
        <f>IFERROR(__xludf.DUMMYFUNCTION("if(H131=""Can't be Together"",iferror(join("", "",unique(filter({filter('Students (Vertical)'!O:O,'Students (Vertical)'!C:C=B131,'Students (Vertical)'!O:O&lt;&gt;"""",'Students (Vertical)'!P:P&gt;1);filter('Students (Vertical)'!O:O,'Students (Vertical)'!C:C=E131,'"&amp;"Students (Vertical)'!O:O&lt;&gt;"""",'Students (Vertical)'!P:P&gt;1)},countifs({filter('Students (Vertical)'!O:O,'Students (Vertical)'!C:C=B131,'Students (Vertical)'!O:O&lt;&gt;"""",'Students (Vertical)'!P:P&gt;1);filter('Students (Vertical)'!O:O,'Students (Vertical)'!C:C="&amp;"E131,'Students (Vertical)'!O:O&lt;&gt;"""",'Students (Vertical)'!P:P&gt;1)},{filter('Students (Vertical)'!O:O,'Students (Vertical)'!C:C=B131,'Students (Vertical)'!O:O&lt;&gt;"""",'Students (Vertical)'!P:P&gt;1);filter('Students (Vertical)'!O:O,'Students (Vertical)'!C:C=E13"&amp;"1,'Students (Vertical)'!O:O&lt;&gt;"""",'Students (Vertical)'!P:P&gt;1)})&gt;1))),""""),"""")"),"")</f>
        <v/>
      </c>
      <c r="K131" s="358" t="str">
        <f>IFERROR(__xludf.DUMMYFUNCTION("iferror(join("", "",unique(filter({filter('Students (Vertical)'!D:D,'Students (Vertical)'!C:C=B131,'Students (Vertical)'!D:D&lt;&gt;"""");filter('Students (Vertical)'!D:D,'Students (Vertical)'!C:C=E131,'Students (Vertical)'!D:D&lt;&gt;"""")},countifs({filter('Student"&amp;"s (Vertical)'!D:D,'Students (Vertical)'!C:C=B131,'Students (Vertical)'!D:D&lt;&gt;"""");filter('Students (Vertical)'!D:D,'Students (Vertical)'!C:C=E131,'Students (Vertical)'!D:D&lt;&gt;"""")},{filter('Students (Vertical)'!D:D,'Students (Vertical)'!C:C=B131,'Students "&amp;"(Vertical)'!D:D&lt;&gt;"""");filter('Students (Vertical)'!D:D,'Students (Vertical)'!C:C=E131,'Students (Vertical)'!D:D&lt;&gt;"""")})&gt;1))),"""")"),"")</f>
        <v/>
      </c>
    </row>
    <row r="132">
      <c r="A132" s="300" t="s">
        <v>22</v>
      </c>
      <c r="C132" s="300" t="s">
        <v>22</v>
      </c>
      <c r="D132" s="300" t="s">
        <v>22</v>
      </c>
      <c r="F132" s="300" t="s">
        <v>22</v>
      </c>
      <c r="G132" s="300" t="s">
        <v>22</v>
      </c>
      <c r="I132" s="356" t="str">
        <f>IFERROR(__xludf.DUMMYFUNCTION("if(H132=""Must be Together"",iferror(join("", "",unique(filter({filter('Students (Vertical)'!O:O,'Students (Vertical)'!C:C=B132,'Students (Vertical)'!O:O&lt;&gt;"""");filter('Students (Vertical)'!O:O,'Students (Vertical)'!C:C=E132,'Students (Vertical)'!O:O&lt;&gt;"""&amp;""")},countifs({filter('Students (Vertical)'!O:O,'Students (Vertical)'!C:C=B132,'Students (Vertical)'!O:O&lt;&gt;"""");filter('Students (Vertical)'!O:O,'Students (Vertical)'!C:C=E132,'Students (Vertical)'!O:O&lt;&gt;"""")},{filter('Students (Vertical)'!O:O,'Students ("&amp;"Vertical)'!C:C=B132,'Students (Vertical)'!O:O&lt;&gt;"""");filter('Students (Vertical)'!O:O,'Students (Vertical)'!C:C=E132,'Students (Vertical)'!O:O&lt;&gt;"""")})&gt;1))),""No shared courses""),"""")"),"")</f>
        <v/>
      </c>
      <c r="J132" s="357" t="str">
        <f>IFERROR(__xludf.DUMMYFUNCTION("if(H132=""Can't be Together"",iferror(join("", "",unique(filter({filter('Students (Vertical)'!O:O,'Students (Vertical)'!C:C=B132,'Students (Vertical)'!O:O&lt;&gt;"""",'Students (Vertical)'!P:P&gt;1);filter('Students (Vertical)'!O:O,'Students (Vertical)'!C:C=E132,'"&amp;"Students (Vertical)'!O:O&lt;&gt;"""",'Students (Vertical)'!P:P&gt;1)},countifs({filter('Students (Vertical)'!O:O,'Students (Vertical)'!C:C=B132,'Students (Vertical)'!O:O&lt;&gt;"""",'Students (Vertical)'!P:P&gt;1);filter('Students (Vertical)'!O:O,'Students (Vertical)'!C:C="&amp;"E132,'Students (Vertical)'!O:O&lt;&gt;"""",'Students (Vertical)'!P:P&gt;1)},{filter('Students (Vertical)'!O:O,'Students (Vertical)'!C:C=B132,'Students (Vertical)'!O:O&lt;&gt;"""",'Students (Vertical)'!P:P&gt;1);filter('Students (Vertical)'!O:O,'Students (Vertical)'!C:C=E13"&amp;"2,'Students (Vertical)'!O:O&lt;&gt;"""",'Students (Vertical)'!P:P&gt;1)})&gt;1))),""""),"""")"),"")</f>
        <v/>
      </c>
      <c r="K132" s="358" t="str">
        <f>IFERROR(__xludf.DUMMYFUNCTION("iferror(join("", "",unique(filter({filter('Students (Vertical)'!D:D,'Students (Vertical)'!C:C=B132,'Students (Vertical)'!D:D&lt;&gt;"""");filter('Students (Vertical)'!D:D,'Students (Vertical)'!C:C=E132,'Students (Vertical)'!D:D&lt;&gt;"""")},countifs({filter('Student"&amp;"s (Vertical)'!D:D,'Students (Vertical)'!C:C=B132,'Students (Vertical)'!D:D&lt;&gt;"""");filter('Students (Vertical)'!D:D,'Students (Vertical)'!C:C=E132,'Students (Vertical)'!D:D&lt;&gt;"""")},{filter('Students (Vertical)'!D:D,'Students (Vertical)'!C:C=B132,'Students "&amp;"(Vertical)'!D:D&lt;&gt;"""");filter('Students (Vertical)'!D:D,'Students (Vertical)'!C:C=E132,'Students (Vertical)'!D:D&lt;&gt;"""")})&gt;1))),"""")"),"")</f>
        <v/>
      </c>
    </row>
    <row r="133">
      <c r="A133" s="300" t="s">
        <v>22</v>
      </c>
      <c r="C133" s="300" t="s">
        <v>22</v>
      </c>
      <c r="D133" s="300" t="s">
        <v>22</v>
      </c>
      <c r="F133" s="300" t="s">
        <v>22</v>
      </c>
      <c r="G133" s="300" t="s">
        <v>22</v>
      </c>
      <c r="I133" s="356" t="str">
        <f>IFERROR(__xludf.DUMMYFUNCTION("if(H133=""Must be Together"",iferror(join("", "",unique(filter({filter('Students (Vertical)'!O:O,'Students (Vertical)'!C:C=B133,'Students (Vertical)'!O:O&lt;&gt;"""");filter('Students (Vertical)'!O:O,'Students (Vertical)'!C:C=E133,'Students (Vertical)'!O:O&lt;&gt;"""&amp;""")},countifs({filter('Students (Vertical)'!O:O,'Students (Vertical)'!C:C=B133,'Students (Vertical)'!O:O&lt;&gt;"""");filter('Students (Vertical)'!O:O,'Students (Vertical)'!C:C=E133,'Students (Vertical)'!O:O&lt;&gt;"""")},{filter('Students (Vertical)'!O:O,'Students ("&amp;"Vertical)'!C:C=B133,'Students (Vertical)'!O:O&lt;&gt;"""");filter('Students (Vertical)'!O:O,'Students (Vertical)'!C:C=E133,'Students (Vertical)'!O:O&lt;&gt;"""")})&gt;1))),""No shared courses""),"""")"),"")</f>
        <v/>
      </c>
      <c r="J133" s="357" t="str">
        <f>IFERROR(__xludf.DUMMYFUNCTION("if(H133=""Can't be Together"",iferror(join("", "",unique(filter({filter('Students (Vertical)'!O:O,'Students (Vertical)'!C:C=B133,'Students (Vertical)'!O:O&lt;&gt;"""",'Students (Vertical)'!P:P&gt;1);filter('Students (Vertical)'!O:O,'Students (Vertical)'!C:C=E133,'"&amp;"Students (Vertical)'!O:O&lt;&gt;"""",'Students (Vertical)'!P:P&gt;1)},countifs({filter('Students (Vertical)'!O:O,'Students (Vertical)'!C:C=B133,'Students (Vertical)'!O:O&lt;&gt;"""",'Students (Vertical)'!P:P&gt;1);filter('Students (Vertical)'!O:O,'Students (Vertical)'!C:C="&amp;"E133,'Students (Vertical)'!O:O&lt;&gt;"""",'Students (Vertical)'!P:P&gt;1)},{filter('Students (Vertical)'!O:O,'Students (Vertical)'!C:C=B133,'Students (Vertical)'!O:O&lt;&gt;"""",'Students (Vertical)'!P:P&gt;1);filter('Students (Vertical)'!O:O,'Students (Vertical)'!C:C=E13"&amp;"3,'Students (Vertical)'!O:O&lt;&gt;"""",'Students (Vertical)'!P:P&gt;1)})&gt;1))),""""),"""")"),"")</f>
        <v/>
      </c>
      <c r="K133" s="358" t="str">
        <f>IFERROR(__xludf.DUMMYFUNCTION("iferror(join("", "",unique(filter({filter('Students (Vertical)'!D:D,'Students (Vertical)'!C:C=B133,'Students (Vertical)'!D:D&lt;&gt;"""");filter('Students (Vertical)'!D:D,'Students (Vertical)'!C:C=E133,'Students (Vertical)'!D:D&lt;&gt;"""")},countifs({filter('Student"&amp;"s (Vertical)'!D:D,'Students (Vertical)'!C:C=B133,'Students (Vertical)'!D:D&lt;&gt;"""");filter('Students (Vertical)'!D:D,'Students (Vertical)'!C:C=E133,'Students (Vertical)'!D:D&lt;&gt;"""")},{filter('Students (Vertical)'!D:D,'Students (Vertical)'!C:C=B133,'Students "&amp;"(Vertical)'!D:D&lt;&gt;"""");filter('Students (Vertical)'!D:D,'Students (Vertical)'!C:C=E133,'Students (Vertical)'!D:D&lt;&gt;"""")})&gt;1))),"""")"),"")</f>
        <v/>
      </c>
    </row>
    <row r="134">
      <c r="A134" s="300" t="s">
        <v>22</v>
      </c>
      <c r="C134" s="300" t="s">
        <v>22</v>
      </c>
      <c r="D134" s="300" t="s">
        <v>22</v>
      </c>
      <c r="F134" s="300" t="s">
        <v>22</v>
      </c>
      <c r="G134" s="300" t="s">
        <v>22</v>
      </c>
      <c r="I134" s="356" t="str">
        <f>IFERROR(__xludf.DUMMYFUNCTION("if(H134=""Must be Together"",iferror(join("", "",unique(filter({filter('Students (Vertical)'!O:O,'Students (Vertical)'!C:C=B134,'Students (Vertical)'!O:O&lt;&gt;"""");filter('Students (Vertical)'!O:O,'Students (Vertical)'!C:C=E134,'Students (Vertical)'!O:O&lt;&gt;"""&amp;""")},countifs({filter('Students (Vertical)'!O:O,'Students (Vertical)'!C:C=B134,'Students (Vertical)'!O:O&lt;&gt;"""");filter('Students (Vertical)'!O:O,'Students (Vertical)'!C:C=E134,'Students (Vertical)'!O:O&lt;&gt;"""")},{filter('Students (Vertical)'!O:O,'Students ("&amp;"Vertical)'!C:C=B134,'Students (Vertical)'!O:O&lt;&gt;"""");filter('Students (Vertical)'!O:O,'Students (Vertical)'!C:C=E134,'Students (Vertical)'!O:O&lt;&gt;"""")})&gt;1))),""No shared courses""),"""")"),"")</f>
        <v/>
      </c>
      <c r="J134" s="357" t="str">
        <f>IFERROR(__xludf.DUMMYFUNCTION("if(H134=""Can't be Together"",iferror(join("", "",unique(filter({filter('Students (Vertical)'!O:O,'Students (Vertical)'!C:C=B134,'Students (Vertical)'!O:O&lt;&gt;"""",'Students (Vertical)'!P:P&gt;1);filter('Students (Vertical)'!O:O,'Students (Vertical)'!C:C=E134,'"&amp;"Students (Vertical)'!O:O&lt;&gt;"""",'Students (Vertical)'!P:P&gt;1)},countifs({filter('Students (Vertical)'!O:O,'Students (Vertical)'!C:C=B134,'Students (Vertical)'!O:O&lt;&gt;"""",'Students (Vertical)'!P:P&gt;1);filter('Students (Vertical)'!O:O,'Students (Vertical)'!C:C="&amp;"E134,'Students (Vertical)'!O:O&lt;&gt;"""",'Students (Vertical)'!P:P&gt;1)},{filter('Students (Vertical)'!O:O,'Students (Vertical)'!C:C=B134,'Students (Vertical)'!O:O&lt;&gt;"""",'Students (Vertical)'!P:P&gt;1);filter('Students (Vertical)'!O:O,'Students (Vertical)'!C:C=E13"&amp;"4,'Students (Vertical)'!O:O&lt;&gt;"""",'Students (Vertical)'!P:P&gt;1)})&gt;1))),""""),"""")"),"")</f>
        <v/>
      </c>
      <c r="K134" s="358" t="str">
        <f>IFERROR(__xludf.DUMMYFUNCTION("iferror(join("", "",unique(filter({filter('Students (Vertical)'!D:D,'Students (Vertical)'!C:C=B134,'Students (Vertical)'!D:D&lt;&gt;"""");filter('Students (Vertical)'!D:D,'Students (Vertical)'!C:C=E134,'Students (Vertical)'!D:D&lt;&gt;"""")},countifs({filter('Student"&amp;"s (Vertical)'!D:D,'Students (Vertical)'!C:C=B134,'Students (Vertical)'!D:D&lt;&gt;"""");filter('Students (Vertical)'!D:D,'Students (Vertical)'!C:C=E134,'Students (Vertical)'!D:D&lt;&gt;"""")},{filter('Students (Vertical)'!D:D,'Students (Vertical)'!C:C=B134,'Students "&amp;"(Vertical)'!D:D&lt;&gt;"""");filter('Students (Vertical)'!D:D,'Students (Vertical)'!C:C=E134,'Students (Vertical)'!D:D&lt;&gt;"""")})&gt;1))),"""")"),"")</f>
        <v/>
      </c>
    </row>
    <row r="135">
      <c r="A135" s="300" t="s">
        <v>22</v>
      </c>
      <c r="C135" s="300" t="s">
        <v>22</v>
      </c>
      <c r="D135" s="300" t="s">
        <v>22</v>
      </c>
      <c r="F135" s="300" t="s">
        <v>22</v>
      </c>
      <c r="G135" s="300" t="s">
        <v>22</v>
      </c>
      <c r="I135" s="356" t="str">
        <f>IFERROR(__xludf.DUMMYFUNCTION("if(H135=""Must be Together"",iferror(join("", "",unique(filter({filter('Students (Vertical)'!O:O,'Students (Vertical)'!C:C=B135,'Students (Vertical)'!O:O&lt;&gt;"""");filter('Students (Vertical)'!O:O,'Students (Vertical)'!C:C=E135,'Students (Vertical)'!O:O&lt;&gt;"""&amp;""")},countifs({filter('Students (Vertical)'!O:O,'Students (Vertical)'!C:C=B135,'Students (Vertical)'!O:O&lt;&gt;"""");filter('Students (Vertical)'!O:O,'Students (Vertical)'!C:C=E135,'Students (Vertical)'!O:O&lt;&gt;"""")},{filter('Students (Vertical)'!O:O,'Students ("&amp;"Vertical)'!C:C=B135,'Students (Vertical)'!O:O&lt;&gt;"""");filter('Students (Vertical)'!O:O,'Students (Vertical)'!C:C=E135,'Students (Vertical)'!O:O&lt;&gt;"""")})&gt;1))),""No shared courses""),"""")"),"")</f>
        <v/>
      </c>
      <c r="J135" s="357" t="str">
        <f>IFERROR(__xludf.DUMMYFUNCTION("if(H135=""Can't be Together"",iferror(join("", "",unique(filter({filter('Students (Vertical)'!O:O,'Students (Vertical)'!C:C=B135,'Students (Vertical)'!O:O&lt;&gt;"""",'Students (Vertical)'!P:P&gt;1);filter('Students (Vertical)'!O:O,'Students (Vertical)'!C:C=E135,'"&amp;"Students (Vertical)'!O:O&lt;&gt;"""",'Students (Vertical)'!P:P&gt;1)},countifs({filter('Students (Vertical)'!O:O,'Students (Vertical)'!C:C=B135,'Students (Vertical)'!O:O&lt;&gt;"""",'Students (Vertical)'!P:P&gt;1);filter('Students (Vertical)'!O:O,'Students (Vertical)'!C:C="&amp;"E135,'Students (Vertical)'!O:O&lt;&gt;"""",'Students (Vertical)'!P:P&gt;1)},{filter('Students (Vertical)'!O:O,'Students (Vertical)'!C:C=B135,'Students (Vertical)'!O:O&lt;&gt;"""",'Students (Vertical)'!P:P&gt;1);filter('Students (Vertical)'!O:O,'Students (Vertical)'!C:C=E13"&amp;"5,'Students (Vertical)'!O:O&lt;&gt;"""",'Students (Vertical)'!P:P&gt;1)})&gt;1))),""""),"""")"),"")</f>
        <v/>
      </c>
      <c r="K135" s="358" t="str">
        <f>IFERROR(__xludf.DUMMYFUNCTION("iferror(join("", "",unique(filter({filter('Students (Vertical)'!D:D,'Students (Vertical)'!C:C=B135,'Students (Vertical)'!D:D&lt;&gt;"""");filter('Students (Vertical)'!D:D,'Students (Vertical)'!C:C=E135,'Students (Vertical)'!D:D&lt;&gt;"""")},countifs({filter('Student"&amp;"s (Vertical)'!D:D,'Students (Vertical)'!C:C=B135,'Students (Vertical)'!D:D&lt;&gt;"""");filter('Students (Vertical)'!D:D,'Students (Vertical)'!C:C=E135,'Students (Vertical)'!D:D&lt;&gt;"""")},{filter('Students (Vertical)'!D:D,'Students (Vertical)'!C:C=B135,'Students "&amp;"(Vertical)'!D:D&lt;&gt;"""");filter('Students (Vertical)'!D:D,'Students (Vertical)'!C:C=E135,'Students (Vertical)'!D:D&lt;&gt;"""")})&gt;1))),"""")"),"")</f>
        <v/>
      </c>
    </row>
    <row r="136">
      <c r="A136" s="300" t="s">
        <v>22</v>
      </c>
      <c r="C136" s="300" t="s">
        <v>22</v>
      </c>
      <c r="D136" s="300" t="s">
        <v>22</v>
      </c>
      <c r="F136" s="300" t="s">
        <v>22</v>
      </c>
      <c r="G136" s="300" t="s">
        <v>22</v>
      </c>
      <c r="I136" s="356" t="str">
        <f>IFERROR(__xludf.DUMMYFUNCTION("if(H136=""Must be Together"",iferror(join("", "",unique(filter({filter('Students (Vertical)'!O:O,'Students (Vertical)'!C:C=B136,'Students (Vertical)'!O:O&lt;&gt;"""");filter('Students (Vertical)'!O:O,'Students (Vertical)'!C:C=E136,'Students (Vertical)'!O:O&lt;&gt;"""&amp;""")},countifs({filter('Students (Vertical)'!O:O,'Students (Vertical)'!C:C=B136,'Students (Vertical)'!O:O&lt;&gt;"""");filter('Students (Vertical)'!O:O,'Students (Vertical)'!C:C=E136,'Students (Vertical)'!O:O&lt;&gt;"""")},{filter('Students (Vertical)'!O:O,'Students ("&amp;"Vertical)'!C:C=B136,'Students (Vertical)'!O:O&lt;&gt;"""");filter('Students (Vertical)'!O:O,'Students (Vertical)'!C:C=E136,'Students (Vertical)'!O:O&lt;&gt;"""")})&gt;1))),""No shared courses""),"""")"),"")</f>
        <v/>
      </c>
      <c r="J136" s="357" t="str">
        <f>IFERROR(__xludf.DUMMYFUNCTION("if(H136=""Can't be Together"",iferror(join("", "",unique(filter({filter('Students (Vertical)'!O:O,'Students (Vertical)'!C:C=B136,'Students (Vertical)'!O:O&lt;&gt;"""",'Students (Vertical)'!P:P&gt;1);filter('Students (Vertical)'!O:O,'Students (Vertical)'!C:C=E136,'"&amp;"Students (Vertical)'!O:O&lt;&gt;"""",'Students (Vertical)'!P:P&gt;1)},countifs({filter('Students (Vertical)'!O:O,'Students (Vertical)'!C:C=B136,'Students (Vertical)'!O:O&lt;&gt;"""",'Students (Vertical)'!P:P&gt;1);filter('Students (Vertical)'!O:O,'Students (Vertical)'!C:C="&amp;"E136,'Students (Vertical)'!O:O&lt;&gt;"""",'Students (Vertical)'!P:P&gt;1)},{filter('Students (Vertical)'!O:O,'Students (Vertical)'!C:C=B136,'Students (Vertical)'!O:O&lt;&gt;"""",'Students (Vertical)'!P:P&gt;1);filter('Students (Vertical)'!O:O,'Students (Vertical)'!C:C=E13"&amp;"6,'Students (Vertical)'!O:O&lt;&gt;"""",'Students (Vertical)'!P:P&gt;1)})&gt;1))),""""),"""")"),"")</f>
        <v/>
      </c>
      <c r="K136" s="358" t="str">
        <f>IFERROR(__xludf.DUMMYFUNCTION("iferror(join("", "",unique(filter({filter('Students (Vertical)'!D:D,'Students (Vertical)'!C:C=B136,'Students (Vertical)'!D:D&lt;&gt;"""");filter('Students (Vertical)'!D:D,'Students (Vertical)'!C:C=E136,'Students (Vertical)'!D:D&lt;&gt;"""")},countifs({filter('Student"&amp;"s (Vertical)'!D:D,'Students (Vertical)'!C:C=B136,'Students (Vertical)'!D:D&lt;&gt;"""");filter('Students (Vertical)'!D:D,'Students (Vertical)'!C:C=E136,'Students (Vertical)'!D:D&lt;&gt;"""")},{filter('Students (Vertical)'!D:D,'Students (Vertical)'!C:C=B136,'Students "&amp;"(Vertical)'!D:D&lt;&gt;"""");filter('Students (Vertical)'!D:D,'Students (Vertical)'!C:C=E136,'Students (Vertical)'!D:D&lt;&gt;"""")})&gt;1))),"""")"),"")</f>
        <v/>
      </c>
    </row>
    <row r="137">
      <c r="A137" s="300" t="s">
        <v>22</v>
      </c>
      <c r="C137" s="300" t="s">
        <v>22</v>
      </c>
      <c r="D137" s="300" t="s">
        <v>22</v>
      </c>
      <c r="F137" s="300" t="s">
        <v>22</v>
      </c>
      <c r="G137" s="300" t="s">
        <v>22</v>
      </c>
      <c r="I137" s="356" t="str">
        <f>IFERROR(__xludf.DUMMYFUNCTION("if(H137=""Must be Together"",iferror(join("", "",unique(filter({filter('Students (Vertical)'!O:O,'Students (Vertical)'!C:C=B137,'Students (Vertical)'!O:O&lt;&gt;"""");filter('Students (Vertical)'!O:O,'Students (Vertical)'!C:C=E137,'Students (Vertical)'!O:O&lt;&gt;"""&amp;""")},countifs({filter('Students (Vertical)'!O:O,'Students (Vertical)'!C:C=B137,'Students (Vertical)'!O:O&lt;&gt;"""");filter('Students (Vertical)'!O:O,'Students (Vertical)'!C:C=E137,'Students (Vertical)'!O:O&lt;&gt;"""")},{filter('Students (Vertical)'!O:O,'Students ("&amp;"Vertical)'!C:C=B137,'Students (Vertical)'!O:O&lt;&gt;"""");filter('Students (Vertical)'!O:O,'Students (Vertical)'!C:C=E137,'Students (Vertical)'!O:O&lt;&gt;"""")})&gt;1))),""No shared courses""),"""")"),"")</f>
        <v/>
      </c>
      <c r="J137" s="357" t="str">
        <f>IFERROR(__xludf.DUMMYFUNCTION("if(H137=""Can't be Together"",iferror(join("", "",unique(filter({filter('Students (Vertical)'!O:O,'Students (Vertical)'!C:C=B137,'Students (Vertical)'!O:O&lt;&gt;"""",'Students (Vertical)'!P:P&gt;1);filter('Students (Vertical)'!O:O,'Students (Vertical)'!C:C=E137,'"&amp;"Students (Vertical)'!O:O&lt;&gt;"""",'Students (Vertical)'!P:P&gt;1)},countifs({filter('Students (Vertical)'!O:O,'Students (Vertical)'!C:C=B137,'Students (Vertical)'!O:O&lt;&gt;"""",'Students (Vertical)'!P:P&gt;1);filter('Students (Vertical)'!O:O,'Students (Vertical)'!C:C="&amp;"E137,'Students (Vertical)'!O:O&lt;&gt;"""",'Students (Vertical)'!P:P&gt;1)},{filter('Students (Vertical)'!O:O,'Students (Vertical)'!C:C=B137,'Students (Vertical)'!O:O&lt;&gt;"""",'Students (Vertical)'!P:P&gt;1);filter('Students (Vertical)'!O:O,'Students (Vertical)'!C:C=E13"&amp;"7,'Students (Vertical)'!O:O&lt;&gt;"""",'Students (Vertical)'!P:P&gt;1)})&gt;1))),""""),"""")"),"")</f>
        <v/>
      </c>
      <c r="K137" s="358" t="str">
        <f>IFERROR(__xludf.DUMMYFUNCTION("iferror(join("", "",unique(filter({filter('Students (Vertical)'!D:D,'Students (Vertical)'!C:C=B137,'Students (Vertical)'!D:D&lt;&gt;"""");filter('Students (Vertical)'!D:D,'Students (Vertical)'!C:C=E137,'Students (Vertical)'!D:D&lt;&gt;"""")},countifs({filter('Student"&amp;"s (Vertical)'!D:D,'Students (Vertical)'!C:C=B137,'Students (Vertical)'!D:D&lt;&gt;"""");filter('Students (Vertical)'!D:D,'Students (Vertical)'!C:C=E137,'Students (Vertical)'!D:D&lt;&gt;"""")},{filter('Students (Vertical)'!D:D,'Students (Vertical)'!C:C=B137,'Students "&amp;"(Vertical)'!D:D&lt;&gt;"""");filter('Students (Vertical)'!D:D,'Students (Vertical)'!C:C=E137,'Students (Vertical)'!D:D&lt;&gt;"""")})&gt;1))),"""")"),"")</f>
        <v/>
      </c>
    </row>
    <row r="138">
      <c r="A138" s="300" t="s">
        <v>22</v>
      </c>
      <c r="C138" s="300" t="s">
        <v>22</v>
      </c>
      <c r="D138" s="300" t="s">
        <v>22</v>
      </c>
      <c r="F138" s="300" t="s">
        <v>22</v>
      </c>
      <c r="G138" s="300" t="s">
        <v>22</v>
      </c>
      <c r="I138" s="356" t="str">
        <f>IFERROR(__xludf.DUMMYFUNCTION("if(H138=""Must be Together"",iferror(join("", "",unique(filter({filter('Students (Vertical)'!O:O,'Students (Vertical)'!C:C=B138,'Students (Vertical)'!O:O&lt;&gt;"""");filter('Students (Vertical)'!O:O,'Students (Vertical)'!C:C=E138,'Students (Vertical)'!O:O&lt;&gt;"""&amp;""")},countifs({filter('Students (Vertical)'!O:O,'Students (Vertical)'!C:C=B138,'Students (Vertical)'!O:O&lt;&gt;"""");filter('Students (Vertical)'!O:O,'Students (Vertical)'!C:C=E138,'Students (Vertical)'!O:O&lt;&gt;"""")},{filter('Students (Vertical)'!O:O,'Students ("&amp;"Vertical)'!C:C=B138,'Students (Vertical)'!O:O&lt;&gt;"""");filter('Students (Vertical)'!O:O,'Students (Vertical)'!C:C=E138,'Students (Vertical)'!O:O&lt;&gt;"""")})&gt;1))),""No shared courses""),"""")"),"")</f>
        <v/>
      </c>
      <c r="J138" s="357" t="str">
        <f>IFERROR(__xludf.DUMMYFUNCTION("if(H138=""Can't be Together"",iferror(join("", "",unique(filter({filter('Students (Vertical)'!O:O,'Students (Vertical)'!C:C=B138,'Students (Vertical)'!O:O&lt;&gt;"""",'Students (Vertical)'!P:P&gt;1);filter('Students (Vertical)'!O:O,'Students (Vertical)'!C:C=E138,'"&amp;"Students (Vertical)'!O:O&lt;&gt;"""",'Students (Vertical)'!P:P&gt;1)},countifs({filter('Students (Vertical)'!O:O,'Students (Vertical)'!C:C=B138,'Students (Vertical)'!O:O&lt;&gt;"""",'Students (Vertical)'!P:P&gt;1);filter('Students (Vertical)'!O:O,'Students (Vertical)'!C:C="&amp;"E138,'Students (Vertical)'!O:O&lt;&gt;"""",'Students (Vertical)'!P:P&gt;1)},{filter('Students (Vertical)'!O:O,'Students (Vertical)'!C:C=B138,'Students (Vertical)'!O:O&lt;&gt;"""",'Students (Vertical)'!P:P&gt;1);filter('Students (Vertical)'!O:O,'Students (Vertical)'!C:C=E13"&amp;"8,'Students (Vertical)'!O:O&lt;&gt;"""",'Students (Vertical)'!P:P&gt;1)})&gt;1))),""""),"""")"),"")</f>
        <v/>
      </c>
      <c r="K138" s="358" t="str">
        <f>IFERROR(__xludf.DUMMYFUNCTION("iferror(join("", "",unique(filter({filter('Students (Vertical)'!D:D,'Students (Vertical)'!C:C=B138,'Students (Vertical)'!D:D&lt;&gt;"""");filter('Students (Vertical)'!D:D,'Students (Vertical)'!C:C=E138,'Students (Vertical)'!D:D&lt;&gt;"""")},countifs({filter('Student"&amp;"s (Vertical)'!D:D,'Students (Vertical)'!C:C=B138,'Students (Vertical)'!D:D&lt;&gt;"""");filter('Students (Vertical)'!D:D,'Students (Vertical)'!C:C=E138,'Students (Vertical)'!D:D&lt;&gt;"""")},{filter('Students (Vertical)'!D:D,'Students (Vertical)'!C:C=B138,'Students "&amp;"(Vertical)'!D:D&lt;&gt;"""");filter('Students (Vertical)'!D:D,'Students (Vertical)'!C:C=E138,'Students (Vertical)'!D:D&lt;&gt;"""")})&gt;1))),"""")"),"")</f>
        <v/>
      </c>
    </row>
    <row r="139">
      <c r="A139" s="300" t="s">
        <v>22</v>
      </c>
      <c r="C139" s="300" t="s">
        <v>22</v>
      </c>
      <c r="D139" s="300" t="s">
        <v>22</v>
      </c>
      <c r="F139" s="300" t="s">
        <v>22</v>
      </c>
      <c r="G139" s="300" t="s">
        <v>22</v>
      </c>
      <c r="I139" s="356" t="str">
        <f>IFERROR(__xludf.DUMMYFUNCTION("if(H139=""Must be Together"",iferror(join("", "",unique(filter({filter('Students (Vertical)'!O:O,'Students (Vertical)'!C:C=B139,'Students (Vertical)'!O:O&lt;&gt;"""");filter('Students (Vertical)'!O:O,'Students (Vertical)'!C:C=E139,'Students (Vertical)'!O:O&lt;&gt;"""&amp;""")},countifs({filter('Students (Vertical)'!O:O,'Students (Vertical)'!C:C=B139,'Students (Vertical)'!O:O&lt;&gt;"""");filter('Students (Vertical)'!O:O,'Students (Vertical)'!C:C=E139,'Students (Vertical)'!O:O&lt;&gt;"""")},{filter('Students (Vertical)'!O:O,'Students ("&amp;"Vertical)'!C:C=B139,'Students (Vertical)'!O:O&lt;&gt;"""");filter('Students (Vertical)'!O:O,'Students (Vertical)'!C:C=E139,'Students (Vertical)'!O:O&lt;&gt;"""")})&gt;1))),""No shared courses""),"""")"),"")</f>
        <v/>
      </c>
      <c r="J139" s="357" t="str">
        <f>IFERROR(__xludf.DUMMYFUNCTION("if(H139=""Can't be Together"",iferror(join("", "",unique(filter({filter('Students (Vertical)'!O:O,'Students (Vertical)'!C:C=B139,'Students (Vertical)'!O:O&lt;&gt;"""",'Students (Vertical)'!P:P&gt;1);filter('Students (Vertical)'!O:O,'Students (Vertical)'!C:C=E139,'"&amp;"Students (Vertical)'!O:O&lt;&gt;"""",'Students (Vertical)'!P:P&gt;1)},countifs({filter('Students (Vertical)'!O:O,'Students (Vertical)'!C:C=B139,'Students (Vertical)'!O:O&lt;&gt;"""",'Students (Vertical)'!P:P&gt;1);filter('Students (Vertical)'!O:O,'Students (Vertical)'!C:C="&amp;"E139,'Students (Vertical)'!O:O&lt;&gt;"""",'Students (Vertical)'!P:P&gt;1)},{filter('Students (Vertical)'!O:O,'Students (Vertical)'!C:C=B139,'Students (Vertical)'!O:O&lt;&gt;"""",'Students (Vertical)'!P:P&gt;1);filter('Students (Vertical)'!O:O,'Students (Vertical)'!C:C=E13"&amp;"9,'Students (Vertical)'!O:O&lt;&gt;"""",'Students (Vertical)'!P:P&gt;1)})&gt;1))),""""),"""")"),"")</f>
        <v/>
      </c>
      <c r="K139" s="358" t="str">
        <f>IFERROR(__xludf.DUMMYFUNCTION("iferror(join("", "",unique(filter({filter('Students (Vertical)'!D:D,'Students (Vertical)'!C:C=B139,'Students (Vertical)'!D:D&lt;&gt;"""");filter('Students (Vertical)'!D:D,'Students (Vertical)'!C:C=E139,'Students (Vertical)'!D:D&lt;&gt;"""")},countifs({filter('Student"&amp;"s (Vertical)'!D:D,'Students (Vertical)'!C:C=B139,'Students (Vertical)'!D:D&lt;&gt;"""");filter('Students (Vertical)'!D:D,'Students (Vertical)'!C:C=E139,'Students (Vertical)'!D:D&lt;&gt;"""")},{filter('Students (Vertical)'!D:D,'Students (Vertical)'!C:C=B139,'Students "&amp;"(Vertical)'!D:D&lt;&gt;"""");filter('Students (Vertical)'!D:D,'Students (Vertical)'!C:C=E139,'Students (Vertical)'!D:D&lt;&gt;"""")})&gt;1))),"""")"),"")</f>
        <v/>
      </c>
    </row>
    <row r="140">
      <c r="A140" s="300" t="s">
        <v>22</v>
      </c>
      <c r="C140" s="300" t="s">
        <v>22</v>
      </c>
      <c r="D140" s="300" t="s">
        <v>22</v>
      </c>
      <c r="F140" s="300" t="s">
        <v>22</v>
      </c>
      <c r="G140" s="300" t="s">
        <v>22</v>
      </c>
      <c r="I140" s="356" t="str">
        <f>IFERROR(__xludf.DUMMYFUNCTION("if(H140=""Must be Together"",iferror(join("", "",unique(filter({filter('Students (Vertical)'!O:O,'Students (Vertical)'!C:C=B140,'Students (Vertical)'!O:O&lt;&gt;"""");filter('Students (Vertical)'!O:O,'Students (Vertical)'!C:C=E140,'Students (Vertical)'!O:O&lt;&gt;"""&amp;""")},countifs({filter('Students (Vertical)'!O:O,'Students (Vertical)'!C:C=B140,'Students (Vertical)'!O:O&lt;&gt;"""");filter('Students (Vertical)'!O:O,'Students (Vertical)'!C:C=E140,'Students (Vertical)'!O:O&lt;&gt;"""")},{filter('Students (Vertical)'!O:O,'Students ("&amp;"Vertical)'!C:C=B140,'Students (Vertical)'!O:O&lt;&gt;"""");filter('Students (Vertical)'!O:O,'Students (Vertical)'!C:C=E140,'Students (Vertical)'!O:O&lt;&gt;"""")})&gt;1))),""No shared courses""),"""")"),"")</f>
        <v/>
      </c>
      <c r="J140" s="357" t="str">
        <f>IFERROR(__xludf.DUMMYFUNCTION("if(H140=""Can't be Together"",iferror(join("", "",unique(filter({filter('Students (Vertical)'!O:O,'Students (Vertical)'!C:C=B140,'Students (Vertical)'!O:O&lt;&gt;"""",'Students (Vertical)'!P:P&gt;1);filter('Students (Vertical)'!O:O,'Students (Vertical)'!C:C=E140,'"&amp;"Students (Vertical)'!O:O&lt;&gt;"""",'Students (Vertical)'!P:P&gt;1)},countifs({filter('Students (Vertical)'!O:O,'Students (Vertical)'!C:C=B140,'Students (Vertical)'!O:O&lt;&gt;"""",'Students (Vertical)'!P:P&gt;1);filter('Students (Vertical)'!O:O,'Students (Vertical)'!C:C="&amp;"E140,'Students (Vertical)'!O:O&lt;&gt;"""",'Students (Vertical)'!P:P&gt;1)},{filter('Students (Vertical)'!O:O,'Students (Vertical)'!C:C=B140,'Students (Vertical)'!O:O&lt;&gt;"""",'Students (Vertical)'!P:P&gt;1);filter('Students (Vertical)'!O:O,'Students (Vertical)'!C:C=E14"&amp;"0,'Students (Vertical)'!O:O&lt;&gt;"""",'Students (Vertical)'!P:P&gt;1)})&gt;1))),""""),"""")"),"")</f>
        <v/>
      </c>
      <c r="K140" s="358" t="str">
        <f>IFERROR(__xludf.DUMMYFUNCTION("iferror(join("", "",unique(filter({filter('Students (Vertical)'!D:D,'Students (Vertical)'!C:C=B140,'Students (Vertical)'!D:D&lt;&gt;"""");filter('Students (Vertical)'!D:D,'Students (Vertical)'!C:C=E140,'Students (Vertical)'!D:D&lt;&gt;"""")},countifs({filter('Student"&amp;"s (Vertical)'!D:D,'Students (Vertical)'!C:C=B140,'Students (Vertical)'!D:D&lt;&gt;"""");filter('Students (Vertical)'!D:D,'Students (Vertical)'!C:C=E140,'Students (Vertical)'!D:D&lt;&gt;"""")},{filter('Students (Vertical)'!D:D,'Students (Vertical)'!C:C=B140,'Students "&amp;"(Vertical)'!D:D&lt;&gt;"""");filter('Students (Vertical)'!D:D,'Students (Vertical)'!C:C=E140,'Students (Vertical)'!D:D&lt;&gt;"""")})&gt;1))),"""")"),"")</f>
        <v/>
      </c>
    </row>
    <row r="141">
      <c r="A141" s="300" t="s">
        <v>22</v>
      </c>
      <c r="C141" s="300" t="s">
        <v>22</v>
      </c>
      <c r="D141" s="300" t="s">
        <v>22</v>
      </c>
      <c r="F141" s="300" t="s">
        <v>22</v>
      </c>
      <c r="G141" s="300" t="s">
        <v>22</v>
      </c>
      <c r="I141" s="356" t="str">
        <f>IFERROR(__xludf.DUMMYFUNCTION("if(H141=""Must be Together"",iferror(join("", "",unique(filter({filter('Students (Vertical)'!O:O,'Students (Vertical)'!C:C=B141,'Students (Vertical)'!O:O&lt;&gt;"""");filter('Students (Vertical)'!O:O,'Students (Vertical)'!C:C=E141,'Students (Vertical)'!O:O&lt;&gt;"""&amp;""")},countifs({filter('Students (Vertical)'!O:O,'Students (Vertical)'!C:C=B141,'Students (Vertical)'!O:O&lt;&gt;"""");filter('Students (Vertical)'!O:O,'Students (Vertical)'!C:C=E141,'Students (Vertical)'!O:O&lt;&gt;"""")},{filter('Students (Vertical)'!O:O,'Students ("&amp;"Vertical)'!C:C=B141,'Students (Vertical)'!O:O&lt;&gt;"""");filter('Students (Vertical)'!O:O,'Students (Vertical)'!C:C=E141,'Students (Vertical)'!O:O&lt;&gt;"""")})&gt;1))),""No shared courses""),"""")"),"")</f>
        <v/>
      </c>
      <c r="J141" s="357" t="str">
        <f>IFERROR(__xludf.DUMMYFUNCTION("if(H141=""Can't be Together"",iferror(join("", "",unique(filter({filter('Students (Vertical)'!O:O,'Students (Vertical)'!C:C=B141,'Students (Vertical)'!O:O&lt;&gt;"""",'Students (Vertical)'!P:P&gt;1);filter('Students (Vertical)'!O:O,'Students (Vertical)'!C:C=E141,'"&amp;"Students (Vertical)'!O:O&lt;&gt;"""",'Students (Vertical)'!P:P&gt;1)},countifs({filter('Students (Vertical)'!O:O,'Students (Vertical)'!C:C=B141,'Students (Vertical)'!O:O&lt;&gt;"""",'Students (Vertical)'!P:P&gt;1);filter('Students (Vertical)'!O:O,'Students (Vertical)'!C:C="&amp;"E141,'Students (Vertical)'!O:O&lt;&gt;"""",'Students (Vertical)'!P:P&gt;1)},{filter('Students (Vertical)'!O:O,'Students (Vertical)'!C:C=B141,'Students (Vertical)'!O:O&lt;&gt;"""",'Students (Vertical)'!P:P&gt;1);filter('Students (Vertical)'!O:O,'Students (Vertical)'!C:C=E14"&amp;"1,'Students (Vertical)'!O:O&lt;&gt;"""",'Students (Vertical)'!P:P&gt;1)})&gt;1))),""""),"""")"),"")</f>
        <v/>
      </c>
      <c r="K141" s="358" t="str">
        <f>IFERROR(__xludf.DUMMYFUNCTION("iferror(join("", "",unique(filter({filter('Students (Vertical)'!D:D,'Students (Vertical)'!C:C=B141,'Students (Vertical)'!D:D&lt;&gt;"""");filter('Students (Vertical)'!D:D,'Students (Vertical)'!C:C=E141,'Students (Vertical)'!D:D&lt;&gt;"""")},countifs({filter('Student"&amp;"s (Vertical)'!D:D,'Students (Vertical)'!C:C=B141,'Students (Vertical)'!D:D&lt;&gt;"""");filter('Students (Vertical)'!D:D,'Students (Vertical)'!C:C=E141,'Students (Vertical)'!D:D&lt;&gt;"""")},{filter('Students (Vertical)'!D:D,'Students (Vertical)'!C:C=B141,'Students "&amp;"(Vertical)'!D:D&lt;&gt;"""");filter('Students (Vertical)'!D:D,'Students (Vertical)'!C:C=E141,'Students (Vertical)'!D:D&lt;&gt;"""")})&gt;1))),"""")"),"")</f>
        <v/>
      </c>
    </row>
    <row r="142">
      <c r="A142" s="300" t="s">
        <v>22</v>
      </c>
      <c r="C142" s="300" t="s">
        <v>22</v>
      </c>
      <c r="D142" s="300" t="s">
        <v>22</v>
      </c>
      <c r="F142" s="300" t="s">
        <v>22</v>
      </c>
      <c r="G142" s="300" t="s">
        <v>22</v>
      </c>
      <c r="I142" s="356" t="str">
        <f>IFERROR(__xludf.DUMMYFUNCTION("if(H142=""Must be Together"",iferror(join("", "",unique(filter({filter('Students (Vertical)'!O:O,'Students (Vertical)'!C:C=B142,'Students (Vertical)'!O:O&lt;&gt;"""");filter('Students (Vertical)'!O:O,'Students (Vertical)'!C:C=E142,'Students (Vertical)'!O:O&lt;&gt;"""&amp;""")},countifs({filter('Students (Vertical)'!O:O,'Students (Vertical)'!C:C=B142,'Students (Vertical)'!O:O&lt;&gt;"""");filter('Students (Vertical)'!O:O,'Students (Vertical)'!C:C=E142,'Students (Vertical)'!O:O&lt;&gt;"""")},{filter('Students (Vertical)'!O:O,'Students ("&amp;"Vertical)'!C:C=B142,'Students (Vertical)'!O:O&lt;&gt;"""");filter('Students (Vertical)'!O:O,'Students (Vertical)'!C:C=E142,'Students (Vertical)'!O:O&lt;&gt;"""")})&gt;1))),""No shared courses""),"""")"),"")</f>
        <v/>
      </c>
      <c r="J142" s="357" t="str">
        <f>IFERROR(__xludf.DUMMYFUNCTION("if(H142=""Can't be Together"",iferror(join("", "",unique(filter({filter('Students (Vertical)'!O:O,'Students (Vertical)'!C:C=B142,'Students (Vertical)'!O:O&lt;&gt;"""",'Students (Vertical)'!P:P&gt;1);filter('Students (Vertical)'!O:O,'Students (Vertical)'!C:C=E142,'"&amp;"Students (Vertical)'!O:O&lt;&gt;"""",'Students (Vertical)'!P:P&gt;1)},countifs({filter('Students (Vertical)'!O:O,'Students (Vertical)'!C:C=B142,'Students (Vertical)'!O:O&lt;&gt;"""",'Students (Vertical)'!P:P&gt;1);filter('Students (Vertical)'!O:O,'Students (Vertical)'!C:C="&amp;"E142,'Students (Vertical)'!O:O&lt;&gt;"""",'Students (Vertical)'!P:P&gt;1)},{filter('Students (Vertical)'!O:O,'Students (Vertical)'!C:C=B142,'Students (Vertical)'!O:O&lt;&gt;"""",'Students (Vertical)'!P:P&gt;1);filter('Students (Vertical)'!O:O,'Students (Vertical)'!C:C=E14"&amp;"2,'Students (Vertical)'!O:O&lt;&gt;"""",'Students (Vertical)'!P:P&gt;1)})&gt;1))),""""),"""")"),"")</f>
        <v/>
      </c>
      <c r="K142" s="358" t="str">
        <f>IFERROR(__xludf.DUMMYFUNCTION("iferror(join("", "",unique(filter({filter('Students (Vertical)'!D:D,'Students (Vertical)'!C:C=B142,'Students (Vertical)'!D:D&lt;&gt;"""");filter('Students (Vertical)'!D:D,'Students (Vertical)'!C:C=E142,'Students (Vertical)'!D:D&lt;&gt;"""")},countifs({filter('Student"&amp;"s (Vertical)'!D:D,'Students (Vertical)'!C:C=B142,'Students (Vertical)'!D:D&lt;&gt;"""");filter('Students (Vertical)'!D:D,'Students (Vertical)'!C:C=E142,'Students (Vertical)'!D:D&lt;&gt;"""")},{filter('Students (Vertical)'!D:D,'Students (Vertical)'!C:C=B142,'Students "&amp;"(Vertical)'!D:D&lt;&gt;"""");filter('Students (Vertical)'!D:D,'Students (Vertical)'!C:C=E142,'Students (Vertical)'!D:D&lt;&gt;"""")})&gt;1))),"""")"),"")</f>
        <v/>
      </c>
    </row>
    <row r="143">
      <c r="A143" s="300" t="s">
        <v>22</v>
      </c>
      <c r="C143" s="300" t="s">
        <v>22</v>
      </c>
      <c r="D143" s="300" t="s">
        <v>22</v>
      </c>
      <c r="F143" s="300" t="s">
        <v>22</v>
      </c>
      <c r="G143" s="300" t="s">
        <v>22</v>
      </c>
      <c r="I143" s="356" t="str">
        <f>IFERROR(__xludf.DUMMYFUNCTION("if(H143=""Must be Together"",iferror(join("", "",unique(filter({filter('Students (Vertical)'!O:O,'Students (Vertical)'!C:C=B143,'Students (Vertical)'!O:O&lt;&gt;"""");filter('Students (Vertical)'!O:O,'Students (Vertical)'!C:C=E143,'Students (Vertical)'!O:O&lt;&gt;"""&amp;""")},countifs({filter('Students (Vertical)'!O:O,'Students (Vertical)'!C:C=B143,'Students (Vertical)'!O:O&lt;&gt;"""");filter('Students (Vertical)'!O:O,'Students (Vertical)'!C:C=E143,'Students (Vertical)'!O:O&lt;&gt;"""")},{filter('Students (Vertical)'!O:O,'Students ("&amp;"Vertical)'!C:C=B143,'Students (Vertical)'!O:O&lt;&gt;"""");filter('Students (Vertical)'!O:O,'Students (Vertical)'!C:C=E143,'Students (Vertical)'!O:O&lt;&gt;"""")})&gt;1))),""No shared courses""),"""")"),"")</f>
        <v/>
      </c>
      <c r="J143" s="357" t="str">
        <f>IFERROR(__xludf.DUMMYFUNCTION("if(H143=""Can't be Together"",iferror(join("", "",unique(filter({filter('Students (Vertical)'!O:O,'Students (Vertical)'!C:C=B143,'Students (Vertical)'!O:O&lt;&gt;"""",'Students (Vertical)'!P:P&gt;1);filter('Students (Vertical)'!O:O,'Students (Vertical)'!C:C=E143,'"&amp;"Students (Vertical)'!O:O&lt;&gt;"""",'Students (Vertical)'!P:P&gt;1)},countifs({filter('Students (Vertical)'!O:O,'Students (Vertical)'!C:C=B143,'Students (Vertical)'!O:O&lt;&gt;"""",'Students (Vertical)'!P:P&gt;1);filter('Students (Vertical)'!O:O,'Students (Vertical)'!C:C="&amp;"E143,'Students (Vertical)'!O:O&lt;&gt;"""",'Students (Vertical)'!P:P&gt;1)},{filter('Students (Vertical)'!O:O,'Students (Vertical)'!C:C=B143,'Students (Vertical)'!O:O&lt;&gt;"""",'Students (Vertical)'!P:P&gt;1);filter('Students (Vertical)'!O:O,'Students (Vertical)'!C:C=E14"&amp;"3,'Students (Vertical)'!O:O&lt;&gt;"""",'Students (Vertical)'!P:P&gt;1)})&gt;1))),""""),"""")"),"")</f>
        <v/>
      </c>
      <c r="K143" s="358" t="str">
        <f>IFERROR(__xludf.DUMMYFUNCTION("iferror(join("", "",unique(filter({filter('Students (Vertical)'!D:D,'Students (Vertical)'!C:C=B143,'Students (Vertical)'!D:D&lt;&gt;"""");filter('Students (Vertical)'!D:D,'Students (Vertical)'!C:C=E143,'Students (Vertical)'!D:D&lt;&gt;"""")},countifs({filter('Student"&amp;"s (Vertical)'!D:D,'Students (Vertical)'!C:C=B143,'Students (Vertical)'!D:D&lt;&gt;"""");filter('Students (Vertical)'!D:D,'Students (Vertical)'!C:C=E143,'Students (Vertical)'!D:D&lt;&gt;"""")},{filter('Students (Vertical)'!D:D,'Students (Vertical)'!C:C=B143,'Students "&amp;"(Vertical)'!D:D&lt;&gt;"""");filter('Students (Vertical)'!D:D,'Students (Vertical)'!C:C=E143,'Students (Vertical)'!D:D&lt;&gt;"""")})&gt;1))),"""")"),"")</f>
        <v/>
      </c>
    </row>
    <row r="144">
      <c r="A144" s="300" t="s">
        <v>22</v>
      </c>
      <c r="C144" s="300" t="s">
        <v>22</v>
      </c>
      <c r="D144" s="300" t="s">
        <v>22</v>
      </c>
      <c r="F144" s="300" t="s">
        <v>22</v>
      </c>
      <c r="G144" s="300" t="s">
        <v>22</v>
      </c>
      <c r="I144" s="356" t="str">
        <f>IFERROR(__xludf.DUMMYFUNCTION("if(H144=""Must be Together"",iferror(join("", "",unique(filter({filter('Students (Vertical)'!O:O,'Students (Vertical)'!C:C=B144,'Students (Vertical)'!O:O&lt;&gt;"""");filter('Students (Vertical)'!O:O,'Students (Vertical)'!C:C=E144,'Students (Vertical)'!O:O&lt;&gt;"""&amp;""")},countifs({filter('Students (Vertical)'!O:O,'Students (Vertical)'!C:C=B144,'Students (Vertical)'!O:O&lt;&gt;"""");filter('Students (Vertical)'!O:O,'Students (Vertical)'!C:C=E144,'Students (Vertical)'!O:O&lt;&gt;"""")},{filter('Students (Vertical)'!O:O,'Students ("&amp;"Vertical)'!C:C=B144,'Students (Vertical)'!O:O&lt;&gt;"""");filter('Students (Vertical)'!O:O,'Students (Vertical)'!C:C=E144,'Students (Vertical)'!O:O&lt;&gt;"""")})&gt;1))),""No shared courses""),"""")"),"")</f>
        <v/>
      </c>
      <c r="J144" s="357" t="str">
        <f>IFERROR(__xludf.DUMMYFUNCTION("if(H144=""Can't be Together"",iferror(join("", "",unique(filter({filter('Students (Vertical)'!O:O,'Students (Vertical)'!C:C=B144,'Students (Vertical)'!O:O&lt;&gt;"""",'Students (Vertical)'!P:P&gt;1);filter('Students (Vertical)'!O:O,'Students (Vertical)'!C:C=E144,'"&amp;"Students (Vertical)'!O:O&lt;&gt;"""",'Students (Vertical)'!P:P&gt;1)},countifs({filter('Students (Vertical)'!O:O,'Students (Vertical)'!C:C=B144,'Students (Vertical)'!O:O&lt;&gt;"""",'Students (Vertical)'!P:P&gt;1);filter('Students (Vertical)'!O:O,'Students (Vertical)'!C:C="&amp;"E144,'Students (Vertical)'!O:O&lt;&gt;"""",'Students (Vertical)'!P:P&gt;1)},{filter('Students (Vertical)'!O:O,'Students (Vertical)'!C:C=B144,'Students (Vertical)'!O:O&lt;&gt;"""",'Students (Vertical)'!P:P&gt;1);filter('Students (Vertical)'!O:O,'Students (Vertical)'!C:C=E14"&amp;"4,'Students (Vertical)'!O:O&lt;&gt;"""",'Students (Vertical)'!P:P&gt;1)})&gt;1))),""""),"""")"),"")</f>
        <v/>
      </c>
      <c r="K144" s="358" t="str">
        <f>IFERROR(__xludf.DUMMYFUNCTION("iferror(join("", "",unique(filter({filter('Students (Vertical)'!D:D,'Students (Vertical)'!C:C=B144,'Students (Vertical)'!D:D&lt;&gt;"""");filter('Students (Vertical)'!D:D,'Students (Vertical)'!C:C=E144,'Students (Vertical)'!D:D&lt;&gt;"""")},countifs({filter('Student"&amp;"s (Vertical)'!D:D,'Students (Vertical)'!C:C=B144,'Students (Vertical)'!D:D&lt;&gt;"""");filter('Students (Vertical)'!D:D,'Students (Vertical)'!C:C=E144,'Students (Vertical)'!D:D&lt;&gt;"""")},{filter('Students (Vertical)'!D:D,'Students (Vertical)'!C:C=B144,'Students "&amp;"(Vertical)'!D:D&lt;&gt;"""");filter('Students (Vertical)'!D:D,'Students (Vertical)'!C:C=E144,'Students (Vertical)'!D:D&lt;&gt;"""")})&gt;1))),"""")"),"")</f>
        <v/>
      </c>
    </row>
    <row r="145">
      <c r="A145" s="300" t="s">
        <v>22</v>
      </c>
      <c r="C145" s="300" t="s">
        <v>22</v>
      </c>
      <c r="D145" s="300" t="s">
        <v>22</v>
      </c>
      <c r="F145" s="300" t="s">
        <v>22</v>
      </c>
      <c r="G145" s="300" t="s">
        <v>22</v>
      </c>
      <c r="I145" s="356" t="str">
        <f>IFERROR(__xludf.DUMMYFUNCTION("if(H145=""Must be Together"",iferror(join("", "",unique(filter({filter('Students (Vertical)'!O:O,'Students (Vertical)'!C:C=B145,'Students (Vertical)'!O:O&lt;&gt;"""");filter('Students (Vertical)'!O:O,'Students (Vertical)'!C:C=E145,'Students (Vertical)'!O:O&lt;&gt;"""&amp;""")},countifs({filter('Students (Vertical)'!O:O,'Students (Vertical)'!C:C=B145,'Students (Vertical)'!O:O&lt;&gt;"""");filter('Students (Vertical)'!O:O,'Students (Vertical)'!C:C=E145,'Students (Vertical)'!O:O&lt;&gt;"""")},{filter('Students (Vertical)'!O:O,'Students ("&amp;"Vertical)'!C:C=B145,'Students (Vertical)'!O:O&lt;&gt;"""");filter('Students (Vertical)'!O:O,'Students (Vertical)'!C:C=E145,'Students (Vertical)'!O:O&lt;&gt;"""")})&gt;1))),""No shared courses""),"""")"),"")</f>
        <v/>
      </c>
      <c r="J145" s="357" t="str">
        <f>IFERROR(__xludf.DUMMYFUNCTION("if(H145=""Can't be Together"",iferror(join("", "",unique(filter({filter('Students (Vertical)'!O:O,'Students (Vertical)'!C:C=B145,'Students (Vertical)'!O:O&lt;&gt;"""",'Students (Vertical)'!P:P&gt;1);filter('Students (Vertical)'!O:O,'Students (Vertical)'!C:C=E145,'"&amp;"Students (Vertical)'!O:O&lt;&gt;"""",'Students (Vertical)'!P:P&gt;1)},countifs({filter('Students (Vertical)'!O:O,'Students (Vertical)'!C:C=B145,'Students (Vertical)'!O:O&lt;&gt;"""",'Students (Vertical)'!P:P&gt;1);filter('Students (Vertical)'!O:O,'Students (Vertical)'!C:C="&amp;"E145,'Students (Vertical)'!O:O&lt;&gt;"""",'Students (Vertical)'!P:P&gt;1)},{filter('Students (Vertical)'!O:O,'Students (Vertical)'!C:C=B145,'Students (Vertical)'!O:O&lt;&gt;"""",'Students (Vertical)'!P:P&gt;1);filter('Students (Vertical)'!O:O,'Students (Vertical)'!C:C=E14"&amp;"5,'Students (Vertical)'!O:O&lt;&gt;"""",'Students (Vertical)'!P:P&gt;1)})&gt;1))),""""),"""")"),"")</f>
        <v/>
      </c>
      <c r="K145" s="358" t="str">
        <f>IFERROR(__xludf.DUMMYFUNCTION("iferror(join("", "",unique(filter({filter('Students (Vertical)'!D:D,'Students (Vertical)'!C:C=B145,'Students (Vertical)'!D:D&lt;&gt;"""");filter('Students (Vertical)'!D:D,'Students (Vertical)'!C:C=E145,'Students (Vertical)'!D:D&lt;&gt;"""")},countifs({filter('Student"&amp;"s (Vertical)'!D:D,'Students (Vertical)'!C:C=B145,'Students (Vertical)'!D:D&lt;&gt;"""");filter('Students (Vertical)'!D:D,'Students (Vertical)'!C:C=E145,'Students (Vertical)'!D:D&lt;&gt;"""")},{filter('Students (Vertical)'!D:D,'Students (Vertical)'!C:C=B145,'Students "&amp;"(Vertical)'!D:D&lt;&gt;"""");filter('Students (Vertical)'!D:D,'Students (Vertical)'!C:C=E145,'Students (Vertical)'!D:D&lt;&gt;"""")})&gt;1))),"""")"),"")</f>
        <v/>
      </c>
    </row>
    <row r="146">
      <c r="A146" s="300" t="s">
        <v>22</v>
      </c>
      <c r="C146" s="300" t="s">
        <v>22</v>
      </c>
      <c r="D146" s="300" t="s">
        <v>22</v>
      </c>
      <c r="F146" s="300" t="s">
        <v>22</v>
      </c>
      <c r="G146" s="300" t="s">
        <v>22</v>
      </c>
      <c r="I146" s="356" t="str">
        <f>IFERROR(__xludf.DUMMYFUNCTION("if(H146=""Must be Together"",iferror(join("", "",unique(filter({filter('Students (Vertical)'!O:O,'Students (Vertical)'!C:C=B146,'Students (Vertical)'!O:O&lt;&gt;"""");filter('Students (Vertical)'!O:O,'Students (Vertical)'!C:C=E146,'Students (Vertical)'!O:O&lt;&gt;"""&amp;""")},countifs({filter('Students (Vertical)'!O:O,'Students (Vertical)'!C:C=B146,'Students (Vertical)'!O:O&lt;&gt;"""");filter('Students (Vertical)'!O:O,'Students (Vertical)'!C:C=E146,'Students (Vertical)'!O:O&lt;&gt;"""")},{filter('Students (Vertical)'!O:O,'Students ("&amp;"Vertical)'!C:C=B146,'Students (Vertical)'!O:O&lt;&gt;"""");filter('Students (Vertical)'!O:O,'Students (Vertical)'!C:C=E146,'Students (Vertical)'!O:O&lt;&gt;"""")})&gt;1))),""No shared courses""),"""")"),"")</f>
        <v/>
      </c>
      <c r="J146" s="357" t="str">
        <f>IFERROR(__xludf.DUMMYFUNCTION("if(H146=""Can't be Together"",iferror(join("", "",unique(filter({filter('Students (Vertical)'!O:O,'Students (Vertical)'!C:C=B146,'Students (Vertical)'!O:O&lt;&gt;"""",'Students (Vertical)'!P:P&gt;1);filter('Students (Vertical)'!O:O,'Students (Vertical)'!C:C=E146,'"&amp;"Students (Vertical)'!O:O&lt;&gt;"""",'Students (Vertical)'!P:P&gt;1)},countifs({filter('Students (Vertical)'!O:O,'Students (Vertical)'!C:C=B146,'Students (Vertical)'!O:O&lt;&gt;"""",'Students (Vertical)'!P:P&gt;1);filter('Students (Vertical)'!O:O,'Students (Vertical)'!C:C="&amp;"E146,'Students (Vertical)'!O:O&lt;&gt;"""",'Students (Vertical)'!P:P&gt;1)},{filter('Students (Vertical)'!O:O,'Students (Vertical)'!C:C=B146,'Students (Vertical)'!O:O&lt;&gt;"""",'Students (Vertical)'!P:P&gt;1);filter('Students (Vertical)'!O:O,'Students (Vertical)'!C:C=E14"&amp;"6,'Students (Vertical)'!O:O&lt;&gt;"""",'Students (Vertical)'!P:P&gt;1)})&gt;1))),""""),"""")"),"")</f>
        <v/>
      </c>
      <c r="K146" s="358" t="str">
        <f>IFERROR(__xludf.DUMMYFUNCTION("iferror(join("", "",unique(filter({filter('Students (Vertical)'!D:D,'Students (Vertical)'!C:C=B146,'Students (Vertical)'!D:D&lt;&gt;"""");filter('Students (Vertical)'!D:D,'Students (Vertical)'!C:C=E146,'Students (Vertical)'!D:D&lt;&gt;"""")},countifs({filter('Student"&amp;"s (Vertical)'!D:D,'Students (Vertical)'!C:C=B146,'Students (Vertical)'!D:D&lt;&gt;"""");filter('Students (Vertical)'!D:D,'Students (Vertical)'!C:C=E146,'Students (Vertical)'!D:D&lt;&gt;"""")},{filter('Students (Vertical)'!D:D,'Students (Vertical)'!C:C=B146,'Students "&amp;"(Vertical)'!D:D&lt;&gt;"""");filter('Students (Vertical)'!D:D,'Students (Vertical)'!C:C=E146,'Students (Vertical)'!D:D&lt;&gt;"""")})&gt;1))),"""")"),"")</f>
        <v/>
      </c>
    </row>
    <row r="147">
      <c r="A147" s="300" t="s">
        <v>22</v>
      </c>
      <c r="C147" s="300" t="s">
        <v>22</v>
      </c>
      <c r="D147" s="300" t="s">
        <v>22</v>
      </c>
      <c r="F147" s="300" t="s">
        <v>22</v>
      </c>
      <c r="G147" s="300" t="s">
        <v>22</v>
      </c>
      <c r="I147" s="356" t="str">
        <f>IFERROR(__xludf.DUMMYFUNCTION("if(H147=""Must be Together"",iferror(join("", "",unique(filter({filter('Students (Vertical)'!O:O,'Students (Vertical)'!C:C=B147,'Students (Vertical)'!O:O&lt;&gt;"""");filter('Students (Vertical)'!O:O,'Students (Vertical)'!C:C=E147,'Students (Vertical)'!O:O&lt;&gt;"""&amp;""")},countifs({filter('Students (Vertical)'!O:O,'Students (Vertical)'!C:C=B147,'Students (Vertical)'!O:O&lt;&gt;"""");filter('Students (Vertical)'!O:O,'Students (Vertical)'!C:C=E147,'Students (Vertical)'!O:O&lt;&gt;"""")},{filter('Students (Vertical)'!O:O,'Students ("&amp;"Vertical)'!C:C=B147,'Students (Vertical)'!O:O&lt;&gt;"""");filter('Students (Vertical)'!O:O,'Students (Vertical)'!C:C=E147,'Students (Vertical)'!O:O&lt;&gt;"""")})&gt;1))),""No shared courses""),"""")"),"")</f>
        <v/>
      </c>
      <c r="J147" s="357" t="str">
        <f>IFERROR(__xludf.DUMMYFUNCTION("if(H147=""Can't be Together"",iferror(join("", "",unique(filter({filter('Students (Vertical)'!O:O,'Students (Vertical)'!C:C=B147,'Students (Vertical)'!O:O&lt;&gt;"""",'Students (Vertical)'!P:P&gt;1);filter('Students (Vertical)'!O:O,'Students (Vertical)'!C:C=E147,'"&amp;"Students (Vertical)'!O:O&lt;&gt;"""",'Students (Vertical)'!P:P&gt;1)},countifs({filter('Students (Vertical)'!O:O,'Students (Vertical)'!C:C=B147,'Students (Vertical)'!O:O&lt;&gt;"""",'Students (Vertical)'!P:P&gt;1);filter('Students (Vertical)'!O:O,'Students (Vertical)'!C:C="&amp;"E147,'Students (Vertical)'!O:O&lt;&gt;"""",'Students (Vertical)'!P:P&gt;1)},{filter('Students (Vertical)'!O:O,'Students (Vertical)'!C:C=B147,'Students (Vertical)'!O:O&lt;&gt;"""",'Students (Vertical)'!P:P&gt;1);filter('Students (Vertical)'!O:O,'Students (Vertical)'!C:C=E14"&amp;"7,'Students (Vertical)'!O:O&lt;&gt;"""",'Students (Vertical)'!P:P&gt;1)})&gt;1))),""""),"""")"),"")</f>
        <v/>
      </c>
      <c r="K147" s="358" t="str">
        <f>IFERROR(__xludf.DUMMYFUNCTION("iferror(join("", "",unique(filter({filter('Students (Vertical)'!D:D,'Students (Vertical)'!C:C=B147,'Students (Vertical)'!D:D&lt;&gt;"""");filter('Students (Vertical)'!D:D,'Students (Vertical)'!C:C=E147,'Students (Vertical)'!D:D&lt;&gt;"""")},countifs({filter('Student"&amp;"s (Vertical)'!D:D,'Students (Vertical)'!C:C=B147,'Students (Vertical)'!D:D&lt;&gt;"""");filter('Students (Vertical)'!D:D,'Students (Vertical)'!C:C=E147,'Students (Vertical)'!D:D&lt;&gt;"""")},{filter('Students (Vertical)'!D:D,'Students (Vertical)'!C:C=B147,'Students "&amp;"(Vertical)'!D:D&lt;&gt;"""");filter('Students (Vertical)'!D:D,'Students (Vertical)'!C:C=E147,'Students (Vertical)'!D:D&lt;&gt;"""")})&gt;1))),"""")"),"")</f>
        <v/>
      </c>
    </row>
    <row r="148">
      <c r="A148" s="300" t="s">
        <v>22</v>
      </c>
      <c r="C148" s="300" t="s">
        <v>22</v>
      </c>
      <c r="D148" s="300" t="s">
        <v>22</v>
      </c>
      <c r="F148" s="300" t="s">
        <v>22</v>
      </c>
      <c r="G148" s="300" t="s">
        <v>22</v>
      </c>
      <c r="I148" s="356" t="str">
        <f>IFERROR(__xludf.DUMMYFUNCTION("if(H148=""Must be Together"",iferror(join("", "",unique(filter({filter('Students (Vertical)'!O:O,'Students (Vertical)'!C:C=B148,'Students (Vertical)'!O:O&lt;&gt;"""");filter('Students (Vertical)'!O:O,'Students (Vertical)'!C:C=E148,'Students (Vertical)'!O:O&lt;&gt;"""&amp;""")},countifs({filter('Students (Vertical)'!O:O,'Students (Vertical)'!C:C=B148,'Students (Vertical)'!O:O&lt;&gt;"""");filter('Students (Vertical)'!O:O,'Students (Vertical)'!C:C=E148,'Students (Vertical)'!O:O&lt;&gt;"""")},{filter('Students (Vertical)'!O:O,'Students ("&amp;"Vertical)'!C:C=B148,'Students (Vertical)'!O:O&lt;&gt;"""");filter('Students (Vertical)'!O:O,'Students (Vertical)'!C:C=E148,'Students (Vertical)'!O:O&lt;&gt;"""")})&gt;1))),""No shared courses""),"""")"),"")</f>
        <v/>
      </c>
      <c r="J148" s="357" t="str">
        <f>IFERROR(__xludf.DUMMYFUNCTION("if(H148=""Can't be Together"",iferror(join("", "",unique(filter({filter('Students (Vertical)'!O:O,'Students (Vertical)'!C:C=B148,'Students (Vertical)'!O:O&lt;&gt;"""",'Students (Vertical)'!P:P&gt;1);filter('Students (Vertical)'!O:O,'Students (Vertical)'!C:C=E148,'"&amp;"Students (Vertical)'!O:O&lt;&gt;"""",'Students (Vertical)'!P:P&gt;1)},countifs({filter('Students (Vertical)'!O:O,'Students (Vertical)'!C:C=B148,'Students (Vertical)'!O:O&lt;&gt;"""",'Students (Vertical)'!P:P&gt;1);filter('Students (Vertical)'!O:O,'Students (Vertical)'!C:C="&amp;"E148,'Students (Vertical)'!O:O&lt;&gt;"""",'Students (Vertical)'!P:P&gt;1)},{filter('Students (Vertical)'!O:O,'Students (Vertical)'!C:C=B148,'Students (Vertical)'!O:O&lt;&gt;"""",'Students (Vertical)'!P:P&gt;1);filter('Students (Vertical)'!O:O,'Students (Vertical)'!C:C=E14"&amp;"8,'Students (Vertical)'!O:O&lt;&gt;"""",'Students (Vertical)'!P:P&gt;1)})&gt;1))),""""),"""")"),"")</f>
        <v/>
      </c>
      <c r="K148" s="358" t="str">
        <f>IFERROR(__xludf.DUMMYFUNCTION("iferror(join("", "",unique(filter({filter('Students (Vertical)'!D:D,'Students (Vertical)'!C:C=B148,'Students (Vertical)'!D:D&lt;&gt;"""");filter('Students (Vertical)'!D:D,'Students (Vertical)'!C:C=E148,'Students (Vertical)'!D:D&lt;&gt;"""")},countifs({filter('Student"&amp;"s (Vertical)'!D:D,'Students (Vertical)'!C:C=B148,'Students (Vertical)'!D:D&lt;&gt;"""");filter('Students (Vertical)'!D:D,'Students (Vertical)'!C:C=E148,'Students (Vertical)'!D:D&lt;&gt;"""")},{filter('Students (Vertical)'!D:D,'Students (Vertical)'!C:C=B148,'Students "&amp;"(Vertical)'!D:D&lt;&gt;"""");filter('Students (Vertical)'!D:D,'Students (Vertical)'!C:C=E148,'Students (Vertical)'!D:D&lt;&gt;"""")})&gt;1))),"""")"),"")</f>
        <v/>
      </c>
    </row>
    <row r="149">
      <c r="A149" s="300" t="s">
        <v>22</v>
      </c>
      <c r="C149" s="300" t="s">
        <v>22</v>
      </c>
      <c r="D149" s="300" t="s">
        <v>22</v>
      </c>
      <c r="F149" s="300" t="s">
        <v>22</v>
      </c>
      <c r="G149" s="300" t="s">
        <v>22</v>
      </c>
      <c r="I149" s="356" t="str">
        <f>IFERROR(__xludf.DUMMYFUNCTION("if(H149=""Must be Together"",iferror(join("", "",unique(filter({filter('Students (Vertical)'!O:O,'Students (Vertical)'!C:C=B149,'Students (Vertical)'!O:O&lt;&gt;"""");filter('Students (Vertical)'!O:O,'Students (Vertical)'!C:C=E149,'Students (Vertical)'!O:O&lt;&gt;"""&amp;""")},countifs({filter('Students (Vertical)'!O:O,'Students (Vertical)'!C:C=B149,'Students (Vertical)'!O:O&lt;&gt;"""");filter('Students (Vertical)'!O:O,'Students (Vertical)'!C:C=E149,'Students (Vertical)'!O:O&lt;&gt;"""")},{filter('Students (Vertical)'!O:O,'Students ("&amp;"Vertical)'!C:C=B149,'Students (Vertical)'!O:O&lt;&gt;"""");filter('Students (Vertical)'!O:O,'Students (Vertical)'!C:C=E149,'Students (Vertical)'!O:O&lt;&gt;"""")})&gt;1))),""No shared courses""),"""")"),"")</f>
        <v/>
      </c>
      <c r="J149" s="357" t="str">
        <f>IFERROR(__xludf.DUMMYFUNCTION("if(H149=""Can't be Together"",iferror(join("", "",unique(filter({filter('Students (Vertical)'!O:O,'Students (Vertical)'!C:C=B149,'Students (Vertical)'!O:O&lt;&gt;"""",'Students (Vertical)'!P:P&gt;1);filter('Students (Vertical)'!O:O,'Students (Vertical)'!C:C=E149,'"&amp;"Students (Vertical)'!O:O&lt;&gt;"""",'Students (Vertical)'!P:P&gt;1)},countifs({filter('Students (Vertical)'!O:O,'Students (Vertical)'!C:C=B149,'Students (Vertical)'!O:O&lt;&gt;"""",'Students (Vertical)'!P:P&gt;1);filter('Students (Vertical)'!O:O,'Students (Vertical)'!C:C="&amp;"E149,'Students (Vertical)'!O:O&lt;&gt;"""",'Students (Vertical)'!P:P&gt;1)},{filter('Students (Vertical)'!O:O,'Students (Vertical)'!C:C=B149,'Students (Vertical)'!O:O&lt;&gt;"""",'Students (Vertical)'!P:P&gt;1);filter('Students (Vertical)'!O:O,'Students (Vertical)'!C:C=E14"&amp;"9,'Students (Vertical)'!O:O&lt;&gt;"""",'Students (Vertical)'!P:P&gt;1)})&gt;1))),""""),"""")"),"")</f>
        <v/>
      </c>
      <c r="K149" s="358" t="str">
        <f>IFERROR(__xludf.DUMMYFUNCTION("iferror(join("", "",unique(filter({filter('Students (Vertical)'!D:D,'Students (Vertical)'!C:C=B149,'Students (Vertical)'!D:D&lt;&gt;"""");filter('Students (Vertical)'!D:D,'Students (Vertical)'!C:C=E149,'Students (Vertical)'!D:D&lt;&gt;"""")},countifs({filter('Student"&amp;"s (Vertical)'!D:D,'Students (Vertical)'!C:C=B149,'Students (Vertical)'!D:D&lt;&gt;"""");filter('Students (Vertical)'!D:D,'Students (Vertical)'!C:C=E149,'Students (Vertical)'!D:D&lt;&gt;"""")},{filter('Students (Vertical)'!D:D,'Students (Vertical)'!C:C=B149,'Students "&amp;"(Vertical)'!D:D&lt;&gt;"""");filter('Students (Vertical)'!D:D,'Students (Vertical)'!C:C=E149,'Students (Vertical)'!D:D&lt;&gt;"""")})&gt;1))),"""")"),"")</f>
        <v/>
      </c>
    </row>
    <row r="150">
      <c r="A150" s="300" t="s">
        <v>22</v>
      </c>
      <c r="C150" s="300" t="s">
        <v>22</v>
      </c>
      <c r="D150" s="300" t="s">
        <v>22</v>
      </c>
      <c r="F150" s="300" t="s">
        <v>22</v>
      </c>
      <c r="G150" s="300" t="s">
        <v>22</v>
      </c>
      <c r="I150" s="356" t="str">
        <f>IFERROR(__xludf.DUMMYFUNCTION("if(H150=""Must be Together"",iferror(join("", "",unique(filter({filter('Students (Vertical)'!O:O,'Students (Vertical)'!C:C=B150,'Students (Vertical)'!O:O&lt;&gt;"""");filter('Students (Vertical)'!O:O,'Students (Vertical)'!C:C=E150,'Students (Vertical)'!O:O&lt;&gt;"""&amp;""")},countifs({filter('Students (Vertical)'!O:O,'Students (Vertical)'!C:C=B150,'Students (Vertical)'!O:O&lt;&gt;"""");filter('Students (Vertical)'!O:O,'Students (Vertical)'!C:C=E150,'Students (Vertical)'!O:O&lt;&gt;"""")},{filter('Students (Vertical)'!O:O,'Students ("&amp;"Vertical)'!C:C=B150,'Students (Vertical)'!O:O&lt;&gt;"""");filter('Students (Vertical)'!O:O,'Students (Vertical)'!C:C=E150,'Students (Vertical)'!O:O&lt;&gt;"""")})&gt;1))),""No shared courses""),"""")"),"")</f>
        <v/>
      </c>
      <c r="J150" s="357" t="str">
        <f>IFERROR(__xludf.DUMMYFUNCTION("if(H150=""Can't be Together"",iferror(join("", "",unique(filter({filter('Students (Vertical)'!O:O,'Students (Vertical)'!C:C=B150,'Students (Vertical)'!O:O&lt;&gt;"""",'Students (Vertical)'!P:P&gt;1);filter('Students (Vertical)'!O:O,'Students (Vertical)'!C:C=E150,'"&amp;"Students (Vertical)'!O:O&lt;&gt;"""",'Students (Vertical)'!P:P&gt;1)},countifs({filter('Students (Vertical)'!O:O,'Students (Vertical)'!C:C=B150,'Students (Vertical)'!O:O&lt;&gt;"""",'Students (Vertical)'!P:P&gt;1);filter('Students (Vertical)'!O:O,'Students (Vertical)'!C:C="&amp;"E150,'Students (Vertical)'!O:O&lt;&gt;"""",'Students (Vertical)'!P:P&gt;1)},{filter('Students (Vertical)'!O:O,'Students (Vertical)'!C:C=B150,'Students (Vertical)'!O:O&lt;&gt;"""",'Students (Vertical)'!P:P&gt;1);filter('Students (Vertical)'!O:O,'Students (Vertical)'!C:C=E15"&amp;"0,'Students (Vertical)'!O:O&lt;&gt;"""",'Students (Vertical)'!P:P&gt;1)})&gt;1))),""""),"""")"),"")</f>
        <v/>
      </c>
      <c r="K150" s="358" t="str">
        <f>IFERROR(__xludf.DUMMYFUNCTION("iferror(join("", "",unique(filter({filter('Students (Vertical)'!D:D,'Students (Vertical)'!C:C=B150,'Students (Vertical)'!D:D&lt;&gt;"""");filter('Students (Vertical)'!D:D,'Students (Vertical)'!C:C=E150,'Students (Vertical)'!D:D&lt;&gt;"""")},countifs({filter('Student"&amp;"s (Vertical)'!D:D,'Students (Vertical)'!C:C=B150,'Students (Vertical)'!D:D&lt;&gt;"""");filter('Students (Vertical)'!D:D,'Students (Vertical)'!C:C=E150,'Students (Vertical)'!D:D&lt;&gt;"""")},{filter('Students (Vertical)'!D:D,'Students (Vertical)'!C:C=B150,'Students "&amp;"(Vertical)'!D:D&lt;&gt;"""");filter('Students (Vertical)'!D:D,'Students (Vertical)'!C:C=E150,'Students (Vertical)'!D:D&lt;&gt;"""")})&gt;1))),"""")"),"")</f>
        <v/>
      </c>
    </row>
    <row r="151">
      <c r="A151" s="300" t="s">
        <v>22</v>
      </c>
      <c r="C151" s="300" t="s">
        <v>22</v>
      </c>
      <c r="D151" s="300" t="s">
        <v>22</v>
      </c>
      <c r="F151" s="300" t="s">
        <v>22</v>
      </c>
      <c r="G151" s="300" t="s">
        <v>22</v>
      </c>
      <c r="I151" s="356" t="str">
        <f>IFERROR(__xludf.DUMMYFUNCTION("if(H151=""Must be Together"",iferror(join("", "",unique(filter({filter('Students (Vertical)'!O:O,'Students (Vertical)'!C:C=B151,'Students (Vertical)'!O:O&lt;&gt;"""");filter('Students (Vertical)'!O:O,'Students (Vertical)'!C:C=E151,'Students (Vertical)'!O:O&lt;&gt;"""&amp;""")},countifs({filter('Students (Vertical)'!O:O,'Students (Vertical)'!C:C=B151,'Students (Vertical)'!O:O&lt;&gt;"""");filter('Students (Vertical)'!O:O,'Students (Vertical)'!C:C=E151,'Students (Vertical)'!O:O&lt;&gt;"""")},{filter('Students (Vertical)'!O:O,'Students ("&amp;"Vertical)'!C:C=B151,'Students (Vertical)'!O:O&lt;&gt;"""");filter('Students (Vertical)'!O:O,'Students (Vertical)'!C:C=E151,'Students (Vertical)'!O:O&lt;&gt;"""")})&gt;1))),""No shared courses""),"""")"),"")</f>
        <v/>
      </c>
      <c r="J151" s="357" t="str">
        <f>IFERROR(__xludf.DUMMYFUNCTION("if(H151=""Can't be Together"",iferror(join("", "",unique(filter({filter('Students (Vertical)'!O:O,'Students (Vertical)'!C:C=B151,'Students (Vertical)'!O:O&lt;&gt;"""",'Students (Vertical)'!P:P&gt;1);filter('Students (Vertical)'!O:O,'Students (Vertical)'!C:C=E151,'"&amp;"Students (Vertical)'!O:O&lt;&gt;"""",'Students (Vertical)'!P:P&gt;1)},countifs({filter('Students (Vertical)'!O:O,'Students (Vertical)'!C:C=B151,'Students (Vertical)'!O:O&lt;&gt;"""",'Students (Vertical)'!P:P&gt;1);filter('Students (Vertical)'!O:O,'Students (Vertical)'!C:C="&amp;"E151,'Students (Vertical)'!O:O&lt;&gt;"""",'Students (Vertical)'!P:P&gt;1)},{filter('Students (Vertical)'!O:O,'Students (Vertical)'!C:C=B151,'Students (Vertical)'!O:O&lt;&gt;"""",'Students (Vertical)'!P:P&gt;1);filter('Students (Vertical)'!O:O,'Students (Vertical)'!C:C=E15"&amp;"1,'Students (Vertical)'!O:O&lt;&gt;"""",'Students (Vertical)'!P:P&gt;1)})&gt;1))),""""),"""")"),"")</f>
        <v/>
      </c>
      <c r="K151" s="358" t="str">
        <f>IFERROR(__xludf.DUMMYFUNCTION("iferror(join("", "",unique(filter({filter('Students (Vertical)'!D:D,'Students (Vertical)'!C:C=B151,'Students (Vertical)'!D:D&lt;&gt;"""");filter('Students (Vertical)'!D:D,'Students (Vertical)'!C:C=E151,'Students (Vertical)'!D:D&lt;&gt;"""")},countifs({filter('Student"&amp;"s (Vertical)'!D:D,'Students (Vertical)'!C:C=B151,'Students (Vertical)'!D:D&lt;&gt;"""");filter('Students (Vertical)'!D:D,'Students (Vertical)'!C:C=E151,'Students (Vertical)'!D:D&lt;&gt;"""")},{filter('Students (Vertical)'!D:D,'Students (Vertical)'!C:C=B151,'Students "&amp;"(Vertical)'!D:D&lt;&gt;"""");filter('Students (Vertical)'!D:D,'Students (Vertical)'!C:C=E151,'Students (Vertical)'!D:D&lt;&gt;"""")})&gt;1))),"""")"),"")</f>
        <v/>
      </c>
    </row>
    <row r="152">
      <c r="A152" s="300" t="s">
        <v>22</v>
      </c>
      <c r="C152" s="300" t="s">
        <v>22</v>
      </c>
      <c r="D152" s="300" t="s">
        <v>22</v>
      </c>
      <c r="F152" s="300" t="s">
        <v>22</v>
      </c>
      <c r="G152" s="300" t="s">
        <v>22</v>
      </c>
      <c r="I152" s="356" t="str">
        <f>IFERROR(__xludf.DUMMYFUNCTION("if(H152=""Must be Together"",iferror(join("", "",unique(filter({filter('Students (Vertical)'!O:O,'Students (Vertical)'!C:C=B152,'Students (Vertical)'!O:O&lt;&gt;"""");filter('Students (Vertical)'!O:O,'Students (Vertical)'!C:C=E152,'Students (Vertical)'!O:O&lt;&gt;"""&amp;""")},countifs({filter('Students (Vertical)'!O:O,'Students (Vertical)'!C:C=B152,'Students (Vertical)'!O:O&lt;&gt;"""");filter('Students (Vertical)'!O:O,'Students (Vertical)'!C:C=E152,'Students (Vertical)'!O:O&lt;&gt;"""")},{filter('Students (Vertical)'!O:O,'Students ("&amp;"Vertical)'!C:C=B152,'Students (Vertical)'!O:O&lt;&gt;"""");filter('Students (Vertical)'!O:O,'Students (Vertical)'!C:C=E152,'Students (Vertical)'!O:O&lt;&gt;"""")})&gt;1))),""No shared courses""),"""")"),"")</f>
        <v/>
      </c>
      <c r="J152" s="357" t="str">
        <f>IFERROR(__xludf.DUMMYFUNCTION("if(H152=""Can't be Together"",iferror(join("", "",unique(filter({filter('Students (Vertical)'!O:O,'Students (Vertical)'!C:C=B152,'Students (Vertical)'!O:O&lt;&gt;"""",'Students (Vertical)'!P:P&gt;1);filter('Students (Vertical)'!O:O,'Students (Vertical)'!C:C=E152,'"&amp;"Students (Vertical)'!O:O&lt;&gt;"""",'Students (Vertical)'!P:P&gt;1)},countifs({filter('Students (Vertical)'!O:O,'Students (Vertical)'!C:C=B152,'Students (Vertical)'!O:O&lt;&gt;"""",'Students (Vertical)'!P:P&gt;1);filter('Students (Vertical)'!O:O,'Students (Vertical)'!C:C="&amp;"E152,'Students (Vertical)'!O:O&lt;&gt;"""",'Students (Vertical)'!P:P&gt;1)},{filter('Students (Vertical)'!O:O,'Students (Vertical)'!C:C=B152,'Students (Vertical)'!O:O&lt;&gt;"""",'Students (Vertical)'!P:P&gt;1);filter('Students (Vertical)'!O:O,'Students (Vertical)'!C:C=E15"&amp;"2,'Students (Vertical)'!O:O&lt;&gt;"""",'Students (Vertical)'!P:P&gt;1)})&gt;1))),""""),"""")"),"")</f>
        <v/>
      </c>
      <c r="K152" s="358" t="str">
        <f>IFERROR(__xludf.DUMMYFUNCTION("iferror(join("", "",unique(filter({filter('Students (Vertical)'!D:D,'Students (Vertical)'!C:C=B152,'Students (Vertical)'!D:D&lt;&gt;"""");filter('Students (Vertical)'!D:D,'Students (Vertical)'!C:C=E152,'Students (Vertical)'!D:D&lt;&gt;"""")},countifs({filter('Student"&amp;"s (Vertical)'!D:D,'Students (Vertical)'!C:C=B152,'Students (Vertical)'!D:D&lt;&gt;"""");filter('Students (Vertical)'!D:D,'Students (Vertical)'!C:C=E152,'Students (Vertical)'!D:D&lt;&gt;"""")},{filter('Students (Vertical)'!D:D,'Students (Vertical)'!C:C=B152,'Students "&amp;"(Vertical)'!D:D&lt;&gt;"""");filter('Students (Vertical)'!D:D,'Students (Vertical)'!C:C=E152,'Students (Vertical)'!D:D&lt;&gt;"""")})&gt;1))),"""")"),"")</f>
        <v/>
      </c>
    </row>
    <row r="153">
      <c r="A153" s="300" t="s">
        <v>22</v>
      </c>
      <c r="C153" s="300" t="s">
        <v>22</v>
      </c>
      <c r="D153" s="300" t="s">
        <v>22</v>
      </c>
      <c r="F153" s="300" t="s">
        <v>22</v>
      </c>
      <c r="G153" s="300" t="s">
        <v>22</v>
      </c>
      <c r="I153" s="356" t="str">
        <f>IFERROR(__xludf.DUMMYFUNCTION("if(H153=""Must be Together"",iferror(join("", "",unique(filter({filter('Students (Vertical)'!O:O,'Students (Vertical)'!C:C=B153,'Students (Vertical)'!O:O&lt;&gt;"""");filter('Students (Vertical)'!O:O,'Students (Vertical)'!C:C=E153,'Students (Vertical)'!O:O&lt;&gt;"""&amp;""")},countifs({filter('Students (Vertical)'!O:O,'Students (Vertical)'!C:C=B153,'Students (Vertical)'!O:O&lt;&gt;"""");filter('Students (Vertical)'!O:O,'Students (Vertical)'!C:C=E153,'Students (Vertical)'!O:O&lt;&gt;"""")},{filter('Students (Vertical)'!O:O,'Students ("&amp;"Vertical)'!C:C=B153,'Students (Vertical)'!O:O&lt;&gt;"""");filter('Students (Vertical)'!O:O,'Students (Vertical)'!C:C=E153,'Students (Vertical)'!O:O&lt;&gt;"""")})&gt;1))),""No shared courses""),"""")"),"")</f>
        <v/>
      </c>
      <c r="J153" s="357" t="str">
        <f>IFERROR(__xludf.DUMMYFUNCTION("if(H153=""Can't be Together"",iferror(join("", "",unique(filter({filter('Students (Vertical)'!O:O,'Students (Vertical)'!C:C=B153,'Students (Vertical)'!O:O&lt;&gt;"""",'Students (Vertical)'!P:P&gt;1);filter('Students (Vertical)'!O:O,'Students (Vertical)'!C:C=E153,'"&amp;"Students (Vertical)'!O:O&lt;&gt;"""",'Students (Vertical)'!P:P&gt;1)},countifs({filter('Students (Vertical)'!O:O,'Students (Vertical)'!C:C=B153,'Students (Vertical)'!O:O&lt;&gt;"""",'Students (Vertical)'!P:P&gt;1);filter('Students (Vertical)'!O:O,'Students (Vertical)'!C:C="&amp;"E153,'Students (Vertical)'!O:O&lt;&gt;"""",'Students (Vertical)'!P:P&gt;1)},{filter('Students (Vertical)'!O:O,'Students (Vertical)'!C:C=B153,'Students (Vertical)'!O:O&lt;&gt;"""",'Students (Vertical)'!P:P&gt;1);filter('Students (Vertical)'!O:O,'Students (Vertical)'!C:C=E15"&amp;"3,'Students (Vertical)'!O:O&lt;&gt;"""",'Students (Vertical)'!P:P&gt;1)})&gt;1))),""""),"""")"),"")</f>
        <v/>
      </c>
      <c r="K153" s="358" t="str">
        <f>IFERROR(__xludf.DUMMYFUNCTION("iferror(join("", "",unique(filter({filter('Students (Vertical)'!D:D,'Students (Vertical)'!C:C=B153,'Students (Vertical)'!D:D&lt;&gt;"""");filter('Students (Vertical)'!D:D,'Students (Vertical)'!C:C=E153,'Students (Vertical)'!D:D&lt;&gt;"""")},countifs({filter('Student"&amp;"s (Vertical)'!D:D,'Students (Vertical)'!C:C=B153,'Students (Vertical)'!D:D&lt;&gt;"""");filter('Students (Vertical)'!D:D,'Students (Vertical)'!C:C=E153,'Students (Vertical)'!D:D&lt;&gt;"""")},{filter('Students (Vertical)'!D:D,'Students (Vertical)'!C:C=B153,'Students "&amp;"(Vertical)'!D:D&lt;&gt;"""");filter('Students (Vertical)'!D:D,'Students (Vertical)'!C:C=E153,'Students (Vertical)'!D:D&lt;&gt;"""")})&gt;1))),"""")"),"")</f>
        <v/>
      </c>
    </row>
    <row r="154">
      <c r="A154" s="300" t="s">
        <v>22</v>
      </c>
      <c r="C154" s="300" t="s">
        <v>22</v>
      </c>
      <c r="D154" s="300" t="s">
        <v>22</v>
      </c>
      <c r="F154" s="300" t="s">
        <v>22</v>
      </c>
      <c r="G154" s="300" t="s">
        <v>22</v>
      </c>
      <c r="I154" s="356" t="str">
        <f>IFERROR(__xludf.DUMMYFUNCTION("if(H154=""Must be Together"",iferror(join("", "",unique(filter({filter('Students (Vertical)'!O:O,'Students (Vertical)'!C:C=B154,'Students (Vertical)'!O:O&lt;&gt;"""");filter('Students (Vertical)'!O:O,'Students (Vertical)'!C:C=E154,'Students (Vertical)'!O:O&lt;&gt;"""&amp;""")},countifs({filter('Students (Vertical)'!O:O,'Students (Vertical)'!C:C=B154,'Students (Vertical)'!O:O&lt;&gt;"""");filter('Students (Vertical)'!O:O,'Students (Vertical)'!C:C=E154,'Students (Vertical)'!O:O&lt;&gt;"""")},{filter('Students (Vertical)'!O:O,'Students ("&amp;"Vertical)'!C:C=B154,'Students (Vertical)'!O:O&lt;&gt;"""");filter('Students (Vertical)'!O:O,'Students (Vertical)'!C:C=E154,'Students (Vertical)'!O:O&lt;&gt;"""")})&gt;1))),""No shared courses""),"""")"),"")</f>
        <v/>
      </c>
      <c r="J154" s="357" t="str">
        <f>IFERROR(__xludf.DUMMYFUNCTION("if(H154=""Can't be Together"",iferror(join("", "",unique(filter({filter('Students (Vertical)'!O:O,'Students (Vertical)'!C:C=B154,'Students (Vertical)'!O:O&lt;&gt;"""",'Students (Vertical)'!P:P&gt;1);filter('Students (Vertical)'!O:O,'Students (Vertical)'!C:C=E154,'"&amp;"Students (Vertical)'!O:O&lt;&gt;"""",'Students (Vertical)'!P:P&gt;1)},countifs({filter('Students (Vertical)'!O:O,'Students (Vertical)'!C:C=B154,'Students (Vertical)'!O:O&lt;&gt;"""",'Students (Vertical)'!P:P&gt;1);filter('Students (Vertical)'!O:O,'Students (Vertical)'!C:C="&amp;"E154,'Students (Vertical)'!O:O&lt;&gt;"""",'Students (Vertical)'!P:P&gt;1)},{filter('Students (Vertical)'!O:O,'Students (Vertical)'!C:C=B154,'Students (Vertical)'!O:O&lt;&gt;"""",'Students (Vertical)'!P:P&gt;1);filter('Students (Vertical)'!O:O,'Students (Vertical)'!C:C=E15"&amp;"4,'Students (Vertical)'!O:O&lt;&gt;"""",'Students (Vertical)'!P:P&gt;1)})&gt;1))),""""),"""")"),"")</f>
        <v/>
      </c>
      <c r="K154" s="358" t="str">
        <f>IFERROR(__xludf.DUMMYFUNCTION("iferror(join("", "",unique(filter({filter('Students (Vertical)'!D:D,'Students (Vertical)'!C:C=B154,'Students (Vertical)'!D:D&lt;&gt;"""");filter('Students (Vertical)'!D:D,'Students (Vertical)'!C:C=E154,'Students (Vertical)'!D:D&lt;&gt;"""")},countifs({filter('Student"&amp;"s (Vertical)'!D:D,'Students (Vertical)'!C:C=B154,'Students (Vertical)'!D:D&lt;&gt;"""");filter('Students (Vertical)'!D:D,'Students (Vertical)'!C:C=E154,'Students (Vertical)'!D:D&lt;&gt;"""")},{filter('Students (Vertical)'!D:D,'Students (Vertical)'!C:C=B154,'Students "&amp;"(Vertical)'!D:D&lt;&gt;"""");filter('Students (Vertical)'!D:D,'Students (Vertical)'!C:C=E154,'Students (Vertical)'!D:D&lt;&gt;"""")})&gt;1))),"""")"),"")</f>
        <v/>
      </c>
    </row>
    <row r="155">
      <c r="A155" s="300" t="s">
        <v>22</v>
      </c>
      <c r="C155" s="300" t="s">
        <v>22</v>
      </c>
      <c r="D155" s="300" t="s">
        <v>22</v>
      </c>
      <c r="F155" s="300" t="s">
        <v>22</v>
      </c>
      <c r="G155" s="300" t="s">
        <v>22</v>
      </c>
      <c r="I155" s="356" t="str">
        <f>IFERROR(__xludf.DUMMYFUNCTION("if(H155=""Must be Together"",iferror(join("", "",unique(filter({filter('Students (Vertical)'!O:O,'Students (Vertical)'!C:C=B155,'Students (Vertical)'!O:O&lt;&gt;"""");filter('Students (Vertical)'!O:O,'Students (Vertical)'!C:C=E155,'Students (Vertical)'!O:O&lt;&gt;"""&amp;""")},countifs({filter('Students (Vertical)'!O:O,'Students (Vertical)'!C:C=B155,'Students (Vertical)'!O:O&lt;&gt;"""");filter('Students (Vertical)'!O:O,'Students (Vertical)'!C:C=E155,'Students (Vertical)'!O:O&lt;&gt;"""")},{filter('Students (Vertical)'!O:O,'Students ("&amp;"Vertical)'!C:C=B155,'Students (Vertical)'!O:O&lt;&gt;"""");filter('Students (Vertical)'!O:O,'Students (Vertical)'!C:C=E155,'Students (Vertical)'!O:O&lt;&gt;"""")})&gt;1))),""No shared courses""),"""")"),"")</f>
        <v/>
      </c>
      <c r="J155" s="357" t="str">
        <f>IFERROR(__xludf.DUMMYFUNCTION("if(H155=""Can't be Together"",iferror(join("", "",unique(filter({filter('Students (Vertical)'!O:O,'Students (Vertical)'!C:C=B155,'Students (Vertical)'!O:O&lt;&gt;"""",'Students (Vertical)'!P:P&gt;1);filter('Students (Vertical)'!O:O,'Students (Vertical)'!C:C=E155,'"&amp;"Students (Vertical)'!O:O&lt;&gt;"""",'Students (Vertical)'!P:P&gt;1)},countifs({filter('Students (Vertical)'!O:O,'Students (Vertical)'!C:C=B155,'Students (Vertical)'!O:O&lt;&gt;"""",'Students (Vertical)'!P:P&gt;1);filter('Students (Vertical)'!O:O,'Students (Vertical)'!C:C="&amp;"E155,'Students (Vertical)'!O:O&lt;&gt;"""",'Students (Vertical)'!P:P&gt;1)},{filter('Students (Vertical)'!O:O,'Students (Vertical)'!C:C=B155,'Students (Vertical)'!O:O&lt;&gt;"""",'Students (Vertical)'!P:P&gt;1);filter('Students (Vertical)'!O:O,'Students (Vertical)'!C:C=E15"&amp;"5,'Students (Vertical)'!O:O&lt;&gt;"""",'Students (Vertical)'!P:P&gt;1)})&gt;1))),""""),"""")"),"")</f>
        <v/>
      </c>
      <c r="K155" s="358" t="str">
        <f>IFERROR(__xludf.DUMMYFUNCTION("iferror(join("", "",unique(filter({filter('Students (Vertical)'!D:D,'Students (Vertical)'!C:C=B155,'Students (Vertical)'!D:D&lt;&gt;"""");filter('Students (Vertical)'!D:D,'Students (Vertical)'!C:C=E155,'Students (Vertical)'!D:D&lt;&gt;"""")},countifs({filter('Student"&amp;"s (Vertical)'!D:D,'Students (Vertical)'!C:C=B155,'Students (Vertical)'!D:D&lt;&gt;"""");filter('Students (Vertical)'!D:D,'Students (Vertical)'!C:C=E155,'Students (Vertical)'!D:D&lt;&gt;"""")},{filter('Students (Vertical)'!D:D,'Students (Vertical)'!C:C=B155,'Students "&amp;"(Vertical)'!D:D&lt;&gt;"""");filter('Students (Vertical)'!D:D,'Students (Vertical)'!C:C=E155,'Students (Vertical)'!D:D&lt;&gt;"""")})&gt;1))),"""")"),"")</f>
        <v/>
      </c>
    </row>
    <row r="156">
      <c r="A156" s="300" t="s">
        <v>22</v>
      </c>
      <c r="C156" s="300" t="s">
        <v>22</v>
      </c>
      <c r="D156" s="300" t="s">
        <v>22</v>
      </c>
      <c r="F156" s="300" t="s">
        <v>22</v>
      </c>
      <c r="G156" s="300" t="s">
        <v>22</v>
      </c>
      <c r="I156" s="356" t="str">
        <f>IFERROR(__xludf.DUMMYFUNCTION("if(H156=""Must be Together"",iferror(join("", "",unique(filter({filter('Students (Vertical)'!O:O,'Students (Vertical)'!C:C=B156,'Students (Vertical)'!O:O&lt;&gt;"""");filter('Students (Vertical)'!O:O,'Students (Vertical)'!C:C=E156,'Students (Vertical)'!O:O&lt;&gt;"""&amp;""")},countifs({filter('Students (Vertical)'!O:O,'Students (Vertical)'!C:C=B156,'Students (Vertical)'!O:O&lt;&gt;"""");filter('Students (Vertical)'!O:O,'Students (Vertical)'!C:C=E156,'Students (Vertical)'!O:O&lt;&gt;"""")},{filter('Students (Vertical)'!O:O,'Students ("&amp;"Vertical)'!C:C=B156,'Students (Vertical)'!O:O&lt;&gt;"""");filter('Students (Vertical)'!O:O,'Students (Vertical)'!C:C=E156,'Students (Vertical)'!O:O&lt;&gt;"""")})&gt;1))),""No shared courses""),"""")"),"")</f>
        <v/>
      </c>
      <c r="J156" s="357" t="str">
        <f>IFERROR(__xludf.DUMMYFUNCTION("if(H156=""Can't be Together"",iferror(join("", "",unique(filter({filter('Students (Vertical)'!O:O,'Students (Vertical)'!C:C=B156,'Students (Vertical)'!O:O&lt;&gt;"""",'Students (Vertical)'!P:P&gt;1);filter('Students (Vertical)'!O:O,'Students (Vertical)'!C:C=E156,'"&amp;"Students (Vertical)'!O:O&lt;&gt;"""",'Students (Vertical)'!P:P&gt;1)},countifs({filter('Students (Vertical)'!O:O,'Students (Vertical)'!C:C=B156,'Students (Vertical)'!O:O&lt;&gt;"""",'Students (Vertical)'!P:P&gt;1);filter('Students (Vertical)'!O:O,'Students (Vertical)'!C:C="&amp;"E156,'Students (Vertical)'!O:O&lt;&gt;"""",'Students (Vertical)'!P:P&gt;1)},{filter('Students (Vertical)'!O:O,'Students (Vertical)'!C:C=B156,'Students (Vertical)'!O:O&lt;&gt;"""",'Students (Vertical)'!P:P&gt;1);filter('Students (Vertical)'!O:O,'Students (Vertical)'!C:C=E15"&amp;"6,'Students (Vertical)'!O:O&lt;&gt;"""",'Students (Vertical)'!P:P&gt;1)})&gt;1))),""""),"""")"),"")</f>
        <v/>
      </c>
      <c r="K156" s="358" t="str">
        <f>IFERROR(__xludf.DUMMYFUNCTION("iferror(join("", "",unique(filter({filter('Students (Vertical)'!D:D,'Students (Vertical)'!C:C=B156,'Students (Vertical)'!D:D&lt;&gt;"""");filter('Students (Vertical)'!D:D,'Students (Vertical)'!C:C=E156,'Students (Vertical)'!D:D&lt;&gt;"""")},countifs({filter('Student"&amp;"s (Vertical)'!D:D,'Students (Vertical)'!C:C=B156,'Students (Vertical)'!D:D&lt;&gt;"""");filter('Students (Vertical)'!D:D,'Students (Vertical)'!C:C=E156,'Students (Vertical)'!D:D&lt;&gt;"""")},{filter('Students (Vertical)'!D:D,'Students (Vertical)'!C:C=B156,'Students "&amp;"(Vertical)'!D:D&lt;&gt;"""");filter('Students (Vertical)'!D:D,'Students (Vertical)'!C:C=E156,'Students (Vertical)'!D:D&lt;&gt;"""")})&gt;1))),"""")"),"")</f>
        <v/>
      </c>
    </row>
    <row r="157">
      <c r="A157" s="300" t="s">
        <v>22</v>
      </c>
      <c r="C157" s="300" t="s">
        <v>22</v>
      </c>
      <c r="D157" s="300" t="s">
        <v>22</v>
      </c>
      <c r="F157" s="300" t="s">
        <v>22</v>
      </c>
      <c r="G157" s="300" t="s">
        <v>22</v>
      </c>
      <c r="I157" s="356" t="str">
        <f>IFERROR(__xludf.DUMMYFUNCTION("if(H157=""Must be Together"",iferror(join("", "",unique(filter({filter('Students (Vertical)'!O:O,'Students (Vertical)'!C:C=B157,'Students (Vertical)'!O:O&lt;&gt;"""");filter('Students (Vertical)'!O:O,'Students (Vertical)'!C:C=E157,'Students (Vertical)'!O:O&lt;&gt;"""&amp;""")},countifs({filter('Students (Vertical)'!O:O,'Students (Vertical)'!C:C=B157,'Students (Vertical)'!O:O&lt;&gt;"""");filter('Students (Vertical)'!O:O,'Students (Vertical)'!C:C=E157,'Students (Vertical)'!O:O&lt;&gt;"""")},{filter('Students (Vertical)'!O:O,'Students ("&amp;"Vertical)'!C:C=B157,'Students (Vertical)'!O:O&lt;&gt;"""");filter('Students (Vertical)'!O:O,'Students (Vertical)'!C:C=E157,'Students (Vertical)'!O:O&lt;&gt;"""")})&gt;1))),""No shared courses""),"""")"),"")</f>
        <v/>
      </c>
      <c r="J157" s="357" t="str">
        <f>IFERROR(__xludf.DUMMYFUNCTION("if(H157=""Can't be Together"",iferror(join("", "",unique(filter({filter('Students (Vertical)'!O:O,'Students (Vertical)'!C:C=B157,'Students (Vertical)'!O:O&lt;&gt;"""",'Students (Vertical)'!P:P&gt;1);filter('Students (Vertical)'!O:O,'Students (Vertical)'!C:C=E157,'"&amp;"Students (Vertical)'!O:O&lt;&gt;"""",'Students (Vertical)'!P:P&gt;1)},countifs({filter('Students (Vertical)'!O:O,'Students (Vertical)'!C:C=B157,'Students (Vertical)'!O:O&lt;&gt;"""",'Students (Vertical)'!P:P&gt;1);filter('Students (Vertical)'!O:O,'Students (Vertical)'!C:C="&amp;"E157,'Students (Vertical)'!O:O&lt;&gt;"""",'Students (Vertical)'!P:P&gt;1)},{filter('Students (Vertical)'!O:O,'Students (Vertical)'!C:C=B157,'Students (Vertical)'!O:O&lt;&gt;"""",'Students (Vertical)'!P:P&gt;1);filter('Students (Vertical)'!O:O,'Students (Vertical)'!C:C=E15"&amp;"7,'Students (Vertical)'!O:O&lt;&gt;"""",'Students (Vertical)'!P:P&gt;1)})&gt;1))),""""),"""")"),"")</f>
        <v/>
      </c>
      <c r="K157" s="358" t="str">
        <f>IFERROR(__xludf.DUMMYFUNCTION("iferror(join("", "",unique(filter({filter('Students (Vertical)'!D:D,'Students (Vertical)'!C:C=B157,'Students (Vertical)'!D:D&lt;&gt;"""");filter('Students (Vertical)'!D:D,'Students (Vertical)'!C:C=E157,'Students (Vertical)'!D:D&lt;&gt;"""")},countifs({filter('Student"&amp;"s (Vertical)'!D:D,'Students (Vertical)'!C:C=B157,'Students (Vertical)'!D:D&lt;&gt;"""");filter('Students (Vertical)'!D:D,'Students (Vertical)'!C:C=E157,'Students (Vertical)'!D:D&lt;&gt;"""")},{filter('Students (Vertical)'!D:D,'Students (Vertical)'!C:C=B157,'Students "&amp;"(Vertical)'!D:D&lt;&gt;"""");filter('Students (Vertical)'!D:D,'Students (Vertical)'!C:C=E157,'Students (Vertical)'!D:D&lt;&gt;"""")})&gt;1))),"""")"),"")</f>
        <v/>
      </c>
    </row>
    <row r="158">
      <c r="A158" s="300" t="s">
        <v>22</v>
      </c>
      <c r="C158" s="300" t="s">
        <v>22</v>
      </c>
      <c r="D158" s="300" t="s">
        <v>22</v>
      </c>
      <c r="F158" s="300" t="s">
        <v>22</v>
      </c>
      <c r="G158" s="300" t="s">
        <v>22</v>
      </c>
      <c r="I158" s="356" t="str">
        <f>IFERROR(__xludf.DUMMYFUNCTION("if(H158=""Must be Together"",iferror(join("", "",unique(filter({filter('Students (Vertical)'!O:O,'Students (Vertical)'!C:C=B158,'Students (Vertical)'!O:O&lt;&gt;"""");filter('Students (Vertical)'!O:O,'Students (Vertical)'!C:C=E158,'Students (Vertical)'!O:O&lt;&gt;"""&amp;""")},countifs({filter('Students (Vertical)'!O:O,'Students (Vertical)'!C:C=B158,'Students (Vertical)'!O:O&lt;&gt;"""");filter('Students (Vertical)'!O:O,'Students (Vertical)'!C:C=E158,'Students (Vertical)'!O:O&lt;&gt;"""")},{filter('Students (Vertical)'!O:O,'Students ("&amp;"Vertical)'!C:C=B158,'Students (Vertical)'!O:O&lt;&gt;"""");filter('Students (Vertical)'!O:O,'Students (Vertical)'!C:C=E158,'Students (Vertical)'!O:O&lt;&gt;"""")})&gt;1))),""No shared courses""),"""")"),"")</f>
        <v/>
      </c>
      <c r="J158" s="357" t="str">
        <f>IFERROR(__xludf.DUMMYFUNCTION("if(H158=""Can't be Together"",iferror(join("", "",unique(filter({filter('Students (Vertical)'!O:O,'Students (Vertical)'!C:C=B158,'Students (Vertical)'!O:O&lt;&gt;"""",'Students (Vertical)'!P:P&gt;1);filter('Students (Vertical)'!O:O,'Students (Vertical)'!C:C=E158,'"&amp;"Students (Vertical)'!O:O&lt;&gt;"""",'Students (Vertical)'!P:P&gt;1)},countifs({filter('Students (Vertical)'!O:O,'Students (Vertical)'!C:C=B158,'Students (Vertical)'!O:O&lt;&gt;"""",'Students (Vertical)'!P:P&gt;1);filter('Students (Vertical)'!O:O,'Students (Vertical)'!C:C="&amp;"E158,'Students (Vertical)'!O:O&lt;&gt;"""",'Students (Vertical)'!P:P&gt;1)},{filter('Students (Vertical)'!O:O,'Students (Vertical)'!C:C=B158,'Students (Vertical)'!O:O&lt;&gt;"""",'Students (Vertical)'!P:P&gt;1);filter('Students (Vertical)'!O:O,'Students (Vertical)'!C:C=E15"&amp;"8,'Students (Vertical)'!O:O&lt;&gt;"""",'Students (Vertical)'!P:P&gt;1)})&gt;1))),""""),"""")"),"")</f>
        <v/>
      </c>
      <c r="K158" s="358"/>
    </row>
    <row r="159">
      <c r="A159" s="300" t="s">
        <v>22</v>
      </c>
      <c r="C159" s="300" t="s">
        <v>22</v>
      </c>
      <c r="D159" s="300" t="s">
        <v>22</v>
      </c>
      <c r="F159" s="300" t="s">
        <v>22</v>
      </c>
      <c r="G159" s="300" t="s">
        <v>22</v>
      </c>
      <c r="I159" s="356" t="str">
        <f>IFERROR(__xludf.DUMMYFUNCTION("if(H159=""Must be Together"",iferror(join("", "",unique(filter({filter('Students (Vertical)'!O:O,'Students (Vertical)'!C:C=B159,'Students (Vertical)'!O:O&lt;&gt;"""");filter('Students (Vertical)'!O:O,'Students (Vertical)'!C:C=E159,'Students (Vertical)'!O:O&lt;&gt;"""&amp;""")},countifs({filter('Students (Vertical)'!O:O,'Students (Vertical)'!C:C=B159,'Students (Vertical)'!O:O&lt;&gt;"""");filter('Students (Vertical)'!O:O,'Students (Vertical)'!C:C=E159,'Students (Vertical)'!O:O&lt;&gt;"""")},{filter('Students (Vertical)'!O:O,'Students ("&amp;"Vertical)'!C:C=B159,'Students (Vertical)'!O:O&lt;&gt;"""");filter('Students (Vertical)'!O:O,'Students (Vertical)'!C:C=E159,'Students (Vertical)'!O:O&lt;&gt;"""")})&gt;1))),""No shared courses""),"""")"),"")</f>
        <v/>
      </c>
      <c r="J159" s="357" t="str">
        <f>IFERROR(__xludf.DUMMYFUNCTION("if(H159=""Can't be Together"",iferror(join("", "",unique(filter({filter('Students (Vertical)'!O:O,'Students (Vertical)'!C:C=B159,'Students (Vertical)'!O:O&lt;&gt;"""",'Students (Vertical)'!P:P&gt;1);filter('Students (Vertical)'!O:O,'Students (Vertical)'!C:C=E159,'"&amp;"Students (Vertical)'!O:O&lt;&gt;"""",'Students (Vertical)'!P:P&gt;1)},countifs({filter('Students (Vertical)'!O:O,'Students (Vertical)'!C:C=B159,'Students (Vertical)'!O:O&lt;&gt;"""",'Students (Vertical)'!P:P&gt;1);filter('Students (Vertical)'!O:O,'Students (Vertical)'!C:C="&amp;"E159,'Students (Vertical)'!O:O&lt;&gt;"""",'Students (Vertical)'!P:P&gt;1)},{filter('Students (Vertical)'!O:O,'Students (Vertical)'!C:C=B159,'Students (Vertical)'!O:O&lt;&gt;"""",'Students (Vertical)'!P:P&gt;1);filter('Students (Vertical)'!O:O,'Students (Vertical)'!C:C=E15"&amp;"9,'Students (Vertical)'!O:O&lt;&gt;"""",'Students (Vertical)'!P:P&gt;1)})&gt;1))),""""),"""")"),"")</f>
        <v/>
      </c>
      <c r="K159" s="358"/>
    </row>
    <row r="160">
      <c r="A160" s="300" t="s">
        <v>22</v>
      </c>
      <c r="C160" s="300" t="s">
        <v>22</v>
      </c>
      <c r="D160" s="300" t="s">
        <v>22</v>
      </c>
      <c r="F160" s="300" t="s">
        <v>22</v>
      </c>
      <c r="G160" s="300" t="s">
        <v>22</v>
      </c>
      <c r="I160" s="356" t="str">
        <f>IFERROR(__xludf.DUMMYFUNCTION("if(H160=""Must be Together"",iferror(join("", "",unique(filter({filter('Students (Vertical)'!O:O,'Students (Vertical)'!C:C=B160,'Students (Vertical)'!O:O&lt;&gt;"""");filter('Students (Vertical)'!O:O,'Students (Vertical)'!C:C=E160,'Students (Vertical)'!O:O&lt;&gt;"""&amp;""")},countifs({filter('Students (Vertical)'!O:O,'Students (Vertical)'!C:C=B160,'Students (Vertical)'!O:O&lt;&gt;"""");filter('Students (Vertical)'!O:O,'Students (Vertical)'!C:C=E160,'Students (Vertical)'!O:O&lt;&gt;"""")},{filter('Students (Vertical)'!O:O,'Students ("&amp;"Vertical)'!C:C=B160,'Students (Vertical)'!O:O&lt;&gt;"""");filter('Students (Vertical)'!O:O,'Students (Vertical)'!C:C=E160,'Students (Vertical)'!O:O&lt;&gt;"""")})&gt;1))),""No shared courses""),"""")"),"")</f>
        <v/>
      </c>
      <c r="J160" s="357" t="str">
        <f>IFERROR(__xludf.DUMMYFUNCTION("if(H160=""Can't be Together"",iferror(join("", "",unique(filter({filter('Students (Vertical)'!O:O,'Students (Vertical)'!C:C=B160,'Students (Vertical)'!O:O&lt;&gt;"""",'Students (Vertical)'!P:P&gt;1);filter('Students (Vertical)'!O:O,'Students (Vertical)'!C:C=E160,'"&amp;"Students (Vertical)'!O:O&lt;&gt;"""",'Students (Vertical)'!P:P&gt;1)},countifs({filter('Students (Vertical)'!O:O,'Students (Vertical)'!C:C=B160,'Students (Vertical)'!O:O&lt;&gt;"""",'Students (Vertical)'!P:P&gt;1);filter('Students (Vertical)'!O:O,'Students (Vertical)'!C:C="&amp;"E160,'Students (Vertical)'!O:O&lt;&gt;"""",'Students (Vertical)'!P:P&gt;1)},{filter('Students (Vertical)'!O:O,'Students (Vertical)'!C:C=B160,'Students (Vertical)'!O:O&lt;&gt;"""",'Students (Vertical)'!P:P&gt;1);filter('Students (Vertical)'!O:O,'Students (Vertical)'!C:C=E16"&amp;"0,'Students (Vertical)'!O:O&lt;&gt;"""",'Students (Vertical)'!P:P&gt;1)})&gt;1))),""""),"""")"),"")</f>
        <v/>
      </c>
      <c r="K160" s="358"/>
    </row>
    <row r="161">
      <c r="A161" s="300" t="s">
        <v>22</v>
      </c>
      <c r="C161" s="300" t="s">
        <v>22</v>
      </c>
      <c r="D161" s="300" t="s">
        <v>22</v>
      </c>
      <c r="F161" s="300" t="s">
        <v>22</v>
      </c>
      <c r="G161" s="300" t="s">
        <v>22</v>
      </c>
      <c r="I161" s="356" t="str">
        <f>IFERROR(__xludf.DUMMYFUNCTION("if(H161=""Must be Together"",iferror(join("", "",unique(filter({filter('Students (Vertical)'!O:O,'Students (Vertical)'!C:C=B161,'Students (Vertical)'!O:O&lt;&gt;"""");filter('Students (Vertical)'!O:O,'Students (Vertical)'!C:C=E161,'Students (Vertical)'!O:O&lt;&gt;"""&amp;""")},countifs({filter('Students (Vertical)'!O:O,'Students (Vertical)'!C:C=B161,'Students (Vertical)'!O:O&lt;&gt;"""");filter('Students (Vertical)'!O:O,'Students (Vertical)'!C:C=E161,'Students (Vertical)'!O:O&lt;&gt;"""")},{filter('Students (Vertical)'!O:O,'Students ("&amp;"Vertical)'!C:C=B161,'Students (Vertical)'!O:O&lt;&gt;"""");filter('Students (Vertical)'!O:O,'Students (Vertical)'!C:C=E161,'Students (Vertical)'!O:O&lt;&gt;"""")})&gt;1))),""No shared courses""),"""")"),"")</f>
        <v/>
      </c>
      <c r="J161" s="357" t="str">
        <f>IFERROR(__xludf.DUMMYFUNCTION("if(H161=""Can't be Together"",iferror(join("", "",unique(filter({filter('Students (Vertical)'!O:O,'Students (Vertical)'!C:C=B161,'Students (Vertical)'!O:O&lt;&gt;"""",'Students (Vertical)'!P:P&gt;1);filter('Students (Vertical)'!O:O,'Students (Vertical)'!C:C=E161,'"&amp;"Students (Vertical)'!O:O&lt;&gt;"""",'Students (Vertical)'!P:P&gt;1)},countifs({filter('Students (Vertical)'!O:O,'Students (Vertical)'!C:C=B161,'Students (Vertical)'!O:O&lt;&gt;"""",'Students (Vertical)'!P:P&gt;1);filter('Students (Vertical)'!O:O,'Students (Vertical)'!C:C="&amp;"E161,'Students (Vertical)'!O:O&lt;&gt;"""",'Students (Vertical)'!P:P&gt;1)},{filter('Students (Vertical)'!O:O,'Students (Vertical)'!C:C=B161,'Students (Vertical)'!O:O&lt;&gt;"""",'Students (Vertical)'!P:P&gt;1);filter('Students (Vertical)'!O:O,'Students (Vertical)'!C:C=E16"&amp;"1,'Students (Vertical)'!O:O&lt;&gt;"""",'Students (Vertical)'!P:P&gt;1)})&gt;1))),""""),"""")"),"")</f>
        <v/>
      </c>
      <c r="K161" s="358"/>
    </row>
    <row r="162">
      <c r="A162" s="300" t="s">
        <v>22</v>
      </c>
      <c r="C162" s="300" t="s">
        <v>22</v>
      </c>
      <c r="D162" s="300" t="s">
        <v>22</v>
      </c>
      <c r="F162" s="300" t="s">
        <v>22</v>
      </c>
      <c r="G162" s="300" t="s">
        <v>22</v>
      </c>
      <c r="I162" s="356" t="str">
        <f>IFERROR(__xludf.DUMMYFUNCTION("if(H162=""Must be Together"",iferror(join("", "",unique(filter({filter('Students (Vertical)'!O:O,'Students (Vertical)'!C:C=B162,'Students (Vertical)'!O:O&lt;&gt;"""");filter('Students (Vertical)'!O:O,'Students (Vertical)'!C:C=E162,'Students (Vertical)'!O:O&lt;&gt;"""&amp;""")},countifs({filter('Students (Vertical)'!O:O,'Students (Vertical)'!C:C=B162,'Students (Vertical)'!O:O&lt;&gt;"""");filter('Students (Vertical)'!O:O,'Students (Vertical)'!C:C=E162,'Students (Vertical)'!O:O&lt;&gt;"""")},{filter('Students (Vertical)'!O:O,'Students ("&amp;"Vertical)'!C:C=B162,'Students (Vertical)'!O:O&lt;&gt;"""");filter('Students (Vertical)'!O:O,'Students (Vertical)'!C:C=E162,'Students (Vertical)'!O:O&lt;&gt;"""")})&gt;1))),""No shared courses""),"""")"),"")</f>
        <v/>
      </c>
      <c r="J162" s="357" t="str">
        <f>IFERROR(__xludf.DUMMYFUNCTION("if(H162=""Can't be Together"",iferror(join("", "",unique(filter({filter('Students (Vertical)'!O:O,'Students (Vertical)'!C:C=B162,'Students (Vertical)'!O:O&lt;&gt;"""",'Students (Vertical)'!P:P&gt;1);filter('Students (Vertical)'!O:O,'Students (Vertical)'!C:C=E162,'"&amp;"Students (Vertical)'!O:O&lt;&gt;"""",'Students (Vertical)'!P:P&gt;1)},countifs({filter('Students (Vertical)'!O:O,'Students (Vertical)'!C:C=B162,'Students (Vertical)'!O:O&lt;&gt;"""",'Students (Vertical)'!P:P&gt;1);filter('Students (Vertical)'!O:O,'Students (Vertical)'!C:C="&amp;"E162,'Students (Vertical)'!O:O&lt;&gt;"""",'Students (Vertical)'!P:P&gt;1)},{filter('Students (Vertical)'!O:O,'Students (Vertical)'!C:C=B162,'Students (Vertical)'!O:O&lt;&gt;"""",'Students (Vertical)'!P:P&gt;1);filter('Students (Vertical)'!O:O,'Students (Vertical)'!C:C=E16"&amp;"2,'Students (Vertical)'!O:O&lt;&gt;"""",'Students (Vertical)'!P:P&gt;1)})&gt;1))),""""),"""")"),"")</f>
        <v/>
      </c>
      <c r="K162" s="358"/>
    </row>
    <row r="163">
      <c r="A163" s="300" t="s">
        <v>22</v>
      </c>
      <c r="C163" s="300" t="s">
        <v>22</v>
      </c>
      <c r="D163" s="300" t="s">
        <v>22</v>
      </c>
      <c r="F163" s="300" t="s">
        <v>22</v>
      </c>
      <c r="G163" s="300" t="s">
        <v>22</v>
      </c>
      <c r="I163" s="356" t="str">
        <f>IFERROR(__xludf.DUMMYFUNCTION("if(H163=""Must be Together"",iferror(join("", "",unique(filter({filter('Students (Vertical)'!O:O,'Students (Vertical)'!C:C=B163,'Students (Vertical)'!O:O&lt;&gt;"""");filter('Students (Vertical)'!O:O,'Students (Vertical)'!C:C=E163,'Students (Vertical)'!O:O&lt;&gt;"""&amp;""")},countifs({filter('Students (Vertical)'!O:O,'Students (Vertical)'!C:C=B163,'Students (Vertical)'!O:O&lt;&gt;"""");filter('Students (Vertical)'!O:O,'Students (Vertical)'!C:C=E163,'Students (Vertical)'!O:O&lt;&gt;"""")},{filter('Students (Vertical)'!O:O,'Students ("&amp;"Vertical)'!C:C=B163,'Students (Vertical)'!O:O&lt;&gt;"""");filter('Students (Vertical)'!O:O,'Students (Vertical)'!C:C=E163,'Students (Vertical)'!O:O&lt;&gt;"""")})&gt;1))),""No shared courses""),"""")"),"")</f>
        <v/>
      </c>
      <c r="J163" s="357" t="str">
        <f>IFERROR(__xludf.DUMMYFUNCTION("if(H163=""Can't be Together"",iferror(join("", "",unique(filter({filter('Students (Vertical)'!O:O,'Students (Vertical)'!C:C=B163,'Students (Vertical)'!O:O&lt;&gt;"""",'Students (Vertical)'!P:P&gt;1);filter('Students (Vertical)'!O:O,'Students (Vertical)'!C:C=E163,'"&amp;"Students (Vertical)'!O:O&lt;&gt;"""",'Students (Vertical)'!P:P&gt;1)},countifs({filter('Students (Vertical)'!O:O,'Students (Vertical)'!C:C=B163,'Students (Vertical)'!O:O&lt;&gt;"""",'Students (Vertical)'!P:P&gt;1);filter('Students (Vertical)'!O:O,'Students (Vertical)'!C:C="&amp;"E163,'Students (Vertical)'!O:O&lt;&gt;"""",'Students (Vertical)'!P:P&gt;1)},{filter('Students (Vertical)'!O:O,'Students (Vertical)'!C:C=B163,'Students (Vertical)'!O:O&lt;&gt;"""",'Students (Vertical)'!P:P&gt;1);filter('Students (Vertical)'!O:O,'Students (Vertical)'!C:C=E16"&amp;"3,'Students (Vertical)'!O:O&lt;&gt;"""",'Students (Vertical)'!P:P&gt;1)})&gt;1))),""""),"""")"),"")</f>
        <v/>
      </c>
      <c r="K163" s="358"/>
    </row>
    <row r="164">
      <c r="A164" s="300" t="s">
        <v>22</v>
      </c>
      <c r="C164" s="300" t="s">
        <v>22</v>
      </c>
      <c r="D164" s="300" t="s">
        <v>22</v>
      </c>
      <c r="F164" s="300" t="s">
        <v>22</v>
      </c>
      <c r="G164" s="300" t="s">
        <v>22</v>
      </c>
      <c r="I164" s="356" t="str">
        <f>IFERROR(__xludf.DUMMYFUNCTION("if(H164=""Must be Together"",iferror(join("", "",unique(filter({filter('Students (Vertical)'!O:O,'Students (Vertical)'!C:C=B164,'Students (Vertical)'!O:O&lt;&gt;"""");filter('Students (Vertical)'!O:O,'Students (Vertical)'!C:C=E164,'Students (Vertical)'!O:O&lt;&gt;"""&amp;""")},countifs({filter('Students (Vertical)'!O:O,'Students (Vertical)'!C:C=B164,'Students (Vertical)'!O:O&lt;&gt;"""");filter('Students (Vertical)'!O:O,'Students (Vertical)'!C:C=E164,'Students (Vertical)'!O:O&lt;&gt;"""")},{filter('Students (Vertical)'!O:O,'Students ("&amp;"Vertical)'!C:C=B164,'Students (Vertical)'!O:O&lt;&gt;"""");filter('Students (Vertical)'!O:O,'Students (Vertical)'!C:C=E164,'Students (Vertical)'!O:O&lt;&gt;"""")})&gt;1))),""No shared courses""),"""")"),"")</f>
        <v/>
      </c>
      <c r="J164" s="357" t="str">
        <f>IFERROR(__xludf.DUMMYFUNCTION("if(H164=""Can't be Together"",iferror(join("", "",unique(filter({filter('Students (Vertical)'!O:O,'Students (Vertical)'!C:C=B164,'Students (Vertical)'!O:O&lt;&gt;"""",'Students (Vertical)'!P:P&gt;1);filter('Students (Vertical)'!O:O,'Students (Vertical)'!C:C=E164,'"&amp;"Students (Vertical)'!O:O&lt;&gt;"""",'Students (Vertical)'!P:P&gt;1)},countifs({filter('Students (Vertical)'!O:O,'Students (Vertical)'!C:C=B164,'Students (Vertical)'!O:O&lt;&gt;"""",'Students (Vertical)'!P:P&gt;1);filter('Students (Vertical)'!O:O,'Students (Vertical)'!C:C="&amp;"E164,'Students (Vertical)'!O:O&lt;&gt;"""",'Students (Vertical)'!P:P&gt;1)},{filter('Students (Vertical)'!O:O,'Students (Vertical)'!C:C=B164,'Students (Vertical)'!O:O&lt;&gt;"""",'Students (Vertical)'!P:P&gt;1);filter('Students (Vertical)'!O:O,'Students (Vertical)'!C:C=E16"&amp;"4,'Students (Vertical)'!O:O&lt;&gt;"""",'Students (Vertical)'!P:P&gt;1)})&gt;1))),""""),"""")"),"")</f>
        <v/>
      </c>
      <c r="K164" s="358"/>
    </row>
    <row r="165">
      <c r="A165" s="300" t="s">
        <v>22</v>
      </c>
      <c r="C165" s="300" t="s">
        <v>22</v>
      </c>
      <c r="D165" s="300" t="s">
        <v>22</v>
      </c>
      <c r="F165" s="300" t="s">
        <v>22</v>
      </c>
      <c r="G165" s="300" t="s">
        <v>22</v>
      </c>
      <c r="I165" s="356" t="str">
        <f>IFERROR(__xludf.DUMMYFUNCTION("if(H165=""Must be Together"",iferror(join("", "",unique(filter({filter('Students (Vertical)'!O:O,'Students (Vertical)'!C:C=B165,'Students (Vertical)'!O:O&lt;&gt;"""");filter('Students (Vertical)'!O:O,'Students (Vertical)'!C:C=E165,'Students (Vertical)'!O:O&lt;&gt;"""&amp;""")},countifs({filter('Students (Vertical)'!O:O,'Students (Vertical)'!C:C=B165,'Students (Vertical)'!O:O&lt;&gt;"""");filter('Students (Vertical)'!O:O,'Students (Vertical)'!C:C=E165,'Students (Vertical)'!O:O&lt;&gt;"""")},{filter('Students (Vertical)'!O:O,'Students ("&amp;"Vertical)'!C:C=B165,'Students (Vertical)'!O:O&lt;&gt;"""");filter('Students (Vertical)'!O:O,'Students (Vertical)'!C:C=E165,'Students (Vertical)'!O:O&lt;&gt;"""")})&gt;1))),""No shared courses""),"""")"),"")</f>
        <v/>
      </c>
      <c r="J165" s="357" t="str">
        <f>IFERROR(__xludf.DUMMYFUNCTION("if(H165=""Can't be Together"",iferror(join("", "",unique(filter({filter('Students (Vertical)'!O:O,'Students (Vertical)'!C:C=B165,'Students (Vertical)'!O:O&lt;&gt;"""",'Students (Vertical)'!P:P&gt;1);filter('Students (Vertical)'!O:O,'Students (Vertical)'!C:C=E165,'"&amp;"Students (Vertical)'!O:O&lt;&gt;"""",'Students (Vertical)'!P:P&gt;1)},countifs({filter('Students (Vertical)'!O:O,'Students (Vertical)'!C:C=B165,'Students (Vertical)'!O:O&lt;&gt;"""",'Students (Vertical)'!P:P&gt;1);filter('Students (Vertical)'!O:O,'Students (Vertical)'!C:C="&amp;"E165,'Students (Vertical)'!O:O&lt;&gt;"""",'Students (Vertical)'!P:P&gt;1)},{filter('Students (Vertical)'!O:O,'Students (Vertical)'!C:C=B165,'Students (Vertical)'!O:O&lt;&gt;"""",'Students (Vertical)'!P:P&gt;1);filter('Students (Vertical)'!O:O,'Students (Vertical)'!C:C=E16"&amp;"5,'Students (Vertical)'!O:O&lt;&gt;"""",'Students (Vertical)'!P:P&gt;1)})&gt;1))),""""),"""")"),"")</f>
        <v/>
      </c>
      <c r="K165" s="358"/>
    </row>
    <row r="166">
      <c r="A166" s="300" t="s">
        <v>22</v>
      </c>
      <c r="C166" s="300" t="s">
        <v>22</v>
      </c>
      <c r="D166" s="300" t="s">
        <v>22</v>
      </c>
      <c r="F166" s="300" t="s">
        <v>22</v>
      </c>
      <c r="G166" s="300" t="s">
        <v>22</v>
      </c>
      <c r="I166" s="356" t="str">
        <f>IFERROR(__xludf.DUMMYFUNCTION("if(H166=""Must be Together"",iferror(join("", "",unique(filter({filter('Students (Vertical)'!O:O,'Students (Vertical)'!C:C=B166,'Students (Vertical)'!O:O&lt;&gt;"""");filter('Students (Vertical)'!O:O,'Students (Vertical)'!C:C=E166,'Students (Vertical)'!O:O&lt;&gt;"""&amp;""")},countifs({filter('Students (Vertical)'!O:O,'Students (Vertical)'!C:C=B166,'Students (Vertical)'!O:O&lt;&gt;"""");filter('Students (Vertical)'!O:O,'Students (Vertical)'!C:C=E166,'Students (Vertical)'!O:O&lt;&gt;"""")},{filter('Students (Vertical)'!O:O,'Students ("&amp;"Vertical)'!C:C=B166,'Students (Vertical)'!O:O&lt;&gt;"""");filter('Students (Vertical)'!O:O,'Students (Vertical)'!C:C=E166,'Students (Vertical)'!O:O&lt;&gt;"""")})&gt;1))),""No shared courses""),"""")"),"")</f>
        <v/>
      </c>
      <c r="J166" s="357" t="str">
        <f>IFERROR(__xludf.DUMMYFUNCTION("if(H166=""Can't be Together"",iferror(join("", "",unique(filter({filter('Students (Vertical)'!O:O,'Students (Vertical)'!C:C=B166,'Students (Vertical)'!O:O&lt;&gt;"""",'Students (Vertical)'!P:P&gt;1);filter('Students (Vertical)'!O:O,'Students (Vertical)'!C:C=E166,'"&amp;"Students (Vertical)'!O:O&lt;&gt;"""",'Students (Vertical)'!P:P&gt;1)},countifs({filter('Students (Vertical)'!O:O,'Students (Vertical)'!C:C=B166,'Students (Vertical)'!O:O&lt;&gt;"""",'Students (Vertical)'!P:P&gt;1);filter('Students (Vertical)'!O:O,'Students (Vertical)'!C:C="&amp;"E166,'Students (Vertical)'!O:O&lt;&gt;"""",'Students (Vertical)'!P:P&gt;1)},{filter('Students (Vertical)'!O:O,'Students (Vertical)'!C:C=B166,'Students (Vertical)'!O:O&lt;&gt;"""",'Students (Vertical)'!P:P&gt;1);filter('Students (Vertical)'!O:O,'Students (Vertical)'!C:C=E16"&amp;"6,'Students (Vertical)'!O:O&lt;&gt;"""",'Students (Vertical)'!P:P&gt;1)})&gt;1))),""""),"""")"),"")</f>
        <v/>
      </c>
      <c r="K166" s="358"/>
    </row>
    <row r="167">
      <c r="A167" s="300" t="s">
        <v>22</v>
      </c>
      <c r="C167" s="300" t="s">
        <v>22</v>
      </c>
      <c r="D167" s="300" t="s">
        <v>22</v>
      </c>
      <c r="F167" s="300" t="s">
        <v>22</v>
      </c>
      <c r="G167" s="300" t="s">
        <v>22</v>
      </c>
      <c r="I167" s="356" t="str">
        <f>IFERROR(__xludf.DUMMYFUNCTION("if(H167=""Must be Together"",iferror(join("", "",unique(filter({filter('Students (Vertical)'!O:O,'Students (Vertical)'!C:C=B167,'Students (Vertical)'!O:O&lt;&gt;"""");filter('Students (Vertical)'!O:O,'Students (Vertical)'!C:C=E167,'Students (Vertical)'!O:O&lt;&gt;"""&amp;""")},countifs({filter('Students (Vertical)'!O:O,'Students (Vertical)'!C:C=B167,'Students (Vertical)'!O:O&lt;&gt;"""");filter('Students (Vertical)'!O:O,'Students (Vertical)'!C:C=E167,'Students (Vertical)'!O:O&lt;&gt;"""")},{filter('Students (Vertical)'!O:O,'Students ("&amp;"Vertical)'!C:C=B167,'Students (Vertical)'!O:O&lt;&gt;"""");filter('Students (Vertical)'!O:O,'Students (Vertical)'!C:C=E167,'Students (Vertical)'!O:O&lt;&gt;"""")})&gt;1))),""No shared courses""),"""")"),"")</f>
        <v/>
      </c>
      <c r="J167" s="357" t="str">
        <f>IFERROR(__xludf.DUMMYFUNCTION("if(H167=""Can't be Together"",iferror(join("", "",unique(filter({filter('Students (Vertical)'!O:O,'Students (Vertical)'!C:C=B167,'Students (Vertical)'!O:O&lt;&gt;"""",'Students (Vertical)'!P:P&gt;1);filter('Students (Vertical)'!O:O,'Students (Vertical)'!C:C=E167,'"&amp;"Students (Vertical)'!O:O&lt;&gt;"""",'Students (Vertical)'!P:P&gt;1)},countifs({filter('Students (Vertical)'!O:O,'Students (Vertical)'!C:C=B167,'Students (Vertical)'!O:O&lt;&gt;"""",'Students (Vertical)'!P:P&gt;1);filter('Students (Vertical)'!O:O,'Students (Vertical)'!C:C="&amp;"E167,'Students (Vertical)'!O:O&lt;&gt;"""",'Students (Vertical)'!P:P&gt;1)},{filter('Students (Vertical)'!O:O,'Students (Vertical)'!C:C=B167,'Students (Vertical)'!O:O&lt;&gt;"""",'Students (Vertical)'!P:P&gt;1);filter('Students (Vertical)'!O:O,'Students (Vertical)'!C:C=E16"&amp;"7,'Students (Vertical)'!O:O&lt;&gt;"""",'Students (Vertical)'!P:P&gt;1)})&gt;1))),""""),"""")"),"")</f>
        <v/>
      </c>
      <c r="K167" s="358"/>
    </row>
    <row r="168">
      <c r="A168" s="300" t="s">
        <v>22</v>
      </c>
      <c r="C168" s="300" t="s">
        <v>22</v>
      </c>
      <c r="D168" s="300" t="s">
        <v>22</v>
      </c>
      <c r="F168" s="300" t="s">
        <v>22</v>
      </c>
      <c r="G168" s="300" t="s">
        <v>22</v>
      </c>
      <c r="I168" s="356" t="str">
        <f>IFERROR(__xludf.DUMMYFUNCTION("if(H168=""Must be Together"",iferror(join("", "",unique(filter({filter('Students (Vertical)'!O:O,'Students (Vertical)'!C:C=B168,'Students (Vertical)'!O:O&lt;&gt;"""");filter('Students (Vertical)'!O:O,'Students (Vertical)'!C:C=E168,'Students (Vertical)'!O:O&lt;&gt;"""&amp;""")},countifs({filter('Students (Vertical)'!O:O,'Students (Vertical)'!C:C=B168,'Students (Vertical)'!O:O&lt;&gt;"""");filter('Students (Vertical)'!O:O,'Students (Vertical)'!C:C=E168,'Students (Vertical)'!O:O&lt;&gt;"""")},{filter('Students (Vertical)'!O:O,'Students ("&amp;"Vertical)'!C:C=B168,'Students (Vertical)'!O:O&lt;&gt;"""");filter('Students (Vertical)'!O:O,'Students (Vertical)'!C:C=E168,'Students (Vertical)'!O:O&lt;&gt;"""")})&gt;1))),""No shared courses""),"""")"),"")</f>
        <v/>
      </c>
      <c r="J168" s="357" t="str">
        <f>IFERROR(__xludf.DUMMYFUNCTION("if(H168=""Can't be Together"",iferror(join("", "",unique(filter({filter('Students (Vertical)'!O:O,'Students (Vertical)'!C:C=B168,'Students (Vertical)'!O:O&lt;&gt;"""",'Students (Vertical)'!P:P&gt;1);filter('Students (Vertical)'!O:O,'Students (Vertical)'!C:C=E168,'"&amp;"Students (Vertical)'!O:O&lt;&gt;"""",'Students (Vertical)'!P:P&gt;1)},countifs({filter('Students (Vertical)'!O:O,'Students (Vertical)'!C:C=B168,'Students (Vertical)'!O:O&lt;&gt;"""",'Students (Vertical)'!P:P&gt;1);filter('Students (Vertical)'!O:O,'Students (Vertical)'!C:C="&amp;"E168,'Students (Vertical)'!O:O&lt;&gt;"""",'Students (Vertical)'!P:P&gt;1)},{filter('Students (Vertical)'!O:O,'Students (Vertical)'!C:C=B168,'Students (Vertical)'!O:O&lt;&gt;"""",'Students (Vertical)'!P:P&gt;1);filter('Students (Vertical)'!O:O,'Students (Vertical)'!C:C=E16"&amp;"8,'Students (Vertical)'!O:O&lt;&gt;"""",'Students (Vertical)'!P:P&gt;1)})&gt;1))),""""),"""")"),"")</f>
        <v/>
      </c>
      <c r="K168" s="358"/>
    </row>
    <row r="169">
      <c r="A169" s="300" t="s">
        <v>22</v>
      </c>
      <c r="C169" s="300" t="s">
        <v>22</v>
      </c>
      <c r="D169" s="300" t="s">
        <v>22</v>
      </c>
      <c r="F169" s="300" t="s">
        <v>22</v>
      </c>
      <c r="G169" s="300" t="s">
        <v>22</v>
      </c>
      <c r="I169" s="356" t="str">
        <f>IFERROR(__xludf.DUMMYFUNCTION("if(H169=""Must be Together"",iferror(join("", "",unique(filter({filter('Students (Vertical)'!O:O,'Students (Vertical)'!C:C=B169,'Students (Vertical)'!O:O&lt;&gt;"""");filter('Students (Vertical)'!O:O,'Students (Vertical)'!C:C=E169,'Students (Vertical)'!O:O&lt;&gt;"""&amp;""")},countifs({filter('Students (Vertical)'!O:O,'Students (Vertical)'!C:C=B169,'Students (Vertical)'!O:O&lt;&gt;"""");filter('Students (Vertical)'!O:O,'Students (Vertical)'!C:C=E169,'Students (Vertical)'!O:O&lt;&gt;"""")},{filter('Students (Vertical)'!O:O,'Students ("&amp;"Vertical)'!C:C=B169,'Students (Vertical)'!O:O&lt;&gt;"""");filter('Students (Vertical)'!O:O,'Students (Vertical)'!C:C=E169,'Students (Vertical)'!O:O&lt;&gt;"""")})&gt;1))),""No shared courses""),"""")"),"")</f>
        <v/>
      </c>
      <c r="J169" s="357" t="str">
        <f>IFERROR(__xludf.DUMMYFUNCTION("if(H169=""Can't be Together"",iferror(join("", "",unique(filter({filter('Students (Vertical)'!O:O,'Students (Vertical)'!C:C=B169,'Students (Vertical)'!O:O&lt;&gt;"""",'Students (Vertical)'!P:P&gt;1);filter('Students (Vertical)'!O:O,'Students (Vertical)'!C:C=E169,'"&amp;"Students (Vertical)'!O:O&lt;&gt;"""",'Students (Vertical)'!P:P&gt;1)},countifs({filter('Students (Vertical)'!O:O,'Students (Vertical)'!C:C=B169,'Students (Vertical)'!O:O&lt;&gt;"""",'Students (Vertical)'!P:P&gt;1);filter('Students (Vertical)'!O:O,'Students (Vertical)'!C:C="&amp;"E169,'Students (Vertical)'!O:O&lt;&gt;"""",'Students (Vertical)'!P:P&gt;1)},{filter('Students (Vertical)'!O:O,'Students (Vertical)'!C:C=B169,'Students (Vertical)'!O:O&lt;&gt;"""",'Students (Vertical)'!P:P&gt;1);filter('Students (Vertical)'!O:O,'Students (Vertical)'!C:C=E16"&amp;"9,'Students (Vertical)'!O:O&lt;&gt;"""",'Students (Vertical)'!P:P&gt;1)})&gt;1))),""""),"""")"),"")</f>
        <v/>
      </c>
      <c r="K169" s="358"/>
    </row>
    <row r="170">
      <c r="A170" s="300" t="s">
        <v>22</v>
      </c>
      <c r="C170" s="300" t="s">
        <v>22</v>
      </c>
      <c r="D170" s="300" t="s">
        <v>22</v>
      </c>
      <c r="F170" s="300" t="s">
        <v>22</v>
      </c>
      <c r="G170" s="300" t="s">
        <v>22</v>
      </c>
      <c r="I170" s="356" t="str">
        <f>IFERROR(__xludf.DUMMYFUNCTION("if(H170=""Must be Together"",iferror(join("", "",unique(filter({filter('Students (Vertical)'!O:O,'Students (Vertical)'!C:C=B170,'Students (Vertical)'!O:O&lt;&gt;"""");filter('Students (Vertical)'!O:O,'Students (Vertical)'!C:C=E170,'Students (Vertical)'!O:O&lt;&gt;"""&amp;""")},countifs({filter('Students (Vertical)'!O:O,'Students (Vertical)'!C:C=B170,'Students (Vertical)'!O:O&lt;&gt;"""");filter('Students (Vertical)'!O:O,'Students (Vertical)'!C:C=E170,'Students (Vertical)'!O:O&lt;&gt;"""")},{filter('Students (Vertical)'!O:O,'Students ("&amp;"Vertical)'!C:C=B170,'Students (Vertical)'!O:O&lt;&gt;"""");filter('Students (Vertical)'!O:O,'Students (Vertical)'!C:C=E170,'Students (Vertical)'!O:O&lt;&gt;"""")})&gt;1))),""No shared courses""),"""")"),"")</f>
        <v/>
      </c>
      <c r="J170" s="357" t="str">
        <f>IFERROR(__xludf.DUMMYFUNCTION("if(H170=""Can't be Together"",iferror(join("", "",unique(filter({filter('Students (Vertical)'!O:O,'Students (Vertical)'!C:C=B170,'Students (Vertical)'!O:O&lt;&gt;"""",'Students (Vertical)'!P:P&gt;1);filter('Students (Vertical)'!O:O,'Students (Vertical)'!C:C=E170,'"&amp;"Students (Vertical)'!O:O&lt;&gt;"""",'Students (Vertical)'!P:P&gt;1)},countifs({filter('Students (Vertical)'!O:O,'Students (Vertical)'!C:C=B170,'Students (Vertical)'!O:O&lt;&gt;"""",'Students (Vertical)'!P:P&gt;1);filter('Students (Vertical)'!O:O,'Students (Vertical)'!C:C="&amp;"E170,'Students (Vertical)'!O:O&lt;&gt;"""",'Students (Vertical)'!P:P&gt;1)},{filter('Students (Vertical)'!O:O,'Students (Vertical)'!C:C=B170,'Students (Vertical)'!O:O&lt;&gt;"""",'Students (Vertical)'!P:P&gt;1);filter('Students (Vertical)'!O:O,'Students (Vertical)'!C:C=E17"&amp;"0,'Students (Vertical)'!O:O&lt;&gt;"""",'Students (Vertical)'!P:P&gt;1)})&gt;1))),""""),"""")"),"")</f>
        <v/>
      </c>
      <c r="K170" s="358"/>
    </row>
    <row r="171">
      <c r="A171" s="300" t="s">
        <v>22</v>
      </c>
      <c r="C171" s="300" t="s">
        <v>22</v>
      </c>
      <c r="D171" s="300" t="s">
        <v>22</v>
      </c>
      <c r="F171" s="300" t="s">
        <v>22</v>
      </c>
      <c r="G171" s="300" t="s">
        <v>22</v>
      </c>
      <c r="I171" s="356" t="str">
        <f>IFERROR(__xludf.DUMMYFUNCTION("if(H171=""Must be Together"",iferror(join("", "",unique(filter({filter('Students (Vertical)'!O:O,'Students (Vertical)'!C:C=B171,'Students (Vertical)'!O:O&lt;&gt;"""");filter('Students (Vertical)'!O:O,'Students (Vertical)'!C:C=E171,'Students (Vertical)'!O:O&lt;&gt;"""&amp;""")},countifs({filter('Students (Vertical)'!O:O,'Students (Vertical)'!C:C=B171,'Students (Vertical)'!O:O&lt;&gt;"""");filter('Students (Vertical)'!O:O,'Students (Vertical)'!C:C=E171,'Students (Vertical)'!O:O&lt;&gt;"""")},{filter('Students (Vertical)'!O:O,'Students ("&amp;"Vertical)'!C:C=B171,'Students (Vertical)'!O:O&lt;&gt;"""");filter('Students (Vertical)'!O:O,'Students (Vertical)'!C:C=E171,'Students (Vertical)'!O:O&lt;&gt;"""")})&gt;1))),""No shared courses""),"""")"),"")</f>
        <v/>
      </c>
      <c r="J171" s="357" t="str">
        <f>IFERROR(__xludf.DUMMYFUNCTION("if(H171=""Can't be Together"",iferror(join("", "",unique(filter({filter('Students (Vertical)'!O:O,'Students (Vertical)'!C:C=B171,'Students (Vertical)'!O:O&lt;&gt;"""",'Students (Vertical)'!P:P&gt;1);filter('Students (Vertical)'!O:O,'Students (Vertical)'!C:C=E171,'"&amp;"Students (Vertical)'!O:O&lt;&gt;"""",'Students (Vertical)'!P:P&gt;1)},countifs({filter('Students (Vertical)'!O:O,'Students (Vertical)'!C:C=B171,'Students (Vertical)'!O:O&lt;&gt;"""",'Students (Vertical)'!P:P&gt;1);filter('Students (Vertical)'!O:O,'Students (Vertical)'!C:C="&amp;"E171,'Students (Vertical)'!O:O&lt;&gt;"""",'Students (Vertical)'!P:P&gt;1)},{filter('Students (Vertical)'!O:O,'Students (Vertical)'!C:C=B171,'Students (Vertical)'!O:O&lt;&gt;"""",'Students (Vertical)'!P:P&gt;1);filter('Students (Vertical)'!O:O,'Students (Vertical)'!C:C=E17"&amp;"1,'Students (Vertical)'!O:O&lt;&gt;"""",'Students (Vertical)'!P:P&gt;1)})&gt;1))),""""),"""")"),"")</f>
        <v/>
      </c>
      <c r="K171" s="358"/>
    </row>
    <row r="172">
      <c r="A172" s="300" t="s">
        <v>22</v>
      </c>
      <c r="C172" s="300" t="s">
        <v>22</v>
      </c>
      <c r="D172" s="300" t="s">
        <v>22</v>
      </c>
      <c r="F172" s="300" t="s">
        <v>22</v>
      </c>
      <c r="G172" s="300" t="s">
        <v>22</v>
      </c>
      <c r="I172" s="356" t="str">
        <f>IFERROR(__xludf.DUMMYFUNCTION("if(H172=""Must be Together"",iferror(join("", "",unique(filter({filter('Students (Vertical)'!O:O,'Students (Vertical)'!C:C=B172,'Students (Vertical)'!O:O&lt;&gt;"""");filter('Students (Vertical)'!O:O,'Students (Vertical)'!C:C=E172,'Students (Vertical)'!O:O&lt;&gt;"""&amp;""")},countifs({filter('Students (Vertical)'!O:O,'Students (Vertical)'!C:C=B172,'Students (Vertical)'!O:O&lt;&gt;"""");filter('Students (Vertical)'!O:O,'Students (Vertical)'!C:C=E172,'Students (Vertical)'!O:O&lt;&gt;"""")},{filter('Students (Vertical)'!O:O,'Students ("&amp;"Vertical)'!C:C=B172,'Students (Vertical)'!O:O&lt;&gt;"""");filter('Students (Vertical)'!O:O,'Students (Vertical)'!C:C=E172,'Students (Vertical)'!O:O&lt;&gt;"""")})&gt;1))),""No shared courses""),"""")"),"")</f>
        <v/>
      </c>
      <c r="J172" s="357" t="str">
        <f>IFERROR(__xludf.DUMMYFUNCTION("if(H172=""Can't be Together"",iferror(join("", "",unique(filter({filter('Students (Vertical)'!O:O,'Students (Vertical)'!C:C=B172,'Students (Vertical)'!O:O&lt;&gt;"""",'Students (Vertical)'!P:P&gt;1);filter('Students (Vertical)'!O:O,'Students (Vertical)'!C:C=E172,'"&amp;"Students (Vertical)'!O:O&lt;&gt;"""",'Students (Vertical)'!P:P&gt;1)},countifs({filter('Students (Vertical)'!O:O,'Students (Vertical)'!C:C=B172,'Students (Vertical)'!O:O&lt;&gt;"""",'Students (Vertical)'!P:P&gt;1);filter('Students (Vertical)'!O:O,'Students (Vertical)'!C:C="&amp;"E172,'Students (Vertical)'!O:O&lt;&gt;"""",'Students (Vertical)'!P:P&gt;1)},{filter('Students (Vertical)'!O:O,'Students (Vertical)'!C:C=B172,'Students (Vertical)'!O:O&lt;&gt;"""",'Students (Vertical)'!P:P&gt;1);filter('Students (Vertical)'!O:O,'Students (Vertical)'!C:C=E17"&amp;"2,'Students (Vertical)'!O:O&lt;&gt;"""",'Students (Vertical)'!P:P&gt;1)})&gt;1))),""""),"""")"),"")</f>
        <v/>
      </c>
      <c r="K172" s="358"/>
    </row>
    <row r="173">
      <c r="A173" s="300" t="s">
        <v>22</v>
      </c>
      <c r="C173" s="300" t="s">
        <v>22</v>
      </c>
      <c r="D173" s="300" t="s">
        <v>22</v>
      </c>
      <c r="F173" s="300" t="s">
        <v>22</v>
      </c>
      <c r="G173" s="300" t="s">
        <v>22</v>
      </c>
      <c r="I173" s="356" t="str">
        <f>IFERROR(__xludf.DUMMYFUNCTION("if(H173=""Must be Together"",iferror(join("", "",unique(filter({filter('Students (Vertical)'!O:O,'Students (Vertical)'!C:C=B173,'Students (Vertical)'!O:O&lt;&gt;"""");filter('Students (Vertical)'!O:O,'Students (Vertical)'!C:C=E173,'Students (Vertical)'!O:O&lt;&gt;"""&amp;""")},countifs({filter('Students (Vertical)'!O:O,'Students (Vertical)'!C:C=B173,'Students (Vertical)'!O:O&lt;&gt;"""");filter('Students (Vertical)'!O:O,'Students (Vertical)'!C:C=E173,'Students (Vertical)'!O:O&lt;&gt;"""")},{filter('Students (Vertical)'!O:O,'Students ("&amp;"Vertical)'!C:C=B173,'Students (Vertical)'!O:O&lt;&gt;"""");filter('Students (Vertical)'!O:O,'Students (Vertical)'!C:C=E173,'Students (Vertical)'!O:O&lt;&gt;"""")})&gt;1))),""No shared courses""),"""")"),"")</f>
        <v/>
      </c>
      <c r="J173" s="357" t="str">
        <f>IFERROR(__xludf.DUMMYFUNCTION("if(H173=""Can't be Together"",iferror(join("", "",unique(filter({filter('Students (Vertical)'!O:O,'Students (Vertical)'!C:C=B173,'Students (Vertical)'!O:O&lt;&gt;"""",'Students (Vertical)'!P:P&gt;1);filter('Students (Vertical)'!O:O,'Students (Vertical)'!C:C=E173,'"&amp;"Students (Vertical)'!O:O&lt;&gt;"""",'Students (Vertical)'!P:P&gt;1)},countifs({filter('Students (Vertical)'!O:O,'Students (Vertical)'!C:C=B173,'Students (Vertical)'!O:O&lt;&gt;"""",'Students (Vertical)'!P:P&gt;1);filter('Students (Vertical)'!O:O,'Students (Vertical)'!C:C="&amp;"E173,'Students (Vertical)'!O:O&lt;&gt;"""",'Students (Vertical)'!P:P&gt;1)},{filter('Students (Vertical)'!O:O,'Students (Vertical)'!C:C=B173,'Students (Vertical)'!O:O&lt;&gt;"""",'Students (Vertical)'!P:P&gt;1);filter('Students (Vertical)'!O:O,'Students (Vertical)'!C:C=E17"&amp;"3,'Students (Vertical)'!O:O&lt;&gt;"""",'Students (Vertical)'!P:P&gt;1)})&gt;1))),""""),"""")"),"")</f>
        <v/>
      </c>
      <c r="K173" s="358"/>
    </row>
    <row r="174">
      <c r="A174" s="300" t="s">
        <v>22</v>
      </c>
      <c r="C174" s="300" t="s">
        <v>22</v>
      </c>
      <c r="D174" s="300" t="s">
        <v>22</v>
      </c>
      <c r="F174" s="300" t="s">
        <v>22</v>
      </c>
      <c r="G174" s="300" t="s">
        <v>22</v>
      </c>
      <c r="I174" s="356" t="str">
        <f>IFERROR(__xludf.DUMMYFUNCTION("if(H174=""Must be Together"",iferror(join("", "",unique(filter({filter('Students (Vertical)'!O:O,'Students (Vertical)'!C:C=B174,'Students (Vertical)'!O:O&lt;&gt;"""");filter('Students (Vertical)'!O:O,'Students (Vertical)'!C:C=E174,'Students (Vertical)'!O:O&lt;&gt;"""&amp;""")},countifs({filter('Students (Vertical)'!O:O,'Students (Vertical)'!C:C=B174,'Students (Vertical)'!O:O&lt;&gt;"""");filter('Students (Vertical)'!O:O,'Students (Vertical)'!C:C=E174,'Students (Vertical)'!O:O&lt;&gt;"""")},{filter('Students (Vertical)'!O:O,'Students ("&amp;"Vertical)'!C:C=B174,'Students (Vertical)'!O:O&lt;&gt;"""");filter('Students (Vertical)'!O:O,'Students (Vertical)'!C:C=E174,'Students (Vertical)'!O:O&lt;&gt;"""")})&gt;1))),""No shared courses""),"""")"),"")</f>
        <v/>
      </c>
      <c r="J174" s="357" t="str">
        <f>IFERROR(__xludf.DUMMYFUNCTION("if(H174=""Can't be Together"",iferror(join("", "",unique(filter({filter('Students (Vertical)'!O:O,'Students (Vertical)'!C:C=B174,'Students (Vertical)'!O:O&lt;&gt;"""",'Students (Vertical)'!P:P&gt;1);filter('Students (Vertical)'!O:O,'Students (Vertical)'!C:C=E174,'"&amp;"Students (Vertical)'!O:O&lt;&gt;"""",'Students (Vertical)'!P:P&gt;1)},countifs({filter('Students (Vertical)'!O:O,'Students (Vertical)'!C:C=B174,'Students (Vertical)'!O:O&lt;&gt;"""",'Students (Vertical)'!P:P&gt;1);filter('Students (Vertical)'!O:O,'Students (Vertical)'!C:C="&amp;"E174,'Students (Vertical)'!O:O&lt;&gt;"""",'Students (Vertical)'!P:P&gt;1)},{filter('Students (Vertical)'!O:O,'Students (Vertical)'!C:C=B174,'Students (Vertical)'!O:O&lt;&gt;"""",'Students (Vertical)'!P:P&gt;1);filter('Students (Vertical)'!O:O,'Students (Vertical)'!C:C=E17"&amp;"4,'Students (Vertical)'!O:O&lt;&gt;"""",'Students (Vertical)'!P:P&gt;1)})&gt;1))),""""),"""")"),"")</f>
        <v/>
      </c>
      <c r="K174" s="358"/>
    </row>
    <row r="175">
      <c r="A175" s="300" t="s">
        <v>22</v>
      </c>
      <c r="C175" s="300" t="s">
        <v>22</v>
      </c>
      <c r="D175" s="300" t="s">
        <v>22</v>
      </c>
      <c r="F175" s="300" t="s">
        <v>22</v>
      </c>
      <c r="G175" s="300" t="s">
        <v>22</v>
      </c>
      <c r="I175" s="356" t="str">
        <f>IFERROR(__xludf.DUMMYFUNCTION("if(H175=""Must be Together"",iferror(join("", "",unique(filter({filter('Students (Vertical)'!O:O,'Students (Vertical)'!C:C=B175,'Students (Vertical)'!O:O&lt;&gt;"""");filter('Students (Vertical)'!O:O,'Students (Vertical)'!C:C=E175,'Students (Vertical)'!O:O&lt;&gt;"""&amp;""")},countifs({filter('Students (Vertical)'!O:O,'Students (Vertical)'!C:C=B175,'Students (Vertical)'!O:O&lt;&gt;"""");filter('Students (Vertical)'!O:O,'Students (Vertical)'!C:C=E175,'Students (Vertical)'!O:O&lt;&gt;"""")},{filter('Students (Vertical)'!O:O,'Students ("&amp;"Vertical)'!C:C=B175,'Students (Vertical)'!O:O&lt;&gt;"""");filter('Students (Vertical)'!O:O,'Students (Vertical)'!C:C=E175,'Students (Vertical)'!O:O&lt;&gt;"""")})&gt;1))),""No shared courses""),"""")"),"")</f>
        <v/>
      </c>
      <c r="J175" s="357" t="str">
        <f>IFERROR(__xludf.DUMMYFUNCTION("if(H175=""Can't be Together"",iferror(join("", "",unique(filter({filter('Students (Vertical)'!O:O,'Students (Vertical)'!C:C=B175,'Students (Vertical)'!O:O&lt;&gt;"""",'Students (Vertical)'!P:P&gt;1);filter('Students (Vertical)'!O:O,'Students (Vertical)'!C:C=E175,'"&amp;"Students (Vertical)'!O:O&lt;&gt;"""",'Students (Vertical)'!P:P&gt;1)},countifs({filter('Students (Vertical)'!O:O,'Students (Vertical)'!C:C=B175,'Students (Vertical)'!O:O&lt;&gt;"""",'Students (Vertical)'!P:P&gt;1);filter('Students (Vertical)'!O:O,'Students (Vertical)'!C:C="&amp;"E175,'Students (Vertical)'!O:O&lt;&gt;"""",'Students (Vertical)'!P:P&gt;1)},{filter('Students (Vertical)'!O:O,'Students (Vertical)'!C:C=B175,'Students (Vertical)'!O:O&lt;&gt;"""",'Students (Vertical)'!P:P&gt;1);filter('Students (Vertical)'!O:O,'Students (Vertical)'!C:C=E17"&amp;"5,'Students (Vertical)'!O:O&lt;&gt;"""",'Students (Vertical)'!P:P&gt;1)})&gt;1))),""""),"""")"),"")</f>
        <v/>
      </c>
      <c r="K175" s="358"/>
    </row>
    <row r="176">
      <c r="A176" s="300" t="s">
        <v>22</v>
      </c>
      <c r="C176" s="300" t="s">
        <v>22</v>
      </c>
      <c r="D176" s="300" t="s">
        <v>22</v>
      </c>
      <c r="F176" s="300" t="s">
        <v>22</v>
      </c>
      <c r="G176" s="300" t="s">
        <v>22</v>
      </c>
      <c r="I176" s="356" t="str">
        <f>IFERROR(__xludf.DUMMYFUNCTION("if(H176=""Must be Together"",iferror(join("", "",unique(filter({filter('Students (Vertical)'!O:O,'Students (Vertical)'!C:C=B176,'Students (Vertical)'!O:O&lt;&gt;"""");filter('Students (Vertical)'!O:O,'Students (Vertical)'!C:C=E176,'Students (Vertical)'!O:O&lt;&gt;"""&amp;""")},countifs({filter('Students (Vertical)'!O:O,'Students (Vertical)'!C:C=B176,'Students (Vertical)'!O:O&lt;&gt;"""");filter('Students (Vertical)'!O:O,'Students (Vertical)'!C:C=E176,'Students (Vertical)'!O:O&lt;&gt;"""")},{filter('Students (Vertical)'!O:O,'Students ("&amp;"Vertical)'!C:C=B176,'Students (Vertical)'!O:O&lt;&gt;"""");filter('Students (Vertical)'!O:O,'Students (Vertical)'!C:C=E176,'Students (Vertical)'!O:O&lt;&gt;"""")})&gt;1))),""No shared courses""),"""")"),"")</f>
        <v/>
      </c>
      <c r="J176" s="357" t="str">
        <f>IFERROR(__xludf.DUMMYFUNCTION("if(H176=""Can't be Together"",iferror(join("", "",unique(filter({filter('Students (Vertical)'!O:O,'Students (Vertical)'!C:C=B176,'Students (Vertical)'!O:O&lt;&gt;"""",'Students (Vertical)'!P:P&gt;1);filter('Students (Vertical)'!O:O,'Students (Vertical)'!C:C=E176,'"&amp;"Students (Vertical)'!O:O&lt;&gt;"""",'Students (Vertical)'!P:P&gt;1)},countifs({filter('Students (Vertical)'!O:O,'Students (Vertical)'!C:C=B176,'Students (Vertical)'!O:O&lt;&gt;"""",'Students (Vertical)'!P:P&gt;1);filter('Students (Vertical)'!O:O,'Students (Vertical)'!C:C="&amp;"E176,'Students (Vertical)'!O:O&lt;&gt;"""",'Students (Vertical)'!P:P&gt;1)},{filter('Students (Vertical)'!O:O,'Students (Vertical)'!C:C=B176,'Students (Vertical)'!O:O&lt;&gt;"""",'Students (Vertical)'!P:P&gt;1);filter('Students (Vertical)'!O:O,'Students (Vertical)'!C:C=E17"&amp;"6,'Students (Vertical)'!O:O&lt;&gt;"""",'Students (Vertical)'!P:P&gt;1)})&gt;1))),""""),"""")"),"")</f>
        <v/>
      </c>
      <c r="K176" s="358"/>
    </row>
    <row r="177">
      <c r="A177" s="300" t="s">
        <v>22</v>
      </c>
      <c r="C177" s="300" t="s">
        <v>22</v>
      </c>
      <c r="D177" s="300" t="s">
        <v>22</v>
      </c>
      <c r="F177" s="300" t="s">
        <v>22</v>
      </c>
      <c r="G177" s="300" t="s">
        <v>22</v>
      </c>
      <c r="I177" s="356" t="str">
        <f>IFERROR(__xludf.DUMMYFUNCTION("if(H177=""Must be Together"",iferror(join("", "",unique(filter({filter('Students (Vertical)'!O:O,'Students (Vertical)'!C:C=B177,'Students (Vertical)'!O:O&lt;&gt;"""");filter('Students (Vertical)'!O:O,'Students (Vertical)'!C:C=E177,'Students (Vertical)'!O:O&lt;&gt;"""&amp;""")},countifs({filter('Students (Vertical)'!O:O,'Students (Vertical)'!C:C=B177,'Students (Vertical)'!O:O&lt;&gt;"""");filter('Students (Vertical)'!O:O,'Students (Vertical)'!C:C=E177,'Students (Vertical)'!O:O&lt;&gt;"""")},{filter('Students (Vertical)'!O:O,'Students ("&amp;"Vertical)'!C:C=B177,'Students (Vertical)'!O:O&lt;&gt;"""");filter('Students (Vertical)'!O:O,'Students (Vertical)'!C:C=E177,'Students (Vertical)'!O:O&lt;&gt;"""")})&gt;1))),""No shared courses""),"""")"),"")</f>
        <v/>
      </c>
      <c r="J177" s="357" t="str">
        <f>IFERROR(__xludf.DUMMYFUNCTION("if(H177=""Can't be Together"",iferror(join("", "",unique(filter({filter('Students (Vertical)'!O:O,'Students (Vertical)'!C:C=B177,'Students (Vertical)'!O:O&lt;&gt;"""",'Students (Vertical)'!P:P&gt;1);filter('Students (Vertical)'!O:O,'Students (Vertical)'!C:C=E177,'"&amp;"Students (Vertical)'!O:O&lt;&gt;"""",'Students (Vertical)'!P:P&gt;1)},countifs({filter('Students (Vertical)'!O:O,'Students (Vertical)'!C:C=B177,'Students (Vertical)'!O:O&lt;&gt;"""",'Students (Vertical)'!P:P&gt;1);filter('Students (Vertical)'!O:O,'Students (Vertical)'!C:C="&amp;"E177,'Students (Vertical)'!O:O&lt;&gt;"""",'Students (Vertical)'!P:P&gt;1)},{filter('Students (Vertical)'!O:O,'Students (Vertical)'!C:C=B177,'Students (Vertical)'!O:O&lt;&gt;"""",'Students (Vertical)'!P:P&gt;1);filter('Students (Vertical)'!O:O,'Students (Vertical)'!C:C=E17"&amp;"7,'Students (Vertical)'!O:O&lt;&gt;"""",'Students (Vertical)'!P:P&gt;1)})&gt;1))),""""),"""")"),"")</f>
        <v/>
      </c>
      <c r="K177" s="358"/>
    </row>
    <row r="178">
      <c r="A178" s="300" t="s">
        <v>22</v>
      </c>
      <c r="C178" s="300" t="s">
        <v>22</v>
      </c>
      <c r="D178" s="300" t="s">
        <v>22</v>
      </c>
      <c r="F178" s="300" t="s">
        <v>22</v>
      </c>
      <c r="G178" s="300" t="s">
        <v>22</v>
      </c>
      <c r="I178" s="356" t="str">
        <f>IFERROR(__xludf.DUMMYFUNCTION("if(H178=""Must be Together"",iferror(join("", "",unique(filter({filter('Students (Vertical)'!O:O,'Students (Vertical)'!C:C=B178,'Students (Vertical)'!O:O&lt;&gt;"""");filter('Students (Vertical)'!O:O,'Students (Vertical)'!C:C=E178,'Students (Vertical)'!O:O&lt;&gt;"""&amp;""")},countifs({filter('Students (Vertical)'!O:O,'Students (Vertical)'!C:C=B178,'Students (Vertical)'!O:O&lt;&gt;"""");filter('Students (Vertical)'!O:O,'Students (Vertical)'!C:C=E178,'Students (Vertical)'!O:O&lt;&gt;"""")},{filter('Students (Vertical)'!O:O,'Students ("&amp;"Vertical)'!C:C=B178,'Students (Vertical)'!O:O&lt;&gt;"""");filter('Students (Vertical)'!O:O,'Students (Vertical)'!C:C=E178,'Students (Vertical)'!O:O&lt;&gt;"""")})&gt;1))),""No shared courses""),"""")"),"")</f>
        <v/>
      </c>
      <c r="J178" s="357" t="str">
        <f>IFERROR(__xludf.DUMMYFUNCTION("if(H178=""Can't be Together"",iferror(join("", "",unique(filter({filter('Students (Vertical)'!O:O,'Students (Vertical)'!C:C=B178,'Students (Vertical)'!O:O&lt;&gt;"""",'Students (Vertical)'!P:P&gt;1);filter('Students (Vertical)'!O:O,'Students (Vertical)'!C:C=E178,'"&amp;"Students (Vertical)'!O:O&lt;&gt;"""",'Students (Vertical)'!P:P&gt;1)},countifs({filter('Students (Vertical)'!O:O,'Students (Vertical)'!C:C=B178,'Students (Vertical)'!O:O&lt;&gt;"""",'Students (Vertical)'!P:P&gt;1);filter('Students (Vertical)'!O:O,'Students (Vertical)'!C:C="&amp;"E178,'Students (Vertical)'!O:O&lt;&gt;"""",'Students (Vertical)'!P:P&gt;1)},{filter('Students (Vertical)'!O:O,'Students (Vertical)'!C:C=B178,'Students (Vertical)'!O:O&lt;&gt;"""",'Students (Vertical)'!P:P&gt;1);filter('Students (Vertical)'!O:O,'Students (Vertical)'!C:C=E17"&amp;"8,'Students (Vertical)'!O:O&lt;&gt;"""",'Students (Vertical)'!P:P&gt;1)})&gt;1))),""""),"""")"),"")</f>
        <v/>
      </c>
      <c r="K178" s="358"/>
    </row>
    <row r="179">
      <c r="A179" s="300" t="s">
        <v>22</v>
      </c>
      <c r="C179" s="300" t="s">
        <v>22</v>
      </c>
      <c r="D179" s="300" t="s">
        <v>22</v>
      </c>
      <c r="F179" s="300" t="s">
        <v>22</v>
      </c>
      <c r="G179" s="300" t="s">
        <v>22</v>
      </c>
      <c r="I179" s="356" t="str">
        <f>IFERROR(__xludf.DUMMYFUNCTION("if(H179=""Must be Together"",iferror(join("", "",unique(filter({filter('Students (Vertical)'!O:O,'Students (Vertical)'!C:C=B179,'Students (Vertical)'!O:O&lt;&gt;"""");filter('Students (Vertical)'!O:O,'Students (Vertical)'!C:C=E179,'Students (Vertical)'!O:O&lt;&gt;"""&amp;""")},countifs({filter('Students (Vertical)'!O:O,'Students (Vertical)'!C:C=B179,'Students (Vertical)'!O:O&lt;&gt;"""");filter('Students (Vertical)'!O:O,'Students (Vertical)'!C:C=E179,'Students (Vertical)'!O:O&lt;&gt;"""")},{filter('Students (Vertical)'!O:O,'Students ("&amp;"Vertical)'!C:C=B179,'Students (Vertical)'!O:O&lt;&gt;"""");filter('Students (Vertical)'!O:O,'Students (Vertical)'!C:C=E179,'Students (Vertical)'!O:O&lt;&gt;"""")})&gt;1))),""No shared courses""),"""")"),"")</f>
        <v/>
      </c>
      <c r="J179" s="357" t="str">
        <f>IFERROR(__xludf.DUMMYFUNCTION("if(H179=""Can't be Together"",iferror(join("", "",unique(filter({filter('Students (Vertical)'!O:O,'Students (Vertical)'!C:C=B179,'Students (Vertical)'!O:O&lt;&gt;"""",'Students (Vertical)'!P:P&gt;1);filter('Students (Vertical)'!O:O,'Students (Vertical)'!C:C=E179,'"&amp;"Students (Vertical)'!O:O&lt;&gt;"""",'Students (Vertical)'!P:P&gt;1)},countifs({filter('Students (Vertical)'!O:O,'Students (Vertical)'!C:C=B179,'Students (Vertical)'!O:O&lt;&gt;"""",'Students (Vertical)'!P:P&gt;1);filter('Students (Vertical)'!O:O,'Students (Vertical)'!C:C="&amp;"E179,'Students (Vertical)'!O:O&lt;&gt;"""",'Students (Vertical)'!P:P&gt;1)},{filter('Students (Vertical)'!O:O,'Students (Vertical)'!C:C=B179,'Students (Vertical)'!O:O&lt;&gt;"""",'Students (Vertical)'!P:P&gt;1);filter('Students (Vertical)'!O:O,'Students (Vertical)'!C:C=E17"&amp;"9,'Students (Vertical)'!O:O&lt;&gt;"""",'Students (Vertical)'!P:P&gt;1)})&gt;1))),""""),"""")"),"")</f>
        <v/>
      </c>
      <c r="K179" s="358"/>
    </row>
    <row r="180">
      <c r="A180" s="300" t="s">
        <v>22</v>
      </c>
      <c r="C180" s="300" t="s">
        <v>22</v>
      </c>
      <c r="D180" s="300" t="s">
        <v>22</v>
      </c>
      <c r="F180" s="300" t="s">
        <v>22</v>
      </c>
      <c r="G180" s="300" t="s">
        <v>22</v>
      </c>
      <c r="I180" s="356" t="str">
        <f>IFERROR(__xludf.DUMMYFUNCTION("if(H180=""Must be Together"",iferror(join("", "",unique(filter({filter('Students (Vertical)'!O:O,'Students (Vertical)'!C:C=B180,'Students (Vertical)'!O:O&lt;&gt;"""");filter('Students (Vertical)'!O:O,'Students (Vertical)'!C:C=E180,'Students (Vertical)'!O:O&lt;&gt;"""&amp;""")},countifs({filter('Students (Vertical)'!O:O,'Students (Vertical)'!C:C=B180,'Students (Vertical)'!O:O&lt;&gt;"""");filter('Students (Vertical)'!O:O,'Students (Vertical)'!C:C=E180,'Students (Vertical)'!O:O&lt;&gt;"""")},{filter('Students (Vertical)'!O:O,'Students ("&amp;"Vertical)'!C:C=B180,'Students (Vertical)'!O:O&lt;&gt;"""");filter('Students (Vertical)'!O:O,'Students (Vertical)'!C:C=E180,'Students (Vertical)'!O:O&lt;&gt;"""")})&gt;1))),""No shared courses""),"""")"),"")</f>
        <v/>
      </c>
      <c r="J180" s="357" t="str">
        <f>IFERROR(__xludf.DUMMYFUNCTION("if(H180=""Can't be Together"",iferror(join("", "",unique(filter({filter('Students (Vertical)'!O:O,'Students (Vertical)'!C:C=B180,'Students (Vertical)'!O:O&lt;&gt;"""",'Students (Vertical)'!P:P&gt;1);filter('Students (Vertical)'!O:O,'Students (Vertical)'!C:C=E180,'"&amp;"Students (Vertical)'!O:O&lt;&gt;"""",'Students (Vertical)'!P:P&gt;1)},countifs({filter('Students (Vertical)'!O:O,'Students (Vertical)'!C:C=B180,'Students (Vertical)'!O:O&lt;&gt;"""",'Students (Vertical)'!P:P&gt;1);filter('Students (Vertical)'!O:O,'Students (Vertical)'!C:C="&amp;"E180,'Students (Vertical)'!O:O&lt;&gt;"""",'Students (Vertical)'!P:P&gt;1)},{filter('Students (Vertical)'!O:O,'Students (Vertical)'!C:C=B180,'Students (Vertical)'!O:O&lt;&gt;"""",'Students (Vertical)'!P:P&gt;1);filter('Students (Vertical)'!O:O,'Students (Vertical)'!C:C=E18"&amp;"0,'Students (Vertical)'!O:O&lt;&gt;"""",'Students (Vertical)'!P:P&gt;1)})&gt;1))),""""),"""")"),"")</f>
        <v/>
      </c>
      <c r="K180" s="358"/>
    </row>
    <row r="181">
      <c r="A181" s="300" t="s">
        <v>22</v>
      </c>
      <c r="C181" s="300" t="s">
        <v>22</v>
      </c>
      <c r="D181" s="300" t="s">
        <v>22</v>
      </c>
      <c r="F181" s="300" t="s">
        <v>22</v>
      </c>
      <c r="G181" s="300" t="s">
        <v>22</v>
      </c>
      <c r="I181" s="356" t="str">
        <f>IFERROR(__xludf.DUMMYFUNCTION("if(H181=""Must be Together"",iferror(join("", "",unique(filter({filter('Students (Vertical)'!O:O,'Students (Vertical)'!C:C=B181,'Students (Vertical)'!O:O&lt;&gt;"""");filter('Students (Vertical)'!O:O,'Students (Vertical)'!C:C=E181,'Students (Vertical)'!O:O&lt;&gt;"""&amp;""")},countifs({filter('Students (Vertical)'!O:O,'Students (Vertical)'!C:C=B181,'Students (Vertical)'!O:O&lt;&gt;"""");filter('Students (Vertical)'!O:O,'Students (Vertical)'!C:C=E181,'Students (Vertical)'!O:O&lt;&gt;"""")},{filter('Students (Vertical)'!O:O,'Students ("&amp;"Vertical)'!C:C=B181,'Students (Vertical)'!O:O&lt;&gt;"""");filter('Students (Vertical)'!O:O,'Students (Vertical)'!C:C=E181,'Students (Vertical)'!O:O&lt;&gt;"""")})&gt;1))),""No shared courses""),"""")"),"")</f>
        <v/>
      </c>
      <c r="J181" s="357" t="str">
        <f>IFERROR(__xludf.DUMMYFUNCTION("if(H181=""Can't be Together"",iferror(join("", "",unique(filter({filter('Students (Vertical)'!O:O,'Students (Vertical)'!C:C=B181,'Students (Vertical)'!O:O&lt;&gt;"""",'Students (Vertical)'!P:P&gt;1);filter('Students (Vertical)'!O:O,'Students (Vertical)'!C:C=E181,'"&amp;"Students (Vertical)'!O:O&lt;&gt;"""",'Students (Vertical)'!P:P&gt;1)},countifs({filter('Students (Vertical)'!O:O,'Students (Vertical)'!C:C=B181,'Students (Vertical)'!O:O&lt;&gt;"""",'Students (Vertical)'!P:P&gt;1);filter('Students (Vertical)'!O:O,'Students (Vertical)'!C:C="&amp;"E181,'Students (Vertical)'!O:O&lt;&gt;"""",'Students (Vertical)'!P:P&gt;1)},{filter('Students (Vertical)'!O:O,'Students (Vertical)'!C:C=B181,'Students (Vertical)'!O:O&lt;&gt;"""",'Students (Vertical)'!P:P&gt;1);filter('Students (Vertical)'!O:O,'Students (Vertical)'!C:C=E18"&amp;"1,'Students (Vertical)'!O:O&lt;&gt;"""",'Students (Vertical)'!P:P&gt;1)})&gt;1))),""""),"""")"),"")</f>
        <v/>
      </c>
      <c r="K181" s="358"/>
    </row>
    <row r="182">
      <c r="A182" s="300" t="s">
        <v>22</v>
      </c>
      <c r="C182" s="300" t="s">
        <v>22</v>
      </c>
      <c r="D182" s="300" t="s">
        <v>22</v>
      </c>
      <c r="F182" s="300" t="s">
        <v>22</v>
      </c>
      <c r="G182" s="300" t="s">
        <v>22</v>
      </c>
      <c r="I182" s="356" t="str">
        <f>IFERROR(__xludf.DUMMYFUNCTION("if(H182=""Must be Together"",iferror(join("", "",unique(filter({filter('Students (Vertical)'!O:O,'Students (Vertical)'!C:C=B182,'Students (Vertical)'!O:O&lt;&gt;"""");filter('Students (Vertical)'!O:O,'Students (Vertical)'!C:C=E182,'Students (Vertical)'!O:O&lt;&gt;"""&amp;""")},countifs({filter('Students (Vertical)'!O:O,'Students (Vertical)'!C:C=B182,'Students (Vertical)'!O:O&lt;&gt;"""");filter('Students (Vertical)'!O:O,'Students (Vertical)'!C:C=E182,'Students (Vertical)'!O:O&lt;&gt;"""")},{filter('Students (Vertical)'!O:O,'Students ("&amp;"Vertical)'!C:C=B182,'Students (Vertical)'!O:O&lt;&gt;"""");filter('Students (Vertical)'!O:O,'Students (Vertical)'!C:C=E182,'Students (Vertical)'!O:O&lt;&gt;"""")})&gt;1))),""No shared courses""),"""")"),"")</f>
        <v/>
      </c>
      <c r="J182" s="357" t="str">
        <f>IFERROR(__xludf.DUMMYFUNCTION("if(H182=""Can't be Together"",iferror(join("", "",unique(filter({filter('Students (Vertical)'!O:O,'Students (Vertical)'!C:C=B182,'Students (Vertical)'!O:O&lt;&gt;"""",'Students (Vertical)'!P:P&gt;1);filter('Students (Vertical)'!O:O,'Students (Vertical)'!C:C=E182,'"&amp;"Students (Vertical)'!O:O&lt;&gt;"""",'Students (Vertical)'!P:P&gt;1)},countifs({filter('Students (Vertical)'!O:O,'Students (Vertical)'!C:C=B182,'Students (Vertical)'!O:O&lt;&gt;"""",'Students (Vertical)'!P:P&gt;1);filter('Students (Vertical)'!O:O,'Students (Vertical)'!C:C="&amp;"E182,'Students (Vertical)'!O:O&lt;&gt;"""",'Students (Vertical)'!P:P&gt;1)},{filter('Students (Vertical)'!O:O,'Students (Vertical)'!C:C=B182,'Students (Vertical)'!O:O&lt;&gt;"""",'Students (Vertical)'!P:P&gt;1);filter('Students (Vertical)'!O:O,'Students (Vertical)'!C:C=E18"&amp;"2,'Students (Vertical)'!O:O&lt;&gt;"""",'Students (Vertical)'!P:P&gt;1)})&gt;1))),""""),"""")"),"")</f>
        <v/>
      </c>
      <c r="K182" s="358"/>
    </row>
    <row r="183">
      <c r="A183" s="300" t="s">
        <v>22</v>
      </c>
      <c r="C183" s="300" t="s">
        <v>22</v>
      </c>
      <c r="D183" s="300" t="s">
        <v>22</v>
      </c>
      <c r="F183" s="300" t="s">
        <v>22</v>
      </c>
      <c r="G183" s="300" t="s">
        <v>22</v>
      </c>
      <c r="I183" s="356" t="str">
        <f>IFERROR(__xludf.DUMMYFUNCTION("if(H183=""Must be Together"",iferror(join("", "",unique(filter({filter('Students (Vertical)'!O:O,'Students (Vertical)'!C:C=B183,'Students (Vertical)'!O:O&lt;&gt;"""");filter('Students (Vertical)'!O:O,'Students (Vertical)'!C:C=E183,'Students (Vertical)'!O:O&lt;&gt;"""&amp;""")},countifs({filter('Students (Vertical)'!O:O,'Students (Vertical)'!C:C=B183,'Students (Vertical)'!O:O&lt;&gt;"""");filter('Students (Vertical)'!O:O,'Students (Vertical)'!C:C=E183,'Students (Vertical)'!O:O&lt;&gt;"""")},{filter('Students (Vertical)'!O:O,'Students ("&amp;"Vertical)'!C:C=B183,'Students (Vertical)'!O:O&lt;&gt;"""");filter('Students (Vertical)'!O:O,'Students (Vertical)'!C:C=E183,'Students (Vertical)'!O:O&lt;&gt;"""")})&gt;1))),""No shared courses""),"""")"),"")</f>
        <v/>
      </c>
      <c r="J183" s="357" t="str">
        <f>IFERROR(__xludf.DUMMYFUNCTION("if(H183=""Can't be Together"",iferror(join("", "",unique(filter({filter('Students (Vertical)'!O:O,'Students (Vertical)'!C:C=B183,'Students (Vertical)'!O:O&lt;&gt;"""",'Students (Vertical)'!P:P&gt;1);filter('Students (Vertical)'!O:O,'Students (Vertical)'!C:C=E183,'"&amp;"Students (Vertical)'!O:O&lt;&gt;"""",'Students (Vertical)'!P:P&gt;1)},countifs({filter('Students (Vertical)'!O:O,'Students (Vertical)'!C:C=B183,'Students (Vertical)'!O:O&lt;&gt;"""",'Students (Vertical)'!P:P&gt;1);filter('Students (Vertical)'!O:O,'Students (Vertical)'!C:C="&amp;"E183,'Students (Vertical)'!O:O&lt;&gt;"""",'Students (Vertical)'!P:P&gt;1)},{filter('Students (Vertical)'!O:O,'Students (Vertical)'!C:C=B183,'Students (Vertical)'!O:O&lt;&gt;"""",'Students (Vertical)'!P:P&gt;1);filter('Students (Vertical)'!O:O,'Students (Vertical)'!C:C=E18"&amp;"3,'Students (Vertical)'!O:O&lt;&gt;"""",'Students (Vertical)'!P:P&gt;1)})&gt;1))),""""),"""")"),"")</f>
        <v/>
      </c>
      <c r="K183" s="358"/>
    </row>
    <row r="184">
      <c r="A184" s="300" t="s">
        <v>22</v>
      </c>
      <c r="C184" s="300" t="s">
        <v>22</v>
      </c>
      <c r="D184" s="300" t="s">
        <v>22</v>
      </c>
      <c r="F184" s="300" t="s">
        <v>22</v>
      </c>
      <c r="G184" s="300" t="s">
        <v>22</v>
      </c>
      <c r="I184" s="356" t="str">
        <f>IFERROR(__xludf.DUMMYFUNCTION("if(H184=""Must be Together"",iferror(join("", "",unique(filter({filter('Students (Vertical)'!O:O,'Students (Vertical)'!C:C=B184,'Students (Vertical)'!O:O&lt;&gt;"""");filter('Students (Vertical)'!O:O,'Students (Vertical)'!C:C=E184,'Students (Vertical)'!O:O&lt;&gt;"""&amp;""")},countifs({filter('Students (Vertical)'!O:O,'Students (Vertical)'!C:C=B184,'Students (Vertical)'!O:O&lt;&gt;"""");filter('Students (Vertical)'!O:O,'Students (Vertical)'!C:C=E184,'Students (Vertical)'!O:O&lt;&gt;"""")},{filter('Students (Vertical)'!O:O,'Students ("&amp;"Vertical)'!C:C=B184,'Students (Vertical)'!O:O&lt;&gt;"""");filter('Students (Vertical)'!O:O,'Students (Vertical)'!C:C=E184,'Students (Vertical)'!O:O&lt;&gt;"""")})&gt;1))),""No shared courses""),"""")"),"")</f>
        <v/>
      </c>
      <c r="J184" s="357" t="str">
        <f>IFERROR(__xludf.DUMMYFUNCTION("if(H184=""Can't be Together"",iferror(join("", "",unique(filter({filter('Students (Vertical)'!O:O,'Students (Vertical)'!C:C=B184,'Students (Vertical)'!O:O&lt;&gt;"""",'Students (Vertical)'!P:P&gt;1);filter('Students (Vertical)'!O:O,'Students (Vertical)'!C:C=E184,'"&amp;"Students (Vertical)'!O:O&lt;&gt;"""",'Students (Vertical)'!P:P&gt;1)},countifs({filter('Students (Vertical)'!O:O,'Students (Vertical)'!C:C=B184,'Students (Vertical)'!O:O&lt;&gt;"""",'Students (Vertical)'!P:P&gt;1);filter('Students (Vertical)'!O:O,'Students (Vertical)'!C:C="&amp;"E184,'Students (Vertical)'!O:O&lt;&gt;"""",'Students (Vertical)'!P:P&gt;1)},{filter('Students (Vertical)'!O:O,'Students (Vertical)'!C:C=B184,'Students (Vertical)'!O:O&lt;&gt;"""",'Students (Vertical)'!P:P&gt;1);filter('Students (Vertical)'!O:O,'Students (Vertical)'!C:C=E18"&amp;"4,'Students (Vertical)'!O:O&lt;&gt;"""",'Students (Vertical)'!P:P&gt;1)})&gt;1))),""""),"""")"),"")</f>
        <v/>
      </c>
      <c r="K184" s="358"/>
    </row>
    <row r="185">
      <c r="A185" s="300" t="s">
        <v>22</v>
      </c>
      <c r="C185" s="300" t="s">
        <v>22</v>
      </c>
      <c r="D185" s="300" t="s">
        <v>22</v>
      </c>
      <c r="F185" s="300" t="s">
        <v>22</v>
      </c>
      <c r="G185" s="300" t="s">
        <v>22</v>
      </c>
      <c r="I185" s="356" t="str">
        <f>IFERROR(__xludf.DUMMYFUNCTION("if(H185=""Must be Together"",iferror(join("", "",unique(filter({filter('Students (Vertical)'!O:O,'Students (Vertical)'!C:C=B185,'Students (Vertical)'!O:O&lt;&gt;"""");filter('Students (Vertical)'!O:O,'Students (Vertical)'!C:C=E185,'Students (Vertical)'!O:O&lt;&gt;"""&amp;""")},countifs({filter('Students (Vertical)'!O:O,'Students (Vertical)'!C:C=B185,'Students (Vertical)'!O:O&lt;&gt;"""");filter('Students (Vertical)'!O:O,'Students (Vertical)'!C:C=E185,'Students (Vertical)'!O:O&lt;&gt;"""")},{filter('Students (Vertical)'!O:O,'Students ("&amp;"Vertical)'!C:C=B185,'Students (Vertical)'!O:O&lt;&gt;"""");filter('Students (Vertical)'!O:O,'Students (Vertical)'!C:C=E185,'Students (Vertical)'!O:O&lt;&gt;"""")})&gt;1))),""No shared courses""),"""")"),"")</f>
        <v/>
      </c>
      <c r="J185" s="357" t="str">
        <f>IFERROR(__xludf.DUMMYFUNCTION("if(H185=""Can't be Together"",iferror(join("", "",unique(filter({filter('Students (Vertical)'!O:O,'Students (Vertical)'!C:C=B185,'Students (Vertical)'!O:O&lt;&gt;"""",'Students (Vertical)'!P:P&gt;1);filter('Students (Vertical)'!O:O,'Students (Vertical)'!C:C=E185,'"&amp;"Students (Vertical)'!O:O&lt;&gt;"""",'Students (Vertical)'!P:P&gt;1)},countifs({filter('Students (Vertical)'!O:O,'Students (Vertical)'!C:C=B185,'Students (Vertical)'!O:O&lt;&gt;"""",'Students (Vertical)'!P:P&gt;1);filter('Students (Vertical)'!O:O,'Students (Vertical)'!C:C="&amp;"E185,'Students (Vertical)'!O:O&lt;&gt;"""",'Students (Vertical)'!P:P&gt;1)},{filter('Students (Vertical)'!O:O,'Students (Vertical)'!C:C=B185,'Students (Vertical)'!O:O&lt;&gt;"""",'Students (Vertical)'!P:P&gt;1);filter('Students (Vertical)'!O:O,'Students (Vertical)'!C:C=E18"&amp;"5,'Students (Vertical)'!O:O&lt;&gt;"""",'Students (Vertical)'!P:P&gt;1)})&gt;1))),""""),"""")"),"")</f>
        <v/>
      </c>
      <c r="K185" s="358"/>
    </row>
    <row r="186">
      <c r="A186" s="300" t="s">
        <v>22</v>
      </c>
      <c r="C186" s="300" t="s">
        <v>22</v>
      </c>
      <c r="D186" s="300" t="s">
        <v>22</v>
      </c>
      <c r="F186" s="300" t="s">
        <v>22</v>
      </c>
      <c r="G186" s="300" t="s">
        <v>22</v>
      </c>
      <c r="I186" s="356" t="str">
        <f>IFERROR(__xludf.DUMMYFUNCTION("if(H186=""Must be Together"",iferror(join("", "",unique(filter({filter('Students (Vertical)'!O:O,'Students (Vertical)'!C:C=B186,'Students (Vertical)'!O:O&lt;&gt;"""");filter('Students (Vertical)'!O:O,'Students (Vertical)'!C:C=E186,'Students (Vertical)'!O:O&lt;&gt;"""&amp;""")},countifs({filter('Students (Vertical)'!O:O,'Students (Vertical)'!C:C=B186,'Students (Vertical)'!O:O&lt;&gt;"""");filter('Students (Vertical)'!O:O,'Students (Vertical)'!C:C=E186,'Students (Vertical)'!O:O&lt;&gt;"""")},{filter('Students (Vertical)'!O:O,'Students ("&amp;"Vertical)'!C:C=B186,'Students (Vertical)'!O:O&lt;&gt;"""");filter('Students (Vertical)'!O:O,'Students (Vertical)'!C:C=E186,'Students (Vertical)'!O:O&lt;&gt;"""")})&gt;1))),""No shared courses""),"""")"),"")</f>
        <v/>
      </c>
      <c r="J186" s="357" t="str">
        <f>IFERROR(__xludf.DUMMYFUNCTION("if(H186=""Can't be Together"",iferror(join("", "",unique(filter({filter('Students (Vertical)'!O:O,'Students (Vertical)'!C:C=B186,'Students (Vertical)'!O:O&lt;&gt;"""",'Students (Vertical)'!P:P&gt;1);filter('Students (Vertical)'!O:O,'Students (Vertical)'!C:C=E186,'"&amp;"Students (Vertical)'!O:O&lt;&gt;"""",'Students (Vertical)'!P:P&gt;1)},countifs({filter('Students (Vertical)'!O:O,'Students (Vertical)'!C:C=B186,'Students (Vertical)'!O:O&lt;&gt;"""",'Students (Vertical)'!P:P&gt;1);filter('Students (Vertical)'!O:O,'Students (Vertical)'!C:C="&amp;"E186,'Students (Vertical)'!O:O&lt;&gt;"""",'Students (Vertical)'!P:P&gt;1)},{filter('Students (Vertical)'!O:O,'Students (Vertical)'!C:C=B186,'Students (Vertical)'!O:O&lt;&gt;"""",'Students (Vertical)'!P:P&gt;1);filter('Students (Vertical)'!O:O,'Students (Vertical)'!C:C=E18"&amp;"6,'Students (Vertical)'!O:O&lt;&gt;"""",'Students (Vertical)'!P:P&gt;1)})&gt;1))),""""),"""")"),"")</f>
        <v/>
      </c>
      <c r="K186" s="358"/>
    </row>
    <row r="187">
      <c r="A187" s="300" t="s">
        <v>22</v>
      </c>
      <c r="C187" s="300" t="s">
        <v>22</v>
      </c>
      <c r="D187" s="300" t="s">
        <v>22</v>
      </c>
      <c r="F187" s="300" t="s">
        <v>22</v>
      </c>
      <c r="G187" s="300" t="s">
        <v>22</v>
      </c>
      <c r="I187" s="356" t="str">
        <f>IFERROR(__xludf.DUMMYFUNCTION("if(H187=""Must be Together"",iferror(join("", "",unique(filter({filter('Students (Vertical)'!O:O,'Students (Vertical)'!C:C=B187,'Students (Vertical)'!O:O&lt;&gt;"""");filter('Students (Vertical)'!O:O,'Students (Vertical)'!C:C=E187,'Students (Vertical)'!O:O&lt;&gt;"""&amp;""")},countifs({filter('Students (Vertical)'!O:O,'Students (Vertical)'!C:C=B187,'Students (Vertical)'!O:O&lt;&gt;"""");filter('Students (Vertical)'!O:O,'Students (Vertical)'!C:C=E187,'Students (Vertical)'!O:O&lt;&gt;"""")},{filter('Students (Vertical)'!O:O,'Students ("&amp;"Vertical)'!C:C=B187,'Students (Vertical)'!O:O&lt;&gt;"""");filter('Students (Vertical)'!O:O,'Students (Vertical)'!C:C=E187,'Students (Vertical)'!O:O&lt;&gt;"""")})&gt;1))),""No shared courses""),"""")"),"")</f>
        <v/>
      </c>
      <c r="J187" s="357" t="str">
        <f>IFERROR(__xludf.DUMMYFUNCTION("if(H187=""Can't be Together"",iferror(join("", "",unique(filter({filter('Students (Vertical)'!O:O,'Students (Vertical)'!C:C=B187,'Students (Vertical)'!O:O&lt;&gt;"""",'Students (Vertical)'!P:P&gt;1);filter('Students (Vertical)'!O:O,'Students (Vertical)'!C:C=E187,'"&amp;"Students (Vertical)'!O:O&lt;&gt;"""",'Students (Vertical)'!P:P&gt;1)},countifs({filter('Students (Vertical)'!O:O,'Students (Vertical)'!C:C=B187,'Students (Vertical)'!O:O&lt;&gt;"""",'Students (Vertical)'!P:P&gt;1);filter('Students (Vertical)'!O:O,'Students (Vertical)'!C:C="&amp;"E187,'Students (Vertical)'!O:O&lt;&gt;"""",'Students (Vertical)'!P:P&gt;1)},{filter('Students (Vertical)'!O:O,'Students (Vertical)'!C:C=B187,'Students (Vertical)'!O:O&lt;&gt;"""",'Students (Vertical)'!P:P&gt;1);filter('Students (Vertical)'!O:O,'Students (Vertical)'!C:C=E18"&amp;"7,'Students (Vertical)'!O:O&lt;&gt;"""",'Students (Vertical)'!P:P&gt;1)})&gt;1))),""""),"""")"),"")</f>
        <v/>
      </c>
      <c r="K187" s="358"/>
    </row>
    <row r="188">
      <c r="A188" s="300" t="s">
        <v>22</v>
      </c>
      <c r="C188" s="300" t="s">
        <v>22</v>
      </c>
      <c r="D188" s="300" t="s">
        <v>22</v>
      </c>
      <c r="F188" s="300" t="s">
        <v>22</v>
      </c>
      <c r="G188" s="300" t="s">
        <v>22</v>
      </c>
      <c r="I188" s="356" t="str">
        <f>IFERROR(__xludf.DUMMYFUNCTION("if(H188=""Must be Together"",iferror(join("", "",unique(filter({filter('Students (Vertical)'!O:O,'Students (Vertical)'!C:C=B188,'Students (Vertical)'!O:O&lt;&gt;"""");filter('Students (Vertical)'!O:O,'Students (Vertical)'!C:C=E188,'Students (Vertical)'!O:O&lt;&gt;"""&amp;""")},countifs({filter('Students (Vertical)'!O:O,'Students (Vertical)'!C:C=B188,'Students (Vertical)'!O:O&lt;&gt;"""");filter('Students (Vertical)'!O:O,'Students (Vertical)'!C:C=E188,'Students (Vertical)'!O:O&lt;&gt;"""")},{filter('Students (Vertical)'!O:O,'Students ("&amp;"Vertical)'!C:C=B188,'Students (Vertical)'!O:O&lt;&gt;"""");filter('Students (Vertical)'!O:O,'Students (Vertical)'!C:C=E188,'Students (Vertical)'!O:O&lt;&gt;"""")})&gt;1))),""No shared courses""),"""")"),"")</f>
        <v/>
      </c>
      <c r="J188" s="357" t="str">
        <f>IFERROR(__xludf.DUMMYFUNCTION("if(H188=""Can't be Together"",iferror(join("", "",unique(filter({filter('Students (Vertical)'!O:O,'Students (Vertical)'!C:C=B188,'Students (Vertical)'!O:O&lt;&gt;"""",'Students (Vertical)'!P:P&gt;1);filter('Students (Vertical)'!O:O,'Students (Vertical)'!C:C=E188,'"&amp;"Students (Vertical)'!O:O&lt;&gt;"""",'Students (Vertical)'!P:P&gt;1)},countifs({filter('Students (Vertical)'!O:O,'Students (Vertical)'!C:C=B188,'Students (Vertical)'!O:O&lt;&gt;"""",'Students (Vertical)'!P:P&gt;1);filter('Students (Vertical)'!O:O,'Students (Vertical)'!C:C="&amp;"E188,'Students (Vertical)'!O:O&lt;&gt;"""",'Students (Vertical)'!P:P&gt;1)},{filter('Students (Vertical)'!O:O,'Students (Vertical)'!C:C=B188,'Students (Vertical)'!O:O&lt;&gt;"""",'Students (Vertical)'!P:P&gt;1);filter('Students (Vertical)'!O:O,'Students (Vertical)'!C:C=E18"&amp;"8,'Students (Vertical)'!O:O&lt;&gt;"""",'Students (Vertical)'!P:P&gt;1)})&gt;1))),""""),"""")"),"")</f>
        <v/>
      </c>
      <c r="K188" s="358"/>
    </row>
    <row r="189">
      <c r="A189" s="300" t="s">
        <v>22</v>
      </c>
      <c r="C189" s="300" t="s">
        <v>22</v>
      </c>
      <c r="D189" s="300" t="s">
        <v>22</v>
      </c>
      <c r="F189" s="300" t="s">
        <v>22</v>
      </c>
      <c r="G189" s="300" t="s">
        <v>22</v>
      </c>
      <c r="I189" s="356" t="str">
        <f>IFERROR(__xludf.DUMMYFUNCTION("if(H189=""Must be Together"",iferror(join("", "",unique(filter({filter('Students (Vertical)'!O:O,'Students (Vertical)'!C:C=B189,'Students (Vertical)'!O:O&lt;&gt;"""");filter('Students (Vertical)'!O:O,'Students (Vertical)'!C:C=E189,'Students (Vertical)'!O:O&lt;&gt;"""&amp;""")},countifs({filter('Students (Vertical)'!O:O,'Students (Vertical)'!C:C=B189,'Students (Vertical)'!O:O&lt;&gt;"""");filter('Students (Vertical)'!O:O,'Students (Vertical)'!C:C=E189,'Students (Vertical)'!O:O&lt;&gt;"""")},{filter('Students (Vertical)'!O:O,'Students ("&amp;"Vertical)'!C:C=B189,'Students (Vertical)'!O:O&lt;&gt;"""");filter('Students (Vertical)'!O:O,'Students (Vertical)'!C:C=E189,'Students (Vertical)'!O:O&lt;&gt;"""")})&gt;1))),""No shared courses""),"""")"),"")</f>
        <v/>
      </c>
      <c r="J189" s="357" t="str">
        <f>IFERROR(__xludf.DUMMYFUNCTION("if(H189=""Can't be Together"",iferror(join("", "",unique(filter({filter('Students (Vertical)'!O:O,'Students (Vertical)'!C:C=B189,'Students (Vertical)'!O:O&lt;&gt;"""",'Students (Vertical)'!P:P&gt;1);filter('Students (Vertical)'!O:O,'Students (Vertical)'!C:C=E189,'"&amp;"Students (Vertical)'!O:O&lt;&gt;"""",'Students (Vertical)'!P:P&gt;1)},countifs({filter('Students (Vertical)'!O:O,'Students (Vertical)'!C:C=B189,'Students (Vertical)'!O:O&lt;&gt;"""",'Students (Vertical)'!P:P&gt;1);filter('Students (Vertical)'!O:O,'Students (Vertical)'!C:C="&amp;"E189,'Students (Vertical)'!O:O&lt;&gt;"""",'Students (Vertical)'!P:P&gt;1)},{filter('Students (Vertical)'!O:O,'Students (Vertical)'!C:C=B189,'Students (Vertical)'!O:O&lt;&gt;"""",'Students (Vertical)'!P:P&gt;1);filter('Students (Vertical)'!O:O,'Students (Vertical)'!C:C=E18"&amp;"9,'Students (Vertical)'!O:O&lt;&gt;"""",'Students (Vertical)'!P:P&gt;1)})&gt;1))),""""),"""")"),"")</f>
        <v/>
      </c>
      <c r="K189" s="358"/>
    </row>
    <row r="190">
      <c r="A190" s="300" t="s">
        <v>22</v>
      </c>
      <c r="C190" s="300" t="s">
        <v>22</v>
      </c>
      <c r="D190" s="300" t="s">
        <v>22</v>
      </c>
      <c r="F190" s="300" t="s">
        <v>22</v>
      </c>
      <c r="G190" s="300" t="s">
        <v>22</v>
      </c>
      <c r="I190" s="356" t="str">
        <f>IFERROR(__xludf.DUMMYFUNCTION("if(H190=""Must be Together"",iferror(join("", "",unique(filter({filter('Students (Vertical)'!O:O,'Students (Vertical)'!C:C=B190,'Students (Vertical)'!O:O&lt;&gt;"""");filter('Students (Vertical)'!O:O,'Students (Vertical)'!C:C=E190,'Students (Vertical)'!O:O&lt;&gt;"""&amp;""")},countifs({filter('Students (Vertical)'!O:O,'Students (Vertical)'!C:C=B190,'Students (Vertical)'!O:O&lt;&gt;"""");filter('Students (Vertical)'!O:O,'Students (Vertical)'!C:C=E190,'Students (Vertical)'!O:O&lt;&gt;"""")},{filter('Students (Vertical)'!O:O,'Students ("&amp;"Vertical)'!C:C=B190,'Students (Vertical)'!O:O&lt;&gt;"""");filter('Students (Vertical)'!O:O,'Students (Vertical)'!C:C=E190,'Students (Vertical)'!O:O&lt;&gt;"""")})&gt;1))),""No shared courses""),"""")"),"")</f>
        <v/>
      </c>
      <c r="J190" s="357" t="str">
        <f>IFERROR(__xludf.DUMMYFUNCTION("if(H190=""Can't be Together"",iferror(join("", "",unique(filter({filter('Students (Vertical)'!O:O,'Students (Vertical)'!C:C=B190,'Students (Vertical)'!O:O&lt;&gt;"""",'Students (Vertical)'!P:P&gt;1);filter('Students (Vertical)'!O:O,'Students (Vertical)'!C:C=E190,'"&amp;"Students (Vertical)'!O:O&lt;&gt;"""",'Students (Vertical)'!P:P&gt;1)},countifs({filter('Students (Vertical)'!O:O,'Students (Vertical)'!C:C=B190,'Students (Vertical)'!O:O&lt;&gt;"""",'Students (Vertical)'!P:P&gt;1);filter('Students (Vertical)'!O:O,'Students (Vertical)'!C:C="&amp;"E190,'Students (Vertical)'!O:O&lt;&gt;"""",'Students (Vertical)'!P:P&gt;1)},{filter('Students (Vertical)'!O:O,'Students (Vertical)'!C:C=B190,'Students (Vertical)'!O:O&lt;&gt;"""",'Students (Vertical)'!P:P&gt;1);filter('Students (Vertical)'!O:O,'Students (Vertical)'!C:C=E19"&amp;"0,'Students (Vertical)'!O:O&lt;&gt;"""",'Students (Vertical)'!P:P&gt;1)})&gt;1))),""""),"""")"),"")</f>
        <v/>
      </c>
      <c r="K190" s="358"/>
    </row>
    <row r="191">
      <c r="A191" s="300" t="s">
        <v>22</v>
      </c>
      <c r="C191" s="300" t="s">
        <v>22</v>
      </c>
      <c r="D191" s="300" t="s">
        <v>22</v>
      </c>
      <c r="F191" s="300" t="s">
        <v>22</v>
      </c>
      <c r="G191" s="300" t="s">
        <v>22</v>
      </c>
      <c r="I191" s="356" t="str">
        <f>IFERROR(__xludf.DUMMYFUNCTION("if(H191=""Must be Together"",iferror(join("", "",unique(filter({filter('Students (Vertical)'!O:O,'Students (Vertical)'!C:C=B191,'Students (Vertical)'!O:O&lt;&gt;"""");filter('Students (Vertical)'!O:O,'Students (Vertical)'!C:C=E191,'Students (Vertical)'!O:O&lt;&gt;"""&amp;""")},countifs({filter('Students (Vertical)'!O:O,'Students (Vertical)'!C:C=B191,'Students (Vertical)'!O:O&lt;&gt;"""");filter('Students (Vertical)'!O:O,'Students (Vertical)'!C:C=E191,'Students (Vertical)'!O:O&lt;&gt;"""")},{filter('Students (Vertical)'!O:O,'Students ("&amp;"Vertical)'!C:C=B191,'Students (Vertical)'!O:O&lt;&gt;"""");filter('Students (Vertical)'!O:O,'Students (Vertical)'!C:C=E191,'Students (Vertical)'!O:O&lt;&gt;"""")})&gt;1))),""No shared courses""),"""")"),"")</f>
        <v/>
      </c>
      <c r="J191" s="357" t="str">
        <f>IFERROR(__xludf.DUMMYFUNCTION("if(H191=""Can't be Together"",iferror(join("", "",unique(filter({filter('Students (Vertical)'!O:O,'Students (Vertical)'!C:C=B191,'Students (Vertical)'!O:O&lt;&gt;"""",'Students (Vertical)'!P:P&gt;1);filter('Students (Vertical)'!O:O,'Students (Vertical)'!C:C=E191,'"&amp;"Students (Vertical)'!O:O&lt;&gt;"""",'Students (Vertical)'!P:P&gt;1)},countifs({filter('Students (Vertical)'!O:O,'Students (Vertical)'!C:C=B191,'Students (Vertical)'!O:O&lt;&gt;"""",'Students (Vertical)'!P:P&gt;1);filter('Students (Vertical)'!O:O,'Students (Vertical)'!C:C="&amp;"E191,'Students (Vertical)'!O:O&lt;&gt;"""",'Students (Vertical)'!P:P&gt;1)},{filter('Students (Vertical)'!O:O,'Students (Vertical)'!C:C=B191,'Students (Vertical)'!O:O&lt;&gt;"""",'Students (Vertical)'!P:P&gt;1);filter('Students (Vertical)'!O:O,'Students (Vertical)'!C:C=E19"&amp;"1,'Students (Vertical)'!O:O&lt;&gt;"""",'Students (Vertical)'!P:P&gt;1)})&gt;1))),""""),"""")"),"")</f>
        <v/>
      </c>
      <c r="K191" s="358"/>
    </row>
    <row r="192">
      <c r="A192" s="300" t="s">
        <v>22</v>
      </c>
      <c r="C192" s="300" t="s">
        <v>22</v>
      </c>
      <c r="D192" s="300" t="s">
        <v>22</v>
      </c>
      <c r="F192" s="300" t="s">
        <v>22</v>
      </c>
      <c r="G192" s="300" t="s">
        <v>22</v>
      </c>
      <c r="I192" s="356" t="str">
        <f>IFERROR(__xludf.DUMMYFUNCTION("if(H192=""Must be Together"",iferror(join("", "",unique(filter({filter('Students (Vertical)'!O:O,'Students (Vertical)'!C:C=B192,'Students (Vertical)'!O:O&lt;&gt;"""");filter('Students (Vertical)'!O:O,'Students (Vertical)'!C:C=E192,'Students (Vertical)'!O:O&lt;&gt;"""&amp;""")},countifs({filter('Students (Vertical)'!O:O,'Students (Vertical)'!C:C=B192,'Students (Vertical)'!O:O&lt;&gt;"""");filter('Students (Vertical)'!O:O,'Students (Vertical)'!C:C=E192,'Students (Vertical)'!O:O&lt;&gt;"""")},{filter('Students (Vertical)'!O:O,'Students ("&amp;"Vertical)'!C:C=B192,'Students (Vertical)'!O:O&lt;&gt;"""");filter('Students (Vertical)'!O:O,'Students (Vertical)'!C:C=E192,'Students (Vertical)'!O:O&lt;&gt;"""")})&gt;1))),""No shared courses""),"""")"),"")</f>
        <v/>
      </c>
      <c r="J192" s="357" t="str">
        <f>IFERROR(__xludf.DUMMYFUNCTION("if(H192=""Can't be Together"",iferror(join("", "",unique(filter({filter('Students (Vertical)'!O:O,'Students (Vertical)'!C:C=B192,'Students (Vertical)'!O:O&lt;&gt;"""",'Students (Vertical)'!P:P&gt;1);filter('Students (Vertical)'!O:O,'Students (Vertical)'!C:C=E192,'"&amp;"Students (Vertical)'!O:O&lt;&gt;"""",'Students (Vertical)'!P:P&gt;1)},countifs({filter('Students (Vertical)'!O:O,'Students (Vertical)'!C:C=B192,'Students (Vertical)'!O:O&lt;&gt;"""",'Students (Vertical)'!P:P&gt;1);filter('Students (Vertical)'!O:O,'Students (Vertical)'!C:C="&amp;"E192,'Students (Vertical)'!O:O&lt;&gt;"""",'Students (Vertical)'!P:P&gt;1)},{filter('Students (Vertical)'!O:O,'Students (Vertical)'!C:C=B192,'Students (Vertical)'!O:O&lt;&gt;"""",'Students (Vertical)'!P:P&gt;1);filter('Students (Vertical)'!O:O,'Students (Vertical)'!C:C=E19"&amp;"2,'Students (Vertical)'!O:O&lt;&gt;"""",'Students (Vertical)'!P:P&gt;1)})&gt;1))),""""),"""")"),"")</f>
        <v/>
      </c>
      <c r="K192" s="358"/>
    </row>
    <row r="193">
      <c r="A193" s="300" t="s">
        <v>22</v>
      </c>
      <c r="C193" s="300" t="s">
        <v>22</v>
      </c>
      <c r="D193" s="300" t="s">
        <v>22</v>
      </c>
      <c r="F193" s="300" t="s">
        <v>22</v>
      </c>
      <c r="G193" s="300" t="s">
        <v>22</v>
      </c>
      <c r="I193" s="356" t="str">
        <f>IFERROR(__xludf.DUMMYFUNCTION("if(H193=""Must be Together"",iferror(join("", "",unique(filter({filter('Students (Vertical)'!O:O,'Students (Vertical)'!C:C=B193,'Students (Vertical)'!O:O&lt;&gt;"""");filter('Students (Vertical)'!O:O,'Students (Vertical)'!C:C=E193,'Students (Vertical)'!O:O&lt;&gt;"""&amp;""")},countifs({filter('Students (Vertical)'!O:O,'Students (Vertical)'!C:C=B193,'Students (Vertical)'!O:O&lt;&gt;"""");filter('Students (Vertical)'!O:O,'Students (Vertical)'!C:C=E193,'Students (Vertical)'!O:O&lt;&gt;"""")},{filter('Students (Vertical)'!O:O,'Students ("&amp;"Vertical)'!C:C=B193,'Students (Vertical)'!O:O&lt;&gt;"""");filter('Students (Vertical)'!O:O,'Students (Vertical)'!C:C=E193,'Students (Vertical)'!O:O&lt;&gt;"""")})&gt;1))),""No shared courses""),"""")"),"")</f>
        <v/>
      </c>
      <c r="J193" s="357" t="str">
        <f>IFERROR(__xludf.DUMMYFUNCTION("if(H193=""Can't be Together"",iferror(join("", "",unique(filter({filter('Students (Vertical)'!O:O,'Students (Vertical)'!C:C=B193,'Students (Vertical)'!O:O&lt;&gt;"""",'Students (Vertical)'!P:P&gt;1);filter('Students (Vertical)'!O:O,'Students (Vertical)'!C:C=E193,'"&amp;"Students (Vertical)'!O:O&lt;&gt;"""",'Students (Vertical)'!P:P&gt;1)},countifs({filter('Students (Vertical)'!O:O,'Students (Vertical)'!C:C=B193,'Students (Vertical)'!O:O&lt;&gt;"""",'Students (Vertical)'!P:P&gt;1);filter('Students (Vertical)'!O:O,'Students (Vertical)'!C:C="&amp;"E193,'Students (Vertical)'!O:O&lt;&gt;"""",'Students (Vertical)'!P:P&gt;1)},{filter('Students (Vertical)'!O:O,'Students (Vertical)'!C:C=B193,'Students (Vertical)'!O:O&lt;&gt;"""",'Students (Vertical)'!P:P&gt;1);filter('Students (Vertical)'!O:O,'Students (Vertical)'!C:C=E19"&amp;"3,'Students (Vertical)'!O:O&lt;&gt;"""",'Students (Vertical)'!P:P&gt;1)})&gt;1))),""""),"""")"),"")</f>
        <v/>
      </c>
      <c r="K193" s="358"/>
    </row>
    <row r="194">
      <c r="A194" s="300" t="s">
        <v>22</v>
      </c>
      <c r="C194" s="300" t="s">
        <v>22</v>
      </c>
      <c r="D194" s="300" t="s">
        <v>22</v>
      </c>
      <c r="F194" s="300" t="s">
        <v>22</v>
      </c>
      <c r="G194" s="300" t="s">
        <v>22</v>
      </c>
      <c r="I194" s="356" t="str">
        <f>IFERROR(__xludf.DUMMYFUNCTION("if(H194=""Must be Together"",iferror(join("", "",unique(filter({filter('Students (Vertical)'!O:O,'Students (Vertical)'!C:C=B194,'Students (Vertical)'!O:O&lt;&gt;"""");filter('Students (Vertical)'!O:O,'Students (Vertical)'!C:C=E194,'Students (Vertical)'!O:O&lt;&gt;"""&amp;""")},countifs({filter('Students (Vertical)'!O:O,'Students (Vertical)'!C:C=B194,'Students (Vertical)'!O:O&lt;&gt;"""");filter('Students (Vertical)'!O:O,'Students (Vertical)'!C:C=E194,'Students (Vertical)'!O:O&lt;&gt;"""")},{filter('Students (Vertical)'!O:O,'Students ("&amp;"Vertical)'!C:C=B194,'Students (Vertical)'!O:O&lt;&gt;"""");filter('Students (Vertical)'!O:O,'Students (Vertical)'!C:C=E194,'Students (Vertical)'!O:O&lt;&gt;"""")})&gt;1))),""No shared courses""),"""")"),"")</f>
        <v/>
      </c>
      <c r="J194" s="357" t="str">
        <f>IFERROR(__xludf.DUMMYFUNCTION("if(H194=""Can't be Together"",iferror(join("", "",unique(filter({filter('Students (Vertical)'!O:O,'Students (Vertical)'!C:C=B194,'Students (Vertical)'!O:O&lt;&gt;"""",'Students (Vertical)'!P:P&gt;1);filter('Students (Vertical)'!O:O,'Students (Vertical)'!C:C=E194,'"&amp;"Students (Vertical)'!O:O&lt;&gt;"""",'Students (Vertical)'!P:P&gt;1)},countifs({filter('Students (Vertical)'!O:O,'Students (Vertical)'!C:C=B194,'Students (Vertical)'!O:O&lt;&gt;"""",'Students (Vertical)'!P:P&gt;1);filter('Students (Vertical)'!O:O,'Students (Vertical)'!C:C="&amp;"E194,'Students (Vertical)'!O:O&lt;&gt;"""",'Students (Vertical)'!P:P&gt;1)},{filter('Students (Vertical)'!O:O,'Students (Vertical)'!C:C=B194,'Students (Vertical)'!O:O&lt;&gt;"""",'Students (Vertical)'!P:P&gt;1);filter('Students (Vertical)'!O:O,'Students (Vertical)'!C:C=E19"&amp;"4,'Students (Vertical)'!O:O&lt;&gt;"""",'Students (Vertical)'!P:P&gt;1)})&gt;1))),""""),"""")"),"")</f>
        <v/>
      </c>
      <c r="K194" s="358"/>
    </row>
    <row r="195">
      <c r="A195" s="300" t="s">
        <v>22</v>
      </c>
      <c r="C195" s="300" t="s">
        <v>22</v>
      </c>
      <c r="D195" s="300" t="s">
        <v>22</v>
      </c>
      <c r="F195" s="300" t="s">
        <v>22</v>
      </c>
      <c r="G195" s="300" t="s">
        <v>22</v>
      </c>
      <c r="I195" s="356" t="str">
        <f>IFERROR(__xludf.DUMMYFUNCTION("if(H195=""Must be Together"",iferror(join("", "",unique(filter({filter('Students (Vertical)'!O:O,'Students (Vertical)'!C:C=B195,'Students (Vertical)'!O:O&lt;&gt;"""");filter('Students (Vertical)'!O:O,'Students (Vertical)'!C:C=E195,'Students (Vertical)'!O:O&lt;&gt;"""&amp;""")},countifs({filter('Students (Vertical)'!O:O,'Students (Vertical)'!C:C=B195,'Students (Vertical)'!O:O&lt;&gt;"""");filter('Students (Vertical)'!O:O,'Students (Vertical)'!C:C=E195,'Students (Vertical)'!O:O&lt;&gt;"""")},{filter('Students (Vertical)'!O:O,'Students ("&amp;"Vertical)'!C:C=B195,'Students (Vertical)'!O:O&lt;&gt;"""");filter('Students (Vertical)'!O:O,'Students (Vertical)'!C:C=E195,'Students (Vertical)'!O:O&lt;&gt;"""")})&gt;1))),""No shared courses""),"""")"),"")</f>
        <v/>
      </c>
      <c r="J195" s="357" t="str">
        <f>IFERROR(__xludf.DUMMYFUNCTION("if(H195=""Can't be Together"",iferror(join("", "",unique(filter({filter('Students (Vertical)'!O:O,'Students (Vertical)'!C:C=B195,'Students (Vertical)'!O:O&lt;&gt;"""",'Students (Vertical)'!P:P&gt;1);filter('Students (Vertical)'!O:O,'Students (Vertical)'!C:C=E195,'"&amp;"Students (Vertical)'!O:O&lt;&gt;"""",'Students (Vertical)'!P:P&gt;1)},countifs({filter('Students (Vertical)'!O:O,'Students (Vertical)'!C:C=B195,'Students (Vertical)'!O:O&lt;&gt;"""",'Students (Vertical)'!P:P&gt;1);filter('Students (Vertical)'!O:O,'Students (Vertical)'!C:C="&amp;"E195,'Students (Vertical)'!O:O&lt;&gt;"""",'Students (Vertical)'!P:P&gt;1)},{filter('Students (Vertical)'!O:O,'Students (Vertical)'!C:C=B195,'Students (Vertical)'!O:O&lt;&gt;"""",'Students (Vertical)'!P:P&gt;1);filter('Students (Vertical)'!O:O,'Students (Vertical)'!C:C=E19"&amp;"5,'Students (Vertical)'!O:O&lt;&gt;"""",'Students (Vertical)'!P:P&gt;1)})&gt;1))),""""),"""")"),"")</f>
        <v/>
      </c>
      <c r="K195" s="358"/>
    </row>
    <row r="196">
      <c r="A196" s="300" t="s">
        <v>22</v>
      </c>
      <c r="C196" s="300" t="s">
        <v>22</v>
      </c>
      <c r="D196" s="300" t="s">
        <v>22</v>
      </c>
      <c r="F196" s="300" t="s">
        <v>22</v>
      </c>
      <c r="G196" s="300" t="s">
        <v>22</v>
      </c>
      <c r="I196" s="356" t="str">
        <f>IFERROR(__xludf.DUMMYFUNCTION("if(H196=""Must be Together"",iferror(join("", "",unique(filter({filter('Students (Vertical)'!O:O,'Students (Vertical)'!C:C=B196,'Students (Vertical)'!O:O&lt;&gt;"""");filter('Students (Vertical)'!O:O,'Students (Vertical)'!C:C=E196,'Students (Vertical)'!O:O&lt;&gt;"""&amp;""")},countifs({filter('Students (Vertical)'!O:O,'Students (Vertical)'!C:C=B196,'Students (Vertical)'!O:O&lt;&gt;"""");filter('Students (Vertical)'!O:O,'Students (Vertical)'!C:C=E196,'Students (Vertical)'!O:O&lt;&gt;"""")},{filter('Students (Vertical)'!O:O,'Students ("&amp;"Vertical)'!C:C=B196,'Students (Vertical)'!O:O&lt;&gt;"""");filter('Students (Vertical)'!O:O,'Students (Vertical)'!C:C=E196,'Students (Vertical)'!O:O&lt;&gt;"""")})&gt;1))),""No shared courses""),"""")"),"")</f>
        <v/>
      </c>
      <c r="J196" s="357" t="str">
        <f>IFERROR(__xludf.DUMMYFUNCTION("if(H196=""Can't be Together"",iferror(join("", "",unique(filter({filter('Students (Vertical)'!O:O,'Students (Vertical)'!C:C=B196,'Students (Vertical)'!O:O&lt;&gt;"""",'Students (Vertical)'!P:P&gt;1);filter('Students (Vertical)'!O:O,'Students (Vertical)'!C:C=E196,'"&amp;"Students (Vertical)'!O:O&lt;&gt;"""",'Students (Vertical)'!P:P&gt;1)},countifs({filter('Students (Vertical)'!O:O,'Students (Vertical)'!C:C=B196,'Students (Vertical)'!O:O&lt;&gt;"""",'Students (Vertical)'!P:P&gt;1);filter('Students (Vertical)'!O:O,'Students (Vertical)'!C:C="&amp;"E196,'Students (Vertical)'!O:O&lt;&gt;"""",'Students (Vertical)'!P:P&gt;1)},{filter('Students (Vertical)'!O:O,'Students (Vertical)'!C:C=B196,'Students (Vertical)'!O:O&lt;&gt;"""",'Students (Vertical)'!P:P&gt;1);filter('Students (Vertical)'!O:O,'Students (Vertical)'!C:C=E19"&amp;"6,'Students (Vertical)'!O:O&lt;&gt;"""",'Students (Vertical)'!P:P&gt;1)})&gt;1))),""""),"""")"),"")</f>
        <v/>
      </c>
      <c r="K196" s="358"/>
    </row>
    <row r="197">
      <c r="A197" s="300" t="s">
        <v>22</v>
      </c>
      <c r="C197" s="300" t="s">
        <v>22</v>
      </c>
      <c r="D197" s="300" t="s">
        <v>22</v>
      </c>
      <c r="F197" s="300" t="s">
        <v>22</v>
      </c>
      <c r="G197" s="300" t="s">
        <v>22</v>
      </c>
      <c r="I197" s="356" t="str">
        <f>IFERROR(__xludf.DUMMYFUNCTION("if(H197=""Must be Together"",iferror(join("", "",unique(filter({filter('Students (Vertical)'!O:O,'Students (Vertical)'!C:C=B197,'Students (Vertical)'!O:O&lt;&gt;"""");filter('Students (Vertical)'!O:O,'Students (Vertical)'!C:C=E197,'Students (Vertical)'!O:O&lt;&gt;"""&amp;""")},countifs({filter('Students (Vertical)'!O:O,'Students (Vertical)'!C:C=B197,'Students (Vertical)'!O:O&lt;&gt;"""");filter('Students (Vertical)'!O:O,'Students (Vertical)'!C:C=E197,'Students (Vertical)'!O:O&lt;&gt;"""")},{filter('Students (Vertical)'!O:O,'Students ("&amp;"Vertical)'!C:C=B197,'Students (Vertical)'!O:O&lt;&gt;"""");filter('Students (Vertical)'!O:O,'Students (Vertical)'!C:C=E197,'Students (Vertical)'!O:O&lt;&gt;"""")})&gt;1))),""No shared courses""),"""")"),"")</f>
        <v/>
      </c>
      <c r="J197" s="357" t="str">
        <f>IFERROR(__xludf.DUMMYFUNCTION("if(H197=""Can't be Together"",iferror(join("", "",unique(filter({filter('Students (Vertical)'!O:O,'Students (Vertical)'!C:C=B197,'Students (Vertical)'!O:O&lt;&gt;"""",'Students (Vertical)'!P:P&gt;1);filter('Students (Vertical)'!O:O,'Students (Vertical)'!C:C=E197,'"&amp;"Students (Vertical)'!O:O&lt;&gt;"""",'Students (Vertical)'!P:P&gt;1)},countifs({filter('Students (Vertical)'!O:O,'Students (Vertical)'!C:C=B197,'Students (Vertical)'!O:O&lt;&gt;"""",'Students (Vertical)'!P:P&gt;1);filter('Students (Vertical)'!O:O,'Students (Vertical)'!C:C="&amp;"E197,'Students (Vertical)'!O:O&lt;&gt;"""",'Students (Vertical)'!P:P&gt;1)},{filter('Students (Vertical)'!O:O,'Students (Vertical)'!C:C=B197,'Students (Vertical)'!O:O&lt;&gt;"""",'Students (Vertical)'!P:P&gt;1);filter('Students (Vertical)'!O:O,'Students (Vertical)'!C:C=E19"&amp;"7,'Students (Vertical)'!O:O&lt;&gt;"""",'Students (Vertical)'!P:P&gt;1)})&gt;1))),""""),"""")"),"")</f>
        <v/>
      </c>
      <c r="K197" s="358"/>
    </row>
    <row r="198">
      <c r="A198" s="300" t="s">
        <v>22</v>
      </c>
      <c r="C198" s="300" t="s">
        <v>22</v>
      </c>
      <c r="D198" s="300" t="s">
        <v>22</v>
      </c>
      <c r="F198" s="300" t="s">
        <v>22</v>
      </c>
      <c r="G198" s="300" t="s">
        <v>22</v>
      </c>
      <c r="I198" s="356" t="str">
        <f>IFERROR(__xludf.DUMMYFUNCTION("if(H198=""Must be Together"",iferror(join("", "",unique(filter({filter('Students (Vertical)'!O:O,'Students (Vertical)'!C:C=B198,'Students (Vertical)'!O:O&lt;&gt;"""");filter('Students (Vertical)'!O:O,'Students (Vertical)'!C:C=E198,'Students (Vertical)'!O:O&lt;&gt;"""&amp;""")},countifs({filter('Students (Vertical)'!O:O,'Students (Vertical)'!C:C=B198,'Students (Vertical)'!O:O&lt;&gt;"""");filter('Students (Vertical)'!O:O,'Students (Vertical)'!C:C=E198,'Students (Vertical)'!O:O&lt;&gt;"""")},{filter('Students (Vertical)'!O:O,'Students ("&amp;"Vertical)'!C:C=B198,'Students (Vertical)'!O:O&lt;&gt;"""");filter('Students (Vertical)'!O:O,'Students (Vertical)'!C:C=E198,'Students (Vertical)'!O:O&lt;&gt;"""")})&gt;1))),""No shared courses""),"""")"),"")</f>
        <v/>
      </c>
      <c r="J198" s="357" t="str">
        <f>IFERROR(__xludf.DUMMYFUNCTION("if(H198=""Can't be Together"",iferror(join("", "",unique(filter({filter('Students (Vertical)'!O:O,'Students (Vertical)'!C:C=B198,'Students (Vertical)'!O:O&lt;&gt;"""",'Students (Vertical)'!P:P&gt;1);filter('Students (Vertical)'!O:O,'Students (Vertical)'!C:C=E198,'"&amp;"Students (Vertical)'!O:O&lt;&gt;"""",'Students (Vertical)'!P:P&gt;1)},countifs({filter('Students (Vertical)'!O:O,'Students (Vertical)'!C:C=B198,'Students (Vertical)'!O:O&lt;&gt;"""",'Students (Vertical)'!P:P&gt;1);filter('Students (Vertical)'!O:O,'Students (Vertical)'!C:C="&amp;"E198,'Students (Vertical)'!O:O&lt;&gt;"""",'Students (Vertical)'!P:P&gt;1)},{filter('Students (Vertical)'!O:O,'Students (Vertical)'!C:C=B198,'Students (Vertical)'!O:O&lt;&gt;"""",'Students (Vertical)'!P:P&gt;1);filter('Students (Vertical)'!O:O,'Students (Vertical)'!C:C=E19"&amp;"8,'Students (Vertical)'!O:O&lt;&gt;"""",'Students (Vertical)'!P:P&gt;1)})&gt;1))),""""),"""")"),"")</f>
        <v/>
      </c>
      <c r="K198" s="358"/>
    </row>
    <row r="199">
      <c r="A199" s="300" t="s">
        <v>22</v>
      </c>
      <c r="C199" s="300" t="s">
        <v>22</v>
      </c>
      <c r="D199" s="300" t="s">
        <v>22</v>
      </c>
      <c r="F199" s="300" t="s">
        <v>22</v>
      </c>
      <c r="G199" s="300" t="s">
        <v>22</v>
      </c>
      <c r="I199" s="356" t="str">
        <f>IFERROR(__xludf.DUMMYFUNCTION("if(H199=""Must be Together"",iferror(join("", "",unique(filter({filter('Students (Vertical)'!O:O,'Students (Vertical)'!C:C=B199,'Students (Vertical)'!O:O&lt;&gt;"""");filter('Students (Vertical)'!O:O,'Students (Vertical)'!C:C=E199,'Students (Vertical)'!O:O&lt;&gt;"""&amp;""")},countifs({filter('Students (Vertical)'!O:O,'Students (Vertical)'!C:C=B199,'Students (Vertical)'!O:O&lt;&gt;"""");filter('Students (Vertical)'!O:O,'Students (Vertical)'!C:C=E199,'Students (Vertical)'!O:O&lt;&gt;"""")},{filter('Students (Vertical)'!O:O,'Students ("&amp;"Vertical)'!C:C=B199,'Students (Vertical)'!O:O&lt;&gt;"""");filter('Students (Vertical)'!O:O,'Students (Vertical)'!C:C=E199,'Students (Vertical)'!O:O&lt;&gt;"""")})&gt;1))),""No shared courses""),"""")"),"")</f>
        <v/>
      </c>
      <c r="J199" s="357" t="str">
        <f>IFERROR(__xludf.DUMMYFUNCTION("if(H199=""Can't be Together"",iferror(join("", "",unique(filter({filter('Students (Vertical)'!O:O,'Students (Vertical)'!C:C=B199,'Students (Vertical)'!O:O&lt;&gt;"""",'Students (Vertical)'!P:P&gt;1);filter('Students (Vertical)'!O:O,'Students (Vertical)'!C:C=E199,'"&amp;"Students (Vertical)'!O:O&lt;&gt;"""",'Students (Vertical)'!P:P&gt;1)},countifs({filter('Students (Vertical)'!O:O,'Students (Vertical)'!C:C=B199,'Students (Vertical)'!O:O&lt;&gt;"""",'Students (Vertical)'!P:P&gt;1);filter('Students (Vertical)'!O:O,'Students (Vertical)'!C:C="&amp;"E199,'Students (Vertical)'!O:O&lt;&gt;"""",'Students (Vertical)'!P:P&gt;1)},{filter('Students (Vertical)'!O:O,'Students (Vertical)'!C:C=B199,'Students (Vertical)'!O:O&lt;&gt;"""",'Students (Vertical)'!P:P&gt;1);filter('Students (Vertical)'!O:O,'Students (Vertical)'!C:C=E19"&amp;"9,'Students (Vertical)'!O:O&lt;&gt;"""",'Students (Vertical)'!P:P&gt;1)})&gt;1))),""""),"""")"),"")</f>
        <v/>
      </c>
      <c r="K199" s="358"/>
    </row>
    <row r="200">
      <c r="A200" s="300" t="s">
        <v>22</v>
      </c>
      <c r="C200" s="300" t="s">
        <v>22</v>
      </c>
      <c r="D200" s="300" t="s">
        <v>22</v>
      </c>
      <c r="F200" s="300" t="s">
        <v>22</v>
      </c>
      <c r="G200" s="300" t="s">
        <v>22</v>
      </c>
      <c r="I200" s="356" t="str">
        <f>IFERROR(__xludf.DUMMYFUNCTION("if(H200=""Must be Together"",iferror(join("", "",unique(filter({filter('Students (Vertical)'!O:O,'Students (Vertical)'!C:C=B200,'Students (Vertical)'!O:O&lt;&gt;"""");filter('Students (Vertical)'!O:O,'Students (Vertical)'!C:C=E200,'Students (Vertical)'!O:O&lt;&gt;"""&amp;""")},countifs({filter('Students (Vertical)'!O:O,'Students (Vertical)'!C:C=B200,'Students (Vertical)'!O:O&lt;&gt;"""");filter('Students (Vertical)'!O:O,'Students (Vertical)'!C:C=E200,'Students (Vertical)'!O:O&lt;&gt;"""")},{filter('Students (Vertical)'!O:O,'Students ("&amp;"Vertical)'!C:C=B200,'Students (Vertical)'!O:O&lt;&gt;"""");filter('Students (Vertical)'!O:O,'Students (Vertical)'!C:C=E200,'Students (Vertical)'!O:O&lt;&gt;"""")})&gt;1))),""No shared courses""),"""")"),"")</f>
        <v/>
      </c>
      <c r="J200" s="357" t="str">
        <f>IFERROR(__xludf.DUMMYFUNCTION("if(H200=""Can't be Together"",iferror(join("", "",unique(filter({filter('Students (Vertical)'!O:O,'Students (Vertical)'!C:C=B200,'Students (Vertical)'!O:O&lt;&gt;"""",'Students (Vertical)'!P:P&gt;1);filter('Students (Vertical)'!O:O,'Students (Vertical)'!C:C=E200,'"&amp;"Students (Vertical)'!O:O&lt;&gt;"""",'Students (Vertical)'!P:P&gt;1)},countifs({filter('Students (Vertical)'!O:O,'Students (Vertical)'!C:C=B200,'Students (Vertical)'!O:O&lt;&gt;"""",'Students (Vertical)'!P:P&gt;1);filter('Students (Vertical)'!O:O,'Students (Vertical)'!C:C="&amp;"E200,'Students (Vertical)'!O:O&lt;&gt;"""",'Students (Vertical)'!P:P&gt;1)},{filter('Students (Vertical)'!O:O,'Students (Vertical)'!C:C=B200,'Students (Vertical)'!O:O&lt;&gt;"""",'Students (Vertical)'!P:P&gt;1);filter('Students (Vertical)'!O:O,'Students (Vertical)'!C:C=E20"&amp;"0,'Students (Vertical)'!O:O&lt;&gt;"""",'Students (Vertical)'!P:P&gt;1)})&gt;1))),""""),"""")"),"")</f>
        <v/>
      </c>
      <c r="K200" s="358"/>
    </row>
    <row r="201">
      <c r="A201" s="300" t="s">
        <v>22</v>
      </c>
      <c r="C201" s="300" t="s">
        <v>22</v>
      </c>
      <c r="D201" s="300" t="s">
        <v>22</v>
      </c>
      <c r="F201" s="300" t="s">
        <v>22</v>
      </c>
      <c r="G201" s="300" t="s">
        <v>22</v>
      </c>
      <c r="I201" s="356" t="str">
        <f>IFERROR(__xludf.DUMMYFUNCTION("if(H201=""Must be Together"",iferror(join("", "",unique(filter({filter('Students (Vertical)'!O:O,'Students (Vertical)'!C:C=B201,'Students (Vertical)'!O:O&lt;&gt;"""");filter('Students (Vertical)'!O:O,'Students (Vertical)'!C:C=E201,'Students (Vertical)'!O:O&lt;&gt;"""&amp;""")},countifs({filter('Students (Vertical)'!O:O,'Students (Vertical)'!C:C=B201,'Students (Vertical)'!O:O&lt;&gt;"""");filter('Students (Vertical)'!O:O,'Students (Vertical)'!C:C=E201,'Students (Vertical)'!O:O&lt;&gt;"""")},{filter('Students (Vertical)'!O:O,'Students ("&amp;"Vertical)'!C:C=B201,'Students (Vertical)'!O:O&lt;&gt;"""");filter('Students (Vertical)'!O:O,'Students (Vertical)'!C:C=E201,'Students (Vertical)'!O:O&lt;&gt;"""")})&gt;1))),""No shared courses""),"""")"),"")</f>
        <v/>
      </c>
      <c r="J201" s="357" t="str">
        <f>IFERROR(__xludf.DUMMYFUNCTION("if(H201=""Can't be Together"",iferror(join("", "",unique(filter({filter('Students (Vertical)'!O:O,'Students (Vertical)'!C:C=B201,'Students (Vertical)'!O:O&lt;&gt;"""",'Students (Vertical)'!P:P&gt;1);filter('Students (Vertical)'!O:O,'Students (Vertical)'!C:C=E201,'"&amp;"Students (Vertical)'!O:O&lt;&gt;"""",'Students (Vertical)'!P:P&gt;1)},countifs({filter('Students (Vertical)'!O:O,'Students (Vertical)'!C:C=B201,'Students (Vertical)'!O:O&lt;&gt;"""",'Students (Vertical)'!P:P&gt;1);filter('Students (Vertical)'!O:O,'Students (Vertical)'!C:C="&amp;"E201,'Students (Vertical)'!O:O&lt;&gt;"""",'Students (Vertical)'!P:P&gt;1)},{filter('Students (Vertical)'!O:O,'Students (Vertical)'!C:C=B201,'Students (Vertical)'!O:O&lt;&gt;"""",'Students (Vertical)'!P:P&gt;1);filter('Students (Vertical)'!O:O,'Students (Vertical)'!C:C=E20"&amp;"1,'Students (Vertical)'!O:O&lt;&gt;"""",'Students (Vertical)'!P:P&gt;1)})&gt;1))),""""),"""")"),"")</f>
        <v/>
      </c>
      <c r="K201" s="358"/>
    </row>
    <row r="202">
      <c r="A202" s="300" t="s">
        <v>22</v>
      </c>
      <c r="C202" s="300" t="s">
        <v>22</v>
      </c>
      <c r="D202" s="300" t="s">
        <v>22</v>
      </c>
      <c r="F202" s="300" t="s">
        <v>22</v>
      </c>
      <c r="G202" s="300" t="s">
        <v>22</v>
      </c>
      <c r="I202" s="356" t="str">
        <f>IFERROR(__xludf.DUMMYFUNCTION("if(H202=""Must be Together"",iferror(join("", "",unique(filter({filter('Students (Vertical)'!O:O,'Students (Vertical)'!C:C=B202,'Students (Vertical)'!O:O&lt;&gt;"""");filter('Students (Vertical)'!O:O,'Students (Vertical)'!C:C=E202,'Students (Vertical)'!O:O&lt;&gt;"""&amp;""")},countifs({filter('Students (Vertical)'!O:O,'Students (Vertical)'!C:C=B202,'Students (Vertical)'!O:O&lt;&gt;"""");filter('Students (Vertical)'!O:O,'Students (Vertical)'!C:C=E202,'Students (Vertical)'!O:O&lt;&gt;"""")},{filter('Students (Vertical)'!O:O,'Students ("&amp;"Vertical)'!C:C=B202,'Students (Vertical)'!O:O&lt;&gt;"""");filter('Students (Vertical)'!O:O,'Students (Vertical)'!C:C=E202,'Students (Vertical)'!O:O&lt;&gt;"""")})&gt;1))),""No shared courses""),"""")"),"")</f>
        <v/>
      </c>
      <c r="J202" s="357" t="str">
        <f>IFERROR(__xludf.DUMMYFUNCTION("if(H202=""Can't be Together"",iferror(join("", "",unique(filter({filter('Students (Vertical)'!O:O,'Students (Vertical)'!C:C=B202,'Students (Vertical)'!O:O&lt;&gt;"""",'Students (Vertical)'!P:P&gt;1);filter('Students (Vertical)'!O:O,'Students (Vertical)'!C:C=E202,'"&amp;"Students (Vertical)'!O:O&lt;&gt;"""",'Students (Vertical)'!P:P&gt;1)},countifs({filter('Students (Vertical)'!O:O,'Students (Vertical)'!C:C=B202,'Students (Vertical)'!O:O&lt;&gt;"""",'Students (Vertical)'!P:P&gt;1);filter('Students (Vertical)'!O:O,'Students (Vertical)'!C:C="&amp;"E202,'Students (Vertical)'!O:O&lt;&gt;"""",'Students (Vertical)'!P:P&gt;1)},{filter('Students (Vertical)'!O:O,'Students (Vertical)'!C:C=B202,'Students (Vertical)'!O:O&lt;&gt;"""",'Students (Vertical)'!P:P&gt;1);filter('Students (Vertical)'!O:O,'Students (Vertical)'!C:C=E20"&amp;"2,'Students (Vertical)'!O:O&lt;&gt;"""",'Students (Vertical)'!P:P&gt;1)})&gt;1))),""""),"""")"),"")</f>
        <v/>
      </c>
      <c r="K202" s="358"/>
    </row>
    <row r="203">
      <c r="A203" s="300" t="s">
        <v>22</v>
      </c>
      <c r="C203" s="300" t="s">
        <v>22</v>
      </c>
      <c r="D203" s="300" t="s">
        <v>22</v>
      </c>
      <c r="F203" s="300" t="s">
        <v>22</v>
      </c>
      <c r="G203" s="300" t="s">
        <v>22</v>
      </c>
      <c r="I203" s="356" t="str">
        <f>IFERROR(__xludf.DUMMYFUNCTION("if(H203=""Must be Together"",iferror(join("", "",unique(filter({filter('Students (Vertical)'!O:O,'Students (Vertical)'!C:C=B203,'Students (Vertical)'!O:O&lt;&gt;"""");filter('Students (Vertical)'!O:O,'Students (Vertical)'!C:C=E203,'Students (Vertical)'!O:O&lt;&gt;"""&amp;""")},countifs({filter('Students (Vertical)'!O:O,'Students (Vertical)'!C:C=B203,'Students (Vertical)'!O:O&lt;&gt;"""");filter('Students (Vertical)'!O:O,'Students (Vertical)'!C:C=E203,'Students (Vertical)'!O:O&lt;&gt;"""")},{filter('Students (Vertical)'!O:O,'Students ("&amp;"Vertical)'!C:C=B203,'Students (Vertical)'!O:O&lt;&gt;"""");filter('Students (Vertical)'!O:O,'Students (Vertical)'!C:C=E203,'Students (Vertical)'!O:O&lt;&gt;"""")})&gt;1))),""No shared courses""),"""")"),"")</f>
        <v/>
      </c>
      <c r="J203" s="357" t="str">
        <f>IFERROR(__xludf.DUMMYFUNCTION("if(H203=""Can't be Together"",iferror(join("", "",unique(filter({filter('Students (Vertical)'!O:O,'Students (Vertical)'!C:C=B203,'Students (Vertical)'!O:O&lt;&gt;"""",'Students (Vertical)'!P:P&gt;1);filter('Students (Vertical)'!O:O,'Students (Vertical)'!C:C=E203,'"&amp;"Students (Vertical)'!O:O&lt;&gt;"""",'Students (Vertical)'!P:P&gt;1)},countifs({filter('Students (Vertical)'!O:O,'Students (Vertical)'!C:C=B203,'Students (Vertical)'!O:O&lt;&gt;"""",'Students (Vertical)'!P:P&gt;1);filter('Students (Vertical)'!O:O,'Students (Vertical)'!C:C="&amp;"E203,'Students (Vertical)'!O:O&lt;&gt;"""",'Students (Vertical)'!P:P&gt;1)},{filter('Students (Vertical)'!O:O,'Students (Vertical)'!C:C=B203,'Students (Vertical)'!O:O&lt;&gt;"""",'Students (Vertical)'!P:P&gt;1);filter('Students (Vertical)'!O:O,'Students (Vertical)'!C:C=E20"&amp;"3,'Students (Vertical)'!O:O&lt;&gt;"""",'Students (Vertical)'!P:P&gt;1)})&gt;1))),""""),"""")"),"")</f>
        <v/>
      </c>
      <c r="K203" s="358"/>
    </row>
    <row r="204">
      <c r="A204" s="300" t="s">
        <v>22</v>
      </c>
      <c r="C204" s="300" t="s">
        <v>22</v>
      </c>
      <c r="D204" s="300" t="s">
        <v>22</v>
      </c>
      <c r="F204" s="300" t="s">
        <v>22</v>
      </c>
      <c r="G204" s="300" t="s">
        <v>22</v>
      </c>
      <c r="I204" s="356" t="str">
        <f>IFERROR(__xludf.DUMMYFUNCTION("if(H204=""Must be Together"",iferror(join("", "",unique(filter({filter('Students (Vertical)'!O:O,'Students (Vertical)'!C:C=B204,'Students (Vertical)'!O:O&lt;&gt;"""");filter('Students (Vertical)'!O:O,'Students (Vertical)'!C:C=E204,'Students (Vertical)'!O:O&lt;&gt;"""&amp;""")},countifs({filter('Students (Vertical)'!O:O,'Students (Vertical)'!C:C=B204,'Students (Vertical)'!O:O&lt;&gt;"""");filter('Students (Vertical)'!O:O,'Students (Vertical)'!C:C=E204,'Students (Vertical)'!O:O&lt;&gt;"""")},{filter('Students (Vertical)'!O:O,'Students ("&amp;"Vertical)'!C:C=B204,'Students (Vertical)'!O:O&lt;&gt;"""");filter('Students (Vertical)'!O:O,'Students (Vertical)'!C:C=E204,'Students (Vertical)'!O:O&lt;&gt;"""")})&gt;1))),""No shared courses""),"""")"),"")</f>
        <v/>
      </c>
      <c r="J204" s="357" t="str">
        <f>IFERROR(__xludf.DUMMYFUNCTION("if(H204=""Can't be Together"",iferror(join("", "",unique(filter({filter('Students (Vertical)'!O:O,'Students (Vertical)'!C:C=B204,'Students (Vertical)'!O:O&lt;&gt;"""",'Students (Vertical)'!P:P&gt;1);filter('Students (Vertical)'!O:O,'Students (Vertical)'!C:C=E204,'"&amp;"Students (Vertical)'!O:O&lt;&gt;"""",'Students (Vertical)'!P:P&gt;1)},countifs({filter('Students (Vertical)'!O:O,'Students (Vertical)'!C:C=B204,'Students (Vertical)'!O:O&lt;&gt;"""",'Students (Vertical)'!P:P&gt;1);filter('Students (Vertical)'!O:O,'Students (Vertical)'!C:C="&amp;"E204,'Students (Vertical)'!O:O&lt;&gt;"""",'Students (Vertical)'!P:P&gt;1)},{filter('Students (Vertical)'!O:O,'Students (Vertical)'!C:C=B204,'Students (Vertical)'!O:O&lt;&gt;"""",'Students (Vertical)'!P:P&gt;1);filter('Students (Vertical)'!O:O,'Students (Vertical)'!C:C=E20"&amp;"4,'Students (Vertical)'!O:O&lt;&gt;"""",'Students (Vertical)'!P:P&gt;1)})&gt;1))),""""),"""")"),"")</f>
        <v/>
      </c>
      <c r="K204" s="358"/>
    </row>
    <row r="205">
      <c r="A205" s="300" t="s">
        <v>22</v>
      </c>
      <c r="C205" s="300" t="s">
        <v>22</v>
      </c>
      <c r="D205" s="300" t="s">
        <v>22</v>
      </c>
      <c r="F205" s="300" t="s">
        <v>22</v>
      </c>
      <c r="G205" s="300" t="s">
        <v>22</v>
      </c>
      <c r="I205" s="356" t="str">
        <f>IFERROR(__xludf.DUMMYFUNCTION("if(H205=""Must be Together"",iferror(join("", "",unique(filter({filter('Students (Vertical)'!O:O,'Students (Vertical)'!C:C=B205,'Students (Vertical)'!O:O&lt;&gt;"""");filter('Students (Vertical)'!O:O,'Students (Vertical)'!C:C=E205,'Students (Vertical)'!O:O&lt;&gt;"""&amp;""")},countifs({filter('Students (Vertical)'!O:O,'Students (Vertical)'!C:C=B205,'Students (Vertical)'!O:O&lt;&gt;"""");filter('Students (Vertical)'!O:O,'Students (Vertical)'!C:C=E205,'Students (Vertical)'!O:O&lt;&gt;"""")},{filter('Students (Vertical)'!O:O,'Students ("&amp;"Vertical)'!C:C=B205,'Students (Vertical)'!O:O&lt;&gt;"""");filter('Students (Vertical)'!O:O,'Students (Vertical)'!C:C=E205,'Students (Vertical)'!O:O&lt;&gt;"""")})&gt;1))),""No shared courses""),"""")"),"")</f>
        <v/>
      </c>
      <c r="J205" s="357" t="str">
        <f>IFERROR(__xludf.DUMMYFUNCTION("if(H205=""Can't be Together"",iferror(join("", "",unique(filter({filter('Students (Vertical)'!O:O,'Students (Vertical)'!C:C=B205,'Students (Vertical)'!O:O&lt;&gt;"""",'Students (Vertical)'!P:P&gt;1);filter('Students (Vertical)'!O:O,'Students (Vertical)'!C:C=E205,'"&amp;"Students (Vertical)'!O:O&lt;&gt;"""",'Students (Vertical)'!P:P&gt;1)},countifs({filter('Students (Vertical)'!O:O,'Students (Vertical)'!C:C=B205,'Students (Vertical)'!O:O&lt;&gt;"""",'Students (Vertical)'!P:P&gt;1);filter('Students (Vertical)'!O:O,'Students (Vertical)'!C:C="&amp;"E205,'Students (Vertical)'!O:O&lt;&gt;"""",'Students (Vertical)'!P:P&gt;1)},{filter('Students (Vertical)'!O:O,'Students (Vertical)'!C:C=B205,'Students (Vertical)'!O:O&lt;&gt;"""",'Students (Vertical)'!P:P&gt;1);filter('Students (Vertical)'!O:O,'Students (Vertical)'!C:C=E20"&amp;"5,'Students (Vertical)'!O:O&lt;&gt;"""",'Students (Vertical)'!P:P&gt;1)})&gt;1))),""""),"""")"),"")</f>
        <v/>
      </c>
      <c r="K205" s="358"/>
    </row>
    <row r="206">
      <c r="A206" s="300" t="s">
        <v>22</v>
      </c>
      <c r="C206" s="300" t="s">
        <v>22</v>
      </c>
      <c r="D206" s="300" t="s">
        <v>22</v>
      </c>
      <c r="F206" s="300" t="s">
        <v>22</v>
      </c>
      <c r="G206" s="300" t="s">
        <v>22</v>
      </c>
      <c r="I206" s="356" t="str">
        <f>IFERROR(__xludf.DUMMYFUNCTION("if(H206=""Must be Together"",iferror(join("", "",unique(filter({filter('Students (Vertical)'!O:O,'Students (Vertical)'!C:C=B206,'Students (Vertical)'!O:O&lt;&gt;"""");filter('Students (Vertical)'!O:O,'Students (Vertical)'!C:C=E206,'Students (Vertical)'!O:O&lt;&gt;"""&amp;""")},countifs({filter('Students (Vertical)'!O:O,'Students (Vertical)'!C:C=B206,'Students (Vertical)'!O:O&lt;&gt;"""");filter('Students (Vertical)'!O:O,'Students (Vertical)'!C:C=E206,'Students (Vertical)'!O:O&lt;&gt;"""")},{filter('Students (Vertical)'!O:O,'Students ("&amp;"Vertical)'!C:C=B206,'Students (Vertical)'!O:O&lt;&gt;"""");filter('Students (Vertical)'!O:O,'Students (Vertical)'!C:C=E206,'Students (Vertical)'!O:O&lt;&gt;"""")})&gt;1))),""No shared courses""),"""")"),"")</f>
        <v/>
      </c>
      <c r="J206" s="357" t="str">
        <f>IFERROR(__xludf.DUMMYFUNCTION("if(H206=""Can't be Together"",iferror(join("", "",unique(filter({filter('Students (Vertical)'!O:O,'Students (Vertical)'!C:C=B206,'Students (Vertical)'!O:O&lt;&gt;"""",'Students (Vertical)'!P:P&gt;1);filter('Students (Vertical)'!O:O,'Students (Vertical)'!C:C=E206,'"&amp;"Students (Vertical)'!O:O&lt;&gt;"""",'Students (Vertical)'!P:P&gt;1)},countifs({filter('Students (Vertical)'!O:O,'Students (Vertical)'!C:C=B206,'Students (Vertical)'!O:O&lt;&gt;"""",'Students (Vertical)'!P:P&gt;1);filter('Students (Vertical)'!O:O,'Students (Vertical)'!C:C="&amp;"E206,'Students (Vertical)'!O:O&lt;&gt;"""",'Students (Vertical)'!P:P&gt;1)},{filter('Students (Vertical)'!O:O,'Students (Vertical)'!C:C=B206,'Students (Vertical)'!O:O&lt;&gt;"""",'Students (Vertical)'!P:P&gt;1);filter('Students (Vertical)'!O:O,'Students (Vertical)'!C:C=E20"&amp;"6,'Students (Vertical)'!O:O&lt;&gt;"""",'Students (Vertical)'!P:P&gt;1)})&gt;1))),""""),"""")"),"")</f>
        <v/>
      </c>
      <c r="K206" s="358"/>
    </row>
    <row r="207">
      <c r="A207" s="300" t="s">
        <v>22</v>
      </c>
      <c r="C207" s="300" t="s">
        <v>22</v>
      </c>
      <c r="D207" s="300" t="s">
        <v>22</v>
      </c>
      <c r="F207" s="300" t="s">
        <v>22</v>
      </c>
      <c r="G207" s="300" t="s">
        <v>22</v>
      </c>
      <c r="I207" s="356" t="str">
        <f>IFERROR(__xludf.DUMMYFUNCTION("if(H207=""Must be Together"",iferror(join("", "",unique(filter({filter('Students (Vertical)'!O:O,'Students (Vertical)'!C:C=B207,'Students (Vertical)'!O:O&lt;&gt;"""");filter('Students (Vertical)'!O:O,'Students (Vertical)'!C:C=E207,'Students (Vertical)'!O:O&lt;&gt;"""&amp;""")},countifs({filter('Students (Vertical)'!O:O,'Students (Vertical)'!C:C=B207,'Students (Vertical)'!O:O&lt;&gt;"""");filter('Students (Vertical)'!O:O,'Students (Vertical)'!C:C=E207,'Students (Vertical)'!O:O&lt;&gt;"""")},{filter('Students (Vertical)'!O:O,'Students ("&amp;"Vertical)'!C:C=B207,'Students (Vertical)'!O:O&lt;&gt;"""");filter('Students (Vertical)'!O:O,'Students (Vertical)'!C:C=E207,'Students (Vertical)'!O:O&lt;&gt;"""")})&gt;1))),""No shared courses""),"""")"),"")</f>
        <v/>
      </c>
      <c r="J207" s="357" t="str">
        <f>IFERROR(__xludf.DUMMYFUNCTION("if(H207=""Can't be Together"",iferror(join("", "",unique(filter({filter('Students (Vertical)'!O:O,'Students (Vertical)'!C:C=B207,'Students (Vertical)'!O:O&lt;&gt;"""",'Students (Vertical)'!P:P&gt;1);filter('Students (Vertical)'!O:O,'Students (Vertical)'!C:C=E207,'"&amp;"Students (Vertical)'!O:O&lt;&gt;"""",'Students (Vertical)'!P:P&gt;1)},countifs({filter('Students (Vertical)'!O:O,'Students (Vertical)'!C:C=B207,'Students (Vertical)'!O:O&lt;&gt;"""",'Students (Vertical)'!P:P&gt;1);filter('Students (Vertical)'!O:O,'Students (Vertical)'!C:C="&amp;"E207,'Students (Vertical)'!O:O&lt;&gt;"""",'Students (Vertical)'!P:P&gt;1)},{filter('Students (Vertical)'!O:O,'Students (Vertical)'!C:C=B207,'Students (Vertical)'!O:O&lt;&gt;"""",'Students (Vertical)'!P:P&gt;1);filter('Students (Vertical)'!O:O,'Students (Vertical)'!C:C=E20"&amp;"7,'Students (Vertical)'!O:O&lt;&gt;"""",'Students (Vertical)'!P:P&gt;1)})&gt;1))),""""),"""")"),"")</f>
        <v/>
      </c>
      <c r="K207" s="358"/>
    </row>
    <row r="208">
      <c r="A208" s="300" t="s">
        <v>22</v>
      </c>
      <c r="C208" s="300" t="s">
        <v>22</v>
      </c>
      <c r="D208" s="300" t="s">
        <v>22</v>
      </c>
      <c r="F208" s="300" t="s">
        <v>22</v>
      </c>
      <c r="G208" s="300" t="s">
        <v>22</v>
      </c>
      <c r="I208" s="356" t="str">
        <f>IFERROR(__xludf.DUMMYFUNCTION("if(H208=""Must be Together"",iferror(join("", "",unique(filter({filter('Students (Vertical)'!O:O,'Students (Vertical)'!C:C=B208,'Students (Vertical)'!O:O&lt;&gt;"""");filter('Students (Vertical)'!O:O,'Students (Vertical)'!C:C=E208,'Students (Vertical)'!O:O&lt;&gt;"""&amp;""")},countifs({filter('Students (Vertical)'!O:O,'Students (Vertical)'!C:C=B208,'Students (Vertical)'!O:O&lt;&gt;"""");filter('Students (Vertical)'!O:O,'Students (Vertical)'!C:C=E208,'Students (Vertical)'!O:O&lt;&gt;"""")},{filter('Students (Vertical)'!O:O,'Students ("&amp;"Vertical)'!C:C=B208,'Students (Vertical)'!O:O&lt;&gt;"""");filter('Students (Vertical)'!O:O,'Students (Vertical)'!C:C=E208,'Students (Vertical)'!O:O&lt;&gt;"""")})&gt;1))),""No shared courses""),"""")"),"")</f>
        <v/>
      </c>
      <c r="J208" s="357" t="str">
        <f>IFERROR(__xludf.DUMMYFUNCTION("if(H208=""Can't be Together"",iferror(join("", "",unique(filter({filter('Students (Vertical)'!O:O,'Students (Vertical)'!C:C=B208,'Students (Vertical)'!O:O&lt;&gt;"""",'Students (Vertical)'!P:P&gt;1);filter('Students (Vertical)'!O:O,'Students (Vertical)'!C:C=E208,'"&amp;"Students (Vertical)'!O:O&lt;&gt;"""",'Students (Vertical)'!P:P&gt;1)},countifs({filter('Students (Vertical)'!O:O,'Students (Vertical)'!C:C=B208,'Students (Vertical)'!O:O&lt;&gt;"""",'Students (Vertical)'!P:P&gt;1);filter('Students (Vertical)'!O:O,'Students (Vertical)'!C:C="&amp;"E208,'Students (Vertical)'!O:O&lt;&gt;"""",'Students (Vertical)'!P:P&gt;1)},{filter('Students (Vertical)'!O:O,'Students (Vertical)'!C:C=B208,'Students (Vertical)'!O:O&lt;&gt;"""",'Students (Vertical)'!P:P&gt;1);filter('Students (Vertical)'!O:O,'Students (Vertical)'!C:C=E20"&amp;"8,'Students (Vertical)'!O:O&lt;&gt;"""",'Students (Vertical)'!P:P&gt;1)})&gt;1))),""""),"""")"),"")</f>
        <v/>
      </c>
      <c r="K208" s="358"/>
    </row>
    <row r="209">
      <c r="A209" s="300" t="s">
        <v>22</v>
      </c>
      <c r="C209" s="300" t="s">
        <v>22</v>
      </c>
      <c r="D209" s="300" t="s">
        <v>22</v>
      </c>
      <c r="F209" s="300" t="s">
        <v>22</v>
      </c>
      <c r="G209" s="300" t="s">
        <v>22</v>
      </c>
      <c r="I209" s="356" t="str">
        <f>IFERROR(__xludf.DUMMYFUNCTION("if(H209=""Must be Together"",iferror(join("", "",unique(filter({filter('Students (Vertical)'!O:O,'Students (Vertical)'!C:C=B209,'Students (Vertical)'!O:O&lt;&gt;"""");filter('Students (Vertical)'!O:O,'Students (Vertical)'!C:C=E209,'Students (Vertical)'!O:O&lt;&gt;"""&amp;""")},countifs({filter('Students (Vertical)'!O:O,'Students (Vertical)'!C:C=B209,'Students (Vertical)'!O:O&lt;&gt;"""");filter('Students (Vertical)'!O:O,'Students (Vertical)'!C:C=E209,'Students (Vertical)'!O:O&lt;&gt;"""")},{filter('Students (Vertical)'!O:O,'Students ("&amp;"Vertical)'!C:C=B209,'Students (Vertical)'!O:O&lt;&gt;"""");filter('Students (Vertical)'!O:O,'Students (Vertical)'!C:C=E209,'Students (Vertical)'!O:O&lt;&gt;"""")})&gt;1))),""No shared courses""),"""")"),"")</f>
        <v/>
      </c>
      <c r="J209" s="357" t="str">
        <f>IFERROR(__xludf.DUMMYFUNCTION("if(H209=""Can't be Together"",iferror(join("", "",unique(filter({filter('Students (Vertical)'!O:O,'Students (Vertical)'!C:C=B209,'Students (Vertical)'!O:O&lt;&gt;"""",'Students (Vertical)'!P:P&gt;1);filter('Students (Vertical)'!O:O,'Students (Vertical)'!C:C=E209,'"&amp;"Students (Vertical)'!O:O&lt;&gt;"""",'Students (Vertical)'!P:P&gt;1)},countifs({filter('Students (Vertical)'!O:O,'Students (Vertical)'!C:C=B209,'Students (Vertical)'!O:O&lt;&gt;"""",'Students (Vertical)'!P:P&gt;1);filter('Students (Vertical)'!O:O,'Students (Vertical)'!C:C="&amp;"E209,'Students (Vertical)'!O:O&lt;&gt;"""",'Students (Vertical)'!P:P&gt;1)},{filter('Students (Vertical)'!O:O,'Students (Vertical)'!C:C=B209,'Students (Vertical)'!O:O&lt;&gt;"""",'Students (Vertical)'!P:P&gt;1);filter('Students (Vertical)'!O:O,'Students (Vertical)'!C:C=E20"&amp;"9,'Students (Vertical)'!O:O&lt;&gt;"""",'Students (Vertical)'!P:P&gt;1)})&gt;1))),""""),"""")"),"")</f>
        <v/>
      </c>
      <c r="K209" s="358"/>
    </row>
    <row r="210">
      <c r="A210" s="300" t="s">
        <v>22</v>
      </c>
      <c r="C210" s="300" t="s">
        <v>22</v>
      </c>
      <c r="D210" s="300" t="s">
        <v>22</v>
      </c>
      <c r="F210" s="300" t="s">
        <v>22</v>
      </c>
      <c r="G210" s="300" t="s">
        <v>22</v>
      </c>
      <c r="I210" s="356" t="str">
        <f>IFERROR(__xludf.DUMMYFUNCTION("if(H210=""Must be Together"",iferror(join("", "",unique(filter({filter('Students (Vertical)'!O:O,'Students (Vertical)'!C:C=B210,'Students (Vertical)'!O:O&lt;&gt;"""");filter('Students (Vertical)'!O:O,'Students (Vertical)'!C:C=E210,'Students (Vertical)'!O:O&lt;&gt;"""&amp;""")},countifs({filter('Students (Vertical)'!O:O,'Students (Vertical)'!C:C=B210,'Students (Vertical)'!O:O&lt;&gt;"""");filter('Students (Vertical)'!O:O,'Students (Vertical)'!C:C=E210,'Students (Vertical)'!O:O&lt;&gt;"""")},{filter('Students (Vertical)'!O:O,'Students ("&amp;"Vertical)'!C:C=B210,'Students (Vertical)'!O:O&lt;&gt;"""");filter('Students (Vertical)'!O:O,'Students (Vertical)'!C:C=E210,'Students (Vertical)'!O:O&lt;&gt;"""")})&gt;1))),""No shared courses""),"""")"),"")</f>
        <v/>
      </c>
      <c r="J210" s="357" t="str">
        <f>IFERROR(__xludf.DUMMYFUNCTION("if(H210=""Can't be Together"",iferror(join("", "",unique(filter({filter('Students (Vertical)'!O:O,'Students (Vertical)'!C:C=B210,'Students (Vertical)'!O:O&lt;&gt;"""",'Students (Vertical)'!P:P&gt;1);filter('Students (Vertical)'!O:O,'Students (Vertical)'!C:C=E210,'"&amp;"Students (Vertical)'!O:O&lt;&gt;"""",'Students (Vertical)'!P:P&gt;1)},countifs({filter('Students (Vertical)'!O:O,'Students (Vertical)'!C:C=B210,'Students (Vertical)'!O:O&lt;&gt;"""",'Students (Vertical)'!P:P&gt;1);filter('Students (Vertical)'!O:O,'Students (Vertical)'!C:C="&amp;"E210,'Students (Vertical)'!O:O&lt;&gt;"""",'Students (Vertical)'!P:P&gt;1)},{filter('Students (Vertical)'!O:O,'Students (Vertical)'!C:C=B210,'Students (Vertical)'!O:O&lt;&gt;"""",'Students (Vertical)'!P:P&gt;1);filter('Students (Vertical)'!O:O,'Students (Vertical)'!C:C=E21"&amp;"0,'Students (Vertical)'!O:O&lt;&gt;"""",'Students (Vertical)'!P:P&gt;1)})&gt;1))),""""),"""")"),"")</f>
        <v/>
      </c>
      <c r="K210" s="358"/>
    </row>
    <row r="211">
      <c r="A211" s="300" t="s">
        <v>22</v>
      </c>
      <c r="C211" s="300" t="s">
        <v>22</v>
      </c>
      <c r="D211" s="300" t="s">
        <v>22</v>
      </c>
      <c r="F211" s="300" t="s">
        <v>22</v>
      </c>
      <c r="G211" s="300" t="s">
        <v>22</v>
      </c>
      <c r="I211" s="356" t="str">
        <f>IFERROR(__xludf.DUMMYFUNCTION("if(H211=""Must be Together"",iferror(join("", "",unique(filter({filter('Students (Vertical)'!O:O,'Students (Vertical)'!C:C=B211,'Students (Vertical)'!O:O&lt;&gt;"""");filter('Students (Vertical)'!O:O,'Students (Vertical)'!C:C=E211,'Students (Vertical)'!O:O&lt;&gt;"""&amp;""")},countifs({filter('Students (Vertical)'!O:O,'Students (Vertical)'!C:C=B211,'Students (Vertical)'!O:O&lt;&gt;"""");filter('Students (Vertical)'!O:O,'Students (Vertical)'!C:C=E211,'Students (Vertical)'!O:O&lt;&gt;"""")},{filter('Students (Vertical)'!O:O,'Students ("&amp;"Vertical)'!C:C=B211,'Students (Vertical)'!O:O&lt;&gt;"""");filter('Students (Vertical)'!O:O,'Students (Vertical)'!C:C=E211,'Students (Vertical)'!O:O&lt;&gt;"""")})&gt;1))),""No shared courses""),"""")"),"")</f>
        <v/>
      </c>
      <c r="J211" s="357" t="str">
        <f>IFERROR(__xludf.DUMMYFUNCTION("if(H211=""Can't be Together"",iferror(join("", "",unique(filter({filter('Students (Vertical)'!O:O,'Students (Vertical)'!C:C=B211,'Students (Vertical)'!O:O&lt;&gt;"""",'Students (Vertical)'!P:P&gt;1);filter('Students (Vertical)'!O:O,'Students (Vertical)'!C:C=E211,'"&amp;"Students (Vertical)'!O:O&lt;&gt;"""",'Students (Vertical)'!P:P&gt;1)},countifs({filter('Students (Vertical)'!O:O,'Students (Vertical)'!C:C=B211,'Students (Vertical)'!O:O&lt;&gt;"""",'Students (Vertical)'!P:P&gt;1);filter('Students (Vertical)'!O:O,'Students (Vertical)'!C:C="&amp;"E211,'Students (Vertical)'!O:O&lt;&gt;"""",'Students (Vertical)'!P:P&gt;1)},{filter('Students (Vertical)'!O:O,'Students (Vertical)'!C:C=B211,'Students (Vertical)'!O:O&lt;&gt;"""",'Students (Vertical)'!P:P&gt;1);filter('Students (Vertical)'!O:O,'Students (Vertical)'!C:C=E21"&amp;"1,'Students (Vertical)'!O:O&lt;&gt;"""",'Students (Vertical)'!P:P&gt;1)})&gt;1))),""""),"""")"),"")</f>
        <v/>
      </c>
      <c r="K211" s="358"/>
    </row>
    <row r="212">
      <c r="A212" s="300" t="s">
        <v>22</v>
      </c>
      <c r="C212" s="300" t="s">
        <v>22</v>
      </c>
      <c r="D212" s="300" t="s">
        <v>22</v>
      </c>
      <c r="F212" s="300" t="s">
        <v>22</v>
      </c>
      <c r="G212" s="300" t="s">
        <v>22</v>
      </c>
      <c r="I212" s="356" t="str">
        <f>IFERROR(__xludf.DUMMYFUNCTION("if(H212=""Must be Together"",iferror(join("", "",unique(filter({filter('Students (Vertical)'!O:O,'Students (Vertical)'!C:C=B212,'Students (Vertical)'!O:O&lt;&gt;"""");filter('Students (Vertical)'!O:O,'Students (Vertical)'!C:C=E212,'Students (Vertical)'!O:O&lt;&gt;"""&amp;""")},countifs({filter('Students (Vertical)'!O:O,'Students (Vertical)'!C:C=B212,'Students (Vertical)'!O:O&lt;&gt;"""");filter('Students (Vertical)'!O:O,'Students (Vertical)'!C:C=E212,'Students (Vertical)'!O:O&lt;&gt;"""")},{filter('Students (Vertical)'!O:O,'Students ("&amp;"Vertical)'!C:C=B212,'Students (Vertical)'!O:O&lt;&gt;"""");filter('Students (Vertical)'!O:O,'Students (Vertical)'!C:C=E212,'Students (Vertical)'!O:O&lt;&gt;"""")})&gt;1))),""No shared courses""),"""")"),"")</f>
        <v/>
      </c>
      <c r="J212" s="357" t="str">
        <f>IFERROR(__xludf.DUMMYFUNCTION("if(H212=""Can't be Together"",iferror(join("", "",unique(filter({filter('Students (Vertical)'!O:O,'Students (Vertical)'!C:C=B212,'Students (Vertical)'!O:O&lt;&gt;"""",'Students (Vertical)'!P:P&gt;1);filter('Students (Vertical)'!O:O,'Students (Vertical)'!C:C=E212,'"&amp;"Students (Vertical)'!O:O&lt;&gt;"""",'Students (Vertical)'!P:P&gt;1)},countifs({filter('Students (Vertical)'!O:O,'Students (Vertical)'!C:C=B212,'Students (Vertical)'!O:O&lt;&gt;"""",'Students (Vertical)'!P:P&gt;1);filter('Students (Vertical)'!O:O,'Students (Vertical)'!C:C="&amp;"E212,'Students (Vertical)'!O:O&lt;&gt;"""",'Students (Vertical)'!P:P&gt;1)},{filter('Students (Vertical)'!O:O,'Students (Vertical)'!C:C=B212,'Students (Vertical)'!O:O&lt;&gt;"""",'Students (Vertical)'!P:P&gt;1);filter('Students (Vertical)'!O:O,'Students (Vertical)'!C:C=E21"&amp;"2,'Students (Vertical)'!O:O&lt;&gt;"""",'Students (Vertical)'!P:P&gt;1)})&gt;1))),""""),"""")"),"")</f>
        <v/>
      </c>
      <c r="K212" s="358"/>
    </row>
    <row r="213">
      <c r="A213" s="300" t="s">
        <v>22</v>
      </c>
      <c r="C213" s="300" t="s">
        <v>22</v>
      </c>
      <c r="D213" s="300" t="s">
        <v>22</v>
      </c>
      <c r="F213" s="300" t="s">
        <v>22</v>
      </c>
      <c r="G213" s="300" t="s">
        <v>22</v>
      </c>
      <c r="I213" s="356" t="str">
        <f>IFERROR(__xludf.DUMMYFUNCTION("if(H213=""Must be Together"",iferror(join("", "",unique(filter({filter('Students (Vertical)'!O:O,'Students (Vertical)'!C:C=B213,'Students (Vertical)'!O:O&lt;&gt;"""");filter('Students (Vertical)'!O:O,'Students (Vertical)'!C:C=E213,'Students (Vertical)'!O:O&lt;&gt;"""&amp;""")},countifs({filter('Students (Vertical)'!O:O,'Students (Vertical)'!C:C=B213,'Students (Vertical)'!O:O&lt;&gt;"""");filter('Students (Vertical)'!O:O,'Students (Vertical)'!C:C=E213,'Students (Vertical)'!O:O&lt;&gt;"""")},{filter('Students (Vertical)'!O:O,'Students ("&amp;"Vertical)'!C:C=B213,'Students (Vertical)'!O:O&lt;&gt;"""");filter('Students (Vertical)'!O:O,'Students (Vertical)'!C:C=E213,'Students (Vertical)'!O:O&lt;&gt;"""")})&gt;1))),""No shared courses""),"""")"),"")</f>
        <v/>
      </c>
      <c r="J213" s="357" t="str">
        <f>IFERROR(__xludf.DUMMYFUNCTION("if(H213=""Can't be Together"",iferror(join("", "",unique(filter({filter('Students (Vertical)'!O:O,'Students (Vertical)'!C:C=B213,'Students (Vertical)'!O:O&lt;&gt;"""",'Students (Vertical)'!P:P&gt;1);filter('Students (Vertical)'!O:O,'Students (Vertical)'!C:C=E213,'"&amp;"Students (Vertical)'!O:O&lt;&gt;"""",'Students (Vertical)'!P:P&gt;1)},countifs({filter('Students (Vertical)'!O:O,'Students (Vertical)'!C:C=B213,'Students (Vertical)'!O:O&lt;&gt;"""",'Students (Vertical)'!P:P&gt;1);filter('Students (Vertical)'!O:O,'Students (Vertical)'!C:C="&amp;"E213,'Students (Vertical)'!O:O&lt;&gt;"""",'Students (Vertical)'!P:P&gt;1)},{filter('Students (Vertical)'!O:O,'Students (Vertical)'!C:C=B213,'Students (Vertical)'!O:O&lt;&gt;"""",'Students (Vertical)'!P:P&gt;1);filter('Students (Vertical)'!O:O,'Students (Vertical)'!C:C=E21"&amp;"3,'Students (Vertical)'!O:O&lt;&gt;"""",'Students (Vertical)'!P:P&gt;1)})&gt;1))),""""),"""")"),"")</f>
        <v/>
      </c>
      <c r="K213" s="358"/>
    </row>
    <row r="214">
      <c r="A214" s="300" t="s">
        <v>22</v>
      </c>
      <c r="C214" s="300" t="s">
        <v>22</v>
      </c>
      <c r="D214" s="300" t="s">
        <v>22</v>
      </c>
      <c r="F214" s="300" t="s">
        <v>22</v>
      </c>
      <c r="G214" s="300" t="s">
        <v>22</v>
      </c>
      <c r="I214" s="356" t="str">
        <f>IFERROR(__xludf.DUMMYFUNCTION("if(H214=""Must be Together"",iferror(join("", "",unique(filter({filter('Students (Vertical)'!O:O,'Students (Vertical)'!C:C=B214,'Students (Vertical)'!O:O&lt;&gt;"""");filter('Students (Vertical)'!O:O,'Students (Vertical)'!C:C=E214,'Students (Vertical)'!O:O&lt;&gt;"""&amp;""")},countifs({filter('Students (Vertical)'!O:O,'Students (Vertical)'!C:C=B214,'Students (Vertical)'!O:O&lt;&gt;"""");filter('Students (Vertical)'!O:O,'Students (Vertical)'!C:C=E214,'Students (Vertical)'!O:O&lt;&gt;"""")},{filter('Students (Vertical)'!O:O,'Students ("&amp;"Vertical)'!C:C=B214,'Students (Vertical)'!O:O&lt;&gt;"""");filter('Students (Vertical)'!O:O,'Students (Vertical)'!C:C=E214,'Students (Vertical)'!O:O&lt;&gt;"""")})&gt;1))),""No shared courses""),"""")"),"")</f>
        <v/>
      </c>
      <c r="J214" s="357" t="str">
        <f>IFERROR(__xludf.DUMMYFUNCTION("if(H214=""Can't be Together"",iferror(join("", "",unique(filter({filter('Students (Vertical)'!O:O,'Students (Vertical)'!C:C=B214,'Students (Vertical)'!O:O&lt;&gt;"""",'Students (Vertical)'!P:P&gt;1);filter('Students (Vertical)'!O:O,'Students (Vertical)'!C:C=E214,'"&amp;"Students (Vertical)'!O:O&lt;&gt;"""",'Students (Vertical)'!P:P&gt;1)},countifs({filter('Students (Vertical)'!O:O,'Students (Vertical)'!C:C=B214,'Students (Vertical)'!O:O&lt;&gt;"""",'Students (Vertical)'!P:P&gt;1);filter('Students (Vertical)'!O:O,'Students (Vertical)'!C:C="&amp;"E214,'Students (Vertical)'!O:O&lt;&gt;"""",'Students (Vertical)'!P:P&gt;1)},{filter('Students (Vertical)'!O:O,'Students (Vertical)'!C:C=B214,'Students (Vertical)'!O:O&lt;&gt;"""",'Students (Vertical)'!P:P&gt;1);filter('Students (Vertical)'!O:O,'Students (Vertical)'!C:C=E21"&amp;"4,'Students (Vertical)'!O:O&lt;&gt;"""",'Students (Vertical)'!P:P&gt;1)})&gt;1))),""""),"""")"),"")</f>
        <v/>
      </c>
      <c r="K214" s="358"/>
    </row>
    <row r="215">
      <c r="A215" s="300" t="s">
        <v>22</v>
      </c>
      <c r="C215" s="300" t="s">
        <v>22</v>
      </c>
      <c r="D215" s="300" t="s">
        <v>22</v>
      </c>
      <c r="F215" s="300" t="s">
        <v>22</v>
      </c>
      <c r="G215" s="300" t="s">
        <v>22</v>
      </c>
      <c r="I215" s="356" t="str">
        <f>IFERROR(__xludf.DUMMYFUNCTION("if(H215=""Must be Together"",iferror(join("", "",unique(filter({filter('Students (Vertical)'!O:O,'Students (Vertical)'!C:C=B215,'Students (Vertical)'!O:O&lt;&gt;"""");filter('Students (Vertical)'!O:O,'Students (Vertical)'!C:C=E215,'Students (Vertical)'!O:O&lt;&gt;"""&amp;""")},countifs({filter('Students (Vertical)'!O:O,'Students (Vertical)'!C:C=B215,'Students (Vertical)'!O:O&lt;&gt;"""");filter('Students (Vertical)'!O:O,'Students (Vertical)'!C:C=E215,'Students (Vertical)'!O:O&lt;&gt;"""")},{filter('Students (Vertical)'!O:O,'Students ("&amp;"Vertical)'!C:C=B215,'Students (Vertical)'!O:O&lt;&gt;"""");filter('Students (Vertical)'!O:O,'Students (Vertical)'!C:C=E215,'Students (Vertical)'!O:O&lt;&gt;"""")})&gt;1))),""No shared courses""),"""")"),"")</f>
        <v/>
      </c>
      <c r="J215" s="357" t="str">
        <f>IFERROR(__xludf.DUMMYFUNCTION("if(H215=""Can't be Together"",iferror(join("", "",unique(filter({filter('Students (Vertical)'!O:O,'Students (Vertical)'!C:C=B215,'Students (Vertical)'!O:O&lt;&gt;"""",'Students (Vertical)'!P:P&gt;1);filter('Students (Vertical)'!O:O,'Students (Vertical)'!C:C=E215,'"&amp;"Students (Vertical)'!O:O&lt;&gt;"""",'Students (Vertical)'!P:P&gt;1)},countifs({filter('Students (Vertical)'!O:O,'Students (Vertical)'!C:C=B215,'Students (Vertical)'!O:O&lt;&gt;"""",'Students (Vertical)'!P:P&gt;1);filter('Students (Vertical)'!O:O,'Students (Vertical)'!C:C="&amp;"E215,'Students (Vertical)'!O:O&lt;&gt;"""",'Students (Vertical)'!P:P&gt;1)},{filter('Students (Vertical)'!O:O,'Students (Vertical)'!C:C=B215,'Students (Vertical)'!O:O&lt;&gt;"""",'Students (Vertical)'!P:P&gt;1);filter('Students (Vertical)'!O:O,'Students (Vertical)'!C:C=E21"&amp;"5,'Students (Vertical)'!O:O&lt;&gt;"""",'Students (Vertical)'!P:P&gt;1)})&gt;1))),""""),"""")"),"")</f>
        <v/>
      </c>
      <c r="K215" s="358"/>
    </row>
    <row r="216">
      <c r="A216" s="300" t="s">
        <v>22</v>
      </c>
      <c r="C216" s="300" t="s">
        <v>22</v>
      </c>
      <c r="D216" s="300" t="s">
        <v>22</v>
      </c>
      <c r="F216" s="300" t="s">
        <v>22</v>
      </c>
      <c r="G216" s="300" t="s">
        <v>22</v>
      </c>
      <c r="I216" s="356" t="str">
        <f>IFERROR(__xludf.DUMMYFUNCTION("if(H216=""Must be Together"",iferror(join("", "",unique(filter({filter('Students (Vertical)'!O:O,'Students (Vertical)'!C:C=B216,'Students (Vertical)'!O:O&lt;&gt;"""");filter('Students (Vertical)'!O:O,'Students (Vertical)'!C:C=E216,'Students (Vertical)'!O:O&lt;&gt;"""&amp;""")},countifs({filter('Students (Vertical)'!O:O,'Students (Vertical)'!C:C=B216,'Students (Vertical)'!O:O&lt;&gt;"""");filter('Students (Vertical)'!O:O,'Students (Vertical)'!C:C=E216,'Students (Vertical)'!O:O&lt;&gt;"""")},{filter('Students (Vertical)'!O:O,'Students ("&amp;"Vertical)'!C:C=B216,'Students (Vertical)'!O:O&lt;&gt;"""");filter('Students (Vertical)'!O:O,'Students (Vertical)'!C:C=E216,'Students (Vertical)'!O:O&lt;&gt;"""")})&gt;1))),""No shared courses""),"""")"),"")</f>
        <v/>
      </c>
      <c r="J216" s="357" t="str">
        <f>IFERROR(__xludf.DUMMYFUNCTION("if(H216=""Can't be Together"",iferror(join("", "",unique(filter({filter('Students (Vertical)'!O:O,'Students (Vertical)'!C:C=B216,'Students (Vertical)'!O:O&lt;&gt;"""",'Students (Vertical)'!P:P&gt;1);filter('Students (Vertical)'!O:O,'Students (Vertical)'!C:C=E216,'"&amp;"Students (Vertical)'!O:O&lt;&gt;"""",'Students (Vertical)'!P:P&gt;1)},countifs({filter('Students (Vertical)'!O:O,'Students (Vertical)'!C:C=B216,'Students (Vertical)'!O:O&lt;&gt;"""",'Students (Vertical)'!P:P&gt;1);filter('Students (Vertical)'!O:O,'Students (Vertical)'!C:C="&amp;"E216,'Students (Vertical)'!O:O&lt;&gt;"""",'Students (Vertical)'!P:P&gt;1)},{filter('Students (Vertical)'!O:O,'Students (Vertical)'!C:C=B216,'Students (Vertical)'!O:O&lt;&gt;"""",'Students (Vertical)'!P:P&gt;1);filter('Students (Vertical)'!O:O,'Students (Vertical)'!C:C=E21"&amp;"6,'Students (Vertical)'!O:O&lt;&gt;"""",'Students (Vertical)'!P:P&gt;1)})&gt;1))),""""),"""")"),"")</f>
        <v/>
      </c>
      <c r="K216" s="358"/>
    </row>
    <row r="217">
      <c r="A217" s="300" t="s">
        <v>22</v>
      </c>
      <c r="C217" s="300" t="s">
        <v>22</v>
      </c>
      <c r="D217" s="300" t="s">
        <v>22</v>
      </c>
      <c r="F217" s="300" t="s">
        <v>22</v>
      </c>
      <c r="G217" s="300" t="s">
        <v>22</v>
      </c>
      <c r="I217" s="356" t="str">
        <f>IFERROR(__xludf.DUMMYFUNCTION("if(H217=""Must be Together"",iferror(join("", "",unique(filter({filter('Students (Vertical)'!O:O,'Students (Vertical)'!C:C=B217,'Students (Vertical)'!O:O&lt;&gt;"""");filter('Students (Vertical)'!O:O,'Students (Vertical)'!C:C=E217,'Students (Vertical)'!O:O&lt;&gt;"""&amp;""")},countifs({filter('Students (Vertical)'!O:O,'Students (Vertical)'!C:C=B217,'Students (Vertical)'!O:O&lt;&gt;"""");filter('Students (Vertical)'!O:O,'Students (Vertical)'!C:C=E217,'Students (Vertical)'!O:O&lt;&gt;"""")},{filter('Students (Vertical)'!O:O,'Students ("&amp;"Vertical)'!C:C=B217,'Students (Vertical)'!O:O&lt;&gt;"""");filter('Students (Vertical)'!O:O,'Students (Vertical)'!C:C=E217,'Students (Vertical)'!O:O&lt;&gt;"""")})&gt;1))),""No shared courses""),"""")"),"")</f>
        <v/>
      </c>
      <c r="J217" s="357" t="str">
        <f>IFERROR(__xludf.DUMMYFUNCTION("if(H217=""Can't be Together"",iferror(join("", "",unique(filter({filter('Students (Vertical)'!O:O,'Students (Vertical)'!C:C=B217,'Students (Vertical)'!O:O&lt;&gt;"""",'Students (Vertical)'!P:P&gt;1);filter('Students (Vertical)'!O:O,'Students (Vertical)'!C:C=E217,'"&amp;"Students (Vertical)'!O:O&lt;&gt;"""",'Students (Vertical)'!P:P&gt;1)},countifs({filter('Students (Vertical)'!O:O,'Students (Vertical)'!C:C=B217,'Students (Vertical)'!O:O&lt;&gt;"""",'Students (Vertical)'!P:P&gt;1);filter('Students (Vertical)'!O:O,'Students (Vertical)'!C:C="&amp;"E217,'Students (Vertical)'!O:O&lt;&gt;"""",'Students (Vertical)'!P:P&gt;1)},{filter('Students (Vertical)'!O:O,'Students (Vertical)'!C:C=B217,'Students (Vertical)'!O:O&lt;&gt;"""",'Students (Vertical)'!P:P&gt;1);filter('Students (Vertical)'!O:O,'Students (Vertical)'!C:C=E21"&amp;"7,'Students (Vertical)'!O:O&lt;&gt;"""",'Students (Vertical)'!P:P&gt;1)})&gt;1))),""""),"""")"),"")</f>
        <v/>
      </c>
      <c r="K217" s="358"/>
    </row>
    <row r="218">
      <c r="A218" s="300" t="s">
        <v>22</v>
      </c>
      <c r="C218" s="300" t="s">
        <v>22</v>
      </c>
      <c r="D218" s="300" t="s">
        <v>22</v>
      </c>
      <c r="F218" s="300" t="s">
        <v>22</v>
      </c>
      <c r="G218" s="300" t="s">
        <v>22</v>
      </c>
      <c r="I218" s="356" t="str">
        <f>IFERROR(__xludf.DUMMYFUNCTION("if(H218=""Must be Together"",iferror(join("", "",unique(filter({filter('Students (Vertical)'!O:O,'Students (Vertical)'!C:C=B218,'Students (Vertical)'!O:O&lt;&gt;"""");filter('Students (Vertical)'!O:O,'Students (Vertical)'!C:C=E218,'Students (Vertical)'!O:O&lt;&gt;"""&amp;""")},countifs({filter('Students (Vertical)'!O:O,'Students (Vertical)'!C:C=B218,'Students (Vertical)'!O:O&lt;&gt;"""");filter('Students (Vertical)'!O:O,'Students (Vertical)'!C:C=E218,'Students (Vertical)'!O:O&lt;&gt;"""")},{filter('Students (Vertical)'!O:O,'Students ("&amp;"Vertical)'!C:C=B218,'Students (Vertical)'!O:O&lt;&gt;"""");filter('Students (Vertical)'!O:O,'Students (Vertical)'!C:C=E218,'Students (Vertical)'!O:O&lt;&gt;"""")})&gt;1))),""No shared courses""),"""")"),"")</f>
        <v/>
      </c>
      <c r="J218" s="357" t="str">
        <f>IFERROR(__xludf.DUMMYFUNCTION("if(H218=""Can't be Together"",iferror(join("", "",unique(filter({filter('Students (Vertical)'!O:O,'Students (Vertical)'!C:C=B218,'Students (Vertical)'!O:O&lt;&gt;"""",'Students (Vertical)'!P:P&gt;1);filter('Students (Vertical)'!O:O,'Students (Vertical)'!C:C=E218,'"&amp;"Students (Vertical)'!O:O&lt;&gt;"""",'Students (Vertical)'!P:P&gt;1)},countifs({filter('Students (Vertical)'!O:O,'Students (Vertical)'!C:C=B218,'Students (Vertical)'!O:O&lt;&gt;"""",'Students (Vertical)'!P:P&gt;1);filter('Students (Vertical)'!O:O,'Students (Vertical)'!C:C="&amp;"E218,'Students (Vertical)'!O:O&lt;&gt;"""",'Students (Vertical)'!P:P&gt;1)},{filter('Students (Vertical)'!O:O,'Students (Vertical)'!C:C=B218,'Students (Vertical)'!O:O&lt;&gt;"""",'Students (Vertical)'!P:P&gt;1);filter('Students (Vertical)'!O:O,'Students (Vertical)'!C:C=E21"&amp;"8,'Students (Vertical)'!O:O&lt;&gt;"""",'Students (Vertical)'!P:P&gt;1)})&gt;1))),""""),"""")"),"")</f>
        <v/>
      </c>
      <c r="K218" s="358"/>
    </row>
    <row r="219">
      <c r="A219" s="300" t="s">
        <v>22</v>
      </c>
      <c r="C219" s="300" t="s">
        <v>22</v>
      </c>
      <c r="D219" s="300" t="s">
        <v>22</v>
      </c>
      <c r="F219" s="300" t="s">
        <v>22</v>
      </c>
      <c r="G219" s="300" t="s">
        <v>22</v>
      </c>
      <c r="I219" s="356" t="str">
        <f>IFERROR(__xludf.DUMMYFUNCTION("if(H219=""Must be Together"",iferror(join("", "",unique(filter({filter('Students (Vertical)'!O:O,'Students (Vertical)'!C:C=B219,'Students (Vertical)'!O:O&lt;&gt;"""");filter('Students (Vertical)'!O:O,'Students (Vertical)'!C:C=E219,'Students (Vertical)'!O:O&lt;&gt;"""&amp;""")},countifs({filter('Students (Vertical)'!O:O,'Students (Vertical)'!C:C=B219,'Students (Vertical)'!O:O&lt;&gt;"""");filter('Students (Vertical)'!O:O,'Students (Vertical)'!C:C=E219,'Students (Vertical)'!O:O&lt;&gt;"""")},{filter('Students (Vertical)'!O:O,'Students ("&amp;"Vertical)'!C:C=B219,'Students (Vertical)'!O:O&lt;&gt;"""");filter('Students (Vertical)'!O:O,'Students (Vertical)'!C:C=E219,'Students (Vertical)'!O:O&lt;&gt;"""")})&gt;1))),""No shared courses""),"""")"),"")</f>
        <v/>
      </c>
      <c r="J219" s="357" t="str">
        <f>IFERROR(__xludf.DUMMYFUNCTION("if(H219=""Can't be Together"",iferror(join("", "",unique(filter({filter('Students (Vertical)'!O:O,'Students (Vertical)'!C:C=B219,'Students (Vertical)'!O:O&lt;&gt;"""",'Students (Vertical)'!P:P&gt;1);filter('Students (Vertical)'!O:O,'Students (Vertical)'!C:C=E219,'"&amp;"Students (Vertical)'!O:O&lt;&gt;"""",'Students (Vertical)'!P:P&gt;1)},countifs({filter('Students (Vertical)'!O:O,'Students (Vertical)'!C:C=B219,'Students (Vertical)'!O:O&lt;&gt;"""",'Students (Vertical)'!P:P&gt;1);filter('Students (Vertical)'!O:O,'Students (Vertical)'!C:C="&amp;"E219,'Students (Vertical)'!O:O&lt;&gt;"""",'Students (Vertical)'!P:P&gt;1)},{filter('Students (Vertical)'!O:O,'Students (Vertical)'!C:C=B219,'Students (Vertical)'!O:O&lt;&gt;"""",'Students (Vertical)'!P:P&gt;1);filter('Students (Vertical)'!O:O,'Students (Vertical)'!C:C=E21"&amp;"9,'Students (Vertical)'!O:O&lt;&gt;"""",'Students (Vertical)'!P:P&gt;1)})&gt;1))),""""),"""")"),"")</f>
        <v/>
      </c>
      <c r="K219" s="358"/>
    </row>
    <row r="220">
      <c r="A220" s="300" t="s">
        <v>22</v>
      </c>
      <c r="C220" s="300" t="s">
        <v>22</v>
      </c>
      <c r="D220" s="300" t="s">
        <v>22</v>
      </c>
      <c r="F220" s="300" t="s">
        <v>22</v>
      </c>
      <c r="G220" s="300" t="s">
        <v>22</v>
      </c>
      <c r="I220" s="356" t="str">
        <f>IFERROR(__xludf.DUMMYFUNCTION("if(H220=""Must be Together"",iferror(join("", "",unique(filter({filter('Students (Vertical)'!O:O,'Students (Vertical)'!C:C=B220,'Students (Vertical)'!O:O&lt;&gt;"""");filter('Students (Vertical)'!O:O,'Students (Vertical)'!C:C=E220,'Students (Vertical)'!O:O&lt;&gt;"""&amp;""")},countifs({filter('Students (Vertical)'!O:O,'Students (Vertical)'!C:C=B220,'Students (Vertical)'!O:O&lt;&gt;"""");filter('Students (Vertical)'!O:O,'Students (Vertical)'!C:C=E220,'Students (Vertical)'!O:O&lt;&gt;"""")},{filter('Students (Vertical)'!O:O,'Students ("&amp;"Vertical)'!C:C=B220,'Students (Vertical)'!O:O&lt;&gt;"""");filter('Students (Vertical)'!O:O,'Students (Vertical)'!C:C=E220,'Students (Vertical)'!O:O&lt;&gt;"""")})&gt;1))),""No shared courses""),"""")"),"")</f>
        <v/>
      </c>
      <c r="J220" s="357" t="str">
        <f>IFERROR(__xludf.DUMMYFUNCTION("if(H220=""Can't be Together"",iferror(join("", "",unique(filter({filter('Students (Vertical)'!O:O,'Students (Vertical)'!C:C=B220,'Students (Vertical)'!O:O&lt;&gt;"""",'Students (Vertical)'!P:P&gt;1);filter('Students (Vertical)'!O:O,'Students (Vertical)'!C:C=E220,'"&amp;"Students (Vertical)'!O:O&lt;&gt;"""",'Students (Vertical)'!P:P&gt;1)},countifs({filter('Students (Vertical)'!O:O,'Students (Vertical)'!C:C=B220,'Students (Vertical)'!O:O&lt;&gt;"""",'Students (Vertical)'!P:P&gt;1);filter('Students (Vertical)'!O:O,'Students (Vertical)'!C:C="&amp;"E220,'Students (Vertical)'!O:O&lt;&gt;"""",'Students (Vertical)'!P:P&gt;1)},{filter('Students (Vertical)'!O:O,'Students (Vertical)'!C:C=B220,'Students (Vertical)'!O:O&lt;&gt;"""",'Students (Vertical)'!P:P&gt;1);filter('Students (Vertical)'!O:O,'Students (Vertical)'!C:C=E22"&amp;"0,'Students (Vertical)'!O:O&lt;&gt;"""",'Students (Vertical)'!P:P&gt;1)})&gt;1))),""""),"""")"),"")</f>
        <v/>
      </c>
      <c r="K220" s="358"/>
    </row>
    <row r="221">
      <c r="A221" s="300" t="s">
        <v>22</v>
      </c>
      <c r="C221" s="300" t="s">
        <v>22</v>
      </c>
      <c r="D221" s="300" t="s">
        <v>22</v>
      </c>
      <c r="F221" s="300" t="s">
        <v>22</v>
      </c>
      <c r="G221" s="300" t="s">
        <v>22</v>
      </c>
      <c r="I221" s="356" t="str">
        <f>IFERROR(__xludf.DUMMYFUNCTION("if(H221=""Must be Together"",iferror(join("", "",unique(filter({filter('Students (Vertical)'!O:O,'Students (Vertical)'!C:C=B221,'Students (Vertical)'!O:O&lt;&gt;"""");filter('Students (Vertical)'!O:O,'Students (Vertical)'!C:C=E221,'Students (Vertical)'!O:O&lt;&gt;"""&amp;""")},countifs({filter('Students (Vertical)'!O:O,'Students (Vertical)'!C:C=B221,'Students (Vertical)'!O:O&lt;&gt;"""");filter('Students (Vertical)'!O:O,'Students (Vertical)'!C:C=E221,'Students (Vertical)'!O:O&lt;&gt;"""")},{filter('Students (Vertical)'!O:O,'Students ("&amp;"Vertical)'!C:C=B221,'Students (Vertical)'!O:O&lt;&gt;"""");filter('Students (Vertical)'!O:O,'Students (Vertical)'!C:C=E221,'Students (Vertical)'!O:O&lt;&gt;"""")})&gt;1))),""No shared courses""),"""")"),"")</f>
        <v/>
      </c>
      <c r="J221" s="357" t="str">
        <f>IFERROR(__xludf.DUMMYFUNCTION("if(H221=""Can't be Together"",iferror(join("", "",unique(filter({filter('Students (Vertical)'!O:O,'Students (Vertical)'!C:C=B221,'Students (Vertical)'!O:O&lt;&gt;"""",'Students (Vertical)'!P:P&gt;1);filter('Students (Vertical)'!O:O,'Students (Vertical)'!C:C=E221,'"&amp;"Students (Vertical)'!O:O&lt;&gt;"""",'Students (Vertical)'!P:P&gt;1)},countifs({filter('Students (Vertical)'!O:O,'Students (Vertical)'!C:C=B221,'Students (Vertical)'!O:O&lt;&gt;"""",'Students (Vertical)'!P:P&gt;1);filter('Students (Vertical)'!O:O,'Students (Vertical)'!C:C="&amp;"E221,'Students (Vertical)'!O:O&lt;&gt;"""",'Students (Vertical)'!P:P&gt;1)},{filter('Students (Vertical)'!O:O,'Students (Vertical)'!C:C=B221,'Students (Vertical)'!O:O&lt;&gt;"""",'Students (Vertical)'!P:P&gt;1);filter('Students (Vertical)'!O:O,'Students (Vertical)'!C:C=E22"&amp;"1,'Students (Vertical)'!O:O&lt;&gt;"""",'Students (Vertical)'!P:P&gt;1)})&gt;1))),""""),"""")"),"")</f>
        <v/>
      </c>
      <c r="K221" s="358"/>
    </row>
    <row r="222">
      <c r="A222" s="300" t="s">
        <v>22</v>
      </c>
      <c r="C222" s="300" t="s">
        <v>22</v>
      </c>
      <c r="D222" s="300" t="s">
        <v>22</v>
      </c>
      <c r="F222" s="300" t="s">
        <v>22</v>
      </c>
      <c r="G222" s="300" t="s">
        <v>22</v>
      </c>
      <c r="I222" s="356" t="str">
        <f>IFERROR(__xludf.DUMMYFUNCTION("if(H222=""Must be Together"",iferror(join("", "",unique(filter({filter('Students (Vertical)'!O:O,'Students (Vertical)'!C:C=B222,'Students (Vertical)'!O:O&lt;&gt;"""");filter('Students (Vertical)'!O:O,'Students (Vertical)'!C:C=E222,'Students (Vertical)'!O:O&lt;&gt;"""&amp;""")},countifs({filter('Students (Vertical)'!O:O,'Students (Vertical)'!C:C=B222,'Students (Vertical)'!O:O&lt;&gt;"""");filter('Students (Vertical)'!O:O,'Students (Vertical)'!C:C=E222,'Students (Vertical)'!O:O&lt;&gt;"""")},{filter('Students (Vertical)'!O:O,'Students ("&amp;"Vertical)'!C:C=B222,'Students (Vertical)'!O:O&lt;&gt;"""");filter('Students (Vertical)'!O:O,'Students (Vertical)'!C:C=E222,'Students (Vertical)'!O:O&lt;&gt;"""")})&gt;1))),""No shared courses""),"""")"),"")</f>
        <v/>
      </c>
      <c r="J222" s="357" t="str">
        <f>IFERROR(__xludf.DUMMYFUNCTION("if(H222=""Can't be Together"",iferror(join("", "",unique(filter({filter('Students (Vertical)'!O:O,'Students (Vertical)'!C:C=B222,'Students (Vertical)'!O:O&lt;&gt;"""",'Students (Vertical)'!P:P&gt;1);filter('Students (Vertical)'!O:O,'Students (Vertical)'!C:C=E222,'"&amp;"Students (Vertical)'!O:O&lt;&gt;"""",'Students (Vertical)'!P:P&gt;1)},countifs({filter('Students (Vertical)'!O:O,'Students (Vertical)'!C:C=B222,'Students (Vertical)'!O:O&lt;&gt;"""",'Students (Vertical)'!P:P&gt;1);filter('Students (Vertical)'!O:O,'Students (Vertical)'!C:C="&amp;"E222,'Students (Vertical)'!O:O&lt;&gt;"""",'Students (Vertical)'!P:P&gt;1)},{filter('Students (Vertical)'!O:O,'Students (Vertical)'!C:C=B222,'Students (Vertical)'!O:O&lt;&gt;"""",'Students (Vertical)'!P:P&gt;1);filter('Students (Vertical)'!O:O,'Students (Vertical)'!C:C=E22"&amp;"2,'Students (Vertical)'!O:O&lt;&gt;"""",'Students (Vertical)'!P:P&gt;1)})&gt;1))),""""),"""")"),"")</f>
        <v/>
      </c>
      <c r="K222" s="358"/>
    </row>
    <row r="223">
      <c r="A223" s="300" t="s">
        <v>22</v>
      </c>
      <c r="C223" s="300" t="s">
        <v>22</v>
      </c>
      <c r="D223" s="300" t="s">
        <v>22</v>
      </c>
      <c r="F223" s="300" t="s">
        <v>22</v>
      </c>
      <c r="G223" s="300" t="s">
        <v>22</v>
      </c>
      <c r="I223" s="356" t="str">
        <f>IFERROR(__xludf.DUMMYFUNCTION("if(H223=""Must be Together"",iferror(join("", "",unique(filter({filter('Students (Vertical)'!O:O,'Students (Vertical)'!C:C=B223,'Students (Vertical)'!O:O&lt;&gt;"""");filter('Students (Vertical)'!O:O,'Students (Vertical)'!C:C=E223,'Students (Vertical)'!O:O&lt;&gt;"""&amp;""")},countifs({filter('Students (Vertical)'!O:O,'Students (Vertical)'!C:C=B223,'Students (Vertical)'!O:O&lt;&gt;"""");filter('Students (Vertical)'!O:O,'Students (Vertical)'!C:C=E223,'Students (Vertical)'!O:O&lt;&gt;"""")},{filter('Students (Vertical)'!O:O,'Students ("&amp;"Vertical)'!C:C=B223,'Students (Vertical)'!O:O&lt;&gt;"""");filter('Students (Vertical)'!O:O,'Students (Vertical)'!C:C=E223,'Students (Vertical)'!O:O&lt;&gt;"""")})&gt;1))),""No shared courses""),"""")"),"")</f>
        <v/>
      </c>
      <c r="J223" s="357" t="str">
        <f>IFERROR(__xludf.DUMMYFUNCTION("if(H223=""Can't be Together"",iferror(join("", "",unique(filter({filter('Students (Vertical)'!O:O,'Students (Vertical)'!C:C=B223,'Students (Vertical)'!O:O&lt;&gt;"""",'Students (Vertical)'!P:P&gt;1);filter('Students (Vertical)'!O:O,'Students (Vertical)'!C:C=E223,'"&amp;"Students (Vertical)'!O:O&lt;&gt;"""",'Students (Vertical)'!P:P&gt;1)},countifs({filter('Students (Vertical)'!O:O,'Students (Vertical)'!C:C=B223,'Students (Vertical)'!O:O&lt;&gt;"""",'Students (Vertical)'!P:P&gt;1);filter('Students (Vertical)'!O:O,'Students (Vertical)'!C:C="&amp;"E223,'Students (Vertical)'!O:O&lt;&gt;"""",'Students (Vertical)'!P:P&gt;1)},{filter('Students (Vertical)'!O:O,'Students (Vertical)'!C:C=B223,'Students (Vertical)'!O:O&lt;&gt;"""",'Students (Vertical)'!P:P&gt;1);filter('Students (Vertical)'!O:O,'Students (Vertical)'!C:C=E22"&amp;"3,'Students (Vertical)'!O:O&lt;&gt;"""",'Students (Vertical)'!P:P&gt;1)})&gt;1))),""""),"""")"),"")</f>
        <v/>
      </c>
      <c r="K223" s="358"/>
    </row>
    <row r="224">
      <c r="A224" s="300" t="s">
        <v>22</v>
      </c>
      <c r="C224" s="300" t="s">
        <v>22</v>
      </c>
      <c r="D224" s="300" t="s">
        <v>22</v>
      </c>
      <c r="F224" s="300" t="s">
        <v>22</v>
      </c>
      <c r="G224" s="300" t="s">
        <v>22</v>
      </c>
      <c r="I224" s="356" t="str">
        <f>IFERROR(__xludf.DUMMYFUNCTION("if(H224=""Must be Together"",iferror(join("", "",unique(filter({filter('Students (Vertical)'!O:O,'Students (Vertical)'!C:C=B224,'Students (Vertical)'!O:O&lt;&gt;"""");filter('Students (Vertical)'!O:O,'Students (Vertical)'!C:C=E224,'Students (Vertical)'!O:O&lt;&gt;"""&amp;""")},countifs({filter('Students (Vertical)'!O:O,'Students (Vertical)'!C:C=B224,'Students (Vertical)'!O:O&lt;&gt;"""");filter('Students (Vertical)'!O:O,'Students (Vertical)'!C:C=E224,'Students (Vertical)'!O:O&lt;&gt;"""")},{filter('Students (Vertical)'!O:O,'Students ("&amp;"Vertical)'!C:C=B224,'Students (Vertical)'!O:O&lt;&gt;"""");filter('Students (Vertical)'!O:O,'Students (Vertical)'!C:C=E224,'Students (Vertical)'!O:O&lt;&gt;"""")})&gt;1))),""No shared courses""),"""")"),"")</f>
        <v/>
      </c>
      <c r="J224" s="357" t="str">
        <f>IFERROR(__xludf.DUMMYFUNCTION("if(H224=""Can't be Together"",iferror(join("", "",unique(filter({filter('Students (Vertical)'!O:O,'Students (Vertical)'!C:C=B224,'Students (Vertical)'!O:O&lt;&gt;"""",'Students (Vertical)'!P:P&gt;1);filter('Students (Vertical)'!O:O,'Students (Vertical)'!C:C=E224,'"&amp;"Students (Vertical)'!O:O&lt;&gt;"""",'Students (Vertical)'!P:P&gt;1)},countifs({filter('Students (Vertical)'!O:O,'Students (Vertical)'!C:C=B224,'Students (Vertical)'!O:O&lt;&gt;"""",'Students (Vertical)'!P:P&gt;1);filter('Students (Vertical)'!O:O,'Students (Vertical)'!C:C="&amp;"E224,'Students (Vertical)'!O:O&lt;&gt;"""",'Students (Vertical)'!P:P&gt;1)},{filter('Students (Vertical)'!O:O,'Students (Vertical)'!C:C=B224,'Students (Vertical)'!O:O&lt;&gt;"""",'Students (Vertical)'!P:P&gt;1);filter('Students (Vertical)'!O:O,'Students (Vertical)'!C:C=E22"&amp;"4,'Students (Vertical)'!O:O&lt;&gt;"""",'Students (Vertical)'!P:P&gt;1)})&gt;1))),""""),"""")"),"")</f>
        <v/>
      </c>
      <c r="K224" s="358"/>
    </row>
    <row r="225">
      <c r="A225" s="300" t="s">
        <v>22</v>
      </c>
      <c r="C225" s="300" t="s">
        <v>22</v>
      </c>
      <c r="D225" s="300" t="s">
        <v>22</v>
      </c>
      <c r="F225" s="300" t="s">
        <v>22</v>
      </c>
      <c r="G225" s="300" t="s">
        <v>22</v>
      </c>
      <c r="I225" s="356" t="str">
        <f>IFERROR(__xludf.DUMMYFUNCTION("if(H225=""Must be Together"",iferror(join("", "",unique(filter({filter('Students (Vertical)'!O:O,'Students (Vertical)'!C:C=B225,'Students (Vertical)'!O:O&lt;&gt;"""");filter('Students (Vertical)'!O:O,'Students (Vertical)'!C:C=E225,'Students (Vertical)'!O:O&lt;&gt;"""&amp;""")},countifs({filter('Students (Vertical)'!O:O,'Students (Vertical)'!C:C=B225,'Students (Vertical)'!O:O&lt;&gt;"""");filter('Students (Vertical)'!O:O,'Students (Vertical)'!C:C=E225,'Students (Vertical)'!O:O&lt;&gt;"""")},{filter('Students (Vertical)'!O:O,'Students ("&amp;"Vertical)'!C:C=B225,'Students (Vertical)'!O:O&lt;&gt;"""");filter('Students (Vertical)'!O:O,'Students (Vertical)'!C:C=E225,'Students (Vertical)'!O:O&lt;&gt;"""")})&gt;1))),""No shared courses""),"""")"),"")</f>
        <v/>
      </c>
      <c r="J225" s="357" t="str">
        <f>IFERROR(__xludf.DUMMYFUNCTION("if(H225=""Can't be Together"",iferror(join("", "",unique(filter({filter('Students (Vertical)'!O:O,'Students (Vertical)'!C:C=B225,'Students (Vertical)'!O:O&lt;&gt;"""",'Students (Vertical)'!P:P&gt;1);filter('Students (Vertical)'!O:O,'Students (Vertical)'!C:C=E225,'"&amp;"Students (Vertical)'!O:O&lt;&gt;"""",'Students (Vertical)'!P:P&gt;1)},countifs({filter('Students (Vertical)'!O:O,'Students (Vertical)'!C:C=B225,'Students (Vertical)'!O:O&lt;&gt;"""",'Students (Vertical)'!P:P&gt;1);filter('Students (Vertical)'!O:O,'Students (Vertical)'!C:C="&amp;"E225,'Students (Vertical)'!O:O&lt;&gt;"""",'Students (Vertical)'!P:P&gt;1)},{filter('Students (Vertical)'!O:O,'Students (Vertical)'!C:C=B225,'Students (Vertical)'!O:O&lt;&gt;"""",'Students (Vertical)'!P:P&gt;1);filter('Students (Vertical)'!O:O,'Students (Vertical)'!C:C=E22"&amp;"5,'Students (Vertical)'!O:O&lt;&gt;"""",'Students (Vertical)'!P:P&gt;1)})&gt;1))),""""),"""")"),"")</f>
        <v/>
      </c>
      <c r="K225" s="358"/>
    </row>
    <row r="226">
      <c r="A226" s="300" t="s">
        <v>22</v>
      </c>
      <c r="C226" s="300" t="s">
        <v>22</v>
      </c>
      <c r="D226" s="300" t="s">
        <v>22</v>
      </c>
      <c r="F226" s="300" t="s">
        <v>22</v>
      </c>
      <c r="G226" s="300" t="s">
        <v>22</v>
      </c>
      <c r="I226" s="356" t="str">
        <f>IFERROR(__xludf.DUMMYFUNCTION("if(H226=""Must be Together"",iferror(join("", "",unique(filter({filter('Students (Vertical)'!O:O,'Students (Vertical)'!C:C=B226,'Students (Vertical)'!O:O&lt;&gt;"""");filter('Students (Vertical)'!O:O,'Students (Vertical)'!C:C=E226,'Students (Vertical)'!O:O&lt;&gt;"""&amp;""")},countifs({filter('Students (Vertical)'!O:O,'Students (Vertical)'!C:C=B226,'Students (Vertical)'!O:O&lt;&gt;"""");filter('Students (Vertical)'!O:O,'Students (Vertical)'!C:C=E226,'Students (Vertical)'!O:O&lt;&gt;"""")},{filter('Students (Vertical)'!O:O,'Students ("&amp;"Vertical)'!C:C=B226,'Students (Vertical)'!O:O&lt;&gt;"""");filter('Students (Vertical)'!O:O,'Students (Vertical)'!C:C=E226,'Students (Vertical)'!O:O&lt;&gt;"""")})&gt;1))),""No shared courses""),"""")"),"")</f>
        <v/>
      </c>
      <c r="J226" s="357" t="str">
        <f>IFERROR(__xludf.DUMMYFUNCTION("if(H226=""Can't be Together"",iferror(join("", "",unique(filter({filter('Students (Vertical)'!O:O,'Students (Vertical)'!C:C=B226,'Students (Vertical)'!O:O&lt;&gt;"""",'Students (Vertical)'!P:P&gt;1);filter('Students (Vertical)'!O:O,'Students (Vertical)'!C:C=E226,'"&amp;"Students (Vertical)'!O:O&lt;&gt;"""",'Students (Vertical)'!P:P&gt;1)},countifs({filter('Students (Vertical)'!O:O,'Students (Vertical)'!C:C=B226,'Students (Vertical)'!O:O&lt;&gt;"""",'Students (Vertical)'!P:P&gt;1);filter('Students (Vertical)'!O:O,'Students (Vertical)'!C:C="&amp;"E226,'Students (Vertical)'!O:O&lt;&gt;"""",'Students (Vertical)'!P:P&gt;1)},{filter('Students (Vertical)'!O:O,'Students (Vertical)'!C:C=B226,'Students (Vertical)'!O:O&lt;&gt;"""",'Students (Vertical)'!P:P&gt;1);filter('Students (Vertical)'!O:O,'Students (Vertical)'!C:C=E22"&amp;"6,'Students (Vertical)'!O:O&lt;&gt;"""",'Students (Vertical)'!P:P&gt;1)})&gt;1))),""""),"""")"),"")</f>
        <v/>
      </c>
      <c r="K226" s="358"/>
    </row>
    <row r="227">
      <c r="A227" s="300" t="s">
        <v>22</v>
      </c>
      <c r="C227" s="300" t="s">
        <v>22</v>
      </c>
      <c r="D227" s="300" t="s">
        <v>22</v>
      </c>
      <c r="F227" s="300" t="s">
        <v>22</v>
      </c>
      <c r="G227" s="300" t="s">
        <v>22</v>
      </c>
      <c r="I227" s="356" t="str">
        <f>IFERROR(__xludf.DUMMYFUNCTION("if(H227=""Must be Together"",iferror(join("", "",unique(filter({filter('Students (Vertical)'!O:O,'Students (Vertical)'!C:C=B227,'Students (Vertical)'!O:O&lt;&gt;"""");filter('Students (Vertical)'!O:O,'Students (Vertical)'!C:C=E227,'Students (Vertical)'!O:O&lt;&gt;"""&amp;""")},countifs({filter('Students (Vertical)'!O:O,'Students (Vertical)'!C:C=B227,'Students (Vertical)'!O:O&lt;&gt;"""");filter('Students (Vertical)'!O:O,'Students (Vertical)'!C:C=E227,'Students (Vertical)'!O:O&lt;&gt;"""")},{filter('Students (Vertical)'!O:O,'Students ("&amp;"Vertical)'!C:C=B227,'Students (Vertical)'!O:O&lt;&gt;"""");filter('Students (Vertical)'!O:O,'Students (Vertical)'!C:C=E227,'Students (Vertical)'!O:O&lt;&gt;"""")})&gt;1))),""No shared courses""),"""")"),"")</f>
        <v/>
      </c>
      <c r="J227" s="357" t="str">
        <f>IFERROR(__xludf.DUMMYFUNCTION("if(H227=""Can't be Together"",iferror(join("", "",unique(filter({filter('Students (Vertical)'!O:O,'Students (Vertical)'!C:C=B227,'Students (Vertical)'!O:O&lt;&gt;"""",'Students (Vertical)'!P:P&gt;1);filter('Students (Vertical)'!O:O,'Students (Vertical)'!C:C=E227,'"&amp;"Students (Vertical)'!O:O&lt;&gt;"""",'Students (Vertical)'!P:P&gt;1)},countifs({filter('Students (Vertical)'!O:O,'Students (Vertical)'!C:C=B227,'Students (Vertical)'!O:O&lt;&gt;"""",'Students (Vertical)'!P:P&gt;1);filter('Students (Vertical)'!O:O,'Students (Vertical)'!C:C="&amp;"E227,'Students (Vertical)'!O:O&lt;&gt;"""",'Students (Vertical)'!P:P&gt;1)},{filter('Students (Vertical)'!O:O,'Students (Vertical)'!C:C=B227,'Students (Vertical)'!O:O&lt;&gt;"""",'Students (Vertical)'!P:P&gt;1);filter('Students (Vertical)'!O:O,'Students (Vertical)'!C:C=E22"&amp;"7,'Students (Vertical)'!O:O&lt;&gt;"""",'Students (Vertical)'!P:P&gt;1)})&gt;1))),""""),"""")"),"")</f>
        <v/>
      </c>
      <c r="K227" s="358"/>
    </row>
    <row r="228">
      <c r="A228" s="300" t="s">
        <v>22</v>
      </c>
      <c r="C228" s="300" t="s">
        <v>22</v>
      </c>
      <c r="D228" s="300" t="s">
        <v>22</v>
      </c>
      <c r="F228" s="300" t="s">
        <v>22</v>
      </c>
      <c r="G228" s="300" t="s">
        <v>22</v>
      </c>
      <c r="I228" s="356" t="str">
        <f>IFERROR(__xludf.DUMMYFUNCTION("if(H228=""Must be Together"",iferror(join("", "",unique(filter({filter('Students (Vertical)'!O:O,'Students (Vertical)'!C:C=B228,'Students (Vertical)'!O:O&lt;&gt;"""");filter('Students (Vertical)'!O:O,'Students (Vertical)'!C:C=E228,'Students (Vertical)'!O:O&lt;&gt;"""&amp;""")},countifs({filter('Students (Vertical)'!O:O,'Students (Vertical)'!C:C=B228,'Students (Vertical)'!O:O&lt;&gt;"""");filter('Students (Vertical)'!O:O,'Students (Vertical)'!C:C=E228,'Students (Vertical)'!O:O&lt;&gt;"""")},{filter('Students (Vertical)'!O:O,'Students ("&amp;"Vertical)'!C:C=B228,'Students (Vertical)'!O:O&lt;&gt;"""");filter('Students (Vertical)'!O:O,'Students (Vertical)'!C:C=E228,'Students (Vertical)'!O:O&lt;&gt;"""")})&gt;1))),""No shared courses""),"""")"),"")</f>
        <v/>
      </c>
      <c r="J228" s="357" t="str">
        <f>IFERROR(__xludf.DUMMYFUNCTION("if(H228=""Can't be Together"",iferror(join("", "",unique(filter({filter('Students (Vertical)'!O:O,'Students (Vertical)'!C:C=B228,'Students (Vertical)'!O:O&lt;&gt;"""",'Students (Vertical)'!P:P&gt;1);filter('Students (Vertical)'!O:O,'Students (Vertical)'!C:C=E228,'"&amp;"Students (Vertical)'!O:O&lt;&gt;"""",'Students (Vertical)'!P:P&gt;1)},countifs({filter('Students (Vertical)'!O:O,'Students (Vertical)'!C:C=B228,'Students (Vertical)'!O:O&lt;&gt;"""",'Students (Vertical)'!P:P&gt;1);filter('Students (Vertical)'!O:O,'Students (Vertical)'!C:C="&amp;"E228,'Students (Vertical)'!O:O&lt;&gt;"""",'Students (Vertical)'!P:P&gt;1)},{filter('Students (Vertical)'!O:O,'Students (Vertical)'!C:C=B228,'Students (Vertical)'!O:O&lt;&gt;"""",'Students (Vertical)'!P:P&gt;1);filter('Students (Vertical)'!O:O,'Students (Vertical)'!C:C=E22"&amp;"8,'Students (Vertical)'!O:O&lt;&gt;"""",'Students (Vertical)'!P:P&gt;1)})&gt;1))),""""),"""")"),"")</f>
        <v/>
      </c>
      <c r="K228" s="358"/>
    </row>
    <row r="229">
      <c r="A229" s="300" t="s">
        <v>22</v>
      </c>
      <c r="C229" s="300" t="s">
        <v>22</v>
      </c>
      <c r="D229" s="300" t="s">
        <v>22</v>
      </c>
      <c r="F229" s="300" t="s">
        <v>22</v>
      </c>
      <c r="G229" s="300" t="s">
        <v>22</v>
      </c>
      <c r="I229" s="356" t="str">
        <f>IFERROR(__xludf.DUMMYFUNCTION("if(H229=""Must be Together"",iferror(join("", "",unique(filter({filter('Students (Vertical)'!O:O,'Students (Vertical)'!C:C=B229,'Students (Vertical)'!O:O&lt;&gt;"""");filter('Students (Vertical)'!O:O,'Students (Vertical)'!C:C=E229,'Students (Vertical)'!O:O&lt;&gt;"""&amp;""")},countifs({filter('Students (Vertical)'!O:O,'Students (Vertical)'!C:C=B229,'Students (Vertical)'!O:O&lt;&gt;"""");filter('Students (Vertical)'!O:O,'Students (Vertical)'!C:C=E229,'Students (Vertical)'!O:O&lt;&gt;"""")},{filter('Students (Vertical)'!O:O,'Students ("&amp;"Vertical)'!C:C=B229,'Students (Vertical)'!O:O&lt;&gt;"""");filter('Students (Vertical)'!O:O,'Students (Vertical)'!C:C=E229,'Students (Vertical)'!O:O&lt;&gt;"""")})&gt;1))),""No shared courses""),"""")"),"")</f>
        <v/>
      </c>
      <c r="J229" s="357" t="str">
        <f>IFERROR(__xludf.DUMMYFUNCTION("if(H229=""Can't be Together"",iferror(join("", "",unique(filter({filter('Students (Vertical)'!O:O,'Students (Vertical)'!C:C=B229,'Students (Vertical)'!O:O&lt;&gt;"""",'Students (Vertical)'!P:P&gt;1);filter('Students (Vertical)'!O:O,'Students (Vertical)'!C:C=E229,'"&amp;"Students (Vertical)'!O:O&lt;&gt;"""",'Students (Vertical)'!P:P&gt;1)},countifs({filter('Students (Vertical)'!O:O,'Students (Vertical)'!C:C=B229,'Students (Vertical)'!O:O&lt;&gt;"""",'Students (Vertical)'!P:P&gt;1);filter('Students (Vertical)'!O:O,'Students (Vertical)'!C:C="&amp;"E229,'Students (Vertical)'!O:O&lt;&gt;"""",'Students (Vertical)'!P:P&gt;1)},{filter('Students (Vertical)'!O:O,'Students (Vertical)'!C:C=B229,'Students (Vertical)'!O:O&lt;&gt;"""",'Students (Vertical)'!P:P&gt;1);filter('Students (Vertical)'!O:O,'Students (Vertical)'!C:C=E22"&amp;"9,'Students (Vertical)'!O:O&lt;&gt;"""",'Students (Vertical)'!P:P&gt;1)})&gt;1))),""""),"""")"),"")</f>
        <v/>
      </c>
      <c r="K229" s="358"/>
    </row>
    <row r="230">
      <c r="A230" s="300" t="s">
        <v>22</v>
      </c>
      <c r="C230" s="300" t="s">
        <v>22</v>
      </c>
      <c r="D230" s="300" t="s">
        <v>22</v>
      </c>
      <c r="F230" s="300" t="s">
        <v>22</v>
      </c>
      <c r="G230" s="300" t="s">
        <v>22</v>
      </c>
      <c r="I230" s="356" t="str">
        <f>IFERROR(__xludf.DUMMYFUNCTION("if(H230=""Must be Together"",iferror(join("", "",unique(filter({filter('Students (Vertical)'!O:O,'Students (Vertical)'!C:C=B230,'Students (Vertical)'!O:O&lt;&gt;"""");filter('Students (Vertical)'!O:O,'Students (Vertical)'!C:C=E230,'Students (Vertical)'!O:O&lt;&gt;"""&amp;""")},countifs({filter('Students (Vertical)'!O:O,'Students (Vertical)'!C:C=B230,'Students (Vertical)'!O:O&lt;&gt;"""");filter('Students (Vertical)'!O:O,'Students (Vertical)'!C:C=E230,'Students (Vertical)'!O:O&lt;&gt;"""")},{filter('Students (Vertical)'!O:O,'Students ("&amp;"Vertical)'!C:C=B230,'Students (Vertical)'!O:O&lt;&gt;"""");filter('Students (Vertical)'!O:O,'Students (Vertical)'!C:C=E230,'Students (Vertical)'!O:O&lt;&gt;"""")})&gt;1))),""No shared courses""),"""")"),"")</f>
        <v/>
      </c>
      <c r="J230" s="357" t="str">
        <f>IFERROR(__xludf.DUMMYFUNCTION("if(H230=""Can't be Together"",iferror(join("", "",unique(filter({filter('Students (Vertical)'!O:O,'Students (Vertical)'!C:C=B230,'Students (Vertical)'!O:O&lt;&gt;"""",'Students (Vertical)'!P:P&gt;1);filter('Students (Vertical)'!O:O,'Students (Vertical)'!C:C=E230,'"&amp;"Students (Vertical)'!O:O&lt;&gt;"""",'Students (Vertical)'!P:P&gt;1)},countifs({filter('Students (Vertical)'!O:O,'Students (Vertical)'!C:C=B230,'Students (Vertical)'!O:O&lt;&gt;"""",'Students (Vertical)'!P:P&gt;1);filter('Students (Vertical)'!O:O,'Students (Vertical)'!C:C="&amp;"E230,'Students (Vertical)'!O:O&lt;&gt;"""",'Students (Vertical)'!P:P&gt;1)},{filter('Students (Vertical)'!O:O,'Students (Vertical)'!C:C=B230,'Students (Vertical)'!O:O&lt;&gt;"""",'Students (Vertical)'!P:P&gt;1);filter('Students (Vertical)'!O:O,'Students (Vertical)'!C:C=E23"&amp;"0,'Students (Vertical)'!O:O&lt;&gt;"""",'Students (Vertical)'!P:P&gt;1)})&gt;1))),""""),"""")"),"")</f>
        <v/>
      </c>
      <c r="K230" s="358"/>
    </row>
    <row r="231">
      <c r="A231" s="300" t="s">
        <v>22</v>
      </c>
      <c r="C231" s="300" t="s">
        <v>22</v>
      </c>
      <c r="D231" s="300" t="s">
        <v>22</v>
      </c>
      <c r="F231" s="300" t="s">
        <v>22</v>
      </c>
      <c r="G231" s="300" t="s">
        <v>22</v>
      </c>
      <c r="I231" s="356" t="str">
        <f>IFERROR(__xludf.DUMMYFUNCTION("if(H231=""Must be Together"",iferror(join("", "",unique(filter({filter('Students (Vertical)'!O:O,'Students (Vertical)'!C:C=B231,'Students (Vertical)'!O:O&lt;&gt;"""");filter('Students (Vertical)'!O:O,'Students (Vertical)'!C:C=E231,'Students (Vertical)'!O:O&lt;&gt;"""&amp;""")},countifs({filter('Students (Vertical)'!O:O,'Students (Vertical)'!C:C=B231,'Students (Vertical)'!O:O&lt;&gt;"""");filter('Students (Vertical)'!O:O,'Students (Vertical)'!C:C=E231,'Students (Vertical)'!O:O&lt;&gt;"""")},{filter('Students (Vertical)'!O:O,'Students ("&amp;"Vertical)'!C:C=B231,'Students (Vertical)'!O:O&lt;&gt;"""");filter('Students (Vertical)'!O:O,'Students (Vertical)'!C:C=E231,'Students (Vertical)'!O:O&lt;&gt;"""")})&gt;1))),""No shared courses""),"""")"),"")</f>
        <v/>
      </c>
      <c r="J231" s="357" t="str">
        <f>IFERROR(__xludf.DUMMYFUNCTION("if(H231=""Can't be Together"",iferror(join("", "",unique(filter({filter('Students (Vertical)'!O:O,'Students (Vertical)'!C:C=B231,'Students (Vertical)'!O:O&lt;&gt;"""",'Students (Vertical)'!P:P&gt;1);filter('Students (Vertical)'!O:O,'Students (Vertical)'!C:C=E231,'"&amp;"Students (Vertical)'!O:O&lt;&gt;"""",'Students (Vertical)'!P:P&gt;1)},countifs({filter('Students (Vertical)'!O:O,'Students (Vertical)'!C:C=B231,'Students (Vertical)'!O:O&lt;&gt;"""",'Students (Vertical)'!P:P&gt;1);filter('Students (Vertical)'!O:O,'Students (Vertical)'!C:C="&amp;"E231,'Students (Vertical)'!O:O&lt;&gt;"""",'Students (Vertical)'!P:P&gt;1)},{filter('Students (Vertical)'!O:O,'Students (Vertical)'!C:C=B231,'Students (Vertical)'!O:O&lt;&gt;"""",'Students (Vertical)'!P:P&gt;1);filter('Students (Vertical)'!O:O,'Students (Vertical)'!C:C=E23"&amp;"1,'Students (Vertical)'!O:O&lt;&gt;"""",'Students (Vertical)'!P:P&gt;1)})&gt;1))),""""),"""")"),"")</f>
        <v/>
      </c>
      <c r="K231" s="358"/>
    </row>
    <row r="232">
      <c r="A232" s="300" t="s">
        <v>22</v>
      </c>
      <c r="C232" s="300" t="s">
        <v>22</v>
      </c>
      <c r="D232" s="300" t="s">
        <v>22</v>
      </c>
      <c r="F232" s="300" t="s">
        <v>22</v>
      </c>
      <c r="G232" s="300" t="s">
        <v>22</v>
      </c>
      <c r="I232" s="356" t="str">
        <f>IFERROR(__xludf.DUMMYFUNCTION("if(H232=""Must be Together"",iferror(join("", "",unique(filter({filter('Students (Vertical)'!O:O,'Students (Vertical)'!C:C=B232,'Students (Vertical)'!O:O&lt;&gt;"""");filter('Students (Vertical)'!O:O,'Students (Vertical)'!C:C=E232,'Students (Vertical)'!O:O&lt;&gt;"""&amp;""")},countifs({filter('Students (Vertical)'!O:O,'Students (Vertical)'!C:C=B232,'Students (Vertical)'!O:O&lt;&gt;"""");filter('Students (Vertical)'!O:O,'Students (Vertical)'!C:C=E232,'Students (Vertical)'!O:O&lt;&gt;"""")},{filter('Students (Vertical)'!O:O,'Students ("&amp;"Vertical)'!C:C=B232,'Students (Vertical)'!O:O&lt;&gt;"""");filter('Students (Vertical)'!O:O,'Students (Vertical)'!C:C=E232,'Students (Vertical)'!O:O&lt;&gt;"""")})&gt;1))),""No shared courses""),"""")"),"")</f>
        <v/>
      </c>
      <c r="J232" s="357" t="str">
        <f>IFERROR(__xludf.DUMMYFUNCTION("if(H232=""Can't be Together"",iferror(join("", "",unique(filter({filter('Students (Vertical)'!O:O,'Students (Vertical)'!C:C=B232,'Students (Vertical)'!O:O&lt;&gt;"""",'Students (Vertical)'!P:P&gt;1);filter('Students (Vertical)'!O:O,'Students (Vertical)'!C:C=E232,'"&amp;"Students (Vertical)'!O:O&lt;&gt;"""",'Students (Vertical)'!P:P&gt;1)},countifs({filter('Students (Vertical)'!O:O,'Students (Vertical)'!C:C=B232,'Students (Vertical)'!O:O&lt;&gt;"""",'Students (Vertical)'!P:P&gt;1);filter('Students (Vertical)'!O:O,'Students (Vertical)'!C:C="&amp;"E232,'Students (Vertical)'!O:O&lt;&gt;"""",'Students (Vertical)'!P:P&gt;1)},{filter('Students (Vertical)'!O:O,'Students (Vertical)'!C:C=B232,'Students (Vertical)'!O:O&lt;&gt;"""",'Students (Vertical)'!P:P&gt;1);filter('Students (Vertical)'!O:O,'Students (Vertical)'!C:C=E23"&amp;"2,'Students (Vertical)'!O:O&lt;&gt;"""",'Students (Vertical)'!P:P&gt;1)})&gt;1))),""""),"""")"),"")</f>
        <v/>
      </c>
      <c r="K232" s="358"/>
    </row>
    <row r="233">
      <c r="A233" s="300" t="s">
        <v>22</v>
      </c>
      <c r="C233" s="300" t="s">
        <v>22</v>
      </c>
      <c r="D233" s="300" t="s">
        <v>22</v>
      </c>
      <c r="F233" s="300" t="s">
        <v>22</v>
      </c>
      <c r="G233" s="300" t="s">
        <v>22</v>
      </c>
      <c r="I233" s="356" t="str">
        <f>IFERROR(__xludf.DUMMYFUNCTION("if(H233=""Must be Together"",iferror(join("", "",unique(filter({filter('Students (Vertical)'!O:O,'Students (Vertical)'!C:C=B233,'Students (Vertical)'!O:O&lt;&gt;"""");filter('Students (Vertical)'!O:O,'Students (Vertical)'!C:C=E233,'Students (Vertical)'!O:O&lt;&gt;"""&amp;""")},countifs({filter('Students (Vertical)'!O:O,'Students (Vertical)'!C:C=B233,'Students (Vertical)'!O:O&lt;&gt;"""");filter('Students (Vertical)'!O:O,'Students (Vertical)'!C:C=E233,'Students (Vertical)'!O:O&lt;&gt;"""")},{filter('Students (Vertical)'!O:O,'Students ("&amp;"Vertical)'!C:C=B233,'Students (Vertical)'!O:O&lt;&gt;"""");filter('Students (Vertical)'!O:O,'Students (Vertical)'!C:C=E233,'Students (Vertical)'!O:O&lt;&gt;"""")})&gt;1))),""No shared courses""),"""")"),"")</f>
        <v/>
      </c>
      <c r="J233" s="357" t="str">
        <f>IFERROR(__xludf.DUMMYFUNCTION("if(H233=""Can't be Together"",iferror(join("", "",unique(filter({filter('Students (Vertical)'!O:O,'Students (Vertical)'!C:C=B233,'Students (Vertical)'!O:O&lt;&gt;"""",'Students (Vertical)'!P:P&gt;1);filter('Students (Vertical)'!O:O,'Students (Vertical)'!C:C=E233,'"&amp;"Students (Vertical)'!O:O&lt;&gt;"""",'Students (Vertical)'!P:P&gt;1)},countifs({filter('Students (Vertical)'!O:O,'Students (Vertical)'!C:C=B233,'Students (Vertical)'!O:O&lt;&gt;"""",'Students (Vertical)'!P:P&gt;1);filter('Students (Vertical)'!O:O,'Students (Vertical)'!C:C="&amp;"E233,'Students (Vertical)'!O:O&lt;&gt;"""",'Students (Vertical)'!P:P&gt;1)},{filter('Students (Vertical)'!O:O,'Students (Vertical)'!C:C=B233,'Students (Vertical)'!O:O&lt;&gt;"""",'Students (Vertical)'!P:P&gt;1);filter('Students (Vertical)'!O:O,'Students (Vertical)'!C:C=E23"&amp;"3,'Students (Vertical)'!O:O&lt;&gt;"""",'Students (Vertical)'!P:P&gt;1)})&gt;1))),""""),"""")"),"")</f>
        <v/>
      </c>
      <c r="K233" s="358"/>
    </row>
    <row r="234">
      <c r="A234" s="300" t="s">
        <v>22</v>
      </c>
      <c r="C234" s="300" t="s">
        <v>22</v>
      </c>
      <c r="D234" s="300" t="s">
        <v>22</v>
      </c>
      <c r="F234" s="300" t="s">
        <v>22</v>
      </c>
      <c r="G234" s="300" t="s">
        <v>22</v>
      </c>
      <c r="I234" s="356" t="str">
        <f>IFERROR(__xludf.DUMMYFUNCTION("if(H234=""Must be Together"",iferror(join("", "",unique(filter({filter('Students (Vertical)'!O:O,'Students (Vertical)'!C:C=B234,'Students (Vertical)'!O:O&lt;&gt;"""");filter('Students (Vertical)'!O:O,'Students (Vertical)'!C:C=E234,'Students (Vertical)'!O:O&lt;&gt;"""&amp;""")},countifs({filter('Students (Vertical)'!O:O,'Students (Vertical)'!C:C=B234,'Students (Vertical)'!O:O&lt;&gt;"""");filter('Students (Vertical)'!O:O,'Students (Vertical)'!C:C=E234,'Students (Vertical)'!O:O&lt;&gt;"""")},{filter('Students (Vertical)'!O:O,'Students ("&amp;"Vertical)'!C:C=B234,'Students (Vertical)'!O:O&lt;&gt;"""");filter('Students (Vertical)'!O:O,'Students (Vertical)'!C:C=E234,'Students (Vertical)'!O:O&lt;&gt;"""")})&gt;1))),""No shared courses""),"""")"),"")</f>
        <v/>
      </c>
      <c r="J234" s="357" t="str">
        <f>IFERROR(__xludf.DUMMYFUNCTION("if(H234=""Can't be Together"",iferror(join("", "",unique(filter({filter('Students (Vertical)'!O:O,'Students (Vertical)'!C:C=B234,'Students (Vertical)'!O:O&lt;&gt;"""",'Students (Vertical)'!P:P&gt;1);filter('Students (Vertical)'!O:O,'Students (Vertical)'!C:C=E234,'"&amp;"Students (Vertical)'!O:O&lt;&gt;"""",'Students (Vertical)'!P:P&gt;1)},countifs({filter('Students (Vertical)'!O:O,'Students (Vertical)'!C:C=B234,'Students (Vertical)'!O:O&lt;&gt;"""",'Students (Vertical)'!P:P&gt;1);filter('Students (Vertical)'!O:O,'Students (Vertical)'!C:C="&amp;"E234,'Students (Vertical)'!O:O&lt;&gt;"""",'Students (Vertical)'!P:P&gt;1)},{filter('Students (Vertical)'!O:O,'Students (Vertical)'!C:C=B234,'Students (Vertical)'!O:O&lt;&gt;"""",'Students (Vertical)'!P:P&gt;1);filter('Students (Vertical)'!O:O,'Students (Vertical)'!C:C=E23"&amp;"4,'Students (Vertical)'!O:O&lt;&gt;"""",'Students (Vertical)'!P:P&gt;1)})&gt;1))),""""),"""")"),"")</f>
        <v/>
      </c>
      <c r="K234" s="358"/>
    </row>
    <row r="235">
      <c r="A235" s="300" t="s">
        <v>22</v>
      </c>
      <c r="C235" s="300" t="s">
        <v>22</v>
      </c>
      <c r="D235" s="300" t="s">
        <v>22</v>
      </c>
      <c r="F235" s="300" t="s">
        <v>22</v>
      </c>
      <c r="G235" s="300" t="s">
        <v>22</v>
      </c>
      <c r="I235" s="356" t="str">
        <f>IFERROR(__xludf.DUMMYFUNCTION("if(H235=""Must be Together"",iferror(join("", "",unique(filter({filter('Students (Vertical)'!O:O,'Students (Vertical)'!C:C=B235,'Students (Vertical)'!O:O&lt;&gt;"""");filter('Students (Vertical)'!O:O,'Students (Vertical)'!C:C=E235,'Students (Vertical)'!O:O&lt;&gt;"""&amp;""")},countifs({filter('Students (Vertical)'!O:O,'Students (Vertical)'!C:C=B235,'Students (Vertical)'!O:O&lt;&gt;"""");filter('Students (Vertical)'!O:O,'Students (Vertical)'!C:C=E235,'Students (Vertical)'!O:O&lt;&gt;"""")},{filter('Students (Vertical)'!O:O,'Students ("&amp;"Vertical)'!C:C=B235,'Students (Vertical)'!O:O&lt;&gt;"""");filter('Students (Vertical)'!O:O,'Students (Vertical)'!C:C=E235,'Students (Vertical)'!O:O&lt;&gt;"""")})&gt;1))),""No shared courses""),"""")"),"")</f>
        <v/>
      </c>
      <c r="J235" s="357" t="str">
        <f>IFERROR(__xludf.DUMMYFUNCTION("if(H235=""Can't be Together"",iferror(join("", "",unique(filter({filter('Students (Vertical)'!O:O,'Students (Vertical)'!C:C=B235,'Students (Vertical)'!O:O&lt;&gt;"""",'Students (Vertical)'!P:P&gt;1);filter('Students (Vertical)'!O:O,'Students (Vertical)'!C:C=E235,'"&amp;"Students (Vertical)'!O:O&lt;&gt;"""",'Students (Vertical)'!P:P&gt;1)},countifs({filter('Students (Vertical)'!O:O,'Students (Vertical)'!C:C=B235,'Students (Vertical)'!O:O&lt;&gt;"""",'Students (Vertical)'!P:P&gt;1);filter('Students (Vertical)'!O:O,'Students (Vertical)'!C:C="&amp;"E235,'Students (Vertical)'!O:O&lt;&gt;"""",'Students (Vertical)'!P:P&gt;1)},{filter('Students (Vertical)'!O:O,'Students (Vertical)'!C:C=B235,'Students (Vertical)'!O:O&lt;&gt;"""",'Students (Vertical)'!P:P&gt;1);filter('Students (Vertical)'!O:O,'Students (Vertical)'!C:C=E23"&amp;"5,'Students (Vertical)'!O:O&lt;&gt;"""",'Students (Vertical)'!P:P&gt;1)})&gt;1))),""""),"""")"),"")</f>
        <v/>
      </c>
      <c r="K235" s="358"/>
    </row>
    <row r="236">
      <c r="A236" s="300" t="s">
        <v>22</v>
      </c>
      <c r="C236" s="300" t="s">
        <v>22</v>
      </c>
      <c r="D236" s="300" t="s">
        <v>22</v>
      </c>
      <c r="F236" s="300" t="s">
        <v>22</v>
      </c>
      <c r="G236" s="300" t="s">
        <v>22</v>
      </c>
      <c r="I236" s="356" t="str">
        <f>IFERROR(__xludf.DUMMYFUNCTION("if(H236=""Must be Together"",iferror(join("", "",unique(filter({filter('Students (Vertical)'!O:O,'Students (Vertical)'!C:C=B236,'Students (Vertical)'!O:O&lt;&gt;"""");filter('Students (Vertical)'!O:O,'Students (Vertical)'!C:C=E236,'Students (Vertical)'!O:O&lt;&gt;"""&amp;""")},countifs({filter('Students (Vertical)'!O:O,'Students (Vertical)'!C:C=B236,'Students (Vertical)'!O:O&lt;&gt;"""");filter('Students (Vertical)'!O:O,'Students (Vertical)'!C:C=E236,'Students (Vertical)'!O:O&lt;&gt;"""")},{filter('Students (Vertical)'!O:O,'Students ("&amp;"Vertical)'!C:C=B236,'Students (Vertical)'!O:O&lt;&gt;"""");filter('Students (Vertical)'!O:O,'Students (Vertical)'!C:C=E236,'Students (Vertical)'!O:O&lt;&gt;"""")})&gt;1))),""No shared courses""),"""")"),"")</f>
        <v/>
      </c>
      <c r="J236" s="357" t="str">
        <f>IFERROR(__xludf.DUMMYFUNCTION("if(H236=""Can't be Together"",iferror(join("", "",unique(filter({filter('Students (Vertical)'!O:O,'Students (Vertical)'!C:C=B236,'Students (Vertical)'!O:O&lt;&gt;"""",'Students (Vertical)'!P:P&gt;1);filter('Students (Vertical)'!O:O,'Students (Vertical)'!C:C=E236,'"&amp;"Students (Vertical)'!O:O&lt;&gt;"""",'Students (Vertical)'!P:P&gt;1)},countifs({filter('Students (Vertical)'!O:O,'Students (Vertical)'!C:C=B236,'Students (Vertical)'!O:O&lt;&gt;"""",'Students (Vertical)'!P:P&gt;1);filter('Students (Vertical)'!O:O,'Students (Vertical)'!C:C="&amp;"E236,'Students (Vertical)'!O:O&lt;&gt;"""",'Students (Vertical)'!P:P&gt;1)},{filter('Students (Vertical)'!O:O,'Students (Vertical)'!C:C=B236,'Students (Vertical)'!O:O&lt;&gt;"""",'Students (Vertical)'!P:P&gt;1);filter('Students (Vertical)'!O:O,'Students (Vertical)'!C:C=E23"&amp;"6,'Students (Vertical)'!O:O&lt;&gt;"""",'Students (Vertical)'!P:P&gt;1)})&gt;1))),""""),"""")"),"")</f>
        <v/>
      </c>
      <c r="K236" s="358"/>
    </row>
    <row r="237">
      <c r="A237" s="300" t="s">
        <v>22</v>
      </c>
      <c r="C237" s="300" t="s">
        <v>22</v>
      </c>
      <c r="D237" s="300" t="s">
        <v>22</v>
      </c>
      <c r="F237" s="300" t="s">
        <v>22</v>
      </c>
      <c r="G237" s="300" t="s">
        <v>22</v>
      </c>
      <c r="I237" s="356" t="str">
        <f>IFERROR(__xludf.DUMMYFUNCTION("if(H237=""Must be Together"",iferror(join("", "",unique(filter({filter('Students (Vertical)'!O:O,'Students (Vertical)'!C:C=B237,'Students (Vertical)'!O:O&lt;&gt;"""");filter('Students (Vertical)'!O:O,'Students (Vertical)'!C:C=E237,'Students (Vertical)'!O:O&lt;&gt;"""&amp;""")},countifs({filter('Students (Vertical)'!O:O,'Students (Vertical)'!C:C=B237,'Students (Vertical)'!O:O&lt;&gt;"""");filter('Students (Vertical)'!O:O,'Students (Vertical)'!C:C=E237,'Students (Vertical)'!O:O&lt;&gt;"""")},{filter('Students (Vertical)'!O:O,'Students ("&amp;"Vertical)'!C:C=B237,'Students (Vertical)'!O:O&lt;&gt;"""");filter('Students (Vertical)'!O:O,'Students (Vertical)'!C:C=E237,'Students (Vertical)'!O:O&lt;&gt;"""")})&gt;1))),""No shared courses""),"""")"),"")</f>
        <v/>
      </c>
      <c r="J237" s="357" t="str">
        <f>IFERROR(__xludf.DUMMYFUNCTION("if(H237=""Can't be Together"",iferror(join("", "",unique(filter({filter('Students (Vertical)'!O:O,'Students (Vertical)'!C:C=B237,'Students (Vertical)'!O:O&lt;&gt;"""",'Students (Vertical)'!P:P&gt;1);filter('Students (Vertical)'!O:O,'Students (Vertical)'!C:C=E237,'"&amp;"Students (Vertical)'!O:O&lt;&gt;"""",'Students (Vertical)'!P:P&gt;1)},countifs({filter('Students (Vertical)'!O:O,'Students (Vertical)'!C:C=B237,'Students (Vertical)'!O:O&lt;&gt;"""",'Students (Vertical)'!P:P&gt;1);filter('Students (Vertical)'!O:O,'Students (Vertical)'!C:C="&amp;"E237,'Students (Vertical)'!O:O&lt;&gt;"""",'Students (Vertical)'!P:P&gt;1)},{filter('Students (Vertical)'!O:O,'Students (Vertical)'!C:C=B237,'Students (Vertical)'!O:O&lt;&gt;"""",'Students (Vertical)'!P:P&gt;1);filter('Students (Vertical)'!O:O,'Students (Vertical)'!C:C=E23"&amp;"7,'Students (Vertical)'!O:O&lt;&gt;"""",'Students (Vertical)'!P:P&gt;1)})&gt;1))),""""),"""")"),"")</f>
        <v/>
      </c>
      <c r="K237" s="358"/>
    </row>
    <row r="238">
      <c r="A238" s="300" t="s">
        <v>22</v>
      </c>
      <c r="C238" s="300" t="s">
        <v>22</v>
      </c>
      <c r="D238" s="300" t="s">
        <v>22</v>
      </c>
      <c r="F238" s="300" t="s">
        <v>22</v>
      </c>
      <c r="G238" s="300" t="s">
        <v>22</v>
      </c>
      <c r="I238" s="356" t="str">
        <f>IFERROR(__xludf.DUMMYFUNCTION("if(H238=""Must be Together"",iferror(join("", "",unique(filter({filter('Students (Vertical)'!O:O,'Students (Vertical)'!C:C=B238,'Students (Vertical)'!O:O&lt;&gt;"""");filter('Students (Vertical)'!O:O,'Students (Vertical)'!C:C=E238,'Students (Vertical)'!O:O&lt;&gt;"""&amp;""")},countifs({filter('Students (Vertical)'!O:O,'Students (Vertical)'!C:C=B238,'Students (Vertical)'!O:O&lt;&gt;"""");filter('Students (Vertical)'!O:O,'Students (Vertical)'!C:C=E238,'Students (Vertical)'!O:O&lt;&gt;"""")},{filter('Students (Vertical)'!O:O,'Students ("&amp;"Vertical)'!C:C=B238,'Students (Vertical)'!O:O&lt;&gt;"""");filter('Students (Vertical)'!O:O,'Students (Vertical)'!C:C=E238,'Students (Vertical)'!O:O&lt;&gt;"""")})&gt;1))),""No shared courses""),"""")"),"")</f>
        <v/>
      </c>
      <c r="J238" s="357" t="str">
        <f>IFERROR(__xludf.DUMMYFUNCTION("if(H238=""Can't be Together"",iferror(join("", "",unique(filter({filter('Students (Vertical)'!O:O,'Students (Vertical)'!C:C=B238,'Students (Vertical)'!O:O&lt;&gt;"""",'Students (Vertical)'!P:P&gt;1);filter('Students (Vertical)'!O:O,'Students (Vertical)'!C:C=E238,'"&amp;"Students (Vertical)'!O:O&lt;&gt;"""",'Students (Vertical)'!P:P&gt;1)},countifs({filter('Students (Vertical)'!O:O,'Students (Vertical)'!C:C=B238,'Students (Vertical)'!O:O&lt;&gt;"""",'Students (Vertical)'!P:P&gt;1);filter('Students (Vertical)'!O:O,'Students (Vertical)'!C:C="&amp;"E238,'Students (Vertical)'!O:O&lt;&gt;"""",'Students (Vertical)'!P:P&gt;1)},{filter('Students (Vertical)'!O:O,'Students (Vertical)'!C:C=B238,'Students (Vertical)'!O:O&lt;&gt;"""",'Students (Vertical)'!P:P&gt;1);filter('Students (Vertical)'!O:O,'Students (Vertical)'!C:C=E23"&amp;"8,'Students (Vertical)'!O:O&lt;&gt;"""",'Students (Vertical)'!P:P&gt;1)})&gt;1))),""""),"""")"),"")</f>
        <v/>
      </c>
      <c r="K238" s="358"/>
    </row>
    <row r="239">
      <c r="A239" s="300" t="s">
        <v>22</v>
      </c>
      <c r="C239" s="300" t="s">
        <v>22</v>
      </c>
      <c r="D239" s="300" t="s">
        <v>22</v>
      </c>
      <c r="F239" s="300" t="s">
        <v>22</v>
      </c>
      <c r="G239" s="300" t="s">
        <v>22</v>
      </c>
      <c r="I239" s="356" t="str">
        <f>IFERROR(__xludf.DUMMYFUNCTION("if(H239=""Must be Together"",iferror(join("", "",unique(filter({filter('Students (Vertical)'!O:O,'Students (Vertical)'!C:C=B239,'Students (Vertical)'!O:O&lt;&gt;"""");filter('Students (Vertical)'!O:O,'Students (Vertical)'!C:C=E239,'Students (Vertical)'!O:O&lt;&gt;"""&amp;""")},countifs({filter('Students (Vertical)'!O:O,'Students (Vertical)'!C:C=B239,'Students (Vertical)'!O:O&lt;&gt;"""");filter('Students (Vertical)'!O:O,'Students (Vertical)'!C:C=E239,'Students (Vertical)'!O:O&lt;&gt;"""")},{filter('Students (Vertical)'!O:O,'Students ("&amp;"Vertical)'!C:C=B239,'Students (Vertical)'!O:O&lt;&gt;"""");filter('Students (Vertical)'!O:O,'Students (Vertical)'!C:C=E239,'Students (Vertical)'!O:O&lt;&gt;"""")})&gt;1))),""No shared courses""),"""")"),"")</f>
        <v/>
      </c>
      <c r="J239" s="357" t="str">
        <f>IFERROR(__xludf.DUMMYFUNCTION("if(H239=""Can't be Together"",iferror(join("", "",unique(filter({filter('Students (Vertical)'!O:O,'Students (Vertical)'!C:C=B239,'Students (Vertical)'!O:O&lt;&gt;"""",'Students (Vertical)'!P:P&gt;1);filter('Students (Vertical)'!O:O,'Students (Vertical)'!C:C=E239,'"&amp;"Students (Vertical)'!O:O&lt;&gt;"""",'Students (Vertical)'!P:P&gt;1)},countifs({filter('Students (Vertical)'!O:O,'Students (Vertical)'!C:C=B239,'Students (Vertical)'!O:O&lt;&gt;"""",'Students (Vertical)'!P:P&gt;1);filter('Students (Vertical)'!O:O,'Students (Vertical)'!C:C="&amp;"E239,'Students (Vertical)'!O:O&lt;&gt;"""",'Students (Vertical)'!P:P&gt;1)},{filter('Students (Vertical)'!O:O,'Students (Vertical)'!C:C=B239,'Students (Vertical)'!O:O&lt;&gt;"""",'Students (Vertical)'!P:P&gt;1);filter('Students (Vertical)'!O:O,'Students (Vertical)'!C:C=E23"&amp;"9,'Students (Vertical)'!O:O&lt;&gt;"""",'Students (Vertical)'!P:P&gt;1)})&gt;1))),""""),"""")"),"")</f>
        <v/>
      </c>
      <c r="K239" s="358"/>
    </row>
    <row r="240">
      <c r="A240" s="300" t="s">
        <v>22</v>
      </c>
      <c r="C240" s="300" t="s">
        <v>22</v>
      </c>
      <c r="D240" s="300" t="s">
        <v>22</v>
      </c>
      <c r="F240" s="300" t="s">
        <v>22</v>
      </c>
      <c r="G240" s="300" t="s">
        <v>22</v>
      </c>
      <c r="I240" s="356" t="str">
        <f>IFERROR(__xludf.DUMMYFUNCTION("if(H240=""Must be Together"",iferror(join("", "",unique(filter({filter('Students (Vertical)'!O:O,'Students (Vertical)'!C:C=B240,'Students (Vertical)'!O:O&lt;&gt;"""");filter('Students (Vertical)'!O:O,'Students (Vertical)'!C:C=E240,'Students (Vertical)'!O:O&lt;&gt;"""&amp;""")},countifs({filter('Students (Vertical)'!O:O,'Students (Vertical)'!C:C=B240,'Students (Vertical)'!O:O&lt;&gt;"""");filter('Students (Vertical)'!O:O,'Students (Vertical)'!C:C=E240,'Students (Vertical)'!O:O&lt;&gt;"""")},{filter('Students (Vertical)'!O:O,'Students ("&amp;"Vertical)'!C:C=B240,'Students (Vertical)'!O:O&lt;&gt;"""");filter('Students (Vertical)'!O:O,'Students (Vertical)'!C:C=E240,'Students (Vertical)'!O:O&lt;&gt;"""")})&gt;1))),""No shared courses""),"""")"),"")</f>
        <v/>
      </c>
      <c r="J240" s="357" t="str">
        <f>IFERROR(__xludf.DUMMYFUNCTION("if(H240=""Can't be Together"",iferror(join("", "",unique(filter({filter('Students (Vertical)'!O:O,'Students (Vertical)'!C:C=B240,'Students (Vertical)'!O:O&lt;&gt;"""",'Students (Vertical)'!P:P&gt;1);filter('Students (Vertical)'!O:O,'Students (Vertical)'!C:C=E240,'"&amp;"Students (Vertical)'!O:O&lt;&gt;"""",'Students (Vertical)'!P:P&gt;1)},countifs({filter('Students (Vertical)'!O:O,'Students (Vertical)'!C:C=B240,'Students (Vertical)'!O:O&lt;&gt;"""",'Students (Vertical)'!P:P&gt;1);filter('Students (Vertical)'!O:O,'Students (Vertical)'!C:C="&amp;"E240,'Students (Vertical)'!O:O&lt;&gt;"""",'Students (Vertical)'!P:P&gt;1)},{filter('Students (Vertical)'!O:O,'Students (Vertical)'!C:C=B240,'Students (Vertical)'!O:O&lt;&gt;"""",'Students (Vertical)'!P:P&gt;1);filter('Students (Vertical)'!O:O,'Students (Vertical)'!C:C=E24"&amp;"0,'Students (Vertical)'!O:O&lt;&gt;"""",'Students (Vertical)'!P:P&gt;1)})&gt;1))),""""),"""")"),"")</f>
        <v/>
      </c>
      <c r="K240" s="358"/>
    </row>
    <row r="241">
      <c r="A241" s="300" t="s">
        <v>22</v>
      </c>
      <c r="C241" s="300" t="s">
        <v>22</v>
      </c>
      <c r="D241" s="300" t="s">
        <v>22</v>
      </c>
      <c r="F241" s="300" t="s">
        <v>22</v>
      </c>
      <c r="G241" s="300" t="s">
        <v>22</v>
      </c>
      <c r="I241" s="356" t="str">
        <f>IFERROR(__xludf.DUMMYFUNCTION("if(H241=""Must be Together"",iferror(join("", "",unique(filter({filter('Students (Vertical)'!O:O,'Students (Vertical)'!C:C=B241,'Students (Vertical)'!O:O&lt;&gt;"""");filter('Students (Vertical)'!O:O,'Students (Vertical)'!C:C=E241,'Students (Vertical)'!O:O&lt;&gt;"""&amp;""")},countifs({filter('Students (Vertical)'!O:O,'Students (Vertical)'!C:C=B241,'Students (Vertical)'!O:O&lt;&gt;"""");filter('Students (Vertical)'!O:O,'Students (Vertical)'!C:C=E241,'Students (Vertical)'!O:O&lt;&gt;"""")},{filter('Students (Vertical)'!O:O,'Students ("&amp;"Vertical)'!C:C=B241,'Students (Vertical)'!O:O&lt;&gt;"""");filter('Students (Vertical)'!O:O,'Students (Vertical)'!C:C=E241,'Students (Vertical)'!O:O&lt;&gt;"""")})&gt;1))),""No shared courses""),"""")"),"")</f>
        <v/>
      </c>
      <c r="J241" s="357" t="str">
        <f>IFERROR(__xludf.DUMMYFUNCTION("if(H241=""Can't be Together"",iferror(join("", "",unique(filter({filter('Students (Vertical)'!O:O,'Students (Vertical)'!C:C=B241,'Students (Vertical)'!O:O&lt;&gt;"""",'Students (Vertical)'!P:P&gt;1);filter('Students (Vertical)'!O:O,'Students (Vertical)'!C:C=E241,'"&amp;"Students (Vertical)'!O:O&lt;&gt;"""",'Students (Vertical)'!P:P&gt;1)},countifs({filter('Students (Vertical)'!O:O,'Students (Vertical)'!C:C=B241,'Students (Vertical)'!O:O&lt;&gt;"""",'Students (Vertical)'!P:P&gt;1);filter('Students (Vertical)'!O:O,'Students (Vertical)'!C:C="&amp;"E241,'Students (Vertical)'!O:O&lt;&gt;"""",'Students (Vertical)'!P:P&gt;1)},{filter('Students (Vertical)'!O:O,'Students (Vertical)'!C:C=B241,'Students (Vertical)'!O:O&lt;&gt;"""",'Students (Vertical)'!P:P&gt;1);filter('Students (Vertical)'!O:O,'Students (Vertical)'!C:C=E24"&amp;"1,'Students (Vertical)'!O:O&lt;&gt;"""",'Students (Vertical)'!P:P&gt;1)})&gt;1))),""""),"""")"),"")</f>
        <v/>
      </c>
      <c r="K241" s="358"/>
    </row>
    <row r="242">
      <c r="A242" s="300" t="s">
        <v>22</v>
      </c>
      <c r="C242" s="300" t="s">
        <v>22</v>
      </c>
      <c r="D242" s="300" t="s">
        <v>22</v>
      </c>
      <c r="F242" s="300" t="s">
        <v>22</v>
      </c>
      <c r="G242" s="300" t="s">
        <v>22</v>
      </c>
      <c r="I242" s="356" t="str">
        <f>IFERROR(__xludf.DUMMYFUNCTION("if(H242=""Must be Together"",iferror(join("", "",unique(filter({filter('Students (Vertical)'!O:O,'Students (Vertical)'!C:C=B242,'Students (Vertical)'!O:O&lt;&gt;"""");filter('Students (Vertical)'!O:O,'Students (Vertical)'!C:C=E242,'Students (Vertical)'!O:O&lt;&gt;"""&amp;""")},countifs({filter('Students (Vertical)'!O:O,'Students (Vertical)'!C:C=B242,'Students (Vertical)'!O:O&lt;&gt;"""");filter('Students (Vertical)'!O:O,'Students (Vertical)'!C:C=E242,'Students (Vertical)'!O:O&lt;&gt;"""")},{filter('Students (Vertical)'!O:O,'Students ("&amp;"Vertical)'!C:C=B242,'Students (Vertical)'!O:O&lt;&gt;"""");filter('Students (Vertical)'!O:O,'Students (Vertical)'!C:C=E242,'Students (Vertical)'!O:O&lt;&gt;"""")})&gt;1))),""No shared courses""),"""")"),"")</f>
        <v/>
      </c>
      <c r="J242" s="357" t="str">
        <f>IFERROR(__xludf.DUMMYFUNCTION("if(H242=""Can't be Together"",iferror(join("", "",unique(filter({filter('Students (Vertical)'!O:O,'Students (Vertical)'!C:C=B242,'Students (Vertical)'!O:O&lt;&gt;"""",'Students (Vertical)'!P:P&gt;1);filter('Students (Vertical)'!O:O,'Students (Vertical)'!C:C=E242,'"&amp;"Students (Vertical)'!O:O&lt;&gt;"""",'Students (Vertical)'!P:P&gt;1)},countifs({filter('Students (Vertical)'!O:O,'Students (Vertical)'!C:C=B242,'Students (Vertical)'!O:O&lt;&gt;"""",'Students (Vertical)'!P:P&gt;1);filter('Students (Vertical)'!O:O,'Students (Vertical)'!C:C="&amp;"E242,'Students (Vertical)'!O:O&lt;&gt;"""",'Students (Vertical)'!P:P&gt;1)},{filter('Students (Vertical)'!O:O,'Students (Vertical)'!C:C=B242,'Students (Vertical)'!O:O&lt;&gt;"""",'Students (Vertical)'!P:P&gt;1);filter('Students (Vertical)'!O:O,'Students (Vertical)'!C:C=E24"&amp;"2,'Students (Vertical)'!O:O&lt;&gt;"""",'Students (Vertical)'!P:P&gt;1)})&gt;1))),""""),"""")"),"")</f>
        <v/>
      </c>
      <c r="K242" s="358"/>
    </row>
    <row r="243">
      <c r="A243" s="300" t="s">
        <v>22</v>
      </c>
      <c r="C243" s="300" t="s">
        <v>22</v>
      </c>
      <c r="D243" s="300" t="s">
        <v>22</v>
      </c>
      <c r="F243" s="300" t="s">
        <v>22</v>
      </c>
      <c r="G243" s="300" t="s">
        <v>22</v>
      </c>
      <c r="I243" s="356" t="str">
        <f>IFERROR(__xludf.DUMMYFUNCTION("if(H243=""Must be Together"",iferror(join("", "",unique(filter({filter('Students (Vertical)'!O:O,'Students (Vertical)'!C:C=B243,'Students (Vertical)'!O:O&lt;&gt;"""");filter('Students (Vertical)'!O:O,'Students (Vertical)'!C:C=E243,'Students (Vertical)'!O:O&lt;&gt;"""&amp;""")},countifs({filter('Students (Vertical)'!O:O,'Students (Vertical)'!C:C=B243,'Students (Vertical)'!O:O&lt;&gt;"""");filter('Students (Vertical)'!O:O,'Students (Vertical)'!C:C=E243,'Students (Vertical)'!O:O&lt;&gt;"""")},{filter('Students (Vertical)'!O:O,'Students ("&amp;"Vertical)'!C:C=B243,'Students (Vertical)'!O:O&lt;&gt;"""");filter('Students (Vertical)'!O:O,'Students (Vertical)'!C:C=E243,'Students (Vertical)'!O:O&lt;&gt;"""")})&gt;1))),""No shared courses""),"""")"),"")</f>
        <v/>
      </c>
      <c r="J243" s="357" t="str">
        <f>IFERROR(__xludf.DUMMYFUNCTION("if(H243=""Can't be Together"",iferror(join("", "",unique(filter({filter('Students (Vertical)'!O:O,'Students (Vertical)'!C:C=B243,'Students (Vertical)'!O:O&lt;&gt;"""",'Students (Vertical)'!P:P&gt;1);filter('Students (Vertical)'!O:O,'Students (Vertical)'!C:C=E243,'"&amp;"Students (Vertical)'!O:O&lt;&gt;"""",'Students (Vertical)'!P:P&gt;1)},countifs({filter('Students (Vertical)'!O:O,'Students (Vertical)'!C:C=B243,'Students (Vertical)'!O:O&lt;&gt;"""",'Students (Vertical)'!P:P&gt;1);filter('Students (Vertical)'!O:O,'Students (Vertical)'!C:C="&amp;"E243,'Students (Vertical)'!O:O&lt;&gt;"""",'Students (Vertical)'!P:P&gt;1)},{filter('Students (Vertical)'!O:O,'Students (Vertical)'!C:C=B243,'Students (Vertical)'!O:O&lt;&gt;"""",'Students (Vertical)'!P:P&gt;1);filter('Students (Vertical)'!O:O,'Students (Vertical)'!C:C=E24"&amp;"3,'Students (Vertical)'!O:O&lt;&gt;"""",'Students (Vertical)'!P:P&gt;1)})&gt;1))),""""),"""")"),"")</f>
        <v/>
      </c>
      <c r="K243" s="358"/>
    </row>
    <row r="244">
      <c r="A244" s="300" t="s">
        <v>22</v>
      </c>
      <c r="C244" s="300" t="s">
        <v>22</v>
      </c>
      <c r="D244" s="300" t="s">
        <v>22</v>
      </c>
      <c r="F244" s="300" t="s">
        <v>22</v>
      </c>
      <c r="G244" s="300" t="s">
        <v>22</v>
      </c>
      <c r="I244" s="356" t="str">
        <f>IFERROR(__xludf.DUMMYFUNCTION("if(H244=""Must be Together"",iferror(join("", "",unique(filter({filter('Students (Vertical)'!O:O,'Students (Vertical)'!C:C=B244,'Students (Vertical)'!O:O&lt;&gt;"""");filter('Students (Vertical)'!O:O,'Students (Vertical)'!C:C=E244,'Students (Vertical)'!O:O&lt;&gt;"""&amp;""")},countifs({filter('Students (Vertical)'!O:O,'Students (Vertical)'!C:C=B244,'Students (Vertical)'!O:O&lt;&gt;"""");filter('Students (Vertical)'!O:O,'Students (Vertical)'!C:C=E244,'Students (Vertical)'!O:O&lt;&gt;"""")},{filter('Students (Vertical)'!O:O,'Students ("&amp;"Vertical)'!C:C=B244,'Students (Vertical)'!O:O&lt;&gt;"""");filter('Students (Vertical)'!O:O,'Students (Vertical)'!C:C=E244,'Students (Vertical)'!O:O&lt;&gt;"""")})&gt;1))),""No shared courses""),"""")"),"")</f>
        <v/>
      </c>
      <c r="J244" s="357" t="str">
        <f>IFERROR(__xludf.DUMMYFUNCTION("if(H244=""Can't be Together"",iferror(join("", "",unique(filter({filter('Students (Vertical)'!O:O,'Students (Vertical)'!C:C=B244,'Students (Vertical)'!O:O&lt;&gt;"""",'Students (Vertical)'!P:P&gt;1);filter('Students (Vertical)'!O:O,'Students (Vertical)'!C:C=E244,'"&amp;"Students (Vertical)'!O:O&lt;&gt;"""",'Students (Vertical)'!P:P&gt;1)},countifs({filter('Students (Vertical)'!O:O,'Students (Vertical)'!C:C=B244,'Students (Vertical)'!O:O&lt;&gt;"""",'Students (Vertical)'!P:P&gt;1);filter('Students (Vertical)'!O:O,'Students (Vertical)'!C:C="&amp;"E244,'Students (Vertical)'!O:O&lt;&gt;"""",'Students (Vertical)'!P:P&gt;1)},{filter('Students (Vertical)'!O:O,'Students (Vertical)'!C:C=B244,'Students (Vertical)'!O:O&lt;&gt;"""",'Students (Vertical)'!P:P&gt;1);filter('Students (Vertical)'!O:O,'Students (Vertical)'!C:C=E24"&amp;"4,'Students (Vertical)'!O:O&lt;&gt;"""",'Students (Vertical)'!P:P&gt;1)})&gt;1))),""""),"""")"),"")</f>
        <v/>
      </c>
      <c r="K244" s="358"/>
    </row>
    <row r="245">
      <c r="A245" s="300" t="s">
        <v>22</v>
      </c>
      <c r="C245" s="300" t="s">
        <v>22</v>
      </c>
      <c r="D245" s="300" t="s">
        <v>22</v>
      </c>
      <c r="F245" s="300" t="s">
        <v>22</v>
      </c>
      <c r="G245" s="300" t="s">
        <v>22</v>
      </c>
      <c r="I245" s="356" t="str">
        <f>IFERROR(__xludf.DUMMYFUNCTION("if(H245=""Must be Together"",iferror(join("", "",unique(filter({filter('Students (Vertical)'!O:O,'Students (Vertical)'!C:C=B245,'Students (Vertical)'!O:O&lt;&gt;"""");filter('Students (Vertical)'!O:O,'Students (Vertical)'!C:C=E245,'Students (Vertical)'!O:O&lt;&gt;"""&amp;""")},countifs({filter('Students (Vertical)'!O:O,'Students (Vertical)'!C:C=B245,'Students (Vertical)'!O:O&lt;&gt;"""");filter('Students (Vertical)'!O:O,'Students (Vertical)'!C:C=E245,'Students (Vertical)'!O:O&lt;&gt;"""")},{filter('Students (Vertical)'!O:O,'Students ("&amp;"Vertical)'!C:C=B245,'Students (Vertical)'!O:O&lt;&gt;"""");filter('Students (Vertical)'!O:O,'Students (Vertical)'!C:C=E245,'Students (Vertical)'!O:O&lt;&gt;"""")})&gt;1))),""No shared courses""),"""")"),"")</f>
        <v/>
      </c>
      <c r="J245" s="357" t="str">
        <f>IFERROR(__xludf.DUMMYFUNCTION("if(H245=""Can't be Together"",iferror(join("", "",unique(filter({filter('Students (Vertical)'!O:O,'Students (Vertical)'!C:C=B245,'Students (Vertical)'!O:O&lt;&gt;"""",'Students (Vertical)'!P:P&gt;1);filter('Students (Vertical)'!O:O,'Students (Vertical)'!C:C=E245,'"&amp;"Students (Vertical)'!O:O&lt;&gt;"""",'Students (Vertical)'!P:P&gt;1)},countifs({filter('Students (Vertical)'!O:O,'Students (Vertical)'!C:C=B245,'Students (Vertical)'!O:O&lt;&gt;"""",'Students (Vertical)'!P:P&gt;1);filter('Students (Vertical)'!O:O,'Students (Vertical)'!C:C="&amp;"E245,'Students (Vertical)'!O:O&lt;&gt;"""",'Students (Vertical)'!P:P&gt;1)},{filter('Students (Vertical)'!O:O,'Students (Vertical)'!C:C=B245,'Students (Vertical)'!O:O&lt;&gt;"""",'Students (Vertical)'!P:P&gt;1);filter('Students (Vertical)'!O:O,'Students (Vertical)'!C:C=E24"&amp;"5,'Students (Vertical)'!O:O&lt;&gt;"""",'Students (Vertical)'!P:P&gt;1)})&gt;1))),""""),"""")"),"")</f>
        <v/>
      </c>
      <c r="K245" s="358"/>
    </row>
    <row r="246">
      <c r="A246" s="300" t="s">
        <v>22</v>
      </c>
      <c r="C246" s="300" t="s">
        <v>22</v>
      </c>
      <c r="D246" s="300" t="s">
        <v>22</v>
      </c>
      <c r="F246" s="300" t="s">
        <v>22</v>
      </c>
      <c r="G246" s="300" t="s">
        <v>22</v>
      </c>
      <c r="I246" s="356" t="str">
        <f>IFERROR(__xludf.DUMMYFUNCTION("if(H246=""Must be Together"",iferror(join("", "",unique(filter({filter('Students (Vertical)'!O:O,'Students (Vertical)'!C:C=B246,'Students (Vertical)'!O:O&lt;&gt;"""");filter('Students (Vertical)'!O:O,'Students (Vertical)'!C:C=E246,'Students (Vertical)'!O:O&lt;&gt;"""&amp;""")},countifs({filter('Students (Vertical)'!O:O,'Students (Vertical)'!C:C=B246,'Students (Vertical)'!O:O&lt;&gt;"""");filter('Students (Vertical)'!O:O,'Students (Vertical)'!C:C=E246,'Students (Vertical)'!O:O&lt;&gt;"""")},{filter('Students (Vertical)'!O:O,'Students ("&amp;"Vertical)'!C:C=B246,'Students (Vertical)'!O:O&lt;&gt;"""");filter('Students (Vertical)'!O:O,'Students (Vertical)'!C:C=E246,'Students (Vertical)'!O:O&lt;&gt;"""")})&gt;1))),""No shared courses""),"""")"),"")</f>
        <v/>
      </c>
      <c r="J246" s="357" t="str">
        <f>IFERROR(__xludf.DUMMYFUNCTION("if(H246=""Can't be Together"",iferror(join("", "",unique(filter({filter('Students (Vertical)'!O:O,'Students (Vertical)'!C:C=B246,'Students (Vertical)'!O:O&lt;&gt;"""",'Students (Vertical)'!P:P&gt;1);filter('Students (Vertical)'!O:O,'Students (Vertical)'!C:C=E246,'"&amp;"Students (Vertical)'!O:O&lt;&gt;"""",'Students (Vertical)'!P:P&gt;1)},countifs({filter('Students (Vertical)'!O:O,'Students (Vertical)'!C:C=B246,'Students (Vertical)'!O:O&lt;&gt;"""",'Students (Vertical)'!P:P&gt;1);filter('Students (Vertical)'!O:O,'Students (Vertical)'!C:C="&amp;"E246,'Students (Vertical)'!O:O&lt;&gt;"""",'Students (Vertical)'!P:P&gt;1)},{filter('Students (Vertical)'!O:O,'Students (Vertical)'!C:C=B246,'Students (Vertical)'!O:O&lt;&gt;"""",'Students (Vertical)'!P:P&gt;1);filter('Students (Vertical)'!O:O,'Students (Vertical)'!C:C=E24"&amp;"6,'Students (Vertical)'!O:O&lt;&gt;"""",'Students (Vertical)'!P:P&gt;1)})&gt;1))),""""),"""")"),"")</f>
        <v/>
      </c>
      <c r="K246" s="358"/>
    </row>
    <row r="247">
      <c r="A247" s="300" t="s">
        <v>22</v>
      </c>
      <c r="C247" s="300" t="s">
        <v>22</v>
      </c>
      <c r="D247" s="300" t="s">
        <v>22</v>
      </c>
      <c r="F247" s="300" t="s">
        <v>22</v>
      </c>
      <c r="G247" s="300" t="s">
        <v>22</v>
      </c>
      <c r="I247" s="356" t="str">
        <f>IFERROR(__xludf.DUMMYFUNCTION("if(H247=""Must be Together"",iferror(join("", "",unique(filter({filter('Students (Vertical)'!O:O,'Students (Vertical)'!C:C=B247,'Students (Vertical)'!O:O&lt;&gt;"""");filter('Students (Vertical)'!O:O,'Students (Vertical)'!C:C=E247,'Students (Vertical)'!O:O&lt;&gt;"""&amp;""")},countifs({filter('Students (Vertical)'!O:O,'Students (Vertical)'!C:C=B247,'Students (Vertical)'!O:O&lt;&gt;"""");filter('Students (Vertical)'!O:O,'Students (Vertical)'!C:C=E247,'Students (Vertical)'!O:O&lt;&gt;"""")},{filter('Students (Vertical)'!O:O,'Students ("&amp;"Vertical)'!C:C=B247,'Students (Vertical)'!O:O&lt;&gt;"""");filter('Students (Vertical)'!O:O,'Students (Vertical)'!C:C=E247,'Students (Vertical)'!O:O&lt;&gt;"""")})&gt;1))),""No shared courses""),"""")"),"")</f>
        <v/>
      </c>
      <c r="J247" s="357" t="str">
        <f>IFERROR(__xludf.DUMMYFUNCTION("if(H247=""Can't be Together"",iferror(join("", "",unique(filter({filter('Students (Vertical)'!O:O,'Students (Vertical)'!C:C=B247,'Students (Vertical)'!O:O&lt;&gt;"""",'Students (Vertical)'!P:P&gt;1);filter('Students (Vertical)'!O:O,'Students (Vertical)'!C:C=E247,'"&amp;"Students (Vertical)'!O:O&lt;&gt;"""",'Students (Vertical)'!P:P&gt;1)},countifs({filter('Students (Vertical)'!O:O,'Students (Vertical)'!C:C=B247,'Students (Vertical)'!O:O&lt;&gt;"""",'Students (Vertical)'!P:P&gt;1);filter('Students (Vertical)'!O:O,'Students (Vertical)'!C:C="&amp;"E247,'Students (Vertical)'!O:O&lt;&gt;"""",'Students (Vertical)'!P:P&gt;1)},{filter('Students (Vertical)'!O:O,'Students (Vertical)'!C:C=B247,'Students (Vertical)'!O:O&lt;&gt;"""",'Students (Vertical)'!P:P&gt;1);filter('Students (Vertical)'!O:O,'Students (Vertical)'!C:C=E24"&amp;"7,'Students (Vertical)'!O:O&lt;&gt;"""",'Students (Vertical)'!P:P&gt;1)})&gt;1))),""""),"""")"),"")</f>
        <v/>
      </c>
      <c r="K247" s="358"/>
    </row>
    <row r="248">
      <c r="A248" s="300" t="s">
        <v>22</v>
      </c>
      <c r="C248" s="300" t="s">
        <v>22</v>
      </c>
      <c r="D248" s="300" t="s">
        <v>22</v>
      </c>
      <c r="F248" s="300" t="s">
        <v>22</v>
      </c>
      <c r="G248" s="300" t="s">
        <v>22</v>
      </c>
      <c r="I248" s="356" t="str">
        <f>IFERROR(__xludf.DUMMYFUNCTION("if(H248=""Must be Together"",iferror(join("", "",unique(filter({filter('Students (Vertical)'!O:O,'Students (Vertical)'!C:C=B248,'Students (Vertical)'!O:O&lt;&gt;"""");filter('Students (Vertical)'!O:O,'Students (Vertical)'!C:C=E248,'Students (Vertical)'!O:O&lt;&gt;"""&amp;""")},countifs({filter('Students (Vertical)'!O:O,'Students (Vertical)'!C:C=B248,'Students (Vertical)'!O:O&lt;&gt;"""");filter('Students (Vertical)'!O:O,'Students (Vertical)'!C:C=E248,'Students (Vertical)'!O:O&lt;&gt;"""")},{filter('Students (Vertical)'!O:O,'Students ("&amp;"Vertical)'!C:C=B248,'Students (Vertical)'!O:O&lt;&gt;"""");filter('Students (Vertical)'!O:O,'Students (Vertical)'!C:C=E248,'Students (Vertical)'!O:O&lt;&gt;"""")})&gt;1))),""No shared courses""),"""")"),"")</f>
        <v/>
      </c>
      <c r="J248" s="357" t="str">
        <f>IFERROR(__xludf.DUMMYFUNCTION("if(H248=""Can't be Together"",iferror(join("", "",unique(filter({filter('Students (Vertical)'!O:O,'Students (Vertical)'!C:C=B248,'Students (Vertical)'!O:O&lt;&gt;"""",'Students (Vertical)'!P:P&gt;1);filter('Students (Vertical)'!O:O,'Students (Vertical)'!C:C=E248,'"&amp;"Students (Vertical)'!O:O&lt;&gt;"""",'Students (Vertical)'!P:P&gt;1)},countifs({filter('Students (Vertical)'!O:O,'Students (Vertical)'!C:C=B248,'Students (Vertical)'!O:O&lt;&gt;"""",'Students (Vertical)'!P:P&gt;1);filter('Students (Vertical)'!O:O,'Students (Vertical)'!C:C="&amp;"E248,'Students (Vertical)'!O:O&lt;&gt;"""",'Students (Vertical)'!P:P&gt;1)},{filter('Students (Vertical)'!O:O,'Students (Vertical)'!C:C=B248,'Students (Vertical)'!O:O&lt;&gt;"""",'Students (Vertical)'!P:P&gt;1);filter('Students (Vertical)'!O:O,'Students (Vertical)'!C:C=E24"&amp;"8,'Students (Vertical)'!O:O&lt;&gt;"""",'Students (Vertical)'!P:P&gt;1)})&gt;1))),""""),"""")"),"")</f>
        <v/>
      </c>
      <c r="K248" s="358"/>
    </row>
    <row r="249">
      <c r="A249" s="300" t="s">
        <v>22</v>
      </c>
      <c r="C249" s="300" t="s">
        <v>22</v>
      </c>
      <c r="D249" s="300" t="s">
        <v>22</v>
      </c>
      <c r="F249" s="300" t="s">
        <v>22</v>
      </c>
      <c r="G249" s="300" t="s">
        <v>22</v>
      </c>
      <c r="I249" s="356" t="str">
        <f>IFERROR(__xludf.DUMMYFUNCTION("if(H249=""Must be Together"",iferror(join("", "",unique(filter({filter('Students (Vertical)'!O:O,'Students (Vertical)'!C:C=B249,'Students (Vertical)'!O:O&lt;&gt;"""");filter('Students (Vertical)'!O:O,'Students (Vertical)'!C:C=E249,'Students (Vertical)'!O:O&lt;&gt;"""&amp;""")},countifs({filter('Students (Vertical)'!O:O,'Students (Vertical)'!C:C=B249,'Students (Vertical)'!O:O&lt;&gt;"""");filter('Students (Vertical)'!O:O,'Students (Vertical)'!C:C=E249,'Students (Vertical)'!O:O&lt;&gt;"""")},{filter('Students (Vertical)'!O:O,'Students ("&amp;"Vertical)'!C:C=B249,'Students (Vertical)'!O:O&lt;&gt;"""");filter('Students (Vertical)'!O:O,'Students (Vertical)'!C:C=E249,'Students (Vertical)'!O:O&lt;&gt;"""")})&gt;1))),""No shared courses""),"""")"),"")</f>
        <v/>
      </c>
      <c r="J249" s="357" t="str">
        <f>IFERROR(__xludf.DUMMYFUNCTION("if(H249=""Can't be Together"",iferror(join("", "",unique(filter({filter('Students (Vertical)'!O:O,'Students (Vertical)'!C:C=B249,'Students (Vertical)'!O:O&lt;&gt;"""",'Students (Vertical)'!P:P&gt;1);filter('Students (Vertical)'!O:O,'Students (Vertical)'!C:C=E249,'"&amp;"Students (Vertical)'!O:O&lt;&gt;"""",'Students (Vertical)'!P:P&gt;1)},countifs({filter('Students (Vertical)'!O:O,'Students (Vertical)'!C:C=B249,'Students (Vertical)'!O:O&lt;&gt;"""",'Students (Vertical)'!P:P&gt;1);filter('Students (Vertical)'!O:O,'Students (Vertical)'!C:C="&amp;"E249,'Students (Vertical)'!O:O&lt;&gt;"""",'Students (Vertical)'!P:P&gt;1)},{filter('Students (Vertical)'!O:O,'Students (Vertical)'!C:C=B249,'Students (Vertical)'!O:O&lt;&gt;"""",'Students (Vertical)'!P:P&gt;1);filter('Students (Vertical)'!O:O,'Students (Vertical)'!C:C=E24"&amp;"9,'Students (Vertical)'!O:O&lt;&gt;"""",'Students (Vertical)'!P:P&gt;1)})&gt;1))),""""),"""")"),"")</f>
        <v/>
      </c>
      <c r="K249" s="358"/>
    </row>
    <row r="250">
      <c r="A250" s="300" t="s">
        <v>22</v>
      </c>
      <c r="C250" s="300" t="s">
        <v>22</v>
      </c>
      <c r="D250" s="300" t="s">
        <v>22</v>
      </c>
      <c r="F250" s="300" t="s">
        <v>22</v>
      </c>
      <c r="G250" s="300" t="s">
        <v>22</v>
      </c>
      <c r="I250" s="356" t="str">
        <f>IFERROR(__xludf.DUMMYFUNCTION("if(H250=""Must be Together"",iferror(join("", "",unique(filter({filter('Students (Vertical)'!O:O,'Students (Vertical)'!C:C=B250,'Students (Vertical)'!O:O&lt;&gt;"""");filter('Students (Vertical)'!O:O,'Students (Vertical)'!C:C=E250,'Students (Vertical)'!O:O&lt;&gt;"""&amp;""")},countifs({filter('Students (Vertical)'!O:O,'Students (Vertical)'!C:C=B250,'Students (Vertical)'!O:O&lt;&gt;"""");filter('Students (Vertical)'!O:O,'Students (Vertical)'!C:C=E250,'Students (Vertical)'!O:O&lt;&gt;"""")},{filter('Students (Vertical)'!O:O,'Students ("&amp;"Vertical)'!C:C=B250,'Students (Vertical)'!O:O&lt;&gt;"""");filter('Students (Vertical)'!O:O,'Students (Vertical)'!C:C=E250,'Students (Vertical)'!O:O&lt;&gt;"""")})&gt;1))),""No shared courses""),"""")"),"")</f>
        <v/>
      </c>
      <c r="J250" s="357" t="str">
        <f>IFERROR(__xludf.DUMMYFUNCTION("if(H250=""Can't be Together"",iferror(join("", "",unique(filter({filter('Students (Vertical)'!O:O,'Students (Vertical)'!C:C=B250,'Students (Vertical)'!O:O&lt;&gt;"""",'Students (Vertical)'!P:P&gt;1);filter('Students (Vertical)'!O:O,'Students (Vertical)'!C:C=E250,'"&amp;"Students (Vertical)'!O:O&lt;&gt;"""",'Students (Vertical)'!P:P&gt;1)},countifs({filter('Students (Vertical)'!O:O,'Students (Vertical)'!C:C=B250,'Students (Vertical)'!O:O&lt;&gt;"""",'Students (Vertical)'!P:P&gt;1);filter('Students (Vertical)'!O:O,'Students (Vertical)'!C:C="&amp;"E250,'Students (Vertical)'!O:O&lt;&gt;"""",'Students (Vertical)'!P:P&gt;1)},{filter('Students (Vertical)'!O:O,'Students (Vertical)'!C:C=B250,'Students (Vertical)'!O:O&lt;&gt;"""",'Students (Vertical)'!P:P&gt;1);filter('Students (Vertical)'!O:O,'Students (Vertical)'!C:C=E25"&amp;"0,'Students (Vertical)'!O:O&lt;&gt;"""",'Students (Vertical)'!P:P&gt;1)})&gt;1))),""""),"""")"),"")</f>
        <v/>
      </c>
      <c r="K250" s="358"/>
    </row>
    <row r="251">
      <c r="A251" s="300" t="s">
        <v>22</v>
      </c>
      <c r="C251" s="300" t="s">
        <v>22</v>
      </c>
      <c r="D251" s="300" t="s">
        <v>22</v>
      </c>
      <c r="F251" s="300" t="s">
        <v>22</v>
      </c>
      <c r="G251" s="300" t="s">
        <v>22</v>
      </c>
      <c r="I251" s="356" t="str">
        <f>IFERROR(__xludf.DUMMYFUNCTION("if(H251=""Must be Together"",iferror(join("", "",unique(filter({filter('Students (Vertical)'!O:O,'Students (Vertical)'!C:C=B251,'Students (Vertical)'!O:O&lt;&gt;"""");filter('Students (Vertical)'!O:O,'Students (Vertical)'!C:C=E251,'Students (Vertical)'!O:O&lt;&gt;"""&amp;""")},countifs({filter('Students (Vertical)'!O:O,'Students (Vertical)'!C:C=B251,'Students (Vertical)'!O:O&lt;&gt;"""");filter('Students (Vertical)'!O:O,'Students (Vertical)'!C:C=E251,'Students (Vertical)'!O:O&lt;&gt;"""")},{filter('Students (Vertical)'!O:O,'Students ("&amp;"Vertical)'!C:C=B251,'Students (Vertical)'!O:O&lt;&gt;"""");filter('Students (Vertical)'!O:O,'Students (Vertical)'!C:C=E251,'Students (Vertical)'!O:O&lt;&gt;"""")})&gt;1))),""No shared courses""),"""")"),"")</f>
        <v/>
      </c>
      <c r="J251" s="357" t="str">
        <f>IFERROR(__xludf.DUMMYFUNCTION("if(H251=""Can't be Together"",iferror(join("", "",unique(filter({filter('Students (Vertical)'!O:O,'Students (Vertical)'!C:C=B251,'Students (Vertical)'!O:O&lt;&gt;"""",'Students (Vertical)'!P:P&gt;1);filter('Students (Vertical)'!O:O,'Students (Vertical)'!C:C=E251,'"&amp;"Students (Vertical)'!O:O&lt;&gt;"""",'Students (Vertical)'!P:P&gt;1)},countifs({filter('Students (Vertical)'!O:O,'Students (Vertical)'!C:C=B251,'Students (Vertical)'!O:O&lt;&gt;"""",'Students (Vertical)'!P:P&gt;1);filter('Students (Vertical)'!O:O,'Students (Vertical)'!C:C="&amp;"E251,'Students (Vertical)'!O:O&lt;&gt;"""",'Students (Vertical)'!P:P&gt;1)},{filter('Students (Vertical)'!O:O,'Students (Vertical)'!C:C=B251,'Students (Vertical)'!O:O&lt;&gt;"""",'Students (Vertical)'!P:P&gt;1);filter('Students (Vertical)'!O:O,'Students (Vertical)'!C:C=E25"&amp;"1,'Students (Vertical)'!O:O&lt;&gt;"""",'Students (Vertical)'!P:P&gt;1)})&gt;1))),""""),"""")"),"")</f>
        <v/>
      </c>
      <c r="K251" s="358"/>
    </row>
    <row r="252">
      <c r="A252" s="300" t="s">
        <v>22</v>
      </c>
      <c r="C252" s="300" t="s">
        <v>22</v>
      </c>
      <c r="D252" s="300" t="s">
        <v>22</v>
      </c>
      <c r="F252" s="300" t="s">
        <v>22</v>
      </c>
      <c r="G252" s="300" t="s">
        <v>22</v>
      </c>
      <c r="I252" s="356" t="str">
        <f>IFERROR(__xludf.DUMMYFUNCTION("if(H252=""Must be Together"",iferror(join("", "",unique(filter({filter('Students (Vertical)'!O:O,'Students (Vertical)'!C:C=B252,'Students (Vertical)'!O:O&lt;&gt;"""");filter('Students (Vertical)'!O:O,'Students (Vertical)'!C:C=E252,'Students (Vertical)'!O:O&lt;&gt;"""&amp;""")},countifs({filter('Students (Vertical)'!O:O,'Students (Vertical)'!C:C=B252,'Students (Vertical)'!O:O&lt;&gt;"""");filter('Students (Vertical)'!O:O,'Students (Vertical)'!C:C=E252,'Students (Vertical)'!O:O&lt;&gt;"""")},{filter('Students (Vertical)'!O:O,'Students ("&amp;"Vertical)'!C:C=B252,'Students (Vertical)'!O:O&lt;&gt;"""");filter('Students (Vertical)'!O:O,'Students (Vertical)'!C:C=E252,'Students (Vertical)'!O:O&lt;&gt;"""")})&gt;1))),""No shared courses""),"""")"),"")</f>
        <v/>
      </c>
      <c r="J252" s="357" t="str">
        <f>IFERROR(__xludf.DUMMYFUNCTION("if(H252=""Can't be Together"",iferror(join("", "",unique(filter({filter('Students (Vertical)'!O:O,'Students (Vertical)'!C:C=B252,'Students (Vertical)'!O:O&lt;&gt;"""",'Students (Vertical)'!P:P&gt;1);filter('Students (Vertical)'!O:O,'Students (Vertical)'!C:C=E252,'"&amp;"Students (Vertical)'!O:O&lt;&gt;"""",'Students (Vertical)'!P:P&gt;1)},countifs({filter('Students (Vertical)'!O:O,'Students (Vertical)'!C:C=B252,'Students (Vertical)'!O:O&lt;&gt;"""",'Students (Vertical)'!P:P&gt;1);filter('Students (Vertical)'!O:O,'Students (Vertical)'!C:C="&amp;"E252,'Students (Vertical)'!O:O&lt;&gt;"""",'Students (Vertical)'!P:P&gt;1)},{filter('Students (Vertical)'!O:O,'Students (Vertical)'!C:C=B252,'Students (Vertical)'!O:O&lt;&gt;"""",'Students (Vertical)'!P:P&gt;1);filter('Students (Vertical)'!O:O,'Students (Vertical)'!C:C=E25"&amp;"2,'Students (Vertical)'!O:O&lt;&gt;"""",'Students (Vertical)'!P:P&gt;1)})&gt;1))),""""),"""")"),"")</f>
        <v/>
      </c>
      <c r="K252" s="358"/>
    </row>
    <row r="253">
      <c r="A253" s="300" t="s">
        <v>22</v>
      </c>
      <c r="C253" s="300" t="s">
        <v>22</v>
      </c>
      <c r="D253" s="300" t="s">
        <v>22</v>
      </c>
      <c r="F253" s="300" t="s">
        <v>22</v>
      </c>
      <c r="G253" s="300" t="s">
        <v>22</v>
      </c>
      <c r="I253" s="356" t="str">
        <f>IFERROR(__xludf.DUMMYFUNCTION("if(H253=""Must be Together"",iferror(join("", "",unique(filter({filter('Students (Vertical)'!O:O,'Students (Vertical)'!C:C=B253,'Students (Vertical)'!O:O&lt;&gt;"""");filter('Students (Vertical)'!O:O,'Students (Vertical)'!C:C=E253,'Students (Vertical)'!O:O&lt;&gt;"""&amp;""")},countifs({filter('Students (Vertical)'!O:O,'Students (Vertical)'!C:C=B253,'Students (Vertical)'!O:O&lt;&gt;"""");filter('Students (Vertical)'!O:O,'Students (Vertical)'!C:C=E253,'Students (Vertical)'!O:O&lt;&gt;"""")},{filter('Students (Vertical)'!O:O,'Students ("&amp;"Vertical)'!C:C=B253,'Students (Vertical)'!O:O&lt;&gt;"""");filter('Students (Vertical)'!O:O,'Students (Vertical)'!C:C=E253,'Students (Vertical)'!O:O&lt;&gt;"""")})&gt;1))),""No shared courses""),"""")"),"")</f>
        <v/>
      </c>
      <c r="J253" s="357" t="str">
        <f>IFERROR(__xludf.DUMMYFUNCTION("if(H253=""Can't be Together"",iferror(join("", "",unique(filter({filter('Students (Vertical)'!O:O,'Students (Vertical)'!C:C=B253,'Students (Vertical)'!O:O&lt;&gt;"""",'Students (Vertical)'!P:P&gt;1);filter('Students (Vertical)'!O:O,'Students (Vertical)'!C:C=E253,'"&amp;"Students (Vertical)'!O:O&lt;&gt;"""",'Students (Vertical)'!P:P&gt;1)},countifs({filter('Students (Vertical)'!O:O,'Students (Vertical)'!C:C=B253,'Students (Vertical)'!O:O&lt;&gt;"""",'Students (Vertical)'!P:P&gt;1);filter('Students (Vertical)'!O:O,'Students (Vertical)'!C:C="&amp;"E253,'Students (Vertical)'!O:O&lt;&gt;"""",'Students (Vertical)'!P:P&gt;1)},{filter('Students (Vertical)'!O:O,'Students (Vertical)'!C:C=B253,'Students (Vertical)'!O:O&lt;&gt;"""",'Students (Vertical)'!P:P&gt;1);filter('Students (Vertical)'!O:O,'Students (Vertical)'!C:C=E25"&amp;"3,'Students (Vertical)'!O:O&lt;&gt;"""",'Students (Vertical)'!P:P&gt;1)})&gt;1))),""""),"""")"),"")</f>
        <v/>
      </c>
      <c r="K253" s="358"/>
    </row>
    <row r="254">
      <c r="A254" s="300" t="s">
        <v>22</v>
      </c>
      <c r="C254" s="300" t="s">
        <v>22</v>
      </c>
      <c r="D254" s="300" t="s">
        <v>22</v>
      </c>
      <c r="F254" s="300" t="s">
        <v>22</v>
      </c>
      <c r="G254" s="300" t="s">
        <v>22</v>
      </c>
      <c r="I254" s="356" t="str">
        <f>IFERROR(__xludf.DUMMYFUNCTION("if(H254=""Must be Together"",iferror(join("", "",unique(filter({filter('Students (Vertical)'!O:O,'Students (Vertical)'!C:C=B254,'Students (Vertical)'!O:O&lt;&gt;"""");filter('Students (Vertical)'!O:O,'Students (Vertical)'!C:C=E254,'Students (Vertical)'!O:O&lt;&gt;"""&amp;""")},countifs({filter('Students (Vertical)'!O:O,'Students (Vertical)'!C:C=B254,'Students (Vertical)'!O:O&lt;&gt;"""");filter('Students (Vertical)'!O:O,'Students (Vertical)'!C:C=E254,'Students (Vertical)'!O:O&lt;&gt;"""")},{filter('Students (Vertical)'!O:O,'Students ("&amp;"Vertical)'!C:C=B254,'Students (Vertical)'!O:O&lt;&gt;"""");filter('Students (Vertical)'!O:O,'Students (Vertical)'!C:C=E254,'Students (Vertical)'!O:O&lt;&gt;"""")})&gt;1))),""No shared courses""),"""")"),"")</f>
        <v/>
      </c>
      <c r="J254" s="357" t="str">
        <f>IFERROR(__xludf.DUMMYFUNCTION("if(H254=""Can't be Together"",iferror(join("", "",unique(filter({filter('Students (Vertical)'!O:O,'Students (Vertical)'!C:C=B254,'Students (Vertical)'!O:O&lt;&gt;"""",'Students (Vertical)'!P:P&gt;1);filter('Students (Vertical)'!O:O,'Students (Vertical)'!C:C=E254,'"&amp;"Students (Vertical)'!O:O&lt;&gt;"""",'Students (Vertical)'!P:P&gt;1)},countifs({filter('Students (Vertical)'!O:O,'Students (Vertical)'!C:C=B254,'Students (Vertical)'!O:O&lt;&gt;"""",'Students (Vertical)'!P:P&gt;1);filter('Students (Vertical)'!O:O,'Students (Vertical)'!C:C="&amp;"E254,'Students (Vertical)'!O:O&lt;&gt;"""",'Students (Vertical)'!P:P&gt;1)},{filter('Students (Vertical)'!O:O,'Students (Vertical)'!C:C=B254,'Students (Vertical)'!O:O&lt;&gt;"""",'Students (Vertical)'!P:P&gt;1);filter('Students (Vertical)'!O:O,'Students (Vertical)'!C:C=E25"&amp;"4,'Students (Vertical)'!O:O&lt;&gt;"""",'Students (Vertical)'!P:P&gt;1)})&gt;1))),""""),"""")"),"")</f>
        <v/>
      </c>
      <c r="K254" s="358"/>
    </row>
    <row r="255">
      <c r="A255" s="300" t="s">
        <v>22</v>
      </c>
      <c r="C255" s="300" t="s">
        <v>22</v>
      </c>
      <c r="D255" s="300" t="s">
        <v>22</v>
      </c>
      <c r="F255" s="300" t="s">
        <v>22</v>
      </c>
      <c r="G255" s="300" t="s">
        <v>22</v>
      </c>
      <c r="I255" s="356" t="str">
        <f>IFERROR(__xludf.DUMMYFUNCTION("if(H255=""Must be Together"",iferror(join("", "",unique(filter({filter('Students (Vertical)'!O:O,'Students (Vertical)'!C:C=B255,'Students (Vertical)'!O:O&lt;&gt;"""");filter('Students (Vertical)'!O:O,'Students (Vertical)'!C:C=E255,'Students (Vertical)'!O:O&lt;&gt;"""&amp;""")},countifs({filter('Students (Vertical)'!O:O,'Students (Vertical)'!C:C=B255,'Students (Vertical)'!O:O&lt;&gt;"""");filter('Students (Vertical)'!O:O,'Students (Vertical)'!C:C=E255,'Students (Vertical)'!O:O&lt;&gt;"""")},{filter('Students (Vertical)'!O:O,'Students ("&amp;"Vertical)'!C:C=B255,'Students (Vertical)'!O:O&lt;&gt;"""");filter('Students (Vertical)'!O:O,'Students (Vertical)'!C:C=E255,'Students (Vertical)'!O:O&lt;&gt;"""")})&gt;1))),""No shared courses""),"""")"),"")</f>
        <v/>
      </c>
      <c r="J255" s="357" t="str">
        <f>IFERROR(__xludf.DUMMYFUNCTION("if(H255=""Can't be Together"",iferror(join("", "",unique(filter({filter('Students (Vertical)'!O:O,'Students (Vertical)'!C:C=B255,'Students (Vertical)'!O:O&lt;&gt;"""",'Students (Vertical)'!P:P&gt;1);filter('Students (Vertical)'!O:O,'Students (Vertical)'!C:C=E255,'"&amp;"Students (Vertical)'!O:O&lt;&gt;"""",'Students (Vertical)'!P:P&gt;1)},countifs({filter('Students (Vertical)'!O:O,'Students (Vertical)'!C:C=B255,'Students (Vertical)'!O:O&lt;&gt;"""",'Students (Vertical)'!P:P&gt;1);filter('Students (Vertical)'!O:O,'Students (Vertical)'!C:C="&amp;"E255,'Students (Vertical)'!O:O&lt;&gt;"""",'Students (Vertical)'!P:P&gt;1)},{filter('Students (Vertical)'!O:O,'Students (Vertical)'!C:C=B255,'Students (Vertical)'!O:O&lt;&gt;"""",'Students (Vertical)'!P:P&gt;1);filter('Students (Vertical)'!O:O,'Students (Vertical)'!C:C=E25"&amp;"5,'Students (Vertical)'!O:O&lt;&gt;"""",'Students (Vertical)'!P:P&gt;1)})&gt;1))),""""),"""")"),"")</f>
        <v/>
      </c>
      <c r="K255" s="358"/>
    </row>
    <row r="256">
      <c r="A256" s="300" t="s">
        <v>22</v>
      </c>
      <c r="C256" s="300" t="s">
        <v>22</v>
      </c>
      <c r="D256" s="300" t="s">
        <v>22</v>
      </c>
      <c r="F256" s="300" t="s">
        <v>22</v>
      </c>
      <c r="G256" s="300" t="s">
        <v>22</v>
      </c>
      <c r="I256" s="356" t="str">
        <f>IFERROR(__xludf.DUMMYFUNCTION("if(H256=""Must be Together"",iferror(join("", "",unique(filter({filter('Students (Vertical)'!O:O,'Students (Vertical)'!C:C=B256,'Students (Vertical)'!O:O&lt;&gt;"""");filter('Students (Vertical)'!O:O,'Students (Vertical)'!C:C=E256,'Students (Vertical)'!O:O&lt;&gt;"""&amp;""")},countifs({filter('Students (Vertical)'!O:O,'Students (Vertical)'!C:C=B256,'Students (Vertical)'!O:O&lt;&gt;"""");filter('Students (Vertical)'!O:O,'Students (Vertical)'!C:C=E256,'Students (Vertical)'!O:O&lt;&gt;"""")},{filter('Students (Vertical)'!O:O,'Students ("&amp;"Vertical)'!C:C=B256,'Students (Vertical)'!O:O&lt;&gt;"""");filter('Students (Vertical)'!O:O,'Students (Vertical)'!C:C=E256,'Students (Vertical)'!O:O&lt;&gt;"""")})&gt;1))),""No shared courses""),"""")"),"")</f>
        <v/>
      </c>
      <c r="J256" s="357" t="str">
        <f>IFERROR(__xludf.DUMMYFUNCTION("if(H256=""Can't be Together"",iferror(join("", "",unique(filter({filter('Students (Vertical)'!O:O,'Students (Vertical)'!C:C=B256,'Students (Vertical)'!O:O&lt;&gt;"""",'Students (Vertical)'!P:P&gt;1);filter('Students (Vertical)'!O:O,'Students (Vertical)'!C:C=E256,'"&amp;"Students (Vertical)'!O:O&lt;&gt;"""",'Students (Vertical)'!P:P&gt;1)},countifs({filter('Students (Vertical)'!O:O,'Students (Vertical)'!C:C=B256,'Students (Vertical)'!O:O&lt;&gt;"""",'Students (Vertical)'!P:P&gt;1);filter('Students (Vertical)'!O:O,'Students (Vertical)'!C:C="&amp;"E256,'Students (Vertical)'!O:O&lt;&gt;"""",'Students (Vertical)'!P:P&gt;1)},{filter('Students (Vertical)'!O:O,'Students (Vertical)'!C:C=B256,'Students (Vertical)'!O:O&lt;&gt;"""",'Students (Vertical)'!P:P&gt;1);filter('Students (Vertical)'!O:O,'Students (Vertical)'!C:C=E25"&amp;"6,'Students (Vertical)'!O:O&lt;&gt;"""",'Students (Vertical)'!P:P&gt;1)})&gt;1))),""""),"""")"),"")</f>
        <v/>
      </c>
      <c r="K256" s="358"/>
    </row>
    <row r="257">
      <c r="A257" s="300" t="s">
        <v>22</v>
      </c>
      <c r="C257" s="300" t="s">
        <v>22</v>
      </c>
      <c r="D257" s="300" t="s">
        <v>22</v>
      </c>
      <c r="F257" s="300" t="s">
        <v>22</v>
      </c>
      <c r="G257" s="300" t="s">
        <v>22</v>
      </c>
      <c r="I257" s="356" t="str">
        <f>IFERROR(__xludf.DUMMYFUNCTION("if(H257=""Must be Together"",iferror(join("", "",unique(filter({filter('Students (Vertical)'!O:O,'Students (Vertical)'!C:C=B257,'Students (Vertical)'!O:O&lt;&gt;"""");filter('Students (Vertical)'!O:O,'Students (Vertical)'!C:C=E257,'Students (Vertical)'!O:O&lt;&gt;"""&amp;""")},countifs({filter('Students (Vertical)'!O:O,'Students (Vertical)'!C:C=B257,'Students (Vertical)'!O:O&lt;&gt;"""");filter('Students (Vertical)'!O:O,'Students (Vertical)'!C:C=E257,'Students (Vertical)'!O:O&lt;&gt;"""")},{filter('Students (Vertical)'!O:O,'Students ("&amp;"Vertical)'!C:C=B257,'Students (Vertical)'!O:O&lt;&gt;"""");filter('Students (Vertical)'!O:O,'Students (Vertical)'!C:C=E257,'Students (Vertical)'!O:O&lt;&gt;"""")})&gt;1))),""No shared courses""),"""")"),"")</f>
        <v/>
      </c>
      <c r="J257" s="357" t="str">
        <f>IFERROR(__xludf.DUMMYFUNCTION("if(H257=""Can't be Together"",iferror(join("", "",unique(filter({filter('Students (Vertical)'!O:O,'Students (Vertical)'!C:C=B257,'Students (Vertical)'!O:O&lt;&gt;"""",'Students (Vertical)'!P:P&gt;1);filter('Students (Vertical)'!O:O,'Students (Vertical)'!C:C=E257,'"&amp;"Students (Vertical)'!O:O&lt;&gt;"""",'Students (Vertical)'!P:P&gt;1)},countifs({filter('Students (Vertical)'!O:O,'Students (Vertical)'!C:C=B257,'Students (Vertical)'!O:O&lt;&gt;"""",'Students (Vertical)'!P:P&gt;1);filter('Students (Vertical)'!O:O,'Students (Vertical)'!C:C="&amp;"E257,'Students (Vertical)'!O:O&lt;&gt;"""",'Students (Vertical)'!P:P&gt;1)},{filter('Students (Vertical)'!O:O,'Students (Vertical)'!C:C=B257,'Students (Vertical)'!O:O&lt;&gt;"""",'Students (Vertical)'!P:P&gt;1);filter('Students (Vertical)'!O:O,'Students (Vertical)'!C:C=E25"&amp;"7,'Students (Vertical)'!O:O&lt;&gt;"""",'Students (Vertical)'!P:P&gt;1)})&gt;1))),""""),"""")"),"")</f>
        <v/>
      </c>
      <c r="K257" s="358"/>
    </row>
    <row r="258">
      <c r="A258" s="300" t="s">
        <v>22</v>
      </c>
      <c r="C258" s="300" t="s">
        <v>22</v>
      </c>
      <c r="D258" s="300" t="s">
        <v>22</v>
      </c>
      <c r="F258" s="300" t="s">
        <v>22</v>
      </c>
      <c r="G258" s="300" t="s">
        <v>22</v>
      </c>
      <c r="I258" s="356" t="str">
        <f>IFERROR(__xludf.DUMMYFUNCTION("if(H258=""Must be Together"",iferror(join("", "",unique(filter({filter('Students (Vertical)'!O:O,'Students (Vertical)'!C:C=B258,'Students (Vertical)'!O:O&lt;&gt;"""");filter('Students (Vertical)'!O:O,'Students (Vertical)'!C:C=E258,'Students (Vertical)'!O:O&lt;&gt;"""&amp;""")},countifs({filter('Students (Vertical)'!O:O,'Students (Vertical)'!C:C=B258,'Students (Vertical)'!O:O&lt;&gt;"""");filter('Students (Vertical)'!O:O,'Students (Vertical)'!C:C=E258,'Students (Vertical)'!O:O&lt;&gt;"""")},{filter('Students (Vertical)'!O:O,'Students ("&amp;"Vertical)'!C:C=B258,'Students (Vertical)'!O:O&lt;&gt;"""");filter('Students (Vertical)'!O:O,'Students (Vertical)'!C:C=E258,'Students (Vertical)'!O:O&lt;&gt;"""")})&gt;1))),""No shared courses""),"""")"),"")</f>
        <v/>
      </c>
      <c r="J258" s="357" t="str">
        <f>IFERROR(__xludf.DUMMYFUNCTION("if(H258=""Can't be Together"",iferror(join("", "",unique(filter({filter('Students (Vertical)'!O:O,'Students (Vertical)'!C:C=B258,'Students (Vertical)'!O:O&lt;&gt;"""",'Students (Vertical)'!P:P&gt;1);filter('Students (Vertical)'!O:O,'Students (Vertical)'!C:C=E258,'"&amp;"Students (Vertical)'!O:O&lt;&gt;"""",'Students (Vertical)'!P:P&gt;1)},countifs({filter('Students (Vertical)'!O:O,'Students (Vertical)'!C:C=B258,'Students (Vertical)'!O:O&lt;&gt;"""",'Students (Vertical)'!P:P&gt;1);filter('Students (Vertical)'!O:O,'Students (Vertical)'!C:C="&amp;"E258,'Students (Vertical)'!O:O&lt;&gt;"""",'Students (Vertical)'!P:P&gt;1)},{filter('Students (Vertical)'!O:O,'Students (Vertical)'!C:C=B258,'Students (Vertical)'!O:O&lt;&gt;"""",'Students (Vertical)'!P:P&gt;1);filter('Students (Vertical)'!O:O,'Students (Vertical)'!C:C=E25"&amp;"8,'Students (Vertical)'!O:O&lt;&gt;"""",'Students (Vertical)'!P:P&gt;1)})&gt;1))),""""),"""")"),"")</f>
        <v/>
      </c>
      <c r="K258" s="358"/>
    </row>
    <row r="259">
      <c r="A259" s="300" t="s">
        <v>22</v>
      </c>
      <c r="C259" s="300" t="s">
        <v>22</v>
      </c>
      <c r="D259" s="300" t="s">
        <v>22</v>
      </c>
      <c r="F259" s="300" t="s">
        <v>22</v>
      </c>
      <c r="G259" s="300" t="s">
        <v>22</v>
      </c>
      <c r="I259" s="356" t="str">
        <f>IFERROR(__xludf.DUMMYFUNCTION("if(H259=""Must be Together"",iferror(join("", "",unique(filter({filter('Students (Vertical)'!O:O,'Students (Vertical)'!C:C=B259,'Students (Vertical)'!O:O&lt;&gt;"""");filter('Students (Vertical)'!O:O,'Students (Vertical)'!C:C=E259,'Students (Vertical)'!O:O&lt;&gt;"""&amp;""")},countifs({filter('Students (Vertical)'!O:O,'Students (Vertical)'!C:C=B259,'Students (Vertical)'!O:O&lt;&gt;"""");filter('Students (Vertical)'!O:O,'Students (Vertical)'!C:C=E259,'Students (Vertical)'!O:O&lt;&gt;"""")},{filter('Students (Vertical)'!O:O,'Students ("&amp;"Vertical)'!C:C=B259,'Students (Vertical)'!O:O&lt;&gt;"""");filter('Students (Vertical)'!O:O,'Students (Vertical)'!C:C=E259,'Students (Vertical)'!O:O&lt;&gt;"""")})&gt;1))),""No shared courses""),"""")"),"")</f>
        <v/>
      </c>
      <c r="J259" s="357" t="str">
        <f>IFERROR(__xludf.DUMMYFUNCTION("if(H259=""Can't be Together"",iferror(join("", "",unique(filter({filter('Students (Vertical)'!O:O,'Students (Vertical)'!C:C=B259,'Students (Vertical)'!O:O&lt;&gt;"""",'Students (Vertical)'!P:P&gt;1);filter('Students (Vertical)'!O:O,'Students (Vertical)'!C:C=E259,'"&amp;"Students (Vertical)'!O:O&lt;&gt;"""",'Students (Vertical)'!P:P&gt;1)},countifs({filter('Students (Vertical)'!O:O,'Students (Vertical)'!C:C=B259,'Students (Vertical)'!O:O&lt;&gt;"""",'Students (Vertical)'!P:P&gt;1);filter('Students (Vertical)'!O:O,'Students (Vertical)'!C:C="&amp;"E259,'Students (Vertical)'!O:O&lt;&gt;"""",'Students (Vertical)'!P:P&gt;1)},{filter('Students (Vertical)'!O:O,'Students (Vertical)'!C:C=B259,'Students (Vertical)'!O:O&lt;&gt;"""",'Students (Vertical)'!P:P&gt;1);filter('Students (Vertical)'!O:O,'Students (Vertical)'!C:C=E25"&amp;"9,'Students (Vertical)'!O:O&lt;&gt;"""",'Students (Vertical)'!P:P&gt;1)})&gt;1))),""""),"""")"),"")</f>
        <v/>
      </c>
      <c r="K259" s="358"/>
    </row>
    <row r="260">
      <c r="A260" s="300" t="s">
        <v>22</v>
      </c>
      <c r="C260" s="300" t="s">
        <v>22</v>
      </c>
      <c r="D260" s="300" t="s">
        <v>22</v>
      </c>
      <c r="F260" s="300" t="s">
        <v>22</v>
      </c>
      <c r="G260" s="300" t="s">
        <v>22</v>
      </c>
      <c r="I260" s="356" t="str">
        <f>IFERROR(__xludf.DUMMYFUNCTION("if(H260=""Must be Together"",iferror(join("", "",unique(filter({filter('Students (Vertical)'!O:O,'Students (Vertical)'!C:C=B260,'Students (Vertical)'!O:O&lt;&gt;"""");filter('Students (Vertical)'!O:O,'Students (Vertical)'!C:C=E260,'Students (Vertical)'!O:O&lt;&gt;"""&amp;""")},countifs({filter('Students (Vertical)'!O:O,'Students (Vertical)'!C:C=B260,'Students (Vertical)'!O:O&lt;&gt;"""");filter('Students (Vertical)'!O:O,'Students (Vertical)'!C:C=E260,'Students (Vertical)'!O:O&lt;&gt;"""")},{filter('Students (Vertical)'!O:O,'Students ("&amp;"Vertical)'!C:C=B260,'Students (Vertical)'!O:O&lt;&gt;"""");filter('Students (Vertical)'!O:O,'Students (Vertical)'!C:C=E260,'Students (Vertical)'!O:O&lt;&gt;"""")})&gt;1))),""No shared courses""),"""")"),"")</f>
        <v/>
      </c>
      <c r="J260" s="357" t="str">
        <f>IFERROR(__xludf.DUMMYFUNCTION("if(H260=""Can't be Together"",iferror(join("", "",unique(filter({filter('Students (Vertical)'!O:O,'Students (Vertical)'!C:C=B260,'Students (Vertical)'!O:O&lt;&gt;"""",'Students (Vertical)'!P:P&gt;1);filter('Students (Vertical)'!O:O,'Students (Vertical)'!C:C=E260,'"&amp;"Students (Vertical)'!O:O&lt;&gt;"""",'Students (Vertical)'!P:P&gt;1)},countifs({filter('Students (Vertical)'!O:O,'Students (Vertical)'!C:C=B260,'Students (Vertical)'!O:O&lt;&gt;"""",'Students (Vertical)'!P:P&gt;1);filter('Students (Vertical)'!O:O,'Students (Vertical)'!C:C="&amp;"E260,'Students (Vertical)'!O:O&lt;&gt;"""",'Students (Vertical)'!P:P&gt;1)},{filter('Students (Vertical)'!O:O,'Students (Vertical)'!C:C=B260,'Students (Vertical)'!O:O&lt;&gt;"""",'Students (Vertical)'!P:P&gt;1);filter('Students (Vertical)'!O:O,'Students (Vertical)'!C:C=E26"&amp;"0,'Students (Vertical)'!O:O&lt;&gt;"""",'Students (Vertical)'!P:P&gt;1)})&gt;1))),""""),"""")"),"")</f>
        <v/>
      </c>
      <c r="K260" s="358"/>
    </row>
    <row r="261">
      <c r="A261" s="300" t="s">
        <v>22</v>
      </c>
      <c r="C261" s="300" t="s">
        <v>22</v>
      </c>
      <c r="D261" s="300" t="s">
        <v>22</v>
      </c>
      <c r="F261" s="300" t="s">
        <v>22</v>
      </c>
      <c r="G261" s="300" t="s">
        <v>22</v>
      </c>
      <c r="I261" s="356" t="str">
        <f>IFERROR(__xludf.DUMMYFUNCTION("if(H261=""Must be Together"",iferror(join("", "",unique(filter({filter('Students (Vertical)'!O:O,'Students (Vertical)'!C:C=B261,'Students (Vertical)'!O:O&lt;&gt;"""");filter('Students (Vertical)'!O:O,'Students (Vertical)'!C:C=E261,'Students (Vertical)'!O:O&lt;&gt;"""&amp;""")},countifs({filter('Students (Vertical)'!O:O,'Students (Vertical)'!C:C=B261,'Students (Vertical)'!O:O&lt;&gt;"""");filter('Students (Vertical)'!O:O,'Students (Vertical)'!C:C=E261,'Students (Vertical)'!O:O&lt;&gt;"""")},{filter('Students (Vertical)'!O:O,'Students ("&amp;"Vertical)'!C:C=B261,'Students (Vertical)'!O:O&lt;&gt;"""");filter('Students (Vertical)'!O:O,'Students (Vertical)'!C:C=E261,'Students (Vertical)'!O:O&lt;&gt;"""")})&gt;1))),""No shared courses""),"""")"),"")</f>
        <v/>
      </c>
      <c r="J261" s="357" t="str">
        <f>IFERROR(__xludf.DUMMYFUNCTION("if(H261=""Can't be Together"",iferror(join("", "",unique(filter({filter('Students (Vertical)'!O:O,'Students (Vertical)'!C:C=B261,'Students (Vertical)'!O:O&lt;&gt;"""",'Students (Vertical)'!P:P&gt;1);filter('Students (Vertical)'!O:O,'Students (Vertical)'!C:C=E261,'"&amp;"Students (Vertical)'!O:O&lt;&gt;"""",'Students (Vertical)'!P:P&gt;1)},countifs({filter('Students (Vertical)'!O:O,'Students (Vertical)'!C:C=B261,'Students (Vertical)'!O:O&lt;&gt;"""",'Students (Vertical)'!P:P&gt;1);filter('Students (Vertical)'!O:O,'Students (Vertical)'!C:C="&amp;"E261,'Students (Vertical)'!O:O&lt;&gt;"""",'Students (Vertical)'!P:P&gt;1)},{filter('Students (Vertical)'!O:O,'Students (Vertical)'!C:C=B261,'Students (Vertical)'!O:O&lt;&gt;"""",'Students (Vertical)'!P:P&gt;1);filter('Students (Vertical)'!O:O,'Students (Vertical)'!C:C=E26"&amp;"1,'Students (Vertical)'!O:O&lt;&gt;"""",'Students (Vertical)'!P:P&gt;1)})&gt;1))),""""),"""")"),"")</f>
        <v/>
      </c>
      <c r="K261" s="358"/>
    </row>
    <row r="262">
      <c r="A262" s="300" t="s">
        <v>22</v>
      </c>
      <c r="C262" s="300" t="s">
        <v>22</v>
      </c>
      <c r="D262" s="300" t="s">
        <v>22</v>
      </c>
      <c r="F262" s="300" t="s">
        <v>22</v>
      </c>
      <c r="G262" s="300" t="s">
        <v>22</v>
      </c>
      <c r="I262" s="356" t="str">
        <f>IFERROR(__xludf.DUMMYFUNCTION("if(H262=""Must be Together"",iferror(join("", "",unique(filter({filter('Students (Vertical)'!O:O,'Students (Vertical)'!C:C=B262,'Students (Vertical)'!O:O&lt;&gt;"""");filter('Students (Vertical)'!O:O,'Students (Vertical)'!C:C=E262,'Students (Vertical)'!O:O&lt;&gt;"""&amp;""")},countifs({filter('Students (Vertical)'!O:O,'Students (Vertical)'!C:C=B262,'Students (Vertical)'!O:O&lt;&gt;"""");filter('Students (Vertical)'!O:O,'Students (Vertical)'!C:C=E262,'Students (Vertical)'!O:O&lt;&gt;"""")},{filter('Students (Vertical)'!O:O,'Students ("&amp;"Vertical)'!C:C=B262,'Students (Vertical)'!O:O&lt;&gt;"""");filter('Students (Vertical)'!O:O,'Students (Vertical)'!C:C=E262,'Students (Vertical)'!O:O&lt;&gt;"""")})&gt;1))),""No shared courses""),"""")"),"")</f>
        <v/>
      </c>
      <c r="J262" s="357" t="str">
        <f>IFERROR(__xludf.DUMMYFUNCTION("if(H262=""Can't be Together"",iferror(join("", "",unique(filter({filter('Students (Vertical)'!O:O,'Students (Vertical)'!C:C=B262,'Students (Vertical)'!O:O&lt;&gt;"""",'Students (Vertical)'!P:P&gt;1);filter('Students (Vertical)'!O:O,'Students (Vertical)'!C:C=E262,'"&amp;"Students (Vertical)'!O:O&lt;&gt;"""",'Students (Vertical)'!P:P&gt;1)},countifs({filter('Students (Vertical)'!O:O,'Students (Vertical)'!C:C=B262,'Students (Vertical)'!O:O&lt;&gt;"""",'Students (Vertical)'!P:P&gt;1);filter('Students (Vertical)'!O:O,'Students (Vertical)'!C:C="&amp;"E262,'Students (Vertical)'!O:O&lt;&gt;"""",'Students (Vertical)'!P:P&gt;1)},{filter('Students (Vertical)'!O:O,'Students (Vertical)'!C:C=B262,'Students (Vertical)'!O:O&lt;&gt;"""",'Students (Vertical)'!P:P&gt;1);filter('Students (Vertical)'!O:O,'Students (Vertical)'!C:C=E26"&amp;"2,'Students (Vertical)'!O:O&lt;&gt;"""",'Students (Vertical)'!P:P&gt;1)})&gt;1))),""""),"""")"),"")</f>
        <v/>
      </c>
      <c r="K262" s="358"/>
    </row>
    <row r="263">
      <c r="A263" s="300" t="s">
        <v>22</v>
      </c>
      <c r="C263" s="300" t="s">
        <v>22</v>
      </c>
      <c r="D263" s="300" t="s">
        <v>22</v>
      </c>
      <c r="F263" s="300" t="s">
        <v>22</v>
      </c>
      <c r="G263" s="300" t="s">
        <v>22</v>
      </c>
      <c r="I263" s="356" t="str">
        <f>IFERROR(__xludf.DUMMYFUNCTION("if(H263=""Must be Together"",iferror(join("", "",unique(filter({filter('Students (Vertical)'!O:O,'Students (Vertical)'!C:C=B263,'Students (Vertical)'!O:O&lt;&gt;"""");filter('Students (Vertical)'!O:O,'Students (Vertical)'!C:C=E263,'Students (Vertical)'!O:O&lt;&gt;"""&amp;""")},countifs({filter('Students (Vertical)'!O:O,'Students (Vertical)'!C:C=B263,'Students (Vertical)'!O:O&lt;&gt;"""");filter('Students (Vertical)'!O:O,'Students (Vertical)'!C:C=E263,'Students (Vertical)'!O:O&lt;&gt;"""")},{filter('Students (Vertical)'!O:O,'Students ("&amp;"Vertical)'!C:C=B263,'Students (Vertical)'!O:O&lt;&gt;"""");filter('Students (Vertical)'!O:O,'Students (Vertical)'!C:C=E263,'Students (Vertical)'!O:O&lt;&gt;"""")})&gt;1))),""No shared courses""),"""")"),"")</f>
        <v/>
      </c>
      <c r="J263" s="357" t="str">
        <f>IFERROR(__xludf.DUMMYFUNCTION("if(H263=""Can't be Together"",iferror(join("", "",unique(filter({filter('Students (Vertical)'!O:O,'Students (Vertical)'!C:C=B263,'Students (Vertical)'!O:O&lt;&gt;"""",'Students (Vertical)'!P:P&gt;1);filter('Students (Vertical)'!O:O,'Students (Vertical)'!C:C=E263,'"&amp;"Students (Vertical)'!O:O&lt;&gt;"""",'Students (Vertical)'!P:P&gt;1)},countifs({filter('Students (Vertical)'!O:O,'Students (Vertical)'!C:C=B263,'Students (Vertical)'!O:O&lt;&gt;"""",'Students (Vertical)'!P:P&gt;1);filter('Students (Vertical)'!O:O,'Students (Vertical)'!C:C="&amp;"E263,'Students (Vertical)'!O:O&lt;&gt;"""",'Students (Vertical)'!P:P&gt;1)},{filter('Students (Vertical)'!O:O,'Students (Vertical)'!C:C=B263,'Students (Vertical)'!O:O&lt;&gt;"""",'Students (Vertical)'!P:P&gt;1);filter('Students (Vertical)'!O:O,'Students (Vertical)'!C:C=E26"&amp;"3,'Students (Vertical)'!O:O&lt;&gt;"""",'Students (Vertical)'!P:P&gt;1)})&gt;1))),""""),"""")"),"")</f>
        <v/>
      </c>
      <c r="K263" s="358"/>
    </row>
    <row r="264">
      <c r="A264" s="300" t="s">
        <v>22</v>
      </c>
      <c r="C264" s="300" t="s">
        <v>22</v>
      </c>
      <c r="D264" s="300" t="s">
        <v>22</v>
      </c>
      <c r="F264" s="300" t="s">
        <v>22</v>
      </c>
      <c r="G264" s="300" t="s">
        <v>22</v>
      </c>
      <c r="I264" s="356" t="str">
        <f>IFERROR(__xludf.DUMMYFUNCTION("if(H264=""Must be Together"",iferror(join("", "",unique(filter({filter('Students (Vertical)'!O:O,'Students (Vertical)'!C:C=B264,'Students (Vertical)'!O:O&lt;&gt;"""");filter('Students (Vertical)'!O:O,'Students (Vertical)'!C:C=E264,'Students (Vertical)'!O:O&lt;&gt;"""&amp;""")},countifs({filter('Students (Vertical)'!O:O,'Students (Vertical)'!C:C=B264,'Students (Vertical)'!O:O&lt;&gt;"""");filter('Students (Vertical)'!O:O,'Students (Vertical)'!C:C=E264,'Students (Vertical)'!O:O&lt;&gt;"""")},{filter('Students (Vertical)'!O:O,'Students ("&amp;"Vertical)'!C:C=B264,'Students (Vertical)'!O:O&lt;&gt;"""");filter('Students (Vertical)'!O:O,'Students (Vertical)'!C:C=E264,'Students (Vertical)'!O:O&lt;&gt;"""")})&gt;1))),""No shared courses""),"""")"),"")</f>
        <v/>
      </c>
      <c r="J264" s="357" t="str">
        <f>IFERROR(__xludf.DUMMYFUNCTION("if(H264=""Can't be Together"",iferror(join("", "",unique(filter({filter('Students (Vertical)'!O:O,'Students (Vertical)'!C:C=B264,'Students (Vertical)'!O:O&lt;&gt;"""",'Students (Vertical)'!P:P&gt;1);filter('Students (Vertical)'!O:O,'Students (Vertical)'!C:C=E264,'"&amp;"Students (Vertical)'!O:O&lt;&gt;"""",'Students (Vertical)'!P:P&gt;1)},countifs({filter('Students (Vertical)'!O:O,'Students (Vertical)'!C:C=B264,'Students (Vertical)'!O:O&lt;&gt;"""",'Students (Vertical)'!P:P&gt;1);filter('Students (Vertical)'!O:O,'Students (Vertical)'!C:C="&amp;"E264,'Students (Vertical)'!O:O&lt;&gt;"""",'Students (Vertical)'!P:P&gt;1)},{filter('Students (Vertical)'!O:O,'Students (Vertical)'!C:C=B264,'Students (Vertical)'!O:O&lt;&gt;"""",'Students (Vertical)'!P:P&gt;1);filter('Students (Vertical)'!O:O,'Students (Vertical)'!C:C=E26"&amp;"4,'Students (Vertical)'!O:O&lt;&gt;"""",'Students (Vertical)'!P:P&gt;1)})&gt;1))),""""),"""")"),"")</f>
        <v/>
      </c>
      <c r="K264" s="358"/>
    </row>
    <row r="265">
      <c r="A265" s="300" t="s">
        <v>22</v>
      </c>
      <c r="C265" s="300" t="s">
        <v>22</v>
      </c>
      <c r="D265" s="300" t="s">
        <v>22</v>
      </c>
      <c r="F265" s="300" t="s">
        <v>22</v>
      </c>
      <c r="G265" s="300" t="s">
        <v>22</v>
      </c>
      <c r="I265" s="356" t="str">
        <f>IFERROR(__xludf.DUMMYFUNCTION("if(H265=""Must be Together"",iferror(join("", "",unique(filter({filter('Students (Vertical)'!O:O,'Students (Vertical)'!C:C=B265,'Students (Vertical)'!O:O&lt;&gt;"""");filter('Students (Vertical)'!O:O,'Students (Vertical)'!C:C=E265,'Students (Vertical)'!O:O&lt;&gt;"""&amp;""")},countifs({filter('Students (Vertical)'!O:O,'Students (Vertical)'!C:C=B265,'Students (Vertical)'!O:O&lt;&gt;"""");filter('Students (Vertical)'!O:O,'Students (Vertical)'!C:C=E265,'Students (Vertical)'!O:O&lt;&gt;"""")},{filter('Students (Vertical)'!O:O,'Students ("&amp;"Vertical)'!C:C=B265,'Students (Vertical)'!O:O&lt;&gt;"""");filter('Students (Vertical)'!O:O,'Students (Vertical)'!C:C=E265,'Students (Vertical)'!O:O&lt;&gt;"""")})&gt;1))),""No shared courses""),"""")"),"")</f>
        <v/>
      </c>
      <c r="J265" s="357" t="str">
        <f>IFERROR(__xludf.DUMMYFUNCTION("if(H265=""Can't be Together"",iferror(join("", "",unique(filter({filter('Students (Vertical)'!O:O,'Students (Vertical)'!C:C=B265,'Students (Vertical)'!O:O&lt;&gt;"""",'Students (Vertical)'!P:P&gt;1);filter('Students (Vertical)'!O:O,'Students (Vertical)'!C:C=E265,'"&amp;"Students (Vertical)'!O:O&lt;&gt;"""",'Students (Vertical)'!P:P&gt;1)},countifs({filter('Students (Vertical)'!O:O,'Students (Vertical)'!C:C=B265,'Students (Vertical)'!O:O&lt;&gt;"""",'Students (Vertical)'!P:P&gt;1);filter('Students (Vertical)'!O:O,'Students (Vertical)'!C:C="&amp;"E265,'Students (Vertical)'!O:O&lt;&gt;"""",'Students (Vertical)'!P:P&gt;1)},{filter('Students (Vertical)'!O:O,'Students (Vertical)'!C:C=B265,'Students (Vertical)'!O:O&lt;&gt;"""",'Students (Vertical)'!P:P&gt;1);filter('Students (Vertical)'!O:O,'Students (Vertical)'!C:C=E26"&amp;"5,'Students (Vertical)'!O:O&lt;&gt;"""",'Students (Vertical)'!P:P&gt;1)})&gt;1))),""""),"""")"),"")</f>
        <v/>
      </c>
      <c r="K265" s="358"/>
    </row>
    <row r="266">
      <c r="A266" s="300" t="s">
        <v>22</v>
      </c>
      <c r="C266" s="300" t="s">
        <v>22</v>
      </c>
      <c r="D266" s="300" t="s">
        <v>22</v>
      </c>
      <c r="F266" s="300" t="s">
        <v>22</v>
      </c>
      <c r="G266" s="300" t="s">
        <v>22</v>
      </c>
      <c r="I266" s="356" t="str">
        <f>IFERROR(__xludf.DUMMYFUNCTION("if(H266=""Must be Together"",iferror(join("", "",unique(filter({filter('Students (Vertical)'!O:O,'Students (Vertical)'!C:C=B266,'Students (Vertical)'!O:O&lt;&gt;"""");filter('Students (Vertical)'!O:O,'Students (Vertical)'!C:C=E266,'Students (Vertical)'!O:O&lt;&gt;"""&amp;""")},countifs({filter('Students (Vertical)'!O:O,'Students (Vertical)'!C:C=B266,'Students (Vertical)'!O:O&lt;&gt;"""");filter('Students (Vertical)'!O:O,'Students (Vertical)'!C:C=E266,'Students (Vertical)'!O:O&lt;&gt;"""")},{filter('Students (Vertical)'!O:O,'Students ("&amp;"Vertical)'!C:C=B266,'Students (Vertical)'!O:O&lt;&gt;"""");filter('Students (Vertical)'!O:O,'Students (Vertical)'!C:C=E266,'Students (Vertical)'!O:O&lt;&gt;"""")})&gt;1))),""No shared courses""),"""")"),"")</f>
        <v/>
      </c>
      <c r="J266" s="357" t="str">
        <f>IFERROR(__xludf.DUMMYFUNCTION("if(H266=""Can't be Together"",iferror(join("", "",unique(filter({filter('Students (Vertical)'!O:O,'Students (Vertical)'!C:C=B266,'Students (Vertical)'!O:O&lt;&gt;"""",'Students (Vertical)'!P:P&gt;1);filter('Students (Vertical)'!O:O,'Students (Vertical)'!C:C=E266,'"&amp;"Students (Vertical)'!O:O&lt;&gt;"""",'Students (Vertical)'!P:P&gt;1)},countifs({filter('Students (Vertical)'!O:O,'Students (Vertical)'!C:C=B266,'Students (Vertical)'!O:O&lt;&gt;"""",'Students (Vertical)'!P:P&gt;1);filter('Students (Vertical)'!O:O,'Students (Vertical)'!C:C="&amp;"E266,'Students (Vertical)'!O:O&lt;&gt;"""",'Students (Vertical)'!P:P&gt;1)},{filter('Students (Vertical)'!O:O,'Students (Vertical)'!C:C=B266,'Students (Vertical)'!O:O&lt;&gt;"""",'Students (Vertical)'!P:P&gt;1);filter('Students (Vertical)'!O:O,'Students (Vertical)'!C:C=E26"&amp;"6,'Students (Vertical)'!O:O&lt;&gt;"""",'Students (Vertical)'!P:P&gt;1)})&gt;1))),""""),"""")"),"")</f>
        <v/>
      </c>
      <c r="K266" s="358"/>
    </row>
    <row r="267">
      <c r="A267" s="300" t="s">
        <v>22</v>
      </c>
      <c r="C267" s="300" t="s">
        <v>22</v>
      </c>
      <c r="D267" s="300" t="s">
        <v>22</v>
      </c>
      <c r="F267" s="300" t="s">
        <v>22</v>
      </c>
      <c r="G267" s="300" t="s">
        <v>22</v>
      </c>
      <c r="I267" s="356" t="str">
        <f>IFERROR(__xludf.DUMMYFUNCTION("if(H267=""Must be Together"",iferror(join("", "",unique(filter({filter('Students (Vertical)'!O:O,'Students (Vertical)'!C:C=B267,'Students (Vertical)'!O:O&lt;&gt;"""");filter('Students (Vertical)'!O:O,'Students (Vertical)'!C:C=E267,'Students (Vertical)'!O:O&lt;&gt;"""&amp;""")},countifs({filter('Students (Vertical)'!O:O,'Students (Vertical)'!C:C=B267,'Students (Vertical)'!O:O&lt;&gt;"""");filter('Students (Vertical)'!O:O,'Students (Vertical)'!C:C=E267,'Students (Vertical)'!O:O&lt;&gt;"""")},{filter('Students (Vertical)'!O:O,'Students ("&amp;"Vertical)'!C:C=B267,'Students (Vertical)'!O:O&lt;&gt;"""");filter('Students (Vertical)'!O:O,'Students (Vertical)'!C:C=E267,'Students (Vertical)'!O:O&lt;&gt;"""")})&gt;1))),""No shared courses""),"""")"),"")</f>
        <v/>
      </c>
      <c r="J267" s="357" t="str">
        <f>IFERROR(__xludf.DUMMYFUNCTION("if(H267=""Can't be Together"",iferror(join("", "",unique(filter({filter('Students (Vertical)'!O:O,'Students (Vertical)'!C:C=B267,'Students (Vertical)'!O:O&lt;&gt;"""",'Students (Vertical)'!P:P&gt;1);filter('Students (Vertical)'!O:O,'Students (Vertical)'!C:C=E267,'"&amp;"Students (Vertical)'!O:O&lt;&gt;"""",'Students (Vertical)'!P:P&gt;1)},countifs({filter('Students (Vertical)'!O:O,'Students (Vertical)'!C:C=B267,'Students (Vertical)'!O:O&lt;&gt;"""",'Students (Vertical)'!P:P&gt;1);filter('Students (Vertical)'!O:O,'Students (Vertical)'!C:C="&amp;"E267,'Students (Vertical)'!O:O&lt;&gt;"""",'Students (Vertical)'!P:P&gt;1)},{filter('Students (Vertical)'!O:O,'Students (Vertical)'!C:C=B267,'Students (Vertical)'!O:O&lt;&gt;"""",'Students (Vertical)'!P:P&gt;1);filter('Students (Vertical)'!O:O,'Students (Vertical)'!C:C=E26"&amp;"7,'Students (Vertical)'!O:O&lt;&gt;"""",'Students (Vertical)'!P:P&gt;1)})&gt;1))),""""),"""")"),"")</f>
        <v/>
      </c>
      <c r="K267" s="358"/>
    </row>
    <row r="268">
      <c r="A268" s="300" t="s">
        <v>22</v>
      </c>
      <c r="C268" s="300" t="s">
        <v>22</v>
      </c>
      <c r="D268" s="300" t="s">
        <v>22</v>
      </c>
      <c r="F268" s="300" t="s">
        <v>22</v>
      </c>
      <c r="G268" s="300" t="s">
        <v>22</v>
      </c>
      <c r="I268" s="356" t="str">
        <f>IFERROR(__xludf.DUMMYFUNCTION("if(H268=""Must be Together"",iferror(join("", "",unique(filter({filter('Students (Vertical)'!O:O,'Students (Vertical)'!C:C=B268,'Students (Vertical)'!O:O&lt;&gt;"""");filter('Students (Vertical)'!O:O,'Students (Vertical)'!C:C=E268,'Students (Vertical)'!O:O&lt;&gt;"""&amp;""")},countifs({filter('Students (Vertical)'!O:O,'Students (Vertical)'!C:C=B268,'Students (Vertical)'!O:O&lt;&gt;"""");filter('Students (Vertical)'!O:O,'Students (Vertical)'!C:C=E268,'Students (Vertical)'!O:O&lt;&gt;"""")},{filter('Students (Vertical)'!O:O,'Students ("&amp;"Vertical)'!C:C=B268,'Students (Vertical)'!O:O&lt;&gt;"""");filter('Students (Vertical)'!O:O,'Students (Vertical)'!C:C=E268,'Students (Vertical)'!O:O&lt;&gt;"""")})&gt;1))),""No shared courses""),"""")"),"")</f>
        <v/>
      </c>
      <c r="J268" s="357" t="str">
        <f>IFERROR(__xludf.DUMMYFUNCTION("if(H268=""Can't be Together"",iferror(join("", "",unique(filter({filter('Students (Vertical)'!O:O,'Students (Vertical)'!C:C=B268,'Students (Vertical)'!O:O&lt;&gt;"""",'Students (Vertical)'!P:P&gt;1);filter('Students (Vertical)'!O:O,'Students (Vertical)'!C:C=E268,'"&amp;"Students (Vertical)'!O:O&lt;&gt;"""",'Students (Vertical)'!P:P&gt;1)},countifs({filter('Students (Vertical)'!O:O,'Students (Vertical)'!C:C=B268,'Students (Vertical)'!O:O&lt;&gt;"""",'Students (Vertical)'!P:P&gt;1);filter('Students (Vertical)'!O:O,'Students (Vertical)'!C:C="&amp;"E268,'Students (Vertical)'!O:O&lt;&gt;"""",'Students (Vertical)'!P:P&gt;1)},{filter('Students (Vertical)'!O:O,'Students (Vertical)'!C:C=B268,'Students (Vertical)'!O:O&lt;&gt;"""",'Students (Vertical)'!P:P&gt;1);filter('Students (Vertical)'!O:O,'Students (Vertical)'!C:C=E26"&amp;"8,'Students (Vertical)'!O:O&lt;&gt;"""",'Students (Vertical)'!P:P&gt;1)})&gt;1))),""""),"""")"),"")</f>
        <v/>
      </c>
      <c r="K268" s="358"/>
    </row>
    <row r="269">
      <c r="A269" s="300" t="s">
        <v>22</v>
      </c>
      <c r="C269" s="300" t="s">
        <v>22</v>
      </c>
      <c r="D269" s="300" t="s">
        <v>22</v>
      </c>
      <c r="F269" s="300" t="s">
        <v>22</v>
      </c>
      <c r="G269" s="300" t="s">
        <v>22</v>
      </c>
      <c r="I269" s="356" t="str">
        <f>IFERROR(__xludf.DUMMYFUNCTION("if(H269=""Must be Together"",iferror(join("", "",unique(filter({filter('Students (Vertical)'!O:O,'Students (Vertical)'!C:C=B269,'Students (Vertical)'!O:O&lt;&gt;"""");filter('Students (Vertical)'!O:O,'Students (Vertical)'!C:C=E269,'Students (Vertical)'!O:O&lt;&gt;"""&amp;""")},countifs({filter('Students (Vertical)'!O:O,'Students (Vertical)'!C:C=B269,'Students (Vertical)'!O:O&lt;&gt;"""");filter('Students (Vertical)'!O:O,'Students (Vertical)'!C:C=E269,'Students (Vertical)'!O:O&lt;&gt;"""")},{filter('Students (Vertical)'!O:O,'Students ("&amp;"Vertical)'!C:C=B269,'Students (Vertical)'!O:O&lt;&gt;"""");filter('Students (Vertical)'!O:O,'Students (Vertical)'!C:C=E269,'Students (Vertical)'!O:O&lt;&gt;"""")})&gt;1))),""No shared courses""),"""")"),"")</f>
        <v/>
      </c>
      <c r="J269" s="357" t="str">
        <f>IFERROR(__xludf.DUMMYFUNCTION("if(H269=""Can't be Together"",iferror(join("", "",unique(filter({filter('Students (Vertical)'!O:O,'Students (Vertical)'!C:C=B269,'Students (Vertical)'!O:O&lt;&gt;"""",'Students (Vertical)'!P:P&gt;1);filter('Students (Vertical)'!O:O,'Students (Vertical)'!C:C=E269,'"&amp;"Students (Vertical)'!O:O&lt;&gt;"""",'Students (Vertical)'!P:P&gt;1)},countifs({filter('Students (Vertical)'!O:O,'Students (Vertical)'!C:C=B269,'Students (Vertical)'!O:O&lt;&gt;"""",'Students (Vertical)'!P:P&gt;1);filter('Students (Vertical)'!O:O,'Students (Vertical)'!C:C="&amp;"E269,'Students (Vertical)'!O:O&lt;&gt;"""",'Students (Vertical)'!P:P&gt;1)},{filter('Students (Vertical)'!O:O,'Students (Vertical)'!C:C=B269,'Students (Vertical)'!O:O&lt;&gt;"""",'Students (Vertical)'!P:P&gt;1);filter('Students (Vertical)'!O:O,'Students (Vertical)'!C:C=E26"&amp;"9,'Students (Vertical)'!O:O&lt;&gt;"""",'Students (Vertical)'!P:P&gt;1)})&gt;1))),""""),"""")"),"")</f>
        <v/>
      </c>
      <c r="K269" s="358"/>
    </row>
    <row r="270">
      <c r="A270" s="300" t="s">
        <v>22</v>
      </c>
      <c r="C270" s="300" t="s">
        <v>22</v>
      </c>
      <c r="D270" s="300" t="s">
        <v>22</v>
      </c>
      <c r="F270" s="300" t="s">
        <v>22</v>
      </c>
      <c r="G270" s="300" t="s">
        <v>22</v>
      </c>
      <c r="I270" s="356" t="str">
        <f>IFERROR(__xludf.DUMMYFUNCTION("if(H270=""Must be Together"",iferror(join("", "",unique(filter({filter('Students (Vertical)'!O:O,'Students (Vertical)'!C:C=B270,'Students (Vertical)'!O:O&lt;&gt;"""");filter('Students (Vertical)'!O:O,'Students (Vertical)'!C:C=E270,'Students (Vertical)'!O:O&lt;&gt;"""&amp;""")},countifs({filter('Students (Vertical)'!O:O,'Students (Vertical)'!C:C=B270,'Students (Vertical)'!O:O&lt;&gt;"""");filter('Students (Vertical)'!O:O,'Students (Vertical)'!C:C=E270,'Students (Vertical)'!O:O&lt;&gt;"""")},{filter('Students (Vertical)'!O:O,'Students ("&amp;"Vertical)'!C:C=B270,'Students (Vertical)'!O:O&lt;&gt;"""");filter('Students (Vertical)'!O:O,'Students (Vertical)'!C:C=E270,'Students (Vertical)'!O:O&lt;&gt;"""")})&gt;1))),""No shared courses""),"""")"),"")</f>
        <v/>
      </c>
      <c r="J270" s="357" t="str">
        <f>IFERROR(__xludf.DUMMYFUNCTION("if(H270=""Can't be Together"",iferror(join("", "",unique(filter({filter('Students (Vertical)'!O:O,'Students (Vertical)'!C:C=B270,'Students (Vertical)'!O:O&lt;&gt;"""",'Students (Vertical)'!P:P&gt;1);filter('Students (Vertical)'!O:O,'Students (Vertical)'!C:C=E270,'"&amp;"Students (Vertical)'!O:O&lt;&gt;"""",'Students (Vertical)'!P:P&gt;1)},countifs({filter('Students (Vertical)'!O:O,'Students (Vertical)'!C:C=B270,'Students (Vertical)'!O:O&lt;&gt;"""",'Students (Vertical)'!P:P&gt;1);filter('Students (Vertical)'!O:O,'Students (Vertical)'!C:C="&amp;"E270,'Students (Vertical)'!O:O&lt;&gt;"""",'Students (Vertical)'!P:P&gt;1)},{filter('Students (Vertical)'!O:O,'Students (Vertical)'!C:C=B270,'Students (Vertical)'!O:O&lt;&gt;"""",'Students (Vertical)'!P:P&gt;1);filter('Students (Vertical)'!O:O,'Students (Vertical)'!C:C=E27"&amp;"0,'Students (Vertical)'!O:O&lt;&gt;"""",'Students (Vertical)'!P:P&gt;1)})&gt;1))),""""),"""")"),"")</f>
        <v/>
      </c>
      <c r="K270" s="358"/>
    </row>
    <row r="271">
      <c r="A271" s="300" t="s">
        <v>22</v>
      </c>
      <c r="C271" s="300" t="s">
        <v>22</v>
      </c>
      <c r="D271" s="300" t="s">
        <v>22</v>
      </c>
      <c r="F271" s="300" t="s">
        <v>22</v>
      </c>
      <c r="G271" s="300" t="s">
        <v>22</v>
      </c>
      <c r="I271" s="356" t="str">
        <f>IFERROR(__xludf.DUMMYFUNCTION("if(H271=""Must be Together"",iferror(join("", "",unique(filter({filter('Students (Vertical)'!O:O,'Students (Vertical)'!C:C=B271,'Students (Vertical)'!O:O&lt;&gt;"""");filter('Students (Vertical)'!O:O,'Students (Vertical)'!C:C=E271,'Students (Vertical)'!O:O&lt;&gt;"""&amp;""")},countifs({filter('Students (Vertical)'!O:O,'Students (Vertical)'!C:C=B271,'Students (Vertical)'!O:O&lt;&gt;"""");filter('Students (Vertical)'!O:O,'Students (Vertical)'!C:C=E271,'Students (Vertical)'!O:O&lt;&gt;"""")},{filter('Students (Vertical)'!O:O,'Students ("&amp;"Vertical)'!C:C=B271,'Students (Vertical)'!O:O&lt;&gt;"""");filter('Students (Vertical)'!O:O,'Students (Vertical)'!C:C=E271,'Students (Vertical)'!O:O&lt;&gt;"""")})&gt;1))),""No shared courses""),"""")"),"")</f>
        <v/>
      </c>
      <c r="J271" s="357" t="str">
        <f>IFERROR(__xludf.DUMMYFUNCTION("if(H271=""Can't be Together"",iferror(join("", "",unique(filter({filter('Students (Vertical)'!O:O,'Students (Vertical)'!C:C=B271,'Students (Vertical)'!O:O&lt;&gt;"""",'Students (Vertical)'!P:P&gt;1);filter('Students (Vertical)'!O:O,'Students (Vertical)'!C:C=E271,'"&amp;"Students (Vertical)'!O:O&lt;&gt;"""",'Students (Vertical)'!P:P&gt;1)},countifs({filter('Students (Vertical)'!O:O,'Students (Vertical)'!C:C=B271,'Students (Vertical)'!O:O&lt;&gt;"""",'Students (Vertical)'!P:P&gt;1);filter('Students (Vertical)'!O:O,'Students (Vertical)'!C:C="&amp;"E271,'Students (Vertical)'!O:O&lt;&gt;"""",'Students (Vertical)'!P:P&gt;1)},{filter('Students (Vertical)'!O:O,'Students (Vertical)'!C:C=B271,'Students (Vertical)'!O:O&lt;&gt;"""",'Students (Vertical)'!P:P&gt;1);filter('Students (Vertical)'!O:O,'Students (Vertical)'!C:C=E27"&amp;"1,'Students (Vertical)'!O:O&lt;&gt;"""",'Students (Vertical)'!P:P&gt;1)})&gt;1))),""""),"""")"),"")</f>
        <v/>
      </c>
      <c r="K271" s="358"/>
    </row>
    <row r="272">
      <c r="A272" s="300" t="s">
        <v>22</v>
      </c>
      <c r="C272" s="300" t="s">
        <v>22</v>
      </c>
      <c r="D272" s="300" t="s">
        <v>22</v>
      </c>
      <c r="F272" s="300" t="s">
        <v>22</v>
      </c>
      <c r="G272" s="300" t="s">
        <v>22</v>
      </c>
      <c r="I272" s="356" t="str">
        <f>IFERROR(__xludf.DUMMYFUNCTION("if(H272=""Must be Together"",iferror(join("", "",unique(filter({filter('Students (Vertical)'!O:O,'Students (Vertical)'!C:C=B272,'Students (Vertical)'!O:O&lt;&gt;"""");filter('Students (Vertical)'!O:O,'Students (Vertical)'!C:C=E272,'Students (Vertical)'!O:O&lt;&gt;"""&amp;""")},countifs({filter('Students (Vertical)'!O:O,'Students (Vertical)'!C:C=B272,'Students (Vertical)'!O:O&lt;&gt;"""");filter('Students (Vertical)'!O:O,'Students (Vertical)'!C:C=E272,'Students (Vertical)'!O:O&lt;&gt;"""")},{filter('Students (Vertical)'!O:O,'Students ("&amp;"Vertical)'!C:C=B272,'Students (Vertical)'!O:O&lt;&gt;"""");filter('Students (Vertical)'!O:O,'Students (Vertical)'!C:C=E272,'Students (Vertical)'!O:O&lt;&gt;"""")})&gt;1))),""No shared courses""),"""")"),"")</f>
        <v/>
      </c>
      <c r="J272" s="357" t="str">
        <f>IFERROR(__xludf.DUMMYFUNCTION("if(H272=""Can't be Together"",iferror(join("", "",unique(filter({filter('Students (Vertical)'!O:O,'Students (Vertical)'!C:C=B272,'Students (Vertical)'!O:O&lt;&gt;"""",'Students (Vertical)'!P:P&gt;1);filter('Students (Vertical)'!O:O,'Students (Vertical)'!C:C=E272,'"&amp;"Students (Vertical)'!O:O&lt;&gt;"""",'Students (Vertical)'!P:P&gt;1)},countifs({filter('Students (Vertical)'!O:O,'Students (Vertical)'!C:C=B272,'Students (Vertical)'!O:O&lt;&gt;"""",'Students (Vertical)'!P:P&gt;1);filter('Students (Vertical)'!O:O,'Students (Vertical)'!C:C="&amp;"E272,'Students (Vertical)'!O:O&lt;&gt;"""",'Students (Vertical)'!P:P&gt;1)},{filter('Students (Vertical)'!O:O,'Students (Vertical)'!C:C=B272,'Students (Vertical)'!O:O&lt;&gt;"""",'Students (Vertical)'!P:P&gt;1);filter('Students (Vertical)'!O:O,'Students (Vertical)'!C:C=E27"&amp;"2,'Students (Vertical)'!O:O&lt;&gt;"""",'Students (Vertical)'!P:P&gt;1)})&gt;1))),""""),"""")"),"")</f>
        <v/>
      </c>
      <c r="K272" s="358"/>
    </row>
    <row r="273">
      <c r="A273" s="300" t="s">
        <v>22</v>
      </c>
      <c r="C273" s="300" t="s">
        <v>22</v>
      </c>
      <c r="D273" s="300" t="s">
        <v>22</v>
      </c>
      <c r="F273" s="300" t="s">
        <v>22</v>
      </c>
      <c r="G273" s="300" t="s">
        <v>22</v>
      </c>
      <c r="I273" s="356" t="str">
        <f>IFERROR(__xludf.DUMMYFUNCTION("if(H273=""Must be Together"",iferror(join("", "",unique(filter({filter('Students (Vertical)'!O:O,'Students (Vertical)'!C:C=B273,'Students (Vertical)'!O:O&lt;&gt;"""");filter('Students (Vertical)'!O:O,'Students (Vertical)'!C:C=E273,'Students (Vertical)'!O:O&lt;&gt;"""&amp;""")},countifs({filter('Students (Vertical)'!O:O,'Students (Vertical)'!C:C=B273,'Students (Vertical)'!O:O&lt;&gt;"""");filter('Students (Vertical)'!O:O,'Students (Vertical)'!C:C=E273,'Students (Vertical)'!O:O&lt;&gt;"""")},{filter('Students (Vertical)'!O:O,'Students ("&amp;"Vertical)'!C:C=B273,'Students (Vertical)'!O:O&lt;&gt;"""");filter('Students (Vertical)'!O:O,'Students (Vertical)'!C:C=E273,'Students (Vertical)'!O:O&lt;&gt;"""")})&gt;1))),""No shared courses""),"""")"),"")</f>
        <v/>
      </c>
      <c r="J273" s="357" t="str">
        <f>IFERROR(__xludf.DUMMYFUNCTION("if(H273=""Can't be Together"",iferror(join("", "",unique(filter({filter('Students (Vertical)'!O:O,'Students (Vertical)'!C:C=B273,'Students (Vertical)'!O:O&lt;&gt;"""",'Students (Vertical)'!P:P&gt;1);filter('Students (Vertical)'!O:O,'Students (Vertical)'!C:C=E273,'"&amp;"Students (Vertical)'!O:O&lt;&gt;"""",'Students (Vertical)'!P:P&gt;1)},countifs({filter('Students (Vertical)'!O:O,'Students (Vertical)'!C:C=B273,'Students (Vertical)'!O:O&lt;&gt;"""",'Students (Vertical)'!P:P&gt;1);filter('Students (Vertical)'!O:O,'Students (Vertical)'!C:C="&amp;"E273,'Students (Vertical)'!O:O&lt;&gt;"""",'Students (Vertical)'!P:P&gt;1)},{filter('Students (Vertical)'!O:O,'Students (Vertical)'!C:C=B273,'Students (Vertical)'!O:O&lt;&gt;"""",'Students (Vertical)'!P:P&gt;1);filter('Students (Vertical)'!O:O,'Students (Vertical)'!C:C=E27"&amp;"3,'Students (Vertical)'!O:O&lt;&gt;"""",'Students (Vertical)'!P:P&gt;1)})&gt;1))),""""),"""")"),"")</f>
        <v/>
      </c>
      <c r="K273" s="358"/>
    </row>
    <row r="274">
      <c r="A274" s="300" t="s">
        <v>22</v>
      </c>
      <c r="C274" s="300" t="s">
        <v>22</v>
      </c>
      <c r="D274" s="300" t="s">
        <v>22</v>
      </c>
      <c r="F274" s="300" t="s">
        <v>22</v>
      </c>
      <c r="G274" s="300" t="s">
        <v>22</v>
      </c>
      <c r="I274" s="356" t="str">
        <f>IFERROR(__xludf.DUMMYFUNCTION("if(H274=""Must be Together"",iferror(join("", "",unique(filter({filter('Students (Vertical)'!O:O,'Students (Vertical)'!C:C=B274,'Students (Vertical)'!O:O&lt;&gt;"""");filter('Students (Vertical)'!O:O,'Students (Vertical)'!C:C=E274,'Students (Vertical)'!O:O&lt;&gt;"""&amp;""")},countifs({filter('Students (Vertical)'!O:O,'Students (Vertical)'!C:C=B274,'Students (Vertical)'!O:O&lt;&gt;"""");filter('Students (Vertical)'!O:O,'Students (Vertical)'!C:C=E274,'Students (Vertical)'!O:O&lt;&gt;"""")},{filter('Students (Vertical)'!O:O,'Students ("&amp;"Vertical)'!C:C=B274,'Students (Vertical)'!O:O&lt;&gt;"""");filter('Students (Vertical)'!O:O,'Students (Vertical)'!C:C=E274,'Students (Vertical)'!O:O&lt;&gt;"""")})&gt;1))),""No shared courses""),"""")"),"")</f>
        <v/>
      </c>
      <c r="J274" s="357" t="str">
        <f>IFERROR(__xludf.DUMMYFUNCTION("if(H274=""Can't be Together"",iferror(join("", "",unique(filter({filter('Students (Vertical)'!O:O,'Students (Vertical)'!C:C=B274,'Students (Vertical)'!O:O&lt;&gt;"""",'Students (Vertical)'!P:P&gt;1);filter('Students (Vertical)'!O:O,'Students (Vertical)'!C:C=E274,'"&amp;"Students (Vertical)'!O:O&lt;&gt;"""",'Students (Vertical)'!P:P&gt;1)},countifs({filter('Students (Vertical)'!O:O,'Students (Vertical)'!C:C=B274,'Students (Vertical)'!O:O&lt;&gt;"""",'Students (Vertical)'!P:P&gt;1);filter('Students (Vertical)'!O:O,'Students (Vertical)'!C:C="&amp;"E274,'Students (Vertical)'!O:O&lt;&gt;"""",'Students (Vertical)'!P:P&gt;1)},{filter('Students (Vertical)'!O:O,'Students (Vertical)'!C:C=B274,'Students (Vertical)'!O:O&lt;&gt;"""",'Students (Vertical)'!P:P&gt;1);filter('Students (Vertical)'!O:O,'Students (Vertical)'!C:C=E27"&amp;"4,'Students (Vertical)'!O:O&lt;&gt;"""",'Students (Vertical)'!P:P&gt;1)})&gt;1))),""""),"""")"),"")</f>
        <v/>
      </c>
      <c r="K274" s="358"/>
    </row>
    <row r="275">
      <c r="A275" s="300" t="s">
        <v>22</v>
      </c>
      <c r="C275" s="300" t="s">
        <v>22</v>
      </c>
      <c r="D275" s="300" t="s">
        <v>22</v>
      </c>
      <c r="F275" s="300" t="s">
        <v>22</v>
      </c>
      <c r="G275" s="300" t="s">
        <v>22</v>
      </c>
      <c r="I275" s="356" t="str">
        <f>IFERROR(__xludf.DUMMYFUNCTION("if(H275=""Must be Together"",iferror(join("", "",unique(filter({filter('Students (Vertical)'!O:O,'Students (Vertical)'!C:C=B275,'Students (Vertical)'!O:O&lt;&gt;"""");filter('Students (Vertical)'!O:O,'Students (Vertical)'!C:C=E275,'Students (Vertical)'!O:O&lt;&gt;"""&amp;""")},countifs({filter('Students (Vertical)'!O:O,'Students (Vertical)'!C:C=B275,'Students (Vertical)'!O:O&lt;&gt;"""");filter('Students (Vertical)'!O:O,'Students (Vertical)'!C:C=E275,'Students (Vertical)'!O:O&lt;&gt;"""")},{filter('Students (Vertical)'!O:O,'Students ("&amp;"Vertical)'!C:C=B275,'Students (Vertical)'!O:O&lt;&gt;"""");filter('Students (Vertical)'!O:O,'Students (Vertical)'!C:C=E275,'Students (Vertical)'!O:O&lt;&gt;"""")})&gt;1))),""No shared courses""),"""")"),"")</f>
        <v/>
      </c>
      <c r="J275" s="357" t="str">
        <f>IFERROR(__xludf.DUMMYFUNCTION("if(H275=""Can't be Together"",iferror(join("", "",unique(filter({filter('Students (Vertical)'!O:O,'Students (Vertical)'!C:C=B275,'Students (Vertical)'!O:O&lt;&gt;"""",'Students (Vertical)'!P:P&gt;1);filter('Students (Vertical)'!O:O,'Students (Vertical)'!C:C=E275,'"&amp;"Students (Vertical)'!O:O&lt;&gt;"""",'Students (Vertical)'!P:P&gt;1)},countifs({filter('Students (Vertical)'!O:O,'Students (Vertical)'!C:C=B275,'Students (Vertical)'!O:O&lt;&gt;"""",'Students (Vertical)'!P:P&gt;1);filter('Students (Vertical)'!O:O,'Students (Vertical)'!C:C="&amp;"E275,'Students (Vertical)'!O:O&lt;&gt;"""",'Students (Vertical)'!P:P&gt;1)},{filter('Students (Vertical)'!O:O,'Students (Vertical)'!C:C=B275,'Students (Vertical)'!O:O&lt;&gt;"""",'Students (Vertical)'!P:P&gt;1);filter('Students (Vertical)'!O:O,'Students (Vertical)'!C:C=E27"&amp;"5,'Students (Vertical)'!O:O&lt;&gt;"""",'Students (Vertical)'!P:P&gt;1)})&gt;1))),""""),"""")"),"")</f>
        <v/>
      </c>
      <c r="K275" s="358"/>
    </row>
    <row r="276">
      <c r="A276" s="300" t="s">
        <v>22</v>
      </c>
      <c r="C276" s="300" t="s">
        <v>22</v>
      </c>
      <c r="D276" s="300" t="s">
        <v>22</v>
      </c>
      <c r="F276" s="300" t="s">
        <v>22</v>
      </c>
      <c r="G276" s="300" t="s">
        <v>22</v>
      </c>
      <c r="I276" s="356" t="str">
        <f>IFERROR(__xludf.DUMMYFUNCTION("if(H276=""Must be Together"",iferror(join("", "",unique(filter({filter('Students (Vertical)'!O:O,'Students (Vertical)'!C:C=B276,'Students (Vertical)'!O:O&lt;&gt;"""");filter('Students (Vertical)'!O:O,'Students (Vertical)'!C:C=E276,'Students (Vertical)'!O:O&lt;&gt;"""&amp;""")},countifs({filter('Students (Vertical)'!O:O,'Students (Vertical)'!C:C=B276,'Students (Vertical)'!O:O&lt;&gt;"""");filter('Students (Vertical)'!O:O,'Students (Vertical)'!C:C=E276,'Students (Vertical)'!O:O&lt;&gt;"""")},{filter('Students (Vertical)'!O:O,'Students ("&amp;"Vertical)'!C:C=B276,'Students (Vertical)'!O:O&lt;&gt;"""");filter('Students (Vertical)'!O:O,'Students (Vertical)'!C:C=E276,'Students (Vertical)'!O:O&lt;&gt;"""")})&gt;1))),""No shared courses""),"""")"),"")</f>
        <v/>
      </c>
      <c r="J276" s="357" t="str">
        <f>IFERROR(__xludf.DUMMYFUNCTION("if(H276=""Can't be Together"",iferror(join("", "",unique(filter({filter('Students (Vertical)'!O:O,'Students (Vertical)'!C:C=B276,'Students (Vertical)'!O:O&lt;&gt;"""",'Students (Vertical)'!P:P&gt;1);filter('Students (Vertical)'!O:O,'Students (Vertical)'!C:C=E276,'"&amp;"Students (Vertical)'!O:O&lt;&gt;"""",'Students (Vertical)'!P:P&gt;1)},countifs({filter('Students (Vertical)'!O:O,'Students (Vertical)'!C:C=B276,'Students (Vertical)'!O:O&lt;&gt;"""",'Students (Vertical)'!P:P&gt;1);filter('Students (Vertical)'!O:O,'Students (Vertical)'!C:C="&amp;"E276,'Students (Vertical)'!O:O&lt;&gt;"""",'Students (Vertical)'!P:P&gt;1)},{filter('Students (Vertical)'!O:O,'Students (Vertical)'!C:C=B276,'Students (Vertical)'!O:O&lt;&gt;"""",'Students (Vertical)'!P:P&gt;1);filter('Students (Vertical)'!O:O,'Students (Vertical)'!C:C=E27"&amp;"6,'Students (Vertical)'!O:O&lt;&gt;"""",'Students (Vertical)'!P:P&gt;1)})&gt;1))),""""),"""")"),"")</f>
        <v/>
      </c>
      <c r="K276" s="358"/>
    </row>
    <row r="277">
      <c r="A277" s="300" t="s">
        <v>22</v>
      </c>
      <c r="C277" s="300" t="s">
        <v>22</v>
      </c>
      <c r="D277" s="300" t="s">
        <v>22</v>
      </c>
      <c r="F277" s="300" t="s">
        <v>22</v>
      </c>
      <c r="G277" s="300" t="s">
        <v>22</v>
      </c>
      <c r="I277" s="356" t="str">
        <f>IFERROR(__xludf.DUMMYFUNCTION("if(H277=""Must be Together"",iferror(join("", "",unique(filter({filter('Students (Vertical)'!O:O,'Students (Vertical)'!C:C=B277,'Students (Vertical)'!O:O&lt;&gt;"""");filter('Students (Vertical)'!O:O,'Students (Vertical)'!C:C=E277,'Students (Vertical)'!O:O&lt;&gt;"""&amp;""")},countifs({filter('Students (Vertical)'!O:O,'Students (Vertical)'!C:C=B277,'Students (Vertical)'!O:O&lt;&gt;"""");filter('Students (Vertical)'!O:O,'Students (Vertical)'!C:C=E277,'Students (Vertical)'!O:O&lt;&gt;"""")},{filter('Students (Vertical)'!O:O,'Students ("&amp;"Vertical)'!C:C=B277,'Students (Vertical)'!O:O&lt;&gt;"""");filter('Students (Vertical)'!O:O,'Students (Vertical)'!C:C=E277,'Students (Vertical)'!O:O&lt;&gt;"""")})&gt;1))),""No shared courses""),"""")"),"")</f>
        <v/>
      </c>
      <c r="J277" s="357" t="str">
        <f>IFERROR(__xludf.DUMMYFUNCTION("if(H277=""Can't be Together"",iferror(join("", "",unique(filter({filter('Students (Vertical)'!O:O,'Students (Vertical)'!C:C=B277,'Students (Vertical)'!O:O&lt;&gt;"""",'Students (Vertical)'!P:P&gt;1);filter('Students (Vertical)'!O:O,'Students (Vertical)'!C:C=E277,'"&amp;"Students (Vertical)'!O:O&lt;&gt;"""",'Students (Vertical)'!P:P&gt;1)},countifs({filter('Students (Vertical)'!O:O,'Students (Vertical)'!C:C=B277,'Students (Vertical)'!O:O&lt;&gt;"""",'Students (Vertical)'!P:P&gt;1);filter('Students (Vertical)'!O:O,'Students (Vertical)'!C:C="&amp;"E277,'Students (Vertical)'!O:O&lt;&gt;"""",'Students (Vertical)'!P:P&gt;1)},{filter('Students (Vertical)'!O:O,'Students (Vertical)'!C:C=B277,'Students (Vertical)'!O:O&lt;&gt;"""",'Students (Vertical)'!P:P&gt;1);filter('Students (Vertical)'!O:O,'Students (Vertical)'!C:C=E27"&amp;"7,'Students (Vertical)'!O:O&lt;&gt;"""",'Students (Vertical)'!P:P&gt;1)})&gt;1))),""""),"""")"),"")</f>
        <v/>
      </c>
      <c r="K277" s="358"/>
    </row>
    <row r="278">
      <c r="A278" s="300" t="s">
        <v>22</v>
      </c>
      <c r="C278" s="300" t="s">
        <v>22</v>
      </c>
      <c r="D278" s="300" t="s">
        <v>22</v>
      </c>
      <c r="F278" s="300" t="s">
        <v>22</v>
      </c>
      <c r="G278" s="300" t="s">
        <v>22</v>
      </c>
      <c r="I278" s="356" t="str">
        <f>IFERROR(__xludf.DUMMYFUNCTION("if(H278=""Must be Together"",iferror(join("", "",unique(filter({filter('Students (Vertical)'!O:O,'Students (Vertical)'!C:C=B278,'Students (Vertical)'!O:O&lt;&gt;"""");filter('Students (Vertical)'!O:O,'Students (Vertical)'!C:C=E278,'Students (Vertical)'!O:O&lt;&gt;"""&amp;""")},countifs({filter('Students (Vertical)'!O:O,'Students (Vertical)'!C:C=B278,'Students (Vertical)'!O:O&lt;&gt;"""");filter('Students (Vertical)'!O:O,'Students (Vertical)'!C:C=E278,'Students (Vertical)'!O:O&lt;&gt;"""")},{filter('Students (Vertical)'!O:O,'Students ("&amp;"Vertical)'!C:C=B278,'Students (Vertical)'!O:O&lt;&gt;"""");filter('Students (Vertical)'!O:O,'Students (Vertical)'!C:C=E278,'Students (Vertical)'!O:O&lt;&gt;"""")})&gt;1))),""No shared courses""),"""")"),"")</f>
        <v/>
      </c>
      <c r="J278" s="357" t="str">
        <f>IFERROR(__xludf.DUMMYFUNCTION("if(H278=""Can't be Together"",iferror(join("", "",unique(filter({filter('Students (Vertical)'!O:O,'Students (Vertical)'!C:C=B278,'Students (Vertical)'!O:O&lt;&gt;"""",'Students (Vertical)'!P:P&gt;1);filter('Students (Vertical)'!O:O,'Students (Vertical)'!C:C=E278,'"&amp;"Students (Vertical)'!O:O&lt;&gt;"""",'Students (Vertical)'!P:P&gt;1)},countifs({filter('Students (Vertical)'!O:O,'Students (Vertical)'!C:C=B278,'Students (Vertical)'!O:O&lt;&gt;"""",'Students (Vertical)'!P:P&gt;1);filter('Students (Vertical)'!O:O,'Students (Vertical)'!C:C="&amp;"E278,'Students (Vertical)'!O:O&lt;&gt;"""",'Students (Vertical)'!P:P&gt;1)},{filter('Students (Vertical)'!O:O,'Students (Vertical)'!C:C=B278,'Students (Vertical)'!O:O&lt;&gt;"""",'Students (Vertical)'!P:P&gt;1);filter('Students (Vertical)'!O:O,'Students (Vertical)'!C:C=E27"&amp;"8,'Students (Vertical)'!O:O&lt;&gt;"""",'Students (Vertical)'!P:P&gt;1)})&gt;1))),""""),"""")"),"")</f>
        <v/>
      </c>
      <c r="K278" s="358"/>
    </row>
    <row r="279">
      <c r="A279" s="300" t="s">
        <v>22</v>
      </c>
      <c r="C279" s="300" t="s">
        <v>22</v>
      </c>
      <c r="D279" s="300" t="s">
        <v>22</v>
      </c>
      <c r="F279" s="300" t="s">
        <v>22</v>
      </c>
      <c r="G279" s="300" t="s">
        <v>22</v>
      </c>
      <c r="I279" s="356" t="str">
        <f>IFERROR(__xludf.DUMMYFUNCTION("if(H279=""Must be Together"",iferror(join("", "",unique(filter({filter('Students (Vertical)'!O:O,'Students (Vertical)'!C:C=B279,'Students (Vertical)'!O:O&lt;&gt;"""");filter('Students (Vertical)'!O:O,'Students (Vertical)'!C:C=E279,'Students (Vertical)'!O:O&lt;&gt;"""&amp;""")},countifs({filter('Students (Vertical)'!O:O,'Students (Vertical)'!C:C=B279,'Students (Vertical)'!O:O&lt;&gt;"""");filter('Students (Vertical)'!O:O,'Students (Vertical)'!C:C=E279,'Students (Vertical)'!O:O&lt;&gt;"""")},{filter('Students (Vertical)'!O:O,'Students ("&amp;"Vertical)'!C:C=B279,'Students (Vertical)'!O:O&lt;&gt;"""");filter('Students (Vertical)'!O:O,'Students (Vertical)'!C:C=E279,'Students (Vertical)'!O:O&lt;&gt;"""")})&gt;1))),""No shared courses""),"""")"),"")</f>
        <v/>
      </c>
      <c r="J279" s="357" t="str">
        <f>IFERROR(__xludf.DUMMYFUNCTION("if(H279=""Can't be Together"",iferror(join("", "",unique(filter({filter('Students (Vertical)'!O:O,'Students (Vertical)'!C:C=B279,'Students (Vertical)'!O:O&lt;&gt;"""",'Students (Vertical)'!P:P&gt;1);filter('Students (Vertical)'!O:O,'Students (Vertical)'!C:C=E279,'"&amp;"Students (Vertical)'!O:O&lt;&gt;"""",'Students (Vertical)'!P:P&gt;1)},countifs({filter('Students (Vertical)'!O:O,'Students (Vertical)'!C:C=B279,'Students (Vertical)'!O:O&lt;&gt;"""",'Students (Vertical)'!P:P&gt;1);filter('Students (Vertical)'!O:O,'Students (Vertical)'!C:C="&amp;"E279,'Students (Vertical)'!O:O&lt;&gt;"""",'Students (Vertical)'!P:P&gt;1)},{filter('Students (Vertical)'!O:O,'Students (Vertical)'!C:C=B279,'Students (Vertical)'!O:O&lt;&gt;"""",'Students (Vertical)'!P:P&gt;1);filter('Students (Vertical)'!O:O,'Students (Vertical)'!C:C=E27"&amp;"9,'Students (Vertical)'!O:O&lt;&gt;"""",'Students (Vertical)'!P:P&gt;1)})&gt;1))),""""),"""")"),"")</f>
        <v/>
      </c>
      <c r="K279" s="358"/>
    </row>
    <row r="280">
      <c r="A280" s="300" t="s">
        <v>22</v>
      </c>
      <c r="C280" s="300" t="s">
        <v>22</v>
      </c>
      <c r="D280" s="300" t="s">
        <v>22</v>
      </c>
      <c r="F280" s="300" t="s">
        <v>22</v>
      </c>
      <c r="G280" s="300" t="s">
        <v>22</v>
      </c>
      <c r="I280" s="356" t="str">
        <f>IFERROR(__xludf.DUMMYFUNCTION("if(H280=""Must be Together"",iferror(join("", "",unique(filter({filter('Students (Vertical)'!O:O,'Students (Vertical)'!C:C=B280,'Students (Vertical)'!O:O&lt;&gt;"""");filter('Students (Vertical)'!O:O,'Students (Vertical)'!C:C=E280,'Students (Vertical)'!O:O&lt;&gt;"""&amp;""")},countifs({filter('Students (Vertical)'!O:O,'Students (Vertical)'!C:C=B280,'Students (Vertical)'!O:O&lt;&gt;"""");filter('Students (Vertical)'!O:O,'Students (Vertical)'!C:C=E280,'Students (Vertical)'!O:O&lt;&gt;"""")},{filter('Students (Vertical)'!O:O,'Students ("&amp;"Vertical)'!C:C=B280,'Students (Vertical)'!O:O&lt;&gt;"""");filter('Students (Vertical)'!O:O,'Students (Vertical)'!C:C=E280,'Students (Vertical)'!O:O&lt;&gt;"""")})&gt;1))),""No shared courses""),"""")"),"")</f>
        <v/>
      </c>
      <c r="J280" s="357" t="str">
        <f>IFERROR(__xludf.DUMMYFUNCTION("if(H280=""Can't be Together"",iferror(join("", "",unique(filter({filter('Students (Vertical)'!O:O,'Students (Vertical)'!C:C=B280,'Students (Vertical)'!O:O&lt;&gt;"""",'Students (Vertical)'!P:P&gt;1);filter('Students (Vertical)'!O:O,'Students (Vertical)'!C:C=E280,'"&amp;"Students (Vertical)'!O:O&lt;&gt;"""",'Students (Vertical)'!P:P&gt;1)},countifs({filter('Students (Vertical)'!O:O,'Students (Vertical)'!C:C=B280,'Students (Vertical)'!O:O&lt;&gt;"""",'Students (Vertical)'!P:P&gt;1);filter('Students (Vertical)'!O:O,'Students (Vertical)'!C:C="&amp;"E280,'Students (Vertical)'!O:O&lt;&gt;"""",'Students (Vertical)'!P:P&gt;1)},{filter('Students (Vertical)'!O:O,'Students (Vertical)'!C:C=B280,'Students (Vertical)'!O:O&lt;&gt;"""",'Students (Vertical)'!P:P&gt;1);filter('Students (Vertical)'!O:O,'Students (Vertical)'!C:C=E28"&amp;"0,'Students (Vertical)'!O:O&lt;&gt;"""",'Students (Vertical)'!P:P&gt;1)})&gt;1))),""""),"""")"),"")</f>
        <v/>
      </c>
      <c r="K280" s="358"/>
    </row>
    <row r="281">
      <c r="A281" s="300" t="s">
        <v>22</v>
      </c>
      <c r="C281" s="300" t="s">
        <v>22</v>
      </c>
      <c r="D281" s="300" t="s">
        <v>22</v>
      </c>
      <c r="F281" s="300" t="s">
        <v>22</v>
      </c>
      <c r="G281" s="300" t="s">
        <v>22</v>
      </c>
      <c r="I281" s="356" t="str">
        <f>IFERROR(__xludf.DUMMYFUNCTION("if(H281=""Must be Together"",iferror(join("", "",unique(filter({filter('Students (Vertical)'!O:O,'Students (Vertical)'!C:C=B281,'Students (Vertical)'!O:O&lt;&gt;"""");filter('Students (Vertical)'!O:O,'Students (Vertical)'!C:C=E281,'Students (Vertical)'!O:O&lt;&gt;"""&amp;""")},countifs({filter('Students (Vertical)'!O:O,'Students (Vertical)'!C:C=B281,'Students (Vertical)'!O:O&lt;&gt;"""");filter('Students (Vertical)'!O:O,'Students (Vertical)'!C:C=E281,'Students (Vertical)'!O:O&lt;&gt;"""")},{filter('Students (Vertical)'!O:O,'Students ("&amp;"Vertical)'!C:C=B281,'Students (Vertical)'!O:O&lt;&gt;"""");filter('Students (Vertical)'!O:O,'Students (Vertical)'!C:C=E281,'Students (Vertical)'!O:O&lt;&gt;"""")})&gt;1))),""No shared courses""),"""")"),"")</f>
        <v/>
      </c>
      <c r="J281" s="357" t="str">
        <f>IFERROR(__xludf.DUMMYFUNCTION("if(H281=""Can't be Together"",iferror(join("", "",unique(filter({filter('Students (Vertical)'!O:O,'Students (Vertical)'!C:C=B281,'Students (Vertical)'!O:O&lt;&gt;"""",'Students (Vertical)'!P:P&gt;1);filter('Students (Vertical)'!O:O,'Students (Vertical)'!C:C=E281,'"&amp;"Students (Vertical)'!O:O&lt;&gt;"""",'Students (Vertical)'!P:P&gt;1)},countifs({filter('Students (Vertical)'!O:O,'Students (Vertical)'!C:C=B281,'Students (Vertical)'!O:O&lt;&gt;"""",'Students (Vertical)'!P:P&gt;1);filter('Students (Vertical)'!O:O,'Students (Vertical)'!C:C="&amp;"E281,'Students (Vertical)'!O:O&lt;&gt;"""",'Students (Vertical)'!P:P&gt;1)},{filter('Students (Vertical)'!O:O,'Students (Vertical)'!C:C=B281,'Students (Vertical)'!O:O&lt;&gt;"""",'Students (Vertical)'!P:P&gt;1);filter('Students (Vertical)'!O:O,'Students (Vertical)'!C:C=E28"&amp;"1,'Students (Vertical)'!O:O&lt;&gt;"""",'Students (Vertical)'!P:P&gt;1)})&gt;1))),""""),"""")"),"")</f>
        <v/>
      </c>
      <c r="K281" s="358"/>
    </row>
    <row r="282">
      <c r="A282" s="300" t="s">
        <v>22</v>
      </c>
      <c r="C282" s="300" t="s">
        <v>22</v>
      </c>
      <c r="D282" s="300" t="s">
        <v>22</v>
      </c>
      <c r="F282" s="300" t="s">
        <v>22</v>
      </c>
      <c r="G282" s="300" t="s">
        <v>22</v>
      </c>
      <c r="I282" s="356" t="str">
        <f>IFERROR(__xludf.DUMMYFUNCTION("if(H282=""Must be Together"",iferror(join("", "",unique(filter({filter('Students (Vertical)'!O:O,'Students (Vertical)'!C:C=B282,'Students (Vertical)'!O:O&lt;&gt;"""");filter('Students (Vertical)'!O:O,'Students (Vertical)'!C:C=E282,'Students (Vertical)'!O:O&lt;&gt;"""&amp;""")},countifs({filter('Students (Vertical)'!O:O,'Students (Vertical)'!C:C=B282,'Students (Vertical)'!O:O&lt;&gt;"""");filter('Students (Vertical)'!O:O,'Students (Vertical)'!C:C=E282,'Students (Vertical)'!O:O&lt;&gt;"""")},{filter('Students (Vertical)'!O:O,'Students ("&amp;"Vertical)'!C:C=B282,'Students (Vertical)'!O:O&lt;&gt;"""");filter('Students (Vertical)'!O:O,'Students (Vertical)'!C:C=E282,'Students (Vertical)'!O:O&lt;&gt;"""")})&gt;1))),""No shared courses""),"""")"),"")</f>
        <v/>
      </c>
      <c r="J282" s="357" t="str">
        <f>IFERROR(__xludf.DUMMYFUNCTION("if(H282=""Can't be Together"",iferror(join("", "",unique(filter({filter('Students (Vertical)'!O:O,'Students (Vertical)'!C:C=B282,'Students (Vertical)'!O:O&lt;&gt;"""",'Students (Vertical)'!P:P&gt;1);filter('Students (Vertical)'!O:O,'Students (Vertical)'!C:C=E282,'"&amp;"Students (Vertical)'!O:O&lt;&gt;"""",'Students (Vertical)'!P:P&gt;1)},countifs({filter('Students (Vertical)'!O:O,'Students (Vertical)'!C:C=B282,'Students (Vertical)'!O:O&lt;&gt;"""",'Students (Vertical)'!P:P&gt;1);filter('Students (Vertical)'!O:O,'Students (Vertical)'!C:C="&amp;"E282,'Students (Vertical)'!O:O&lt;&gt;"""",'Students (Vertical)'!P:P&gt;1)},{filter('Students (Vertical)'!O:O,'Students (Vertical)'!C:C=B282,'Students (Vertical)'!O:O&lt;&gt;"""",'Students (Vertical)'!P:P&gt;1);filter('Students (Vertical)'!O:O,'Students (Vertical)'!C:C=E28"&amp;"2,'Students (Vertical)'!O:O&lt;&gt;"""",'Students (Vertical)'!P:P&gt;1)})&gt;1))),""""),"""")"),"")</f>
        <v/>
      </c>
      <c r="K282" s="358"/>
    </row>
    <row r="283">
      <c r="A283" s="300" t="s">
        <v>22</v>
      </c>
      <c r="C283" s="300" t="s">
        <v>22</v>
      </c>
      <c r="D283" s="300" t="s">
        <v>22</v>
      </c>
      <c r="F283" s="300" t="s">
        <v>22</v>
      </c>
      <c r="G283" s="300" t="s">
        <v>22</v>
      </c>
      <c r="I283" s="356" t="str">
        <f>IFERROR(__xludf.DUMMYFUNCTION("if(H283=""Must be Together"",iferror(join("", "",unique(filter({filter('Students (Vertical)'!O:O,'Students (Vertical)'!C:C=B283,'Students (Vertical)'!O:O&lt;&gt;"""");filter('Students (Vertical)'!O:O,'Students (Vertical)'!C:C=E283,'Students (Vertical)'!O:O&lt;&gt;"""&amp;""")},countifs({filter('Students (Vertical)'!O:O,'Students (Vertical)'!C:C=B283,'Students (Vertical)'!O:O&lt;&gt;"""");filter('Students (Vertical)'!O:O,'Students (Vertical)'!C:C=E283,'Students (Vertical)'!O:O&lt;&gt;"""")},{filter('Students (Vertical)'!O:O,'Students ("&amp;"Vertical)'!C:C=B283,'Students (Vertical)'!O:O&lt;&gt;"""");filter('Students (Vertical)'!O:O,'Students (Vertical)'!C:C=E283,'Students (Vertical)'!O:O&lt;&gt;"""")})&gt;1))),""No shared courses""),"""")"),"")</f>
        <v/>
      </c>
      <c r="J283" s="357" t="str">
        <f>IFERROR(__xludf.DUMMYFUNCTION("if(H283=""Can't be Together"",iferror(join("", "",unique(filter({filter('Students (Vertical)'!O:O,'Students (Vertical)'!C:C=B283,'Students (Vertical)'!O:O&lt;&gt;"""",'Students (Vertical)'!P:P&gt;1);filter('Students (Vertical)'!O:O,'Students (Vertical)'!C:C=E283,'"&amp;"Students (Vertical)'!O:O&lt;&gt;"""",'Students (Vertical)'!P:P&gt;1)},countifs({filter('Students (Vertical)'!O:O,'Students (Vertical)'!C:C=B283,'Students (Vertical)'!O:O&lt;&gt;"""",'Students (Vertical)'!P:P&gt;1);filter('Students (Vertical)'!O:O,'Students (Vertical)'!C:C="&amp;"E283,'Students (Vertical)'!O:O&lt;&gt;"""",'Students (Vertical)'!P:P&gt;1)},{filter('Students (Vertical)'!O:O,'Students (Vertical)'!C:C=B283,'Students (Vertical)'!O:O&lt;&gt;"""",'Students (Vertical)'!P:P&gt;1);filter('Students (Vertical)'!O:O,'Students (Vertical)'!C:C=E28"&amp;"3,'Students (Vertical)'!O:O&lt;&gt;"""",'Students (Vertical)'!P:P&gt;1)})&gt;1))),""""),"""")"),"")</f>
        <v/>
      </c>
      <c r="K283" s="358"/>
    </row>
    <row r="284">
      <c r="A284" s="300" t="s">
        <v>22</v>
      </c>
      <c r="C284" s="300" t="s">
        <v>22</v>
      </c>
      <c r="D284" s="300" t="s">
        <v>22</v>
      </c>
      <c r="F284" s="300" t="s">
        <v>22</v>
      </c>
      <c r="G284" s="300" t="s">
        <v>22</v>
      </c>
      <c r="I284" s="356" t="str">
        <f>IFERROR(__xludf.DUMMYFUNCTION("if(H284=""Must be Together"",iferror(join("", "",unique(filter({filter('Students (Vertical)'!O:O,'Students (Vertical)'!C:C=B284,'Students (Vertical)'!O:O&lt;&gt;"""");filter('Students (Vertical)'!O:O,'Students (Vertical)'!C:C=E284,'Students (Vertical)'!O:O&lt;&gt;"""&amp;""")},countifs({filter('Students (Vertical)'!O:O,'Students (Vertical)'!C:C=B284,'Students (Vertical)'!O:O&lt;&gt;"""");filter('Students (Vertical)'!O:O,'Students (Vertical)'!C:C=E284,'Students (Vertical)'!O:O&lt;&gt;"""")},{filter('Students (Vertical)'!O:O,'Students ("&amp;"Vertical)'!C:C=B284,'Students (Vertical)'!O:O&lt;&gt;"""");filter('Students (Vertical)'!O:O,'Students (Vertical)'!C:C=E284,'Students (Vertical)'!O:O&lt;&gt;"""")})&gt;1))),""No shared courses""),"""")"),"")</f>
        <v/>
      </c>
      <c r="J284" s="357" t="str">
        <f>IFERROR(__xludf.DUMMYFUNCTION("if(H284=""Can't be Together"",iferror(join("", "",unique(filter({filter('Students (Vertical)'!O:O,'Students (Vertical)'!C:C=B284,'Students (Vertical)'!O:O&lt;&gt;"""",'Students (Vertical)'!P:P&gt;1);filter('Students (Vertical)'!O:O,'Students (Vertical)'!C:C=E284,'"&amp;"Students (Vertical)'!O:O&lt;&gt;"""",'Students (Vertical)'!P:P&gt;1)},countifs({filter('Students (Vertical)'!O:O,'Students (Vertical)'!C:C=B284,'Students (Vertical)'!O:O&lt;&gt;"""",'Students (Vertical)'!P:P&gt;1);filter('Students (Vertical)'!O:O,'Students (Vertical)'!C:C="&amp;"E284,'Students (Vertical)'!O:O&lt;&gt;"""",'Students (Vertical)'!P:P&gt;1)},{filter('Students (Vertical)'!O:O,'Students (Vertical)'!C:C=B284,'Students (Vertical)'!O:O&lt;&gt;"""",'Students (Vertical)'!P:P&gt;1);filter('Students (Vertical)'!O:O,'Students (Vertical)'!C:C=E28"&amp;"4,'Students (Vertical)'!O:O&lt;&gt;"""",'Students (Vertical)'!P:P&gt;1)})&gt;1))),""""),"""")"),"")</f>
        <v/>
      </c>
      <c r="K284" s="358"/>
    </row>
    <row r="285">
      <c r="A285" s="300" t="s">
        <v>22</v>
      </c>
      <c r="C285" s="300" t="s">
        <v>22</v>
      </c>
      <c r="D285" s="300" t="s">
        <v>22</v>
      </c>
      <c r="F285" s="300" t="s">
        <v>22</v>
      </c>
      <c r="G285" s="300" t="s">
        <v>22</v>
      </c>
      <c r="I285" s="356" t="str">
        <f>IFERROR(__xludf.DUMMYFUNCTION("if(H285=""Must be Together"",iferror(join("", "",unique(filter({filter('Students (Vertical)'!O:O,'Students (Vertical)'!C:C=B285,'Students (Vertical)'!O:O&lt;&gt;"""");filter('Students (Vertical)'!O:O,'Students (Vertical)'!C:C=E285,'Students (Vertical)'!O:O&lt;&gt;"""&amp;""")},countifs({filter('Students (Vertical)'!O:O,'Students (Vertical)'!C:C=B285,'Students (Vertical)'!O:O&lt;&gt;"""");filter('Students (Vertical)'!O:O,'Students (Vertical)'!C:C=E285,'Students (Vertical)'!O:O&lt;&gt;"""")},{filter('Students (Vertical)'!O:O,'Students ("&amp;"Vertical)'!C:C=B285,'Students (Vertical)'!O:O&lt;&gt;"""");filter('Students (Vertical)'!O:O,'Students (Vertical)'!C:C=E285,'Students (Vertical)'!O:O&lt;&gt;"""")})&gt;1))),""No shared courses""),"""")"),"")</f>
        <v/>
      </c>
      <c r="J285" s="357" t="str">
        <f>IFERROR(__xludf.DUMMYFUNCTION("if(H285=""Can't be Together"",iferror(join("", "",unique(filter({filter('Students (Vertical)'!O:O,'Students (Vertical)'!C:C=B285,'Students (Vertical)'!O:O&lt;&gt;"""",'Students (Vertical)'!P:P&gt;1);filter('Students (Vertical)'!O:O,'Students (Vertical)'!C:C=E285,'"&amp;"Students (Vertical)'!O:O&lt;&gt;"""",'Students (Vertical)'!P:P&gt;1)},countifs({filter('Students (Vertical)'!O:O,'Students (Vertical)'!C:C=B285,'Students (Vertical)'!O:O&lt;&gt;"""",'Students (Vertical)'!P:P&gt;1);filter('Students (Vertical)'!O:O,'Students (Vertical)'!C:C="&amp;"E285,'Students (Vertical)'!O:O&lt;&gt;"""",'Students (Vertical)'!P:P&gt;1)},{filter('Students (Vertical)'!O:O,'Students (Vertical)'!C:C=B285,'Students (Vertical)'!O:O&lt;&gt;"""",'Students (Vertical)'!P:P&gt;1);filter('Students (Vertical)'!O:O,'Students (Vertical)'!C:C=E28"&amp;"5,'Students (Vertical)'!O:O&lt;&gt;"""",'Students (Vertical)'!P:P&gt;1)})&gt;1))),""""),"""")"),"")</f>
        <v/>
      </c>
      <c r="K285" s="358"/>
    </row>
    <row r="286">
      <c r="A286" s="300" t="s">
        <v>22</v>
      </c>
      <c r="C286" s="300" t="s">
        <v>22</v>
      </c>
      <c r="D286" s="300" t="s">
        <v>22</v>
      </c>
      <c r="F286" s="300" t="s">
        <v>22</v>
      </c>
      <c r="G286" s="300" t="s">
        <v>22</v>
      </c>
      <c r="I286" s="356" t="str">
        <f>IFERROR(__xludf.DUMMYFUNCTION("if(H286=""Must be Together"",iferror(join("", "",unique(filter({filter('Students (Vertical)'!O:O,'Students (Vertical)'!C:C=B286,'Students (Vertical)'!O:O&lt;&gt;"""");filter('Students (Vertical)'!O:O,'Students (Vertical)'!C:C=E286,'Students (Vertical)'!O:O&lt;&gt;"""&amp;""")},countifs({filter('Students (Vertical)'!O:O,'Students (Vertical)'!C:C=B286,'Students (Vertical)'!O:O&lt;&gt;"""");filter('Students (Vertical)'!O:O,'Students (Vertical)'!C:C=E286,'Students (Vertical)'!O:O&lt;&gt;"""")},{filter('Students (Vertical)'!O:O,'Students ("&amp;"Vertical)'!C:C=B286,'Students (Vertical)'!O:O&lt;&gt;"""");filter('Students (Vertical)'!O:O,'Students (Vertical)'!C:C=E286,'Students (Vertical)'!O:O&lt;&gt;"""")})&gt;1))),""No shared courses""),"""")"),"")</f>
        <v/>
      </c>
      <c r="J286" s="357" t="str">
        <f>IFERROR(__xludf.DUMMYFUNCTION("if(H286=""Can't be Together"",iferror(join("", "",unique(filter({filter('Students (Vertical)'!O:O,'Students (Vertical)'!C:C=B286,'Students (Vertical)'!O:O&lt;&gt;"""",'Students (Vertical)'!P:P&gt;1);filter('Students (Vertical)'!O:O,'Students (Vertical)'!C:C=E286,'"&amp;"Students (Vertical)'!O:O&lt;&gt;"""",'Students (Vertical)'!P:P&gt;1)},countifs({filter('Students (Vertical)'!O:O,'Students (Vertical)'!C:C=B286,'Students (Vertical)'!O:O&lt;&gt;"""",'Students (Vertical)'!P:P&gt;1);filter('Students (Vertical)'!O:O,'Students (Vertical)'!C:C="&amp;"E286,'Students (Vertical)'!O:O&lt;&gt;"""",'Students (Vertical)'!P:P&gt;1)},{filter('Students (Vertical)'!O:O,'Students (Vertical)'!C:C=B286,'Students (Vertical)'!O:O&lt;&gt;"""",'Students (Vertical)'!P:P&gt;1);filter('Students (Vertical)'!O:O,'Students (Vertical)'!C:C=E28"&amp;"6,'Students (Vertical)'!O:O&lt;&gt;"""",'Students (Vertical)'!P:P&gt;1)})&gt;1))),""""),"""")"),"")</f>
        <v/>
      </c>
      <c r="K286" s="358"/>
    </row>
    <row r="287">
      <c r="A287" s="300" t="s">
        <v>22</v>
      </c>
      <c r="C287" s="300" t="s">
        <v>22</v>
      </c>
      <c r="D287" s="300" t="s">
        <v>22</v>
      </c>
      <c r="F287" s="300" t="s">
        <v>22</v>
      </c>
      <c r="G287" s="300" t="s">
        <v>22</v>
      </c>
      <c r="I287" s="356" t="str">
        <f>IFERROR(__xludf.DUMMYFUNCTION("if(H287=""Must be Together"",iferror(join("", "",unique(filter({filter('Students (Vertical)'!O:O,'Students (Vertical)'!C:C=B287,'Students (Vertical)'!O:O&lt;&gt;"""");filter('Students (Vertical)'!O:O,'Students (Vertical)'!C:C=E287,'Students (Vertical)'!O:O&lt;&gt;"""&amp;""")},countifs({filter('Students (Vertical)'!O:O,'Students (Vertical)'!C:C=B287,'Students (Vertical)'!O:O&lt;&gt;"""");filter('Students (Vertical)'!O:O,'Students (Vertical)'!C:C=E287,'Students (Vertical)'!O:O&lt;&gt;"""")},{filter('Students (Vertical)'!O:O,'Students ("&amp;"Vertical)'!C:C=B287,'Students (Vertical)'!O:O&lt;&gt;"""");filter('Students (Vertical)'!O:O,'Students (Vertical)'!C:C=E287,'Students (Vertical)'!O:O&lt;&gt;"""")})&gt;1))),""No shared courses""),"""")"),"")</f>
        <v/>
      </c>
      <c r="J287" s="357" t="str">
        <f>IFERROR(__xludf.DUMMYFUNCTION("if(H287=""Can't be Together"",iferror(join("", "",unique(filter({filter('Students (Vertical)'!O:O,'Students (Vertical)'!C:C=B287,'Students (Vertical)'!O:O&lt;&gt;"""",'Students (Vertical)'!P:P&gt;1);filter('Students (Vertical)'!O:O,'Students (Vertical)'!C:C=E287,'"&amp;"Students (Vertical)'!O:O&lt;&gt;"""",'Students (Vertical)'!P:P&gt;1)},countifs({filter('Students (Vertical)'!O:O,'Students (Vertical)'!C:C=B287,'Students (Vertical)'!O:O&lt;&gt;"""",'Students (Vertical)'!P:P&gt;1);filter('Students (Vertical)'!O:O,'Students (Vertical)'!C:C="&amp;"E287,'Students (Vertical)'!O:O&lt;&gt;"""",'Students (Vertical)'!P:P&gt;1)},{filter('Students (Vertical)'!O:O,'Students (Vertical)'!C:C=B287,'Students (Vertical)'!O:O&lt;&gt;"""",'Students (Vertical)'!P:P&gt;1);filter('Students (Vertical)'!O:O,'Students (Vertical)'!C:C=E28"&amp;"7,'Students (Vertical)'!O:O&lt;&gt;"""",'Students (Vertical)'!P:P&gt;1)})&gt;1))),""""),"""")"),"")</f>
        <v/>
      </c>
      <c r="K287" s="358"/>
    </row>
    <row r="288">
      <c r="A288" s="300" t="s">
        <v>22</v>
      </c>
      <c r="C288" s="300" t="s">
        <v>22</v>
      </c>
      <c r="D288" s="300" t="s">
        <v>22</v>
      </c>
      <c r="F288" s="300" t="s">
        <v>22</v>
      </c>
      <c r="G288" s="300" t="s">
        <v>22</v>
      </c>
      <c r="I288" s="356" t="str">
        <f>IFERROR(__xludf.DUMMYFUNCTION("if(H288=""Must be Together"",iferror(join("", "",unique(filter({filter('Students (Vertical)'!O:O,'Students (Vertical)'!C:C=B288,'Students (Vertical)'!O:O&lt;&gt;"""");filter('Students (Vertical)'!O:O,'Students (Vertical)'!C:C=E288,'Students (Vertical)'!O:O&lt;&gt;"""&amp;""")},countifs({filter('Students (Vertical)'!O:O,'Students (Vertical)'!C:C=B288,'Students (Vertical)'!O:O&lt;&gt;"""");filter('Students (Vertical)'!O:O,'Students (Vertical)'!C:C=E288,'Students (Vertical)'!O:O&lt;&gt;"""")},{filter('Students (Vertical)'!O:O,'Students ("&amp;"Vertical)'!C:C=B288,'Students (Vertical)'!O:O&lt;&gt;"""");filter('Students (Vertical)'!O:O,'Students (Vertical)'!C:C=E288,'Students (Vertical)'!O:O&lt;&gt;"""")})&gt;1))),""No shared courses""),"""")"),"")</f>
        <v/>
      </c>
      <c r="J288" s="357" t="str">
        <f>IFERROR(__xludf.DUMMYFUNCTION("if(H288=""Can't be Together"",iferror(join("", "",unique(filter({filter('Students (Vertical)'!O:O,'Students (Vertical)'!C:C=B288,'Students (Vertical)'!O:O&lt;&gt;"""",'Students (Vertical)'!P:P&gt;1);filter('Students (Vertical)'!O:O,'Students (Vertical)'!C:C=E288,'"&amp;"Students (Vertical)'!O:O&lt;&gt;"""",'Students (Vertical)'!P:P&gt;1)},countifs({filter('Students (Vertical)'!O:O,'Students (Vertical)'!C:C=B288,'Students (Vertical)'!O:O&lt;&gt;"""",'Students (Vertical)'!P:P&gt;1);filter('Students (Vertical)'!O:O,'Students (Vertical)'!C:C="&amp;"E288,'Students (Vertical)'!O:O&lt;&gt;"""",'Students (Vertical)'!P:P&gt;1)},{filter('Students (Vertical)'!O:O,'Students (Vertical)'!C:C=B288,'Students (Vertical)'!O:O&lt;&gt;"""",'Students (Vertical)'!P:P&gt;1);filter('Students (Vertical)'!O:O,'Students (Vertical)'!C:C=E28"&amp;"8,'Students (Vertical)'!O:O&lt;&gt;"""",'Students (Vertical)'!P:P&gt;1)})&gt;1))),""""),"""")"),"")</f>
        <v/>
      </c>
      <c r="K288" s="358"/>
    </row>
    <row r="289">
      <c r="A289" s="300" t="s">
        <v>22</v>
      </c>
      <c r="C289" s="300" t="s">
        <v>22</v>
      </c>
      <c r="D289" s="300" t="s">
        <v>22</v>
      </c>
      <c r="F289" s="300" t="s">
        <v>22</v>
      </c>
      <c r="G289" s="300" t="s">
        <v>22</v>
      </c>
      <c r="I289" s="356" t="str">
        <f>IFERROR(__xludf.DUMMYFUNCTION("if(H289=""Must be Together"",iferror(join("", "",unique(filter({filter('Students (Vertical)'!O:O,'Students (Vertical)'!C:C=B289,'Students (Vertical)'!O:O&lt;&gt;"""");filter('Students (Vertical)'!O:O,'Students (Vertical)'!C:C=E289,'Students (Vertical)'!O:O&lt;&gt;"""&amp;""")},countifs({filter('Students (Vertical)'!O:O,'Students (Vertical)'!C:C=B289,'Students (Vertical)'!O:O&lt;&gt;"""");filter('Students (Vertical)'!O:O,'Students (Vertical)'!C:C=E289,'Students (Vertical)'!O:O&lt;&gt;"""")},{filter('Students (Vertical)'!O:O,'Students ("&amp;"Vertical)'!C:C=B289,'Students (Vertical)'!O:O&lt;&gt;"""");filter('Students (Vertical)'!O:O,'Students (Vertical)'!C:C=E289,'Students (Vertical)'!O:O&lt;&gt;"""")})&gt;1))),""No shared courses""),"""")"),"")</f>
        <v/>
      </c>
      <c r="J289" s="357" t="str">
        <f>IFERROR(__xludf.DUMMYFUNCTION("if(H289=""Can't be Together"",iferror(join("", "",unique(filter({filter('Students (Vertical)'!O:O,'Students (Vertical)'!C:C=B289,'Students (Vertical)'!O:O&lt;&gt;"""",'Students (Vertical)'!P:P&gt;1);filter('Students (Vertical)'!O:O,'Students (Vertical)'!C:C=E289,'"&amp;"Students (Vertical)'!O:O&lt;&gt;"""",'Students (Vertical)'!P:P&gt;1)},countifs({filter('Students (Vertical)'!O:O,'Students (Vertical)'!C:C=B289,'Students (Vertical)'!O:O&lt;&gt;"""",'Students (Vertical)'!P:P&gt;1);filter('Students (Vertical)'!O:O,'Students (Vertical)'!C:C="&amp;"E289,'Students (Vertical)'!O:O&lt;&gt;"""",'Students (Vertical)'!P:P&gt;1)},{filter('Students (Vertical)'!O:O,'Students (Vertical)'!C:C=B289,'Students (Vertical)'!O:O&lt;&gt;"""",'Students (Vertical)'!P:P&gt;1);filter('Students (Vertical)'!O:O,'Students (Vertical)'!C:C=E28"&amp;"9,'Students (Vertical)'!O:O&lt;&gt;"""",'Students (Vertical)'!P:P&gt;1)})&gt;1))),""""),"""")"),"")</f>
        <v/>
      </c>
      <c r="K289" s="358"/>
    </row>
    <row r="290">
      <c r="A290" s="300" t="s">
        <v>22</v>
      </c>
      <c r="C290" s="300" t="s">
        <v>22</v>
      </c>
      <c r="D290" s="300" t="s">
        <v>22</v>
      </c>
      <c r="F290" s="300" t="s">
        <v>22</v>
      </c>
      <c r="G290" s="300" t="s">
        <v>22</v>
      </c>
      <c r="I290" s="356" t="str">
        <f>IFERROR(__xludf.DUMMYFUNCTION("if(H290=""Must be Together"",iferror(join("", "",unique(filter({filter('Students (Vertical)'!O:O,'Students (Vertical)'!C:C=B290,'Students (Vertical)'!O:O&lt;&gt;"""");filter('Students (Vertical)'!O:O,'Students (Vertical)'!C:C=E290,'Students (Vertical)'!O:O&lt;&gt;"""&amp;""")},countifs({filter('Students (Vertical)'!O:O,'Students (Vertical)'!C:C=B290,'Students (Vertical)'!O:O&lt;&gt;"""");filter('Students (Vertical)'!O:O,'Students (Vertical)'!C:C=E290,'Students (Vertical)'!O:O&lt;&gt;"""")},{filter('Students (Vertical)'!O:O,'Students ("&amp;"Vertical)'!C:C=B290,'Students (Vertical)'!O:O&lt;&gt;"""");filter('Students (Vertical)'!O:O,'Students (Vertical)'!C:C=E290,'Students (Vertical)'!O:O&lt;&gt;"""")})&gt;1))),""No shared courses""),"""")"),"")</f>
        <v/>
      </c>
      <c r="J290" s="357" t="str">
        <f>IFERROR(__xludf.DUMMYFUNCTION("if(H290=""Can't be Together"",iferror(join("", "",unique(filter({filter('Students (Vertical)'!O:O,'Students (Vertical)'!C:C=B290,'Students (Vertical)'!O:O&lt;&gt;"""",'Students (Vertical)'!P:P&gt;1);filter('Students (Vertical)'!O:O,'Students (Vertical)'!C:C=E290,'"&amp;"Students (Vertical)'!O:O&lt;&gt;"""",'Students (Vertical)'!P:P&gt;1)},countifs({filter('Students (Vertical)'!O:O,'Students (Vertical)'!C:C=B290,'Students (Vertical)'!O:O&lt;&gt;"""",'Students (Vertical)'!P:P&gt;1);filter('Students (Vertical)'!O:O,'Students (Vertical)'!C:C="&amp;"E290,'Students (Vertical)'!O:O&lt;&gt;"""",'Students (Vertical)'!P:P&gt;1)},{filter('Students (Vertical)'!O:O,'Students (Vertical)'!C:C=B290,'Students (Vertical)'!O:O&lt;&gt;"""",'Students (Vertical)'!P:P&gt;1);filter('Students (Vertical)'!O:O,'Students (Vertical)'!C:C=E29"&amp;"0,'Students (Vertical)'!O:O&lt;&gt;"""",'Students (Vertical)'!P:P&gt;1)})&gt;1))),""""),"""")"),"")</f>
        <v/>
      </c>
      <c r="K290" s="358"/>
    </row>
    <row r="291">
      <c r="A291" s="300" t="s">
        <v>22</v>
      </c>
      <c r="C291" s="300" t="s">
        <v>22</v>
      </c>
      <c r="D291" s="300" t="s">
        <v>22</v>
      </c>
      <c r="F291" s="300" t="s">
        <v>22</v>
      </c>
      <c r="G291" s="300" t="s">
        <v>22</v>
      </c>
      <c r="I291" s="356" t="str">
        <f>IFERROR(__xludf.DUMMYFUNCTION("if(H291=""Must be Together"",iferror(join("", "",unique(filter({filter('Students (Vertical)'!O:O,'Students (Vertical)'!C:C=B291,'Students (Vertical)'!O:O&lt;&gt;"""");filter('Students (Vertical)'!O:O,'Students (Vertical)'!C:C=E291,'Students (Vertical)'!O:O&lt;&gt;"""&amp;""")},countifs({filter('Students (Vertical)'!O:O,'Students (Vertical)'!C:C=B291,'Students (Vertical)'!O:O&lt;&gt;"""");filter('Students (Vertical)'!O:O,'Students (Vertical)'!C:C=E291,'Students (Vertical)'!O:O&lt;&gt;"""")},{filter('Students (Vertical)'!O:O,'Students ("&amp;"Vertical)'!C:C=B291,'Students (Vertical)'!O:O&lt;&gt;"""");filter('Students (Vertical)'!O:O,'Students (Vertical)'!C:C=E291,'Students (Vertical)'!O:O&lt;&gt;"""")})&gt;1))),""No shared courses""),"""")"),"")</f>
        <v/>
      </c>
      <c r="J291" s="357" t="str">
        <f>IFERROR(__xludf.DUMMYFUNCTION("if(H291=""Can't be Together"",iferror(join("", "",unique(filter({filter('Students (Vertical)'!O:O,'Students (Vertical)'!C:C=B291,'Students (Vertical)'!O:O&lt;&gt;"""",'Students (Vertical)'!P:P&gt;1);filter('Students (Vertical)'!O:O,'Students (Vertical)'!C:C=E291,'"&amp;"Students (Vertical)'!O:O&lt;&gt;"""",'Students (Vertical)'!P:P&gt;1)},countifs({filter('Students (Vertical)'!O:O,'Students (Vertical)'!C:C=B291,'Students (Vertical)'!O:O&lt;&gt;"""",'Students (Vertical)'!P:P&gt;1);filter('Students (Vertical)'!O:O,'Students (Vertical)'!C:C="&amp;"E291,'Students (Vertical)'!O:O&lt;&gt;"""",'Students (Vertical)'!P:P&gt;1)},{filter('Students (Vertical)'!O:O,'Students (Vertical)'!C:C=B291,'Students (Vertical)'!O:O&lt;&gt;"""",'Students (Vertical)'!P:P&gt;1);filter('Students (Vertical)'!O:O,'Students (Vertical)'!C:C=E29"&amp;"1,'Students (Vertical)'!O:O&lt;&gt;"""",'Students (Vertical)'!P:P&gt;1)})&gt;1))),""""),"""")"),"")</f>
        <v/>
      </c>
      <c r="K291" s="358"/>
    </row>
    <row r="292">
      <c r="A292" s="300" t="s">
        <v>22</v>
      </c>
      <c r="C292" s="300" t="s">
        <v>22</v>
      </c>
      <c r="D292" s="300" t="s">
        <v>22</v>
      </c>
      <c r="F292" s="300" t="s">
        <v>22</v>
      </c>
      <c r="G292" s="300" t="s">
        <v>22</v>
      </c>
      <c r="I292" s="356" t="str">
        <f>IFERROR(__xludf.DUMMYFUNCTION("if(H292=""Must be Together"",iferror(join("", "",unique(filter({filter('Students (Vertical)'!O:O,'Students (Vertical)'!C:C=B292,'Students (Vertical)'!O:O&lt;&gt;"""");filter('Students (Vertical)'!O:O,'Students (Vertical)'!C:C=E292,'Students (Vertical)'!O:O&lt;&gt;"""&amp;""")},countifs({filter('Students (Vertical)'!O:O,'Students (Vertical)'!C:C=B292,'Students (Vertical)'!O:O&lt;&gt;"""");filter('Students (Vertical)'!O:O,'Students (Vertical)'!C:C=E292,'Students (Vertical)'!O:O&lt;&gt;"""")},{filter('Students (Vertical)'!O:O,'Students ("&amp;"Vertical)'!C:C=B292,'Students (Vertical)'!O:O&lt;&gt;"""");filter('Students (Vertical)'!O:O,'Students (Vertical)'!C:C=E292,'Students (Vertical)'!O:O&lt;&gt;"""")})&gt;1))),""No shared courses""),"""")"),"")</f>
        <v/>
      </c>
      <c r="J292" s="357" t="str">
        <f>IFERROR(__xludf.DUMMYFUNCTION("if(H292=""Can't be Together"",iferror(join("", "",unique(filter({filter('Students (Vertical)'!O:O,'Students (Vertical)'!C:C=B292,'Students (Vertical)'!O:O&lt;&gt;"""",'Students (Vertical)'!P:P&gt;1);filter('Students (Vertical)'!O:O,'Students (Vertical)'!C:C=E292,'"&amp;"Students (Vertical)'!O:O&lt;&gt;"""",'Students (Vertical)'!P:P&gt;1)},countifs({filter('Students (Vertical)'!O:O,'Students (Vertical)'!C:C=B292,'Students (Vertical)'!O:O&lt;&gt;"""",'Students (Vertical)'!P:P&gt;1);filter('Students (Vertical)'!O:O,'Students (Vertical)'!C:C="&amp;"E292,'Students (Vertical)'!O:O&lt;&gt;"""",'Students (Vertical)'!P:P&gt;1)},{filter('Students (Vertical)'!O:O,'Students (Vertical)'!C:C=B292,'Students (Vertical)'!O:O&lt;&gt;"""",'Students (Vertical)'!P:P&gt;1);filter('Students (Vertical)'!O:O,'Students (Vertical)'!C:C=E29"&amp;"2,'Students (Vertical)'!O:O&lt;&gt;"""",'Students (Vertical)'!P:P&gt;1)})&gt;1))),""""),"""")"),"")</f>
        <v/>
      </c>
      <c r="K292" s="358"/>
    </row>
    <row r="293">
      <c r="A293" s="300" t="s">
        <v>22</v>
      </c>
      <c r="C293" s="300" t="s">
        <v>22</v>
      </c>
      <c r="D293" s="300" t="s">
        <v>22</v>
      </c>
      <c r="F293" s="300" t="s">
        <v>22</v>
      </c>
      <c r="G293" s="300" t="s">
        <v>22</v>
      </c>
      <c r="I293" s="356" t="str">
        <f>IFERROR(__xludf.DUMMYFUNCTION("if(H293=""Must be Together"",iferror(join("", "",unique(filter({filter('Students (Vertical)'!O:O,'Students (Vertical)'!C:C=B293,'Students (Vertical)'!O:O&lt;&gt;"""");filter('Students (Vertical)'!O:O,'Students (Vertical)'!C:C=E293,'Students (Vertical)'!O:O&lt;&gt;"""&amp;""")},countifs({filter('Students (Vertical)'!O:O,'Students (Vertical)'!C:C=B293,'Students (Vertical)'!O:O&lt;&gt;"""");filter('Students (Vertical)'!O:O,'Students (Vertical)'!C:C=E293,'Students (Vertical)'!O:O&lt;&gt;"""")},{filter('Students (Vertical)'!O:O,'Students ("&amp;"Vertical)'!C:C=B293,'Students (Vertical)'!O:O&lt;&gt;"""");filter('Students (Vertical)'!O:O,'Students (Vertical)'!C:C=E293,'Students (Vertical)'!O:O&lt;&gt;"""")})&gt;1))),""No shared courses""),"""")"),"")</f>
        <v/>
      </c>
      <c r="J293" s="357" t="str">
        <f>IFERROR(__xludf.DUMMYFUNCTION("if(H293=""Can't be Together"",iferror(join("", "",unique(filter({filter('Students (Vertical)'!O:O,'Students (Vertical)'!C:C=B293,'Students (Vertical)'!O:O&lt;&gt;"""",'Students (Vertical)'!P:P&gt;1);filter('Students (Vertical)'!O:O,'Students (Vertical)'!C:C=E293,'"&amp;"Students (Vertical)'!O:O&lt;&gt;"""",'Students (Vertical)'!P:P&gt;1)},countifs({filter('Students (Vertical)'!O:O,'Students (Vertical)'!C:C=B293,'Students (Vertical)'!O:O&lt;&gt;"""",'Students (Vertical)'!P:P&gt;1);filter('Students (Vertical)'!O:O,'Students (Vertical)'!C:C="&amp;"E293,'Students (Vertical)'!O:O&lt;&gt;"""",'Students (Vertical)'!P:P&gt;1)},{filter('Students (Vertical)'!O:O,'Students (Vertical)'!C:C=B293,'Students (Vertical)'!O:O&lt;&gt;"""",'Students (Vertical)'!P:P&gt;1);filter('Students (Vertical)'!O:O,'Students (Vertical)'!C:C=E29"&amp;"3,'Students (Vertical)'!O:O&lt;&gt;"""",'Students (Vertical)'!P:P&gt;1)})&gt;1))),""""),"""")"),"")</f>
        <v/>
      </c>
      <c r="K293" s="358"/>
    </row>
    <row r="294">
      <c r="A294" s="300" t="s">
        <v>22</v>
      </c>
      <c r="C294" s="300" t="s">
        <v>22</v>
      </c>
      <c r="D294" s="300" t="s">
        <v>22</v>
      </c>
      <c r="F294" s="300" t="s">
        <v>22</v>
      </c>
      <c r="G294" s="300" t="s">
        <v>22</v>
      </c>
      <c r="I294" s="356" t="str">
        <f>IFERROR(__xludf.DUMMYFUNCTION("if(H294=""Must be Together"",iferror(join("", "",unique(filter({filter('Students (Vertical)'!O:O,'Students (Vertical)'!C:C=B294,'Students (Vertical)'!O:O&lt;&gt;"""");filter('Students (Vertical)'!O:O,'Students (Vertical)'!C:C=E294,'Students (Vertical)'!O:O&lt;&gt;"""&amp;""")},countifs({filter('Students (Vertical)'!O:O,'Students (Vertical)'!C:C=B294,'Students (Vertical)'!O:O&lt;&gt;"""");filter('Students (Vertical)'!O:O,'Students (Vertical)'!C:C=E294,'Students (Vertical)'!O:O&lt;&gt;"""")},{filter('Students (Vertical)'!O:O,'Students ("&amp;"Vertical)'!C:C=B294,'Students (Vertical)'!O:O&lt;&gt;"""");filter('Students (Vertical)'!O:O,'Students (Vertical)'!C:C=E294,'Students (Vertical)'!O:O&lt;&gt;"""")})&gt;1))),""No shared courses""),"""")"),"")</f>
        <v/>
      </c>
      <c r="J294" s="357" t="str">
        <f>IFERROR(__xludf.DUMMYFUNCTION("if(H294=""Can't be Together"",iferror(join("", "",unique(filter({filter('Students (Vertical)'!O:O,'Students (Vertical)'!C:C=B294,'Students (Vertical)'!O:O&lt;&gt;"""",'Students (Vertical)'!P:P&gt;1);filter('Students (Vertical)'!O:O,'Students (Vertical)'!C:C=E294,'"&amp;"Students (Vertical)'!O:O&lt;&gt;"""",'Students (Vertical)'!P:P&gt;1)},countifs({filter('Students (Vertical)'!O:O,'Students (Vertical)'!C:C=B294,'Students (Vertical)'!O:O&lt;&gt;"""",'Students (Vertical)'!P:P&gt;1);filter('Students (Vertical)'!O:O,'Students (Vertical)'!C:C="&amp;"E294,'Students (Vertical)'!O:O&lt;&gt;"""",'Students (Vertical)'!P:P&gt;1)},{filter('Students (Vertical)'!O:O,'Students (Vertical)'!C:C=B294,'Students (Vertical)'!O:O&lt;&gt;"""",'Students (Vertical)'!P:P&gt;1);filter('Students (Vertical)'!O:O,'Students (Vertical)'!C:C=E29"&amp;"4,'Students (Vertical)'!O:O&lt;&gt;"""",'Students (Vertical)'!P:P&gt;1)})&gt;1))),""""),"""")"),"")</f>
        <v/>
      </c>
      <c r="K294" s="358"/>
    </row>
    <row r="295">
      <c r="A295" s="300" t="s">
        <v>22</v>
      </c>
      <c r="C295" s="300" t="s">
        <v>22</v>
      </c>
      <c r="D295" s="300" t="s">
        <v>22</v>
      </c>
      <c r="F295" s="300" t="s">
        <v>22</v>
      </c>
      <c r="G295" s="300" t="s">
        <v>22</v>
      </c>
      <c r="I295" s="356" t="str">
        <f>IFERROR(__xludf.DUMMYFUNCTION("if(H295=""Must be Together"",iferror(join("", "",unique(filter({filter('Students (Vertical)'!O:O,'Students (Vertical)'!C:C=B295,'Students (Vertical)'!O:O&lt;&gt;"""");filter('Students (Vertical)'!O:O,'Students (Vertical)'!C:C=E295,'Students (Vertical)'!O:O&lt;&gt;"""&amp;""")},countifs({filter('Students (Vertical)'!O:O,'Students (Vertical)'!C:C=B295,'Students (Vertical)'!O:O&lt;&gt;"""");filter('Students (Vertical)'!O:O,'Students (Vertical)'!C:C=E295,'Students (Vertical)'!O:O&lt;&gt;"""")},{filter('Students (Vertical)'!O:O,'Students ("&amp;"Vertical)'!C:C=B295,'Students (Vertical)'!O:O&lt;&gt;"""");filter('Students (Vertical)'!O:O,'Students (Vertical)'!C:C=E295,'Students (Vertical)'!O:O&lt;&gt;"""")})&gt;1))),""No shared courses""),"""")"),"")</f>
        <v/>
      </c>
      <c r="J295" s="357" t="str">
        <f>IFERROR(__xludf.DUMMYFUNCTION("if(H295=""Can't be Together"",iferror(join("", "",unique(filter({filter('Students (Vertical)'!O:O,'Students (Vertical)'!C:C=B295,'Students (Vertical)'!O:O&lt;&gt;"""",'Students (Vertical)'!P:P&gt;1);filter('Students (Vertical)'!O:O,'Students (Vertical)'!C:C=E295,'"&amp;"Students (Vertical)'!O:O&lt;&gt;"""",'Students (Vertical)'!P:P&gt;1)},countifs({filter('Students (Vertical)'!O:O,'Students (Vertical)'!C:C=B295,'Students (Vertical)'!O:O&lt;&gt;"""",'Students (Vertical)'!P:P&gt;1);filter('Students (Vertical)'!O:O,'Students (Vertical)'!C:C="&amp;"E295,'Students (Vertical)'!O:O&lt;&gt;"""",'Students (Vertical)'!P:P&gt;1)},{filter('Students (Vertical)'!O:O,'Students (Vertical)'!C:C=B295,'Students (Vertical)'!O:O&lt;&gt;"""",'Students (Vertical)'!P:P&gt;1);filter('Students (Vertical)'!O:O,'Students (Vertical)'!C:C=E29"&amp;"5,'Students (Vertical)'!O:O&lt;&gt;"""",'Students (Vertical)'!P:P&gt;1)})&gt;1))),""""),"""")"),"")</f>
        <v/>
      </c>
      <c r="K295" s="358"/>
    </row>
    <row r="296">
      <c r="A296" s="300" t="s">
        <v>22</v>
      </c>
      <c r="C296" s="300" t="s">
        <v>22</v>
      </c>
      <c r="D296" s="300" t="s">
        <v>22</v>
      </c>
      <c r="F296" s="300" t="s">
        <v>22</v>
      </c>
      <c r="G296" s="300" t="s">
        <v>22</v>
      </c>
      <c r="I296" s="356" t="str">
        <f>IFERROR(__xludf.DUMMYFUNCTION("if(H296=""Must be Together"",iferror(join("", "",unique(filter({filter('Students (Vertical)'!O:O,'Students (Vertical)'!C:C=B296,'Students (Vertical)'!O:O&lt;&gt;"""");filter('Students (Vertical)'!O:O,'Students (Vertical)'!C:C=E296,'Students (Vertical)'!O:O&lt;&gt;"""&amp;""")},countifs({filter('Students (Vertical)'!O:O,'Students (Vertical)'!C:C=B296,'Students (Vertical)'!O:O&lt;&gt;"""");filter('Students (Vertical)'!O:O,'Students (Vertical)'!C:C=E296,'Students (Vertical)'!O:O&lt;&gt;"""")},{filter('Students (Vertical)'!O:O,'Students ("&amp;"Vertical)'!C:C=B296,'Students (Vertical)'!O:O&lt;&gt;"""");filter('Students (Vertical)'!O:O,'Students (Vertical)'!C:C=E296,'Students (Vertical)'!O:O&lt;&gt;"""")})&gt;1))),""No shared courses""),"""")"),"")</f>
        <v/>
      </c>
      <c r="J296" s="357" t="str">
        <f>IFERROR(__xludf.DUMMYFUNCTION("if(H296=""Can't be Together"",iferror(join("", "",unique(filter({filter('Students (Vertical)'!O:O,'Students (Vertical)'!C:C=B296,'Students (Vertical)'!O:O&lt;&gt;"""",'Students (Vertical)'!P:P&gt;1);filter('Students (Vertical)'!O:O,'Students (Vertical)'!C:C=E296,'"&amp;"Students (Vertical)'!O:O&lt;&gt;"""",'Students (Vertical)'!P:P&gt;1)},countifs({filter('Students (Vertical)'!O:O,'Students (Vertical)'!C:C=B296,'Students (Vertical)'!O:O&lt;&gt;"""",'Students (Vertical)'!P:P&gt;1);filter('Students (Vertical)'!O:O,'Students (Vertical)'!C:C="&amp;"E296,'Students (Vertical)'!O:O&lt;&gt;"""",'Students (Vertical)'!P:P&gt;1)},{filter('Students (Vertical)'!O:O,'Students (Vertical)'!C:C=B296,'Students (Vertical)'!O:O&lt;&gt;"""",'Students (Vertical)'!P:P&gt;1);filter('Students (Vertical)'!O:O,'Students (Vertical)'!C:C=E29"&amp;"6,'Students (Vertical)'!O:O&lt;&gt;"""",'Students (Vertical)'!P:P&gt;1)})&gt;1))),""""),"""")"),"")</f>
        <v/>
      </c>
      <c r="K296" s="358"/>
    </row>
    <row r="297">
      <c r="A297" s="300" t="s">
        <v>22</v>
      </c>
      <c r="C297" s="300" t="s">
        <v>22</v>
      </c>
      <c r="D297" s="300" t="s">
        <v>22</v>
      </c>
      <c r="F297" s="300" t="s">
        <v>22</v>
      </c>
      <c r="G297" s="300" t="s">
        <v>22</v>
      </c>
      <c r="I297" s="356" t="str">
        <f>IFERROR(__xludf.DUMMYFUNCTION("if(H297=""Must be Together"",iferror(join("", "",unique(filter({filter('Students (Vertical)'!O:O,'Students (Vertical)'!C:C=B297,'Students (Vertical)'!O:O&lt;&gt;"""");filter('Students (Vertical)'!O:O,'Students (Vertical)'!C:C=E297,'Students (Vertical)'!O:O&lt;&gt;"""&amp;""")},countifs({filter('Students (Vertical)'!O:O,'Students (Vertical)'!C:C=B297,'Students (Vertical)'!O:O&lt;&gt;"""");filter('Students (Vertical)'!O:O,'Students (Vertical)'!C:C=E297,'Students (Vertical)'!O:O&lt;&gt;"""")},{filter('Students (Vertical)'!O:O,'Students ("&amp;"Vertical)'!C:C=B297,'Students (Vertical)'!O:O&lt;&gt;"""");filter('Students (Vertical)'!O:O,'Students (Vertical)'!C:C=E297,'Students (Vertical)'!O:O&lt;&gt;"""")})&gt;1))),""No shared courses""),"""")"),"")</f>
        <v/>
      </c>
      <c r="J297" s="357" t="str">
        <f>IFERROR(__xludf.DUMMYFUNCTION("if(H297=""Can't be Together"",iferror(join("", "",unique(filter({filter('Students (Vertical)'!O:O,'Students (Vertical)'!C:C=B297,'Students (Vertical)'!O:O&lt;&gt;"""",'Students (Vertical)'!P:P&gt;1);filter('Students (Vertical)'!O:O,'Students (Vertical)'!C:C=E297,'"&amp;"Students (Vertical)'!O:O&lt;&gt;"""",'Students (Vertical)'!P:P&gt;1)},countifs({filter('Students (Vertical)'!O:O,'Students (Vertical)'!C:C=B297,'Students (Vertical)'!O:O&lt;&gt;"""",'Students (Vertical)'!P:P&gt;1);filter('Students (Vertical)'!O:O,'Students (Vertical)'!C:C="&amp;"E297,'Students (Vertical)'!O:O&lt;&gt;"""",'Students (Vertical)'!P:P&gt;1)},{filter('Students (Vertical)'!O:O,'Students (Vertical)'!C:C=B297,'Students (Vertical)'!O:O&lt;&gt;"""",'Students (Vertical)'!P:P&gt;1);filter('Students (Vertical)'!O:O,'Students (Vertical)'!C:C=E29"&amp;"7,'Students (Vertical)'!O:O&lt;&gt;"""",'Students (Vertical)'!P:P&gt;1)})&gt;1))),""""),"""")"),"")</f>
        <v/>
      </c>
      <c r="K297" s="358"/>
    </row>
    <row r="298">
      <c r="A298" s="300" t="s">
        <v>22</v>
      </c>
      <c r="C298" s="300" t="s">
        <v>22</v>
      </c>
      <c r="D298" s="300" t="s">
        <v>22</v>
      </c>
      <c r="F298" s="300" t="s">
        <v>22</v>
      </c>
      <c r="G298" s="300" t="s">
        <v>22</v>
      </c>
      <c r="I298" s="356" t="str">
        <f>IFERROR(__xludf.DUMMYFUNCTION("if(H298=""Must be Together"",iferror(join("", "",unique(filter({filter('Students (Vertical)'!O:O,'Students (Vertical)'!C:C=B298,'Students (Vertical)'!O:O&lt;&gt;"""");filter('Students (Vertical)'!O:O,'Students (Vertical)'!C:C=E298,'Students (Vertical)'!O:O&lt;&gt;"""&amp;""")},countifs({filter('Students (Vertical)'!O:O,'Students (Vertical)'!C:C=B298,'Students (Vertical)'!O:O&lt;&gt;"""");filter('Students (Vertical)'!O:O,'Students (Vertical)'!C:C=E298,'Students (Vertical)'!O:O&lt;&gt;"""")},{filter('Students (Vertical)'!O:O,'Students ("&amp;"Vertical)'!C:C=B298,'Students (Vertical)'!O:O&lt;&gt;"""");filter('Students (Vertical)'!O:O,'Students (Vertical)'!C:C=E298,'Students (Vertical)'!O:O&lt;&gt;"""")})&gt;1))),""No shared courses""),"""")"),"")</f>
        <v/>
      </c>
      <c r="J298" s="357" t="str">
        <f>IFERROR(__xludf.DUMMYFUNCTION("if(H298=""Can't be Together"",iferror(join("", "",unique(filter({filter('Students (Vertical)'!O:O,'Students (Vertical)'!C:C=B298,'Students (Vertical)'!O:O&lt;&gt;"""",'Students (Vertical)'!P:P&gt;1);filter('Students (Vertical)'!O:O,'Students (Vertical)'!C:C=E298,'"&amp;"Students (Vertical)'!O:O&lt;&gt;"""",'Students (Vertical)'!P:P&gt;1)},countifs({filter('Students (Vertical)'!O:O,'Students (Vertical)'!C:C=B298,'Students (Vertical)'!O:O&lt;&gt;"""",'Students (Vertical)'!P:P&gt;1);filter('Students (Vertical)'!O:O,'Students (Vertical)'!C:C="&amp;"E298,'Students (Vertical)'!O:O&lt;&gt;"""",'Students (Vertical)'!P:P&gt;1)},{filter('Students (Vertical)'!O:O,'Students (Vertical)'!C:C=B298,'Students (Vertical)'!O:O&lt;&gt;"""",'Students (Vertical)'!P:P&gt;1);filter('Students (Vertical)'!O:O,'Students (Vertical)'!C:C=E29"&amp;"8,'Students (Vertical)'!O:O&lt;&gt;"""",'Students (Vertical)'!P:P&gt;1)})&gt;1))),""""),"""")"),"")</f>
        <v/>
      </c>
      <c r="K298" s="358"/>
    </row>
    <row r="299">
      <c r="A299" s="300" t="s">
        <v>22</v>
      </c>
      <c r="C299" s="300" t="s">
        <v>22</v>
      </c>
      <c r="D299" s="300" t="s">
        <v>22</v>
      </c>
      <c r="F299" s="300" t="s">
        <v>22</v>
      </c>
      <c r="G299" s="300" t="s">
        <v>22</v>
      </c>
      <c r="I299" s="356" t="str">
        <f>IFERROR(__xludf.DUMMYFUNCTION("if(H299=""Must be Together"",iferror(join("", "",unique(filter({filter('Students (Vertical)'!O:O,'Students (Vertical)'!C:C=B299,'Students (Vertical)'!O:O&lt;&gt;"""");filter('Students (Vertical)'!O:O,'Students (Vertical)'!C:C=E299,'Students (Vertical)'!O:O&lt;&gt;"""&amp;""")},countifs({filter('Students (Vertical)'!O:O,'Students (Vertical)'!C:C=B299,'Students (Vertical)'!O:O&lt;&gt;"""");filter('Students (Vertical)'!O:O,'Students (Vertical)'!C:C=E299,'Students (Vertical)'!O:O&lt;&gt;"""")},{filter('Students (Vertical)'!O:O,'Students ("&amp;"Vertical)'!C:C=B299,'Students (Vertical)'!O:O&lt;&gt;"""");filter('Students (Vertical)'!O:O,'Students (Vertical)'!C:C=E299,'Students (Vertical)'!O:O&lt;&gt;"""")})&gt;1))),""No shared courses""),"""")"),"")</f>
        <v/>
      </c>
      <c r="J299" s="357" t="str">
        <f>IFERROR(__xludf.DUMMYFUNCTION("if(H299=""Can't be Together"",iferror(join("", "",unique(filter({filter('Students (Vertical)'!O:O,'Students (Vertical)'!C:C=B299,'Students (Vertical)'!O:O&lt;&gt;"""",'Students (Vertical)'!P:P&gt;1);filter('Students (Vertical)'!O:O,'Students (Vertical)'!C:C=E299,'"&amp;"Students (Vertical)'!O:O&lt;&gt;"""",'Students (Vertical)'!P:P&gt;1)},countifs({filter('Students (Vertical)'!O:O,'Students (Vertical)'!C:C=B299,'Students (Vertical)'!O:O&lt;&gt;"""",'Students (Vertical)'!P:P&gt;1);filter('Students (Vertical)'!O:O,'Students (Vertical)'!C:C="&amp;"E299,'Students (Vertical)'!O:O&lt;&gt;"""",'Students (Vertical)'!P:P&gt;1)},{filter('Students (Vertical)'!O:O,'Students (Vertical)'!C:C=B299,'Students (Vertical)'!O:O&lt;&gt;"""",'Students (Vertical)'!P:P&gt;1);filter('Students (Vertical)'!O:O,'Students (Vertical)'!C:C=E29"&amp;"9,'Students (Vertical)'!O:O&lt;&gt;"""",'Students (Vertical)'!P:P&gt;1)})&gt;1))),""""),"""")"),"")</f>
        <v/>
      </c>
      <c r="K299" s="358"/>
    </row>
    <row r="300">
      <c r="A300" s="300" t="s">
        <v>22</v>
      </c>
      <c r="C300" s="300" t="s">
        <v>22</v>
      </c>
      <c r="D300" s="300" t="s">
        <v>22</v>
      </c>
      <c r="F300" s="300" t="s">
        <v>22</v>
      </c>
      <c r="G300" s="300" t="s">
        <v>22</v>
      </c>
      <c r="I300" s="356" t="str">
        <f>IFERROR(__xludf.DUMMYFUNCTION("if(H300=""Must be Together"",iferror(join("", "",unique(filter({filter('Students (Vertical)'!O:O,'Students (Vertical)'!C:C=B300,'Students (Vertical)'!O:O&lt;&gt;"""");filter('Students (Vertical)'!O:O,'Students (Vertical)'!C:C=E300,'Students (Vertical)'!O:O&lt;&gt;"""&amp;""")},countifs({filter('Students (Vertical)'!O:O,'Students (Vertical)'!C:C=B300,'Students (Vertical)'!O:O&lt;&gt;"""");filter('Students (Vertical)'!O:O,'Students (Vertical)'!C:C=E300,'Students (Vertical)'!O:O&lt;&gt;"""")},{filter('Students (Vertical)'!O:O,'Students ("&amp;"Vertical)'!C:C=B300,'Students (Vertical)'!O:O&lt;&gt;"""");filter('Students (Vertical)'!O:O,'Students (Vertical)'!C:C=E300,'Students (Vertical)'!O:O&lt;&gt;"""")})&gt;1))),""No shared courses""),"""")"),"")</f>
        <v/>
      </c>
      <c r="J300" s="357" t="str">
        <f>IFERROR(__xludf.DUMMYFUNCTION("if(H300=""Can't be Together"",iferror(join("", "",unique(filter({filter('Students (Vertical)'!O:O,'Students (Vertical)'!C:C=B300,'Students (Vertical)'!O:O&lt;&gt;"""",'Students (Vertical)'!P:P&gt;1);filter('Students (Vertical)'!O:O,'Students (Vertical)'!C:C=E300,'"&amp;"Students (Vertical)'!O:O&lt;&gt;"""",'Students (Vertical)'!P:P&gt;1)},countifs({filter('Students (Vertical)'!O:O,'Students (Vertical)'!C:C=B300,'Students (Vertical)'!O:O&lt;&gt;"""",'Students (Vertical)'!P:P&gt;1);filter('Students (Vertical)'!O:O,'Students (Vertical)'!C:C="&amp;"E300,'Students (Vertical)'!O:O&lt;&gt;"""",'Students (Vertical)'!P:P&gt;1)},{filter('Students (Vertical)'!O:O,'Students (Vertical)'!C:C=B300,'Students (Vertical)'!O:O&lt;&gt;"""",'Students (Vertical)'!P:P&gt;1);filter('Students (Vertical)'!O:O,'Students (Vertical)'!C:C=E30"&amp;"0,'Students (Vertical)'!O:O&lt;&gt;"""",'Students (Vertical)'!P:P&gt;1)})&gt;1))),""""),"""")"),"")</f>
        <v/>
      </c>
      <c r="K300" s="358"/>
    </row>
    <row r="301">
      <c r="A301" s="300" t="s">
        <v>22</v>
      </c>
      <c r="C301" s="300" t="s">
        <v>22</v>
      </c>
      <c r="D301" s="300" t="s">
        <v>22</v>
      </c>
      <c r="F301" s="300" t="s">
        <v>22</v>
      </c>
      <c r="G301" s="300" t="s">
        <v>22</v>
      </c>
      <c r="I301" s="356" t="str">
        <f>IFERROR(__xludf.DUMMYFUNCTION("if(H301=""Must be Together"",iferror(join("", "",unique(filter({filter('Students (Vertical)'!O:O,'Students (Vertical)'!C:C=B301,'Students (Vertical)'!O:O&lt;&gt;"""");filter('Students (Vertical)'!O:O,'Students (Vertical)'!C:C=E301,'Students (Vertical)'!O:O&lt;&gt;"""&amp;""")},countifs({filter('Students (Vertical)'!O:O,'Students (Vertical)'!C:C=B301,'Students (Vertical)'!O:O&lt;&gt;"""");filter('Students (Vertical)'!O:O,'Students (Vertical)'!C:C=E301,'Students (Vertical)'!O:O&lt;&gt;"""")},{filter('Students (Vertical)'!O:O,'Students ("&amp;"Vertical)'!C:C=B301,'Students (Vertical)'!O:O&lt;&gt;"""");filter('Students (Vertical)'!O:O,'Students (Vertical)'!C:C=E301,'Students (Vertical)'!O:O&lt;&gt;"""")})&gt;1))),""No shared courses""),"""")"),"")</f>
        <v/>
      </c>
      <c r="J301" s="357" t="str">
        <f>IFERROR(__xludf.DUMMYFUNCTION("if(H301=""Can't be Together"",iferror(join("", "",unique(filter({filter('Students (Vertical)'!O:O,'Students (Vertical)'!C:C=B301,'Students (Vertical)'!O:O&lt;&gt;"""",'Students (Vertical)'!P:P&gt;1);filter('Students (Vertical)'!O:O,'Students (Vertical)'!C:C=E301,'"&amp;"Students (Vertical)'!O:O&lt;&gt;"""",'Students (Vertical)'!P:P&gt;1)},countifs({filter('Students (Vertical)'!O:O,'Students (Vertical)'!C:C=B301,'Students (Vertical)'!O:O&lt;&gt;"""",'Students (Vertical)'!P:P&gt;1);filter('Students (Vertical)'!O:O,'Students (Vertical)'!C:C="&amp;"E301,'Students (Vertical)'!O:O&lt;&gt;"""",'Students (Vertical)'!P:P&gt;1)},{filter('Students (Vertical)'!O:O,'Students (Vertical)'!C:C=B301,'Students (Vertical)'!O:O&lt;&gt;"""",'Students (Vertical)'!P:P&gt;1);filter('Students (Vertical)'!O:O,'Students (Vertical)'!C:C=E30"&amp;"1,'Students (Vertical)'!O:O&lt;&gt;"""",'Students (Vertical)'!P:P&gt;1)})&gt;1))),""""),"""")"),"")</f>
        <v/>
      </c>
      <c r="K301" s="358"/>
    </row>
    <row r="302">
      <c r="A302" s="300" t="s">
        <v>22</v>
      </c>
      <c r="C302" s="300" t="s">
        <v>22</v>
      </c>
      <c r="D302" s="300" t="s">
        <v>22</v>
      </c>
      <c r="F302" s="300" t="s">
        <v>22</v>
      </c>
      <c r="G302" s="300" t="s">
        <v>22</v>
      </c>
      <c r="I302" s="356" t="str">
        <f>IFERROR(__xludf.DUMMYFUNCTION("if(H302=""Must be Together"",iferror(join("", "",unique(filter({filter('Students (Vertical)'!O:O,'Students (Vertical)'!C:C=B302,'Students (Vertical)'!O:O&lt;&gt;"""");filter('Students (Vertical)'!O:O,'Students (Vertical)'!C:C=E302,'Students (Vertical)'!O:O&lt;&gt;"""&amp;""")},countifs({filter('Students (Vertical)'!O:O,'Students (Vertical)'!C:C=B302,'Students (Vertical)'!O:O&lt;&gt;"""");filter('Students (Vertical)'!O:O,'Students (Vertical)'!C:C=E302,'Students (Vertical)'!O:O&lt;&gt;"""")},{filter('Students (Vertical)'!O:O,'Students ("&amp;"Vertical)'!C:C=B302,'Students (Vertical)'!O:O&lt;&gt;"""");filter('Students (Vertical)'!O:O,'Students (Vertical)'!C:C=E302,'Students (Vertical)'!O:O&lt;&gt;"""")})&gt;1))),""No shared courses""),"""")"),"")</f>
        <v/>
      </c>
      <c r="J302" s="357" t="str">
        <f>IFERROR(__xludf.DUMMYFUNCTION("if(H302=""Can't be Together"",iferror(join("", "",unique(filter({filter('Students (Vertical)'!O:O,'Students (Vertical)'!C:C=B302,'Students (Vertical)'!O:O&lt;&gt;"""",'Students (Vertical)'!P:P&gt;1);filter('Students (Vertical)'!O:O,'Students (Vertical)'!C:C=E302,'"&amp;"Students (Vertical)'!O:O&lt;&gt;"""",'Students (Vertical)'!P:P&gt;1)},countifs({filter('Students (Vertical)'!O:O,'Students (Vertical)'!C:C=B302,'Students (Vertical)'!O:O&lt;&gt;"""",'Students (Vertical)'!P:P&gt;1);filter('Students (Vertical)'!O:O,'Students (Vertical)'!C:C="&amp;"E302,'Students (Vertical)'!O:O&lt;&gt;"""",'Students (Vertical)'!P:P&gt;1)},{filter('Students (Vertical)'!O:O,'Students (Vertical)'!C:C=B302,'Students (Vertical)'!O:O&lt;&gt;"""",'Students (Vertical)'!P:P&gt;1);filter('Students (Vertical)'!O:O,'Students (Vertical)'!C:C=E30"&amp;"2,'Students (Vertical)'!O:O&lt;&gt;"""",'Students (Vertical)'!P:P&gt;1)})&gt;1))),""""),"""")"),"")</f>
        <v/>
      </c>
      <c r="K302" s="358"/>
    </row>
    <row r="303">
      <c r="A303" s="300" t="s">
        <v>22</v>
      </c>
      <c r="C303" s="300" t="s">
        <v>22</v>
      </c>
      <c r="D303" s="300" t="s">
        <v>22</v>
      </c>
      <c r="F303" s="300" t="s">
        <v>22</v>
      </c>
      <c r="G303" s="300" t="s">
        <v>22</v>
      </c>
      <c r="I303" s="356" t="str">
        <f>IFERROR(__xludf.DUMMYFUNCTION("if(H303=""Must be Together"",iferror(join("", "",unique(filter({filter('Students (Vertical)'!O:O,'Students (Vertical)'!C:C=B303,'Students (Vertical)'!O:O&lt;&gt;"""");filter('Students (Vertical)'!O:O,'Students (Vertical)'!C:C=E303,'Students (Vertical)'!O:O&lt;&gt;"""&amp;""")},countifs({filter('Students (Vertical)'!O:O,'Students (Vertical)'!C:C=B303,'Students (Vertical)'!O:O&lt;&gt;"""");filter('Students (Vertical)'!O:O,'Students (Vertical)'!C:C=E303,'Students (Vertical)'!O:O&lt;&gt;"""")},{filter('Students (Vertical)'!O:O,'Students ("&amp;"Vertical)'!C:C=B303,'Students (Vertical)'!O:O&lt;&gt;"""");filter('Students (Vertical)'!O:O,'Students (Vertical)'!C:C=E303,'Students (Vertical)'!O:O&lt;&gt;"""")})&gt;1))),""No shared courses""),"""")"),"")</f>
        <v/>
      </c>
      <c r="J303" s="357" t="str">
        <f>IFERROR(__xludf.DUMMYFUNCTION("if(H303=""Can't be Together"",iferror(join("", "",unique(filter({filter('Students (Vertical)'!O:O,'Students (Vertical)'!C:C=B303,'Students (Vertical)'!O:O&lt;&gt;"""",'Students (Vertical)'!P:P&gt;1);filter('Students (Vertical)'!O:O,'Students (Vertical)'!C:C=E303,'"&amp;"Students (Vertical)'!O:O&lt;&gt;"""",'Students (Vertical)'!P:P&gt;1)},countifs({filter('Students (Vertical)'!O:O,'Students (Vertical)'!C:C=B303,'Students (Vertical)'!O:O&lt;&gt;"""",'Students (Vertical)'!P:P&gt;1);filter('Students (Vertical)'!O:O,'Students (Vertical)'!C:C="&amp;"E303,'Students (Vertical)'!O:O&lt;&gt;"""",'Students (Vertical)'!P:P&gt;1)},{filter('Students (Vertical)'!O:O,'Students (Vertical)'!C:C=B303,'Students (Vertical)'!O:O&lt;&gt;"""",'Students (Vertical)'!P:P&gt;1);filter('Students (Vertical)'!O:O,'Students (Vertical)'!C:C=E30"&amp;"3,'Students (Vertical)'!O:O&lt;&gt;"""",'Students (Vertical)'!P:P&gt;1)})&gt;1))),""""),"""")"),"")</f>
        <v/>
      </c>
      <c r="K303" s="358"/>
    </row>
    <row r="304">
      <c r="A304" s="300" t="s">
        <v>22</v>
      </c>
      <c r="C304" s="300" t="s">
        <v>22</v>
      </c>
      <c r="D304" s="300" t="s">
        <v>22</v>
      </c>
      <c r="F304" s="300" t="s">
        <v>22</v>
      </c>
      <c r="G304" s="300" t="s">
        <v>22</v>
      </c>
      <c r="I304" s="356" t="str">
        <f>IFERROR(__xludf.DUMMYFUNCTION("if(H304=""Must be Together"",iferror(join("", "",unique(filter({filter('Students (Vertical)'!O:O,'Students (Vertical)'!C:C=B304,'Students (Vertical)'!O:O&lt;&gt;"""");filter('Students (Vertical)'!O:O,'Students (Vertical)'!C:C=E304,'Students (Vertical)'!O:O&lt;&gt;"""&amp;""")},countifs({filter('Students (Vertical)'!O:O,'Students (Vertical)'!C:C=B304,'Students (Vertical)'!O:O&lt;&gt;"""");filter('Students (Vertical)'!O:O,'Students (Vertical)'!C:C=E304,'Students (Vertical)'!O:O&lt;&gt;"""")},{filter('Students (Vertical)'!O:O,'Students ("&amp;"Vertical)'!C:C=B304,'Students (Vertical)'!O:O&lt;&gt;"""");filter('Students (Vertical)'!O:O,'Students (Vertical)'!C:C=E304,'Students (Vertical)'!O:O&lt;&gt;"""")})&gt;1))),""No shared courses""),"""")"),"")</f>
        <v/>
      </c>
      <c r="J304" s="357" t="str">
        <f>IFERROR(__xludf.DUMMYFUNCTION("if(H304=""Can't be Together"",iferror(join("", "",unique(filter({filter('Students (Vertical)'!O:O,'Students (Vertical)'!C:C=B304,'Students (Vertical)'!O:O&lt;&gt;"""",'Students (Vertical)'!P:P&gt;1);filter('Students (Vertical)'!O:O,'Students (Vertical)'!C:C=E304,'"&amp;"Students (Vertical)'!O:O&lt;&gt;"""",'Students (Vertical)'!P:P&gt;1)},countifs({filter('Students (Vertical)'!O:O,'Students (Vertical)'!C:C=B304,'Students (Vertical)'!O:O&lt;&gt;"""",'Students (Vertical)'!P:P&gt;1);filter('Students (Vertical)'!O:O,'Students (Vertical)'!C:C="&amp;"E304,'Students (Vertical)'!O:O&lt;&gt;"""",'Students (Vertical)'!P:P&gt;1)},{filter('Students (Vertical)'!O:O,'Students (Vertical)'!C:C=B304,'Students (Vertical)'!O:O&lt;&gt;"""",'Students (Vertical)'!P:P&gt;1);filter('Students (Vertical)'!O:O,'Students (Vertical)'!C:C=E30"&amp;"4,'Students (Vertical)'!O:O&lt;&gt;"""",'Students (Vertical)'!P:P&gt;1)})&gt;1))),""""),"""")"),"")</f>
        <v/>
      </c>
      <c r="K304" s="358"/>
    </row>
    <row r="305">
      <c r="A305" s="300" t="s">
        <v>22</v>
      </c>
      <c r="C305" s="300" t="s">
        <v>22</v>
      </c>
      <c r="D305" s="300" t="s">
        <v>22</v>
      </c>
      <c r="F305" s="300" t="s">
        <v>22</v>
      </c>
      <c r="G305" s="300" t="s">
        <v>22</v>
      </c>
      <c r="I305" s="356" t="str">
        <f>IFERROR(__xludf.DUMMYFUNCTION("if(H305=""Must be Together"",iferror(join("", "",unique(filter({filter('Students (Vertical)'!O:O,'Students (Vertical)'!C:C=B305,'Students (Vertical)'!O:O&lt;&gt;"""");filter('Students (Vertical)'!O:O,'Students (Vertical)'!C:C=E305,'Students (Vertical)'!O:O&lt;&gt;"""&amp;""")},countifs({filter('Students (Vertical)'!O:O,'Students (Vertical)'!C:C=B305,'Students (Vertical)'!O:O&lt;&gt;"""");filter('Students (Vertical)'!O:O,'Students (Vertical)'!C:C=E305,'Students (Vertical)'!O:O&lt;&gt;"""")},{filter('Students (Vertical)'!O:O,'Students ("&amp;"Vertical)'!C:C=B305,'Students (Vertical)'!O:O&lt;&gt;"""");filter('Students (Vertical)'!O:O,'Students (Vertical)'!C:C=E305,'Students (Vertical)'!O:O&lt;&gt;"""")})&gt;1))),""No shared courses""),"""")"),"")</f>
        <v/>
      </c>
      <c r="J305" s="357" t="str">
        <f>IFERROR(__xludf.DUMMYFUNCTION("if(H305=""Can't be Together"",iferror(join("", "",unique(filter({filter('Students (Vertical)'!O:O,'Students (Vertical)'!C:C=B305,'Students (Vertical)'!O:O&lt;&gt;"""",'Students (Vertical)'!P:P&gt;1);filter('Students (Vertical)'!O:O,'Students (Vertical)'!C:C=E305,'"&amp;"Students (Vertical)'!O:O&lt;&gt;"""",'Students (Vertical)'!P:P&gt;1)},countifs({filter('Students (Vertical)'!O:O,'Students (Vertical)'!C:C=B305,'Students (Vertical)'!O:O&lt;&gt;"""",'Students (Vertical)'!P:P&gt;1);filter('Students (Vertical)'!O:O,'Students (Vertical)'!C:C="&amp;"E305,'Students (Vertical)'!O:O&lt;&gt;"""",'Students (Vertical)'!P:P&gt;1)},{filter('Students (Vertical)'!O:O,'Students (Vertical)'!C:C=B305,'Students (Vertical)'!O:O&lt;&gt;"""",'Students (Vertical)'!P:P&gt;1);filter('Students (Vertical)'!O:O,'Students (Vertical)'!C:C=E30"&amp;"5,'Students (Vertical)'!O:O&lt;&gt;"""",'Students (Vertical)'!P:P&gt;1)})&gt;1))),""""),"""")"),"")</f>
        <v/>
      </c>
      <c r="K305" s="358"/>
    </row>
    <row r="306">
      <c r="A306" s="300" t="s">
        <v>22</v>
      </c>
      <c r="C306" s="300" t="s">
        <v>22</v>
      </c>
      <c r="D306" s="300" t="s">
        <v>22</v>
      </c>
      <c r="F306" s="300" t="s">
        <v>22</v>
      </c>
      <c r="G306" s="300" t="s">
        <v>22</v>
      </c>
      <c r="I306" s="356" t="str">
        <f>IFERROR(__xludf.DUMMYFUNCTION("if(H306=""Must be Together"",iferror(join("", "",unique(filter({filter('Students (Vertical)'!O:O,'Students (Vertical)'!C:C=B306,'Students (Vertical)'!O:O&lt;&gt;"""");filter('Students (Vertical)'!O:O,'Students (Vertical)'!C:C=E306,'Students (Vertical)'!O:O&lt;&gt;"""&amp;""")},countifs({filter('Students (Vertical)'!O:O,'Students (Vertical)'!C:C=B306,'Students (Vertical)'!O:O&lt;&gt;"""");filter('Students (Vertical)'!O:O,'Students (Vertical)'!C:C=E306,'Students (Vertical)'!O:O&lt;&gt;"""")},{filter('Students (Vertical)'!O:O,'Students ("&amp;"Vertical)'!C:C=B306,'Students (Vertical)'!O:O&lt;&gt;"""");filter('Students (Vertical)'!O:O,'Students (Vertical)'!C:C=E306,'Students (Vertical)'!O:O&lt;&gt;"""")})&gt;1))),""No shared courses""),"""")"),"")</f>
        <v/>
      </c>
      <c r="J306" s="357" t="str">
        <f>IFERROR(__xludf.DUMMYFUNCTION("if(H306=""Can't be Together"",iferror(join("", "",unique(filter({filter('Students (Vertical)'!O:O,'Students (Vertical)'!C:C=B306,'Students (Vertical)'!O:O&lt;&gt;"""",'Students (Vertical)'!P:P&gt;1);filter('Students (Vertical)'!O:O,'Students (Vertical)'!C:C=E306,'"&amp;"Students (Vertical)'!O:O&lt;&gt;"""",'Students (Vertical)'!P:P&gt;1)},countifs({filter('Students (Vertical)'!O:O,'Students (Vertical)'!C:C=B306,'Students (Vertical)'!O:O&lt;&gt;"""",'Students (Vertical)'!P:P&gt;1);filter('Students (Vertical)'!O:O,'Students (Vertical)'!C:C="&amp;"E306,'Students (Vertical)'!O:O&lt;&gt;"""",'Students (Vertical)'!P:P&gt;1)},{filter('Students (Vertical)'!O:O,'Students (Vertical)'!C:C=B306,'Students (Vertical)'!O:O&lt;&gt;"""",'Students (Vertical)'!P:P&gt;1);filter('Students (Vertical)'!O:O,'Students (Vertical)'!C:C=E30"&amp;"6,'Students (Vertical)'!O:O&lt;&gt;"""",'Students (Vertical)'!P:P&gt;1)})&gt;1))),""""),"""")"),"")</f>
        <v/>
      </c>
      <c r="K306" s="358"/>
    </row>
    <row r="307">
      <c r="A307" s="300" t="s">
        <v>22</v>
      </c>
      <c r="C307" s="300" t="s">
        <v>22</v>
      </c>
      <c r="D307" s="300" t="s">
        <v>22</v>
      </c>
      <c r="F307" s="300" t="s">
        <v>22</v>
      </c>
      <c r="G307" s="300" t="s">
        <v>22</v>
      </c>
      <c r="I307" s="356" t="str">
        <f>IFERROR(__xludf.DUMMYFUNCTION("if(H307=""Must be Together"",iferror(join("", "",unique(filter({filter('Students (Vertical)'!O:O,'Students (Vertical)'!C:C=B307,'Students (Vertical)'!O:O&lt;&gt;"""");filter('Students (Vertical)'!O:O,'Students (Vertical)'!C:C=E307,'Students (Vertical)'!O:O&lt;&gt;"""&amp;""")},countifs({filter('Students (Vertical)'!O:O,'Students (Vertical)'!C:C=B307,'Students (Vertical)'!O:O&lt;&gt;"""");filter('Students (Vertical)'!O:O,'Students (Vertical)'!C:C=E307,'Students (Vertical)'!O:O&lt;&gt;"""")},{filter('Students (Vertical)'!O:O,'Students ("&amp;"Vertical)'!C:C=B307,'Students (Vertical)'!O:O&lt;&gt;"""");filter('Students (Vertical)'!O:O,'Students (Vertical)'!C:C=E307,'Students (Vertical)'!O:O&lt;&gt;"""")})&gt;1))),""No shared courses""),"""")"),"")</f>
        <v/>
      </c>
      <c r="J307" s="357" t="str">
        <f>IFERROR(__xludf.DUMMYFUNCTION("if(H307=""Can't be Together"",iferror(join("", "",unique(filter({filter('Students (Vertical)'!O:O,'Students (Vertical)'!C:C=B307,'Students (Vertical)'!O:O&lt;&gt;"""",'Students (Vertical)'!P:P&gt;1);filter('Students (Vertical)'!O:O,'Students (Vertical)'!C:C=E307,'"&amp;"Students (Vertical)'!O:O&lt;&gt;"""",'Students (Vertical)'!P:P&gt;1)},countifs({filter('Students (Vertical)'!O:O,'Students (Vertical)'!C:C=B307,'Students (Vertical)'!O:O&lt;&gt;"""",'Students (Vertical)'!P:P&gt;1);filter('Students (Vertical)'!O:O,'Students (Vertical)'!C:C="&amp;"E307,'Students (Vertical)'!O:O&lt;&gt;"""",'Students (Vertical)'!P:P&gt;1)},{filter('Students (Vertical)'!O:O,'Students (Vertical)'!C:C=B307,'Students (Vertical)'!O:O&lt;&gt;"""",'Students (Vertical)'!P:P&gt;1);filter('Students (Vertical)'!O:O,'Students (Vertical)'!C:C=E30"&amp;"7,'Students (Vertical)'!O:O&lt;&gt;"""",'Students (Vertical)'!P:P&gt;1)})&gt;1))),""""),"""")"),"")</f>
        <v/>
      </c>
      <c r="K307" s="358"/>
    </row>
    <row r="308">
      <c r="A308" s="300" t="s">
        <v>22</v>
      </c>
      <c r="C308" s="300" t="s">
        <v>22</v>
      </c>
      <c r="D308" s="300" t="s">
        <v>22</v>
      </c>
      <c r="F308" s="300" t="s">
        <v>22</v>
      </c>
      <c r="G308" s="300" t="s">
        <v>22</v>
      </c>
      <c r="I308" s="356" t="str">
        <f>IFERROR(__xludf.DUMMYFUNCTION("if(H308=""Must be Together"",iferror(join("", "",unique(filter({filter('Students (Vertical)'!O:O,'Students (Vertical)'!C:C=B308,'Students (Vertical)'!O:O&lt;&gt;"""");filter('Students (Vertical)'!O:O,'Students (Vertical)'!C:C=E308,'Students (Vertical)'!O:O&lt;&gt;"""&amp;""")},countifs({filter('Students (Vertical)'!O:O,'Students (Vertical)'!C:C=B308,'Students (Vertical)'!O:O&lt;&gt;"""");filter('Students (Vertical)'!O:O,'Students (Vertical)'!C:C=E308,'Students (Vertical)'!O:O&lt;&gt;"""")},{filter('Students (Vertical)'!O:O,'Students ("&amp;"Vertical)'!C:C=B308,'Students (Vertical)'!O:O&lt;&gt;"""");filter('Students (Vertical)'!O:O,'Students (Vertical)'!C:C=E308,'Students (Vertical)'!O:O&lt;&gt;"""")})&gt;1))),""No shared courses""),"""")"),"")</f>
        <v/>
      </c>
      <c r="J308" s="357" t="str">
        <f>IFERROR(__xludf.DUMMYFUNCTION("if(H308=""Can't be Together"",iferror(join("", "",unique(filter({filter('Students (Vertical)'!O:O,'Students (Vertical)'!C:C=B308,'Students (Vertical)'!O:O&lt;&gt;"""",'Students (Vertical)'!P:P&gt;1);filter('Students (Vertical)'!O:O,'Students (Vertical)'!C:C=E308,'"&amp;"Students (Vertical)'!O:O&lt;&gt;"""",'Students (Vertical)'!P:P&gt;1)},countifs({filter('Students (Vertical)'!O:O,'Students (Vertical)'!C:C=B308,'Students (Vertical)'!O:O&lt;&gt;"""",'Students (Vertical)'!P:P&gt;1);filter('Students (Vertical)'!O:O,'Students (Vertical)'!C:C="&amp;"E308,'Students (Vertical)'!O:O&lt;&gt;"""",'Students (Vertical)'!P:P&gt;1)},{filter('Students (Vertical)'!O:O,'Students (Vertical)'!C:C=B308,'Students (Vertical)'!O:O&lt;&gt;"""",'Students (Vertical)'!P:P&gt;1);filter('Students (Vertical)'!O:O,'Students (Vertical)'!C:C=E30"&amp;"8,'Students (Vertical)'!O:O&lt;&gt;"""",'Students (Vertical)'!P:P&gt;1)})&gt;1))),""""),"""")"),"")</f>
        <v/>
      </c>
      <c r="K308" s="358"/>
    </row>
    <row r="309">
      <c r="A309" s="300" t="s">
        <v>22</v>
      </c>
      <c r="C309" s="300" t="s">
        <v>22</v>
      </c>
      <c r="D309" s="300" t="s">
        <v>22</v>
      </c>
      <c r="F309" s="300" t="s">
        <v>22</v>
      </c>
      <c r="G309" s="300" t="s">
        <v>22</v>
      </c>
      <c r="I309" s="356" t="str">
        <f>IFERROR(__xludf.DUMMYFUNCTION("if(H309=""Must be Together"",iferror(join("", "",unique(filter({filter('Students (Vertical)'!O:O,'Students (Vertical)'!C:C=B309,'Students (Vertical)'!O:O&lt;&gt;"""");filter('Students (Vertical)'!O:O,'Students (Vertical)'!C:C=E309,'Students (Vertical)'!O:O&lt;&gt;"""&amp;""")},countifs({filter('Students (Vertical)'!O:O,'Students (Vertical)'!C:C=B309,'Students (Vertical)'!O:O&lt;&gt;"""");filter('Students (Vertical)'!O:O,'Students (Vertical)'!C:C=E309,'Students (Vertical)'!O:O&lt;&gt;"""")},{filter('Students (Vertical)'!O:O,'Students ("&amp;"Vertical)'!C:C=B309,'Students (Vertical)'!O:O&lt;&gt;"""");filter('Students (Vertical)'!O:O,'Students (Vertical)'!C:C=E309,'Students (Vertical)'!O:O&lt;&gt;"""")})&gt;1))),""No shared courses""),"""")"),"")</f>
        <v/>
      </c>
      <c r="J309" s="357" t="str">
        <f>IFERROR(__xludf.DUMMYFUNCTION("if(H309=""Can't be Together"",iferror(join("", "",unique(filter({filter('Students (Vertical)'!O:O,'Students (Vertical)'!C:C=B309,'Students (Vertical)'!O:O&lt;&gt;"""",'Students (Vertical)'!P:P&gt;1);filter('Students (Vertical)'!O:O,'Students (Vertical)'!C:C=E309,'"&amp;"Students (Vertical)'!O:O&lt;&gt;"""",'Students (Vertical)'!P:P&gt;1)},countifs({filter('Students (Vertical)'!O:O,'Students (Vertical)'!C:C=B309,'Students (Vertical)'!O:O&lt;&gt;"""",'Students (Vertical)'!P:P&gt;1);filter('Students (Vertical)'!O:O,'Students (Vertical)'!C:C="&amp;"E309,'Students (Vertical)'!O:O&lt;&gt;"""",'Students (Vertical)'!P:P&gt;1)},{filter('Students (Vertical)'!O:O,'Students (Vertical)'!C:C=B309,'Students (Vertical)'!O:O&lt;&gt;"""",'Students (Vertical)'!P:P&gt;1);filter('Students (Vertical)'!O:O,'Students (Vertical)'!C:C=E30"&amp;"9,'Students (Vertical)'!O:O&lt;&gt;"""",'Students (Vertical)'!P:P&gt;1)})&gt;1))),""""),"""")"),"")</f>
        <v/>
      </c>
      <c r="K309" s="358"/>
    </row>
    <row r="310">
      <c r="A310" s="300" t="s">
        <v>22</v>
      </c>
      <c r="C310" s="300" t="s">
        <v>22</v>
      </c>
      <c r="D310" s="300" t="s">
        <v>22</v>
      </c>
      <c r="F310" s="300" t="s">
        <v>22</v>
      </c>
      <c r="G310" s="300" t="s">
        <v>22</v>
      </c>
      <c r="I310" s="356" t="str">
        <f>IFERROR(__xludf.DUMMYFUNCTION("if(H310=""Must be Together"",iferror(join("", "",unique(filter({filter('Students (Vertical)'!O:O,'Students (Vertical)'!C:C=B310,'Students (Vertical)'!O:O&lt;&gt;"""");filter('Students (Vertical)'!O:O,'Students (Vertical)'!C:C=E310,'Students (Vertical)'!O:O&lt;&gt;"""&amp;""")},countifs({filter('Students (Vertical)'!O:O,'Students (Vertical)'!C:C=B310,'Students (Vertical)'!O:O&lt;&gt;"""");filter('Students (Vertical)'!O:O,'Students (Vertical)'!C:C=E310,'Students (Vertical)'!O:O&lt;&gt;"""")},{filter('Students (Vertical)'!O:O,'Students ("&amp;"Vertical)'!C:C=B310,'Students (Vertical)'!O:O&lt;&gt;"""");filter('Students (Vertical)'!O:O,'Students (Vertical)'!C:C=E310,'Students (Vertical)'!O:O&lt;&gt;"""")})&gt;1))),""No shared courses""),"""")"),"")</f>
        <v/>
      </c>
      <c r="J310" s="357" t="str">
        <f>IFERROR(__xludf.DUMMYFUNCTION("if(H310=""Can't be Together"",iferror(join("", "",unique(filter({filter('Students (Vertical)'!O:O,'Students (Vertical)'!C:C=B310,'Students (Vertical)'!O:O&lt;&gt;"""",'Students (Vertical)'!P:P&gt;1);filter('Students (Vertical)'!O:O,'Students (Vertical)'!C:C=E310,'"&amp;"Students (Vertical)'!O:O&lt;&gt;"""",'Students (Vertical)'!P:P&gt;1)},countifs({filter('Students (Vertical)'!O:O,'Students (Vertical)'!C:C=B310,'Students (Vertical)'!O:O&lt;&gt;"""",'Students (Vertical)'!P:P&gt;1);filter('Students (Vertical)'!O:O,'Students (Vertical)'!C:C="&amp;"E310,'Students (Vertical)'!O:O&lt;&gt;"""",'Students (Vertical)'!P:P&gt;1)},{filter('Students (Vertical)'!O:O,'Students (Vertical)'!C:C=B310,'Students (Vertical)'!O:O&lt;&gt;"""",'Students (Vertical)'!P:P&gt;1);filter('Students (Vertical)'!O:O,'Students (Vertical)'!C:C=E31"&amp;"0,'Students (Vertical)'!O:O&lt;&gt;"""",'Students (Vertical)'!P:P&gt;1)})&gt;1))),""""),"""")"),"")</f>
        <v/>
      </c>
      <c r="K310" s="358"/>
    </row>
    <row r="311">
      <c r="A311" s="300" t="s">
        <v>22</v>
      </c>
      <c r="C311" s="300" t="s">
        <v>22</v>
      </c>
      <c r="D311" s="300" t="s">
        <v>22</v>
      </c>
      <c r="F311" s="300" t="s">
        <v>22</v>
      </c>
      <c r="G311" s="300" t="s">
        <v>22</v>
      </c>
      <c r="I311" s="356" t="str">
        <f>IFERROR(__xludf.DUMMYFUNCTION("if(H311=""Must be Together"",iferror(join("", "",unique(filter({filter('Students (Vertical)'!O:O,'Students (Vertical)'!C:C=B311,'Students (Vertical)'!O:O&lt;&gt;"""");filter('Students (Vertical)'!O:O,'Students (Vertical)'!C:C=E311,'Students (Vertical)'!O:O&lt;&gt;"""&amp;""")},countifs({filter('Students (Vertical)'!O:O,'Students (Vertical)'!C:C=B311,'Students (Vertical)'!O:O&lt;&gt;"""");filter('Students (Vertical)'!O:O,'Students (Vertical)'!C:C=E311,'Students (Vertical)'!O:O&lt;&gt;"""")},{filter('Students (Vertical)'!O:O,'Students ("&amp;"Vertical)'!C:C=B311,'Students (Vertical)'!O:O&lt;&gt;"""");filter('Students (Vertical)'!O:O,'Students (Vertical)'!C:C=E311,'Students (Vertical)'!O:O&lt;&gt;"""")})&gt;1))),""No shared courses""),"""")"),"")</f>
        <v/>
      </c>
      <c r="J311" s="357" t="str">
        <f>IFERROR(__xludf.DUMMYFUNCTION("if(H311=""Can't be Together"",iferror(join("", "",unique(filter({filter('Students (Vertical)'!O:O,'Students (Vertical)'!C:C=B311,'Students (Vertical)'!O:O&lt;&gt;"""",'Students (Vertical)'!P:P&gt;1);filter('Students (Vertical)'!O:O,'Students (Vertical)'!C:C=E311,'"&amp;"Students (Vertical)'!O:O&lt;&gt;"""",'Students (Vertical)'!P:P&gt;1)},countifs({filter('Students (Vertical)'!O:O,'Students (Vertical)'!C:C=B311,'Students (Vertical)'!O:O&lt;&gt;"""",'Students (Vertical)'!P:P&gt;1);filter('Students (Vertical)'!O:O,'Students (Vertical)'!C:C="&amp;"E311,'Students (Vertical)'!O:O&lt;&gt;"""",'Students (Vertical)'!P:P&gt;1)},{filter('Students (Vertical)'!O:O,'Students (Vertical)'!C:C=B311,'Students (Vertical)'!O:O&lt;&gt;"""",'Students (Vertical)'!P:P&gt;1);filter('Students (Vertical)'!O:O,'Students (Vertical)'!C:C=E31"&amp;"1,'Students (Vertical)'!O:O&lt;&gt;"""",'Students (Vertical)'!P:P&gt;1)})&gt;1))),""""),"""")"),"")</f>
        <v/>
      </c>
      <c r="K311" s="358"/>
    </row>
    <row r="312">
      <c r="A312" s="300" t="s">
        <v>22</v>
      </c>
      <c r="C312" s="300" t="s">
        <v>22</v>
      </c>
      <c r="D312" s="300" t="s">
        <v>22</v>
      </c>
      <c r="F312" s="300" t="s">
        <v>22</v>
      </c>
      <c r="G312" s="300" t="s">
        <v>22</v>
      </c>
      <c r="I312" s="356" t="str">
        <f>IFERROR(__xludf.DUMMYFUNCTION("if(H312=""Must be Together"",iferror(join("", "",unique(filter({filter('Students (Vertical)'!O:O,'Students (Vertical)'!C:C=B312,'Students (Vertical)'!O:O&lt;&gt;"""");filter('Students (Vertical)'!O:O,'Students (Vertical)'!C:C=E312,'Students (Vertical)'!O:O&lt;&gt;"""&amp;""")},countifs({filter('Students (Vertical)'!O:O,'Students (Vertical)'!C:C=B312,'Students (Vertical)'!O:O&lt;&gt;"""");filter('Students (Vertical)'!O:O,'Students (Vertical)'!C:C=E312,'Students (Vertical)'!O:O&lt;&gt;"""")},{filter('Students (Vertical)'!O:O,'Students ("&amp;"Vertical)'!C:C=B312,'Students (Vertical)'!O:O&lt;&gt;"""");filter('Students (Vertical)'!O:O,'Students (Vertical)'!C:C=E312,'Students (Vertical)'!O:O&lt;&gt;"""")})&gt;1))),""No shared courses""),"""")"),"")</f>
        <v/>
      </c>
      <c r="J312" s="357" t="str">
        <f>IFERROR(__xludf.DUMMYFUNCTION("if(H312=""Can't be Together"",iferror(join("", "",unique(filter({filter('Students (Vertical)'!O:O,'Students (Vertical)'!C:C=B312,'Students (Vertical)'!O:O&lt;&gt;"""",'Students (Vertical)'!P:P&gt;1);filter('Students (Vertical)'!O:O,'Students (Vertical)'!C:C=E312,'"&amp;"Students (Vertical)'!O:O&lt;&gt;"""",'Students (Vertical)'!P:P&gt;1)},countifs({filter('Students (Vertical)'!O:O,'Students (Vertical)'!C:C=B312,'Students (Vertical)'!O:O&lt;&gt;"""",'Students (Vertical)'!P:P&gt;1);filter('Students (Vertical)'!O:O,'Students (Vertical)'!C:C="&amp;"E312,'Students (Vertical)'!O:O&lt;&gt;"""",'Students (Vertical)'!P:P&gt;1)},{filter('Students (Vertical)'!O:O,'Students (Vertical)'!C:C=B312,'Students (Vertical)'!O:O&lt;&gt;"""",'Students (Vertical)'!P:P&gt;1);filter('Students (Vertical)'!O:O,'Students (Vertical)'!C:C=E31"&amp;"2,'Students (Vertical)'!O:O&lt;&gt;"""",'Students (Vertical)'!P:P&gt;1)})&gt;1))),""""),"""")"),"")</f>
        <v/>
      </c>
      <c r="K312" s="358"/>
    </row>
    <row r="313">
      <c r="A313" s="300" t="s">
        <v>22</v>
      </c>
      <c r="C313" s="300" t="s">
        <v>22</v>
      </c>
      <c r="D313" s="300" t="s">
        <v>22</v>
      </c>
      <c r="F313" s="300" t="s">
        <v>22</v>
      </c>
      <c r="G313" s="300" t="s">
        <v>22</v>
      </c>
      <c r="I313" s="356" t="str">
        <f>IFERROR(__xludf.DUMMYFUNCTION("if(H313=""Must be Together"",iferror(join("", "",unique(filter({filter('Students (Vertical)'!O:O,'Students (Vertical)'!C:C=B313,'Students (Vertical)'!O:O&lt;&gt;"""");filter('Students (Vertical)'!O:O,'Students (Vertical)'!C:C=E313,'Students (Vertical)'!O:O&lt;&gt;"""&amp;""")},countifs({filter('Students (Vertical)'!O:O,'Students (Vertical)'!C:C=B313,'Students (Vertical)'!O:O&lt;&gt;"""");filter('Students (Vertical)'!O:O,'Students (Vertical)'!C:C=E313,'Students (Vertical)'!O:O&lt;&gt;"""")},{filter('Students (Vertical)'!O:O,'Students ("&amp;"Vertical)'!C:C=B313,'Students (Vertical)'!O:O&lt;&gt;"""");filter('Students (Vertical)'!O:O,'Students (Vertical)'!C:C=E313,'Students (Vertical)'!O:O&lt;&gt;"""")})&gt;1))),""No shared courses""),"""")"),"")</f>
        <v/>
      </c>
      <c r="J313" s="357" t="str">
        <f>IFERROR(__xludf.DUMMYFUNCTION("if(H313=""Can't be Together"",iferror(join("", "",unique(filter({filter('Students (Vertical)'!O:O,'Students (Vertical)'!C:C=B313,'Students (Vertical)'!O:O&lt;&gt;"""",'Students (Vertical)'!P:P&gt;1);filter('Students (Vertical)'!O:O,'Students (Vertical)'!C:C=E313,'"&amp;"Students (Vertical)'!O:O&lt;&gt;"""",'Students (Vertical)'!P:P&gt;1)},countifs({filter('Students (Vertical)'!O:O,'Students (Vertical)'!C:C=B313,'Students (Vertical)'!O:O&lt;&gt;"""",'Students (Vertical)'!P:P&gt;1);filter('Students (Vertical)'!O:O,'Students (Vertical)'!C:C="&amp;"E313,'Students (Vertical)'!O:O&lt;&gt;"""",'Students (Vertical)'!P:P&gt;1)},{filter('Students (Vertical)'!O:O,'Students (Vertical)'!C:C=B313,'Students (Vertical)'!O:O&lt;&gt;"""",'Students (Vertical)'!P:P&gt;1);filter('Students (Vertical)'!O:O,'Students (Vertical)'!C:C=E31"&amp;"3,'Students (Vertical)'!O:O&lt;&gt;"""",'Students (Vertical)'!P:P&gt;1)})&gt;1))),""""),"""")"),"")</f>
        <v/>
      </c>
      <c r="K313" s="358"/>
    </row>
    <row r="314">
      <c r="A314" s="300" t="s">
        <v>22</v>
      </c>
      <c r="C314" s="300" t="s">
        <v>22</v>
      </c>
      <c r="D314" s="300" t="s">
        <v>22</v>
      </c>
      <c r="F314" s="300" t="s">
        <v>22</v>
      </c>
      <c r="G314" s="300" t="s">
        <v>22</v>
      </c>
      <c r="I314" s="356" t="str">
        <f>IFERROR(__xludf.DUMMYFUNCTION("if(H314=""Must be Together"",iferror(join("", "",unique(filter({filter('Students (Vertical)'!O:O,'Students (Vertical)'!C:C=B314,'Students (Vertical)'!O:O&lt;&gt;"""");filter('Students (Vertical)'!O:O,'Students (Vertical)'!C:C=E314,'Students (Vertical)'!O:O&lt;&gt;"""&amp;""")},countifs({filter('Students (Vertical)'!O:O,'Students (Vertical)'!C:C=B314,'Students (Vertical)'!O:O&lt;&gt;"""");filter('Students (Vertical)'!O:O,'Students (Vertical)'!C:C=E314,'Students (Vertical)'!O:O&lt;&gt;"""")},{filter('Students (Vertical)'!O:O,'Students ("&amp;"Vertical)'!C:C=B314,'Students (Vertical)'!O:O&lt;&gt;"""");filter('Students (Vertical)'!O:O,'Students (Vertical)'!C:C=E314,'Students (Vertical)'!O:O&lt;&gt;"""")})&gt;1))),""No shared courses""),"""")"),"")</f>
        <v/>
      </c>
      <c r="J314" s="357" t="str">
        <f>IFERROR(__xludf.DUMMYFUNCTION("if(H314=""Can't be Together"",iferror(join("", "",unique(filter({filter('Students (Vertical)'!O:O,'Students (Vertical)'!C:C=B314,'Students (Vertical)'!O:O&lt;&gt;"""",'Students (Vertical)'!P:P&gt;1);filter('Students (Vertical)'!O:O,'Students (Vertical)'!C:C=E314,'"&amp;"Students (Vertical)'!O:O&lt;&gt;"""",'Students (Vertical)'!P:P&gt;1)},countifs({filter('Students (Vertical)'!O:O,'Students (Vertical)'!C:C=B314,'Students (Vertical)'!O:O&lt;&gt;"""",'Students (Vertical)'!P:P&gt;1);filter('Students (Vertical)'!O:O,'Students (Vertical)'!C:C="&amp;"E314,'Students (Vertical)'!O:O&lt;&gt;"""",'Students (Vertical)'!P:P&gt;1)},{filter('Students (Vertical)'!O:O,'Students (Vertical)'!C:C=B314,'Students (Vertical)'!O:O&lt;&gt;"""",'Students (Vertical)'!P:P&gt;1);filter('Students (Vertical)'!O:O,'Students (Vertical)'!C:C=E31"&amp;"4,'Students (Vertical)'!O:O&lt;&gt;"""",'Students (Vertical)'!P:P&gt;1)})&gt;1))),""""),"""")"),"")</f>
        <v/>
      </c>
      <c r="K314" s="358"/>
    </row>
    <row r="315">
      <c r="A315" s="300" t="s">
        <v>22</v>
      </c>
      <c r="C315" s="300" t="s">
        <v>22</v>
      </c>
      <c r="D315" s="300" t="s">
        <v>22</v>
      </c>
      <c r="F315" s="300" t="s">
        <v>22</v>
      </c>
      <c r="G315" s="300" t="s">
        <v>22</v>
      </c>
      <c r="I315" s="356" t="str">
        <f>IFERROR(__xludf.DUMMYFUNCTION("if(H315=""Must be Together"",iferror(join("", "",unique(filter({filter('Students (Vertical)'!O:O,'Students (Vertical)'!C:C=B315,'Students (Vertical)'!O:O&lt;&gt;"""");filter('Students (Vertical)'!O:O,'Students (Vertical)'!C:C=E315,'Students (Vertical)'!O:O&lt;&gt;"""&amp;""")},countifs({filter('Students (Vertical)'!O:O,'Students (Vertical)'!C:C=B315,'Students (Vertical)'!O:O&lt;&gt;"""");filter('Students (Vertical)'!O:O,'Students (Vertical)'!C:C=E315,'Students (Vertical)'!O:O&lt;&gt;"""")},{filter('Students (Vertical)'!O:O,'Students ("&amp;"Vertical)'!C:C=B315,'Students (Vertical)'!O:O&lt;&gt;"""");filter('Students (Vertical)'!O:O,'Students (Vertical)'!C:C=E315,'Students (Vertical)'!O:O&lt;&gt;"""")})&gt;1))),""No shared courses""),"""")"),"")</f>
        <v/>
      </c>
      <c r="J315" s="357" t="str">
        <f>IFERROR(__xludf.DUMMYFUNCTION("if(H315=""Can't be Together"",iferror(join("", "",unique(filter({filter('Students (Vertical)'!O:O,'Students (Vertical)'!C:C=B315,'Students (Vertical)'!O:O&lt;&gt;"""",'Students (Vertical)'!P:P&gt;1);filter('Students (Vertical)'!O:O,'Students (Vertical)'!C:C=E315,'"&amp;"Students (Vertical)'!O:O&lt;&gt;"""",'Students (Vertical)'!P:P&gt;1)},countifs({filter('Students (Vertical)'!O:O,'Students (Vertical)'!C:C=B315,'Students (Vertical)'!O:O&lt;&gt;"""",'Students (Vertical)'!P:P&gt;1);filter('Students (Vertical)'!O:O,'Students (Vertical)'!C:C="&amp;"E315,'Students (Vertical)'!O:O&lt;&gt;"""",'Students (Vertical)'!P:P&gt;1)},{filter('Students (Vertical)'!O:O,'Students (Vertical)'!C:C=B315,'Students (Vertical)'!O:O&lt;&gt;"""",'Students (Vertical)'!P:P&gt;1);filter('Students (Vertical)'!O:O,'Students (Vertical)'!C:C=E31"&amp;"5,'Students (Vertical)'!O:O&lt;&gt;"""",'Students (Vertical)'!P:P&gt;1)})&gt;1))),""""),"""")"),"")</f>
        <v/>
      </c>
      <c r="K315" s="358"/>
    </row>
    <row r="316">
      <c r="A316" s="300" t="s">
        <v>22</v>
      </c>
      <c r="C316" s="300" t="s">
        <v>22</v>
      </c>
      <c r="D316" s="300" t="s">
        <v>22</v>
      </c>
      <c r="F316" s="300" t="s">
        <v>22</v>
      </c>
      <c r="G316" s="300" t="s">
        <v>22</v>
      </c>
      <c r="I316" s="356" t="str">
        <f>IFERROR(__xludf.DUMMYFUNCTION("if(H316=""Must be Together"",iferror(join("", "",unique(filter({filter('Students (Vertical)'!O:O,'Students (Vertical)'!C:C=B316,'Students (Vertical)'!O:O&lt;&gt;"""");filter('Students (Vertical)'!O:O,'Students (Vertical)'!C:C=E316,'Students (Vertical)'!O:O&lt;&gt;"""&amp;""")},countifs({filter('Students (Vertical)'!O:O,'Students (Vertical)'!C:C=B316,'Students (Vertical)'!O:O&lt;&gt;"""");filter('Students (Vertical)'!O:O,'Students (Vertical)'!C:C=E316,'Students (Vertical)'!O:O&lt;&gt;"""")},{filter('Students (Vertical)'!O:O,'Students ("&amp;"Vertical)'!C:C=B316,'Students (Vertical)'!O:O&lt;&gt;"""");filter('Students (Vertical)'!O:O,'Students (Vertical)'!C:C=E316,'Students (Vertical)'!O:O&lt;&gt;"""")})&gt;1))),""No shared courses""),"""")"),"")</f>
        <v/>
      </c>
      <c r="J316" s="357" t="str">
        <f>IFERROR(__xludf.DUMMYFUNCTION("if(H316=""Can't be Together"",iferror(join("", "",unique(filter({filter('Students (Vertical)'!O:O,'Students (Vertical)'!C:C=B316,'Students (Vertical)'!O:O&lt;&gt;"""",'Students (Vertical)'!P:P&gt;1);filter('Students (Vertical)'!O:O,'Students (Vertical)'!C:C=E316,'"&amp;"Students (Vertical)'!O:O&lt;&gt;"""",'Students (Vertical)'!P:P&gt;1)},countifs({filter('Students (Vertical)'!O:O,'Students (Vertical)'!C:C=B316,'Students (Vertical)'!O:O&lt;&gt;"""",'Students (Vertical)'!P:P&gt;1);filter('Students (Vertical)'!O:O,'Students (Vertical)'!C:C="&amp;"E316,'Students (Vertical)'!O:O&lt;&gt;"""",'Students (Vertical)'!P:P&gt;1)},{filter('Students (Vertical)'!O:O,'Students (Vertical)'!C:C=B316,'Students (Vertical)'!O:O&lt;&gt;"""",'Students (Vertical)'!P:P&gt;1);filter('Students (Vertical)'!O:O,'Students (Vertical)'!C:C=E31"&amp;"6,'Students (Vertical)'!O:O&lt;&gt;"""",'Students (Vertical)'!P:P&gt;1)})&gt;1))),""""),"""")"),"")</f>
        <v/>
      </c>
      <c r="K316" s="358"/>
    </row>
    <row r="317">
      <c r="A317" s="300" t="s">
        <v>22</v>
      </c>
      <c r="C317" s="300" t="s">
        <v>22</v>
      </c>
      <c r="D317" s="300" t="s">
        <v>22</v>
      </c>
      <c r="F317" s="300" t="s">
        <v>22</v>
      </c>
      <c r="G317" s="300" t="s">
        <v>22</v>
      </c>
      <c r="I317" s="356" t="str">
        <f>IFERROR(__xludf.DUMMYFUNCTION("if(H317=""Must be Together"",iferror(join("", "",unique(filter({filter('Students (Vertical)'!O:O,'Students (Vertical)'!C:C=B317,'Students (Vertical)'!O:O&lt;&gt;"""");filter('Students (Vertical)'!O:O,'Students (Vertical)'!C:C=E317,'Students (Vertical)'!O:O&lt;&gt;"""&amp;""")},countifs({filter('Students (Vertical)'!O:O,'Students (Vertical)'!C:C=B317,'Students (Vertical)'!O:O&lt;&gt;"""");filter('Students (Vertical)'!O:O,'Students (Vertical)'!C:C=E317,'Students (Vertical)'!O:O&lt;&gt;"""")},{filter('Students (Vertical)'!O:O,'Students ("&amp;"Vertical)'!C:C=B317,'Students (Vertical)'!O:O&lt;&gt;"""");filter('Students (Vertical)'!O:O,'Students (Vertical)'!C:C=E317,'Students (Vertical)'!O:O&lt;&gt;"""")})&gt;1))),""No shared courses""),"""")"),"")</f>
        <v/>
      </c>
      <c r="J317" s="357" t="str">
        <f>IFERROR(__xludf.DUMMYFUNCTION("if(H317=""Can't be Together"",iferror(join("", "",unique(filter({filter('Students (Vertical)'!O:O,'Students (Vertical)'!C:C=B317,'Students (Vertical)'!O:O&lt;&gt;"""",'Students (Vertical)'!P:P&gt;1);filter('Students (Vertical)'!O:O,'Students (Vertical)'!C:C=E317,'"&amp;"Students (Vertical)'!O:O&lt;&gt;"""",'Students (Vertical)'!P:P&gt;1)},countifs({filter('Students (Vertical)'!O:O,'Students (Vertical)'!C:C=B317,'Students (Vertical)'!O:O&lt;&gt;"""",'Students (Vertical)'!P:P&gt;1);filter('Students (Vertical)'!O:O,'Students (Vertical)'!C:C="&amp;"E317,'Students (Vertical)'!O:O&lt;&gt;"""",'Students (Vertical)'!P:P&gt;1)},{filter('Students (Vertical)'!O:O,'Students (Vertical)'!C:C=B317,'Students (Vertical)'!O:O&lt;&gt;"""",'Students (Vertical)'!P:P&gt;1);filter('Students (Vertical)'!O:O,'Students (Vertical)'!C:C=E31"&amp;"7,'Students (Vertical)'!O:O&lt;&gt;"""",'Students (Vertical)'!P:P&gt;1)})&gt;1))),""""),"""")"),"")</f>
        <v/>
      </c>
      <c r="K317" s="358"/>
    </row>
    <row r="318">
      <c r="A318" s="300" t="s">
        <v>22</v>
      </c>
      <c r="C318" s="300" t="s">
        <v>22</v>
      </c>
      <c r="D318" s="300" t="s">
        <v>22</v>
      </c>
      <c r="F318" s="300" t="s">
        <v>22</v>
      </c>
      <c r="G318" s="300" t="s">
        <v>22</v>
      </c>
      <c r="I318" s="356" t="str">
        <f>IFERROR(__xludf.DUMMYFUNCTION("if(H318=""Must be Together"",iferror(join("", "",unique(filter({filter('Students (Vertical)'!O:O,'Students (Vertical)'!C:C=B318,'Students (Vertical)'!O:O&lt;&gt;"""");filter('Students (Vertical)'!O:O,'Students (Vertical)'!C:C=E318,'Students (Vertical)'!O:O&lt;&gt;"""&amp;""")},countifs({filter('Students (Vertical)'!O:O,'Students (Vertical)'!C:C=B318,'Students (Vertical)'!O:O&lt;&gt;"""");filter('Students (Vertical)'!O:O,'Students (Vertical)'!C:C=E318,'Students (Vertical)'!O:O&lt;&gt;"""")},{filter('Students (Vertical)'!O:O,'Students ("&amp;"Vertical)'!C:C=B318,'Students (Vertical)'!O:O&lt;&gt;"""");filter('Students (Vertical)'!O:O,'Students (Vertical)'!C:C=E318,'Students (Vertical)'!O:O&lt;&gt;"""")})&gt;1))),""No shared courses""),"""")"),"")</f>
        <v/>
      </c>
      <c r="J318" s="357" t="str">
        <f>IFERROR(__xludf.DUMMYFUNCTION("if(H318=""Can't be Together"",iferror(join("", "",unique(filter({filter('Students (Vertical)'!O:O,'Students (Vertical)'!C:C=B318,'Students (Vertical)'!O:O&lt;&gt;"""",'Students (Vertical)'!P:P&gt;1);filter('Students (Vertical)'!O:O,'Students (Vertical)'!C:C=E318,'"&amp;"Students (Vertical)'!O:O&lt;&gt;"""",'Students (Vertical)'!P:P&gt;1)},countifs({filter('Students (Vertical)'!O:O,'Students (Vertical)'!C:C=B318,'Students (Vertical)'!O:O&lt;&gt;"""",'Students (Vertical)'!P:P&gt;1);filter('Students (Vertical)'!O:O,'Students (Vertical)'!C:C="&amp;"E318,'Students (Vertical)'!O:O&lt;&gt;"""",'Students (Vertical)'!P:P&gt;1)},{filter('Students (Vertical)'!O:O,'Students (Vertical)'!C:C=B318,'Students (Vertical)'!O:O&lt;&gt;"""",'Students (Vertical)'!P:P&gt;1);filter('Students (Vertical)'!O:O,'Students (Vertical)'!C:C=E31"&amp;"8,'Students (Vertical)'!O:O&lt;&gt;"""",'Students (Vertical)'!P:P&gt;1)})&gt;1))),""""),"""")"),"")</f>
        <v/>
      </c>
      <c r="K318" s="358"/>
    </row>
    <row r="319">
      <c r="A319" s="300" t="s">
        <v>22</v>
      </c>
      <c r="C319" s="300" t="s">
        <v>22</v>
      </c>
      <c r="D319" s="300" t="s">
        <v>22</v>
      </c>
      <c r="F319" s="300" t="s">
        <v>22</v>
      </c>
      <c r="G319" s="300" t="s">
        <v>22</v>
      </c>
      <c r="I319" s="356" t="str">
        <f>IFERROR(__xludf.DUMMYFUNCTION("if(H319=""Must be Together"",iferror(join("", "",unique(filter({filter('Students (Vertical)'!O:O,'Students (Vertical)'!C:C=B319,'Students (Vertical)'!O:O&lt;&gt;"""");filter('Students (Vertical)'!O:O,'Students (Vertical)'!C:C=E319,'Students (Vertical)'!O:O&lt;&gt;"""&amp;""")},countifs({filter('Students (Vertical)'!O:O,'Students (Vertical)'!C:C=B319,'Students (Vertical)'!O:O&lt;&gt;"""");filter('Students (Vertical)'!O:O,'Students (Vertical)'!C:C=E319,'Students (Vertical)'!O:O&lt;&gt;"""")},{filter('Students (Vertical)'!O:O,'Students ("&amp;"Vertical)'!C:C=B319,'Students (Vertical)'!O:O&lt;&gt;"""");filter('Students (Vertical)'!O:O,'Students (Vertical)'!C:C=E319,'Students (Vertical)'!O:O&lt;&gt;"""")})&gt;1))),""No shared courses""),"""")"),"")</f>
        <v/>
      </c>
      <c r="J319" s="357" t="str">
        <f>IFERROR(__xludf.DUMMYFUNCTION("if(H319=""Can't be Together"",iferror(join("", "",unique(filter({filter('Students (Vertical)'!O:O,'Students (Vertical)'!C:C=B319,'Students (Vertical)'!O:O&lt;&gt;"""",'Students (Vertical)'!P:P&gt;1);filter('Students (Vertical)'!O:O,'Students (Vertical)'!C:C=E319,'"&amp;"Students (Vertical)'!O:O&lt;&gt;"""",'Students (Vertical)'!P:P&gt;1)},countifs({filter('Students (Vertical)'!O:O,'Students (Vertical)'!C:C=B319,'Students (Vertical)'!O:O&lt;&gt;"""",'Students (Vertical)'!P:P&gt;1);filter('Students (Vertical)'!O:O,'Students (Vertical)'!C:C="&amp;"E319,'Students (Vertical)'!O:O&lt;&gt;"""",'Students (Vertical)'!P:P&gt;1)},{filter('Students (Vertical)'!O:O,'Students (Vertical)'!C:C=B319,'Students (Vertical)'!O:O&lt;&gt;"""",'Students (Vertical)'!P:P&gt;1);filter('Students (Vertical)'!O:O,'Students (Vertical)'!C:C=E31"&amp;"9,'Students (Vertical)'!O:O&lt;&gt;"""",'Students (Vertical)'!P:P&gt;1)})&gt;1))),""""),"""")"),"")</f>
        <v/>
      </c>
      <c r="K319" s="358"/>
    </row>
    <row r="320">
      <c r="A320" s="300" t="s">
        <v>22</v>
      </c>
      <c r="C320" s="300" t="s">
        <v>22</v>
      </c>
      <c r="D320" s="300" t="s">
        <v>22</v>
      </c>
      <c r="F320" s="300" t="s">
        <v>22</v>
      </c>
      <c r="G320" s="300" t="s">
        <v>22</v>
      </c>
      <c r="I320" s="356" t="str">
        <f>IFERROR(__xludf.DUMMYFUNCTION("if(H320=""Must be Together"",iferror(join("", "",unique(filter({filter('Students (Vertical)'!O:O,'Students (Vertical)'!C:C=B320,'Students (Vertical)'!O:O&lt;&gt;"""");filter('Students (Vertical)'!O:O,'Students (Vertical)'!C:C=E320,'Students (Vertical)'!O:O&lt;&gt;"""&amp;""")},countifs({filter('Students (Vertical)'!O:O,'Students (Vertical)'!C:C=B320,'Students (Vertical)'!O:O&lt;&gt;"""");filter('Students (Vertical)'!O:O,'Students (Vertical)'!C:C=E320,'Students (Vertical)'!O:O&lt;&gt;"""")},{filter('Students (Vertical)'!O:O,'Students ("&amp;"Vertical)'!C:C=B320,'Students (Vertical)'!O:O&lt;&gt;"""");filter('Students (Vertical)'!O:O,'Students (Vertical)'!C:C=E320,'Students (Vertical)'!O:O&lt;&gt;"""")})&gt;1))),""No shared courses""),"""")"),"")</f>
        <v/>
      </c>
      <c r="J320" s="357" t="str">
        <f>IFERROR(__xludf.DUMMYFUNCTION("if(H320=""Can't be Together"",iferror(join("", "",unique(filter({filter('Students (Vertical)'!O:O,'Students (Vertical)'!C:C=B320,'Students (Vertical)'!O:O&lt;&gt;"""",'Students (Vertical)'!P:P&gt;1);filter('Students (Vertical)'!O:O,'Students (Vertical)'!C:C=E320,'"&amp;"Students (Vertical)'!O:O&lt;&gt;"""",'Students (Vertical)'!P:P&gt;1)},countifs({filter('Students (Vertical)'!O:O,'Students (Vertical)'!C:C=B320,'Students (Vertical)'!O:O&lt;&gt;"""",'Students (Vertical)'!P:P&gt;1);filter('Students (Vertical)'!O:O,'Students (Vertical)'!C:C="&amp;"E320,'Students (Vertical)'!O:O&lt;&gt;"""",'Students (Vertical)'!P:P&gt;1)},{filter('Students (Vertical)'!O:O,'Students (Vertical)'!C:C=B320,'Students (Vertical)'!O:O&lt;&gt;"""",'Students (Vertical)'!P:P&gt;1);filter('Students (Vertical)'!O:O,'Students (Vertical)'!C:C=E32"&amp;"0,'Students (Vertical)'!O:O&lt;&gt;"""",'Students (Vertical)'!P:P&gt;1)})&gt;1))),""""),"""")"),"")</f>
        <v/>
      </c>
      <c r="K320" s="358"/>
    </row>
    <row r="321">
      <c r="A321" s="300" t="s">
        <v>22</v>
      </c>
      <c r="C321" s="300" t="s">
        <v>22</v>
      </c>
      <c r="D321" s="300" t="s">
        <v>22</v>
      </c>
      <c r="F321" s="300" t="s">
        <v>22</v>
      </c>
      <c r="G321" s="300" t="s">
        <v>22</v>
      </c>
      <c r="I321" s="356" t="str">
        <f>IFERROR(__xludf.DUMMYFUNCTION("if(H321=""Must be Together"",iferror(join("", "",unique(filter({filter('Students (Vertical)'!O:O,'Students (Vertical)'!C:C=B321,'Students (Vertical)'!O:O&lt;&gt;"""");filter('Students (Vertical)'!O:O,'Students (Vertical)'!C:C=E321,'Students (Vertical)'!O:O&lt;&gt;"""&amp;""")},countifs({filter('Students (Vertical)'!O:O,'Students (Vertical)'!C:C=B321,'Students (Vertical)'!O:O&lt;&gt;"""");filter('Students (Vertical)'!O:O,'Students (Vertical)'!C:C=E321,'Students (Vertical)'!O:O&lt;&gt;"""")},{filter('Students (Vertical)'!O:O,'Students ("&amp;"Vertical)'!C:C=B321,'Students (Vertical)'!O:O&lt;&gt;"""");filter('Students (Vertical)'!O:O,'Students (Vertical)'!C:C=E321,'Students (Vertical)'!O:O&lt;&gt;"""")})&gt;1))),""No shared courses""),"""")"),"")</f>
        <v/>
      </c>
      <c r="J321" s="357" t="str">
        <f>IFERROR(__xludf.DUMMYFUNCTION("if(H321=""Can't be Together"",iferror(join("", "",unique(filter({filter('Students (Vertical)'!O:O,'Students (Vertical)'!C:C=B321,'Students (Vertical)'!O:O&lt;&gt;"""",'Students (Vertical)'!P:P&gt;1);filter('Students (Vertical)'!O:O,'Students (Vertical)'!C:C=E321,'"&amp;"Students (Vertical)'!O:O&lt;&gt;"""",'Students (Vertical)'!P:P&gt;1)},countifs({filter('Students (Vertical)'!O:O,'Students (Vertical)'!C:C=B321,'Students (Vertical)'!O:O&lt;&gt;"""",'Students (Vertical)'!P:P&gt;1);filter('Students (Vertical)'!O:O,'Students (Vertical)'!C:C="&amp;"E321,'Students (Vertical)'!O:O&lt;&gt;"""",'Students (Vertical)'!P:P&gt;1)},{filter('Students (Vertical)'!O:O,'Students (Vertical)'!C:C=B321,'Students (Vertical)'!O:O&lt;&gt;"""",'Students (Vertical)'!P:P&gt;1);filter('Students (Vertical)'!O:O,'Students (Vertical)'!C:C=E32"&amp;"1,'Students (Vertical)'!O:O&lt;&gt;"""",'Students (Vertical)'!P:P&gt;1)})&gt;1))),""""),"""")"),"")</f>
        <v/>
      </c>
      <c r="K321" s="358"/>
    </row>
    <row r="322">
      <c r="A322" s="300" t="s">
        <v>22</v>
      </c>
      <c r="C322" s="300" t="s">
        <v>22</v>
      </c>
      <c r="D322" s="300" t="s">
        <v>22</v>
      </c>
      <c r="F322" s="300" t="s">
        <v>22</v>
      </c>
      <c r="G322" s="300" t="s">
        <v>22</v>
      </c>
      <c r="I322" s="356" t="str">
        <f>IFERROR(__xludf.DUMMYFUNCTION("if(H322=""Must be Together"",iferror(join("", "",unique(filter({filter('Students (Vertical)'!O:O,'Students (Vertical)'!C:C=B322,'Students (Vertical)'!O:O&lt;&gt;"""");filter('Students (Vertical)'!O:O,'Students (Vertical)'!C:C=E322,'Students (Vertical)'!O:O&lt;&gt;"""&amp;""")},countifs({filter('Students (Vertical)'!O:O,'Students (Vertical)'!C:C=B322,'Students (Vertical)'!O:O&lt;&gt;"""");filter('Students (Vertical)'!O:O,'Students (Vertical)'!C:C=E322,'Students (Vertical)'!O:O&lt;&gt;"""")},{filter('Students (Vertical)'!O:O,'Students ("&amp;"Vertical)'!C:C=B322,'Students (Vertical)'!O:O&lt;&gt;"""");filter('Students (Vertical)'!O:O,'Students (Vertical)'!C:C=E322,'Students (Vertical)'!O:O&lt;&gt;"""")})&gt;1))),""No shared courses""),"""")"),"")</f>
        <v/>
      </c>
      <c r="J322" s="357" t="str">
        <f>IFERROR(__xludf.DUMMYFUNCTION("if(H322=""Can't be Together"",iferror(join("", "",unique(filter({filter('Students (Vertical)'!O:O,'Students (Vertical)'!C:C=B322,'Students (Vertical)'!O:O&lt;&gt;"""",'Students (Vertical)'!P:P&gt;1);filter('Students (Vertical)'!O:O,'Students (Vertical)'!C:C=E322,'"&amp;"Students (Vertical)'!O:O&lt;&gt;"""",'Students (Vertical)'!P:P&gt;1)},countifs({filter('Students (Vertical)'!O:O,'Students (Vertical)'!C:C=B322,'Students (Vertical)'!O:O&lt;&gt;"""",'Students (Vertical)'!P:P&gt;1);filter('Students (Vertical)'!O:O,'Students (Vertical)'!C:C="&amp;"E322,'Students (Vertical)'!O:O&lt;&gt;"""",'Students (Vertical)'!P:P&gt;1)},{filter('Students (Vertical)'!O:O,'Students (Vertical)'!C:C=B322,'Students (Vertical)'!O:O&lt;&gt;"""",'Students (Vertical)'!P:P&gt;1);filter('Students (Vertical)'!O:O,'Students (Vertical)'!C:C=E32"&amp;"2,'Students (Vertical)'!O:O&lt;&gt;"""",'Students (Vertical)'!P:P&gt;1)})&gt;1))),""""),"""")"),"")</f>
        <v/>
      </c>
      <c r="K322" s="358"/>
    </row>
    <row r="323">
      <c r="A323" s="300" t="s">
        <v>22</v>
      </c>
      <c r="C323" s="300" t="s">
        <v>22</v>
      </c>
      <c r="D323" s="300" t="s">
        <v>22</v>
      </c>
      <c r="F323" s="300" t="s">
        <v>22</v>
      </c>
      <c r="G323" s="300" t="s">
        <v>22</v>
      </c>
      <c r="I323" s="356" t="str">
        <f>IFERROR(__xludf.DUMMYFUNCTION("if(H323=""Must be Together"",iferror(join("", "",unique(filter({filter('Students (Vertical)'!O:O,'Students (Vertical)'!C:C=B323,'Students (Vertical)'!O:O&lt;&gt;"""");filter('Students (Vertical)'!O:O,'Students (Vertical)'!C:C=E323,'Students (Vertical)'!O:O&lt;&gt;"""&amp;""")},countifs({filter('Students (Vertical)'!O:O,'Students (Vertical)'!C:C=B323,'Students (Vertical)'!O:O&lt;&gt;"""");filter('Students (Vertical)'!O:O,'Students (Vertical)'!C:C=E323,'Students (Vertical)'!O:O&lt;&gt;"""")},{filter('Students (Vertical)'!O:O,'Students ("&amp;"Vertical)'!C:C=B323,'Students (Vertical)'!O:O&lt;&gt;"""");filter('Students (Vertical)'!O:O,'Students (Vertical)'!C:C=E323,'Students (Vertical)'!O:O&lt;&gt;"""")})&gt;1))),""No shared courses""),"""")"),"")</f>
        <v/>
      </c>
      <c r="J323" s="357" t="str">
        <f>IFERROR(__xludf.DUMMYFUNCTION("if(H323=""Can't be Together"",iferror(join("", "",unique(filter({filter('Students (Vertical)'!O:O,'Students (Vertical)'!C:C=B323,'Students (Vertical)'!O:O&lt;&gt;"""",'Students (Vertical)'!P:P&gt;1);filter('Students (Vertical)'!O:O,'Students (Vertical)'!C:C=E323,'"&amp;"Students (Vertical)'!O:O&lt;&gt;"""",'Students (Vertical)'!P:P&gt;1)},countifs({filter('Students (Vertical)'!O:O,'Students (Vertical)'!C:C=B323,'Students (Vertical)'!O:O&lt;&gt;"""",'Students (Vertical)'!P:P&gt;1);filter('Students (Vertical)'!O:O,'Students (Vertical)'!C:C="&amp;"E323,'Students (Vertical)'!O:O&lt;&gt;"""",'Students (Vertical)'!P:P&gt;1)},{filter('Students (Vertical)'!O:O,'Students (Vertical)'!C:C=B323,'Students (Vertical)'!O:O&lt;&gt;"""",'Students (Vertical)'!P:P&gt;1);filter('Students (Vertical)'!O:O,'Students (Vertical)'!C:C=E32"&amp;"3,'Students (Vertical)'!O:O&lt;&gt;"""",'Students (Vertical)'!P:P&gt;1)})&gt;1))),""""),"""")"),"")</f>
        <v/>
      </c>
      <c r="K323" s="358"/>
    </row>
    <row r="324">
      <c r="A324" s="300" t="s">
        <v>22</v>
      </c>
      <c r="C324" s="300" t="s">
        <v>22</v>
      </c>
      <c r="D324" s="300" t="s">
        <v>22</v>
      </c>
      <c r="F324" s="300" t="s">
        <v>22</v>
      </c>
      <c r="G324" s="300" t="s">
        <v>22</v>
      </c>
      <c r="I324" s="356" t="str">
        <f>IFERROR(__xludf.DUMMYFUNCTION("if(H324=""Must be Together"",iferror(join("", "",unique(filter({filter('Students (Vertical)'!O:O,'Students (Vertical)'!C:C=B324,'Students (Vertical)'!O:O&lt;&gt;"""");filter('Students (Vertical)'!O:O,'Students (Vertical)'!C:C=E324,'Students (Vertical)'!O:O&lt;&gt;"""&amp;""")},countifs({filter('Students (Vertical)'!O:O,'Students (Vertical)'!C:C=B324,'Students (Vertical)'!O:O&lt;&gt;"""");filter('Students (Vertical)'!O:O,'Students (Vertical)'!C:C=E324,'Students (Vertical)'!O:O&lt;&gt;"""")},{filter('Students (Vertical)'!O:O,'Students ("&amp;"Vertical)'!C:C=B324,'Students (Vertical)'!O:O&lt;&gt;"""");filter('Students (Vertical)'!O:O,'Students (Vertical)'!C:C=E324,'Students (Vertical)'!O:O&lt;&gt;"""")})&gt;1))),""No shared courses""),"""")"),"")</f>
        <v/>
      </c>
      <c r="J324" s="357" t="str">
        <f>IFERROR(__xludf.DUMMYFUNCTION("if(H324=""Can't be Together"",iferror(join("", "",unique(filter({filter('Students (Vertical)'!O:O,'Students (Vertical)'!C:C=B324,'Students (Vertical)'!O:O&lt;&gt;"""",'Students (Vertical)'!P:P&gt;1);filter('Students (Vertical)'!O:O,'Students (Vertical)'!C:C=E324,'"&amp;"Students (Vertical)'!O:O&lt;&gt;"""",'Students (Vertical)'!P:P&gt;1)},countifs({filter('Students (Vertical)'!O:O,'Students (Vertical)'!C:C=B324,'Students (Vertical)'!O:O&lt;&gt;"""",'Students (Vertical)'!P:P&gt;1);filter('Students (Vertical)'!O:O,'Students (Vertical)'!C:C="&amp;"E324,'Students (Vertical)'!O:O&lt;&gt;"""",'Students (Vertical)'!P:P&gt;1)},{filter('Students (Vertical)'!O:O,'Students (Vertical)'!C:C=B324,'Students (Vertical)'!O:O&lt;&gt;"""",'Students (Vertical)'!P:P&gt;1);filter('Students (Vertical)'!O:O,'Students (Vertical)'!C:C=E32"&amp;"4,'Students (Vertical)'!O:O&lt;&gt;"""",'Students (Vertical)'!P:P&gt;1)})&gt;1))),""""),"""")"),"")</f>
        <v/>
      </c>
      <c r="K324" s="358"/>
    </row>
    <row r="325">
      <c r="A325" s="300" t="s">
        <v>22</v>
      </c>
      <c r="C325" s="300" t="s">
        <v>22</v>
      </c>
      <c r="D325" s="300" t="s">
        <v>22</v>
      </c>
      <c r="F325" s="300" t="s">
        <v>22</v>
      </c>
      <c r="G325" s="300" t="s">
        <v>22</v>
      </c>
      <c r="I325" s="356" t="str">
        <f>IFERROR(__xludf.DUMMYFUNCTION("if(H325=""Must be Together"",iferror(join("", "",unique(filter({filter('Students (Vertical)'!O:O,'Students (Vertical)'!C:C=B325,'Students (Vertical)'!O:O&lt;&gt;"""");filter('Students (Vertical)'!O:O,'Students (Vertical)'!C:C=E325,'Students (Vertical)'!O:O&lt;&gt;"""&amp;""")},countifs({filter('Students (Vertical)'!O:O,'Students (Vertical)'!C:C=B325,'Students (Vertical)'!O:O&lt;&gt;"""");filter('Students (Vertical)'!O:O,'Students (Vertical)'!C:C=E325,'Students (Vertical)'!O:O&lt;&gt;"""")},{filter('Students (Vertical)'!O:O,'Students ("&amp;"Vertical)'!C:C=B325,'Students (Vertical)'!O:O&lt;&gt;"""");filter('Students (Vertical)'!O:O,'Students (Vertical)'!C:C=E325,'Students (Vertical)'!O:O&lt;&gt;"""")})&gt;1))),""No shared courses""),"""")"),"")</f>
        <v/>
      </c>
      <c r="J325" s="357" t="str">
        <f>IFERROR(__xludf.DUMMYFUNCTION("if(H325=""Can't be Together"",iferror(join("", "",unique(filter({filter('Students (Vertical)'!O:O,'Students (Vertical)'!C:C=B325,'Students (Vertical)'!O:O&lt;&gt;"""",'Students (Vertical)'!P:P&gt;1);filter('Students (Vertical)'!O:O,'Students (Vertical)'!C:C=E325,'"&amp;"Students (Vertical)'!O:O&lt;&gt;"""",'Students (Vertical)'!P:P&gt;1)},countifs({filter('Students (Vertical)'!O:O,'Students (Vertical)'!C:C=B325,'Students (Vertical)'!O:O&lt;&gt;"""",'Students (Vertical)'!P:P&gt;1);filter('Students (Vertical)'!O:O,'Students (Vertical)'!C:C="&amp;"E325,'Students (Vertical)'!O:O&lt;&gt;"""",'Students (Vertical)'!P:P&gt;1)},{filter('Students (Vertical)'!O:O,'Students (Vertical)'!C:C=B325,'Students (Vertical)'!O:O&lt;&gt;"""",'Students (Vertical)'!P:P&gt;1);filter('Students (Vertical)'!O:O,'Students (Vertical)'!C:C=E32"&amp;"5,'Students (Vertical)'!O:O&lt;&gt;"""",'Students (Vertical)'!P:P&gt;1)})&gt;1))),""""),"""")"),"")</f>
        <v/>
      </c>
      <c r="K325" s="358"/>
    </row>
    <row r="326">
      <c r="A326" s="300" t="s">
        <v>22</v>
      </c>
      <c r="C326" s="300" t="s">
        <v>22</v>
      </c>
      <c r="D326" s="300" t="s">
        <v>22</v>
      </c>
      <c r="F326" s="300" t="s">
        <v>22</v>
      </c>
      <c r="G326" s="300" t="s">
        <v>22</v>
      </c>
      <c r="I326" s="356" t="str">
        <f>IFERROR(__xludf.DUMMYFUNCTION("if(H326=""Must be Together"",iferror(join("", "",unique(filter({filter('Students (Vertical)'!O:O,'Students (Vertical)'!C:C=B326,'Students (Vertical)'!O:O&lt;&gt;"""");filter('Students (Vertical)'!O:O,'Students (Vertical)'!C:C=E326,'Students (Vertical)'!O:O&lt;&gt;"""&amp;""")},countifs({filter('Students (Vertical)'!O:O,'Students (Vertical)'!C:C=B326,'Students (Vertical)'!O:O&lt;&gt;"""");filter('Students (Vertical)'!O:O,'Students (Vertical)'!C:C=E326,'Students (Vertical)'!O:O&lt;&gt;"""")},{filter('Students (Vertical)'!O:O,'Students ("&amp;"Vertical)'!C:C=B326,'Students (Vertical)'!O:O&lt;&gt;"""");filter('Students (Vertical)'!O:O,'Students (Vertical)'!C:C=E326,'Students (Vertical)'!O:O&lt;&gt;"""")})&gt;1))),""No shared courses""),"""")"),"")</f>
        <v/>
      </c>
      <c r="J326" s="357" t="str">
        <f>IFERROR(__xludf.DUMMYFUNCTION("if(H326=""Can't be Together"",iferror(join("", "",unique(filter({filter('Students (Vertical)'!O:O,'Students (Vertical)'!C:C=B326,'Students (Vertical)'!O:O&lt;&gt;"""",'Students (Vertical)'!P:P&gt;1);filter('Students (Vertical)'!O:O,'Students (Vertical)'!C:C=E326,'"&amp;"Students (Vertical)'!O:O&lt;&gt;"""",'Students (Vertical)'!P:P&gt;1)},countifs({filter('Students (Vertical)'!O:O,'Students (Vertical)'!C:C=B326,'Students (Vertical)'!O:O&lt;&gt;"""",'Students (Vertical)'!P:P&gt;1);filter('Students (Vertical)'!O:O,'Students (Vertical)'!C:C="&amp;"E326,'Students (Vertical)'!O:O&lt;&gt;"""",'Students (Vertical)'!P:P&gt;1)},{filter('Students (Vertical)'!O:O,'Students (Vertical)'!C:C=B326,'Students (Vertical)'!O:O&lt;&gt;"""",'Students (Vertical)'!P:P&gt;1);filter('Students (Vertical)'!O:O,'Students (Vertical)'!C:C=E32"&amp;"6,'Students (Vertical)'!O:O&lt;&gt;"""",'Students (Vertical)'!P:P&gt;1)})&gt;1))),""""),"""")"),"")</f>
        <v/>
      </c>
      <c r="K326" s="358"/>
    </row>
    <row r="327">
      <c r="A327" s="300" t="s">
        <v>22</v>
      </c>
      <c r="C327" s="300" t="s">
        <v>22</v>
      </c>
      <c r="D327" s="300" t="s">
        <v>22</v>
      </c>
      <c r="F327" s="300" t="s">
        <v>22</v>
      </c>
      <c r="G327" s="300" t="s">
        <v>22</v>
      </c>
      <c r="I327" s="356" t="str">
        <f>IFERROR(__xludf.DUMMYFUNCTION("if(H327=""Must be Together"",iferror(join("", "",unique(filter({filter('Students (Vertical)'!O:O,'Students (Vertical)'!C:C=B327,'Students (Vertical)'!O:O&lt;&gt;"""");filter('Students (Vertical)'!O:O,'Students (Vertical)'!C:C=E327,'Students (Vertical)'!O:O&lt;&gt;"""&amp;""")},countifs({filter('Students (Vertical)'!O:O,'Students (Vertical)'!C:C=B327,'Students (Vertical)'!O:O&lt;&gt;"""");filter('Students (Vertical)'!O:O,'Students (Vertical)'!C:C=E327,'Students (Vertical)'!O:O&lt;&gt;"""")},{filter('Students (Vertical)'!O:O,'Students ("&amp;"Vertical)'!C:C=B327,'Students (Vertical)'!O:O&lt;&gt;"""");filter('Students (Vertical)'!O:O,'Students (Vertical)'!C:C=E327,'Students (Vertical)'!O:O&lt;&gt;"""")})&gt;1))),""No shared courses""),"""")"),"")</f>
        <v/>
      </c>
      <c r="J327" s="357" t="str">
        <f>IFERROR(__xludf.DUMMYFUNCTION("if(H327=""Can't be Together"",iferror(join("", "",unique(filter({filter('Students (Vertical)'!O:O,'Students (Vertical)'!C:C=B327,'Students (Vertical)'!O:O&lt;&gt;"""",'Students (Vertical)'!P:P&gt;1);filter('Students (Vertical)'!O:O,'Students (Vertical)'!C:C=E327,'"&amp;"Students (Vertical)'!O:O&lt;&gt;"""",'Students (Vertical)'!P:P&gt;1)},countifs({filter('Students (Vertical)'!O:O,'Students (Vertical)'!C:C=B327,'Students (Vertical)'!O:O&lt;&gt;"""",'Students (Vertical)'!P:P&gt;1);filter('Students (Vertical)'!O:O,'Students (Vertical)'!C:C="&amp;"E327,'Students (Vertical)'!O:O&lt;&gt;"""",'Students (Vertical)'!P:P&gt;1)},{filter('Students (Vertical)'!O:O,'Students (Vertical)'!C:C=B327,'Students (Vertical)'!O:O&lt;&gt;"""",'Students (Vertical)'!P:P&gt;1);filter('Students (Vertical)'!O:O,'Students (Vertical)'!C:C=E32"&amp;"7,'Students (Vertical)'!O:O&lt;&gt;"""",'Students (Vertical)'!P:P&gt;1)})&gt;1))),""""),"""")"),"")</f>
        <v/>
      </c>
      <c r="K327" s="358"/>
    </row>
    <row r="328">
      <c r="A328" s="300" t="s">
        <v>22</v>
      </c>
      <c r="C328" s="300" t="s">
        <v>22</v>
      </c>
      <c r="D328" s="300" t="s">
        <v>22</v>
      </c>
      <c r="F328" s="300" t="s">
        <v>22</v>
      </c>
      <c r="G328" s="300" t="s">
        <v>22</v>
      </c>
      <c r="I328" s="356" t="str">
        <f>IFERROR(__xludf.DUMMYFUNCTION("if(H328=""Must be Together"",iferror(join("", "",unique(filter({filter('Students (Vertical)'!O:O,'Students (Vertical)'!C:C=B328,'Students (Vertical)'!O:O&lt;&gt;"""");filter('Students (Vertical)'!O:O,'Students (Vertical)'!C:C=E328,'Students (Vertical)'!O:O&lt;&gt;"""&amp;""")},countifs({filter('Students (Vertical)'!O:O,'Students (Vertical)'!C:C=B328,'Students (Vertical)'!O:O&lt;&gt;"""");filter('Students (Vertical)'!O:O,'Students (Vertical)'!C:C=E328,'Students (Vertical)'!O:O&lt;&gt;"""")},{filter('Students (Vertical)'!O:O,'Students ("&amp;"Vertical)'!C:C=B328,'Students (Vertical)'!O:O&lt;&gt;"""");filter('Students (Vertical)'!O:O,'Students (Vertical)'!C:C=E328,'Students (Vertical)'!O:O&lt;&gt;"""")})&gt;1))),""No shared courses""),"""")"),"")</f>
        <v/>
      </c>
      <c r="J328" s="357" t="str">
        <f>IFERROR(__xludf.DUMMYFUNCTION("if(H328=""Can't be Together"",iferror(join("", "",unique(filter({filter('Students (Vertical)'!O:O,'Students (Vertical)'!C:C=B328,'Students (Vertical)'!O:O&lt;&gt;"""",'Students (Vertical)'!P:P&gt;1);filter('Students (Vertical)'!O:O,'Students (Vertical)'!C:C=E328,'"&amp;"Students (Vertical)'!O:O&lt;&gt;"""",'Students (Vertical)'!P:P&gt;1)},countifs({filter('Students (Vertical)'!O:O,'Students (Vertical)'!C:C=B328,'Students (Vertical)'!O:O&lt;&gt;"""",'Students (Vertical)'!P:P&gt;1);filter('Students (Vertical)'!O:O,'Students (Vertical)'!C:C="&amp;"E328,'Students (Vertical)'!O:O&lt;&gt;"""",'Students (Vertical)'!P:P&gt;1)},{filter('Students (Vertical)'!O:O,'Students (Vertical)'!C:C=B328,'Students (Vertical)'!O:O&lt;&gt;"""",'Students (Vertical)'!P:P&gt;1);filter('Students (Vertical)'!O:O,'Students (Vertical)'!C:C=E32"&amp;"8,'Students (Vertical)'!O:O&lt;&gt;"""",'Students (Vertical)'!P:P&gt;1)})&gt;1))),""""),"""")"),"")</f>
        <v/>
      </c>
      <c r="K328" s="358"/>
    </row>
    <row r="329">
      <c r="A329" s="300" t="s">
        <v>22</v>
      </c>
      <c r="C329" s="300" t="s">
        <v>22</v>
      </c>
      <c r="D329" s="300" t="s">
        <v>22</v>
      </c>
      <c r="F329" s="300" t="s">
        <v>22</v>
      </c>
      <c r="G329" s="300" t="s">
        <v>22</v>
      </c>
      <c r="I329" s="356" t="str">
        <f>IFERROR(__xludf.DUMMYFUNCTION("if(H329=""Must be Together"",iferror(join("", "",unique(filter({filter('Students (Vertical)'!O:O,'Students (Vertical)'!C:C=B329,'Students (Vertical)'!O:O&lt;&gt;"""");filter('Students (Vertical)'!O:O,'Students (Vertical)'!C:C=E329,'Students (Vertical)'!O:O&lt;&gt;"""&amp;""")},countifs({filter('Students (Vertical)'!O:O,'Students (Vertical)'!C:C=B329,'Students (Vertical)'!O:O&lt;&gt;"""");filter('Students (Vertical)'!O:O,'Students (Vertical)'!C:C=E329,'Students (Vertical)'!O:O&lt;&gt;"""")},{filter('Students (Vertical)'!O:O,'Students ("&amp;"Vertical)'!C:C=B329,'Students (Vertical)'!O:O&lt;&gt;"""");filter('Students (Vertical)'!O:O,'Students (Vertical)'!C:C=E329,'Students (Vertical)'!O:O&lt;&gt;"""")})&gt;1))),""No shared courses""),"""")"),"")</f>
        <v/>
      </c>
      <c r="J329" s="357" t="str">
        <f>IFERROR(__xludf.DUMMYFUNCTION("if(H329=""Can't be Together"",iferror(join("", "",unique(filter({filter('Students (Vertical)'!O:O,'Students (Vertical)'!C:C=B329,'Students (Vertical)'!O:O&lt;&gt;"""",'Students (Vertical)'!P:P&gt;1);filter('Students (Vertical)'!O:O,'Students (Vertical)'!C:C=E329,'"&amp;"Students (Vertical)'!O:O&lt;&gt;"""",'Students (Vertical)'!P:P&gt;1)},countifs({filter('Students (Vertical)'!O:O,'Students (Vertical)'!C:C=B329,'Students (Vertical)'!O:O&lt;&gt;"""",'Students (Vertical)'!P:P&gt;1);filter('Students (Vertical)'!O:O,'Students (Vertical)'!C:C="&amp;"E329,'Students (Vertical)'!O:O&lt;&gt;"""",'Students (Vertical)'!P:P&gt;1)},{filter('Students (Vertical)'!O:O,'Students (Vertical)'!C:C=B329,'Students (Vertical)'!O:O&lt;&gt;"""",'Students (Vertical)'!P:P&gt;1);filter('Students (Vertical)'!O:O,'Students (Vertical)'!C:C=E32"&amp;"9,'Students (Vertical)'!O:O&lt;&gt;"""",'Students (Vertical)'!P:P&gt;1)})&gt;1))),""""),"""")"),"")</f>
        <v/>
      </c>
      <c r="K329" s="358"/>
    </row>
    <row r="330">
      <c r="A330" s="300" t="s">
        <v>22</v>
      </c>
      <c r="C330" s="300" t="s">
        <v>22</v>
      </c>
      <c r="D330" s="300" t="s">
        <v>22</v>
      </c>
      <c r="F330" s="300" t="s">
        <v>22</v>
      </c>
      <c r="G330" s="300" t="s">
        <v>22</v>
      </c>
      <c r="I330" s="356" t="str">
        <f>IFERROR(__xludf.DUMMYFUNCTION("if(H330=""Must be Together"",iferror(join("", "",unique(filter({filter('Students (Vertical)'!O:O,'Students (Vertical)'!C:C=B330,'Students (Vertical)'!O:O&lt;&gt;"""");filter('Students (Vertical)'!O:O,'Students (Vertical)'!C:C=E330,'Students (Vertical)'!O:O&lt;&gt;"""&amp;""")},countifs({filter('Students (Vertical)'!O:O,'Students (Vertical)'!C:C=B330,'Students (Vertical)'!O:O&lt;&gt;"""");filter('Students (Vertical)'!O:O,'Students (Vertical)'!C:C=E330,'Students (Vertical)'!O:O&lt;&gt;"""")},{filter('Students (Vertical)'!O:O,'Students ("&amp;"Vertical)'!C:C=B330,'Students (Vertical)'!O:O&lt;&gt;"""");filter('Students (Vertical)'!O:O,'Students (Vertical)'!C:C=E330,'Students (Vertical)'!O:O&lt;&gt;"""")})&gt;1))),""No shared courses""),"""")"),"")</f>
        <v/>
      </c>
      <c r="J330" s="357" t="str">
        <f>IFERROR(__xludf.DUMMYFUNCTION("if(H330=""Can't be Together"",iferror(join("", "",unique(filter({filter('Students (Vertical)'!O:O,'Students (Vertical)'!C:C=B330,'Students (Vertical)'!O:O&lt;&gt;"""",'Students (Vertical)'!P:P&gt;1);filter('Students (Vertical)'!O:O,'Students (Vertical)'!C:C=E330,'"&amp;"Students (Vertical)'!O:O&lt;&gt;"""",'Students (Vertical)'!P:P&gt;1)},countifs({filter('Students (Vertical)'!O:O,'Students (Vertical)'!C:C=B330,'Students (Vertical)'!O:O&lt;&gt;"""",'Students (Vertical)'!P:P&gt;1);filter('Students (Vertical)'!O:O,'Students (Vertical)'!C:C="&amp;"E330,'Students (Vertical)'!O:O&lt;&gt;"""",'Students (Vertical)'!P:P&gt;1)},{filter('Students (Vertical)'!O:O,'Students (Vertical)'!C:C=B330,'Students (Vertical)'!O:O&lt;&gt;"""",'Students (Vertical)'!P:P&gt;1);filter('Students (Vertical)'!O:O,'Students (Vertical)'!C:C=E33"&amp;"0,'Students (Vertical)'!O:O&lt;&gt;"""",'Students (Vertical)'!P:P&gt;1)})&gt;1))),""""),"""")"),"")</f>
        <v/>
      </c>
      <c r="K330" s="358"/>
    </row>
    <row r="331">
      <c r="A331" s="300" t="s">
        <v>22</v>
      </c>
      <c r="C331" s="300" t="s">
        <v>22</v>
      </c>
      <c r="D331" s="300" t="s">
        <v>22</v>
      </c>
      <c r="F331" s="300" t="s">
        <v>22</v>
      </c>
      <c r="G331" s="300" t="s">
        <v>22</v>
      </c>
      <c r="I331" s="356" t="str">
        <f>IFERROR(__xludf.DUMMYFUNCTION("if(H331=""Must be Together"",iferror(join("", "",unique(filter({filter('Students (Vertical)'!O:O,'Students (Vertical)'!C:C=B331,'Students (Vertical)'!O:O&lt;&gt;"""");filter('Students (Vertical)'!O:O,'Students (Vertical)'!C:C=E331,'Students (Vertical)'!O:O&lt;&gt;"""&amp;""")},countifs({filter('Students (Vertical)'!O:O,'Students (Vertical)'!C:C=B331,'Students (Vertical)'!O:O&lt;&gt;"""");filter('Students (Vertical)'!O:O,'Students (Vertical)'!C:C=E331,'Students (Vertical)'!O:O&lt;&gt;"""")},{filter('Students (Vertical)'!O:O,'Students ("&amp;"Vertical)'!C:C=B331,'Students (Vertical)'!O:O&lt;&gt;"""");filter('Students (Vertical)'!O:O,'Students (Vertical)'!C:C=E331,'Students (Vertical)'!O:O&lt;&gt;"""")})&gt;1))),""No shared courses""),"""")"),"")</f>
        <v/>
      </c>
      <c r="J331" s="357" t="str">
        <f>IFERROR(__xludf.DUMMYFUNCTION("if(H331=""Can't be Together"",iferror(join("", "",unique(filter({filter('Students (Vertical)'!O:O,'Students (Vertical)'!C:C=B331,'Students (Vertical)'!O:O&lt;&gt;"""",'Students (Vertical)'!P:P&gt;1);filter('Students (Vertical)'!O:O,'Students (Vertical)'!C:C=E331,'"&amp;"Students (Vertical)'!O:O&lt;&gt;"""",'Students (Vertical)'!P:P&gt;1)},countifs({filter('Students (Vertical)'!O:O,'Students (Vertical)'!C:C=B331,'Students (Vertical)'!O:O&lt;&gt;"""",'Students (Vertical)'!P:P&gt;1);filter('Students (Vertical)'!O:O,'Students (Vertical)'!C:C="&amp;"E331,'Students (Vertical)'!O:O&lt;&gt;"""",'Students (Vertical)'!P:P&gt;1)},{filter('Students (Vertical)'!O:O,'Students (Vertical)'!C:C=B331,'Students (Vertical)'!O:O&lt;&gt;"""",'Students (Vertical)'!P:P&gt;1);filter('Students (Vertical)'!O:O,'Students (Vertical)'!C:C=E33"&amp;"1,'Students (Vertical)'!O:O&lt;&gt;"""",'Students (Vertical)'!P:P&gt;1)})&gt;1))),""""),"""")"),"")</f>
        <v/>
      </c>
      <c r="K331" s="358"/>
    </row>
    <row r="332">
      <c r="A332" s="300" t="s">
        <v>22</v>
      </c>
      <c r="C332" s="300" t="s">
        <v>22</v>
      </c>
      <c r="D332" s="300" t="s">
        <v>22</v>
      </c>
      <c r="F332" s="300" t="s">
        <v>22</v>
      </c>
      <c r="G332" s="300" t="s">
        <v>22</v>
      </c>
      <c r="I332" s="356" t="str">
        <f>IFERROR(__xludf.DUMMYFUNCTION("if(H332=""Must be Together"",iferror(join("", "",unique(filter({filter('Students (Vertical)'!O:O,'Students (Vertical)'!C:C=B332,'Students (Vertical)'!O:O&lt;&gt;"""");filter('Students (Vertical)'!O:O,'Students (Vertical)'!C:C=E332,'Students (Vertical)'!O:O&lt;&gt;"""&amp;""")},countifs({filter('Students (Vertical)'!O:O,'Students (Vertical)'!C:C=B332,'Students (Vertical)'!O:O&lt;&gt;"""");filter('Students (Vertical)'!O:O,'Students (Vertical)'!C:C=E332,'Students (Vertical)'!O:O&lt;&gt;"""")},{filter('Students (Vertical)'!O:O,'Students ("&amp;"Vertical)'!C:C=B332,'Students (Vertical)'!O:O&lt;&gt;"""");filter('Students (Vertical)'!O:O,'Students (Vertical)'!C:C=E332,'Students (Vertical)'!O:O&lt;&gt;"""")})&gt;1))),""No shared courses""),"""")"),"")</f>
        <v/>
      </c>
      <c r="J332" s="357" t="str">
        <f>IFERROR(__xludf.DUMMYFUNCTION("if(H332=""Can't be Together"",iferror(join("", "",unique(filter({filter('Students (Vertical)'!O:O,'Students (Vertical)'!C:C=B332,'Students (Vertical)'!O:O&lt;&gt;"""",'Students (Vertical)'!P:P&gt;1);filter('Students (Vertical)'!O:O,'Students (Vertical)'!C:C=E332,'"&amp;"Students (Vertical)'!O:O&lt;&gt;"""",'Students (Vertical)'!P:P&gt;1)},countifs({filter('Students (Vertical)'!O:O,'Students (Vertical)'!C:C=B332,'Students (Vertical)'!O:O&lt;&gt;"""",'Students (Vertical)'!P:P&gt;1);filter('Students (Vertical)'!O:O,'Students (Vertical)'!C:C="&amp;"E332,'Students (Vertical)'!O:O&lt;&gt;"""",'Students (Vertical)'!P:P&gt;1)},{filter('Students (Vertical)'!O:O,'Students (Vertical)'!C:C=B332,'Students (Vertical)'!O:O&lt;&gt;"""",'Students (Vertical)'!P:P&gt;1);filter('Students (Vertical)'!O:O,'Students (Vertical)'!C:C=E33"&amp;"2,'Students (Vertical)'!O:O&lt;&gt;"""",'Students (Vertical)'!P:P&gt;1)})&gt;1))),""""),"""")"),"")</f>
        <v/>
      </c>
      <c r="K332" s="358"/>
    </row>
    <row r="333">
      <c r="A333" s="300" t="s">
        <v>22</v>
      </c>
      <c r="C333" s="300" t="s">
        <v>22</v>
      </c>
      <c r="D333" s="300" t="s">
        <v>22</v>
      </c>
      <c r="F333" s="300" t="s">
        <v>22</v>
      </c>
      <c r="G333" s="300" t="s">
        <v>22</v>
      </c>
      <c r="I333" s="356" t="str">
        <f>IFERROR(__xludf.DUMMYFUNCTION("if(H333=""Must be Together"",iferror(join("", "",unique(filter({filter('Students (Vertical)'!O:O,'Students (Vertical)'!C:C=B333,'Students (Vertical)'!O:O&lt;&gt;"""");filter('Students (Vertical)'!O:O,'Students (Vertical)'!C:C=E333,'Students (Vertical)'!O:O&lt;&gt;"""&amp;""")},countifs({filter('Students (Vertical)'!O:O,'Students (Vertical)'!C:C=B333,'Students (Vertical)'!O:O&lt;&gt;"""");filter('Students (Vertical)'!O:O,'Students (Vertical)'!C:C=E333,'Students (Vertical)'!O:O&lt;&gt;"""")},{filter('Students (Vertical)'!O:O,'Students ("&amp;"Vertical)'!C:C=B333,'Students (Vertical)'!O:O&lt;&gt;"""");filter('Students (Vertical)'!O:O,'Students (Vertical)'!C:C=E333,'Students (Vertical)'!O:O&lt;&gt;"""")})&gt;1))),""No shared courses""),"""")"),"")</f>
        <v/>
      </c>
      <c r="J333" s="357" t="str">
        <f>IFERROR(__xludf.DUMMYFUNCTION("if(H333=""Can't be Together"",iferror(join("", "",unique(filter({filter('Students (Vertical)'!O:O,'Students (Vertical)'!C:C=B333,'Students (Vertical)'!O:O&lt;&gt;"""",'Students (Vertical)'!P:P&gt;1);filter('Students (Vertical)'!O:O,'Students (Vertical)'!C:C=E333,'"&amp;"Students (Vertical)'!O:O&lt;&gt;"""",'Students (Vertical)'!P:P&gt;1)},countifs({filter('Students (Vertical)'!O:O,'Students (Vertical)'!C:C=B333,'Students (Vertical)'!O:O&lt;&gt;"""",'Students (Vertical)'!P:P&gt;1);filter('Students (Vertical)'!O:O,'Students (Vertical)'!C:C="&amp;"E333,'Students (Vertical)'!O:O&lt;&gt;"""",'Students (Vertical)'!P:P&gt;1)},{filter('Students (Vertical)'!O:O,'Students (Vertical)'!C:C=B333,'Students (Vertical)'!O:O&lt;&gt;"""",'Students (Vertical)'!P:P&gt;1);filter('Students (Vertical)'!O:O,'Students (Vertical)'!C:C=E33"&amp;"3,'Students (Vertical)'!O:O&lt;&gt;"""",'Students (Vertical)'!P:P&gt;1)})&gt;1))),""""),"""")"),"")</f>
        <v/>
      </c>
      <c r="K333" s="358"/>
    </row>
    <row r="334">
      <c r="A334" s="300" t="s">
        <v>22</v>
      </c>
      <c r="C334" s="300" t="s">
        <v>22</v>
      </c>
      <c r="D334" s="300" t="s">
        <v>22</v>
      </c>
      <c r="F334" s="300" t="s">
        <v>22</v>
      </c>
      <c r="G334" s="300" t="s">
        <v>22</v>
      </c>
      <c r="I334" s="356" t="str">
        <f>IFERROR(__xludf.DUMMYFUNCTION("if(H334=""Must be Together"",iferror(join("", "",unique(filter({filter('Students (Vertical)'!O:O,'Students (Vertical)'!C:C=B334,'Students (Vertical)'!O:O&lt;&gt;"""");filter('Students (Vertical)'!O:O,'Students (Vertical)'!C:C=E334,'Students (Vertical)'!O:O&lt;&gt;"""&amp;""")},countifs({filter('Students (Vertical)'!O:O,'Students (Vertical)'!C:C=B334,'Students (Vertical)'!O:O&lt;&gt;"""");filter('Students (Vertical)'!O:O,'Students (Vertical)'!C:C=E334,'Students (Vertical)'!O:O&lt;&gt;"""")},{filter('Students (Vertical)'!O:O,'Students ("&amp;"Vertical)'!C:C=B334,'Students (Vertical)'!O:O&lt;&gt;"""");filter('Students (Vertical)'!O:O,'Students (Vertical)'!C:C=E334,'Students (Vertical)'!O:O&lt;&gt;"""")})&gt;1))),""No shared courses""),"""")"),"")</f>
        <v/>
      </c>
      <c r="J334" s="357" t="str">
        <f>IFERROR(__xludf.DUMMYFUNCTION("if(H334=""Can't be Together"",iferror(join("", "",unique(filter({filter('Students (Vertical)'!O:O,'Students (Vertical)'!C:C=B334,'Students (Vertical)'!O:O&lt;&gt;"""",'Students (Vertical)'!P:P&gt;1);filter('Students (Vertical)'!O:O,'Students (Vertical)'!C:C=E334,'"&amp;"Students (Vertical)'!O:O&lt;&gt;"""",'Students (Vertical)'!P:P&gt;1)},countifs({filter('Students (Vertical)'!O:O,'Students (Vertical)'!C:C=B334,'Students (Vertical)'!O:O&lt;&gt;"""",'Students (Vertical)'!P:P&gt;1);filter('Students (Vertical)'!O:O,'Students (Vertical)'!C:C="&amp;"E334,'Students (Vertical)'!O:O&lt;&gt;"""",'Students (Vertical)'!P:P&gt;1)},{filter('Students (Vertical)'!O:O,'Students (Vertical)'!C:C=B334,'Students (Vertical)'!O:O&lt;&gt;"""",'Students (Vertical)'!P:P&gt;1);filter('Students (Vertical)'!O:O,'Students (Vertical)'!C:C=E33"&amp;"4,'Students (Vertical)'!O:O&lt;&gt;"""",'Students (Vertical)'!P:P&gt;1)})&gt;1))),""""),"""")"),"")</f>
        <v/>
      </c>
      <c r="K334" s="358"/>
    </row>
    <row r="335">
      <c r="A335" s="300" t="s">
        <v>22</v>
      </c>
      <c r="C335" s="300" t="s">
        <v>22</v>
      </c>
      <c r="D335" s="300" t="s">
        <v>22</v>
      </c>
      <c r="F335" s="300" t="s">
        <v>22</v>
      </c>
      <c r="G335" s="300" t="s">
        <v>22</v>
      </c>
      <c r="I335" s="356" t="str">
        <f>IFERROR(__xludf.DUMMYFUNCTION("if(H335=""Must be Together"",iferror(join("", "",unique(filter({filter('Students (Vertical)'!O:O,'Students (Vertical)'!C:C=B335,'Students (Vertical)'!O:O&lt;&gt;"""");filter('Students (Vertical)'!O:O,'Students (Vertical)'!C:C=E335,'Students (Vertical)'!O:O&lt;&gt;"""&amp;""")},countifs({filter('Students (Vertical)'!O:O,'Students (Vertical)'!C:C=B335,'Students (Vertical)'!O:O&lt;&gt;"""");filter('Students (Vertical)'!O:O,'Students (Vertical)'!C:C=E335,'Students (Vertical)'!O:O&lt;&gt;"""")},{filter('Students (Vertical)'!O:O,'Students ("&amp;"Vertical)'!C:C=B335,'Students (Vertical)'!O:O&lt;&gt;"""");filter('Students (Vertical)'!O:O,'Students (Vertical)'!C:C=E335,'Students (Vertical)'!O:O&lt;&gt;"""")})&gt;1))),""No shared courses""),"""")"),"")</f>
        <v/>
      </c>
      <c r="J335" s="357" t="str">
        <f>IFERROR(__xludf.DUMMYFUNCTION("if(H335=""Can't be Together"",iferror(join("", "",unique(filter({filter('Students (Vertical)'!O:O,'Students (Vertical)'!C:C=B335,'Students (Vertical)'!O:O&lt;&gt;"""",'Students (Vertical)'!P:P&gt;1);filter('Students (Vertical)'!O:O,'Students (Vertical)'!C:C=E335,'"&amp;"Students (Vertical)'!O:O&lt;&gt;"""",'Students (Vertical)'!P:P&gt;1)},countifs({filter('Students (Vertical)'!O:O,'Students (Vertical)'!C:C=B335,'Students (Vertical)'!O:O&lt;&gt;"""",'Students (Vertical)'!P:P&gt;1);filter('Students (Vertical)'!O:O,'Students (Vertical)'!C:C="&amp;"E335,'Students (Vertical)'!O:O&lt;&gt;"""",'Students (Vertical)'!P:P&gt;1)},{filter('Students (Vertical)'!O:O,'Students (Vertical)'!C:C=B335,'Students (Vertical)'!O:O&lt;&gt;"""",'Students (Vertical)'!P:P&gt;1);filter('Students (Vertical)'!O:O,'Students (Vertical)'!C:C=E33"&amp;"5,'Students (Vertical)'!O:O&lt;&gt;"""",'Students (Vertical)'!P:P&gt;1)})&gt;1))),""""),"""")"),"")</f>
        <v/>
      </c>
      <c r="K335" s="358"/>
    </row>
    <row r="336">
      <c r="A336" s="300" t="s">
        <v>22</v>
      </c>
      <c r="C336" s="300" t="s">
        <v>22</v>
      </c>
      <c r="D336" s="300" t="s">
        <v>22</v>
      </c>
      <c r="F336" s="300" t="s">
        <v>22</v>
      </c>
      <c r="G336" s="300" t="s">
        <v>22</v>
      </c>
      <c r="I336" s="356" t="str">
        <f>IFERROR(__xludf.DUMMYFUNCTION("if(H336=""Must be Together"",iferror(join("", "",unique(filter({filter('Students (Vertical)'!O:O,'Students (Vertical)'!C:C=B336,'Students (Vertical)'!O:O&lt;&gt;"""");filter('Students (Vertical)'!O:O,'Students (Vertical)'!C:C=E336,'Students (Vertical)'!O:O&lt;&gt;"""&amp;""")},countifs({filter('Students (Vertical)'!O:O,'Students (Vertical)'!C:C=B336,'Students (Vertical)'!O:O&lt;&gt;"""");filter('Students (Vertical)'!O:O,'Students (Vertical)'!C:C=E336,'Students (Vertical)'!O:O&lt;&gt;"""")},{filter('Students (Vertical)'!O:O,'Students ("&amp;"Vertical)'!C:C=B336,'Students (Vertical)'!O:O&lt;&gt;"""");filter('Students (Vertical)'!O:O,'Students (Vertical)'!C:C=E336,'Students (Vertical)'!O:O&lt;&gt;"""")})&gt;1))),""No shared courses""),"""")"),"")</f>
        <v/>
      </c>
      <c r="J336" s="357" t="str">
        <f>IFERROR(__xludf.DUMMYFUNCTION("if(H336=""Can't be Together"",iferror(join("", "",unique(filter({filter('Students (Vertical)'!O:O,'Students (Vertical)'!C:C=B336,'Students (Vertical)'!O:O&lt;&gt;"""",'Students (Vertical)'!P:P&gt;1);filter('Students (Vertical)'!O:O,'Students (Vertical)'!C:C=E336,'"&amp;"Students (Vertical)'!O:O&lt;&gt;"""",'Students (Vertical)'!P:P&gt;1)},countifs({filter('Students (Vertical)'!O:O,'Students (Vertical)'!C:C=B336,'Students (Vertical)'!O:O&lt;&gt;"""",'Students (Vertical)'!P:P&gt;1);filter('Students (Vertical)'!O:O,'Students (Vertical)'!C:C="&amp;"E336,'Students (Vertical)'!O:O&lt;&gt;"""",'Students (Vertical)'!P:P&gt;1)},{filter('Students (Vertical)'!O:O,'Students (Vertical)'!C:C=B336,'Students (Vertical)'!O:O&lt;&gt;"""",'Students (Vertical)'!P:P&gt;1);filter('Students (Vertical)'!O:O,'Students (Vertical)'!C:C=E33"&amp;"6,'Students (Vertical)'!O:O&lt;&gt;"""",'Students (Vertical)'!P:P&gt;1)})&gt;1))),""""),"""")"),"")</f>
        <v/>
      </c>
      <c r="K336" s="358"/>
    </row>
    <row r="337">
      <c r="A337" s="300" t="s">
        <v>22</v>
      </c>
      <c r="C337" s="300" t="s">
        <v>22</v>
      </c>
      <c r="D337" s="300" t="s">
        <v>22</v>
      </c>
      <c r="F337" s="300" t="s">
        <v>22</v>
      </c>
      <c r="G337" s="300" t="s">
        <v>22</v>
      </c>
      <c r="I337" s="356" t="str">
        <f>IFERROR(__xludf.DUMMYFUNCTION("if(H337=""Must be Together"",iferror(join("", "",unique(filter({filter('Students (Vertical)'!O:O,'Students (Vertical)'!C:C=B337,'Students (Vertical)'!O:O&lt;&gt;"""");filter('Students (Vertical)'!O:O,'Students (Vertical)'!C:C=E337,'Students (Vertical)'!O:O&lt;&gt;"""&amp;""")},countifs({filter('Students (Vertical)'!O:O,'Students (Vertical)'!C:C=B337,'Students (Vertical)'!O:O&lt;&gt;"""");filter('Students (Vertical)'!O:O,'Students (Vertical)'!C:C=E337,'Students (Vertical)'!O:O&lt;&gt;"""")},{filter('Students (Vertical)'!O:O,'Students ("&amp;"Vertical)'!C:C=B337,'Students (Vertical)'!O:O&lt;&gt;"""");filter('Students (Vertical)'!O:O,'Students (Vertical)'!C:C=E337,'Students (Vertical)'!O:O&lt;&gt;"""")})&gt;1))),""No shared courses""),"""")"),"")</f>
        <v/>
      </c>
      <c r="J337" s="357" t="str">
        <f>IFERROR(__xludf.DUMMYFUNCTION("if(H337=""Can't be Together"",iferror(join("", "",unique(filter({filter('Students (Vertical)'!O:O,'Students (Vertical)'!C:C=B337,'Students (Vertical)'!O:O&lt;&gt;"""",'Students (Vertical)'!P:P&gt;1);filter('Students (Vertical)'!O:O,'Students (Vertical)'!C:C=E337,'"&amp;"Students (Vertical)'!O:O&lt;&gt;"""",'Students (Vertical)'!P:P&gt;1)},countifs({filter('Students (Vertical)'!O:O,'Students (Vertical)'!C:C=B337,'Students (Vertical)'!O:O&lt;&gt;"""",'Students (Vertical)'!P:P&gt;1);filter('Students (Vertical)'!O:O,'Students (Vertical)'!C:C="&amp;"E337,'Students (Vertical)'!O:O&lt;&gt;"""",'Students (Vertical)'!P:P&gt;1)},{filter('Students (Vertical)'!O:O,'Students (Vertical)'!C:C=B337,'Students (Vertical)'!O:O&lt;&gt;"""",'Students (Vertical)'!P:P&gt;1);filter('Students (Vertical)'!O:O,'Students (Vertical)'!C:C=E33"&amp;"7,'Students (Vertical)'!O:O&lt;&gt;"""",'Students (Vertical)'!P:P&gt;1)})&gt;1))),""""),"""")"),"")</f>
        <v/>
      </c>
      <c r="K337" s="358"/>
    </row>
    <row r="338">
      <c r="A338" s="300" t="s">
        <v>22</v>
      </c>
      <c r="C338" s="300" t="s">
        <v>22</v>
      </c>
      <c r="D338" s="300" t="s">
        <v>22</v>
      </c>
      <c r="F338" s="300" t="s">
        <v>22</v>
      </c>
      <c r="G338" s="300" t="s">
        <v>22</v>
      </c>
      <c r="I338" s="356" t="str">
        <f>IFERROR(__xludf.DUMMYFUNCTION("if(H338=""Must be Together"",iferror(join("", "",unique(filter({filter('Students (Vertical)'!O:O,'Students (Vertical)'!C:C=B338,'Students (Vertical)'!O:O&lt;&gt;"""");filter('Students (Vertical)'!O:O,'Students (Vertical)'!C:C=E338,'Students (Vertical)'!O:O&lt;&gt;"""&amp;""")},countifs({filter('Students (Vertical)'!O:O,'Students (Vertical)'!C:C=B338,'Students (Vertical)'!O:O&lt;&gt;"""");filter('Students (Vertical)'!O:O,'Students (Vertical)'!C:C=E338,'Students (Vertical)'!O:O&lt;&gt;"""")},{filter('Students (Vertical)'!O:O,'Students ("&amp;"Vertical)'!C:C=B338,'Students (Vertical)'!O:O&lt;&gt;"""");filter('Students (Vertical)'!O:O,'Students (Vertical)'!C:C=E338,'Students (Vertical)'!O:O&lt;&gt;"""")})&gt;1))),""No shared courses""),"""")"),"")</f>
        <v/>
      </c>
      <c r="J338" s="357" t="str">
        <f>IFERROR(__xludf.DUMMYFUNCTION("if(H338=""Can't be Together"",iferror(join("", "",unique(filter({filter('Students (Vertical)'!O:O,'Students (Vertical)'!C:C=B338,'Students (Vertical)'!O:O&lt;&gt;"""",'Students (Vertical)'!P:P&gt;1);filter('Students (Vertical)'!O:O,'Students (Vertical)'!C:C=E338,'"&amp;"Students (Vertical)'!O:O&lt;&gt;"""",'Students (Vertical)'!P:P&gt;1)},countifs({filter('Students (Vertical)'!O:O,'Students (Vertical)'!C:C=B338,'Students (Vertical)'!O:O&lt;&gt;"""",'Students (Vertical)'!P:P&gt;1);filter('Students (Vertical)'!O:O,'Students (Vertical)'!C:C="&amp;"E338,'Students (Vertical)'!O:O&lt;&gt;"""",'Students (Vertical)'!P:P&gt;1)},{filter('Students (Vertical)'!O:O,'Students (Vertical)'!C:C=B338,'Students (Vertical)'!O:O&lt;&gt;"""",'Students (Vertical)'!P:P&gt;1);filter('Students (Vertical)'!O:O,'Students (Vertical)'!C:C=E33"&amp;"8,'Students (Vertical)'!O:O&lt;&gt;"""",'Students (Vertical)'!P:P&gt;1)})&gt;1))),""""),"""")"),"")</f>
        <v/>
      </c>
      <c r="K338" s="358"/>
    </row>
    <row r="339">
      <c r="A339" s="300" t="s">
        <v>22</v>
      </c>
      <c r="C339" s="300" t="s">
        <v>22</v>
      </c>
      <c r="D339" s="300" t="s">
        <v>22</v>
      </c>
      <c r="F339" s="300" t="s">
        <v>22</v>
      </c>
      <c r="G339" s="300" t="s">
        <v>22</v>
      </c>
      <c r="I339" s="356" t="str">
        <f>IFERROR(__xludf.DUMMYFUNCTION("if(H339=""Must be Together"",iferror(join("", "",unique(filter({filter('Students (Vertical)'!O:O,'Students (Vertical)'!C:C=B339,'Students (Vertical)'!O:O&lt;&gt;"""");filter('Students (Vertical)'!O:O,'Students (Vertical)'!C:C=E339,'Students (Vertical)'!O:O&lt;&gt;"""&amp;""")},countifs({filter('Students (Vertical)'!O:O,'Students (Vertical)'!C:C=B339,'Students (Vertical)'!O:O&lt;&gt;"""");filter('Students (Vertical)'!O:O,'Students (Vertical)'!C:C=E339,'Students (Vertical)'!O:O&lt;&gt;"""")},{filter('Students (Vertical)'!O:O,'Students ("&amp;"Vertical)'!C:C=B339,'Students (Vertical)'!O:O&lt;&gt;"""");filter('Students (Vertical)'!O:O,'Students (Vertical)'!C:C=E339,'Students (Vertical)'!O:O&lt;&gt;"""")})&gt;1))),""No shared courses""),"""")"),"")</f>
        <v/>
      </c>
      <c r="J339" s="357" t="str">
        <f>IFERROR(__xludf.DUMMYFUNCTION("if(H339=""Can't be Together"",iferror(join("", "",unique(filter({filter('Students (Vertical)'!O:O,'Students (Vertical)'!C:C=B339,'Students (Vertical)'!O:O&lt;&gt;"""",'Students (Vertical)'!P:P&gt;1);filter('Students (Vertical)'!O:O,'Students (Vertical)'!C:C=E339,'"&amp;"Students (Vertical)'!O:O&lt;&gt;"""",'Students (Vertical)'!P:P&gt;1)},countifs({filter('Students (Vertical)'!O:O,'Students (Vertical)'!C:C=B339,'Students (Vertical)'!O:O&lt;&gt;"""",'Students (Vertical)'!P:P&gt;1);filter('Students (Vertical)'!O:O,'Students (Vertical)'!C:C="&amp;"E339,'Students (Vertical)'!O:O&lt;&gt;"""",'Students (Vertical)'!P:P&gt;1)},{filter('Students (Vertical)'!O:O,'Students (Vertical)'!C:C=B339,'Students (Vertical)'!O:O&lt;&gt;"""",'Students (Vertical)'!P:P&gt;1);filter('Students (Vertical)'!O:O,'Students (Vertical)'!C:C=E33"&amp;"9,'Students (Vertical)'!O:O&lt;&gt;"""",'Students (Vertical)'!P:P&gt;1)})&gt;1))),""""),"""")"),"")</f>
        <v/>
      </c>
      <c r="K339" s="358"/>
    </row>
    <row r="340">
      <c r="A340" s="300" t="s">
        <v>22</v>
      </c>
      <c r="C340" s="300" t="s">
        <v>22</v>
      </c>
      <c r="D340" s="300" t="s">
        <v>22</v>
      </c>
      <c r="F340" s="300" t="s">
        <v>22</v>
      </c>
      <c r="G340" s="300" t="s">
        <v>22</v>
      </c>
      <c r="I340" s="356" t="str">
        <f>IFERROR(__xludf.DUMMYFUNCTION("if(H340=""Must be Together"",iferror(join("", "",unique(filter({filter('Students (Vertical)'!O:O,'Students (Vertical)'!C:C=B340,'Students (Vertical)'!O:O&lt;&gt;"""");filter('Students (Vertical)'!O:O,'Students (Vertical)'!C:C=E340,'Students (Vertical)'!O:O&lt;&gt;"""&amp;""")},countifs({filter('Students (Vertical)'!O:O,'Students (Vertical)'!C:C=B340,'Students (Vertical)'!O:O&lt;&gt;"""");filter('Students (Vertical)'!O:O,'Students (Vertical)'!C:C=E340,'Students (Vertical)'!O:O&lt;&gt;"""")},{filter('Students (Vertical)'!O:O,'Students ("&amp;"Vertical)'!C:C=B340,'Students (Vertical)'!O:O&lt;&gt;"""");filter('Students (Vertical)'!O:O,'Students (Vertical)'!C:C=E340,'Students (Vertical)'!O:O&lt;&gt;"""")})&gt;1))),""No shared courses""),"""")"),"")</f>
        <v/>
      </c>
      <c r="J340" s="357" t="str">
        <f>IFERROR(__xludf.DUMMYFUNCTION("if(H340=""Can't be Together"",iferror(join("", "",unique(filter({filter('Students (Vertical)'!O:O,'Students (Vertical)'!C:C=B340,'Students (Vertical)'!O:O&lt;&gt;"""",'Students (Vertical)'!P:P&gt;1);filter('Students (Vertical)'!O:O,'Students (Vertical)'!C:C=E340,'"&amp;"Students (Vertical)'!O:O&lt;&gt;"""",'Students (Vertical)'!P:P&gt;1)},countifs({filter('Students (Vertical)'!O:O,'Students (Vertical)'!C:C=B340,'Students (Vertical)'!O:O&lt;&gt;"""",'Students (Vertical)'!P:P&gt;1);filter('Students (Vertical)'!O:O,'Students (Vertical)'!C:C="&amp;"E340,'Students (Vertical)'!O:O&lt;&gt;"""",'Students (Vertical)'!P:P&gt;1)},{filter('Students (Vertical)'!O:O,'Students (Vertical)'!C:C=B340,'Students (Vertical)'!O:O&lt;&gt;"""",'Students (Vertical)'!P:P&gt;1);filter('Students (Vertical)'!O:O,'Students (Vertical)'!C:C=E34"&amp;"0,'Students (Vertical)'!O:O&lt;&gt;"""",'Students (Vertical)'!P:P&gt;1)})&gt;1))),""""),"""")"),"")</f>
        <v/>
      </c>
      <c r="K340" s="358"/>
    </row>
    <row r="341">
      <c r="A341" s="300" t="s">
        <v>22</v>
      </c>
      <c r="C341" s="300" t="s">
        <v>22</v>
      </c>
      <c r="D341" s="300" t="s">
        <v>22</v>
      </c>
      <c r="F341" s="300" t="s">
        <v>22</v>
      </c>
      <c r="G341" s="300" t="s">
        <v>22</v>
      </c>
      <c r="I341" s="356" t="str">
        <f>IFERROR(__xludf.DUMMYFUNCTION("if(H341=""Must be Together"",iferror(join("", "",unique(filter({filter('Students (Vertical)'!O:O,'Students (Vertical)'!C:C=B341,'Students (Vertical)'!O:O&lt;&gt;"""");filter('Students (Vertical)'!O:O,'Students (Vertical)'!C:C=E341,'Students (Vertical)'!O:O&lt;&gt;"""&amp;""")},countifs({filter('Students (Vertical)'!O:O,'Students (Vertical)'!C:C=B341,'Students (Vertical)'!O:O&lt;&gt;"""");filter('Students (Vertical)'!O:O,'Students (Vertical)'!C:C=E341,'Students (Vertical)'!O:O&lt;&gt;"""")},{filter('Students (Vertical)'!O:O,'Students ("&amp;"Vertical)'!C:C=B341,'Students (Vertical)'!O:O&lt;&gt;"""");filter('Students (Vertical)'!O:O,'Students (Vertical)'!C:C=E341,'Students (Vertical)'!O:O&lt;&gt;"""")})&gt;1))),""No shared courses""),"""")"),"")</f>
        <v/>
      </c>
      <c r="J341" s="357" t="str">
        <f>IFERROR(__xludf.DUMMYFUNCTION("if(H341=""Can't be Together"",iferror(join("", "",unique(filter({filter('Students (Vertical)'!O:O,'Students (Vertical)'!C:C=B341,'Students (Vertical)'!O:O&lt;&gt;"""",'Students (Vertical)'!P:P&gt;1);filter('Students (Vertical)'!O:O,'Students (Vertical)'!C:C=E341,'"&amp;"Students (Vertical)'!O:O&lt;&gt;"""",'Students (Vertical)'!P:P&gt;1)},countifs({filter('Students (Vertical)'!O:O,'Students (Vertical)'!C:C=B341,'Students (Vertical)'!O:O&lt;&gt;"""",'Students (Vertical)'!P:P&gt;1);filter('Students (Vertical)'!O:O,'Students (Vertical)'!C:C="&amp;"E341,'Students (Vertical)'!O:O&lt;&gt;"""",'Students (Vertical)'!P:P&gt;1)},{filter('Students (Vertical)'!O:O,'Students (Vertical)'!C:C=B341,'Students (Vertical)'!O:O&lt;&gt;"""",'Students (Vertical)'!P:P&gt;1);filter('Students (Vertical)'!O:O,'Students (Vertical)'!C:C=E34"&amp;"1,'Students (Vertical)'!O:O&lt;&gt;"""",'Students (Vertical)'!P:P&gt;1)})&gt;1))),""""),"""")"),"")</f>
        <v/>
      </c>
      <c r="K341" s="358"/>
    </row>
    <row r="342">
      <c r="A342" s="300" t="s">
        <v>22</v>
      </c>
      <c r="C342" s="300" t="s">
        <v>22</v>
      </c>
      <c r="D342" s="300" t="s">
        <v>22</v>
      </c>
      <c r="F342" s="300" t="s">
        <v>22</v>
      </c>
      <c r="G342" s="300" t="s">
        <v>22</v>
      </c>
      <c r="I342" s="356" t="str">
        <f>IFERROR(__xludf.DUMMYFUNCTION("if(H342=""Must be Together"",iferror(join("", "",unique(filter({filter('Students (Vertical)'!O:O,'Students (Vertical)'!C:C=B342,'Students (Vertical)'!O:O&lt;&gt;"""");filter('Students (Vertical)'!O:O,'Students (Vertical)'!C:C=E342,'Students (Vertical)'!O:O&lt;&gt;"""&amp;""")},countifs({filter('Students (Vertical)'!O:O,'Students (Vertical)'!C:C=B342,'Students (Vertical)'!O:O&lt;&gt;"""");filter('Students (Vertical)'!O:O,'Students (Vertical)'!C:C=E342,'Students (Vertical)'!O:O&lt;&gt;"""")},{filter('Students (Vertical)'!O:O,'Students ("&amp;"Vertical)'!C:C=B342,'Students (Vertical)'!O:O&lt;&gt;"""");filter('Students (Vertical)'!O:O,'Students (Vertical)'!C:C=E342,'Students (Vertical)'!O:O&lt;&gt;"""")})&gt;1))),""No shared courses""),"""")"),"")</f>
        <v/>
      </c>
      <c r="J342" s="357" t="str">
        <f>IFERROR(__xludf.DUMMYFUNCTION("if(H342=""Can't be Together"",iferror(join("", "",unique(filter({filter('Students (Vertical)'!O:O,'Students (Vertical)'!C:C=B342,'Students (Vertical)'!O:O&lt;&gt;"""",'Students (Vertical)'!P:P&gt;1);filter('Students (Vertical)'!O:O,'Students (Vertical)'!C:C=E342,'"&amp;"Students (Vertical)'!O:O&lt;&gt;"""",'Students (Vertical)'!P:P&gt;1)},countifs({filter('Students (Vertical)'!O:O,'Students (Vertical)'!C:C=B342,'Students (Vertical)'!O:O&lt;&gt;"""",'Students (Vertical)'!P:P&gt;1);filter('Students (Vertical)'!O:O,'Students (Vertical)'!C:C="&amp;"E342,'Students (Vertical)'!O:O&lt;&gt;"""",'Students (Vertical)'!P:P&gt;1)},{filter('Students (Vertical)'!O:O,'Students (Vertical)'!C:C=B342,'Students (Vertical)'!O:O&lt;&gt;"""",'Students (Vertical)'!P:P&gt;1);filter('Students (Vertical)'!O:O,'Students (Vertical)'!C:C=E34"&amp;"2,'Students (Vertical)'!O:O&lt;&gt;"""",'Students (Vertical)'!P:P&gt;1)})&gt;1))),""""),"""")"),"")</f>
        <v/>
      </c>
      <c r="K342" s="358"/>
    </row>
    <row r="343">
      <c r="A343" s="300" t="s">
        <v>22</v>
      </c>
      <c r="C343" s="300" t="s">
        <v>22</v>
      </c>
      <c r="D343" s="300" t="s">
        <v>22</v>
      </c>
      <c r="F343" s="300" t="s">
        <v>22</v>
      </c>
      <c r="G343" s="300" t="s">
        <v>22</v>
      </c>
      <c r="I343" s="356" t="str">
        <f>IFERROR(__xludf.DUMMYFUNCTION("if(H343=""Must be Together"",iferror(join("", "",unique(filter({filter('Students (Vertical)'!O:O,'Students (Vertical)'!C:C=B343,'Students (Vertical)'!O:O&lt;&gt;"""");filter('Students (Vertical)'!O:O,'Students (Vertical)'!C:C=E343,'Students (Vertical)'!O:O&lt;&gt;"""&amp;""")},countifs({filter('Students (Vertical)'!O:O,'Students (Vertical)'!C:C=B343,'Students (Vertical)'!O:O&lt;&gt;"""");filter('Students (Vertical)'!O:O,'Students (Vertical)'!C:C=E343,'Students (Vertical)'!O:O&lt;&gt;"""")},{filter('Students (Vertical)'!O:O,'Students ("&amp;"Vertical)'!C:C=B343,'Students (Vertical)'!O:O&lt;&gt;"""");filter('Students (Vertical)'!O:O,'Students (Vertical)'!C:C=E343,'Students (Vertical)'!O:O&lt;&gt;"""")})&gt;1))),""No shared courses""),"""")"),"")</f>
        <v/>
      </c>
      <c r="J343" s="357" t="str">
        <f>IFERROR(__xludf.DUMMYFUNCTION("if(H343=""Can't be Together"",iferror(join("", "",unique(filter({filter('Students (Vertical)'!O:O,'Students (Vertical)'!C:C=B343,'Students (Vertical)'!O:O&lt;&gt;"""",'Students (Vertical)'!P:P&gt;1);filter('Students (Vertical)'!O:O,'Students (Vertical)'!C:C=E343,'"&amp;"Students (Vertical)'!O:O&lt;&gt;"""",'Students (Vertical)'!P:P&gt;1)},countifs({filter('Students (Vertical)'!O:O,'Students (Vertical)'!C:C=B343,'Students (Vertical)'!O:O&lt;&gt;"""",'Students (Vertical)'!P:P&gt;1);filter('Students (Vertical)'!O:O,'Students (Vertical)'!C:C="&amp;"E343,'Students (Vertical)'!O:O&lt;&gt;"""",'Students (Vertical)'!P:P&gt;1)},{filter('Students (Vertical)'!O:O,'Students (Vertical)'!C:C=B343,'Students (Vertical)'!O:O&lt;&gt;"""",'Students (Vertical)'!P:P&gt;1);filter('Students (Vertical)'!O:O,'Students (Vertical)'!C:C=E34"&amp;"3,'Students (Vertical)'!O:O&lt;&gt;"""",'Students (Vertical)'!P:P&gt;1)})&gt;1))),""""),"""")"),"")</f>
        <v/>
      </c>
      <c r="K343" s="358"/>
    </row>
    <row r="344">
      <c r="A344" s="300" t="s">
        <v>22</v>
      </c>
      <c r="C344" s="300" t="s">
        <v>22</v>
      </c>
      <c r="D344" s="300" t="s">
        <v>22</v>
      </c>
      <c r="F344" s="300" t="s">
        <v>22</v>
      </c>
      <c r="G344" s="300" t="s">
        <v>22</v>
      </c>
      <c r="I344" s="356" t="str">
        <f>IFERROR(__xludf.DUMMYFUNCTION("if(H344=""Must be Together"",iferror(join("", "",unique(filter({filter('Students (Vertical)'!O:O,'Students (Vertical)'!C:C=B344,'Students (Vertical)'!O:O&lt;&gt;"""");filter('Students (Vertical)'!O:O,'Students (Vertical)'!C:C=E344,'Students (Vertical)'!O:O&lt;&gt;"""&amp;""")},countifs({filter('Students (Vertical)'!O:O,'Students (Vertical)'!C:C=B344,'Students (Vertical)'!O:O&lt;&gt;"""");filter('Students (Vertical)'!O:O,'Students (Vertical)'!C:C=E344,'Students (Vertical)'!O:O&lt;&gt;"""")},{filter('Students (Vertical)'!O:O,'Students ("&amp;"Vertical)'!C:C=B344,'Students (Vertical)'!O:O&lt;&gt;"""");filter('Students (Vertical)'!O:O,'Students (Vertical)'!C:C=E344,'Students (Vertical)'!O:O&lt;&gt;"""")})&gt;1))),""No shared courses""),"""")"),"")</f>
        <v/>
      </c>
      <c r="J344" s="357" t="str">
        <f>IFERROR(__xludf.DUMMYFUNCTION("if(H344=""Can't be Together"",iferror(join("", "",unique(filter({filter('Students (Vertical)'!O:O,'Students (Vertical)'!C:C=B344,'Students (Vertical)'!O:O&lt;&gt;"""",'Students (Vertical)'!P:P&gt;1);filter('Students (Vertical)'!O:O,'Students (Vertical)'!C:C=E344,'"&amp;"Students (Vertical)'!O:O&lt;&gt;"""",'Students (Vertical)'!P:P&gt;1)},countifs({filter('Students (Vertical)'!O:O,'Students (Vertical)'!C:C=B344,'Students (Vertical)'!O:O&lt;&gt;"""",'Students (Vertical)'!P:P&gt;1);filter('Students (Vertical)'!O:O,'Students (Vertical)'!C:C="&amp;"E344,'Students (Vertical)'!O:O&lt;&gt;"""",'Students (Vertical)'!P:P&gt;1)},{filter('Students (Vertical)'!O:O,'Students (Vertical)'!C:C=B344,'Students (Vertical)'!O:O&lt;&gt;"""",'Students (Vertical)'!P:P&gt;1);filter('Students (Vertical)'!O:O,'Students (Vertical)'!C:C=E34"&amp;"4,'Students (Vertical)'!O:O&lt;&gt;"""",'Students (Vertical)'!P:P&gt;1)})&gt;1))),""""),"""")"),"")</f>
        <v/>
      </c>
      <c r="K344" s="358"/>
    </row>
    <row r="345">
      <c r="A345" s="300" t="s">
        <v>22</v>
      </c>
      <c r="C345" s="300" t="s">
        <v>22</v>
      </c>
      <c r="D345" s="300" t="s">
        <v>22</v>
      </c>
      <c r="F345" s="300" t="s">
        <v>22</v>
      </c>
      <c r="G345" s="300" t="s">
        <v>22</v>
      </c>
      <c r="I345" s="356" t="str">
        <f>IFERROR(__xludf.DUMMYFUNCTION("if(H345=""Must be Together"",iferror(join("", "",unique(filter({filter('Students (Vertical)'!O:O,'Students (Vertical)'!C:C=B345,'Students (Vertical)'!O:O&lt;&gt;"""");filter('Students (Vertical)'!O:O,'Students (Vertical)'!C:C=E345,'Students (Vertical)'!O:O&lt;&gt;"""&amp;""")},countifs({filter('Students (Vertical)'!O:O,'Students (Vertical)'!C:C=B345,'Students (Vertical)'!O:O&lt;&gt;"""");filter('Students (Vertical)'!O:O,'Students (Vertical)'!C:C=E345,'Students (Vertical)'!O:O&lt;&gt;"""")},{filter('Students (Vertical)'!O:O,'Students ("&amp;"Vertical)'!C:C=B345,'Students (Vertical)'!O:O&lt;&gt;"""");filter('Students (Vertical)'!O:O,'Students (Vertical)'!C:C=E345,'Students (Vertical)'!O:O&lt;&gt;"""")})&gt;1))),""No shared courses""),"""")"),"")</f>
        <v/>
      </c>
      <c r="J345" s="357" t="str">
        <f>IFERROR(__xludf.DUMMYFUNCTION("if(H345=""Can't be Together"",iferror(join("", "",unique(filter({filter('Students (Vertical)'!O:O,'Students (Vertical)'!C:C=B345,'Students (Vertical)'!O:O&lt;&gt;"""",'Students (Vertical)'!P:P&gt;1);filter('Students (Vertical)'!O:O,'Students (Vertical)'!C:C=E345,'"&amp;"Students (Vertical)'!O:O&lt;&gt;"""",'Students (Vertical)'!P:P&gt;1)},countifs({filter('Students (Vertical)'!O:O,'Students (Vertical)'!C:C=B345,'Students (Vertical)'!O:O&lt;&gt;"""",'Students (Vertical)'!P:P&gt;1);filter('Students (Vertical)'!O:O,'Students (Vertical)'!C:C="&amp;"E345,'Students (Vertical)'!O:O&lt;&gt;"""",'Students (Vertical)'!P:P&gt;1)},{filter('Students (Vertical)'!O:O,'Students (Vertical)'!C:C=B345,'Students (Vertical)'!O:O&lt;&gt;"""",'Students (Vertical)'!P:P&gt;1);filter('Students (Vertical)'!O:O,'Students (Vertical)'!C:C=E34"&amp;"5,'Students (Vertical)'!O:O&lt;&gt;"""",'Students (Vertical)'!P:P&gt;1)})&gt;1))),""""),"""")"),"")</f>
        <v/>
      </c>
      <c r="K345" s="358"/>
    </row>
    <row r="346">
      <c r="A346" s="300" t="s">
        <v>22</v>
      </c>
      <c r="C346" s="300" t="s">
        <v>22</v>
      </c>
      <c r="D346" s="300" t="s">
        <v>22</v>
      </c>
      <c r="F346" s="300" t="s">
        <v>22</v>
      </c>
      <c r="G346" s="300" t="s">
        <v>22</v>
      </c>
      <c r="I346" s="356" t="str">
        <f>IFERROR(__xludf.DUMMYFUNCTION("if(H346=""Must be Together"",iferror(join("", "",unique(filter({filter('Students (Vertical)'!O:O,'Students (Vertical)'!C:C=B346,'Students (Vertical)'!O:O&lt;&gt;"""");filter('Students (Vertical)'!O:O,'Students (Vertical)'!C:C=E346,'Students (Vertical)'!O:O&lt;&gt;"""&amp;""")},countifs({filter('Students (Vertical)'!O:O,'Students (Vertical)'!C:C=B346,'Students (Vertical)'!O:O&lt;&gt;"""");filter('Students (Vertical)'!O:O,'Students (Vertical)'!C:C=E346,'Students (Vertical)'!O:O&lt;&gt;"""")},{filter('Students (Vertical)'!O:O,'Students ("&amp;"Vertical)'!C:C=B346,'Students (Vertical)'!O:O&lt;&gt;"""");filter('Students (Vertical)'!O:O,'Students (Vertical)'!C:C=E346,'Students (Vertical)'!O:O&lt;&gt;"""")})&gt;1))),""No shared courses""),"""")"),"")</f>
        <v/>
      </c>
      <c r="J346" s="357" t="str">
        <f>IFERROR(__xludf.DUMMYFUNCTION("if(H346=""Can't be Together"",iferror(join("", "",unique(filter({filter('Students (Vertical)'!O:O,'Students (Vertical)'!C:C=B346,'Students (Vertical)'!O:O&lt;&gt;"""",'Students (Vertical)'!P:P&gt;1);filter('Students (Vertical)'!O:O,'Students (Vertical)'!C:C=E346,'"&amp;"Students (Vertical)'!O:O&lt;&gt;"""",'Students (Vertical)'!P:P&gt;1)},countifs({filter('Students (Vertical)'!O:O,'Students (Vertical)'!C:C=B346,'Students (Vertical)'!O:O&lt;&gt;"""",'Students (Vertical)'!P:P&gt;1);filter('Students (Vertical)'!O:O,'Students (Vertical)'!C:C="&amp;"E346,'Students (Vertical)'!O:O&lt;&gt;"""",'Students (Vertical)'!P:P&gt;1)},{filter('Students (Vertical)'!O:O,'Students (Vertical)'!C:C=B346,'Students (Vertical)'!O:O&lt;&gt;"""",'Students (Vertical)'!P:P&gt;1);filter('Students (Vertical)'!O:O,'Students (Vertical)'!C:C=E34"&amp;"6,'Students (Vertical)'!O:O&lt;&gt;"""",'Students (Vertical)'!P:P&gt;1)})&gt;1))),""""),"""")"),"")</f>
        <v/>
      </c>
      <c r="K346" s="358"/>
    </row>
    <row r="347">
      <c r="A347" s="300" t="s">
        <v>22</v>
      </c>
      <c r="C347" s="300" t="s">
        <v>22</v>
      </c>
      <c r="D347" s="300" t="s">
        <v>22</v>
      </c>
      <c r="F347" s="300" t="s">
        <v>22</v>
      </c>
      <c r="G347" s="300" t="s">
        <v>22</v>
      </c>
      <c r="I347" s="356" t="str">
        <f>IFERROR(__xludf.DUMMYFUNCTION("if(H347=""Must be Together"",iferror(join("", "",unique(filter({filter('Students (Vertical)'!O:O,'Students (Vertical)'!C:C=B347,'Students (Vertical)'!O:O&lt;&gt;"""");filter('Students (Vertical)'!O:O,'Students (Vertical)'!C:C=E347,'Students (Vertical)'!O:O&lt;&gt;"""&amp;""")},countifs({filter('Students (Vertical)'!O:O,'Students (Vertical)'!C:C=B347,'Students (Vertical)'!O:O&lt;&gt;"""");filter('Students (Vertical)'!O:O,'Students (Vertical)'!C:C=E347,'Students (Vertical)'!O:O&lt;&gt;"""")},{filter('Students (Vertical)'!O:O,'Students ("&amp;"Vertical)'!C:C=B347,'Students (Vertical)'!O:O&lt;&gt;"""");filter('Students (Vertical)'!O:O,'Students (Vertical)'!C:C=E347,'Students (Vertical)'!O:O&lt;&gt;"""")})&gt;1))),""No shared courses""),"""")"),"")</f>
        <v/>
      </c>
      <c r="J347" s="357" t="str">
        <f>IFERROR(__xludf.DUMMYFUNCTION("if(H347=""Can't be Together"",iferror(join("", "",unique(filter({filter('Students (Vertical)'!O:O,'Students (Vertical)'!C:C=B347,'Students (Vertical)'!O:O&lt;&gt;"""",'Students (Vertical)'!P:P&gt;1);filter('Students (Vertical)'!O:O,'Students (Vertical)'!C:C=E347,'"&amp;"Students (Vertical)'!O:O&lt;&gt;"""",'Students (Vertical)'!P:P&gt;1)},countifs({filter('Students (Vertical)'!O:O,'Students (Vertical)'!C:C=B347,'Students (Vertical)'!O:O&lt;&gt;"""",'Students (Vertical)'!P:P&gt;1);filter('Students (Vertical)'!O:O,'Students (Vertical)'!C:C="&amp;"E347,'Students (Vertical)'!O:O&lt;&gt;"""",'Students (Vertical)'!P:P&gt;1)},{filter('Students (Vertical)'!O:O,'Students (Vertical)'!C:C=B347,'Students (Vertical)'!O:O&lt;&gt;"""",'Students (Vertical)'!P:P&gt;1);filter('Students (Vertical)'!O:O,'Students (Vertical)'!C:C=E34"&amp;"7,'Students (Vertical)'!O:O&lt;&gt;"""",'Students (Vertical)'!P:P&gt;1)})&gt;1))),""""),"""")"),"")</f>
        <v/>
      </c>
      <c r="K347" s="358"/>
    </row>
    <row r="348">
      <c r="A348" s="300" t="s">
        <v>22</v>
      </c>
      <c r="C348" s="300" t="s">
        <v>22</v>
      </c>
      <c r="D348" s="300" t="s">
        <v>22</v>
      </c>
      <c r="F348" s="300" t="s">
        <v>22</v>
      </c>
      <c r="G348" s="300" t="s">
        <v>22</v>
      </c>
      <c r="I348" s="356" t="str">
        <f>IFERROR(__xludf.DUMMYFUNCTION("if(H348=""Must be Together"",iferror(join("", "",unique(filter({filter('Students (Vertical)'!O:O,'Students (Vertical)'!C:C=B348,'Students (Vertical)'!O:O&lt;&gt;"""");filter('Students (Vertical)'!O:O,'Students (Vertical)'!C:C=E348,'Students (Vertical)'!O:O&lt;&gt;"""&amp;""")},countifs({filter('Students (Vertical)'!O:O,'Students (Vertical)'!C:C=B348,'Students (Vertical)'!O:O&lt;&gt;"""");filter('Students (Vertical)'!O:O,'Students (Vertical)'!C:C=E348,'Students (Vertical)'!O:O&lt;&gt;"""")},{filter('Students (Vertical)'!O:O,'Students ("&amp;"Vertical)'!C:C=B348,'Students (Vertical)'!O:O&lt;&gt;"""");filter('Students (Vertical)'!O:O,'Students (Vertical)'!C:C=E348,'Students (Vertical)'!O:O&lt;&gt;"""")})&gt;1))),""No shared courses""),"""")"),"")</f>
        <v/>
      </c>
      <c r="J348" s="357" t="str">
        <f>IFERROR(__xludf.DUMMYFUNCTION("if(H348=""Can't be Together"",iferror(join("", "",unique(filter({filter('Students (Vertical)'!O:O,'Students (Vertical)'!C:C=B348,'Students (Vertical)'!O:O&lt;&gt;"""",'Students (Vertical)'!P:P&gt;1);filter('Students (Vertical)'!O:O,'Students (Vertical)'!C:C=E348,'"&amp;"Students (Vertical)'!O:O&lt;&gt;"""",'Students (Vertical)'!P:P&gt;1)},countifs({filter('Students (Vertical)'!O:O,'Students (Vertical)'!C:C=B348,'Students (Vertical)'!O:O&lt;&gt;"""",'Students (Vertical)'!P:P&gt;1);filter('Students (Vertical)'!O:O,'Students (Vertical)'!C:C="&amp;"E348,'Students (Vertical)'!O:O&lt;&gt;"""",'Students (Vertical)'!P:P&gt;1)},{filter('Students (Vertical)'!O:O,'Students (Vertical)'!C:C=B348,'Students (Vertical)'!O:O&lt;&gt;"""",'Students (Vertical)'!P:P&gt;1);filter('Students (Vertical)'!O:O,'Students (Vertical)'!C:C=E34"&amp;"8,'Students (Vertical)'!O:O&lt;&gt;"""",'Students (Vertical)'!P:P&gt;1)})&gt;1))),""""),"""")"),"")</f>
        <v/>
      </c>
      <c r="K348" s="358"/>
    </row>
    <row r="349">
      <c r="A349" s="300" t="s">
        <v>22</v>
      </c>
      <c r="C349" s="300" t="s">
        <v>22</v>
      </c>
      <c r="D349" s="300" t="s">
        <v>22</v>
      </c>
      <c r="F349" s="300" t="s">
        <v>22</v>
      </c>
      <c r="G349" s="300" t="s">
        <v>22</v>
      </c>
      <c r="I349" s="356" t="str">
        <f>IFERROR(__xludf.DUMMYFUNCTION("if(H349=""Must be Together"",iferror(join("", "",unique(filter({filter('Students (Vertical)'!O:O,'Students (Vertical)'!C:C=B349,'Students (Vertical)'!O:O&lt;&gt;"""");filter('Students (Vertical)'!O:O,'Students (Vertical)'!C:C=E349,'Students (Vertical)'!O:O&lt;&gt;"""&amp;""")},countifs({filter('Students (Vertical)'!O:O,'Students (Vertical)'!C:C=B349,'Students (Vertical)'!O:O&lt;&gt;"""");filter('Students (Vertical)'!O:O,'Students (Vertical)'!C:C=E349,'Students (Vertical)'!O:O&lt;&gt;"""")},{filter('Students (Vertical)'!O:O,'Students ("&amp;"Vertical)'!C:C=B349,'Students (Vertical)'!O:O&lt;&gt;"""");filter('Students (Vertical)'!O:O,'Students (Vertical)'!C:C=E349,'Students (Vertical)'!O:O&lt;&gt;"""")})&gt;1))),""No shared courses""),"""")"),"")</f>
        <v/>
      </c>
      <c r="J349" s="357" t="str">
        <f>IFERROR(__xludf.DUMMYFUNCTION("if(H349=""Can't be Together"",iferror(join("", "",unique(filter({filter('Students (Vertical)'!O:O,'Students (Vertical)'!C:C=B349,'Students (Vertical)'!O:O&lt;&gt;"""",'Students (Vertical)'!P:P&gt;1);filter('Students (Vertical)'!O:O,'Students (Vertical)'!C:C=E349,'"&amp;"Students (Vertical)'!O:O&lt;&gt;"""",'Students (Vertical)'!P:P&gt;1)},countifs({filter('Students (Vertical)'!O:O,'Students (Vertical)'!C:C=B349,'Students (Vertical)'!O:O&lt;&gt;"""",'Students (Vertical)'!P:P&gt;1);filter('Students (Vertical)'!O:O,'Students (Vertical)'!C:C="&amp;"E349,'Students (Vertical)'!O:O&lt;&gt;"""",'Students (Vertical)'!P:P&gt;1)},{filter('Students (Vertical)'!O:O,'Students (Vertical)'!C:C=B349,'Students (Vertical)'!O:O&lt;&gt;"""",'Students (Vertical)'!P:P&gt;1);filter('Students (Vertical)'!O:O,'Students (Vertical)'!C:C=E34"&amp;"9,'Students (Vertical)'!O:O&lt;&gt;"""",'Students (Vertical)'!P:P&gt;1)})&gt;1))),""""),"""")"),"")</f>
        <v/>
      </c>
      <c r="K349" s="358"/>
    </row>
    <row r="350">
      <c r="A350" s="300" t="s">
        <v>22</v>
      </c>
      <c r="C350" s="300" t="s">
        <v>22</v>
      </c>
      <c r="D350" s="300" t="s">
        <v>22</v>
      </c>
      <c r="F350" s="300" t="s">
        <v>22</v>
      </c>
      <c r="G350" s="300" t="s">
        <v>22</v>
      </c>
      <c r="I350" s="356" t="str">
        <f>IFERROR(__xludf.DUMMYFUNCTION("if(H350=""Must be Together"",iferror(join("", "",unique(filter({filter('Students (Vertical)'!O:O,'Students (Vertical)'!C:C=B350,'Students (Vertical)'!O:O&lt;&gt;"""");filter('Students (Vertical)'!O:O,'Students (Vertical)'!C:C=E350,'Students (Vertical)'!O:O&lt;&gt;"""&amp;""")},countifs({filter('Students (Vertical)'!O:O,'Students (Vertical)'!C:C=B350,'Students (Vertical)'!O:O&lt;&gt;"""");filter('Students (Vertical)'!O:O,'Students (Vertical)'!C:C=E350,'Students (Vertical)'!O:O&lt;&gt;"""")},{filter('Students (Vertical)'!O:O,'Students ("&amp;"Vertical)'!C:C=B350,'Students (Vertical)'!O:O&lt;&gt;"""");filter('Students (Vertical)'!O:O,'Students (Vertical)'!C:C=E350,'Students (Vertical)'!O:O&lt;&gt;"""")})&gt;1))),""No shared courses""),"""")"),"")</f>
        <v/>
      </c>
      <c r="J350" s="357" t="str">
        <f>IFERROR(__xludf.DUMMYFUNCTION("if(H350=""Can't be Together"",iferror(join("", "",unique(filter({filter('Students (Vertical)'!O:O,'Students (Vertical)'!C:C=B350,'Students (Vertical)'!O:O&lt;&gt;"""",'Students (Vertical)'!P:P&gt;1);filter('Students (Vertical)'!O:O,'Students (Vertical)'!C:C=E350,'"&amp;"Students (Vertical)'!O:O&lt;&gt;"""",'Students (Vertical)'!P:P&gt;1)},countifs({filter('Students (Vertical)'!O:O,'Students (Vertical)'!C:C=B350,'Students (Vertical)'!O:O&lt;&gt;"""",'Students (Vertical)'!P:P&gt;1);filter('Students (Vertical)'!O:O,'Students (Vertical)'!C:C="&amp;"E350,'Students (Vertical)'!O:O&lt;&gt;"""",'Students (Vertical)'!P:P&gt;1)},{filter('Students (Vertical)'!O:O,'Students (Vertical)'!C:C=B350,'Students (Vertical)'!O:O&lt;&gt;"""",'Students (Vertical)'!P:P&gt;1);filter('Students (Vertical)'!O:O,'Students (Vertical)'!C:C=E35"&amp;"0,'Students (Vertical)'!O:O&lt;&gt;"""",'Students (Vertical)'!P:P&gt;1)})&gt;1))),""""),"""")"),"")</f>
        <v/>
      </c>
      <c r="K350" s="358"/>
    </row>
    <row r="351">
      <c r="A351" s="300" t="s">
        <v>22</v>
      </c>
      <c r="C351" s="300" t="s">
        <v>22</v>
      </c>
      <c r="D351" s="300" t="s">
        <v>22</v>
      </c>
      <c r="F351" s="300" t="s">
        <v>22</v>
      </c>
      <c r="G351" s="300" t="s">
        <v>22</v>
      </c>
      <c r="I351" s="356" t="str">
        <f>IFERROR(__xludf.DUMMYFUNCTION("if(H351=""Must be Together"",iferror(join("", "",unique(filter({filter('Students (Vertical)'!O:O,'Students (Vertical)'!C:C=B351,'Students (Vertical)'!O:O&lt;&gt;"""");filter('Students (Vertical)'!O:O,'Students (Vertical)'!C:C=E351,'Students (Vertical)'!O:O&lt;&gt;"""&amp;""")},countifs({filter('Students (Vertical)'!O:O,'Students (Vertical)'!C:C=B351,'Students (Vertical)'!O:O&lt;&gt;"""");filter('Students (Vertical)'!O:O,'Students (Vertical)'!C:C=E351,'Students (Vertical)'!O:O&lt;&gt;"""")},{filter('Students (Vertical)'!O:O,'Students ("&amp;"Vertical)'!C:C=B351,'Students (Vertical)'!O:O&lt;&gt;"""");filter('Students (Vertical)'!O:O,'Students (Vertical)'!C:C=E351,'Students (Vertical)'!O:O&lt;&gt;"""")})&gt;1))),""No shared courses""),"""")"),"")</f>
        <v/>
      </c>
      <c r="J351" s="357" t="str">
        <f>IFERROR(__xludf.DUMMYFUNCTION("if(H351=""Can't be Together"",iferror(join("", "",unique(filter({filter('Students (Vertical)'!O:O,'Students (Vertical)'!C:C=B351,'Students (Vertical)'!O:O&lt;&gt;"""",'Students (Vertical)'!P:P&gt;1);filter('Students (Vertical)'!O:O,'Students (Vertical)'!C:C=E351,'"&amp;"Students (Vertical)'!O:O&lt;&gt;"""",'Students (Vertical)'!P:P&gt;1)},countifs({filter('Students (Vertical)'!O:O,'Students (Vertical)'!C:C=B351,'Students (Vertical)'!O:O&lt;&gt;"""",'Students (Vertical)'!P:P&gt;1);filter('Students (Vertical)'!O:O,'Students (Vertical)'!C:C="&amp;"E351,'Students (Vertical)'!O:O&lt;&gt;"""",'Students (Vertical)'!P:P&gt;1)},{filter('Students (Vertical)'!O:O,'Students (Vertical)'!C:C=B351,'Students (Vertical)'!O:O&lt;&gt;"""",'Students (Vertical)'!P:P&gt;1);filter('Students (Vertical)'!O:O,'Students (Vertical)'!C:C=E35"&amp;"1,'Students (Vertical)'!O:O&lt;&gt;"""",'Students (Vertical)'!P:P&gt;1)})&gt;1))),""""),"""")"),"")</f>
        <v/>
      </c>
      <c r="K351" s="358"/>
    </row>
    <row r="352">
      <c r="A352" s="300" t="s">
        <v>22</v>
      </c>
      <c r="C352" s="300" t="s">
        <v>22</v>
      </c>
      <c r="D352" s="300" t="s">
        <v>22</v>
      </c>
      <c r="F352" s="300" t="s">
        <v>22</v>
      </c>
      <c r="G352" s="300" t="s">
        <v>22</v>
      </c>
      <c r="I352" s="356" t="str">
        <f>IFERROR(__xludf.DUMMYFUNCTION("if(H352=""Must be Together"",iferror(join("", "",unique(filter({filter('Students (Vertical)'!O:O,'Students (Vertical)'!C:C=B352,'Students (Vertical)'!O:O&lt;&gt;"""");filter('Students (Vertical)'!O:O,'Students (Vertical)'!C:C=E352,'Students (Vertical)'!O:O&lt;&gt;"""&amp;""")},countifs({filter('Students (Vertical)'!O:O,'Students (Vertical)'!C:C=B352,'Students (Vertical)'!O:O&lt;&gt;"""");filter('Students (Vertical)'!O:O,'Students (Vertical)'!C:C=E352,'Students (Vertical)'!O:O&lt;&gt;"""")},{filter('Students (Vertical)'!O:O,'Students ("&amp;"Vertical)'!C:C=B352,'Students (Vertical)'!O:O&lt;&gt;"""");filter('Students (Vertical)'!O:O,'Students (Vertical)'!C:C=E352,'Students (Vertical)'!O:O&lt;&gt;"""")})&gt;1))),""No shared courses""),"""")"),"")</f>
        <v/>
      </c>
      <c r="J352" s="357" t="str">
        <f>IFERROR(__xludf.DUMMYFUNCTION("if(H352=""Can't be Together"",iferror(join("", "",unique(filter({filter('Students (Vertical)'!O:O,'Students (Vertical)'!C:C=B352,'Students (Vertical)'!O:O&lt;&gt;"""",'Students (Vertical)'!P:P&gt;1);filter('Students (Vertical)'!O:O,'Students (Vertical)'!C:C=E352,'"&amp;"Students (Vertical)'!O:O&lt;&gt;"""",'Students (Vertical)'!P:P&gt;1)},countifs({filter('Students (Vertical)'!O:O,'Students (Vertical)'!C:C=B352,'Students (Vertical)'!O:O&lt;&gt;"""",'Students (Vertical)'!P:P&gt;1);filter('Students (Vertical)'!O:O,'Students (Vertical)'!C:C="&amp;"E352,'Students (Vertical)'!O:O&lt;&gt;"""",'Students (Vertical)'!P:P&gt;1)},{filter('Students (Vertical)'!O:O,'Students (Vertical)'!C:C=B352,'Students (Vertical)'!O:O&lt;&gt;"""",'Students (Vertical)'!P:P&gt;1);filter('Students (Vertical)'!O:O,'Students (Vertical)'!C:C=E35"&amp;"2,'Students (Vertical)'!O:O&lt;&gt;"""",'Students (Vertical)'!P:P&gt;1)})&gt;1))),""""),"""")"),"")</f>
        <v/>
      </c>
      <c r="K352" s="358"/>
    </row>
    <row r="353">
      <c r="A353" s="300" t="s">
        <v>22</v>
      </c>
      <c r="C353" s="300" t="s">
        <v>22</v>
      </c>
      <c r="D353" s="300" t="s">
        <v>22</v>
      </c>
      <c r="F353" s="300" t="s">
        <v>22</v>
      </c>
      <c r="G353" s="300" t="s">
        <v>22</v>
      </c>
      <c r="I353" s="356" t="str">
        <f>IFERROR(__xludf.DUMMYFUNCTION("if(H353=""Must be Together"",iferror(join("", "",unique(filter({filter('Students (Vertical)'!O:O,'Students (Vertical)'!C:C=B353,'Students (Vertical)'!O:O&lt;&gt;"""");filter('Students (Vertical)'!O:O,'Students (Vertical)'!C:C=E353,'Students (Vertical)'!O:O&lt;&gt;"""&amp;""")},countifs({filter('Students (Vertical)'!O:O,'Students (Vertical)'!C:C=B353,'Students (Vertical)'!O:O&lt;&gt;"""");filter('Students (Vertical)'!O:O,'Students (Vertical)'!C:C=E353,'Students (Vertical)'!O:O&lt;&gt;"""")},{filter('Students (Vertical)'!O:O,'Students ("&amp;"Vertical)'!C:C=B353,'Students (Vertical)'!O:O&lt;&gt;"""");filter('Students (Vertical)'!O:O,'Students (Vertical)'!C:C=E353,'Students (Vertical)'!O:O&lt;&gt;"""")})&gt;1))),""No shared courses""),"""")"),"")</f>
        <v/>
      </c>
      <c r="J353" s="357" t="str">
        <f>IFERROR(__xludf.DUMMYFUNCTION("if(H353=""Can't be Together"",iferror(join("", "",unique(filter({filter('Students (Vertical)'!O:O,'Students (Vertical)'!C:C=B353,'Students (Vertical)'!O:O&lt;&gt;"""",'Students (Vertical)'!P:P&gt;1);filter('Students (Vertical)'!O:O,'Students (Vertical)'!C:C=E353,'"&amp;"Students (Vertical)'!O:O&lt;&gt;"""",'Students (Vertical)'!P:P&gt;1)},countifs({filter('Students (Vertical)'!O:O,'Students (Vertical)'!C:C=B353,'Students (Vertical)'!O:O&lt;&gt;"""",'Students (Vertical)'!P:P&gt;1);filter('Students (Vertical)'!O:O,'Students (Vertical)'!C:C="&amp;"E353,'Students (Vertical)'!O:O&lt;&gt;"""",'Students (Vertical)'!P:P&gt;1)},{filter('Students (Vertical)'!O:O,'Students (Vertical)'!C:C=B353,'Students (Vertical)'!O:O&lt;&gt;"""",'Students (Vertical)'!P:P&gt;1);filter('Students (Vertical)'!O:O,'Students (Vertical)'!C:C=E35"&amp;"3,'Students (Vertical)'!O:O&lt;&gt;"""",'Students (Vertical)'!P:P&gt;1)})&gt;1))),""""),"""")"),"")</f>
        <v/>
      </c>
      <c r="K353" s="358"/>
    </row>
    <row r="354">
      <c r="A354" s="300" t="s">
        <v>22</v>
      </c>
      <c r="C354" s="300" t="s">
        <v>22</v>
      </c>
      <c r="D354" s="300" t="s">
        <v>22</v>
      </c>
      <c r="F354" s="300" t="s">
        <v>22</v>
      </c>
      <c r="G354" s="300" t="s">
        <v>22</v>
      </c>
      <c r="I354" s="356" t="str">
        <f>IFERROR(__xludf.DUMMYFUNCTION("if(H354=""Must be Together"",iferror(join("", "",unique(filter({filter('Students (Vertical)'!O:O,'Students (Vertical)'!C:C=B354,'Students (Vertical)'!O:O&lt;&gt;"""");filter('Students (Vertical)'!O:O,'Students (Vertical)'!C:C=E354,'Students (Vertical)'!O:O&lt;&gt;"""&amp;""")},countifs({filter('Students (Vertical)'!O:O,'Students (Vertical)'!C:C=B354,'Students (Vertical)'!O:O&lt;&gt;"""");filter('Students (Vertical)'!O:O,'Students (Vertical)'!C:C=E354,'Students (Vertical)'!O:O&lt;&gt;"""")},{filter('Students (Vertical)'!O:O,'Students ("&amp;"Vertical)'!C:C=B354,'Students (Vertical)'!O:O&lt;&gt;"""");filter('Students (Vertical)'!O:O,'Students (Vertical)'!C:C=E354,'Students (Vertical)'!O:O&lt;&gt;"""")})&gt;1))),""No shared courses""),"""")"),"")</f>
        <v/>
      </c>
      <c r="J354" s="357" t="str">
        <f>IFERROR(__xludf.DUMMYFUNCTION("if(H354=""Can't be Together"",iferror(join("", "",unique(filter({filter('Students (Vertical)'!O:O,'Students (Vertical)'!C:C=B354,'Students (Vertical)'!O:O&lt;&gt;"""",'Students (Vertical)'!P:P&gt;1);filter('Students (Vertical)'!O:O,'Students (Vertical)'!C:C=E354,'"&amp;"Students (Vertical)'!O:O&lt;&gt;"""",'Students (Vertical)'!P:P&gt;1)},countifs({filter('Students (Vertical)'!O:O,'Students (Vertical)'!C:C=B354,'Students (Vertical)'!O:O&lt;&gt;"""",'Students (Vertical)'!P:P&gt;1);filter('Students (Vertical)'!O:O,'Students (Vertical)'!C:C="&amp;"E354,'Students (Vertical)'!O:O&lt;&gt;"""",'Students (Vertical)'!P:P&gt;1)},{filter('Students (Vertical)'!O:O,'Students (Vertical)'!C:C=B354,'Students (Vertical)'!O:O&lt;&gt;"""",'Students (Vertical)'!P:P&gt;1);filter('Students (Vertical)'!O:O,'Students (Vertical)'!C:C=E35"&amp;"4,'Students (Vertical)'!O:O&lt;&gt;"""",'Students (Vertical)'!P:P&gt;1)})&gt;1))),""""),"""")"),"")</f>
        <v/>
      </c>
      <c r="K354" s="358"/>
    </row>
    <row r="355">
      <c r="A355" s="300" t="s">
        <v>22</v>
      </c>
      <c r="C355" s="300" t="s">
        <v>22</v>
      </c>
      <c r="D355" s="300" t="s">
        <v>22</v>
      </c>
      <c r="F355" s="300" t="s">
        <v>22</v>
      </c>
      <c r="G355" s="300" t="s">
        <v>22</v>
      </c>
      <c r="I355" s="356" t="str">
        <f>IFERROR(__xludf.DUMMYFUNCTION("if(H355=""Must be Together"",iferror(join("", "",unique(filter({filter('Students (Vertical)'!O:O,'Students (Vertical)'!C:C=B355,'Students (Vertical)'!O:O&lt;&gt;"""");filter('Students (Vertical)'!O:O,'Students (Vertical)'!C:C=E355,'Students (Vertical)'!O:O&lt;&gt;"""&amp;""")},countifs({filter('Students (Vertical)'!O:O,'Students (Vertical)'!C:C=B355,'Students (Vertical)'!O:O&lt;&gt;"""");filter('Students (Vertical)'!O:O,'Students (Vertical)'!C:C=E355,'Students (Vertical)'!O:O&lt;&gt;"""")},{filter('Students (Vertical)'!O:O,'Students ("&amp;"Vertical)'!C:C=B355,'Students (Vertical)'!O:O&lt;&gt;"""");filter('Students (Vertical)'!O:O,'Students (Vertical)'!C:C=E355,'Students (Vertical)'!O:O&lt;&gt;"""")})&gt;1))),""No shared courses""),"""")"),"")</f>
        <v/>
      </c>
      <c r="J355" s="357" t="str">
        <f>IFERROR(__xludf.DUMMYFUNCTION("if(H355=""Can't be Together"",iferror(join("", "",unique(filter({filter('Students (Vertical)'!O:O,'Students (Vertical)'!C:C=B355,'Students (Vertical)'!O:O&lt;&gt;"""",'Students (Vertical)'!P:P&gt;1);filter('Students (Vertical)'!O:O,'Students (Vertical)'!C:C=E355,'"&amp;"Students (Vertical)'!O:O&lt;&gt;"""",'Students (Vertical)'!P:P&gt;1)},countifs({filter('Students (Vertical)'!O:O,'Students (Vertical)'!C:C=B355,'Students (Vertical)'!O:O&lt;&gt;"""",'Students (Vertical)'!P:P&gt;1);filter('Students (Vertical)'!O:O,'Students (Vertical)'!C:C="&amp;"E355,'Students (Vertical)'!O:O&lt;&gt;"""",'Students (Vertical)'!P:P&gt;1)},{filter('Students (Vertical)'!O:O,'Students (Vertical)'!C:C=B355,'Students (Vertical)'!O:O&lt;&gt;"""",'Students (Vertical)'!P:P&gt;1);filter('Students (Vertical)'!O:O,'Students (Vertical)'!C:C=E35"&amp;"5,'Students (Vertical)'!O:O&lt;&gt;"""",'Students (Vertical)'!P:P&gt;1)})&gt;1))),""""),"""")"),"")</f>
        <v/>
      </c>
      <c r="K355" s="358"/>
    </row>
    <row r="356">
      <c r="A356" s="300" t="s">
        <v>22</v>
      </c>
      <c r="C356" s="300" t="s">
        <v>22</v>
      </c>
      <c r="D356" s="300" t="s">
        <v>22</v>
      </c>
      <c r="F356" s="300" t="s">
        <v>22</v>
      </c>
      <c r="G356" s="300" t="s">
        <v>22</v>
      </c>
      <c r="I356" s="356" t="str">
        <f>IFERROR(__xludf.DUMMYFUNCTION("if(H356=""Must be Together"",iferror(join("", "",unique(filter({filter('Students (Vertical)'!O:O,'Students (Vertical)'!C:C=B356,'Students (Vertical)'!O:O&lt;&gt;"""");filter('Students (Vertical)'!O:O,'Students (Vertical)'!C:C=E356,'Students (Vertical)'!O:O&lt;&gt;"""&amp;""")},countifs({filter('Students (Vertical)'!O:O,'Students (Vertical)'!C:C=B356,'Students (Vertical)'!O:O&lt;&gt;"""");filter('Students (Vertical)'!O:O,'Students (Vertical)'!C:C=E356,'Students (Vertical)'!O:O&lt;&gt;"""")},{filter('Students (Vertical)'!O:O,'Students ("&amp;"Vertical)'!C:C=B356,'Students (Vertical)'!O:O&lt;&gt;"""");filter('Students (Vertical)'!O:O,'Students (Vertical)'!C:C=E356,'Students (Vertical)'!O:O&lt;&gt;"""")})&gt;1))),""No shared courses""),"""")"),"")</f>
        <v/>
      </c>
      <c r="J356" s="357" t="str">
        <f>IFERROR(__xludf.DUMMYFUNCTION("if(H356=""Can't be Together"",iferror(join("", "",unique(filter({filter('Students (Vertical)'!O:O,'Students (Vertical)'!C:C=B356,'Students (Vertical)'!O:O&lt;&gt;"""",'Students (Vertical)'!P:P&gt;1);filter('Students (Vertical)'!O:O,'Students (Vertical)'!C:C=E356,'"&amp;"Students (Vertical)'!O:O&lt;&gt;"""",'Students (Vertical)'!P:P&gt;1)},countifs({filter('Students (Vertical)'!O:O,'Students (Vertical)'!C:C=B356,'Students (Vertical)'!O:O&lt;&gt;"""",'Students (Vertical)'!P:P&gt;1);filter('Students (Vertical)'!O:O,'Students (Vertical)'!C:C="&amp;"E356,'Students (Vertical)'!O:O&lt;&gt;"""",'Students (Vertical)'!P:P&gt;1)},{filter('Students (Vertical)'!O:O,'Students (Vertical)'!C:C=B356,'Students (Vertical)'!O:O&lt;&gt;"""",'Students (Vertical)'!P:P&gt;1);filter('Students (Vertical)'!O:O,'Students (Vertical)'!C:C=E35"&amp;"6,'Students (Vertical)'!O:O&lt;&gt;"""",'Students (Vertical)'!P:P&gt;1)})&gt;1))),""""),"""")"),"")</f>
        <v/>
      </c>
      <c r="K356" s="358"/>
    </row>
    <row r="357">
      <c r="A357" s="300" t="s">
        <v>22</v>
      </c>
      <c r="C357" s="300" t="s">
        <v>22</v>
      </c>
      <c r="D357" s="300" t="s">
        <v>22</v>
      </c>
      <c r="F357" s="300" t="s">
        <v>22</v>
      </c>
      <c r="G357" s="300" t="s">
        <v>22</v>
      </c>
      <c r="I357" s="356" t="str">
        <f>IFERROR(__xludf.DUMMYFUNCTION("if(H357=""Must be Together"",iferror(join("", "",unique(filter({filter('Students (Vertical)'!O:O,'Students (Vertical)'!C:C=B357,'Students (Vertical)'!O:O&lt;&gt;"""");filter('Students (Vertical)'!O:O,'Students (Vertical)'!C:C=E357,'Students (Vertical)'!O:O&lt;&gt;"""&amp;""")},countifs({filter('Students (Vertical)'!O:O,'Students (Vertical)'!C:C=B357,'Students (Vertical)'!O:O&lt;&gt;"""");filter('Students (Vertical)'!O:O,'Students (Vertical)'!C:C=E357,'Students (Vertical)'!O:O&lt;&gt;"""")},{filter('Students (Vertical)'!O:O,'Students ("&amp;"Vertical)'!C:C=B357,'Students (Vertical)'!O:O&lt;&gt;"""");filter('Students (Vertical)'!O:O,'Students (Vertical)'!C:C=E357,'Students (Vertical)'!O:O&lt;&gt;"""")})&gt;1))),""No shared courses""),"""")"),"")</f>
        <v/>
      </c>
      <c r="J357" s="357" t="str">
        <f>IFERROR(__xludf.DUMMYFUNCTION("if(H357=""Can't be Together"",iferror(join("", "",unique(filter({filter('Students (Vertical)'!O:O,'Students (Vertical)'!C:C=B357,'Students (Vertical)'!O:O&lt;&gt;"""",'Students (Vertical)'!P:P&gt;1);filter('Students (Vertical)'!O:O,'Students (Vertical)'!C:C=E357,'"&amp;"Students (Vertical)'!O:O&lt;&gt;"""",'Students (Vertical)'!P:P&gt;1)},countifs({filter('Students (Vertical)'!O:O,'Students (Vertical)'!C:C=B357,'Students (Vertical)'!O:O&lt;&gt;"""",'Students (Vertical)'!P:P&gt;1);filter('Students (Vertical)'!O:O,'Students (Vertical)'!C:C="&amp;"E357,'Students (Vertical)'!O:O&lt;&gt;"""",'Students (Vertical)'!P:P&gt;1)},{filter('Students (Vertical)'!O:O,'Students (Vertical)'!C:C=B357,'Students (Vertical)'!O:O&lt;&gt;"""",'Students (Vertical)'!P:P&gt;1);filter('Students (Vertical)'!O:O,'Students (Vertical)'!C:C=E35"&amp;"7,'Students (Vertical)'!O:O&lt;&gt;"""",'Students (Vertical)'!P:P&gt;1)})&gt;1))),""""),"""")"),"")</f>
        <v/>
      </c>
      <c r="K357" s="358"/>
    </row>
    <row r="358">
      <c r="A358" s="300" t="s">
        <v>22</v>
      </c>
      <c r="C358" s="300" t="s">
        <v>22</v>
      </c>
      <c r="D358" s="300" t="s">
        <v>22</v>
      </c>
      <c r="F358" s="300" t="s">
        <v>22</v>
      </c>
      <c r="G358" s="300" t="s">
        <v>22</v>
      </c>
      <c r="I358" s="356" t="str">
        <f>IFERROR(__xludf.DUMMYFUNCTION("if(H358=""Must be Together"",iferror(join("", "",unique(filter({filter('Students (Vertical)'!O:O,'Students (Vertical)'!C:C=B358,'Students (Vertical)'!O:O&lt;&gt;"""");filter('Students (Vertical)'!O:O,'Students (Vertical)'!C:C=E358,'Students (Vertical)'!O:O&lt;&gt;"""&amp;""")},countifs({filter('Students (Vertical)'!O:O,'Students (Vertical)'!C:C=B358,'Students (Vertical)'!O:O&lt;&gt;"""");filter('Students (Vertical)'!O:O,'Students (Vertical)'!C:C=E358,'Students (Vertical)'!O:O&lt;&gt;"""")},{filter('Students (Vertical)'!O:O,'Students ("&amp;"Vertical)'!C:C=B358,'Students (Vertical)'!O:O&lt;&gt;"""");filter('Students (Vertical)'!O:O,'Students (Vertical)'!C:C=E358,'Students (Vertical)'!O:O&lt;&gt;"""")})&gt;1))),""No shared courses""),"""")"),"")</f>
        <v/>
      </c>
      <c r="J358" s="357" t="str">
        <f>IFERROR(__xludf.DUMMYFUNCTION("if(H358=""Can't be Together"",iferror(join("", "",unique(filter({filter('Students (Vertical)'!O:O,'Students (Vertical)'!C:C=B358,'Students (Vertical)'!O:O&lt;&gt;"""",'Students (Vertical)'!P:P&gt;1);filter('Students (Vertical)'!O:O,'Students (Vertical)'!C:C=E358,'"&amp;"Students (Vertical)'!O:O&lt;&gt;"""",'Students (Vertical)'!P:P&gt;1)},countifs({filter('Students (Vertical)'!O:O,'Students (Vertical)'!C:C=B358,'Students (Vertical)'!O:O&lt;&gt;"""",'Students (Vertical)'!P:P&gt;1);filter('Students (Vertical)'!O:O,'Students (Vertical)'!C:C="&amp;"E358,'Students (Vertical)'!O:O&lt;&gt;"""",'Students (Vertical)'!P:P&gt;1)},{filter('Students (Vertical)'!O:O,'Students (Vertical)'!C:C=B358,'Students (Vertical)'!O:O&lt;&gt;"""",'Students (Vertical)'!P:P&gt;1);filter('Students (Vertical)'!O:O,'Students (Vertical)'!C:C=E35"&amp;"8,'Students (Vertical)'!O:O&lt;&gt;"""",'Students (Vertical)'!P:P&gt;1)})&gt;1))),""""),"""")"),"")</f>
        <v/>
      </c>
      <c r="K358" s="358"/>
    </row>
    <row r="359">
      <c r="A359" s="300" t="s">
        <v>22</v>
      </c>
      <c r="C359" s="300" t="s">
        <v>22</v>
      </c>
      <c r="D359" s="300" t="s">
        <v>22</v>
      </c>
      <c r="F359" s="300" t="s">
        <v>22</v>
      </c>
      <c r="G359" s="300" t="s">
        <v>22</v>
      </c>
      <c r="I359" s="356" t="str">
        <f>IFERROR(__xludf.DUMMYFUNCTION("if(H359=""Must be Together"",iferror(join("", "",unique(filter({filter('Students (Vertical)'!O:O,'Students (Vertical)'!C:C=B359,'Students (Vertical)'!O:O&lt;&gt;"""");filter('Students (Vertical)'!O:O,'Students (Vertical)'!C:C=E359,'Students (Vertical)'!O:O&lt;&gt;"""&amp;""")},countifs({filter('Students (Vertical)'!O:O,'Students (Vertical)'!C:C=B359,'Students (Vertical)'!O:O&lt;&gt;"""");filter('Students (Vertical)'!O:O,'Students (Vertical)'!C:C=E359,'Students (Vertical)'!O:O&lt;&gt;"""")},{filter('Students (Vertical)'!O:O,'Students ("&amp;"Vertical)'!C:C=B359,'Students (Vertical)'!O:O&lt;&gt;"""");filter('Students (Vertical)'!O:O,'Students (Vertical)'!C:C=E359,'Students (Vertical)'!O:O&lt;&gt;"""")})&gt;1))),""No shared courses""),"""")"),"")</f>
        <v/>
      </c>
      <c r="J359" s="357" t="str">
        <f>IFERROR(__xludf.DUMMYFUNCTION("if(H359=""Can't be Together"",iferror(join("", "",unique(filter({filter('Students (Vertical)'!O:O,'Students (Vertical)'!C:C=B359,'Students (Vertical)'!O:O&lt;&gt;"""",'Students (Vertical)'!P:P&gt;1);filter('Students (Vertical)'!O:O,'Students (Vertical)'!C:C=E359,'"&amp;"Students (Vertical)'!O:O&lt;&gt;"""",'Students (Vertical)'!P:P&gt;1)},countifs({filter('Students (Vertical)'!O:O,'Students (Vertical)'!C:C=B359,'Students (Vertical)'!O:O&lt;&gt;"""",'Students (Vertical)'!P:P&gt;1);filter('Students (Vertical)'!O:O,'Students (Vertical)'!C:C="&amp;"E359,'Students (Vertical)'!O:O&lt;&gt;"""",'Students (Vertical)'!P:P&gt;1)},{filter('Students (Vertical)'!O:O,'Students (Vertical)'!C:C=B359,'Students (Vertical)'!O:O&lt;&gt;"""",'Students (Vertical)'!P:P&gt;1);filter('Students (Vertical)'!O:O,'Students (Vertical)'!C:C=E35"&amp;"9,'Students (Vertical)'!O:O&lt;&gt;"""",'Students (Vertical)'!P:P&gt;1)})&gt;1))),""""),"""")"),"")</f>
        <v/>
      </c>
      <c r="K359" s="358"/>
    </row>
    <row r="360">
      <c r="A360" s="300" t="s">
        <v>22</v>
      </c>
      <c r="C360" s="300" t="s">
        <v>22</v>
      </c>
      <c r="D360" s="300" t="s">
        <v>22</v>
      </c>
      <c r="F360" s="300" t="s">
        <v>22</v>
      </c>
      <c r="G360" s="300" t="s">
        <v>22</v>
      </c>
      <c r="I360" s="356" t="str">
        <f>IFERROR(__xludf.DUMMYFUNCTION("if(H360=""Must be Together"",iferror(join("", "",unique(filter({filter('Students (Vertical)'!O:O,'Students (Vertical)'!C:C=B360,'Students (Vertical)'!O:O&lt;&gt;"""");filter('Students (Vertical)'!O:O,'Students (Vertical)'!C:C=E360,'Students (Vertical)'!O:O&lt;&gt;"""&amp;""")},countifs({filter('Students (Vertical)'!O:O,'Students (Vertical)'!C:C=B360,'Students (Vertical)'!O:O&lt;&gt;"""");filter('Students (Vertical)'!O:O,'Students (Vertical)'!C:C=E360,'Students (Vertical)'!O:O&lt;&gt;"""")},{filter('Students (Vertical)'!O:O,'Students ("&amp;"Vertical)'!C:C=B360,'Students (Vertical)'!O:O&lt;&gt;"""");filter('Students (Vertical)'!O:O,'Students (Vertical)'!C:C=E360,'Students (Vertical)'!O:O&lt;&gt;"""")})&gt;1))),""No shared courses""),"""")"),"")</f>
        <v/>
      </c>
      <c r="J360" s="357" t="str">
        <f>IFERROR(__xludf.DUMMYFUNCTION("if(H360=""Can't be Together"",iferror(join("", "",unique(filter({filter('Students (Vertical)'!O:O,'Students (Vertical)'!C:C=B360,'Students (Vertical)'!O:O&lt;&gt;"""",'Students (Vertical)'!P:P&gt;1);filter('Students (Vertical)'!O:O,'Students (Vertical)'!C:C=E360,'"&amp;"Students (Vertical)'!O:O&lt;&gt;"""",'Students (Vertical)'!P:P&gt;1)},countifs({filter('Students (Vertical)'!O:O,'Students (Vertical)'!C:C=B360,'Students (Vertical)'!O:O&lt;&gt;"""",'Students (Vertical)'!P:P&gt;1);filter('Students (Vertical)'!O:O,'Students (Vertical)'!C:C="&amp;"E360,'Students (Vertical)'!O:O&lt;&gt;"""",'Students (Vertical)'!P:P&gt;1)},{filter('Students (Vertical)'!O:O,'Students (Vertical)'!C:C=B360,'Students (Vertical)'!O:O&lt;&gt;"""",'Students (Vertical)'!P:P&gt;1);filter('Students (Vertical)'!O:O,'Students (Vertical)'!C:C=E36"&amp;"0,'Students (Vertical)'!O:O&lt;&gt;"""",'Students (Vertical)'!P:P&gt;1)})&gt;1))),""""),"""")"),"")</f>
        <v/>
      </c>
      <c r="K360" s="358"/>
    </row>
    <row r="361">
      <c r="A361" s="300" t="s">
        <v>22</v>
      </c>
      <c r="C361" s="300" t="s">
        <v>22</v>
      </c>
      <c r="D361" s="300" t="s">
        <v>22</v>
      </c>
      <c r="F361" s="300" t="s">
        <v>22</v>
      </c>
      <c r="G361" s="300" t="s">
        <v>22</v>
      </c>
      <c r="I361" s="356" t="str">
        <f>IFERROR(__xludf.DUMMYFUNCTION("if(H361=""Must be Together"",iferror(join("", "",unique(filter({filter('Students (Vertical)'!O:O,'Students (Vertical)'!C:C=B361,'Students (Vertical)'!O:O&lt;&gt;"""");filter('Students (Vertical)'!O:O,'Students (Vertical)'!C:C=E361,'Students (Vertical)'!O:O&lt;&gt;"""&amp;""")},countifs({filter('Students (Vertical)'!O:O,'Students (Vertical)'!C:C=B361,'Students (Vertical)'!O:O&lt;&gt;"""");filter('Students (Vertical)'!O:O,'Students (Vertical)'!C:C=E361,'Students (Vertical)'!O:O&lt;&gt;"""")},{filter('Students (Vertical)'!O:O,'Students ("&amp;"Vertical)'!C:C=B361,'Students (Vertical)'!O:O&lt;&gt;"""");filter('Students (Vertical)'!O:O,'Students (Vertical)'!C:C=E361,'Students (Vertical)'!O:O&lt;&gt;"""")})&gt;1))),""No shared courses""),"""")"),"")</f>
        <v/>
      </c>
      <c r="J361" s="357" t="str">
        <f>IFERROR(__xludf.DUMMYFUNCTION("if(H361=""Can't be Together"",iferror(join("", "",unique(filter({filter('Students (Vertical)'!O:O,'Students (Vertical)'!C:C=B361,'Students (Vertical)'!O:O&lt;&gt;"""",'Students (Vertical)'!P:P&gt;1);filter('Students (Vertical)'!O:O,'Students (Vertical)'!C:C=E361,'"&amp;"Students (Vertical)'!O:O&lt;&gt;"""",'Students (Vertical)'!P:P&gt;1)},countifs({filter('Students (Vertical)'!O:O,'Students (Vertical)'!C:C=B361,'Students (Vertical)'!O:O&lt;&gt;"""",'Students (Vertical)'!P:P&gt;1);filter('Students (Vertical)'!O:O,'Students (Vertical)'!C:C="&amp;"E361,'Students (Vertical)'!O:O&lt;&gt;"""",'Students (Vertical)'!P:P&gt;1)},{filter('Students (Vertical)'!O:O,'Students (Vertical)'!C:C=B361,'Students (Vertical)'!O:O&lt;&gt;"""",'Students (Vertical)'!P:P&gt;1);filter('Students (Vertical)'!O:O,'Students (Vertical)'!C:C=E36"&amp;"1,'Students (Vertical)'!O:O&lt;&gt;"""",'Students (Vertical)'!P:P&gt;1)})&gt;1))),""""),"""")"),"")</f>
        <v/>
      </c>
      <c r="K361" s="358"/>
    </row>
    <row r="362">
      <c r="A362" s="300" t="s">
        <v>22</v>
      </c>
      <c r="C362" s="300" t="s">
        <v>22</v>
      </c>
      <c r="D362" s="300" t="s">
        <v>22</v>
      </c>
      <c r="F362" s="300" t="s">
        <v>22</v>
      </c>
      <c r="G362" s="300" t="s">
        <v>22</v>
      </c>
      <c r="I362" s="356" t="str">
        <f>IFERROR(__xludf.DUMMYFUNCTION("if(H362=""Must be Together"",iferror(join("", "",unique(filter({filter('Students (Vertical)'!O:O,'Students (Vertical)'!C:C=B362,'Students (Vertical)'!O:O&lt;&gt;"""");filter('Students (Vertical)'!O:O,'Students (Vertical)'!C:C=E362,'Students (Vertical)'!O:O&lt;&gt;"""&amp;""")},countifs({filter('Students (Vertical)'!O:O,'Students (Vertical)'!C:C=B362,'Students (Vertical)'!O:O&lt;&gt;"""");filter('Students (Vertical)'!O:O,'Students (Vertical)'!C:C=E362,'Students (Vertical)'!O:O&lt;&gt;"""")},{filter('Students (Vertical)'!O:O,'Students ("&amp;"Vertical)'!C:C=B362,'Students (Vertical)'!O:O&lt;&gt;"""");filter('Students (Vertical)'!O:O,'Students (Vertical)'!C:C=E362,'Students (Vertical)'!O:O&lt;&gt;"""")})&gt;1))),""No shared courses""),"""")"),"")</f>
        <v/>
      </c>
      <c r="J362" s="357" t="str">
        <f>IFERROR(__xludf.DUMMYFUNCTION("if(H362=""Can't be Together"",iferror(join("", "",unique(filter({filter('Students (Vertical)'!O:O,'Students (Vertical)'!C:C=B362,'Students (Vertical)'!O:O&lt;&gt;"""",'Students (Vertical)'!P:P&gt;1);filter('Students (Vertical)'!O:O,'Students (Vertical)'!C:C=E362,'"&amp;"Students (Vertical)'!O:O&lt;&gt;"""",'Students (Vertical)'!P:P&gt;1)},countifs({filter('Students (Vertical)'!O:O,'Students (Vertical)'!C:C=B362,'Students (Vertical)'!O:O&lt;&gt;"""",'Students (Vertical)'!P:P&gt;1);filter('Students (Vertical)'!O:O,'Students (Vertical)'!C:C="&amp;"E362,'Students (Vertical)'!O:O&lt;&gt;"""",'Students (Vertical)'!P:P&gt;1)},{filter('Students (Vertical)'!O:O,'Students (Vertical)'!C:C=B362,'Students (Vertical)'!O:O&lt;&gt;"""",'Students (Vertical)'!P:P&gt;1);filter('Students (Vertical)'!O:O,'Students (Vertical)'!C:C=E36"&amp;"2,'Students (Vertical)'!O:O&lt;&gt;"""",'Students (Vertical)'!P:P&gt;1)})&gt;1))),""""),"""")"),"")</f>
        <v/>
      </c>
      <c r="K362" s="358"/>
    </row>
    <row r="363">
      <c r="A363" s="300" t="s">
        <v>22</v>
      </c>
      <c r="C363" s="300" t="s">
        <v>22</v>
      </c>
      <c r="D363" s="300" t="s">
        <v>22</v>
      </c>
      <c r="F363" s="300" t="s">
        <v>22</v>
      </c>
      <c r="G363" s="300" t="s">
        <v>22</v>
      </c>
      <c r="I363" s="356" t="str">
        <f>IFERROR(__xludf.DUMMYFUNCTION("if(H363=""Must be Together"",iferror(join("", "",unique(filter({filter('Students (Vertical)'!O:O,'Students (Vertical)'!C:C=B363,'Students (Vertical)'!O:O&lt;&gt;"""");filter('Students (Vertical)'!O:O,'Students (Vertical)'!C:C=E363,'Students (Vertical)'!O:O&lt;&gt;"""&amp;""")},countifs({filter('Students (Vertical)'!O:O,'Students (Vertical)'!C:C=B363,'Students (Vertical)'!O:O&lt;&gt;"""");filter('Students (Vertical)'!O:O,'Students (Vertical)'!C:C=E363,'Students (Vertical)'!O:O&lt;&gt;"""")},{filter('Students (Vertical)'!O:O,'Students ("&amp;"Vertical)'!C:C=B363,'Students (Vertical)'!O:O&lt;&gt;"""");filter('Students (Vertical)'!O:O,'Students (Vertical)'!C:C=E363,'Students (Vertical)'!O:O&lt;&gt;"""")})&gt;1))),""No shared courses""),"""")"),"")</f>
        <v/>
      </c>
      <c r="J363" s="357" t="str">
        <f>IFERROR(__xludf.DUMMYFUNCTION("if(H363=""Can't be Together"",iferror(join("", "",unique(filter({filter('Students (Vertical)'!O:O,'Students (Vertical)'!C:C=B363,'Students (Vertical)'!O:O&lt;&gt;"""",'Students (Vertical)'!P:P&gt;1);filter('Students (Vertical)'!O:O,'Students (Vertical)'!C:C=E363,'"&amp;"Students (Vertical)'!O:O&lt;&gt;"""",'Students (Vertical)'!P:P&gt;1)},countifs({filter('Students (Vertical)'!O:O,'Students (Vertical)'!C:C=B363,'Students (Vertical)'!O:O&lt;&gt;"""",'Students (Vertical)'!P:P&gt;1);filter('Students (Vertical)'!O:O,'Students (Vertical)'!C:C="&amp;"E363,'Students (Vertical)'!O:O&lt;&gt;"""",'Students (Vertical)'!P:P&gt;1)},{filter('Students (Vertical)'!O:O,'Students (Vertical)'!C:C=B363,'Students (Vertical)'!O:O&lt;&gt;"""",'Students (Vertical)'!P:P&gt;1);filter('Students (Vertical)'!O:O,'Students (Vertical)'!C:C=E36"&amp;"3,'Students (Vertical)'!O:O&lt;&gt;"""",'Students (Vertical)'!P:P&gt;1)})&gt;1))),""""),"""")"),"")</f>
        <v/>
      </c>
      <c r="K363" s="358"/>
    </row>
    <row r="364">
      <c r="A364" s="300" t="s">
        <v>22</v>
      </c>
      <c r="C364" s="300" t="s">
        <v>22</v>
      </c>
      <c r="D364" s="300" t="s">
        <v>22</v>
      </c>
      <c r="F364" s="300" t="s">
        <v>22</v>
      </c>
      <c r="G364" s="300" t="s">
        <v>22</v>
      </c>
      <c r="I364" s="356" t="str">
        <f>IFERROR(__xludf.DUMMYFUNCTION("if(H364=""Must be Together"",iferror(join("", "",unique(filter({filter('Students (Vertical)'!O:O,'Students (Vertical)'!C:C=B364,'Students (Vertical)'!O:O&lt;&gt;"""");filter('Students (Vertical)'!O:O,'Students (Vertical)'!C:C=E364,'Students (Vertical)'!O:O&lt;&gt;"""&amp;""")},countifs({filter('Students (Vertical)'!O:O,'Students (Vertical)'!C:C=B364,'Students (Vertical)'!O:O&lt;&gt;"""");filter('Students (Vertical)'!O:O,'Students (Vertical)'!C:C=E364,'Students (Vertical)'!O:O&lt;&gt;"""")},{filter('Students (Vertical)'!O:O,'Students ("&amp;"Vertical)'!C:C=B364,'Students (Vertical)'!O:O&lt;&gt;"""");filter('Students (Vertical)'!O:O,'Students (Vertical)'!C:C=E364,'Students (Vertical)'!O:O&lt;&gt;"""")})&gt;1))),""No shared courses""),"""")"),"")</f>
        <v/>
      </c>
      <c r="J364" s="357" t="str">
        <f>IFERROR(__xludf.DUMMYFUNCTION("if(H364=""Can't be Together"",iferror(join("", "",unique(filter({filter('Students (Vertical)'!O:O,'Students (Vertical)'!C:C=B364,'Students (Vertical)'!O:O&lt;&gt;"""",'Students (Vertical)'!P:P&gt;1);filter('Students (Vertical)'!O:O,'Students (Vertical)'!C:C=E364,'"&amp;"Students (Vertical)'!O:O&lt;&gt;"""",'Students (Vertical)'!P:P&gt;1)},countifs({filter('Students (Vertical)'!O:O,'Students (Vertical)'!C:C=B364,'Students (Vertical)'!O:O&lt;&gt;"""",'Students (Vertical)'!P:P&gt;1);filter('Students (Vertical)'!O:O,'Students (Vertical)'!C:C="&amp;"E364,'Students (Vertical)'!O:O&lt;&gt;"""",'Students (Vertical)'!P:P&gt;1)},{filter('Students (Vertical)'!O:O,'Students (Vertical)'!C:C=B364,'Students (Vertical)'!O:O&lt;&gt;"""",'Students (Vertical)'!P:P&gt;1);filter('Students (Vertical)'!O:O,'Students (Vertical)'!C:C=E36"&amp;"4,'Students (Vertical)'!O:O&lt;&gt;"""",'Students (Vertical)'!P:P&gt;1)})&gt;1))),""""),"""")"),"")</f>
        <v/>
      </c>
      <c r="K364" s="358"/>
    </row>
    <row r="365">
      <c r="A365" s="300" t="s">
        <v>22</v>
      </c>
      <c r="C365" s="300" t="s">
        <v>22</v>
      </c>
      <c r="D365" s="300" t="s">
        <v>22</v>
      </c>
      <c r="F365" s="300" t="s">
        <v>22</v>
      </c>
      <c r="G365" s="300" t="s">
        <v>22</v>
      </c>
      <c r="I365" s="356" t="str">
        <f>IFERROR(__xludf.DUMMYFUNCTION("if(H365=""Must be Together"",iferror(join("", "",unique(filter({filter('Students (Vertical)'!O:O,'Students (Vertical)'!C:C=B365,'Students (Vertical)'!O:O&lt;&gt;"""");filter('Students (Vertical)'!O:O,'Students (Vertical)'!C:C=E365,'Students (Vertical)'!O:O&lt;&gt;"""&amp;""")},countifs({filter('Students (Vertical)'!O:O,'Students (Vertical)'!C:C=B365,'Students (Vertical)'!O:O&lt;&gt;"""");filter('Students (Vertical)'!O:O,'Students (Vertical)'!C:C=E365,'Students (Vertical)'!O:O&lt;&gt;"""")},{filter('Students (Vertical)'!O:O,'Students ("&amp;"Vertical)'!C:C=B365,'Students (Vertical)'!O:O&lt;&gt;"""");filter('Students (Vertical)'!O:O,'Students (Vertical)'!C:C=E365,'Students (Vertical)'!O:O&lt;&gt;"""")})&gt;1))),""No shared courses""),"""")"),"")</f>
        <v/>
      </c>
      <c r="J365" s="357" t="str">
        <f>IFERROR(__xludf.DUMMYFUNCTION("if(H365=""Can't be Together"",iferror(join("", "",unique(filter({filter('Students (Vertical)'!O:O,'Students (Vertical)'!C:C=B365,'Students (Vertical)'!O:O&lt;&gt;"""",'Students (Vertical)'!P:P&gt;1);filter('Students (Vertical)'!O:O,'Students (Vertical)'!C:C=E365,'"&amp;"Students (Vertical)'!O:O&lt;&gt;"""",'Students (Vertical)'!P:P&gt;1)},countifs({filter('Students (Vertical)'!O:O,'Students (Vertical)'!C:C=B365,'Students (Vertical)'!O:O&lt;&gt;"""",'Students (Vertical)'!P:P&gt;1);filter('Students (Vertical)'!O:O,'Students (Vertical)'!C:C="&amp;"E365,'Students (Vertical)'!O:O&lt;&gt;"""",'Students (Vertical)'!P:P&gt;1)},{filter('Students (Vertical)'!O:O,'Students (Vertical)'!C:C=B365,'Students (Vertical)'!O:O&lt;&gt;"""",'Students (Vertical)'!P:P&gt;1);filter('Students (Vertical)'!O:O,'Students (Vertical)'!C:C=E36"&amp;"5,'Students (Vertical)'!O:O&lt;&gt;"""",'Students (Vertical)'!P:P&gt;1)})&gt;1))),""""),"""")"),"")</f>
        <v/>
      </c>
      <c r="K365" s="358"/>
    </row>
    <row r="366">
      <c r="A366" s="300" t="s">
        <v>22</v>
      </c>
      <c r="C366" s="300" t="s">
        <v>22</v>
      </c>
      <c r="D366" s="300" t="s">
        <v>22</v>
      </c>
      <c r="F366" s="300" t="s">
        <v>22</v>
      </c>
      <c r="G366" s="300" t="s">
        <v>22</v>
      </c>
      <c r="I366" s="356" t="str">
        <f>IFERROR(__xludf.DUMMYFUNCTION("if(H366=""Must be Together"",iferror(join("", "",unique(filter({filter('Students (Vertical)'!O:O,'Students (Vertical)'!C:C=B366,'Students (Vertical)'!O:O&lt;&gt;"""");filter('Students (Vertical)'!O:O,'Students (Vertical)'!C:C=E366,'Students (Vertical)'!O:O&lt;&gt;"""&amp;""")},countifs({filter('Students (Vertical)'!O:O,'Students (Vertical)'!C:C=B366,'Students (Vertical)'!O:O&lt;&gt;"""");filter('Students (Vertical)'!O:O,'Students (Vertical)'!C:C=E366,'Students (Vertical)'!O:O&lt;&gt;"""")},{filter('Students (Vertical)'!O:O,'Students ("&amp;"Vertical)'!C:C=B366,'Students (Vertical)'!O:O&lt;&gt;"""");filter('Students (Vertical)'!O:O,'Students (Vertical)'!C:C=E366,'Students (Vertical)'!O:O&lt;&gt;"""")})&gt;1))),""No shared courses""),"""")"),"")</f>
        <v/>
      </c>
      <c r="J366" s="357" t="str">
        <f>IFERROR(__xludf.DUMMYFUNCTION("if(H366=""Can't be Together"",iferror(join("", "",unique(filter({filter('Students (Vertical)'!O:O,'Students (Vertical)'!C:C=B366,'Students (Vertical)'!O:O&lt;&gt;"""",'Students (Vertical)'!P:P&gt;1);filter('Students (Vertical)'!O:O,'Students (Vertical)'!C:C=E366,'"&amp;"Students (Vertical)'!O:O&lt;&gt;"""",'Students (Vertical)'!P:P&gt;1)},countifs({filter('Students (Vertical)'!O:O,'Students (Vertical)'!C:C=B366,'Students (Vertical)'!O:O&lt;&gt;"""",'Students (Vertical)'!P:P&gt;1);filter('Students (Vertical)'!O:O,'Students (Vertical)'!C:C="&amp;"E366,'Students (Vertical)'!O:O&lt;&gt;"""",'Students (Vertical)'!P:P&gt;1)},{filter('Students (Vertical)'!O:O,'Students (Vertical)'!C:C=B366,'Students (Vertical)'!O:O&lt;&gt;"""",'Students (Vertical)'!P:P&gt;1);filter('Students (Vertical)'!O:O,'Students (Vertical)'!C:C=E36"&amp;"6,'Students (Vertical)'!O:O&lt;&gt;"""",'Students (Vertical)'!P:P&gt;1)})&gt;1))),""""),"""")"),"")</f>
        <v/>
      </c>
      <c r="K366" s="358"/>
    </row>
    <row r="367">
      <c r="A367" s="300" t="s">
        <v>22</v>
      </c>
      <c r="C367" s="300" t="s">
        <v>22</v>
      </c>
      <c r="D367" s="300" t="s">
        <v>22</v>
      </c>
      <c r="F367" s="300" t="s">
        <v>22</v>
      </c>
      <c r="G367" s="300" t="s">
        <v>22</v>
      </c>
      <c r="I367" s="356" t="str">
        <f>IFERROR(__xludf.DUMMYFUNCTION("if(H367=""Must be Together"",iferror(join("", "",unique(filter({filter('Students (Vertical)'!O:O,'Students (Vertical)'!C:C=B367,'Students (Vertical)'!O:O&lt;&gt;"""");filter('Students (Vertical)'!O:O,'Students (Vertical)'!C:C=E367,'Students (Vertical)'!O:O&lt;&gt;"""&amp;""")},countifs({filter('Students (Vertical)'!O:O,'Students (Vertical)'!C:C=B367,'Students (Vertical)'!O:O&lt;&gt;"""");filter('Students (Vertical)'!O:O,'Students (Vertical)'!C:C=E367,'Students (Vertical)'!O:O&lt;&gt;"""")},{filter('Students (Vertical)'!O:O,'Students ("&amp;"Vertical)'!C:C=B367,'Students (Vertical)'!O:O&lt;&gt;"""");filter('Students (Vertical)'!O:O,'Students (Vertical)'!C:C=E367,'Students (Vertical)'!O:O&lt;&gt;"""")})&gt;1))),""No shared courses""),"""")"),"")</f>
        <v/>
      </c>
      <c r="J367" s="357" t="str">
        <f>IFERROR(__xludf.DUMMYFUNCTION("if(H367=""Can't be Together"",iferror(join("", "",unique(filter({filter('Students (Vertical)'!O:O,'Students (Vertical)'!C:C=B367,'Students (Vertical)'!O:O&lt;&gt;"""",'Students (Vertical)'!P:P&gt;1);filter('Students (Vertical)'!O:O,'Students (Vertical)'!C:C=E367,'"&amp;"Students (Vertical)'!O:O&lt;&gt;"""",'Students (Vertical)'!P:P&gt;1)},countifs({filter('Students (Vertical)'!O:O,'Students (Vertical)'!C:C=B367,'Students (Vertical)'!O:O&lt;&gt;"""",'Students (Vertical)'!P:P&gt;1);filter('Students (Vertical)'!O:O,'Students (Vertical)'!C:C="&amp;"E367,'Students (Vertical)'!O:O&lt;&gt;"""",'Students (Vertical)'!P:P&gt;1)},{filter('Students (Vertical)'!O:O,'Students (Vertical)'!C:C=B367,'Students (Vertical)'!O:O&lt;&gt;"""",'Students (Vertical)'!P:P&gt;1);filter('Students (Vertical)'!O:O,'Students (Vertical)'!C:C=E36"&amp;"7,'Students (Vertical)'!O:O&lt;&gt;"""",'Students (Vertical)'!P:P&gt;1)})&gt;1))),""""),"""")"),"")</f>
        <v/>
      </c>
      <c r="K367" s="358"/>
    </row>
    <row r="368">
      <c r="A368" s="300" t="s">
        <v>22</v>
      </c>
      <c r="C368" s="300" t="s">
        <v>22</v>
      </c>
      <c r="D368" s="300" t="s">
        <v>22</v>
      </c>
      <c r="F368" s="300" t="s">
        <v>22</v>
      </c>
      <c r="G368" s="300" t="s">
        <v>22</v>
      </c>
      <c r="I368" s="356" t="str">
        <f>IFERROR(__xludf.DUMMYFUNCTION("if(H368=""Must be Together"",iferror(join("", "",unique(filter({filter('Students (Vertical)'!O:O,'Students (Vertical)'!C:C=B368,'Students (Vertical)'!O:O&lt;&gt;"""");filter('Students (Vertical)'!O:O,'Students (Vertical)'!C:C=E368,'Students (Vertical)'!O:O&lt;&gt;"""&amp;""")},countifs({filter('Students (Vertical)'!O:O,'Students (Vertical)'!C:C=B368,'Students (Vertical)'!O:O&lt;&gt;"""");filter('Students (Vertical)'!O:O,'Students (Vertical)'!C:C=E368,'Students (Vertical)'!O:O&lt;&gt;"""")},{filter('Students (Vertical)'!O:O,'Students ("&amp;"Vertical)'!C:C=B368,'Students (Vertical)'!O:O&lt;&gt;"""");filter('Students (Vertical)'!O:O,'Students (Vertical)'!C:C=E368,'Students (Vertical)'!O:O&lt;&gt;"""")})&gt;1))),""No shared courses""),"""")"),"")</f>
        <v/>
      </c>
      <c r="J368" s="357" t="str">
        <f>IFERROR(__xludf.DUMMYFUNCTION("if(H368=""Can't be Together"",iferror(join("", "",unique(filter({filter('Students (Vertical)'!O:O,'Students (Vertical)'!C:C=B368,'Students (Vertical)'!O:O&lt;&gt;"""",'Students (Vertical)'!P:P&gt;1);filter('Students (Vertical)'!O:O,'Students (Vertical)'!C:C=E368,'"&amp;"Students (Vertical)'!O:O&lt;&gt;"""",'Students (Vertical)'!P:P&gt;1)},countifs({filter('Students (Vertical)'!O:O,'Students (Vertical)'!C:C=B368,'Students (Vertical)'!O:O&lt;&gt;"""",'Students (Vertical)'!P:P&gt;1);filter('Students (Vertical)'!O:O,'Students (Vertical)'!C:C="&amp;"E368,'Students (Vertical)'!O:O&lt;&gt;"""",'Students (Vertical)'!P:P&gt;1)},{filter('Students (Vertical)'!O:O,'Students (Vertical)'!C:C=B368,'Students (Vertical)'!O:O&lt;&gt;"""",'Students (Vertical)'!P:P&gt;1);filter('Students (Vertical)'!O:O,'Students (Vertical)'!C:C=E36"&amp;"8,'Students (Vertical)'!O:O&lt;&gt;"""",'Students (Vertical)'!P:P&gt;1)})&gt;1))),""""),"""")"),"")</f>
        <v/>
      </c>
      <c r="K368" s="358"/>
    </row>
    <row r="369">
      <c r="A369" s="300" t="s">
        <v>22</v>
      </c>
      <c r="C369" s="300" t="s">
        <v>22</v>
      </c>
      <c r="D369" s="300" t="s">
        <v>22</v>
      </c>
      <c r="F369" s="300" t="s">
        <v>22</v>
      </c>
      <c r="G369" s="300" t="s">
        <v>22</v>
      </c>
      <c r="I369" s="356" t="str">
        <f>IFERROR(__xludf.DUMMYFUNCTION("if(H369=""Must be Together"",iferror(join("", "",unique(filter({filter('Students (Vertical)'!O:O,'Students (Vertical)'!C:C=B369,'Students (Vertical)'!O:O&lt;&gt;"""");filter('Students (Vertical)'!O:O,'Students (Vertical)'!C:C=E369,'Students (Vertical)'!O:O&lt;&gt;"""&amp;""")},countifs({filter('Students (Vertical)'!O:O,'Students (Vertical)'!C:C=B369,'Students (Vertical)'!O:O&lt;&gt;"""");filter('Students (Vertical)'!O:O,'Students (Vertical)'!C:C=E369,'Students (Vertical)'!O:O&lt;&gt;"""")},{filter('Students (Vertical)'!O:O,'Students ("&amp;"Vertical)'!C:C=B369,'Students (Vertical)'!O:O&lt;&gt;"""");filter('Students (Vertical)'!O:O,'Students (Vertical)'!C:C=E369,'Students (Vertical)'!O:O&lt;&gt;"""")})&gt;1))),""No shared courses""),"""")"),"")</f>
        <v/>
      </c>
      <c r="J369" s="357" t="str">
        <f>IFERROR(__xludf.DUMMYFUNCTION("if(H369=""Can't be Together"",iferror(join("", "",unique(filter({filter('Students (Vertical)'!O:O,'Students (Vertical)'!C:C=B369,'Students (Vertical)'!O:O&lt;&gt;"""",'Students (Vertical)'!P:P&gt;1);filter('Students (Vertical)'!O:O,'Students (Vertical)'!C:C=E369,'"&amp;"Students (Vertical)'!O:O&lt;&gt;"""",'Students (Vertical)'!P:P&gt;1)},countifs({filter('Students (Vertical)'!O:O,'Students (Vertical)'!C:C=B369,'Students (Vertical)'!O:O&lt;&gt;"""",'Students (Vertical)'!P:P&gt;1);filter('Students (Vertical)'!O:O,'Students (Vertical)'!C:C="&amp;"E369,'Students (Vertical)'!O:O&lt;&gt;"""",'Students (Vertical)'!P:P&gt;1)},{filter('Students (Vertical)'!O:O,'Students (Vertical)'!C:C=B369,'Students (Vertical)'!O:O&lt;&gt;"""",'Students (Vertical)'!P:P&gt;1);filter('Students (Vertical)'!O:O,'Students (Vertical)'!C:C=E36"&amp;"9,'Students (Vertical)'!O:O&lt;&gt;"""",'Students (Vertical)'!P:P&gt;1)})&gt;1))),""""),"""")"),"")</f>
        <v/>
      </c>
      <c r="K369" s="358"/>
    </row>
    <row r="370">
      <c r="A370" s="300" t="s">
        <v>22</v>
      </c>
      <c r="C370" s="300" t="s">
        <v>22</v>
      </c>
      <c r="D370" s="300" t="s">
        <v>22</v>
      </c>
      <c r="F370" s="300" t="s">
        <v>22</v>
      </c>
      <c r="G370" s="300" t="s">
        <v>22</v>
      </c>
      <c r="I370" s="356" t="str">
        <f>IFERROR(__xludf.DUMMYFUNCTION("if(H370=""Must be Together"",iferror(join("", "",unique(filter({filter('Students (Vertical)'!O:O,'Students (Vertical)'!C:C=B370,'Students (Vertical)'!O:O&lt;&gt;"""");filter('Students (Vertical)'!O:O,'Students (Vertical)'!C:C=E370,'Students (Vertical)'!O:O&lt;&gt;"""&amp;""")},countifs({filter('Students (Vertical)'!O:O,'Students (Vertical)'!C:C=B370,'Students (Vertical)'!O:O&lt;&gt;"""");filter('Students (Vertical)'!O:O,'Students (Vertical)'!C:C=E370,'Students (Vertical)'!O:O&lt;&gt;"""")},{filter('Students (Vertical)'!O:O,'Students ("&amp;"Vertical)'!C:C=B370,'Students (Vertical)'!O:O&lt;&gt;"""");filter('Students (Vertical)'!O:O,'Students (Vertical)'!C:C=E370,'Students (Vertical)'!O:O&lt;&gt;"""")})&gt;1))),""No shared courses""),"""")"),"")</f>
        <v/>
      </c>
      <c r="J370" s="357" t="str">
        <f>IFERROR(__xludf.DUMMYFUNCTION("if(H370=""Can't be Together"",iferror(join("", "",unique(filter({filter('Students (Vertical)'!O:O,'Students (Vertical)'!C:C=B370,'Students (Vertical)'!O:O&lt;&gt;"""",'Students (Vertical)'!P:P&gt;1);filter('Students (Vertical)'!O:O,'Students (Vertical)'!C:C=E370,'"&amp;"Students (Vertical)'!O:O&lt;&gt;"""",'Students (Vertical)'!P:P&gt;1)},countifs({filter('Students (Vertical)'!O:O,'Students (Vertical)'!C:C=B370,'Students (Vertical)'!O:O&lt;&gt;"""",'Students (Vertical)'!P:P&gt;1);filter('Students (Vertical)'!O:O,'Students (Vertical)'!C:C="&amp;"E370,'Students (Vertical)'!O:O&lt;&gt;"""",'Students (Vertical)'!P:P&gt;1)},{filter('Students (Vertical)'!O:O,'Students (Vertical)'!C:C=B370,'Students (Vertical)'!O:O&lt;&gt;"""",'Students (Vertical)'!P:P&gt;1);filter('Students (Vertical)'!O:O,'Students (Vertical)'!C:C=E37"&amp;"0,'Students (Vertical)'!O:O&lt;&gt;"""",'Students (Vertical)'!P:P&gt;1)})&gt;1))),""""),"""")"),"")</f>
        <v/>
      </c>
      <c r="K370" s="358"/>
    </row>
    <row r="371">
      <c r="A371" s="300" t="s">
        <v>22</v>
      </c>
      <c r="C371" s="300" t="s">
        <v>22</v>
      </c>
      <c r="D371" s="300" t="s">
        <v>22</v>
      </c>
      <c r="F371" s="300" t="s">
        <v>22</v>
      </c>
      <c r="G371" s="300" t="s">
        <v>22</v>
      </c>
      <c r="I371" s="356" t="str">
        <f>IFERROR(__xludf.DUMMYFUNCTION("if(H371=""Must be Together"",iferror(join("", "",unique(filter({filter('Students (Vertical)'!O:O,'Students (Vertical)'!C:C=B371,'Students (Vertical)'!O:O&lt;&gt;"""");filter('Students (Vertical)'!O:O,'Students (Vertical)'!C:C=E371,'Students (Vertical)'!O:O&lt;&gt;"""&amp;""")},countifs({filter('Students (Vertical)'!O:O,'Students (Vertical)'!C:C=B371,'Students (Vertical)'!O:O&lt;&gt;"""");filter('Students (Vertical)'!O:O,'Students (Vertical)'!C:C=E371,'Students (Vertical)'!O:O&lt;&gt;"""")},{filter('Students (Vertical)'!O:O,'Students ("&amp;"Vertical)'!C:C=B371,'Students (Vertical)'!O:O&lt;&gt;"""");filter('Students (Vertical)'!O:O,'Students (Vertical)'!C:C=E371,'Students (Vertical)'!O:O&lt;&gt;"""")})&gt;1))),""No shared courses""),"""")"),"")</f>
        <v/>
      </c>
      <c r="J371" s="357" t="str">
        <f>IFERROR(__xludf.DUMMYFUNCTION("if(H371=""Can't be Together"",iferror(join("", "",unique(filter({filter('Students (Vertical)'!O:O,'Students (Vertical)'!C:C=B371,'Students (Vertical)'!O:O&lt;&gt;"""",'Students (Vertical)'!P:P&gt;1);filter('Students (Vertical)'!O:O,'Students (Vertical)'!C:C=E371,'"&amp;"Students (Vertical)'!O:O&lt;&gt;"""",'Students (Vertical)'!P:P&gt;1)},countifs({filter('Students (Vertical)'!O:O,'Students (Vertical)'!C:C=B371,'Students (Vertical)'!O:O&lt;&gt;"""",'Students (Vertical)'!P:P&gt;1);filter('Students (Vertical)'!O:O,'Students (Vertical)'!C:C="&amp;"E371,'Students (Vertical)'!O:O&lt;&gt;"""",'Students (Vertical)'!P:P&gt;1)},{filter('Students (Vertical)'!O:O,'Students (Vertical)'!C:C=B371,'Students (Vertical)'!O:O&lt;&gt;"""",'Students (Vertical)'!P:P&gt;1);filter('Students (Vertical)'!O:O,'Students (Vertical)'!C:C=E37"&amp;"1,'Students (Vertical)'!O:O&lt;&gt;"""",'Students (Vertical)'!P:P&gt;1)})&gt;1))),""""),"""")"),"")</f>
        <v/>
      </c>
      <c r="K371" s="358"/>
    </row>
    <row r="372">
      <c r="A372" s="300" t="s">
        <v>22</v>
      </c>
      <c r="C372" s="300" t="s">
        <v>22</v>
      </c>
      <c r="D372" s="300" t="s">
        <v>22</v>
      </c>
      <c r="F372" s="300" t="s">
        <v>22</v>
      </c>
      <c r="G372" s="300" t="s">
        <v>22</v>
      </c>
      <c r="I372" s="356" t="str">
        <f>IFERROR(__xludf.DUMMYFUNCTION("if(H372=""Must be Together"",iferror(join("", "",unique(filter({filter('Students (Vertical)'!O:O,'Students (Vertical)'!C:C=B372,'Students (Vertical)'!O:O&lt;&gt;"""");filter('Students (Vertical)'!O:O,'Students (Vertical)'!C:C=E372,'Students (Vertical)'!O:O&lt;&gt;"""&amp;""")},countifs({filter('Students (Vertical)'!O:O,'Students (Vertical)'!C:C=B372,'Students (Vertical)'!O:O&lt;&gt;"""");filter('Students (Vertical)'!O:O,'Students (Vertical)'!C:C=E372,'Students (Vertical)'!O:O&lt;&gt;"""")},{filter('Students (Vertical)'!O:O,'Students ("&amp;"Vertical)'!C:C=B372,'Students (Vertical)'!O:O&lt;&gt;"""");filter('Students (Vertical)'!O:O,'Students (Vertical)'!C:C=E372,'Students (Vertical)'!O:O&lt;&gt;"""")})&gt;1))),""No shared courses""),"""")"),"")</f>
        <v/>
      </c>
      <c r="J372" s="357" t="str">
        <f>IFERROR(__xludf.DUMMYFUNCTION("if(H372=""Can't be Together"",iferror(join("", "",unique(filter({filter('Students (Vertical)'!O:O,'Students (Vertical)'!C:C=B372,'Students (Vertical)'!O:O&lt;&gt;"""",'Students (Vertical)'!P:P&gt;1);filter('Students (Vertical)'!O:O,'Students (Vertical)'!C:C=E372,'"&amp;"Students (Vertical)'!O:O&lt;&gt;"""",'Students (Vertical)'!P:P&gt;1)},countifs({filter('Students (Vertical)'!O:O,'Students (Vertical)'!C:C=B372,'Students (Vertical)'!O:O&lt;&gt;"""",'Students (Vertical)'!P:P&gt;1);filter('Students (Vertical)'!O:O,'Students (Vertical)'!C:C="&amp;"E372,'Students (Vertical)'!O:O&lt;&gt;"""",'Students (Vertical)'!P:P&gt;1)},{filter('Students (Vertical)'!O:O,'Students (Vertical)'!C:C=B372,'Students (Vertical)'!O:O&lt;&gt;"""",'Students (Vertical)'!P:P&gt;1);filter('Students (Vertical)'!O:O,'Students (Vertical)'!C:C=E37"&amp;"2,'Students (Vertical)'!O:O&lt;&gt;"""",'Students (Vertical)'!P:P&gt;1)})&gt;1))),""""),"""")"),"")</f>
        <v/>
      </c>
      <c r="K372" s="358"/>
    </row>
    <row r="373">
      <c r="A373" s="300" t="s">
        <v>22</v>
      </c>
      <c r="C373" s="300" t="s">
        <v>22</v>
      </c>
      <c r="D373" s="300" t="s">
        <v>22</v>
      </c>
      <c r="F373" s="300" t="s">
        <v>22</v>
      </c>
      <c r="G373" s="300" t="s">
        <v>22</v>
      </c>
      <c r="I373" s="356" t="str">
        <f>IFERROR(__xludf.DUMMYFUNCTION("if(H373=""Must be Together"",iferror(join("", "",unique(filter({filter('Students (Vertical)'!O:O,'Students (Vertical)'!C:C=B373,'Students (Vertical)'!O:O&lt;&gt;"""");filter('Students (Vertical)'!O:O,'Students (Vertical)'!C:C=E373,'Students (Vertical)'!O:O&lt;&gt;"""&amp;""")},countifs({filter('Students (Vertical)'!O:O,'Students (Vertical)'!C:C=B373,'Students (Vertical)'!O:O&lt;&gt;"""");filter('Students (Vertical)'!O:O,'Students (Vertical)'!C:C=E373,'Students (Vertical)'!O:O&lt;&gt;"""")},{filter('Students (Vertical)'!O:O,'Students ("&amp;"Vertical)'!C:C=B373,'Students (Vertical)'!O:O&lt;&gt;"""");filter('Students (Vertical)'!O:O,'Students (Vertical)'!C:C=E373,'Students (Vertical)'!O:O&lt;&gt;"""")})&gt;1))),""No shared courses""),"""")"),"")</f>
        <v/>
      </c>
      <c r="J373" s="357" t="str">
        <f>IFERROR(__xludf.DUMMYFUNCTION("if(H373=""Can't be Together"",iferror(join("", "",unique(filter({filter('Students (Vertical)'!O:O,'Students (Vertical)'!C:C=B373,'Students (Vertical)'!O:O&lt;&gt;"""",'Students (Vertical)'!P:P&gt;1);filter('Students (Vertical)'!O:O,'Students (Vertical)'!C:C=E373,'"&amp;"Students (Vertical)'!O:O&lt;&gt;"""",'Students (Vertical)'!P:P&gt;1)},countifs({filter('Students (Vertical)'!O:O,'Students (Vertical)'!C:C=B373,'Students (Vertical)'!O:O&lt;&gt;"""",'Students (Vertical)'!P:P&gt;1);filter('Students (Vertical)'!O:O,'Students (Vertical)'!C:C="&amp;"E373,'Students (Vertical)'!O:O&lt;&gt;"""",'Students (Vertical)'!P:P&gt;1)},{filter('Students (Vertical)'!O:O,'Students (Vertical)'!C:C=B373,'Students (Vertical)'!O:O&lt;&gt;"""",'Students (Vertical)'!P:P&gt;1);filter('Students (Vertical)'!O:O,'Students (Vertical)'!C:C=E37"&amp;"3,'Students (Vertical)'!O:O&lt;&gt;"""",'Students (Vertical)'!P:P&gt;1)})&gt;1))),""""),"""")"),"")</f>
        <v/>
      </c>
      <c r="K373" s="358"/>
    </row>
    <row r="374">
      <c r="A374" s="300" t="s">
        <v>22</v>
      </c>
      <c r="C374" s="300" t="s">
        <v>22</v>
      </c>
      <c r="D374" s="300" t="s">
        <v>22</v>
      </c>
      <c r="F374" s="300" t="s">
        <v>22</v>
      </c>
      <c r="G374" s="300" t="s">
        <v>22</v>
      </c>
      <c r="I374" s="356" t="str">
        <f>IFERROR(__xludf.DUMMYFUNCTION("if(H374=""Must be Together"",iferror(join("", "",unique(filter({filter('Students (Vertical)'!O:O,'Students (Vertical)'!C:C=B374,'Students (Vertical)'!O:O&lt;&gt;"""");filter('Students (Vertical)'!O:O,'Students (Vertical)'!C:C=E374,'Students (Vertical)'!O:O&lt;&gt;"""&amp;""")},countifs({filter('Students (Vertical)'!O:O,'Students (Vertical)'!C:C=B374,'Students (Vertical)'!O:O&lt;&gt;"""");filter('Students (Vertical)'!O:O,'Students (Vertical)'!C:C=E374,'Students (Vertical)'!O:O&lt;&gt;"""")},{filter('Students (Vertical)'!O:O,'Students ("&amp;"Vertical)'!C:C=B374,'Students (Vertical)'!O:O&lt;&gt;"""");filter('Students (Vertical)'!O:O,'Students (Vertical)'!C:C=E374,'Students (Vertical)'!O:O&lt;&gt;"""")})&gt;1))),""No shared courses""),"""")"),"")</f>
        <v/>
      </c>
      <c r="J374" s="357" t="str">
        <f>IFERROR(__xludf.DUMMYFUNCTION("if(H374=""Can't be Together"",iferror(join("", "",unique(filter({filter('Students (Vertical)'!O:O,'Students (Vertical)'!C:C=B374,'Students (Vertical)'!O:O&lt;&gt;"""",'Students (Vertical)'!P:P&gt;1);filter('Students (Vertical)'!O:O,'Students (Vertical)'!C:C=E374,'"&amp;"Students (Vertical)'!O:O&lt;&gt;"""",'Students (Vertical)'!P:P&gt;1)},countifs({filter('Students (Vertical)'!O:O,'Students (Vertical)'!C:C=B374,'Students (Vertical)'!O:O&lt;&gt;"""",'Students (Vertical)'!P:P&gt;1);filter('Students (Vertical)'!O:O,'Students (Vertical)'!C:C="&amp;"E374,'Students (Vertical)'!O:O&lt;&gt;"""",'Students (Vertical)'!P:P&gt;1)},{filter('Students (Vertical)'!O:O,'Students (Vertical)'!C:C=B374,'Students (Vertical)'!O:O&lt;&gt;"""",'Students (Vertical)'!P:P&gt;1);filter('Students (Vertical)'!O:O,'Students (Vertical)'!C:C=E37"&amp;"4,'Students (Vertical)'!O:O&lt;&gt;"""",'Students (Vertical)'!P:P&gt;1)})&gt;1))),""""),"""")"),"")</f>
        <v/>
      </c>
      <c r="K374" s="358"/>
    </row>
    <row r="375">
      <c r="A375" s="300" t="s">
        <v>22</v>
      </c>
      <c r="C375" s="300" t="s">
        <v>22</v>
      </c>
      <c r="D375" s="300" t="s">
        <v>22</v>
      </c>
      <c r="F375" s="300" t="s">
        <v>22</v>
      </c>
      <c r="G375" s="300" t="s">
        <v>22</v>
      </c>
      <c r="I375" s="356" t="str">
        <f>IFERROR(__xludf.DUMMYFUNCTION("if(H375=""Must be Together"",iferror(join("", "",unique(filter({filter('Students (Vertical)'!O:O,'Students (Vertical)'!C:C=B375,'Students (Vertical)'!O:O&lt;&gt;"""");filter('Students (Vertical)'!O:O,'Students (Vertical)'!C:C=E375,'Students (Vertical)'!O:O&lt;&gt;"""&amp;""")},countifs({filter('Students (Vertical)'!O:O,'Students (Vertical)'!C:C=B375,'Students (Vertical)'!O:O&lt;&gt;"""");filter('Students (Vertical)'!O:O,'Students (Vertical)'!C:C=E375,'Students (Vertical)'!O:O&lt;&gt;"""")},{filter('Students (Vertical)'!O:O,'Students ("&amp;"Vertical)'!C:C=B375,'Students (Vertical)'!O:O&lt;&gt;"""");filter('Students (Vertical)'!O:O,'Students (Vertical)'!C:C=E375,'Students (Vertical)'!O:O&lt;&gt;"""")})&gt;1))),""No shared courses""),"""")"),"")</f>
        <v/>
      </c>
      <c r="J375" s="357" t="str">
        <f>IFERROR(__xludf.DUMMYFUNCTION("if(H375=""Can't be Together"",iferror(join("", "",unique(filter({filter('Students (Vertical)'!O:O,'Students (Vertical)'!C:C=B375,'Students (Vertical)'!O:O&lt;&gt;"""",'Students (Vertical)'!P:P&gt;1);filter('Students (Vertical)'!O:O,'Students (Vertical)'!C:C=E375,'"&amp;"Students (Vertical)'!O:O&lt;&gt;"""",'Students (Vertical)'!P:P&gt;1)},countifs({filter('Students (Vertical)'!O:O,'Students (Vertical)'!C:C=B375,'Students (Vertical)'!O:O&lt;&gt;"""",'Students (Vertical)'!P:P&gt;1);filter('Students (Vertical)'!O:O,'Students (Vertical)'!C:C="&amp;"E375,'Students (Vertical)'!O:O&lt;&gt;"""",'Students (Vertical)'!P:P&gt;1)},{filter('Students (Vertical)'!O:O,'Students (Vertical)'!C:C=B375,'Students (Vertical)'!O:O&lt;&gt;"""",'Students (Vertical)'!P:P&gt;1);filter('Students (Vertical)'!O:O,'Students (Vertical)'!C:C=E37"&amp;"5,'Students (Vertical)'!O:O&lt;&gt;"""",'Students (Vertical)'!P:P&gt;1)})&gt;1))),""""),"""")"),"")</f>
        <v/>
      </c>
      <c r="K375" s="358"/>
    </row>
    <row r="376">
      <c r="A376" s="300" t="s">
        <v>22</v>
      </c>
      <c r="C376" s="300" t="s">
        <v>22</v>
      </c>
      <c r="D376" s="300" t="s">
        <v>22</v>
      </c>
      <c r="F376" s="300" t="s">
        <v>22</v>
      </c>
      <c r="G376" s="300" t="s">
        <v>22</v>
      </c>
      <c r="I376" s="356" t="str">
        <f>IFERROR(__xludf.DUMMYFUNCTION("if(H376=""Must be Together"",iferror(join("", "",unique(filter({filter('Students (Vertical)'!O:O,'Students (Vertical)'!C:C=B376,'Students (Vertical)'!O:O&lt;&gt;"""");filter('Students (Vertical)'!O:O,'Students (Vertical)'!C:C=E376,'Students (Vertical)'!O:O&lt;&gt;"""&amp;""")},countifs({filter('Students (Vertical)'!O:O,'Students (Vertical)'!C:C=B376,'Students (Vertical)'!O:O&lt;&gt;"""");filter('Students (Vertical)'!O:O,'Students (Vertical)'!C:C=E376,'Students (Vertical)'!O:O&lt;&gt;"""")},{filter('Students (Vertical)'!O:O,'Students ("&amp;"Vertical)'!C:C=B376,'Students (Vertical)'!O:O&lt;&gt;"""");filter('Students (Vertical)'!O:O,'Students (Vertical)'!C:C=E376,'Students (Vertical)'!O:O&lt;&gt;"""")})&gt;1))),""No shared courses""),"""")"),"")</f>
        <v/>
      </c>
      <c r="J376" s="357" t="str">
        <f>IFERROR(__xludf.DUMMYFUNCTION("if(H376=""Can't be Together"",iferror(join("", "",unique(filter({filter('Students (Vertical)'!O:O,'Students (Vertical)'!C:C=B376,'Students (Vertical)'!O:O&lt;&gt;"""",'Students (Vertical)'!P:P&gt;1);filter('Students (Vertical)'!O:O,'Students (Vertical)'!C:C=E376,'"&amp;"Students (Vertical)'!O:O&lt;&gt;"""",'Students (Vertical)'!P:P&gt;1)},countifs({filter('Students (Vertical)'!O:O,'Students (Vertical)'!C:C=B376,'Students (Vertical)'!O:O&lt;&gt;"""",'Students (Vertical)'!P:P&gt;1);filter('Students (Vertical)'!O:O,'Students (Vertical)'!C:C="&amp;"E376,'Students (Vertical)'!O:O&lt;&gt;"""",'Students (Vertical)'!P:P&gt;1)},{filter('Students (Vertical)'!O:O,'Students (Vertical)'!C:C=B376,'Students (Vertical)'!O:O&lt;&gt;"""",'Students (Vertical)'!P:P&gt;1);filter('Students (Vertical)'!O:O,'Students (Vertical)'!C:C=E37"&amp;"6,'Students (Vertical)'!O:O&lt;&gt;"""",'Students (Vertical)'!P:P&gt;1)})&gt;1))),""""),"""")"),"")</f>
        <v/>
      </c>
      <c r="K376" s="358"/>
    </row>
    <row r="377">
      <c r="A377" s="300" t="s">
        <v>22</v>
      </c>
      <c r="C377" s="300" t="s">
        <v>22</v>
      </c>
      <c r="D377" s="300" t="s">
        <v>22</v>
      </c>
      <c r="F377" s="300" t="s">
        <v>22</v>
      </c>
      <c r="G377" s="300" t="s">
        <v>22</v>
      </c>
      <c r="I377" s="356" t="str">
        <f>IFERROR(__xludf.DUMMYFUNCTION("if(H377=""Must be Together"",iferror(join("", "",unique(filter({filter('Students (Vertical)'!O:O,'Students (Vertical)'!C:C=B377,'Students (Vertical)'!O:O&lt;&gt;"""");filter('Students (Vertical)'!O:O,'Students (Vertical)'!C:C=E377,'Students (Vertical)'!O:O&lt;&gt;"""&amp;""")},countifs({filter('Students (Vertical)'!O:O,'Students (Vertical)'!C:C=B377,'Students (Vertical)'!O:O&lt;&gt;"""");filter('Students (Vertical)'!O:O,'Students (Vertical)'!C:C=E377,'Students (Vertical)'!O:O&lt;&gt;"""")},{filter('Students (Vertical)'!O:O,'Students ("&amp;"Vertical)'!C:C=B377,'Students (Vertical)'!O:O&lt;&gt;"""");filter('Students (Vertical)'!O:O,'Students (Vertical)'!C:C=E377,'Students (Vertical)'!O:O&lt;&gt;"""")})&gt;1))),""No shared courses""),"""")"),"")</f>
        <v/>
      </c>
      <c r="J377" s="357" t="str">
        <f>IFERROR(__xludf.DUMMYFUNCTION("if(H377=""Can't be Together"",iferror(join("", "",unique(filter({filter('Students (Vertical)'!O:O,'Students (Vertical)'!C:C=B377,'Students (Vertical)'!O:O&lt;&gt;"""",'Students (Vertical)'!P:P&gt;1);filter('Students (Vertical)'!O:O,'Students (Vertical)'!C:C=E377,'"&amp;"Students (Vertical)'!O:O&lt;&gt;"""",'Students (Vertical)'!P:P&gt;1)},countifs({filter('Students (Vertical)'!O:O,'Students (Vertical)'!C:C=B377,'Students (Vertical)'!O:O&lt;&gt;"""",'Students (Vertical)'!P:P&gt;1);filter('Students (Vertical)'!O:O,'Students (Vertical)'!C:C="&amp;"E377,'Students (Vertical)'!O:O&lt;&gt;"""",'Students (Vertical)'!P:P&gt;1)},{filter('Students (Vertical)'!O:O,'Students (Vertical)'!C:C=B377,'Students (Vertical)'!O:O&lt;&gt;"""",'Students (Vertical)'!P:P&gt;1);filter('Students (Vertical)'!O:O,'Students (Vertical)'!C:C=E37"&amp;"7,'Students (Vertical)'!O:O&lt;&gt;"""",'Students (Vertical)'!P:P&gt;1)})&gt;1))),""""),"""")"),"")</f>
        <v/>
      </c>
      <c r="K377" s="358"/>
    </row>
    <row r="378">
      <c r="A378" s="300" t="s">
        <v>22</v>
      </c>
      <c r="C378" s="300" t="s">
        <v>22</v>
      </c>
      <c r="D378" s="300" t="s">
        <v>22</v>
      </c>
      <c r="F378" s="300" t="s">
        <v>22</v>
      </c>
      <c r="G378" s="300" t="s">
        <v>22</v>
      </c>
      <c r="I378" s="356" t="str">
        <f>IFERROR(__xludf.DUMMYFUNCTION("if(H378=""Must be Together"",iferror(join("", "",unique(filter({filter('Students (Vertical)'!O:O,'Students (Vertical)'!C:C=B378,'Students (Vertical)'!O:O&lt;&gt;"""");filter('Students (Vertical)'!O:O,'Students (Vertical)'!C:C=E378,'Students (Vertical)'!O:O&lt;&gt;"""&amp;""")},countifs({filter('Students (Vertical)'!O:O,'Students (Vertical)'!C:C=B378,'Students (Vertical)'!O:O&lt;&gt;"""");filter('Students (Vertical)'!O:O,'Students (Vertical)'!C:C=E378,'Students (Vertical)'!O:O&lt;&gt;"""")},{filter('Students (Vertical)'!O:O,'Students ("&amp;"Vertical)'!C:C=B378,'Students (Vertical)'!O:O&lt;&gt;"""");filter('Students (Vertical)'!O:O,'Students (Vertical)'!C:C=E378,'Students (Vertical)'!O:O&lt;&gt;"""")})&gt;1))),""No shared courses""),"""")"),"")</f>
        <v/>
      </c>
      <c r="J378" s="357" t="str">
        <f>IFERROR(__xludf.DUMMYFUNCTION("if(H378=""Can't be Together"",iferror(join("", "",unique(filter({filter('Students (Vertical)'!O:O,'Students (Vertical)'!C:C=B378,'Students (Vertical)'!O:O&lt;&gt;"""",'Students (Vertical)'!P:P&gt;1);filter('Students (Vertical)'!O:O,'Students (Vertical)'!C:C=E378,'"&amp;"Students (Vertical)'!O:O&lt;&gt;"""",'Students (Vertical)'!P:P&gt;1)},countifs({filter('Students (Vertical)'!O:O,'Students (Vertical)'!C:C=B378,'Students (Vertical)'!O:O&lt;&gt;"""",'Students (Vertical)'!P:P&gt;1);filter('Students (Vertical)'!O:O,'Students (Vertical)'!C:C="&amp;"E378,'Students (Vertical)'!O:O&lt;&gt;"""",'Students (Vertical)'!P:P&gt;1)},{filter('Students (Vertical)'!O:O,'Students (Vertical)'!C:C=B378,'Students (Vertical)'!O:O&lt;&gt;"""",'Students (Vertical)'!P:P&gt;1);filter('Students (Vertical)'!O:O,'Students (Vertical)'!C:C=E37"&amp;"8,'Students (Vertical)'!O:O&lt;&gt;"""",'Students (Vertical)'!P:P&gt;1)})&gt;1))),""""),"""")"),"")</f>
        <v/>
      </c>
      <c r="K378" s="358"/>
    </row>
    <row r="379">
      <c r="A379" s="300" t="s">
        <v>22</v>
      </c>
      <c r="C379" s="300" t="s">
        <v>22</v>
      </c>
      <c r="D379" s="300" t="s">
        <v>22</v>
      </c>
      <c r="F379" s="300" t="s">
        <v>22</v>
      </c>
      <c r="G379" s="300" t="s">
        <v>22</v>
      </c>
      <c r="I379" s="356" t="str">
        <f>IFERROR(__xludf.DUMMYFUNCTION("if(H379=""Must be Together"",iferror(join("", "",unique(filter({filter('Students (Vertical)'!O:O,'Students (Vertical)'!C:C=B379,'Students (Vertical)'!O:O&lt;&gt;"""");filter('Students (Vertical)'!O:O,'Students (Vertical)'!C:C=E379,'Students (Vertical)'!O:O&lt;&gt;"""&amp;""")},countifs({filter('Students (Vertical)'!O:O,'Students (Vertical)'!C:C=B379,'Students (Vertical)'!O:O&lt;&gt;"""");filter('Students (Vertical)'!O:O,'Students (Vertical)'!C:C=E379,'Students (Vertical)'!O:O&lt;&gt;"""")},{filter('Students (Vertical)'!O:O,'Students ("&amp;"Vertical)'!C:C=B379,'Students (Vertical)'!O:O&lt;&gt;"""");filter('Students (Vertical)'!O:O,'Students (Vertical)'!C:C=E379,'Students (Vertical)'!O:O&lt;&gt;"""")})&gt;1))),""No shared courses""),"""")"),"")</f>
        <v/>
      </c>
      <c r="J379" s="357" t="str">
        <f>IFERROR(__xludf.DUMMYFUNCTION("if(H379=""Can't be Together"",iferror(join("", "",unique(filter({filter('Students (Vertical)'!O:O,'Students (Vertical)'!C:C=B379,'Students (Vertical)'!O:O&lt;&gt;"""",'Students (Vertical)'!P:P&gt;1);filter('Students (Vertical)'!O:O,'Students (Vertical)'!C:C=E379,'"&amp;"Students (Vertical)'!O:O&lt;&gt;"""",'Students (Vertical)'!P:P&gt;1)},countifs({filter('Students (Vertical)'!O:O,'Students (Vertical)'!C:C=B379,'Students (Vertical)'!O:O&lt;&gt;"""",'Students (Vertical)'!P:P&gt;1);filter('Students (Vertical)'!O:O,'Students (Vertical)'!C:C="&amp;"E379,'Students (Vertical)'!O:O&lt;&gt;"""",'Students (Vertical)'!P:P&gt;1)},{filter('Students (Vertical)'!O:O,'Students (Vertical)'!C:C=B379,'Students (Vertical)'!O:O&lt;&gt;"""",'Students (Vertical)'!P:P&gt;1);filter('Students (Vertical)'!O:O,'Students (Vertical)'!C:C=E37"&amp;"9,'Students (Vertical)'!O:O&lt;&gt;"""",'Students (Vertical)'!P:P&gt;1)})&gt;1))),""""),"""")"),"")</f>
        <v/>
      </c>
      <c r="K379" s="358"/>
    </row>
    <row r="380">
      <c r="A380" s="300" t="s">
        <v>22</v>
      </c>
      <c r="C380" s="300" t="s">
        <v>22</v>
      </c>
      <c r="D380" s="300" t="s">
        <v>22</v>
      </c>
      <c r="F380" s="300" t="s">
        <v>22</v>
      </c>
      <c r="G380" s="300" t="s">
        <v>22</v>
      </c>
      <c r="I380" s="356" t="str">
        <f>IFERROR(__xludf.DUMMYFUNCTION("if(H380=""Must be Together"",iferror(join("", "",unique(filter({filter('Students (Vertical)'!O:O,'Students (Vertical)'!C:C=B380,'Students (Vertical)'!O:O&lt;&gt;"""");filter('Students (Vertical)'!O:O,'Students (Vertical)'!C:C=E380,'Students (Vertical)'!O:O&lt;&gt;"""&amp;""")},countifs({filter('Students (Vertical)'!O:O,'Students (Vertical)'!C:C=B380,'Students (Vertical)'!O:O&lt;&gt;"""");filter('Students (Vertical)'!O:O,'Students (Vertical)'!C:C=E380,'Students (Vertical)'!O:O&lt;&gt;"""")},{filter('Students (Vertical)'!O:O,'Students ("&amp;"Vertical)'!C:C=B380,'Students (Vertical)'!O:O&lt;&gt;"""");filter('Students (Vertical)'!O:O,'Students (Vertical)'!C:C=E380,'Students (Vertical)'!O:O&lt;&gt;"""")})&gt;1))),""No shared courses""),"""")"),"")</f>
        <v/>
      </c>
      <c r="J380" s="357" t="str">
        <f>IFERROR(__xludf.DUMMYFUNCTION("if(H380=""Can't be Together"",iferror(join("", "",unique(filter({filter('Students (Vertical)'!O:O,'Students (Vertical)'!C:C=B380,'Students (Vertical)'!O:O&lt;&gt;"""",'Students (Vertical)'!P:P&gt;1);filter('Students (Vertical)'!O:O,'Students (Vertical)'!C:C=E380,'"&amp;"Students (Vertical)'!O:O&lt;&gt;"""",'Students (Vertical)'!P:P&gt;1)},countifs({filter('Students (Vertical)'!O:O,'Students (Vertical)'!C:C=B380,'Students (Vertical)'!O:O&lt;&gt;"""",'Students (Vertical)'!P:P&gt;1);filter('Students (Vertical)'!O:O,'Students (Vertical)'!C:C="&amp;"E380,'Students (Vertical)'!O:O&lt;&gt;"""",'Students (Vertical)'!P:P&gt;1)},{filter('Students (Vertical)'!O:O,'Students (Vertical)'!C:C=B380,'Students (Vertical)'!O:O&lt;&gt;"""",'Students (Vertical)'!P:P&gt;1);filter('Students (Vertical)'!O:O,'Students (Vertical)'!C:C=E38"&amp;"0,'Students (Vertical)'!O:O&lt;&gt;"""",'Students (Vertical)'!P:P&gt;1)})&gt;1))),""""),"""")"),"")</f>
        <v/>
      </c>
      <c r="K380" s="358"/>
    </row>
    <row r="381">
      <c r="A381" s="300" t="s">
        <v>22</v>
      </c>
      <c r="C381" s="300" t="s">
        <v>22</v>
      </c>
      <c r="D381" s="300" t="s">
        <v>22</v>
      </c>
      <c r="F381" s="300" t="s">
        <v>22</v>
      </c>
      <c r="G381" s="300" t="s">
        <v>22</v>
      </c>
      <c r="I381" s="356" t="str">
        <f>IFERROR(__xludf.DUMMYFUNCTION("if(H381=""Must be Together"",iferror(join("", "",unique(filter({filter('Students (Vertical)'!O:O,'Students (Vertical)'!C:C=B381,'Students (Vertical)'!O:O&lt;&gt;"""");filter('Students (Vertical)'!O:O,'Students (Vertical)'!C:C=E381,'Students (Vertical)'!O:O&lt;&gt;"""&amp;""")},countifs({filter('Students (Vertical)'!O:O,'Students (Vertical)'!C:C=B381,'Students (Vertical)'!O:O&lt;&gt;"""");filter('Students (Vertical)'!O:O,'Students (Vertical)'!C:C=E381,'Students (Vertical)'!O:O&lt;&gt;"""")},{filter('Students (Vertical)'!O:O,'Students ("&amp;"Vertical)'!C:C=B381,'Students (Vertical)'!O:O&lt;&gt;"""");filter('Students (Vertical)'!O:O,'Students (Vertical)'!C:C=E381,'Students (Vertical)'!O:O&lt;&gt;"""")})&gt;1))),""No shared courses""),"""")"),"")</f>
        <v/>
      </c>
      <c r="J381" s="357" t="str">
        <f>IFERROR(__xludf.DUMMYFUNCTION("if(H381=""Can't be Together"",iferror(join("", "",unique(filter({filter('Students (Vertical)'!O:O,'Students (Vertical)'!C:C=B381,'Students (Vertical)'!O:O&lt;&gt;"""",'Students (Vertical)'!P:P&gt;1);filter('Students (Vertical)'!O:O,'Students (Vertical)'!C:C=E381,'"&amp;"Students (Vertical)'!O:O&lt;&gt;"""",'Students (Vertical)'!P:P&gt;1)},countifs({filter('Students (Vertical)'!O:O,'Students (Vertical)'!C:C=B381,'Students (Vertical)'!O:O&lt;&gt;"""",'Students (Vertical)'!P:P&gt;1);filter('Students (Vertical)'!O:O,'Students (Vertical)'!C:C="&amp;"E381,'Students (Vertical)'!O:O&lt;&gt;"""",'Students (Vertical)'!P:P&gt;1)},{filter('Students (Vertical)'!O:O,'Students (Vertical)'!C:C=B381,'Students (Vertical)'!O:O&lt;&gt;"""",'Students (Vertical)'!P:P&gt;1);filter('Students (Vertical)'!O:O,'Students (Vertical)'!C:C=E38"&amp;"1,'Students (Vertical)'!O:O&lt;&gt;"""",'Students (Vertical)'!P:P&gt;1)})&gt;1))),""""),"""")"),"")</f>
        <v/>
      </c>
      <c r="K381" s="358"/>
    </row>
    <row r="382">
      <c r="A382" s="300" t="s">
        <v>22</v>
      </c>
      <c r="C382" s="300" t="s">
        <v>22</v>
      </c>
      <c r="D382" s="300" t="s">
        <v>22</v>
      </c>
      <c r="F382" s="300" t="s">
        <v>22</v>
      </c>
      <c r="G382" s="300" t="s">
        <v>22</v>
      </c>
      <c r="I382" s="356" t="str">
        <f>IFERROR(__xludf.DUMMYFUNCTION("if(H382=""Must be Together"",iferror(join("", "",unique(filter({filter('Students (Vertical)'!O:O,'Students (Vertical)'!C:C=B382,'Students (Vertical)'!O:O&lt;&gt;"""");filter('Students (Vertical)'!O:O,'Students (Vertical)'!C:C=E382,'Students (Vertical)'!O:O&lt;&gt;"""&amp;""")},countifs({filter('Students (Vertical)'!O:O,'Students (Vertical)'!C:C=B382,'Students (Vertical)'!O:O&lt;&gt;"""");filter('Students (Vertical)'!O:O,'Students (Vertical)'!C:C=E382,'Students (Vertical)'!O:O&lt;&gt;"""")},{filter('Students (Vertical)'!O:O,'Students ("&amp;"Vertical)'!C:C=B382,'Students (Vertical)'!O:O&lt;&gt;"""");filter('Students (Vertical)'!O:O,'Students (Vertical)'!C:C=E382,'Students (Vertical)'!O:O&lt;&gt;"""")})&gt;1))),""No shared courses""),"""")"),"")</f>
        <v/>
      </c>
      <c r="J382" s="357" t="str">
        <f>IFERROR(__xludf.DUMMYFUNCTION("if(H382=""Can't be Together"",iferror(join("", "",unique(filter({filter('Students (Vertical)'!O:O,'Students (Vertical)'!C:C=B382,'Students (Vertical)'!O:O&lt;&gt;"""",'Students (Vertical)'!P:P&gt;1);filter('Students (Vertical)'!O:O,'Students (Vertical)'!C:C=E382,'"&amp;"Students (Vertical)'!O:O&lt;&gt;"""",'Students (Vertical)'!P:P&gt;1)},countifs({filter('Students (Vertical)'!O:O,'Students (Vertical)'!C:C=B382,'Students (Vertical)'!O:O&lt;&gt;"""",'Students (Vertical)'!P:P&gt;1);filter('Students (Vertical)'!O:O,'Students (Vertical)'!C:C="&amp;"E382,'Students (Vertical)'!O:O&lt;&gt;"""",'Students (Vertical)'!P:P&gt;1)},{filter('Students (Vertical)'!O:O,'Students (Vertical)'!C:C=B382,'Students (Vertical)'!O:O&lt;&gt;"""",'Students (Vertical)'!P:P&gt;1);filter('Students (Vertical)'!O:O,'Students (Vertical)'!C:C=E38"&amp;"2,'Students (Vertical)'!O:O&lt;&gt;"""",'Students (Vertical)'!P:P&gt;1)})&gt;1))),""""),"""")"),"")</f>
        <v/>
      </c>
      <c r="K382" s="358"/>
    </row>
    <row r="383">
      <c r="A383" s="300" t="s">
        <v>22</v>
      </c>
      <c r="C383" s="300" t="s">
        <v>22</v>
      </c>
      <c r="D383" s="300" t="s">
        <v>22</v>
      </c>
      <c r="F383" s="300" t="s">
        <v>22</v>
      </c>
      <c r="G383" s="300" t="s">
        <v>22</v>
      </c>
      <c r="I383" s="356" t="str">
        <f>IFERROR(__xludf.DUMMYFUNCTION("if(H383=""Must be Together"",iferror(join("", "",unique(filter({filter('Students (Vertical)'!O:O,'Students (Vertical)'!C:C=B383,'Students (Vertical)'!O:O&lt;&gt;"""");filter('Students (Vertical)'!O:O,'Students (Vertical)'!C:C=E383,'Students (Vertical)'!O:O&lt;&gt;"""&amp;""")},countifs({filter('Students (Vertical)'!O:O,'Students (Vertical)'!C:C=B383,'Students (Vertical)'!O:O&lt;&gt;"""");filter('Students (Vertical)'!O:O,'Students (Vertical)'!C:C=E383,'Students (Vertical)'!O:O&lt;&gt;"""")},{filter('Students (Vertical)'!O:O,'Students ("&amp;"Vertical)'!C:C=B383,'Students (Vertical)'!O:O&lt;&gt;"""");filter('Students (Vertical)'!O:O,'Students (Vertical)'!C:C=E383,'Students (Vertical)'!O:O&lt;&gt;"""")})&gt;1))),""No shared courses""),"""")"),"")</f>
        <v/>
      </c>
      <c r="J383" s="357" t="str">
        <f>IFERROR(__xludf.DUMMYFUNCTION("if(H383=""Can't be Together"",iferror(join("", "",unique(filter({filter('Students (Vertical)'!O:O,'Students (Vertical)'!C:C=B383,'Students (Vertical)'!O:O&lt;&gt;"""",'Students (Vertical)'!P:P&gt;1);filter('Students (Vertical)'!O:O,'Students (Vertical)'!C:C=E383,'"&amp;"Students (Vertical)'!O:O&lt;&gt;"""",'Students (Vertical)'!P:P&gt;1)},countifs({filter('Students (Vertical)'!O:O,'Students (Vertical)'!C:C=B383,'Students (Vertical)'!O:O&lt;&gt;"""",'Students (Vertical)'!P:P&gt;1);filter('Students (Vertical)'!O:O,'Students (Vertical)'!C:C="&amp;"E383,'Students (Vertical)'!O:O&lt;&gt;"""",'Students (Vertical)'!P:P&gt;1)},{filter('Students (Vertical)'!O:O,'Students (Vertical)'!C:C=B383,'Students (Vertical)'!O:O&lt;&gt;"""",'Students (Vertical)'!P:P&gt;1);filter('Students (Vertical)'!O:O,'Students (Vertical)'!C:C=E38"&amp;"3,'Students (Vertical)'!O:O&lt;&gt;"""",'Students (Vertical)'!P:P&gt;1)})&gt;1))),""""),"""")"),"")</f>
        <v/>
      </c>
      <c r="K383" s="358"/>
    </row>
    <row r="384">
      <c r="A384" s="300" t="s">
        <v>22</v>
      </c>
      <c r="C384" s="300" t="s">
        <v>22</v>
      </c>
      <c r="D384" s="300" t="s">
        <v>22</v>
      </c>
      <c r="F384" s="300" t="s">
        <v>22</v>
      </c>
      <c r="G384" s="300" t="s">
        <v>22</v>
      </c>
      <c r="I384" s="356" t="str">
        <f>IFERROR(__xludf.DUMMYFUNCTION("if(H384=""Must be Together"",iferror(join("", "",unique(filter({filter('Students (Vertical)'!O:O,'Students (Vertical)'!C:C=B384,'Students (Vertical)'!O:O&lt;&gt;"""");filter('Students (Vertical)'!O:O,'Students (Vertical)'!C:C=E384,'Students (Vertical)'!O:O&lt;&gt;"""&amp;""")},countifs({filter('Students (Vertical)'!O:O,'Students (Vertical)'!C:C=B384,'Students (Vertical)'!O:O&lt;&gt;"""");filter('Students (Vertical)'!O:O,'Students (Vertical)'!C:C=E384,'Students (Vertical)'!O:O&lt;&gt;"""")},{filter('Students (Vertical)'!O:O,'Students ("&amp;"Vertical)'!C:C=B384,'Students (Vertical)'!O:O&lt;&gt;"""");filter('Students (Vertical)'!O:O,'Students (Vertical)'!C:C=E384,'Students (Vertical)'!O:O&lt;&gt;"""")})&gt;1))),""No shared courses""),"""")"),"")</f>
        <v/>
      </c>
      <c r="J384" s="357" t="str">
        <f>IFERROR(__xludf.DUMMYFUNCTION("if(H384=""Can't be Together"",iferror(join("", "",unique(filter({filter('Students (Vertical)'!O:O,'Students (Vertical)'!C:C=B384,'Students (Vertical)'!O:O&lt;&gt;"""",'Students (Vertical)'!P:P&gt;1);filter('Students (Vertical)'!O:O,'Students (Vertical)'!C:C=E384,'"&amp;"Students (Vertical)'!O:O&lt;&gt;"""",'Students (Vertical)'!P:P&gt;1)},countifs({filter('Students (Vertical)'!O:O,'Students (Vertical)'!C:C=B384,'Students (Vertical)'!O:O&lt;&gt;"""",'Students (Vertical)'!P:P&gt;1);filter('Students (Vertical)'!O:O,'Students (Vertical)'!C:C="&amp;"E384,'Students (Vertical)'!O:O&lt;&gt;"""",'Students (Vertical)'!P:P&gt;1)},{filter('Students (Vertical)'!O:O,'Students (Vertical)'!C:C=B384,'Students (Vertical)'!O:O&lt;&gt;"""",'Students (Vertical)'!P:P&gt;1);filter('Students (Vertical)'!O:O,'Students (Vertical)'!C:C=E38"&amp;"4,'Students (Vertical)'!O:O&lt;&gt;"""",'Students (Vertical)'!P:P&gt;1)})&gt;1))),""""),"""")"),"")</f>
        <v/>
      </c>
      <c r="K384" s="358"/>
    </row>
    <row r="385">
      <c r="A385" s="300" t="s">
        <v>22</v>
      </c>
      <c r="C385" s="300" t="s">
        <v>22</v>
      </c>
      <c r="D385" s="300" t="s">
        <v>22</v>
      </c>
      <c r="F385" s="300" t="s">
        <v>22</v>
      </c>
      <c r="G385" s="300" t="s">
        <v>22</v>
      </c>
      <c r="I385" s="356" t="str">
        <f>IFERROR(__xludf.DUMMYFUNCTION("if(H385=""Must be Together"",iferror(join("", "",unique(filter({filter('Students (Vertical)'!O:O,'Students (Vertical)'!C:C=B385,'Students (Vertical)'!O:O&lt;&gt;"""");filter('Students (Vertical)'!O:O,'Students (Vertical)'!C:C=E385,'Students (Vertical)'!O:O&lt;&gt;"""&amp;""")},countifs({filter('Students (Vertical)'!O:O,'Students (Vertical)'!C:C=B385,'Students (Vertical)'!O:O&lt;&gt;"""");filter('Students (Vertical)'!O:O,'Students (Vertical)'!C:C=E385,'Students (Vertical)'!O:O&lt;&gt;"""")},{filter('Students (Vertical)'!O:O,'Students ("&amp;"Vertical)'!C:C=B385,'Students (Vertical)'!O:O&lt;&gt;"""");filter('Students (Vertical)'!O:O,'Students (Vertical)'!C:C=E385,'Students (Vertical)'!O:O&lt;&gt;"""")})&gt;1))),""No shared courses""),"""")"),"")</f>
        <v/>
      </c>
      <c r="J385" s="357" t="str">
        <f>IFERROR(__xludf.DUMMYFUNCTION("if(H385=""Can't be Together"",iferror(join("", "",unique(filter({filter('Students (Vertical)'!O:O,'Students (Vertical)'!C:C=B385,'Students (Vertical)'!O:O&lt;&gt;"""",'Students (Vertical)'!P:P&gt;1);filter('Students (Vertical)'!O:O,'Students (Vertical)'!C:C=E385,'"&amp;"Students (Vertical)'!O:O&lt;&gt;"""",'Students (Vertical)'!P:P&gt;1)},countifs({filter('Students (Vertical)'!O:O,'Students (Vertical)'!C:C=B385,'Students (Vertical)'!O:O&lt;&gt;"""",'Students (Vertical)'!P:P&gt;1);filter('Students (Vertical)'!O:O,'Students (Vertical)'!C:C="&amp;"E385,'Students (Vertical)'!O:O&lt;&gt;"""",'Students (Vertical)'!P:P&gt;1)},{filter('Students (Vertical)'!O:O,'Students (Vertical)'!C:C=B385,'Students (Vertical)'!O:O&lt;&gt;"""",'Students (Vertical)'!P:P&gt;1);filter('Students (Vertical)'!O:O,'Students (Vertical)'!C:C=E38"&amp;"5,'Students (Vertical)'!O:O&lt;&gt;"""",'Students (Vertical)'!P:P&gt;1)})&gt;1))),""""),"""")"),"")</f>
        <v/>
      </c>
      <c r="K385" s="358"/>
    </row>
    <row r="386">
      <c r="A386" s="300" t="s">
        <v>22</v>
      </c>
      <c r="C386" s="300" t="s">
        <v>22</v>
      </c>
      <c r="D386" s="300" t="s">
        <v>22</v>
      </c>
      <c r="F386" s="300" t="s">
        <v>22</v>
      </c>
      <c r="G386" s="300" t="s">
        <v>22</v>
      </c>
      <c r="I386" s="356" t="str">
        <f>IFERROR(__xludf.DUMMYFUNCTION("if(H386=""Must be Together"",iferror(join("", "",unique(filter({filter('Students (Vertical)'!O:O,'Students (Vertical)'!C:C=B386,'Students (Vertical)'!O:O&lt;&gt;"""");filter('Students (Vertical)'!O:O,'Students (Vertical)'!C:C=E386,'Students (Vertical)'!O:O&lt;&gt;"""&amp;""")},countifs({filter('Students (Vertical)'!O:O,'Students (Vertical)'!C:C=B386,'Students (Vertical)'!O:O&lt;&gt;"""");filter('Students (Vertical)'!O:O,'Students (Vertical)'!C:C=E386,'Students (Vertical)'!O:O&lt;&gt;"""")},{filter('Students (Vertical)'!O:O,'Students ("&amp;"Vertical)'!C:C=B386,'Students (Vertical)'!O:O&lt;&gt;"""");filter('Students (Vertical)'!O:O,'Students (Vertical)'!C:C=E386,'Students (Vertical)'!O:O&lt;&gt;"""")})&gt;1))),""No shared courses""),"""")"),"")</f>
        <v/>
      </c>
      <c r="J386" s="357" t="str">
        <f>IFERROR(__xludf.DUMMYFUNCTION("if(H386=""Can't be Together"",iferror(join("", "",unique(filter({filter('Students (Vertical)'!O:O,'Students (Vertical)'!C:C=B386,'Students (Vertical)'!O:O&lt;&gt;"""",'Students (Vertical)'!P:P&gt;1);filter('Students (Vertical)'!O:O,'Students (Vertical)'!C:C=E386,'"&amp;"Students (Vertical)'!O:O&lt;&gt;"""",'Students (Vertical)'!P:P&gt;1)},countifs({filter('Students (Vertical)'!O:O,'Students (Vertical)'!C:C=B386,'Students (Vertical)'!O:O&lt;&gt;"""",'Students (Vertical)'!P:P&gt;1);filter('Students (Vertical)'!O:O,'Students (Vertical)'!C:C="&amp;"E386,'Students (Vertical)'!O:O&lt;&gt;"""",'Students (Vertical)'!P:P&gt;1)},{filter('Students (Vertical)'!O:O,'Students (Vertical)'!C:C=B386,'Students (Vertical)'!O:O&lt;&gt;"""",'Students (Vertical)'!P:P&gt;1);filter('Students (Vertical)'!O:O,'Students (Vertical)'!C:C=E38"&amp;"6,'Students (Vertical)'!O:O&lt;&gt;"""",'Students (Vertical)'!P:P&gt;1)})&gt;1))),""""),"""")"),"")</f>
        <v/>
      </c>
      <c r="K386" s="358"/>
    </row>
    <row r="387">
      <c r="A387" s="300" t="s">
        <v>22</v>
      </c>
      <c r="C387" s="300" t="s">
        <v>22</v>
      </c>
      <c r="D387" s="300" t="s">
        <v>22</v>
      </c>
      <c r="F387" s="300" t="s">
        <v>22</v>
      </c>
      <c r="G387" s="300" t="s">
        <v>22</v>
      </c>
      <c r="I387" s="356" t="str">
        <f>IFERROR(__xludf.DUMMYFUNCTION("if(H387=""Must be Together"",iferror(join("", "",unique(filter({filter('Students (Vertical)'!O:O,'Students (Vertical)'!C:C=B387,'Students (Vertical)'!O:O&lt;&gt;"""");filter('Students (Vertical)'!O:O,'Students (Vertical)'!C:C=E387,'Students (Vertical)'!O:O&lt;&gt;"""&amp;""")},countifs({filter('Students (Vertical)'!O:O,'Students (Vertical)'!C:C=B387,'Students (Vertical)'!O:O&lt;&gt;"""");filter('Students (Vertical)'!O:O,'Students (Vertical)'!C:C=E387,'Students (Vertical)'!O:O&lt;&gt;"""")},{filter('Students (Vertical)'!O:O,'Students ("&amp;"Vertical)'!C:C=B387,'Students (Vertical)'!O:O&lt;&gt;"""");filter('Students (Vertical)'!O:O,'Students (Vertical)'!C:C=E387,'Students (Vertical)'!O:O&lt;&gt;"""")})&gt;1))),""No shared courses""),"""")"),"")</f>
        <v/>
      </c>
      <c r="J387" s="357" t="str">
        <f>IFERROR(__xludf.DUMMYFUNCTION("if(H387=""Can't be Together"",iferror(join("", "",unique(filter({filter('Students (Vertical)'!O:O,'Students (Vertical)'!C:C=B387,'Students (Vertical)'!O:O&lt;&gt;"""",'Students (Vertical)'!P:P&gt;1);filter('Students (Vertical)'!O:O,'Students (Vertical)'!C:C=E387,'"&amp;"Students (Vertical)'!O:O&lt;&gt;"""",'Students (Vertical)'!P:P&gt;1)},countifs({filter('Students (Vertical)'!O:O,'Students (Vertical)'!C:C=B387,'Students (Vertical)'!O:O&lt;&gt;"""",'Students (Vertical)'!P:P&gt;1);filter('Students (Vertical)'!O:O,'Students (Vertical)'!C:C="&amp;"E387,'Students (Vertical)'!O:O&lt;&gt;"""",'Students (Vertical)'!P:P&gt;1)},{filter('Students (Vertical)'!O:O,'Students (Vertical)'!C:C=B387,'Students (Vertical)'!O:O&lt;&gt;"""",'Students (Vertical)'!P:P&gt;1);filter('Students (Vertical)'!O:O,'Students (Vertical)'!C:C=E38"&amp;"7,'Students (Vertical)'!O:O&lt;&gt;"""",'Students (Vertical)'!P:P&gt;1)})&gt;1))),""""),"""")"),"")</f>
        <v/>
      </c>
      <c r="K387" s="358"/>
    </row>
    <row r="388">
      <c r="A388" s="300" t="s">
        <v>22</v>
      </c>
      <c r="C388" s="300" t="s">
        <v>22</v>
      </c>
      <c r="D388" s="300" t="s">
        <v>22</v>
      </c>
      <c r="F388" s="300" t="s">
        <v>22</v>
      </c>
      <c r="G388" s="300" t="s">
        <v>22</v>
      </c>
      <c r="I388" s="356" t="str">
        <f>IFERROR(__xludf.DUMMYFUNCTION("if(H388=""Must be Together"",iferror(join("", "",unique(filter({filter('Students (Vertical)'!O:O,'Students (Vertical)'!C:C=B388,'Students (Vertical)'!O:O&lt;&gt;"""");filter('Students (Vertical)'!O:O,'Students (Vertical)'!C:C=E388,'Students (Vertical)'!O:O&lt;&gt;"""&amp;""")},countifs({filter('Students (Vertical)'!O:O,'Students (Vertical)'!C:C=B388,'Students (Vertical)'!O:O&lt;&gt;"""");filter('Students (Vertical)'!O:O,'Students (Vertical)'!C:C=E388,'Students (Vertical)'!O:O&lt;&gt;"""")},{filter('Students (Vertical)'!O:O,'Students ("&amp;"Vertical)'!C:C=B388,'Students (Vertical)'!O:O&lt;&gt;"""");filter('Students (Vertical)'!O:O,'Students (Vertical)'!C:C=E388,'Students (Vertical)'!O:O&lt;&gt;"""")})&gt;1))),""No shared courses""),"""")"),"")</f>
        <v/>
      </c>
      <c r="J388" s="357" t="str">
        <f>IFERROR(__xludf.DUMMYFUNCTION("if(H388=""Can't be Together"",iferror(join("", "",unique(filter({filter('Students (Vertical)'!O:O,'Students (Vertical)'!C:C=B388,'Students (Vertical)'!O:O&lt;&gt;"""",'Students (Vertical)'!P:P&gt;1);filter('Students (Vertical)'!O:O,'Students (Vertical)'!C:C=E388,'"&amp;"Students (Vertical)'!O:O&lt;&gt;"""",'Students (Vertical)'!P:P&gt;1)},countifs({filter('Students (Vertical)'!O:O,'Students (Vertical)'!C:C=B388,'Students (Vertical)'!O:O&lt;&gt;"""",'Students (Vertical)'!P:P&gt;1);filter('Students (Vertical)'!O:O,'Students (Vertical)'!C:C="&amp;"E388,'Students (Vertical)'!O:O&lt;&gt;"""",'Students (Vertical)'!P:P&gt;1)},{filter('Students (Vertical)'!O:O,'Students (Vertical)'!C:C=B388,'Students (Vertical)'!O:O&lt;&gt;"""",'Students (Vertical)'!P:P&gt;1);filter('Students (Vertical)'!O:O,'Students (Vertical)'!C:C=E38"&amp;"8,'Students (Vertical)'!O:O&lt;&gt;"""",'Students (Vertical)'!P:P&gt;1)})&gt;1))),""""),"""")"),"")</f>
        <v/>
      </c>
      <c r="K388" s="358"/>
    </row>
    <row r="389">
      <c r="A389" s="300" t="s">
        <v>22</v>
      </c>
      <c r="C389" s="300" t="s">
        <v>22</v>
      </c>
      <c r="D389" s="300" t="s">
        <v>22</v>
      </c>
      <c r="F389" s="300" t="s">
        <v>22</v>
      </c>
      <c r="G389" s="300" t="s">
        <v>22</v>
      </c>
      <c r="I389" s="356" t="str">
        <f>IFERROR(__xludf.DUMMYFUNCTION("if(H389=""Must be Together"",iferror(join("", "",unique(filter({filter('Students (Vertical)'!O:O,'Students (Vertical)'!C:C=B389,'Students (Vertical)'!O:O&lt;&gt;"""");filter('Students (Vertical)'!O:O,'Students (Vertical)'!C:C=E389,'Students (Vertical)'!O:O&lt;&gt;"""&amp;""")},countifs({filter('Students (Vertical)'!O:O,'Students (Vertical)'!C:C=B389,'Students (Vertical)'!O:O&lt;&gt;"""");filter('Students (Vertical)'!O:O,'Students (Vertical)'!C:C=E389,'Students (Vertical)'!O:O&lt;&gt;"""")},{filter('Students (Vertical)'!O:O,'Students ("&amp;"Vertical)'!C:C=B389,'Students (Vertical)'!O:O&lt;&gt;"""");filter('Students (Vertical)'!O:O,'Students (Vertical)'!C:C=E389,'Students (Vertical)'!O:O&lt;&gt;"""")})&gt;1))),""No shared courses""),"""")"),"")</f>
        <v/>
      </c>
      <c r="J389" s="357" t="str">
        <f>IFERROR(__xludf.DUMMYFUNCTION("if(H389=""Can't be Together"",iferror(join("", "",unique(filter({filter('Students (Vertical)'!O:O,'Students (Vertical)'!C:C=B389,'Students (Vertical)'!O:O&lt;&gt;"""",'Students (Vertical)'!P:P&gt;1);filter('Students (Vertical)'!O:O,'Students (Vertical)'!C:C=E389,'"&amp;"Students (Vertical)'!O:O&lt;&gt;"""",'Students (Vertical)'!P:P&gt;1)},countifs({filter('Students (Vertical)'!O:O,'Students (Vertical)'!C:C=B389,'Students (Vertical)'!O:O&lt;&gt;"""",'Students (Vertical)'!P:P&gt;1);filter('Students (Vertical)'!O:O,'Students (Vertical)'!C:C="&amp;"E389,'Students (Vertical)'!O:O&lt;&gt;"""",'Students (Vertical)'!P:P&gt;1)},{filter('Students (Vertical)'!O:O,'Students (Vertical)'!C:C=B389,'Students (Vertical)'!O:O&lt;&gt;"""",'Students (Vertical)'!P:P&gt;1);filter('Students (Vertical)'!O:O,'Students (Vertical)'!C:C=E38"&amp;"9,'Students (Vertical)'!O:O&lt;&gt;"""",'Students (Vertical)'!P:P&gt;1)})&gt;1))),""""),"""")"),"")</f>
        <v/>
      </c>
      <c r="K389" s="358"/>
    </row>
    <row r="390">
      <c r="A390" s="300" t="s">
        <v>22</v>
      </c>
      <c r="C390" s="300" t="s">
        <v>22</v>
      </c>
      <c r="D390" s="300" t="s">
        <v>22</v>
      </c>
      <c r="F390" s="300" t="s">
        <v>22</v>
      </c>
      <c r="G390" s="300" t="s">
        <v>22</v>
      </c>
      <c r="I390" s="356" t="str">
        <f>IFERROR(__xludf.DUMMYFUNCTION("if(H390=""Must be Together"",iferror(join("", "",unique(filter({filter('Students (Vertical)'!O:O,'Students (Vertical)'!C:C=B390,'Students (Vertical)'!O:O&lt;&gt;"""");filter('Students (Vertical)'!O:O,'Students (Vertical)'!C:C=E390,'Students (Vertical)'!O:O&lt;&gt;"""&amp;""")},countifs({filter('Students (Vertical)'!O:O,'Students (Vertical)'!C:C=B390,'Students (Vertical)'!O:O&lt;&gt;"""");filter('Students (Vertical)'!O:O,'Students (Vertical)'!C:C=E390,'Students (Vertical)'!O:O&lt;&gt;"""")},{filter('Students (Vertical)'!O:O,'Students ("&amp;"Vertical)'!C:C=B390,'Students (Vertical)'!O:O&lt;&gt;"""");filter('Students (Vertical)'!O:O,'Students (Vertical)'!C:C=E390,'Students (Vertical)'!O:O&lt;&gt;"""")})&gt;1))),""No shared courses""),"""")"),"")</f>
        <v/>
      </c>
      <c r="J390" s="357" t="str">
        <f>IFERROR(__xludf.DUMMYFUNCTION("if(H390=""Can't be Together"",iferror(join("", "",unique(filter({filter('Students (Vertical)'!O:O,'Students (Vertical)'!C:C=B390,'Students (Vertical)'!O:O&lt;&gt;"""",'Students (Vertical)'!P:P&gt;1);filter('Students (Vertical)'!O:O,'Students (Vertical)'!C:C=E390,'"&amp;"Students (Vertical)'!O:O&lt;&gt;"""",'Students (Vertical)'!P:P&gt;1)},countifs({filter('Students (Vertical)'!O:O,'Students (Vertical)'!C:C=B390,'Students (Vertical)'!O:O&lt;&gt;"""",'Students (Vertical)'!P:P&gt;1);filter('Students (Vertical)'!O:O,'Students (Vertical)'!C:C="&amp;"E390,'Students (Vertical)'!O:O&lt;&gt;"""",'Students (Vertical)'!P:P&gt;1)},{filter('Students (Vertical)'!O:O,'Students (Vertical)'!C:C=B390,'Students (Vertical)'!O:O&lt;&gt;"""",'Students (Vertical)'!P:P&gt;1);filter('Students (Vertical)'!O:O,'Students (Vertical)'!C:C=E39"&amp;"0,'Students (Vertical)'!O:O&lt;&gt;"""",'Students (Vertical)'!P:P&gt;1)})&gt;1))),""""),"""")"),"")</f>
        <v/>
      </c>
      <c r="K390" s="358"/>
    </row>
    <row r="391">
      <c r="A391" s="300" t="s">
        <v>22</v>
      </c>
      <c r="C391" s="300" t="s">
        <v>22</v>
      </c>
      <c r="D391" s="300" t="s">
        <v>22</v>
      </c>
      <c r="F391" s="300" t="s">
        <v>22</v>
      </c>
      <c r="G391" s="300" t="s">
        <v>22</v>
      </c>
      <c r="I391" s="356" t="str">
        <f>IFERROR(__xludf.DUMMYFUNCTION("if(H391=""Must be Together"",iferror(join("", "",unique(filter({filter('Students (Vertical)'!O:O,'Students (Vertical)'!C:C=B391,'Students (Vertical)'!O:O&lt;&gt;"""");filter('Students (Vertical)'!O:O,'Students (Vertical)'!C:C=E391,'Students (Vertical)'!O:O&lt;&gt;"""&amp;""")},countifs({filter('Students (Vertical)'!O:O,'Students (Vertical)'!C:C=B391,'Students (Vertical)'!O:O&lt;&gt;"""");filter('Students (Vertical)'!O:O,'Students (Vertical)'!C:C=E391,'Students (Vertical)'!O:O&lt;&gt;"""")},{filter('Students (Vertical)'!O:O,'Students ("&amp;"Vertical)'!C:C=B391,'Students (Vertical)'!O:O&lt;&gt;"""");filter('Students (Vertical)'!O:O,'Students (Vertical)'!C:C=E391,'Students (Vertical)'!O:O&lt;&gt;"""")})&gt;1))),""No shared courses""),"""")"),"")</f>
        <v/>
      </c>
      <c r="J391" s="357" t="str">
        <f>IFERROR(__xludf.DUMMYFUNCTION("if(H391=""Can't be Together"",iferror(join("", "",unique(filter({filter('Students (Vertical)'!O:O,'Students (Vertical)'!C:C=B391,'Students (Vertical)'!O:O&lt;&gt;"""",'Students (Vertical)'!P:P&gt;1);filter('Students (Vertical)'!O:O,'Students (Vertical)'!C:C=E391,'"&amp;"Students (Vertical)'!O:O&lt;&gt;"""",'Students (Vertical)'!P:P&gt;1)},countifs({filter('Students (Vertical)'!O:O,'Students (Vertical)'!C:C=B391,'Students (Vertical)'!O:O&lt;&gt;"""",'Students (Vertical)'!P:P&gt;1);filter('Students (Vertical)'!O:O,'Students (Vertical)'!C:C="&amp;"E391,'Students (Vertical)'!O:O&lt;&gt;"""",'Students (Vertical)'!P:P&gt;1)},{filter('Students (Vertical)'!O:O,'Students (Vertical)'!C:C=B391,'Students (Vertical)'!O:O&lt;&gt;"""",'Students (Vertical)'!P:P&gt;1);filter('Students (Vertical)'!O:O,'Students (Vertical)'!C:C=E39"&amp;"1,'Students (Vertical)'!O:O&lt;&gt;"""",'Students (Vertical)'!P:P&gt;1)})&gt;1))),""""),"""")"),"")</f>
        <v/>
      </c>
      <c r="K391" s="358"/>
    </row>
    <row r="392">
      <c r="A392" s="300" t="s">
        <v>22</v>
      </c>
      <c r="C392" s="300" t="s">
        <v>22</v>
      </c>
      <c r="D392" s="300" t="s">
        <v>22</v>
      </c>
      <c r="F392" s="300" t="s">
        <v>22</v>
      </c>
      <c r="G392" s="300" t="s">
        <v>22</v>
      </c>
      <c r="I392" s="356" t="str">
        <f>IFERROR(__xludf.DUMMYFUNCTION("if(H392=""Must be Together"",iferror(join("", "",unique(filter({filter('Students (Vertical)'!O:O,'Students (Vertical)'!C:C=B392,'Students (Vertical)'!O:O&lt;&gt;"""");filter('Students (Vertical)'!O:O,'Students (Vertical)'!C:C=E392,'Students (Vertical)'!O:O&lt;&gt;"""&amp;""")},countifs({filter('Students (Vertical)'!O:O,'Students (Vertical)'!C:C=B392,'Students (Vertical)'!O:O&lt;&gt;"""");filter('Students (Vertical)'!O:O,'Students (Vertical)'!C:C=E392,'Students (Vertical)'!O:O&lt;&gt;"""")},{filter('Students (Vertical)'!O:O,'Students ("&amp;"Vertical)'!C:C=B392,'Students (Vertical)'!O:O&lt;&gt;"""");filter('Students (Vertical)'!O:O,'Students (Vertical)'!C:C=E392,'Students (Vertical)'!O:O&lt;&gt;"""")})&gt;1))),""No shared courses""),"""")"),"")</f>
        <v/>
      </c>
      <c r="J392" s="357" t="str">
        <f>IFERROR(__xludf.DUMMYFUNCTION("if(H392=""Can't be Together"",iferror(join("", "",unique(filter({filter('Students (Vertical)'!O:O,'Students (Vertical)'!C:C=B392,'Students (Vertical)'!O:O&lt;&gt;"""",'Students (Vertical)'!P:P&gt;1);filter('Students (Vertical)'!O:O,'Students (Vertical)'!C:C=E392,'"&amp;"Students (Vertical)'!O:O&lt;&gt;"""",'Students (Vertical)'!P:P&gt;1)},countifs({filter('Students (Vertical)'!O:O,'Students (Vertical)'!C:C=B392,'Students (Vertical)'!O:O&lt;&gt;"""",'Students (Vertical)'!P:P&gt;1);filter('Students (Vertical)'!O:O,'Students (Vertical)'!C:C="&amp;"E392,'Students (Vertical)'!O:O&lt;&gt;"""",'Students (Vertical)'!P:P&gt;1)},{filter('Students (Vertical)'!O:O,'Students (Vertical)'!C:C=B392,'Students (Vertical)'!O:O&lt;&gt;"""",'Students (Vertical)'!P:P&gt;1);filter('Students (Vertical)'!O:O,'Students (Vertical)'!C:C=E39"&amp;"2,'Students (Vertical)'!O:O&lt;&gt;"""",'Students (Vertical)'!P:P&gt;1)})&gt;1))),""""),"""")"),"")</f>
        <v/>
      </c>
      <c r="K392" s="358"/>
    </row>
    <row r="393">
      <c r="A393" s="300" t="s">
        <v>22</v>
      </c>
      <c r="C393" s="300" t="s">
        <v>22</v>
      </c>
      <c r="D393" s="300" t="s">
        <v>22</v>
      </c>
      <c r="F393" s="300" t="s">
        <v>22</v>
      </c>
      <c r="G393" s="300" t="s">
        <v>22</v>
      </c>
      <c r="I393" s="356" t="str">
        <f>IFERROR(__xludf.DUMMYFUNCTION("if(H393=""Must be Together"",iferror(join("", "",unique(filter({filter('Students (Vertical)'!O:O,'Students (Vertical)'!C:C=B393,'Students (Vertical)'!O:O&lt;&gt;"""");filter('Students (Vertical)'!O:O,'Students (Vertical)'!C:C=E393,'Students (Vertical)'!O:O&lt;&gt;"""&amp;""")},countifs({filter('Students (Vertical)'!O:O,'Students (Vertical)'!C:C=B393,'Students (Vertical)'!O:O&lt;&gt;"""");filter('Students (Vertical)'!O:O,'Students (Vertical)'!C:C=E393,'Students (Vertical)'!O:O&lt;&gt;"""")},{filter('Students (Vertical)'!O:O,'Students ("&amp;"Vertical)'!C:C=B393,'Students (Vertical)'!O:O&lt;&gt;"""");filter('Students (Vertical)'!O:O,'Students (Vertical)'!C:C=E393,'Students (Vertical)'!O:O&lt;&gt;"""")})&gt;1))),""No shared courses""),"""")"),"")</f>
        <v/>
      </c>
      <c r="J393" s="357" t="str">
        <f>IFERROR(__xludf.DUMMYFUNCTION("if(H393=""Can't be Together"",iferror(join("", "",unique(filter({filter('Students (Vertical)'!O:O,'Students (Vertical)'!C:C=B393,'Students (Vertical)'!O:O&lt;&gt;"""",'Students (Vertical)'!P:P&gt;1);filter('Students (Vertical)'!O:O,'Students (Vertical)'!C:C=E393,'"&amp;"Students (Vertical)'!O:O&lt;&gt;"""",'Students (Vertical)'!P:P&gt;1)},countifs({filter('Students (Vertical)'!O:O,'Students (Vertical)'!C:C=B393,'Students (Vertical)'!O:O&lt;&gt;"""",'Students (Vertical)'!P:P&gt;1);filter('Students (Vertical)'!O:O,'Students (Vertical)'!C:C="&amp;"E393,'Students (Vertical)'!O:O&lt;&gt;"""",'Students (Vertical)'!P:P&gt;1)},{filter('Students (Vertical)'!O:O,'Students (Vertical)'!C:C=B393,'Students (Vertical)'!O:O&lt;&gt;"""",'Students (Vertical)'!P:P&gt;1);filter('Students (Vertical)'!O:O,'Students (Vertical)'!C:C=E39"&amp;"3,'Students (Vertical)'!O:O&lt;&gt;"""",'Students (Vertical)'!P:P&gt;1)})&gt;1))),""""),"""")"),"")</f>
        <v/>
      </c>
      <c r="K393" s="358"/>
    </row>
    <row r="394">
      <c r="A394" s="300" t="s">
        <v>22</v>
      </c>
      <c r="C394" s="300" t="s">
        <v>22</v>
      </c>
      <c r="D394" s="300" t="s">
        <v>22</v>
      </c>
      <c r="F394" s="300" t="s">
        <v>22</v>
      </c>
      <c r="G394" s="300" t="s">
        <v>22</v>
      </c>
      <c r="I394" s="356" t="str">
        <f>IFERROR(__xludf.DUMMYFUNCTION("if(H394=""Must be Together"",iferror(join("", "",unique(filter({filter('Students (Vertical)'!O:O,'Students (Vertical)'!C:C=B394,'Students (Vertical)'!O:O&lt;&gt;"""");filter('Students (Vertical)'!O:O,'Students (Vertical)'!C:C=E394,'Students (Vertical)'!O:O&lt;&gt;"""&amp;""")},countifs({filter('Students (Vertical)'!O:O,'Students (Vertical)'!C:C=B394,'Students (Vertical)'!O:O&lt;&gt;"""");filter('Students (Vertical)'!O:O,'Students (Vertical)'!C:C=E394,'Students (Vertical)'!O:O&lt;&gt;"""")},{filter('Students (Vertical)'!O:O,'Students ("&amp;"Vertical)'!C:C=B394,'Students (Vertical)'!O:O&lt;&gt;"""");filter('Students (Vertical)'!O:O,'Students (Vertical)'!C:C=E394,'Students (Vertical)'!O:O&lt;&gt;"""")})&gt;1))),""No shared courses""),"""")"),"")</f>
        <v/>
      </c>
      <c r="J394" s="357" t="str">
        <f>IFERROR(__xludf.DUMMYFUNCTION("if(H394=""Can't be Together"",iferror(join("", "",unique(filter({filter('Students (Vertical)'!O:O,'Students (Vertical)'!C:C=B394,'Students (Vertical)'!O:O&lt;&gt;"""",'Students (Vertical)'!P:P&gt;1);filter('Students (Vertical)'!O:O,'Students (Vertical)'!C:C=E394,'"&amp;"Students (Vertical)'!O:O&lt;&gt;"""",'Students (Vertical)'!P:P&gt;1)},countifs({filter('Students (Vertical)'!O:O,'Students (Vertical)'!C:C=B394,'Students (Vertical)'!O:O&lt;&gt;"""",'Students (Vertical)'!P:P&gt;1);filter('Students (Vertical)'!O:O,'Students (Vertical)'!C:C="&amp;"E394,'Students (Vertical)'!O:O&lt;&gt;"""",'Students (Vertical)'!P:P&gt;1)},{filter('Students (Vertical)'!O:O,'Students (Vertical)'!C:C=B394,'Students (Vertical)'!O:O&lt;&gt;"""",'Students (Vertical)'!P:P&gt;1);filter('Students (Vertical)'!O:O,'Students (Vertical)'!C:C=E39"&amp;"4,'Students (Vertical)'!O:O&lt;&gt;"""",'Students (Vertical)'!P:P&gt;1)})&gt;1))),""""),"""")"),"")</f>
        <v/>
      </c>
      <c r="K394" s="358"/>
    </row>
    <row r="395">
      <c r="A395" s="300" t="s">
        <v>22</v>
      </c>
      <c r="C395" s="300" t="s">
        <v>22</v>
      </c>
      <c r="D395" s="300" t="s">
        <v>22</v>
      </c>
      <c r="F395" s="300" t="s">
        <v>22</v>
      </c>
      <c r="G395" s="300" t="s">
        <v>22</v>
      </c>
      <c r="I395" s="356" t="str">
        <f>IFERROR(__xludf.DUMMYFUNCTION("if(H395=""Must be Together"",iferror(join("", "",unique(filter({filter('Students (Vertical)'!O:O,'Students (Vertical)'!C:C=B395,'Students (Vertical)'!O:O&lt;&gt;"""");filter('Students (Vertical)'!O:O,'Students (Vertical)'!C:C=E395,'Students (Vertical)'!O:O&lt;&gt;"""&amp;""")},countifs({filter('Students (Vertical)'!O:O,'Students (Vertical)'!C:C=B395,'Students (Vertical)'!O:O&lt;&gt;"""");filter('Students (Vertical)'!O:O,'Students (Vertical)'!C:C=E395,'Students (Vertical)'!O:O&lt;&gt;"""")},{filter('Students (Vertical)'!O:O,'Students ("&amp;"Vertical)'!C:C=B395,'Students (Vertical)'!O:O&lt;&gt;"""");filter('Students (Vertical)'!O:O,'Students (Vertical)'!C:C=E395,'Students (Vertical)'!O:O&lt;&gt;"""")})&gt;1))),""No shared courses""),"""")"),"")</f>
        <v/>
      </c>
      <c r="J395" s="357" t="str">
        <f>IFERROR(__xludf.DUMMYFUNCTION("if(H395=""Can't be Together"",iferror(join("", "",unique(filter({filter('Students (Vertical)'!O:O,'Students (Vertical)'!C:C=B395,'Students (Vertical)'!O:O&lt;&gt;"""",'Students (Vertical)'!P:P&gt;1);filter('Students (Vertical)'!O:O,'Students (Vertical)'!C:C=E395,'"&amp;"Students (Vertical)'!O:O&lt;&gt;"""",'Students (Vertical)'!P:P&gt;1)},countifs({filter('Students (Vertical)'!O:O,'Students (Vertical)'!C:C=B395,'Students (Vertical)'!O:O&lt;&gt;"""",'Students (Vertical)'!P:P&gt;1);filter('Students (Vertical)'!O:O,'Students (Vertical)'!C:C="&amp;"E395,'Students (Vertical)'!O:O&lt;&gt;"""",'Students (Vertical)'!P:P&gt;1)},{filter('Students (Vertical)'!O:O,'Students (Vertical)'!C:C=B395,'Students (Vertical)'!O:O&lt;&gt;"""",'Students (Vertical)'!P:P&gt;1);filter('Students (Vertical)'!O:O,'Students (Vertical)'!C:C=E39"&amp;"5,'Students (Vertical)'!O:O&lt;&gt;"""",'Students (Vertical)'!P:P&gt;1)})&gt;1))),""""),"""")"),"")</f>
        <v/>
      </c>
      <c r="K395" s="358"/>
    </row>
    <row r="396">
      <c r="A396" s="300" t="s">
        <v>22</v>
      </c>
      <c r="C396" s="300" t="s">
        <v>22</v>
      </c>
      <c r="D396" s="300" t="s">
        <v>22</v>
      </c>
      <c r="F396" s="300" t="s">
        <v>22</v>
      </c>
      <c r="G396" s="300" t="s">
        <v>22</v>
      </c>
      <c r="I396" s="356" t="str">
        <f>IFERROR(__xludf.DUMMYFUNCTION("if(H396=""Must be Together"",iferror(join("", "",unique(filter({filter('Students (Vertical)'!O:O,'Students (Vertical)'!C:C=B396,'Students (Vertical)'!O:O&lt;&gt;"""");filter('Students (Vertical)'!O:O,'Students (Vertical)'!C:C=E396,'Students (Vertical)'!O:O&lt;&gt;"""&amp;""")},countifs({filter('Students (Vertical)'!O:O,'Students (Vertical)'!C:C=B396,'Students (Vertical)'!O:O&lt;&gt;"""");filter('Students (Vertical)'!O:O,'Students (Vertical)'!C:C=E396,'Students (Vertical)'!O:O&lt;&gt;"""")},{filter('Students (Vertical)'!O:O,'Students ("&amp;"Vertical)'!C:C=B396,'Students (Vertical)'!O:O&lt;&gt;"""");filter('Students (Vertical)'!O:O,'Students (Vertical)'!C:C=E396,'Students (Vertical)'!O:O&lt;&gt;"""")})&gt;1))),""No shared courses""),"""")"),"")</f>
        <v/>
      </c>
      <c r="J396" s="357" t="str">
        <f>IFERROR(__xludf.DUMMYFUNCTION("if(H396=""Can't be Together"",iferror(join("", "",unique(filter({filter('Students (Vertical)'!O:O,'Students (Vertical)'!C:C=B396,'Students (Vertical)'!O:O&lt;&gt;"""",'Students (Vertical)'!P:P&gt;1);filter('Students (Vertical)'!O:O,'Students (Vertical)'!C:C=E396,'"&amp;"Students (Vertical)'!O:O&lt;&gt;"""",'Students (Vertical)'!P:P&gt;1)},countifs({filter('Students (Vertical)'!O:O,'Students (Vertical)'!C:C=B396,'Students (Vertical)'!O:O&lt;&gt;"""",'Students (Vertical)'!P:P&gt;1);filter('Students (Vertical)'!O:O,'Students (Vertical)'!C:C="&amp;"E396,'Students (Vertical)'!O:O&lt;&gt;"""",'Students (Vertical)'!P:P&gt;1)},{filter('Students (Vertical)'!O:O,'Students (Vertical)'!C:C=B396,'Students (Vertical)'!O:O&lt;&gt;"""",'Students (Vertical)'!P:P&gt;1);filter('Students (Vertical)'!O:O,'Students (Vertical)'!C:C=E39"&amp;"6,'Students (Vertical)'!O:O&lt;&gt;"""",'Students (Vertical)'!P:P&gt;1)})&gt;1))),""""),"""")"),"")</f>
        <v/>
      </c>
      <c r="K396" s="358"/>
    </row>
    <row r="397">
      <c r="A397" s="300" t="s">
        <v>22</v>
      </c>
      <c r="C397" s="300" t="s">
        <v>22</v>
      </c>
      <c r="D397" s="300" t="s">
        <v>22</v>
      </c>
      <c r="F397" s="300" t="s">
        <v>22</v>
      </c>
      <c r="G397" s="300" t="s">
        <v>22</v>
      </c>
      <c r="I397" s="356" t="str">
        <f>IFERROR(__xludf.DUMMYFUNCTION("if(H397=""Must be Together"",iferror(join("", "",unique(filter({filter('Students (Vertical)'!O:O,'Students (Vertical)'!C:C=B397,'Students (Vertical)'!O:O&lt;&gt;"""");filter('Students (Vertical)'!O:O,'Students (Vertical)'!C:C=E397,'Students (Vertical)'!O:O&lt;&gt;"""&amp;""")},countifs({filter('Students (Vertical)'!O:O,'Students (Vertical)'!C:C=B397,'Students (Vertical)'!O:O&lt;&gt;"""");filter('Students (Vertical)'!O:O,'Students (Vertical)'!C:C=E397,'Students (Vertical)'!O:O&lt;&gt;"""")},{filter('Students (Vertical)'!O:O,'Students ("&amp;"Vertical)'!C:C=B397,'Students (Vertical)'!O:O&lt;&gt;"""");filter('Students (Vertical)'!O:O,'Students (Vertical)'!C:C=E397,'Students (Vertical)'!O:O&lt;&gt;"""")})&gt;1))),""No shared courses""),"""")"),"")</f>
        <v/>
      </c>
      <c r="J397" s="357" t="str">
        <f>IFERROR(__xludf.DUMMYFUNCTION("if(H397=""Can't be Together"",iferror(join("", "",unique(filter({filter('Students (Vertical)'!O:O,'Students (Vertical)'!C:C=B397,'Students (Vertical)'!O:O&lt;&gt;"""",'Students (Vertical)'!P:P&gt;1);filter('Students (Vertical)'!O:O,'Students (Vertical)'!C:C=E397,'"&amp;"Students (Vertical)'!O:O&lt;&gt;"""",'Students (Vertical)'!P:P&gt;1)},countifs({filter('Students (Vertical)'!O:O,'Students (Vertical)'!C:C=B397,'Students (Vertical)'!O:O&lt;&gt;"""",'Students (Vertical)'!P:P&gt;1);filter('Students (Vertical)'!O:O,'Students (Vertical)'!C:C="&amp;"E397,'Students (Vertical)'!O:O&lt;&gt;"""",'Students (Vertical)'!P:P&gt;1)},{filter('Students (Vertical)'!O:O,'Students (Vertical)'!C:C=B397,'Students (Vertical)'!O:O&lt;&gt;"""",'Students (Vertical)'!P:P&gt;1);filter('Students (Vertical)'!O:O,'Students (Vertical)'!C:C=E39"&amp;"7,'Students (Vertical)'!O:O&lt;&gt;"""",'Students (Vertical)'!P:P&gt;1)})&gt;1))),""""),"""")"),"")</f>
        <v/>
      </c>
      <c r="K397" s="358"/>
    </row>
    <row r="398">
      <c r="A398" s="300" t="s">
        <v>22</v>
      </c>
      <c r="C398" s="300" t="s">
        <v>22</v>
      </c>
      <c r="D398" s="300" t="s">
        <v>22</v>
      </c>
      <c r="F398" s="300" t="s">
        <v>22</v>
      </c>
      <c r="G398" s="300" t="s">
        <v>22</v>
      </c>
      <c r="I398" s="356" t="str">
        <f>IFERROR(__xludf.DUMMYFUNCTION("if(H398=""Must be Together"",iferror(join("", "",unique(filter({filter('Students (Vertical)'!O:O,'Students (Vertical)'!C:C=B398,'Students (Vertical)'!O:O&lt;&gt;"""");filter('Students (Vertical)'!O:O,'Students (Vertical)'!C:C=E398,'Students (Vertical)'!O:O&lt;&gt;"""&amp;""")},countifs({filter('Students (Vertical)'!O:O,'Students (Vertical)'!C:C=B398,'Students (Vertical)'!O:O&lt;&gt;"""");filter('Students (Vertical)'!O:O,'Students (Vertical)'!C:C=E398,'Students (Vertical)'!O:O&lt;&gt;"""")},{filter('Students (Vertical)'!O:O,'Students ("&amp;"Vertical)'!C:C=B398,'Students (Vertical)'!O:O&lt;&gt;"""");filter('Students (Vertical)'!O:O,'Students (Vertical)'!C:C=E398,'Students (Vertical)'!O:O&lt;&gt;"""")})&gt;1))),""No shared courses""),"""")"),"")</f>
        <v/>
      </c>
      <c r="J398" s="357" t="str">
        <f>IFERROR(__xludf.DUMMYFUNCTION("if(H398=""Can't be Together"",iferror(join("", "",unique(filter({filter('Students (Vertical)'!O:O,'Students (Vertical)'!C:C=B398,'Students (Vertical)'!O:O&lt;&gt;"""",'Students (Vertical)'!P:P&gt;1);filter('Students (Vertical)'!O:O,'Students (Vertical)'!C:C=E398,'"&amp;"Students (Vertical)'!O:O&lt;&gt;"""",'Students (Vertical)'!P:P&gt;1)},countifs({filter('Students (Vertical)'!O:O,'Students (Vertical)'!C:C=B398,'Students (Vertical)'!O:O&lt;&gt;"""",'Students (Vertical)'!P:P&gt;1);filter('Students (Vertical)'!O:O,'Students (Vertical)'!C:C="&amp;"E398,'Students (Vertical)'!O:O&lt;&gt;"""",'Students (Vertical)'!P:P&gt;1)},{filter('Students (Vertical)'!O:O,'Students (Vertical)'!C:C=B398,'Students (Vertical)'!O:O&lt;&gt;"""",'Students (Vertical)'!P:P&gt;1);filter('Students (Vertical)'!O:O,'Students (Vertical)'!C:C=E39"&amp;"8,'Students (Vertical)'!O:O&lt;&gt;"""",'Students (Vertical)'!P:P&gt;1)})&gt;1))),""""),"""")"),"")</f>
        <v/>
      </c>
      <c r="K398" s="358"/>
    </row>
    <row r="399">
      <c r="A399" s="300" t="s">
        <v>22</v>
      </c>
      <c r="C399" s="300" t="s">
        <v>22</v>
      </c>
      <c r="D399" s="300" t="s">
        <v>22</v>
      </c>
      <c r="F399" s="300" t="s">
        <v>22</v>
      </c>
      <c r="G399" s="300" t="s">
        <v>22</v>
      </c>
      <c r="I399" s="356" t="str">
        <f>IFERROR(__xludf.DUMMYFUNCTION("if(H399=""Must be Together"",iferror(join("", "",unique(filter({filter('Students (Vertical)'!O:O,'Students (Vertical)'!C:C=B399,'Students (Vertical)'!O:O&lt;&gt;"""");filter('Students (Vertical)'!O:O,'Students (Vertical)'!C:C=E399,'Students (Vertical)'!O:O&lt;&gt;"""&amp;""")},countifs({filter('Students (Vertical)'!O:O,'Students (Vertical)'!C:C=B399,'Students (Vertical)'!O:O&lt;&gt;"""");filter('Students (Vertical)'!O:O,'Students (Vertical)'!C:C=E399,'Students (Vertical)'!O:O&lt;&gt;"""")},{filter('Students (Vertical)'!O:O,'Students ("&amp;"Vertical)'!C:C=B399,'Students (Vertical)'!O:O&lt;&gt;"""");filter('Students (Vertical)'!O:O,'Students (Vertical)'!C:C=E399,'Students (Vertical)'!O:O&lt;&gt;"""")})&gt;1))),""No shared courses""),"""")"),"")</f>
        <v/>
      </c>
      <c r="J399" s="357" t="str">
        <f>IFERROR(__xludf.DUMMYFUNCTION("if(H399=""Can't be Together"",iferror(join("", "",unique(filter({filter('Students (Vertical)'!O:O,'Students (Vertical)'!C:C=B399,'Students (Vertical)'!O:O&lt;&gt;"""",'Students (Vertical)'!P:P&gt;1);filter('Students (Vertical)'!O:O,'Students (Vertical)'!C:C=E399,'"&amp;"Students (Vertical)'!O:O&lt;&gt;"""",'Students (Vertical)'!P:P&gt;1)},countifs({filter('Students (Vertical)'!O:O,'Students (Vertical)'!C:C=B399,'Students (Vertical)'!O:O&lt;&gt;"""",'Students (Vertical)'!P:P&gt;1);filter('Students (Vertical)'!O:O,'Students (Vertical)'!C:C="&amp;"E399,'Students (Vertical)'!O:O&lt;&gt;"""",'Students (Vertical)'!P:P&gt;1)},{filter('Students (Vertical)'!O:O,'Students (Vertical)'!C:C=B399,'Students (Vertical)'!O:O&lt;&gt;"""",'Students (Vertical)'!P:P&gt;1);filter('Students (Vertical)'!O:O,'Students (Vertical)'!C:C=E39"&amp;"9,'Students (Vertical)'!O:O&lt;&gt;"""",'Students (Vertical)'!P:P&gt;1)})&gt;1))),""""),"""")"),"")</f>
        <v/>
      </c>
      <c r="K399" s="358"/>
    </row>
    <row r="400">
      <c r="A400" s="300" t="s">
        <v>22</v>
      </c>
      <c r="C400" s="300" t="s">
        <v>22</v>
      </c>
      <c r="D400" s="300" t="s">
        <v>22</v>
      </c>
      <c r="F400" s="300" t="s">
        <v>22</v>
      </c>
      <c r="G400" s="300" t="s">
        <v>22</v>
      </c>
      <c r="I400" s="356" t="str">
        <f>IFERROR(__xludf.DUMMYFUNCTION("if(H400=""Must be Together"",iferror(join("", "",unique(filter({filter('Students (Vertical)'!O:O,'Students (Vertical)'!C:C=B400,'Students (Vertical)'!O:O&lt;&gt;"""");filter('Students (Vertical)'!O:O,'Students (Vertical)'!C:C=E400,'Students (Vertical)'!O:O&lt;&gt;"""&amp;""")},countifs({filter('Students (Vertical)'!O:O,'Students (Vertical)'!C:C=B400,'Students (Vertical)'!O:O&lt;&gt;"""");filter('Students (Vertical)'!O:O,'Students (Vertical)'!C:C=E400,'Students (Vertical)'!O:O&lt;&gt;"""")},{filter('Students (Vertical)'!O:O,'Students ("&amp;"Vertical)'!C:C=B400,'Students (Vertical)'!O:O&lt;&gt;"""");filter('Students (Vertical)'!O:O,'Students (Vertical)'!C:C=E400,'Students (Vertical)'!O:O&lt;&gt;"""")})&gt;1))),""No shared courses""),"""")"),"")</f>
        <v/>
      </c>
      <c r="J400" s="357" t="str">
        <f>IFERROR(__xludf.DUMMYFUNCTION("if(H400=""Can't be Together"",iferror(join("", "",unique(filter({filter('Students (Vertical)'!O:O,'Students (Vertical)'!C:C=B400,'Students (Vertical)'!O:O&lt;&gt;"""",'Students (Vertical)'!P:P&gt;1);filter('Students (Vertical)'!O:O,'Students (Vertical)'!C:C=E400,'"&amp;"Students (Vertical)'!O:O&lt;&gt;"""",'Students (Vertical)'!P:P&gt;1)},countifs({filter('Students (Vertical)'!O:O,'Students (Vertical)'!C:C=B400,'Students (Vertical)'!O:O&lt;&gt;"""",'Students (Vertical)'!P:P&gt;1);filter('Students (Vertical)'!O:O,'Students (Vertical)'!C:C="&amp;"E400,'Students (Vertical)'!O:O&lt;&gt;"""",'Students (Vertical)'!P:P&gt;1)},{filter('Students (Vertical)'!O:O,'Students (Vertical)'!C:C=B400,'Students (Vertical)'!O:O&lt;&gt;"""",'Students (Vertical)'!P:P&gt;1);filter('Students (Vertical)'!O:O,'Students (Vertical)'!C:C=E40"&amp;"0,'Students (Vertical)'!O:O&lt;&gt;"""",'Students (Vertical)'!P:P&gt;1)})&gt;1))),""""),"""")"),"")</f>
        <v/>
      </c>
      <c r="K400" s="358"/>
    </row>
    <row r="401">
      <c r="A401" s="300" t="s">
        <v>22</v>
      </c>
      <c r="C401" s="300" t="s">
        <v>22</v>
      </c>
      <c r="D401" s="300" t="s">
        <v>22</v>
      </c>
      <c r="F401" s="300" t="s">
        <v>22</v>
      </c>
      <c r="G401" s="300" t="s">
        <v>22</v>
      </c>
      <c r="I401" s="356" t="str">
        <f>IFERROR(__xludf.DUMMYFUNCTION("if(H401=""Must be Together"",iferror(join("", "",unique(filter({filter('Students (Vertical)'!O:O,'Students (Vertical)'!C:C=B401,'Students (Vertical)'!O:O&lt;&gt;"""");filter('Students (Vertical)'!O:O,'Students (Vertical)'!C:C=E401,'Students (Vertical)'!O:O&lt;&gt;"""&amp;""")},countifs({filter('Students (Vertical)'!O:O,'Students (Vertical)'!C:C=B401,'Students (Vertical)'!O:O&lt;&gt;"""");filter('Students (Vertical)'!O:O,'Students (Vertical)'!C:C=E401,'Students (Vertical)'!O:O&lt;&gt;"""")},{filter('Students (Vertical)'!O:O,'Students ("&amp;"Vertical)'!C:C=B401,'Students (Vertical)'!O:O&lt;&gt;"""");filter('Students (Vertical)'!O:O,'Students (Vertical)'!C:C=E401,'Students (Vertical)'!O:O&lt;&gt;"""")})&gt;1))),""No shared courses""),"""")"),"")</f>
        <v/>
      </c>
      <c r="J401" s="357" t="str">
        <f>IFERROR(__xludf.DUMMYFUNCTION("if(H401=""Can't be Together"",iferror(join("", "",unique(filter({filter('Students (Vertical)'!O:O,'Students (Vertical)'!C:C=B401,'Students (Vertical)'!O:O&lt;&gt;"""",'Students (Vertical)'!P:P&gt;1);filter('Students (Vertical)'!O:O,'Students (Vertical)'!C:C=E401,'"&amp;"Students (Vertical)'!O:O&lt;&gt;"""",'Students (Vertical)'!P:P&gt;1)},countifs({filter('Students (Vertical)'!O:O,'Students (Vertical)'!C:C=B401,'Students (Vertical)'!O:O&lt;&gt;"""",'Students (Vertical)'!P:P&gt;1);filter('Students (Vertical)'!O:O,'Students (Vertical)'!C:C="&amp;"E401,'Students (Vertical)'!O:O&lt;&gt;"""",'Students (Vertical)'!P:P&gt;1)},{filter('Students (Vertical)'!O:O,'Students (Vertical)'!C:C=B401,'Students (Vertical)'!O:O&lt;&gt;"""",'Students (Vertical)'!P:P&gt;1);filter('Students (Vertical)'!O:O,'Students (Vertical)'!C:C=E40"&amp;"1,'Students (Vertical)'!O:O&lt;&gt;"""",'Students (Vertical)'!P:P&gt;1)})&gt;1))),""""),"""")"),"")</f>
        <v/>
      </c>
      <c r="K401" s="358"/>
    </row>
    <row r="402">
      <c r="A402" s="300" t="s">
        <v>22</v>
      </c>
      <c r="C402" s="300" t="s">
        <v>22</v>
      </c>
      <c r="D402" s="300" t="s">
        <v>22</v>
      </c>
      <c r="F402" s="300" t="s">
        <v>22</v>
      </c>
      <c r="G402" s="300" t="s">
        <v>22</v>
      </c>
      <c r="I402" s="356" t="str">
        <f>IFERROR(__xludf.DUMMYFUNCTION("if(H402=""Must be Together"",iferror(join("", "",unique(filter({filter('Students (Vertical)'!O:O,'Students (Vertical)'!C:C=B402,'Students (Vertical)'!O:O&lt;&gt;"""");filter('Students (Vertical)'!O:O,'Students (Vertical)'!C:C=E402,'Students (Vertical)'!O:O&lt;&gt;"""&amp;""")},countifs({filter('Students (Vertical)'!O:O,'Students (Vertical)'!C:C=B402,'Students (Vertical)'!O:O&lt;&gt;"""");filter('Students (Vertical)'!O:O,'Students (Vertical)'!C:C=E402,'Students (Vertical)'!O:O&lt;&gt;"""")},{filter('Students (Vertical)'!O:O,'Students ("&amp;"Vertical)'!C:C=B402,'Students (Vertical)'!O:O&lt;&gt;"""");filter('Students (Vertical)'!O:O,'Students (Vertical)'!C:C=E402,'Students (Vertical)'!O:O&lt;&gt;"""")})&gt;1))),""No shared courses""),"""")"),"")</f>
        <v/>
      </c>
      <c r="J402" s="357" t="str">
        <f>IFERROR(__xludf.DUMMYFUNCTION("if(H402=""Can't be Together"",iferror(join("", "",unique(filter({filter('Students (Vertical)'!O:O,'Students (Vertical)'!C:C=B402,'Students (Vertical)'!O:O&lt;&gt;"""",'Students (Vertical)'!P:P&gt;1);filter('Students (Vertical)'!O:O,'Students (Vertical)'!C:C=E402,'"&amp;"Students (Vertical)'!O:O&lt;&gt;"""",'Students (Vertical)'!P:P&gt;1)},countifs({filter('Students (Vertical)'!O:O,'Students (Vertical)'!C:C=B402,'Students (Vertical)'!O:O&lt;&gt;"""",'Students (Vertical)'!P:P&gt;1);filter('Students (Vertical)'!O:O,'Students (Vertical)'!C:C="&amp;"E402,'Students (Vertical)'!O:O&lt;&gt;"""",'Students (Vertical)'!P:P&gt;1)},{filter('Students (Vertical)'!O:O,'Students (Vertical)'!C:C=B402,'Students (Vertical)'!O:O&lt;&gt;"""",'Students (Vertical)'!P:P&gt;1);filter('Students (Vertical)'!O:O,'Students (Vertical)'!C:C=E40"&amp;"2,'Students (Vertical)'!O:O&lt;&gt;"""",'Students (Vertical)'!P:P&gt;1)})&gt;1))),""""),"""")"),"")</f>
        <v/>
      </c>
      <c r="K402" s="358"/>
    </row>
    <row r="403">
      <c r="A403" s="300" t="s">
        <v>22</v>
      </c>
      <c r="C403" s="300" t="s">
        <v>22</v>
      </c>
      <c r="D403" s="300" t="s">
        <v>22</v>
      </c>
      <c r="F403" s="300" t="s">
        <v>22</v>
      </c>
      <c r="G403" s="300" t="s">
        <v>22</v>
      </c>
      <c r="I403" s="356" t="str">
        <f>IFERROR(__xludf.DUMMYFUNCTION("if(H403=""Must be Together"",iferror(join("", "",unique(filter({filter('Students (Vertical)'!O:O,'Students (Vertical)'!C:C=B403,'Students (Vertical)'!O:O&lt;&gt;"""");filter('Students (Vertical)'!O:O,'Students (Vertical)'!C:C=E403,'Students (Vertical)'!O:O&lt;&gt;"""&amp;""")},countifs({filter('Students (Vertical)'!O:O,'Students (Vertical)'!C:C=B403,'Students (Vertical)'!O:O&lt;&gt;"""");filter('Students (Vertical)'!O:O,'Students (Vertical)'!C:C=E403,'Students (Vertical)'!O:O&lt;&gt;"""")},{filter('Students (Vertical)'!O:O,'Students ("&amp;"Vertical)'!C:C=B403,'Students (Vertical)'!O:O&lt;&gt;"""");filter('Students (Vertical)'!O:O,'Students (Vertical)'!C:C=E403,'Students (Vertical)'!O:O&lt;&gt;"""")})&gt;1))),""No shared courses""),"""")"),"")</f>
        <v/>
      </c>
      <c r="J403" s="357" t="str">
        <f>IFERROR(__xludf.DUMMYFUNCTION("if(H403=""Can't be Together"",iferror(join("", "",unique(filter({filter('Students (Vertical)'!O:O,'Students (Vertical)'!C:C=B403,'Students (Vertical)'!O:O&lt;&gt;"""",'Students (Vertical)'!P:P&gt;1);filter('Students (Vertical)'!O:O,'Students (Vertical)'!C:C=E403,'"&amp;"Students (Vertical)'!O:O&lt;&gt;"""",'Students (Vertical)'!P:P&gt;1)},countifs({filter('Students (Vertical)'!O:O,'Students (Vertical)'!C:C=B403,'Students (Vertical)'!O:O&lt;&gt;"""",'Students (Vertical)'!P:P&gt;1);filter('Students (Vertical)'!O:O,'Students (Vertical)'!C:C="&amp;"E403,'Students (Vertical)'!O:O&lt;&gt;"""",'Students (Vertical)'!P:P&gt;1)},{filter('Students (Vertical)'!O:O,'Students (Vertical)'!C:C=B403,'Students (Vertical)'!O:O&lt;&gt;"""",'Students (Vertical)'!P:P&gt;1);filter('Students (Vertical)'!O:O,'Students (Vertical)'!C:C=E40"&amp;"3,'Students (Vertical)'!O:O&lt;&gt;"""",'Students (Vertical)'!P:P&gt;1)})&gt;1))),""""),"""")"),"")</f>
        <v/>
      </c>
      <c r="K403" s="358"/>
    </row>
    <row r="404">
      <c r="A404" s="300" t="s">
        <v>22</v>
      </c>
      <c r="C404" s="300" t="s">
        <v>22</v>
      </c>
      <c r="D404" s="300" t="s">
        <v>22</v>
      </c>
      <c r="F404" s="300" t="s">
        <v>22</v>
      </c>
      <c r="G404" s="300" t="s">
        <v>22</v>
      </c>
      <c r="I404" s="356" t="str">
        <f>IFERROR(__xludf.DUMMYFUNCTION("if(H404=""Must be Together"",iferror(join("", "",unique(filter({filter('Students (Vertical)'!O:O,'Students (Vertical)'!C:C=B404,'Students (Vertical)'!O:O&lt;&gt;"""");filter('Students (Vertical)'!O:O,'Students (Vertical)'!C:C=E404,'Students (Vertical)'!O:O&lt;&gt;"""&amp;""")},countifs({filter('Students (Vertical)'!O:O,'Students (Vertical)'!C:C=B404,'Students (Vertical)'!O:O&lt;&gt;"""");filter('Students (Vertical)'!O:O,'Students (Vertical)'!C:C=E404,'Students (Vertical)'!O:O&lt;&gt;"""")},{filter('Students (Vertical)'!O:O,'Students ("&amp;"Vertical)'!C:C=B404,'Students (Vertical)'!O:O&lt;&gt;"""");filter('Students (Vertical)'!O:O,'Students (Vertical)'!C:C=E404,'Students (Vertical)'!O:O&lt;&gt;"""")})&gt;1))),""No shared courses""),"""")"),"")</f>
        <v/>
      </c>
      <c r="J404" s="357" t="str">
        <f>IFERROR(__xludf.DUMMYFUNCTION("if(H404=""Can't be Together"",iferror(join("", "",unique(filter({filter('Students (Vertical)'!O:O,'Students (Vertical)'!C:C=B404,'Students (Vertical)'!O:O&lt;&gt;"""",'Students (Vertical)'!P:P&gt;1);filter('Students (Vertical)'!O:O,'Students (Vertical)'!C:C=E404,'"&amp;"Students (Vertical)'!O:O&lt;&gt;"""",'Students (Vertical)'!P:P&gt;1)},countifs({filter('Students (Vertical)'!O:O,'Students (Vertical)'!C:C=B404,'Students (Vertical)'!O:O&lt;&gt;"""",'Students (Vertical)'!P:P&gt;1);filter('Students (Vertical)'!O:O,'Students (Vertical)'!C:C="&amp;"E404,'Students (Vertical)'!O:O&lt;&gt;"""",'Students (Vertical)'!P:P&gt;1)},{filter('Students (Vertical)'!O:O,'Students (Vertical)'!C:C=B404,'Students (Vertical)'!O:O&lt;&gt;"""",'Students (Vertical)'!P:P&gt;1);filter('Students (Vertical)'!O:O,'Students (Vertical)'!C:C=E40"&amp;"4,'Students (Vertical)'!O:O&lt;&gt;"""",'Students (Vertical)'!P:P&gt;1)})&gt;1))),""""),"""")"),"")</f>
        <v/>
      </c>
      <c r="K404" s="358"/>
    </row>
    <row r="405">
      <c r="A405" s="300" t="s">
        <v>22</v>
      </c>
      <c r="C405" s="300" t="s">
        <v>22</v>
      </c>
      <c r="D405" s="300" t="s">
        <v>22</v>
      </c>
      <c r="F405" s="300" t="s">
        <v>22</v>
      </c>
      <c r="G405" s="300" t="s">
        <v>22</v>
      </c>
      <c r="I405" s="356" t="str">
        <f>IFERROR(__xludf.DUMMYFUNCTION("if(H405=""Must be Together"",iferror(join("", "",unique(filter({filter('Students (Vertical)'!O:O,'Students (Vertical)'!C:C=B405,'Students (Vertical)'!O:O&lt;&gt;"""");filter('Students (Vertical)'!O:O,'Students (Vertical)'!C:C=E405,'Students (Vertical)'!O:O&lt;&gt;"""&amp;""")},countifs({filter('Students (Vertical)'!O:O,'Students (Vertical)'!C:C=B405,'Students (Vertical)'!O:O&lt;&gt;"""");filter('Students (Vertical)'!O:O,'Students (Vertical)'!C:C=E405,'Students (Vertical)'!O:O&lt;&gt;"""")},{filter('Students (Vertical)'!O:O,'Students ("&amp;"Vertical)'!C:C=B405,'Students (Vertical)'!O:O&lt;&gt;"""");filter('Students (Vertical)'!O:O,'Students (Vertical)'!C:C=E405,'Students (Vertical)'!O:O&lt;&gt;"""")})&gt;1))),""No shared courses""),"""")"),"")</f>
        <v/>
      </c>
      <c r="J405" s="357" t="str">
        <f>IFERROR(__xludf.DUMMYFUNCTION("if(H405=""Can't be Together"",iferror(join("", "",unique(filter({filter('Students (Vertical)'!O:O,'Students (Vertical)'!C:C=B405,'Students (Vertical)'!O:O&lt;&gt;"""",'Students (Vertical)'!P:P&gt;1);filter('Students (Vertical)'!O:O,'Students (Vertical)'!C:C=E405,'"&amp;"Students (Vertical)'!O:O&lt;&gt;"""",'Students (Vertical)'!P:P&gt;1)},countifs({filter('Students (Vertical)'!O:O,'Students (Vertical)'!C:C=B405,'Students (Vertical)'!O:O&lt;&gt;"""",'Students (Vertical)'!P:P&gt;1);filter('Students (Vertical)'!O:O,'Students (Vertical)'!C:C="&amp;"E405,'Students (Vertical)'!O:O&lt;&gt;"""",'Students (Vertical)'!P:P&gt;1)},{filter('Students (Vertical)'!O:O,'Students (Vertical)'!C:C=B405,'Students (Vertical)'!O:O&lt;&gt;"""",'Students (Vertical)'!P:P&gt;1);filter('Students (Vertical)'!O:O,'Students (Vertical)'!C:C=E40"&amp;"5,'Students (Vertical)'!O:O&lt;&gt;"""",'Students (Vertical)'!P:P&gt;1)})&gt;1))),""""),"""")"),"")</f>
        <v/>
      </c>
      <c r="K405" s="358"/>
    </row>
    <row r="406">
      <c r="A406" s="300" t="s">
        <v>22</v>
      </c>
      <c r="C406" s="300" t="s">
        <v>22</v>
      </c>
      <c r="D406" s="300" t="s">
        <v>22</v>
      </c>
      <c r="F406" s="300" t="s">
        <v>22</v>
      </c>
      <c r="G406" s="300" t="s">
        <v>22</v>
      </c>
      <c r="I406" s="356" t="str">
        <f>IFERROR(__xludf.DUMMYFUNCTION("if(H406=""Must be Together"",iferror(join("", "",unique(filter({filter('Students (Vertical)'!O:O,'Students (Vertical)'!C:C=B406,'Students (Vertical)'!O:O&lt;&gt;"""");filter('Students (Vertical)'!O:O,'Students (Vertical)'!C:C=E406,'Students (Vertical)'!O:O&lt;&gt;"""&amp;""")},countifs({filter('Students (Vertical)'!O:O,'Students (Vertical)'!C:C=B406,'Students (Vertical)'!O:O&lt;&gt;"""");filter('Students (Vertical)'!O:O,'Students (Vertical)'!C:C=E406,'Students (Vertical)'!O:O&lt;&gt;"""")},{filter('Students (Vertical)'!O:O,'Students ("&amp;"Vertical)'!C:C=B406,'Students (Vertical)'!O:O&lt;&gt;"""");filter('Students (Vertical)'!O:O,'Students (Vertical)'!C:C=E406,'Students (Vertical)'!O:O&lt;&gt;"""")})&gt;1))),""No shared courses""),"""")"),"")</f>
        <v/>
      </c>
      <c r="J406" s="357" t="str">
        <f>IFERROR(__xludf.DUMMYFUNCTION("if(H406=""Can't be Together"",iferror(join("", "",unique(filter({filter('Students (Vertical)'!O:O,'Students (Vertical)'!C:C=B406,'Students (Vertical)'!O:O&lt;&gt;"""",'Students (Vertical)'!P:P&gt;1);filter('Students (Vertical)'!O:O,'Students (Vertical)'!C:C=E406,'"&amp;"Students (Vertical)'!O:O&lt;&gt;"""",'Students (Vertical)'!P:P&gt;1)},countifs({filter('Students (Vertical)'!O:O,'Students (Vertical)'!C:C=B406,'Students (Vertical)'!O:O&lt;&gt;"""",'Students (Vertical)'!P:P&gt;1);filter('Students (Vertical)'!O:O,'Students (Vertical)'!C:C="&amp;"E406,'Students (Vertical)'!O:O&lt;&gt;"""",'Students (Vertical)'!P:P&gt;1)},{filter('Students (Vertical)'!O:O,'Students (Vertical)'!C:C=B406,'Students (Vertical)'!O:O&lt;&gt;"""",'Students (Vertical)'!P:P&gt;1);filter('Students (Vertical)'!O:O,'Students (Vertical)'!C:C=E40"&amp;"6,'Students (Vertical)'!O:O&lt;&gt;"""",'Students (Vertical)'!P:P&gt;1)})&gt;1))),""""),"""")"),"")</f>
        <v/>
      </c>
      <c r="K406" s="358"/>
    </row>
    <row r="407">
      <c r="A407" s="300" t="s">
        <v>22</v>
      </c>
      <c r="C407" s="300" t="s">
        <v>22</v>
      </c>
      <c r="D407" s="300" t="s">
        <v>22</v>
      </c>
      <c r="F407" s="300" t="s">
        <v>22</v>
      </c>
      <c r="G407" s="300" t="s">
        <v>22</v>
      </c>
      <c r="I407" s="356" t="str">
        <f>IFERROR(__xludf.DUMMYFUNCTION("if(H407=""Must be Together"",iferror(join("", "",unique(filter({filter('Students (Vertical)'!O:O,'Students (Vertical)'!C:C=B407,'Students (Vertical)'!O:O&lt;&gt;"""");filter('Students (Vertical)'!O:O,'Students (Vertical)'!C:C=E407,'Students (Vertical)'!O:O&lt;&gt;"""&amp;""")},countifs({filter('Students (Vertical)'!O:O,'Students (Vertical)'!C:C=B407,'Students (Vertical)'!O:O&lt;&gt;"""");filter('Students (Vertical)'!O:O,'Students (Vertical)'!C:C=E407,'Students (Vertical)'!O:O&lt;&gt;"""")},{filter('Students (Vertical)'!O:O,'Students ("&amp;"Vertical)'!C:C=B407,'Students (Vertical)'!O:O&lt;&gt;"""");filter('Students (Vertical)'!O:O,'Students (Vertical)'!C:C=E407,'Students (Vertical)'!O:O&lt;&gt;"""")})&gt;1))),""No shared courses""),"""")"),"")</f>
        <v/>
      </c>
      <c r="J407" s="357" t="str">
        <f>IFERROR(__xludf.DUMMYFUNCTION("if(H407=""Can't be Together"",iferror(join("", "",unique(filter({filter('Students (Vertical)'!O:O,'Students (Vertical)'!C:C=B407,'Students (Vertical)'!O:O&lt;&gt;"""",'Students (Vertical)'!P:P&gt;1);filter('Students (Vertical)'!O:O,'Students (Vertical)'!C:C=E407,'"&amp;"Students (Vertical)'!O:O&lt;&gt;"""",'Students (Vertical)'!P:P&gt;1)},countifs({filter('Students (Vertical)'!O:O,'Students (Vertical)'!C:C=B407,'Students (Vertical)'!O:O&lt;&gt;"""",'Students (Vertical)'!P:P&gt;1);filter('Students (Vertical)'!O:O,'Students (Vertical)'!C:C="&amp;"E407,'Students (Vertical)'!O:O&lt;&gt;"""",'Students (Vertical)'!P:P&gt;1)},{filter('Students (Vertical)'!O:O,'Students (Vertical)'!C:C=B407,'Students (Vertical)'!O:O&lt;&gt;"""",'Students (Vertical)'!P:P&gt;1);filter('Students (Vertical)'!O:O,'Students (Vertical)'!C:C=E40"&amp;"7,'Students (Vertical)'!O:O&lt;&gt;"""",'Students (Vertical)'!P:P&gt;1)})&gt;1))),""""),"""")"),"")</f>
        <v/>
      </c>
      <c r="K407" s="358"/>
    </row>
    <row r="408">
      <c r="A408" s="300" t="s">
        <v>22</v>
      </c>
      <c r="C408" s="300" t="s">
        <v>22</v>
      </c>
      <c r="D408" s="300" t="s">
        <v>22</v>
      </c>
      <c r="F408" s="300" t="s">
        <v>22</v>
      </c>
      <c r="G408" s="300" t="s">
        <v>22</v>
      </c>
      <c r="I408" s="356" t="str">
        <f>IFERROR(__xludf.DUMMYFUNCTION("if(H408=""Must be Together"",iferror(join("", "",unique(filter({filter('Students (Vertical)'!O:O,'Students (Vertical)'!C:C=B408,'Students (Vertical)'!O:O&lt;&gt;"""");filter('Students (Vertical)'!O:O,'Students (Vertical)'!C:C=E408,'Students (Vertical)'!O:O&lt;&gt;"""&amp;""")},countifs({filter('Students (Vertical)'!O:O,'Students (Vertical)'!C:C=B408,'Students (Vertical)'!O:O&lt;&gt;"""");filter('Students (Vertical)'!O:O,'Students (Vertical)'!C:C=E408,'Students (Vertical)'!O:O&lt;&gt;"""")},{filter('Students (Vertical)'!O:O,'Students ("&amp;"Vertical)'!C:C=B408,'Students (Vertical)'!O:O&lt;&gt;"""");filter('Students (Vertical)'!O:O,'Students (Vertical)'!C:C=E408,'Students (Vertical)'!O:O&lt;&gt;"""")})&gt;1))),""No shared courses""),"""")"),"")</f>
        <v/>
      </c>
      <c r="J408" s="357" t="str">
        <f>IFERROR(__xludf.DUMMYFUNCTION("if(H408=""Can't be Together"",iferror(join("", "",unique(filter({filter('Students (Vertical)'!O:O,'Students (Vertical)'!C:C=B408,'Students (Vertical)'!O:O&lt;&gt;"""",'Students (Vertical)'!P:P&gt;1);filter('Students (Vertical)'!O:O,'Students (Vertical)'!C:C=E408,'"&amp;"Students (Vertical)'!O:O&lt;&gt;"""",'Students (Vertical)'!P:P&gt;1)},countifs({filter('Students (Vertical)'!O:O,'Students (Vertical)'!C:C=B408,'Students (Vertical)'!O:O&lt;&gt;"""",'Students (Vertical)'!P:P&gt;1);filter('Students (Vertical)'!O:O,'Students (Vertical)'!C:C="&amp;"E408,'Students (Vertical)'!O:O&lt;&gt;"""",'Students (Vertical)'!P:P&gt;1)},{filter('Students (Vertical)'!O:O,'Students (Vertical)'!C:C=B408,'Students (Vertical)'!O:O&lt;&gt;"""",'Students (Vertical)'!P:P&gt;1);filter('Students (Vertical)'!O:O,'Students (Vertical)'!C:C=E40"&amp;"8,'Students (Vertical)'!O:O&lt;&gt;"""",'Students (Vertical)'!P:P&gt;1)})&gt;1))),""""),"""")"),"")</f>
        <v/>
      </c>
      <c r="K408" s="358"/>
    </row>
    <row r="409">
      <c r="A409" s="300" t="s">
        <v>22</v>
      </c>
      <c r="C409" s="300" t="s">
        <v>22</v>
      </c>
      <c r="D409" s="300" t="s">
        <v>22</v>
      </c>
      <c r="F409" s="300" t="s">
        <v>22</v>
      </c>
      <c r="G409" s="300" t="s">
        <v>22</v>
      </c>
      <c r="I409" s="356" t="str">
        <f>IFERROR(__xludf.DUMMYFUNCTION("if(H409=""Must be Together"",iferror(join("", "",unique(filter({filter('Students (Vertical)'!O:O,'Students (Vertical)'!C:C=B409,'Students (Vertical)'!O:O&lt;&gt;"""");filter('Students (Vertical)'!O:O,'Students (Vertical)'!C:C=E409,'Students (Vertical)'!O:O&lt;&gt;"""&amp;""")},countifs({filter('Students (Vertical)'!O:O,'Students (Vertical)'!C:C=B409,'Students (Vertical)'!O:O&lt;&gt;"""");filter('Students (Vertical)'!O:O,'Students (Vertical)'!C:C=E409,'Students (Vertical)'!O:O&lt;&gt;"""")},{filter('Students (Vertical)'!O:O,'Students ("&amp;"Vertical)'!C:C=B409,'Students (Vertical)'!O:O&lt;&gt;"""");filter('Students (Vertical)'!O:O,'Students (Vertical)'!C:C=E409,'Students (Vertical)'!O:O&lt;&gt;"""")})&gt;1))),""No shared courses""),"""")"),"")</f>
        <v/>
      </c>
      <c r="J409" s="357" t="str">
        <f>IFERROR(__xludf.DUMMYFUNCTION("if(H409=""Can't be Together"",iferror(join("", "",unique(filter({filter('Students (Vertical)'!O:O,'Students (Vertical)'!C:C=B409,'Students (Vertical)'!O:O&lt;&gt;"""",'Students (Vertical)'!P:P&gt;1);filter('Students (Vertical)'!O:O,'Students (Vertical)'!C:C=E409,'"&amp;"Students (Vertical)'!O:O&lt;&gt;"""",'Students (Vertical)'!P:P&gt;1)},countifs({filter('Students (Vertical)'!O:O,'Students (Vertical)'!C:C=B409,'Students (Vertical)'!O:O&lt;&gt;"""",'Students (Vertical)'!P:P&gt;1);filter('Students (Vertical)'!O:O,'Students (Vertical)'!C:C="&amp;"E409,'Students (Vertical)'!O:O&lt;&gt;"""",'Students (Vertical)'!P:P&gt;1)},{filter('Students (Vertical)'!O:O,'Students (Vertical)'!C:C=B409,'Students (Vertical)'!O:O&lt;&gt;"""",'Students (Vertical)'!P:P&gt;1);filter('Students (Vertical)'!O:O,'Students (Vertical)'!C:C=E40"&amp;"9,'Students (Vertical)'!O:O&lt;&gt;"""",'Students (Vertical)'!P:P&gt;1)})&gt;1))),""""),"""")"),"")</f>
        <v/>
      </c>
      <c r="K409" s="358"/>
    </row>
    <row r="410">
      <c r="A410" s="300" t="s">
        <v>22</v>
      </c>
      <c r="C410" s="300" t="s">
        <v>22</v>
      </c>
      <c r="D410" s="300" t="s">
        <v>22</v>
      </c>
      <c r="F410" s="300" t="s">
        <v>22</v>
      </c>
      <c r="G410" s="300" t="s">
        <v>22</v>
      </c>
      <c r="I410" s="356" t="str">
        <f>IFERROR(__xludf.DUMMYFUNCTION("if(H410=""Must be Together"",iferror(join("", "",unique(filter({filter('Students (Vertical)'!O:O,'Students (Vertical)'!C:C=B410,'Students (Vertical)'!O:O&lt;&gt;"""");filter('Students (Vertical)'!O:O,'Students (Vertical)'!C:C=E410,'Students (Vertical)'!O:O&lt;&gt;"""&amp;""")},countifs({filter('Students (Vertical)'!O:O,'Students (Vertical)'!C:C=B410,'Students (Vertical)'!O:O&lt;&gt;"""");filter('Students (Vertical)'!O:O,'Students (Vertical)'!C:C=E410,'Students (Vertical)'!O:O&lt;&gt;"""")},{filter('Students (Vertical)'!O:O,'Students ("&amp;"Vertical)'!C:C=B410,'Students (Vertical)'!O:O&lt;&gt;"""");filter('Students (Vertical)'!O:O,'Students (Vertical)'!C:C=E410,'Students (Vertical)'!O:O&lt;&gt;"""")})&gt;1))),""No shared courses""),"""")"),"")</f>
        <v/>
      </c>
      <c r="J410" s="357" t="str">
        <f>IFERROR(__xludf.DUMMYFUNCTION("if(H410=""Can't be Together"",iferror(join("", "",unique(filter({filter('Students (Vertical)'!O:O,'Students (Vertical)'!C:C=B410,'Students (Vertical)'!O:O&lt;&gt;"""",'Students (Vertical)'!P:P&gt;1);filter('Students (Vertical)'!O:O,'Students (Vertical)'!C:C=E410,'"&amp;"Students (Vertical)'!O:O&lt;&gt;"""",'Students (Vertical)'!P:P&gt;1)},countifs({filter('Students (Vertical)'!O:O,'Students (Vertical)'!C:C=B410,'Students (Vertical)'!O:O&lt;&gt;"""",'Students (Vertical)'!P:P&gt;1);filter('Students (Vertical)'!O:O,'Students (Vertical)'!C:C="&amp;"E410,'Students (Vertical)'!O:O&lt;&gt;"""",'Students (Vertical)'!P:P&gt;1)},{filter('Students (Vertical)'!O:O,'Students (Vertical)'!C:C=B410,'Students (Vertical)'!O:O&lt;&gt;"""",'Students (Vertical)'!P:P&gt;1);filter('Students (Vertical)'!O:O,'Students (Vertical)'!C:C=E41"&amp;"0,'Students (Vertical)'!O:O&lt;&gt;"""",'Students (Vertical)'!P:P&gt;1)})&gt;1))),""""),"""")"),"")</f>
        <v/>
      </c>
      <c r="K410" s="358"/>
    </row>
    <row r="411">
      <c r="A411" s="300" t="s">
        <v>22</v>
      </c>
      <c r="C411" s="300" t="s">
        <v>22</v>
      </c>
      <c r="D411" s="300" t="s">
        <v>22</v>
      </c>
      <c r="F411" s="300" t="s">
        <v>22</v>
      </c>
      <c r="G411" s="300" t="s">
        <v>22</v>
      </c>
      <c r="I411" s="356" t="str">
        <f>IFERROR(__xludf.DUMMYFUNCTION("if(H411=""Must be Together"",iferror(join("", "",unique(filter({filter('Students (Vertical)'!O:O,'Students (Vertical)'!C:C=B411,'Students (Vertical)'!O:O&lt;&gt;"""");filter('Students (Vertical)'!O:O,'Students (Vertical)'!C:C=E411,'Students (Vertical)'!O:O&lt;&gt;"""&amp;""")},countifs({filter('Students (Vertical)'!O:O,'Students (Vertical)'!C:C=B411,'Students (Vertical)'!O:O&lt;&gt;"""");filter('Students (Vertical)'!O:O,'Students (Vertical)'!C:C=E411,'Students (Vertical)'!O:O&lt;&gt;"""")},{filter('Students (Vertical)'!O:O,'Students ("&amp;"Vertical)'!C:C=B411,'Students (Vertical)'!O:O&lt;&gt;"""");filter('Students (Vertical)'!O:O,'Students (Vertical)'!C:C=E411,'Students (Vertical)'!O:O&lt;&gt;"""")})&gt;1))),""No shared courses""),"""")"),"")</f>
        <v/>
      </c>
      <c r="J411" s="357" t="str">
        <f>IFERROR(__xludf.DUMMYFUNCTION("if(H411=""Can't be Together"",iferror(join("", "",unique(filter({filter('Students (Vertical)'!O:O,'Students (Vertical)'!C:C=B411,'Students (Vertical)'!O:O&lt;&gt;"""",'Students (Vertical)'!P:P&gt;1);filter('Students (Vertical)'!O:O,'Students (Vertical)'!C:C=E411,'"&amp;"Students (Vertical)'!O:O&lt;&gt;"""",'Students (Vertical)'!P:P&gt;1)},countifs({filter('Students (Vertical)'!O:O,'Students (Vertical)'!C:C=B411,'Students (Vertical)'!O:O&lt;&gt;"""",'Students (Vertical)'!P:P&gt;1);filter('Students (Vertical)'!O:O,'Students (Vertical)'!C:C="&amp;"E411,'Students (Vertical)'!O:O&lt;&gt;"""",'Students (Vertical)'!P:P&gt;1)},{filter('Students (Vertical)'!O:O,'Students (Vertical)'!C:C=B411,'Students (Vertical)'!O:O&lt;&gt;"""",'Students (Vertical)'!P:P&gt;1);filter('Students (Vertical)'!O:O,'Students (Vertical)'!C:C=E41"&amp;"1,'Students (Vertical)'!O:O&lt;&gt;"""",'Students (Vertical)'!P:P&gt;1)})&gt;1))),""""),"""")"),"")</f>
        <v/>
      </c>
      <c r="K411" s="358"/>
    </row>
    <row r="412">
      <c r="A412" s="300" t="s">
        <v>22</v>
      </c>
      <c r="C412" s="300" t="s">
        <v>22</v>
      </c>
      <c r="D412" s="300" t="s">
        <v>22</v>
      </c>
      <c r="F412" s="300" t="s">
        <v>22</v>
      </c>
      <c r="G412" s="300" t="s">
        <v>22</v>
      </c>
      <c r="I412" s="356" t="str">
        <f>IFERROR(__xludf.DUMMYFUNCTION("if(H412=""Must be Together"",iferror(join("", "",unique(filter({filter('Students (Vertical)'!O:O,'Students (Vertical)'!C:C=B412,'Students (Vertical)'!O:O&lt;&gt;"""");filter('Students (Vertical)'!O:O,'Students (Vertical)'!C:C=E412,'Students (Vertical)'!O:O&lt;&gt;"""&amp;""")},countifs({filter('Students (Vertical)'!O:O,'Students (Vertical)'!C:C=B412,'Students (Vertical)'!O:O&lt;&gt;"""");filter('Students (Vertical)'!O:O,'Students (Vertical)'!C:C=E412,'Students (Vertical)'!O:O&lt;&gt;"""")},{filter('Students (Vertical)'!O:O,'Students ("&amp;"Vertical)'!C:C=B412,'Students (Vertical)'!O:O&lt;&gt;"""");filter('Students (Vertical)'!O:O,'Students (Vertical)'!C:C=E412,'Students (Vertical)'!O:O&lt;&gt;"""")})&gt;1))),""No shared courses""),"""")"),"")</f>
        <v/>
      </c>
      <c r="J412" s="357" t="str">
        <f>IFERROR(__xludf.DUMMYFUNCTION("if(H412=""Can't be Together"",iferror(join("", "",unique(filter({filter('Students (Vertical)'!O:O,'Students (Vertical)'!C:C=B412,'Students (Vertical)'!O:O&lt;&gt;"""",'Students (Vertical)'!P:P&gt;1);filter('Students (Vertical)'!O:O,'Students (Vertical)'!C:C=E412,'"&amp;"Students (Vertical)'!O:O&lt;&gt;"""",'Students (Vertical)'!P:P&gt;1)},countifs({filter('Students (Vertical)'!O:O,'Students (Vertical)'!C:C=B412,'Students (Vertical)'!O:O&lt;&gt;"""",'Students (Vertical)'!P:P&gt;1);filter('Students (Vertical)'!O:O,'Students (Vertical)'!C:C="&amp;"E412,'Students (Vertical)'!O:O&lt;&gt;"""",'Students (Vertical)'!P:P&gt;1)},{filter('Students (Vertical)'!O:O,'Students (Vertical)'!C:C=B412,'Students (Vertical)'!O:O&lt;&gt;"""",'Students (Vertical)'!P:P&gt;1);filter('Students (Vertical)'!O:O,'Students (Vertical)'!C:C=E41"&amp;"2,'Students (Vertical)'!O:O&lt;&gt;"""",'Students (Vertical)'!P:P&gt;1)})&gt;1))),""""),"""")"),"")</f>
        <v/>
      </c>
      <c r="K412" s="358"/>
    </row>
    <row r="413">
      <c r="A413" s="300" t="s">
        <v>22</v>
      </c>
      <c r="C413" s="300" t="s">
        <v>22</v>
      </c>
      <c r="D413" s="300" t="s">
        <v>22</v>
      </c>
      <c r="F413" s="300" t="s">
        <v>22</v>
      </c>
      <c r="G413" s="300" t="s">
        <v>22</v>
      </c>
      <c r="I413" s="356" t="str">
        <f>IFERROR(__xludf.DUMMYFUNCTION("if(H413=""Must be Together"",iferror(join("", "",unique(filter({filter('Students (Vertical)'!O:O,'Students (Vertical)'!C:C=B413,'Students (Vertical)'!O:O&lt;&gt;"""");filter('Students (Vertical)'!O:O,'Students (Vertical)'!C:C=E413,'Students (Vertical)'!O:O&lt;&gt;"""&amp;""")},countifs({filter('Students (Vertical)'!O:O,'Students (Vertical)'!C:C=B413,'Students (Vertical)'!O:O&lt;&gt;"""");filter('Students (Vertical)'!O:O,'Students (Vertical)'!C:C=E413,'Students (Vertical)'!O:O&lt;&gt;"""")},{filter('Students (Vertical)'!O:O,'Students ("&amp;"Vertical)'!C:C=B413,'Students (Vertical)'!O:O&lt;&gt;"""");filter('Students (Vertical)'!O:O,'Students (Vertical)'!C:C=E413,'Students (Vertical)'!O:O&lt;&gt;"""")})&gt;1))),""No shared courses""),"""")"),"")</f>
        <v/>
      </c>
      <c r="J413" s="357" t="str">
        <f>IFERROR(__xludf.DUMMYFUNCTION("if(H413=""Can't be Together"",iferror(join("", "",unique(filter({filter('Students (Vertical)'!O:O,'Students (Vertical)'!C:C=B413,'Students (Vertical)'!O:O&lt;&gt;"""",'Students (Vertical)'!P:P&gt;1);filter('Students (Vertical)'!O:O,'Students (Vertical)'!C:C=E413,'"&amp;"Students (Vertical)'!O:O&lt;&gt;"""",'Students (Vertical)'!P:P&gt;1)},countifs({filter('Students (Vertical)'!O:O,'Students (Vertical)'!C:C=B413,'Students (Vertical)'!O:O&lt;&gt;"""",'Students (Vertical)'!P:P&gt;1);filter('Students (Vertical)'!O:O,'Students (Vertical)'!C:C="&amp;"E413,'Students (Vertical)'!O:O&lt;&gt;"""",'Students (Vertical)'!P:P&gt;1)},{filter('Students (Vertical)'!O:O,'Students (Vertical)'!C:C=B413,'Students (Vertical)'!O:O&lt;&gt;"""",'Students (Vertical)'!P:P&gt;1);filter('Students (Vertical)'!O:O,'Students (Vertical)'!C:C=E41"&amp;"3,'Students (Vertical)'!O:O&lt;&gt;"""",'Students (Vertical)'!P:P&gt;1)})&gt;1))),""""),"""")"),"")</f>
        <v/>
      </c>
      <c r="K413" s="358"/>
    </row>
    <row r="414">
      <c r="A414" s="300" t="s">
        <v>22</v>
      </c>
      <c r="C414" s="300" t="s">
        <v>22</v>
      </c>
      <c r="D414" s="300" t="s">
        <v>22</v>
      </c>
      <c r="F414" s="300" t="s">
        <v>22</v>
      </c>
      <c r="G414" s="300" t="s">
        <v>22</v>
      </c>
      <c r="I414" s="356" t="str">
        <f>IFERROR(__xludf.DUMMYFUNCTION("if(H414=""Must be Together"",iferror(join("", "",unique(filter({filter('Students (Vertical)'!O:O,'Students (Vertical)'!C:C=B414,'Students (Vertical)'!O:O&lt;&gt;"""");filter('Students (Vertical)'!O:O,'Students (Vertical)'!C:C=E414,'Students (Vertical)'!O:O&lt;&gt;"""&amp;""")},countifs({filter('Students (Vertical)'!O:O,'Students (Vertical)'!C:C=B414,'Students (Vertical)'!O:O&lt;&gt;"""");filter('Students (Vertical)'!O:O,'Students (Vertical)'!C:C=E414,'Students (Vertical)'!O:O&lt;&gt;"""")},{filter('Students (Vertical)'!O:O,'Students ("&amp;"Vertical)'!C:C=B414,'Students (Vertical)'!O:O&lt;&gt;"""");filter('Students (Vertical)'!O:O,'Students (Vertical)'!C:C=E414,'Students (Vertical)'!O:O&lt;&gt;"""")})&gt;1))),""No shared courses""),"""")"),"")</f>
        <v/>
      </c>
      <c r="J414" s="357" t="str">
        <f>IFERROR(__xludf.DUMMYFUNCTION("if(H414=""Can't be Together"",iferror(join("", "",unique(filter({filter('Students (Vertical)'!O:O,'Students (Vertical)'!C:C=B414,'Students (Vertical)'!O:O&lt;&gt;"""",'Students (Vertical)'!P:P&gt;1);filter('Students (Vertical)'!O:O,'Students (Vertical)'!C:C=E414,'"&amp;"Students (Vertical)'!O:O&lt;&gt;"""",'Students (Vertical)'!P:P&gt;1)},countifs({filter('Students (Vertical)'!O:O,'Students (Vertical)'!C:C=B414,'Students (Vertical)'!O:O&lt;&gt;"""",'Students (Vertical)'!P:P&gt;1);filter('Students (Vertical)'!O:O,'Students (Vertical)'!C:C="&amp;"E414,'Students (Vertical)'!O:O&lt;&gt;"""",'Students (Vertical)'!P:P&gt;1)},{filter('Students (Vertical)'!O:O,'Students (Vertical)'!C:C=B414,'Students (Vertical)'!O:O&lt;&gt;"""",'Students (Vertical)'!P:P&gt;1);filter('Students (Vertical)'!O:O,'Students (Vertical)'!C:C=E41"&amp;"4,'Students (Vertical)'!O:O&lt;&gt;"""",'Students (Vertical)'!P:P&gt;1)})&gt;1))),""""),"""")"),"")</f>
        <v/>
      </c>
      <c r="K414" s="358"/>
    </row>
    <row r="415">
      <c r="A415" s="300" t="s">
        <v>22</v>
      </c>
      <c r="C415" s="300" t="s">
        <v>22</v>
      </c>
      <c r="D415" s="300" t="s">
        <v>22</v>
      </c>
      <c r="F415" s="300" t="s">
        <v>22</v>
      </c>
      <c r="G415" s="300" t="s">
        <v>22</v>
      </c>
      <c r="I415" s="356" t="str">
        <f>IFERROR(__xludf.DUMMYFUNCTION("if(H415=""Must be Together"",iferror(join("", "",unique(filter({filter('Students (Vertical)'!O:O,'Students (Vertical)'!C:C=B415,'Students (Vertical)'!O:O&lt;&gt;"""");filter('Students (Vertical)'!O:O,'Students (Vertical)'!C:C=E415,'Students (Vertical)'!O:O&lt;&gt;"""&amp;""")},countifs({filter('Students (Vertical)'!O:O,'Students (Vertical)'!C:C=B415,'Students (Vertical)'!O:O&lt;&gt;"""");filter('Students (Vertical)'!O:O,'Students (Vertical)'!C:C=E415,'Students (Vertical)'!O:O&lt;&gt;"""")},{filter('Students (Vertical)'!O:O,'Students ("&amp;"Vertical)'!C:C=B415,'Students (Vertical)'!O:O&lt;&gt;"""");filter('Students (Vertical)'!O:O,'Students (Vertical)'!C:C=E415,'Students (Vertical)'!O:O&lt;&gt;"""")})&gt;1))),""No shared courses""),"""")"),"")</f>
        <v/>
      </c>
      <c r="J415" s="357" t="str">
        <f>IFERROR(__xludf.DUMMYFUNCTION("if(H415=""Can't be Together"",iferror(join("", "",unique(filter({filter('Students (Vertical)'!O:O,'Students (Vertical)'!C:C=B415,'Students (Vertical)'!O:O&lt;&gt;"""",'Students (Vertical)'!P:P&gt;1);filter('Students (Vertical)'!O:O,'Students (Vertical)'!C:C=E415,'"&amp;"Students (Vertical)'!O:O&lt;&gt;"""",'Students (Vertical)'!P:P&gt;1)},countifs({filter('Students (Vertical)'!O:O,'Students (Vertical)'!C:C=B415,'Students (Vertical)'!O:O&lt;&gt;"""",'Students (Vertical)'!P:P&gt;1);filter('Students (Vertical)'!O:O,'Students (Vertical)'!C:C="&amp;"E415,'Students (Vertical)'!O:O&lt;&gt;"""",'Students (Vertical)'!P:P&gt;1)},{filter('Students (Vertical)'!O:O,'Students (Vertical)'!C:C=B415,'Students (Vertical)'!O:O&lt;&gt;"""",'Students (Vertical)'!P:P&gt;1);filter('Students (Vertical)'!O:O,'Students (Vertical)'!C:C=E41"&amp;"5,'Students (Vertical)'!O:O&lt;&gt;"""",'Students (Vertical)'!P:P&gt;1)})&gt;1))),""""),"""")"),"")</f>
        <v/>
      </c>
      <c r="K415" s="358"/>
    </row>
    <row r="416">
      <c r="A416" s="300" t="s">
        <v>22</v>
      </c>
      <c r="C416" s="300" t="s">
        <v>22</v>
      </c>
      <c r="D416" s="300" t="s">
        <v>22</v>
      </c>
      <c r="F416" s="300" t="s">
        <v>22</v>
      </c>
      <c r="G416" s="300" t="s">
        <v>22</v>
      </c>
      <c r="I416" s="356" t="str">
        <f>IFERROR(__xludf.DUMMYFUNCTION("if(H416=""Must be Together"",iferror(join("", "",unique(filter({filter('Students (Vertical)'!O:O,'Students (Vertical)'!C:C=B416,'Students (Vertical)'!O:O&lt;&gt;"""");filter('Students (Vertical)'!O:O,'Students (Vertical)'!C:C=E416,'Students (Vertical)'!O:O&lt;&gt;"""&amp;""")},countifs({filter('Students (Vertical)'!O:O,'Students (Vertical)'!C:C=B416,'Students (Vertical)'!O:O&lt;&gt;"""");filter('Students (Vertical)'!O:O,'Students (Vertical)'!C:C=E416,'Students (Vertical)'!O:O&lt;&gt;"""")},{filter('Students (Vertical)'!O:O,'Students ("&amp;"Vertical)'!C:C=B416,'Students (Vertical)'!O:O&lt;&gt;"""");filter('Students (Vertical)'!O:O,'Students (Vertical)'!C:C=E416,'Students (Vertical)'!O:O&lt;&gt;"""")})&gt;1))),""No shared courses""),"""")"),"")</f>
        <v/>
      </c>
      <c r="J416" s="357" t="str">
        <f>IFERROR(__xludf.DUMMYFUNCTION("if(H416=""Can't be Together"",iferror(join("", "",unique(filter({filter('Students (Vertical)'!O:O,'Students (Vertical)'!C:C=B416,'Students (Vertical)'!O:O&lt;&gt;"""",'Students (Vertical)'!P:P&gt;1);filter('Students (Vertical)'!O:O,'Students (Vertical)'!C:C=E416,'"&amp;"Students (Vertical)'!O:O&lt;&gt;"""",'Students (Vertical)'!P:P&gt;1)},countifs({filter('Students (Vertical)'!O:O,'Students (Vertical)'!C:C=B416,'Students (Vertical)'!O:O&lt;&gt;"""",'Students (Vertical)'!P:P&gt;1);filter('Students (Vertical)'!O:O,'Students (Vertical)'!C:C="&amp;"E416,'Students (Vertical)'!O:O&lt;&gt;"""",'Students (Vertical)'!P:P&gt;1)},{filter('Students (Vertical)'!O:O,'Students (Vertical)'!C:C=B416,'Students (Vertical)'!O:O&lt;&gt;"""",'Students (Vertical)'!P:P&gt;1);filter('Students (Vertical)'!O:O,'Students (Vertical)'!C:C=E41"&amp;"6,'Students (Vertical)'!O:O&lt;&gt;"""",'Students (Vertical)'!P:P&gt;1)})&gt;1))),""""),"""")"),"")</f>
        <v/>
      </c>
      <c r="K416" s="358"/>
    </row>
    <row r="417">
      <c r="A417" s="300" t="s">
        <v>22</v>
      </c>
      <c r="C417" s="300" t="s">
        <v>22</v>
      </c>
      <c r="D417" s="300" t="s">
        <v>22</v>
      </c>
      <c r="F417" s="300" t="s">
        <v>22</v>
      </c>
      <c r="G417" s="300" t="s">
        <v>22</v>
      </c>
      <c r="I417" s="356" t="str">
        <f>IFERROR(__xludf.DUMMYFUNCTION("if(H417=""Must be Together"",iferror(join("", "",unique(filter({filter('Students (Vertical)'!O:O,'Students (Vertical)'!C:C=B417,'Students (Vertical)'!O:O&lt;&gt;"""");filter('Students (Vertical)'!O:O,'Students (Vertical)'!C:C=E417,'Students (Vertical)'!O:O&lt;&gt;"""&amp;""")},countifs({filter('Students (Vertical)'!O:O,'Students (Vertical)'!C:C=B417,'Students (Vertical)'!O:O&lt;&gt;"""");filter('Students (Vertical)'!O:O,'Students (Vertical)'!C:C=E417,'Students (Vertical)'!O:O&lt;&gt;"""")},{filter('Students (Vertical)'!O:O,'Students ("&amp;"Vertical)'!C:C=B417,'Students (Vertical)'!O:O&lt;&gt;"""");filter('Students (Vertical)'!O:O,'Students (Vertical)'!C:C=E417,'Students (Vertical)'!O:O&lt;&gt;"""")})&gt;1))),""No shared courses""),"""")"),"")</f>
        <v/>
      </c>
      <c r="J417" s="357" t="str">
        <f>IFERROR(__xludf.DUMMYFUNCTION("if(H417=""Can't be Together"",iferror(join("", "",unique(filter({filter('Students (Vertical)'!O:O,'Students (Vertical)'!C:C=B417,'Students (Vertical)'!O:O&lt;&gt;"""",'Students (Vertical)'!P:P&gt;1);filter('Students (Vertical)'!O:O,'Students (Vertical)'!C:C=E417,'"&amp;"Students (Vertical)'!O:O&lt;&gt;"""",'Students (Vertical)'!P:P&gt;1)},countifs({filter('Students (Vertical)'!O:O,'Students (Vertical)'!C:C=B417,'Students (Vertical)'!O:O&lt;&gt;"""",'Students (Vertical)'!P:P&gt;1);filter('Students (Vertical)'!O:O,'Students (Vertical)'!C:C="&amp;"E417,'Students (Vertical)'!O:O&lt;&gt;"""",'Students (Vertical)'!P:P&gt;1)},{filter('Students (Vertical)'!O:O,'Students (Vertical)'!C:C=B417,'Students (Vertical)'!O:O&lt;&gt;"""",'Students (Vertical)'!P:P&gt;1);filter('Students (Vertical)'!O:O,'Students (Vertical)'!C:C=E41"&amp;"7,'Students (Vertical)'!O:O&lt;&gt;"""",'Students (Vertical)'!P:P&gt;1)})&gt;1))),""""),"""")"),"")</f>
        <v/>
      </c>
      <c r="K417" s="358"/>
    </row>
    <row r="418">
      <c r="A418" s="300" t="s">
        <v>22</v>
      </c>
      <c r="C418" s="300" t="s">
        <v>22</v>
      </c>
      <c r="D418" s="300" t="s">
        <v>22</v>
      </c>
      <c r="F418" s="300" t="s">
        <v>22</v>
      </c>
      <c r="G418" s="300" t="s">
        <v>22</v>
      </c>
      <c r="I418" s="356" t="str">
        <f>IFERROR(__xludf.DUMMYFUNCTION("if(H418=""Must be Together"",iferror(join("", "",unique(filter({filter('Students (Vertical)'!O:O,'Students (Vertical)'!C:C=B418,'Students (Vertical)'!O:O&lt;&gt;"""");filter('Students (Vertical)'!O:O,'Students (Vertical)'!C:C=E418,'Students (Vertical)'!O:O&lt;&gt;"""&amp;""")},countifs({filter('Students (Vertical)'!O:O,'Students (Vertical)'!C:C=B418,'Students (Vertical)'!O:O&lt;&gt;"""");filter('Students (Vertical)'!O:O,'Students (Vertical)'!C:C=E418,'Students (Vertical)'!O:O&lt;&gt;"""")},{filter('Students (Vertical)'!O:O,'Students ("&amp;"Vertical)'!C:C=B418,'Students (Vertical)'!O:O&lt;&gt;"""");filter('Students (Vertical)'!O:O,'Students (Vertical)'!C:C=E418,'Students (Vertical)'!O:O&lt;&gt;"""")})&gt;1))),""No shared courses""),"""")"),"")</f>
        <v/>
      </c>
      <c r="J418" s="357" t="str">
        <f>IFERROR(__xludf.DUMMYFUNCTION("if(H418=""Can't be Together"",iferror(join("", "",unique(filter({filter('Students (Vertical)'!O:O,'Students (Vertical)'!C:C=B418,'Students (Vertical)'!O:O&lt;&gt;"""",'Students (Vertical)'!P:P&gt;1);filter('Students (Vertical)'!O:O,'Students (Vertical)'!C:C=E418,'"&amp;"Students (Vertical)'!O:O&lt;&gt;"""",'Students (Vertical)'!P:P&gt;1)},countifs({filter('Students (Vertical)'!O:O,'Students (Vertical)'!C:C=B418,'Students (Vertical)'!O:O&lt;&gt;"""",'Students (Vertical)'!P:P&gt;1);filter('Students (Vertical)'!O:O,'Students (Vertical)'!C:C="&amp;"E418,'Students (Vertical)'!O:O&lt;&gt;"""",'Students (Vertical)'!P:P&gt;1)},{filter('Students (Vertical)'!O:O,'Students (Vertical)'!C:C=B418,'Students (Vertical)'!O:O&lt;&gt;"""",'Students (Vertical)'!P:P&gt;1);filter('Students (Vertical)'!O:O,'Students (Vertical)'!C:C=E41"&amp;"8,'Students (Vertical)'!O:O&lt;&gt;"""",'Students (Vertical)'!P:P&gt;1)})&gt;1))),""""),"""")"),"")</f>
        <v/>
      </c>
      <c r="K418" s="358"/>
    </row>
    <row r="419">
      <c r="A419" s="300" t="s">
        <v>22</v>
      </c>
      <c r="C419" s="300" t="s">
        <v>22</v>
      </c>
      <c r="D419" s="300" t="s">
        <v>22</v>
      </c>
      <c r="F419" s="300" t="s">
        <v>22</v>
      </c>
      <c r="G419" s="300" t="s">
        <v>22</v>
      </c>
      <c r="I419" s="356" t="str">
        <f>IFERROR(__xludf.DUMMYFUNCTION("if(H419=""Must be Together"",iferror(join("", "",unique(filter({filter('Students (Vertical)'!O:O,'Students (Vertical)'!C:C=B419,'Students (Vertical)'!O:O&lt;&gt;"""");filter('Students (Vertical)'!O:O,'Students (Vertical)'!C:C=E419,'Students (Vertical)'!O:O&lt;&gt;"""&amp;""")},countifs({filter('Students (Vertical)'!O:O,'Students (Vertical)'!C:C=B419,'Students (Vertical)'!O:O&lt;&gt;"""");filter('Students (Vertical)'!O:O,'Students (Vertical)'!C:C=E419,'Students (Vertical)'!O:O&lt;&gt;"""")},{filter('Students (Vertical)'!O:O,'Students ("&amp;"Vertical)'!C:C=B419,'Students (Vertical)'!O:O&lt;&gt;"""");filter('Students (Vertical)'!O:O,'Students (Vertical)'!C:C=E419,'Students (Vertical)'!O:O&lt;&gt;"""")})&gt;1))),""No shared courses""),"""")"),"")</f>
        <v/>
      </c>
      <c r="J419" s="357" t="str">
        <f>IFERROR(__xludf.DUMMYFUNCTION("if(H419=""Can't be Together"",iferror(join("", "",unique(filter({filter('Students (Vertical)'!O:O,'Students (Vertical)'!C:C=B419,'Students (Vertical)'!O:O&lt;&gt;"""",'Students (Vertical)'!P:P&gt;1);filter('Students (Vertical)'!O:O,'Students (Vertical)'!C:C=E419,'"&amp;"Students (Vertical)'!O:O&lt;&gt;"""",'Students (Vertical)'!P:P&gt;1)},countifs({filter('Students (Vertical)'!O:O,'Students (Vertical)'!C:C=B419,'Students (Vertical)'!O:O&lt;&gt;"""",'Students (Vertical)'!P:P&gt;1);filter('Students (Vertical)'!O:O,'Students (Vertical)'!C:C="&amp;"E419,'Students (Vertical)'!O:O&lt;&gt;"""",'Students (Vertical)'!P:P&gt;1)},{filter('Students (Vertical)'!O:O,'Students (Vertical)'!C:C=B419,'Students (Vertical)'!O:O&lt;&gt;"""",'Students (Vertical)'!P:P&gt;1);filter('Students (Vertical)'!O:O,'Students (Vertical)'!C:C=E41"&amp;"9,'Students (Vertical)'!O:O&lt;&gt;"""",'Students (Vertical)'!P:P&gt;1)})&gt;1))),""""),"""")"),"")</f>
        <v/>
      </c>
      <c r="K419" s="358"/>
    </row>
    <row r="420">
      <c r="A420" s="300" t="s">
        <v>22</v>
      </c>
      <c r="C420" s="300" t="s">
        <v>22</v>
      </c>
      <c r="D420" s="300" t="s">
        <v>22</v>
      </c>
      <c r="F420" s="300" t="s">
        <v>22</v>
      </c>
      <c r="G420" s="300" t="s">
        <v>22</v>
      </c>
      <c r="I420" s="356" t="str">
        <f>IFERROR(__xludf.DUMMYFUNCTION("if(H420=""Must be Together"",iferror(join("", "",unique(filter({filter('Students (Vertical)'!O:O,'Students (Vertical)'!C:C=B420,'Students (Vertical)'!O:O&lt;&gt;"""");filter('Students (Vertical)'!O:O,'Students (Vertical)'!C:C=E420,'Students (Vertical)'!O:O&lt;&gt;"""&amp;""")},countifs({filter('Students (Vertical)'!O:O,'Students (Vertical)'!C:C=B420,'Students (Vertical)'!O:O&lt;&gt;"""");filter('Students (Vertical)'!O:O,'Students (Vertical)'!C:C=E420,'Students (Vertical)'!O:O&lt;&gt;"""")},{filter('Students (Vertical)'!O:O,'Students ("&amp;"Vertical)'!C:C=B420,'Students (Vertical)'!O:O&lt;&gt;"""");filter('Students (Vertical)'!O:O,'Students (Vertical)'!C:C=E420,'Students (Vertical)'!O:O&lt;&gt;"""")})&gt;1))),""No shared courses""),"""")"),"")</f>
        <v/>
      </c>
      <c r="J420" s="357" t="str">
        <f>IFERROR(__xludf.DUMMYFUNCTION("if(H420=""Can't be Together"",iferror(join("", "",unique(filter({filter('Students (Vertical)'!O:O,'Students (Vertical)'!C:C=B420,'Students (Vertical)'!O:O&lt;&gt;"""",'Students (Vertical)'!P:P&gt;1);filter('Students (Vertical)'!O:O,'Students (Vertical)'!C:C=E420,'"&amp;"Students (Vertical)'!O:O&lt;&gt;"""",'Students (Vertical)'!P:P&gt;1)},countifs({filter('Students (Vertical)'!O:O,'Students (Vertical)'!C:C=B420,'Students (Vertical)'!O:O&lt;&gt;"""",'Students (Vertical)'!P:P&gt;1);filter('Students (Vertical)'!O:O,'Students (Vertical)'!C:C="&amp;"E420,'Students (Vertical)'!O:O&lt;&gt;"""",'Students (Vertical)'!P:P&gt;1)},{filter('Students (Vertical)'!O:O,'Students (Vertical)'!C:C=B420,'Students (Vertical)'!O:O&lt;&gt;"""",'Students (Vertical)'!P:P&gt;1);filter('Students (Vertical)'!O:O,'Students (Vertical)'!C:C=E42"&amp;"0,'Students (Vertical)'!O:O&lt;&gt;"""",'Students (Vertical)'!P:P&gt;1)})&gt;1))),""""),"""")"),"")</f>
        <v/>
      </c>
      <c r="K420" s="358"/>
    </row>
    <row r="421">
      <c r="A421" s="300" t="s">
        <v>22</v>
      </c>
      <c r="C421" s="300" t="s">
        <v>22</v>
      </c>
      <c r="D421" s="300" t="s">
        <v>22</v>
      </c>
      <c r="F421" s="300" t="s">
        <v>22</v>
      </c>
      <c r="G421" s="300" t="s">
        <v>22</v>
      </c>
      <c r="I421" s="356" t="str">
        <f>IFERROR(__xludf.DUMMYFUNCTION("if(H421=""Must be Together"",iferror(join("", "",unique(filter({filter('Students (Vertical)'!O:O,'Students (Vertical)'!C:C=B421,'Students (Vertical)'!O:O&lt;&gt;"""");filter('Students (Vertical)'!O:O,'Students (Vertical)'!C:C=E421,'Students (Vertical)'!O:O&lt;&gt;"""&amp;""")},countifs({filter('Students (Vertical)'!O:O,'Students (Vertical)'!C:C=B421,'Students (Vertical)'!O:O&lt;&gt;"""");filter('Students (Vertical)'!O:O,'Students (Vertical)'!C:C=E421,'Students (Vertical)'!O:O&lt;&gt;"""")},{filter('Students (Vertical)'!O:O,'Students ("&amp;"Vertical)'!C:C=B421,'Students (Vertical)'!O:O&lt;&gt;"""");filter('Students (Vertical)'!O:O,'Students (Vertical)'!C:C=E421,'Students (Vertical)'!O:O&lt;&gt;"""")})&gt;1))),""No shared courses""),"""")"),"")</f>
        <v/>
      </c>
      <c r="J421" s="357" t="str">
        <f>IFERROR(__xludf.DUMMYFUNCTION("if(H421=""Can't be Together"",iferror(join("", "",unique(filter({filter('Students (Vertical)'!O:O,'Students (Vertical)'!C:C=B421,'Students (Vertical)'!O:O&lt;&gt;"""",'Students (Vertical)'!P:P&gt;1);filter('Students (Vertical)'!O:O,'Students (Vertical)'!C:C=E421,'"&amp;"Students (Vertical)'!O:O&lt;&gt;"""",'Students (Vertical)'!P:P&gt;1)},countifs({filter('Students (Vertical)'!O:O,'Students (Vertical)'!C:C=B421,'Students (Vertical)'!O:O&lt;&gt;"""",'Students (Vertical)'!P:P&gt;1);filter('Students (Vertical)'!O:O,'Students (Vertical)'!C:C="&amp;"E421,'Students (Vertical)'!O:O&lt;&gt;"""",'Students (Vertical)'!P:P&gt;1)},{filter('Students (Vertical)'!O:O,'Students (Vertical)'!C:C=B421,'Students (Vertical)'!O:O&lt;&gt;"""",'Students (Vertical)'!P:P&gt;1);filter('Students (Vertical)'!O:O,'Students (Vertical)'!C:C=E42"&amp;"1,'Students (Vertical)'!O:O&lt;&gt;"""",'Students (Vertical)'!P:P&gt;1)})&gt;1))),""""),"""")"),"")</f>
        <v/>
      </c>
      <c r="K421" s="358"/>
    </row>
    <row r="422">
      <c r="A422" s="300" t="s">
        <v>22</v>
      </c>
      <c r="C422" s="300" t="s">
        <v>22</v>
      </c>
      <c r="D422" s="300" t="s">
        <v>22</v>
      </c>
      <c r="F422" s="300" t="s">
        <v>22</v>
      </c>
      <c r="G422" s="300" t="s">
        <v>22</v>
      </c>
      <c r="I422" s="356" t="str">
        <f>IFERROR(__xludf.DUMMYFUNCTION("if(H422=""Must be Together"",iferror(join("", "",unique(filter({filter('Students (Vertical)'!O:O,'Students (Vertical)'!C:C=B422,'Students (Vertical)'!O:O&lt;&gt;"""");filter('Students (Vertical)'!O:O,'Students (Vertical)'!C:C=E422,'Students (Vertical)'!O:O&lt;&gt;"""&amp;""")},countifs({filter('Students (Vertical)'!O:O,'Students (Vertical)'!C:C=B422,'Students (Vertical)'!O:O&lt;&gt;"""");filter('Students (Vertical)'!O:O,'Students (Vertical)'!C:C=E422,'Students (Vertical)'!O:O&lt;&gt;"""")},{filter('Students (Vertical)'!O:O,'Students ("&amp;"Vertical)'!C:C=B422,'Students (Vertical)'!O:O&lt;&gt;"""");filter('Students (Vertical)'!O:O,'Students (Vertical)'!C:C=E422,'Students (Vertical)'!O:O&lt;&gt;"""")})&gt;1))),""No shared courses""),"""")"),"")</f>
        <v/>
      </c>
      <c r="J422" s="357" t="str">
        <f>IFERROR(__xludf.DUMMYFUNCTION("if(H422=""Can't be Together"",iferror(join("", "",unique(filter({filter('Students (Vertical)'!O:O,'Students (Vertical)'!C:C=B422,'Students (Vertical)'!O:O&lt;&gt;"""",'Students (Vertical)'!P:P&gt;1);filter('Students (Vertical)'!O:O,'Students (Vertical)'!C:C=E422,'"&amp;"Students (Vertical)'!O:O&lt;&gt;"""",'Students (Vertical)'!P:P&gt;1)},countifs({filter('Students (Vertical)'!O:O,'Students (Vertical)'!C:C=B422,'Students (Vertical)'!O:O&lt;&gt;"""",'Students (Vertical)'!P:P&gt;1);filter('Students (Vertical)'!O:O,'Students (Vertical)'!C:C="&amp;"E422,'Students (Vertical)'!O:O&lt;&gt;"""",'Students (Vertical)'!P:P&gt;1)},{filter('Students (Vertical)'!O:O,'Students (Vertical)'!C:C=B422,'Students (Vertical)'!O:O&lt;&gt;"""",'Students (Vertical)'!P:P&gt;1);filter('Students (Vertical)'!O:O,'Students (Vertical)'!C:C=E42"&amp;"2,'Students (Vertical)'!O:O&lt;&gt;"""",'Students (Vertical)'!P:P&gt;1)})&gt;1))),""""),"""")"),"")</f>
        <v/>
      </c>
      <c r="K422" s="358"/>
    </row>
    <row r="423">
      <c r="A423" s="300" t="s">
        <v>22</v>
      </c>
      <c r="C423" s="300" t="s">
        <v>22</v>
      </c>
      <c r="D423" s="300" t="s">
        <v>22</v>
      </c>
      <c r="F423" s="300" t="s">
        <v>22</v>
      </c>
      <c r="G423" s="300" t="s">
        <v>22</v>
      </c>
      <c r="I423" s="356" t="str">
        <f>IFERROR(__xludf.DUMMYFUNCTION("if(H423=""Must be Together"",iferror(join("", "",unique(filter({filter('Students (Vertical)'!O:O,'Students (Vertical)'!C:C=B423,'Students (Vertical)'!O:O&lt;&gt;"""");filter('Students (Vertical)'!O:O,'Students (Vertical)'!C:C=E423,'Students (Vertical)'!O:O&lt;&gt;"""&amp;""")},countifs({filter('Students (Vertical)'!O:O,'Students (Vertical)'!C:C=B423,'Students (Vertical)'!O:O&lt;&gt;"""");filter('Students (Vertical)'!O:O,'Students (Vertical)'!C:C=E423,'Students (Vertical)'!O:O&lt;&gt;"""")},{filter('Students (Vertical)'!O:O,'Students ("&amp;"Vertical)'!C:C=B423,'Students (Vertical)'!O:O&lt;&gt;"""");filter('Students (Vertical)'!O:O,'Students (Vertical)'!C:C=E423,'Students (Vertical)'!O:O&lt;&gt;"""")})&gt;1))),""No shared courses""),"""")"),"")</f>
        <v/>
      </c>
      <c r="J423" s="357" t="str">
        <f>IFERROR(__xludf.DUMMYFUNCTION("if(H423=""Can't be Together"",iferror(join("", "",unique(filter({filter('Students (Vertical)'!O:O,'Students (Vertical)'!C:C=B423,'Students (Vertical)'!O:O&lt;&gt;"""",'Students (Vertical)'!P:P&gt;1);filter('Students (Vertical)'!O:O,'Students (Vertical)'!C:C=E423,'"&amp;"Students (Vertical)'!O:O&lt;&gt;"""",'Students (Vertical)'!P:P&gt;1)},countifs({filter('Students (Vertical)'!O:O,'Students (Vertical)'!C:C=B423,'Students (Vertical)'!O:O&lt;&gt;"""",'Students (Vertical)'!P:P&gt;1);filter('Students (Vertical)'!O:O,'Students (Vertical)'!C:C="&amp;"E423,'Students (Vertical)'!O:O&lt;&gt;"""",'Students (Vertical)'!P:P&gt;1)},{filter('Students (Vertical)'!O:O,'Students (Vertical)'!C:C=B423,'Students (Vertical)'!O:O&lt;&gt;"""",'Students (Vertical)'!P:P&gt;1);filter('Students (Vertical)'!O:O,'Students (Vertical)'!C:C=E42"&amp;"3,'Students (Vertical)'!O:O&lt;&gt;"""",'Students (Vertical)'!P:P&gt;1)})&gt;1))),""""),"""")"),"")</f>
        <v/>
      </c>
      <c r="K423" s="358"/>
    </row>
    <row r="424">
      <c r="A424" s="300" t="s">
        <v>22</v>
      </c>
      <c r="C424" s="300" t="s">
        <v>22</v>
      </c>
      <c r="D424" s="300" t="s">
        <v>22</v>
      </c>
      <c r="F424" s="300" t="s">
        <v>22</v>
      </c>
      <c r="G424" s="300" t="s">
        <v>22</v>
      </c>
      <c r="I424" s="356" t="str">
        <f>IFERROR(__xludf.DUMMYFUNCTION("if(H424=""Must be Together"",iferror(join("", "",unique(filter({filter('Students (Vertical)'!O:O,'Students (Vertical)'!C:C=B424,'Students (Vertical)'!O:O&lt;&gt;"""");filter('Students (Vertical)'!O:O,'Students (Vertical)'!C:C=E424,'Students (Vertical)'!O:O&lt;&gt;"""&amp;""")},countifs({filter('Students (Vertical)'!O:O,'Students (Vertical)'!C:C=B424,'Students (Vertical)'!O:O&lt;&gt;"""");filter('Students (Vertical)'!O:O,'Students (Vertical)'!C:C=E424,'Students (Vertical)'!O:O&lt;&gt;"""")},{filter('Students (Vertical)'!O:O,'Students ("&amp;"Vertical)'!C:C=B424,'Students (Vertical)'!O:O&lt;&gt;"""");filter('Students (Vertical)'!O:O,'Students (Vertical)'!C:C=E424,'Students (Vertical)'!O:O&lt;&gt;"""")})&gt;1))),""No shared courses""),"""")"),"")</f>
        <v/>
      </c>
      <c r="J424" s="357" t="str">
        <f>IFERROR(__xludf.DUMMYFUNCTION("if(H424=""Can't be Together"",iferror(join("", "",unique(filter({filter('Students (Vertical)'!O:O,'Students (Vertical)'!C:C=B424,'Students (Vertical)'!O:O&lt;&gt;"""",'Students (Vertical)'!P:P&gt;1);filter('Students (Vertical)'!O:O,'Students (Vertical)'!C:C=E424,'"&amp;"Students (Vertical)'!O:O&lt;&gt;"""",'Students (Vertical)'!P:P&gt;1)},countifs({filter('Students (Vertical)'!O:O,'Students (Vertical)'!C:C=B424,'Students (Vertical)'!O:O&lt;&gt;"""",'Students (Vertical)'!P:P&gt;1);filter('Students (Vertical)'!O:O,'Students (Vertical)'!C:C="&amp;"E424,'Students (Vertical)'!O:O&lt;&gt;"""",'Students (Vertical)'!P:P&gt;1)},{filter('Students (Vertical)'!O:O,'Students (Vertical)'!C:C=B424,'Students (Vertical)'!O:O&lt;&gt;"""",'Students (Vertical)'!P:P&gt;1);filter('Students (Vertical)'!O:O,'Students (Vertical)'!C:C=E42"&amp;"4,'Students (Vertical)'!O:O&lt;&gt;"""",'Students (Vertical)'!P:P&gt;1)})&gt;1))),""""),"""")"),"")</f>
        <v/>
      </c>
      <c r="K424" s="358"/>
    </row>
    <row r="425">
      <c r="A425" s="300" t="s">
        <v>22</v>
      </c>
      <c r="C425" s="300" t="s">
        <v>22</v>
      </c>
      <c r="D425" s="300" t="s">
        <v>22</v>
      </c>
      <c r="F425" s="300" t="s">
        <v>22</v>
      </c>
      <c r="G425" s="300" t="s">
        <v>22</v>
      </c>
      <c r="I425" s="356" t="str">
        <f>IFERROR(__xludf.DUMMYFUNCTION("if(H425=""Must be Together"",iferror(join("", "",unique(filter({filter('Students (Vertical)'!O:O,'Students (Vertical)'!C:C=B425,'Students (Vertical)'!O:O&lt;&gt;"""");filter('Students (Vertical)'!O:O,'Students (Vertical)'!C:C=E425,'Students (Vertical)'!O:O&lt;&gt;"""&amp;""")},countifs({filter('Students (Vertical)'!O:O,'Students (Vertical)'!C:C=B425,'Students (Vertical)'!O:O&lt;&gt;"""");filter('Students (Vertical)'!O:O,'Students (Vertical)'!C:C=E425,'Students (Vertical)'!O:O&lt;&gt;"""")},{filter('Students (Vertical)'!O:O,'Students ("&amp;"Vertical)'!C:C=B425,'Students (Vertical)'!O:O&lt;&gt;"""");filter('Students (Vertical)'!O:O,'Students (Vertical)'!C:C=E425,'Students (Vertical)'!O:O&lt;&gt;"""")})&gt;1))),""No shared courses""),"""")"),"")</f>
        <v/>
      </c>
      <c r="J425" s="357" t="str">
        <f>IFERROR(__xludf.DUMMYFUNCTION("if(H425=""Can't be Together"",iferror(join("", "",unique(filter({filter('Students (Vertical)'!O:O,'Students (Vertical)'!C:C=B425,'Students (Vertical)'!O:O&lt;&gt;"""",'Students (Vertical)'!P:P&gt;1);filter('Students (Vertical)'!O:O,'Students (Vertical)'!C:C=E425,'"&amp;"Students (Vertical)'!O:O&lt;&gt;"""",'Students (Vertical)'!P:P&gt;1)},countifs({filter('Students (Vertical)'!O:O,'Students (Vertical)'!C:C=B425,'Students (Vertical)'!O:O&lt;&gt;"""",'Students (Vertical)'!P:P&gt;1);filter('Students (Vertical)'!O:O,'Students (Vertical)'!C:C="&amp;"E425,'Students (Vertical)'!O:O&lt;&gt;"""",'Students (Vertical)'!P:P&gt;1)},{filter('Students (Vertical)'!O:O,'Students (Vertical)'!C:C=B425,'Students (Vertical)'!O:O&lt;&gt;"""",'Students (Vertical)'!P:P&gt;1);filter('Students (Vertical)'!O:O,'Students (Vertical)'!C:C=E42"&amp;"5,'Students (Vertical)'!O:O&lt;&gt;"""",'Students (Vertical)'!P:P&gt;1)})&gt;1))),""""),"""")"),"")</f>
        <v/>
      </c>
      <c r="K425" s="358"/>
    </row>
    <row r="426">
      <c r="A426" s="300" t="s">
        <v>22</v>
      </c>
      <c r="C426" s="300" t="s">
        <v>22</v>
      </c>
      <c r="D426" s="300" t="s">
        <v>22</v>
      </c>
      <c r="F426" s="300" t="s">
        <v>22</v>
      </c>
      <c r="G426" s="300" t="s">
        <v>22</v>
      </c>
      <c r="I426" s="356" t="str">
        <f>IFERROR(__xludf.DUMMYFUNCTION("if(H426=""Must be Together"",iferror(join("", "",unique(filter({filter('Students (Vertical)'!O:O,'Students (Vertical)'!C:C=B426,'Students (Vertical)'!O:O&lt;&gt;"""");filter('Students (Vertical)'!O:O,'Students (Vertical)'!C:C=E426,'Students (Vertical)'!O:O&lt;&gt;"""&amp;""")},countifs({filter('Students (Vertical)'!O:O,'Students (Vertical)'!C:C=B426,'Students (Vertical)'!O:O&lt;&gt;"""");filter('Students (Vertical)'!O:O,'Students (Vertical)'!C:C=E426,'Students (Vertical)'!O:O&lt;&gt;"""")},{filter('Students (Vertical)'!O:O,'Students ("&amp;"Vertical)'!C:C=B426,'Students (Vertical)'!O:O&lt;&gt;"""");filter('Students (Vertical)'!O:O,'Students (Vertical)'!C:C=E426,'Students (Vertical)'!O:O&lt;&gt;"""")})&gt;1))),""No shared courses""),"""")"),"")</f>
        <v/>
      </c>
      <c r="J426" s="357" t="str">
        <f>IFERROR(__xludf.DUMMYFUNCTION("if(H426=""Can't be Together"",iferror(join("", "",unique(filter({filter('Students (Vertical)'!O:O,'Students (Vertical)'!C:C=B426,'Students (Vertical)'!O:O&lt;&gt;"""",'Students (Vertical)'!P:P&gt;1);filter('Students (Vertical)'!O:O,'Students (Vertical)'!C:C=E426,'"&amp;"Students (Vertical)'!O:O&lt;&gt;"""",'Students (Vertical)'!P:P&gt;1)},countifs({filter('Students (Vertical)'!O:O,'Students (Vertical)'!C:C=B426,'Students (Vertical)'!O:O&lt;&gt;"""",'Students (Vertical)'!P:P&gt;1);filter('Students (Vertical)'!O:O,'Students (Vertical)'!C:C="&amp;"E426,'Students (Vertical)'!O:O&lt;&gt;"""",'Students (Vertical)'!P:P&gt;1)},{filter('Students (Vertical)'!O:O,'Students (Vertical)'!C:C=B426,'Students (Vertical)'!O:O&lt;&gt;"""",'Students (Vertical)'!P:P&gt;1);filter('Students (Vertical)'!O:O,'Students (Vertical)'!C:C=E42"&amp;"6,'Students (Vertical)'!O:O&lt;&gt;"""",'Students (Vertical)'!P:P&gt;1)})&gt;1))),""""),"""")"),"")</f>
        <v/>
      </c>
      <c r="K426" s="358"/>
    </row>
    <row r="427">
      <c r="A427" s="300" t="s">
        <v>22</v>
      </c>
      <c r="C427" s="300" t="s">
        <v>22</v>
      </c>
      <c r="D427" s="300" t="s">
        <v>22</v>
      </c>
      <c r="F427" s="300" t="s">
        <v>22</v>
      </c>
      <c r="G427" s="300" t="s">
        <v>22</v>
      </c>
      <c r="I427" s="356" t="str">
        <f>IFERROR(__xludf.DUMMYFUNCTION("if(H427=""Must be Together"",iferror(join("", "",unique(filter({filter('Students (Vertical)'!O:O,'Students (Vertical)'!C:C=B427,'Students (Vertical)'!O:O&lt;&gt;"""");filter('Students (Vertical)'!O:O,'Students (Vertical)'!C:C=E427,'Students (Vertical)'!O:O&lt;&gt;"""&amp;""")},countifs({filter('Students (Vertical)'!O:O,'Students (Vertical)'!C:C=B427,'Students (Vertical)'!O:O&lt;&gt;"""");filter('Students (Vertical)'!O:O,'Students (Vertical)'!C:C=E427,'Students (Vertical)'!O:O&lt;&gt;"""")},{filter('Students (Vertical)'!O:O,'Students ("&amp;"Vertical)'!C:C=B427,'Students (Vertical)'!O:O&lt;&gt;"""");filter('Students (Vertical)'!O:O,'Students (Vertical)'!C:C=E427,'Students (Vertical)'!O:O&lt;&gt;"""")})&gt;1))),""No shared courses""),"""")"),"")</f>
        <v/>
      </c>
      <c r="J427" s="357" t="str">
        <f>IFERROR(__xludf.DUMMYFUNCTION("if(H427=""Can't be Together"",iferror(join("", "",unique(filter({filter('Students (Vertical)'!O:O,'Students (Vertical)'!C:C=B427,'Students (Vertical)'!O:O&lt;&gt;"""",'Students (Vertical)'!P:P&gt;1);filter('Students (Vertical)'!O:O,'Students (Vertical)'!C:C=E427,'"&amp;"Students (Vertical)'!O:O&lt;&gt;"""",'Students (Vertical)'!P:P&gt;1)},countifs({filter('Students (Vertical)'!O:O,'Students (Vertical)'!C:C=B427,'Students (Vertical)'!O:O&lt;&gt;"""",'Students (Vertical)'!P:P&gt;1);filter('Students (Vertical)'!O:O,'Students (Vertical)'!C:C="&amp;"E427,'Students (Vertical)'!O:O&lt;&gt;"""",'Students (Vertical)'!P:P&gt;1)},{filter('Students (Vertical)'!O:O,'Students (Vertical)'!C:C=B427,'Students (Vertical)'!O:O&lt;&gt;"""",'Students (Vertical)'!P:P&gt;1);filter('Students (Vertical)'!O:O,'Students (Vertical)'!C:C=E42"&amp;"7,'Students (Vertical)'!O:O&lt;&gt;"""",'Students (Vertical)'!P:P&gt;1)})&gt;1))),""""),"""")"),"")</f>
        <v/>
      </c>
      <c r="K427" s="358"/>
    </row>
    <row r="428">
      <c r="A428" s="300" t="s">
        <v>22</v>
      </c>
      <c r="C428" s="300" t="s">
        <v>22</v>
      </c>
      <c r="D428" s="300" t="s">
        <v>22</v>
      </c>
      <c r="F428" s="300" t="s">
        <v>22</v>
      </c>
      <c r="G428" s="300" t="s">
        <v>22</v>
      </c>
      <c r="I428" s="356" t="str">
        <f>IFERROR(__xludf.DUMMYFUNCTION("if(H428=""Must be Together"",iferror(join("", "",unique(filter({filter('Students (Vertical)'!O:O,'Students (Vertical)'!C:C=B428,'Students (Vertical)'!O:O&lt;&gt;"""");filter('Students (Vertical)'!O:O,'Students (Vertical)'!C:C=E428,'Students (Vertical)'!O:O&lt;&gt;"""&amp;""")},countifs({filter('Students (Vertical)'!O:O,'Students (Vertical)'!C:C=B428,'Students (Vertical)'!O:O&lt;&gt;"""");filter('Students (Vertical)'!O:O,'Students (Vertical)'!C:C=E428,'Students (Vertical)'!O:O&lt;&gt;"""")},{filter('Students (Vertical)'!O:O,'Students ("&amp;"Vertical)'!C:C=B428,'Students (Vertical)'!O:O&lt;&gt;"""");filter('Students (Vertical)'!O:O,'Students (Vertical)'!C:C=E428,'Students (Vertical)'!O:O&lt;&gt;"""")})&gt;1))),""No shared courses""),"""")"),"")</f>
        <v/>
      </c>
      <c r="J428" s="357" t="str">
        <f>IFERROR(__xludf.DUMMYFUNCTION("if(H428=""Can't be Together"",iferror(join("", "",unique(filter({filter('Students (Vertical)'!O:O,'Students (Vertical)'!C:C=B428,'Students (Vertical)'!O:O&lt;&gt;"""",'Students (Vertical)'!P:P&gt;1);filter('Students (Vertical)'!O:O,'Students (Vertical)'!C:C=E428,'"&amp;"Students (Vertical)'!O:O&lt;&gt;"""",'Students (Vertical)'!P:P&gt;1)},countifs({filter('Students (Vertical)'!O:O,'Students (Vertical)'!C:C=B428,'Students (Vertical)'!O:O&lt;&gt;"""",'Students (Vertical)'!P:P&gt;1);filter('Students (Vertical)'!O:O,'Students (Vertical)'!C:C="&amp;"E428,'Students (Vertical)'!O:O&lt;&gt;"""",'Students (Vertical)'!P:P&gt;1)},{filter('Students (Vertical)'!O:O,'Students (Vertical)'!C:C=B428,'Students (Vertical)'!O:O&lt;&gt;"""",'Students (Vertical)'!P:P&gt;1);filter('Students (Vertical)'!O:O,'Students (Vertical)'!C:C=E42"&amp;"8,'Students (Vertical)'!O:O&lt;&gt;"""",'Students (Vertical)'!P:P&gt;1)})&gt;1))),""""),"""")"),"")</f>
        <v/>
      </c>
      <c r="K428" s="358"/>
    </row>
    <row r="429">
      <c r="A429" s="300" t="s">
        <v>22</v>
      </c>
      <c r="C429" s="300" t="s">
        <v>22</v>
      </c>
      <c r="D429" s="300" t="s">
        <v>22</v>
      </c>
      <c r="F429" s="300" t="s">
        <v>22</v>
      </c>
      <c r="G429" s="300" t="s">
        <v>22</v>
      </c>
      <c r="I429" s="356" t="str">
        <f>IFERROR(__xludf.DUMMYFUNCTION("if(H429=""Must be Together"",iferror(join("", "",unique(filter({filter('Students (Vertical)'!O:O,'Students (Vertical)'!C:C=B429,'Students (Vertical)'!O:O&lt;&gt;"""");filter('Students (Vertical)'!O:O,'Students (Vertical)'!C:C=E429,'Students (Vertical)'!O:O&lt;&gt;"""&amp;""")},countifs({filter('Students (Vertical)'!O:O,'Students (Vertical)'!C:C=B429,'Students (Vertical)'!O:O&lt;&gt;"""");filter('Students (Vertical)'!O:O,'Students (Vertical)'!C:C=E429,'Students (Vertical)'!O:O&lt;&gt;"""")},{filter('Students (Vertical)'!O:O,'Students ("&amp;"Vertical)'!C:C=B429,'Students (Vertical)'!O:O&lt;&gt;"""");filter('Students (Vertical)'!O:O,'Students (Vertical)'!C:C=E429,'Students (Vertical)'!O:O&lt;&gt;"""")})&gt;1))),""No shared courses""),"""")"),"")</f>
        <v/>
      </c>
      <c r="J429" s="357" t="str">
        <f>IFERROR(__xludf.DUMMYFUNCTION("if(H429=""Can't be Together"",iferror(join("", "",unique(filter({filter('Students (Vertical)'!O:O,'Students (Vertical)'!C:C=B429,'Students (Vertical)'!O:O&lt;&gt;"""",'Students (Vertical)'!P:P&gt;1);filter('Students (Vertical)'!O:O,'Students (Vertical)'!C:C=E429,'"&amp;"Students (Vertical)'!O:O&lt;&gt;"""",'Students (Vertical)'!P:P&gt;1)},countifs({filter('Students (Vertical)'!O:O,'Students (Vertical)'!C:C=B429,'Students (Vertical)'!O:O&lt;&gt;"""",'Students (Vertical)'!P:P&gt;1);filter('Students (Vertical)'!O:O,'Students (Vertical)'!C:C="&amp;"E429,'Students (Vertical)'!O:O&lt;&gt;"""",'Students (Vertical)'!P:P&gt;1)},{filter('Students (Vertical)'!O:O,'Students (Vertical)'!C:C=B429,'Students (Vertical)'!O:O&lt;&gt;"""",'Students (Vertical)'!P:P&gt;1);filter('Students (Vertical)'!O:O,'Students (Vertical)'!C:C=E42"&amp;"9,'Students (Vertical)'!O:O&lt;&gt;"""",'Students (Vertical)'!P:P&gt;1)})&gt;1))),""""),"""")"),"")</f>
        <v/>
      </c>
      <c r="K429" s="358"/>
    </row>
    <row r="430">
      <c r="A430" s="300" t="s">
        <v>22</v>
      </c>
      <c r="C430" s="300" t="s">
        <v>22</v>
      </c>
      <c r="D430" s="300" t="s">
        <v>22</v>
      </c>
      <c r="F430" s="300" t="s">
        <v>22</v>
      </c>
      <c r="G430" s="300" t="s">
        <v>22</v>
      </c>
      <c r="I430" s="356" t="str">
        <f>IFERROR(__xludf.DUMMYFUNCTION("if(H430=""Must be Together"",iferror(join("", "",unique(filter({filter('Students (Vertical)'!O:O,'Students (Vertical)'!C:C=B430,'Students (Vertical)'!O:O&lt;&gt;"""");filter('Students (Vertical)'!O:O,'Students (Vertical)'!C:C=E430,'Students (Vertical)'!O:O&lt;&gt;"""&amp;""")},countifs({filter('Students (Vertical)'!O:O,'Students (Vertical)'!C:C=B430,'Students (Vertical)'!O:O&lt;&gt;"""");filter('Students (Vertical)'!O:O,'Students (Vertical)'!C:C=E430,'Students (Vertical)'!O:O&lt;&gt;"""")},{filter('Students (Vertical)'!O:O,'Students ("&amp;"Vertical)'!C:C=B430,'Students (Vertical)'!O:O&lt;&gt;"""");filter('Students (Vertical)'!O:O,'Students (Vertical)'!C:C=E430,'Students (Vertical)'!O:O&lt;&gt;"""")})&gt;1))),""No shared courses""),"""")"),"")</f>
        <v/>
      </c>
      <c r="J430" s="357" t="str">
        <f>IFERROR(__xludf.DUMMYFUNCTION("if(H430=""Can't be Together"",iferror(join("", "",unique(filter({filter('Students (Vertical)'!O:O,'Students (Vertical)'!C:C=B430,'Students (Vertical)'!O:O&lt;&gt;"""",'Students (Vertical)'!P:P&gt;1);filter('Students (Vertical)'!O:O,'Students (Vertical)'!C:C=E430,'"&amp;"Students (Vertical)'!O:O&lt;&gt;"""",'Students (Vertical)'!P:P&gt;1)},countifs({filter('Students (Vertical)'!O:O,'Students (Vertical)'!C:C=B430,'Students (Vertical)'!O:O&lt;&gt;"""",'Students (Vertical)'!P:P&gt;1);filter('Students (Vertical)'!O:O,'Students (Vertical)'!C:C="&amp;"E430,'Students (Vertical)'!O:O&lt;&gt;"""",'Students (Vertical)'!P:P&gt;1)},{filter('Students (Vertical)'!O:O,'Students (Vertical)'!C:C=B430,'Students (Vertical)'!O:O&lt;&gt;"""",'Students (Vertical)'!P:P&gt;1);filter('Students (Vertical)'!O:O,'Students (Vertical)'!C:C=E43"&amp;"0,'Students (Vertical)'!O:O&lt;&gt;"""",'Students (Vertical)'!P:P&gt;1)})&gt;1))),""""),"""")"),"")</f>
        <v/>
      </c>
      <c r="K430" s="358"/>
    </row>
    <row r="431">
      <c r="A431" s="300" t="s">
        <v>22</v>
      </c>
      <c r="C431" s="300" t="s">
        <v>22</v>
      </c>
      <c r="D431" s="300" t="s">
        <v>22</v>
      </c>
      <c r="F431" s="300" t="s">
        <v>22</v>
      </c>
      <c r="G431" s="300" t="s">
        <v>22</v>
      </c>
      <c r="I431" s="356" t="str">
        <f>IFERROR(__xludf.DUMMYFUNCTION("if(H431=""Must be Together"",iferror(join("", "",unique(filter({filter('Students (Vertical)'!O:O,'Students (Vertical)'!C:C=B431,'Students (Vertical)'!O:O&lt;&gt;"""");filter('Students (Vertical)'!O:O,'Students (Vertical)'!C:C=E431,'Students (Vertical)'!O:O&lt;&gt;"""&amp;""")},countifs({filter('Students (Vertical)'!O:O,'Students (Vertical)'!C:C=B431,'Students (Vertical)'!O:O&lt;&gt;"""");filter('Students (Vertical)'!O:O,'Students (Vertical)'!C:C=E431,'Students (Vertical)'!O:O&lt;&gt;"""")},{filter('Students (Vertical)'!O:O,'Students ("&amp;"Vertical)'!C:C=B431,'Students (Vertical)'!O:O&lt;&gt;"""");filter('Students (Vertical)'!O:O,'Students (Vertical)'!C:C=E431,'Students (Vertical)'!O:O&lt;&gt;"""")})&gt;1))),""No shared courses""),"""")"),"")</f>
        <v/>
      </c>
      <c r="J431" s="357" t="str">
        <f>IFERROR(__xludf.DUMMYFUNCTION("if(H431=""Can't be Together"",iferror(join("", "",unique(filter({filter('Students (Vertical)'!O:O,'Students (Vertical)'!C:C=B431,'Students (Vertical)'!O:O&lt;&gt;"""",'Students (Vertical)'!P:P&gt;1);filter('Students (Vertical)'!O:O,'Students (Vertical)'!C:C=E431,'"&amp;"Students (Vertical)'!O:O&lt;&gt;"""",'Students (Vertical)'!P:P&gt;1)},countifs({filter('Students (Vertical)'!O:O,'Students (Vertical)'!C:C=B431,'Students (Vertical)'!O:O&lt;&gt;"""",'Students (Vertical)'!P:P&gt;1);filter('Students (Vertical)'!O:O,'Students (Vertical)'!C:C="&amp;"E431,'Students (Vertical)'!O:O&lt;&gt;"""",'Students (Vertical)'!P:P&gt;1)},{filter('Students (Vertical)'!O:O,'Students (Vertical)'!C:C=B431,'Students (Vertical)'!O:O&lt;&gt;"""",'Students (Vertical)'!P:P&gt;1);filter('Students (Vertical)'!O:O,'Students (Vertical)'!C:C=E43"&amp;"1,'Students (Vertical)'!O:O&lt;&gt;"""",'Students (Vertical)'!P:P&gt;1)})&gt;1))),""""),"""")"),"")</f>
        <v/>
      </c>
      <c r="K431" s="358"/>
    </row>
    <row r="432">
      <c r="A432" s="300" t="s">
        <v>22</v>
      </c>
      <c r="C432" s="300" t="s">
        <v>22</v>
      </c>
      <c r="D432" s="300" t="s">
        <v>22</v>
      </c>
      <c r="F432" s="300" t="s">
        <v>22</v>
      </c>
      <c r="G432" s="300" t="s">
        <v>22</v>
      </c>
      <c r="I432" s="356" t="str">
        <f>IFERROR(__xludf.DUMMYFUNCTION("if(H432=""Must be Together"",iferror(join("", "",unique(filter({filter('Students (Vertical)'!O:O,'Students (Vertical)'!C:C=B432,'Students (Vertical)'!O:O&lt;&gt;"""");filter('Students (Vertical)'!O:O,'Students (Vertical)'!C:C=E432,'Students (Vertical)'!O:O&lt;&gt;"""&amp;""")},countifs({filter('Students (Vertical)'!O:O,'Students (Vertical)'!C:C=B432,'Students (Vertical)'!O:O&lt;&gt;"""");filter('Students (Vertical)'!O:O,'Students (Vertical)'!C:C=E432,'Students (Vertical)'!O:O&lt;&gt;"""")},{filter('Students (Vertical)'!O:O,'Students ("&amp;"Vertical)'!C:C=B432,'Students (Vertical)'!O:O&lt;&gt;"""");filter('Students (Vertical)'!O:O,'Students (Vertical)'!C:C=E432,'Students (Vertical)'!O:O&lt;&gt;"""")})&gt;1))),""No shared courses""),"""")"),"")</f>
        <v/>
      </c>
      <c r="J432" s="357" t="str">
        <f>IFERROR(__xludf.DUMMYFUNCTION("if(H432=""Can't be Together"",iferror(join("", "",unique(filter({filter('Students (Vertical)'!O:O,'Students (Vertical)'!C:C=B432,'Students (Vertical)'!O:O&lt;&gt;"""",'Students (Vertical)'!P:P&gt;1);filter('Students (Vertical)'!O:O,'Students (Vertical)'!C:C=E432,'"&amp;"Students (Vertical)'!O:O&lt;&gt;"""",'Students (Vertical)'!P:P&gt;1)},countifs({filter('Students (Vertical)'!O:O,'Students (Vertical)'!C:C=B432,'Students (Vertical)'!O:O&lt;&gt;"""",'Students (Vertical)'!P:P&gt;1);filter('Students (Vertical)'!O:O,'Students (Vertical)'!C:C="&amp;"E432,'Students (Vertical)'!O:O&lt;&gt;"""",'Students (Vertical)'!P:P&gt;1)},{filter('Students (Vertical)'!O:O,'Students (Vertical)'!C:C=B432,'Students (Vertical)'!O:O&lt;&gt;"""",'Students (Vertical)'!P:P&gt;1);filter('Students (Vertical)'!O:O,'Students (Vertical)'!C:C=E43"&amp;"2,'Students (Vertical)'!O:O&lt;&gt;"""",'Students (Vertical)'!P:P&gt;1)})&gt;1))),""""),"""")"),"")</f>
        <v/>
      </c>
      <c r="K432" s="358"/>
    </row>
    <row r="433">
      <c r="A433" s="300" t="s">
        <v>22</v>
      </c>
      <c r="C433" s="300" t="s">
        <v>22</v>
      </c>
      <c r="D433" s="300" t="s">
        <v>22</v>
      </c>
      <c r="F433" s="300" t="s">
        <v>22</v>
      </c>
      <c r="G433" s="300" t="s">
        <v>22</v>
      </c>
      <c r="I433" s="356" t="str">
        <f>IFERROR(__xludf.DUMMYFUNCTION("if(H433=""Must be Together"",iferror(join("", "",unique(filter({filter('Students (Vertical)'!O:O,'Students (Vertical)'!C:C=B433,'Students (Vertical)'!O:O&lt;&gt;"""");filter('Students (Vertical)'!O:O,'Students (Vertical)'!C:C=E433,'Students (Vertical)'!O:O&lt;&gt;"""&amp;""")},countifs({filter('Students (Vertical)'!O:O,'Students (Vertical)'!C:C=B433,'Students (Vertical)'!O:O&lt;&gt;"""");filter('Students (Vertical)'!O:O,'Students (Vertical)'!C:C=E433,'Students (Vertical)'!O:O&lt;&gt;"""")},{filter('Students (Vertical)'!O:O,'Students ("&amp;"Vertical)'!C:C=B433,'Students (Vertical)'!O:O&lt;&gt;"""");filter('Students (Vertical)'!O:O,'Students (Vertical)'!C:C=E433,'Students (Vertical)'!O:O&lt;&gt;"""")})&gt;1))),""No shared courses""),"""")"),"")</f>
        <v/>
      </c>
      <c r="J433" s="357" t="str">
        <f>IFERROR(__xludf.DUMMYFUNCTION("if(H433=""Can't be Together"",iferror(join("", "",unique(filter({filter('Students (Vertical)'!O:O,'Students (Vertical)'!C:C=B433,'Students (Vertical)'!O:O&lt;&gt;"""",'Students (Vertical)'!P:P&gt;1);filter('Students (Vertical)'!O:O,'Students (Vertical)'!C:C=E433,'"&amp;"Students (Vertical)'!O:O&lt;&gt;"""",'Students (Vertical)'!P:P&gt;1)},countifs({filter('Students (Vertical)'!O:O,'Students (Vertical)'!C:C=B433,'Students (Vertical)'!O:O&lt;&gt;"""",'Students (Vertical)'!P:P&gt;1);filter('Students (Vertical)'!O:O,'Students (Vertical)'!C:C="&amp;"E433,'Students (Vertical)'!O:O&lt;&gt;"""",'Students (Vertical)'!P:P&gt;1)},{filter('Students (Vertical)'!O:O,'Students (Vertical)'!C:C=B433,'Students (Vertical)'!O:O&lt;&gt;"""",'Students (Vertical)'!P:P&gt;1);filter('Students (Vertical)'!O:O,'Students (Vertical)'!C:C=E43"&amp;"3,'Students (Vertical)'!O:O&lt;&gt;"""",'Students (Vertical)'!P:P&gt;1)})&gt;1))),""""),"""")"),"")</f>
        <v/>
      </c>
      <c r="K433" s="358"/>
    </row>
    <row r="434">
      <c r="A434" s="300" t="s">
        <v>22</v>
      </c>
      <c r="C434" s="300" t="s">
        <v>22</v>
      </c>
      <c r="D434" s="300" t="s">
        <v>22</v>
      </c>
      <c r="F434" s="300" t="s">
        <v>22</v>
      </c>
      <c r="G434" s="300" t="s">
        <v>22</v>
      </c>
      <c r="I434" s="356" t="str">
        <f>IFERROR(__xludf.DUMMYFUNCTION("if(H434=""Must be Together"",iferror(join("", "",unique(filter({filter('Students (Vertical)'!O:O,'Students (Vertical)'!C:C=B434,'Students (Vertical)'!O:O&lt;&gt;"""");filter('Students (Vertical)'!O:O,'Students (Vertical)'!C:C=E434,'Students (Vertical)'!O:O&lt;&gt;"""&amp;""")},countifs({filter('Students (Vertical)'!O:O,'Students (Vertical)'!C:C=B434,'Students (Vertical)'!O:O&lt;&gt;"""");filter('Students (Vertical)'!O:O,'Students (Vertical)'!C:C=E434,'Students (Vertical)'!O:O&lt;&gt;"""")},{filter('Students (Vertical)'!O:O,'Students ("&amp;"Vertical)'!C:C=B434,'Students (Vertical)'!O:O&lt;&gt;"""");filter('Students (Vertical)'!O:O,'Students (Vertical)'!C:C=E434,'Students (Vertical)'!O:O&lt;&gt;"""")})&gt;1))),""No shared courses""),"""")"),"")</f>
        <v/>
      </c>
      <c r="J434" s="357" t="str">
        <f>IFERROR(__xludf.DUMMYFUNCTION("if(H434=""Can't be Together"",iferror(join("", "",unique(filter({filter('Students (Vertical)'!O:O,'Students (Vertical)'!C:C=B434,'Students (Vertical)'!O:O&lt;&gt;"""",'Students (Vertical)'!P:P&gt;1);filter('Students (Vertical)'!O:O,'Students (Vertical)'!C:C=E434,'"&amp;"Students (Vertical)'!O:O&lt;&gt;"""",'Students (Vertical)'!P:P&gt;1)},countifs({filter('Students (Vertical)'!O:O,'Students (Vertical)'!C:C=B434,'Students (Vertical)'!O:O&lt;&gt;"""",'Students (Vertical)'!P:P&gt;1);filter('Students (Vertical)'!O:O,'Students (Vertical)'!C:C="&amp;"E434,'Students (Vertical)'!O:O&lt;&gt;"""",'Students (Vertical)'!P:P&gt;1)},{filter('Students (Vertical)'!O:O,'Students (Vertical)'!C:C=B434,'Students (Vertical)'!O:O&lt;&gt;"""",'Students (Vertical)'!P:P&gt;1);filter('Students (Vertical)'!O:O,'Students (Vertical)'!C:C=E43"&amp;"4,'Students (Vertical)'!O:O&lt;&gt;"""",'Students (Vertical)'!P:P&gt;1)})&gt;1))),""""),"""")"),"")</f>
        <v/>
      </c>
      <c r="K434" s="358"/>
    </row>
    <row r="435">
      <c r="A435" s="300" t="s">
        <v>22</v>
      </c>
      <c r="C435" s="300" t="s">
        <v>22</v>
      </c>
      <c r="D435" s="300" t="s">
        <v>22</v>
      </c>
      <c r="F435" s="300" t="s">
        <v>22</v>
      </c>
      <c r="G435" s="300" t="s">
        <v>22</v>
      </c>
      <c r="I435" s="356" t="str">
        <f>IFERROR(__xludf.DUMMYFUNCTION("if(H435=""Must be Together"",iferror(join("", "",unique(filter({filter('Students (Vertical)'!O:O,'Students (Vertical)'!C:C=B435,'Students (Vertical)'!O:O&lt;&gt;"""");filter('Students (Vertical)'!O:O,'Students (Vertical)'!C:C=E435,'Students (Vertical)'!O:O&lt;&gt;"""&amp;""")},countifs({filter('Students (Vertical)'!O:O,'Students (Vertical)'!C:C=B435,'Students (Vertical)'!O:O&lt;&gt;"""");filter('Students (Vertical)'!O:O,'Students (Vertical)'!C:C=E435,'Students (Vertical)'!O:O&lt;&gt;"""")},{filter('Students (Vertical)'!O:O,'Students ("&amp;"Vertical)'!C:C=B435,'Students (Vertical)'!O:O&lt;&gt;"""");filter('Students (Vertical)'!O:O,'Students (Vertical)'!C:C=E435,'Students (Vertical)'!O:O&lt;&gt;"""")})&gt;1))),""No shared courses""),"""")"),"")</f>
        <v/>
      </c>
      <c r="J435" s="357" t="str">
        <f>IFERROR(__xludf.DUMMYFUNCTION("if(H435=""Can't be Together"",iferror(join("", "",unique(filter({filter('Students (Vertical)'!O:O,'Students (Vertical)'!C:C=B435,'Students (Vertical)'!O:O&lt;&gt;"""",'Students (Vertical)'!P:P&gt;1);filter('Students (Vertical)'!O:O,'Students (Vertical)'!C:C=E435,'"&amp;"Students (Vertical)'!O:O&lt;&gt;"""",'Students (Vertical)'!P:P&gt;1)},countifs({filter('Students (Vertical)'!O:O,'Students (Vertical)'!C:C=B435,'Students (Vertical)'!O:O&lt;&gt;"""",'Students (Vertical)'!P:P&gt;1);filter('Students (Vertical)'!O:O,'Students (Vertical)'!C:C="&amp;"E435,'Students (Vertical)'!O:O&lt;&gt;"""",'Students (Vertical)'!P:P&gt;1)},{filter('Students (Vertical)'!O:O,'Students (Vertical)'!C:C=B435,'Students (Vertical)'!O:O&lt;&gt;"""",'Students (Vertical)'!P:P&gt;1);filter('Students (Vertical)'!O:O,'Students (Vertical)'!C:C=E43"&amp;"5,'Students (Vertical)'!O:O&lt;&gt;"""",'Students (Vertical)'!P:P&gt;1)})&gt;1))),""""),"""")"),"")</f>
        <v/>
      </c>
      <c r="K435" s="358"/>
    </row>
    <row r="436">
      <c r="A436" s="300" t="s">
        <v>22</v>
      </c>
      <c r="C436" s="300" t="s">
        <v>22</v>
      </c>
      <c r="D436" s="300" t="s">
        <v>22</v>
      </c>
      <c r="F436" s="300" t="s">
        <v>22</v>
      </c>
      <c r="G436" s="300" t="s">
        <v>22</v>
      </c>
      <c r="I436" s="356" t="str">
        <f>IFERROR(__xludf.DUMMYFUNCTION("if(H436=""Must be Together"",iferror(join("", "",unique(filter({filter('Students (Vertical)'!O:O,'Students (Vertical)'!C:C=B436,'Students (Vertical)'!O:O&lt;&gt;"""");filter('Students (Vertical)'!O:O,'Students (Vertical)'!C:C=E436,'Students (Vertical)'!O:O&lt;&gt;"""&amp;""")},countifs({filter('Students (Vertical)'!O:O,'Students (Vertical)'!C:C=B436,'Students (Vertical)'!O:O&lt;&gt;"""");filter('Students (Vertical)'!O:O,'Students (Vertical)'!C:C=E436,'Students (Vertical)'!O:O&lt;&gt;"""")},{filter('Students (Vertical)'!O:O,'Students ("&amp;"Vertical)'!C:C=B436,'Students (Vertical)'!O:O&lt;&gt;"""");filter('Students (Vertical)'!O:O,'Students (Vertical)'!C:C=E436,'Students (Vertical)'!O:O&lt;&gt;"""")})&gt;1))),""No shared courses""),"""")"),"")</f>
        <v/>
      </c>
      <c r="J436" s="357" t="str">
        <f>IFERROR(__xludf.DUMMYFUNCTION("if(H436=""Can't be Together"",iferror(join("", "",unique(filter({filter('Students (Vertical)'!O:O,'Students (Vertical)'!C:C=B436,'Students (Vertical)'!O:O&lt;&gt;"""",'Students (Vertical)'!P:P&gt;1);filter('Students (Vertical)'!O:O,'Students (Vertical)'!C:C=E436,'"&amp;"Students (Vertical)'!O:O&lt;&gt;"""",'Students (Vertical)'!P:P&gt;1)},countifs({filter('Students (Vertical)'!O:O,'Students (Vertical)'!C:C=B436,'Students (Vertical)'!O:O&lt;&gt;"""",'Students (Vertical)'!P:P&gt;1);filter('Students (Vertical)'!O:O,'Students (Vertical)'!C:C="&amp;"E436,'Students (Vertical)'!O:O&lt;&gt;"""",'Students (Vertical)'!P:P&gt;1)},{filter('Students (Vertical)'!O:O,'Students (Vertical)'!C:C=B436,'Students (Vertical)'!O:O&lt;&gt;"""",'Students (Vertical)'!P:P&gt;1);filter('Students (Vertical)'!O:O,'Students (Vertical)'!C:C=E43"&amp;"6,'Students (Vertical)'!O:O&lt;&gt;"""",'Students (Vertical)'!P:P&gt;1)})&gt;1))),""""),"""")"),"")</f>
        <v/>
      </c>
      <c r="K436" s="358"/>
    </row>
    <row r="437">
      <c r="A437" s="300" t="s">
        <v>22</v>
      </c>
      <c r="C437" s="300" t="s">
        <v>22</v>
      </c>
      <c r="D437" s="300" t="s">
        <v>22</v>
      </c>
      <c r="F437" s="300" t="s">
        <v>22</v>
      </c>
      <c r="G437" s="300" t="s">
        <v>22</v>
      </c>
      <c r="I437" s="356" t="str">
        <f>IFERROR(__xludf.DUMMYFUNCTION("if(H437=""Must be Together"",iferror(join("", "",unique(filter({filter('Students (Vertical)'!O:O,'Students (Vertical)'!C:C=B437,'Students (Vertical)'!O:O&lt;&gt;"""");filter('Students (Vertical)'!O:O,'Students (Vertical)'!C:C=E437,'Students (Vertical)'!O:O&lt;&gt;"""&amp;""")},countifs({filter('Students (Vertical)'!O:O,'Students (Vertical)'!C:C=B437,'Students (Vertical)'!O:O&lt;&gt;"""");filter('Students (Vertical)'!O:O,'Students (Vertical)'!C:C=E437,'Students (Vertical)'!O:O&lt;&gt;"""")},{filter('Students (Vertical)'!O:O,'Students ("&amp;"Vertical)'!C:C=B437,'Students (Vertical)'!O:O&lt;&gt;"""");filter('Students (Vertical)'!O:O,'Students (Vertical)'!C:C=E437,'Students (Vertical)'!O:O&lt;&gt;"""")})&gt;1))),""No shared courses""),"""")"),"")</f>
        <v/>
      </c>
      <c r="J437" s="357" t="str">
        <f>IFERROR(__xludf.DUMMYFUNCTION("if(H437=""Can't be Together"",iferror(join("", "",unique(filter({filter('Students (Vertical)'!O:O,'Students (Vertical)'!C:C=B437,'Students (Vertical)'!O:O&lt;&gt;"""",'Students (Vertical)'!P:P&gt;1);filter('Students (Vertical)'!O:O,'Students (Vertical)'!C:C=E437,'"&amp;"Students (Vertical)'!O:O&lt;&gt;"""",'Students (Vertical)'!P:P&gt;1)},countifs({filter('Students (Vertical)'!O:O,'Students (Vertical)'!C:C=B437,'Students (Vertical)'!O:O&lt;&gt;"""",'Students (Vertical)'!P:P&gt;1);filter('Students (Vertical)'!O:O,'Students (Vertical)'!C:C="&amp;"E437,'Students (Vertical)'!O:O&lt;&gt;"""",'Students (Vertical)'!P:P&gt;1)},{filter('Students (Vertical)'!O:O,'Students (Vertical)'!C:C=B437,'Students (Vertical)'!O:O&lt;&gt;"""",'Students (Vertical)'!P:P&gt;1);filter('Students (Vertical)'!O:O,'Students (Vertical)'!C:C=E43"&amp;"7,'Students (Vertical)'!O:O&lt;&gt;"""",'Students (Vertical)'!P:P&gt;1)})&gt;1))),""""),"""")"),"")</f>
        <v/>
      </c>
      <c r="K437" s="358"/>
    </row>
    <row r="438">
      <c r="A438" s="300" t="s">
        <v>22</v>
      </c>
      <c r="C438" s="300" t="s">
        <v>22</v>
      </c>
      <c r="D438" s="300" t="s">
        <v>22</v>
      </c>
      <c r="F438" s="300" t="s">
        <v>22</v>
      </c>
      <c r="G438" s="300" t="s">
        <v>22</v>
      </c>
      <c r="I438" s="356" t="str">
        <f>IFERROR(__xludf.DUMMYFUNCTION("if(H438=""Must be Together"",iferror(join("", "",unique(filter({filter('Students (Vertical)'!O:O,'Students (Vertical)'!C:C=B438,'Students (Vertical)'!O:O&lt;&gt;"""");filter('Students (Vertical)'!O:O,'Students (Vertical)'!C:C=E438,'Students (Vertical)'!O:O&lt;&gt;"""&amp;""")},countifs({filter('Students (Vertical)'!O:O,'Students (Vertical)'!C:C=B438,'Students (Vertical)'!O:O&lt;&gt;"""");filter('Students (Vertical)'!O:O,'Students (Vertical)'!C:C=E438,'Students (Vertical)'!O:O&lt;&gt;"""")},{filter('Students (Vertical)'!O:O,'Students ("&amp;"Vertical)'!C:C=B438,'Students (Vertical)'!O:O&lt;&gt;"""");filter('Students (Vertical)'!O:O,'Students (Vertical)'!C:C=E438,'Students (Vertical)'!O:O&lt;&gt;"""")})&gt;1))),""No shared courses""),"""")"),"")</f>
        <v/>
      </c>
      <c r="J438" s="357" t="str">
        <f>IFERROR(__xludf.DUMMYFUNCTION("if(H438=""Can't be Together"",iferror(join("", "",unique(filter({filter('Students (Vertical)'!O:O,'Students (Vertical)'!C:C=B438,'Students (Vertical)'!O:O&lt;&gt;"""",'Students (Vertical)'!P:P&gt;1);filter('Students (Vertical)'!O:O,'Students (Vertical)'!C:C=E438,'"&amp;"Students (Vertical)'!O:O&lt;&gt;"""",'Students (Vertical)'!P:P&gt;1)},countifs({filter('Students (Vertical)'!O:O,'Students (Vertical)'!C:C=B438,'Students (Vertical)'!O:O&lt;&gt;"""",'Students (Vertical)'!P:P&gt;1);filter('Students (Vertical)'!O:O,'Students (Vertical)'!C:C="&amp;"E438,'Students (Vertical)'!O:O&lt;&gt;"""",'Students (Vertical)'!P:P&gt;1)},{filter('Students (Vertical)'!O:O,'Students (Vertical)'!C:C=B438,'Students (Vertical)'!O:O&lt;&gt;"""",'Students (Vertical)'!P:P&gt;1);filter('Students (Vertical)'!O:O,'Students (Vertical)'!C:C=E43"&amp;"8,'Students (Vertical)'!O:O&lt;&gt;"""",'Students (Vertical)'!P:P&gt;1)})&gt;1))),""""),"""")"),"")</f>
        <v/>
      </c>
      <c r="K438" s="358"/>
    </row>
    <row r="439">
      <c r="A439" s="300" t="s">
        <v>22</v>
      </c>
      <c r="C439" s="300" t="s">
        <v>22</v>
      </c>
      <c r="D439" s="300" t="s">
        <v>22</v>
      </c>
      <c r="F439" s="300" t="s">
        <v>22</v>
      </c>
      <c r="G439" s="300" t="s">
        <v>22</v>
      </c>
      <c r="I439" s="356" t="str">
        <f>IFERROR(__xludf.DUMMYFUNCTION("if(H439=""Must be Together"",iferror(join("", "",unique(filter({filter('Students (Vertical)'!O:O,'Students (Vertical)'!C:C=B439,'Students (Vertical)'!O:O&lt;&gt;"""");filter('Students (Vertical)'!O:O,'Students (Vertical)'!C:C=E439,'Students (Vertical)'!O:O&lt;&gt;"""&amp;""")},countifs({filter('Students (Vertical)'!O:O,'Students (Vertical)'!C:C=B439,'Students (Vertical)'!O:O&lt;&gt;"""");filter('Students (Vertical)'!O:O,'Students (Vertical)'!C:C=E439,'Students (Vertical)'!O:O&lt;&gt;"""")},{filter('Students (Vertical)'!O:O,'Students ("&amp;"Vertical)'!C:C=B439,'Students (Vertical)'!O:O&lt;&gt;"""");filter('Students (Vertical)'!O:O,'Students (Vertical)'!C:C=E439,'Students (Vertical)'!O:O&lt;&gt;"""")})&gt;1))),""No shared courses""),"""")"),"")</f>
        <v/>
      </c>
      <c r="J439" s="357" t="str">
        <f>IFERROR(__xludf.DUMMYFUNCTION("if(H439=""Can't be Together"",iferror(join("", "",unique(filter({filter('Students (Vertical)'!O:O,'Students (Vertical)'!C:C=B439,'Students (Vertical)'!O:O&lt;&gt;"""",'Students (Vertical)'!P:P&gt;1);filter('Students (Vertical)'!O:O,'Students (Vertical)'!C:C=E439,'"&amp;"Students (Vertical)'!O:O&lt;&gt;"""",'Students (Vertical)'!P:P&gt;1)},countifs({filter('Students (Vertical)'!O:O,'Students (Vertical)'!C:C=B439,'Students (Vertical)'!O:O&lt;&gt;"""",'Students (Vertical)'!P:P&gt;1);filter('Students (Vertical)'!O:O,'Students (Vertical)'!C:C="&amp;"E439,'Students (Vertical)'!O:O&lt;&gt;"""",'Students (Vertical)'!P:P&gt;1)},{filter('Students (Vertical)'!O:O,'Students (Vertical)'!C:C=B439,'Students (Vertical)'!O:O&lt;&gt;"""",'Students (Vertical)'!P:P&gt;1);filter('Students (Vertical)'!O:O,'Students (Vertical)'!C:C=E43"&amp;"9,'Students (Vertical)'!O:O&lt;&gt;"""",'Students (Vertical)'!P:P&gt;1)})&gt;1))),""""),"""")"),"")</f>
        <v/>
      </c>
      <c r="K439" s="358"/>
    </row>
    <row r="440">
      <c r="A440" s="300" t="s">
        <v>22</v>
      </c>
      <c r="C440" s="300" t="s">
        <v>22</v>
      </c>
      <c r="D440" s="300" t="s">
        <v>22</v>
      </c>
      <c r="F440" s="300" t="s">
        <v>22</v>
      </c>
      <c r="G440" s="300" t="s">
        <v>22</v>
      </c>
      <c r="I440" s="356" t="str">
        <f>IFERROR(__xludf.DUMMYFUNCTION("if(H440=""Must be Together"",iferror(join("", "",unique(filter({filter('Students (Vertical)'!O:O,'Students (Vertical)'!C:C=B440,'Students (Vertical)'!O:O&lt;&gt;"""");filter('Students (Vertical)'!O:O,'Students (Vertical)'!C:C=E440,'Students (Vertical)'!O:O&lt;&gt;"""&amp;""")},countifs({filter('Students (Vertical)'!O:O,'Students (Vertical)'!C:C=B440,'Students (Vertical)'!O:O&lt;&gt;"""");filter('Students (Vertical)'!O:O,'Students (Vertical)'!C:C=E440,'Students (Vertical)'!O:O&lt;&gt;"""")},{filter('Students (Vertical)'!O:O,'Students ("&amp;"Vertical)'!C:C=B440,'Students (Vertical)'!O:O&lt;&gt;"""");filter('Students (Vertical)'!O:O,'Students (Vertical)'!C:C=E440,'Students (Vertical)'!O:O&lt;&gt;"""")})&gt;1))),""No shared courses""),"""")"),"")</f>
        <v/>
      </c>
      <c r="J440" s="357" t="str">
        <f>IFERROR(__xludf.DUMMYFUNCTION("if(H440=""Can't be Together"",iferror(join("", "",unique(filter({filter('Students (Vertical)'!O:O,'Students (Vertical)'!C:C=B440,'Students (Vertical)'!O:O&lt;&gt;"""",'Students (Vertical)'!P:P&gt;1);filter('Students (Vertical)'!O:O,'Students (Vertical)'!C:C=E440,'"&amp;"Students (Vertical)'!O:O&lt;&gt;"""",'Students (Vertical)'!P:P&gt;1)},countifs({filter('Students (Vertical)'!O:O,'Students (Vertical)'!C:C=B440,'Students (Vertical)'!O:O&lt;&gt;"""",'Students (Vertical)'!P:P&gt;1);filter('Students (Vertical)'!O:O,'Students (Vertical)'!C:C="&amp;"E440,'Students (Vertical)'!O:O&lt;&gt;"""",'Students (Vertical)'!P:P&gt;1)},{filter('Students (Vertical)'!O:O,'Students (Vertical)'!C:C=B440,'Students (Vertical)'!O:O&lt;&gt;"""",'Students (Vertical)'!P:P&gt;1);filter('Students (Vertical)'!O:O,'Students (Vertical)'!C:C=E44"&amp;"0,'Students (Vertical)'!O:O&lt;&gt;"""",'Students (Vertical)'!P:P&gt;1)})&gt;1))),""""),"""")"),"")</f>
        <v/>
      </c>
      <c r="K440" s="358"/>
    </row>
    <row r="441">
      <c r="A441" s="300" t="s">
        <v>22</v>
      </c>
      <c r="C441" s="300" t="s">
        <v>22</v>
      </c>
      <c r="D441" s="300" t="s">
        <v>22</v>
      </c>
      <c r="F441" s="300" t="s">
        <v>22</v>
      </c>
      <c r="G441" s="300" t="s">
        <v>22</v>
      </c>
      <c r="I441" s="356" t="str">
        <f>IFERROR(__xludf.DUMMYFUNCTION("if(H441=""Must be Together"",iferror(join("", "",unique(filter({filter('Students (Vertical)'!O:O,'Students (Vertical)'!C:C=B441,'Students (Vertical)'!O:O&lt;&gt;"""");filter('Students (Vertical)'!O:O,'Students (Vertical)'!C:C=E441,'Students (Vertical)'!O:O&lt;&gt;"""&amp;""")},countifs({filter('Students (Vertical)'!O:O,'Students (Vertical)'!C:C=B441,'Students (Vertical)'!O:O&lt;&gt;"""");filter('Students (Vertical)'!O:O,'Students (Vertical)'!C:C=E441,'Students (Vertical)'!O:O&lt;&gt;"""")},{filter('Students (Vertical)'!O:O,'Students ("&amp;"Vertical)'!C:C=B441,'Students (Vertical)'!O:O&lt;&gt;"""");filter('Students (Vertical)'!O:O,'Students (Vertical)'!C:C=E441,'Students (Vertical)'!O:O&lt;&gt;"""")})&gt;1))),""No shared courses""),"""")"),"")</f>
        <v/>
      </c>
      <c r="J441" s="357" t="str">
        <f>IFERROR(__xludf.DUMMYFUNCTION("if(H441=""Can't be Together"",iferror(join("", "",unique(filter({filter('Students (Vertical)'!O:O,'Students (Vertical)'!C:C=B441,'Students (Vertical)'!O:O&lt;&gt;"""",'Students (Vertical)'!P:P&gt;1);filter('Students (Vertical)'!O:O,'Students (Vertical)'!C:C=E441,'"&amp;"Students (Vertical)'!O:O&lt;&gt;"""",'Students (Vertical)'!P:P&gt;1)},countifs({filter('Students (Vertical)'!O:O,'Students (Vertical)'!C:C=B441,'Students (Vertical)'!O:O&lt;&gt;"""",'Students (Vertical)'!P:P&gt;1);filter('Students (Vertical)'!O:O,'Students (Vertical)'!C:C="&amp;"E441,'Students (Vertical)'!O:O&lt;&gt;"""",'Students (Vertical)'!P:P&gt;1)},{filter('Students (Vertical)'!O:O,'Students (Vertical)'!C:C=B441,'Students (Vertical)'!O:O&lt;&gt;"""",'Students (Vertical)'!P:P&gt;1);filter('Students (Vertical)'!O:O,'Students (Vertical)'!C:C=E44"&amp;"1,'Students (Vertical)'!O:O&lt;&gt;"""",'Students (Vertical)'!P:P&gt;1)})&gt;1))),""""),"""")"),"")</f>
        <v/>
      </c>
      <c r="K441" s="358"/>
    </row>
    <row r="442">
      <c r="A442" s="300" t="s">
        <v>22</v>
      </c>
      <c r="C442" s="300" t="s">
        <v>22</v>
      </c>
      <c r="D442" s="300" t="s">
        <v>22</v>
      </c>
      <c r="F442" s="300" t="s">
        <v>22</v>
      </c>
      <c r="G442" s="300" t="s">
        <v>22</v>
      </c>
      <c r="I442" s="356" t="str">
        <f>IFERROR(__xludf.DUMMYFUNCTION("if(H442=""Must be Together"",iferror(join("", "",unique(filter({filter('Students (Vertical)'!O:O,'Students (Vertical)'!C:C=B442,'Students (Vertical)'!O:O&lt;&gt;"""");filter('Students (Vertical)'!O:O,'Students (Vertical)'!C:C=E442,'Students (Vertical)'!O:O&lt;&gt;"""&amp;""")},countifs({filter('Students (Vertical)'!O:O,'Students (Vertical)'!C:C=B442,'Students (Vertical)'!O:O&lt;&gt;"""");filter('Students (Vertical)'!O:O,'Students (Vertical)'!C:C=E442,'Students (Vertical)'!O:O&lt;&gt;"""")},{filter('Students (Vertical)'!O:O,'Students ("&amp;"Vertical)'!C:C=B442,'Students (Vertical)'!O:O&lt;&gt;"""");filter('Students (Vertical)'!O:O,'Students (Vertical)'!C:C=E442,'Students (Vertical)'!O:O&lt;&gt;"""")})&gt;1))),""No shared courses""),"""")"),"")</f>
        <v/>
      </c>
      <c r="J442" s="357" t="str">
        <f>IFERROR(__xludf.DUMMYFUNCTION("if(H442=""Can't be Together"",iferror(join("", "",unique(filter({filter('Students (Vertical)'!O:O,'Students (Vertical)'!C:C=B442,'Students (Vertical)'!O:O&lt;&gt;"""",'Students (Vertical)'!P:P&gt;1);filter('Students (Vertical)'!O:O,'Students (Vertical)'!C:C=E442,'"&amp;"Students (Vertical)'!O:O&lt;&gt;"""",'Students (Vertical)'!P:P&gt;1)},countifs({filter('Students (Vertical)'!O:O,'Students (Vertical)'!C:C=B442,'Students (Vertical)'!O:O&lt;&gt;"""",'Students (Vertical)'!P:P&gt;1);filter('Students (Vertical)'!O:O,'Students (Vertical)'!C:C="&amp;"E442,'Students (Vertical)'!O:O&lt;&gt;"""",'Students (Vertical)'!P:P&gt;1)},{filter('Students (Vertical)'!O:O,'Students (Vertical)'!C:C=B442,'Students (Vertical)'!O:O&lt;&gt;"""",'Students (Vertical)'!P:P&gt;1);filter('Students (Vertical)'!O:O,'Students (Vertical)'!C:C=E44"&amp;"2,'Students (Vertical)'!O:O&lt;&gt;"""",'Students (Vertical)'!P:P&gt;1)})&gt;1))),""""),"""")"),"")</f>
        <v/>
      </c>
      <c r="K442" s="358"/>
    </row>
    <row r="443">
      <c r="A443" s="300" t="s">
        <v>22</v>
      </c>
      <c r="C443" s="300" t="s">
        <v>22</v>
      </c>
      <c r="D443" s="300" t="s">
        <v>22</v>
      </c>
      <c r="F443" s="300" t="s">
        <v>22</v>
      </c>
      <c r="G443" s="300" t="s">
        <v>22</v>
      </c>
      <c r="I443" s="356" t="str">
        <f>IFERROR(__xludf.DUMMYFUNCTION("if(H443=""Must be Together"",iferror(join("", "",unique(filter({filter('Students (Vertical)'!O:O,'Students (Vertical)'!C:C=B443,'Students (Vertical)'!O:O&lt;&gt;"""");filter('Students (Vertical)'!O:O,'Students (Vertical)'!C:C=E443,'Students (Vertical)'!O:O&lt;&gt;"""&amp;""")},countifs({filter('Students (Vertical)'!O:O,'Students (Vertical)'!C:C=B443,'Students (Vertical)'!O:O&lt;&gt;"""");filter('Students (Vertical)'!O:O,'Students (Vertical)'!C:C=E443,'Students (Vertical)'!O:O&lt;&gt;"""")},{filter('Students (Vertical)'!O:O,'Students ("&amp;"Vertical)'!C:C=B443,'Students (Vertical)'!O:O&lt;&gt;"""");filter('Students (Vertical)'!O:O,'Students (Vertical)'!C:C=E443,'Students (Vertical)'!O:O&lt;&gt;"""")})&gt;1))),""No shared courses""),"""")"),"")</f>
        <v/>
      </c>
      <c r="J443" s="357" t="str">
        <f>IFERROR(__xludf.DUMMYFUNCTION("if(H443=""Can't be Together"",iferror(join("", "",unique(filter({filter('Students (Vertical)'!O:O,'Students (Vertical)'!C:C=B443,'Students (Vertical)'!O:O&lt;&gt;"""",'Students (Vertical)'!P:P&gt;1);filter('Students (Vertical)'!O:O,'Students (Vertical)'!C:C=E443,'"&amp;"Students (Vertical)'!O:O&lt;&gt;"""",'Students (Vertical)'!P:P&gt;1)},countifs({filter('Students (Vertical)'!O:O,'Students (Vertical)'!C:C=B443,'Students (Vertical)'!O:O&lt;&gt;"""",'Students (Vertical)'!P:P&gt;1);filter('Students (Vertical)'!O:O,'Students (Vertical)'!C:C="&amp;"E443,'Students (Vertical)'!O:O&lt;&gt;"""",'Students (Vertical)'!P:P&gt;1)},{filter('Students (Vertical)'!O:O,'Students (Vertical)'!C:C=B443,'Students (Vertical)'!O:O&lt;&gt;"""",'Students (Vertical)'!P:P&gt;1);filter('Students (Vertical)'!O:O,'Students (Vertical)'!C:C=E44"&amp;"3,'Students (Vertical)'!O:O&lt;&gt;"""",'Students (Vertical)'!P:P&gt;1)})&gt;1))),""""),"""")"),"")</f>
        <v/>
      </c>
      <c r="K443" s="358"/>
    </row>
    <row r="444">
      <c r="A444" s="300" t="s">
        <v>22</v>
      </c>
      <c r="C444" s="300" t="s">
        <v>22</v>
      </c>
      <c r="D444" s="300" t="s">
        <v>22</v>
      </c>
      <c r="F444" s="300" t="s">
        <v>22</v>
      </c>
      <c r="G444" s="300" t="s">
        <v>22</v>
      </c>
      <c r="I444" s="356" t="str">
        <f>IFERROR(__xludf.DUMMYFUNCTION("if(H444=""Must be Together"",iferror(join("", "",unique(filter({filter('Students (Vertical)'!O:O,'Students (Vertical)'!C:C=B444,'Students (Vertical)'!O:O&lt;&gt;"""");filter('Students (Vertical)'!O:O,'Students (Vertical)'!C:C=E444,'Students (Vertical)'!O:O&lt;&gt;"""&amp;""")},countifs({filter('Students (Vertical)'!O:O,'Students (Vertical)'!C:C=B444,'Students (Vertical)'!O:O&lt;&gt;"""");filter('Students (Vertical)'!O:O,'Students (Vertical)'!C:C=E444,'Students (Vertical)'!O:O&lt;&gt;"""")},{filter('Students (Vertical)'!O:O,'Students ("&amp;"Vertical)'!C:C=B444,'Students (Vertical)'!O:O&lt;&gt;"""");filter('Students (Vertical)'!O:O,'Students (Vertical)'!C:C=E444,'Students (Vertical)'!O:O&lt;&gt;"""")})&gt;1))),""No shared courses""),"""")"),"")</f>
        <v/>
      </c>
      <c r="J444" s="357" t="str">
        <f>IFERROR(__xludf.DUMMYFUNCTION("if(H444=""Can't be Together"",iferror(join("", "",unique(filter({filter('Students (Vertical)'!O:O,'Students (Vertical)'!C:C=B444,'Students (Vertical)'!O:O&lt;&gt;"""",'Students (Vertical)'!P:P&gt;1);filter('Students (Vertical)'!O:O,'Students (Vertical)'!C:C=E444,'"&amp;"Students (Vertical)'!O:O&lt;&gt;"""",'Students (Vertical)'!P:P&gt;1)},countifs({filter('Students (Vertical)'!O:O,'Students (Vertical)'!C:C=B444,'Students (Vertical)'!O:O&lt;&gt;"""",'Students (Vertical)'!P:P&gt;1);filter('Students (Vertical)'!O:O,'Students (Vertical)'!C:C="&amp;"E444,'Students (Vertical)'!O:O&lt;&gt;"""",'Students (Vertical)'!P:P&gt;1)},{filter('Students (Vertical)'!O:O,'Students (Vertical)'!C:C=B444,'Students (Vertical)'!O:O&lt;&gt;"""",'Students (Vertical)'!P:P&gt;1);filter('Students (Vertical)'!O:O,'Students (Vertical)'!C:C=E44"&amp;"4,'Students (Vertical)'!O:O&lt;&gt;"""",'Students (Vertical)'!P:P&gt;1)})&gt;1))),""""),"""")"),"")</f>
        <v/>
      </c>
      <c r="K444" s="358"/>
    </row>
    <row r="445">
      <c r="A445" s="300" t="s">
        <v>22</v>
      </c>
      <c r="C445" s="300" t="s">
        <v>22</v>
      </c>
      <c r="D445" s="300" t="s">
        <v>22</v>
      </c>
      <c r="F445" s="300" t="s">
        <v>22</v>
      </c>
      <c r="G445" s="300" t="s">
        <v>22</v>
      </c>
      <c r="I445" s="356" t="str">
        <f>IFERROR(__xludf.DUMMYFUNCTION("if(H445=""Must be Together"",iferror(join("", "",unique(filter({filter('Students (Vertical)'!O:O,'Students (Vertical)'!C:C=B445,'Students (Vertical)'!O:O&lt;&gt;"""");filter('Students (Vertical)'!O:O,'Students (Vertical)'!C:C=E445,'Students (Vertical)'!O:O&lt;&gt;"""&amp;""")},countifs({filter('Students (Vertical)'!O:O,'Students (Vertical)'!C:C=B445,'Students (Vertical)'!O:O&lt;&gt;"""");filter('Students (Vertical)'!O:O,'Students (Vertical)'!C:C=E445,'Students (Vertical)'!O:O&lt;&gt;"""")},{filter('Students (Vertical)'!O:O,'Students ("&amp;"Vertical)'!C:C=B445,'Students (Vertical)'!O:O&lt;&gt;"""");filter('Students (Vertical)'!O:O,'Students (Vertical)'!C:C=E445,'Students (Vertical)'!O:O&lt;&gt;"""")})&gt;1))),""No shared courses""),"""")"),"")</f>
        <v/>
      </c>
      <c r="J445" s="357" t="str">
        <f>IFERROR(__xludf.DUMMYFUNCTION("if(H445=""Can't be Together"",iferror(join("", "",unique(filter({filter('Students (Vertical)'!O:O,'Students (Vertical)'!C:C=B445,'Students (Vertical)'!O:O&lt;&gt;"""",'Students (Vertical)'!P:P&gt;1);filter('Students (Vertical)'!O:O,'Students (Vertical)'!C:C=E445,'"&amp;"Students (Vertical)'!O:O&lt;&gt;"""",'Students (Vertical)'!P:P&gt;1)},countifs({filter('Students (Vertical)'!O:O,'Students (Vertical)'!C:C=B445,'Students (Vertical)'!O:O&lt;&gt;"""",'Students (Vertical)'!P:P&gt;1);filter('Students (Vertical)'!O:O,'Students (Vertical)'!C:C="&amp;"E445,'Students (Vertical)'!O:O&lt;&gt;"""",'Students (Vertical)'!P:P&gt;1)},{filter('Students (Vertical)'!O:O,'Students (Vertical)'!C:C=B445,'Students (Vertical)'!O:O&lt;&gt;"""",'Students (Vertical)'!P:P&gt;1);filter('Students (Vertical)'!O:O,'Students (Vertical)'!C:C=E44"&amp;"5,'Students (Vertical)'!O:O&lt;&gt;"""",'Students (Vertical)'!P:P&gt;1)})&gt;1))),""""),"""")"),"")</f>
        <v/>
      </c>
      <c r="K445" s="358"/>
    </row>
    <row r="446">
      <c r="A446" s="300" t="s">
        <v>22</v>
      </c>
      <c r="C446" s="300" t="s">
        <v>22</v>
      </c>
      <c r="D446" s="300" t="s">
        <v>22</v>
      </c>
      <c r="F446" s="300" t="s">
        <v>22</v>
      </c>
      <c r="G446" s="300" t="s">
        <v>22</v>
      </c>
      <c r="I446" s="356" t="str">
        <f>IFERROR(__xludf.DUMMYFUNCTION("if(H446=""Must be Together"",iferror(join("", "",unique(filter({filter('Students (Vertical)'!O:O,'Students (Vertical)'!C:C=B446,'Students (Vertical)'!O:O&lt;&gt;"""");filter('Students (Vertical)'!O:O,'Students (Vertical)'!C:C=E446,'Students (Vertical)'!O:O&lt;&gt;"""&amp;""")},countifs({filter('Students (Vertical)'!O:O,'Students (Vertical)'!C:C=B446,'Students (Vertical)'!O:O&lt;&gt;"""");filter('Students (Vertical)'!O:O,'Students (Vertical)'!C:C=E446,'Students (Vertical)'!O:O&lt;&gt;"""")},{filter('Students (Vertical)'!O:O,'Students ("&amp;"Vertical)'!C:C=B446,'Students (Vertical)'!O:O&lt;&gt;"""");filter('Students (Vertical)'!O:O,'Students (Vertical)'!C:C=E446,'Students (Vertical)'!O:O&lt;&gt;"""")})&gt;1))),""No shared courses""),"""")"),"")</f>
        <v/>
      </c>
      <c r="J446" s="357" t="str">
        <f>IFERROR(__xludf.DUMMYFUNCTION("if(H446=""Can't be Together"",iferror(join("", "",unique(filter({filter('Students (Vertical)'!O:O,'Students (Vertical)'!C:C=B446,'Students (Vertical)'!O:O&lt;&gt;"""",'Students (Vertical)'!P:P&gt;1);filter('Students (Vertical)'!O:O,'Students (Vertical)'!C:C=E446,'"&amp;"Students (Vertical)'!O:O&lt;&gt;"""",'Students (Vertical)'!P:P&gt;1)},countifs({filter('Students (Vertical)'!O:O,'Students (Vertical)'!C:C=B446,'Students (Vertical)'!O:O&lt;&gt;"""",'Students (Vertical)'!P:P&gt;1);filter('Students (Vertical)'!O:O,'Students (Vertical)'!C:C="&amp;"E446,'Students (Vertical)'!O:O&lt;&gt;"""",'Students (Vertical)'!P:P&gt;1)},{filter('Students (Vertical)'!O:O,'Students (Vertical)'!C:C=B446,'Students (Vertical)'!O:O&lt;&gt;"""",'Students (Vertical)'!P:P&gt;1);filter('Students (Vertical)'!O:O,'Students (Vertical)'!C:C=E44"&amp;"6,'Students (Vertical)'!O:O&lt;&gt;"""",'Students (Vertical)'!P:P&gt;1)})&gt;1))),""""),"""")"),"")</f>
        <v/>
      </c>
      <c r="K446" s="358"/>
    </row>
    <row r="447">
      <c r="A447" s="300" t="s">
        <v>22</v>
      </c>
      <c r="C447" s="300" t="s">
        <v>22</v>
      </c>
      <c r="D447" s="300" t="s">
        <v>22</v>
      </c>
      <c r="F447" s="300" t="s">
        <v>22</v>
      </c>
      <c r="G447" s="300" t="s">
        <v>22</v>
      </c>
      <c r="I447" s="356" t="str">
        <f>IFERROR(__xludf.DUMMYFUNCTION("if(H447=""Must be Together"",iferror(join("", "",unique(filter({filter('Students (Vertical)'!O:O,'Students (Vertical)'!C:C=B447,'Students (Vertical)'!O:O&lt;&gt;"""");filter('Students (Vertical)'!O:O,'Students (Vertical)'!C:C=E447,'Students (Vertical)'!O:O&lt;&gt;"""&amp;""")},countifs({filter('Students (Vertical)'!O:O,'Students (Vertical)'!C:C=B447,'Students (Vertical)'!O:O&lt;&gt;"""");filter('Students (Vertical)'!O:O,'Students (Vertical)'!C:C=E447,'Students (Vertical)'!O:O&lt;&gt;"""")},{filter('Students (Vertical)'!O:O,'Students ("&amp;"Vertical)'!C:C=B447,'Students (Vertical)'!O:O&lt;&gt;"""");filter('Students (Vertical)'!O:O,'Students (Vertical)'!C:C=E447,'Students (Vertical)'!O:O&lt;&gt;"""")})&gt;1))),""No shared courses""),"""")"),"")</f>
        <v/>
      </c>
      <c r="J447" s="357" t="str">
        <f>IFERROR(__xludf.DUMMYFUNCTION("if(H447=""Can't be Together"",iferror(join("", "",unique(filter({filter('Students (Vertical)'!O:O,'Students (Vertical)'!C:C=B447,'Students (Vertical)'!O:O&lt;&gt;"""",'Students (Vertical)'!P:P&gt;1);filter('Students (Vertical)'!O:O,'Students (Vertical)'!C:C=E447,'"&amp;"Students (Vertical)'!O:O&lt;&gt;"""",'Students (Vertical)'!P:P&gt;1)},countifs({filter('Students (Vertical)'!O:O,'Students (Vertical)'!C:C=B447,'Students (Vertical)'!O:O&lt;&gt;"""",'Students (Vertical)'!P:P&gt;1);filter('Students (Vertical)'!O:O,'Students (Vertical)'!C:C="&amp;"E447,'Students (Vertical)'!O:O&lt;&gt;"""",'Students (Vertical)'!P:P&gt;1)},{filter('Students (Vertical)'!O:O,'Students (Vertical)'!C:C=B447,'Students (Vertical)'!O:O&lt;&gt;"""",'Students (Vertical)'!P:P&gt;1);filter('Students (Vertical)'!O:O,'Students (Vertical)'!C:C=E44"&amp;"7,'Students (Vertical)'!O:O&lt;&gt;"""",'Students (Vertical)'!P:P&gt;1)})&gt;1))),""""),"""")"),"")</f>
        <v/>
      </c>
      <c r="K447" s="358"/>
    </row>
    <row r="448">
      <c r="A448" s="300" t="s">
        <v>22</v>
      </c>
      <c r="C448" s="300" t="s">
        <v>22</v>
      </c>
      <c r="D448" s="300" t="s">
        <v>22</v>
      </c>
      <c r="F448" s="300" t="s">
        <v>22</v>
      </c>
      <c r="G448" s="300" t="s">
        <v>22</v>
      </c>
      <c r="I448" s="356" t="str">
        <f>IFERROR(__xludf.DUMMYFUNCTION("if(H448=""Must be Together"",iferror(join("", "",unique(filter({filter('Students (Vertical)'!O:O,'Students (Vertical)'!C:C=B448,'Students (Vertical)'!O:O&lt;&gt;"""");filter('Students (Vertical)'!O:O,'Students (Vertical)'!C:C=E448,'Students (Vertical)'!O:O&lt;&gt;"""&amp;""")},countifs({filter('Students (Vertical)'!O:O,'Students (Vertical)'!C:C=B448,'Students (Vertical)'!O:O&lt;&gt;"""");filter('Students (Vertical)'!O:O,'Students (Vertical)'!C:C=E448,'Students (Vertical)'!O:O&lt;&gt;"""")},{filter('Students (Vertical)'!O:O,'Students ("&amp;"Vertical)'!C:C=B448,'Students (Vertical)'!O:O&lt;&gt;"""");filter('Students (Vertical)'!O:O,'Students (Vertical)'!C:C=E448,'Students (Vertical)'!O:O&lt;&gt;"""")})&gt;1))),""No shared courses""),"""")"),"")</f>
        <v/>
      </c>
      <c r="J448" s="357" t="str">
        <f>IFERROR(__xludf.DUMMYFUNCTION("if(H448=""Can't be Together"",iferror(join("", "",unique(filter({filter('Students (Vertical)'!O:O,'Students (Vertical)'!C:C=B448,'Students (Vertical)'!O:O&lt;&gt;"""",'Students (Vertical)'!P:P&gt;1);filter('Students (Vertical)'!O:O,'Students (Vertical)'!C:C=E448,'"&amp;"Students (Vertical)'!O:O&lt;&gt;"""",'Students (Vertical)'!P:P&gt;1)},countifs({filter('Students (Vertical)'!O:O,'Students (Vertical)'!C:C=B448,'Students (Vertical)'!O:O&lt;&gt;"""",'Students (Vertical)'!P:P&gt;1);filter('Students (Vertical)'!O:O,'Students (Vertical)'!C:C="&amp;"E448,'Students (Vertical)'!O:O&lt;&gt;"""",'Students (Vertical)'!P:P&gt;1)},{filter('Students (Vertical)'!O:O,'Students (Vertical)'!C:C=B448,'Students (Vertical)'!O:O&lt;&gt;"""",'Students (Vertical)'!P:P&gt;1);filter('Students (Vertical)'!O:O,'Students (Vertical)'!C:C=E44"&amp;"8,'Students (Vertical)'!O:O&lt;&gt;"""",'Students (Vertical)'!P:P&gt;1)})&gt;1))),""""),"""")"),"")</f>
        <v/>
      </c>
      <c r="K448" s="358"/>
    </row>
    <row r="449">
      <c r="A449" s="300" t="s">
        <v>22</v>
      </c>
      <c r="C449" s="300" t="s">
        <v>22</v>
      </c>
      <c r="D449" s="300" t="s">
        <v>22</v>
      </c>
      <c r="F449" s="300" t="s">
        <v>22</v>
      </c>
      <c r="G449" s="300" t="s">
        <v>22</v>
      </c>
      <c r="I449" s="356" t="str">
        <f>IFERROR(__xludf.DUMMYFUNCTION("if(H449=""Must be Together"",iferror(join("", "",unique(filter({filter('Students (Vertical)'!O:O,'Students (Vertical)'!C:C=B449,'Students (Vertical)'!O:O&lt;&gt;"""");filter('Students (Vertical)'!O:O,'Students (Vertical)'!C:C=E449,'Students (Vertical)'!O:O&lt;&gt;"""&amp;""")},countifs({filter('Students (Vertical)'!O:O,'Students (Vertical)'!C:C=B449,'Students (Vertical)'!O:O&lt;&gt;"""");filter('Students (Vertical)'!O:O,'Students (Vertical)'!C:C=E449,'Students (Vertical)'!O:O&lt;&gt;"""")},{filter('Students (Vertical)'!O:O,'Students ("&amp;"Vertical)'!C:C=B449,'Students (Vertical)'!O:O&lt;&gt;"""");filter('Students (Vertical)'!O:O,'Students (Vertical)'!C:C=E449,'Students (Vertical)'!O:O&lt;&gt;"""")})&gt;1))),""No shared courses""),"""")"),"")</f>
        <v/>
      </c>
      <c r="J449" s="357" t="str">
        <f>IFERROR(__xludf.DUMMYFUNCTION("if(H449=""Can't be Together"",iferror(join("", "",unique(filter({filter('Students (Vertical)'!O:O,'Students (Vertical)'!C:C=B449,'Students (Vertical)'!O:O&lt;&gt;"""",'Students (Vertical)'!P:P&gt;1);filter('Students (Vertical)'!O:O,'Students (Vertical)'!C:C=E449,'"&amp;"Students (Vertical)'!O:O&lt;&gt;"""",'Students (Vertical)'!P:P&gt;1)},countifs({filter('Students (Vertical)'!O:O,'Students (Vertical)'!C:C=B449,'Students (Vertical)'!O:O&lt;&gt;"""",'Students (Vertical)'!P:P&gt;1);filter('Students (Vertical)'!O:O,'Students (Vertical)'!C:C="&amp;"E449,'Students (Vertical)'!O:O&lt;&gt;"""",'Students (Vertical)'!P:P&gt;1)},{filter('Students (Vertical)'!O:O,'Students (Vertical)'!C:C=B449,'Students (Vertical)'!O:O&lt;&gt;"""",'Students (Vertical)'!P:P&gt;1);filter('Students (Vertical)'!O:O,'Students (Vertical)'!C:C=E44"&amp;"9,'Students (Vertical)'!O:O&lt;&gt;"""",'Students (Vertical)'!P:P&gt;1)})&gt;1))),""""),"""")"),"")</f>
        <v/>
      </c>
      <c r="K449" s="358"/>
    </row>
    <row r="450">
      <c r="A450" s="300" t="s">
        <v>22</v>
      </c>
      <c r="C450" s="300" t="s">
        <v>22</v>
      </c>
      <c r="D450" s="300" t="s">
        <v>22</v>
      </c>
      <c r="F450" s="300" t="s">
        <v>22</v>
      </c>
      <c r="G450" s="300" t="s">
        <v>22</v>
      </c>
      <c r="I450" s="356" t="str">
        <f>IFERROR(__xludf.DUMMYFUNCTION("if(H450=""Must be Together"",iferror(join("", "",unique(filter({filter('Students (Vertical)'!O:O,'Students (Vertical)'!C:C=B450,'Students (Vertical)'!O:O&lt;&gt;"""");filter('Students (Vertical)'!O:O,'Students (Vertical)'!C:C=E450,'Students (Vertical)'!O:O&lt;&gt;"""&amp;""")},countifs({filter('Students (Vertical)'!O:O,'Students (Vertical)'!C:C=B450,'Students (Vertical)'!O:O&lt;&gt;"""");filter('Students (Vertical)'!O:O,'Students (Vertical)'!C:C=E450,'Students (Vertical)'!O:O&lt;&gt;"""")},{filter('Students (Vertical)'!O:O,'Students ("&amp;"Vertical)'!C:C=B450,'Students (Vertical)'!O:O&lt;&gt;"""");filter('Students (Vertical)'!O:O,'Students (Vertical)'!C:C=E450,'Students (Vertical)'!O:O&lt;&gt;"""")})&gt;1))),""No shared courses""),"""")"),"")</f>
        <v/>
      </c>
      <c r="J450" s="357" t="str">
        <f>IFERROR(__xludf.DUMMYFUNCTION("if(H450=""Can't be Together"",iferror(join("", "",unique(filter({filter('Students (Vertical)'!O:O,'Students (Vertical)'!C:C=B450,'Students (Vertical)'!O:O&lt;&gt;"""",'Students (Vertical)'!P:P&gt;1);filter('Students (Vertical)'!O:O,'Students (Vertical)'!C:C=E450,'"&amp;"Students (Vertical)'!O:O&lt;&gt;"""",'Students (Vertical)'!P:P&gt;1)},countifs({filter('Students (Vertical)'!O:O,'Students (Vertical)'!C:C=B450,'Students (Vertical)'!O:O&lt;&gt;"""",'Students (Vertical)'!P:P&gt;1);filter('Students (Vertical)'!O:O,'Students (Vertical)'!C:C="&amp;"E450,'Students (Vertical)'!O:O&lt;&gt;"""",'Students (Vertical)'!P:P&gt;1)},{filter('Students (Vertical)'!O:O,'Students (Vertical)'!C:C=B450,'Students (Vertical)'!O:O&lt;&gt;"""",'Students (Vertical)'!P:P&gt;1);filter('Students (Vertical)'!O:O,'Students (Vertical)'!C:C=E45"&amp;"0,'Students (Vertical)'!O:O&lt;&gt;"""",'Students (Vertical)'!P:P&gt;1)})&gt;1))),""""),"""")"),"")</f>
        <v/>
      </c>
      <c r="K450" s="358"/>
    </row>
    <row r="451">
      <c r="A451" s="300" t="s">
        <v>22</v>
      </c>
      <c r="C451" s="300" t="s">
        <v>22</v>
      </c>
      <c r="D451" s="300" t="s">
        <v>22</v>
      </c>
      <c r="F451" s="300" t="s">
        <v>22</v>
      </c>
      <c r="G451" s="300" t="s">
        <v>22</v>
      </c>
      <c r="I451" s="356" t="str">
        <f>IFERROR(__xludf.DUMMYFUNCTION("if(H451=""Must be Together"",iferror(join("", "",unique(filter({filter('Students (Vertical)'!O:O,'Students (Vertical)'!C:C=B451,'Students (Vertical)'!O:O&lt;&gt;"""");filter('Students (Vertical)'!O:O,'Students (Vertical)'!C:C=E451,'Students (Vertical)'!O:O&lt;&gt;"""&amp;""")},countifs({filter('Students (Vertical)'!O:O,'Students (Vertical)'!C:C=B451,'Students (Vertical)'!O:O&lt;&gt;"""");filter('Students (Vertical)'!O:O,'Students (Vertical)'!C:C=E451,'Students (Vertical)'!O:O&lt;&gt;"""")},{filter('Students (Vertical)'!O:O,'Students ("&amp;"Vertical)'!C:C=B451,'Students (Vertical)'!O:O&lt;&gt;"""");filter('Students (Vertical)'!O:O,'Students (Vertical)'!C:C=E451,'Students (Vertical)'!O:O&lt;&gt;"""")})&gt;1))),""No shared courses""),"""")"),"")</f>
        <v/>
      </c>
      <c r="J451" s="357" t="str">
        <f>IFERROR(__xludf.DUMMYFUNCTION("if(H451=""Can't be Together"",iferror(join("", "",unique(filter({filter('Students (Vertical)'!O:O,'Students (Vertical)'!C:C=B451,'Students (Vertical)'!O:O&lt;&gt;"""",'Students (Vertical)'!P:P&gt;1);filter('Students (Vertical)'!O:O,'Students (Vertical)'!C:C=E451,'"&amp;"Students (Vertical)'!O:O&lt;&gt;"""",'Students (Vertical)'!P:P&gt;1)},countifs({filter('Students (Vertical)'!O:O,'Students (Vertical)'!C:C=B451,'Students (Vertical)'!O:O&lt;&gt;"""",'Students (Vertical)'!P:P&gt;1);filter('Students (Vertical)'!O:O,'Students (Vertical)'!C:C="&amp;"E451,'Students (Vertical)'!O:O&lt;&gt;"""",'Students (Vertical)'!P:P&gt;1)},{filter('Students (Vertical)'!O:O,'Students (Vertical)'!C:C=B451,'Students (Vertical)'!O:O&lt;&gt;"""",'Students (Vertical)'!P:P&gt;1);filter('Students (Vertical)'!O:O,'Students (Vertical)'!C:C=E45"&amp;"1,'Students (Vertical)'!O:O&lt;&gt;"""",'Students (Vertical)'!P:P&gt;1)})&gt;1))),""""),"""")"),"")</f>
        <v/>
      </c>
      <c r="K451" s="358"/>
    </row>
    <row r="452">
      <c r="A452" s="300" t="s">
        <v>22</v>
      </c>
      <c r="C452" s="300" t="s">
        <v>22</v>
      </c>
      <c r="D452" s="300" t="s">
        <v>22</v>
      </c>
      <c r="F452" s="300" t="s">
        <v>22</v>
      </c>
      <c r="G452" s="300" t="s">
        <v>22</v>
      </c>
      <c r="I452" s="356" t="str">
        <f>IFERROR(__xludf.DUMMYFUNCTION("if(H452=""Must be Together"",iferror(join("", "",unique(filter({filter('Students (Vertical)'!O:O,'Students (Vertical)'!C:C=B452,'Students (Vertical)'!O:O&lt;&gt;"""");filter('Students (Vertical)'!O:O,'Students (Vertical)'!C:C=E452,'Students (Vertical)'!O:O&lt;&gt;"""&amp;""")},countifs({filter('Students (Vertical)'!O:O,'Students (Vertical)'!C:C=B452,'Students (Vertical)'!O:O&lt;&gt;"""");filter('Students (Vertical)'!O:O,'Students (Vertical)'!C:C=E452,'Students (Vertical)'!O:O&lt;&gt;"""")},{filter('Students (Vertical)'!O:O,'Students ("&amp;"Vertical)'!C:C=B452,'Students (Vertical)'!O:O&lt;&gt;"""");filter('Students (Vertical)'!O:O,'Students (Vertical)'!C:C=E452,'Students (Vertical)'!O:O&lt;&gt;"""")})&gt;1))),""No shared courses""),"""")"),"")</f>
        <v/>
      </c>
      <c r="J452" s="357" t="str">
        <f>IFERROR(__xludf.DUMMYFUNCTION("if(H452=""Can't be Together"",iferror(join("", "",unique(filter({filter('Students (Vertical)'!O:O,'Students (Vertical)'!C:C=B452,'Students (Vertical)'!O:O&lt;&gt;"""",'Students (Vertical)'!P:P&gt;1);filter('Students (Vertical)'!O:O,'Students (Vertical)'!C:C=E452,'"&amp;"Students (Vertical)'!O:O&lt;&gt;"""",'Students (Vertical)'!P:P&gt;1)},countifs({filter('Students (Vertical)'!O:O,'Students (Vertical)'!C:C=B452,'Students (Vertical)'!O:O&lt;&gt;"""",'Students (Vertical)'!P:P&gt;1);filter('Students (Vertical)'!O:O,'Students (Vertical)'!C:C="&amp;"E452,'Students (Vertical)'!O:O&lt;&gt;"""",'Students (Vertical)'!P:P&gt;1)},{filter('Students (Vertical)'!O:O,'Students (Vertical)'!C:C=B452,'Students (Vertical)'!O:O&lt;&gt;"""",'Students (Vertical)'!P:P&gt;1);filter('Students (Vertical)'!O:O,'Students (Vertical)'!C:C=E45"&amp;"2,'Students (Vertical)'!O:O&lt;&gt;"""",'Students (Vertical)'!P:P&gt;1)})&gt;1))),""""),"""")"),"")</f>
        <v/>
      </c>
      <c r="K452" s="358"/>
    </row>
    <row r="453">
      <c r="A453" s="300" t="s">
        <v>22</v>
      </c>
      <c r="C453" s="300" t="s">
        <v>22</v>
      </c>
      <c r="D453" s="300" t="s">
        <v>22</v>
      </c>
      <c r="F453" s="300" t="s">
        <v>22</v>
      </c>
      <c r="G453" s="300" t="s">
        <v>22</v>
      </c>
      <c r="I453" s="356" t="str">
        <f>IFERROR(__xludf.DUMMYFUNCTION("if(H453=""Must be Together"",iferror(join("", "",unique(filter({filter('Students (Vertical)'!O:O,'Students (Vertical)'!C:C=B453,'Students (Vertical)'!O:O&lt;&gt;"""");filter('Students (Vertical)'!O:O,'Students (Vertical)'!C:C=E453,'Students (Vertical)'!O:O&lt;&gt;"""&amp;""")},countifs({filter('Students (Vertical)'!O:O,'Students (Vertical)'!C:C=B453,'Students (Vertical)'!O:O&lt;&gt;"""");filter('Students (Vertical)'!O:O,'Students (Vertical)'!C:C=E453,'Students (Vertical)'!O:O&lt;&gt;"""")},{filter('Students (Vertical)'!O:O,'Students ("&amp;"Vertical)'!C:C=B453,'Students (Vertical)'!O:O&lt;&gt;"""");filter('Students (Vertical)'!O:O,'Students (Vertical)'!C:C=E453,'Students (Vertical)'!O:O&lt;&gt;"""")})&gt;1))),""No shared courses""),"""")"),"")</f>
        <v/>
      </c>
      <c r="J453" s="357" t="str">
        <f>IFERROR(__xludf.DUMMYFUNCTION("if(H453=""Can't be Together"",iferror(join("", "",unique(filter({filter('Students (Vertical)'!O:O,'Students (Vertical)'!C:C=B453,'Students (Vertical)'!O:O&lt;&gt;"""",'Students (Vertical)'!P:P&gt;1);filter('Students (Vertical)'!O:O,'Students (Vertical)'!C:C=E453,'"&amp;"Students (Vertical)'!O:O&lt;&gt;"""",'Students (Vertical)'!P:P&gt;1)},countifs({filter('Students (Vertical)'!O:O,'Students (Vertical)'!C:C=B453,'Students (Vertical)'!O:O&lt;&gt;"""",'Students (Vertical)'!P:P&gt;1);filter('Students (Vertical)'!O:O,'Students (Vertical)'!C:C="&amp;"E453,'Students (Vertical)'!O:O&lt;&gt;"""",'Students (Vertical)'!P:P&gt;1)},{filter('Students (Vertical)'!O:O,'Students (Vertical)'!C:C=B453,'Students (Vertical)'!O:O&lt;&gt;"""",'Students (Vertical)'!P:P&gt;1);filter('Students (Vertical)'!O:O,'Students (Vertical)'!C:C=E45"&amp;"3,'Students (Vertical)'!O:O&lt;&gt;"""",'Students (Vertical)'!P:P&gt;1)})&gt;1))),""""),"""")"),"")</f>
        <v/>
      </c>
      <c r="K453" s="358"/>
    </row>
    <row r="454">
      <c r="A454" s="300" t="s">
        <v>22</v>
      </c>
      <c r="C454" s="300" t="s">
        <v>22</v>
      </c>
      <c r="D454" s="300" t="s">
        <v>22</v>
      </c>
      <c r="F454" s="300" t="s">
        <v>22</v>
      </c>
      <c r="G454" s="300" t="s">
        <v>22</v>
      </c>
      <c r="I454" s="356" t="str">
        <f>IFERROR(__xludf.DUMMYFUNCTION("if(H454=""Must be Together"",iferror(join("", "",unique(filter({filter('Students (Vertical)'!O:O,'Students (Vertical)'!C:C=B454,'Students (Vertical)'!O:O&lt;&gt;"""");filter('Students (Vertical)'!O:O,'Students (Vertical)'!C:C=E454,'Students (Vertical)'!O:O&lt;&gt;"""&amp;""")},countifs({filter('Students (Vertical)'!O:O,'Students (Vertical)'!C:C=B454,'Students (Vertical)'!O:O&lt;&gt;"""");filter('Students (Vertical)'!O:O,'Students (Vertical)'!C:C=E454,'Students (Vertical)'!O:O&lt;&gt;"""")},{filter('Students (Vertical)'!O:O,'Students ("&amp;"Vertical)'!C:C=B454,'Students (Vertical)'!O:O&lt;&gt;"""");filter('Students (Vertical)'!O:O,'Students (Vertical)'!C:C=E454,'Students (Vertical)'!O:O&lt;&gt;"""")})&gt;1))),""No shared courses""),"""")"),"")</f>
        <v/>
      </c>
      <c r="J454" s="357" t="str">
        <f>IFERROR(__xludf.DUMMYFUNCTION("if(H454=""Can't be Together"",iferror(join("", "",unique(filter({filter('Students (Vertical)'!O:O,'Students (Vertical)'!C:C=B454,'Students (Vertical)'!O:O&lt;&gt;"""",'Students (Vertical)'!P:P&gt;1);filter('Students (Vertical)'!O:O,'Students (Vertical)'!C:C=E454,'"&amp;"Students (Vertical)'!O:O&lt;&gt;"""",'Students (Vertical)'!P:P&gt;1)},countifs({filter('Students (Vertical)'!O:O,'Students (Vertical)'!C:C=B454,'Students (Vertical)'!O:O&lt;&gt;"""",'Students (Vertical)'!P:P&gt;1);filter('Students (Vertical)'!O:O,'Students (Vertical)'!C:C="&amp;"E454,'Students (Vertical)'!O:O&lt;&gt;"""",'Students (Vertical)'!P:P&gt;1)},{filter('Students (Vertical)'!O:O,'Students (Vertical)'!C:C=B454,'Students (Vertical)'!O:O&lt;&gt;"""",'Students (Vertical)'!P:P&gt;1);filter('Students (Vertical)'!O:O,'Students (Vertical)'!C:C=E45"&amp;"4,'Students (Vertical)'!O:O&lt;&gt;"""",'Students (Vertical)'!P:P&gt;1)})&gt;1))),""""),"""")"),"")</f>
        <v/>
      </c>
      <c r="K454" s="358"/>
    </row>
    <row r="455">
      <c r="A455" s="300" t="s">
        <v>22</v>
      </c>
      <c r="C455" s="300" t="s">
        <v>22</v>
      </c>
      <c r="D455" s="300" t="s">
        <v>22</v>
      </c>
      <c r="F455" s="300" t="s">
        <v>22</v>
      </c>
      <c r="G455" s="300" t="s">
        <v>22</v>
      </c>
      <c r="I455" s="356" t="str">
        <f>IFERROR(__xludf.DUMMYFUNCTION("if(H455=""Must be Together"",iferror(join("", "",unique(filter({filter('Students (Vertical)'!O:O,'Students (Vertical)'!C:C=B455,'Students (Vertical)'!O:O&lt;&gt;"""");filter('Students (Vertical)'!O:O,'Students (Vertical)'!C:C=E455,'Students (Vertical)'!O:O&lt;&gt;"""&amp;""")},countifs({filter('Students (Vertical)'!O:O,'Students (Vertical)'!C:C=B455,'Students (Vertical)'!O:O&lt;&gt;"""");filter('Students (Vertical)'!O:O,'Students (Vertical)'!C:C=E455,'Students (Vertical)'!O:O&lt;&gt;"""")},{filter('Students (Vertical)'!O:O,'Students ("&amp;"Vertical)'!C:C=B455,'Students (Vertical)'!O:O&lt;&gt;"""");filter('Students (Vertical)'!O:O,'Students (Vertical)'!C:C=E455,'Students (Vertical)'!O:O&lt;&gt;"""")})&gt;1))),""No shared courses""),"""")"),"")</f>
        <v/>
      </c>
      <c r="J455" s="357" t="str">
        <f>IFERROR(__xludf.DUMMYFUNCTION("if(H455=""Can't be Together"",iferror(join("", "",unique(filter({filter('Students (Vertical)'!O:O,'Students (Vertical)'!C:C=B455,'Students (Vertical)'!O:O&lt;&gt;"""",'Students (Vertical)'!P:P&gt;1);filter('Students (Vertical)'!O:O,'Students (Vertical)'!C:C=E455,'"&amp;"Students (Vertical)'!O:O&lt;&gt;"""",'Students (Vertical)'!P:P&gt;1)},countifs({filter('Students (Vertical)'!O:O,'Students (Vertical)'!C:C=B455,'Students (Vertical)'!O:O&lt;&gt;"""",'Students (Vertical)'!P:P&gt;1);filter('Students (Vertical)'!O:O,'Students (Vertical)'!C:C="&amp;"E455,'Students (Vertical)'!O:O&lt;&gt;"""",'Students (Vertical)'!P:P&gt;1)},{filter('Students (Vertical)'!O:O,'Students (Vertical)'!C:C=B455,'Students (Vertical)'!O:O&lt;&gt;"""",'Students (Vertical)'!P:P&gt;1);filter('Students (Vertical)'!O:O,'Students (Vertical)'!C:C=E45"&amp;"5,'Students (Vertical)'!O:O&lt;&gt;"""",'Students (Vertical)'!P:P&gt;1)})&gt;1))),""""),"""")"),"")</f>
        <v/>
      </c>
      <c r="K455" s="358"/>
    </row>
    <row r="456">
      <c r="A456" s="300" t="s">
        <v>22</v>
      </c>
      <c r="C456" s="300" t="s">
        <v>22</v>
      </c>
      <c r="D456" s="300" t="s">
        <v>22</v>
      </c>
      <c r="F456" s="300" t="s">
        <v>22</v>
      </c>
      <c r="G456" s="300" t="s">
        <v>22</v>
      </c>
      <c r="I456" s="356" t="str">
        <f>IFERROR(__xludf.DUMMYFUNCTION("if(H456=""Must be Together"",iferror(join("", "",unique(filter({filter('Students (Vertical)'!O:O,'Students (Vertical)'!C:C=B456,'Students (Vertical)'!O:O&lt;&gt;"""");filter('Students (Vertical)'!O:O,'Students (Vertical)'!C:C=E456,'Students (Vertical)'!O:O&lt;&gt;"""&amp;""")},countifs({filter('Students (Vertical)'!O:O,'Students (Vertical)'!C:C=B456,'Students (Vertical)'!O:O&lt;&gt;"""");filter('Students (Vertical)'!O:O,'Students (Vertical)'!C:C=E456,'Students (Vertical)'!O:O&lt;&gt;"""")},{filter('Students (Vertical)'!O:O,'Students ("&amp;"Vertical)'!C:C=B456,'Students (Vertical)'!O:O&lt;&gt;"""");filter('Students (Vertical)'!O:O,'Students (Vertical)'!C:C=E456,'Students (Vertical)'!O:O&lt;&gt;"""")})&gt;1))),""No shared courses""),"""")"),"")</f>
        <v/>
      </c>
      <c r="J456" s="357" t="str">
        <f>IFERROR(__xludf.DUMMYFUNCTION("if(H456=""Can't be Together"",iferror(join("", "",unique(filter({filter('Students (Vertical)'!O:O,'Students (Vertical)'!C:C=B456,'Students (Vertical)'!O:O&lt;&gt;"""",'Students (Vertical)'!P:P&gt;1);filter('Students (Vertical)'!O:O,'Students (Vertical)'!C:C=E456,'"&amp;"Students (Vertical)'!O:O&lt;&gt;"""",'Students (Vertical)'!P:P&gt;1)},countifs({filter('Students (Vertical)'!O:O,'Students (Vertical)'!C:C=B456,'Students (Vertical)'!O:O&lt;&gt;"""",'Students (Vertical)'!P:P&gt;1);filter('Students (Vertical)'!O:O,'Students (Vertical)'!C:C="&amp;"E456,'Students (Vertical)'!O:O&lt;&gt;"""",'Students (Vertical)'!P:P&gt;1)},{filter('Students (Vertical)'!O:O,'Students (Vertical)'!C:C=B456,'Students (Vertical)'!O:O&lt;&gt;"""",'Students (Vertical)'!P:P&gt;1);filter('Students (Vertical)'!O:O,'Students (Vertical)'!C:C=E45"&amp;"6,'Students (Vertical)'!O:O&lt;&gt;"""",'Students (Vertical)'!P:P&gt;1)})&gt;1))),""""),"""")"),"")</f>
        <v/>
      </c>
      <c r="K456" s="358"/>
    </row>
    <row r="457">
      <c r="A457" s="300" t="s">
        <v>22</v>
      </c>
      <c r="C457" s="300" t="s">
        <v>22</v>
      </c>
      <c r="D457" s="300" t="s">
        <v>22</v>
      </c>
      <c r="F457" s="300" t="s">
        <v>22</v>
      </c>
      <c r="G457" s="300" t="s">
        <v>22</v>
      </c>
      <c r="I457" s="356" t="str">
        <f>IFERROR(__xludf.DUMMYFUNCTION("if(H457=""Must be Together"",iferror(join("", "",unique(filter({filter('Students (Vertical)'!O:O,'Students (Vertical)'!C:C=B457,'Students (Vertical)'!O:O&lt;&gt;"""");filter('Students (Vertical)'!O:O,'Students (Vertical)'!C:C=E457,'Students (Vertical)'!O:O&lt;&gt;"""&amp;""")},countifs({filter('Students (Vertical)'!O:O,'Students (Vertical)'!C:C=B457,'Students (Vertical)'!O:O&lt;&gt;"""");filter('Students (Vertical)'!O:O,'Students (Vertical)'!C:C=E457,'Students (Vertical)'!O:O&lt;&gt;"""")},{filter('Students (Vertical)'!O:O,'Students ("&amp;"Vertical)'!C:C=B457,'Students (Vertical)'!O:O&lt;&gt;"""");filter('Students (Vertical)'!O:O,'Students (Vertical)'!C:C=E457,'Students (Vertical)'!O:O&lt;&gt;"""")})&gt;1))),""No shared courses""),"""")"),"")</f>
        <v/>
      </c>
      <c r="J457" s="357" t="str">
        <f>IFERROR(__xludf.DUMMYFUNCTION("if(H457=""Can't be Together"",iferror(join("", "",unique(filter({filter('Students (Vertical)'!O:O,'Students (Vertical)'!C:C=B457,'Students (Vertical)'!O:O&lt;&gt;"""",'Students (Vertical)'!P:P&gt;1);filter('Students (Vertical)'!O:O,'Students (Vertical)'!C:C=E457,'"&amp;"Students (Vertical)'!O:O&lt;&gt;"""",'Students (Vertical)'!P:P&gt;1)},countifs({filter('Students (Vertical)'!O:O,'Students (Vertical)'!C:C=B457,'Students (Vertical)'!O:O&lt;&gt;"""",'Students (Vertical)'!P:P&gt;1);filter('Students (Vertical)'!O:O,'Students (Vertical)'!C:C="&amp;"E457,'Students (Vertical)'!O:O&lt;&gt;"""",'Students (Vertical)'!P:P&gt;1)},{filter('Students (Vertical)'!O:O,'Students (Vertical)'!C:C=B457,'Students (Vertical)'!O:O&lt;&gt;"""",'Students (Vertical)'!P:P&gt;1);filter('Students (Vertical)'!O:O,'Students (Vertical)'!C:C=E45"&amp;"7,'Students (Vertical)'!O:O&lt;&gt;"""",'Students (Vertical)'!P:P&gt;1)})&gt;1))),""""),"""")"),"")</f>
        <v/>
      </c>
      <c r="K457" s="358"/>
    </row>
    <row r="458">
      <c r="A458" s="300" t="s">
        <v>22</v>
      </c>
      <c r="C458" s="300" t="s">
        <v>22</v>
      </c>
      <c r="D458" s="300" t="s">
        <v>22</v>
      </c>
      <c r="F458" s="300" t="s">
        <v>22</v>
      </c>
      <c r="G458" s="300" t="s">
        <v>22</v>
      </c>
      <c r="I458" s="356" t="str">
        <f>IFERROR(__xludf.DUMMYFUNCTION("if(H458=""Must be Together"",iferror(join("", "",unique(filter({filter('Students (Vertical)'!O:O,'Students (Vertical)'!C:C=B458,'Students (Vertical)'!O:O&lt;&gt;"""");filter('Students (Vertical)'!O:O,'Students (Vertical)'!C:C=E458,'Students (Vertical)'!O:O&lt;&gt;"""&amp;""")},countifs({filter('Students (Vertical)'!O:O,'Students (Vertical)'!C:C=B458,'Students (Vertical)'!O:O&lt;&gt;"""");filter('Students (Vertical)'!O:O,'Students (Vertical)'!C:C=E458,'Students (Vertical)'!O:O&lt;&gt;"""")},{filter('Students (Vertical)'!O:O,'Students ("&amp;"Vertical)'!C:C=B458,'Students (Vertical)'!O:O&lt;&gt;"""");filter('Students (Vertical)'!O:O,'Students (Vertical)'!C:C=E458,'Students (Vertical)'!O:O&lt;&gt;"""")})&gt;1))),""No shared courses""),"""")"),"")</f>
        <v/>
      </c>
      <c r="J458" s="357" t="str">
        <f>IFERROR(__xludf.DUMMYFUNCTION("if(H458=""Can't be Together"",iferror(join("", "",unique(filter({filter('Students (Vertical)'!O:O,'Students (Vertical)'!C:C=B458,'Students (Vertical)'!O:O&lt;&gt;"""",'Students (Vertical)'!P:P&gt;1);filter('Students (Vertical)'!O:O,'Students (Vertical)'!C:C=E458,'"&amp;"Students (Vertical)'!O:O&lt;&gt;"""",'Students (Vertical)'!P:P&gt;1)},countifs({filter('Students (Vertical)'!O:O,'Students (Vertical)'!C:C=B458,'Students (Vertical)'!O:O&lt;&gt;"""",'Students (Vertical)'!P:P&gt;1);filter('Students (Vertical)'!O:O,'Students (Vertical)'!C:C="&amp;"E458,'Students (Vertical)'!O:O&lt;&gt;"""",'Students (Vertical)'!P:P&gt;1)},{filter('Students (Vertical)'!O:O,'Students (Vertical)'!C:C=B458,'Students (Vertical)'!O:O&lt;&gt;"""",'Students (Vertical)'!P:P&gt;1);filter('Students (Vertical)'!O:O,'Students (Vertical)'!C:C=E45"&amp;"8,'Students (Vertical)'!O:O&lt;&gt;"""",'Students (Vertical)'!P:P&gt;1)})&gt;1))),""""),"""")"),"")</f>
        <v/>
      </c>
      <c r="K458" s="358"/>
    </row>
    <row r="459">
      <c r="A459" s="300" t="s">
        <v>22</v>
      </c>
      <c r="C459" s="300" t="s">
        <v>22</v>
      </c>
      <c r="D459" s="300" t="s">
        <v>22</v>
      </c>
      <c r="F459" s="300" t="s">
        <v>22</v>
      </c>
      <c r="G459" s="300" t="s">
        <v>22</v>
      </c>
      <c r="I459" s="356" t="str">
        <f>IFERROR(__xludf.DUMMYFUNCTION("if(H459=""Must be Together"",iferror(join("", "",unique(filter({filter('Students (Vertical)'!O:O,'Students (Vertical)'!C:C=B459,'Students (Vertical)'!O:O&lt;&gt;"""");filter('Students (Vertical)'!O:O,'Students (Vertical)'!C:C=E459,'Students (Vertical)'!O:O&lt;&gt;"""&amp;""")},countifs({filter('Students (Vertical)'!O:O,'Students (Vertical)'!C:C=B459,'Students (Vertical)'!O:O&lt;&gt;"""");filter('Students (Vertical)'!O:O,'Students (Vertical)'!C:C=E459,'Students (Vertical)'!O:O&lt;&gt;"""")},{filter('Students (Vertical)'!O:O,'Students ("&amp;"Vertical)'!C:C=B459,'Students (Vertical)'!O:O&lt;&gt;"""");filter('Students (Vertical)'!O:O,'Students (Vertical)'!C:C=E459,'Students (Vertical)'!O:O&lt;&gt;"""")})&gt;1))),""No shared courses""),"""")"),"")</f>
        <v/>
      </c>
      <c r="J459" s="357" t="str">
        <f>IFERROR(__xludf.DUMMYFUNCTION("if(H459=""Can't be Together"",iferror(join("", "",unique(filter({filter('Students (Vertical)'!O:O,'Students (Vertical)'!C:C=B459,'Students (Vertical)'!O:O&lt;&gt;"""",'Students (Vertical)'!P:P&gt;1);filter('Students (Vertical)'!O:O,'Students (Vertical)'!C:C=E459,'"&amp;"Students (Vertical)'!O:O&lt;&gt;"""",'Students (Vertical)'!P:P&gt;1)},countifs({filter('Students (Vertical)'!O:O,'Students (Vertical)'!C:C=B459,'Students (Vertical)'!O:O&lt;&gt;"""",'Students (Vertical)'!P:P&gt;1);filter('Students (Vertical)'!O:O,'Students (Vertical)'!C:C="&amp;"E459,'Students (Vertical)'!O:O&lt;&gt;"""",'Students (Vertical)'!P:P&gt;1)},{filter('Students (Vertical)'!O:O,'Students (Vertical)'!C:C=B459,'Students (Vertical)'!O:O&lt;&gt;"""",'Students (Vertical)'!P:P&gt;1);filter('Students (Vertical)'!O:O,'Students (Vertical)'!C:C=E45"&amp;"9,'Students (Vertical)'!O:O&lt;&gt;"""",'Students (Vertical)'!P:P&gt;1)})&gt;1))),""""),"""")"),"")</f>
        <v/>
      </c>
      <c r="K459" s="358"/>
    </row>
    <row r="460">
      <c r="A460" s="300" t="s">
        <v>22</v>
      </c>
      <c r="C460" s="300" t="s">
        <v>22</v>
      </c>
      <c r="D460" s="300" t="s">
        <v>22</v>
      </c>
      <c r="F460" s="300" t="s">
        <v>22</v>
      </c>
      <c r="G460" s="300" t="s">
        <v>22</v>
      </c>
      <c r="I460" s="356" t="str">
        <f>IFERROR(__xludf.DUMMYFUNCTION("if(H460=""Must be Together"",iferror(join("", "",unique(filter({filter('Students (Vertical)'!O:O,'Students (Vertical)'!C:C=B460,'Students (Vertical)'!O:O&lt;&gt;"""");filter('Students (Vertical)'!O:O,'Students (Vertical)'!C:C=E460,'Students (Vertical)'!O:O&lt;&gt;"""&amp;""")},countifs({filter('Students (Vertical)'!O:O,'Students (Vertical)'!C:C=B460,'Students (Vertical)'!O:O&lt;&gt;"""");filter('Students (Vertical)'!O:O,'Students (Vertical)'!C:C=E460,'Students (Vertical)'!O:O&lt;&gt;"""")},{filter('Students (Vertical)'!O:O,'Students ("&amp;"Vertical)'!C:C=B460,'Students (Vertical)'!O:O&lt;&gt;"""");filter('Students (Vertical)'!O:O,'Students (Vertical)'!C:C=E460,'Students (Vertical)'!O:O&lt;&gt;"""")})&gt;1))),""No shared courses""),"""")"),"")</f>
        <v/>
      </c>
      <c r="J460" s="357" t="str">
        <f>IFERROR(__xludf.DUMMYFUNCTION("if(H460=""Can't be Together"",iferror(join("", "",unique(filter({filter('Students (Vertical)'!O:O,'Students (Vertical)'!C:C=B460,'Students (Vertical)'!O:O&lt;&gt;"""",'Students (Vertical)'!P:P&gt;1);filter('Students (Vertical)'!O:O,'Students (Vertical)'!C:C=E460,'"&amp;"Students (Vertical)'!O:O&lt;&gt;"""",'Students (Vertical)'!P:P&gt;1)},countifs({filter('Students (Vertical)'!O:O,'Students (Vertical)'!C:C=B460,'Students (Vertical)'!O:O&lt;&gt;"""",'Students (Vertical)'!P:P&gt;1);filter('Students (Vertical)'!O:O,'Students (Vertical)'!C:C="&amp;"E460,'Students (Vertical)'!O:O&lt;&gt;"""",'Students (Vertical)'!P:P&gt;1)},{filter('Students (Vertical)'!O:O,'Students (Vertical)'!C:C=B460,'Students (Vertical)'!O:O&lt;&gt;"""",'Students (Vertical)'!P:P&gt;1);filter('Students (Vertical)'!O:O,'Students (Vertical)'!C:C=E46"&amp;"0,'Students (Vertical)'!O:O&lt;&gt;"""",'Students (Vertical)'!P:P&gt;1)})&gt;1))),""""),"""")"),"")</f>
        <v/>
      </c>
      <c r="K460" s="358"/>
    </row>
    <row r="461">
      <c r="A461" s="300" t="s">
        <v>22</v>
      </c>
      <c r="C461" s="300" t="s">
        <v>22</v>
      </c>
      <c r="D461" s="300" t="s">
        <v>22</v>
      </c>
      <c r="F461" s="300" t="s">
        <v>22</v>
      </c>
      <c r="G461" s="300" t="s">
        <v>22</v>
      </c>
      <c r="I461" s="356" t="str">
        <f>IFERROR(__xludf.DUMMYFUNCTION("if(H461=""Must be Together"",iferror(join("", "",unique(filter({filter('Students (Vertical)'!O:O,'Students (Vertical)'!C:C=B461,'Students (Vertical)'!O:O&lt;&gt;"""");filter('Students (Vertical)'!O:O,'Students (Vertical)'!C:C=E461,'Students (Vertical)'!O:O&lt;&gt;"""&amp;""")},countifs({filter('Students (Vertical)'!O:O,'Students (Vertical)'!C:C=B461,'Students (Vertical)'!O:O&lt;&gt;"""");filter('Students (Vertical)'!O:O,'Students (Vertical)'!C:C=E461,'Students (Vertical)'!O:O&lt;&gt;"""")},{filter('Students (Vertical)'!O:O,'Students ("&amp;"Vertical)'!C:C=B461,'Students (Vertical)'!O:O&lt;&gt;"""");filter('Students (Vertical)'!O:O,'Students (Vertical)'!C:C=E461,'Students (Vertical)'!O:O&lt;&gt;"""")})&gt;1))),""No shared courses""),"""")"),"")</f>
        <v/>
      </c>
      <c r="J461" s="357" t="str">
        <f>IFERROR(__xludf.DUMMYFUNCTION("if(H461=""Can't be Together"",iferror(join("", "",unique(filter({filter('Students (Vertical)'!O:O,'Students (Vertical)'!C:C=B461,'Students (Vertical)'!O:O&lt;&gt;"""",'Students (Vertical)'!P:P&gt;1);filter('Students (Vertical)'!O:O,'Students (Vertical)'!C:C=E461,'"&amp;"Students (Vertical)'!O:O&lt;&gt;"""",'Students (Vertical)'!P:P&gt;1)},countifs({filter('Students (Vertical)'!O:O,'Students (Vertical)'!C:C=B461,'Students (Vertical)'!O:O&lt;&gt;"""",'Students (Vertical)'!P:P&gt;1);filter('Students (Vertical)'!O:O,'Students (Vertical)'!C:C="&amp;"E461,'Students (Vertical)'!O:O&lt;&gt;"""",'Students (Vertical)'!P:P&gt;1)},{filter('Students (Vertical)'!O:O,'Students (Vertical)'!C:C=B461,'Students (Vertical)'!O:O&lt;&gt;"""",'Students (Vertical)'!P:P&gt;1);filter('Students (Vertical)'!O:O,'Students (Vertical)'!C:C=E46"&amp;"1,'Students (Vertical)'!O:O&lt;&gt;"""",'Students (Vertical)'!P:P&gt;1)})&gt;1))),""""),"""")"),"")</f>
        <v/>
      </c>
      <c r="K461" s="358"/>
    </row>
    <row r="462">
      <c r="A462" s="300" t="s">
        <v>22</v>
      </c>
      <c r="C462" s="300" t="s">
        <v>22</v>
      </c>
      <c r="D462" s="300" t="s">
        <v>22</v>
      </c>
      <c r="F462" s="300" t="s">
        <v>22</v>
      </c>
      <c r="G462" s="300" t="s">
        <v>22</v>
      </c>
      <c r="I462" s="356" t="str">
        <f>IFERROR(__xludf.DUMMYFUNCTION("if(H462=""Must be Together"",iferror(join("", "",unique(filter({filter('Students (Vertical)'!O:O,'Students (Vertical)'!C:C=B462,'Students (Vertical)'!O:O&lt;&gt;"""");filter('Students (Vertical)'!O:O,'Students (Vertical)'!C:C=E462,'Students (Vertical)'!O:O&lt;&gt;"""&amp;""")},countifs({filter('Students (Vertical)'!O:O,'Students (Vertical)'!C:C=B462,'Students (Vertical)'!O:O&lt;&gt;"""");filter('Students (Vertical)'!O:O,'Students (Vertical)'!C:C=E462,'Students (Vertical)'!O:O&lt;&gt;"""")},{filter('Students (Vertical)'!O:O,'Students ("&amp;"Vertical)'!C:C=B462,'Students (Vertical)'!O:O&lt;&gt;"""");filter('Students (Vertical)'!O:O,'Students (Vertical)'!C:C=E462,'Students (Vertical)'!O:O&lt;&gt;"""")})&gt;1))),""No shared courses""),"""")"),"")</f>
        <v/>
      </c>
      <c r="J462" s="357" t="str">
        <f>IFERROR(__xludf.DUMMYFUNCTION("if(H462=""Can't be Together"",iferror(join("", "",unique(filter({filter('Students (Vertical)'!O:O,'Students (Vertical)'!C:C=B462,'Students (Vertical)'!O:O&lt;&gt;"""",'Students (Vertical)'!P:P&gt;1);filter('Students (Vertical)'!O:O,'Students (Vertical)'!C:C=E462,'"&amp;"Students (Vertical)'!O:O&lt;&gt;"""",'Students (Vertical)'!P:P&gt;1)},countifs({filter('Students (Vertical)'!O:O,'Students (Vertical)'!C:C=B462,'Students (Vertical)'!O:O&lt;&gt;"""",'Students (Vertical)'!P:P&gt;1);filter('Students (Vertical)'!O:O,'Students (Vertical)'!C:C="&amp;"E462,'Students (Vertical)'!O:O&lt;&gt;"""",'Students (Vertical)'!P:P&gt;1)},{filter('Students (Vertical)'!O:O,'Students (Vertical)'!C:C=B462,'Students (Vertical)'!O:O&lt;&gt;"""",'Students (Vertical)'!P:P&gt;1);filter('Students (Vertical)'!O:O,'Students (Vertical)'!C:C=E46"&amp;"2,'Students (Vertical)'!O:O&lt;&gt;"""",'Students (Vertical)'!P:P&gt;1)})&gt;1))),""""),"""")"),"")</f>
        <v/>
      </c>
      <c r="K462" s="358"/>
    </row>
    <row r="463">
      <c r="A463" s="300" t="s">
        <v>22</v>
      </c>
      <c r="C463" s="300" t="s">
        <v>22</v>
      </c>
      <c r="D463" s="300" t="s">
        <v>22</v>
      </c>
      <c r="F463" s="300" t="s">
        <v>22</v>
      </c>
      <c r="G463" s="300" t="s">
        <v>22</v>
      </c>
      <c r="I463" s="356" t="str">
        <f>IFERROR(__xludf.DUMMYFUNCTION("if(H463=""Must be Together"",iferror(join("", "",unique(filter({filter('Students (Vertical)'!O:O,'Students (Vertical)'!C:C=B463,'Students (Vertical)'!O:O&lt;&gt;"""");filter('Students (Vertical)'!O:O,'Students (Vertical)'!C:C=E463,'Students (Vertical)'!O:O&lt;&gt;"""&amp;""")},countifs({filter('Students (Vertical)'!O:O,'Students (Vertical)'!C:C=B463,'Students (Vertical)'!O:O&lt;&gt;"""");filter('Students (Vertical)'!O:O,'Students (Vertical)'!C:C=E463,'Students (Vertical)'!O:O&lt;&gt;"""")},{filter('Students (Vertical)'!O:O,'Students ("&amp;"Vertical)'!C:C=B463,'Students (Vertical)'!O:O&lt;&gt;"""");filter('Students (Vertical)'!O:O,'Students (Vertical)'!C:C=E463,'Students (Vertical)'!O:O&lt;&gt;"""")})&gt;1))),""No shared courses""),"""")"),"")</f>
        <v/>
      </c>
      <c r="J463" s="357" t="str">
        <f>IFERROR(__xludf.DUMMYFUNCTION("if(H463=""Can't be Together"",iferror(join("", "",unique(filter({filter('Students (Vertical)'!O:O,'Students (Vertical)'!C:C=B463,'Students (Vertical)'!O:O&lt;&gt;"""",'Students (Vertical)'!P:P&gt;1);filter('Students (Vertical)'!O:O,'Students (Vertical)'!C:C=E463,'"&amp;"Students (Vertical)'!O:O&lt;&gt;"""",'Students (Vertical)'!P:P&gt;1)},countifs({filter('Students (Vertical)'!O:O,'Students (Vertical)'!C:C=B463,'Students (Vertical)'!O:O&lt;&gt;"""",'Students (Vertical)'!P:P&gt;1);filter('Students (Vertical)'!O:O,'Students (Vertical)'!C:C="&amp;"E463,'Students (Vertical)'!O:O&lt;&gt;"""",'Students (Vertical)'!P:P&gt;1)},{filter('Students (Vertical)'!O:O,'Students (Vertical)'!C:C=B463,'Students (Vertical)'!O:O&lt;&gt;"""",'Students (Vertical)'!P:P&gt;1);filter('Students (Vertical)'!O:O,'Students (Vertical)'!C:C=E46"&amp;"3,'Students (Vertical)'!O:O&lt;&gt;"""",'Students (Vertical)'!P:P&gt;1)})&gt;1))),""""),"""")"),"")</f>
        <v/>
      </c>
      <c r="K463" s="358"/>
    </row>
    <row r="464">
      <c r="A464" s="300" t="s">
        <v>22</v>
      </c>
      <c r="C464" s="300" t="s">
        <v>22</v>
      </c>
      <c r="D464" s="300" t="s">
        <v>22</v>
      </c>
      <c r="F464" s="300" t="s">
        <v>22</v>
      </c>
      <c r="G464" s="300" t="s">
        <v>22</v>
      </c>
      <c r="I464" s="356" t="str">
        <f>IFERROR(__xludf.DUMMYFUNCTION("if(H464=""Must be Together"",iferror(join("", "",unique(filter({filter('Students (Vertical)'!O:O,'Students (Vertical)'!C:C=B464,'Students (Vertical)'!O:O&lt;&gt;"""");filter('Students (Vertical)'!O:O,'Students (Vertical)'!C:C=E464,'Students (Vertical)'!O:O&lt;&gt;"""&amp;""")},countifs({filter('Students (Vertical)'!O:O,'Students (Vertical)'!C:C=B464,'Students (Vertical)'!O:O&lt;&gt;"""");filter('Students (Vertical)'!O:O,'Students (Vertical)'!C:C=E464,'Students (Vertical)'!O:O&lt;&gt;"""")},{filter('Students (Vertical)'!O:O,'Students ("&amp;"Vertical)'!C:C=B464,'Students (Vertical)'!O:O&lt;&gt;"""");filter('Students (Vertical)'!O:O,'Students (Vertical)'!C:C=E464,'Students (Vertical)'!O:O&lt;&gt;"""")})&gt;1))),""No shared courses""),"""")"),"")</f>
        <v/>
      </c>
      <c r="J464" s="357" t="str">
        <f>IFERROR(__xludf.DUMMYFUNCTION("if(H464=""Can't be Together"",iferror(join("", "",unique(filter({filter('Students (Vertical)'!O:O,'Students (Vertical)'!C:C=B464,'Students (Vertical)'!O:O&lt;&gt;"""",'Students (Vertical)'!P:P&gt;1);filter('Students (Vertical)'!O:O,'Students (Vertical)'!C:C=E464,'"&amp;"Students (Vertical)'!O:O&lt;&gt;"""",'Students (Vertical)'!P:P&gt;1)},countifs({filter('Students (Vertical)'!O:O,'Students (Vertical)'!C:C=B464,'Students (Vertical)'!O:O&lt;&gt;"""",'Students (Vertical)'!P:P&gt;1);filter('Students (Vertical)'!O:O,'Students (Vertical)'!C:C="&amp;"E464,'Students (Vertical)'!O:O&lt;&gt;"""",'Students (Vertical)'!P:P&gt;1)},{filter('Students (Vertical)'!O:O,'Students (Vertical)'!C:C=B464,'Students (Vertical)'!O:O&lt;&gt;"""",'Students (Vertical)'!P:P&gt;1);filter('Students (Vertical)'!O:O,'Students (Vertical)'!C:C=E46"&amp;"4,'Students (Vertical)'!O:O&lt;&gt;"""",'Students (Vertical)'!P:P&gt;1)})&gt;1))),""""),"""")"),"")</f>
        <v/>
      </c>
      <c r="K464" s="358"/>
    </row>
    <row r="465">
      <c r="A465" s="300" t="s">
        <v>22</v>
      </c>
      <c r="C465" s="300" t="s">
        <v>22</v>
      </c>
      <c r="D465" s="300" t="s">
        <v>22</v>
      </c>
      <c r="F465" s="300" t="s">
        <v>22</v>
      </c>
      <c r="G465" s="300" t="s">
        <v>22</v>
      </c>
      <c r="I465" s="356" t="str">
        <f>IFERROR(__xludf.DUMMYFUNCTION("if(H465=""Must be Together"",iferror(join("", "",unique(filter({filter('Students (Vertical)'!O:O,'Students (Vertical)'!C:C=B465,'Students (Vertical)'!O:O&lt;&gt;"""");filter('Students (Vertical)'!O:O,'Students (Vertical)'!C:C=E465,'Students (Vertical)'!O:O&lt;&gt;"""&amp;""")},countifs({filter('Students (Vertical)'!O:O,'Students (Vertical)'!C:C=B465,'Students (Vertical)'!O:O&lt;&gt;"""");filter('Students (Vertical)'!O:O,'Students (Vertical)'!C:C=E465,'Students (Vertical)'!O:O&lt;&gt;"""")},{filter('Students (Vertical)'!O:O,'Students ("&amp;"Vertical)'!C:C=B465,'Students (Vertical)'!O:O&lt;&gt;"""");filter('Students (Vertical)'!O:O,'Students (Vertical)'!C:C=E465,'Students (Vertical)'!O:O&lt;&gt;"""")})&gt;1))),""No shared courses""),"""")"),"")</f>
        <v/>
      </c>
      <c r="J465" s="357" t="str">
        <f>IFERROR(__xludf.DUMMYFUNCTION("if(H465=""Can't be Together"",iferror(join("", "",unique(filter({filter('Students (Vertical)'!O:O,'Students (Vertical)'!C:C=B465,'Students (Vertical)'!O:O&lt;&gt;"""",'Students (Vertical)'!P:P&gt;1);filter('Students (Vertical)'!O:O,'Students (Vertical)'!C:C=E465,'"&amp;"Students (Vertical)'!O:O&lt;&gt;"""",'Students (Vertical)'!P:P&gt;1)},countifs({filter('Students (Vertical)'!O:O,'Students (Vertical)'!C:C=B465,'Students (Vertical)'!O:O&lt;&gt;"""",'Students (Vertical)'!P:P&gt;1);filter('Students (Vertical)'!O:O,'Students (Vertical)'!C:C="&amp;"E465,'Students (Vertical)'!O:O&lt;&gt;"""",'Students (Vertical)'!P:P&gt;1)},{filter('Students (Vertical)'!O:O,'Students (Vertical)'!C:C=B465,'Students (Vertical)'!O:O&lt;&gt;"""",'Students (Vertical)'!P:P&gt;1);filter('Students (Vertical)'!O:O,'Students (Vertical)'!C:C=E46"&amp;"5,'Students (Vertical)'!O:O&lt;&gt;"""",'Students (Vertical)'!P:P&gt;1)})&gt;1))),""""),"""")"),"")</f>
        <v/>
      </c>
      <c r="K465" s="358"/>
    </row>
    <row r="466">
      <c r="A466" s="300" t="s">
        <v>22</v>
      </c>
      <c r="C466" s="300" t="s">
        <v>22</v>
      </c>
      <c r="D466" s="300" t="s">
        <v>22</v>
      </c>
      <c r="F466" s="300" t="s">
        <v>22</v>
      </c>
      <c r="G466" s="300" t="s">
        <v>22</v>
      </c>
      <c r="I466" s="356" t="str">
        <f>IFERROR(__xludf.DUMMYFUNCTION("if(H466=""Must be Together"",iferror(join("", "",unique(filter({filter('Students (Vertical)'!O:O,'Students (Vertical)'!C:C=B466,'Students (Vertical)'!O:O&lt;&gt;"""");filter('Students (Vertical)'!O:O,'Students (Vertical)'!C:C=E466,'Students (Vertical)'!O:O&lt;&gt;"""&amp;""")},countifs({filter('Students (Vertical)'!O:O,'Students (Vertical)'!C:C=B466,'Students (Vertical)'!O:O&lt;&gt;"""");filter('Students (Vertical)'!O:O,'Students (Vertical)'!C:C=E466,'Students (Vertical)'!O:O&lt;&gt;"""")},{filter('Students (Vertical)'!O:O,'Students ("&amp;"Vertical)'!C:C=B466,'Students (Vertical)'!O:O&lt;&gt;"""");filter('Students (Vertical)'!O:O,'Students (Vertical)'!C:C=E466,'Students (Vertical)'!O:O&lt;&gt;"""")})&gt;1))),""No shared courses""),"""")"),"")</f>
        <v/>
      </c>
      <c r="J466" s="357" t="str">
        <f>IFERROR(__xludf.DUMMYFUNCTION("if(H466=""Can't be Together"",iferror(join("", "",unique(filter({filter('Students (Vertical)'!O:O,'Students (Vertical)'!C:C=B466,'Students (Vertical)'!O:O&lt;&gt;"""",'Students (Vertical)'!P:P&gt;1);filter('Students (Vertical)'!O:O,'Students (Vertical)'!C:C=E466,'"&amp;"Students (Vertical)'!O:O&lt;&gt;"""",'Students (Vertical)'!P:P&gt;1)},countifs({filter('Students (Vertical)'!O:O,'Students (Vertical)'!C:C=B466,'Students (Vertical)'!O:O&lt;&gt;"""",'Students (Vertical)'!P:P&gt;1);filter('Students (Vertical)'!O:O,'Students (Vertical)'!C:C="&amp;"E466,'Students (Vertical)'!O:O&lt;&gt;"""",'Students (Vertical)'!P:P&gt;1)},{filter('Students (Vertical)'!O:O,'Students (Vertical)'!C:C=B466,'Students (Vertical)'!O:O&lt;&gt;"""",'Students (Vertical)'!P:P&gt;1);filter('Students (Vertical)'!O:O,'Students (Vertical)'!C:C=E46"&amp;"6,'Students (Vertical)'!O:O&lt;&gt;"""",'Students (Vertical)'!P:P&gt;1)})&gt;1))),""""),"""")"),"")</f>
        <v/>
      </c>
      <c r="K466" s="358"/>
    </row>
    <row r="467">
      <c r="A467" s="300" t="s">
        <v>22</v>
      </c>
      <c r="C467" s="300" t="s">
        <v>22</v>
      </c>
      <c r="D467" s="300" t="s">
        <v>22</v>
      </c>
      <c r="F467" s="300" t="s">
        <v>22</v>
      </c>
      <c r="G467" s="300" t="s">
        <v>22</v>
      </c>
      <c r="I467" s="356" t="str">
        <f>IFERROR(__xludf.DUMMYFUNCTION("if(H467=""Must be Together"",iferror(join("", "",unique(filter({filter('Students (Vertical)'!O:O,'Students (Vertical)'!C:C=B467,'Students (Vertical)'!O:O&lt;&gt;"""");filter('Students (Vertical)'!O:O,'Students (Vertical)'!C:C=E467,'Students (Vertical)'!O:O&lt;&gt;"""&amp;""")},countifs({filter('Students (Vertical)'!O:O,'Students (Vertical)'!C:C=B467,'Students (Vertical)'!O:O&lt;&gt;"""");filter('Students (Vertical)'!O:O,'Students (Vertical)'!C:C=E467,'Students (Vertical)'!O:O&lt;&gt;"""")},{filter('Students (Vertical)'!O:O,'Students ("&amp;"Vertical)'!C:C=B467,'Students (Vertical)'!O:O&lt;&gt;"""");filter('Students (Vertical)'!O:O,'Students (Vertical)'!C:C=E467,'Students (Vertical)'!O:O&lt;&gt;"""")})&gt;1))),""No shared courses""),"""")"),"")</f>
        <v/>
      </c>
      <c r="J467" s="357" t="str">
        <f>IFERROR(__xludf.DUMMYFUNCTION("if(H467=""Can't be Together"",iferror(join("", "",unique(filter({filter('Students (Vertical)'!O:O,'Students (Vertical)'!C:C=B467,'Students (Vertical)'!O:O&lt;&gt;"""",'Students (Vertical)'!P:P&gt;1);filter('Students (Vertical)'!O:O,'Students (Vertical)'!C:C=E467,'"&amp;"Students (Vertical)'!O:O&lt;&gt;"""",'Students (Vertical)'!P:P&gt;1)},countifs({filter('Students (Vertical)'!O:O,'Students (Vertical)'!C:C=B467,'Students (Vertical)'!O:O&lt;&gt;"""",'Students (Vertical)'!P:P&gt;1);filter('Students (Vertical)'!O:O,'Students (Vertical)'!C:C="&amp;"E467,'Students (Vertical)'!O:O&lt;&gt;"""",'Students (Vertical)'!P:P&gt;1)},{filter('Students (Vertical)'!O:O,'Students (Vertical)'!C:C=B467,'Students (Vertical)'!O:O&lt;&gt;"""",'Students (Vertical)'!P:P&gt;1);filter('Students (Vertical)'!O:O,'Students (Vertical)'!C:C=E46"&amp;"7,'Students (Vertical)'!O:O&lt;&gt;"""",'Students (Vertical)'!P:P&gt;1)})&gt;1))),""""),"""")"),"")</f>
        <v/>
      </c>
      <c r="K467" s="358"/>
    </row>
    <row r="468">
      <c r="A468" s="300" t="s">
        <v>22</v>
      </c>
      <c r="C468" s="300" t="s">
        <v>22</v>
      </c>
      <c r="D468" s="300" t="s">
        <v>22</v>
      </c>
      <c r="F468" s="300" t="s">
        <v>22</v>
      </c>
      <c r="G468" s="300" t="s">
        <v>22</v>
      </c>
      <c r="I468" s="356" t="str">
        <f>IFERROR(__xludf.DUMMYFUNCTION("if(H468=""Must be Together"",iferror(join("", "",unique(filter({filter('Students (Vertical)'!O:O,'Students (Vertical)'!C:C=B468,'Students (Vertical)'!O:O&lt;&gt;"""");filter('Students (Vertical)'!O:O,'Students (Vertical)'!C:C=E468,'Students (Vertical)'!O:O&lt;&gt;"""&amp;""")},countifs({filter('Students (Vertical)'!O:O,'Students (Vertical)'!C:C=B468,'Students (Vertical)'!O:O&lt;&gt;"""");filter('Students (Vertical)'!O:O,'Students (Vertical)'!C:C=E468,'Students (Vertical)'!O:O&lt;&gt;"""")},{filter('Students (Vertical)'!O:O,'Students ("&amp;"Vertical)'!C:C=B468,'Students (Vertical)'!O:O&lt;&gt;"""");filter('Students (Vertical)'!O:O,'Students (Vertical)'!C:C=E468,'Students (Vertical)'!O:O&lt;&gt;"""")})&gt;1))),""No shared courses""),"""")"),"")</f>
        <v/>
      </c>
      <c r="J468" s="357" t="str">
        <f>IFERROR(__xludf.DUMMYFUNCTION("if(H468=""Can't be Together"",iferror(join("", "",unique(filter({filter('Students (Vertical)'!O:O,'Students (Vertical)'!C:C=B468,'Students (Vertical)'!O:O&lt;&gt;"""",'Students (Vertical)'!P:P&gt;1);filter('Students (Vertical)'!O:O,'Students (Vertical)'!C:C=E468,'"&amp;"Students (Vertical)'!O:O&lt;&gt;"""",'Students (Vertical)'!P:P&gt;1)},countifs({filter('Students (Vertical)'!O:O,'Students (Vertical)'!C:C=B468,'Students (Vertical)'!O:O&lt;&gt;"""",'Students (Vertical)'!P:P&gt;1);filter('Students (Vertical)'!O:O,'Students (Vertical)'!C:C="&amp;"E468,'Students (Vertical)'!O:O&lt;&gt;"""",'Students (Vertical)'!P:P&gt;1)},{filter('Students (Vertical)'!O:O,'Students (Vertical)'!C:C=B468,'Students (Vertical)'!O:O&lt;&gt;"""",'Students (Vertical)'!P:P&gt;1);filter('Students (Vertical)'!O:O,'Students (Vertical)'!C:C=E46"&amp;"8,'Students (Vertical)'!O:O&lt;&gt;"""",'Students (Vertical)'!P:P&gt;1)})&gt;1))),""""),"""")"),"")</f>
        <v/>
      </c>
      <c r="K468" s="358"/>
    </row>
    <row r="469">
      <c r="A469" s="300" t="s">
        <v>22</v>
      </c>
      <c r="C469" s="300" t="s">
        <v>22</v>
      </c>
      <c r="D469" s="300" t="s">
        <v>22</v>
      </c>
      <c r="F469" s="300" t="s">
        <v>22</v>
      </c>
      <c r="G469" s="300" t="s">
        <v>22</v>
      </c>
      <c r="I469" s="356" t="str">
        <f>IFERROR(__xludf.DUMMYFUNCTION("if(H469=""Must be Together"",iferror(join("", "",unique(filter({filter('Students (Vertical)'!O:O,'Students (Vertical)'!C:C=B469,'Students (Vertical)'!O:O&lt;&gt;"""");filter('Students (Vertical)'!O:O,'Students (Vertical)'!C:C=E469,'Students (Vertical)'!O:O&lt;&gt;"""&amp;""")},countifs({filter('Students (Vertical)'!O:O,'Students (Vertical)'!C:C=B469,'Students (Vertical)'!O:O&lt;&gt;"""");filter('Students (Vertical)'!O:O,'Students (Vertical)'!C:C=E469,'Students (Vertical)'!O:O&lt;&gt;"""")},{filter('Students (Vertical)'!O:O,'Students ("&amp;"Vertical)'!C:C=B469,'Students (Vertical)'!O:O&lt;&gt;"""");filter('Students (Vertical)'!O:O,'Students (Vertical)'!C:C=E469,'Students (Vertical)'!O:O&lt;&gt;"""")})&gt;1))),""No shared courses""),"""")"),"")</f>
        <v/>
      </c>
      <c r="J469" s="357" t="str">
        <f>IFERROR(__xludf.DUMMYFUNCTION("if(H469=""Can't be Together"",iferror(join("", "",unique(filter({filter('Students (Vertical)'!O:O,'Students (Vertical)'!C:C=B469,'Students (Vertical)'!O:O&lt;&gt;"""",'Students (Vertical)'!P:P&gt;1);filter('Students (Vertical)'!O:O,'Students (Vertical)'!C:C=E469,'"&amp;"Students (Vertical)'!O:O&lt;&gt;"""",'Students (Vertical)'!P:P&gt;1)},countifs({filter('Students (Vertical)'!O:O,'Students (Vertical)'!C:C=B469,'Students (Vertical)'!O:O&lt;&gt;"""",'Students (Vertical)'!P:P&gt;1);filter('Students (Vertical)'!O:O,'Students (Vertical)'!C:C="&amp;"E469,'Students (Vertical)'!O:O&lt;&gt;"""",'Students (Vertical)'!P:P&gt;1)},{filter('Students (Vertical)'!O:O,'Students (Vertical)'!C:C=B469,'Students (Vertical)'!O:O&lt;&gt;"""",'Students (Vertical)'!P:P&gt;1);filter('Students (Vertical)'!O:O,'Students (Vertical)'!C:C=E46"&amp;"9,'Students (Vertical)'!O:O&lt;&gt;"""",'Students (Vertical)'!P:P&gt;1)})&gt;1))),""""),"""")"),"")</f>
        <v/>
      </c>
      <c r="K469" s="358"/>
    </row>
    <row r="470">
      <c r="A470" s="300" t="s">
        <v>22</v>
      </c>
      <c r="C470" s="300" t="s">
        <v>22</v>
      </c>
      <c r="D470" s="300" t="s">
        <v>22</v>
      </c>
      <c r="F470" s="300" t="s">
        <v>22</v>
      </c>
      <c r="G470" s="300" t="s">
        <v>22</v>
      </c>
      <c r="I470" s="356" t="str">
        <f>IFERROR(__xludf.DUMMYFUNCTION("if(H470=""Must be Together"",iferror(join("", "",unique(filter({filter('Students (Vertical)'!O:O,'Students (Vertical)'!C:C=B470,'Students (Vertical)'!O:O&lt;&gt;"""");filter('Students (Vertical)'!O:O,'Students (Vertical)'!C:C=E470,'Students (Vertical)'!O:O&lt;&gt;"""&amp;""")},countifs({filter('Students (Vertical)'!O:O,'Students (Vertical)'!C:C=B470,'Students (Vertical)'!O:O&lt;&gt;"""");filter('Students (Vertical)'!O:O,'Students (Vertical)'!C:C=E470,'Students (Vertical)'!O:O&lt;&gt;"""")},{filter('Students (Vertical)'!O:O,'Students ("&amp;"Vertical)'!C:C=B470,'Students (Vertical)'!O:O&lt;&gt;"""");filter('Students (Vertical)'!O:O,'Students (Vertical)'!C:C=E470,'Students (Vertical)'!O:O&lt;&gt;"""")})&gt;1))),""No shared courses""),"""")"),"")</f>
        <v/>
      </c>
      <c r="J470" s="357" t="str">
        <f>IFERROR(__xludf.DUMMYFUNCTION("if(H470=""Can't be Together"",iferror(join("", "",unique(filter({filter('Students (Vertical)'!O:O,'Students (Vertical)'!C:C=B470,'Students (Vertical)'!O:O&lt;&gt;"""",'Students (Vertical)'!P:P&gt;1);filter('Students (Vertical)'!O:O,'Students (Vertical)'!C:C=E470,'"&amp;"Students (Vertical)'!O:O&lt;&gt;"""",'Students (Vertical)'!P:P&gt;1)},countifs({filter('Students (Vertical)'!O:O,'Students (Vertical)'!C:C=B470,'Students (Vertical)'!O:O&lt;&gt;"""",'Students (Vertical)'!P:P&gt;1);filter('Students (Vertical)'!O:O,'Students (Vertical)'!C:C="&amp;"E470,'Students (Vertical)'!O:O&lt;&gt;"""",'Students (Vertical)'!P:P&gt;1)},{filter('Students (Vertical)'!O:O,'Students (Vertical)'!C:C=B470,'Students (Vertical)'!O:O&lt;&gt;"""",'Students (Vertical)'!P:P&gt;1);filter('Students (Vertical)'!O:O,'Students (Vertical)'!C:C=E47"&amp;"0,'Students (Vertical)'!O:O&lt;&gt;"""",'Students (Vertical)'!P:P&gt;1)})&gt;1))),""""),"""")"),"")</f>
        <v/>
      </c>
      <c r="K470" s="358"/>
    </row>
    <row r="471">
      <c r="A471" s="300" t="s">
        <v>22</v>
      </c>
      <c r="C471" s="300" t="s">
        <v>22</v>
      </c>
      <c r="D471" s="300" t="s">
        <v>22</v>
      </c>
      <c r="F471" s="300" t="s">
        <v>22</v>
      </c>
      <c r="G471" s="300" t="s">
        <v>22</v>
      </c>
      <c r="I471" s="356" t="str">
        <f>IFERROR(__xludf.DUMMYFUNCTION("if(H471=""Must be Together"",iferror(join("", "",unique(filter({filter('Students (Vertical)'!O:O,'Students (Vertical)'!C:C=B471,'Students (Vertical)'!O:O&lt;&gt;"""");filter('Students (Vertical)'!O:O,'Students (Vertical)'!C:C=E471,'Students (Vertical)'!O:O&lt;&gt;"""&amp;""")},countifs({filter('Students (Vertical)'!O:O,'Students (Vertical)'!C:C=B471,'Students (Vertical)'!O:O&lt;&gt;"""");filter('Students (Vertical)'!O:O,'Students (Vertical)'!C:C=E471,'Students (Vertical)'!O:O&lt;&gt;"""")},{filter('Students (Vertical)'!O:O,'Students ("&amp;"Vertical)'!C:C=B471,'Students (Vertical)'!O:O&lt;&gt;"""");filter('Students (Vertical)'!O:O,'Students (Vertical)'!C:C=E471,'Students (Vertical)'!O:O&lt;&gt;"""")})&gt;1))),""No shared courses""),"""")"),"")</f>
        <v/>
      </c>
      <c r="J471" s="357" t="str">
        <f>IFERROR(__xludf.DUMMYFUNCTION("if(H471=""Can't be Together"",iferror(join("", "",unique(filter({filter('Students (Vertical)'!O:O,'Students (Vertical)'!C:C=B471,'Students (Vertical)'!O:O&lt;&gt;"""",'Students (Vertical)'!P:P&gt;1);filter('Students (Vertical)'!O:O,'Students (Vertical)'!C:C=E471,'"&amp;"Students (Vertical)'!O:O&lt;&gt;"""",'Students (Vertical)'!P:P&gt;1)},countifs({filter('Students (Vertical)'!O:O,'Students (Vertical)'!C:C=B471,'Students (Vertical)'!O:O&lt;&gt;"""",'Students (Vertical)'!P:P&gt;1);filter('Students (Vertical)'!O:O,'Students (Vertical)'!C:C="&amp;"E471,'Students (Vertical)'!O:O&lt;&gt;"""",'Students (Vertical)'!P:P&gt;1)},{filter('Students (Vertical)'!O:O,'Students (Vertical)'!C:C=B471,'Students (Vertical)'!O:O&lt;&gt;"""",'Students (Vertical)'!P:P&gt;1);filter('Students (Vertical)'!O:O,'Students (Vertical)'!C:C=E47"&amp;"1,'Students (Vertical)'!O:O&lt;&gt;"""",'Students (Vertical)'!P:P&gt;1)})&gt;1))),""""),"""")"),"")</f>
        <v/>
      </c>
      <c r="K471" s="358"/>
    </row>
    <row r="472">
      <c r="A472" s="300" t="s">
        <v>22</v>
      </c>
      <c r="C472" s="300" t="s">
        <v>22</v>
      </c>
      <c r="D472" s="300" t="s">
        <v>22</v>
      </c>
      <c r="F472" s="300" t="s">
        <v>22</v>
      </c>
      <c r="G472" s="300" t="s">
        <v>22</v>
      </c>
      <c r="I472" s="356" t="str">
        <f>IFERROR(__xludf.DUMMYFUNCTION("if(H472=""Must be Together"",iferror(join("", "",unique(filter({filter('Students (Vertical)'!O:O,'Students (Vertical)'!C:C=B472,'Students (Vertical)'!O:O&lt;&gt;"""");filter('Students (Vertical)'!O:O,'Students (Vertical)'!C:C=E472,'Students (Vertical)'!O:O&lt;&gt;"""&amp;""")},countifs({filter('Students (Vertical)'!O:O,'Students (Vertical)'!C:C=B472,'Students (Vertical)'!O:O&lt;&gt;"""");filter('Students (Vertical)'!O:O,'Students (Vertical)'!C:C=E472,'Students (Vertical)'!O:O&lt;&gt;"""")},{filter('Students (Vertical)'!O:O,'Students ("&amp;"Vertical)'!C:C=B472,'Students (Vertical)'!O:O&lt;&gt;"""");filter('Students (Vertical)'!O:O,'Students (Vertical)'!C:C=E472,'Students (Vertical)'!O:O&lt;&gt;"""")})&gt;1))),""No shared courses""),"""")"),"")</f>
        <v/>
      </c>
      <c r="J472" s="357" t="str">
        <f>IFERROR(__xludf.DUMMYFUNCTION("if(H472=""Can't be Together"",iferror(join("", "",unique(filter({filter('Students (Vertical)'!O:O,'Students (Vertical)'!C:C=B472,'Students (Vertical)'!O:O&lt;&gt;"""",'Students (Vertical)'!P:P&gt;1);filter('Students (Vertical)'!O:O,'Students (Vertical)'!C:C=E472,'"&amp;"Students (Vertical)'!O:O&lt;&gt;"""",'Students (Vertical)'!P:P&gt;1)},countifs({filter('Students (Vertical)'!O:O,'Students (Vertical)'!C:C=B472,'Students (Vertical)'!O:O&lt;&gt;"""",'Students (Vertical)'!P:P&gt;1);filter('Students (Vertical)'!O:O,'Students (Vertical)'!C:C="&amp;"E472,'Students (Vertical)'!O:O&lt;&gt;"""",'Students (Vertical)'!P:P&gt;1)},{filter('Students (Vertical)'!O:O,'Students (Vertical)'!C:C=B472,'Students (Vertical)'!O:O&lt;&gt;"""",'Students (Vertical)'!P:P&gt;1);filter('Students (Vertical)'!O:O,'Students (Vertical)'!C:C=E47"&amp;"2,'Students (Vertical)'!O:O&lt;&gt;"""",'Students (Vertical)'!P:P&gt;1)})&gt;1))),""""),"""")"),"")</f>
        <v/>
      </c>
      <c r="K472" s="358"/>
    </row>
    <row r="473">
      <c r="A473" s="300" t="s">
        <v>22</v>
      </c>
      <c r="C473" s="300" t="s">
        <v>22</v>
      </c>
      <c r="D473" s="300" t="s">
        <v>22</v>
      </c>
      <c r="F473" s="300" t="s">
        <v>22</v>
      </c>
      <c r="G473" s="300" t="s">
        <v>22</v>
      </c>
      <c r="I473" s="356" t="str">
        <f>IFERROR(__xludf.DUMMYFUNCTION("if(H473=""Must be Together"",iferror(join("", "",unique(filter({filter('Students (Vertical)'!O:O,'Students (Vertical)'!C:C=B473,'Students (Vertical)'!O:O&lt;&gt;"""");filter('Students (Vertical)'!O:O,'Students (Vertical)'!C:C=E473,'Students (Vertical)'!O:O&lt;&gt;"""&amp;""")},countifs({filter('Students (Vertical)'!O:O,'Students (Vertical)'!C:C=B473,'Students (Vertical)'!O:O&lt;&gt;"""");filter('Students (Vertical)'!O:O,'Students (Vertical)'!C:C=E473,'Students (Vertical)'!O:O&lt;&gt;"""")},{filter('Students (Vertical)'!O:O,'Students ("&amp;"Vertical)'!C:C=B473,'Students (Vertical)'!O:O&lt;&gt;"""");filter('Students (Vertical)'!O:O,'Students (Vertical)'!C:C=E473,'Students (Vertical)'!O:O&lt;&gt;"""")})&gt;1))),""No shared courses""),"""")"),"")</f>
        <v/>
      </c>
      <c r="J473" s="357" t="str">
        <f>IFERROR(__xludf.DUMMYFUNCTION("if(H473=""Can't be Together"",iferror(join("", "",unique(filter({filter('Students (Vertical)'!O:O,'Students (Vertical)'!C:C=B473,'Students (Vertical)'!O:O&lt;&gt;"""",'Students (Vertical)'!P:P&gt;1);filter('Students (Vertical)'!O:O,'Students (Vertical)'!C:C=E473,'"&amp;"Students (Vertical)'!O:O&lt;&gt;"""",'Students (Vertical)'!P:P&gt;1)},countifs({filter('Students (Vertical)'!O:O,'Students (Vertical)'!C:C=B473,'Students (Vertical)'!O:O&lt;&gt;"""",'Students (Vertical)'!P:P&gt;1);filter('Students (Vertical)'!O:O,'Students (Vertical)'!C:C="&amp;"E473,'Students (Vertical)'!O:O&lt;&gt;"""",'Students (Vertical)'!P:P&gt;1)},{filter('Students (Vertical)'!O:O,'Students (Vertical)'!C:C=B473,'Students (Vertical)'!O:O&lt;&gt;"""",'Students (Vertical)'!P:P&gt;1);filter('Students (Vertical)'!O:O,'Students (Vertical)'!C:C=E47"&amp;"3,'Students (Vertical)'!O:O&lt;&gt;"""",'Students (Vertical)'!P:P&gt;1)})&gt;1))),""""),"""")"),"")</f>
        <v/>
      </c>
      <c r="K473" s="358"/>
    </row>
    <row r="474">
      <c r="A474" s="300" t="s">
        <v>22</v>
      </c>
      <c r="C474" s="300" t="s">
        <v>22</v>
      </c>
      <c r="D474" s="300" t="s">
        <v>22</v>
      </c>
      <c r="F474" s="300" t="s">
        <v>22</v>
      </c>
      <c r="G474" s="300" t="s">
        <v>22</v>
      </c>
      <c r="I474" s="356" t="str">
        <f>IFERROR(__xludf.DUMMYFUNCTION("if(H474=""Must be Together"",iferror(join("", "",unique(filter({filter('Students (Vertical)'!O:O,'Students (Vertical)'!C:C=B474,'Students (Vertical)'!O:O&lt;&gt;"""");filter('Students (Vertical)'!O:O,'Students (Vertical)'!C:C=E474,'Students (Vertical)'!O:O&lt;&gt;"""&amp;""")},countifs({filter('Students (Vertical)'!O:O,'Students (Vertical)'!C:C=B474,'Students (Vertical)'!O:O&lt;&gt;"""");filter('Students (Vertical)'!O:O,'Students (Vertical)'!C:C=E474,'Students (Vertical)'!O:O&lt;&gt;"""")},{filter('Students (Vertical)'!O:O,'Students ("&amp;"Vertical)'!C:C=B474,'Students (Vertical)'!O:O&lt;&gt;"""");filter('Students (Vertical)'!O:O,'Students (Vertical)'!C:C=E474,'Students (Vertical)'!O:O&lt;&gt;"""")})&gt;1))),""No shared courses""),"""")"),"")</f>
        <v/>
      </c>
      <c r="J474" s="357" t="str">
        <f>IFERROR(__xludf.DUMMYFUNCTION("if(H474=""Can't be Together"",iferror(join("", "",unique(filter({filter('Students (Vertical)'!O:O,'Students (Vertical)'!C:C=B474,'Students (Vertical)'!O:O&lt;&gt;"""",'Students (Vertical)'!P:P&gt;1);filter('Students (Vertical)'!O:O,'Students (Vertical)'!C:C=E474,'"&amp;"Students (Vertical)'!O:O&lt;&gt;"""",'Students (Vertical)'!P:P&gt;1)},countifs({filter('Students (Vertical)'!O:O,'Students (Vertical)'!C:C=B474,'Students (Vertical)'!O:O&lt;&gt;"""",'Students (Vertical)'!P:P&gt;1);filter('Students (Vertical)'!O:O,'Students (Vertical)'!C:C="&amp;"E474,'Students (Vertical)'!O:O&lt;&gt;"""",'Students (Vertical)'!P:P&gt;1)},{filter('Students (Vertical)'!O:O,'Students (Vertical)'!C:C=B474,'Students (Vertical)'!O:O&lt;&gt;"""",'Students (Vertical)'!P:P&gt;1);filter('Students (Vertical)'!O:O,'Students (Vertical)'!C:C=E47"&amp;"4,'Students (Vertical)'!O:O&lt;&gt;"""",'Students (Vertical)'!P:P&gt;1)})&gt;1))),""""),"""")"),"")</f>
        <v/>
      </c>
      <c r="K474" s="358"/>
    </row>
    <row r="475">
      <c r="A475" s="300" t="s">
        <v>22</v>
      </c>
      <c r="C475" s="300" t="s">
        <v>22</v>
      </c>
      <c r="D475" s="300" t="s">
        <v>22</v>
      </c>
      <c r="F475" s="300" t="s">
        <v>22</v>
      </c>
      <c r="G475" s="300" t="s">
        <v>22</v>
      </c>
      <c r="I475" s="356" t="str">
        <f>IFERROR(__xludf.DUMMYFUNCTION("if(H475=""Must be Together"",iferror(join("", "",unique(filter({filter('Students (Vertical)'!O:O,'Students (Vertical)'!C:C=B475,'Students (Vertical)'!O:O&lt;&gt;"""");filter('Students (Vertical)'!O:O,'Students (Vertical)'!C:C=E475,'Students (Vertical)'!O:O&lt;&gt;"""&amp;""")},countifs({filter('Students (Vertical)'!O:O,'Students (Vertical)'!C:C=B475,'Students (Vertical)'!O:O&lt;&gt;"""");filter('Students (Vertical)'!O:O,'Students (Vertical)'!C:C=E475,'Students (Vertical)'!O:O&lt;&gt;"""")},{filter('Students (Vertical)'!O:O,'Students ("&amp;"Vertical)'!C:C=B475,'Students (Vertical)'!O:O&lt;&gt;"""");filter('Students (Vertical)'!O:O,'Students (Vertical)'!C:C=E475,'Students (Vertical)'!O:O&lt;&gt;"""")})&gt;1))),""No shared courses""),"""")"),"")</f>
        <v/>
      </c>
      <c r="J475" s="357" t="str">
        <f>IFERROR(__xludf.DUMMYFUNCTION("if(H475=""Can't be Together"",iferror(join("", "",unique(filter({filter('Students (Vertical)'!O:O,'Students (Vertical)'!C:C=B475,'Students (Vertical)'!O:O&lt;&gt;"""",'Students (Vertical)'!P:P&gt;1);filter('Students (Vertical)'!O:O,'Students (Vertical)'!C:C=E475,'"&amp;"Students (Vertical)'!O:O&lt;&gt;"""",'Students (Vertical)'!P:P&gt;1)},countifs({filter('Students (Vertical)'!O:O,'Students (Vertical)'!C:C=B475,'Students (Vertical)'!O:O&lt;&gt;"""",'Students (Vertical)'!P:P&gt;1);filter('Students (Vertical)'!O:O,'Students (Vertical)'!C:C="&amp;"E475,'Students (Vertical)'!O:O&lt;&gt;"""",'Students (Vertical)'!P:P&gt;1)},{filter('Students (Vertical)'!O:O,'Students (Vertical)'!C:C=B475,'Students (Vertical)'!O:O&lt;&gt;"""",'Students (Vertical)'!P:P&gt;1);filter('Students (Vertical)'!O:O,'Students (Vertical)'!C:C=E47"&amp;"5,'Students (Vertical)'!O:O&lt;&gt;"""",'Students (Vertical)'!P:P&gt;1)})&gt;1))),""""),"""")"),"")</f>
        <v/>
      </c>
      <c r="K475" s="358"/>
    </row>
    <row r="476">
      <c r="A476" s="300" t="s">
        <v>22</v>
      </c>
      <c r="C476" s="300" t="s">
        <v>22</v>
      </c>
      <c r="D476" s="300" t="s">
        <v>22</v>
      </c>
      <c r="F476" s="300" t="s">
        <v>22</v>
      </c>
      <c r="G476" s="300" t="s">
        <v>22</v>
      </c>
      <c r="I476" s="356" t="str">
        <f>IFERROR(__xludf.DUMMYFUNCTION("if(H476=""Must be Together"",iferror(join("", "",unique(filter({filter('Students (Vertical)'!O:O,'Students (Vertical)'!C:C=B476,'Students (Vertical)'!O:O&lt;&gt;"""");filter('Students (Vertical)'!O:O,'Students (Vertical)'!C:C=E476,'Students (Vertical)'!O:O&lt;&gt;"""&amp;""")},countifs({filter('Students (Vertical)'!O:O,'Students (Vertical)'!C:C=B476,'Students (Vertical)'!O:O&lt;&gt;"""");filter('Students (Vertical)'!O:O,'Students (Vertical)'!C:C=E476,'Students (Vertical)'!O:O&lt;&gt;"""")},{filter('Students (Vertical)'!O:O,'Students ("&amp;"Vertical)'!C:C=B476,'Students (Vertical)'!O:O&lt;&gt;"""");filter('Students (Vertical)'!O:O,'Students (Vertical)'!C:C=E476,'Students (Vertical)'!O:O&lt;&gt;"""")})&gt;1))),""No shared courses""),"""")"),"")</f>
        <v/>
      </c>
      <c r="J476" s="357" t="str">
        <f>IFERROR(__xludf.DUMMYFUNCTION("if(H476=""Can't be Together"",iferror(join("", "",unique(filter({filter('Students (Vertical)'!O:O,'Students (Vertical)'!C:C=B476,'Students (Vertical)'!O:O&lt;&gt;"""",'Students (Vertical)'!P:P&gt;1);filter('Students (Vertical)'!O:O,'Students (Vertical)'!C:C=E476,'"&amp;"Students (Vertical)'!O:O&lt;&gt;"""",'Students (Vertical)'!P:P&gt;1)},countifs({filter('Students (Vertical)'!O:O,'Students (Vertical)'!C:C=B476,'Students (Vertical)'!O:O&lt;&gt;"""",'Students (Vertical)'!P:P&gt;1);filter('Students (Vertical)'!O:O,'Students (Vertical)'!C:C="&amp;"E476,'Students (Vertical)'!O:O&lt;&gt;"""",'Students (Vertical)'!P:P&gt;1)},{filter('Students (Vertical)'!O:O,'Students (Vertical)'!C:C=B476,'Students (Vertical)'!O:O&lt;&gt;"""",'Students (Vertical)'!P:P&gt;1);filter('Students (Vertical)'!O:O,'Students (Vertical)'!C:C=E47"&amp;"6,'Students (Vertical)'!O:O&lt;&gt;"""",'Students (Vertical)'!P:P&gt;1)})&gt;1))),""""),"""")"),"")</f>
        <v/>
      </c>
      <c r="K476" s="358"/>
    </row>
    <row r="477">
      <c r="A477" s="300" t="s">
        <v>22</v>
      </c>
      <c r="C477" s="300" t="s">
        <v>22</v>
      </c>
      <c r="D477" s="300" t="s">
        <v>22</v>
      </c>
      <c r="F477" s="300" t="s">
        <v>22</v>
      </c>
      <c r="G477" s="300" t="s">
        <v>22</v>
      </c>
      <c r="I477" s="356" t="str">
        <f>IFERROR(__xludf.DUMMYFUNCTION("if(H477=""Must be Together"",iferror(join("", "",unique(filter({filter('Students (Vertical)'!O:O,'Students (Vertical)'!C:C=B477,'Students (Vertical)'!O:O&lt;&gt;"""");filter('Students (Vertical)'!O:O,'Students (Vertical)'!C:C=E477,'Students (Vertical)'!O:O&lt;&gt;"""&amp;""")},countifs({filter('Students (Vertical)'!O:O,'Students (Vertical)'!C:C=B477,'Students (Vertical)'!O:O&lt;&gt;"""");filter('Students (Vertical)'!O:O,'Students (Vertical)'!C:C=E477,'Students (Vertical)'!O:O&lt;&gt;"""")},{filter('Students (Vertical)'!O:O,'Students ("&amp;"Vertical)'!C:C=B477,'Students (Vertical)'!O:O&lt;&gt;"""");filter('Students (Vertical)'!O:O,'Students (Vertical)'!C:C=E477,'Students (Vertical)'!O:O&lt;&gt;"""")})&gt;1))),""No shared courses""),"""")"),"")</f>
        <v/>
      </c>
      <c r="J477" s="357" t="str">
        <f>IFERROR(__xludf.DUMMYFUNCTION("if(H477=""Can't be Together"",iferror(join("", "",unique(filter({filter('Students (Vertical)'!O:O,'Students (Vertical)'!C:C=B477,'Students (Vertical)'!O:O&lt;&gt;"""",'Students (Vertical)'!P:P&gt;1);filter('Students (Vertical)'!O:O,'Students (Vertical)'!C:C=E477,'"&amp;"Students (Vertical)'!O:O&lt;&gt;"""",'Students (Vertical)'!P:P&gt;1)},countifs({filter('Students (Vertical)'!O:O,'Students (Vertical)'!C:C=B477,'Students (Vertical)'!O:O&lt;&gt;"""",'Students (Vertical)'!P:P&gt;1);filter('Students (Vertical)'!O:O,'Students (Vertical)'!C:C="&amp;"E477,'Students (Vertical)'!O:O&lt;&gt;"""",'Students (Vertical)'!P:P&gt;1)},{filter('Students (Vertical)'!O:O,'Students (Vertical)'!C:C=B477,'Students (Vertical)'!O:O&lt;&gt;"""",'Students (Vertical)'!P:P&gt;1);filter('Students (Vertical)'!O:O,'Students (Vertical)'!C:C=E47"&amp;"7,'Students (Vertical)'!O:O&lt;&gt;"""",'Students (Vertical)'!P:P&gt;1)})&gt;1))),""""),"""")"),"")</f>
        <v/>
      </c>
      <c r="K477" s="358"/>
    </row>
    <row r="478">
      <c r="A478" s="300" t="s">
        <v>22</v>
      </c>
      <c r="C478" s="300" t="s">
        <v>22</v>
      </c>
      <c r="D478" s="300" t="s">
        <v>22</v>
      </c>
      <c r="F478" s="300" t="s">
        <v>22</v>
      </c>
      <c r="G478" s="300" t="s">
        <v>22</v>
      </c>
      <c r="I478" s="356" t="str">
        <f>IFERROR(__xludf.DUMMYFUNCTION("if(H478=""Must be Together"",iferror(join("", "",unique(filter({filter('Students (Vertical)'!O:O,'Students (Vertical)'!C:C=B478,'Students (Vertical)'!O:O&lt;&gt;"""");filter('Students (Vertical)'!O:O,'Students (Vertical)'!C:C=E478,'Students (Vertical)'!O:O&lt;&gt;"""&amp;""")},countifs({filter('Students (Vertical)'!O:O,'Students (Vertical)'!C:C=B478,'Students (Vertical)'!O:O&lt;&gt;"""");filter('Students (Vertical)'!O:O,'Students (Vertical)'!C:C=E478,'Students (Vertical)'!O:O&lt;&gt;"""")},{filter('Students (Vertical)'!O:O,'Students ("&amp;"Vertical)'!C:C=B478,'Students (Vertical)'!O:O&lt;&gt;"""");filter('Students (Vertical)'!O:O,'Students (Vertical)'!C:C=E478,'Students (Vertical)'!O:O&lt;&gt;"""")})&gt;1))),""No shared courses""),"""")"),"")</f>
        <v/>
      </c>
      <c r="J478" s="357" t="str">
        <f>IFERROR(__xludf.DUMMYFUNCTION("if(H478=""Can't be Together"",iferror(join("", "",unique(filter({filter('Students (Vertical)'!O:O,'Students (Vertical)'!C:C=B478,'Students (Vertical)'!O:O&lt;&gt;"""",'Students (Vertical)'!P:P&gt;1);filter('Students (Vertical)'!O:O,'Students (Vertical)'!C:C=E478,'"&amp;"Students (Vertical)'!O:O&lt;&gt;"""",'Students (Vertical)'!P:P&gt;1)},countifs({filter('Students (Vertical)'!O:O,'Students (Vertical)'!C:C=B478,'Students (Vertical)'!O:O&lt;&gt;"""",'Students (Vertical)'!P:P&gt;1);filter('Students (Vertical)'!O:O,'Students (Vertical)'!C:C="&amp;"E478,'Students (Vertical)'!O:O&lt;&gt;"""",'Students (Vertical)'!P:P&gt;1)},{filter('Students (Vertical)'!O:O,'Students (Vertical)'!C:C=B478,'Students (Vertical)'!O:O&lt;&gt;"""",'Students (Vertical)'!P:P&gt;1);filter('Students (Vertical)'!O:O,'Students (Vertical)'!C:C=E47"&amp;"8,'Students (Vertical)'!O:O&lt;&gt;"""",'Students (Vertical)'!P:P&gt;1)})&gt;1))),""""),"""")"),"")</f>
        <v/>
      </c>
      <c r="K478" s="358"/>
    </row>
    <row r="479">
      <c r="A479" s="300" t="s">
        <v>22</v>
      </c>
      <c r="C479" s="300" t="s">
        <v>22</v>
      </c>
      <c r="D479" s="300" t="s">
        <v>22</v>
      </c>
      <c r="F479" s="300" t="s">
        <v>22</v>
      </c>
      <c r="G479" s="300" t="s">
        <v>22</v>
      </c>
      <c r="I479" s="356" t="str">
        <f>IFERROR(__xludf.DUMMYFUNCTION("if(H479=""Must be Together"",iferror(join("", "",unique(filter({filter('Students (Vertical)'!O:O,'Students (Vertical)'!C:C=B479,'Students (Vertical)'!O:O&lt;&gt;"""");filter('Students (Vertical)'!O:O,'Students (Vertical)'!C:C=E479,'Students (Vertical)'!O:O&lt;&gt;"""&amp;""")},countifs({filter('Students (Vertical)'!O:O,'Students (Vertical)'!C:C=B479,'Students (Vertical)'!O:O&lt;&gt;"""");filter('Students (Vertical)'!O:O,'Students (Vertical)'!C:C=E479,'Students (Vertical)'!O:O&lt;&gt;"""")},{filter('Students (Vertical)'!O:O,'Students ("&amp;"Vertical)'!C:C=B479,'Students (Vertical)'!O:O&lt;&gt;"""");filter('Students (Vertical)'!O:O,'Students (Vertical)'!C:C=E479,'Students (Vertical)'!O:O&lt;&gt;"""")})&gt;1))),""No shared courses""),"""")"),"")</f>
        <v/>
      </c>
      <c r="J479" s="357" t="str">
        <f>IFERROR(__xludf.DUMMYFUNCTION("if(H479=""Can't be Together"",iferror(join("", "",unique(filter({filter('Students (Vertical)'!O:O,'Students (Vertical)'!C:C=B479,'Students (Vertical)'!O:O&lt;&gt;"""",'Students (Vertical)'!P:P&gt;1);filter('Students (Vertical)'!O:O,'Students (Vertical)'!C:C=E479,'"&amp;"Students (Vertical)'!O:O&lt;&gt;"""",'Students (Vertical)'!P:P&gt;1)},countifs({filter('Students (Vertical)'!O:O,'Students (Vertical)'!C:C=B479,'Students (Vertical)'!O:O&lt;&gt;"""",'Students (Vertical)'!P:P&gt;1);filter('Students (Vertical)'!O:O,'Students (Vertical)'!C:C="&amp;"E479,'Students (Vertical)'!O:O&lt;&gt;"""",'Students (Vertical)'!P:P&gt;1)},{filter('Students (Vertical)'!O:O,'Students (Vertical)'!C:C=B479,'Students (Vertical)'!O:O&lt;&gt;"""",'Students (Vertical)'!P:P&gt;1);filter('Students (Vertical)'!O:O,'Students (Vertical)'!C:C=E47"&amp;"9,'Students (Vertical)'!O:O&lt;&gt;"""",'Students (Vertical)'!P:P&gt;1)})&gt;1))),""""),"""")"),"")</f>
        <v/>
      </c>
      <c r="K479" s="358"/>
    </row>
    <row r="480">
      <c r="A480" s="300" t="s">
        <v>22</v>
      </c>
      <c r="C480" s="300" t="s">
        <v>22</v>
      </c>
      <c r="D480" s="300" t="s">
        <v>22</v>
      </c>
      <c r="F480" s="300" t="s">
        <v>22</v>
      </c>
      <c r="G480" s="300" t="s">
        <v>22</v>
      </c>
      <c r="I480" s="356" t="str">
        <f>IFERROR(__xludf.DUMMYFUNCTION("if(H480=""Must be Together"",iferror(join("", "",unique(filter({filter('Students (Vertical)'!O:O,'Students (Vertical)'!C:C=B480,'Students (Vertical)'!O:O&lt;&gt;"""");filter('Students (Vertical)'!O:O,'Students (Vertical)'!C:C=E480,'Students (Vertical)'!O:O&lt;&gt;"""&amp;""")},countifs({filter('Students (Vertical)'!O:O,'Students (Vertical)'!C:C=B480,'Students (Vertical)'!O:O&lt;&gt;"""");filter('Students (Vertical)'!O:O,'Students (Vertical)'!C:C=E480,'Students (Vertical)'!O:O&lt;&gt;"""")},{filter('Students (Vertical)'!O:O,'Students ("&amp;"Vertical)'!C:C=B480,'Students (Vertical)'!O:O&lt;&gt;"""");filter('Students (Vertical)'!O:O,'Students (Vertical)'!C:C=E480,'Students (Vertical)'!O:O&lt;&gt;"""")})&gt;1))),""No shared courses""),"""")"),"")</f>
        <v/>
      </c>
      <c r="J480" s="357" t="str">
        <f>IFERROR(__xludf.DUMMYFUNCTION("if(H480=""Can't be Together"",iferror(join("", "",unique(filter({filter('Students (Vertical)'!O:O,'Students (Vertical)'!C:C=B480,'Students (Vertical)'!O:O&lt;&gt;"""",'Students (Vertical)'!P:P&gt;1);filter('Students (Vertical)'!O:O,'Students (Vertical)'!C:C=E480,'"&amp;"Students (Vertical)'!O:O&lt;&gt;"""",'Students (Vertical)'!P:P&gt;1)},countifs({filter('Students (Vertical)'!O:O,'Students (Vertical)'!C:C=B480,'Students (Vertical)'!O:O&lt;&gt;"""",'Students (Vertical)'!P:P&gt;1);filter('Students (Vertical)'!O:O,'Students (Vertical)'!C:C="&amp;"E480,'Students (Vertical)'!O:O&lt;&gt;"""",'Students (Vertical)'!P:P&gt;1)},{filter('Students (Vertical)'!O:O,'Students (Vertical)'!C:C=B480,'Students (Vertical)'!O:O&lt;&gt;"""",'Students (Vertical)'!P:P&gt;1);filter('Students (Vertical)'!O:O,'Students (Vertical)'!C:C=E48"&amp;"0,'Students (Vertical)'!O:O&lt;&gt;"""",'Students (Vertical)'!P:P&gt;1)})&gt;1))),""""),"""")"),"")</f>
        <v/>
      </c>
      <c r="K480" s="358"/>
    </row>
    <row r="481">
      <c r="A481" s="300" t="s">
        <v>22</v>
      </c>
      <c r="C481" s="300" t="s">
        <v>22</v>
      </c>
      <c r="D481" s="300" t="s">
        <v>22</v>
      </c>
      <c r="F481" s="300" t="s">
        <v>22</v>
      </c>
      <c r="G481" s="300" t="s">
        <v>22</v>
      </c>
      <c r="I481" s="356" t="str">
        <f>IFERROR(__xludf.DUMMYFUNCTION("if(H481=""Must be Together"",iferror(join("", "",unique(filter({filter('Students (Vertical)'!O:O,'Students (Vertical)'!C:C=B481,'Students (Vertical)'!O:O&lt;&gt;"""");filter('Students (Vertical)'!O:O,'Students (Vertical)'!C:C=E481,'Students (Vertical)'!O:O&lt;&gt;"""&amp;""")},countifs({filter('Students (Vertical)'!O:O,'Students (Vertical)'!C:C=B481,'Students (Vertical)'!O:O&lt;&gt;"""");filter('Students (Vertical)'!O:O,'Students (Vertical)'!C:C=E481,'Students (Vertical)'!O:O&lt;&gt;"""")},{filter('Students (Vertical)'!O:O,'Students ("&amp;"Vertical)'!C:C=B481,'Students (Vertical)'!O:O&lt;&gt;"""");filter('Students (Vertical)'!O:O,'Students (Vertical)'!C:C=E481,'Students (Vertical)'!O:O&lt;&gt;"""")})&gt;1))),""No shared courses""),"""")"),"")</f>
        <v/>
      </c>
      <c r="J481" s="357" t="str">
        <f>IFERROR(__xludf.DUMMYFUNCTION("if(H481=""Can't be Together"",iferror(join("", "",unique(filter({filter('Students (Vertical)'!O:O,'Students (Vertical)'!C:C=B481,'Students (Vertical)'!O:O&lt;&gt;"""",'Students (Vertical)'!P:P&gt;1);filter('Students (Vertical)'!O:O,'Students (Vertical)'!C:C=E481,'"&amp;"Students (Vertical)'!O:O&lt;&gt;"""",'Students (Vertical)'!P:P&gt;1)},countifs({filter('Students (Vertical)'!O:O,'Students (Vertical)'!C:C=B481,'Students (Vertical)'!O:O&lt;&gt;"""",'Students (Vertical)'!P:P&gt;1);filter('Students (Vertical)'!O:O,'Students (Vertical)'!C:C="&amp;"E481,'Students (Vertical)'!O:O&lt;&gt;"""",'Students (Vertical)'!P:P&gt;1)},{filter('Students (Vertical)'!O:O,'Students (Vertical)'!C:C=B481,'Students (Vertical)'!O:O&lt;&gt;"""",'Students (Vertical)'!P:P&gt;1);filter('Students (Vertical)'!O:O,'Students (Vertical)'!C:C=E48"&amp;"1,'Students (Vertical)'!O:O&lt;&gt;"""",'Students (Vertical)'!P:P&gt;1)})&gt;1))),""""),"""")"),"")</f>
        <v/>
      </c>
      <c r="K481" s="358"/>
    </row>
    <row r="482">
      <c r="A482" s="300" t="s">
        <v>22</v>
      </c>
      <c r="C482" s="300" t="s">
        <v>22</v>
      </c>
      <c r="D482" s="300" t="s">
        <v>22</v>
      </c>
      <c r="F482" s="300" t="s">
        <v>22</v>
      </c>
      <c r="G482" s="300" t="s">
        <v>22</v>
      </c>
      <c r="I482" s="356" t="str">
        <f>IFERROR(__xludf.DUMMYFUNCTION("if(H482=""Must be Together"",iferror(join("", "",unique(filter({filter('Students (Vertical)'!O:O,'Students (Vertical)'!C:C=B482,'Students (Vertical)'!O:O&lt;&gt;"""");filter('Students (Vertical)'!O:O,'Students (Vertical)'!C:C=E482,'Students (Vertical)'!O:O&lt;&gt;"""&amp;""")},countifs({filter('Students (Vertical)'!O:O,'Students (Vertical)'!C:C=B482,'Students (Vertical)'!O:O&lt;&gt;"""");filter('Students (Vertical)'!O:O,'Students (Vertical)'!C:C=E482,'Students (Vertical)'!O:O&lt;&gt;"""")},{filter('Students (Vertical)'!O:O,'Students ("&amp;"Vertical)'!C:C=B482,'Students (Vertical)'!O:O&lt;&gt;"""");filter('Students (Vertical)'!O:O,'Students (Vertical)'!C:C=E482,'Students (Vertical)'!O:O&lt;&gt;"""")})&gt;1))),""No shared courses""),"""")"),"")</f>
        <v/>
      </c>
      <c r="J482" s="357" t="str">
        <f>IFERROR(__xludf.DUMMYFUNCTION("if(H482=""Can't be Together"",iferror(join("", "",unique(filter({filter('Students (Vertical)'!O:O,'Students (Vertical)'!C:C=B482,'Students (Vertical)'!O:O&lt;&gt;"""",'Students (Vertical)'!P:P&gt;1);filter('Students (Vertical)'!O:O,'Students (Vertical)'!C:C=E482,'"&amp;"Students (Vertical)'!O:O&lt;&gt;"""",'Students (Vertical)'!P:P&gt;1)},countifs({filter('Students (Vertical)'!O:O,'Students (Vertical)'!C:C=B482,'Students (Vertical)'!O:O&lt;&gt;"""",'Students (Vertical)'!P:P&gt;1);filter('Students (Vertical)'!O:O,'Students (Vertical)'!C:C="&amp;"E482,'Students (Vertical)'!O:O&lt;&gt;"""",'Students (Vertical)'!P:P&gt;1)},{filter('Students (Vertical)'!O:O,'Students (Vertical)'!C:C=B482,'Students (Vertical)'!O:O&lt;&gt;"""",'Students (Vertical)'!P:P&gt;1);filter('Students (Vertical)'!O:O,'Students (Vertical)'!C:C=E48"&amp;"2,'Students (Vertical)'!O:O&lt;&gt;"""",'Students (Vertical)'!P:P&gt;1)})&gt;1))),""""),"""")"),"")</f>
        <v/>
      </c>
      <c r="K482" s="358"/>
    </row>
    <row r="483">
      <c r="A483" s="300" t="s">
        <v>22</v>
      </c>
      <c r="C483" s="300" t="s">
        <v>22</v>
      </c>
      <c r="D483" s="300" t="s">
        <v>22</v>
      </c>
      <c r="F483" s="300" t="s">
        <v>22</v>
      </c>
      <c r="G483" s="300" t="s">
        <v>22</v>
      </c>
      <c r="I483" s="356" t="str">
        <f>IFERROR(__xludf.DUMMYFUNCTION("if(H483=""Must be Together"",iferror(join("", "",unique(filter({filter('Students (Vertical)'!O:O,'Students (Vertical)'!C:C=B483,'Students (Vertical)'!O:O&lt;&gt;"""");filter('Students (Vertical)'!O:O,'Students (Vertical)'!C:C=E483,'Students (Vertical)'!O:O&lt;&gt;"""&amp;""")},countifs({filter('Students (Vertical)'!O:O,'Students (Vertical)'!C:C=B483,'Students (Vertical)'!O:O&lt;&gt;"""");filter('Students (Vertical)'!O:O,'Students (Vertical)'!C:C=E483,'Students (Vertical)'!O:O&lt;&gt;"""")},{filter('Students (Vertical)'!O:O,'Students ("&amp;"Vertical)'!C:C=B483,'Students (Vertical)'!O:O&lt;&gt;"""");filter('Students (Vertical)'!O:O,'Students (Vertical)'!C:C=E483,'Students (Vertical)'!O:O&lt;&gt;"""")})&gt;1))),""No shared courses""),"""")"),"")</f>
        <v/>
      </c>
      <c r="J483" s="357" t="str">
        <f>IFERROR(__xludf.DUMMYFUNCTION("if(H483=""Can't be Together"",iferror(join("", "",unique(filter({filter('Students (Vertical)'!O:O,'Students (Vertical)'!C:C=B483,'Students (Vertical)'!O:O&lt;&gt;"""",'Students (Vertical)'!P:P&gt;1);filter('Students (Vertical)'!O:O,'Students (Vertical)'!C:C=E483,'"&amp;"Students (Vertical)'!O:O&lt;&gt;"""",'Students (Vertical)'!P:P&gt;1)},countifs({filter('Students (Vertical)'!O:O,'Students (Vertical)'!C:C=B483,'Students (Vertical)'!O:O&lt;&gt;"""",'Students (Vertical)'!P:P&gt;1);filter('Students (Vertical)'!O:O,'Students (Vertical)'!C:C="&amp;"E483,'Students (Vertical)'!O:O&lt;&gt;"""",'Students (Vertical)'!P:P&gt;1)},{filter('Students (Vertical)'!O:O,'Students (Vertical)'!C:C=B483,'Students (Vertical)'!O:O&lt;&gt;"""",'Students (Vertical)'!P:P&gt;1);filter('Students (Vertical)'!O:O,'Students (Vertical)'!C:C=E48"&amp;"3,'Students (Vertical)'!O:O&lt;&gt;"""",'Students (Vertical)'!P:P&gt;1)})&gt;1))),""""),"""")"),"")</f>
        <v/>
      </c>
      <c r="K483" s="358"/>
    </row>
    <row r="484">
      <c r="A484" s="300" t="s">
        <v>22</v>
      </c>
      <c r="C484" s="300" t="s">
        <v>22</v>
      </c>
      <c r="D484" s="300" t="s">
        <v>22</v>
      </c>
      <c r="F484" s="300" t="s">
        <v>22</v>
      </c>
      <c r="G484" s="300" t="s">
        <v>22</v>
      </c>
      <c r="I484" s="356" t="str">
        <f>IFERROR(__xludf.DUMMYFUNCTION("if(H484=""Must be Together"",iferror(join("", "",unique(filter({filter('Students (Vertical)'!O:O,'Students (Vertical)'!C:C=B484,'Students (Vertical)'!O:O&lt;&gt;"""");filter('Students (Vertical)'!O:O,'Students (Vertical)'!C:C=E484,'Students (Vertical)'!O:O&lt;&gt;"""&amp;""")},countifs({filter('Students (Vertical)'!O:O,'Students (Vertical)'!C:C=B484,'Students (Vertical)'!O:O&lt;&gt;"""");filter('Students (Vertical)'!O:O,'Students (Vertical)'!C:C=E484,'Students (Vertical)'!O:O&lt;&gt;"""")},{filter('Students (Vertical)'!O:O,'Students ("&amp;"Vertical)'!C:C=B484,'Students (Vertical)'!O:O&lt;&gt;"""");filter('Students (Vertical)'!O:O,'Students (Vertical)'!C:C=E484,'Students (Vertical)'!O:O&lt;&gt;"""")})&gt;1))),""No shared courses""),"""")"),"")</f>
        <v/>
      </c>
      <c r="J484" s="357" t="str">
        <f>IFERROR(__xludf.DUMMYFUNCTION("if(H484=""Can't be Together"",iferror(join("", "",unique(filter({filter('Students (Vertical)'!O:O,'Students (Vertical)'!C:C=B484,'Students (Vertical)'!O:O&lt;&gt;"""",'Students (Vertical)'!P:P&gt;1);filter('Students (Vertical)'!O:O,'Students (Vertical)'!C:C=E484,'"&amp;"Students (Vertical)'!O:O&lt;&gt;"""",'Students (Vertical)'!P:P&gt;1)},countifs({filter('Students (Vertical)'!O:O,'Students (Vertical)'!C:C=B484,'Students (Vertical)'!O:O&lt;&gt;"""",'Students (Vertical)'!P:P&gt;1);filter('Students (Vertical)'!O:O,'Students (Vertical)'!C:C="&amp;"E484,'Students (Vertical)'!O:O&lt;&gt;"""",'Students (Vertical)'!P:P&gt;1)},{filter('Students (Vertical)'!O:O,'Students (Vertical)'!C:C=B484,'Students (Vertical)'!O:O&lt;&gt;"""",'Students (Vertical)'!P:P&gt;1);filter('Students (Vertical)'!O:O,'Students (Vertical)'!C:C=E48"&amp;"4,'Students (Vertical)'!O:O&lt;&gt;"""",'Students (Vertical)'!P:P&gt;1)})&gt;1))),""""),"""")"),"")</f>
        <v/>
      </c>
      <c r="K484" s="358"/>
    </row>
    <row r="485">
      <c r="A485" s="300" t="s">
        <v>22</v>
      </c>
      <c r="C485" s="300" t="s">
        <v>22</v>
      </c>
      <c r="D485" s="300" t="s">
        <v>22</v>
      </c>
      <c r="F485" s="300" t="s">
        <v>22</v>
      </c>
      <c r="G485" s="300" t="s">
        <v>22</v>
      </c>
      <c r="I485" s="356" t="str">
        <f>IFERROR(__xludf.DUMMYFUNCTION("if(H485=""Must be Together"",iferror(join("", "",unique(filter({filter('Students (Vertical)'!O:O,'Students (Vertical)'!C:C=B485,'Students (Vertical)'!O:O&lt;&gt;"""");filter('Students (Vertical)'!O:O,'Students (Vertical)'!C:C=E485,'Students (Vertical)'!O:O&lt;&gt;"""&amp;""")},countifs({filter('Students (Vertical)'!O:O,'Students (Vertical)'!C:C=B485,'Students (Vertical)'!O:O&lt;&gt;"""");filter('Students (Vertical)'!O:O,'Students (Vertical)'!C:C=E485,'Students (Vertical)'!O:O&lt;&gt;"""")},{filter('Students (Vertical)'!O:O,'Students ("&amp;"Vertical)'!C:C=B485,'Students (Vertical)'!O:O&lt;&gt;"""");filter('Students (Vertical)'!O:O,'Students (Vertical)'!C:C=E485,'Students (Vertical)'!O:O&lt;&gt;"""")})&gt;1))),""No shared courses""),"""")"),"")</f>
        <v/>
      </c>
      <c r="J485" s="357" t="str">
        <f>IFERROR(__xludf.DUMMYFUNCTION("if(H485=""Can't be Together"",iferror(join("", "",unique(filter({filter('Students (Vertical)'!O:O,'Students (Vertical)'!C:C=B485,'Students (Vertical)'!O:O&lt;&gt;"""",'Students (Vertical)'!P:P&gt;1);filter('Students (Vertical)'!O:O,'Students (Vertical)'!C:C=E485,'"&amp;"Students (Vertical)'!O:O&lt;&gt;"""",'Students (Vertical)'!P:P&gt;1)},countifs({filter('Students (Vertical)'!O:O,'Students (Vertical)'!C:C=B485,'Students (Vertical)'!O:O&lt;&gt;"""",'Students (Vertical)'!P:P&gt;1);filter('Students (Vertical)'!O:O,'Students (Vertical)'!C:C="&amp;"E485,'Students (Vertical)'!O:O&lt;&gt;"""",'Students (Vertical)'!P:P&gt;1)},{filter('Students (Vertical)'!O:O,'Students (Vertical)'!C:C=B485,'Students (Vertical)'!O:O&lt;&gt;"""",'Students (Vertical)'!P:P&gt;1);filter('Students (Vertical)'!O:O,'Students (Vertical)'!C:C=E48"&amp;"5,'Students (Vertical)'!O:O&lt;&gt;"""",'Students (Vertical)'!P:P&gt;1)})&gt;1))),""""),"""")"),"")</f>
        <v/>
      </c>
      <c r="K485" s="358"/>
    </row>
    <row r="486">
      <c r="A486" s="300" t="s">
        <v>22</v>
      </c>
      <c r="C486" s="300" t="s">
        <v>22</v>
      </c>
      <c r="D486" s="300" t="s">
        <v>22</v>
      </c>
      <c r="F486" s="300" t="s">
        <v>22</v>
      </c>
      <c r="G486" s="300" t="s">
        <v>22</v>
      </c>
      <c r="I486" s="356" t="str">
        <f>IFERROR(__xludf.DUMMYFUNCTION("if(H486=""Must be Together"",iferror(join("", "",unique(filter({filter('Students (Vertical)'!O:O,'Students (Vertical)'!C:C=B486,'Students (Vertical)'!O:O&lt;&gt;"""");filter('Students (Vertical)'!O:O,'Students (Vertical)'!C:C=E486,'Students (Vertical)'!O:O&lt;&gt;"""&amp;""")},countifs({filter('Students (Vertical)'!O:O,'Students (Vertical)'!C:C=B486,'Students (Vertical)'!O:O&lt;&gt;"""");filter('Students (Vertical)'!O:O,'Students (Vertical)'!C:C=E486,'Students (Vertical)'!O:O&lt;&gt;"""")},{filter('Students (Vertical)'!O:O,'Students ("&amp;"Vertical)'!C:C=B486,'Students (Vertical)'!O:O&lt;&gt;"""");filter('Students (Vertical)'!O:O,'Students (Vertical)'!C:C=E486,'Students (Vertical)'!O:O&lt;&gt;"""")})&gt;1))),""No shared courses""),"""")"),"")</f>
        <v/>
      </c>
      <c r="J486" s="357" t="str">
        <f>IFERROR(__xludf.DUMMYFUNCTION("if(H486=""Can't be Together"",iferror(join("", "",unique(filter({filter('Students (Vertical)'!O:O,'Students (Vertical)'!C:C=B486,'Students (Vertical)'!O:O&lt;&gt;"""",'Students (Vertical)'!P:P&gt;1);filter('Students (Vertical)'!O:O,'Students (Vertical)'!C:C=E486,'"&amp;"Students (Vertical)'!O:O&lt;&gt;"""",'Students (Vertical)'!P:P&gt;1)},countifs({filter('Students (Vertical)'!O:O,'Students (Vertical)'!C:C=B486,'Students (Vertical)'!O:O&lt;&gt;"""",'Students (Vertical)'!P:P&gt;1);filter('Students (Vertical)'!O:O,'Students (Vertical)'!C:C="&amp;"E486,'Students (Vertical)'!O:O&lt;&gt;"""",'Students (Vertical)'!P:P&gt;1)},{filter('Students (Vertical)'!O:O,'Students (Vertical)'!C:C=B486,'Students (Vertical)'!O:O&lt;&gt;"""",'Students (Vertical)'!P:P&gt;1);filter('Students (Vertical)'!O:O,'Students (Vertical)'!C:C=E48"&amp;"6,'Students (Vertical)'!O:O&lt;&gt;"""",'Students (Vertical)'!P:P&gt;1)})&gt;1))),""""),"""")"),"")</f>
        <v/>
      </c>
      <c r="K486" s="358"/>
    </row>
    <row r="487">
      <c r="A487" s="300" t="s">
        <v>22</v>
      </c>
      <c r="C487" s="300" t="s">
        <v>22</v>
      </c>
      <c r="D487" s="300" t="s">
        <v>22</v>
      </c>
      <c r="F487" s="300" t="s">
        <v>22</v>
      </c>
      <c r="G487" s="300" t="s">
        <v>22</v>
      </c>
      <c r="I487" s="356" t="str">
        <f>IFERROR(__xludf.DUMMYFUNCTION("if(H487=""Must be Together"",iferror(join("", "",unique(filter({filter('Students (Vertical)'!O:O,'Students (Vertical)'!C:C=B487,'Students (Vertical)'!O:O&lt;&gt;"""");filter('Students (Vertical)'!O:O,'Students (Vertical)'!C:C=E487,'Students (Vertical)'!O:O&lt;&gt;"""&amp;""")},countifs({filter('Students (Vertical)'!O:O,'Students (Vertical)'!C:C=B487,'Students (Vertical)'!O:O&lt;&gt;"""");filter('Students (Vertical)'!O:O,'Students (Vertical)'!C:C=E487,'Students (Vertical)'!O:O&lt;&gt;"""")},{filter('Students (Vertical)'!O:O,'Students ("&amp;"Vertical)'!C:C=B487,'Students (Vertical)'!O:O&lt;&gt;"""");filter('Students (Vertical)'!O:O,'Students (Vertical)'!C:C=E487,'Students (Vertical)'!O:O&lt;&gt;"""")})&gt;1))),""No shared courses""),"""")"),"")</f>
        <v/>
      </c>
      <c r="J487" s="357" t="str">
        <f>IFERROR(__xludf.DUMMYFUNCTION("if(H487=""Can't be Together"",iferror(join("", "",unique(filter({filter('Students (Vertical)'!O:O,'Students (Vertical)'!C:C=B487,'Students (Vertical)'!O:O&lt;&gt;"""",'Students (Vertical)'!P:P&gt;1);filter('Students (Vertical)'!O:O,'Students (Vertical)'!C:C=E487,'"&amp;"Students (Vertical)'!O:O&lt;&gt;"""",'Students (Vertical)'!P:P&gt;1)},countifs({filter('Students (Vertical)'!O:O,'Students (Vertical)'!C:C=B487,'Students (Vertical)'!O:O&lt;&gt;"""",'Students (Vertical)'!P:P&gt;1);filter('Students (Vertical)'!O:O,'Students (Vertical)'!C:C="&amp;"E487,'Students (Vertical)'!O:O&lt;&gt;"""",'Students (Vertical)'!P:P&gt;1)},{filter('Students (Vertical)'!O:O,'Students (Vertical)'!C:C=B487,'Students (Vertical)'!O:O&lt;&gt;"""",'Students (Vertical)'!P:P&gt;1);filter('Students (Vertical)'!O:O,'Students (Vertical)'!C:C=E48"&amp;"7,'Students (Vertical)'!O:O&lt;&gt;"""",'Students (Vertical)'!P:P&gt;1)})&gt;1))),""""),"""")"),"")</f>
        <v/>
      </c>
      <c r="K487" s="358"/>
    </row>
    <row r="488">
      <c r="A488" s="300" t="s">
        <v>22</v>
      </c>
      <c r="C488" s="300" t="s">
        <v>22</v>
      </c>
      <c r="D488" s="300" t="s">
        <v>22</v>
      </c>
      <c r="F488" s="300" t="s">
        <v>22</v>
      </c>
      <c r="G488" s="300" t="s">
        <v>22</v>
      </c>
      <c r="I488" s="356" t="str">
        <f>IFERROR(__xludf.DUMMYFUNCTION("if(H488=""Must be Together"",iferror(join("", "",unique(filter({filter('Students (Vertical)'!O:O,'Students (Vertical)'!C:C=B488,'Students (Vertical)'!O:O&lt;&gt;"""");filter('Students (Vertical)'!O:O,'Students (Vertical)'!C:C=E488,'Students (Vertical)'!O:O&lt;&gt;"""&amp;""")},countifs({filter('Students (Vertical)'!O:O,'Students (Vertical)'!C:C=B488,'Students (Vertical)'!O:O&lt;&gt;"""");filter('Students (Vertical)'!O:O,'Students (Vertical)'!C:C=E488,'Students (Vertical)'!O:O&lt;&gt;"""")},{filter('Students (Vertical)'!O:O,'Students ("&amp;"Vertical)'!C:C=B488,'Students (Vertical)'!O:O&lt;&gt;"""");filter('Students (Vertical)'!O:O,'Students (Vertical)'!C:C=E488,'Students (Vertical)'!O:O&lt;&gt;"""")})&gt;1))),""No shared courses""),"""")"),"")</f>
        <v/>
      </c>
      <c r="J488" s="357" t="str">
        <f>IFERROR(__xludf.DUMMYFUNCTION("if(H488=""Can't be Together"",iferror(join("", "",unique(filter({filter('Students (Vertical)'!O:O,'Students (Vertical)'!C:C=B488,'Students (Vertical)'!O:O&lt;&gt;"""",'Students (Vertical)'!P:P&gt;1);filter('Students (Vertical)'!O:O,'Students (Vertical)'!C:C=E488,'"&amp;"Students (Vertical)'!O:O&lt;&gt;"""",'Students (Vertical)'!P:P&gt;1)},countifs({filter('Students (Vertical)'!O:O,'Students (Vertical)'!C:C=B488,'Students (Vertical)'!O:O&lt;&gt;"""",'Students (Vertical)'!P:P&gt;1);filter('Students (Vertical)'!O:O,'Students (Vertical)'!C:C="&amp;"E488,'Students (Vertical)'!O:O&lt;&gt;"""",'Students (Vertical)'!P:P&gt;1)},{filter('Students (Vertical)'!O:O,'Students (Vertical)'!C:C=B488,'Students (Vertical)'!O:O&lt;&gt;"""",'Students (Vertical)'!P:P&gt;1);filter('Students (Vertical)'!O:O,'Students (Vertical)'!C:C=E48"&amp;"8,'Students (Vertical)'!O:O&lt;&gt;"""",'Students (Vertical)'!P:P&gt;1)})&gt;1))),""""),"""")"),"")</f>
        <v/>
      </c>
      <c r="K488" s="358"/>
    </row>
    <row r="489">
      <c r="A489" s="300" t="s">
        <v>22</v>
      </c>
      <c r="C489" s="300" t="s">
        <v>22</v>
      </c>
      <c r="D489" s="300" t="s">
        <v>22</v>
      </c>
      <c r="F489" s="300" t="s">
        <v>22</v>
      </c>
      <c r="G489" s="300" t="s">
        <v>22</v>
      </c>
      <c r="I489" s="356" t="str">
        <f>IFERROR(__xludf.DUMMYFUNCTION("if(H489=""Must be Together"",iferror(join("", "",unique(filter({filter('Students (Vertical)'!O:O,'Students (Vertical)'!C:C=B489,'Students (Vertical)'!O:O&lt;&gt;"""");filter('Students (Vertical)'!O:O,'Students (Vertical)'!C:C=E489,'Students (Vertical)'!O:O&lt;&gt;"""&amp;""")},countifs({filter('Students (Vertical)'!O:O,'Students (Vertical)'!C:C=B489,'Students (Vertical)'!O:O&lt;&gt;"""");filter('Students (Vertical)'!O:O,'Students (Vertical)'!C:C=E489,'Students (Vertical)'!O:O&lt;&gt;"""")},{filter('Students (Vertical)'!O:O,'Students ("&amp;"Vertical)'!C:C=B489,'Students (Vertical)'!O:O&lt;&gt;"""");filter('Students (Vertical)'!O:O,'Students (Vertical)'!C:C=E489,'Students (Vertical)'!O:O&lt;&gt;"""")})&gt;1))),""No shared courses""),"""")"),"")</f>
        <v/>
      </c>
      <c r="J489" s="357" t="str">
        <f>IFERROR(__xludf.DUMMYFUNCTION("if(H489=""Can't be Together"",iferror(join("", "",unique(filter({filter('Students (Vertical)'!O:O,'Students (Vertical)'!C:C=B489,'Students (Vertical)'!O:O&lt;&gt;"""",'Students (Vertical)'!P:P&gt;1);filter('Students (Vertical)'!O:O,'Students (Vertical)'!C:C=E489,'"&amp;"Students (Vertical)'!O:O&lt;&gt;"""",'Students (Vertical)'!P:P&gt;1)},countifs({filter('Students (Vertical)'!O:O,'Students (Vertical)'!C:C=B489,'Students (Vertical)'!O:O&lt;&gt;"""",'Students (Vertical)'!P:P&gt;1);filter('Students (Vertical)'!O:O,'Students (Vertical)'!C:C="&amp;"E489,'Students (Vertical)'!O:O&lt;&gt;"""",'Students (Vertical)'!P:P&gt;1)},{filter('Students (Vertical)'!O:O,'Students (Vertical)'!C:C=B489,'Students (Vertical)'!O:O&lt;&gt;"""",'Students (Vertical)'!P:P&gt;1);filter('Students (Vertical)'!O:O,'Students (Vertical)'!C:C=E48"&amp;"9,'Students (Vertical)'!O:O&lt;&gt;"""",'Students (Vertical)'!P:P&gt;1)})&gt;1))),""""),"""")"),"")</f>
        <v/>
      </c>
      <c r="K489" s="358"/>
    </row>
    <row r="490">
      <c r="A490" s="300" t="s">
        <v>22</v>
      </c>
      <c r="C490" s="300" t="s">
        <v>22</v>
      </c>
      <c r="D490" s="300" t="s">
        <v>22</v>
      </c>
      <c r="F490" s="300" t="s">
        <v>22</v>
      </c>
      <c r="G490" s="300" t="s">
        <v>22</v>
      </c>
      <c r="I490" s="356" t="str">
        <f>IFERROR(__xludf.DUMMYFUNCTION("if(H490=""Must be Together"",iferror(join("", "",unique(filter({filter('Students (Vertical)'!O:O,'Students (Vertical)'!C:C=B490,'Students (Vertical)'!O:O&lt;&gt;"""");filter('Students (Vertical)'!O:O,'Students (Vertical)'!C:C=E490,'Students (Vertical)'!O:O&lt;&gt;"""&amp;""")},countifs({filter('Students (Vertical)'!O:O,'Students (Vertical)'!C:C=B490,'Students (Vertical)'!O:O&lt;&gt;"""");filter('Students (Vertical)'!O:O,'Students (Vertical)'!C:C=E490,'Students (Vertical)'!O:O&lt;&gt;"""")},{filter('Students (Vertical)'!O:O,'Students ("&amp;"Vertical)'!C:C=B490,'Students (Vertical)'!O:O&lt;&gt;"""");filter('Students (Vertical)'!O:O,'Students (Vertical)'!C:C=E490,'Students (Vertical)'!O:O&lt;&gt;"""")})&gt;1))),""No shared courses""),"""")"),"")</f>
        <v/>
      </c>
      <c r="J490" s="357" t="str">
        <f>IFERROR(__xludf.DUMMYFUNCTION("if(H490=""Can't be Together"",iferror(join("", "",unique(filter({filter('Students (Vertical)'!O:O,'Students (Vertical)'!C:C=B490,'Students (Vertical)'!O:O&lt;&gt;"""",'Students (Vertical)'!P:P&gt;1);filter('Students (Vertical)'!O:O,'Students (Vertical)'!C:C=E490,'"&amp;"Students (Vertical)'!O:O&lt;&gt;"""",'Students (Vertical)'!P:P&gt;1)},countifs({filter('Students (Vertical)'!O:O,'Students (Vertical)'!C:C=B490,'Students (Vertical)'!O:O&lt;&gt;"""",'Students (Vertical)'!P:P&gt;1);filter('Students (Vertical)'!O:O,'Students (Vertical)'!C:C="&amp;"E490,'Students (Vertical)'!O:O&lt;&gt;"""",'Students (Vertical)'!P:P&gt;1)},{filter('Students (Vertical)'!O:O,'Students (Vertical)'!C:C=B490,'Students (Vertical)'!O:O&lt;&gt;"""",'Students (Vertical)'!P:P&gt;1);filter('Students (Vertical)'!O:O,'Students (Vertical)'!C:C=E49"&amp;"0,'Students (Vertical)'!O:O&lt;&gt;"""",'Students (Vertical)'!P:P&gt;1)})&gt;1))),""""),"""")"),"")</f>
        <v/>
      </c>
      <c r="K490" s="358"/>
    </row>
    <row r="491">
      <c r="A491" s="300" t="s">
        <v>22</v>
      </c>
      <c r="C491" s="300" t="s">
        <v>22</v>
      </c>
      <c r="D491" s="300" t="s">
        <v>22</v>
      </c>
      <c r="F491" s="300" t="s">
        <v>22</v>
      </c>
      <c r="G491" s="300" t="s">
        <v>22</v>
      </c>
      <c r="I491" s="356" t="str">
        <f>IFERROR(__xludf.DUMMYFUNCTION("if(H491=""Must be Together"",iferror(join("", "",unique(filter({filter('Students (Vertical)'!O:O,'Students (Vertical)'!C:C=B491,'Students (Vertical)'!O:O&lt;&gt;"""");filter('Students (Vertical)'!O:O,'Students (Vertical)'!C:C=E491,'Students (Vertical)'!O:O&lt;&gt;"""&amp;""")},countifs({filter('Students (Vertical)'!O:O,'Students (Vertical)'!C:C=B491,'Students (Vertical)'!O:O&lt;&gt;"""");filter('Students (Vertical)'!O:O,'Students (Vertical)'!C:C=E491,'Students (Vertical)'!O:O&lt;&gt;"""")},{filter('Students (Vertical)'!O:O,'Students ("&amp;"Vertical)'!C:C=B491,'Students (Vertical)'!O:O&lt;&gt;"""");filter('Students (Vertical)'!O:O,'Students (Vertical)'!C:C=E491,'Students (Vertical)'!O:O&lt;&gt;"""")})&gt;1))),""No shared courses""),"""")"),"")</f>
        <v/>
      </c>
      <c r="J491" s="357" t="str">
        <f>IFERROR(__xludf.DUMMYFUNCTION("if(H491=""Can't be Together"",iferror(join("", "",unique(filter({filter('Students (Vertical)'!O:O,'Students (Vertical)'!C:C=B491,'Students (Vertical)'!O:O&lt;&gt;"""",'Students (Vertical)'!P:P&gt;1);filter('Students (Vertical)'!O:O,'Students (Vertical)'!C:C=E491,'"&amp;"Students (Vertical)'!O:O&lt;&gt;"""",'Students (Vertical)'!P:P&gt;1)},countifs({filter('Students (Vertical)'!O:O,'Students (Vertical)'!C:C=B491,'Students (Vertical)'!O:O&lt;&gt;"""",'Students (Vertical)'!P:P&gt;1);filter('Students (Vertical)'!O:O,'Students (Vertical)'!C:C="&amp;"E491,'Students (Vertical)'!O:O&lt;&gt;"""",'Students (Vertical)'!P:P&gt;1)},{filter('Students (Vertical)'!O:O,'Students (Vertical)'!C:C=B491,'Students (Vertical)'!O:O&lt;&gt;"""",'Students (Vertical)'!P:P&gt;1);filter('Students (Vertical)'!O:O,'Students (Vertical)'!C:C=E49"&amp;"1,'Students (Vertical)'!O:O&lt;&gt;"""",'Students (Vertical)'!P:P&gt;1)})&gt;1))),""""),"""")"),"")</f>
        <v/>
      </c>
      <c r="K491" s="358"/>
    </row>
    <row r="492">
      <c r="A492" s="300" t="s">
        <v>22</v>
      </c>
      <c r="C492" s="300" t="s">
        <v>22</v>
      </c>
      <c r="D492" s="300" t="s">
        <v>22</v>
      </c>
      <c r="F492" s="300" t="s">
        <v>22</v>
      </c>
      <c r="G492" s="300" t="s">
        <v>22</v>
      </c>
      <c r="I492" s="356" t="str">
        <f>IFERROR(__xludf.DUMMYFUNCTION("if(H492=""Must be Together"",iferror(join("", "",unique(filter({filter('Students (Vertical)'!O:O,'Students (Vertical)'!C:C=B492,'Students (Vertical)'!O:O&lt;&gt;"""");filter('Students (Vertical)'!O:O,'Students (Vertical)'!C:C=E492,'Students (Vertical)'!O:O&lt;&gt;"""&amp;""")},countifs({filter('Students (Vertical)'!O:O,'Students (Vertical)'!C:C=B492,'Students (Vertical)'!O:O&lt;&gt;"""");filter('Students (Vertical)'!O:O,'Students (Vertical)'!C:C=E492,'Students (Vertical)'!O:O&lt;&gt;"""")},{filter('Students (Vertical)'!O:O,'Students ("&amp;"Vertical)'!C:C=B492,'Students (Vertical)'!O:O&lt;&gt;"""");filter('Students (Vertical)'!O:O,'Students (Vertical)'!C:C=E492,'Students (Vertical)'!O:O&lt;&gt;"""")})&gt;1))),""No shared courses""),"""")"),"")</f>
        <v/>
      </c>
      <c r="J492" s="357" t="str">
        <f>IFERROR(__xludf.DUMMYFUNCTION("if(H492=""Can't be Together"",iferror(join("", "",unique(filter({filter('Students (Vertical)'!O:O,'Students (Vertical)'!C:C=B492,'Students (Vertical)'!O:O&lt;&gt;"""",'Students (Vertical)'!P:P&gt;1);filter('Students (Vertical)'!O:O,'Students (Vertical)'!C:C=E492,'"&amp;"Students (Vertical)'!O:O&lt;&gt;"""",'Students (Vertical)'!P:P&gt;1)},countifs({filter('Students (Vertical)'!O:O,'Students (Vertical)'!C:C=B492,'Students (Vertical)'!O:O&lt;&gt;"""",'Students (Vertical)'!P:P&gt;1);filter('Students (Vertical)'!O:O,'Students (Vertical)'!C:C="&amp;"E492,'Students (Vertical)'!O:O&lt;&gt;"""",'Students (Vertical)'!P:P&gt;1)},{filter('Students (Vertical)'!O:O,'Students (Vertical)'!C:C=B492,'Students (Vertical)'!O:O&lt;&gt;"""",'Students (Vertical)'!P:P&gt;1);filter('Students (Vertical)'!O:O,'Students (Vertical)'!C:C=E49"&amp;"2,'Students (Vertical)'!O:O&lt;&gt;"""",'Students (Vertical)'!P:P&gt;1)})&gt;1))),""""),"""")"),"")</f>
        <v/>
      </c>
      <c r="K492" s="358"/>
    </row>
    <row r="493">
      <c r="A493" s="300" t="s">
        <v>22</v>
      </c>
      <c r="C493" s="300" t="s">
        <v>22</v>
      </c>
      <c r="D493" s="300" t="s">
        <v>22</v>
      </c>
      <c r="F493" s="300" t="s">
        <v>22</v>
      </c>
      <c r="G493" s="300" t="s">
        <v>22</v>
      </c>
      <c r="I493" s="356" t="str">
        <f>IFERROR(__xludf.DUMMYFUNCTION("if(H493=""Must be Together"",iferror(join("", "",unique(filter({filter('Students (Vertical)'!O:O,'Students (Vertical)'!C:C=B493,'Students (Vertical)'!O:O&lt;&gt;"""");filter('Students (Vertical)'!O:O,'Students (Vertical)'!C:C=E493,'Students (Vertical)'!O:O&lt;&gt;"""&amp;""")},countifs({filter('Students (Vertical)'!O:O,'Students (Vertical)'!C:C=B493,'Students (Vertical)'!O:O&lt;&gt;"""");filter('Students (Vertical)'!O:O,'Students (Vertical)'!C:C=E493,'Students (Vertical)'!O:O&lt;&gt;"""")},{filter('Students (Vertical)'!O:O,'Students ("&amp;"Vertical)'!C:C=B493,'Students (Vertical)'!O:O&lt;&gt;"""");filter('Students (Vertical)'!O:O,'Students (Vertical)'!C:C=E493,'Students (Vertical)'!O:O&lt;&gt;"""")})&gt;1))),""No shared courses""),"""")"),"")</f>
        <v/>
      </c>
      <c r="J493" s="357" t="str">
        <f>IFERROR(__xludf.DUMMYFUNCTION("if(H493=""Can't be Together"",iferror(join("", "",unique(filter({filter('Students (Vertical)'!O:O,'Students (Vertical)'!C:C=B493,'Students (Vertical)'!O:O&lt;&gt;"""",'Students (Vertical)'!P:P&gt;1);filter('Students (Vertical)'!O:O,'Students (Vertical)'!C:C=E493,'"&amp;"Students (Vertical)'!O:O&lt;&gt;"""",'Students (Vertical)'!P:P&gt;1)},countifs({filter('Students (Vertical)'!O:O,'Students (Vertical)'!C:C=B493,'Students (Vertical)'!O:O&lt;&gt;"""",'Students (Vertical)'!P:P&gt;1);filter('Students (Vertical)'!O:O,'Students (Vertical)'!C:C="&amp;"E493,'Students (Vertical)'!O:O&lt;&gt;"""",'Students (Vertical)'!P:P&gt;1)},{filter('Students (Vertical)'!O:O,'Students (Vertical)'!C:C=B493,'Students (Vertical)'!O:O&lt;&gt;"""",'Students (Vertical)'!P:P&gt;1);filter('Students (Vertical)'!O:O,'Students (Vertical)'!C:C=E49"&amp;"3,'Students (Vertical)'!O:O&lt;&gt;"""",'Students (Vertical)'!P:P&gt;1)})&gt;1))),""""),"""")"),"")</f>
        <v/>
      </c>
      <c r="K493" s="358"/>
    </row>
    <row r="494">
      <c r="A494" s="300" t="s">
        <v>22</v>
      </c>
      <c r="C494" s="300" t="s">
        <v>22</v>
      </c>
      <c r="D494" s="300" t="s">
        <v>22</v>
      </c>
      <c r="F494" s="300" t="s">
        <v>22</v>
      </c>
      <c r="G494" s="300" t="s">
        <v>22</v>
      </c>
      <c r="I494" s="356" t="str">
        <f>IFERROR(__xludf.DUMMYFUNCTION("if(H494=""Must be Together"",iferror(join("", "",unique(filter({filter('Students (Vertical)'!O:O,'Students (Vertical)'!C:C=B494,'Students (Vertical)'!O:O&lt;&gt;"""");filter('Students (Vertical)'!O:O,'Students (Vertical)'!C:C=E494,'Students (Vertical)'!O:O&lt;&gt;"""&amp;""")},countifs({filter('Students (Vertical)'!O:O,'Students (Vertical)'!C:C=B494,'Students (Vertical)'!O:O&lt;&gt;"""");filter('Students (Vertical)'!O:O,'Students (Vertical)'!C:C=E494,'Students (Vertical)'!O:O&lt;&gt;"""")},{filter('Students (Vertical)'!O:O,'Students ("&amp;"Vertical)'!C:C=B494,'Students (Vertical)'!O:O&lt;&gt;"""");filter('Students (Vertical)'!O:O,'Students (Vertical)'!C:C=E494,'Students (Vertical)'!O:O&lt;&gt;"""")})&gt;1))),""No shared courses""),"""")"),"")</f>
        <v/>
      </c>
      <c r="J494" s="357" t="str">
        <f>IFERROR(__xludf.DUMMYFUNCTION("if(H494=""Can't be Together"",iferror(join("", "",unique(filter({filter('Students (Vertical)'!O:O,'Students (Vertical)'!C:C=B494,'Students (Vertical)'!O:O&lt;&gt;"""",'Students (Vertical)'!P:P&gt;1);filter('Students (Vertical)'!O:O,'Students (Vertical)'!C:C=E494,'"&amp;"Students (Vertical)'!O:O&lt;&gt;"""",'Students (Vertical)'!P:P&gt;1)},countifs({filter('Students (Vertical)'!O:O,'Students (Vertical)'!C:C=B494,'Students (Vertical)'!O:O&lt;&gt;"""",'Students (Vertical)'!P:P&gt;1);filter('Students (Vertical)'!O:O,'Students (Vertical)'!C:C="&amp;"E494,'Students (Vertical)'!O:O&lt;&gt;"""",'Students (Vertical)'!P:P&gt;1)},{filter('Students (Vertical)'!O:O,'Students (Vertical)'!C:C=B494,'Students (Vertical)'!O:O&lt;&gt;"""",'Students (Vertical)'!P:P&gt;1);filter('Students (Vertical)'!O:O,'Students (Vertical)'!C:C=E49"&amp;"4,'Students (Vertical)'!O:O&lt;&gt;"""",'Students (Vertical)'!P:P&gt;1)})&gt;1))),""""),"""")"),"")</f>
        <v/>
      </c>
      <c r="K494" s="358"/>
    </row>
    <row r="495">
      <c r="A495" s="300" t="s">
        <v>22</v>
      </c>
      <c r="C495" s="300" t="s">
        <v>22</v>
      </c>
      <c r="D495" s="300" t="s">
        <v>22</v>
      </c>
      <c r="F495" s="300" t="s">
        <v>22</v>
      </c>
      <c r="G495" s="300" t="s">
        <v>22</v>
      </c>
      <c r="I495" s="356" t="str">
        <f>IFERROR(__xludf.DUMMYFUNCTION("if(H495=""Must be Together"",iferror(join("", "",unique(filter({filter('Students (Vertical)'!O:O,'Students (Vertical)'!C:C=B495,'Students (Vertical)'!O:O&lt;&gt;"""");filter('Students (Vertical)'!O:O,'Students (Vertical)'!C:C=E495,'Students (Vertical)'!O:O&lt;&gt;"""&amp;""")},countifs({filter('Students (Vertical)'!O:O,'Students (Vertical)'!C:C=B495,'Students (Vertical)'!O:O&lt;&gt;"""");filter('Students (Vertical)'!O:O,'Students (Vertical)'!C:C=E495,'Students (Vertical)'!O:O&lt;&gt;"""")},{filter('Students (Vertical)'!O:O,'Students ("&amp;"Vertical)'!C:C=B495,'Students (Vertical)'!O:O&lt;&gt;"""");filter('Students (Vertical)'!O:O,'Students (Vertical)'!C:C=E495,'Students (Vertical)'!O:O&lt;&gt;"""")})&gt;1))),""No shared courses""),"""")"),"")</f>
        <v/>
      </c>
      <c r="J495" s="357" t="str">
        <f>IFERROR(__xludf.DUMMYFUNCTION("if(H495=""Can't be Together"",iferror(join("", "",unique(filter({filter('Students (Vertical)'!O:O,'Students (Vertical)'!C:C=B495,'Students (Vertical)'!O:O&lt;&gt;"""",'Students (Vertical)'!P:P&gt;1);filter('Students (Vertical)'!O:O,'Students (Vertical)'!C:C=E495,'"&amp;"Students (Vertical)'!O:O&lt;&gt;"""",'Students (Vertical)'!P:P&gt;1)},countifs({filter('Students (Vertical)'!O:O,'Students (Vertical)'!C:C=B495,'Students (Vertical)'!O:O&lt;&gt;"""",'Students (Vertical)'!P:P&gt;1);filter('Students (Vertical)'!O:O,'Students (Vertical)'!C:C="&amp;"E495,'Students (Vertical)'!O:O&lt;&gt;"""",'Students (Vertical)'!P:P&gt;1)},{filter('Students (Vertical)'!O:O,'Students (Vertical)'!C:C=B495,'Students (Vertical)'!O:O&lt;&gt;"""",'Students (Vertical)'!P:P&gt;1);filter('Students (Vertical)'!O:O,'Students (Vertical)'!C:C=E49"&amp;"5,'Students (Vertical)'!O:O&lt;&gt;"""",'Students (Vertical)'!P:P&gt;1)})&gt;1))),""""),"""")"),"")</f>
        <v/>
      </c>
      <c r="K495" s="358"/>
    </row>
    <row r="496">
      <c r="A496" s="300" t="s">
        <v>22</v>
      </c>
      <c r="C496" s="300" t="s">
        <v>22</v>
      </c>
      <c r="D496" s="300" t="s">
        <v>22</v>
      </c>
      <c r="F496" s="300" t="s">
        <v>22</v>
      </c>
      <c r="G496" s="300" t="s">
        <v>22</v>
      </c>
      <c r="I496" s="356" t="str">
        <f>IFERROR(__xludf.DUMMYFUNCTION("if(H496=""Must be Together"",iferror(join("", "",unique(filter({filter('Students (Vertical)'!O:O,'Students (Vertical)'!C:C=B496,'Students (Vertical)'!O:O&lt;&gt;"""");filter('Students (Vertical)'!O:O,'Students (Vertical)'!C:C=E496,'Students (Vertical)'!O:O&lt;&gt;"""&amp;""")},countifs({filter('Students (Vertical)'!O:O,'Students (Vertical)'!C:C=B496,'Students (Vertical)'!O:O&lt;&gt;"""");filter('Students (Vertical)'!O:O,'Students (Vertical)'!C:C=E496,'Students (Vertical)'!O:O&lt;&gt;"""")},{filter('Students (Vertical)'!O:O,'Students ("&amp;"Vertical)'!C:C=B496,'Students (Vertical)'!O:O&lt;&gt;"""");filter('Students (Vertical)'!O:O,'Students (Vertical)'!C:C=E496,'Students (Vertical)'!O:O&lt;&gt;"""")})&gt;1))),""No shared courses""),"""")"),"")</f>
        <v/>
      </c>
      <c r="J496" s="357" t="str">
        <f>IFERROR(__xludf.DUMMYFUNCTION("if(H496=""Can't be Together"",iferror(join("", "",unique(filter({filter('Students (Vertical)'!O:O,'Students (Vertical)'!C:C=B496,'Students (Vertical)'!O:O&lt;&gt;"""",'Students (Vertical)'!P:P&gt;1);filter('Students (Vertical)'!O:O,'Students (Vertical)'!C:C=E496,'"&amp;"Students (Vertical)'!O:O&lt;&gt;"""",'Students (Vertical)'!P:P&gt;1)},countifs({filter('Students (Vertical)'!O:O,'Students (Vertical)'!C:C=B496,'Students (Vertical)'!O:O&lt;&gt;"""",'Students (Vertical)'!P:P&gt;1);filter('Students (Vertical)'!O:O,'Students (Vertical)'!C:C="&amp;"E496,'Students (Vertical)'!O:O&lt;&gt;"""",'Students (Vertical)'!P:P&gt;1)},{filter('Students (Vertical)'!O:O,'Students (Vertical)'!C:C=B496,'Students (Vertical)'!O:O&lt;&gt;"""",'Students (Vertical)'!P:P&gt;1);filter('Students (Vertical)'!O:O,'Students (Vertical)'!C:C=E49"&amp;"6,'Students (Vertical)'!O:O&lt;&gt;"""",'Students (Vertical)'!P:P&gt;1)})&gt;1))),""""),"""")"),"")</f>
        <v/>
      </c>
      <c r="K496" s="358"/>
    </row>
    <row r="497">
      <c r="A497" s="300" t="s">
        <v>22</v>
      </c>
      <c r="C497" s="300" t="s">
        <v>22</v>
      </c>
      <c r="D497" s="300" t="s">
        <v>22</v>
      </c>
      <c r="F497" s="300" t="s">
        <v>22</v>
      </c>
      <c r="G497" s="300" t="s">
        <v>22</v>
      </c>
      <c r="I497" s="356" t="str">
        <f>IFERROR(__xludf.DUMMYFUNCTION("if(H497=""Must be Together"",iferror(join("", "",unique(filter({filter('Students (Vertical)'!O:O,'Students (Vertical)'!C:C=B497,'Students (Vertical)'!O:O&lt;&gt;"""");filter('Students (Vertical)'!O:O,'Students (Vertical)'!C:C=E497,'Students (Vertical)'!O:O&lt;&gt;"""&amp;""")},countifs({filter('Students (Vertical)'!O:O,'Students (Vertical)'!C:C=B497,'Students (Vertical)'!O:O&lt;&gt;"""");filter('Students (Vertical)'!O:O,'Students (Vertical)'!C:C=E497,'Students (Vertical)'!O:O&lt;&gt;"""")},{filter('Students (Vertical)'!O:O,'Students ("&amp;"Vertical)'!C:C=B497,'Students (Vertical)'!O:O&lt;&gt;"""");filter('Students (Vertical)'!O:O,'Students (Vertical)'!C:C=E497,'Students (Vertical)'!O:O&lt;&gt;"""")})&gt;1))),""No shared courses""),"""")"),"")</f>
        <v/>
      </c>
      <c r="J497" s="357" t="str">
        <f>IFERROR(__xludf.DUMMYFUNCTION("if(H497=""Can't be Together"",iferror(join("", "",unique(filter({filter('Students (Vertical)'!O:O,'Students (Vertical)'!C:C=B497,'Students (Vertical)'!O:O&lt;&gt;"""",'Students (Vertical)'!P:P&gt;1);filter('Students (Vertical)'!O:O,'Students (Vertical)'!C:C=E497,'"&amp;"Students (Vertical)'!O:O&lt;&gt;"""",'Students (Vertical)'!P:P&gt;1)},countifs({filter('Students (Vertical)'!O:O,'Students (Vertical)'!C:C=B497,'Students (Vertical)'!O:O&lt;&gt;"""",'Students (Vertical)'!P:P&gt;1);filter('Students (Vertical)'!O:O,'Students (Vertical)'!C:C="&amp;"E497,'Students (Vertical)'!O:O&lt;&gt;"""",'Students (Vertical)'!P:P&gt;1)},{filter('Students (Vertical)'!O:O,'Students (Vertical)'!C:C=B497,'Students (Vertical)'!O:O&lt;&gt;"""",'Students (Vertical)'!P:P&gt;1);filter('Students (Vertical)'!O:O,'Students (Vertical)'!C:C=E49"&amp;"7,'Students (Vertical)'!O:O&lt;&gt;"""",'Students (Vertical)'!P:P&gt;1)})&gt;1))),""""),"""")"),"")</f>
        <v/>
      </c>
      <c r="K497" s="358"/>
    </row>
    <row r="498">
      <c r="A498" s="300" t="s">
        <v>22</v>
      </c>
      <c r="C498" s="300" t="s">
        <v>22</v>
      </c>
      <c r="D498" s="300" t="s">
        <v>22</v>
      </c>
      <c r="F498" s="300" t="s">
        <v>22</v>
      </c>
      <c r="G498" s="300" t="s">
        <v>22</v>
      </c>
      <c r="I498" s="356" t="str">
        <f>IFERROR(__xludf.DUMMYFUNCTION("if(H498=""Must be Together"",iferror(join("", "",unique(filter({filter('Students (Vertical)'!O:O,'Students (Vertical)'!C:C=B498,'Students (Vertical)'!O:O&lt;&gt;"""");filter('Students (Vertical)'!O:O,'Students (Vertical)'!C:C=E498,'Students (Vertical)'!O:O&lt;&gt;"""&amp;""")},countifs({filter('Students (Vertical)'!O:O,'Students (Vertical)'!C:C=B498,'Students (Vertical)'!O:O&lt;&gt;"""");filter('Students (Vertical)'!O:O,'Students (Vertical)'!C:C=E498,'Students (Vertical)'!O:O&lt;&gt;"""")},{filter('Students (Vertical)'!O:O,'Students ("&amp;"Vertical)'!C:C=B498,'Students (Vertical)'!O:O&lt;&gt;"""");filter('Students (Vertical)'!O:O,'Students (Vertical)'!C:C=E498,'Students (Vertical)'!O:O&lt;&gt;"""")})&gt;1))),""No shared courses""),"""")"),"")</f>
        <v/>
      </c>
      <c r="J498" s="357" t="str">
        <f>IFERROR(__xludf.DUMMYFUNCTION("if(H498=""Can't be Together"",iferror(join("", "",unique(filter({filter('Students (Vertical)'!O:O,'Students (Vertical)'!C:C=B498,'Students (Vertical)'!O:O&lt;&gt;"""",'Students (Vertical)'!P:P&gt;1);filter('Students (Vertical)'!O:O,'Students (Vertical)'!C:C=E498,'"&amp;"Students (Vertical)'!O:O&lt;&gt;"""",'Students (Vertical)'!P:P&gt;1)},countifs({filter('Students (Vertical)'!O:O,'Students (Vertical)'!C:C=B498,'Students (Vertical)'!O:O&lt;&gt;"""",'Students (Vertical)'!P:P&gt;1);filter('Students (Vertical)'!O:O,'Students (Vertical)'!C:C="&amp;"E498,'Students (Vertical)'!O:O&lt;&gt;"""",'Students (Vertical)'!P:P&gt;1)},{filter('Students (Vertical)'!O:O,'Students (Vertical)'!C:C=B498,'Students (Vertical)'!O:O&lt;&gt;"""",'Students (Vertical)'!P:P&gt;1);filter('Students (Vertical)'!O:O,'Students (Vertical)'!C:C=E49"&amp;"8,'Students (Vertical)'!O:O&lt;&gt;"""",'Students (Vertical)'!P:P&gt;1)})&gt;1))),""""),"""")"),"")</f>
        <v/>
      </c>
      <c r="K498" s="358"/>
    </row>
    <row r="499">
      <c r="A499" s="300" t="s">
        <v>22</v>
      </c>
      <c r="C499" s="300" t="s">
        <v>22</v>
      </c>
      <c r="D499" s="300" t="s">
        <v>22</v>
      </c>
      <c r="F499" s="300" t="s">
        <v>22</v>
      </c>
      <c r="G499" s="300" t="s">
        <v>22</v>
      </c>
      <c r="I499" s="356" t="str">
        <f>IFERROR(__xludf.DUMMYFUNCTION("if(H499=""Must be Together"",iferror(join("", "",unique(filter({filter('Students (Vertical)'!O:O,'Students (Vertical)'!C:C=B499,'Students (Vertical)'!O:O&lt;&gt;"""");filter('Students (Vertical)'!O:O,'Students (Vertical)'!C:C=E499,'Students (Vertical)'!O:O&lt;&gt;"""&amp;""")},countifs({filter('Students (Vertical)'!O:O,'Students (Vertical)'!C:C=B499,'Students (Vertical)'!O:O&lt;&gt;"""");filter('Students (Vertical)'!O:O,'Students (Vertical)'!C:C=E499,'Students (Vertical)'!O:O&lt;&gt;"""")},{filter('Students (Vertical)'!O:O,'Students ("&amp;"Vertical)'!C:C=B499,'Students (Vertical)'!O:O&lt;&gt;"""");filter('Students (Vertical)'!O:O,'Students (Vertical)'!C:C=E499,'Students (Vertical)'!O:O&lt;&gt;"""")})&gt;1))),""No shared courses""),"""")"),"")</f>
        <v/>
      </c>
      <c r="J499" s="357" t="str">
        <f>IFERROR(__xludf.DUMMYFUNCTION("if(H499=""Can't be Together"",iferror(join("", "",unique(filter({filter('Students (Vertical)'!O:O,'Students (Vertical)'!C:C=B499,'Students (Vertical)'!O:O&lt;&gt;"""",'Students (Vertical)'!P:P&gt;1);filter('Students (Vertical)'!O:O,'Students (Vertical)'!C:C=E499,'"&amp;"Students (Vertical)'!O:O&lt;&gt;"""",'Students (Vertical)'!P:P&gt;1)},countifs({filter('Students (Vertical)'!O:O,'Students (Vertical)'!C:C=B499,'Students (Vertical)'!O:O&lt;&gt;"""",'Students (Vertical)'!P:P&gt;1);filter('Students (Vertical)'!O:O,'Students (Vertical)'!C:C="&amp;"E499,'Students (Vertical)'!O:O&lt;&gt;"""",'Students (Vertical)'!P:P&gt;1)},{filter('Students (Vertical)'!O:O,'Students (Vertical)'!C:C=B499,'Students (Vertical)'!O:O&lt;&gt;"""",'Students (Vertical)'!P:P&gt;1);filter('Students (Vertical)'!O:O,'Students (Vertical)'!C:C=E49"&amp;"9,'Students (Vertical)'!O:O&lt;&gt;"""",'Students (Vertical)'!P:P&gt;1)})&gt;1))),""""),"""")"),"")</f>
        <v/>
      </c>
      <c r="K499" s="358"/>
    </row>
    <row r="500">
      <c r="A500" s="300" t="s">
        <v>22</v>
      </c>
      <c r="C500" s="300" t="s">
        <v>22</v>
      </c>
      <c r="D500" s="300" t="s">
        <v>22</v>
      </c>
      <c r="F500" s="300" t="s">
        <v>22</v>
      </c>
      <c r="G500" s="300" t="s">
        <v>22</v>
      </c>
      <c r="I500" s="356" t="str">
        <f>IFERROR(__xludf.DUMMYFUNCTION("if(H500=""Must be Together"",iferror(join("", "",unique(filter({filter('Students (Vertical)'!O:O,'Students (Vertical)'!C:C=B500,'Students (Vertical)'!O:O&lt;&gt;"""");filter('Students (Vertical)'!O:O,'Students (Vertical)'!C:C=E500,'Students (Vertical)'!O:O&lt;&gt;"""&amp;""")},countifs({filter('Students (Vertical)'!O:O,'Students (Vertical)'!C:C=B500,'Students (Vertical)'!O:O&lt;&gt;"""");filter('Students (Vertical)'!O:O,'Students (Vertical)'!C:C=E500,'Students (Vertical)'!O:O&lt;&gt;"""")},{filter('Students (Vertical)'!O:O,'Students ("&amp;"Vertical)'!C:C=B500,'Students (Vertical)'!O:O&lt;&gt;"""");filter('Students (Vertical)'!O:O,'Students (Vertical)'!C:C=E500,'Students (Vertical)'!O:O&lt;&gt;"""")})&gt;1))),""No shared courses""),"""")"),"")</f>
        <v/>
      </c>
      <c r="J500" s="357" t="str">
        <f>IFERROR(__xludf.DUMMYFUNCTION("if(H500=""Can't be Together"",iferror(join("", "",unique(filter({filter('Students (Vertical)'!O:O,'Students (Vertical)'!C:C=B500,'Students (Vertical)'!O:O&lt;&gt;"""",'Students (Vertical)'!P:P&gt;1);filter('Students (Vertical)'!O:O,'Students (Vertical)'!C:C=E500,'"&amp;"Students (Vertical)'!O:O&lt;&gt;"""",'Students (Vertical)'!P:P&gt;1)},countifs({filter('Students (Vertical)'!O:O,'Students (Vertical)'!C:C=B500,'Students (Vertical)'!O:O&lt;&gt;"""",'Students (Vertical)'!P:P&gt;1);filter('Students (Vertical)'!O:O,'Students (Vertical)'!C:C="&amp;"E500,'Students (Vertical)'!O:O&lt;&gt;"""",'Students (Vertical)'!P:P&gt;1)},{filter('Students (Vertical)'!O:O,'Students (Vertical)'!C:C=B500,'Students (Vertical)'!O:O&lt;&gt;"""",'Students (Vertical)'!P:P&gt;1);filter('Students (Vertical)'!O:O,'Students (Vertical)'!C:C=E50"&amp;"0,'Students (Vertical)'!O:O&lt;&gt;"""",'Students (Vertical)'!P:P&gt;1)})&gt;1))),""""),"""")"),"")</f>
        <v/>
      </c>
      <c r="K500" s="358"/>
    </row>
    <row r="501">
      <c r="A501" s="300" t="s">
        <v>22</v>
      </c>
      <c r="C501" s="300" t="s">
        <v>22</v>
      </c>
      <c r="D501" s="300" t="s">
        <v>22</v>
      </c>
      <c r="F501" s="300" t="s">
        <v>22</v>
      </c>
      <c r="G501" s="300" t="s">
        <v>22</v>
      </c>
      <c r="I501" s="356" t="str">
        <f>IFERROR(__xludf.DUMMYFUNCTION("if(H501=""Must be Together"",iferror(join("", "",unique(filter({filter('Students (Vertical)'!O:O,'Students (Vertical)'!C:C=B501,'Students (Vertical)'!O:O&lt;&gt;"""");filter('Students (Vertical)'!O:O,'Students (Vertical)'!C:C=E501,'Students (Vertical)'!O:O&lt;&gt;"""&amp;""")},countifs({filter('Students (Vertical)'!O:O,'Students (Vertical)'!C:C=B501,'Students (Vertical)'!O:O&lt;&gt;"""");filter('Students (Vertical)'!O:O,'Students (Vertical)'!C:C=E501,'Students (Vertical)'!O:O&lt;&gt;"""")},{filter('Students (Vertical)'!O:O,'Students ("&amp;"Vertical)'!C:C=B501,'Students (Vertical)'!O:O&lt;&gt;"""");filter('Students (Vertical)'!O:O,'Students (Vertical)'!C:C=E501,'Students (Vertical)'!O:O&lt;&gt;"""")})&gt;1))),""No shared courses""),"""")"),"")</f>
        <v/>
      </c>
      <c r="J501" s="357" t="str">
        <f>IFERROR(__xludf.DUMMYFUNCTION("if(H501=""Can't be Together"",iferror(join("", "",unique(filter({filter('Students (Vertical)'!O:O,'Students (Vertical)'!C:C=B501,'Students (Vertical)'!O:O&lt;&gt;"""",'Students (Vertical)'!P:P&gt;1);filter('Students (Vertical)'!O:O,'Students (Vertical)'!C:C=E501,'"&amp;"Students (Vertical)'!O:O&lt;&gt;"""",'Students (Vertical)'!P:P&gt;1)},countifs({filter('Students (Vertical)'!O:O,'Students (Vertical)'!C:C=B501,'Students (Vertical)'!O:O&lt;&gt;"""",'Students (Vertical)'!P:P&gt;1);filter('Students (Vertical)'!O:O,'Students (Vertical)'!C:C="&amp;"E501,'Students (Vertical)'!O:O&lt;&gt;"""",'Students (Vertical)'!P:P&gt;1)},{filter('Students (Vertical)'!O:O,'Students (Vertical)'!C:C=B501,'Students (Vertical)'!O:O&lt;&gt;"""",'Students (Vertical)'!P:P&gt;1);filter('Students (Vertical)'!O:O,'Students (Vertical)'!C:C=E50"&amp;"1,'Students (Vertical)'!O:O&lt;&gt;"""",'Students (Vertical)'!P:P&gt;1)})&gt;1))),""""),"""")"),"")</f>
        <v/>
      </c>
      <c r="K501" s="358"/>
    </row>
    <row r="502">
      <c r="A502" s="300" t="s">
        <v>22</v>
      </c>
      <c r="C502" s="300" t="s">
        <v>22</v>
      </c>
      <c r="D502" s="300" t="s">
        <v>22</v>
      </c>
      <c r="F502" s="300" t="s">
        <v>22</v>
      </c>
      <c r="G502" s="300" t="s">
        <v>22</v>
      </c>
      <c r="I502" s="356" t="str">
        <f>IFERROR(__xludf.DUMMYFUNCTION("if(H502=""Must be Together"",iferror(join("", "",unique(filter({filter('Students (Vertical)'!O:O,'Students (Vertical)'!C:C=B502,'Students (Vertical)'!O:O&lt;&gt;"""");filter('Students (Vertical)'!O:O,'Students (Vertical)'!C:C=E502,'Students (Vertical)'!O:O&lt;&gt;"""&amp;""")},countifs({filter('Students (Vertical)'!O:O,'Students (Vertical)'!C:C=B502,'Students (Vertical)'!O:O&lt;&gt;"""");filter('Students (Vertical)'!O:O,'Students (Vertical)'!C:C=E502,'Students (Vertical)'!O:O&lt;&gt;"""")},{filter('Students (Vertical)'!O:O,'Students ("&amp;"Vertical)'!C:C=B502,'Students (Vertical)'!O:O&lt;&gt;"""");filter('Students (Vertical)'!O:O,'Students (Vertical)'!C:C=E502,'Students (Vertical)'!O:O&lt;&gt;"""")})&gt;1))),""No shared courses""),"""")"),"")</f>
        <v/>
      </c>
      <c r="J502" s="357" t="str">
        <f>IFERROR(__xludf.DUMMYFUNCTION("if(H502=""Can't be Together"",iferror(join("", "",unique(filter({filter('Students (Vertical)'!O:O,'Students (Vertical)'!C:C=B502,'Students (Vertical)'!O:O&lt;&gt;"""",'Students (Vertical)'!P:P&gt;1);filter('Students (Vertical)'!O:O,'Students (Vertical)'!C:C=E502,'"&amp;"Students (Vertical)'!O:O&lt;&gt;"""",'Students (Vertical)'!P:P&gt;1)},countifs({filter('Students (Vertical)'!O:O,'Students (Vertical)'!C:C=B502,'Students (Vertical)'!O:O&lt;&gt;"""",'Students (Vertical)'!P:P&gt;1);filter('Students (Vertical)'!O:O,'Students (Vertical)'!C:C="&amp;"E502,'Students (Vertical)'!O:O&lt;&gt;"""",'Students (Vertical)'!P:P&gt;1)},{filter('Students (Vertical)'!O:O,'Students (Vertical)'!C:C=B502,'Students (Vertical)'!O:O&lt;&gt;"""",'Students (Vertical)'!P:P&gt;1);filter('Students (Vertical)'!O:O,'Students (Vertical)'!C:C=E50"&amp;"2,'Students (Vertical)'!O:O&lt;&gt;"""",'Students (Vertical)'!P:P&gt;1)})&gt;1))),""""),"""")"),"")</f>
        <v/>
      </c>
      <c r="K502" s="358"/>
    </row>
    <row r="503">
      <c r="A503" s="300" t="s">
        <v>22</v>
      </c>
      <c r="C503" s="300" t="s">
        <v>22</v>
      </c>
      <c r="D503" s="300" t="s">
        <v>22</v>
      </c>
      <c r="F503" s="300" t="s">
        <v>22</v>
      </c>
      <c r="G503" s="300" t="s">
        <v>22</v>
      </c>
      <c r="I503" s="356" t="str">
        <f>IFERROR(__xludf.DUMMYFUNCTION("if(H503=""Must be Together"",iferror(join("", "",unique(filter({filter('Students (Vertical)'!O:O,'Students (Vertical)'!C:C=B503,'Students (Vertical)'!O:O&lt;&gt;"""");filter('Students (Vertical)'!O:O,'Students (Vertical)'!C:C=E503,'Students (Vertical)'!O:O&lt;&gt;"""&amp;""")},countifs({filter('Students (Vertical)'!O:O,'Students (Vertical)'!C:C=B503,'Students (Vertical)'!O:O&lt;&gt;"""");filter('Students (Vertical)'!O:O,'Students (Vertical)'!C:C=E503,'Students (Vertical)'!O:O&lt;&gt;"""")},{filter('Students (Vertical)'!O:O,'Students ("&amp;"Vertical)'!C:C=B503,'Students (Vertical)'!O:O&lt;&gt;"""");filter('Students (Vertical)'!O:O,'Students (Vertical)'!C:C=E503,'Students (Vertical)'!O:O&lt;&gt;"""")})&gt;1))),""No shared courses""),"""")"),"")</f>
        <v/>
      </c>
      <c r="J503" s="357" t="str">
        <f>IFERROR(__xludf.DUMMYFUNCTION("if(H503=""Can't be Together"",iferror(join("", "",unique(filter({filter('Students (Vertical)'!O:O,'Students (Vertical)'!C:C=B503,'Students (Vertical)'!O:O&lt;&gt;"""",'Students (Vertical)'!P:P&gt;1);filter('Students (Vertical)'!O:O,'Students (Vertical)'!C:C=E503,'"&amp;"Students (Vertical)'!O:O&lt;&gt;"""",'Students (Vertical)'!P:P&gt;1)},countifs({filter('Students (Vertical)'!O:O,'Students (Vertical)'!C:C=B503,'Students (Vertical)'!O:O&lt;&gt;"""",'Students (Vertical)'!P:P&gt;1);filter('Students (Vertical)'!O:O,'Students (Vertical)'!C:C="&amp;"E503,'Students (Vertical)'!O:O&lt;&gt;"""",'Students (Vertical)'!P:P&gt;1)},{filter('Students (Vertical)'!O:O,'Students (Vertical)'!C:C=B503,'Students (Vertical)'!O:O&lt;&gt;"""",'Students (Vertical)'!P:P&gt;1);filter('Students (Vertical)'!O:O,'Students (Vertical)'!C:C=E50"&amp;"3,'Students (Vertical)'!O:O&lt;&gt;"""",'Students (Vertical)'!P:P&gt;1)})&gt;1))),""""),"""")"),"")</f>
        <v/>
      </c>
      <c r="K503" s="358"/>
    </row>
    <row r="504">
      <c r="A504" s="300" t="s">
        <v>22</v>
      </c>
      <c r="C504" s="300" t="s">
        <v>22</v>
      </c>
      <c r="D504" s="300" t="s">
        <v>22</v>
      </c>
      <c r="F504" s="300" t="s">
        <v>22</v>
      </c>
      <c r="G504" s="300" t="s">
        <v>22</v>
      </c>
      <c r="I504" s="356" t="str">
        <f>IFERROR(__xludf.DUMMYFUNCTION("if(H504=""Must be Together"",iferror(join("", "",unique(filter({filter('Students (Vertical)'!O:O,'Students (Vertical)'!C:C=B504,'Students (Vertical)'!O:O&lt;&gt;"""");filter('Students (Vertical)'!O:O,'Students (Vertical)'!C:C=E504,'Students (Vertical)'!O:O&lt;&gt;"""&amp;""")},countifs({filter('Students (Vertical)'!O:O,'Students (Vertical)'!C:C=B504,'Students (Vertical)'!O:O&lt;&gt;"""");filter('Students (Vertical)'!O:O,'Students (Vertical)'!C:C=E504,'Students (Vertical)'!O:O&lt;&gt;"""")},{filter('Students (Vertical)'!O:O,'Students ("&amp;"Vertical)'!C:C=B504,'Students (Vertical)'!O:O&lt;&gt;"""");filter('Students (Vertical)'!O:O,'Students (Vertical)'!C:C=E504,'Students (Vertical)'!O:O&lt;&gt;"""")})&gt;1))),""No shared courses""),"""")"),"")</f>
        <v/>
      </c>
      <c r="J504" s="357" t="str">
        <f>IFERROR(__xludf.DUMMYFUNCTION("if(H504=""Can't be Together"",iferror(join("", "",unique(filter({filter('Students (Vertical)'!O:O,'Students (Vertical)'!C:C=B504,'Students (Vertical)'!O:O&lt;&gt;"""",'Students (Vertical)'!P:P&gt;1);filter('Students (Vertical)'!O:O,'Students (Vertical)'!C:C=E504,'"&amp;"Students (Vertical)'!O:O&lt;&gt;"""",'Students (Vertical)'!P:P&gt;1)},countifs({filter('Students (Vertical)'!O:O,'Students (Vertical)'!C:C=B504,'Students (Vertical)'!O:O&lt;&gt;"""",'Students (Vertical)'!P:P&gt;1);filter('Students (Vertical)'!O:O,'Students (Vertical)'!C:C="&amp;"E504,'Students (Vertical)'!O:O&lt;&gt;"""",'Students (Vertical)'!P:P&gt;1)},{filter('Students (Vertical)'!O:O,'Students (Vertical)'!C:C=B504,'Students (Vertical)'!O:O&lt;&gt;"""",'Students (Vertical)'!P:P&gt;1);filter('Students (Vertical)'!O:O,'Students (Vertical)'!C:C=E50"&amp;"4,'Students (Vertical)'!O:O&lt;&gt;"""",'Students (Vertical)'!P:P&gt;1)})&gt;1))),""""),"""")"),"")</f>
        <v/>
      </c>
      <c r="K504" s="358"/>
    </row>
    <row r="505">
      <c r="A505" s="300" t="s">
        <v>22</v>
      </c>
      <c r="C505" s="300" t="s">
        <v>22</v>
      </c>
      <c r="D505" s="300" t="s">
        <v>22</v>
      </c>
      <c r="F505" s="300" t="s">
        <v>22</v>
      </c>
      <c r="G505" s="300" t="s">
        <v>22</v>
      </c>
      <c r="I505" s="356" t="str">
        <f>IFERROR(__xludf.DUMMYFUNCTION("if(H505=""Must be Together"",iferror(join("", "",unique(filter({filter('Students (Vertical)'!O:O,'Students (Vertical)'!C:C=B505,'Students (Vertical)'!O:O&lt;&gt;"""");filter('Students (Vertical)'!O:O,'Students (Vertical)'!C:C=E505,'Students (Vertical)'!O:O&lt;&gt;"""&amp;""")},countifs({filter('Students (Vertical)'!O:O,'Students (Vertical)'!C:C=B505,'Students (Vertical)'!O:O&lt;&gt;"""");filter('Students (Vertical)'!O:O,'Students (Vertical)'!C:C=E505,'Students (Vertical)'!O:O&lt;&gt;"""")},{filter('Students (Vertical)'!O:O,'Students ("&amp;"Vertical)'!C:C=B505,'Students (Vertical)'!O:O&lt;&gt;"""");filter('Students (Vertical)'!O:O,'Students (Vertical)'!C:C=E505,'Students (Vertical)'!O:O&lt;&gt;"""")})&gt;1))),""No shared courses""),"""")"),"")</f>
        <v/>
      </c>
      <c r="J505" s="357" t="str">
        <f>IFERROR(__xludf.DUMMYFUNCTION("if(H505=""Can't be Together"",iferror(join("", "",unique(filter({filter('Students (Vertical)'!O:O,'Students (Vertical)'!C:C=B505,'Students (Vertical)'!O:O&lt;&gt;"""",'Students (Vertical)'!P:P&gt;1);filter('Students (Vertical)'!O:O,'Students (Vertical)'!C:C=E505,'"&amp;"Students (Vertical)'!O:O&lt;&gt;"""",'Students (Vertical)'!P:P&gt;1)},countifs({filter('Students (Vertical)'!O:O,'Students (Vertical)'!C:C=B505,'Students (Vertical)'!O:O&lt;&gt;"""",'Students (Vertical)'!P:P&gt;1);filter('Students (Vertical)'!O:O,'Students (Vertical)'!C:C="&amp;"E505,'Students (Vertical)'!O:O&lt;&gt;"""",'Students (Vertical)'!P:P&gt;1)},{filter('Students (Vertical)'!O:O,'Students (Vertical)'!C:C=B505,'Students (Vertical)'!O:O&lt;&gt;"""",'Students (Vertical)'!P:P&gt;1);filter('Students (Vertical)'!O:O,'Students (Vertical)'!C:C=E50"&amp;"5,'Students (Vertical)'!O:O&lt;&gt;"""",'Students (Vertical)'!P:P&gt;1)})&gt;1))),""""),"""")"),"")</f>
        <v/>
      </c>
      <c r="K505" s="358"/>
    </row>
    <row r="506">
      <c r="A506" s="300" t="s">
        <v>22</v>
      </c>
      <c r="C506" s="300" t="s">
        <v>22</v>
      </c>
      <c r="D506" s="300" t="s">
        <v>22</v>
      </c>
      <c r="F506" s="300" t="s">
        <v>22</v>
      </c>
      <c r="G506" s="300" t="s">
        <v>22</v>
      </c>
      <c r="I506" s="356" t="str">
        <f>IFERROR(__xludf.DUMMYFUNCTION("if(H506=""Must be Together"",iferror(join("", "",unique(filter({filter('Students (Vertical)'!O:O,'Students (Vertical)'!C:C=B506,'Students (Vertical)'!O:O&lt;&gt;"""");filter('Students (Vertical)'!O:O,'Students (Vertical)'!C:C=E506,'Students (Vertical)'!O:O&lt;&gt;"""&amp;""")},countifs({filter('Students (Vertical)'!O:O,'Students (Vertical)'!C:C=B506,'Students (Vertical)'!O:O&lt;&gt;"""");filter('Students (Vertical)'!O:O,'Students (Vertical)'!C:C=E506,'Students (Vertical)'!O:O&lt;&gt;"""")},{filter('Students (Vertical)'!O:O,'Students ("&amp;"Vertical)'!C:C=B506,'Students (Vertical)'!O:O&lt;&gt;"""");filter('Students (Vertical)'!O:O,'Students (Vertical)'!C:C=E506,'Students (Vertical)'!O:O&lt;&gt;"""")})&gt;1))),""No shared courses""),"""")"),"")</f>
        <v/>
      </c>
      <c r="J506" s="357" t="str">
        <f>IFERROR(__xludf.DUMMYFUNCTION("if(H506=""Can't be Together"",iferror(join("", "",unique(filter({filter('Students (Vertical)'!O:O,'Students (Vertical)'!C:C=B506,'Students (Vertical)'!O:O&lt;&gt;"""",'Students (Vertical)'!P:P&gt;1);filter('Students (Vertical)'!O:O,'Students (Vertical)'!C:C=E506,'"&amp;"Students (Vertical)'!O:O&lt;&gt;"""",'Students (Vertical)'!P:P&gt;1)},countifs({filter('Students (Vertical)'!O:O,'Students (Vertical)'!C:C=B506,'Students (Vertical)'!O:O&lt;&gt;"""",'Students (Vertical)'!P:P&gt;1);filter('Students (Vertical)'!O:O,'Students (Vertical)'!C:C="&amp;"E506,'Students (Vertical)'!O:O&lt;&gt;"""",'Students (Vertical)'!P:P&gt;1)},{filter('Students (Vertical)'!O:O,'Students (Vertical)'!C:C=B506,'Students (Vertical)'!O:O&lt;&gt;"""",'Students (Vertical)'!P:P&gt;1);filter('Students (Vertical)'!O:O,'Students (Vertical)'!C:C=E50"&amp;"6,'Students (Vertical)'!O:O&lt;&gt;"""",'Students (Vertical)'!P:P&gt;1)})&gt;1))),""""),"""")"),"")</f>
        <v/>
      </c>
      <c r="K506" s="358"/>
    </row>
    <row r="507">
      <c r="A507" s="300" t="s">
        <v>22</v>
      </c>
      <c r="C507" s="300" t="s">
        <v>22</v>
      </c>
      <c r="D507" s="300" t="s">
        <v>22</v>
      </c>
      <c r="F507" s="300" t="s">
        <v>22</v>
      </c>
      <c r="G507" s="300" t="s">
        <v>22</v>
      </c>
      <c r="I507" s="356" t="str">
        <f>IFERROR(__xludf.DUMMYFUNCTION("if(H507=""Must be Together"",iferror(join("", "",unique(filter({filter('Students (Vertical)'!O:O,'Students (Vertical)'!C:C=B507,'Students (Vertical)'!O:O&lt;&gt;"""");filter('Students (Vertical)'!O:O,'Students (Vertical)'!C:C=E507,'Students (Vertical)'!O:O&lt;&gt;"""&amp;""")},countifs({filter('Students (Vertical)'!O:O,'Students (Vertical)'!C:C=B507,'Students (Vertical)'!O:O&lt;&gt;"""");filter('Students (Vertical)'!O:O,'Students (Vertical)'!C:C=E507,'Students (Vertical)'!O:O&lt;&gt;"""")},{filter('Students (Vertical)'!O:O,'Students ("&amp;"Vertical)'!C:C=B507,'Students (Vertical)'!O:O&lt;&gt;"""");filter('Students (Vertical)'!O:O,'Students (Vertical)'!C:C=E507,'Students (Vertical)'!O:O&lt;&gt;"""")})&gt;1))),""No shared courses""),"""")"),"")</f>
        <v/>
      </c>
      <c r="J507" s="357" t="str">
        <f>IFERROR(__xludf.DUMMYFUNCTION("if(H507=""Can't be Together"",iferror(join("", "",unique(filter({filter('Students (Vertical)'!O:O,'Students (Vertical)'!C:C=B507,'Students (Vertical)'!O:O&lt;&gt;"""",'Students (Vertical)'!P:P&gt;1);filter('Students (Vertical)'!O:O,'Students (Vertical)'!C:C=E507,'"&amp;"Students (Vertical)'!O:O&lt;&gt;"""",'Students (Vertical)'!P:P&gt;1)},countifs({filter('Students (Vertical)'!O:O,'Students (Vertical)'!C:C=B507,'Students (Vertical)'!O:O&lt;&gt;"""",'Students (Vertical)'!P:P&gt;1);filter('Students (Vertical)'!O:O,'Students (Vertical)'!C:C="&amp;"E507,'Students (Vertical)'!O:O&lt;&gt;"""",'Students (Vertical)'!P:P&gt;1)},{filter('Students (Vertical)'!O:O,'Students (Vertical)'!C:C=B507,'Students (Vertical)'!O:O&lt;&gt;"""",'Students (Vertical)'!P:P&gt;1);filter('Students (Vertical)'!O:O,'Students (Vertical)'!C:C=E50"&amp;"7,'Students (Vertical)'!O:O&lt;&gt;"""",'Students (Vertical)'!P:P&gt;1)})&gt;1))),""""),"""")"),"")</f>
        <v/>
      </c>
      <c r="K507" s="358"/>
    </row>
    <row r="508">
      <c r="A508" s="300" t="s">
        <v>22</v>
      </c>
      <c r="C508" s="300" t="s">
        <v>22</v>
      </c>
      <c r="D508" s="300" t="s">
        <v>22</v>
      </c>
      <c r="F508" s="300" t="s">
        <v>22</v>
      </c>
      <c r="G508" s="300" t="s">
        <v>22</v>
      </c>
      <c r="I508" s="356" t="str">
        <f>IFERROR(__xludf.DUMMYFUNCTION("if(H508=""Must be Together"",iferror(join("", "",unique(filter({filter('Students (Vertical)'!O:O,'Students (Vertical)'!C:C=B508,'Students (Vertical)'!O:O&lt;&gt;"""");filter('Students (Vertical)'!O:O,'Students (Vertical)'!C:C=E508,'Students (Vertical)'!O:O&lt;&gt;"""&amp;""")},countifs({filter('Students (Vertical)'!O:O,'Students (Vertical)'!C:C=B508,'Students (Vertical)'!O:O&lt;&gt;"""");filter('Students (Vertical)'!O:O,'Students (Vertical)'!C:C=E508,'Students (Vertical)'!O:O&lt;&gt;"""")},{filter('Students (Vertical)'!O:O,'Students ("&amp;"Vertical)'!C:C=B508,'Students (Vertical)'!O:O&lt;&gt;"""");filter('Students (Vertical)'!O:O,'Students (Vertical)'!C:C=E508,'Students (Vertical)'!O:O&lt;&gt;"""")})&gt;1))),""No shared courses""),"""")"),"")</f>
        <v/>
      </c>
      <c r="J508" s="357" t="str">
        <f>IFERROR(__xludf.DUMMYFUNCTION("if(H508=""Can't be Together"",iferror(join("", "",unique(filter({filter('Students (Vertical)'!O:O,'Students (Vertical)'!C:C=B508,'Students (Vertical)'!O:O&lt;&gt;"""",'Students (Vertical)'!P:P&gt;1);filter('Students (Vertical)'!O:O,'Students (Vertical)'!C:C=E508,'"&amp;"Students (Vertical)'!O:O&lt;&gt;"""",'Students (Vertical)'!P:P&gt;1)},countifs({filter('Students (Vertical)'!O:O,'Students (Vertical)'!C:C=B508,'Students (Vertical)'!O:O&lt;&gt;"""",'Students (Vertical)'!P:P&gt;1);filter('Students (Vertical)'!O:O,'Students (Vertical)'!C:C="&amp;"E508,'Students (Vertical)'!O:O&lt;&gt;"""",'Students (Vertical)'!P:P&gt;1)},{filter('Students (Vertical)'!O:O,'Students (Vertical)'!C:C=B508,'Students (Vertical)'!O:O&lt;&gt;"""",'Students (Vertical)'!P:P&gt;1);filter('Students (Vertical)'!O:O,'Students (Vertical)'!C:C=E50"&amp;"8,'Students (Vertical)'!O:O&lt;&gt;"""",'Students (Vertical)'!P:P&gt;1)})&gt;1))),""""),"""")"),"")</f>
        <v/>
      </c>
      <c r="K508" s="358"/>
    </row>
    <row r="509">
      <c r="A509" s="300" t="s">
        <v>22</v>
      </c>
      <c r="C509" s="300" t="s">
        <v>22</v>
      </c>
      <c r="D509" s="300" t="s">
        <v>22</v>
      </c>
      <c r="F509" s="300" t="s">
        <v>22</v>
      </c>
      <c r="G509" s="300" t="s">
        <v>22</v>
      </c>
      <c r="I509" s="356" t="str">
        <f>IFERROR(__xludf.DUMMYFUNCTION("if(H509=""Must be Together"",iferror(join("", "",unique(filter({filter('Students (Vertical)'!O:O,'Students (Vertical)'!C:C=B509,'Students (Vertical)'!O:O&lt;&gt;"""");filter('Students (Vertical)'!O:O,'Students (Vertical)'!C:C=E509,'Students (Vertical)'!O:O&lt;&gt;"""&amp;""")},countifs({filter('Students (Vertical)'!O:O,'Students (Vertical)'!C:C=B509,'Students (Vertical)'!O:O&lt;&gt;"""");filter('Students (Vertical)'!O:O,'Students (Vertical)'!C:C=E509,'Students (Vertical)'!O:O&lt;&gt;"""")},{filter('Students (Vertical)'!O:O,'Students ("&amp;"Vertical)'!C:C=B509,'Students (Vertical)'!O:O&lt;&gt;"""");filter('Students (Vertical)'!O:O,'Students (Vertical)'!C:C=E509,'Students (Vertical)'!O:O&lt;&gt;"""")})&gt;1))),""No shared courses""),"""")"),"")</f>
        <v/>
      </c>
      <c r="J509" s="357" t="str">
        <f>IFERROR(__xludf.DUMMYFUNCTION("if(H509=""Can't be Together"",iferror(join("", "",unique(filter({filter('Students (Vertical)'!O:O,'Students (Vertical)'!C:C=B509,'Students (Vertical)'!O:O&lt;&gt;"""",'Students (Vertical)'!P:P&gt;1);filter('Students (Vertical)'!O:O,'Students (Vertical)'!C:C=E509,'"&amp;"Students (Vertical)'!O:O&lt;&gt;"""",'Students (Vertical)'!P:P&gt;1)},countifs({filter('Students (Vertical)'!O:O,'Students (Vertical)'!C:C=B509,'Students (Vertical)'!O:O&lt;&gt;"""",'Students (Vertical)'!P:P&gt;1);filter('Students (Vertical)'!O:O,'Students (Vertical)'!C:C="&amp;"E509,'Students (Vertical)'!O:O&lt;&gt;"""",'Students (Vertical)'!P:P&gt;1)},{filter('Students (Vertical)'!O:O,'Students (Vertical)'!C:C=B509,'Students (Vertical)'!O:O&lt;&gt;"""",'Students (Vertical)'!P:P&gt;1);filter('Students (Vertical)'!O:O,'Students (Vertical)'!C:C=E50"&amp;"9,'Students (Vertical)'!O:O&lt;&gt;"""",'Students (Vertical)'!P:P&gt;1)})&gt;1))),""""),"""")"),"")</f>
        <v/>
      </c>
      <c r="K509" s="358"/>
    </row>
    <row r="510">
      <c r="A510" s="300" t="s">
        <v>22</v>
      </c>
      <c r="C510" s="300" t="s">
        <v>22</v>
      </c>
      <c r="D510" s="300" t="s">
        <v>22</v>
      </c>
      <c r="F510" s="300" t="s">
        <v>22</v>
      </c>
      <c r="G510" s="300" t="s">
        <v>22</v>
      </c>
      <c r="I510" s="356" t="str">
        <f>IFERROR(__xludf.DUMMYFUNCTION("if(H510=""Must be Together"",iferror(join("", "",unique(filter({filter('Students (Vertical)'!O:O,'Students (Vertical)'!C:C=B510,'Students (Vertical)'!O:O&lt;&gt;"""");filter('Students (Vertical)'!O:O,'Students (Vertical)'!C:C=E510,'Students (Vertical)'!O:O&lt;&gt;"""&amp;""")},countifs({filter('Students (Vertical)'!O:O,'Students (Vertical)'!C:C=B510,'Students (Vertical)'!O:O&lt;&gt;"""");filter('Students (Vertical)'!O:O,'Students (Vertical)'!C:C=E510,'Students (Vertical)'!O:O&lt;&gt;"""")},{filter('Students (Vertical)'!O:O,'Students ("&amp;"Vertical)'!C:C=B510,'Students (Vertical)'!O:O&lt;&gt;"""");filter('Students (Vertical)'!O:O,'Students (Vertical)'!C:C=E510,'Students (Vertical)'!O:O&lt;&gt;"""")})&gt;1))),""No shared courses""),"""")"),"")</f>
        <v/>
      </c>
      <c r="J510" s="357" t="str">
        <f>IFERROR(__xludf.DUMMYFUNCTION("if(H510=""Can't be Together"",iferror(join("", "",unique(filter({filter('Students (Vertical)'!O:O,'Students (Vertical)'!C:C=B510,'Students (Vertical)'!O:O&lt;&gt;"""",'Students (Vertical)'!P:P&gt;1);filter('Students (Vertical)'!O:O,'Students (Vertical)'!C:C=E510,'"&amp;"Students (Vertical)'!O:O&lt;&gt;"""",'Students (Vertical)'!P:P&gt;1)},countifs({filter('Students (Vertical)'!O:O,'Students (Vertical)'!C:C=B510,'Students (Vertical)'!O:O&lt;&gt;"""",'Students (Vertical)'!P:P&gt;1);filter('Students (Vertical)'!O:O,'Students (Vertical)'!C:C="&amp;"E510,'Students (Vertical)'!O:O&lt;&gt;"""",'Students (Vertical)'!P:P&gt;1)},{filter('Students (Vertical)'!O:O,'Students (Vertical)'!C:C=B510,'Students (Vertical)'!O:O&lt;&gt;"""",'Students (Vertical)'!P:P&gt;1);filter('Students (Vertical)'!O:O,'Students (Vertical)'!C:C=E51"&amp;"0,'Students (Vertical)'!O:O&lt;&gt;"""",'Students (Vertical)'!P:P&gt;1)})&gt;1))),""""),"""")"),"")</f>
        <v/>
      </c>
      <c r="K510" s="358"/>
    </row>
    <row r="511">
      <c r="A511" s="300" t="s">
        <v>22</v>
      </c>
      <c r="C511" s="300" t="s">
        <v>22</v>
      </c>
      <c r="D511" s="300" t="s">
        <v>22</v>
      </c>
      <c r="F511" s="300" t="s">
        <v>22</v>
      </c>
      <c r="G511" s="300" t="s">
        <v>22</v>
      </c>
      <c r="I511" s="356" t="str">
        <f>IFERROR(__xludf.DUMMYFUNCTION("if(H511=""Must be Together"",iferror(join("", "",unique(filter({filter('Students (Vertical)'!O:O,'Students (Vertical)'!C:C=B511,'Students (Vertical)'!O:O&lt;&gt;"""");filter('Students (Vertical)'!O:O,'Students (Vertical)'!C:C=E511,'Students (Vertical)'!O:O&lt;&gt;"""&amp;""")},countifs({filter('Students (Vertical)'!O:O,'Students (Vertical)'!C:C=B511,'Students (Vertical)'!O:O&lt;&gt;"""");filter('Students (Vertical)'!O:O,'Students (Vertical)'!C:C=E511,'Students (Vertical)'!O:O&lt;&gt;"""")},{filter('Students (Vertical)'!O:O,'Students ("&amp;"Vertical)'!C:C=B511,'Students (Vertical)'!O:O&lt;&gt;"""");filter('Students (Vertical)'!O:O,'Students (Vertical)'!C:C=E511,'Students (Vertical)'!O:O&lt;&gt;"""")})&gt;1))),""No shared courses""),"""")"),"")</f>
        <v/>
      </c>
      <c r="J511" s="357" t="str">
        <f>IFERROR(__xludf.DUMMYFUNCTION("if(H511=""Can't be Together"",iferror(join("", "",unique(filter({filter('Students (Vertical)'!O:O,'Students (Vertical)'!C:C=B511,'Students (Vertical)'!O:O&lt;&gt;"""",'Students (Vertical)'!P:P&gt;1);filter('Students (Vertical)'!O:O,'Students (Vertical)'!C:C=E511,'"&amp;"Students (Vertical)'!O:O&lt;&gt;"""",'Students (Vertical)'!P:P&gt;1)},countifs({filter('Students (Vertical)'!O:O,'Students (Vertical)'!C:C=B511,'Students (Vertical)'!O:O&lt;&gt;"""",'Students (Vertical)'!P:P&gt;1);filter('Students (Vertical)'!O:O,'Students (Vertical)'!C:C="&amp;"E511,'Students (Vertical)'!O:O&lt;&gt;"""",'Students (Vertical)'!P:P&gt;1)},{filter('Students (Vertical)'!O:O,'Students (Vertical)'!C:C=B511,'Students (Vertical)'!O:O&lt;&gt;"""",'Students (Vertical)'!P:P&gt;1);filter('Students (Vertical)'!O:O,'Students (Vertical)'!C:C=E51"&amp;"1,'Students (Vertical)'!O:O&lt;&gt;"""",'Students (Vertical)'!P:P&gt;1)})&gt;1))),""""),"""")"),"")</f>
        <v/>
      </c>
      <c r="K511" s="358"/>
    </row>
    <row r="512">
      <c r="A512" s="300" t="s">
        <v>22</v>
      </c>
      <c r="C512" s="300" t="s">
        <v>22</v>
      </c>
      <c r="D512" s="300" t="s">
        <v>22</v>
      </c>
      <c r="F512" s="300" t="s">
        <v>22</v>
      </c>
      <c r="G512" s="300" t="s">
        <v>22</v>
      </c>
      <c r="I512" s="356" t="str">
        <f>IFERROR(__xludf.DUMMYFUNCTION("if(H512=""Must be Together"",iferror(join("", "",unique(filter({filter('Students (Vertical)'!O:O,'Students (Vertical)'!C:C=B512,'Students (Vertical)'!O:O&lt;&gt;"""");filter('Students (Vertical)'!O:O,'Students (Vertical)'!C:C=E512,'Students (Vertical)'!O:O&lt;&gt;"""&amp;""")},countifs({filter('Students (Vertical)'!O:O,'Students (Vertical)'!C:C=B512,'Students (Vertical)'!O:O&lt;&gt;"""");filter('Students (Vertical)'!O:O,'Students (Vertical)'!C:C=E512,'Students (Vertical)'!O:O&lt;&gt;"""")},{filter('Students (Vertical)'!O:O,'Students ("&amp;"Vertical)'!C:C=B512,'Students (Vertical)'!O:O&lt;&gt;"""");filter('Students (Vertical)'!O:O,'Students (Vertical)'!C:C=E512,'Students (Vertical)'!O:O&lt;&gt;"""")})&gt;1))),""No shared courses""),"""")"),"")</f>
        <v/>
      </c>
      <c r="J512" s="357" t="str">
        <f>IFERROR(__xludf.DUMMYFUNCTION("if(H512=""Can't be Together"",iferror(join("", "",unique(filter({filter('Students (Vertical)'!O:O,'Students (Vertical)'!C:C=B512,'Students (Vertical)'!O:O&lt;&gt;"""",'Students (Vertical)'!P:P&gt;1);filter('Students (Vertical)'!O:O,'Students (Vertical)'!C:C=E512,'"&amp;"Students (Vertical)'!O:O&lt;&gt;"""",'Students (Vertical)'!P:P&gt;1)},countifs({filter('Students (Vertical)'!O:O,'Students (Vertical)'!C:C=B512,'Students (Vertical)'!O:O&lt;&gt;"""",'Students (Vertical)'!P:P&gt;1);filter('Students (Vertical)'!O:O,'Students (Vertical)'!C:C="&amp;"E512,'Students (Vertical)'!O:O&lt;&gt;"""",'Students (Vertical)'!P:P&gt;1)},{filter('Students (Vertical)'!O:O,'Students (Vertical)'!C:C=B512,'Students (Vertical)'!O:O&lt;&gt;"""",'Students (Vertical)'!P:P&gt;1);filter('Students (Vertical)'!O:O,'Students (Vertical)'!C:C=E51"&amp;"2,'Students (Vertical)'!O:O&lt;&gt;"""",'Students (Vertical)'!P:P&gt;1)})&gt;1))),""""),"""")"),"")</f>
        <v/>
      </c>
      <c r="K512" s="358"/>
    </row>
    <row r="513">
      <c r="A513" s="300" t="s">
        <v>22</v>
      </c>
      <c r="C513" s="300" t="s">
        <v>22</v>
      </c>
      <c r="D513" s="300" t="s">
        <v>22</v>
      </c>
      <c r="F513" s="300" t="s">
        <v>22</v>
      </c>
      <c r="G513" s="300" t="s">
        <v>22</v>
      </c>
      <c r="I513" s="356" t="str">
        <f>IFERROR(__xludf.DUMMYFUNCTION("if(H513=""Must be Together"",iferror(join("", "",unique(filter({filter('Students (Vertical)'!O:O,'Students (Vertical)'!C:C=B513,'Students (Vertical)'!O:O&lt;&gt;"""");filter('Students (Vertical)'!O:O,'Students (Vertical)'!C:C=E513,'Students (Vertical)'!O:O&lt;&gt;"""&amp;""")},countifs({filter('Students (Vertical)'!O:O,'Students (Vertical)'!C:C=B513,'Students (Vertical)'!O:O&lt;&gt;"""");filter('Students (Vertical)'!O:O,'Students (Vertical)'!C:C=E513,'Students (Vertical)'!O:O&lt;&gt;"""")},{filter('Students (Vertical)'!O:O,'Students ("&amp;"Vertical)'!C:C=B513,'Students (Vertical)'!O:O&lt;&gt;"""");filter('Students (Vertical)'!O:O,'Students (Vertical)'!C:C=E513,'Students (Vertical)'!O:O&lt;&gt;"""")})&gt;1))),""No shared courses""),"""")"),"")</f>
        <v/>
      </c>
      <c r="J513" s="357" t="str">
        <f>IFERROR(__xludf.DUMMYFUNCTION("if(H513=""Can't be Together"",iferror(join("", "",unique(filter({filter('Students (Vertical)'!O:O,'Students (Vertical)'!C:C=B513,'Students (Vertical)'!O:O&lt;&gt;"""",'Students (Vertical)'!P:P&gt;1);filter('Students (Vertical)'!O:O,'Students (Vertical)'!C:C=E513,'"&amp;"Students (Vertical)'!O:O&lt;&gt;"""",'Students (Vertical)'!P:P&gt;1)},countifs({filter('Students (Vertical)'!O:O,'Students (Vertical)'!C:C=B513,'Students (Vertical)'!O:O&lt;&gt;"""",'Students (Vertical)'!P:P&gt;1);filter('Students (Vertical)'!O:O,'Students (Vertical)'!C:C="&amp;"E513,'Students (Vertical)'!O:O&lt;&gt;"""",'Students (Vertical)'!P:P&gt;1)},{filter('Students (Vertical)'!O:O,'Students (Vertical)'!C:C=B513,'Students (Vertical)'!O:O&lt;&gt;"""",'Students (Vertical)'!P:P&gt;1);filter('Students (Vertical)'!O:O,'Students (Vertical)'!C:C=E51"&amp;"3,'Students (Vertical)'!O:O&lt;&gt;"""",'Students (Vertical)'!P:P&gt;1)})&gt;1))),""""),"""")"),"")</f>
        <v/>
      </c>
      <c r="K513" s="358"/>
    </row>
    <row r="514">
      <c r="A514" s="300" t="s">
        <v>22</v>
      </c>
      <c r="C514" s="300" t="s">
        <v>22</v>
      </c>
      <c r="D514" s="300" t="s">
        <v>22</v>
      </c>
      <c r="F514" s="300" t="s">
        <v>22</v>
      </c>
      <c r="G514" s="300" t="s">
        <v>22</v>
      </c>
      <c r="I514" s="356" t="str">
        <f>IFERROR(__xludf.DUMMYFUNCTION("if(H514=""Must be Together"",iferror(join("", "",unique(filter({filter('Students (Vertical)'!O:O,'Students (Vertical)'!C:C=B514,'Students (Vertical)'!O:O&lt;&gt;"""");filter('Students (Vertical)'!O:O,'Students (Vertical)'!C:C=E514,'Students (Vertical)'!O:O&lt;&gt;"""&amp;""")},countifs({filter('Students (Vertical)'!O:O,'Students (Vertical)'!C:C=B514,'Students (Vertical)'!O:O&lt;&gt;"""");filter('Students (Vertical)'!O:O,'Students (Vertical)'!C:C=E514,'Students (Vertical)'!O:O&lt;&gt;"""")},{filter('Students (Vertical)'!O:O,'Students ("&amp;"Vertical)'!C:C=B514,'Students (Vertical)'!O:O&lt;&gt;"""");filter('Students (Vertical)'!O:O,'Students (Vertical)'!C:C=E514,'Students (Vertical)'!O:O&lt;&gt;"""")})&gt;1))),""No shared courses""),"""")"),"")</f>
        <v/>
      </c>
      <c r="J514" s="357" t="str">
        <f>IFERROR(__xludf.DUMMYFUNCTION("if(H514=""Can't be Together"",iferror(join("", "",unique(filter({filter('Students (Vertical)'!O:O,'Students (Vertical)'!C:C=B514,'Students (Vertical)'!O:O&lt;&gt;"""",'Students (Vertical)'!P:P&gt;1);filter('Students (Vertical)'!O:O,'Students (Vertical)'!C:C=E514,'"&amp;"Students (Vertical)'!O:O&lt;&gt;"""",'Students (Vertical)'!P:P&gt;1)},countifs({filter('Students (Vertical)'!O:O,'Students (Vertical)'!C:C=B514,'Students (Vertical)'!O:O&lt;&gt;"""",'Students (Vertical)'!P:P&gt;1);filter('Students (Vertical)'!O:O,'Students (Vertical)'!C:C="&amp;"E514,'Students (Vertical)'!O:O&lt;&gt;"""",'Students (Vertical)'!P:P&gt;1)},{filter('Students (Vertical)'!O:O,'Students (Vertical)'!C:C=B514,'Students (Vertical)'!O:O&lt;&gt;"""",'Students (Vertical)'!P:P&gt;1);filter('Students (Vertical)'!O:O,'Students (Vertical)'!C:C=E51"&amp;"4,'Students (Vertical)'!O:O&lt;&gt;"""",'Students (Vertical)'!P:P&gt;1)})&gt;1))),""""),"""")"),"")</f>
        <v/>
      </c>
      <c r="K514" s="358"/>
    </row>
    <row r="515">
      <c r="A515" s="300" t="s">
        <v>22</v>
      </c>
      <c r="C515" s="300" t="s">
        <v>22</v>
      </c>
      <c r="D515" s="300" t="s">
        <v>22</v>
      </c>
      <c r="F515" s="300" t="s">
        <v>22</v>
      </c>
      <c r="G515" s="300" t="s">
        <v>22</v>
      </c>
      <c r="I515" s="356" t="str">
        <f>IFERROR(__xludf.DUMMYFUNCTION("if(H515=""Must be Together"",iferror(join("", "",unique(filter({filter('Students (Vertical)'!O:O,'Students (Vertical)'!C:C=B515,'Students (Vertical)'!O:O&lt;&gt;"""");filter('Students (Vertical)'!O:O,'Students (Vertical)'!C:C=E515,'Students (Vertical)'!O:O&lt;&gt;"""&amp;""")},countifs({filter('Students (Vertical)'!O:O,'Students (Vertical)'!C:C=B515,'Students (Vertical)'!O:O&lt;&gt;"""");filter('Students (Vertical)'!O:O,'Students (Vertical)'!C:C=E515,'Students (Vertical)'!O:O&lt;&gt;"""")},{filter('Students (Vertical)'!O:O,'Students ("&amp;"Vertical)'!C:C=B515,'Students (Vertical)'!O:O&lt;&gt;"""");filter('Students (Vertical)'!O:O,'Students (Vertical)'!C:C=E515,'Students (Vertical)'!O:O&lt;&gt;"""")})&gt;1))),""No shared courses""),"""")"),"")</f>
        <v/>
      </c>
      <c r="J515" s="357" t="str">
        <f>IFERROR(__xludf.DUMMYFUNCTION("if(H515=""Can't be Together"",iferror(join("", "",unique(filter({filter('Students (Vertical)'!O:O,'Students (Vertical)'!C:C=B515,'Students (Vertical)'!O:O&lt;&gt;"""",'Students (Vertical)'!P:P&gt;1);filter('Students (Vertical)'!O:O,'Students (Vertical)'!C:C=E515,'"&amp;"Students (Vertical)'!O:O&lt;&gt;"""",'Students (Vertical)'!P:P&gt;1)},countifs({filter('Students (Vertical)'!O:O,'Students (Vertical)'!C:C=B515,'Students (Vertical)'!O:O&lt;&gt;"""",'Students (Vertical)'!P:P&gt;1);filter('Students (Vertical)'!O:O,'Students (Vertical)'!C:C="&amp;"E515,'Students (Vertical)'!O:O&lt;&gt;"""",'Students (Vertical)'!P:P&gt;1)},{filter('Students (Vertical)'!O:O,'Students (Vertical)'!C:C=B515,'Students (Vertical)'!O:O&lt;&gt;"""",'Students (Vertical)'!P:P&gt;1);filter('Students (Vertical)'!O:O,'Students (Vertical)'!C:C=E51"&amp;"5,'Students (Vertical)'!O:O&lt;&gt;"""",'Students (Vertical)'!P:P&gt;1)})&gt;1))),""""),"""")"),"")</f>
        <v/>
      </c>
      <c r="K515" s="358"/>
    </row>
    <row r="516">
      <c r="A516" s="300" t="s">
        <v>22</v>
      </c>
      <c r="C516" s="300" t="s">
        <v>22</v>
      </c>
      <c r="D516" s="300" t="s">
        <v>22</v>
      </c>
      <c r="F516" s="300" t="s">
        <v>22</v>
      </c>
      <c r="G516" s="300" t="s">
        <v>22</v>
      </c>
      <c r="I516" s="356" t="str">
        <f>IFERROR(__xludf.DUMMYFUNCTION("if(H516=""Must be Together"",iferror(join("", "",unique(filter({filter('Students (Vertical)'!O:O,'Students (Vertical)'!C:C=B516,'Students (Vertical)'!O:O&lt;&gt;"""");filter('Students (Vertical)'!O:O,'Students (Vertical)'!C:C=E516,'Students (Vertical)'!O:O&lt;&gt;"""&amp;""")},countifs({filter('Students (Vertical)'!O:O,'Students (Vertical)'!C:C=B516,'Students (Vertical)'!O:O&lt;&gt;"""");filter('Students (Vertical)'!O:O,'Students (Vertical)'!C:C=E516,'Students (Vertical)'!O:O&lt;&gt;"""")},{filter('Students (Vertical)'!O:O,'Students ("&amp;"Vertical)'!C:C=B516,'Students (Vertical)'!O:O&lt;&gt;"""");filter('Students (Vertical)'!O:O,'Students (Vertical)'!C:C=E516,'Students (Vertical)'!O:O&lt;&gt;"""")})&gt;1))),""No shared courses""),"""")"),"")</f>
        <v/>
      </c>
      <c r="J516" s="357" t="str">
        <f>IFERROR(__xludf.DUMMYFUNCTION("if(H516=""Can't be Together"",iferror(join("", "",unique(filter({filter('Students (Vertical)'!O:O,'Students (Vertical)'!C:C=B516,'Students (Vertical)'!O:O&lt;&gt;"""",'Students (Vertical)'!P:P&gt;1);filter('Students (Vertical)'!O:O,'Students (Vertical)'!C:C=E516,'"&amp;"Students (Vertical)'!O:O&lt;&gt;"""",'Students (Vertical)'!P:P&gt;1)},countifs({filter('Students (Vertical)'!O:O,'Students (Vertical)'!C:C=B516,'Students (Vertical)'!O:O&lt;&gt;"""",'Students (Vertical)'!P:P&gt;1);filter('Students (Vertical)'!O:O,'Students (Vertical)'!C:C="&amp;"E516,'Students (Vertical)'!O:O&lt;&gt;"""",'Students (Vertical)'!P:P&gt;1)},{filter('Students (Vertical)'!O:O,'Students (Vertical)'!C:C=B516,'Students (Vertical)'!O:O&lt;&gt;"""",'Students (Vertical)'!P:P&gt;1);filter('Students (Vertical)'!O:O,'Students (Vertical)'!C:C=E51"&amp;"6,'Students (Vertical)'!O:O&lt;&gt;"""",'Students (Vertical)'!P:P&gt;1)})&gt;1))),""""),"""")"),"")</f>
        <v/>
      </c>
      <c r="K516" s="358"/>
    </row>
    <row r="517">
      <c r="A517" s="300" t="s">
        <v>22</v>
      </c>
      <c r="C517" s="300" t="s">
        <v>22</v>
      </c>
      <c r="D517" s="300" t="s">
        <v>22</v>
      </c>
      <c r="F517" s="300" t="s">
        <v>22</v>
      </c>
      <c r="G517" s="300" t="s">
        <v>22</v>
      </c>
      <c r="I517" s="356" t="str">
        <f>IFERROR(__xludf.DUMMYFUNCTION("if(H517=""Must be Together"",iferror(join("", "",unique(filter({filter('Students (Vertical)'!O:O,'Students (Vertical)'!C:C=B517,'Students (Vertical)'!O:O&lt;&gt;"""");filter('Students (Vertical)'!O:O,'Students (Vertical)'!C:C=E517,'Students (Vertical)'!O:O&lt;&gt;"""&amp;""")},countifs({filter('Students (Vertical)'!O:O,'Students (Vertical)'!C:C=B517,'Students (Vertical)'!O:O&lt;&gt;"""");filter('Students (Vertical)'!O:O,'Students (Vertical)'!C:C=E517,'Students (Vertical)'!O:O&lt;&gt;"""")},{filter('Students (Vertical)'!O:O,'Students ("&amp;"Vertical)'!C:C=B517,'Students (Vertical)'!O:O&lt;&gt;"""");filter('Students (Vertical)'!O:O,'Students (Vertical)'!C:C=E517,'Students (Vertical)'!O:O&lt;&gt;"""")})&gt;1))),""No shared courses""),"""")"),"")</f>
        <v/>
      </c>
      <c r="J517" s="357" t="str">
        <f>IFERROR(__xludf.DUMMYFUNCTION("if(H517=""Can't be Together"",iferror(join("", "",unique(filter({filter('Students (Vertical)'!O:O,'Students (Vertical)'!C:C=B517,'Students (Vertical)'!O:O&lt;&gt;"""",'Students (Vertical)'!P:P&gt;1);filter('Students (Vertical)'!O:O,'Students (Vertical)'!C:C=E517,'"&amp;"Students (Vertical)'!O:O&lt;&gt;"""",'Students (Vertical)'!P:P&gt;1)},countifs({filter('Students (Vertical)'!O:O,'Students (Vertical)'!C:C=B517,'Students (Vertical)'!O:O&lt;&gt;"""",'Students (Vertical)'!P:P&gt;1);filter('Students (Vertical)'!O:O,'Students (Vertical)'!C:C="&amp;"E517,'Students (Vertical)'!O:O&lt;&gt;"""",'Students (Vertical)'!P:P&gt;1)},{filter('Students (Vertical)'!O:O,'Students (Vertical)'!C:C=B517,'Students (Vertical)'!O:O&lt;&gt;"""",'Students (Vertical)'!P:P&gt;1);filter('Students (Vertical)'!O:O,'Students (Vertical)'!C:C=E51"&amp;"7,'Students (Vertical)'!O:O&lt;&gt;"""",'Students (Vertical)'!P:P&gt;1)})&gt;1))),""""),"""")"),"")</f>
        <v/>
      </c>
      <c r="K517" s="358"/>
    </row>
    <row r="518">
      <c r="A518" s="300" t="s">
        <v>22</v>
      </c>
      <c r="C518" s="300" t="s">
        <v>22</v>
      </c>
      <c r="D518" s="300" t="s">
        <v>22</v>
      </c>
      <c r="F518" s="300" t="s">
        <v>22</v>
      </c>
      <c r="G518" s="300" t="s">
        <v>22</v>
      </c>
      <c r="I518" s="356" t="str">
        <f>IFERROR(__xludf.DUMMYFUNCTION("if(H518=""Must be Together"",iferror(join("", "",unique(filter({filter('Students (Vertical)'!O:O,'Students (Vertical)'!C:C=B518,'Students (Vertical)'!O:O&lt;&gt;"""");filter('Students (Vertical)'!O:O,'Students (Vertical)'!C:C=E518,'Students (Vertical)'!O:O&lt;&gt;"""&amp;""")},countifs({filter('Students (Vertical)'!O:O,'Students (Vertical)'!C:C=B518,'Students (Vertical)'!O:O&lt;&gt;"""");filter('Students (Vertical)'!O:O,'Students (Vertical)'!C:C=E518,'Students (Vertical)'!O:O&lt;&gt;"""")},{filter('Students (Vertical)'!O:O,'Students ("&amp;"Vertical)'!C:C=B518,'Students (Vertical)'!O:O&lt;&gt;"""");filter('Students (Vertical)'!O:O,'Students (Vertical)'!C:C=E518,'Students (Vertical)'!O:O&lt;&gt;"""")})&gt;1))),""No shared courses""),"""")"),"")</f>
        <v/>
      </c>
      <c r="J518" s="357" t="str">
        <f>IFERROR(__xludf.DUMMYFUNCTION("if(H518=""Can't be Together"",iferror(join("", "",unique(filter({filter('Students (Vertical)'!O:O,'Students (Vertical)'!C:C=B518,'Students (Vertical)'!O:O&lt;&gt;"""",'Students (Vertical)'!P:P&gt;1);filter('Students (Vertical)'!O:O,'Students (Vertical)'!C:C=E518,'"&amp;"Students (Vertical)'!O:O&lt;&gt;"""",'Students (Vertical)'!P:P&gt;1)},countifs({filter('Students (Vertical)'!O:O,'Students (Vertical)'!C:C=B518,'Students (Vertical)'!O:O&lt;&gt;"""",'Students (Vertical)'!P:P&gt;1);filter('Students (Vertical)'!O:O,'Students (Vertical)'!C:C="&amp;"E518,'Students (Vertical)'!O:O&lt;&gt;"""",'Students (Vertical)'!P:P&gt;1)},{filter('Students (Vertical)'!O:O,'Students (Vertical)'!C:C=B518,'Students (Vertical)'!O:O&lt;&gt;"""",'Students (Vertical)'!P:P&gt;1);filter('Students (Vertical)'!O:O,'Students (Vertical)'!C:C=E51"&amp;"8,'Students (Vertical)'!O:O&lt;&gt;"""",'Students (Vertical)'!P:P&gt;1)})&gt;1))),""""),"""")"),"")</f>
        <v/>
      </c>
      <c r="K518" s="358"/>
    </row>
    <row r="519">
      <c r="A519" s="300" t="s">
        <v>22</v>
      </c>
      <c r="C519" s="300" t="s">
        <v>22</v>
      </c>
      <c r="D519" s="300" t="s">
        <v>22</v>
      </c>
      <c r="F519" s="300" t="s">
        <v>22</v>
      </c>
      <c r="G519" s="300" t="s">
        <v>22</v>
      </c>
      <c r="I519" s="356" t="str">
        <f>IFERROR(__xludf.DUMMYFUNCTION("if(H519=""Must be Together"",iferror(join("", "",unique(filter({filter('Students (Vertical)'!O:O,'Students (Vertical)'!C:C=B519,'Students (Vertical)'!O:O&lt;&gt;"""");filter('Students (Vertical)'!O:O,'Students (Vertical)'!C:C=E519,'Students (Vertical)'!O:O&lt;&gt;"""&amp;""")},countifs({filter('Students (Vertical)'!O:O,'Students (Vertical)'!C:C=B519,'Students (Vertical)'!O:O&lt;&gt;"""");filter('Students (Vertical)'!O:O,'Students (Vertical)'!C:C=E519,'Students (Vertical)'!O:O&lt;&gt;"""")},{filter('Students (Vertical)'!O:O,'Students ("&amp;"Vertical)'!C:C=B519,'Students (Vertical)'!O:O&lt;&gt;"""");filter('Students (Vertical)'!O:O,'Students (Vertical)'!C:C=E519,'Students (Vertical)'!O:O&lt;&gt;"""")})&gt;1))),""No shared courses""),"""")"),"")</f>
        <v/>
      </c>
      <c r="J519" s="357" t="str">
        <f>IFERROR(__xludf.DUMMYFUNCTION("if(H519=""Can't be Together"",iferror(join("", "",unique(filter({filter('Students (Vertical)'!O:O,'Students (Vertical)'!C:C=B519,'Students (Vertical)'!O:O&lt;&gt;"""",'Students (Vertical)'!P:P&gt;1);filter('Students (Vertical)'!O:O,'Students (Vertical)'!C:C=E519,'"&amp;"Students (Vertical)'!O:O&lt;&gt;"""",'Students (Vertical)'!P:P&gt;1)},countifs({filter('Students (Vertical)'!O:O,'Students (Vertical)'!C:C=B519,'Students (Vertical)'!O:O&lt;&gt;"""",'Students (Vertical)'!P:P&gt;1);filter('Students (Vertical)'!O:O,'Students (Vertical)'!C:C="&amp;"E519,'Students (Vertical)'!O:O&lt;&gt;"""",'Students (Vertical)'!P:P&gt;1)},{filter('Students (Vertical)'!O:O,'Students (Vertical)'!C:C=B519,'Students (Vertical)'!O:O&lt;&gt;"""",'Students (Vertical)'!P:P&gt;1);filter('Students (Vertical)'!O:O,'Students (Vertical)'!C:C=E51"&amp;"9,'Students (Vertical)'!O:O&lt;&gt;"""",'Students (Vertical)'!P:P&gt;1)})&gt;1))),""""),"""")"),"")</f>
        <v/>
      </c>
      <c r="K519" s="358"/>
    </row>
    <row r="520">
      <c r="A520" s="300" t="s">
        <v>22</v>
      </c>
      <c r="C520" s="300" t="s">
        <v>22</v>
      </c>
      <c r="D520" s="300" t="s">
        <v>22</v>
      </c>
      <c r="F520" s="300" t="s">
        <v>22</v>
      </c>
      <c r="G520" s="300" t="s">
        <v>22</v>
      </c>
      <c r="I520" s="356" t="str">
        <f>IFERROR(__xludf.DUMMYFUNCTION("if(H520=""Must be Together"",iferror(join("", "",unique(filter({filter('Students (Vertical)'!O:O,'Students (Vertical)'!C:C=B520,'Students (Vertical)'!O:O&lt;&gt;"""");filter('Students (Vertical)'!O:O,'Students (Vertical)'!C:C=E520,'Students (Vertical)'!O:O&lt;&gt;"""&amp;""")},countifs({filter('Students (Vertical)'!O:O,'Students (Vertical)'!C:C=B520,'Students (Vertical)'!O:O&lt;&gt;"""");filter('Students (Vertical)'!O:O,'Students (Vertical)'!C:C=E520,'Students (Vertical)'!O:O&lt;&gt;"""")},{filter('Students (Vertical)'!O:O,'Students ("&amp;"Vertical)'!C:C=B520,'Students (Vertical)'!O:O&lt;&gt;"""");filter('Students (Vertical)'!O:O,'Students (Vertical)'!C:C=E520,'Students (Vertical)'!O:O&lt;&gt;"""")})&gt;1))),""No shared courses""),"""")"),"")</f>
        <v/>
      </c>
      <c r="J520" s="357" t="str">
        <f>IFERROR(__xludf.DUMMYFUNCTION("if(H520=""Can't be Together"",iferror(join("", "",unique(filter({filter('Students (Vertical)'!O:O,'Students (Vertical)'!C:C=B520,'Students (Vertical)'!O:O&lt;&gt;"""",'Students (Vertical)'!P:P&gt;1);filter('Students (Vertical)'!O:O,'Students (Vertical)'!C:C=E520,'"&amp;"Students (Vertical)'!O:O&lt;&gt;"""",'Students (Vertical)'!P:P&gt;1)},countifs({filter('Students (Vertical)'!O:O,'Students (Vertical)'!C:C=B520,'Students (Vertical)'!O:O&lt;&gt;"""",'Students (Vertical)'!P:P&gt;1);filter('Students (Vertical)'!O:O,'Students (Vertical)'!C:C="&amp;"E520,'Students (Vertical)'!O:O&lt;&gt;"""",'Students (Vertical)'!P:P&gt;1)},{filter('Students (Vertical)'!O:O,'Students (Vertical)'!C:C=B520,'Students (Vertical)'!O:O&lt;&gt;"""",'Students (Vertical)'!P:P&gt;1);filter('Students (Vertical)'!O:O,'Students (Vertical)'!C:C=E52"&amp;"0,'Students (Vertical)'!O:O&lt;&gt;"""",'Students (Vertical)'!P:P&gt;1)})&gt;1))),""""),"""")"),"")</f>
        <v/>
      </c>
      <c r="K520" s="358"/>
    </row>
    <row r="521">
      <c r="A521" s="300" t="s">
        <v>22</v>
      </c>
      <c r="C521" s="300" t="s">
        <v>22</v>
      </c>
      <c r="D521" s="300" t="s">
        <v>22</v>
      </c>
      <c r="F521" s="300" t="s">
        <v>22</v>
      </c>
      <c r="G521" s="300" t="s">
        <v>22</v>
      </c>
      <c r="I521" s="356" t="str">
        <f>IFERROR(__xludf.DUMMYFUNCTION("if(H521=""Must be Together"",iferror(join("", "",unique(filter({filter('Students (Vertical)'!O:O,'Students (Vertical)'!C:C=B521,'Students (Vertical)'!O:O&lt;&gt;"""");filter('Students (Vertical)'!O:O,'Students (Vertical)'!C:C=E521,'Students (Vertical)'!O:O&lt;&gt;"""&amp;""")},countifs({filter('Students (Vertical)'!O:O,'Students (Vertical)'!C:C=B521,'Students (Vertical)'!O:O&lt;&gt;"""");filter('Students (Vertical)'!O:O,'Students (Vertical)'!C:C=E521,'Students (Vertical)'!O:O&lt;&gt;"""")},{filter('Students (Vertical)'!O:O,'Students ("&amp;"Vertical)'!C:C=B521,'Students (Vertical)'!O:O&lt;&gt;"""");filter('Students (Vertical)'!O:O,'Students (Vertical)'!C:C=E521,'Students (Vertical)'!O:O&lt;&gt;"""")})&gt;1))),""No shared courses""),"""")"),"")</f>
        <v/>
      </c>
      <c r="J521" s="357" t="str">
        <f>IFERROR(__xludf.DUMMYFUNCTION("if(H521=""Can't be Together"",iferror(join("", "",unique(filter({filter('Students (Vertical)'!O:O,'Students (Vertical)'!C:C=B521,'Students (Vertical)'!O:O&lt;&gt;"""",'Students (Vertical)'!P:P&gt;1);filter('Students (Vertical)'!O:O,'Students (Vertical)'!C:C=E521,'"&amp;"Students (Vertical)'!O:O&lt;&gt;"""",'Students (Vertical)'!P:P&gt;1)},countifs({filter('Students (Vertical)'!O:O,'Students (Vertical)'!C:C=B521,'Students (Vertical)'!O:O&lt;&gt;"""",'Students (Vertical)'!P:P&gt;1);filter('Students (Vertical)'!O:O,'Students (Vertical)'!C:C="&amp;"E521,'Students (Vertical)'!O:O&lt;&gt;"""",'Students (Vertical)'!P:P&gt;1)},{filter('Students (Vertical)'!O:O,'Students (Vertical)'!C:C=B521,'Students (Vertical)'!O:O&lt;&gt;"""",'Students (Vertical)'!P:P&gt;1);filter('Students (Vertical)'!O:O,'Students (Vertical)'!C:C=E52"&amp;"1,'Students (Vertical)'!O:O&lt;&gt;"""",'Students (Vertical)'!P:P&gt;1)})&gt;1))),""""),"""")"),"")</f>
        <v/>
      </c>
      <c r="K521" s="358"/>
    </row>
    <row r="522">
      <c r="A522" s="300" t="s">
        <v>22</v>
      </c>
      <c r="C522" s="300" t="s">
        <v>22</v>
      </c>
      <c r="D522" s="300" t="s">
        <v>22</v>
      </c>
      <c r="F522" s="300" t="s">
        <v>22</v>
      </c>
      <c r="G522" s="300" t="s">
        <v>22</v>
      </c>
      <c r="I522" s="356" t="str">
        <f>IFERROR(__xludf.DUMMYFUNCTION("if(H522=""Must be Together"",iferror(join("", "",unique(filter({filter('Students (Vertical)'!O:O,'Students (Vertical)'!C:C=B522,'Students (Vertical)'!O:O&lt;&gt;"""");filter('Students (Vertical)'!O:O,'Students (Vertical)'!C:C=E522,'Students (Vertical)'!O:O&lt;&gt;"""&amp;""")},countifs({filter('Students (Vertical)'!O:O,'Students (Vertical)'!C:C=B522,'Students (Vertical)'!O:O&lt;&gt;"""");filter('Students (Vertical)'!O:O,'Students (Vertical)'!C:C=E522,'Students (Vertical)'!O:O&lt;&gt;"""")},{filter('Students (Vertical)'!O:O,'Students ("&amp;"Vertical)'!C:C=B522,'Students (Vertical)'!O:O&lt;&gt;"""");filter('Students (Vertical)'!O:O,'Students (Vertical)'!C:C=E522,'Students (Vertical)'!O:O&lt;&gt;"""")})&gt;1))),""No shared courses""),"""")"),"")</f>
        <v/>
      </c>
      <c r="J522" s="357" t="str">
        <f>IFERROR(__xludf.DUMMYFUNCTION("if(H522=""Can't be Together"",iferror(join("", "",unique(filter({filter('Students (Vertical)'!O:O,'Students (Vertical)'!C:C=B522,'Students (Vertical)'!O:O&lt;&gt;"""",'Students (Vertical)'!P:P&gt;1);filter('Students (Vertical)'!O:O,'Students (Vertical)'!C:C=E522,'"&amp;"Students (Vertical)'!O:O&lt;&gt;"""",'Students (Vertical)'!P:P&gt;1)},countifs({filter('Students (Vertical)'!O:O,'Students (Vertical)'!C:C=B522,'Students (Vertical)'!O:O&lt;&gt;"""",'Students (Vertical)'!P:P&gt;1);filter('Students (Vertical)'!O:O,'Students (Vertical)'!C:C="&amp;"E522,'Students (Vertical)'!O:O&lt;&gt;"""",'Students (Vertical)'!P:P&gt;1)},{filter('Students (Vertical)'!O:O,'Students (Vertical)'!C:C=B522,'Students (Vertical)'!O:O&lt;&gt;"""",'Students (Vertical)'!P:P&gt;1);filter('Students (Vertical)'!O:O,'Students (Vertical)'!C:C=E52"&amp;"2,'Students (Vertical)'!O:O&lt;&gt;"""",'Students (Vertical)'!P:P&gt;1)})&gt;1))),""""),"""")"),"")</f>
        <v/>
      </c>
      <c r="K522" s="358"/>
    </row>
    <row r="523">
      <c r="A523" s="300" t="s">
        <v>22</v>
      </c>
      <c r="C523" s="300" t="s">
        <v>22</v>
      </c>
      <c r="D523" s="300" t="s">
        <v>22</v>
      </c>
      <c r="F523" s="300" t="s">
        <v>22</v>
      </c>
      <c r="G523" s="300" t="s">
        <v>22</v>
      </c>
      <c r="I523" s="356" t="str">
        <f>IFERROR(__xludf.DUMMYFUNCTION("if(H523=""Must be Together"",iferror(join("", "",unique(filter({filter('Students (Vertical)'!O:O,'Students (Vertical)'!C:C=B523,'Students (Vertical)'!O:O&lt;&gt;"""");filter('Students (Vertical)'!O:O,'Students (Vertical)'!C:C=E523,'Students (Vertical)'!O:O&lt;&gt;"""&amp;""")},countifs({filter('Students (Vertical)'!O:O,'Students (Vertical)'!C:C=B523,'Students (Vertical)'!O:O&lt;&gt;"""");filter('Students (Vertical)'!O:O,'Students (Vertical)'!C:C=E523,'Students (Vertical)'!O:O&lt;&gt;"""")},{filter('Students (Vertical)'!O:O,'Students ("&amp;"Vertical)'!C:C=B523,'Students (Vertical)'!O:O&lt;&gt;"""");filter('Students (Vertical)'!O:O,'Students (Vertical)'!C:C=E523,'Students (Vertical)'!O:O&lt;&gt;"""")})&gt;1))),""No shared courses""),"""")"),"")</f>
        <v/>
      </c>
      <c r="J523" s="357" t="str">
        <f>IFERROR(__xludf.DUMMYFUNCTION("if(H523=""Can't be Together"",iferror(join("", "",unique(filter({filter('Students (Vertical)'!O:O,'Students (Vertical)'!C:C=B523,'Students (Vertical)'!O:O&lt;&gt;"""",'Students (Vertical)'!P:P&gt;1);filter('Students (Vertical)'!O:O,'Students (Vertical)'!C:C=E523,'"&amp;"Students (Vertical)'!O:O&lt;&gt;"""",'Students (Vertical)'!P:P&gt;1)},countifs({filter('Students (Vertical)'!O:O,'Students (Vertical)'!C:C=B523,'Students (Vertical)'!O:O&lt;&gt;"""",'Students (Vertical)'!P:P&gt;1);filter('Students (Vertical)'!O:O,'Students (Vertical)'!C:C="&amp;"E523,'Students (Vertical)'!O:O&lt;&gt;"""",'Students (Vertical)'!P:P&gt;1)},{filter('Students (Vertical)'!O:O,'Students (Vertical)'!C:C=B523,'Students (Vertical)'!O:O&lt;&gt;"""",'Students (Vertical)'!P:P&gt;1);filter('Students (Vertical)'!O:O,'Students (Vertical)'!C:C=E52"&amp;"3,'Students (Vertical)'!O:O&lt;&gt;"""",'Students (Vertical)'!P:P&gt;1)})&gt;1))),""""),"""")"),"")</f>
        <v/>
      </c>
      <c r="K523" s="358"/>
    </row>
    <row r="524">
      <c r="A524" s="300" t="s">
        <v>22</v>
      </c>
      <c r="C524" s="300" t="s">
        <v>22</v>
      </c>
      <c r="D524" s="300" t="s">
        <v>22</v>
      </c>
      <c r="F524" s="300" t="s">
        <v>22</v>
      </c>
      <c r="G524" s="300" t="s">
        <v>22</v>
      </c>
      <c r="I524" s="356" t="str">
        <f>IFERROR(__xludf.DUMMYFUNCTION("if(H524=""Must be Together"",iferror(join("", "",unique(filter({filter('Students (Vertical)'!O:O,'Students (Vertical)'!C:C=B524,'Students (Vertical)'!O:O&lt;&gt;"""");filter('Students (Vertical)'!O:O,'Students (Vertical)'!C:C=E524,'Students (Vertical)'!O:O&lt;&gt;"""&amp;""")},countifs({filter('Students (Vertical)'!O:O,'Students (Vertical)'!C:C=B524,'Students (Vertical)'!O:O&lt;&gt;"""");filter('Students (Vertical)'!O:O,'Students (Vertical)'!C:C=E524,'Students (Vertical)'!O:O&lt;&gt;"""")},{filter('Students (Vertical)'!O:O,'Students ("&amp;"Vertical)'!C:C=B524,'Students (Vertical)'!O:O&lt;&gt;"""");filter('Students (Vertical)'!O:O,'Students (Vertical)'!C:C=E524,'Students (Vertical)'!O:O&lt;&gt;"""")})&gt;1))),""No shared courses""),"""")"),"")</f>
        <v/>
      </c>
      <c r="J524" s="357" t="str">
        <f>IFERROR(__xludf.DUMMYFUNCTION("if(H524=""Can't be Together"",iferror(join("", "",unique(filter({filter('Students (Vertical)'!O:O,'Students (Vertical)'!C:C=B524,'Students (Vertical)'!O:O&lt;&gt;"""",'Students (Vertical)'!P:P&gt;1);filter('Students (Vertical)'!O:O,'Students (Vertical)'!C:C=E524,'"&amp;"Students (Vertical)'!O:O&lt;&gt;"""",'Students (Vertical)'!P:P&gt;1)},countifs({filter('Students (Vertical)'!O:O,'Students (Vertical)'!C:C=B524,'Students (Vertical)'!O:O&lt;&gt;"""",'Students (Vertical)'!P:P&gt;1);filter('Students (Vertical)'!O:O,'Students (Vertical)'!C:C="&amp;"E524,'Students (Vertical)'!O:O&lt;&gt;"""",'Students (Vertical)'!P:P&gt;1)},{filter('Students (Vertical)'!O:O,'Students (Vertical)'!C:C=B524,'Students (Vertical)'!O:O&lt;&gt;"""",'Students (Vertical)'!P:P&gt;1);filter('Students (Vertical)'!O:O,'Students (Vertical)'!C:C=E52"&amp;"4,'Students (Vertical)'!O:O&lt;&gt;"""",'Students (Vertical)'!P:P&gt;1)})&gt;1))),""""),"""")"),"")</f>
        <v/>
      </c>
      <c r="K524" s="358"/>
    </row>
    <row r="525">
      <c r="A525" s="300" t="s">
        <v>22</v>
      </c>
      <c r="C525" s="300" t="s">
        <v>22</v>
      </c>
      <c r="D525" s="300" t="s">
        <v>22</v>
      </c>
      <c r="F525" s="300" t="s">
        <v>22</v>
      </c>
      <c r="G525" s="300" t="s">
        <v>22</v>
      </c>
      <c r="I525" s="356" t="str">
        <f>IFERROR(__xludf.DUMMYFUNCTION("if(H525=""Must be Together"",iferror(join("", "",unique(filter({filter('Students (Vertical)'!O:O,'Students (Vertical)'!C:C=B525,'Students (Vertical)'!O:O&lt;&gt;"""");filter('Students (Vertical)'!O:O,'Students (Vertical)'!C:C=E525,'Students (Vertical)'!O:O&lt;&gt;"""&amp;""")},countifs({filter('Students (Vertical)'!O:O,'Students (Vertical)'!C:C=B525,'Students (Vertical)'!O:O&lt;&gt;"""");filter('Students (Vertical)'!O:O,'Students (Vertical)'!C:C=E525,'Students (Vertical)'!O:O&lt;&gt;"""")},{filter('Students (Vertical)'!O:O,'Students ("&amp;"Vertical)'!C:C=B525,'Students (Vertical)'!O:O&lt;&gt;"""");filter('Students (Vertical)'!O:O,'Students (Vertical)'!C:C=E525,'Students (Vertical)'!O:O&lt;&gt;"""")})&gt;1))),""No shared courses""),"""")"),"")</f>
        <v/>
      </c>
      <c r="J525" s="357" t="str">
        <f>IFERROR(__xludf.DUMMYFUNCTION("if(H525=""Can't be Together"",iferror(join("", "",unique(filter({filter('Students (Vertical)'!O:O,'Students (Vertical)'!C:C=B525,'Students (Vertical)'!O:O&lt;&gt;"""",'Students (Vertical)'!P:P&gt;1);filter('Students (Vertical)'!O:O,'Students (Vertical)'!C:C=E525,'"&amp;"Students (Vertical)'!O:O&lt;&gt;"""",'Students (Vertical)'!P:P&gt;1)},countifs({filter('Students (Vertical)'!O:O,'Students (Vertical)'!C:C=B525,'Students (Vertical)'!O:O&lt;&gt;"""",'Students (Vertical)'!P:P&gt;1);filter('Students (Vertical)'!O:O,'Students (Vertical)'!C:C="&amp;"E525,'Students (Vertical)'!O:O&lt;&gt;"""",'Students (Vertical)'!P:P&gt;1)},{filter('Students (Vertical)'!O:O,'Students (Vertical)'!C:C=B525,'Students (Vertical)'!O:O&lt;&gt;"""",'Students (Vertical)'!P:P&gt;1);filter('Students (Vertical)'!O:O,'Students (Vertical)'!C:C=E52"&amp;"5,'Students (Vertical)'!O:O&lt;&gt;"""",'Students (Vertical)'!P:P&gt;1)})&gt;1))),""""),"""")"),"")</f>
        <v/>
      </c>
      <c r="K525" s="358"/>
    </row>
    <row r="526">
      <c r="A526" s="300" t="s">
        <v>22</v>
      </c>
      <c r="C526" s="300" t="s">
        <v>22</v>
      </c>
      <c r="D526" s="300" t="s">
        <v>22</v>
      </c>
      <c r="F526" s="300" t="s">
        <v>22</v>
      </c>
      <c r="G526" s="300" t="s">
        <v>22</v>
      </c>
      <c r="I526" s="356" t="str">
        <f>IFERROR(__xludf.DUMMYFUNCTION("if(H526=""Must be Together"",iferror(join("", "",unique(filter({filter('Students (Vertical)'!O:O,'Students (Vertical)'!C:C=B526,'Students (Vertical)'!O:O&lt;&gt;"""");filter('Students (Vertical)'!O:O,'Students (Vertical)'!C:C=E526,'Students (Vertical)'!O:O&lt;&gt;"""&amp;""")},countifs({filter('Students (Vertical)'!O:O,'Students (Vertical)'!C:C=B526,'Students (Vertical)'!O:O&lt;&gt;"""");filter('Students (Vertical)'!O:O,'Students (Vertical)'!C:C=E526,'Students (Vertical)'!O:O&lt;&gt;"""")},{filter('Students (Vertical)'!O:O,'Students ("&amp;"Vertical)'!C:C=B526,'Students (Vertical)'!O:O&lt;&gt;"""");filter('Students (Vertical)'!O:O,'Students (Vertical)'!C:C=E526,'Students (Vertical)'!O:O&lt;&gt;"""")})&gt;1))),""No shared courses""),"""")"),"")</f>
        <v/>
      </c>
      <c r="J526" s="357" t="str">
        <f>IFERROR(__xludf.DUMMYFUNCTION("if(H526=""Can't be Together"",iferror(join("", "",unique(filter({filter('Students (Vertical)'!O:O,'Students (Vertical)'!C:C=B526,'Students (Vertical)'!O:O&lt;&gt;"""",'Students (Vertical)'!P:P&gt;1);filter('Students (Vertical)'!O:O,'Students (Vertical)'!C:C=E526,'"&amp;"Students (Vertical)'!O:O&lt;&gt;"""",'Students (Vertical)'!P:P&gt;1)},countifs({filter('Students (Vertical)'!O:O,'Students (Vertical)'!C:C=B526,'Students (Vertical)'!O:O&lt;&gt;"""",'Students (Vertical)'!P:P&gt;1);filter('Students (Vertical)'!O:O,'Students (Vertical)'!C:C="&amp;"E526,'Students (Vertical)'!O:O&lt;&gt;"""",'Students (Vertical)'!P:P&gt;1)},{filter('Students (Vertical)'!O:O,'Students (Vertical)'!C:C=B526,'Students (Vertical)'!O:O&lt;&gt;"""",'Students (Vertical)'!P:P&gt;1);filter('Students (Vertical)'!O:O,'Students (Vertical)'!C:C=E52"&amp;"6,'Students (Vertical)'!O:O&lt;&gt;"""",'Students (Vertical)'!P:P&gt;1)})&gt;1))),""""),"""")"),"")</f>
        <v/>
      </c>
      <c r="K526" s="358"/>
    </row>
    <row r="527">
      <c r="A527" s="300" t="s">
        <v>22</v>
      </c>
      <c r="C527" s="300" t="s">
        <v>22</v>
      </c>
      <c r="D527" s="300" t="s">
        <v>22</v>
      </c>
      <c r="F527" s="300" t="s">
        <v>22</v>
      </c>
      <c r="G527" s="300" t="s">
        <v>22</v>
      </c>
      <c r="I527" s="356" t="str">
        <f>IFERROR(__xludf.DUMMYFUNCTION("if(H527=""Must be Together"",iferror(join("", "",unique(filter({filter('Students (Vertical)'!O:O,'Students (Vertical)'!C:C=B527,'Students (Vertical)'!O:O&lt;&gt;"""");filter('Students (Vertical)'!O:O,'Students (Vertical)'!C:C=E527,'Students (Vertical)'!O:O&lt;&gt;"""&amp;""")},countifs({filter('Students (Vertical)'!O:O,'Students (Vertical)'!C:C=B527,'Students (Vertical)'!O:O&lt;&gt;"""");filter('Students (Vertical)'!O:O,'Students (Vertical)'!C:C=E527,'Students (Vertical)'!O:O&lt;&gt;"""")},{filter('Students (Vertical)'!O:O,'Students ("&amp;"Vertical)'!C:C=B527,'Students (Vertical)'!O:O&lt;&gt;"""");filter('Students (Vertical)'!O:O,'Students (Vertical)'!C:C=E527,'Students (Vertical)'!O:O&lt;&gt;"""")})&gt;1))),""No shared courses""),"""")"),"")</f>
        <v/>
      </c>
      <c r="J527" s="357" t="str">
        <f>IFERROR(__xludf.DUMMYFUNCTION("if(H527=""Can't be Together"",iferror(join("", "",unique(filter({filter('Students (Vertical)'!O:O,'Students (Vertical)'!C:C=B527,'Students (Vertical)'!O:O&lt;&gt;"""",'Students (Vertical)'!P:P&gt;1);filter('Students (Vertical)'!O:O,'Students (Vertical)'!C:C=E527,'"&amp;"Students (Vertical)'!O:O&lt;&gt;"""",'Students (Vertical)'!P:P&gt;1)},countifs({filter('Students (Vertical)'!O:O,'Students (Vertical)'!C:C=B527,'Students (Vertical)'!O:O&lt;&gt;"""",'Students (Vertical)'!P:P&gt;1);filter('Students (Vertical)'!O:O,'Students (Vertical)'!C:C="&amp;"E527,'Students (Vertical)'!O:O&lt;&gt;"""",'Students (Vertical)'!P:P&gt;1)},{filter('Students (Vertical)'!O:O,'Students (Vertical)'!C:C=B527,'Students (Vertical)'!O:O&lt;&gt;"""",'Students (Vertical)'!P:P&gt;1);filter('Students (Vertical)'!O:O,'Students (Vertical)'!C:C=E52"&amp;"7,'Students (Vertical)'!O:O&lt;&gt;"""",'Students (Vertical)'!P:P&gt;1)})&gt;1))),""""),"""")"),"")</f>
        <v/>
      </c>
      <c r="K527" s="358"/>
    </row>
    <row r="528">
      <c r="A528" s="300" t="s">
        <v>22</v>
      </c>
      <c r="C528" s="300" t="s">
        <v>22</v>
      </c>
      <c r="D528" s="300" t="s">
        <v>22</v>
      </c>
      <c r="F528" s="300" t="s">
        <v>22</v>
      </c>
      <c r="G528" s="300" t="s">
        <v>22</v>
      </c>
      <c r="I528" s="356" t="str">
        <f>IFERROR(__xludf.DUMMYFUNCTION("if(H528=""Must be Together"",iferror(join("", "",unique(filter({filter('Students (Vertical)'!O:O,'Students (Vertical)'!C:C=B528,'Students (Vertical)'!O:O&lt;&gt;"""");filter('Students (Vertical)'!O:O,'Students (Vertical)'!C:C=E528,'Students (Vertical)'!O:O&lt;&gt;"""&amp;""")},countifs({filter('Students (Vertical)'!O:O,'Students (Vertical)'!C:C=B528,'Students (Vertical)'!O:O&lt;&gt;"""");filter('Students (Vertical)'!O:O,'Students (Vertical)'!C:C=E528,'Students (Vertical)'!O:O&lt;&gt;"""")},{filter('Students (Vertical)'!O:O,'Students ("&amp;"Vertical)'!C:C=B528,'Students (Vertical)'!O:O&lt;&gt;"""");filter('Students (Vertical)'!O:O,'Students (Vertical)'!C:C=E528,'Students (Vertical)'!O:O&lt;&gt;"""")})&gt;1))),""No shared courses""),"""")"),"")</f>
        <v/>
      </c>
      <c r="J528" s="357" t="str">
        <f>IFERROR(__xludf.DUMMYFUNCTION("if(H528=""Can't be Together"",iferror(join("", "",unique(filter({filter('Students (Vertical)'!O:O,'Students (Vertical)'!C:C=B528,'Students (Vertical)'!O:O&lt;&gt;"""",'Students (Vertical)'!P:P&gt;1);filter('Students (Vertical)'!O:O,'Students (Vertical)'!C:C=E528,'"&amp;"Students (Vertical)'!O:O&lt;&gt;"""",'Students (Vertical)'!P:P&gt;1)},countifs({filter('Students (Vertical)'!O:O,'Students (Vertical)'!C:C=B528,'Students (Vertical)'!O:O&lt;&gt;"""",'Students (Vertical)'!P:P&gt;1);filter('Students (Vertical)'!O:O,'Students (Vertical)'!C:C="&amp;"E528,'Students (Vertical)'!O:O&lt;&gt;"""",'Students (Vertical)'!P:P&gt;1)},{filter('Students (Vertical)'!O:O,'Students (Vertical)'!C:C=B528,'Students (Vertical)'!O:O&lt;&gt;"""",'Students (Vertical)'!P:P&gt;1);filter('Students (Vertical)'!O:O,'Students (Vertical)'!C:C=E52"&amp;"8,'Students (Vertical)'!O:O&lt;&gt;"""",'Students (Vertical)'!P:P&gt;1)})&gt;1))),""""),"""")"),"")</f>
        <v/>
      </c>
      <c r="K528" s="358"/>
    </row>
    <row r="529">
      <c r="A529" s="300" t="s">
        <v>22</v>
      </c>
      <c r="C529" s="300" t="s">
        <v>22</v>
      </c>
      <c r="D529" s="300" t="s">
        <v>22</v>
      </c>
      <c r="F529" s="300" t="s">
        <v>22</v>
      </c>
      <c r="G529" s="300" t="s">
        <v>22</v>
      </c>
      <c r="I529" s="356" t="str">
        <f>IFERROR(__xludf.DUMMYFUNCTION("if(H529=""Must be Together"",iferror(join("", "",unique(filter({filter('Students (Vertical)'!O:O,'Students (Vertical)'!C:C=B529,'Students (Vertical)'!O:O&lt;&gt;"""");filter('Students (Vertical)'!O:O,'Students (Vertical)'!C:C=E529,'Students (Vertical)'!O:O&lt;&gt;"""&amp;""")},countifs({filter('Students (Vertical)'!O:O,'Students (Vertical)'!C:C=B529,'Students (Vertical)'!O:O&lt;&gt;"""");filter('Students (Vertical)'!O:O,'Students (Vertical)'!C:C=E529,'Students (Vertical)'!O:O&lt;&gt;"""")},{filter('Students (Vertical)'!O:O,'Students ("&amp;"Vertical)'!C:C=B529,'Students (Vertical)'!O:O&lt;&gt;"""");filter('Students (Vertical)'!O:O,'Students (Vertical)'!C:C=E529,'Students (Vertical)'!O:O&lt;&gt;"""")})&gt;1))),""No shared courses""),"""")"),"")</f>
        <v/>
      </c>
      <c r="J529" s="357" t="str">
        <f>IFERROR(__xludf.DUMMYFUNCTION("if(H529=""Can't be Together"",iferror(join("", "",unique(filter({filter('Students (Vertical)'!O:O,'Students (Vertical)'!C:C=B529,'Students (Vertical)'!O:O&lt;&gt;"""",'Students (Vertical)'!P:P&gt;1);filter('Students (Vertical)'!O:O,'Students (Vertical)'!C:C=E529,'"&amp;"Students (Vertical)'!O:O&lt;&gt;"""",'Students (Vertical)'!P:P&gt;1)},countifs({filter('Students (Vertical)'!O:O,'Students (Vertical)'!C:C=B529,'Students (Vertical)'!O:O&lt;&gt;"""",'Students (Vertical)'!P:P&gt;1);filter('Students (Vertical)'!O:O,'Students (Vertical)'!C:C="&amp;"E529,'Students (Vertical)'!O:O&lt;&gt;"""",'Students (Vertical)'!P:P&gt;1)},{filter('Students (Vertical)'!O:O,'Students (Vertical)'!C:C=B529,'Students (Vertical)'!O:O&lt;&gt;"""",'Students (Vertical)'!P:P&gt;1);filter('Students (Vertical)'!O:O,'Students (Vertical)'!C:C=E52"&amp;"9,'Students (Vertical)'!O:O&lt;&gt;"""",'Students (Vertical)'!P:P&gt;1)})&gt;1))),""""),"""")"),"")</f>
        <v/>
      </c>
      <c r="K529" s="358"/>
    </row>
    <row r="530">
      <c r="A530" s="300" t="s">
        <v>22</v>
      </c>
      <c r="C530" s="300" t="s">
        <v>22</v>
      </c>
      <c r="D530" s="300" t="s">
        <v>22</v>
      </c>
      <c r="F530" s="300" t="s">
        <v>22</v>
      </c>
      <c r="G530" s="300" t="s">
        <v>22</v>
      </c>
      <c r="I530" s="356" t="str">
        <f>IFERROR(__xludf.DUMMYFUNCTION("if(H530=""Must be Together"",iferror(join("", "",unique(filter({filter('Students (Vertical)'!O:O,'Students (Vertical)'!C:C=B530,'Students (Vertical)'!O:O&lt;&gt;"""");filter('Students (Vertical)'!O:O,'Students (Vertical)'!C:C=E530,'Students (Vertical)'!O:O&lt;&gt;"""&amp;""")},countifs({filter('Students (Vertical)'!O:O,'Students (Vertical)'!C:C=B530,'Students (Vertical)'!O:O&lt;&gt;"""");filter('Students (Vertical)'!O:O,'Students (Vertical)'!C:C=E530,'Students (Vertical)'!O:O&lt;&gt;"""")},{filter('Students (Vertical)'!O:O,'Students ("&amp;"Vertical)'!C:C=B530,'Students (Vertical)'!O:O&lt;&gt;"""");filter('Students (Vertical)'!O:O,'Students (Vertical)'!C:C=E530,'Students (Vertical)'!O:O&lt;&gt;"""")})&gt;1))),""No shared courses""),"""")"),"")</f>
        <v/>
      </c>
      <c r="J530" s="357" t="str">
        <f>IFERROR(__xludf.DUMMYFUNCTION("if(H530=""Can't be Together"",iferror(join("", "",unique(filter({filter('Students (Vertical)'!O:O,'Students (Vertical)'!C:C=B530,'Students (Vertical)'!O:O&lt;&gt;"""",'Students (Vertical)'!P:P&gt;1);filter('Students (Vertical)'!O:O,'Students (Vertical)'!C:C=E530,'"&amp;"Students (Vertical)'!O:O&lt;&gt;"""",'Students (Vertical)'!P:P&gt;1)},countifs({filter('Students (Vertical)'!O:O,'Students (Vertical)'!C:C=B530,'Students (Vertical)'!O:O&lt;&gt;"""",'Students (Vertical)'!P:P&gt;1);filter('Students (Vertical)'!O:O,'Students (Vertical)'!C:C="&amp;"E530,'Students (Vertical)'!O:O&lt;&gt;"""",'Students (Vertical)'!P:P&gt;1)},{filter('Students (Vertical)'!O:O,'Students (Vertical)'!C:C=B530,'Students (Vertical)'!O:O&lt;&gt;"""",'Students (Vertical)'!P:P&gt;1);filter('Students (Vertical)'!O:O,'Students (Vertical)'!C:C=E53"&amp;"0,'Students (Vertical)'!O:O&lt;&gt;"""",'Students (Vertical)'!P:P&gt;1)})&gt;1))),""""),"""")"),"")</f>
        <v/>
      </c>
      <c r="K530" s="358"/>
    </row>
    <row r="531">
      <c r="A531" s="300" t="s">
        <v>22</v>
      </c>
      <c r="C531" s="300" t="s">
        <v>22</v>
      </c>
      <c r="D531" s="300" t="s">
        <v>22</v>
      </c>
      <c r="F531" s="300" t="s">
        <v>22</v>
      </c>
      <c r="G531" s="300" t="s">
        <v>22</v>
      </c>
      <c r="I531" s="356" t="str">
        <f>IFERROR(__xludf.DUMMYFUNCTION("if(H531=""Must be Together"",iferror(join("", "",unique(filter({filter('Students (Vertical)'!O:O,'Students (Vertical)'!C:C=B531,'Students (Vertical)'!O:O&lt;&gt;"""");filter('Students (Vertical)'!O:O,'Students (Vertical)'!C:C=E531,'Students (Vertical)'!O:O&lt;&gt;"""&amp;""")},countifs({filter('Students (Vertical)'!O:O,'Students (Vertical)'!C:C=B531,'Students (Vertical)'!O:O&lt;&gt;"""");filter('Students (Vertical)'!O:O,'Students (Vertical)'!C:C=E531,'Students (Vertical)'!O:O&lt;&gt;"""")},{filter('Students (Vertical)'!O:O,'Students ("&amp;"Vertical)'!C:C=B531,'Students (Vertical)'!O:O&lt;&gt;"""");filter('Students (Vertical)'!O:O,'Students (Vertical)'!C:C=E531,'Students (Vertical)'!O:O&lt;&gt;"""")})&gt;1))),""No shared courses""),"""")"),"")</f>
        <v/>
      </c>
      <c r="J531" s="357" t="str">
        <f>IFERROR(__xludf.DUMMYFUNCTION("if(H531=""Can't be Together"",iferror(join("", "",unique(filter({filter('Students (Vertical)'!O:O,'Students (Vertical)'!C:C=B531,'Students (Vertical)'!O:O&lt;&gt;"""",'Students (Vertical)'!P:P&gt;1);filter('Students (Vertical)'!O:O,'Students (Vertical)'!C:C=E531,'"&amp;"Students (Vertical)'!O:O&lt;&gt;"""",'Students (Vertical)'!P:P&gt;1)},countifs({filter('Students (Vertical)'!O:O,'Students (Vertical)'!C:C=B531,'Students (Vertical)'!O:O&lt;&gt;"""",'Students (Vertical)'!P:P&gt;1);filter('Students (Vertical)'!O:O,'Students (Vertical)'!C:C="&amp;"E531,'Students (Vertical)'!O:O&lt;&gt;"""",'Students (Vertical)'!P:P&gt;1)},{filter('Students (Vertical)'!O:O,'Students (Vertical)'!C:C=B531,'Students (Vertical)'!O:O&lt;&gt;"""",'Students (Vertical)'!P:P&gt;1);filter('Students (Vertical)'!O:O,'Students (Vertical)'!C:C=E53"&amp;"1,'Students (Vertical)'!O:O&lt;&gt;"""",'Students (Vertical)'!P:P&gt;1)})&gt;1))),""""),"""")"),"")</f>
        <v/>
      </c>
      <c r="K531" s="358"/>
    </row>
    <row r="532">
      <c r="A532" s="300" t="s">
        <v>22</v>
      </c>
      <c r="C532" s="300" t="s">
        <v>22</v>
      </c>
      <c r="D532" s="300" t="s">
        <v>22</v>
      </c>
      <c r="F532" s="300" t="s">
        <v>22</v>
      </c>
      <c r="G532" s="300" t="s">
        <v>22</v>
      </c>
      <c r="I532" s="356" t="str">
        <f>IFERROR(__xludf.DUMMYFUNCTION("if(H532=""Must be Together"",iferror(join("", "",unique(filter({filter('Students (Vertical)'!O:O,'Students (Vertical)'!C:C=B532,'Students (Vertical)'!O:O&lt;&gt;"""");filter('Students (Vertical)'!O:O,'Students (Vertical)'!C:C=E532,'Students (Vertical)'!O:O&lt;&gt;"""&amp;""")},countifs({filter('Students (Vertical)'!O:O,'Students (Vertical)'!C:C=B532,'Students (Vertical)'!O:O&lt;&gt;"""");filter('Students (Vertical)'!O:O,'Students (Vertical)'!C:C=E532,'Students (Vertical)'!O:O&lt;&gt;"""")},{filter('Students (Vertical)'!O:O,'Students ("&amp;"Vertical)'!C:C=B532,'Students (Vertical)'!O:O&lt;&gt;"""");filter('Students (Vertical)'!O:O,'Students (Vertical)'!C:C=E532,'Students (Vertical)'!O:O&lt;&gt;"""")})&gt;1))),""No shared courses""),"""")"),"")</f>
        <v/>
      </c>
      <c r="J532" s="357" t="str">
        <f>IFERROR(__xludf.DUMMYFUNCTION("if(H532=""Can't be Together"",iferror(join("", "",unique(filter({filter('Students (Vertical)'!O:O,'Students (Vertical)'!C:C=B532,'Students (Vertical)'!O:O&lt;&gt;"""",'Students (Vertical)'!P:P&gt;1);filter('Students (Vertical)'!O:O,'Students (Vertical)'!C:C=E532,'"&amp;"Students (Vertical)'!O:O&lt;&gt;"""",'Students (Vertical)'!P:P&gt;1)},countifs({filter('Students (Vertical)'!O:O,'Students (Vertical)'!C:C=B532,'Students (Vertical)'!O:O&lt;&gt;"""",'Students (Vertical)'!P:P&gt;1);filter('Students (Vertical)'!O:O,'Students (Vertical)'!C:C="&amp;"E532,'Students (Vertical)'!O:O&lt;&gt;"""",'Students (Vertical)'!P:P&gt;1)},{filter('Students (Vertical)'!O:O,'Students (Vertical)'!C:C=B532,'Students (Vertical)'!O:O&lt;&gt;"""",'Students (Vertical)'!P:P&gt;1);filter('Students (Vertical)'!O:O,'Students (Vertical)'!C:C=E53"&amp;"2,'Students (Vertical)'!O:O&lt;&gt;"""",'Students (Vertical)'!P:P&gt;1)})&gt;1))),""""),"""")"),"")</f>
        <v/>
      </c>
      <c r="K532" s="358"/>
    </row>
    <row r="533">
      <c r="A533" s="300" t="s">
        <v>22</v>
      </c>
      <c r="C533" s="300" t="s">
        <v>22</v>
      </c>
      <c r="D533" s="300" t="s">
        <v>22</v>
      </c>
      <c r="F533" s="300" t="s">
        <v>22</v>
      </c>
      <c r="G533" s="300" t="s">
        <v>22</v>
      </c>
      <c r="I533" s="356" t="str">
        <f>IFERROR(__xludf.DUMMYFUNCTION("if(H533=""Must be Together"",iferror(join("", "",unique(filter({filter('Students (Vertical)'!O:O,'Students (Vertical)'!C:C=B533,'Students (Vertical)'!O:O&lt;&gt;"""");filter('Students (Vertical)'!O:O,'Students (Vertical)'!C:C=E533,'Students (Vertical)'!O:O&lt;&gt;"""&amp;""")},countifs({filter('Students (Vertical)'!O:O,'Students (Vertical)'!C:C=B533,'Students (Vertical)'!O:O&lt;&gt;"""");filter('Students (Vertical)'!O:O,'Students (Vertical)'!C:C=E533,'Students (Vertical)'!O:O&lt;&gt;"""")},{filter('Students (Vertical)'!O:O,'Students ("&amp;"Vertical)'!C:C=B533,'Students (Vertical)'!O:O&lt;&gt;"""");filter('Students (Vertical)'!O:O,'Students (Vertical)'!C:C=E533,'Students (Vertical)'!O:O&lt;&gt;"""")})&gt;1))),""No shared courses""),"""")"),"")</f>
        <v/>
      </c>
      <c r="J533" s="357" t="str">
        <f>IFERROR(__xludf.DUMMYFUNCTION("if(H533=""Can't be Together"",iferror(join("", "",unique(filter({filter('Students (Vertical)'!O:O,'Students (Vertical)'!C:C=B533,'Students (Vertical)'!O:O&lt;&gt;"""",'Students (Vertical)'!P:P&gt;1);filter('Students (Vertical)'!O:O,'Students (Vertical)'!C:C=E533,'"&amp;"Students (Vertical)'!O:O&lt;&gt;"""",'Students (Vertical)'!P:P&gt;1)},countifs({filter('Students (Vertical)'!O:O,'Students (Vertical)'!C:C=B533,'Students (Vertical)'!O:O&lt;&gt;"""",'Students (Vertical)'!P:P&gt;1);filter('Students (Vertical)'!O:O,'Students (Vertical)'!C:C="&amp;"E533,'Students (Vertical)'!O:O&lt;&gt;"""",'Students (Vertical)'!P:P&gt;1)},{filter('Students (Vertical)'!O:O,'Students (Vertical)'!C:C=B533,'Students (Vertical)'!O:O&lt;&gt;"""",'Students (Vertical)'!P:P&gt;1);filter('Students (Vertical)'!O:O,'Students (Vertical)'!C:C=E53"&amp;"3,'Students (Vertical)'!O:O&lt;&gt;"""",'Students (Vertical)'!P:P&gt;1)})&gt;1))),""""),"""")"),"")</f>
        <v/>
      </c>
      <c r="K533" s="358"/>
    </row>
    <row r="534">
      <c r="A534" s="300" t="s">
        <v>22</v>
      </c>
      <c r="C534" s="300" t="s">
        <v>22</v>
      </c>
      <c r="D534" s="300" t="s">
        <v>22</v>
      </c>
      <c r="F534" s="300" t="s">
        <v>22</v>
      </c>
      <c r="G534" s="300" t="s">
        <v>22</v>
      </c>
      <c r="I534" s="356" t="str">
        <f>IFERROR(__xludf.DUMMYFUNCTION("if(H534=""Must be Together"",iferror(join("", "",unique(filter({filter('Students (Vertical)'!O:O,'Students (Vertical)'!C:C=B534,'Students (Vertical)'!O:O&lt;&gt;"""");filter('Students (Vertical)'!O:O,'Students (Vertical)'!C:C=E534,'Students (Vertical)'!O:O&lt;&gt;"""&amp;""")},countifs({filter('Students (Vertical)'!O:O,'Students (Vertical)'!C:C=B534,'Students (Vertical)'!O:O&lt;&gt;"""");filter('Students (Vertical)'!O:O,'Students (Vertical)'!C:C=E534,'Students (Vertical)'!O:O&lt;&gt;"""")},{filter('Students (Vertical)'!O:O,'Students ("&amp;"Vertical)'!C:C=B534,'Students (Vertical)'!O:O&lt;&gt;"""");filter('Students (Vertical)'!O:O,'Students (Vertical)'!C:C=E534,'Students (Vertical)'!O:O&lt;&gt;"""")})&gt;1))),""No shared courses""),"""")"),"")</f>
        <v/>
      </c>
      <c r="J534" s="357" t="str">
        <f>IFERROR(__xludf.DUMMYFUNCTION("if(H534=""Can't be Together"",iferror(join("", "",unique(filter({filter('Students (Vertical)'!O:O,'Students (Vertical)'!C:C=B534,'Students (Vertical)'!O:O&lt;&gt;"""",'Students (Vertical)'!P:P&gt;1);filter('Students (Vertical)'!O:O,'Students (Vertical)'!C:C=E534,'"&amp;"Students (Vertical)'!O:O&lt;&gt;"""",'Students (Vertical)'!P:P&gt;1)},countifs({filter('Students (Vertical)'!O:O,'Students (Vertical)'!C:C=B534,'Students (Vertical)'!O:O&lt;&gt;"""",'Students (Vertical)'!P:P&gt;1);filter('Students (Vertical)'!O:O,'Students (Vertical)'!C:C="&amp;"E534,'Students (Vertical)'!O:O&lt;&gt;"""",'Students (Vertical)'!P:P&gt;1)},{filter('Students (Vertical)'!O:O,'Students (Vertical)'!C:C=B534,'Students (Vertical)'!O:O&lt;&gt;"""",'Students (Vertical)'!P:P&gt;1);filter('Students (Vertical)'!O:O,'Students (Vertical)'!C:C=E53"&amp;"4,'Students (Vertical)'!O:O&lt;&gt;"""",'Students (Vertical)'!P:P&gt;1)})&gt;1))),""""),"""")"),"")</f>
        <v/>
      </c>
      <c r="K534" s="358"/>
    </row>
    <row r="535">
      <c r="A535" s="300" t="s">
        <v>22</v>
      </c>
      <c r="C535" s="300" t="s">
        <v>22</v>
      </c>
      <c r="D535" s="300" t="s">
        <v>22</v>
      </c>
      <c r="F535" s="300" t="s">
        <v>22</v>
      </c>
      <c r="G535" s="300" t="s">
        <v>22</v>
      </c>
      <c r="I535" s="356" t="str">
        <f>IFERROR(__xludf.DUMMYFUNCTION("if(H535=""Must be Together"",iferror(join("", "",unique(filter({filter('Students (Vertical)'!O:O,'Students (Vertical)'!C:C=B535,'Students (Vertical)'!O:O&lt;&gt;"""");filter('Students (Vertical)'!O:O,'Students (Vertical)'!C:C=E535,'Students (Vertical)'!O:O&lt;&gt;"""&amp;""")},countifs({filter('Students (Vertical)'!O:O,'Students (Vertical)'!C:C=B535,'Students (Vertical)'!O:O&lt;&gt;"""");filter('Students (Vertical)'!O:O,'Students (Vertical)'!C:C=E535,'Students (Vertical)'!O:O&lt;&gt;"""")},{filter('Students (Vertical)'!O:O,'Students ("&amp;"Vertical)'!C:C=B535,'Students (Vertical)'!O:O&lt;&gt;"""");filter('Students (Vertical)'!O:O,'Students (Vertical)'!C:C=E535,'Students (Vertical)'!O:O&lt;&gt;"""")})&gt;1))),""No shared courses""),"""")"),"")</f>
        <v/>
      </c>
      <c r="J535" s="357" t="str">
        <f>IFERROR(__xludf.DUMMYFUNCTION("if(H535=""Can't be Together"",iferror(join("", "",unique(filter({filter('Students (Vertical)'!O:O,'Students (Vertical)'!C:C=B535,'Students (Vertical)'!O:O&lt;&gt;"""",'Students (Vertical)'!P:P&gt;1);filter('Students (Vertical)'!O:O,'Students (Vertical)'!C:C=E535,'"&amp;"Students (Vertical)'!O:O&lt;&gt;"""",'Students (Vertical)'!P:P&gt;1)},countifs({filter('Students (Vertical)'!O:O,'Students (Vertical)'!C:C=B535,'Students (Vertical)'!O:O&lt;&gt;"""",'Students (Vertical)'!P:P&gt;1);filter('Students (Vertical)'!O:O,'Students (Vertical)'!C:C="&amp;"E535,'Students (Vertical)'!O:O&lt;&gt;"""",'Students (Vertical)'!P:P&gt;1)},{filter('Students (Vertical)'!O:O,'Students (Vertical)'!C:C=B535,'Students (Vertical)'!O:O&lt;&gt;"""",'Students (Vertical)'!P:P&gt;1);filter('Students (Vertical)'!O:O,'Students (Vertical)'!C:C=E53"&amp;"5,'Students (Vertical)'!O:O&lt;&gt;"""",'Students (Vertical)'!P:P&gt;1)})&gt;1))),""""),"""")"),"")</f>
        <v/>
      </c>
      <c r="K535" s="358"/>
    </row>
    <row r="536">
      <c r="A536" s="300" t="s">
        <v>22</v>
      </c>
      <c r="C536" s="300" t="s">
        <v>22</v>
      </c>
      <c r="D536" s="300" t="s">
        <v>22</v>
      </c>
      <c r="F536" s="300" t="s">
        <v>22</v>
      </c>
      <c r="G536" s="300" t="s">
        <v>22</v>
      </c>
      <c r="I536" s="356" t="str">
        <f>IFERROR(__xludf.DUMMYFUNCTION("if(H536=""Must be Together"",iferror(join("", "",unique(filter({filter('Students (Vertical)'!O:O,'Students (Vertical)'!C:C=B536,'Students (Vertical)'!O:O&lt;&gt;"""");filter('Students (Vertical)'!O:O,'Students (Vertical)'!C:C=E536,'Students (Vertical)'!O:O&lt;&gt;"""&amp;""")},countifs({filter('Students (Vertical)'!O:O,'Students (Vertical)'!C:C=B536,'Students (Vertical)'!O:O&lt;&gt;"""");filter('Students (Vertical)'!O:O,'Students (Vertical)'!C:C=E536,'Students (Vertical)'!O:O&lt;&gt;"""")},{filter('Students (Vertical)'!O:O,'Students ("&amp;"Vertical)'!C:C=B536,'Students (Vertical)'!O:O&lt;&gt;"""");filter('Students (Vertical)'!O:O,'Students (Vertical)'!C:C=E536,'Students (Vertical)'!O:O&lt;&gt;"""")})&gt;1))),""No shared courses""),"""")"),"")</f>
        <v/>
      </c>
      <c r="J536" s="357" t="str">
        <f>IFERROR(__xludf.DUMMYFUNCTION("if(H536=""Can't be Together"",iferror(join("", "",unique(filter({filter('Students (Vertical)'!O:O,'Students (Vertical)'!C:C=B536,'Students (Vertical)'!O:O&lt;&gt;"""",'Students (Vertical)'!P:P&gt;1);filter('Students (Vertical)'!O:O,'Students (Vertical)'!C:C=E536,'"&amp;"Students (Vertical)'!O:O&lt;&gt;"""",'Students (Vertical)'!P:P&gt;1)},countifs({filter('Students (Vertical)'!O:O,'Students (Vertical)'!C:C=B536,'Students (Vertical)'!O:O&lt;&gt;"""",'Students (Vertical)'!P:P&gt;1);filter('Students (Vertical)'!O:O,'Students (Vertical)'!C:C="&amp;"E536,'Students (Vertical)'!O:O&lt;&gt;"""",'Students (Vertical)'!P:P&gt;1)},{filter('Students (Vertical)'!O:O,'Students (Vertical)'!C:C=B536,'Students (Vertical)'!O:O&lt;&gt;"""",'Students (Vertical)'!P:P&gt;1);filter('Students (Vertical)'!O:O,'Students (Vertical)'!C:C=E53"&amp;"6,'Students (Vertical)'!O:O&lt;&gt;"""",'Students (Vertical)'!P:P&gt;1)})&gt;1))),""""),"""")"),"")</f>
        <v/>
      </c>
      <c r="K536" s="358"/>
    </row>
    <row r="537">
      <c r="A537" s="300" t="s">
        <v>22</v>
      </c>
      <c r="C537" s="300" t="s">
        <v>22</v>
      </c>
      <c r="D537" s="300" t="s">
        <v>22</v>
      </c>
      <c r="F537" s="300" t="s">
        <v>22</v>
      </c>
      <c r="G537" s="300" t="s">
        <v>22</v>
      </c>
      <c r="I537" s="356" t="str">
        <f>IFERROR(__xludf.DUMMYFUNCTION("if(H537=""Must be Together"",iferror(join("", "",unique(filter({filter('Students (Vertical)'!O:O,'Students (Vertical)'!C:C=B537,'Students (Vertical)'!O:O&lt;&gt;"""");filter('Students (Vertical)'!O:O,'Students (Vertical)'!C:C=E537,'Students (Vertical)'!O:O&lt;&gt;"""&amp;""")},countifs({filter('Students (Vertical)'!O:O,'Students (Vertical)'!C:C=B537,'Students (Vertical)'!O:O&lt;&gt;"""");filter('Students (Vertical)'!O:O,'Students (Vertical)'!C:C=E537,'Students (Vertical)'!O:O&lt;&gt;"""")},{filter('Students (Vertical)'!O:O,'Students ("&amp;"Vertical)'!C:C=B537,'Students (Vertical)'!O:O&lt;&gt;"""");filter('Students (Vertical)'!O:O,'Students (Vertical)'!C:C=E537,'Students (Vertical)'!O:O&lt;&gt;"""")})&gt;1))),""No shared courses""),"""")"),"")</f>
        <v/>
      </c>
      <c r="J537" s="357" t="str">
        <f>IFERROR(__xludf.DUMMYFUNCTION("if(H537=""Can't be Together"",iferror(join("", "",unique(filter({filter('Students (Vertical)'!O:O,'Students (Vertical)'!C:C=B537,'Students (Vertical)'!O:O&lt;&gt;"""",'Students (Vertical)'!P:P&gt;1);filter('Students (Vertical)'!O:O,'Students (Vertical)'!C:C=E537,'"&amp;"Students (Vertical)'!O:O&lt;&gt;"""",'Students (Vertical)'!P:P&gt;1)},countifs({filter('Students (Vertical)'!O:O,'Students (Vertical)'!C:C=B537,'Students (Vertical)'!O:O&lt;&gt;"""",'Students (Vertical)'!P:P&gt;1);filter('Students (Vertical)'!O:O,'Students (Vertical)'!C:C="&amp;"E537,'Students (Vertical)'!O:O&lt;&gt;"""",'Students (Vertical)'!P:P&gt;1)},{filter('Students (Vertical)'!O:O,'Students (Vertical)'!C:C=B537,'Students (Vertical)'!O:O&lt;&gt;"""",'Students (Vertical)'!P:P&gt;1);filter('Students (Vertical)'!O:O,'Students (Vertical)'!C:C=E53"&amp;"7,'Students (Vertical)'!O:O&lt;&gt;"""",'Students (Vertical)'!P:P&gt;1)})&gt;1))),""""),"""")"),"")</f>
        <v/>
      </c>
      <c r="K537" s="358"/>
    </row>
    <row r="538">
      <c r="A538" s="300" t="s">
        <v>22</v>
      </c>
      <c r="C538" s="300" t="s">
        <v>22</v>
      </c>
      <c r="D538" s="300" t="s">
        <v>22</v>
      </c>
      <c r="F538" s="300" t="s">
        <v>22</v>
      </c>
      <c r="G538" s="300" t="s">
        <v>22</v>
      </c>
      <c r="I538" s="356" t="str">
        <f>IFERROR(__xludf.DUMMYFUNCTION("if(H538=""Must be Together"",iferror(join("", "",unique(filter({filter('Students (Vertical)'!O:O,'Students (Vertical)'!C:C=B538,'Students (Vertical)'!O:O&lt;&gt;"""");filter('Students (Vertical)'!O:O,'Students (Vertical)'!C:C=E538,'Students (Vertical)'!O:O&lt;&gt;"""&amp;""")},countifs({filter('Students (Vertical)'!O:O,'Students (Vertical)'!C:C=B538,'Students (Vertical)'!O:O&lt;&gt;"""");filter('Students (Vertical)'!O:O,'Students (Vertical)'!C:C=E538,'Students (Vertical)'!O:O&lt;&gt;"""")},{filter('Students (Vertical)'!O:O,'Students ("&amp;"Vertical)'!C:C=B538,'Students (Vertical)'!O:O&lt;&gt;"""");filter('Students (Vertical)'!O:O,'Students (Vertical)'!C:C=E538,'Students (Vertical)'!O:O&lt;&gt;"""")})&gt;1))),""No shared courses""),"""")"),"")</f>
        <v/>
      </c>
      <c r="J538" s="357" t="str">
        <f>IFERROR(__xludf.DUMMYFUNCTION("if(H538=""Can't be Together"",iferror(join("", "",unique(filter({filter('Students (Vertical)'!O:O,'Students (Vertical)'!C:C=B538,'Students (Vertical)'!O:O&lt;&gt;"""",'Students (Vertical)'!P:P&gt;1);filter('Students (Vertical)'!O:O,'Students (Vertical)'!C:C=E538,'"&amp;"Students (Vertical)'!O:O&lt;&gt;"""",'Students (Vertical)'!P:P&gt;1)},countifs({filter('Students (Vertical)'!O:O,'Students (Vertical)'!C:C=B538,'Students (Vertical)'!O:O&lt;&gt;"""",'Students (Vertical)'!P:P&gt;1);filter('Students (Vertical)'!O:O,'Students (Vertical)'!C:C="&amp;"E538,'Students (Vertical)'!O:O&lt;&gt;"""",'Students (Vertical)'!P:P&gt;1)},{filter('Students (Vertical)'!O:O,'Students (Vertical)'!C:C=B538,'Students (Vertical)'!O:O&lt;&gt;"""",'Students (Vertical)'!P:P&gt;1);filter('Students (Vertical)'!O:O,'Students (Vertical)'!C:C=E53"&amp;"8,'Students (Vertical)'!O:O&lt;&gt;"""",'Students (Vertical)'!P:P&gt;1)})&gt;1))),""""),"""")"),"")</f>
        <v/>
      </c>
      <c r="K538" s="358"/>
    </row>
    <row r="539">
      <c r="A539" s="300" t="s">
        <v>22</v>
      </c>
      <c r="C539" s="300" t="s">
        <v>22</v>
      </c>
      <c r="D539" s="300" t="s">
        <v>22</v>
      </c>
      <c r="F539" s="300" t="s">
        <v>22</v>
      </c>
      <c r="G539" s="300" t="s">
        <v>22</v>
      </c>
      <c r="I539" s="356" t="str">
        <f>IFERROR(__xludf.DUMMYFUNCTION("if(H539=""Must be Together"",iferror(join("", "",unique(filter({filter('Students (Vertical)'!O:O,'Students (Vertical)'!C:C=B539,'Students (Vertical)'!O:O&lt;&gt;"""");filter('Students (Vertical)'!O:O,'Students (Vertical)'!C:C=E539,'Students (Vertical)'!O:O&lt;&gt;"""&amp;""")},countifs({filter('Students (Vertical)'!O:O,'Students (Vertical)'!C:C=B539,'Students (Vertical)'!O:O&lt;&gt;"""");filter('Students (Vertical)'!O:O,'Students (Vertical)'!C:C=E539,'Students (Vertical)'!O:O&lt;&gt;"""")},{filter('Students (Vertical)'!O:O,'Students ("&amp;"Vertical)'!C:C=B539,'Students (Vertical)'!O:O&lt;&gt;"""");filter('Students (Vertical)'!O:O,'Students (Vertical)'!C:C=E539,'Students (Vertical)'!O:O&lt;&gt;"""")})&gt;1))),""No shared courses""),"""")"),"")</f>
        <v/>
      </c>
      <c r="J539" s="357" t="str">
        <f>IFERROR(__xludf.DUMMYFUNCTION("if(H539=""Can't be Together"",iferror(join("", "",unique(filter({filter('Students (Vertical)'!O:O,'Students (Vertical)'!C:C=B539,'Students (Vertical)'!O:O&lt;&gt;"""",'Students (Vertical)'!P:P&gt;1);filter('Students (Vertical)'!O:O,'Students (Vertical)'!C:C=E539,'"&amp;"Students (Vertical)'!O:O&lt;&gt;"""",'Students (Vertical)'!P:P&gt;1)},countifs({filter('Students (Vertical)'!O:O,'Students (Vertical)'!C:C=B539,'Students (Vertical)'!O:O&lt;&gt;"""",'Students (Vertical)'!P:P&gt;1);filter('Students (Vertical)'!O:O,'Students (Vertical)'!C:C="&amp;"E539,'Students (Vertical)'!O:O&lt;&gt;"""",'Students (Vertical)'!P:P&gt;1)},{filter('Students (Vertical)'!O:O,'Students (Vertical)'!C:C=B539,'Students (Vertical)'!O:O&lt;&gt;"""",'Students (Vertical)'!P:P&gt;1);filter('Students (Vertical)'!O:O,'Students (Vertical)'!C:C=E53"&amp;"9,'Students (Vertical)'!O:O&lt;&gt;"""",'Students (Vertical)'!P:P&gt;1)})&gt;1))),""""),"""")"),"")</f>
        <v/>
      </c>
      <c r="K539" s="358"/>
    </row>
    <row r="540">
      <c r="A540" s="300" t="s">
        <v>22</v>
      </c>
      <c r="C540" s="300" t="s">
        <v>22</v>
      </c>
      <c r="D540" s="300" t="s">
        <v>22</v>
      </c>
      <c r="F540" s="300" t="s">
        <v>22</v>
      </c>
      <c r="G540" s="300" t="s">
        <v>22</v>
      </c>
      <c r="I540" s="356" t="str">
        <f>IFERROR(__xludf.DUMMYFUNCTION("if(H540=""Must be Together"",iferror(join("", "",unique(filter({filter('Students (Vertical)'!O:O,'Students (Vertical)'!C:C=B540,'Students (Vertical)'!O:O&lt;&gt;"""");filter('Students (Vertical)'!O:O,'Students (Vertical)'!C:C=E540,'Students (Vertical)'!O:O&lt;&gt;"""&amp;""")},countifs({filter('Students (Vertical)'!O:O,'Students (Vertical)'!C:C=B540,'Students (Vertical)'!O:O&lt;&gt;"""");filter('Students (Vertical)'!O:O,'Students (Vertical)'!C:C=E540,'Students (Vertical)'!O:O&lt;&gt;"""")},{filter('Students (Vertical)'!O:O,'Students ("&amp;"Vertical)'!C:C=B540,'Students (Vertical)'!O:O&lt;&gt;"""");filter('Students (Vertical)'!O:O,'Students (Vertical)'!C:C=E540,'Students (Vertical)'!O:O&lt;&gt;"""")})&gt;1))),""No shared courses""),"""")"),"")</f>
        <v/>
      </c>
      <c r="J540" s="357" t="str">
        <f>IFERROR(__xludf.DUMMYFUNCTION("if(H540=""Can't be Together"",iferror(join("", "",unique(filter({filter('Students (Vertical)'!O:O,'Students (Vertical)'!C:C=B540,'Students (Vertical)'!O:O&lt;&gt;"""",'Students (Vertical)'!P:P&gt;1);filter('Students (Vertical)'!O:O,'Students (Vertical)'!C:C=E540,'"&amp;"Students (Vertical)'!O:O&lt;&gt;"""",'Students (Vertical)'!P:P&gt;1)},countifs({filter('Students (Vertical)'!O:O,'Students (Vertical)'!C:C=B540,'Students (Vertical)'!O:O&lt;&gt;"""",'Students (Vertical)'!P:P&gt;1);filter('Students (Vertical)'!O:O,'Students (Vertical)'!C:C="&amp;"E540,'Students (Vertical)'!O:O&lt;&gt;"""",'Students (Vertical)'!P:P&gt;1)},{filter('Students (Vertical)'!O:O,'Students (Vertical)'!C:C=B540,'Students (Vertical)'!O:O&lt;&gt;"""",'Students (Vertical)'!P:P&gt;1);filter('Students (Vertical)'!O:O,'Students (Vertical)'!C:C=E54"&amp;"0,'Students (Vertical)'!O:O&lt;&gt;"""",'Students (Vertical)'!P:P&gt;1)})&gt;1))),""""),"""")"),"")</f>
        <v/>
      </c>
      <c r="K540" s="358"/>
    </row>
    <row r="541">
      <c r="A541" s="300" t="s">
        <v>22</v>
      </c>
      <c r="C541" s="300" t="s">
        <v>22</v>
      </c>
      <c r="D541" s="300" t="s">
        <v>22</v>
      </c>
      <c r="F541" s="300" t="s">
        <v>22</v>
      </c>
      <c r="G541" s="300" t="s">
        <v>22</v>
      </c>
      <c r="I541" s="356" t="str">
        <f>IFERROR(__xludf.DUMMYFUNCTION("if(H541=""Must be Together"",iferror(join("", "",unique(filter({filter('Students (Vertical)'!O:O,'Students (Vertical)'!C:C=B541,'Students (Vertical)'!O:O&lt;&gt;"""");filter('Students (Vertical)'!O:O,'Students (Vertical)'!C:C=E541,'Students (Vertical)'!O:O&lt;&gt;"""&amp;""")},countifs({filter('Students (Vertical)'!O:O,'Students (Vertical)'!C:C=B541,'Students (Vertical)'!O:O&lt;&gt;"""");filter('Students (Vertical)'!O:O,'Students (Vertical)'!C:C=E541,'Students (Vertical)'!O:O&lt;&gt;"""")},{filter('Students (Vertical)'!O:O,'Students ("&amp;"Vertical)'!C:C=B541,'Students (Vertical)'!O:O&lt;&gt;"""");filter('Students (Vertical)'!O:O,'Students (Vertical)'!C:C=E541,'Students (Vertical)'!O:O&lt;&gt;"""")})&gt;1))),""No shared courses""),"""")"),"")</f>
        <v/>
      </c>
      <c r="J541" s="357" t="str">
        <f>IFERROR(__xludf.DUMMYFUNCTION("if(H541=""Can't be Together"",iferror(join("", "",unique(filter({filter('Students (Vertical)'!O:O,'Students (Vertical)'!C:C=B541,'Students (Vertical)'!O:O&lt;&gt;"""",'Students (Vertical)'!P:P&gt;1);filter('Students (Vertical)'!O:O,'Students (Vertical)'!C:C=E541,'"&amp;"Students (Vertical)'!O:O&lt;&gt;"""",'Students (Vertical)'!P:P&gt;1)},countifs({filter('Students (Vertical)'!O:O,'Students (Vertical)'!C:C=B541,'Students (Vertical)'!O:O&lt;&gt;"""",'Students (Vertical)'!P:P&gt;1);filter('Students (Vertical)'!O:O,'Students (Vertical)'!C:C="&amp;"E541,'Students (Vertical)'!O:O&lt;&gt;"""",'Students (Vertical)'!P:P&gt;1)},{filter('Students (Vertical)'!O:O,'Students (Vertical)'!C:C=B541,'Students (Vertical)'!O:O&lt;&gt;"""",'Students (Vertical)'!P:P&gt;1);filter('Students (Vertical)'!O:O,'Students (Vertical)'!C:C=E54"&amp;"1,'Students (Vertical)'!O:O&lt;&gt;"""",'Students (Vertical)'!P:P&gt;1)})&gt;1))),""""),"""")"),"")</f>
        <v/>
      </c>
      <c r="K541" s="358"/>
    </row>
    <row r="542">
      <c r="A542" s="300" t="s">
        <v>22</v>
      </c>
      <c r="C542" s="300" t="s">
        <v>22</v>
      </c>
      <c r="D542" s="300" t="s">
        <v>22</v>
      </c>
      <c r="F542" s="300" t="s">
        <v>22</v>
      </c>
      <c r="G542" s="300" t="s">
        <v>22</v>
      </c>
      <c r="I542" s="356" t="str">
        <f>IFERROR(__xludf.DUMMYFUNCTION("if(H542=""Must be Together"",iferror(join("", "",unique(filter({filter('Students (Vertical)'!O:O,'Students (Vertical)'!C:C=B542,'Students (Vertical)'!O:O&lt;&gt;"""");filter('Students (Vertical)'!O:O,'Students (Vertical)'!C:C=E542,'Students (Vertical)'!O:O&lt;&gt;"""&amp;""")},countifs({filter('Students (Vertical)'!O:O,'Students (Vertical)'!C:C=B542,'Students (Vertical)'!O:O&lt;&gt;"""");filter('Students (Vertical)'!O:O,'Students (Vertical)'!C:C=E542,'Students (Vertical)'!O:O&lt;&gt;"""")},{filter('Students (Vertical)'!O:O,'Students ("&amp;"Vertical)'!C:C=B542,'Students (Vertical)'!O:O&lt;&gt;"""");filter('Students (Vertical)'!O:O,'Students (Vertical)'!C:C=E542,'Students (Vertical)'!O:O&lt;&gt;"""")})&gt;1))),""No shared courses""),"""")"),"")</f>
        <v/>
      </c>
      <c r="J542" s="357" t="str">
        <f>IFERROR(__xludf.DUMMYFUNCTION("if(H542=""Can't be Together"",iferror(join("", "",unique(filter({filter('Students (Vertical)'!O:O,'Students (Vertical)'!C:C=B542,'Students (Vertical)'!O:O&lt;&gt;"""",'Students (Vertical)'!P:P&gt;1);filter('Students (Vertical)'!O:O,'Students (Vertical)'!C:C=E542,'"&amp;"Students (Vertical)'!O:O&lt;&gt;"""",'Students (Vertical)'!P:P&gt;1)},countifs({filter('Students (Vertical)'!O:O,'Students (Vertical)'!C:C=B542,'Students (Vertical)'!O:O&lt;&gt;"""",'Students (Vertical)'!P:P&gt;1);filter('Students (Vertical)'!O:O,'Students (Vertical)'!C:C="&amp;"E542,'Students (Vertical)'!O:O&lt;&gt;"""",'Students (Vertical)'!P:P&gt;1)},{filter('Students (Vertical)'!O:O,'Students (Vertical)'!C:C=B542,'Students (Vertical)'!O:O&lt;&gt;"""",'Students (Vertical)'!P:P&gt;1);filter('Students (Vertical)'!O:O,'Students (Vertical)'!C:C=E54"&amp;"2,'Students (Vertical)'!O:O&lt;&gt;"""",'Students (Vertical)'!P:P&gt;1)})&gt;1))),""""),"""")"),"")</f>
        <v/>
      </c>
      <c r="K542" s="358"/>
    </row>
    <row r="543">
      <c r="A543" s="300" t="s">
        <v>22</v>
      </c>
      <c r="C543" s="300" t="s">
        <v>22</v>
      </c>
      <c r="D543" s="300" t="s">
        <v>22</v>
      </c>
      <c r="F543" s="300" t="s">
        <v>22</v>
      </c>
      <c r="G543" s="300" t="s">
        <v>22</v>
      </c>
      <c r="I543" s="356" t="str">
        <f>IFERROR(__xludf.DUMMYFUNCTION("if(H543=""Must be Together"",iferror(join("", "",unique(filter({filter('Students (Vertical)'!O:O,'Students (Vertical)'!C:C=B543,'Students (Vertical)'!O:O&lt;&gt;"""");filter('Students (Vertical)'!O:O,'Students (Vertical)'!C:C=E543,'Students (Vertical)'!O:O&lt;&gt;"""&amp;""")},countifs({filter('Students (Vertical)'!O:O,'Students (Vertical)'!C:C=B543,'Students (Vertical)'!O:O&lt;&gt;"""");filter('Students (Vertical)'!O:O,'Students (Vertical)'!C:C=E543,'Students (Vertical)'!O:O&lt;&gt;"""")},{filter('Students (Vertical)'!O:O,'Students ("&amp;"Vertical)'!C:C=B543,'Students (Vertical)'!O:O&lt;&gt;"""");filter('Students (Vertical)'!O:O,'Students (Vertical)'!C:C=E543,'Students (Vertical)'!O:O&lt;&gt;"""")})&gt;1))),""No shared courses""),"""")"),"")</f>
        <v/>
      </c>
      <c r="J543" s="357" t="str">
        <f>IFERROR(__xludf.DUMMYFUNCTION("if(H543=""Can't be Together"",iferror(join("", "",unique(filter({filter('Students (Vertical)'!O:O,'Students (Vertical)'!C:C=B543,'Students (Vertical)'!O:O&lt;&gt;"""",'Students (Vertical)'!P:P&gt;1);filter('Students (Vertical)'!O:O,'Students (Vertical)'!C:C=E543,'"&amp;"Students (Vertical)'!O:O&lt;&gt;"""",'Students (Vertical)'!P:P&gt;1)},countifs({filter('Students (Vertical)'!O:O,'Students (Vertical)'!C:C=B543,'Students (Vertical)'!O:O&lt;&gt;"""",'Students (Vertical)'!P:P&gt;1);filter('Students (Vertical)'!O:O,'Students (Vertical)'!C:C="&amp;"E543,'Students (Vertical)'!O:O&lt;&gt;"""",'Students (Vertical)'!P:P&gt;1)},{filter('Students (Vertical)'!O:O,'Students (Vertical)'!C:C=B543,'Students (Vertical)'!O:O&lt;&gt;"""",'Students (Vertical)'!P:P&gt;1);filter('Students (Vertical)'!O:O,'Students (Vertical)'!C:C=E54"&amp;"3,'Students (Vertical)'!O:O&lt;&gt;"""",'Students (Vertical)'!P:P&gt;1)})&gt;1))),""""),"""")"),"")</f>
        <v/>
      </c>
      <c r="K543" s="358"/>
    </row>
    <row r="544">
      <c r="A544" s="300" t="s">
        <v>22</v>
      </c>
      <c r="C544" s="300" t="s">
        <v>22</v>
      </c>
      <c r="D544" s="300" t="s">
        <v>22</v>
      </c>
      <c r="F544" s="300" t="s">
        <v>22</v>
      </c>
      <c r="G544" s="300" t="s">
        <v>22</v>
      </c>
      <c r="I544" s="356" t="str">
        <f>IFERROR(__xludf.DUMMYFUNCTION("if(H544=""Must be Together"",iferror(join("", "",unique(filter({filter('Students (Vertical)'!O:O,'Students (Vertical)'!C:C=B544,'Students (Vertical)'!O:O&lt;&gt;"""");filter('Students (Vertical)'!O:O,'Students (Vertical)'!C:C=E544,'Students (Vertical)'!O:O&lt;&gt;"""&amp;""")},countifs({filter('Students (Vertical)'!O:O,'Students (Vertical)'!C:C=B544,'Students (Vertical)'!O:O&lt;&gt;"""");filter('Students (Vertical)'!O:O,'Students (Vertical)'!C:C=E544,'Students (Vertical)'!O:O&lt;&gt;"""")},{filter('Students (Vertical)'!O:O,'Students ("&amp;"Vertical)'!C:C=B544,'Students (Vertical)'!O:O&lt;&gt;"""");filter('Students (Vertical)'!O:O,'Students (Vertical)'!C:C=E544,'Students (Vertical)'!O:O&lt;&gt;"""")})&gt;1))),""No shared courses""),"""")"),"")</f>
        <v/>
      </c>
      <c r="J544" s="357" t="str">
        <f>IFERROR(__xludf.DUMMYFUNCTION("if(H544=""Can't be Together"",iferror(join("", "",unique(filter({filter('Students (Vertical)'!O:O,'Students (Vertical)'!C:C=B544,'Students (Vertical)'!O:O&lt;&gt;"""",'Students (Vertical)'!P:P&gt;1);filter('Students (Vertical)'!O:O,'Students (Vertical)'!C:C=E544,'"&amp;"Students (Vertical)'!O:O&lt;&gt;"""",'Students (Vertical)'!P:P&gt;1)},countifs({filter('Students (Vertical)'!O:O,'Students (Vertical)'!C:C=B544,'Students (Vertical)'!O:O&lt;&gt;"""",'Students (Vertical)'!P:P&gt;1);filter('Students (Vertical)'!O:O,'Students (Vertical)'!C:C="&amp;"E544,'Students (Vertical)'!O:O&lt;&gt;"""",'Students (Vertical)'!P:P&gt;1)},{filter('Students (Vertical)'!O:O,'Students (Vertical)'!C:C=B544,'Students (Vertical)'!O:O&lt;&gt;"""",'Students (Vertical)'!P:P&gt;1);filter('Students (Vertical)'!O:O,'Students (Vertical)'!C:C=E54"&amp;"4,'Students (Vertical)'!O:O&lt;&gt;"""",'Students (Vertical)'!P:P&gt;1)})&gt;1))),""""),"""")"),"")</f>
        <v/>
      </c>
      <c r="K544" s="358"/>
    </row>
    <row r="545">
      <c r="A545" s="300" t="s">
        <v>22</v>
      </c>
      <c r="C545" s="300" t="s">
        <v>22</v>
      </c>
      <c r="D545" s="300" t="s">
        <v>22</v>
      </c>
      <c r="F545" s="300" t="s">
        <v>22</v>
      </c>
      <c r="G545" s="300" t="s">
        <v>22</v>
      </c>
      <c r="I545" s="356" t="str">
        <f>IFERROR(__xludf.DUMMYFUNCTION("if(H545=""Must be Together"",iferror(join("", "",unique(filter({filter('Students (Vertical)'!O:O,'Students (Vertical)'!C:C=B545,'Students (Vertical)'!O:O&lt;&gt;"""");filter('Students (Vertical)'!O:O,'Students (Vertical)'!C:C=E545,'Students (Vertical)'!O:O&lt;&gt;"""&amp;""")},countifs({filter('Students (Vertical)'!O:O,'Students (Vertical)'!C:C=B545,'Students (Vertical)'!O:O&lt;&gt;"""");filter('Students (Vertical)'!O:O,'Students (Vertical)'!C:C=E545,'Students (Vertical)'!O:O&lt;&gt;"""")},{filter('Students (Vertical)'!O:O,'Students ("&amp;"Vertical)'!C:C=B545,'Students (Vertical)'!O:O&lt;&gt;"""");filter('Students (Vertical)'!O:O,'Students (Vertical)'!C:C=E545,'Students (Vertical)'!O:O&lt;&gt;"""")})&gt;1))),""No shared courses""),"""")"),"")</f>
        <v/>
      </c>
      <c r="J545" s="357" t="str">
        <f>IFERROR(__xludf.DUMMYFUNCTION("if(H545=""Can't be Together"",iferror(join("", "",unique(filter({filter('Students (Vertical)'!O:O,'Students (Vertical)'!C:C=B545,'Students (Vertical)'!O:O&lt;&gt;"""",'Students (Vertical)'!P:P&gt;1);filter('Students (Vertical)'!O:O,'Students (Vertical)'!C:C=E545,'"&amp;"Students (Vertical)'!O:O&lt;&gt;"""",'Students (Vertical)'!P:P&gt;1)},countifs({filter('Students (Vertical)'!O:O,'Students (Vertical)'!C:C=B545,'Students (Vertical)'!O:O&lt;&gt;"""",'Students (Vertical)'!P:P&gt;1);filter('Students (Vertical)'!O:O,'Students (Vertical)'!C:C="&amp;"E545,'Students (Vertical)'!O:O&lt;&gt;"""",'Students (Vertical)'!P:P&gt;1)},{filter('Students (Vertical)'!O:O,'Students (Vertical)'!C:C=B545,'Students (Vertical)'!O:O&lt;&gt;"""",'Students (Vertical)'!P:P&gt;1);filter('Students (Vertical)'!O:O,'Students (Vertical)'!C:C=E54"&amp;"5,'Students (Vertical)'!O:O&lt;&gt;"""",'Students (Vertical)'!P:P&gt;1)})&gt;1))),""""),"""")"),"")</f>
        <v/>
      </c>
      <c r="K545" s="358"/>
    </row>
    <row r="546">
      <c r="A546" s="300" t="s">
        <v>22</v>
      </c>
      <c r="C546" s="300" t="s">
        <v>22</v>
      </c>
      <c r="D546" s="300" t="s">
        <v>22</v>
      </c>
      <c r="F546" s="300" t="s">
        <v>22</v>
      </c>
      <c r="G546" s="300" t="s">
        <v>22</v>
      </c>
      <c r="I546" s="356" t="str">
        <f>IFERROR(__xludf.DUMMYFUNCTION("if(H546=""Must be Together"",iferror(join("", "",unique(filter({filter('Students (Vertical)'!O:O,'Students (Vertical)'!C:C=B546,'Students (Vertical)'!O:O&lt;&gt;"""");filter('Students (Vertical)'!O:O,'Students (Vertical)'!C:C=E546,'Students (Vertical)'!O:O&lt;&gt;"""&amp;""")},countifs({filter('Students (Vertical)'!O:O,'Students (Vertical)'!C:C=B546,'Students (Vertical)'!O:O&lt;&gt;"""");filter('Students (Vertical)'!O:O,'Students (Vertical)'!C:C=E546,'Students (Vertical)'!O:O&lt;&gt;"""")},{filter('Students (Vertical)'!O:O,'Students ("&amp;"Vertical)'!C:C=B546,'Students (Vertical)'!O:O&lt;&gt;"""");filter('Students (Vertical)'!O:O,'Students (Vertical)'!C:C=E546,'Students (Vertical)'!O:O&lt;&gt;"""")})&gt;1))),""No shared courses""),"""")"),"")</f>
        <v/>
      </c>
      <c r="J546" s="357" t="str">
        <f>IFERROR(__xludf.DUMMYFUNCTION("if(H546=""Can't be Together"",iferror(join("", "",unique(filter({filter('Students (Vertical)'!O:O,'Students (Vertical)'!C:C=B546,'Students (Vertical)'!O:O&lt;&gt;"""",'Students (Vertical)'!P:P&gt;1);filter('Students (Vertical)'!O:O,'Students (Vertical)'!C:C=E546,'"&amp;"Students (Vertical)'!O:O&lt;&gt;"""",'Students (Vertical)'!P:P&gt;1)},countifs({filter('Students (Vertical)'!O:O,'Students (Vertical)'!C:C=B546,'Students (Vertical)'!O:O&lt;&gt;"""",'Students (Vertical)'!P:P&gt;1);filter('Students (Vertical)'!O:O,'Students (Vertical)'!C:C="&amp;"E546,'Students (Vertical)'!O:O&lt;&gt;"""",'Students (Vertical)'!P:P&gt;1)},{filter('Students (Vertical)'!O:O,'Students (Vertical)'!C:C=B546,'Students (Vertical)'!O:O&lt;&gt;"""",'Students (Vertical)'!P:P&gt;1);filter('Students (Vertical)'!O:O,'Students (Vertical)'!C:C=E54"&amp;"6,'Students (Vertical)'!O:O&lt;&gt;"""",'Students (Vertical)'!P:P&gt;1)})&gt;1))),""""),"""")"),"")</f>
        <v/>
      </c>
      <c r="K546" s="358"/>
    </row>
    <row r="547">
      <c r="A547" s="300" t="s">
        <v>22</v>
      </c>
      <c r="C547" s="300" t="s">
        <v>22</v>
      </c>
      <c r="D547" s="300" t="s">
        <v>22</v>
      </c>
      <c r="F547" s="300" t="s">
        <v>22</v>
      </c>
      <c r="G547" s="300" t="s">
        <v>22</v>
      </c>
      <c r="I547" s="356" t="str">
        <f>IFERROR(__xludf.DUMMYFUNCTION("if(H547=""Must be Together"",iferror(join("", "",unique(filter({filter('Students (Vertical)'!O:O,'Students (Vertical)'!C:C=B547,'Students (Vertical)'!O:O&lt;&gt;"""");filter('Students (Vertical)'!O:O,'Students (Vertical)'!C:C=E547,'Students (Vertical)'!O:O&lt;&gt;"""&amp;""")},countifs({filter('Students (Vertical)'!O:O,'Students (Vertical)'!C:C=B547,'Students (Vertical)'!O:O&lt;&gt;"""");filter('Students (Vertical)'!O:O,'Students (Vertical)'!C:C=E547,'Students (Vertical)'!O:O&lt;&gt;"""")},{filter('Students (Vertical)'!O:O,'Students ("&amp;"Vertical)'!C:C=B547,'Students (Vertical)'!O:O&lt;&gt;"""");filter('Students (Vertical)'!O:O,'Students (Vertical)'!C:C=E547,'Students (Vertical)'!O:O&lt;&gt;"""")})&gt;1))),""No shared courses""),"""")"),"")</f>
        <v/>
      </c>
      <c r="J547" s="357" t="str">
        <f>IFERROR(__xludf.DUMMYFUNCTION("if(H547=""Can't be Together"",iferror(join("", "",unique(filter({filter('Students (Vertical)'!O:O,'Students (Vertical)'!C:C=B547,'Students (Vertical)'!O:O&lt;&gt;"""",'Students (Vertical)'!P:P&gt;1);filter('Students (Vertical)'!O:O,'Students (Vertical)'!C:C=E547,'"&amp;"Students (Vertical)'!O:O&lt;&gt;"""",'Students (Vertical)'!P:P&gt;1)},countifs({filter('Students (Vertical)'!O:O,'Students (Vertical)'!C:C=B547,'Students (Vertical)'!O:O&lt;&gt;"""",'Students (Vertical)'!P:P&gt;1);filter('Students (Vertical)'!O:O,'Students (Vertical)'!C:C="&amp;"E547,'Students (Vertical)'!O:O&lt;&gt;"""",'Students (Vertical)'!P:P&gt;1)},{filter('Students (Vertical)'!O:O,'Students (Vertical)'!C:C=B547,'Students (Vertical)'!O:O&lt;&gt;"""",'Students (Vertical)'!P:P&gt;1);filter('Students (Vertical)'!O:O,'Students (Vertical)'!C:C=E54"&amp;"7,'Students (Vertical)'!O:O&lt;&gt;"""",'Students (Vertical)'!P:P&gt;1)})&gt;1))),""""),"""")"),"")</f>
        <v/>
      </c>
      <c r="K547" s="358"/>
    </row>
    <row r="548">
      <c r="A548" s="300" t="s">
        <v>22</v>
      </c>
      <c r="C548" s="300" t="s">
        <v>22</v>
      </c>
      <c r="D548" s="300" t="s">
        <v>22</v>
      </c>
      <c r="F548" s="300" t="s">
        <v>22</v>
      </c>
      <c r="G548" s="300" t="s">
        <v>22</v>
      </c>
      <c r="I548" s="356" t="str">
        <f>IFERROR(__xludf.DUMMYFUNCTION("if(H548=""Must be Together"",iferror(join("", "",unique(filter({filter('Students (Vertical)'!O:O,'Students (Vertical)'!C:C=B548,'Students (Vertical)'!O:O&lt;&gt;"""");filter('Students (Vertical)'!O:O,'Students (Vertical)'!C:C=E548,'Students (Vertical)'!O:O&lt;&gt;"""&amp;""")},countifs({filter('Students (Vertical)'!O:O,'Students (Vertical)'!C:C=B548,'Students (Vertical)'!O:O&lt;&gt;"""");filter('Students (Vertical)'!O:O,'Students (Vertical)'!C:C=E548,'Students (Vertical)'!O:O&lt;&gt;"""")},{filter('Students (Vertical)'!O:O,'Students ("&amp;"Vertical)'!C:C=B548,'Students (Vertical)'!O:O&lt;&gt;"""");filter('Students (Vertical)'!O:O,'Students (Vertical)'!C:C=E548,'Students (Vertical)'!O:O&lt;&gt;"""")})&gt;1))),""No shared courses""),"""")"),"")</f>
        <v/>
      </c>
      <c r="J548" s="357" t="str">
        <f>IFERROR(__xludf.DUMMYFUNCTION("if(H548=""Can't be Together"",iferror(join("", "",unique(filter({filter('Students (Vertical)'!O:O,'Students (Vertical)'!C:C=B548,'Students (Vertical)'!O:O&lt;&gt;"""",'Students (Vertical)'!P:P&gt;1);filter('Students (Vertical)'!O:O,'Students (Vertical)'!C:C=E548,'"&amp;"Students (Vertical)'!O:O&lt;&gt;"""",'Students (Vertical)'!P:P&gt;1)},countifs({filter('Students (Vertical)'!O:O,'Students (Vertical)'!C:C=B548,'Students (Vertical)'!O:O&lt;&gt;"""",'Students (Vertical)'!P:P&gt;1);filter('Students (Vertical)'!O:O,'Students (Vertical)'!C:C="&amp;"E548,'Students (Vertical)'!O:O&lt;&gt;"""",'Students (Vertical)'!P:P&gt;1)},{filter('Students (Vertical)'!O:O,'Students (Vertical)'!C:C=B548,'Students (Vertical)'!O:O&lt;&gt;"""",'Students (Vertical)'!P:P&gt;1);filter('Students (Vertical)'!O:O,'Students (Vertical)'!C:C=E54"&amp;"8,'Students (Vertical)'!O:O&lt;&gt;"""",'Students (Vertical)'!P:P&gt;1)})&gt;1))),""""),"""")"),"")</f>
        <v/>
      </c>
      <c r="K548" s="358"/>
    </row>
    <row r="549">
      <c r="A549" s="300" t="s">
        <v>22</v>
      </c>
      <c r="C549" s="300" t="s">
        <v>22</v>
      </c>
      <c r="D549" s="300" t="s">
        <v>22</v>
      </c>
      <c r="F549" s="300" t="s">
        <v>22</v>
      </c>
      <c r="G549" s="300" t="s">
        <v>22</v>
      </c>
      <c r="I549" s="356" t="str">
        <f>IFERROR(__xludf.DUMMYFUNCTION("if(H549=""Must be Together"",iferror(join("", "",unique(filter({filter('Students (Vertical)'!O:O,'Students (Vertical)'!C:C=B549,'Students (Vertical)'!O:O&lt;&gt;"""");filter('Students (Vertical)'!O:O,'Students (Vertical)'!C:C=E549,'Students (Vertical)'!O:O&lt;&gt;"""&amp;""")},countifs({filter('Students (Vertical)'!O:O,'Students (Vertical)'!C:C=B549,'Students (Vertical)'!O:O&lt;&gt;"""");filter('Students (Vertical)'!O:O,'Students (Vertical)'!C:C=E549,'Students (Vertical)'!O:O&lt;&gt;"""")},{filter('Students (Vertical)'!O:O,'Students ("&amp;"Vertical)'!C:C=B549,'Students (Vertical)'!O:O&lt;&gt;"""");filter('Students (Vertical)'!O:O,'Students (Vertical)'!C:C=E549,'Students (Vertical)'!O:O&lt;&gt;"""")})&gt;1))),""No shared courses""),"""")"),"")</f>
        <v/>
      </c>
      <c r="J549" s="357" t="str">
        <f>IFERROR(__xludf.DUMMYFUNCTION("if(H549=""Can't be Together"",iferror(join("", "",unique(filter({filter('Students (Vertical)'!O:O,'Students (Vertical)'!C:C=B549,'Students (Vertical)'!O:O&lt;&gt;"""",'Students (Vertical)'!P:P&gt;1);filter('Students (Vertical)'!O:O,'Students (Vertical)'!C:C=E549,'"&amp;"Students (Vertical)'!O:O&lt;&gt;"""",'Students (Vertical)'!P:P&gt;1)},countifs({filter('Students (Vertical)'!O:O,'Students (Vertical)'!C:C=B549,'Students (Vertical)'!O:O&lt;&gt;"""",'Students (Vertical)'!P:P&gt;1);filter('Students (Vertical)'!O:O,'Students (Vertical)'!C:C="&amp;"E549,'Students (Vertical)'!O:O&lt;&gt;"""",'Students (Vertical)'!P:P&gt;1)},{filter('Students (Vertical)'!O:O,'Students (Vertical)'!C:C=B549,'Students (Vertical)'!O:O&lt;&gt;"""",'Students (Vertical)'!P:P&gt;1);filter('Students (Vertical)'!O:O,'Students (Vertical)'!C:C=E54"&amp;"9,'Students (Vertical)'!O:O&lt;&gt;"""",'Students (Vertical)'!P:P&gt;1)})&gt;1))),""""),"""")"),"")</f>
        <v/>
      </c>
      <c r="K549" s="358"/>
    </row>
    <row r="550">
      <c r="A550" s="300" t="s">
        <v>22</v>
      </c>
      <c r="C550" s="300" t="s">
        <v>22</v>
      </c>
      <c r="D550" s="300" t="s">
        <v>22</v>
      </c>
      <c r="F550" s="300" t="s">
        <v>22</v>
      </c>
      <c r="G550" s="300" t="s">
        <v>22</v>
      </c>
      <c r="I550" s="356" t="str">
        <f>IFERROR(__xludf.DUMMYFUNCTION("if(H550=""Must be Together"",iferror(join("", "",unique(filter({filter('Students (Vertical)'!O:O,'Students (Vertical)'!C:C=B550,'Students (Vertical)'!O:O&lt;&gt;"""");filter('Students (Vertical)'!O:O,'Students (Vertical)'!C:C=E550,'Students (Vertical)'!O:O&lt;&gt;"""&amp;""")},countifs({filter('Students (Vertical)'!O:O,'Students (Vertical)'!C:C=B550,'Students (Vertical)'!O:O&lt;&gt;"""");filter('Students (Vertical)'!O:O,'Students (Vertical)'!C:C=E550,'Students (Vertical)'!O:O&lt;&gt;"""")},{filter('Students (Vertical)'!O:O,'Students ("&amp;"Vertical)'!C:C=B550,'Students (Vertical)'!O:O&lt;&gt;"""");filter('Students (Vertical)'!O:O,'Students (Vertical)'!C:C=E550,'Students (Vertical)'!O:O&lt;&gt;"""")})&gt;1))),""No shared courses""),"""")"),"")</f>
        <v/>
      </c>
      <c r="J550" s="357" t="str">
        <f>IFERROR(__xludf.DUMMYFUNCTION("if(H550=""Can't be Together"",iferror(join("", "",unique(filter({filter('Students (Vertical)'!O:O,'Students (Vertical)'!C:C=B550,'Students (Vertical)'!O:O&lt;&gt;"""",'Students (Vertical)'!P:P&gt;1);filter('Students (Vertical)'!O:O,'Students (Vertical)'!C:C=E550,'"&amp;"Students (Vertical)'!O:O&lt;&gt;"""",'Students (Vertical)'!P:P&gt;1)},countifs({filter('Students (Vertical)'!O:O,'Students (Vertical)'!C:C=B550,'Students (Vertical)'!O:O&lt;&gt;"""",'Students (Vertical)'!P:P&gt;1);filter('Students (Vertical)'!O:O,'Students (Vertical)'!C:C="&amp;"E550,'Students (Vertical)'!O:O&lt;&gt;"""",'Students (Vertical)'!P:P&gt;1)},{filter('Students (Vertical)'!O:O,'Students (Vertical)'!C:C=B550,'Students (Vertical)'!O:O&lt;&gt;"""",'Students (Vertical)'!P:P&gt;1);filter('Students (Vertical)'!O:O,'Students (Vertical)'!C:C=E55"&amp;"0,'Students (Vertical)'!O:O&lt;&gt;"""",'Students (Vertical)'!P:P&gt;1)})&gt;1))),""""),"""")"),"")</f>
        <v/>
      </c>
      <c r="K550" s="358"/>
    </row>
    <row r="551">
      <c r="A551" s="300" t="s">
        <v>22</v>
      </c>
      <c r="C551" s="300" t="s">
        <v>22</v>
      </c>
      <c r="D551" s="300" t="s">
        <v>22</v>
      </c>
      <c r="F551" s="300" t="s">
        <v>22</v>
      </c>
      <c r="G551" s="300" t="s">
        <v>22</v>
      </c>
      <c r="I551" s="356" t="str">
        <f>IFERROR(__xludf.DUMMYFUNCTION("if(H551=""Must be Together"",iferror(join("", "",unique(filter({filter('Students (Vertical)'!O:O,'Students (Vertical)'!C:C=B551,'Students (Vertical)'!O:O&lt;&gt;"""");filter('Students (Vertical)'!O:O,'Students (Vertical)'!C:C=E551,'Students (Vertical)'!O:O&lt;&gt;"""&amp;""")},countifs({filter('Students (Vertical)'!O:O,'Students (Vertical)'!C:C=B551,'Students (Vertical)'!O:O&lt;&gt;"""");filter('Students (Vertical)'!O:O,'Students (Vertical)'!C:C=E551,'Students (Vertical)'!O:O&lt;&gt;"""")},{filter('Students (Vertical)'!O:O,'Students ("&amp;"Vertical)'!C:C=B551,'Students (Vertical)'!O:O&lt;&gt;"""");filter('Students (Vertical)'!O:O,'Students (Vertical)'!C:C=E551,'Students (Vertical)'!O:O&lt;&gt;"""")})&gt;1))),""No shared courses""),"""")"),"")</f>
        <v/>
      </c>
      <c r="J551" s="357" t="str">
        <f>IFERROR(__xludf.DUMMYFUNCTION("if(H551=""Can't be Together"",iferror(join("", "",unique(filter({filter('Students (Vertical)'!O:O,'Students (Vertical)'!C:C=B551,'Students (Vertical)'!O:O&lt;&gt;"""",'Students (Vertical)'!P:P&gt;1);filter('Students (Vertical)'!O:O,'Students (Vertical)'!C:C=E551,'"&amp;"Students (Vertical)'!O:O&lt;&gt;"""",'Students (Vertical)'!P:P&gt;1)},countifs({filter('Students (Vertical)'!O:O,'Students (Vertical)'!C:C=B551,'Students (Vertical)'!O:O&lt;&gt;"""",'Students (Vertical)'!P:P&gt;1);filter('Students (Vertical)'!O:O,'Students (Vertical)'!C:C="&amp;"E551,'Students (Vertical)'!O:O&lt;&gt;"""",'Students (Vertical)'!P:P&gt;1)},{filter('Students (Vertical)'!O:O,'Students (Vertical)'!C:C=B551,'Students (Vertical)'!O:O&lt;&gt;"""",'Students (Vertical)'!P:P&gt;1);filter('Students (Vertical)'!O:O,'Students (Vertical)'!C:C=E55"&amp;"1,'Students (Vertical)'!O:O&lt;&gt;"""",'Students (Vertical)'!P:P&gt;1)})&gt;1))),""""),"""")"),"")</f>
        <v/>
      </c>
      <c r="K551" s="358"/>
    </row>
    <row r="552">
      <c r="A552" s="300" t="s">
        <v>22</v>
      </c>
      <c r="C552" s="300" t="s">
        <v>22</v>
      </c>
      <c r="D552" s="300" t="s">
        <v>22</v>
      </c>
      <c r="F552" s="300" t="s">
        <v>22</v>
      </c>
      <c r="G552" s="300" t="s">
        <v>22</v>
      </c>
      <c r="I552" s="356" t="str">
        <f>IFERROR(__xludf.DUMMYFUNCTION("if(H552=""Must be Together"",iferror(join("", "",unique(filter({filter('Students (Vertical)'!O:O,'Students (Vertical)'!C:C=B552,'Students (Vertical)'!O:O&lt;&gt;"""");filter('Students (Vertical)'!O:O,'Students (Vertical)'!C:C=E552,'Students (Vertical)'!O:O&lt;&gt;"""&amp;""")},countifs({filter('Students (Vertical)'!O:O,'Students (Vertical)'!C:C=B552,'Students (Vertical)'!O:O&lt;&gt;"""");filter('Students (Vertical)'!O:O,'Students (Vertical)'!C:C=E552,'Students (Vertical)'!O:O&lt;&gt;"""")},{filter('Students (Vertical)'!O:O,'Students ("&amp;"Vertical)'!C:C=B552,'Students (Vertical)'!O:O&lt;&gt;"""");filter('Students (Vertical)'!O:O,'Students (Vertical)'!C:C=E552,'Students (Vertical)'!O:O&lt;&gt;"""")})&gt;1))),""No shared courses""),"""")"),"")</f>
        <v/>
      </c>
      <c r="J552" s="357" t="str">
        <f>IFERROR(__xludf.DUMMYFUNCTION("if(H552=""Can't be Together"",iferror(join("", "",unique(filter({filter('Students (Vertical)'!O:O,'Students (Vertical)'!C:C=B552,'Students (Vertical)'!O:O&lt;&gt;"""",'Students (Vertical)'!P:P&gt;1);filter('Students (Vertical)'!O:O,'Students (Vertical)'!C:C=E552,'"&amp;"Students (Vertical)'!O:O&lt;&gt;"""",'Students (Vertical)'!P:P&gt;1)},countifs({filter('Students (Vertical)'!O:O,'Students (Vertical)'!C:C=B552,'Students (Vertical)'!O:O&lt;&gt;"""",'Students (Vertical)'!P:P&gt;1);filter('Students (Vertical)'!O:O,'Students (Vertical)'!C:C="&amp;"E552,'Students (Vertical)'!O:O&lt;&gt;"""",'Students (Vertical)'!P:P&gt;1)},{filter('Students (Vertical)'!O:O,'Students (Vertical)'!C:C=B552,'Students (Vertical)'!O:O&lt;&gt;"""",'Students (Vertical)'!P:P&gt;1);filter('Students (Vertical)'!O:O,'Students (Vertical)'!C:C=E55"&amp;"2,'Students (Vertical)'!O:O&lt;&gt;"""",'Students (Vertical)'!P:P&gt;1)})&gt;1))),""""),"""")"),"")</f>
        <v/>
      </c>
      <c r="K552" s="358"/>
    </row>
    <row r="553">
      <c r="A553" s="300" t="s">
        <v>22</v>
      </c>
      <c r="C553" s="300" t="s">
        <v>22</v>
      </c>
      <c r="D553" s="300" t="s">
        <v>22</v>
      </c>
      <c r="F553" s="300" t="s">
        <v>22</v>
      </c>
      <c r="G553" s="300" t="s">
        <v>22</v>
      </c>
      <c r="I553" s="356" t="str">
        <f>IFERROR(__xludf.DUMMYFUNCTION("if(H553=""Must be Together"",iferror(join("", "",unique(filter({filter('Students (Vertical)'!O:O,'Students (Vertical)'!C:C=B553,'Students (Vertical)'!O:O&lt;&gt;"""");filter('Students (Vertical)'!O:O,'Students (Vertical)'!C:C=E553,'Students (Vertical)'!O:O&lt;&gt;"""&amp;""")},countifs({filter('Students (Vertical)'!O:O,'Students (Vertical)'!C:C=B553,'Students (Vertical)'!O:O&lt;&gt;"""");filter('Students (Vertical)'!O:O,'Students (Vertical)'!C:C=E553,'Students (Vertical)'!O:O&lt;&gt;"""")},{filter('Students (Vertical)'!O:O,'Students ("&amp;"Vertical)'!C:C=B553,'Students (Vertical)'!O:O&lt;&gt;"""");filter('Students (Vertical)'!O:O,'Students (Vertical)'!C:C=E553,'Students (Vertical)'!O:O&lt;&gt;"""")})&gt;1))),""No shared courses""),"""")"),"")</f>
        <v/>
      </c>
      <c r="J553" s="357" t="str">
        <f>IFERROR(__xludf.DUMMYFUNCTION("if(H553=""Can't be Together"",iferror(join("", "",unique(filter({filter('Students (Vertical)'!O:O,'Students (Vertical)'!C:C=B553,'Students (Vertical)'!O:O&lt;&gt;"""",'Students (Vertical)'!P:P&gt;1);filter('Students (Vertical)'!O:O,'Students (Vertical)'!C:C=E553,'"&amp;"Students (Vertical)'!O:O&lt;&gt;"""",'Students (Vertical)'!P:P&gt;1)},countifs({filter('Students (Vertical)'!O:O,'Students (Vertical)'!C:C=B553,'Students (Vertical)'!O:O&lt;&gt;"""",'Students (Vertical)'!P:P&gt;1);filter('Students (Vertical)'!O:O,'Students (Vertical)'!C:C="&amp;"E553,'Students (Vertical)'!O:O&lt;&gt;"""",'Students (Vertical)'!P:P&gt;1)},{filter('Students (Vertical)'!O:O,'Students (Vertical)'!C:C=B553,'Students (Vertical)'!O:O&lt;&gt;"""",'Students (Vertical)'!P:P&gt;1);filter('Students (Vertical)'!O:O,'Students (Vertical)'!C:C=E55"&amp;"3,'Students (Vertical)'!O:O&lt;&gt;"""",'Students (Vertical)'!P:P&gt;1)})&gt;1))),""""),"""")"),"")</f>
        <v/>
      </c>
      <c r="K553" s="358"/>
    </row>
    <row r="554">
      <c r="A554" s="300" t="s">
        <v>22</v>
      </c>
      <c r="C554" s="300" t="s">
        <v>22</v>
      </c>
      <c r="D554" s="300" t="s">
        <v>22</v>
      </c>
      <c r="F554" s="300" t="s">
        <v>22</v>
      </c>
      <c r="G554" s="300" t="s">
        <v>22</v>
      </c>
      <c r="I554" s="356" t="str">
        <f>IFERROR(__xludf.DUMMYFUNCTION("if(H554=""Must be Together"",iferror(join("", "",unique(filter({filter('Students (Vertical)'!O:O,'Students (Vertical)'!C:C=B554,'Students (Vertical)'!O:O&lt;&gt;"""");filter('Students (Vertical)'!O:O,'Students (Vertical)'!C:C=E554,'Students (Vertical)'!O:O&lt;&gt;"""&amp;""")},countifs({filter('Students (Vertical)'!O:O,'Students (Vertical)'!C:C=B554,'Students (Vertical)'!O:O&lt;&gt;"""");filter('Students (Vertical)'!O:O,'Students (Vertical)'!C:C=E554,'Students (Vertical)'!O:O&lt;&gt;"""")},{filter('Students (Vertical)'!O:O,'Students ("&amp;"Vertical)'!C:C=B554,'Students (Vertical)'!O:O&lt;&gt;"""");filter('Students (Vertical)'!O:O,'Students (Vertical)'!C:C=E554,'Students (Vertical)'!O:O&lt;&gt;"""")})&gt;1))),""No shared courses""),"""")"),"")</f>
        <v/>
      </c>
      <c r="J554" s="357" t="str">
        <f>IFERROR(__xludf.DUMMYFUNCTION("if(H554=""Can't be Together"",iferror(join("", "",unique(filter({filter('Students (Vertical)'!O:O,'Students (Vertical)'!C:C=B554,'Students (Vertical)'!O:O&lt;&gt;"""",'Students (Vertical)'!P:P&gt;1);filter('Students (Vertical)'!O:O,'Students (Vertical)'!C:C=E554,'"&amp;"Students (Vertical)'!O:O&lt;&gt;"""",'Students (Vertical)'!P:P&gt;1)},countifs({filter('Students (Vertical)'!O:O,'Students (Vertical)'!C:C=B554,'Students (Vertical)'!O:O&lt;&gt;"""",'Students (Vertical)'!P:P&gt;1);filter('Students (Vertical)'!O:O,'Students (Vertical)'!C:C="&amp;"E554,'Students (Vertical)'!O:O&lt;&gt;"""",'Students (Vertical)'!P:P&gt;1)},{filter('Students (Vertical)'!O:O,'Students (Vertical)'!C:C=B554,'Students (Vertical)'!O:O&lt;&gt;"""",'Students (Vertical)'!P:P&gt;1);filter('Students (Vertical)'!O:O,'Students (Vertical)'!C:C=E55"&amp;"4,'Students (Vertical)'!O:O&lt;&gt;"""",'Students (Vertical)'!P:P&gt;1)})&gt;1))),""""),"""")"),"")</f>
        <v/>
      </c>
      <c r="K554" s="358"/>
    </row>
    <row r="555">
      <c r="A555" s="300" t="s">
        <v>22</v>
      </c>
      <c r="C555" s="300" t="s">
        <v>22</v>
      </c>
      <c r="D555" s="300" t="s">
        <v>22</v>
      </c>
      <c r="F555" s="300" t="s">
        <v>22</v>
      </c>
      <c r="G555" s="300" t="s">
        <v>22</v>
      </c>
      <c r="I555" s="356" t="str">
        <f>IFERROR(__xludf.DUMMYFUNCTION("if(H555=""Must be Together"",iferror(join("", "",unique(filter({filter('Students (Vertical)'!O:O,'Students (Vertical)'!C:C=B555,'Students (Vertical)'!O:O&lt;&gt;"""");filter('Students (Vertical)'!O:O,'Students (Vertical)'!C:C=E555,'Students (Vertical)'!O:O&lt;&gt;"""&amp;""")},countifs({filter('Students (Vertical)'!O:O,'Students (Vertical)'!C:C=B555,'Students (Vertical)'!O:O&lt;&gt;"""");filter('Students (Vertical)'!O:O,'Students (Vertical)'!C:C=E555,'Students (Vertical)'!O:O&lt;&gt;"""")},{filter('Students (Vertical)'!O:O,'Students ("&amp;"Vertical)'!C:C=B555,'Students (Vertical)'!O:O&lt;&gt;"""");filter('Students (Vertical)'!O:O,'Students (Vertical)'!C:C=E555,'Students (Vertical)'!O:O&lt;&gt;"""")})&gt;1))),""No shared courses""),"""")"),"")</f>
        <v/>
      </c>
      <c r="J555" s="357" t="str">
        <f>IFERROR(__xludf.DUMMYFUNCTION("if(H555=""Can't be Together"",iferror(join("", "",unique(filter({filter('Students (Vertical)'!O:O,'Students (Vertical)'!C:C=B555,'Students (Vertical)'!O:O&lt;&gt;"""",'Students (Vertical)'!P:P&gt;1);filter('Students (Vertical)'!O:O,'Students (Vertical)'!C:C=E555,'"&amp;"Students (Vertical)'!O:O&lt;&gt;"""",'Students (Vertical)'!P:P&gt;1)},countifs({filter('Students (Vertical)'!O:O,'Students (Vertical)'!C:C=B555,'Students (Vertical)'!O:O&lt;&gt;"""",'Students (Vertical)'!P:P&gt;1);filter('Students (Vertical)'!O:O,'Students (Vertical)'!C:C="&amp;"E555,'Students (Vertical)'!O:O&lt;&gt;"""",'Students (Vertical)'!P:P&gt;1)},{filter('Students (Vertical)'!O:O,'Students (Vertical)'!C:C=B555,'Students (Vertical)'!O:O&lt;&gt;"""",'Students (Vertical)'!P:P&gt;1);filter('Students (Vertical)'!O:O,'Students (Vertical)'!C:C=E55"&amp;"5,'Students (Vertical)'!O:O&lt;&gt;"""",'Students (Vertical)'!P:P&gt;1)})&gt;1))),""""),"""")"),"")</f>
        <v/>
      </c>
      <c r="K555" s="358"/>
    </row>
    <row r="556">
      <c r="A556" s="300" t="s">
        <v>22</v>
      </c>
      <c r="C556" s="300" t="s">
        <v>22</v>
      </c>
      <c r="D556" s="300" t="s">
        <v>22</v>
      </c>
      <c r="F556" s="300" t="s">
        <v>22</v>
      </c>
      <c r="G556" s="300" t="s">
        <v>22</v>
      </c>
      <c r="I556" s="356" t="str">
        <f>IFERROR(__xludf.DUMMYFUNCTION("if(H556=""Must be Together"",iferror(join("", "",unique(filter({filter('Students (Vertical)'!O:O,'Students (Vertical)'!C:C=B556,'Students (Vertical)'!O:O&lt;&gt;"""");filter('Students (Vertical)'!O:O,'Students (Vertical)'!C:C=E556,'Students (Vertical)'!O:O&lt;&gt;"""&amp;""")},countifs({filter('Students (Vertical)'!O:O,'Students (Vertical)'!C:C=B556,'Students (Vertical)'!O:O&lt;&gt;"""");filter('Students (Vertical)'!O:O,'Students (Vertical)'!C:C=E556,'Students (Vertical)'!O:O&lt;&gt;"""")},{filter('Students (Vertical)'!O:O,'Students ("&amp;"Vertical)'!C:C=B556,'Students (Vertical)'!O:O&lt;&gt;"""");filter('Students (Vertical)'!O:O,'Students (Vertical)'!C:C=E556,'Students (Vertical)'!O:O&lt;&gt;"""")})&gt;1))),""No shared courses""),"""")"),"")</f>
        <v/>
      </c>
      <c r="J556" s="357" t="str">
        <f>IFERROR(__xludf.DUMMYFUNCTION("if(H556=""Can't be Together"",iferror(join("", "",unique(filter({filter('Students (Vertical)'!O:O,'Students (Vertical)'!C:C=B556,'Students (Vertical)'!O:O&lt;&gt;"""",'Students (Vertical)'!P:P&gt;1);filter('Students (Vertical)'!O:O,'Students (Vertical)'!C:C=E556,'"&amp;"Students (Vertical)'!O:O&lt;&gt;"""",'Students (Vertical)'!P:P&gt;1)},countifs({filter('Students (Vertical)'!O:O,'Students (Vertical)'!C:C=B556,'Students (Vertical)'!O:O&lt;&gt;"""",'Students (Vertical)'!P:P&gt;1);filter('Students (Vertical)'!O:O,'Students (Vertical)'!C:C="&amp;"E556,'Students (Vertical)'!O:O&lt;&gt;"""",'Students (Vertical)'!P:P&gt;1)},{filter('Students (Vertical)'!O:O,'Students (Vertical)'!C:C=B556,'Students (Vertical)'!O:O&lt;&gt;"""",'Students (Vertical)'!P:P&gt;1);filter('Students (Vertical)'!O:O,'Students (Vertical)'!C:C=E55"&amp;"6,'Students (Vertical)'!O:O&lt;&gt;"""",'Students (Vertical)'!P:P&gt;1)})&gt;1))),""""),"""")"),"")</f>
        <v/>
      </c>
      <c r="K556" s="358"/>
    </row>
    <row r="557">
      <c r="A557" s="300" t="s">
        <v>22</v>
      </c>
      <c r="C557" s="300" t="s">
        <v>22</v>
      </c>
      <c r="D557" s="300" t="s">
        <v>22</v>
      </c>
      <c r="F557" s="300" t="s">
        <v>22</v>
      </c>
      <c r="G557" s="300" t="s">
        <v>22</v>
      </c>
      <c r="I557" s="356" t="str">
        <f>IFERROR(__xludf.DUMMYFUNCTION("if(H557=""Must be Together"",iferror(join("", "",unique(filter({filter('Students (Vertical)'!O:O,'Students (Vertical)'!C:C=B557,'Students (Vertical)'!O:O&lt;&gt;"""");filter('Students (Vertical)'!O:O,'Students (Vertical)'!C:C=E557,'Students (Vertical)'!O:O&lt;&gt;"""&amp;""")},countifs({filter('Students (Vertical)'!O:O,'Students (Vertical)'!C:C=B557,'Students (Vertical)'!O:O&lt;&gt;"""");filter('Students (Vertical)'!O:O,'Students (Vertical)'!C:C=E557,'Students (Vertical)'!O:O&lt;&gt;"""")},{filter('Students (Vertical)'!O:O,'Students ("&amp;"Vertical)'!C:C=B557,'Students (Vertical)'!O:O&lt;&gt;"""");filter('Students (Vertical)'!O:O,'Students (Vertical)'!C:C=E557,'Students (Vertical)'!O:O&lt;&gt;"""")})&gt;1))),""No shared courses""),"""")"),"")</f>
        <v/>
      </c>
      <c r="J557" s="357" t="str">
        <f>IFERROR(__xludf.DUMMYFUNCTION("if(H557=""Can't be Together"",iferror(join("", "",unique(filter({filter('Students (Vertical)'!O:O,'Students (Vertical)'!C:C=B557,'Students (Vertical)'!O:O&lt;&gt;"""",'Students (Vertical)'!P:P&gt;1);filter('Students (Vertical)'!O:O,'Students (Vertical)'!C:C=E557,'"&amp;"Students (Vertical)'!O:O&lt;&gt;"""",'Students (Vertical)'!P:P&gt;1)},countifs({filter('Students (Vertical)'!O:O,'Students (Vertical)'!C:C=B557,'Students (Vertical)'!O:O&lt;&gt;"""",'Students (Vertical)'!P:P&gt;1);filter('Students (Vertical)'!O:O,'Students (Vertical)'!C:C="&amp;"E557,'Students (Vertical)'!O:O&lt;&gt;"""",'Students (Vertical)'!P:P&gt;1)},{filter('Students (Vertical)'!O:O,'Students (Vertical)'!C:C=B557,'Students (Vertical)'!O:O&lt;&gt;"""",'Students (Vertical)'!P:P&gt;1);filter('Students (Vertical)'!O:O,'Students (Vertical)'!C:C=E55"&amp;"7,'Students (Vertical)'!O:O&lt;&gt;"""",'Students (Vertical)'!P:P&gt;1)})&gt;1))),""""),"""")"),"")</f>
        <v/>
      </c>
      <c r="K557" s="358"/>
    </row>
    <row r="558">
      <c r="A558" s="300" t="s">
        <v>22</v>
      </c>
      <c r="C558" s="300" t="s">
        <v>22</v>
      </c>
      <c r="D558" s="300" t="s">
        <v>22</v>
      </c>
      <c r="F558" s="300" t="s">
        <v>22</v>
      </c>
      <c r="G558" s="300" t="s">
        <v>22</v>
      </c>
      <c r="I558" s="356" t="str">
        <f>IFERROR(__xludf.DUMMYFUNCTION("if(H558=""Must be Together"",iferror(join("", "",unique(filter({filter('Students (Vertical)'!O:O,'Students (Vertical)'!C:C=B558,'Students (Vertical)'!O:O&lt;&gt;"""");filter('Students (Vertical)'!O:O,'Students (Vertical)'!C:C=E558,'Students (Vertical)'!O:O&lt;&gt;"""&amp;""")},countifs({filter('Students (Vertical)'!O:O,'Students (Vertical)'!C:C=B558,'Students (Vertical)'!O:O&lt;&gt;"""");filter('Students (Vertical)'!O:O,'Students (Vertical)'!C:C=E558,'Students (Vertical)'!O:O&lt;&gt;"""")},{filter('Students (Vertical)'!O:O,'Students ("&amp;"Vertical)'!C:C=B558,'Students (Vertical)'!O:O&lt;&gt;"""");filter('Students (Vertical)'!O:O,'Students (Vertical)'!C:C=E558,'Students (Vertical)'!O:O&lt;&gt;"""")})&gt;1))),""No shared courses""),"""")"),"")</f>
        <v/>
      </c>
      <c r="J558" s="357" t="str">
        <f>IFERROR(__xludf.DUMMYFUNCTION("if(H558=""Can't be Together"",iferror(join("", "",unique(filter({filter('Students (Vertical)'!O:O,'Students (Vertical)'!C:C=B558,'Students (Vertical)'!O:O&lt;&gt;"""",'Students (Vertical)'!P:P&gt;1);filter('Students (Vertical)'!O:O,'Students (Vertical)'!C:C=E558,'"&amp;"Students (Vertical)'!O:O&lt;&gt;"""",'Students (Vertical)'!P:P&gt;1)},countifs({filter('Students (Vertical)'!O:O,'Students (Vertical)'!C:C=B558,'Students (Vertical)'!O:O&lt;&gt;"""",'Students (Vertical)'!P:P&gt;1);filter('Students (Vertical)'!O:O,'Students (Vertical)'!C:C="&amp;"E558,'Students (Vertical)'!O:O&lt;&gt;"""",'Students (Vertical)'!P:P&gt;1)},{filter('Students (Vertical)'!O:O,'Students (Vertical)'!C:C=B558,'Students (Vertical)'!O:O&lt;&gt;"""",'Students (Vertical)'!P:P&gt;1);filter('Students (Vertical)'!O:O,'Students (Vertical)'!C:C=E55"&amp;"8,'Students (Vertical)'!O:O&lt;&gt;"""",'Students (Vertical)'!P:P&gt;1)})&gt;1))),""""),"""")"),"")</f>
        <v/>
      </c>
      <c r="K558" s="358"/>
    </row>
    <row r="559">
      <c r="A559" s="300" t="s">
        <v>22</v>
      </c>
      <c r="C559" s="300" t="s">
        <v>22</v>
      </c>
      <c r="D559" s="300" t="s">
        <v>22</v>
      </c>
      <c r="F559" s="300" t="s">
        <v>22</v>
      </c>
      <c r="G559" s="300" t="s">
        <v>22</v>
      </c>
      <c r="I559" s="356" t="str">
        <f>IFERROR(__xludf.DUMMYFUNCTION("if(H559=""Must be Together"",iferror(join("", "",unique(filter({filter('Students (Vertical)'!O:O,'Students (Vertical)'!C:C=B559,'Students (Vertical)'!O:O&lt;&gt;"""");filter('Students (Vertical)'!O:O,'Students (Vertical)'!C:C=E559,'Students (Vertical)'!O:O&lt;&gt;"""&amp;""")},countifs({filter('Students (Vertical)'!O:O,'Students (Vertical)'!C:C=B559,'Students (Vertical)'!O:O&lt;&gt;"""");filter('Students (Vertical)'!O:O,'Students (Vertical)'!C:C=E559,'Students (Vertical)'!O:O&lt;&gt;"""")},{filter('Students (Vertical)'!O:O,'Students ("&amp;"Vertical)'!C:C=B559,'Students (Vertical)'!O:O&lt;&gt;"""");filter('Students (Vertical)'!O:O,'Students (Vertical)'!C:C=E559,'Students (Vertical)'!O:O&lt;&gt;"""")})&gt;1))),""No shared courses""),"""")"),"")</f>
        <v/>
      </c>
      <c r="J559" s="357" t="str">
        <f>IFERROR(__xludf.DUMMYFUNCTION("if(H559=""Can't be Together"",iferror(join("", "",unique(filter({filter('Students (Vertical)'!O:O,'Students (Vertical)'!C:C=B559,'Students (Vertical)'!O:O&lt;&gt;"""",'Students (Vertical)'!P:P&gt;1);filter('Students (Vertical)'!O:O,'Students (Vertical)'!C:C=E559,'"&amp;"Students (Vertical)'!O:O&lt;&gt;"""",'Students (Vertical)'!P:P&gt;1)},countifs({filter('Students (Vertical)'!O:O,'Students (Vertical)'!C:C=B559,'Students (Vertical)'!O:O&lt;&gt;"""",'Students (Vertical)'!P:P&gt;1);filter('Students (Vertical)'!O:O,'Students (Vertical)'!C:C="&amp;"E559,'Students (Vertical)'!O:O&lt;&gt;"""",'Students (Vertical)'!P:P&gt;1)},{filter('Students (Vertical)'!O:O,'Students (Vertical)'!C:C=B559,'Students (Vertical)'!O:O&lt;&gt;"""",'Students (Vertical)'!P:P&gt;1);filter('Students (Vertical)'!O:O,'Students (Vertical)'!C:C=E55"&amp;"9,'Students (Vertical)'!O:O&lt;&gt;"""",'Students (Vertical)'!P:P&gt;1)})&gt;1))),""""),"""")"),"")</f>
        <v/>
      </c>
      <c r="K559" s="358"/>
    </row>
    <row r="560">
      <c r="A560" s="300" t="s">
        <v>22</v>
      </c>
      <c r="C560" s="300" t="s">
        <v>22</v>
      </c>
      <c r="D560" s="300" t="s">
        <v>22</v>
      </c>
      <c r="F560" s="300" t="s">
        <v>22</v>
      </c>
      <c r="G560" s="300" t="s">
        <v>22</v>
      </c>
      <c r="I560" s="356" t="str">
        <f>IFERROR(__xludf.DUMMYFUNCTION("if(H560=""Must be Together"",iferror(join("", "",unique(filter({filter('Students (Vertical)'!O:O,'Students (Vertical)'!C:C=B560,'Students (Vertical)'!O:O&lt;&gt;"""");filter('Students (Vertical)'!O:O,'Students (Vertical)'!C:C=E560,'Students (Vertical)'!O:O&lt;&gt;"""&amp;""")},countifs({filter('Students (Vertical)'!O:O,'Students (Vertical)'!C:C=B560,'Students (Vertical)'!O:O&lt;&gt;"""");filter('Students (Vertical)'!O:O,'Students (Vertical)'!C:C=E560,'Students (Vertical)'!O:O&lt;&gt;"""")},{filter('Students (Vertical)'!O:O,'Students ("&amp;"Vertical)'!C:C=B560,'Students (Vertical)'!O:O&lt;&gt;"""");filter('Students (Vertical)'!O:O,'Students (Vertical)'!C:C=E560,'Students (Vertical)'!O:O&lt;&gt;"""")})&gt;1))),""No shared courses""),"""")"),"")</f>
        <v/>
      </c>
      <c r="J560" s="357" t="str">
        <f>IFERROR(__xludf.DUMMYFUNCTION("if(H560=""Can't be Together"",iferror(join("", "",unique(filter({filter('Students (Vertical)'!O:O,'Students (Vertical)'!C:C=B560,'Students (Vertical)'!O:O&lt;&gt;"""",'Students (Vertical)'!P:P&gt;1);filter('Students (Vertical)'!O:O,'Students (Vertical)'!C:C=E560,'"&amp;"Students (Vertical)'!O:O&lt;&gt;"""",'Students (Vertical)'!P:P&gt;1)},countifs({filter('Students (Vertical)'!O:O,'Students (Vertical)'!C:C=B560,'Students (Vertical)'!O:O&lt;&gt;"""",'Students (Vertical)'!P:P&gt;1);filter('Students (Vertical)'!O:O,'Students (Vertical)'!C:C="&amp;"E560,'Students (Vertical)'!O:O&lt;&gt;"""",'Students (Vertical)'!P:P&gt;1)},{filter('Students (Vertical)'!O:O,'Students (Vertical)'!C:C=B560,'Students (Vertical)'!O:O&lt;&gt;"""",'Students (Vertical)'!P:P&gt;1);filter('Students (Vertical)'!O:O,'Students (Vertical)'!C:C=E56"&amp;"0,'Students (Vertical)'!O:O&lt;&gt;"""",'Students (Vertical)'!P:P&gt;1)})&gt;1))),""""),"""")"),"")</f>
        <v/>
      </c>
      <c r="K560" s="358"/>
    </row>
    <row r="561">
      <c r="A561" s="300" t="s">
        <v>22</v>
      </c>
      <c r="C561" s="300" t="s">
        <v>22</v>
      </c>
      <c r="D561" s="300" t="s">
        <v>22</v>
      </c>
      <c r="F561" s="300" t="s">
        <v>22</v>
      </c>
      <c r="G561" s="300" t="s">
        <v>22</v>
      </c>
      <c r="I561" s="356" t="str">
        <f>IFERROR(__xludf.DUMMYFUNCTION("if(H561=""Must be Together"",iferror(join("", "",unique(filter({filter('Students (Vertical)'!O:O,'Students (Vertical)'!C:C=B561,'Students (Vertical)'!O:O&lt;&gt;"""");filter('Students (Vertical)'!O:O,'Students (Vertical)'!C:C=E561,'Students (Vertical)'!O:O&lt;&gt;"""&amp;""")},countifs({filter('Students (Vertical)'!O:O,'Students (Vertical)'!C:C=B561,'Students (Vertical)'!O:O&lt;&gt;"""");filter('Students (Vertical)'!O:O,'Students (Vertical)'!C:C=E561,'Students (Vertical)'!O:O&lt;&gt;"""")},{filter('Students (Vertical)'!O:O,'Students ("&amp;"Vertical)'!C:C=B561,'Students (Vertical)'!O:O&lt;&gt;"""");filter('Students (Vertical)'!O:O,'Students (Vertical)'!C:C=E561,'Students (Vertical)'!O:O&lt;&gt;"""")})&gt;1))),""No shared courses""),"""")"),"")</f>
        <v/>
      </c>
      <c r="J561" s="357" t="str">
        <f>IFERROR(__xludf.DUMMYFUNCTION("if(H561=""Can't be Together"",iferror(join("", "",unique(filter({filter('Students (Vertical)'!O:O,'Students (Vertical)'!C:C=B561,'Students (Vertical)'!O:O&lt;&gt;"""",'Students (Vertical)'!P:P&gt;1);filter('Students (Vertical)'!O:O,'Students (Vertical)'!C:C=E561,'"&amp;"Students (Vertical)'!O:O&lt;&gt;"""",'Students (Vertical)'!P:P&gt;1)},countifs({filter('Students (Vertical)'!O:O,'Students (Vertical)'!C:C=B561,'Students (Vertical)'!O:O&lt;&gt;"""",'Students (Vertical)'!P:P&gt;1);filter('Students (Vertical)'!O:O,'Students (Vertical)'!C:C="&amp;"E561,'Students (Vertical)'!O:O&lt;&gt;"""",'Students (Vertical)'!P:P&gt;1)},{filter('Students (Vertical)'!O:O,'Students (Vertical)'!C:C=B561,'Students (Vertical)'!O:O&lt;&gt;"""",'Students (Vertical)'!P:P&gt;1);filter('Students (Vertical)'!O:O,'Students (Vertical)'!C:C=E56"&amp;"1,'Students (Vertical)'!O:O&lt;&gt;"""",'Students (Vertical)'!P:P&gt;1)})&gt;1))),""""),"""")"),"")</f>
        <v/>
      </c>
      <c r="K561" s="358"/>
    </row>
    <row r="562">
      <c r="A562" s="300" t="s">
        <v>22</v>
      </c>
      <c r="C562" s="300" t="s">
        <v>22</v>
      </c>
      <c r="D562" s="300" t="s">
        <v>22</v>
      </c>
      <c r="F562" s="300" t="s">
        <v>22</v>
      </c>
      <c r="G562" s="300" t="s">
        <v>22</v>
      </c>
      <c r="I562" s="356" t="str">
        <f>IFERROR(__xludf.DUMMYFUNCTION("if(H562=""Must be Together"",iferror(join("", "",unique(filter({filter('Students (Vertical)'!O:O,'Students (Vertical)'!C:C=B562,'Students (Vertical)'!O:O&lt;&gt;"""");filter('Students (Vertical)'!O:O,'Students (Vertical)'!C:C=E562,'Students (Vertical)'!O:O&lt;&gt;"""&amp;""")},countifs({filter('Students (Vertical)'!O:O,'Students (Vertical)'!C:C=B562,'Students (Vertical)'!O:O&lt;&gt;"""");filter('Students (Vertical)'!O:O,'Students (Vertical)'!C:C=E562,'Students (Vertical)'!O:O&lt;&gt;"""")},{filter('Students (Vertical)'!O:O,'Students ("&amp;"Vertical)'!C:C=B562,'Students (Vertical)'!O:O&lt;&gt;"""");filter('Students (Vertical)'!O:O,'Students (Vertical)'!C:C=E562,'Students (Vertical)'!O:O&lt;&gt;"""")})&gt;1))),""No shared courses""),"""")"),"")</f>
        <v/>
      </c>
      <c r="J562" s="357" t="str">
        <f>IFERROR(__xludf.DUMMYFUNCTION("if(H562=""Can't be Together"",iferror(join("", "",unique(filter({filter('Students (Vertical)'!O:O,'Students (Vertical)'!C:C=B562,'Students (Vertical)'!O:O&lt;&gt;"""",'Students (Vertical)'!P:P&gt;1);filter('Students (Vertical)'!O:O,'Students (Vertical)'!C:C=E562,'"&amp;"Students (Vertical)'!O:O&lt;&gt;"""",'Students (Vertical)'!P:P&gt;1)},countifs({filter('Students (Vertical)'!O:O,'Students (Vertical)'!C:C=B562,'Students (Vertical)'!O:O&lt;&gt;"""",'Students (Vertical)'!P:P&gt;1);filter('Students (Vertical)'!O:O,'Students (Vertical)'!C:C="&amp;"E562,'Students (Vertical)'!O:O&lt;&gt;"""",'Students (Vertical)'!P:P&gt;1)},{filter('Students (Vertical)'!O:O,'Students (Vertical)'!C:C=B562,'Students (Vertical)'!O:O&lt;&gt;"""",'Students (Vertical)'!P:P&gt;1);filter('Students (Vertical)'!O:O,'Students (Vertical)'!C:C=E56"&amp;"2,'Students (Vertical)'!O:O&lt;&gt;"""",'Students (Vertical)'!P:P&gt;1)})&gt;1))),""""),"""")"),"")</f>
        <v/>
      </c>
      <c r="K562" s="358"/>
    </row>
    <row r="563">
      <c r="A563" s="300" t="s">
        <v>22</v>
      </c>
      <c r="C563" s="300" t="s">
        <v>22</v>
      </c>
      <c r="D563" s="300" t="s">
        <v>22</v>
      </c>
      <c r="F563" s="300" t="s">
        <v>22</v>
      </c>
      <c r="G563" s="300" t="s">
        <v>22</v>
      </c>
      <c r="I563" s="356" t="str">
        <f>IFERROR(__xludf.DUMMYFUNCTION("if(H563=""Must be Together"",iferror(join("", "",unique(filter({filter('Students (Vertical)'!O:O,'Students (Vertical)'!C:C=B563,'Students (Vertical)'!O:O&lt;&gt;"""");filter('Students (Vertical)'!O:O,'Students (Vertical)'!C:C=E563,'Students (Vertical)'!O:O&lt;&gt;"""&amp;""")},countifs({filter('Students (Vertical)'!O:O,'Students (Vertical)'!C:C=B563,'Students (Vertical)'!O:O&lt;&gt;"""");filter('Students (Vertical)'!O:O,'Students (Vertical)'!C:C=E563,'Students (Vertical)'!O:O&lt;&gt;"""")},{filter('Students (Vertical)'!O:O,'Students ("&amp;"Vertical)'!C:C=B563,'Students (Vertical)'!O:O&lt;&gt;"""");filter('Students (Vertical)'!O:O,'Students (Vertical)'!C:C=E563,'Students (Vertical)'!O:O&lt;&gt;"""")})&gt;1))),""No shared courses""),"""")"),"")</f>
        <v/>
      </c>
      <c r="J563" s="357" t="str">
        <f>IFERROR(__xludf.DUMMYFUNCTION("if(H563=""Can't be Together"",iferror(join("", "",unique(filter({filter('Students (Vertical)'!O:O,'Students (Vertical)'!C:C=B563,'Students (Vertical)'!O:O&lt;&gt;"""",'Students (Vertical)'!P:P&gt;1);filter('Students (Vertical)'!O:O,'Students (Vertical)'!C:C=E563,'"&amp;"Students (Vertical)'!O:O&lt;&gt;"""",'Students (Vertical)'!P:P&gt;1)},countifs({filter('Students (Vertical)'!O:O,'Students (Vertical)'!C:C=B563,'Students (Vertical)'!O:O&lt;&gt;"""",'Students (Vertical)'!P:P&gt;1);filter('Students (Vertical)'!O:O,'Students (Vertical)'!C:C="&amp;"E563,'Students (Vertical)'!O:O&lt;&gt;"""",'Students (Vertical)'!P:P&gt;1)},{filter('Students (Vertical)'!O:O,'Students (Vertical)'!C:C=B563,'Students (Vertical)'!O:O&lt;&gt;"""",'Students (Vertical)'!P:P&gt;1);filter('Students (Vertical)'!O:O,'Students (Vertical)'!C:C=E56"&amp;"3,'Students (Vertical)'!O:O&lt;&gt;"""",'Students (Vertical)'!P:P&gt;1)})&gt;1))),""""),"""")"),"")</f>
        <v/>
      </c>
      <c r="K563" s="358"/>
    </row>
    <row r="564">
      <c r="A564" s="300" t="s">
        <v>22</v>
      </c>
      <c r="C564" s="300" t="s">
        <v>22</v>
      </c>
      <c r="D564" s="300" t="s">
        <v>22</v>
      </c>
      <c r="F564" s="300" t="s">
        <v>22</v>
      </c>
      <c r="G564" s="300" t="s">
        <v>22</v>
      </c>
      <c r="I564" s="356" t="str">
        <f>IFERROR(__xludf.DUMMYFUNCTION("if(H564=""Must be Together"",iferror(join("", "",unique(filter({filter('Students (Vertical)'!O:O,'Students (Vertical)'!C:C=B564,'Students (Vertical)'!O:O&lt;&gt;"""");filter('Students (Vertical)'!O:O,'Students (Vertical)'!C:C=E564,'Students (Vertical)'!O:O&lt;&gt;"""&amp;""")},countifs({filter('Students (Vertical)'!O:O,'Students (Vertical)'!C:C=B564,'Students (Vertical)'!O:O&lt;&gt;"""");filter('Students (Vertical)'!O:O,'Students (Vertical)'!C:C=E564,'Students (Vertical)'!O:O&lt;&gt;"""")},{filter('Students (Vertical)'!O:O,'Students ("&amp;"Vertical)'!C:C=B564,'Students (Vertical)'!O:O&lt;&gt;"""");filter('Students (Vertical)'!O:O,'Students (Vertical)'!C:C=E564,'Students (Vertical)'!O:O&lt;&gt;"""")})&gt;1))),""No shared courses""),"""")"),"")</f>
        <v/>
      </c>
      <c r="J564" s="357" t="str">
        <f>IFERROR(__xludf.DUMMYFUNCTION("if(H564=""Can't be Together"",iferror(join("", "",unique(filter({filter('Students (Vertical)'!O:O,'Students (Vertical)'!C:C=B564,'Students (Vertical)'!O:O&lt;&gt;"""",'Students (Vertical)'!P:P&gt;1);filter('Students (Vertical)'!O:O,'Students (Vertical)'!C:C=E564,'"&amp;"Students (Vertical)'!O:O&lt;&gt;"""",'Students (Vertical)'!P:P&gt;1)},countifs({filter('Students (Vertical)'!O:O,'Students (Vertical)'!C:C=B564,'Students (Vertical)'!O:O&lt;&gt;"""",'Students (Vertical)'!P:P&gt;1);filter('Students (Vertical)'!O:O,'Students (Vertical)'!C:C="&amp;"E564,'Students (Vertical)'!O:O&lt;&gt;"""",'Students (Vertical)'!P:P&gt;1)},{filter('Students (Vertical)'!O:O,'Students (Vertical)'!C:C=B564,'Students (Vertical)'!O:O&lt;&gt;"""",'Students (Vertical)'!P:P&gt;1);filter('Students (Vertical)'!O:O,'Students (Vertical)'!C:C=E56"&amp;"4,'Students (Vertical)'!O:O&lt;&gt;"""",'Students (Vertical)'!P:P&gt;1)})&gt;1))),""""),"""")"),"")</f>
        <v/>
      </c>
      <c r="K564" s="358"/>
    </row>
    <row r="565">
      <c r="A565" s="300" t="s">
        <v>22</v>
      </c>
      <c r="C565" s="300" t="s">
        <v>22</v>
      </c>
      <c r="D565" s="300" t="s">
        <v>22</v>
      </c>
      <c r="F565" s="300" t="s">
        <v>22</v>
      </c>
      <c r="G565" s="300" t="s">
        <v>22</v>
      </c>
      <c r="I565" s="356" t="str">
        <f>IFERROR(__xludf.DUMMYFUNCTION("if(H565=""Must be Together"",iferror(join("", "",unique(filter({filter('Students (Vertical)'!O:O,'Students (Vertical)'!C:C=B565,'Students (Vertical)'!O:O&lt;&gt;"""");filter('Students (Vertical)'!O:O,'Students (Vertical)'!C:C=E565,'Students (Vertical)'!O:O&lt;&gt;"""&amp;""")},countifs({filter('Students (Vertical)'!O:O,'Students (Vertical)'!C:C=B565,'Students (Vertical)'!O:O&lt;&gt;"""");filter('Students (Vertical)'!O:O,'Students (Vertical)'!C:C=E565,'Students (Vertical)'!O:O&lt;&gt;"""")},{filter('Students (Vertical)'!O:O,'Students ("&amp;"Vertical)'!C:C=B565,'Students (Vertical)'!O:O&lt;&gt;"""");filter('Students (Vertical)'!O:O,'Students (Vertical)'!C:C=E565,'Students (Vertical)'!O:O&lt;&gt;"""")})&gt;1))),""No shared courses""),"""")"),"")</f>
        <v/>
      </c>
      <c r="J565" s="357" t="str">
        <f>IFERROR(__xludf.DUMMYFUNCTION("if(H565=""Can't be Together"",iferror(join("", "",unique(filter({filter('Students (Vertical)'!O:O,'Students (Vertical)'!C:C=B565,'Students (Vertical)'!O:O&lt;&gt;"""",'Students (Vertical)'!P:P&gt;1);filter('Students (Vertical)'!O:O,'Students (Vertical)'!C:C=E565,'"&amp;"Students (Vertical)'!O:O&lt;&gt;"""",'Students (Vertical)'!P:P&gt;1)},countifs({filter('Students (Vertical)'!O:O,'Students (Vertical)'!C:C=B565,'Students (Vertical)'!O:O&lt;&gt;"""",'Students (Vertical)'!P:P&gt;1);filter('Students (Vertical)'!O:O,'Students (Vertical)'!C:C="&amp;"E565,'Students (Vertical)'!O:O&lt;&gt;"""",'Students (Vertical)'!P:P&gt;1)},{filter('Students (Vertical)'!O:O,'Students (Vertical)'!C:C=B565,'Students (Vertical)'!O:O&lt;&gt;"""",'Students (Vertical)'!P:P&gt;1);filter('Students (Vertical)'!O:O,'Students (Vertical)'!C:C=E56"&amp;"5,'Students (Vertical)'!O:O&lt;&gt;"""",'Students (Vertical)'!P:P&gt;1)})&gt;1))),""""),"""")"),"")</f>
        <v/>
      </c>
      <c r="K565" s="358"/>
    </row>
    <row r="566">
      <c r="A566" s="300" t="s">
        <v>22</v>
      </c>
      <c r="C566" s="300" t="s">
        <v>22</v>
      </c>
      <c r="D566" s="300" t="s">
        <v>22</v>
      </c>
      <c r="F566" s="300" t="s">
        <v>22</v>
      </c>
      <c r="G566" s="300" t="s">
        <v>22</v>
      </c>
      <c r="I566" s="356" t="str">
        <f>IFERROR(__xludf.DUMMYFUNCTION("if(H566=""Must be Together"",iferror(join("", "",unique(filter({filter('Students (Vertical)'!O:O,'Students (Vertical)'!C:C=B566,'Students (Vertical)'!O:O&lt;&gt;"""");filter('Students (Vertical)'!O:O,'Students (Vertical)'!C:C=E566,'Students (Vertical)'!O:O&lt;&gt;"""&amp;""")},countifs({filter('Students (Vertical)'!O:O,'Students (Vertical)'!C:C=B566,'Students (Vertical)'!O:O&lt;&gt;"""");filter('Students (Vertical)'!O:O,'Students (Vertical)'!C:C=E566,'Students (Vertical)'!O:O&lt;&gt;"""")},{filter('Students (Vertical)'!O:O,'Students ("&amp;"Vertical)'!C:C=B566,'Students (Vertical)'!O:O&lt;&gt;"""");filter('Students (Vertical)'!O:O,'Students (Vertical)'!C:C=E566,'Students (Vertical)'!O:O&lt;&gt;"""")})&gt;1))),""No shared courses""),"""")"),"")</f>
        <v/>
      </c>
      <c r="J566" s="357" t="str">
        <f>IFERROR(__xludf.DUMMYFUNCTION("if(H566=""Can't be Together"",iferror(join("", "",unique(filter({filter('Students (Vertical)'!O:O,'Students (Vertical)'!C:C=B566,'Students (Vertical)'!O:O&lt;&gt;"""",'Students (Vertical)'!P:P&gt;1);filter('Students (Vertical)'!O:O,'Students (Vertical)'!C:C=E566,'"&amp;"Students (Vertical)'!O:O&lt;&gt;"""",'Students (Vertical)'!P:P&gt;1)},countifs({filter('Students (Vertical)'!O:O,'Students (Vertical)'!C:C=B566,'Students (Vertical)'!O:O&lt;&gt;"""",'Students (Vertical)'!P:P&gt;1);filter('Students (Vertical)'!O:O,'Students (Vertical)'!C:C="&amp;"E566,'Students (Vertical)'!O:O&lt;&gt;"""",'Students (Vertical)'!P:P&gt;1)},{filter('Students (Vertical)'!O:O,'Students (Vertical)'!C:C=B566,'Students (Vertical)'!O:O&lt;&gt;"""",'Students (Vertical)'!P:P&gt;1);filter('Students (Vertical)'!O:O,'Students (Vertical)'!C:C=E56"&amp;"6,'Students (Vertical)'!O:O&lt;&gt;"""",'Students (Vertical)'!P:P&gt;1)})&gt;1))),""""),"""")"),"")</f>
        <v/>
      </c>
      <c r="K566" s="358"/>
    </row>
    <row r="567">
      <c r="A567" s="300" t="s">
        <v>22</v>
      </c>
      <c r="C567" s="300" t="s">
        <v>22</v>
      </c>
      <c r="D567" s="300" t="s">
        <v>22</v>
      </c>
      <c r="F567" s="300" t="s">
        <v>22</v>
      </c>
      <c r="G567" s="300" t="s">
        <v>22</v>
      </c>
      <c r="I567" s="356" t="str">
        <f>IFERROR(__xludf.DUMMYFUNCTION("if(H567=""Must be Together"",iferror(join("", "",unique(filter({filter('Students (Vertical)'!O:O,'Students (Vertical)'!C:C=B567,'Students (Vertical)'!O:O&lt;&gt;"""");filter('Students (Vertical)'!O:O,'Students (Vertical)'!C:C=E567,'Students (Vertical)'!O:O&lt;&gt;"""&amp;""")},countifs({filter('Students (Vertical)'!O:O,'Students (Vertical)'!C:C=B567,'Students (Vertical)'!O:O&lt;&gt;"""");filter('Students (Vertical)'!O:O,'Students (Vertical)'!C:C=E567,'Students (Vertical)'!O:O&lt;&gt;"""")},{filter('Students (Vertical)'!O:O,'Students ("&amp;"Vertical)'!C:C=B567,'Students (Vertical)'!O:O&lt;&gt;"""");filter('Students (Vertical)'!O:O,'Students (Vertical)'!C:C=E567,'Students (Vertical)'!O:O&lt;&gt;"""")})&gt;1))),""No shared courses""),"""")"),"")</f>
        <v/>
      </c>
      <c r="J567" s="357" t="str">
        <f>IFERROR(__xludf.DUMMYFUNCTION("if(H567=""Can't be Together"",iferror(join("", "",unique(filter({filter('Students (Vertical)'!O:O,'Students (Vertical)'!C:C=B567,'Students (Vertical)'!O:O&lt;&gt;"""",'Students (Vertical)'!P:P&gt;1);filter('Students (Vertical)'!O:O,'Students (Vertical)'!C:C=E567,'"&amp;"Students (Vertical)'!O:O&lt;&gt;"""",'Students (Vertical)'!P:P&gt;1)},countifs({filter('Students (Vertical)'!O:O,'Students (Vertical)'!C:C=B567,'Students (Vertical)'!O:O&lt;&gt;"""",'Students (Vertical)'!P:P&gt;1);filter('Students (Vertical)'!O:O,'Students (Vertical)'!C:C="&amp;"E567,'Students (Vertical)'!O:O&lt;&gt;"""",'Students (Vertical)'!P:P&gt;1)},{filter('Students (Vertical)'!O:O,'Students (Vertical)'!C:C=B567,'Students (Vertical)'!O:O&lt;&gt;"""",'Students (Vertical)'!P:P&gt;1);filter('Students (Vertical)'!O:O,'Students (Vertical)'!C:C=E56"&amp;"7,'Students (Vertical)'!O:O&lt;&gt;"""",'Students (Vertical)'!P:P&gt;1)})&gt;1))),""""),"""")"),"")</f>
        <v/>
      </c>
      <c r="K567" s="358"/>
    </row>
    <row r="568">
      <c r="A568" s="300" t="s">
        <v>22</v>
      </c>
      <c r="C568" s="300" t="s">
        <v>22</v>
      </c>
      <c r="D568" s="300" t="s">
        <v>22</v>
      </c>
      <c r="F568" s="300" t="s">
        <v>22</v>
      </c>
      <c r="G568" s="300" t="s">
        <v>22</v>
      </c>
      <c r="I568" s="356" t="str">
        <f>IFERROR(__xludf.DUMMYFUNCTION("if(H568=""Must be Together"",iferror(join("", "",unique(filter({filter('Students (Vertical)'!O:O,'Students (Vertical)'!C:C=B568,'Students (Vertical)'!O:O&lt;&gt;"""");filter('Students (Vertical)'!O:O,'Students (Vertical)'!C:C=E568,'Students (Vertical)'!O:O&lt;&gt;"""&amp;""")},countifs({filter('Students (Vertical)'!O:O,'Students (Vertical)'!C:C=B568,'Students (Vertical)'!O:O&lt;&gt;"""");filter('Students (Vertical)'!O:O,'Students (Vertical)'!C:C=E568,'Students (Vertical)'!O:O&lt;&gt;"""")},{filter('Students (Vertical)'!O:O,'Students ("&amp;"Vertical)'!C:C=B568,'Students (Vertical)'!O:O&lt;&gt;"""");filter('Students (Vertical)'!O:O,'Students (Vertical)'!C:C=E568,'Students (Vertical)'!O:O&lt;&gt;"""")})&gt;1))),""No shared courses""),"""")"),"")</f>
        <v/>
      </c>
      <c r="J568" s="357" t="str">
        <f>IFERROR(__xludf.DUMMYFUNCTION("if(H568=""Can't be Together"",iferror(join("", "",unique(filter({filter('Students (Vertical)'!O:O,'Students (Vertical)'!C:C=B568,'Students (Vertical)'!O:O&lt;&gt;"""",'Students (Vertical)'!P:P&gt;1);filter('Students (Vertical)'!O:O,'Students (Vertical)'!C:C=E568,'"&amp;"Students (Vertical)'!O:O&lt;&gt;"""",'Students (Vertical)'!P:P&gt;1)},countifs({filter('Students (Vertical)'!O:O,'Students (Vertical)'!C:C=B568,'Students (Vertical)'!O:O&lt;&gt;"""",'Students (Vertical)'!P:P&gt;1);filter('Students (Vertical)'!O:O,'Students (Vertical)'!C:C="&amp;"E568,'Students (Vertical)'!O:O&lt;&gt;"""",'Students (Vertical)'!P:P&gt;1)},{filter('Students (Vertical)'!O:O,'Students (Vertical)'!C:C=B568,'Students (Vertical)'!O:O&lt;&gt;"""",'Students (Vertical)'!P:P&gt;1);filter('Students (Vertical)'!O:O,'Students (Vertical)'!C:C=E56"&amp;"8,'Students (Vertical)'!O:O&lt;&gt;"""",'Students (Vertical)'!P:P&gt;1)})&gt;1))),""""),"""")"),"")</f>
        <v/>
      </c>
      <c r="K568" s="358"/>
    </row>
    <row r="569">
      <c r="A569" s="300" t="s">
        <v>22</v>
      </c>
      <c r="C569" s="300" t="s">
        <v>22</v>
      </c>
      <c r="D569" s="300" t="s">
        <v>22</v>
      </c>
      <c r="F569" s="300" t="s">
        <v>22</v>
      </c>
      <c r="G569" s="300" t="s">
        <v>22</v>
      </c>
      <c r="I569" s="356" t="str">
        <f>IFERROR(__xludf.DUMMYFUNCTION("if(H569=""Must be Together"",iferror(join("", "",unique(filter({filter('Students (Vertical)'!O:O,'Students (Vertical)'!C:C=B569,'Students (Vertical)'!O:O&lt;&gt;"""");filter('Students (Vertical)'!O:O,'Students (Vertical)'!C:C=E569,'Students (Vertical)'!O:O&lt;&gt;"""&amp;""")},countifs({filter('Students (Vertical)'!O:O,'Students (Vertical)'!C:C=B569,'Students (Vertical)'!O:O&lt;&gt;"""");filter('Students (Vertical)'!O:O,'Students (Vertical)'!C:C=E569,'Students (Vertical)'!O:O&lt;&gt;"""")},{filter('Students (Vertical)'!O:O,'Students ("&amp;"Vertical)'!C:C=B569,'Students (Vertical)'!O:O&lt;&gt;"""");filter('Students (Vertical)'!O:O,'Students (Vertical)'!C:C=E569,'Students (Vertical)'!O:O&lt;&gt;"""")})&gt;1))),""No shared courses""),"""")"),"")</f>
        <v/>
      </c>
      <c r="J569" s="357" t="str">
        <f>IFERROR(__xludf.DUMMYFUNCTION("if(H569=""Can't be Together"",iferror(join("", "",unique(filter({filter('Students (Vertical)'!O:O,'Students (Vertical)'!C:C=B569,'Students (Vertical)'!O:O&lt;&gt;"""",'Students (Vertical)'!P:P&gt;1);filter('Students (Vertical)'!O:O,'Students (Vertical)'!C:C=E569,'"&amp;"Students (Vertical)'!O:O&lt;&gt;"""",'Students (Vertical)'!P:P&gt;1)},countifs({filter('Students (Vertical)'!O:O,'Students (Vertical)'!C:C=B569,'Students (Vertical)'!O:O&lt;&gt;"""",'Students (Vertical)'!P:P&gt;1);filter('Students (Vertical)'!O:O,'Students (Vertical)'!C:C="&amp;"E569,'Students (Vertical)'!O:O&lt;&gt;"""",'Students (Vertical)'!P:P&gt;1)},{filter('Students (Vertical)'!O:O,'Students (Vertical)'!C:C=B569,'Students (Vertical)'!O:O&lt;&gt;"""",'Students (Vertical)'!P:P&gt;1);filter('Students (Vertical)'!O:O,'Students (Vertical)'!C:C=E56"&amp;"9,'Students (Vertical)'!O:O&lt;&gt;"""",'Students (Vertical)'!P:P&gt;1)})&gt;1))),""""),"""")"),"")</f>
        <v/>
      </c>
      <c r="K569" s="358"/>
    </row>
    <row r="570">
      <c r="A570" s="300" t="s">
        <v>22</v>
      </c>
      <c r="C570" s="300" t="s">
        <v>22</v>
      </c>
      <c r="D570" s="300" t="s">
        <v>22</v>
      </c>
      <c r="F570" s="300" t="s">
        <v>22</v>
      </c>
      <c r="G570" s="300" t="s">
        <v>22</v>
      </c>
      <c r="I570" s="356" t="str">
        <f>IFERROR(__xludf.DUMMYFUNCTION("if(H570=""Must be Together"",iferror(join("", "",unique(filter({filter('Students (Vertical)'!O:O,'Students (Vertical)'!C:C=B570,'Students (Vertical)'!O:O&lt;&gt;"""");filter('Students (Vertical)'!O:O,'Students (Vertical)'!C:C=E570,'Students (Vertical)'!O:O&lt;&gt;"""&amp;""")},countifs({filter('Students (Vertical)'!O:O,'Students (Vertical)'!C:C=B570,'Students (Vertical)'!O:O&lt;&gt;"""");filter('Students (Vertical)'!O:O,'Students (Vertical)'!C:C=E570,'Students (Vertical)'!O:O&lt;&gt;"""")},{filter('Students (Vertical)'!O:O,'Students ("&amp;"Vertical)'!C:C=B570,'Students (Vertical)'!O:O&lt;&gt;"""");filter('Students (Vertical)'!O:O,'Students (Vertical)'!C:C=E570,'Students (Vertical)'!O:O&lt;&gt;"""")})&gt;1))),""No shared courses""),"""")"),"")</f>
        <v/>
      </c>
      <c r="J570" s="357" t="str">
        <f>IFERROR(__xludf.DUMMYFUNCTION("if(H570=""Can't be Together"",iferror(join("", "",unique(filter({filter('Students (Vertical)'!O:O,'Students (Vertical)'!C:C=B570,'Students (Vertical)'!O:O&lt;&gt;"""",'Students (Vertical)'!P:P&gt;1);filter('Students (Vertical)'!O:O,'Students (Vertical)'!C:C=E570,'"&amp;"Students (Vertical)'!O:O&lt;&gt;"""",'Students (Vertical)'!P:P&gt;1)},countifs({filter('Students (Vertical)'!O:O,'Students (Vertical)'!C:C=B570,'Students (Vertical)'!O:O&lt;&gt;"""",'Students (Vertical)'!P:P&gt;1);filter('Students (Vertical)'!O:O,'Students (Vertical)'!C:C="&amp;"E570,'Students (Vertical)'!O:O&lt;&gt;"""",'Students (Vertical)'!P:P&gt;1)},{filter('Students (Vertical)'!O:O,'Students (Vertical)'!C:C=B570,'Students (Vertical)'!O:O&lt;&gt;"""",'Students (Vertical)'!P:P&gt;1);filter('Students (Vertical)'!O:O,'Students (Vertical)'!C:C=E57"&amp;"0,'Students (Vertical)'!O:O&lt;&gt;"""",'Students (Vertical)'!P:P&gt;1)})&gt;1))),""""),"""")"),"")</f>
        <v/>
      </c>
      <c r="K570" s="358"/>
    </row>
    <row r="571">
      <c r="A571" s="300" t="s">
        <v>22</v>
      </c>
      <c r="C571" s="300" t="s">
        <v>22</v>
      </c>
      <c r="D571" s="300" t="s">
        <v>22</v>
      </c>
      <c r="F571" s="300" t="s">
        <v>22</v>
      </c>
      <c r="G571" s="300" t="s">
        <v>22</v>
      </c>
      <c r="I571" s="356" t="str">
        <f>IFERROR(__xludf.DUMMYFUNCTION("if(H571=""Must be Together"",iferror(join("", "",unique(filter({filter('Students (Vertical)'!O:O,'Students (Vertical)'!C:C=B571,'Students (Vertical)'!O:O&lt;&gt;"""");filter('Students (Vertical)'!O:O,'Students (Vertical)'!C:C=E571,'Students (Vertical)'!O:O&lt;&gt;"""&amp;""")},countifs({filter('Students (Vertical)'!O:O,'Students (Vertical)'!C:C=B571,'Students (Vertical)'!O:O&lt;&gt;"""");filter('Students (Vertical)'!O:O,'Students (Vertical)'!C:C=E571,'Students (Vertical)'!O:O&lt;&gt;"""")},{filter('Students (Vertical)'!O:O,'Students ("&amp;"Vertical)'!C:C=B571,'Students (Vertical)'!O:O&lt;&gt;"""");filter('Students (Vertical)'!O:O,'Students (Vertical)'!C:C=E571,'Students (Vertical)'!O:O&lt;&gt;"""")})&gt;1))),""No shared courses""),"""")"),"")</f>
        <v/>
      </c>
      <c r="J571" s="357" t="str">
        <f>IFERROR(__xludf.DUMMYFUNCTION("if(H571=""Can't be Together"",iferror(join("", "",unique(filter({filter('Students (Vertical)'!O:O,'Students (Vertical)'!C:C=B571,'Students (Vertical)'!O:O&lt;&gt;"""",'Students (Vertical)'!P:P&gt;1);filter('Students (Vertical)'!O:O,'Students (Vertical)'!C:C=E571,'"&amp;"Students (Vertical)'!O:O&lt;&gt;"""",'Students (Vertical)'!P:P&gt;1)},countifs({filter('Students (Vertical)'!O:O,'Students (Vertical)'!C:C=B571,'Students (Vertical)'!O:O&lt;&gt;"""",'Students (Vertical)'!P:P&gt;1);filter('Students (Vertical)'!O:O,'Students (Vertical)'!C:C="&amp;"E571,'Students (Vertical)'!O:O&lt;&gt;"""",'Students (Vertical)'!P:P&gt;1)},{filter('Students (Vertical)'!O:O,'Students (Vertical)'!C:C=B571,'Students (Vertical)'!O:O&lt;&gt;"""",'Students (Vertical)'!P:P&gt;1);filter('Students (Vertical)'!O:O,'Students (Vertical)'!C:C=E57"&amp;"1,'Students (Vertical)'!O:O&lt;&gt;"""",'Students (Vertical)'!P:P&gt;1)})&gt;1))),""""),"""")"),"")</f>
        <v/>
      </c>
      <c r="K571" s="358"/>
    </row>
    <row r="572">
      <c r="A572" s="300" t="s">
        <v>22</v>
      </c>
      <c r="C572" s="300" t="s">
        <v>22</v>
      </c>
      <c r="D572" s="300" t="s">
        <v>22</v>
      </c>
      <c r="F572" s="300" t="s">
        <v>22</v>
      </c>
      <c r="G572" s="300" t="s">
        <v>22</v>
      </c>
      <c r="I572" s="356" t="str">
        <f>IFERROR(__xludf.DUMMYFUNCTION("if(H572=""Must be Together"",iferror(join("", "",unique(filter({filter('Students (Vertical)'!O:O,'Students (Vertical)'!C:C=B572,'Students (Vertical)'!O:O&lt;&gt;"""");filter('Students (Vertical)'!O:O,'Students (Vertical)'!C:C=E572,'Students (Vertical)'!O:O&lt;&gt;"""&amp;""")},countifs({filter('Students (Vertical)'!O:O,'Students (Vertical)'!C:C=B572,'Students (Vertical)'!O:O&lt;&gt;"""");filter('Students (Vertical)'!O:O,'Students (Vertical)'!C:C=E572,'Students (Vertical)'!O:O&lt;&gt;"""")},{filter('Students (Vertical)'!O:O,'Students ("&amp;"Vertical)'!C:C=B572,'Students (Vertical)'!O:O&lt;&gt;"""");filter('Students (Vertical)'!O:O,'Students (Vertical)'!C:C=E572,'Students (Vertical)'!O:O&lt;&gt;"""")})&gt;1))),""No shared courses""),"""")"),"")</f>
        <v/>
      </c>
      <c r="J572" s="357" t="str">
        <f>IFERROR(__xludf.DUMMYFUNCTION("if(H572=""Can't be Together"",iferror(join("", "",unique(filter({filter('Students (Vertical)'!O:O,'Students (Vertical)'!C:C=B572,'Students (Vertical)'!O:O&lt;&gt;"""",'Students (Vertical)'!P:P&gt;1);filter('Students (Vertical)'!O:O,'Students (Vertical)'!C:C=E572,'"&amp;"Students (Vertical)'!O:O&lt;&gt;"""",'Students (Vertical)'!P:P&gt;1)},countifs({filter('Students (Vertical)'!O:O,'Students (Vertical)'!C:C=B572,'Students (Vertical)'!O:O&lt;&gt;"""",'Students (Vertical)'!P:P&gt;1);filter('Students (Vertical)'!O:O,'Students (Vertical)'!C:C="&amp;"E572,'Students (Vertical)'!O:O&lt;&gt;"""",'Students (Vertical)'!P:P&gt;1)},{filter('Students (Vertical)'!O:O,'Students (Vertical)'!C:C=B572,'Students (Vertical)'!O:O&lt;&gt;"""",'Students (Vertical)'!P:P&gt;1);filter('Students (Vertical)'!O:O,'Students (Vertical)'!C:C=E57"&amp;"2,'Students (Vertical)'!O:O&lt;&gt;"""",'Students (Vertical)'!P:P&gt;1)})&gt;1))),""""),"""")"),"")</f>
        <v/>
      </c>
      <c r="K572" s="358"/>
    </row>
    <row r="573">
      <c r="A573" s="300" t="s">
        <v>22</v>
      </c>
      <c r="C573" s="300" t="s">
        <v>22</v>
      </c>
      <c r="D573" s="300" t="s">
        <v>22</v>
      </c>
      <c r="F573" s="300" t="s">
        <v>22</v>
      </c>
      <c r="G573" s="300" t="s">
        <v>22</v>
      </c>
      <c r="I573" s="356" t="str">
        <f>IFERROR(__xludf.DUMMYFUNCTION("if(H573=""Must be Together"",iferror(join("", "",unique(filter({filter('Students (Vertical)'!O:O,'Students (Vertical)'!C:C=B573,'Students (Vertical)'!O:O&lt;&gt;"""");filter('Students (Vertical)'!O:O,'Students (Vertical)'!C:C=E573,'Students (Vertical)'!O:O&lt;&gt;"""&amp;""")},countifs({filter('Students (Vertical)'!O:O,'Students (Vertical)'!C:C=B573,'Students (Vertical)'!O:O&lt;&gt;"""");filter('Students (Vertical)'!O:O,'Students (Vertical)'!C:C=E573,'Students (Vertical)'!O:O&lt;&gt;"""")},{filter('Students (Vertical)'!O:O,'Students ("&amp;"Vertical)'!C:C=B573,'Students (Vertical)'!O:O&lt;&gt;"""");filter('Students (Vertical)'!O:O,'Students (Vertical)'!C:C=E573,'Students (Vertical)'!O:O&lt;&gt;"""")})&gt;1))),""No shared courses""),"""")"),"")</f>
        <v/>
      </c>
      <c r="J573" s="357" t="str">
        <f>IFERROR(__xludf.DUMMYFUNCTION("if(H573=""Can't be Together"",iferror(join("", "",unique(filter({filter('Students (Vertical)'!O:O,'Students (Vertical)'!C:C=B573,'Students (Vertical)'!O:O&lt;&gt;"""",'Students (Vertical)'!P:P&gt;1);filter('Students (Vertical)'!O:O,'Students (Vertical)'!C:C=E573,'"&amp;"Students (Vertical)'!O:O&lt;&gt;"""",'Students (Vertical)'!P:P&gt;1)},countifs({filter('Students (Vertical)'!O:O,'Students (Vertical)'!C:C=B573,'Students (Vertical)'!O:O&lt;&gt;"""",'Students (Vertical)'!P:P&gt;1);filter('Students (Vertical)'!O:O,'Students (Vertical)'!C:C="&amp;"E573,'Students (Vertical)'!O:O&lt;&gt;"""",'Students (Vertical)'!P:P&gt;1)},{filter('Students (Vertical)'!O:O,'Students (Vertical)'!C:C=B573,'Students (Vertical)'!O:O&lt;&gt;"""",'Students (Vertical)'!P:P&gt;1);filter('Students (Vertical)'!O:O,'Students (Vertical)'!C:C=E57"&amp;"3,'Students (Vertical)'!O:O&lt;&gt;"""",'Students (Vertical)'!P:P&gt;1)})&gt;1))),""""),"""")"),"")</f>
        <v/>
      </c>
      <c r="K573" s="358"/>
    </row>
    <row r="574">
      <c r="A574" s="300" t="s">
        <v>22</v>
      </c>
      <c r="C574" s="300" t="s">
        <v>22</v>
      </c>
      <c r="D574" s="300" t="s">
        <v>22</v>
      </c>
      <c r="F574" s="300" t="s">
        <v>22</v>
      </c>
      <c r="G574" s="300" t="s">
        <v>22</v>
      </c>
      <c r="I574" s="356" t="str">
        <f>IFERROR(__xludf.DUMMYFUNCTION("if(H574=""Must be Together"",iferror(join("", "",unique(filter({filter('Students (Vertical)'!O:O,'Students (Vertical)'!C:C=B574,'Students (Vertical)'!O:O&lt;&gt;"""");filter('Students (Vertical)'!O:O,'Students (Vertical)'!C:C=E574,'Students (Vertical)'!O:O&lt;&gt;"""&amp;""")},countifs({filter('Students (Vertical)'!O:O,'Students (Vertical)'!C:C=B574,'Students (Vertical)'!O:O&lt;&gt;"""");filter('Students (Vertical)'!O:O,'Students (Vertical)'!C:C=E574,'Students (Vertical)'!O:O&lt;&gt;"""")},{filter('Students (Vertical)'!O:O,'Students ("&amp;"Vertical)'!C:C=B574,'Students (Vertical)'!O:O&lt;&gt;"""");filter('Students (Vertical)'!O:O,'Students (Vertical)'!C:C=E574,'Students (Vertical)'!O:O&lt;&gt;"""")})&gt;1))),""No shared courses""),"""")"),"")</f>
        <v/>
      </c>
      <c r="J574" s="357" t="str">
        <f>IFERROR(__xludf.DUMMYFUNCTION("if(H574=""Can't be Together"",iferror(join("", "",unique(filter({filter('Students (Vertical)'!O:O,'Students (Vertical)'!C:C=B574,'Students (Vertical)'!O:O&lt;&gt;"""",'Students (Vertical)'!P:P&gt;1);filter('Students (Vertical)'!O:O,'Students (Vertical)'!C:C=E574,'"&amp;"Students (Vertical)'!O:O&lt;&gt;"""",'Students (Vertical)'!P:P&gt;1)},countifs({filter('Students (Vertical)'!O:O,'Students (Vertical)'!C:C=B574,'Students (Vertical)'!O:O&lt;&gt;"""",'Students (Vertical)'!P:P&gt;1);filter('Students (Vertical)'!O:O,'Students (Vertical)'!C:C="&amp;"E574,'Students (Vertical)'!O:O&lt;&gt;"""",'Students (Vertical)'!P:P&gt;1)},{filter('Students (Vertical)'!O:O,'Students (Vertical)'!C:C=B574,'Students (Vertical)'!O:O&lt;&gt;"""",'Students (Vertical)'!P:P&gt;1);filter('Students (Vertical)'!O:O,'Students (Vertical)'!C:C=E57"&amp;"4,'Students (Vertical)'!O:O&lt;&gt;"""",'Students (Vertical)'!P:P&gt;1)})&gt;1))),""""),"""")"),"")</f>
        <v/>
      </c>
      <c r="K574" s="358"/>
    </row>
    <row r="575">
      <c r="A575" s="300" t="s">
        <v>22</v>
      </c>
      <c r="C575" s="300" t="s">
        <v>22</v>
      </c>
      <c r="D575" s="300" t="s">
        <v>22</v>
      </c>
      <c r="F575" s="300" t="s">
        <v>22</v>
      </c>
      <c r="G575" s="300" t="s">
        <v>22</v>
      </c>
      <c r="I575" s="356" t="str">
        <f>IFERROR(__xludf.DUMMYFUNCTION("if(H575=""Must be Together"",iferror(join("", "",unique(filter({filter('Students (Vertical)'!O:O,'Students (Vertical)'!C:C=B575,'Students (Vertical)'!O:O&lt;&gt;"""");filter('Students (Vertical)'!O:O,'Students (Vertical)'!C:C=E575,'Students (Vertical)'!O:O&lt;&gt;"""&amp;""")},countifs({filter('Students (Vertical)'!O:O,'Students (Vertical)'!C:C=B575,'Students (Vertical)'!O:O&lt;&gt;"""");filter('Students (Vertical)'!O:O,'Students (Vertical)'!C:C=E575,'Students (Vertical)'!O:O&lt;&gt;"""")},{filter('Students (Vertical)'!O:O,'Students ("&amp;"Vertical)'!C:C=B575,'Students (Vertical)'!O:O&lt;&gt;"""");filter('Students (Vertical)'!O:O,'Students (Vertical)'!C:C=E575,'Students (Vertical)'!O:O&lt;&gt;"""")})&gt;1))),""No shared courses""),"""")"),"")</f>
        <v/>
      </c>
      <c r="J575" s="357" t="str">
        <f>IFERROR(__xludf.DUMMYFUNCTION("if(H575=""Can't be Together"",iferror(join("", "",unique(filter({filter('Students (Vertical)'!O:O,'Students (Vertical)'!C:C=B575,'Students (Vertical)'!O:O&lt;&gt;"""",'Students (Vertical)'!P:P&gt;1);filter('Students (Vertical)'!O:O,'Students (Vertical)'!C:C=E575,'"&amp;"Students (Vertical)'!O:O&lt;&gt;"""",'Students (Vertical)'!P:P&gt;1)},countifs({filter('Students (Vertical)'!O:O,'Students (Vertical)'!C:C=B575,'Students (Vertical)'!O:O&lt;&gt;"""",'Students (Vertical)'!P:P&gt;1);filter('Students (Vertical)'!O:O,'Students (Vertical)'!C:C="&amp;"E575,'Students (Vertical)'!O:O&lt;&gt;"""",'Students (Vertical)'!P:P&gt;1)},{filter('Students (Vertical)'!O:O,'Students (Vertical)'!C:C=B575,'Students (Vertical)'!O:O&lt;&gt;"""",'Students (Vertical)'!P:P&gt;1);filter('Students (Vertical)'!O:O,'Students (Vertical)'!C:C=E57"&amp;"5,'Students (Vertical)'!O:O&lt;&gt;"""",'Students (Vertical)'!P:P&gt;1)})&gt;1))),""""),"""")"),"")</f>
        <v/>
      </c>
      <c r="K575" s="358"/>
    </row>
    <row r="576">
      <c r="A576" s="300" t="s">
        <v>22</v>
      </c>
      <c r="C576" s="300" t="s">
        <v>22</v>
      </c>
      <c r="D576" s="300" t="s">
        <v>22</v>
      </c>
      <c r="F576" s="300" t="s">
        <v>22</v>
      </c>
      <c r="G576" s="300" t="s">
        <v>22</v>
      </c>
      <c r="I576" s="356" t="str">
        <f>IFERROR(__xludf.DUMMYFUNCTION("if(H576=""Must be Together"",iferror(join("", "",unique(filter({filter('Students (Vertical)'!O:O,'Students (Vertical)'!C:C=B576,'Students (Vertical)'!O:O&lt;&gt;"""");filter('Students (Vertical)'!O:O,'Students (Vertical)'!C:C=E576,'Students (Vertical)'!O:O&lt;&gt;"""&amp;""")},countifs({filter('Students (Vertical)'!O:O,'Students (Vertical)'!C:C=B576,'Students (Vertical)'!O:O&lt;&gt;"""");filter('Students (Vertical)'!O:O,'Students (Vertical)'!C:C=E576,'Students (Vertical)'!O:O&lt;&gt;"""")},{filter('Students (Vertical)'!O:O,'Students ("&amp;"Vertical)'!C:C=B576,'Students (Vertical)'!O:O&lt;&gt;"""");filter('Students (Vertical)'!O:O,'Students (Vertical)'!C:C=E576,'Students (Vertical)'!O:O&lt;&gt;"""")})&gt;1))),""No shared courses""),"""")"),"")</f>
        <v/>
      </c>
      <c r="J576" s="357" t="str">
        <f>IFERROR(__xludf.DUMMYFUNCTION("if(H576=""Can't be Together"",iferror(join("", "",unique(filter({filter('Students (Vertical)'!O:O,'Students (Vertical)'!C:C=B576,'Students (Vertical)'!O:O&lt;&gt;"""",'Students (Vertical)'!P:P&gt;1);filter('Students (Vertical)'!O:O,'Students (Vertical)'!C:C=E576,'"&amp;"Students (Vertical)'!O:O&lt;&gt;"""",'Students (Vertical)'!P:P&gt;1)},countifs({filter('Students (Vertical)'!O:O,'Students (Vertical)'!C:C=B576,'Students (Vertical)'!O:O&lt;&gt;"""",'Students (Vertical)'!P:P&gt;1);filter('Students (Vertical)'!O:O,'Students (Vertical)'!C:C="&amp;"E576,'Students (Vertical)'!O:O&lt;&gt;"""",'Students (Vertical)'!P:P&gt;1)},{filter('Students (Vertical)'!O:O,'Students (Vertical)'!C:C=B576,'Students (Vertical)'!O:O&lt;&gt;"""",'Students (Vertical)'!P:P&gt;1);filter('Students (Vertical)'!O:O,'Students (Vertical)'!C:C=E57"&amp;"6,'Students (Vertical)'!O:O&lt;&gt;"""",'Students (Vertical)'!P:P&gt;1)})&gt;1))),""""),"""")"),"")</f>
        <v/>
      </c>
      <c r="K576" s="358"/>
    </row>
    <row r="577">
      <c r="A577" s="300" t="s">
        <v>22</v>
      </c>
      <c r="C577" s="300" t="s">
        <v>22</v>
      </c>
      <c r="D577" s="300" t="s">
        <v>22</v>
      </c>
      <c r="F577" s="300" t="s">
        <v>22</v>
      </c>
      <c r="G577" s="300" t="s">
        <v>22</v>
      </c>
      <c r="I577" s="356" t="str">
        <f>IFERROR(__xludf.DUMMYFUNCTION("if(H577=""Must be Together"",iferror(join("", "",unique(filter({filter('Students (Vertical)'!O:O,'Students (Vertical)'!C:C=B577,'Students (Vertical)'!O:O&lt;&gt;"""");filter('Students (Vertical)'!O:O,'Students (Vertical)'!C:C=E577,'Students (Vertical)'!O:O&lt;&gt;"""&amp;""")},countifs({filter('Students (Vertical)'!O:O,'Students (Vertical)'!C:C=B577,'Students (Vertical)'!O:O&lt;&gt;"""");filter('Students (Vertical)'!O:O,'Students (Vertical)'!C:C=E577,'Students (Vertical)'!O:O&lt;&gt;"""")},{filter('Students (Vertical)'!O:O,'Students ("&amp;"Vertical)'!C:C=B577,'Students (Vertical)'!O:O&lt;&gt;"""");filter('Students (Vertical)'!O:O,'Students (Vertical)'!C:C=E577,'Students (Vertical)'!O:O&lt;&gt;"""")})&gt;1))),""No shared courses""),"""")"),"")</f>
        <v/>
      </c>
      <c r="J577" s="357" t="str">
        <f>IFERROR(__xludf.DUMMYFUNCTION("if(H577=""Can't be Together"",iferror(join("", "",unique(filter({filter('Students (Vertical)'!O:O,'Students (Vertical)'!C:C=B577,'Students (Vertical)'!O:O&lt;&gt;"""",'Students (Vertical)'!P:P&gt;1);filter('Students (Vertical)'!O:O,'Students (Vertical)'!C:C=E577,'"&amp;"Students (Vertical)'!O:O&lt;&gt;"""",'Students (Vertical)'!P:P&gt;1)},countifs({filter('Students (Vertical)'!O:O,'Students (Vertical)'!C:C=B577,'Students (Vertical)'!O:O&lt;&gt;"""",'Students (Vertical)'!P:P&gt;1);filter('Students (Vertical)'!O:O,'Students (Vertical)'!C:C="&amp;"E577,'Students (Vertical)'!O:O&lt;&gt;"""",'Students (Vertical)'!P:P&gt;1)},{filter('Students (Vertical)'!O:O,'Students (Vertical)'!C:C=B577,'Students (Vertical)'!O:O&lt;&gt;"""",'Students (Vertical)'!P:P&gt;1);filter('Students (Vertical)'!O:O,'Students (Vertical)'!C:C=E57"&amp;"7,'Students (Vertical)'!O:O&lt;&gt;"""",'Students (Vertical)'!P:P&gt;1)})&gt;1))),""""),"""")"),"")</f>
        <v/>
      </c>
      <c r="K577" s="358"/>
    </row>
    <row r="578">
      <c r="A578" s="300" t="s">
        <v>22</v>
      </c>
      <c r="C578" s="300" t="s">
        <v>22</v>
      </c>
      <c r="D578" s="300" t="s">
        <v>22</v>
      </c>
      <c r="F578" s="300" t="s">
        <v>22</v>
      </c>
      <c r="G578" s="300" t="s">
        <v>22</v>
      </c>
      <c r="I578" s="356" t="str">
        <f>IFERROR(__xludf.DUMMYFUNCTION("if(H578=""Must be Together"",iferror(join("", "",unique(filter({filter('Students (Vertical)'!O:O,'Students (Vertical)'!C:C=B578,'Students (Vertical)'!O:O&lt;&gt;"""");filter('Students (Vertical)'!O:O,'Students (Vertical)'!C:C=E578,'Students (Vertical)'!O:O&lt;&gt;"""&amp;""")},countifs({filter('Students (Vertical)'!O:O,'Students (Vertical)'!C:C=B578,'Students (Vertical)'!O:O&lt;&gt;"""");filter('Students (Vertical)'!O:O,'Students (Vertical)'!C:C=E578,'Students (Vertical)'!O:O&lt;&gt;"""")},{filter('Students (Vertical)'!O:O,'Students ("&amp;"Vertical)'!C:C=B578,'Students (Vertical)'!O:O&lt;&gt;"""");filter('Students (Vertical)'!O:O,'Students (Vertical)'!C:C=E578,'Students (Vertical)'!O:O&lt;&gt;"""")})&gt;1))),""No shared courses""),"""")"),"")</f>
        <v/>
      </c>
      <c r="J578" s="357" t="str">
        <f>IFERROR(__xludf.DUMMYFUNCTION("if(H578=""Can't be Together"",iferror(join("", "",unique(filter({filter('Students (Vertical)'!O:O,'Students (Vertical)'!C:C=B578,'Students (Vertical)'!O:O&lt;&gt;"""",'Students (Vertical)'!P:P&gt;1);filter('Students (Vertical)'!O:O,'Students (Vertical)'!C:C=E578,'"&amp;"Students (Vertical)'!O:O&lt;&gt;"""",'Students (Vertical)'!P:P&gt;1)},countifs({filter('Students (Vertical)'!O:O,'Students (Vertical)'!C:C=B578,'Students (Vertical)'!O:O&lt;&gt;"""",'Students (Vertical)'!P:P&gt;1);filter('Students (Vertical)'!O:O,'Students (Vertical)'!C:C="&amp;"E578,'Students (Vertical)'!O:O&lt;&gt;"""",'Students (Vertical)'!P:P&gt;1)},{filter('Students (Vertical)'!O:O,'Students (Vertical)'!C:C=B578,'Students (Vertical)'!O:O&lt;&gt;"""",'Students (Vertical)'!P:P&gt;1);filter('Students (Vertical)'!O:O,'Students (Vertical)'!C:C=E57"&amp;"8,'Students (Vertical)'!O:O&lt;&gt;"""",'Students (Vertical)'!P:P&gt;1)})&gt;1))),""""),"""")"),"")</f>
        <v/>
      </c>
      <c r="K578" s="358"/>
    </row>
    <row r="579">
      <c r="A579" s="300" t="s">
        <v>22</v>
      </c>
      <c r="C579" s="300" t="s">
        <v>22</v>
      </c>
      <c r="D579" s="300" t="s">
        <v>22</v>
      </c>
      <c r="F579" s="300" t="s">
        <v>22</v>
      </c>
      <c r="G579" s="300" t="s">
        <v>22</v>
      </c>
      <c r="I579" s="356" t="str">
        <f>IFERROR(__xludf.DUMMYFUNCTION("if(H579=""Must be Together"",iferror(join("", "",unique(filter({filter('Students (Vertical)'!O:O,'Students (Vertical)'!C:C=B579,'Students (Vertical)'!O:O&lt;&gt;"""");filter('Students (Vertical)'!O:O,'Students (Vertical)'!C:C=E579,'Students (Vertical)'!O:O&lt;&gt;"""&amp;""")},countifs({filter('Students (Vertical)'!O:O,'Students (Vertical)'!C:C=B579,'Students (Vertical)'!O:O&lt;&gt;"""");filter('Students (Vertical)'!O:O,'Students (Vertical)'!C:C=E579,'Students (Vertical)'!O:O&lt;&gt;"""")},{filter('Students (Vertical)'!O:O,'Students ("&amp;"Vertical)'!C:C=B579,'Students (Vertical)'!O:O&lt;&gt;"""");filter('Students (Vertical)'!O:O,'Students (Vertical)'!C:C=E579,'Students (Vertical)'!O:O&lt;&gt;"""")})&gt;1))),""No shared courses""),"""")"),"")</f>
        <v/>
      </c>
      <c r="J579" s="357" t="str">
        <f>IFERROR(__xludf.DUMMYFUNCTION("if(H579=""Can't be Together"",iferror(join("", "",unique(filter({filter('Students (Vertical)'!O:O,'Students (Vertical)'!C:C=B579,'Students (Vertical)'!O:O&lt;&gt;"""",'Students (Vertical)'!P:P&gt;1);filter('Students (Vertical)'!O:O,'Students (Vertical)'!C:C=E579,'"&amp;"Students (Vertical)'!O:O&lt;&gt;"""",'Students (Vertical)'!P:P&gt;1)},countifs({filter('Students (Vertical)'!O:O,'Students (Vertical)'!C:C=B579,'Students (Vertical)'!O:O&lt;&gt;"""",'Students (Vertical)'!P:P&gt;1);filter('Students (Vertical)'!O:O,'Students (Vertical)'!C:C="&amp;"E579,'Students (Vertical)'!O:O&lt;&gt;"""",'Students (Vertical)'!P:P&gt;1)},{filter('Students (Vertical)'!O:O,'Students (Vertical)'!C:C=B579,'Students (Vertical)'!O:O&lt;&gt;"""",'Students (Vertical)'!P:P&gt;1);filter('Students (Vertical)'!O:O,'Students (Vertical)'!C:C=E57"&amp;"9,'Students (Vertical)'!O:O&lt;&gt;"""",'Students (Vertical)'!P:P&gt;1)})&gt;1))),""""),"""")"),"")</f>
        <v/>
      </c>
      <c r="K579" s="358"/>
    </row>
    <row r="580">
      <c r="A580" s="300" t="s">
        <v>22</v>
      </c>
      <c r="C580" s="300" t="s">
        <v>22</v>
      </c>
      <c r="D580" s="300" t="s">
        <v>22</v>
      </c>
      <c r="F580" s="300" t="s">
        <v>22</v>
      </c>
      <c r="G580" s="300" t="s">
        <v>22</v>
      </c>
      <c r="I580" s="356" t="str">
        <f>IFERROR(__xludf.DUMMYFUNCTION("if(H580=""Must be Together"",iferror(join("", "",unique(filter({filter('Students (Vertical)'!O:O,'Students (Vertical)'!C:C=B580,'Students (Vertical)'!O:O&lt;&gt;"""");filter('Students (Vertical)'!O:O,'Students (Vertical)'!C:C=E580,'Students (Vertical)'!O:O&lt;&gt;"""&amp;""")},countifs({filter('Students (Vertical)'!O:O,'Students (Vertical)'!C:C=B580,'Students (Vertical)'!O:O&lt;&gt;"""");filter('Students (Vertical)'!O:O,'Students (Vertical)'!C:C=E580,'Students (Vertical)'!O:O&lt;&gt;"""")},{filter('Students (Vertical)'!O:O,'Students ("&amp;"Vertical)'!C:C=B580,'Students (Vertical)'!O:O&lt;&gt;"""");filter('Students (Vertical)'!O:O,'Students (Vertical)'!C:C=E580,'Students (Vertical)'!O:O&lt;&gt;"""")})&gt;1))),""No shared courses""),"""")"),"")</f>
        <v/>
      </c>
      <c r="J580" s="357" t="str">
        <f>IFERROR(__xludf.DUMMYFUNCTION("if(H580=""Can't be Together"",iferror(join("", "",unique(filter({filter('Students (Vertical)'!O:O,'Students (Vertical)'!C:C=B580,'Students (Vertical)'!O:O&lt;&gt;"""",'Students (Vertical)'!P:P&gt;1);filter('Students (Vertical)'!O:O,'Students (Vertical)'!C:C=E580,'"&amp;"Students (Vertical)'!O:O&lt;&gt;"""",'Students (Vertical)'!P:P&gt;1)},countifs({filter('Students (Vertical)'!O:O,'Students (Vertical)'!C:C=B580,'Students (Vertical)'!O:O&lt;&gt;"""",'Students (Vertical)'!P:P&gt;1);filter('Students (Vertical)'!O:O,'Students (Vertical)'!C:C="&amp;"E580,'Students (Vertical)'!O:O&lt;&gt;"""",'Students (Vertical)'!P:P&gt;1)},{filter('Students (Vertical)'!O:O,'Students (Vertical)'!C:C=B580,'Students (Vertical)'!O:O&lt;&gt;"""",'Students (Vertical)'!P:P&gt;1);filter('Students (Vertical)'!O:O,'Students (Vertical)'!C:C=E58"&amp;"0,'Students (Vertical)'!O:O&lt;&gt;"""",'Students (Vertical)'!P:P&gt;1)})&gt;1))),""""),"""")"),"")</f>
        <v/>
      </c>
      <c r="K580" s="358"/>
    </row>
    <row r="581">
      <c r="A581" s="300" t="s">
        <v>22</v>
      </c>
      <c r="C581" s="300" t="s">
        <v>22</v>
      </c>
      <c r="D581" s="300" t="s">
        <v>22</v>
      </c>
      <c r="F581" s="300" t="s">
        <v>22</v>
      </c>
      <c r="G581" s="300" t="s">
        <v>22</v>
      </c>
      <c r="I581" s="356" t="str">
        <f>IFERROR(__xludf.DUMMYFUNCTION("if(H581=""Must be Together"",iferror(join("", "",unique(filter({filter('Students (Vertical)'!O:O,'Students (Vertical)'!C:C=B581,'Students (Vertical)'!O:O&lt;&gt;"""");filter('Students (Vertical)'!O:O,'Students (Vertical)'!C:C=E581,'Students (Vertical)'!O:O&lt;&gt;"""&amp;""")},countifs({filter('Students (Vertical)'!O:O,'Students (Vertical)'!C:C=B581,'Students (Vertical)'!O:O&lt;&gt;"""");filter('Students (Vertical)'!O:O,'Students (Vertical)'!C:C=E581,'Students (Vertical)'!O:O&lt;&gt;"""")},{filter('Students (Vertical)'!O:O,'Students ("&amp;"Vertical)'!C:C=B581,'Students (Vertical)'!O:O&lt;&gt;"""");filter('Students (Vertical)'!O:O,'Students (Vertical)'!C:C=E581,'Students (Vertical)'!O:O&lt;&gt;"""")})&gt;1))),""No shared courses""),"""")"),"")</f>
        <v/>
      </c>
      <c r="J581" s="357" t="str">
        <f>IFERROR(__xludf.DUMMYFUNCTION("if(H581=""Can't be Together"",iferror(join("", "",unique(filter({filter('Students (Vertical)'!O:O,'Students (Vertical)'!C:C=B581,'Students (Vertical)'!O:O&lt;&gt;"""",'Students (Vertical)'!P:P&gt;1);filter('Students (Vertical)'!O:O,'Students (Vertical)'!C:C=E581,'"&amp;"Students (Vertical)'!O:O&lt;&gt;"""",'Students (Vertical)'!P:P&gt;1)},countifs({filter('Students (Vertical)'!O:O,'Students (Vertical)'!C:C=B581,'Students (Vertical)'!O:O&lt;&gt;"""",'Students (Vertical)'!P:P&gt;1);filter('Students (Vertical)'!O:O,'Students (Vertical)'!C:C="&amp;"E581,'Students (Vertical)'!O:O&lt;&gt;"""",'Students (Vertical)'!P:P&gt;1)},{filter('Students (Vertical)'!O:O,'Students (Vertical)'!C:C=B581,'Students (Vertical)'!O:O&lt;&gt;"""",'Students (Vertical)'!P:P&gt;1);filter('Students (Vertical)'!O:O,'Students (Vertical)'!C:C=E58"&amp;"1,'Students (Vertical)'!O:O&lt;&gt;"""",'Students (Vertical)'!P:P&gt;1)})&gt;1))),""""),"""")"),"")</f>
        <v/>
      </c>
      <c r="K581" s="358"/>
    </row>
    <row r="582">
      <c r="A582" s="300" t="s">
        <v>22</v>
      </c>
      <c r="C582" s="300" t="s">
        <v>22</v>
      </c>
      <c r="D582" s="300" t="s">
        <v>22</v>
      </c>
      <c r="F582" s="300" t="s">
        <v>22</v>
      </c>
      <c r="G582" s="300" t="s">
        <v>22</v>
      </c>
      <c r="I582" s="356" t="str">
        <f>IFERROR(__xludf.DUMMYFUNCTION("if(H582=""Must be Together"",iferror(join("", "",unique(filter({filter('Students (Vertical)'!O:O,'Students (Vertical)'!C:C=B582,'Students (Vertical)'!O:O&lt;&gt;"""");filter('Students (Vertical)'!O:O,'Students (Vertical)'!C:C=E582,'Students (Vertical)'!O:O&lt;&gt;"""&amp;""")},countifs({filter('Students (Vertical)'!O:O,'Students (Vertical)'!C:C=B582,'Students (Vertical)'!O:O&lt;&gt;"""");filter('Students (Vertical)'!O:O,'Students (Vertical)'!C:C=E582,'Students (Vertical)'!O:O&lt;&gt;"""")},{filter('Students (Vertical)'!O:O,'Students ("&amp;"Vertical)'!C:C=B582,'Students (Vertical)'!O:O&lt;&gt;"""");filter('Students (Vertical)'!O:O,'Students (Vertical)'!C:C=E582,'Students (Vertical)'!O:O&lt;&gt;"""")})&gt;1))),""No shared courses""),"""")"),"")</f>
        <v/>
      </c>
      <c r="J582" s="357" t="str">
        <f>IFERROR(__xludf.DUMMYFUNCTION("if(H582=""Can't be Together"",iferror(join("", "",unique(filter({filter('Students (Vertical)'!O:O,'Students (Vertical)'!C:C=B582,'Students (Vertical)'!O:O&lt;&gt;"""",'Students (Vertical)'!P:P&gt;1);filter('Students (Vertical)'!O:O,'Students (Vertical)'!C:C=E582,'"&amp;"Students (Vertical)'!O:O&lt;&gt;"""",'Students (Vertical)'!P:P&gt;1)},countifs({filter('Students (Vertical)'!O:O,'Students (Vertical)'!C:C=B582,'Students (Vertical)'!O:O&lt;&gt;"""",'Students (Vertical)'!P:P&gt;1);filter('Students (Vertical)'!O:O,'Students (Vertical)'!C:C="&amp;"E582,'Students (Vertical)'!O:O&lt;&gt;"""",'Students (Vertical)'!P:P&gt;1)},{filter('Students (Vertical)'!O:O,'Students (Vertical)'!C:C=B582,'Students (Vertical)'!O:O&lt;&gt;"""",'Students (Vertical)'!P:P&gt;1);filter('Students (Vertical)'!O:O,'Students (Vertical)'!C:C=E58"&amp;"2,'Students (Vertical)'!O:O&lt;&gt;"""",'Students (Vertical)'!P:P&gt;1)})&gt;1))),""""),"""")"),"")</f>
        <v/>
      </c>
      <c r="K582" s="358"/>
    </row>
    <row r="583">
      <c r="A583" s="300" t="s">
        <v>22</v>
      </c>
      <c r="C583" s="300" t="s">
        <v>22</v>
      </c>
      <c r="D583" s="300" t="s">
        <v>22</v>
      </c>
      <c r="F583" s="300" t="s">
        <v>22</v>
      </c>
      <c r="G583" s="300" t="s">
        <v>22</v>
      </c>
      <c r="I583" s="356" t="str">
        <f>IFERROR(__xludf.DUMMYFUNCTION("if(H583=""Must be Together"",iferror(join("", "",unique(filter({filter('Students (Vertical)'!O:O,'Students (Vertical)'!C:C=B583,'Students (Vertical)'!O:O&lt;&gt;"""");filter('Students (Vertical)'!O:O,'Students (Vertical)'!C:C=E583,'Students (Vertical)'!O:O&lt;&gt;"""&amp;""")},countifs({filter('Students (Vertical)'!O:O,'Students (Vertical)'!C:C=B583,'Students (Vertical)'!O:O&lt;&gt;"""");filter('Students (Vertical)'!O:O,'Students (Vertical)'!C:C=E583,'Students (Vertical)'!O:O&lt;&gt;"""")},{filter('Students (Vertical)'!O:O,'Students ("&amp;"Vertical)'!C:C=B583,'Students (Vertical)'!O:O&lt;&gt;"""");filter('Students (Vertical)'!O:O,'Students (Vertical)'!C:C=E583,'Students (Vertical)'!O:O&lt;&gt;"""")})&gt;1))),""No shared courses""),"""")"),"")</f>
        <v/>
      </c>
      <c r="J583" s="357" t="str">
        <f>IFERROR(__xludf.DUMMYFUNCTION("if(H583=""Can't be Together"",iferror(join("", "",unique(filter({filter('Students (Vertical)'!O:O,'Students (Vertical)'!C:C=B583,'Students (Vertical)'!O:O&lt;&gt;"""",'Students (Vertical)'!P:P&gt;1);filter('Students (Vertical)'!O:O,'Students (Vertical)'!C:C=E583,'"&amp;"Students (Vertical)'!O:O&lt;&gt;"""",'Students (Vertical)'!P:P&gt;1)},countifs({filter('Students (Vertical)'!O:O,'Students (Vertical)'!C:C=B583,'Students (Vertical)'!O:O&lt;&gt;"""",'Students (Vertical)'!P:P&gt;1);filter('Students (Vertical)'!O:O,'Students (Vertical)'!C:C="&amp;"E583,'Students (Vertical)'!O:O&lt;&gt;"""",'Students (Vertical)'!P:P&gt;1)},{filter('Students (Vertical)'!O:O,'Students (Vertical)'!C:C=B583,'Students (Vertical)'!O:O&lt;&gt;"""",'Students (Vertical)'!P:P&gt;1);filter('Students (Vertical)'!O:O,'Students (Vertical)'!C:C=E58"&amp;"3,'Students (Vertical)'!O:O&lt;&gt;"""",'Students (Vertical)'!P:P&gt;1)})&gt;1))),""""),"""")"),"")</f>
        <v/>
      </c>
      <c r="K583" s="358"/>
    </row>
    <row r="584">
      <c r="A584" s="300" t="s">
        <v>22</v>
      </c>
      <c r="C584" s="300" t="s">
        <v>22</v>
      </c>
      <c r="D584" s="300" t="s">
        <v>22</v>
      </c>
      <c r="F584" s="300" t="s">
        <v>22</v>
      </c>
      <c r="G584" s="300" t="s">
        <v>22</v>
      </c>
      <c r="I584" s="356" t="str">
        <f>IFERROR(__xludf.DUMMYFUNCTION("if(H584=""Must be Together"",iferror(join("", "",unique(filter({filter('Students (Vertical)'!O:O,'Students (Vertical)'!C:C=B584,'Students (Vertical)'!O:O&lt;&gt;"""");filter('Students (Vertical)'!O:O,'Students (Vertical)'!C:C=E584,'Students (Vertical)'!O:O&lt;&gt;"""&amp;""")},countifs({filter('Students (Vertical)'!O:O,'Students (Vertical)'!C:C=B584,'Students (Vertical)'!O:O&lt;&gt;"""");filter('Students (Vertical)'!O:O,'Students (Vertical)'!C:C=E584,'Students (Vertical)'!O:O&lt;&gt;"""")},{filter('Students (Vertical)'!O:O,'Students ("&amp;"Vertical)'!C:C=B584,'Students (Vertical)'!O:O&lt;&gt;"""");filter('Students (Vertical)'!O:O,'Students (Vertical)'!C:C=E584,'Students (Vertical)'!O:O&lt;&gt;"""")})&gt;1))),""No shared courses""),"""")"),"")</f>
        <v/>
      </c>
      <c r="J584" s="357" t="str">
        <f>IFERROR(__xludf.DUMMYFUNCTION("if(H584=""Can't be Together"",iferror(join("", "",unique(filter({filter('Students (Vertical)'!O:O,'Students (Vertical)'!C:C=B584,'Students (Vertical)'!O:O&lt;&gt;"""",'Students (Vertical)'!P:P&gt;1);filter('Students (Vertical)'!O:O,'Students (Vertical)'!C:C=E584,'"&amp;"Students (Vertical)'!O:O&lt;&gt;"""",'Students (Vertical)'!P:P&gt;1)},countifs({filter('Students (Vertical)'!O:O,'Students (Vertical)'!C:C=B584,'Students (Vertical)'!O:O&lt;&gt;"""",'Students (Vertical)'!P:P&gt;1);filter('Students (Vertical)'!O:O,'Students (Vertical)'!C:C="&amp;"E584,'Students (Vertical)'!O:O&lt;&gt;"""",'Students (Vertical)'!P:P&gt;1)},{filter('Students (Vertical)'!O:O,'Students (Vertical)'!C:C=B584,'Students (Vertical)'!O:O&lt;&gt;"""",'Students (Vertical)'!P:P&gt;1);filter('Students (Vertical)'!O:O,'Students (Vertical)'!C:C=E58"&amp;"4,'Students (Vertical)'!O:O&lt;&gt;"""",'Students (Vertical)'!P:P&gt;1)})&gt;1))),""""),"""")"),"")</f>
        <v/>
      </c>
      <c r="K584" s="358"/>
    </row>
    <row r="585">
      <c r="A585" s="300" t="s">
        <v>22</v>
      </c>
      <c r="C585" s="300" t="s">
        <v>22</v>
      </c>
      <c r="D585" s="300" t="s">
        <v>22</v>
      </c>
      <c r="F585" s="300" t="s">
        <v>22</v>
      </c>
      <c r="G585" s="300" t="s">
        <v>22</v>
      </c>
      <c r="I585" s="356" t="str">
        <f>IFERROR(__xludf.DUMMYFUNCTION("if(H585=""Must be Together"",iferror(join("", "",unique(filter({filter('Students (Vertical)'!O:O,'Students (Vertical)'!C:C=B585,'Students (Vertical)'!O:O&lt;&gt;"""");filter('Students (Vertical)'!O:O,'Students (Vertical)'!C:C=E585,'Students (Vertical)'!O:O&lt;&gt;"""&amp;""")},countifs({filter('Students (Vertical)'!O:O,'Students (Vertical)'!C:C=B585,'Students (Vertical)'!O:O&lt;&gt;"""");filter('Students (Vertical)'!O:O,'Students (Vertical)'!C:C=E585,'Students (Vertical)'!O:O&lt;&gt;"""")},{filter('Students (Vertical)'!O:O,'Students ("&amp;"Vertical)'!C:C=B585,'Students (Vertical)'!O:O&lt;&gt;"""");filter('Students (Vertical)'!O:O,'Students (Vertical)'!C:C=E585,'Students (Vertical)'!O:O&lt;&gt;"""")})&gt;1))),""No shared courses""),"""")"),"")</f>
        <v/>
      </c>
      <c r="J585" s="357" t="str">
        <f>IFERROR(__xludf.DUMMYFUNCTION("if(H585=""Can't be Together"",iferror(join("", "",unique(filter({filter('Students (Vertical)'!O:O,'Students (Vertical)'!C:C=B585,'Students (Vertical)'!O:O&lt;&gt;"""",'Students (Vertical)'!P:P&gt;1);filter('Students (Vertical)'!O:O,'Students (Vertical)'!C:C=E585,'"&amp;"Students (Vertical)'!O:O&lt;&gt;"""",'Students (Vertical)'!P:P&gt;1)},countifs({filter('Students (Vertical)'!O:O,'Students (Vertical)'!C:C=B585,'Students (Vertical)'!O:O&lt;&gt;"""",'Students (Vertical)'!P:P&gt;1);filter('Students (Vertical)'!O:O,'Students (Vertical)'!C:C="&amp;"E585,'Students (Vertical)'!O:O&lt;&gt;"""",'Students (Vertical)'!P:P&gt;1)},{filter('Students (Vertical)'!O:O,'Students (Vertical)'!C:C=B585,'Students (Vertical)'!O:O&lt;&gt;"""",'Students (Vertical)'!P:P&gt;1);filter('Students (Vertical)'!O:O,'Students (Vertical)'!C:C=E58"&amp;"5,'Students (Vertical)'!O:O&lt;&gt;"""",'Students (Vertical)'!P:P&gt;1)})&gt;1))),""""),"""")"),"")</f>
        <v/>
      </c>
      <c r="K585" s="358"/>
    </row>
    <row r="586">
      <c r="A586" s="300" t="s">
        <v>22</v>
      </c>
      <c r="C586" s="300" t="s">
        <v>22</v>
      </c>
      <c r="D586" s="300" t="s">
        <v>22</v>
      </c>
      <c r="F586" s="300" t="s">
        <v>22</v>
      </c>
      <c r="G586" s="300" t="s">
        <v>22</v>
      </c>
      <c r="I586" s="356" t="str">
        <f>IFERROR(__xludf.DUMMYFUNCTION("if(H586=""Must be Together"",iferror(join("", "",unique(filter({filter('Students (Vertical)'!O:O,'Students (Vertical)'!C:C=B586,'Students (Vertical)'!O:O&lt;&gt;"""");filter('Students (Vertical)'!O:O,'Students (Vertical)'!C:C=E586,'Students (Vertical)'!O:O&lt;&gt;"""&amp;""")},countifs({filter('Students (Vertical)'!O:O,'Students (Vertical)'!C:C=B586,'Students (Vertical)'!O:O&lt;&gt;"""");filter('Students (Vertical)'!O:O,'Students (Vertical)'!C:C=E586,'Students (Vertical)'!O:O&lt;&gt;"""")},{filter('Students (Vertical)'!O:O,'Students ("&amp;"Vertical)'!C:C=B586,'Students (Vertical)'!O:O&lt;&gt;"""");filter('Students (Vertical)'!O:O,'Students (Vertical)'!C:C=E586,'Students (Vertical)'!O:O&lt;&gt;"""")})&gt;1))),""No shared courses""),"""")"),"")</f>
        <v/>
      </c>
      <c r="J586" s="357" t="str">
        <f>IFERROR(__xludf.DUMMYFUNCTION("if(H586=""Can't be Together"",iferror(join("", "",unique(filter({filter('Students (Vertical)'!O:O,'Students (Vertical)'!C:C=B586,'Students (Vertical)'!O:O&lt;&gt;"""",'Students (Vertical)'!P:P&gt;1);filter('Students (Vertical)'!O:O,'Students (Vertical)'!C:C=E586,'"&amp;"Students (Vertical)'!O:O&lt;&gt;"""",'Students (Vertical)'!P:P&gt;1)},countifs({filter('Students (Vertical)'!O:O,'Students (Vertical)'!C:C=B586,'Students (Vertical)'!O:O&lt;&gt;"""",'Students (Vertical)'!P:P&gt;1);filter('Students (Vertical)'!O:O,'Students (Vertical)'!C:C="&amp;"E586,'Students (Vertical)'!O:O&lt;&gt;"""",'Students (Vertical)'!P:P&gt;1)},{filter('Students (Vertical)'!O:O,'Students (Vertical)'!C:C=B586,'Students (Vertical)'!O:O&lt;&gt;"""",'Students (Vertical)'!P:P&gt;1);filter('Students (Vertical)'!O:O,'Students (Vertical)'!C:C=E58"&amp;"6,'Students (Vertical)'!O:O&lt;&gt;"""",'Students (Vertical)'!P:P&gt;1)})&gt;1))),""""),"""")"),"")</f>
        <v/>
      </c>
      <c r="K586" s="358"/>
    </row>
    <row r="587">
      <c r="A587" s="300" t="s">
        <v>22</v>
      </c>
      <c r="C587" s="300" t="s">
        <v>22</v>
      </c>
      <c r="D587" s="300" t="s">
        <v>22</v>
      </c>
      <c r="F587" s="300" t="s">
        <v>22</v>
      </c>
      <c r="G587" s="300" t="s">
        <v>22</v>
      </c>
      <c r="I587" s="356" t="str">
        <f>IFERROR(__xludf.DUMMYFUNCTION("if(H587=""Must be Together"",iferror(join("", "",unique(filter({filter('Students (Vertical)'!O:O,'Students (Vertical)'!C:C=B587,'Students (Vertical)'!O:O&lt;&gt;"""");filter('Students (Vertical)'!O:O,'Students (Vertical)'!C:C=E587,'Students (Vertical)'!O:O&lt;&gt;"""&amp;""")},countifs({filter('Students (Vertical)'!O:O,'Students (Vertical)'!C:C=B587,'Students (Vertical)'!O:O&lt;&gt;"""");filter('Students (Vertical)'!O:O,'Students (Vertical)'!C:C=E587,'Students (Vertical)'!O:O&lt;&gt;"""")},{filter('Students (Vertical)'!O:O,'Students ("&amp;"Vertical)'!C:C=B587,'Students (Vertical)'!O:O&lt;&gt;"""");filter('Students (Vertical)'!O:O,'Students (Vertical)'!C:C=E587,'Students (Vertical)'!O:O&lt;&gt;"""")})&gt;1))),""No shared courses""),"""")"),"")</f>
        <v/>
      </c>
      <c r="J587" s="357" t="str">
        <f>IFERROR(__xludf.DUMMYFUNCTION("if(H587=""Can't be Together"",iferror(join("", "",unique(filter({filter('Students (Vertical)'!O:O,'Students (Vertical)'!C:C=B587,'Students (Vertical)'!O:O&lt;&gt;"""",'Students (Vertical)'!P:P&gt;1);filter('Students (Vertical)'!O:O,'Students (Vertical)'!C:C=E587,'"&amp;"Students (Vertical)'!O:O&lt;&gt;"""",'Students (Vertical)'!P:P&gt;1)},countifs({filter('Students (Vertical)'!O:O,'Students (Vertical)'!C:C=B587,'Students (Vertical)'!O:O&lt;&gt;"""",'Students (Vertical)'!P:P&gt;1);filter('Students (Vertical)'!O:O,'Students (Vertical)'!C:C="&amp;"E587,'Students (Vertical)'!O:O&lt;&gt;"""",'Students (Vertical)'!P:P&gt;1)},{filter('Students (Vertical)'!O:O,'Students (Vertical)'!C:C=B587,'Students (Vertical)'!O:O&lt;&gt;"""",'Students (Vertical)'!P:P&gt;1);filter('Students (Vertical)'!O:O,'Students (Vertical)'!C:C=E58"&amp;"7,'Students (Vertical)'!O:O&lt;&gt;"""",'Students (Vertical)'!P:P&gt;1)})&gt;1))),""""),"""")"),"")</f>
        <v/>
      </c>
      <c r="K587" s="358"/>
    </row>
    <row r="588">
      <c r="A588" s="300" t="s">
        <v>22</v>
      </c>
      <c r="C588" s="300" t="s">
        <v>22</v>
      </c>
      <c r="D588" s="300" t="s">
        <v>22</v>
      </c>
      <c r="F588" s="300" t="s">
        <v>22</v>
      </c>
      <c r="G588" s="300" t="s">
        <v>22</v>
      </c>
      <c r="I588" s="356" t="str">
        <f>IFERROR(__xludf.DUMMYFUNCTION("if(H588=""Must be Together"",iferror(join("", "",unique(filter({filter('Students (Vertical)'!O:O,'Students (Vertical)'!C:C=B588,'Students (Vertical)'!O:O&lt;&gt;"""");filter('Students (Vertical)'!O:O,'Students (Vertical)'!C:C=E588,'Students (Vertical)'!O:O&lt;&gt;"""&amp;""")},countifs({filter('Students (Vertical)'!O:O,'Students (Vertical)'!C:C=B588,'Students (Vertical)'!O:O&lt;&gt;"""");filter('Students (Vertical)'!O:O,'Students (Vertical)'!C:C=E588,'Students (Vertical)'!O:O&lt;&gt;"""")},{filter('Students (Vertical)'!O:O,'Students ("&amp;"Vertical)'!C:C=B588,'Students (Vertical)'!O:O&lt;&gt;"""");filter('Students (Vertical)'!O:O,'Students (Vertical)'!C:C=E588,'Students (Vertical)'!O:O&lt;&gt;"""")})&gt;1))),""No shared courses""),"""")"),"")</f>
        <v/>
      </c>
      <c r="J588" s="357" t="str">
        <f>IFERROR(__xludf.DUMMYFUNCTION("if(H588=""Can't be Together"",iferror(join("", "",unique(filter({filter('Students (Vertical)'!O:O,'Students (Vertical)'!C:C=B588,'Students (Vertical)'!O:O&lt;&gt;"""",'Students (Vertical)'!P:P&gt;1);filter('Students (Vertical)'!O:O,'Students (Vertical)'!C:C=E588,'"&amp;"Students (Vertical)'!O:O&lt;&gt;"""",'Students (Vertical)'!P:P&gt;1)},countifs({filter('Students (Vertical)'!O:O,'Students (Vertical)'!C:C=B588,'Students (Vertical)'!O:O&lt;&gt;"""",'Students (Vertical)'!P:P&gt;1);filter('Students (Vertical)'!O:O,'Students (Vertical)'!C:C="&amp;"E588,'Students (Vertical)'!O:O&lt;&gt;"""",'Students (Vertical)'!P:P&gt;1)},{filter('Students (Vertical)'!O:O,'Students (Vertical)'!C:C=B588,'Students (Vertical)'!O:O&lt;&gt;"""",'Students (Vertical)'!P:P&gt;1);filter('Students (Vertical)'!O:O,'Students (Vertical)'!C:C=E58"&amp;"8,'Students (Vertical)'!O:O&lt;&gt;"""",'Students (Vertical)'!P:P&gt;1)})&gt;1))),""""),"""")"),"")</f>
        <v/>
      </c>
      <c r="K588" s="358"/>
    </row>
    <row r="589">
      <c r="A589" s="300" t="s">
        <v>22</v>
      </c>
      <c r="C589" s="300" t="s">
        <v>22</v>
      </c>
      <c r="D589" s="300" t="s">
        <v>22</v>
      </c>
      <c r="F589" s="300" t="s">
        <v>22</v>
      </c>
      <c r="G589" s="300" t="s">
        <v>22</v>
      </c>
      <c r="I589" s="356" t="str">
        <f>IFERROR(__xludf.DUMMYFUNCTION("if(H589=""Must be Together"",iferror(join("", "",unique(filter({filter('Students (Vertical)'!O:O,'Students (Vertical)'!C:C=B589,'Students (Vertical)'!O:O&lt;&gt;"""");filter('Students (Vertical)'!O:O,'Students (Vertical)'!C:C=E589,'Students (Vertical)'!O:O&lt;&gt;"""&amp;""")},countifs({filter('Students (Vertical)'!O:O,'Students (Vertical)'!C:C=B589,'Students (Vertical)'!O:O&lt;&gt;"""");filter('Students (Vertical)'!O:O,'Students (Vertical)'!C:C=E589,'Students (Vertical)'!O:O&lt;&gt;"""")},{filter('Students (Vertical)'!O:O,'Students ("&amp;"Vertical)'!C:C=B589,'Students (Vertical)'!O:O&lt;&gt;"""");filter('Students (Vertical)'!O:O,'Students (Vertical)'!C:C=E589,'Students (Vertical)'!O:O&lt;&gt;"""")})&gt;1))),""No shared courses""),"""")"),"")</f>
        <v/>
      </c>
      <c r="J589" s="357" t="str">
        <f>IFERROR(__xludf.DUMMYFUNCTION("if(H589=""Can't be Together"",iferror(join("", "",unique(filter({filter('Students (Vertical)'!O:O,'Students (Vertical)'!C:C=B589,'Students (Vertical)'!O:O&lt;&gt;"""",'Students (Vertical)'!P:P&gt;1);filter('Students (Vertical)'!O:O,'Students (Vertical)'!C:C=E589,'"&amp;"Students (Vertical)'!O:O&lt;&gt;"""",'Students (Vertical)'!P:P&gt;1)},countifs({filter('Students (Vertical)'!O:O,'Students (Vertical)'!C:C=B589,'Students (Vertical)'!O:O&lt;&gt;"""",'Students (Vertical)'!P:P&gt;1);filter('Students (Vertical)'!O:O,'Students (Vertical)'!C:C="&amp;"E589,'Students (Vertical)'!O:O&lt;&gt;"""",'Students (Vertical)'!P:P&gt;1)},{filter('Students (Vertical)'!O:O,'Students (Vertical)'!C:C=B589,'Students (Vertical)'!O:O&lt;&gt;"""",'Students (Vertical)'!P:P&gt;1);filter('Students (Vertical)'!O:O,'Students (Vertical)'!C:C=E58"&amp;"9,'Students (Vertical)'!O:O&lt;&gt;"""",'Students (Vertical)'!P:P&gt;1)})&gt;1))),""""),"""")"),"")</f>
        <v/>
      </c>
      <c r="K589" s="358"/>
    </row>
    <row r="590">
      <c r="A590" s="300" t="s">
        <v>22</v>
      </c>
      <c r="C590" s="300" t="s">
        <v>22</v>
      </c>
      <c r="D590" s="300" t="s">
        <v>22</v>
      </c>
      <c r="F590" s="300" t="s">
        <v>22</v>
      </c>
      <c r="G590" s="300" t="s">
        <v>22</v>
      </c>
      <c r="I590" s="356" t="str">
        <f>IFERROR(__xludf.DUMMYFUNCTION("if(H590=""Must be Together"",iferror(join("", "",unique(filter({filter('Students (Vertical)'!O:O,'Students (Vertical)'!C:C=B590,'Students (Vertical)'!O:O&lt;&gt;"""");filter('Students (Vertical)'!O:O,'Students (Vertical)'!C:C=E590,'Students (Vertical)'!O:O&lt;&gt;"""&amp;""")},countifs({filter('Students (Vertical)'!O:O,'Students (Vertical)'!C:C=B590,'Students (Vertical)'!O:O&lt;&gt;"""");filter('Students (Vertical)'!O:O,'Students (Vertical)'!C:C=E590,'Students (Vertical)'!O:O&lt;&gt;"""")},{filter('Students (Vertical)'!O:O,'Students ("&amp;"Vertical)'!C:C=B590,'Students (Vertical)'!O:O&lt;&gt;"""");filter('Students (Vertical)'!O:O,'Students (Vertical)'!C:C=E590,'Students (Vertical)'!O:O&lt;&gt;"""")})&gt;1))),""No shared courses""),"""")"),"")</f>
        <v/>
      </c>
      <c r="J590" s="357" t="str">
        <f>IFERROR(__xludf.DUMMYFUNCTION("if(H590=""Can't be Together"",iferror(join("", "",unique(filter({filter('Students (Vertical)'!O:O,'Students (Vertical)'!C:C=B590,'Students (Vertical)'!O:O&lt;&gt;"""",'Students (Vertical)'!P:P&gt;1);filter('Students (Vertical)'!O:O,'Students (Vertical)'!C:C=E590,'"&amp;"Students (Vertical)'!O:O&lt;&gt;"""",'Students (Vertical)'!P:P&gt;1)},countifs({filter('Students (Vertical)'!O:O,'Students (Vertical)'!C:C=B590,'Students (Vertical)'!O:O&lt;&gt;"""",'Students (Vertical)'!P:P&gt;1);filter('Students (Vertical)'!O:O,'Students (Vertical)'!C:C="&amp;"E590,'Students (Vertical)'!O:O&lt;&gt;"""",'Students (Vertical)'!P:P&gt;1)},{filter('Students (Vertical)'!O:O,'Students (Vertical)'!C:C=B590,'Students (Vertical)'!O:O&lt;&gt;"""",'Students (Vertical)'!P:P&gt;1);filter('Students (Vertical)'!O:O,'Students (Vertical)'!C:C=E59"&amp;"0,'Students (Vertical)'!O:O&lt;&gt;"""",'Students (Vertical)'!P:P&gt;1)})&gt;1))),""""),"""")"),"")</f>
        <v/>
      </c>
      <c r="K590" s="358"/>
    </row>
    <row r="591">
      <c r="A591" s="300" t="s">
        <v>22</v>
      </c>
      <c r="C591" s="300" t="s">
        <v>22</v>
      </c>
      <c r="D591" s="300" t="s">
        <v>22</v>
      </c>
      <c r="F591" s="300" t="s">
        <v>22</v>
      </c>
      <c r="G591" s="300" t="s">
        <v>22</v>
      </c>
      <c r="I591" s="356" t="str">
        <f>IFERROR(__xludf.DUMMYFUNCTION("if(H591=""Must be Together"",iferror(join("", "",unique(filter({filter('Students (Vertical)'!O:O,'Students (Vertical)'!C:C=B591,'Students (Vertical)'!O:O&lt;&gt;"""");filter('Students (Vertical)'!O:O,'Students (Vertical)'!C:C=E591,'Students (Vertical)'!O:O&lt;&gt;"""&amp;""")},countifs({filter('Students (Vertical)'!O:O,'Students (Vertical)'!C:C=B591,'Students (Vertical)'!O:O&lt;&gt;"""");filter('Students (Vertical)'!O:O,'Students (Vertical)'!C:C=E591,'Students (Vertical)'!O:O&lt;&gt;"""")},{filter('Students (Vertical)'!O:O,'Students ("&amp;"Vertical)'!C:C=B591,'Students (Vertical)'!O:O&lt;&gt;"""");filter('Students (Vertical)'!O:O,'Students (Vertical)'!C:C=E591,'Students (Vertical)'!O:O&lt;&gt;"""")})&gt;1))),""No shared courses""),"""")"),"")</f>
        <v/>
      </c>
      <c r="J591" s="357" t="str">
        <f>IFERROR(__xludf.DUMMYFUNCTION("if(H591=""Can't be Together"",iferror(join("", "",unique(filter({filter('Students (Vertical)'!O:O,'Students (Vertical)'!C:C=B591,'Students (Vertical)'!O:O&lt;&gt;"""",'Students (Vertical)'!P:P&gt;1);filter('Students (Vertical)'!O:O,'Students (Vertical)'!C:C=E591,'"&amp;"Students (Vertical)'!O:O&lt;&gt;"""",'Students (Vertical)'!P:P&gt;1)},countifs({filter('Students (Vertical)'!O:O,'Students (Vertical)'!C:C=B591,'Students (Vertical)'!O:O&lt;&gt;"""",'Students (Vertical)'!P:P&gt;1);filter('Students (Vertical)'!O:O,'Students (Vertical)'!C:C="&amp;"E591,'Students (Vertical)'!O:O&lt;&gt;"""",'Students (Vertical)'!P:P&gt;1)},{filter('Students (Vertical)'!O:O,'Students (Vertical)'!C:C=B591,'Students (Vertical)'!O:O&lt;&gt;"""",'Students (Vertical)'!P:P&gt;1);filter('Students (Vertical)'!O:O,'Students (Vertical)'!C:C=E59"&amp;"1,'Students (Vertical)'!O:O&lt;&gt;"""",'Students (Vertical)'!P:P&gt;1)})&gt;1))),""""),"""")"),"")</f>
        <v/>
      </c>
      <c r="K591" s="358"/>
    </row>
    <row r="592">
      <c r="A592" s="300" t="s">
        <v>22</v>
      </c>
      <c r="C592" s="300" t="s">
        <v>22</v>
      </c>
      <c r="D592" s="300" t="s">
        <v>22</v>
      </c>
      <c r="F592" s="300" t="s">
        <v>22</v>
      </c>
      <c r="G592" s="300" t="s">
        <v>22</v>
      </c>
      <c r="I592" s="356" t="str">
        <f>IFERROR(__xludf.DUMMYFUNCTION("if(H592=""Must be Together"",iferror(join("", "",unique(filter({filter('Students (Vertical)'!O:O,'Students (Vertical)'!C:C=B592,'Students (Vertical)'!O:O&lt;&gt;"""");filter('Students (Vertical)'!O:O,'Students (Vertical)'!C:C=E592,'Students (Vertical)'!O:O&lt;&gt;"""&amp;""")},countifs({filter('Students (Vertical)'!O:O,'Students (Vertical)'!C:C=B592,'Students (Vertical)'!O:O&lt;&gt;"""");filter('Students (Vertical)'!O:O,'Students (Vertical)'!C:C=E592,'Students (Vertical)'!O:O&lt;&gt;"""")},{filter('Students (Vertical)'!O:O,'Students ("&amp;"Vertical)'!C:C=B592,'Students (Vertical)'!O:O&lt;&gt;"""");filter('Students (Vertical)'!O:O,'Students (Vertical)'!C:C=E592,'Students (Vertical)'!O:O&lt;&gt;"""")})&gt;1))),""No shared courses""),"""")"),"")</f>
        <v/>
      </c>
      <c r="J592" s="357" t="str">
        <f>IFERROR(__xludf.DUMMYFUNCTION("if(H592=""Can't be Together"",iferror(join("", "",unique(filter({filter('Students (Vertical)'!O:O,'Students (Vertical)'!C:C=B592,'Students (Vertical)'!O:O&lt;&gt;"""",'Students (Vertical)'!P:P&gt;1);filter('Students (Vertical)'!O:O,'Students (Vertical)'!C:C=E592,'"&amp;"Students (Vertical)'!O:O&lt;&gt;"""",'Students (Vertical)'!P:P&gt;1)},countifs({filter('Students (Vertical)'!O:O,'Students (Vertical)'!C:C=B592,'Students (Vertical)'!O:O&lt;&gt;"""",'Students (Vertical)'!P:P&gt;1);filter('Students (Vertical)'!O:O,'Students (Vertical)'!C:C="&amp;"E592,'Students (Vertical)'!O:O&lt;&gt;"""",'Students (Vertical)'!P:P&gt;1)},{filter('Students (Vertical)'!O:O,'Students (Vertical)'!C:C=B592,'Students (Vertical)'!O:O&lt;&gt;"""",'Students (Vertical)'!P:P&gt;1);filter('Students (Vertical)'!O:O,'Students (Vertical)'!C:C=E59"&amp;"2,'Students (Vertical)'!O:O&lt;&gt;"""",'Students (Vertical)'!P:P&gt;1)})&gt;1))),""""),"""")"),"")</f>
        <v/>
      </c>
      <c r="K592" s="358"/>
    </row>
    <row r="593">
      <c r="A593" s="300" t="s">
        <v>22</v>
      </c>
      <c r="C593" s="300" t="s">
        <v>22</v>
      </c>
      <c r="D593" s="300" t="s">
        <v>22</v>
      </c>
      <c r="F593" s="300" t="s">
        <v>22</v>
      </c>
      <c r="G593" s="300" t="s">
        <v>22</v>
      </c>
      <c r="I593" s="356" t="str">
        <f>IFERROR(__xludf.DUMMYFUNCTION("if(H593=""Must be Together"",iferror(join("", "",unique(filter({filter('Students (Vertical)'!O:O,'Students (Vertical)'!C:C=B593,'Students (Vertical)'!O:O&lt;&gt;"""");filter('Students (Vertical)'!O:O,'Students (Vertical)'!C:C=E593,'Students (Vertical)'!O:O&lt;&gt;"""&amp;""")},countifs({filter('Students (Vertical)'!O:O,'Students (Vertical)'!C:C=B593,'Students (Vertical)'!O:O&lt;&gt;"""");filter('Students (Vertical)'!O:O,'Students (Vertical)'!C:C=E593,'Students (Vertical)'!O:O&lt;&gt;"""")},{filter('Students (Vertical)'!O:O,'Students ("&amp;"Vertical)'!C:C=B593,'Students (Vertical)'!O:O&lt;&gt;"""");filter('Students (Vertical)'!O:O,'Students (Vertical)'!C:C=E593,'Students (Vertical)'!O:O&lt;&gt;"""")})&gt;1))),""No shared courses""),"""")"),"")</f>
        <v/>
      </c>
      <c r="J593" s="357" t="str">
        <f>IFERROR(__xludf.DUMMYFUNCTION("if(H593=""Can't be Together"",iferror(join("", "",unique(filter({filter('Students (Vertical)'!O:O,'Students (Vertical)'!C:C=B593,'Students (Vertical)'!O:O&lt;&gt;"""",'Students (Vertical)'!P:P&gt;1);filter('Students (Vertical)'!O:O,'Students (Vertical)'!C:C=E593,'"&amp;"Students (Vertical)'!O:O&lt;&gt;"""",'Students (Vertical)'!P:P&gt;1)},countifs({filter('Students (Vertical)'!O:O,'Students (Vertical)'!C:C=B593,'Students (Vertical)'!O:O&lt;&gt;"""",'Students (Vertical)'!P:P&gt;1);filter('Students (Vertical)'!O:O,'Students (Vertical)'!C:C="&amp;"E593,'Students (Vertical)'!O:O&lt;&gt;"""",'Students (Vertical)'!P:P&gt;1)},{filter('Students (Vertical)'!O:O,'Students (Vertical)'!C:C=B593,'Students (Vertical)'!O:O&lt;&gt;"""",'Students (Vertical)'!P:P&gt;1);filter('Students (Vertical)'!O:O,'Students (Vertical)'!C:C=E59"&amp;"3,'Students (Vertical)'!O:O&lt;&gt;"""",'Students (Vertical)'!P:P&gt;1)})&gt;1))),""""),"""")"),"")</f>
        <v/>
      </c>
      <c r="K593" s="358"/>
    </row>
    <row r="594">
      <c r="A594" s="300" t="s">
        <v>22</v>
      </c>
      <c r="C594" s="300" t="s">
        <v>22</v>
      </c>
      <c r="D594" s="300" t="s">
        <v>22</v>
      </c>
      <c r="F594" s="300" t="s">
        <v>22</v>
      </c>
      <c r="G594" s="300" t="s">
        <v>22</v>
      </c>
      <c r="I594" s="356" t="str">
        <f>IFERROR(__xludf.DUMMYFUNCTION("if(H594=""Must be Together"",iferror(join("", "",unique(filter({filter('Students (Vertical)'!O:O,'Students (Vertical)'!C:C=B594,'Students (Vertical)'!O:O&lt;&gt;"""");filter('Students (Vertical)'!O:O,'Students (Vertical)'!C:C=E594,'Students (Vertical)'!O:O&lt;&gt;"""&amp;""")},countifs({filter('Students (Vertical)'!O:O,'Students (Vertical)'!C:C=B594,'Students (Vertical)'!O:O&lt;&gt;"""");filter('Students (Vertical)'!O:O,'Students (Vertical)'!C:C=E594,'Students (Vertical)'!O:O&lt;&gt;"""")},{filter('Students (Vertical)'!O:O,'Students ("&amp;"Vertical)'!C:C=B594,'Students (Vertical)'!O:O&lt;&gt;"""");filter('Students (Vertical)'!O:O,'Students (Vertical)'!C:C=E594,'Students (Vertical)'!O:O&lt;&gt;"""")})&gt;1))),""No shared courses""),"""")"),"")</f>
        <v/>
      </c>
      <c r="J594" s="357" t="str">
        <f>IFERROR(__xludf.DUMMYFUNCTION("if(H594=""Can't be Together"",iferror(join("", "",unique(filter({filter('Students (Vertical)'!O:O,'Students (Vertical)'!C:C=B594,'Students (Vertical)'!O:O&lt;&gt;"""",'Students (Vertical)'!P:P&gt;1);filter('Students (Vertical)'!O:O,'Students (Vertical)'!C:C=E594,'"&amp;"Students (Vertical)'!O:O&lt;&gt;"""",'Students (Vertical)'!P:P&gt;1)},countifs({filter('Students (Vertical)'!O:O,'Students (Vertical)'!C:C=B594,'Students (Vertical)'!O:O&lt;&gt;"""",'Students (Vertical)'!P:P&gt;1);filter('Students (Vertical)'!O:O,'Students (Vertical)'!C:C="&amp;"E594,'Students (Vertical)'!O:O&lt;&gt;"""",'Students (Vertical)'!P:P&gt;1)},{filter('Students (Vertical)'!O:O,'Students (Vertical)'!C:C=B594,'Students (Vertical)'!O:O&lt;&gt;"""",'Students (Vertical)'!P:P&gt;1);filter('Students (Vertical)'!O:O,'Students (Vertical)'!C:C=E59"&amp;"4,'Students (Vertical)'!O:O&lt;&gt;"""",'Students (Vertical)'!P:P&gt;1)})&gt;1))),""""),"""")"),"")</f>
        <v/>
      </c>
      <c r="K594" s="358"/>
    </row>
    <row r="595">
      <c r="A595" s="300" t="s">
        <v>22</v>
      </c>
      <c r="C595" s="300" t="s">
        <v>22</v>
      </c>
      <c r="D595" s="300" t="s">
        <v>22</v>
      </c>
      <c r="F595" s="300" t="s">
        <v>22</v>
      </c>
      <c r="G595" s="300" t="s">
        <v>22</v>
      </c>
      <c r="I595" s="356" t="str">
        <f>IFERROR(__xludf.DUMMYFUNCTION("if(H595=""Must be Together"",iferror(join("", "",unique(filter({filter('Students (Vertical)'!O:O,'Students (Vertical)'!C:C=B595,'Students (Vertical)'!O:O&lt;&gt;"""");filter('Students (Vertical)'!O:O,'Students (Vertical)'!C:C=E595,'Students (Vertical)'!O:O&lt;&gt;"""&amp;""")},countifs({filter('Students (Vertical)'!O:O,'Students (Vertical)'!C:C=B595,'Students (Vertical)'!O:O&lt;&gt;"""");filter('Students (Vertical)'!O:O,'Students (Vertical)'!C:C=E595,'Students (Vertical)'!O:O&lt;&gt;"""")},{filter('Students (Vertical)'!O:O,'Students ("&amp;"Vertical)'!C:C=B595,'Students (Vertical)'!O:O&lt;&gt;"""");filter('Students (Vertical)'!O:O,'Students (Vertical)'!C:C=E595,'Students (Vertical)'!O:O&lt;&gt;"""")})&gt;1))),""No shared courses""),"""")"),"")</f>
        <v/>
      </c>
      <c r="J595" s="357" t="str">
        <f>IFERROR(__xludf.DUMMYFUNCTION("if(H595=""Can't be Together"",iferror(join("", "",unique(filter({filter('Students (Vertical)'!O:O,'Students (Vertical)'!C:C=B595,'Students (Vertical)'!O:O&lt;&gt;"""",'Students (Vertical)'!P:P&gt;1);filter('Students (Vertical)'!O:O,'Students (Vertical)'!C:C=E595,'"&amp;"Students (Vertical)'!O:O&lt;&gt;"""",'Students (Vertical)'!P:P&gt;1)},countifs({filter('Students (Vertical)'!O:O,'Students (Vertical)'!C:C=B595,'Students (Vertical)'!O:O&lt;&gt;"""",'Students (Vertical)'!P:P&gt;1);filter('Students (Vertical)'!O:O,'Students (Vertical)'!C:C="&amp;"E595,'Students (Vertical)'!O:O&lt;&gt;"""",'Students (Vertical)'!P:P&gt;1)},{filter('Students (Vertical)'!O:O,'Students (Vertical)'!C:C=B595,'Students (Vertical)'!O:O&lt;&gt;"""",'Students (Vertical)'!P:P&gt;1);filter('Students (Vertical)'!O:O,'Students (Vertical)'!C:C=E59"&amp;"5,'Students (Vertical)'!O:O&lt;&gt;"""",'Students (Vertical)'!P:P&gt;1)})&gt;1))),""""),"""")"),"")</f>
        <v/>
      </c>
      <c r="K595" s="358"/>
    </row>
    <row r="596">
      <c r="A596" s="300" t="s">
        <v>22</v>
      </c>
      <c r="C596" s="300" t="s">
        <v>22</v>
      </c>
      <c r="D596" s="300" t="s">
        <v>22</v>
      </c>
      <c r="F596" s="300" t="s">
        <v>22</v>
      </c>
      <c r="G596" s="300" t="s">
        <v>22</v>
      </c>
      <c r="I596" s="356" t="str">
        <f>IFERROR(__xludf.DUMMYFUNCTION("if(H596=""Must be Together"",iferror(join("", "",unique(filter({filter('Students (Vertical)'!O:O,'Students (Vertical)'!C:C=B596,'Students (Vertical)'!O:O&lt;&gt;"""");filter('Students (Vertical)'!O:O,'Students (Vertical)'!C:C=E596,'Students (Vertical)'!O:O&lt;&gt;"""&amp;""")},countifs({filter('Students (Vertical)'!O:O,'Students (Vertical)'!C:C=B596,'Students (Vertical)'!O:O&lt;&gt;"""");filter('Students (Vertical)'!O:O,'Students (Vertical)'!C:C=E596,'Students (Vertical)'!O:O&lt;&gt;"""")},{filter('Students (Vertical)'!O:O,'Students ("&amp;"Vertical)'!C:C=B596,'Students (Vertical)'!O:O&lt;&gt;"""");filter('Students (Vertical)'!O:O,'Students (Vertical)'!C:C=E596,'Students (Vertical)'!O:O&lt;&gt;"""")})&gt;1))),""No shared courses""),"""")"),"")</f>
        <v/>
      </c>
      <c r="J596" s="357" t="str">
        <f>IFERROR(__xludf.DUMMYFUNCTION("if(H596=""Can't be Together"",iferror(join("", "",unique(filter({filter('Students (Vertical)'!O:O,'Students (Vertical)'!C:C=B596,'Students (Vertical)'!O:O&lt;&gt;"""",'Students (Vertical)'!P:P&gt;1);filter('Students (Vertical)'!O:O,'Students (Vertical)'!C:C=E596,'"&amp;"Students (Vertical)'!O:O&lt;&gt;"""",'Students (Vertical)'!P:P&gt;1)},countifs({filter('Students (Vertical)'!O:O,'Students (Vertical)'!C:C=B596,'Students (Vertical)'!O:O&lt;&gt;"""",'Students (Vertical)'!P:P&gt;1);filter('Students (Vertical)'!O:O,'Students (Vertical)'!C:C="&amp;"E596,'Students (Vertical)'!O:O&lt;&gt;"""",'Students (Vertical)'!P:P&gt;1)},{filter('Students (Vertical)'!O:O,'Students (Vertical)'!C:C=B596,'Students (Vertical)'!O:O&lt;&gt;"""",'Students (Vertical)'!P:P&gt;1);filter('Students (Vertical)'!O:O,'Students (Vertical)'!C:C=E59"&amp;"6,'Students (Vertical)'!O:O&lt;&gt;"""",'Students (Vertical)'!P:P&gt;1)})&gt;1))),""""),"""")"),"")</f>
        <v/>
      </c>
      <c r="K596" s="358"/>
    </row>
    <row r="597">
      <c r="A597" s="300" t="s">
        <v>22</v>
      </c>
      <c r="C597" s="300" t="s">
        <v>22</v>
      </c>
      <c r="D597" s="300" t="s">
        <v>22</v>
      </c>
      <c r="F597" s="300" t="s">
        <v>22</v>
      </c>
      <c r="G597" s="300" t="s">
        <v>22</v>
      </c>
      <c r="I597" s="356" t="str">
        <f>IFERROR(__xludf.DUMMYFUNCTION("if(H597=""Must be Together"",iferror(join("", "",unique(filter({filter('Students (Vertical)'!O:O,'Students (Vertical)'!C:C=B597,'Students (Vertical)'!O:O&lt;&gt;"""");filter('Students (Vertical)'!O:O,'Students (Vertical)'!C:C=E597,'Students (Vertical)'!O:O&lt;&gt;"""&amp;""")},countifs({filter('Students (Vertical)'!O:O,'Students (Vertical)'!C:C=B597,'Students (Vertical)'!O:O&lt;&gt;"""");filter('Students (Vertical)'!O:O,'Students (Vertical)'!C:C=E597,'Students (Vertical)'!O:O&lt;&gt;"""")},{filter('Students (Vertical)'!O:O,'Students ("&amp;"Vertical)'!C:C=B597,'Students (Vertical)'!O:O&lt;&gt;"""");filter('Students (Vertical)'!O:O,'Students (Vertical)'!C:C=E597,'Students (Vertical)'!O:O&lt;&gt;"""")})&gt;1))),""No shared courses""),"""")"),"")</f>
        <v/>
      </c>
      <c r="J597" s="357" t="str">
        <f>IFERROR(__xludf.DUMMYFUNCTION("if(H597=""Can't be Together"",iferror(join("", "",unique(filter({filter('Students (Vertical)'!O:O,'Students (Vertical)'!C:C=B597,'Students (Vertical)'!O:O&lt;&gt;"""",'Students (Vertical)'!P:P&gt;1);filter('Students (Vertical)'!O:O,'Students (Vertical)'!C:C=E597,'"&amp;"Students (Vertical)'!O:O&lt;&gt;"""",'Students (Vertical)'!P:P&gt;1)},countifs({filter('Students (Vertical)'!O:O,'Students (Vertical)'!C:C=B597,'Students (Vertical)'!O:O&lt;&gt;"""",'Students (Vertical)'!P:P&gt;1);filter('Students (Vertical)'!O:O,'Students (Vertical)'!C:C="&amp;"E597,'Students (Vertical)'!O:O&lt;&gt;"""",'Students (Vertical)'!P:P&gt;1)},{filter('Students (Vertical)'!O:O,'Students (Vertical)'!C:C=B597,'Students (Vertical)'!O:O&lt;&gt;"""",'Students (Vertical)'!P:P&gt;1);filter('Students (Vertical)'!O:O,'Students (Vertical)'!C:C=E59"&amp;"7,'Students (Vertical)'!O:O&lt;&gt;"""",'Students (Vertical)'!P:P&gt;1)})&gt;1))),""""),"""")"),"")</f>
        <v/>
      </c>
      <c r="K597" s="358"/>
    </row>
    <row r="598">
      <c r="A598" s="300" t="s">
        <v>22</v>
      </c>
      <c r="C598" s="300" t="s">
        <v>22</v>
      </c>
      <c r="D598" s="300" t="s">
        <v>22</v>
      </c>
      <c r="F598" s="300" t="s">
        <v>22</v>
      </c>
      <c r="G598" s="300" t="s">
        <v>22</v>
      </c>
      <c r="I598" s="356" t="str">
        <f>IFERROR(__xludf.DUMMYFUNCTION("if(H598=""Must be Together"",iferror(join("", "",unique(filter({filter('Students (Vertical)'!O:O,'Students (Vertical)'!C:C=B598,'Students (Vertical)'!O:O&lt;&gt;"""");filter('Students (Vertical)'!O:O,'Students (Vertical)'!C:C=E598,'Students (Vertical)'!O:O&lt;&gt;"""&amp;""")},countifs({filter('Students (Vertical)'!O:O,'Students (Vertical)'!C:C=B598,'Students (Vertical)'!O:O&lt;&gt;"""");filter('Students (Vertical)'!O:O,'Students (Vertical)'!C:C=E598,'Students (Vertical)'!O:O&lt;&gt;"""")},{filter('Students (Vertical)'!O:O,'Students ("&amp;"Vertical)'!C:C=B598,'Students (Vertical)'!O:O&lt;&gt;"""");filter('Students (Vertical)'!O:O,'Students (Vertical)'!C:C=E598,'Students (Vertical)'!O:O&lt;&gt;"""")})&gt;1))),""No shared courses""),"""")"),"")</f>
        <v/>
      </c>
      <c r="J598" s="357" t="str">
        <f>IFERROR(__xludf.DUMMYFUNCTION("if(H598=""Can't be Together"",iferror(join("", "",unique(filter({filter('Students (Vertical)'!O:O,'Students (Vertical)'!C:C=B598,'Students (Vertical)'!O:O&lt;&gt;"""",'Students (Vertical)'!P:P&gt;1);filter('Students (Vertical)'!O:O,'Students (Vertical)'!C:C=E598,'"&amp;"Students (Vertical)'!O:O&lt;&gt;"""",'Students (Vertical)'!P:P&gt;1)},countifs({filter('Students (Vertical)'!O:O,'Students (Vertical)'!C:C=B598,'Students (Vertical)'!O:O&lt;&gt;"""",'Students (Vertical)'!P:P&gt;1);filter('Students (Vertical)'!O:O,'Students (Vertical)'!C:C="&amp;"E598,'Students (Vertical)'!O:O&lt;&gt;"""",'Students (Vertical)'!P:P&gt;1)},{filter('Students (Vertical)'!O:O,'Students (Vertical)'!C:C=B598,'Students (Vertical)'!O:O&lt;&gt;"""",'Students (Vertical)'!P:P&gt;1);filter('Students (Vertical)'!O:O,'Students (Vertical)'!C:C=E59"&amp;"8,'Students (Vertical)'!O:O&lt;&gt;"""",'Students (Vertical)'!P:P&gt;1)})&gt;1))),""""),"""")"),"")</f>
        <v/>
      </c>
      <c r="K598" s="358"/>
    </row>
    <row r="599">
      <c r="A599" s="300" t="s">
        <v>22</v>
      </c>
      <c r="C599" s="300" t="s">
        <v>22</v>
      </c>
      <c r="D599" s="300" t="s">
        <v>22</v>
      </c>
      <c r="F599" s="300" t="s">
        <v>22</v>
      </c>
      <c r="G599" s="300" t="s">
        <v>22</v>
      </c>
      <c r="I599" s="356" t="str">
        <f>IFERROR(__xludf.DUMMYFUNCTION("if(H599=""Must be Together"",iferror(join("", "",unique(filter({filter('Students (Vertical)'!O:O,'Students (Vertical)'!C:C=B599,'Students (Vertical)'!O:O&lt;&gt;"""");filter('Students (Vertical)'!O:O,'Students (Vertical)'!C:C=E599,'Students (Vertical)'!O:O&lt;&gt;"""&amp;""")},countifs({filter('Students (Vertical)'!O:O,'Students (Vertical)'!C:C=B599,'Students (Vertical)'!O:O&lt;&gt;"""");filter('Students (Vertical)'!O:O,'Students (Vertical)'!C:C=E599,'Students (Vertical)'!O:O&lt;&gt;"""")},{filter('Students (Vertical)'!O:O,'Students ("&amp;"Vertical)'!C:C=B599,'Students (Vertical)'!O:O&lt;&gt;"""");filter('Students (Vertical)'!O:O,'Students (Vertical)'!C:C=E599,'Students (Vertical)'!O:O&lt;&gt;"""")})&gt;1))),""No shared courses""),"""")"),"")</f>
        <v/>
      </c>
      <c r="J599" s="357" t="str">
        <f>IFERROR(__xludf.DUMMYFUNCTION("if(H599=""Can't be Together"",iferror(join("", "",unique(filter({filter('Students (Vertical)'!O:O,'Students (Vertical)'!C:C=B599,'Students (Vertical)'!O:O&lt;&gt;"""",'Students (Vertical)'!P:P&gt;1);filter('Students (Vertical)'!O:O,'Students (Vertical)'!C:C=E599,'"&amp;"Students (Vertical)'!O:O&lt;&gt;"""",'Students (Vertical)'!P:P&gt;1)},countifs({filter('Students (Vertical)'!O:O,'Students (Vertical)'!C:C=B599,'Students (Vertical)'!O:O&lt;&gt;"""",'Students (Vertical)'!P:P&gt;1);filter('Students (Vertical)'!O:O,'Students (Vertical)'!C:C="&amp;"E599,'Students (Vertical)'!O:O&lt;&gt;"""",'Students (Vertical)'!P:P&gt;1)},{filter('Students (Vertical)'!O:O,'Students (Vertical)'!C:C=B599,'Students (Vertical)'!O:O&lt;&gt;"""",'Students (Vertical)'!P:P&gt;1);filter('Students (Vertical)'!O:O,'Students (Vertical)'!C:C=E59"&amp;"9,'Students (Vertical)'!O:O&lt;&gt;"""",'Students (Vertical)'!P:P&gt;1)})&gt;1))),""""),"""")"),"")</f>
        <v/>
      </c>
      <c r="K599" s="358"/>
    </row>
    <row r="600">
      <c r="A600" s="300" t="s">
        <v>22</v>
      </c>
      <c r="C600" s="300" t="s">
        <v>22</v>
      </c>
      <c r="D600" s="300" t="s">
        <v>22</v>
      </c>
      <c r="F600" s="300" t="s">
        <v>22</v>
      </c>
      <c r="G600" s="300" t="s">
        <v>22</v>
      </c>
      <c r="I600" s="356" t="str">
        <f>IFERROR(__xludf.DUMMYFUNCTION("if(H600=""Must be Together"",iferror(join("", "",unique(filter({filter('Students (Vertical)'!O:O,'Students (Vertical)'!C:C=B600,'Students (Vertical)'!O:O&lt;&gt;"""");filter('Students (Vertical)'!O:O,'Students (Vertical)'!C:C=E600,'Students (Vertical)'!O:O&lt;&gt;"""&amp;""")},countifs({filter('Students (Vertical)'!O:O,'Students (Vertical)'!C:C=B600,'Students (Vertical)'!O:O&lt;&gt;"""");filter('Students (Vertical)'!O:O,'Students (Vertical)'!C:C=E600,'Students (Vertical)'!O:O&lt;&gt;"""")},{filter('Students (Vertical)'!O:O,'Students ("&amp;"Vertical)'!C:C=B600,'Students (Vertical)'!O:O&lt;&gt;"""");filter('Students (Vertical)'!O:O,'Students (Vertical)'!C:C=E600,'Students (Vertical)'!O:O&lt;&gt;"""")})&gt;1))),""No shared courses""),"""")"),"")</f>
        <v/>
      </c>
      <c r="J600" s="357" t="str">
        <f>IFERROR(__xludf.DUMMYFUNCTION("if(H600=""Can't be Together"",iferror(join("", "",unique(filter({filter('Students (Vertical)'!O:O,'Students (Vertical)'!C:C=B600,'Students (Vertical)'!O:O&lt;&gt;"""",'Students (Vertical)'!P:P&gt;1);filter('Students (Vertical)'!O:O,'Students (Vertical)'!C:C=E600,'"&amp;"Students (Vertical)'!O:O&lt;&gt;"""",'Students (Vertical)'!P:P&gt;1)},countifs({filter('Students (Vertical)'!O:O,'Students (Vertical)'!C:C=B600,'Students (Vertical)'!O:O&lt;&gt;"""",'Students (Vertical)'!P:P&gt;1);filter('Students (Vertical)'!O:O,'Students (Vertical)'!C:C="&amp;"E600,'Students (Vertical)'!O:O&lt;&gt;"""",'Students (Vertical)'!P:P&gt;1)},{filter('Students (Vertical)'!O:O,'Students (Vertical)'!C:C=B600,'Students (Vertical)'!O:O&lt;&gt;"""",'Students (Vertical)'!P:P&gt;1);filter('Students (Vertical)'!O:O,'Students (Vertical)'!C:C=E60"&amp;"0,'Students (Vertical)'!O:O&lt;&gt;"""",'Students (Vertical)'!P:P&gt;1)})&gt;1))),""""),"""")"),"")</f>
        <v/>
      </c>
      <c r="K600" s="358"/>
    </row>
    <row r="601">
      <c r="A601" s="300" t="s">
        <v>22</v>
      </c>
      <c r="C601" s="300" t="s">
        <v>22</v>
      </c>
      <c r="D601" s="300" t="s">
        <v>22</v>
      </c>
      <c r="F601" s="300" t="s">
        <v>22</v>
      </c>
      <c r="G601" s="300" t="s">
        <v>22</v>
      </c>
      <c r="I601" s="356" t="str">
        <f>IFERROR(__xludf.DUMMYFUNCTION("if(H601=""Must be Together"",iferror(join("", "",unique(filter({filter('Students (Vertical)'!O:O,'Students (Vertical)'!C:C=B601,'Students (Vertical)'!O:O&lt;&gt;"""");filter('Students (Vertical)'!O:O,'Students (Vertical)'!C:C=E601,'Students (Vertical)'!O:O&lt;&gt;"""&amp;""")},countifs({filter('Students (Vertical)'!O:O,'Students (Vertical)'!C:C=B601,'Students (Vertical)'!O:O&lt;&gt;"""");filter('Students (Vertical)'!O:O,'Students (Vertical)'!C:C=E601,'Students (Vertical)'!O:O&lt;&gt;"""")},{filter('Students (Vertical)'!O:O,'Students ("&amp;"Vertical)'!C:C=B601,'Students (Vertical)'!O:O&lt;&gt;"""");filter('Students (Vertical)'!O:O,'Students (Vertical)'!C:C=E601,'Students (Vertical)'!O:O&lt;&gt;"""")})&gt;1))),""No shared courses""),"""")"),"")</f>
        <v/>
      </c>
      <c r="J601" s="357" t="str">
        <f>IFERROR(__xludf.DUMMYFUNCTION("if(H601=""Can't be Together"",iferror(join("", "",unique(filter({filter('Students (Vertical)'!O:O,'Students (Vertical)'!C:C=B601,'Students (Vertical)'!O:O&lt;&gt;"""",'Students (Vertical)'!P:P&gt;1);filter('Students (Vertical)'!O:O,'Students (Vertical)'!C:C=E601,'"&amp;"Students (Vertical)'!O:O&lt;&gt;"""",'Students (Vertical)'!P:P&gt;1)},countifs({filter('Students (Vertical)'!O:O,'Students (Vertical)'!C:C=B601,'Students (Vertical)'!O:O&lt;&gt;"""",'Students (Vertical)'!P:P&gt;1);filter('Students (Vertical)'!O:O,'Students (Vertical)'!C:C="&amp;"E601,'Students (Vertical)'!O:O&lt;&gt;"""",'Students (Vertical)'!P:P&gt;1)},{filter('Students (Vertical)'!O:O,'Students (Vertical)'!C:C=B601,'Students (Vertical)'!O:O&lt;&gt;"""",'Students (Vertical)'!P:P&gt;1);filter('Students (Vertical)'!O:O,'Students (Vertical)'!C:C=E60"&amp;"1,'Students (Vertical)'!O:O&lt;&gt;"""",'Students (Vertical)'!P:P&gt;1)})&gt;1))),""""),"""")"),"")</f>
        <v/>
      </c>
      <c r="K601" s="358"/>
    </row>
    <row r="602">
      <c r="A602" s="300" t="s">
        <v>22</v>
      </c>
      <c r="C602" s="300" t="s">
        <v>22</v>
      </c>
      <c r="D602" s="300" t="s">
        <v>22</v>
      </c>
      <c r="F602" s="300" t="s">
        <v>22</v>
      </c>
      <c r="G602" s="300" t="s">
        <v>22</v>
      </c>
      <c r="I602" s="356" t="str">
        <f>IFERROR(__xludf.DUMMYFUNCTION("if(H602=""Must be Together"",iferror(join("", "",unique(filter({filter('Students (Vertical)'!O:O,'Students (Vertical)'!C:C=B602,'Students (Vertical)'!O:O&lt;&gt;"""");filter('Students (Vertical)'!O:O,'Students (Vertical)'!C:C=E602,'Students (Vertical)'!O:O&lt;&gt;"""&amp;""")},countifs({filter('Students (Vertical)'!O:O,'Students (Vertical)'!C:C=B602,'Students (Vertical)'!O:O&lt;&gt;"""");filter('Students (Vertical)'!O:O,'Students (Vertical)'!C:C=E602,'Students (Vertical)'!O:O&lt;&gt;"""")},{filter('Students (Vertical)'!O:O,'Students ("&amp;"Vertical)'!C:C=B602,'Students (Vertical)'!O:O&lt;&gt;"""");filter('Students (Vertical)'!O:O,'Students (Vertical)'!C:C=E602,'Students (Vertical)'!O:O&lt;&gt;"""")})&gt;1))),""No shared courses""),"""")"),"")</f>
        <v/>
      </c>
      <c r="J602" s="357" t="str">
        <f>IFERROR(__xludf.DUMMYFUNCTION("if(H602=""Can't be Together"",iferror(join("", "",unique(filter({filter('Students (Vertical)'!O:O,'Students (Vertical)'!C:C=B602,'Students (Vertical)'!O:O&lt;&gt;"""",'Students (Vertical)'!P:P&gt;1);filter('Students (Vertical)'!O:O,'Students (Vertical)'!C:C=E602,'"&amp;"Students (Vertical)'!O:O&lt;&gt;"""",'Students (Vertical)'!P:P&gt;1)},countifs({filter('Students (Vertical)'!O:O,'Students (Vertical)'!C:C=B602,'Students (Vertical)'!O:O&lt;&gt;"""",'Students (Vertical)'!P:P&gt;1);filter('Students (Vertical)'!O:O,'Students (Vertical)'!C:C="&amp;"E602,'Students (Vertical)'!O:O&lt;&gt;"""",'Students (Vertical)'!P:P&gt;1)},{filter('Students (Vertical)'!O:O,'Students (Vertical)'!C:C=B602,'Students (Vertical)'!O:O&lt;&gt;"""",'Students (Vertical)'!P:P&gt;1);filter('Students (Vertical)'!O:O,'Students (Vertical)'!C:C=E60"&amp;"2,'Students (Vertical)'!O:O&lt;&gt;"""",'Students (Vertical)'!P:P&gt;1)})&gt;1))),""""),"""")"),"")</f>
        <v/>
      </c>
      <c r="K602" s="358"/>
    </row>
    <row r="603">
      <c r="A603" s="300" t="s">
        <v>22</v>
      </c>
      <c r="C603" s="300" t="s">
        <v>22</v>
      </c>
      <c r="D603" s="300" t="s">
        <v>22</v>
      </c>
      <c r="F603" s="300" t="s">
        <v>22</v>
      </c>
      <c r="G603" s="300" t="s">
        <v>22</v>
      </c>
      <c r="I603" s="356" t="str">
        <f>IFERROR(__xludf.DUMMYFUNCTION("if(H603=""Must be Together"",iferror(join("", "",unique(filter({filter('Students (Vertical)'!O:O,'Students (Vertical)'!C:C=B603,'Students (Vertical)'!O:O&lt;&gt;"""");filter('Students (Vertical)'!O:O,'Students (Vertical)'!C:C=E603,'Students (Vertical)'!O:O&lt;&gt;"""&amp;""")},countifs({filter('Students (Vertical)'!O:O,'Students (Vertical)'!C:C=B603,'Students (Vertical)'!O:O&lt;&gt;"""");filter('Students (Vertical)'!O:O,'Students (Vertical)'!C:C=E603,'Students (Vertical)'!O:O&lt;&gt;"""")},{filter('Students (Vertical)'!O:O,'Students ("&amp;"Vertical)'!C:C=B603,'Students (Vertical)'!O:O&lt;&gt;"""");filter('Students (Vertical)'!O:O,'Students (Vertical)'!C:C=E603,'Students (Vertical)'!O:O&lt;&gt;"""")})&gt;1))),""No shared courses""),"""")"),"")</f>
        <v/>
      </c>
      <c r="J603" s="357" t="str">
        <f>IFERROR(__xludf.DUMMYFUNCTION("if(H603=""Can't be Together"",iferror(join("", "",unique(filter({filter('Students (Vertical)'!O:O,'Students (Vertical)'!C:C=B603,'Students (Vertical)'!O:O&lt;&gt;"""",'Students (Vertical)'!P:P&gt;1);filter('Students (Vertical)'!O:O,'Students (Vertical)'!C:C=E603,'"&amp;"Students (Vertical)'!O:O&lt;&gt;"""",'Students (Vertical)'!P:P&gt;1)},countifs({filter('Students (Vertical)'!O:O,'Students (Vertical)'!C:C=B603,'Students (Vertical)'!O:O&lt;&gt;"""",'Students (Vertical)'!P:P&gt;1);filter('Students (Vertical)'!O:O,'Students (Vertical)'!C:C="&amp;"E603,'Students (Vertical)'!O:O&lt;&gt;"""",'Students (Vertical)'!P:P&gt;1)},{filter('Students (Vertical)'!O:O,'Students (Vertical)'!C:C=B603,'Students (Vertical)'!O:O&lt;&gt;"""",'Students (Vertical)'!P:P&gt;1);filter('Students (Vertical)'!O:O,'Students (Vertical)'!C:C=E60"&amp;"3,'Students (Vertical)'!O:O&lt;&gt;"""",'Students (Vertical)'!P:P&gt;1)})&gt;1))),""""),"""")"),"")</f>
        <v/>
      </c>
      <c r="K603" s="358"/>
    </row>
    <row r="604">
      <c r="A604" s="300" t="s">
        <v>22</v>
      </c>
      <c r="C604" s="300" t="s">
        <v>22</v>
      </c>
      <c r="D604" s="300" t="s">
        <v>22</v>
      </c>
      <c r="F604" s="300" t="s">
        <v>22</v>
      </c>
      <c r="G604" s="300" t="s">
        <v>22</v>
      </c>
      <c r="I604" s="356" t="str">
        <f>IFERROR(__xludf.DUMMYFUNCTION("if(H604=""Must be Together"",iferror(join("", "",unique(filter({filter('Students (Vertical)'!O:O,'Students (Vertical)'!C:C=B604,'Students (Vertical)'!O:O&lt;&gt;"""");filter('Students (Vertical)'!O:O,'Students (Vertical)'!C:C=E604,'Students (Vertical)'!O:O&lt;&gt;"""&amp;""")},countifs({filter('Students (Vertical)'!O:O,'Students (Vertical)'!C:C=B604,'Students (Vertical)'!O:O&lt;&gt;"""");filter('Students (Vertical)'!O:O,'Students (Vertical)'!C:C=E604,'Students (Vertical)'!O:O&lt;&gt;"""")},{filter('Students (Vertical)'!O:O,'Students ("&amp;"Vertical)'!C:C=B604,'Students (Vertical)'!O:O&lt;&gt;"""");filter('Students (Vertical)'!O:O,'Students (Vertical)'!C:C=E604,'Students (Vertical)'!O:O&lt;&gt;"""")})&gt;1))),""No shared courses""),"""")"),"")</f>
        <v/>
      </c>
      <c r="J604" s="357" t="str">
        <f>IFERROR(__xludf.DUMMYFUNCTION("if(H604=""Can't be Together"",iferror(join("", "",unique(filter({filter('Students (Vertical)'!O:O,'Students (Vertical)'!C:C=B604,'Students (Vertical)'!O:O&lt;&gt;"""",'Students (Vertical)'!P:P&gt;1);filter('Students (Vertical)'!O:O,'Students (Vertical)'!C:C=E604,'"&amp;"Students (Vertical)'!O:O&lt;&gt;"""",'Students (Vertical)'!P:P&gt;1)},countifs({filter('Students (Vertical)'!O:O,'Students (Vertical)'!C:C=B604,'Students (Vertical)'!O:O&lt;&gt;"""",'Students (Vertical)'!P:P&gt;1);filter('Students (Vertical)'!O:O,'Students (Vertical)'!C:C="&amp;"E604,'Students (Vertical)'!O:O&lt;&gt;"""",'Students (Vertical)'!P:P&gt;1)},{filter('Students (Vertical)'!O:O,'Students (Vertical)'!C:C=B604,'Students (Vertical)'!O:O&lt;&gt;"""",'Students (Vertical)'!P:P&gt;1);filter('Students (Vertical)'!O:O,'Students (Vertical)'!C:C=E60"&amp;"4,'Students (Vertical)'!O:O&lt;&gt;"""",'Students (Vertical)'!P:P&gt;1)})&gt;1))),""""),"""")"),"")</f>
        <v/>
      </c>
      <c r="K604" s="358"/>
    </row>
    <row r="605">
      <c r="A605" s="300" t="s">
        <v>22</v>
      </c>
      <c r="C605" s="300" t="s">
        <v>22</v>
      </c>
      <c r="D605" s="300" t="s">
        <v>22</v>
      </c>
      <c r="F605" s="300" t="s">
        <v>22</v>
      </c>
      <c r="G605" s="300" t="s">
        <v>22</v>
      </c>
      <c r="I605" s="356" t="str">
        <f>IFERROR(__xludf.DUMMYFUNCTION("if(H605=""Must be Together"",iferror(join("", "",unique(filter({filter('Students (Vertical)'!O:O,'Students (Vertical)'!C:C=B605,'Students (Vertical)'!O:O&lt;&gt;"""");filter('Students (Vertical)'!O:O,'Students (Vertical)'!C:C=E605,'Students (Vertical)'!O:O&lt;&gt;"""&amp;""")},countifs({filter('Students (Vertical)'!O:O,'Students (Vertical)'!C:C=B605,'Students (Vertical)'!O:O&lt;&gt;"""");filter('Students (Vertical)'!O:O,'Students (Vertical)'!C:C=E605,'Students (Vertical)'!O:O&lt;&gt;"""")},{filter('Students (Vertical)'!O:O,'Students ("&amp;"Vertical)'!C:C=B605,'Students (Vertical)'!O:O&lt;&gt;"""");filter('Students (Vertical)'!O:O,'Students (Vertical)'!C:C=E605,'Students (Vertical)'!O:O&lt;&gt;"""")})&gt;1))),""No shared courses""),"""")"),"")</f>
        <v/>
      </c>
      <c r="J605" s="357" t="str">
        <f>IFERROR(__xludf.DUMMYFUNCTION("if(H605=""Can't be Together"",iferror(join("", "",unique(filter({filter('Students (Vertical)'!O:O,'Students (Vertical)'!C:C=B605,'Students (Vertical)'!O:O&lt;&gt;"""",'Students (Vertical)'!P:P&gt;1);filter('Students (Vertical)'!O:O,'Students (Vertical)'!C:C=E605,'"&amp;"Students (Vertical)'!O:O&lt;&gt;"""",'Students (Vertical)'!P:P&gt;1)},countifs({filter('Students (Vertical)'!O:O,'Students (Vertical)'!C:C=B605,'Students (Vertical)'!O:O&lt;&gt;"""",'Students (Vertical)'!P:P&gt;1);filter('Students (Vertical)'!O:O,'Students (Vertical)'!C:C="&amp;"E605,'Students (Vertical)'!O:O&lt;&gt;"""",'Students (Vertical)'!P:P&gt;1)},{filter('Students (Vertical)'!O:O,'Students (Vertical)'!C:C=B605,'Students (Vertical)'!O:O&lt;&gt;"""",'Students (Vertical)'!P:P&gt;1);filter('Students (Vertical)'!O:O,'Students (Vertical)'!C:C=E60"&amp;"5,'Students (Vertical)'!O:O&lt;&gt;"""",'Students (Vertical)'!P:P&gt;1)})&gt;1))),""""),"""")"),"")</f>
        <v/>
      </c>
      <c r="K605" s="358"/>
    </row>
    <row r="606">
      <c r="A606" s="300" t="s">
        <v>22</v>
      </c>
      <c r="C606" s="300" t="s">
        <v>22</v>
      </c>
      <c r="D606" s="300" t="s">
        <v>22</v>
      </c>
      <c r="F606" s="300" t="s">
        <v>22</v>
      </c>
      <c r="G606" s="300" t="s">
        <v>22</v>
      </c>
      <c r="I606" s="356" t="str">
        <f>IFERROR(__xludf.DUMMYFUNCTION("if(H606=""Must be Together"",iferror(join("", "",unique(filter({filter('Students (Vertical)'!O:O,'Students (Vertical)'!C:C=B606,'Students (Vertical)'!O:O&lt;&gt;"""");filter('Students (Vertical)'!O:O,'Students (Vertical)'!C:C=E606,'Students (Vertical)'!O:O&lt;&gt;"""&amp;""")},countifs({filter('Students (Vertical)'!O:O,'Students (Vertical)'!C:C=B606,'Students (Vertical)'!O:O&lt;&gt;"""");filter('Students (Vertical)'!O:O,'Students (Vertical)'!C:C=E606,'Students (Vertical)'!O:O&lt;&gt;"""")},{filter('Students (Vertical)'!O:O,'Students ("&amp;"Vertical)'!C:C=B606,'Students (Vertical)'!O:O&lt;&gt;"""");filter('Students (Vertical)'!O:O,'Students (Vertical)'!C:C=E606,'Students (Vertical)'!O:O&lt;&gt;"""")})&gt;1))),""No shared courses""),"""")"),"")</f>
        <v/>
      </c>
      <c r="J606" s="357" t="str">
        <f>IFERROR(__xludf.DUMMYFUNCTION("if(H606=""Can't be Together"",iferror(join("", "",unique(filter({filter('Students (Vertical)'!O:O,'Students (Vertical)'!C:C=B606,'Students (Vertical)'!O:O&lt;&gt;"""",'Students (Vertical)'!P:P&gt;1);filter('Students (Vertical)'!O:O,'Students (Vertical)'!C:C=E606,'"&amp;"Students (Vertical)'!O:O&lt;&gt;"""",'Students (Vertical)'!P:P&gt;1)},countifs({filter('Students (Vertical)'!O:O,'Students (Vertical)'!C:C=B606,'Students (Vertical)'!O:O&lt;&gt;"""",'Students (Vertical)'!P:P&gt;1);filter('Students (Vertical)'!O:O,'Students (Vertical)'!C:C="&amp;"E606,'Students (Vertical)'!O:O&lt;&gt;"""",'Students (Vertical)'!P:P&gt;1)},{filter('Students (Vertical)'!O:O,'Students (Vertical)'!C:C=B606,'Students (Vertical)'!O:O&lt;&gt;"""",'Students (Vertical)'!P:P&gt;1);filter('Students (Vertical)'!O:O,'Students (Vertical)'!C:C=E60"&amp;"6,'Students (Vertical)'!O:O&lt;&gt;"""",'Students (Vertical)'!P:P&gt;1)})&gt;1))),""""),"""")"),"")</f>
        <v/>
      </c>
      <c r="K606" s="358"/>
    </row>
    <row r="607">
      <c r="A607" s="300" t="s">
        <v>22</v>
      </c>
      <c r="C607" s="300" t="s">
        <v>22</v>
      </c>
      <c r="D607" s="300" t="s">
        <v>22</v>
      </c>
      <c r="F607" s="300" t="s">
        <v>22</v>
      </c>
      <c r="G607" s="300" t="s">
        <v>22</v>
      </c>
      <c r="I607" s="356" t="str">
        <f>IFERROR(__xludf.DUMMYFUNCTION("if(H607=""Must be Together"",iferror(join("", "",unique(filter({filter('Students (Vertical)'!O:O,'Students (Vertical)'!C:C=B607,'Students (Vertical)'!O:O&lt;&gt;"""");filter('Students (Vertical)'!O:O,'Students (Vertical)'!C:C=E607,'Students (Vertical)'!O:O&lt;&gt;"""&amp;""")},countifs({filter('Students (Vertical)'!O:O,'Students (Vertical)'!C:C=B607,'Students (Vertical)'!O:O&lt;&gt;"""");filter('Students (Vertical)'!O:O,'Students (Vertical)'!C:C=E607,'Students (Vertical)'!O:O&lt;&gt;"""")},{filter('Students (Vertical)'!O:O,'Students ("&amp;"Vertical)'!C:C=B607,'Students (Vertical)'!O:O&lt;&gt;"""");filter('Students (Vertical)'!O:O,'Students (Vertical)'!C:C=E607,'Students (Vertical)'!O:O&lt;&gt;"""")})&gt;1))),""No shared courses""),"""")"),"")</f>
        <v/>
      </c>
      <c r="J607" s="357" t="str">
        <f>IFERROR(__xludf.DUMMYFUNCTION("if(H607=""Can't be Together"",iferror(join("", "",unique(filter({filter('Students (Vertical)'!O:O,'Students (Vertical)'!C:C=B607,'Students (Vertical)'!O:O&lt;&gt;"""",'Students (Vertical)'!P:P&gt;1);filter('Students (Vertical)'!O:O,'Students (Vertical)'!C:C=E607,'"&amp;"Students (Vertical)'!O:O&lt;&gt;"""",'Students (Vertical)'!P:P&gt;1)},countifs({filter('Students (Vertical)'!O:O,'Students (Vertical)'!C:C=B607,'Students (Vertical)'!O:O&lt;&gt;"""",'Students (Vertical)'!P:P&gt;1);filter('Students (Vertical)'!O:O,'Students (Vertical)'!C:C="&amp;"E607,'Students (Vertical)'!O:O&lt;&gt;"""",'Students (Vertical)'!P:P&gt;1)},{filter('Students (Vertical)'!O:O,'Students (Vertical)'!C:C=B607,'Students (Vertical)'!O:O&lt;&gt;"""",'Students (Vertical)'!P:P&gt;1);filter('Students (Vertical)'!O:O,'Students (Vertical)'!C:C=E60"&amp;"7,'Students (Vertical)'!O:O&lt;&gt;"""",'Students (Vertical)'!P:P&gt;1)})&gt;1))),""""),"""")"),"")</f>
        <v/>
      </c>
      <c r="K607" s="358"/>
    </row>
    <row r="608">
      <c r="A608" s="300" t="s">
        <v>22</v>
      </c>
      <c r="C608" s="300" t="s">
        <v>22</v>
      </c>
      <c r="D608" s="300" t="s">
        <v>22</v>
      </c>
      <c r="F608" s="300" t="s">
        <v>22</v>
      </c>
      <c r="G608" s="300" t="s">
        <v>22</v>
      </c>
      <c r="I608" s="356" t="str">
        <f>IFERROR(__xludf.DUMMYFUNCTION("if(H608=""Must be Together"",iferror(join("", "",unique(filter({filter('Students (Vertical)'!O:O,'Students (Vertical)'!C:C=B608,'Students (Vertical)'!O:O&lt;&gt;"""");filter('Students (Vertical)'!O:O,'Students (Vertical)'!C:C=E608,'Students (Vertical)'!O:O&lt;&gt;"""&amp;""")},countifs({filter('Students (Vertical)'!O:O,'Students (Vertical)'!C:C=B608,'Students (Vertical)'!O:O&lt;&gt;"""");filter('Students (Vertical)'!O:O,'Students (Vertical)'!C:C=E608,'Students (Vertical)'!O:O&lt;&gt;"""")},{filter('Students (Vertical)'!O:O,'Students ("&amp;"Vertical)'!C:C=B608,'Students (Vertical)'!O:O&lt;&gt;"""");filter('Students (Vertical)'!O:O,'Students (Vertical)'!C:C=E608,'Students (Vertical)'!O:O&lt;&gt;"""")})&gt;1))),""No shared courses""),"""")"),"")</f>
        <v/>
      </c>
      <c r="J608" s="357" t="str">
        <f>IFERROR(__xludf.DUMMYFUNCTION("if(H608=""Can't be Together"",iferror(join("", "",unique(filter({filter('Students (Vertical)'!O:O,'Students (Vertical)'!C:C=B608,'Students (Vertical)'!O:O&lt;&gt;"""",'Students (Vertical)'!P:P&gt;1);filter('Students (Vertical)'!O:O,'Students (Vertical)'!C:C=E608,'"&amp;"Students (Vertical)'!O:O&lt;&gt;"""",'Students (Vertical)'!P:P&gt;1)},countifs({filter('Students (Vertical)'!O:O,'Students (Vertical)'!C:C=B608,'Students (Vertical)'!O:O&lt;&gt;"""",'Students (Vertical)'!P:P&gt;1);filter('Students (Vertical)'!O:O,'Students (Vertical)'!C:C="&amp;"E608,'Students (Vertical)'!O:O&lt;&gt;"""",'Students (Vertical)'!P:P&gt;1)},{filter('Students (Vertical)'!O:O,'Students (Vertical)'!C:C=B608,'Students (Vertical)'!O:O&lt;&gt;"""",'Students (Vertical)'!P:P&gt;1);filter('Students (Vertical)'!O:O,'Students (Vertical)'!C:C=E60"&amp;"8,'Students (Vertical)'!O:O&lt;&gt;"""",'Students (Vertical)'!P:P&gt;1)})&gt;1))),""""),"""")"),"")</f>
        <v/>
      </c>
      <c r="K608" s="358"/>
    </row>
    <row r="609">
      <c r="A609" s="300" t="s">
        <v>22</v>
      </c>
      <c r="C609" s="300" t="s">
        <v>22</v>
      </c>
      <c r="D609" s="300" t="s">
        <v>22</v>
      </c>
      <c r="F609" s="300" t="s">
        <v>22</v>
      </c>
      <c r="G609" s="300" t="s">
        <v>22</v>
      </c>
      <c r="I609" s="356" t="str">
        <f>IFERROR(__xludf.DUMMYFUNCTION("if(H609=""Must be Together"",iferror(join("", "",unique(filter({filter('Students (Vertical)'!O:O,'Students (Vertical)'!C:C=B609,'Students (Vertical)'!O:O&lt;&gt;"""");filter('Students (Vertical)'!O:O,'Students (Vertical)'!C:C=E609,'Students (Vertical)'!O:O&lt;&gt;"""&amp;""")},countifs({filter('Students (Vertical)'!O:O,'Students (Vertical)'!C:C=B609,'Students (Vertical)'!O:O&lt;&gt;"""");filter('Students (Vertical)'!O:O,'Students (Vertical)'!C:C=E609,'Students (Vertical)'!O:O&lt;&gt;"""")},{filter('Students (Vertical)'!O:O,'Students ("&amp;"Vertical)'!C:C=B609,'Students (Vertical)'!O:O&lt;&gt;"""");filter('Students (Vertical)'!O:O,'Students (Vertical)'!C:C=E609,'Students (Vertical)'!O:O&lt;&gt;"""")})&gt;1))),""No shared courses""),"""")"),"")</f>
        <v/>
      </c>
      <c r="J609" s="357" t="str">
        <f>IFERROR(__xludf.DUMMYFUNCTION("if(H609=""Can't be Together"",iferror(join("", "",unique(filter({filter('Students (Vertical)'!O:O,'Students (Vertical)'!C:C=B609,'Students (Vertical)'!O:O&lt;&gt;"""",'Students (Vertical)'!P:P&gt;1);filter('Students (Vertical)'!O:O,'Students (Vertical)'!C:C=E609,'"&amp;"Students (Vertical)'!O:O&lt;&gt;"""",'Students (Vertical)'!P:P&gt;1)},countifs({filter('Students (Vertical)'!O:O,'Students (Vertical)'!C:C=B609,'Students (Vertical)'!O:O&lt;&gt;"""",'Students (Vertical)'!P:P&gt;1);filter('Students (Vertical)'!O:O,'Students (Vertical)'!C:C="&amp;"E609,'Students (Vertical)'!O:O&lt;&gt;"""",'Students (Vertical)'!P:P&gt;1)},{filter('Students (Vertical)'!O:O,'Students (Vertical)'!C:C=B609,'Students (Vertical)'!O:O&lt;&gt;"""",'Students (Vertical)'!P:P&gt;1);filter('Students (Vertical)'!O:O,'Students (Vertical)'!C:C=E60"&amp;"9,'Students (Vertical)'!O:O&lt;&gt;"""",'Students (Vertical)'!P:P&gt;1)})&gt;1))),""""),"""")"),"")</f>
        <v/>
      </c>
      <c r="K609" s="358"/>
    </row>
    <row r="610">
      <c r="A610" s="300" t="s">
        <v>22</v>
      </c>
      <c r="C610" s="300" t="s">
        <v>22</v>
      </c>
      <c r="D610" s="300" t="s">
        <v>22</v>
      </c>
      <c r="F610" s="300" t="s">
        <v>22</v>
      </c>
      <c r="G610" s="300" t="s">
        <v>22</v>
      </c>
      <c r="I610" s="356" t="str">
        <f>IFERROR(__xludf.DUMMYFUNCTION("if(H610=""Must be Together"",iferror(join("", "",unique(filter({filter('Students (Vertical)'!O:O,'Students (Vertical)'!C:C=B610,'Students (Vertical)'!O:O&lt;&gt;"""");filter('Students (Vertical)'!O:O,'Students (Vertical)'!C:C=E610,'Students (Vertical)'!O:O&lt;&gt;"""&amp;""")},countifs({filter('Students (Vertical)'!O:O,'Students (Vertical)'!C:C=B610,'Students (Vertical)'!O:O&lt;&gt;"""");filter('Students (Vertical)'!O:O,'Students (Vertical)'!C:C=E610,'Students (Vertical)'!O:O&lt;&gt;"""")},{filter('Students (Vertical)'!O:O,'Students ("&amp;"Vertical)'!C:C=B610,'Students (Vertical)'!O:O&lt;&gt;"""");filter('Students (Vertical)'!O:O,'Students (Vertical)'!C:C=E610,'Students (Vertical)'!O:O&lt;&gt;"""")})&gt;1))),""No shared courses""),"""")"),"")</f>
        <v/>
      </c>
      <c r="J610" s="357" t="str">
        <f>IFERROR(__xludf.DUMMYFUNCTION("if(H610=""Can't be Together"",iferror(join("", "",unique(filter({filter('Students (Vertical)'!O:O,'Students (Vertical)'!C:C=B610,'Students (Vertical)'!O:O&lt;&gt;"""",'Students (Vertical)'!P:P&gt;1);filter('Students (Vertical)'!O:O,'Students (Vertical)'!C:C=E610,'"&amp;"Students (Vertical)'!O:O&lt;&gt;"""",'Students (Vertical)'!P:P&gt;1)},countifs({filter('Students (Vertical)'!O:O,'Students (Vertical)'!C:C=B610,'Students (Vertical)'!O:O&lt;&gt;"""",'Students (Vertical)'!P:P&gt;1);filter('Students (Vertical)'!O:O,'Students (Vertical)'!C:C="&amp;"E610,'Students (Vertical)'!O:O&lt;&gt;"""",'Students (Vertical)'!P:P&gt;1)},{filter('Students (Vertical)'!O:O,'Students (Vertical)'!C:C=B610,'Students (Vertical)'!O:O&lt;&gt;"""",'Students (Vertical)'!P:P&gt;1);filter('Students (Vertical)'!O:O,'Students (Vertical)'!C:C=E61"&amp;"0,'Students (Vertical)'!O:O&lt;&gt;"""",'Students (Vertical)'!P:P&gt;1)})&gt;1))),""""),"""")"),"")</f>
        <v/>
      </c>
      <c r="K610" s="358"/>
    </row>
    <row r="611">
      <c r="A611" s="300" t="s">
        <v>22</v>
      </c>
      <c r="C611" s="300" t="s">
        <v>22</v>
      </c>
      <c r="D611" s="300" t="s">
        <v>22</v>
      </c>
      <c r="F611" s="300" t="s">
        <v>22</v>
      </c>
      <c r="G611" s="300" t="s">
        <v>22</v>
      </c>
      <c r="I611" s="356" t="str">
        <f>IFERROR(__xludf.DUMMYFUNCTION("if(H611=""Must be Together"",iferror(join("", "",unique(filter({filter('Students (Vertical)'!O:O,'Students (Vertical)'!C:C=B611,'Students (Vertical)'!O:O&lt;&gt;"""");filter('Students (Vertical)'!O:O,'Students (Vertical)'!C:C=E611,'Students (Vertical)'!O:O&lt;&gt;"""&amp;""")},countifs({filter('Students (Vertical)'!O:O,'Students (Vertical)'!C:C=B611,'Students (Vertical)'!O:O&lt;&gt;"""");filter('Students (Vertical)'!O:O,'Students (Vertical)'!C:C=E611,'Students (Vertical)'!O:O&lt;&gt;"""")},{filter('Students (Vertical)'!O:O,'Students ("&amp;"Vertical)'!C:C=B611,'Students (Vertical)'!O:O&lt;&gt;"""");filter('Students (Vertical)'!O:O,'Students (Vertical)'!C:C=E611,'Students (Vertical)'!O:O&lt;&gt;"""")})&gt;1))),""No shared courses""),"""")"),"")</f>
        <v/>
      </c>
      <c r="J611" s="357" t="str">
        <f>IFERROR(__xludf.DUMMYFUNCTION("if(H611=""Can't be Together"",iferror(join("", "",unique(filter({filter('Students (Vertical)'!O:O,'Students (Vertical)'!C:C=B611,'Students (Vertical)'!O:O&lt;&gt;"""",'Students (Vertical)'!P:P&gt;1);filter('Students (Vertical)'!O:O,'Students (Vertical)'!C:C=E611,'"&amp;"Students (Vertical)'!O:O&lt;&gt;"""",'Students (Vertical)'!P:P&gt;1)},countifs({filter('Students (Vertical)'!O:O,'Students (Vertical)'!C:C=B611,'Students (Vertical)'!O:O&lt;&gt;"""",'Students (Vertical)'!P:P&gt;1);filter('Students (Vertical)'!O:O,'Students (Vertical)'!C:C="&amp;"E611,'Students (Vertical)'!O:O&lt;&gt;"""",'Students (Vertical)'!P:P&gt;1)},{filter('Students (Vertical)'!O:O,'Students (Vertical)'!C:C=B611,'Students (Vertical)'!O:O&lt;&gt;"""",'Students (Vertical)'!P:P&gt;1);filter('Students (Vertical)'!O:O,'Students (Vertical)'!C:C=E61"&amp;"1,'Students (Vertical)'!O:O&lt;&gt;"""",'Students (Vertical)'!P:P&gt;1)})&gt;1))),""""),"""")"),"")</f>
        <v/>
      </c>
      <c r="K611" s="358"/>
    </row>
    <row r="612">
      <c r="A612" s="300" t="s">
        <v>22</v>
      </c>
      <c r="C612" s="300" t="s">
        <v>22</v>
      </c>
      <c r="D612" s="300" t="s">
        <v>22</v>
      </c>
      <c r="F612" s="300" t="s">
        <v>22</v>
      </c>
      <c r="G612" s="300" t="s">
        <v>22</v>
      </c>
      <c r="I612" s="356" t="str">
        <f>IFERROR(__xludf.DUMMYFUNCTION("if(H612=""Must be Together"",iferror(join("", "",unique(filter({filter('Students (Vertical)'!O:O,'Students (Vertical)'!C:C=B612,'Students (Vertical)'!O:O&lt;&gt;"""");filter('Students (Vertical)'!O:O,'Students (Vertical)'!C:C=E612,'Students (Vertical)'!O:O&lt;&gt;"""&amp;""")},countifs({filter('Students (Vertical)'!O:O,'Students (Vertical)'!C:C=B612,'Students (Vertical)'!O:O&lt;&gt;"""");filter('Students (Vertical)'!O:O,'Students (Vertical)'!C:C=E612,'Students (Vertical)'!O:O&lt;&gt;"""")},{filter('Students (Vertical)'!O:O,'Students ("&amp;"Vertical)'!C:C=B612,'Students (Vertical)'!O:O&lt;&gt;"""");filter('Students (Vertical)'!O:O,'Students (Vertical)'!C:C=E612,'Students (Vertical)'!O:O&lt;&gt;"""")})&gt;1))),""No shared courses""),"""")"),"")</f>
        <v/>
      </c>
      <c r="J612" s="357" t="str">
        <f>IFERROR(__xludf.DUMMYFUNCTION("if(H612=""Can't be Together"",iferror(join("", "",unique(filter({filter('Students (Vertical)'!O:O,'Students (Vertical)'!C:C=B612,'Students (Vertical)'!O:O&lt;&gt;"""",'Students (Vertical)'!P:P&gt;1);filter('Students (Vertical)'!O:O,'Students (Vertical)'!C:C=E612,'"&amp;"Students (Vertical)'!O:O&lt;&gt;"""",'Students (Vertical)'!P:P&gt;1)},countifs({filter('Students (Vertical)'!O:O,'Students (Vertical)'!C:C=B612,'Students (Vertical)'!O:O&lt;&gt;"""",'Students (Vertical)'!P:P&gt;1);filter('Students (Vertical)'!O:O,'Students (Vertical)'!C:C="&amp;"E612,'Students (Vertical)'!O:O&lt;&gt;"""",'Students (Vertical)'!P:P&gt;1)},{filter('Students (Vertical)'!O:O,'Students (Vertical)'!C:C=B612,'Students (Vertical)'!O:O&lt;&gt;"""",'Students (Vertical)'!P:P&gt;1);filter('Students (Vertical)'!O:O,'Students (Vertical)'!C:C=E61"&amp;"2,'Students (Vertical)'!O:O&lt;&gt;"""",'Students (Vertical)'!P:P&gt;1)})&gt;1))),""""),"""")"),"")</f>
        <v/>
      </c>
      <c r="K612" s="358"/>
    </row>
    <row r="613">
      <c r="A613" s="300" t="s">
        <v>22</v>
      </c>
      <c r="C613" s="300" t="s">
        <v>22</v>
      </c>
      <c r="D613" s="300" t="s">
        <v>22</v>
      </c>
      <c r="F613" s="300" t="s">
        <v>22</v>
      </c>
      <c r="G613" s="300" t="s">
        <v>22</v>
      </c>
      <c r="I613" s="356" t="str">
        <f>IFERROR(__xludf.DUMMYFUNCTION("if(H613=""Must be Together"",iferror(join("", "",unique(filter({filter('Students (Vertical)'!O:O,'Students (Vertical)'!C:C=B613,'Students (Vertical)'!O:O&lt;&gt;"""");filter('Students (Vertical)'!O:O,'Students (Vertical)'!C:C=E613,'Students (Vertical)'!O:O&lt;&gt;"""&amp;""")},countifs({filter('Students (Vertical)'!O:O,'Students (Vertical)'!C:C=B613,'Students (Vertical)'!O:O&lt;&gt;"""");filter('Students (Vertical)'!O:O,'Students (Vertical)'!C:C=E613,'Students (Vertical)'!O:O&lt;&gt;"""")},{filter('Students (Vertical)'!O:O,'Students ("&amp;"Vertical)'!C:C=B613,'Students (Vertical)'!O:O&lt;&gt;"""");filter('Students (Vertical)'!O:O,'Students (Vertical)'!C:C=E613,'Students (Vertical)'!O:O&lt;&gt;"""")})&gt;1))),""No shared courses""),"""")"),"")</f>
        <v/>
      </c>
      <c r="J613" s="357" t="str">
        <f>IFERROR(__xludf.DUMMYFUNCTION("if(H613=""Can't be Together"",iferror(join("", "",unique(filter({filter('Students (Vertical)'!O:O,'Students (Vertical)'!C:C=B613,'Students (Vertical)'!O:O&lt;&gt;"""",'Students (Vertical)'!P:P&gt;1);filter('Students (Vertical)'!O:O,'Students (Vertical)'!C:C=E613,'"&amp;"Students (Vertical)'!O:O&lt;&gt;"""",'Students (Vertical)'!P:P&gt;1)},countifs({filter('Students (Vertical)'!O:O,'Students (Vertical)'!C:C=B613,'Students (Vertical)'!O:O&lt;&gt;"""",'Students (Vertical)'!P:P&gt;1);filter('Students (Vertical)'!O:O,'Students (Vertical)'!C:C="&amp;"E613,'Students (Vertical)'!O:O&lt;&gt;"""",'Students (Vertical)'!P:P&gt;1)},{filter('Students (Vertical)'!O:O,'Students (Vertical)'!C:C=B613,'Students (Vertical)'!O:O&lt;&gt;"""",'Students (Vertical)'!P:P&gt;1);filter('Students (Vertical)'!O:O,'Students (Vertical)'!C:C=E61"&amp;"3,'Students (Vertical)'!O:O&lt;&gt;"""",'Students (Vertical)'!P:P&gt;1)})&gt;1))),""""),"""")"),"")</f>
        <v/>
      </c>
      <c r="K613" s="358"/>
    </row>
    <row r="614">
      <c r="A614" s="300" t="s">
        <v>22</v>
      </c>
      <c r="C614" s="300" t="s">
        <v>22</v>
      </c>
      <c r="D614" s="300" t="s">
        <v>22</v>
      </c>
      <c r="F614" s="300" t="s">
        <v>22</v>
      </c>
      <c r="G614" s="300" t="s">
        <v>22</v>
      </c>
      <c r="I614" s="356" t="str">
        <f>IFERROR(__xludf.DUMMYFUNCTION("if(H614=""Must be Together"",iferror(join("", "",unique(filter({filter('Students (Vertical)'!O:O,'Students (Vertical)'!C:C=B614,'Students (Vertical)'!O:O&lt;&gt;"""");filter('Students (Vertical)'!O:O,'Students (Vertical)'!C:C=E614,'Students (Vertical)'!O:O&lt;&gt;"""&amp;""")},countifs({filter('Students (Vertical)'!O:O,'Students (Vertical)'!C:C=B614,'Students (Vertical)'!O:O&lt;&gt;"""");filter('Students (Vertical)'!O:O,'Students (Vertical)'!C:C=E614,'Students (Vertical)'!O:O&lt;&gt;"""")},{filter('Students (Vertical)'!O:O,'Students ("&amp;"Vertical)'!C:C=B614,'Students (Vertical)'!O:O&lt;&gt;"""");filter('Students (Vertical)'!O:O,'Students (Vertical)'!C:C=E614,'Students (Vertical)'!O:O&lt;&gt;"""")})&gt;1))),""No shared courses""),"""")"),"")</f>
        <v/>
      </c>
      <c r="J614" s="357" t="str">
        <f>IFERROR(__xludf.DUMMYFUNCTION("if(H614=""Can't be Together"",iferror(join("", "",unique(filter({filter('Students (Vertical)'!O:O,'Students (Vertical)'!C:C=B614,'Students (Vertical)'!O:O&lt;&gt;"""",'Students (Vertical)'!P:P&gt;1);filter('Students (Vertical)'!O:O,'Students (Vertical)'!C:C=E614,'"&amp;"Students (Vertical)'!O:O&lt;&gt;"""",'Students (Vertical)'!P:P&gt;1)},countifs({filter('Students (Vertical)'!O:O,'Students (Vertical)'!C:C=B614,'Students (Vertical)'!O:O&lt;&gt;"""",'Students (Vertical)'!P:P&gt;1);filter('Students (Vertical)'!O:O,'Students (Vertical)'!C:C="&amp;"E614,'Students (Vertical)'!O:O&lt;&gt;"""",'Students (Vertical)'!P:P&gt;1)},{filter('Students (Vertical)'!O:O,'Students (Vertical)'!C:C=B614,'Students (Vertical)'!O:O&lt;&gt;"""",'Students (Vertical)'!P:P&gt;1);filter('Students (Vertical)'!O:O,'Students (Vertical)'!C:C=E61"&amp;"4,'Students (Vertical)'!O:O&lt;&gt;"""",'Students (Vertical)'!P:P&gt;1)})&gt;1))),""""),"""")"),"")</f>
        <v/>
      </c>
      <c r="K614" s="358"/>
    </row>
    <row r="615">
      <c r="A615" s="300" t="s">
        <v>22</v>
      </c>
      <c r="C615" s="300" t="s">
        <v>22</v>
      </c>
      <c r="D615" s="300" t="s">
        <v>22</v>
      </c>
      <c r="F615" s="300" t="s">
        <v>22</v>
      </c>
      <c r="G615" s="300" t="s">
        <v>22</v>
      </c>
      <c r="I615" s="356" t="str">
        <f>IFERROR(__xludf.DUMMYFUNCTION("if(H615=""Must be Together"",iferror(join("", "",unique(filter({filter('Students (Vertical)'!O:O,'Students (Vertical)'!C:C=B615,'Students (Vertical)'!O:O&lt;&gt;"""");filter('Students (Vertical)'!O:O,'Students (Vertical)'!C:C=E615,'Students (Vertical)'!O:O&lt;&gt;"""&amp;""")},countifs({filter('Students (Vertical)'!O:O,'Students (Vertical)'!C:C=B615,'Students (Vertical)'!O:O&lt;&gt;"""");filter('Students (Vertical)'!O:O,'Students (Vertical)'!C:C=E615,'Students (Vertical)'!O:O&lt;&gt;"""")},{filter('Students (Vertical)'!O:O,'Students ("&amp;"Vertical)'!C:C=B615,'Students (Vertical)'!O:O&lt;&gt;"""");filter('Students (Vertical)'!O:O,'Students (Vertical)'!C:C=E615,'Students (Vertical)'!O:O&lt;&gt;"""")})&gt;1))),""No shared courses""),"""")"),"")</f>
        <v/>
      </c>
      <c r="J615" s="357" t="str">
        <f>IFERROR(__xludf.DUMMYFUNCTION("if(H615=""Can't be Together"",iferror(join("", "",unique(filter({filter('Students (Vertical)'!O:O,'Students (Vertical)'!C:C=B615,'Students (Vertical)'!O:O&lt;&gt;"""",'Students (Vertical)'!P:P&gt;1);filter('Students (Vertical)'!O:O,'Students (Vertical)'!C:C=E615,'"&amp;"Students (Vertical)'!O:O&lt;&gt;"""",'Students (Vertical)'!P:P&gt;1)},countifs({filter('Students (Vertical)'!O:O,'Students (Vertical)'!C:C=B615,'Students (Vertical)'!O:O&lt;&gt;"""",'Students (Vertical)'!P:P&gt;1);filter('Students (Vertical)'!O:O,'Students (Vertical)'!C:C="&amp;"E615,'Students (Vertical)'!O:O&lt;&gt;"""",'Students (Vertical)'!P:P&gt;1)},{filter('Students (Vertical)'!O:O,'Students (Vertical)'!C:C=B615,'Students (Vertical)'!O:O&lt;&gt;"""",'Students (Vertical)'!P:P&gt;1);filter('Students (Vertical)'!O:O,'Students (Vertical)'!C:C=E61"&amp;"5,'Students (Vertical)'!O:O&lt;&gt;"""",'Students (Vertical)'!P:P&gt;1)})&gt;1))),""""),"""")"),"")</f>
        <v/>
      </c>
      <c r="K615" s="358"/>
    </row>
    <row r="616">
      <c r="A616" s="300" t="s">
        <v>22</v>
      </c>
      <c r="C616" s="300" t="s">
        <v>22</v>
      </c>
      <c r="D616" s="300" t="s">
        <v>22</v>
      </c>
      <c r="F616" s="300" t="s">
        <v>22</v>
      </c>
      <c r="G616" s="300" t="s">
        <v>22</v>
      </c>
      <c r="I616" s="356" t="str">
        <f>IFERROR(__xludf.DUMMYFUNCTION("if(H616=""Must be Together"",iferror(join("", "",unique(filter({filter('Students (Vertical)'!O:O,'Students (Vertical)'!C:C=B616,'Students (Vertical)'!O:O&lt;&gt;"""");filter('Students (Vertical)'!O:O,'Students (Vertical)'!C:C=E616,'Students (Vertical)'!O:O&lt;&gt;"""&amp;""")},countifs({filter('Students (Vertical)'!O:O,'Students (Vertical)'!C:C=B616,'Students (Vertical)'!O:O&lt;&gt;"""");filter('Students (Vertical)'!O:O,'Students (Vertical)'!C:C=E616,'Students (Vertical)'!O:O&lt;&gt;"""")},{filter('Students (Vertical)'!O:O,'Students ("&amp;"Vertical)'!C:C=B616,'Students (Vertical)'!O:O&lt;&gt;"""");filter('Students (Vertical)'!O:O,'Students (Vertical)'!C:C=E616,'Students (Vertical)'!O:O&lt;&gt;"""")})&gt;1))),""No shared courses""),"""")"),"")</f>
        <v/>
      </c>
      <c r="J616" s="357" t="str">
        <f>IFERROR(__xludf.DUMMYFUNCTION("if(H616=""Can't be Together"",iferror(join("", "",unique(filter({filter('Students (Vertical)'!O:O,'Students (Vertical)'!C:C=B616,'Students (Vertical)'!O:O&lt;&gt;"""",'Students (Vertical)'!P:P&gt;1);filter('Students (Vertical)'!O:O,'Students (Vertical)'!C:C=E616,'"&amp;"Students (Vertical)'!O:O&lt;&gt;"""",'Students (Vertical)'!P:P&gt;1)},countifs({filter('Students (Vertical)'!O:O,'Students (Vertical)'!C:C=B616,'Students (Vertical)'!O:O&lt;&gt;"""",'Students (Vertical)'!P:P&gt;1);filter('Students (Vertical)'!O:O,'Students (Vertical)'!C:C="&amp;"E616,'Students (Vertical)'!O:O&lt;&gt;"""",'Students (Vertical)'!P:P&gt;1)},{filter('Students (Vertical)'!O:O,'Students (Vertical)'!C:C=B616,'Students (Vertical)'!O:O&lt;&gt;"""",'Students (Vertical)'!P:P&gt;1);filter('Students (Vertical)'!O:O,'Students (Vertical)'!C:C=E61"&amp;"6,'Students (Vertical)'!O:O&lt;&gt;"""",'Students (Vertical)'!P:P&gt;1)})&gt;1))),""""),"""")"),"")</f>
        <v/>
      </c>
      <c r="K616" s="358"/>
    </row>
    <row r="617">
      <c r="A617" s="300" t="s">
        <v>22</v>
      </c>
      <c r="C617" s="300" t="s">
        <v>22</v>
      </c>
      <c r="D617" s="300" t="s">
        <v>22</v>
      </c>
      <c r="F617" s="300" t="s">
        <v>22</v>
      </c>
      <c r="G617" s="300" t="s">
        <v>22</v>
      </c>
      <c r="I617" s="356" t="str">
        <f>IFERROR(__xludf.DUMMYFUNCTION("if(H617=""Must be Together"",iferror(join("", "",unique(filter({filter('Students (Vertical)'!O:O,'Students (Vertical)'!C:C=B617,'Students (Vertical)'!O:O&lt;&gt;"""");filter('Students (Vertical)'!O:O,'Students (Vertical)'!C:C=E617,'Students (Vertical)'!O:O&lt;&gt;"""&amp;""")},countifs({filter('Students (Vertical)'!O:O,'Students (Vertical)'!C:C=B617,'Students (Vertical)'!O:O&lt;&gt;"""");filter('Students (Vertical)'!O:O,'Students (Vertical)'!C:C=E617,'Students (Vertical)'!O:O&lt;&gt;"""")},{filter('Students (Vertical)'!O:O,'Students ("&amp;"Vertical)'!C:C=B617,'Students (Vertical)'!O:O&lt;&gt;"""");filter('Students (Vertical)'!O:O,'Students (Vertical)'!C:C=E617,'Students (Vertical)'!O:O&lt;&gt;"""")})&gt;1))),""No shared courses""),"""")"),"")</f>
        <v/>
      </c>
      <c r="J617" s="357" t="str">
        <f>IFERROR(__xludf.DUMMYFUNCTION("if(H617=""Can't be Together"",iferror(join("", "",unique(filter({filter('Students (Vertical)'!O:O,'Students (Vertical)'!C:C=B617,'Students (Vertical)'!O:O&lt;&gt;"""",'Students (Vertical)'!P:P&gt;1);filter('Students (Vertical)'!O:O,'Students (Vertical)'!C:C=E617,'"&amp;"Students (Vertical)'!O:O&lt;&gt;"""",'Students (Vertical)'!P:P&gt;1)},countifs({filter('Students (Vertical)'!O:O,'Students (Vertical)'!C:C=B617,'Students (Vertical)'!O:O&lt;&gt;"""",'Students (Vertical)'!P:P&gt;1);filter('Students (Vertical)'!O:O,'Students (Vertical)'!C:C="&amp;"E617,'Students (Vertical)'!O:O&lt;&gt;"""",'Students (Vertical)'!P:P&gt;1)},{filter('Students (Vertical)'!O:O,'Students (Vertical)'!C:C=B617,'Students (Vertical)'!O:O&lt;&gt;"""",'Students (Vertical)'!P:P&gt;1);filter('Students (Vertical)'!O:O,'Students (Vertical)'!C:C=E61"&amp;"7,'Students (Vertical)'!O:O&lt;&gt;"""",'Students (Vertical)'!P:P&gt;1)})&gt;1))),""""),"""")"),"")</f>
        <v/>
      </c>
      <c r="K617" s="358"/>
    </row>
    <row r="618">
      <c r="A618" s="300" t="s">
        <v>22</v>
      </c>
      <c r="C618" s="300" t="s">
        <v>22</v>
      </c>
      <c r="D618" s="300" t="s">
        <v>22</v>
      </c>
      <c r="F618" s="300" t="s">
        <v>22</v>
      </c>
      <c r="G618" s="300" t="s">
        <v>22</v>
      </c>
      <c r="I618" s="356" t="str">
        <f>IFERROR(__xludf.DUMMYFUNCTION("if(H618=""Must be Together"",iferror(join("", "",unique(filter({filter('Students (Vertical)'!O:O,'Students (Vertical)'!C:C=B618,'Students (Vertical)'!O:O&lt;&gt;"""");filter('Students (Vertical)'!O:O,'Students (Vertical)'!C:C=E618,'Students (Vertical)'!O:O&lt;&gt;"""&amp;""")},countifs({filter('Students (Vertical)'!O:O,'Students (Vertical)'!C:C=B618,'Students (Vertical)'!O:O&lt;&gt;"""");filter('Students (Vertical)'!O:O,'Students (Vertical)'!C:C=E618,'Students (Vertical)'!O:O&lt;&gt;"""")},{filter('Students (Vertical)'!O:O,'Students ("&amp;"Vertical)'!C:C=B618,'Students (Vertical)'!O:O&lt;&gt;"""");filter('Students (Vertical)'!O:O,'Students (Vertical)'!C:C=E618,'Students (Vertical)'!O:O&lt;&gt;"""")})&gt;1))),""No shared courses""),"""")"),"")</f>
        <v/>
      </c>
      <c r="J618" s="357" t="str">
        <f>IFERROR(__xludf.DUMMYFUNCTION("if(H618=""Can't be Together"",iferror(join("", "",unique(filter({filter('Students (Vertical)'!O:O,'Students (Vertical)'!C:C=B618,'Students (Vertical)'!O:O&lt;&gt;"""",'Students (Vertical)'!P:P&gt;1);filter('Students (Vertical)'!O:O,'Students (Vertical)'!C:C=E618,'"&amp;"Students (Vertical)'!O:O&lt;&gt;"""",'Students (Vertical)'!P:P&gt;1)},countifs({filter('Students (Vertical)'!O:O,'Students (Vertical)'!C:C=B618,'Students (Vertical)'!O:O&lt;&gt;"""",'Students (Vertical)'!P:P&gt;1);filter('Students (Vertical)'!O:O,'Students (Vertical)'!C:C="&amp;"E618,'Students (Vertical)'!O:O&lt;&gt;"""",'Students (Vertical)'!P:P&gt;1)},{filter('Students (Vertical)'!O:O,'Students (Vertical)'!C:C=B618,'Students (Vertical)'!O:O&lt;&gt;"""",'Students (Vertical)'!P:P&gt;1);filter('Students (Vertical)'!O:O,'Students (Vertical)'!C:C=E61"&amp;"8,'Students (Vertical)'!O:O&lt;&gt;"""",'Students (Vertical)'!P:P&gt;1)})&gt;1))),""""),"""")"),"")</f>
        <v/>
      </c>
      <c r="K618" s="358"/>
    </row>
    <row r="619">
      <c r="A619" s="300" t="s">
        <v>22</v>
      </c>
      <c r="C619" s="300" t="s">
        <v>22</v>
      </c>
      <c r="D619" s="300" t="s">
        <v>22</v>
      </c>
      <c r="F619" s="300" t="s">
        <v>22</v>
      </c>
      <c r="G619" s="300" t="s">
        <v>22</v>
      </c>
      <c r="I619" s="356" t="str">
        <f>IFERROR(__xludf.DUMMYFUNCTION("if(H619=""Must be Together"",iferror(join("", "",unique(filter({filter('Students (Vertical)'!O:O,'Students (Vertical)'!C:C=B619,'Students (Vertical)'!O:O&lt;&gt;"""");filter('Students (Vertical)'!O:O,'Students (Vertical)'!C:C=E619,'Students (Vertical)'!O:O&lt;&gt;"""&amp;""")},countifs({filter('Students (Vertical)'!O:O,'Students (Vertical)'!C:C=B619,'Students (Vertical)'!O:O&lt;&gt;"""");filter('Students (Vertical)'!O:O,'Students (Vertical)'!C:C=E619,'Students (Vertical)'!O:O&lt;&gt;"""")},{filter('Students (Vertical)'!O:O,'Students ("&amp;"Vertical)'!C:C=B619,'Students (Vertical)'!O:O&lt;&gt;"""");filter('Students (Vertical)'!O:O,'Students (Vertical)'!C:C=E619,'Students (Vertical)'!O:O&lt;&gt;"""")})&gt;1))),""No shared courses""),"""")"),"")</f>
        <v/>
      </c>
      <c r="J619" s="357" t="str">
        <f>IFERROR(__xludf.DUMMYFUNCTION("if(H619=""Can't be Together"",iferror(join("", "",unique(filter({filter('Students (Vertical)'!O:O,'Students (Vertical)'!C:C=B619,'Students (Vertical)'!O:O&lt;&gt;"""",'Students (Vertical)'!P:P&gt;1);filter('Students (Vertical)'!O:O,'Students (Vertical)'!C:C=E619,'"&amp;"Students (Vertical)'!O:O&lt;&gt;"""",'Students (Vertical)'!P:P&gt;1)},countifs({filter('Students (Vertical)'!O:O,'Students (Vertical)'!C:C=B619,'Students (Vertical)'!O:O&lt;&gt;"""",'Students (Vertical)'!P:P&gt;1);filter('Students (Vertical)'!O:O,'Students (Vertical)'!C:C="&amp;"E619,'Students (Vertical)'!O:O&lt;&gt;"""",'Students (Vertical)'!P:P&gt;1)},{filter('Students (Vertical)'!O:O,'Students (Vertical)'!C:C=B619,'Students (Vertical)'!O:O&lt;&gt;"""",'Students (Vertical)'!P:P&gt;1);filter('Students (Vertical)'!O:O,'Students (Vertical)'!C:C=E61"&amp;"9,'Students (Vertical)'!O:O&lt;&gt;"""",'Students (Vertical)'!P:P&gt;1)})&gt;1))),""""),"""")"),"")</f>
        <v/>
      </c>
      <c r="K619" s="358"/>
    </row>
    <row r="620">
      <c r="A620" s="300" t="s">
        <v>22</v>
      </c>
      <c r="C620" s="300" t="s">
        <v>22</v>
      </c>
      <c r="D620" s="300" t="s">
        <v>22</v>
      </c>
      <c r="F620" s="300" t="s">
        <v>22</v>
      </c>
      <c r="G620" s="300" t="s">
        <v>22</v>
      </c>
      <c r="I620" s="356" t="str">
        <f>IFERROR(__xludf.DUMMYFUNCTION("if(H620=""Must be Together"",iferror(join("", "",unique(filter({filter('Students (Vertical)'!O:O,'Students (Vertical)'!C:C=B620,'Students (Vertical)'!O:O&lt;&gt;"""");filter('Students (Vertical)'!O:O,'Students (Vertical)'!C:C=E620,'Students (Vertical)'!O:O&lt;&gt;"""&amp;""")},countifs({filter('Students (Vertical)'!O:O,'Students (Vertical)'!C:C=B620,'Students (Vertical)'!O:O&lt;&gt;"""");filter('Students (Vertical)'!O:O,'Students (Vertical)'!C:C=E620,'Students (Vertical)'!O:O&lt;&gt;"""")},{filter('Students (Vertical)'!O:O,'Students ("&amp;"Vertical)'!C:C=B620,'Students (Vertical)'!O:O&lt;&gt;"""");filter('Students (Vertical)'!O:O,'Students (Vertical)'!C:C=E620,'Students (Vertical)'!O:O&lt;&gt;"""")})&gt;1))),""No shared courses""),"""")"),"")</f>
        <v/>
      </c>
      <c r="J620" s="357" t="str">
        <f>IFERROR(__xludf.DUMMYFUNCTION("if(H620=""Can't be Together"",iferror(join("", "",unique(filter({filter('Students (Vertical)'!O:O,'Students (Vertical)'!C:C=B620,'Students (Vertical)'!O:O&lt;&gt;"""",'Students (Vertical)'!P:P&gt;1);filter('Students (Vertical)'!O:O,'Students (Vertical)'!C:C=E620,'"&amp;"Students (Vertical)'!O:O&lt;&gt;"""",'Students (Vertical)'!P:P&gt;1)},countifs({filter('Students (Vertical)'!O:O,'Students (Vertical)'!C:C=B620,'Students (Vertical)'!O:O&lt;&gt;"""",'Students (Vertical)'!P:P&gt;1);filter('Students (Vertical)'!O:O,'Students (Vertical)'!C:C="&amp;"E620,'Students (Vertical)'!O:O&lt;&gt;"""",'Students (Vertical)'!P:P&gt;1)},{filter('Students (Vertical)'!O:O,'Students (Vertical)'!C:C=B620,'Students (Vertical)'!O:O&lt;&gt;"""",'Students (Vertical)'!P:P&gt;1);filter('Students (Vertical)'!O:O,'Students (Vertical)'!C:C=E62"&amp;"0,'Students (Vertical)'!O:O&lt;&gt;"""",'Students (Vertical)'!P:P&gt;1)})&gt;1))),""""),"""")"),"")</f>
        <v/>
      </c>
      <c r="K620" s="358"/>
    </row>
    <row r="621">
      <c r="A621" s="300" t="s">
        <v>22</v>
      </c>
      <c r="C621" s="300" t="s">
        <v>22</v>
      </c>
      <c r="D621" s="300" t="s">
        <v>22</v>
      </c>
      <c r="F621" s="300" t="s">
        <v>22</v>
      </c>
      <c r="G621" s="300" t="s">
        <v>22</v>
      </c>
      <c r="I621" s="356" t="str">
        <f>IFERROR(__xludf.DUMMYFUNCTION("if(H621=""Must be Together"",iferror(join("", "",unique(filter({filter('Students (Vertical)'!O:O,'Students (Vertical)'!C:C=B621,'Students (Vertical)'!O:O&lt;&gt;"""");filter('Students (Vertical)'!O:O,'Students (Vertical)'!C:C=E621,'Students (Vertical)'!O:O&lt;&gt;"""&amp;""")},countifs({filter('Students (Vertical)'!O:O,'Students (Vertical)'!C:C=B621,'Students (Vertical)'!O:O&lt;&gt;"""");filter('Students (Vertical)'!O:O,'Students (Vertical)'!C:C=E621,'Students (Vertical)'!O:O&lt;&gt;"""")},{filter('Students (Vertical)'!O:O,'Students ("&amp;"Vertical)'!C:C=B621,'Students (Vertical)'!O:O&lt;&gt;"""");filter('Students (Vertical)'!O:O,'Students (Vertical)'!C:C=E621,'Students (Vertical)'!O:O&lt;&gt;"""")})&gt;1))),""No shared courses""),"""")"),"")</f>
        <v/>
      </c>
      <c r="J621" s="357" t="str">
        <f>IFERROR(__xludf.DUMMYFUNCTION("if(H621=""Can't be Together"",iferror(join("", "",unique(filter({filter('Students (Vertical)'!O:O,'Students (Vertical)'!C:C=B621,'Students (Vertical)'!O:O&lt;&gt;"""",'Students (Vertical)'!P:P&gt;1);filter('Students (Vertical)'!O:O,'Students (Vertical)'!C:C=E621,'"&amp;"Students (Vertical)'!O:O&lt;&gt;"""",'Students (Vertical)'!P:P&gt;1)},countifs({filter('Students (Vertical)'!O:O,'Students (Vertical)'!C:C=B621,'Students (Vertical)'!O:O&lt;&gt;"""",'Students (Vertical)'!P:P&gt;1);filter('Students (Vertical)'!O:O,'Students (Vertical)'!C:C="&amp;"E621,'Students (Vertical)'!O:O&lt;&gt;"""",'Students (Vertical)'!P:P&gt;1)},{filter('Students (Vertical)'!O:O,'Students (Vertical)'!C:C=B621,'Students (Vertical)'!O:O&lt;&gt;"""",'Students (Vertical)'!P:P&gt;1);filter('Students (Vertical)'!O:O,'Students (Vertical)'!C:C=E62"&amp;"1,'Students (Vertical)'!O:O&lt;&gt;"""",'Students (Vertical)'!P:P&gt;1)})&gt;1))),""""),"""")"),"")</f>
        <v/>
      </c>
      <c r="K621" s="358"/>
    </row>
    <row r="622">
      <c r="A622" s="300" t="s">
        <v>22</v>
      </c>
      <c r="C622" s="300" t="s">
        <v>22</v>
      </c>
      <c r="D622" s="300" t="s">
        <v>22</v>
      </c>
      <c r="F622" s="300" t="s">
        <v>22</v>
      </c>
      <c r="G622" s="300" t="s">
        <v>22</v>
      </c>
      <c r="I622" s="356" t="str">
        <f>IFERROR(__xludf.DUMMYFUNCTION("if(H622=""Must be Together"",iferror(join("", "",unique(filter({filter('Students (Vertical)'!O:O,'Students (Vertical)'!C:C=B622,'Students (Vertical)'!O:O&lt;&gt;"""");filter('Students (Vertical)'!O:O,'Students (Vertical)'!C:C=E622,'Students (Vertical)'!O:O&lt;&gt;"""&amp;""")},countifs({filter('Students (Vertical)'!O:O,'Students (Vertical)'!C:C=B622,'Students (Vertical)'!O:O&lt;&gt;"""");filter('Students (Vertical)'!O:O,'Students (Vertical)'!C:C=E622,'Students (Vertical)'!O:O&lt;&gt;"""")},{filter('Students (Vertical)'!O:O,'Students ("&amp;"Vertical)'!C:C=B622,'Students (Vertical)'!O:O&lt;&gt;"""");filter('Students (Vertical)'!O:O,'Students (Vertical)'!C:C=E622,'Students (Vertical)'!O:O&lt;&gt;"""")})&gt;1))),""No shared courses""),"""")"),"")</f>
        <v/>
      </c>
      <c r="J622" s="357" t="str">
        <f>IFERROR(__xludf.DUMMYFUNCTION("if(H622=""Can't be Together"",iferror(join("", "",unique(filter({filter('Students (Vertical)'!O:O,'Students (Vertical)'!C:C=B622,'Students (Vertical)'!O:O&lt;&gt;"""",'Students (Vertical)'!P:P&gt;1);filter('Students (Vertical)'!O:O,'Students (Vertical)'!C:C=E622,'"&amp;"Students (Vertical)'!O:O&lt;&gt;"""",'Students (Vertical)'!P:P&gt;1)},countifs({filter('Students (Vertical)'!O:O,'Students (Vertical)'!C:C=B622,'Students (Vertical)'!O:O&lt;&gt;"""",'Students (Vertical)'!P:P&gt;1);filter('Students (Vertical)'!O:O,'Students (Vertical)'!C:C="&amp;"E622,'Students (Vertical)'!O:O&lt;&gt;"""",'Students (Vertical)'!P:P&gt;1)},{filter('Students (Vertical)'!O:O,'Students (Vertical)'!C:C=B622,'Students (Vertical)'!O:O&lt;&gt;"""",'Students (Vertical)'!P:P&gt;1);filter('Students (Vertical)'!O:O,'Students (Vertical)'!C:C=E62"&amp;"2,'Students (Vertical)'!O:O&lt;&gt;"""",'Students (Vertical)'!P:P&gt;1)})&gt;1))),""""),"""")"),"")</f>
        <v/>
      </c>
      <c r="K622" s="358"/>
    </row>
    <row r="623">
      <c r="A623" s="300" t="s">
        <v>22</v>
      </c>
      <c r="C623" s="300" t="s">
        <v>22</v>
      </c>
      <c r="D623" s="300" t="s">
        <v>22</v>
      </c>
      <c r="F623" s="300" t="s">
        <v>22</v>
      </c>
      <c r="G623" s="300" t="s">
        <v>22</v>
      </c>
      <c r="I623" s="356" t="str">
        <f>IFERROR(__xludf.DUMMYFUNCTION("if(H623=""Must be Together"",iferror(join("", "",unique(filter({filter('Students (Vertical)'!O:O,'Students (Vertical)'!C:C=B623,'Students (Vertical)'!O:O&lt;&gt;"""");filter('Students (Vertical)'!O:O,'Students (Vertical)'!C:C=E623,'Students (Vertical)'!O:O&lt;&gt;"""&amp;""")},countifs({filter('Students (Vertical)'!O:O,'Students (Vertical)'!C:C=B623,'Students (Vertical)'!O:O&lt;&gt;"""");filter('Students (Vertical)'!O:O,'Students (Vertical)'!C:C=E623,'Students (Vertical)'!O:O&lt;&gt;"""")},{filter('Students (Vertical)'!O:O,'Students ("&amp;"Vertical)'!C:C=B623,'Students (Vertical)'!O:O&lt;&gt;"""");filter('Students (Vertical)'!O:O,'Students (Vertical)'!C:C=E623,'Students (Vertical)'!O:O&lt;&gt;"""")})&gt;1))),""No shared courses""),"""")"),"")</f>
        <v/>
      </c>
      <c r="J623" s="357" t="str">
        <f>IFERROR(__xludf.DUMMYFUNCTION("if(H623=""Can't be Together"",iferror(join("", "",unique(filter({filter('Students (Vertical)'!O:O,'Students (Vertical)'!C:C=B623,'Students (Vertical)'!O:O&lt;&gt;"""",'Students (Vertical)'!P:P&gt;1);filter('Students (Vertical)'!O:O,'Students (Vertical)'!C:C=E623,'"&amp;"Students (Vertical)'!O:O&lt;&gt;"""",'Students (Vertical)'!P:P&gt;1)},countifs({filter('Students (Vertical)'!O:O,'Students (Vertical)'!C:C=B623,'Students (Vertical)'!O:O&lt;&gt;"""",'Students (Vertical)'!P:P&gt;1);filter('Students (Vertical)'!O:O,'Students (Vertical)'!C:C="&amp;"E623,'Students (Vertical)'!O:O&lt;&gt;"""",'Students (Vertical)'!P:P&gt;1)},{filter('Students (Vertical)'!O:O,'Students (Vertical)'!C:C=B623,'Students (Vertical)'!O:O&lt;&gt;"""",'Students (Vertical)'!P:P&gt;1);filter('Students (Vertical)'!O:O,'Students (Vertical)'!C:C=E62"&amp;"3,'Students (Vertical)'!O:O&lt;&gt;"""",'Students (Vertical)'!P:P&gt;1)})&gt;1))),""""),"""")"),"")</f>
        <v/>
      </c>
      <c r="K623" s="358"/>
    </row>
    <row r="624">
      <c r="A624" s="300" t="s">
        <v>22</v>
      </c>
      <c r="C624" s="300" t="s">
        <v>22</v>
      </c>
      <c r="D624" s="300" t="s">
        <v>22</v>
      </c>
      <c r="F624" s="300" t="s">
        <v>22</v>
      </c>
      <c r="G624" s="300" t="s">
        <v>22</v>
      </c>
      <c r="I624" s="356" t="str">
        <f>IFERROR(__xludf.DUMMYFUNCTION("if(H624=""Must be Together"",iferror(join("", "",unique(filter({filter('Students (Vertical)'!O:O,'Students (Vertical)'!C:C=B624,'Students (Vertical)'!O:O&lt;&gt;"""");filter('Students (Vertical)'!O:O,'Students (Vertical)'!C:C=E624,'Students (Vertical)'!O:O&lt;&gt;"""&amp;""")},countifs({filter('Students (Vertical)'!O:O,'Students (Vertical)'!C:C=B624,'Students (Vertical)'!O:O&lt;&gt;"""");filter('Students (Vertical)'!O:O,'Students (Vertical)'!C:C=E624,'Students (Vertical)'!O:O&lt;&gt;"""")},{filter('Students (Vertical)'!O:O,'Students ("&amp;"Vertical)'!C:C=B624,'Students (Vertical)'!O:O&lt;&gt;"""");filter('Students (Vertical)'!O:O,'Students (Vertical)'!C:C=E624,'Students (Vertical)'!O:O&lt;&gt;"""")})&gt;1))),""No shared courses""),"""")"),"")</f>
        <v/>
      </c>
      <c r="J624" s="357" t="str">
        <f>IFERROR(__xludf.DUMMYFUNCTION("if(H624=""Can't be Together"",iferror(join("", "",unique(filter({filter('Students (Vertical)'!O:O,'Students (Vertical)'!C:C=B624,'Students (Vertical)'!O:O&lt;&gt;"""",'Students (Vertical)'!P:P&gt;1);filter('Students (Vertical)'!O:O,'Students (Vertical)'!C:C=E624,'"&amp;"Students (Vertical)'!O:O&lt;&gt;"""",'Students (Vertical)'!P:P&gt;1)},countifs({filter('Students (Vertical)'!O:O,'Students (Vertical)'!C:C=B624,'Students (Vertical)'!O:O&lt;&gt;"""",'Students (Vertical)'!P:P&gt;1);filter('Students (Vertical)'!O:O,'Students (Vertical)'!C:C="&amp;"E624,'Students (Vertical)'!O:O&lt;&gt;"""",'Students (Vertical)'!P:P&gt;1)},{filter('Students (Vertical)'!O:O,'Students (Vertical)'!C:C=B624,'Students (Vertical)'!O:O&lt;&gt;"""",'Students (Vertical)'!P:P&gt;1);filter('Students (Vertical)'!O:O,'Students (Vertical)'!C:C=E62"&amp;"4,'Students (Vertical)'!O:O&lt;&gt;"""",'Students (Vertical)'!P:P&gt;1)})&gt;1))),""""),"""")"),"")</f>
        <v/>
      </c>
      <c r="K624" s="358"/>
    </row>
    <row r="625">
      <c r="A625" s="300" t="s">
        <v>22</v>
      </c>
      <c r="C625" s="300" t="s">
        <v>22</v>
      </c>
      <c r="D625" s="300" t="s">
        <v>22</v>
      </c>
      <c r="F625" s="300" t="s">
        <v>22</v>
      </c>
      <c r="G625" s="300" t="s">
        <v>22</v>
      </c>
      <c r="I625" s="356" t="str">
        <f>IFERROR(__xludf.DUMMYFUNCTION("if(H625=""Must be Together"",iferror(join("", "",unique(filter({filter('Students (Vertical)'!O:O,'Students (Vertical)'!C:C=B625,'Students (Vertical)'!O:O&lt;&gt;"""");filter('Students (Vertical)'!O:O,'Students (Vertical)'!C:C=E625,'Students (Vertical)'!O:O&lt;&gt;"""&amp;""")},countifs({filter('Students (Vertical)'!O:O,'Students (Vertical)'!C:C=B625,'Students (Vertical)'!O:O&lt;&gt;"""");filter('Students (Vertical)'!O:O,'Students (Vertical)'!C:C=E625,'Students (Vertical)'!O:O&lt;&gt;"""")},{filter('Students (Vertical)'!O:O,'Students ("&amp;"Vertical)'!C:C=B625,'Students (Vertical)'!O:O&lt;&gt;"""");filter('Students (Vertical)'!O:O,'Students (Vertical)'!C:C=E625,'Students (Vertical)'!O:O&lt;&gt;"""")})&gt;1))),""No shared courses""),"""")"),"")</f>
        <v/>
      </c>
      <c r="J625" s="357" t="str">
        <f>IFERROR(__xludf.DUMMYFUNCTION("if(H625=""Can't be Together"",iferror(join("", "",unique(filter({filter('Students (Vertical)'!O:O,'Students (Vertical)'!C:C=B625,'Students (Vertical)'!O:O&lt;&gt;"""",'Students (Vertical)'!P:P&gt;1);filter('Students (Vertical)'!O:O,'Students (Vertical)'!C:C=E625,'"&amp;"Students (Vertical)'!O:O&lt;&gt;"""",'Students (Vertical)'!P:P&gt;1)},countifs({filter('Students (Vertical)'!O:O,'Students (Vertical)'!C:C=B625,'Students (Vertical)'!O:O&lt;&gt;"""",'Students (Vertical)'!P:P&gt;1);filter('Students (Vertical)'!O:O,'Students (Vertical)'!C:C="&amp;"E625,'Students (Vertical)'!O:O&lt;&gt;"""",'Students (Vertical)'!P:P&gt;1)},{filter('Students (Vertical)'!O:O,'Students (Vertical)'!C:C=B625,'Students (Vertical)'!O:O&lt;&gt;"""",'Students (Vertical)'!P:P&gt;1);filter('Students (Vertical)'!O:O,'Students (Vertical)'!C:C=E62"&amp;"5,'Students (Vertical)'!O:O&lt;&gt;"""",'Students (Vertical)'!P:P&gt;1)})&gt;1))),""""),"""")"),"")</f>
        <v/>
      </c>
      <c r="K625" s="358"/>
    </row>
    <row r="626">
      <c r="A626" s="300" t="s">
        <v>22</v>
      </c>
      <c r="C626" s="300" t="s">
        <v>22</v>
      </c>
      <c r="D626" s="300" t="s">
        <v>22</v>
      </c>
      <c r="F626" s="300" t="s">
        <v>22</v>
      </c>
      <c r="G626" s="300" t="s">
        <v>22</v>
      </c>
      <c r="I626" s="356" t="str">
        <f>IFERROR(__xludf.DUMMYFUNCTION("if(H626=""Must be Together"",iferror(join("", "",unique(filter({filter('Students (Vertical)'!O:O,'Students (Vertical)'!C:C=B626,'Students (Vertical)'!O:O&lt;&gt;"""");filter('Students (Vertical)'!O:O,'Students (Vertical)'!C:C=E626,'Students (Vertical)'!O:O&lt;&gt;"""&amp;""")},countifs({filter('Students (Vertical)'!O:O,'Students (Vertical)'!C:C=B626,'Students (Vertical)'!O:O&lt;&gt;"""");filter('Students (Vertical)'!O:O,'Students (Vertical)'!C:C=E626,'Students (Vertical)'!O:O&lt;&gt;"""")},{filter('Students (Vertical)'!O:O,'Students ("&amp;"Vertical)'!C:C=B626,'Students (Vertical)'!O:O&lt;&gt;"""");filter('Students (Vertical)'!O:O,'Students (Vertical)'!C:C=E626,'Students (Vertical)'!O:O&lt;&gt;"""")})&gt;1))),""No shared courses""),"""")"),"")</f>
        <v/>
      </c>
      <c r="J626" s="357" t="str">
        <f>IFERROR(__xludf.DUMMYFUNCTION("if(H626=""Can't be Together"",iferror(join("", "",unique(filter({filter('Students (Vertical)'!O:O,'Students (Vertical)'!C:C=B626,'Students (Vertical)'!O:O&lt;&gt;"""",'Students (Vertical)'!P:P&gt;1);filter('Students (Vertical)'!O:O,'Students (Vertical)'!C:C=E626,'"&amp;"Students (Vertical)'!O:O&lt;&gt;"""",'Students (Vertical)'!P:P&gt;1)},countifs({filter('Students (Vertical)'!O:O,'Students (Vertical)'!C:C=B626,'Students (Vertical)'!O:O&lt;&gt;"""",'Students (Vertical)'!P:P&gt;1);filter('Students (Vertical)'!O:O,'Students (Vertical)'!C:C="&amp;"E626,'Students (Vertical)'!O:O&lt;&gt;"""",'Students (Vertical)'!P:P&gt;1)},{filter('Students (Vertical)'!O:O,'Students (Vertical)'!C:C=B626,'Students (Vertical)'!O:O&lt;&gt;"""",'Students (Vertical)'!P:P&gt;1);filter('Students (Vertical)'!O:O,'Students (Vertical)'!C:C=E62"&amp;"6,'Students (Vertical)'!O:O&lt;&gt;"""",'Students (Vertical)'!P:P&gt;1)})&gt;1))),""""),"""")"),"")</f>
        <v/>
      </c>
      <c r="K626" s="358"/>
    </row>
    <row r="627">
      <c r="A627" s="300" t="s">
        <v>22</v>
      </c>
      <c r="C627" s="300" t="s">
        <v>22</v>
      </c>
      <c r="D627" s="300" t="s">
        <v>22</v>
      </c>
      <c r="F627" s="300" t="s">
        <v>22</v>
      </c>
      <c r="G627" s="300" t="s">
        <v>22</v>
      </c>
      <c r="I627" s="356" t="str">
        <f>IFERROR(__xludf.DUMMYFUNCTION("if(H627=""Must be Together"",iferror(join("", "",unique(filter({filter('Students (Vertical)'!O:O,'Students (Vertical)'!C:C=B627,'Students (Vertical)'!O:O&lt;&gt;"""");filter('Students (Vertical)'!O:O,'Students (Vertical)'!C:C=E627,'Students (Vertical)'!O:O&lt;&gt;"""&amp;""")},countifs({filter('Students (Vertical)'!O:O,'Students (Vertical)'!C:C=B627,'Students (Vertical)'!O:O&lt;&gt;"""");filter('Students (Vertical)'!O:O,'Students (Vertical)'!C:C=E627,'Students (Vertical)'!O:O&lt;&gt;"""")},{filter('Students (Vertical)'!O:O,'Students ("&amp;"Vertical)'!C:C=B627,'Students (Vertical)'!O:O&lt;&gt;"""");filter('Students (Vertical)'!O:O,'Students (Vertical)'!C:C=E627,'Students (Vertical)'!O:O&lt;&gt;"""")})&gt;1))),""No shared courses""),"""")"),"")</f>
        <v/>
      </c>
      <c r="J627" s="357" t="str">
        <f>IFERROR(__xludf.DUMMYFUNCTION("if(H627=""Can't be Together"",iferror(join("", "",unique(filter({filter('Students (Vertical)'!O:O,'Students (Vertical)'!C:C=B627,'Students (Vertical)'!O:O&lt;&gt;"""",'Students (Vertical)'!P:P&gt;1);filter('Students (Vertical)'!O:O,'Students (Vertical)'!C:C=E627,'"&amp;"Students (Vertical)'!O:O&lt;&gt;"""",'Students (Vertical)'!P:P&gt;1)},countifs({filter('Students (Vertical)'!O:O,'Students (Vertical)'!C:C=B627,'Students (Vertical)'!O:O&lt;&gt;"""",'Students (Vertical)'!P:P&gt;1);filter('Students (Vertical)'!O:O,'Students (Vertical)'!C:C="&amp;"E627,'Students (Vertical)'!O:O&lt;&gt;"""",'Students (Vertical)'!P:P&gt;1)},{filter('Students (Vertical)'!O:O,'Students (Vertical)'!C:C=B627,'Students (Vertical)'!O:O&lt;&gt;"""",'Students (Vertical)'!P:P&gt;1);filter('Students (Vertical)'!O:O,'Students (Vertical)'!C:C=E62"&amp;"7,'Students (Vertical)'!O:O&lt;&gt;"""",'Students (Vertical)'!P:P&gt;1)})&gt;1))),""""),"""")"),"")</f>
        <v/>
      </c>
      <c r="K627" s="358"/>
    </row>
    <row r="628">
      <c r="A628" s="300" t="s">
        <v>22</v>
      </c>
      <c r="C628" s="300" t="s">
        <v>22</v>
      </c>
      <c r="D628" s="300" t="s">
        <v>22</v>
      </c>
      <c r="F628" s="300" t="s">
        <v>22</v>
      </c>
      <c r="G628" s="300" t="s">
        <v>22</v>
      </c>
      <c r="I628" s="356" t="str">
        <f>IFERROR(__xludf.DUMMYFUNCTION("if(H628=""Must be Together"",iferror(join("", "",unique(filter({filter('Students (Vertical)'!O:O,'Students (Vertical)'!C:C=B628,'Students (Vertical)'!O:O&lt;&gt;"""");filter('Students (Vertical)'!O:O,'Students (Vertical)'!C:C=E628,'Students (Vertical)'!O:O&lt;&gt;"""&amp;""")},countifs({filter('Students (Vertical)'!O:O,'Students (Vertical)'!C:C=B628,'Students (Vertical)'!O:O&lt;&gt;"""");filter('Students (Vertical)'!O:O,'Students (Vertical)'!C:C=E628,'Students (Vertical)'!O:O&lt;&gt;"""")},{filter('Students (Vertical)'!O:O,'Students ("&amp;"Vertical)'!C:C=B628,'Students (Vertical)'!O:O&lt;&gt;"""");filter('Students (Vertical)'!O:O,'Students (Vertical)'!C:C=E628,'Students (Vertical)'!O:O&lt;&gt;"""")})&gt;1))),""No shared courses""),"""")"),"")</f>
        <v/>
      </c>
      <c r="J628" s="357" t="str">
        <f>IFERROR(__xludf.DUMMYFUNCTION("if(H628=""Can't be Together"",iferror(join("", "",unique(filter({filter('Students (Vertical)'!O:O,'Students (Vertical)'!C:C=B628,'Students (Vertical)'!O:O&lt;&gt;"""",'Students (Vertical)'!P:P&gt;1);filter('Students (Vertical)'!O:O,'Students (Vertical)'!C:C=E628,'"&amp;"Students (Vertical)'!O:O&lt;&gt;"""",'Students (Vertical)'!P:P&gt;1)},countifs({filter('Students (Vertical)'!O:O,'Students (Vertical)'!C:C=B628,'Students (Vertical)'!O:O&lt;&gt;"""",'Students (Vertical)'!P:P&gt;1);filter('Students (Vertical)'!O:O,'Students (Vertical)'!C:C="&amp;"E628,'Students (Vertical)'!O:O&lt;&gt;"""",'Students (Vertical)'!P:P&gt;1)},{filter('Students (Vertical)'!O:O,'Students (Vertical)'!C:C=B628,'Students (Vertical)'!O:O&lt;&gt;"""",'Students (Vertical)'!P:P&gt;1);filter('Students (Vertical)'!O:O,'Students (Vertical)'!C:C=E62"&amp;"8,'Students (Vertical)'!O:O&lt;&gt;"""",'Students (Vertical)'!P:P&gt;1)})&gt;1))),""""),"""")"),"")</f>
        <v/>
      </c>
      <c r="K628" s="358"/>
    </row>
    <row r="629">
      <c r="A629" s="300" t="s">
        <v>22</v>
      </c>
      <c r="C629" s="300" t="s">
        <v>22</v>
      </c>
      <c r="D629" s="300" t="s">
        <v>22</v>
      </c>
      <c r="F629" s="300" t="s">
        <v>22</v>
      </c>
      <c r="G629" s="300" t="s">
        <v>22</v>
      </c>
      <c r="I629" s="356" t="str">
        <f>IFERROR(__xludf.DUMMYFUNCTION("if(H629=""Must be Together"",iferror(join("", "",unique(filter({filter('Students (Vertical)'!O:O,'Students (Vertical)'!C:C=B629,'Students (Vertical)'!O:O&lt;&gt;"""");filter('Students (Vertical)'!O:O,'Students (Vertical)'!C:C=E629,'Students (Vertical)'!O:O&lt;&gt;"""&amp;""")},countifs({filter('Students (Vertical)'!O:O,'Students (Vertical)'!C:C=B629,'Students (Vertical)'!O:O&lt;&gt;"""");filter('Students (Vertical)'!O:O,'Students (Vertical)'!C:C=E629,'Students (Vertical)'!O:O&lt;&gt;"""")},{filter('Students (Vertical)'!O:O,'Students ("&amp;"Vertical)'!C:C=B629,'Students (Vertical)'!O:O&lt;&gt;"""");filter('Students (Vertical)'!O:O,'Students (Vertical)'!C:C=E629,'Students (Vertical)'!O:O&lt;&gt;"""")})&gt;1))),""No shared courses""),"""")"),"")</f>
        <v/>
      </c>
      <c r="J629" s="357" t="str">
        <f>IFERROR(__xludf.DUMMYFUNCTION("if(H629=""Can't be Together"",iferror(join("", "",unique(filter({filter('Students (Vertical)'!O:O,'Students (Vertical)'!C:C=B629,'Students (Vertical)'!O:O&lt;&gt;"""",'Students (Vertical)'!P:P&gt;1);filter('Students (Vertical)'!O:O,'Students (Vertical)'!C:C=E629,'"&amp;"Students (Vertical)'!O:O&lt;&gt;"""",'Students (Vertical)'!P:P&gt;1)},countifs({filter('Students (Vertical)'!O:O,'Students (Vertical)'!C:C=B629,'Students (Vertical)'!O:O&lt;&gt;"""",'Students (Vertical)'!P:P&gt;1);filter('Students (Vertical)'!O:O,'Students (Vertical)'!C:C="&amp;"E629,'Students (Vertical)'!O:O&lt;&gt;"""",'Students (Vertical)'!P:P&gt;1)},{filter('Students (Vertical)'!O:O,'Students (Vertical)'!C:C=B629,'Students (Vertical)'!O:O&lt;&gt;"""",'Students (Vertical)'!P:P&gt;1);filter('Students (Vertical)'!O:O,'Students (Vertical)'!C:C=E62"&amp;"9,'Students (Vertical)'!O:O&lt;&gt;"""",'Students (Vertical)'!P:P&gt;1)})&gt;1))),""""),"""")"),"")</f>
        <v/>
      </c>
      <c r="K629" s="358"/>
    </row>
    <row r="630">
      <c r="A630" s="300" t="s">
        <v>22</v>
      </c>
      <c r="C630" s="300" t="s">
        <v>22</v>
      </c>
      <c r="D630" s="300" t="s">
        <v>22</v>
      </c>
      <c r="F630" s="300" t="s">
        <v>22</v>
      </c>
      <c r="G630" s="300" t="s">
        <v>22</v>
      </c>
      <c r="I630" s="356" t="str">
        <f>IFERROR(__xludf.DUMMYFUNCTION("if(H630=""Must be Together"",iferror(join("", "",unique(filter({filter('Students (Vertical)'!O:O,'Students (Vertical)'!C:C=B630,'Students (Vertical)'!O:O&lt;&gt;"""");filter('Students (Vertical)'!O:O,'Students (Vertical)'!C:C=E630,'Students (Vertical)'!O:O&lt;&gt;"""&amp;""")},countifs({filter('Students (Vertical)'!O:O,'Students (Vertical)'!C:C=B630,'Students (Vertical)'!O:O&lt;&gt;"""");filter('Students (Vertical)'!O:O,'Students (Vertical)'!C:C=E630,'Students (Vertical)'!O:O&lt;&gt;"""")},{filter('Students (Vertical)'!O:O,'Students ("&amp;"Vertical)'!C:C=B630,'Students (Vertical)'!O:O&lt;&gt;"""");filter('Students (Vertical)'!O:O,'Students (Vertical)'!C:C=E630,'Students (Vertical)'!O:O&lt;&gt;"""")})&gt;1))),""No shared courses""),"""")"),"")</f>
        <v/>
      </c>
      <c r="J630" s="357" t="str">
        <f>IFERROR(__xludf.DUMMYFUNCTION("if(H630=""Can't be Together"",iferror(join("", "",unique(filter({filter('Students (Vertical)'!O:O,'Students (Vertical)'!C:C=B630,'Students (Vertical)'!O:O&lt;&gt;"""",'Students (Vertical)'!P:P&gt;1);filter('Students (Vertical)'!O:O,'Students (Vertical)'!C:C=E630,'"&amp;"Students (Vertical)'!O:O&lt;&gt;"""",'Students (Vertical)'!P:P&gt;1)},countifs({filter('Students (Vertical)'!O:O,'Students (Vertical)'!C:C=B630,'Students (Vertical)'!O:O&lt;&gt;"""",'Students (Vertical)'!P:P&gt;1);filter('Students (Vertical)'!O:O,'Students (Vertical)'!C:C="&amp;"E630,'Students (Vertical)'!O:O&lt;&gt;"""",'Students (Vertical)'!P:P&gt;1)},{filter('Students (Vertical)'!O:O,'Students (Vertical)'!C:C=B630,'Students (Vertical)'!O:O&lt;&gt;"""",'Students (Vertical)'!P:P&gt;1);filter('Students (Vertical)'!O:O,'Students (Vertical)'!C:C=E63"&amp;"0,'Students (Vertical)'!O:O&lt;&gt;"""",'Students (Vertical)'!P:P&gt;1)})&gt;1))),""""),"""")"),"")</f>
        <v/>
      </c>
      <c r="K630" s="358"/>
    </row>
    <row r="631">
      <c r="A631" s="300" t="s">
        <v>22</v>
      </c>
      <c r="C631" s="300" t="s">
        <v>22</v>
      </c>
      <c r="D631" s="300" t="s">
        <v>22</v>
      </c>
      <c r="F631" s="300" t="s">
        <v>22</v>
      </c>
      <c r="G631" s="300" t="s">
        <v>22</v>
      </c>
      <c r="I631" s="356" t="str">
        <f>IFERROR(__xludf.DUMMYFUNCTION("if(H631=""Must be Together"",iferror(join("", "",unique(filter({filter('Students (Vertical)'!O:O,'Students (Vertical)'!C:C=B631,'Students (Vertical)'!O:O&lt;&gt;"""");filter('Students (Vertical)'!O:O,'Students (Vertical)'!C:C=E631,'Students (Vertical)'!O:O&lt;&gt;"""&amp;""")},countifs({filter('Students (Vertical)'!O:O,'Students (Vertical)'!C:C=B631,'Students (Vertical)'!O:O&lt;&gt;"""");filter('Students (Vertical)'!O:O,'Students (Vertical)'!C:C=E631,'Students (Vertical)'!O:O&lt;&gt;"""")},{filter('Students (Vertical)'!O:O,'Students ("&amp;"Vertical)'!C:C=B631,'Students (Vertical)'!O:O&lt;&gt;"""");filter('Students (Vertical)'!O:O,'Students (Vertical)'!C:C=E631,'Students (Vertical)'!O:O&lt;&gt;"""")})&gt;1))),""No shared courses""),"""")"),"")</f>
        <v/>
      </c>
      <c r="J631" s="357" t="str">
        <f>IFERROR(__xludf.DUMMYFUNCTION("if(H631=""Can't be Together"",iferror(join("", "",unique(filter({filter('Students (Vertical)'!O:O,'Students (Vertical)'!C:C=B631,'Students (Vertical)'!O:O&lt;&gt;"""",'Students (Vertical)'!P:P&gt;1);filter('Students (Vertical)'!O:O,'Students (Vertical)'!C:C=E631,'"&amp;"Students (Vertical)'!O:O&lt;&gt;"""",'Students (Vertical)'!P:P&gt;1)},countifs({filter('Students (Vertical)'!O:O,'Students (Vertical)'!C:C=B631,'Students (Vertical)'!O:O&lt;&gt;"""",'Students (Vertical)'!P:P&gt;1);filter('Students (Vertical)'!O:O,'Students (Vertical)'!C:C="&amp;"E631,'Students (Vertical)'!O:O&lt;&gt;"""",'Students (Vertical)'!P:P&gt;1)},{filter('Students (Vertical)'!O:O,'Students (Vertical)'!C:C=B631,'Students (Vertical)'!O:O&lt;&gt;"""",'Students (Vertical)'!P:P&gt;1);filter('Students (Vertical)'!O:O,'Students (Vertical)'!C:C=E63"&amp;"1,'Students (Vertical)'!O:O&lt;&gt;"""",'Students (Vertical)'!P:P&gt;1)})&gt;1))),""""),"""")"),"")</f>
        <v/>
      </c>
      <c r="K631" s="358"/>
    </row>
    <row r="632">
      <c r="A632" s="300" t="s">
        <v>22</v>
      </c>
      <c r="C632" s="300" t="s">
        <v>22</v>
      </c>
      <c r="D632" s="300" t="s">
        <v>22</v>
      </c>
      <c r="F632" s="300" t="s">
        <v>22</v>
      </c>
      <c r="G632" s="300" t="s">
        <v>22</v>
      </c>
      <c r="I632" s="356" t="str">
        <f>IFERROR(__xludf.DUMMYFUNCTION("if(H632=""Must be Together"",iferror(join("", "",unique(filter({filter('Students (Vertical)'!O:O,'Students (Vertical)'!C:C=B632,'Students (Vertical)'!O:O&lt;&gt;"""");filter('Students (Vertical)'!O:O,'Students (Vertical)'!C:C=E632,'Students (Vertical)'!O:O&lt;&gt;"""&amp;""")},countifs({filter('Students (Vertical)'!O:O,'Students (Vertical)'!C:C=B632,'Students (Vertical)'!O:O&lt;&gt;"""");filter('Students (Vertical)'!O:O,'Students (Vertical)'!C:C=E632,'Students (Vertical)'!O:O&lt;&gt;"""")},{filter('Students (Vertical)'!O:O,'Students ("&amp;"Vertical)'!C:C=B632,'Students (Vertical)'!O:O&lt;&gt;"""");filter('Students (Vertical)'!O:O,'Students (Vertical)'!C:C=E632,'Students (Vertical)'!O:O&lt;&gt;"""")})&gt;1))),""No shared courses""),"""")"),"")</f>
        <v/>
      </c>
      <c r="J632" s="357" t="str">
        <f>IFERROR(__xludf.DUMMYFUNCTION("if(H632=""Can't be Together"",iferror(join("", "",unique(filter({filter('Students (Vertical)'!O:O,'Students (Vertical)'!C:C=B632,'Students (Vertical)'!O:O&lt;&gt;"""",'Students (Vertical)'!P:P&gt;1);filter('Students (Vertical)'!O:O,'Students (Vertical)'!C:C=E632,'"&amp;"Students (Vertical)'!O:O&lt;&gt;"""",'Students (Vertical)'!P:P&gt;1)},countifs({filter('Students (Vertical)'!O:O,'Students (Vertical)'!C:C=B632,'Students (Vertical)'!O:O&lt;&gt;"""",'Students (Vertical)'!P:P&gt;1);filter('Students (Vertical)'!O:O,'Students (Vertical)'!C:C="&amp;"E632,'Students (Vertical)'!O:O&lt;&gt;"""",'Students (Vertical)'!P:P&gt;1)},{filter('Students (Vertical)'!O:O,'Students (Vertical)'!C:C=B632,'Students (Vertical)'!O:O&lt;&gt;"""",'Students (Vertical)'!P:P&gt;1);filter('Students (Vertical)'!O:O,'Students (Vertical)'!C:C=E63"&amp;"2,'Students (Vertical)'!O:O&lt;&gt;"""",'Students (Vertical)'!P:P&gt;1)})&gt;1))),""""),"""")"),"")</f>
        <v/>
      </c>
      <c r="K632" s="358"/>
    </row>
    <row r="633">
      <c r="A633" s="300" t="s">
        <v>22</v>
      </c>
      <c r="C633" s="300" t="s">
        <v>22</v>
      </c>
      <c r="D633" s="300" t="s">
        <v>22</v>
      </c>
      <c r="F633" s="300" t="s">
        <v>22</v>
      </c>
      <c r="G633" s="300" t="s">
        <v>22</v>
      </c>
      <c r="I633" s="356" t="str">
        <f>IFERROR(__xludf.DUMMYFUNCTION("if(H633=""Must be Together"",iferror(join("", "",unique(filter({filter('Students (Vertical)'!O:O,'Students (Vertical)'!C:C=B633,'Students (Vertical)'!O:O&lt;&gt;"""");filter('Students (Vertical)'!O:O,'Students (Vertical)'!C:C=E633,'Students (Vertical)'!O:O&lt;&gt;"""&amp;""")},countifs({filter('Students (Vertical)'!O:O,'Students (Vertical)'!C:C=B633,'Students (Vertical)'!O:O&lt;&gt;"""");filter('Students (Vertical)'!O:O,'Students (Vertical)'!C:C=E633,'Students (Vertical)'!O:O&lt;&gt;"""")},{filter('Students (Vertical)'!O:O,'Students ("&amp;"Vertical)'!C:C=B633,'Students (Vertical)'!O:O&lt;&gt;"""");filter('Students (Vertical)'!O:O,'Students (Vertical)'!C:C=E633,'Students (Vertical)'!O:O&lt;&gt;"""")})&gt;1))),""No shared courses""),"""")"),"")</f>
        <v/>
      </c>
      <c r="J633" s="357" t="str">
        <f>IFERROR(__xludf.DUMMYFUNCTION("if(H633=""Can't be Together"",iferror(join("", "",unique(filter({filter('Students (Vertical)'!O:O,'Students (Vertical)'!C:C=B633,'Students (Vertical)'!O:O&lt;&gt;"""",'Students (Vertical)'!P:P&gt;1);filter('Students (Vertical)'!O:O,'Students (Vertical)'!C:C=E633,'"&amp;"Students (Vertical)'!O:O&lt;&gt;"""",'Students (Vertical)'!P:P&gt;1)},countifs({filter('Students (Vertical)'!O:O,'Students (Vertical)'!C:C=B633,'Students (Vertical)'!O:O&lt;&gt;"""",'Students (Vertical)'!P:P&gt;1);filter('Students (Vertical)'!O:O,'Students (Vertical)'!C:C="&amp;"E633,'Students (Vertical)'!O:O&lt;&gt;"""",'Students (Vertical)'!P:P&gt;1)},{filter('Students (Vertical)'!O:O,'Students (Vertical)'!C:C=B633,'Students (Vertical)'!O:O&lt;&gt;"""",'Students (Vertical)'!P:P&gt;1);filter('Students (Vertical)'!O:O,'Students (Vertical)'!C:C=E63"&amp;"3,'Students (Vertical)'!O:O&lt;&gt;"""",'Students (Vertical)'!P:P&gt;1)})&gt;1))),""""),"""")"),"")</f>
        <v/>
      </c>
      <c r="K633" s="358"/>
    </row>
    <row r="634">
      <c r="A634" s="300" t="s">
        <v>22</v>
      </c>
      <c r="C634" s="300" t="s">
        <v>22</v>
      </c>
      <c r="D634" s="300" t="s">
        <v>22</v>
      </c>
      <c r="F634" s="300" t="s">
        <v>22</v>
      </c>
      <c r="G634" s="300" t="s">
        <v>22</v>
      </c>
      <c r="I634" s="356" t="str">
        <f>IFERROR(__xludf.DUMMYFUNCTION("if(H634=""Must be Together"",iferror(join("", "",unique(filter({filter('Students (Vertical)'!O:O,'Students (Vertical)'!C:C=B634,'Students (Vertical)'!O:O&lt;&gt;"""");filter('Students (Vertical)'!O:O,'Students (Vertical)'!C:C=E634,'Students (Vertical)'!O:O&lt;&gt;"""&amp;""")},countifs({filter('Students (Vertical)'!O:O,'Students (Vertical)'!C:C=B634,'Students (Vertical)'!O:O&lt;&gt;"""");filter('Students (Vertical)'!O:O,'Students (Vertical)'!C:C=E634,'Students (Vertical)'!O:O&lt;&gt;"""")},{filter('Students (Vertical)'!O:O,'Students ("&amp;"Vertical)'!C:C=B634,'Students (Vertical)'!O:O&lt;&gt;"""");filter('Students (Vertical)'!O:O,'Students (Vertical)'!C:C=E634,'Students (Vertical)'!O:O&lt;&gt;"""")})&gt;1))),""No shared courses""),"""")"),"")</f>
        <v/>
      </c>
      <c r="J634" s="357" t="str">
        <f>IFERROR(__xludf.DUMMYFUNCTION("if(H634=""Can't be Together"",iferror(join("", "",unique(filter({filter('Students (Vertical)'!O:O,'Students (Vertical)'!C:C=B634,'Students (Vertical)'!O:O&lt;&gt;"""",'Students (Vertical)'!P:P&gt;1);filter('Students (Vertical)'!O:O,'Students (Vertical)'!C:C=E634,'"&amp;"Students (Vertical)'!O:O&lt;&gt;"""",'Students (Vertical)'!P:P&gt;1)},countifs({filter('Students (Vertical)'!O:O,'Students (Vertical)'!C:C=B634,'Students (Vertical)'!O:O&lt;&gt;"""",'Students (Vertical)'!P:P&gt;1);filter('Students (Vertical)'!O:O,'Students (Vertical)'!C:C="&amp;"E634,'Students (Vertical)'!O:O&lt;&gt;"""",'Students (Vertical)'!P:P&gt;1)},{filter('Students (Vertical)'!O:O,'Students (Vertical)'!C:C=B634,'Students (Vertical)'!O:O&lt;&gt;"""",'Students (Vertical)'!P:P&gt;1);filter('Students (Vertical)'!O:O,'Students (Vertical)'!C:C=E63"&amp;"4,'Students (Vertical)'!O:O&lt;&gt;"""",'Students (Vertical)'!P:P&gt;1)})&gt;1))),""""),"""")"),"")</f>
        <v/>
      </c>
      <c r="K634" s="358"/>
    </row>
    <row r="635">
      <c r="A635" s="300" t="s">
        <v>22</v>
      </c>
      <c r="C635" s="300" t="s">
        <v>22</v>
      </c>
      <c r="D635" s="300" t="s">
        <v>22</v>
      </c>
      <c r="F635" s="300" t="s">
        <v>22</v>
      </c>
      <c r="G635" s="300" t="s">
        <v>22</v>
      </c>
      <c r="I635" s="356" t="str">
        <f>IFERROR(__xludf.DUMMYFUNCTION("if(H635=""Must be Together"",iferror(join("", "",unique(filter({filter('Students (Vertical)'!O:O,'Students (Vertical)'!C:C=B635,'Students (Vertical)'!O:O&lt;&gt;"""");filter('Students (Vertical)'!O:O,'Students (Vertical)'!C:C=E635,'Students (Vertical)'!O:O&lt;&gt;"""&amp;""")},countifs({filter('Students (Vertical)'!O:O,'Students (Vertical)'!C:C=B635,'Students (Vertical)'!O:O&lt;&gt;"""");filter('Students (Vertical)'!O:O,'Students (Vertical)'!C:C=E635,'Students (Vertical)'!O:O&lt;&gt;"""")},{filter('Students (Vertical)'!O:O,'Students ("&amp;"Vertical)'!C:C=B635,'Students (Vertical)'!O:O&lt;&gt;"""");filter('Students (Vertical)'!O:O,'Students (Vertical)'!C:C=E635,'Students (Vertical)'!O:O&lt;&gt;"""")})&gt;1))),""No shared courses""),"""")"),"")</f>
        <v/>
      </c>
      <c r="J635" s="357" t="str">
        <f>IFERROR(__xludf.DUMMYFUNCTION("if(H635=""Can't be Together"",iferror(join("", "",unique(filter({filter('Students (Vertical)'!O:O,'Students (Vertical)'!C:C=B635,'Students (Vertical)'!O:O&lt;&gt;"""",'Students (Vertical)'!P:P&gt;1);filter('Students (Vertical)'!O:O,'Students (Vertical)'!C:C=E635,'"&amp;"Students (Vertical)'!O:O&lt;&gt;"""",'Students (Vertical)'!P:P&gt;1)},countifs({filter('Students (Vertical)'!O:O,'Students (Vertical)'!C:C=B635,'Students (Vertical)'!O:O&lt;&gt;"""",'Students (Vertical)'!P:P&gt;1);filter('Students (Vertical)'!O:O,'Students (Vertical)'!C:C="&amp;"E635,'Students (Vertical)'!O:O&lt;&gt;"""",'Students (Vertical)'!P:P&gt;1)},{filter('Students (Vertical)'!O:O,'Students (Vertical)'!C:C=B635,'Students (Vertical)'!O:O&lt;&gt;"""",'Students (Vertical)'!P:P&gt;1);filter('Students (Vertical)'!O:O,'Students (Vertical)'!C:C=E63"&amp;"5,'Students (Vertical)'!O:O&lt;&gt;"""",'Students (Vertical)'!P:P&gt;1)})&gt;1))),""""),"""")"),"")</f>
        <v/>
      </c>
      <c r="K635" s="358"/>
    </row>
    <row r="636">
      <c r="A636" s="300" t="s">
        <v>22</v>
      </c>
      <c r="C636" s="300" t="s">
        <v>22</v>
      </c>
      <c r="D636" s="300" t="s">
        <v>22</v>
      </c>
      <c r="F636" s="300" t="s">
        <v>22</v>
      </c>
      <c r="G636" s="300" t="s">
        <v>22</v>
      </c>
      <c r="I636" s="356" t="str">
        <f>IFERROR(__xludf.DUMMYFUNCTION("if(H636=""Must be Together"",iferror(join("", "",unique(filter({filter('Students (Vertical)'!O:O,'Students (Vertical)'!C:C=B636,'Students (Vertical)'!O:O&lt;&gt;"""");filter('Students (Vertical)'!O:O,'Students (Vertical)'!C:C=E636,'Students (Vertical)'!O:O&lt;&gt;"""&amp;""")},countifs({filter('Students (Vertical)'!O:O,'Students (Vertical)'!C:C=B636,'Students (Vertical)'!O:O&lt;&gt;"""");filter('Students (Vertical)'!O:O,'Students (Vertical)'!C:C=E636,'Students (Vertical)'!O:O&lt;&gt;"""")},{filter('Students (Vertical)'!O:O,'Students ("&amp;"Vertical)'!C:C=B636,'Students (Vertical)'!O:O&lt;&gt;"""");filter('Students (Vertical)'!O:O,'Students (Vertical)'!C:C=E636,'Students (Vertical)'!O:O&lt;&gt;"""")})&gt;1))),""No shared courses""),"""")"),"")</f>
        <v/>
      </c>
      <c r="J636" s="357" t="str">
        <f>IFERROR(__xludf.DUMMYFUNCTION("if(H636=""Can't be Together"",iferror(join("", "",unique(filter({filter('Students (Vertical)'!O:O,'Students (Vertical)'!C:C=B636,'Students (Vertical)'!O:O&lt;&gt;"""",'Students (Vertical)'!P:P&gt;1);filter('Students (Vertical)'!O:O,'Students (Vertical)'!C:C=E636,'"&amp;"Students (Vertical)'!O:O&lt;&gt;"""",'Students (Vertical)'!P:P&gt;1)},countifs({filter('Students (Vertical)'!O:O,'Students (Vertical)'!C:C=B636,'Students (Vertical)'!O:O&lt;&gt;"""",'Students (Vertical)'!P:P&gt;1);filter('Students (Vertical)'!O:O,'Students (Vertical)'!C:C="&amp;"E636,'Students (Vertical)'!O:O&lt;&gt;"""",'Students (Vertical)'!P:P&gt;1)},{filter('Students (Vertical)'!O:O,'Students (Vertical)'!C:C=B636,'Students (Vertical)'!O:O&lt;&gt;"""",'Students (Vertical)'!P:P&gt;1);filter('Students (Vertical)'!O:O,'Students (Vertical)'!C:C=E63"&amp;"6,'Students (Vertical)'!O:O&lt;&gt;"""",'Students (Vertical)'!P:P&gt;1)})&gt;1))),""""),"""")"),"")</f>
        <v/>
      </c>
      <c r="K636" s="358"/>
    </row>
    <row r="637">
      <c r="A637" s="300" t="s">
        <v>22</v>
      </c>
      <c r="C637" s="300" t="s">
        <v>22</v>
      </c>
      <c r="D637" s="300" t="s">
        <v>22</v>
      </c>
      <c r="F637" s="300" t="s">
        <v>22</v>
      </c>
      <c r="G637" s="300" t="s">
        <v>22</v>
      </c>
      <c r="I637" s="356" t="str">
        <f>IFERROR(__xludf.DUMMYFUNCTION("if(H637=""Must be Together"",iferror(join("", "",unique(filter({filter('Students (Vertical)'!O:O,'Students (Vertical)'!C:C=B637,'Students (Vertical)'!O:O&lt;&gt;"""");filter('Students (Vertical)'!O:O,'Students (Vertical)'!C:C=E637,'Students (Vertical)'!O:O&lt;&gt;"""&amp;""")},countifs({filter('Students (Vertical)'!O:O,'Students (Vertical)'!C:C=B637,'Students (Vertical)'!O:O&lt;&gt;"""");filter('Students (Vertical)'!O:O,'Students (Vertical)'!C:C=E637,'Students (Vertical)'!O:O&lt;&gt;"""")},{filter('Students (Vertical)'!O:O,'Students ("&amp;"Vertical)'!C:C=B637,'Students (Vertical)'!O:O&lt;&gt;"""");filter('Students (Vertical)'!O:O,'Students (Vertical)'!C:C=E637,'Students (Vertical)'!O:O&lt;&gt;"""")})&gt;1))),""No shared courses""),"""")"),"")</f>
        <v/>
      </c>
      <c r="J637" s="357" t="str">
        <f>IFERROR(__xludf.DUMMYFUNCTION("if(H637=""Can't be Together"",iferror(join("", "",unique(filter({filter('Students (Vertical)'!O:O,'Students (Vertical)'!C:C=B637,'Students (Vertical)'!O:O&lt;&gt;"""",'Students (Vertical)'!P:P&gt;1);filter('Students (Vertical)'!O:O,'Students (Vertical)'!C:C=E637,'"&amp;"Students (Vertical)'!O:O&lt;&gt;"""",'Students (Vertical)'!P:P&gt;1)},countifs({filter('Students (Vertical)'!O:O,'Students (Vertical)'!C:C=B637,'Students (Vertical)'!O:O&lt;&gt;"""",'Students (Vertical)'!P:P&gt;1);filter('Students (Vertical)'!O:O,'Students (Vertical)'!C:C="&amp;"E637,'Students (Vertical)'!O:O&lt;&gt;"""",'Students (Vertical)'!P:P&gt;1)},{filter('Students (Vertical)'!O:O,'Students (Vertical)'!C:C=B637,'Students (Vertical)'!O:O&lt;&gt;"""",'Students (Vertical)'!P:P&gt;1);filter('Students (Vertical)'!O:O,'Students (Vertical)'!C:C=E63"&amp;"7,'Students (Vertical)'!O:O&lt;&gt;"""",'Students (Vertical)'!P:P&gt;1)})&gt;1))),""""),"""")"),"")</f>
        <v/>
      </c>
      <c r="K637" s="358"/>
    </row>
    <row r="638">
      <c r="A638" s="300" t="s">
        <v>22</v>
      </c>
      <c r="C638" s="300" t="s">
        <v>22</v>
      </c>
      <c r="D638" s="300" t="s">
        <v>22</v>
      </c>
      <c r="F638" s="300" t="s">
        <v>22</v>
      </c>
      <c r="G638" s="300" t="s">
        <v>22</v>
      </c>
      <c r="I638" s="356" t="str">
        <f>IFERROR(__xludf.DUMMYFUNCTION("if(H638=""Must be Together"",iferror(join("", "",unique(filter({filter('Students (Vertical)'!O:O,'Students (Vertical)'!C:C=B638,'Students (Vertical)'!O:O&lt;&gt;"""");filter('Students (Vertical)'!O:O,'Students (Vertical)'!C:C=E638,'Students (Vertical)'!O:O&lt;&gt;"""&amp;""")},countifs({filter('Students (Vertical)'!O:O,'Students (Vertical)'!C:C=B638,'Students (Vertical)'!O:O&lt;&gt;"""");filter('Students (Vertical)'!O:O,'Students (Vertical)'!C:C=E638,'Students (Vertical)'!O:O&lt;&gt;"""")},{filter('Students (Vertical)'!O:O,'Students ("&amp;"Vertical)'!C:C=B638,'Students (Vertical)'!O:O&lt;&gt;"""");filter('Students (Vertical)'!O:O,'Students (Vertical)'!C:C=E638,'Students (Vertical)'!O:O&lt;&gt;"""")})&gt;1))),""No shared courses""),"""")"),"")</f>
        <v/>
      </c>
      <c r="J638" s="357" t="str">
        <f>IFERROR(__xludf.DUMMYFUNCTION("if(H638=""Can't be Together"",iferror(join("", "",unique(filter({filter('Students (Vertical)'!O:O,'Students (Vertical)'!C:C=B638,'Students (Vertical)'!O:O&lt;&gt;"""",'Students (Vertical)'!P:P&gt;1);filter('Students (Vertical)'!O:O,'Students (Vertical)'!C:C=E638,'"&amp;"Students (Vertical)'!O:O&lt;&gt;"""",'Students (Vertical)'!P:P&gt;1)},countifs({filter('Students (Vertical)'!O:O,'Students (Vertical)'!C:C=B638,'Students (Vertical)'!O:O&lt;&gt;"""",'Students (Vertical)'!P:P&gt;1);filter('Students (Vertical)'!O:O,'Students (Vertical)'!C:C="&amp;"E638,'Students (Vertical)'!O:O&lt;&gt;"""",'Students (Vertical)'!P:P&gt;1)},{filter('Students (Vertical)'!O:O,'Students (Vertical)'!C:C=B638,'Students (Vertical)'!O:O&lt;&gt;"""",'Students (Vertical)'!P:P&gt;1);filter('Students (Vertical)'!O:O,'Students (Vertical)'!C:C=E63"&amp;"8,'Students (Vertical)'!O:O&lt;&gt;"""",'Students (Vertical)'!P:P&gt;1)})&gt;1))),""""),"""")"),"")</f>
        <v/>
      </c>
      <c r="K638" s="358"/>
    </row>
    <row r="639">
      <c r="A639" s="300" t="s">
        <v>22</v>
      </c>
      <c r="C639" s="300" t="s">
        <v>22</v>
      </c>
      <c r="D639" s="300" t="s">
        <v>22</v>
      </c>
      <c r="F639" s="300" t="s">
        <v>22</v>
      </c>
      <c r="G639" s="300" t="s">
        <v>22</v>
      </c>
      <c r="I639" s="356" t="str">
        <f>IFERROR(__xludf.DUMMYFUNCTION("if(H639=""Must be Together"",iferror(join("", "",unique(filter({filter('Students (Vertical)'!O:O,'Students (Vertical)'!C:C=B639,'Students (Vertical)'!O:O&lt;&gt;"""");filter('Students (Vertical)'!O:O,'Students (Vertical)'!C:C=E639,'Students (Vertical)'!O:O&lt;&gt;"""&amp;""")},countifs({filter('Students (Vertical)'!O:O,'Students (Vertical)'!C:C=B639,'Students (Vertical)'!O:O&lt;&gt;"""");filter('Students (Vertical)'!O:O,'Students (Vertical)'!C:C=E639,'Students (Vertical)'!O:O&lt;&gt;"""")},{filter('Students (Vertical)'!O:O,'Students ("&amp;"Vertical)'!C:C=B639,'Students (Vertical)'!O:O&lt;&gt;"""");filter('Students (Vertical)'!O:O,'Students (Vertical)'!C:C=E639,'Students (Vertical)'!O:O&lt;&gt;"""")})&gt;1))),""No shared courses""),"""")"),"")</f>
        <v/>
      </c>
      <c r="J639" s="357" t="str">
        <f>IFERROR(__xludf.DUMMYFUNCTION("if(H639=""Can't be Together"",iferror(join("", "",unique(filter({filter('Students (Vertical)'!O:O,'Students (Vertical)'!C:C=B639,'Students (Vertical)'!O:O&lt;&gt;"""",'Students (Vertical)'!P:P&gt;1);filter('Students (Vertical)'!O:O,'Students (Vertical)'!C:C=E639,'"&amp;"Students (Vertical)'!O:O&lt;&gt;"""",'Students (Vertical)'!P:P&gt;1)},countifs({filter('Students (Vertical)'!O:O,'Students (Vertical)'!C:C=B639,'Students (Vertical)'!O:O&lt;&gt;"""",'Students (Vertical)'!P:P&gt;1);filter('Students (Vertical)'!O:O,'Students (Vertical)'!C:C="&amp;"E639,'Students (Vertical)'!O:O&lt;&gt;"""",'Students (Vertical)'!P:P&gt;1)},{filter('Students (Vertical)'!O:O,'Students (Vertical)'!C:C=B639,'Students (Vertical)'!O:O&lt;&gt;"""",'Students (Vertical)'!P:P&gt;1);filter('Students (Vertical)'!O:O,'Students (Vertical)'!C:C=E63"&amp;"9,'Students (Vertical)'!O:O&lt;&gt;"""",'Students (Vertical)'!P:P&gt;1)})&gt;1))),""""),"""")"),"")</f>
        <v/>
      </c>
      <c r="K639" s="358"/>
    </row>
    <row r="640">
      <c r="A640" s="300" t="s">
        <v>22</v>
      </c>
      <c r="C640" s="300" t="s">
        <v>22</v>
      </c>
      <c r="D640" s="300" t="s">
        <v>22</v>
      </c>
      <c r="F640" s="300" t="s">
        <v>22</v>
      </c>
      <c r="G640" s="300" t="s">
        <v>22</v>
      </c>
      <c r="I640" s="356" t="str">
        <f>IFERROR(__xludf.DUMMYFUNCTION("if(H640=""Must be Together"",iferror(join("", "",unique(filter({filter('Students (Vertical)'!O:O,'Students (Vertical)'!C:C=B640,'Students (Vertical)'!O:O&lt;&gt;"""");filter('Students (Vertical)'!O:O,'Students (Vertical)'!C:C=E640,'Students (Vertical)'!O:O&lt;&gt;"""&amp;""")},countifs({filter('Students (Vertical)'!O:O,'Students (Vertical)'!C:C=B640,'Students (Vertical)'!O:O&lt;&gt;"""");filter('Students (Vertical)'!O:O,'Students (Vertical)'!C:C=E640,'Students (Vertical)'!O:O&lt;&gt;"""")},{filter('Students (Vertical)'!O:O,'Students ("&amp;"Vertical)'!C:C=B640,'Students (Vertical)'!O:O&lt;&gt;"""");filter('Students (Vertical)'!O:O,'Students (Vertical)'!C:C=E640,'Students (Vertical)'!O:O&lt;&gt;"""")})&gt;1))),""No shared courses""),"""")"),"")</f>
        <v/>
      </c>
      <c r="J640" s="357" t="str">
        <f>IFERROR(__xludf.DUMMYFUNCTION("if(H640=""Can't be Together"",iferror(join("", "",unique(filter({filter('Students (Vertical)'!O:O,'Students (Vertical)'!C:C=B640,'Students (Vertical)'!O:O&lt;&gt;"""",'Students (Vertical)'!P:P&gt;1);filter('Students (Vertical)'!O:O,'Students (Vertical)'!C:C=E640,'"&amp;"Students (Vertical)'!O:O&lt;&gt;"""",'Students (Vertical)'!P:P&gt;1)},countifs({filter('Students (Vertical)'!O:O,'Students (Vertical)'!C:C=B640,'Students (Vertical)'!O:O&lt;&gt;"""",'Students (Vertical)'!P:P&gt;1);filter('Students (Vertical)'!O:O,'Students (Vertical)'!C:C="&amp;"E640,'Students (Vertical)'!O:O&lt;&gt;"""",'Students (Vertical)'!P:P&gt;1)},{filter('Students (Vertical)'!O:O,'Students (Vertical)'!C:C=B640,'Students (Vertical)'!O:O&lt;&gt;"""",'Students (Vertical)'!P:P&gt;1);filter('Students (Vertical)'!O:O,'Students (Vertical)'!C:C=E64"&amp;"0,'Students (Vertical)'!O:O&lt;&gt;"""",'Students (Vertical)'!P:P&gt;1)})&gt;1))),""""),"""")"),"")</f>
        <v/>
      </c>
      <c r="K640" s="358"/>
    </row>
    <row r="641">
      <c r="A641" s="300" t="s">
        <v>22</v>
      </c>
      <c r="C641" s="300" t="s">
        <v>22</v>
      </c>
      <c r="D641" s="300" t="s">
        <v>22</v>
      </c>
      <c r="F641" s="300" t="s">
        <v>22</v>
      </c>
      <c r="G641" s="300" t="s">
        <v>22</v>
      </c>
      <c r="I641" s="356" t="str">
        <f>IFERROR(__xludf.DUMMYFUNCTION("if(H641=""Must be Together"",iferror(join("", "",unique(filter({filter('Students (Vertical)'!O:O,'Students (Vertical)'!C:C=B641,'Students (Vertical)'!O:O&lt;&gt;"""");filter('Students (Vertical)'!O:O,'Students (Vertical)'!C:C=E641,'Students (Vertical)'!O:O&lt;&gt;"""&amp;""")},countifs({filter('Students (Vertical)'!O:O,'Students (Vertical)'!C:C=B641,'Students (Vertical)'!O:O&lt;&gt;"""");filter('Students (Vertical)'!O:O,'Students (Vertical)'!C:C=E641,'Students (Vertical)'!O:O&lt;&gt;"""")},{filter('Students (Vertical)'!O:O,'Students ("&amp;"Vertical)'!C:C=B641,'Students (Vertical)'!O:O&lt;&gt;"""");filter('Students (Vertical)'!O:O,'Students (Vertical)'!C:C=E641,'Students (Vertical)'!O:O&lt;&gt;"""")})&gt;1))),""No shared courses""),"""")"),"")</f>
        <v/>
      </c>
      <c r="J641" s="357" t="str">
        <f>IFERROR(__xludf.DUMMYFUNCTION("if(H641=""Can't be Together"",iferror(join("", "",unique(filter({filter('Students (Vertical)'!O:O,'Students (Vertical)'!C:C=B641,'Students (Vertical)'!O:O&lt;&gt;"""",'Students (Vertical)'!P:P&gt;1);filter('Students (Vertical)'!O:O,'Students (Vertical)'!C:C=E641,'"&amp;"Students (Vertical)'!O:O&lt;&gt;"""",'Students (Vertical)'!P:P&gt;1)},countifs({filter('Students (Vertical)'!O:O,'Students (Vertical)'!C:C=B641,'Students (Vertical)'!O:O&lt;&gt;"""",'Students (Vertical)'!P:P&gt;1);filter('Students (Vertical)'!O:O,'Students (Vertical)'!C:C="&amp;"E641,'Students (Vertical)'!O:O&lt;&gt;"""",'Students (Vertical)'!P:P&gt;1)},{filter('Students (Vertical)'!O:O,'Students (Vertical)'!C:C=B641,'Students (Vertical)'!O:O&lt;&gt;"""",'Students (Vertical)'!P:P&gt;1);filter('Students (Vertical)'!O:O,'Students (Vertical)'!C:C=E64"&amp;"1,'Students (Vertical)'!O:O&lt;&gt;"""",'Students (Vertical)'!P:P&gt;1)})&gt;1))),""""),"""")"),"")</f>
        <v/>
      </c>
      <c r="K641" s="358"/>
    </row>
    <row r="642">
      <c r="A642" s="300" t="s">
        <v>22</v>
      </c>
      <c r="C642" s="300" t="s">
        <v>22</v>
      </c>
      <c r="D642" s="300" t="s">
        <v>22</v>
      </c>
      <c r="F642" s="300" t="s">
        <v>22</v>
      </c>
      <c r="G642" s="300" t="s">
        <v>22</v>
      </c>
      <c r="I642" s="356" t="str">
        <f>IFERROR(__xludf.DUMMYFUNCTION("if(H642=""Must be Together"",iferror(join("", "",unique(filter({filter('Students (Vertical)'!O:O,'Students (Vertical)'!C:C=B642,'Students (Vertical)'!O:O&lt;&gt;"""");filter('Students (Vertical)'!O:O,'Students (Vertical)'!C:C=E642,'Students (Vertical)'!O:O&lt;&gt;"""&amp;""")},countifs({filter('Students (Vertical)'!O:O,'Students (Vertical)'!C:C=B642,'Students (Vertical)'!O:O&lt;&gt;"""");filter('Students (Vertical)'!O:O,'Students (Vertical)'!C:C=E642,'Students (Vertical)'!O:O&lt;&gt;"""")},{filter('Students (Vertical)'!O:O,'Students ("&amp;"Vertical)'!C:C=B642,'Students (Vertical)'!O:O&lt;&gt;"""");filter('Students (Vertical)'!O:O,'Students (Vertical)'!C:C=E642,'Students (Vertical)'!O:O&lt;&gt;"""")})&gt;1))),""No shared courses""),"""")"),"")</f>
        <v/>
      </c>
      <c r="J642" s="357" t="str">
        <f>IFERROR(__xludf.DUMMYFUNCTION("if(H642=""Can't be Together"",iferror(join("", "",unique(filter({filter('Students (Vertical)'!O:O,'Students (Vertical)'!C:C=B642,'Students (Vertical)'!O:O&lt;&gt;"""",'Students (Vertical)'!P:P&gt;1);filter('Students (Vertical)'!O:O,'Students (Vertical)'!C:C=E642,'"&amp;"Students (Vertical)'!O:O&lt;&gt;"""",'Students (Vertical)'!P:P&gt;1)},countifs({filter('Students (Vertical)'!O:O,'Students (Vertical)'!C:C=B642,'Students (Vertical)'!O:O&lt;&gt;"""",'Students (Vertical)'!P:P&gt;1);filter('Students (Vertical)'!O:O,'Students (Vertical)'!C:C="&amp;"E642,'Students (Vertical)'!O:O&lt;&gt;"""",'Students (Vertical)'!P:P&gt;1)},{filter('Students (Vertical)'!O:O,'Students (Vertical)'!C:C=B642,'Students (Vertical)'!O:O&lt;&gt;"""",'Students (Vertical)'!P:P&gt;1);filter('Students (Vertical)'!O:O,'Students (Vertical)'!C:C=E64"&amp;"2,'Students (Vertical)'!O:O&lt;&gt;"""",'Students (Vertical)'!P:P&gt;1)})&gt;1))),""""),"""")"),"")</f>
        <v/>
      </c>
      <c r="K642" s="358"/>
    </row>
    <row r="643">
      <c r="A643" s="300" t="s">
        <v>22</v>
      </c>
      <c r="C643" s="300" t="s">
        <v>22</v>
      </c>
      <c r="D643" s="300" t="s">
        <v>22</v>
      </c>
      <c r="F643" s="300" t="s">
        <v>22</v>
      </c>
      <c r="G643" s="300" t="s">
        <v>22</v>
      </c>
      <c r="I643" s="356" t="str">
        <f>IFERROR(__xludf.DUMMYFUNCTION("if(H643=""Must be Together"",iferror(join("", "",unique(filter({filter('Students (Vertical)'!O:O,'Students (Vertical)'!C:C=B643,'Students (Vertical)'!O:O&lt;&gt;"""");filter('Students (Vertical)'!O:O,'Students (Vertical)'!C:C=E643,'Students (Vertical)'!O:O&lt;&gt;"""&amp;""")},countifs({filter('Students (Vertical)'!O:O,'Students (Vertical)'!C:C=B643,'Students (Vertical)'!O:O&lt;&gt;"""");filter('Students (Vertical)'!O:O,'Students (Vertical)'!C:C=E643,'Students (Vertical)'!O:O&lt;&gt;"""")},{filter('Students (Vertical)'!O:O,'Students ("&amp;"Vertical)'!C:C=B643,'Students (Vertical)'!O:O&lt;&gt;"""");filter('Students (Vertical)'!O:O,'Students (Vertical)'!C:C=E643,'Students (Vertical)'!O:O&lt;&gt;"""")})&gt;1))),""No shared courses""),"""")"),"")</f>
        <v/>
      </c>
      <c r="J643" s="357" t="str">
        <f>IFERROR(__xludf.DUMMYFUNCTION("if(H643=""Can't be Together"",iferror(join("", "",unique(filter({filter('Students (Vertical)'!O:O,'Students (Vertical)'!C:C=B643,'Students (Vertical)'!O:O&lt;&gt;"""",'Students (Vertical)'!P:P&gt;1);filter('Students (Vertical)'!O:O,'Students (Vertical)'!C:C=E643,'"&amp;"Students (Vertical)'!O:O&lt;&gt;"""",'Students (Vertical)'!P:P&gt;1)},countifs({filter('Students (Vertical)'!O:O,'Students (Vertical)'!C:C=B643,'Students (Vertical)'!O:O&lt;&gt;"""",'Students (Vertical)'!P:P&gt;1);filter('Students (Vertical)'!O:O,'Students (Vertical)'!C:C="&amp;"E643,'Students (Vertical)'!O:O&lt;&gt;"""",'Students (Vertical)'!P:P&gt;1)},{filter('Students (Vertical)'!O:O,'Students (Vertical)'!C:C=B643,'Students (Vertical)'!O:O&lt;&gt;"""",'Students (Vertical)'!P:P&gt;1);filter('Students (Vertical)'!O:O,'Students (Vertical)'!C:C=E64"&amp;"3,'Students (Vertical)'!O:O&lt;&gt;"""",'Students (Vertical)'!P:P&gt;1)})&gt;1))),""""),"""")"),"")</f>
        <v/>
      </c>
      <c r="K643" s="358"/>
    </row>
    <row r="644">
      <c r="A644" s="300" t="s">
        <v>22</v>
      </c>
      <c r="C644" s="300" t="s">
        <v>22</v>
      </c>
      <c r="D644" s="300" t="s">
        <v>22</v>
      </c>
      <c r="F644" s="300" t="s">
        <v>22</v>
      </c>
      <c r="G644" s="300" t="s">
        <v>22</v>
      </c>
      <c r="I644" s="356" t="str">
        <f>IFERROR(__xludf.DUMMYFUNCTION("if(H644=""Must be Together"",iferror(join("", "",unique(filter({filter('Students (Vertical)'!O:O,'Students (Vertical)'!C:C=B644,'Students (Vertical)'!O:O&lt;&gt;"""");filter('Students (Vertical)'!O:O,'Students (Vertical)'!C:C=E644,'Students (Vertical)'!O:O&lt;&gt;"""&amp;""")},countifs({filter('Students (Vertical)'!O:O,'Students (Vertical)'!C:C=B644,'Students (Vertical)'!O:O&lt;&gt;"""");filter('Students (Vertical)'!O:O,'Students (Vertical)'!C:C=E644,'Students (Vertical)'!O:O&lt;&gt;"""")},{filter('Students (Vertical)'!O:O,'Students ("&amp;"Vertical)'!C:C=B644,'Students (Vertical)'!O:O&lt;&gt;"""");filter('Students (Vertical)'!O:O,'Students (Vertical)'!C:C=E644,'Students (Vertical)'!O:O&lt;&gt;"""")})&gt;1))),""No shared courses""),"""")"),"")</f>
        <v/>
      </c>
      <c r="J644" s="357" t="str">
        <f>IFERROR(__xludf.DUMMYFUNCTION("if(H644=""Can't be Together"",iferror(join("", "",unique(filter({filter('Students (Vertical)'!O:O,'Students (Vertical)'!C:C=B644,'Students (Vertical)'!O:O&lt;&gt;"""",'Students (Vertical)'!P:P&gt;1);filter('Students (Vertical)'!O:O,'Students (Vertical)'!C:C=E644,'"&amp;"Students (Vertical)'!O:O&lt;&gt;"""",'Students (Vertical)'!P:P&gt;1)},countifs({filter('Students (Vertical)'!O:O,'Students (Vertical)'!C:C=B644,'Students (Vertical)'!O:O&lt;&gt;"""",'Students (Vertical)'!P:P&gt;1);filter('Students (Vertical)'!O:O,'Students (Vertical)'!C:C="&amp;"E644,'Students (Vertical)'!O:O&lt;&gt;"""",'Students (Vertical)'!P:P&gt;1)},{filter('Students (Vertical)'!O:O,'Students (Vertical)'!C:C=B644,'Students (Vertical)'!O:O&lt;&gt;"""",'Students (Vertical)'!P:P&gt;1);filter('Students (Vertical)'!O:O,'Students (Vertical)'!C:C=E64"&amp;"4,'Students (Vertical)'!O:O&lt;&gt;"""",'Students (Vertical)'!P:P&gt;1)})&gt;1))),""""),"""")"),"")</f>
        <v/>
      </c>
      <c r="K644" s="358"/>
    </row>
    <row r="645">
      <c r="A645" s="300" t="s">
        <v>22</v>
      </c>
      <c r="C645" s="300" t="s">
        <v>22</v>
      </c>
      <c r="D645" s="300" t="s">
        <v>22</v>
      </c>
      <c r="F645" s="300" t="s">
        <v>22</v>
      </c>
      <c r="G645" s="300" t="s">
        <v>22</v>
      </c>
      <c r="I645" s="356" t="str">
        <f>IFERROR(__xludf.DUMMYFUNCTION("if(H645=""Must be Together"",iferror(join("", "",unique(filter({filter('Students (Vertical)'!O:O,'Students (Vertical)'!C:C=B645,'Students (Vertical)'!O:O&lt;&gt;"""");filter('Students (Vertical)'!O:O,'Students (Vertical)'!C:C=E645,'Students (Vertical)'!O:O&lt;&gt;"""&amp;""")},countifs({filter('Students (Vertical)'!O:O,'Students (Vertical)'!C:C=B645,'Students (Vertical)'!O:O&lt;&gt;"""");filter('Students (Vertical)'!O:O,'Students (Vertical)'!C:C=E645,'Students (Vertical)'!O:O&lt;&gt;"""")},{filter('Students (Vertical)'!O:O,'Students ("&amp;"Vertical)'!C:C=B645,'Students (Vertical)'!O:O&lt;&gt;"""");filter('Students (Vertical)'!O:O,'Students (Vertical)'!C:C=E645,'Students (Vertical)'!O:O&lt;&gt;"""")})&gt;1))),""No shared courses""),"""")"),"")</f>
        <v/>
      </c>
      <c r="J645" s="357" t="str">
        <f>IFERROR(__xludf.DUMMYFUNCTION("if(H645=""Can't be Together"",iferror(join("", "",unique(filter({filter('Students (Vertical)'!O:O,'Students (Vertical)'!C:C=B645,'Students (Vertical)'!O:O&lt;&gt;"""",'Students (Vertical)'!P:P&gt;1);filter('Students (Vertical)'!O:O,'Students (Vertical)'!C:C=E645,'"&amp;"Students (Vertical)'!O:O&lt;&gt;"""",'Students (Vertical)'!P:P&gt;1)},countifs({filter('Students (Vertical)'!O:O,'Students (Vertical)'!C:C=B645,'Students (Vertical)'!O:O&lt;&gt;"""",'Students (Vertical)'!P:P&gt;1);filter('Students (Vertical)'!O:O,'Students (Vertical)'!C:C="&amp;"E645,'Students (Vertical)'!O:O&lt;&gt;"""",'Students (Vertical)'!P:P&gt;1)},{filter('Students (Vertical)'!O:O,'Students (Vertical)'!C:C=B645,'Students (Vertical)'!O:O&lt;&gt;"""",'Students (Vertical)'!P:P&gt;1);filter('Students (Vertical)'!O:O,'Students (Vertical)'!C:C=E64"&amp;"5,'Students (Vertical)'!O:O&lt;&gt;"""",'Students (Vertical)'!P:P&gt;1)})&gt;1))),""""),"""")"),"")</f>
        <v/>
      </c>
      <c r="K645" s="358"/>
    </row>
    <row r="646">
      <c r="A646" s="300" t="s">
        <v>22</v>
      </c>
      <c r="C646" s="300" t="s">
        <v>22</v>
      </c>
      <c r="D646" s="300" t="s">
        <v>22</v>
      </c>
      <c r="F646" s="300" t="s">
        <v>22</v>
      </c>
      <c r="G646" s="300" t="s">
        <v>22</v>
      </c>
      <c r="I646" s="356" t="str">
        <f>IFERROR(__xludf.DUMMYFUNCTION("if(H646=""Must be Together"",iferror(join("", "",unique(filter({filter('Students (Vertical)'!O:O,'Students (Vertical)'!C:C=B646,'Students (Vertical)'!O:O&lt;&gt;"""");filter('Students (Vertical)'!O:O,'Students (Vertical)'!C:C=E646,'Students (Vertical)'!O:O&lt;&gt;"""&amp;""")},countifs({filter('Students (Vertical)'!O:O,'Students (Vertical)'!C:C=B646,'Students (Vertical)'!O:O&lt;&gt;"""");filter('Students (Vertical)'!O:O,'Students (Vertical)'!C:C=E646,'Students (Vertical)'!O:O&lt;&gt;"""")},{filter('Students (Vertical)'!O:O,'Students ("&amp;"Vertical)'!C:C=B646,'Students (Vertical)'!O:O&lt;&gt;"""");filter('Students (Vertical)'!O:O,'Students (Vertical)'!C:C=E646,'Students (Vertical)'!O:O&lt;&gt;"""")})&gt;1))),""No shared courses""),"""")"),"")</f>
        <v/>
      </c>
      <c r="J646" s="357" t="str">
        <f>IFERROR(__xludf.DUMMYFUNCTION("if(H646=""Can't be Together"",iferror(join("", "",unique(filter({filter('Students (Vertical)'!O:O,'Students (Vertical)'!C:C=B646,'Students (Vertical)'!O:O&lt;&gt;"""",'Students (Vertical)'!P:P&gt;1);filter('Students (Vertical)'!O:O,'Students (Vertical)'!C:C=E646,'"&amp;"Students (Vertical)'!O:O&lt;&gt;"""",'Students (Vertical)'!P:P&gt;1)},countifs({filter('Students (Vertical)'!O:O,'Students (Vertical)'!C:C=B646,'Students (Vertical)'!O:O&lt;&gt;"""",'Students (Vertical)'!P:P&gt;1);filter('Students (Vertical)'!O:O,'Students (Vertical)'!C:C="&amp;"E646,'Students (Vertical)'!O:O&lt;&gt;"""",'Students (Vertical)'!P:P&gt;1)},{filter('Students (Vertical)'!O:O,'Students (Vertical)'!C:C=B646,'Students (Vertical)'!O:O&lt;&gt;"""",'Students (Vertical)'!P:P&gt;1);filter('Students (Vertical)'!O:O,'Students (Vertical)'!C:C=E64"&amp;"6,'Students (Vertical)'!O:O&lt;&gt;"""",'Students (Vertical)'!P:P&gt;1)})&gt;1))),""""),"""")"),"")</f>
        <v/>
      </c>
      <c r="K646" s="358"/>
    </row>
    <row r="647">
      <c r="A647" s="300" t="s">
        <v>22</v>
      </c>
      <c r="C647" s="300" t="s">
        <v>22</v>
      </c>
      <c r="D647" s="300" t="s">
        <v>22</v>
      </c>
      <c r="F647" s="300" t="s">
        <v>22</v>
      </c>
      <c r="G647" s="300" t="s">
        <v>22</v>
      </c>
      <c r="I647" s="356" t="str">
        <f>IFERROR(__xludf.DUMMYFUNCTION("if(H647=""Must be Together"",iferror(join("", "",unique(filter({filter('Students (Vertical)'!O:O,'Students (Vertical)'!C:C=B647,'Students (Vertical)'!O:O&lt;&gt;"""");filter('Students (Vertical)'!O:O,'Students (Vertical)'!C:C=E647,'Students (Vertical)'!O:O&lt;&gt;"""&amp;""")},countifs({filter('Students (Vertical)'!O:O,'Students (Vertical)'!C:C=B647,'Students (Vertical)'!O:O&lt;&gt;"""");filter('Students (Vertical)'!O:O,'Students (Vertical)'!C:C=E647,'Students (Vertical)'!O:O&lt;&gt;"""")},{filter('Students (Vertical)'!O:O,'Students ("&amp;"Vertical)'!C:C=B647,'Students (Vertical)'!O:O&lt;&gt;"""");filter('Students (Vertical)'!O:O,'Students (Vertical)'!C:C=E647,'Students (Vertical)'!O:O&lt;&gt;"""")})&gt;1))),""No shared courses""),"""")"),"")</f>
        <v/>
      </c>
      <c r="J647" s="357" t="str">
        <f>IFERROR(__xludf.DUMMYFUNCTION("if(H647=""Can't be Together"",iferror(join("", "",unique(filter({filter('Students (Vertical)'!O:O,'Students (Vertical)'!C:C=B647,'Students (Vertical)'!O:O&lt;&gt;"""",'Students (Vertical)'!P:P&gt;1);filter('Students (Vertical)'!O:O,'Students (Vertical)'!C:C=E647,'"&amp;"Students (Vertical)'!O:O&lt;&gt;"""",'Students (Vertical)'!P:P&gt;1)},countifs({filter('Students (Vertical)'!O:O,'Students (Vertical)'!C:C=B647,'Students (Vertical)'!O:O&lt;&gt;"""",'Students (Vertical)'!P:P&gt;1);filter('Students (Vertical)'!O:O,'Students (Vertical)'!C:C="&amp;"E647,'Students (Vertical)'!O:O&lt;&gt;"""",'Students (Vertical)'!P:P&gt;1)},{filter('Students (Vertical)'!O:O,'Students (Vertical)'!C:C=B647,'Students (Vertical)'!O:O&lt;&gt;"""",'Students (Vertical)'!P:P&gt;1);filter('Students (Vertical)'!O:O,'Students (Vertical)'!C:C=E64"&amp;"7,'Students (Vertical)'!O:O&lt;&gt;"""",'Students (Vertical)'!P:P&gt;1)})&gt;1))),""""),"""")"),"")</f>
        <v/>
      </c>
      <c r="K647" s="358"/>
    </row>
    <row r="648">
      <c r="A648" s="300" t="s">
        <v>22</v>
      </c>
      <c r="C648" s="300" t="s">
        <v>22</v>
      </c>
      <c r="D648" s="300" t="s">
        <v>22</v>
      </c>
      <c r="F648" s="300" t="s">
        <v>22</v>
      </c>
      <c r="G648" s="300" t="s">
        <v>22</v>
      </c>
      <c r="I648" s="356" t="str">
        <f>IFERROR(__xludf.DUMMYFUNCTION("if(H648=""Must be Together"",iferror(join("", "",unique(filter({filter('Students (Vertical)'!O:O,'Students (Vertical)'!C:C=B648,'Students (Vertical)'!O:O&lt;&gt;"""");filter('Students (Vertical)'!O:O,'Students (Vertical)'!C:C=E648,'Students (Vertical)'!O:O&lt;&gt;"""&amp;""")},countifs({filter('Students (Vertical)'!O:O,'Students (Vertical)'!C:C=B648,'Students (Vertical)'!O:O&lt;&gt;"""");filter('Students (Vertical)'!O:O,'Students (Vertical)'!C:C=E648,'Students (Vertical)'!O:O&lt;&gt;"""")},{filter('Students (Vertical)'!O:O,'Students ("&amp;"Vertical)'!C:C=B648,'Students (Vertical)'!O:O&lt;&gt;"""");filter('Students (Vertical)'!O:O,'Students (Vertical)'!C:C=E648,'Students (Vertical)'!O:O&lt;&gt;"""")})&gt;1))),""No shared courses""),"""")"),"")</f>
        <v/>
      </c>
      <c r="J648" s="357" t="str">
        <f>IFERROR(__xludf.DUMMYFUNCTION("if(H648=""Can't be Together"",iferror(join("", "",unique(filter({filter('Students (Vertical)'!O:O,'Students (Vertical)'!C:C=B648,'Students (Vertical)'!O:O&lt;&gt;"""",'Students (Vertical)'!P:P&gt;1);filter('Students (Vertical)'!O:O,'Students (Vertical)'!C:C=E648,'"&amp;"Students (Vertical)'!O:O&lt;&gt;"""",'Students (Vertical)'!P:P&gt;1)},countifs({filter('Students (Vertical)'!O:O,'Students (Vertical)'!C:C=B648,'Students (Vertical)'!O:O&lt;&gt;"""",'Students (Vertical)'!P:P&gt;1);filter('Students (Vertical)'!O:O,'Students (Vertical)'!C:C="&amp;"E648,'Students (Vertical)'!O:O&lt;&gt;"""",'Students (Vertical)'!P:P&gt;1)},{filter('Students (Vertical)'!O:O,'Students (Vertical)'!C:C=B648,'Students (Vertical)'!O:O&lt;&gt;"""",'Students (Vertical)'!P:P&gt;1);filter('Students (Vertical)'!O:O,'Students (Vertical)'!C:C=E64"&amp;"8,'Students (Vertical)'!O:O&lt;&gt;"""",'Students (Vertical)'!P:P&gt;1)})&gt;1))),""""),"""")"),"")</f>
        <v/>
      </c>
      <c r="K648" s="358"/>
    </row>
    <row r="649">
      <c r="A649" s="300" t="s">
        <v>22</v>
      </c>
      <c r="C649" s="300" t="s">
        <v>22</v>
      </c>
      <c r="D649" s="300" t="s">
        <v>22</v>
      </c>
      <c r="F649" s="300" t="s">
        <v>22</v>
      </c>
      <c r="G649" s="300" t="s">
        <v>22</v>
      </c>
      <c r="I649" s="356" t="str">
        <f>IFERROR(__xludf.DUMMYFUNCTION("if(H649=""Must be Together"",iferror(join("", "",unique(filter({filter('Students (Vertical)'!O:O,'Students (Vertical)'!C:C=B649,'Students (Vertical)'!O:O&lt;&gt;"""");filter('Students (Vertical)'!O:O,'Students (Vertical)'!C:C=E649,'Students (Vertical)'!O:O&lt;&gt;"""&amp;""")},countifs({filter('Students (Vertical)'!O:O,'Students (Vertical)'!C:C=B649,'Students (Vertical)'!O:O&lt;&gt;"""");filter('Students (Vertical)'!O:O,'Students (Vertical)'!C:C=E649,'Students (Vertical)'!O:O&lt;&gt;"""")},{filter('Students (Vertical)'!O:O,'Students ("&amp;"Vertical)'!C:C=B649,'Students (Vertical)'!O:O&lt;&gt;"""");filter('Students (Vertical)'!O:O,'Students (Vertical)'!C:C=E649,'Students (Vertical)'!O:O&lt;&gt;"""")})&gt;1))),""No shared courses""),"""")"),"")</f>
        <v/>
      </c>
      <c r="J649" s="357" t="str">
        <f>IFERROR(__xludf.DUMMYFUNCTION("if(H649=""Can't be Together"",iferror(join("", "",unique(filter({filter('Students (Vertical)'!O:O,'Students (Vertical)'!C:C=B649,'Students (Vertical)'!O:O&lt;&gt;"""",'Students (Vertical)'!P:P&gt;1);filter('Students (Vertical)'!O:O,'Students (Vertical)'!C:C=E649,'"&amp;"Students (Vertical)'!O:O&lt;&gt;"""",'Students (Vertical)'!P:P&gt;1)},countifs({filter('Students (Vertical)'!O:O,'Students (Vertical)'!C:C=B649,'Students (Vertical)'!O:O&lt;&gt;"""",'Students (Vertical)'!P:P&gt;1);filter('Students (Vertical)'!O:O,'Students (Vertical)'!C:C="&amp;"E649,'Students (Vertical)'!O:O&lt;&gt;"""",'Students (Vertical)'!P:P&gt;1)},{filter('Students (Vertical)'!O:O,'Students (Vertical)'!C:C=B649,'Students (Vertical)'!O:O&lt;&gt;"""",'Students (Vertical)'!P:P&gt;1);filter('Students (Vertical)'!O:O,'Students (Vertical)'!C:C=E64"&amp;"9,'Students (Vertical)'!O:O&lt;&gt;"""",'Students (Vertical)'!P:P&gt;1)})&gt;1))),""""),"""")"),"")</f>
        <v/>
      </c>
      <c r="K649" s="358"/>
    </row>
    <row r="650">
      <c r="A650" s="300" t="s">
        <v>22</v>
      </c>
      <c r="C650" s="300" t="s">
        <v>22</v>
      </c>
      <c r="D650" s="300" t="s">
        <v>22</v>
      </c>
      <c r="F650" s="300" t="s">
        <v>22</v>
      </c>
      <c r="G650" s="300" t="s">
        <v>22</v>
      </c>
      <c r="I650" s="356" t="str">
        <f>IFERROR(__xludf.DUMMYFUNCTION("if(H650=""Must be Together"",iferror(join("", "",unique(filter({filter('Students (Vertical)'!O:O,'Students (Vertical)'!C:C=B650,'Students (Vertical)'!O:O&lt;&gt;"""");filter('Students (Vertical)'!O:O,'Students (Vertical)'!C:C=E650,'Students (Vertical)'!O:O&lt;&gt;"""&amp;""")},countifs({filter('Students (Vertical)'!O:O,'Students (Vertical)'!C:C=B650,'Students (Vertical)'!O:O&lt;&gt;"""");filter('Students (Vertical)'!O:O,'Students (Vertical)'!C:C=E650,'Students (Vertical)'!O:O&lt;&gt;"""")},{filter('Students (Vertical)'!O:O,'Students ("&amp;"Vertical)'!C:C=B650,'Students (Vertical)'!O:O&lt;&gt;"""");filter('Students (Vertical)'!O:O,'Students (Vertical)'!C:C=E650,'Students (Vertical)'!O:O&lt;&gt;"""")})&gt;1))),""No shared courses""),"""")"),"")</f>
        <v/>
      </c>
      <c r="J650" s="357" t="str">
        <f>IFERROR(__xludf.DUMMYFUNCTION("if(H650=""Can't be Together"",iferror(join("", "",unique(filter({filter('Students (Vertical)'!O:O,'Students (Vertical)'!C:C=B650,'Students (Vertical)'!O:O&lt;&gt;"""",'Students (Vertical)'!P:P&gt;1);filter('Students (Vertical)'!O:O,'Students (Vertical)'!C:C=E650,'"&amp;"Students (Vertical)'!O:O&lt;&gt;"""",'Students (Vertical)'!P:P&gt;1)},countifs({filter('Students (Vertical)'!O:O,'Students (Vertical)'!C:C=B650,'Students (Vertical)'!O:O&lt;&gt;"""",'Students (Vertical)'!P:P&gt;1);filter('Students (Vertical)'!O:O,'Students (Vertical)'!C:C="&amp;"E650,'Students (Vertical)'!O:O&lt;&gt;"""",'Students (Vertical)'!P:P&gt;1)},{filter('Students (Vertical)'!O:O,'Students (Vertical)'!C:C=B650,'Students (Vertical)'!O:O&lt;&gt;"""",'Students (Vertical)'!P:P&gt;1);filter('Students (Vertical)'!O:O,'Students (Vertical)'!C:C=E65"&amp;"0,'Students (Vertical)'!O:O&lt;&gt;"""",'Students (Vertical)'!P:P&gt;1)})&gt;1))),""""),"""")"),"")</f>
        <v/>
      </c>
      <c r="K650" s="358"/>
    </row>
    <row r="651">
      <c r="A651" s="300" t="s">
        <v>22</v>
      </c>
      <c r="C651" s="300" t="s">
        <v>22</v>
      </c>
      <c r="D651" s="300" t="s">
        <v>22</v>
      </c>
      <c r="F651" s="300" t="s">
        <v>22</v>
      </c>
      <c r="G651" s="300" t="s">
        <v>22</v>
      </c>
      <c r="I651" s="356" t="str">
        <f>IFERROR(__xludf.DUMMYFUNCTION("if(H651=""Must be Together"",iferror(join("", "",unique(filter({filter('Students (Vertical)'!O:O,'Students (Vertical)'!C:C=B651,'Students (Vertical)'!O:O&lt;&gt;"""");filter('Students (Vertical)'!O:O,'Students (Vertical)'!C:C=E651,'Students (Vertical)'!O:O&lt;&gt;"""&amp;""")},countifs({filter('Students (Vertical)'!O:O,'Students (Vertical)'!C:C=B651,'Students (Vertical)'!O:O&lt;&gt;"""");filter('Students (Vertical)'!O:O,'Students (Vertical)'!C:C=E651,'Students (Vertical)'!O:O&lt;&gt;"""")},{filter('Students (Vertical)'!O:O,'Students ("&amp;"Vertical)'!C:C=B651,'Students (Vertical)'!O:O&lt;&gt;"""");filter('Students (Vertical)'!O:O,'Students (Vertical)'!C:C=E651,'Students (Vertical)'!O:O&lt;&gt;"""")})&gt;1))),""No shared courses""),"""")"),"")</f>
        <v/>
      </c>
      <c r="J651" s="357" t="str">
        <f>IFERROR(__xludf.DUMMYFUNCTION("if(H651=""Can't be Together"",iferror(join("", "",unique(filter({filter('Students (Vertical)'!O:O,'Students (Vertical)'!C:C=B651,'Students (Vertical)'!O:O&lt;&gt;"""",'Students (Vertical)'!P:P&gt;1);filter('Students (Vertical)'!O:O,'Students (Vertical)'!C:C=E651,'"&amp;"Students (Vertical)'!O:O&lt;&gt;"""",'Students (Vertical)'!P:P&gt;1)},countifs({filter('Students (Vertical)'!O:O,'Students (Vertical)'!C:C=B651,'Students (Vertical)'!O:O&lt;&gt;"""",'Students (Vertical)'!P:P&gt;1);filter('Students (Vertical)'!O:O,'Students (Vertical)'!C:C="&amp;"E651,'Students (Vertical)'!O:O&lt;&gt;"""",'Students (Vertical)'!P:P&gt;1)},{filter('Students (Vertical)'!O:O,'Students (Vertical)'!C:C=B651,'Students (Vertical)'!O:O&lt;&gt;"""",'Students (Vertical)'!P:P&gt;1);filter('Students (Vertical)'!O:O,'Students (Vertical)'!C:C=E65"&amp;"1,'Students (Vertical)'!O:O&lt;&gt;"""",'Students (Vertical)'!P:P&gt;1)})&gt;1))),""""),"""")"),"")</f>
        <v/>
      </c>
      <c r="K651" s="358"/>
    </row>
    <row r="652">
      <c r="A652" s="300" t="s">
        <v>22</v>
      </c>
      <c r="C652" s="300" t="s">
        <v>22</v>
      </c>
      <c r="D652" s="300" t="s">
        <v>22</v>
      </c>
      <c r="F652" s="300" t="s">
        <v>22</v>
      </c>
      <c r="G652" s="300" t="s">
        <v>22</v>
      </c>
      <c r="I652" s="356" t="str">
        <f>IFERROR(__xludf.DUMMYFUNCTION("if(H652=""Must be Together"",iferror(join("", "",unique(filter({filter('Students (Vertical)'!O:O,'Students (Vertical)'!C:C=B652,'Students (Vertical)'!O:O&lt;&gt;"""");filter('Students (Vertical)'!O:O,'Students (Vertical)'!C:C=E652,'Students (Vertical)'!O:O&lt;&gt;"""&amp;""")},countifs({filter('Students (Vertical)'!O:O,'Students (Vertical)'!C:C=B652,'Students (Vertical)'!O:O&lt;&gt;"""");filter('Students (Vertical)'!O:O,'Students (Vertical)'!C:C=E652,'Students (Vertical)'!O:O&lt;&gt;"""")},{filter('Students (Vertical)'!O:O,'Students ("&amp;"Vertical)'!C:C=B652,'Students (Vertical)'!O:O&lt;&gt;"""");filter('Students (Vertical)'!O:O,'Students (Vertical)'!C:C=E652,'Students (Vertical)'!O:O&lt;&gt;"""")})&gt;1))),""No shared courses""),"""")"),"")</f>
        <v/>
      </c>
      <c r="J652" s="357" t="str">
        <f>IFERROR(__xludf.DUMMYFUNCTION("if(H652=""Can't be Together"",iferror(join("", "",unique(filter({filter('Students (Vertical)'!O:O,'Students (Vertical)'!C:C=B652,'Students (Vertical)'!O:O&lt;&gt;"""",'Students (Vertical)'!P:P&gt;1);filter('Students (Vertical)'!O:O,'Students (Vertical)'!C:C=E652,'"&amp;"Students (Vertical)'!O:O&lt;&gt;"""",'Students (Vertical)'!P:P&gt;1)},countifs({filter('Students (Vertical)'!O:O,'Students (Vertical)'!C:C=B652,'Students (Vertical)'!O:O&lt;&gt;"""",'Students (Vertical)'!P:P&gt;1);filter('Students (Vertical)'!O:O,'Students (Vertical)'!C:C="&amp;"E652,'Students (Vertical)'!O:O&lt;&gt;"""",'Students (Vertical)'!P:P&gt;1)},{filter('Students (Vertical)'!O:O,'Students (Vertical)'!C:C=B652,'Students (Vertical)'!O:O&lt;&gt;"""",'Students (Vertical)'!P:P&gt;1);filter('Students (Vertical)'!O:O,'Students (Vertical)'!C:C=E65"&amp;"2,'Students (Vertical)'!O:O&lt;&gt;"""",'Students (Vertical)'!P:P&gt;1)})&gt;1))),""""),"""")"),"")</f>
        <v/>
      </c>
      <c r="K652" s="358"/>
    </row>
    <row r="653">
      <c r="A653" s="300" t="s">
        <v>22</v>
      </c>
      <c r="C653" s="300" t="s">
        <v>22</v>
      </c>
      <c r="D653" s="300" t="s">
        <v>22</v>
      </c>
      <c r="F653" s="300" t="s">
        <v>22</v>
      </c>
      <c r="G653" s="300" t="s">
        <v>22</v>
      </c>
      <c r="I653" s="356" t="str">
        <f>IFERROR(__xludf.DUMMYFUNCTION("if(H653=""Must be Together"",iferror(join("", "",unique(filter({filter('Students (Vertical)'!O:O,'Students (Vertical)'!C:C=B653,'Students (Vertical)'!O:O&lt;&gt;"""");filter('Students (Vertical)'!O:O,'Students (Vertical)'!C:C=E653,'Students (Vertical)'!O:O&lt;&gt;"""&amp;""")},countifs({filter('Students (Vertical)'!O:O,'Students (Vertical)'!C:C=B653,'Students (Vertical)'!O:O&lt;&gt;"""");filter('Students (Vertical)'!O:O,'Students (Vertical)'!C:C=E653,'Students (Vertical)'!O:O&lt;&gt;"""")},{filter('Students (Vertical)'!O:O,'Students ("&amp;"Vertical)'!C:C=B653,'Students (Vertical)'!O:O&lt;&gt;"""");filter('Students (Vertical)'!O:O,'Students (Vertical)'!C:C=E653,'Students (Vertical)'!O:O&lt;&gt;"""")})&gt;1))),""No shared courses""),"""")"),"")</f>
        <v/>
      </c>
      <c r="J653" s="357" t="str">
        <f>IFERROR(__xludf.DUMMYFUNCTION("if(H653=""Can't be Together"",iferror(join("", "",unique(filter({filter('Students (Vertical)'!O:O,'Students (Vertical)'!C:C=B653,'Students (Vertical)'!O:O&lt;&gt;"""",'Students (Vertical)'!P:P&gt;1);filter('Students (Vertical)'!O:O,'Students (Vertical)'!C:C=E653,'"&amp;"Students (Vertical)'!O:O&lt;&gt;"""",'Students (Vertical)'!P:P&gt;1)},countifs({filter('Students (Vertical)'!O:O,'Students (Vertical)'!C:C=B653,'Students (Vertical)'!O:O&lt;&gt;"""",'Students (Vertical)'!P:P&gt;1);filter('Students (Vertical)'!O:O,'Students (Vertical)'!C:C="&amp;"E653,'Students (Vertical)'!O:O&lt;&gt;"""",'Students (Vertical)'!P:P&gt;1)},{filter('Students (Vertical)'!O:O,'Students (Vertical)'!C:C=B653,'Students (Vertical)'!O:O&lt;&gt;"""",'Students (Vertical)'!P:P&gt;1);filter('Students (Vertical)'!O:O,'Students (Vertical)'!C:C=E65"&amp;"3,'Students (Vertical)'!O:O&lt;&gt;"""",'Students (Vertical)'!P:P&gt;1)})&gt;1))),""""),"""")"),"")</f>
        <v/>
      </c>
      <c r="K653" s="358"/>
    </row>
    <row r="654">
      <c r="A654" s="300" t="s">
        <v>22</v>
      </c>
      <c r="C654" s="300" t="s">
        <v>22</v>
      </c>
      <c r="D654" s="300" t="s">
        <v>22</v>
      </c>
      <c r="F654" s="300" t="s">
        <v>22</v>
      </c>
      <c r="G654" s="300" t="s">
        <v>22</v>
      </c>
      <c r="I654" s="356" t="str">
        <f>IFERROR(__xludf.DUMMYFUNCTION("if(H654=""Must be Together"",iferror(join("", "",unique(filter({filter('Students (Vertical)'!O:O,'Students (Vertical)'!C:C=B654,'Students (Vertical)'!O:O&lt;&gt;"""");filter('Students (Vertical)'!O:O,'Students (Vertical)'!C:C=E654,'Students (Vertical)'!O:O&lt;&gt;"""&amp;""")},countifs({filter('Students (Vertical)'!O:O,'Students (Vertical)'!C:C=B654,'Students (Vertical)'!O:O&lt;&gt;"""");filter('Students (Vertical)'!O:O,'Students (Vertical)'!C:C=E654,'Students (Vertical)'!O:O&lt;&gt;"""")},{filter('Students (Vertical)'!O:O,'Students ("&amp;"Vertical)'!C:C=B654,'Students (Vertical)'!O:O&lt;&gt;"""");filter('Students (Vertical)'!O:O,'Students (Vertical)'!C:C=E654,'Students (Vertical)'!O:O&lt;&gt;"""")})&gt;1))),""No shared courses""),"""")"),"")</f>
        <v/>
      </c>
      <c r="J654" s="357" t="str">
        <f>IFERROR(__xludf.DUMMYFUNCTION("if(H654=""Can't be Together"",iferror(join("", "",unique(filter({filter('Students (Vertical)'!O:O,'Students (Vertical)'!C:C=B654,'Students (Vertical)'!O:O&lt;&gt;"""",'Students (Vertical)'!P:P&gt;1);filter('Students (Vertical)'!O:O,'Students (Vertical)'!C:C=E654,'"&amp;"Students (Vertical)'!O:O&lt;&gt;"""",'Students (Vertical)'!P:P&gt;1)},countifs({filter('Students (Vertical)'!O:O,'Students (Vertical)'!C:C=B654,'Students (Vertical)'!O:O&lt;&gt;"""",'Students (Vertical)'!P:P&gt;1);filter('Students (Vertical)'!O:O,'Students (Vertical)'!C:C="&amp;"E654,'Students (Vertical)'!O:O&lt;&gt;"""",'Students (Vertical)'!P:P&gt;1)},{filter('Students (Vertical)'!O:O,'Students (Vertical)'!C:C=B654,'Students (Vertical)'!O:O&lt;&gt;"""",'Students (Vertical)'!P:P&gt;1);filter('Students (Vertical)'!O:O,'Students (Vertical)'!C:C=E65"&amp;"4,'Students (Vertical)'!O:O&lt;&gt;"""",'Students (Vertical)'!P:P&gt;1)})&gt;1))),""""),"""")"),"")</f>
        <v/>
      </c>
      <c r="K654" s="358"/>
    </row>
    <row r="655">
      <c r="A655" s="300" t="s">
        <v>22</v>
      </c>
      <c r="C655" s="300" t="s">
        <v>22</v>
      </c>
      <c r="D655" s="300" t="s">
        <v>22</v>
      </c>
      <c r="F655" s="300" t="s">
        <v>22</v>
      </c>
      <c r="G655" s="300" t="s">
        <v>22</v>
      </c>
      <c r="I655" s="356" t="str">
        <f>IFERROR(__xludf.DUMMYFUNCTION("if(H655=""Must be Together"",iferror(join("", "",unique(filter({filter('Students (Vertical)'!O:O,'Students (Vertical)'!C:C=B655,'Students (Vertical)'!O:O&lt;&gt;"""");filter('Students (Vertical)'!O:O,'Students (Vertical)'!C:C=E655,'Students (Vertical)'!O:O&lt;&gt;"""&amp;""")},countifs({filter('Students (Vertical)'!O:O,'Students (Vertical)'!C:C=B655,'Students (Vertical)'!O:O&lt;&gt;"""");filter('Students (Vertical)'!O:O,'Students (Vertical)'!C:C=E655,'Students (Vertical)'!O:O&lt;&gt;"""")},{filter('Students (Vertical)'!O:O,'Students ("&amp;"Vertical)'!C:C=B655,'Students (Vertical)'!O:O&lt;&gt;"""");filter('Students (Vertical)'!O:O,'Students (Vertical)'!C:C=E655,'Students (Vertical)'!O:O&lt;&gt;"""")})&gt;1))),""No shared courses""),"""")"),"")</f>
        <v/>
      </c>
      <c r="J655" s="357" t="str">
        <f>IFERROR(__xludf.DUMMYFUNCTION("if(H655=""Can't be Together"",iferror(join("", "",unique(filter({filter('Students (Vertical)'!O:O,'Students (Vertical)'!C:C=B655,'Students (Vertical)'!O:O&lt;&gt;"""",'Students (Vertical)'!P:P&gt;1);filter('Students (Vertical)'!O:O,'Students (Vertical)'!C:C=E655,'"&amp;"Students (Vertical)'!O:O&lt;&gt;"""",'Students (Vertical)'!P:P&gt;1)},countifs({filter('Students (Vertical)'!O:O,'Students (Vertical)'!C:C=B655,'Students (Vertical)'!O:O&lt;&gt;"""",'Students (Vertical)'!P:P&gt;1);filter('Students (Vertical)'!O:O,'Students (Vertical)'!C:C="&amp;"E655,'Students (Vertical)'!O:O&lt;&gt;"""",'Students (Vertical)'!P:P&gt;1)},{filter('Students (Vertical)'!O:O,'Students (Vertical)'!C:C=B655,'Students (Vertical)'!O:O&lt;&gt;"""",'Students (Vertical)'!P:P&gt;1);filter('Students (Vertical)'!O:O,'Students (Vertical)'!C:C=E65"&amp;"5,'Students (Vertical)'!O:O&lt;&gt;"""",'Students (Vertical)'!P:P&gt;1)})&gt;1))),""""),"""")"),"")</f>
        <v/>
      </c>
      <c r="K655" s="358"/>
    </row>
    <row r="656">
      <c r="A656" s="300" t="s">
        <v>22</v>
      </c>
      <c r="C656" s="300" t="s">
        <v>22</v>
      </c>
      <c r="D656" s="300" t="s">
        <v>22</v>
      </c>
      <c r="F656" s="300" t="s">
        <v>22</v>
      </c>
      <c r="G656" s="300" t="s">
        <v>22</v>
      </c>
      <c r="I656" s="356" t="str">
        <f>IFERROR(__xludf.DUMMYFUNCTION("if(H656=""Must be Together"",iferror(join("", "",unique(filter({filter('Students (Vertical)'!O:O,'Students (Vertical)'!C:C=B656,'Students (Vertical)'!O:O&lt;&gt;"""");filter('Students (Vertical)'!O:O,'Students (Vertical)'!C:C=E656,'Students (Vertical)'!O:O&lt;&gt;"""&amp;""")},countifs({filter('Students (Vertical)'!O:O,'Students (Vertical)'!C:C=B656,'Students (Vertical)'!O:O&lt;&gt;"""");filter('Students (Vertical)'!O:O,'Students (Vertical)'!C:C=E656,'Students (Vertical)'!O:O&lt;&gt;"""")},{filter('Students (Vertical)'!O:O,'Students ("&amp;"Vertical)'!C:C=B656,'Students (Vertical)'!O:O&lt;&gt;"""");filter('Students (Vertical)'!O:O,'Students (Vertical)'!C:C=E656,'Students (Vertical)'!O:O&lt;&gt;"""")})&gt;1))),""No shared courses""),"""")"),"")</f>
        <v/>
      </c>
      <c r="J656" s="357" t="str">
        <f>IFERROR(__xludf.DUMMYFUNCTION("if(H656=""Can't be Together"",iferror(join("", "",unique(filter({filter('Students (Vertical)'!O:O,'Students (Vertical)'!C:C=B656,'Students (Vertical)'!O:O&lt;&gt;"""",'Students (Vertical)'!P:P&gt;1);filter('Students (Vertical)'!O:O,'Students (Vertical)'!C:C=E656,'"&amp;"Students (Vertical)'!O:O&lt;&gt;"""",'Students (Vertical)'!P:P&gt;1)},countifs({filter('Students (Vertical)'!O:O,'Students (Vertical)'!C:C=B656,'Students (Vertical)'!O:O&lt;&gt;"""",'Students (Vertical)'!P:P&gt;1);filter('Students (Vertical)'!O:O,'Students (Vertical)'!C:C="&amp;"E656,'Students (Vertical)'!O:O&lt;&gt;"""",'Students (Vertical)'!P:P&gt;1)},{filter('Students (Vertical)'!O:O,'Students (Vertical)'!C:C=B656,'Students (Vertical)'!O:O&lt;&gt;"""",'Students (Vertical)'!P:P&gt;1);filter('Students (Vertical)'!O:O,'Students (Vertical)'!C:C=E65"&amp;"6,'Students (Vertical)'!O:O&lt;&gt;"""",'Students (Vertical)'!P:P&gt;1)})&gt;1))),""""),"""")"),"")</f>
        <v/>
      </c>
      <c r="K656" s="358"/>
    </row>
    <row r="657">
      <c r="A657" s="300" t="s">
        <v>22</v>
      </c>
      <c r="C657" s="300" t="s">
        <v>22</v>
      </c>
      <c r="D657" s="300" t="s">
        <v>22</v>
      </c>
      <c r="F657" s="300" t="s">
        <v>22</v>
      </c>
      <c r="G657" s="300" t="s">
        <v>22</v>
      </c>
      <c r="I657" s="356" t="str">
        <f>IFERROR(__xludf.DUMMYFUNCTION("if(H657=""Must be Together"",iferror(join("", "",unique(filter({filter('Students (Vertical)'!O:O,'Students (Vertical)'!C:C=B657,'Students (Vertical)'!O:O&lt;&gt;"""");filter('Students (Vertical)'!O:O,'Students (Vertical)'!C:C=E657,'Students (Vertical)'!O:O&lt;&gt;"""&amp;""")},countifs({filter('Students (Vertical)'!O:O,'Students (Vertical)'!C:C=B657,'Students (Vertical)'!O:O&lt;&gt;"""");filter('Students (Vertical)'!O:O,'Students (Vertical)'!C:C=E657,'Students (Vertical)'!O:O&lt;&gt;"""")},{filter('Students (Vertical)'!O:O,'Students ("&amp;"Vertical)'!C:C=B657,'Students (Vertical)'!O:O&lt;&gt;"""");filter('Students (Vertical)'!O:O,'Students (Vertical)'!C:C=E657,'Students (Vertical)'!O:O&lt;&gt;"""")})&gt;1))),""No shared courses""),"""")"),"")</f>
        <v/>
      </c>
      <c r="J657" s="357" t="str">
        <f>IFERROR(__xludf.DUMMYFUNCTION("if(H657=""Can't be Together"",iferror(join("", "",unique(filter({filter('Students (Vertical)'!O:O,'Students (Vertical)'!C:C=B657,'Students (Vertical)'!O:O&lt;&gt;"""",'Students (Vertical)'!P:P&gt;1);filter('Students (Vertical)'!O:O,'Students (Vertical)'!C:C=E657,'"&amp;"Students (Vertical)'!O:O&lt;&gt;"""",'Students (Vertical)'!P:P&gt;1)},countifs({filter('Students (Vertical)'!O:O,'Students (Vertical)'!C:C=B657,'Students (Vertical)'!O:O&lt;&gt;"""",'Students (Vertical)'!P:P&gt;1);filter('Students (Vertical)'!O:O,'Students (Vertical)'!C:C="&amp;"E657,'Students (Vertical)'!O:O&lt;&gt;"""",'Students (Vertical)'!P:P&gt;1)},{filter('Students (Vertical)'!O:O,'Students (Vertical)'!C:C=B657,'Students (Vertical)'!O:O&lt;&gt;"""",'Students (Vertical)'!P:P&gt;1);filter('Students (Vertical)'!O:O,'Students (Vertical)'!C:C=E65"&amp;"7,'Students (Vertical)'!O:O&lt;&gt;"""",'Students (Vertical)'!P:P&gt;1)})&gt;1))),""""),"""")"),"")</f>
        <v/>
      </c>
      <c r="K657" s="358"/>
    </row>
    <row r="658">
      <c r="A658" s="300" t="s">
        <v>22</v>
      </c>
      <c r="C658" s="300" t="s">
        <v>22</v>
      </c>
      <c r="D658" s="300" t="s">
        <v>22</v>
      </c>
      <c r="F658" s="300" t="s">
        <v>22</v>
      </c>
      <c r="G658" s="300" t="s">
        <v>22</v>
      </c>
      <c r="I658" s="356" t="str">
        <f>IFERROR(__xludf.DUMMYFUNCTION("if(H658=""Must be Together"",iferror(join("", "",unique(filter({filter('Students (Vertical)'!O:O,'Students (Vertical)'!C:C=B658,'Students (Vertical)'!O:O&lt;&gt;"""");filter('Students (Vertical)'!O:O,'Students (Vertical)'!C:C=E658,'Students (Vertical)'!O:O&lt;&gt;"""&amp;""")},countifs({filter('Students (Vertical)'!O:O,'Students (Vertical)'!C:C=B658,'Students (Vertical)'!O:O&lt;&gt;"""");filter('Students (Vertical)'!O:O,'Students (Vertical)'!C:C=E658,'Students (Vertical)'!O:O&lt;&gt;"""")},{filter('Students (Vertical)'!O:O,'Students ("&amp;"Vertical)'!C:C=B658,'Students (Vertical)'!O:O&lt;&gt;"""");filter('Students (Vertical)'!O:O,'Students (Vertical)'!C:C=E658,'Students (Vertical)'!O:O&lt;&gt;"""")})&gt;1))),""No shared courses""),"""")"),"")</f>
        <v/>
      </c>
      <c r="J658" s="357" t="str">
        <f>IFERROR(__xludf.DUMMYFUNCTION("if(H658=""Can't be Together"",iferror(join("", "",unique(filter({filter('Students (Vertical)'!O:O,'Students (Vertical)'!C:C=B658,'Students (Vertical)'!O:O&lt;&gt;"""",'Students (Vertical)'!P:P&gt;1);filter('Students (Vertical)'!O:O,'Students (Vertical)'!C:C=E658,'"&amp;"Students (Vertical)'!O:O&lt;&gt;"""",'Students (Vertical)'!P:P&gt;1)},countifs({filter('Students (Vertical)'!O:O,'Students (Vertical)'!C:C=B658,'Students (Vertical)'!O:O&lt;&gt;"""",'Students (Vertical)'!P:P&gt;1);filter('Students (Vertical)'!O:O,'Students (Vertical)'!C:C="&amp;"E658,'Students (Vertical)'!O:O&lt;&gt;"""",'Students (Vertical)'!P:P&gt;1)},{filter('Students (Vertical)'!O:O,'Students (Vertical)'!C:C=B658,'Students (Vertical)'!O:O&lt;&gt;"""",'Students (Vertical)'!P:P&gt;1);filter('Students (Vertical)'!O:O,'Students (Vertical)'!C:C=E65"&amp;"8,'Students (Vertical)'!O:O&lt;&gt;"""",'Students (Vertical)'!P:P&gt;1)})&gt;1))),""""),"""")"),"")</f>
        <v/>
      </c>
      <c r="K658" s="358"/>
    </row>
    <row r="659">
      <c r="A659" s="300" t="s">
        <v>22</v>
      </c>
      <c r="C659" s="300" t="s">
        <v>22</v>
      </c>
      <c r="D659" s="300" t="s">
        <v>22</v>
      </c>
      <c r="F659" s="300" t="s">
        <v>22</v>
      </c>
      <c r="G659" s="300" t="s">
        <v>22</v>
      </c>
      <c r="I659" s="356" t="str">
        <f>IFERROR(__xludf.DUMMYFUNCTION("if(H659=""Must be Together"",iferror(join("", "",unique(filter({filter('Students (Vertical)'!O:O,'Students (Vertical)'!C:C=B659,'Students (Vertical)'!O:O&lt;&gt;"""");filter('Students (Vertical)'!O:O,'Students (Vertical)'!C:C=E659,'Students (Vertical)'!O:O&lt;&gt;"""&amp;""")},countifs({filter('Students (Vertical)'!O:O,'Students (Vertical)'!C:C=B659,'Students (Vertical)'!O:O&lt;&gt;"""");filter('Students (Vertical)'!O:O,'Students (Vertical)'!C:C=E659,'Students (Vertical)'!O:O&lt;&gt;"""")},{filter('Students (Vertical)'!O:O,'Students ("&amp;"Vertical)'!C:C=B659,'Students (Vertical)'!O:O&lt;&gt;"""");filter('Students (Vertical)'!O:O,'Students (Vertical)'!C:C=E659,'Students (Vertical)'!O:O&lt;&gt;"""")})&gt;1))),""No shared courses""),"""")"),"")</f>
        <v/>
      </c>
      <c r="J659" s="357" t="str">
        <f>IFERROR(__xludf.DUMMYFUNCTION("if(H659=""Can't be Together"",iferror(join("", "",unique(filter({filter('Students (Vertical)'!O:O,'Students (Vertical)'!C:C=B659,'Students (Vertical)'!O:O&lt;&gt;"""",'Students (Vertical)'!P:P&gt;1);filter('Students (Vertical)'!O:O,'Students (Vertical)'!C:C=E659,'"&amp;"Students (Vertical)'!O:O&lt;&gt;"""",'Students (Vertical)'!P:P&gt;1)},countifs({filter('Students (Vertical)'!O:O,'Students (Vertical)'!C:C=B659,'Students (Vertical)'!O:O&lt;&gt;"""",'Students (Vertical)'!P:P&gt;1);filter('Students (Vertical)'!O:O,'Students (Vertical)'!C:C="&amp;"E659,'Students (Vertical)'!O:O&lt;&gt;"""",'Students (Vertical)'!P:P&gt;1)},{filter('Students (Vertical)'!O:O,'Students (Vertical)'!C:C=B659,'Students (Vertical)'!O:O&lt;&gt;"""",'Students (Vertical)'!P:P&gt;1);filter('Students (Vertical)'!O:O,'Students (Vertical)'!C:C=E65"&amp;"9,'Students (Vertical)'!O:O&lt;&gt;"""",'Students (Vertical)'!P:P&gt;1)})&gt;1))),""""),"""")"),"")</f>
        <v/>
      </c>
      <c r="K659" s="358"/>
    </row>
    <row r="660">
      <c r="A660" s="300" t="s">
        <v>22</v>
      </c>
      <c r="C660" s="300" t="s">
        <v>22</v>
      </c>
      <c r="D660" s="300" t="s">
        <v>22</v>
      </c>
      <c r="F660" s="300" t="s">
        <v>22</v>
      </c>
      <c r="G660" s="300" t="s">
        <v>22</v>
      </c>
      <c r="I660" s="356" t="str">
        <f>IFERROR(__xludf.DUMMYFUNCTION("if(H660=""Must be Together"",iferror(join("", "",unique(filter({filter('Students (Vertical)'!O:O,'Students (Vertical)'!C:C=B660,'Students (Vertical)'!O:O&lt;&gt;"""");filter('Students (Vertical)'!O:O,'Students (Vertical)'!C:C=E660,'Students (Vertical)'!O:O&lt;&gt;"""&amp;""")},countifs({filter('Students (Vertical)'!O:O,'Students (Vertical)'!C:C=B660,'Students (Vertical)'!O:O&lt;&gt;"""");filter('Students (Vertical)'!O:O,'Students (Vertical)'!C:C=E660,'Students (Vertical)'!O:O&lt;&gt;"""")},{filter('Students (Vertical)'!O:O,'Students ("&amp;"Vertical)'!C:C=B660,'Students (Vertical)'!O:O&lt;&gt;"""");filter('Students (Vertical)'!O:O,'Students (Vertical)'!C:C=E660,'Students (Vertical)'!O:O&lt;&gt;"""")})&gt;1))),""No shared courses""),"""")"),"")</f>
        <v/>
      </c>
      <c r="J660" s="357" t="str">
        <f>IFERROR(__xludf.DUMMYFUNCTION("if(H660=""Can't be Together"",iferror(join("", "",unique(filter({filter('Students (Vertical)'!O:O,'Students (Vertical)'!C:C=B660,'Students (Vertical)'!O:O&lt;&gt;"""",'Students (Vertical)'!P:P&gt;1);filter('Students (Vertical)'!O:O,'Students (Vertical)'!C:C=E660,'"&amp;"Students (Vertical)'!O:O&lt;&gt;"""",'Students (Vertical)'!P:P&gt;1)},countifs({filter('Students (Vertical)'!O:O,'Students (Vertical)'!C:C=B660,'Students (Vertical)'!O:O&lt;&gt;"""",'Students (Vertical)'!P:P&gt;1);filter('Students (Vertical)'!O:O,'Students (Vertical)'!C:C="&amp;"E660,'Students (Vertical)'!O:O&lt;&gt;"""",'Students (Vertical)'!P:P&gt;1)},{filter('Students (Vertical)'!O:O,'Students (Vertical)'!C:C=B660,'Students (Vertical)'!O:O&lt;&gt;"""",'Students (Vertical)'!P:P&gt;1);filter('Students (Vertical)'!O:O,'Students (Vertical)'!C:C=E66"&amp;"0,'Students (Vertical)'!O:O&lt;&gt;"""",'Students (Vertical)'!P:P&gt;1)})&gt;1))),""""),"""")"),"")</f>
        <v/>
      </c>
      <c r="K660" s="358"/>
    </row>
    <row r="661">
      <c r="A661" s="300" t="s">
        <v>22</v>
      </c>
      <c r="C661" s="300" t="s">
        <v>22</v>
      </c>
      <c r="D661" s="300" t="s">
        <v>22</v>
      </c>
      <c r="F661" s="300" t="s">
        <v>22</v>
      </c>
      <c r="G661" s="300" t="s">
        <v>22</v>
      </c>
      <c r="I661" s="356" t="str">
        <f>IFERROR(__xludf.DUMMYFUNCTION("if(H661=""Must be Together"",iferror(join("", "",unique(filter({filter('Students (Vertical)'!O:O,'Students (Vertical)'!C:C=B661,'Students (Vertical)'!O:O&lt;&gt;"""");filter('Students (Vertical)'!O:O,'Students (Vertical)'!C:C=E661,'Students (Vertical)'!O:O&lt;&gt;"""&amp;""")},countifs({filter('Students (Vertical)'!O:O,'Students (Vertical)'!C:C=B661,'Students (Vertical)'!O:O&lt;&gt;"""");filter('Students (Vertical)'!O:O,'Students (Vertical)'!C:C=E661,'Students (Vertical)'!O:O&lt;&gt;"""")},{filter('Students (Vertical)'!O:O,'Students ("&amp;"Vertical)'!C:C=B661,'Students (Vertical)'!O:O&lt;&gt;"""");filter('Students (Vertical)'!O:O,'Students (Vertical)'!C:C=E661,'Students (Vertical)'!O:O&lt;&gt;"""")})&gt;1))),""No shared courses""),"""")"),"")</f>
        <v/>
      </c>
      <c r="J661" s="357" t="str">
        <f>IFERROR(__xludf.DUMMYFUNCTION("if(H661=""Can't be Together"",iferror(join("", "",unique(filter({filter('Students (Vertical)'!O:O,'Students (Vertical)'!C:C=B661,'Students (Vertical)'!O:O&lt;&gt;"""",'Students (Vertical)'!P:P&gt;1);filter('Students (Vertical)'!O:O,'Students (Vertical)'!C:C=E661,'"&amp;"Students (Vertical)'!O:O&lt;&gt;"""",'Students (Vertical)'!P:P&gt;1)},countifs({filter('Students (Vertical)'!O:O,'Students (Vertical)'!C:C=B661,'Students (Vertical)'!O:O&lt;&gt;"""",'Students (Vertical)'!P:P&gt;1);filter('Students (Vertical)'!O:O,'Students (Vertical)'!C:C="&amp;"E661,'Students (Vertical)'!O:O&lt;&gt;"""",'Students (Vertical)'!P:P&gt;1)},{filter('Students (Vertical)'!O:O,'Students (Vertical)'!C:C=B661,'Students (Vertical)'!O:O&lt;&gt;"""",'Students (Vertical)'!P:P&gt;1);filter('Students (Vertical)'!O:O,'Students (Vertical)'!C:C=E66"&amp;"1,'Students (Vertical)'!O:O&lt;&gt;"""",'Students (Vertical)'!P:P&gt;1)})&gt;1))),""""),"""")"),"")</f>
        <v/>
      </c>
      <c r="K661" s="358"/>
    </row>
    <row r="662">
      <c r="A662" s="300" t="s">
        <v>22</v>
      </c>
      <c r="C662" s="300" t="s">
        <v>22</v>
      </c>
      <c r="D662" s="300" t="s">
        <v>22</v>
      </c>
      <c r="F662" s="300" t="s">
        <v>22</v>
      </c>
      <c r="G662" s="300" t="s">
        <v>22</v>
      </c>
      <c r="I662" s="356" t="str">
        <f>IFERROR(__xludf.DUMMYFUNCTION("if(H662=""Must be Together"",iferror(join("", "",unique(filter({filter('Students (Vertical)'!O:O,'Students (Vertical)'!C:C=B662,'Students (Vertical)'!O:O&lt;&gt;"""");filter('Students (Vertical)'!O:O,'Students (Vertical)'!C:C=E662,'Students (Vertical)'!O:O&lt;&gt;"""&amp;""")},countifs({filter('Students (Vertical)'!O:O,'Students (Vertical)'!C:C=B662,'Students (Vertical)'!O:O&lt;&gt;"""");filter('Students (Vertical)'!O:O,'Students (Vertical)'!C:C=E662,'Students (Vertical)'!O:O&lt;&gt;"""")},{filter('Students (Vertical)'!O:O,'Students ("&amp;"Vertical)'!C:C=B662,'Students (Vertical)'!O:O&lt;&gt;"""");filter('Students (Vertical)'!O:O,'Students (Vertical)'!C:C=E662,'Students (Vertical)'!O:O&lt;&gt;"""")})&gt;1))),""No shared courses""),"""")"),"")</f>
        <v/>
      </c>
      <c r="J662" s="357" t="str">
        <f>IFERROR(__xludf.DUMMYFUNCTION("if(H662=""Can't be Together"",iferror(join("", "",unique(filter({filter('Students (Vertical)'!O:O,'Students (Vertical)'!C:C=B662,'Students (Vertical)'!O:O&lt;&gt;"""",'Students (Vertical)'!P:P&gt;1);filter('Students (Vertical)'!O:O,'Students (Vertical)'!C:C=E662,'"&amp;"Students (Vertical)'!O:O&lt;&gt;"""",'Students (Vertical)'!P:P&gt;1)},countifs({filter('Students (Vertical)'!O:O,'Students (Vertical)'!C:C=B662,'Students (Vertical)'!O:O&lt;&gt;"""",'Students (Vertical)'!P:P&gt;1);filter('Students (Vertical)'!O:O,'Students (Vertical)'!C:C="&amp;"E662,'Students (Vertical)'!O:O&lt;&gt;"""",'Students (Vertical)'!P:P&gt;1)},{filter('Students (Vertical)'!O:O,'Students (Vertical)'!C:C=B662,'Students (Vertical)'!O:O&lt;&gt;"""",'Students (Vertical)'!P:P&gt;1);filter('Students (Vertical)'!O:O,'Students (Vertical)'!C:C=E66"&amp;"2,'Students (Vertical)'!O:O&lt;&gt;"""",'Students (Vertical)'!P:P&gt;1)})&gt;1))),""""),"""")"),"")</f>
        <v/>
      </c>
      <c r="K662" s="358"/>
    </row>
    <row r="663">
      <c r="A663" s="300" t="s">
        <v>22</v>
      </c>
      <c r="C663" s="300" t="s">
        <v>22</v>
      </c>
      <c r="D663" s="300" t="s">
        <v>22</v>
      </c>
      <c r="F663" s="300" t="s">
        <v>22</v>
      </c>
      <c r="G663" s="300" t="s">
        <v>22</v>
      </c>
      <c r="I663" s="356" t="str">
        <f>IFERROR(__xludf.DUMMYFUNCTION("if(H663=""Must be Together"",iferror(join("", "",unique(filter({filter('Students (Vertical)'!O:O,'Students (Vertical)'!C:C=B663,'Students (Vertical)'!O:O&lt;&gt;"""");filter('Students (Vertical)'!O:O,'Students (Vertical)'!C:C=E663,'Students (Vertical)'!O:O&lt;&gt;"""&amp;""")},countifs({filter('Students (Vertical)'!O:O,'Students (Vertical)'!C:C=B663,'Students (Vertical)'!O:O&lt;&gt;"""");filter('Students (Vertical)'!O:O,'Students (Vertical)'!C:C=E663,'Students (Vertical)'!O:O&lt;&gt;"""")},{filter('Students (Vertical)'!O:O,'Students ("&amp;"Vertical)'!C:C=B663,'Students (Vertical)'!O:O&lt;&gt;"""");filter('Students (Vertical)'!O:O,'Students (Vertical)'!C:C=E663,'Students (Vertical)'!O:O&lt;&gt;"""")})&gt;1))),""No shared courses""),"""")"),"")</f>
        <v/>
      </c>
      <c r="J663" s="357" t="str">
        <f>IFERROR(__xludf.DUMMYFUNCTION("if(H663=""Can't be Together"",iferror(join("", "",unique(filter({filter('Students (Vertical)'!O:O,'Students (Vertical)'!C:C=B663,'Students (Vertical)'!O:O&lt;&gt;"""",'Students (Vertical)'!P:P&gt;1);filter('Students (Vertical)'!O:O,'Students (Vertical)'!C:C=E663,'"&amp;"Students (Vertical)'!O:O&lt;&gt;"""",'Students (Vertical)'!P:P&gt;1)},countifs({filter('Students (Vertical)'!O:O,'Students (Vertical)'!C:C=B663,'Students (Vertical)'!O:O&lt;&gt;"""",'Students (Vertical)'!P:P&gt;1);filter('Students (Vertical)'!O:O,'Students (Vertical)'!C:C="&amp;"E663,'Students (Vertical)'!O:O&lt;&gt;"""",'Students (Vertical)'!P:P&gt;1)},{filter('Students (Vertical)'!O:O,'Students (Vertical)'!C:C=B663,'Students (Vertical)'!O:O&lt;&gt;"""",'Students (Vertical)'!P:P&gt;1);filter('Students (Vertical)'!O:O,'Students (Vertical)'!C:C=E66"&amp;"3,'Students (Vertical)'!O:O&lt;&gt;"""",'Students (Vertical)'!P:P&gt;1)})&gt;1))),""""),"""")"),"")</f>
        <v/>
      </c>
      <c r="K663" s="358"/>
    </row>
    <row r="664">
      <c r="A664" s="300" t="s">
        <v>22</v>
      </c>
      <c r="C664" s="300" t="s">
        <v>22</v>
      </c>
      <c r="D664" s="300" t="s">
        <v>22</v>
      </c>
      <c r="F664" s="300" t="s">
        <v>22</v>
      </c>
      <c r="G664" s="300" t="s">
        <v>22</v>
      </c>
      <c r="I664" s="356" t="str">
        <f>IFERROR(__xludf.DUMMYFUNCTION("if(H664=""Must be Together"",iferror(join("", "",unique(filter({filter('Students (Vertical)'!O:O,'Students (Vertical)'!C:C=B664,'Students (Vertical)'!O:O&lt;&gt;"""");filter('Students (Vertical)'!O:O,'Students (Vertical)'!C:C=E664,'Students (Vertical)'!O:O&lt;&gt;"""&amp;""")},countifs({filter('Students (Vertical)'!O:O,'Students (Vertical)'!C:C=B664,'Students (Vertical)'!O:O&lt;&gt;"""");filter('Students (Vertical)'!O:O,'Students (Vertical)'!C:C=E664,'Students (Vertical)'!O:O&lt;&gt;"""")},{filter('Students (Vertical)'!O:O,'Students ("&amp;"Vertical)'!C:C=B664,'Students (Vertical)'!O:O&lt;&gt;"""");filter('Students (Vertical)'!O:O,'Students (Vertical)'!C:C=E664,'Students (Vertical)'!O:O&lt;&gt;"""")})&gt;1))),""No shared courses""),"""")"),"")</f>
        <v/>
      </c>
      <c r="J664" s="357" t="str">
        <f>IFERROR(__xludf.DUMMYFUNCTION("if(H664=""Can't be Together"",iferror(join("", "",unique(filter({filter('Students (Vertical)'!O:O,'Students (Vertical)'!C:C=B664,'Students (Vertical)'!O:O&lt;&gt;"""",'Students (Vertical)'!P:P&gt;1);filter('Students (Vertical)'!O:O,'Students (Vertical)'!C:C=E664,'"&amp;"Students (Vertical)'!O:O&lt;&gt;"""",'Students (Vertical)'!P:P&gt;1)},countifs({filter('Students (Vertical)'!O:O,'Students (Vertical)'!C:C=B664,'Students (Vertical)'!O:O&lt;&gt;"""",'Students (Vertical)'!P:P&gt;1);filter('Students (Vertical)'!O:O,'Students (Vertical)'!C:C="&amp;"E664,'Students (Vertical)'!O:O&lt;&gt;"""",'Students (Vertical)'!P:P&gt;1)},{filter('Students (Vertical)'!O:O,'Students (Vertical)'!C:C=B664,'Students (Vertical)'!O:O&lt;&gt;"""",'Students (Vertical)'!P:P&gt;1);filter('Students (Vertical)'!O:O,'Students (Vertical)'!C:C=E66"&amp;"4,'Students (Vertical)'!O:O&lt;&gt;"""",'Students (Vertical)'!P:P&gt;1)})&gt;1))),""""),"""")"),"")</f>
        <v/>
      </c>
      <c r="K664" s="358"/>
    </row>
    <row r="665">
      <c r="A665" s="300" t="s">
        <v>22</v>
      </c>
      <c r="C665" s="300" t="s">
        <v>22</v>
      </c>
      <c r="D665" s="300" t="s">
        <v>22</v>
      </c>
      <c r="F665" s="300" t="s">
        <v>22</v>
      </c>
      <c r="G665" s="300" t="s">
        <v>22</v>
      </c>
      <c r="I665" s="356" t="str">
        <f>IFERROR(__xludf.DUMMYFUNCTION("if(H665=""Must be Together"",iferror(join("", "",unique(filter({filter('Students (Vertical)'!O:O,'Students (Vertical)'!C:C=B665,'Students (Vertical)'!O:O&lt;&gt;"""");filter('Students (Vertical)'!O:O,'Students (Vertical)'!C:C=E665,'Students (Vertical)'!O:O&lt;&gt;"""&amp;""")},countifs({filter('Students (Vertical)'!O:O,'Students (Vertical)'!C:C=B665,'Students (Vertical)'!O:O&lt;&gt;"""");filter('Students (Vertical)'!O:O,'Students (Vertical)'!C:C=E665,'Students (Vertical)'!O:O&lt;&gt;"""")},{filter('Students (Vertical)'!O:O,'Students ("&amp;"Vertical)'!C:C=B665,'Students (Vertical)'!O:O&lt;&gt;"""");filter('Students (Vertical)'!O:O,'Students (Vertical)'!C:C=E665,'Students (Vertical)'!O:O&lt;&gt;"""")})&gt;1))),""No shared courses""),"""")"),"")</f>
        <v/>
      </c>
      <c r="J665" s="357" t="str">
        <f>IFERROR(__xludf.DUMMYFUNCTION("if(H665=""Can't be Together"",iferror(join("", "",unique(filter({filter('Students (Vertical)'!O:O,'Students (Vertical)'!C:C=B665,'Students (Vertical)'!O:O&lt;&gt;"""",'Students (Vertical)'!P:P&gt;1);filter('Students (Vertical)'!O:O,'Students (Vertical)'!C:C=E665,'"&amp;"Students (Vertical)'!O:O&lt;&gt;"""",'Students (Vertical)'!P:P&gt;1)},countifs({filter('Students (Vertical)'!O:O,'Students (Vertical)'!C:C=B665,'Students (Vertical)'!O:O&lt;&gt;"""",'Students (Vertical)'!P:P&gt;1);filter('Students (Vertical)'!O:O,'Students (Vertical)'!C:C="&amp;"E665,'Students (Vertical)'!O:O&lt;&gt;"""",'Students (Vertical)'!P:P&gt;1)},{filter('Students (Vertical)'!O:O,'Students (Vertical)'!C:C=B665,'Students (Vertical)'!O:O&lt;&gt;"""",'Students (Vertical)'!P:P&gt;1);filter('Students (Vertical)'!O:O,'Students (Vertical)'!C:C=E66"&amp;"5,'Students (Vertical)'!O:O&lt;&gt;"""",'Students (Vertical)'!P:P&gt;1)})&gt;1))),""""),"""")"),"")</f>
        <v/>
      </c>
      <c r="K665" s="358"/>
    </row>
    <row r="666">
      <c r="A666" s="300" t="s">
        <v>22</v>
      </c>
      <c r="C666" s="300" t="s">
        <v>22</v>
      </c>
      <c r="D666" s="300" t="s">
        <v>22</v>
      </c>
      <c r="F666" s="300" t="s">
        <v>22</v>
      </c>
      <c r="G666" s="300" t="s">
        <v>22</v>
      </c>
      <c r="I666" s="356" t="str">
        <f>IFERROR(__xludf.DUMMYFUNCTION("if(H666=""Must be Together"",iferror(join("", "",unique(filter({filter('Students (Vertical)'!O:O,'Students (Vertical)'!C:C=B666,'Students (Vertical)'!O:O&lt;&gt;"""");filter('Students (Vertical)'!O:O,'Students (Vertical)'!C:C=E666,'Students (Vertical)'!O:O&lt;&gt;"""&amp;""")},countifs({filter('Students (Vertical)'!O:O,'Students (Vertical)'!C:C=B666,'Students (Vertical)'!O:O&lt;&gt;"""");filter('Students (Vertical)'!O:O,'Students (Vertical)'!C:C=E666,'Students (Vertical)'!O:O&lt;&gt;"""")},{filter('Students (Vertical)'!O:O,'Students ("&amp;"Vertical)'!C:C=B666,'Students (Vertical)'!O:O&lt;&gt;"""");filter('Students (Vertical)'!O:O,'Students (Vertical)'!C:C=E666,'Students (Vertical)'!O:O&lt;&gt;"""")})&gt;1))),""No shared courses""),"""")"),"")</f>
        <v/>
      </c>
      <c r="J666" s="357" t="str">
        <f>IFERROR(__xludf.DUMMYFUNCTION("if(H666=""Can't be Together"",iferror(join("", "",unique(filter({filter('Students (Vertical)'!O:O,'Students (Vertical)'!C:C=B666,'Students (Vertical)'!O:O&lt;&gt;"""",'Students (Vertical)'!P:P&gt;1);filter('Students (Vertical)'!O:O,'Students (Vertical)'!C:C=E666,'"&amp;"Students (Vertical)'!O:O&lt;&gt;"""",'Students (Vertical)'!P:P&gt;1)},countifs({filter('Students (Vertical)'!O:O,'Students (Vertical)'!C:C=B666,'Students (Vertical)'!O:O&lt;&gt;"""",'Students (Vertical)'!P:P&gt;1);filter('Students (Vertical)'!O:O,'Students (Vertical)'!C:C="&amp;"E666,'Students (Vertical)'!O:O&lt;&gt;"""",'Students (Vertical)'!P:P&gt;1)},{filter('Students (Vertical)'!O:O,'Students (Vertical)'!C:C=B666,'Students (Vertical)'!O:O&lt;&gt;"""",'Students (Vertical)'!P:P&gt;1);filter('Students (Vertical)'!O:O,'Students (Vertical)'!C:C=E66"&amp;"6,'Students (Vertical)'!O:O&lt;&gt;"""",'Students (Vertical)'!P:P&gt;1)})&gt;1))),""""),"""")"),"")</f>
        <v/>
      </c>
      <c r="K666" s="358"/>
    </row>
    <row r="667">
      <c r="A667" s="300" t="s">
        <v>22</v>
      </c>
      <c r="C667" s="300" t="s">
        <v>22</v>
      </c>
      <c r="D667" s="300" t="s">
        <v>22</v>
      </c>
      <c r="F667" s="300" t="s">
        <v>22</v>
      </c>
      <c r="G667" s="300" t="s">
        <v>22</v>
      </c>
      <c r="I667" s="356" t="str">
        <f>IFERROR(__xludf.DUMMYFUNCTION("if(H667=""Must be Together"",iferror(join("", "",unique(filter({filter('Students (Vertical)'!O:O,'Students (Vertical)'!C:C=B667,'Students (Vertical)'!O:O&lt;&gt;"""");filter('Students (Vertical)'!O:O,'Students (Vertical)'!C:C=E667,'Students (Vertical)'!O:O&lt;&gt;"""&amp;""")},countifs({filter('Students (Vertical)'!O:O,'Students (Vertical)'!C:C=B667,'Students (Vertical)'!O:O&lt;&gt;"""");filter('Students (Vertical)'!O:O,'Students (Vertical)'!C:C=E667,'Students (Vertical)'!O:O&lt;&gt;"""")},{filter('Students (Vertical)'!O:O,'Students ("&amp;"Vertical)'!C:C=B667,'Students (Vertical)'!O:O&lt;&gt;"""");filter('Students (Vertical)'!O:O,'Students (Vertical)'!C:C=E667,'Students (Vertical)'!O:O&lt;&gt;"""")})&gt;1))),""No shared courses""),"""")"),"")</f>
        <v/>
      </c>
      <c r="J667" s="357" t="str">
        <f>IFERROR(__xludf.DUMMYFUNCTION("if(H667=""Can't be Together"",iferror(join("", "",unique(filter({filter('Students (Vertical)'!O:O,'Students (Vertical)'!C:C=B667,'Students (Vertical)'!O:O&lt;&gt;"""",'Students (Vertical)'!P:P&gt;1);filter('Students (Vertical)'!O:O,'Students (Vertical)'!C:C=E667,'"&amp;"Students (Vertical)'!O:O&lt;&gt;"""",'Students (Vertical)'!P:P&gt;1)},countifs({filter('Students (Vertical)'!O:O,'Students (Vertical)'!C:C=B667,'Students (Vertical)'!O:O&lt;&gt;"""",'Students (Vertical)'!P:P&gt;1);filter('Students (Vertical)'!O:O,'Students (Vertical)'!C:C="&amp;"E667,'Students (Vertical)'!O:O&lt;&gt;"""",'Students (Vertical)'!P:P&gt;1)},{filter('Students (Vertical)'!O:O,'Students (Vertical)'!C:C=B667,'Students (Vertical)'!O:O&lt;&gt;"""",'Students (Vertical)'!P:P&gt;1);filter('Students (Vertical)'!O:O,'Students (Vertical)'!C:C=E66"&amp;"7,'Students (Vertical)'!O:O&lt;&gt;"""",'Students (Vertical)'!P:P&gt;1)})&gt;1))),""""),"""")"),"")</f>
        <v/>
      </c>
      <c r="K667" s="358"/>
    </row>
    <row r="668">
      <c r="A668" s="300" t="s">
        <v>22</v>
      </c>
      <c r="C668" s="300" t="s">
        <v>22</v>
      </c>
      <c r="D668" s="300" t="s">
        <v>22</v>
      </c>
      <c r="F668" s="300" t="s">
        <v>22</v>
      </c>
      <c r="G668" s="300" t="s">
        <v>22</v>
      </c>
      <c r="I668" s="356" t="str">
        <f>IFERROR(__xludf.DUMMYFUNCTION("if(H668=""Must be Together"",iferror(join("", "",unique(filter({filter('Students (Vertical)'!O:O,'Students (Vertical)'!C:C=B668,'Students (Vertical)'!O:O&lt;&gt;"""");filter('Students (Vertical)'!O:O,'Students (Vertical)'!C:C=E668,'Students (Vertical)'!O:O&lt;&gt;"""&amp;""")},countifs({filter('Students (Vertical)'!O:O,'Students (Vertical)'!C:C=B668,'Students (Vertical)'!O:O&lt;&gt;"""");filter('Students (Vertical)'!O:O,'Students (Vertical)'!C:C=E668,'Students (Vertical)'!O:O&lt;&gt;"""")},{filter('Students (Vertical)'!O:O,'Students ("&amp;"Vertical)'!C:C=B668,'Students (Vertical)'!O:O&lt;&gt;"""");filter('Students (Vertical)'!O:O,'Students (Vertical)'!C:C=E668,'Students (Vertical)'!O:O&lt;&gt;"""")})&gt;1))),""No shared courses""),"""")"),"")</f>
        <v/>
      </c>
      <c r="J668" s="357" t="str">
        <f>IFERROR(__xludf.DUMMYFUNCTION("if(H668=""Can't be Together"",iferror(join("", "",unique(filter({filter('Students (Vertical)'!O:O,'Students (Vertical)'!C:C=B668,'Students (Vertical)'!O:O&lt;&gt;"""",'Students (Vertical)'!P:P&gt;1);filter('Students (Vertical)'!O:O,'Students (Vertical)'!C:C=E668,'"&amp;"Students (Vertical)'!O:O&lt;&gt;"""",'Students (Vertical)'!P:P&gt;1)},countifs({filter('Students (Vertical)'!O:O,'Students (Vertical)'!C:C=B668,'Students (Vertical)'!O:O&lt;&gt;"""",'Students (Vertical)'!P:P&gt;1);filter('Students (Vertical)'!O:O,'Students (Vertical)'!C:C="&amp;"E668,'Students (Vertical)'!O:O&lt;&gt;"""",'Students (Vertical)'!P:P&gt;1)},{filter('Students (Vertical)'!O:O,'Students (Vertical)'!C:C=B668,'Students (Vertical)'!O:O&lt;&gt;"""",'Students (Vertical)'!P:P&gt;1);filter('Students (Vertical)'!O:O,'Students (Vertical)'!C:C=E66"&amp;"8,'Students (Vertical)'!O:O&lt;&gt;"""",'Students (Vertical)'!P:P&gt;1)})&gt;1))),""""),"""")"),"")</f>
        <v/>
      </c>
      <c r="K668" s="358"/>
    </row>
    <row r="669">
      <c r="A669" s="300" t="s">
        <v>22</v>
      </c>
      <c r="C669" s="300" t="s">
        <v>22</v>
      </c>
      <c r="D669" s="300" t="s">
        <v>22</v>
      </c>
      <c r="F669" s="300" t="s">
        <v>22</v>
      </c>
      <c r="G669" s="300" t="s">
        <v>22</v>
      </c>
      <c r="I669" s="356" t="str">
        <f>IFERROR(__xludf.DUMMYFUNCTION("if(H669=""Must be Together"",iferror(join("", "",unique(filter({filter('Students (Vertical)'!O:O,'Students (Vertical)'!C:C=B669,'Students (Vertical)'!O:O&lt;&gt;"""");filter('Students (Vertical)'!O:O,'Students (Vertical)'!C:C=E669,'Students (Vertical)'!O:O&lt;&gt;"""&amp;""")},countifs({filter('Students (Vertical)'!O:O,'Students (Vertical)'!C:C=B669,'Students (Vertical)'!O:O&lt;&gt;"""");filter('Students (Vertical)'!O:O,'Students (Vertical)'!C:C=E669,'Students (Vertical)'!O:O&lt;&gt;"""")},{filter('Students (Vertical)'!O:O,'Students ("&amp;"Vertical)'!C:C=B669,'Students (Vertical)'!O:O&lt;&gt;"""");filter('Students (Vertical)'!O:O,'Students (Vertical)'!C:C=E669,'Students (Vertical)'!O:O&lt;&gt;"""")})&gt;1))),""No shared courses""),"""")"),"")</f>
        <v/>
      </c>
      <c r="J669" s="357" t="str">
        <f>IFERROR(__xludf.DUMMYFUNCTION("if(H669=""Can't be Together"",iferror(join("", "",unique(filter({filter('Students (Vertical)'!O:O,'Students (Vertical)'!C:C=B669,'Students (Vertical)'!O:O&lt;&gt;"""",'Students (Vertical)'!P:P&gt;1);filter('Students (Vertical)'!O:O,'Students (Vertical)'!C:C=E669,'"&amp;"Students (Vertical)'!O:O&lt;&gt;"""",'Students (Vertical)'!P:P&gt;1)},countifs({filter('Students (Vertical)'!O:O,'Students (Vertical)'!C:C=B669,'Students (Vertical)'!O:O&lt;&gt;"""",'Students (Vertical)'!P:P&gt;1);filter('Students (Vertical)'!O:O,'Students (Vertical)'!C:C="&amp;"E669,'Students (Vertical)'!O:O&lt;&gt;"""",'Students (Vertical)'!P:P&gt;1)},{filter('Students (Vertical)'!O:O,'Students (Vertical)'!C:C=B669,'Students (Vertical)'!O:O&lt;&gt;"""",'Students (Vertical)'!P:P&gt;1);filter('Students (Vertical)'!O:O,'Students (Vertical)'!C:C=E66"&amp;"9,'Students (Vertical)'!O:O&lt;&gt;"""",'Students (Vertical)'!P:P&gt;1)})&gt;1))),""""),"""")"),"")</f>
        <v/>
      </c>
      <c r="K669" s="358"/>
    </row>
    <row r="670">
      <c r="A670" s="300" t="s">
        <v>22</v>
      </c>
      <c r="C670" s="300" t="s">
        <v>22</v>
      </c>
      <c r="D670" s="300" t="s">
        <v>22</v>
      </c>
      <c r="F670" s="300" t="s">
        <v>22</v>
      </c>
      <c r="G670" s="300" t="s">
        <v>22</v>
      </c>
      <c r="I670" s="356" t="str">
        <f>IFERROR(__xludf.DUMMYFUNCTION("if(H670=""Must be Together"",iferror(join("", "",unique(filter({filter('Students (Vertical)'!O:O,'Students (Vertical)'!C:C=B670,'Students (Vertical)'!O:O&lt;&gt;"""");filter('Students (Vertical)'!O:O,'Students (Vertical)'!C:C=E670,'Students (Vertical)'!O:O&lt;&gt;"""&amp;""")},countifs({filter('Students (Vertical)'!O:O,'Students (Vertical)'!C:C=B670,'Students (Vertical)'!O:O&lt;&gt;"""");filter('Students (Vertical)'!O:O,'Students (Vertical)'!C:C=E670,'Students (Vertical)'!O:O&lt;&gt;"""")},{filter('Students (Vertical)'!O:O,'Students ("&amp;"Vertical)'!C:C=B670,'Students (Vertical)'!O:O&lt;&gt;"""");filter('Students (Vertical)'!O:O,'Students (Vertical)'!C:C=E670,'Students (Vertical)'!O:O&lt;&gt;"""")})&gt;1))),""No shared courses""),"""")"),"")</f>
        <v/>
      </c>
      <c r="J670" s="357" t="str">
        <f>IFERROR(__xludf.DUMMYFUNCTION("if(H670=""Can't be Together"",iferror(join("", "",unique(filter({filter('Students (Vertical)'!O:O,'Students (Vertical)'!C:C=B670,'Students (Vertical)'!O:O&lt;&gt;"""",'Students (Vertical)'!P:P&gt;1);filter('Students (Vertical)'!O:O,'Students (Vertical)'!C:C=E670,'"&amp;"Students (Vertical)'!O:O&lt;&gt;"""",'Students (Vertical)'!P:P&gt;1)},countifs({filter('Students (Vertical)'!O:O,'Students (Vertical)'!C:C=B670,'Students (Vertical)'!O:O&lt;&gt;"""",'Students (Vertical)'!P:P&gt;1);filter('Students (Vertical)'!O:O,'Students (Vertical)'!C:C="&amp;"E670,'Students (Vertical)'!O:O&lt;&gt;"""",'Students (Vertical)'!P:P&gt;1)},{filter('Students (Vertical)'!O:O,'Students (Vertical)'!C:C=B670,'Students (Vertical)'!O:O&lt;&gt;"""",'Students (Vertical)'!P:P&gt;1);filter('Students (Vertical)'!O:O,'Students (Vertical)'!C:C=E67"&amp;"0,'Students (Vertical)'!O:O&lt;&gt;"""",'Students (Vertical)'!P:P&gt;1)})&gt;1))),""""),"""")"),"")</f>
        <v/>
      </c>
      <c r="K670" s="358"/>
    </row>
    <row r="671">
      <c r="A671" s="300" t="s">
        <v>22</v>
      </c>
      <c r="C671" s="300" t="s">
        <v>22</v>
      </c>
      <c r="D671" s="300" t="s">
        <v>22</v>
      </c>
      <c r="F671" s="300" t="s">
        <v>22</v>
      </c>
      <c r="G671" s="300" t="s">
        <v>22</v>
      </c>
      <c r="I671" s="356" t="str">
        <f>IFERROR(__xludf.DUMMYFUNCTION("if(H671=""Must be Together"",iferror(join("", "",unique(filter({filter('Students (Vertical)'!O:O,'Students (Vertical)'!C:C=B671,'Students (Vertical)'!O:O&lt;&gt;"""");filter('Students (Vertical)'!O:O,'Students (Vertical)'!C:C=E671,'Students (Vertical)'!O:O&lt;&gt;"""&amp;""")},countifs({filter('Students (Vertical)'!O:O,'Students (Vertical)'!C:C=B671,'Students (Vertical)'!O:O&lt;&gt;"""");filter('Students (Vertical)'!O:O,'Students (Vertical)'!C:C=E671,'Students (Vertical)'!O:O&lt;&gt;"""")},{filter('Students (Vertical)'!O:O,'Students ("&amp;"Vertical)'!C:C=B671,'Students (Vertical)'!O:O&lt;&gt;"""");filter('Students (Vertical)'!O:O,'Students (Vertical)'!C:C=E671,'Students (Vertical)'!O:O&lt;&gt;"""")})&gt;1))),""No shared courses""),"""")"),"")</f>
        <v/>
      </c>
      <c r="J671" s="357" t="str">
        <f>IFERROR(__xludf.DUMMYFUNCTION("if(H671=""Can't be Together"",iferror(join("", "",unique(filter({filter('Students (Vertical)'!O:O,'Students (Vertical)'!C:C=B671,'Students (Vertical)'!O:O&lt;&gt;"""",'Students (Vertical)'!P:P&gt;1);filter('Students (Vertical)'!O:O,'Students (Vertical)'!C:C=E671,'"&amp;"Students (Vertical)'!O:O&lt;&gt;"""",'Students (Vertical)'!P:P&gt;1)},countifs({filter('Students (Vertical)'!O:O,'Students (Vertical)'!C:C=B671,'Students (Vertical)'!O:O&lt;&gt;"""",'Students (Vertical)'!P:P&gt;1);filter('Students (Vertical)'!O:O,'Students (Vertical)'!C:C="&amp;"E671,'Students (Vertical)'!O:O&lt;&gt;"""",'Students (Vertical)'!P:P&gt;1)},{filter('Students (Vertical)'!O:O,'Students (Vertical)'!C:C=B671,'Students (Vertical)'!O:O&lt;&gt;"""",'Students (Vertical)'!P:P&gt;1);filter('Students (Vertical)'!O:O,'Students (Vertical)'!C:C=E67"&amp;"1,'Students (Vertical)'!O:O&lt;&gt;"""",'Students (Vertical)'!P:P&gt;1)})&gt;1))),""""),"""")"),"")</f>
        <v/>
      </c>
      <c r="K671" s="358"/>
    </row>
    <row r="672">
      <c r="A672" s="300" t="s">
        <v>22</v>
      </c>
      <c r="C672" s="300" t="s">
        <v>22</v>
      </c>
      <c r="D672" s="300" t="s">
        <v>22</v>
      </c>
      <c r="F672" s="300" t="s">
        <v>22</v>
      </c>
      <c r="G672" s="300" t="s">
        <v>22</v>
      </c>
      <c r="I672" s="356" t="str">
        <f>IFERROR(__xludf.DUMMYFUNCTION("if(H672=""Must be Together"",iferror(join("", "",unique(filter({filter('Students (Vertical)'!O:O,'Students (Vertical)'!C:C=B672,'Students (Vertical)'!O:O&lt;&gt;"""");filter('Students (Vertical)'!O:O,'Students (Vertical)'!C:C=E672,'Students (Vertical)'!O:O&lt;&gt;"""&amp;""")},countifs({filter('Students (Vertical)'!O:O,'Students (Vertical)'!C:C=B672,'Students (Vertical)'!O:O&lt;&gt;"""");filter('Students (Vertical)'!O:O,'Students (Vertical)'!C:C=E672,'Students (Vertical)'!O:O&lt;&gt;"""")},{filter('Students (Vertical)'!O:O,'Students ("&amp;"Vertical)'!C:C=B672,'Students (Vertical)'!O:O&lt;&gt;"""");filter('Students (Vertical)'!O:O,'Students (Vertical)'!C:C=E672,'Students (Vertical)'!O:O&lt;&gt;"""")})&gt;1))),""No shared courses""),"""")"),"")</f>
        <v/>
      </c>
      <c r="J672" s="357" t="str">
        <f>IFERROR(__xludf.DUMMYFUNCTION("if(H672=""Can't be Together"",iferror(join("", "",unique(filter({filter('Students (Vertical)'!O:O,'Students (Vertical)'!C:C=B672,'Students (Vertical)'!O:O&lt;&gt;"""",'Students (Vertical)'!P:P&gt;1);filter('Students (Vertical)'!O:O,'Students (Vertical)'!C:C=E672,'"&amp;"Students (Vertical)'!O:O&lt;&gt;"""",'Students (Vertical)'!P:P&gt;1)},countifs({filter('Students (Vertical)'!O:O,'Students (Vertical)'!C:C=B672,'Students (Vertical)'!O:O&lt;&gt;"""",'Students (Vertical)'!P:P&gt;1);filter('Students (Vertical)'!O:O,'Students (Vertical)'!C:C="&amp;"E672,'Students (Vertical)'!O:O&lt;&gt;"""",'Students (Vertical)'!P:P&gt;1)},{filter('Students (Vertical)'!O:O,'Students (Vertical)'!C:C=B672,'Students (Vertical)'!O:O&lt;&gt;"""",'Students (Vertical)'!P:P&gt;1);filter('Students (Vertical)'!O:O,'Students (Vertical)'!C:C=E67"&amp;"2,'Students (Vertical)'!O:O&lt;&gt;"""",'Students (Vertical)'!P:P&gt;1)})&gt;1))),""""),"""")"),"")</f>
        <v/>
      </c>
      <c r="K672" s="358"/>
    </row>
    <row r="673">
      <c r="A673" s="300" t="s">
        <v>22</v>
      </c>
      <c r="C673" s="300" t="s">
        <v>22</v>
      </c>
      <c r="D673" s="300" t="s">
        <v>22</v>
      </c>
      <c r="F673" s="300" t="s">
        <v>22</v>
      </c>
      <c r="G673" s="300" t="s">
        <v>22</v>
      </c>
      <c r="I673" s="356" t="str">
        <f>IFERROR(__xludf.DUMMYFUNCTION("if(H673=""Must be Together"",iferror(join("", "",unique(filter({filter('Students (Vertical)'!O:O,'Students (Vertical)'!C:C=B673,'Students (Vertical)'!O:O&lt;&gt;"""");filter('Students (Vertical)'!O:O,'Students (Vertical)'!C:C=E673,'Students (Vertical)'!O:O&lt;&gt;"""&amp;""")},countifs({filter('Students (Vertical)'!O:O,'Students (Vertical)'!C:C=B673,'Students (Vertical)'!O:O&lt;&gt;"""");filter('Students (Vertical)'!O:O,'Students (Vertical)'!C:C=E673,'Students (Vertical)'!O:O&lt;&gt;"""")},{filter('Students (Vertical)'!O:O,'Students ("&amp;"Vertical)'!C:C=B673,'Students (Vertical)'!O:O&lt;&gt;"""");filter('Students (Vertical)'!O:O,'Students (Vertical)'!C:C=E673,'Students (Vertical)'!O:O&lt;&gt;"""")})&gt;1))),""No shared courses""),"""")"),"")</f>
        <v/>
      </c>
      <c r="J673" s="357" t="str">
        <f>IFERROR(__xludf.DUMMYFUNCTION("if(H673=""Can't be Together"",iferror(join("", "",unique(filter({filter('Students (Vertical)'!O:O,'Students (Vertical)'!C:C=B673,'Students (Vertical)'!O:O&lt;&gt;"""",'Students (Vertical)'!P:P&gt;1);filter('Students (Vertical)'!O:O,'Students (Vertical)'!C:C=E673,'"&amp;"Students (Vertical)'!O:O&lt;&gt;"""",'Students (Vertical)'!P:P&gt;1)},countifs({filter('Students (Vertical)'!O:O,'Students (Vertical)'!C:C=B673,'Students (Vertical)'!O:O&lt;&gt;"""",'Students (Vertical)'!P:P&gt;1);filter('Students (Vertical)'!O:O,'Students (Vertical)'!C:C="&amp;"E673,'Students (Vertical)'!O:O&lt;&gt;"""",'Students (Vertical)'!P:P&gt;1)},{filter('Students (Vertical)'!O:O,'Students (Vertical)'!C:C=B673,'Students (Vertical)'!O:O&lt;&gt;"""",'Students (Vertical)'!P:P&gt;1);filter('Students (Vertical)'!O:O,'Students (Vertical)'!C:C=E67"&amp;"3,'Students (Vertical)'!O:O&lt;&gt;"""",'Students (Vertical)'!P:P&gt;1)})&gt;1))),""""),"""")"),"")</f>
        <v/>
      </c>
      <c r="K673" s="358"/>
    </row>
    <row r="674">
      <c r="A674" s="300" t="s">
        <v>22</v>
      </c>
      <c r="C674" s="300" t="s">
        <v>22</v>
      </c>
      <c r="D674" s="300" t="s">
        <v>22</v>
      </c>
      <c r="F674" s="300" t="s">
        <v>22</v>
      </c>
      <c r="G674" s="300" t="s">
        <v>22</v>
      </c>
      <c r="I674" s="356" t="str">
        <f>IFERROR(__xludf.DUMMYFUNCTION("if(H674=""Must be Together"",iferror(join("", "",unique(filter({filter('Students (Vertical)'!O:O,'Students (Vertical)'!C:C=B674,'Students (Vertical)'!O:O&lt;&gt;"""");filter('Students (Vertical)'!O:O,'Students (Vertical)'!C:C=E674,'Students (Vertical)'!O:O&lt;&gt;"""&amp;""")},countifs({filter('Students (Vertical)'!O:O,'Students (Vertical)'!C:C=B674,'Students (Vertical)'!O:O&lt;&gt;"""");filter('Students (Vertical)'!O:O,'Students (Vertical)'!C:C=E674,'Students (Vertical)'!O:O&lt;&gt;"""")},{filter('Students (Vertical)'!O:O,'Students ("&amp;"Vertical)'!C:C=B674,'Students (Vertical)'!O:O&lt;&gt;"""");filter('Students (Vertical)'!O:O,'Students (Vertical)'!C:C=E674,'Students (Vertical)'!O:O&lt;&gt;"""")})&gt;1))),""No shared courses""),"""")"),"")</f>
        <v/>
      </c>
      <c r="J674" s="357" t="str">
        <f>IFERROR(__xludf.DUMMYFUNCTION("if(H674=""Can't be Together"",iferror(join("", "",unique(filter({filter('Students (Vertical)'!O:O,'Students (Vertical)'!C:C=B674,'Students (Vertical)'!O:O&lt;&gt;"""",'Students (Vertical)'!P:P&gt;1);filter('Students (Vertical)'!O:O,'Students (Vertical)'!C:C=E674,'"&amp;"Students (Vertical)'!O:O&lt;&gt;"""",'Students (Vertical)'!P:P&gt;1)},countifs({filter('Students (Vertical)'!O:O,'Students (Vertical)'!C:C=B674,'Students (Vertical)'!O:O&lt;&gt;"""",'Students (Vertical)'!P:P&gt;1);filter('Students (Vertical)'!O:O,'Students (Vertical)'!C:C="&amp;"E674,'Students (Vertical)'!O:O&lt;&gt;"""",'Students (Vertical)'!P:P&gt;1)},{filter('Students (Vertical)'!O:O,'Students (Vertical)'!C:C=B674,'Students (Vertical)'!O:O&lt;&gt;"""",'Students (Vertical)'!P:P&gt;1);filter('Students (Vertical)'!O:O,'Students (Vertical)'!C:C=E67"&amp;"4,'Students (Vertical)'!O:O&lt;&gt;"""",'Students (Vertical)'!P:P&gt;1)})&gt;1))),""""),"""")"),"")</f>
        <v/>
      </c>
      <c r="K674" s="358"/>
    </row>
    <row r="675">
      <c r="A675" s="300" t="s">
        <v>22</v>
      </c>
      <c r="C675" s="300" t="s">
        <v>22</v>
      </c>
      <c r="D675" s="300" t="s">
        <v>22</v>
      </c>
      <c r="F675" s="300" t="s">
        <v>22</v>
      </c>
      <c r="G675" s="300" t="s">
        <v>22</v>
      </c>
      <c r="I675" s="356" t="str">
        <f>IFERROR(__xludf.DUMMYFUNCTION("if(H675=""Must be Together"",iferror(join("", "",unique(filter({filter('Students (Vertical)'!O:O,'Students (Vertical)'!C:C=B675,'Students (Vertical)'!O:O&lt;&gt;"""");filter('Students (Vertical)'!O:O,'Students (Vertical)'!C:C=E675,'Students (Vertical)'!O:O&lt;&gt;"""&amp;""")},countifs({filter('Students (Vertical)'!O:O,'Students (Vertical)'!C:C=B675,'Students (Vertical)'!O:O&lt;&gt;"""");filter('Students (Vertical)'!O:O,'Students (Vertical)'!C:C=E675,'Students (Vertical)'!O:O&lt;&gt;"""")},{filter('Students (Vertical)'!O:O,'Students ("&amp;"Vertical)'!C:C=B675,'Students (Vertical)'!O:O&lt;&gt;"""");filter('Students (Vertical)'!O:O,'Students (Vertical)'!C:C=E675,'Students (Vertical)'!O:O&lt;&gt;"""")})&gt;1))),""No shared courses""),"""")"),"")</f>
        <v/>
      </c>
      <c r="J675" s="357" t="str">
        <f>IFERROR(__xludf.DUMMYFUNCTION("if(H675=""Can't be Together"",iferror(join("", "",unique(filter({filter('Students (Vertical)'!O:O,'Students (Vertical)'!C:C=B675,'Students (Vertical)'!O:O&lt;&gt;"""",'Students (Vertical)'!P:P&gt;1);filter('Students (Vertical)'!O:O,'Students (Vertical)'!C:C=E675,'"&amp;"Students (Vertical)'!O:O&lt;&gt;"""",'Students (Vertical)'!P:P&gt;1)},countifs({filter('Students (Vertical)'!O:O,'Students (Vertical)'!C:C=B675,'Students (Vertical)'!O:O&lt;&gt;"""",'Students (Vertical)'!P:P&gt;1);filter('Students (Vertical)'!O:O,'Students (Vertical)'!C:C="&amp;"E675,'Students (Vertical)'!O:O&lt;&gt;"""",'Students (Vertical)'!P:P&gt;1)},{filter('Students (Vertical)'!O:O,'Students (Vertical)'!C:C=B675,'Students (Vertical)'!O:O&lt;&gt;"""",'Students (Vertical)'!P:P&gt;1);filter('Students (Vertical)'!O:O,'Students (Vertical)'!C:C=E67"&amp;"5,'Students (Vertical)'!O:O&lt;&gt;"""",'Students (Vertical)'!P:P&gt;1)})&gt;1))),""""),"""")"),"")</f>
        <v/>
      </c>
      <c r="K675" s="358"/>
    </row>
    <row r="676">
      <c r="A676" s="300" t="s">
        <v>22</v>
      </c>
      <c r="C676" s="300" t="s">
        <v>22</v>
      </c>
      <c r="D676" s="300" t="s">
        <v>22</v>
      </c>
      <c r="F676" s="300" t="s">
        <v>22</v>
      </c>
      <c r="G676" s="300" t="s">
        <v>22</v>
      </c>
      <c r="I676" s="356" t="str">
        <f>IFERROR(__xludf.DUMMYFUNCTION("if(H676=""Must be Together"",iferror(join("", "",unique(filter({filter('Students (Vertical)'!O:O,'Students (Vertical)'!C:C=B676,'Students (Vertical)'!O:O&lt;&gt;"""");filter('Students (Vertical)'!O:O,'Students (Vertical)'!C:C=E676,'Students (Vertical)'!O:O&lt;&gt;"""&amp;""")},countifs({filter('Students (Vertical)'!O:O,'Students (Vertical)'!C:C=B676,'Students (Vertical)'!O:O&lt;&gt;"""");filter('Students (Vertical)'!O:O,'Students (Vertical)'!C:C=E676,'Students (Vertical)'!O:O&lt;&gt;"""")},{filter('Students (Vertical)'!O:O,'Students ("&amp;"Vertical)'!C:C=B676,'Students (Vertical)'!O:O&lt;&gt;"""");filter('Students (Vertical)'!O:O,'Students (Vertical)'!C:C=E676,'Students (Vertical)'!O:O&lt;&gt;"""")})&gt;1))),""No shared courses""),"""")"),"")</f>
        <v/>
      </c>
      <c r="J676" s="357" t="str">
        <f>IFERROR(__xludf.DUMMYFUNCTION("if(H676=""Can't be Together"",iferror(join("", "",unique(filter({filter('Students (Vertical)'!O:O,'Students (Vertical)'!C:C=B676,'Students (Vertical)'!O:O&lt;&gt;"""",'Students (Vertical)'!P:P&gt;1);filter('Students (Vertical)'!O:O,'Students (Vertical)'!C:C=E676,'"&amp;"Students (Vertical)'!O:O&lt;&gt;"""",'Students (Vertical)'!P:P&gt;1)},countifs({filter('Students (Vertical)'!O:O,'Students (Vertical)'!C:C=B676,'Students (Vertical)'!O:O&lt;&gt;"""",'Students (Vertical)'!P:P&gt;1);filter('Students (Vertical)'!O:O,'Students (Vertical)'!C:C="&amp;"E676,'Students (Vertical)'!O:O&lt;&gt;"""",'Students (Vertical)'!P:P&gt;1)},{filter('Students (Vertical)'!O:O,'Students (Vertical)'!C:C=B676,'Students (Vertical)'!O:O&lt;&gt;"""",'Students (Vertical)'!P:P&gt;1);filter('Students (Vertical)'!O:O,'Students (Vertical)'!C:C=E67"&amp;"6,'Students (Vertical)'!O:O&lt;&gt;"""",'Students (Vertical)'!P:P&gt;1)})&gt;1))),""""),"""")"),"")</f>
        <v/>
      </c>
      <c r="K676" s="358"/>
    </row>
    <row r="677">
      <c r="A677" s="300" t="s">
        <v>22</v>
      </c>
      <c r="C677" s="300" t="s">
        <v>22</v>
      </c>
      <c r="D677" s="300" t="s">
        <v>22</v>
      </c>
      <c r="F677" s="300" t="s">
        <v>22</v>
      </c>
      <c r="G677" s="300" t="s">
        <v>22</v>
      </c>
      <c r="I677" s="356" t="str">
        <f>IFERROR(__xludf.DUMMYFUNCTION("if(H677=""Must be Together"",iferror(join("", "",unique(filter({filter('Students (Vertical)'!O:O,'Students (Vertical)'!C:C=B677,'Students (Vertical)'!O:O&lt;&gt;"""");filter('Students (Vertical)'!O:O,'Students (Vertical)'!C:C=E677,'Students (Vertical)'!O:O&lt;&gt;"""&amp;""")},countifs({filter('Students (Vertical)'!O:O,'Students (Vertical)'!C:C=B677,'Students (Vertical)'!O:O&lt;&gt;"""");filter('Students (Vertical)'!O:O,'Students (Vertical)'!C:C=E677,'Students (Vertical)'!O:O&lt;&gt;"""")},{filter('Students (Vertical)'!O:O,'Students ("&amp;"Vertical)'!C:C=B677,'Students (Vertical)'!O:O&lt;&gt;"""");filter('Students (Vertical)'!O:O,'Students (Vertical)'!C:C=E677,'Students (Vertical)'!O:O&lt;&gt;"""")})&gt;1))),""No shared courses""),"""")"),"")</f>
        <v/>
      </c>
      <c r="J677" s="357" t="str">
        <f>IFERROR(__xludf.DUMMYFUNCTION("if(H677=""Can't be Together"",iferror(join("", "",unique(filter({filter('Students (Vertical)'!O:O,'Students (Vertical)'!C:C=B677,'Students (Vertical)'!O:O&lt;&gt;"""",'Students (Vertical)'!P:P&gt;1);filter('Students (Vertical)'!O:O,'Students (Vertical)'!C:C=E677,'"&amp;"Students (Vertical)'!O:O&lt;&gt;"""",'Students (Vertical)'!P:P&gt;1)},countifs({filter('Students (Vertical)'!O:O,'Students (Vertical)'!C:C=B677,'Students (Vertical)'!O:O&lt;&gt;"""",'Students (Vertical)'!P:P&gt;1);filter('Students (Vertical)'!O:O,'Students (Vertical)'!C:C="&amp;"E677,'Students (Vertical)'!O:O&lt;&gt;"""",'Students (Vertical)'!P:P&gt;1)},{filter('Students (Vertical)'!O:O,'Students (Vertical)'!C:C=B677,'Students (Vertical)'!O:O&lt;&gt;"""",'Students (Vertical)'!P:P&gt;1);filter('Students (Vertical)'!O:O,'Students (Vertical)'!C:C=E67"&amp;"7,'Students (Vertical)'!O:O&lt;&gt;"""",'Students (Vertical)'!P:P&gt;1)})&gt;1))),""""),"""")"),"")</f>
        <v/>
      </c>
      <c r="K677" s="358"/>
    </row>
    <row r="678">
      <c r="A678" s="300" t="s">
        <v>22</v>
      </c>
      <c r="C678" s="300" t="s">
        <v>22</v>
      </c>
      <c r="D678" s="300" t="s">
        <v>22</v>
      </c>
      <c r="F678" s="300" t="s">
        <v>22</v>
      </c>
      <c r="G678" s="300" t="s">
        <v>22</v>
      </c>
      <c r="I678" s="356" t="str">
        <f>IFERROR(__xludf.DUMMYFUNCTION("if(H678=""Must be Together"",iferror(join("", "",unique(filter({filter('Students (Vertical)'!O:O,'Students (Vertical)'!C:C=B678,'Students (Vertical)'!O:O&lt;&gt;"""");filter('Students (Vertical)'!O:O,'Students (Vertical)'!C:C=E678,'Students (Vertical)'!O:O&lt;&gt;"""&amp;""")},countifs({filter('Students (Vertical)'!O:O,'Students (Vertical)'!C:C=B678,'Students (Vertical)'!O:O&lt;&gt;"""");filter('Students (Vertical)'!O:O,'Students (Vertical)'!C:C=E678,'Students (Vertical)'!O:O&lt;&gt;"""")},{filter('Students (Vertical)'!O:O,'Students ("&amp;"Vertical)'!C:C=B678,'Students (Vertical)'!O:O&lt;&gt;"""");filter('Students (Vertical)'!O:O,'Students (Vertical)'!C:C=E678,'Students (Vertical)'!O:O&lt;&gt;"""")})&gt;1))),""No shared courses""),"""")"),"")</f>
        <v/>
      </c>
      <c r="J678" s="357" t="str">
        <f>IFERROR(__xludf.DUMMYFUNCTION("if(H678=""Can't be Together"",iferror(join("", "",unique(filter({filter('Students (Vertical)'!O:O,'Students (Vertical)'!C:C=B678,'Students (Vertical)'!O:O&lt;&gt;"""",'Students (Vertical)'!P:P&gt;1);filter('Students (Vertical)'!O:O,'Students (Vertical)'!C:C=E678,'"&amp;"Students (Vertical)'!O:O&lt;&gt;"""",'Students (Vertical)'!P:P&gt;1)},countifs({filter('Students (Vertical)'!O:O,'Students (Vertical)'!C:C=B678,'Students (Vertical)'!O:O&lt;&gt;"""",'Students (Vertical)'!P:P&gt;1);filter('Students (Vertical)'!O:O,'Students (Vertical)'!C:C="&amp;"E678,'Students (Vertical)'!O:O&lt;&gt;"""",'Students (Vertical)'!P:P&gt;1)},{filter('Students (Vertical)'!O:O,'Students (Vertical)'!C:C=B678,'Students (Vertical)'!O:O&lt;&gt;"""",'Students (Vertical)'!P:P&gt;1);filter('Students (Vertical)'!O:O,'Students (Vertical)'!C:C=E67"&amp;"8,'Students (Vertical)'!O:O&lt;&gt;"""",'Students (Vertical)'!P:P&gt;1)})&gt;1))),""""),"""")"),"")</f>
        <v/>
      </c>
      <c r="K678" s="358"/>
    </row>
    <row r="679">
      <c r="A679" s="300" t="s">
        <v>22</v>
      </c>
      <c r="C679" s="300" t="s">
        <v>22</v>
      </c>
      <c r="D679" s="300" t="s">
        <v>22</v>
      </c>
      <c r="F679" s="300" t="s">
        <v>22</v>
      </c>
      <c r="G679" s="300" t="s">
        <v>22</v>
      </c>
      <c r="I679" s="356" t="str">
        <f>IFERROR(__xludf.DUMMYFUNCTION("if(H679=""Must be Together"",iferror(join("", "",unique(filter({filter('Students (Vertical)'!O:O,'Students (Vertical)'!C:C=B679,'Students (Vertical)'!O:O&lt;&gt;"""");filter('Students (Vertical)'!O:O,'Students (Vertical)'!C:C=E679,'Students (Vertical)'!O:O&lt;&gt;"""&amp;""")},countifs({filter('Students (Vertical)'!O:O,'Students (Vertical)'!C:C=B679,'Students (Vertical)'!O:O&lt;&gt;"""");filter('Students (Vertical)'!O:O,'Students (Vertical)'!C:C=E679,'Students (Vertical)'!O:O&lt;&gt;"""")},{filter('Students (Vertical)'!O:O,'Students ("&amp;"Vertical)'!C:C=B679,'Students (Vertical)'!O:O&lt;&gt;"""");filter('Students (Vertical)'!O:O,'Students (Vertical)'!C:C=E679,'Students (Vertical)'!O:O&lt;&gt;"""")})&gt;1))),""No shared courses""),"""")"),"")</f>
        <v/>
      </c>
      <c r="J679" s="357" t="str">
        <f>IFERROR(__xludf.DUMMYFUNCTION("if(H679=""Can't be Together"",iferror(join("", "",unique(filter({filter('Students (Vertical)'!O:O,'Students (Vertical)'!C:C=B679,'Students (Vertical)'!O:O&lt;&gt;"""",'Students (Vertical)'!P:P&gt;1);filter('Students (Vertical)'!O:O,'Students (Vertical)'!C:C=E679,'"&amp;"Students (Vertical)'!O:O&lt;&gt;"""",'Students (Vertical)'!P:P&gt;1)},countifs({filter('Students (Vertical)'!O:O,'Students (Vertical)'!C:C=B679,'Students (Vertical)'!O:O&lt;&gt;"""",'Students (Vertical)'!P:P&gt;1);filter('Students (Vertical)'!O:O,'Students (Vertical)'!C:C="&amp;"E679,'Students (Vertical)'!O:O&lt;&gt;"""",'Students (Vertical)'!P:P&gt;1)},{filter('Students (Vertical)'!O:O,'Students (Vertical)'!C:C=B679,'Students (Vertical)'!O:O&lt;&gt;"""",'Students (Vertical)'!P:P&gt;1);filter('Students (Vertical)'!O:O,'Students (Vertical)'!C:C=E67"&amp;"9,'Students (Vertical)'!O:O&lt;&gt;"""",'Students (Vertical)'!P:P&gt;1)})&gt;1))),""""),"""")"),"")</f>
        <v/>
      </c>
      <c r="K679" s="358"/>
    </row>
    <row r="680">
      <c r="A680" s="300" t="s">
        <v>22</v>
      </c>
      <c r="C680" s="300" t="s">
        <v>22</v>
      </c>
      <c r="D680" s="300" t="s">
        <v>22</v>
      </c>
      <c r="F680" s="300" t="s">
        <v>22</v>
      </c>
      <c r="G680" s="300" t="s">
        <v>22</v>
      </c>
      <c r="I680" s="356" t="str">
        <f>IFERROR(__xludf.DUMMYFUNCTION("if(H680=""Must be Together"",iferror(join("", "",unique(filter({filter('Students (Vertical)'!O:O,'Students (Vertical)'!C:C=B680,'Students (Vertical)'!O:O&lt;&gt;"""");filter('Students (Vertical)'!O:O,'Students (Vertical)'!C:C=E680,'Students (Vertical)'!O:O&lt;&gt;"""&amp;""")},countifs({filter('Students (Vertical)'!O:O,'Students (Vertical)'!C:C=B680,'Students (Vertical)'!O:O&lt;&gt;"""");filter('Students (Vertical)'!O:O,'Students (Vertical)'!C:C=E680,'Students (Vertical)'!O:O&lt;&gt;"""")},{filter('Students (Vertical)'!O:O,'Students ("&amp;"Vertical)'!C:C=B680,'Students (Vertical)'!O:O&lt;&gt;"""");filter('Students (Vertical)'!O:O,'Students (Vertical)'!C:C=E680,'Students (Vertical)'!O:O&lt;&gt;"""")})&gt;1))),""No shared courses""),"""")"),"")</f>
        <v/>
      </c>
      <c r="J680" s="357" t="str">
        <f>IFERROR(__xludf.DUMMYFUNCTION("if(H680=""Can't be Together"",iferror(join("", "",unique(filter({filter('Students (Vertical)'!O:O,'Students (Vertical)'!C:C=B680,'Students (Vertical)'!O:O&lt;&gt;"""",'Students (Vertical)'!P:P&gt;1);filter('Students (Vertical)'!O:O,'Students (Vertical)'!C:C=E680,'"&amp;"Students (Vertical)'!O:O&lt;&gt;"""",'Students (Vertical)'!P:P&gt;1)},countifs({filter('Students (Vertical)'!O:O,'Students (Vertical)'!C:C=B680,'Students (Vertical)'!O:O&lt;&gt;"""",'Students (Vertical)'!P:P&gt;1);filter('Students (Vertical)'!O:O,'Students (Vertical)'!C:C="&amp;"E680,'Students (Vertical)'!O:O&lt;&gt;"""",'Students (Vertical)'!P:P&gt;1)},{filter('Students (Vertical)'!O:O,'Students (Vertical)'!C:C=B680,'Students (Vertical)'!O:O&lt;&gt;"""",'Students (Vertical)'!P:P&gt;1);filter('Students (Vertical)'!O:O,'Students (Vertical)'!C:C=E68"&amp;"0,'Students (Vertical)'!O:O&lt;&gt;"""",'Students (Vertical)'!P:P&gt;1)})&gt;1))),""""),"""")"),"")</f>
        <v/>
      </c>
      <c r="K680" s="358"/>
    </row>
    <row r="681">
      <c r="A681" s="300" t="s">
        <v>22</v>
      </c>
      <c r="C681" s="300" t="s">
        <v>22</v>
      </c>
      <c r="D681" s="300" t="s">
        <v>22</v>
      </c>
      <c r="F681" s="300" t="s">
        <v>22</v>
      </c>
      <c r="G681" s="300" t="s">
        <v>22</v>
      </c>
      <c r="I681" s="356" t="str">
        <f>IFERROR(__xludf.DUMMYFUNCTION("if(H681=""Must be Together"",iferror(join("", "",unique(filter({filter('Students (Vertical)'!O:O,'Students (Vertical)'!C:C=B681,'Students (Vertical)'!O:O&lt;&gt;"""");filter('Students (Vertical)'!O:O,'Students (Vertical)'!C:C=E681,'Students (Vertical)'!O:O&lt;&gt;"""&amp;""")},countifs({filter('Students (Vertical)'!O:O,'Students (Vertical)'!C:C=B681,'Students (Vertical)'!O:O&lt;&gt;"""");filter('Students (Vertical)'!O:O,'Students (Vertical)'!C:C=E681,'Students (Vertical)'!O:O&lt;&gt;"""")},{filter('Students (Vertical)'!O:O,'Students ("&amp;"Vertical)'!C:C=B681,'Students (Vertical)'!O:O&lt;&gt;"""");filter('Students (Vertical)'!O:O,'Students (Vertical)'!C:C=E681,'Students (Vertical)'!O:O&lt;&gt;"""")})&gt;1))),""No shared courses""),"""")"),"")</f>
        <v/>
      </c>
      <c r="J681" s="357" t="str">
        <f>IFERROR(__xludf.DUMMYFUNCTION("if(H681=""Can't be Together"",iferror(join("", "",unique(filter({filter('Students (Vertical)'!O:O,'Students (Vertical)'!C:C=B681,'Students (Vertical)'!O:O&lt;&gt;"""",'Students (Vertical)'!P:P&gt;1);filter('Students (Vertical)'!O:O,'Students (Vertical)'!C:C=E681,'"&amp;"Students (Vertical)'!O:O&lt;&gt;"""",'Students (Vertical)'!P:P&gt;1)},countifs({filter('Students (Vertical)'!O:O,'Students (Vertical)'!C:C=B681,'Students (Vertical)'!O:O&lt;&gt;"""",'Students (Vertical)'!P:P&gt;1);filter('Students (Vertical)'!O:O,'Students (Vertical)'!C:C="&amp;"E681,'Students (Vertical)'!O:O&lt;&gt;"""",'Students (Vertical)'!P:P&gt;1)},{filter('Students (Vertical)'!O:O,'Students (Vertical)'!C:C=B681,'Students (Vertical)'!O:O&lt;&gt;"""",'Students (Vertical)'!P:P&gt;1);filter('Students (Vertical)'!O:O,'Students (Vertical)'!C:C=E68"&amp;"1,'Students (Vertical)'!O:O&lt;&gt;"""",'Students (Vertical)'!P:P&gt;1)})&gt;1))),""""),"""")"),"")</f>
        <v/>
      </c>
      <c r="K681" s="358"/>
    </row>
    <row r="682">
      <c r="A682" s="300" t="s">
        <v>22</v>
      </c>
      <c r="C682" s="300" t="s">
        <v>22</v>
      </c>
      <c r="D682" s="300" t="s">
        <v>22</v>
      </c>
      <c r="F682" s="300" t="s">
        <v>22</v>
      </c>
      <c r="G682" s="300" t="s">
        <v>22</v>
      </c>
      <c r="I682" s="356" t="str">
        <f>IFERROR(__xludf.DUMMYFUNCTION("if(H682=""Must be Together"",iferror(join("", "",unique(filter({filter('Students (Vertical)'!O:O,'Students (Vertical)'!C:C=B682,'Students (Vertical)'!O:O&lt;&gt;"""");filter('Students (Vertical)'!O:O,'Students (Vertical)'!C:C=E682,'Students (Vertical)'!O:O&lt;&gt;"""&amp;""")},countifs({filter('Students (Vertical)'!O:O,'Students (Vertical)'!C:C=B682,'Students (Vertical)'!O:O&lt;&gt;"""");filter('Students (Vertical)'!O:O,'Students (Vertical)'!C:C=E682,'Students (Vertical)'!O:O&lt;&gt;"""")},{filter('Students (Vertical)'!O:O,'Students ("&amp;"Vertical)'!C:C=B682,'Students (Vertical)'!O:O&lt;&gt;"""");filter('Students (Vertical)'!O:O,'Students (Vertical)'!C:C=E682,'Students (Vertical)'!O:O&lt;&gt;"""")})&gt;1))),""No shared courses""),"""")"),"")</f>
        <v/>
      </c>
      <c r="J682" s="357" t="str">
        <f>IFERROR(__xludf.DUMMYFUNCTION("if(H682=""Can't be Together"",iferror(join("", "",unique(filter({filter('Students (Vertical)'!O:O,'Students (Vertical)'!C:C=B682,'Students (Vertical)'!O:O&lt;&gt;"""",'Students (Vertical)'!P:P&gt;1);filter('Students (Vertical)'!O:O,'Students (Vertical)'!C:C=E682,'"&amp;"Students (Vertical)'!O:O&lt;&gt;"""",'Students (Vertical)'!P:P&gt;1)},countifs({filter('Students (Vertical)'!O:O,'Students (Vertical)'!C:C=B682,'Students (Vertical)'!O:O&lt;&gt;"""",'Students (Vertical)'!P:P&gt;1);filter('Students (Vertical)'!O:O,'Students (Vertical)'!C:C="&amp;"E682,'Students (Vertical)'!O:O&lt;&gt;"""",'Students (Vertical)'!P:P&gt;1)},{filter('Students (Vertical)'!O:O,'Students (Vertical)'!C:C=B682,'Students (Vertical)'!O:O&lt;&gt;"""",'Students (Vertical)'!P:P&gt;1);filter('Students (Vertical)'!O:O,'Students (Vertical)'!C:C=E68"&amp;"2,'Students (Vertical)'!O:O&lt;&gt;"""",'Students (Vertical)'!P:P&gt;1)})&gt;1))),""""),"""")"),"")</f>
        <v/>
      </c>
      <c r="K682" s="358"/>
    </row>
    <row r="683">
      <c r="A683" s="300" t="s">
        <v>22</v>
      </c>
      <c r="C683" s="300" t="s">
        <v>22</v>
      </c>
      <c r="D683" s="300" t="s">
        <v>22</v>
      </c>
      <c r="F683" s="300" t="s">
        <v>22</v>
      </c>
      <c r="G683" s="300" t="s">
        <v>22</v>
      </c>
      <c r="I683" s="356" t="str">
        <f>IFERROR(__xludf.DUMMYFUNCTION("if(H683=""Must be Together"",iferror(join("", "",unique(filter({filter('Students (Vertical)'!O:O,'Students (Vertical)'!C:C=B683,'Students (Vertical)'!O:O&lt;&gt;"""");filter('Students (Vertical)'!O:O,'Students (Vertical)'!C:C=E683,'Students (Vertical)'!O:O&lt;&gt;"""&amp;""")},countifs({filter('Students (Vertical)'!O:O,'Students (Vertical)'!C:C=B683,'Students (Vertical)'!O:O&lt;&gt;"""");filter('Students (Vertical)'!O:O,'Students (Vertical)'!C:C=E683,'Students (Vertical)'!O:O&lt;&gt;"""")},{filter('Students (Vertical)'!O:O,'Students ("&amp;"Vertical)'!C:C=B683,'Students (Vertical)'!O:O&lt;&gt;"""");filter('Students (Vertical)'!O:O,'Students (Vertical)'!C:C=E683,'Students (Vertical)'!O:O&lt;&gt;"""")})&gt;1))),""No shared courses""),"""")"),"")</f>
        <v/>
      </c>
      <c r="J683" s="357" t="str">
        <f>IFERROR(__xludf.DUMMYFUNCTION("if(H683=""Can't be Together"",iferror(join("", "",unique(filter({filter('Students (Vertical)'!O:O,'Students (Vertical)'!C:C=B683,'Students (Vertical)'!O:O&lt;&gt;"""",'Students (Vertical)'!P:P&gt;1);filter('Students (Vertical)'!O:O,'Students (Vertical)'!C:C=E683,'"&amp;"Students (Vertical)'!O:O&lt;&gt;"""",'Students (Vertical)'!P:P&gt;1)},countifs({filter('Students (Vertical)'!O:O,'Students (Vertical)'!C:C=B683,'Students (Vertical)'!O:O&lt;&gt;"""",'Students (Vertical)'!P:P&gt;1);filter('Students (Vertical)'!O:O,'Students (Vertical)'!C:C="&amp;"E683,'Students (Vertical)'!O:O&lt;&gt;"""",'Students (Vertical)'!P:P&gt;1)},{filter('Students (Vertical)'!O:O,'Students (Vertical)'!C:C=B683,'Students (Vertical)'!O:O&lt;&gt;"""",'Students (Vertical)'!P:P&gt;1);filter('Students (Vertical)'!O:O,'Students (Vertical)'!C:C=E68"&amp;"3,'Students (Vertical)'!O:O&lt;&gt;"""",'Students (Vertical)'!P:P&gt;1)})&gt;1))),""""),"""")"),"")</f>
        <v/>
      </c>
      <c r="K683" s="358"/>
    </row>
    <row r="684">
      <c r="A684" s="300" t="s">
        <v>22</v>
      </c>
      <c r="C684" s="300" t="s">
        <v>22</v>
      </c>
      <c r="D684" s="300" t="s">
        <v>22</v>
      </c>
      <c r="F684" s="300" t="s">
        <v>22</v>
      </c>
      <c r="G684" s="300" t="s">
        <v>22</v>
      </c>
      <c r="I684" s="356" t="str">
        <f>IFERROR(__xludf.DUMMYFUNCTION("if(H684=""Must be Together"",iferror(join("", "",unique(filter({filter('Students (Vertical)'!O:O,'Students (Vertical)'!C:C=B684,'Students (Vertical)'!O:O&lt;&gt;"""");filter('Students (Vertical)'!O:O,'Students (Vertical)'!C:C=E684,'Students (Vertical)'!O:O&lt;&gt;"""&amp;""")},countifs({filter('Students (Vertical)'!O:O,'Students (Vertical)'!C:C=B684,'Students (Vertical)'!O:O&lt;&gt;"""");filter('Students (Vertical)'!O:O,'Students (Vertical)'!C:C=E684,'Students (Vertical)'!O:O&lt;&gt;"""")},{filter('Students (Vertical)'!O:O,'Students ("&amp;"Vertical)'!C:C=B684,'Students (Vertical)'!O:O&lt;&gt;"""");filter('Students (Vertical)'!O:O,'Students (Vertical)'!C:C=E684,'Students (Vertical)'!O:O&lt;&gt;"""")})&gt;1))),""No shared courses""),"""")"),"")</f>
        <v/>
      </c>
      <c r="J684" s="357" t="str">
        <f>IFERROR(__xludf.DUMMYFUNCTION("if(H684=""Can't be Together"",iferror(join("", "",unique(filter({filter('Students (Vertical)'!O:O,'Students (Vertical)'!C:C=B684,'Students (Vertical)'!O:O&lt;&gt;"""",'Students (Vertical)'!P:P&gt;1);filter('Students (Vertical)'!O:O,'Students (Vertical)'!C:C=E684,'"&amp;"Students (Vertical)'!O:O&lt;&gt;"""",'Students (Vertical)'!P:P&gt;1)},countifs({filter('Students (Vertical)'!O:O,'Students (Vertical)'!C:C=B684,'Students (Vertical)'!O:O&lt;&gt;"""",'Students (Vertical)'!P:P&gt;1);filter('Students (Vertical)'!O:O,'Students (Vertical)'!C:C="&amp;"E684,'Students (Vertical)'!O:O&lt;&gt;"""",'Students (Vertical)'!P:P&gt;1)},{filter('Students (Vertical)'!O:O,'Students (Vertical)'!C:C=B684,'Students (Vertical)'!O:O&lt;&gt;"""",'Students (Vertical)'!P:P&gt;1);filter('Students (Vertical)'!O:O,'Students (Vertical)'!C:C=E68"&amp;"4,'Students (Vertical)'!O:O&lt;&gt;"""",'Students (Vertical)'!P:P&gt;1)})&gt;1))),""""),"""")"),"")</f>
        <v/>
      </c>
      <c r="K684" s="358"/>
    </row>
    <row r="685">
      <c r="A685" s="300" t="s">
        <v>22</v>
      </c>
      <c r="C685" s="300" t="s">
        <v>22</v>
      </c>
      <c r="D685" s="300" t="s">
        <v>22</v>
      </c>
      <c r="F685" s="300" t="s">
        <v>22</v>
      </c>
      <c r="G685" s="300" t="s">
        <v>22</v>
      </c>
      <c r="I685" s="356" t="str">
        <f>IFERROR(__xludf.DUMMYFUNCTION("if(H685=""Must be Together"",iferror(join("", "",unique(filter({filter('Students (Vertical)'!O:O,'Students (Vertical)'!C:C=B685,'Students (Vertical)'!O:O&lt;&gt;"""");filter('Students (Vertical)'!O:O,'Students (Vertical)'!C:C=E685,'Students (Vertical)'!O:O&lt;&gt;"""&amp;""")},countifs({filter('Students (Vertical)'!O:O,'Students (Vertical)'!C:C=B685,'Students (Vertical)'!O:O&lt;&gt;"""");filter('Students (Vertical)'!O:O,'Students (Vertical)'!C:C=E685,'Students (Vertical)'!O:O&lt;&gt;"""")},{filter('Students (Vertical)'!O:O,'Students ("&amp;"Vertical)'!C:C=B685,'Students (Vertical)'!O:O&lt;&gt;"""");filter('Students (Vertical)'!O:O,'Students (Vertical)'!C:C=E685,'Students (Vertical)'!O:O&lt;&gt;"""")})&gt;1))),""No shared courses""),"""")"),"")</f>
        <v/>
      </c>
      <c r="J685" s="357" t="str">
        <f>IFERROR(__xludf.DUMMYFUNCTION("if(H685=""Can't be Together"",iferror(join("", "",unique(filter({filter('Students (Vertical)'!O:O,'Students (Vertical)'!C:C=B685,'Students (Vertical)'!O:O&lt;&gt;"""",'Students (Vertical)'!P:P&gt;1);filter('Students (Vertical)'!O:O,'Students (Vertical)'!C:C=E685,'"&amp;"Students (Vertical)'!O:O&lt;&gt;"""",'Students (Vertical)'!P:P&gt;1)},countifs({filter('Students (Vertical)'!O:O,'Students (Vertical)'!C:C=B685,'Students (Vertical)'!O:O&lt;&gt;"""",'Students (Vertical)'!P:P&gt;1);filter('Students (Vertical)'!O:O,'Students (Vertical)'!C:C="&amp;"E685,'Students (Vertical)'!O:O&lt;&gt;"""",'Students (Vertical)'!P:P&gt;1)},{filter('Students (Vertical)'!O:O,'Students (Vertical)'!C:C=B685,'Students (Vertical)'!O:O&lt;&gt;"""",'Students (Vertical)'!P:P&gt;1);filter('Students (Vertical)'!O:O,'Students (Vertical)'!C:C=E68"&amp;"5,'Students (Vertical)'!O:O&lt;&gt;"""",'Students (Vertical)'!P:P&gt;1)})&gt;1))),""""),"""")"),"")</f>
        <v/>
      </c>
      <c r="K685" s="358"/>
    </row>
    <row r="686">
      <c r="A686" s="300" t="s">
        <v>22</v>
      </c>
      <c r="C686" s="300" t="s">
        <v>22</v>
      </c>
      <c r="D686" s="300" t="s">
        <v>22</v>
      </c>
      <c r="F686" s="300" t="s">
        <v>22</v>
      </c>
      <c r="G686" s="300" t="s">
        <v>22</v>
      </c>
      <c r="I686" s="356" t="str">
        <f>IFERROR(__xludf.DUMMYFUNCTION("if(H686=""Must be Together"",iferror(join("", "",unique(filter({filter('Students (Vertical)'!O:O,'Students (Vertical)'!C:C=B686,'Students (Vertical)'!O:O&lt;&gt;"""");filter('Students (Vertical)'!O:O,'Students (Vertical)'!C:C=E686,'Students (Vertical)'!O:O&lt;&gt;"""&amp;""")},countifs({filter('Students (Vertical)'!O:O,'Students (Vertical)'!C:C=B686,'Students (Vertical)'!O:O&lt;&gt;"""");filter('Students (Vertical)'!O:O,'Students (Vertical)'!C:C=E686,'Students (Vertical)'!O:O&lt;&gt;"""")},{filter('Students (Vertical)'!O:O,'Students ("&amp;"Vertical)'!C:C=B686,'Students (Vertical)'!O:O&lt;&gt;"""");filter('Students (Vertical)'!O:O,'Students (Vertical)'!C:C=E686,'Students (Vertical)'!O:O&lt;&gt;"""")})&gt;1))),""No shared courses""),"""")"),"")</f>
        <v/>
      </c>
      <c r="J686" s="357" t="str">
        <f>IFERROR(__xludf.DUMMYFUNCTION("if(H686=""Can't be Together"",iferror(join("", "",unique(filter({filter('Students (Vertical)'!O:O,'Students (Vertical)'!C:C=B686,'Students (Vertical)'!O:O&lt;&gt;"""",'Students (Vertical)'!P:P&gt;1);filter('Students (Vertical)'!O:O,'Students (Vertical)'!C:C=E686,'"&amp;"Students (Vertical)'!O:O&lt;&gt;"""",'Students (Vertical)'!P:P&gt;1)},countifs({filter('Students (Vertical)'!O:O,'Students (Vertical)'!C:C=B686,'Students (Vertical)'!O:O&lt;&gt;"""",'Students (Vertical)'!P:P&gt;1);filter('Students (Vertical)'!O:O,'Students (Vertical)'!C:C="&amp;"E686,'Students (Vertical)'!O:O&lt;&gt;"""",'Students (Vertical)'!P:P&gt;1)},{filter('Students (Vertical)'!O:O,'Students (Vertical)'!C:C=B686,'Students (Vertical)'!O:O&lt;&gt;"""",'Students (Vertical)'!P:P&gt;1);filter('Students (Vertical)'!O:O,'Students (Vertical)'!C:C=E68"&amp;"6,'Students (Vertical)'!O:O&lt;&gt;"""",'Students (Vertical)'!P:P&gt;1)})&gt;1))),""""),"""")"),"")</f>
        <v/>
      </c>
      <c r="K686" s="358"/>
    </row>
    <row r="687">
      <c r="A687" s="300" t="s">
        <v>22</v>
      </c>
      <c r="C687" s="300" t="s">
        <v>22</v>
      </c>
      <c r="D687" s="300" t="s">
        <v>22</v>
      </c>
      <c r="F687" s="300" t="s">
        <v>22</v>
      </c>
      <c r="G687" s="300" t="s">
        <v>22</v>
      </c>
      <c r="I687" s="356" t="str">
        <f>IFERROR(__xludf.DUMMYFUNCTION("if(H687=""Must be Together"",iferror(join("", "",unique(filter({filter('Students (Vertical)'!O:O,'Students (Vertical)'!C:C=B687,'Students (Vertical)'!O:O&lt;&gt;"""");filter('Students (Vertical)'!O:O,'Students (Vertical)'!C:C=E687,'Students (Vertical)'!O:O&lt;&gt;"""&amp;""")},countifs({filter('Students (Vertical)'!O:O,'Students (Vertical)'!C:C=B687,'Students (Vertical)'!O:O&lt;&gt;"""");filter('Students (Vertical)'!O:O,'Students (Vertical)'!C:C=E687,'Students (Vertical)'!O:O&lt;&gt;"""")},{filter('Students (Vertical)'!O:O,'Students ("&amp;"Vertical)'!C:C=B687,'Students (Vertical)'!O:O&lt;&gt;"""");filter('Students (Vertical)'!O:O,'Students (Vertical)'!C:C=E687,'Students (Vertical)'!O:O&lt;&gt;"""")})&gt;1))),""No shared courses""),"""")"),"")</f>
        <v/>
      </c>
      <c r="J687" s="357" t="str">
        <f>IFERROR(__xludf.DUMMYFUNCTION("if(H687=""Can't be Together"",iferror(join("", "",unique(filter({filter('Students (Vertical)'!O:O,'Students (Vertical)'!C:C=B687,'Students (Vertical)'!O:O&lt;&gt;"""",'Students (Vertical)'!P:P&gt;1);filter('Students (Vertical)'!O:O,'Students (Vertical)'!C:C=E687,'"&amp;"Students (Vertical)'!O:O&lt;&gt;"""",'Students (Vertical)'!P:P&gt;1)},countifs({filter('Students (Vertical)'!O:O,'Students (Vertical)'!C:C=B687,'Students (Vertical)'!O:O&lt;&gt;"""",'Students (Vertical)'!P:P&gt;1);filter('Students (Vertical)'!O:O,'Students (Vertical)'!C:C="&amp;"E687,'Students (Vertical)'!O:O&lt;&gt;"""",'Students (Vertical)'!P:P&gt;1)},{filter('Students (Vertical)'!O:O,'Students (Vertical)'!C:C=B687,'Students (Vertical)'!O:O&lt;&gt;"""",'Students (Vertical)'!P:P&gt;1);filter('Students (Vertical)'!O:O,'Students (Vertical)'!C:C=E68"&amp;"7,'Students (Vertical)'!O:O&lt;&gt;"""",'Students (Vertical)'!P:P&gt;1)})&gt;1))),""""),"""")"),"")</f>
        <v/>
      </c>
      <c r="K687" s="358"/>
    </row>
    <row r="688">
      <c r="A688" s="300" t="s">
        <v>22</v>
      </c>
      <c r="C688" s="300" t="s">
        <v>22</v>
      </c>
      <c r="D688" s="300" t="s">
        <v>22</v>
      </c>
      <c r="F688" s="300" t="s">
        <v>22</v>
      </c>
      <c r="G688" s="300" t="s">
        <v>22</v>
      </c>
      <c r="I688" s="356" t="str">
        <f>IFERROR(__xludf.DUMMYFUNCTION("if(H688=""Must be Together"",iferror(join("", "",unique(filter({filter('Students (Vertical)'!O:O,'Students (Vertical)'!C:C=B688,'Students (Vertical)'!O:O&lt;&gt;"""");filter('Students (Vertical)'!O:O,'Students (Vertical)'!C:C=E688,'Students (Vertical)'!O:O&lt;&gt;"""&amp;""")},countifs({filter('Students (Vertical)'!O:O,'Students (Vertical)'!C:C=B688,'Students (Vertical)'!O:O&lt;&gt;"""");filter('Students (Vertical)'!O:O,'Students (Vertical)'!C:C=E688,'Students (Vertical)'!O:O&lt;&gt;"""")},{filter('Students (Vertical)'!O:O,'Students ("&amp;"Vertical)'!C:C=B688,'Students (Vertical)'!O:O&lt;&gt;"""");filter('Students (Vertical)'!O:O,'Students (Vertical)'!C:C=E688,'Students (Vertical)'!O:O&lt;&gt;"""")})&gt;1))),""No shared courses""),"""")"),"")</f>
        <v/>
      </c>
      <c r="J688" s="357" t="str">
        <f>IFERROR(__xludf.DUMMYFUNCTION("if(H688=""Can't be Together"",iferror(join("", "",unique(filter({filter('Students (Vertical)'!O:O,'Students (Vertical)'!C:C=B688,'Students (Vertical)'!O:O&lt;&gt;"""",'Students (Vertical)'!P:P&gt;1);filter('Students (Vertical)'!O:O,'Students (Vertical)'!C:C=E688,'"&amp;"Students (Vertical)'!O:O&lt;&gt;"""",'Students (Vertical)'!P:P&gt;1)},countifs({filter('Students (Vertical)'!O:O,'Students (Vertical)'!C:C=B688,'Students (Vertical)'!O:O&lt;&gt;"""",'Students (Vertical)'!P:P&gt;1);filter('Students (Vertical)'!O:O,'Students (Vertical)'!C:C="&amp;"E688,'Students (Vertical)'!O:O&lt;&gt;"""",'Students (Vertical)'!P:P&gt;1)},{filter('Students (Vertical)'!O:O,'Students (Vertical)'!C:C=B688,'Students (Vertical)'!O:O&lt;&gt;"""",'Students (Vertical)'!P:P&gt;1);filter('Students (Vertical)'!O:O,'Students (Vertical)'!C:C=E68"&amp;"8,'Students (Vertical)'!O:O&lt;&gt;"""",'Students (Vertical)'!P:P&gt;1)})&gt;1))),""""),"""")"),"")</f>
        <v/>
      </c>
      <c r="K688" s="358"/>
    </row>
    <row r="689">
      <c r="A689" s="300" t="s">
        <v>22</v>
      </c>
      <c r="C689" s="300" t="s">
        <v>22</v>
      </c>
      <c r="D689" s="300" t="s">
        <v>22</v>
      </c>
      <c r="F689" s="300" t="s">
        <v>22</v>
      </c>
      <c r="G689" s="300" t="s">
        <v>22</v>
      </c>
      <c r="I689" s="356" t="str">
        <f>IFERROR(__xludf.DUMMYFUNCTION("if(H689=""Must be Together"",iferror(join("", "",unique(filter({filter('Students (Vertical)'!O:O,'Students (Vertical)'!C:C=B689,'Students (Vertical)'!O:O&lt;&gt;"""");filter('Students (Vertical)'!O:O,'Students (Vertical)'!C:C=E689,'Students (Vertical)'!O:O&lt;&gt;"""&amp;""")},countifs({filter('Students (Vertical)'!O:O,'Students (Vertical)'!C:C=B689,'Students (Vertical)'!O:O&lt;&gt;"""");filter('Students (Vertical)'!O:O,'Students (Vertical)'!C:C=E689,'Students (Vertical)'!O:O&lt;&gt;"""")},{filter('Students (Vertical)'!O:O,'Students ("&amp;"Vertical)'!C:C=B689,'Students (Vertical)'!O:O&lt;&gt;"""");filter('Students (Vertical)'!O:O,'Students (Vertical)'!C:C=E689,'Students (Vertical)'!O:O&lt;&gt;"""")})&gt;1))),""No shared courses""),"""")"),"")</f>
        <v/>
      </c>
      <c r="J689" s="357" t="str">
        <f>IFERROR(__xludf.DUMMYFUNCTION("if(H689=""Can't be Together"",iferror(join("", "",unique(filter({filter('Students (Vertical)'!O:O,'Students (Vertical)'!C:C=B689,'Students (Vertical)'!O:O&lt;&gt;"""",'Students (Vertical)'!P:P&gt;1);filter('Students (Vertical)'!O:O,'Students (Vertical)'!C:C=E689,'"&amp;"Students (Vertical)'!O:O&lt;&gt;"""",'Students (Vertical)'!P:P&gt;1)},countifs({filter('Students (Vertical)'!O:O,'Students (Vertical)'!C:C=B689,'Students (Vertical)'!O:O&lt;&gt;"""",'Students (Vertical)'!P:P&gt;1);filter('Students (Vertical)'!O:O,'Students (Vertical)'!C:C="&amp;"E689,'Students (Vertical)'!O:O&lt;&gt;"""",'Students (Vertical)'!P:P&gt;1)},{filter('Students (Vertical)'!O:O,'Students (Vertical)'!C:C=B689,'Students (Vertical)'!O:O&lt;&gt;"""",'Students (Vertical)'!P:P&gt;1);filter('Students (Vertical)'!O:O,'Students (Vertical)'!C:C=E68"&amp;"9,'Students (Vertical)'!O:O&lt;&gt;"""",'Students (Vertical)'!P:P&gt;1)})&gt;1))),""""),"""")"),"")</f>
        <v/>
      </c>
      <c r="K689" s="358"/>
    </row>
    <row r="690">
      <c r="A690" s="300" t="s">
        <v>22</v>
      </c>
      <c r="C690" s="300" t="s">
        <v>22</v>
      </c>
      <c r="D690" s="300" t="s">
        <v>22</v>
      </c>
      <c r="F690" s="300" t="s">
        <v>22</v>
      </c>
      <c r="G690" s="300" t="s">
        <v>22</v>
      </c>
      <c r="I690" s="356" t="str">
        <f>IFERROR(__xludf.DUMMYFUNCTION("if(H690=""Must be Together"",iferror(join("", "",unique(filter({filter('Students (Vertical)'!O:O,'Students (Vertical)'!C:C=B690,'Students (Vertical)'!O:O&lt;&gt;"""");filter('Students (Vertical)'!O:O,'Students (Vertical)'!C:C=E690,'Students (Vertical)'!O:O&lt;&gt;"""&amp;""")},countifs({filter('Students (Vertical)'!O:O,'Students (Vertical)'!C:C=B690,'Students (Vertical)'!O:O&lt;&gt;"""");filter('Students (Vertical)'!O:O,'Students (Vertical)'!C:C=E690,'Students (Vertical)'!O:O&lt;&gt;"""")},{filter('Students (Vertical)'!O:O,'Students ("&amp;"Vertical)'!C:C=B690,'Students (Vertical)'!O:O&lt;&gt;"""");filter('Students (Vertical)'!O:O,'Students (Vertical)'!C:C=E690,'Students (Vertical)'!O:O&lt;&gt;"""")})&gt;1))),""No shared courses""),"""")"),"")</f>
        <v/>
      </c>
      <c r="J690" s="357" t="str">
        <f>IFERROR(__xludf.DUMMYFUNCTION("if(H690=""Can't be Together"",iferror(join("", "",unique(filter({filter('Students (Vertical)'!O:O,'Students (Vertical)'!C:C=B690,'Students (Vertical)'!O:O&lt;&gt;"""",'Students (Vertical)'!P:P&gt;1);filter('Students (Vertical)'!O:O,'Students (Vertical)'!C:C=E690,'"&amp;"Students (Vertical)'!O:O&lt;&gt;"""",'Students (Vertical)'!P:P&gt;1)},countifs({filter('Students (Vertical)'!O:O,'Students (Vertical)'!C:C=B690,'Students (Vertical)'!O:O&lt;&gt;"""",'Students (Vertical)'!P:P&gt;1);filter('Students (Vertical)'!O:O,'Students (Vertical)'!C:C="&amp;"E690,'Students (Vertical)'!O:O&lt;&gt;"""",'Students (Vertical)'!P:P&gt;1)},{filter('Students (Vertical)'!O:O,'Students (Vertical)'!C:C=B690,'Students (Vertical)'!O:O&lt;&gt;"""",'Students (Vertical)'!P:P&gt;1);filter('Students (Vertical)'!O:O,'Students (Vertical)'!C:C=E69"&amp;"0,'Students (Vertical)'!O:O&lt;&gt;"""",'Students (Vertical)'!P:P&gt;1)})&gt;1))),""""),"""")"),"")</f>
        <v/>
      </c>
      <c r="K690" s="358"/>
    </row>
    <row r="691">
      <c r="A691" s="300" t="s">
        <v>22</v>
      </c>
      <c r="C691" s="300" t="s">
        <v>22</v>
      </c>
      <c r="D691" s="300" t="s">
        <v>22</v>
      </c>
      <c r="F691" s="300" t="s">
        <v>22</v>
      </c>
      <c r="G691" s="300" t="s">
        <v>22</v>
      </c>
      <c r="I691" s="356" t="str">
        <f>IFERROR(__xludf.DUMMYFUNCTION("if(H691=""Must be Together"",iferror(join("", "",unique(filter({filter('Students (Vertical)'!O:O,'Students (Vertical)'!C:C=B691,'Students (Vertical)'!O:O&lt;&gt;"""");filter('Students (Vertical)'!O:O,'Students (Vertical)'!C:C=E691,'Students (Vertical)'!O:O&lt;&gt;"""&amp;""")},countifs({filter('Students (Vertical)'!O:O,'Students (Vertical)'!C:C=B691,'Students (Vertical)'!O:O&lt;&gt;"""");filter('Students (Vertical)'!O:O,'Students (Vertical)'!C:C=E691,'Students (Vertical)'!O:O&lt;&gt;"""")},{filter('Students (Vertical)'!O:O,'Students ("&amp;"Vertical)'!C:C=B691,'Students (Vertical)'!O:O&lt;&gt;"""");filter('Students (Vertical)'!O:O,'Students (Vertical)'!C:C=E691,'Students (Vertical)'!O:O&lt;&gt;"""")})&gt;1))),""No shared courses""),"""")"),"")</f>
        <v/>
      </c>
      <c r="J691" s="357" t="str">
        <f>IFERROR(__xludf.DUMMYFUNCTION("if(H691=""Can't be Together"",iferror(join("", "",unique(filter({filter('Students (Vertical)'!O:O,'Students (Vertical)'!C:C=B691,'Students (Vertical)'!O:O&lt;&gt;"""",'Students (Vertical)'!P:P&gt;1);filter('Students (Vertical)'!O:O,'Students (Vertical)'!C:C=E691,'"&amp;"Students (Vertical)'!O:O&lt;&gt;"""",'Students (Vertical)'!P:P&gt;1)},countifs({filter('Students (Vertical)'!O:O,'Students (Vertical)'!C:C=B691,'Students (Vertical)'!O:O&lt;&gt;"""",'Students (Vertical)'!P:P&gt;1);filter('Students (Vertical)'!O:O,'Students (Vertical)'!C:C="&amp;"E691,'Students (Vertical)'!O:O&lt;&gt;"""",'Students (Vertical)'!P:P&gt;1)},{filter('Students (Vertical)'!O:O,'Students (Vertical)'!C:C=B691,'Students (Vertical)'!O:O&lt;&gt;"""",'Students (Vertical)'!P:P&gt;1);filter('Students (Vertical)'!O:O,'Students (Vertical)'!C:C=E69"&amp;"1,'Students (Vertical)'!O:O&lt;&gt;"""",'Students (Vertical)'!P:P&gt;1)})&gt;1))),""""),"""")"),"")</f>
        <v/>
      </c>
      <c r="K691" s="358"/>
    </row>
    <row r="692">
      <c r="A692" s="300" t="s">
        <v>22</v>
      </c>
      <c r="C692" s="300" t="s">
        <v>22</v>
      </c>
      <c r="D692" s="300" t="s">
        <v>22</v>
      </c>
      <c r="F692" s="300" t="s">
        <v>22</v>
      </c>
      <c r="G692" s="300" t="s">
        <v>22</v>
      </c>
      <c r="I692" s="356" t="str">
        <f>IFERROR(__xludf.DUMMYFUNCTION("if(H692=""Must be Together"",iferror(join("", "",unique(filter({filter('Students (Vertical)'!O:O,'Students (Vertical)'!C:C=B692,'Students (Vertical)'!O:O&lt;&gt;"""");filter('Students (Vertical)'!O:O,'Students (Vertical)'!C:C=E692,'Students (Vertical)'!O:O&lt;&gt;"""&amp;""")},countifs({filter('Students (Vertical)'!O:O,'Students (Vertical)'!C:C=B692,'Students (Vertical)'!O:O&lt;&gt;"""");filter('Students (Vertical)'!O:O,'Students (Vertical)'!C:C=E692,'Students (Vertical)'!O:O&lt;&gt;"""")},{filter('Students (Vertical)'!O:O,'Students ("&amp;"Vertical)'!C:C=B692,'Students (Vertical)'!O:O&lt;&gt;"""");filter('Students (Vertical)'!O:O,'Students (Vertical)'!C:C=E692,'Students (Vertical)'!O:O&lt;&gt;"""")})&gt;1))),""No shared courses""),"""")"),"")</f>
        <v/>
      </c>
      <c r="J692" s="357" t="str">
        <f>IFERROR(__xludf.DUMMYFUNCTION("if(H692=""Can't be Together"",iferror(join("", "",unique(filter({filter('Students (Vertical)'!O:O,'Students (Vertical)'!C:C=B692,'Students (Vertical)'!O:O&lt;&gt;"""",'Students (Vertical)'!P:P&gt;1);filter('Students (Vertical)'!O:O,'Students (Vertical)'!C:C=E692,'"&amp;"Students (Vertical)'!O:O&lt;&gt;"""",'Students (Vertical)'!P:P&gt;1)},countifs({filter('Students (Vertical)'!O:O,'Students (Vertical)'!C:C=B692,'Students (Vertical)'!O:O&lt;&gt;"""",'Students (Vertical)'!P:P&gt;1);filter('Students (Vertical)'!O:O,'Students (Vertical)'!C:C="&amp;"E692,'Students (Vertical)'!O:O&lt;&gt;"""",'Students (Vertical)'!P:P&gt;1)},{filter('Students (Vertical)'!O:O,'Students (Vertical)'!C:C=B692,'Students (Vertical)'!O:O&lt;&gt;"""",'Students (Vertical)'!P:P&gt;1);filter('Students (Vertical)'!O:O,'Students (Vertical)'!C:C=E69"&amp;"2,'Students (Vertical)'!O:O&lt;&gt;"""",'Students (Vertical)'!P:P&gt;1)})&gt;1))),""""),"""")"),"")</f>
        <v/>
      </c>
      <c r="K692" s="358"/>
    </row>
    <row r="693">
      <c r="A693" s="300" t="s">
        <v>22</v>
      </c>
      <c r="C693" s="300" t="s">
        <v>22</v>
      </c>
      <c r="D693" s="300" t="s">
        <v>22</v>
      </c>
      <c r="F693" s="300" t="s">
        <v>22</v>
      </c>
      <c r="G693" s="300" t="s">
        <v>22</v>
      </c>
      <c r="I693" s="356" t="str">
        <f>IFERROR(__xludf.DUMMYFUNCTION("if(H693=""Must be Together"",iferror(join("", "",unique(filter({filter('Students (Vertical)'!O:O,'Students (Vertical)'!C:C=B693,'Students (Vertical)'!O:O&lt;&gt;"""");filter('Students (Vertical)'!O:O,'Students (Vertical)'!C:C=E693,'Students (Vertical)'!O:O&lt;&gt;"""&amp;""")},countifs({filter('Students (Vertical)'!O:O,'Students (Vertical)'!C:C=B693,'Students (Vertical)'!O:O&lt;&gt;"""");filter('Students (Vertical)'!O:O,'Students (Vertical)'!C:C=E693,'Students (Vertical)'!O:O&lt;&gt;"""")},{filter('Students (Vertical)'!O:O,'Students ("&amp;"Vertical)'!C:C=B693,'Students (Vertical)'!O:O&lt;&gt;"""");filter('Students (Vertical)'!O:O,'Students (Vertical)'!C:C=E693,'Students (Vertical)'!O:O&lt;&gt;"""")})&gt;1))),""No shared courses""),"""")"),"")</f>
        <v/>
      </c>
      <c r="J693" s="357" t="str">
        <f>IFERROR(__xludf.DUMMYFUNCTION("if(H693=""Can't be Together"",iferror(join("", "",unique(filter({filter('Students (Vertical)'!O:O,'Students (Vertical)'!C:C=B693,'Students (Vertical)'!O:O&lt;&gt;"""",'Students (Vertical)'!P:P&gt;1);filter('Students (Vertical)'!O:O,'Students (Vertical)'!C:C=E693,'"&amp;"Students (Vertical)'!O:O&lt;&gt;"""",'Students (Vertical)'!P:P&gt;1)},countifs({filter('Students (Vertical)'!O:O,'Students (Vertical)'!C:C=B693,'Students (Vertical)'!O:O&lt;&gt;"""",'Students (Vertical)'!P:P&gt;1);filter('Students (Vertical)'!O:O,'Students (Vertical)'!C:C="&amp;"E693,'Students (Vertical)'!O:O&lt;&gt;"""",'Students (Vertical)'!P:P&gt;1)},{filter('Students (Vertical)'!O:O,'Students (Vertical)'!C:C=B693,'Students (Vertical)'!O:O&lt;&gt;"""",'Students (Vertical)'!P:P&gt;1);filter('Students (Vertical)'!O:O,'Students (Vertical)'!C:C=E69"&amp;"3,'Students (Vertical)'!O:O&lt;&gt;"""",'Students (Vertical)'!P:P&gt;1)})&gt;1))),""""),"""")"),"")</f>
        <v/>
      </c>
      <c r="K693" s="358"/>
    </row>
    <row r="694">
      <c r="A694" s="300" t="s">
        <v>22</v>
      </c>
      <c r="C694" s="300" t="s">
        <v>22</v>
      </c>
      <c r="D694" s="300" t="s">
        <v>22</v>
      </c>
      <c r="F694" s="300" t="s">
        <v>22</v>
      </c>
      <c r="G694" s="300" t="s">
        <v>22</v>
      </c>
      <c r="I694" s="356" t="str">
        <f>IFERROR(__xludf.DUMMYFUNCTION("if(H694=""Must be Together"",iferror(join("", "",unique(filter({filter('Students (Vertical)'!O:O,'Students (Vertical)'!C:C=B694,'Students (Vertical)'!O:O&lt;&gt;"""");filter('Students (Vertical)'!O:O,'Students (Vertical)'!C:C=E694,'Students (Vertical)'!O:O&lt;&gt;"""&amp;""")},countifs({filter('Students (Vertical)'!O:O,'Students (Vertical)'!C:C=B694,'Students (Vertical)'!O:O&lt;&gt;"""");filter('Students (Vertical)'!O:O,'Students (Vertical)'!C:C=E694,'Students (Vertical)'!O:O&lt;&gt;"""")},{filter('Students (Vertical)'!O:O,'Students ("&amp;"Vertical)'!C:C=B694,'Students (Vertical)'!O:O&lt;&gt;"""");filter('Students (Vertical)'!O:O,'Students (Vertical)'!C:C=E694,'Students (Vertical)'!O:O&lt;&gt;"""")})&gt;1))),""No shared courses""),"""")"),"")</f>
        <v/>
      </c>
      <c r="J694" s="357" t="str">
        <f>IFERROR(__xludf.DUMMYFUNCTION("if(H694=""Can't be Together"",iferror(join("", "",unique(filter({filter('Students (Vertical)'!O:O,'Students (Vertical)'!C:C=B694,'Students (Vertical)'!O:O&lt;&gt;"""",'Students (Vertical)'!P:P&gt;1);filter('Students (Vertical)'!O:O,'Students (Vertical)'!C:C=E694,'"&amp;"Students (Vertical)'!O:O&lt;&gt;"""",'Students (Vertical)'!P:P&gt;1)},countifs({filter('Students (Vertical)'!O:O,'Students (Vertical)'!C:C=B694,'Students (Vertical)'!O:O&lt;&gt;"""",'Students (Vertical)'!P:P&gt;1);filter('Students (Vertical)'!O:O,'Students (Vertical)'!C:C="&amp;"E694,'Students (Vertical)'!O:O&lt;&gt;"""",'Students (Vertical)'!P:P&gt;1)},{filter('Students (Vertical)'!O:O,'Students (Vertical)'!C:C=B694,'Students (Vertical)'!O:O&lt;&gt;"""",'Students (Vertical)'!P:P&gt;1);filter('Students (Vertical)'!O:O,'Students (Vertical)'!C:C=E69"&amp;"4,'Students (Vertical)'!O:O&lt;&gt;"""",'Students (Vertical)'!P:P&gt;1)})&gt;1))),""""),"""")"),"")</f>
        <v/>
      </c>
      <c r="K694" s="358"/>
    </row>
    <row r="695">
      <c r="A695" s="300" t="s">
        <v>22</v>
      </c>
      <c r="C695" s="300" t="s">
        <v>22</v>
      </c>
      <c r="D695" s="300" t="s">
        <v>22</v>
      </c>
      <c r="F695" s="300" t="s">
        <v>22</v>
      </c>
      <c r="G695" s="300" t="s">
        <v>22</v>
      </c>
      <c r="I695" s="356" t="str">
        <f>IFERROR(__xludf.DUMMYFUNCTION("if(H695=""Must be Together"",iferror(join("", "",unique(filter({filter('Students (Vertical)'!O:O,'Students (Vertical)'!C:C=B695,'Students (Vertical)'!O:O&lt;&gt;"""");filter('Students (Vertical)'!O:O,'Students (Vertical)'!C:C=E695,'Students (Vertical)'!O:O&lt;&gt;"""&amp;""")},countifs({filter('Students (Vertical)'!O:O,'Students (Vertical)'!C:C=B695,'Students (Vertical)'!O:O&lt;&gt;"""");filter('Students (Vertical)'!O:O,'Students (Vertical)'!C:C=E695,'Students (Vertical)'!O:O&lt;&gt;"""")},{filter('Students (Vertical)'!O:O,'Students ("&amp;"Vertical)'!C:C=B695,'Students (Vertical)'!O:O&lt;&gt;"""");filter('Students (Vertical)'!O:O,'Students (Vertical)'!C:C=E695,'Students (Vertical)'!O:O&lt;&gt;"""")})&gt;1))),""No shared courses""),"""")"),"")</f>
        <v/>
      </c>
      <c r="J695" s="357" t="str">
        <f>IFERROR(__xludf.DUMMYFUNCTION("if(H695=""Can't be Together"",iferror(join("", "",unique(filter({filter('Students (Vertical)'!O:O,'Students (Vertical)'!C:C=B695,'Students (Vertical)'!O:O&lt;&gt;"""",'Students (Vertical)'!P:P&gt;1);filter('Students (Vertical)'!O:O,'Students (Vertical)'!C:C=E695,'"&amp;"Students (Vertical)'!O:O&lt;&gt;"""",'Students (Vertical)'!P:P&gt;1)},countifs({filter('Students (Vertical)'!O:O,'Students (Vertical)'!C:C=B695,'Students (Vertical)'!O:O&lt;&gt;"""",'Students (Vertical)'!P:P&gt;1);filter('Students (Vertical)'!O:O,'Students (Vertical)'!C:C="&amp;"E695,'Students (Vertical)'!O:O&lt;&gt;"""",'Students (Vertical)'!P:P&gt;1)},{filter('Students (Vertical)'!O:O,'Students (Vertical)'!C:C=B695,'Students (Vertical)'!O:O&lt;&gt;"""",'Students (Vertical)'!P:P&gt;1);filter('Students (Vertical)'!O:O,'Students (Vertical)'!C:C=E69"&amp;"5,'Students (Vertical)'!O:O&lt;&gt;"""",'Students (Vertical)'!P:P&gt;1)})&gt;1))),""""),"""")"),"")</f>
        <v/>
      </c>
      <c r="K695" s="358"/>
    </row>
    <row r="696">
      <c r="A696" s="300" t="s">
        <v>22</v>
      </c>
      <c r="C696" s="300" t="s">
        <v>22</v>
      </c>
      <c r="D696" s="300" t="s">
        <v>22</v>
      </c>
      <c r="F696" s="300" t="s">
        <v>22</v>
      </c>
      <c r="G696" s="300" t="s">
        <v>22</v>
      </c>
      <c r="I696" s="356" t="str">
        <f>IFERROR(__xludf.DUMMYFUNCTION("if(H696=""Must be Together"",iferror(join("", "",unique(filter({filter('Students (Vertical)'!O:O,'Students (Vertical)'!C:C=B696,'Students (Vertical)'!O:O&lt;&gt;"""");filter('Students (Vertical)'!O:O,'Students (Vertical)'!C:C=E696,'Students (Vertical)'!O:O&lt;&gt;"""&amp;""")},countifs({filter('Students (Vertical)'!O:O,'Students (Vertical)'!C:C=B696,'Students (Vertical)'!O:O&lt;&gt;"""");filter('Students (Vertical)'!O:O,'Students (Vertical)'!C:C=E696,'Students (Vertical)'!O:O&lt;&gt;"""")},{filter('Students (Vertical)'!O:O,'Students ("&amp;"Vertical)'!C:C=B696,'Students (Vertical)'!O:O&lt;&gt;"""");filter('Students (Vertical)'!O:O,'Students (Vertical)'!C:C=E696,'Students (Vertical)'!O:O&lt;&gt;"""")})&gt;1))),""No shared courses""),"""")"),"")</f>
        <v/>
      </c>
      <c r="J696" s="357" t="str">
        <f>IFERROR(__xludf.DUMMYFUNCTION("if(H696=""Can't be Together"",iferror(join("", "",unique(filter({filter('Students (Vertical)'!O:O,'Students (Vertical)'!C:C=B696,'Students (Vertical)'!O:O&lt;&gt;"""",'Students (Vertical)'!P:P&gt;1);filter('Students (Vertical)'!O:O,'Students (Vertical)'!C:C=E696,'"&amp;"Students (Vertical)'!O:O&lt;&gt;"""",'Students (Vertical)'!P:P&gt;1)},countifs({filter('Students (Vertical)'!O:O,'Students (Vertical)'!C:C=B696,'Students (Vertical)'!O:O&lt;&gt;"""",'Students (Vertical)'!P:P&gt;1);filter('Students (Vertical)'!O:O,'Students (Vertical)'!C:C="&amp;"E696,'Students (Vertical)'!O:O&lt;&gt;"""",'Students (Vertical)'!P:P&gt;1)},{filter('Students (Vertical)'!O:O,'Students (Vertical)'!C:C=B696,'Students (Vertical)'!O:O&lt;&gt;"""",'Students (Vertical)'!P:P&gt;1);filter('Students (Vertical)'!O:O,'Students (Vertical)'!C:C=E69"&amp;"6,'Students (Vertical)'!O:O&lt;&gt;"""",'Students (Vertical)'!P:P&gt;1)})&gt;1))),""""),"""")"),"")</f>
        <v/>
      </c>
      <c r="K696" s="358"/>
    </row>
    <row r="697">
      <c r="A697" s="300" t="s">
        <v>22</v>
      </c>
      <c r="C697" s="300" t="s">
        <v>22</v>
      </c>
      <c r="D697" s="300" t="s">
        <v>22</v>
      </c>
      <c r="F697" s="300" t="s">
        <v>22</v>
      </c>
      <c r="G697" s="300" t="s">
        <v>22</v>
      </c>
      <c r="I697" s="356" t="str">
        <f>IFERROR(__xludf.DUMMYFUNCTION("if(H697=""Must be Together"",iferror(join("", "",unique(filter({filter('Students (Vertical)'!O:O,'Students (Vertical)'!C:C=B697,'Students (Vertical)'!O:O&lt;&gt;"""");filter('Students (Vertical)'!O:O,'Students (Vertical)'!C:C=E697,'Students (Vertical)'!O:O&lt;&gt;"""&amp;""")},countifs({filter('Students (Vertical)'!O:O,'Students (Vertical)'!C:C=B697,'Students (Vertical)'!O:O&lt;&gt;"""");filter('Students (Vertical)'!O:O,'Students (Vertical)'!C:C=E697,'Students (Vertical)'!O:O&lt;&gt;"""")},{filter('Students (Vertical)'!O:O,'Students ("&amp;"Vertical)'!C:C=B697,'Students (Vertical)'!O:O&lt;&gt;"""");filter('Students (Vertical)'!O:O,'Students (Vertical)'!C:C=E697,'Students (Vertical)'!O:O&lt;&gt;"""")})&gt;1))),""No shared courses""),"""")"),"")</f>
        <v/>
      </c>
      <c r="J697" s="357" t="str">
        <f>IFERROR(__xludf.DUMMYFUNCTION("if(H697=""Can't be Together"",iferror(join("", "",unique(filter({filter('Students (Vertical)'!O:O,'Students (Vertical)'!C:C=B697,'Students (Vertical)'!O:O&lt;&gt;"""",'Students (Vertical)'!P:P&gt;1);filter('Students (Vertical)'!O:O,'Students (Vertical)'!C:C=E697,'"&amp;"Students (Vertical)'!O:O&lt;&gt;"""",'Students (Vertical)'!P:P&gt;1)},countifs({filter('Students (Vertical)'!O:O,'Students (Vertical)'!C:C=B697,'Students (Vertical)'!O:O&lt;&gt;"""",'Students (Vertical)'!P:P&gt;1);filter('Students (Vertical)'!O:O,'Students (Vertical)'!C:C="&amp;"E697,'Students (Vertical)'!O:O&lt;&gt;"""",'Students (Vertical)'!P:P&gt;1)},{filter('Students (Vertical)'!O:O,'Students (Vertical)'!C:C=B697,'Students (Vertical)'!O:O&lt;&gt;"""",'Students (Vertical)'!P:P&gt;1);filter('Students (Vertical)'!O:O,'Students (Vertical)'!C:C=E69"&amp;"7,'Students (Vertical)'!O:O&lt;&gt;"""",'Students (Vertical)'!P:P&gt;1)})&gt;1))),""""),"""")"),"")</f>
        <v/>
      </c>
      <c r="K697" s="358"/>
    </row>
    <row r="698">
      <c r="A698" s="300" t="s">
        <v>22</v>
      </c>
      <c r="C698" s="300" t="s">
        <v>22</v>
      </c>
      <c r="D698" s="300" t="s">
        <v>22</v>
      </c>
      <c r="F698" s="300" t="s">
        <v>22</v>
      </c>
      <c r="G698" s="300" t="s">
        <v>22</v>
      </c>
      <c r="I698" s="356" t="str">
        <f>IFERROR(__xludf.DUMMYFUNCTION("if(H698=""Must be Together"",iferror(join("", "",unique(filter({filter('Students (Vertical)'!O:O,'Students (Vertical)'!C:C=B698,'Students (Vertical)'!O:O&lt;&gt;"""");filter('Students (Vertical)'!O:O,'Students (Vertical)'!C:C=E698,'Students (Vertical)'!O:O&lt;&gt;"""&amp;""")},countifs({filter('Students (Vertical)'!O:O,'Students (Vertical)'!C:C=B698,'Students (Vertical)'!O:O&lt;&gt;"""");filter('Students (Vertical)'!O:O,'Students (Vertical)'!C:C=E698,'Students (Vertical)'!O:O&lt;&gt;"""")},{filter('Students (Vertical)'!O:O,'Students ("&amp;"Vertical)'!C:C=B698,'Students (Vertical)'!O:O&lt;&gt;"""");filter('Students (Vertical)'!O:O,'Students (Vertical)'!C:C=E698,'Students (Vertical)'!O:O&lt;&gt;"""")})&gt;1))),""No shared courses""),"""")"),"")</f>
        <v/>
      </c>
      <c r="J698" s="357" t="str">
        <f>IFERROR(__xludf.DUMMYFUNCTION("if(H698=""Can't be Together"",iferror(join("", "",unique(filter({filter('Students (Vertical)'!O:O,'Students (Vertical)'!C:C=B698,'Students (Vertical)'!O:O&lt;&gt;"""",'Students (Vertical)'!P:P&gt;1);filter('Students (Vertical)'!O:O,'Students (Vertical)'!C:C=E698,'"&amp;"Students (Vertical)'!O:O&lt;&gt;"""",'Students (Vertical)'!P:P&gt;1)},countifs({filter('Students (Vertical)'!O:O,'Students (Vertical)'!C:C=B698,'Students (Vertical)'!O:O&lt;&gt;"""",'Students (Vertical)'!P:P&gt;1);filter('Students (Vertical)'!O:O,'Students (Vertical)'!C:C="&amp;"E698,'Students (Vertical)'!O:O&lt;&gt;"""",'Students (Vertical)'!P:P&gt;1)},{filter('Students (Vertical)'!O:O,'Students (Vertical)'!C:C=B698,'Students (Vertical)'!O:O&lt;&gt;"""",'Students (Vertical)'!P:P&gt;1);filter('Students (Vertical)'!O:O,'Students (Vertical)'!C:C=E69"&amp;"8,'Students (Vertical)'!O:O&lt;&gt;"""",'Students (Vertical)'!P:P&gt;1)})&gt;1))),""""),"""")"),"")</f>
        <v/>
      </c>
      <c r="K698" s="358"/>
    </row>
    <row r="699">
      <c r="A699" s="300" t="s">
        <v>22</v>
      </c>
      <c r="C699" s="300" t="s">
        <v>22</v>
      </c>
      <c r="D699" s="300" t="s">
        <v>22</v>
      </c>
      <c r="F699" s="300" t="s">
        <v>22</v>
      </c>
      <c r="G699" s="300" t="s">
        <v>22</v>
      </c>
      <c r="I699" s="356" t="str">
        <f>IFERROR(__xludf.DUMMYFUNCTION("if(H699=""Must be Together"",iferror(join("", "",unique(filter({filter('Students (Vertical)'!O:O,'Students (Vertical)'!C:C=B699,'Students (Vertical)'!O:O&lt;&gt;"""");filter('Students (Vertical)'!O:O,'Students (Vertical)'!C:C=E699,'Students (Vertical)'!O:O&lt;&gt;"""&amp;""")},countifs({filter('Students (Vertical)'!O:O,'Students (Vertical)'!C:C=B699,'Students (Vertical)'!O:O&lt;&gt;"""");filter('Students (Vertical)'!O:O,'Students (Vertical)'!C:C=E699,'Students (Vertical)'!O:O&lt;&gt;"""")},{filter('Students (Vertical)'!O:O,'Students ("&amp;"Vertical)'!C:C=B699,'Students (Vertical)'!O:O&lt;&gt;"""");filter('Students (Vertical)'!O:O,'Students (Vertical)'!C:C=E699,'Students (Vertical)'!O:O&lt;&gt;"""")})&gt;1))),""No shared courses""),"""")"),"")</f>
        <v/>
      </c>
      <c r="J699" s="357" t="str">
        <f>IFERROR(__xludf.DUMMYFUNCTION("if(H699=""Can't be Together"",iferror(join("", "",unique(filter({filter('Students (Vertical)'!O:O,'Students (Vertical)'!C:C=B699,'Students (Vertical)'!O:O&lt;&gt;"""",'Students (Vertical)'!P:P&gt;1);filter('Students (Vertical)'!O:O,'Students (Vertical)'!C:C=E699,'"&amp;"Students (Vertical)'!O:O&lt;&gt;"""",'Students (Vertical)'!P:P&gt;1)},countifs({filter('Students (Vertical)'!O:O,'Students (Vertical)'!C:C=B699,'Students (Vertical)'!O:O&lt;&gt;"""",'Students (Vertical)'!P:P&gt;1);filter('Students (Vertical)'!O:O,'Students (Vertical)'!C:C="&amp;"E699,'Students (Vertical)'!O:O&lt;&gt;"""",'Students (Vertical)'!P:P&gt;1)},{filter('Students (Vertical)'!O:O,'Students (Vertical)'!C:C=B699,'Students (Vertical)'!O:O&lt;&gt;"""",'Students (Vertical)'!P:P&gt;1);filter('Students (Vertical)'!O:O,'Students (Vertical)'!C:C=E69"&amp;"9,'Students (Vertical)'!O:O&lt;&gt;"""",'Students (Vertical)'!P:P&gt;1)})&gt;1))),""""),"""")"),"")</f>
        <v/>
      </c>
      <c r="K699" s="358"/>
    </row>
    <row r="700">
      <c r="A700" s="300" t="s">
        <v>22</v>
      </c>
      <c r="C700" s="300" t="s">
        <v>22</v>
      </c>
      <c r="D700" s="300" t="s">
        <v>22</v>
      </c>
      <c r="F700" s="300" t="s">
        <v>22</v>
      </c>
      <c r="G700" s="300" t="s">
        <v>22</v>
      </c>
      <c r="I700" s="356" t="str">
        <f>IFERROR(__xludf.DUMMYFUNCTION("if(H700=""Must be Together"",iferror(join("", "",unique(filter({filter('Students (Vertical)'!O:O,'Students (Vertical)'!C:C=B700,'Students (Vertical)'!O:O&lt;&gt;"""");filter('Students (Vertical)'!O:O,'Students (Vertical)'!C:C=E700,'Students (Vertical)'!O:O&lt;&gt;"""&amp;""")},countifs({filter('Students (Vertical)'!O:O,'Students (Vertical)'!C:C=B700,'Students (Vertical)'!O:O&lt;&gt;"""");filter('Students (Vertical)'!O:O,'Students (Vertical)'!C:C=E700,'Students (Vertical)'!O:O&lt;&gt;"""")},{filter('Students (Vertical)'!O:O,'Students ("&amp;"Vertical)'!C:C=B700,'Students (Vertical)'!O:O&lt;&gt;"""");filter('Students (Vertical)'!O:O,'Students (Vertical)'!C:C=E700,'Students (Vertical)'!O:O&lt;&gt;"""")})&gt;1))),""No shared courses""),"""")"),"")</f>
        <v/>
      </c>
      <c r="J700" s="357" t="str">
        <f>IFERROR(__xludf.DUMMYFUNCTION("if(H700=""Can't be Together"",iferror(join("", "",unique(filter({filter('Students (Vertical)'!O:O,'Students (Vertical)'!C:C=B700,'Students (Vertical)'!O:O&lt;&gt;"""",'Students (Vertical)'!P:P&gt;1);filter('Students (Vertical)'!O:O,'Students (Vertical)'!C:C=E700,'"&amp;"Students (Vertical)'!O:O&lt;&gt;"""",'Students (Vertical)'!P:P&gt;1)},countifs({filter('Students (Vertical)'!O:O,'Students (Vertical)'!C:C=B700,'Students (Vertical)'!O:O&lt;&gt;"""",'Students (Vertical)'!P:P&gt;1);filter('Students (Vertical)'!O:O,'Students (Vertical)'!C:C="&amp;"E700,'Students (Vertical)'!O:O&lt;&gt;"""",'Students (Vertical)'!P:P&gt;1)},{filter('Students (Vertical)'!O:O,'Students (Vertical)'!C:C=B700,'Students (Vertical)'!O:O&lt;&gt;"""",'Students (Vertical)'!P:P&gt;1);filter('Students (Vertical)'!O:O,'Students (Vertical)'!C:C=E70"&amp;"0,'Students (Vertical)'!O:O&lt;&gt;"""",'Students (Vertical)'!P:P&gt;1)})&gt;1))),""""),"""")"),"")</f>
        <v/>
      </c>
      <c r="K700" s="358"/>
    </row>
    <row r="701">
      <c r="A701" s="300" t="s">
        <v>22</v>
      </c>
      <c r="C701" s="300" t="s">
        <v>22</v>
      </c>
      <c r="D701" s="300" t="s">
        <v>22</v>
      </c>
      <c r="F701" s="300" t="s">
        <v>22</v>
      </c>
      <c r="G701" s="300" t="s">
        <v>22</v>
      </c>
      <c r="I701" s="356" t="str">
        <f>IFERROR(__xludf.DUMMYFUNCTION("if(H701=""Must be Together"",iferror(join("", "",unique(filter({filter('Students (Vertical)'!O:O,'Students (Vertical)'!C:C=B701,'Students (Vertical)'!O:O&lt;&gt;"""");filter('Students (Vertical)'!O:O,'Students (Vertical)'!C:C=E701,'Students (Vertical)'!O:O&lt;&gt;"""&amp;""")},countifs({filter('Students (Vertical)'!O:O,'Students (Vertical)'!C:C=B701,'Students (Vertical)'!O:O&lt;&gt;"""");filter('Students (Vertical)'!O:O,'Students (Vertical)'!C:C=E701,'Students (Vertical)'!O:O&lt;&gt;"""")},{filter('Students (Vertical)'!O:O,'Students ("&amp;"Vertical)'!C:C=B701,'Students (Vertical)'!O:O&lt;&gt;"""");filter('Students (Vertical)'!O:O,'Students (Vertical)'!C:C=E701,'Students (Vertical)'!O:O&lt;&gt;"""")})&gt;1))),""No shared courses""),"""")"),"")</f>
        <v/>
      </c>
      <c r="J701" s="357" t="str">
        <f>IFERROR(__xludf.DUMMYFUNCTION("if(H701=""Can't be Together"",iferror(join("", "",unique(filter({filter('Students (Vertical)'!O:O,'Students (Vertical)'!C:C=B701,'Students (Vertical)'!O:O&lt;&gt;"""",'Students (Vertical)'!P:P&gt;1);filter('Students (Vertical)'!O:O,'Students (Vertical)'!C:C=E701,'"&amp;"Students (Vertical)'!O:O&lt;&gt;"""",'Students (Vertical)'!P:P&gt;1)},countifs({filter('Students (Vertical)'!O:O,'Students (Vertical)'!C:C=B701,'Students (Vertical)'!O:O&lt;&gt;"""",'Students (Vertical)'!P:P&gt;1);filter('Students (Vertical)'!O:O,'Students (Vertical)'!C:C="&amp;"E701,'Students (Vertical)'!O:O&lt;&gt;"""",'Students (Vertical)'!P:P&gt;1)},{filter('Students (Vertical)'!O:O,'Students (Vertical)'!C:C=B701,'Students (Vertical)'!O:O&lt;&gt;"""",'Students (Vertical)'!P:P&gt;1);filter('Students (Vertical)'!O:O,'Students (Vertical)'!C:C=E70"&amp;"1,'Students (Vertical)'!O:O&lt;&gt;"""",'Students (Vertical)'!P:P&gt;1)})&gt;1))),""""),"""")"),"")</f>
        <v/>
      </c>
      <c r="K701" s="358"/>
    </row>
    <row r="702">
      <c r="A702" s="300" t="s">
        <v>22</v>
      </c>
      <c r="C702" s="300" t="s">
        <v>22</v>
      </c>
      <c r="D702" s="300" t="s">
        <v>22</v>
      </c>
      <c r="F702" s="300" t="s">
        <v>22</v>
      </c>
      <c r="G702" s="300" t="s">
        <v>22</v>
      </c>
      <c r="I702" s="356" t="str">
        <f>IFERROR(__xludf.DUMMYFUNCTION("if(H702=""Must be Together"",iferror(join("", "",unique(filter({filter('Students (Vertical)'!O:O,'Students (Vertical)'!C:C=B702,'Students (Vertical)'!O:O&lt;&gt;"""");filter('Students (Vertical)'!O:O,'Students (Vertical)'!C:C=E702,'Students (Vertical)'!O:O&lt;&gt;"""&amp;""")},countifs({filter('Students (Vertical)'!O:O,'Students (Vertical)'!C:C=B702,'Students (Vertical)'!O:O&lt;&gt;"""");filter('Students (Vertical)'!O:O,'Students (Vertical)'!C:C=E702,'Students (Vertical)'!O:O&lt;&gt;"""")},{filter('Students (Vertical)'!O:O,'Students ("&amp;"Vertical)'!C:C=B702,'Students (Vertical)'!O:O&lt;&gt;"""");filter('Students (Vertical)'!O:O,'Students (Vertical)'!C:C=E702,'Students (Vertical)'!O:O&lt;&gt;"""")})&gt;1))),""No shared courses""),"""")"),"")</f>
        <v/>
      </c>
      <c r="J702" s="357" t="str">
        <f>IFERROR(__xludf.DUMMYFUNCTION("if(H702=""Can't be Together"",iferror(join("", "",unique(filter({filter('Students (Vertical)'!O:O,'Students (Vertical)'!C:C=B702,'Students (Vertical)'!O:O&lt;&gt;"""",'Students (Vertical)'!P:P&gt;1);filter('Students (Vertical)'!O:O,'Students (Vertical)'!C:C=E702,'"&amp;"Students (Vertical)'!O:O&lt;&gt;"""",'Students (Vertical)'!P:P&gt;1)},countifs({filter('Students (Vertical)'!O:O,'Students (Vertical)'!C:C=B702,'Students (Vertical)'!O:O&lt;&gt;"""",'Students (Vertical)'!P:P&gt;1);filter('Students (Vertical)'!O:O,'Students (Vertical)'!C:C="&amp;"E702,'Students (Vertical)'!O:O&lt;&gt;"""",'Students (Vertical)'!P:P&gt;1)},{filter('Students (Vertical)'!O:O,'Students (Vertical)'!C:C=B702,'Students (Vertical)'!O:O&lt;&gt;"""",'Students (Vertical)'!P:P&gt;1);filter('Students (Vertical)'!O:O,'Students (Vertical)'!C:C=E70"&amp;"2,'Students (Vertical)'!O:O&lt;&gt;"""",'Students (Vertical)'!P:P&gt;1)})&gt;1))),""""),"""")"),"")</f>
        <v/>
      </c>
      <c r="K702" s="358"/>
    </row>
    <row r="703">
      <c r="A703" s="300" t="s">
        <v>22</v>
      </c>
      <c r="C703" s="300" t="s">
        <v>22</v>
      </c>
      <c r="D703" s="300" t="s">
        <v>22</v>
      </c>
      <c r="F703" s="300" t="s">
        <v>22</v>
      </c>
      <c r="G703" s="300" t="s">
        <v>22</v>
      </c>
      <c r="I703" s="356" t="str">
        <f>IFERROR(__xludf.DUMMYFUNCTION("if(H703=""Must be Together"",iferror(join("", "",unique(filter({filter('Students (Vertical)'!O:O,'Students (Vertical)'!C:C=B703,'Students (Vertical)'!O:O&lt;&gt;"""");filter('Students (Vertical)'!O:O,'Students (Vertical)'!C:C=E703,'Students (Vertical)'!O:O&lt;&gt;"""&amp;""")},countifs({filter('Students (Vertical)'!O:O,'Students (Vertical)'!C:C=B703,'Students (Vertical)'!O:O&lt;&gt;"""");filter('Students (Vertical)'!O:O,'Students (Vertical)'!C:C=E703,'Students (Vertical)'!O:O&lt;&gt;"""")},{filter('Students (Vertical)'!O:O,'Students ("&amp;"Vertical)'!C:C=B703,'Students (Vertical)'!O:O&lt;&gt;"""");filter('Students (Vertical)'!O:O,'Students (Vertical)'!C:C=E703,'Students (Vertical)'!O:O&lt;&gt;"""")})&gt;1))),""No shared courses""),"""")"),"")</f>
        <v/>
      </c>
      <c r="J703" s="357" t="str">
        <f>IFERROR(__xludf.DUMMYFUNCTION("if(H703=""Can't be Together"",iferror(join("", "",unique(filter({filter('Students (Vertical)'!O:O,'Students (Vertical)'!C:C=B703,'Students (Vertical)'!O:O&lt;&gt;"""",'Students (Vertical)'!P:P&gt;1);filter('Students (Vertical)'!O:O,'Students (Vertical)'!C:C=E703,'"&amp;"Students (Vertical)'!O:O&lt;&gt;"""",'Students (Vertical)'!P:P&gt;1)},countifs({filter('Students (Vertical)'!O:O,'Students (Vertical)'!C:C=B703,'Students (Vertical)'!O:O&lt;&gt;"""",'Students (Vertical)'!P:P&gt;1);filter('Students (Vertical)'!O:O,'Students (Vertical)'!C:C="&amp;"E703,'Students (Vertical)'!O:O&lt;&gt;"""",'Students (Vertical)'!P:P&gt;1)},{filter('Students (Vertical)'!O:O,'Students (Vertical)'!C:C=B703,'Students (Vertical)'!O:O&lt;&gt;"""",'Students (Vertical)'!P:P&gt;1);filter('Students (Vertical)'!O:O,'Students (Vertical)'!C:C=E70"&amp;"3,'Students (Vertical)'!O:O&lt;&gt;"""",'Students (Vertical)'!P:P&gt;1)})&gt;1))),""""),"""")"),"")</f>
        <v/>
      </c>
      <c r="K703" s="358"/>
    </row>
    <row r="704">
      <c r="A704" s="300" t="s">
        <v>22</v>
      </c>
      <c r="C704" s="300" t="s">
        <v>22</v>
      </c>
      <c r="D704" s="300" t="s">
        <v>22</v>
      </c>
      <c r="F704" s="300" t="s">
        <v>22</v>
      </c>
      <c r="G704" s="300" t="s">
        <v>22</v>
      </c>
      <c r="I704" s="356" t="str">
        <f>IFERROR(__xludf.DUMMYFUNCTION("if(H704=""Must be Together"",iferror(join("", "",unique(filter({filter('Students (Vertical)'!O:O,'Students (Vertical)'!C:C=B704,'Students (Vertical)'!O:O&lt;&gt;"""");filter('Students (Vertical)'!O:O,'Students (Vertical)'!C:C=E704,'Students (Vertical)'!O:O&lt;&gt;"""&amp;""")},countifs({filter('Students (Vertical)'!O:O,'Students (Vertical)'!C:C=B704,'Students (Vertical)'!O:O&lt;&gt;"""");filter('Students (Vertical)'!O:O,'Students (Vertical)'!C:C=E704,'Students (Vertical)'!O:O&lt;&gt;"""")},{filter('Students (Vertical)'!O:O,'Students ("&amp;"Vertical)'!C:C=B704,'Students (Vertical)'!O:O&lt;&gt;"""");filter('Students (Vertical)'!O:O,'Students (Vertical)'!C:C=E704,'Students (Vertical)'!O:O&lt;&gt;"""")})&gt;1))),""No shared courses""),"""")"),"")</f>
        <v/>
      </c>
      <c r="J704" s="357" t="str">
        <f>IFERROR(__xludf.DUMMYFUNCTION("if(H704=""Can't be Together"",iferror(join("", "",unique(filter({filter('Students (Vertical)'!O:O,'Students (Vertical)'!C:C=B704,'Students (Vertical)'!O:O&lt;&gt;"""",'Students (Vertical)'!P:P&gt;1);filter('Students (Vertical)'!O:O,'Students (Vertical)'!C:C=E704,'"&amp;"Students (Vertical)'!O:O&lt;&gt;"""",'Students (Vertical)'!P:P&gt;1)},countifs({filter('Students (Vertical)'!O:O,'Students (Vertical)'!C:C=B704,'Students (Vertical)'!O:O&lt;&gt;"""",'Students (Vertical)'!P:P&gt;1);filter('Students (Vertical)'!O:O,'Students (Vertical)'!C:C="&amp;"E704,'Students (Vertical)'!O:O&lt;&gt;"""",'Students (Vertical)'!P:P&gt;1)},{filter('Students (Vertical)'!O:O,'Students (Vertical)'!C:C=B704,'Students (Vertical)'!O:O&lt;&gt;"""",'Students (Vertical)'!P:P&gt;1);filter('Students (Vertical)'!O:O,'Students (Vertical)'!C:C=E70"&amp;"4,'Students (Vertical)'!O:O&lt;&gt;"""",'Students (Vertical)'!P:P&gt;1)})&gt;1))),""""),"""")"),"")</f>
        <v/>
      </c>
      <c r="K704" s="358"/>
    </row>
    <row r="705">
      <c r="A705" s="300" t="s">
        <v>22</v>
      </c>
      <c r="C705" s="300" t="s">
        <v>22</v>
      </c>
      <c r="D705" s="300" t="s">
        <v>22</v>
      </c>
      <c r="F705" s="300" t="s">
        <v>22</v>
      </c>
      <c r="G705" s="300" t="s">
        <v>22</v>
      </c>
      <c r="I705" s="356" t="str">
        <f>IFERROR(__xludf.DUMMYFUNCTION("if(H705=""Must be Together"",iferror(join("", "",unique(filter({filter('Students (Vertical)'!O:O,'Students (Vertical)'!C:C=B705,'Students (Vertical)'!O:O&lt;&gt;"""");filter('Students (Vertical)'!O:O,'Students (Vertical)'!C:C=E705,'Students (Vertical)'!O:O&lt;&gt;"""&amp;""")},countifs({filter('Students (Vertical)'!O:O,'Students (Vertical)'!C:C=B705,'Students (Vertical)'!O:O&lt;&gt;"""");filter('Students (Vertical)'!O:O,'Students (Vertical)'!C:C=E705,'Students (Vertical)'!O:O&lt;&gt;"""")},{filter('Students (Vertical)'!O:O,'Students ("&amp;"Vertical)'!C:C=B705,'Students (Vertical)'!O:O&lt;&gt;"""");filter('Students (Vertical)'!O:O,'Students (Vertical)'!C:C=E705,'Students (Vertical)'!O:O&lt;&gt;"""")})&gt;1))),""No shared courses""),"""")"),"")</f>
        <v/>
      </c>
      <c r="J705" s="357" t="str">
        <f>IFERROR(__xludf.DUMMYFUNCTION("if(H705=""Can't be Together"",iferror(join("", "",unique(filter({filter('Students (Vertical)'!O:O,'Students (Vertical)'!C:C=B705,'Students (Vertical)'!O:O&lt;&gt;"""",'Students (Vertical)'!P:P&gt;1);filter('Students (Vertical)'!O:O,'Students (Vertical)'!C:C=E705,'"&amp;"Students (Vertical)'!O:O&lt;&gt;"""",'Students (Vertical)'!P:P&gt;1)},countifs({filter('Students (Vertical)'!O:O,'Students (Vertical)'!C:C=B705,'Students (Vertical)'!O:O&lt;&gt;"""",'Students (Vertical)'!P:P&gt;1);filter('Students (Vertical)'!O:O,'Students (Vertical)'!C:C="&amp;"E705,'Students (Vertical)'!O:O&lt;&gt;"""",'Students (Vertical)'!P:P&gt;1)},{filter('Students (Vertical)'!O:O,'Students (Vertical)'!C:C=B705,'Students (Vertical)'!O:O&lt;&gt;"""",'Students (Vertical)'!P:P&gt;1);filter('Students (Vertical)'!O:O,'Students (Vertical)'!C:C=E70"&amp;"5,'Students (Vertical)'!O:O&lt;&gt;"""",'Students (Vertical)'!P:P&gt;1)})&gt;1))),""""),"""")"),"")</f>
        <v/>
      </c>
      <c r="K705" s="358"/>
    </row>
    <row r="706">
      <c r="A706" s="300" t="s">
        <v>22</v>
      </c>
      <c r="C706" s="300" t="s">
        <v>22</v>
      </c>
      <c r="D706" s="300" t="s">
        <v>22</v>
      </c>
      <c r="F706" s="300" t="s">
        <v>22</v>
      </c>
      <c r="G706" s="300" t="s">
        <v>22</v>
      </c>
      <c r="I706" s="356" t="str">
        <f>IFERROR(__xludf.DUMMYFUNCTION("if(H706=""Must be Together"",iferror(join("", "",unique(filter({filter('Students (Vertical)'!O:O,'Students (Vertical)'!C:C=B706,'Students (Vertical)'!O:O&lt;&gt;"""");filter('Students (Vertical)'!O:O,'Students (Vertical)'!C:C=E706,'Students (Vertical)'!O:O&lt;&gt;"""&amp;""")},countifs({filter('Students (Vertical)'!O:O,'Students (Vertical)'!C:C=B706,'Students (Vertical)'!O:O&lt;&gt;"""");filter('Students (Vertical)'!O:O,'Students (Vertical)'!C:C=E706,'Students (Vertical)'!O:O&lt;&gt;"""")},{filter('Students (Vertical)'!O:O,'Students ("&amp;"Vertical)'!C:C=B706,'Students (Vertical)'!O:O&lt;&gt;"""");filter('Students (Vertical)'!O:O,'Students (Vertical)'!C:C=E706,'Students (Vertical)'!O:O&lt;&gt;"""")})&gt;1))),""No shared courses""),"""")"),"")</f>
        <v/>
      </c>
      <c r="J706" s="357" t="str">
        <f>IFERROR(__xludf.DUMMYFUNCTION("if(H706=""Can't be Together"",iferror(join("", "",unique(filter({filter('Students (Vertical)'!O:O,'Students (Vertical)'!C:C=B706,'Students (Vertical)'!O:O&lt;&gt;"""",'Students (Vertical)'!P:P&gt;1);filter('Students (Vertical)'!O:O,'Students (Vertical)'!C:C=E706,'"&amp;"Students (Vertical)'!O:O&lt;&gt;"""",'Students (Vertical)'!P:P&gt;1)},countifs({filter('Students (Vertical)'!O:O,'Students (Vertical)'!C:C=B706,'Students (Vertical)'!O:O&lt;&gt;"""",'Students (Vertical)'!P:P&gt;1);filter('Students (Vertical)'!O:O,'Students (Vertical)'!C:C="&amp;"E706,'Students (Vertical)'!O:O&lt;&gt;"""",'Students (Vertical)'!P:P&gt;1)},{filter('Students (Vertical)'!O:O,'Students (Vertical)'!C:C=B706,'Students (Vertical)'!O:O&lt;&gt;"""",'Students (Vertical)'!P:P&gt;1);filter('Students (Vertical)'!O:O,'Students (Vertical)'!C:C=E70"&amp;"6,'Students (Vertical)'!O:O&lt;&gt;"""",'Students (Vertical)'!P:P&gt;1)})&gt;1))),""""),"""")"),"")</f>
        <v/>
      </c>
      <c r="K706" s="358"/>
    </row>
    <row r="707">
      <c r="A707" s="300" t="s">
        <v>22</v>
      </c>
      <c r="C707" s="300" t="s">
        <v>22</v>
      </c>
      <c r="D707" s="300" t="s">
        <v>22</v>
      </c>
      <c r="F707" s="300" t="s">
        <v>22</v>
      </c>
      <c r="G707" s="300" t="s">
        <v>22</v>
      </c>
      <c r="I707" s="356" t="str">
        <f>IFERROR(__xludf.DUMMYFUNCTION("if(H707=""Must be Together"",iferror(join("", "",unique(filter({filter('Students (Vertical)'!O:O,'Students (Vertical)'!C:C=B707,'Students (Vertical)'!O:O&lt;&gt;"""");filter('Students (Vertical)'!O:O,'Students (Vertical)'!C:C=E707,'Students (Vertical)'!O:O&lt;&gt;"""&amp;""")},countifs({filter('Students (Vertical)'!O:O,'Students (Vertical)'!C:C=B707,'Students (Vertical)'!O:O&lt;&gt;"""");filter('Students (Vertical)'!O:O,'Students (Vertical)'!C:C=E707,'Students (Vertical)'!O:O&lt;&gt;"""")},{filter('Students (Vertical)'!O:O,'Students ("&amp;"Vertical)'!C:C=B707,'Students (Vertical)'!O:O&lt;&gt;"""");filter('Students (Vertical)'!O:O,'Students (Vertical)'!C:C=E707,'Students (Vertical)'!O:O&lt;&gt;"""")})&gt;1))),""No shared courses""),"""")"),"")</f>
        <v/>
      </c>
      <c r="J707" s="357" t="str">
        <f>IFERROR(__xludf.DUMMYFUNCTION("if(H707=""Can't be Together"",iferror(join("", "",unique(filter({filter('Students (Vertical)'!O:O,'Students (Vertical)'!C:C=B707,'Students (Vertical)'!O:O&lt;&gt;"""",'Students (Vertical)'!P:P&gt;1);filter('Students (Vertical)'!O:O,'Students (Vertical)'!C:C=E707,'"&amp;"Students (Vertical)'!O:O&lt;&gt;"""",'Students (Vertical)'!P:P&gt;1)},countifs({filter('Students (Vertical)'!O:O,'Students (Vertical)'!C:C=B707,'Students (Vertical)'!O:O&lt;&gt;"""",'Students (Vertical)'!P:P&gt;1);filter('Students (Vertical)'!O:O,'Students (Vertical)'!C:C="&amp;"E707,'Students (Vertical)'!O:O&lt;&gt;"""",'Students (Vertical)'!P:P&gt;1)},{filter('Students (Vertical)'!O:O,'Students (Vertical)'!C:C=B707,'Students (Vertical)'!O:O&lt;&gt;"""",'Students (Vertical)'!P:P&gt;1);filter('Students (Vertical)'!O:O,'Students (Vertical)'!C:C=E70"&amp;"7,'Students (Vertical)'!O:O&lt;&gt;"""",'Students (Vertical)'!P:P&gt;1)})&gt;1))),""""),"""")"),"")</f>
        <v/>
      </c>
      <c r="K707" s="358"/>
    </row>
    <row r="708">
      <c r="A708" s="300" t="s">
        <v>22</v>
      </c>
      <c r="C708" s="300" t="s">
        <v>22</v>
      </c>
      <c r="D708" s="300" t="s">
        <v>22</v>
      </c>
      <c r="F708" s="300" t="s">
        <v>22</v>
      </c>
      <c r="G708" s="300" t="s">
        <v>22</v>
      </c>
      <c r="I708" s="356" t="str">
        <f>IFERROR(__xludf.DUMMYFUNCTION("if(H708=""Must be Together"",iferror(join("", "",unique(filter({filter('Students (Vertical)'!O:O,'Students (Vertical)'!C:C=B708,'Students (Vertical)'!O:O&lt;&gt;"""");filter('Students (Vertical)'!O:O,'Students (Vertical)'!C:C=E708,'Students (Vertical)'!O:O&lt;&gt;"""&amp;""")},countifs({filter('Students (Vertical)'!O:O,'Students (Vertical)'!C:C=B708,'Students (Vertical)'!O:O&lt;&gt;"""");filter('Students (Vertical)'!O:O,'Students (Vertical)'!C:C=E708,'Students (Vertical)'!O:O&lt;&gt;"""")},{filter('Students (Vertical)'!O:O,'Students ("&amp;"Vertical)'!C:C=B708,'Students (Vertical)'!O:O&lt;&gt;"""");filter('Students (Vertical)'!O:O,'Students (Vertical)'!C:C=E708,'Students (Vertical)'!O:O&lt;&gt;"""")})&gt;1))),""No shared courses""),"""")"),"")</f>
        <v/>
      </c>
      <c r="J708" s="357" t="str">
        <f>IFERROR(__xludf.DUMMYFUNCTION("if(H708=""Can't be Together"",iferror(join("", "",unique(filter({filter('Students (Vertical)'!O:O,'Students (Vertical)'!C:C=B708,'Students (Vertical)'!O:O&lt;&gt;"""",'Students (Vertical)'!P:P&gt;1);filter('Students (Vertical)'!O:O,'Students (Vertical)'!C:C=E708,'"&amp;"Students (Vertical)'!O:O&lt;&gt;"""",'Students (Vertical)'!P:P&gt;1)},countifs({filter('Students (Vertical)'!O:O,'Students (Vertical)'!C:C=B708,'Students (Vertical)'!O:O&lt;&gt;"""",'Students (Vertical)'!P:P&gt;1);filter('Students (Vertical)'!O:O,'Students (Vertical)'!C:C="&amp;"E708,'Students (Vertical)'!O:O&lt;&gt;"""",'Students (Vertical)'!P:P&gt;1)},{filter('Students (Vertical)'!O:O,'Students (Vertical)'!C:C=B708,'Students (Vertical)'!O:O&lt;&gt;"""",'Students (Vertical)'!P:P&gt;1);filter('Students (Vertical)'!O:O,'Students (Vertical)'!C:C=E70"&amp;"8,'Students (Vertical)'!O:O&lt;&gt;"""",'Students (Vertical)'!P:P&gt;1)})&gt;1))),""""),"""")"),"")</f>
        <v/>
      </c>
      <c r="K708" s="358"/>
    </row>
    <row r="709">
      <c r="A709" s="300" t="s">
        <v>22</v>
      </c>
      <c r="C709" s="300" t="s">
        <v>22</v>
      </c>
      <c r="D709" s="300" t="s">
        <v>22</v>
      </c>
      <c r="F709" s="300" t="s">
        <v>22</v>
      </c>
      <c r="G709" s="300" t="s">
        <v>22</v>
      </c>
      <c r="I709" s="356" t="str">
        <f>IFERROR(__xludf.DUMMYFUNCTION("if(H709=""Must be Together"",iferror(join("", "",unique(filter({filter('Students (Vertical)'!O:O,'Students (Vertical)'!C:C=B709,'Students (Vertical)'!O:O&lt;&gt;"""");filter('Students (Vertical)'!O:O,'Students (Vertical)'!C:C=E709,'Students (Vertical)'!O:O&lt;&gt;"""&amp;""")},countifs({filter('Students (Vertical)'!O:O,'Students (Vertical)'!C:C=B709,'Students (Vertical)'!O:O&lt;&gt;"""");filter('Students (Vertical)'!O:O,'Students (Vertical)'!C:C=E709,'Students (Vertical)'!O:O&lt;&gt;"""")},{filter('Students (Vertical)'!O:O,'Students ("&amp;"Vertical)'!C:C=B709,'Students (Vertical)'!O:O&lt;&gt;"""");filter('Students (Vertical)'!O:O,'Students (Vertical)'!C:C=E709,'Students (Vertical)'!O:O&lt;&gt;"""")})&gt;1))),""No shared courses""),"""")"),"")</f>
        <v/>
      </c>
      <c r="J709" s="357" t="str">
        <f>IFERROR(__xludf.DUMMYFUNCTION("if(H709=""Can't be Together"",iferror(join("", "",unique(filter({filter('Students (Vertical)'!O:O,'Students (Vertical)'!C:C=B709,'Students (Vertical)'!O:O&lt;&gt;"""",'Students (Vertical)'!P:P&gt;1);filter('Students (Vertical)'!O:O,'Students (Vertical)'!C:C=E709,'"&amp;"Students (Vertical)'!O:O&lt;&gt;"""",'Students (Vertical)'!P:P&gt;1)},countifs({filter('Students (Vertical)'!O:O,'Students (Vertical)'!C:C=B709,'Students (Vertical)'!O:O&lt;&gt;"""",'Students (Vertical)'!P:P&gt;1);filter('Students (Vertical)'!O:O,'Students (Vertical)'!C:C="&amp;"E709,'Students (Vertical)'!O:O&lt;&gt;"""",'Students (Vertical)'!P:P&gt;1)},{filter('Students (Vertical)'!O:O,'Students (Vertical)'!C:C=B709,'Students (Vertical)'!O:O&lt;&gt;"""",'Students (Vertical)'!P:P&gt;1);filter('Students (Vertical)'!O:O,'Students (Vertical)'!C:C=E70"&amp;"9,'Students (Vertical)'!O:O&lt;&gt;"""",'Students (Vertical)'!P:P&gt;1)})&gt;1))),""""),"""")"),"")</f>
        <v/>
      </c>
      <c r="K709" s="358"/>
    </row>
    <row r="710">
      <c r="A710" s="300" t="s">
        <v>22</v>
      </c>
      <c r="C710" s="300" t="s">
        <v>22</v>
      </c>
      <c r="D710" s="300" t="s">
        <v>22</v>
      </c>
      <c r="F710" s="300" t="s">
        <v>22</v>
      </c>
      <c r="G710" s="300" t="s">
        <v>22</v>
      </c>
      <c r="I710" s="356" t="str">
        <f>IFERROR(__xludf.DUMMYFUNCTION("if(H710=""Must be Together"",iferror(join("", "",unique(filter({filter('Students (Vertical)'!O:O,'Students (Vertical)'!C:C=B710,'Students (Vertical)'!O:O&lt;&gt;"""");filter('Students (Vertical)'!O:O,'Students (Vertical)'!C:C=E710,'Students (Vertical)'!O:O&lt;&gt;"""&amp;""")},countifs({filter('Students (Vertical)'!O:O,'Students (Vertical)'!C:C=B710,'Students (Vertical)'!O:O&lt;&gt;"""");filter('Students (Vertical)'!O:O,'Students (Vertical)'!C:C=E710,'Students (Vertical)'!O:O&lt;&gt;"""")},{filter('Students (Vertical)'!O:O,'Students ("&amp;"Vertical)'!C:C=B710,'Students (Vertical)'!O:O&lt;&gt;"""");filter('Students (Vertical)'!O:O,'Students (Vertical)'!C:C=E710,'Students (Vertical)'!O:O&lt;&gt;"""")})&gt;1))),""No shared courses""),"""")"),"")</f>
        <v/>
      </c>
      <c r="J710" s="357" t="str">
        <f>IFERROR(__xludf.DUMMYFUNCTION("if(H710=""Can't be Together"",iferror(join("", "",unique(filter({filter('Students (Vertical)'!O:O,'Students (Vertical)'!C:C=B710,'Students (Vertical)'!O:O&lt;&gt;"""",'Students (Vertical)'!P:P&gt;1);filter('Students (Vertical)'!O:O,'Students (Vertical)'!C:C=E710,'"&amp;"Students (Vertical)'!O:O&lt;&gt;"""",'Students (Vertical)'!P:P&gt;1)},countifs({filter('Students (Vertical)'!O:O,'Students (Vertical)'!C:C=B710,'Students (Vertical)'!O:O&lt;&gt;"""",'Students (Vertical)'!P:P&gt;1);filter('Students (Vertical)'!O:O,'Students (Vertical)'!C:C="&amp;"E710,'Students (Vertical)'!O:O&lt;&gt;"""",'Students (Vertical)'!P:P&gt;1)},{filter('Students (Vertical)'!O:O,'Students (Vertical)'!C:C=B710,'Students (Vertical)'!O:O&lt;&gt;"""",'Students (Vertical)'!P:P&gt;1);filter('Students (Vertical)'!O:O,'Students (Vertical)'!C:C=E71"&amp;"0,'Students (Vertical)'!O:O&lt;&gt;"""",'Students (Vertical)'!P:P&gt;1)})&gt;1))),""""),"""")"),"")</f>
        <v/>
      </c>
      <c r="K710" s="358"/>
    </row>
    <row r="711">
      <c r="A711" s="300" t="s">
        <v>22</v>
      </c>
      <c r="C711" s="300" t="s">
        <v>22</v>
      </c>
      <c r="D711" s="300" t="s">
        <v>22</v>
      </c>
      <c r="F711" s="300" t="s">
        <v>22</v>
      </c>
      <c r="G711" s="300" t="s">
        <v>22</v>
      </c>
      <c r="I711" s="356" t="str">
        <f>IFERROR(__xludf.DUMMYFUNCTION("if(H711=""Must be Together"",iferror(join("", "",unique(filter({filter('Students (Vertical)'!O:O,'Students (Vertical)'!C:C=B711,'Students (Vertical)'!O:O&lt;&gt;"""");filter('Students (Vertical)'!O:O,'Students (Vertical)'!C:C=E711,'Students (Vertical)'!O:O&lt;&gt;"""&amp;""")},countifs({filter('Students (Vertical)'!O:O,'Students (Vertical)'!C:C=B711,'Students (Vertical)'!O:O&lt;&gt;"""");filter('Students (Vertical)'!O:O,'Students (Vertical)'!C:C=E711,'Students (Vertical)'!O:O&lt;&gt;"""")},{filter('Students (Vertical)'!O:O,'Students ("&amp;"Vertical)'!C:C=B711,'Students (Vertical)'!O:O&lt;&gt;"""");filter('Students (Vertical)'!O:O,'Students (Vertical)'!C:C=E711,'Students (Vertical)'!O:O&lt;&gt;"""")})&gt;1))),""No shared courses""),"""")"),"")</f>
        <v/>
      </c>
      <c r="J711" s="357" t="str">
        <f>IFERROR(__xludf.DUMMYFUNCTION("if(H711=""Can't be Together"",iferror(join("", "",unique(filter({filter('Students (Vertical)'!O:O,'Students (Vertical)'!C:C=B711,'Students (Vertical)'!O:O&lt;&gt;"""",'Students (Vertical)'!P:P&gt;1);filter('Students (Vertical)'!O:O,'Students (Vertical)'!C:C=E711,'"&amp;"Students (Vertical)'!O:O&lt;&gt;"""",'Students (Vertical)'!P:P&gt;1)},countifs({filter('Students (Vertical)'!O:O,'Students (Vertical)'!C:C=B711,'Students (Vertical)'!O:O&lt;&gt;"""",'Students (Vertical)'!P:P&gt;1);filter('Students (Vertical)'!O:O,'Students (Vertical)'!C:C="&amp;"E711,'Students (Vertical)'!O:O&lt;&gt;"""",'Students (Vertical)'!P:P&gt;1)},{filter('Students (Vertical)'!O:O,'Students (Vertical)'!C:C=B711,'Students (Vertical)'!O:O&lt;&gt;"""",'Students (Vertical)'!P:P&gt;1);filter('Students (Vertical)'!O:O,'Students (Vertical)'!C:C=E71"&amp;"1,'Students (Vertical)'!O:O&lt;&gt;"""",'Students (Vertical)'!P:P&gt;1)})&gt;1))),""""),"""")"),"")</f>
        <v/>
      </c>
      <c r="K711" s="358"/>
    </row>
    <row r="712">
      <c r="A712" s="300" t="s">
        <v>22</v>
      </c>
      <c r="C712" s="300" t="s">
        <v>22</v>
      </c>
      <c r="D712" s="300" t="s">
        <v>22</v>
      </c>
      <c r="F712" s="300" t="s">
        <v>22</v>
      </c>
      <c r="G712" s="300" t="s">
        <v>22</v>
      </c>
      <c r="I712" s="356" t="str">
        <f>IFERROR(__xludf.DUMMYFUNCTION("if(H712=""Must be Together"",iferror(join("", "",unique(filter({filter('Students (Vertical)'!O:O,'Students (Vertical)'!C:C=B712,'Students (Vertical)'!O:O&lt;&gt;"""");filter('Students (Vertical)'!O:O,'Students (Vertical)'!C:C=E712,'Students (Vertical)'!O:O&lt;&gt;"""&amp;""")},countifs({filter('Students (Vertical)'!O:O,'Students (Vertical)'!C:C=B712,'Students (Vertical)'!O:O&lt;&gt;"""");filter('Students (Vertical)'!O:O,'Students (Vertical)'!C:C=E712,'Students (Vertical)'!O:O&lt;&gt;"""")},{filter('Students (Vertical)'!O:O,'Students ("&amp;"Vertical)'!C:C=B712,'Students (Vertical)'!O:O&lt;&gt;"""");filter('Students (Vertical)'!O:O,'Students (Vertical)'!C:C=E712,'Students (Vertical)'!O:O&lt;&gt;"""")})&gt;1))),""No shared courses""),"""")"),"")</f>
        <v/>
      </c>
      <c r="J712" s="357" t="str">
        <f>IFERROR(__xludf.DUMMYFUNCTION("if(H712=""Can't be Together"",iferror(join("", "",unique(filter({filter('Students (Vertical)'!O:O,'Students (Vertical)'!C:C=B712,'Students (Vertical)'!O:O&lt;&gt;"""",'Students (Vertical)'!P:P&gt;1);filter('Students (Vertical)'!O:O,'Students (Vertical)'!C:C=E712,'"&amp;"Students (Vertical)'!O:O&lt;&gt;"""",'Students (Vertical)'!P:P&gt;1)},countifs({filter('Students (Vertical)'!O:O,'Students (Vertical)'!C:C=B712,'Students (Vertical)'!O:O&lt;&gt;"""",'Students (Vertical)'!P:P&gt;1);filter('Students (Vertical)'!O:O,'Students (Vertical)'!C:C="&amp;"E712,'Students (Vertical)'!O:O&lt;&gt;"""",'Students (Vertical)'!P:P&gt;1)},{filter('Students (Vertical)'!O:O,'Students (Vertical)'!C:C=B712,'Students (Vertical)'!O:O&lt;&gt;"""",'Students (Vertical)'!P:P&gt;1);filter('Students (Vertical)'!O:O,'Students (Vertical)'!C:C=E71"&amp;"2,'Students (Vertical)'!O:O&lt;&gt;"""",'Students (Vertical)'!P:P&gt;1)})&gt;1))),""""),"""")"),"")</f>
        <v/>
      </c>
      <c r="K712" s="358"/>
    </row>
    <row r="713">
      <c r="A713" s="300" t="s">
        <v>22</v>
      </c>
      <c r="C713" s="300" t="s">
        <v>22</v>
      </c>
      <c r="D713" s="300" t="s">
        <v>22</v>
      </c>
      <c r="F713" s="300" t="s">
        <v>22</v>
      </c>
      <c r="G713" s="300" t="s">
        <v>22</v>
      </c>
      <c r="I713" s="356" t="str">
        <f>IFERROR(__xludf.DUMMYFUNCTION("if(H713=""Must be Together"",iferror(join("", "",unique(filter({filter('Students (Vertical)'!O:O,'Students (Vertical)'!C:C=B713,'Students (Vertical)'!O:O&lt;&gt;"""");filter('Students (Vertical)'!O:O,'Students (Vertical)'!C:C=E713,'Students (Vertical)'!O:O&lt;&gt;"""&amp;""")},countifs({filter('Students (Vertical)'!O:O,'Students (Vertical)'!C:C=B713,'Students (Vertical)'!O:O&lt;&gt;"""");filter('Students (Vertical)'!O:O,'Students (Vertical)'!C:C=E713,'Students (Vertical)'!O:O&lt;&gt;"""")},{filter('Students (Vertical)'!O:O,'Students ("&amp;"Vertical)'!C:C=B713,'Students (Vertical)'!O:O&lt;&gt;"""");filter('Students (Vertical)'!O:O,'Students (Vertical)'!C:C=E713,'Students (Vertical)'!O:O&lt;&gt;"""")})&gt;1))),""No shared courses""),"""")"),"")</f>
        <v/>
      </c>
      <c r="J713" s="357" t="str">
        <f>IFERROR(__xludf.DUMMYFUNCTION("if(H713=""Can't be Together"",iferror(join("", "",unique(filter({filter('Students (Vertical)'!O:O,'Students (Vertical)'!C:C=B713,'Students (Vertical)'!O:O&lt;&gt;"""",'Students (Vertical)'!P:P&gt;1);filter('Students (Vertical)'!O:O,'Students (Vertical)'!C:C=E713,'"&amp;"Students (Vertical)'!O:O&lt;&gt;"""",'Students (Vertical)'!P:P&gt;1)},countifs({filter('Students (Vertical)'!O:O,'Students (Vertical)'!C:C=B713,'Students (Vertical)'!O:O&lt;&gt;"""",'Students (Vertical)'!P:P&gt;1);filter('Students (Vertical)'!O:O,'Students (Vertical)'!C:C="&amp;"E713,'Students (Vertical)'!O:O&lt;&gt;"""",'Students (Vertical)'!P:P&gt;1)},{filter('Students (Vertical)'!O:O,'Students (Vertical)'!C:C=B713,'Students (Vertical)'!O:O&lt;&gt;"""",'Students (Vertical)'!P:P&gt;1);filter('Students (Vertical)'!O:O,'Students (Vertical)'!C:C=E71"&amp;"3,'Students (Vertical)'!O:O&lt;&gt;"""",'Students (Vertical)'!P:P&gt;1)})&gt;1))),""""),"""")"),"")</f>
        <v/>
      </c>
      <c r="K713" s="358"/>
    </row>
    <row r="714">
      <c r="A714" s="300" t="s">
        <v>22</v>
      </c>
      <c r="C714" s="300" t="s">
        <v>22</v>
      </c>
      <c r="D714" s="300" t="s">
        <v>22</v>
      </c>
      <c r="F714" s="300" t="s">
        <v>22</v>
      </c>
      <c r="G714" s="300" t="s">
        <v>22</v>
      </c>
      <c r="I714" s="356" t="str">
        <f>IFERROR(__xludf.DUMMYFUNCTION("if(H714=""Must be Together"",iferror(join("", "",unique(filter({filter('Students (Vertical)'!O:O,'Students (Vertical)'!C:C=B714,'Students (Vertical)'!O:O&lt;&gt;"""");filter('Students (Vertical)'!O:O,'Students (Vertical)'!C:C=E714,'Students (Vertical)'!O:O&lt;&gt;"""&amp;""")},countifs({filter('Students (Vertical)'!O:O,'Students (Vertical)'!C:C=B714,'Students (Vertical)'!O:O&lt;&gt;"""");filter('Students (Vertical)'!O:O,'Students (Vertical)'!C:C=E714,'Students (Vertical)'!O:O&lt;&gt;"""")},{filter('Students (Vertical)'!O:O,'Students ("&amp;"Vertical)'!C:C=B714,'Students (Vertical)'!O:O&lt;&gt;"""");filter('Students (Vertical)'!O:O,'Students (Vertical)'!C:C=E714,'Students (Vertical)'!O:O&lt;&gt;"""")})&gt;1))),""No shared courses""),"""")"),"")</f>
        <v/>
      </c>
      <c r="J714" s="357" t="str">
        <f>IFERROR(__xludf.DUMMYFUNCTION("if(H714=""Can't be Together"",iferror(join("", "",unique(filter({filter('Students (Vertical)'!O:O,'Students (Vertical)'!C:C=B714,'Students (Vertical)'!O:O&lt;&gt;"""",'Students (Vertical)'!P:P&gt;1);filter('Students (Vertical)'!O:O,'Students (Vertical)'!C:C=E714,'"&amp;"Students (Vertical)'!O:O&lt;&gt;"""",'Students (Vertical)'!P:P&gt;1)},countifs({filter('Students (Vertical)'!O:O,'Students (Vertical)'!C:C=B714,'Students (Vertical)'!O:O&lt;&gt;"""",'Students (Vertical)'!P:P&gt;1);filter('Students (Vertical)'!O:O,'Students (Vertical)'!C:C="&amp;"E714,'Students (Vertical)'!O:O&lt;&gt;"""",'Students (Vertical)'!P:P&gt;1)},{filter('Students (Vertical)'!O:O,'Students (Vertical)'!C:C=B714,'Students (Vertical)'!O:O&lt;&gt;"""",'Students (Vertical)'!P:P&gt;1);filter('Students (Vertical)'!O:O,'Students (Vertical)'!C:C=E71"&amp;"4,'Students (Vertical)'!O:O&lt;&gt;"""",'Students (Vertical)'!P:P&gt;1)})&gt;1))),""""),"""")"),"")</f>
        <v/>
      </c>
      <c r="K714" s="358"/>
    </row>
    <row r="715">
      <c r="A715" s="300" t="s">
        <v>22</v>
      </c>
      <c r="C715" s="300" t="s">
        <v>22</v>
      </c>
      <c r="D715" s="300" t="s">
        <v>22</v>
      </c>
      <c r="F715" s="300" t="s">
        <v>22</v>
      </c>
      <c r="G715" s="300" t="s">
        <v>22</v>
      </c>
      <c r="I715" s="356" t="str">
        <f>IFERROR(__xludf.DUMMYFUNCTION("if(H715=""Must be Together"",iferror(join("", "",unique(filter({filter('Students (Vertical)'!O:O,'Students (Vertical)'!C:C=B715,'Students (Vertical)'!O:O&lt;&gt;"""");filter('Students (Vertical)'!O:O,'Students (Vertical)'!C:C=E715,'Students (Vertical)'!O:O&lt;&gt;"""&amp;""")},countifs({filter('Students (Vertical)'!O:O,'Students (Vertical)'!C:C=B715,'Students (Vertical)'!O:O&lt;&gt;"""");filter('Students (Vertical)'!O:O,'Students (Vertical)'!C:C=E715,'Students (Vertical)'!O:O&lt;&gt;"""")},{filter('Students (Vertical)'!O:O,'Students ("&amp;"Vertical)'!C:C=B715,'Students (Vertical)'!O:O&lt;&gt;"""");filter('Students (Vertical)'!O:O,'Students (Vertical)'!C:C=E715,'Students (Vertical)'!O:O&lt;&gt;"""")})&gt;1))),""No shared courses""),"""")"),"")</f>
        <v/>
      </c>
      <c r="J715" s="357" t="str">
        <f>IFERROR(__xludf.DUMMYFUNCTION("if(H715=""Can't be Together"",iferror(join("", "",unique(filter({filter('Students (Vertical)'!O:O,'Students (Vertical)'!C:C=B715,'Students (Vertical)'!O:O&lt;&gt;"""",'Students (Vertical)'!P:P&gt;1);filter('Students (Vertical)'!O:O,'Students (Vertical)'!C:C=E715,'"&amp;"Students (Vertical)'!O:O&lt;&gt;"""",'Students (Vertical)'!P:P&gt;1)},countifs({filter('Students (Vertical)'!O:O,'Students (Vertical)'!C:C=B715,'Students (Vertical)'!O:O&lt;&gt;"""",'Students (Vertical)'!P:P&gt;1);filter('Students (Vertical)'!O:O,'Students (Vertical)'!C:C="&amp;"E715,'Students (Vertical)'!O:O&lt;&gt;"""",'Students (Vertical)'!P:P&gt;1)},{filter('Students (Vertical)'!O:O,'Students (Vertical)'!C:C=B715,'Students (Vertical)'!O:O&lt;&gt;"""",'Students (Vertical)'!P:P&gt;1);filter('Students (Vertical)'!O:O,'Students (Vertical)'!C:C=E71"&amp;"5,'Students (Vertical)'!O:O&lt;&gt;"""",'Students (Vertical)'!P:P&gt;1)})&gt;1))),""""),"""")"),"")</f>
        <v/>
      </c>
      <c r="K715" s="358"/>
    </row>
    <row r="716">
      <c r="A716" s="300" t="s">
        <v>22</v>
      </c>
      <c r="C716" s="300" t="s">
        <v>22</v>
      </c>
      <c r="D716" s="300" t="s">
        <v>22</v>
      </c>
      <c r="F716" s="300" t="s">
        <v>22</v>
      </c>
      <c r="G716" s="300" t="s">
        <v>22</v>
      </c>
      <c r="I716" s="356" t="str">
        <f>IFERROR(__xludf.DUMMYFUNCTION("if(H716=""Must be Together"",iferror(join("", "",unique(filter({filter('Students (Vertical)'!O:O,'Students (Vertical)'!C:C=B716,'Students (Vertical)'!O:O&lt;&gt;"""");filter('Students (Vertical)'!O:O,'Students (Vertical)'!C:C=E716,'Students (Vertical)'!O:O&lt;&gt;"""&amp;""")},countifs({filter('Students (Vertical)'!O:O,'Students (Vertical)'!C:C=B716,'Students (Vertical)'!O:O&lt;&gt;"""");filter('Students (Vertical)'!O:O,'Students (Vertical)'!C:C=E716,'Students (Vertical)'!O:O&lt;&gt;"""")},{filter('Students (Vertical)'!O:O,'Students ("&amp;"Vertical)'!C:C=B716,'Students (Vertical)'!O:O&lt;&gt;"""");filter('Students (Vertical)'!O:O,'Students (Vertical)'!C:C=E716,'Students (Vertical)'!O:O&lt;&gt;"""")})&gt;1))),""No shared courses""),"""")"),"")</f>
        <v/>
      </c>
      <c r="J716" s="357" t="str">
        <f>IFERROR(__xludf.DUMMYFUNCTION("if(H716=""Can't be Together"",iferror(join("", "",unique(filter({filter('Students (Vertical)'!O:O,'Students (Vertical)'!C:C=B716,'Students (Vertical)'!O:O&lt;&gt;"""",'Students (Vertical)'!P:P&gt;1);filter('Students (Vertical)'!O:O,'Students (Vertical)'!C:C=E716,'"&amp;"Students (Vertical)'!O:O&lt;&gt;"""",'Students (Vertical)'!P:P&gt;1)},countifs({filter('Students (Vertical)'!O:O,'Students (Vertical)'!C:C=B716,'Students (Vertical)'!O:O&lt;&gt;"""",'Students (Vertical)'!P:P&gt;1);filter('Students (Vertical)'!O:O,'Students (Vertical)'!C:C="&amp;"E716,'Students (Vertical)'!O:O&lt;&gt;"""",'Students (Vertical)'!P:P&gt;1)},{filter('Students (Vertical)'!O:O,'Students (Vertical)'!C:C=B716,'Students (Vertical)'!O:O&lt;&gt;"""",'Students (Vertical)'!P:P&gt;1);filter('Students (Vertical)'!O:O,'Students (Vertical)'!C:C=E71"&amp;"6,'Students (Vertical)'!O:O&lt;&gt;"""",'Students (Vertical)'!P:P&gt;1)})&gt;1))),""""),"""")"),"")</f>
        <v/>
      </c>
      <c r="K716" s="358"/>
    </row>
    <row r="717">
      <c r="A717" s="300" t="s">
        <v>22</v>
      </c>
      <c r="C717" s="300" t="s">
        <v>22</v>
      </c>
      <c r="D717" s="300" t="s">
        <v>22</v>
      </c>
      <c r="F717" s="300" t="s">
        <v>22</v>
      </c>
      <c r="G717" s="300" t="s">
        <v>22</v>
      </c>
      <c r="I717" s="356" t="str">
        <f>IFERROR(__xludf.DUMMYFUNCTION("if(H717=""Must be Together"",iferror(join("", "",unique(filter({filter('Students (Vertical)'!O:O,'Students (Vertical)'!C:C=B717,'Students (Vertical)'!O:O&lt;&gt;"""");filter('Students (Vertical)'!O:O,'Students (Vertical)'!C:C=E717,'Students (Vertical)'!O:O&lt;&gt;"""&amp;""")},countifs({filter('Students (Vertical)'!O:O,'Students (Vertical)'!C:C=B717,'Students (Vertical)'!O:O&lt;&gt;"""");filter('Students (Vertical)'!O:O,'Students (Vertical)'!C:C=E717,'Students (Vertical)'!O:O&lt;&gt;"""")},{filter('Students (Vertical)'!O:O,'Students ("&amp;"Vertical)'!C:C=B717,'Students (Vertical)'!O:O&lt;&gt;"""");filter('Students (Vertical)'!O:O,'Students (Vertical)'!C:C=E717,'Students (Vertical)'!O:O&lt;&gt;"""")})&gt;1))),""No shared courses""),"""")"),"")</f>
        <v/>
      </c>
      <c r="J717" s="357" t="str">
        <f>IFERROR(__xludf.DUMMYFUNCTION("if(H717=""Can't be Together"",iferror(join("", "",unique(filter({filter('Students (Vertical)'!O:O,'Students (Vertical)'!C:C=B717,'Students (Vertical)'!O:O&lt;&gt;"""",'Students (Vertical)'!P:P&gt;1);filter('Students (Vertical)'!O:O,'Students (Vertical)'!C:C=E717,'"&amp;"Students (Vertical)'!O:O&lt;&gt;"""",'Students (Vertical)'!P:P&gt;1)},countifs({filter('Students (Vertical)'!O:O,'Students (Vertical)'!C:C=B717,'Students (Vertical)'!O:O&lt;&gt;"""",'Students (Vertical)'!P:P&gt;1);filter('Students (Vertical)'!O:O,'Students (Vertical)'!C:C="&amp;"E717,'Students (Vertical)'!O:O&lt;&gt;"""",'Students (Vertical)'!P:P&gt;1)},{filter('Students (Vertical)'!O:O,'Students (Vertical)'!C:C=B717,'Students (Vertical)'!O:O&lt;&gt;"""",'Students (Vertical)'!P:P&gt;1);filter('Students (Vertical)'!O:O,'Students (Vertical)'!C:C=E71"&amp;"7,'Students (Vertical)'!O:O&lt;&gt;"""",'Students (Vertical)'!P:P&gt;1)})&gt;1))),""""),"""")"),"")</f>
        <v/>
      </c>
      <c r="K717" s="358"/>
    </row>
    <row r="718">
      <c r="A718" s="300" t="s">
        <v>22</v>
      </c>
      <c r="C718" s="300" t="s">
        <v>22</v>
      </c>
      <c r="D718" s="300" t="s">
        <v>22</v>
      </c>
      <c r="F718" s="300" t="s">
        <v>22</v>
      </c>
      <c r="G718" s="300" t="s">
        <v>22</v>
      </c>
      <c r="I718" s="356" t="str">
        <f>IFERROR(__xludf.DUMMYFUNCTION("if(H718=""Must be Together"",iferror(join("", "",unique(filter({filter('Students (Vertical)'!O:O,'Students (Vertical)'!C:C=B718,'Students (Vertical)'!O:O&lt;&gt;"""");filter('Students (Vertical)'!O:O,'Students (Vertical)'!C:C=E718,'Students (Vertical)'!O:O&lt;&gt;"""&amp;""")},countifs({filter('Students (Vertical)'!O:O,'Students (Vertical)'!C:C=B718,'Students (Vertical)'!O:O&lt;&gt;"""");filter('Students (Vertical)'!O:O,'Students (Vertical)'!C:C=E718,'Students (Vertical)'!O:O&lt;&gt;"""")},{filter('Students (Vertical)'!O:O,'Students ("&amp;"Vertical)'!C:C=B718,'Students (Vertical)'!O:O&lt;&gt;"""");filter('Students (Vertical)'!O:O,'Students (Vertical)'!C:C=E718,'Students (Vertical)'!O:O&lt;&gt;"""")})&gt;1))),""No shared courses""),"""")"),"")</f>
        <v/>
      </c>
      <c r="J718" s="357" t="str">
        <f>IFERROR(__xludf.DUMMYFUNCTION("if(H718=""Can't be Together"",iferror(join("", "",unique(filter({filter('Students (Vertical)'!O:O,'Students (Vertical)'!C:C=B718,'Students (Vertical)'!O:O&lt;&gt;"""",'Students (Vertical)'!P:P&gt;1);filter('Students (Vertical)'!O:O,'Students (Vertical)'!C:C=E718,'"&amp;"Students (Vertical)'!O:O&lt;&gt;"""",'Students (Vertical)'!P:P&gt;1)},countifs({filter('Students (Vertical)'!O:O,'Students (Vertical)'!C:C=B718,'Students (Vertical)'!O:O&lt;&gt;"""",'Students (Vertical)'!P:P&gt;1);filter('Students (Vertical)'!O:O,'Students (Vertical)'!C:C="&amp;"E718,'Students (Vertical)'!O:O&lt;&gt;"""",'Students (Vertical)'!P:P&gt;1)},{filter('Students (Vertical)'!O:O,'Students (Vertical)'!C:C=B718,'Students (Vertical)'!O:O&lt;&gt;"""",'Students (Vertical)'!P:P&gt;1);filter('Students (Vertical)'!O:O,'Students (Vertical)'!C:C=E71"&amp;"8,'Students (Vertical)'!O:O&lt;&gt;"""",'Students (Vertical)'!P:P&gt;1)})&gt;1))),""""),"""")"),"")</f>
        <v/>
      </c>
      <c r="K718" s="358"/>
    </row>
    <row r="719">
      <c r="A719" s="300" t="s">
        <v>22</v>
      </c>
      <c r="C719" s="300" t="s">
        <v>22</v>
      </c>
      <c r="D719" s="300" t="s">
        <v>22</v>
      </c>
      <c r="F719" s="300" t="s">
        <v>22</v>
      </c>
      <c r="G719" s="300" t="s">
        <v>22</v>
      </c>
      <c r="I719" s="356" t="str">
        <f>IFERROR(__xludf.DUMMYFUNCTION("if(H719=""Must be Together"",iferror(join("", "",unique(filter({filter('Students (Vertical)'!O:O,'Students (Vertical)'!C:C=B719,'Students (Vertical)'!O:O&lt;&gt;"""");filter('Students (Vertical)'!O:O,'Students (Vertical)'!C:C=E719,'Students (Vertical)'!O:O&lt;&gt;"""&amp;""")},countifs({filter('Students (Vertical)'!O:O,'Students (Vertical)'!C:C=B719,'Students (Vertical)'!O:O&lt;&gt;"""");filter('Students (Vertical)'!O:O,'Students (Vertical)'!C:C=E719,'Students (Vertical)'!O:O&lt;&gt;"""")},{filter('Students (Vertical)'!O:O,'Students ("&amp;"Vertical)'!C:C=B719,'Students (Vertical)'!O:O&lt;&gt;"""");filter('Students (Vertical)'!O:O,'Students (Vertical)'!C:C=E719,'Students (Vertical)'!O:O&lt;&gt;"""")})&gt;1))),""No shared courses""),"""")"),"")</f>
        <v/>
      </c>
      <c r="J719" s="357" t="str">
        <f>IFERROR(__xludf.DUMMYFUNCTION("if(H719=""Can't be Together"",iferror(join("", "",unique(filter({filter('Students (Vertical)'!O:O,'Students (Vertical)'!C:C=B719,'Students (Vertical)'!O:O&lt;&gt;"""",'Students (Vertical)'!P:P&gt;1);filter('Students (Vertical)'!O:O,'Students (Vertical)'!C:C=E719,'"&amp;"Students (Vertical)'!O:O&lt;&gt;"""",'Students (Vertical)'!P:P&gt;1)},countifs({filter('Students (Vertical)'!O:O,'Students (Vertical)'!C:C=B719,'Students (Vertical)'!O:O&lt;&gt;"""",'Students (Vertical)'!P:P&gt;1);filter('Students (Vertical)'!O:O,'Students (Vertical)'!C:C="&amp;"E719,'Students (Vertical)'!O:O&lt;&gt;"""",'Students (Vertical)'!P:P&gt;1)},{filter('Students (Vertical)'!O:O,'Students (Vertical)'!C:C=B719,'Students (Vertical)'!O:O&lt;&gt;"""",'Students (Vertical)'!P:P&gt;1);filter('Students (Vertical)'!O:O,'Students (Vertical)'!C:C=E71"&amp;"9,'Students (Vertical)'!O:O&lt;&gt;"""",'Students (Vertical)'!P:P&gt;1)})&gt;1))),""""),"""")"),"")</f>
        <v/>
      </c>
      <c r="K719" s="358"/>
    </row>
    <row r="720">
      <c r="A720" s="300" t="s">
        <v>22</v>
      </c>
      <c r="C720" s="300" t="s">
        <v>22</v>
      </c>
      <c r="D720" s="300" t="s">
        <v>22</v>
      </c>
      <c r="F720" s="300" t="s">
        <v>22</v>
      </c>
      <c r="G720" s="300" t="s">
        <v>22</v>
      </c>
      <c r="I720" s="356" t="str">
        <f>IFERROR(__xludf.DUMMYFUNCTION("if(H720=""Must be Together"",iferror(join("", "",unique(filter({filter('Students (Vertical)'!O:O,'Students (Vertical)'!C:C=B720,'Students (Vertical)'!O:O&lt;&gt;"""");filter('Students (Vertical)'!O:O,'Students (Vertical)'!C:C=E720,'Students (Vertical)'!O:O&lt;&gt;"""&amp;""")},countifs({filter('Students (Vertical)'!O:O,'Students (Vertical)'!C:C=B720,'Students (Vertical)'!O:O&lt;&gt;"""");filter('Students (Vertical)'!O:O,'Students (Vertical)'!C:C=E720,'Students (Vertical)'!O:O&lt;&gt;"""")},{filter('Students (Vertical)'!O:O,'Students ("&amp;"Vertical)'!C:C=B720,'Students (Vertical)'!O:O&lt;&gt;"""");filter('Students (Vertical)'!O:O,'Students (Vertical)'!C:C=E720,'Students (Vertical)'!O:O&lt;&gt;"""")})&gt;1))),""No shared courses""),"""")"),"")</f>
        <v/>
      </c>
      <c r="J720" s="357" t="str">
        <f>IFERROR(__xludf.DUMMYFUNCTION("if(H720=""Can't be Together"",iferror(join("", "",unique(filter({filter('Students (Vertical)'!O:O,'Students (Vertical)'!C:C=B720,'Students (Vertical)'!O:O&lt;&gt;"""",'Students (Vertical)'!P:P&gt;1);filter('Students (Vertical)'!O:O,'Students (Vertical)'!C:C=E720,'"&amp;"Students (Vertical)'!O:O&lt;&gt;"""",'Students (Vertical)'!P:P&gt;1)},countifs({filter('Students (Vertical)'!O:O,'Students (Vertical)'!C:C=B720,'Students (Vertical)'!O:O&lt;&gt;"""",'Students (Vertical)'!P:P&gt;1);filter('Students (Vertical)'!O:O,'Students (Vertical)'!C:C="&amp;"E720,'Students (Vertical)'!O:O&lt;&gt;"""",'Students (Vertical)'!P:P&gt;1)},{filter('Students (Vertical)'!O:O,'Students (Vertical)'!C:C=B720,'Students (Vertical)'!O:O&lt;&gt;"""",'Students (Vertical)'!P:P&gt;1);filter('Students (Vertical)'!O:O,'Students (Vertical)'!C:C=E72"&amp;"0,'Students (Vertical)'!O:O&lt;&gt;"""",'Students (Vertical)'!P:P&gt;1)})&gt;1))),""""),"""")"),"")</f>
        <v/>
      </c>
      <c r="K720" s="358"/>
    </row>
    <row r="721">
      <c r="A721" s="300" t="s">
        <v>22</v>
      </c>
      <c r="C721" s="300" t="s">
        <v>22</v>
      </c>
      <c r="D721" s="300" t="s">
        <v>22</v>
      </c>
      <c r="F721" s="300" t="s">
        <v>22</v>
      </c>
      <c r="G721" s="300" t="s">
        <v>22</v>
      </c>
      <c r="I721" s="356" t="str">
        <f>IFERROR(__xludf.DUMMYFUNCTION("if(H721=""Must be Together"",iferror(join("", "",unique(filter({filter('Students (Vertical)'!O:O,'Students (Vertical)'!C:C=B721,'Students (Vertical)'!O:O&lt;&gt;"""");filter('Students (Vertical)'!O:O,'Students (Vertical)'!C:C=E721,'Students (Vertical)'!O:O&lt;&gt;"""&amp;""")},countifs({filter('Students (Vertical)'!O:O,'Students (Vertical)'!C:C=B721,'Students (Vertical)'!O:O&lt;&gt;"""");filter('Students (Vertical)'!O:O,'Students (Vertical)'!C:C=E721,'Students (Vertical)'!O:O&lt;&gt;"""")},{filter('Students (Vertical)'!O:O,'Students ("&amp;"Vertical)'!C:C=B721,'Students (Vertical)'!O:O&lt;&gt;"""");filter('Students (Vertical)'!O:O,'Students (Vertical)'!C:C=E721,'Students (Vertical)'!O:O&lt;&gt;"""")})&gt;1))),""No shared courses""),"""")"),"")</f>
        <v/>
      </c>
      <c r="J721" s="357" t="str">
        <f>IFERROR(__xludf.DUMMYFUNCTION("if(H721=""Can't be Together"",iferror(join("", "",unique(filter({filter('Students (Vertical)'!O:O,'Students (Vertical)'!C:C=B721,'Students (Vertical)'!O:O&lt;&gt;"""",'Students (Vertical)'!P:P&gt;1);filter('Students (Vertical)'!O:O,'Students (Vertical)'!C:C=E721,'"&amp;"Students (Vertical)'!O:O&lt;&gt;"""",'Students (Vertical)'!P:P&gt;1)},countifs({filter('Students (Vertical)'!O:O,'Students (Vertical)'!C:C=B721,'Students (Vertical)'!O:O&lt;&gt;"""",'Students (Vertical)'!P:P&gt;1);filter('Students (Vertical)'!O:O,'Students (Vertical)'!C:C="&amp;"E721,'Students (Vertical)'!O:O&lt;&gt;"""",'Students (Vertical)'!P:P&gt;1)},{filter('Students (Vertical)'!O:O,'Students (Vertical)'!C:C=B721,'Students (Vertical)'!O:O&lt;&gt;"""",'Students (Vertical)'!P:P&gt;1);filter('Students (Vertical)'!O:O,'Students (Vertical)'!C:C=E72"&amp;"1,'Students (Vertical)'!O:O&lt;&gt;"""",'Students (Vertical)'!P:P&gt;1)})&gt;1))),""""),"""")"),"")</f>
        <v/>
      </c>
      <c r="K721" s="358"/>
    </row>
    <row r="722">
      <c r="A722" s="300" t="s">
        <v>22</v>
      </c>
      <c r="C722" s="300" t="s">
        <v>22</v>
      </c>
      <c r="D722" s="300" t="s">
        <v>22</v>
      </c>
      <c r="F722" s="300" t="s">
        <v>22</v>
      </c>
      <c r="G722" s="300" t="s">
        <v>22</v>
      </c>
      <c r="I722" s="356" t="str">
        <f>IFERROR(__xludf.DUMMYFUNCTION("if(H722=""Must be Together"",iferror(join("", "",unique(filter({filter('Students (Vertical)'!O:O,'Students (Vertical)'!C:C=B722,'Students (Vertical)'!O:O&lt;&gt;"""");filter('Students (Vertical)'!O:O,'Students (Vertical)'!C:C=E722,'Students (Vertical)'!O:O&lt;&gt;"""&amp;""")},countifs({filter('Students (Vertical)'!O:O,'Students (Vertical)'!C:C=B722,'Students (Vertical)'!O:O&lt;&gt;"""");filter('Students (Vertical)'!O:O,'Students (Vertical)'!C:C=E722,'Students (Vertical)'!O:O&lt;&gt;"""")},{filter('Students (Vertical)'!O:O,'Students ("&amp;"Vertical)'!C:C=B722,'Students (Vertical)'!O:O&lt;&gt;"""");filter('Students (Vertical)'!O:O,'Students (Vertical)'!C:C=E722,'Students (Vertical)'!O:O&lt;&gt;"""")})&gt;1))),""No shared courses""),"""")"),"")</f>
        <v/>
      </c>
      <c r="J722" s="357" t="str">
        <f>IFERROR(__xludf.DUMMYFUNCTION("if(H722=""Can't be Together"",iferror(join("", "",unique(filter({filter('Students (Vertical)'!O:O,'Students (Vertical)'!C:C=B722,'Students (Vertical)'!O:O&lt;&gt;"""",'Students (Vertical)'!P:P&gt;1);filter('Students (Vertical)'!O:O,'Students (Vertical)'!C:C=E722,'"&amp;"Students (Vertical)'!O:O&lt;&gt;"""",'Students (Vertical)'!P:P&gt;1)},countifs({filter('Students (Vertical)'!O:O,'Students (Vertical)'!C:C=B722,'Students (Vertical)'!O:O&lt;&gt;"""",'Students (Vertical)'!P:P&gt;1);filter('Students (Vertical)'!O:O,'Students (Vertical)'!C:C="&amp;"E722,'Students (Vertical)'!O:O&lt;&gt;"""",'Students (Vertical)'!P:P&gt;1)},{filter('Students (Vertical)'!O:O,'Students (Vertical)'!C:C=B722,'Students (Vertical)'!O:O&lt;&gt;"""",'Students (Vertical)'!P:P&gt;1);filter('Students (Vertical)'!O:O,'Students (Vertical)'!C:C=E72"&amp;"2,'Students (Vertical)'!O:O&lt;&gt;"""",'Students (Vertical)'!P:P&gt;1)})&gt;1))),""""),"""")"),"")</f>
        <v/>
      </c>
      <c r="K722" s="358"/>
    </row>
    <row r="723">
      <c r="A723" s="300" t="s">
        <v>22</v>
      </c>
      <c r="C723" s="300" t="s">
        <v>22</v>
      </c>
      <c r="D723" s="300" t="s">
        <v>22</v>
      </c>
      <c r="F723" s="300" t="s">
        <v>22</v>
      </c>
      <c r="G723" s="300" t="s">
        <v>22</v>
      </c>
      <c r="I723" s="356" t="str">
        <f>IFERROR(__xludf.DUMMYFUNCTION("if(H723=""Must be Together"",iferror(join("", "",unique(filter({filter('Students (Vertical)'!O:O,'Students (Vertical)'!C:C=B723,'Students (Vertical)'!O:O&lt;&gt;"""");filter('Students (Vertical)'!O:O,'Students (Vertical)'!C:C=E723,'Students (Vertical)'!O:O&lt;&gt;"""&amp;""")},countifs({filter('Students (Vertical)'!O:O,'Students (Vertical)'!C:C=B723,'Students (Vertical)'!O:O&lt;&gt;"""");filter('Students (Vertical)'!O:O,'Students (Vertical)'!C:C=E723,'Students (Vertical)'!O:O&lt;&gt;"""")},{filter('Students (Vertical)'!O:O,'Students ("&amp;"Vertical)'!C:C=B723,'Students (Vertical)'!O:O&lt;&gt;"""");filter('Students (Vertical)'!O:O,'Students (Vertical)'!C:C=E723,'Students (Vertical)'!O:O&lt;&gt;"""")})&gt;1))),""No shared courses""),"""")"),"")</f>
        <v/>
      </c>
      <c r="J723" s="357" t="str">
        <f>IFERROR(__xludf.DUMMYFUNCTION("if(H723=""Can't be Together"",iferror(join("", "",unique(filter({filter('Students (Vertical)'!O:O,'Students (Vertical)'!C:C=B723,'Students (Vertical)'!O:O&lt;&gt;"""",'Students (Vertical)'!P:P&gt;1);filter('Students (Vertical)'!O:O,'Students (Vertical)'!C:C=E723,'"&amp;"Students (Vertical)'!O:O&lt;&gt;"""",'Students (Vertical)'!P:P&gt;1)},countifs({filter('Students (Vertical)'!O:O,'Students (Vertical)'!C:C=B723,'Students (Vertical)'!O:O&lt;&gt;"""",'Students (Vertical)'!P:P&gt;1);filter('Students (Vertical)'!O:O,'Students (Vertical)'!C:C="&amp;"E723,'Students (Vertical)'!O:O&lt;&gt;"""",'Students (Vertical)'!P:P&gt;1)},{filter('Students (Vertical)'!O:O,'Students (Vertical)'!C:C=B723,'Students (Vertical)'!O:O&lt;&gt;"""",'Students (Vertical)'!P:P&gt;1);filter('Students (Vertical)'!O:O,'Students (Vertical)'!C:C=E72"&amp;"3,'Students (Vertical)'!O:O&lt;&gt;"""",'Students (Vertical)'!P:P&gt;1)})&gt;1))),""""),"""")"),"")</f>
        <v/>
      </c>
      <c r="K723" s="358"/>
    </row>
    <row r="724">
      <c r="A724" s="300" t="s">
        <v>22</v>
      </c>
      <c r="C724" s="300" t="s">
        <v>22</v>
      </c>
      <c r="D724" s="300" t="s">
        <v>22</v>
      </c>
      <c r="F724" s="300" t="s">
        <v>22</v>
      </c>
      <c r="G724" s="300" t="s">
        <v>22</v>
      </c>
      <c r="I724" s="356" t="str">
        <f>IFERROR(__xludf.DUMMYFUNCTION("if(H724=""Must be Together"",iferror(join("", "",unique(filter({filter('Students (Vertical)'!O:O,'Students (Vertical)'!C:C=B724,'Students (Vertical)'!O:O&lt;&gt;"""");filter('Students (Vertical)'!O:O,'Students (Vertical)'!C:C=E724,'Students (Vertical)'!O:O&lt;&gt;"""&amp;""")},countifs({filter('Students (Vertical)'!O:O,'Students (Vertical)'!C:C=B724,'Students (Vertical)'!O:O&lt;&gt;"""");filter('Students (Vertical)'!O:O,'Students (Vertical)'!C:C=E724,'Students (Vertical)'!O:O&lt;&gt;"""")},{filter('Students (Vertical)'!O:O,'Students ("&amp;"Vertical)'!C:C=B724,'Students (Vertical)'!O:O&lt;&gt;"""");filter('Students (Vertical)'!O:O,'Students (Vertical)'!C:C=E724,'Students (Vertical)'!O:O&lt;&gt;"""")})&gt;1))),""No shared courses""),"""")"),"")</f>
        <v/>
      </c>
      <c r="J724" s="357" t="str">
        <f>IFERROR(__xludf.DUMMYFUNCTION("if(H724=""Can't be Together"",iferror(join("", "",unique(filter({filter('Students (Vertical)'!O:O,'Students (Vertical)'!C:C=B724,'Students (Vertical)'!O:O&lt;&gt;"""",'Students (Vertical)'!P:P&gt;1);filter('Students (Vertical)'!O:O,'Students (Vertical)'!C:C=E724,'"&amp;"Students (Vertical)'!O:O&lt;&gt;"""",'Students (Vertical)'!P:P&gt;1)},countifs({filter('Students (Vertical)'!O:O,'Students (Vertical)'!C:C=B724,'Students (Vertical)'!O:O&lt;&gt;"""",'Students (Vertical)'!P:P&gt;1);filter('Students (Vertical)'!O:O,'Students (Vertical)'!C:C="&amp;"E724,'Students (Vertical)'!O:O&lt;&gt;"""",'Students (Vertical)'!P:P&gt;1)},{filter('Students (Vertical)'!O:O,'Students (Vertical)'!C:C=B724,'Students (Vertical)'!O:O&lt;&gt;"""",'Students (Vertical)'!P:P&gt;1);filter('Students (Vertical)'!O:O,'Students (Vertical)'!C:C=E72"&amp;"4,'Students (Vertical)'!O:O&lt;&gt;"""",'Students (Vertical)'!P:P&gt;1)})&gt;1))),""""),"""")"),"")</f>
        <v/>
      </c>
      <c r="K724" s="358"/>
    </row>
    <row r="725">
      <c r="A725" s="300" t="s">
        <v>22</v>
      </c>
      <c r="C725" s="300" t="s">
        <v>22</v>
      </c>
      <c r="D725" s="300" t="s">
        <v>22</v>
      </c>
      <c r="F725" s="300" t="s">
        <v>22</v>
      </c>
      <c r="G725" s="300" t="s">
        <v>22</v>
      </c>
      <c r="I725" s="356" t="str">
        <f>IFERROR(__xludf.DUMMYFUNCTION("if(H725=""Must be Together"",iferror(join("", "",unique(filter({filter('Students (Vertical)'!O:O,'Students (Vertical)'!C:C=B725,'Students (Vertical)'!O:O&lt;&gt;"""");filter('Students (Vertical)'!O:O,'Students (Vertical)'!C:C=E725,'Students (Vertical)'!O:O&lt;&gt;"""&amp;""")},countifs({filter('Students (Vertical)'!O:O,'Students (Vertical)'!C:C=B725,'Students (Vertical)'!O:O&lt;&gt;"""");filter('Students (Vertical)'!O:O,'Students (Vertical)'!C:C=E725,'Students (Vertical)'!O:O&lt;&gt;"""")},{filter('Students (Vertical)'!O:O,'Students ("&amp;"Vertical)'!C:C=B725,'Students (Vertical)'!O:O&lt;&gt;"""");filter('Students (Vertical)'!O:O,'Students (Vertical)'!C:C=E725,'Students (Vertical)'!O:O&lt;&gt;"""")})&gt;1))),""No shared courses""),"""")"),"")</f>
        <v/>
      </c>
      <c r="J725" s="357" t="str">
        <f>IFERROR(__xludf.DUMMYFUNCTION("if(H725=""Can't be Together"",iferror(join("", "",unique(filter({filter('Students (Vertical)'!O:O,'Students (Vertical)'!C:C=B725,'Students (Vertical)'!O:O&lt;&gt;"""",'Students (Vertical)'!P:P&gt;1);filter('Students (Vertical)'!O:O,'Students (Vertical)'!C:C=E725,'"&amp;"Students (Vertical)'!O:O&lt;&gt;"""",'Students (Vertical)'!P:P&gt;1)},countifs({filter('Students (Vertical)'!O:O,'Students (Vertical)'!C:C=B725,'Students (Vertical)'!O:O&lt;&gt;"""",'Students (Vertical)'!P:P&gt;1);filter('Students (Vertical)'!O:O,'Students (Vertical)'!C:C="&amp;"E725,'Students (Vertical)'!O:O&lt;&gt;"""",'Students (Vertical)'!P:P&gt;1)},{filter('Students (Vertical)'!O:O,'Students (Vertical)'!C:C=B725,'Students (Vertical)'!O:O&lt;&gt;"""",'Students (Vertical)'!P:P&gt;1);filter('Students (Vertical)'!O:O,'Students (Vertical)'!C:C=E72"&amp;"5,'Students (Vertical)'!O:O&lt;&gt;"""",'Students (Vertical)'!P:P&gt;1)})&gt;1))),""""),"""")"),"")</f>
        <v/>
      </c>
      <c r="K725" s="358"/>
    </row>
    <row r="726">
      <c r="A726" s="300" t="s">
        <v>22</v>
      </c>
      <c r="C726" s="300" t="s">
        <v>22</v>
      </c>
      <c r="D726" s="300" t="s">
        <v>22</v>
      </c>
      <c r="F726" s="300" t="s">
        <v>22</v>
      </c>
      <c r="G726" s="300" t="s">
        <v>22</v>
      </c>
      <c r="I726" s="356" t="str">
        <f>IFERROR(__xludf.DUMMYFUNCTION("if(H726=""Must be Together"",iferror(join("", "",unique(filter({filter('Students (Vertical)'!O:O,'Students (Vertical)'!C:C=B726,'Students (Vertical)'!O:O&lt;&gt;"""");filter('Students (Vertical)'!O:O,'Students (Vertical)'!C:C=E726,'Students (Vertical)'!O:O&lt;&gt;"""&amp;""")},countifs({filter('Students (Vertical)'!O:O,'Students (Vertical)'!C:C=B726,'Students (Vertical)'!O:O&lt;&gt;"""");filter('Students (Vertical)'!O:O,'Students (Vertical)'!C:C=E726,'Students (Vertical)'!O:O&lt;&gt;"""")},{filter('Students (Vertical)'!O:O,'Students ("&amp;"Vertical)'!C:C=B726,'Students (Vertical)'!O:O&lt;&gt;"""");filter('Students (Vertical)'!O:O,'Students (Vertical)'!C:C=E726,'Students (Vertical)'!O:O&lt;&gt;"""")})&gt;1))),""No shared courses""),"""")"),"")</f>
        <v/>
      </c>
      <c r="J726" s="357" t="str">
        <f>IFERROR(__xludf.DUMMYFUNCTION("if(H726=""Can't be Together"",iferror(join("", "",unique(filter({filter('Students (Vertical)'!O:O,'Students (Vertical)'!C:C=B726,'Students (Vertical)'!O:O&lt;&gt;"""",'Students (Vertical)'!P:P&gt;1);filter('Students (Vertical)'!O:O,'Students (Vertical)'!C:C=E726,'"&amp;"Students (Vertical)'!O:O&lt;&gt;"""",'Students (Vertical)'!P:P&gt;1)},countifs({filter('Students (Vertical)'!O:O,'Students (Vertical)'!C:C=B726,'Students (Vertical)'!O:O&lt;&gt;"""",'Students (Vertical)'!P:P&gt;1);filter('Students (Vertical)'!O:O,'Students (Vertical)'!C:C="&amp;"E726,'Students (Vertical)'!O:O&lt;&gt;"""",'Students (Vertical)'!P:P&gt;1)},{filter('Students (Vertical)'!O:O,'Students (Vertical)'!C:C=B726,'Students (Vertical)'!O:O&lt;&gt;"""",'Students (Vertical)'!P:P&gt;1);filter('Students (Vertical)'!O:O,'Students (Vertical)'!C:C=E72"&amp;"6,'Students (Vertical)'!O:O&lt;&gt;"""",'Students (Vertical)'!P:P&gt;1)})&gt;1))),""""),"""")"),"")</f>
        <v/>
      </c>
      <c r="K726" s="358"/>
    </row>
    <row r="727">
      <c r="A727" s="300" t="s">
        <v>22</v>
      </c>
      <c r="C727" s="300" t="s">
        <v>22</v>
      </c>
      <c r="D727" s="300" t="s">
        <v>22</v>
      </c>
      <c r="F727" s="300" t="s">
        <v>22</v>
      </c>
      <c r="G727" s="300" t="s">
        <v>22</v>
      </c>
      <c r="I727" s="356" t="str">
        <f>IFERROR(__xludf.DUMMYFUNCTION("if(H727=""Must be Together"",iferror(join("", "",unique(filter({filter('Students (Vertical)'!O:O,'Students (Vertical)'!C:C=B727,'Students (Vertical)'!O:O&lt;&gt;"""");filter('Students (Vertical)'!O:O,'Students (Vertical)'!C:C=E727,'Students (Vertical)'!O:O&lt;&gt;"""&amp;""")},countifs({filter('Students (Vertical)'!O:O,'Students (Vertical)'!C:C=B727,'Students (Vertical)'!O:O&lt;&gt;"""");filter('Students (Vertical)'!O:O,'Students (Vertical)'!C:C=E727,'Students (Vertical)'!O:O&lt;&gt;"""")},{filter('Students (Vertical)'!O:O,'Students ("&amp;"Vertical)'!C:C=B727,'Students (Vertical)'!O:O&lt;&gt;"""");filter('Students (Vertical)'!O:O,'Students (Vertical)'!C:C=E727,'Students (Vertical)'!O:O&lt;&gt;"""")})&gt;1))),""No shared courses""),"""")"),"")</f>
        <v/>
      </c>
      <c r="J727" s="357" t="str">
        <f>IFERROR(__xludf.DUMMYFUNCTION("if(H727=""Can't be Together"",iferror(join("", "",unique(filter({filter('Students (Vertical)'!O:O,'Students (Vertical)'!C:C=B727,'Students (Vertical)'!O:O&lt;&gt;"""",'Students (Vertical)'!P:P&gt;1);filter('Students (Vertical)'!O:O,'Students (Vertical)'!C:C=E727,'"&amp;"Students (Vertical)'!O:O&lt;&gt;"""",'Students (Vertical)'!P:P&gt;1)},countifs({filter('Students (Vertical)'!O:O,'Students (Vertical)'!C:C=B727,'Students (Vertical)'!O:O&lt;&gt;"""",'Students (Vertical)'!P:P&gt;1);filter('Students (Vertical)'!O:O,'Students (Vertical)'!C:C="&amp;"E727,'Students (Vertical)'!O:O&lt;&gt;"""",'Students (Vertical)'!P:P&gt;1)},{filter('Students (Vertical)'!O:O,'Students (Vertical)'!C:C=B727,'Students (Vertical)'!O:O&lt;&gt;"""",'Students (Vertical)'!P:P&gt;1);filter('Students (Vertical)'!O:O,'Students (Vertical)'!C:C=E72"&amp;"7,'Students (Vertical)'!O:O&lt;&gt;"""",'Students (Vertical)'!P:P&gt;1)})&gt;1))),""""),"""")"),"")</f>
        <v/>
      </c>
      <c r="K727" s="358"/>
    </row>
    <row r="728">
      <c r="A728" s="300" t="s">
        <v>22</v>
      </c>
      <c r="C728" s="300" t="s">
        <v>22</v>
      </c>
      <c r="D728" s="300" t="s">
        <v>22</v>
      </c>
      <c r="F728" s="300" t="s">
        <v>22</v>
      </c>
      <c r="G728" s="300" t="s">
        <v>22</v>
      </c>
      <c r="I728" s="356" t="str">
        <f>IFERROR(__xludf.DUMMYFUNCTION("if(H728=""Must be Together"",iferror(join("", "",unique(filter({filter('Students (Vertical)'!O:O,'Students (Vertical)'!C:C=B728,'Students (Vertical)'!O:O&lt;&gt;"""");filter('Students (Vertical)'!O:O,'Students (Vertical)'!C:C=E728,'Students (Vertical)'!O:O&lt;&gt;"""&amp;""")},countifs({filter('Students (Vertical)'!O:O,'Students (Vertical)'!C:C=B728,'Students (Vertical)'!O:O&lt;&gt;"""");filter('Students (Vertical)'!O:O,'Students (Vertical)'!C:C=E728,'Students (Vertical)'!O:O&lt;&gt;"""")},{filter('Students (Vertical)'!O:O,'Students ("&amp;"Vertical)'!C:C=B728,'Students (Vertical)'!O:O&lt;&gt;"""");filter('Students (Vertical)'!O:O,'Students (Vertical)'!C:C=E728,'Students (Vertical)'!O:O&lt;&gt;"""")})&gt;1))),""No shared courses""),"""")"),"")</f>
        <v/>
      </c>
      <c r="J728" s="357" t="str">
        <f>IFERROR(__xludf.DUMMYFUNCTION("if(H728=""Can't be Together"",iferror(join("", "",unique(filter({filter('Students (Vertical)'!O:O,'Students (Vertical)'!C:C=B728,'Students (Vertical)'!O:O&lt;&gt;"""",'Students (Vertical)'!P:P&gt;1);filter('Students (Vertical)'!O:O,'Students (Vertical)'!C:C=E728,'"&amp;"Students (Vertical)'!O:O&lt;&gt;"""",'Students (Vertical)'!P:P&gt;1)},countifs({filter('Students (Vertical)'!O:O,'Students (Vertical)'!C:C=B728,'Students (Vertical)'!O:O&lt;&gt;"""",'Students (Vertical)'!P:P&gt;1);filter('Students (Vertical)'!O:O,'Students (Vertical)'!C:C="&amp;"E728,'Students (Vertical)'!O:O&lt;&gt;"""",'Students (Vertical)'!P:P&gt;1)},{filter('Students (Vertical)'!O:O,'Students (Vertical)'!C:C=B728,'Students (Vertical)'!O:O&lt;&gt;"""",'Students (Vertical)'!P:P&gt;1);filter('Students (Vertical)'!O:O,'Students (Vertical)'!C:C=E72"&amp;"8,'Students (Vertical)'!O:O&lt;&gt;"""",'Students (Vertical)'!P:P&gt;1)})&gt;1))),""""),"""")"),"")</f>
        <v/>
      </c>
      <c r="K728" s="358"/>
    </row>
    <row r="729">
      <c r="A729" s="300" t="s">
        <v>22</v>
      </c>
      <c r="C729" s="300" t="s">
        <v>22</v>
      </c>
      <c r="D729" s="300" t="s">
        <v>22</v>
      </c>
      <c r="F729" s="300" t="s">
        <v>22</v>
      </c>
      <c r="G729" s="300" t="s">
        <v>22</v>
      </c>
      <c r="I729" s="356" t="str">
        <f>IFERROR(__xludf.DUMMYFUNCTION("if(H729=""Must be Together"",iferror(join("", "",unique(filter({filter('Students (Vertical)'!O:O,'Students (Vertical)'!C:C=B729,'Students (Vertical)'!O:O&lt;&gt;"""");filter('Students (Vertical)'!O:O,'Students (Vertical)'!C:C=E729,'Students (Vertical)'!O:O&lt;&gt;"""&amp;""")},countifs({filter('Students (Vertical)'!O:O,'Students (Vertical)'!C:C=B729,'Students (Vertical)'!O:O&lt;&gt;"""");filter('Students (Vertical)'!O:O,'Students (Vertical)'!C:C=E729,'Students (Vertical)'!O:O&lt;&gt;"""")},{filter('Students (Vertical)'!O:O,'Students ("&amp;"Vertical)'!C:C=B729,'Students (Vertical)'!O:O&lt;&gt;"""");filter('Students (Vertical)'!O:O,'Students (Vertical)'!C:C=E729,'Students (Vertical)'!O:O&lt;&gt;"""")})&gt;1))),""No shared courses""),"""")"),"")</f>
        <v/>
      </c>
      <c r="J729" s="357" t="str">
        <f>IFERROR(__xludf.DUMMYFUNCTION("if(H729=""Can't be Together"",iferror(join("", "",unique(filter({filter('Students (Vertical)'!O:O,'Students (Vertical)'!C:C=B729,'Students (Vertical)'!O:O&lt;&gt;"""",'Students (Vertical)'!P:P&gt;1);filter('Students (Vertical)'!O:O,'Students (Vertical)'!C:C=E729,'"&amp;"Students (Vertical)'!O:O&lt;&gt;"""",'Students (Vertical)'!P:P&gt;1)},countifs({filter('Students (Vertical)'!O:O,'Students (Vertical)'!C:C=B729,'Students (Vertical)'!O:O&lt;&gt;"""",'Students (Vertical)'!P:P&gt;1);filter('Students (Vertical)'!O:O,'Students (Vertical)'!C:C="&amp;"E729,'Students (Vertical)'!O:O&lt;&gt;"""",'Students (Vertical)'!P:P&gt;1)},{filter('Students (Vertical)'!O:O,'Students (Vertical)'!C:C=B729,'Students (Vertical)'!O:O&lt;&gt;"""",'Students (Vertical)'!P:P&gt;1);filter('Students (Vertical)'!O:O,'Students (Vertical)'!C:C=E72"&amp;"9,'Students (Vertical)'!O:O&lt;&gt;"""",'Students (Vertical)'!P:P&gt;1)})&gt;1))),""""),"""")"),"")</f>
        <v/>
      </c>
      <c r="K729" s="358"/>
    </row>
    <row r="730">
      <c r="A730" s="300" t="s">
        <v>22</v>
      </c>
      <c r="C730" s="300" t="s">
        <v>22</v>
      </c>
      <c r="D730" s="300" t="s">
        <v>22</v>
      </c>
      <c r="F730" s="300" t="s">
        <v>22</v>
      </c>
      <c r="G730" s="300" t="s">
        <v>22</v>
      </c>
      <c r="I730" s="356" t="str">
        <f>IFERROR(__xludf.DUMMYFUNCTION("if(H730=""Must be Together"",iferror(join("", "",unique(filter({filter('Students (Vertical)'!O:O,'Students (Vertical)'!C:C=B730,'Students (Vertical)'!O:O&lt;&gt;"""");filter('Students (Vertical)'!O:O,'Students (Vertical)'!C:C=E730,'Students (Vertical)'!O:O&lt;&gt;"""&amp;""")},countifs({filter('Students (Vertical)'!O:O,'Students (Vertical)'!C:C=B730,'Students (Vertical)'!O:O&lt;&gt;"""");filter('Students (Vertical)'!O:O,'Students (Vertical)'!C:C=E730,'Students (Vertical)'!O:O&lt;&gt;"""")},{filter('Students (Vertical)'!O:O,'Students ("&amp;"Vertical)'!C:C=B730,'Students (Vertical)'!O:O&lt;&gt;"""");filter('Students (Vertical)'!O:O,'Students (Vertical)'!C:C=E730,'Students (Vertical)'!O:O&lt;&gt;"""")})&gt;1))),""No shared courses""),"""")"),"")</f>
        <v/>
      </c>
      <c r="J730" s="357" t="str">
        <f>IFERROR(__xludf.DUMMYFUNCTION("if(H730=""Can't be Together"",iferror(join("", "",unique(filter({filter('Students (Vertical)'!O:O,'Students (Vertical)'!C:C=B730,'Students (Vertical)'!O:O&lt;&gt;"""",'Students (Vertical)'!P:P&gt;1);filter('Students (Vertical)'!O:O,'Students (Vertical)'!C:C=E730,'"&amp;"Students (Vertical)'!O:O&lt;&gt;"""",'Students (Vertical)'!P:P&gt;1)},countifs({filter('Students (Vertical)'!O:O,'Students (Vertical)'!C:C=B730,'Students (Vertical)'!O:O&lt;&gt;"""",'Students (Vertical)'!P:P&gt;1);filter('Students (Vertical)'!O:O,'Students (Vertical)'!C:C="&amp;"E730,'Students (Vertical)'!O:O&lt;&gt;"""",'Students (Vertical)'!P:P&gt;1)},{filter('Students (Vertical)'!O:O,'Students (Vertical)'!C:C=B730,'Students (Vertical)'!O:O&lt;&gt;"""",'Students (Vertical)'!P:P&gt;1);filter('Students (Vertical)'!O:O,'Students (Vertical)'!C:C=E73"&amp;"0,'Students (Vertical)'!O:O&lt;&gt;"""",'Students (Vertical)'!P:P&gt;1)})&gt;1))),""""),"""")"),"")</f>
        <v/>
      </c>
      <c r="K730" s="358"/>
    </row>
    <row r="731">
      <c r="A731" s="300" t="s">
        <v>22</v>
      </c>
      <c r="C731" s="300" t="s">
        <v>22</v>
      </c>
      <c r="D731" s="300" t="s">
        <v>22</v>
      </c>
      <c r="F731" s="300" t="s">
        <v>22</v>
      </c>
      <c r="G731" s="300" t="s">
        <v>22</v>
      </c>
      <c r="I731" s="356" t="str">
        <f>IFERROR(__xludf.DUMMYFUNCTION("if(H731=""Must be Together"",iferror(join("", "",unique(filter({filter('Students (Vertical)'!O:O,'Students (Vertical)'!C:C=B731,'Students (Vertical)'!O:O&lt;&gt;"""");filter('Students (Vertical)'!O:O,'Students (Vertical)'!C:C=E731,'Students (Vertical)'!O:O&lt;&gt;"""&amp;""")},countifs({filter('Students (Vertical)'!O:O,'Students (Vertical)'!C:C=B731,'Students (Vertical)'!O:O&lt;&gt;"""");filter('Students (Vertical)'!O:O,'Students (Vertical)'!C:C=E731,'Students (Vertical)'!O:O&lt;&gt;"""")},{filter('Students (Vertical)'!O:O,'Students ("&amp;"Vertical)'!C:C=B731,'Students (Vertical)'!O:O&lt;&gt;"""");filter('Students (Vertical)'!O:O,'Students (Vertical)'!C:C=E731,'Students (Vertical)'!O:O&lt;&gt;"""")})&gt;1))),""No shared courses""),"""")"),"")</f>
        <v/>
      </c>
      <c r="J731" s="357" t="str">
        <f>IFERROR(__xludf.DUMMYFUNCTION("if(H731=""Can't be Together"",iferror(join("", "",unique(filter({filter('Students (Vertical)'!O:O,'Students (Vertical)'!C:C=B731,'Students (Vertical)'!O:O&lt;&gt;"""",'Students (Vertical)'!P:P&gt;1);filter('Students (Vertical)'!O:O,'Students (Vertical)'!C:C=E731,'"&amp;"Students (Vertical)'!O:O&lt;&gt;"""",'Students (Vertical)'!P:P&gt;1)},countifs({filter('Students (Vertical)'!O:O,'Students (Vertical)'!C:C=B731,'Students (Vertical)'!O:O&lt;&gt;"""",'Students (Vertical)'!P:P&gt;1);filter('Students (Vertical)'!O:O,'Students (Vertical)'!C:C="&amp;"E731,'Students (Vertical)'!O:O&lt;&gt;"""",'Students (Vertical)'!P:P&gt;1)},{filter('Students (Vertical)'!O:O,'Students (Vertical)'!C:C=B731,'Students (Vertical)'!O:O&lt;&gt;"""",'Students (Vertical)'!P:P&gt;1);filter('Students (Vertical)'!O:O,'Students (Vertical)'!C:C=E73"&amp;"1,'Students (Vertical)'!O:O&lt;&gt;"""",'Students (Vertical)'!P:P&gt;1)})&gt;1))),""""),"""")"),"")</f>
        <v/>
      </c>
      <c r="K731" s="358"/>
    </row>
    <row r="732">
      <c r="A732" s="300" t="s">
        <v>22</v>
      </c>
      <c r="C732" s="300" t="s">
        <v>22</v>
      </c>
      <c r="D732" s="300" t="s">
        <v>22</v>
      </c>
      <c r="F732" s="300" t="s">
        <v>22</v>
      </c>
      <c r="G732" s="300" t="s">
        <v>22</v>
      </c>
      <c r="I732" s="356" t="str">
        <f>IFERROR(__xludf.DUMMYFUNCTION("if(H732=""Must be Together"",iferror(join("", "",unique(filter({filter('Students (Vertical)'!O:O,'Students (Vertical)'!C:C=B732,'Students (Vertical)'!O:O&lt;&gt;"""");filter('Students (Vertical)'!O:O,'Students (Vertical)'!C:C=E732,'Students (Vertical)'!O:O&lt;&gt;"""&amp;""")},countifs({filter('Students (Vertical)'!O:O,'Students (Vertical)'!C:C=B732,'Students (Vertical)'!O:O&lt;&gt;"""");filter('Students (Vertical)'!O:O,'Students (Vertical)'!C:C=E732,'Students (Vertical)'!O:O&lt;&gt;"""")},{filter('Students (Vertical)'!O:O,'Students ("&amp;"Vertical)'!C:C=B732,'Students (Vertical)'!O:O&lt;&gt;"""");filter('Students (Vertical)'!O:O,'Students (Vertical)'!C:C=E732,'Students (Vertical)'!O:O&lt;&gt;"""")})&gt;1))),""No shared courses""),"""")"),"")</f>
        <v/>
      </c>
      <c r="J732" s="357" t="str">
        <f>IFERROR(__xludf.DUMMYFUNCTION("if(H732=""Can't be Together"",iferror(join("", "",unique(filter({filter('Students (Vertical)'!O:O,'Students (Vertical)'!C:C=B732,'Students (Vertical)'!O:O&lt;&gt;"""",'Students (Vertical)'!P:P&gt;1);filter('Students (Vertical)'!O:O,'Students (Vertical)'!C:C=E732,'"&amp;"Students (Vertical)'!O:O&lt;&gt;"""",'Students (Vertical)'!P:P&gt;1)},countifs({filter('Students (Vertical)'!O:O,'Students (Vertical)'!C:C=B732,'Students (Vertical)'!O:O&lt;&gt;"""",'Students (Vertical)'!P:P&gt;1);filter('Students (Vertical)'!O:O,'Students (Vertical)'!C:C="&amp;"E732,'Students (Vertical)'!O:O&lt;&gt;"""",'Students (Vertical)'!P:P&gt;1)},{filter('Students (Vertical)'!O:O,'Students (Vertical)'!C:C=B732,'Students (Vertical)'!O:O&lt;&gt;"""",'Students (Vertical)'!P:P&gt;1);filter('Students (Vertical)'!O:O,'Students (Vertical)'!C:C=E73"&amp;"2,'Students (Vertical)'!O:O&lt;&gt;"""",'Students (Vertical)'!P:P&gt;1)})&gt;1))),""""),"""")"),"")</f>
        <v/>
      </c>
      <c r="K732" s="358"/>
    </row>
    <row r="733">
      <c r="A733" s="300" t="s">
        <v>22</v>
      </c>
      <c r="C733" s="300" t="s">
        <v>22</v>
      </c>
      <c r="D733" s="300" t="s">
        <v>22</v>
      </c>
      <c r="F733" s="300" t="s">
        <v>22</v>
      </c>
      <c r="G733" s="300" t="s">
        <v>22</v>
      </c>
      <c r="I733" s="356" t="str">
        <f>IFERROR(__xludf.DUMMYFUNCTION("if(H733=""Must be Together"",iferror(join("", "",unique(filter({filter('Students (Vertical)'!O:O,'Students (Vertical)'!C:C=B733,'Students (Vertical)'!O:O&lt;&gt;"""");filter('Students (Vertical)'!O:O,'Students (Vertical)'!C:C=E733,'Students (Vertical)'!O:O&lt;&gt;"""&amp;""")},countifs({filter('Students (Vertical)'!O:O,'Students (Vertical)'!C:C=B733,'Students (Vertical)'!O:O&lt;&gt;"""");filter('Students (Vertical)'!O:O,'Students (Vertical)'!C:C=E733,'Students (Vertical)'!O:O&lt;&gt;"""")},{filter('Students (Vertical)'!O:O,'Students ("&amp;"Vertical)'!C:C=B733,'Students (Vertical)'!O:O&lt;&gt;"""");filter('Students (Vertical)'!O:O,'Students (Vertical)'!C:C=E733,'Students (Vertical)'!O:O&lt;&gt;"""")})&gt;1))),""No shared courses""),"""")"),"")</f>
        <v/>
      </c>
      <c r="J733" s="357" t="str">
        <f>IFERROR(__xludf.DUMMYFUNCTION("if(H733=""Can't be Together"",iferror(join("", "",unique(filter({filter('Students (Vertical)'!O:O,'Students (Vertical)'!C:C=B733,'Students (Vertical)'!O:O&lt;&gt;"""",'Students (Vertical)'!P:P&gt;1);filter('Students (Vertical)'!O:O,'Students (Vertical)'!C:C=E733,'"&amp;"Students (Vertical)'!O:O&lt;&gt;"""",'Students (Vertical)'!P:P&gt;1)},countifs({filter('Students (Vertical)'!O:O,'Students (Vertical)'!C:C=B733,'Students (Vertical)'!O:O&lt;&gt;"""",'Students (Vertical)'!P:P&gt;1);filter('Students (Vertical)'!O:O,'Students (Vertical)'!C:C="&amp;"E733,'Students (Vertical)'!O:O&lt;&gt;"""",'Students (Vertical)'!P:P&gt;1)},{filter('Students (Vertical)'!O:O,'Students (Vertical)'!C:C=B733,'Students (Vertical)'!O:O&lt;&gt;"""",'Students (Vertical)'!P:P&gt;1);filter('Students (Vertical)'!O:O,'Students (Vertical)'!C:C=E73"&amp;"3,'Students (Vertical)'!O:O&lt;&gt;"""",'Students (Vertical)'!P:P&gt;1)})&gt;1))),""""),"""")"),"")</f>
        <v/>
      </c>
      <c r="K733" s="358"/>
    </row>
    <row r="734">
      <c r="A734" s="300" t="s">
        <v>22</v>
      </c>
      <c r="C734" s="300" t="s">
        <v>22</v>
      </c>
      <c r="D734" s="300" t="s">
        <v>22</v>
      </c>
      <c r="F734" s="300" t="s">
        <v>22</v>
      </c>
      <c r="G734" s="300" t="s">
        <v>22</v>
      </c>
      <c r="I734" s="356" t="str">
        <f>IFERROR(__xludf.DUMMYFUNCTION("if(H734=""Must be Together"",iferror(join("", "",unique(filter({filter('Students (Vertical)'!O:O,'Students (Vertical)'!C:C=B734,'Students (Vertical)'!O:O&lt;&gt;"""");filter('Students (Vertical)'!O:O,'Students (Vertical)'!C:C=E734,'Students (Vertical)'!O:O&lt;&gt;"""&amp;""")},countifs({filter('Students (Vertical)'!O:O,'Students (Vertical)'!C:C=B734,'Students (Vertical)'!O:O&lt;&gt;"""");filter('Students (Vertical)'!O:O,'Students (Vertical)'!C:C=E734,'Students (Vertical)'!O:O&lt;&gt;"""")},{filter('Students (Vertical)'!O:O,'Students ("&amp;"Vertical)'!C:C=B734,'Students (Vertical)'!O:O&lt;&gt;"""");filter('Students (Vertical)'!O:O,'Students (Vertical)'!C:C=E734,'Students (Vertical)'!O:O&lt;&gt;"""")})&gt;1))),""No shared courses""),"""")"),"")</f>
        <v/>
      </c>
      <c r="J734" s="357" t="str">
        <f>IFERROR(__xludf.DUMMYFUNCTION("if(H734=""Can't be Together"",iferror(join("", "",unique(filter({filter('Students (Vertical)'!O:O,'Students (Vertical)'!C:C=B734,'Students (Vertical)'!O:O&lt;&gt;"""",'Students (Vertical)'!P:P&gt;1);filter('Students (Vertical)'!O:O,'Students (Vertical)'!C:C=E734,'"&amp;"Students (Vertical)'!O:O&lt;&gt;"""",'Students (Vertical)'!P:P&gt;1)},countifs({filter('Students (Vertical)'!O:O,'Students (Vertical)'!C:C=B734,'Students (Vertical)'!O:O&lt;&gt;"""",'Students (Vertical)'!P:P&gt;1);filter('Students (Vertical)'!O:O,'Students (Vertical)'!C:C="&amp;"E734,'Students (Vertical)'!O:O&lt;&gt;"""",'Students (Vertical)'!P:P&gt;1)},{filter('Students (Vertical)'!O:O,'Students (Vertical)'!C:C=B734,'Students (Vertical)'!O:O&lt;&gt;"""",'Students (Vertical)'!P:P&gt;1);filter('Students (Vertical)'!O:O,'Students (Vertical)'!C:C=E73"&amp;"4,'Students (Vertical)'!O:O&lt;&gt;"""",'Students (Vertical)'!P:P&gt;1)})&gt;1))),""""),"""")"),"")</f>
        <v/>
      </c>
      <c r="K734" s="358"/>
    </row>
    <row r="735">
      <c r="A735" s="300" t="s">
        <v>22</v>
      </c>
      <c r="C735" s="300" t="s">
        <v>22</v>
      </c>
      <c r="D735" s="300" t="s">
        <v>22</v>
      </c>
      <c r="F735" s="300" t="s">
        <v>22</v>
      </c>
      <c r="G735" s="300" t="s">
        <v>22</v>
      </c>
      <c r="I735" s="356" t="str">
        <f>IFERROR(__xludf.DUMMYFUNCTION("if(H735=""Must be Together"",iferror(join("", "",unique(filter({filter('Students (Vertical)'!O:O,'Students (Vertical)'!C:C=B735,'Students (Vertical)'!O:O&lt;&gt;"""");filter('Students (Vertical)'!O:O,'Students (Vertical)'!C:C=E735,'Students (Vertical)'!O:O&lt;&gt;"""&amp;""")},countifs({filter('Students (Vertical)'!O:O,'Students (Vertical)'!C:C=B735,'Students (Vertical)'!O:O&lt;&gt;"""");filter('Students (Vertical)'!O:O,'Students (Vertical)'!C:C=E735,'Students (Vertical)'!O:O&lt;&gt;"""")},{filter('Students (Vertical)'!O:O,'Students ("&amp;"Vertical)'!C:C=B735,'Students (Vertical)'!O:O&lt;&gt;"""");filter('Students (Vertical)'!O:O,'Students (Vertical)'!C:C=E735,'Students (Vertical)'!O:O&lt;&gt;"""")})&gt;1))),""No shared courses""),"""")"),"")</f>
        <v/>
      </c>
      <c r="J735" s="357" t="str">
        <f>IFERROR(__xludf.DUMMYFUNCTION("if(H735=""Can't be Together"",iferror(join("", "",unique(filter({filter('Students (Vertical)'!O:O,'Students (Vertical)'!C:C=B735,'Students (Vertical)'!O:O&lt;&gt;"""",'Students (Vertical)'!P:P&gt;1);filter('Students (Vertical)'!O:O,'Students (Vertical)'!C:C=E735,'"&amp;"Students (Vertical)'!O:O&lt;&gt;"""",'Students (Vertical)'!P:P&gt;1)},countifs({filter('Students (Vertical)'!O:O,'Students (Vertical)'!C:C=B735,'Students (Vertical)'!O:O&lt;&gt;"""",'Students (Vertical)'!P:P&gt;1);filter('Students (Vertical)'!O:O,'Students (Vertical)'!C:C="&amp;"E735,'Students (Vertical)'!O:O&lt;&gt;"""",'Students (Vertical)'!P:P&gt;1)},{filter('Students (Vertical)'!O:O,'Students (Vertical)'!C:C=B735,'Students (Vertical)'!O:O&lt;&gt;"""",'Students (Vertical)'!P:P&gt;1);filter('Students (Vertical)'!O:O,'Students (Vertical)'!C:C=E73"&amp;"5,'Students (Vertical)'!O:O&lt;&gt;"""",'Students (Vertical)'!P:P&gt;1)})&gt;1))),""""),"""")"),"")</f>
        <v/>
      </c>
      <c r="K735" s="358"/>
    </row>
    <row r="736">
      <c r="A736" s="300" t="s">
        <v>22</v>
      </c>
      <c r="C736" s="300" t="s">
        <v>22</v>
      </c>
      <c r="D736" s="300" t="s">
        <v>22</v>
      </c>
      <c r="F736" s="300" t="s">
        <v>22</v>
      </c>
      <c r="G736" s="300" t="s">
        <v>22</v>
      </c>
      <c r="I736" s="356" t="str">
        <f>IFERROR(__xludf.DUMMYFUNCTION("if(H736=""Must be Together"",iferror(join("", "",unique(filter({filter('Students (Vertical)'!O:O,'Students (Vertical)'!C:C=B736,'Students (Vertical)'!O:O&lt;&gt;"""");filter('Students (Vertical)'!O:O,'Students (Vertical)'!C:C=E736,'Students (Vertical)'!O:O&lt;&gt;"""&amp;""")},countifs({filter('Students (Vertical)'!O:O,'Students (Vertical)'!C:C=B736,'Students (Vertical)'!O:O&lt;&gt;"""");filter('Students (Vertical)'!O:O,'Students (Vertical)'!C:C=E736,'Students (Vertical)'!O:O&lt;&gt;"""")},{filter('Students (Vertical)'!O:O,'Students ("&amp;"Vertical)'!C:C=B736,'Students (Vertical)'!O:O&lt;&gt;"""");filter('Students (Vertical)'!O:O,'Students (Vertical)'!C:C=E736,'Students (Vertical)'!O:O&lt;&gt;"""")})&gt;1))),""No shared courses""),"""")"),"")</f>
        <v/>
      </c>
      <c r="J736" s="357" t="str">
        <f>IFERROR(__xludf.DUMMYFUNCTION("if(H736=""Can't be Together"",iferror(join("", "",unique(filter({filter('Students (Vertical)'!O:O,'Students (Vertical)'!C:C=B736,'Students (Vertical)'!O:O&lt;&gt;"""",'Students (Vertical)'!P:P&gt;1);filter('Students (Vertical)'!O:O,'Students (Vertical)'!C:C=E736,'"&amp;"Students (Vertical)'!O:O&lt;&gt;"""",'Students (Vertical)'!P:P&gt;1)},countifs({filter('Students (Vertical)'!O:O,'Students (Vertical)'!C:C=B736,'Students (Vertical)'!O:O&lt;&gt;"""",'Students (Vertical)'!P:P&gt;1);filter('Students (Vertical)'!O:O,'Students (Vertical)'!C:C="&amp;"E736,'Students (Vertical)'!O:O&lt;&gt;"""",'Students (Vertical)'!P:P&gt;1)},{filter('Students (Vertical)'!O:O,'Students (Vertical)'!C:C=B736,'Students (Vertical)'!O:O&lt;&gt;"""",'Students (Vertical)'!P:P&gt;1);filter('Students (Vertical)'!O:O,'Students (Vertical)'!C:C=E73"&amp;"6,'Students (Vertical)'!O:O&lt;&gt;"""",'Students (Vertical)'!P:P&gt;1)})&gt;1))),""""),"""")"),"")</f>
        <v/>
      </c>
      <c r="K736" s="358"/>
    </row>
    <row r="737">
      <c r="A737" s="300" t="s">
        <v>22</v>
      </c>
      <c r="C737" s="300" t="s">
        <v>22</v>
      </c>
      <c r="D737" s="300" t="s">
        <v>22</v>
      </c>
      <c r="F737" s="300" t="s">
        <v>22</v>
      </c>
      <c r="G737" s="300" t="s">
        <v>22</v>
      </c>
      <c r="I737" s="356" t="str">
        <f>IFERROR(__xludf.DUMMYFUNCTION("if(H737=""Must be Together"",iferror(join("", "",unique(filter({filter('Students (Vertical)'!O:O,'Students (Vertical)'!C:C=B737,'Students (Vertical)'!O:O&lt;&gt;"""");filter('Students (Vertical)'!O:O,'Students (Vertical)'!C:C=E737,'Students (Vertical)'!O:O&lt;&gt;"""&amp;""")},countifs({filter('Students (Vertical)'!O:O,'Students (Vertical)'!C:C=B737,'Students (Vertical)'!O:O&lt;&gt;"""");filter('Students (Vertical)'!O:O,'Students (Vertical)'!C:C=E737,'Students (Vertical)'!O:O&lt;&gt;"""")},{filter('Students (Vertical)'!O:O,'Students ("&amp;"Vertical)'!C:C=B737,'Students (Vertical)'!O:O&lt;&gt;"""");filter('Students (Vertical)'!O:O,'Students (Vertical)'!C:C=E737,'Students (Vertical)'!O:O&lt;&gt;"""")})&gt;1))),""No shared courses""),"""")"),"")</f>
        <v/>
      </c>
      <c r="J737" s="357" t="str">
        <f>IFERROR(__xludf.DUMMYFUNCTION("if(H737=""Can't be Together"",iferror(join("", "",unique(filter({filter('Students (Vertical)'!O:O,'Students (Vertical)'!C:C=B737,'Students (Vertical)'!O:O&lt;&gt;"""",'Students (Vertical)'!P:P&gt;1);filter('Students (Vertical)'!O:O,'Students (Vertical)'!C:C=E737,'"&amp;"Students (Vertical)'!O:O&lt;&gt;"""",'Students (Vertical)'!P:P&gt;1)},countifs({filter('Students (Vertical)'!O:O,'Students (Vertical)'!C:C=B737,'Students (Vertical)'!O:O&lt;&gt;"""",'Students (Vertical)'!P:P&gt;1);filter('Students (Vertical)'!O:O,'Students (Vertical)'!C:C="&amp;"E737,'Students (Vertical)'!O:O&lt;&gt;"""",'Students (Vertical)'!P:P&gt;1)},{filter('Students (Vertical)'!O:O,'Students (Vertical)'!C:C=B737,'Students (Vertical)'!O:O&lt;&gt;"""",'Students (Vertical)'!P:P&gt;1);filter('Students (Vertical)'!O:O,'Students (Vertical)'!C:C=E73"&amp;"7,'Students (Vertical)'!O:O&lt;&gt;"""",'Students (Vertical)'!P:P&gt;1)})&gt;1))),""""),"""")"),"")</f>
        <v/>
      </c>
      <c r="K737" s="358"/>
    </row>
    <row r="738">
      <c r="A738" s="300" t="s">
        <v>22</v>
      </c>
      <c r="C738" s="300" t="s">
        <v>22</v>
      </c>
      <c r="D738" s="300" t="s">
        <v>22</v>
      </c>
      <c r="F738" s="300" t="s">
        <v>22</v>
      </c>
      <c r="G738" s="300" t="s">
        <v>22</v>
      </c>
      <c r="I738" s="356" t="str">
        <f>IFERROR(__xludf.DUMMYFUNCTION("if(H738=""Must be Together"",iferror(join("", "",unique(filter({filter('Students (Vertical)'!O:O,'Students (Vertical)'!C:C=B738,'Students (Vertical)'!O:O&lt;&gt;"""");filter('Students (Vertical)'!O:O,'Students (Vertical)'!C:C=E738,'Students (Vertical)'!O:O&lt;&gt;"""&amp;""")},countifs({filter('Students (Vertical)'!O:O,'Students (Vertical)'!C:C=B738,'Students (Vertical)'!O:O&lt;&gt;"""");filter('Students (Vertical)'!O:O,'Students (Vertical)'!C:C=E738,'Students (Vertical)'!O:O&lt;&gt;"""")},{filter('Students (Vertical)'!O:O,'Students ("&amp;"Vertical)'!C:C=B738,'Students (Vertical)'!O:O&lt;&gt;"""");filter('Students (Vertical)'!O:O,'Students (Vertical)'!C:C=E738,'Students (Vertical)'!O:O&lt;&gt;"""")})&gt;1))),""No shared courses""),"""")"),"")</f>
        <v/>
      </c>
      <c r="J738" s="357" t="str">
        <f>IFERROR(__xludf.DUMMYFUNCTION("if(H738=""Can't be Together"",iferror(join("", "",unique(filter({filter('Students (Vertical)'!O:O,'Students (Vertical)'!C:C=B738,'Students (Vertical)'!O:O&lt;&gt;"""",'Students (Vertical)'!P:P&gt;1);filter('Students (Vertical)'!O:O,'Students (Vertical)'!C:C=E738,'"&amp;"Students (Vertical)'!O:O&lt;&gt;"""",'Students (Vertical)'!P:P&gt;1)},countifs({filter('Students (Vertical)'!O:O,'Students (Vertical)'!C:C=B738,'Students (Vertical)'!O:O&lt;&gt;"""",'Students (Vertical)'!P:P&gt;1);filter('Students (Vertical)'!O:O,'Students (Vertical)'!C:C="&amp;"E738,'Students (Vertical)'!O:O&lt;&gt;"""",'Students (Vertical)'!P:P&gt;1)},{filter('Students (Vertical)'!O:O,'Students (Vertical)'!C:C=B738,'Students (Vertical)'!O:O&lt;&gt;"""",'Students (Vertical)'!P:P&gt;1);filter('Students (Vertical)'!O:O,'Students (Vertical)'!C:C=E73"&amp;"8,'Students (Vertical)'!O:O&lt;&gt;"""",'Students (Vertical)'!P:P&gt;1)})&gt;1))),""""),"""")"),"")</f>
        <v/>
      </c>
      <c r="K738" s="358"/>
    </row>
    <row r="739">
      <c r="A739" s="300" t="s">
        <v>22</v>
      </c>
      <c r="C739" s="300" t="s">
        <v>22</v>
      </c>
      <c r="D739" s="300" t="s">
        <v>22</v>
      </c>
      <c r="F739" s="300" t="s">
        <v>22</v>
      </c>
      <c r="G739" s="300" t="s">
        <v>22</v>
      </c>
      <c r="I739" s="356" t="str">
        <f>IFERROR(__xludf.DUMMYFUNCTION("if(H739=""Must be Together"",iferror(join("", "",unique(filter({filter('Students (Vertical)'!O:O,'Students (Vertical)'!C:C=B739,'Students (Vertical)'!O:O&lt;&gt;"""");filter('Students (Vertical)'!O:O,'Students (Vertical)'!C:C=E739,'Students (Vertical)'!O:O&lt;&gt;"""&amp;""")},countifs({filter('Students (Vertical)'!O:O,'Students (Vertical)'!C:C=B739,'Students (Vertical)'!O:O&lt;&gt;"""");filter('Students (Vertical)'!O:O,'Students (Vertical)'!C:C=E739,'Students (Vertical)'!O:O&lt;&gt;"""")},{filter('Students (Vertical)'!O:O,'Students ("&amp;"Vertical)'!C:C=B739,'Students (Vertical)'!O:O&lt;&gt;"""");filter('Students (Vertical)'!O:O,'Students (Vertical)'!C:C=E739,'Students (Vertical)'!O:O&lt;&gt;"""")})&gt;1))),""No shared courses""),"""")"),"")</f>
        <v/>
      </c>
      <c r="J739" s="357" t="str">
        <f>IFERROR(__xludf.DUMMYFUNCTION("if(H739=""Can't be Together"",iferror(join("", "",unique(filter({filter('Students (Vertical)'!O:O,'Students (Vertical)'!C:C=B739,'Students (Vertical)'!O:O&lt;&gt;"""",'Students (Vertical)'!P:P&gt;1);filter('Students (Vertical)'!O:O,'Students (Vertical)'!C:C=E739,'"&amp;"Students (Vertical)'!O:O&lt;&gt;"""",'Students (Vertical)'!P:P&gt;1)},countifs({filter('Students (Vertical)'!O:O,'Students (Vertical)'!C:C=B739,'Students (Vertical)'!O:O&lt;&gt;"""",'Students (Vertical)'!P:P&gt;1);filter('Students (Vertical)'!O:O,'Students (Vertical)'!C:C="&amp;"E739,'Students (Vertical)'!O:O&lt;&gt;"""",'Students (Vertical)'!P:P&gt;1)},{filter('Students (Vertical)'!O:O,'Students (Vertical)'!C:C=B739,'Students (Vertical)'!O:O&lt;&gt;"""",'Students (Vertical)'!P:P&gt;1);filter('Students (Vertical)'!O:O,'Students (Vertical)'!C:C=E73"&amp;"9,'Students (Vertical)'!O:O&lt;&gt;"""",'Students (Vertical)'!P:P&gt;1)})&gt;1))),""""),"""")"),"")</f>
        <v/>
      </c>
      <c r="K739" s="358"/>
    </row>
    <row r="740">
      <c r="A740" s="300" t="s">
        <v>22</v>
      </c>
      <c r="C740" s="300" t="s">
        <v>22</v>
      </c>
      <c r="D740" s="300" t="s">
        <v>22</v>
      </c>
      <c r="F740" s="300" t="s">
        <v>22</v>
      </c>
      <c r="G740" s="300" t="s">
        <v>22</v>
      </c>
      <c r="I740" s="356" t="str">
        <f>IFERROR(__xludf.DUMMYFUNCTION("if(H740=""Must be Together"",iferror(join("", "",unique(filter({filter('Students (Vertical)'!O:O,'Students (Vertical)'!C:C=B740,'Students (Vertical)'!O:O&lt;&gt;"""");filter('Students (Vertical)'!O:O,'Students (Vertical)'!C:C=E740,'Students (Vertical)'!O:O&lt;&gt;"""&amp;""")},countifs({filter('Students (Vertical)'!O:O,'Students (Vertical)'!C:C=B740,'Students (Vertical)'!O:O&lt;&gt;"""");filter('Students (Vertical)'!O:O,'Students (Vertical)'!C:C=E740,'Students (Vertical)'!O:O&lt;&gt;"""")},{filter('Students (Vertical)'!O:O,'Students ("&amp;"Vertical)'!C:C=B740,'Students (Vertical)'!O:O&lt;&gt;"""");filter('Students (Vertical)'!O:O,'Students (Vertical)'!C:C=E740,'Students (Vertical)'!O:O&lt;&gt;"""")})&gt;1))),""No shared courses""),"""")"),"")</f>
        <v/>
      </c>
      <c r="J740" s="357" t="str">
        <f>IFERROR(__xludf.DUMMYFUNCTION("if(H740=""Can't be Together"",iferror(join("", "",unique(filter({filter('Students (Vertical)'!O:O,'Students (Vertical)'!C:C=B740,'Students (Vertical)'!O:O&lt;&gt;"""",'Students (Vertical)'!P:P&gt;1);filter('Students (Vertical)'!O:O,'Students (Vertical)'!C:C=E740,'"&amp;"Students (Vertical)'!O:O&lt;&gt;"""",'Students (Vertical)'!P:P&gt;1)},countifs({filter('Students (Vertical)'!O:O,'Students (Vertical)'!C:C=B740,'Students (Vertical)'!O:O&lt;&gt;"""",'Students (Vertical)'!P:P&gt;1);filter('Students (Vertical)'!O:O,'Students (Vertical)'!C:C="&amp;"E740,'Students (Vertical)'!O:O&lt;&gt;"""",'Students (Vertical)'!P:P&gt;1)},{filter('Students (Vertical)'!O:O,'Students (Vertical)'!C:C=B740,'Students (Vertical)'!O:O&lt;&gt;"""",'Students (Vertical)'!P:P&gt;1);filter('Students (Vertical)'!O:O,'Students (Vertical)'!C:C=E74"&amp;"0,'Students (Vertical)'!O:O&lt;&gt;"""",'Students (Vertical)'!P:P&gt;1)})&gt;1))),""""),"""")"),"")</f>
        <v/>
      </c>
      <c r="K740" s="358"/>
    </row>
    <row r="741">
      <c r="A741" s="300" t="s">
        <v>22</v>
      </c>
      <c r="C741" s="300" t="s">
        <v>22</v>
      </c>
      <c r="D741" s="300" t="s">
        <v>22</v>
      </c>
      <c r="F741" s="300" t="s">
        <v>22</v>
      </c>
      <c r="G741" s="300" t="s">
        <v>22</v>
      </c>
      <c r="I741" s="356" t="str">
        <f>IFERROR(__xludf.DUMMYFUNCTION("if(H741=""Must be Together"",iferror(join("", "",unique(filter({filter('Students (Vertical)'!O:O,'Students (Vertical)'!C:C=B741,'Students (Vertical)'!O:O&lt;&gt;"""");filter('Students (Vertical)'!O:O,'Students (Vertical)'!C:C=E741,'Students (Vertical)'!O:O&lt;&gt;"""&amp;""")},countifs({filter('Students (Vertical)'!O:O,'Students (Vertical)'!C:C=B741,'Students (Vertical)'!O:O&lt;&gt;"""");filter('Students (Vertical)'!O:O,'Students (Vertical)'!C:C=E741,'Students (Vertical)'!O:O&lt;&gt;"""")},{filter('Students (Vertical)'!O:O,'Students ("&amp;"Vertical)'!C:C=B741,'Students (Vertical)'!O:O&lt;&gt;"""");filter('Students (Vertical)'!O:O,'Students (Vertical)'!C:C=E741,'Students (Vertical)'!O:O&lt;&gt;"""")})&gt;1))),""No shared courses""),"""")"),"")</f>
        <v/>
      </c>
      <c r="J741" s="357" t="str">
        <f>IFERROR(__xludf.DUMMYFUNCTION("if(H741=""Can't be Together"",iferror(join("", "",unique(filter({filter('Students (Vertical)'!O:O,'Students (Vertical)'!C:C=B741,'Students (Vertical)'!O:O&lt;&gt;"""",'Students (Vertical)'!P:P&gt;1);filter('Students (Vertical)'!O:O,'Students (Vertical)'!C:C=E741,'"&amp;"Students (Vertical)'!O:O&lt;&gt;"""",'Students (Vertical)'!P:P&gt;1)},countifs({filter('Students (Vertical)'!O:O,'Students (Vertical)'!C:C=B741,'Students (Vertical)'!O:O&lt;&gt;"""",'Students (Vertical)'!P:P&gt;1);filter('Students (Vertical)'!O:O,'Students (Vertical)'!C:C="&amp;"E741,'Students (Vertical)'!O:O&lt;&gt;"""",'Students (Vertical)'!P:P&gt;1)},{filter('Students (Vertical)'!O:O,'Students (Vertical)'!C:C=B741,'Students (Vertical)'!O:O&lt;&gt;"""",'Students (Vertical)'!P:P&gt;1);filter('Students (Vertical)'!O:O,'Students (Vertical)'!C:C=E74"&amp;"1,'Students (Vertical)'!O:O&lt;&gt;"""",'Students (Vertical)'!P:P&gt;1)})&gt;1))),""""),"""")"),"")</f>
        <v/>
      </c>
      <c r="K741" s="358"/>
    </row>
    <row r="742">
      <c r="A742" s="300" t="s">
        <v>22</v>
      </c>
      <c r="C742" s="300" t="s">
        <v>22</v>
      </c>
      <c r="D742" s="300" t="s">
        <v>22</v>
      </c>
      <c r="F742" s="300" t="s">
        <v>22</v>
      </c>
      <c r="G742" s="300" t="s">
        <v>22</v>
      </c>
      <c r="I742" s="356" t="str">
        <f>IFERROR(__xludf.DUMMYFUNCTION("if(H742=""Must be Together"",iferror(join("", "",unique(filter({filter('Students (Vertical)'!O:O,'Students (Vertical)'!C:C=B742,'Students (Vertical)'!O:O&lt;&gt;"""");filter('Students (Vertical)'!O:O,'Students (Vertical)'!C:C=E742,'Students (Vertical)'!O:O&lt;&gt;"""&amp;""")},countifs({filter('Students (Vertical)'!O:O,'Students (Vertical)'!C:C=B742,'Students (Vertical)'!O:O&lt;&gt;"""");filter('Students (Vertical)'!O:O,'Students (Vertical)'!C:C=E742,'Students (Vertical)'!O:O&lt;&gt;"""")},{filter('Students (Vertical)'!O:O,'Students ("&amp;"Vertical)'!C:C=B742,'Students (Vertical)'!O:O&lt;&gt;"""");filter('Students (Vertical)'!O:O,'Students (Vertical)'!C:C=E742,'Students (Vertical)'!O:O&lt;&gt;"""")})&gt;1))),""No shared courses""),"""")"),"")</f>
        <v/>
      </c>
      <c r="J742" s="357" t="str">
        <f>IFERROR(__xludf.DUMMYFUNCTION("if(H742=""Can't be Together"",iferror(join("", "",unique(filter({filter('Students (Vertical)'!O:O,'Students (Vertical)'!C:C=B742,'Students (Vertical)'!O:O&lt;&gt;"""",'Students (Vertical)'!P:P&gt;1);filter('Students (Vertical)'!O:O,'Students (Vertical)'!C:C=E742,'"&amp;"Students (Vertical)'!O:O&lt;&gt;"""",'Students (Vertical)'!P:P&gt;1)},countifs({filter('Students (Vertical)'!O:O,'Students (Vertical)'!C:C=B742,'Students (Vertical)'!O:O&lt;&gt;"""",'Students (Vertical)'!P:P&gt;1);filter('Students (Vertical)'!O:O,'Students (Vertical)'!C:C="&amp;"E742,'Students (Vertical)'!O:O&lt;&gt;"""",'Students (Vertical)'!P:P&gt;1)},{filter('Students (Vertical)'!O:O,'Students (Vertical)'!C:C=B742,'Students (Vertical)'!O:O&lt;&gt;"""",'Students (Vertical)'!P:P&gt;1);filter('Students (Vertical)'!O:O,'Students (Vertical)'!C:C=E74"&amp;"2,'Students (Vertical)'!O:O&lt;&gt;"""",'Students (Vertical)'!P:P&gt;1)})&gt;1))),""""),"""")"),"")</f>
        <v/>
      </c>
      <c r="K742" s="358"/>
    </row>
    <row r="743">
      <c r="A743" s="300" t="s">
        <v>22</v>
      </c>
      <c r="C743" s="300" t="s">
        <v>22</v>
      </c>
      <c r="D743" s="300" t="s">
        <v>22</v>
      </c>
      <c r="F743" s="300" t="s">
        <v>22</v>
      </c>
      <c r="G743" s="300" t="s">
        <v>22</v>
      </c>
      <c r="I743" s="356" t="str">
        <f>IFERROR(__xludf.DUMMYFUNCTION("if(H743=""Must be Together"",iferror(join("", "",unique(filter({filter('Students (Vertical)'!O:O,'Students (Vertical)'!C:C=B743,'Students (Vertical)'!O:O&lt;&gt;"""");filter('Students (Vertical)'!O:O,'Students (Vertical)'!C:C=E743,'Students (Vertical)'!O:O&lt;&gt;"""&amp;""")},countifs({filter('Students (Vertical)'!O:O,'Students (Vertical)'!C:C=B743,'Students (Vertical)'!O:O&lt;&gt;"""");filter('Students (Vertical)'!O:O,'Students (Vertical)'!C:C=E743,'Students (Vertical)'!O:O&lt;&gt;"""")},{filter('Students (Vertical)'!O:O,'Students ("&amp;"Vertical)'!C:C=B743,'Students (Vertical)'!O:O&lt;&gt;"""");filter('Students (Vertical)'!O:O,'Students (Vertical)'!C:C=E743,'Students (Vertical)'!O:O&lt;&gt;"""")})&gt;1))),""No shared courses""),"""")"),"")</f>
        <v/>
      </c>
      <c r="J743" s="357" t="str">
        <f>IFERROR(__xludf.DUMMYFUNCTION("if(H743=""Can't be Together"",iferror(join("", "",unique(filter({filter('Students (Vertical)'!O:O,'Students (Vertical)'!C:C=B743,'Students (Vertical)'!O:O&lt;&gt;"""",'Students (Vertical)'!P:P&gt;1);filter('Students (Vertical)'!O:O,'Students (Vertical)'!C:C=E743,'"&amp;"Students (Vertical)'!O:O&lt;&gt;"""",'Students (Vertical)'!P:P&gt;1)},countifs({filter('Students (Vertical)'!O:O,'Students (Vertical)'!C:C=B743,'Students (Vertical)'!O:O&lt;&gt;"""",'Students (Vertical)'!P:P&gt;1);filter('Students (Vertical)'!O:O,'Students (Vertical)'!C:C="&amp;"E743,'Students (Vertical)'!O:O&lt;&gt;"""",'Students (Vertical)'!P:P&gt;1)},{filter('Students (Vertical)'!O:O,'Students (Vertical)'!C:C=B743,'Students (Vertical)'!O:O&lt;&gt;"""",'Students (Vertical)'!P:P&gt;1);filter('Students (Vertical)'!O:O,'Students (Vertical)'!C:C=E74"&amp;"3,'Students (Vertical)'!O:O&lt;&gt;"""",'Students (Vertical)'!P:P&gt;1)})&gt;1))),""""),"""")"),"")</f>
        <v/>
      </c>
      <c r="K743" s="358"/>
    </row>
    <row r="744">
      <c r="A744" s="300" t="s">
        <v>22</v>
      </c>
      <c r="C744" s="300" t="s">
        <v>22</v>
      </c>
      <c r="D744" s="300" t="s">
        <v>22</v>
      </c>
      <c r="F744" s="300" t="s">
        <v>22</v>
      </c>
      <c r="G744" s="300" t="s">
        <v>22</v>
      </c>
      <c r="I744" s="356" t="str">
        <f>IFERROR(__xludf.DUMMYFUNCTION("if(H744=""Must be Together"",iferror(join("", "",unique(filter({filter('Students (Vertical)'!O:O,'Students (Vertical)'!C:C=B744,'Students (Vertical)'!O:O&lt;&gt;"""");filter('Students (Vertical)'!O:O,'Students (Vertical)'!C:C=E744,'Students (Vertical)'!O:O&lt;&gt;"""&amp;""")},countifs({filter('Students (Vertical)'!O:O,'Students (Vertical)'!C:C=B744,'Students (Vertical)'!O:O&lt;&gt;"""");filter('Students (Vertical)'!O:O,'Students (Vertical)'!C:C=E744,'Students (Vertical)'!O:O&lt;&gt;"""")},{filter('Students (Vertical)'!O:O,'Students ("&amp;"Vertical)'!C:C=B744,'Students (Vertical)'!O:O&lt;&gt;"""");filter('Students (Vertical)'!O:O,'Students (Vertical)'!C:C=E744,'Students (Vertical)'!O:O&lt;&gt;"""")})&gt;1))),""No shared courses""),"""")"),"")</f>
        <v/>
      </c>
      <c r="J744" s="357" t="str">
        <f>IFERROR(__xludf.DUMMYFUNCTION("if(H744=""Can't be Together"",iferror(join("", "",unique(filter({filter('Students (Vertical)'!O:O,'Students (Vertical)'!C:C=B744,'Students (Vertical)'!O:O&lt;&gt;"""",'Students (Vertical)'!P:P&gt;1);filter('Students (Vertical)'!O:O,'Students (Vertical)'!C:C=E744,'"&amp;"Students (Vertical)'!O:O&lt;&gt;"""",'Students (Vertical)'!P:P&gt;1)},countifs({filter('Students (Vertical)'!O:O,'Students (Vertical)'!C:C=B744,'Students (Vertical)'!O:O&lt;&gt;"""",'Students (Vertical)'!P:P&gt;1);filter('Students (Vertical)'!O:O,'Students (Vertical)'!C:C="&amp;"E744,'Students (Vertical)'!O:O&lt;&gt;"""",'Students (Vertical)'!P:P&gt;1)},{filter('Students (Vertical)'!O:O,'Students (Vertical)'!C:C=B744,'Students (Vertical)'!O:O&lt;&gt;"""",'Students (Vertical)'!P:P&gt;1);filter('Students (Vertical)'!O:O,'Students (Vertical)'!C:C=E74"&amp;"4,'Students (Vertical)'!O:O&lt;&gt;"""",'Students (Vertical)'!P:P&gt;1)})&gt;1))),""""),"""")"),"")</f>
        <v/>
      </c>
      <c r="K744" s="358"/>
    </row>
    <row r="745">
      <c r="A745" s="300" t="s">
        <v>22</v>
      </c>
      <c r="C745" s="300" t="s">
        <v>22</v>
      </c>
      <c r="D745" s="300" t="s">
        <v>22</v>
      </c>
      <c r="F745" s="300" t="s">
        <v>22</v>
      </c>
      <c r="G745" s="300" t="s">
        <v>22</v>
      </c>
      <c r="I745" s="356" t="str">
        <f>IFERROR(__xludf.DUMMYFUNCTION("if(H745=""Must be Together"",iferror(join("", "",unique(filter({filter('Students (Vertical)'!O:O,'Students (Vertical)'!C:C=B745,'Students (Vertical)'!O:O&lt;&gt;"""");filter('Students (Vertical)'!O:O,'Students (Vertical)'!C:C=E745,'Students (Vertical)'!O:O&lt;&gt;"""&amp;""")},countifs({filter('Students (Vertical)'!O:O,'Students (Vertical)'!C:C=B745,'Students (Vertical)'!O:O&lt;&gt;"""");filter('Students (Vertical)'!O:O,'Students (Vertical)'!C:C=E745,'Students (Vertical)'!O:O&lt;&gt;"""")},{filter('Students (Vertical)'!O:O,'Students ("&amp;"Vertical)'!C:C=B745,'Students (Vertical)'!O:O&lt;&gt;"""");filter('Students (Vertical)'!O:O,'Students (Vertical)'!C:C=E745,'Students (Vertical)'!O:O&lt;&gt;"""")})&gt;1))),""No shared courses""),"""")"),"")</f>
        <v/>
      </c>
      <c r="J745" s="357" t="str">
        <f>IFERROR(__xludf.DUMMYFUNCTION("if(H745=""Can't be Together"",iferror(join("", "",unique(filter({filter('Students (Vertical)'!O:O,'Students (Vertical)'!C:C=B745,'Students (Vertical)'!O:O&lt;&gt;"""",'Students (Vertical)'!P:P&gt;1);filter('Students (Vertical)'!O:O,'Students (Vertical)'!C:C=E745,'"&amp;"Students (Vertical)'!O:O&lt;&gt;"""",'Students (Vertical)'!P:P&gt;1)},countifs({filter('Students (Vertical)'!O:O,'Students (Vertical)'!C:C=B745,'Students (Vertical)'!O:O&lt;&gt;"""",'Students (Vertical)'!P:P&gt;1);filter('Students (Vertical)'!O:O,'Students (Vertical)'!C:C="&amp;"E745,'Students (Vertical)'!O:O&lt;&gt;"""",'Students (Vertical)'!P:P&gt;1)},{filter('Students (Vertical)'!O:O,'Students (Vertical)'!C:C=B745,'Students (Vertical)'!O:O&lt;&gt;"""",'Students (Vertical)'!P:P&gt;1);filter('Students (Vertical)'!O:O,'Students (Vertical)'!C:C=E74"&amp;"5,'Students (Vertical)'!O:O&lt;&gt;"""",'Students (Vertical)'!P:P&gt;1)})&gt;1))),""""),"""")"),"")</f>
        <v/>
      </c>
      <c r="K745" s="358"/>
    </row>
    <row r="746">
      <c r="A746" s="300" t="s">
        <v>22</v>
      </c>
      <c r="C746" s="300" t="s">
        <v>22</v>
      </c>
      <c r="D746" s="300" t="s">
        <v>22</v>
      </c>
      <c r="F746" s="300" t="s">
        <v>22</v>
      </c>
      <c r="G746" s="300" t="s">
        <v>22</v>
      </c>
      <c r="I746" s="356" t="str">
        <f>IFERROR(__xludf.DUMMYFUNCTION("if(H746=""Must be Together"",iferror(join("", "",unique(filter({filter('Students (Vertical)'!O:O,'Students (Vertical)'!C:C=B746,'Students (Vertical)'!O:O&lt;&gt;"""");filter('Students (Vertical)'!O:O,'Students (Vertical)'!C:C=E746,'Students (Vertical)'!O:O&lt;&gt;"""&amp;""")},countifs({filter('Students (Vertical)'!O:O,'Students (Vertical)'!C:C=B746,'Students (Vertical)'!O:O&lt;&gt;"""");filter('Students (Vertical)'!O:O,'Students (Vertical)'!C:C=E746,'Students (Vertical)'!O:O&lt;&gt;"""")},{filter('Students (Vertical)'!O:O,'Students ("&amp;"Vertical)'!C:C=B746,'Students (Vertical)'!O:O&lt;&gt;"""");filter('Students (Vertical)'!O:O,'Students (Vertical)'!C:C=E746,'Students (Vertical)'!O:O&lt;&gt;"""")})&gt;1))),""No shared courses""),"""")"),"")</f>
        <v/>
      </c>
      <c r="J746" s="357" t="str">
        <f>IFERROR(__xludf.DUMMYFUNCTION("if(H746=""Can't be Together"",iferror(join("", "",unique(filter({filter('Students (Vertical)'!O:O,'Students (Vertical)'!C:C=B746,'Students (Vertical)'!O:O&lt;&gt;"""",'Students (Vertical)'!P:P&gt;1);filter('Students (Vertical)'!O:O,'Students (Vertical)'!C:C=E746,'"&amp;"Students (Vertical)'!O:O&lt;&gt;"""",'Students (Vertical)'!P:P&gt;1)},countifs({filter('Students (Vertical)'!O:O,'Students (Vertical)'!C:C=B746,'Students (Vertical)'!O:O&lt;&gt;"""",'Students (Vertical)'!P:P&gt;1);filter('Students (Vertical)'!O:O,'Students (Vertical)'!C:C="&amp;"E746,'Students (Vertical)'!O:O&lt;&gt;"""",'Students (Vertical)'!P:P&gt;1)},{filter('Students (Vertical)'!O:O,'Students (Vertical)'!C:C=B746,'Students (Vertical)'!O:O&lt;&gt;"""",'Students (Vertical)'!P:P&gt;1);filter('Students (Vertical)'!O:O,'Students (Vertical)'!C:C=E74"&amp;"6,'Students (Vertical)'!O:O&lt;&gt;"""",'Students (Vertical)'!P:P&gt;1)})&gt;1))),""""),"""")"),"")</f>
        <v/>
      </c>
      <c r="K746" s="358"/>
    </row>
    <row r="747">
      <c r="A747" s="300" t="s">
        <v>22</v>
      </c>
      <c r="C747" s="300" t="s">
        <v>22</v>
      </c>
      <c r="D747" s="300" t="s">
        <v>22</v>
      </c>
      <c r="F747" s="300" t="s">
        <v>22</v>
      </c>
      <c r="G747" s="300" t="s">
        <v>22</v>
      </c>
      <c r="I747" s="356" t="str">
        <f>IFERROR(__xludf.DUMMYFUNCTION("if(H747=""Must be Together"",iferror(join("", "",unique(filter({filter('Students (Vertical)'!O:O,'Students (Vertical)'!C:C=B747,'Students (Vertical)'!O:O&lt;&gt;"""");filter('Students (Vertical)'!O:O,'Students (Vertical)'!C:C=E747,'Students (Vertical)'!O:O&lt;&gt;"""&amp;""")},countifs({filter('Students (Vertical)'!O:O,'Students (Vertical)'!C:C=B747,'Students (Vertical)'!O:O&lt;&gt;"""");filter('Students (Vertical)'!O:O,'Students (Vertical)'!C:C=E747,'Students (Vertical)'!O:O&lt;&gt;"""")},{filter('Students (Vertical)'!O:O,'Students ("&amp;"Vertical)'!C:C=B747,'Students (Vertical)'!O:O&lt;&gt;"""");filter('Students (Vertical)'!O:O,'Students (Vertical)'!C:C=E747,'Students (Vertical)'!O:O&lt;&gt;"""")})&gt;1))),""No shared courses""),"""")"),"")</f>
        <v/>
      </c>
      <c r="J747" s="357" t="str">
        <f>IFERROR(__xludf.DUMMYFUNCTION("if(H747=""Can't be Together"",iferror(join("", "",unique(filter({filter('Students (Vertical)'!O:O,'Students (Vertical)'!C:C=B747,'Students (Vertical)'!O:O&lt;&gt;"""",'Students (Vertical)'!P:P&gt;1);filter('Students (Vertical)'!O:O,'Students (Vertical)'!C:C=E747,'"&amp;"Students (Vertical)'!O:O&lt;&gt;"""",'Students (Vertical)'!P:P&gt;1)},countifs({filter('Students (Vertical)'!O:O,'Students (Vertical)'!C:C=B747,'Students (Vertical)'!O:O&lt;&gt;"""",'Students (Vertical)'!P:P&gt;1);filter('Students (Vertical)'!O:O,'Students (Vertical)'!C:C="&amp;"E747,'Students (Vertical)'!O:O&lt;&gt;"""",'Students (Vertical)'!P:P&gt;1)},{filter('Students (Vertical)'!O:O,'Students (Vertical)'!C:C=B747,'Students (Vertical)'!O:O&lt;&gt;"""",'Students (Vertical)'!P:P&gt;1);filter('Students (Vertical)'!O:O,'Students (Vertical)'!C:C=E74"&amp;"7,'Students (Vertical)'!O:O&lt;&gt;"""",'Students (Vertical)'!P:P&gt;1)})&gt;1))),""""),"""")"),"")</f>
        <v/>
      </c>
      <c r="K747" s="358"/>
    </row>
    <row r="748">
      <c r="A748" s="300" t="s">
        <v>22</v>
      </c>
      <c r="C748" s="300" t="s">
        <v>22</v>
      </c>
      <c r="D748" s="300" t="s">
        <v>22</v>
      </c>
      <c r="F748" s="300" t="s">
        <v>22</v>
      </c>
      <c r="G748" s="300" t="s">
        <v>22</v>
      </c>
      <c r="I748" s="356" t="str">
        <f>IFERROR(__xludf.DUMMYFUNCTION("if(H748=""Must be Together"",iferror(join("", "",unique(filter({filter('Students (Vertical)'!O:O,'Students (Vertical)'!C:C=B748,'Students (Vertical)'!O:O&lt;&gt;"""");filter('Students (Vertical)'!O:O,'Students (Vertical)'!C:C=E748,'Students (Vertical)'!O:O&lt;&gt;"""&amp;""")},countifs({filter('Students (Vertical)'!O:O,'Students (Vertical)'!C:C=B748,'Students (Vertical)'!O:O&lt;&gt;"""");filter('Students (Vertical)'!O:O,'Students (Vertical)'!C:C=E748,'Students (Vertical)'!O:O&lt;&gt;"""")},{filter('Students (Vertical)'!O:O,'Students ("&amp;"Vertical)'!C:C=B748,'Students (Vertical)'!O:O&lt;&gt;"""");filter('Students (Vertical)'!O:O,'Students (Vertical)'!C:C=E748,'Students (Vertical)'!O:O&lt;&gt;"""")})&gt;1))),""No shared courses""),"""")"),"")</f>
        <v/>
      </c>
      <c r="J748" s="357" t="str">
        <f>IFERROR(__xludf.DUMMYFUNCTION("if(H748=""Can't be Together"",iferror(join("", "",unique(filter({filter('Students (Vertical)'!O:O,'Students (Vertical)'!C:C=B748,'Students (Vertical)'!O:O&lt;&gt;"""",'Students (Vertical)'!P:P&gt;1);filter('Students (Vertical)'!O:O,'Students (Vertical)'!C:C=E748,'"&amp;"Students (Vertical)'!O:O&lt;&gt;"""",'Students (Vertical)'!P:P&gt;1)},countifs({filter('Students (Vertical)'!O:O,'Students (Vertical)'!C:C=B748,'Students (Vertical)'!O:O&lt;&gt;"""",'Students (Vertical)'!P:P&gt;1);filter('Students (Vertical)'!O:O,'Students (Vertical)'!C:C="&amp;"E748,'Students (Vertical)'!O:O&lt;&gt;"""",'Students (Vertical)'!P:P&gt;1)},{filter('Students (Vertical)'!O:O,'Students (Vertical)'!C:C=B748,'Students (Vertical)'!O:O&lt;&gt;"""",'Students (Vertical)'!P:P&gt;1);filter('Students (Vertical)'!O:O,'Students (Vertical)'!C:C=E74"&amp;"8,'Students (Vertical)'!O:O&lt;&gt;"""",'Students (Vertical)'!P:P&gt;1)})&gt;1))),""""),"""")"),"")</f>
        <v/>
      </c>
      <c r="K748" s="358"/>
    </row>
    <row r="749">
      <c r="A749" s="300" t="s">
        <v>22</v>
      </c>
      <c r="C749" s="300" t="s">
        <v>22</v>
      </c>
      <c r="D749" s="300" t="s">
        <v>22</v>
      </c>
      <c r="F749" s="300" t="s">
        <v>22</v>
      </c>
      <c r="G749" s="300" t="s">
        <v>22</v>
      </c>
      <c r="I749" s="356" t="str">
        <f>IFERROR(__xludf.DUMMYFUNCTION("if(H749=""Must be Together"",iferror(join("", "",unique(filter({filter('Students (Vertical)'!O:O,'Students (Vertical)'!C:C=B749,'Students (Vertical)'!O:O&lt;&gt;"""");filter('Students (Vertical)'!O:O,'Students (Vertical)'!C:C=E749,'Students (Vertical)'!O:O&lt;&gt;"""&amp;""")},countifs({filter('Students (Vertical)'!O:O,'Students (Vertical)'!C:C=B749,'Students (Vertical)'!O:O&lt;&gt;"""");filter('Students (Vertical)'!O:O,'Students (Vertical)'!C:C=E749,'Students (Vertical)'!O:O&lt;&gt;"""")},{filter('Students (Vertical)'!O:O,'Students ("&amp;"Vertical)'!C:C=B749,'Students (Vertical)'!O:O&lt;&gt;"""");filter('Students (Vertical)'!O:O,'Students (Vertical)'!C:C=E749,'Students (Vertical)'!O:O&lt;&gt;"""")})&gt;1))),""No shared courses""),"""")"),"")</f>
        <v/>
      </c>
      <c r="J749" s="357" t="str">
        <f>IFERROR(__xludf.DUMMYFUNCTION("if(H749=""Can't be Together"",iferror(join("", "",unique(filter({filter('Students (Vertical)'!O:O,'Students (Vertical)'!C:C=B749,'Students (Vertical)'!O:O&lt;&gt;"""",'Students (Vertical)'!P:P&gt;1);filter('Students (Vertical)'!O:O,'Students (Vertical)'!C:C=E749,'"&amp;"Students (Vertical)'!O:O&lt;&gt;"""",'Students (Vertical)'!P:P&gt;1)},countifs({filter('Students (Vertical)'!O:O,'Students (Vertical)'!C:C=B749,'Students (Vertical)'!O:O&lt;&gt;"""",'Students (Vertical)'!P:P&gt;1);filter('Students (Vertical)'!O:O,'Students (Vertical)'!C:C="&amp;"E749,'Students (Vertical)'!O:O&lt;&gt;"""",'Students (Vertical)'!P:P&gt;1)},{filter('Students (Vertical)'!O:O,'Students (Vertical)'!C:C=B749,'Students (Vertical)'!O:O&lt;&gt;"""",'Students (Vertical)'!P:P&gt;1);filter('Students (Vertical)'!O:O,'Students (Vertical)'!C:C=E74"&amp;"9,'Students (Vertical)'!O:O&lt;&gt;"""",'Students (Vertical)'!P:P&gt;1)})&gt;1))),""""),"""")"),"")</f>
        <v/>
      </c>
      <c r="K749" s="358"/>
    </row>
    <row r="750">
      <c r="A750" s="300" t="s">
        <v>22</v>
      </c>
      <c r="C750" s="300" t="s">
        <v>22</v>
      </c>
      <c r="D750" s="300" t="s">
        <v>22</v>
      </c>
      <c r="F750" s="300" t="s">
        <v>22</v>
      </c>
      <c r="G750" s="300" t="s">
        <v>22</v>
      </c>
      <c r="I750" s="356" t="str">
        <f>IFERROR(__xludf.DUMMYFUNCTION("if(H750=""Must be Together"",iferror(join("", "",unique(filter({filter('Students (Vertical)'!O:O,'Students (Vertical)'!C:C=B750,'Students (Vertical)'!O:O&lt;&gt;"""");filter('Students (Vertical)'!O:O,'Students (Vertical)'!C:C=E750,'Students (Vertical)'!O:O&lt;&gt;"""&amp;""")},countifs({filter('Students (Vertical)'!O:O,'Students (Vertical)'!C:C=B750,'Students (Vertical)'!O:O&lt;&gt;"""");filter('Students (Vertical)'!O:O,'Students (Vertical)'!C:C=E750,'Students (Vertical)'!O:O&lt;&gt;"""")},{filter('Students (Vertical)'!O:O,'Students ("&amp;"Vertical)'!C:C=B750,'Students (Vertical)'!O:O&lt;&gt;"""");filter('Students (Vertical)'!O:O,'Students (Vertical)'!C:C=E750,'Students (Vertical)'!O:O&lt;&gt;"""")})&gt;1))),""No shared courses""),"""")"),"")</f>
        <v/>
      </c>
      <c r="J750" s="357" t="str">
        <f>IFERROR(__xludf.DUMMYFUNCTION("if(H750=""Can't be Together"",iferror(join("", "",unique(filter({filter('Students (Vertical)'!O:O,'Students (Vertical)'!C:C=B750,'Students (Vertical)'!O:O&lt;&gt;"""",'Students (Vertical)'!P:P&gt;1);filter('Students (Vertical)'!O:O,'Students (Vertical)'!C:C=E750,'"&amp;"Students (Vertical)'!O:O&lt;&gt;"""",'Students (Vertical)'!P:P&gt;1)},countifs({filter('Students (Vertical)'!O:O,'Students (Vertical)'!C:C=B750,'Students (Vertical)'!O:O&lt;&gt;"""",'Students (Vertical)'!P:P&gt;1);filter('Students (Vertical)'!O:O,'Students (Vertical)'!C:C="&amp;"E750,'Students (Vertical)'!O:O&lt;&gt;"""",'Students (Vertical)'!P:P&gt;1)},{filter('Students (Vertical)'!O:O,'Students (Vertical)'!C:C=B750,'Students (Vertical)'!O:O&lt;&gt;"""",'Students (Vertical)'!P:P&gt;1);filter('Students (Vertical)'!O:O,'Students (Vertical)'!C:C=E75"&amp;"0,'Students (Vertical)'!O:O&lt;&gt;"""",'Students (Vertical)'!P:P&gt;1)})&gt;1))),""""),"""")"),"")</f>
        <v/>
      </c>
      <c r="K750" s="358"/>
    </row>
    <row r="751">
      <c r="A751" s="300" t="s">
        <v>22</v>
      </c>
      <c r="C751" s="300" t="s">
        <v>22</v>
      </c>
      <c r="D751" s="300" t="s">
        <v>22</v>
      </c>
      <c r="F751" s="300" t="s">
        <v>22</v>
      </c>
      <c r="G751" s="300" t="s">
        <v>22</v>
      </c>
      <c r="I751" s="356" t="str">
        <f>IFERROR(__xludf.DUMMYFUNCTION("if(H751=""Must be Together"",iferror(join("", "",unique(filter({filter('Students (Vertical)'!O:O,'Students (Vertical)'!C:C=B751,'Students (Vertical)'!O:O&lt;&gt;"""");filter('Students (Vertical)'!O:O,'Students (Vertical)'!C:C=E751,'Students (Vertical)'!O:O&lt;&gt;"""&amp;""")},countifs({filter('Students (Vertical)'!O:O,'Students (Vertical)'!C:C=B751,'Students (Vertical)'!O:O&lt;&gt;"""");filter('Students (Vertical)'!O:O,'Students (Vertical)'!C:C=E751,'Students (Vertical)'!O:O&lt;&gt;"""")},{filter('Students (Vertical)'!O:O,'Students ("&amp;"Vertical)'!C:C=B751,'Students (Vertical)'!O:O&lt;&gt;"""");filter('Students (Vertical)'!O:O,'Students (Vertical)'!C:C=E751,'Students (Vertical)'!O:O&lt;&gt;"""")})&gt;1))),""No shared courses""),"""")"),"")</f>
        <v/>
      </c>
      <c r="J751" s="357" t="str">
        <f>IFERROR(__xludf.DUMMYFUNCTION("if(H751=""Can't be Together"",iferror(join("", "",unique(filter({filter('Students (Vertical)'!O:O,'Students (Vertical)'!C:C=B751,'Students (Vertical)'!O:O&lt;&gt;"""",'Students (Vertical)'!P:P&gt;1);filter('Students (Vertical)'!O:O,'Students (Vertical)'!C:C=E751,'"&amp;"Students (Vertical)'!O:O&lt;&gt;"""",'Students (Vertical)'!P:P&gt;1)},countifs({filter('Students (Vertical)'!O:O,'Students (Vertical)'!C:C=B751,'Students (Vertical)'!O:O&lt;&gt;"""",'Students (Vertical)'!P:P&gt;1);filter('Students (Vertical)'!O:O,'Students (Vertical)'!C:C="&amp;"E751,'Students (Vertical)'!O:O&lt;&gt;"""",'Students (Vertical)'!P:P&gt;1)},{filter('Students (Vertical)'!O:O,'Students (Vertical)'!C:C=B751,'Students (Vertical)'!O:O&lt;&gt;"""",'Students (Vertical)'!P:P&gt;1);filter('Students (Vertical)'!O:O,'Students (Vertical)'!C:C=E75"&amp;"1,'Students (Vertical)'!O:O&lt;&gt;"""",'Students (Vertical)'!P:P&gt;1)})&gt;1))),""""),"""")"),"")</f>
        <v/>
      </c>
      <c r="K751" s="358"/>
    </row>
    <row r="752">
      <c r="A752" s="300" t="s">
        <v>22</v>
      </c>
      <c r="C752" s="300" t="s">
        <v>22</v>
      </c>
      <c r="D752" s="300" t="s">
        <v>22</v>
      </c>
      <c r="F752" s="300" t="s">
        <v>22</v>
      </c>
      <c r="G752" s="300" t="s">
        <v>22</v>
      </c>
      <c r="I752" s="356" t="str">
        <f>IFERROR(__xludf.DUMMYFUNCTION("if(H752=""Must be Together"",iferror(join("", "",unique(filter({filter('Students (Vertical)'!O:O,'Students (Vertical)'!C:C=B752,'Students (Vertical)'!O:O&lt;&gt;"""");filter('Students (Vertical)'!O:O,'Students (Vertical)'!C:C=E752,'Students (Vertical)'!O:O&lt;&gt;"""&amp;""")},countifs({filter('Students (Vertical)'!O:O,'Students (Vertical)'!C:C=B752,'Students (Vertical)'!O:O&lt;&gt;"""");filter('Students (Vertical)'!O:O,'Students (Vertical)'!C:C=E752,'Students (Vertical)'!O:O&lt;&gt;"""")},{filter('Students (Vertical)'!O:O,'Students ("&amp;"Vertical)'!C:C=B752,'Students (Vertical)'!O:O&lt;&gt;"""");filter('Students (Vertical)'!O:O,'Students (Vertical)'!C:C=E752,'Students (Vertical)'!O:O&lt;&gt;"""")})&gt;1))),""No shared courses""),"""")"),"")</f>
        <v/>
      </c>
      <c r="J752" s="357" t="str">
        <f>IFERROR(__xludf.DUMMYFUNCTION("if(H752=""Can't be Together"",iferror(join("", "",unique(filter({filter('Students (Vertical)'!O:O,'Students (Vertical)'!C:C=B752,'Students (Vertical)'!O:O&lt;&gt;"""",'Students (Vertical)'!P:P&gt;1);filter('Students (Vertical)'!O:O,'Students (Vertical)'!C:C=E752,'"&amp;"Students (Vertical)'!O:O&lt;&gt;"""",'Students (Vertical)'!P:P&gt;1)},countifs({filter('Students (Vertical)'!O:O,'Students (Vertical)'!C:C=B752,'Students (Vertical)'!O:O&lt;&gt;"""",'Students (Vertical)'!P:P&gt;1);filter('Students (Vertical)'!O:O,'Students (Vertical)'!C:C="&amp;"E752,'Students (Vertical)'!O:O&lt;&gt;"""",'Students (Vertical)'!P:P&gt;1)},{filter('Students (Vertical)'!O:O,'Students (Vertical)'!C:C=B752,'Students (Vertical)'!O:O&lt;&gt;"""",'Students (Vertical)'!P:P&gt;1);filter('Students (Vertical)'!O:O,'Students (Vertical)'!C:C=E75"&amp;"2,'Students (Vertical)'!O:O&lt;&gt;"""",'Students (Vertical)'!P:P&gt;1)})&gt;1))),""""),"""")"),"")</f>
        <v/>
      </c>
      <c r="K752" s="358"/>
    </row>
    <row r="753">
      <c r="A753" s="300" t="s">
        <v>22</v>
      </c>
      <c r="C753" s="300" t="s">
        <v>22</v>
      </c>
      <c r="D753" s="300" t="s">
        <v>22</v>
      </c>
      <c r="F753" s="300" t="s">
        <v>22</v>
      </c>
      <c r="G753" s="300" t="s">
        <v>22</v>
      </c>
      <c r="I753" s="356" t="str">
        <f>IFERROR(__xludf.DUMMYFUNCTION("if(H753=""Must be Together"",iferror(join("", "",unique(filter({filter('Students (Vertical)'!O:O,'Students (Vertical)'!C:C=B753,'Students (Vertical)'!O:O&lt;&gt;"""");filter('Students (Vertical)'!O:O,'Students (Vertical)'!C:C=E753,'Students (Vertical)'!O:O&lt;&gt;"""&amp;""")},countifs({filter('Students (Vertical)'!O:O,'Students (Vertical)'!C:C=B753,'Students (Vertical)'!O:O&lt;&gt;"""");filter('Students (Vertical)'!O:O,'Students (Vertical)'!C:C=E753,'Students (Vertical)'!O:O&lt;&gt;"""")},{filter('Students (Vertical)'!O:O,'Students ("&amp;"Vertical)'!C:C=B753,'Students (Vertical)'!O:O&lt;&gt;"""");filter('Students (Vertical)'!O:O,'Students (Vertical)'!C:C=E753,'Students (Vertical)'!O:O&lt;&gt;"""")})&gt;1))),""No shared courses""),"""")"),"")</f>
        <v/>
      </c>
      <c r="J753" s="357" t="str">
        <f>IFERROR(__xludf.DUMMYFUNCTION("if(H753=""Can't be Together"",iferror(join("", "",unique(filter({filter('Students (Vertical)'!O:O,'Students (Vertical)'!C:C=B753,'Students (Vertical)'!O:O&lt;&gt;"""",'Students (Vertical)'!P:P&gt;1);filter('Students (Vertical)'!O:O,'Students (Vertical)'!C:C=E753,'"&amp;"Students (Vertical)'!O:O&lt;&gt;"""",'Students (Vertical)'!P:P&gt;1)},countifs({filter('Students (Vertical)'!O:O,'Students (Vertical)'!C:C=B753,'Students (Vertical)'!O:O&lt;&gt;"""",'Students (Vertical)'!P:P&gt;1);filter('Students (Vertical)'!O:O,'Students (Vertical)'!C:C="&amp;"E753,'Students (Vertical)'!O:O&lt;&gt;"""",'Students (Vertical)'!P:P&gt;1)},{filter('Students (Vertical)'!O:O,'Students (Vertical)'!C:C=B753,'Students (Vertical)'!O:O&lt;&gt;"""",'Students (Vertical)'!P:P&gt;1);filter('Students (Vertical)'!O:O,'Students (Vertical)'!C:C=E75"&amp;"3,'Students (Vertical)'!O:O&lt;&gt;"""",'Students (Vertical)'!P:P&gt;1)})&gt;1))),""""),"""")"),"")</f>
        <v/>
      </c>
      <c r="K753" s="358"/>
    </row>
    <row r="754">
      <c r="A754" s="300" t="s">
        <v>22</v>
      </c>
      <c r="C754" s="300" t="s">
        <v>22</v>
      </c>
      <c r="D754" s="300" t="s">
        <v>22</v>
      </c>
      <c r="F754" s="300" t="s">
        <v>22</v>
      </c>
      <c r="G754" s="300" t="s">
        <v>22</v>
      </c>
      <c r="I754" s="356" t="str">
        <f>IFERROR(__xludf.DUMMYFUNCTION("if(H754=""Must be Together"",iferror(join("", "",unique(filter({filter('Students (Vertical)'!O:O,'Students (Vertical)'!C:C=B754,'Students (Vertical)'!O:O&lt;&gt;"""");filter('Students (Vertical)'!O:O,'Students (Vertical)'!C:C=E754,'Students (Vertical)'!O:O&lt;&gt;"""&amp;""")},countifs({filter('Students (Vertical)'!O:O,'Students (Vertical)'!C:C=B754,'Students (Vertical)'!O:O&lt;&gt;"""");filter('Students (Vertical)'!O:O,'Students (Vertical)'!C:C=E754,'Students (Vertical)'!O:O&lt;&gt;"""")},{filter('Students (Vertical)'!O:O,'Students ("&amp;"Vertical)'!C:C=B754,'Students (Vertical)'!O:O&lt;&gt;"""");filter('Students (Vertical)'!O:O,'Students (Vertical)'!C:C=E754,'Students (Vertical)'!O:O&lt;&gt;"""")})&gt;1))),""No shared courses""),"""")"),"")</f>
        <v/>
      </c>
      <c r="J754" s="357" t="str">
        <f>IFERROR(__xludf.DUMMYFUNCTION("if(H754=""Can't be Together"",iferror(join("", "",unique(filter({filter('Students (Vertical)'!O:O,'Students (Vertical)'!C:C=B754,'Students (Vertical)'!O:O&lt;&gt;"""",'Students (Vertical)'!P:P&gt;1);filter('Students (Vertical)'!O:O,'Students (Vertical)'!C:C=E754,'"&amp;"Students (Vertical)'!O:O&lt;&gt;"""",'Students (Vertical)'!P:P&gt;1)},countifs({filter('Students (Vertical)'!O:O,'Students (Vertical)'!C:C=B754,'Students (Vertical)'!O:O&lt;&gt;"""",'Students (Vertical)'!P:P&gt;1);filter('Students (Vertical)'!O:O,'Students (Vertical)'!C:C="&amp;"E754,'Students (Vertical)'!O:O&lt;&gt;"""",'Students (Vertical)'!P:P&gt;1)},{filter('Students (Vertical)'!O:O,'Students (Vertical)'!C:C=B754,'Students (Vertical)'!O:O&lt;&gt;"""",'Students (Vertical)'!P:P&gt;1);filter('Students (Vertical)'!O:O,'Students (Vertical)'!C:C=E75"&amp;"4,'Students (Vertical)'!O:O&lt;&gt;"""",'Students (Vertical)'!P:P&gt;1)})&gt;1))),""""),"""")"),"")</f>
        <v/>
      </c>
      <c r="K754" s="358"/>
    </row>
    <row r="755">
      <c r="A755" s="300" t="s">
        <v>22</v>
      </c>
      <c r="C755" s="300" t="s">
        <v>22</v>
      </c>
      <c r="D755" s="300" t="s">
        <v>22</v>
      </c>
      <c r="F755" s="300" t="s">
        <v>22</v>
      </c>
      <c r="G755" s="300" t="s">
        <v>22</v>
      </c>
      <c r="I755" s="356" t="str">
        <f>IFERROR(__xludf.DUMMYFUNCTION("if(H755=""Must be Together"",iferror(join("", "",unique(filter({filter('Students (Vertical)'!O:O,'Students (Vertical)'!C:C=B755,'Students (Vertical)'!O:O&lt;&gt;"""");filter('Students (Vertical)'!O:O,'Students (Vertical)'!C:C=E755,'Students (Vertical)'!O:O&lt;&gt;"""&amp;""")},countifs({filter('Students (Vertical)'!O:O,'Students (Vertical)'!C:C=B755,'Students (Vertical)'!O:O&lt;&gt;"""");filter('Students (Vertical)'!O:O,'Students (Vertical)'!C:C=E755,'Students (Vertical)'!O:O&lt;&gt;"""")},{filter('Students (Vertical)'!O:O,'Students ("&amp;"Vertical)'!C:C=B755,'Students (Vertical)'!O:O&lt;&gt;"""");filter('Students (Vertical)'!O:O,'Students (Vertical)'!C:C=E755,'Students (Vertical)'!O:O&lt;&gt;"""")})&gt;1))),""No shared courses""),"""")"),"")</f>
        <v/>
      </c>
      <c r="J755" s="357" t="str">
        <f>IFERROR(__xludf.DUMMYFUNCTION("if(H755=""Can't be Together"",iferror(join("", "",unique(filter({filter('Students (Vertical)'!O:O,'Students (Vertical)'!C:C=B755,'Students (Vertical)'!O:O&lt;&gt;"""",'Students (Vertical)'!P:P&gt;1);filter('Students (Vertical)'!O:O,'Students (Vertical)'!C:C=E755,'"&amp;"Students (Vertical)'!O:O&lt;&gt;"""",'Students (Vertical)'!P:P&gt;1)},countifs({filter('Students (Vertical)'!O:O,'Students (Vertical)'!C:C=B755,'Students (Vertical)'!O:O&lt;&gt;"""",'Students (Vertical)'!P:P&gt;1);filter('Students (Vertical)'!O:O,'Students (Vertical)'!C:C="&amp;"E755,'Students (Vertical)'!O:O&lt;&gt;"""",'Students (Vertical)'!P:P&gt;1)},{filter('Students (Vertical)'!O:O,'Students (Vertical)'!C:C=B755,'Students (Vertical)'!O:O&lt;&gt;"""",'Students (Vertical)'!P:P&gt;1);filter('Students (Vertical)'!O:O,'Students (Vertical)'!C:C=E75"&amp;"5,'Students (Vertical)'!O:O&lt;&gt;"""",'Students (Vertical)'!P:P&gt;1)})&gt;1))),""""),"""")"),"")</f>
        <v/>
      </c>
      <c r="K755" s="358"/>
    </row>
    <row r="756">
      <c r="A756" s="300" t="s">
        <v>22</v>
      </c>
      <c r="C756" s="300" t="s">
        <v>22</v>
      </c>
      <c r="D756" s="300" t="s">
        <v>22</v>
      </c>
      <c r="F756" s="300" t="s">
        <v>22</v>
      </c>
      <c r="G756" s="300" t="s">
        <v>22</v>
      </c>
      <c r="I756" s="356" t="str">
        <f>IFERROR(__xludf.DUMMYFUNCTION("if(H756=""Must be Together"",iferror(join("", "",unique(filter({filter('Students (Vertical)'!O:O,'Students (Vertical)'!C:C=B756,'Students (Vertical)'!O:O&lt;&gt;"""");filter('Students (Vertical)'!O:O,'Students (Vertical)'!C:C=E756,'Students (Vertical)'!O:O&lt;&gt;"""&amp;""")},countifs({filter('Students (Vertical)'!O:O,'Students (Vertical)'!C:C=B756,'Students (Vertical)'!O:O&lt;&gt;"""");filter('Students (Vertical)'!O:O,'Students (Vertical)'!C:C=E756,'Students (Vertical)'!O:O&lt;&gt;"""")},{filter('Students (Vertical)'!O:O,'Students ("&amp;"Vertical)'!C:C=B756,'Students (Vertical)'!O:O&lt;&gt;"""");filter('Students (Vertical)'!O:O,'Students (Vertical)'!C:C=E756,'Students (Vertical)'!O:O&lt;&gt;"""")})&gt;1))),""No shared courses""),"""")"),"")</f>
        <v/>
      </c>
      <c r="J756" s="357" t="str">
        <f>IFERROR(__xludf.DUMMYFUNCTION("if(H756=""Can't be Together"",iferror(join("", "",unique(filter({filter('Students (Vertical)'!O:O,'Students (Vertical)'!C:C=B756,'Students (Vertical)'!O:O&lt;&gt;"""",'Students (Vertical)'!P:P&gt;1);filter('Students (Vertical)'!O:O,'Students (Vertical)'!C:C=E756,'"&amp;"Students (Vertical)'!O:O&lt;&gt;"""",'Students (Vertical)'!P:P&gt;1)},countifs({filter('Students (Vertical)'!O:O,'Students (Vertical)'!C:C=B756,'Students (Vertical)'!O:O&lt;&gt;"""",'Students (Vertical)'!P:P&gt;1);filter('Students (Vertical)'!O:O,'Students (Vertical)'!C:C="&amp;"E756,'Students (Vertical)'!O:O&lt;&gt;"""",'Students (Vertical)'!P:P&gt;1)},{filter('Students (Vertical)'!O:O,'Students (Vertical)'!C:C=B756,'Students (Vertical)'!O:O&lt;&gt;"""",'Students (Vertical)'!P:P&gt;1);filter('Students (Vertical)'!O:O,'Students (Vertical)'!C:C=E75"&amp;"6,'Students (Vertical)'!O:O&lt;&gt;"""",'Students (Vertical)'!P:P&gt;1)})&gt;1))),""""),"""")"),"")</f>
        <v/>
      </c>
      <c r="K756" s="358"/>
    </row>
    <row r="757">
      <c r="A757" s="300" t="s">
        <v>22</v>
      </c>
      <c r="C757" s="300" t="s">
        <v>22</v>
      </c>
      <c r="D757" s="300" t="s">
        <v>22</v>
      </c>
      <c r="F757" s="300" t="s">
        <v>22</v>
      </c>
      <c r="G757" s="300" t="s">
        <v>22</v>
      </c>
      <c r="I757" s="356" t="str">
        <f>IFERROR(__xludf.DUMMYFUNCTION("if(H757=""Must be Together"",iferror(join("", "",unique(filter({filter('Students (Vertical)'!O:O,'Students (Vertical)'!C:C=B757,'Students (Vertical)'!O:O&lt;&gt;"""");filter('Students (Vertical)'!O:O,'Students (Vertical)'!C:C=E757,'Students (Vertical)'!O:O&lt;&gt;"""&amp;""")},countifs({filter('Students (Vertical)'!O:O,'Students (Vertical)'!C:C=B757,'Students (Vertical)'!O:O&lt;&gt;"""");filter('Students (Vertical)'!O:O,'Students (Vertical)'!C:C=E757,'Students (Vertical)'!O:O&lt;&gt;"""")},{filter('Students (Vertical)'!O:O,'Students ("&amp;"Vertical)'!C:C=B757,'Students (Vertical)'!O:O&lt;&gt;"""");filter('Students (Vertical)'!O:O,'Students (Vertical)'!C:C=E757,'Students (Vertical)'!O:O&lt;&gt;"""")})&gt;1))),""No shared courses""),"""")"),"")</f>
        <v/>
      </c>
      <c r="J757" s="357" t="str">
        <f>IFERROR(__xludf.DUMMYFUNCTION("if(H757=""Can't be Together"",iferror(join("", "",unique(filter({filter('Students (Vertical)'!O:O,'Students (Vertical)'!C:C=B757,'Students (Vertical)'!O:O&lt;&gt;"""",'Students (Vertical)'!P:P&gt;1);filter('Students (Vertical)'!O:O,'Students (Vertical)'!C:C=E757,'"&amp;"Students (Vertical)'!O:O&lt;&gt;"""",'Students (Vertical)'!P:P&gt;1)},countifs({filter('Students (Vertical)'!O:O,'Students (Vertical)'!C:C=B757,'Students (Vertical)'!O:O&lt;&gt;"""",'Students (Vertical)'!P:P&gt;1);filter('Students (Vertical)'!O:O,'Students (Vertical)'!C:C="&amp;"E757,'Students (Vertical)'!O:O&lt;&gt;"""",'Students (Vertical)'!P:P&gt;1)},{filter('Students (Vertical)'!O:O,'Students (Vertical)'!C:C=B757,'Students (Vertical)'!O:O&lt;&gt;"""",'Students (Vertical)'!P:P&gt;1);filter('Students (Vertical)'!O:O,'Students (Vertical)'!C:C=E75"&amp;"7,'Students (Vertical)'!O:O&lt;&gt;"""",'Students (Vertical)'!P:P&gt;1)})&gt;1))),""""),"""")"),"")</f>
        <v/>
      </c>
      <c r="K757" s="358"/>
    </row>
    <row r="758">
      <c r="A758" s="300" t="s">
        <v>22</v>
      </c>
      <c r="C758" s="300" t="s">
        <v>22</v>
      </c>
      <c r="D758" s="300" t="s">
        <v>22</v>
      </c>
      <c r="F758" s="300" t="s">
        <v>22</v>
      </c>
      <c r="G758" s="300" t="s">
        <v>22</v>
      </c>
      <c r="I758" s="356" t="str">
        <f>IFERROR(__xludf.DUMMYFUNCTION("if(H758=""Must be Together"",iferror(join("", "",unique(filter({filter('Students (Vertical)'!O:O,'Students (Vertical)'!C:C=B758,'Students (Vertical)'!O:O&lt;&gt;"""");filter('Students (Vertical)'!O:O,'Students (Vertical)'!C:C=E758,'Students (Vertical)'!O:O&lt;&gt;"""&amp;""")},countifs({filter('Students (Vertical)'!O:O,'Students (Vertical)'!C:C=B758,'Students (Vertical)'!O:O&lt;&gt;"""");filter('Students (Vertical)'!O:O,'Students (Vertical)'!C:C=E758,'Students (Vertical)'!O:O&lt;&gt;"""")},{filter('Students (Vertical)'!O:O,'Students ("&amp;"Vertical)'!C:C=B758,'Students (Vertical)'!O:O&lt;&gt;"""");filter('Students (Vertical)'!O:O,'Students (Vertical)'!C:C=E758,'Students (Vertical)'!O:O&lt;&gt;"""")})&gt;1))),""No shared courses""),"""")"),"")</f>
        <v/>
      </c>
      <c r="J758" s="357" t="str">
        <f>IFERROR(__xludf.DUMMYFUNCTION("if(H758=""Can't be Together"",iferror(join("", "",unique(filter({filter('Students (Vertical)'!O:O,'Students (Vertical)'!C:C=B758,'Students (Vertical)'!O:O&lt;&gt;"""",'Students (Vertical)'!P:P&gt;1);filter('Students (Vertical)'!O:O,'Students (Vertical)'!C:C=E758,'"&amp;"Students (Vertical)'!O:O&lt;&gt;"""",'Students (Vertical)'!P:P&gt;1)},countifs({filter('Students (Vertical)'!O:O,'Students (Vertical)'!C:C=B758,'Students (Vertical)'!O:O&lt;&gt;"""",'Students (Vertical)'!P:P&gt;1);filter('Students (Vertical)'!O:O,'Students (Vertical)'!C:C="&amp;"E758,'Students (Vertical)'!O:O&lt;&gt;"""",'Students (Vertical)'!P:P&gt;1)},{filter('Students (Vertical)'!O:O,'Students (Vertical)'!C:C=B758,'Students (Vertical)'!O:O&lt;&gt;"""",'Students (Vertical)'!P:P&gt;1);filter('Students (Vertical)'!O:O,'Students (Vertical)'!C:C=E75"&amp;"8,'Students (Vertical)'!O:O&lt;&gt;"""",'Students (Vertical)'!P:P&gt;1)})&gt;1))),""""),"""")"),"")</f>
        <v/>
      </c>
      <c r="K758" s="358"/>
    </row>
    <row r="759">
      <c r="A759" s="300" t="s">
        <v>22</v>
      </c>
      <c r="C759" s="300" t="s">
        <v>22</v>
      </c>
      <c r="D759" s="300" t="s">
        <v>22</v>
      </c>
      <c r="F759" s="300" t="s">
        <v>22</v>
      </c>
      <c r="G759" s="300" t="s">
        <v>22</v>
      </c>
      <c r="I759" s="356" t="str">
        <f>IFERROR(__xludf.DUMMYFUNCTION("if(H759=""Must be Together"",iferror(join("", "",unique(filter({filter('Students (Vertical)'!O:O,'Students (Vertical)'!C:C=B759,'Students (Vertical)'!O:O&lt;&gt;"""");filter('Students (Vertical)'!O:O,'Students (Vertical)'!C:C=E759,'Students (Vertical)'!O:O&lt;&gt;"""&amp;""")},countifs({filter('Students (Vertical)'!O:O,'Students (Vertical)'!C:C=B759,'Students (Vertical)'!O:O&lt;&gt;"""");filter('Students (Vertical)'!O:O,'Students (Vertical)'!C:C=E759,'Students (Vertical)'!O:O&lt;&gt;"""")},{filter('Students (Vertical)'!O:O,'Students ("&amp;"Vertical)'!C:C=B759,'Students (Vertical)'!O:O&lt;&gt;"""");filter('Students (Vertical)'!O:O,'Students (Vertical)'!C:C=E759,'Students (Vertical)'!O:O&lt;&gt;"""")})&gt;1))),""No shared courses""),"""")"),"")</f>
        <v/>
      </c>
      <c r="J759" s="357" t="str">
        <f>IFERROR(__xludf.DUMMYFUNCTION("if(H759=""Can't be Together"",iferror(join("", "",unique(filter({filter('Students (Vertical)'!O:O,'Students (Vertical)'!C:C=B759,'Students (Vertical)'!O:O&lt;&gt;"""",'Students (Vertical)'!P:P&gt;1);filter('Students (Vertical)'!O:O,'Students (Vertical)'!C:C=E759,'"&amp;"Students (Vertical)'!O:O&lt;&gt;"""",'Students (Vertical)'!P:P&gt;1)},countifs({filter('Students (Vertical)'!O:O,'Students (Vertical)'!C:C=B759,'Students (Vertical)'!O:O&lt;&gt;"""",'Students (Vertical)'!P:P&gt;1);filter('Students (Vertical)'!O:O,'Students (Vertical)'!C:C="&amp;"E759,'Students (Vertical)'!O:O&lt;&gt;"""",'Students (Vertical)'!P:P&gt;1)},{filter('Students (Vertical)'!O:O,'Students (Vertical)'!C:C=B759,'Students (Vertical)'!O:O&lt;&gt;"""",'Students (Vertical)'!P:P&gt;1);filter('Students (Vertical)'!O:O,'Students (Vertical)'!C:C=E75"&amp;"9,'Students (Vertical)'!O:O&lt;&gt;"""",'Students (Vertical)'!P:P&gt;1)})&gt;1))),""""),"""")"),"")</f>
        <v/>
      </c>
      <c r="K759" s="358"/>
    </row>
    <row r="760">
      <c r="A760" s="300" t="s">
        <v>22</v>
      </c>
      <c r="C760" s="300" t="s">
        <v>22</v>
      </c>
      <c r="D760" s="300" t="s">
        <v>22</v>
      </c>
      <c r="F760" s="300" t="s">
        <v>22</v>
      </c>
      <c r="G760" s="300" t="s">
        <v>22</v>
      </c>
      <c r="I760" s="356" t="str">
        <f>IFERROR(__xludf.DUMMYFUNCTION("if(H760=""Must be Together"",iferror(join("", "",unique(filter({filter('Students (Vertical)'!O:O,'Students (Vertical)'!C:C=B760,'Students (Vertical)'!O:O&lt;&gt;"""");filter('Students (Vertical)'!O:O,'Students (Vertical)'!C:C=E760,'Students (Vertical)'!O:O&lt;&gt;"""&amp;""")},countifs({filter('Students (Vertical)'!O:O,'Students (Vertical)'!C:C=B760,'Students (Vertical)'!O:O&lt;&gt;"""");filter('Students (Vertical)'!O:O,'Students (Vertical)'!C:C=E760,'Students (Vertical)'!O:O&lt;&gt;"""")},{filter('Students (Vertical)'!O:O,'Students ("&amp;"Vertical)'!C:C=B760,'Students (Vertical)'!O:O&lt;&gt;"""");filter('Students (Vertical)'!O:O,'Students (Vertical)'!C:C=E760,'Students (Vertical)'!O:O&lt;&gt;"""")})&gt;1))),""No shared courses""),"""")"),"")</f>
        <v/>
      </c>
      <c r="J760" s="357" t="str">
        <f>IFERROR(__xludf.DUMMYFUNCTION("if(H760=""Can't be Together"",iferror(join("", "",unique(filter({filter('Students (Vertical)'!O:O,'Students (Vertical)'!C:C=B760,'Students (Vertical)'!O:O&lt;&gt;"""",'Students (Vertical)'!P:P&gt;1);filter('Students (Vertical)'!O:O,'Students (Vertical)'!C:C=E760,'"&amp;"Students (Vertical)'!O:O&lt;&gt;"""",'Students (Vertical)'!P:P&gt;1)},countifs({filter('Students (Vertical)'!O:O,'Students (Vertical)'!C:C=B760,'Students (Vertical)'!O:O&lt;&gt;"""",'Students (Vertical)'!P:P&gt;1);filter('Students (Vertical)'!O:O,'Students (Vertical)'!C:C="&amp;"E760,'Students (Vertical)'!O:O&lt;&gt;"""",'Students (Vertical)'!P:P&gt;1)},{filter('Students (Vertical)'!O:O,'Students (Vertical)'!C:C=B760,'Students (Vertical)'!O:O&lt;&gt;"""",'Students (Vertical)'!P:P&gt;1);filter('Students (Vertical)'!O:O,'Students (Vertical)'!C:C=E76"&amp;"0,'Students (Vertical)'!O:O&lt;&gt;"""",'Students (Vertical)'!P:P&gt;1)})&gt;1))),""""),"""")"),"")</f>
        <v/>
      </c>
      <c r="K760" s="358"/>
    </row>
    <row r="761">
      <c r="A761" s="300" t="s">
        <v>22</v>
      </c>
      <c r="C761" s="300" t="s">
        <v>22</v>
      </c>
      <c r="D761" s="300" t="s">
        <v>22</v>
      </c>
      <c r="F761" s="300" t="s">
        <v>22</v>
      </c>
      <c r="G761" s="300" t="s">
        <v>22</v>
      </c>
      <c r="I761" s="356" t="str">
        <f>IFERROR(__xludf.DUMMYFUNCTION("if(H761=""Must be Together"",iferror(join("", "",unique(filter({filter('Students (Vertical)'!O:O,'Students (Vertical)'!C:C=B761,'Students (Vertical)'!O:O&lt;&gt;"""");filter('Students (Vertical)'!O:O,'Students (Vertical)'!C:C=E761,'Students (Vertical)'!O:O&lt;&gt;"""&amp;""")},countifs({filter('Students (Vertical)'!O:O,'Students (Vertical)'!C:C=B761,'Students (Vertical)'!O:O&lt;&gt;"""");filter('Students (Vertical)'!O:O,'Students (Vertical)'!C:C=E761,'Students (Vertical)'!O:O&lt;&gt;"""")},{filter('Students (Vertical)'!O:O,'Students ("&amp;"Vertical)'!C:C=B761,'Students (Vertical)'!O:O&lt;&gt;"""");filter('Students (Vertical)'!O:O,'Students (Vertical)'!C:C=E761,'Students (Vertical)'!O:O&lt;&gt;"""")})&gt;1))),""No shared courses""),"""")"),"")</f>
        <v/>
      </c>
      <c r="J761" s="357" t="str">
        <f>IFERROR(__xludf.DUMMYFUNCTION("if(H761=""Can't be Together"",iferror(join("", "",unique(filter({filter('Students (Vertical)'!O:O,'Students (Vertical)'!C:C=B761,'Students (Vertical)'!O:O&lt;&gt;"""",'Students (Vertical)'!P:P&gt;1);filter('Students (Vertical)'!O:O,'Students (Vertical)'!C:C=E761,'"&amp;"Students (Vertical)'!O:O&lt;&gt;"""",'Students (Vertical)'!P:P&gt;1)},countifs({filter('Students (Vertical)'!O:O,'Students (Vertical)'!C:C=B761,'Students (Vertical)'!O:O&lt;&gt;"""",'Students (Vertical)'!P:P&gt;1);filter('Students (Vertical)'!O:O,'Students (Vertical)'!C:C="&amp;"E761,'Students (Vertical)'!O:O&lt;&gt;"""",'Students (Vertical)'!P:P&gt;1)},{filter('Students (Vertical)'!O:O,'Students (Vertical)'!C:C=B761,'Students (Vertical)'!O:O&lt;&gt;"""",'Students (Vertical)'!P:P&gt;1);filter('Students (Vertical)'!O:O,'Students (Vertical)'!C:C=E76"&amp;"1,'Students (Vertical)'!O:O&lt;&gt;"""",'Students (Vertical)'!P:P&gt;1)})&gt;1))),""""),"""")"),"")</f>
        <v/>
      </c>
      <c r="K761" s="358"/>
    </row>
    <row r="762">
      <c r="A762" s="300" t="s">
        <v>22</v>
      </c>
      <c r="C762" s="300" t="s">
        <v>22</v>
      </c>
      <c r="D762" s="300" t="s">
        <v>22</v>
      </c>
      <c r="F762" s="300" t="s">
        <v>22</v>
      </c>
      <c r="G762" s="300" t="s">
        <v>22</v>
      </c>
      <c r="I762" s="356" t="str">
        <f>IFERROR(__xludf.DUMMYFUNCTION("if(H762=""Must be Together"",iferror(join("", "",unique(filter({filter('Students (Vertical)'!O:O,'Students (Vertical)'!C:C=B762,'Students (Vertical)'!O:O&lt;&gt;"""");filter('Students (Vertical)'!O:O,'Students (Vertical)'!C:C=E762,'Students (Vertical)'!O:O&lt;&gt;"""&amp;""")},countifs({filter('Students (Vertical)'!O:O,'Students (Vertical)'!C:C=B762,'Students (Vertical)'!O:O&lt;&gt;"""");filter('Students (Vertical)'!O:O,'Students (Vertical)'!C:C=E762,'Students (Vertical)'!O:O&lt;&gt;"""")},{filter('Students (Vertical)'!O:O,'Students ("&amp;"Vertical)'!C:C=B762,'Students (Vertical)'!O:O&lt;&gt;"""");filter('Students (Vertical)'!O:O,'Students (Vertical)'!C:C=E762,'Students (Vertical)'!O:O&lt;&gt;"""")})&gt;1))),""No shared courses""),"""")"),"")</f>
        <v/>
      </c>
      <c r="J762" s="357" t="str">
        <f>IFERROR(__xludf.DUMMYFUNCTION("if(H762=""Can't be Together"",iferror(join("", "",unique(filter({filter('Students (Vertical)'!O:O,'Students (Vertical)'!C:C=B762,'Students (Vertical)'!O:O&lt;&gt;"""",'Students (Vertical)'!P:P&gt;1);filter('Students (Vertical)'!O:O,'Students (Vertical)'!C:C=E762,'"&amp;"Students (Vertical)'!O:O&lt;&gt;"""",'Students (Vertical)'!P:P&gt;1)},countifs({filter('Students (Vertical)'!O:O,'Students (Vertical)'!C:C=B762,'Students (Vertical)'!O:O&lt;&gt;"""",'Students (Vertical)'!P:P&gt;1);filter('Students (Vertical)'!O:O,'Students (Vertical)'!C:C="&amp;"E762,'Students (Vertical)'!O:O&lt;&gt;"""",'Students (Vertical)'!P:P&gt;1)},{filter('Students (Vertical)'!O:O,'Students (Vertical)'!C:C=B762,'Students (Vertical)'!O:O&lt;&gt;"""",'Students (Vertical)'!P:P&gt;1);filter('Students (Vertical)'!O:O,'Students (Vertical)'!C:C=E76"&amp;"2,'Students (Vertical)'!O:O&lt;&gt;"""",'Students (Vertical)'!P:P&gt;1)})&gt;1))),""""),"""")"),"")</f>
        <v/>
      </c>
      <c r="K762" s="358"/>
    </row>
    <row r="763">
      <c r="A763" s="300" t="s">
        <v>22</v>
      </c>
      <c r="C763" s="300" t="s">
        <v>22</v>
      </c>
      <c r="D763" s="300" t="s">
        <v>22</v>
      </c>
      <c r="F763" s="300" t="s">
        <v>22</v>
      </c>
      <c r="G763" s="300" t="s">
        <v>22</v>
      </c>
      <c r="I763" s="356" t="str">
        <f>IFERROR(__xludf.DUMMYFUNCTION("if(H763=""Must be Together"",iferror(join("", "",unique(filter({filter('Students (Vertical)'!O:O,'Students (Vertical)'!C:C=B763,'Students (Vertical)'!O:O&lt;&gt;"""");filter('Students (Vertical)'!O:O,'Students (Vertical)'!C:C=E763,'Students (Vertical)'!O:O&lt;&gt;"""&amp;""")},countifs({filter('Students (Vertical)'!O:O,'Students (Vertical)'!C:C=B763,'Students (Vertical)'!O:O&lt;&gt;"""");filter('Students (Vertical)'!O:O,'Students (Vertical)'!C:C=E763,'Students (Vertical)'!O:O&lt;&gt;"""")},{filter('Students (Vertical)'!O:O,'Students ("&amp;"Vertical)'!C:C=B763,'Students (Vertical)'!O:O&lt;&gt;"""");filter('Students (Vertical)'!O:O,'Students (Vertical)'!C:C=E763,'Students (Vertical)'!O:O&lt;&gt;"""")})&gt;1))),""No shared courses""),"""")"),"")</f>
        <v/>
      </c>
      <c r="J763" s="357" t="str">
        <f>IFERROR(__xludf.DUMMYFUNCTION("if(H763=""Can't be Together"",iferror(join("", "",unique(filter({filter('Students (Vertical)'!O:O,'Students (Vertical)'!C:C=B763,'Students (Vertical)'!O:O&lt;&gt;"""",'Students (Vertical)'!P:P&gt;1);filter('Students (Vertical)'!O:O,'Students (Vertical)'!C:C=E763,'"&amp;"Students (Vertical)'!O:O&lt;&gt;"""",'Students (Vertical)'!P:P&gt;1)},countifs({filter('Students (Vertical)'!O:O,'Students (Vertical)'!C:C=B763,'Students (Vertical)'!O:O&lt;&gt;"""",'Students (Vertical)'!P:P&gt;1);filter('Students (Vertical)'!O:O,'Students (Vertical)'!C:C="&amp;"E763,'Students (Vertical)'!O:O&lt;&gt;"""",'Students (Vertical)'!P:P&gt;1)},{filter('Students (Vertical)'!O:O,'Students (Vertical)'!C:C=B763,'Students (Vertical)'!O:O&lt;&gt;"""",'Students (Vertical)'!P:P&gt;1);filter('Students (Vertical)'!O:O,'Students (Vertical)'!C:C=E76"&amp;"3,'Students (Vertical)'!O:O&lt;&gt;"""",'Students (Vertical)'!P:P&gt;1)})&gt;1))),""""),"""")"),"")</f>
        <v/>
      </c>
      <c r="K763" s="358"/>
    </row>
    <row r="764">
      <c r="A764" s="300" t="s">
        <v>22</v>
      </c>
      <c r="C764" s="300" t="s">
        <v>22</v>
      </c>
      <c r="D764" s="300" t="s">
        <v>22</v>
      </c>
      <c r="F764" s="300" t="s">
        <v>22</v>
      </c>
      <c r="G764" s="300" t="s">
        <v>22</v>
      </c>
      <c r="I764" s="356" t="str">
        <f>IFERROR(__xludf.DUMMYFUNCTION("if(H764=""Must be Together"",iferror(join("", "",unique(filter({filter('Students (Vertical)'!O:O,'Students (Vertical)'!C:C=B764,'Students (Vertical)'!O:O&lt;&gt;"""");filter('Students (Vertical)'!O:O,'Students (Vertical)'!C:C=E764,'Students (Vertical)'!O:O&lt;&gt;"""&amp;""")},countifs({filter('Students (Vertical)'!O:O,'Students (Vertical)'!C:C=B764,'Students (Vertical)'!O:O&lt;&gt;"""");filter('Students (Vertical)'!O:O,'Students (Vertical)'!C:C=E764,'Students (Vertical)'!O:O&lt;&gt;"""")},{filter('Students (Vertical)'!O:O,'Students ("&amp;"Vertical)'!C:C=B764,'Students (Vertical)'!O:O&lt;&gt;"""");filter('Students (Vertical)'!O:O,'Students (Vertical)'!C:C=E764,'Students (Vertical)'!O:O&lt;&gt;"""")})&gt;1))),""No shared courses""),"""")"),"")</f>
        <v/>
      </c>
      <c r="J764" s="357" t="str">
        <f>IFERROR(__xludf.DUMMYFUNCTION("if(H764=""Can't be Together"",iferror(join("", "",unique(filter({filter('Students (Vertical)'!O:O,'Students (Vertical)'!C:C=B764,'Students (Vertical)'!O:O&lt;&gt;"""",'Students (Vertical)'!P:P&gt;1);filter('Students (Vertical)'!O:O,'Students (Vertical)'!C:C=E764,'"&amp;"Students (Vertical)'!O:O&lt;&gt;"""",'Students (Vertical)'!P:P&gt;1)},countifs({filter('Students (Vertical)'!O:O,'Students (Vertical)'!C:C=B764,'Students (Vertical)'!O:O&lt;&gt;"""",'Students (Vertical)'!P:P&gt;1);filter('Students (Vertical)'!O:O,'Students (Vertical)'!C:C="&amp;"E764,'Students (Vertical)'!O:O&lt;&gt;"""",'Students (Vertical)'!P:P&gt;1)},{filter('Students (Vertical)'!O:O,'Students (Vertical)'!C:C=B764,'Students (Vertical)'!O:O&lt;&gt;"""",'Students (Vertical)'!P:P&gt;1);filter('Students (Vertical)'!O:O,'Students (Vertical)'!C:C=E76"&amp;"4,'Students (Vertical)'!O:O&lt;&gt;"""",'Students (Vertical)'!P:P&gt;1)})&gt;1))),""""),"""")"),"")</f>
        <v/>
      </c>
      <c r="K764" s="358"/>
    </row>
    <row r="765">
      <c r="A765" s="300" t="s">
        <v>22</v>
      </c>
      <c r="C765" s="300" t="s">
        <v>22</v>
      </c>
      <c r="D765" s="300" t="s">
        <v>22</v>
      </c>
      <c r="F765" s="300" t="s">
        <v>22</v>
      </c>
      <c r="G765" s="300" t="s">
        <v>22</v>
      </c>
      <c r="I765" s="356" t="str">
        <f>IFERROR(__xludf.DUMMYFUNCTION("if(H765=""Must be Together"",iferror(join("", "",unique(filter({filter('Students (Vertical)'!O:O,'Students (Vertical)'!C:C=B765,'Students (Vertical)'!O:O&lt;&gt;"""");filter('Students (Vertical)'!O:O,'Students (Vertical)'!C:C=E765,'Students (Vertical)'!O:O&lt;&gt;"""&amp;""")},countifs({filter('Students (Vertical)'!O:O,'Students (Vertical)'!C:C=B765,'Students (Vertical)'!O:O&lt;&gt;"""");filter('Students (Vertical)'!O:O,'Students (Vertical)'!C:C=E765,'Students (Vertical)'!O:O&lt;&gt;"""")},{filter('Students (Vertical)'!O:O,'Students ("&amp;"Vertical)'!C:C=B765,'Students (Vertical)'!O:O&lt;&gt;"""");filter('Students (Vertical)'!O:O,'Students (Vertical)'!C:C=E765,'Students (Vertical)'!O:O&lt;&gt;"""")})&gt;1))),""No shared courses""),"""")"),"")</f>
        <v/>
      </c>
      <c r="J765" s="357" t="str">
        <f>IFERROR(__xludf.DUMMYFUNCTION("if(H765=""Can't be Together"",iferror(join("", "",unique(filter({filter('Students (Vertical)'!O:O,'Students (Vertical)'!C:C=B765,'Students (Vertical)'!O:O&lt;&gt;"""",'Students (Vertical)'!P:P&gt;1);filter('Students (Vertical)'!O:O,'Students (Vertical)'!C:C=E765,'"&amp;"Students (Vertical)'!O:O&lt;&gt;"""",'Students (Vertical)'!P:P&gt;1)},countifs({filter('Students (Vertical)'!O:O,'Students (Vertical)'!C:C=B765,'Students (Vertical)'!O:O&lt;&gt;"""",'Students (Vertical)'!P:P&gt;1);filter('Students (Vertical)'!O:O,'Students (Vertical)'!C:C="&amp;"E765,'Students (Vertical)'!O:O&lt;&gt;"""",'Students (Vertical)'!P:P&gt;1)},{filter('Students (Vertical)'!O:O,'Students (Vertical)'!C:C=B765,'Students (Vertical)'!O:O&lt;&gt;"""",'Students (Vertical)'!P:P&gt;1);filter('Students (Vertical)'!O:O,'Students (Vertical)'!C:C=E76"&amp;"5,'Students (Vertical)'!O:O&lt;&gt;"""",'Students (Vertical)'!P:P&gt;1)})&gt;1))),""""),"""")"),"")</f>
        <v/>
      </c>
      <c r="K765" s="358"/>
    </row>
    <row r="766">
      <c r="A766" s="300" t="s">
        <v>22</v>
      </c>
      <c r="C766" s="300" t="s">
        <v>22</v>
      </c>
      <c r="D766" s="300" t="s">
        <v>22</v>
      </c>
      <c r="F766" s="300" t="s">
        <v>22</v>
      </c>
      <c r="G766" s="300" t="s">
        <v>22</v>
      </c>
      <c r="I766" s="356" t="str">
        <f>IFERROR(__xludf.DUMMYFUNCTION("if(H766=""Must be Together"",iferror(join("", "",unique(filter({filter('Students (Vertical)'!O:O,'Students (Vertical)'!C:C=B766,'Students (Vertical)'!O:O&lt;&gt;"""");filter('Students (Vertical)'!O:O,'Students (Vertical)'!C:C=E766,'Students (Vertical)'!O:O&lt;&gt;"""&amp;""")},countifs({filter('Students (Vertical)'!O:O,'Students (Vertical)'!C:C=B766,'Students (Vertical)'!O:O&lt;&gt;"""");filter('Students (Vertical)'!O:O,'Students (Vertical)'!C:C=E766,'Students (Vertical)'!O:O&lt;&gt;"""")},{filter('Students (Vertical)'!O:O,'Students ("&amp;"Vertical)'!C:C=B766,'Students (Vertical)'!O:O&lt;&gt;"""");filter('Students (Vertical)'!O:O,'Students (Vertical)'!C:C=E766,'Students (Vertical)'!O:O&lt;&gt;"""")})&gt;1))),""No shared courses""),"""")"),"")</f>
        <v/>
      </c>
      <c r="J766" s="357" t="str">
        <f>IFERROR(__xludf.DUMMYFUNCTION("if(H766=""Can't be Together"",iferror(join("", "",unique(filter({filter('Students (Vertical)'!O:O,'Students (Vertical)'!C:C=B766,'Students (Vertical)'!O:O&lt;&gt;"""",'Students (Vertical)'!P:P&gt;1);filter('Students (Vertical)'!O:O,'Students (Vertical)'!C:C=E766,'"&amp;"Students (Vertical)'!O:O&lt;&gt;"""",'Students (Vertical)'!P:P&gt;1)},countifs({filter('Students (Vertical)'!O:O,'Students (Vertical)'!C:C=B766,'Students (Vertical)'!O:O&lt;&gt;"""",'Students (Vertical)'!P:P&gt;1);filter('Students (Vertical)'!O:O,'Students (Vertical)'!C:C="&amp;"E766,'Students (Vertical)'!O:O&lt;&gt;"""",'Students (Vertical)'!P:P&gt;1)},{filter('Students (Vertical)'!O:O,'Students (Vertical)'!C:C=B766,'Students (Vertical)'!O:O&lt;&gt;"""",'Students (Vertical)'!P:P&gt;1);filter('Students (Vertical)'!O:O,'Students (Vertical)'!C:C=E76"&amp;"6,'Students (Vertical)'!O:O&lt;&gt;"""",'Students (Vertical)'!P:P&gt;1)})&gt;1))),""""),"""")"),"")</f>
        <v/>
      </c>
      <c r="K766" s="358"/>
    </row>
    <row r="767">
      <c r="A767" s="300" t="s">
        <v>22</v>
      </c>
      <c r="C767" s="300" t="s">
        <v>22</v>
      </c>
      <c r="D767" s="300" t="s">
        <v>22</v>
      </c>
      <c r="F767" s="300" t="s">
        <v>22</v>
      </c>
      <c r="G767" s="300" t="s">
        <v>22</v>
      </c>
      <c r="I767" s="356" t="str">
        <f>IFERROR(__xludf.DUMMYFUNCTION("if(H767=""Must be Together"",iferror(join("", "",unique(filter({filter('Students (Vertical)'!O:O,'Students (Vertical)'!C:C=B767,'Students (Vertical)'!O:O&lt;&gt;"""");filter('Students (Vertical)'!O:O,'Students (Vertical)'!C:C=E767,'Students (Vertical)'!O:O&lt;&gt;"""&amp;""")},countifs({filter('Students (Vertical)'!O:O,'Students (Vertical)'!C:C=B767,'Students (Vertical)'!O:O&lt;&gt;"""");filter('Students (Vertical)'!O:O,'Students (Vertical)'!C:C=E767,'Students (Vertical)'!O:O&lt;&gt;"""")},{filter('Students (Vertical)'!O:O,'Students ("&amp;"Vertical)'!C:C=B767,'Students (Vertical)'!O:O&lt;&gt;"""");filter('Students (Vertical)'!O:O,'Students (Vertical)'!C:C=E767,'Students (Vertical)'!O:O&lt;&gt;"""")})&gt;1))),""No shared courses""),"""")"),"")</f>
        <v/>
      </c>
      <c r="J767" s="357" t="str">
        <f>IFERROR(__xludf.DUMMYFUNCTION("if(H767=""Can't be Together"",iferror(join("", "",unique(filter({filter('Students (Vertical)'!O:O,'Students (Vertical)'!C:C=B767,'Students (Vertical)'!O:O&lt;&gt;"""",'Students (Vertical)'!P:P&gt;1);filter('Students (Vertical)'!O:O,'Students (Vertical)'!C:C=E767,'"&amp;"Students (Vertical)'!O:O&lt;&gt;"""",'Students (Vertical)'!P:P&gt;1)},countifs({filter('Students (Vertical)'!O:O,'Students (Vertical)'!C:C=B767,'Students (Vertical)'!O:O&lt;&gt;"""",'Students (Vertical)'!P:P&gt;1);filter('Students (Vertical)'!O:O,'Students (Vertical)'!C:C="&amp;"E767,'Students (Vertical)'!O:O&lt;&gt;"""",'Students (Vertical)'!P:P&gt;1)},{filter('Students (Vertical)'!O:O,'Students (Vertical)'!C:C=B767,'Students (Vertical)'!O:O&lt;&gt;"""",'Students (Vertical)'!P:P&gt;1);filter('Students (Vertical)'!O:O,'Students (Vertical)'!C:C=E76"&amp;"7,'Students (Vertical)'!O:O&lt;&gt;"""",'Students (Vertical)'!P:P&gt;1)})&gt;1))),""""),"""")"),"")</f>
        <v/>
      </c>
      <c r="K767" s="358"/>
    </row>
    <row r="768">
      <c r="A768" s="300" t="s">
        <v>22</v>
      </c>
      <c r="C768" s="300" t="s">
        <v>22</v>
      </c>
      <c r="D768" s="300" t="s">
        <v>22</v>
      </c>
      <c r="F768" s="300" t="s">
        <v>22</v>
      </c>
      <c r="G768" s="300" t="s">
        <v>22</v>
      </c>
      <c r="I768" s="356" t="str">
        <f>IFERROR(__xludf.DUMMYFUNCTION("if(H768=""Must be Together"",iferror(join("", "",unique(filter({filter('Students (Vertical)'!O:O,'Students (Vertical)'!C:C=B768,'Students (Vertical)'!O:O&lt;&gt;"""");filter('Students (Vertical)'!O:O,'Students (Vertical)'!C:C=E768,'Students (Vertical)'!O:O&lt;&gt;"""&amp;""")},countifs({filter('Students (Vertical)'!O:O,'Students (Vertical)'!C:C=B768,'Students (Vertical)'!O:O&lt;&gt;"""");filter('Students (Vertical)'!O:O,'Students (Vertical)'!C:C=E768,'Students (Vertical)'!O:O&lt;&gt;"""")},{filter('Students (Vertical)'!O:O,'Students ("&amp;"Vertical)'!C:C=B768,'Students (Vertical)'!O:O&lt;&gt;"""");filter('Students (Vertical)'!O:O,'Students (Vertical)'!C:C=E768,'Students (Vertical)'!O:O&lt;&gt;"""")})&gt;1))),""No shared courses""),"""")"),"")</f>
        <v/>
      </c>
      <c r="J768" s="357" t="str">
        <f>IFERROR(__xludf.DUMMYFUNCTION("if(H768=""Can't be Together"",iferror(join("", "",unique(filter({filter('Students (Vertical)'!O:O,'Students (Vertical)'!C:C=B768,'Students (Vertical)'!O:O&lt;&gt;"""",'Students (Vertical)'!P:P&gt;1);filter('Students (Vertical)'!O:O,'Students (Vertical)'!C:C=E768,'"&amp;"Students (Vertical)'!O:O&lt;&gt;"""",'Students (Vertical)'!P:P&gt;1)},countifs({filter('Students (Vertical)'!O:O,'Students (Vertical)'!C:C=B768,'Students (Vertical)'!O:O&lt;&gt;"""",'Students (Vertical)'!P:P&gt;1);filter('Students (Vertical)'!O:O,'Students (Vertical)'!C:C="&amp;"E768,'Students (Vertical)'!O:O&lt;&gt;"""",'Students (Vertical)'!P:P&gt;1)},{filter('Students (Vertical)'!O:O,'Students (Vertical)'!C:C=B768,'Students (Vertical)'!O:O&lt;&gt;"""",'Students (Vertical)'!P:P&gt;1);filter('Students (Vertical)'!O:O,'Students (Vertical)'!C:C=E76"&amp;"8,'Students (Vertical)'!O:O&lt;&gt;"""",'Students (Vertical)'!P:P&gt;1)})&gt;1))),""""),"""")"),"")</f>
        <v/>
      </c>
      <c r="K768" s="358"/>
    </row>
    <row r="769">
      <c r="A769" s="300" t="s">
        <v>22</v>
      </c>
      <c r="C769" s="300" t="s">
        <v>22</v>
      </c>
      <c r="D769" s="300" t="s">
        <v>22</v>
      </c>
      <c r="F769" s="300" t="s">
        <v>22</v>
      </c>
      <c r="G769" s="300" t="s">
        <v>22</v>
      </c>
      <c r="I769" s="356" t="str">
        <f>IFERROR(__xludf.DUMMYFUNCTION("if(H769=""Must be Together"",iferror(join("", "",unique(filter({filter('Students (Vertical)'!O:O,'Students (Vertical)'!C:C=B769,'Students (Vertical)'!O:O&lt;&gt;"""");filter('Students (Vertical)'!O:O,'Students (Vertical)'!C:C=E769,'Students (Vertical)'!O:O&lt;&gt;"""&amp;""")},countifs({filter('Students (Vertical)'!O:O,'Students (Vertical)'!C:C=B769,'Students (Vertical)'!O:O&lt;&gt;"""");filter('Students (Vertical)'!O:O,'Students (Vertical)'!C:C=E769,'Students (Vertical)'!O:O&lt;&gt;"""")},{filter('Students (Vertical)'!O:O,'Students ("&amp;"Vertical)'!C:C=B769,'Students (Vertical)'!O:O&lt;&gt;"""");filter('Students (Vertical)'!O:O,'Students (Vertical)'!C:C=E769,'Students (Vertical)'!O:O&lt;&gt;"""")})&gt;1))),""No shared courses""),"""")"),"")</f>
        <v/>
      </c>
      <c r="J769" s="357" t="str">
        <f>IFERROR(__xludf.DUMMYFUNCTION("if(H769=""Can't be Together"",iferror(join("", "",unique(filter({filter('Students (Vertical)'!O:O,'Students (Vertical)'!C:C=B769,'Students (Vertical)'!O:O&lt;&gt;"""",'Students (Vertical)'!P:P&gt;1);filter('Students (Vertical)'!O:O,'Students (Vertical)'!C:C=E769,'"&amp;"Students (Vertical)'!O:O&lt;&gt;"""",'Students (Vertical)'!P:P&gt;1)},countifs({filter('Students (Vertical)'!O:O,'Students (Vertical)'!C:C=B769,'Students (Vertical)'!O:O&lt;&gt;"""",'Students (Vertical)'!P:P&gt;1);filter('Students (Vertical)'!O:O,'Students (Vertical)'!C:C="&amp;"E769,'Students (Vertical)'!O:O&lt;&gt;"""",'Students (Vertical)'!P:P&gt;1)},{filter('Students (Vertical)'!O:O,'Students (Vertical)'!C:C=B769,'Students (Vertical)'!O:O&lt;&gt;"""",'Students (Vertical)'!P:P&gt;1);filter('Students (Vertical)'!O:O,'Students (Vertical)'!C:C=E76"&amp;"9,'Students (Vertical)'!O:O&lt;&gt;"""",'Students (Vertical)'!P:P&gt;1)})&gt;1))),""""),"""")"),"")</f>
        <v/>
      </c>
      <c r="K769" s="358"/>
    </row>
    <row r="770">
      <c r="A770" s="300" t="s">
        <v>22</v>
      </c>
      <c r="C770" s="300" t="s">
        <v>22</v>
      </c>
      <c r="D770" s="300" t="s">
        <v>22</v>
      </c>
      <c r="F770" s="300" t="s">
        <v>22</v>
      </c>
      <c r="G770" s="300" t="s">
        <v>22</v>
      </c>
      <c r="I770" s="356" t="str">
        <f>IFERROR(__xludf.DUMMYFUNCTION("if(H770=""Must be Together"",iferror(join("", "",unique(filter({filter('Students (Vertical)'!O:O,'Students (Vertical)'!C:C=B770,'Students (Vertical)'!O:O&lt;&gt;"""");filter('Students (Vertical)'!O:O,'Students (Vertical)'!C:C=E770,'Students (Vertical)'!O:O&lt;&gt;"""&amp;""")},countifs({filter('Students (Vertical)'!O:O,'Students (Vertical)'!C:C=B770,'Students (Vertical)'!O:O&lt;&gt;"""");filter('Students (Vertical)'!O:O,'Students (Vertical)'!C:C=E770,'Students (Vertical)'!O:O&lt;&gt;"""")},{filter('Students (Vertical)'!O:O,'Students ("&amp;"Vertical)'!C:C=B770,'Students (Vertical)'!O:O&lt;&gt;"""");filter('Students (Vertical)'!O:O,'Students (Vertical)'!C:C=E770,'Students (Vertical)'!O:O&lt;&gt;"""")})&gt;1))),""No shared courses""),"""")"),"")</f>
        <v/>
      </c>
      <c r="J770" s="357" t="str">
        <f>IFERROR(__xludf.DUMMYFUNCTION("if(H770=""Can't be Together"",iferror(join("", "",unique(filter({filter('Students (Vertical)'!O:O,'Students (Vertical)'!C:C=B770,'Students (Vertical)'!O:O&lt;&gt;"""",'Students (Vertical)'!P:P&gt;1);filter('Students (Vertical)'!O:O,'Students (Vertical)'!C:C=E770,'"&amp;"Students (Vertical)'!O:O&lt;&gt;"""",'Students (Vertical)'!P:P&gt;1)},countifs({filter('Students (Vertical)'!O:O,'Students (Vertical)'!C:C=B770,'Students (Vertical)'!O:O&lt;&gt;"""",'Students (Vertical)'!P:P&gt;1);filter('Students (Vertical)'!O:O,'Students (Vertical)'!C:C="&amp;"E770,'Students (Vertical)'!O:O&lt;&gt;"""",'Students (Vertical)'!P:P&gt;1)},{filter('Students (Vertical)'!O:O,'Students (Vertical)'!C:C=B770,'Students (Vertical)'!O:O&lt;&gt;"""",'Students (Vertical)'!P:P&gt;1);filter('Students (Vertical)'!O:O,'Students (Vertical)'!C:C=E77"&amp;"0,'Students (Vertical)'!O:O&lt;&gt;"""",'Students (Vertical)'!P:P&gt;1)})&gt;1))),""""),"""")"),"")</f>
        <v/>
      </c>
      <c r="K770" s="358"/>
    </row>
    <row r="771">
      <c r="A771" s="300" t="s">
        <v>22</v>
      </c>
      <c r="C771" s="300" t="s">
        <v>22</v>
      </c>
      <c r="D771" s="300" t="s">
        <v>22</v>
      </c>
      <c r="F771" s="300" t="s">
        <v>22</v>
      </c>
      <c r="G771" s="300" t="s">
        <v>22</v>
      </c>
      <c r="I771" s="356" t="str">
        <f>IFERROR(__xludf.DUMMYFUNCTION("if(H771=""Must be Together"",iferror(join("", "",unique(filter({filter('Students (Vertical)'!O:O,'Students (Vertical)'!C:C=B771,'Students (Vertical)'!O:O&lt;&gt;"""");filter('Students (Vertical)'!O:O,'Students (Vertical)'!C:C=E771,'Students (Vertical)'!O:O&lt;&gt;"""&amp;""")},countifs({filter('Students (Vertical)'!O:O,'Students (Vertical)'!C:C=B771,'Students (Vertical)'!O:O&lt;&gt;"""");filter('Students (Vertical)'!O:O,'Students (Vertical)'!C:C=E771,'Students (Vertical)'!O:O&lt;&gt;"""")},{filter('Students (Vertical)'!O:O,'Students ("&amp;"Vertical)'!C:C=B771,'Students (Vertical)'!O:O&lt;&gt;"""");filter('Students (Vertical)'!O:O,'Students (Vertical)'!C:C=E771,'Students (Vertical)'!O:O&lt;&gt;"""")})&gt;1))),""No shared courses""),"""")"),"")</f>
        <v/>
      </c>
      <c r="J771" s="357" t="str">
        <f>IFERROR(__xludf.DUMMYFUNCTION("if(H771=""Can't be Together"",iferror(join("", "",unique(filter({filter('Students (Vertical)'!O:O,'Students (Vertical)'!C:C=B771,'Students (Vertical)'!O:O&lt;&gt;"""",'Students (Vertical)'!P:P&gt;1);filter('Students (Vertical)'!O:O,'Students (Vertical)'!C:C=E771,'"&amp;"Students (Vertical)'!O:O&lt;&gt;"""",'Students (Vertical)'!P:P&gt;1)},countifs({filter('Students (Vertical)'!O:O,'Students (Vertical)'!C:C=B771,'Students (Vertical)'!O:O&lt;&gt;"""",'Students (Vertical)'!P:P&gt;1);filter('Students (Vertical)'!O:O,'Students (Vertical)'!C:C="&amp;"E771,'Students (Vertical)'!O:O&lt;&gt;"""",'Students (Vertical)'!P:P&gt;1)},{filter('Students (Vertical)'!O:O,'Students (Vertical)'!C:C=B771,'Students (Vertical)'!O:O&lt;&gt;"""",'Students (Vertical)'!P:P&gt;1);filter('Students (Vertical)'!O:O,'Students (Vertical)'!C:C=E77"&amp;"1,'Students (Vertical)'!O:O&lt;&gt;"""",'Students (Vertical)'!P:P&gt;1)})&gt;1))),""""),"""")"),"")</f>
        <v/>
      </c>
      <c r="K771" s="358"/>
    </row>
    <row r="772">
      <c r="A772" s="300" t="s">
        <v>22</v>
      </c>
      <c r="C772" s="300" t="s">
        <v>22</v>
      </c>
      <c r="D772" s="300" t="s">
        <v>22</v>
      </c>
      <c r="F772" s="300" t="s">
        <v>22</v>
      </c>
      <c r="G772" s="300" t="s">
        <v>22</v>
      </c>
      <c r="I772" s="356" t="str">
        <f>IFERROR(__xludf.DUMMYFUNCTION("if(H772=""Must be Together"",iferror(join("", "",unique(filter({filter('Students (Vertical)'!O:O,'Students (Vertical)'!C:C=B772,'Students (Vertical)'!O:O&lt;&gt;"""");filter('Students (Vertical)'!O:O,'Students (Vertical)'!C:C=E772,'Students (Vertical)'!O:O&lt;&gt;"""&amp;""")},countifs({filter('Students (Vertical)'!O:O,'Students (Vertical)'!C:C=B772,'Students (Vertical)'!O:O&lt;&gt;"""");filter('Students (Vertical)'!O:O,'Students (Vertical)'!C:C=E772,'Students (Vertical)'!O:O&lt;&gt;"""")},{filter('Students (Vertical)'!O:O,'Students ("&amp;"Vertical)'!C:C=B772,'Students (Vertical)'!O:O&lt;&gt;"""");filter('Students (Vertical)'!O:O,'Students (Vertical)'!C:C=E772,'Students (Vertical)'!O:O&lt;&gt;"""")})&gt;1))),""No shared courses""),"""")"),"")</f>
        <v/>
      </c>
      <c r="J772" s="357" t="str">
        <f>IFERROR(__xludf.DUMMYFUNCTION("if(H772=""Can't be Together"",iferror(join("", "",unique(filter({filter('Students (Vertical)'!O:O,'Students (Vertical)'!C:C=B772,'Students (Vertical)'!O:O&lt;&gt;"""",'Students (Vertical)'!P:P&gt;1);filter('Students (Vertical)'!O:O,'Students (Vertical)'!C:C=E772,'"&amp;"Students (Vertical)'!O:O&lt;&gt;"""",'Students (Vertical)'!P:P&gt;1)},countifs({filter('Students (Vertical)'!O:O,'Students (Vertical)'!C:C=B772,'Students (Vertical)'!O:O&lt;&gt;"""",'Students (Vertical)'!P:P&gt;1);filter('Students (Vertical)'!O:O,'Students (Vertical)'!C:C="&amp;"E772,'Students (Vertical)'!O:O&lt;&gt;"""",'Students (Vertical)'!P:P&gt;1)},{filter('Students (Vertical)'!O:O,'Students (Vertical)'!C:C=B772,'Students (Vertical)'!O:O&lt;&gt;"""",'Students (Vertical)'!P:P&gt;1);filter('Students (Vertical)'!O:O,'Students (Vertical)'!C:C=E77"&amp;"2,'Students (Vertical)'!O:O&lt;&gt;"""",'Students (Vertical)'!P:P&gt;1)})&gt;1))),""""),"""")"),"")</f>
        <v/>
      </c>
      <c r="K772" s="358"/>
    </row>
    <row r="773">
      <c r="A773" s="300" t="s">
        <v>22</v>
      </c>
      <c r="C773" s="300" t="s">
        <v>22</v>
      </c>
      <c r="D773" s="300" t="s">
        <v>22</v>
      </c>
      <c r="F773" s="300" t="s">
        <v>22</v>
      </c>
      <c r="G773" s="300" t="s">
        <v>22</v>
      </c>
      <c r="I773" s="356" t="str">
        <f>IFERROR(__xludf.DUMMYFUNCTION("if(H773=""Must be Together"",iferror(join("", "",unique(filter({filter('Students (Vertical)'!O:O,'Students (Vertical)'!C:C=B773,'Students (Vertical)'!O:O&lt;&gt;"""");filter('Students (Vertical)'!O:O,'Students (Vertical)'!C:C=E773,'Students (Vertical)'!O:O&lt;&gt;"""&amp;""")},countifs({filter('Students (Vertical)'!O:O,'Students (Vertical)'!C:C=B773,'Students (Vertical)'!O:O&lt;&gt;"""");filter('Students (Vertical)'!O:O,'Students (Vertical)'!C:C=E773,'Students (Vertical)'!O:O&lt;&gt;"""")},{filter('Students (Vertical)'!O:O,'Students ("&amp;"Vertical)'!C:C=B773,'Students (Vertical)'!O:O&lt;&gt;"""");filter('Students (Vertical)'!O:O,'Students (Vertical)'!C:C=E773,'Students (Vertical)'!O:O&lt;&gt;"""")})&gt;1))),""No shared courses""),"""")"),"")</f>
        <v/>
      </c>
      <c r="J773" s="357" t="str">
        <f>IFERROR(__xludf.DUMMYFUNCTION("if(H773=""Can't be Together"",iferror(join("", "",unique(filter({filter('Students (Vertical)'!O:O,'Students (Vertical)'!C:C=B773,'Students (Vertical)'!O:O&lt;&gt;"""",'Students (Vertical)'!P:P&gt;1);filter('Students (Vertical)'!O:O,'Students (Vertical)'!C:C=E773,'"&amp;"Students (Vertical)'!O:O&lt;&gt;"""",'Students (Vertical)'!P:P&gt;1)},countifs({filter('Students (Vertical)'!O:O,'Students (Vertical)'!C:C=B773,'Students (Vertical)'!O:O&lt;&gt;"""",'Students (Vertical)'!P:P&gt;1);filter('Students (Vertical)'!O:O,'Students (Vertical)'!C:C="&amp;"E773,'Students (Vertical)'!O:O&lt;&gt;"""",'Students (Vertical)'!P:P&gt;1)},{filter('Students (Vertical)'!O:O,'Students (Vertical)'!C:C=B773,'Students (Vertical)'!O:O&lt;&gt;"""",'Students (Vertical)'!P:P&gt;1);filter('Students (Vertical)'!O:O,'Students (Vertical)'!C:C=E77"&amp;"3,'Students (Vertical)'!O:O&lt;&gt;"""",'Students (Vertical)'!P:P&gt;1)})&gt;1))),""""),"""")"),"")</f>
        <v/>
      </c>
      <c r="K773" s="358"/>
    </row>
    <row r="774">
      <c r="A774" s="300" t="s">
        <v>22</v>
      </c>
      <c r="C774" s="300" t="s">
        <v>22</v>
      </c>
      <c r="D774" s="300" t="s">
        <v>22</v>
      </c>
      <c r="F774" s="300" t="s">
        <v>22</v>
      </c>
      <c r="G774" s="300" t="s">
        <v>22</v>
      </c>
      <c r="I774" s="356" t="str">
        <f>IFERROR(__xludf.DUMMYFUNCTION("if(H774=""Must be Together"",iferror(join("", "",unique(filter({filter('Students (Vertical)'!O:O,'Students (Vertical)'!C:C=B774,'Students (Vertical)'!O:O&lt;&gt;"""");filter('Students (Vertical)'!O:O,'Students (Vertical)'!C:C=E774,'Students (Vertical)'!O:O&lt;&gt;"""&amp;""")},countifs({filter('Students (Vertical)'!O:O,'Students (Vertical)'!C:C=B774,'Students (Vertical)'!O:O&lt;&gt;"""");filter('Students (Vertical)'!O:O,'Students (Vertical)'!C:C=E774,'Students (Vertical)'!O:O&lt;&gt;"""")},{filter('Students (Vertical)'!O:O,'Students ("&amp;"Vertical)'!C:C=B774,'Students (Vertical)'!O:O&lt;&gt;"""");filter('Students (Vertical)'!O:O,'Students (Vertical)'!C:C=E774,'Students (Vertical)'!O:O&lt;&gt;"""")})&gt;1))),""No shared courses""),"""")"),"")</f>
        <v/>
      </c>
      <c r="J774" s="357" t="str">
        <f>IFERROR(__xludf.DUMMYFUNCTION("if(H774=""Can't be Together"",iferror(join("", "",unique(filter({filter('Students (Vertical)'!O:O,'Students (Vertical)'!C:C=B774,'Students (Vertical)'!O:O&lt;&gt;"""",'Students (Vertical)'!P:P&gt;1);filter('Students (Vertical)'!O:O,'Students (Vertical)'!C:C=E774,'"&amp;"Students (Vertical)'!O:O&lt;&gt;"""",'Students (Vertical)'!P:P&gt;1)},countifs({filter('Students (Vertical)'!O:O,'Students (Vertical)'!C:C=B774,'Students (Vertical)'!O:O&lt;&gt;"""",'Students (Vertical)'!P:P&gt;1);filter('Students (Vertical)'!O:O,'Students (Vertical)'!C:C="&amp;"E774,'Students (Vertical)'!O:O&lt;&gt;"""",'Students (Vertical)'!P:P&gt;1)},{filter('Students (Vertical)'!O:O,'Students (Vertical)'!C:C=B774,'Students (Vertical)'!O:O&lt;&gt;"""",'Students (Vertical)'!P:P&gt;1);filter('Students (Vertical)'!O:O,'Students (Vertical)'!C:C=E77"&amp;"4,'Students (Vertical)'!O:O&lt;&gt;"""",'Students (Vertical)'!P:P&gt;1)})&gt;1))),""""),"""")"),"")</f>
        <v/>
      </c>
      <c r="K774" s="358"/>
    </row>
    <row r="775">
      <c r="A775" s="300" t="s">
        <v>22</v>
      </c>
      <c r="C775" s="300" t="s">
        <v>22</v>
      </c>
      <c r="D775" s="300" t="s">
        <v>22</v>
      </c>
      <c r="F775" s="300" t="s">
        <v>22</v>
      </c>
      <c r="G775" s="300" t="s">
        <v>22</v>
      </c>
      <c r="I775" s="356" t="str">
        <f>IFERROR(__xludf.DUMMYFUNCTION("if(H775=""Must be Together"",iferror(join("", "",unique(filter({filter('Students (Vertical)'!O:O,'Students (Vertical)'!C:C=B775,'Students (Vertical)'!O:O&lt;&gt;"""");filter('Students (Vertical)'!O:O,'Students (Vertical)'!C:C=E775,'Students (Vertical)'!O:O&lt;&gt;"""&amp;""")},countifs({filter('Students (Vertical)'!O:O,'Students (Vertical)'!C:C=B775,'Students (Vertical)'!O:O&lt;&gt;"""");filter('Students (Vertical)'!O:O,'Students (Vertical)'!C:C=E775,'Students (Vertical)'!O:O&lt;&gt;"""")},{filter('Students (Vertical)'!O:O,'Students ("&amp;"Vertical)'!C:C=B775,'Students (Vertical)'!O:O&lt;&gt;"""");filter('Students (Vertical)'!O:O,'Students (Vertical)'!C:C=E775,'Students (Vertical)'!O:O&lt;&gt;"""")})&gt;1))),""No shared courses""),"""")"),"")</f>
        <v/>
      </c>
      <c r="J775" s="357" t="str">
        <f>IFERROR(__xludf.DUMMYFUNCTION("if(H775=""Can't be Together"",iferror(join("", "",unique(filter({filter('Students (Vertical)'!O:O,'Students (Vertical)'!C:C=B775,'Students (Vertical)'!O:O&lt;&gt;"""",'Students (Vertical)'!P:P&gt;1);filter('Students (Vertical)'!O:O,'Students (Vertical)'!C:C=E775,'"&amp;"Students (Vertical)'!O:O&lt;&gt;"""",'Students (Vertical)'!P:P&gt;1)},countifs({filter('Students (Vertical)'!O:O,'Students (Vertical)'!C:C=B775,'Students (Vertical)'!O:O&lt;&gt;"""",'Students (Vertical)'!P:P&gt;1);filter('Students (Vertical)'!O:O,'Students (Vertical)'!C:C="&amp;"E775,'Students (Vertical)'!O:O&lt;&gt;"""",'Students (Vertical)'!P:P&gt;1)},{filter('Students (Vertical)'!O:O,'Students (Vertical)'!C:C=B775,'Students (Vertical)'!O:O&lt;&gt;"""",'Students (Vertical)'!P:P&gt;1);filter('Students (Vertical)'!O:O,'Students (Vertical)'!C:C=E77"&amp;"5,'Students (Vertical)'!O:O&lt;&gt;"""",'Students (Vertical)'!P:P&gt;1)})&gt;1))),""""),"""")"),"")</f>
        <v/>
      </c>
      <c r="K775" s="358"/>
    </row>
    <row r="776">
      <c r="A776" s="300" t="s">
        <v>22</v>
      </c>
      <c r="C776" s="300" t="s">
        <v>22</v>
      </c>
      <c r="D776" s="300" t="s">
        <v>22</v>
      </c>
      <c r="F776" s="300" t="s">
        <v>22</v>
      </c>
      <c r="G776" s="300" t="s">
        <v>22</v>
      </c>
      <c r="I776" s="356" t="str">
        <f>IFERROR(__xludf.DUMMYFUNCTION("if(H776=""Must be Together"",iferror(join("", "",unique(filter({filter('Students (Vertical)'!O:O,'Students (Vertical)'!C:C=B776,'Students (Vertical)'!O:O&lt;&gt;"""");filter('Students (Vertical)'!O:O,'Students (Vertical)'!C:C=E776,'Students (Vertical)'!O:O&lt;&gt;"""&amp;""")},countifs({filter('Students (Vertical)'!O:O,'Students (Vertical)'!C:C=B776,'Students (Vertical)'!O:O&lt;&gt;"""");filter('Students (Vertical)'!O:O,'Students (Vertical)'!C:C=E776,'Students (Vertical)'!O:O&lt;&gt;"""")},{filter('Students (Vertical)'!O:O,'Students ("&amp;"Vertical)'!C:C=B776,'Students (Vertical)'!O:O&lt;&gt;"""");filter('Students (Vertical)'!O:O,'Students (Vertical)'!C:C=E776,'Students (Vertical)'!O:O&lt;&gt;"""")})&gt;1))),""No shared courses""),"""")"),"")</f>
        <v/>
      </c>
      <c r="J776" s="357" t="str">
        <f>IFERROR(__xludf.DUMMYFUNCTION("if(H776=""Can't be Together"",iferror(join("", "",unique(filter({filter('Students (Vertical)'!O:O,'Students (Vertical)'!C:C=B776,'Students (Vertical)'!O:O&lt;&gt;"""",'Students (Vertical)'!P:P&gt;1);filter('Students (Vertical)'!O:O,'Students (Vertical)'!C:C=E776,'"&amp;"Students (Vertical)'!O:O&lt;&gt;"""",'Students (Vertical)'!P:P&gt;1)},countifs({filter('Students (Vertical)'!O:O,'Students (Vertical)'!C:C=B776,'Students (Vertical)'!O:O&lt;&gt;"""",'Students (Vertical)'!P:P&gt;1);filter('Students (Vertical)'!O:O,'Students (Vertical)'!C:C="&amp;"E776,'Students (Vertical)'!O:O&lt;&gt;"""",'Students (Vertical)'!P:P&gt;1)},{filter('Students (Vertical)'!O:O,'Students (Vertical)'!C:C=B776,'Students (Vertical)'!O:O&lt;&gt;"""",'Students (Vertical)'!P:P&gt;1);filter('Students (Vertical)'!O:O,'Students (Vertical)'!C:C=E77"&amp;"6,'Students (Vertical)'!O:O&lt;&gt;"""",'Students (Vertical)'!P:P&gt;1)})&gt;1))),""""),"""")"),"")</f>
        <v/>
      </c>
      <c r="K776" s="358"/>
    </row>
    <row r="777">
      <c r="A777" s="300" t="s">
        <v>22</v>
      </c>
      <c r="C777" s="300" t="s">
        <v>22</v>
      </c>
      <c r="D777" s="300" t="s">
        <v>22</v>
      </c>
      <c r="F777" s="300" t="s">
        <v>22</v>
      </c>
      <c r="G777" s="300" t="s">
        <v>22</v>
      </c>
      <c r="I777" s="356" t="str">
        <f>IFERROR(__xludf.DUMMYFUNCTION("if(H777=""Must be Together"",iferror(join("", "",unique(filter({filter('Students (Vertical)'!O:O,'Students (Vertical)'!C:C=B777,'Students (Vertical)'!O:O&lt;&gt;"""");filter('Students (Vertical)'!O:O,'Students (Vertical)'!C:C=E777,'Students (Vertical)'!O:O&lt;&gt;"""&amp;""")},countifs({filter('Students (Vertical)'!O:O,'Students (Vertical)'!C:C=B777,'Students (Vertical)'!O:O&lt;&gt;"""");filter('Students (Vertical)'!O:O,'Students (Vertical)'!C:C=E777,'Students (Vertical)'!O:O&lt;&gt;"""")},{filter('Students (Vertical)'!O:O,'Students ("&amp;"Vertical)'!C:C=B777,'Students (Vertical)'!O:O&lt;&gt;"""");filter('Students (Vertical)'!O:O,'Students (Vertical)'!C:C=E777,'Students (Vertical)'!O:O&lt;&gt;"""")})&gt;1))),""No shared courses""),"""")"),"")</f>
        <v/>
      </c>
      <c r="J777" s="357" t="str">
        <f>IFERROR(__xludf.DUMMYFUNCTION("if(H777=""Can't be Together"",iferror(join("", "",unique(filter({filter('Students (Vertical)'!O:O,'Students (Vertical)'!C:C=B777,'Students (Vertical)'!O:O&lt;&gt;"""",'Students (Vertical)'!P:P&gt;1);filter('Students (Vertical)'!O:O,'Students (Vertical)'!C:C=E777,'"&amp;"Students (Vertical)'!O:O&lt;&gt;"""",'Students (Vertical)'!P:P&gt;1)},countifs({filter('Students (Vertical)'!O:O,'Students (Vertical)'!C:C=B777,'Students (Vertical)'!O:O&lt;&gt;"""",'Students (Vertical)'!P:P&gt;1);filter('Students (Vertical)'!O:O,'Students (Vertical)'!C:C="&amp;"E777,'Students (Vertical)'!O:O&lt;&gt;"""",'Students (Vertical)'!P:P&gt;1)},{filter('Students (Vertical)'!O:O,'Students (Vertical)'!C:C=B777,'Students (Vertical)'!O:O&lt;&gt;"""",'Students (Vertical)'!P:P&gt;1);filter('Students (Vertical)'!O:O,'Students (Vertical)'!C:C=E77"&amp;"7,'Students (Vertical)'!O:O&lt;&gt;"""",'Students (Vertical)'!P:P&gt;1)})&gt;1))),""""),"""")"),"")</f>
        <v/>
      </c>
      <c r="K777" s="358"/>
    </row>
    <row r="778">
      <c r="A778" s="300" t="s">
        <v>22</v>
      </c>
      <c r="C778" s="300" t="s">
        <v>22</v>
      </c>
      <c r="D778" s="300" t="s">
        <v>22</v>
      </c>
      <c r="F778" s="300" t="s">
        <v>22</v>
      </c>
      <c r="G778" s="300" t="s">
        <v>22</v>
      </c>
      <c r="I778" s="356" t="str">
        <f>IFERROR(__xludf.DUMMYFUNCTION("if(H778=""Must be Together"",iferror(join("", "",unique(filter({filter('Students (Vertical)'!O:O,'Students (Vertical)'!C:C=B778,'Students (Vertical)'!O:O&lt;&gt;"""");filter('Students (Vertical)'!O:O,'Students (Vertical)'!C:C=E778,'Students (Vertical)'!O:O&lt;&gt;"""&amp;""")},countifs({filter('Students (Vertical)'!O:O,'Students (Vertical)'!C:C=B778,'Students (Vertical)'!O:O&lt;&gt;"""");filter('Students (Vertical)'!O:O,'Students (Vertical)'!C:C=E778,'Students (Vertical)'!O:O&lt;&gt;"""")},{filter('Students (Vertical)'!O:O,'Students ("&amp;"Vertical)'!C:C=B778,'Students (Vertical)'!O:O&lt;&gt;"""");filter('Students (Vertical)'!O:O,'Students (Vertical)'!C:C=E778,'Students (Vertical)'!O:O&lt;&gt;"""")})&gt;1))),""No shared courses""),"""")"),"")</f>
        <v/>
      </c>
      <c r="J778" s="357" t="str">
        <f>IFERROR(__xludf.DUMMYFUNCTION("if(H778=""Can't be Together"",iferror(join("", "",unique(filter({filter('Students (Vertical)'!O:O,'Students (Vertical)'!C:C=B778,'Students (Vertical)'!O:O&lt;&gt;"""",'Students (Vertical)'!P:P&gt;1);filter('Students (Vertical)'!O:O,'Students (Vertical)'!C:C=E778,'"&amp;"Students (Vertical)'!O:O&lt;&gt;"""",'Students (Vertical)'!P:P&gt;1)},countifs({filter('Students (Vertical)'!O:O,'Students (Vertical)'!C:C=B778,'Students (Vertical)'!O:O&lt;&gt;"""",'Students (Vertical)'!P:P&gt;1);filter('Students (Vertical)'!O:O,'Students (Vertical)'!C:C="&amp;"E778,'Students (Vertical)'!O:O&lt;&gt;"""",'Students (Vertical)'!P:P&gt;1)},{filter('Students (Vertical)'!O:O,'Students (Vertical)'!C:C=B778,'Students (Vertical)'!O:O&lt;&gt;"""",'Students (Vertical)'!P:P&gt;1);filter('Students (Vertical)'!O:O,'Students (Vertical)'!C:C=E77"&amp;"8,'Students (Vertical)'!O:O&lt;&gt;"""",'Students (Vertical)'!P:P&gt;1)})&gt;1))),""""),"""")"),"")</f>
        <v/>
      </c>
      <c r="K778" s="358"/>
    </row>
    <row r="779">
      <c r="A779" s="300" t="s">
        <v>22</v>
      </c>
      <c r="C779" s="300" t="s">
        <v>22</v>
      </c>
      <c r="D779" s="300" t="s">
        <v>22</v>
      </c>
      <c r="F779" s="300" t="s">
        <v>22</v>
      </c>
      <c r="G779" s="300" t="s">
        <v>22</v>
      </c>
      <c r="I779" s="356" t="str">
        <f>IFERROR(__xludf.DUMMYFUNCTION("if(H779=""Must be Together"",iferror(join("", "",unique(filter({filter('Students (Vertical)'!O:O,'Students (Vertical)'!C:C=B779,'Students (Vertical)'!O:O&lt;&gt;"""");filter('Students (Vertical)'!O:O,'Students (Vertical)'!C:C=E779,'Students (Vertical)'!O:O&lt;&gt;"""&amp;""")},countifs({filter('Students (Vertical)'!O:O,'Students (Vertical)'!C:C=B779,'Students (Vertical)'!O:O&lt;&gt;"""");filter('Students (Vertical)'!O:O,'Students (Vertical)'!C:C=E779,'Students (Vertical)'!O:O&lt;&gt;"""")},{filter('Students (Vertical)'!O:O,'Students ("&amp;"Vertical)'!C:C=B779,'Students (Vertical)'!O:O&lt;&gt;"""");filter('Students (Vertical)'!O:O,'Students (Vertical)'!C:C=E779,'Students (Vertical)'!O:O&lt;&gt;"""")})&gt;1))),""No shared courses""),"""")"),"")</f>
        <v/>
      </c>
      <c r="J779" s="357" t="str">
        <f>IFERROR(__xludf.DUMMYFUNCTION("if(H779=""Can't be Together"",iferror(join("", "",unique(filter({filter('Students (Vertical)'!O:O,'Students (Vertical)'!C:C=B779,'Students (Vertical)'!O:O&lt;&gt;"""",'Students (Vertical)'!P:P&gt;1);filter('Students (Vertical)'!O:O,'Students (Vertical)'!C:C=E779,'"&amp;"Students (Vertical)'!O:O&lt;&gt;"""",'Students (Vertical)'!P:P&gt;1)},countifs({filter('Students (Vertical)'!O:O,'Students (Vertical)'!C:C=B779,'Students (Vertical)'!O:O&lt;&gt;"""",'Students (Vertical)'!P:P&gt;1);filter('Students (Vertical)'!O:O,'Students (Vertical)'!C:C="&amp;"E779,'Students (Vertical)'!O:O&lt;&gt;"""",'Students (Vertical)'!P:P&gt;1)},{filter('Students (Vertical)'!O:O,'Students (Vertical)'!C:C=B779,'Students (Vertical)'!O:O&lt;&gt;"""",'Students (Vertical)'!P:P&gt;1);filter('Students (Vertical)'!O:O,'Students (Vertical)'!C:C=E77"&amp;"9,'Students (Vertical)'!O:O&lt;&gt;"""",'Students (Vertical)'!P:P&gt;1)})&gt;1))),""""),"""")"),"")</f>
        <v/>
      </c>
      <c r="K779" s="358"/>
    </row>
    <row r="780">
      <c r="A780" s="300" t="s">
        <v>22</v>
      </c>
      <c r="C780" s="300" t="s">
        <v>22</v>
      </c>
      <c r="D780" s="300" t="s">
        <v>22</v>
      </c>
      <c r="F780" s="300" t="s">
        <v>22</v>
      </c>
      <c r="G780" s="300" t="s">
        <v>22</v>
      </c>
      <c r="I780" s="356" t="str">
        <f>IFERROR(__xludf.DUMMYFUNCTION("if(H780=""Must be Together"",iferror(join("", "",unique(filter({filter('Students (Vertical)'!O:O,'Students (Vertical)'!C:C=B780,'Students (Vertical)'!O:O&lt;&gt;"""");filter('Students (Vertical)'!O:O,'Students (Vertical)'!C:C=E780,'Students (Vertical)'!O:O&lt;&gt;"""&amp;""")},countifs({filter('Students (Vertical)'!O:O,'Students (Vertical)'!C:C=B780,'Students (Vertical)'!O:O&lt;&gt;"""");filter('Students (Vertical)'!O:O,'Students (Vertical)'!C:C=E780,'Students (Vertical)'!O:O&lt;&gt;"""")},{filter('Students (Vertical)'!O:O,'Students ("&amp;"Vertical)'!C:C=B780,'Students (Vertical)'!O:O&lt;&gt;"""");filter('Students (Vertical)'!O:O,'Students (Vertical)'!C:C=E780,'Students (Vertical)'!O:O&lt;&gt;"""")})&gt;1))),""No shared courses""),"""")"),"")</f>
        <v/>
      </c>
      <c r="J780" s="357" t="str">
        <f>IFERROR(__xludf.DUMMYFUNCTION("if(H780=""Can't be Together"",iferror(join("", "",unique(filter({filter('Students (Vertical)'!O:O,'Students (Vertical)'!C:C=B780,'Students (Vertical)'!O:O&lt;&gt;"""",'Students (Vertical)'!P:P&gt;1);filter('Students (Vertical)'!O:O,'Students (Vertical)'!C:C=E780,'"&amp;"Students (Vertical)'!O:O&lt;&gt;"""",'Students (Vertical)'!P:P&gt;1)},countifs({filter('Students (Vertical)'!O:O,'Students (Vertical)'!C:C=B780,'Students (Vertical)'!O:O&lt;&gt;"""",'Students (Vertical)'!P:P&gt;1);filter('Students (Vertical)'!O:O,'Students (Vertical)'!C:C="&amp;"E780,'Students (Vertical)'!O:O&lt;&gt;"""",'Students (Vertical)'!P:P&gt;1)},{filter('Students (Vertical)'!O:O,'Students (Vertical)'!C:C=B780,'Students (Vertical)'!O:O&lt;&gt;"""",'Students (Vertical)'!P:P&gt;1);filter('Students (Vertical)'!O:O,'Students (Vertical)'!C:C=E78"&amp;"0,'Students (Vertical)'!O:O&lt;&gt;"""",'Students (Vertical)'!P:P&gt;1)})&gt;1))),""""),"""")"),"")</f>
        <v/>
      </c>
      <c r="K780" s="358"/>
    </row>
    <row r="781">
      <c r="A781" s="300" t="s">
        <v>22</v>
      </c>
      <c r="C781" s="300" t="s">
        <v>22</v>
      </c>
      <c r="D781" s="300" t="s">
        <v>22</v>
      </c>
      <c r="F781" s="300" t="s">
        <v>22</v>
      </c>
      <c r="G781" s="300" t="s">
        <v>22</v>
      </c>
      <c r="I781" s="356" t="str">
        <f>IFERROR(__xludf.DUMMYFUNCTION("if(H781=""Must be Together"",iferror(join("", "",unique(filter({filter('Students (Vertical)'!O:O,'Students (Vertical)'!C:C=B781,'Students (Vertical)'!O:O&lt;&gt;"""");filter('Students (Vertical)'!O:O,'Students (Vertical)'!C:C=E781,'Students (Vertical)'!O:O&lt;&gt;"""&amp;""")},countifs({filter('Students (Vertical)'!O:O,'Students (Vertical)'!C:C=B781,'Students (Vertical)'!O:O&lt;&gt;"""");filter('Students (Vertical)'!O:O,'Students (Vertical)'!C:C=E781,'Students (Vertical)'!O:O&lt;&gt;"""")},{filter('Students (Vertical)'!O:O,'Students ("&amp;"Vertical)'!C:C=B781,'Students (Vertical)'!O:O&lt;&gt;"""");filter('Students (Vertical)'!O:O,'Students (Vertical)'!C:C=E781,'Students (Vertical)'!O:O&lt;&gt;"""")})&gt;1))),""No shared courses""),"""")"),"")</f>
        <v/>
      </c>
      <c r="J781" s="357" t="str">
        <f>IFERROR(__xludf.DUMMYFUNCTION("if(H781=""Can't be Together"",iferror(join("", "",unique(filter({filter('Students (Vertical)'!O:O,'Students (Vertical)'!C:C=B781,'Students (Vertical)'!O:O&lt;&gt;"""",'Students (Vertical)'!P:P&gt;1);filter('Students (Vertical)'!O:O,'Students (Vertical)'!C:C=E781,'"&amp;"Students (Vertical)'!O:O&lt;&gt;"""",'Students (Vertical)'!P:P&gt;1)},countifs({filter('Students (Vertical)'!O:O,'Students (Vertical)'!C:C=B781,'Students (Vertical)'!O:O&lt;&gt;"""",'Students (Vertical)'!P:P&gt;1);filter('Students (Vertical)'!O:O,'Students (Vertical)'!C:C="&amp;"E781,'Students (Vertical)'!O:O&lt;&gt;"""",'Students (Vertical)'!P:P&gt;1)},{filter('Students (Vertical)'!O:O,'Students (Vertical)'!C:C=B781,'Students (Vertical)'!O:O&lt;&gt;"""",'Students (Vertical)'!P:P&gt;1);filter('Students (Vertical)'!O:O,'Students (Vertical)'!C:C=E78"&amp;"1,'Students (Vertical)'!O:O&lt;&gt;"""",'Students (Vertical)'!P:P&gt;1)})&gt;1))),""""),"""")"),"")</f>
        <v/>
      </c>
      <c r="K781" s="358"/>
    </row>
    <row r="782">
      <c r="A782" s="300" t="s">
        <v>22</v>
      </c>
      <c r="C782" s="300" t="s">
        <v>22</v>
      </c>
      <c r="D782" s="300" t="s">
        <v>22</v>
      </c>
      <c r="F782" s="300" t="s">
        <v>22</v>
      </c>
      <c r="G782" s="300" t="s">
        <v>22</v>
      </c>
      <c r="I782" s="356" t="str">
        <f>IFERROR(__xludf.DUMMYFUNCTION("if(H782=""Must be Together"",iferror(join("", "",unique(filter({filter('Students (Vertical)'!O:O,'Students (Vertical)'!C:C=B782,'Students (Vertical)'!O:O&lt;&gt;"""");filter('Students (Vertical)'!O:O,'Students (Vertical)'!C:C=E782,'Students (Vertical)'!O:O&lt;&gt;"""&amp;""")},countifs({filter('Students (Vertical)'!O:O,'Students (Vertical)'!C:C=B782,'Students (Vertical)'!O:O&lt;&gt;"""");filter('Students (Vertical)'!O:O,'Students (Vertical)'!C:C=E782,'Students (Vertical)'!O:O&lt;&gt;"""")},{filter('Students (Vertical)'!O:O,'Students ("&amp;"Vertical)'!C:C=B782,'Students (Vertical)'!O:O&lt;&gt;"""");filter('Students (Vertical)'!O:O,'Students (Vertical)'!C:C=E782,'Students (Vertical)'!O:O&lt;&gt;"""")})&gt;1))),""No shared courses""),"""")"),"")</f>
        <v/>
      </c>
      <c r="J782" s="357" t="str">
        <f>IFERROR(__xludf.DUMMYFUNCTION("if(H782=""Can't be Together"",iferror(join("", "",unique(filter({filter('Students (Vertical)'!O:O,'Students (Vertical)'!C:C=B782,'Students (Vertical)'!O:O&lt;&gt;"""",'Students (Vertical)'!P:P&gt;1);filter('Students (Vertical)'!O:O,'Students (Vertical)'!C:C=E782,'"&amp;"Students (Vertical)'!O:O&lt;&gt;"""",'Students (Vertical)'!P:P&gt;1)},countifs({filter('Students (Vertical)'!O:O,'Students (Vertical)'!C:C=B782,'Students (Vertical)'!O:O&lt;&gt;"""",'Students (Vertical)'!P:P&gt;1);filter('Students (Vertical)'!O:O,'Students (Vertical)'!C:C="&amp;"E782,'Students (Vertical)'!O:O&lt;&gt;"""",'Students (Vertical)'!P:P&gt;1)},{filter('Students (Vertical)'!O:O,'Students (Vertical)'!C:C=B782,'Students (Vertical)'!O:O&lt;&gt;"""",'Students (Vertical)'!P:P&gt;1);filter('Students (Vertical)'!O:O,'Students (Vertical)'!C:C=E78"&amp;"2,'Students (Vertical)'!O:O&lt;&gt;"""",'Students (Vertical)'!P:P&gt;1)})&gt;1))),""""),"""")"),"")</f>
        <v/>
      </c>
      <c r="K782" s="358"/>
    </row>
    <row r="783">
      <c r="A783" s="300" t="s">
        <v>22</v>
      </c>
      <c r="C783" s="300" t="s">
        <v>22</v>
      </c>
      <c r="D783" s="300" t="s">
        <v>22</v>
      </c>
      <c r="F783" s="300" t="s">
        <v>22</v>
      </c>
      <c r="G783" s="300" t="s">
        <v>22</v>
      </c>
      <c r="I783" s="356" t="str">
        <f>IFERROR(__xludf.DUMMYFUNCTION("if(H783=""Must be Together"",iferror(join("", "",unique(filter({filter('Students (Vertical)'!O:O,'Students (Vertical)'!C:C=B783,'Students (Vertical)'!O:O&lt;&gt;"""");filter('Students (Vertical)'!O:O,'Students (Vertical)'!C:C=E783,'Students (Vertical)'!O:O&lt;&gt;"""&amp;""")},countifs({filter('Students (Vertical)'!O:O,'Students (Vertical)'!C:C=B783,'Students (Vertical)'!O:O&lt;&gt;"""");filter('Students (Vertical)'!O:O,'Students (Vertical)'!C:C=E783,'Students (Vertical)'!O:O&lt;&gt;"""")},{filter('Students (Vertical)'!O:O,'Students ("&amp;"Vertical)'!C:C=B783,'Students (Vertical)'!O:O&lt;&gt;"""");filter('Students (Vertical)'!O:O,'Students (Vertical)'!C:C=E783,'Students (Vertical)'!O:O&lt;&gt;"""")})&gt;1))),""No shared courses""),"""")"),"")</f>
        <v/>
      </c>
      <c r="J783" s="357" t="str">
        <f>IFERROR(__xludf.DUMMYFUNCTION("if(H783=""Can't be Together"",iferror(join("", "",unique(filter({filter('Students (Vertical)'!O:O,'Students (Vertical)'!C:C=B783,'Students (Vertical)'!O:O&lt;&gt;"""",'Students (Vertical)'!P:P&gt;1);filter('Students (Vertical)'!O:O,'Students (Vertical)'!C:C=E783,'"&amp;"Students (Vertical)'!O:O&lt;&gt;"""",'Students (Vertical)'!P:P&gt;1)},countifs({filter('Students (Vertical)'!O:O,'Students (Vertical)'!C:C=B783,'Students (Vertical)'!O:O&lt;&gt;"""",'Students (Vertical)'!P:P&gt;1);filter('Students (Vertical)'!O:O,'Students (Vertical)'!C:C="&amp;"E783,'Students (Vertical)'!O:O&lt;&gt;"""",'Students (Vertical)'!P:P&gt;1)},{filter('Students (Vertical)'!O:O,'Students (Vertical)'!C:C=B783,'Students (Vertical)'!O:O&lt;&gt;"""",'Students (Vertical)'!P:P&gt;1);filter('Students (Vertical)'!O:O,'Students (Vertical)'!C:C=E78"&amp;"3,'Students (Vertical)'!O:O&lt;&gt;"""",'Students (Vertical)'!P:P&gt;1)})&gt;1))),""""),"""")"),"")</f>
        <v/>
      </c>
      <c r="K783" s="358"/>
    </row>
    <row r="784">
      <c r="A784" s="300" t="s">
        <v>22</v>
      </c>
      <c r="C784" s="300" t="s">
        <v>22</v>
      </c>
      <c r="D784" s="300" t="s">
        <v>22</v>
      </c>
      <c r="F784" s="300" t="s">
        <v>22</v>
      </c>
      <c r="G784" s="300" t="s">
        <v>22</v>
      </c>
      <c r="I784" s="356" t="str">
        <f>IFERROR(__xludf.DUMMYFUNCTION("if(H784=""Must be Together"",iferror(join("", "",unique(filter({filter('Students (Vertical)'!O:O,'Students (Vertical)'!C:C=B784,'Students (Vertical)'!O:O&lt;&gt;"""");filter('Students (Vertical)'!O:O,'Students (Vertical)'!C:C=E784,'Students (Vertical)'!O:O&lt;&gt;"""&amp;""")},countifs({filter('Students (Vertical)'!O:O,'Students (Vertical)'!C:C=B784,'Students (Vertical)'!O:O&lt;&gt;"""");filter('Students (Vertical)'!O:O,'Students (Vertical)'!C:C=E784,'Students (Vertical)'!O:O&lt;&gt;"""")},{filter('Students (Vertical)'!O:O,'Students ("&amp;"Vertical)'!C:C=B784,'Students (Vertical)'!O:O&lt;&gt;"""");filter('Students (Vertical)'!O:O,'Students (Vertical)'!C:C=E784,'Students (Vertical)'!O:O&lt;&gt;"""")})&gt;1))),""No shared courses""),"""")"),"")</f>
        <v/>
      </c>
      <c r="J784" s="357" t="str">
        <f>IFERROR(__xludf.DUMMYFUNCTION("if(H784=""Can't be Together"",iferror(join("", "",unique(filter({filter('Students (Vertical)'!O:O,'Students (Vertical)'!C:C=B784,'Students (Vertical)'!O:O&lt;&gt;"""",'Students (Vertical)'!P:P&gt;1);filter('Students (Vertical)'!O:O,'Students (Vertical)'!C:C=E784,'"&amp;"Students (Vertical)'!O:O&lt;&gt;"""",'Students (Vertical)'!P:P&gt;1)},countifs({filter('Students (Vertical)'!O:O,'Students (Vertical)'!C:C=B784,'Students (Vertical)'!O:O&lt;&gt;"""",'Students (Vertical)'!P:P&gt;1);filter('Students (Vertical)'!O:O,'Students (Vertical)'!C:C="&amp;"E784,'Students (Vertical)'!O:O&lt;&gt;"""",'Students (Vertical)'!P:P&gt;1)},{filter('Students (Vertical)'!O:O,'Students (Vertical)'!C:C=B784,'Students (Vertical)'!O:O&lt;&gt;"""",'Students (Vertical)'!P:P&gt;1);filter('Students (Vertical)'!O:O,'Students (Vertical)'!C:C=E78"&amp;"4,'Students (Vertical)'!O:O&lt;&gt;"""",'Students (Vertical)'!P:P&gt;1)})&gt;1))),""""),"""")"),"")</f>
        <v/>
      </c>
      <c r="K784" s="358"/>
    </row>
    <row r="785">
      <c r="A785" s="300" t="s">
        <v>22</v>
      </c>
      <c r="C785" s="300" t="s">
        <v>22</v>
      </c>
      <c r="D785" s="300" t="s">
        <v>22</v>
      </c>
      <c r="F785" s="300" t="s">
        <v>22</v>
      </c>
      <c r="G785" s="300" t="s">
        <v>22</v>
      </c>
      <c r="I785" s="356" t="str">
        <f>IFERROR(__xludf.DUMMYFUNCTION("if(H785=""Must be Together"",iferror(join("", "",unique(filter({filter('Students (Vertical)'!O:O,'Students (Vertical)'!C:C=B785,'Students (Vertical)'!O:O&lt;&gt;"""");filter('Students (Vertical)'!O:O,'Students (Vertical)'!C:C=E785,'Students (Vertical)'!O:O&lt;&gt;"""&amp;""")},countifs({filter('Students (Vertical)'!O:O,'Students (Vertical)'!C:C=B785,'Students (Vertical)'!O:O&lt;&gt;"""");filter('Students (Vertical)'!O:O,'Students (Vertical)'!C:C=E785,'Students (Vertical)'!O:O&lt;&gt;"""")},{filter('Students (Vertical)'!O:O,'Students ("&amp;"Vertical)'!C:C=B785,'Students (Vertical)'!O:O&lt;&gt;"""");filter('Students (Vertical)'!O:O,'Students (Vertical)'!C:C=E785,'Students (Vertical)'!O:O&lt;&gt;"""")})&gt;1))),""No shared courses""),"""")"),"")</f>
        <v/>
      </c>
      <c r="J785" s="357" t="str">
        <f>IFERROR(__xludf.DUMMYFUNCTION("if(H785=""Can't be Together"",iferror(join("", "",unique(filter({filter('Students (Vertical)'!O:O,'Students (Vertical)'!C:C=B785,'Students (Vertical)'!O:O&lt;&gt;"""",'Students (Vertical)'!P:P&gt;1);filter('Students (Vertical)'!O:O,'Students (Vertical)'!C:C=E785,'"&amp;"Students (Vertical)'!O:O&lt;&gt;"""",'Students (Vertical)'!P:P&gt;1)},countifs({filter('Students (Vertical)'!O:O,'Students (Vertical)'!C:C=B785,'Students (Vertical)'!O:O&lt;&gt;"""",'Students (Vertical)'!P:P&gt;1);filter('Students (Vertical)'!O:O,'Students (Vertical)'!C:C="&amp;"E785,'Students (Vertical)'!O:O&lt;&gt;"""",'Students (Vertical)'!P:P&gt;1)},{filter('Students (Vertical)'!O:O,'Students (Vertical)'!C:C=B785,'Students (Vertical)'!O:O&lt;&gt;"""",'Students (Vertical)'!P:P&gt;1);filter('Students (Vertical)'!O:O,'Students (Vertical)'!C:C=E78"&amp;"5,'Students (Vertical)'!O:O&lt;&gt;"""",'Students (Vertical)'!P:P&gt;1)})&gt;1))),""""),"""")"),"")</f>
        <v/>
      </c>
      <c r="K785" s="358"/>
    </row>
    <row r="786">
      <c r="A786" s="300" t="s">
        <v>22</v>
      </c>
      <c r="C786" s="300" t="s">
        <v>22</v>
      </c>
      <c r="D786" s="300" t="s">
        <v>22</v>
      </c>
      <c r="F786" s="300" t="s">
        <v>22</v>
      </c>
      <c r="G786" s="300" t="s">
        <v>22</v>
      </c>
      <c r="I786" s="356" t="str">
        <f>IFERROR(__xludf.DUMMYFUNCTION("if(H786=""Must be Together"",iferror(join("", "",unique(filter({filter('Students (Vertical)'!O:O,'Students (Vertical)'!C:C=B786,'Students (Vertical)'!O:O&lt;&gt;"""");filter('Students (Vertical)'!O:O,'Students (Vertical)'!C:C=E786,'Students (Vertical)'!O:O&lt;&gt;"""&amp;""")},countifs({filter('Students (Vertical)'!O:O,'Students (Vertical)'!C:C=B786,'Students (Vertical)'!O:O&lt;&gt;"""");filter('Students (Vertical)'!O:O,'Students (Vertical)'!C:C=E786,'Students (Vertical)'!O:O&lt;&gt;"""")},{filter('Students (Vertical)'!O:O,'Students ("&amp;"Vertical)'!C:C=B786,'Students (Vertical)'!O:O&lt;&gt;"""");filter('Students (Vertical)'!O:O,'Students (Vertical)'!C:C=E786,'Students (Vertical)'!O:O&lt;&gt;"""")})&gt;1))),""No shared courses""),"""")"),"")</f>
        <v/>
      </c>
      <c r="J786" s="357" t="str">
        <f>IFERROR(__xludf.DUMMYFUNCTION("if(H786=""Can't be Together"",iferror(join("", "",unique(filter({filter('Students (Vertical)'!O:O,'Students (Vertical)'!C:C=B786,'Students (Vertical)'!O:O&lt;&gt;"""",'Students (Vertical)'!P:P&gt;1);filter('Students (Vertical)'!O:O,'Students (Vertical)'!C:C=E786,'"&amp;"Students (Vertical)'!O:O&lt;&gt;"""",'Students (Vertical)'!P:P&gt;1)},countifs({filter('Students (Vertical)'!O:O,'Students (Vertical)'!C:C=B786,'Students (Vertical)'!O:O&lt;&gt;"""",'Students (Vertical)'!P:P&gt;1);filter('Students (Vertical)'!O:O,'Students (Vertical)'!C:C="&amp;"E786,'Students (Vertical)'!O:O&lt;&gt;"""",'Students (Vertical)'!P:P&gt;1)},{filter('Students (Vertical)'!O:O,'Students (Vertical)'!C:C=B786,'Students (Vertical)'!O:O&lt;&gt;"""",'Students (Vertical)'!P:P&gt;1);filter('Students (Vertical)'!O:O,'Students (Vertical)'!C:C=E78"&amp;"6,'Students (Vertical)'!O:O&lt;&gt;"""",'Students (Vertical)'!P:P&gt;1)})&gt;1))),""""),"""")"),"")</f>
        <v/>
      </c>
      <c r="K786" s="358"/>
    </row>
    <row r="787">
      <c r="A787" s="300" t="s">
        <v>22</v>
      </c>
      <c r="C787" s="300" t="s">
        <v>22</v>
      </c>
      <c r="D787" s="300" t="s">
        <v>22</v>
      </c>
      <c r="F787" s="300" t="s">
        <v>22</v>
      </c>
      <c r="G787" s="300" t="s">
        <v>22</v>
      </c>
      <c r="I787" s="356" t="str">
        <f>IFERROR(__xludf.DUMMYFUNCTION("if(H787=""Must be Together"",iferror(join("", "",unique(filter({filter('Students (Vertical)'!O:O,'Students (Vertical)'!C:C=B787,'Students (Vertical)'!O:O&lt;&gt;"""");filter('Students (Vertical)'!O:O,'Students (Vertical)'!C:C=E787,'Students (Vertical)'!O:O&lt;&gt;"""&amp;""")},countifs({filter('Students (Vertical)'!O:O,'Students (Vertical)'!C:C=B787,'Students (Vertical)'!O:O&lt;&gt;"""");filter('Students (Vertical)'!O:O,'Students (Vertical)'!C:C=E787,'Students (Vertical)'!O:O&lt;&gt;"""")},{filter('Students (Vertical)'!O:O,'Students ("&amp;"Vertical)'!C:C=B787,'Students (Vertical)'!O:O&lt;&gt;"""");filter('Students (Vertical)'!O:O,'Students (Vertical)'!C:C=E787,'Students (Vertical)'!O:O&lt;&gt;"""")})&gt;1))),""No shared courses""),"""")"),"")</f>
        <v/>
      </c>
      <c r="J787" s="357" t="str">
        <f>IFERROR(__xludf.DUMMYFUNCTION("if(H787=""Can't be Together"",iferror(join("", "",unique(filter({filter('Students (Vertical)'!O:O,'Students (Vertical)'!C:C=B787,'Students (Vertical)'!O:O&lt;&gt;"""",'Students (Vertical)'!P:P&gt;1);filter('Students (Vertical)'!O:O,'Students (Vertical)'!C:C=E787,'"&amp;"Students (Vertical)'!O:O&lt;&gt;"""",'Students (Vertical)'!P:P&gt;1)},countifs({filter('Students (Vertical)'!O:O,'Students (Vertical)'!C:C=B787,'Students (Vertical)'!O:O&lt;&gt;"""",'Students (Vertical)'!P:P&gt;1);filter('Students (Vertical)'!O:O,'Students (Vertical)'!C:C="&amp;"E787,'Students (Vertical)'!O:O&lt;&gt;"""",'Students (Vertical)'!P:P&gt;1)},{filter('Students (Vertical)'!O:O,'Students (Vertical)'!C:C=B787,'Students (Vertical)'!O:O&lt;&gt;"""",'Students (Vertical)'!P:P&gt;1);filter('Students (Vertical)'!O:O,'Students (Vertical)'!C:C=E78"&amp;"7,'Students (Vertical)'!O:O&lt;&gt;"""",'Students (Vertical)'!P:P&gt;1)})&gt;1))),""""),"""")"),"")</f>
        <v/>
      </c>
      <c r="K787" s="358"/>
    </row>
    <row r="788">
      <c r="A788" s="300" t="s">
        <v>22</v>
      </c>
      <c r="C788" s="300" t="s">
        <v>22</v>
      </c>
      <c r="D788" s="300" t="s">
        <v>22</v>
      </c>
      <c r="F788" s="300" t="s">
        <v>22</v>
      </c>
      <c r="G788" s="300" t="s">
        <v>22</v>
      </c>
      <c r="I788" s="356" t="str">
        <f>IFERROR(__xludf.DUMMYFUNCTION("if(H788=""Must be Together"",iferror(join("", "",unique(filter({filter('Students (Vertical)'!O:O,'Students (Vertical)'!C:C=B788,'Students (Vertical)'!O:O&lt;&gt;"""");filter('Students (Vertical)'!O:O,'Students (Vertical)'!C:C=E788,'Students (Vertical)'!O:O&lt;&gt;"""&amp;""")},countifs({filter('Students (Vertical)'!O:O,'Students (Vertical)'!C:C=B788,'Students (Vertical)'!O:O&lt;&gt;"""");filter('Students (Vertical)'!O:O,'Students (Vertical)'!C:C=E788,'Students (Vertical)'!O:O&lt;&gt;"""")},{filter('Students (Vertical)'!O:O,'Students ("&amp;"Vertical)'!C:C=B788,'Students (Vertical)'!O:O&lt;&gt;"""");filter('Students (Vertical)'!O:O,'Students (Vertical)'!C:C=E788,'Students (Vertical)'!O:O&lt;&gt;"""")})&gt;1))),""No shared courses""),"""")"),"")</f>
        <v/>
      </c>
      <c r="J788" s="357" t="str">
        <f>IFERROR(__xludf.DUMMYFUNCTION("if(H788=""Can't be Together"",iferror(join("", "",unique(filter({filter('Students (Vertical)'!O:O,'Students (Vertical)'!C:C=B788,'Students (Vertical)'!O:O&lt;&gt;"""",'Students (Vertical)'!P:P&gt;1);filter('Students (Vertical)'!O:O,'Students (Vertical)'!C:C=E788,'"&amp;"Students (Vertical)'!O:O&lt;&gt;"""",'Students (Vertical)'!P:P&gt;1)},countifs({filter('Students (Vertical)'!O:O,'Students (Vertical)'!C:C=B788,'Students (Vertical)'!O:O&lt;&gt;"""",'Students (Vertical)'!P:P&gt;1);filter('Students (Vertical)'!O:O,'Students (Vertical)'!C:C="&amp;"E788,'Students (Vertical)'!O:O&lt;&gt;"""",'Students (Vertical)'!P:P&gt;1)},{filter('Students (Vertical)'!O:O,'Students (Vertical)'!C:C=B788,'Students (Vertical)'!O:O&lt;&gt;"""",'Students (Vertical)'!P:P&gt;1);filter('Students (Vertical)'!O:O,'Students (Vertical)'!C:C=E78"&amp;"8,'Students (Vertical)'!O:O&lt;&gt;"""",'Students (Vertical)'!P:P&gt;1)})&gt;1))),""""),"""")"),"")</f>
        <v/>
      </c>
      <c r="K788" s="358"/>
    </row>
    <row r="789">
      <c r="A789" s="300" t="s">
        <v>22</v>
      </c>
      <c r="C789" s="300" t="s">
        <v>22</v>
      </c>
      <c r="D789" s="300" t="s">
        <v>22</v>
      </c>
      <c r="F789" s="300" t="s">
        <v>22</v>
      </c>
      <c r="G789" s="300" t="s">
        <v>22</v>
      </c>
      <c r="I789" s="356" t="str">
        <f>IFERROR(__xludf.DUMMYFUNCTION("if(H789=""Must be Together"",iferror(join("", "",unique(filter({filter('Students (Vertical)'!O:O,'Students (Vertical)'!C:C=B789,'Students (Vertical)'!O:O&lt;&gt;"""");filter('Students (Vertical)'!O:O,'Students (Vertical)'!C:C=E789,'Students (Vertical)'!O:O&lt;&gt;"""&amp;""")},countifs({filter('Students (Vertical)'!O:O,'Students (Vertical)'!C:C=B789,'Students (Vertical)'!O:O&lt;&gt;"""");filter('Students (Vertical)'!O:O,'Students (Vertical)'!C:C=E789,'Students (Vertical)'!O:O&lt;&gt;"""")},{filter('Students (Vertical)'!O:O,'Students ("&amp;"Vertical)'!C:C=B789,'Students (Vertical)'!O:O&lt;&gt;"""");filter('Students (Vertical)'!O:O,'Students (Vertical)'!C:C=E789,'Students (Vertical)'!O:O&lt;&gt;"""")})&gt;1))),""No shared courses""),"""")"),"")</f>
        <v/>
      </c>
      <c r="J789" s="357" t="str">
        <f>IFERROR(__xludf.DUMMYFUNCTION("if(H789=""Can't be Together"",iferror(join("", "",unique(filter({filter('Students (Vertical)'!O:O,'Students (Vertical)'!C:C=B789,'Students (Vertical)'!O:O&lt;&gt;"""",'Students (Vertical)'!P:P&gt;1);filter('Students (Vertical)'!O:O,'Students (Vertical)'!C:C=E789,'"&amp;"Students (Vertical)'!O:O&lt;&gt;"""",'Students (Vertical)'!P:P&gt;1)},countifs({filter('Students (Vertical)'!O:O,'Students (Vertical)'!C:C=B789,'Students (Vertical)'!O:O&lt;&gt;"""",'Students (Vertical)'!P:P&gt;1);filter('Students (Vertical)'!O:O,'Students (Vertical)'!C:C="&amp;"E789,'Students (Vertical)'!O:O&lt;&gt;"""",'Students (Vertical)'!P:P&gt;1)},{filter('Students (Vertical)'!O:O,'Students (Vertical)'!C:C=B789,'Students (Vertical)'!O:O&lt;&gt;"""",'Students (Vertical)'!P:P&gt;1);filter('Students (Vertical)'!O:O,'Students (Vertical)'!C:C=E78"&amp;"9,'Students (Vertical)'!O:O&lt;&gt;"""",'Students (Vertical)'!P:P&gt;1)})&gt;1))),""""),"""")"),"")</f>
        <v/>
      </c>
      <c r="K789" s="358"/>
    </row>
    <row r="790">
      <c r="A790" s="300" t="s">
        <v>22</v>
      </c>
      <c r="C790" s="300" t="s">
        <v>22</v>
      </c>
      <c r="D790" s="300" t="s">
        <v>22</v>
      </c>
      <c r="F790" s="300" t="s">
        <v>22</v>
      </c>
      <c r="G790" s="300" t="s">
        <v>22</v>
      </c>
      <c r="I790" s="356" t="str">
        <f>IFERROR(__xludf.DUMMYFUNCTION("if(H790=""Must be Together"",iferror(join("", "",unique(filter({filter('Students (Vertical)'!O:O,'Students (Vertical)'!C:C=B790,'Students (Vertical)'!O:O&lt;&gt;"""");filter('Students (Vertical)'!O:O,'Students (Vertical)'!C:C=E790,'Students (Vertical)'!O:O&lt;&gt;"""&amp;""")},countifs({filter('Students (Vertical)'!O:O,'Students (Vertical)'!C:C=B790,'Students (Vertical)'!O:O&lt;&gt;"""");filter('Students (Vertical)'!O:O,'Students (Vertical)'!C:C=E790,'Students (Vertical)'!O:O&lt;&gt;"""")},{filter('Students (Vertical)'!O:O,'Students ("&amp;"Vertical)'!C:C=B790,'Students (Vertical)'!O:O&lt;&gt;"""");filter('Students (Vertical)'!O:O,'Students (Vertical)'!C:C=E790,'Students (Vertical)'!O:O&lt;&gt;"""")})&gt;1))),""No shared courses""),"""")"),"")</f>
        <v/>
      </c>
      <c r="J790" s="357" t="str">
        <f>IFERROR(__xludf.DUMMYFUNCTION("if(H790=""Can't be Together"",iferror(join("", "",unique(filter({filter('Students (Vertical)'!O:O,'Students (Vertical)'!C:C=B790,'Students (Vertical)'!O:O&lt;&gt;"""",'Students (Vertical)'!P:P&gt;1);filter('Students (Vertical)'!O:O,'Students (Vertical)'!C:C=E790,'"&amp;"Students (Vertical)'!O:O&lt;&gt;"""",'Students (Vertical)'!P:P&gt;1)},countifs({filter('Students (Vertical)'!O:O,'Students (Vertical)'!C:C=B790,'Students (Vertical)'!O:O&lt;&gt;"""",'Students (Vertical)'!P:P&gt;1);filter('Students (Vertical)'!O:O,'Students (Vertical)'!C:C="&amp;"E790,'Students (Vertical)'!O:O&lt;&gt;"""",'Students (Vertical)'!P:P&gt;1)},{filter('Students (Vertical)'!O:O,'Students (Vertical)'!C:C=B790,'Students (Vertical)'!O:O&lt;&gt;"""",'Students (Vertical)'!P:P&gt;1);filter('Students (Vertical)'!O:O,'Students (Vertical)'!C:C=E79"&amp;"0,'Students (Vertical)'!O:O&lt;&gt;"""",'Students (Vertical)'!P:P&gt;1)})&gt;1))),""""),"""")"),"")</f>
        <v/>
      </c>
      <c r="K790" s="358"/>
    </row>
    <row r="791">
      <c r="A791" s="300" t="s">
        <v>22</v>
      </c>
      <c r="C791" s="300" t="s">
        <v>22</v>
      </c>
      <c r="D791" s="300" t="s">
        <v>22</v>
      </c>
      <c r="F791" s="300" t="s">
        <v>22</v>
      </c>
      <c r="G791" s="300" t="s">
        <v>22</v>
      </c>
      <c r="I791" s="356" t="str">
        <f>IFERROR(__xludf.DUMMYFUNCTION("if(H791=""Must be Together"",iferror(join("", "",unique(filter({filter('Students (Vertical)'!O:O,'Students (Vertical)'!C:C=B791,'Students (Vertical)'!O:O&lt;&gt;"""");filter('Students (Vertical)'!O:O,'Students (Vertical)'!C:C=E791,'Students (Vertical)'!O:O&lt;&gt;"""&amp;""")},countifs({filter('Students (Vertical)'!O:O,'Students (Vertical)'!C:C=B791,'Students (Vertical)'!O:O&lt;&gt;"""");filter('Students (Vertical)'!O:O,'Students (Vertical)'!C:C=E791,'Students (Vertical)'!O:O&lt;&gt;"""")},{filter('Students (Vertical)'!O:O,'Students ("&amp;"Vertical)'!C:C=B791,'Students (Vertical)'!O:O&lt;&gt;"""");filter('Students (Vertical)'!O:O,'Students (Vertical)'!C:C=E791,'Students (Vertical)'!O:O&lt;&gt;"""")})&gt;1))),""No shared courses""),"""")"),"")</f>
        <v/>
      </c>
      <c r="J791" s="357" t="str">
        <f>IFERROR(__xludf.DUMMYFUNCTION("if(H791=""Can't be Together"",iferror(join("", "",unique(filter({filter('Students (Vertical)'!O:O,'Students (Vertical)'!C:C=B791,'Students (Vertical)'!O:O&lt;&gt;"""",'Students (Vertical)'!P:P&gt;1);filter('Students (Vertical)'!O:O,'Students (Vertical)'!C:C=E791,'"&amp;"Students (Vertical)'!O:O&lt;&gt;"""",'Students (Vertical)'!P:P&gt;1)},countifs({filter('Students (Vertical)'!O:O,'Students (Vertical)'!C:C=B791,'Students (Vertical)'!O:O&lt;&gt;"""",'Students (Vertical)'!P:P&gt;1);filter('Students (Vertical)'!O:O,'Students (Vertical)'!C:C="&amp;"E791,'Students (Vertical)'!O:O&lt;&gt;"""",'Students (Vertical)'!P:P&gt;1)},{filter('Students (Vertical)'!O:O,'Students (Vertical)'!C:C=B791,'Students (Vertical)'!O:O&lt;&gt;"""",'Students (Vertical)'!P:P&gt;1);filter('Students (Vertical)'!O:O,'Students (Vertical)'!C:C=E79"&amp;"1,'Students (Vertical)'!O:O&lt;&gt;"""",'Students (Vertical)'!P:P&gt;1)})&gt;1))),""""),"""")"),"")</f>
        <v/>
      </c>
      <c r="K791" s="358"/>
    </row>
    <row r="792">
      <c r="A792" s="300" t="s">
        <v>22</v>
      </c>
      <c r="C792" s="300" t="s">
        <v>22</v>
      </c>
      <c r="D792" s="300" t="s">
        <v>22</v>
      </c>
      <c r="F792" s="300" t="s">
        <v>22</v>
      </c>
      <c r="G792" s="300" t="s">
        <v>22</v>
      </c>
      <c r="I792" s="356" t="str">
        <f>IFERROR(__xludf.DUMMYFUNCTION("if(H792=""Must be Together"",iferror(join("", "",unique(filter({filter('Students (Vertical)'!O:O,'Students (Vertical)'!C:C=B792,'Students (Vertical)'!O:O&lt;&gt;"""");filter('Students (Vertical)'!O:O,'Students (Vertical)'!C:C=E792,'Students (Vertical)'!O:O&lt;&gt;"""&amp;""")},countifs({filter('Students (Vertical)'!O:O,'Students (Vertical)'!C:C=B792,'Students (Vertical)'!O:O&lt;&gt;"""");filter('Students (Vertical)'!O:O,'Students (Vertical)'!C:C=E792,'Students (Vertical)'!O:O&lt;&gt;"""")},{filter('Students (Vertical)'!O:O,'Students ("&amp;"Vertical)'!C:C=B792,'Students (Vertical)'!O:O&lt;&gt;"""");filter('Students (Vertical)'!O:O,'Students (Vertical)'!C:C=E792,'Students (Vertical)'!O:O&lt;&gt;"""")})&gt;1))),""No shared courses""),"""")"),"")</f>
        <v/>
      </c>
      <c r="J792" s="357" t="str">
        <f>IFERROR(__xludf.DUMMYFUNCTION("if(H792=""Can't be Together"",iferror(join("", "",unique(filter({filter('Students (Vertical)'!O:O,'Students (Vertical)'!C:C=B792,'Students (Vertical)'!O:O&lt;&gt;"""",'Students (Vertical)'!P:P&gt;1);filter('Students (Vertical)'!O:O,'Students (Vertical)'!C:C=E792,'"&amp;"Students (Vertical)'!O:O&lt;&gt;"""",'Students (Vertical)'!P:P&gt;1)},countifs({filter('Students (Vertical)'!O:O,'Students (Vertical)'!C:C=B792,'Students (Vertical)'!O:O&lt;&gt;"""",'Students (Vertical)'!P:P&gt;1);filter('Students (Vertical)'!O:O,'Students (Vertical)'!C:C="&amp;"E792,'Students (Vertical)'!O:O&lt;&gt;"""",'Students (Vertical)'!P:P&gt;1)},{filter('Students (Vertical)'!O:O,'Students (Vertical)'!C:C=B792,'Students (Vertical)'!O:O&lt;&gt;"""",'Students (Vertical)'!P:P&gt;1);filter('Students (Vertical)'!O:O,'Students (Vertical)'!C:C=E79"&amp;"2,'Students (Vertical)'!O:O&lt;&gt;"""",'Students (Vertical)'!P:P&gt;1)})&gt;1))),""""),"""")"),"")</f>
        <v/>
      </c>
      <c r="K792" s="358"/>
    </row>
    <row r="793">
      <c r="A793" s="300" t="s">
        <v>22</v>
      </c>
      <c r="C793" s="300" t="s">
        <v>22</v>
      </c>
      <c r="D793" s="300" t="s">
        <v>22</v>
      </c>
      <c r="F793" s="300" t="s">
        <v>22</v>
      </c>
      <c r="G793" s="300" t="s">
        <v>22</v>
      </c>
      <c r="I793" s="356" t="str">
        <f>IFERROR(__xludf.DUMMYFUNCTION("if(H793=""Must be Together"",iferror(join("", "",unique(filter({filter('Students (Vertical)'!O:O,'Students (Vertical)'!C:C=B793,'Students (Vertical)'!O:O&lt;&gt;"""");filter('Students (Vertical)'!O:O,'Students (Vertical)'!C:C=E793,'Students (Vertical)'!O:O&lt;&gt;"""&amp;""")},countifs({filter('Students (Vertical)'!O:O,'Students (Vertical)'!C:C=B793,'Students (Vertical)'!O:O&lt;&gt;"""");filter('Students (Vertical)'!O:O,'Students (Vertical)'!C:C=E793,'Students (Vertical)'!O:O&lt;&gt;"""")},{filter('Students (Vertical)'!O:O,'Students ("&amp;"Vertical)'!C:C=B793,'Students (Vertical)'!O:O&lt;&gt;"""");filter('Students (Vertical)'!O:O,'Students (Vertical)'!C:C=E793,'Students (Vertical)'!O:O&lt;&gt;"""")})&gt;1))),""No shared courses""),"""")"),"")</f>
        <v/>
      </c>
      <c r="J793" s="357" t="str">
        <f>IFERROR(__xludf.DUMMYFUNCTION("if(H793=""Can't be Together"",iferror(join("", "",unique(filter({filter('Students (Vertical)'!O:O,'Students (Vertical)'!C:C=B793,'Students (Vertical)'!O:O&lt;&gt;"""",'Students (Vertical)'!P:P&gt;1);filter('Students (Vertical)'!O:O,'Students (Vertical)'!C:C=E793,'"&amp;"Students (Vertical)'!O:O&lt;&gt;"""",'Students (Vertical)'!P:P&gt;1)},countifs({filter('Students (Vertical)'!O:O,'Students (Vertical)'!C:C=B793,'Students (Vertical)'!O:O&lt;&gt;"""",'Students (Vertical)'!P:P&gt;1);filter('Students (Vertical)'!O:O,'Students (Vertical)'!C:C="&amp;"E793,'Students (Vertical)'!O:O&lt;&gt;"""",'Students (Vertical)'!P:P&gt;1)},{filter('Students (Vertical)'!O:O,'Students (Vertical)'!C:C=B793,'Students (Vertical)'!O:O&lt;&gt;"""",'Students (Vertical)'!P:P&gt;1);filter('Students (Vertical)'!O:O,'Students (Vertical)'!C:C=E79"&amp;"3,'Students (Vertical)'!O:O&lt;&gt;"""",'Students (Vertical)'!P:P&gt;1)})&gt;1))),""""),"""")"),"")</f>
        <v/>
      </c>
      <c r="K793" s="358"/>
    </row>
    <row r="794">
      <c r="A794" s="300" t="s">
        <v>22</v>
      </c>
      <c r="C794" s="300" t="s">
        <v>22</v>
      </c>
      <c r="D794" s="300" t="s">
        <v>22</v>
      </c>
      <c r="F794" s="300" t="s">
        <v>22</v>
      </c>
      <c r="G794" s="300" t="s">
        <v>22</v>
      </c>
      <c r="I794" s="356" t="str">
        <f>IFERROR(__xludf.DUMMYFUNCTION("if(H794=""Must be Together"",iferror(join("", "",unique(filter({filter('Students (Vertical)'!O:O,'Students (Vertical)'!C:C=B794,'Students (Vertical)'!O:O&lt;&gt;"""");filter('Students (Vertical)'!O:O,'Students (Vertical)'!C:C=E794,'Students (Vertical)'!O:O&lt;&gt;"""&amp;""")},countifs({filter('Students (Vertical)'!O:O,'Students (Vertical)'!C:C=B794,'Students (Vertical)'!O:O&lt;&gt;"""");filter('Students (Vertical)'!O:O,'Students (Vertical)'!C:C=E794,'Students (Vertical)'!O:O&lt;&gt;"""")},{filter('Students (Vertical)'!O:O,'Students ("&amp;"Vertical)'!C:C=B794,'Students (Vertical)'!O:O&lt;&gt;"""");filter('Students (Vertical)'!O:O,'Students (Vertical)'!C:C=E794,'Students (Vertical)'!O:O&lt;&gt;"""")})&gt;1))),""No shared courses""),"""")"),"")</f>
        <v/>
      </c>
      <c r="J794" s="357" t="str">
        <f>IFERROR(__xludf.DUMMYFUNCTION("if(H794=""Can't be Together"",iferror(join("", "",unique(filter({filter('Students (Vertical)'!O:O,'Students (Vertical)'!C:C=B794,'Students (Vertical)'!O:O&lt;&gt;"""",'Students (Vertical)'!P:P&gt;1);filter('Students (Vertical)'!O:O,'Students (Vertical)'!C:C=E794,'"&amp;"Students (Vertical)'!O:O&lt;&gt;"""",'Students (Vertical)'!P:P&gt;1)},countifs({filter('Students (Vertical)'!O:O,'Students (Vertical)'!C:C=B794,'Students (Vertical)'!O:O&lt;&gt;"""",'Students (Vertical)'!P:P&gt;1);filter('Students (Vertical)'!O:O,'Students (Vertical)'!C:C="&amp;"E794,'Students (Vertical)'!O:O&lt;&gt;"""",'Students (Vertical)'!P:P&gt;1)},{filter('Students (Vertical)'!O:O,'Students (Vertical)'!C:C=B794,'Students (Vertical)'!O:O&lt;&gt;"""",'Students (Vertical)'!P:P&gt;1);filter('Students (Vertical)'!O:O,'Students (Vertical)'!C:C=E79"&amp;"4,'Students (Vertical)'!O:O&lt;&gt;"""",'Students (Vertical)'!P:P&gt;1)})&gt;1))),""""),"""")"),"")</f>
        <v/>
      </c>
      <c r="K794" s="358"/>
    </row>
    <row r="795">
      <c r="A795" s="300" t="s">
        <v>22</v>
      </c>
      <c r="C795" s="300" t="s">
        <v>22</v>
      </c>
      <c r="D795" s="300" t="s">
        <v>22</v>
      </c>
      <c r="F795" s="300" t="s">
        <v>22</v>
      </c>
      <c r="G795" s="300" t="s">
        <v>22</v>
      </c>
      <c r="I795" s="356" t="str">
        <f>IFERROR(__xludf.DUMMYFUNCTION("if(H795=""Must be Together"",iferror(join("", "",unique(filter({filter('Students (Vertical)'!O:O,'Students (Vertical)'!C:C=B795,'Students (Vertical)'!O:O&lt;&gt;"""");filter('Students (Vertical)'!O:O,'Students (Vertical)'!C:C=E795,'Students (Vertical)'!O:O&lt;&gt;"""&amp;""")},countifs({filter('Students (Vertical)'!O:O,'Students (Vertical)'!C:C=B795,'Students (Vertical)'!O:O&lt;&gt;"""");filter('Students (Vertical)'!O:O,'Students (Vertical)'!C:C=E795,'Students (Vertical)'!O:O&lt;&gt;"""")},{filter('Students (Vertical)'!O:O,'Students ("&amp;"Vertical)'!C:C=B795,'Students (Vertical)'!O:O&lt;&gt;"""");filter('Students (Vertical)'!O:O,'Students (Vertical)'!C:C=E795,'Students (Vertical)'!O:O&lt;&gt;"""")})&gt;1))),""No shared courses""),"""")"),"")</f>
        <v/>
      </c>
      <c r="J795" s="357" t="str">
        <f>IFERROR(__xludf.DUMMYFUNCTION("if(H795=""Can't be Together"",iferror(join("", "",unique(filter({filter('Students (Vertical)'!O:O,'Students (Vertical)'!C:C=B795,'Students (Vertical)'!O:O&lt;&gt;"""",'Students (Vertical)'!P:P&gt;1);filter('Students (Vertical)'!O:O,'Students (Vertical)'!C:C=E795,'"&amp;"Students (Vertical)'!O:O&lt;&gt;"""",'Students (Vertical)'!P:P&gt;1)},countifs({filter('Students (Vertical)'!O:O,'Students (Vertical)'!C:C=B795,'Students (Vertical)'!O:O&lt;&gt;"""",'Students (Vertical)'!P:P&gt;1);filter('Students (Vertical)'!O:O,'Students (Vertical)'!C:C="&amp;"E795,'Students (Vertical)'!O:O&lt;&gt;"""",'Students (Vertical)'!P:P&gt;1)},{filter('Students (Vertical)'!O:O,'Students (Vertical)'!C:C=B795,'Students (Vertical)'!O:O&lt;&gt;"""",'Students (Vertical)'!P:P&gt;1);filter('Students (Vertical)'!O:O,'Students (Vertical)'!C:C=E79"&amp;"5,'Students (Vertical)'!O:O&lt;&gt;"""",'Students (Vertical)'!P:P&gt;1)})&gt;1))),""""),"""")"),"")</f>
        <v/>
      </c>
      <c r="K795" s="358"/>
    </row>
    <row r="796">
      <c r="A796" s="300" t="s">
        <v>22</v>
      </c>
      <c r="C796" s="300" t="s">
        <v>22</v>
      </c>
      <c r="D796" s="300" t="s">
        <v>22</v>
      </c>
      <c r="F796" s="300" t="s">
        <v>22</v>
      </c>
      <c r="G796" s="300" t="s">
        <v>22</v>
      </c>
      <c r="I796" s="356" t="str">
        <f>IFERROR(__xludf.DUMMYFUNCTION("if(H796=""Must be Together"",iferror(join("", "",unique(filter({filter('Students (Vertical)'!O:O,'Students (Vertical)'!C:C=B796,'Students (Vertical)'!O:O&lt;&gt;"""");filter('Students (Vertical)'!O:O,'Students (Vertical)'!C:C=E796,'Students (Vertical)'!O:O&lt;&gt;"""&amp;""")},countifs({filter('Students (Vertical)'!O:O,'Students (Vertical)'!C:C=B796,'Students (Vertical)'!O:O&lt;&gt;"""");filter('Students (Vertical)'!O:O,'Students (Vertical)'!C:C=E796,'Students (Vertical)'!O:O&lt;&gt;"""")},{filter('Students (Vertical)'!O:O,'Students ("&amp;"Vertical)'!C:C=B796,'Students (Vertical)'!O:O&lt;&gt;"""");filter('Students (Vertical)'!O:O,'Students (Vertical)'!C:C=E796,'Students (Vertical)'!O:O&lt;&gt;"""")})&gt;1))),""No shared courses""),"""")"),"")</f>
        <v/>
      </c>
      <c r="J796" s="357" t="str">
        <f>IFERROR(__xludf.DUMMYFUNCTION("if(H796=""Can't be Together"",iferror(join("", "",unique(filter({filter('Students (Vertical)'!O:O,'Students (Vertical)'!C:C=B796,'Students (Vertical)'!O:O&lt;&gt;"""",'Students (Vertical)'!P:P&gt;1);filter('Students (Vertical)'!O:O,'Students (Vertical)'!C:C=E796,'"&amp;"Students (Vertical)'!O:O&lt;&gt;"""",'Students (Vertical)'!P:P&gt;1)},countifs({filter('Students (Vertical)'!O:O,'Students (Vertical)'!C:C=B796,'Students (Vertical)'!O:O&lt;&gt;"""",'Students (Vertical)'!P:P&gt;1);filter('Students (Vertical)'!O:O,'Students (Vertical)'!C:C="&amp;"E796,'Students (Vertical)'!O:O&lt;&gt;"""",'Students (Vertical)'!P:P&gt;1)},{filter('Students (Vertical)'!O:O,'Students (Vertical)'!C:C=B796,'Students (Vertical)'!O:O&lt;&gt;"""",'Students (Vertical)'!P:P&gt;1);filter('Students (Vertical)'!O:O,'Students (Vertical)'!C:C=E79"&amp;"6,'Students (Vertical)'!O:O&lt;&gt;"""",'Students (Vertical)'!P:P&gt;1)})&gt;1))),""""),"""")"),"")</f>
        <v/>
      </c>
      <c r="K796" s="358"/>
    </row>
    <row r="797">
      <c r="A797" s="300" t="s">
        <v>22</v>
      </c>
      <c r="C797" s="300" t="s">
        <v>22</v>
      </c>
      <c r="D797" s="300" t="s">
        <v>22</v>
      </c>
      <c r="F797" s="300" t="s">
        <v>22</v>
      </c>
      <c r="G797" s="300" t="s">
        <v>22</v>
      </c>
      <c r="I797" s="356" t="str">
        <f>IFERROR(__xludf.DUMMYFUNCTION("if(H797=""Must be Together"",iferror(join("", "",unique(filter({filter('Students (Vertical)'!O:O,'Students (Vertical)'!C:C=B797,'Students (Vertical)'!O:O&lt;&gt;"""");filter('Students (Vertical)'!O:O,'Students (Vertical)'!C:C=E797,'Students (Vertical)'!O:O&lt;&gt;"""&amp;""")},countifs({filter('Students (Vertical)'!O:O,'Students (Vertical)'!C:C=B797,'Students (Vertical)'!O:O&lt;&gt;"""");filter('Students (Vertical)'!O:O,'Students (Vertical)'!C:C=E797,'Students (Vertical)'!O:O&lt;&gt;"""")},{filter('Students (Vertical)'!O:O,'Students ("&amp;"Vertical)'!C:C=B797,'Students (Vertical)'!O:O&lt;&gt;"""");filter('Students (Vertical)'!O:O,'Students (Vertical)'!C:C=E797,'Students (Vertical)'!O:O&lt;&gt;"""")})&gt;1))),""No shared courses""),"""")"),"")</f>
        <v/>
      </c>
      <c r="J797" s="357" t="str">
        <f>IFERROR(__xludf.DUMMYFUNCTION("if(H797=""Can't be Together"",iferror(join("", "",unique(filter({filter('Students (Vertical)'!O:O,'Students (Vertical)'!C:C=B797,'Students (Vertical)'!O:O&lt;&gt;"""",'Students (Vertical)'!P:P&gt;1);filter('Students (Vertical)'!O:O,'Students (Vertical)'!C:C=E797,'"&amp;"Students (Vertical)'!O:O&lt;&gt;"""",'Students (Vertical)'!P:P&gt;1)},countifs({filter('Students (Vertical)'!O:O,'Students (Vertical)'!C:C=B797,'Students (Vertical)'!O:O&lt;&gt;"""",'Students (Vertical)'!P:P&gt;1);filter('Students (Vertical)'!O:O,'Students (Vertical)'!C:C="&amp;"E797,'Students (Vertical)'!O:O&lt;&gt;"""",'Students (Vertical)'!P:P&gt;1)},{filter('Students (Vertical)'!O:O,'Students (Vertical)'!C:C=B797,'Students (Vertical)'!O:O&lt;&gt;"""",'Students (Vertical)'!P:P&gt;1);filter('Students (Vertical)'!O:O,'Students (Vertical)'!C:C=E79"&amp;"7,'Students (Vertical)'!O:O&lt;&gt;"""",'Students (Vertical)'!P:P&gt;1)})&gt;1))),""""),"""")"),"")</f>
        <v/>
      </c>
      <c r="K797" s="358"/>
    </row>
    <row r="798">
      <c r="A798" s="300" t="s">
        <v>22</v>
      </c>
      <c r="C798" s="300" t="s">
        <v>22</v>
      </c>
      <c r="D798" s="300" t="s">
        <v>22</v>
      </c>
      <c r="F798" s="300" t="s">
        <v>22</v>
      </c>
      <c r="G798" s="300" t="s">
        <v>22</v>
      </c>
      <c r="I798" s="356" t="str">
        <f>IFERROR(__xludf.DUMMYFUNCTION("if(H798=""Must be Together"",iferror(join("", "",unique(filter({filter('Students (Vertical)'!O:O,'Students (Vertical)'!C:C=B798,'Students (Vertical)'!O:O&lt;&gt;"""");filter('Students (Vertical)'!O:O,'Students (Vertical)'!C:C=E798,'Students (Vertical)'!O:O&lt;&gt;"""&amp;""")},countifs({filter('Students (Vertical)'!O:O,'Students (Vertical)'!C:C=B798,'Students (Vertical)'!O:O&lt;&gt;"""");filter('Students (Vertical)'!O:O,'Students (Vertical)'!C:C=E798,'Students (Vertical)'!O:O&lt;&gt;"""")},{filter('Students (Vertical)'!O:O,'Students ("&amp;"Vertical)'!C:C=B798,'Students (Vertical)'!O:O&lt;&gt;"""");filter('Students (Vertical)'!O:O,'Students (Vertical)'!C:C=E798,'Students (Vertical)'!O:O&lt;&gt;"""")})&gt;1))),""No shared courses""),"""")"),"")</f>
        <v/>
      </c>
      <c r="J798" s="357" t="str">
        <f>IFERROR(__xludf.DUMMYFUNCTION("if(H798=""Can't be Together"",iferror(join("", "",unique(filter({filter('Students (Vertical)'!O:O,'Students (Vertical)'!C:C=B798,'Students (Vertical)'!O:O&lt;&gt;"""",'Students (Vertical)'!P:P&gt;1);filter('Students (Vertical)'!O:O,'Students (Vertical)'!C:C=E798,'"&amp;"Students (Vertical)'!O:O&lt;&gt;"""",'Students (Vertical)'!P:P&gt;1)},countifs({filter('Students (Vertical)'!O:O,'Students (Vertical)'!C:C=B798,'Students (Vertical)'!O:O&lt;&gt;"""",'Students (Vertical)'!P:P&gt;1);filter('Students (Vertical)'!O:O,'Students (Vertical)'!C:C="&amp;"E798,'Students (Vertical)'!O:O&lt;&gt;"""",'Students (Vertical)'!P:P&gt;1)},{filter('Students (Vertical)'!O:O,'Students (Vertical)'!C:C=B798,'Students (Vertical)'!O:O&lt;&gt;"""",'Students (Vertical)'!P:P&gt;1);filter('Students (Vertical)'!O:O,'Students (Vertical)'!C:C=E79"&amp;"8,'Students (Vertical)'!O:O&lt;&gt;"""",'Students (Vertical)'!P:P&gt;1)})&gt;1))),""""),"""")"),"")</f>
        <v/>
      </c>
      <c r="K798" s="358"/>
    </row>
    <row r="799">
      <c r="A799" s="300" t="s">
        <v>22</v>
      </c>
      <c r="C799" s="300" t="s">
        <v>22</v>
      </c>
      <c r="D799" s="300" t="s">
        <v>22</v>
      </c>
      <c r="F799" s="300" t="s">
        <v>22</v>
      </c>
      <c r="G799" s="300" t="s">
        <v>22</v>
      </c>
      <c r="I799" s="356" t="str">
        <f>IFERROR(__xludf.DUMMYFUNCTION("if(H799=""Must be Together"",iferror(join("", "",unique(filter({filter('Students (Vertical)'!O:O,'Students (Vertical)'!C:C=B799,'Students (Vertical)'!O:O&lt;&gt;"""");filter('Students (Vertical)'!O:O,'Students (Vertical)'!C:C=E799,'Students (Vertical)'!O:O&lt;&gt;"""&amp;""")},countifs({filter('Students (Vertical)'!O:O,'Students (Vertical)'!C:C=B799,'Students (Vertical)'!O:O&lt;&gt;"""");filter('Students (Vertical)'!O:O,'Students (Vertical)'!C:C=E799,'Students (Vertical)'!O:O&lt;&gt;"""")},{filter('Students (Vertical)'!O:O,'Students ("&amp;"Vertical)'!C:C=B799,'Students (Vertical)'!O:O&lt;&gt;"""");filter('Students (Vertical)'!O:O,'Students (Vertical)'!C:C=E799,'Students (Vertical)'!O:O&lt;&gt;"""")})&gt;1))),""No shared courses""),"""")"),"")</f>
        <v/>
      </c>
      <c r="J799" s="357" t="str">
        <f>IFERROR(__xludf.DUMMYFUNCTION("if(H799=""Can't be Together"",iferror(join("", "",unique(filter({filter('Students (Vertical)'!O:O,'Students (Vertical)'!C:C=B799,'Students (Vertical)'!O:O&lt;&gt;"""",'Students (Vertical)'!P:P&gt;1);filter('Students (Vertical)'!O:O,'Students (Vertical)'!C:C=E799,'"&amp;"Students (Vertical)'!O:O&lt;&gt;"""",'Students (Vertical)'!P:P&gt;1)},countifs({filter('Students (Vertical)'!O:O,'Students (Vertical)'!C:C=B799,'Students (Vertical)'!O:O&lt;&gt;"""",'Students (Vertical)'!P:P&gt;1);filter('Students (Vertical)'!O:O,'Students (Vertical)'!C:C="&amp;"E799,'Students (Vertical)'!O:O&lt;&gt;"""",'Students (Vertical)'!P:P&gt;1)},{filter('Students (Vertical)'!O:O,'Students (Vertical)'!C:C=B799,'Students (Vertical)'!O:O&lt;&gt;"""",'Students (Vertical)'!P:P&gt;1);filter('Students (Vertical)'!O:O,'Students (Vertical)'!C:C=E79"&amp;"9,'Students (Vertical)'!O:O&lt;&gt;"""",'Students (Vertical)'!P:P&gt;1)})&gt;1))),""""),"""")"),"")</f>
        <v/>
      </c>
      <c r="K799" s="358"/>
    </row>
    <row r="800">
      <c r="A800" s="300" t="s">
        <v>22</v>
      </c>
      <c r="C800" s="300" t="s">
        <v>22</v>
      </c>
      <c r="D800" s="300" t="s">
        <v>22</v>
      </c>
      <c r="F800" s="300" t="s">
        <v>22</v>
      </c>
      <c r="G800" s="300" t="s">
        <v>22</v>
      </c>
      <c r="I800" s="356" t="str">
        <f>IFERROR(__xludf.DUMMYFUNCTION("if(H800=""Must be Together"",iferror(join("", "",unique(filter({filter('Students (Vertical)'!O:O,'Students (Vertical)'!C:C=B800,'Students (Vertical)'!O:O&lt;&gt;"""");filter('Students (Vertical)'!O:O,'Students (Vertical)'!C:C=E800,'Students (Vertical)'!O:O&lt;&gt;"""&amp;""")},countifs({filter('Students (Vertical)'!O:O,'Students (Vertical)'!C:C=B800,'Students (Vertical)'!O:O&lt;&gt;"""");filter('Students (Vertical)'!O:O,'Students (Vertical)'!C:C=E800,'Students (Vertical)'!O:O&lt;&gt;"""")},{filter('Students (Vertical)'!O:O,'Students ("&amp;"Vertical)'!C:C=B800,'Students (Vertical)'!O:O&lt;&gt;"""");filter('Students (Vertical)'!O:O,'Students (Vertical)'!C:C=E800,'Students (Vertical)'!O:O&lt;&gt;"""")})&gt;1))),""No shared courses""),"""")"),"")</f>
        <v/>
      </c>
      <c r="J800" s="357" t="str">
        <f>IFERROR(__xludf.DUMMYFUNCTION("if(H800=""Can't be Together"",iferror(join("", "",unique(filter({filter('Students (Vertical)'!O:O,'Students (Vertical)'!C:C=B800,'Students (Vertical)'!O:O&lt;&gt;"""",'Students (Vertical)'!P:P&gt;1);filter('Students (Vertical)'!O:O,'Students (Vertical)'!C:C=E800,'"&amp;"Students (Vertical)'!O:O&lt;&gt;"""",'Students (Vertical)'!P:P&gt;1)},countifs({filter('Students (Vertical)'!O:O,'Students (Vertical)'!C:C=B800,'Students (Vertical)'!O:O&lt;&gt;"""",'Students (Vertical)'!P:P&gt;1);filter('Students (Vertical)'!O:O,'Students (Vertical)'!C:C="&amp;"E800,'Students (Vertical)'!O:O&lt;&gt;"""",'Students (Vertical)'!P:P&gt;1)},{filter('Students (Vertical)'!O:O,'Students (Vertical)'!C:C=B800,'Students (Vertical)'!O:O&lt;&gt;"""",'Students (Vertical)'!P:P&gt;1);filter('Students (Vertical)'!O:O,'Students (Vertical)'!C:C=E80"&amp;"0,'Students (Vertical)'!O:O&lt;&gt;"""",'Students (Vertical)'!P:P&gt;1)})&gt;1))),""""),"""")"),"")</f>
        <v/>
      </c>
      <c r="K800" s="358"/>
    </row>
    <row r="801">
      <c r="A801" s="300" t="s">
        <v>22</v>
      </c>
      <c r="C801" s="300" t="s">
        <v>22</v>
      </c>
      <c r="D801" s="300" t="s">
        <v>22</v>
      </c>
      <c r="F801" s="300" t="s">
        <v>22</v>
      </c>
      <c r="G801" s="300" t="s">
        <v>22</v>
      </c>
      <c r="I801" s="356" t="str">
        <f>IFERROR(__xludf.DUMMYFUNCTION("if(H801=""Must be Together"",iferror(join("", "",unique(filter({filter('Students (Vertical)'!O:O,'Students (Vertical)'!C:C=B801,'Students (Vertical)'!O:O&lt;&gt;"""");filter('Students (Vertical)'!O:O,'Students (Vertical)'!C:C=E801,'Students (Vertical)'!O:O&lt;&gt;"""&amp;""")},countifs({filter('Students (Vertical)'!O:O,'Students (Vertical)'!C:C=B801,'Students (Vertical)'!O:O&lt;&gt;"""");filter('Students (Vertical)'!O:O,'Students (Vertical)'!C:C=E801,'Students (Vertical)'!O:O&lt;&gt;"""")},{filter('Students (Vertical)'!O:O,'Students ("&amp;"Vertical)'!C:C=B801,'Students (Vertical)'!O:O&lt;&gt;"""");filter('Students (Vertical)'!O:O,'Students (Vertical)'!C:C=E801,'Students (Vertical)'!O:O&lt;&gt;"""")})&gt;1))),""No shared courses""),"""")"),"")</f>
        <v/>
      </c>
      <c r="J801" s="357" t="str">
        <f>IFERROR(__xludf.DUMMYFUNCTION("if(H801=""Can't be Together"",iferror(join("", "",unique(filter({filter('Students (Vertical)'!O:O,'Students (Vertical)'!C:C=B801,'Students (Vertical)'!O:O&lt;&gt;"""",'Students (Vertical)'!P:P&gt;1);filter('Students (Vertical)'!O:O,'Students (Vertical)'!C:C=E801,'"&amp;"Students (Vertical)'!O:O&lt;&gt;"""",'Students (Vertical)'!P:P&gt;1)},countifs({filter('Students (Vertical)'!O:O,'Students (Vertical)'!C:C=B801,'Students (Vertical)'!O:O&lt;&gt;"""",'Students (Vertical)'!P:P&gt;1);filter('Students (Vertical)'!O:O,'Students (Vertical)'!C:C="&amp;"E801,'Students (Vertical)'!O:O&lt;&gt;"""",'Students (Vertical)'!P:P&gt;1)},{filter('Students (Vertical)'!O:O,'Students (Vertical)'!C:C=B801,'Students (Vertical)'!O:O&lt;&gt;"""",'Students (Vertical)'!P:P&gt;1);filter('Students (Vertical)'!O:O,'Students (Vertical)'!C:C=E80"&amp;"1,'Students (Vertical)'!O:O&lt;&gt;"""",'Students (Vertical)'!P:P&gt;1)})&gt;1))),""""),"""")"),"")</f>
        <v/>
      </c>
      <c r="K801" s="358"/>
    </row>
    <row r="802">
      <c r="A802" s="300" t="s">
        <v>22</v>
      </c>
      <c r="C802" s="300" t="s">
        <v>22</v>
      </c>
      <c r="D802" s="300" t="s">
        <v>22</v>
      </c>
      <c r="F802" s="300" t="s">
        <v>22</v>
      </c>
      <c r="G802" s="300" t="s">
        <v>22</v>
      </c>
      <c r="I802" s="356" t="str">
        <f>IFERROR(__xludf.DUMMYFUNCTION("if(H802=""Must be Together"",iferror(join("", "",unique(filter({filter('Students (Vertical)'!O:O,'Students (Vertical)'!C:C=B802,'Students (Vertical)'!O:O&lt;&gt;"""");filter('Students (Vertical)'!O:O,'Students (Vertical)'!C:C=E802,'Students (Vertical)'!O:O&lt;&gt;"""&amp;""")},countifs({filter('Students (Vertical)'!O:O,'Students (Vertical)'!C:C=B802,'Students (Vertical)'!O:O&lt;&gt;"""");filter('Students (Vertical)'!O:O,'Students (Vertical)'!C:C=E802,'Students (Vertical)'!O:O&lt;&gt;"""")},{filter('Students (Vertical)'!O:O,'Students ("&amp;"Vertical)'!C:C=B802,'Students (Vertical)'!O:O&lt;&gt;"""");filter('Students (Vertical)'!O:O,'Students (Vertical)'!C:C=E802,'Students (Vertical)'!O:O&lt;&gt;"""")})&gt;1))),""No shared courses""),"""")"),"")</f>
        <v/>
      </c>
      <c r="J802" s="357" t="str">
        <f>IFERROR(__xludf.DUMMYFUNCTION("if(H802=""Can't be Together"",iferror(join("", "",unique(filter({filter('Students (Vertical)'!O:O,'Students (Vertical)'!C:C=B802,'Students (Vertical)'!O:O&lt;&gt;"""",'Students (Vertical)'!P:P&gt;1);filter('Students (Vertical)'!O:O,'Students (Vertical)'!C:C=E802,'"&amp;"Students (Vertical)'!O:O&lt;&gt;"""",'Students (Vertical)'!P:P&gt;1)},countifs({filter('Students (Vertical)'!O:O,'Students (Vertical)'!C:C=B802,'Students (Vertical)'!O:O&lt;&gt;"""",'Students (Vertical)'!P:P&gt;1);filter('Students (Vertical)'!O:O,'Students (Vertical)'!C:C="&amp;"E802,'Students (Vertical)'!O:O&lt;&gt;"""",'Students (Vertical)'!P:P&gt;1)},{filter('Students (Vertical)'!O:O,'Students (Vertical)'!C:C=B802,'Students (Vertical)'!O:O&lt;&gt;"""",'Students (Vertical)'!P:P&gt;1);filter('Students (Vertical)'!O:O,'Students (Vertical)'!C:C=E80"&amp;"2,'Students (Vertical)'!O:O&lt;&gt;"""",'Students (Vertical)'!P:P&gt;1)})&gt;1))),""""),"""")"),"")</f>
        <v/>
      </c>
      <c r="K802" s="358"/>
    </row>
    <row r="803">
      <c r="A803" s="300" t="s">
        <v>22</v>
      </c>
      <c r="C803" s="300" t="s">
        <v>22</v>
      </c>
      <c r="D803" s="300" t="s">
        <v>22</v>
      </c>
      <c r="F803" s="300" t="s">
        <v>22</v>
      </c>
      <c r="G803" s="300" t="s">
        <v>22</v>
      </c>
      <c r="I803" s="356" t="str">
        <f>IFERROR(__xludf.DUMMYFUNCTION("if(H803=""Must be Together"",iferror(join("", "",unique(filter({filter('Students (Vertical)'!O:O,'Students (Vertical)'!C:C=B803,'Students (Vertical)'!O:O&lt;&gt;"""");filter('Students (Vertical)'!O:O,'Students (Vertical)'!C:C=E803,'Students (Vertical)'!O:O&lt;&gt;"""&amp;""")},countifs({filter('Students (Vertical)'!O:O,'Students (Vertical)'!C:C=B803,'Students (Vertical)'!O:O&lt;&gt;"""");filter('Students (Vertical)'!O:O,'Students (Vertical)'!C:C=E803,'Students (Vertical)'!O:O&lt;&gt;"""")},{filter('Students (Vertical)'!O:O,'Students ("&amp;"Vertical)'!C:C=B803,'Students (Vertical)'!O:O&lt;&gt;"""");filter('Students (Vertical)'!O:O,'Students (Vertical)'!C:C=E803,'Students (Vertical)'!O:O&lt;&gt;"""")})&gt;1))),""No shared courses""),"""")"),"")</f>
        <v/>
      </c>
      <c r="J803" s="357" t="str">
        <f>IFERROR(__xludf.DUMMYFUNCTION("if(H803=""Can't be Together"",iferror(join("", "",unique(filter({filter('Students (Vertical)'!O:O,'Students (Vertical)'!C:C=B803,'Students (Vertical)'!O:O&lt;&gt;"""",'Students (Vertical)'!P:P&gt;1);filter('Students (Vertical)'!O:O,'Students (Vertical)'!C:C=E803,'"&amp;"Students (Vertical)'!O:O&lt;&gt;"""",'Students (Vertical)'!P:P&gt;1)},countifs({filter('Students (Vertical)'!O:O,'Students (Vertical)'!C:C=B803,'Students (Vertical)'!O:O&lt;&gt;"""",'Students (Vertical)'!P:P&gt;1);filter('Students (Vertical)'!O:O,'Students (Vertical)'!C:C="&amp;"E803,'Students (Vertical)'!O:O&lt;&gt;"""",'Students (Vertical)'!P:P&gt;1)},{filter('Students (Vertical)'!O:O,'Students (Vertical)'!C:C=B803,'Students (Vertical)'!O:O&lt;&gt;"""",'Students (Vertical)'!P:P&gt;1);filter('Students (Vertical)'!O:O,'Students (Vertical)'!C:C=E80"&amp;"3,'Students (Vertical)'!O:O&lt;&gt;"""",'Students (Vertical)'!P:P&gt;1)})&gt;1))),""""),"""")"),"")</f>
        <v/>
      </c>
      <c r="K803" s="358"/>
    </row>
    <row r="804">
      <c r="A804" s="300" t="s">
        <v>22</v>
      </c>
      <c r="C804" s="300" t="s">
        <v>22</v>
      </c>
      <c r="D804" s="300" t="s">
        <v>22</v>
      </c>
      <c r="F804" s="300" t="s">
        <v>22</v>
      </c>
      <c r="G804" s="300" t="s">
        <v>22</v>
      </c>
      <c r="I804" s="356" t="str">
        <f>IFERROR(__xludf.DUMMYFUNCTION("if(H804=""Must be Together"",iferror(join("", "",unique(filter({filter('Students (Vertical)'!O:O,'Students (Vertical)'!C:C=B804,'Students (Vertical)'!O:O&lt;&gt;"""");filter('Students (Vertical)'!O:O,'Students (Vertical)'!C:C=E804,'Students (Vertical)'!O:O&lt;&gt;"""&amp;""")},countifs({filter('Students (Vertical)'!O:O,'Students (Vertical)'!C:C=B804,'Students (Vertical)'!O:O&lt;&gt;"""");filter('Students (Vertical)'!O:O,'Students (Vertical)'!C:C=E804,'Students (Vertical)'!O:O&lt;&gt;"""")},{filter('Students (Vertical)'!O:O,'Students ("&amp;"Vertical)'!C:C=B804,'Students (Vertical)'!O:O&lt;&gt;"""");filter('Students (Vertical)'!O:O,'Students (Vertical)'!C:C=E804,'Students (Vertical)'!O:O&lt;&gt;"""")})&gt;1))),""No shared courses""),"""")"),"")</f>
        <v/>
      </c>
      <c r="J804" s="357" t="str">
        <f>IFERROR(__xludf.DUMMYFUNCTION("if(H804=""Can't be Together"",iferror(join("", "",unique(filter({filter('Students (Vertical)'!O:O,'Students (Vertical)'!C:C=B804,'Students (Vertical)'!O:O&lt;&gt;"""",'Students (Vertical)'!P:P&gt;1);filter('Students (Vertical)'!O:O,'Students (Vertical)'!C:C=E804,'"&amp;"Students (Vertical)'!O:O&lt;&gt;"""",'Students (Vertical)'!P:P&gt;1)},countifs({filter('Students (Vertical)'!O:O,'Students (Vertical)'!C:C=B804,'Students (Vertical)'!O:O&lt;&gt;"""",'Students (Vertical)'!P:P&gt;1);filter('Students (Vertical)'!O:O,'Students (Vertical)'!C:C="&amp;"E804,'Students (Vertical)'!O:O&lt;&gt;"""",'Students (Vertical)'!P:P&gt;1)},{filter('Students (Vertical)'!O:O,'Students (Vertical)'!C:C=B804,'Students (Vertical)'!O:O&lt;&gt;"""",'Students (Vertical)'!P:P&gt;1);filter('Students (Vertical)'!O:O,'Students (Vertical)'!C:C=E80"&amp;"4,'Students (Vertical)'!O:O&lt;&gt;"""",'Students (Vertical)'!P:P&gt;1)})&gt;1))),""""),"""")"),"")</f>
        <v/>
      </c>
      <c r="K804" s="358"/>
    </row>
    <row r="805">
      <c r="A805" s="300" t="s">
        <v>22</v>
      </c>
      <c r="C805" s="300" t="s">
        <v>22</v>
      </c>
      <c r="D805" s="300" t="s">
        <v>22</v>
      </c>
      <c r="F805" s="300" t="s">
        <v>22</v>
      </c>
      <c r="G805" s="300" t="s">
        <v>22</v>
      </c>
      <c r="I805" s="356" t="str">
        <f>IFERROR(__xludf.DUMMYFUNCTION("if(H805=""Must be Together"",iferror(join("", "",unique(filter({filter('Students (Vertical)'!O:O,'Students (Vertical)'!C:C=B805,'Students (Vertical)'!O:O&lt;&gt;"""");filter('Students (Vertical)'!O:O,'Students (Vertical)'!C:C=E805,'Students (Vertical)'!O:O&lt;&gt;"""&amp;""")},countifs({filter('Students (Vertical)'!O:O,'Students (Vertical)'!C:C=B805,'Students (Vertical)'!O:O&lt;&gt;"""");filter('Students (Vertical)'!O:O,'Students (Vertical)'!C:C=E805,'Students (Vertical)'!O:O&lt;&gt;"""")},{filter('Students (Vertical)'!O:O,'Students ("&amp;"Vertical)'!C:C=B805,'Students (Vertical)'!O:O&lt;&gt;"""");filter('Students (Vertical)'!O:O,'Students (Vertical)'!C:C=E805,'Students (Vertical)'!O:O&lt;&gt;"""")})&gt;1))),""No shared courses""),"""")"),"")</f>
        <v/>
      </c>
      <c r="J805" s="357" t="str">
        <f>IFERROR(__xludf.DUMMYFUNCTION("if(H805=""Can't be Together"",iferror(join("", "",unique(filter({filter('Students (Vertical)'!O:O,'Students (Vertical)'!C:C=B805,'Students (Vertical)'!O:O&lt;&gt;"""",'Students (Vertical)'!P:P&gt;1);filter('Students (Vertical)'!O:O,'Students (Vertical)'!C:C=E805,'"&amp;"Students (Vertical)'!O:O&lt;&gt;"""",'Students (Vertical)'!P:P&gt;1)},countifs({filter('Students (Vertical)'!O:O,'Students (Vertical)'!C:C=B805,'Students (Vertical)'!O:O&lt;&gt;"""",'Students (Vertical)'!P:P&gt;1);filter('Students (Vertical)'!O:O,'Students (Vertical)'!C:C="&amp;"E805,'Students (Vertical)'!O:O&lt;&gt;"""",'Students (Vertical)'!P:P&gt;1)},{filter('Students (Vertical)'!O:O,'Students (Vertical)'!C:C=B805,'Students (Vertical)'!O:O&lt;&gt;"""",'Students (Vertical)'!P:P&gt;1);filter('Students (Vertical)'!O:O,'Students (Vertical)'!C:C=E80"&amp;"5,'Students (Vertical)'!O:O&lt;&gt;"""",'Students (Vertical)'!P:P&gt;1)})&gt;1))),""""),"""")"),"")</f>
        <v/>
      </c>
      <c r="K805" s="358"/>
    </row>
    <row r="806">
      <c r="A806" s="300" t="s">
        <v>22</v>
      </c>
      <c r="C806" s="300" t="s">
        <v>22</v>
      </c>
      <c r="D806" s="300" t="s">
        <v>22</v>
      </c>
      <c r="F806" s="300" t="s">
        <v>22</v>
      </c>
      <c r="G806" s="300" t="s">
        <v>22</v>
      </c>
      <c r="I806" s="356" t="str">
        <f>IFERROR(__xludf.DUMMYFUNCTION("if(H806=""Must be Together"",iferror(join("", "",unique(filter({filter('Students (Vertical)'!O:O,'Students (Vertical)'!C:C=B806,'Students (Vertical)'!O:O&lt;&gt;"""");filter('Students (Vertical)'!O:O,'Students (Vertical)'!C:C=E806,'Students (Vertical)'!O:O&lt;&gt;"""&amp;""")},countifs({filter('Students (Vertical)'!O:O,'Students (Vertical)'!C:C=B806,'Students (Vertical)'!O:O&lt;&gt;"""");filter('Students (Vertical)'!O:O,'Students (Vertical)'!C:C=E806,'Students (Vertical)'!O:O&lt;&gt;"""")},{filter('Students (Vertical)'!O:O,'Students ("&amp;"Vertical)'!C:C=B806,'Students (Vertical)'!O:O&lt;&gt;"""");filter('Students (Vertical)'!O:O,'Students (Vertical)'!C:C=E806,'Students (Vertical)'!O:O&lt;&gt;"""")})&gt;1))),""No shared courses""),"""")"),"")</f>
        <v/>
      </c>
      <c r="J806" s="357" t="str">
        <f>IFERROR(__xludf.DUMMYFUNCTION("if(H806=""Can't be Together"",iferror(join("", "",unique(filter({filter('Students (Vertical)'!O:O,'Students (Vertical)'!C:C=B806,'Students (Vertical)'!O:O&lt;&gt;"""",'Students (Vertical)'!P:P&gt;1);filter('Students (Vertical)'!O:O,'Students (Vertical)'!C:C=E806,'"&amp;"Students (Vertical)'!O:O&lt;&gt;"""",'Students (Vertical)'!P:P&gt;1)},countifs({filter('Students (Vertical)'!O:O,'Students (Vertical)'!C:C=B806,'Students (Vertical)'!O:O&lt;&gt;"""",'Students (Vertical)'!P:P&gt;1);filter('Students (Vertical)'!O:O,'Students (Vertical)'!C:C="&amp;"E806,'Students (Vertical)'!O:O&lt;&gt;"""",'Students (Vertical)'!P:P&gt;1)},{filter('Students (Vertical)'!O:O,'Students (Vertical)'!C:C=B806,'Students (Vertical)'!O:O&lt;&gt;"""",'Students (Vertical)'!P:P&gt;1);filter('Students (Vertical)'!O:O,'Students (Vertical)'!C:C=E80"&amp;"6,'Students (Vertical)'!O:O&lt;&gt;"""",'Students (Vertical)'!P:P&gt;1)})&gt;1))),""""),"""")"),"")</f>
        <v/>
      </c>
      <c r="K806" s="358"/>
    </row>
    <row r="807">
      <c r="A807" s="300" t="s">
        <v>22</v>
      </c>
      <c r="C807" s="300" t="s">
        <v>22</v>
      </c>
      <c r="D807" s="300" t="s">
        <v>22</v>
      </c>
      <c r="F807" s="300" t="s">
        <v>22</v>
      </c>
      <c r="G807" s="300" t="s">
        <v>22</v>
      </c>
      <c r="I807" s="356" t="str">
        <f>IFERROR(__xludf.DUMMYFUNCTION("if(H807=""Must be Together"",iferror(join("", "",unique(filter({filter('Students (Vertical)'!O:O,'Students (Vertical)'!C:C=B807,'Students (Vertical)'!O:O&lt;&gt;"""");filter('Students (Vertical)'!O:O,'Students (Vertical)'!C:C=E807,'Students (Vertical)'!O:O&lt;&gt;"""&amp;""")},countifs({filter('Students (Vertical)'!O:O,'Students (Vertical)'!C:C=B807,'Students (Vertical)'!O:O&lt;&gt;"""");filter('Students (Vertical)'!O:O,'Students (Vertical)'!C:C=E807,'Students (Vertical)'!O:O&lt;&gt;"""")},{filter('Students (Vertical)'!O:O,'Students ("&amp;"Vertical)'!C:C=B807,'Students (Vertical)'!O:O&lt;&gt;"""");filter('Students (Vertical)'!O:O,'Students (Vertical)'!C:C=E807,'Students (Vertical)'!O:O&lt;&gt;"""")})&gt;1))),""No shared courses""),"""")"),"")</f>
        <v/>
      </c>
      <c r="J807" s="357" t="str">
        <f>IFERROR(__xludf.DUMMYFUNCTION("if(H807=""Can't be Together"",iferror(join("", "",unique(filter({filter('Students (Vertical)'!O:O,'Students (Vertical)'!C:C=B807,'Students (Vertical)'!O:O&lt;&gt;"""",'Students (Vertical)'!P:P&gt;1);filter('Students (Vertical)'!O:O,'Students (Vertical)'!C:C=E807,'"&amp;"Students (Vertical)'!O:O&lt;&gt;"""",'Students (Vertical)'!P:P&gt;1)},countifs({filter('Students (Vertical)'!O:O,'Students (Vertical)'!C:C=B807,'Students (Vertical)'!O:O&lt;&gt;"""",'Students (Vertical)'!P:P&gt;1);filter('Students (Vertical)'!O:O,'Students (Vertical)'!C:C="&amp;"E807,'Students (Vertical)'!O:O&lt;&gt;"""",'Students (Vertical)'!P:P&gt;1)},{filter('Students (Vertical)'!O:O,'Students (Vertical)'!C:C=B807,'Students (Vertical)'!O:O&lt;&gt;"""",'Students (Vertical)'!P:P&gt;1);filter('Students (Vertical)'!O:O,'Students (Vertical)'!C:C=E80"&amp;"7,'Students (Vertical)'!O:O&lt;&gt;"""",'Students (Vertical)'!P:P&gt;1)})&gt;1))),""""),"""")"),"")</f>
        <v/>
      </c>
      <c r="K807" s="358"/>
    </row>
    <row r="808">
      <c r="A808" s="300" t="s">
        <v>22</v>
      </c>
      <c r="C808" s="300" t="s">
        <v>22</v>
      </c>
      <c r="D808" s="300" t="s">
        <v>22</v>
      </c>
      <c r="F808" s="300" t="s">
        <v>22</v>
      </c>
      <c r="G808" s="300" t="s">
        <v>22</v>
      </c>
      <c r="I808" s="356" t="str">
        <f>IFERROR(__xludf.DUMMYFUNCTION("if(H808=""Must be Together"",iferror(join("", "",unique(filter({filter('Students (Vertical)'!O:O,'Students (Vertical)'!C:C=B808,'Students (Vertical)'!O:O&lt;&gt;"""");filter('Students (Vertical)'!O:O,'Students (Vertical)'!C:C=E808,'Students (Vertical)'!O:O&lt;&gt;"""&amp;""")},countifs({filter('Students (Vertical)'!O:O,'Students (Vertical)'!C:C=B808,'Students (Vertical)'!O:O&lt;&gt;"""");filter('Students (Vertical)'!O:O,'Students (Vertical)'!C:C=E808,'Students (Vertical)'!O:O&lt;&gt;"""")},{filter('Students (Vertical)'!O:O,'Students ("&amp;"Vertical)'!C:C=B808,'Students (Vertical)'!O:O&lt;&gt;"""");filter('Students (Vertical)'!O:O,'Students (Vertical)'!C:C=E808,'Students (Vertical)'!O:O&lt;&gt;"""")})&gt;1))),""No shared courses""),"""")"),"")</f>
        <v/>
      </c>
      <c r="J808" s="357" t="str">
        <f>IFERROR(__xludf.DUMMYFUNCTION("if(H808=""Can't be Together"",iferror(join("", "",unique(filter({filter('Students (Vertical)'!O:O,'Students (Vertical)'!C:C=B808,'Students (Vertical)'!O:O&lt;&gt;"""",'Students (Vertical)'!P:P&gt;1);filter('Students (Vertical)'!O:O,'Students (Vertical)'!C:C=E808,'"&amp;"Students (Vertical)'!O:O&lt;&gt;"""",'Students (Vertical)'!P:P&gt;1)},countifs({filter('Students (Vertical)'!O:O,'Students (Vertical)'!C:C=B808,'Students (Vertical)'!O:O&lt;&gt;"""",'Students (Vertical)'!P:P&gt;1);filter('Students (Vertical)'!O:O,'Students (Vertical)'!C:C="&amp;"E808,'Students (Vertical)'!O:O&lt;&gt;"""",'Students (Vertical)'!P:P&gt;1)},{filter('Students (Vertical)'!O:O,'Students (Vertical)'!C:C=B808,'Students (Vertical)'!O:O&lt;&gt;"""",'Students (Vertical)'!P:P&gt;1);filter('Students (Vertical)'!O:O,'Students (Vertical)'!C:C=E80"&amp;"8,'Students (Vertical)'!O:O&lt;&gt;"""",'Students (Vertical)'!P:P&gt;1)})&gt;1))),""""),"""")"),"")</f>
        <v/>
      </c>
      <c r="K808" s="358"/>
    </row>
    <row r="809">
      <c r="A809" s="300" t="s">
        <v>22</v>
      </c>
      <c r="C809" s="300" t="s">
        <v>22</v>
      </c>
      <c r="D809" s="300" t="s">
        <v>22</v>
      </c>
      <c r="F809" s="300" t="s">
        <v>22</v>
      </c>
      <c r="G809" s="300" t="s">
        <v>22</v>
      </c>
      <c r="I809" s="356" t="str">
        <f>IFERROR(__xludf.DUMMYFUNCTION("if(H809=""Must be Together"",iferror(join("", "",unique(filter({filter('Students (Vertical)'!O:O,'Students (Vertical)'!C:C=B809,'Students (Vertical)'!O:O&lt;&gt;"""");filter('Students (Vertical)'!O:O,'Students (Vertical)'!C:C=E809,'Students (Vertical)'!O:O&lt;&gt;"""&amp;""")},countifs({filter('Students (Vertical)'!O:O,'Students (Vertical)'!C:C=B809,'Students (Vertical)'!O:O&lt;&gt;"""");filter('Students (Vertical)'!O:O,'Students (Vertical)'!C:C=E809,'Students (Vertical)'!O:O&lt;&gt;"""")},{filter('Students (Vertical)'!O:O,'Students ("&amp;"Vertical)'!C:C=B809,'Students (Vertical)'!O:O&lt;&gt;"""");filter('Students (Vertical)'!O:O,'Students (Vertical)'!C:C=E809,'Students (Vertical)'!O:O&lt;&gt;"""")})&gt;1))),""No shared courses""),"""")"),"")</f>
        <v/>
      </c>
      <c r="J809" s="357" t="str">
        <f>IFERROR(__xludf.DUMMYFUNCTION("if(H809=""Can't be Together"",iferror(join("", "",unique(filter({filter('Students (Vertical)'!O:O,'Students (Vertical)'!C:C=B809,'Students (Vertical)'!O:O&lt;&gt;"""",'Students (Vertical)'!P:P&gt;1);filter('Students (Vertical)'!O:O,'Students (Vertical)'!C:C=E809,'"&amp;"Students (Vertical)'!O:O&lt;&gt;"""",'Students (Vertical)'!P:P&gt;1)},countifs({filter('Students (Vertical)'!O:O,'Students (Vertical)'!C:C=B809,'Students (Vertical)'!O:O&lt;&gt;"""",'Students (Vertical)'!P:P&gt;1);filter('Students (Vertical)'!O:O,'Students (Vertical)'!C:C="&amp;"E809,'Students (Vertical)'!O:O&lt;&gt;"""",'Students (Vertical)'!P:P&gt;1)},{filter('Students (Vertical)'!O:O,'Students (Vertical)'!C:C=B809,'Students (Vertical)'!O:O&lt;&gt;"""",'Students (Vertical)'!P:P&gt;1);filter('Students (Vertical)'!O:O,'Students (Vertical)'!C:C=E80"&amp;"9,'Students (Vertical)'!O:O&lt;&gt;"""",'Students (Vertical)'!P:P&gt;1)})&gt;1))),""""),"""")"),"")</f>
        <v/>
      </c>
      <c r="K809" s="358"/>
    </row>
    <row r="810">
      <c r="A810" s="300" t="s">
        <v>22</v>
      </c>
      <c r="C810" s="300" t="s">
        <v>22</v>
      </c>
      <c r="D810" s="300" t="s">
        <v>22</v>
      </c>
      <c r="F810" s="300" t="s">
        <v>22</v>
      </c>
      <c r="G810" s="300" t="s">
        <v>22</v>
      </c>
      <c r="I810" s="356" t="str">
        <f>IFERROR(__xludf.DUMMYFUNCTION("if(H810=""Must be Together"",iferror(join("", "",unique(filter({filter('Students (Vertical)'!O:O,'Students (Vertical)'!C:C=B810,'Students (Vertical)'!O:O&lt;&gt;"""");filter('Students (Vertical)'!O:O,'Students (Vertical)'!C:C=E810,'Students (Vertical)'!O:O&lt;&gt;"""&amp;""")},countifs({filter('Students (Vertical)'!O:O,'Students (Vertical)'!C:C=B810,'Students (Vertical)'!O:O&lt;&gt;"""");filter('Students (Vertical)'!O:O,'Students (Vertical)'!C:C=E810,'Students (Vertical)'!O:O&lt;&gt;"""")},{filter('Students (Vertical)'!O:O,'Students ("&amp;"Vertical)'!C:C=B810,'Students (Vertical)'!O:O&lt;&gt;"""");filter('Students (Vertical)'!O:O,'Students (Vertical)'!C:C=E810,'Students (Vertical)'!O:O&lt;&gt;"""")})&gt;1))),""No shared courses""),"""")"),"")</f>
        <v/>
      </c>
      <c r="J810" s="357" t="str">
        <f>IFERROR(__xludf.DUMMYFUNCTION("if(H810=""Can't be Together"",iferror(join("", "",unique(filter({filter('Students (Vertical)'!O:O,'Students (Vertical)'!C:C=B810,'Students (Vertical)'!O:O&lt;&gt;"""",'Students (Vertical)'!P:P&gt;1);filter('Students (Vertical)'!O:O,'Students (Vertical)'!C:C=E810,'"&amp;"Students (Vertical)'!O:O&lt;&gt;"""",'Students (Vertical)'!P:P&gt;1)},countifs({filter('Students (Vertical)'!O:O,'Students (Vertical)'!C:C=B810,'Students (Vertical)'!O:O&lt;&gt;"""",'Students (Vertical)'!P:P&gt;1);filter('Students (Vertical)'!O:O,'Students (Vertical)'!C:C="&amp;"E810,'Students (Vertical)'!O:O&lt;&gt;"""",'Students (Vertical)'!P:P&gt;1)},{filter('Students (Vertical)'!O:O,'Students (Vertical)'!C:C=B810,'Students (Vertical)'!O:O&lt;&gt;"""",'Students (Vertical)'!P:P&gt;1);filter('Students (Vertical)'!O:O,'Students (Vertical)'!C:C=E81"&amp;"0,'Students (Vertical)'!O:O&lt;&gt;"""",'Students (Vertical)'!P:P&gt;1)})&gt;1))),""""),"""")"),"")</f>
        <v/>
      </c>
      <c r="K810" s="358"/>
    </row>
    <row r="811">
      <c r="A811" s="300" t="s">
        <v>22</v>
      </c>
      <c r="C811" s="300" t="s">
        <v>22</v>
      </c>
      <c r="D811" s="300" t="s">
        <v>22</v>
      </c>
      <c r="F811" s="300" t="s">
        <v>22</v>
      </c>
      <c r="G811" s="300" t="s">
        <v>22</v>
      </c>
      <c r="I811" s="356" t="str">
        <f>IFERROR(__xludf.DUMMYFUNCTION("if(H811=""Must be Together"",iferror(join("", "",unique(filter({filter('Students (Vertical)'!O:O,'Students (Vertical)'!C:C=B811,'Students (Vertical)'!O:O&lt;&gt;"""");filter('Students (Vertical)'!O:O,'Students (Vertical)'!C:C=E811,'Students (Vertical)'!O:O&lt;&gt;"""&amp;""")},countifs({filter('Students (Vertical)'!O:O,'Students (Vertical)'!C:C=B811,'Students (Vertical)'!O:O&lt;&gt;"""");filter('Students (Vertical)'!O:O,'Students (Vertical)'!C:C=E811,'Students (Vertical)'!O:O&lt;&gt;"""")},{filter('Students (Vertical)'!O:O,'Students ("&amp;"Vertical)'!C:C=B811,'Students (Vertical)'!O:O&lt;&gt;"""");filter('Students (Vertical)'!O:O,'Students (Vertical)'!C:C=E811,'Students (Vertical)'!O:O&lt;&gt;"""")})&gt;1))),""No shared courses""),"""")"),"")</f>
        <v/>
      </c>
      <c r="J811" s="357" t="str">
        <f>IFERROR(__xludf.DUMMYFUNCTION("if(H811=""Can't be Together"",iferror(join("", "",unique(filter({filter('Students (Vertical)'!O:O,'Students (Vertical)'!C:C=B811,'Students (Vertical)'!O:O&lt;&gt;"""",'Students (Vertical)'!P:P&gt;1);filter('Students (Vertical)'!O:O,'Students (Vertical)'!C:C=E811,'"&amp;"Students (Vertical)'!O:O&lt;&gt;"""",'Students (Vertical)'!P:P&gt;1)},countifs({filter('Students (Vertical)'!O:O,'Students (Vertical)'!C:C=B811,'Students (Vertical)'!O:O&lt;&gt;"""",'Students (Vertical)'!P:P&gt;1);filter('Students (Vertical)'!O:O,'Students (Vertical)'!C:C="&amp;"E811,'Students (Vertical)'!O:O&lt;&gt;"""",'Students (Vertical)'!P:P&gt;1)},{filter('Students (Vertical)'!O:O,'Students (Vertical)'!C:C=B811,'Students (Vertical)'!O:O&lt;&gt;"""",'Students (Vertical)'!P:P&gt;1);filter('Students (Vertical)'!O:O,'Students (Vertical)'!C:C=E81"&amp;"1,'Students (Vertical)'!O:O&lt;&gt;"""",'Students (Vertical)'!P:P&gt;1)})&gt;1))),""""),"""")"),"")</f>
        <v/>
      </c>
      <c r="K811" s="358"/>
    </row>
    <row r="812">
      <c r="A812" s="300" t="s">
        <v>22</v>
      </c>
      <c r="C812" s="300" t="s">
        <v>22</v>
      </c>
      <c r="D812" s="300" t="s">
        <v>22</v>
      </c>
      <c r="F812" s="300" t="s">
        <v>22</v>
      </c>
      <c r="G812" s="300" t="s">
        <v>22</v>
      </c>
      <c r="I812" s="356" t="str">
        <f>IFERROR(__xludf.DUMMYFUNCTION("if(H812=""Must be Together"",iferror(join("", "",unique(filter({filter('Students (Vertical)'!O:O,'Students (Vertical)'!C:C=B812,'Students (Vertical)'!O:O&lt;&gt;"""");filter('Students (Vertical)'!O:O,'Students (Vertical)'!C:C=E812,'Students (Vertical)'!O:O&lt;&gt;"""&amp;""")},countifs({filter('Students (Vertical)'!O:O,'Students (Vertical)'!C:C=B812,'Students (Vertical)'!O:O&lt;&gt;"""");filter('Students (Vertical)'!O:O,'Students (Vertical)'!C:C=E812,'Students (Vertical)'!O:O&lt;&gt;"""")},{filter('Students (Vertical)'!O:O,'Students ("&amp;"Vertical)'!C:C=B812,'Students (Vertical)'!O:O&lt;&gt;"""");filter('Students (Vertical)'!O:O,'Students (Vertical)'!C:C=E812,'Students (Vertical)'!O:O&lt;&gt;"""")})&gt;1))),""No shared courses""),"""")"),"")</f>
        <v/>
      </c>
      <c r="J812" s="357" t="str">
        <f>IFERROR(__xludf.DUMMYFUNCTION("if(H812=""Can't be Together"",iferror(join("", "",unique(filter({filter('Students (Vertical)'!O:O,'Students (Vertical)'!C:C=B812,'Students (Vertical)'!O:O&lt;&gt;"""",'Students (Vertical)'!P:P&gt;1);filter('Students (Vertical)'!O:O,'Students (Vertical)'!C:C=E812,'"&amp;"Students (Vertical)'!O:O&lt;&gt;"""",'Students (Vertical)'!P:P&gt;1)},countifs({filter('Students (Vertical)'!O:O,'Students (Vertical)'!C:C=B812,'Students (Vertical)'!O:O&lt;&gt;"""",'Students (Vertical)'!P:P&gt;1);filter('Students (Vertical)'!O:O,'Students (Vertical)'!C:C="&amp;"E812,'Students (Vertical)'!O:O&lt;&gt;"""",'Students (Vertical)'!P:P&gt;1)},{filter('Students (Vertical)'!O:O,'Students (Vertical)'!C:C=B812,'Students (Vertical)'!O:O&lt;&gt;"""",'Students (Vertical)'!P:P&gt;1);filter('Students (Vertical)'!O:O,'Students (Vertical)'!C:C=E81"&amp;"2,'Students (Vertical)'!O:O&lt;&gt;"""",'Students (Vertical)'!P:P&gt;1)})&gt;1))),""""),"""")"),"")</f>
        <v/>
      </c>
      <c r="K812" s="358"/>
    </row>
    <row r="813">
      <c r="A813" s="300" t="s">
        <v>22</v>
      </c>
      <c r="C813" s="300" t="s">
        <v>22</v>
      </c>
      <c r="D813" s="300" t="s">
        <v>22</v>
      </c>
      <c r="F813" s="300" t="s">
        <v>22</v>
      </c>
      <c r="G813" s="300" t="s">
        <v>22</v>
      </c>
      <c r="I813" s="356" t="str">
        <f>IFERROR(__xludf.DUMMYFUNCTION("if(H813=""Must be Together"",iferror(join("", "",unique(filter({filter('Students (Vertical)'!O:O,'Students (Vertical)'!C:C=B813,'Students (Vertical)'!O:O&lt;&gt;"""");filter('Students (Vertical)'!O:O,'Students (Vertical)'!C:C=E813,'Students (Vertical)'!O:O&lt;&gt;"""&amp;""")},countifs({filter('Students (Vertical)'!O:O,'Students (Vertical)'!C:C=B813,'Students (Vertical)'!O:O&lt;&gt;"""");filter('Students (Vertical)'!O:O,'Students (Vertical)'!C:C=E813,'Students (Vertical)'!O:O&lt;&gt;"""")},{filter('Students (Vertical)'!O:O,'Students ("&amp;"Vertical)'!C:C=B813,'Students (Vertical)'!O:O&lt;&gt;"""");filter('Students (Vertical)'!O:O,'Students (Vertical)'!C:C=E813,'Students (Vertical)'!O:O&lt;&gt;"""")})&gt;1))),""No shared courses""),"""")"),"")</f>
        <v/>
      </c>
      <c r="J813" s="357" t="str">
        <f>IFERROR(__xludf.DUMMYFUNCTION("if(H813=""Can't be Together"",iferror(join("", "",unique(filter({filter('Students (Vertical)'!O:O,'Students (Vertical)'!C:C=B813,'Students (Vertical)'!O:O&lt;&gt;"""",'Students (Vertical)'!P:P&gt;1);filter('Students (Vertical)'!O:O,'Students (Vertical)'!C:C=E813,'"&amp;"Students (Vertical)'!O:O&lt;&gt;"""",'Students (Vertical)'!P:P&gt;1)},countifs({filter('Students (Vertical)'!O:O,'Students (Vertical)'!C:C=B813,'Students (Vertical)'!O:O&lt;&gt;"""",'Students (Vertical)'!P:P&gt;1);filter('Students (Vertical)'!O:O,'Students (Vertical)'!C:C="&amp;"E813,'Students (Vertical)'!O:O&lt;&gt;"""",'Students (Vertical)'!P:P&gt;1)},{filter('Students (Vertical)'!O:O,'Students (Vertical)'!C:C=B813,'Students (Vertical)'!O:O&lt;&gt;"""",'Students (Vertical)'!P:P&gt;1);filter('Students (Vertical)'!O:O,'Students (Vertical)'!C:C=E81"&amp;"3,'Students (Vertical)'!O:O&lt;&gt;"""",'Students (Vertical)'!P:P&gt;1)})&gt;1))),""""),"""")"),"")</f>
        <v/>
      </c>
      <c r="K813" s="358"/>
    </row>
    <row r="814">
      <c r="A814" s="300" t="s">
        <v>22</v>
      </c>
      <c r="C814" s="300" t="s">
        <v>22</v>
      </c>
      <c r="D814" s="300" t="s">
        <v>22</v>
      </c>
      <c r="F814" s="300" t="s">
        <v>22</v>
      </c>
      <c r="G814" s="300" t="s">
        <v>22</v>
      </c>
      <c r="I814" s="356" t="str">
        <f>IFERROR(__xludf.DUMMYFUNCTION("if(H814=""Must be Together"",iferror(join("", "",unique(filter({filter('Students (Vertical)'!O:O,'Students (Vertical)'!C:C=B814,'Students (Vertical)'!O:O&lt;&gt;"""");filter('Students (Vertical)'!O:O,'Students (Vertical)'!C:C=E814,'Students (Vertical)'!O:O&lt;&gt;"""&amp;""")},countifs({filter('Students (Vertical)'!O:O,'Students (Vertical)'!C:C=B814,'Students (Vertical)'!O:O&lt;&gt;"""");filter('Students (Vertical)'!O:O,'Students (Vertical)'!C:C=E814,'Students (Vertical)'!O:O&lt;&gt;"""")},{filter('Students (Vertical)'!O:O,'Students ("&amp;"Vertical)'!C:C=B814,'Students (Vertical)'!O:O&lt;&gt;"""");filter('Students (Vertical)'!O:O,'Students (Vertical)'!C:C=E814,'Students (Vertical)'!O:O&lt;&gt;"""")})&gt;1))),""No shared courses""),"""")"),"")</f>
        <v/>
      </c>
      <c r="J814" s="357" t="str">
        <f>IFERROR(__xludf.DUMMYFUNCTION("if(H814=""Can't be Together"",iferror(join("", "",unique(filter({filter('Students (Vertical)'!O:O,'Students (Vertical)'!C:C=B814,'Students (Vertical)'!O:O&lt;&gt;"""",'Students (Vertical)'!P:P&gt;1);filter('Students (Vertical)'!O:O,'Students (Vertical)'!C:C=E814,'"&amp;"Students (Vertical)'!O:O&lt;&gt;"""",'Students (Vertical)'!P:P&gt;1)},countifs({filter('Students (Vertical)'!O:O,'Students (Vertical)'!C:C=B814,'Students (Vertical)'!O:O&lt;&gt;"""",'Students (Vertical)'!P:P&gt;1);filter('Students (Vertical)'!O:O,'Students (Vertical)'!C:C="&amp;"E814,'Students (Vertical)'!O:O&lt;&gt;"""",'Students (Vertical)'!P:P&gt;1)},{filter('Students (Vertical)'!O:O,'Students (Vertical)'!C:C=B814,'Students (Vertical)'!O:O&lt;&gt;"""",'Students (Vertical)'!P:P&gt;1);filter('Students (Vertical)'!O:O,'Students (Vertical)'!C:C=E81"&amp;"4,'Students (Vertical)'!O:O&lt;&gt;"""",'Students (Vertical)'!P:P&gt;1)})&gt;1))),""""),"""")"),"")</f>
        <v/>
      </c>
      <c r="K814" s="358"/>
    </row>
    <row r="815">
      <c r="A815" s="300" t="s">
        <v>22</v>
      </c>
      <c r="C815" s="300" t="s">
        <v>22</v>
      </c>
      <c r="D815" s="300" t="s">
        <v>22</v>
      </c>
      <c r="F815" s="300" t="s">
        <v>22</v>
      </c>
      <c r="G815" s="300" t="s">
        <v>22</v>
      </c>
      <c r="I815" s="356" t="str">
        <f>IFERROR(__xludf.DUMMYFUNCTION("if(H815=""Must be Together"",iferror(join("", "",unique(filter({filter('Students (Vertical)'!O:O,'Students (Vertical)'!C:C=B815,'Students (Vertical)'!O:O&lt;&gt;"""");filter('Students (Vertical)'!O:O,'Students (Vertical)'!C:C=E815,'Students (Vertical)'!O:O&lt;&gt;"""&amp;""")},countifs({filter('Students (Vertical)'!O:O,'Students (Vertical)'!C:C=B815,'Students (Vertical)'!O:O&lt;&gt;"""");filter('Students (Vertical)'!O:O,'Students (Vertical)'!C:C=E815,'Students (Vertical)'!O:O&lt;&gt;"""")},{filter('Students (Vertical)'!O:O,'Students ("&amp;"Vertical)'!C:C=B815,'Students (Vertical)'!O:O&lt;&gt;"""");filter('Students (Vertical)'!O:O,'Students (Vertical)'!C:C=E815,'Students (Vertical)'!O:O&lt;&gt;"""")})&gt;1))),""No shared courses""),"""")"),"")</f>
        <v/>
      </c>
      <c r="J815" s="357" t="str">
        <f>IFERROR(__xludf.DUMMYFUNCTION("if(H815=""Can't be Together"",iferror(join("", "",unique(filter({filter('Students (Vertical)'!O:O,'Students (Vertical)'!C:C=B815,'Students (Vertical)'!O:O&lt;&gt;"""",'Students (Vertical)'!P:P&gt;1);filter('Students (Vertical)'!O:O,'Students (Vertical)'!C:C=E815,'"&amp;"Students (Vertical)'!O:O&lt;&gt;"""",'Students (Vertical)'!P:P&gt;1)},countifs({filter('Students (Vertical)'!O:O,'Students (Vertical)'!C:C=B815,'Students (Vertical)'!O:O&lt;&gt;"""",'Students (Vertical)'!P:P&gt;1);filter('Students (Vertical)'!O:O,'Students (Vertical)'!C:C="&amp;"E815,'Students (Vertical)'!O:O&lt;&gt;"""",'Students (Vertical)'!P:P&gt;1)},{filter('Students (Vertical)'!O:O,'Students (Vertical)'!C:C=B815,'Students (Vertical)'!O:O&lt;&gt;"""",'Students (Vertical)'!P:P&gt;1);filter('Students (Vertical)'!O:O,'Students (Vertical)'!C:C=E81"&amp;"5,'Students (Vertical)'!O:O&lt;&gt;"""",'Students (Vertical)'!P:P&gt;1)})&gt;1))),""""),"""")"),"")</f>
        <v/>
      </c>
      <c r="K815" s="358"/>
    </row>
    <row r="816">
      <c r="A816" s="300" t="s">
        <v>22</v>
      </c>
      <c r="C816" s="300" t="s">
        <v>22</v>
      </c>
      <c r="D816" s="300" t="s">
        <v>22</v>
      </c>
      <c r="F816" s="300" t="s">
        <v>22</v>
      </c>
      <c r="G816" s="300" t="s">
        <v>22</v>
      </c>
      <c r="I816" s="356" t="str">
        <f>IFERROR(__xludf.DUMMYFUNCTION("if(H816=""Must be Together"",iferror(join("", "",unique(filter({filter('Students (Vertical)'!O:O,'Students (Vertical)'!C:C=B816,'Students (Vertical)'!O:O&lt;&gt;"""");filter('Students (Vertical)'!O:O,'Students (Vertical)'!C:C=E816,'Students (Vertical)'!O:O&lt;&gt;"""&amp;""")},countifs({filter('Students (Vertical)'!O:O,'Students (Vertical)'!C:C=B816,'Students (Vertical)'!O:O&lt;&gt;"""");filter('Students (Vertical)'!O:O,'Students (Vertical)'!C:C=E816,'Students (Vertical)'!O:O&lt;&gt;"""")},{filter('Students (Vertical)'!O:O,'Students ("&amp;"Vertical)'!C:C=B816,'Students (Vertical)'!O:O&lt;&gt;"""");filter('Students (Vertical)'!O:O,'Students (Vertical)'!C:C=E816,'Students (Vertical)'!O:O&lt;&gt;"""")})&gt;1))),""No shared courses""),"""")"),"")</f>
        <v/>
      </c>
      <c r="J816" s="357" t="str">
        <f>IFERROR(__xludf.DUMMYFUNCTION("if(H816=""Can't be Together"",iferror(join("", "",unique(filter({filter('Students (Vertical)'!O:O,'Students (Vertical)'!C:C=B816,'Students (Vertical)'!O:O&lt;&gt;"""",'Students (Vertical)'!P:P&gt;1);filter('Students (Vertical)'!O:O,'Students (Vertical)'!C:C=E816,'"&amp;"Students (Vertical)'!O:O&lt;&gt;"""",'Students (Vertical)'!P:P&gt;1)},countifs({filter('Students (Vertical)'!O:O,'Students (Vertical)'!C:C=B816,'Students (Vertical)'!O:O&lt;&gt;"""",'Students (Vertical)'!P:P&gt;1);filter('Students (Vertical)'!O:O,'Students (Vertical)'!C:C="&amp;"E816,'Students (Vertical)'!O:O&lt;&gt;"""",'Students (Vertical)'!P:P&gt;1)},{filter('Students (Vertical)'!O:O,'Students (Vertical)'!C:C=B816,'Students (Vertical)'!O:O&lt;&gt;"""",'Students (Vertical)'!P:P&gt;1);filter('Students (Vertical)'!O:O,'Students (Vertical)'!C:C=E81"&amp;"6,'Students (Vertical)'!O:O&lt;&gt;"""",'Students (Vertical)'!P:P&gt;1)})&gt;1))),""""),"""")"),"")</f>
        <v/>
      </c>
      <c r="K816" s="358"/>
    </row>
    <row r="817">
      <c r="A817" s="300" t="s">
        <v>22</v>
      </c>
      <c r="C817" s="300" t="s">
        <v>22</v>
      </c>
      <c r="D817" s="300" t="s">
        <v>22</v>
      </c>
      <c r="F817" s="300" t="s">
        <v>22</v>
      </c>
      <c r="G817" s="300" t="s">
        <v>22</v>
      </c>
      <c r="I817" s="356" t="str">
        <f>IFERROR(__xludf.DUMMYFUNCTION("if(H817=""Must be Together"",iferror(join("", "",unique(filter({filter('Students (Vertical)'!O:O,'Students (Vertical)'!C:C=B817,'Students (Vertical)'!O:O&lt;&gt;"""");filter('Students (Vertical)'!O:O,'Students (Vertical)'!C:C=E817,'Students (Vertical)'!O:O&lt;&gt;"""&amp;""")},countifs({filter('Students (Vertical)'!O:O,'Students (Vertical)'!C:C=B817,'Students (Vertical)'!O:O&lt;&gt;"""");filter('Students (Vertical)'!O:O,'Students (Vertical)'!C:C=E817,'Students (Vertical)'!O:O&lt;&gt;"""")},{filter('Students (Vertical)'!O:O,'Students ("&amp;"Vertical)'!C:C=B817,'Students (Vertical)'!O:O&lt;&gt;"""");filter('Students (Vertical)'!O:O,'Students (Vertical)'!C:C=E817,'Students (Vertical)'!O:O&lt;&gt;"""")})&gt;1))),""No shared courses""),"""")"),"")</f>
        <v/>
      </c>
      <c r="J817" s="357" t="str">
        <f>IFERROR(__xludf.DUMMYFUNCTION("if(H817=""Can't be Together"",iferror(join("", "",unique(filter({filter('Students (Vertical)'!O:O,'Students (Vertical)'!C:C=B817,'Students (Vertical)'!O:O&lt;&gt;"""",'Students (Vertical)'!P:P&gt;1);filter('Students (Vertical)'!O:O,'Students (Vertical)'!C:C=E817,'"&amp;"Students (Vertical)'!O:O&lt;&gt;"""",'Students (Vertical)'!P:P&gt;1)},countifs({filter('Students (Vertical)'!O:O,'Students (Vertical)'!C:C=B817,'Students (Vertical)'!O:O&lt;&gt;"""",'Students (Vertical)'!P:P&gt;1);filter('Students (Vertical)'!O:O,'Students (Vertical)'!C:C="&amp;"E817,'Students (Vertical)'!O:O&lt;&gt;"""",'Students (Vertical)'!P:P&gt;1)},{filter('Students (Vertical)'!O:O,'Students (Vertical)'!C:C=B817,'Students (Vertical)'!O:O&lt;&gt;"""",'Students (Vertical)'!P:P&gt;1);filter('Students (Vertical)'!O:O,'Students (Vertical)'!C:C=E81"&amp;"7,'Students (Vertical)'!O:O&lt;&gt;"""",'Students (Vertical)'!P:P&gt;1)})&gt;1))),""""),"""")"),"")</f>
        <v/>
      </c>
      <c r="K817" s="358"/>
    </row>
    <row r="818">
      <c r="A818" s="300" t="s">
        <v>22</v>
      </c>
      <c r="C818" s="300" t="s">
        <v>22</v>
      </c>
      <c r="D818" s="300" t="s">
        <v>22</v>
      </c>
      <c r="F818" s="300" t="s">
        <v>22</v>
      </c>
      <c r="G818" s="300" t="s">
        <v>22</v>
      </c>
      <c r="I818" s="356" t="str">
        <f>IFERROR(__xludf.DUMMYFUNCTION("if(H818=""Must be Together"",iferror(join("", "",unique(filter({filter('Students (Vertical)'!O:O,'Students (Vertical)'!C:C=B818,'Students (Vertical)'!O:O&lt;&gt;"""");filter('Students (Vertical)'!O:O,'Students (Vertical)'!C:C=E818,'Students (Vertical)'!O:O&lt;&gt;"""&amp;""")},countifs({filter('Students (Vertical)'!O:O,'Students (Vertical)'!C:C=B818,'Students (Vertical)'!O:O&lt;&gt;"""");filter('Students (Vertical)'!O:O,'Students (Vertical)'!C:C=E818,'Students (Vertical)'!O:O&lt;&gt;"""")},{filter('Students (Vertical)'!O:O,'Students ("&amp;"Vertical)'!C:C=B818,'Students (Vertical)'!O:O&lt;&gt;"""");filter('Students (Vertical)'!O:O,'Students (Vertical)'!C:C=E818,'Students (Vertical)'!O:O&lt;&gt;"""")})&gt;1))),""No shared courses""),"""")"),"")</f>
        <v/>
      </c>
      <c r="J818" s="357" t="str">
        <f>IFERROR(__xludf.DUMMYFUNCTION("if(H818=""Can't be Together"",iferror(join("", "",unique(filter({filter('Students (Vertical)'!O:O,'Students (Vertical)'!C:C=B818,'Students (Vertical)'!O:O&lt;&gt;"""",'Students (Vertical)'!P:P&gt;1);filter('Students (Vertical)'!O:O,'Students (Vertical)'!C:C=E818,'"&amp;"Students (Vertical)'!O:O&lt;&gt;"""",'Students (Vertical)'!P:P&gt;1)},countifs({filter('Students (Vertical)'!O:O,'Students (Vertical)'!C:C=B818,'Students (Vertical)'!O:O&lt;&gt;"""",'Students (Vertical)'!P:P&gt;1);filter('Students (Vertical)'!O:O,'Students (Vertical)'!C:C="&amp;"E818,'Students (Vertical)'!O:O&lt;&gt;"""",'Students (Vertical)'!P:P&gt;1)},{filter('Students (Vertical)'!O:O,'Students (Vertical)'!C:C=B818,'Students (Vertical)'!O:O&lt;&gt;"""",'Students (Vertical)'!P:P&gt;1);filter('Students (Vertical)'!O:O,'Students (Vertical)'!C:C=E81"&amp;"8,'Students (Vertical)'!O:O&lt;&gt;"""",'Students (Vertical)'!P:P&gt;1)})&gt;1))),""""),"""")"),"")</f>
        <v/>
      </c>
      <c r="K818" s="358"/>
    </row>
    <row r="819">
      <c r="A819" s="300" t="s">
        <v>22</v>
      </c>
      <c r="C819" s="300" t="s">
        <v>22</v>
      </c>
      <c r="D819" s="300" t="s">
        <v>22</v>
      </c>
      <c r="F819" s="300" t="s">
        <v>22</v>
      </c>
      <c r="G819" s="300" t="s">
        <v>22</v>
      </c>
      <c r="I819" s="356" t="str">
        <f>IFERROR(__xludf.DUMMYFUNCTION("if(H819=""Must be Together"",iferror(join("", "",unique(filter({filter('Students (Vertical)'!O:O,'Students (Vertical)'!C:C=B819,'Students (Vertical)'!O:O&lt;&gt;"""");filter('Students (Vertical)'!O:O,'Students (Vertical)'!C:C=E819,'Students (Vertical)'!O:O&lt;&gt;"""&amp;""")},countifs({filter('Students (Vertical)'!O:O,'Students (Vertical)'!C:C=B819,'Students (Vertical)'!O:O&lt;&gt;"""");filter('Students (Vertical)'!O:O,'Students (Vertical)'!C:C=E819,'Students (Vertical)'!O:O&lt;&gt;"""")},{filter('Students (Vertical)'!O:O,'Students ("&amp;"Vertical)'!C:C=B819,'Students (Vertical)'!O:O&lt;&gt;"""");filter('Students (Vertical)'!O:O,'Students (Vertical)'!C:C=E819,'Students (Vertical)'!O:O&lt;&gt;"""")})&gt;1))),""No shared courses""),"""")"),"")</f>
        <v/>
      </c>
      <c r="J819" s="357" t="str">
        <f>IFERROR(__xludf.DUMMYFUNCTION("if(H819=""Can't be Together"",iferror(join("", "",unique(filter({filter('Students (Vertical)'!O:O,'Students (Vertical)'!C:C=B819,'Students (Vertical)'!O:O&lt;&gt;"""",'Students (Vertical)'!P:P&gt;1);filter('Students (Vertical)'!O:O,'Students (Vertical)'!C:C=E819,'"&amp;"Students (Vertical)'!O:O&lt;&gt;"""",'Students (Vertical)'!P:P&gt;1)},countifs({filter('Students (Vertical)'!O:O,'Students (Vertical)'!C:C=B819,'Students (Vertical)'!O:O&lt;&gt;"""",'Students (Vertical)'!P:P&gt;1);filter('Students (Vertical)'!O:O,'Students (Vertical)'!C:C="&amp;"E819,'Students (Vertical)'!O:O&lt;&gt;"""",'Students (Vertical)'!P:P&gt;1)},{filter('Students (Vertical)'!O:O,'Students (Vertical)'!C:C=B819,'Students (Vertical)'!O:O&lt;&gt;"""",'Students (Vertical)'!P:P&gt;1);filter('Students (Vertical)'!O:O,'Students (Vertical)'!C:C=E81"&amp;"9,'Students (Vertical)'!O:O&lt;&gt;"""",'Students (Vertical)'!P:P&gt;1)})&gt;1))),""""),"""")"),"")</f>
        <v/>
      </c>
      <c r="K819" s="358"/>
    </row>
    <row r="820">
      <c r="A820" s="300" t="s">
        <v>22</v>
      </c>
      <c r="C820" s="300" t="s">
        <v>22</v>
      </c>
      <c r="D820" s="300" t="s">
        <v>22</v>
      </c>
      <c r="F820" s="300" t="s">
        <v>22</v>
      </c>
      <c r="G820" s="300" t="s">
        <v>22</v>
      </c>
      <c r="I820" s="356" t="str">
        <f>IFERROR(__xludf.DUMMYFUNCTION("if(H820=""Must be Together"",iferror(join("", "",unique(filter({filter('Students (Vertical)'!O:O,'Students (Vertical)'!C:C=B820,'Students (Vertical)'!O:O&lt;&gt;"""");filter('Students (Vertical)'!O:O,'Students (Vertical)'!C:C=E820,'Students (Vertical)'!O:O&lt;&gt;"""&amp;""")},countifs({filter('Students (Vertical)'!O:O,'Students (Vertical)'!C:C=B820,'Students (Vertical)'!O:O&lt;&gt;"""");filter('Students (Vertical)'!O:O,'Students (Vertical)'!C:C=E820,'Students (Vertical)'!O:O&lt;&gt;"""")},{filter('Students (Vertical)'!O:O,'Students ("&amp;"Vertical)'!C:C=B820,'Students (Vertical)'!O:O&lt;&gt;"""");filter('Students (Vertical)'!O:O,'Students (Vertical)'!C:C=E820,'Students (Vertical)'!O:O&lt;&gt;"""")})&gt;1))),""No shared courses""),"""")"),"")</f>
        <v/>
      </c>
      <c r="J820" s="357" t="str">
        <f>IFERROR(__xludf.DUMMYFUNCTION("if(H820=""Can't be Together"",iferror(join("", "",unique(filter({filter('Students (Vertical)'!O:O,'Students (Vertical)'!C:C=B820,'Students (Vertical)'!O:O&lt;&gt;"""",'Students (Vertical)'!P:P&gt;1);filter('Students (Vertical)'!O:O,'Students (Vertical)'!C:C=E820,'"&amp;"Students (Vertical)'!O:O&lt;&gt;"""",'Students (Vertical)'!P:P&gt;1)},countifs({filter('Students (Vertical)'!O:O,'Students (Vertical)'!C:C=B820,'Students (Vertical)'!O:O&lt;&gt;"""",'Students (Vertical)'!P:P&gt;1);filter('Students (Vertical)'!O:O,'Students (Vertical)'!C:C="&amp;"E820,'Students (Vertical)'!O:O&lt;&gt;"""",'Students (Vertical)'!P:P&gt;1)},{filter('Students (Vertical)'!O:O,'Students (Vertical)'!C:C=B820,'Students (Vertical)'!O:O&lt;&gt;"""",'Students (Vertical)'!P:P&gt;1);filter('Students (Vertical)'!O:O,'Students (Vertical)'!C:C=E82"&amp;"0,'Students (Vertical)'!O:O&lt;&gt;"""",'Students (Vertical)'!P:P&gt;1)})&gt;1))),""""),"""")"),"")</f>
        <v/>
      </c>
      <c r="K820" s="358"/>
    </row>
    <row r="821">
      <c r="A821" s="300" t="s">
        <v>22</v>
      </c>
      <c r="C821" s="300" t="s">
        <v>22</v>
      </c>
      <c r="D821" s="300" t="s">
        <v>22</v>
      </c>
      <c r="F821" s="300" t="s">
        <v>22</v>
      </c>
      <c r="G821" s="300" t="s">
        <v>22</v>
      </c>
      <c r="I821" s="356" t="str">
        <f>IFERROR(__xludf.DUMMYFUNCTION("if(H821=""Must be Together"",iferror(join("", "",unique(filter({filter('Students (Vertical)'!O:O,'Students (Vertical)'!C:C=B821,'Students (Vertical)'!O:O&lt;&gt;"""");filter('Students (Vertical)'!O:O,'Students (Vertical)'!C:C=E821,'Students (Vertical)'!O:O&lt;&gt;"""&amp;""")},countifs({filter('Students (Vertical)'!O:O,'Students (Vertical)'!C:C=B821,'Students (Vertical)'!O:O&lt;&gt;"""");filter('Students (Vertical)'!O:O,'Students (Vertical)'!C:C=E821,'Students (Vertical)'!O:O&lt;&gt;"""")},{filter('Students (Vertical)'!O:O,'Students ("&amp;"Vertical)'!C:C=B821,'Students (Vertical)'!O:O&lt;&gt;"""");filter('Students (Vertical)'!O:O,'Students (Vertical)'!C:C=E821,'Students (Vertical)'!O:O&lt;&gt;"""")})&gt;1))),""No shared courses""),"""")"),"")</f>
        <v/>
      </c>
      <c r="J821" s="357" t="str">
        <f>IFERROR(__xludf.DUMMYFUNCTION("if(H821=""Can't be Together"",iferror(join("", "",unique(filter({filter('Students (Vertical)'!O:O,'Students (Vertical)'!C:C=B821,'Students (Vertical)'!O:O&lt;&gt;"""",'Students (Vertical)'!P:P&gt;1);filter('Students (Vertical)'!O:O,'Students (Vertical)'!C:C=E821,'"&amp;"Students (Vertical)'!O:O&lt;&gt;"""",'Students (Vertical)'!P:P&gt;1)},countifs({filter('Students (Vertical)'!O:O,'Students (Vertical)'!C:C=B821,'Students (Vertical)'!O:O&lt;&gt;"""",'Students (Vertical)'!P:P&gt;1);filter('Students (Vertical)'!O:O,'Students (Vertical)'!C:C="&amp;"E821,'Students (Vertical)'!O:O&lt;&gt;"""",'Students (Vertical)'!P:P&gt;1)},{filter('Students (Vertical)'!O:O,'Students (Vertical)'!C:C=B821,'Students (Vertical)'!O:O&lt;&gt;"""",'Students (Vertical)'!P:P&gt;1);filter('Students (Vertical)'!O:O,'Students (Vertical)'!C:C=E82"&amp;"1,'Students (Vertical)'!O:O&lt;&gt;"""",'Students (Vertical)'!P:P&gt;1)})&gt;1))),""""),"""")"),"")</f>
        <v/>
      </c>
      <c r="K821" s="358"/>
    </row>
    <row r="822">
      <c r="A822" s="300" t="s">
        <v>22</v>
      </c>
      <c r="C822" s="300" t="s">
        <v>22</v>
      </c>
      <c r="D822" s="300" t="s">
        <v>22</v>
      </c>
      <c r="F822" s="300" t="s">
        <v>22</v>
      </c>
      <c r="G822" s="300" t="s">
        <v>22</v>
      </c>
      <c r="I822" s="356" t="str">
        <f>IFERROR(__xludf.DUMMYFUNCTION("if(H822=""Must be Together"",iferror(join("", "",unique(filter({filter('Students (Vertical)'!O:O,'Students (Vertical)'!C:C=B822,'Students (Vertical)'!O:O&lt;&gt;"""");filter('Students (Vertical)'!O:O,'Students (Vertical)'!C:C=E822,'Students (Vertical)'!O:O&lt;&gt;"""&amp;""")},countifs({filter('Students (Vertical)'!O:O,'Students (Vertical)'!C:C=B822,'Students (Vertical)'!O:O&lt;&gt;"""");filter('Students (Vertical)'!O:O,'Students (Vertical)'!C:C=E822,'Students (Vertical)'!O:O&lt;&gt;"""")},{filter('Students (Vertical)'!O:O,'Students ("&amp;"Vertical)'!C:C=B822,'Students (Vertical)'!O:O&lt;&gt;"""");filter('Students (Vertical)'!O:O,'Students (Vertical)'!C:C=E822,'Students (Vertical)'!O:O&lt;&gt;"""")})&gt;1))),""No shared courses""),"""")"),"")</f>
        <v/>
      </c>
      <c r="J822" s="357" t="str">
        <f>IFERROR(__xludf.DUMMYFUNCTION("if(H822=""Can't be Together"",iferror(join("", "",unique(filter({filter('Students (Vertical)'!O:O,'Students (Vertical)'!C:C=B822,'Students (Vertical)'!O:O&lt;&gt;"""",'Students (Vertical)'!P:P&gt;1);filter('Students (Vertical)'!O:O,'Students (Vertical)'!C:C=E822,'"&amp;"Students (Vertical)'!O:O&lt;&gt;"""",'Students (Vertical)'!P:P&gt;1)},countifs({filter('Students (Vertical)'!O:O,'Students (Vertical)'!C:C=B822,'Students (Vertical)'!O:O&lt;&gt;"""",'Students (Vertical)'!P:P&gt;1);filter('Students (Vertical)'!O:O,'Students (Vertical)'!C:C="&amp;"E822,'Students (Vertical)'!O:O&lt;&gt;"""",'Students (Vertical)'!P:P&gt;1)},{filter('Students (Vertical)'!O:O,'Students (Vertical)'!C:C=B822,'Students (Vertical)'!O:O&lt;&gt;"""",'Students (Vertical)'!P:P&gt;1);filter('Students (Vertical)'!O:O,'Students (Vertical)'!C:C=E82"&amp;"2,'Students (Vertical)'!O:O&lt;&gt;"""",'Students (Vertical)'!P:P&gt;1)})&gt;1))),""""),"""")"),"")</f>
        <v/>
      </c>
      <c r="K822" s="358"/>
    </row>
    <row r="823">
      <c r="A823" s="300" t="s">
        <v>22</v>
      </c>
      <c r="C823" s="300" t="s">
        <v>22</v>
      </c>
      <c r="D823" s="300" t="s">
        <v>22</v>
      </c>
      <c r="F823" s="300" t="s">
        <v>22</v>
      </c>
      <c r="G823" s="300" t="s">
        <v>22</v>
      </c>
      <c r="I823" s="356" t="str">
        <f>IFERROR(__xludf.DUMMYFUNCTION("if(H823=""Must be Together"",iferror(join("", "",unique(filter({filter('Students (Vertical)'!O:O,'Students (Vertical)'!C:C=B823,'Students (Vertical)'!O:O&lt;&gt;"""");filter('Students (Vertical)'!O:O,'Students (Vertical)'!C:C=E823,'Students (Vertical)'!O:O&lt;&gt;"""&amp;""")},countifs({filter('Students (Vertical)'!O:O,'Students (Vertical)'!C:C=B823,'Students (Vertical)'!O:O&lt;&gt;"""");filter('Students (Vertical)'!O:O,'Students (Vertical)'!C:C=E823,'Students (Vertical)'!O:O&lt;&gt;"""")},{filter('Students (Vertical)'!O:O,'Students ("&amp;"Vertical)'!C:C=B823,'Students (Vertical)'!O:O&lt;&gt;"""");filter('Students (Vertical)'!O:O,'Students (Vertical)'!C:C=E823,'Students (Vertical)'!O:O&lt;&gt;"""")})&gt;1))),""No shared courses""),"""")"),"")</f>
        <v/>
      </c>
      <c r="J823" s="357" t="str">
        <f>IFERROR(__xludf.DUMMYFUNCTION("if(H823=""Can't be Together"",iferror(join("", "",unique(filter({filter('Students (Vertical)'!O:O,'Students (Vertical)'!C:C=B823,'Students (Vertical)'!O:O&lt;&gt;"""",'Students (Vertical)'!P:P&gt;1);filter('Students (Vertical)'!O:O,'Students (Vertical)'!C:C=E823,'"&amp;"Students (Vertical)'!O:O&lt;&gt;"""",'Students (Vertical)'!P:P&gt;1)},countifs({filter('Students (Vertical)'!O:O,'Students (Vertical)'!C:C=B823,'Students (Vertical)'!O:O&lt;&gt;"""",'Students (Vertical)'!P:P&gt;1);filter('Students (Vertical)'!O:O,'Students (Vertical)'!C:C="&amp;"E823,'Students (Vertical)'!O:O&lt;&gt;"""",'Students (Vertical)'!P:P&gt;1)},{filter('Students (Vertical)'!O:O,'Students (Vertical)'!C:C=B823,'Students (Vertical)'!O:O&lt;&gt;"""",'Students (Vertical)'!P:P&gt;1);filter('Students (Vertical)'!O:O,'Students (Vertical)'!C:C=E82"&amp;"3,'Students (Vertical)'!O:O&lt;&gt;"""",'Students (Vertical)'!P:P&gt;1)})&gt;1))),""""),"""")"),"")</f>
        <v/>
      </c>
      <c r="K823" s="358"/>
    </row>
    <row r="824">
      <c r="A824" s="300" t="s">
        <v>22</v>
      </c>
      <c r="C824" s="300" t="s">
        <v>22</v>
      </c>
      <c r="D824" s="300" t="s">
        <v>22</v>
      </c>
      <c r="F824" s="300" t="s">
        <v>22</v>
      </c>
      <c r="G824" s="300" t="s">
        <v>22</v>
      </c>
      <c r="I824" s="356" t="str">
        <f>IFERROR(__xludf.DUMMYFUNCTION("if(H824=""Must be Together"",iferror(join("", "",unique(filter({filter('Students (Vertical)'!O:O,'Students (Vertical)'!C:C=B824,'Students (Vertical)'!O:O&lt;&gt;"""");filter('Students (Vertical)'!O:O,'Students (Vertical)'!C:C=E824,'Students (Vertical)'!O:O&lt;&gt;"""&amp;""")},countifs({filter('Students (Vertical)'!O:O,'Students (Vertical)'!C:C=B824,'Students (Vertical)'!O:O&lt;&gt;"""");filter('Students (Vertical)'!O:O,'Students (Vertical)'!C:C=E824,'Students (Vertical)'!O:O&lt;&gt;"""")},{filter('Students (Vertical)'!O:O,'Students ("&amp;"Vertical)'!C:C=B824,'Students (Vertical)'!O:O&lt;&gt;"""");filter('Students (Vertical)'!O:O,'Students (Vertical)'!C:C=E824,'Students (Vertical)'!O:O&lt;&gt;"""")})&gt;1))),""No shared courses""),"""")"),"")</f>
        <v/>
      </c>
      <c r="J824" s="357" t="str">
        <f>IFERROR(__xludf.DUMMYFUNCTION("if(H824=""Can't be Together"",iferror(join("", "",unique(filter({filter('Students (Vertical)'!O:O,'Students (Vertical)'!C:C=B824,'Students (Vertical)'!O:O&lt;&gt;"""",'Students (Vertical)'!P:P&gt;1);filter('Students (Vertical)'!O:O,'Students (Vertical)'!C:C=E824,'"&amp;"Students (Vertical)'!O:O&lt;&gt;"""",'Students (Vertical)'!P:P&gt;1)},countifs({filter('Students (Vertical)'!O:O,'Students (Vertical)'!C:C=B824,'Students (Vertical)'!O:O&lt;&gt;"""",'Students (Vertical)'!P:P&gt;1);filter('Students (Vertical)'!O:O,'Students (Vertical)'!C:C="&amp;"E824,'Students (Vertical)'!O:O&lt;&gt;"""",'Students (Vertical)'!P:P&gt;1)},{filter('Students (Vertical)'!O:O,'Students (Vertical)'!C:C=B824,'Students (Vertical)'!O:O&lt;&gt;"""",'Students (Vertical)'!P:P&gt;1);filter('Students (Vertical)'!O:O,'Students (Vertical)'!C:C=E82"&amp;"4,'Students (Vertical)'!O:O&lt;&gt;"""",'Students (Vertical)'!P:P&gt;1)})&gt;1))),""""),"""")"),"")</f>
        <v/>
      </c>
      <c r="K824" s="358"/>
    </row>
    <row r="825">
      <c r="A825" s="300" t="s">
        <v>22</v>
      </c>
      <c r="C825" s="300" t="s">
        <v>22</v>
      </c>
      <c r="D825" s="300" t="s">
        <v>22</v>
      </c>
      <c r="F825" s="300" t="s">
        <v>22</v>
      </c>
      <c r="G825" s="300" t="s">
        <v>22</v>
      </c>
      <c r="I825" s="356" t="str">
        <f>IFERROR(__xludf.DUMMYFUNCTION("if(H825=""Must be Together"",iferror(join("", "",unique(filter({filter('Students (Vertical)'!O:O,'Students (Vertical)'!C:C=B825,'Students (Vertical)'!O:O&lt;&gt;"""");filter('Students (Vertical)'!O:O,'Students (Vertical)'!C:C=E825,'Students (Vertical)'!O:O&lt;&gt;"""&amp;""")},countifs({filter('Students (Vertical)'!O:O,'Students (Vertical)'!C:C=B825,'Students (Vertical)'!O:O&lt;&gt;"""");filter('Students (Vertical)'!O:O,'Students (Vertical)'!C:C=E825,'Students (Vertical)'!O:O&lt;&gt;"""")},{filter('Students (Vertical)'!O:O,'Students ("&amp;"Vertical)'!C:C=B825,'Students (Vertical)'!O:O&lt;&gt;"""");filter('Students (Vertical)'!O:O,'Students (Vertical)'!C:C=E825,'Students (Vertical)'!O:O&lt;&gt;"""")})&gt;1))),""No shared courses""),"""")"),"")</f>
        <v/>
      </c>
      <c r="J825" s="357" t="str">
        <f>IFERROR(__xludf.DUMMYFUNCTION("if(H825=""Can't be Together"",iferror(join("", "",unique(filter({filter('Students (Vertical)'!O:O,'Students (Vertical)'!C:C=B825,'Students (Vertical)'!O:O&lt;&gt;"""",'Students (Vertical)'!P:P&gt;1);filter('Students (Vertical)'!O:O,'Students (Vertical)'!C:C=E825,'"&amp;"Students (Vertical)'!O:O&lt;&gt;"""",'Students (Vertical)'!P:P&gt;1)},countifs({filter('Students (Vertical)'!O:O,'Students (Vertical)'!C:C=B825,'Students (Vertical)'!O:O&lt;&gt;"""",'Students (Vertical)'!P:P&gt;1);filter('Students (Vertical)'!O:O,'Students (Vertical)'!C:C="&amp;"E825,'Students (Vertical)'!O:O&lt;&gt;"""",'Students (Vertical)'!P:P&gt;1)},{filter('Students (Vertical)'!O:O,'Students (Vertical)'!C:C=B825,'Students (Vertical)'!O:O&lt;&gt;"""",'Students (Vertical)'!P:P&gt;1);filter('Students (Vertical)'!O:O,'Students (Vertical)'!C:C=E82"&amp;"5,'Students (Vertical)'!O:O&lt;&gt;"""",'Students (Vertical)'!P:P&gt;1)})&gt;1))),""""),"""")"),"")</f>
        <v/>
      </c>
      <c r="K825" s="358"/>
    </row>
    <row r="826">
      <c r="A826" s="300" t="s">
        <v>22</v>
      </c>
      <c r="C826" s="300" t="s">
        <v>22</v>
      </c>
      <c r="D826" s="300" t="s">
        <v>22</v>
      </c>
      <c r="F826" s="300" t="s">
        <v>22</v>
      </c>
      <c r="G826" s="300" t="s">
        <v>22</v>
      </c>
      <c r="I826" s="356" t="str">
        <f>IFERROR(__xludf.DUMMYFUNCTION("if(H826=""Must be Together"",iferror(join("", "",unique(filter({filter('Students (Vertical)'!O:O,'Students (Vertical)'!C:C=B826,'Students (Vertical)'!O:O&lt;&gt;"""");filter('Students (Vertical)'!O:O,'Students (Vertical)'!C:C=E826,'Students (Vertical)'!O:O&lt;&gt;"""&amp;""")},countifs({filter('Students (Vertical)'!O:O,'Students (Vertical)'!C:C=B826,'Students (Vertical)'!O:O&lt;&gt;"""");filter('Students (Vertical)'!O:O,'Students (Vertical)'!C:C=E826,'Students (Vertical)'!O:O&lt;&gt;"""")},{filter('Students (Vertical)'!O:O,'Students ("&amp;"Vertical)'!C:C=B826,'Students (Vertical)'!O:O&lt;&gt;"""");filter('Students (Vertical)'!O:O,'Students (Vertical)'!C:C=E826,'Students (Vertical)'!O:O&lt;&gt;"""")})&gt;1))),""No shared courses""),"""")"),"")</f>
        <v/>
      </c>
      <c r="J826" s="357" t="str">
        <f>IFERROR(__xludf.DUMMYFUNCTION("if(H826=""Can't be Together"",iferror(join("", "",unique(filter({filter('Students (Vertical)'!O:O,'Students (Vertical)'!C:C=B826,'Students (Vertical)'!O:O&lt;&gt;"""",'Students (Vertical)'!P:P&gt;1);filter('Students (Vertical)'!O:O,'Students (Vertical)'!C:C=E826,'"&amp;"Students (Vertical)'!O:O&lt;&gt;"""",'Students (Vertical)'!P:P&gt;1)},countifs({filter('Students (Vertical)'!O:O,'Students (Vertical)'!C:C=B826,'Students (Vertical)'!O:O&lt;&gt;"""",'Students (Vertical)'!P:P&gt;1);filter('Students (Vertical)'!O:O,'Students (Vertical)'!C:C="&amp;"E826,'Students (Vertical)'!O:O&lt;&gt;"""",'Students (Vertical)'!P:P&gt;1)},{filter('Students (Vertical)'!O:O,'Students (Vertical)'!C:C=B826,'Students (Vertical)'!O:O&lt;&gt;"""",'Students (Vertical)'!P:P&gt;1);filter('Students (Vertical)'!O:O,'Students (Vertical)'!C:C=E82"&amp;"6,'Students (Vertical)'!O:O&lt;&gt;"""",'Students (Vertical)'!P:P&gt;1)})&gt;1))),""""),"""")"),"")</f>
        <v/>
      </c>
      <c r="K826" s="358"/>
    </row>
    <row r="827">
      <c r="A827" s="300" t="s">
        <v>22</v>
      </c>
      <c r="C827" s="300" t="s">
        <v>22</v>
      </c>
      <c r="D827" s="300" t="s">
        <v>22</v>
      </c>
      <c r="F827" s="300" t="s">
        <v>22</v>
      </c>
      <c r="G827" s="300" t="s">
        <v>22</v>
      </c>
      <c r="I827" s="356" t="str">
        <f>IFERROR(__xludf.DUMMYFUNCTION("if(H827=""Must be Together"",iferror(join("", "",unique(filter({filter('Students (Vertical)'!O:O,'Students (Vertical)'!C:C=B827,'Students (Vertical)'!O:O&lt;&gt;"""");filter('Students (Vertical)'!O:O,'Students (Vertical)'!C:C=E827,'Students (Vertical)'!O:O&lt;&gt;"""&amp;""")},countifs({filter('Students (Vertical)'!O:O,'Students (Vertical)'!C:C=B827,'Students (Vertical)'!O:O&lt;&gt;"""");filter('Students (Vertical)'!O:O,'Students (Vertical)'!C:C=E827,'Students (Vertical)'!O:O&lt;&gt;"""")},{filter('Students (Vertical)'!O:O,'Students ("&amp;"Vertical)'!C:C=B827,'Students (Vertical)'!O:O&lt;&gt;"""");filter('Students (Vertical)'!O:O,'Students (Vertical)'!C:C=E827,'Students (Vertical)'!O:O&lt;&gt;"""")})&gt;1))),""No shared courses""),"""")"),"")</f>
        <v/>
      </c>
      <c r="J827" s="357" t="str">
        <f>IFERROR(__xludf.DUMMYFUNCTION("if(H827=""Can't be Together"",iferror(join("", "",unique(filter({filter('Students (Vertical)'!O:O,'Students (Vertical)'!C:C=B827,'Students (Vertical)'!O:O&lt;&gt;"""",'Students (Vertical)'!P:P&gt;1);filter('Students (Vertical)'!O:O,'Students (Vertical)'!C:C=E827,'"&amp;"Students (Vertical)'!O:O&lt;&gt;"""",'Students (Vertical)'!P:P&gt;1)},countifs({filter('Students (Vertical)'!O:O,'Students (Vertical)'!C:C=B827,'Students (Vertical)'!O:O&lt;&gt;"""",'Students (Vertical)'!P:P&gt;1);filter('Students (Vertical)'!O:O,'Students (Vertical)'!C:C="&amp;"E827,'Students (Vertical)'!O:O&lt;&gt;"""",'Students (Vertical)'!P:P&gt;1)},{filter('Students (Vertical)'!O:O,'Students (Vertical)'!C:C=B827,'Students (Vertical)'!O:O&lt;&gt;"""",'Students (Vertical)'!P:P&gt;1);filter('Students (Vertical)'!O:O,'Students (Vertical)'!C:C=E82"&amp;"7,'Students (Vertical)'!O:O&lt;&gt;"""",'Students (Vertical)'!P:P&gt;1)})&gt;1))),""""),"""")"),"")</f>
        <v/>
      </c>
      <c r="K827" s="358"/>
    </row>
    <row r="828">
      <c r="A828" s="300" t="s">
        <v>22</v>
      </c>
      <c r="C828" s="300" t="s">
        <v>22</v>
      </c>
      <c r="D828" s="300" t="s">
        <v>22</v>
      </c>
      <c r="F828" s="300" t="s">
        <v>22</v>
      </c>
      <c r="G828" s="300" t="s">
        <v>22</v>
      </c>
      <c r="I828" s="356" t="str">
        <f>IFERROR(__xludf.DUMMYFUNCTION("if(H828=""Must be Together"",iferror(join("", "",unique(filter({filter('Students (Vertical)'!O:O,'Students (Vertical)'!C:C=B828,'Students (Vertical)'!O:O&lt;&gt;"""");filter('Students (Vertical)'!O:O,'Students (Vertical)'!C:C=E828,'Students (Vertical)'!O:O&lt;&gt;"""&amp;""")},countifs({filter('Students (Vertical)'!O:O,'Students (Vertical)'!C:C=B828,'Students (Vertical)'!O:O&lt;&gt;"""");filter('Students (Vertical)'!O:O,'Students (Vertical)'!C:C=E828,'Students (Vertical)'!O:O&lt;&gt;"""")},{filter('Students (Vertical)'!O:O,'Students ("&amp;"Vertical)'!C:C=B828,'Students (Vertical)'!O:O&lt;&gt;"""");filter('Students (Vertical)'!O:O,'Students (Vertical)'!C:C=E828,'Students (Vertical)'!O:O&lt;&gt;"""")})&gt;1))),""No shared courses""),"""")"),"")</f>
        <v/>
      </c>
      <c r="J828" s="357" t="str">
        <f>IFERROR(__xludf.DUMMYFUNCTION("if(H828=""Can't be Together"",iferror(join("", "",unique(filter({filter('Students (Vertical)'!O:O,'Students (Vertical)'!C:C=B828,'Students (Vertical)'!O:O&lt;&gt;"""",'Students (Vertical)'!P:P&gt;1);filter('Students (Vertical)'!O:O,'Students (Vertical)'!C:C=E828,'"&amp;"Students (Vertical)'!O:O&lt;&gt;"""",'Students (Vertical)'!P:P&gt;1)},countifs({filter('Students (Vertical)'!O:O,'Students (Vertical)'!C:C=B828,'Students (Vertical)'!O:O&lt;&gt;"""",'Students (Vertical)'!P:P&gt;1);filter('Students (Vertical)'!O:O,'Students (Vertical)'!C:C="&amp;"E828,'Students (Vertical)'!O:O&lt;&gt;"""",'Students (Vertical)'!P:P&gt;1)},{filter('Students (Vertical)'!O:O,'Students (Vertical)'!C:C=B828,'Students (Vertical)'!O:O&lt;&gt;"""",'Students (Vertical)'!P:P&gt;1);filter('Students (Vertical)'!O:O,'Students (Vertical)'!C:C=E82"&amp;"8,'Students (Vertical)'!O:O&lt;&gt;"""",'Students (Vertical)'!P:P&gt;1)})&gt;1))),""""),"""")"),"")</f>
        <v/>
      </c>
      <c r="K828" s="358"/>
    </row>
    <row r="829">
      <c r="A829" s="300" t="s">
        <v>22</v>
      </c>
      <c r="C829" s="300" t="s">
        <v>22</v>
      </c>
      <c r="D829" s="300" t="s">
        <v>22</v>
      </c>
      <c r="F829" s="300" t="s">
        <v>22</v>
      </c>
      <c r="G829" s="300" t="s">
        <v>22</v>
      </c>
      <c r="I829" s="356" t="str">
        <f>IFERROR(__xludf.DUMMYFUNCTION("if(H829=""Must be Together"",iferror(join("", "",unique(filter({filter('Students (Vertical)'!O:O,'Students (Vertical)'!C:C=B829,'Students (Vertical)'!O:O&lt;&gt;"""");filter('Students (Vertical)'!O:O,'Students (Vertical)'!C:C=E829,'Students (Vertical)'!O:O&lt;&gt;"""&amp;""")},countifs({filter('Students (Vertical)'!O:O,'Students (Vertical)'!C:C=B829,'Students (Vertical)'!O:O&lt;&gt;"""");filter('Students (Vertical)'!O:O,'Students (Vertical)'!C:C=E829,'Students (Vertical)'!O:O&lt;&gt;"""")},{filter('Students (Vertical)'!O:O,'Students ("&amp;"Vertical)'!C:C=B829,'Students (Vertical)'!O:O&lt;&gt;"""");filter('Students (Vertical)'!O:O,'Students (Vertical)'!C:C=E829,'Students (Vertical)'!O:O&lt;&gt;"""")})&gt;1))),""No shared courses""),"""")"),"")</f>
        <v/>
      </c>
      <c r="J829" s="357" t="str">
        <f>IFERROR(__xludf.DUMMYFUNCTION("if(H829=""Can't be Together"",iferror(join("", "",unique(filter({filter('Students (Vertical)'!O:O,'Students (Vertical)'!C:C=B829,'Students (Vertical)'!O:O&lt;&gt;"""",'Students (Vertical)'!P:P&gt;1);filter('Students (Vertical)'!O:O,'Students (Vertical)'!C:C=E829,'"&amp;"Students (Vertical)'!O:O&lt;&gt;"""",'Students (Vertical)'!P:P&gt;1)},countifs({filter('Students (Vertical)'!O:O,'Students (Vertical)'!C:C=B829,'Students (Vertical)'!O:O&lt;&gt;"""",'Students (Vertical)'!P:P&gt;1);filter('Students (Vertical)'!O:O,'Students (Vertical)'!C:C="&amp;"E829,'Students (Vertical)'!O:O&lt;&gt;"""",'Students (Vertical)'!P:P&gt;1)},{filter('Students (Vertical)'!O:O,'Students (Vertical)'!C:C=B829,'Students (Vertical)'!O:O&lt;&gt;"""",'Students (Vertical)'!P:P&gt;1);filter('Students (Vertical)'!O:O,'Students (Vertical)'!C:C=E82"&amp;"9,'Students (Vertical)'!O:O&lt;&gt;"""",'Students (Vertical)'!P:P&gt;1)})&gt;1))),""""),"""")"),"")</f>
        <v/>
      </c>
      <c r="K829" s="358"/>
    </row>
    <row r="830">
      <c r="A830" s="300" t="s">
        <v>22</v>
      </c>
      <c r="C830" s="300" t="s">
        <v>22</v>
      </c>
      <c r="D830" s="300" t="s">
        <v>22</v>
      </c>
      <c r="F830" s="300" t="s">
        <v>22</v>
      </c>
      <c r="G830" s="300" t="s">
        <v>22</v>
      </c>
      <c r="I830" s="356" t="str">
        <f>IFERROR(__xludf.DUMMYFUNCTION("if(H830=""Must be Together"",iferror(join("", "",unique(filter({filter('Students (Vertical)'!O:O,'Students (Vertical)'!C:C=B830,'Students (Vertical)'!O:O&lt;&gt;"""");filter('Students (Vertical)'!O:O,'Students (Vertical)'!C:C=E830,'Students (Vertical)'!O:O&lt;&gt;"""&amp;""")},countifs({filter('Students (Vertical)'!O:O,'Students (Vertical)'!C:C=B830,'Students (Vertical)'!O:O&lt;&gt;"""");filter('Students (Vertical)'!O:O,'Students (Vertical)'!C:C=E830,'Students (Vertical)'!O:O&lt;&gt;"""")},{filter('Students (Vertical)'!O:O,'Students ("&amp;"Vertical)'!C:C=B830,'Students (Vertical)'!O:O&lt;&gt;"""");filter('Students (Vertical)'!O:O,'Students (Vertical)'!C:C=E830,'Students (Vertical)'!O:O&lt;&gt;"""")})&gt;1))),""No shared courses""),"""")"),"")</f>
        <v/>
      </c>
      <c r="J830" s="357" t="str">
        <f>IFERROR(__xludf.DUMMYFUNCTION("if(H830=""Can't be Together"",iferror(join("", "",unique(filter({filter('Students (Vertical)'!O:O,'Students (Vertical)'!C:C=B830,'Students (Vertical)'!O:O&lt;&gt;"""",'Students (Vertical)'!P:P&gt;1);filter('Students (Vertical)'!O:O,'Students (Vertical)'!C:C=E830,'"&amp;"Students (Vertical)'!O:O&lt;&gt;"""",'Students (Vertical)'!P:P&gt;1)},countifs({filter('Students (Vertical)'!O:O,'Students (Vertical)'!C:C=B830,'Students (Vertical)'!O:O&lt;&gt;"""",'Students (Vertical)'!P:P&gt;1);filter('Students (Vertical)'!O:O,'Students (Vertical)'!C:C="&amp;"E830,'Students (Vertical)'!O:O&lt;&gt;"""",'Students (Vertical)'!P:P&gt;1)},{filter('Students (Vertical)'!O:O,'Students (Vertical)'!C:C=B830,'Students (Vertical)'!O:O&lt;&gt;"""",'Students (Vertical)'!P:P&gt;1);filter('Students (Vertical)'!O:O,'Students (Vertical)'!C:C=E83"&amp;"0,'Students (Vertical)'!O:O&lt;&gt;"""",'Students (Vertical)'!P:P&gt;1)})&gt;1))),""""),"""")"),"")</f>
        <v/>
      </c>
      <c r="K830" s="358"/>
    </row>
    <row r="831">
      <c r="A831" s="300" t="s">
        <v>22</v>
      </c>
      <c r="C831" s="300" t="s">
        <v>22</v>
      </c>
      <c r="D831" s="300" t="s">
        <v>22</v>
      </c>
      <c r="F831" s="300" t="s">
        <v>22</v>
      </c>
      <c r="G831" s="300" t="s">
        <v>22</v>
      </c>
      <c r="I831" s="356" t="str">
        <f>IFERROR(__xludf.DUMMYFUNCTION("if(H831=""Must be Together"",iferror(join("", "",unique(filter({filter('Students (Vertical)'!O:O,'Students (Vertical)'!C:C=B831,'Students (Vertical)'!O:O&lt;&gt;"""");filter('Students (Vertical)'!O:O,'Students (Vertical)'!C:C=E831,'Students (Vertical)'!O:O&lt;&gt;"""&amp;""")},countifs({filter('Students (Vertical)'!O:O,'Students (Vertical)'!C:C=B831,'Students (Vertical)'!O:O&lt;&gt;"""");filter('Students (Vertical)'!O:O,'Students (Vertical)'!C:C=E831,'Students (Vertical)'!O:O&lt;&gt;"""")},{filter('Students (Vertical)'!O:O,'Students ("&amp;"Vertical)'!C:C=B831,'Students (Vertical)'!O:O&lt;&gt;"""");filter('Students (Vertical)'!O:O,'Students (Vertical)'!C:C=E831,'Students (Vertical)'!O:O&lt;&gt;"""")})&gt;1))),""No shared courses""),"""")"),"")</f>
        <v/>
      </c>
      <c r="J831" s="357" t="str">
        <f>IFERROR(__xludf.DUMMYFUNCTION("if(H831=""Can't be Together"",iferror(join("", "",unique(filter({filter('Students (Vertical)'!O:O,'Students (Vertical)'!C:C=B831,'Students (Vertical)'!O:O&lt;&gt;"""",'Students (Vertical)'!P:P&gt;1);filter('Students (Vertical)'!O:O,'Students (Vertical)'!C:C=E831,'"&amp;"Students (Vertical)'!O:O&lt;&gt;"""",'Students (Vertical)'!P:P&gt;1)},countifs({filter('Students (Vertical)'!O:O,'Students (Vertical)'!C:C=B831,'Students (Vertical)'!O:O&lt;&gt;"""",'Students (Vertical)'!P:P&gt;1);filter('Students (Vertical)'!O:O,'Students (Vertical)'!C:C="&amp;"E831,'Students (Vertical)'!O:O&lt;&gt;"""",'Students (Vertical)'!P:P&gt;1)},{filter('Students (Vertical)'!O:O,'Students (Vertical)'!C:C=B831,'Students (Vertical)'!O:O&lt;&gt;"""",'Students (Vertical)'!P:P&gt;1);filter('Students (Vertical)'!O:O,'Students (Vertical)'!C:C=E83"&amp;"1,'Students (Vertical)'!O:O&lt;&gt;"""",'Students (Vertical)'!P:P&gt;1)})&gt;1))),""""),"""")"),"")</f>
        <v/>
      </c>
      <c r="K831" s="358"/>
    </row>
    <row r="832">
      <c r="A832" s="300" t="s">
        <v>22</v>
      </c>
      <c r="C832" s="300" t="s">
        <v>22</v>
      </c>
      <c r="D832" s="300" t="s">
        <v>22</v>
      </c>
      <c r="F832" s="300" t="s">
        <v>22</v>
      </c>
      <c r="G832" s="300" t="s">
        <v>22</v>
      </c>
      <c r="I832" s="356" t="str">
        <f>IFERROR(__xludf.DUMMYFUNCTION("if(H832=""Must be Together"",iferror(join("", "",unique(filter({filter('Students (Vertical)'!O:O,'Students (Vertical)'!C:C=B832,'Students (Vertical)'!O:O&lt;&gt;"""");filter('Students (Vertical)'!O:O,'Students (Vertical)'!C:C=E832,'Students (Vertical)'!O:O&lt;&gt;"""&amp;""")},countifs({filter('Students (Vertical)'!O:O,'Students (Vertical)'!C:C=B832,'Students (Vertical)'!O:O&lt;&gt;"""");filter('Students (Vertical)'!O:O,'Students (Vertical)'!C:C=E832,'Students (Vertical)'!O:O&lt;&gt;"""")},{filter('Students (Vertical)'!O:O,'Students ("&amp;"Vertical)'!C:C=B832,'Students (Vertical)'!O:O&lt;&gt;"""");filter('Students (Vertical)'!O:O,'Students (Vertical)'!C:C=E832,'Students (Vertical)'!O:O&lt;&gt;"""")})&gt;1))),""No shared courses""),"""")"),"")</f>
        <v/>
      </c>
      <c r="J832" s="357" t="str">
        <f>IFERROR(__xludf.DUMMYFUNCTION("if(H832=""Can't be Together"",iferror(join("", "",unique(filter({filter('Students (Vertical)'!O:O,'Students (Vertical)'!C:C=B832,'Students (Vertical)'!O:O&lt;&gt;"""",'Students (Vertical)'!P:P&gt;1);filter('Students (Vertical)'!O:O,'Students (Vertical)'!C:C=E832,'"&amp;"Students (Vertical)'!O:O&lt;&gt;"""",'Students (Vertical)'!P:P&gt;1)},countifs({filter('Students (Vertical)'!O:O,'Students (Vertical)'!C:C=B832,'Students (Vertical)'!O:O&lt;&gt;"""",'Students (Vertical)'!P:P&gt;1);filter('Students (Vertical)'!O:O,'Students (Vertical)'!C:C="&amp;"E832,'Students (Vertical)'!O:O&lt;&gt;"""",'Students (Vertical)'!P:P&gt;1)},{filter('Students (Vertical)'!O:O,'Students (Vertical)'!C:C=B832,'Students (Vertical)'!O:O&lt;&gt;"""",'Students (Vertical)'!P:P&gt;1);filter('Students (Vertical)'!O:O,'Students (Vertical)'!C:C=E83"&amp;"2,'Students (Vertical)'!O:O&lt;&gt;"""",'Students (Vertical)'!P:P&gt;1)})&gt;1))),""""),"""")"),"")</f>
        <v/>
      </c>
      <c r="K832" s="358"/>
    </row>
    <row r="833">
      <c r="A833" s="300" t="s">
        <v>22</v>
      </c>
      <c r="C833" s="300" t="s">
        <v>22</v>
      </c>
      <c r="D833" s="300" t="s">
        <v>22</v>
      </c>
      <c r="F833" s="300" t="s">
        <v>22</v>
      </c>
      <c r="G833" s="300" t="s">
        <v>22</v>
      </c>
      <c r="I833" s="356" t="str">
        <f>IFERROR(__xludf.DUMMYFUNCTION("if(H833=""Must be Together"",iferror(join("", "",unique(filter({filter('Students (Vertical)'!O:O,'Students (Vertical)'!C:C=B833,'Students (Vertical)'!O:O&lt;&gt;"""");filter('Students (Vertical)'!O:O,'Students (Vertical)'!C:C=E833,'Students (Vertical)'!O:O&lt;&gt;"""&amp;""")},countifs({filter('Students (Vertical)'!O:O,'Students (Vertical)'!C:C=B833,'Students (Vertical)'!O:O&lt;&gt;"""");filter('Students (Vertical)'!O:O,'Students (Vertical)'!C:C=E833,'Students (Vertical)'!O:O&lt;&gt;"""")},{filter('Students (Vertical)'!O:O,'Students ("&amp;"Vertical)'!C:C=B833,'Students (Vertical)'!O:O&lt;&gt;"""");filter('Students (Vertical)'!O:O,'Students (Vertical)'!C:C=E833,'Students (Vertical)'!O:O&lt;&gt;"""")})&gt;1))),""No shared courses""),"""")"),"")</f>
        <v/>
      </c>
      <c r="J833" s="357" t="str">
        <f>IFERROR(__xludf.DUMMYFUNCTION("if(H833=""Can't be Together"",iferror(join("", "",unique(filter({filter('Students (Vertical)'!O:O,'Students (Vertical)'!C:C=B833,'Students (Vertical)'!O:O&lt;&gt;"""",'Students (Vertical)'!P:P&gt;1);filter('Students (Vertical)'!O:O,'Students (Vertical)'!C:C=E833,'"&amp;"Students (Vertical)'!O:O&lt;&gt;"""",'Students (Vertical)'!P:P&gt;1)},countifs({filter('Students (Vertical)'!O:O,'Students (Vertical)'!C:C=B833,'Students (Vertical)'!O:O&lt;&gt;"""",'Students (Vertical)'!P:P&gt;1);filter('Students (Vertical)'!O:O,'Students (Vertical)'!C:C="&amp;"E833,'Students (Vertical)'!O:O&lt;&gt;"""",'Students (Vertical)'!P:P&gt;1)},{filter('Students (Vertical)'!O:O,'Students (Vertical)'!C:C=B833,'Students (Vertical)'!O:O&lt;&gt;"""",'Students (Vertical)'!P:P&gt;1);filter('Students (Vertical)'!O:O,'Students (Vertical)'!C:C=E83"&amp;"3,'Students (Vertical)'!O:O&lt;&gt;"""",'Students (Vertical)'!P:P&gt;1)})&gt;1))),""""),"""")"),"")</f>
        <v/>
      </c>
      <c r="K833" s="358"/>
    </row>
    <row r="834">
      <c r="A834" s="300" t="s">
        <v>22</v>
      </c>
      <c r="C834" s="300" t="s">
        <v>22</v>
      </c>
      <c r="D834" s="300" t="s">
        <v>22</v>
      </c>
      <c r="F834" s="300" t="s">
        <v>22</v>
      </c>
      <c r="G834" s="300" t="s">
        <v>22</v>
      </c>
      <c r="I834" s="356" t="str">
        <f>IFERROR(__xludf.DUMMYFUNCTION("if(H834=""Must be Together"",iferror(join("", "",unique(filter({filter('Students (Vertical)'!O:O,'Students (Vertical)'!C:C=B834,'Students (Vertical)'!O:O&lt;&gt;"""");filter('Students (Vertical)'!O:O,'Students (Vertical)'!C:C=E834,'Students (Vertical)'!O:O&lt;&gt;"""&amp;""")},countifs({filter('Students (Vertical)'!O:O,'Students (Vertical)'!C:C=B834,'Students (Vertical)'!O:O&lt;&gt;"""");filter('Students (Vertical)'!O:O,'Students (Vertical)'!C:C=E834,'Students (Vertical)'!O:O&lt;&gt;"""")},{filter('Students (Vertical)'!O:O,'Students ("&amp;"Vertical)'!C:C=B834,'Students (Vertical)'!O:O&lt;&gt;"""");filter('Students (Vertical)'!O:O,'Students (Vertical)'!C:C=E834,'Students (Vertical)'!O:O&lt;&gt;"""")})&gt;1))),""No shared courses""),"""")"),"")</f>
        <v/>
      </c>
      <c r="J834" s="357" t="str">
        <f>IFERROR(__xludf.DUMMYFUNCTION("if(H834=""Can't be Together"",iferror(join("", "",unique(filter({filter('Students (Vertical)'!O:O,'Students (Vertical)'!C:C=B834,'Students (Vertical)'!O:O&lt;&gt;"""",'Students (Vertical)'!P:P&gt;1);filter('Students (Vertical)'!O:O,'Students (Vertical)'!C:C=E834,'"&amp;"Students (Vertical)'!O:O&lt;&gt;"""",'Students (Vertical)'!P:P&gt;1)},countifs({filter('Students (Vertical)'!O:O,'Students (Vertical)'!C:C=B834,'Students (Vertical)'!O:O&lt;&gt;"""",'Students (Vertical)'!P:P&gt;1);filter('Students (Vertical)'!O:O,'Students (Vertical)'!C:C="&amp;"E834,'Students (Vertical)'!O:O&lt;&gt;"""",'Students (Vertical)'!P:P&gt;1)},{filter('Students (Vertical)'!O:O,'Students (Vertical)'!C:C=B834,'Students (Vertical)'!O:O&lt;&gt;"""",'Students (Vertical)'!P:P&gt;1);filter('Students (Vertical)'!O:O,'Students (Vertical)'!C:C=E83"&amp;"4,'Students (Vertical)'!O:O&lt;&gt;"""",'Students (Vertical)'!P:P&gt;1)})&gt;1))),""""),"""")"),"")</f>
        <v/>
      </c>
      <c r="K834" s="358"/>
    </row>
    <row r="835">
      <c r="A835" s="300" t="s">
        <v>22</v>
      </c>
      <c r="C835" s="300" t="s">
        <v>22</v>
      </c>
      <c r="D835" s="300" t="s">
        <v>22</v>
      </c>
      <c r="F835" s="300" t="s">
        <v>22</v>
      </c>
      <c r="G835" s="300" t="s">
        <v>22</v>
      </c>
      <c r="I835" s="356" t="str">
        <f>IFERROR(__xludf.DUMMYFUNCTION("if(H835=""Must be Together"",iferror(join("", "",unique(filter({filter('Students (Vertical)'!O:O,'Students (Vertical)'!C:C=B835,'Students (Vertical)'!O:O&lt;&gt;"""");filter('Students (Vertical)'!O:O,'Students (Vertical)'!C:C=E835,'Students (Vertical)'!O:O&lt;&gt;"""&amp;""")},countifs({filter('Students (Vertical)'!O:O,'Students (Vertical)'!C:C=B835,'Students (Vertical)'!O:O&lt;&gt;"""");filter('Students (Vertical)'!O:O,'Students (Vertical)'!C:C=E835,'Students (Vertical)'!O:O&lt;&gt;"""")},{filter('Students (Vertical)'!O:O,'Students ("&amp;"Vertical)'!C:C=B835,'Students (Vertical)'!O:O&lt;&gt;"""");filter('Students (Vertical)'!O:O,'Students (Vertical)'!C:C=E835,'Students (Vertical)'!O:O&lt;&gt;"""")})&gt;1))),""No shared courses""),"""")"),"")</f>
        <v/>
      </c>
      <c r="J835" s="357" t="str">
        <f>IFERROR(__xludf.DUMMYFUNCTION("if(H835=""Can't be Together"",iferror(join("", "",unique(filter({filter('Students (Vertical)'!O:O,'Students (Vertical)'!C:C=B835,'Students (Vertical)'!O:O&lt;&gt;"""",'Students (Vertical)'!P:P&gt;1);filter('Students (Vertical)'!O:O,'Students (Vertical)'!C:C=E835,'"&amp;"Students (Vertical)'!O:O&lt;&gt;"""",'Students (Vertical)'!P:P&gt;1)},countifs({filter('Students (Vertical)'!O:O,'Students (Vertical)'!C:C=B835,'Students (Vertical)'!O:O&lt;&gt;"""",'Students (Vertical)'!P:P&gt;1);filter('Students (Vertical)'!O:O,'Students (Vertical)'!C:C="&amp;"E835,'Students (Vertical)'!O:O&lt;&gt;"""",'Students (Vertical)'!P:P&gt;1)},{filter('Students (Vertical)'!O:O,'Students (Vertical)'!C:C=B835,'Students (Vertical)'!O:O&lt;&gt;"""",'Students (Vertical)'!P:P&gt;1);filter('Students (Vertical)'!O:O,'Students (Vertical)'!C:C=E83"&amp;"5,'Students (Vertical)'!O:O&lt;&gt;"""",'Students (Vertical)'!P:P&gt;1)})&gt;1))),""""),"""")"),"")</f>
        <v/>
      </c>
      <c r="K835" s="358"/>
    </row>
    <row r="836">
      <c r="A836" s="300" t="s">
        <v>22</v>
      </c>
      <c r="C836" s="300" t="s">
        <v>22</v>
      </c>
      <c r="D836" s="300" t="s">
        <v>22</v>
      </c>
      <c r="F836" s="300" t="s">
        <v>22</v>
      </c>
      <c r="G836" s="300" t="s">
        <v>22</v>
      </c>
      <c r="I836" s="356" t="str">
        <f>IFERROR(__xludf.DUMMYFUNCTION("if(H836=""Must be Together"",iferror(join("", "",unique(filter({filter('Students (Vertical)'!O:O,'Students (Vertical)'!C:C=B836,'Students (Vertical)'!O:O&lt;&gt;"""");filter('Students (Vertical)'!O:O,'Students (Vertical)'!C:C=E836,'Students (Vertical)'!O:O&lt;&gt;"""&amp;""")},countifs({filter('Students (Vertical)'!O:O,'Students (Vertical)'!C:C=B836,'Students (Vertical)'!O:O&lt;&gt;"""");filter('Students (Vertical)'!O:O,'Students (Vertical)'!C:C=E836,'Students (Vertical)'!O:O&lt;&gt;"""")},{filter('Students (Vertical)'!O:O,'Students ("&amp;"Vertical)'!C:C=B836,'Students (Vertical)'!O:O&lt;&gt;"""");filter('Students (Vertical)'!O:O,'Students (Vertical)'!C:C=E836,'Students (Vertical)'!O:O&lt;&gt;"""")})&gt;1))),""No shared courses""),"""")"),"")</f>
        <v/>
      </c>
      <c r="J836" s="357" t="str">
        <f>IFERROR(__xludf.DUMMYFUNCTION("if(H836=""Can't be Together"",iferror(join("", "",unique(filter({filter('Students (Vertical)'!O:O,'Students (Vertical)'!C:C=B836,'Students (Vertical)'!O:O&lt;&gt;"""",'Students (Vertical)'!P:P&gt;1);filter('Students (Vertical)'!O:O,'Students (Vertical)'!C:C=E836,'"&amp;"Students (Vertical)'!O:O&lt;&gt;"""",'Students (Vertical)'!P:P&gt;1)},countifs({filter('Students (Vertical)'!O:O,'Students (Vertical)'!C:C=B836,'Students (Vertical)'!O:O&lt;&gt;"""",'Students (Vertical)'!P:P&gt;1);filter('Students (Vertical)'!O:O,'Students (Vertical)'!C:C="&amp;"E836,'Students (Vertical)'!O:O&lt;&gt;"""",'Students (Vertical)'!P:P&gt;1)},{filter('Students (Vertical)'!O:O,'Students (Vertical)'!C:C=B836,'Students (Vertical)'!O:O&lt;&gt;"""",'Students (Vertical)'!P:P&gt;1);filter('Students (Vertical)'!O:O,'Students (Vertical)'!C:C=E83"&amp;"6,'Students (Vertical)'!O:O&lt;&gt;"""",'Students (Vertical)'!P:P&gt;1)})&gt;1))),""""),"""")"),"")</f>
        <v/>
      </c>
      <c r="K836" s="358"/>
    </row>
    <row r="837">
      <c r="A837" s="300" t="s">
        <v>22</v>
      </c>
      <c r="C837" s="300" t="s">
        <v>22</v>
      </c>
      <c r="D837" s="300" t="s">
        <v>22</v>
      </c>
      <c r="F837" s="300" t="s">
        <v>22</v>
      </c>
      <c r="G837" s="300" t="s">
        <v>22</v>
      </c>
      <c r="I837" s="356" t="str">
        <f>IFERROR(__xludf.DUMMYFUNCTION("if(H837=""Must be Together"",iferror(join("", "",unique(filter({filter('Students (Vertical)'!O:O,'Students (Vertical)'!C:C=B837,'Students (Vertical)'!O:O&lt;&gt;"""");filter('Students (Vertical)'!O:O,'Students (Vertical)'!C:C=E837,'Students (Vertical)'!O:O&lt;&gt;"""&amp;""")},countifs({filter('Students (Vertical)'!O:O,'Students (Vertical)'!C:C=B837,'Students (Vertical)'!O:O&lt;&gt;"""");filter('Students (Vertical)'!O:O,'Students (Vertical)'!C:C=E837,'Students (Vertical)'!O:O&lt;&gt;"""")},{filter('Students (Vertical)'!O:O,'Students ("&amp;"Vertical)'!C:C=B837,'Students (Vertical)'!O:O&lt;&gt;"""");filter('Students (Vertical)'!O:O,'Students (Vertical)'!C:C=E837,'Students (Vertical)'!O:O&lt;&gt;"""")})&gt;1))),""No shared courses""),"""")"),"")</f>
        <v/>
      </c>
      <c r="J837" s="357" t="str">
        <f>IFERROR(__xludf.DUMMYFUNCTION("if(H837=""Can't be Together"",iferror(join("", "",unique(filter({filter('Students (Vertical)'!O:O,'Students (Vertical)'!C:C=B837,'Students (Vertical)'!O:O&lt;&gt;"""",'Students (Vertical)'!P:P&gt;1);filter('Students (Vertical)'!O:O,'Students (Vertical)'!C:C=E837,'"&amp;"Students (Vertical)'!O:O&lt;&gt;"""",'Students (Vertical)'!P:P&gt;1)},countifs({filter('Students (Vertical)'!O:O,'Students (Vertical)'!C:C=B837,'Students (Vertical)'!O:O&lt;&gt;"""",'Students (Vertical)'!P:P&gt;1);filter('Students (Vertical)'!O:O,'Students (Vertical)'!C:C="&amp;"E837,'Students (Vertical)'!O:O&lt;&gt;"""",'Students (Vertical)'!P:P&gt;1)},{filter('Students (Vertical)'!O:O,'Students (Vertical)'!C:C=B837,'Students (Vertical)'!O:O&lt;&gt;"""",'Students (Vertical)'!P:P&gt;1);filter('Students (Vertical)'!O:O,'Students (Vertical)'!C:C=E83"&amp;"7,'Students (Vertical)'!O:O&lt;&gt;"""",'Students (Vertical)'!P:P&gt;1)})&gt;1))),""""),"""")"),"")</f>
        <v/>
      </c>
      <c r="K837" s="358"/>
    </row>
    <row r="838">
      <c r="A838" s="300" t="s">
        <v>22</v>
      </c>
      <c r="C838" s="300" t="s">
        <v>22</v>
      </c>
      <c r="D838" s="300" t="s">
        <v>22</v>
      </c>
      <c r="F838" s="300" t="s">
        <v>22</v>
      </c>
      <c r="G838" s="300" t="s">
        <v>22</v>
      </c>
      <c r="I838" s="356" t="str">
        <f>IFERROR(__xludf.DUMMYFUNCTION("if(H838=""Must be Together"",iferror(join("", "",unique(filter({filter('Students (Vertical)'!O:O,'Students (Vertical)'!C:C=B838,'Students (Vertical)'!O:O&lt;&gt;"""");filter('Students (Vertical)'!O:O,'Students (Vertical)'!C:C=E838,'Students (Vertical)'!O:O&lt;&gt;"""&amp;""")},countifs({filter('Students (Vertical)'!O:O,'Students (Vertical)'!C:C=B838,'Students (Vertical)'!O:O&lt;&gt;"""");filter('Students (Vertical)'!O:O,'Students (Vertical)'!C:C=E838,'Students (Vertical)'!O:O&lt;&gt;"""")},{filter('Students (Vertical)'!O:O,'Students ("&amp;"Vertical)'!C:C=B838,'Students (Vertical)'!O:O&lt;&gt;"""");filter('Students (Vertical)'!O:O,'Students (Vertical)'!C:C=E838,'Students (Vertical)'!O:O&lt;&gt;"""")})&gt;1))),""No shared courses""),"""")"),"")</f>
        <v/>
      </c>
      <c r="J838" s="357" t="str">
        <f>IFERROR(__xludf.DUMMYFUNCTION("if(H838=""Can't be Together"",iferror(join("", "",unique(filter({filter('Students (Vertical)'!O:O,'Students (Vertical)'!C:C=B838,'Students (Vertical)'!O:O&lt;&gt;"""",'Students (Vertical)'!P:P&gt;1);filter('Students (Vertical)'!O:O,'Students (Vertical)'!C:C=E838,'"&amp;"Students (Vertical)'!O:O&lt;&gt;"""",'Students (Vertical)'!P:P&gt;1)},countifs({filter('Students (Vertical)'!O:O,'Students (Vertical)'!C:C=B838,'Students (Vertical)'!O:O&lt;&gt;"""",'Students (Vertical)'!P:P&gt;1);filter('Students (Vertical)'!O:O,'Students (Vertical)'!C:C="&amp;"E838,'Students (Vertical)'!O:O&lt;&gt;"""",'Students (Vertical)'!P:P&gt;1)},{filter('Students (Vertical)'!O:O,'Students (Vertical)'!C:C=B838,'Students (Vertical)'!O:O&lt;&gt;"""",'Students (Vertical)'!P:P&gt;1);filter('Students (Vertical)'!O:O,'Students (Vertical)'!C:C=E83"&amp;"8,'Students (Vertical)'!O:O&lt;&gt;"""",'Students (Vertical)'!P:P&gt;1)})&gt;1))),""""),"""")"),"")</f>
        <v/>
      </c>
      <c r="K838" s="358"/>
    </row>
    <row r="839">
      <c r="A839" s="300" t="s">
        <v>22</v>
      </c>
      <c r="C839" s="300" t="s">
        <v>22</v>
      </c>
      <c r="D839" s="300" t="s">
        <v>22</v>
      </c>
      <c r="F839" s="300" t="s">
        <v>22</v>
      </c>
      <c r="G839" s="300" t="s">
        <v>22</v>
      </c>
      <c r="I839" s="356" t="str">
        <f>IFERROR(__xludf.DUMMYFUNCTION("if(H839=""Must be Together"",iferror(join("", "",unique(filter({filter('Students (Vertical)'!O:O,'Students (Vertical)'!C:C=B839,'Students (Vertical)'!O:O&lt;&gt;"""");filter('Students (Vertical)'!O:O,'Students (Vertical)'!C:C=E839,'Students (Vertical)'!O:O&lt;&gt;"""&amp;""")},countifs({filter('Students (Vertical)'!O:O,'Students (Vertical)'!C:C=B839,'Students (Vertical)'!O:O&lt;&gt;"""");filter('Students (Vertical)'!O:O,'Students (Vertical)'!C:C=E839,'Students (Vertical)'!O:O&lt;&gt;"""")},{filter('Students (Vertical)'!O:O,'Students ("&amp;"Vertical)'!C:C=B839,'Students (Vertical)'!O:O&lt;&gt;"""");filter('Students (Vertical)'!O:O,'Students (Vertical)'!C:C=E839,'Students (Vertical)'!O:O&lt;&gt;"""")})&gt;1))),""No shared courses""),"""")"),"")</f>
        <v/>
      </c>
      <c r="J839" s="357" t="str">
        <f>IFERROR(__xludf.DUMMYFUNCTION("if(H839=""Can't be Together"",iferror(join("", "",unique(filter({filter('Students (Vertical)'!O:O,'Students (Vertical)'!C:C=B839,'Students (Vertical)'!O:O&lt;&gt;"""",'Students (Vertical)'!P:P&gt;1);filter('Students (Vertical)'!O:O,'Students (Vertical)'!C:C=E839,'"&amp;"Students (Vertical)'!O:O&lt;&gt;"""",'Students (Vertical)'!P:P&gt;1)},countifs({filter('Students (Vertical)'!O:O,'Students (Vertical)'!C:C=B839,'Students (Vertical)'!O:O&lt;&gt;"""",'Students (Vertical)'!P:P&gt;1);filter('Students (Vertical)'!O:O,'Students (Vertical)'!C:C="&amp;"E839,'Students (Vertical)'!O:O&lt;&gt;"""",'Students (Vertical)'!P:P&gt;1)},{filter('Students (Vertical)'!O:O,'Students (Vertical)'!C:C=B839,'Students (Vertical)'!O:O&lt;&gt;"""",'Students (Vertical)'!P:P&gt;1);filter('Students (Vertical)'!O:O,'Students (Vertical)'!C:C=E83"&amp;"9,'Students (Vertical)'!O:O&lt;&gt;"""",'Students (Vertical)'!P:P&gt;1)})&gt;1))),""""),"""")"),"")</f>
        <v/>
      </c>
      <c r="K839" s="358"/>
    </row>
    <row r="840">
      <c r="A840" s="300" t="s">
        <v>22</v>
      </c>
      <c r="C840" s="300" t="s">
        <v>22</v>
      </c>
      <c r="D840" s="300" t="s">
        <v>22</v>
      </c>
      <c r="F840" s="300" t="s">
        <v>22</v>
      </c>
      <c r="G840" s="300" t="s">
        <v>22</v>
      </c>
      <c r="I840" s="356" t="str">
        <f>IFERROR(__xludf.DUMMYFUNCTION("if(H840=""Must be Together"",iferror(join("", "",unique(filter({filter('Students (Vertical)'!O:O,'Students (Vertical)'!C:C=B840,'Students (Vertical)'!O:O&lt;&gt;"""");filter('Students (Vertical)'!O:O,'Students (Vertical)'!C:C=E840,'Students (Vertical)'!O:O&lt;&gt;"""&amp;""")},countifs({filter('Students (Vertical)'!O:O,'Students (Vertical)'!C:C=B840,'Students (Vertical)'!O:O&lt;&gt;"""");filter('Students (Vertical)'!O:O,'Students (Vertical)'!C:C=E840,'Students (Vertical)'!O:O&lt;&gt;"""")},{filter('Students (Vertical)'!O:O,'Students ("&amp;"Vertical)'!C:C=B840,'Students (Vertical)'!O:O&lt;&gt;"""");filter('Students (Vertical)'!O:O,'Students (Vertical)'!C:C=E840,'Students (Vertical)'!O:O&lt;&gt;"""")})&gt;1))),""No shared courses""),"""")"),"")</f>
        <v/>
      </c>
      <c r="J840" s="357" t="str">
        <f>IFERROR(__xludf.DUMMYFUNCTION("if(H840=""Can't be Together"",iferror(join("", "",unique(filter({filter('Students (Vertical)'!O:O,'Students (Vertical)'!C:C=B840,'Students (Vertical)'!O:O&lt;&gt;"""",'Students (Vertical)'!P:P&gt;1);filter('Students (Vertical)'!O:O,'Students (Vertical)'!C:C=E840,'"&amp;"Students (Vertical)'!O:O&lt;&gt;"""",'Students (Vertical)'!P:P&gt;1)},countifs({filter('Students (Vertical)'!O:O,'Students (Vertical)'!C:C=B840,'Students (Vertical)'!O:O&lt;&gt;"""",'Students (Vertical)'!P:P&gt;1);filter('Students (Vertical)'!O:O,'Students (Vertical)'!C:C="&amp;"E840,'Students (Vertical)'!O:O&lt;&gt;"""",'Students (Vertical)'!P:P&gt;1)},{filter('Students (Vertical)'!O:O,'Students (Vertical)'!C:C=B840,'Students (Vertical)'!O:O&lt;&gt;"""",'Students (Vertical)'!P:P&gt;1);filter('Students (Vertical)'!O:O,'Students (Vertical)'!C:C=E84"&amp;"0,'Students (Vertical)'!O:O&lt;&gt;"""",'Students (Vertical)'!P:P&gt;1)})&gt;1))),""""),"""")"),"")</f>
        <v/>
      </c>
      <c r="K840" s="358"/>
    </row>
    <row r="841">
      <c r="A841" s="300" t="s">
        <v>22</v>
      </c>
      <c r="C841" s="300" t="s">
        <v>22</v>
      </c>
      <c r="D841" s="300" t="s">
        <v>22</v>
      </c>
      <c r="F841" s="300" t="s">
        <v>22</v>
      </c>
      <c r="G841" s="300" t="s">
        <v>22</v>
      </c>
      <c r="I841" s="356" t="str">
        <f>IFERROR(__xludf.DUMMYFUNCTION("if(H841=""Must be Together"",iferror(join("", "",unique(filter({filter('Students (Vertical)'!O:O,'Students (Vertical)'!C:C=B841,'Students (Vertical)'!O:O&lt;&gt;"""");filter('Students (Vertical)'!O:O,'Students (Vertical)'!C:C=E841,'Students (Vertical)'!O:O&lt;&gt;"""&amp;""")},countifs({filter('Students (Vertical)'!O:O,'Students (Vertical)'!C:C=B841,'Students (Vertical)'!O:O&lt;&gt;"""");filter('Students (Vertical)'!O:O,'Students (Vertical)'!C:C=E841,'Students (Vertical)'!O:O&lt;&gt;"""")},{filter('Students (Vertical)'!O:O,'Students ("&amp;"Vertical)'!C:C=B841,'Students (Vertical)'!O:O&lt;&gt;"""");filter('Students (Vertical)'!O:O,'Students (Vertical)'!C:C=E841,'Students (Vertical)'!O:O&lt;&gt;"""")})&gt;1))),""No shared courses""),"""")"),"")</f>
        <v/>
      </c>
      <c r="J841" s="357" t="str">
        <f>IFERROR(__xludf.DUMMYFUNCTION("if(H841=""Can't be Together"",iferror(join("", "",unique(filter({filter('Students (Vertical)'!O:O,'Students (Vertical)'!C:C=B841,'Students (Vertical)'!O:O&lt;&gt;"""",'Students (Vertical)'!P:P&gt;1);filter('Students (Vertical)'!O:O,'Students (Vertical)'!C:C=E841,'"&amp;"Students (Vertical)'!O:O&lt;&gt;"""",'Students (Vertical)'!P:P&gt;1)},countifs({filter('Students (Vertical)'!O:O,'Students (Vertical)'!C:C=B841,'Students (Vertical)'!O:O&lt;&gt;"""",'Students (Vertical)'!P:P&gt;1);filter('Students (Vertical)'!O:O,'Students (Vertical)'!C:C="&amp;"E841,'Students (Vertical)'!O:O&lt;&gt;"""",'Students (Vertical)'!P:P&gt;1)},{filter('Students (Vertical)'!O:O,'Students (Vertical)'!C:C=B841,'Students (Vertical)'!O:O&lt;&gt;"""",'Students (Vertical)'!P:P&gt;1);filter('Students (Vertical)'!O:O,'Students (Vertical)'!C:C=E84"&amp;"1,'Students (Vertical)'!O:O&lt;&gt;"""",'Students (Vertical)'!P:P&gt;1)})&gt;1))),""""),"""")"),"")</f>
        <v/>
      </c>
      <c r="K841" s="358"/>
    </row>
    <row r="842">
      <c r="A842" s="300" t="s">
        <v>22</v>
      </c>
      <c r="C842" s="300" t="s">
        <v>22</v>
      </c>
      <c r="D842" s="300" t="s">
        <v>22</v>
      </c>
      <c r="F842" s="300" t="s">
        <v>22</v>
      </c>
      <c r="G842" s="300" t="s">
        <v>22</v>
      </c>
      <c r="I842" s="356" t="str">
        <f>IFERROR(__xludf.DUMMYFUNCTION("if(H842=""Must be Together"",iferror(join("", "",unique(filter({filter('Students (Vertical)'!O:O,'Students (Vertical)'!C:C=B842,'Students (Vertical)'!O:O&lt;&gt;"""");filter('Students (Vertical)'!O:O,'Students (Vertical)'!C:C=E842,'Students (Vertical)'!O:O&lt;&gt;"""&amp;""")},countifs({filter('Students (Vertical)'!O:O,'Students (Vertical)'!C:C=B842,'Students (Vertical)'!O:O&lt;&gt;"""");filter('Students (Vertical)'!O:O,'Students (Vertical)'!C:C=E842,'Students (Vertical)'!O:O&lt;&gt;"""")},{filter('Students (Vertical)'!O:O,'Students ("&amp;"Vertical)'!C:C=B842,'Students (Vertical)'!O:O&lt;&gt;"""");filter('Students (Vertical)'!O:O,'Students (Vertical)'!C:C=E842,'Students (Vertical)'!O:O&lt;&gt;"""")})&gt;1))),""No shared courses""),"""")"),"")</f>
        <v/>
      </c>
      <c r="J842" s="357" t="str">
        <f>IFERROR(__xludf.DUMMYFUNCTION("if(H842=""Can't be Together"",iferror(join("", "",unique(filter({filter('Students (Vertical)'!O:O,'Students (Vertical)'!C:C=B842,'Students (Vertical)'!O:O&lt;&gt;"""",'Students (Vertical)'!P:P&gt;1);filter('Students (Vertical)'!O:O,'Students (Vertical)'!C:C=E842,'"&amp;"Students (Vertical)'!O:O&lt;&gt;"""",'Students (Vertical)'!P:P&gt;1)},countifs({filter('Students (Vertical)'!O:O,'Students (Vertical)'!C:C=B842,'Students (Vertical)'!O:O&lt;&gt;"""",'Students (Vertical)'!P:P&gt;1);filter('Students (Vertical)'!O:O,'Students (Vertical)'!C:C="&amp;"E842,'Students (Vertical)'!O:O&lt;&gt;"""",'Students (Vertical)'!P:P&gt;1)},{filter('Students (Vertical)'!O:O,'Students (Vertical)'!C:C=B842,'Students (Vertical)'!O:O&lt;&gt;"""",'Students (Vertical)'!P:P&gt;1);filter('Students (Vertical)'!O:O,'Students (Vertical)'!C:C=E84"&amp;"2,'Students (Vertical)'!O:O&lt;&gt;"""",'Students (Vertical)'!P:P&gt;1)})&gt;1))),""""),"""")"),"")</f>
        <v/>
      </c>
      <c r="K842" s="358"/>
    </row>
    <row r="843">
      <c r="A843" s="300" t="s">
        <v>22</v>
      </c>
      <c r="C843" s="300" t="s">
        <v>22</v>
      </c>
      <c r="D843" s="300" t="s">
        <v>22</v>
      </c>
      <c r="F843" s="300" t="s">
        <v>22</v>
      </c>
      <c r="G843" s="300" t="s">
        <v>22</v>
      </c>
      <c r="I843" s="356" t="str">
        <f>IFERROR(__xludf.DUMMYFUNCTION("if(H843=""Must be Together"",iferror(join("", "",unique(filter({filter('Students (Vertical)'!O:O,'Students (Vertical)'!C:C=B843,'Students (Vertical)'!O:O&lt;&gt;"""");filter('Students (Vertical)'!O:O,'Students (Vertical)'!C:C=E843,'Students (Vertical)'!O:O&lt;&gt;"""&amp;""")},countifs({filter('Students (Vertical)'!O:O,'Students (Vertical)'!C:C=B843,'Students (Vertical)'!O:O&lt;&gt;"""");filter('Students (Vertical)'!O:O,'Students (Vertical)'!C:C=E843,'Students (Vertical)'!O:O&lt;&gt;"""")},{filter('Students (Vertical)'!O:O,'Students ("&amp;"Vertical)'!C:C=B843,'Students (Vertical)'!O:O&lt;&gt;"""");filter('Students (Vertical)'!O:O,'Students (Vertical)'!C:C=E843,'Students (Vertical)'!O:O&lt;&gt;"""")})&gt;1))),""No shared courses""),"""")"),"")</f>
        <v/>
      </c>
      <c r="J843" s="357" t="str">
        <f>IFERROR(__xludf.DUMMYFUNCTION("if(H843=""Can't be Together"",iferror(join("", "",unique(filter({filter('Students (Vertical)'!O:O,'Students (Vertical)'!C:C=B843,'Students (Vertical)'!O:O&lt;&gt;"""",'Students (Vertical)'!P:P&gt;1);filter('Students (Vertical)'!O:O,'Students (Vertical)'!C:C=E843,'"&amp;"Students (Vertical)'!O:O&lt;&gt;"""",'Students (Vertical)'!P:P&gt;1)},countifs({filter('Students (Vertical)'!O:O,'Students (Vertical)'!C:C=B843,'Students (Vertical)'!O:O&lt;&gt;"""",'Students (Vertical)'!P:P&gt;1);filter('Students (Vertical)'!O:O,'Students (Vertical)'!C:C="&amp;"E843,'Students (Vertical)'!O:O&lt;&gt;"""",'Students (Vertical)'!P:P&gt;1)},{filter('Students (Vertical)'!O:O,'Students (Vertical)'!C:C=B843,'Students (Vertical)'!O:O&lt;&gt;"""",'Students (Vertical)'!P:P&gt;1);filter('Students (Vertical)'!O:O,'Students (Vertical)'!C:C=E84"&amp;"3,'Students (Vertical)'!O:O&lt;&gt;"""",'Students (Vertical)'!P:P&gt;1)})&gt;1))),""""),"""")"),"")</f>
        <v/>
      </c>
      <c r="K843" s="358"/>
    </row>
    <row r="844">
      <c r="A844" s="300" t="s">
        <v>22</v>
      </c>
      <c r="C844" s="300" t="s">
        <v>22</v>
      </c>
      <c r="D844" s="300" t="s">
        <v>22</v>
      </c>
      <c r="F844" s="300" t="s">
        <v>22</v>
      </c>
      <c r="G844" s="300" t="s">
        <v>22</v>
      </c>
      <c r="I844" s="356" t="str">
        <f>IFERROR(__xludf.DUMMYFUNCTION("if(H844=""Must be Together"",iferror(join("", "",unique(filter({filter('Students (Vertical)'!O:O,'Students (Vertical)'!C:C=B844,'Students (Vertical)'!O:O&lt;&gt;"""");filter('Students (Vertical)'!O:O,'Students (Vertical)'!C:C=E844,'Students (Vertical)'!O:O&lt;&gt;"""&amp;""")},countifs({filter('Students (Vertical)'!O:O,'Students (Vertical)'!C:C=B844,'Students (Vertical)'!O:O&lt;&gt;"""");filter('Students (Vertical)'!O:O,'Students (Vertical)'!C:C=E844,'Students (Vertical)'!O:O&lt;&gt;"""")},{filter('Students (Vertical)'!O:O,'Students ("&amp;"Vertical)'!C:C=B844,'Students (Vertical)'!O:O&lt;&gt;"""");filter('Students (Vertical)'!O:O,'Students (Vertical)'!C:C=E844,'Students (Vertical)'!O:O&lt;&gt;"""")})&gt;1))),""No shared courses""),"""")"),"")</f>
        <v/>
      </c>
      <c r="J844" s="357" t="str">
        <f>IFERROR(__xludf.DUMMYFUNCTION("if(H844=""Can't be Together"",iferror(join("", "",unique(filter({filter('Students (Vertical)'!O:O,'Students (Vertical)'!C:C=B844,'Students (Vertical)'!O:O&lt;&gt;"""",'Students (Vertical)'!P:P&gt;1);filter('Students (Vertical)'!O:O,'Students (Vertical)'!C:C=E844,'"&amp;"Students (Vertical)'!O:O&lt;&gt;"""",'Students (Vertical)'!P:P&gt;1)},countifs({filter('Students (Vertical)'!O:O,'Students (Vertical)'!C:C=B844,'Students (Vertical)'!O:O&lt;&gt;"""",'Students (Vertical)'!P:P&gt;1);filter('Students (Vertical)'!O:O,'Students (Vertical)'!C:C="&amp;"E844,'Students (Vertical)'!O:O&lt;&gt;"""",'Students (Vertical)'!P:P&gt;1)},{filter('Students (Vertical)'!O:O,'Students (Vertical)'!C:C=B844,'Students (Vertical)'!O:O&lt;&gt;"""",'Students (Vertical)'!P:P&gt;1);filter('Students (Vertical)'!O:O,'Students (Vertical)'!C:C=E84"&amp;"4,'Students (Vertical)'!O:O&lt;&gt;"""",'Students (Vertical)'!P:P&gt;1)})&gt;1))),""""),"""")"),"")</f>
        <v/>
      </c>
      <c r="K844" s="358"/>
    </row>
    <row r="845">
      <c r="A845" s="300" t="s">
        <v>22</v>
      </c>
      <c r="C845" s="300" t="s">
        <v>22</v>
      </c>
      <c r="D845" s="300" t="s">
        <v>22</v>
      </c>
      <c r="F845" s="300" t="s">
        <v>22</v>
      </c>
      <c r="G845" s="300" t="s">
        <v>22</v>
      </c>
      <c r="I845" s="356" t="str">
        <f>IFERROR(__xludf.DUMMYFUNCTION("if(H845=""Must be Together"",iferror(join("", "",unique(filter({filter('Students (Vertical)'!O:O,'Students (Vertical)'!C:C=B845,'Students (Vertical)'!O:O&lt;&gt;"""");filter('Students (Vertical)'!O:O,'Students (Vertical)'!C:C=E845,'Students (Vertical)'!O:O&lt;&gt;"""&amp;""")},countifs({filter('Students (Vertical)'!O:O,'Students (Vertical)'!C:C=B845,'Students (Vertical)'!O:O&lt;&gt;"""");filter('Students (Vertical)'!O:O,'Students (Vertical)'!C:C=E845,'Students (Vertical)'!O:O&lt;&gt;"""")},{filter('Students (Vertical)'!O:O,'Students ("&amp;"Vertical)'!C:C=B845,'Students (Vertical)'!O:O&lt;&gt;"""");filter('Students (Vertical)'!O:O,'Students (Vertical)'!C:C=E845,'Students (Vertical)'!O:O&lt;&gt;"""")})&gt;1))),""No shared courses""),"""")"),"")</f>
        <v/>
      </c>
      <c r="J845" s="357" t="str">
        <f>IFERROR(__xludf.DUMMYFUNCTION("if(H845=""Can't be Together"",iferror(join("", "",unique(filter({filter('Students (Vertical)'!O:O,'Students (Vertical)'!C:C=B845,'Students (Vertical)'!O:O&lt;&gt;"""",'Students (Vertical)'!P:P&gt;1);filter('Students (Vertical)'!O:O,'Students (Vertical)'!C:C=E845,'"&amp;"Students (Vertical)'!O:O&lt;&gt;"""",'Students (Vertical)'!P:P&gt;1)},countifs({filter('Students (Vertical)'!O:O,'Students (Vertical)'!C:C=B845,'Students (Vertical)'!O:O&lt;&gt;"""",'Students (Vertical)'!P:P&gt;1);filter('Students (Vertical)'!O:O,'Students (Vertical)'!C:C="&amp;"E845,'Students (Vertical)'!O:O&lt;&gt;"""",'Students (Vertical)'!P:P&gt;1)},{filter('Students (Vertical)'!O:O,'Students (Vertical)'!C:C=B845,'Students (Vertical)'!O:O&lt;&gt;"""",'Students (Vertical)'!P:P&gt;1);filter('Students (Vertical)'!O:O,'Students (Vertical)'!C:C=E84"&amp;"5,'Students (Vertical)'!O:O&lt;&gt;"""",'Students (Vertical)'!P:P&gt;1)})&gt;1))),""""),"""")"),"")</f>
        <v/>
      </c>
      <c r="K845" s="358"/>
    </row>
    <row r="846">
      <c r="A846" s="300" t="s">
        <v>22</v>
      </c>
      <c r="C846" s="300" t="s">
        <v>22</v>
      </c>
      <c r="D846" s="300" t="s">
        <v>22</v>
      </c>
      <c r="F846" s="300" t="s">
        <v>22</v>
      </c>
      <c r="G846" s="300" t="s">
        <v>22</v>
      </c>
      <c r="I846" s="356" t="str">
        <f>IFERROR(__xludf.DUMMYFUNCTION("if(H846=""Must be Together"",iferror(join("", "",unique(filter({filter('Students (Vertical)'!O:O,'Students (Vertical)'!C:C=B846,'Students (Vertical)'!O:O&lt;&gt;"""");filter('Students (Vertical)'!O:O,'Students (Vertical)'!C:C=E846,'Students (Vertical)'!O:O&lt;&gt;"""&amp;""")},countifs({filter('Students (Vertical)'!O:O,'Students (Vertical)'!C:C=B846,'Students (Vertical)'!O:O&lt;&gt;"""");filter('Students (Vertical)'!O:O,'Students (Vertical)'!C:C=E846,'Students (Vertical)'!O:O&lt;&gt;"""")},{filter('Students (Vertical)'!O:O,'Students ("&amp;"Vertical)'!C:C=B846,'Students (Vertical)'!O:O&lt;&gt;"""");filter('Students (Vertical)'!O:O,'Students (Vertical)'!C:C=E846,'Students (Vertical)'!O:O&lt;&gt;"""")})&gt;1))),""No shared courses""),"""")"),"")</f>
        <v/>
      </c>
      <c r="J846" s="357" t="str">
        <f>IFERROR(__xludf.DUMMYFUNCTION("if(H846=""Can't be Together"",iferror(join("", "",unique(filter({filter('Students (Vertical)'!O:O,'Students (Vertical)'!C:C=B846,'Students (Vertical)'!O:O&lt;&gt;"""",'Students (Vertical)'!P:P&gt;1);filter('Students (Vertical)'!O:O,'Students (Vertical)'!C:C=E846,'"&amp;"Students (Vertical)'!O:O&lt;&gt;"""",'Students (Vertical)'!P:P&gt;1)},countifs({filter('Students (Vertical)'!O:O,'Students (Vertical)'!C:C=B846,'Students (Vertical)'!O:O&lt;&gt;"""",'Students (Vertical)'!P:P&gt;1);filter('Students (Vertical)'!O:O,'Students (Vertical)'!C:C="&amp;"E846,'Students (Vertical)'!O:O&lt;&gt;"""",'Students (Vertical)'!P:P&gt;1)},{filter('Students (Vertical)'!O:O,'Students (Vertical)'!C:C=B846,'Students (Vertical)'!O:O&lt;&gt;"""",'Students (Vertical)'!P:P&gt;1);filter('Students (Vertical)'!O:O,'Students (Vertical)'!C:C=E84"&amp;"6,'Students (Vertical)'!O:O&lt;&gt;"""",'Students (Vertical)'!P:P&gt;1)})&gt;1))),""""),"""")"),"")</f>
        <v/>
      </c>
      <c r="K846" s="358"/>
    </row>
    <row r="847">
      <c r="A847" s="300" t="s">
        <v>22</v>
      </c>
      <c r="C847" s="300" t="s">
        <v>22</v>
      </c>
      <c r="D847" s="300" t="s">
        <v>22</v>
      </c>
      <c r="F847" s="300" t="s">
        <v>22</v>
      </c>
      <c r="G847" s="300" t="s">
        <v>22</v>
      </c>
      <c r="I847" s="356" t="str">
        <f>IFERROR(__xludf.DUMMYFUNCTION("if(H847=""Must be Together"",iferror(join("", "",unique(filter({filter('Students (Vertical)'!O:O,'Students (Vertical)'!C:C=B847,'Students (Vertical)'!O:O&lt;&gt;"""");filter('Students (Vertical)'!O:O,'Students (Vertical)'!C:C=E847,'Students (Vertical)'!O:O&lt;&gt;"""&amp;""")},countifs({filter('Students (Vertical)'!O:O,'Students (Vertical)'!C:C=B847,'Students (Vertical)'!O:O&lt;&gt;"""");filter('Students (Vertical)'!O:O,'Students (Vertical)'!C:C=E847,'Students (Vertical)'!O:O&lt;&gt;"""")},{filter('Students (Vertical)'!O:O,'Students ("&amp;"Vertical)'!C:C=B847,'Students (Vertical)'!O:O&lt;&gt;"""");filter('Students (Vertical)'!O:O,'Students (Vertical)'!C:C=E847,'Students (Vertical)'!O:O&lt;&gt;"""")})&gt;1))),""No shared courses""),"""")"),"")</f>
        <v/>
      </c>
      <c r="J847" s="357" t="str">
        <f>IFERROR(__xludf.DUMMYFUNCTION("if(H847=""Can't be Together"",iferror(join("", "",unique(filter({filter('Students (Vertical)'!O:O,'Students (Vertical)'!C:C=B847,'Students (Vertical)'!O:O&lt;&gt;"""",'Students (Vertical)'!P:P&gt;1);filter('Students (Vertical)'!O:O,'Students (Vertical)'!C:C=E847,'"&amp;"Students (Vertical)'!O:O&lt;&gt;"""",'Students (Vertical)'!P:P&gt;1)},countifs({filter('Students (Vertical)'!O:O,'Students (Vertical)'!C:C=B847,'Students (Vertical)'!O:O&lt;&gt;"""",'Students (Vertical)'!P:P&gt;1);filter('Students (Vertical)'!O:O,'Students (Vertical)'!C:C="&amp;"E847,'Students (Vertical)'!O:O&lt;&gt;"""",'Students (Vertical)'!P:P&gt;1)},{filter('Students (Vertical)'!O:O,'Students (Vertical)'!C:C=B847,'Students (Vertical)'!O:O&lt;&gt;"""",'Students (Vertical)'!P:P&gt;1);filter('Students (Vertical)'!O:O,'Students (Vertical)'!C:C=E84"&amp;"7,'Students (Vertical)'!O:O&lt;&gt;"""",'Students (Vertical)'!P:P&gt;1)})&gt;1))),""""),"""")"),"")</f>
        <v/>
      </c>
      <c r="K847" s="358"/>
    </row>
    <row r="848">
      <c r="A848" s="300" t="s">
        <v>22</v>
      </c>
      <c r="C848" s="300" t="s">
        <v>22</v>
      </c>
      <c r="D848" s="300" t="s">
        <v>22</v>
      </c>
      <c r="F848" s="300" t="s">
        <v>22</v>
      </c>
      <c r="G848" s="300" t="s">
        <v>22</v>
      </c>
      <c r="I848" s="356" t="str">
        <f>IFERROR(__xludf.DUMMYFUNCTION("if(H848=""Must be Together"",iferror(join("", "",unique(filter({filter('Students (Vertical)'!O:O,'Students (Vertical)'!C:C=B848,'Students (Vertical)'!O:O&lt;&gt;"""");filter('Students (Vertical)'!O:O,'Students (Vertical)'!C:C=E848,'Students (Vertical)'!O:O&lt;&gt;"""&amp;""")},countifs({filter('Students (Vertical)'!O:O,'Students (Vertical)'!C:C=B848,'Students (Vertical)'!O:O&lt;&gt;"""");filter('Students (Vertical)'!O:O,'Students (Vertical)'!C:C=E848,'Students (Vertical)'!O:O&lt;&gt;"""")},{filter('Students (Vertical)'!O:O,'Students ("&amp;"Vertical)'!C:C=B848,'Students (Vertical)'!O:O&lt;&gt;"""");filter('Students (Vertical)'!O:O,'Students (Vertical)'!C:C=E848,'Students (Vertical)'!O:O&lt;&gt;"""")})&gt;1))),""No shared courses""),"""")"),"")</f>
        <v/>
      </c>
      <c r="J848" s="357" t="str">
        <f>IFERROR(__xludf.DUMMYFUNCTION("if(H848=""Can't be Together"",iferror(join("", "",unique(filter({filter('Students (Vertical)'!O:O,'Students (Vertical)'!C:C=B848,'Students (Vertical)'!O:O&lt;&gt;"""",'Students (Vertical)'!P:P&gt;1);filter('Students (Vertical)'!O:O,'Students (Vertical)'!C:C=E848,'"&amp;"Students (Vertical)'!O:O&lt;&gt;"""",'Students (Vertical)'!P:P&gt;1)},countifs({filter('Students (Vertical)'!O:O,'Students (Vertical)'!C:C=B848,'Students (Vertical)'!O:O&lt;&gt;"""",'Students (Vertical)'!P:P&gt;1);filter('Students (Vertical)'!O:O,'Students (Vertical)'!C:C="&amp;"E848,'Students (Vertical)'!O:O&lt;&gt;"""",'Students (Vertical)'!P:P&gt;1)},{filter('Students (Vertical)'!O:O,'Students (Vertical)'!C:C=B848,'Students (Vertical)'!O:O&lt;&gt;"""",'Students (Vertical)'!P:P&gt;1);filter('Students (Vertical)'!O:O,'Students (Vertical)'!C:C=E84"&amp;"8,'Students (Vertical)'!O:O&lt;&gt;"""",'Students (Vertical)'!P:P&gt;1)})&gt;1))),""""),"""")"),"")</f>
        <v/>
      </c>
      <c r="K848" s="358"/>
    </row>
    <row r="849">
      <c r="A849" s="300" t="s">
        <v>22</v>
      </c>
      <c r="C849" s="300" t="s">
        <v>22</v>
      </c>
      <c r="D849" s="300" t="s">
        <v>22</v>
      </c>
      <c r="F849" s="300" t="s">
        <v>22</v>
      </c>
      <c r="G849" s="300" t="s">
        <v>22</v>
      </c>
      <c r="I849" s="356" t="str">
        <f>IFERROR(__xludf.DUMMYFUNCTION("if(H849=""Must be Together"",iferror(join("", "",unique(filter({filter('Students (Vertical)'!O:O,'Students (Vertical)'!C:C=B849,'Students (Vertical)'!O:O&lt;&gt;"""");filter('Students (Vertical)'!O:O,'Students (Vertical)'!C:C=E849,'Students (Vertical)'!O:O&lt;&gt;"""&amp;""")},countifs({filter('Students (Vertical)'!O:O,'Students (Vertical)'!C:C=B849,'Students (Vertical)'!O:O&lt;&gt;"""");filter('Students (Vertical)'!O:O,'Students (Vertical)'!C:C=E849,'Students (Vertical)'!O:O&lt;&gt;"""")},{filter('Students (Vertical)'!O:O,'Students ("&amp;"Vertical)'!C:C=B849,'Students (Vertical)'!O:O&lt;&gt;"""");filter('Students (Vertical)'!O:O,'Students (Vertical)'!C:C=E849,'Students (Vertical)'!O:O&lt;&gt;"""")})&gt;1))),""No shared courses""),"""")"),"")</f>
        <v/>
      </c>
      <c r="J849" s="357" t="str">
        <f>IFERROR(__xludf.DUMMYFUNCTION("if(H849=""Can't be Together"",iferror(join("", "",unique(filter({filter('Students (Vertical)'!O:O,'Students (Vertical)'!C:C=B849,'Students (Vertical)'!O:O&lt;&gt;"""",'Students (Vertical)'!P:P&gt;1);filter('Students (Vertical)'!O:O,'Students (Vertical)'!C:C=E849,'"&amp;"Students (Vertical)'!O:O&lt;&gt;"""",'Students (Vertical)'!P:P&gt;1)},countifs({filter('Students (Vertical)'!O:O,'Students (Vertical)'!C:C=B849,'Students (Vertical)'!O:O&lt;&gt;"""",'Students (Vertical)'!P:P&gt;1);filter('Students (Vertical)'!O:O,'Students (Vertical)'!C:C="&amp;"E849,'Students (Vertical)'!O:O&lt;&gt;"""",'Students (Vertical)'!P:P&gt;1)},{filter('Students (Vertical)'!O:O,'Students (Vertical)'!C:C=B849,'Students (Vertical)'!O:O&lt;&gt;"""",'Students (Vertical)'!P:P&gt;1);filter('Students (Vertical)'!O:O,'Students (Vertical)'!C:C=E84"&amp;"9,'Students (Vertical)'!O:O&lt;&gt;"""",'Students (Vertical)'!P:P&gt;1)})&gt;1))),""""),"""")"),"")</f>
        <v/>
      </c>
      <c r="K849" s="358"/>
    </row>
    <row r="850">
      <c r="A850" s="300" t="s">
        <v>22</v>
      </c>
      <c r="C850" s="300" t="s">
        <v>22</v>
      </c>
      <c r="D850" s="300" t="s">
        <v>22</v>
      </c>
      <c r="F850" s="300" t="s">
        <v>22</v>
      </c>
      <c r="G850" s="300" t="s">
        <v>22</v>
      </c>
      <c r="I850" s="356" t="str">
        <f>IFERROR(__xludf.DUMMYFUNCTION("if(H850=""Must be Together"",iferror(join("", "",unique(filter({filter('Students (Vertical)'!O:O,'Students (Vertical)'!C:C=B850,'Students (Vertical)'!O:O&lt;&gt;"""");filter('Students (Vertical)'!O:O,'Students (Vertical)'!C:C=E850,'Students (Vertical)'!O:O&lt;&gt;"""&amp;""")},countifs({filter('Students (Vertical)'!O:O,'Students (Vertical)'!C:C=B850,'Students (Vertical)'!O:O&lt;&gt;"""");filter('Students (Vertical)'!O:O,'Students (Vertical)'!C:C=E850,'Students (Vertical)'!O:O&lt;&gt;"""")},{filter('Students (Vertical)'!O:O,'Students ("&amp;"Vertical)'!C:C=B850,'Students (Vertical)'!O:O&lt;&gt;"""");filter('Students (Vertical)'!O:O,'Students (Vertical)'!C:C=E850,'Students (Vertical)'!O:O&lt;&gt;"""")})&gt;1))),""No shared courses""),"""")"),"")</f>
        <v/>
      </c>
      <c r="J850" s="357" t="str">
        <f>IFERROR(__xludf.DUMMYFUNCTION("if(H850=""Can't be Together"",iferror(join("", "",unique(filter({filter('Students (Vertical)'!O:O,'Students (Vertical)'!C:C=B850,'Students (Vertical)'!O:O&lt;&gt;"""",'Students (Vertical)'!P:P&gt;1);filter('Students (Vertical)'!O:O,'Students (Vertical)'!C:C=E850,'"&amp;"Students (Vertical)'!O:O&lt;&gt;"""",'Students (Vertical)'!P:P&gt;1)},countifs({filter('Students (Vertical)'!O:O,'Students (Vertical)'!C:C=B850,'Students (Vertical)'!O:O&lt;&gt;"""",'Students (Vertical)'!P:P&gt;1);filter('Students (Vertical)'!O:O,'Students (Vertical)'!C:C="&amp;"E850,'Students (Vertical)'!O:O&lt;&gt;"""",'Students (Vertical)'!P:P&gt;1)},{filter('Students (Vertical)'!O:O,'Students (Vertical)'!C:C=B850,'Students (Vertical)'!O:O&lt;&gt;"""",'Students (Vertical)'!P:P&gt;1);filter('Students (Vertical)'!O:O,'Students (Vertical)'!C:C=E85"&amp;"0,'Students (Vertical)'!O:O&lt;&gt;"""",'Students (Vertical)'!P:P&gt;1)})&gt;1))),""""),"""")"),"")</f>
        <v/>
      </c>
      <c r="K850" s="358"/>
    </row>
    <row r="851">
      <c r="A851" s="300" t="s">
        <v>22</v>
      </c>
      <c r="C851" s="300" t="s">
        <v>22</v>
      </c>
      <c r="D851" s="300" t="s">
        <v>22</v>
      </c>
      <c r="F851" s="300" t="s">
        <v>22</v>
      </c>
      <c r="G851" s="300" t="s">
        <v>22</v>
      </c>
      <c r="I851" s="356" t="str">
        <f>IFERROR(__xludf.DUMMYFUNCTION("if(H851=""Must be Together"",iferror(join("", "",unique(filter({filter('Students (Vertical)'!O:O,'Students (Vertical)'!C:C=B851,'Students (Vertical)'!O:O&lt;&gt;"""");filter('Students (Vertical)'!O:O,'Students (Vertical)'!C:C=E851,'Students (Vertical)'!O:O&lt;&gt;"""&amp;""")},countifs({filter('Students (Vertical)'!O:O,'Students (Vertical)'!C:C=B851,'Students (Vertical)'!O:O&lt;&gt;"""");filter('Students (Vertical)'!O:O,'Students (Vertical)'!C:C=E851,'Students (Vertical)'!O:O&lt;&gt;"""")},{filter('Students (Vertical)'!O:O,'Students ("&amp;"Vertical)'!C:C=B851,'Students (Vertical)'!O:O&lt;&gt;"""");filter('Students (Vertical)'!O:O,'Students (Vertical)'!C:C=E851,'Students (Vertical)'!O:O&lt;&gt;"""")})&gt;1))),""No shared courses""),"""")"),"")</f>
        <v/>
      </c>
      <c r="J851" s="357" t="str">
        <f>IFERROR(__xludf.DUMMYFUNCTION("if(H851=""Can't be Together"",iferror(join("", "",unique(filter({filter('Students (Vertical)'!O:O,'Students (Vertical)'!C:C=B851,'Students (Vertical)'!O:O&lt;&gt;"""",'Students (Vertical)'!P:P&gt;1);filter('Students (Vertical)'!O:O,'Students (Vertical)'!C:C=E851,'"&amp;"Students (Vertical)'!O:O&lt;&gt;"""",'Students (Vertical)'!P:P&gt;1)},countifs({filter('Students (Vertical)'!O:O,'Students (Vertical)'!C:C=B851,'Students (Vertical)'!O:O&lt;&gt;"""",'Students (Vertical)'!P:P&gt;1);filter('Students (Vertical)'!O:O,'Students (Vertical)'!C:C="&amp;"E851,'Students (Vertical)'!O:O&lt;&gt;"""",'Students (Vertical)'!P:P&gt;1)},{filter('Students (Vertical)'!O:O,'Students (Vertical)'!C:C=B851,'Students (Vertical)'!O:O&lt;&gt;"""",'Students (Vertical)'!P:P&gt;1);filter('Students (Vertical)'!O:O,'Students (Vertical)'!C:C=E85"&amp;"1,'Students (Vertical)'!O:O&lt;&gt;"""",'Students (Vertical)'!P:P&gt;1)})&gt;1))),""""),"""")"),"")</f>
        <v/>
      </c>
      <c r="K851" s="358"/>
    </row>
    <row r="852">
      <c r="A852" s="300" t="s">
        <v>22</v>
      </c>
      <c r="C852" s="300" t="s">
        <v>22</v>
      </c>
      <c r="D852" s="300" t="s">
        <v>22</v>
      </c>
      <c r="F852" s="300" t="s">
        <v>22</v>
      </c>
      <c r="G852" s="300" t="s">
        <v>22</v>
      </c>
      <c r="I852" s="356" t="str">
        <f>IFERROR(__xludf.DUMMYFUNCTION("if(H852=""Must be Together"",iferror(join("", "",unique(filter({filter('Students (Vertical)'!O:O,'Students (Vertical)'!C:C=B852,'Students (Vertical)'!O:O&lt;&gt;"""");filter('Students (Vertical)'!O:O,'Students (Vertical)'!C:C=E852,'Students (Vertical)'!O:O&lt;&gt;"""&amp;""")},countifs({filter('Students (Vertical)'!O:O,'Students (Vertical)'!C:C=B852,'Students (Vertical)'!O:O&lt;&gt;"""");filter('Students (Vertical)'!O:O,'Students (Vertical)'!C:C=E852,'Students (Vertical)'!O:O&lt;&gt;"""")},{filter('Students (Vertical)'!O:O,'Students ("&amp;"Vertical)'!C:C=B852,'Students (Vertical)'!O:O&lt;&gt;"""");filter('Students (Vertical)'!O:O,'Students (Vertical)'!C:C=E852,'Students (Vertical)'!O:O&lt;&gt;"""")})&gt;1))),""No shared courses""),"""")"),"")</f>
        <v/>
      </c>
      <c r="J852" s="357" t="str">
        <f>IFERROR(__xludf.DUMMYFUNCTION("if(H852=""Can't be Together"",iferror(join("", "",unique(filter({filter('Students (Vertical)'!O:O,'Students (Vertical)'!C:C=B852,'Students (Vertical)'!O:O&lt;&gt;"""",'Students (Vertical)'!P:P&gt;1);filter('Students (Vertical)'!O:O,'Students (Vertical)'!C:C=E852,'"&amp;"Students (Vertical)'!O:O&lt;&gt;"""",'Students (Vertical)'!P:P&gt;1)},countifs({filter('Students (Vertical)'!O:O,'Students (Vertical)'!C:C=B852,'Students (Vertical)'!O:O&lt;&gt;"""",'Students (Vertical)'!P:P&gt;1);filter('Students (Vertical)'!O:O,'Students (Vertical)'!C:C="&amp;"E852,'Students (Vertical)'!O:O&lt;&gt;"""",'Students (Vertical)'!P:P&gt;1)},{filter('Students (Vertical)'!O:O,'Students (Vertical)'!C:C=B852,'Students (Vertical)'!O:O&lt;&gt;"""",'Students (Vertical)'!P:P&gt;1);filter('Students (Vertical)'!O:O,'Students (Vertical)'!C:C=E85"&amp;"2,'Students (Vertical)'!O:O&lt;&gt;"""",'Students (Vertical)'!P:P&gt;1)})&gt;1))),""""),"""")"),"")</f>
        <v/>
      </c>
      <c r="K852" s="358"/>
    </row>
    <row r="853">
      <c r="A853" s="300" t="s">
        <v>22</v>
      </c>
      <c r="C853" s="300" t="s">
        <v>22</v>
      </c>
      <c r="D853" s="300" t="s">
        <v>22</v>
      </c>
      <c r="F853" s="300" t="s">
        <v>22</v>
      </c>
      <c r="G853" s="300" t="s">
        <v>22</v>
      </c>
      <c r="I853" s="356" t="str">
        <f>IFERROR(__xludf.DUMMYFUNCTION("if(H853=""Must be Together"",iferror(join("", "",unique(filter({filter('Students (Vertical)'!O:O,'Students (Vertical)'!C:C=B853,'Students (Vertical)'!O:O&lt;&gt;"""");filter('Students (Vertical)'!O:O,'Students (Vertical)'!C:C=E853,'Students (Vertical)'!O:O&lt;&gt;"""&amp;""")},countifs({filter('Students (Vertical)'!O:O,'Students (Vertical)'!C:C=B853,'Students (Vertical)'!O:O&lt;&gt;"""");filter('Students (Vertical)'!O:O,'Students (Vertical)'!C:C=E853,'Students (Vertical)'!O:O&lt;&gt;"""")},{filter('Students (Vertical)'!O:O,'Students ("&amp;"Vertical)'!C:C=B853,'Students (Vertical)'!O:O&lt;&gt;"""");filter('Students (Vertical)'!O:O,'Students (Vertical)'!C:C=E853,'Students (Vertical)'!O:O&lt;&gt;"""")})&gt;1))),""No shared courses""),"""")"),"")</f>
        <v/>
      </c>
      <c r="J853" s="357" t="str">
        <f>IFERROR(__xludf.DUMMYFUNCTION("if(H853=""Can't be Together"",iferror(join("", "",unique(filter({filter('Students (Vertical)'!O:O,'Students (Vertical)'!C:C=B853,'Students (Vertical)'!O:O&lt;&gt;"""",'Students (Vertical)'!P:P&gt;1);filter('Students (Vertical)'!O:O,'Students (Vertical)'!C:C=E853,'"&amp;"Students (Vertical)'!O:O&lt;&gt;"""",'Students (Vertical)'!P:P&gt;1)},countifs({filter('Students (Vertical)'!O:O,'Students (Vertical)'!C:C=B853,'Students (Vertical)'!O:O&lt;&gt;"""",'Students (Vertical)'!P:P&gt;1);filter('Students (Vertical)'!O:O,'Students (Vertical)'!C:C="&amp;"E853,'Students (Vertical)'!O:O&lt;&gt;"""",'Students (Vertical)'!P:P&gt;1)},{filter('Students (Vertical)'!O:O,'Students (Vertical)'!C:C=B853,'Students (Vertical)'!O:O&lt;&gt;"""",'Students (Vertical)'!P:P&gt;1);filter('Students (Vertical)'!O:O,'Students (Vertical)'!C:C=E85"&amp;"3,'Students (Vertical)'!O:O&lt;&gt;"""",'Students (Vertical)'!P:P&gt;1)})&gt;1))),""""),"""")"),"")</f>
        <v/>
      </c>
      <c r="K853" s="358"/>
    </row>
    <row r="854">
      <c r="A854" s="300" t="s">
        <v>22</v>
      </c>
      <c r="C854" s="300" t="s">
        <v>22</v>
      </c>
      <c r="D854" s="300" t="s">
        <v>22</v>
      </c>
      <c r="F854" s="300" t="s">
        <v>22</v>
      </c>
      <c r="G854" s="300" t="s">
        <v>22</v>
      </c>
      <c r="I854" s="356" t="str">
        <f>IFERROR(__xludf.DUMMYFUNCTION("if(H854=""Must be Together"",iferror(join("", "",unique(filter({filter('Students (Vertical)'!O:O,'Students (Vertical)'!C:C=B854,'Students (Vertical)'!O:O&lt;&gt;"""");filter('Students (Vertical)'!O:O,'Students (Vertical)'!C:C=E854,'Students (Vertical)'!O:O&lt;&gt;"""&amp;""")},countifs({filter('Students (Vertical)'!O:O,'Students (Vertical)'!C:C=B854,'Students (Vertical)'!O:O&lt;&gt;"""");filter('Students (Vertical)'!O:O,'Students (Vertical)'!C:C=E854,'Students (Vertical)'!O:O&lt;&gt;"""")},{filter('Students (Vertical)'!O:O,'Students ("&amp;"Vertical)'!C:C=B854,'Students (Vertical)'!O:O&lt;&gt;"""");filter('Students (Vertical)'!O:O,'Students (Vertical)'!C:C=E854,'Students (Vertical)'!O:O&lt;&gt;"""")})&gt;1))),""No shared courses""),"""")"),"")</f>
        <v/>
      </c>
      <c r="J854" s="357" t="str">
        <f>IFERROR(__xludf.DUMMYFUNCTION("if(H854=""Can't be Together"",iferror(join("", "",unique(filter({filter('Students (Vertical)'!O:O,'Students (Vertical)'!C:C=B854,'Students (Vertical)'!O:O&lt;&gt;"""",'Students (Vertical)'!P:P&gt;1);filter('Students (Vertical)'!O:O,'Students (Vertical)'!C:C=E854,'"&amp;"Students (Vertical)'!O:O&lt;&gt;"""",'Students (Vertical)'!P:P&gt;1)},countifs({filter('Students (Vertical)'!O:O,'Students (Vertical)'!C:C=B854,'Students (Vertical)'!O:O&lt;&gt;"""",'Students (Vertical)'!P:P&gt;1);filter('Students (Vertical)'!O:O,'Students (Vertical)'!C:C="&amp;"E854,'Students (Vertical)'!O:O&lt;&gt;"""",'Students (Vertical)'!P:P&gt;1)},{filter('Students (Vertical)'!O:O,'Students (Vertical)'!C:C=B854,'Students (Vertical)'!O:O&lt;&gt;"""",'Students (Vertical)'!P:P&gt;1);filter('Students (Vertical)'!O:O,'Students (Vertical)'!C:C=E85"&amp;"4,'Students (Vertical)'!O:O&lt;&gt;"""",'Students (Vertical)'!P:P&gt;1)})&gt;1))),""""),"""")"),"")</f>
        <v/>
      </c>
      <c r="K854" s="358"/>
    </row>
    <row r="855">
      <c r="A855" s="300" t="s">
        <v>22</v>
      </c>
      <c r="C855" s="300" t="s">
        <v>22</v>
      </c>
      <c r="D855" s="300" t="s">
        <v>22</v>
      </c>
      <c r="F855" s="300" t="s">
        <v>22</v>
      </c>
      <c r="G855" s="300" t="s">
        <v>22</v>
      </c>
      <c r="I855" s="356" t="str">
        <f>IFERROR(__xludf.DUMMYFUNCTION("if(H855=""Must be Together"",iferror(join("", "",unique(filter({filter('Students (Vertical)'!O:O,'Students (Vertical)'!C:C=B855,'Students (Vertical)'!O:O&lt;&gt;"""");filter('Students (Vertical)'!O:O,'Students (Vertical)'!C:C=E855,'Students (Vertical)'!O:O&lt;&gt;"""&amp;""")},countifs({filter('Students (Vertical)'!O:O,'Students (Vertical)'!C:C=B855,'Students (Vertical)'!O:O&lt;&gt;"""");filter('Students (Vertical)'!O:O,'Students (Vertical)'!C:C=E855,'Students (Vertical)'!O:O&lt;&gt;"""")},{filter('Students (Vertical)'!O:O,'Students ("&amp;"Vertical)'!C:C=B855,'Students (Vertical)'!O:O&lt;&gt;"""");filter('Students (Vertical)'!O:O,'Students (Vertical)'!C:C=E855,'Students (Vertical)'!O:O&lt;&gt;"""")})&gt;1))),""No shared courses""),"""")"),"")</f>
        <v/>
      </c>
      <c r="J855" s="357" t="str">
        <f>IFERROR(__xludf.DUMMYFUNCTION("if(H855=""Can't be Together"",iferror(join("", "",unique(filter({filter('Students (Vertical)'!O:O,'Students (Vertical)'!C:C=B855,'Students (Vertical)'!O:O&lt;&gt;"""",'Students (Vertical)'!P:P&gt;1);filter('Students (Vertical)'!O:O,'Students (Vertical)'!C:C=E855,'"&amp;"Students (Vertical)'!O:O&lt;&gt;"""",'Students (Vertical)'!P:P&gt;1)},countifs({filter('Students (Vertical)'!O:O,'Students (Vertical)'!C:C=B855,'Students (Vertical)'!O:O&lt;&gt;"""",'Students (Vertical)'!P:P&gt;1);filter('Students (Vertical)'!O:O,'Students (Vertical)'!C:C="&amp;"E855,'Students (Vertical)'!O:O&lt;&gt;"""",'Students (Vertical)'!P:P&gt;1)},{filter('Students (Vertical)'!O:O,'Students (Vertical)'!C:C=B855,'Students (Vertical)'!O:O&lt;&gt;"""",'Students (Vertical)'!P:P&gt;1);filter('Students (Vertical)'!O:O,'Students (Vertical)'!C:C=E85"&amp;"5,'Students (Vertical)'!O:O&lt;&gt;"""",'Students (Vertical)'!P:P&gt;1)})&gt;1))),""""),"""")"),"")</f>
        <v/>
      </c>
      <c r="K855" s="358"/>
    </row>
    <row r="856">
      <c r="A856" s="300" t="s">
        <v>22</v>
      </c>
      <c r="C856" s="300" t="s">
        <v>22</v>
      </c>
      <c r="D856" s="300" t="s">
        <v>22</v>
      </c>
      <c r="F856" s="300" t="s">
        <v>22</v>
      </c>
      <c r="G856" s="300" t="s">
        <v>22</v>
      </c>
      <c r="I856" s="356" t="str">
        <f>IFERROR(__xludf.DUMMYFUNCTION("if(H856=""Must be Together"",iferror(join("", "",unique(filter({filter('Students (Vertical)'!O:O,'Students (Vertical)'!C:C=B856,'Students (Vertical)'!O:O&lt;&gt;"""");filter('Students (Vertical)'!O:O,'Students (Vertical)'!C:C=E856,'Students (Vertical)'!O:O&lt;&gt;"""&amp;""")},countifs({filter('Students (Vertical)'!O:O,'Students (Vertical)'!C:C=B856,'Students (Vertical)'!O:O&lt;&gt;"""");filter('Students (Vertical)'!O:O,'Students (Vertical)'!C:C=E856,'Students (Vertical)'!O:O&lt;&gt;"""")},{filter('Students (Vertical)'!O:O,'Students ("&amp;"Vertical)'!C:C=B856,'Students (Vertical)'!O:O&lt;&gt;"""");filter('Students (Vertical)'!O:O,'Students (Vertical)'!C:C=E856,'Students (Vertical)'!O:O&lt;&gt;"""")})&gt;1))),""No shared courses""),"""")"),"")</f>
        <v/>
      </c>
      <c r="J856" s="357" t="str">
        <f>IFERROR(__xludf.DUMMYFUNCTION("if(H856=""Can't be Together"",iferror(join("", "",unique(filter({filter('Students (Vertical)'!O:O,'Students (Vertical)'!C:C=B856,'Students (Vertical)'!O:O&lt;&gt;"""",'Students (Vertical)'!P:P&gt;1);filter('Students (Vertical)'!O:O,'Students (Vertical)'!C:C=E856,'"&amp;"Students (Vertical)'!O:O&lt;&gt;"""",'Students (Vertical)'!P:P&gt;1)},countifs({filter('Students (Vertical)'!O:O,'Students (Vertical)'!C:C=B856,'Students (Vertical)'!O:O&lt;&gt;"""",'Students (Vertical)'!P:P&gt;1);filter('Students (Vertical)'!O:O,'Students (Vertical)'!C:C="&amp;"E856,'Students (Vertical)'!O:O&lt;&gt;"""",'Students (Vertical)'!P:P&gt;1)},{filter('Students (Vertical)'!O:O,'Students (Vertical)'!C:C=B856,'Students (Vertical)'!O:O&lt;&gt;"""",'Students (Vertical)'!P:P&gt;1);filter('Students (Vertical)'!O:O,'Students (Vertical)'!C:C=E85"&amp;"6,'Students (Vertical)'!O:O&lt;&gt;"""",'Students (Vertical)'!P:P&gt;1)})&gt;1))),""""),"""")"),"")</f>
        <v/>
      </c>
      <c r="K856" s="358"/>
    </row>
    <row r="857">
      <c r="A857" s="300" t="s">
        <v>22</v>
      </c>
      <c r="C857" s="300" t="s">
        <v>22</v>
      </c>
      <c r="D857" s="300" t="s">
        <v>22</v>
      </c>
      <c r="F857" s="300" t="s">
        <v>22</v>
      </c>
      <c r="G857" s="300" t="s">
        <v>22</v>
      </c>
      <c r="I857" s="356" t="str">
        <f>IFERROR(__xludf.DUMMYFUNCTION("if(H857=""Must be Together"",iferror(join("", "",unique(filter({filter('Students (Vertical)'!O:O,'Students (Vertical)'!C:C=B857,'Students (Vertical)'!O:O&lt;&gt;"""");filter('Students (Vertical)'!O:O,'Students (Vertical)'!C:C=E857,'Students (Vertical)'!O:O&lt;&gt;"""&amp;""")},countifs({filter('Students (Vertical)'!O:O,'Students (Vertical)'!C:C=B857,'Students (Vertical)'!O:O&lt;&gt;"""");filter('Students (Vertical)'!O:O,'Students (Vertical)'!C:C=E857,'Students (Vertical)'!O:O&lt;&gt;"""")},{filter('Students (Vertical)'!O:O,'Students ("&amp;"Vertical)'!C:C=B857,'Students (Vertical)'!O:O&lt;&gt;"""");filter('Students (Vertical)'!O:O,'Students (Vertical)'!C:C=E857,'Students (Vertical)'!O:O&lt;&gt;"""")})&gt;1))),""No shared courses""),"""")"),"")</f>
        <v/>
      </c>
      <c r="J857" s="357" t="str">
        <f>IFERROR(__xludf.DUMMYFUNCTION("if(H857=""Can't be Together"",iferror(join("", "",unique(filter({filter('Students (Vertical)'!O:O,'Students (Vertical)'!C:C=B857,'Students (Vertical)'!O:O&lt;&gt;"""",'Students (Vertical)'!P:P&gt;1);filter('Students (Vertical)'!O:O,'Students (Vertical)'!C:C=E857,'"&amp;"Students (Vertical)'!O:O&lt;&gt;"""",'Students (Vertical)'!P:P&gt;1)},countifs({filter('Students (Vertical)'!O:O,'Students (Vertical)'!C:C=B857,'Students (Vertical)'!O:O&lt;&gt;"""",'Students (Vertical)'!P:P&gt;1);filter('Students (Vertical)'!O:O,'Students (Vertical)'!C:C="&amp;"E857,'Students (Vertical)'!O:O&lt;&gt;"""",'Students (Vertical)'!P:P&gt;1)},{filter('Students (Vertical)'!O:O,'Students (Vertical)'!C:C=B857,'Students (Vertical)'!O:O&lt;&gt;"""",'Students (Vertical)'!P:P&gt;1);filter('Students (Vertical)'!O:O,'Students (Vertical)'!C:C=E85"&amp;"7,'Students (Vertical)'!O:O&lt;&gt;"""",'Students (Vertical)'!P:P&gt;1)})&gt;1))),""""),"""")"),"")</f>
        <v/>
      </c>
      <c r="K857" s="358"/>
    </row>
    <row r="858">
      <c r="A858" s="300" t="s">
        <v>22</v>
      </c>
      <c r="C858" s="300" t="s">
        <v>22</v>
      </c>
      <c r="D858" s="300" t="s">
        <v>22</v>
      </c>
      <c r="F858" s="300" t="s">
        <v>22</v>
      </c>
      <c r="G858" s="300" t="s">
        <v>22</v>
      </c>
      <c r="I858" s="356" t="str">
        <f>IFERROR(__xludf.DUMMYFUNCTION("if(H858=""Must be Together"",iferror(join("", "",unique(filter({filter('Students (Vertical)'!O:O,'Students (Vertical)'!C:C=B858,'Students (Vertical)'!O:O&lt;&gt;"""");filter('Students (Vertical)'!O:O,'Students (Vertical)'!C:C=E858,'Students (Vertical)'!O:O&lt;&gt;"""&amp;""")},countifs({filter('Students (Vertical)'!O:O,'Students (Vertical)'!C:C=B858,'Students (Vertical)'!O:O&lt;&gt;"""");filter('Students (Vertical)'!O:O,'Students (Vertical)'!C:C=E858,'Students (Vertical)'!O:O&lt;&gt;"""")},{filter('Students (Vertical)'!O:O,'Students ("&amp;"Vertical)'!C:C=B858,'Students (Vertical)'!O:O&lt;&gt;"""");filter('Students (Vertical)'!O:O,'Students (Vertical)'!C:C=E858,'Students (Vertical)'!O:O&lt;&gt;"""")})&gt;1))),""No shared courses""),"""")"),"")</f>
        <v/>
      </c>
      <c r="J858" s="357" t="str">
        <f>IFERROR(__xludf.DUMMYFUNCTION("if(H858=""Can't be Together"",iferror(join("", "",unique(filter({filter('Students (Vertical)'!O:O,'Students (Vertical)'!C:C=B858,'Students (Vertical)'!O:O&lt;&gt;"""",'Students (Vertical)'!P:P&gt;1);filter('Students (Vertical)'!O:O,'Students (Vertical)'!C:C=E858,'"&amp;"Students (Vertical)'!O:O&lt;&gt;"""",'Students (Vertical)'!P:P&gt;1)},countifs({filter('Students (Vertical)'!O:O,'Students (Vertical)'!C:C=B858,'Students (Vertical)'!O:O&lt;&gt;"""",'Students (Vertical)'!P:P&gt;1);filter('Students (Vertical)'!O:O,'Students (Vertical)'!C:C="&amp;"E858,'Students (Vertical)'!O:O&lt;&gt;"""",'Students (Vertical)'!P:P&gt;1)},{filter('Students (Vertical)'!O:O,'Students (Vertical)'!C:C=B858,'Students (Vertical)'!O:O&lt;&gt;"""",'Students (Vertical)'!P:P&gt;1);filter('Students (Vertical)'!O:O,'Students (Vertical)'!C:C=E85"&amp;"8,'Students (Vertical)'!O:O&lt;&gt;"""",'Students (Vertical)'!P:P&gt;1)})&gt;1))),""""),"""")"),"")</f>
        <v/>
      </c>
      <c r="K858" s="358"/>
    </row>
    <row r="859">
      <c r="A859" s="300" t="s">
        <v>22</v>
      </c>
      <c r="C859" s="300" t="s">
        <v>22</v>
      </c>
      <c r="D859" s="300" t="s">
        <v>22</v>
      </c>
      <c r="F859" s="300" t="s">
        <v>22</v>
      </c>
      <c r="G859" s="300" t="s">
        <v>22</v>
      </c>
      <c r="I859" s="356" t="str">
        <f>IFERROR(__xludf.DUMMYFUNCTION("if(H859=""Must be Together"",iferror(join("", "",unique(filter({filter('Students (Vertical)'!O:O,'Students (Vertical)'!C:C=B859,'Students (Vertical)'!O:O&lt;&gt;"""");filter('Students (Vertical)'!O:O,'Students (Vertical)'!C:C=E859,'Students (Vertical)'!O:O&lt;&gt;"""&amp;""")},countifs({filter('Students (Vertical)'!O:O,'Students (Vertical)'!C:C=B859,'Students (Vertical)'!O:O&lt;&gt;"""");filter('Students (Vertical)'!O:O,'Students (Vertical)'!C:C=E859,'Students (Vertical)'!O:O&lt;&gt;"""")},{filter('Students (Vertical)'!O:O,'Students ("&amp;"Vertical)'!C:C=B859,'Students (Vertical)'!O:O&lt;&gt;"""");filter('Students (Vertical)'!O:O,'Students (Vertical)'!C:C=E859,'Students (Vertical)'!O:O&lt;&gt;"""")})&gt;1))),""No shared courses""),"""")"),"")</f>
        <v/>
      </c>
      <c r="J859" s="357" t="str">
        <f>IFERROR(__xludf.DUMMYFUNCTION("if(H859=""Can't be Together"",iferror(join("", "",unique(filter({filter('Students (Vertical)'!O:O,'Students (Vertical)'!C:C=B859,'Students (Vertical)'!O:O&lt;&gt;"""",'Students (Vertical)'!P:P&gt;1);filter('Students (Vertical)'!O:O,'Students (Vertical)'!C:C=E859,'"&amp;"Students (Vertical)'!O:O&lt;&gt;"""",'Students (Vertical)'!P:P&gt;1)},countifs({filter('Students (Vertical)'!O:O,'Students (Vertical)'!C:C=B859,'Students (Vertical)'!O:O&lt;&gt;"""",'Students (Vertical)'!P:P&gt;1);filter('Students (Vertical)'!O:O,'Students (Vertical)'!C:C="&amp;"E859,'Students (Vertical)'!O:O&lt;&gt;"""",'Students (Vertical)'!P:P&gt;1)},{filter('Students (Vertical)'!O:O,'Students (Vertical)'!C:C=B859,'Students (Vertical)'!O:O&lt;&gt;"""",'Students (Vertical)'!P:P&gt;1);filter('Students (Vertical)'!O:O,'Students (Vertical)'!C:C=E85"&amp;"9,'Students (Vertical)'!O:O&lt;&gt;"""",'Students (Vertical)'!P:P&gt;1)})&gt;1))),""""),"""")"),"")</f>
        <v/>
      </c>
      <c r="K859" s="358"/>
    </row>
    <row r="860">
      <c r="A860" s="300" t="s">
        <v>22</v>
      </c>
      <c r="C860" s="300" t="s">
        <v>22</v>
      </c>
      <c r="D860" s="300" t="s">
        <v>22</v>
      </c>
      <c r="F860" s="300" t="s">
        <v>22</v>
      </c>
      <c r="G860" s="300" t="s">
        <v>22</v>
      </c>
      <c r="I860" s="356" t="str">
        <f>IFERROR(__xludf.DUMMYFUNCTION("if(H860=""Must be Together"",iferror(join("", "",unique(filter({filter('Students (Vertical)'!O:O,'Students (Vertical)'!C:C=B860,'Students (Vertical)'!O:O&lt;&gt;"""");filter('Students (Vertical)'!O:O,'Students (Vertical)'!C:C=E860,'Students (Vertical)'!O:O&lt;&gt;"""&amp;""")},countifs({filter('Students (Vertical)'!O:O,'Students (Vertical)'!C:C=B860,'Students (Vertical)'!O:O&lt;&gt;"""");filter('Students (Vertical)'!O:O,'Students (Vertical)'!C:C=E860,'Students (Vertical)'!O:O&lt;&gt;"""")},{filter('Students (Vertical)'!O:O,'Students ("&amp;"Vertical)'!C:C=B860,'Students (Vertical)'!O:O&lt;&gt;"""");filter('Students (Vertical)'!O:O,'Students (Vertical)'!C:C=E860,'Students (Vertical)'!O:O&lt;&gt;"""")})&gt;1))),""No shared courses""),"""")"),"")</f>
        <v/>
      </c>
      <c r="J860" s="357" t="str">
        <f>IFERROR(__xludf.DUMMYFUNCTION("if(H860=""Can't be Together"",iferror(join("", "",unique(filter({filter('Students (Vertical)'!O:O,'Students (Vertical)'!C:C=B860,'Students (Vertical)'!O:O&lt;&gt;"""",'Students (Vertical)'!P:P&gt;1);filter('Students (Vertical)'!O:O,'Students (Vertical)'!C:C=E860,'"&amp;"Students (Vertical)'!O:O&lt;&gt;"""",'Students (Vertical)'!P:P&gt;1)},countifs({filter('Students (Vertical)'!O:O,'Students (Vertical)'!C:C=B860,'Students (Vertical)'!O:O&lt;&gt;"""",'Students (Vertical)'!P:P&gt;1);filter('Students (Vertical)'!O:O,'Students (Vertical)'!C:C="&amp;"E860,'Students (Vertical)'!O:O&lt;&gt;"""",'Students (Vertical)'!P:P&gt;1)},{filter('Students (Vertical)'!O:O,'Students (Vertical)'!C:C=B860,'Students (Vertical)'!O:O&lt;&gt;"""",'Students (Vertical)'!P:P&gt;1);filter('Students (Vertical)'!O:O,'Students (Vertical)'!C:C=E86"&amp;"0,'Students (Vertical)'!O:O&lt;&gt;"""",'Students (Vertical)'!P:P&gt;1)})&gt;1))),""""),"""")"),"")</f>
        <v/>
      </c>
      <c r="K860" s="358"/>
    </row>
    <row r="861">
      <c r="A861" s="300" t="s">
        <v>22</v>
      </c>
      <c r="C861" s="300" t="s">
        <v>22</v>
      </c>
      <c r="D861" s="300" t="s">
        <v>22</v>
      </c>
      <c r="F861" s="300" t="s">
        <v>22</v>
      </c>
      <c r="G861" s="300" t="s">
        <v>22</v>
      </c>
      <c r="I861" s="356" t="str">
        <f>IFERROR(__xludf.DUMMYFUNCTION("if(H861=""Must be Together"",iferror(join("", "",unique(filter({filter('Students (Vertical)'!O:O,'Students (Vertical)'!C:C=B861,'Students (Vertical)'!O:O&lt;&gt;"""");filter('Students (Vertical)'!O:O,'Students (Vertical)'!C:C=E861,'Students (Vertical)'!O:O&lt;&gt;"""&amp;""")},countifs({filter('Students (Vertical)'!O:O,'Students (Vertical)'!C:C=B861,'Students (Vertical)'!O:O&lt;&gt;"""");filter('Students (Vertical)'!O:O,'Students (Vertical)'!C:C=E861,'Students (Vertical)'!O:O&lt;&gt;"""")},{filter('Students (Vertical)'!O:O,'Students ("&amp;"Vertical)'!C:C=B861,'Students (Vertical)'!O:O&lt;&gt;"""");filter('Students (Vertical)'!O:O,'Students (Vertical)'!C:C=E861,'Students (Vertical)'!O:O&lt;&gt;"""")})&gt;1))),""No shared courses""),"""")"),"")</f>
        <v/>
      </c>
      <c r="J861" s="357" t="str">
        <f>IFERROR(__xludf.DUMMYFUNCTION("if(H861=""Can't be Together"",iferror(join("", "",unique(filter({filter('Students (Vertical)'!O:O,'Students (Vertical)'!C:C=B861,'Students (Vertical)'!O:O&lt;&gt;"""",'Students (Vertical)'!P:P&gt;1);filter('Students (Vertical)'!O:O,'Students (Vertical)'!C:C=E861,'"&amp;"Students (Vertical)'!O:O&lt;&gt;"""",'Students (Vertical)'!P:P&gt;1)},countifs({filter('Students (Vertical)'!O:O,'Students (Vertical)'!C:C=B861,'Students (Vertical)'!O:O&lt;&gt;"""",'Students (Vertical)'!P:P&gt;1);filter('Students (Vertical)'!O:O,'Students (Vertical)'!C:C="&amp;"E861,'Students (Vertical)'!O:O&lt;&gt;"""",'Students (Vertical)'!P:P&gt;1)},{filter('Students (Vertical)'!O:O,'Students (Vertical)'!C:C=B861,'Students (Vertical)'!O:O&lt;&gt;"""",'Students (Vertical)'!P:P&gt;1);filter('Students (Vertical)'!O:O,'Students (Vertical)'!C:C=E86"&amp;"1,'Students (Vertical)'!O:O&lt;&gt;"""",'Students (Vertical)'!P:P&gt;1)})&gt;1))),""""),"""")"),"")</f>
        <v/>
      </c>
      <c r="K861" s="358"/>
    </row>
    <row r="862">
      <c r="A862" s="300" t="s">
        <v>22</v>
      </c>
      <c r="C862" s="300" t="s">
        <v>22</v>
      </c>
      <c r="D862" s="300" t="s">
        <v>22</v>
      </c>
      <c r="F862" s="300" t="s">
        <v>22</v>
      </c>
      <c r="G862" s="300" t="s">
        <v>22</v>
      </c>
      <c r="I862" s="356" t="str">
        <f>IFERROR(__xludf.DUMMYFUNCTION("if(H862=""Must be Together"",iferror(join("", "",unique(filter({filter('Students (Vertical)'!O:O,'Students (Vertical)'!C:C=B862,'Students (Vertical)'!O:O&lt;&gt;"""");filter('Students (Vertical)'!O:O,'Students (Vertical)'!C:C=E862,'Students (Vertical)'!O:O&lt;&gt;"""&amp;""")},countifs({filter('Students (Vertical)'!O:O,'Students (Vertical)'!C:C=B862,'Students (Vertical)'!O:O&lt;&gt;"""");filter('Students (Vertical)'!O:O,'Students (Vertical)'!C:C=E862,'Students (Vertical)'!O:O&lt;&gt;"""")},{filter('Students (Vertical)'!O:O,'Students ("&amp;"Vertical)'!C:C=B862,'Students (Vertical)'!O:O&lt;&gt;"""");filter('Students (Vertical)'!O:O,'Students (Vertical)'!C:C=E862,'Students (Vertical)'!O:O&lt;&gt;"""")})&gt;1))),""No shared courses""),"""")"),"")</f>
        <v/>
      </c>
      <c r="J862" s="357" t="str">
        <f>IFERROR(__xludf.DUMMYFUNCTION("if(H862=""Can't be Together"",iferror(join("", "",unique(filter({filter('Students (Vertical)'!O:O,'Students (Vertical)'!C:C=B862,'Students (Vertical)'!O:O&lt;&gt;"""",'Students (Vertical)'!P:P&gt;1);filter('Students (Vertical)'!O:O,'Students (Vertical)'!C:C=E862,'"&amp;"Students (Vertical)'!O:O&lt;&gt;"""",'Students (Vertical)'!P:P&gt;1)},countifs({filter('Students (Vertical)'!O:O,'Students (Vertical)'!C:C=B862,'Students (Vertical)'!O:O&lt;&gt;"""",'Students (Vertical)'!P:P&gt;1);filter('Students (Vertical)'!O:O,'Students (Vertical)'!C:C="&amp;"E862,'Students (Vertical)'!O:O&lt;&gt;"""",'Students (Vertical)'!P:P&gt;1)},{filter('Students (Vertical)'!O:O,'Students (Vertical)'!C:C=B862,'Students (Vertical)'!O:O&lt;&gt;"""",'Students (Vertical)'!P:P&gt;1);filter('Students (Vertical)'!O:O,'Students (Vertical)'!C:C=E86"&amp;"2,'Students (Vertical)'!O:O&lt;&gt;"""",'Students (Vertical)'!P:P&gt;1)})&gt;1))),""""),"""")"),"")</f>
        <v/>
      </c>
      <c r="K862" s="358"/>
    </row>
    <row r="863">
      <c r="A863" s="300" t="s">
        <v>22</v>
      </c>
      <c r="C863" s="300" t="s">
        <v>22</v>
      </c>
      <c r="D863" s="300" t="s">
        <v>22</v>
      </c>
      <c r="F863" s="300" t="s">
        <v>22</v>
      </c>
      <c r="G863" s="300" t="s">
        <v>22</v>
      </c>
      <c r="I863" s="356" t="str">
        <f>IFERROR(__xludf.DUMMYFUNCTION("if(H863=""Must be Together"",iferror(join("", "",unique(filter({filter('Students (Vertical)'!O:O,'Students (Vertical)'!C:C=B863,'Students (Vertical)'!O:O&lt;&gt;"""");filter('Students (Vertical)'!O:O,'Students (Vertical)'!C:C=E863,'Students (Vertical)'!O:O&lt;&gt;"""&amp;""")},countifs({filter('Students (Vertical)'!O:O,'Students (Vertical)'!C:C=B863,'Students (Vertical)'!O:O&lt;&gt;"""");filter('Students (Vertical)'!O:O,'Students (Vertical)'!C:C=E863,'Students (Vertical)'!O:O&lt;&gt;"""")},{filter('Students (Vertical)'!O:O,'Students ("&amp;"Vertical)'!C:C=B863,'Students (Vertical)'!O:O&lt;&gt;"""");filter('Students (Vertical)'!O:O,'Students (Vertical)'!C:C=E863,'Students (Vertical)'!O:O&lt;&gt;"""")})&gt;1))),""No shared courses""),"""")"),"")</f>
        <v/>
      </c>
      <c r="J863" s="357" t="str">
        <f>IFERROR(__xludf.DUMMYFUNCTION("if(H863=""Can't be Together"",iferror(join("", "",unique(filter({filter('Students (Vertical)'!O:O,'Students (Vertical)'!C:C=B863,'Students (Vertical)'!O:O&lt;&gt;"""",'Students (Vertical)'!P:P&gt;1);filter('Students (Vertical)'!O:O,'Students (Vertical)'!C:C=E863,'"&amp;"Students (Vertical)'!O:O&lt;&gt;"""",'Students (Vertical)'!P:P&gt;1)},countifs({filter('Students (Vertical)'!O:O,'Students (Vertical)'!C:C=B863,'Students (Vertical)'!O:O&lt;&gt;"""",'Students (Vertical)'!P:P&gt;1);filter('Students (Vertical)'!O:O,'Students (Vertical)'!C:C="&amp;"E863,'Students (Vertical)'!O:O&lt;&gt;"""",'Students (Vertical)'!P:P&gt;1)},{filter('Students (Vertical)'!O:O,'Students (Vertical)'!C:C=B863,'Students (Vertical)'!O:O&lt;&gt;"""",'Students (Vertical)'!P:P&gt;1);filter('Students (Vertical)'!O:O,'Students (Vertical)'!C:C=E86"&amp;"3,'Students (Vertical)'!O:O&lt;&gt;"""",'Students (Vertical)'!P:P&gt;1)})&gt;1))),""""),"""")"),"")</f>
        <v/>
      </c>
      <c r="K863" s="358"/>
    </row>
    <row r="864">
      <c r="A864" s="300" t="s">
        <v>22</v>
      </c>
      <c r="C864" s="300" t="s">
        <v>22</v>
      </c>
      <c r="D864" s="300" t="s">
        <v>22</v>
      </c>
      <c r="F864" s="300" t="s">
        <v>22</v>
      </c>
      <c r="G864" s="300" t="s">
        <v>22</v>
      </c>
      <c r="I864" s="356" t="str">
        <f>IFERROR(__xludf.DUMMYFUNCTION("if(H864=""Must be Together"",iferror(join("", "",unique(filter({filter('Students (Vertical)'!O:O,'Students (Vertical)'!C:C=B864,'Students (Vertical)'!O:O&lt;&gt;"""");filter('Students (Vertical)'!O:O,'Students (Vertical)'!C:C=E864,'Students (Vertical)'!O:O&lt;&gt;"""&amp;""")},countifs({filter('Students (Vertical)'!O:O,'Students (Vertical)'!C:C=B864,'Students (Vertical)'!O:O&lt;&gt;"""");filter('Students (Vertical)'!O:O,'Students (Vertical)'!C:C=E864,'Students (Vertical)'!O:O&lt;&gt;"""")},{filter('Students (Vertical)'!O:O,'Students ("&amp;"Vertical)'!C:C=B864,'Students (Vertical)'!O:O&lt;&gt;"""");filter('Students (Vertical)'!O:O,'Students (Vertical)'!C:C=E864,'Students (Vertical)'!O:O&lt;&gt;"""")})&gt;1))),""No shared courses""),"""")"),"")</f>
        <v/>
      </c>
      <c r="J864" s="357" t="str">
        <f>IFERROR(__xludf.DUMMYFUNCTION("if(H864=""Can't be Together"",iferror(join("", "",unique(filter({filter('Students (Vertical)'!O:O,'Students (Vertical)'!C:C=B864,'Students (Vertical)'!O:O&lt;&gt;"""",'Students (Vertical)'!P:P&gt;1);filter('Students (Vertical)'!O:O,'Students (Vertical)'!C:C=E864,'"&amp;"Students (Vertical)'!O:O&lt;&gt;"""",'Students (Vertical)'!P:P&gt;1)},countifs({filter('Students (Vertical)'!O:O,'Students (Vertical)'!C:C=B864,'Students (Vertical)'!O:O&lt;&gt;"""",'Students (Vertical)'!P:P&gt;1);filter('Students (Vertical)'!O:O,'Students (Vertical)'!C:C="&amp;"E864,'Students (Vertical)'!O:O&lt;&gt;"""",'Students (Vertical)'!P:P&gt;1)},{filter('Students (Vertical)'!O:O,'Students (Vertical)'!C:C=B864,'Students (Vertical)'!O:O&lt;&gt;"""",'Students (Vertical)'!P:P&gt;1);filter('Students (Vertical)'!O:O,'Students (Vertical)'!C:C=E86"&amp;"4,'Students (Vertical)'!O:O&lt;&gt;"""",'Students (Vertical)'!P:P&gt;1)})&gt;1))),""""),"""")"),"")</f>
        <v/>
      </c>
      <c r="K864" s="358"/>
    </row>
    <row r="865">
      <c r="A865" s="300" t="s">
        <v>22</v>
      </c>
      <c r="C865" s="300" t="s">
        <v>22</v>
      </c>
      <c r="D865" s="300" t="s">
        <v>22</v>
      </c>
      <c r="F865" s="300" t="s">
        <v>22</v>
      </c>
      <c r="G865" s="300" t="s">
        <v>22</v>
      </c>
      <c r="I865" s="356" t="str">
        <f>IFERROR(__xludf.DUMMYFUNCTION("if(H865=""Must be Together"",iferror(join("", "",unique(filter({filter('Students (Vertical)'!O:O,'Students (Vertical)'!C:C=B865,'Students (Vertical)'!O:O&lt;&gt;"""");filter('Students (Vertical)'!O:O,'Students (Vertical)'!C:C=E865,'Students (Vertical)'!O:O&lt;&gt;"""&amp;""")},countifs({filter('Students (Vertical)'!O:O,'Students (Vertical)'!C:C=B865,'Students (Vertical)'!O:O&lt;&gt;"""");filter('Students (Vertical)'!O:O,'Students (Vertical)'!C:C=E865,'Students (Vertical)'!O:O&lt;&gt;"""")},{filter('Students (Vertical)'!O:O,'Students ("&amp;"Vertical)'!C:C=B865,'Students (Vertical)'!O:O&lt;&gt;"""");filter('Students (Vertical)'!O:O,'Students (Vertical)'!C:C=E865,'Students (Vertical)'!O:O&lt;&gt;"""")})&gt;1))),""No shared courses""),"""")"),"")</f>
        <v/>
      </c>
      <c r="J865" s="357" t="str">
        <f>IFERROR(__xludf.DUMMYFUNCTION("if(H865=""Can't be Together"",iferror(join("", "",unique(filter({filter('Students (Vertical)'!O:O,'Students (Vertical)'!C:C=B865,'Students (Vertical)'!O:O&lt;&gt;"""",'Students (Vertical)'!P:P&gt;1);filter('Students (Vertical)'!O:O,'Students (Vertical)'!C:C=E865,'"&amp;"Students (Vertical)'!O:O&lt;&gt;"""",'Students (Vertical)'!P:P&gt;1)},countifs({filter('Students (Vertical)'!O:O,'Students (Vertical)'!C:C=B865,'Students (Vertical)'!O:O&lt;&gt;"""",'Students (Vertical)'!P:P&gt;1);filter('Students (Vertical)'!O:O,'Students (Vertical)'!C:C="&amp;"E865,'Students (Vertical)'!O:O&lt;&gt;"""",'Students (Vertical)'!P:P&gt;1)},{filter('Students (Vertical)'!O:O,'Students (Vertical)'!C:C=B865,'Students (Vertical)'!O:O&lt;&gt;"""",'Students (Vertical)'!P:P&gt;1);filter('Students (Vertical)'!O:O,'Students (Vertical)'!C:C=E86"&amp;"5,'Students (Vertical)'!O:O&lt;&gt;"""",'Students (Vertical)'!P:P&gt;1)})&gt;1))),""""),"""")"),"")</f>
        <v/>
      </c>
      <c r="K865" s="358"/>
    </row>
    <row r="866">
      <c r="A866" s="300" t="s">
        <v>22</v>
      </c>
      <c r="C866" s="300" t="s">
        <v>22</v>
      </c>
      <c r="D866" s="300" t="s">
        <v>22</v>
      </c>
      <c r="F866" s="300" t="s">
        <v>22</v>
      </c>
      <c r="G866" s="300" t="s">
        <v>22</v>
      </c>
      <c r="I866" s="356" t="str">
        <f>IFERROR(__xludf.DUMMYFUNCTION("if(H866=""Must be Together"",iferror(join("", "",unique(filter({filter('Students (Vertical)'!O:O,'Students (Vertical)'!C:C=B866,'Students (Vertical)'!O:O&lt;&gt;"""");filter('Students (Vertical)'!O:O,'Students (Vertical)'!C:C=E866,'Students (Vertical)'!O:O&lt;&gt;"""&amp;""")},countifs({filter('Students (Vertical)'!O:O,'Students (Vertical)'!C:C=B866,'Students (Vertical)'!O:O&lt;&gt;"""");filter('Students (Vertical)'!O:O,'Students (Vertical)'!C:C=E866,'Students (Vertical)'!O:O&lt;&gt;"""")},{filter('Students (Vertical)'!O:O,'Students ("&amp;"Vertical)'!C:C=B866,'Students (Vertical)'!O:O&lt;&gt;"""");filter('Students (Vertical)'!O:O,'Students (Vertical)'!C:C=E866,'Students (Vertical)'!O:O&lt;&gt;"""")})&gt;1))),""No shared courses""),"""")"),"")</f>
        <v/>
      </c>
      <c r="J866" s="357" t="str">
        <f>IFERROR(__xludf.DUMMYFUNCTION("if(H866=""Can't be Together"",iferror(join("", "",unique(filter({filter('Students (Vertical)'!O:O,'Students (Vertical)'!C:C=B866,'Students (Vertical)'!O:O&lt;&gt;"""",'Students (Vertical)'!P:P&gt;1);filter('Students (Vertical)'!O:O,'Students (Vertical)'!C:C=E866,'"&amp;"Students (Vertical)'!O:O&lt;&gt;"""",'Students (Vertical)'!P:P&gt;1)},countifs({filter('Students (Vertical)'!O:O,'Students (Vertical)'!C:C=B866,'Students (Vertical)'!O:O&lt;&gt;"""",'Students (Vertical)'!P:P&gt;1);filter('Students (Vertical)'!O:O,'Students (Vertical)'!C:C="&amp;"E866,'Students (Vertical)'!O:O&lt;&gt;"""",'Students (Vertical)'!P:P&gt;1)},{filter('Students (Vertical)'!O:O,'Students (Vertical)'!C:C=B866,'Students (Vertical)'!O:O&lt;&gt;"""",'Students (Vertical)'!P:P&gt;1);filter('Students (Vertical)'!O:O,'Students (Vertical)'!C:C=E86"&amp;"6,'Students (Vertical)'!O:O&lt;&gt;"""",'Students (Vertical)'!P:P&gt;1)})&gt;1))),""""),"""")"),"")</f>
        <v/>
      </c>
      <c r="K866" s="358"/>
    </row>
    <row r="867">
      <c r="A867" s="300" t="s">
        <v>22</v>
      </c>
      <c r="C867" s="300" t="s">
        <v>22</v>
      </c>
      <c r="D867" s="300" t="s">
        <v>22</v>
      </c>
      <c r="F867" s="300" t="s">
        <v>22</v>
      </c>
      <c r="G867" s="300" t="s">
        <v>22</v>
      </c>
      <c r="I867" s="356" t="str">
        <f>IFERROR(__xludf.DUMMYFUNCTION("if(H867=""Must be Together"",iferror(join("", "",unique(filter({filter('Students (Vertical)'!O:O,'Students (Vertical)'!C:C=B867,'Students (Vertical)'!O:O&lt;&gt;"""");filter('Students (Vertical)'!O:O,'Students (Vertical)'!C:C=E867,'Students (Vertical)'!O:O&lt;&gt;"""&amp;""")},countifs({filter('Students (Vertical)'!O:O,'Students (Vertical)'!C:C=B867,'Students (Vertical)'!O:O&lt;&gt;"""");filter('Students (Vertical)'!O:O,'Students (Vertical)'!C:C=E867,'Students (Vertical)'!O:O&lt;&gt;"""")},{filter('Students (Vertical)'!O:O,'Students ("&amp;"Vertical)'!C:C=B867,'Students (Vertical)'!O:O&lt;&gt;"""");filter('Students (Vertical)'!O:O,'Students (Vertical)'!C:C=E867,'Students (Vertical)'!O:O&lt;&gt;"""")})&gt;1))),""No shared courses""),"""")"),"")</f>
        <v/>
      </c>
      <c r="J867" s="357" t="str">
        <f>IFERROR(__xludf.DUMMYFUNCTION("if(H867=""Can't be Together"",iferror(join("", "",unique(filter({filter('Students (Vertical)'!O:O,'Students (Vertical)'!C:C=B867,'Students (Vertical)'!O:O&lt;&gt;"""",'Students (Vertical)'!P:P&gt;1);filter('Students (Vertical)'!O:O,'Students (Vertical)'!C:C=E867,'"&amp;"Students (Vertical)'!O:O&lt;&gt;"""",'Students (Vertical)'!P:P&gt;1)},countifs({filter('Students (Vertical)'!O:O,'Students (Vertical)'!C:C=B867,'Students (Vertical)'!O:O&lt;&gt;"""",'Students (Vertical)'!P:P&gt;1);filter('Students (Vertical)'!O:O,'Students (Vertical)'!C:C="&amp;"E867,'Students (Vertical)'!O:O&lt;&gt;"""",'Students (Vertical)'!P:P&gt;1)},{filter('Students (Vertical)'!O:O,'Students (Vertical)'!C:C=B867,'Students (Vertical)'!O:O&lt;&gt;"""",'Students (Vertical)'!P:P&gt;1);filter('Students (Vertical)'!O:O,'Students (Vertical)'!C:C=E86"&amp;"7,'Students (Vertical)'!O:O&lt;&gt;"""",'Students (Vertical)'!P:P&gt;1)})&gt;1))),""""),"""")"),"")</f>
        <v/>
      </c>
      <c r="K867" s="358"/>
    </row>
    <row r="868">
      <c r="A868" s="300" t="s">
        <v>22</v>
      </c>
      <c r="C868" s="300" t="s">
        <v>22</v>
      </c>
      <c r="D868" s="300" t="s">
        <v>22</v>
      </c>
      <c r="F868" s="300" t="s">
        <v>22</v>
      </c>
      <c r="G868" s="300" t="s">
        <v>22</v>
      </c>
      <c r="I868" s="356" t="str">
        <f>IFERROR(__xludf.DUMMYFUNCTION("if(H868=""Must be Together"",iferror(join("", "",unique(filter({filter('Students (Vertical)'!O:O,'Students (Vertical)'!C:C=B868,'Students (Vertical)'!O:O&lt;&gt;"""");filter('Students (Vertical)'!O:O,'Students (Vertical)'!C:C=E868,'Students (Vertical)'!O:O&lt;&gt;"""&amp;""")},countifs({filter('Students (Vertical)'!O:O,'Students (Vertical)'!C:C=B868,'Students (Vertical)'!O:O&lt;&gt;"""");filter('Students (Vertical)'!O:O,'Students (Vertical)'!C:C=E868,'Students (Vertical)'!O:O&lt;&gt;"""")},{filter('Students (Vertical)'!O:O,'Students ("&amp;"Vertical)'!C:C=B868,'Students (Vertical)'!O:O&lt;&gt;"""");filter('Students (Vertical)'!O:O,'Students (Vertical)'!C:C=E868,'Students (Vertical)'!O:O&lt;&gt;"""")})&gt;1))),""No shared courses""),"""")"),"")</f>
        <v/>
      </c>
      <c r="J868" s="357" t="str">
        <f>IFERROR(__xludf.DUMMYFUNCTION("if(H868=""Can't be Together"",iferror(join("", "",unique(filter({filter('Students (Vertical)'!O:O,'Students (Vertical)'!C:C=B868,'Students (Vertical)'!O:O&lt;&gt;"""",'Students (Vertical)'!P:P&gt;1);filter('Students (Vertical)'!O:O,'Students (Vertical)'!C:C=E868,'"&amp;"Students (Vertical)'!O:O&lt;&gt;"""",'Students (Vertical)'!P:P&gt;1)},countifs({filter('Students (Vertical)'!O:O,'Students (Vertical)'!C:C=B868,'Students (Vertical)'!O:O&lt;&gt;"""",'Students (Vertical)'!P:P&gt;1);filter('Students (Vertical)'!O:O,'Students (Vertical)'!C:C="&amp;"E868,'Students (Vertical)'!O:O&lt;&gt;"""",'Students (Vertical)'!P:P&gt;1)},{filter('Students (Vertical)'!O:O,'Students (Vertical)'!C:C=B868,'Students (Vertical)'!O:O&lt;&gt;"""",'Students (Vertical)'!P:P&gt;1);filter('Students (Vertical)'!O:O,'Students (Vertical)'!C:C=E86"&amp;"8,'Students (Vertical)'!O:O&lt;&gt;"""",'Students (Vertical)'!P:P&gt;1)})&gt;1))),""""),"""")"),"")</f>
        <v/>
      </c>
      <c r="K868" s="358"/>
    </row>
    <row r="869">
      <c r="A869" s="300" t="s">
        <v>22</v>
      </c>
      <c r="C869" s="300" t="s">
        <v>22</v>
      </c>
      <c r="D869" s="300" t="s">
        <v>22</v>
      </c>
      <c r="F869" s="300" t="s">
        <v>22</v>
      </c>
      <c r="G869" s="300" t="s">
        <v>22</v>
      </c>
      <c r="I869" s="356" t="str">
        <f>IFERROR(__xludf.DUMMYFUNCTION("if(H869=""Must be Together"",iferror(join("", "",unique(filter({filter('Students (Vertical)'!O:O,'Students (Vertical)'!C:C=B869,'Students (Vertical)'!O:O&lt;&gt;"""");filter('Students (Vertical)'!O:O,'Students (Vertical)'!C:C=E869,'Students (Vertical)'!O:O&lt;&gt;"""&amp;""")},countifs({filter('Students (Vertical)'!O:O,'Students (Vertical)'!C:C=B869,'Students (Vertical)'!O:O&lt;&gt;"""");filter('Students (Vertical)'!O:O,'Students (Vertical)'!C:C=E869,'Students (Vertical)'!O:O&lt;&gt;"""")},{filter('Students (Vertical)'!O:O,'Students ("&amp;"Vertical)'!C:C=B869,'Students (Vertical)'!O:O&lt;&gt;"""");filter('Students (Vertical)'!O:O,'Students (Vertical)'!C:C=E869,'Students (Vertical)'!O:O&lt;&gt;"""")})&gt;1))),""No shared courses""),"""")"),"")</f>
        <v/>
      </c>
      <c r="J869" s="357" t="str">
        <f>IFERROR(__xludf.DUMMYFUNCTION("if(H869=""Can't be Together"",iferror(join("", "",unique(filter({filter('Students (Vertical)'!O:O,'Students (Vertical)'!C:C=B869,'Students (Vertical)'!O:O&lt;&gt;"""",'Students (Vertical)'!P:P&gt;1);filter('Students (Vertical)'!O:O,'Students (Vertical)'!C:C=E869,'"&amp;"Students (Vertical)'!O:O&lt;&gt;"""",'Students (Vertical)'!P:P&gt;1)},countifs({filter('Students (Vertical)'!O:O,'Students (Vertical)'!C:C=B869,'Students (Vertical)'!O:O&lt;&gt;"""",'Students (Vertical)'!P:P&gt;1);filter('Students (Vertical)'!O:O,'Students (Vertical)'!C:C="&amp;"E869,'Students (Vertical)'!O:O&lt;&gt;"""",'Students (Vertical)'!P:P&gt;1)},{filter('Students (Vertical)'!O:O,'Students (Vertical)'!C:C=B869,'Students (Vertical)'!O:O&lt;&gt;"""",'Students (Vertical)'!P:P&gt;1);filter('Students (Vertical)'!O:O,'Students (Vertical)'!C:C=E86"&amp;"9,'Students (Vertical)'!O:O&lt;&gt;"""",'Students (Vertical)'!P:P&gt;1)})&gt;1))),""""),"""")"),"")</f>
        <v/>
      </c>
      <c r="K869" s="358"/>
    </row>
    <row r="870">
      <c r="A870" s="300" t="s">
        <v>22</v>
      </c>
      <c r="C870" s="300" t="s">
        <v>22</v>
      </c>
      <c r="D870" s="300" t="s">
        <v>22</v>
      </c>
      <c r="F870" s="300" t="s">
        <v>22</v>
      </c>
      <c r="G870" s="300" t="s">
        <v>22</v>
      </c>
      <c r="I870" s="356" t="str">
        <f>IFERROR(__xludf.DUMMYFUNCTION("if(H870=""Must be Together"",iferror(join("", "",unique(filter({filter('Students (Vertical)'!O:O,'Students (Vertical)'!C:C=B870,'Students (Vertical)'!O:O&lt;&gt;"""");filter('Students (Vertical)'!O:O,'Students (Vertical)'!C:C=E870,'Students (Vertical)'!O:O&lt;&gt;"""&amp;""")},countifs({filter('Students (Vertical)'!O:O,'Students (Vertical)'!C:C=B870,'Students (Vertical)'!O:O&lt;&gt;"""");filter('Students (Vertical)'!O:O,'Students (Vertical)'!C:C=E870,'Students (Vertical)'!O:O&lt;&gt;"""")},{filter('Students (Vertical)'!O:O,'Students ("&amp;"Vertical)'!C:C=B870,'Students (Vertical)'!O:O&lt;&gt;"""");filter('Students (Vertical)'!O:O,'Students (Vertical)'!C:C=E870,'Students (Vertical)'!O:O&lt;&gt;"""")})&gt;1))),""No shared courses""),"""")"),"")</f>
        <v/>
      </c>
      <c r="J870" s="357" t="str">
        <f>IFERROR(__xludf.DUMMYFUNCTION("if(H870=""Can't be Together"",iferror(join("", "",unique(filter({filter('Students (Vertical)'!O:O,'Students (Vertical)'!C:C=B870,'Students (Vertical)'!O:O&lt;&gt;"""",'Students (Vertical)'!P:P&gt;1);filter('Students (Vertical)'!O:O,'Students (Vertical)'!C:C=E870,'"&amp;"Students (Vertical)'!O:O&lt;&gt;"""",'Students (Vertical)'!P:P&gt;1)},countifs({filter('Students (Vertical)'!O:O,'Students (Vertical)'!C:C=B870,'Students (Vertical)'!O:O&lt;&gt;"""",'Students (Vertical)'!P:P&gt;1);filter('Students (Vertical)'!O:O,'Students (Vertical)'!C:C="&amp;"E870,'Students (Vertical)'!O:O&lt;&gt;"""",'Students (Vertical)'!P:P&gt;1)},{filter('Students (Vertical)'!O:O,'Students (Vertical)'!C:C=B870,'Students (Vertical)'!O:O&lt;&gt;"""",'Students (Vertical)'!P:P&gt;1);filter('Students (Vertical)'!O:O,'Students (Vertical)'!C:C=E87"&amp;"0,'Students (Vertical)'!O:O&lt;&gt;"""",'Students (Vertical)'!P:P&gt;1)})&gt;1))),""""),"""")"),"")</f>
        <v/>
      </c>
      <c r="K870" s="358"/>
    </row>
    <row r="871">
      <c r="A871" s="300" t="s">
        <v>22</v>
      </c>
      <c r="C871" s="300" t="s">
        <v>22</v>
      </c>
      <c r="D871" s="300" t="s">
        <v>22</v>
      </c>
      <c r="F871" s="300" t="s">
        <v>22</v>
      </c>
      <c r="G871" s="300" t="s">
        <v>22</v>
      </c>
      <c r="I871" s="356" t="str">
        <f>IFERROR(__xludf.DUMMYFUNCTION("if(H871=""Must be Together"",iferror(join("", "",unique(filter({filter('Students (Vertical)'!O:O,'Students (Vertical)'!C:C=B871,'Students (Vertical)'!O:O&lt;&gt;"""");filter('Students (Vertical)'!O:O,'Students (Vertical)'!C:C=E871,'Students (Vertical)'!O:O&lt;&gt;"""&amp;""")},countifs({filter('Students (Vertical)'!O:O,'Students (Vertical)'!C:C=B871,'Students (Vertical)'!O:O&lt;&gt;"""");filter('Students (Vertical)'!O:O,'Students (Vertical)'!C:C=E871,'Students (Vertical)'!O:O&lt;&gt;"""")},{filter('Students (Vertical)'!O:O,'Students ("&amp;"Vertical)'!C:C=B871,'Students (Vertical)'!O:O&lt;&gt;"""");filter('Students (Vertical)'!O:O,'Students (Vertical)'!C:C=E871,'Students (Vertical)'!O:O&lt;&gt;"""")})&gt;1))),""No shared courses""),"""")"),"")</f>
        <v/>
      </c>
      <c r="J871" s="357" t="str">
        <f>IFERROR(__xludf.DUMMYFUNCTION("if(H871=""Can't be Together"",iferror(join("", "",unique(filter({filter('Students (Vertical)'!O:O,'Students (Vertical)'!C:C=B871,'Students (Vertical)'!O:O&lt;&gt;"""",'Students (Vertical)'!P:P&gt;1);filter('Students (Vertical)'!O:O,'Students (Vertical)'!C:C=E871,'"&amp;"Students (Vertical)'!O:O&lt;&gt;"""",'Students (Vertical)'!P:P&gt;1)},countifs({filter('Students (Vertical)'!O:O,'Students (Vertical)'!C:C=B871,'Students (Vertical)'!O:O&lt;&gt;"""",'Students (Vertical)'!P:P&gt;1);filter('Students (Vertical)'!O:O,'Students (Vertical)'!C:C="&amp;"E871,'Students (Vertical)'!O:O&lt;&gt;"""",'Students (Vertical)'!P:P&gt;1)},{filter('Students (Vertical)'!O:O,'Students (Vertical)'!C:C=B871,'Students (Vertical)'!O:O&lt;&gt;"""",'Students (Vertical)'!P:P&gt;1);filter('Students (Vertical)'!O:O,'Students (Vertical)'!C:C=E87"&amp;"1,'Students (Vertical)'!O:O&lt;&gt;"""",'Students (Vertical)'!P:P&gt;1)})&gt;1))),""""),"""")"),"")</f>
        <v/>
      </c>
      <c r="K871" s="358"/>
    </row>
    <row r="872">
      <c r="A872" s="300" t="s">
        <v>22</v>
      </c>
      <c r="C872" s="300" t="s">
        <v>22</v>
      </c>
      <c r="D872" s="300" t="s">
        <v>22</v>
      </c>
      <c r="F872" s="300" t="s">
        <v>22</v>
      </c>
      <c r="G872" s="300" t="s">
        <v>22</v>
      </c>
      <c r="I872" s="356" t="str">
        <f>IFERROR(__xludf.DUMMYFUNCTION("if(H872=""Must be Together"",iferror(join("", "",unique(filter({filter('Students (Vertical)'!O:O,'Students (Vertical)'!C:C=B872,'Students (Vertical)'!O:O&lt;&gt;"""");filter('Students (Vertical)'!O:O,'Students (Vertical)'!C:C=E872,'Students (Vertical)'!O:O&lt;&gt;"""&amp;""")},countifs({filter('Students (Vertical)'!O:O,'Students (Vertical)'!C:C=B872,'Students (Vertical)'!O:O&lt;&gt;"""");filter('Students (Vertical)'!O:O,'Students (Vertical)'!C:C=E872,'Students (Vertical)'!O:O&lt;&gt;"""")},{filter('Students (Vertical)'!O:O,'Students ("&amp;"Vertical)'!C:C=B872,'Students (Vertical)'!O:O&lt;&gt;"""");filter('Students (Vertical)'!O:O,'Students (Vertical)'!C:C=E872,'Students (Vertical)'!O:O&lt;&gt;"""")})&gt;1))),""No shared courses""),"""")"),"")</f>
        <v/>
      </c>
      <c r="J872" s="357" t="str">
        <f>IFERROR(__xludf.DUMMYFUNCTION("if(H872=""Can't be Together"",iferror(join("", "",unique(filter({filter('Students (Vertical)'!O:O,'Students (Vertical)'!C:C=B872,'Students (Vertical)'!O:O&lt;&gt;"""",'Students (Vertical)'!P:P&gt;1);filter('Students (Vertical)'!O:O,'Students (Vertical)'!C:C=E872,'"&amp;"Students (Vertical)'!O:O&lt;&gt;"""",'Students (Vertical)'!P:P&gt;1)},countifs({filter('Students (Vertical)'!O:O,'Students (Vertical)'!C:C=B872,'Students (Vertical)'!O:O&lt;&gt;"""",'Students (Vertical)'!P:P&gt;1);filter('Students (Vertical)'!O:O,'Students (Vertical)'!C:C="&amp;"E872,'Students (Vertical)'!O:O&lt;&gt;"""",'Students (Vertical)'!P:P&gt;1)},{filter('Students (Vertical)'!O:O,'Students (Vertical)'!C:C=B872,'Students (Vertical)'!O:O&lt;&gt;"""",'Students (Vertical)'!P:P&gt;1);filter('Students (Vertical)'!O:O,'Students (Vertical)'!C:C=E87"&amp;"2,'Students (Vertical)'!O:O&lt;&gt;"""",'Students (Vertical)'!P:P&gt;1)})&gt;1))),""""),"""")"),"")</f>
        <v/>
      </c>
      <c r="K872" s="358"/>
    </row>
    <row r="873">
      <c r="A873" s="300" t="s">
        <v>22</v>
      </c>
      <c r="C873" s="300" t="s">
        <v>22</v>
      </c>
      <c r="D873" s="300" t="s">
        <v>22</v>
      </c>
      <c r="F873" s="300" t="s">
        <v>22</v>
      </c>
      <c r="G873" s="300" t="s">
        <v>22</v>
      </c>
      <c r="I873" s="356" t="str">
        <f>IFERROR(__xludf.DUMMYFUNCTION("if(H873=""Must be Together"",iferror(join("", "",unique(filter({filter('Students (Vertical)'!O:O,'Students (Vertical)'!C:C=B873,'Students (Vertical)'!O:O&lt;&gt;"""");filter('Students (Vertical)'!O:O,'Students (Vertical)'!C:C=E873,'Students (Vertical)'!O:O&lt;&gt;"""&amp;""")},countifs({filter('Students (Vertical)'!O:O,'Students (Vertical)'!C:C=B873,'Students (Vertical)'!O:O&lt;&gt;"""");filter('Students (Vertical)'!O:O,'Students (Vertical)'!C:C=E873,'Students (Vertical)'!O:O&lt;&gt;"""")},{filter('Students (Vertical)'!O:O,'Students ("&amp;"Vertical)'!C:C=B873,'Students (Vertical)'!O:O&lt;&gt;"""");filter('Students (Vertical)'!O:O,'Students (Vertical)'!C:C=E873,'Students (Vertical)'!O:O&lt;&gt;"""")})&gt;1))),""No shared courses""),"""")"),"")</f>
        <v/>
      </c>
      <c r="J873" s="357" t="str">
        <f>IFERROR(__xludf.DUMMYFUNCTION("if(H873=""Can't be Together"",iferror(join("", "",unique(filter({filter('Students (Vertical)'!O:O,'Students (Vertical)'!C:C=B873,'Students (Vertical)'!O:O&lt;&gt;"""",'Students (Vertical)'!P:P&gt;1);filter('Students (Vertical)'!O:O,'Students (Vertical)'!C:C=E873,'"&amp;"Students (Vertical)'!O:O&lt;&gt;"""",'Students (Vertical)'!P:P&gt;1)},countifs({filter('Students (Vertical)'!O:O,'Students (Vertical)'!C:C=B873,'Students (Vertical)'!O:O&lt;&gt;"""",'Students (Vertical)'!P:P&gt;1);filter('Students (Vertical)'!O:O,'Students (Vertical)'!C:C="&amp;"E873,'Students (Vertical)'!O:O&lt;&gt;"""",'Students (Vertical)'!P:P&gt;1)},{filter('Students (Vertical)'!O:O,'Students (Vertical)'!C:C=B873,'Students (Vertical)'!O:O&lt;&gt;"""",'Students (Vertical)'!P:P&gt;1);filter('Students (Vertical)'!O:O,'Students (Vertical)'!C:C=E87"&amp;"3,'Students (Vertical)'!O:O&lt;&gt;"""",'Students (Vertical)'!P:P&gt;1)})&gt;1))),""""),"""")"),"")</f>
        <v/>
      </c>
      <c r="K873" s="358"/>
    </row>
    <row r="874">
      <c r="A874" s="300" t="s">
        <v>22</v>
      </c>
      <c r="C874" s="300" t="s">
        <v>22</v>
      </c>
      <c r="D874" s="300" t="s">
        <v>22</v>
      </c>
      <c r="F874" s="300" t="s">
        <v>22</v>
      </c>
      <c r="G874" s="300" t="s">
        <v>22</v>
      </c>
      <c r="I874" s="356" t="str">
        <f>IFERROR(__xludf.DUMMYFUNCTION("if(H874=""Must be Together"",iferror(join("", "",unique(filter({filter('Students (Vertical)'!O:O,'Students (Vertical)'!C:C=B874,'Students (Vertical)'!O:O&lt;&gt;"""");filter('Students (Vertical)'!O:O,'Students (Vertical)'!C:C=E874,'Students (Vertical)'!O:O&lt;&gt;"""&amp;""")},countifs({filter('Students (Vertical)'!O:O,'Students (Vertical)'!C:C=B874,'Students (Vertical)'!O:O&lt;&gt;"""");filter('Students (Vertical)'!O:O,'Students (Vertical)'!C:C=E874,'Students (Vertical)'!O:O&lt;&gt;"""")},{filter('Students (Vertical)'!O:O,'Students ("&amp;"Vertical)'!C:C=B874,'Students (Vertical)'!O:O&lt;&gt;"""");filter('Students (Vertical)'!O:O,'Students (Vertical)'!C:C=E874,'Students (Vertical)'!O:O&lt;&gt;"""")})&gt;1))),""No shared courses""),"""")"),"")</f>
        <v/>
      </c>
      <c r="J874" s="357" t="str">
        <f>IFERROR(__xludf.DUMMYFUNCTION("if(H874=""Can't be Together"",iferror(join("", "",unique(filter({filter('Students (Vertical)'!O:O,'Students (Vertical)'!C:C=B874,'Students (Vertical)'!O:O&lt;&gt;"""",'Students (Vertical)'!P:P&gt;1);filter('Students (Vertical)'!O:O,'Students (Vertical)'!C:C=E874,'"&amp;"Students (Vertical)'!O:O&lt;&gt;"""",'Students (Vertical)'!P:P&gt;1)},countifs({filter('Students (Vertical)'!O:O,'Students (Vertical)'!C:C=B874,'Students (Vertical)'!O:O&lt;&gt;"""",'Students (Vertical)'!P:P&gt;1);filter('Students (Vertical)'!O:O,'Students (Vertical)'!C:C="&amp;"E874,'Students (Vertical)'!O:O&lt;&gt;"""",'Students (Vertical)'!P:P&gt;1)},{filter('Students (Vertical)'!O:O,'Students (Vertical)'!C:C=B874,'Students (Vertical)'!O:O&lt;&gt;"""",'Students (Vertical)'!P:P&gt;1);filter('Students (Vertical)'!O:O,'Students (Vertical)'!C:C=E87"&amp;"4,'Students (Vertical)'!O:O&lt;&gt;"""",'Students (Vertical)'!P:P&gt;1)})&gt;1))),""""),"""")"),"")</f>
        <v/>
      </c>
      <c r="K874" s="358"/>
    </row>
    <row r="875">
      <c r="A875" s="300" t="s">
        <v>22</v>
      </c>
      <c r="C875" s="300" t="s">
        <v>22</v>
      </c>
      <c r="D875" s="300" t="s">
        <v>22</v>
      </c>
      <c r="F875" s="300" t="s">
        <v>22</v>
      </c>
      <c r="G875" s="300" t="s">
        <v>22</v>
      </c>
      <c r="I875" s="356" t="str">
        <f>IFERROR(__xludf.DUMMYFUNCTION("if(H875=""Must be Together"",iferror(join("", "",unique(filter({filter('Students (Vertical)'!O:O,'Students (Vertical)'!C:C=B875,'Students (Vertical)'!O:O&lt;&gt;"""");filter('Students (Vertical)'!O:O,'Students (Vertical)'!C:C=E875,'Students (Vertical)'!O:O&lt;&gt;"""&amp;""")},countifs({filter('Students (Vertical)'!O:O,'Students (Vertical)'!C:C=B875,'Students (Vertical)'!O:O&lt;&gt;"""");filter('Students (Vertical)'!O:O,'Students (Vertical)'!C:C=E875,'Students (Vertical)'!O:O&lt;&gt;"""")},{filter('Students (Vertical)'!O:O,'Students ("&amp;"Vertical)'!C:C=B875,'Students (Vertical)'!O:O&lt;&gt;"""");filter('Students (Vertical)'!O:O,'Students (Vertical)'!C:C=E875,'Students (Vertical)'!O:O&lt;&gt;"""")})&gt;1))),""No shared courses""),"""")"),"")</f>
        <v/>
      </c>
      <c r="J875" s="357" t="str">
        <f>IFERROR(__xludf.DUMMYFUNCTION("if(H875=""Can't be Together"",iferror(join("", "",unique(filter({filter('Students (Vertical)'!O:O,'Students (Vertical)'!C:C=B875,'Students (Vertical)'!O:O&lt;&gt;"""",'Students (Vertical)'!P:P&gt;1);filter('Students (Vertical)'!O:O,'Students (Vertical)'!C:C=E875,'"&amp;"Students (Vertical)'!O:O&lt;&gt;"""",'Students (Vertical)'!P:P&gt;1)},countifs({filter('Students (Vertical)'!O:O,'Students (Vertical)'!C:C=B875,'Students (Vertical)'!O:O&lt;&gt;"""",'Students (Vertical)'!P:P&gt;1);filter('Students (Vertical)'!O:O,'Students (Vertical)'!C:C="&amp;"E875,'Students (Vertical)'!O:O&lt;&gt;"""",'Students (Vertical)'!P:P&gt;1)},{filter('Students (Vertical)'!O:O,'Students (Vertical)'!C:C=B875,'Students (Vertical)'!O:O&lt;&gt;"""",'Students (Vertical)'!P:P&gt;1);filter('Students (Vertical)'!O:O,'Students (Vertical)'!C:C=E87"&amp;"5,'Students (Vertical)'!O:O&lt;&gt;"""",'Students (Vertical)'!P:P&gt;1)})&gt;1))),""""),"""")"),"")</f>
        <v/>
      </c>
      <c r="K875" s="358"/>
    </row>
    <row r="876">
      <c r="A876" s="300" t="s">
        <v>22</v>
      </c>
      <c r="C876" s="300" t="s">
        <v>22</v>
      </c>
      <c r="D876" s="300" t="s">
        <v>22</v>
      </c>
      <c r="F876" s="300" t="s">
        <v>22</v>
      </c>
      <c r="G876" s="300" t="s">
        <v>22</v>
      </c>
      <c r="I876" s="356" t="str">
        <f>IFERROR(__xludf.DUMMYFUNCTION("if(H876=""Must be Together"",iferror(join("", "",unique(filter({filter('Students (Vertical)'!O:O,'Students (Vertical)'!C:C=B876,'Students (Vertical)'!O:O&lt;&gt;"""");filter('Students (Vertical)'!O:O,'Students (Vertical)'!C:C=E876,'Students (Vertical)'!O:O&lt;&gt;"""&amp;""")},countifs({filter('Students (Vertical)'!O:O,'Students (Vertical)'!C:C=B876,'Students (Vertical)'!O:O&lt;&gt;"""");filter('Students (Vertical)'!O:O,'Students (Vertical)'!C:C=E876,'Students (Vertical)'!O:O&lt;&gt;"""")},{filter('Students (Vertical)'!O:O,'Students ("&amp;"Vertical)'!C:C=B876,'Students (Vertical)'!O:O&lt;&gt;"""");filter('Students (Vertical)'!O:O,'Students (Vertical)'!C:C=E876,'Students (Vertical)'!O:O&lt;&gt;"""")})&gt;1))),""No shared courses""),"""")"),"")</f>
        <v/>
      </c>
      <c r="J876" s="357" t="str">
        <f>IFERROR(__xludf.DUMMYFUNCTION("if(H876=""Can't be Together"",iferror(join("", "",unique(filter({filter('Students (Vertical)'!O:O,'Students (Vertical)'!C:C=B876,'Students (Vertical)'!O:O&lt;&gt;"""",'Students (Vertical)'!P:P&gt;1);filter('Students (Vertical)'!O:O,'Students (Vertical)'!C:C=E876,'"&amp;"Students (Vertical)'!O:O&lt;&gt;"""",'Students (Vertical)'!P:P&gt;1)},countifs({filter('Students (Vertical)'!O:O,'Students (Vertical)'!C:C=B876,'Students (Vertical)'!O:O&lt;&gt;"""",'Students (Vertical)'!P:P&gt;1);filter('Students (Vertical)'!O:O,'Students (Vertical)'!C:C="&amp;"E876,'Students (Vertical)'!O:O&lt;&gt;"""",'Students (Vertical)'!P:P&gt;1)},{filter('Students (Vertical)'!O:O,'Students (Vertical)'!C:C=B876,'Students (Vertical)'!O:O&lt;&gt;"""",'Students (Vertical)'!P:P&gt;1);filter('Students (Vertical)'!O:O,'Students (Vertical)'!C:C=E87"&amp;"6,'Students (Vertical)'!O:O&lt;&gt;"""",'Students (Vertical)'!P:P&gt;1)})&gt;1))),""""),"""")"),"")</f>
        <v/>
      </c>
      <c r="K876" s="358"/>
    </row>
    <row r="877">
      <c r="A877" s="300" t="s">
        <v>22</v>
      </c>
      <c r="C877" s="300" t="s">
        <v>22</v>
      </c>
      <c r="D877" s="300" t="s">
        <v>22</v>
      </c>
      <c r="F877" s="300" t="s">
        <v>22</v>
      </c>
      <c r="G877" s="300" t="s">
        <v>22</v>
      </c>
      <c r="I877" s="356" t="str">
        <f>IFERROR(__xludf.DUMMYFUNCTION("if(H877=""Must be Together"",iferror(join("", "",unique(filter({filter('Students (Vertical)'!O:O,'Students (Vertical)'!C:C=B877,'Students (Vertical)'!O:O&lt;&gt;"""");filter('Students (Vertical)'!O:O,'Students (Vertical)'!C:C=E877,'Students (Vertical)'!O:O&lt;&gt;"""&amp;""")},countifs({filter('Students (Vertical)'!O:O,'Students (Vertical)'!C:C=B877,'Students (Vertical)'!O:O&lt;&gt;"""");filter('Students (Vertical)'!O:O,'Students (Vertical)'!C:C=E877,'Students (Vertical)'!O:O&lt;&gt;"""")},{filter('Students (Vertical)'!O:O,'Students ("&amp;"Vertical)'!C:C=B877,'Students (Vertical)'!O:O&lt;&gt;"""");filter('Students (Vertical)'!O:O,'Students (Vertical)'!C:C=E877,'Students (Vertical)'!O:O&lt;&gt;"""")})&gt;1))),""No shared courses""),"""")"),"")</f>
        <v/>
      </c>
      <c r="J877" s="357" t="str">
        <f>IFERROR(__xludf.DUMMYFUNCTION("if(H877=""Can't be Together"",iferror(join("", "",unique(filter({filter('Students (Vertical)'!O:O,'Students (Vertical)'!C:C=B877,'Students (Vertical)'!O:O&lt;&gt;"""",'Students (Vertical)'!P:P&gt;1);filter('Students (Vertical)'!O:O,'Students (Vertical)'!C:C=E877,'"&amp;"Students (Vertical)'!O:O&lt;&gt;"""",'Students (Vertical)'!P:P&gt;1)},countifs({filter('Students (Vertical)'!O:O,'Students (Vertical)'!C:C=B877,'Students (Vertical)'!O:O&lt;&gt;"""",'Students (Vertical)'!P:P&gt;1);filter('Students (Vertical)'!O:O,'Students (Vertical)'!C:C="&amp;"E877,'Students (Vertical)'!O:O&lt;&gt;"""",'Students (Vertical)'!P:P&gt;1)},{filter('Students (Vertical)'!O:O,'Students (Vertical)'!C:C=B877,'Students (Vertical)'!O:O&lt;&gt;"""",'Students (Vertical)'!P:P&gt;1);filter('Students (Vertical)'!O:O,'Students (Vertical)'!C:C=E87"&amp;"7,'Students (Vertical)'!O:O&lt;&gt;"""",'Students (Vertical)'!P:P&gt;1)})&gt;1))),""""),"""")"),"")</f>
        <v/>
      </c>
      <c r="K877" s="358"/>
    </row>
    <row r="878">
      <c r="A878" s="300" t="s">
        <v>22</v>
      </c>
      <c r="C878" s="300" t="s">
        <v>22</v>
      </c>
      <c r="D878" s="300" t="s">
        <v>22</v>
      </c>
      <c r="F878" s="300" t="s">
        <v>22</v>
      </c>
      <c r="G878" s="300" t="s">
        <v>22</v>
      </c>
      <c r="I878" s="356" t="str">
        <f>IFERROR(__xludf.DUMMYFUNCTION("if(H878=""Must be Together"",iferror(join("", "",unique(filter({filter('Students (Vertical)'!O:O,'Students (Vertical)'!C:C=B878,'Students (Vertical)'!O:O&lt;&gt;"""");filter('Students (Vertical)'!O:O,'Students (Vertical)'!C:C=E878,'Students (Vertical)'!O:O&lt;&gt;"""&amp;""")},countifs({filter('Students (Vertical)'!O:O,'Students (Vertical)'!C:C=B878,'Students (Vertical)'!O:O&lt;&gt;"""");filter('Students (Vertical)'!O:O,'Students (Vertical)'!C:C=E878,'Students (Vertical)'!O:O&lt;&gt;"""")},{filter('Students (Vertical)'!O:O,'Students ("&amp;"Vertical)'!C:C=B878,'Students (Vertical)'!O:O&lt;&gt;"""");filter('Students (Vertical)'!O:O,'Students (Vertical)'!C:C=E878,'Students (Vertical)'!O:O&lt;&gt;"""")})&gt;1))),""No shared courses""),"""")"),"")</f>
        <v/>
      </c>
      <c r="J878" s="357" t="str">
        <f>IFERROR(__xludf.DUMMYFUNCTION("if(H878=""Can't be Together"",iferror(join("", "",unique(filter({filter('Students (Vertical)'!O:O,'Students (Vertical)'!C:C=B878,'Students (Vertical)'!O:O&lt;&gt;"""",'Students (Vertical)'!P:P&gt;1);filter('Students (Vertical)'!O:O,'Students (Vertical)'!C:C=E878,'"&amp;"Students (Vertical)'!O:O&lt;&gt;"""",'Students (Vertical)'!P:P&gt;1)},countifs({filter('Students (Vertical)'!O:O,'Students (Vertical)'!C:C=B878,'Students (Vertical)'!O:O&lt;&gt;"""",'Students (Vertical)'!P:P&gt;1);filter('Students (Vertical)'!O:O,'Students (Vertical)'!C:C="&amp;"E878,'Students (Vertical)'!O:O&lt;&gt;"""",'Students (Vertical)'!P:P&gt;1)},{filter('Students (Vertical)'!O:O,'Students (Vertical)'!C:C=B878,'Students (Vertical)'!O:O&lt;&gt;"""",'Students (Vertical)'!P:P&gt;1);filter('Students (Vertical)'!O:O,'Students (Vertical)'!C:C=E87"&amp;"8,'Students (Vertical)'!O:O&lt;&gt;"""",'Students (Vertical)'!P:P&gt;1)})&gt;1))),""""),"""")"),"")</f>
        <v/>
      </c>
      <c r="K878" s="358"/>
    </row>
    <row r="879">
      <c r="A879" s="300" t="s">
        <v>22</v>
      </c>
      <c r="C879" s="300" t="s">
        <v>22</v>
      </c>
      <c r="D879" s="300" t="s">
        <v>22</v>
      </c>
      <c r="F879" s="300" t="s">
        <v>22</v>
      </c>
      <c r="G879" s="300" t="s">
        <v>22</v>
      </c>
      <c r="I879" s="356" t="str">
        <f>IFERROR(__xludf.DUMMYFUNCTION("if(H879=""Must be Together"",iferror(join("", "",unique(filter({filter('Students (Vertical)'!O:O,'Students (Vertical)'!C:C=B879,'Students (Vertical)'!O:O&lt;&gt;"""");filter('Students (Vertical)'!O:O,'Students (Vertical)'!C:C=E879,'Students (Vertical)'!O:O&lt;&gt;"""&amp;""")},countifs({filter('Students (Vertical)'!O:O,'Students (Vertical)'!C:C=B879,'Students (Vertical)'!O:O&lt;&gt;"""");filter('Students (Vertical)'!O:O,'Students (Vertical)'!C:C=E879,'Students (Vertical)'!O:O&lt;&gt;"""")},{filter('Students (Vertical)'!O:O,'Students ("&amp;"Vertical)'!C:C=B879,'Students (Vertical)'!O:O&lt;&gt;"""");filter('Students (Vertical)'!O:O,'Students (Vertical)'!C:C=E879,'Students (Vertical)'!O:O&lt;&gt;"""")})&gt;1))),""No shared courses""),"""")"),"")</f>
        <v/>
      </c>
      <c r="J879" s="357" t="str">
        <f>IFERROR(__xludf.DUMMYFUNCTION("if(H879=""Can't be Together"",iferror(join("", "",unique(filter({filter('Students (Vertical)'!O:O,'Students (Vertical)'!C:C=B879,'Students (Vertical)'!O:O&lt;&gt;"""",'Students (Vertical)'!P:P&gt;1);filter('Students (Vertical)'!O:O,'Students (Vertical)'!C:C=E879,'"&amp;"Students (Vertical)'!O:O&lt;&gt;"""",'Students (Vertical)'!P:P&gt;1)},countifs({filter('Students (Vertical)'!O:O,'Students (Vertical)'!C:C=B879,'Students (Vertical)'!O:O&lt;&gt;"""",'Students (Vertical)'!P:P&gt;1);filter('Students (Vertical)'!O:O,'Students (Vertical)'!C:C="&amp;"E879,'Students (Vertical)'!O:O&lt;&gt;"""",'Students (Vertical)'!P:P&gt;1)},{filter('Students (Vertical)'!O:O,'Students (Vertical)'!C:C=B879,'Students (Vertical)'!O:O&lt;&gt;"""",'Students (Vertical)'!P:P&gt;1);filter('Students (Vertical)'!O:O,'Students (Vertical)'!C:C=E87"&amp;"9,'Students (Vertical)'!O:O&lt;&gt;"""",'Students (Vertical)'!P:P&gt;1)})&gt;1))),""""),"""")"),"")</f>
        <v/>
      </c>
      <c r="K879" s="358"/>
    </row>
    <row r="880">
      <c r="A880" s="300" t="s">
        <v>22</v>
      </c>
      <c r="C880" s="300" t="s">
        <v>22</v>
      </c>
      <c r="D880" s="300" t="s">
        <v>22</v>
      </c>
      <c r="F880" s="300" t="s">
        <v>22</v>
      </c>
      <c r="G880" s="300" t="s">
        <v>22</v>
      </c>
      <c r="I880" s="356" t="str">
        <f>IFERROR(__xludf.DUMMYFUNCTION("if(H880=""Must be Together"",iferror(join("", "",unique(filter({filter('Students (Vertical)'!O:O,'Students (Vertical)'!C:C=B880,'Students (Vertical)'!O:O&lt;&gt;"""");filter('Students (Vertical)'!O:O,'Students (Vertical)'!C:C=E880,'Students (Vertical)'!O:O&lt;&gt;"""&amp;""")},countifs({filter('Students (Vertical)'!O:O,'Students (Vertical)'!C:C=B880,'Students (Vertical)'!O:O&lt;&gt;"""");filter('Students (Vertical)'!O:O,'Students (Vertical)'!C:C=E880,'Students (Vertical)'!O:O&lt;&gt;"""")},{filter('Students (Vertical)'!O:O,'Students ("&amp;"Vertical)'!C:C=B880,'Students (Vertical)'!O:O&lt;&gt;"""");filter('Students (Vertical)'!O:O,'Students (Vertical)'!C:C=E880,'Students (Vertical)'!O:O&lt;&gt;"""")})&gt;1))),""No shared courses""),"""")"),"")</f>
        <v/>
      </c>
      <c r="J880" s="357" t="str">
        <f>IFERROR(__xludf.DUMMYFUNCTION("if(H880=""Can't be Together"",iferror(join("", "",unique(filter({filter('Students (Vertical)'!O:O,'Students (Vertical)'!C:C=B880,'Students (Vertical)'!O:O&lt;&gt;"""",'Students (Vertical)'!P:P&gt;1);filter('Students (Vertical)'!O:O,'Students (Vertical)'!C:C=E880,'"&amp;"Students (Vertical)'!O:O&lt;&gt;"""",'Students (Vertical)'!P:P&gt;1)},countifs({filter('Students (Vertical)'!O:O,'Students (Vertical)'!C:C=B880,'Students (Vertical)'!O:O&lt;&gt;"""",'Students (Vertical)'!P:P&gt;1);filter('Students (Vertical)'!O:O,'Students (Vertical)'!C:C="&amp;"E880,'Students (Vertical)'!O:O&lt;&gt;"""",'Students (Vertical)'!P:P&gt;1)},{filter('Students (Vertical)'!O:O,'Students (Vertical)'!C:C=B880,'Students (Vertical)'!O:O&lt;&gt;"""",'Students (Vertical)'!P:P&gt;1);filter('Students (Vertical)'!O:O,'Students (Vertical)'!C:C=E88"&amp;"0,'Students (Vertical)'!O:O&lt;&gt;"""",'Students (Vertical)'!P:P&gt;1)})&gt;1))),""""),"""")"),"")</f>
        <v/>
      </c>
      <c r="K880" s="358"/>
    </row>
    <row r="881">
      <c r="A881" s="300" t="s">
        <v>22</v>
      </c>
      <c r="C881" s="300" t="s">
        <v>22</v>
      </c>
      <c r="D881" s="300" t="s">
        <v>22</v>
      </c>
      <c r="F881" s="300" t="s">
        <v>22</v>
      </c>
      <c r="G881" s="300" t="s">
        <v>22</v>
      </c>
      <c r="I881" s="356" t="str">
        <f>IFERROR(__xludf.DUMMYFUNCTION("if(H881=""Must be Together"",iferror(join("", "",unique(filter({filter('Students (Vertical)'!O:O,'Students (Vertical)'!C:C=B881,'Students (Vertical)'!O:O&lt;&gt;"""");filter('Students (Vertical)'!O:O,'Students (Vertical)'!C:C=E881,'Students (Vertical)'!O:O&lt;&gt;"""&amp;""")},countifs({filter('Students (Vertical)'!O:O,'Students (Vertical)'!C:C=B881,'Students (Vertical)'!O:O&lt;&gt;"""");filter('Students (Vertical)'!O:O,'Students (Vertical)'!C:C=E881,'Students (Vertical)'!O:O&lt;&gt;"""")},{filter('Students (Vertical)'!O:O,'Students ("&amp;"Vertical)'!C:C=B881,'Students (Vertical)'!O:O&lt;&gt;"""");filter('Students (Vertical)'!O:O,'Students (Vertical)'!C:C=E881,'Students (Vertical)'!O:O&lt;&gt;"""")})&gt;1))),""No shared courses""),"""")"),"")</f>
        <v/>
      </c>
      <c r="J881" s="357" t="str">
        <f>IFERROR(__xludf.DUMMYFUNCTION("if(H881=""Can't be Together"",iferror(join("", "",unique(filter({filter('Students (Vertical)'!O:O,'Students (Vertical)'!C:C=B881,'Students (Vertical)'!O:O&lt;&gt;"""",'Students (Vertical)'!P:P&gt;1);filter('Students (Vertical)'!O:O,'Students (Vertical)'!C:C=E881,'"&amp;"Students (Vertical)'!O:O&lt;&gt;"""",'Students (Vertical)'!P:P&gt;1)},countifs({filter('Students (Vertical)'!O:O,'Students (Vertical)'!C:C=B881,'Students (Vertical)'!O:O&lt;&gt;"""",'Students (Vertical)'!P:P&gt;1);filter('Students (Vertical)'!O:O,'Students (Vertical)'!C:C="&amp;"E881,'Students (Vertical)'!O:O&lt;&gt;"""",'Students (Vertical)'!P:P&gt;1)},{filter('Students (Vertical)'!O:O,'Students (Vertical)'!C:C=B881,'Students (Vertical)'!O:O&lt;&gt;"""",'Students (Vertical)'!P:P&gt;1);filter('Students (Vertical)'!O:O,'Students (Vertical)'!C:C=E88"&amp;"1,'Students (Vertical)'!O:O&lt;&gt;"""",'Students (Vertical)'!P:P&gt;1)})&gt;1))),""""),"""")"),"")</f>
        <v/>
      </c>
      <c r="K881" s="358"/>
    </row>
    <row r="882">
      <c r="A882" s="300" t="s">
        <v>22</v>
      </c>
      <c r="C882" s="300" t="s">
        <v>22</v>
      </c>
      <c r="D882" s="300" t="s">
        <v>22</v>
      </c>
      <c r="F882" s="300" t="s">
        <v>22</v>
      </c>
      <c r="G882" s="300" t="s">
        <v>22</v>
      </c>
      <c r="I882" s="356" t="str">
        <f>IFERROR(__xludf.DUMMYFUNCTION("if(H882=""Must be Together"",iferror(join("", "",unique(filter({filter('Students (Vertical)'!O:O,'Students (Vertical)'!C:C=B882,'Students (Vertical)'!O:O&lt;&gt;"""");filter('Students (Vertical)'!O:O,'Students (Vertical)'!C:C=E882,'Students (Vertical)'!O:O&lt;&gt;"""&amp;""")},countifs({filter('Students (Vertical)'!O:O,'Students (Vertical)'!C:C=B882,'Students (Vertical)'!O:O&lt;&gt;"""");filter('Students (Vertical)'!O:O,'Students (Vertical)'!C:C=E882,'Students (Vertical)'!O:O&lt;&gt;"""")},{filter('Students (Vertical)'!O:O,'Students ("&amp;"Vertical)'!C:C=B882,'Students (Vertical)'!O:O&lt;&gt;"""");filter('Students (Vertical)'!O:O,'Students (Vertical)'!C:C=E882,'Students (Vertical)'!O:O&lt;&gt;"""")})&gt;1))),""No shared courses""),"""")"),"")</f>
        <v/>
      </c>
      <c r="J882" s="357" t="str">
        <f>IFERROR(__xludf.DUMMYFUNCTION("if(H882=""Can't be Together"",iferror(join("", "",unique(filter({filter('Students (Vertical)'!O:O,'Students (Vertical)'!C:C=B882,'Students (Vertical)'!O:O&lt;&gt;"""",'Students (Vertical)'!P:P&gt;1);filter('Students (Vertical)'!O:O,'Students (Vertical)'!C:C=E882,'"&amp;"Students (Vertical)'!O:O&lt;&gt;"""",'Students (Vertical)'!P:P&gt;1)},countifs({filter('Students (Vertical)'!O:O,'Students (Vertical)'!C:C=B882,'Students (Vertical)'!O:O&lt;&gt;"""",'Students (Vertical)'!P:P&gt;1);filter('Students (Vertical)'!O:O,'Students (Vertical)'!C:C="&amp;"E882,'Students (Vertical)'!O:O&lt;&gt;"""",'Students (Vertical)'!P:P&gt;1)},{filter('Students (Vertical)'!O:O,'Students (Vertical)'!C:C=B882,'Students (Vertical)'!O:O&lt;&gt;"""",'Students (Vertical)'!P:P&gt;1);filter('Students (Vertical)'!O:O,'Students (Vertical)'!C:C=E88"&amp;"2,'Students (Vertical)'!O:O&lt;&gt;"""",'Students (Vertical)'!P:P&gt;1)})&gt;1))),""""),"""")"),"")</f>
        <v/>
      </c>
      <c r="K882" s="358"/>
    </row>
    <row r="883">
      <c r="A883" s="300" t="s">
        <v>22</v>
      </c>
      <c r="C883" s="300" t="s">
        <v>22</v>
      </c>
      <c r="D883" s="300" t="s">
        <v>22</v>
      </c>
      <c r="F883" s="300" t="s">
        <v>22</v>
      </c>
      <c r="G883" s="300" t="s">
        <v>22</v>
      </c>
      <c r="I883" s="356" t="str">
        <f>IFERROR(__xludf.DUMMYFUNCTION("if(H883=""Must be Together"",iferror(join("", "",unique(filter({filter('Students (Vertical)'!O:O,'Students (Vertical)'!C:C=B883,'Students (Vertical)'!O:O&lt;&gt;"""");filter('Students (Vertical)'!O:O,'Students (Vertical)'!C:C=E883,'Students (Vertical)'!O:O&lt;&gt;"""&amp;""")},countifs({filter('Students (Vertical)'!O:O,'Students (Vertical)'!C:C=B883,'Students (Vertical)'!O:O&lt;&gt;"""");filter('Students (Vertical)'!O:O,'Students (Vertical)'!C:C=E883,'Students (Vertical)'!O:O&lt;&gt;"""")},{filter('Students (Vertical)'!O:O,'Students ("&amp;"Vertical)'!C:C=B883,'Students (Vertical)'!O:O&lt;&gt;"""");filter('Students (Vertical)'!O:O,'Students (Vertical)'!C:C=E883,'Students (Vertical)'!O:O&lt;&gt;"""")})&gt;1))),""No shared courses""),"""")"),"")</f>
        <v/>
      </c>
      <c r="J883" s="357" t="str">
        <f>IFERROR(__xludf.DUMMYFUNCTION("if(H883=""Can't be Together"",iferror(join("", "",unique(filter({filter('Students (Vertical)'!O:O,'Students (Vertical)'!C:C=B883,'Students (Vertical)'!O:O&lt;&gt;"""",'Students (Vertical)'!P:P&gt;1);filter('Students (Vertical)'!O:O,'Students (Vertical)'!C:C=E883,'"&amp;"Students (Vertical)'!O:O&lt;&gt;"""",'Students (Vertical)'!P:P&gt;1)},countifs({filter('Students (Vertical)'!O:O,'Students (Vertical)'!C:C=B883,'Students (Vertical)'!O:O&lt;&gt;"""",'Students (Vertical)'!P:P&gt;1);filter('Students (Vertical)'!O:O,'Students (Vertical)'!C:C="&amp;"E883,'Students (Vertical)'!O:O&lt;&gt;"""",'Students (Vertical)'!P:P&gt;1)},{filter('Students (Vertical)'!O:O,'Students (Vertical)'!C:C=B883,'Students (Vertical)'!O:O&lt;&gt;"""",'Students (Vertical)'!P:P&gt;1);filter('Students (Vertical)'!O:O,'Students (Vertical)'!C:C=E88"&amp;"3,'Students (Vertical)'!O:O&lt;&gt;"""",'Students (Vertical)'!P:P&gt;1)})&gt;1))),""""),"""")"),"")</f>
        <v/>
      </c>
      <c r="K883" s="358"/>
    </row>
    <row r="884">
      <c r="A884" s="300" t="s">
        <v>22</v>
      </c>
      <c r="C884" s="300" t="s">
        <v>22</v>
      </c>
      <c r="D884" s="300" t="s">
        <v>22</v>
      </c>
      <c r="F884" s="300" t="s">
        <v>22</v>
      </c>
      <c r="G884" s="300" t="s">
        <v>22</v>
      </c>
      <c r="I884" s="356" t="str">
        <f>IFERROR(__xludf.DUMMYFUNCTION("if(H884=""Must be Together"",iferror(join("", "",unique(filter({filter('Students (Vertical)'!O:O,'Students (Vertical)'!C:C=B884,'Students (Vertical)'!O:O&lt;&gt;"""");filter('Students (Vertical)'!O:O,'Students (Vertical)'!C:C=E884,'Students (Vertical)'!O:O&lt;&gt;"""&amp;""")},countifs({filter('Students (Vertical)'!O:O,'Students (Vertical)'!C:C=B884,'Students (Vertical)'!O:O&lt;&gt;"""");filter('Students (Vertical)'!O:O,'Students (Vertical)'!C:C=E884,'Students (Vertical)'!O:O&lt;&gt;"""")},{filter('Students (Vertical)'!O:O,'Students ("&amp;"Vertical)'!C:C=B884,'Students (Vertical)'!O:O&lt;&gt;"""");filter('Students (Vertical)'!O:O,'Students (Vertical)'!C:C=E884,'Students (Vertical)'!O:O&lt;&gt;"""")})&gt;1))),""No shared courses""),"""")"),"")</f>
        <v/>
      </c>
      <c r="J884" s="357" t="str">
        <f>IFERROR(__xludf.DUMMYFUNCTION("if(H884=""Can't be Together"",iferror(join("", "",unique(filter({filter('Students (Vertical)'!O:O,'Students (Vertical)'!C:C=B884,'Students (Vertical)'!O:O&lt;&gt;"""",'Students (Vertical)'!P:P&gt;1);filter('Students (Vertical)'!O:O,'Students (Vertical)'!C:C=E884,'"&amp;"Students (Vertical)'!O:O&lt;&gt;"""",'Students (Vertical)'!P:P&gt;1)},countifs({filter('Students (Vertical)'!O:O,'Students (Vertical)'!C:C=B884,'Students (Vertical)'!O:O&lt;&gt;"""",'Students (Vertical)'!P:P&gt;1);filter('Students (Vertical)'!O:O,'Students (Vertical)'!C:C="&amp;"E884,'Students (Vertical)'!O:O&lt;&gt;"""",'Students (Vertical)'!P:P&gt;1)},{filter('Students (Vertical)'!O:O,'Students (Vertical)'!C:C=B884,'Students (Vertical)'!O:O&lt;&gt;"""",'Students (Vertical)'!P:P&gt;1);filter('Students (Vertical)'!O:O,'Students (Vertical)'!C:C=E88"&amp;"4,'Students (Vertical)'!O:O&lt;&gt;"""",'Students (Vertical)'!P:P&gt;1)})&gt;1))),""""),"""")"),"")</f>
        <v/>
      </c>
      <c r="K884" s="358"/>
    </row>
    <row r="885">
      <c r="A885" s="300" t="s">
        <v>22</v>
      </c>
      <c r="C885" s="300" t="s">
        <v>22</v>
      </c>
      <c r="D885" s="300" t="s">
        <v>22</v>
      </c>
      <c r="F885" s="300" t="s">
        <v>22</v>
      </c>
      <c r="G885" s="300" t="s">
        <v>22</v>
      </c>
      <c r="I885" s="356" t="str">
        <f>IFERROR(__xludf.DUMMYFUNCTION("if(H885=""Must be Together"",iferror(join("", "",unique(filter({filter('Students (Vertical)'!O:O,'Students (Vertical)'!C:C=B885,'Students (Vertical)'!O:O&lt;&gt;"""");filter('Students (Vertical)'!O:O,'Students (Vertical)'!C:C=E885,'Students (Vertical)'!O:O&lt;&gt;"""&amp;""")},countifs({filter('Students (Vertical)'!O:O,'Students (Vertical)'!C:C=B885,'Students (Vertical)'!O:O&lt;&gt;"""");filter('Students (Vertical)'!O:O,'Students (Vertical)'!C:C=E885,'Students (Vertical)'!O:O&lt;&gt;"""")},{filter('Students (Vertical)'!O:O,'Students ("&amp;"Vertical)'!C:C=B885,'Students (Vertical)'!O:O&lt;&gt;"""");filter('Students (Vertical)'!O:O,'Students (Vertical)'!C:C=E885,'Students (Vertical)'!O:O&lt;&gt;"""")})&gt;1))),""No shared courses""),"""")"),"")</f>
        <v/>
      </c>
      <c r="J885" s="357" t="str">
        <f>IFERROR(__xludf.DUMMYFUNCTION("if(H885=""Can't be Together"",iferror(join("", "",unique(filter({filter('Students (Vertical)'!O:O,'Students (Vertical)'!C:C=B885,'Students (Vertical)'!O:O&lt;&gt;"""",'Students (Vertical)'!P:P&gt;1);filter('Students (Vertical)'!O:O,'Students (Vertical)'!C:C=E885,'"&amp;"Students (Vertical)'!O:O&lt;&gt;"""",'Students (Vertical)'!P:P&gt;1)},countifs({filter('Students (Vertical)'!O:O,'Students (Vertical)'!C:C=B885,'Students (Vertical)'!O:O&lt;&gt;"""",'Students (Vertical)'!P:P&gt;1);filter('Students (Vertical)'!O:O,'Students (Vertical)'!C:C="&amp;"E885,'Students (Vertical)'!O:O&lt;&gt;"""",'Students (Vertical)'!P:P&gt;1)},{filter('Students (Vertical)'!O:O,'Students (Vertical)'!C:C=B885,'Students (Vertical)'!O:O&lt;&gt;"""",'Students (Vertical)'!P:P&gt;1);filter('Students (Vertical)'!O:O,'Students (Vertical)'!C:C=E88"&amp;"5,'Students (Vertical)'!O:O&lt;&gt;"""",'Students (Vertical)'!P:P&gt;1)})&gt;1))),""""),"""")"),"")</f>
        <v/>
      </c>
      <c r="K885" s="358"/>
    </row>
    <row r="886">
      <c r="A886" s="300" t="s">
        <v>22</v>
      </c>
      <c r="C886" s="300" t="s">
        <v>22</v>
      </c>
      <c r="D886" s="300" t="s">
        <v>22</v>
      </c>
      <c r="F886" s="300" t="s">
        <v>22</v>
      </c>
      <c r="G886" s="300" t="s">
        <v>22</v>
      </c>
      <c r="I886" s="356" t="str">
        <f>IFERROR(__xludf.DUMMYFUNCTION("if(H886=""Must be Together"",iferror(join("", "",unique(filter({filter('Students (Vertical)'!O:O,'Students (Vertical)'!C:C=B886,'Students (Vertical)'!O:O&lt;&gt;"""");filter('Students (Vertical)'!O:O,'Students (Vertical)'!C:C=E886,'Students (Vertical)'!O:O&lt;&gt;"""&amp;""")},countifs({filter('Students (Vertical)'!O:O,'Students (Vertical)'!C:C=B886,'Students (Vertical)'!O:O&lt;&gt;"""");filter('Students (Vertical)'!O:O,'Students (Vertical)'!C:C=E886,'Students (Vertical)'!O:O&lt;&gt;"""")},{filter('Students (Vertical)'!O:O,'Students ("&amp;"Vertical)'!C:C=B886,'Students (Vertical)'!O:O&lt;&gt;"""");filter('Students (Vertical)'!O:O,'Students (Vertical)'!C:C=E886,'Students (Vertical)'!O:O&lt;&gt;"""")})&gt;1))),""No shared courses""),"""")"),"")</f>
        <v/>
      </c>
      <c r="J886" s="357" t="str">
        <f>IFERROR(__xludf.DUMMYFUNCTION("if(H886=""Can't be Together"",iferror(join("", "",unique(filter({filter('Students (Vertical)'!O:O,'Students (Vertical)'!C:C=B886,'Students (Vertical)'!O:O&lt;&gt;"""",'Students (Vertical)'!P:P&gt;1);filter('Students (Vertical)'!O:O,'Students (Vertical)'!C:C=E886,'"&amp;"Students (Vertical)'!O:O&lt;&gt;"""",'Students (Vertical)'!P:P&gt;1)},countifs({filter('Students (Vertical)'!O:O,'Students (Vertical)'!C:C=B886,'Students (Vertical)'!O:O&lt;&gt;"""",'Students (Vertical)'!P:P&gt;1);filter('Students (Vertical)'!O:O,'Students (Vertical)'!C:C="&amp;"E886,'Students (Vertical)'!O:O&lt;&gt;"""",'Students (Vertical)'!P:P&gt;1)},{filter('Students (Vertical)'!O:O,'Students (Vertical)'!C:C=B886,'Students (Vertical)'!O:O&lt;&gt;"""",'Students (Vertical)'!P:P&gt;1);filter('Students (Vertical)'!O:O,'Students (Vertical)'!C:C=E88"&amp;"6,'Students (Vertical)'!O:O&lt;&gt;"""",'Students (Vertical)'!P:P&gt;1)})&gt;1))),""""),"""")"),"")</f>
        <v/>
      </c>
      <c r="K886" s="358"/>
    </row>
    <row r="887">
      <c r="A887" s="300" t="s">
        <v>22</v>
      </c>
      <c r="C887" s="300" t="s">
        <v>22</v>
      </c>
      <c r="D887" s="300" t="s">
        <v>22</v>
      </c>
      <c r="F887" s="300" t="s">
        <v>22</v>
      </c>
      <c r="G887" s="300" t="s">
        <v>22</v>
      </c>
      <c r="I887" s="356" t="str">
        <f>IFERROR(__xludf.DUMMYFUNCTION("if(H887=""Must be Together"",iferror(join("", "",unique(filter({filter('Students (Vertical)'!O:O,'Students (Vertical)'!C:C=B887,'Students (Vertical)'!O:O&lt;&gt;"""");filter('Students (Vertical)'!O:O,'Students (Vertical)'!C:C=E887,'Students (Vertical)'!O:O&lt;&gt;"""&amp;""")},countifs({filter('Students (Vertical)'!O:O,'Students (Vertical)'!C:C=B887,'Students (Vertical)'!O:O&lt;&gt;"""");filter('Students (Vertical)'!O:O,'Students (Vertical)'!C:C=E887,'Students (Vertical)'!O:O&lt;&gt;"""")},{filter('Students (Vertical)'!O:O,'Students ("&amp;"Vertical)'!C:C=B887,'Students (Vertical)'!O:O&lt;&gt;"""");filter('Students (Vertical)'!O:O,'Students (Vertical)'!C:C=E887,'Students (Vertical)'!O:O&lt;&gt;"""")})&gt;1))),""No shared courses""),"""")"),"")</f>
        <v/>
      </c>
      <c r="J887" s="357" t="str">
        <f>IFERROR(__xludf.DUMMYFUNCTION("if(H887=""Can't be Together"",iferror(join("", "",unique(filter({filter('Students (Vertical)'!O:O,'Students (Vertical)'!C:C=B887,'Students (Vertical)'!O:O&lt;&gt;"""",'Students (Vertical)'!P:P&gt;1);filter('Students (Vertical)'!O:O,'Students (Vertical)'!C:C=E887,'"&amp;"Students (Vertical)'!O:O&lt;&gt;"""",'Students (Vertical)'!P:P&gt;1)},countifs({filter('Students (Vertical)'!O:O,'Students (Vertical)'!C:C=B887,'Students (Vertical)'!O:O&lt;&gt;"""",'Students (Vertical)'!P:P&gt;1);filter('Students (Vertical)'!O:O,'Students (Vertical)'!C:C="&amp;"E887,'Students (Vertical)'!O:O&lt;&gt;"""",'Students (Vertical)'!P:P&gt;1)},{filter('Students (Vertical)'!O:O,'Students (Vertical)'!C:C=B887,'Students (Vertical)'!O:O&lt;&gt;"""",'Students (Vertical)'!P:P&gt;1);filter('Students (Vertical)'!O:O,'Students (Vertical)'!C:C=E88"&amp;"7,'Students (Vertical)'!O:O&lt;&gt;"""",'Students (Vertical)'!P:P&gt;1)})&gt;1))),""""),"""")"),"")</f>
        <v/>
      </c>
      <c r="K887" s="358"/>
    </row>
    <row r="888">
      <c r="A888" s="300" t="s">
        <v>22</v>
      </c>
      <c r="C888" s="300" t="s">
        <v>22</v>
      </c>
      <c r="D888" s="300" t="s">
        <v>22</v>
      </c>
      <c r="F888" s="300" t="s">
        <v>22</v>
      </c>
      <c r="G888" s="300" t="s">
        <v>22</v>
      </c>
      <c r="I888" s="356" t="str">
        <f>IFERROR(__xludf.DUMMYFUNCTION("if(H888=""Must be Together"",iferror(join("", "",unique(filter({filter('Students (Vertical)'!O:O,'Students (Vertical)'!C:C=B888,'Students (Vertical)'!O:O&lt;&gt;"""");filter('Students (Vertical)'!O:O,'Students (Vertical)'!C:C=E888,'Students (Vertical)'!O:O&lt;&gt;"""&amp;""")},countifs({filter('Students (Vertical)'!O:O,'Students (Vertical)'!C:C=B888,'Students (Vertical)'!O:O&lt;&gt;"""");filter('Students (Vertical)'!O:O,'Students (Vertical)'!C:C=E888,'Students (Vertical)'!O:O&lt;&gt;"""")},{filter('Students (Vertical)'!O:O,'Students ("&amp;"Vertical)'!C:C=B888,'Students (Vertical)'!O:O&lt;&gt;"""");filter('Students (Vertical)'!O:O,'Students (Vertical)'!C:C=E888,'Students (Vertical)'!O:O&lt;&gt;"""")})&gt;1))),""No shared courses""),"""")"),"")</f>
        <v/>
      </c>
      <c r="J888" s="357" t="str">
        <f>IFERROR(__xludf.DUMMYFUNCTION("if(H888=""Can't be Together"",iferror(join("", "",unique(filter({filter('Students (Vertical)'!O:O,'Students (Vertical)'!C:C=B888,'Students (Vertical)'!O:O&lt;&gt;"""",'Students (Vertical)'!P:P&gt;1);filter('Students (Vertical)'!O:O,'Students (Vertical)'!C:C=E888,'"&amp;"Students (Vertical)'!O:O&lt;&gt;"""",'Students (Vertical)'!P:P&gt;1)},countifs({filter('Students (Vertical)'!O:O,'Students (Vertical)'!C:C=B888,'Students (Vertical)'!O:O&lt;&gt;"""",'Students (Vertical)'!P:P&gt;1);filter('Students (Vertical)'!O:O,'Students (Vertical)'!C:C="&amp;"E888,'Students (Vertical)'!O:O&lt;&gt;"""",'Students (Vertical)'!P:P&gt;1)},{filter('Students (Vertical)'!O:O,'Students (Vertical)'!C:C=B888,'Students (Vertical)'!O:O&lt;&gt;"""",'Students (Vertical)'!P:P&gt;1);filter('Students (Vertical)'!O:O,'Students (Vertical)'!C:C=E88"&amp;"8,'Students (Vertical)'!O:O&lt;&gt;"""",'Students (Vertical)'!P:P&gt;1)})&gt;1))),""""),"""")"),"")</f>
        <v/>
      </c>
      <c r="K888" s="358"/>
    </row>
    <row r="889">
      <c r="A889" s="300" t="s">
        <v>22</v>
      </c>
      <c r="C889" s="300" t="s">
        <v>22</v>
      </c>
      <c r="D889" s="300" t="s">
        <v>22</v>
      </c>
      <c r="F889" s="300" t="s">
        <v>22</v>
      </c>
      <c r="G889" s="300" t="s">
        <v>22</v>
      </c>
      <c r="I889" s="356" t="str">
        <f>IFERROR(__xludf.DUMMYFUNCTION("if(H889=""Must be Together"",iferror(join("", "",unique(filter({filter('Students (Vertical)'!O:O,'Students (Vertical)'!C:C=B889,'Students (Vertical)'!O:O&lt;&gt;"""");filter('Students (Vertical)'!O:O,'Students (Vertical)'!C:C=E889,'Students (Vertical)'!O:O&lt;&gt;"""&amp;""")},countifs({filter('Students (Vertical)'!O:O,'Students (Vertical)'!C:C=B889,'Students (Vertical)'!O:O&lt;&gt;"""");filter('Students (Vertical)'!O:O,'Students (Vertical)'!C:C=E889,'Students (Vertical)'!O:O&lt;&gt;"""")},{filter('Students (Vertical)'!O:O,'Students ("&amp;"Vertical)'!C:C=B889,'Students (Vertical)'!O:O&lt;&gt;"""");filter('Students (Vertical)'!O:O,'Students (Vertical)'!C:C=E889,'Students (Vertical)'!O:O&lt;&gt;"""")})&gt;1))),""No shared courses""),"""")"),"")</f>
        <v/>
      </c>
      <c r="J889" s="357" t="str">
        <f>IFERROR(__xludf.DUMMYFUNCTION("if(H889=""Can't be Together"",iferror(join("", "",unique(filter({filter('Students (Vertical)'!O:O,'Students (Vertical)'!C:C=B889,'Students (Vertical)'!O:O&lt;&gt;"""",'Students (Vertical)'!P:P&gt;1);filter('Students (Vertical)'!O:O,'Students (Vertical)'!C:C=E889,'"&amp;"Students (Vertical)'!O:O&lt;&gt;"""",'Students (Vertical)'!P:P&gt;1)},countifs({filter('Students (Vertical)'!O:O,'Students (Vertical)'!C:C=B889,'Students (Vertical)'!O:O&lt;&gt;"""",'Students (Vertical)'!P:P&gt;1);filter('Students (Vertical)'!O:O,'Students (Vertical)'!C:C="&amp;"E889,'Students (Vertical)'!O:O&lt;&gt;"""",'Students (Vertical)'!P:P&gt;1)},{filter('Students (Vertical)'!O:O,'Students (Vertical)'!C:C=B889,'Students (Vertical)'!O:O&lt;&gt;"""",'Students (Vertical)'!P:P&gt;1);filter('Students (Vertical)'!O:O,'Students (Vertical)'!C:C=E88"&amp;"9,'Students (Vertical)'!O:O&lt;&gt;"""",'Students (Vertical)'!P:P&gt;1)})&gt;1))),""""),"""")"),"")</f>
        <v/>
      </c>
      <c r="K889" s="358"/>
    </row>
    <row r="890">
      <c r="A890" s="300" t="s">
        <v>22</v>
      </c>
      <c r="C890" s="300" t="s">
        <v>22</v>
      </c>
      <c r="D890" s="300" t="s">
        <v>22</v>
      </c>
      <c r="F890" s="300" t="s">
        <v>22</v>
      </c>
      <c r="G890" s="300" t="s">
        <v>22</v>
      </c>
      <c r="I890" s="356" t="str">
        <f>IFERROR(__xludf.DUMMYFUNCTION("if(H890=""Must be Together"",iferror(join("", "",unique(filter({filter('Students (Vertical)'!O:O,'Students (Vertical)'!C:C=B890,'Students (Vertical)'!O:O&lt;&gt;"""");filter('Students (Vertical)'!O:O,'Students (Vertical)'!C:C=E890,'Students (Vertical)'!O:O&lt;&gt;"""&amp;""")},countifs({filter('Students (Vertical)'!O:O,'Students (Vertical)'!C:C=B890,'Students (Vertical)'!O:O&lt;&gt;"""");filter('Students (Vertical)'!O:O,'Students (Vertical)'!C:C=E890,'Students (Vertical)'!O:O&lt;&gt;"""")},{filter('Students (Vertical)'!O:O,'Students ("&amp;"Vertical)'!C:C=B890,'Students (Vertical)'!O:O&lt;&gt;"""");filter('Students (Vertical)'!O:O,'Students (Vertical)'!C:C=E890,'Students (Vertical)'!O:O&lt;&gt;"""")})&gt;1))),""No shared courses""),"""")"),"")</f>
        <v/>
      </c>
      <c r="J890" s="357" t="str">
        <f>IFERROR(__xludf.DUMMYFUNCTION("if(H890=""Can't be Together"",iferror(join("", "",unique(filter({filter('Students (Vertical)'!O:O,'Students (Vertical)'!C:C=B890,'Students (Vertical)'!O:O&lt;&gt;"""",'Students (Vertical)'!P:P&gt;1);filter('Students (Vertical)'!O:O,'Students (Vertical)'!C:C=E890,'"&amp;"Students (Vertical)'!O:O&lt;&gt;"""",'Students (Vertical)'!P:P&gt;1)},countifs({filter('Students (Vertical)'!O:O,'Students (Vertical)'!C:C=B890,'Students (Vertical)'!O:O&lt;&gt;"""",'Students (Vertical)'!P:P&gt;1);filter('Students (Vertical)'!O:O,'Students (Vertical)'!C:C="&amp;"E890,'Students (Vertical)'!O:O&lt;&gt;"""",'Students (Vertical)'!P:P&gt;1)},{filter('Students (Vertical)'!O:O,'Students (Vertical)'!C:C=B890,'Students (Vertical)'!O:O&lt;&gt;"""",'Students (Vertical)'!P:P&gt;1);filter('Students (Vertical)'!O:O,'Students (Vertical)'!C:C=E89"&amp;"0,'Students (Vertical)'!O:O&lt;&gt;"""",'Students (Vertical)'!P:P&gt;1)})&gt;1))),""""),"""")"),"")</f>
        <v/>
      </c>
      <c r="K890" s="358"/>
    </row>
    <row r="891">
      <c r="A891" s="300" t="s">
        <v>22</v>
      </c>
      <c r="C891" s="300" t="s">
        <v>22</v>
      </c>
      <c r="D891" s="300" t="s">
        <v>22</v>
      </c>
      <c r="F891" s="300" t="s">
        <v>22</v>
      </c>
      <c r="G891" s="300" t="s">
        <v>22</v>
      </c>
      <c r="I891" s="356" t="str">
        <f>IFERROR(__xludf.DUMMYFUNCTION("if(H891=""Must be Together"",iferror(join("", "",unique(filter({filter('Students (Vertical)'!O:O,'Students (Vertical)'!C:C=B891,'Students (Vertical)'!O:O&lt;&gt;"""");filter('Students (Vertical)'!O:O,'Students (Vertical)'!C:C=E891,'Students (Vertical)'!O:O&lt;&gt;"""&amp;""")},countifs({filter('Students (Vertical)'!O:O,'Students (Vertical)'!C:C=B891,'Students (Vertical)'!O:O&lt;&gt;"""");filter('Students (Vertical)'!O:O,'Students (Vertical)'!C:C=E891,'Students (Vertical)'!O:O&lt;&gt;"""")},{filter('Students (Vertical)'!O:O,'Students ("&amp;"Vertical)'!C:C=B891,'Students (Vertical)'!O:O&lt;&gt;"""");filter('Students (Vertical)'!O:O,'Students (Vertical)'!C:C=E891,'Students (Vertical)'!O:O&lt;&gt;"""")})&gt;1))),""No shared courses""),"""")"),"")</f>
        <v/>
      </c>
      <c r="J891" s="357" t="str">
        <f>IFERROR(__xludf.DUMMYFUNCTION("if(H891=""Can't be Together"",iferror(join("", "",unique(filter({filter('Students (Vertical)'!O:O,'Students (Vertical)'!C:C=B891,'Students (Vertical)'!O:O&lt;&gt;"""",'Students (Vertical)'!P:P&gt;1);filter('Students (Vertical)'!O:O,'Students (Vertical)'!C:C=E891,'"&amp;"Students (Vertical)'!O:O&lt;&gt;"""",'Students (Vertical)'!P:P&gt;1)},countifs({filter('Students (Vertical)'!O:O,'Students (Vertical)'!C:C=B891,'Students (Vertical)'!O:O&lt;&gt;"""",'Students (Vertical)'!P:P&gt;1);filter('Students (Vertical)'!O:O,'Students (Vertical)'!C:C="&amp;"E891,'Students (Vertical)'!O:O&lt;&gt;"""",'Students (Vertical)'!P:P&gt;1)},{filter('Students (Vertical)'!O:O,'Students (Vertical)'!C:C=B891,'Students (Vertical)'!O:O&lt;&gt;"""",'Students (Vertical)'!P:P&gt;1);filter('Students (Vertical)'!O:O,'Students (Vertical)'!C:C=E89"&amp;"1,'Students (Vertical)'!O:O&lt;&gt;"""",'Students (Vertical)'!P:P&gt;1)})&gt;1))),""""),"""")"),"")</f>
        <v/>
      </c>
      <c r="K891" s="358"/>
    </row>
    <row r="892">
      <c r="A892" s="300" t="s">
        <v>22</v>
      </c>
      <c r="C892" s="300" t="s">
        <v>22</v>
      </c>
      <c r="D892" s="300" t="s">
        <v>22</v>
      </c>
      <c r="F892" s="300" t="s">
        <v>22</v>
      </c>
      <c r="G892" s="300" t="s">
        <v>22</v>
      </c>
      <c r="I892" s="356" t="str">
        <f>IFERROR(__xludf.DUMMYFUNCTION("if(H892=""Must be Together"",iferror(join("", "",unique(filter({filter('Students (Vertical)'!O:O,'Students (Vertical)'!C:C=B892,'Students (Vertical)'!O:O&lt;&gt;"""");filter('Students (Vertical)'!O:O,'Students (Vertical)'!C:C=E892,'Students (Vertical)'!O:O&lt;&gt;"""&amp;""")},countifs({filter('Students (Vertical)'!O:O,'Students (Vertical)'!C:C=B892,'Students (Vertical)'!O:O&lt;&gt;"""");filter('Students (Vertical)'!O:O,'Students (Vertical)'!C:C=E892,'Students (Vertical)'!O:O&lt;&gt;"""")},{filter('Students (Vertical)'!O:O,'Students ("&amp;"Vertical)'!C:C=B892,'Students (Vertical)'!O:O&lt;&gt;"""");filter('Students (Vertical)'!O:O,'Students (Vertical)'!C:C=E892,'Students (Vertical)'!O:O&lt;&gt;"""")})&gt;1))),""No shared courses""),"""")"),"")</f>
        <v/>
      </c>
      <c r="J892" s="357" t="str">
        <f>IFERROR(__xludf.DUMMYFUNCTION("if(H892=""Can't be Together"",iferror(join("", "",unique(filter({filter('Students (Vertical)'!O:O,'Students (Vertical)'!C:C=B892,'Students (Vertical)'!O:O&lt;&gt;"""",'Students (Vertical)'!P:P&gt;1);filter('Students (Vertical)'!O:O,'Students (Vertical)'!C:C=E892,'"&amp;"Students (Vertical)'!O:O&lt;&gt;"""",'Students (Vertical)'!P:P&gt;1)},countifs({filter('Students (Vertical)'!O:O,'Students (Vertical)'!C:C=B892,'Students (Vertical)'!O:O&lt;&gt;"""",'Students (Vertical)'!P:P&gt;1);filter('Students (Vertical)'!O:O,'Students (Vertical)'!C:C="&amp;"E892,'Students (Vertical)'!O:O&lt;&gt;"""",'Students (Vertical)'!P:P&gt;1)},{filter('Students (Vertical)'!O:O,'Students (Vertical)'!C:C=B892,'Students (Vertical)'!O:O&lt;&gt;"""",'Students (Vertical)'!P:P&gt;1);filter('Students (Vertical)'!O:O,'Students (Vertical)'!C:C=E89"&amp;"2,'Students (Vertical)'!O:O&lt;&gt;"""",'Students (Vertical)'!P:P&gt;1)})&gt;1))),""""),"""")"),"")</f>
        <v/>
      </c>
      <c r="K892" s="358"/>
    </row>
    <row r="893">
      <c r="A893" s="300" t="s">
        <v>22</v>
      </c>
      <c r="C893" s="300" t="s">
        <v>22</v>
      </c>
      <c r="D893" s="300" t="s">
        <v>22</v>
      </c>
      <c r="F893" s="300" t="s">
        <v>22</v>
      </c>
      <c r="G893" s="300" t="s">
        <v>22</v>
      </c>
      <c r="I893" s="356" t="str">
        <f>IFERROR(__xludf.DUMMYFUNCTION("if(H893=""Must be Together"",iferror(join("", "",unique(filter({filter('Students (Vertical)'!O:O,'Students (Vertical)'!C:C=B893,'Students (Vertical)'!O:O&lt;&gt;"""");filter('Students (Vertical)'!O:O,'Students (Vertical)'!C:C=E893,'Students (Vertical)'!O:O&lt;&gt;"""&amp;""")},countifs({filter('Students (Vertical)'!O:O,'Students (Vertical)'!C:C=B893,'Students (Vertical)'!O:O&lt;&gt;"""");filter('Students (Vertical)'!O:O,'Students (Vertical)'!C:C=E893,'Students (Vertical)'!O:O&lt;&gt;"""")},{filter('Students (Vertical)'!O:O,'Students ("&amp;"Vertical)'!C:C=B893,'Students (Vertical)'!O:O&lt;&gt;"""");filter('Students (Vertical)'!O:O,'Students (Vertical)'!C:C=E893,'Students (Vertical)'!O:O&lt;&gt;"""")})&gt;1))),""No shared courses""),"""")"),"")</f>
        <v/>
      </c>
      <c r="J893" s="357" t="str">
        <f>IFERROR(__xludf.DUMMYFUNCTION("if(H893=""Can't be Together"",iferror(join("", "",unique(filter({filter('Students (Vertical)'!O:O,'Students (Vertical)'!C:C=B893,'Students (Vertical)'!O:O&lt;&gt;"""",'Students (Vertical)'!P:P&gt;1);filter('Students (Vertical)'!O:O,'Students (Vertical)'!C:C=E893,'"&amp;"Students (Vertical)'!O:O&lt;&gt;"""",'Students (Vertical)'!P:P&gt;1)},countifs({filter('Students (Vertical)'!O:O,'Students (Vertical)'!C:C=B893,'Students (Vertical)'!O:O&lt;&gt;"""",'Students (Vertical)'!P:P&gt;1);filter('Students (Vertical)'!O:O,'Students (Vertical)'!C:C="&amp;"E893,'Students (Vertical)'!O:O&lt;&gt;"""",'Students (Vertical)'!P:P&gt;1)},{filter('Students (Vertical)'!O:O,'Students (Vertical)'!C:C=B893,'Students (Vertical)'!O:O&lt;&gt;"""",'Students (Vertical)'!P:P&gt;1);filter('Students (Vertical)'!O:O,'Students (Vertical)'!C:C=E89"&amp;"3,'Students (Vertical)'!O:O&lt;&gt;"""",'Students (Vertical)'!P:P&gt;1)})&gt;1))),""""),"""")"),"")</f>
        <v/>
      </c>
      <c r="K893" s="358"/>
    </row>
    <row r="894">
      <c r="A894" s="300" t="s">
        <v>22</v>
      </c>
      <c r="C894" s="300" t="s">
        <v>22</v>
      </c>
      <c r="D894" s="300" t="s">
        <v>22</v>
      </c>
      <c r="F894" s="300" t="s">
        <v>22</v>
      </c>
      <c r="G894" s="300" t="s">
        <v>22</v>
      </c>
      <c r="I894" s="356" t="str">
        <f>IFERROR(__xludf.DUMMYFUNCTION("if(H894=""Must be Together"",iferror(join("", "",unique(filter({filter('Students (Vertical)'!O:O,'Students (Vertical)'!C:C=B894,'Students (Vertical)'!O:O&lt;&gt;"""");filter('Students (Vertical)'!O:O,'Students (Vertical)'!C:C=E894,'Students (Vertical)'!O:O&lt;&gt;"""&amp;""")},countifs({filter('Students (Vertical)'!O:O,'Students (Vertical)'!C:C=B894,'Students (Vertical)'!O:O&lt;&gt;"""");filter('Students (Vertical)'!O:O,'Students (Vertical)'!C:C=E894,'Students (Vertical)'!O:O&lt;&gt;"""")},{filter('Students (Vertical)'!O:O,'Students ("&amp;"Vertical)'!C:C=B894,'Students (Vertical)'!O:O&lt;&gt;"""");filter('Students (Vertical)'!O:O,'Students (Vertical)'!C:C=E894,'Students (Vertical)'!O:O&lt;&gt;"""")})&gt;1))),""No shared courses""),"""")"),"")</f>
        <v/>
      </c>
      <c r="J894" s="357" t="str">
        <f>IFERROR(__xludf.DUMMYFUNCTION("if(H894=""Can't be Together"",iferror(join("", "",unique(filter({filter('Students (Vertical)'!O:O,'Students (Vertical)'!C:C=B894,'Students (Vertical)'!O:O&lt;&gt;"""",'Students (Vertical)'!P:P&gt;1);filter('Students (Vertical)'!O:O,'Students (Vertical)'!C:C=E894,'"&amp;"Students (Vertical)'!O:O&lt;&gt;"""",'Students (Vertical)'!P:P&gt;1)},countifs({filter('Students (Vertical)'!O:O,'Students (Vertical)'!C:C=B894,'Students (Vertical)'!O:O&lt;&gt;"""",'Students (Vertical)'!P:P&gt;1);filter('Students (Vertical)'!O:O,'Students (Vertical)'!C:C="&amp;"E894,'Students (Vertical)'!O:O&lt;&gt;"""",'Students (Vertical)'!P:P&gt;1)},{filter('Students (Vertical)'!O:O,'Students (Vertical)'!C:C=B894,'Students (Vertical)'!O:O&lt;&gt;"""",'Students (Vertical)'!P:P&gt;1);filter('Students (Vertical)'!O:O,'Students (Vertical)'!C:C=E89"&amp;"4,'Students (Vertical)'!O:O&lt;&gt;"""",'Students (Vertical)'!P:P&gt;1)})&gt;1))),""""),"""")"),"")</f>
        <v/>
      </c>
      <c r="K894" s="358"/>
    </row>
    <row r="895">
      <c r="A895" s="300" t="s">
        <v>22</v>
      </c>
      <c r="C895" s="300" t="s">
        <v>22</v>
      </c>
      <c r="D895" s="300" t="s">
        <v>22</v>
      </c>
      <c r="F895" s="300" t="s">
        <v>22</v>
      </c>
      <c r="G895" s="300" t="s">
        <v>22</v>
      </c>
      <c r="I895" s="356" t="str">
        <f>IFERROR(__xludf.DUMMYFUNCTION("if(H895=""Must be Together"",iferror(join("", "",unique(filter({filter('Students (Vertical)'!O:O,'Students (Vertical)'!C:C=B895,'Students (Vertical)'!O:O&lt;&gt;"""");filter('Students (Vertical)'!O:O,'Students (Vertical)'!C:C=E895,'Students (Vertical)'!O:O&lt;&gt;"""&amp;""")},countifs({filter('Students (Vertical)'!O:O,'Students (Vertical)'!C:C=B895,'Students (Vertical)'!O:O&lt;&gt;"""");filter('Students (Vertical)'!O:O,'Students (Vertical)'!C:C=E895,'Students (Vertical)'!O:O&lt;&gt;"""")},{filter('Students (Vertical)'!O:O,'Students ("&amp;"Vertical)'!C:C=B895,'Students (Vertical)'!O:O&lt;&gt;"""");filter('Students (Vertical)'!O:O,'Students (Vertical)'!C:C=E895,'Students (Vertical)'!O:O&lt;&gt;"""")})&gt;1))),""No shared courses""),"""")"),"")</f>
        <v/>
      </c>
      <c r="J895" s="357" t="str">
        <f>IFERROR(__xludf.DUMMYFUNCTION("if(H895=""Can't be Together"",iferror(join("", "",unique(filter({filter('Students (Vertical)'!O:O,'Students (Vertical)'!C:C=B895,'Students (Vertical)'!O:O&lt;&gt;"""",'Students (Vertical)'!P:P&gt;1);filter('Students (Vertical)'!O:O,'Students (Vertical)'!C:C=E895,'"&amp;"Students (Vertical)'!O:O&lt;&gt;"""",'Students (Vertical)'!P:P&gt;1)},countifs({filter('Students (Vertical)'!O:O,'Students (Vertical)'!C:C=B895,'Students (Vertical)'!O:O&lt;&gt;"""",'Students (Vertical)'!P:P&gt;1);filter('Students (Vertical)'!O:O,'Students (Vertical)'!C:C="&amp;"E895,'Students (Vertical)'!O:O&lt;&gt;"""",'Students (Vertical)'!P:P&gt;1)},{filter('Students (Vertical)'!O:O,'Students (Vertical)'!C:C=B895,'Students (Vertical)'!O:O&lt;&gt;"""",'Students (Vertical)'!P:P&gt;1);filter('Students (Vertical)'!O:O,'Students (Vertical)'!C:C=E89"&amp;"5,'Students (Vertical)'!O:O&lt;&gt;"""",'Students (Vertical)'!P:P&gt;1)})&gt;1))),""""),"""")"),"")</f>
        <v/>
      </c>
      <c r="K895" s="358"/>
    </row>
    <row r="896">
      <c r="A896" s="300" t="s">
        <v>22</v>
      </c>
      <c r="C896" s="300" t="s">
        <v>22</v>
      </c>
      <c r="D896" s="300" t="s">
        <v>22</v>
      </c>
      <c r="F896" s="300" t="s">
        <v>22</v>
      </c>
      <c r="G896" s="300" t="s">
        <v>22</v>
      </c>
      <c r="I896" s="356" t="str">
        <f>IFERROR(__xludf.DUMMYFUNCTION("if(H896=""Must be Together"",iferror(join("", "",unique(filter({filter('Students (Vertical)'!O:O,'Students (Vertical)'!C:C=B896,'Students (Vertical)'!O:O&lt;&gt;"""");filter('Students (Vertical)'!O:O,'Students (Vertical)'!C:C=E896,'Students (Vertical)'!O:O&lt;&gt;"""&amp;""")},countifs({filter('Students (Vertical)'!O:O,'Students (Vertical)'!C:C=B896,'Students (Vertical)'!O:O&lt;&gt;"""");filter('Students (Vertical)'!O:O,'Students (Vertical)'!C:C=E896,'Students (Vertical)'!O:O&lt;&gt;"""")},{filter('Students (Vertical)'!O:O,'Students ("&amp;"Vertical)'!C:C=B896,'Students (Vertical)'!O:O&lt;&gt;"""");filter('Students (Vertical)'!O:O,'Students (Vertical)'!C:C=E896,'Students (Vertical)'!O:O&lt;&gt;"""")})&gt;1))),""No shared courses""),"""")"),"")</f>
        <v/>
      </c>
      <c r="J896" s="357" t="str">
        <f>IFERROR(__xludf.DUMMYFUNCTION("if(H896=""Can't be Together"",iferror(join("", "",unique(filter({filter('Students (Vertical)'!O:O,'Students (Vertical)'!C:C=B896,'Students (Vertical)'!O:O&lt;&gt;"""",'Students (Vertical)'!P:P&gt;1);filter('Students (Vertical)'!O:O,'Students (Vertical)'!C:C=E896,'"&amp;"Students (Vertical)'!O:O&lt;&gt;"""",'Students (Vertical)'!P:P&gt;1)},countifs({filter('Students (Vertical)'!O:O,'Students (Vertical)'!C:C=B896,'Students (Vertical)'!O:O&lt;&gt;"""",'Students (Vertical)'!P:P&gt;1);filter('Students (Vertical)'!O:O,'Students (Vertical)'!C:C="&amp;"E896,'Students (Vertical)'!O:O&lt;&gt;"""",'Students (Vertical)'!P:P&gt;1)},{filter('Students (Vertical)'!O:O,'Students (Vertical)'!C:C=B896,'Students (Vertical)'!O:O&lt;&gt;"""",'Students (Vertical)'!P:P&gt;1);filter('Students (Vertical)'!O:O,'Students (Vertical)'!C:C=E89"&amp;"6,'Students (Vertical)'!O:O&lt;&gt;"""",'Students (Vertical)'!P:P&gt;1)})&gt;1))),""""),"""")"),"")</f>
        <v/>
      </c>
      <c r="K896" s="358"/>
    </row>
    <row r="897">
      <c r="A897" s="300" t="s">
        <v>22</v>
      </c>
      <c r="C897" s="300" t="s">
        <v>22</v>
      </c>
      <c r="D897" s="300" t="s">
        <v>22</v>
      </c>
      <c r="F897" s="300" t="s">
        <v>22</v>
      </c>
      <c r="G897" s="300" t="s">
        <v>22</v>
      </c>
      <c r="I897" s="356" t="str">
        <f>IFERROR(__xludf.DUMMYFUNCTION("if(H897=""Must be Together"",iferror(join("", "",unique(filter({filter('Students (Vertical)'!O:O,'Students (Vertical)'!C:C=B897,'Students (Vertical)'!O:O&lt;&gt;"""");filter('Students (Vertical)'!O:O,'Students (Vertical)'!C:C=E897,'Students (Vertical)'!O:O&lt;&gt;"""&amp;""")},countifs({filter('Students (Vertical)'!O:O,'Students (Vertical)'!C:C=B897,'Students (Vertical)'!O:O&lt;&gt;"""");filter('Students (Vertical)'!O:O,'Students (Vertical)'!C:C=E897,'Students (Vertical)'!O:O&lt;&gt;"""")},{filter('Students (Vertical)'!O:O,'Students ("&amp;"Vertical)'!C:C=B897,'Students (Vertical)'!O:O&lt;&gt;"""");filter('Students (Vertical)'!O:O,'Students (Vertical)'!C:C=E897,'Students (Vertical)'!O:O&lt;&gt;"""")})&gt;1))),""No shared courses""),"""")"),"")</f>
        <v/>
      </c>
      <c r="J897" s="357" t="str">
        <f>IFERROR(__xludf.DUMMYFUNCTION("if(H897=""Can't be Together"",iferror(join("", "",unique(filter({filter('Students (Vertical)'!O:O,'Students (Vertical)'!C:C=B897,'Students (Vertical)'!O:O&lt;&gt;"""",'Students (Vertical)'!P:P&gt;1);filter('Students (Vertical)'!O:O,'Students (Vertical)'!C:C=E897,'"&amp;"Students (Vertical)'!O:O&lt;&gt;"""",'Students (Vertical)'!P:P&gt;1)},countifs({filter('Students (Vertical)'!O:O,'Students (Vertical)'!C:C=B897,'Students (Vertical)'!O:O&lt;&gt;"""",'Students (Vertical)'!P:P&gt;1);filter('Students (Vertical)'!O:O,'Students (Vertical)'!C:C="&amp;"E897,'Students (Vertical)'!O:O&lt;&gt;"""",'Students (Vertical)'!P:P&gt;1)},{filter('Students (Vertical)'!O:O,'Students (Vertical)'!C:C=B897,'Students (Vertical)'!O:O&lt;&gt;"""",'Students (Vertical)'!P:P&gt;1);filter('Students (Vertical)'!O:O,'Students (Vertical)'!C:C=E89"&amp;"7,'Students (Vertical)'!O:O&lt;&gt;"""",'Students (Vertical)'!P:P&gt;1)})&gt;1))),""""),"""")"),"")</f>
        <v/>
      </c>
      <c r="K897" s="358"/>
    </row>
    <row r="898">
      <c r="A898" s="300" t="s">
        <v>22</v>
      </c>
      <c r="C898" s="300" t="s">
        <v>22</v>
      </c>
      <c r="D898" s="300" t="s">
        <v>22</v>
      </c>
      <c r="F898" s="300" t="s">
        <v>22</v>
      </c>
      <c r="G898" s="300" t="s">
        <v>22</v>
      </c>
      <c r="I898" s="356" t="str">
        <f>IFERROR(__xludf.DUMMYFUNCTION("if(H898=""Must be Together"",iferror(join("", "",unique(filter({filter('Students (Vertical)'!O:O,'Students (Vertical)'!C:C=B898,'Students (Vertical)'!O:O&lt;&gt;"""");filter('Students (Vertical)'!O:O,'Students (Vertical)'!C:C=E898,'Students (Vertical)'!O:O&lt;&gt;"""&amp;""")},countifs({filter('Students (Vertical)'!O:O,'Students (Vertical)'!C:C=B898,'Students (Vertical)'!O:O&lt;&gt;"""");filter('Students (Vertical)'!O:O,'Students (Vertical)'!C:C=E898,'Students (Vertical)'!O:O&lt;&gt;"""")},{filter('Students (Vertical)'!O:O,'Students ("&amp;"Vertical)'!C:C=B898,'Students (Vertical)'!O:O&lt;&gt;"""");filter('Students (Vertical)'!O:O,'Students (Vertical)'!C:C=E898,'Students (Vertical)'!O:O&lt;&gt;"""")})&gt;1))),""No shared courses""),"""")"),"")</f>
        <v/>
      </c>
      <c r="J898" s="357" t="str">
        <f>IFERROR(__xludf.DUMMYFUNCTION("if(H898=""Can't be Together"",iferror(join("", "",unique(filter({filter('Students (Vertical)'!O:O,'Students (Vertical)'!C:C=B898,'Students (Vertical)'!O:O&lt;&gt;"""",'Students (Vertical)'!P:P&gt;1);filter('Students (Vertical)'!O:O,'Students (Vertical)'!C:C=E898,'"&amp;"Students (Vertical)'!O:O&lt;&gt;"""",'Students (Vertical)'!P:P&gt;1)},countifs({filter('Students (Vertical)'!O:O,'Students (Vertical)'!C:C=B898,'Students (Vertical)'!O:O&lt;&gt;"""",'Students (Vertical)'!P:P&gt;1);filter('Students (Vertical)'!O:O,'Students (Vertical)'!C:C="&amp;"E898,'Students (Vertical)'!O:O&lt;&gt;"""",'Students (Vertical)'!P:P&gt;1)},{filter('Students (Vertical)'!O:O,'Students (Vertical)'!C:C=B898,'Students (Vertical)'!O:O&lt;&gt;"""",'Students (Vertical)'!P:P&gt;1);filter('Students (Vertical)'!O:O,'Students (Vertical)'!C:C=E89"&amp;"8,'Students (Vertical)'!O:O&lt;&gt;"""",'Students (Vertical)'!P:P&gt;1)})&gt;1))),""""),"""")"),"")</f>
        <v/>
      </c>
      <c r="K898" s="358"/>
    </row>
    <row r="899">
      <c r="A899" s="300" t="s">
        <v>22</v>
      </c>
      <c r="C899" s="300" t="s">
        <v>22</v>
      </c>
      <c r="D899" s="300" t="s">
        <v>22</v>
      </c>
      <c r="F899" s="300" t="s">
        <v>22</v>
      </c>
      <c r="G899" s="300" t="s">
        <v>22</v>
      </c>
      <c r="I899" s="356" t="str">
        <f>IFERROR(__xludf.DUMMYFUNCTION("if(H899=""Must be Together"",iferror(join("", "",unique(filter({filter('Students (Vertical)'!O:O,'Students (Vertical)'!C:C=B899,'Students (Vertical)'!O:O&lt;&gt;"""");filter('Students (Vertical)'!O:O,'Students (Vertical)'!C:C=E899,'Students (Vertical)'!O:O&lt;&gt;"""&amp;""")},countifs({filter('Students (Vertical)'!O:O,'Students (Vertical)'!C:C=B899,'Students (Vertical)'!O:O&lt;&gt;"""");filter('Students (Vertical)'!O:O,'Students (Vertical)'!C:C=E899,'Students (Vertical)'!O:O&lt;&gt;"""")},{filter('Students (Vertical)'!O:O,'Students ("&amp;"Vertical)'!C:C=B899,'Students (Vertical)'!O:O&lt;&gt;"""");filter('Students (Vertical)'!O:O,'Students (Vertical)'!C:C=E899,'Students (Vertical)'!O:O&lt;&gt;"""")})&gt;1))),""No shared courses""),"""")"),"")</f>
        <v/>
      </c>
      <c r="J899" s="357" t="str">
        <f>IFERROR(__xludf.DUMMYFUNCTION("if(H899=""Can't be Together"",iferror(join("", "",unique(filter({filter('Students (Vertical)'!O:O,'Students (Vertical)'!C:C=B899,'Students (Vertical)'!O:O&lt;&gt;"""",'Students (Vertical)'!P:P&gt;1);filter('Students (Vertical)'!O:O,'Students (Vertical)'!C:C=E899,'"&amp;"Students (Vertical)'!O:O&lt;&gt;"""",'Students (Vertical)'!P:P&gt;1)},countifs({filter('Students (Vertical)'!O:O,'Students (Vertical)'!C:C=B899,'Students (Vertical)'!O:O&lt;&gt;"""",'Students (Vertical)'!P:P&gt;1);filter('Students (Vertical)'!O:O,'Students (Vertical)'!C:C="&amp;"E899,'Students (Vertical)'!O:O&lt;&gt;"""",'Students (Vertical)'!P:P&gt;1)},{filter('Students (Vertical)'!O:O,'Students (Vertical)'!C:C=B899,'Students (Vertical)'!O:O&lt;&gt;"""",'Students (Vertical)'!P:P&gt;1);filter('Students (Vertical)'!O:O,'Students (Vertical)'!C:C=E89"&amp;"9,'Students (Vertical)'!O:O&lt;&gt;"""",'Students (Vertical)'!P:P&gt;1)})&gt;1))),""""),"""")"),"")</f>
        <v/>
      </c>
      <c r="K899" s="358"/>
    </row>
    <row r="900">
      <c r="A900" s="300" t="s">
        <v>22</v>
      </c>
      <c r="C900" s="300" t="s">
        <v>22</v>
      </c>
      <c r="D900" s="300" t="s">
        <v>22</v>
      </c>
      <c r="F900" s="300" t="s">
        <v>22</v>
      </c>
      <c r="G900" s="300" t="s">
        <v>22</v>
      </c>
      <c r="I900" s="356" t="str">
        <f>IFERROR(__xludf.DUMMYFUNCTION("if(H900=""Must be Together"",iferror(join("", "",unique(filter({filter('Students (Vertical)'!O:O,'Students (Vertical)'!C:C=B900,'Students (Vertical)'!O:O&lt;&gt;"""");filter('Students (Vertical)'!O:O,'Students (Vertical)'!C:C=E900,'Students (Vertical)'!O:O&lt;&gt;"""&amp;""")},countifs({filter('Students (Vertical)'!O:O,'Students (Vertical)'!C:C=B900,'Students (Vertical)'!O:O&lt;&gt;"""");filter('Students (Vertical)'!O:O,'Students (Vertical)'!C:C=E900,'Students (Vertical)'!O:O&lt;&gt;"""")},{filter('Students (Vertical)'!O:O,'Students ("&amp;"Vertical)'!C:C=B900,'Students (Vertical)'!O:O&lt;&gt;"""");filter('Students (Vertical)'!O:O,'Students (Vertical)'!C:C=E900,'Students (Vertical)'!O:O&lt;&gt;"""")})&gt;1))),""No shared courses""),"""")"),"")</f>
        <v/>
      </c>
      <c r="J900" s="357" t="str">
        <f>IFERROR(__xludf.DUMMYFUNCTION("if(H900=""Can't be Together"",iferror(join("", "",unique(filter({filter('Students (Vertical)'!O:O,'Students (Vertical)'!C:C=B900,'Students (Vertical)'!O:O&lt;&gt;"""",'Students (Vertical)'!P:P&gt;1);filter('Students (Vertical)'!O:O,'Students (Vertical)'!C:C=E900,'"&amp;"Students (Vertical)'!O:O&lt;&gt;"""",'Students (Vertical)'!P:P&gt;1)},countifs({filter('Students (Vertical)'!O:O,'Students (Vertical)'!C:C=B900,'Students (Vertical)'!O:O&lt;&gt;"""",'Students (Vertical)'!P:P&gt;1);filter('Students (Vertical)'!O:O,'Students (Vertical)'!C:C="&amp;"E900,'Students (Vertical)'!O:O&lt;&gt;"""",'Students (Vertical)'!P:P&gt;1)},{filter('Students (Vertical)'!O:O,'Students (Vertical)'!C:C=B900,'Students (Vertical)'!O:O&lt;&gt;"""",'Students (Vertical)'!P:P&gt;1);filter('Students (Vertical)'!O:O,'Students (Vertical)'!C:C=E90"&amp;"0,'Students (Vertical)'!O:O&lt;&gt;"""",'Students (Vertical)'!P:P&gt;1)})&gt;1))),""""),"""")"),"")</f>
        <v/>
      </c>
      <c r="K900" s="358"/>
    </row>
    <row r="901">
      <c r="A901" s="300" t="s">
        <v>22</v>
      </c>
      <c r="C901" s="300" t="s">
        <v>22</v>
      </c>
      <c r="D901" s="300" t="s">
        <v>22</v>
      </c>
      <c r="F901" s="300" t="s">
        <v>22</v>
      </c>
      <c r="G901" s="300" t="s">
        <v>22</v>
      </c>
      <c r="I901" s="356" t="str">
        <f>IFERROR(__xludf.DUMMYFUNCTION("if(H901=""Must be Together"",iferror(join("", "",unique(filter({filter('Students (Vertical)'!O:O,'Students (Vertical)'!C:C=B901,'Students (Vertical)'!O:O&lt;&gt;"""");filter('Students (Vertical)'!O:O,'Students (Vertical)'!C:C=E901,'Students (Vertical)'!O:O&lt;&gt;"""&amp;""")},countifs({filter('Students (Vertical)'!O:O,'Students (Vertical)'!C:C=B901,'Students (Vertical)'!O:O&lt;&gt;"""");filter('Students (Vertical)'!O:O,'Students (Vertical)'!C:C=E901,'Students (Vertical)'!O:O&lt;&gt;"""")},{filter('Students (Vertical)'!O:O,'Students ("&amp;"Vertical)'!C:C=B901,'Students (Vertical)'!O:O&lt;&gt;"""");filter('Students (Vertical)'!O:O,'Students (Vertical)'!C:C=E901,'Students (Vertical)'!O:O&lt;&gt;"""")})&gt;1))),""No shared courses""),"""")"),"")</f>
        <v/>
      </c>
      <c r="J901" s="357" t="str">
        <f>IFERROR(__xludf.DUMMYFUNCTION("if(H901=""Can't be Together"",iferror(join("", "",unique(filter({filter('Students (Vertical)'!O:O,'Students (Vertical)'!C:C=B901,'Students (Vertical)'!O:O&lt;&gt;"""",'Students (Vertical)'!P:P&gt;1);filter('Students (Vertical)'!O:O,'Students (Vertical)'!C:C=E901,'"&amp;"Students (Vertical)'!O:O&lt;&gt;"""",'Students (Vertical)'!P:P&gt;1)},countifs({filter('Students (Vertical)'!O:O,'Students (Vertical)'!C:C=B901,'Students (Vertical)'!O:O&lt;&gt;"""",'Students (Vertical)'!P:P&gt;1);filter('Students (Vertical)'!O:O,'Students (Vertical)'!C:C="&amp;"E901,'Students (Vertical)'!O:O&lt;&gt;"""",'Students (Vertical)'!P:P&gt;1)},{filter('Students (Vertical)'!O:O,'Students (Vertical)'!C:C=B901,'Students (Vertical)'!O:O&lt;&gt;"""",'Students (Vertical)'!P:P&gt;1);filter('Students (Vertical)'!O:O,'Students (Vertical)'!C:C=E90"&amp;"1,'Students (Vertical)'!O:O&lt;&gt;"""",'Students (Vertical)'!P:P&gt;1)})&gt;1))),""""),"""")"),"")</f>
        <v/>
      </c>
      <c r="K901" s="358"/>
    </row>
    <row r="902">
      <c r="A902" s="300" t="s">
        <v>22</v>
      </c>
      <c r="C902" s="300" t="s">
        <v>22</v>
      </c>
      <c r="D902" s="300" t="s">
        <v>22</v>
      </c>
      <c r="F902" s="300" t="s">
        <v>22</v>
      </c>
      <c r="G902" s="300" t="s">
        <v>22</v>
      </c>
      <c r="I902" s="356" t="str">
        <f>IFERROR(__xludf.DUMMYFUNCTION("if(H902=""Must be Together"",iferror(join("", "",unique(filter({filter('Students (Vertical)'!O:O,'Students (Vertical)'!C:C=B902,'Students (Vertical)'!O:O&lt;&gt;"""");filter('Students (Vertical)'!O:O,'Students (Vertical)'!C:C=E902,'Students (Vertical)'!O:O&lt;&gt;"""&amp;""")},countifs({filter('Students (Vertical)'!O:O,'Students (Vertical)'!C:C=B902,'Students (Vertical)'!O:O&lt;&gt;"""");filter('Students (Vertical)'!O:O,'Students (Vertical)'!C:C=E902,'Students (Vertical)'!O:O&lt;&gt;"""")},{filter('Students (Vertical)'!O:O,'Students ("&amp;"Vertical)'!C:C=B902,'Students (Vertical)'!O:O&lt;&gt;"""");filter('Students (Vertical)'!O:O,'Students (Vertical)'!C:C=E902,'Students (Vertical)'!O:O&lt;&gt;"""")})&gt;1))),""No shared courses""),"""")"),"")</f>
        <v/>
      </c>
      <c r="J902" s="357" t="str">
        <f>IFERROR(__xludf.DUMMYFUNCTION("if(H902=""Can't be Together"",iferror(join("", "",unique(filter({filter('Students (Vertical)'!O:O,'Students (Vertical)'!C:C=B902,'Students (Vertical)'!O:O&lt;&gt;"""",'Students (Vertical)'!P:P&gt;1);filter('Students (Vertical)'!O:O,'Students (Vertical)'!C:C=E902,'"&amp;"Students (Vertical)'!O:O&lt;&gt;"""",'Students (Vertical)'!P:P&gt;1)},countifs({filter('Students (Vertical)'!O:O,'Students (Vertical)'!C:C=B902,'Students (Vertical)'!O:O&lt;&gt;"""",'Students (Vertical)'!P:P&gt;1);filter('Students (Vertical)'!O:O,'Students (Vertical)'!C:C="&amp;"E902,'Students (Vertical)'!O:O&lt;&gt;"""",'Students (Vertical)'!P:P&gt;1)},{filter('Students (Vertical)'!O:O,'Students (Vertical)'!C:C=B902,'Students (Vertical)'!O:O&lt;&gt;"""",'Students (Vertical)'!P:P&gt;1);filter('Students (Vertical)'!O:O,'Students (Vertical)'!C:C=E90"&amp;"2,'Students (Vertical)'!O:O&lt;&gt;"""",'Students (Vertical)'!P:P&gt;1)})&gt;1))),""""),"""")"),"")</f>
        <v/>
      </c>
      <c r="K902" s="358"/>
    </row>
    <row r="903">
      <c r="A903" s="300" t="s">
        <v>22</v>
      </c>
      <c r="C903" s="300" t="s">
        <v>22</v>
      </c>
      <c r="D903" s="300" t="s">
        <v>22</v>
      </c>
      <c r="F903" s="300" t="s">
        <v>22</v>
      </c>
      <c r="G903" s="300" t="s">
        <v>22</v>
      </c>
      <c r="I903" s="356" t="str">
        <f>IFERROR(__xludf.DUMMYFUNCTION("if(H903=""Must be Together"",iferror(join("", "",unique(filter({filter('Students (Vertical)'!O:O,'Students (Vertical)'!C:C=B903,'Students (Vertical)'!O:O&lt;&gt;"""");filter('Students (Vertical)'!O:O,'Students (Vertical)'!C:C=E903,'Students (Vertical)'!O:O&lt;&gt;"""&amp;""")},countifs({filter('Students (Vertical)'!O:O,'Students (Vertical)'!C:C=B903,'Students (Vertical)'!O:O&lt;&gt;"""");filter('Students (Vertical)'!O:O,'Students (Vertical)'!C:C=E903,'Students (Vertical)'!O:O&lt;&gt;"""")},{filter('Students (Vertical)'!O:O,'Students ("&amp;"Vertical)'!C:C=B903,'Students (Vertical)'!O:O&lt;&gt;"""");filter('Students (Vertical)'!O:O,'Students (Vertical)'!C:C=E903,'Students (Vertical)'!O:O&lt;&gt;"""")})&gt;1))),""No shared courses""),"""")"),"")</f>
        <v/>
      </c>
      <c r="J903" s="357" t="str">
        <f>IFERROR(__xludf.DUMMYFUNCTION("if(H903=""Can't be Together"",iferror(join("", "",unique(filter({filter('Students (Vertical)'!O:O,'Students (Vertical)'!C:C=B903,'Students (Vertical)'!O:O&lt;&gt;"""",'Students (Vertical)'!P:P&gt;1);filter('Students (Vertical)'!O:O,'Students (Vertical)'!C:C=E903,'"&amp;"Students (Vertical)'!O:O&lt;&gt;"""",'Students (Vertical)'!P:P&gt;1)},countifs({filter('Students (Vertical)'!O:O,'Students (Vertical)'!C:C=B903,'Students (Vertical)'!O:O&lt;&gt;"""",'Students (Vertical)'!P:P&gt;1);filter('Students (Vertical)'!O:O,'Students (Vertical)'!C:C="&amp;"E903,'Students (Vertical)'!O:O&lt;&gt;"""",'Students (Vertical)'!P:P&gt;1)},{filter('Students (Vertical)'!O:O,'Students (Vertical)'!C:C=B903,'Students (Vertical)'!O:O&lt;&gt;"""",'Students (Vertical)'!P:P&gt;1);filter('Students (Vertical)'!O:O,'Students (Vertical)'!C:C=E90"&amp;"3,'Students (Vertical)'!O:O&lt;&gt;"""",'Students (Vertical)'!P:P&gt;1)})&gt;1))),""""),"""")"),"")</f>
        <v/>
      </c>
      <c r="K903" s="358"/>
    </row>
    <row r="904">
      <c r="A904" s="300" t="s">
        <v>22</v>
      </c>
      <c r="C904" s="300" t="s">
        <v>22</v>
      </c>
      <c r="D904" s="300" t="s">
        <v>22</v>
      </c>
      <c r="F904" s="300" t="s">
        <v>22</v>
      </c>
      <c r="G904" s="300" t="s">
        <v>22</v>
      </c>
      <c r="I904" s="356" t="str">
        <f>IFERROR(__xludf.DUMMYFUNCTION("if(H904=""Must be Together"",iferror(join("", "",unique(filter({filter('Students (Vertical)'!O:O,'Students (Vertical)'!C:C=B904,'Students (Vertical)'!O:O&lt;&gt;"""");filter('Students (Vertical)'!O:O,'Students (Vertical)'!C:C=E904,'Students (Vertical)'!O:O&lt;&gt;"""&amp;""")},countifs({filter('Students (Vertical)'!O:O,'Students (Vertical)'!C:C=B904,'Students (Vertical)'!O:O&lt;&gt;"""");filter('Students (Vertical)'!O:O,'Students (Vertical)'!C:C=E904,'Students (Vertical)'!O:O&lt;&gt;"""")},{filter('Students (Vertical)'!O:O,'Students ("&amp;"Vertical)'!C:C=B904,'Students (Vertical)'!O:O&lt;&gt;"""");filter('Students (Vertical)'!O:O,'Students (Vertical)'!C:C=E904,'Students (Vertical)'!O:O&lt;&gt;"""")})&gt;1))),""No shared courses""),"""")"),"")</f>
        <v/>
      </c>
      <c r="J904" s="357" t="str">
        <f>IFERROR(__xludf.DUMMYFUNCTION("if(H904=""Can't be Together"",iferror(join("", "",unique(filter({filter('Students (Vertical)'!O:O,'Students (Vertical)'!C:C=B904,'Students (Vertical)'!O:O&lt;&gt;"""",'Students (Vertical)'!P:P&gt;1);filter('Students (Vertical)'!O:O,'Students (Vertical)'!C:C=E904,'"&amp;"Students (Vertical)'!O:O&lt;&gt;"""",'Students (Vertical)'!P:P&gt;1)},countifs({filter('Students (Vertical)'!O:O,'Students (Vertical)'!C:C=B904,'Students (Vertical)'!O:O&lt;&gt;"""",'Students (Vertical)'!P:P&gt;1);filter('Students (Vertical)'!O:O,'Students (Vertical)'!C:C="&amp;"E904,'Students (Vertical)'!O:O&lt;&gt;"""",'Students (Vertical)'!P:P&gt;1)},{filter('Students (Vertical)'!O:O,'Students (Vertical)'!C:C=B904,'Students (Vertical)'!O:O&lt;&gt;"""",'Students (Vertical)'!P:P&gt;1);filter('Students (Vertical)'!O:O,'Students (Vertical)'!C:C=E90"&amp;"4,'Students (Vertical)'!O:O&lt;&gt;"""",'Students (Vertical)'!P:P&gt;1)})&gt;1))),""""),"""")"),"")</f>
        <v/>
      </c>
      <c r="K904" s="358"/>
    </row>
    <row r="905">
      <c r="A905" s="300" t="s">
        <v>22</v>
      </c>
      <c r="C905" s="300" t="s">
        <v>22</v>
      </c>
      <c r="D905" s="300" t="s">
        <v>22</v>
      </c>
      <c r="F905" s="300" t="s">
        <v>22</v>
      </c>
      <c r="G905" s="300" t="s">
        <v>22</v>
      </c>
      <c r="I905" s="356" t="str">
        <f>IFERROR(__xludf.DUMMYFUNCTION("if(H905=""Must be Together"",iferror(join("", "",unique(filter({filter('Students (Vertical)'!O:O,'Students (Vertical)'!C:C=B905,'Students (Vertical)'!O:O&lt;&gt;"""");filter('Students (Vertical)'!O:O,'Students (Vertical)'!C:C=E905,'Students (Vertical)'!O:O&lt;&gt;"""&amp;""")},countifs({filter('Students (Vertical)'!O:O,'Students (Vertical)'!C:C=B905,'Students (Vertical)'!O:O&lt;&gt;"""");filter('Students (Vertical)'!O:O,'Students (Vertical)'!C:C=E905,'Students (Vertical)'!O:O&lt;&gt;"""")},{filter('Students (Vertical)'!O:O,'Students ("&amp;"Vertical)'!C:C=B905,'Students (Vertical)'!O:O&lt;&gt;"""");filter('Students (Vertical)'!O:O,'Students (Vertical)'!C:C=E905,'Students (Vertical)'!O:O&lt;&gt;"""")})&gt;1))),""No shared courses""),"""")"),"")</f>
        <v/>
      </c>
      <c r="J905" s="357" t="str">
        <f>IFERROR(__xludf.DUMMYFUNCTION("if(H905=""Can't be Together"",iferror(join("", "",unique(filter({filter('Students (Vertical)'!O:O,'Students (Vertical)'!C:C=B905,'Students (Vertical)'!O:O&lt;&gt;"""",'Students (Vertical)'!P:P&gt;1);filter('Students (Vertical)'!O:O,'Students (Vertical)'!C:C=E905,'"&amp;"Students (Vertical)'!O:O&lt;&gt;"""",'Students (Vertical)'!P:P&gt;1)},countifs({filter('Students (Vertical)'!O:O,'Students (Vertical)'!C:C=B905,'Students (Vertical)'!O:O&lt;&gt;"""",'Students (Vertical)'!P:P&gt;1);filter('Students (Vertical)'!O:O,'Students (Vertical)'!C:C="&amp;"E905,'Students (Vertical)'!O:O&lt;&gt;"""",'Students (Vertical)'!P:P&gt;1)},{filter('Students (Vertical)'!O:O,'Students (Vertical)'!C:C=B905,'Students (Vertical)'!O:O&lt;&gt;"""",'Students (Vertical)'!P:P&gt;1);filter('Students (Vertical)'!O:O,'Students (Vertical)'!C:C=E90"&amp;"5,'Students (Vertical)'!O:O&lt;&gt;"""",'Students (Vertical)'!P:P&gt;1)})&gt;1))),""""),"""")"),"")</f>
        <v/>
      </c>
      <c r="K905" s="358"/>
    </row>
    <row r="906">
      <c r="A906" s="300" t="s">
        <v>22</v>
      </c>
      <c r="C906" s="300" t="s">
        <v>22</v>
      </c>
      <c r="D906" s="300" t="s">
        <v>22</v>
      </c>
      <c r="F906" s="300" t="s">
        <v>22</v>
      </c>
      <c r="G906" s="300" t="s">
        <v>22</v>
      </c>
      <c r="I906" s="356" t="str">
        <f>IFERROR(__xludf.DUMMYFUNCTION("if(H906=""Must be Together"",iferror(join("", "",unique(filter({filter('Students (Vertical)'!O:O,'Students (Vertical)'!C:C=B906,'Students (Vertical)'!O:O&lt;&gt;"""");filter('Students (Vertical)'!O:O,'Students (Vertical)'!C:C=E906,'Students (Vertical)'!O:O&lt;&gt;"""&amp;""")},countifs({filter('Students (Vertical)'!O:O,'Students (Vertical)'!C:C=B906,'Students (Vertical)'!O:O&lt;&gt;"""");filter('Students (Vertical)'!O:O,'Students (Vertical)'!C:C=E906,'Students (Vertical)'!O:O&lt;&gt;"""")},{filter('Students (Vertical)'!O:O,'Students ("&amp;"Vertical)'!C:C=B906,'Students (Vertical)'!O:O&lt;&gt;"""");filter('Students (Vertical)'!O:O,'Students (Vertical)'!C:C=E906,'Students (Vertical)'!O:O&lt;&gt;"""")})&gt;1))),""No shared courses""),"""")"),"")</f>
        <v/>
      </c>
      <c r="J906" s="357" t="str">
        <f>IFERROR(__xludf.DUMMYFUNCTION("if(H906=""Can't be Together"",iferror(join("", "",unique(filter({filter('Students (Vertical)'!O:O,'Students (Vertical)'!C:C=B906,'Students (Vertical)'!O:O&lt;&gt;"""",'Students (Vertical)'!P:P&gt;1);filter('Students (Vertical)'!O:O,'Students (Vertical)'!C:C=E906,'"&amp;"Students (Vertical)'!O:O&lt;&gt;"""",'Students (Vertical)'!P:P&gt;1)},countifs({filter('Students (Vertical)'!O:O,'Students (Vertical)'!C:C=B906,'Students (Vertical)'!O:O&lt;&gt;"""",'Students (Vertical)'!P:P&gt;1);filter('Students (Vertical)'!O:O,'Students (Vertical)'!C:C="&amp;"E906,'Students (Vertical)'!O:O&lt;&gt;"""",'Students (Vertical)'!P:P&gt;1)},{filter('Students (Vertical)'!O:O,'Students (Vertical)'!C:C=B906,'Students (Vertical)'!O:O&lt;&gt;"""",'Students (Vertical)'!P:P&gt;1);filter('Students (Vertical)'!O:O,'Students (Vertical)'!C:C=E90"&amp;"6,'Students (Vertical)'!O:O&lt;&gt;"""",'Students (Vertical)'!P:P&gt;1)})&gt;1))),""""),"""")"),"")</f>
        <v/>
      </c>
      <c r="K906" s="358"/>
    </row>
    <row r="907">
      <c r="A907" s="300" t="s">
        <v>22</v>
      </c>
      <c r="C907" s="300" t="s">
        <v>22</v>
      </c>
      <c r="D907" s="300" t="s">
        <v>22</v>
      </c>
      <c r="F907" s="300" t="s">
        <v>22</v>
      </c>
      <c r="G907" s="300" t="s">
        <v>22</v>
      </c>
      <c r="I907" s="356" t="str">
        <f>IFERROR(__xludf.DUMMYFUNCTION("if(H907=""Must be Together"",iferror(join("", "",unique(filter({filter('Students (Vertical)'!O:O,'Students (Vertical)'!C:C=B907,'Students (Vertical)'!O:O&lt;&gt;"""");filter('Students (Vertical)'!O:O,'Students (Vertical)'!C:C=E907,'Students (Vertical)'!O:O&lt;&gt;"""&amp;""")},countifs({filter('Students (Vertical)'!O:O,'Students (Vertical)'!C:C=B907,'Students (Vertical)'!O:O&lt;&gt;"""");filter('Students (Vertical)'!O:O,'Students (Vertical)'!C:C=E907,'Students (Vertical)'!O:O&lt;&gt;"""")},{filter('Students (Vertical)'!O:O,'Students ("&amp;"Vertical)'!C:C=B907,'Students (Vertical)'!O:O&lt;&gt;"""");filter('Students (Vertical)'!O:O,'Students (Vertical)'!C:C=E907,'Students (Vertical)'!O:O&lt;&gt;"""")})&gt;1))),""No shared courses""),"""")"),"")</f>
        <v/>
      </c>
      <c r="J907" s="357" t="str">
        <f>IFERROR(__xludf.DUMMYFUNCTION("if(H907=""Can't be Together"",iferror(join("", "",unique(filter({filter('Students (Vertical)'!O:O,'Students (Vertical)'!C:C=B907,'Students (Vertical)'!O:O&lt;&gt;"""",'Students (Vertical)'!P:P&gt;1);filter('Students (Vertical)'!O:O,'Students (Vertical)'!C:C=E907,'"&amp;"Students (Vertical)'!O:O&lt;&gt;"""",'Students (Vertical)'!P:P&gt;1)},countifs({filter('Students (Vertical)'!O:O,'Students (Vertical)'!C:C=B907,'Students (Vertical)'!O:O&lt;&gt;"""",'Students (Vertical)'!P:P&gt;1);filter('Students (Vertical)'!O:O,'Students (Vertical)'!C:C="&amp;"E907,'Students (Vertical)'!O:O&lt;&gt;"""",'Students (Vertical)'!P:P&gt;1)},{filter('Students (Vertical)'!O:O,'Students (Vertical)'!C:C=B907,'Students (Vertical)'!O:O&lt;&gt;"""",'Students (Vertical)'!P:P&gt;1);filter('Students (Vertical)'!O:O,'Students (Vertical)'!C:C=E90"&amp;"7,'Students (Vertical)'!O:O&lt;&gt;"""",'Students (Vertical)'!P:P&gt;1)})&gt;1))),""""),"""")"),"")</f>
        <v/>
      </c>
      <c r="K907" s="358"/>
    </row>
    <row r="908">
      <c r="A908" s="300" t="s">
        <v>22</v>
      </c>
      <c r="C908" s="300" t="s">
        <v>22</v>
      </c>
      <c r="D908" s="300" t="s">
        <v>22</v>
      </c>
      <c r="F908" s="300" t="s">
        <v>22</v>
      </c>
      <c r="G908" s="300" t="s">
        <v>22</v>
      </c>
      <c r="I908" s="356" t="str">
        <f>IFERROR(__xludf.DUMMYFUNCTION("if(H908=""Must be Together"",iferror(join("", "",unique(filter({filter('Students (Vertical)'!O:O,'Students (Vertical)'!C:C=B908,'Students (Vertical)'!O:O&lt;&gt;"""");filter('Students (Vertical)'!O:O,'Students (Vertical)'!C:C=E908,'Students (Vertical)'!O:O&lt;&gt;"""&amp;""")},countifs({filter('Students (Vertical)'!O:O,'Students (Vertical)'!C:C=B908,'Students (Vertical)'!O:O&lt;&gt;"""");filter('Students (Vertical)'!O:O,'Students (Vertical)'!C:C=E908,'Students (Vertical)'!O:O&lt;&gt;"""")},{filter('Students (Vertical)'!O:O,'Students ("&amp;"Vertical)'!C:C=B908,'Students (Vertical)'!O:O&lt;&gt;"""");filter('Students (Vertical)'!O:O,'Students (Vertical)'!C:C=E908,'Students (Vertical)'!O:O&lt;&gt;"""")})&gt;1))),""No shared courses""),"""")"),"")</f>
        <v/>
      </c>
      <c r="J908" s="357" t="str">
        <f>IFERROR(__xludf.DUMMYFUNCTION("if(H908=""Can't be Together"",iferror(join("", "",unique(filter({filter('Students (Vertical)'!O:O,'Students (Vertical)'!C:C=B908,'Students (Vertical)'!O:O&lt;&gt;"""",'Students (Vertical)'!P:P&gt;1);filter('Students (Vertical)'!O:O,'Students (Vertical)'!C:C=E908,'"&amp;"Students (Vertical)'!O:O&lt;&gt;"""",'Students (Vertical)'!P:P&gt;1)},countifs({filter('Students (Vertical)'!O:O,'Students (Vertical)'!C:C=B908,'Students (Vertical)'!O:O&lt;&gt;"""",'Students (Vertical)'!P:P&gt;1);filter('Students (Vertical)'!O:O,'Students (Vertical)'!C:C="&amp;"E908,'Students (Vertical)'!O:O&lt;&gt;"""",'Students (Vertical)'!P:P&gt;1)},{filter('Students (Vertical)'!O:O,'Students (Vertical)'!C:C=B908,'Students (Vertical)'!O:O&lt;&gt;"""",'Students (Vertical)'!P:P&gt;1);filter('Students (Vertical)'!O:O,'Students (Vertical)'!C:C=E90"&amp;"8,'Students (Vertical)'!O:O&lt;&gt;"""",'Students (Vertical)'!P:P&gt;1)})&gt;1))),""""),"""")"),"")</f>
        <v/>
      </c>
      <c r="K908" s="358"/>
    </row>
    <row r="909">
      <c r="A909" s="300" t="s">
        <v>22</v>
      </c>
      <c r="C909" s="300" t="s">
        <v>22</v>
      </c>
      <c r="D909" s="300" t="s">
        <v>22</v>
      </c>
      <c r="F909" s="300" t="s">
        <v>22</v>
      </c>
      <c r="G909" s="300" t="s">
        <v>22</v>
      </c>
      <c r="I909" s="356" t="str">
        <f>IFERROR(__xludf.DUMMYFUNCTION("if(H909=""Must be Together"",iferror(join("", "",unique(filter({filter('Students (Vertical)'!O:O,'Students (Vertical)'!C:C=B909,'Students (Vertical)'!O:O&lt;&gt;"""");filter('Students (Vertical)'!O:O,'Students (Vertical)'!C:C=E909,'Students (Vertical)'!O:O&lt;&gt;"""&amp;""")},countifs({filter('Students (Vertical)'!O:O,'Students (Vertical)'!C:C=B909,'Students (Vertical)'!O:O&lt;&gt;"""");filter('Students (Vertical)'!O:O,'Students (Vertical)'!C:C=E909,'Students (Vertical)'!O:O&lt;&gt;"""")},{filter('Students (Vertical)'!O:O,'Students ("&amp;"Vertical)'!C:C=B909,'Students (Vertical)'!O:O&lt;&gt;"""");filter('Students (Vertical)'!O:O,'Students (Vertical)'!C:C=E909,'Students (Vertical)'!O:O&lt;&gt;"""")})&gt;1))),""No shared courses""),"""")"),"")</f>
        <v/>
      </c>
      <c r="J909" s="357" t="str">
        <f>IFERROR(__xludf.DUMMYFUNCTION("if(H909=""Can't be Together"",iferror(join("", "",unique(filter({filter('Students (Vertical)'!O:O,'Students (Vertical)'!C:C=B909,'Students (Vertical)'!O:O&lt;&gt;"""",'Students (Vertical)'!P:P&gt;1);filter('Students (Vertical)'!O:O,'Students (Vertical)'!C:C=E909,'"&amp;"Students (Vertical)'!O:O&lt;&gt;"""",'Students (Vertical)'!P:P&gt;1)},countifs({filter('Students (Vertical)'!O:O,'Students (Vertical)'!C:C=B909,'Students (Vertical)'!O:O&lt;&gt;"""",'Students (Vertical)'!P:P&gt;1);filter('Students (Vertical)'!O:O,'Students (Vertical)'!C:C="&amp;"E909,'Students (Vertical)'!O:O&lt;&gt;"""",'Students (Vertical)'!P:P&gt;1)},{filter('Students (Vertical)'!O:O,'Students (Vertical)'!C:C=B909,'Students (Vertical)'!O:O&lt;&gt;"""",'Students (Vertical)'!P:P&gt;1);filter('Students (Vertical)'!O:O,'Students (Vertical)'!C:C=E90"&amp;"9,'Students (Vertical)'!O:O&lt;&gt;"""",'Students (Vertical)'!P:P&gt;1)})&gt;1))),""""),"""")"),"")</f>
        <v/>
      </c>
      <c r="K909" s="358"/>
    </row>
    <row r="910">
      <c r="A910" s="300" t="s">
        <v>22</v>
      </c>
      <c r="C910" s="300" t="s">
        <v>22</v>
      </c>
      <c r="D910" s="300" t="s">
        <v>22</v>
      </c>
      <c r="F910" s="300" t="s">
        <v>22</v>
      </c>
      <c r="G910" s="300" t="s">
        <v>22</v>
      </c>
      <c r="I910" s="356" t="str">
        <f>IFERROR(__xludf.DUMMYFUNCTION("if(H910=""Must be Together"",iferror(join("", "",unique(filter({filter('Students (Vertical)'!O:O,'Students (Vertical)'!C:C=B910,'Students (Vertical)'!O:O&lt;&gt;"""");filter('Students (Vertical)'!O:O,'Students (Vertical)'!C:C=E910,'Students (Vertical)'!O:O&lt;&gt;"""&amp;""")},countifs({filter('Students (Vertical)'!O:O,'Students (Vertical)'!C:C=B910,'Students (Vertical)'!O:O&lt;&gt;"""");filter('Students (Vertical)'!O:O,'Students (Vertical)'!C:C=E910,'Students (Vertical)'!O:O&lt;&gt;"""")},{filter('Students (Vertical)'!O:O,'Students ("&amp;"Vertical)'!C:C=B910,'Students (Vertical)'!O:O&lt;&gt;"""");filter('Students (Vertical)'!O:O,'Students (Vertical)'!C:C=E910,'Students (Vertical)'!O:O&lt;&gt;"""")})&gt;1))),""No shared courses""),"""")"),"")</f>
        <v/>
      </c>
      <c r="J910" s="357" t="str">
        <f>IFERROR(__xludf.DUMMYFUNCTION("if(H910=""Can't be Together"",iferror(join("", "",unique(filter({filter('Students (Vertical)'!O:O,'Students (Vertical)'!C:C=B910,'Students (Vertical)'!O:O&lt;&gt;"""",'Students (Vertical)'!P:P&gt;1);filter('Students (Vertical)'!O:O,'Students (Vertical)'!C:C=E910,'"&amp;"Students (Vertical)'!O:O&lt;&gt;"""",'Students (Vertical)'!P:P&gt;1)},countifs({filter('Students (Vertical)'!O:O,'Students (Vertical)'!C:C=B910,'Students (Vertical)'!O:O&lt;&gt;"""",'Students (Vertical)'!P:P&gt;1);filter('Students (Vertical)'!O:O,'Students (Vertical)'!C:C="&amp;"E910,'Students (Vertical)'!O:O&lt;&gt;"""",'Students (Vertical)'!P:P&gt;1)},{filter('Students (Vertical)'!O:O,'Students (Vertical)'!C:C=B910,'Students (Vertical)'!O:O&lt;&gt;"""",'Students (Vertical)'!P:P&gt;1);filter('Students (Vertical)'!O:O,'Students (Vertical)'!C:C=E91"&amp;"0,'Students (Vertical)'!O:O&lt;&gt;"""",'Students (Vertical)'!P:P&gt;1)})&gt;1))),""""),"""")"),"")</f>
        <v/>
      </c>
      <c r="K910" s="358"/>
    </row>
    <row r="911">
      <c r="A911" s="300" t="s">
        <v>22</v>
      </c>
      <c r="C911" s="300" t="s">
        <v>22</v>
      </c>
      <c r="D911" s="300" t="s">
        <v>22</v>
      </c>
      <c r="F911" s="300" t="s">
        <v>22</v>
      </c>
      <c r="G911" s="300" t="s">
        <v>22</v>
      </c>
      <c r="I911" s="356" t="str">
        <f>IFERROR(__xludf.DUMMYFUNCTION("if(H911=""Must be Together"",iferror(join("", "",unique(filter({filter('Students (Vertical)'!O:O,'Students (Vertical)'!C:C=B911,'Students (Vertical)'!O:O&lt;&gt;"""");filter('Students (Vertical)'!O:O,'Students (Vertical)'!C:C=E911,'Students (Vertical)'!O:O&lt;&gt;"""&amp;""")},countifs({filter('Students (Vertical)'!O:O,'Students (Vertical)'!C:C=B911,'Students (Vertical)'!O:O&lt;&gt;"""");filter('Students (Vertical)'!O:O,'Students (Vertical)'!C:C=E911,'Students (Vertical)'!O:O&lt;&gt;"""")},{filter('Students (Vertical)'!O:O,'Students ("&amp;"Vertical)'!C:C=B911,'Students (Vertical)'!O:O&lt;&gt;"""");filter('Students (Vertical)'!O:O,'Students (Vertical)'!C:C=E911,'Students (Vertical)'!O:O&lt;&gt;"""")})&gt;1))),""No shared courses""),"""")"),"")</f>
        <v/>
      </c>
      <c r="J911" s="357" t="str">
        <f>IFERROR(__xludf.DUMMYFUNCTION("if(H911=""Can't be Together"",iferror(join("", "",unique(filter({filter('Students (Vertical)'!O:O,'Students (Vertical)'!C:C=B911,'Students (Vertical)'!O:O&lt;&gt;"""",'Students (Vertical)'!P:P&gt;1);filter('Students (Vertical)'!O:O,'Students (Vertical)'!C:C=E911,'"&amp;"Students (Vertical)'!O:O&lt;&gt;"""",'Students (Vertical)'!P:P&gt;1)},countifs({filter('Students (Vertical)'!O:O,'Students (Vertical)'!C:C=B911,'Students (Vertical)'!O:O&lt;&gt;"""",'Students (Vertical)'!P:P&gt;1);filter('Students (Vertical)'!O:O,'Students (Vertical)'!C:C="&amp;"E911,'Students (Vertical)'!O:O&lt;&gt;"""",'Students (Vertical)'!P:P&gt;1)},{filter('Students (Vertical)'!O:O,'Students (Vertical)'!C:C=B911,'Students (Vertical)'!O:O&lt;&gt;"""",'Students (Vertical)'!P:P&gt;1);filter('Students (Vertical)'!O:O,'Students (Vertical)'!C:C=E91"&amp;"1,'Students (Vertical)'!O:O&lt;&gt;"""",'Students (Vertical)'!P:P&gt;1)})&gt;1))),""""),"""")"),"")</f>
        <v/>
      </c>
      <c r="K911" s="358"/>
    </row>
    <row r="912">
      <c r="A912" s="300" t="s">
        <v>22</v>
      </c>
      <c r="C912" s="300" t="s">
        <v>22</v>
      </c>
      <c r="D912" s="300" t="s">
        <v>22</v>
      </c>
      <c r="F912" s="300" t="s">
        <v>22</v>
      </c>
      <c r="G912" s="300" t="s">
        <v>22</v>
      </c>
      <c r="I912" s="356" t="str">
        <f>IFERROR(__xludf.DUMMYFUNCTION("if(H912=""Must be Together"",iferror(join("", "",unique(filter({filter('Students (Vertical)'!O:O,'Students (Vertical)'!C:C=B912,'Students (Vertical)'!O:O&lt;&gt;"""");filter('Students (Vertical)'!O:O,'Students (Vertical)'!C:C=E912,'Students (Vertical)'!O:O&lt;&gt;"""&amp;""")},countifs({filter('Students (Vertical)'!O:O,'Students (Vertical)'!C:C=B912,'Students (Vertical)'!O:O&lt;&gt;"""");filter('Students (Vertical)'!O:O,'Students (Vertical)'!C:C=E912,'Students (Vertical)'!O:O&lt;&gt;"""")},{filter('Students (Vertical)'!O:O,'Students ("&amp;"Vertical)'!C:C=B912,'Students (Vertical)'!O:O&lt;&gt;"""");filter('Students (Vertical)'!O:O,'Students (Vertical)'!C:C=E912,'Students (Vertical)'!O:O&lt;&gt;"""")})&gt;1))),""No shared courses""),"""")"),"")</f>
        <v/>
      </c>
      <c r="J912" s="357" t="str">
        <f>IFERROR(__xludf.DUMMYFUNCTION("if(H912=""Can't be Together"",iferror(join("", "",unique(filter({filter('Students (Vertical)'!O:O,'Students (Vertical)'!C:C=B912,'Students (Vertical)'!O:O&lt;&gt;"""",'Students (Vertical)'!P:P&gt;1);filter('Students (Vertical)'!O:O,'Students (Vertical)'!C:C=E912,'"&amp;"Students (Vertical)'!O:O&lt;&gt;"""",'Students (Vertical)'!P:P&gt;1)},countifs({filter('Students (Vertical)'!O:O,'Students (Vertical)'!C:C=B912,'Students (Vertical)'!O:O&lt;&gt;"""",'Students (Vertical)'!P:P&gt;1);filter('Students (Vertical)'!O:O,'Students (Vertical)'!C:C="&amp;"E912,'Students (Vertical)'!O:O&lt;&gt;"""",'Students (Vertical)'!P:P&gt;1)},{filter('Students (Vertical)'!O:O,'Students (Vertical)'!C:C=B912,'Students (Vertical)'!O:O&lt;&gt;"""",'Students (Vertical)'!P:P&gt;1);filter('Students (Vertical)'!O:O,'Students (Vertical)'!C:C=E91"&amp;"2,'Students (Vertical)'!O:O&lt;&gt;"""",'Students (Vertical)'!P:P&gt;1)})&gt;1))),""""),"""")"),"")</f>
        <v/>
      </c>
      <c r="K912" s="358"/>
    </row>
    <row r="913">
      <c r="A913" s="300" t="s">
        <v>22</v>
      </c>
      <c r="C913" s="300" t="s">
        <v>22</v>
      </c>
      <c r="D913" s="300" t="s">
        <v>22</v>
      </c>
      <c r="F913" s="300" t="s">
        <v>22</v>
      </c>
      <c r="G913" s="300" t="s">
        <v>22</v>
      </c>
      <c r="I913" s="356" t="str">
        <f>IFERROR(__xludf.DUMMYFUNCTION("if(H913=""Must be Together"",iferror(join("", "",unique(filter({filter('Students (Vertical)'!O:O,'Students (Vertical)'!C:C=B913,'Students (Vertical)'!O:O&lt;&gt;"""");filter('Students (Vertical)'!O:O,'Students (Vertical)'!C:C=E913,'Students (Vertical)'!O:O&lt;&gt;"""&amp;""")},countifs({filter('Students (Vertical)'!O:O,'Students (Vertical)'!C:C=B913,'Students (Vertical)'!O:O&lt;&gt;"""");filter('Students (Vertical)'!O:O,'Students (Vertical)'!C:C=E913,'Students (Vertical)'!O:O&lt;&gt;"""")},{filter('Students (Vertical)'!O:O,'Students ("&amp;"Vertical)'!C:C=B913,'Students (Vertical)'!O:O&lt;&gt;"""");filter('Students (Vertical)'!O:O,'Students (Vertical)'!C:C=E913,'Students (Vertical)'!O:O&lt;&gt;"""")})&gt;1))),""No shared courses""),"""")"),"")</f>
        <v/>
      </c>
      <c r="J913" s="357" t="str">
        <f>IFERROR(__xludf.DUMMYFUNCTION("if(H913=""Can't be Together"",iferror(join("", "",unique(filter({filter('Students (Vertical)'!O:O,'Students (Vertical)'!C:C=B913,'Students (Vertical)'!O:O&lt;&gt;"""",'Students (Vertical)'!P:P&gt;1);filter('Students (Vertical)'!O:O,'Students (Vertical)'!C:C=E913,'"&amp;"Students (Vertical)'!O:O&lt;&gt;"""",'Students (Vertical)'!P:P&gt;1)},countifs({filter('Students (Vertical)'!O:O,'Students (Vertical)'!C:C=B913,'Students (Vertical)'!O:O&lt;&gt;"""",'Students (Vertical)'!P:P&gt;1);filter('Students (Vertical)'!O:O,'Students (Vertical)'!C:C="&amp;"E913,'Students (Vertical)'!O:O&lt;&gt;"""",'Students (Vertical)'!P:P&gt;1)},{filter('Students (Vertical)'!O:O,'Students (Vertical)'!C:C=B913,'Students (Vertical)'!O:O&lt;&gt;"""",'Students (Vertical)'!P:P&gt;1);filter('Students (Vertical)'!O:O,'Students (Vertical)'!C:C=E91"&amp;"3,'Students (Vertical)'!O:O&lt;&gt;"""",'Students (Vertical)'!P:P&gt;1)})&gt;1))),""""),"""")"),"")</f>
        <v/>
      </c>
      <c r="K913" s="358"/>
    </row>
    <row r="914">
      <c r="A914" s="300" t="s">
        <v>22</v>
      </c>
      <c r="C914" s="300" t="s">
        <v>22</v>
      </c>
      <c r="D914" s="300" t="s">
        <v>22</v>
      </c>
      <c r="F914" s="300" t="s">
        <v>22</v>
      </c>
      <c r="G914" s="300" t="s">
        <v>22</v>
      </c>
      <c r="I914" s="356" t="str">
        <f>IFERROR(__xludf.DUMMYFUNCTION("if(H914=""Must be Together"",iferror(join("", "",unique(filter({filter('Students (Vertical)'!O:O,'Students (Vertical)'!C:C=B914,'Students (Vertical)'!O:O&lt;&gt;"""");filter('Students (Vertical)'!O:O,'Students (Vertical)'!C:C=E914,'Students (Vertical)'!O:O&lt;&gt;"""&amp;""")},countifs({filter('Students (Vertical)'!O:O,'Students (Vertical)'!C:C=B914,'Students (Vertical)'!O:O&lt;&gt;"""");filter('Students (Vertical)'!O:O,'Students (Vertical)'!C:C=E914,'Students (Vertical)'!O:O&lt;&gt;"""")},{filter('Students (Vertical)'!O:O,'Students ("&amp;"Vertical)'!C:C=B914,'Students (Vertical)'!O:O&lt;&gt;"""");filter('Students (Vertical)'!O:O,'Students (Vertical)'!C:C=E914,'Students (Vertical)'!O:O&lt;&gt;"""")})&gt;1))),""No shared courses""),"""")"),"")</f>
        <v/>
      </c>
      <c r="J914" s="357" t="str">
        <f>IFERROR(__xludf.DUMMYFUNCTION("if(H914=""Can't be Together"",iferror(join("", "",unique(filter({filter('Students (Vertical)'!O:O,'Students (Vertical)'!C:C=B914,'Students (Vertical)'!O:O&lt;&gt;"""",'Students (Vertical)'!P:P&gt;1);filter('Students (Vertical)'!O:O,'Students (Vertical)'!C:C=E914,'"&amp;"Students (Vertical)'!O:O&lt;&gt;"""",'Students (Vertical)'!P:P&gt;1)},countifs({filter('Students (Vertical)'!O:O,'Students (Vertical)'!C:C=B914,'Students (Vertical)'!O:O&lt;&gt;"""",'Students (Vertical)'!P:P&gt;1);filter('Students (Vertical)'!O:O,'Students (Vertical)'!C:C="&amp;"E914,'Students (Vertical)'!O:O&lt;&gt;"""",'Students (Vertical)'!P:P&gt;1)},{filter('Students (Vertical)'!O:O,'Students (Vertical)'!C:C=B914,'Students (Vertical)'!O:O&lt;&gt;"""",'Students (Vertical)'!P:P&gt;1);filter('Students (Vertical)'!O:O,'Students (Vertical)'!C:C=E91"&amp;"4,'Students (Vertical)'!O:O&lt;&gt;"""",'Students (Vertical)'!P:P&gt;1)})&gt;1))),""""),"""")"),"")</f>
        <v/>
      </c>
      <c r="K914" s="358"/>
    </row>
    <row r="915">
      <c r="A915" s="300" t="s">
        <v>22</v>
      </c>
      <c r="C915" s="300" t="s">
        <v>22</v>
      </c>
      <c r="D915" s="300" t="s">
        <v>22</v>
      </c>
      <c r="F915" s="300" t="s">
        <v>22</v>
      </c>
      <c r="G915" s="300" t="s">
        <v>22</v>
      </c>
      <c r="I915" s="356" t="str">
        <f>IFERROR(__xludf.DUMMYFUNCTION("if(H915=""Must be Together"",iferror(join("", "",unique(filter({filter('Students (Vertical)'!O:O,'Students (Vertical)'!C:C=B915,'Students (Vertical)'!O:O&lt;&gt;"""");filter('Students (Vertical)'!O:O,'Students (Vertical)'!C:C=E915,'Students (Vertical)'!O:O&lt;&gt;"""&amp;""")},countifs({filter('Students (Vertical)'!O:O,'Students (Vertical)'!C:C=B915,'Students (Vertical)'!O:O&lt;&gt;"""");filter('Students (Vertical)'!O:O,'Students (Vertical)'!C:C=E915,'Students (Vertical)'!O:O&lt;&gt;"""")},{filter('Students (Vertical)'!O:O,'Students ("&amp;"Vertical)'!C:C=B915,'Students (Vertical)'!O:O&lt;&gt;"""");filter('Students (Vertical)'!O:O,'Students (Vertical)'!C:C=E915,'Students (Vertical)'!O:O&lt;&gt;"""")})&gt;1))),""No shared courses""),"""")"),"")</f>
        <v/>
      </c>
      <c r="J915" s="357" t="str">
        <f>IFERROR(__xludf.DUMMYFUNCTION("if(H915=""Can't be Together"",iferror(join("", "",unique(filter({filter('Students (Vertical)'!O:O,'Students (Vertical)'!C:C=B915,'Students (Vertical)'!O:O&lt;&gt;"""",'Students (Vertical)'!P:P&gt;1);filter('Students (Vertical)'!O:O,'Students (Vertical)'!C:C=E915,'"&amp;"Students (Vertical)'!O:O&lt;&gt;"""",'Students (Vertical)'!P:P&gt;1)},countifs({filter('Students (Vertical)'!O:O,'Students (Vertical)'!C:C=B915,'Students (Vertical)'!O:O&lt;&gt;"""",'Students (Vertical)'!P:P&gt;1);filter('Students (Vertical)'!O:O,'Students (Vertical)'!C:C="&amp;"E915,'Students (Vertical)'!O:O&lt;&gt;"""",'Students (Vertical)'!P:P&gt;1)},{filter('Students (Vertical)'!O:O,'Students (Vertical)'!C:C=B915,'Students (Vertical)'!O:O&lt;&gt;"""",'Students (Vertical)'!P:P&gt;1);filter('Students (Vertical)'!O:O,'Students (Vertical)'!C:C=E91"&amp;"5,'Students (Vertical)'!O:O&lt;&gt;"""",'Students (Vertical)'!P:P&gt;1)})&gt;1))),""""),"""")"),"")</f>
        <v/>
      </c>
      <c r="K915" s="358"/>
    </row>
    <row r="916">
      <c r="A916" s="300" t="s">
        <v>22</v>
      </c>
      <c r="C916" s="300" t="s">
        <v>22</v>
      </c>
      <c r="D916" s="300" t="s">
        <v>22</v>
      </c>
      <c r="F916" s="300" t="s">
        <v>22</v>
      </c>
      <c r="G916" s="300" t="s">
        <v>22</v>
      </c>
      <c r="I916" s="356" t="str">
        <f>IFERROR(__xludf.DUMMYFUNCTION("if(H916=""Must be Together"",iferror(join("", "",unique(filter({filter('Students (Vertical)'!O:O,'Students (Vertical)'!C:C=B916,'Students (Vertical)'!O:O&lt;&gt;"""");filter('Students (Vertical)'!O:O,'Students (Vertical)'!C:C=E916,'Students (Vertical)'!O:O&lt;&gt;"""&amp;""")},countifs({filter('Students (Vertical)'!O:O,'Students (Vertical)'!C:C=B916,'Students (Vertical)'!O:O&lt;&gt;"""");filter('Students (Vertical)'!O:O,'Students (Vertical)'!C:C=E916,'Students (Vertical)'!O:O&lt;&gt;"""")},{filter('Students (Vertical)'!O:O,'Students ("&amp;"Vertical)'!C:C=B916,'Students (Vertical)'!O:O&lt;&gt;"""");filter('Students (Vertical)'!O:O,'Students (Vertical)'!C:C=E916,'Students (Vertical)'!O:O&lt;&gt;"""")})&gt;1))),""No shared courses""),"""")"),"")</f>
        <v/>
      </c>
      <c r="J916" s="357" t="str">
        <f>IFERROR(__xludf.DUMMYFUNCTION("if(H916=""Can't be Together"",iferror(join("", "",unique(filter({filter('Students (Vertical)'!O:O,'Students (Vertical)'!C:C=B916,'Students (Vertical)'!O:O&lt;&gt;"""",'Students (Vertical)'!P:P&gt;1);filter('Students (Vertical)'!O:O,'Students (Vertical)'!C:C=E916,'"&amp;"Students (Vertical)'!O:O&lt;&gt;"""",'Students (Vertical)'!P:P&gt;1)},countifs({filter('Students (Vertical)'!O:O,'Students (Vertical)'!C:C=B916,'Students (Vertical)'!O:O&lt;&gt;"""",'Students (Vertical)'!P:P&gt;1);filter('Students (Vertical)'!O:O,'Students (Vertical)'!C:C="&amp;"E916,'Students (Vertical)'!O:O&lt;&gt;"""",'Students (Vertical)'!P:P&gt;1)},{filter('Students (Vertical)'!O:O,'Students (Vertical)'!C:C=B916,'Students (Vertical)'!O:O&lt;&gt;"""",'Students (Vertical)'!P:P&gt;1);filter('Students (Vertical)'!O:O,'Students (Vertical)'!C:C=E91"&amp;"6,'Students (Vertical)'!O:O&lt;&gt;"""",'Students (Vertical)'!P:P&gt;1)})&gt;1))),""""),"""")"),"")</f>
        <v/>
      </c>
      <c r="K916" s="358"/>
    </row>
    <row r="917">
      <c r="A917" s="300" t="s">
        <v>22</v>
      </c>
      <c r="C917" s="300" t="s">
        <v>22</v>
      </c>
      <c r="D917" s="300" t="s">
        <v>22</v>
      </c>
      <c r="F917" s="300" t="s">
        <v>22</v>
      </c>
      <c r="G917" s="300" t="s">
        <v>22</v>
      </c>
      <c r="I917" s="356" t="str">
        <f>IFERROR(__xludf.DUMMYFUNCTION("if(H917=""Must be Together"",iferror(join("", "",unique(filter({filter('Students (Vertical)'!O:O,'Students (Vertical)'!C:C=B917,'Students (Vertical)'!O:O&lt;&gt;"""");filter('Students (Vertical)'!O:O,'Students (Vertical)'!C:C=E917,'Students (Vertical)'!O:O&lt;&gt;"""&amp;""")},countifs({filter('Students (Vertical)'!O:O,'Students (Vertical)'!C:C=B917,'Students (Vertical)'!O:O&lt;&gt;"""");filter('Students (Vertical)'!O:O,'Students (Vertical)'!C:C=E917,'Students (Vertical)'!O:O&lt;&gt;"""")},{filter('Students (Vertical)'!O:O,'Students ("&amp;"Vertical)'!C:C=B917,'Students (Vertical)'!O:O&lt;&gt;"""");filter('Students (Vertical)'!O:O,'Students (Vertical)'!C:C=E917,'Students (Vertical)'!O:O&lt;&gt;"""")})&gt;1))),""No shared courses""),"""")"),"")</f>
        <v/>
      </c>
      <c r="J917" s="357" t="str">
        <f>IFERROR(__xludf.DUMMYFUNCTION("if(H917=""Can't be Together"",iferror(join("", "",unique(filter({filter('Students (Vertical)'!O:O,'Students (Vertical)'!C:C=B917,'Students (Vertical)'!O:O&lt;&gt;"""",'Students (Vertical)'!P:P&gt;1);filter('Students (Vertical)'!O:O,'Students (Vertical)'!C:C=E917,'"&amp;"Students (Vertical)'!O:O&lt;&gt;"""",'Students (Vertical)'!P:P&gt;1)},countifs({filter('Students (Vertical)'!O:O,'Students (Vertical)'!C:C=B917,'Students (Vertical)'!O:O&lt;&gt;"""",'Students (Vertical)'!P:P&gt;1);filter('Students (Vertical)'!O:O,'Students (Vertical)'!C:C="&amp;"E917,'Students (Vertical)'!O:O&lt;&gt;"""",'Students (Vertical)'!P:P&gt;1)},{filter('Students (Vertical)'!O:O,'Students (Vertical)'!C:C=B917,'Students (Vertical)'!O:O&lt;&gt;"""",'Students (Vertical)'!P:P&gt;1);filter('Students (Vertical)'!O:O,'Students (Vertical)'!C:C=E91"&amp;"7,'Students (Vertical)'!O:O&lt;&gt;"""",'Students (Vertical)'!P:P&gt;1)})&gt;1))),""""),"""")"),"")</f>
        <v/>
      </c>
      <c r="K917" s="358"/>
    </row>
    <row r="918">
      <c r="A918" s="300" t="s">
        <v>22</v>
      </c>
      <c r="C918" s="300" t="s">
        <v>22</v>
      </c>
      <c r="D918" s="300" t="s">
        <v>22</v>
      </c>
      <c r="F918" s="300" t="s">
        <v>22</v>
      </c>
      <c r="G918" s="300" t="s">
        <v>22</v>
      </c>
      <c r="I918" s="356" t="str">
        <f>IFERROR(__xludf.DUMMYFUNCTION("if(H918=""Must be Together"",iferror(join("", "",unique(filter({filter('Students (Vertical)'!O:O,'Students (Vertical)'!C:C=B918,'Students (Vertical)'!O:O&lt;&gt;"""");filter('Students (Vertical)'!O:O,'Students (Vertical)'!C:C=E918,'Students (Vertical)'!O:O&lt;&gt;"""&amp;""")},countifs({filter('Students (Vertical)'!O:O,'Students (Vertical)'!C:C=B918,'Students (Vertical)'!O:O&lt;&gt;"""");filter('Students (Vertical)'!O:O,'Students (Vertical)'!C:C=E918,'Students (Vertical)'!O:O&lt;&gt;"""")},{filter('Students (Vertical)'!O:O,'Students ("&amp;"Vertical)'!C:C=B918,'Students (Vertical)'!O:O&lt;&gt;"""");filter('Students (Vertical)'!O:O,'Students (Vertical)'!C:C=E918,'Students (Vertical)'!O:O&lt;&gt;"""")})&gt;1))),""No shared courses""),"""")"),"")</f>
        <v/>
      </c>
      <c r="J918" s="357" t="str">
        <f>IFERROR(__xludf.DUMMYFUNCTION("if(H918=""Can't be Together"",iferror(join("", "",unique(filter({filter('Students (Vertical)'!O:O,'Students (Vertical)'!C:C=B918,'Students (Vertical)'!O:O&lt;&gt;"""",'Students (Vertical)'!P:P&gt;1);filter('Students (Vertical)'!O:O,'Students (Vertical)'!C:C=E918,'"&amp;"Students (Vertical)'!O:O&lt;&gt;"""",'Students (Vertical)'!P:P&gt;1)},countifs({filter('Students (Vertical)'!O:O,'Students (Vertical)'!C:C=B918,'Students (Vertical)'!O:O&lt;&gt;"""",'Students (Vertical)'!P:P&gt;1);filter('Students (Vertical)'!O:O,'Students (Vertical)'!C:C="&amp;"E918,'Students (Vertical)'!O:O&lt;&gt;"""",'Students (Vertical)'!P:P&gt;1)},{filter('Students (Vertical)'!O:O,'Students (Vertical)'!C:C=B918,'Students (Vertical)'!O:O&lt;&gt;"""",'Students (Vertical)'!P:P&gt;1);filter('Students (Vertical)'!O:O,'Students (Vertical)'!C:C=E91"&amp;"8,'Students (Vertical)'!O:O&lt;&gt;"""",'Students (Vertical)'!P:P&gt;1)})&gt;1))),""""),"""")"),"")</f>
        <v/>
      </c>
      <c r="K918" s="358"/>
    </row>
    <row r="919">
      <c r="A919" s="300" t="s">
        <v>22</v>
      </c>
      <c r="C919" s="300" t="s">
        <v>22</v>
      </c>
      <c r="D919" s="300" t="s">
        <v>22</v>
      </c>
      <c r="F919" s="300" t="s">
        <v>22</v>
      </c>
      <c r="G919" s="300" t="s">
        <v>22</v>
      </c>
      <c r="I919" s="356" t="str">
        <f>IFERROR(__xludf.DUMMYFUNCTION("if(H919=""Must be Together"",iferror(join("", "",unique(filter({filter('Students (Vertical)'!O:O,'Students (Vertical)'!C:C=B919,'Students (Vertical)'!O:O&lt;&gt;"""");filter('Students (Vertical)'!O:O,'Students (Vertical)'!C:C=E919,'Students (Vertical)'!O:O&lt;&gt;"""&amp;""")},countifs({filter('Students (Vertical)'!O:O,'Students (Vertical)'!C:C=B919,'Students (Vertical)'!O:O&lt;&gt;"""");filter('Students (Vertical)'!O:O,'Students (Vertical)'!C:C=E919,'Students (Vertical)'!O:O&lt;&gt;"""")},{filter('Students (Vertical)'!O:O,'Students ("&amp;"Vertical)'!C:C=B919,'Students (Vertical)'!O:O&lt;&gt;"""");filter('Students (Vertical)'!O:O,'Students (Vertical)'!C:C=E919,'Students (Vertical)'!O:O&lt;&gt;"""")})&gt;1))),""No shared courses""),"""")"),"")</f>
        <v/>
      </c>
      <c r="J919" s="357" t="str">
        <f>IFERROR(__xludf.DUMMYFUNCTION("if(H919=""Can't be Together"",iferror(join("", "",unique(filter({filter('Students (Vertical)'!O:O,'Students (Vertical)'!C:C=B919,'Students (Vertical)'!O:O&lt;&gt;"""",'Students (Vertical)'!P:P&gt;1);filter('Students (Vertical)'!O:O,'Students (Vertical)'!C:C=E919,'"&amp;"Students (Vertical)'!O:O&lt;&gt;"""",'Students (Vertical)'!P:P&gt;1)},countifs({filter('Students (Vertical)'!O:O,'Students (Vertical)'!C:C=B919,'Students (Vertical)'!O:O&lt;&gt;"""",'Students (Vertical)'!P:P&gt;1);filter('Students (Vertical)'!O:O,'Students (Vertical)'!C:C="&amp;"E919,'Students (Vertical)'!O:O&lt;&gt;"""",'Students (Vertical)'!P:P&gt;1)},{filter('Students (Vertical)'!O:O,'Students (Vertical)'!C:C=B919,'Students (Vertical)'!O:O&lt;&gt;"""",'Students (Vertical)'!P:P&gt;1);filter('Students (Vertical)'!O:O,'Students (Vertical)'!C:C=E91"&amp;"9,'Students (Vertical)'!O:O&lt;&gt;"""",'Students (Vertical)'!P:P&gt;1)})&gt;1))),""""),"""")"),"")</f>
        <v/>
      </c>
      <c r="K919" s="358"/>
    </row>
    <row r="920">
      <c r="A920" s="300" t="s">
        <v>22</v>
      </c>
      <c r="C920" s="300" t="s">
        <v>22</v>
      </c>
      <c r="D920" s="300" t="s">
        <v>22</v>
      </c>
      <c r="F920" s="300" t="s">
        <v>22</v>
      </c>
      <c r="G920" s="300" t="s">
        <v>22</v>
      </c>
      <c r="I920" s="356" t="str">
        <f>IFERROR(__xludf.DUMMYFUNCTION("if(H920=""Must be Together"",iferror(join("", "",unique(filter({filter('Students (Vertical)'!O:O,'Students (Vertical)'!C:C=B920,'Students (Vertical)'!O:O&lt;&gt;"""");filter('Students (Vertical)'!O:O,'Students (Vertical)'!C:C=E920,'Students (Vertical)'!O:O&lt;&gt;"""&amp;""")},countifs({filter('Students (Vertical)'!O:O,'Students (Vertical)'!C:C=B920,'Students (Vertical)'!O:O&lt;&gt;"""");filter('Students (Vertical)'!O:O,'Students (Vertical)'!C:C=E920,'Students (Vertical)'!O:O&lt;&gt;"""")},{filter('Students (Vertical)'!O:O,'Students ("&amp;"Vertical)'!C:C=B920,'Students (Vertical)'!O:O&lt;&gt;"""");filter('Students (Vertical)'!O:O,'Students (Vertical)'!C:C=E920,'Students (Vertical)'!O:O&lt;&gt;"""")})&gt;1))),""No shared courses""),"""")"),"")</f>
        <v/>
      </c>
      <c r="J920" s="357" t="str">
        <f>IFERROR(__xludf.DUMMYFUNCTION("if(H920=""Can't be Together"",iferror(join("", "",unique(filter({filter('Students (Vertical)'!O:O,'Students (Vertical)'!C:C=B920,'Students (Vertical)'!O:O&lt;&gt;"""",'Students (Vertical)'!P:P&gt;1);filter('Students (Vertical)'!O:O,'Students (Vertical)'!C:C=E920,'"&amp;"Students (Vertical)'!O:O&lt;&gt;"""",'Students (Vertical)'!P:P&gt;1)},countifs({filter('Students (Vertical)'!O:O,'Students (Vertical)'!C:C=B920,'Students (Vertical)'!O:O&lt;&gt;"""",'Students (Vertical)'!P:P&gt;1);filter('Students (Vertical)'!O:O,'Students (Vertical)'!C:C="&amp;"E920,'Students (Vertical)'!O:O&lt;&gt;"""",'Students (Vertical)'!P:P&gt;1)},{filter('Students (Vertical)'!O:O,'Students (Vertical)'!C:C=B920,'Students (Vertical)'!O:O&lt;&gt;"""",'Students (Vertical)'!P:P&gt;1);filter('Students (Vertical)'!O:O,'Students (Vertical)'!C:C=E92"&amp;"0,'Students (Vertical)'!O:O&lt;&gt;"""",'Students (Vertical)'!P:P&gt;1)})&gt;1))),""""),"""")"),"")</f>
        <v/>
      </c>
      <c r="K920" s="358"/>
    </row>
    <row r="921">
      <c r="A921" s="300" t="s">
        <v>22</v>
      </c>
      <c r="C921" s="300" t="s">
        <v>22</v>
      </c>
      <c r="D921" s="300" t="s">
        <v>22</v>
      </c>
      <c r="F921" s="300" t="s">
        <v>22</v>
      </c>
      <c r="G921" s="300" t="s">
        <v>22</v>
      </c>
      <c r="I921" s="356" t="str">
        <f>IFERROR(__xludf.DUMMYFUNCTION("if(H921=""Must be Together"",iferror(join("", "",unique(filter({filter('Students (Vertical)'!O:O,'Students (Vertical)'!C:C=B921,'Students (Vertical)'!O:O&lt;&gt;"""");filter('Students (Vertical)'!O:O,'Students (Vertical)'!C:C=E921,'Students (Vertical)'!O:O&lt;&gt;"""&amp;""")},countifs({filter('Students (Vertical)'!O:O,'Students (Vertical)'!C:C=B921,'Students (Vertical)'!O:O&lt;&gt;"""");filter('Students (Vertical)'!O:O,'Students (Vertical)'!C:C=E921,'Students (Vertical)'!O:O&lt;&gt;"""")},{filter('Students (Vertical)'!O:O,'Students ("&amp;"Vertical)'!C:C=B921,'Students (Vertical)'!O:O&lt;&gt;"""");filter('Students (Vertical)'!O:O,'Students (Vertical)'!C:C=E921,'Students (Vertical)'!O:O&lt;&gt;"""")})&gt;1))),""No shared courses""),"""")"),"")</f>
        <v/>
      </c>
      <c r="J921" s="357" t="str">
        <f>IFERROR(__xludf.DUMMYFUNCTION("if(H921=""Can't be Together"",iferror(join("", "",unique(filter({filter('Students (Vertical)'!O:O,'Students (Vertical)'!C:C=B921,'Students (Vertical)'!O:O&lt;&gt;"""",'Students (Vertical)'!P:P&gt;1);filter('Students (Vertical)'!O:O,'Students (Vertical)'!C:C=E921,'"&amp;"Students (Vertical)'!O:O&lt;&gt;"""",'Students (Vertical)'!P:P&gt;1)},countifs({filter('Students (Vertical)'!O:O,'Students (Vertical)'!C:C=B921,'Students (Vertical)'!O:O&lt;&gt;"""",'Students (Vertical)'!P:P&gt;1);filter('Students (Vertical)'!O:O,'Students (Vertical)'!C:C="&amp;"E921,'Students (Vertical)'!O:O&lt;&gt;"""",'Students (Vertical)'!P:P&gt;1)},{filter('Students (Vertical)'!O:O,'Students (Vertical)'!C:C=B921,'Students (Vertical)'!O:O&lt;&gt;"""",'Students (Vertical)'!P:P&gt;1);filter('Students (Vertical)'!O:O,'Students (Vertical)'!C:C=E92"&amp;"1,'Students (Vertical)'!O:O&lt;&gt;"""",'Students (Vertical)'!P:P&gt;1)})&gt;1))),""""),"""")"),"")</f>
        <v/>
      </c>
      <c r="K921" s="358"/>
    </row>
    <row r="922">
      <c r="A922" s="300" t="s">
        <v>22</v>
      </c>
      <c r="C922" s="300" t="s">
        <v>22</v>
      </c>
      <c r="D922" s="300" t="s">
        <v>22</v>
      </c>
      <c r="F922" s="300" t="s">
        <v>22</v>
      </c>
      <c r="G922" s="300" t="s">
        <v>22</v>
      </c>
      <c r="I922" s="356" t="str">
        <f>IFERROR(__xludf.DUMMYFUNCTION("if(H922=""Must be Together"",iferror(join("", "",unique(filter({filter('Students (Vertical)'!O:O,'Students (Vertical)'!C:C=B922,'Students (Vertical)'!O:O&lt;&gt;"""");filter('Students (Vertical)'!O:O,'Students (Vertical)'!C:C=E922,'Students (Vertical)'!O:O&lt;&gt;"""&amp;""")},countifs({filter('Students (Vertical)'!O:O,'Students (Vertical)'!C:C=B922,'Students (Vertical)'!O:O&lt;&gt;"""");filter('Students (Vertical)'!O:O,'Students (Vertical)'!C:C=E922,'Students (Vertical)'!O:O&lt;&gt;"""")},{filter('Students (Vertical)'!O:O,'Students ("&amp;"Vertical)'!C:C=B922,'Students (Vertical)'!O:O&lt;&gt;"""");filter('Students (Vertical)'!O:O,'Students (Vertical)'!C:C=E922,'Students (Vertical)'!O:O&lt;&gt;"""")})&gt;1))),""No shared courses""),"""")"),"")</f>
        <v/>
      </c>
      <c r="J922" s="357" t="str">
        <f>IFERROR(__xludf.DUMMYFUNCTION("if(H922=""Can't be Together"",iferror(join("", "",unique(filter({filter('Students (Vertical)'!O:O,'Students (Vertical)'!C:C=B922,'Students (Vertical)'!O:O&lt;&gt;"""",'Students (Vertical)'!P:P&gt;1);filter('Students (Vertical)'!O:O,'Students (Vertical)'!C:C=E922,'"&amp;"Students (Vertical)'!O:O&lt;&gt;"""",'Students (Vertical)'!P:P&gt;1)},countifs({filter('Students (Vertical)'!O:O,'Students (Vertical)'!C:C=B922,'Students (Vertical)'!O:O&lt;&gt;"""",'Students (Vertical)'!P:P&gt;1);filter('Students (Vertical)'!O:O,'Students (Vertical)'!C:C="&amp;"E922,'Students (Vertical)'!O:O&lt;&gt;"""",'Students (Vertical)'!P:P&gt;1)},{filter('Students (Vertical)'!O:O,'Students (Vertical)'!C:C=B922,'Students (Vertical)'!O:O&lt;&gt;"""",'Students (Vertical)'!P:P&gt;1);filter('Students (Vertical)'!O:O,'Students (Vertical)'!C:C=E92"&amp;"2,'Students (Vertical)'!O:O&lt;&gt;"""",'Students (Vertical)'!P:P&gt;1)})&gt;1))),""""),"""")"),"")</f>
        <v/>
      </c>
      <c r="K922" s="358"/>
    </row>
    <row r="923">
      <c r="A923" s="300" t="s">
        <v>22</v>
      </c>
      <c r="C923" s="300" t="s">
        <v>22</v>
      </c>
      <c r="D923" s="300" t="s">
        <v>22</v>
      </c>
      <c r="F923" s="300" t="s">
        <v>22</v>
      </c>
      <c r="G923" s="300" t="s">
        <v>22</v>
      </c>
      <c r="I923" s="356" t="str">
        <f>IFERROR(__xludf.DUMMYFUNCTION("if(H923=""Must be Together"",iferror(join("", "",unique(filter({filter('Students (Vertical)'!O:O,'Students (Vertical)'!C:C=B923,'Students (Vertical)'!O:O&lt;&gt;"""");filter('Students (Vertical)'!O:O,'Students (Vertical)'!C:C=E923,'Students (Vertical)'!O:O&lt;&gt;"""&amp;""")},countifs({filter('Students (Vertical)'!O:O,'Students (Vertical)'!C:C=B923,'Students (Vertical)'!O:O&lt;&gt;"""");filter('Students (Vertical)'!O:O,'Students (Vertical)'!C:C=E923,'Students (Vertical)'!O:O&lt;&gt;"""")},{filter('Students (Vertical)'!O:O,'Students ("&amp;"Vertical)'!C:C=B923,'Students (Vertical)'!O:O&lt;&gt;"""");filter('Students (Vertical)'!O:O,'Students (Vertical)'!C:C=E923,'Students (Vertical)'!O:O&lt;&gt;"""")})&gt;1))),""No shared courses""),"""")"),"")</f>
        <v/>
      </c>
      <c r="J923" s="357" t="str">
        <f>IFERROR(__xludf.DUMMYFUNCTION("if(H923=""Can't be Together"",iferror(join("", "",unique(filter({filter('Students (Vertical)'!O:O,'Students (Vertical)'!C:C=B923,'Students (Vertical)'!O:O&lt;&gt;"""",'Students (Vertical)'!P:P&gt;1);filter('Students (Vertical)'!O:O,'Students (Vertical)'!C:C=E923,'"&amp;"Students (Vertical)'!O:O&lt;&gt;"""",'Students (Vertical)'!P:P&gt;1)},countifs({filter('Students (Vertical)'!O:O,'Students (Vertical)'!C:C=B923,'Students (Vertical)'!O:O&lt;&gt;"""",'Students (Vertical)'!P:P&gt;1);filter('Students (Vertical)'!O:O,'Students (Vertical)'!C:C="&amp;"E923,'Students (Vertical)'!O:O&lt;&gt;"""",'Students (Vertical)'!P:P&gt;1)},{filter('Students (Vertical)'!O:O,'Students (Vertical)'!C:C=B923,'Students (Vertical)'!O:O&lt;&gt;"""",'Students (Vertical)'!P:P&gt;1);filter('Students (Vertical)'!O:O,'Students (Vertical)'!C:C=E92"&amp;"3,'Students (Vertical)'!O:O&lt;&gt;"""",'Students (Vertical)'!P:P&gt;1)})&gt;1))),""""),"""")"),"")</f>
        <v/>
      </c>
      <c r="K923" s="358"/>
    </row>
    <row r="924">
      <c r="A924" s="300" t="s">
        <v>22</v>
      </c>
      <c r="C924" s="300" t="s">
        <v>22</v>
      </c>
      <c r="D924" s="300" t="s">
        <v>22</v>
      </c>
      <c r="F924" s="300" t="s">
        <v>22</v>
      </c>
      <c r="G924" s="300" t="s">
        <v>22</v>
      </c>
      <c r="I924" s="356" t="str">
        <f>IFERROR(__xludf.DUMMYFUNCTION("if(H924=""Must be Together"",iferror(join("", "",unique(filter({filter('Students (Vertical)'!O:O,'Students (Vertical)'!C:C=B924,'Students (Vertical)'!O:O&lt;&gt;"""");filter('Students (Vertical)'!O:O,'Students (Vertical)'!C:C=E924,'Students (Vertical)'!O:O&lt;&gt;"""&amp;""")},countifs({filter('Students (Vertical)'!O:O,'Students (Vertical)'!C:C=B924,'Students (Vertical)'!O:O&lt;&gt;"""");filter('Students (Vertical)'!O:O,'Students (Vertical)'!C:C=E924,'Students (Vertical)'!O:O&lt;&gt;"""")},{filter('Students (Vertical)'!O:O,'Students ("&amp;"Vertical)'!C:C=B924,'Students (Vertical)'!O:O&lt;&gt;"""");filter('Students (Vertical)'!O:O,'Students (Vertical)'!C:C=E924,'Students (Vertical)'!O:O&lt;&gt;"""")})&gt;1))),""No shared courses""),"""")"),"")</f>
        <v/>
      </c>
      <c r="J924" s="357" t="str">
        <f>IFERROR(__xludf.DUMMYFUNCTION("if(H924=""Can't be Together"",iferror(join("", "",unique(filter({filter('Students (Vertical)'!O:O,'Students (Vertical)'!C:C=B924,'Students (Vertical)'!O:O&lt;&gt;"""",'Students (Vertical)'!P:P&gt;1);filter('Students (Vertical)'!O:O,'Students (Vertical)'!C:C=E924,'"&amp;"Students (Vertical)'!O:O&lt;&gt;"""",'Students (Vertical)'!P:P&gt;1)},countifs({filter('Students (Vertical)'!O:O,'Students (Vertical)'!C:C=B924,'Students (Vertical)'!O:O&lt;&gt;"""",'Students (Vertical)'!P:P&gt;1);filter('Students (Vertical)'!O:O,'Students (Vertical)'!C:C="&amp;"E924,'Students (Vertical)'!O:O&lt;&gt;"""",'Students (Vertical)'!P:P&gt;1)},{filter('Students (Vertical)'!O:O,'Students (Vertical)'!C:C=B924,'Students (Vertical)'!O:O&lt;&gt;"""",'Students (Vertical)'!P:P&gt;1);filter('Students (Vertical)'!O:O,'Students (Vertical)'!C:C=E92"&amp;"4,'Students (Vertical)'!O:O&lt;&gt;"""",'Students (Vertical)'!P:P&gt;1)})&gt;1))),""""),"""")"),"")</f>
        <v/>
      </c>
      <c r="K924" s="358"/>
    </row>
    <row r="925">
      <c r="A925" s="300" t="s">
        <v>22</v>
      </c>
      <c r="C925" s="300" t="s">
        <v>22</v>
      </c>
      <c r="D925" s="300" t="s">
        <v>22</v>
      </c>
      <c r="F925" s="300" t="s">
        <v>22</v>
      </c>
      <c r="G925" s="300" t="s">
        <v>22</v>
      </c>
      <c r="I925" s="356" t="str">
        <f>IFERROR(__xludf.DUMMYFUNCTION("if(H925=""Must be Together"",iferror(join("", "",unique(filter({filter('Students (Vertical)'!O:O,'Students (Vertical)'!C:C=B925,'Students (Vertical)'!O:O&lt;&gt;"""");filter('Students (Vertical)'!O:O,'Students (Vertical)'!C:C=E925,'Students (Vertical)'!O:O&lt;&gt;"""&amp;""")},countifs({filter('Students (Vertical)'!O:O,'Students (Vertical)'!C:C=B925,'Students (Vertical)'!O:O&lt;&gt;"""");filter('Students (Vertical)'!O:O,'Students (Vertical)'!C:C=E925,'Students (Vertical)'!O:O&lt;&gt;"""")},{filter('Students (Vertical)'!O:O,'Students ("&amp;"Vertical)'!C:C=B925,'Students (Vertical)'!O:O&lt;&gt;"""");filter('Students (Vertical)'!O:O,'Students (Vertical)'!C:C=E925,'Students (Vertical)'!O:O&lt;&gt;"""")})&gt;1))),""No shared courses""),"""")"),"")</f>
        <v/>
      </c>
      <c r="J925" s="357" t="str">
        <f>IFERROR(__xludf.DUMMYFUNCTION("if(H925=""Can't be Together"",iferror(join("", "",unique(filter({filter('Students (Vertical)'!O:O,'Students (Vertical)'!C:C=B925,'Students (Vertical)'!O:O&lt;&gt;"""",'Students (Vertical)'!P:P&gt;1);filter('Students (Vertical)'!O:O,'Students (Vertical)'!C:C=E925,'"&amp;"Students (Vertical)'!O:O&lt;&gt;"""",'Students (Vertical)'!P:P&gt;1)},countifs({filter('Students (Vertical)'!O:O,'Students (Vertical)'!C:C=B925,'Students (Vertical)'!O:O&lt;&gt;"""",'Students (Vertical)'!P:P&gt;1);filter('Students (Vertical)'!O:O,'Students (Vertical)'!C:C="&amp;"E925,'Students (Vertical)'!O:O&lt;&gt;"""",'Students (Vertical)'!P:P&gt;1)},{filter('Students (Vertical)'!O:O,'Students (Vertical)'!C:C=B925,'Students (Vertical)'!O:O&lt;&gt;"""",'Students (Vertical)'!P:P&gt;1);filter('Students (Vertical)'!O:O,'Students (Vertical)'!C:C=E92"&amp;"5,'Students (Vertical)'!O:O&lt;&gt;"""",'Students (Vertical)'!P:P&gt;1)})&gt;1))),""""),"""")"),"")</f>
        <v/>
      </c>
      <c r="K925" s="358"/>
    </row>
    <row r="926">
      <c r="A926" s="300" t="s">
        <v>22</v>
      </c>
      <c r="C926" s="300" t="s">
        <v>22</v>
      </c>
      <c r="D926" s="300" t="s">
        <v>22</v>
      </c>
      <c r="F926" s="300" t="s">
        <v>22</v>
      </c>
      <c r="G926" s="300" t="s">
        <v>22</v>
      </c>
      <c r="I926" s="356" t="str">
        <f>IFERROR(__xludf.DUMMYFUNCTION("if(H926=""Must be Together"",iferror(join("", "",unique(filter({filter('Students (Vertical)'!O:O,'Students (Vertical)'!C:C=B926,'Students (Vertical)'!O:O&lt;&gt;"""");filter('Students (Vertical)'!O:O,'Students (Vertical)'!C:C=E926,'Students (Vertical)'!O:O&lt;&gt;"""&amp;""")},countifs({filter('Students (Vertical)'!O:O,'Students (Vertical)'!C:C=B926,'Students (Vertical)'!O:O&lt;&gt;"""");filter('Students (Vertical)'!O:O,'Students (Vertical)'!C:C=E926,'Students (Vertical)'!O:O&lt;&gt;"""")},{filter('Students (Vertical)'!O:O,'Students ("&amp;"Vertical)'!C:C=B926,'Students (Vertical)'!O:O&lt;&gt;"""");filter('Students (Vertical)'!O:O,'Students (Vertical)'!C:C=E926,'Students (Vertical)'!O:O&lt;&gt;"""")})&gt;1))),""No shared courses""),"""")"),"")</f>
        <v/>
      </c>
      <c r="J926" s="357" t="str">
        <f>IFERROR(__xludf.DUMMYFUNCTION("if(H926=""Can't be Together"",iferror(join("", "",unique(filter({filter('Students (Vertical)'!O:O,'Students (Vertical)'!C:C=B926,'Students (Vertical)'!O:O&lt;&gt;"""",'Students (Vertical)'!P:P&gt;1);filter('Students (Vertical)'!O:O,'Students (Vertical)'!C:C=E926,'"&amp;"Students (Vertical)'!O:O&lt;&gt;"""",'Students (Vertical)'!P:P&gt;1)},countifs({filter('Students (Vertical)'!O:O,'Students (Vertical)'!C:C=B926,'Students (Vertical)'!O:O&lt;&gt;"""",'Students (Vertical)'!P:P&gt;1);filter('Students (Vertical)'!O:O,'Students (Vertical)'!C:C="&amp;"E926,'Students (Vertical)'!O:O&lt;&gt;"""",'Students (Vertical)'!P:P&gt;1)},{filter('Students (Vertical)'!O:O,'Students (Vertical)'!C:C=B926,'Students (Vertical)'!O:O&lt;&gt;"""",'Students (Vertical)'!P:P&gt;1);filter('Students (Vertical)'!O:O,'Students (Vertical)'!C:C=E92"&amp;"6,'Students (Vertical)'!O:O&lt;&gt;"""",'Students (Vertical)'!P:P&gt;1)})&gt;1))),""""),"""")"),"")</f>
        <v/>
      </c>
      <c r="K926" s="358"/>
    </row>
    <row r="927">
      <c r="A927" s="300" t="s">
        <v>22</v>
      </c>
      <c r="C927" s="300" t="s">
        <v>22</v>
      </c>
      <c r="D927" s="300" t="s">
        <v>22</v>
      </c>
      <c r="F927" s="300" t="s">
        <v>22</v>
      </c>
      <c r="G927" s="300" t="s">
        <v>22</v>
      </c>
      <c r="I927" s="356" t="str">
        <f>IFERROR(__xludf.DUMMYFUNCTION("if(H927=""Must be Together"",iferror(join("", "",unique(filter({filter('Students (Vertical)'!O:O,'Students (Vertical)'!C:C=B927,'Students (Vertical)'!O:O&lt;&gt;"""");filter('Students (Vertical)'!O:O,'Students (Vertical)'!C:C=E927,'Students (Vertical)'!O:O&lt;&gt;"""&amp;""")},countifs({filter('Students (Vertical)'!O:O,'Students (Vertical)'!C:C=B927,'Students (Vertical)'!O:O&lt;&gt;"""");filter('Students (Vertical)'!O:O,'Students (Vertical)'!C:C=E927,'Students (Vertical)'!O:O&lt;&gt;"""")},{filter('Students (Vertical)'!O:O,'Students ("&amp;"Vertical)'!C:C=B927,'Students (Vertical)'!O:O&lt;&gt;"""");filter('Students (Vertical)'!O:O,'Students (Vertical)'!C:C=E927,'Students (Vertical)'!O:O&lt;&gt;"""")})&gt;1))),""No shared courses""),"""")"),"")</f>
        <v/>
      </c>
      <c r="J927" s="357" t="str">
        <f>IFERROR(__xludf.DUMMYFUNCTION("if(H927=""Can't be Together"",iferror(join("", "",unique(filter({filter('Students (Vertical)'!O:O,'Students (Vertical)'!C:C=B927,'Students (Vertical)'!O:O&lt;&gt;"""",'Students (Vertical)'!P:P&gt;1);filter('Students (Vertical)'!O:O,'Students (Vertical)'!C:C=E927,'"&amp;"Students (Vertical)'!O:O&lt;&gt;"""",'Students (Vertical)'!P:P&gt;1)},countifs({filter('Students (Vertical)'!O:O,'Students (Vertical)'!C:C=B927,'Students (Vertical)'!O:O&lt;&gt;"""",'Students (Vertical)'!P:P&gt;1);filter('Students (Vertical)'!O:O,'Students (Vertical)'!C:C="&amp;"E927,'Students (Vertical)'!O:O&lt;&gt;"""",'Students (Vertical)'!P:P&gt;1)},{filter('Students (Vertical)'!O:O,'Students (Vertical)'!C:C=B927,'Students (Vertical)'!O:O&lt;&gt;"""",'Students (Vertical)'!P:P&gt;1);filter('Students (Vertical)'!O:O,'Students (Vertical)'!C:C=E92"&amp;"7,'Students (Vertical)'!O:O&lt;&gt;"""",'Students (Vertical)'!P:P&gt;1)})&gt;1))),""""),"""")"),"")</f>
        <v/>
      </c>
      <c r="K927" s="358"/>
    </row>
    <row r="928">
      <c r="A928" s="300" t="s">
        <v>22</v>
      </c>
      <c r="C928" s="300" t="s">
        <v>22</v>
      </c>
      <c r="D928" s="300" t="s">
        <v>22</v>
      </c>
      <c r="F928" s="300" t="s">
        <v>22</v>
      </c>
      <c r="G928" s="300" t="s">
        <v>22</v>
      </c>
      <c r="I928" s="356" t="str">
        <f>IFERROR(__xludf.DUMMYFUNCTION("if(H928=""Must be Together"",iferror(join("", "",unique(filter({filter('Students (Vertical)'!O:O,'Students (Vertical)'!C:C=B928,'Students (Vertical)'!O:O&lt;&gt;"""");filter('Students (Vertical)'!O:O,'Students (Vertical)'!C:C=E928,'Students (Vertical)'!O:O&lt;&gt;"""&amp;""")},countifs({filter('Students (Vertical)'!O:O,'Students (Vertical)'!C:C=B928,'Students (Vertical)'!O:O&lt;&gt;"""");filter('Students (Vertical)'!O:O,'Students (Vertical)'!C:C=E928,'Students (Vertical)'!O:O&lt;&gt;"""")},{filter('Students (Vertical)'!O:O,'Students ("&amp;"Vertical)'!C:C=B928,'Students (Vertical)'!O:O&lt;&gt;"""");filter('Students (Vertical)'!O:O,'Students (Vertical)'!C:C=E928,'Students (Vertical)'!O:O&lt;&gt;"""")})&gt;1))),""No shared courses""),"""")"),"")</f>
        <v/>
      </c>
      <c r="J928" s="357" t="str">
        <f>IFERROR(__xludf.DUMMYFUNCTION("if(H928=""Can't be Together"",iferror(join("", "",unique(filter({filter('Students (Vertical)'!O:O,'Students (Vertical)'!C:C=B928,'Students (Vertical)'!O:O&lt;&gt;"""",'Students (Vertical)'!P:P&gt;1);filter('Students (Vertical)'!O:O,'Students (Vertical)'!C:C=E928,'"&amp;"Students (Vertical)'!O:O&lt;&gt;"""",'Students (Vertical)'!P:P&gt;1)},countifs({filter('Students (Vertical)'!O:O,'Students (Vertical)'!C:C=B928,'Students (Vertical)'!O:O&lt;&gt;"""",'Students (Vertical)'!P:P&gt;1);filter('Students (Vertical)'!O:O,'Students (Vertical)'!C:C="&amp;"E928,'Students (Vertical)'!O:O&lt;&gt;"""",'Students (Vertical)'!P:P&gt;1)},{filter('Students (Vertical)'!O:O,'Students (Vertical)'!C:C=B928,'Students (Vertical)'!O:O&lt;&gt;"""",'Students (Vertical)'!P:P&gt;1);filter('Students (Vertical)'!O:O,'Students (Vertical)'!C:C=E92"&amp;"8,'Students (Vertical)'!O:O&lt;&gt;"""",'Students (Vertical)'!P:P&gt;1)})&gt;1))),""""),"""")"),"")</f>
        <v/>
      </c>
      <c r="K928" s="358"/>
    </row>
    <row r="929">
      <c r="A929" s="300" t="s">
        <v>22</v>
      </c>
      <c r="C929" s="300" t="s">
        <v>22</v>
      </c>
      <c r="D929" s="300" t="s">
        <v>22</v>
      </c>
      <c r="F929" s="300" t="s">
        <v>22</v>
      </c>
      <c r="G929" s="300" t="s">
        <v>22</v>
      </c>
      <c r="I929" s="356" t="str">
        <f>IFERROR(__xludf.DUMMYFUNCTION("if(H929=""Must be Together"",iferror(join("", "",unique(filter({filter('Students (Vertical)'!O:O,'Students (Vertical)'!C:C=B929,'Students (Vertical)'!O:O&lt;&gt;"""");filter('Students (Vertical)'!O:O,'Students (Vertical)'!C:C=E929,'Students (Vertical)'!O:O&lt;&gt;"""&amp;""")},countifs({filter('Students (Vertical)'!O:O,'Students (Vertical)'!C:C=B929,'Students (Vertical)'!O:O&lt;&gt;"""");filter('Students (Vertical)'!O:O,'Students (Vertical)'!C:C=E929,'Students (Vertical)'!O:O&lt;&gt;"""")},{filter('Students (Vertical)'!O:O,'Students ("&amp;"Vertical)'!C:C=B929,'Students (Vertical)'!O:O&lt;&gt;"""");filter('Students (Vertical)'!O:O,'Students (Vertical)'!C:C=E929,'Students (Vertical)'!O:O&lt;&gt;"""")})&gt;1))),""No shared courses""),"""")"),"")</f>
        <v/>
      </c>
      <c r="J929" s="357" t="str">
        <f>IFERROR(__xludf.DUMMYFUNCTION("if(H929=""Can't be Together"",iferror(join("", "",unique(filter({filter('Students (Vertical)'!O:O,'Students (Vertical)'!C:C=B929,'Students (Vertical)'!O:O&lt;&gt;"""",'Students (Vertical)'!P:P&gt;1);filter('Students (Vertical)'!O:O,'Students (Vertical)'!C:C=E929,'"&amp;"Students (Vertical)'!O:O&lt;&gt;"""",'Students (Vertical)'!P:P&gt;1)},countifs({filter('Students (Vertical)'!O:O,'Students (Vertical)'!C:C=B929,'Students (Vertical)'!O:O&lt;&gt;"""",'Students (Vertical)'!P:P&gt;1);filter('Students (Vertical)'!O:O,'Students (Vertical)'!C:C="&amp;"E929,'Students (Vertical)'!O:O&lt;&gt;"""",'Students (Vertical)'!P:P&gt;1)},{filter('Students (Vertical)'!O:O,'Students (Vertical)'!C:C=B929,'Students (Vertical)'!O:O&lt;&gt;"""",'Students (Vertical)'!P:P&gt;1);filter('Students (Vertical)'!O:O,'Students (Vertical)'!C:C=E92"&amp;"9,'Students (Vertical)'!O:O&lt;&gt;"""",'Students (Vertical)'!P:P&gt;1)})&gt;1))),""""),"""")"),"")</f>
        <v/>
      </c>
      <c r="K929" s="358"/>
    </row>
    <row r="930">
      <c r="A930" s="300" t="s">
        <v>22</v>
      </c>
      <c r="C930" s="300" t="s">
        <v>22</v>
      </c>
      <c r="D930" s="300" t="s">
        <v>22</v>
      </c>
      <c r="F930" s="300" t="s">
        <v>22</v>
      </c>
      <c r="G930" s="300" t="s">
        <v>22</v>
      </c>
      <c r="I930" s="356" t="str">
        <f>IFERROR(__xludf.DUMMYFUNCTION("if(H930=""Must be Together"",iferror(join("", "",unique(filter({filter('Students (Vertical)'!O:O,'Students (Vertical)'!C:C=B930,'Students (Vertical)'!O:O&lt;&gt;"""");filter('Students (Vertical)'!O:O,'Students (Vertical)'!C:C=E930,'Students (Vertical)'!O:O&lt;&gt;"""&amp;""")},countifs({filter('Students (Vertical)'!O:O,'Students (Vertical)'!C:C=B930,'Students (Vertical)'!O:O&lt;&gt;"""");filter('Students (Vertical)'!O:O,'Students (Vertical)'!C:C=E930,'Students (Vertical)'!O:O&lt;&gt;"""")},{filter('Students (Vertical)'!O:O,'Students ("&amp;"Vertical)'!C:C=B930,'Students (Vertical)'!O:O&lt;&gt;"""");filter('Students (Vertical)'!O:O,'Students (Vertical)'!C:C=E930,'Students (Vertical)'!O:O&lt;&gt;"""")})&gt;1))),""No shared courses""),"""")"),"")</f>
        <v/>
      </c>
      <c r="J930" s="357" t="str">
        <f>IFERROR(__xludf.DUMMYFUNCTION("if(H930=""Can't be Together"",iferror(join("", "",unique(filter({filter('Students (Vertical)'!O:O,'Students (Vertical)'!C:C=B930,'Students (Vertical)'!O:O&lt;&gt;"""",'Students (Vertical)'!P:P&gt;1);filter('Students (Vertical)'!O:O,'Students (Vertical)'!C:C=E930,'"&amp;"Students (Vertical)'!O:O&lt;&gt;"""",'Students (Vertical)'!P:P&gt;1)},countifs({filter('Students (Vertical)'!O:O,'Students (Vertical)'!C:C=B930,'Students (Vertical)'!O:O&lt;&gt;"""",'Students (Vertical)'!P:P&gt;1);filter('Students (Vertical)'!O:O,'Students (Vertical)'!C:C="&amp;"E930,'Students (Vertical)'!O:O&lt;&gt;"""",'Students (Vertical)'!P:P&gt;1)},{filter('Students (Vertical)'!O:O,'Students (Vertical)'!C:C=B930,'Students (Vertical)'!O:O&lt;&gt;"""",'Students (Vertical)'!P:P&gt;1);filter('Students (Vertical)'!O:O,'Students (Vertical)'!C:C=E93"&amp;"0,'Students (Vertical)'!O:O&lt;&gt;"""",'Students (Vertical)'!P:P&gt;1)})&gt;1))),""""),"""")"),"")</f>
        <v/>
      </c>
      <c r="K930" s="358"/>
    </row>
    <row r="931">
      <c r="A931" s="300" t="s">
        <v>22</v>
      </c>
      <c r="C931" s="300" t="s">
        <v>22</v>
      </c>
      <c r="D931" s="300" t="s">
        <v>22</v>
      </c>
      <c r="F931" s="300" t="s">
        <v>22</v>
      </c>
      <c r="G931" s="300" t="s">
        <v>22</v>
      </c>
      <c r="I931" s="356" t="str">
        <f>IFERROR(__xludf.DUMMYFUNCTION("if(H931=""Must be Together"",iferror(join("", "",unique(filter({filter('Students (Vertical)'!O:O,'Students (Vertical)'!C:C=B931,'Students (Vertical)'!O:O&lt;&gt;"""");filter('Students (Vertical)'!O:O,'Students (Vertical)'!C:C=E931,'Students (Vertical)'!O:O&lt;&gt;"""&amp;""")},countifs({filter('Students (Vertical)'!O:O,'Students (Vertical)'!C:C=B931,'Students (Vertical)'!O:O&lt;&gt;"""");filter('Students (Vertical)'!O:O,'Students (Vertical)'!C:C=E931,'Students (Vertical)'!O:O&lt;&gt;"""")},{filter('Students (Vertical)'!O:O,'Students ("&amp;"Vertical)'!C:C=B931,'Students (Vertical)'!O:O&lt;&gt;"""");filter('Students (Vertical)'!O:O,'Students (Vertical)'!C:C=E931,'Students (Vertical)'!O:O&lt;&gt;"""")})&gt;1))),""No shared courses""),"""")"),"")</f>
        <v/>
      </c>
      <c r="J931" s="357" t="str">
        <f>IFERROR(__xludf.DUMMYFUNCTION("if(H931=""Can't be Together"",iferror(join("", "",unique(filter({filter('Students (Vertical)'!O:O,'Students (Vertical)'!C:C=B931,'Students (Vertical)'!O:O&lt;&gt;"""",'Students (Vertical)'!P:P&gt;1);filter('Students (Vertical)'!O:O,'Students (Vertical)'!C:C=E931,'"&amp;"Students (Vertical)'!O:O&lt;&gt;"""",'Students (Vertical)'!P:P&gt;1)},countifs({filter('Students (Vertical)'!O:O,'Students (Vertical)'!C:C=B931,'Students (Vertical)'!O:O&lt;&gt;"""",'Students (Vertical)'!P:P&gt;1);filter('Students (Vertical)'!O:O,'Students (Vertical)'!C:C="&amp;"E931,'Students (Vertical)'!O:O&lt;&gt;"""",'Students (Vertical)'!P:P&gt;1)},{filter('Students (Vertical)'!O:O,'Students (Vertical)'!C:C=B931,'Students (Vertical)'!O:O&lt;&gt;"""",'Students (Vertical)'!P:P&gt;1);filter('Students (Vertical)'!O:O,'Students (Vertical)'!C:C=E93"&amp;"1,'Students (Vertical)'!O:O&lt;&gt;"""",'Students (Vertical)'!P:P&gt;1)})&gt;1))),""""),"""")"),"")</f>
        <v/>
      </c>
      <c r="K931" s="358"/>
    </row>
    <row r="932">
      <c r="A932" s="300" t="s">
        <v>22</v>
      </c>
      <c r="C932" s="300" t="s">
        <v>22</v>
      </c>
      <c r="D932" s="300" t="s">
        <v>22</v>
      </c>
      <c r="F932" s="300" t="s">
        <v>22</v>
      </c>
      <c r="G932" s="300" t="s">
        <v>22</v>
      </c>
      <c r="I932" s="356" t="str">
        <f>IFERROR(__xludf.DUMMYFUNCTION("if(H932=""Must be Together"",iferror(join("", "",unique(filter({filter('Students (Vertical)'!O:O,'Students (Vertical)'!C:C=B932,'Students (Vertical)'!O:O&lt;&gt;"""");filter('Students (Vertical)'!O:O,'Students (Vertical)'!C:C=E932,'Students (Vertical)'!O:O&lt;&gt;"""&amp;""")},countifs({filter('Students (Vertical)'!O:O,'Students (Vertical)'!C:C=B932,'Students (Vertical)'!O:O&lt;&gt;"""");filter('Students (Vertical)'!O:O,'Students (Vertical)'!C:C=E932,'Students (Vertical)'!O:O&lt;&gt;"""")},{filter('Students (Vertical)'!O:O,'Students ("&amp;"Vertical)'!C:C=B932,'Students (Vertical)'!O:O&lt;&gt;"""");filter('Students (Vertical)'!O:O,'Students (Vertical)'!C:C=E932,'Students (Vertical)'!O:O&lt;&gt;"""")})&gt;1))),""No shared courses""),"""")"),"")</f>
        <v/>
      </c>
      <c r="J932" s="357" t="str">
        <f>IFERROR(__xludf.DUMMYFUNCTION("if(H932=""Can't be Together"",iferror(join("", "",unique(filter({filter('Students (Vertical)'!O:O,'Students (Vertical)'!C:C=B932,'Students (Vertical)'!O:O&lt;&gt;"""",'Students (Vertical)'!P:P&gt;1);filter('Students (Vertical)'!O:O,'Students (Vertical)'!C:C=E932,'"&amp;"Students (Vertical)'!O:O&lt;&gt;"""",'Students (Vertical)'!P:P&gt;1)},countifs({filter('Students (Vertical)'!O:O,'Students (Vertical)'!C:C=B932,'Students (Vertical)'!O:O&lt;&gt;"""",'Students (Vertical)'!P:P&gt;1);filter('Students (Vertical)'!O:O,'Students (Vertical)'!C:C="&amp;"E932,'Students (Vertical)'!O:O&lt;&gt;"""",'Students (Vertical)'!P:P&gt;1)},{filter('Students (Vertical)'!O:O,'Students (Vertical)'!C:C=B932,'Students (Vertical)'!O:O&lt;&gt;"""",'Students (Vertical)'!P:P&gt;1);filter('Students (Vertical)'!O:O,'Students (Vertical)'!C:C=E93"&amp;"2,'Students (Vertical)'!O:O&lt;&gt;"""",'Students (Vertical)'!P:P&gt;1)})&gt;1))),""""),"""")"),"")</f>
        <v/>
      </c>
      <c r="K932" s="358"/>
    </row>
    <row r="933">
      <c r="A933" s="300" t="s">
        <v>22</v>
      </c>
      <c r="C933" s="300" t="s">
        <v>22</v>
      </c>
      <c r="D933" s="300" t="s">
        <v>22</v>
      </c>
      <c r="F933" s="300" t="s">
        <v>22</v>
      </c>
      <c r="G933" s="300" t="s">
        <v>22</v>
      </c>
      <c r="I933" s="356" t="str">
        <f>IFERROR(__xludf.DUMMYFUNCTION("if(H933=""Must be Together"",iferror(join("", "",unique(filter({filter('Students (Vertical)'!O:O,'Students (Vertical)'!C:C=B933,'Students (Vertical)'!O:O&lt;&gt;"""");filter('Students (Vertical)'!O:O,'Students (Vertical)'!C:C=E933,'Students (Vertical)'!O:O&lt;&gt;"""&amp;""")},countifs({filter('Students (Vertical)'!O:O,'Students (Vertical)'!C:C=B933,'Students (Vertical)'!O:O&lt;&gt;"""");filter('Students (Vertical)'!O:O,'Students (Vertical)'!C:C=E933,'Students (Vertical)'!O:O&lt;&gt;"""")},{filter('Students (Vertical)'!O:O,'Students ("&amp;"Vertical)'!C:C=B933,'Students (Vertical)'!O:O&lt;&gt;"""");filter('Students (Vertical)'!O:O,'Students (Vertical)'!C:C=E933,'Students (Vertical)'!O:O&lt;&gt;"""")})&gt;1))),""No shared courses""),"""")"),"")</f>
        <v/>
      </c>
      <c r="J933" s="357" t="str">
        <f>IFERROR(__xludf.DUMMYFUNCTION("if(H933=""Can't be Together"",iferror(join("", "",unique(filter({filter('Students (Vertical)'!O:O,'Students (Vertical)'!C:C=B933,'Students (Vertical)'!O:O&lt;&gt;"""",'Students (Vertical)'!P:P&gt;1);filter('Students (Vertical)'!O:O,'Students (Vertical)'!C:C=E933,'"&amp;"Students (Vertical)'!O:O&lt;&gt;"""",'Students (Vertical)'!P:P&gt;1)},countifs({filter('Students (Vertical)'!O:O,'Students (Vertical)'!C:C=B933,'Students (Vertical)'!O:O&lt;&gt;"""",'Students (Vertical)'!P:P&gt;1);filter('Students (Vertical)'!O:O,'Students (Vertical)'!C:C="&amp;"E933,'Students (Vertical)'!O:O&lt;&gt;"""",'Students (Vertical)'!P:P&gt;1)},{filter('Students (Vertical)'!O:O,'Students (Vertical)'!C:C=B933,'Students (Vertical)'!O:O&lt;&gt;"""",'Students (Vertical)'!P:P&gt;1);filter('Students (Vertical)'!O:O,'Students (Vertical)'!C:C=E93"&amp;"3,'Students (Vertical)'!O:O&lt;&gt;"""",'Students (Vertical)'!P:P&gt;1)})&gt;1))),""""),"""")"),"")</f>
        <v/>
      </c>
      <c r="K933" s="358"/>
    </row>
    <row r="934">
      <c r="A934" s="300" t="s">
        <v>22</v>
      </c>
      <c r="C934" s="300" t="s">
        <v>22</v>
      </c>
      <c r="D934" s="300" t="s">
        <v>22</v>
      </c>
      <c r="F934" s="300" t="s">
        <v>22</v>
      </c>
      <c r="G934" s="300" t="s">
        <v>22</v>
      </c>
      <c r="I934" s="356" t="str">
        <f>IFERROR(__xludf.DUMMYFUNCTION("if(H934=""Must be Together"",iferror(join("", "",unique(filter({filter('Students (Vertical)'!O:O,'Students (Vertical)'!C:C=B934,'Students (Vertical)'!O:O&lt;&gt;"""");filter('Students (Vertical)'!O:O,'Students (Vertical)'!C:C=E934,'Students (Vertical)'!O:O&lt;&gt;"""&amp;""")},countifs({filter('Students (Vertical)'!O:O,'Students (Vertical)'!C:C=B934,'Students (Vertical)'!O:O&lt;&gt;"""");filter('Students (Vertical)'!O:O,'Students (Vertical)'!C:C=E934,'Students (Vertical)'!O:O&lt;&gt;"""")},{filter('Students (Vertical)'!O:O,'Students ("&amp;"Vertical)'!C:C=B934,'Students (Vertical)'!O:O&lt;&gt;"""");filter('Students (Vertical)'!O:O,'Students (Vertical)'!C:C=E934,'Students (Vertical)'!O:O&lt;&gt;"""")})&gt;1))),""No shared courses""),"""")"),"")</f>
        <v/>
      </c>
      <c r="J934" s="357" t="str">
        <f>IFERROR(__xludf.DUMMYFUNCTION("if(H934=""Can't be Together"",iferror(join("", "",unique(filter({filter('Students (Vertical)'!O:O,'Students (Vertical)'!C:C=B934,'Students (Vertical)'!O:O&lt;&gt;"""",'Students (Vertical)'!P:P&gt;1);filter('Students (Vertical)'!O:O,'Students (Vertical)'!C:C=E934,'"&amp;"Students (Vertical)'!O:O&lt;&gt;"""",'Students (Vertical)'!P:P&gt;1)},countifs({filter('Students (Vertical)'!O:O,'Students (Vertical)'!C:C=B934,'Students (Vertical)'!O:O&lt;&gt;"""",'Students (Vertical)'!P:P&gt;1);filter('Students (Vertical)'!O:O,'Students (Vertical)'!C:C="&amp;"E934,'Students (Vertical)'!O:O&lt;&gt;"""",'Students (Vertical)'!P:P&gt;1)},{filter('Students (Vertical)'!O:O,'Students (Vertical)'!C:C=B934,'Students (Vertical)'!O:O&lt;&gt;"""",'Students (Vertical)'!P:P&gt;1);filter('Students (Vertical)'!O:O,'Students (Vertical)'!C:C=E93"&amp;"4,'Students (Vertical)'!O:O&lt;&gt;"""",'Students (Vertical)'!P:P&gt;1)})&gt;1))),""""),"""")"),"")</f>
        <v/>
      </c>
      <c r="K934" s="358"/>
    </row>
    <row r="935">
      <c r="A935" s="300" t="s">
        <v>22</v>
      </c>
      <c r="C935" s="300" t="s">
        <v>22</v>
      </c>
      <c r="D935" s="300" t="s">
        <v>22</v>
      </c>
      <c r="F935" s="300" t="s">
        <v>22</v>
      </c>
      <c r="G935" s="300" t="s">
        <v>22</v>
      </c>
      <c r="I935" s="356" t="str">
        <f>IFERROR(__xludf.DUMMYFUNCTION("if(H935=""Must be Together"",iferror(join("", "",unique(filter({filter('Students (Vertical)'!O:O,'Students (Vertical)'!C:C=B935,'Students (Vertical)'!O:O&lt;&gt;"""");filter('Students (Vertical)'!O:O,'Students (Vertical)'!C:C=E935,'Students (Vertical)'!O:O&lt;&gt;"""&amp;""")},countifs({filter('Students (Vertical)'!O:O,'Students (Vertical)'!C:C=B935,'Students (Vertical)'!O:O&lt;&gt;"""");filter('Students (Vertical)'!O:O,'Students (Vertical)'!C:C=E935,'Students (Vertical)'!O:O&lt;&gt;"""")},{filter('Students (Vertical)'!O:O,'Students ("&amp;"Vertical)'!C:C=B935,'Students (Vertical)'!O:O&lt;&gt;"""");filter('Students (Vertical)'!O:O,'Students (Vertical)'!C:C=E935,'Students (Vertical)'!O:O&lt;&gt;"""")})&gt;1))),""No shared courses""),"""")"),"")</f>
        <v/>
      </c>
      <c r="J935" s="357" t="str">
        <f>IFERROR(__xludf.DUMMYFUNCTION("if(H935=""Can't be Together"",iferror(join("", "",unique(filter({filter('Students (Vertical)'!O:O,'Students (Vertical)'!C:C=B935,'Students (Vertical)'!O:O&lt;&gt;"""",'Students (Vertical)'!P:P&gt;1);filter('Students (Vertical)'!O:O,'Students (Vertical)'!C:C=E935,'"&amp;"Students (Vertical)'!O:O&lt;&gt;"""",'Students (Vertical)'!P:P&gt;1)},countifs({filter('Students (Vertical)'!O:O,'Students (Vertical)'!C:C=B935,'Students (Vertical)'!O:O&lt;&gt;"""",'Students (Vertical)'!P:P&gt;1);filter('Students (Vertical)'!O:O,'Students (Vertical)'!C:C="&amp;"E935,'Students (Vertical)'!O:O&lt;&gt;"""",'Students (Vertical)'!P:P&gt;1)},{filter('Students (Vertical)'!O:O,'Students (Vertical)'!C:C=B935,'Students (Vertical)'!O:O&lt;&gt;"""",'Students (Vertical)'!P:P&gt;1);filter('Students (Vertical)'!O:O,'Students (Vertical)'!C:C=E93"&amp;"5,'Students (Vertical)'!O:O&lt;&gt;"""",'Students (Vertical)'!P:P&gt;1)})&gt;1))),""""),"""")"),"")</f>
        <v/>
      </c>
      <c r="K935" s="358"/>
    </row>
    <row r="936">
      <c r="A936" s="300" t="s">
        <v>22</v>
      </c>
      <c r="C936" s="300" t="s">
        <v>22</v>
      </c>
      <c r="D936" s="300" t="s">
        <v>22</v>
      </c>
      <c r="F936" s="300" t="s">
        <v>22</v>
      </c>
      <c r="G936" s="300" t="s">
        <v>22</v>
      </c>
      <c r="I936" s="356" t="str">
        <f>IFERROR(__xludf.DUMMYFUNCTION("if(H936=""Must be Together"",iferror(join("", "",unique(filter({filter('Students (Vertical)'!O:O,'Students (Vertical)'!C:C=B936,'Students (Vertical)'!O:O&lt;&gt;"""");filter('Students (Vertical)'!O:O,'Students (Vertical)'!C:C=E936,'Students (Vertical)'!O:O&lt;&gt;"""&amp;""")},countifs({filter('Students (Vertical)'!O:O,'Students (Vertical)'!C:C=B936,'Students (Vertical)'!O:O&lt;&gt;"""");filter('Students (Vertical)'!O:O,'Students (Vertical)'!C:C=E936,'Students (Vertical)'!O:O&lt;&gt;"""")},{filter('Students (Vertical)'!O:O,'Students ("&amp;"Vertical)'!C:C=B936,'Students (Vertical)'!O:O&lt;&gt;"""");filter('Students (Vertical)'!O:O,'Students (Vertical)'!C:C=E936,'Students (Vertical)'!O:O&lt;&gt;"""")})&gt;1))),""No shared courses""),"""")"),"")</f>
        <v/>
      </c>
      <c r="J936" s="357" t="str">
        <f>IFERROR(__xludf.DUMMYFUNCTION("if(H936=""Can't be Together"",iferror(join("", "",unique(filter({filter('Students (Vertical)'!O:O,'Students (Vertical)'!C:C=B936,'Students (Vertical)'!O:O&lt;&gt;"""",'Students (Vertical)'!P:P&gt;1);filter('Students (Vertical)'!O:O,'Students (Vertical)'!C:C=E936,'"&amp;"Students (Vertical)'!O:O&lt;&gt;"""",'Students (Vertical)'!P:P&gt;1)},countifs({filter('Students (Vertical)'!O:O,'Students (Vertical)'!C:C=B936,'Students (Vertical)'!O:O&lt;&gt;"""",'Students (Vertical)'!P:P&gt;1);filter('Students (Vertical)'!O:O,'Students (Vertical)'!C:C="&amp;"E936,'Students (Vertical)'!O:O&lt;&gt;"""",'Students (Vertical)'!P:P&gt;1)},{filter('Students (Vertical)'!O:O,'Students (Vertical)'!C:C=B936,'Students (Vertical)'!O:O&lt;&gt;"""",'Students (Vertical)'!P:P&gt;1);filter('Students (Vertical)'!O:O,'Students (Vertical)'!C:C=E93"&amp;"6,'Students (Vertical)'!O:O&lt;&gt;"""",'Students (Vertical)'!P:P&gt;1)})&gt;1))),""""),"""")"),"")</f>
        <v/>
      </c>
      <c r="K936" s="358"/>
    </row>
    <row r="937">
      <c r="A937" s="300" t="s">
        <v>22</v>
      </c>
      <c r="C937" s="300" t="s">
        <v>22</v>
      </c>
      <c r="D937" s="300" t="s">
        <v>22</v>
      </c>
      <c r="F937" s="300" t="s">
        <v>22</v>
      </c>
      <c r="G937" s="300" t="s">
        <v>22</v>
      </c>
      <c r="I937" s="356" t="str">
        <f>IFERROR(__xludf.DUMMYFUNCTION("if(H937=""Must be Together"",iferror(join("", "",unique(filter({filter('Students (Vertical)'!O:O,'Students (Vertical)'!C:C=B937,'Students (Vertical)'!O:O&lt;&gt;"""");filter('Students (Vertical)'!O:O,'Students (Vertical)'!C:C=E937,'Students (Vertical)'!O:O&lt;&gt;"""&amp;""")},countifs({filter('Students (Vertical)'!O:O,'Students (Vertical)'!C:C=B937,'Students (Vertical)'!O:O&lt;&gt;"""");filter('Students (Vertical)'!O:O,'Students (Vertical)'!C:C=E937,'Students (Vertical)'!O:O&lt;&gt;"""")},{filter('Students (Vertical)'!O:O,'Students ("&amp;"Vertical)'!C:C=B937,'Students (Vertical)'!O:O&lt;&gt;"""");filter('Students (Vertical)'!O:O,'Students (Vertical)'!C:C=E937,'Students (Vertical)'!O:O&lt;&gt;"""")})&gt;1))),""No shared courses""),"""")"),"")</f>
        <v/>
      </c>
      <c r="J937" s="357" t="str">
        <f>IFERROR(__xludf.DUMMYFUNCTION("if(H937=""Can't be Together"",iferror(join("", "",unique(filter({filter('Students (Vertical)'!O:O,'Students (Vertical)'!C:C=B937,'Students (Vertical)'!O:O&lt;&gt;"""",'Students (Vertical)'!P:P&gt;1);filter('Students (Vertical)'!O:O,'Students (Vertical)'!C:C=E937,'"&amp;"Students (Vertical)'!O:O&lt;&gt;"""",'Students (Vertical)'!P:P&gt;1)},countifs({filter('Students (Vertical)'!O:O,'Students (Vertical)'!C:C=B937,'Students (Vertical)'!O:O&lt;&gt;"""",'Students (Vertical)'!P:P&gt;1);filter('Students (Vertical)'!O:O,'Students (Vertical)'!C:C="&amp;"E937,'Students (Vertical)'!O:O&lt;&gt;"""",'Students (Vertical)'!P:P&gt;1)},{filter('Students (Vertical)'!O:O,'Students (Vertical)'!C:C=B937,'Students (Vertical)'!O:O&lt;&gt;"""",'Students (Vertical)'!P:P&gt;1);filter('Students (Vertical)'!O:O,'Students (Vertical)'!C:C=E93"&amp;"7,'Students (Vertical)'!O:O&lt;&gt;"""",'Students (Vertical)'!P:P&gt;1)})&gt;1))),""""),"""")"),"")</f>
        <v/>
      </c>
      <c r="K937" s="358"/>
    </row>
    <row r="938">
      <c r="A938" s="300" t="s">
        <v>22</v>
      </c>
      <c r="C938" s="300" t="s">
        <v>22</v>
      </c>
      <c r="D938" s="300" t="s">
        <v>22</v>
      </c>
      <c r="F938" s="300" t="s">
        <v>22</v>
      </c>
      <c r="G938" s="300" t="s">
        <v>22</v>
      </c>
      <c r="I938" s="356" t="str">
        <f>IFERROR(__xludf.DUMMYFUNCTION("if(H938=""Must be Together"",iferror(join("", "",unique(filter({filter('Students (Vertical)'!O:O,'Students (Vertical)'!C:C=B938,'Students (Vertical)'!O:O&lt;&gt;"""");filter('Students (Vertical)'!O:O,'Students (Vertical)'!C:C=E938,'Students (Vertical)'!O:O&lt;&gt;"""&amp;""")},countifs({filter('Students (Vertical)'!O:O,'Students (Vertical)'!C:C=B938,'Students (Vertical)'!O:O&lt;&gt;"""");filter('Students (Vertical)'!O:O,'Students (Vertical)'!C:C=E938,'Students (Vertical)'!O:O&lt;&gt;"""")},{filter('Students (Vertical)'!O:O,'Students ("&amp;"Vertical)'!C:C=B938,'Students (Vertical)'!O:O&lt;&gt;"""");filter('Students (Vertical)'!O:O,'Students (Vertical)'!C:C=E938,'Students (Vertical)'!O:O&lt;&gt;"""")})&gt;1))),""No shared courses""),"""")"),"")</f>
        <v/>
      </c>
      <c r="J938" s="357" t="str">
        <f>IFERROR(__xludf.DUMMYFUNCTION("if(H938=""Can't be Together"",iferror(join("", "",unique(filter({filter('Students (Vertical)'!O:O,'Students (Vertical)'!C:C=B938,'Students (Vertical)'!O:O&lt;&gt;"""",'Students (Vertical)'!P:P&gt;1);filter('Students (Vertical)'!O:O,'Students (Vertical)'!C:C=E938,'"&amp;"Students (Vertical)'!O:O&lt;&gt;"""",'Students (Vertical)'!P:P&gt;1)},countifs({filter('Students (Vertical)'!O:O,'Students (Vertical)'!C:C=B938,'Students (Vertical)'!O:O&lt;&gt;"""",'Students (Vertical)'!P:P&gt;1);filter('Students (Vertical)'!O:O,'Students (Vertical)'!C:C="&amp;"E938,'Students (Vertical)'!O:O&lt;&gt;"""",'Students (Vertical)'!P:P&gt;1)},{filter('Students (Vertical)'!O:O,'Students (Vertical)'!C:C=B938,'Students (Vertical)'!O:O&lt;&gt;"""",'Students (Vertical)'!P:P&gt;1);filter('Students (Vertical)'!O:O,'Students (Vertical)'!C:C=E93"&amp;"8,'Students (Vertical)'!O:O&lt;&gt;"""",'Students (Vertical)'!P:P&gt;1)})&gt;1))),""""),"""")"),"")</f>
        <v/>
      </c>
      <c r="K938" s="358"/>
    </row>
    <row r="939">
      <c r="A939" s="300" t="s">
        <v>22</v>
      </c>
      <c r="C939" s="300" t="s">
        <v>22</v>
      </c>
      <c r="D939" s="300" t="s">
        <v>22</v>
      </c>
      <c r="F939" s="300" t="s">
        <v>22</v>
      </c>
      <c r="G939" s="300" t="s">
        <v>22</v>
      </c>
      <c r="I939" s="356" t="str">
        <f>IFERROR(__xludf.DUMMYFUNCTION("if(H939=""Must be Together"",iferror(join("", "",unique(filter({filter('Students (Vertical)'!O:O,'Students (Vertical)'!C:C=B939,'Students (Vertical)'!O:O&lt;&gt;"""");filter('Students (Vertical)'!O:O,'Students (Vertical)'!C:C=E939,'Students (Vertical)'!O:O&lt;&gt;"""&amp;""")},countifs({filter('Students (Vertical)'!O:O,'Students (Vertical)'!C:C=B939,'Students (Vertical)'!O:O&lt;&gt;"""");filter('Students (Vertical)'!O:O,'Students (Vertical)'!C:C=E939,'Students (Vertical)'!O:O&lt;&gt;"""")},{filter('Students (Vertical)'!O:O,'Students ("&amp;"Vertical)'!C:C=B939,'Students (Vertical)'!O:O&lt;&gt;"""");filter('Students (Vertical)'!O:O,'Students (Vertical)'!C:C=E939,'Students (Vertical)'!O:O&lt;&gt;"""")})&gt;1))),""No shared courses""),"""")"),"")</f>
        <v/>
      </c>
      <c r="J939" s="357" t="str">
        <f>IFERROR(__xludf.DUMMYFUNCTION("if(H939=""Can't be Together"",iferror(join("", "",unique(filter({filter('Students (Vertical)'!O:O,'Students (Vertical)'!C:C=B939,'Students (Vertical)'!O:O&lt;&gt;"""",'Students (Vertical)'!P:P&gt;1);filter('Students (Vertical)'!O:O,'Students (Vertical)'!C:C=E939,'"&amp;"Students (Vertical)'!O:O&lt;&gt;"""",'Students (Vertical)'!P:P&gt;1)},countifs({filter('Students (Vertical)'!O:O,'Students (Vertical)'!C:C=B939,'Students (Vertical)'!O:O&lt;&gt;"""",'Students (Vertical)'!P:P&gt;1);filter('Students (Vertical)'!O:O,'Students (Vertical)'!C:C="&amp;"E939,'Students (Vertical)'!O:O&lt;&gt;"""",'Students (Vertical)'!P:P&gt;1)},{filter('Students (Vertical)'!O:O,'Students (Vertical)'!C:C=B939,'Students (Vertical)'!O:O&lt;&gt;"""",'Students (Vertical)'!P:P&gt;1);filter('Students (Vertical)'!O:O,'Students (Vertical)'!C:C=E93"&amp;"9,'Students (Vertical)'!O:O&lt;&gt;"""",'Students (Vertical)'!P:P&gt;1)})&gt;1))),""""),"""")"),"")</f>
        <v/>
      </c>
      <c r="K939" s="358"/>
    </row>
    <row r="940">
      <c r="A940" s="300" t="s">
        <v>22</v>
      </c>
      <c r="C940" s="300" t="s">
        <v>22</v>
      </c>
      <c r="D940" s="300" t="s">
        <v>22</v>
      </c>
      <c r="F940" s="300" t="s">
        <v>22</v>
      </c>
      <c r="G940" s="300" t="s">
        <v>22</v>
      </c>
      <c r="I940" s="356" t="str">
        <f>IFERROR(__xludf.DUMMYFUNCTION("if(H940=""Must be Together"",iferror(join("", "",unique(filter({filter('Students (Vertical)'!O:O,'Students (Vertical)'!C:C=B940,'Students (Vertical)'!O:O&lt;&gt;"""");filter('Students (Vertical)'!O:O,'Students (Vertical)'!C:C=E940,'Students (Vertical)'!O:O&lt;&gt;"""&amp;""")},countifs({filter('Students (Vertical)'!O:O,'Students (Vertical)'!C:C=B940,'Students (Vertical)'!O:O&lt;&gt;"""");filter('Students (Vertical)'!O:O,'Students (Vertical)'!C:C=E940,'Students (Vertical)'!O:O&lt;&gt;"""")},{filter('Students (Vertical)'!O:O,'Students ("&amp;"Vertical)'!C:C=B940,'Students (Vertical)'!O:O&lt;&gt;"""");filter('Students (Vertical)'!O:O,'Students (Vertical)'!C:C=E940,'Students (Vertical)'!O:O&lt;&gt;"""")})&gt;1))),""No shared courses""),"""")"),"")</f>
        <v/>
      </c>
      <c r="J940" s="357" t="str">
        <f>IFERROR(__xludf.DUMMYFUNCTION("if(H940=""Can't be Together"",iferror(join("", "",unique(filter({filter('Students (Vertical)'!O:O,'Students (Vertical)'!C:C=B940,'Students (Vertical)'!O:O&lt;&gt;"""",'Students (Vertical)'!P:P&gt;1);filter('Students (Vertical)'!O:O,'Students (Vertical)'!C:C=E940,'"&amp;"Students (Vertical)'!O:O&lt;&gt;"""",'Students (Vertical)'!P:P&gt;1)},countifs({filter('Students (Vertical)'!O:O,'Students (Vertical)'!C:C=B940,'Students (Vertical)'!O:O&lt;&gt;"""",'Students (Vertical)'!P:P&gt;1);filter('Students (Vertical)'!O:O,'Students (Vertical)'!C:C="&amp;"E940,'Students (Vertical)'!O:O&lt;&gt;"""",'Students (Vertical)'!P:P&gt;1)},{filter('Students (Vertical)'!O:O,'Students (Vertical)'!C:C=B940,'Students (Vertical)'!O:O&lt;&gt;"""",'Students (Vertical)'!P:P&gt;1);filter('Students (Vertical)'!O:O,'Students (Vertical)'!C:C=E94"&amp;"0,'Students (Vertical)'!O:O&lt;&gt;"""",'Students (Vertical)'!P:P&gt;1)})&gt;1))),""""),"""")"),"")</f>
        <v/>
      </c>
      <c r="K940" s="358"/>
    </row>
    <row r="941">
      <c r="A941" s="300" t="s">
        <v>22</v>
      </c>
      <c r="C941" s="300" t="s">
        <v>22</v>
      </c>
      <c r="D941" s="300" t="s">
        <v>22</v>
      </c>
      <c r="F941" s="300" t="s">
        <v>22</v>
      </c>
      <c r="G941" s="300" t="s">
        <v>22</v>
      </c>
      <c r="I941" s="356" t="str">
        <f>IFERROR(__xludf.DUMMYFUNCTION("if(H941=""Must be Together"",iferror(join("", "",unique(filter({filter('Students (Vertical)'!O:O,'Students (Vertical)'!C:C=B941,'Students (Vertical)'!O:O&lt;&gt;"""");filter('Students (Vertical)'!O:O,'Students (Vertical)'!C:C=E941,'Students (Vertical)'!O:O&lt;&gt;"""&amp;""")},countifs({filter('Students (Vertical)'!O:O,'Students (Vertical)'!C:C=B941,'Students (Vertical)'!O:O&lt;&gt;"""");filter('Students (Vertical)'!O:O,'Students (Vertical)'!C:C=E941,'Students (Vertical)'!O:O&lt;&gt;"""")},{filter('Students (Vertical)'!O:O,'Students ("&amp;"Vertical)'!C:C=B941,'Students (Vertical)'!O:O&lt;&gt;"""");filter('Students (Vertical)'!O:O,'Students (Vertical)'!C:C=E941,'Students (Vertical)'!O:O&lt;&gt;"""")})&gt;1))),""No shared courses""),"""")"),"")</f>
        <v/>
      </c>
      <c r="J941" s="357" t="str">
        <f>IFERROR(__xludf.DUMMYFUNCTION("if(H941=""Can't be Together"",iferror(join("", "",unique(filter({filter('Students (Vertical)'!O:O,'Students (Vertical)'!C:C=B941,'Students (Vertical)'!O:O&lt;&gt;"""",'Students (Vertical)'!P:P&gt;1);filter('Students (Vertical)'!O:O,'Students (Vertical)'!C:C=E941,'"&amp;"Students (Vertical)'!O:O&lt;&gt;"""",'Students (Vertical)'!P:P&gt;1)},countifs({filter('Students (Vertical)'!O:O,'Students (Vertical)'!C:C=B941,'Students (Vertical)'!O:O&lt;&gt;"""",'Students (Vertical)'!P:P&gt;1);filter('Students (Vertical)'!O:O,'Students (Vertical)'!C:C="&amp;"E941,'Students (Vertical)'!O:O&lt;&gt;"""",'Students (Vertical)'!P:P&gt;1)},{filter('Students (Vertical)'!O:O,'Students (Vertical)'!C:C=B941,'Students (Vertical)'!O:O&lt;&gt;"""",'Students (Vertical)'!P:P&gt;1);filter('Students (Vertical)'!O:O,'Students (Vertical)'!C:C=E94"&amp;"1,'Students (Vertical)'!O:O&lt;&gt;"""",'Students (Vertical)'!P:P&gt;1)})&gt;1))),""""),"""")"),"")</f>
        <v/>
      </c>
      <c r="K941" s="358"/>
    </row>
    <row r="942">
      <c r="A942" s="300" t="s">
        <v>22</v>
      </c>
      <c r="C942" s="300" t="s">
        <v>22</v>
      </c>
      <c r="D942" s="300" t="s">
        <v>22</v>
      </c>
      <c r="F942" s="300" t="s">
        <v>22</v>
      </c>
      <c r="G942" s="300" t="s">
        <v>22</v>
      </c>
      <c r="I942" s="356" t="str">
        <f>IFERROR(__xludf.DUMMYFUNCTION("if(H942=""Must be Together"",iferror(join("", "",unique(filter({filter('Students (Vertical)'!O:O,'Students (Vertical)'!C:C=B942,'Students (Vertical)'!O:O&lt;&gt;"""");filter('Students (Vertical)'!O:O,'Students (Vertical)'!C:C=E942,'Students (Vertical)'!O:O&lt;&gt;"""&amp;""")},countifs({filter('Students (Vertical)'!O:O,'Students (Vertical)'!C:C=B942,'Students (Vertical)'!O:O&lt;&gt;"""");filter('Students (Vertical)'!O:O,'Students (Vertical)'!C:C=E942,'Students (Vertical)'!O:O&lt;&gt;"""")},{filter('Students (Vertical)'!O:O,'Students ("&amp;"Vertical)'!C:C=B942,'Students (Vertical)'!O:O&lt;&gt;"""");filter('Students (Vertical)'!O:O,'Students (Vertical)'!C:C=E942,'Students (Vertical)'!O:O&lt;&gt;"""")})&gt;1))),""No shared courses""),"""")"),"")</f>
        <v/>
      </c>
      <c r="J942" s="357" t="str">
        <f>IFERROR(__xludf.DUMMYFUNCTION("if(H942=""Can't be Together"",iferror(join("", "",unique(filter({filter('Students (Vertical)'!O:O,'Students (Vertical)'!C:C=B942,'Students (Vertical)'!O:O&lt;&gt;"""",'Students (Vertical)'!P:P&gt;1);filter('Students (Vertical)'!O:O,'Students (Vertical)'!C:C=E942,'"&amp;"Students (Vertical)'!O:O&lt;&gt;"""",'Students (Vertical)'!P:P&gt;1)},countifs({filter('Students (Vertical)'!O:O,'Students (Vertical)'!C:C=B942,'Students (Vertical)'!O:O&lt;&gt;"""",'Students (Vertical)'!P:P&gt;1);filter('Students (Vertical)'!O:O,'Students (Vertical)'!C:C="&amp;"E942,'Students (Vertical)'!O:O&lt;&gt;"""",'Students (Vertical)'!P:P&gt;1)},{filter('Students (Vertical)'!O:O,'Students (Vertical)'!C:C=B942,'Students (Vertical)'!O:O&lt;&gt;"""",'Students (Vertical)'!P:P&gt;1);filter('Students (Vertical)'!O:O,'Students (Vertical)'!C:C=E94"&amp;"2,'Students (Vertical)'!O:O&lt;&gt;"""",'Students (Vertical)'!P:P&gt;1)})&gt;1))),""""),"""")"),"")</f>
        <v/>
      </c>
      <c r="K942" s="358"/>
    </row>
    <row r="943">
      <c r="A943" s="300" t="s">
        <v>22</v>
      </c>
      <c r="C943" s="300" t="s">
        <v>22</v>
      </c>
      <c r="D943" s="300" t="s">
        <v>22</v>
      </c>
      <c r="F943" s="300" t="s">
        <v>22</v>
      </c>
      <c r="G943" s="300" t="s">
        <v>22</v>
      </c>
      <c r="I943" s="356" t="str">
        <f>IFERROR(__xludf.DUMMYFUNCTION("if(H943=""Must be Together"",iferror(join("", "",unique(filter({filter('Students (Vertical)'!O:O,'Students (Vertical)'!C:C=B943,'Students (Vertical)'!O:O&lt;&gt;"""");filter('Students (Vertical)'!O:O,'Students (Vertical)'!C:C=E943,'Students (Vertical)'!O:O&lt;&gt;"""&amp;""")},countifs({filter('Students (Vertical)'!O:O,'Students (Vertical)'!C:C=B943,'Students (Vertical)'!O:O&lt;&gt;"""");filter('Students (Vertical)'!O:O,'Students (Vertical)'!C:C=E943,'Students (Vertical)'!O:O&lt;&gt;"""")},{filter('Students (Vertical)'!O:O,'Students ("&amp;"Vertical)'!C:C=B943,'Students (Vertical)'!O:O&lt;&gt;"""");filter('Students (Vertical)'!O:O,'Students (Vertical)'!C:C=E943,'Students (Vertical)'!O:O&lt;&gt;"""")})&gt;1))),""No shared courses""),"""")"),"")</f>
        <v/>
      </c>
      <c r="J943" s="357" t="str">
        <f>IFERROR(__xludf.DUMMYFUNCTION("if(H943=""Can't be Together"",iferror(join("", "",unique(filter({filter('Students (Vertical)'!O:O,'Students (Vertical)'!C:C=B943,'Students (Vertical)'!O:O&lt;&gt;"""",'Students (Vertical)'!P:P&gt;1);filter('Students (Vertical)'!O:O,'Students (Vertical)'!C:C=E943,'"&amp;"Students (Vertical)'!O:O&lt;&gt;"""",'Students (Vertical)'!P:P&gt;1)},countifs({filter('Students (Vertical)'!O:O,'Students (Vertical)'!C:C=B943,'Students (Vertical)'!O:O&lt;&gt;"""",'Students (Vertical)'!P:P&gt;1);filter('Students (Vertical)'!O:O,'Students (Vertical)'!C:C="&amp;"E943,'Students (Vertical)'!O:O&lt;&gt;"""",'Students (Vertical)'!P:P&gt;1)},{filter('Students (Vertical)'!O:O,'Students (Vertical)'!C:C=B943,'Students (Vertical)'!O:O&lt;&gt;"""",'Students (Vertical)'!P:P&gt;1);filter('Students (Vertical)'!O:O,'Students (Vertical)'!C:C=E94"&amp;"3,'Students (Vertical)'!O:O&lt;&gt;"""",'Students (Vertical)'!P:P&gt;1)})&gt;1))),""""),"""")"),"")</f>
        <v/>
      </c>
      <c r="K943" s="358"/>
    </row>
    <row r="944">
      <c r="A944" s="300" t="s">
        <v>22</v>
      </c>
      <c r="C944" s="300" t="s">
        <v>22</v>
      </c>
      <c r="D944" s="300" t="s">
        <v>22</v>
      </c>
      <c r="F944" s="300" t="s">
        <v>22</v>
      </c>
      <c r="G944" s="300" t="s">
        <v>22</v>
      </c>
      <c r="I944" s="356" t="str">
        <f>IFERROR(__xludf.DUMMYFUNCTION("if(H944=""Must be Together"",iferror(join("", "",unique(filter({filter('Students (Vertical)'!O:O,'Students (Vertical)'!C:C=B944,'Students (Vertical)'!O:O&lt;&gt;"""");filter('Students (Vertical)'!O:O,'Students (Vertical)'!C:C=E944,'Students (Vertical)'!O:O&lt;&gt;"""&amp;""")},countifs({filter('Students (Vertical)'!O:O,'Students (Vertical)'!C:C=B944,'Students (Vertical)'!O:O&lt;&gt;"""");filter('Students (Vertical)'!O:O,'Students (Vertical)'!C:C=E944,'Students (Vertical)'!O:O&lt;&gt;"""")},{filter('Students (Vertical)'!O:O,'Students ("&amp;"Vertical)'!C:C=B944,'Students (Vertical)'!O:O&lt;&gt;"""");filter('Students (Vertical)'!O:O,'Students (Vertical)'!C:C=E944,'Students (Vertical)'!O:O&lt;&gt;"""")})&gt;1))),""No shared courses""),"""")"),"")</f>
        <v/>
      </c>
      <c r="J944" s="357" t="str">
        <f>IFERROR(__xludf.DUMMYFUNCTION("if(H944=""Can't be Together"",iferror(join("", "",unique(filter({filter('Students (Vertical)'!O:O,'Students (Vertical)'!C:C=B944,'Students (Vertical)'!O:O&lt;&gt;"""",'Students (Vertical)'!P:P&gt;1);filter('Students (Vertical)'!O:O,'Students (Vertical)'!C:C=E944,'"&amp;"Students (Vertical)'!O:O&lt;&gt;"""",'Students (Vertical)'!P:P&gt;1)},countifs({filter('Students (Vertical)'!O:O,'Students (Vertical)'!C:C=B944,'Students (Vertical)'!O:O&lt;&gt;"""",'Students (Vertical)'!P:P&gt;1);filter('Students (Vertical)'!O:O,'Students (Vertical)'!C:C="&amp;"E944,'Students (Vertical)'!O:O&lt;&gt;"""",'Students (Vertical)'!P:P&gt;1)},{filter('Students (Vertical)'!O:O,'Students (Vertical)'!C:C=B944,'Students (Vertical)'!O:O&lt;&gt;"""",'Students (Vertical)'!P:P&gt;1);filter('Students (Vertical)'!O:O,'Students (Vertical)'!C:C=E94"&amp;"4,'Students (Vertical)'!O:O&lt;&gt;"""",'Students (Vertical)'!P:P&gt;1)})&gt;1))),""""),"""")"),"")</f>
        <v/>
      </c>
      <c r="K944" s="358"/>
    </row>
    <row r="945">
      <c r="A945" s="300" t="s">
        <v>22</v>
      </c>
      <c r="C945" s="300" t="s">
        <v>22</v>
      </c>
      <c r="D945" s="300" t="s">
        <v>22</v>
      </c>
      <c r="F945" s="300" t="s">
        <v>22</v>
      </c>
      <c r="G945" s="300" t="s">
        <v>22</v>
      </c>
      <c r="I945" s="356" t="str">
        <f>IFERROR(__xludf.DUMMYFUNCTION("if(H945=""Must be Together"",iferror(join("", "",unique(filter({filter('Students (Vertical)'!O:O,'Students (Vertical)'!C:C=B945,'Students (Vertical)'!O:O&lt;&gt;"""");filter('Students (Vertical)'!O:O,'Students (Vertical)'!C:C=E945,'Students (Vertical)'!O:O&lt;&gt;"""&amp;""")},countifs({filter('Students (Vertical)'!O:O,'Students (Vertical)'!C:C=B945,'Students (Vertical)'!O:O&lt;&gt;"""");filter('Students (Vertical)'!O:O,'Students (Vertical)'!C:C=E945,'Students (Vertical)'!O:O&lt;&gt;"""")},{filter('Students (Vertical)'!O:O,'Students ("&amp;"Vertical)'!C:C=B945,'Students (Vertical)'!O:O&lt;&gt;"""");filter('Students (Vertical)'!O:O,'Students (Vertical)'!C:C=E945,'Students (Vertical)'!O:O&lt;&gt;"""")})&gt;1))),""No shared courses""),"""")"),"")</f>
        <v/>
      </c>
      <c r="J945" s="357" t="str">
        <f>IFERROR(__xludf.DUMMYFUNCTION("if(H945=""Can't be Together"",iferror(join("", "",unique(filter({filter('Students (Vertical)'!O:O,'Students (Vertical)'!C:C=B945,'Students (Vertical)'!O:O&lt;&gt;"""",'Students (Vertical)'!P:P&gt;1);filter('Students (Vertical)'!O:O,'Students (Vertical)'!C:C=E945,'"&amp;"Students (Vertical)'!O:O&lt;&gt;"""",'Students (Vertical)'!P:P&gt;1)},countifs({filter('Students (Vertical)'!O:O,'Students (Vertical)'!C:C=B945,'Students (Vertical)'!O:O&lt;&gt;"""",'Students (Vertical)'!P:P&gt;1);filter('Students (Vertical)'!O:O,'Students (Vertical)'!C:C="&amp;"E945,'Students (Vertical)'!O:O&lt;&gt;"""",'Students (Vertical)'!P:P&gt;1)},{filter('Students (Vertical)'!O:O,'Students (Vertical)'!C:C=B945,'Students (Vertical)'!O:O&lt;&gt;"""",'Students (Vertical)'!P:P&gt;1);filter('Students (Vertical)'!O:O,'Students (Vertical)'!C:C=E94"&amp;"5,'Students (Vertical)'!O:O&lt;&gt;"""",'Students (Vertical)'!P:P&gt;1)})&gt;1))),""""),"""")"),"")</f>
        <v/>
      </c>
      <c r="K945" s="358"/>
    </row>
    <row r="946">
      <c r="A946" s="300" t="s">
        <v>22</v>
      </c>
      <c r="C946" s="300" t="s">
        <v>22</v>
      </c>
      <c r="D946" s="300" t="s">
        <v>22</v>
      </c>
      <c r="F946" s="300" t="s">
        <v>22</v>
      </c>
      <c r="G946" s="300" t="s">
        <v>22</v>
      </c>
      <c r="I946" s="356" t="str">
        <f>IFERROR(__xludf.DUMMYFUNCTION("if(H946=""Must be Together"",iferror(join("", "",unique(filter({filter('Students (Vertical)'!O:O,'Students (Vertical)'!C:C=B946,'Students (Vertical)'!O:O&lt;&gt;"""");filter('Students (Vertical)'!O:O,'Students (Vertical)'!C:C=E946,'Students (Vertical)'!O:O&lt;&gt;"""&amp;""")},countifs({filter('Students (Vertical)'!O:O,'Students (Vertical)'!C:C=B946,'Students (Vertical)'!O:O&lt;&gt;"""");filter('Students (Vertical)'!O:O,'Students (Vertical)'!C:C=E946,'Students (Vertical)'!O:O&lt;&gt;"""")},{filter('Students (Vertical)'!O:O,'Students ("&amp;"Vertical)'!C:C=B946,'Students (Vertical)'!O:O&lt;&gt;"""");filter('Students (Vertical)'!O:O,'Students (Vertical)'!C:C=E946,'Students (Vertical)'!O:O&lt;&gt;"""")})&gt;1))),""No shared courses""),"""")"),"")</f>
        <v/>
      </c>
      <c r="J946" s="357" t="str">
        <f>IFERROR(__xludf.DUMMYFUNCTION("if(H946=""Can't be Together"",iferror(join("", "",unique(filter({filter('Students (Vertical)'!O:O,'Students (Vertical)'!C:C=B946,'Students (Vertical)'!O:O&lt;&gt;"""",'Students (Vertical)'!P:P&gt;1);filter('Students (Vertical)'!O:O,'Students (Vertical)'!C:C=E946,'"&amp;"Students (Vertical)'!O:O&lt;&gt;"""",'Students (Vertical)'!P:P&gt;1)},countifs({filter('Students (Vertical)'!O:O,'Students (Vertical)'!C:C=B946,'Students (Vertical)'!O:O&lt;&gt;"""",'Students (Vertical)'!P:P&gt;1);filter('Students (Vertical)'!O:O,'Students (Vertical)'!C:C="&amp;"E946,'Students (Vertical)'!O:O&lt;&gt;"""",'Students (Vertical)'!P:P&gt;1)},{filter('Students (Vertical)'!O:O,'Students (Vertical)'!C:C=B946,'Students (Vertical)'!O:O&lt;&gt;"""",'Students (Vertical)'!P:P&gt;1);filter('Students (Vertical)'!O:O,'Students (Vertical)'!C:C=E94"&amp;"6,'Students (Vertical)'!O:O&lt;&gt;"""",'Students (Vertical)'!P:P&gt;1)})&gt;1))),""""),"""")"),"")</f>
        <v/>
      </c>
      <c r="K946" s="358"/>
    </row>
    <row r="947">
      <c r="A947" s="300" t="s">
        <v>22</v>
      </c>
      <c r="C947" s="300" t="s">
        <v>22</v>
      </c>
      <c r="D947" s="300" t="s">
        <v>22</v>
      </c>
      <c r="F947" s="300" t="s">
        <v>22</v>
      </c>
      <c r="G947" s="300" t="s">
        <v>22</v>
      </c>
      <c r="I947" s="356" t="str">
        <f>IFERROR(__xludf.DUMMYFUNCTION("if(H947=""Must be Together"",iferror(join("", "",unique(filter({filter('Students (Vertical)'!O:O,'Students (Vertical)'!C:C=B947,'Students (Vertical)'!O:O&lt;&gt;"""");filter('Students (Vertical)'!O:O,'Students (Vertical)'!C:C=E947,'Students (Vertical)'!O:O&lt;&gt;"""&amp;""")},countifs({filter('Students (Vertical)'!O:O,'Students (Vertical)'!C:C=B947,'Students (Vertical)'!O:O&lt;&gt;"""");filter('Students (Vertical)'!O:O,'Students (Vertical)'!C:C=E947,'Students (Vertical)'!O:O&lt;&gt;"""")},{filter('Students (Vertical)'!O:O,'Students ("&amp;"Vertical)'!C:C=B947,'Students (Vertical)'!O:O&lt;&gt;"""");filter('Students (Vertical)'!O:O,'Students (Vertical)'!C:C=E947,'Students (Vertical)'!O:O&lt;&gt;"""")})&gt;1))),""No shared courses""),"""")"),"")</f>
        <v/>
      </c>
      <c r="J947" s="357" t="str">
        <f>IFERROR(__xludf.DUMMYFUNCTION("if(H947=""Can't be Together"",iferror(join("", "",unique(filter({filter('Students (Vertical)'!O:O,'Students (Vertical)'!C:C=B947,'Students (Vertical)'!O:O&lt;&gt;"""",'Students (Vertical)'!P:P&gt;1);filter('Students (Vertical)'!O:O,'Students (Vertical)'!C:C=E947,'"&amp;"Students (Vertical)'!O:O&lt;&gt;"""",'Students (Vertical)'!P:P&gt;1)},countifs({filter('Students (Vertical)'!O:O,'Students (Vertical)'!C:C=B947,'Students (Vertical)'!O:O&lt;&gt;"""",'Students (Vertical)'!P:P&gt;1);filter('Students (Vertical)'!O:O,'Students (Vertical)'!C:C="&amp;"E947,'Students (Vertical)'!O:O&lt;&gt;"""",'Students (Vertical)'!P:P&gt;1)},{filter('Students (Vertical)'!O:O,'Students (Vertical)'!C:C=B947,'Students (Vertical)'!O:O&lt;&gt;"""",'Students (Vertical)'!P:P&gt;1);filter('Students (Vertical)'!O:O,'Students (Vertical)'!C:C=E94"&amp;"7,'Students (Vertical)'!O:O&lt;&gt;"""",'Students (Vertical)'!P:P&gt;1)})&gt;1))),""""),"""")"),"")</f>
        <v/>
      </c>
      <c r="K947" s="358"/>
    </row>
    <row r="948">
      <c r="A948" s="300" t="s">
        <v>22</v>
      </c>
      <c r="C948" s="300" t="s">
        <v>22</v>
      </c>
      <c r="D948" s="300" t="s">
        <v>22</v>
      </c>
      <c r="F948" s="300" t="s">
        <v>22</v>
      </c>
      <c r="G948" s="300" t="s">
        <v>22</v>
      </c>
      <c r="I948" s="356" t="str">
        <f>IFERROR(__xludf.DUMMYFUNCTION("if(H948=""Must be Together"",iferror(join("", "",unique(filter({filter('Students (Vertical)'!O:O,'Students (Vertical)'!C:C=B948,'Students (Vertical)'!O:O&lt;&gt;"""");filter('Students (Vertical)'!O:O,'Students (Vertical)'!C:C=E948,'Students (Vertical)'!O:O&lt;&gt;"""&amp;""")},countifs({filter('Students (Vertical)'!O:O,'Students (Vertical)'!C:C=B948,'Students (Vertical)'!O:O&lt;&gt;"""");filter('Students (Vertical)'!O:O,'Students (Vertical)'!C:C=E948,'Students (Vertical)'!O:O&lt;&gt;"""")},{filter('Students (Vertical)'!O:O,'Students ("&amp;"Vertical)'!C:C=B948,'Students (Vertical)'!O:O&lt;&gt;"""");filter('Students (Vertical)'!O:O,'Students (Vertical)'!C:C=E948,'Students (Vertical)'!O:O&lt;&gt;"""")})&gt;1))),""No shared courses""),"""")"),"")</f>
        <v/>
      </c>
      <c r="J948" s="357" t="str">
        <f>IFERROR(__xludf.DUMMYFUNCTION("if(H948=""Can't be Together"",iferror(join("", "",unique(filter({filter('Students (Vertical)'!O:O,'Students (Vertical)'!C:C=B948,'Students (Vertical)'!O:O&lt;&gt;"""",'Students (Vertical)'!P:P&gt;1);filter('Students (Vertical)'!O:O,'Students (Vertical)'!C:C=E948,'"&amp;"Students (Vertical)'!O:O&lt;&gt;"""",'Students (Vertical)'!P:P&gt;1)},countifs({filter('Students (Vertical)'!O:O,'Students (Vertical)'!C:C=B948,'Students (Vertical)'!O:O&lt;&gt;"""",'Students (Vertical)'!P:P&gt;1);filter('Students (Vertical)'!O:O,'Students (Vertical)'!C:C="&amp;"E948,'Students (Vertical)'!O:O&lt;&gt;"""",'Students (Vertical)'!P:P&gt;1)},{filter('Students (Vertical)'!O:O,'Students (Vertical)'!C:C=B948,'Students (Vertical)'!O:O&lt;&gt;"""",'Students (Vertical)'!P:P&gt;1);filter('Students (Vertical)'!O:O,'Students (Vertical)'!C:C=E94"&amp;"8,'Students (Vertical)'!O:O&lt;&gt;"""",'Students (Vertical)'!P:P&gt;1)})&gt;1))),""""),"""")"),"")</f>
        <v/>
      </c>
      <c r="K948" s="358"/>
    </row>
    <row r="949">
      <c r="A949" s="300" t="s">
        <v>22</v>
      </c>
      <c r="C949" s="300" t="s">
        <v>22</v>
      </c>
      <c r="D949" s="300" t="s">
        <v>22</v>
      </c>
      <c r="F949" s="300" t="s">
        <v>22</v>
      </c>
      <c r="G949" s="300" t="s">
        <v>22</v>
      </c>
      <c r="I949" s="356" t="str">
        <f>IFERROR(__xludf.DUMMYFUNCTION("if(H949=""Must be Together"",iferror(join("", "",unique(filter({filter('Students (Vertical)'!O:O,'Students (Vertical)'!C:C=B949,'Students (Vertical)'!O:O&lt;&gt;"""");filter('Students (Vertical)'!O:O,'Students (Vertical)'!C:C=E949,'Students (Vertical)'!O:O&lt;&gt;"""&amp;""")},countifs({filter('Students (Vertical)'!O:O,'Students (Vertical)'!C:C=B949,'Students (Vertical)'!O:O&lt;&gt;"""");filter('Students (Vertical)'!O:O,'Students (Vertical)'!C:C=E949,'Students (Vertical)'!O:O&lt;&gt;"""")},{filter('Students (Vertical)'!O:O,'Students ("&amp;"Vertical)'!C:C=B949,'Students (Vertical)'!O:O&lt;&gt;"""");filter('Students (Vertical)'!O:O,'Students (Vertical)'!C:C=E949,'Students (Vertical)'!O:O&lt;&gt;"""")})&gt;1))),""No shared courses""),"""")"),"")</f>
        <v/>
      </c>
      <c r="J949" s="357" t="str">
        <f>IFERROR(__xludf.DUMMYFUNCTION("if(H949=""Can't be Together"",iferror(join("", "",unique(filter({filter('Students (Vertical)'!O:O,'Students (Vertical)'!C:C=B949,'Students (Vertical)'!O:O&lt;&gt;"""",'Students (Vertical)'!P:P&gt;1);filter('Students (Vertical)'!O:O,'Students (Vertical)'!C:C=E949,'"&amp;"Students (Vertical)'!O:O&lt;&gt;"""",'Students (Vertical)'!P:P&gt;1)},countifs({filter('Students (Vertical)'!O:O,'Students (Vertical)'!C:C=B949,'Students (Vertical)'!O:O&lt;&gt;"""",'Students (Vertical)'!P:P&gt;1);filter('Students (Vertical)'!O:O,'Students (Vertical)'!C:C="&amp;"E949,'Students (Vertical)'!O:O&lt;&gt;"""",'Students (Vertical)'!P:P&gt;1)},{filter('Students (Vertical)'!O:O,'Students (Vertical)'!C:C=B949,'Students (Vertical)'!O:O&lt;&gt;"""",'Students (Vertical)'!P:P&gt;1);filter('Students (Vertical)'!O:O,'Students (Vertical)'!C:C=E94"&amp;"9,'Students (Vertical)'!O:O&lt;&gt;"""",'Students (Vertical)'!P:P&gt;1)})&gt;1))),""""),"""")"),"")</f>
        <v/>
      </c>
      <c r="K949" s="358"/>
    </row>
    <row r="950">
      <c r="A950" s="300" t="s">
        <v>22</v>
      </c>
      <c r="C950" s="300" t="s">
        <v>22</v>
      </c>
      <c r="D950" s="300" t="s">
        <v>22</v>
      </c>
      <c r="F950" s="300" t="s">
        <v>22</v>
      </c>
      <c r="G950" s="300" t="s">
        <v>22</v>
      </c>
      <c r="I950" s="356" t="str">
        <f>IFERROR(__xludf.DUMMYFUNCTION("if(H950=""Must be Together"",iferror(join("", "",unique(filter({filter('Students (Vertical)'!O:O,'Students (Vertical)'!C:C=B950,'Students (Vertical)'!O:O&lt;&gt;"""");filter('Students (Vertical)'!O:O,'Students (Vertical)'!C:C=E950,'Students (Vertical)'!O:O&lt;&gt;"""&amp;""")},countifs({filter('Students (Vertical)'!O:O,'Students (Vertical)'!C:C=B950,'Students (Vertical)'!O:O&lt;&gt;"""");filter('Students (Vertical)'!O:O,'Students (Vertical)'!C:C=E950,'Students (Vertical)'!O:O&lt;&gt;"""")},{filter('Students (Vertical)'!O:O,'Students ("&amp;"Vertical)'!C:C=B950,'Students (Vertical)'!O:O&lt;&gt;"""");filter('Students (Vertical)'!O:O,'Students (Vertical)'!C:C=E950,'Students (Vertical)'!O:O&lt;&gt;"""")})&gt;1))),""No shared courses""),"""")"),"")</f>
        <v/>
      </c>
      <c r="J950" s="357" t="str">
        <f>IFERROR(__xludf.DUMMYFUNCTION("if(H950=""Can't be Together"",iferror(join("", "",unique(filter({filter('Students (Vertical)'!O:O,'Students (Vertical)'!C:C=B950,'Students (Vertical)'!O:O&lt;&gt;"""",'Students (Vertical)'!P:P&gt;1);filter('Students (Vertical)'!O:O,'Students (Vertical)'!C:C=E950,'"&amp;"Students (Vertical)'!O:O&lt;&gt;"""",'Students (Vertical)'!P:P&gt;1)},countifs({filter('Students (Vertical)'!O:O,'Students (Vertical)'!C:C=B950,'Students (Vertical)'!O:O&lt;&gt;"""",'Students (Vertical)'!P:P&gt;1);filter('Students (Vertical)'!O:O,'Students (Vertical)'!C:C="&amp;"E950,'Students (Vertical)'!O:O&lt;&gt;"""",'Students (Vertical)'!P:P&gt;1)},{filter('Students (Vertical)'!O:O,'Students (Vertical)'!C:C=B950,'Students (Vertical)'!O:O&lt;&gt;"""",'Students (Vertical)'!P:P&gt;1);filter('Students (Vertical)'!O:O,'Students (Vertical)'!C:C=E95"&amp;"0,'Students (Vertical)'!O:O&lt;&gt;"""",'Students (Vertical)'!P:P&gt;1)})&gt;1))),""""),"""")"),"")</f>
        <v/>
      </c>
      <c r="K950" s="358"/>
    </row>
    <row r="951">
      <c r="A951" s="300" t="s">
        <v>22</v>
      </c>
      <c r="C951" s="300" t="s">
        <v>22</v>
      </c>
      <c r="D951" s="300" t="s">
        <v>22</v>
      </c>
      <c r="F951" s="300" t="s">
        <v>22</v>
      </c>
      <c r="G951" s="300" t="s">
        <v>22</v>
      </c>
      <c r="I951" s="356" t="str">
        <f>IFERROR(__xludf.DUMMYFUNCTION("if(H951=""Must be Together"",iferror(join("", "",unique(filter({filter('Students (Vertical)'!O:O,'Students (Vertical)'!C:C=B951,'Students (Vertical)'!O:O&lt;&gt;"""");filter('Students (Vertical)'!O:O,'Students (Vertical)'!C:C=E951,'Students (Vertical)'!O:O&lt;&gt;"""&amp;""")},countifs({filter('Students (Vertical)'!O:O,'Students (Vertical)'!C:C=B951,'Students (Vertical)'!O:O&lt;&gt;"""");filter('Students (Vertical)'!O:O,'Students (Vertical)'!C:C=E951,'Students (Vertical)'!O:O&lt;&gt;"""")},{filter('Students (Vertical)'!O:O,'Students ("&amp;"Vertical)'!C:C=B951,'Students (Vertical)'!O:O&lt;&gt;"""");filter('Students (Vertical)'!O:O,'Students (Vertical)'!C:C=E951,'Students (Vertical)'!O:O&lt;&gt;"""")})&gt;1))),""No shared courses""),"""")"),"")</f>
        <v/>
      </c>
      <c r="J951" s="357" t="str">
        <f>IFERROR(__xludf.DUMMYFUNCTION("if(H951=""Can't be Together"",iferror(join("", "",unique(filter({filter('Students (Vertical)'!O:O,'Students (Vertical)'!C:C=B951,'Students (Vertical)'!O:O&lt;&gt;"""",'Students (Vertical)'!P:P&gt;1);filter('Students (Vertical)'!O:O,'Students (Vertical)'!C:C=E951,'"&amp;"Students (Vertical)'!O:O&lt;&gt;"""",'Students (Vertical)'!P:P&gt;1)},countifs({filter('Students (Vertical)'!O:O,'Students (Vertical)'!C:C=B951,'Students (Vertical)'!O:O&lt;&gt;"""",'Students (Vertical)'!P:P&gt;1);filter('Students (Vertical)'!O:O,'Students (Vertical)'!C:C="&amp;"E951,'Students (Vertical)'!O:O&lt;&gt;"""",'Students (Vertical)'!P:P&gt;1)},{filter('Students (Vertical)'!O:O,'Students (Vertical)'!C:C=B951,'Students (Vertical)'!O:O&lt;&gt;"""",'Students (Vertical)'!P:P&gt;1);filter('Students (Vertical)'!O:O,'Students (Vertical)'!C:C=E95"&amp;"1,'Students (Vertical)'!O:O&lt;&gt;"""",'Students (Vertical)'!P:P&gt;1)})&gt;1))),""""),"""")"),"")</f>
        <v/>
      </c>
      <c r="K951" s="358"/>
    </row>
    <row r="952">
      <c r="A952" s="300" t="s">
        <v>22</v>
      </c>
      <c r="C952" s="300" t="s">
        <v>22</v>
      </c>
      <c r="D952" s="300" t="s">
        <v>22</v>
      </c>
      <c r="F952" s="300" t="s">
        <v>22</v>
      </c>
      <c r="G952" s="300" t="s">
        <v>22</v>
      </c>
      <c r="I952" s="356" t="str">
        <f>IFERROR(__xludf.DUMMYFUNCTION("if(H952=""Must be Together"",iferror(join("", "",unique(filter({filter('Students (Vertical)'!O:O,'Students (Vertical)'!C:C=B952,'Students (Vertical)'!O:O&lt;&gt;"""");filter('Students (Vertical)'!O:O,'Students (Vertical)'!C:C=E952,'Students (Vertical)'!O:O&lt;&gt;"""&amp;""")},countifs({filter('Students (Vertical)'!O:O,'Students (Vertical)'!C:C=B952,'Students (Vertical)'!O:O&lt;&gt;"""");filter('Students (Vertical)'!O:O,'Students (Vertical)'!C:C=E952,'Students (Vertical)'!O:O&lt;&gt;"""")},{filter('Students (Vertical)'!O:O,'Students ("&amp;"Vertical)'!C:C=B952,'Students (Vertical)'!O:O&lt;&gt;"""");filter('Students (Vertical)'!O:O,'Students (Vertical)'!C:C=E952,'Students (Vertical)'!O:O&lt;&gt;"""")})&gt;1))),""No shared courses""),"""")"),"")</f>
        <v/>
      </c>
      <c r="J952" s="357" t="str">
        <f>IFERROR(__xludf.DUMMYFUNCTION("if(H952=""Can't be Together"",iferror(join("", "",unique(filter({filter('Students (Vertical)'!O:O,'Students (Vertical)'!C:C=B952,'Students (Vertical)'!O:O&lt;&gt;"""",'Students (Vertical)'!P:P&gt;1);filter('Students (Vertical)'!O:O,'Students (Vertical)'!C:C=E952,'"&amp;"Students (Vertical)'!O:O&lt;&gt;"""",'Students (Vertical)'!P:P&gt;1)},countifs({filter('Students (Vertical)'!O:O,'Students (Vertical)'!C:C=B952,'Students (Vertical)'!O:O&lt;&gt;"""",'Students (Vertical)'!P:P&gt;1);filter('Students (Vertical)'!O:O,'Students (Vertical)'!C:C="&amp;"E952,'Students (Vertical)'!O:O&lt;&gt;"""",'Students (Vertical)'!P:P&gt;1)},{filter('Students (Vertical)'!O:O,'Students (Vertical)'!C:C=B952,'Students (Vertical)'!O:O&lt;&gt;"""",'Students (Vertical)'!P:P&gt;1);filter('Students (Vertical)'!O:O,'Students (Vertical)'!C:C=E95"&amp;"2,'Students (Vertical)'!O:O&lt;&gt;"""",'Students (Vertical)'!P:P&gt;1)})&gt;1))),""""),"""")"),"")</f>
        <v/>
      </c>
      <c r="K952" s="358"/>
    </row>
    <row r="953">
      <c r="A953" s="300" t="s">
        <v>22</v>
      </c>
      <c r="C953" s="300" t="s">
        <v>22</v>
      </c>
      <c r="D953" s="300" t="s">
        <v>22</v>
      </c>
      <c r="F953" s="300" t="s">
        <v>22</v>
      </c>
      <c r="G953" s="300" t="s">
        <v>22</v>
      </c>
      <c r="I953" s="356" t="str">
        <f>IFERROR(__xludf.DUMMYFUNCTION("if(H953=""Must be Together"",iferror(join("", "",unique(filter({filter('Students (Vertical)'!O:O,'Students (Vertical)'!C:C=B953,'Students (Vertical)'!O:O&lt;&gt;"""");filter('Students (Vertical)'!O:O,'Students (Vertical)'!C:C=E953,'Students (Vertical)'!O:O&lt;&gt;"""&amp;""")},countifs({filter('Students (Vertical)'!O:O,'Students (Vertical)'!C:C=B953,'Students (Vertical)'!O:O&lt;&gt;"""");filter('Students (Vertical)'!O:O,'Students (Vertical)'!C:C=E953,'Students (Vertical)'!O:O&lt;&gt;"""")},{filter('Students (Vertical)'!O:O,'Students ("&amp;"Vertical)'!C:C=B953,'Students (Vertical)'!O:O&lt;&gt;"""");filter('Students (Vertical)'!O:O,'Students (Vertical)'!C:C=E953,'Students (Vertical)'!O:O&lt;&gt;"""")})&gt;1))),""No shared courses""),"""")"),"")</f>
        <v/>
      </c>
      <c r="J953" s="357" t="str">
        <f>IFERROR(__xludf.DUMMYFUNCTION("if(H953=""Can't be Together"",iferror(join("", "",unique(filter({filter('Students (Vertical)'!O:O,'Students (Vertical)'!C:C=B953,'Students (Vertical)'!O:O&lt;&gt;"""",'Students (Vertical)'!P:P&gt;1);filter('Students (Vertical)'!O:O,'Students (Vertical)'!C:C=E953,'"&amp;"Students (Vertical)'!O:O&lt;&gt;"""",'Students (Vertical)'!P:P&gt;1)},countifs({filter('Students (Vertical)'!O:O,'Students (Vertical)'!C:C=B953,'Students (Vertical)'!O:O&lt;&gt;"""",'Students (Vertical)'!P:P&gt;1);filter('Students (Vertical)'!O:O,'Students (Vertical)'!C:C="&amp;"E953,'Students (Vertical)'!O:O&lt;&gt;"""",'Students (Vertical)'!P:P&gt;1)},{filter('Students (Vertical)'!O:O,'Students (Vertical)'!C:C=B953,'Students (Vertical)'!O:O&lt;&gt;"""",'Students (Vertical)'!P:P&gt;1);filter('Students (Vertical)'!O:O,'Students (Vertical)'!C:C=E95"&amp;"3,'Students (Vertical)'!O:O&lt;&gt;"""",'Students (Vertical)'!P:P&gt;1)})&gt;1))),""""),"""")"),"")</f>
        <v/>
      </c>
      <c r="K953" s="358"/>
    </row>
    <row r="954">
      <c r="A954" s="300" t="s">
        <v>22</v>
      </c>
      <c r="C954" s="300" t="s">
        <v>22</v>
      </c>
      <c r="D954" s="300" t="s">
        <v>22</v>
      </c>
      <c r="F954" s="300" t="s">
        <v>22</v>
      </c>
      <c r="G954" s="300" t="s">
        <v>22</v>
      </c>
      <c r="I954" s="356" t="str">
        <f>IFERROR(__xludf.DUMMYFUNCTION("if(H954=""Must be Together"",iferror(join("", "",unique(filter({filter('Students (Vertical)'!O:O,'Students (Vertical)'!C:C=B954,'Students (Vertical)'!O:O&lt;&gt;"""");filter('Students (Vertical)'!O:O,'Students (Vertical)'!C:C=E954,'Students (Vertical)'!O:O&lt;&gt;"""&amp;""")},countifs({filter('Students (Vertical)'!O:O,'Students (Vertical)'!C:C=B954,'Students (Vertical)'!O:O&lt;&gt;"""");filter('Students (Vertical)'!O:O,'Students (Vertical)'!C:C=E954,'Students (Vertical)'!O:O&lt;&gt;"""")},{filter('Students (Vertical)'!O:O,'Students ("&amp;"Vertical)'!C:C=B954,'Students (Vertical)'!O:O&lt;&gt;"""");filter('Students (Vertical)'!O:O,'Students (Vertical)'!C:C=E954,'Students (Vertical)'!O:O&lt;&gt;"""")})&gt;1))),""No shared courses""),"""")"),"")</f>
        <v/>
      </c>
      <c r="J954" s="357" t="str">
        <f>IFERROR(__xludf.DUMMYFUNCTION("if(H954=""Can't be Together"",iferror(join("", "",unique(filter({filter('Students (Vertical)'!O:O,'Students (Vertical)'!C:C=B954,'Students (Vertical)'!O:O&lt;&gt;"""",'Students (Vertical)'!P:P&gt;1);filter('Students (Vertical)'!O:O,'Students (Vertical)'!C:C=E954,'"&amp;"Students (Vertical)'!O:O&lt;&gt;"""",'Students (Vertical)'!P:P&gt;1)},countifs({filter('Students (Vertical)'!O:O,'Students (Vertical)'!C:C=B954,'Students (Vertical)'!O:O&lt;&gt;"""",'Students (Vertical)'!P:P&gt;1);filter('Students (Vertical)'!O:O,'Students (Vertical)'!C:C="&amp;"E954,'Students (Vertical)'!O:O&lt;&gt;"""",'Students (Vertical)'!P:P&gt;1)},{filter('Students (Vertical)'!O:O,'Students (Vertical)'!C:C=B954,'Students (Vertical)'!O:O&lt;&gt;"""",'Students (Vertical)'!P:P&gt;1);filter('Students (Vertical)'!O:O,'Students (Vertical)'!C:C=E95"&amp;"4,'Students (Vertical)'!O:O&lt;&gt;"""",'Students (Vertical)'!P:P&gt;1)})&gt;1))),""""),"""")"),"")</f>
        <v/>
      </c>
      <c r="K954" s="358"/>
    </row>
    <row r="955">
      <c r="A955" s="300" t="s">
        <v>22</v>
      </c>
      <c r="C955" s="300" t="s">
        <v>22</v>
      </c>
      <c r="D955" s="300" t="s">
        <v>22</v>
      </c>
      <c r="F955" s="300" t="s">
        <v>22</v>
      </c>
      <c r="G955" s="300" t="s">
        <v>22</v>
      </c>
      <c r="I955" s="356" t="str">
        <f>IFERROR(__xludf.DUMMYFUNCTION("if(H955=""Must be Together"",iferror(join("", "",unique(filter({filter('Students (Vertical)'!O:O,'Students (Vertical)'!C:C=B955,'Students (Vertical)'!O:O&lt;&gt;"""");filter('Students (Vertical)'!O:O,'Students (Vertical)'!C:C=E955,'Students (Vertical)'!O:O&lt;&gt;"""&amp;""")},countifs({filter('Students (Vertical)'!O:O,'Students (Vertical)'!C:C=B955,'Students (Vertical)'!O:O&lt;&gt;"""");filter('Students (Vertical)'!O:O,'Students (Vertical)'!C:C=E955,'Students (Vertical)'!O:O&lt;&gt;"""")},{filter('Students (Vertical)'!O:O,'Students ("&amp;"Vertical)'!C:C=B955,'Students (Vertical)'!O:O&lt;&gt;"""");filter('Students (Vertical)'!O:O,'Students (Vertical)'!C:C=E955,'Students (Vertical)'!O:O&lt;&gt;"""")})&gt;1))),""No shared courses""),"""")"),"")</f>
        <v/>
      </c>
      <c r="J955" s="357" t="str">
        <f>IFERROR(__xludf.DUMMYFUNCTION("if(H955=""Can't be Together"",iferror(join("", "",unique(filter({filter('Students (Vertical)'!O:O,'Students (Vertical)'!C:C=B955,'Students (Vertical)'!O:O&lt;&gt;"""",'Students (Vertical)'!P:P&gt;1);filter('Students (Vertical)'!O:O,'Students (Vertical)'!C:C=E955,'"&amp;"Students (Vertical)'!O:O&lt;&gt;"""",'Students (Vertical)'!P:P&gt;1)},countifs({filter('Students (Vertical)'!O:O,'Students (Vertical)'!C:C=B955,'Students (Vertical)'!O:O&lt;&gt;"""",'Students (Vertical)'!P:P&gt;1);filter('Students (Vertical)'!O:O,'Students (Vertical)'!C:C="&amp;"E955,'Students (Vertical)'!O:O&lt;&gt;"""",'Students (Vertical)'!P:P&gt;1)},{filter('Students (Vertical)'!O:O,'Students (Vertical)'!C:C=B955,'Students (Vertical)'!O:O&lt;&gt;"""",'Students (Vertical)'!P:P&gt;1);filter('Students (Vertical)'!O:O,'Students (Vertical)'!C:C=E95"&amp;"5,'Students (Vertical)'!O:O&lt;&gt;"""",'Students (Vertical)'!P:P&gt;1)})&gt;1))),""""),"""")"),"")</f>
        <v/>
      </c>
      <c r="K955" s="358"/>
    </row>
    <row r="956">
      <c r="A956" s="300" t="s">
        <v>22</v>
      </c>
      <c r="C956" s="300" t="s">
        <v>22</v>
      </c>
      <c r="D956" s="300" t="s">
        <v>22</v>
      </c>
      <c r="F956" s="300" t="s">
        <v>22</v>
      </c>
      <c r="G956" s="300" t="s">
        <v>22</v>
      </c>
      <c r="I956" s="356" t="str">
        <f>IFERROR(__xludf.DUMMYFUNCTION("if(H956=""Must be Together"",iferror(join("", "",unique(filter({filter('Students (Vertical)'!O:O,'Students (Vertical)'!C:C=B956,'Students (Vertical)'!O:O&lt;&gt;"""");filter('Students (Vertical)'!O:O,'Students (Vertical)'!C:C=E956,'Students (Vertical)'!O:O&lt;&gt;"""&amp;""")},countifs({filter('Students (Vertical)'!O:O,'Students (Vertical)'!C:C=B956,'Students (Vertical)'!O:O&lt;&gt;"""");filter('Students (Vertical)'!O:O,'Students (Vertical)'!C:C=E956,'Students (Vertical)'!O:O&lt;&gt;"""")},{filter('Students (Vertical)'!O:O,'Students ("&amp;"Vertical)'!C:C=B956,'Students (Vertical)'!O:O&lt;&gt;"""");filter('Students (Vertical)'!O:O,'Students (Vertical)'!C:C=E956,'Students (Vertical)'!O:O&lt;&gt;"""")})&gt;1))),""No shared courses""),"""")"),"")</f>
        <v/>
      </c>
      <c r="J956" s="357" t="str">
        <f>IFERROR(__xludf.DUMMYFUNCTION("if(H956=""Can't be Together"",iferror(join("", "",unique(filter({filter('Students (Vertical)'!O:O,'Students (Vertical)'!C:C=B956,'Students (Vertical)'!O:O&lt;&gt;"""",'Students (Vertical)'!P:P&gt;1);filter('Students (Vertical)'!O:O,'Students (Vertical)'!C:C=E956,'"&amp;"Students (Vertical)'!O:O&lt;&gt;"""",'Students (Vertical)'!P:P&gt;1)},countifs({filter('Students (Vertical)'!O:O,'Students (Vertical)'!C:C=B956,'Students (Vertical)'!O:O&lt;&gt;"""",'Students (Vertical)'!P:P&gt;1);filter('Students (Vertical)'!O:O,'Students (Vertical)'!C:C="&amp;"E956,'Students (Vertical)'!O:O&lt;&gt;"""",'Students (Vertical)'!P:P&gt;1)},{filter('Students (Vertical)'!O:O,'Students (Vertical)'!C:C=B956,'Students (Vertical)'!O:O&lt;&gt;"""",'Students (Vertical)'!P:P&gt;1);filter('Students (Vertical)'!O:O,'Students (Vertical)'!C:C=E95"&amp;"6,'Students (Vertical)'!O:O&lt;&gt;"""",'Students (Vertical)'!P:P&gt;1)})&gt;1))),""""),"""")"),"")</f>
        <v/>
      </c>
      <c r="K956" s="358"/>
    </row>
    <row r="957">
      <c r="A957" s="300" t="s">
        <v>22</v>
      </c>
      <c r="C957" s="300" t="s">
        <v>22</v>
      </c>
      <c r="D957" s="300" t="s">
        <v>22</v>
      </c>
      <c r="F957" s="300" t="s">
        <v>22</v>
      </c>
      <c r="G957" s="300" t="s">
        <v>22</v>
      </c>
      <c r="I957" s="356" t="str">
        <f>IFERROR(__xludf.DUMMYFUNCTION("if(H957=""Must be Together"",iferror(join("", "",unique(filter({filter('Students (Vertical)'!O:O,'Students (Vertical)'!C:C=B957,'Students (Vertical)'!O:O&lt;&gt;"""");filter('Students (Vertical)'!O:O,'Students (Vertical)'!C:C=E957,'Students (Vertical)'!O:O&lt;&gt;"""&amp;""")},countifs({filter('Students (Vertical)'!O:O,'Students (Vertical)'!C:C=B957,'Students (Vertical)'!O:O&lt;&gt;"""");filter('Students (Vertical)'!O:O,'Students (Vertical)'!C:C=E957,'Students (Vertical)'!O:O&lt;&gt;"""")},{filter('Students (Vertical)'!O:O,'Students ("&amp;"Vertical)'!C:C=B957,'Students (Vertical)'!O:O&lt;&gt;"""");filter('Students (Vertical)'!O:O,'Students (Vertical)'!C:C=E957,'Students (Vertical)'!O:O&lt;&gt;"""")})&gt;1))),""No shared courses""),"""")"),"")</f>
        <v/>
      </c>
      <c r="J957" s="357" t="str">
        <f>IFERROR(__xludf.DUMMYFUNCTION("if(H957=""Can't be Together"",iferror(join("", "",unique(filter({filter('Students (Vertical)'!O:O,'Students (Vertical)'!C:C=B957,'Students (Vertical)'!O:O&lt;&gt;"""",'Students (Vertical)'!P:P&gt;1);filter('Students (Vertical)'!O:O,'Students (Vertical)'!C:C=E957,'"&amp;"Students (Vertical)'!O:O&lt;&gt;"""",'Students (Vertical)'!P:P&gt;1)},countifs({filter('Students (Vertical)'!O:O,'Students (Vertical)'!C:C=B957,'Students (Vertical)'!O:O&lt;&gt;"""",'Students (Vertical)'!P:P&gt;1);filter('Students (Vertical)'!O:O,'Students (Vertical)'!C:C="&amp;"E957,'Students (Vertical)'!O:O&lt;&gt;"""",'Students (Vertical)'!P:P&gt;1)},{filter('Students (Vertical)'!O:O,'Students (Vertical)'!C:C=B957,'Students (Vertical)'!O:O&lt;&gt;"""",'Students (Vertical)'!P:P&gt;1);filter('Students (Vertical)'!O:O,'Students (Vertical)'!C:C=E95"&amp;"7,'Students (Vertical)'!O:O&lt;&gt;"""",'Students (Vertical)'!P:P&gt;1)})&gt;1))),""""),"""")"),"")</f>
        <v/>
      </c>
      <c r="K957" s="358"/>
    </row>
    <row r="958">
      <c r="A958" s="300" t="s">
        <v>22</v>
      </c>
      <c r="C958" s="300" t="s">
        <v>22</v>
      </c>
      <c r="D958" s="300" t="s">
        <v>22</v>
      </c>
      <c r="F958" s="300" t="s">
        <v>22</v>
      </c>
      <c r="G958" s="300" t="s">
        <v>22</v>
      </c>
      <c r="I958" s="356" t="str">
        <f>IFERROR(__xludf.DUMMYFUNCTION("if(H958=""Must be Together"",iferror(join("", "",unique(filter({filter('Students (Vertical)'!O:O,'Students (Vertical)'!C:C=B958,'Students (Vertical)'!O:O&lt;&gt;"""");filter('Students (Vertical)'!O:O,'Students (Vertical)'!C:C=E958,'Students (Vertical)'!O:O&lt;&gt;"""&amp;""")},countifs({filter('Students (Vertical)'!O:O,'Students (Vertical)'!C:C=B958,'Students (Vertical)'!O:O&lt;&gt;"""");filter('Students (Vertical)'!O:O,'Students (Vertical)'!C:C=E958,'Students (Vertical)'!O:O&lt;&gt;"""")},{filter('Students (Vertical)'!O:O,'Students ("&amp;"Vertical)'!C:C=B958,'Students (Vertical)'!O:O&lt;&gt;"""");filter('Students (Vertical)'!O:O,'Students (Vertical)'!C:C=E958,'Students (Vertical)'!O:O&lt;&gt;"""")})&gt;1))),""No shared courses""),"""")"),"")</f>
        <v/>
      </c>
      <c r="J958" s="357" t="str">
        <f>IFERROR(__xludf.DUMMYFUNCTION("if(H958=""Can't be Together"",iferror(join("", "",unique(filter({filter('Students (Vertical)'!O:O,'Students (Vertical)'!C:C=B958,'Students (Vertical)'!O:O&lt;&gt;"""",'Students (Vertical)'!P:P&gt;1);filter('Students (Vertical)'!O:O,'Students (Vertical)'!C:C=E958,'"&amp;"Students (Vertical)'!O:O&lt;&gt;"""",'Students (Vertical)'!P:P&gt;1)},countifs({filter('Students (Vertical)'!O:O,'Students (Vertical)'!C:C=B958,'Students (Vertical)'!O:O&lt;&gt;"""",'Students (Vertical)'!P:P&gt;1);filter('Students (Vertical)'!O:O,'Students (Vertical)'!C:C="&amp;"E958,'Students (Vertical)'!O:O&lt;&gt;"""",'Students (Vertical)'!P:P&gt;1)},{filter('Students (Vertical)'!O:O,'Students (Vertical)'!C:C=B958,'Students (Vertical)'!O:O&lt;&gt;"""",'Students (Vertical)'!P:P&gt;1);filter('Students (Vertical)'!O:O,'Students (Vertical)'!C:C=E95"&amp;"8,'Students (Vertical)'!O:O&lt;&gt;"""",'Students (Vertical)'!P:P&gt;1)})&gt;1))),""""),"""")"),"")</f>
        <v/>
      </c>
      <c r="K958" s="358"/>
    </row>
    <row r="959">
      <c r="A959" s="300" t="s">
        <v>22</v>
      </c>
      <c r="C959" s="300" t="s">
        <v>22</v>
      </c>
      <c r="D959" s="300" t="s">
        <v>22</v>
      </c>
      <c r="F959" s="300" t="s">
        <v>22</v>
      </c>
      <c r="G959" s="300" t="s">
        <v>22</v>
      </c>
      <c r="I959" s="356" t="str">
        <f>IFERROR(__xludf.DUMMYFUNCTION("if(H959=""Must be Together"",iferror(join("", "",unique(filter({filter('Students (Vertical)'!O:O,'Students (Vertical)'!C:C=B959,'Students (Vertical)'!O:O&lt;&gt;"""");filter('Students (Vertical)'!O:O,'Students (Vertical)'!C:C=E959,'Students (Vertical)'!O:O&lt;&gt;"""&amp;""")},countifs({filter('Students (Vertical)'!O:O,'Students (Vertical)'!C:C=B959,'Students (Vertical)'!O:O&lt;&gt;"""");filter('Students (Vertical)'!O:O,'Students (Vertical)'!C:C=E959,'Students (Vertical)'!O:O&lt;&gt;"""")},{filter('Students (Vertical)'!O:O,'Students ("&amp;"Vertical)'!C:C=B959,'Students (Vertical)'!O:O&lt;&gt;"""");filter('Students (Vertical)'!O:O,'Students (Vertical)'!C:C=E959,'Students (Vertical)'!O:O&lt;&gt;"""")})&gt;1))),""No shared courses""),"""")"),"")</f>
        <v/>
      </c>
      <c r="J959" s="357" t="str">
        <f>IFERROR(__xludf.DUMMYFUNCTION("if(H959=""Can't be Together"",iferror(join("", "",unique(filter({filter('Students (Vertical)'!O:O,'Students (Vertical)'!C:C=B959,'Students (Vertical)'!O:O&lt;&gt;"""",'Students (Vertical)'!P:P&gt;1);filter('Students (Vertical)'!O:O,'Students (Vertical)'!C:C=E959,'"&amp;"Students (Vertical)'!O:O&lt;&gt;"""",'Students (Vertical)'!P:P&gt;1)},countifs({filter('Students (Vertical)'!O:O,'Students (Vertical)'!C:C=B959,'Students (Vertical)'!O:O&lt;&gt;"""",'Students (Vertical)'!P:P&gt;1);filter('Students (Vertical)'!O:O,'Students (Vertical)'!C:C="&amp;"E959,'Students (Vertical)'!O:O&lt;&gt;"""",'Students (Vertical)'!P:P&gt;1)},{filter('Students (Vertical)'!O:O,'Students (Vertical)'!C:C=B959,'Students (Vertical)'!O:O&lt;&gt;"""",'Students (Vertical)'!P:P&gt;1);filter('Students (Vertical)'!O:O,'Students (Vertical)'!C:C=E95"&amp;"9,'Students (Vertical)'!O:O&lt;&gt;"""",'Students (Vertical)'!P:P&gt;1)})&gt;1))),""""),"""")"),"")</f>
        <v/>
      </c>
      <c r="K959" s="358"/>
    </row>
    <row r="960">
      <c r="A960" s="300" t="s">
        <v>22</v>
      </c>
      <c r="C960" s="300" t="s">
        <v>22</v>
      </c>
      <c r="D960" s="300" t="s">
        <v>22</v>
      </c>
      <c r="F960" s="300" t="s">
        <v>22</v>
      </c>
      <c r="G960" s="300" t="s">
        <v>22</v>
      </c>
      <c r="I960" s="356" t="str">
        <f>IFERROR(__xludf.DUMMYFUNCTION("if(H960=""Must be Together"",iferror(join("", "",unique(filter({filter('Students (Vertical)'!O:O,'Students (Vertical)'!C:C=B960,'Students (Vertical)'!O:O&lt;&gt;"""");filter('Students (Vertical)'!O:O,'Students (Vertical)'!C:C=E960,'Students (Vertical)'!O:O&lt;&gt;"""&amp;""")},countifs({filter('Students (Vertical)'!O:O,'Students (Vertical)'!C:C=B960,'Students (Vertical)'!O:O&lt;&gt;"""");filter('Students (Vertical)'!O:O,'Students (Vertical)'!C:C=E960,'Students (Vertical)'!O:O&lt;&gt;"""")},{filter('Students (Vertical)'!O:O,'Students ("&amp;"Vertical)'!C:C=B960,'Students (Vertical)'!O:O&lt;&gt;"""");filter('Students (Vertical)'!O:O,'Students (Vertical)'!C:C=E960,'Students (Vertical)'!O:O&lt;&gt;"""")})&gt;1))),""No shared courses""),"""")"),"")</f>
        <v/>
      </c>
      <c r="J960" s="357" t="str">
        <f>IFERROR(__xludf.DUMMYFUNCTION("if(H960=""Can't be Together"",iferror(join("", "",unique(filter({filter('Students (Vertical)'!O:O,'Students (Vertical)'!C:C=B960,'Students (Vertical)'!O:O&lt;&gt;"""",'Students (Vertical)'!P:P&gt;1);filter('Students (Vertical)'!O:O,'Students (Vertical)'!C:C=E960,'"&amp;"Students (Vertical)'!O:O&lt;&gt;"""",'Students (Vertical)'!P:P&gt;1)},countifs({filter('Students (Vertical)'!O:O,'Students (Vertical)'!C:C=B960,'Students (Vertical)'!O:O&lt;&gt;"""",'Students (Vertical)'!P:P&gt;1);filter('Students (Vertical)'!O:O,'Students (Vertical)'!C:C="&amp;"E960,'Students (Vertical)'!O:O&lt;&gt;"""",'Students (Vertical)'!P:P&gt;1)},{filter('Students (Vertical)'!O:O,'Students (Vertical)'!C:C=B960,'Students (Vertical)'!O:O&lt;&gt;"""",'Students (Vertical)'!P:P&gt;1);filter('Students (Vertical)'!O:O,'Students (Vertical)'!C:C=E96"&amp;"0,'Students (Vertical)'!O:O&lt;&gt;"""",'Students (Vertical)'!P:P&gt;1)})&gt;1))),""""),"""")"),"")</f>
        <v/>
      </c>
      <c r="K960" s="358"/>
    </row>
    <row r="961">
      <c r="A961" s="300" t="s">
        <v>22</v>
      </c>
      <c r="C961" s="300" t="s">
        <v>22</v>
      </c>
      <c r="D961" s="300" t="s">
        <v>22</v>
      </c>
      <c r="F961" s="300" t="s">
        <v>22</v>
      </c>
      <c r="G961" s="300" t="s">
        <v>22</v>
      </c>
      <c r="I961" s="356" t="str">
        <f>IFERROR(__xludf.DUMMYFUNCTION("if(H961=""Must be Together"",iferror(join("", "",unique(filter({filter('Students (Vertical)'!O:O,'Students (Vertical)'!C:C=B961,'Students (Vertical)'!O:O&lt;&gt;"""");filter('Students (Vertical)'!O:O,'Students (Vertical)'!C:C=E961,'Students (Vertical)'!O:O&lt;&gt;"""&amp;""")},countifs({filter('Students (Vertical)'!O:O,'Students (Vertical)'!C:C=B961,'Students (Vertical)'!O:O&lt;&gt;"""");filter('Students (Vertical)'!O:O,'Students (Vertical)'!C:C=E961,'Students (Vertical)'!O:O&lt;&gt;"""")},{filter('Students (Vertical)'!O:O,'Students ("&amp;"Vertical)'!C:C=B961,'Students (Vertical)'!O:O&lt;&gt;"""");filter('Students (Vertical)'!O:O,'Students (Vertical)'!C:C=E961,'Students (Vertical)'!O:O&lt;&gt;"""")})&gt;1))),""No shared courses""),"""")"),"")</f>
        <v/>
      </c>
      <c r="J961" s="357" t="str">
        <f>IFERROR(__xludf.DUMMYFUNCTION("if(H961=""Can't be Together"",iferror(join("", "",unique(filter({filter('Students (Vertical)'!O:O,'Students (Vertical)'!C:C=B961,'Students (Vertical)'!O:O&lt;&gt;"""",'Students (Vertical)'!P:P&gt;1);filter('Students (Vertical)'!O:O,'Students (Vertical)'!C:C=E961,'"&amp;"Students (Vertical)'!O:O&lt;&gt;"""",'Students (Vertical)'!P:P&gt;1)},countifs({filter('Students (Vertical)'!O:O,'Students (Vertical)'!C:C=B961,'Students (Vertical)'!O:O&lt;&gt;"""",'Students (Vertical)'!P:P&gt;1);filter('Students (Vertical)'!O:O,'Students (Vertical)'!C:C="&amp;"E961,'Students (Vertical)'!O:O&lt;&gt;"""",'Students (Vertical)'!P:P&gt;1)},{filter('Students (Vertical)'!O:O,'Students (Vertical)'!C:C=B961,'Students (Vertical)'!O:O&lt;&gt;"""",'Students (Vertical)'!P:P&gt;1);filter('Students (Vertical)'!O:O,'Students (Vertical)'!C:C=E96"&amp;"1,'Students (Vertical)'!O:O&lt;&gt;"""",'Students (Vertical)'!P:P&gt;1)})&gt;1))),""""),"""")"),"")</f>
        <v/>
      </c>
      <c r="K961" s="358"/>
    </row>
    <row r="962">
      <c r="A962" s="300" t="s">
        <v>22</v>
      </c>
      <c r="C962" s="300" t="s">
        <v>22</v>
      </c>
      <c r="D962" s="300" t="s">
        <v>22</v>
      </c>
      <c r="F962" s="300" t="s">
        <v>22</v>
      </c>
      <c r="G962" s="300" t="s">
        <v>22</v>
      </c>
      <c r="I962" s="356" t="str">
        <f>IFERROR(__xludf.DUMMYFUNCTION("if(H962=""Must be Together"",iferror(join("", "",unique(filter({filter('Students (Vertical)'!O:O,'Students (Vertical)'!C:C=B962,'Students (Vertical)'!O:O&lt;&gt;"""");filter('Students (Vertical)'!O:O,'Students (Vertical)'!C:C=E962,'Students (Vertical)'!O:O&lt;&gt;"""&amp;""")},countifs({filter('Students (Vertical)'!O:O,'Students (Vertical)'!C:C=B962,'Students (Vertical)'!O:O&lt;&gt;"""");filter('Students (Vertical)'!O:O,'Students (Vertical)'!C:C=E962,'Students (Vertical)'!O:O&lt;&gt;"""")},{filter('Students (Vertical)'!O:O,'Students ("&amp;"Vertical)'!C:C=B962,'Students (Vertical)'!O:O&lt;&gt;"""");filter('Students (Vertical)'!O:O,'Students (Vertical)'!C:C=E962,'Students (Vertical)'!O:O&lt;&gt;"""")})&gt;1))),""No shared courses""),"""")"),"")</f>
        <v/>
      </c>
      <c r="J962" s="357" t="str">
        <f>IFERROR(__xludf.DUMMYFUNCTION("if(H962=""Can't be Together"",iferror(join("", "",unique(filter({filter('Students (Vertical)'!O:O,'Students (Vertical)'!C:C=B962,'Students (Vertical)'!O:O&lt;&gt;"""",'Students (Vertical)'!P:P&gt;1);filter('Students (Vertical)'!O:O,'Students (Vertical)'!C:C=E962,'"&amp;"Students (Vertical)'!O:O&lt;&gt;"""",'Students (Vertical)'!P:P&gt;1)},countifs({filter('Students (Vertical)'!O:O,'Students (Vertical)'!C:C=B962,'Students (Vertical)'!O:O&lt;&gt;"""",'Students (Vertical)'!P:P&gt;1);filter('Students (Vertical)'!O:O,'Students (Vertical)'!C:C="&amp;"E962,'Students (Vertical)'!O:O&lt;&gt;"""",'Students (Vertical)'!P:P&gt;1)},{filter('Students (Vertical)'!O:O,'Students (Vertical)'!C:C=B962,'Students (Vertical)'!O:O&lt;&gt;"""",'Students (Vertical)'!P:P&gt;1);filter('Students (Vertical)'!O:O,'Students (Vertical)'!C:C=E96"&amp;"2,'Students (Vertical)'!O:O&lt;&gt;"""",'Students (Vertical)'!P:P&gt;1)})&gt;1))),""""),"""")"),"")</f>
        <v/>
      </c>
      <c r="K962" s="358"/>
    </row>
    <row r="963">
      <c r="A963" s="300" t="s">
        <v>22</v>
      </c>
      <c r="C963" s="300" t="s">
        <v>22</v>
      </c>
      <c r="D963" s="300" t="s">
        <v>22</v>
      </c>
      <c r="F963" s="300" t="s">
        <v>22</v>
      </c>
      <c r="G963" s="300" t="s">
        <v>22</v>
      </c>
      <c r="I963" s="356" t="str">
        <f>IFERROR(__xludf.DUMMYFUNCTION("if(H963=""Must be Together"",iferror(join("", "",unique(filter({filter('Students (Vertical)'!O:O,'Students (Vertical)'!C:C=B963,'Students (Vertical)'!O:O&lt;&gt;"""");filter('Students (Vertical)'!O:O,'Students (Vertical)'!C:C=E963,'Students (Vertical)'!O:O&lt;&gt;"""&amp;""")},countifs({filter('Students (Vertical)'!O:O,'Students (Vertical)'!C:C=B963,'Students (Vertical)'!O:O&lt;&gt;"""");filter('Students (Vertical)'!O:O,'Students (Vertical)'!C:C=E963,'Students (Vertical)'!O:O&lt;&gt;"""")},{filter('Students (Vertical)'!O:O,'Students ("&amp;"Vertical)'!C:C=B963,'Students (Vertical)'!O:O&lt;&gt;"""");filter('Students (Vertical)'!O:O,'Students (Vertical)'!C:C=E963,'Students (Vertical)'!O:O&lt;&gt;"""")})&gt;1))),""No shared courses""),"""")"),"")</f>
        <v/>
      </c>
      <c r="J963" s="357" t="str">
        <f>IFERROR(__xludf.DUMMYFUNCTION("if(H963=""Can't be Together"",iferror(join("", "",unique(filter({filter('Students (Vertical)'!O:O,'Students (Vertical)'!C:C=B963,'Students (Vertical)'!O:O&lt;&gt;"""",'Students (Vertical)'!P:P&gt;1);filter('Students (Vertical)'!O:O,'Students (Vertical)'!C:C=E963,'"&amp;"Students (Vertical)'!O:O&lt;&gt;"""",'Students (Vertical)'!P:P&gt;1)},countifs({filter('Students (Vertical)'!O:O,'Students (Vertical)'!C:C=B963,'Students (Vertical)'!O:O&lt;&gt;"""",'Students (Vertical)'!P:P&gt;1);filter('Students (Vertical)'!O:O,'Students (Vertical)'!C:C="&amp;"E963,'Students (Vertical)'!O:O&lt;&gt;"""",'Students (Vertical)'!P:P&gt;1)},{filter('Students (Vertical)'!O:O,'Students (Vertical)'!C:C=B963,'Students (Vertical)'!O:O&lt;&gt;"""",'Students (Vertical)'!P:P&gt;1);filter('Students (Vertical)'!O:O,'Students (Vertical)'!C:C=E96"&amp;"3,'Students (Vertical)'!O:O&lt;&gt;"""",'Students (Vertical)'!P:P&gt;1)})&gt;1))),""""),"""")"),"")</f>
        <v/>
      </c>
      <c r="K963" s="358"/>
    </row>
    <row r="964">
      <c r="A964" s="300" t="s">
        <v>22</v>
      </c>
      <c r="C964" s="300" t="s">
        <v>22</v>
      </c>
      <c r="D964" s="300" t="s">
        <v>22</v>
      </c>
      <c r="F964" s="300" t="s">
        <v>22</v>
      </c>
      <c r="G964" s="300" t="s">
        <v>22</v>
      </c>
      <c r="I964" s="356" t="str">
        <f>IFERROR(__xludf.DUMMYFUNCTION("if(H964=""Must be Together"",iferror(join("", "",unique(filter({filter('Students (Vertical)'!O:O,'Students (Vertical)'!C:C=B964,'Students (Vertical)'!O:O&lt;&gt;"""");filter('Students (Vertical)'!O:O,'Students (Vertical)'!C:C=E964,'Students (Vertical)'!O:O&lt;&gt;"""&amp;""")},countifs({filter('Students (Vertical)'!O:O,'Students (Vertical)'!C:C=B964,'Students (Vertical)'!O:O&lt;&gt;"""");filter('Students (Vertical)'!O:O,'Students (Vertical)'!C:C=E964,'Students (Vertical)'!O:O&lt;&gt;"""")},{filter('Students (Vertical)'!O:O,'Students ("&amp;"Vertical)'!C:C=B964,'Students (Vertical)'!O:O&lt;&gt;"""");filter('Students (Vertical)'!O:O,'Students (Vertical)'!C:C=E964,'Students (Vertical)'!O:O&lt;&gt;"""")})&gt;1))),""No shared courses""),"""")"),"")</f>
        <v/>
      </c>
      <c r="J964" s="357" t="str">
        <f>IFERROR(__xludf.DUMMYFUNCTION("if(H964=""Can't be Together"",iferror(join("", "",unique(filter({filter('Students (Vertical)'!O:O,'Students (Vertical)'!C:C=B964,'Students (Vertical)'!O:O&lt;&gt;"""",'Students (Vertical)'!P:P&gt;1);filter('Students (Vertical)'!O:O,'Students (Vertical)'!C:C=E964,'"&amp;"Students (Vertical)'!O:O&lt;&gt;"""",'Students (Vertical)'!P:P&gt;1)},countifs({filter('Students (Vertical)'!O:O,'Students (Vertical)'!C:C=B964,'Students (Vertical)'!O:O&lt;&gt;"""",'Students (Vertical)'!P:P&gt;1);filter('Students (Vertical)'!O:O,'Students (Vertical)'!C:C="&amp;"E964,'Students (Vertical)'!O:O&lt;&gt;"""",'Students (Vertical)'!P:P&gt;1)},{filter('Students (Vertical)'!O:O,'Students (Vertical)'!C:C=B964,'Students (Vertical)'!O:O&lt;&gt;"""",'Students (Vertical)'!P:P&gt;1);filter('Students (Vertical)'!O:O,'Students (Vertical)'!C:C=E96"&amp;"4,'Students (Vertical)'!O:O&lt;&gt;"""",'Students (Vertical)'!P:P&gt;1)})&gt;1))),""""),"""")"),"")</f>
        <v/>
      </c>
      <c r="K964" s="358"/>
    </row>
    <row r="965">
      <c r="A965" s="300" t="s">
        <v>22</v>
      </c>
      <c r="C965" s="300" t="s">
        <v>22</v>
      </c>
      <c r="D965" s="300" t="s">
        <v>22</v>
      </c>
      <c r="F965" s="300" t="s">
        <v>22</v>
      </c>
      <c r="G965" s="300" t="s">
        <v>22</v>
      </c>
      <c r="I965" s="356" t="str">
        <f>IFERROR(__xludf.DUMMYFUNCTION("if(H965=""Must be Together"",iferror(join("", "",unique(filter({filter('Students (Vertical)'!O:O,'Students (Vertical)'!C:C=B965,'Students (Vertical)'!O:O&lt;&gt;"""");filter('Students (Vertical)'!O:O,'Students (Vertical)'!C:C=E965,'Students (Vertical)'!O:O&lt;&gt;"""&amp;""")},countifs({filter('Students (Vertical)'!O:O,'Students (Vertical)'!C:C=B965,'Students (Vertical)'!O:O&lt;&gt;"""");filter('Students (Vertical)'!O:O,'Students (Vertical)'!C:C=E965,'Students (Vertical)'!O:O&lt;&gt;"""")},{filter('Students (Vertical)'!O:O,'Students ("&amp;"Vertical)'!C:C=B965,'Students (Vertical)'!O:O&lt;&gt;"""");filter('Students (Vertical)'!O:O,'Students (Vertical)'!C:C=E965,'Students (Vertical)'!O:O&lt;&gt;"""")})&gt;1))),""No shared courses""),"""")"),"")</f>
        <v/>
      </c>
      <c r="J965" s="357" t="str">
        <f>IFERROR(__xludf.DUMMYFUNCTION("if(H965=""Can't be Together"",iferror(join("", "",unique(filter({filter('Students (Vertical)'!O:O,'Students (Vertical)'!C:C=B965,'Students (Vertical)'!O:O&lt;&gt;"""",'Students (Vertical)'!P:P&gt;1);filter('Students (Vertical)'!O:O,'Students (Vertical)'!C:C=E965,'"&amp;"Students (Vertical)'!O:O&lt;&gt;"""",'Students (Vertical)'!P:P&gt;1)},countifs({filter('Students (Vertical)'!O:O,'Students (Vertical)'!C:C=B965,'Students (Vertical)'!O:O&lt;&gt;"""",'Students (Vertical)'!P:P&gt;1);filter('Students (Vertical)'!O:O,'Students (Vertical)'!C:C="&amp;"E965,'Students (Vertical)'!O:O&lt;&gt;"""",'Students (Vertical)'!P:P&gt;1)},{filter('Students (Vertical)'!O:O,'Students (Vertical)'!C:C=B965,'Students (Vertical)'!O:O&lt;&gt;"""",'Students (Vertical)'!P:P&gt;1);filter('Students (Vertical)'!O:O,'Students (Vertical)'!C:C=E96"&amp;"5,'Students (Vertical)'!O:O&lt;&gt;"""",'Students (Vertical)'!P:P&gt;1)})&gt;1))),""""),"""")"),"")</f>
        <v/>
      </c>
      <c r="K965" s="358"/>
    </row>
    <row r="966">
      <c r="A966" s="300" t="s">
        <v>22</v>
      </c>
      <c r="C966" s="300" t="s">
        <v>22</v>
      </c>
      <c r="D966" s="300" t="s">
        <v>22</v>
      </c>
      <c r="F966" s="300" t="s">
        <v>22</v>
      </c>
      <c r="G966" s="300" t="s">
        <v>22</v>
      </c>
      <c r="I966" s="356" t="str">
        <f>IFERROR(__xludf.DUMMYFUNCTION("if(H966=""Must be Together"",iferror(join("", "",unique(filter({filter('Students (Vertical)'!O:O,'Students (Vertical)'!C:C=B966,'Students (Vertical)'!O:O&lt;&gt;"""");filter('Students (Vertical)'!O:O,'Students (Vertical)'!C:C=E966,'Students (Vertical)'!O:O&lt;&gt;"""&amp;""")},countifs({filter('Students (Vertical)'!O:O,'Students (Vertical)'!C:C=B966,'Students (Vertical)'!O:O&lt;&gt;"""");filter('Students (Vertical)'!O:O,'Students (Vertical)'!C:C=E966,'Students (Vertical)'!O:O&lt;&gt;"""")},{filter('Students (Vertical)'!O:O,'Students ("&amp;"Vertical)'!C:C=B966,'Students (Vertical)'!O:O&lt;&gt;"""");filter('Students (Vertical)'!O:O,'Students (Vertical)'!C:C=E966,'Students (Vertical)'!O:O&lt;&gt;"""")})&gt;1))),""No shared courses""),"""")"),"")</f>
        <v/>
      </c>
      <c r="J966" s="357" t="str">
        <f>IFERROR(__xludf.DUMMYFUNCTION("if(H966=""Can't be Together"",iferror(join("", "",unique(filter({filter('Students (Vertical)'!O:O,'Students (Vertical)'!C:C=B966,'Students (Vertical)'!O:O&lt;&gt;"""",'Students (Vertical)'!P:P&gt;1);filter('Students (Vertical)'!O:O,'Students (Vertical)'!C:C=E966,'"&amp;"Students (Vertical)'!O:O&lt;&gt;"""",'Students (Vertical)'!P:P&gt;1)},countifs({filter('Students (Vertical)'!O:O,'Students (Vertical)'!C:C=B966,'Students (Vertical)'!O:O&lt;&gt;"""",'Students (Vertical)'!P:P&gt;1);filter('Students (Vertical)'!O:O,'Students (Vertical)'!C:C="&amp;"E966,'Students (Vertical)'!O:O&lt;&gt;"""",'Students (Vertical)'!P:P&gt;1)},{filter('Students (Vertical)'!O:O,'Students (Vertical)'!C:C=B966,'Students (Vertical)'!O:O&lt;&gt;"""",'Students (Vertical)'!P:P&gt;1);filter('Students (Vertical)'!O:O,'Students (Vertical)'!C:C=E96"&amp;"6,'Students (Vertical)'!O:O&lt;&gt;"""",'Students (Vertical)'!P:P&gt;1)})&gt;1))),""""),"""")"),"")</f>
        <v/>
      </c>
      <c r="K966" s="358"/>
    </row>
    <row r="967">
      <c r="A967" s="300" t="s">
        <v>22</v>
      </c>
      <c r="C967" s="300" t="s">
        <v>22</v>
      </c>
      <c r="D967" s="300" t="s">
        <v>22</v>
      </c>
      <c r="F967" s="300" t="s">
        <v>22</v>
      </c>
      <c r="G967" s="300" t="s">
        <v>22</v>
      </c>
      <c r="I967" s="356" t="str">
        <f>IFERROR(__xludf.DUMMYFUNCTION("if(H967=""Must be Together"",iferror(join("", "",unique(filter({filter('Students (Vertical)'!O:O,'Students (Vertical)'!C:C=B967,'Students (Vertical)'!O:O&lt;&gt;"""");filter('Students (Vertical)'!O:O,'Students (Vertical)'!C:C=E967,'Students (Vertical)'!O:O&lt;&gt;"""&amp;""")},countifs({filter('Students (Vertical)'!O:O,'Students (Vertical)'!C:C=B967,'Students (Vertical)'!O:O&lt;&gt;"""");filter('Students (Vertical)'!O:O,'Students (Vertical)'!C:C=E967,'Students (Vertical)'!O:O&lt;&gt;"""")},{filter('Students (Vertical)'!O:O,'Students ("&amp;"Vertical)'!C:C=B967,'Students (Vertical)'!O:O&lt;&gt;"""");filter('Students (Vertical)'!O:O,'Students (Vertical)'!C:C=E967,'Students (Vertical)'!O:O&lt;&gt;"""")})&gt;1))),""No shared courses""),"""")"),"")</f>
        <v/>
      </c>
      <c r="J967" s="357" t="str">
        <f>IFERROR(__xludf.DUMMYFUNCTION("if(H967=""Can't be Together"",iferror(join("", "",unique(filter({filter('Students (Vertical)'!O:O,'Students (Vertical)'!C:C=B967,'Students (Vertical)'!O:O&lt;&gt;"""",'Students (Vertical)'!P:P&gt;1);filter('Students (Vertical)'!O:O,'Students (Vertical)'!C:C=E967,'"&amp;"Students (Vertical)'!O:O&lt;&gt;"""",'Students (Vertical)'!P:P&gt;1)},countifs({filter('Students (Vertical)'!O:O,'Students (Vertical)'!C:C=B967,'Students (Vertical)'!O:O&lt;&gt;"""",'Students (Vertical)'!P:P&gt;1);filter('Students (Vertical)'!O:O,'Students (Vertical)'!C:C="&amp;"E967,'Students (Vertical)'!O:O&lt;&gt;"""",'Students (Vertical)'!P:P&gt;1)},{filter('Students (Vertical)'!O:O,'Students (Vertical)'!C:C=B967,'Students (Vertical)'!O:O&lt;&gt;"""",'Students (Vertical)'!P:P&gt;1);filter('Students (Vertical)'!O:O,'Students (Vertical)'!C:C=E96"&amp;"7,'Students (Vertical)'!O:O&lt;&gt;"""",'Students (Vertical)'!P:P&gt;1)})&gt;1))),""""),"""")"),"")</f>
        <v/>
      </c>
      <c r="K967" s="358"/>
    </row>
    <row r="968">
      <c r="A968" s="300" t="s">
        <v>22</v>
      </c>
      <c r="C968" s="300" t="s">
        <v>22</v>
      </c>
      <c r="D968" s="300" t="s">
        <v>22</v>
      </c>
      <c r="F968" s="300" t="s">
        <v>22</v>
      </c>
      <c r="G968" s="300" t="s">
        <v>22</v>
      </c>
      <c r="I968" s="356" t="str">
        <f>IFERROR(__xludf.DUMMYFUNCTION("if(H968=""Must be Together"",iferror(join("", "",unique(filter({filter('Students (Vertical)'!O:O,'Students (Vertical)'!C:C=B968,'Students (Vertical)'!O:O&lt;&gt;"""");filter('Students (Vertical)'!O:O,'Students (Vertical)'!C:C=E968,'Students (Vertical)'!O:O&lt;&gt;"""&amp;""")},countifs({filter('Students (Vertical)'!O:O,'Students (Vertical)'!C:C=B968,'Students (Vertical)'!O:O&lt;&gt;"""");filter('Students (Vertical)'!O:O,'Students (Vertical)'!C:C=E968,'Students (Vertical)'!O:O&lt;&gt;"""")},{filter('Students (Vertical)'!O:O,'Students ("&amp;"Vertical)'!C:C=B968,'Students (Vertical)'!O:O&lt;&gt;"""");filter('Students (Vertical)'!O:O,'Students (Vertical)'!C:C=E968,'Students (Vertical)'!O:O&lt;&gt;"""")})&gt;1))),""No shared courses""),"""")"),"")</f>
        <v/>
      </c>
      <c r="J968" s="357" t="str">
        <f>IFERROR(__xludf.DUMMYFUNCTION("if(H968=""Can't be Together"",iferror(join("", "",unique(filter({filter('Students (Vertical)'!O:O,'Students (Vertical)'!C:C=B968,'Students (Vertical)'!O:O&lt;&gt;"""",'Students (Vertical)'!P:P&gt;1);filter('Students (Vertical)'!O:O,'Students (Vertical)'!C:C=E968,'"&amp;"Students (Vertical)'!O:O&lt;&gt;"""",'Students (Vertical)'!P:P&gt;1)},countifs({filter('Students (Vertical)'!O:O,'Students (Vertical)'!C:C=B968,'Students (Vertical)'!O:O&lt;&gt;"""",'Students (Vertical)'!P:P&gt;1);filter('Students (Vertical)'!O:O,'Students (Vertical)'!C:C="&amp;"E968,'Students (Vertical)'!O:O&lt;&gt;"""",'Students (Vertical)'!P:P&gt;1)},{filter('Students (Vertical)'!O:O,'Students (Vertical)'!C:C=B968,'Students (Vertical)'!O:O&lt;&gt;"""",'Students (Vertical)'!P:P&gt;1);filter('Students (Vertical)'!O:O,'Students (Vertical)'!C:C=E96"&amp;"8,'Students (Vertical)'!O:O&lt;&gt;"""",'Students (Vertical)'!P:P&gt;1)})&gt;1))),""""),"""")"),"")</f>
        <v/>
      </c>
      <c r="K968" s="358"/>
    </row>
    <row r="969">
      <c r="A969" s="300" t="s">
        <v>22</v>
      </c>
      <c r="C969" s="300" t="s">
        <v>22</v>
      </c>
      <c r="D969" s="300" t="s">
        <v>22</v>
      </c>
      <c r="F969" s="300" t="s">
        <v>22</v>
      </c>
      <c r="G969" s="300" t="s">
        <v>22</v>
      </c>
      <c r="I969" s="356" t="str">
        <f>IFERROR(__xludf.DUMMYFUNCTION("if(H969=""Must be Together"",iferror(join("", "",unique(filter({filter('Students (Vertical)'!O:O,'Students (Vertical)'!C:C=B969,'Students (Vertical)'!O:O&lt;&gt;"""");filter('Students (Vertical)'!O:O,'Students (Vertical)'!C:C=E969,'Students (Vertical)'!O:O&lt;&gt;"""&amp;""")},countifs({filter('Students (Vertical)'!O:O,'Students (Vertical)'!C:C=B969,'Students (Vertical)'!O:O&lt;&gt;"""");filter('Students (Vertical)'!O:O,'Students (Vertical)'!C:C=E969,'Students (Vertical)'!O:O&lt;&gt;"""")},{filter('Students (Vertical)'!O:O,'Students ("&amp;"Vertical)'!C:C=B969,'Students (Vertical)'!O:O&lt;&gt;"""");filter('Students (Vertical)'!O:O,'Students (Vertical)'!C:C=E969,'Students (Vertical)'!O:O&lt;&gt;"""")})&gt;1))),""No shared courses""),"""")"),"")</f>
        <v/>
      </c>
      <c r="J969" s="357" t="str">
        <f>IFERROR(__xludf.DUMMYFUNCTION("if(H969=""Can't be Together"",iferror(join("", "",unique(filter({filter('Students (Vertical)'!O:O,'Students (Vertical)'!C:C=B969,'Students (Vertical)'!O:O&lt;&gt;"""",'Students (Vertical)'!P:P&gt;1);filter('Students (Vertical)'!O:O,'Students (Vertical)'!C:C=E969,'"&amp;"Students (Vertical)'!O:O&lt;&gt;"""",'Students (Vertical)'!P:P&gt;1)},countifs({filter('Students (Vertical)'!O:O,'Students (Vertical)'!C:C=B969,'Students (Vertical)'!O:O&lt;&gt;"""",'Students (Vertical)'!P:P&gt;1);filter('Students (Vertical)'!O:O,'Students (Vertical)'!C:C="&amp;"E969,'Students (Vertical)'!O:O&lt;&gt;"""",'Students (Vertical)'!P:P&gt;1)},{filter('Students (Vertical)'!O:O,'Students (Vertical)'!C:C=B969,'Students (Vertical)'!O:O&lt;&gt;"""",'Students (Vertical)'!P:P&gt;1);filter('Students (Vertical)'!O:O,'Students (Vertical)'!C:C=E96"&amp;"9,'Students (Vertical)'!O:O&lt;&gt;"""",'Students (Vertical)'!P:P&gt;1)})&gt;1))),""""),"""")"),"")</f>
        <v/>
      </c>
      <c r="K969" s="358"/>
    </row>
    <row r="970">
      <c r="A970" s="300" t="s">
        <v>22</v>
      </c>
      <c r="C970" s="300" t="s">
        <v>22</v>
      </c>
      <c r="D970" s="300" t="s">
        <v>22</v>
      </c>
      <c r="F970" s="300" t="s">
        <v>22</v>
      </c>
      <c r="G970" s="300" t="s">
        <v>22</v>
      </c>
      <c r="I970" s="356" t="str">
        <f>IFERROR(__xludf.DUMMYFUNCTION("if(H970=""Must be Together"",iferror(join("", "",unique(filter({filter('Students (Vertical)'!O:O,'Students (Vertical)'!C:C=B970,'Students (Vertical)'!O:O&lt;&gt;"""");filter('Students (Vertical)'!O:O,'Students (Vertical)'!C:C=E970,'Students (Vertical)'!O:O&lt;&gt;"""&amp;""")},countifs({filter('Students (Vertical)'!O:O,'Students (Vertical)'!C:C=B970,'Students (Vertical)'!O:O&lt;&gt;"""");filter('Students (Vertical)'!O:O,'Students (Vertical)'!C:C=E970,'Students (Vertical)'!O:O&lt;&gt;"""")},{filter('Students (Vertical)'!O:O,'Students ("&amp;"Vertical)'!C:C=B970,'Students (Vertical)'!O:O&lt;&gt;"""");filter('Students (Vertical)'!O:O,'Students (Vertical)'!C:C=E970,'Students (Vertical)'!O:O&lt;&gt;"""")})&gt;1))),""No shared courses""),"""")"),"")</f>
        <v/>
      </c>
      <c r="J970" s="357" t="str">
        <f>IFERROR(__xludf.DUMMYFUNCTION("if(H970=""Can't be Together"",iferror(join("", "",unique(filter({filter('Students (Vertical)'!O:O,'Students (Vertical)'!C:C=B970,'Students (Vertical)'!O:O&lt;&gt;"""",'Students (Vertical)'!P:P&gt;1);filter('Students (Vertical)'!O:O,'Students (Vertical)'!C:C=E970,'"&amp;"Students (Vertical)'!O:O&lt;&gt;"""",'Students (Vertical)'!P:P&gt;1)},countifs({filter('Students (Vertical)'!O:O,'Students (Vertical)'!C:C=B970,'Students (Vertical)'!O:O&lt;&gt;"""",'Students (Vertical)'!P:P&gt;1);filter('Students (Vertical)'!O:O,'Students (Vertical)'!C:C="&amp;"E970,'Students (Vertical)'!O:O&lt;&gt;"""",'Students (Vertical)'!P:P&gt;1)},{filter('Students (Vertical)'!O:O,'Students (Vertical)'!C:C=B970,'Students (Vertical)'!O:O&lt;&gt;"""",'Students (Vertical)'!P:P&gt;1);filter('Students (Vertical)'!O:O,'Students (Vertical)'!C:C=E97"&amp;"0,'Students (Vertical)'!O:O&lt;&gt;"""",'Students (Vertical)'!P:P&gt;1)})&gt;1))),""""),"""")"),"")</f>
        <v/>
      </c>
      <c r="K970" s="358"/>
    </row>
    <row r="971">
      <c r="A971" s="300" t="s">
        <v>22</v>
      </c>
      <c r="C971" s="300" t="s">
        <v>22</v>
      </c>
      <c r="D971" s="300" t="s">
        <v>22</v>
      </c>
      <c r="F971" s="300" t="s">
        <v>22</v>
      </c>
      <c r="G971" s="300" t="s">
        <v>22</v>
      </c>
      <c r="I971" s="356" t="str">
        <f>IFERROR(__xludf.DUMMYFUNCTION("if(H971=""Must be Together"",iferror(join("", "",unique(filter({filter('Students (Vertical)'!O:O,'Students (Vertical)'!C:C=B971,'Students (Vertical)'!O:O&lt;&gt;"""");filter('Students (Vertical)'!O:O,'Students (Vertical)'!C:C=E971,'Students (Vertical)'!O:O&lt;&gt;"""&amp;""")},countifs({filter('Students (Vertical)'!O:O,'Students (Vertical)'!C:C=B971,'Students (Vertical)'!O:O&lt;&gt;"""");filter('Students (Vertical)'!O:O,'Students (Vertical)'!C:C=E971,'Students (Vertical)'!O:O&lt;&gt;"""")},{filter('Students (Vertical)'!O:O,'Students ("&amp;"Vertical)'!C:C=B971,'Students (Vertical)'!O:O&lt;&gt;"""");filter('Students (Vertical)'!O:O,'Students (Vertical)'!C:C=E971,'Students (Vertical)'!O:O&lt;&gt;"""")})&gt;1))),""No shared courses""),"""")"),"")</f>
        <v/>
      </c>
      <c r="J971" s="357" t="str">
        <f>IFERROR(__xludf.DUMMYFUNCTION("if(H971=""Can't be Together"",iferror(join("", "",unique(filter({filter('Students (Vertical)'!O:O,'Students (Vertical)'!C:C=B971,'Students (Vertical)'!O:O&lt;&gt;"""",'Students (Vertical)'!P:P&gt;1);filter('Students (Vertical)'!O:O,'Students (Vertical)'!C:C=E971,'"&amp;"Students (Vertical)'!O:O&lt;&gt;"""",'Students (Vertical)'!P:P&gt;1)},countifs({filter('Students (Vertical)'!O:O,'Students (Vertical)'!C:C=B971,'Students (Vertical)'!O:O&lt;&gt;"""",'Students (Vertical)'!P:P&gt;1);filter('Students (Vertical)'!O:O,'Students (Vertical)'!C:C="&amp;"E971,'Students (Vertical)'!O:O&lt;&gt;"""",'Students (Vertical)'!P:P&gt;1)},{filter('Students (Vertical)'!O:O,'Students (Vertical)'!C:C=B971,'Students (Vertical)'!O:O&lt;&gt;"""",'Students (Vertical)'!P:P&gt;1);filter('Students (Vertical)'!O:O,'Students (Vertical)'!C:C=E97"&amp;"1,'Students (Vertical)'!O:O&lt;&gt;"""",'Students (Vertical)'!P:P&gt;1)})&gt;1))),""""),"""")"),"")</f>
        <v/>
      </c>
      <c r="K971" s="358"/>
    </row>
    <row r="972">
      <c r="A972" s="300" t="s">
        <v>22</v>
      </c>
      <c r="C972" s="300" t="s">
        <v>22</v>
      </c>
      <c r="D972" s="300" t="s">
        <v>22</v>
      </c>
      <c r="F972" s="300" t="s">
        <v>22</v>
      </c>
      <c r="G972" s="300" t="s">
        <v>22</v>
      </c>
      <c r="I972" s="356" t="str">
        <f>IFERROR(__xludf.DUMMYFUNCTION("if(H972=""Must be Together"",iferror(join("", "",unique(filter({filter('Students (Vertical)'!O:O,'Students (Vertical)'!C:C=B972,'Students (Vertical)'!O:O&lt;&gt;"""");filter('Students (Vertical)'!O:O,'Students (Vertical)'!C:C=E972,'Students (Vertical)'!O:O&lt;&gt;"""&amp;""")},countifs({filter('Students (Vertical)'!O:O,'Students (Vertical)'!C:C=B972,'Students (Vertical)'!O:O&lt;&gt;"""");filter('Students (Vertical)'!O:O,'Students (Vertical)'!C:C=E972,'Students (Vertical)'!O:O&lt;&gt;"""")},{filter('Students (Vertical)'!O:O,'Students ("&amp;"Vertical)'!C:C=B972,'Students (Vertical)'!O:O&lt;&gt;"""");filter('Students (Vertical)'!O:O,'Students (Vertical)'!C:C=E972,'Students (Vertical)'!O:O&lt;&gt;"""")})&gt;1))),""No shared courses""),"""")"),"")</f>
        <v/>
      </c>
      <c r="J972" s="357" t="str">
        <f>IFERROR(__xludf.DUMMYFUNCTION("if(H972=""Can't be Together"",iferror(join("", "",unique(filter({filter('Students (Vertical)'!O:O,'Students (Vertical)'!C:C=B972,'Students (Vertical)'!O:O&lt;&gt;"""",'Students (Vertical)'!P:P&gt;1);filter('Students (Vertical)'!O:O,'Students (Vertical)'!C:C=E972,'"&amp;"Students (Vertical)'!O:O&lt;&gt;"""",'Students (Vertical)'!P:P&gt;1)},countifs({filter('Students (Vertical)'!O:O,'Students (Vertical)'!C:C=B972,'Students (Vertical)'!O:O&lt;&gt;"""",'Students (Vertical)'!P:P&gt;1);filter('Students (Vertical)'!O:O,'Students (Vertical)'!C:C="&amp;"E972,'Students (Vertical)'!O:O&lt;&gt;"""",'Students (Vertical)'!P:P&gt;1)},{filter('Students (Vertical)'!O:O,'Students (Vertical)'!C:C=B972,'Students (Vertical)'!O:O&lt;&gt;"""",'Students (Vertical)'!P:P&gt;1);filter('Students (Vertical)'!O:O,'Students (Vertical)'!C:C=E97"&amp;"2,'Students (Vertical)'!O:O&lt;&gt;"""",'Students (Vertical)'!P:P&gt;1)})&gt;1))),""""),"""")"),"")</f>
        <v/>
      </c>
      <c r="K972" s="358"/>
    </row>
    <row r="973">
      <c r="A973" s="300" t="s">
        <v>22</v>
      </c>
      <c r="C973" s="300" t="s">
        <v>22</v>
      </c>
      <c r="D973" s="300" t="s">
        <v>22</v>
      </c>
      <c r="F973" s="300" t="s">
        <v>22</v>
      </c>
      <c r="G973" s="300" t="s">
        <v>22</v>
      </c>
      <c r="I973" s="356" t="str">
        <f>IFERROR(__xludf.DUMMYFUNCTION("if(H973=""Must be Together"",iferror(join("", "",unique(filter({filter('Students (Vertical)'!O:O,'Students (Vertical)'!C:C=B973,'Students (Vertical)'!O:O&lt;&gt;"""");filter('Students (Vertical)'!O:O,'Students (Vertical)'!C:C=E973,'Students (Vertical)'!O:O&lt;&gt;"""&amp;""")},countifs({filter('Students (Vertical)'!O:O,'Students (Vertical)'!C:C=B973,'Students (Vertical)'!O:O&lt;&gt;"""");filter('Students (Vertical)'!O:O,'Students (Vertical)'!C:C=E973,'Students (Vertical)'!O:O&lt;&gt;"""")},{filter('Students (Vertical)'!O:O,'Students ("&amp;"Vertical)'!C:C=B973,'Students (Vertical)'!O:O&lt;&gt;"""");filter('Students (Vertical)'!O:O,'Students (Vertical)'!C:C=E973,'Students (Vertical)'!O:O&lt;&gt;"""")})&gt;1))),""No shared courses""),"""")"),"")</f>
        <v/>
      </c>
      <c r="J973" s="357" t="str">
        <f>IFERROR(__xludf.DUMMYFUNCTION("if(H973=""Can't be Together"",iferror(join("", "",unique(filter({filter('Students (Vertical)'!O:O,'Students (Vertical)'!C:C=B973,'Students (Vertical)'!O:O&lt;&gt;"""",'Students (Vertical)'!P:P&gt;1);filter('Students (Vertical)'!O:O,'Students (Vertical)'!C:C=E973,'"&amp;"Students (Vertical)'!O:O&lt;&gt;"""",'Students (Vertical)'!P:P&gt;1)},countifs({filter('Students (Vertical)'!O:O,'Students (Vertical)'!C:C=B973,'Students (Vertical)'!O:O&lt;&gt;"""",'Students (Vertical)'!P:P&gt;1);filter('Students (Vertical)'!O:O,'Students (Vertical)'!C:C="&amp;"E973,'Students (Vertical)'!O:O&lt;&gt;"""",'Students (Vertical)'!P:P&gt;1)},{filter('Students (Vertical)'!O:O,'Students (Vertical)'!C:C=B973,'Students (Vertical)'!O:O&lt;&gt;"""",'Students (Vertical)'!P:P&gt;1);filter('Students (Vertical)'!O:O,'Students (Vertical)'!C:C=E97"&amp;"3,'Students (Vertical)'!O:O&lt;&gt;"""",'Students (Vertical)'!P:P&gt;1)})&gt;1))),""""),"""")"),"")</f>
        <v/>
      </c>
      <c r="K973" s="358"/>
    </row>
    <row r="974">
      <c r="A974" s="300" t="s">
        <v>22</v>
      </c>
      <c r="C974" s="300" t="s">
        <v>22</v>
      </c>
      <c r="D974" s="300" t="s">
        <v>22</v>
      </c>
      <c r="F974" s="300" t="s">
        <v>22</v>
      </c>
      <c r="G974" s="300" t="s">
        <v>22</v>
      </c>
      <c r="I974" s="356" t="str">
        <f>IFERROR(__xludf.DUMMYFUNCTION("if(H974=""Must be Together"",iferror(join("", "",unique(filter({filter('Students (Vertical)'!O:O,'Students (Vertical)'!C:C=B974,'Students (Vertical)'!O:O&lt;&gt;"""");filter('Students (Vertical)'!O:O,'Students (Vertical)'!C:C=E974,'Students (Vertical)'!O:O&lt;&gt;"""&amp;""")},countifs({filter('Students (Vertical)'!O:O,'Students (Vertical)'!C:C=B974,'Students (Vertical)'!O:O&lt;&gt;"""");filter('Students (Vertical)'!O:O,'Students (Vertical)'!C:C=E974,'Students (Vertical)'!O:O&lt;&gt;"""")},{filter('Students (Vertical)'!O:O,'Students ("&amp;"Vertical)'!C:C=B974,'Students (Vertical)'!O:O&lt;&gt;"""");filter('Students (Vertical)'!O:O,'Students (Vertical)'!C:C=E974,'Students (Vertical)'!O:O&lt;&gt;"""")})&gt;1))),""No shared courses""),"""")"),"")</f>
        <v/>
      </c>
      <c r="J974" s="357" t="str">
        <f>IFERROR(__xludf.DUMMYFUNCTION("if(H974=""Can't be Together"",iferror(join("", "",unique(filter({filter('Students (Vertical)'!O:O,'Students (Vertical)'!C:C=B974,'Students (Vertical)'!O:O&lt;&gt;"""",'Students (Vertical)'!P:P&gt;1);filter('Students (Vertical)'!O:O,'Students (Vertical)'!C:C=E974,'"&amp;"Students (Vertical)'!O:O&lt;&gt;"""",'Students (Vertical)'!P:P&gt;1)},countifs({filter('Students (Vertical)'!O:O,'Students (Vertical)'!C:C=B974,'Students (Vertical)'!O:O&lt;&gt;"""",'Students (Vertical)'!P:P&gt;1);filter('Students (Vertical)'!O:O,'Students (Vertical)'!C:C="&amp;"E974,'Students (Vertical)'!O:O&lt;&gt;"""",'Students (Vertical)'!P:P&gt;1)},{filter('Students (Vertical)'!O:O,'Students (Vertical)'!C:C=B974,'Students (Vertical)'!O:O&lt;&gt;"""",'Students (Vertical)'!P:P&gt;1);filter('Students (Vertical)'!O:O,'Students (Vertical)'!C:C=E97"&amp;"4,'Students (Vertical)'!O:O&lt;&gt;"""",'Students (Vertical)'!P:P&gt;1)})&gt;1))),""""),"""")"),"")</f>
        <v/>
      </c>
      <c r="K974" s="358"/>
    </row>
    <row r="975">
      <c r="A975" s="300" t="s">
        <v>22</v>
      </c>
      <c r="C975" s="300" t="s">
        <v>22</v>
      </c>
      <c r="D975" s="300" t="s">
        <v>22</v>
      </c>
      <c r="F975" s="300" t="s">
        <v>22</v>
      </c>
      <c r="G975" s="300" t="s">
        <v>22</v>
      </c>
      <c r="I975" s="356" t="str">
        <f>IFERROR(__xludf.DUMMYFUNCTION("if(H975=""Must be Together"",iferror(join("", "",unique(filter({filter('Students (Vertical)'!O:O,'Students (Vertical)'!C:C=B975,'Students (Vertical)'!O:O&lt;&gt;"""");filter('Students (Vertical)'!O:O,'Students (Vertical)'!C:C=E975,'Students (Vertical)'!O:O&lt;&gt;"""&amp;""")},countifs({filter('Students (Vertical)'!O:O,'Students (Vertical)'!C:C=B975,'Students (Vertical)'!O:O&lt;&gt;"""");filter('Students (Vertical)'!O:O,'Students (Vertical)'!C:C=E975,'Students (Vertical)'!O:O&lt;&gt;"""")},{filter('Students (Vertical)'!O:O,'Students ("&amp;"Vertical)'!C:C=B975,'Students (Vertical)'!O:O&lt;&gt;"""");filter('Students (Vertical)'!O:O,'Students (Vertical)'!C:C=E975,'Students (Vertical)'!O:O&lt;&gt;"""")})&gt;1))),""No shared courses""),"""")"),"")</f>
        <v/>
      </c>
      <c r="J975" s="357" t="str">
        <f>IFERROR(__xludf.DUMMYFUNCTION("if(H975=""Can't be Together"",iferror(join("", "",unique(filter({filter('Students (Vertical)'!O:O,'Students (Vertical)'!C:C=B975,'Students (Vertical)'!O:O&lt;&gt;"""",'Students (Vertical)'!P:P&gt;1);filter('Students (Vertical)'!O:O,'Students (Vertical)'!C:C=E975,'"&amp;"Students (Vertical)'!O:O&lt;&gt;"""",'Students (Vertical)'!P:P&gt;1)},countifs({filter('Students (Vertical)'!O:O,'Students (Vertical)'!C:C=B975,'Students (Vertical)'!O:O&lt;&gt;"""",'Students (Vertical)'!P:P&gt;1);filter('Students (Vertical)'!O:O,'Students (Vertical)'!C:C="&amp;"E975,'Students (Vertical)'!O:O&lt;&gt;"""",'Students (Vertical)'!P:P&gt;1)},{filter('Students (Vertical)'!O:O,'Students (Vertical)'!C:C=B975,'Students (Vertical)'!O:O&lt;&gt;"""",'Students (Vertical)'!P:P&gt;1);filter('Students (Vertical)'!O:O,'Students (Vertical)'!C:C=E97"&amp;"5,'Students (Vertical)'!O:O&lt;&gt;"""",'Students (Vertical)'!P:P&gt;1)})&gt;1))),""""),"""")"),"")</f>
        <v/>
      </c>
      <c r="K975" s="358"/>
    </row>
    <row r="976">
      <c r="A976" s="300" t="s">
        <v>22</v>
      </c>
      <c r="C976" s="300" t="s">
        <v>22</v>
      </c>
      <c r="D976" s="300" t="s">
        <v>22</v>
      </c>
      <c r="F976" s="300" t="s">
        <v>22</v>
      </c>
      <c r="G976" s="300" t="s">
        <v>22</v>
      </c>
      <c r="I976" s="356" t="str">
        <f>IFERROR(__xludf.DUMMYFUNCTION("if(H976=""Must be Together"",iferror(join("", "",unique(filter({filter('Students (Vertical)'!O:O,'Students (Vertical)'!C:C=B976,'Students (Vertical)'!O:O&lt;&gt;"""");filter('Students (Vertical)'!O:O,'Students (Vertical)'!C:C=E976,'Students (Vertical)'!O:O&lt;&gt;"""&amp;""")},countifs({filter('Students (Vertical)'!O:O,'Students (Vertical)'!C:C=B976,'Students (Vertical)'!O:O&lt;&gt;"""");filter('Students (Vertical)'!O:O,'Students (Vertical)'!C:C=E976,'Students (Vertical)'!O:O&lt;&gt;"""")},{filter('Students (Vertical)'!O:O,'Students ("&amp;"Vertical)'!C:C=B976,'Students (Vertical)'!O:O&lt;&gt;"""");filter('Students (Vertical)'!O:O,'Students (Vertical)'!C:C=E976,'Students (Vertical)'!O:O&lt;&gt;"""")})&gt;1))),""No shared courses""),"""")"),"")</f>
        <v/>
      </c>
      <c r="J976" s="357" t="str">
        <f>IFERROR(__xludf.DUMMYFUNCTION("if(H976=""Can't be Together"",iferror(join("", "",unique(filter({filter('Students (Vertical)'!O:O,'Students (Vertical)'!C:C=B976,'Students (Vertical)'!O:O&lt;&gt;"""",'Students (Vertical)'!P:P&gt;1);filter('Students (Vertical)'!O:O,'Students (Vertical)'!C:C=E976,'"&amp;"Students (Vertical)'!O:O&lt;&gt;"""",'Students (Vertical)'!P:P&gt;1)},countifs({filter('Students (Vertical)'!O:O,'Students (Vertical)'!C:C=B976,'Students (Vertical)'!O:O&lt;&gt;"""",'Students (Vertical)'!P:P&gt;1);filter('Students (Vertical)'!O:O,'Students (Vertical)'!C:C="&amp;"E976,'Students (Vertical)'!O:O&lt;&gt;"""",'Students (Vertical)'!P:P&gt;1)},{filter('Students (Vertical)'!O:O,'Students (Vertical)'!C:C=B976,'Students (Vertical)'!O:O&lt;&gt;"""",'Students (Vertical)'!P:P&gt;1);filter('Students (Vertical)'!O:O,'Students (Vertical)'!C:C=E97"&amp;"6,'Students (Vertical)'!O:O&lt;&gt;"""",'Students (Vertical)'!P:P&gt;1)})&gt;1))),""""),"""")"),"")</f>
        <v/>
      </c>
      <c r="K976" s="358"/>
    </row>
    <row r="977">
      <c r="A977" s="300" t="s">
        <v>22</v>
      </c>
      <c r="C977" s="300" t="s">
        <v>22</v>
      </c>
      <c r="D977" s="300" t="s">
        <v>22</v>
      </c>
      <c r="F977" s="300" t="s">
        <v>22</v>
      </c>
      <c r="G977" s="300" t="s">
        <v>22</v>
      </c>
      <c r="I977" s="356" t="str">
        <f>IFERROR(__xludf.DUMMYFUNCTION("if(H977=""Must be Together"",iferror(join("", "",unique(filter({filter('Students (Vertical)'!O:O,'Students (Vertical)'!C:C=B977,'Students (Vertical)'!O:O&lt;&gt;"""");filter('Students (Vertical)'!O:O,'Students (Vertical)'!C:C=E977,'Students (Vertical)'!O:O&lt;&gt;"""&amp;""")},countifs({filter('Students (Vertical)'!O:O,'Students (Vertical)'!C:C=B977,'Students (Vertical)'!O:O&lt;&gt;"""");filter('Students (Vertical)'!O:O,'Students (Vertical)'!C:C=E977,'Students (Vertical)'!O:O&lt;&gt;"""")},{filter('Students (Vertical)'!O:O,'Students ("&amp;"Vertical)'!C:C=B977,'Students (Vertical)'!O:O&lt;&gt;"""");filter('Students (Vertical)'!O:O,'Students (Vertical)'!C:C=E977,'Students (Vertical)'!O:O&lt;&gt;"""")})&gt;1))),""No shared courses""),"""")"),"")</f>
        <v/>
      </c>
      <c r="J977" s="357" t="str">
        <f>IFERROR(__xludf.DUMMYFUNCTION("if(H977=""Can't be Together"",iferror(join("", "",unique(filter({filter('Students (Vertical)'!O:O,'Students (Vertical)'!C:C=B977,'Students (Vertical)'!O:O&lt;&gt;"""",'Students (Vertical)'!P:P&gt;1);filter('Students (Vertical)'!O:O,'Students (Vertical)'!C:C=E977,'"&amp;"Students (Vertical)'!O:O&lt;&gt;"""",'Students (Vertical)'!P:P&gt;1)},countifs({filter('Students (Vertical)'!O:O,'Students (Vertical)'!C:C=B977,'Students (Vertical)'!O:O&lt;&gt;"""",'Students (Vertical)'!P:P&gt;1);filter('Students (Vertical)'!O:O,'Students (Vertical)'!C:C="&amp;"E977,'Students (Vertical)'!O:O&lt;&gt;"""",'Students (Vertical)'!P:P&gt;1)},{filter('Students (Vertical)'!O:O,'Students (Vertical)'!C:C=B977,'Students (Vertical)'!O:O&lt;&gt;"""",'Students (Vertical)'!P:P&gt;1);filter('Students (Vertical)'!O:O,'Students (Vertical)'!C:C=E97"&amp;"7,'Students (Vertical)'!O:O&lt;&gt;"""",'Students (Vertical)'!P:P&gt;1)})&gt;1))),""""),"""")"),"")</f>
        <v/>
      </c>
      <c r="K977" s="358"/>
    </row>
    <row r="978">
      <c r="A978" s="300" t="s">
        <v>22</v>
      </c>
      <c r="C978" s="300" t="s">
        <v>22</v>
      </c>
      <c r="D978" s="300" t="s">
        <v>22</v>
      </c>
      <c r="F978" s="300" t="s">
        <v>22</v>
      </c>
      <c r="G978" s="300" t="s">
        <v>22</v>
      </c>
      <c r="I978" s="356" t="str">
        <f>IFERROR(__xludf.DUMMYFUNCTION("if(H978=""Must be Together"",iferror(join("", "",unique(filter({filter('Students (Vertical)'!O:O,'Students (Vertical)'!C:C=B978,'Students (Vertical)'!O:O&lt;&gt;"""");filter('Students (Vertical)'!O:O,'Students (Vertical)'!C:C=E978,'Students (Vertical)'!O:O&lt;&gt;"""&amp;""")},countifs({filter('Students (Vertical)'!O:O,'Students (Vertical)'!C:C=B978,'Students (Vertical)'!O:O&lt;&gt;"""");filter('Students (Vertical)'!O:O,'Students (Vertical)'!C:C=E978,'Students (Vertical)'!O:O&lt;&gt;"""")},{filter('Students (Vertical)'!O:O,'Students ("&amp;"Vertical)'!C:C=B978,'Students (Vertical)'!O:O&lt;&gt;"""");filter('Students (Vertical)'!O:O,'Students (Vertical)'!C:C=E978,'Students (Vertical)'!O:O&lt;&gt;"""")})&gt;1))),""No shared courses""),"""")"),"")</f>
        <v/>
      </c>
      <c r="J978" s="357" t="str">
        <f>IFERROR(__xludf.DUMMYFUNCTION("if(H978=""Can't be Together"",iferror(join("", "",unique(filter({filter('Students (Vertical)'!O:O,'Students (Vertical)'!C:C=B978,'Students (Vertical)'!O:O&lt;&gt;"""",'Students (Vertical)'!P:P&gt;1);filter('Students (Vertical)'!O:O,'Students (Vertical)'!C:C=E978,'"&amp;"Students (Vertical)'!O:O&lt;&gt;"""",'Students (Vertical)'!P:P&gt;1)},countifs({filter('Students (Vertical)'!O:O,'Students (Vertical)'!C:C=B978,'Students (Vertical)'!O:O&lt;&gt;"""",'Students (Vertical)'!P:P&gt;1);filter('Students (Vertical)'!O:O,'Students (Vertical)'!C:C="&amp;"E978,'Students (Vertical)'!O:O&lt;&gt;"""",'Students (Vertical)'!P:P&gt;1)},{filter('Students (Vertical)'!O:O,'Students (Vertical)'!C:C=B978,'Students (Vertical)'!O:O&lt;&gt;"""",'Students (Vertical)'!P:P&gt;1);filter('Students (Vertical)'!O:O,'Students (Vertical)'!C:C=E97"&amp;"8,'Students (Vertical)'!O:O&lt;&gt;"""",'Students (Vertical)'!P:P&gt;1)})&gt;1))),""""),"""")"),"")</f>
        <v/>
      </c>
      <c r="K978" s="358"/>
    </row>
    <row r="979">
      <c r="A979" s="300" t="s">
        <v>22</v>
      </c>
      <c r="C979" s="300" t="s">
        <v>22</v>
      </c>
      <c r="D979" s="300" t="s">
        <v>22</v>
      </c>
      <c r="F979" s="300" t="s">
        <v>22</v>
      </c>
      <c r="G979" s="300" t="s">
        <v>22</v>
      </c>
      <c r="I979" s="356" t="str">
        <f>IFERROR(__xludf.DUMMYFUNCTION("if(H979=""Must be Together"",iferror(join("", "",unique(filter({filter('Students (Vertical)'!O:O,'Students (Vertical)'!C:C=B979,'Students (Vertical)'!O:O&lt;&gt;"""");filter('Students (Vertical)'!O:O,'Students (Vertical)'!C:C=E979,'Students (Vertical)'!O:O&lt;&gt;"""&amp;""")},countifs({filter('Students (Vertical)'!O:O,'Students (Vertical)'!C:C=B979,'Students (Vertical)'!O:O&lt;&gt;"""");filter('Students (Vertical)'!O:O,'Students (Vertical)'!C:C=E979,'Students (Vertical)'!O:O&lt;&gt;"""")},{filter('Students (Vertical)'!O:O,'Students ("&amp;"Vertical)'!C:C=B979,'Students (Vertical)'!O:O&lt;&gt;"""");filter('Students (Vertical)'!O:O,'Students (Vertical)'!C:C=E979,'Students (Vertical)'!O:O&lt;&gt;"""")})&gt;1))),""No shared courses""),"""")"),"")</f>
        <v/>
      </c>
      <c r="J979" s="357" t="str">
        <f>IFERROR(__xludf.DUMMYFUNCTION("if(H979=""Can't be Together"",iferror(join("", "",unique(filter({filter('Students (Vertical)'!O:O,'Students (Vertical)'!C:C=B979,'Students (Vertical)'!O:O&lt;&gt;"""",'Students (Vertical)'!P:P&gt;1);filter('Students (Vertical)'!O:O,'Students (Vertical)'!C:C=E979,'"&amp;"Students (Vertical)'!O:O&lt;&gt;"""",'Students (Vertical)'!P:P&gt;1)},countifs({filter('Students (Vertical)'!O:O,'Students (Vertical)'!C:C=B979,'Students (Vertical)'!O:O&lt;&gt;"""",'Students (Vertical)'!P:P&gt;1);filter('Students (Vertical)'!O:O,'Students (Vertical)'!C:C="&amp;"E979,'Students (Vertical)'!O:O&lt;&gt;"""",'Students (Vertical)'!P:P&gt;1)},{filter('Students (Vertical)'!O:O,'Students (Vertical)'!C:C=B979,'Students (Vertical)'!O:O&lt;&gt;"""",'Students (Vertical)'!P:P&gt;1);filter('Students (Vertical)'!O:O,'Students (Vertical)'!C:C=E97"&amp;"9,'Students (Vertical)'!O:O&lt;&gt;"""",'Students (Vertical)'!P:P&gt;1)})&gt;1))),""""),"""")"),"")</f>
        <v/>
      </c>
      <c r="K979" s="358"/>
    </row>
    <row r="980">
      <c r="A980" s="300" t="s">
        <v>22</v>
      </c>
      <c r="C980" s="300" t="s">
        <v>22</v>
      </c>
      <c r="D980" s="300" t="s">
        <v>22</v>
      </c>
      <c r="F980" s="300" t="s">
        <v>22</v>
      </c>
      <c r="G980" s="300" t="s">
        <v>22</v>
      </c>
      <c r="I980" s="356" t="str">
        <f>IFERROR(__xludf.DUMMYFUNCTION("if(H980=""Must be Together"",iferror(join("", "",unique(filter({filter('Students (Vertical)'!O:O,'Students (Vertical)'!C:C=B980,'Students (Vertical)'!O:O&lt;&gt;"""");filter('Students (Vertical)'!O:O,'Students (Vertical)'!C:C=E980,'Students (Vertical)'!O:O&lt;&gt;"""&amp;""")},countifs({filter('Students (Vertical)'!O:O,'Students (Vertical)'!C:C=B980,'Students (Vertical)'!O:O&lt;&gt;"""");filter('Students (Vertical)'!O:O,'Students (Vertical)'!C:C=E980,'Students (Vertical)'!O:O&lt;&gt;"""")},{filter('Students (Vertical)'!O:O,'Students ("&amp;"Vertical)'!C:C=B980,'Students (Vertical)'!O:O&lt;&gt;"""");filter('Students (Vertical)'!O:O,'Students (Vertical)'!C:C=E980,'Students (Vertical)'!O:O&lt;&gt;"""")})&gt;1))),""No shared courses""),"""")"),"")</f>
        <v/>
      </c>
      <c r="J980" s="357" t="str">
        <f>IFERROR(__xludf.DUMMYFUNCTION("if(H980=""Can't be Together"",iferror(join("", "",unique(filter({filter('Students (Vertical)'!O:O,'Students (Vertical)'!C:C=B980,'Students (Vertical)'!O:O&lt;&gt;"""",'Students (Vertical)'!P:P&gt;1);filter('Students (Vertical)'!O:O,'Students (Vertical)'!C:C=E980,'"&amp;"Students (Vertical)'!O:O&lt;&gt;"""",'Students (Vertical)'!P:P&gt;1)},countifs({filter('Students (Vertical)'!O:O,'Students (Vertical)'!C:C=B980,'Students (Vertical)'!O:O&lt;&gt;"""",'Students (Vertical)'!P:P&gt;1);filter('Students (Vertical)'!O:O,'Students (Vertical)'!C:C="&amp;"E980,'Students (Vertical)'!O:O&lt;&gt;"""",'Students (Vertical)'!P:P&gt;1)},{filter('Students (Vertical)'!O:O,'Students (Vertical)'!C:C=B980,'Students (Vertical)'!O:O&lt;&gt;"""",'Students (Vertical)'!P:P&gt;1);filter('Students (Vertical)'!O:O,'Students (Vertical)'!C:C=E98"&amp;"0,'Students (Vertical)'!O:O&lt;&gt;"""",'Students (Vertical)'!P:P&gt;1)})&gt;1))),""""),"""")"),"")</f>
        <v/>
      </c>
      <c r="K980" s="358"/>
    </row>
    <row r="981">
      <c r="A981" s="300" t="s">
        <v>22</v>
      </c>
      <c r="C981" s="300" t="s">
        <v>22</v>
      </c>
      <c r="D981" s="300" t="s">
        <v>22</v>
      </c>
      <c r="F981" s="300" t="s">
        <v>22</v>
      </c>
      <c r="G981" s="300" t="s">
        <v>22</v>
      </c>
      <c r="I981" s="356" t="str">
        <f>IFERROR(__xludf.DUMMYFUNCTION("if(H981=""Must be Together"",iferror(join("", "",unique(filter({filter('Students (Vertical)'!O:O,'Students (Vertical)'!C:C=B981,'Students (Vertical)'!O:O&lt;&gt;"""");filter('Students (Vertical)'!O:O,'Students (Vertical)'!C:C=E981,'Students (Vertical)'!O:O&lt;&gt;"""&amp;""")},countifs({filter('Students (Vertical)'!O:O,'Students (Vertical)'!C:C=B981,'Students (Vertical)'!O:O&lt;&gt;"""");filter('Students (Vertical)'!O:O,'Students (Vertical)'!C:C=E981,'Students (Vertical)'!O:O&lt;&gt;"""")},{filter('Students (Vertical)'!O:O,'Students ("&amp;"Vertical)'!C:C=B981,'Students (Vertical)'!O:O&lt;&gt;"""");filter('Students (Vertical)'!O:O,'Students (Vertical)'!C:C=E981,'Students (Vertical)'!O:O&lt;&gt;"""")})&gt;1))),""No shared courses""),"""")"),"")</f>
        <v/>
      </c>
      <c r="J981" s="357" t="str">
        <f>IFERROR(__xludf.DUMMYFUNCTION("if(H981=""Can't be Together"",iferror(join("", "",unique(filter({filter('Students (Vertical)'!O:O,'Students (Vertical)'!C:C=B981,'Students (Vertical)'!O:O&lt;&gt;"""",'Students (Vertical)'!P:P&gt;1);filter('Students (Vertical)'!O:O,'Students (Vertical)'!C:C=E981,'"&amp;"Students (Vertical)'!O:O&lt;&gt;"""",'Students (Vertical)'!P:P&gt;1)},countifs({filter('Students (Vertical)'!O:O,'Students (Vertical)'!C:C=B981,'Students (Vertical)'!O:O&lt;&gt;"""",'Students (Vertical)'!P:P&gt;1);filter('Students (Vertical)'!O:O,'Students (Vertical)'!C:C="&amp;"E981,'Students (Vertical)'!O:O&lt;&gt;"""",'Students (Vertical)'!P:P&gt;1)},{filter('Students (Vertical)'!O:O,'Students (Vertical)'!C:C=B981,'Students (Vertical)'!O:O&lt;&gt;"""",'Students (Vertical)'!P:P&gt;1);filter('Students (Vertical)'!O:O,'Students (Vertical)'!C:C=E98"&amp;"1,'Students (Vertical)'!O:O&lt;&gt;"""",'Students (Vertical)'!P:P&gt;1)})&gt;1))),""""),"""")"),"")</f>
        <v/>
      </c>
      <c r="K981" s="358"/>
    </row>
  </sheetData>
  <autoFilter ref="$A$1:$K$106"/>
  <conditionalFormatting sqref="I1:I981">
    <cfRule type="expression" dxfId="1" priority="1">
      <formula>AND(H1="Must be Together",I1&lt;&gt;"No shared courses")</formula>
    </cfRule>
  </conditionalFormatting>
  <conditionalFormatting sqref="I1:I981">
    <cfRule type="cellIs" dxfId="3" priority="2" operator="equal">
      <formula>"No shared courses"</formula>
    </cfRule>
  </conditionalFormatting>
  <conditionalFormatting sqref="J1:J981">
    <cfRule type="expression" dxfId="3" priority="3">
      <formula>AND(H1="Can't be Together",J1&lt;&gt;"")</formula>
    </cfRule>
  </conditionalFormatting>
  <conditionalFormatting sqref="B2">
    <cfRule type="notContainsBlanks" dxfId="1" priority="4">
      <formula>LEN(TRIM(B2))&gt;0</formula>
    </cfRule>
  </conditionalFormatting>
  <dataValidations>
    <dataValidation type="list" allowBlank="1" showErrorMessage="1" sqref="H2:H981">
      <formula1>"Can't be Together,Must be Together"</formula1>
    </dataValidation>
    <dataValidation type="list" allowBlank="1" showErrorMessage="1" sqref="B2:B981 E2:E981">
      <formula1>Students!$C$3:$C981</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63"/>
    <col customWidth="1" min="3" max="3" width="22.63"/>
    <col customWidth="1" min="4" max="4" width="10.38"/>
    <col customWidth="1" min="5" max="5" width="13.63"/>
    <col customWidth="1" min="6" max="6" width="19.88"/>
    <col customWidth="1" min="7" max="7" width="13.63"/>
  </cols>
  <sheetData>
    <row r="1">
      <c r="A1" s="359" t="s">
        <v>762</v>
      </c>
      <c r="B1" s="116" t="s">
        <v>763</v>
      </c>
      <c r="C1" s="359" t="s">
        <v>764</v>
      </c>
      <c r="D1" s="359" t="s">
        <v>765</v>
      </c>
      <c r="E1" s="360" t="str">
        <f t="array" ref="E1:E1012">if(ROW(E:E)=1,"Order",if(C:C="","",xlookup(C:C,Datos!G:G,Datos!H:H)))</f>
        <v>Order</v>
      </c>
      <c r="F1" s="360" t="str">
        <f t="array" ref="F1:F1012">if(ROW(F:F)=1,"Assigned Groups",if(C:C="","",countifs(Schedule!L:L,C:C,Schedule!P:P,A:A)+countifs(Schedule!L:L,C:C,Schedule!S:S,A:A)+countifs(Schedule!L:L,C:C,Schedule!V:V,A:A)+countifs(Schedule!L:L,C:C,Schedule!Y:Y,A:A)+countifs(Schedule!L:L,C:C,Schedule!AB:AB,A:A)+countifs(Schedule!L:L,C:C,Schedule!AE:AE,A:A)+countifs(Schedule!L:L,C:C,Schedule!AH:AH,A:A)+countifs(Schedule!L:L,C:C,Schedule!AK:AK,A:A)))</f>
        <v>Assigned Groups</v>
      </c>
      <c r="G1" s="360" t="str">
        <f t="array" ref="G1:G1012">if(ROW(G:G)=1,"Groups Over",if(A:A="","",if(F:F&gt;B:B,1,0)))</f>
        <v>Groups Over</v>
      </c>
    </row>
    <row r="2">
      <c r="A2" s="361" t="s">
        <v>24</v>
      </c>
      <c r="B2" s="362">
        <v>4.0</v>
      </c>
      <c r="C2" s="109" t="s">
        <v>21</v>
      </c>
      <c r="D2" s="109" t="s">
        <v>680</v>
      </c>
      <c r="E2" s="363">
        <v>2.0</v>
      </c>
      <c r="F2" s="363">
        <v>4.0</v>
      </c>
      <c r="G2" s="363">
        <v>0.0</v>
      </c>
    </row>
    <row r="3">
      <c r="A3" s="289" t="s">
        <v>23</v>
      </c>
      <c r="B3" s="362">
        <v>2.0</v>
      </c>
      <c r="C3" s="109" t="s">
        <v>21</v>
      </c>
      <c r="D3" s="109" t="s">
        <v>680</v>
      </c>
      <c r="E3" s="363">
        <v>2.0</v>
      </c>
      <c r="F3" s="363">
        <v>2.0</v>
      </c>
      <c r="G3" s="363">
        <v>0.0</v>
      </c>
    </row>
    <row r="4">
      <c r="A4" s="364" t="s">
        <v>26</v>
      </c>
      <c r="B4" s="362">
        <v>1.0</v>
      </c>
      <c r="C4" s="109" t="s">
        <v>25</v>
      </c>
      <c r="D4" s="109" t="s">
        <v>680</v>
      </c>
      <c r="E4" s="363">
        <v>3.0</v>
      </c>
      <c r="F4" s="363">
        <v>1.0</v>
      </c>
      <c r="G4" s="363">
        <v>0.0</v>
      </c>
    </row>
    <row r="5">
      <c r="A5" s="365" t="s">
        <v>32</v>
      </c>
      <c r="B5" s="362">
        <v>1.0</v>
      </c>
      <c r="C5" s="109" t="s">
        <v>25</v>
      </c>
      <c r="D5" s="109" t="s">
        <v>680</v>
      </c>
      <c r="E5" s="363">
        <v>3.0</v>
      </c>
      <c r="F5" s="363">
        <v>1.0</v>
      </c>
      <c r="G5" s="363">
        <v>0.0</v>
      </c>
    </row>
    <row r="6">
      <c r="A6" s="365" t="s">
        <v>29</v>
      </c>
      <c r="B6" s="362">
        <v>1.0</v>
      </c>
      <c r="C6" s="109" t="s">
        <v>25</v>
      </c>
      <c r="D6" s="109" t="s">
        <v>680</v>
      </c>
      <c r="E6" s="363">
        <v>3.0</v>
      </c>
      <c r="F6" s="363">
        <v>1.0</v>
      </c>
      <c r="G6" s="363">
        <v>0.0</v>
      </c>
    </row>
    <row r="7">
      <c r="A7" s="364" t="s">
        <v>27</v>
      </c>
      <c r="B7" s="362">
        <v>1.0</v>
      </c>
      <c r="C7" s="109" t="s">
        <v>25</v>
      </c>
      <c r="D7" s="109" t="s">
        <v>680</v>
      </c>
      <c r="E7" s="363">
        <v>3.0</v>
      </c>
      <c r="F7" s="363">
        <v>1.0</v>
      </c>
      <c r="G7" s="363">
        <v>0.0</v>
      </c>
    </row>
    <row r="8">
      <c r="A8" s="364" t="s">
        <v>30</v>
      </c>
      <c r="B8" s="362">
        <v>2.0</v>
      </c>
      <c r="C8" s="109" t="s">
        <v>25</v>
      </c>
      <c r="D8" s="109" t="s">
        <v>680</v>
      </c>
      <c r="E8" s="363">
        <v>3.0</v>
      </c>
      <c r="F8" s="363">
        <v>2.0</v>
      </c>
      <c r="G8" s="363">
        <v>0.0</v>
      </c>
    </row>
    <row r="9">
      <c r="A9" s="364" t="s">
        <v>28</v>
      </c>
      <c r="B9" s="362">
        <v>1.0</v>
      </c>
      <c r="C9" s="109" t="s">
        <v>25</v>
      </c>
      <c r="D9" s="109" t="s">
        <v>680</v>
      </c>
      <c r="E9" s="363">
        <v>3.0</v>
      </c>
      <c r="F9" s="363">
        <v>1.0</v>
      </c>
      <c r="G9" s="363">
        <v>0.0</v>
      </c>
    </row>
    <row r="10">
      <c r="A10" s="364" t="s">
        <v>30</v>
      </c>
      <c r="B10" s="362">
        <v>2.0</v>
      </c>
      <c r="C10" s="109" t="s">
        <v>33</v>
      </c>
      <c r="D10" s="109" t="s">
        <v>680</v>
      </c>
      <c r="E10" s="363">
        <v>4.0</v>
      </c>
      <c r="F10" s="363">
        <v>2.0</v>
      </c>
      <c r="G10" s="363">
        <v>0.0</v>
      </c>
    </row>
    <row r="11">
      <c r="A11" s="366" t="s">
        <v>34</v>
      </c>
      <c r="B11" s="362">
        <v>2.0</v>
      </c>
      <c r="C11" s="109" t="s">
        <v>33</v>
      </c>
      <c r="D11" s="109" t="s">
        <v>680</v>
      </c>
      <c r="E11" s="363">
        <v>4.0</v>
      </c>
      <c r="F11" s="363">
        <v>2.0</v>
      </c>
      <c r="G11" s="363">
        <v>0.0</v>
      </c>
    </row>
    <row r="12">
      <c r="A12" s="365" t="s">
        <v>27</v>
      </c>
      <c r="B12" s="362">
        <v>1.0</v>
      </c>
      <c r="C12" s="109" t="s">
        <v>33</v>
      </c>
      <c r="D12" s="109" t="s">
        <v>680</v>
      </c>
      <c r="E12" s="363">
        <v>4.0</v>
      </c>
      <c r="F12" s="363">
        <v>1.0</v>
      </c>
      <c r="G12" s="363">
        <v>0.0</v>
      </c>
    </row>
    <row r="13">
      <c r="A13" s="367" t="s">
        <v>35</v>
      </c>
      <c r="B13" s="362">
        <v>1.0</v>
      </c>
      <c r="C13" s="109" t="s">
        <v>33</v>
      </c>
      <c r="D13" s="109" t="s">
        <v>680</v>
      </c>
      <c r="E13" s="363">
        <v>4.0</v>
      </c>
      <c r="F13" s="363">
        <v>1.0</v>
      </c>
      <c r="G13" s="363">
        <v>0.0</v>
      </c>
    </row>
    <row r="14">
      <c r="A14" s="364" t="s">
        <v>28</v>
      </c>
      <c r="B14" s="362">
        <v>1.0</v>
      </c>
      <c r="C14" s="109" t="s">
        <v>33</v>
      </c>
      <c r="D14" s="109" t="s">
        <v>680</v>
      </c>
      <c r="E14" s="363">
        <v>4.0</v>
      </c>
      <c r="F14" s="363">
        <v>1.0</v>
      </c>
      <c r="G14" s="363">
        <v>0.0</v>
      </c>
    </row>
    <row r="15">
      <c r="A15" s="361" t="s">
        <v>38</v>
      </c>
      <c r="B15" s="362">
        <v>3.0</v>
      </c>
      <c r="C15" s="109" t="s">
        <v>36</v>
      </c>
      <c r="D15" s="109" t="s">
        <v>680</v>
      </c>
      <c r="E15" s="363">
        <v>5.0</v>
      </c>
      <c r="F15" s="363">
        <v>3.0</v>
      </c>
      <c r="G15" s="363">
        <v>0.0</v>
      </c>
    </row>
    <row r="16">
      <c r="A16" s="364" t="s">
        <v>37</v>
      </c>
      <c r="B16" s="362">
        <v>2.0</v>
      </c>
      <c r="C16" s="109" t="s">
        <v>36</v>
      </c>
      <c r="D16" s="109" t="s">
        <v>680</v>
      </c>
      <c r="E16" s="363">
        <v>5.0</v>
      </c>
      <c r="F16" s="363">
        <v>2.0</v>
      </c>
      <c r="G16" s="363">
        <v>0.0</v>
      </c>
    </row>
    <row r="17">
      <c r="A17" s="364" t="s">
        <v>41</v>
      </c>
      <c r="B17" s="362">
        <v>2.0</v>
      </c>
      <c r="C17" s="368" t="s">
        <v>39</v>
      </c>
      <c r="D17" s="109" t="s">
        <v>680</v>
      </c>
      <c r="E17" s="363">
        <v>6.0</v>
      </c>
      <c r="F17" s="363">
        <v>2.0</v>
      </c>
      <c r="G17" s="363">
        <v>0.0</v>
      </c>
    </row>
    <row r="18">
      <c r="A18" s="364" t="s">
        <v>40</v>
      </c>
      <c r="B18" s="362">
        <v>3.0</v>
      </c>
      <c r="C18" s="368" t="s">
        <v>39</v>
      </c>
      <c r="D18" s="109" t="s">
        <v>680</v>
      </c>
      <c r="E18" s="363">
        <v>6.0</v>
      </c>
      <c r="F18" s="363">
        <v>3.0</v>
      </c>
      <c r="G18" s="363">
        <v>0.0</v>
      </c>
    </row>
    <row r="19">
      <c r="A19" s="364" t="s">
        <v>40</v>
      </c>
      <c r="B19" s="362">
        <v>3.0</v>
      </c>
      <c r="C19" s="368" t="s">
        <v>42</v>
      </c>
      <c r="D19" s="109" t="s">
        <v>680</v>
      </c>
      <c r="E19" s="363">
        <v>7.0</v>
      </c>
      <c r="F19" s="363">
        <v>3.0</v>
      </c>
      <c r="G19" s="363">
        <v>0.0</v>
      </c>
    </row>
    <row r="20">
      <c r="A20" s="364" t="s">
        <v>43</v>
      </c>
      <c r="B20" s="362">
        <v>2.0</v>
      </c>
      <c r="C20" s="368" t="s">
        <v>42</v>
      </c>
      <c r="D20" s="109" t="s">
        <v>680</v>
      </c>
      <c r="E20" s="363">
        <v>7.0</v>
      </c>
      <c r="F20" s="363">
        <v>2.0</v>
      </c>
      <c r="G20" s="363">
        <v>0.0</v>
      </c>
    </row>
    <row r="21">
      <c r="A21" s="369" t="s">
        <v>46</v>
      </c>
      <c r="B21" s="362">
        <v>1.0</v>
      </c>
      <c r="C21" s="368" t="s">
        <v>44</v>
      </c>
      <c r="D21" s="109" t="s">
        <v>680</v>
      </c>
      <c r="E21" s="363">
        <v>8.0</v>
      </c>
      <c r="F21" s="363">
        <v>1.0</v>
      </c>
      <c r="G21" s="363">
        <v>0.0</v>
      </c>
    </row>
    <row r="22">
      <c r="A22" s="364" t="s">
        <v>45</v>
      </c>
      <c r="B22" s="362">
        <v>3.0</v>
      </c>
      <c r="C22" s="109" t="s">
        <v>44</v>
      </c>
      <c r="D22" s="109" t="s">
        <v>680</v>
      </c>
      <c r="E22" s="363">
        <v>8.0</v>
      </c>
      <c r="F22" s="363">
        <v>3.0</v>
      </c>
      <c r="G22" s="363">
        <v>0.0</v>
      </c>
    </row>
    <row r="23">
      <c r="A23" s="364" t="s">
        <v>43</v>
      </c>
      <c r="B23" s="362">
        <v>1.0</v>
      </c>
      <c r="C23" s="109" t="s">
        <v>44</v>
      </c>
      <c r="D23" s="109" t="s">
        <v>680</v>
      </c>
      <c r="E23" s="363">
        <v>8.0</v>
      </c>
      <c r="F23" s="363">
        <v>1.0</v>
      </c>
      <c r="G23" s="363">
        <v>0.0</v>
      </c>
    </row>
    <row r="24">
      <c r="A24" s="361" t="s">
        <v>48</v>
      </c>
      <c r="B24" s="362">
        <v>2.0</v>
      </c>
      <c r="C24" s="109" t="s">
        <v>47</v>
      </c>
      <c r="D24" s="109" t="s">
        <v>680</v>
      </c>
      <c r="E24" s="363">
        <v>9.0</v>
      </c>
      <c r="F24" s="363">
        <v>2.0</v>
      </c>
      <c r="G24" s="363">
        <v>0.0</v>
      </c>
    </row>
    <row r="25">
      <c r="A25" s="364" t="s">
        <v>37</v>
      </c>
      <c r="B25" s="362">
        <v>1.0</v>
      </c>
      <c r="C25" s="109" t="s">
        <v>47</v>
      </c>
      <c r="D25" s="109" t="s">
        <v>680</v>
      </c>
      <c r="E25" s="363">
        <v>9.0</v>
      </c>
      <c r="F25" s="363">
        <v>1.0</v>
      </c>
      <c r="G25" s="363">
        <v>0.0</v>
      </c>
    </row>
    <row r="26">
      <c r="A26" s="369" t="s">
        <v>49</v>
      </c>
      <c r="B26" s="362">
        <v>2.0</v>
      </c>
      <c r="C26" s="109" t="s">
        <v>47</v>
      </c>
      <c r="D26" s="109" t="s">
        <v>680</v>
      </c>
      <c r="E26" s="363">
        <v>9.0</v>
      </c>
      <c r="F26" s="363">
        <v>2.0</v>
      </c>
      <c r="G26" s="363">
        <v>0.0</v>
      </c>
    </row>
    <row r="27">
      <c r="A27" s="361" t="s">
        <v>48</v>
      </c>
      <c r="B27" s="362">
        <v>1.0</v>
      </c>
      <c r="C27" s="109" t="s">
        <v>50</v>
      </c>
      <c r="D27" s="109" t="s">
        <v>680</v>
      </c>
      <c r="E27" s="363">
        <v>10.0</v>
      </c>
      <c r="F27" s="363">
        <v>1.0</v>
      </c>
      <c r="G27" s="363">
        <v>0.0</v>
      </c>
    </row>
    <row r="28">
      <c r="A28" s="289" t="s">
        <v>51</v>
      </c>
      <c r="B28" s="362">
        <v>4.0</v>
      </c>
      <c r="C28" s="109" t="s">
        <v>50</v>
      </c>
      <c r="D28" s="109" t="s">
        <v>680</v>
      </c>
      <c r="E28" s="363">
        <v>10.0</v>
      </c>
      <c r="F28" s="363">
        <v>4.0</v>
      </c>
      <c r="G28" s="363">
        <v>0.0</v>
      </c>
    </row>
    <row r="29">
      <c r="A29" s="361" t="s">
        <v>53</v>
      </c>
      <c r="B29" s="362">
        <v>4.0</v>
      </c>
      <c r="C29" s="109" t="s">
        <v>52</v>
      </c>
      <c r="D29" s="109" t="s">
        <v>680</v>
      </c>
      <c r="E29" s="363">
        <v>11.0</v>
      </c>
      <c r="F29" s="363">
        <v>4.0</v>
      </c>
      <c r="G29" s="363">
        <v>0.0</v>
      </c>
    </row>
    <row r="30">
      <c r="A30" s="361" t="s">
        <v>54</v>
      </c>
      <c r="B30" s="362">
        <v>1.0</v>
      </c>
      <c r="C30" s="109" t="s">
        <v>52</v>
      </c>
      <c r="D30" s="109" t="s">
        <v>680</v>
      </c>
      <c r="E30" s="363">
        <v>11.0</v>
      </c>
      <c r="F30" s="363">
        <v>1.0</v>
      </c>
      <c r="G30" s="363">
        <v>0.0</v>
      </c>
    </row>
    <row r="31">
      <c r="A31" s="370" t="s">
        <v>61</v>
      </c>
      <c r="B31" s="362">
        <v>4.0</v>
      </c>
      <c r="C31" s="109" t="s">
        <v>60</v>
      </c>
      <c r="D31" s="109" t="s">
        <v>680</v>
      </c>
      <c r="E31" s="363">
        <v>12.0</v>
      </c>
      <c r="F31" s="363">
        <v>4.0</v>
      </c>
      <c r="G31" s="363">
        <v>0.0</v>
      </c>
    </row>
    <row r="32">
      <c r="A32" s="361" t="s">
        <v>62</v>
      </c>
      <c r="B32" s="362">
        <v>1.0</v>
      </c>
      <c r="C32" s="109" t="s">
        <v>60</v>
      </c>
      <c r="D32" s="109" t="s">
        <v>680</v>
      </c>
      <c r="E32" s="363">
        <v>12.0</v>
      </c>
      <c r="F32" s="363">
        <v>1.0</v>
      </c>
      <c r="G32" s="363">
        <v>0.0</v>
      </c>
    </row>
    <row r="33">
      <c r="A33" s="370" t="s">
        <v>61</v>
      </c>
      <c r="B33" s="362">
        <v>3.0</v>
      </c>
      <c r="C33" s="109" t="s">
        <v>63</v>
      </c>
      <c r="D33" s="109" t="s">
        <v>680</v>
      </c>
      <c r="E33" s="363">
        <v>13.0</v>
      </c>
      <c r="F33" s="363">
        <v>3.0</v>
      </c>
      <c r="G33" s="363">
        <v>0.0</v>
      </c>
    </row>
    <row r="34">
      <c r="A34" s="361" t="s">
        <v>64</v>
      </c>
      <c r="B34" s="362">
        <v>2.0</v>
      </c>
      <c r="C34" s="109" t="s">
        <v>63</v>
      </c>
      <c r="D34" s="109" t="s">
        <v>680</v>
      </c>
      <c r="E34" s="363">
        <v>13.0</v>
      </c>
      <c r="F34" s="363">
        <v>2.0</v>
      </c>
      <c r="G34" s="363">
        <v>0.0</v>
      </c>
    </row>
    <row r="35">
      <c r="A35" s="361" t="s">
        <v>66</v>
      </c>
      <c r="B35" s="362">
        <v>5.0</v>
      </c>
      <c r="C35" s="109" t="s">
        <v>65</v>
      </c>
      <c r="D35" s="109" t="s">
        <v>680</v>
      </c>
      <c r="E35" s="363">
        <v>14.0</v>
      </c>
      <c r="F35" s="363">
        <v>5.0</v>
      </c>
      <c r="G35" s="363">
        <v>0.0</v>
      </c>
    </row>
    <row r="36">
      <c r="A36" s="361" t="s">
        <v>64</v>
      </c>
      <c r="B36" s="362">
        <v>5.0</v>
      </c>
      <c r="C36" s="109" t="s">
        <v>67</v>
      </c>
      <c r="D36" s="109" t="s">
        <v>680</v>
      </c>
      <c r="E36" s="363">
        <v>15.0</v>
      </c>
      <c r="F36" s="363">
        <v>5.0</v>
      </c>
      <c r="G36" s="363">
        <v>0.0</v>
      </c>
    </row>
    <row r="37">
      <c r="A37" s="361" t="s">
        <v>53</v>
      </c>
      <c r="B37" s="362">
        <v>1.0</v>
      </c>
      <c r="C37" s="109" t="s">
        <v>55</v>
      </c>
      <c r="D37" s="109" t="s">
        <v>680</v>
      </c>
      <c r="E37" s="363">
        <v>16.0</v>
      </c>
      <c r="F37" s="363">
        <v>1.0</v>
      </c>
      <c r="G37" s="363">
        <v>0.0</v>
      </c>
    </row>
    <row r="38">
      <c r="A38" s="361" t="s">
        <v>56</v>
      </c>
      <c r="B38" s="362">
        <v>2.0</v>
      </c>
      <c r="C38" s="109" t="s">
        <v>55</v>
      </c>
      <c r="D38" s="109" t="s">
        <v>680</v>
      </c>
      <c r="E38" s="363">
        <v>16.0</v>
      </c>
      <c r="F38" s="363">
        <v>2.0</v>
      </c>
      <c r="G38" s="363">
        <v>0.0</v>
      </c>
    </row>
    <row r="39">
      <c r="A39" s="361" t="s">
        <v>57</v>
      </c>
      <c r="B39" s="362">
        <v>2.0</v>
      </c>
      <c r="C39" s="109" t="s">
        <v>55</v>
      </c>
      <c r="D39" s="109" t="s">
        <v>680</v>
      </c>
      <c r="E39" s="363">
        <v>16.0</v>
      </c>
      <c r="F39" s="363">
        <v>2.0</v>
      </c>
      <c r="G39" s="363">
        <v>0.0</v>
      </c>
    </row>
    <row r="40">
      <c r="A40" s="361" t="s">
        <v>69</v>
      </c>
      <c r="B40" s="362">
        <v>2.0</v>
      </c>
      <c r="C40" s="109" t="s">
        <v>68</v>
      </c>
      <c r="D40" s="109" t="s">
        <v>680</v>
      </c>
      <c r="E40" s="363">
        <v>17.0</v>
      </c>
      <c r="F40" s="363">
        <v>2.0</v>
      </c>
      <c r="G40" s="363">
        <v>0.0</v>
      </c>
    </row>
    <row r="41">
      <c r="A41" s="361" t="s">
        <v>70</v>
      </c>
      <c r="B41" s="362">
        <v>2.0</v>
      </c>
      <c r="C41" s="109" t="s">
        <v>68</v>
      </c>
      <c r="D41" s="109" t="s">
        <v>680</v>
      </c>
      <c r="E41" s="363">
        <v>17.0</v>
      </c>
      <c r="F41" s="363">
        <v>2.0</v>
      </c>
      <c r="G41" s="363">
        <v>0.0</v>
      </c>
    </row>
    <row r="42">
      <c r="A42" s="361" t="s">
        <v>71</v>
      </c>
      <c r="B42" s="362">
        <v>1.0</v>
      </c>
      <c r="C42" s="109" t="s">
        <v>68</v>
      </c>
      <c r="D42" s="109" t="s">
        <v>680</v>
      </c>
      <c r="E42" s="363">
        <v>17.0</v>
      </c>
      <c r="F42" s="363">
        <v>1.0</v>
      </c>
      <c r="G42" s="363">
        <v>0.0</v>
      </c>
    </row>
    <row r="43">
      <c r="A43" s="361" t="s">
        <v>76</v>
      </c>
      <c r="B43" s="362">
        <v>5.0</v>
      </c>
      <c r="C43" s="109" t="s">
        <v>77</v>
      </c>
      <c r="D43" s="109" t="s">
        <v>680</v>
      </c>
      <c r="E43" s="363">
        <v>18.0</v>
      </c>
      <c r="F43" s="363">
        <v>5.0</v>
      </c>
      <c r="G43" s="363">
        <v>0.0</v>
      </c>
    </row>
    <row r="44">
      <c r="A44" s="366" t="s">
        <v>82</v>
      </c>
      <c r="B44" s="362">
        <v>3.0</v>
      </c>
      <c r="C44" s="109" t="s">
        <v>80</v>
      </c>
      <c r="D44" s="109" t="s">
        <v>680</v>
      </c>
      <c r="E44" s="363">
        <v>19.0</v>
      </c>
      <c r="F44" s="363">
        <v>3.0</v>
      </c>
      <c r="G44" s="363">
        <v>0.0</v>
      </c>
    </row>
    <row r="45">
      <c r="A45" s="361" t="s">
        <v>81</v>
      </c>
      <c r="B45" s="362">
        <v>2.0</v>
      </c>
      <c r="C45" s="109" t="s">
        <v>80</v>
      </c>
      <c r="D45" s="109" t="s">
        <v>680</v>
      </c>
      <c r="E45" s="363">
        <v>19.0</v>
      </c>
      <c r="F45" s="363">
        <v>2.0</v>
      </c>
      <c r="G45" s="363">
        <v>0.0</v>
      </c>
    </row>
    <row r="46">
      <c r="A46" s="361" t="s">
        <v>69</v>
      </c>
      <c r="B46" s="362">
        <v>2.0</v>
      </c>
      <c r="C46" s="109" t="s">
        <v>72</v>
      </c>
      <c r="D46" s="109" t="s">
        <v>680</v>
      </c>
      <c r="E46" s="363">
        <v>20.0</v>
      </c>
      <c r="F46" s="363">
        <v>2.0</v>
      </c>
      <c r="G46" s="363">
        <v>0.0</v>
      </c>
    </row>
    <row r="47">
      <c r="A47" s="364" t="s">
        <v>74</v>
      </c>
      <c r="B47" s="362">
        <v>1.0</v>
      </c>
      <c r="C47" s="109" t="s">
        <v>72</v>
      </c>
      <c r="D47" s="109" t="s">
        <v>680</v>
      </c>
      <c r="E47" s="363">
        <v>20.0</v>
      </c>
      <c r="F47" s="363">
        <v>1.0</v>
      </c>
      <c r="G47" s="363">
        <v>0.0</v>
      </c>
    </row>
    <row r="48">
      <c r="A48" s="361" t="s">
        <v>73</v>
      </c>
      <c r="B48" s="362">
        <v>2.0</v>
      </c>
      <c r="C48" s="109" t="s">
        <v>72</v>
      </c>
      <c r="D48" s="109" t="s">
        <v>680</v>
      </c>
      <c r="E48" s="363">
        <v>20.0</v>
      </c>
      <c r="F48" s="363">
        <v>2.0</v>
      </c>
      <c r="G48" s="363">
        <v>0.0</v>
      </c>
    </row>
    <row r="49">
      <c r="A49" s="361" t="s">
        <v>79</v>
      </c>
      <c r="B49" s="362">
        <v>5.0</v>
      </c>
      <c r="C49" s="109" t="s">
        <v>78</v>
      </c>
      <c r="D49" s="109" t="s">
        <v>680</v>
      </c>
      <c r="E49" s="363">
        <v>21.0</v>
      </c>
      <c r="F49" s="363">
        <v>5.0</v>
      </c>
      <c r="G49" s="363">
        <v>0.0</v>
      </c>
    </row>
    <row r="50">
      <c r="A50" s="361" t="s">
        <v>73</v>
      </c>
      <c r="B50" s="362">
        <v>2.0</v>
      </c>
      <c r="C50" s="109" t="s">
        <v>75</v>
      </c>
      <c r="D50" s="109" t="s">
        <v>680</v>
      </c>
      <c r="E50" s="363">
        <v>22.0</v>
      </c>
      <c r="F50" s="363">
        <v>2.0</v>
      </c>
      <c r="G50" s="363">
        <v>0.0</v>
      </c>
    </row>
    <row r="51">
      <c r="A51" s="361" t="s">
        <v>76</v>
      </c>
      <c r="B51" s="362">
        <v>2.0</v>
      </c>
      <c r="C51" s="109" t="s">
        <v>75</v>
      </c>
      <c r="D51" s="109" t="s">
        <v>680</v>
      </c>
      <c r="E51" s="363">
        <v>22.0</v>
      </c>
      <c r="F51" s="363">
        <v>2.0</v>
      </c>
      <c r="G51" s="363">
        <v>0.0</v>
      </c>
    </row>
    <row r="52">
      <c r="A52" s="371" t="s">
        <v>114</v>
      </c>
      <c r="B52" s="362"/>
      <c r="C52" s="109" t="s">
        <v>75</v>
      </c>
      <c r="D52" s="109" t="s">
        <v>680</v>
      </c>
      <c r="E52" s="363">
        <v>22.0</v>
      </c>
      <c r="F52" s="363">
        <v>0.0</v>
      </c>
      <c r="G52" s="363">
        <v>0.0</v>
      </c>
    </row>
    <row r="53">
      <c r="A53" s="372" t="s">
        <v>96</v>
      </c>
      <c r="B53" s="362">
        <v>1.0</v>
      </c>
      <c r="C53" s="109" t="s">
        <v>94</v>
      </c>
      <c r="D53" s="109" t="s">
        <v>680</v>
      </c>
      <c r="E53" s="363">
        <v>23.0</v>
      </c>
      <c r="F53" s="363">
        <v>1.0</v>
      </c>
      <c r="G53" s="363">
        <v>0.0</v>
      </c>
    </row>
    <row r="54">
      <c r="A54" s="366" t="s">
        <v>90</v>
      </c>
      <c r="B54" s="362">
        <v>1.0</v>
      </c>
      <c r="C54" s="109" t="s">
        <v>94</v>
      </c>
      <c r="D54" s="109" t="s">
        <v>680</v>
      </c>
      <c r="E54" s="363">
        <v>23.0</v>
      </c>
      <c r="F54" s="363">
        <v>1.0</v>
      </c>
      <c r="G54" s="363">
        <v>0.0</v>
      </c>
    </row>
    <row r="55">
      <c r="A55" s="361" t="s">
        <v>95</v>
      </c>
      <c r="B55" s="362">
        <v>3.0</v>
      </c>
      <c r="C55" s="109" t="s">
        <v>94</v>
      </c>
      <c r="D55" s="109" t="s">
        <v>680</v>
      </c>
      <c r="E55" s="363">
        <v>23.0</v>
      </c>
      <c r="F55" s="363">
        <v>3.0</v>
      </c>
      <c r="G55" s="363">
        <v>0.0</v>
      </c>
    </row>
    <row r="56">
      <c r="A56" s="361" t="s">
        <v>84</v>
      </c>
      <c r="B56" s="362">
        <v>3.0</v>
      </c>
      <c r="C56" s="109" t="s">
        <v>83</v>
      </c>
      <c r="D56" s="109" t="s">
        <v>680</v>
      </c>
      <c r="E56" s="363">
        <v>24.0</v>
      </c>
      <c r="F56" s="363">
        <v>3.0</v>
      </c>
      <c r="G56" s="363">
        <v>0.0</v>
      </c>
    </row>
    <row r="57">
      <c r="A57" s="361" t="s">
        <v>85</v>
      </c>
      <c r="B57" s="362">
        <v>1.0</v>
      </c>
      <c r="C57" s="109" t="s">
        <v>83</v>
      </c>
      <c r="D57" s="109" t="s">
        <v>680</v>
      </c>
      <c r="E57" s="363">
        <v>24.0</v>
      </c>
      <c r="F57" s="363">
        <v>1.0</v>
      </c>
      <c r="G57" s="363">
        <v>0.0</v>
      </c>
    </row>
    <row r="58">
      <c r="A58" s="372" t="s">
        <v>86</v>
      </c>
      <c r="B58" s="362">
        <v>1.0</v>
      </c>
      <c r="C58" s="109" t="s">
        <v>83</v>
      </c>
      <c r="D58" s="109" t="s">
        <v>680</v>
      </c>
      <c r="E58" s="363">
        <v>24.0</v>
      </c>
      <c r="F58" s="363">
        <v>1.0</v>
      </c>
      <c r="G58" s="363">
        <v>0.0</v>
      </c>
    </row>
    <row r="59">
      <c r="A59" s="361" t="s">
        <v>88</v>
      </c>
      <c r="B59" s="362">
        <v>3.0</v>
      </c>
      <c r="C59" s="373" t="s">
        <v>89</v>
      </c>
      <c r="D59" s="109" t="s">
        <v>680</v>
      </c>
      <c r="E59" s="363">
        <v>25.0</v>
      </c>
      <c r="F59" s="363">
        <v>3.0</v>
      </c>
      <c r="G59" s="363">
        <v>0.0</v>
      </c>
    </row>
    <row r="60">
      <c r="A60" s="366" t="s">
        <v>90</v>
      </c>
      <c r="B60" s="362">
        <v>2.0</v>
      </c>
      <c r="C60" s="374" t="s">
        <v>89</v>
      </c>
      <c r="D60" s="109" t="s">
        <v>680</v>
      </c>
      <c r="E60" s="363">
        <v>25.0</v>
      </c>
      <c r="F60" s="363">
        <v>2.0</v>
      </c>
      <c r="G60" s="363">
        <v>0.0</v>
      </c>
    </row>
    <row r="61">
      <c r="A61" s="372" t="s">
        <v>86</v>
      </c>
      <c r="B61" s="362">
        <v>1.0</v>
      </c>
      <c r="C61" s="109" t="s">
        <v>87</v>
      </c>
      <c r="D61" s="109" t="s">
        <v>680</v>
      </c>
      <c r="E61" s="363">
        <v>26.0</v>
      </c>
      <c r="F61" s="363">
        <v>1.0</v>
      </c>
      <c r="G61" s="363">
        <v>0.0</v>
      </c>
    </row>
    <row r="62">
      <c r="A62" s="361" t="s">
        <v>88</v>
      </c>
      <c r="B62" s="362">
        <v>4.0</v>
      </c>
      <c r="C62" s="109" t="s">
        <v>87</v>
      </c>
      <c r="D62" s="109" t="s">
        <v>680</v>
      </c>
      <c r="E62" s="363">
        <v>26.0</v>
      </c>
      <c r="F62" s="363">
        <v>4.0</v>
      </c>
      <c r="G62" s="363">
        <v>0.0</v>
      </c>
    </row>
    <row r="63">
      <c r="A63" s="372" t="s">
        <v>98</v>
      </c>
      <c r="B63" s="362">
        <v>1.0</v>
      </c>
      <c r="C63" s="109" t="s">
        <v>97</v>
      </c>
      <c r="D63" s="109" t="s">
        <v>680</v>
      </c>
      <c r="E63" s="363">
        <v>27.0</v>
      </c>
      <c r="F63" s="363">
        <v>1.0</v>
      </c>
      <c r="G63" s="363">
        <v>0.0</v>
      </c>
    </row>
    <row r="64">
      <c r="A64" s="361" t="s">
        <v>95</v>
      </c>
      <c r="B64" s="362">
        <v>4.0</v>
      </c>
      <c r="C64" s="109" t="s">
        <v>97</v>
      </c>
      <c r="D64" s="109" t="s">
        <v>680</v>
      </c>
      <c r="E64" s="363">
        <v>27.0</v>
      </c>
      <c r="F64" s="363">
        <v>4.0</v>
      </c>
      <c r="G64" s="363">
        <v>0.0</v>
      </c>
    </row>
    <row r="65">
      <c r="A65" s="361" t="s">
        <v>92</v>
      </c>
      <c r="B65" s="362">
        <v>1.0</v>
      </c>
      <c r="C65" s="109" t="s">
        <v>91</v>
      </c>
      <c r="D65" s="109" t="s">
        <v>680</v>
      </c>
      <c r="E65" s="363">
        <v>28.0</v>
      </c>
      <c r="F65" s="363">
        <v>1.0</v>
      </c>
      <c r="G65" s="363">
        <v>0.0</v>
      </c>
    </row>
    <row r="66">
      <c r="A66" s="361" t="s">
        <v>93</v>
      </c>
      <c r="B66" s="362">
        <v>2.0</v>
      </c>
      <c r="C66" s="109" t="s">
        <v>91</v>
      </c>
      <c r="D66" s="109" t="s">
        <v>680</v>
      </c>
      <c r="E66" s="363">
        <v>28.0</v>
      </c>
      <c r="F66" s="363">
        <v>2.0</v>
      </c>
      <c r="G66" s="363">
        <v>0.0</v>
      </c>
    </row>
    <row r="67">
      <c r="A67" s="366" t="s">
        <v>90</v>
      </c>
      <c r="B67" s="362">
        <v>2.0</v>
      </c>
      <c r="C67" s="109" t="s">
        <v>91</v>
      </c>
      <c r="D67" s="109" t="s">
        <v>680</v>
      </c>
      <c r="E67" s="363">
        <v>28.0</v>
      </c>
      <c r="F67" s="363">
        <v>2.0</v>
      </c>
      <c r="G67" s="363">
        <v>0.0</v>
      </c>
    </row>
    <row r="68">
      <c r="A68" s="361" t="s">
        <v>103</v>
      </c>
      <c r="B68" s="362">
        <v>4.0</v>
      </c>
      <c r="C68" s="109" t="s">
        <v>102</v>
      </c>
      <c r="D68" s="109" t="s">
        <v>680</v>
      </c>
      <c r="E68" s="363">
        <v>29.0</v>
      </c>
      <c r="F68" s="363">
        <v>4.0</v>
      </c>
      <c r="G68" s="363">
        <v>0.0</v>
      </c>
    </row>
    <row r="69">
      <c r="A69" s="289" t="s">
        <v>51</v>
      </c>
      <c r="B69" s="362">
        <v>1.0</v>
      </c>
      <c r="C69" s="109" t="s">
        <v>102</v>
      </c>
      <c r="D69" s="109" t="s">
        <v>680</v>
      </c>
      <c r="E69" s="363">
        <v>29.0</v>
      </c>
      <c r="F69" s="363">
        <v>1.0</v>
      </c>
      <c r="G69" s="363">
        <v>0.0</v>
      </c>
    </row>
    <row r="70">
      <c r="A70" s="371" t="s">
        <v>100</v>
      </c>
      <c r="B70" s="362">
        <v>3.0</v>
      </c>
      <c r="C70" s="109" t="s">
        <v>99</v>
      </c>
      <c r="D70" s="109" t="s">
        <v>680</v>
      </c>
      <c r="E70" s="363">
        <v>30.0</v>
      </c>
      <c r="F70" s="363">
        <v>3.0</v>
      </c>
      <c r="G70" s="363">
        <v>0.0</v>
      </c>
    </row>
    <row r="71">
      <c r="A71" s="361" t="s">
        <v>101</v>
      </c>
      <c r="B71" s="362">
        <v>2.0</v>
      </c>
      <c r="C71" s="109" t="s">
        <v>99</v>
      </c>
      <c r="D71" s="109" t="s">
        <v>680</v>
      </c>
      <c r="E71" s="363">
        <v>30.0</v>
      </c>
      <c r="F71" s="363">
        <v>2.0</v>
      </c>
      <c r="G71" s="363">
        <v>0.0</v>
      </c>
    </row>
    <row r="72">
      <c r="A72" s="372" t="s">
        <v>105</v>
      </c>
      <c r="B72" s="375">
        <v>4.0</v>
      </c>
      <c r="C72" s="109" t="s">
        <v>104</v>
      </c>
      <c r="D72" s="109" t="s">
        <v>680</v>
      </c>
      <c r="E72" s="363">
        <v>31.0</v>
      </c>
      <c r="F72" s="363">
        <v>4.0</v>
      </c>
      <c r="G72" s="363">
        <v>0.0</v>
      </c>
    </row>
    <row r="73">
      <c r="A73" s="289" t="s">
        <v>51</v>
      </c>
      <c r="B73" s="362">
        <v>1.0</v>
      </c>
      <c r="C73" s="109" t="s">
        <v>104</v>
      </c>
      <c r="D73" s="109" t="s">
        <v>680</v>
      </c>
      <c r="E73" s="363">
        <v>31.0</v>
      </c>
      <c r="F73" s="363">
        <v>1.0</v>
      </c>
      <c r="G73" s="363">
        <v>0.0</v>
      </c>
    </row>
    <row r="74">
      <c r="A74" s="361" t="s">
        <v>108</v>
      </c>
      <c r="B74" s="362">
        <v>1.0</v>
      </c>
      <c r="C74" s="109" t="s">
        <v>106</v>
      </c>
      <c r="D74" s="109" t="s">
        <v>680</v>
      </c>
      <c r="E74" s="363">
        <v>32.0</v>
      </c>
      <c r="F74" s="363">
        <v>1.0</v>
      </c>
      <c r="G74" s="363">
        <v>0.0</v>
      </c>
    </row>
    <row r="75">
      <c r="A75" s="361" t="s">
        <v>109</v>
      </c>
      <c r="B75" s="362">
        <v>1.0</v>
      </c>
      <c r="C75" s="109" t="s">
        <v>106</v>
      </c>
      <c r="D75" s="109" t="s">
        <v>680</v>
      </c>
      <c r="E75" s="363">
        <v>32.0</v>
      </c>
      <c r="F75" s="363">
        <v>1.0</v>
      </c>
      <c r="G75" s="363">
        <v>0.0</v>
      </c>
    </row>
    <row r="76">
      <c r="A76" s="361" t="s">
        <v>107</v>
      </c>
      <c r="B76" s="362">
        <v>3.0</v>
      </c>
      <c r="C76" s="109" t="s">
        <v>106</v>
      </c>
      <c r="D76" s="109" t="s">
        <v>680</v>
      </c>
      <c r="E76" s="363">
        <v>32.0</v>
      </c>
      <c r="F76" s="363">
        <v>3.0</v>
      </c>
      <c r="G76" s="363">
        <v>0.0</v>
      </c>
    </row>
    <row r="77">
      <c r="A77" s="361" t="s">
        <v>107</v>
      </c>
      <c r="B77" s="362">
        <v>3.0</v>
      </c>
      <c r="C77" s="109" t="s">
        <v>110</v>
      </c>
      <c r="D77" s="109" t="s">
        <v>680</v>
      </c>
      <c r="E77" s="363">
        <v>33.0</v>
      </c>
      <c r="F77" s="363">
        <v>3.0</v>
      </c>
      <c r="G77" s="363">
        <v>0.0</v>
      </c>
    </row>
    <row r="78">
      <c r="A78" s="361" t="s">
        <v>111</v>
      </c>
      <c r="B78" s="362">
        <v>2.0</v>
      </c>
      <c r="C78" s="109" t="s">
        <v>110</v>
      </c>
      <c r="D78" s="109" t="s">
        <v>680</v>
      </c>
      <c r="E78" s="363">
        <v>33.0</v>
      </c>
      <c r="F78" s="363">
        <v>2.0</v>
      </c>
      <c r="G78" s="363">
        <v>0.0</v>
      </c>
    </row>
    <row r="79">
      <c r="A79" s="361" t="s">
        <v>56</v>
      </c>
      <c r="B79" s="362">
        <v>5.0</v>
      </c>
      <c r="C79" s="109" t="s">
        <v>112</v>
      </c>
      <c r="D79" s="109" t="s">
        <v>680</v>
      </c>
      <c r="E79" s="363">
        <v>34.0</v>
      </c>
      <c r="F79" s="363">
        <v>5.0</v>
      </c>
      <c r="G79" s="363">
        <v>0.0</v>
      </c>
    </row>
    <row r="80">
      <c r="A80" s="371" t="s">
        <v>114</v>
      </c>
      <c r="B80" s="376">
        <v>5.0</v>
      </c>
      <c r="C80" s="109" t="s">
        <v>113</v>
      </c>
      <c r="D80" s="109" t="s">
        <v>680</v>
      </c>
      <c r="E80" s="363">
        <v>35.0</v>
      </c>
      <c r="F80" s="363">
        <v>5.0</v>
      </c>
      <c r="G80" s="363">
        <v>0.0</v>
      </c>
    </row>
    <row r="81">
      <c r="A81" s="371" t="s">
        <v>115</v>
      </c>
      <c r="B81" s="376">
        <v>1.0</v>
      </c>
      <c r="C81" s="109" t="s">
        <v>113</v>
      </c>
      <c r="D81" s="109" t="s">
        <v>680</v>
      </c>
      <c r="E81" s="363">
        <v>35.0</v>
      </c>
      <c r="F81" s="363">
        <v>1.0</v>
      </c>
      <c r="G81" s="363">
        <v>0.0</v>
      </c>
    </row>
    <row r="82">
      <c r="A82" s="371" t="s">
        <v>115</v>
      </c>
      <c r="B82" s="376">
        <v>1.0</v>
      </c>
      <c r="C82" s="109" t="s">
        <v>123</v>
      </c>
      <c r="D82" s="109" t="s">
        <v>680</v>
      </c>
      <c r="E82" s="363">
        <v>36.0</v>
      </c>
      <c r="F82" s="363">
        <v>1.0</v>
      </c>
      <c r="G82" s="363">
        <v>0.0</v>
      </c>
    </row>
    <row r="83">
      <c r="A83" s="361" t="s">
        <v>124</v>
      </c>
      <c r="B83" s="362">
        <v>4.0</v>
      </c>
      <c r="C83" s="109" t="s">
        <v>123</v>
      </c>
      <c r="D83" s="109" t="s">
        <v>680</v>
      </c>
      <c r="E83" s="363">
        <v>36.0</v>
      </c>
      <c r="F83" s="363">
        <v>4.0</v>
      </c>
      <c r="G83" s="363">
        <v>0.0</v>
      </c>
    </row>
    <row r="84">
      <c r="A84" s="361" t="s">
        <v>117</v>
      </c>
      <c r="B84" s="362">
        <v>1.0</v>
      </c>
      <c r="C84" s="109" t="s">
        <v>116</v>
      </c>
      <c r="D84" s="109" t="s">
        <v>680</v>
      </c>
      <c r="E84" s="363">
        <v>37.0</v>
      </c>
      <c r="F84" s="363">
        <v>1.0</v>
      </c>
      <c r="G84" s="363">
        <v>0.0</v>
      </c>
    </row>
    <row r="85">
      <c r="A85" s="361" t="s">
        <v>118</v>
      </c>
      <c r="B85" s="362">
        <v>1.0</v>
      </c>
      <c r="C85" s="109" t="s">
        <v>116</v>
      </c>
      <c r="D85" s="109" t="s">
        <v>680</v>
      </c>
      <c r="E85" s="363">
        <v>37.0</v>
      </c>
      <c r="F85" s="363">
        <v>1.0</v>
      </c>
      <c r="G85" s="363">
        <v>0.0</v>
      </c>
    </row>
    <row r="86">
      <c r="A86" s="361" t="s">
        <v>120</v>
      </c>
      <c r="B86" s="362">
        <v>3.0</v>
      </c>
      <c r="C86" s="109" t="s">
        <v>119</v>
      </c>
      <c r="D86" s="109" t="s">
        <v>680</v>
      </c>
      <c r="E86" s="363">
        <v>38.0</v>
      </c>
      <c r="F86" s="363">
        <v>3.0</v>
      </c>
      <c r="G86" s="363">
        <v>0.0</v>
      </c>
    </row>
    <row r="87">
      <c r="A87" s="377" t="s">
        <v>122</v>
      </c>
      <c r="B87" s="362">
        <v>1.0</v>
      </c>
      <c r="C87" s="109" t="s">
        <v>119</v>
      </c>
      <c r="D87" s="109" t="s">
        <v>680</v>
      </c>
      <c r="E87" s="363">
        <v>38.0</v>
      </c>
      <c r="F87" s="363">
        <v>1.0</v>
      </c>
      <c r="G87" s="363">
        <v>0.0</v>
      </c>
    </row>
    <row r="88">
      <c r="A88" s="361" t="s">
        <v>121</v>
      </c>
      <c r="B88" s="362">
        <v>1.0</v>
      </c>
      <c r="C88" s="109" t="s">
        <v>119</v>
      </c>
      <c r="D88" s="109" t="s">
        <v>680</v>
      </c>
      <c r="E88" s="378">
        <v>38.0</v>
      </c>
      <c r="F88" s="378">
        <v>1.0</v>
      </c>
      <c r="G88" s="378">
        <v>0.0</v>
      </c>
    </row>
    <row r="89">
      <c r="A89" s="372" t="s">
        <v>128</v>
      </c>
      <c r="B89" s="362">
        <v>6.0</v>
      </c>
      <c r="C89" s="109" t="s">
        <v>127</v>
      </c>
      <c r="D89" s="109" t="s">
        <v>680</v>
      </c>
      <c r="E89" s="378">
        <v>39.0</v>
      </c>
      <c r="F89" s="378">
        <v>6.0</v>
      </c>
      <c r="G89" s="378">
        <v>0.0</v>
      </c>
    </row>
    <row r="90">
      <c r="A90" s="372" t="s">
        <v>130</v>
      </c>
      <c r="B90" s="362">
        <v>6.0</v>
      </c>
      <c r="C90" s="109" t="s">
        <v>129</v>
      </c>
      <c r="D90" s="109" t="s">
        <v>680</v>
      </c>
      <c r="E90" s="378">
        <v>40.0</v>
      </c>
      <c r="F90" s="378">
        <v>6.0</v>
      </c>
      <c r="G90" s="378">
        <v>0.0</v>
      </c>
    </row>
    <row r="91">
      <c r="A91" s="361" t="s">
        <v>132</v>
      </c>
      <c r="B91" s="362">
        <v>6.0</v>
      </c>
      <c r="C91" s="109" t="s">
        <v>131</v>
      </c>
      <c r="D91" s="109" t="s">
        <v>680</v>
      </c>
      <c r="E91" s="378">
        <v>41.0</v>
      </c>
      <c r="F91" s="378">
        <v>6.0</v>
      </c>
      <c r="G91" s="378">
        <v>0.0</v>
      </c>
    </row>
    <row r="92">
      <c r="A92" s="372" t="s">
        <v>134</v>
      </c>
      <c r="B92" s="362">
        <v>6.0</v>
      </c>
      <c r="C92" s="109" t="s">
        <v>133</v>
      </c>
      <c r="D92" s="109" t="s">
        <v>680</v>
      </c>
      <c r="E92" s="378">
        <v>42.0</v>
      </c>
      <c r="F92" s="378">
        <v>6.0</v>
      </c>
      <c r="G92" s="378">
        <v>0.0</v>
      </c>
    </row>
    <row r="93">
      <c r="A93" s="321" t="s">
        <v>126</v>
      </c>
      <c r="B93" s="100">
        <v>1.0</v>
      </c>
      <c r="C93" s="109" t="s">
        <v>125</v>
      </c>
      <c r="D93" s="109" t="s">
        <v>680</v>
      </c>
      <c r="E93" s="378">
        <v>43.0</v>
      </c>
      <c r="F93" s="378">
        <v>1.0</v>
      </c>
      <c r="G93" s="378">
        <v>0.0</v>
      </c>
    </row>
    <row r="94">
      <c r="B94" s="3"/>
      <c r="E94" s="300" t="s">
        <v>22</v>
      </c>
      <c r="F94" s="300" t="s">
        <v>22</v>
      </c>
      <c r="G94" s="300" t="s">
        <v>22</v>
      </c>
    </row>
    <row r="95">
      <c r="B95" s="3"/>
      <c r="E95" s="300" t="s">
        <v>22</v>
      </c>
      <c r="F95" s="300" t="s">
        <v>22</v>
      </c>
      <c r="G95" s="300" t="s">
        <v>22</v>
      </c>
    </row>
    <row r="96">
      <c r="B96" s="3"/>
      <c r="E96" s="300" t="s">
        <v>22</v>
      </c>
      <c r="F96" s="300" t="s">
        <v>22</v>
      </c>
      <c r="G96" s="300" t="s">
        <v>22</v>
      </c>
    </row>
    <row r="97">
      <c r="B97" s="3"/>
      <c r="E97" s="300" t="s">
        <v>22</v>
      </c>
      <c r="F97" s="300" t="s">
        <v>22</v>
      </c>
      <c r="G97" s="300" t="s">
        <v>22</v>
      </c>
    </row>
    <row r="98">
      <c r="B98" s="3"/>
      <c r="E98" s="300" t="s">
        <v>22</v>
      </c>
      <c r="F98" s="300" t="s">
        <v>22</v>
      </c>
      <c r="G98" s="300" t="s">
        <v>22</v>
      </c>
    </row>
    <row r="99">
      <c r="B99" s="3"/>
      <c r="E99" s="300" t="s">
        <v>22</v>
      </c>
      <c r="F99" s="300" t="s">
        <v>22</v>
      </c>
      <c r="G99" s="300" t="s">
        <v>22</v>
      </c>
    </row>
    <row r="100">
      <c r="B100" s="3"/>
      <c r="E100" s="300" t="s">
        <v>22</v>
      </c>
      <c r="F100" s="300" t="s">
        <v>22</v>
      </c>
      <c r="G100" s="300" t="s">
        <v>22</v>
      </c>
    </row>
    <row r="101">
      <c r="B101" s="3"/>
      <c r="E101" s="300" t="s">
        <v>22</v>
      </c>
      <c r="F101" s="300" t="s">
        <v>22</v>
      </c>
      <c r="G101" s="300" t="s">
        <v>22</v>
      </c>
    </row>
    <row r="102">
      <c r="B102" s="3"/>
      <c r="E102" s="300" t="s">
        <v>22</v>
      </c>
      <c r="F102" s="300" t="s">
        <v>22</v>
      </c>
      <c r="G102" s="300" t="s">
        <v>22</v>
      </c>
    </row>
    <row r="103">
      <c r="B103" s="3"/>
      <c r="E103" s="300" t="s">
        <v>22</v>
      </c>
      <c r="F103" s="300" t="s">
        <v>22</v>
      </c>
      <c r="G103" s="300" t="s">
        <v>22</v>
      </c>
    </row>
    <row r="104">
      <c r="B104" s="3"/>
      <c r="E104" s="300" t="s">
        <v>22</v>
      </c>
      <c r="F104" s="300" t="s">
        <v>22</v>
      </c>
      <c r="G104" s="300" t="s">
        <v>22</v>
      </c>
    </row>
    <row r="105">
      <c r="B105" s="3"/>
      <c r="E105" s="300" t="s">
        <v>22</v>
      </c>
      <c r="F105" s="300" t="s">
        <v>22</v>
      </c>
      <c r="G105" s="300" t="s">
        <v>22</v>
      </c>
    </row>
    <row r="106">
      <c r="B106" s="3"/>
      <c r="E106" s="300" t="s">
        <v>22</v>
      </c>
      <c r="F106" s="300" t="s">
        <v>22</v>
      </c>
      <c r="G106" s="300" t="s">
        <v>22</v>
      </c>
    </row>
    <row r="107">
      <c r="B107" s="3"/>
      <c r="E107" s="300" t="s">
        <v>22</v>
      </c>
      <c r="F107" s="300" t="s">
        <v>22</v>
      </c>
      <c r="G107" s="300" t="s">
        <v>22</v>
      </c>
    </row>
    <row r="108">
      <c r="B108" s="3"/>
      <c r="E108" s="300" t="s">
        <v>22</v>
      </c>
      <c r="F108" s="300" t="s">
        <v>22</v>
      </c>
      <c r="G108" s="300" t="s">
        <v>22</v>
      </c>
    </row>
    <row r="109">
      <c r="B109" s="3"/>
      <c r="E109" s="300" t="s">
        <v>22</v>
      </c>
      <c r="F109" s="300" t="s">
        <v>22</v>
      </c>
      <c r="G109" s="300" t="s">
        <v>22</v>
      </c>
    </row>
    <row r="110">
      <c r="B110" s="3"/>
      <c r="E110" s="300" t="s">
        <v>22</v>
      </c>
      <c r="F110" s="300" t="s">
        <v>22</v>
      </c>
      <c r="G110" s="300" t="s">
        <v>22</v>
      </c>
    </row>
    <row r="111">
      <c r="B111" s="3"/>
      <c r="E111" s="300" t="s">
        <v>22</v>
      </c>
      <c r="F111" s="300" t="s">
        <v>22</v>
      </c>
      <c r="G111" s="300" t="s">
        <v>22</v>
      </c>
    </row>
    <row r="112">
      <c r="B112" s="3"/>
      <c r="E112" s="300" t="s">
        <v>22</v>
      </c>
      <c r="F112" s="300" t="s">
        <v>22</v>
      </c>
      <c r="G112" s="300" t="s">
        <v>22</v>
      </c>
    </row>
    <row r="113">
      <c r="B113" s="3"/>
      <c r="E113" s="300" t="s">
        <v>22</v>
      </c>
      <c r="F113" s="300" t="s">
        <v>22</v>
      </c>
      <c r="G113" s="300" t="s">
        <v>22</v>
      </c>
    </row>
    <row r="114">
      <c r="B114" s="3"/>
      <c r="E114" s="300" t="s">
        <v>22</v>
      </c>
      <c r="F114" s="300" t="s">
        <v>22</v>
      </c>
      <c r="G114" s="300" t="s">
        <v>22</v>
      </c>
    </row>
    <row r="115">
      <c r="B115" s="3"/>
      <c r="E115" s="300" t="s">
        <v>22</v>
      </c>
      <c r="F115" s="300" t="s">
        <v>22</v>
      </c>
      <c r="G115" s="300" t="s">
        <v>22</v>
      </c>
    </row>
    <row r="116">
      <c r="B116" s="3"/>
      <c r="E116" s="300" t="s">
        <v>22</v>
      </c>
      <c r="F116" s="300" t="s">
        <v>22</v>
      </c>
      <c r="G116" s="300" t="s">
        <v>22</v>
      </c>
    </row>
    <row r="117">
      <c r="B117" s="3"/>
      <c r="E117" s="300" t="s">
        <v>22</v>
      </c>
      <c r="F117" s="300" t="s">
        <v>22</v>
      </c>
      <c r="G117" s="300" t="s">
        <v>22</v>
      </c>
    </row>
    <row r="118">
      <c r="B118" s="3"/>
      <c r="E118" s="300" t="s">
        <v>22</v>
      </c>
      <c r="F118" s="300" t="s">
        <v>22</v>
      </c>
      <c r="G118" s="300" t="s">
        <v>22</v>
      </c>
    </row>
    <row r="119">
      <c r="B119" s="3"/>
      <c r="E119" s="300" t="s">
        <v>22</v>
      </c>
      <c r="F119" s="300" t="s">
        <v>22</v>
      </c>
      <c r="G119" s="300" t="s">
        <v>22</v>
      </c>
    </row>
    <row r="120">
      <c r="B120" s="3"/>
      <c r="E120" s="300" t="s">
        <v>22</v>
      </c>
      <c r="F120" s="300" t="s">
        <v>22</v>
      </c>
      <c r="G120" s="300" t="s">
        <v>22</v>
      </c>
    </row>
    <row r="121">
      <c r="B121" s="3"/>
      <c r="E121" s="300" t="s">
        <v>22</v>
      </c>
      <c r="F121" s="300" t="s">
        <v>22</v>
      </c>
      <c r="G121" s="300" t="s">
        <v>22</v>
      </c>
    </row>
    <row r="122">
      <c r="B122" s="3"/>
      <c r="E122" s="300" t="s">
        <v>22</v>
      </c>
      <c r="F122" s="300" t="s">
        <v>22</v>
      </c>
      <c r="G122" s="300" t="s">
        <v>22</v>
      </c>
    </row>
    <row r="123">
      <c r="B123" s="3"/>
      <c r="E123" s="300" t="s">
        <v>22</v>
      </c>
      <c r="F123" s="300" t="s">
        <v>22</v>
      </c>
      <c r="G123" s="300" t="s">
        <v>22</v>
      </c>
    </row>
    <row r="124">
      <c r="B124" s="3"/>
      <c r="E124" s="300" t="s">
        <v>22</v>
      </c>
      <c r="F124" s="300" t="s">
        <v>22</v>
      </c>
      <c r="G124" s="300" t="s">
        <v>22</v>
      </c>
    </row>
    <row r="125">
      <c r="B125" s="3"/>
      <c r="E125" s="300" t="s">
        <v>22</v>
      </c>
      <c r="F125" s="300" t="s">
        <v>22</v>
      </c>
      <c r="G125" s="300" t="s">
        <v>22</v>
      </c>
    </row>
    <row r="126">
      <c r="B126" s="3"/>
      <c r="E126" s="300" t="s">
        <v>22</v>
      </c>
      <c r="F126" s="300" t="s">
        <v>22</v>
      </c>
      <c r="G126" s="300" t="s">
        <v>22</v>
      </c>
    </row>
    <row r="127">
      <c r="B127" s="3"/>
      <c r="E127" s="300" t="s">
        <v>22</v>
      </c>
      <c r="F127" s="300" t="s">
        <v>22</v>
      </c>
      <c r="G127" s="300" t="s">
        <v>22</v>
      </c>
    </row>
    <row r="128">
      <c r="B128" s="3"/>
      <c r="E128" s="300" t="s">
        <v>22</v>
      </c>
      <c r="F128" s="300" t="s">
        <v>22</v>
      </c>
      <c r="G128" s="300" t="s">
        <v>22</v>
      </c>
    </row>
    <row r="129">
      <c r="B129" s="3"/>
      <c r="E129" s="300" t="s">
        <v>22</v>
      </c>
      <c r="F129" s="300" t="s">
        <v>22</v>
      </c>
      <c r="G129" s="300" t="s">
        <v>22</v>
      </c>
    </row>
    <row r="130">
      <c r="B130" s="3"/>
      <c r="E130" s="300" t="s">
        <v>22</v>
      </c>
      <c r="F130" s="300" t="s">
        <v>22</v>
      </c>
      <c r="G130" s="300" t="s">
        <v>22</v>
      </c>
    </row>
    <row r="131">
      <c r="B131" s="3"/>
      <c r="E131" s="300" t="s">
        <v>22</v>
      </c>
      <c r="F131" s="300" t="s">
        <v>22</v>
      </c>
      <c r="G131" s="300" t="s">
        <v>22</v>
      </c>
    </row>
    <row r="132">
      <c r="B132" s="3"/>
      <c r="E132" s="300" t="s">
        <v>22</v>
      </c>
      <c r="F132" s="300" t="s">
        <v>22</v>
      </c>
      <c r="G132" s="300" t="s">
        <v>22</v>
      </c>
    </row>
    <row r="133">
      <c r="B133" s="3"/>
      <c r="E133" s="300" t="s">
        <v>22</v>
      </c>
      <c r="F133" s="300" t="s">
        <v>22</v>
      </c>
      <c r="G133" s="300" t="s">
        <v>22</v>
      </c>
    </row>
    <row r="134">
      <c r="B134" s="3"/>
      <c r="E134" s="300" t="s">
        <v>22</v>
      </c>
      <c r="F134" s="300" t="s">
        <v>22</v>
      </c>
      <c r="G134" s="300" t="s">
        <v>22</v>
      </c>
    </row>
    <row r="135">
      <c r="B135" s="3"/>
      <c r="E135" s="300" t="s">
        <v>22</v>
      </c>
      <c r="F135" s="300" t="s">
        <v>22</v>
      </c>
      <c r="G135" s="300" t="s">
        <v>22</v>
      </c>
    </row>
    <row r="136">
      <c r="B136" s="3"/>
      <c r="E136" s="300" t="s">
        <v>22</v>
      </c>
      <c r="F136" s="300" t="s">
        <v>22</v>
      </c>
      <c r="G136" s="300" t="s">
        <v>22</v>
      </c>
    </row>
    <row r="137">
      <c r="B137" s="3"/>
      <c r="E137" s="300" t="s">
        <v>22</v>
      </c>
      <c r="F137" s="300" t="s">
        <v>22</v>
      </c>
      <c r="G137" s="300" t="s">
        <v>22</v>
      </c>
    </row>
    <row r="138">
      <c r="B138" s="3"/>
      <c r="E138" s="300" t="s">
        <v>22</v>
      </c>
      <c r="F138" s="300" t="s">
        <v>22</v>
      </c>
      <c r="G138" s="300" t="s">
        <v>22</v>
      </c>
    </row>
    <row r="139">
      <c r="B139" s="3"/>
      <c r="E139" s="300" t="s">
        <v>22</v>
      </c>
      <c r="F139" s="300" t="s">
        <v>22</v>
      </c>
      <c r="G139" s="300" t="s">
        <v>22</v>
      </c>
    </row>
    <row r="140">
      <c r="B140" s="3"/>
      <c r="E140" s="300" t="s">
        <v>22</v>
      </c>
      <c r="F140" s="300" t="s">
        <v>22</v>
      </c>
      <c r="G140" s="300" t="s">
        <v>22</v>
      </c>
    </row>
    <row r="141">
      <c r="B141" s="3"/>
      <c r="E141" s="300" t="s">
        <v>22</v>
      </c>
      <c r="F141" s="300" t="s">
        <v>22</v>
      </c>
      <c r="G141" s="300" t="s">
        <v>22</v>
      </c>
    </row>
    <row r="142">
      <c r="B142" s="3"/>
      <c r="E142" s="300" t="s">
        <v>22</v>
      </c>
      <c r="F142" s="300" t="s">
        <v>22</v>
      </c>
      <c r="G142" s="300" t="s">
        <v>22</v>
      </c>
    </row>
    <row r="143">
      <c r="B143" s="3"/>
      <c r="E143" s="300" t="s">
        <v>22</v>
      </c>
      <c r="F143" s="300" t="s">
        <v>22</v>
      </c>
      <c r="G143" s="300" t="s">
        <v>22</v>
      </c>
    </row>
    <row r="144">
      <c r="B144" s="3"/>
      <c r="E144" s="300" t="s">
        <v>22</v>
      </c>
      <c r="F144" s="300" t="s">
        <v>22</v>
      </c>
      <c r="G144" s="300" t="s">
        <v>22</v>
      </c>
    </row>
    <row r="145">
      <c r="B145" s="3"/>
      <c r="E145" s="300" t="s">
        <v>22</v>
      </c>
      <c r="F145" s="300" t="s">
        <v>22</v>
      </c>
      <c r="G145" s="300" t="s">
        <v>22</v>
      </c>
    </row>
    <row r="146">
      <c r="B146" s="3"/>
      <c r="E146" s="300" t="s">
        <v>22</v>
      </c>
      <c r="F146" s="300" t="s">
        <v>22</v>
      </c>
      <c r="G146" s="300" t="s">
        <v>22</v>
      </c>
    </row>
    <row r="147">
      <c r="B147" s="3"/>
      <c r="E147" s="300" t="s">
        <v>22</v>
      </c>
      <c r="F147" s="300" t="s">
        <v>22</v>
      </c>
      <c r="G147" s="300" t="s">
        <v>22</v>
      </c>
    </row>
    <row r="148">
      <c r="B148" s="3"/>
      <c r="E148" s="300" t="s">
        <v>22</v>
      </c>
      <c r="F148" s="300" t="s">
        <v>22</v>
      </c>
      <c r="G148" s="300" t="s">
        <v>22</v>
      </c>
    </row>
    <row r="149">
      <c r="B149" s="3"/>
      <c r="E149" s="300" t="s">
        <v>22</v>
      </c>
      <c r="F149" s="300" t="s">
        <v>22</v>
      </c>
      <c r="G149" s="300" t="s">
        <v>22</v>
      </c>
    </row>
    <row r="150">
      <c r="B150" s="3"/>
      <c r="E150" s="300" t="s">
        <v>22</v>
      </c>
      <c r="F150" s="300" t="s">
        <v>22</v>
      </c>
      <c r="G150" s="300" t="s">
        <v>22</v>
      </c>
    </row>
    <row r="151">
      <c r="B151" s="3"/>
      <c r="E151" s="300" t="s">
        <v>22</v>
      </c>
      <c r="F151" s="300" t="s">
        <v>22</v>
      </c>
      <c r="G151" s="300" t="s">
        <v>22</v>
      </c>
    </row>
    <row r="152">
      <c r="B152" s="3"/>
      <c r="E152" s="300" t="s">
        <v>22</v>
      </c>
      <c r="F152" s="300" t="s">
        <v>22</v>
      </c>
      <c r="G152" s="300" t="s">
        <v>22</v>
      </c>
    </row>
    <row r="153">
      <c r="B153" s="3"/>
      <c r="E153" s="300" t="s">
        <v>22</v>
      </c>
      <c r="F153" s="300" t="s">
        <v>22</v>
      </c>
      <c r="G153" s="300" t="s">
        <v>22</v>
      </c>
    </row>
    <row r="154">
      <c r="B154" s="3"/>
      <c r="E154" s="300" t="s">
        <v>22</v>
      </c>
      <c r="F154" s="300" t="s">
        <v>22</v>
      </c>
      <c r="G154" s="300" t="s">
        <v>22</v>
      </c>
    </row>
    <row r="155">
      <c r="B155" s="3"/>
      <c r="E155" s="300" t="s">
        <v>22</v>
      </c>
      <c r="F155" s="300" t="s">
        <v>22</v>
      </c>
      <c r="G155" s="300" t="s">
        <v>22</v>
      </c>
    </row>
    <row r="156">
      <c r="B156" s="3"/>
      <c r="E156" s="300" t="s">
        <v>22</v>
      </c>
      <c r="F156" s="300" t="s">
        <v>22</v>
      </c>
      <c r="G156" s="300" t="s">
        <v>22</v>
      </c>
    </row>
    <row r="157">
      <c r="B157" s="3"/>
      <c r="E157" s="300" t="s">
        <v>22</v>
      </c>
      <c r="F157" s="300" t="s">
        <v>22</v>
      </c>
      <c r="G157" s="300" t="s">
        <v>22</v>
      </c>
    </row>
    <row r="158">
      <c r="B158" s="3"/>
      <c r="E158" s="300" t="s">
        <v>22</v>
      </c>
      <c r="F158" s="300" t="s">
        <v>22</v>
      </c>
      <c r="G158" s="300" t="s">
        <v>22</v>
      </c>
    </row>
    <row r="159">
      <c r="B159" s="3"/>
      <c r="E159" s="300" t="s">
        <v>22</v>
      </c>
      <c r="F159" s="300" t="s">
        <v>22</v>
      </c>
      <c r="G159" s="300" t="s">
        <v>22</v>
      </c>
    </row>
    <row r="160">
      <c r="B160" s="3"/>
      <c r="E160" s="300" t="s">
        <v>22</v>
      </c>
      <c r="F160" s="300" t="s">
        <v>22</v>
      </c>
      <c r="G160" s="300" t="s">
        <v>22</v>
      </c>
    </row>
    <row r="161">
      <c r="B161" s="3"/>
      <c r="E161" s="300" t="s">
        <v>22</v>
      </c>
      <c r="F161" s="300" t="s">
        <v>22</v>
      </c>
      <c r="G161" s="300" t="s">
        <v>22</v>
      </c>
    </row>
    <row r="162">
      <c r="B162" s="3"/>
      <c r="E162" s="300" t="s">
        <v>22</v>
      </c>
      <c r="F162" s="300" t="s">
        <v>22</v>
      </c>
      <c r="G162" s="300" t="s">
        <v>22</v>
      </c>
    </row>
    <row r="163">
      <c r="B163" s="3"/>
      <c r="E163" s="300" t="s">
        <v>22</v>
      </c>
      <c r="F163" s="300" t="s">
        <v>22</v>
      </c>
      <c r="G163" s="300" t="s">
        <v>22</v>
      </c>
    </row>
    <row r="164">
      <c r="B164" s="3"/>
      <c r="E164" s="300" t="s">
        <v>22</v>
      </c>
      <c r="F164" s="300" t="s">
        <v>22</v>
      </c>
      <c r="G164" s="300" t="s">
        <v>22</v>
      </c>
    </row>
    <row r="165">
      <c r="B165" s="3"/>
      <c r="E165" s="300" t="s">
        <v>22</v>
      </c>
      <c r="F165" s="300" t="s">
        <v>22</v>
      </c>
      <c r="G165" s="300" t="s">
        <v>22</v>
      </c>
    </row>
    <row r="166">
      <c r="B166" s="3"/>
      <c r="E166" s="300" t="s">
        <v>22</v>
      </c>
      <c r="F166" s="300" t="s">
        <v>22</v>
      </c>
      <c r="G166" s="300" t="s">
        <v>22</v>
      </c>
    </row>
    <row r="167">
      <c r="B167" s="3"/>
      <c r="E167" s="300" t="s">
        <v>22</v>
      </c>
      <c r="F167" s="300" t="s">
        <v>22</v>
      </c>
      <c r="G167" s="300" t="s">
        <v>22</v>
      </c>
    </row>
    <row r="168">
      <c r="B168" s="3"/>
      <c r="E168" s="300" t="s">
        <v>22</v>
      </c>
      <c r="F168" s="300" t="s">
        <v>22</v>
      </c>
      <c r="G168" s="300" t="s">
        <v>22</v>
      </c>
    </row>
    <row r="169">
      <c r="B169" s="3"/>
      <c r="E169" s="300" t="s">
        <v>22</v>
      </c>
      <c r="F169" s="300" t="s">
        <v>22</v>
      </c>
      <c r="G169" s="300" t="s">
        <v>22</v>
      </c>
    </row>
    <row r="170">
      <c r="B170" s="3"/>
      <c r="E170" s="300" t="s">
        <v>22</v>
      </c>
      <c r="F170" s="300" t="s">
        <v>22</v>
      </c>
      <c r="G170" s="300" t="s">
        <v>22</v>
      </c>
    </row>
    <row r="171">
      <c r="B171" s="3"/>
      <c r="E171" s="300" t="s">
        <v>22</v>
      </c>
      <c r="F171" s="300" t="s">
        <v>22</v>
      </c>
      <c r="G171" s="300" t="s">
        <v>22</v>
      </c>
    </row>
    <row r="172">
      <c r="B172" s="3"/>
      <c r="E172" s="300" t="s">
        <v>22</v>
      </c>
      <c r="F172" s="300" t="s">
        <v>22</v>
      </c>
      <c r="G172" s="300" t="s">
        <v>22</v>
      </c>
    </row>
    <row r="173">
      <c r="B173" s="3"/>
      <c r="E173" s="300" t="s">
        <v>22</v>
      </c>
      <c r="F173" s="300" t="s">
        <v>22</v>
      </c>
      <c r="G173" s="300" t="s">
        <v>22</v>
      </c>
    </row>
    <row r="174">
      <c r="B174" s="3"/>
      <c r="E174" s="300" t="s">
        <v>22</v>
      </c>
      <c r="F174" s="300" t="s">
        <v>22</v>
      </c>
      <c r="G174" s="300" t="s">
        <v>22</v>
      </c>
    </row>
    <row r="175">
      <c r="B175" s="3"/>
      <c r="E175" s="300" t="s">
        <v>22</v>
      </c>
      <c r="F175" s="300" t="s">
        <v>22</v>
      </c>
      <c r="G175" s="300" t="s">
        <v>22</v>
      </c>
    </row>
    <row r="176">
      <c r="B176" s="3"/>
      <c r="E176" s="300" t="s">
        <v>22</v>
      </c>
      <c r="F176" s="300" t="s">
        <v>22</v>
      </c>
      <c r="G176" s="300" t="s">
        <v>22</v>
      </c>
    </row>
    <row r="177">
      <c r="B177" s="3"/>
      <c r="E177" s="300" t="s">
        <v>22</v>
      </c>
      <c r="F177" s="300" t="s">
        <v>22</v>
      </c>
      <c r="G177" s="300" t="s">
        <v>22</v>
      </c>
    </row>
    <row r="178">
      <c r="B178" s="3"/>
      <c r="E178" s="300" t="s">
        <v>22</v>
      </c>
      <c r="F178" s="300" t="s">
        <v>22</v>
      </c>
      <c r="G178" s="300" t="s">
        <v>22</v>
      </c>
    </row>
    <row r="179">
      <c r="B179" s="3"/>
      <c r="E179" s="300" t="s">
        <v>22</v>
      </c>
      <c r="F179" s="300" t="s">
        <v>22</v>
      </c>
      <c r="G179" s="300" t="s">
        <v>22</v>
      </c>
    </row>
    <row r="180">
      <c r="B180" s="3"/>
      <c r="E180" s="300" t="s">
        <v>22</v>
      </c>
      <c r="F180" s="300" t="s">
        <v>22</v>
      </c>
      <c r="G180" s="300" t="s">
        <v>22</v>
      </c>
    </row>
    <row r="181">
      <c r="B181" s="3"/>
      <c r="E181" s="300" t="s">
        <v>22</v>
      </c>
      <c r="F181" s="300" t="s">
        <v>22</v>
      </c>
      <c r="G181" s="300" t="s">
        <v>22</v>
      </c>
    </row>
    <row r="182">
      <c r="B182" s="3"/>
      <c r="E182" s="300" t="s">
        <v>22</v>
      </c>
      <c r="F182" s="300" t="s">
        <v>22</v>
      </c>
      <c r="G182" s="300" t="s">
        <v>22</v>
      </c>
    </row>
    <row r="183">
      <c r="B183" s="3"/>
      <c r="E183" s="300" t="s">
        <v>22</v>
      </c>
      <c r="F183" s="300" t="s">
        <v>22</v>
      </c>
      <c r="G183" s="300" t="s">
        <v>22</v>
      </c>
    </row>
    <row r="184">
      <c r="B184" s="3"/>
      <c r="E184" s="300" t="s">
        <v>22</v>
      </c>
      <c r="F184" s="300" t="s">
        <v>22</v>
      </c>
      <c r="G184" s="300" t="s">
        <v>22</v>
      </c>
    </row>
    <row r="185">
      <c r="B185" s="3"/>
      <c r="E185" s="300" t="s">
        <v>22</v>
      </c>
      <c r="F185" s="300" t="s">
        <v>22</v>
      </c>
      <c r="G185" s="300" t="s">
        <v>22</v>
      </c>
    </row>
    <row r="186">
      <c r="B186" s="3"/>
      <c r="E186" s="300" t="s">
        <v>22</v>
      </c>
      <c r="F186" s="300" t="s">
        <v>22</v>
      </c>
      <c r="G186" s="300" t="s">
        <v>22</v>
      </c>
    </row>
    <row r="187">
      <c r="B187" s="3"/>
      <c r="E187" s="300" t="s">
        <v>22</v>
      </c>
      <c r="F187" s="300" t="s">
        <v>22</v>
      </c>
      <c r="G187" s="300" t="s">
        <v>22</v>
      </c>
    </row>
    <row r="188">
      <c r="B188" s="3"/>
      <c r="E188" s="300" t="s">
        <v>22</v>
      </c>
      <c r="F188" s="300" t="s">
        <v>22</v>
      </c>
      <c r="G188" s="300" t="s">
        <v>22</v>
      </c>
    </row>
    <row r="189">
      <c r="B189" s="3"/>
      <c r="E189" s="300" t="s">
        <v>22</v>
      </c>
      <c r="F189" s="300" t="s">
        <v>22</v>
      </c>
      <c r="G189" s="300" t="s">
        <v>22</v>
      </c>
    </row>
    <row r="190">
      <c r="B190" s="3"/>
      <c r="E190" s="300" t="s">
        <v>22</v>
      </c>
      <c r="F190" s="300" t="s">
        <v>22</v>
      </c>
      <c r="G190" s="300" t="s">
        <v>22</v>
      </c>
    </row>
    <row r="191">
      <c r="B191" s="3"/>
      <c r="E191" s="300" t="s">
        <v>22</v>
      </c>
      <c r="F191" s="300" t="s">
        <v>22</v>
      </c>
      <c r="G191" s="300" t="s">
        <v>22</v>
      </c>
    </row>
    <row r="192">
      <c r="B192" s="3"/>
      <c r="E192" s="300" t="s">
        <v>22</v>
      </c>
      <c r="F192" s="300" t="s">
        <v>22</v>
      </c>
      <c r="G192" s="300" t="s">
        <v>22</v>
      </c>
    </row>
    <row r="193">
      <c r="B193" s="3"/>
      <c r="E193" s="300" t="s">
        <v>22</v>
      </c>
      <c r="F193" s="300" t="s">
        <v>22</v>
      </c>
      <c r="G193" s="300" t="s">
        <v>22</v>
      </c>
    </row>
    <row r="194">
      <c r="B194" s="3"/>
      <c r="E194" s="300" t="s">
        <v>22</v>
      </c>
      <c r="F194" s="300" t="s">
        <v>22</v>
      </c>
      <c r="G194" s="300" t="s">
        <v>22</v>
      </c>
    </row>
    <row r="195">
      <c r="B195" s="3"/>
      <c r="E195" s="300" t="s">
        <v>22</v>
      </c>
      <c r="F195" s="300" t="s">
        <v>22</v>
      </c>
      <c r="G195" s="300" t="s">
        <v>22</v>
      </c>
    </row>
    <row r="196">
      <c r="B196" s="3"/>
      <c r="E196" s="300" t="s">
        <v>22</v>
      </c>
      <c r="F196" s="300" t="s">
        <v>22</v>
      </c>
      <c r="G196" s="300" t="s">
        <v>22</v>
      </c>
    </row>
    <row r="197">
      <c r="B197" s="3"/>
      <c r="E197" s="300" t="s">
        <v>22</v>
      </c>
      <c r="F197" s="300" t="s">
        <v>22</v>
      </c>
      <c r="G197" s="300" t="s">
        <v>22</v>
      </c>
    </row>
    <row r="198">
      <c r="B198" s="3"/>
      <c r="E198" s="300" t="s">
        <v>22</v>
      </c>
      <c r="F198" s="300" t="s">
        <v>22</v>
      </c>
      <c r="G198" s="300" t="s">
        <v>22</v>
      </c>
    </row>
    <row r="199">
      <c r="B199" s="3"/>
      <c r="E199" s="300" t="s">
        <v>22</v>
      </c>
      <c r="F199" s="300" t="s">
        <v>22</v>
      </c>
      <c r="G199" s="300" t="s">
        <v>22</v>
      </c>
    </row>
    <row r="200">
      <c r="B200" s="3"/>
      <c r="E200" s="300" t="s">
        <v>22</v>
      </c>
      <c r="F200" s="300" t="s">
        <v>22</v>
      </c>
      <c r="G200" s="300" t="s">
        <v>22</v>
      </c>
    </row>
    <row r="201">
      <c r="B201" s="3"/>
      <c r="E201" s="300" t="s">
        <v>22</v>
      </c>
      <c r="F201" s="300" t="s">
        <v>22</v>
      </c>
      <c r="G201" s="300" t="s">
        <v>22</v>
      </c>
    </row>
    <row r="202">
      <c r="B202" s="3"/>
      <c r="E202" s="300" t="s">
        <v>22</v>
      </c>
      <c r="F202" s="300" t="s">
        <v>22</v>
      </c>
      <c r="G202" s="300" t="s">
        <v>22</v>
      </c>
    </row>
    <row r="203">
      <c r="B203" s="3"/>
      <c r="E203" s="300" t="s">
        <v>22</v>
      </c>
      <c r="F203" s="300" t="s">
        <v>22</v>
      </c>
      <c r="G203" s="300" t="s">
        <v>22</v>
      </c>
    </row>
    <row r="204">
      <c r="B204" s="3"/>
      <c r="E204" s="300" t="s">
        <v>22</v>
      </c>
      <c r="F204" s="300" t="s">
        <v>22</v>
      </c>
      <c r="G204" s="300" t="s">
        <v>22</v>
      </c>
    </row>
    <row r="205">
      <c r="B205" s="3"/>
      <c r="E205" s="300" t="s">
        <v>22</v>
      </c>
      <c r="F205" s="300" t="s">
        <v>22</v>
      </c>
      <c r="G205" s="300" t="s">
        <v>22</v>
      </c>
    </row>
    <row r="206">
      <c r="B206" s="3"/>
      <c r="E206" s="300" t="s">
        <v>22</v>
      </c>
      <c r="F206" s="300" t="s">
        <v>22</v>
      </c>
      <c r="G206" s="300" t="s">
        <v>22</v>
      </c>
    </row>
    <row r="207">
      <c r="B207" s="3"/>
      <c r="E207" s="300" t="s">
        <v>22</v>
      </c>
      <c r="F207" s="300" t="s">
        <v>22</v>
      </c>
      <c r="G207" s="300" t="s">
        <v>22</v>
      </c>
    </row>
    <row r="208">
      <c r="B208" s="3"/>
      <c r="E208" s="300" t="s">
        <v>22</v>
      </c>
      <c r="F208" s="300" t="s">
        <v>22</v>
      </c>
      <c r="G208" s="300" t="s">
        <v>22</v>
      </c>
    </row>
    <row r="209">
      <c r="B209" s="3"/>
      <c r="E209" s="300" t="s">
        <v>22</v>
      </c>
      <c r="F209" s="300" t="s">
        <v>22</v>
      </c>
      <c r="G209" s="300" t="s">
        <v>22</v>
      </c>
    </row>
    <row r="210">
      <c r="B210" s="3"/>
      <c r="E210" s="300" t="s">
        <v>22</v>
      </c>
      <c r="F210" s="300" t="s">
        <v>22</v>
      </c>
      <c r="G210" s="300" t="s">
        <v>22</v>
      </c>
    </row>
    <row r="211">
      <c r="B211" s="3"/>
      <c r="E211" s="300" t="s">
        <v>22</v>
      </c>
      <c r="F211" s="300" t="s">
        <v>22</v>
      </c>
      <c r="G211" s="300" t="s">
        <v>22</v>
      </c>
    </row>
    <row r="212">
      <c r="B212" s="3"/>
      <c r="E212" s="300" t="s">
        <v>22</v>
      </c>
      <c r="F212" s="300" t="s">
        <v>22</v>
      </c>
      <c r="G212" s="300" t="s">
        <v>22</v>
      </c>
    </row>
    <row r="213">
      <c r="B213" s="3"/>
      <c r="E213" s="300" t="s">
        <v>22</v>
      </c>
      <c r="F213" s="300" t="s">
        <v>22</v>
      </c>
      <c r="G213" s="300" t="s">
        <v>22</v>
      </c>
    </row>
    <row r="214">
      <c r="B214" s="3"/>
      <c r="E214" s="300" t="s">
        <v>22</v>
      </c>
      <c r="F214" s="300" t="s">
        <v>22</v>
      </c>
      <c r="G214" s="300" t="s">
        <v>22</v>
      </c>
    </row>
    <row r="215">
      <c r="B215" s="3"/>
      <c r="E215" s="300" t="s">
        <v>22</v>
      </c>
      <c r="F215" s="300" t="s">
        <v>22</v>
      </c>
      <c r="G215" s="300" t="s">
        <v>22</v>
      </c>
    </row>
    <row r="216">
      <c r="B216" s="3"/>
      <c r="E216" s="300" t="s">
        <v>22</v>
      </c>
      <c r="F216" s="300" t="s">
        <v>22</v>
      </c>
      <c r="G216" s="300" t="s">
        <v>22</v>
      </c>
    </row>
    <row r="217">
      <c r="B217" s="3"/>
      <c r="E217" s="300" t="s">
        <v>22</v>
      </c>
      <c r="F217" s="300" t="s">
        <v>22</v>
      </c>
      <c r="G217" s="300" t="s">
        <v>22</v>
      </c>
    </row>
    <row r="218">
      <c r="B218" s="3"/>
      <c r="E218" s="300" t="s">
        <v>22</v>
      </c>
      <c r="F218" s="300" t="s">
        <v>22</v>
      </c>
      <c r="G218" s="300" t="s">
        <v>22</v>
      </c>
    </row>
    <row r="219">
      <c r="B219" s="3"/>
      <c r="E219" s="300" t="s">
        <v>22</v>
      </c>
      <c r="F219" s="300" t="s">
        <v>22</v>
      </c>
      <c r="G219" s="300" t="s">
        <v>22</v>
      </c>
    </row>
    <row r="220">
      <c r="B220" s="3"/>
      <c r="E220" s="300" t="s">
        <v>22</v>
      </c>
      <c r="F220" s="300" t="s">
        <v>22</v>
      </c>
      <c r="G220" s="300" t="s">
        <v>22</v>
      </c>
    </row>
    <row r="221">
      <c r="B221" s="3"/>
      <c r="E221" s="300" t="s">
        <v>22</v>
      </c>
      <c r="F221" s="300" t="s">
        <v>22</v>
      </c>
      <c r="G221" s="300" t="s">
        <v>22</v>
      </c>
    </row>
    <row r="222">
      <c r="B222" s="3"/>
      <c r="E222" s="300" t="s">
        <v>22</v>
      </c>
      <c r="F222" s="300" t="s">
        <v>22</v>
      </c>
      <c r="G222" s="300" t="s">
        <v>22</v>
      </c>
    </row>
    <row r="223">
      <c r="B223" s="3"/>
      <c r="E223" s="300" t="s">
        <v>22</v>
      </c>
      <c r="F223" s="300" t="s">
        <v>22</v>
      </c>
      <c r="G223" s="300" t="s">
        <v>22</v>
      </c>
    </row>
    <row r="224">
      <c r="B224" s="3"/>
      <c r="E224" s="300" t="s">
        <v>22</v>
      </c>
      <c r="F224" s="300" t="s">
        <v>22</v>
      </c>
      <c r="G224" s="300" t="s">
        <v>22</v>
      </c>
    </row>
    <row r="225">
      <c r="B225" s="3"/>
      <c r="E225" s="300" t="s">
        <v>22</v>
      </c>
      <c r="F225" s="300" t="s">
        <v>22</v>
      </c>
      <c r="G225" s="300" t="s">
        <v>22</v>
      </c>
    </row>
    <row r="226">
      <c r="B226" s="3"/>
      <c r="E226" s="300" t="s">
        <v>22</v>
      </c>
      <c r="F226" s="300" t="s">
        <v>22</v>
      </c>
      <c r="G226" s="300" t="s">
        <v>22</v>
      </c>
    </row>
    <row r="227">
      <c r="B227" s="3"/>
      <c r="E227" s="300" t="s">
        <v>22</v>
      </c>
      <c r="F227" s="300" t="s">
        <v>22</v>
      </c>
      <c r="G227" s="300" t="s">
        <v>22</v>
      </c>
    </row>
    <row r="228">
      <c r="B228" s="3"/>
      <c r="E228" s="300" t="s">
        <v>22</v>
      </c>
      <c r="F228" s="300" t="s">
        <v>22</v>
      </c>
      <c r="G228" s="300" t="s">
        <v>22</v>
      </c>
    </row>
    <row r="229">
      <c r="B229" s="3"/>
      <c r="E229" s="300" t="s">
        <v>22</v>
      </c>
      <c r="F229" s="300" t="s">
        <v>22</v>
      </c>
      <c r="G229" s="300" t="s">
        <v>22</v>
      </c>
    </row>
    <row r="230">
      <c r="B230" s="3"/>
      <c r="E230" s="300" t="s">
        <v>22</v>
      </c>
      <c r="F230" s="300" t="s">
        <v>22</v>
      </c>
      <c r="G230" s="300" t="s">
        <v>22</v>
      </c>
    </row>
    <row r="231">
      <c r="B231" s="3"/>
      <c r="E231" s="300" t="s">
        <v>22</v>
      </c>
      <c r="F231" s="300" t="s">
        <v>22</v>
      </c>
      <c r="G231" s="300" t="s">
        <v>22</v>
      </c>
    </row>
    <row r="232">
      <c r="B232" s="3"/>
      <c r="E232" s="300" t="s">
        <v>22</v>
      </c>
      <c r="F232" s="300" t="s">
        <v>22</v>
      </c>
      <c r="G232" s="300" t="s">
        <v>22</v>
      </c>
    </row>
    <row r="233">
      <c r="B233" s="3"/>
      <c r="E233" s="300" t="s">
        <v>22</v>
      </c>
      <c r="F233" s="300" t="s">
        <v>22</v>
      </c>
      <c r="G233" s="300" t="s">
        <v>22</v>
      </c>
    </row>
    <row r="234">
      <c r="B234" s="3"/>
      <c r="E234" s="300" t="s">
        <v>22</v>
      </c>
      <c r="F234" s="300" t="s">
        <v>22</v>
      </c>
      <c r="G234" s="300" t="s">
        <v>22</v>
      </c>
    </row>
    <row r="235">
      <c r="B235" s="3"/>
      <c r="E235" s="300" t="s">
        <v>22</v>
      </c>
      <c r="F235" s="300" t="s">
        <v>22</v>
      </c>
      <c r="G235" s="300" t="s">
        <v>22</v>
      </c>
    </row>
    <row r="236">
      <c r="B236" s="3"/>
      <c r="E236" s="300" t="s">
        <v>22</v>
      </c>
      <c r="F236" s="300" t="s">
        <v>22</v>
      </c>
      <c r="G236" s="300" t="s">
        <v>22</v>
      </c>
    </row>
    <row r="237">
      <c r="B237" s="3"/>
      <c r="E237" s="300" t="s">
        <v>22</v>
      </c>
      <c r="F237" s="300" t="s">
        <v>22</v>
      </c>
      <c r="G237" s="300" t="s">
        <v>22</v>
      </c>
    </row>
    <row r="238">
      <c r="B238" s="3"/>
      <c r="E238" s="300" t="s">
        <v>22</v>
      </c>
      <c r="F238" s="300" t="s">
        <v>22</v>
      </c>
      <c r="G238" s="300" t="s">
        <v>22</v>
      </c>
    </row>
    <row r="239">
      <c r="B239" s="3"/>
      <c r="E239" s="300" t="s">
        <v>22</v>
      </c>
      <c r="F239" s="300" t="s">
        <v>22</v>
      </c>
      <c r="G239" s="300" t="s">
        <v>22</v>
      </c>
    </row>
    <row r="240">
      <c r="B240" s="3"/>
      <c r="E240" s="300" t="s">
        <v>22</v>
      </c>
      <c r="F240" s="300" t="s">
        <v>22</v>
      </c>
      <c r="G240" s="300" t="s">
        <v>22</v>
      </c>
    </row>
    <row r="241">
      <c r="B241" s="3"/>
      <c r="E241" s="300" t="s">
        <v>22</v>
      </c>
      <c r="F241" s="300" t="s">
        <v>22</v>
      </c>
      <c r="G241" s="300" t="s">
        <v>22</v>
      </c>
    </row>
    <row r="242">
      <c r="B242" s="3"/>
      <c r="E242" s="300" t="s">
        <v>22</v>
      </c>
      <c r="F242" s="300" t="s">
        <v>22</v>
      </c>
      <c r="G242" s="300" t="s">
        <v>22</v>
      </c>
    </row>
    <row r="243">
      <c r="B243" s="3"/>
      <c r="E243" s="300" t="s">
        <v>22</v>
      </c>
      <c r="F243" s="300" t="s">
        <v>22</v>
      </c>
      <c r="G243" s="300" t="s">
        <v>22</v>
      </c>
    </row>
    <row r="244">
      <c r="B244" s="3"/>
      <c r="E244" s="300" t="s">
        <v>22</v>
      </c>
      <c r="F244" s="300" t="s">
        <v>22</v>
      </c>
      <c r="G244" s="300" t="s">
        <v>22</v>
      </c>
    </row>
    <row r="245">
      <c r="B245" s="3"/>
      <c r="E245" s="300" t="s">
        <v>22</v>
      </c>
      <c r="F245" s="300" t="s">
        <v>22</v>
      </c>
      <c r="G245" s="300" t="s">
        <v>22</v>
      </c>
    </row>
    <row r="246">
      <c r="B246" s="3"/>
      <c r="E246" s="300" t="s">
        <v>22</v>
      </c>
      <c r="F246" s="300" t="s">
        <v>22</v>
      </c>
      <c r="G246" s="300" t="s">
        <v>22</v>
      </c>
    </row>
    <row r="247">
      <c r="B247" s="3"/>
      <c r="E247" s="300" t="s">
        <v>22</v>
      </c>
      <c r="F247" s="300" t="s">
        <v>22</v>
      </c>
      <c r="G247" s="300" t="s">
        <v>22</v>
      </c>
    </row>
    <row r="248">
      <c r="B248" s="3"/>
      <c r="E248" s="300" t="s">
        <v>22</v>
      </c>
      <c r="F248" s="300" t="s">
        <v>22</v>
      </c>
      <c r="G248" s="300" t="s">
        <v>22</v>
      </c>
    </row>
    <row r="249">
      <c r="B249" s="3"/>
      <c r="E249" s="300" t="s">
        <v>22</v>
      </c>
      <c r="F249" s="300" t="s">
        <v>22</v>
      </c>
      <c r="G249" s="300" t="s">
        <v>22</v>
      </c>
    </row>
    <row r="250">
      <c r="B250" s="3"/>
      <c r="E250" s="300" t="s">
        <v>22</v>
      </c>
      <c r="F250" s="300" t="s">
        <v>22</v>
      </c>
      <c r="G250" s="300" t="s">
        <v>22</v>
      </c>
    </row>
    <row r="251">
      <c r="B251" s="3"/>
      <c r="E251" s="300" t="s">
        <v>22</v>
      </c>
      <c r="F251" s="300" t="s">
        <v>22</v>
      </c>
      <c r="G251" s="300" t="s">
        <v>22</v>
      </c>
    </row>
    <row r="252">
      <c r="B252" s="3"/>
      <c r="E252" s="300" t="s">
        <v>22</v>
      </c>
      <c r="F252" s="300" t="s">
        <v>22</v>
      </c>
      <c r="G252" s="300" t="s">
        <v>22</v>
      </c>
    </row>
    <row r="253">
      <c r="B253" s="3"/>
      <c r="E253" s="300" t="s">
        <v>22</v>
      </c>
      <c r="F253" s="300" t="s">
        <v>22</v>
      </c>
      <c r="G253" s="300" t="s">
        <v>22</v>
      </c>
    </row>
    <row r="254">
      <c r="B254" s="3"/>
      <c r="E254" s="300" t="s">
        <v>22</v>
      </c>
      <c r="F254" s="300" t="s">
        <v>22</v>
      </c>
      <c r="G254" s="300" t="s">
        <v>22</v>
      </c>
    </row>
    <row r="255">
      <c r="B255" s="3"/>
      <c r="E255" s="300" t="s">
        <v>22</v>
      </c>
      <c r="F255" s="300" t="s">
        <v>22</v>
      </c>
      <c r="G255" s="300" t="s">
        <v>22</v>
      </c>
    </row>
    <row r="256">
      <c r="B256" s="3"/>
      <c r="E256" s="300" t="s">
        <v>22</v>
      </c>
      <c r="F256" s="300" t="s">
        <v>22</v>
      </c>
      <c r="G256" s="300" t="s">
        <v>22</v>
      </c>
    </row>
    <row r="257">
      <c r="B257" s="3"/>
      <c r="E257" s="300" t="s">
        <v>22</v>
      </c>
      <c r="F257" s="300" t="s">
        <v>22</v>
      </c>
      <c r="G257" s="300" t="s">
        <v>22</v>
      </c>
    </row>
    <row r="258">
      <c r="B258" s="3"/>
      <c r="E258" s="300" t="s">
        <v>22</v>
      </c>
      <c r="F258" s="300" t="s">
        <v>22</v>
      </c>
      <c r="G258" s="300" t="s">
        <v>22</v>
      </c>
    </row>
    <row r="259">
      <c r="B259" s="3"/>
      <c r="E259" s="300" t="s">
        <v>22</v>
      </c>
      <c r="F259" s="300" t="s">
        <v>22</v>
      </c>
      <c r="G259" s="300" t="s">
        <v>22</v>
      </c>
    </row>
    <row r="260">
      <c r="B260" s="3"/>
      <c r="E260" s="300" t="s">
        <v>22</v>
      </c>
      <c r="F260" s="300" t="s">
        <v>22</v>
      </c>
      <c r="G260" s="300" t="s">
        <v>22</v>
      </c>
    </row>
    <row r="261">
      <c r="B261" s="3"/>
      <c r="E261" s="300" t="s">
        <v>22</v>
      </c>
      <c r="F261" s="300" t="s">
        <v>22</v>
      </c>
      <c r="G261" s="300" t="s">
        <v>22</v>
      </c>
    </row>
    <row r="262">
      <c r="B262" s="3"/>
      <c r="E262" s="300" t="s">
        <v>22</v>
      </c>
      <c r="F262" s="300" t="s">
        <v>22</v>
      </c>
      <c r="G262" s="300" t="s">
        <v>22</v>
      </c>
    </row>
    <row r="263">
      <c r="B263" s="3"/>
      <c r="E263" s="300" t="s">
        <v>22</v>
      </c>
      <c r="F263" s="300" t="s">
        <v>22</v>
      </c>
      <c r="G263" s="300" t="s">
        <v>22</v>
      </c>
    </row>
    <row r="264">
      <c r="B264" s="3"/>
      <c r="E264" s="300" t="s">
        <v>22</v>
      </c>
      <c r="F264" s="300" t="s">
        <v>22</v>
      </c>
      <c r="G264" s="300" t="s">
        <v>22</v>
      </c>
    </row>
    <row r="265">
      <c r="B265" s="3"/>
      <c r="E265" s="300" t="s">
        <v>22</v>
      </c>
      <c r="F265" s="300" t="s">
        <v>22</v>
      </c>
      <c r="G265" s="300" t="s">
        <v>22</v>
      </c>
    </row>
    <row r="266">
      <c r="B266" s="3"/>
      <c r="E266" s="300" t="s">
        <v>22</v>
      </c>
      <c r="F266" s="300" t="s">
        <v>22</v>
      </c>
      <c r="G266" s="300" t="s">
        <v>22</v>
      </c>
    </row>
    <row r="267">
      <c r="B267" s="3"/>
      <c r="E267" s="300" t="s">
        <v>22</v>
      </c>
      <c r="F267" s="300" t="s">
        <v>22</v>
      </c>
      <c r="G267" s="300" t="s">
        <v>22</v>
      </c>
    </row>
    <row r="268">
      <c r="B268" s="3"/>
      <c r="E268" s="300" t="s">
        <v>22</v>
      </c>
      <c r="F268" s="300" t="s">
        <v>22</v>
      </c>
      <c r="G268" s="300" t="s">
        <v>22</v>
      </c>
    </row>
    <row r="269">
      <c r="B269" s="3"/>
      <c r="E269" s="300" t="s">
        <v>22</v>
      </c>
      <c r="F269" s="300" t="s">
        <v>22</v>
      </c>
      <c r="G269" s="300" t="s">
        <v>22</v>
      </c>
    </row>
    <row r="270">
      <c r="B270" s="3"/>
      <c r="E270" s="300" t="s">
        <v>22</v>
      </c>
      <c r="F270" s="300" t="s">
        <v>22</v>
      </c>
      <c r="G270" s="300" t="s">
        <v>22</v>
      </c>
    </row>
    <row r="271">
      <c r="B271" s="3"/>
      <c r="E271" s="300" t="s">
        <v>22</v>
      </c>
      <c r="F271" s="300" t="s">
        <v>22</v>
      </c>
      <c r="G271" s="300" t="s">
        <v>22</v>
      </c>
    </row>
    <row r="272">
      <c r="B272" s="3"/>
      <c r="E272" s="300" t="s">
        <v>22</v>
      </c>
      <c r="F272" s="300" t="s">
        <v>22</v>
      </c>
      <c r="G272" s="300" t="s">
        <v>22</v>
      </c>
    </row>
    <row r="273">
      <c r="B273" s="3"/>
      <c r="E273" s="300" t="s">
        <v>22</v>
      </c>
      <c r="F273" s="300" t="s">
        <v>22</v>
      </c>
      <c r="G273" s="300" t="s">
        <v>22</v>
      </c>
    </row>
    <row r="274">
      <c r="B274" s="3"/>
      <c r="E274" s="300" t="s">
        <v>22</v>
      </c>
      <c r="F274" s="300" t="s">
        <v>22</v>
      </c>
      <c r="G274" s="300" t="s">
        <v>22</v>
      </c>
    </row>
    <row r="275">
      <c r="B275" s="3"/>
      <c r="E275" s="300" t="s">
        <v>22</v>
      </c>
      <c r="F275" s="300" t="s">
        <v>22</v>
      </c>
      <c r="G275" s="300" t="s">
        <v>22</v>
      </c>
    </row>
    <row r="276">
      <c r="B276" s="3"/>
      <c r="E276" s="300" t="s">
        <v>22</v>
      </c>
      <c r="F276" s="300" t="s">
        <v>22</v>
      </c>
      <c r="G276" s="300" t="s">
        <v>22</v>
      </c>
    </row>
    <row r="277">
      <c r="B277" s="3"/>
      <c r="E277" s="300" t="s">
        <v>22</v>
      </c>
      <c r="F277" s="300" t="s">
        <v>22</v>
      </c>
      <c r="G277" s="300" t="s">
        <v>22</v>
      </c>
    </row>
    <row r="278">
      <c r="B278" s="3"/>
      <c r="E278" s="300" t="s">
        <v>22</v>
      </c>
      <c r="F278" s="300" t="s">
        <v>22</v>
      </c>
      <c r="G278" s="300" t="s">
        <v>22</v>
      </c>
    </row>
    <row r="279">
      <c r="B279" s="3"/>
      <c r="E279" s="300" t="s">
        <v>22</v>
      </c>
      <c r="F279" s="300" t="s">
        <v>22</v>
      </c>
      <c r="G279" s="300" t="s">
        <v>22</v>
      </c>
    </row>
    <row r="280">
      <c r="B280" s="3"/>
      <c r="E280" s="300" t="s">
        <v>22</v>
      </c>
      <c r="F280" s="300" t="s">
        <v>22</v>
      </c>
      <c r="G280" s="300" t="s">
        <v>22</v>
      </c>
    </row>
    <row r="281">
      <c r="B281" s="3"/>
      <c r="E281" s="300" t="s">
        <v>22</v>
      </c>
      <c r="F281" s="300" t="s">
        <v>22</v>
      </c>
      <c r="G281" s="300" t="s">
        <v>22</v>
      </c>
    </row>
    <row r="282">
      <c r="B282" s="3"/>
      <c r="E282" s="300" t="s">
        <v>22</v>
      </c>
      <c r="F282" s="300" t="s">
        <v>22</v>
      </c>
      <c r="G282" s="300" t="s">
        <v>22</v>
      </c>
    </row>
    <row r="283">
      <c r="B283" s="3"/>
      <c r="E283" s="300" t="s">
        <v>22</v>
      </c>
      <c r="F283" s="300" t="s">
        <v>22</v>
      </c>
      <c r="G283" s="300" t="s">
        <v>22</v>
      </c>
    </row>
    <row r="284">
      <c r="B284" s="3"/>
      <c r="E284" s="300" t="s">
        <v>22</v>
      </c>
      <c r="F284" s="300" t="s">
        <v>22</v>
      </c>
      <c r="G284" s="300" t="s">
        <v>22</v>
      </c>
    </row>
    <row r="285">
      <c r="B285" s="3"/>
      <c r="E285" s="300" t="s">
        <v>22</v>
      </c>
      <c r="F285" s="300" t="s">
        <v>22</v>
      </c>
      <c r="G285" s="300" t="s">
        <v>22</v>
      </c>
    </row>
    <row r="286">
      <c r="B286" s="3"/>
      <c r="E286" s="300" t="s">
        <v>22</v>
      </c>
      <c r="F286" s="300" t="s">
        <v>22</v>
      </c>
      <c r="G286" s="300" t="s">
        <v>22</v>
      </c>
    </row>
    <row r="287">
      <c r="B287" s="3"/>
      <c r="E287" s="300" t="s">
        <v>22</v>
      </c>
      <c r="F287" s="300" t="s">
        <v>22</v>
      </c>
      <c r="G287" s="300" t="s">
        <v>22</v>
      </c>
    </row>
    <row r="288">
      <c r="B288" s="3"/>
      <c r="E288" s="300" t="s">
        <v>22</v>
      </c>
      <c r="F288" s="300" t="s">
        <v>22</v>
      </c>
      <c r="G288" s="300" t="s">
        <v>22</v>
      </c>
    </row>
    <row r="289">
      <c r="B289" s="3"/>
      <c r="E289" s="300" t="s">
        <v>22</v>
      </c>
      <c r="F289" s="300" t="s">
        <v>22</v>
      </c>
      <c r="G289" s="300" t="s">
        <v>22</v>
      </c>
    </row>
    <row r="290">
      <c r="B290" s="3"/>
      <c r="E290" s="300" t="s">
        <v>22</v>
      </c>
      <c r="F290" s="300" t="s">
        <v>22</v>
      </c>
      <c r="G290" s="300" t="s">
        <v>22</v>
      </c>
    </row>
    <row r="291">
      <c r="B291" s="3"/>
      <c r="E291" s="300" t="s">
        <v>22</v>
      </c>
      <c r="F291" s="300" t="s">
        <v>22</v>
      </c>
      <c r="G291" s="300" t="s">
        <v>22</v>
      </c>
    </row>
    <row r="292">
      <c r="B292" s="3"/>
      <c r="E292" s="300" t="s">
        <v>22</v>
      </c>
      <c r="F292" s="300" t="s">
        <v>22</v>
      </c>
      <c r="G292" s="300" t="s">
        <v>22</v>
      </c>
    </row>
    <row r="293">
      <c r="B293" s="3"/>
      <c r="E293" s="300" t="s">
        <v>22</v>
      </c>
      <c r="F293" s="300" t="s">
        <v>22</v>
      </c>
      <c r="G293" s="300" t="s">
        <v>22</v>
      </c>
    </row>
    <row r="294">
      <c r="B294" s="3"/>
      <c r="E294" s="300" t="s">
        <v>22</v>
      </c>
      <c r="F294" s="300" t="s">
        <v>22</v>
      </c>
      <c r="G294" s="300" t="s">
        <v>22</v>
      </c>
    </row>
    <row r="295">
      <c r="B295" s="3"/>
      <c r="E295" s="300" t="s">
        <v>22</v>
      </c>
      <c r="F295" s="300" t="s">
        <v>22</v>
      </c>
      <c r="G295" s="300" t="s">
        <v>22</v>
      </c>
    </row>
    <row r="296">
      <c r="B296" s="3"/>
      <c r="E296" s="300" t="s">
        <v>22</v>
      </c>
      <c r="F296" s="300" t="s">
        <v>22</v>
      </c>
      <c r="G296" s="300" t="s">
        <v>22</v>
      </c>
    </row>
    <row r="297">
      <c r="B297" s="3"/>
      <c r="E297" s="300" t="s">
        <v>22</v>
      </c>
      <c r="F297" s="300" t="s">
        <v>22</v>
      </c>
      <c r="G297" s="300" t="s">
        <v>22</v>
      </c>
    </row>
    <row r="298">
      <c r="B298" s="3"/>
      <c r="E298" s="300" t="s">
        <v>22</v>
      </c>
      <c r="F298" s="300" t="s">
        <v>22</v>
      </c>
      <c r="G298" s="300" t="s">
        <v>22</v>
      </c>
    </row>
    <row r="299">
      <c r="B299" s="3"/>
      <c r="E299" s="300" t="s">
        <v>22</v>
      </c>
      <c r="F299" s="300" t="s">
        <v>22</v>
      </c>
      <c r="G299" s="300" t="s">
        <v>22</v>
      </c>
    </row>
    <row r="300">
      <c r="B300" s="3"/>
      <c r="E300" s="300" t="s">
        <v>22</v>
      </c>
      <c r="F300" s="300" t="s">
        <v>22</v>
      </c>
      <c r="G300" s="300" t="s">
        <v>22</v>
      </c>
    </row>
    <row r="301">
      <c r="B301" s="3"/>
      <c r="E301" s="300" t="s">
        <v>22</v>
      </c>
      <c r="F301" s="300" t="s">
        <v>22</v>
      </c>
      <c r="G301" s="300" t="s">
        <v>22</v>
      </c>
    </row>
    <row r="302">
      <c r="B302" s="3"/>
      <c r="E302" s="300" t="s">
        <v>22</v>
      </c>
      <c r="F302" s="300" t="s">
        <v>22</v>
      </c>
      <c r="G302" s="300" t="s">
        <v>22</v>
      </c>
    </row>
    <row r="303">
      <c r="B303" s="3"/>
      <c r="E303" s="300" t="s">
        <v>22</v>
      </c>
      <c r="F303" s="300" t="s">
        <v>22</v>
      </c>
      <c r="G303" s="300" t="s">
        <v>22</v>
      </c>
    </row>
    <row r="304">
      <c r="B304" s="3"/>
      <c r="E304" s="300" t="s">
        <v>22</v>
      </c>
      <c r="F304" s="300" t="s">
        <v>22</v>
      </c>
      <c r="G304" s="300" t="s">
        <v>22</v>
      </c>
    </row>
    <row r="305">
      <c r="B305" s="3"/>
      <c r="E305" s="300" t="s">
        <v>22</v>
      </c>
      <c r="F305" s="300" t="s">
        <v>22</v>
      </c>
      <c r="G305" s="300" t="s">
        <v>22</v>
      </c>
    </row>
    <row r="306">
      <c r="B306" s="3"/>
      <c r="E306" s="300" t="s">
        <v>22</v>
      </c>
      <c r="F306" s="300" t="s">
        <v>22</v>
      </c>
      <c r="G306" s="300" t="s">
        <v>22</v>
      </c>
    </row>
    <row r="307">
      <c r="B307" s="3"/>
      <c r="E307" s="300" t="s">
        <v>22</v>
      </c>
      <c r="F307" s="300" t="s">
        <v>22</v>
      </c>
      <c r="G307" s="300" t="s">
        <v>22</v>
      </c>
    </row>
    <row r="308">
      <c r="B308" s="3"/>
      <c r="E308" s="300" t="s">
        <v>22</v>
      </c>
      <c r="F308" s="300" t="s">
        <v>22</v>
      </c>
      <c r="G308" s="300" t="s">
        <v>22</v>
      </c>
    </row>
    <row r="309">
      <c r="B309" s="3"/>
      <c r="E309" s="300" t="s">
        <v>22</v>
      </c>
      <c r="F309" s="300" t="s">
        <v>22</v>
      </c>
      <c r="G309" s="300" t="s">
        <v>22</v>
      </c>
    </row>
    <row r="310">
      <c r="B310" s="3"/>
      <c r="E310" s="300" t="s">
        <v>22</v>
      </c>
      <c r="F310" s="300" t="s">
        <v>22</v>
      </c>
      <c r="G310" s="300" t="s">
        <v>22</v>
      </c>
    </row>
    <row r="311">
      <c r="B311" s="3"/>
      <c r="E311" s="300" t="s">
        <v>22</v>
      </c>
      <c r="F311" s="300" t="s">
        <v>22</v>
      </c>
      <c r="G311" s="300" t="s">
        <v>22</v>
      </c>
    </row>
    <row r="312">
      <c r="B312" s="3"/>
      <c r="E312" s="300" t="s">
        <v>22</v>
      </c>
      <c r="F312" s="300" t="s">
        <v>22</v>
      </c>
      <c r="G312" s="300" t="s">
        <v>22</v>
      </c>
    </row>
    <row r="313">
      <c r="B313" s="3"/>
      <c r="E313" s="300" t="s">
        <v>22</v>
      </c>
      <c r="F313" s="300" t="s">
        <v>22</v>
      </c>
      <c r="G313" s="300" t="s">
        <v>22</v>
      </c>
    </row>
    <row r="314">
      <c r="B314" s="3"/>
      <c r="E314" s="300" t="s">
        <v>22</v>
      </c>
      <c r="F314" s="300" t="s">
        <v>22</v>
      </c>
      <c r="G314" s="300" t="s">
        <v>22</v>
      </c>
    </row>
    <row r="315">
      <c r="B315" s="3"/>
      <c r="E315" s="300" t="s">
        <v>22</v>
      </c>
      <c r="F315" s="300" t="s">
        <v>22</v>
      </c>
      <c r="G315" s="300" t="s">
        <v>22</v>
      </c>
    </row>
    <row r="316">
      <c r="B316" s="3"/>
      <c r="E316" s="300" t="s">
        <v>22</v>
      </c>
      <c r="F316" s="300" t="s">
        <v>22</v>
      </c>
      <c r="G316" s="300" t="s">
        <v>22</v>
      </c>
    </row>
    <row r="317">
      <c r="B317" s="3"/>
      <c r="E317" s="300" t="s">
        <v>22</v>
      </c>
      <c r="F317" s="300" t="s">
        <v>22</v>
      </c>
      <c r="G317" s="300" t="s">
        <v>22</v>
      </c>
    </row>
    <row r="318">
      <c r="B318" s="3"/>
      <c r="E318" s="300" t="s">
        <v>22</v>
      </c>
      <c r="F318" s="300" t="s">
        <v>22</v>
      </c>
      <c r="G318" s="300" t="s">
        <v>22</v>
      </c>
    </row>
    <row r="319">
      <c r="B319" s="3"/>
      <c r="E319" s="300" t="s">
        <v>22</v>
      </c>
      <c r="F319" s="300" t="s">
        <v>22</v>
      </c>
      <c r="G319" s="300" t="s">
        <v>22</v>
      </c>
    </row>
    <row r="320">
      <c r="B320" s="3"/>
      <c r="E320" s="300" t="s">
        <v>22</v>
      </c>
      <c r="F320" s="300" t="s">
        <v>22</v>
      </c>
      <c r="G320" s="300" t="s">
        <v>22</v>
      </c>
    </row>
    <row r="321">
      <c r="B321" s="3"/>
      <c r="E321" s="300" t="s">
        <v>22</v>
      </c>
      <c r="F321" s="300" t="s">
        <v>22</v>
      </c>
      <c r="G321" s="300" t="s">
        <v>22</v>
      </c>
    </row>
    <row r="322">
      <c r="B322" s="3"/>
      <c r="E322" s="300" t="s">
        <v>22</v>
      </c>
      <c r="F322" s="300" t="s">
        <v>22</v>
      </c>
      <c r="G322" s="300" t="s">
        <v>22</v>
      </c>
    </row>
    <row r="323">
      <c r="B323" s="3"/>
      <c r="E323" s="300" t="s">
        <v>22</v>
      </c>
      <c r="F323" s="300" t="s">
        <v>22</v>
      </c>
      <c r="G323" s="300" t="s">
        <v>22</v>
      </c>
    </row>
    <row r="324">
      <c r="B324" s="3"/>
      <c r="E324" s="300" t="s">
        <v>22</v>
      </c>
      <c r="F324" s="300" t="s">
        <v>22</v>
      </c>
      <c r="G324" s="300" t="s">
        <v>22</v>
      </c>
    </row>
    <row r="325">
      <c r="B325" s="3"/>
      <c r="E325" s="300" t="s">
        <v>22</v>
      </c>
      <c r="F325" s="300" t="s">
        <v>22</v>
      </c>
      <c r="G325" s="300" t="s">
        <v>22</v>
      </c>
    </row>
    <row r="326">
      <c r="B326" s="3"/>
      <c r="E326" s="300" t="s">
        <v>22</v>
      </c>
      <c r="F326" s="300" t="s">
        <v>22</v>
      </c>
      <c r="G326" s="300" t="s">
        <v>22</v>
      </c>
    </row>
    <row r="327">
      <c r="B327" s="3"/>
      <c r="E327" s="300" t="s">
        <v>22</v>
      </c>
      <c r="F327" s="300" t="s">
        <v>22</v>
      </c>
      <c r="G327" s="300" t="s">
        <v>22</v>
      </c>
    </row>
    <row r="328">
      <c r="B328" s="3"/>
      <c r="E328" s="300" t="s">
        <v>22</v>
      </c>
      <c r="F328" s="300" t="s">
        <v>22</v>
      </c>
      <c r="G328" s="300" t="s">
        <v>22</v>
      </c>
    </row>
    <row r="329">
      <c r="B329" s="3"/>
      <c r="E329" s="300" t="s">
        <v>22</v>
      </c>
      <c r="F329" s="300" t="s">
        <v>22</v>
      </c>
      <c r="G329" s="300" t="s">
        <v>22</v>
      </c>
    </row>
    <row r="330">
      <c r="B330" s="3"/>
      <c r="E330" s="300" t="s">
        <v>22</v>
      </c>
      <c r="F330" s="300" t="s">
        <v>22</v>
      </c>
      <c r="G330" s="300" t="s">
        <v>22</v>
      </c>
    </row>
    <row r="331">
      <c r="B331" s="3"/>
      <c r="E331" s="300" t="s">
        <v>22</v>
      </c>
      <c r="F331" s="300" t="s">
        <v>22</v>
      </c>
      <c r="G331" s="300" t="s">
        <v>22</v>
      </c>
    </row>
    <row r="332">
      <c r="B332" s="3"/>
      <c r="E332" s="300" t="s">
        <v>22</v>
      </c>
      <c r="F332" s="300" t="s">
        <v>22</v>
      </c>
      <c r="G332" s="300" t="s">
        <v>22</v>
      </c>
    </row>
    <row r="333">
      <c r="B333" s="3"/>
      <c r="E333" s="300" t="s">
        <v>22</v>
      </c>
      <c r="F333" s="300" t="s">
        <v>22</v>
      </c>
      <c r="G333" s="300" t="s">
        <v>22</v>
      </c>
    </row>
    <row r="334">
      <c r="B334" s="3"/>
      <c r="E334" s="300" t="s">
        <v>22</v>
      </c>
      <c r="F334" s="300" t="s">
        <v>22</v>
      </c>
      <c r="G334" s="300" t="s">
        <v>22</v>
      </c>
    </row>
    <row r="335">
      <c r="B335" s="3"/>
      <c r="E335" s="300" t="s">
        <v>22</v>
      </c>
      <c r="F335" s="300" t="s">
        <v>22</v>
      </c>
      <c r="G335" s="300" t="s">
        <v>22</v>
      </c>
    </row>
    <row r="336">
      <c r="B336" s="3"/>
      <c r="E336" s="300" t="s">
        <v>22</v>
      </c>
      <c r="F336" s="300" t="s">
        <v>22</v>
      </c>
      <c r="G336" s="300" t="s">
        <v>22</v>
      </c>
    </row>
    <row r="337">
      <c r="B337" s="3"/>
      <c r="E337" s="300" t="s">
        <v>22</v>
      </c>
      <c r="F337" s="300" t="s">
        <v>22</v>
      </c>
      <c r="G337" s="300" t="s">
        <v>22</v>
      </c>
    </row>
    <row r="338">
      <c r="B338" s="3"/>
      <c r="E338" s="300" t="s">
        <v>22</v>
      </c>
      <c r="F338" s="300" t="s">
        <v>22</v>
      </c>
      <c r="G338" s="300" t="s">
        <v>22</v>
      </c>
    </row>
    <row r="339">
      <c r="B339" s="3"/>
      <c r="E339" s="300" t="s">
        <v>22</v>
      </c>
      <c r="F339" s="300" t="s">
        <v>22</v>
      </c>
      <c r="G339" s="300" t="s">
        <v>22</v>
      </c>
    </row>
    <row r="340">
      <c r="B340" s="3"/>
      <c r="E340" s="300" t="s">
        <v>22</v>
      </c>
      <c r="F340" s="300" t="s">
        <v>22</v>
      </c>
      <c r="G340" s="300" t="s">
        <v>22</v>
      </c>
    </row>
    <row r="341">
      <c r="B341" s="3"/>
      <c r="E341" s="300" t="s">
        <v>22</v>
      </c>
      <c r="F341" s="300" t="s">
        <v>22</v>
      </c>
      <c r="G341" s="300" t="s">
        <v>22</v>
      </c>
    </row>
    <row r="342">
      <c r="B342" s="3"/>
      <c r="E342" s="300" t="s">
        <v>22</v>
      </c>
      <c r="F342" s="300" t="s">
        <v>22</v>
      </c>
      <c r="G342" s="300" t="s">
        <v>22</v>
      </c>
    </row>
    <row r="343">
      <c r="B343" s="3"/>
      <c r="E343" s="300" t="s">
        <v>22</v>
      </c>
      <c r="F343" s="300" t="s">
        <v>22</v>
      </c>
      <c r="G343" s="300" t="s">
        <v>22</v>
      </c>
    </row>
    <row r="344">
      <c r="B344" s="3"/>
      <c r="E344" s="300" t="s">
        <v>22</v>
      </c>
      <c r="F344" s="300" t="s">
        <v>22</v>
      </c>
      <c r="G344" s="300" t="s">
        <v>22</v>
      </c>
    </row>
    <row r="345">
      <c r="B345" s="3"/>
      <c r="E345" s="300" t="s">
        <v>22</v>
      </c>
      <c r="F345" s="300" t="s">
        <v>22</v>
      </c>
      <c r="G345" s="300" t="s">
        <v>22</v>
      </c>
    </row>
    <row r="346">
      <c r="B346" s="3"/>
      <c r="E346" s="300" t="s">
        <v>22</v>
      </c>
      <c r="F346" s="300" t="s">
        <v>22</v>
      </c>
      <c r="G346" s="300" t="s">
        <v>22</v>
      </c>
    </row>
    <row r="347">
      <c r="B347" s="3"/>
      <c r="E347" s="300" t="s">
        <v>22</v>
      </c>
      <c r="F347" s="300" t="s">
        <v>22</v>
      </c>
      <c r="G347" s="300" t="s">
        <v>22</v>
      </c>
    </row>
    <row r="348">
      <c r="B348" s="3"/>
      <c r="E348" s="300" t="s">
        <v>22</v>
      </c>
      <c r="F348" s="300" t="s">
        <v>22</v>
      </c>
      <c r="G348" s="300" t="s">
        <v>22</v>
      </c>
    </row>
    <row r="349">
      <c r="B349" s="3"/>
      <c r="E349" s="300" t="s">
        <v>22</v>
      </c>
      <c r="F349" s="300" t="s">
        <v>22</v>
      </c>
      <c r="G349" s="300" t="s">
        <v>22</v>
      </c>
    </row>
    <row r="350">
      <c r="B350" s="3"/>
      <c r="E350" s="300" t="s">
        <v>22</v>
      </c>
      <c r="F350" s="300" t="s">
        <v>22</v>
      </c>
      <c r="G350" s="300" t="s">
        <v>22</v>
      </c>
    </row>
    <row r="351">
      <c r="B351" s="3"/>
      <c r="E351" s="300" t="s">
        <v>22</v>
      </c>
      <c r="F351" s="300" t="s">
        <v>22</v>
      </c>
      <c r="G351" s="300" t="s">
        <v>22</v>
      </c>
    </row>
    <row r="352">
      <c r="B352" s="3"/>
      <c r="E352" s="300" t="s">
        <v>22</v>
      </c>
      <c r="F352" s="300" t="s">
        <v>22</v>
      </c>
      <c r="G352" s="300" t="s">
        <v>22</v>
      </c>
    </row>
    <row r="353">
      <c r="B353" s="3"/>
      <c r="E353" s="300" t="s">
        <v>22</v>
      </c>
      <c r="F353" s="300" t="s">
        <v>22</v>
      </c>
      <c r="G353" s="300" t="s">
        <v>22</v>
      </c>
    </row>
    <row r="354">
      <c r="B354" s="3"/>
      <c r="E354" s="300" t="s">
        <v>22</v>
      </c>
      <c r="F354" s="300" t="s">
        <v>22</v>
      </c>
      <c r="G354" s="300" t="s">
        <v>22</v>
      </c>
    </row>
    <row r="355">
      <c r="B355" s="3"/>
      <c r="E355" s="300" t="s">
        <v>22</v>
      </c>
      <c r="F355" s="300" t="s">
        <v>22</v>
      </c>
      <c r="G355" s="300" t="s">
        <v>22</v>
      </c>
    </row>
    <row r="356">
      <c r="B356" s="3"/>
      <c r="E356" s="300" t="s">
        <v>22</v>
      </c>
      <c r="F356" s="300" t="s">
        <v>22</v>
      </c>
      <c r="G356" s="300" t="s">
        <v>22</v>
      </c>
    </row>
    <row r="357">
      <c r="B357" s="3"/>
      <c r="E357" s="300" t="s">
        <v>22</v>
      </c>
      <c r="F357" s="300" t="s">
        <v>22</v>
      </c>
      <c r="G357" s="300" t="s">
        <v>22</v>
      </c>
    </row>
    <row r="358">
      <c r="B358" s="3"/>
      <c r="E358" s="300" t="s">
        <v>22</v>
      </c>
      <c r="F358" s="300" t="s">
        <v>22</v>
      </c>
      <c r="G358" s="300" t="s">
        <v>22</v>
      </c>
    </row>
    <row r="359">
      <c r="B359" s="3"/>
      <c r="E359" s="300" t="s">
        <v>22</v>
      </c>
      <c r="F359" s="300" t="s">
        <v>22</v>
      </c>
      <c r="G359" s="300" t="s">
        <v>22</v>
      </c>
    </row>
    <row r="360">
      <c r="B360" s="3"/>
      <c r="E360" s="300" t="s">
        <v>22</v>
      </c>
      <c r="F360" s="300" t="s">
        <v>22</v>
      </c>
      <c r="G360" s="300" t="s">
        <v>22</v>
      </c>
    </row>
    <row r="361">
      <c r="B361" s="3"/>
      <c r="E361" s="300" t="s">
        <v>22</v>
      </c>
      <c r="F361" s="300" t="s">
        <v>22</v>
      </c>
      <c r="G361" s="300" t="s">
        <v>22</v>
      </c>
    </row>
    <row r="362">
      <c r="B362" s="3"/>
      <c r="E362" s="300" t="s">
        <v>22</v>
      </c>
      <c r="F362" s="300" t="s">
        <v>22</v>
      </c>
      <c r="G362" s="300" t="s">
        <v>22</v>
      </c>
    </row>
    <row r="363">
      <c r="B363" s="3"/>
      <c r="E363" s="300" t="s">
        <v>22</v>
      </c>
      <c r="F363" s="300" t="s">
        <v>22</v>
      </c>
      <c r="G363" s="300" t="s">
        <v>22</v>
      </c>
    </row>
    <row r="364">
      <c r="B364" s="3"/>
      <c r="E364" s="300" t="s">
        <v>22</v>
      </c>
      <c r="F364" s="300" t="s">
        <v>22</v>
      </c>
      <c r="G364" s="300" t="s">
        <v>22</v>
      </c>
    </row>
    <row r="365">
      <c r="B365" s="3"/>
      <c r="E365" s="300" t="s">
        <v>22</v>
      </c>
      <c r="F365" s="300" t="s">
        <v>22</v>
      </c>
      <c r="G365" s="300" t="s">
        <v>22</v>
      </c>
    </row>
    <row r="366">
      <c r="B366" s="3"/>
      <c r="E366" s="300" t="s">
        <v>22</v>
      </c>
      <c r="F366" s="300" t="s">
        <v>22</v>
      </c>
      <c r="G366" s="300" t="s">
        <v>22</v>
      </c>
    </row>
    <row r="367">
      <c r="B367" s="3"/>
      <c r="E367" s="300" t="s">
        <v>22</v>
      </c>
      <c r="F367" s="300" t="s">
        <v>22</v>
      </c>
      <c r="G367" s="300" t="s">
        <v>22</v>
      </c>
    </row>
    <row r="368">
      <c r="B368" s="3"/>
      <c r="E368" s="300" t="s">
        <v>22</v>
      </c>
      <c r="F368" s="300" t="s">
        <v>22</v>
      </c>
      <c r="G368" s="300" t="s">
        <v>22</v>
      </c>
    </row>
    <row r="369">
      <c r="B369" s="3"/>
      <c r="E369" s="300" t="s">
        <v>22</v>
      </c>
      <c r="F369" s="300" t="s">
        <v>22</v>
      </c>
      <c r="G369" s="300" t="s">
        <v>22</v>
      </c>
    </row>
    <row r="370">
      <c r="B370" s="3"/>
      <c r="E370" s="300" t="s">
        <v>22</v>
      </c>
      <c r="F370" s="300" t="s">
        <v>22</v>
      </c>
      <c r="G370" s="300" t="s">
        <v>22</v>
      </c>
    </row>
    <row r="371">
      <c r="B371" s="3"/>
      <c r="E371" s="300" t="s">
        <v>22</v>
      </c>
      <c r="F371" s="300" t="s">
        <v>22</v>
      </c>
      <c r="G371" s="300" t="s">
        <v>22</v>
      </c>
    </row>
    <row r="372">
      <c r="B372" s="3"/>
      <c r="E372" s="300" t="s">
        <v>22</v>
      </c>
      <c r="F372" s="300" t="s">
        <v>22</v>
      </c>
      <c r="G372" s="300" t="s">
        <v>22</v>
      </c>
    </row>
    <row r="373">
      <c r="B373" s="3"/>
      <c r="E373" s="300" t="s">
        <v>22</v>
      </c>
      <c r="F373" s="300" t="s">
        <v>22</v>
      </c>
      <c r="G373" s="300" t="s">
        <v>22</v>
      </c>
    </row>
    <row r="374">
      <c r="B374" s="3"/>
      <c r="E374" s="300" t="s">
        <v>22</v>
      </c>
      <c r="F374" s="300" t="s">
        <v>22</v>
      </c>
      <c r="G374" s="300" t="s">
        <v>22</v>
      </c>
    </row>
    <row r="375">
      <c r="B375" s="3"/>
      <c r="E375" s="300" t="s">
        <v>22</v>
      </c>
      <c r="F375" s="300" t="s">
        <v>22</v>
      </c>
      <c r="G375" s="300" t="s">
        <v>22</v>
      </c>
    </row>
    <row r="376">
      <c r="B376" s="3"/>
      <c r="E376" s="300" t="s">
        <v>22</v>
      </c>
      <c r="F376" s="300" t="s">
        <v>22</v>
      </c>
      <c r="G376" s="300" t="s">
        <v>22</v>
      </c>
    </row>
    <row r="377">
      <c r="B377" s="3"/>
      <c r="E377" s="300" t="s">
        <v>22</v>
      </c>
      <c r="F377" s="300" t="s">
        <v>22</v>
      </c>
      <c r="G377" s="300" t="s">
        <v>22</v>
      </c>
    </row>
    <row r="378">
      <c r="B378" s="3"/>
      <c r="E378" s="300" t="s">
        <v>22</v>
      </c>
      <c r="F378" s="300" t="s">
        <v>22</v>
      </c>
      <c r="G378" s="300" t="s">
        <v>22</v>
      </c>
    </row>
    <row r="379">
      <c r="B379" s="3"/>
      <c r="E379" s="300" t="s">
        <v>22</v>
      </c>
      <c r="F379" s="300" t="s">
        <v>22</v>
      </c>
      <c r="G379" s="300" t="s">
        <v>22</v>
      </c>
    </row>
    <row r="380">
      <c r="B380" s="3"/>
      <c r="E380" s="300" t="s">
        <v>22</v>
      </c>
      <c r="F380" s="300" t="s">
        <v>22</v>
      </c>
      <c r="G380" s="300" t="s">
        <v>22</v>
      </c>
    </row>
    <row r="381">
      <c r="B381" s="3"/>
      <c r="E381" s="300" t="s">
        <v>22</v>
      </c>
      <c r="F381" s="300" t="s">
        <v>22</v>
      </c>
      <c r="G381" s="300" t="s">
        <v>22</v>
      </c>
    </row>
    <row r="382">
      <c r="B382" s="3"/>
      <c r="E382" s="300" t="s">
        <v>22</v>
      </c>
      <c r="F382" s="300" t="s">
        <v>22</v>
      </c>
      <c r="G382" s="300" t="s">
        <v>22</v>
      </c>
    </row>
    <row r="383">
      <c r="B383" s="3"/>
      <c r="E383" s="300" t="s">
        <v>22</v>
      </c>
      <c r="F383" s="300" t="s">
        <v>22</v>
      </c>
      <c r="G383" s="300" t="s">
        <v>22</v>
      </c>
    </row>
    <row r="384">
      <c r="B384" s="3"/>
      <c r="E384" s="300" t="s">
        <v>22</v>
      </c>
      <c r="F384" s="300" t="s">
        <v>22</v>
      </c>
      <c r="G384" s="300" t="s">
        <v>22</v>
      </c>
    </row>
    <row r="385">
      <c r="B385" s="3"/>
      <c r="E385" s="300" t="s">
        <v>22</v>
      </c>
      <c r="F385" s="300" t="s">
        <v>22</v>
      </c>
      <c r="G385" s="300" t="s">
        <v>22</v>
      </c>
    </row>
    <row r="386">
      <c r="B386" s="3"/>
      <c r="E386" s="300" t="s">
        <v>22</v>
      </c>
      <c r="F386" s="300" t="s">
        <v>22</v>
      </c>
      <c r="G386" s="300" t="s">
        <v>22</v>
      </c>
    </row>
    <row r="387">
      <c r="B387" s="3"/>
      <c r="E387" s="300" t="s">
        <v>22</v>
      </c>
      <c r="F387" s="300" t="s">
        <v>22</v>
      </c>
      <c r="G387" s="300" t="s">
        <v>22</v>
      </c>
    </row>
    <row r="388">
      <c r="B388" s="3"/>
      <c r="E388" s="300" t="s">
        <v>22</v>
      </c>
      <c r="F388" s="300" t="s">
        <v>22</v>
      </c>
      <c r="G388" s="300" t="s">
        <v>22</v>
      </c>
    </row>
    <row r="389">
      <c r="B389" s="3"/>
      <c r="E389" s="300" t="s">
        <v>22</v>
      </c>
      <c r="F389" s="300" t="s">
        <v>22</v>
      </c>
      <c r="G389" s="300" t="s">
        <v>22</v>
      </c>
    </row>
    <row r="390">
      <c r="B390" s="3"/>
      <c r="E390" s="300" t="s">
        <v>22</v>
      </c>
      <c r="F390" s="300" t="s">
        <v>22</v>
      </c>
      <c r="G390" s="300" t="s">
        <v>22</v>
      </c>
    </row>
    <row r="391">
      <c r="B391" s="3"/>
      <c r="E391" s="300" t="s">
        <v>22</v>
      </c>
      <c r="F391" s="300" t="s">
        <v>22</v>
      </c>
      <c r="G391" s="300" t="s">
        <v>22</v>
      </c>
    </row>
    <row r="392">
      <c r="B392" s="3"/>
      <c r="E392" s="300" t="s">
        <v>22</v>
      </c>
      <c r="F392" s="300" t="s">
        <v>22</v>
      </c>
      <c r="G392" s="300" t="s">
        <v>22</v>
      </c>
    </row>
    <row r="393">
      <c r="B393" s="3"/>
      <c r="E393" s="300" t="s">
        <v>22</v>
      </c>
      <c r="F393" s="300" t="s">
        <v>22</v>
      </c>
      <c r="G393" s="300" t="s">
        <v>22</v>
      </c>
    </row>
    <row r="394">
      <c r="B394" s="3"/>
      <c r="E394" s="300" t="s">
        <v>22</v>
      </c>
      <c r="F394" s="300" t="s">
        <v>22</v>
      </c>
      <c r="G394" s="300" t="s">
        <v>22</v>
      </c>
    </row>
    <row r="395">
      <c r="B395" s="3"/>
      <c r="E395" s="300" t="s">
        <v>22</v>
      </c>
      <c r="F395" s="300" t="s">
        <v>22</v>
      </c>
      <c r="G395" s="300" t="s">
        <v>22</v>
      </c>
    </row>
    <row r="396">
      <c r="B396" s="3"/>
      <c r="E396" s="300" t="s">
        <v>22</v>
      </c>
      <c r="F396" s="300" t="s">
        <v>22</v>
      </c>
      <c r="G396" s="300" t="s">
        <v>22</v>
      </c>
    </row>
    <row r="397">
      <c r="B397" s="3"/>
      <c r="E397" s="300" t="s">
        <v>22</v>
      </c>
      <c r="F397" s="300" t="s">
        <v>22</v>
      </c>
      <c r="G397" s="300" t="s">
        <v>22</v>
      </c>
    </row>
    <row r="398">
      <c r="B398" s="3"/>
      <c r="E398" s="300" t="s">
        <v>22</v>
      </c>
      <c r="F398" s="300" t="s">
        <v>22</v>
      </c>
      <c r="G398" s="300" t="s">
        <v>22</v>
      </c>
    </row>
    <row r="399">
      <c r="B399" s="3"/>
      <c r="E399" s="300" t="s">
        <v>22</v>
      </c>
      <c r="F399" s="300" t="s">
        <v>22</v>
      </c>
      <c r="G399" s="300" t="s">
        <v>22</v>
      </c>
    </row>
    <row r="400">
      <c r="B400" s="3"/>
      <c r="E400" s="300" t="s">
        <v>22</v>
      </c>
      <c r="F400" s="300" t="s">
        <v>22</v>
      </c>
      <c r="G400" s="300" t="s">
        <v>22</v>
      </c>
    </row>
    <row r="401">
      <c r="B401" s="3"/>
      <c r="E401" s="300" t="s">
        <v>22</v>
      </c>
      <c r="F401" s="300" t="s">
        <v>22</v>
      </c>
      <c r="G401" s="300" t="s">
        <v>22</v>
      </c>
    </row>
    <row r="402">
      <c r="B402" s="3"/>
      <c r="E402" s="300" t="s">
        <v>22</v>
      </c>
      <c r="F402" s="300" t="s">
        <v>22</v>
      </c>
      <c r="G402" s="300" t="s">
        <v>22</v>
      </c>
    </row>
    <row r="403">
      <c r="B403" s="3"/>
      <c r="E403" s="300" t="s">
        <v>22</v>
      </c>
      <c r="F403" s="300" t="s">
        <v>22</v>
      </c>
      <c r="G403" s="300" t="s">
        <v>22</v>
      </c>
    </row>
    <row r="404">
      <c r="B404" s="3"/>
      <c r="E404" s="300" t="s">
        <v>22</v>
      </c>
      <c r="F404" s="300" t="s">
        <v>22</v>
      </c>
      <c r="G404" s="300" t="s">
        <v>22</v>
      </c>
    </row>
    <row r="405">
      <c r="B405" s="3"/>
      <c r="E405" s="300" t="s">
        <v>22</v>
      </c>
      <c r="F405" s="300" t="s">
        <v>22</v>
      </c>
      <c r="G405" s="300" t="s">
        <v>22</v>
      </c>
    </row>
    <row r="406">
      <c r="B406" s="3"/>
      <c r="E406" s="300" t="s">
        <v>22</v>
      </c>
      <c r="F406" s="300" t="s">
        <v>22</v>
      </c>
      <c r="G406" s="300" t="s">
        <v>22</v>
      </c>
    </row>
    <row r="407">
      <c r="B407" s="3"/>
      <c r="E407" s="300" t="s">
        <v>22</v>
      </c>
      <c r="F407" s="300" t="s">
        <v>22</v>
      </c>
      <c r="G407" s="300" t="s">
        <v>22</v>
      </c>
    </row>
    <row r="408">
      <c r="B408" s="3"/>
      <c r="E408" s="300" t="s">
        <v>22</v>
      </c>
      <c r="F408" s="300" t="s">
        <v>22</v>
      </c>
      <c r="G408" s="300" t="s">
        <v>22</v>
      </c>
    </row>
    <row r="409">
      <c r="B409" s="3"/>
      <c r="E409" s="300" t="s">
        <v>22</v>
      </c>
      <c r="F409" s="300" t="s">
        <v>22</v>
      </c>
      <c r="G409" s="300" t="s">
        <v>22</v>
      </c>
    </row>
    <row r="410">
      <c r="B410" s="3"/>
      <c r="E410" s="300" t="s">
        <v>22</v>
      </c>
      <c r="F410" s="300" t="s">
        <v>22</v>
      </c>
      <c r="G410" s="300" t="s">
        <v>22</v>
      </c>
    </row>
    <row r="411">
      <c r="B411" s="3"/>
      <c r="E411" s="300" t="s">
        <v>22</v>
      </c>
      <c r="F411" s="300" t="s">
        <v>22</v>
      </c>
      <c r="G411" s="300" t="s">
        <v>22</v>
      </c>
    </row>
    <row r="412">
      <c r="B412" s="3"/>
      <c r="E412" s="300" t="s">
        <v>22</v>
      </c>
      <c r="F412" s="300" t="s">
        <v>22</v>
      </c>
      <c r="G412" s="300" t="s">
        <v>22</v>
      </c>
    </row>
    <row r="413">
      <c r="B413" s="3"/>
      <c r="E413" s="300" t="s">
        <v>22</v>
      </c>
      <c r="F413" s="300" t="s">
        <v>22</v>
      </c>
      <c r="G413" s="300" t="s">
        <v>22</v>
      </c>
    </row>
    <row r="414">
      <c r="B414" s="3"/>
      <c r="E414" s="300" t="s">
        <v>22</v>
      </c>
      <c r="F414" s="300" t="s">
        <v>22</v>
      </c>
      <c r="G414" s="300" t="s">
        <v>22</v>
      </c>
    </row>
    <row r="415">
      <c r="B415" s="3"/>
      <c r="E415" s="300" t="s">
        <v>22</v>
      </c>
      <c r="F415" s="300" t="s">
        <v>22</v>
      </c>
      <c r="G415" s="300" t="s">
        <v>22</v>
      </c>
    </row>
    <row r="416">
      <c r="B416" s="3"/>
      <c r="E416" s="300" t="s">
        <v>22</v>
      </c>
      <c r="F416" s="300" t="s">
        <v>22</v>
      </c>
      <c r="G416" s="300" t="s">
        <v>22</v>
      </c>
    </row>
    <row r="417">
      <c r="B417" s="3"/>
      <c r="E417" s="300" t="s">
        <v>22</v>
      </c>
      <c r="F417" s="300" t="s">
        <v>22</v>
      </c>
      <c r="G417" s="300" t="s">
        <v>22</v>
      </c>
    </row>
    <row r="418">
      <c r="B418" s="3"/>
      <c r="E418" s="300" t="s">
        <v>22</v>
      </c>
      <c r="F418" s="300" t="s">
        <v>22</v>
      </c>
      <c r="G418" s="300" t="s">
        <v>22</v>
      </c>
    </row>
    <row r="419">
      <c r="B419" s="3"/>
      <c r="E419" s="300" t="s">
        <v>22</v>
      </c>
      <c r="F419" s="300" t="s">
        <v>22</v>
      </c>
      <c r="G419" s="300" t="s">
        <v>22</v>
      </c>
    </row>
    <row r="420">
      <c r="B420" s="3"/>
      <c r="E420" s="300" t="s">
        <v>22</v>
      </c>
      <c r="F420" s="300" t="s">
        <v>22</v>
      </c>
      <c r="G420" s="300" t="s">
        <v>22</v>
      </c>
    </row>
    <row r="421">
      <c r="B421" s="3"/>
      <c r="E421" s="300" t="s">
        <v>22</v>
      </c>
      <c r="F421" s="300" t="s">
        <v>22</v>
      </c>
      <c r="G421" s="300" t="s">
        <v>22</v>
      </c>
    </row>
    <row r="422">
      <c r="B422" s="3"/>
      <c r="E422" s="300" t="s">
        <v>22</v>
      </c>
      <c r="F422" s="300" t="s">
        <v>22</v>
      </c>
      <c r="G422" s="300" t="s">
        <v>22</v>
      </c>
    </row>
    <row r="423">
      <c r="B423" s="3"/>
      <c r="E423" s="300" t="s">
        <v>22</v>
      </c>
      <c r="F423" s="300" t="s">
        <v>22</v>
      </c>
      <c r="G423" s="300" t="s">
        <v>22</v>
      </c>
    </row>
    <row r="424">
      <c r="B424" s="3"/>
      <c r="E424" s="300" t="s">
        <v>22</v>
      </c>
      <c r="F424" s="300" t="s">
        <v>22</v>
      </c>
      <c r="G424" s="300" t="s">
        <v>22</v>
      </c>
    </row>
    <row r="425">
      <c r="B425" s="3"/>
      <c r="E425" s="300" t="s">
        <v>22</v>
      </c>
      <c r="F425" s="300" t="s">
        <v>22</v>
      </c>
      <c r="G425" s="300" t="s">
        <v>22</v>
      </c>
    </row>
    <row r="426">
      <c r="B426" s="3"/>
      <c r="E426" s="300" t="s">
        <v>22</v>
      </c>
      <c r="F426" s="300" t="s">
        <v>22</v>
      </c>
      <c r="G426" s="300" t="s">
        <v>22</v>
      </c>
    </row>
    <row r="427">
      <c r="B427" s="3"/>
      <c r="E427" s="300" t="s">
        <v>22</v>
      </c>
      <c r="F427" s="300" t="s">
        <v>22</v>
      </c>
      <c r="G427" s="300" t="s">
        <v>22</v>
      </c>
    </row>
    <row r="428">
      <c r="B428" s="3"/>
      <c r="E428" s="300" t="s">
        <v>22</v>
      </c>
      <c r="F428" s="300" t="s">
        <v>22</v>
      </c>
      <c r="G428" s="300" t="s">
        <v>22</v>
      </c>
    </row>
    <row r="429">
      <c r="B429" s="3"/>
      <c r="E429" s="300" t="s">
        <v>22</v>
      </c>
      <c r="F429" s="300" t="s">
        <v>22</v>
      </c>
      <c r="G429" s="300" t="s">
        <v>22</v>
      </c>
    </row>
    <row r="430">
      <c r="B430" s="3"/>
      <c r="E430" s="300" t="s">
        <v>22</v>
      </c>
      <c r="F430" s="300" t="s">
        <v>22</v>
      </c>
      <c r="G430" s="300" t="s">
        <v>22</v>
      </c>
    </row>
    <row r="431">
      <c r="B431" s="3"/>
      <c r="E431" s="300" t="s">
        <v>22</v>
      </c>
      <c r="F431" s="300" t="s">
        <v>22</v>
      </c>
      <c r="G431" s="300" t="s">
        <v>22</v>
      </c>
    </row>
    <row r="432">
      <c r="B432" s="3"/>
      <c r="E432" s="300" t="s">
        <v>22</v>
      </c>
      <c r="F432" s="300" t="s">
        <v>22</v>
      </c>
      <c r="G432" s="300" t="s">
        <v>22</v>
      </c>
    </row>
    <row r="433">
      <c r="B433" s="3"/>
      <c r="E433" s="300" t="s">
        <v>22</v>
      </c>
      <c r="F433" s="300" t="s">
        <v>22</v>
      </c>
      <c r="G433" s="300" t="s">
        <v>22</v>
      </c>
    </row>
    <row r="434">
      <c r="B434" s="3"/>
      <c r="E434" s="300" t="s">
        <v>22</v>
      </c>
      <c r="F434" s="300" t="s">
        <v>22</v>
      </c>
      <c r="G434" s="300" t="s">
        <v>22</v>
      </c>
    </row>
    <row r="435">
      <c r="B435" s="3"/>
      <c r="E435" s="300" t="s">
        <v>22</v>
      </c>
      <c r="F435" s="300" t="s">
        <v>22</v>
      </c>
      <c r="G435" s="300" t="s">
        <v>22</v>
      </c>
    </row>
    <row r="436">
      <c r="B436" s="3"/>
      <c r="E436" s="300" t="s">
        <v>22</v>
      </c>
      <c r="F436" s="300" t="s">
        <v>22</v>
      </c>
      <c r="G436" s="300" t="s">
        <v>22</v>
      </c>
    </row>
    <row r="437">
      <c r="B437" s="3"/>
      <c r="E437" s="300" t="s">
        <v>22</v>
      </c>
      <c r="F437" s="300" t="s">
        <v>22</v>
      </c>
      <c r="G437" s="300" t="s">
        <v>22</v>
      </c>
    </row>
    <row r="438">
      <c r="B438" s="3"/>
      <c r="E438" s="300" t="s">
        <v>22</v>
      </c>
      <c r="F438" s="300" t="s">
        <v>22</v>
      </c>
      <c r="G438" s="300" t="s">
        <v>22</v>
      </c>
    </row>
    <row r="439">
      <c r="B439" s="3"/>
      <c r="E439" s="300" t="s">
        <v>22</v>
      </c>
      <c r="F439" s="300" t="s">
        <v>22</v>
      </c>
      <c r="G439" s="300" t="s">
        <v>22</v>
      </c>
    </row>
    <row r="440">
      <c r="B440" s="3"/>
      <c r="E440" s="300" t="s">
        <v>22</v>
      </c>
      <c r="F440" s="300" t="s">
        <v>22</v>
      </c>
      <c r="G440" s="300" t="s">
        <v>22</v>
      </c>
    </row>
    <row r="441">
      <c r="B441" s="3"/>
      <c r="E441" s="300" t="s">
        <v>22</v>
      </c>
      <c r="F441" s="300" t="s">
        <v>22</v>
      </c>
      <c r="G441" s="300" t="s">
        <v>22</v>
      </c>
    </row>
    <row r="442">
      <c r="B442" s="3"/>
      <c r="E442" s="300" t="s">
        <v>22</v>
      </c>
      <c r="F442" s="300" t="s">
        <v>22</v>
      </c>
      <c r="G442" s="300" t="s">
        <v>22</v>
      </c>
    </row>
    <row r="443">
      <c r="B443" s="3"/>
      <c r="E443" s="300" t="s">
        <v>22</v>
      </c>
      <c r="F443" s="300" t="s">
        <v>22</v>
      </c>
      <c r="G443" s="300" t="s">
        <v>22</v>
      </c>
    </row>
    <row r="444">
      <c r="B444" s="3"/>
      <c r="E444" s="300" t="s">
        <v>22</v>
      </c>
      <c r="F444" s="300" t="s">
        <v>22</v>
      </c>
      <c r="G444" s="300" t="s">
        <v>22</v>
      </c>
    </row>
    <row r="445">
      <c r="B445" s="3"/>
      <c r="E445" s="300" t="s">
        <v>22</v>
      </c>
      <c r="F445" s="300" t="s">
        <v>22</v>
      </c>
      <c r="G445" s="300" t="s">
        <v>22</v>
      </c>
    </row>
    <row r="446">
      <c r="B446" s="3"/>
      <c r="E446" s="300" t="s">
        <v>22</v>
      </c>
      <c r="F446" s="300" t="s">
        <v>22</v>
      </c>
      <c r="G446" s="300" t="s">
        <v>22</v>
      </c>
    </row>
    <row r="447">
      <c r="B447" s="3"/>
      <c r="E447" s="300" t="s">
        <v>22</v>
      </c>
      <c r="F447" s="300" t="s">
        <v>22</v>
      </c>
      <c r="G447" s="300" t="s">
        <v>22</v>
      </c>
    </row>
    <row r="448">
      <c r="B448" s="3"/>
      <c r="E448" s="300" t="s">
        <v>22</v>
      </c>
      <c r="F448" s="300" t="s">
        <v>22</v>
      </c>
      <c r="G448" s="300" t="s">
        <v>22</v>
      </c>
    </row>
    <row r="449">
      <c r="B449" s="3"/>
      <c r="E449" s="300" t="s">
        <v>22</v>
      </c>
      <c r="F449" s="300" t="s">
        <v>22</v>
      </c>
      <c r="G449" s="300" t="s">
        <v>22</v>
      </c>
    </row>
    <row r="450">
      <c r="B450" s="3"/>
      <c r="E450" s="300" t="s">
        <v>22</v>
      </c>
      <c r="F450" s="300" t="s">
        <v>22</v>
      </c>
      <c r="G450" s="300" t="s">
        <v>22</v>
      </c>
    </row>
    <row r="451">
      <c r="B451" s="3"/>
      <c r="E451" s="300" t="s">
        <v>22</v>
      </c>
      <c r="F451" s="300" t="s">
        <v>22</v>
      </c>
      <c r="G451" s="300" t="s">
        <v>22</v>
      </c>
    </row>
    <row r="452">
      <c r="B452" s="3"/>
      <c r="E452" s="300" t="s">
        <v>22</v>
      </c>
      <c r="F452" s="300" t="s">
        <v>22</v>
      </c>
      <c r="G452" s="300" t="s">
        <v>22</v>
      </c>
    </row>
    <row r="453">
      <c r="B453" s="3"/>
      <c r="E453" s="300" t="s">
        <v>22</v>
      </c>
      <c r="F453" s="300" t="s">
        <v>22</v>
      </c>
      <c r="G453" s="300" t="s">
        <v>22</v>
      </c>
    </row>
    <row r="454">
      <c r="B454" s="3"/>
      <c r="E454" s="300" t="s">
        <v>22</v>
      </c>
      <c r="F454" s="300" t="s">
        <v>22</v>
      </c>
      <c r="G454" s="300" t="s">
        <v>22</v>
      </c>
    </row>
    <row r="455">
      <c r="B455" s="3"/>
      <c r="E455" s="300" t="s">
        <v>22</v>
      </c>
      <c r="F455" s="300" t="s">
        <v>22</v>
      </c>
      <c r="G455" s="300" t="s">
        <v>22</v>
      </c>
    </row>
    <row r="456">
      <c r="B456" s="3"/>
      <c r="E456" s="300" t="s">
        <v>22</v>
      </c>
      <c r="F456" s="300" t="s">
        <v>22</v>
      </c>
      <c r="G456" s="300" t="s">
        <v>22</v>
      </c>
    </row>
    <row r="457">
      <c r="B457" s="3"/>
      <c r="E457" s="300" t="s">
        <v>22</v>
      </c>
      <c r="F457" s="300" t="s">
        <v>22</v>
      </c>
      <c r="G457" s="300" t="s">
        <v>22</v>
      </c>
    </row>
    <row r="458">
      <c r="B458" s="3"/>
      <c r="E458" s="300" t="s">
        <v>22</v>
      </c>
      <c r="F458" s="300" t="s">
        <v>22</v>
      </c>
      <c r="G458" s="300" t="s">
        <v>22</v>
      </c>
    </row>
    <row r="459">
      <c r="B459" s="3"/>
      <c r="E459" s="300" t="s">
        <v>22</v>
      </c>
      <c r="F459" s="300" t="s">
        <v>22</v>
      </c>
      <c r="G459" s="300" t="s">
        <v>22</v>
      </c>
    </row>
    <row r="460">
      <c r="B460" s="3"/>
      <c r="E460" s="300" t="s">
        <v>22</v>
      </c>
      <c r="F460" s="300" t="s">
        <v>22</v>
      </c>
      <c r="G460" s="300" t="s">
        <v>22</v>
      </c>
    </row>
    <row r="461">
      <c r="B461" s="3"/>
      <c r="E461" s="300" t="s">
        <v>22</v>
      </c>
      <c r="F461" s="300" t="s">
        <v>22</v>
      </c>
      <c r="G461" s="300" t="s">
        <v>22</v>
      </c>
    </row>
    <row r="462">
      <c r="B462" s="3"/>
      <c r="E462" s="300" t="s">
        <v>22</v>
      </c>
      <c r="F462" s="300" t="s">
        <v>22</v>
      </c>
      <c r="G462" s="300" t="s">
        <v>22</v>
      </c>
    </row>
    <row r="463">
      <c r="B463" s="3"/>
      <c r="E463" s="300" t="s">
        <v>22</v>
      </c>
      <c r="F463" s="300" t="s">
        <v>22</v>
      </c>
      <c r="G463" s="300" t="s">
        <v>22</v>
      </c>
    </row>
    <row r="464">
      <c r="B464" s="3"/>
      <c r="E464" s="300" t="s">
        <v>22</v>
      </c>
      <c r="F464" s="300" t="s">
        <v>22</v>
      </c>
      <c r="G464" s="300" t="s">
        <v>22</v>
      </c>
    </row>
    <row r="465">
      <c r="B465" s="3"/>
      <c r="E465" s="300" t="s">
        <v>22</v>
      </c>
      <c r="F465" s="300" t="s">
        <v>22</v>
      </c>
      <c r="G465" s="300" t="s">
        <v>22</v>
      </c>
    </row>
    <row r="466">
      <c r="B466" s="3"/>
      <c r="E466" s="300" t="s">
        <v>22</v>
      </c>
      <c r="F466" s="300" t="s">
        <v>22</v>
      </c>
      <c r="G466" s="300" t="s">
        <v>22</v>
      </c>
    </row>
    <row r="467">
      <c r="B467" s="3"/>
      <c r="E467" s="300" t="s">
        <v>22</v>
      </c>
      <c r="F467" s="300" t="s">
        <v>22</v>
      </c>
      <c r="G467" s="300" t="s">
        <v>22</v>
      </c>
    </row>
    <row r="468">
      <c r="B468" s="3"/>
      <c r="E468" s="300" t="s">
        <v>22</v>
      </c>
      <c r="F468" s="300" t="s">
        <v>22</v>
      </c>
      <c r="G468" s="300" t="s">
        <v>22</v>
      </c>
    </row>
    <row r="469">
      <c r="B469" s="3"/>
      <c r="E469" s="300" t="s">
        <v>22</v>
      </c>
      <c r="F469" s="300" t="s">
        <v>22</v>
      </c>
      <c r="G469" s="300" t="s">
        <v>22</v>
      </c>
    </row>
    <row r="470">
      <c r="B470" s="3"/>
      <c r="E470" s="300" t="s">
        <v>22</v>
      </c>
      <c r="F470" s="300" t="s">
        <v>22</v>
      </c>
      <c r="G470" s="300" t="s">
        <v>22</v>
      </c>
    </row>
    <row r="471">
      <c r="B471" s="3"/>
      <c r="E471" s="300" t="s">
        <v>22</v>
      </c>
      <c r="F471" s="300" t="s">
        <v>22</v>
      </c>
      <c r="G471" s="300" t="s">
        <v>22</v>
      </c>
    </row>
    <row r="472">
      <c r="B472" s="3"/>
      <c r="E472" s="300" t="s">
        <v>22</v>
      </c>
      <c r="F472" s="300" t="s">
        <v>22</v>
      </c>
      <c r="G472" s="300" t="s">
        <v>22</v>
      </c>
    </row>
    <row r="473">
      <c r="B473" s="3"/>
      <c r="E473" s="300" t="s">
        <v>22</v>
      </c>
      <c r="F473" s="300" t="s">
        <v>22</v>
      </c>
      <c r="G473" s="300" t="s">
        <v>22</v>
      </c>
    </row>
    <row r="474">
      <c r="B474" s="3"/>
      <c r="E474" s="300" t="s">
        <v>22</v>
      </c>
      <c r="F474" s="300" t="s">
        <v>22</v>
      </c>
      <c r="G474" s="300" t="s">
        <v>22</v>
      </c>
    </row>
    <row r="475">
      <c r="B475" s="3"/>
      <c r="E475" s="300" t="s">
        <v>22</v>
      </c>
      <c r="F475" s="300" t="s">
        <v>22</v>
      </c>
      <c r="G475" s="300" t="s">
        <v>22</v>
      </c>
    </row>
    <row r="476">
      <c r="B476" s="3"/>
      <c r="E476" s="300" t="s">
        <v>22</v>
      </c>
      <c r="F476" s="300" t="s">
        <v>22</v>
      </c>
      <c r="G476" s="300" t="s">
        <v>22</v>
      </c>
    </row>
    <row r="477">
      <c r="B477" s="3"/>
      <c r="E477" s="300" t="s">
        <v>22</v>
      </c>
      <c r="F477" s="300" t="s">
        <v>22</v>
      </c>
      <c r="G477" s="300" t="s">
        <v>22</v>
      </c>
    </row>
    <row r="478">
      <c r="B478" s="3"/>
      <c r="E478" s="300" t="s">
        <v>22</v>
      </c>
      <c r="F478" s="300" t="s">
        <v>22</v>
      </c>
      <c r="G478" s="300" t="s">
        <v>22</v>
      </c>
    </row>
    <row r="479">
      <c r="B479" s="3"/>
      <c r="E479" s="300" t="s">
        <v>22</v>
      </c>
      <c r="F479" s="300" t="s">
        <v>22</v>
      </c>
      <c r="G479" s="300" t="s">
        <v>22</v>
      </c>
    </row>
    <row r="480">
      <c r="B480" s="3"/>
      <c r="E480" s="300" t="s">
        <v>22</v>
      </c>
      <c r="F480" s="300" t="s">
        <v>22</v>
      </c>
      <c r="G480" s="300" t="s">
        <v>22</v>
      </c>
    </row>
    <row r="481">
      <c r="B481" s="3"/>
      <c r="E481" s="300" t="s">
        <v>22</v>
      </c>
      <c r="F481" s="300" t="s">
        <v>22</v>
      </c>
      <c r="G481" s="300" t="s">
        <v>22</v>
      </c>
    </row>
    <row r="482">
      <c r="B482" s="3"/>
      <c r="E482" s="300" t="s">
        <v>22</v>
      </c>
      <c r="F482" s="300" t="s">
        <v>22</v>
      </c>
      <c r="G482" s="300" t="s">
        <v>22</v>
      </c>
    </row>
    <row r="483">
      <c r="B483" s="3"/>
      <c r="E483" s="300" t="s">
        <v>22</v>
      </c>
      <c r="F483" s="300" t="s">
        <v>22</v>
      </c>
      <c r="G483" s="300" t="s">
        <v>22</v>
      </c>
    </row>
    <row r="484">
      <c r="B484" s="3"/>
      <c r="E484" s="300" t="s">
        <v>22</v>
      </c>
      <c r="F484" s="300" t="s">
        <v>22</v>
      </c>
      <c r="G484" s="300" t="s">
        <v>22</v>
      </c>
    </row>
    <row r="485">
      <c r="B485" s="3"/>
      <c r="E485" s="300" t="s">
        <v>22</v>
      </c>
      <c r="F485" s="300" t="s">
        <v>22</v>
      </c>
      <c r="G485" s="300" t="s">
        <v>22</v>
      </c>
    </row>
    <row r="486">
      <c r="B486" s="3"/>
      <c r="E486" s="300" t="s">
        <v>22</v>
      </c>
      <c r="F486" s="300" t="s">
        <v>22</v>
      </c>
      <c r="G486" s="300" t="s">
        <v>22</v>
      </c>
    </row>
    <row r="487">
      <c r="B487" s="3"/>
      <c r="E487" s="300" t="s">
        <v>22</v>
      </c>
      <c r="F487" s="300" t="s">
        <v>22</v>
      </c>
      <c r="G487" s="300" t="s">
        <v>22</v>
      </c>
    </row>
    <row r="488">
      <c r="B488" s="3"/>
      <c r="E488" s="300" t="s">
        <v>22</v>
      </c>
      <c r="F488" s="300" t="s">
        <v>22</v>
      </c>
      <c r="G488" s="300" t="s">
        <v>22</v>
      </c>
    </row>
    <row r="489">
      <c r="B489" s="3"/>
      <c r="E489" s="300" t="s">
        <v>22</v>
      </c>
      <c r="F489" s="300" t="s">
        <v>22</v>
      </c>
      <c r="G489" s="300" t="s">
        <v>22</v>
      </c>
    </row>
    <row r="490">
      <c r="B490" s="3"/>
      <c r="E490" s="300" t="s">
        <v>22</v>
      </c>
      <c r="F490" s="300" t="s">
        <v>22</v>
      </c>
      <c r="G490" s="300" t="s">
        <v>22</v>
      </c>
    </row>
    <row r="491">
      <c r="B491" s="3"/>
      <c r="E491" s="300" t="s">
        <v>22</v>
      </c>
      <c r="F491" s="300" t="s">
        <v>22</v>
      </c>
      <c r="G491" s="300" t="s">
        <v>22</v>
      </c>
    </row>
    <row r="492">
      <c r="B492" s="3"/>
      <c r="E492" s="300" t="s">
        <v>22</v>
      </c>
      <c r="F492" s="300" t="s">
        <v>22</v>
      </c>
      <c r="G492" s="300" t="s">
        <v>22</v>
      </c>
    </row>
    <row r="493">
      <c r="B493" s="3"/>
      <c r="E493" s="300" t="s">
        <v>22</v>
      </c>
      <c r="F493" s="300" t="s">
        <v>22</v>
      </c>
      <c r="G493" s="300" t="s">
        <v>22</v>
      </c>
    </row>
    <row r="494">
      <c r="B494" s="3"/>
      <c r="E494" s="300" t="s">
        <v>22</v>
      </c>
      <c r="F494" s="300" t="s">
        <v>22</v>
      </c>
      <c r="G494" s="300" t="s">
        <v>22</v>
      </c>
    </row>
    <row r="495">
      <c r="B495" s="3"/>
      <c r="E495" s="300" t="s">
        <v>22</v>
      </c>
      <c r="F495" s="300" t="s">
        <v>22</v>
      </c>
      <c r="G495" s="300" t="s">
        <v>22</v>
      </c>
    </row>
    <row r="496">
      <c r="B496" s="3"/>
      <c r="E496" s="300" t="s">
        <v>22</v>
      </c>
      <c r="F496" s="300" t="s">
        <v>22</v>
      </c>
      <c r="G496" s="300" t="s">
        <v>22</v>
      </c>
    </row>
    <row r="497">
      <c r="B497" s="3"/>
      <c r="E497" s="300" t="s">
        <v>22</v>
      </c>
      <c r="F497" s="300" t="s">
        <v>22</v>
      </c>
      <c r="G497" s="300" t="s">
        <v>22</v>
      </c>
    </row>
    <row r="498">
      <c r="B498" s="3"/>
      <c r="E498" s="300" t="s">
        <v>22</v>
      </c>
      <c r="F498" s="300" t="s">
        <v>22</v>
      </c>
      <c r="G498" s="300" t="s">
        <v>22</v>
      </c>
    </row>
    <row r="499">
      <c r="B499" s="3"/>
      <c r="E499" s="300" t="s">
        <v>22</v>
      </c>
      <c r="F499" s="300" t="s">
        <v>22</v>
      </c>
      <c r="G499" s="300" t="s">
        <v>22</v>
      </c>
    </row>
    <row r="500">
      <c r="B500" s="3"/>
      <c r="E500" s="300" t="s">
        <v>22</v>
      </c>
      <c r="F500" s="300" t="s">
        <v>22</v>
      </c>
      <c r="G500" s="300" t="s">
        <v>22</v>
      </c>
    </row>
    <row r="501">
      <c r="B501" s="3"/>
      <c r="E501" s="300" t="s">
        <v>22</v>
      </c>
      <c r="F501" s="300" t="s">
        <v>22</v>
      </c>
      <c r="G501" s="300" t="s">
        <v>22</v>
      </c>
    </row>
    <row r="502">
      <c r="B502" s="3"/>
      <c r="E502" s="300" t="s">
        <v>22</v>
      </c>
      <c r="F502" s="300" t="s">
        <v>22</v>
      </c>
      <c r="G502" s="300" t="s">
        <v>22</v>
      </c>
    </row>
    <row r="503">
      <c r="B503" s="3"/>
      <c r="E503" s="300" t="s">
        <v>22</v>
      </c>
      <c r="F503" s="300" t="s">
        <v>22</v>
      </c>
      <c r="G503" s="300" t="s">
        <v>22</v>
      </c>
    </row>
    <row r="504">
      <c r="B504" s="3"/>
      <c r="E504" s="300" t="s">
        <v>22</v>
      </c>
      <c r="F504" s="300" t="s">
        <v>22</v>
      </c>
      <c r="G504" s="300" t="s">
        <v>22</v>
      </c>
    </row>
    <row r="505">
      <c r="B505" s="3"/>
      <c r="E505" s="300" t="s">
        <v>22</v>
      </c>
      <c r="F505" s="300" t="s">
        <v>22</v>
      </c>
      <c r="G505" s="300" t="s">
        <v>22</v>
      </c>
    </row>
    <row r="506">
      <c r="B506" s="3"/>
      <c r="E506" s="300" t="s">
        <v>22</v>
      </c>
      <c r="F506" s="300" t="s">
        <v>22</v>
      </c>
      <c r="G506" s="300" t="s">
        <v>22</v>
      </c>
    </row>
    <row r="507">
      <c r="B507" s="3"/>
      <c r="E507" s="300" t="s">
        <v>22</v>
      </c>
      <c r="F507" s="300" t="s">
        <v>22</v>
      </c>
      <c r="G507" s="300" t="s">
        <v>22</v>
      </c>
    </row>
    <row r="508">
      <c r="B508" s="3"/>
      <c r="E508" s="300" t="s">
        <v>22</v>
      </c>
      <c r="F508" s="300" t="s">
        <v>22</v>
      </c>
      <c r="G508" s="300" t="s">
        <v>22</v>
      </c>
    </row>
    <row r="509">
      <c r="B509" s="3"/>
      <c r="E509" s="300" t="s">
        <v>22</v>
      </c>
      <c r="F509" s="300" t="s">
        <v>22</v>
      </c>
      <c r="G509" s="300" t="s">
        <v>22</v>
      </c>
    </row>
    <row r="510">
      <c r="B510" s="3"/>
      <c r="E510" s="300" t="s">
        <v>22</v>
      </c>
      <c r="F510" s="300" t="s">
        <v>22</v>
      </c>
      <c r="G510" s="300" t="s">
        <v>22</v>
      </c>
    </row>
    <row r="511">
      <c r="B511" s="3"/>
      <c r="E511" s="300" t="s">
        <v>22</v>
      </c>
      <c r="F511" s="300" t="s">
        <v>22</v>
      </c>
      <c r="G511" s="300" t="s">
        <v>22</v>
      </c>
    </row>
    <row r="512">
      <c r="B512" s="3"/>
      <c r="E512" s="300" t="s">
        <v>22</v>
      </c>
      <c r="F512" s="300" t="s">
        <v>22</v>
      </c>
      <c r="G512" s="300" t="s">
        <v>22</v>
      </c>
    </row>
    <row r="513">
      <c r="B513" s="3"/>
      <c r="E513" s="300" t="s">
        <v>22</v>
      </c>
      <c r="F513" s="300" t="s">
        <v>22</v>
      </c>
      <c r="G513" s="300" t="s">
        <v>22</v>
      </c>
    </row>
    <row r="514">
      <c r="B514" s="3"/>
      <c r="E514" s="300" t="s">
        <v>22</v>
      </c>
      <c r="F514" s="300" t="s">
        <v>22</v>
      </c>
      <c r="G514" s="300" t="s">
        <v>22</v>
      </c>
    </row>
    <row r="515">
      <c r="B515" s="3"/>
      <c r="E515" s="300" t="s">
        <v>22</v>
      </c>
      <c r="F515" s="300" t="s">
        <v>22</v>
      </c>
      <c r="G515" s="300" t="s">
        <v>22</v>
      </c>
    </row>
    <row r="516">
      <c r="B516" s="3"/>
      <c r="E516" s="300" t="s">
        <v>22</v>
      </c>
      <c r="F516" s="300" t="s">
        <v>22</v>
      </c>
      <c r="G516" s="300" t="s">
        <v>22</v>
      </c>
    </row>
    <row r="517">
      <c r="B517" s="3"/>
      <c r="E517" s="300" t="s">
        <v>22</v>
      </c>
      <c r="F517" s="300" t="s">
        <v>22</v>
      </c>
      <c r="G517" s="300" t="s">
        <v>22</v>
      </c>
    </row>
    <row r="518">
      <c r="B518" s="3"/>
      <c r="E518" s="300" t="s">
        <v>22</v>
      </c>
      <c r="F518" s="300" t="s">
        <v>22</v>
      </c>
      <c r="G518" s="300" t="s">
        <v>22</v>
      </c>
    </row>
    <row r="519">
      <c r="B519" s="3"/>
      <c r="E519" s="300" t="s">
        <v>22</v>
      </c>
      <c r="F519" s="300" t="s">
        <v>22</v>
      </c>
      <c r="G519" s="300" t="s">
        <v>22</v>
      </c>
    </row>
    <row r="520">
      <c r="B520" s="3"/>
      <c r="E520" s="300" t="s">
        <v>22</v>
      </c>
      <c r="F520" s="300" t="s">
        <v>22</v>
      </c>
      <c r="G520" s="300" t="s">
        <v>22</v>
      </c>
    </row>
    <row r="521">
      <c r="B521" s="3"/>
      <c r="E521" s="300" t="s">
        <v>22</v>
      </c>
      <c r="F521" s="300" t="s">
        <v>22</v>
      </c>
      <c r="G521" s="300" t="s">
        <v>22</v>
      </c>
    </row>
    <row r="522">
      <c r="B522" s="3"/>
      <c r="E522" s="300" t="s">
        <v>22</v>
      </c>
      <c r="F522" s="300" t="s">
        <v>22</v>
      </c>
      <c r="G522" s="300" t="s">
        <v>22</v>
      </c>
    </row>
    <row r="523">
      <c r="B523" s="3"/>
      <c r="E523" s="300" t="s">
        <v>22</v>
      </c>
      <c r="F523" s="300" t="s">
        <v>22</v>
      </c>
      <c r="G523" s="300" t="s">
        <v>22</v>
      </c>
    </row>
    <row r="524">
      <c r="B524" s="3"/>
      <c r="E524" s="300" t="s">
        <v>22</v>
      </c>
      <c r="F524" s="300" t="s">
        <v>22</v>
      </c>
      <c r="G524" s="300" t="s">
        <v>22</v>
      </c>
    </row>
    <row r="525">
      <c r="B525" s="3"/>
      <c r="E525" s="300" t="s">
        <v>22</v>
      </c>
      <c r="F525" s="300" t="s">
        <v>22</v>
      </c>
      <c r="G525" s="300" t="s">
        <v>22</v>
      </c>
    </row>
    <row r="526">
      <c r="B526" s="3"/>
      <c r="E526" s="300" t="s">
        <v>22</v>
      </c>
      <c r="F526" s="300" t="s">
        <v>22</v>
      </c>
      <c r="G526" s="300" t="s">
        <v>22</v>
      </c>
    </row>
    <row r="527">
      <c r="B527" s="3"/>
      <c r="E527" s="300" t="s">
        <v>22</v>
      </c>
      <c r="F527" s="300" t="s">
        <v>22</v>
      </c>
      <c r="G527" s="300" t="s">
        <v>22</v>
      </c>
    </row>
    <row r="528">
      <c r="B528" s="3"/>
      <c r="E528" s="300" t="s">
        <v>22</v>
      </c>
      <c r="F528" s="300" t="s">
        <v>22</v>
      </c>
      <c r="G528" s="300" t="s">
        <v>22</v>
      </c>
    </row>
    <row r="529">
      <c r="B529" s="3"/>
      <c r="E529" s="300" t="s">
        <v>22</v>
      </c>
      <c r="F529" s="300" t="s">
        <v>22</v>
      </c>
      <c r="G529" s="300" t="s">
        <v>22</v>
      </c>
    </row>
    <row r="530">
      <c r="B530" s="3"/>
      <c r="E530" s="300" t="s">
        <v>22</v>
      </c>
      <c r="F530" s="300" t="s">
        <v>22</v>
      </c>
      <c r="G530" s="300" t="s">
        <v>22</v>
      </c>
    </row>
    <row r="531">
      <c r="B531" s="3"/>
      <c r="E531" s="300" t="s">
        <v>22</v>
      </c>
      <c r="F531" s="300" t="s">
        <v>22</v>
      </c>
      <c r="G531" s="300" t="s">
        <v>22</v>
      </c>
    </row>
    <row r="532">
      <c r="B532" s="3"/>
      <c r="E532" s="300" t="s">
        <v>22</v>
      </c>
      <c r="F532" s="300" t="s">
        <v>22</v>
      </c>
      <c r="G532" s="300" t="s">
        <v>22</v>
      </c>
    </row>
    <row r="533">
      <c r="B533" s="3"/>
      <c r="E533" s="300" t="s">
        <v>22</v>
      </c>
      <c r="F533" s="300" t="s">
        <v>22</v>
      </c>
      <c r="G533" s="300" t="s">
        <v>22</v>
      </c>
    </row>
    <row r="534">
      <c r="B534" s="3"/>
      <c r="E534" s="300" t="s">
        <v>22</v>
      </c>
      <c r="F534" s="300" t="s">
        <v>22</v>
      </c>
      <c r="G534" s="300" t="s">
        <v>22</v>
      </c>
    </row>
    <row r="535">
      <c r="B535" s="3"/>
      <c r="E535" s="300" t="s">
        <v>22</v>
      </c>
      <c r="F535" s="300" t="s">
        <v>22</v>
      </c>
      <c r="G535" s="300" t="s">
        <v>22</v>
      </c>
    </row>
    <row r="536">
      <c r="B536" s="3"/>
      <c r="E536" s="300" t="s">
        <v>22</v>
      </c>
      <c r="F536" s="300" t="s">
        <v>22</v>
      </c>
      <c r="G536" s="300" t="s">
        <v>22</v>
      </c>
    </row>
    <row r="537">
      <c r="B537" s="3"/>
      <c r="E537" s="300" t="s">
        <v>22</v>
      </c>
      <c r="F537" s="300" t="s">
        <v>22</v>
      </c>
      <c r="G537" s="300" t="s">
        <v>22</v>
      </c>
    </row>
    <row r="538">
      <c r="B538" s="3"/>
      <c r="E538" s="300" t="s">
        <v>22</v>
      </c>
      <c r="F538" s="300" t="s">
        <v>22</v>
      </c>
      <c r="G538" s="300" t="s">
        <v>22</v>
      </c>
    </row>
    <row r="539">
      <c r="B539" s="3"/>
      <c r="E539" s="300" t="s">
        <v>22</v>
      </c>
      <c r="F539" s="300" t="s">
        <v>22</v>
      </c>
      <c r="G539" s="300" t="s">
        <v>22</v>
      </c>
    </row>
    <row r="540">
      <c r="B540" s="3"/>
      <c r="E540" s="300" t="s">
        <v>22</v>
      </c>
      <c r="F540" s="300" t="s">
        <v>22</v>
      </c>
      <c r="G540" s="300" t="s">
        <v>22</v>
      </c>
    </row>
    <row r="541">
      <c r="B541" s="3"/>
      <c r="E541" s="300" t="s">
        <v>22</v>
      </c>
      <c r="F541" s="300" t="s">
        <v>22</v>
      </c>
      <c r="G541" s="300" t="s">
        <v>22</v>
      </c>
    </row>
    <row r="542">
      <c r="B542" s="3"/>
      <c r="E542" s="300" t="s">
        <v>22</v>
      </c>
      <c r="F542" s="300" t="s">
        <v>22</v>
      </c>
      <c r="G542" s="300" t="s">
        <v>22</v>
      </c>
    </row>
    <row r="543">
      <c r="B543" s="3"/>
      <c r="E543" s="300" t="s">
        <v>22</v>
      </c>
      <c r="F543" s="300" t="s">
        <v>22</v>
      </c>
      <c r="G543" s="300" t="s">
        <v>22</v>
      </c>
    </row>
    <row r="544">
      <c r="B544" s="3"/>
      <c r="E544" s="300" t="s">
        <v>22</v>
      </c>
      <c r="F544" s="300" t="s">
        <v>22</v>
      </c>
      <c r="G544" s="300" t="s">
        <v>22</v>
      </c>
    </row>
    <row r="545">
      <c r="B545" s="3"/>
      <c r="E545" s="300" t="s">
        <v>22</v>
      </c>
      <c r="F545" s="300" t="s">
        <v>22</v>
      </c>
      <c r="G545" s="300" t="s">
        <v>22</v>
      </c>
    </row>
    <row r="546">
      <c r="B546" s="3"/>
      <c r="E546" s="300" t="s">
        <v>22</v>
      </c>
      <c r="F546" s="300" t="s">
        <v>22</v>
      </c>
      <c r="G546" s="300" t="s">
        <v>22</v>
      </c>
    </row>
    <row r="547">
      <c r="B547" s="3"/>
      <c r="E547" s="300" t="s">
        <v>22</v>
      </c>
      <c r="F547" s="300" t="s">
        <v>22</v>
      </c>
      <c r="G547" s="300" t="s">
        <v>22</v>
      </c>
    </row>
    <row r="548">
      <c r="B548" s="3"/>
      <c r="E548" s="300" t="s">
        <v>22</v>
      </c>
      <c r="F548" s="300" t="s">
        <v>22</v>
      </c>
      <c r="G548" s="300" t="s">
        <v>22</v>
      </c>
    </row>
    <row r="549">
      <c r="B549" s="3"/>
      <c r="E549" s="300" t="s">
        <v>22</v>
      </c>
      <c r="F549" s="300" t="s">
        <v>22</v>
      </c>
      <c r="G549" s="300" t="s">
        <v>22</v>
      </c>
    </row>
    <row r="550">
      <c r="B550" s="3"/>
      <c r="E550" s="300" t="s">
        <v>22</v>
      </c>
      <c r="F550" s="300" t="s">
        <v>22</v>
      </c>
      <c r="G550" s="300" t="s">
        <v>22</v>
      </c>
    </row>
    <row r="551">
      <c r="B551" s="3"/>
      <c r="E551" s="300" t="s">
        <v>22</v>
      </c>
      <c r="F551" s="300" t="s">
        <v>22</v>
      </c>
      <c r="G551" s="300" t="s">
        <v>22</v>
      </c>
    </row>
    <row r="552">
      <c r="B552" s="3"/>
      <c r="E552" s="300" t="s">
        <v>22</v>
      </c>
      <c r="F552" s="300" t="s">
        <v>22</v>
      </c>
      <c r="G552" s="300" t="s">
        <v>22</v>
      </c>
    </row>
    <row r="553">
      <c r="B553" s="3"/>
      <c r="E553" s="300" t="s">
        <v>22</v>
      </c>
      <c r="F553" s="300" t="s">
        <v>22</v>
      </c>
      <c r="G553" s="300" t="s">
        <v>22</v>
      </c>
    </row>
    <row r="554">
      <c r="B554" s="3"/>
      <c r="E554" s="300" t="s">
        <v>22</v>
      </c>
      <c r="F554" s="300" t="s">
        <v>22</v>
      </c>
      <c r="G554" s="300" t="s">
        <v>22</v>
      </c>
    </row>
    <row r="555">
      <c r="B555" s="3"/>
      <c r="E555" s="300" t="s">
        <v>22</v>
      </c>
      <c r="F555" s="300" t="s">
        <v>22</v>
      </c>
      <c r="G555" s="300" t="s">
        <v>22</v>
      </c>
    </row>
    <row r="556">
      <c r="B556" s="3"/>
      <c r="E556" s="300" t="s">
        <v>22</v>
      </c>
      <c r="F556" s="300" t="s">
        <v>22</v>
      </c>
      <c r="G556" s="300" t="s">
        <v>22</v>
      </c>
    </row>
    <row r="557">
      <c r="B557" s="3"/>
      <c r="E557" s="300" t="s">
        <v>22</v>
      </c>
      <c r="F557" s="300" t="s">
        <v>22</v>
      </c>
      <c r="G557" s="300" t="s">
        <v>22</v>
      </c>
    </row>
    <row r="558">
      <c r="B558" s="3"/>
      <c r="E558" s="300" t="s">
        <v>22</v>
      </c>
      <c r="F558" s="300" t="s">
        <v>22</v>
      </c>
      <c r="G558" s="300" t="s">
        <v>22</v>
      </c>
    </row>
    <row r="559">
      <c r="B559" s="3"/>
      <c r="E559" s="300" t="s">
        <v>22</v>
      </c>
      <c r="F559" s="300" t="s">
        <v>22</v>
      </c>
      <c r="G559" s="300" t="s">
        <v>22</v>
      </c>
    </row>
    <row r="560">
      <c r="B560" s="3"/>
      <c r="E560" s="300" t="s">
        <v>22</v>
      </c>
      <c r="F560" s="300" t="s">
        <v>22</v>
      </c>
      <c r="G560" s="300" t="s">
        <v>22</v>
      </c>
    </row>
    <row r="561">
      <c r="B561" s="3"/>
      <c r="E561" s="300" t="s">
        <v>22</v>
      </c>
      <c r="F561" s="300" t="s">
        <v>22</v>
      </c>
      <c r="G561" s="300" t="s">
        <v>22</v>
      </c>
    </row>
    <row r="562">
      <c r="B562" s="3"/>
      <c r="E562" s="300" t="s">
        <v>22</v>
      </c>
      <c r="F562" s="300" t="s">
        <v>22</v>
      </c>
      <c r="G562" s="300" t="s">
        <v>22</v>
      </c>
    </row>
    <row r="563">
      <c r="B563" s="3"/>
      <c r="E563" s="300" t="s">
        <v>22</v>
      </c>
      <c r="F563" s="300" t="s">
        <v>22</v>
      </c>
      <c r="G563" s="300" t="s">
        <v>22</v>
      </c>
    </row>
    <row r="564">
      <c r="B564" s="3"/>
      <c r="E564" s="300" t="s">
        <v>22</v>
      </c>
      <c r="F564" s="300" t="s">
        <v>22</v>
      </c>
      <c r="G564" s="300" t="s">
        <v>22</v>
      </c>
    </row>
    <row r="565">
      <c r="B565" s="3"/>
      <c r="E565" s="300" t="s">
        <v>22</v>
      </c>
      <c r="F565" s="300" t="s">
        <v>22</v>
      </c>
      <c r="G565" s="300" t="s">
        <v>22</v>
      </c>
    </row>
    <row r="566">
      <c r="B566" s="3"/>
      <c r="E566" s="300" t="s">
        <v>22</v>
      </c>
      <c r="F566" s="300" t="s">
        <v>22</v>
      </c>
      <c r="G566" s="300" t="s">
        <v>22</v>
      </c>
    </row>
    <row r="567">
      <c r="B567" s="3"/>
      <c r="E567" s="300" t="s">
        <v>22</v>
      </c>
      <c r="F567" s="300" t="s">
        <v>22</v>
      </c>
      <c r="G567" s="300" t="s">
        <v>22</v>
      </c>
    </row>
    <row r="568">
      <c r="B568" s="3"/>
      <c r="E568" s="300" t="s">
        <v>22</v>
      </c>
      <c r="F568" s="300" t="s">
        <v>22</v>
      </c>
      <c r="G568" s="300" t="s">
        <v>22</v>
      </c>
    </row>
    <row r="569">
      <c r="B569" s="3"/>
      <c r="E569" s="300" t="s">
        <v>22</v>
      </c>
      <c r="F569" s="300" t="s">
        <v>22</v>
      </c>
      <c r="G569" s="300" t="s">
        <v>22</v>
      </c>
    </row>
    <row r="570">
      <c r="B570" s="3"/>
      <c r="E570" s="300" t="s">
        <v>22</v>
      </c>
      <c r="F570" s="300" t="s">
        <v>22</v>
      </c>
      <c r="G570" s="300" t="s">
        <v>22</v>
      </c>
    </row>
    <row r="571">
      <c r="B571" s="3"/>
      <c r="E571" s="300" t="s">
        <v>22</v>
      </c>
      <c r="F571" s="300" t="s">
        <v>22</v>
      </c>
      <c r="G571" s="300" t="s">
        <v>22</v>
      </c>
    </row>
    <row r="572">
      <c r="B572" s="3"/>
      <c r="E572" s="300" t="s">
        <v>22</v>
      </c>
      <c r="F572" s="300" t="s">
        <v>22</v>
      </c>
      <c r="G572" s="300" t="s">
        <v>22</v>
      </c>
    </row>
    <row r="573">
      <c r="B573" s="3"/>
      <c r="E573" s="300" t="s">
        <v>22</v>
      </c>
      <c r="F573" s="300" t="s">
        <v>22</v>
      </c>
      <c r="G573" s="300" t="s">
        <v>22</v>
      </c>
    </row>
    <row r="574">
      <c r="B574" s="3"/>
      <c r="E574" s="300" t="s">
        <v>22</v>
      </c>
      <c r="F574" s="300" t="s">
        <v>22</v>
      </c>
      <c r="G574" s="300" t="s">
        <v>22</v>
      </c>
    </row>
    <row r="575">
      <c r="B575" s="3"/>
      <c r="E575" s="300" t="s">
        <v>22</v>
      </c>
      <c r="F575" s="300" t="s">
        <v>22</v>
      </c>
      <c r="G575" s="300" t="s">
        <v>22</v>
      </c>
    </row>
    <row r="576">
      <c r="B576" s="3"/>
      <c r="E576" s="300" t="s">
        <v>22</v>
      </c>
      <c r="F576" s="300" t="s">
        <v>22</v>
      </c>
      <c r="G576" s="300" t="s">
        <v>22</v>
      </c>
    </row>
    <row r="577">
      <c r="B577" s="3"/>
      <c r="E577" s="300" t="s">
        <v>22</v>
      </c>
      <c r="F577" s="300" t="s">
        <v>22</v>
      </c>
      <c r="G577" s="300" t="s">
        <v>22</v>
      </c>
    </row>
    <row r="578">
      <c r="B578" s="3"/>
      <c r="E578" s="300" t="s">
        <v>22</v>
      </c>
      <c r="F578" s="300" t="s">
        <v>22</v>
      </c>
      <c r="G578" s="300" t="s">
        <v>22</v>
      </c>
    </row>
    <row r="579">
      <c r="B579" s="3"/>
      <c r="E579" s="300" t="s">
        <v>22</v>
      </c>
      <c r="F579" s="300" t="s">
        <v>22</v>
      </c>
      <c r="G579" s="300" t="s">
        <v>22</v>
      </c>
    </row>
    <row r="580">
      <c r="B580" s="3"/>
      <c r="E580" s="300" t="s">
        <v>22</v>
      </c>
      <c r="F580" s="300" t="s">
        <v>22</v>
      </c>
      <c r="G580" s="300" t="s">
        <v>22</v>
      </c>
    </row>
    <row r="581">
      <c r="B581" s="3"/>
      <c r="E581" s="300" t="s">
        <v>22</v>
      </c>
      <c r="F581" s="300" t="s">
        <v>22</v>
      </c>
      <c r="G581" s="300" t="s">
        <v>22</v>
      </c>
    </row>
    <row r="582">
      <c r="B582" s="3"/>
      <c r="E582" s="300" t="s">
        <v>22</v>
      </c>
      <c r="F582" s="300" t="s">
        <v>22</v>
      </c>
      <c r="G582" s="300" t="s">
        <v>22</v>
      </c>
    </row>
    <row r="583">
      <c r="B583" s="3"/>
      <c r="E583" s="300" t="s">
        <v>22</v>
      </c>
      <c r="F583" s="300" t="s">
        <v>22</v>
      </c>
      <c r="G583" s="300" t="s">
        <v>22</v>
      </c>
    </row>
    <row r="584">
      <c r="B584" s="3"/>
      <c r="E584" s="300" t="s">
        <v>22</v>
      </c>
      <c r="F584" s="300" t="s">
        <v>22</v>
      </c>
      <c r="G584" s="300" t="s">
        <v>22</v>
      </c>
    </row>
    <row r="585">
      <c r="B585" s="3"/>
      <c r="E585" s="300" t="s">
        <v>22</v>
      </c>
      <c r="F585" s="300" t="s">
        <v>22</v>
      </c>
      <c r="G585" s="300" t="s">
        <v>22</v>
      </c>
    </row>
    <row r="586">
      <c r="B586" s="3"/>
      <c r="E586" s="300" t="s">
        <v>22</v>
      </c>
      <c r="F586" s="300" t="s">
        <v>22</v>
      </c>
      <c r="G586" s="300" t="s">
        <v>22</v>
      </c>
    </row>
    <row r="587">
      <c r="B587" s="3"/>
      <c r="E587" s="300" t="s">
        <v>22</v>
      </c>
      <c r="F587" s="300" t="s">
        <v>22</v>
      </c>
      <c r="G587" s="300" t="s">
        <v>22</v>
      </c>
    </row>
    <row r="588">
      <c r="B588" s="3"/>
      <c r="E588" s="300" t="s">
        <v>22</v>
      </c>
      <c r="F588" s="300" t="s">
        <v>22</v>
      </c>
      <c r="G588" s="300" t="s">
        <v>22</v>
      </c>
    </row>
    <row r="589">
      <c r="B589" s="3"/>
      <c r="E589" s="300" t="s">
        <v>22</v>
      </c>
      <c r="F589" s="300" t="s">
        <v>22</v>
      </c>
      <c r="G589" s="300" t="s">
        <v>22</v>
      </c>
    </row>
    <row r="590">
      <c r="B590" s="3"/>
      <c r="E590" s="300" t="s">
        <v>22</v>
      </c>
      <c r="F590" s="300" t="s">
        <v>22</v>
      </c>
      <c r="G590" s="300" t="s">
        <v>22</v>
      </c>
    </row>
    <row r="591">
      <c r="B591" s="3"/>
      <c r="E591" s="300" t="s">
        <v>22</v>
      </c>
      <c r="F591" s="300" t="s">
        <v>22</v>
      </c>
      <c r="G591" s="300" t="s">
        <v>22</v>
      </c>
    </row>
    <row r="592">
      <c r="B592" s="3"/>
      <c r="E592" s="300" t="s">
        <v>22</v>
      </c>
      <c r="F592" s="300" t="s">
        <v>22</v>
      </c>
      <c r="G592" s="300" t="s">
        <v>22</v>
      </c>
    </row>
    <row r="593">
      <c r="B593" s="3"/>
      <c r="E593" s="300" t="s">
        <v>22</v>
      </c>
      <c r="F593" s="300" t="s">
        <v>22</v>
      </c>
      <c r="G593" s="300" t="s">
        <v>22</v>
      </c>
    </row>
    <row r="594">
      <c r="B594" s="3"/>
      <c r="E594" s="300" t="s">
        <v>22</v>
      </c>
      <c r="F594" s="300" t="s">
        <v>22</v>
      </c>
      <c r="G594" s="300" t="s">
        <v>22</v>
      </c>
    </row>
    <row r="595">
      <c r="B595" s="3"/>
      <c r="E595" s="300" t="s">
        <v>22</v>
      </c>
      <c r="F595" s="300" t="s">
        <v>22</v>
      </c>
      <c r="G595" s="300" t="s">
        <v>22</v>
      </c>
    </row>
    <row r="596">
      <c r="B596" s="3"/>
      <c r="E596" s="300" t="s">
        <v>22</v>
      </c>
      <c r="F596" s="300" t="s">
        <v>22</v>
      </c>
      <c r="G596" s="300" t="s">
        <v>22</v>
      </c>
    </row>
    <row r="597">
      <c r="B597" s="3"/>
      <c r="E597" s="300" t="s">
        <v>22</v>
      </c>
      <c r="F597" s="300" t="s">
        <v>22</v>
      </c>
      <c r="G597" s="300" t="s">
        <v>22</v>
      </c>
    </row>
    <row r="598">
      <c r="B598" s="3"/>
      <c r="E598" s="300" t="s">
        <v>22</v>
      </c>
      <c r="F598" s="300" t="s">
        <v>22</v>
      </c>
      <c r="G598" s="300" t="s">
        <v>22</v>
      </c>
    </row>
    <row r="599">
      <c r="B599" s="3"/>
      <c r="E599" s="300" t="s">
        <v>22</v>
      </c>
      <c r="F599" s="300" t="s">
        <v>22</v>
      </c>
      <c r="G599" s="300" t="s">
        <v>22</v>
      </c>
    </row>
    <row r="600">
      <c r="B600" s="3"/>
      <c r="E600" s="300" t="s">
        <v>22</v>
      </c>
      <c r="F600" s="300" t="s">
        <v>22</v>
      </c>
      <c r="G600" s="300" t="s">
        <v>22</v>
      </c>
    </row>
    <row r="601">
      <c r="B601" s="3"/>
      <c r="E601" s="300" t="s">
        <v>22</v>
      </c>
      <c r="F601" s="300" t="s">
        <v>22</v>
      </c>
      <c r="G601" s="300" t="s">
        <v>22</v>
      </c>
    </row>
    <row r="602">
      <c r="B602" s="3"/>
      <c r="E602" s="300" t="s">
        <v>22</v>
      </c>
      <c r="F602" s="300" t="s">
        <v>22</v>
      </c>
      <c r="G602" s="300" t="s">
        <v>22</v>
      </c>
    </row>
    <row r="603">
      <c r="B603" s="3"/>
      <c r="E603" s="300" t="s">
        <v>22</v>
      </c>
      <c r="F603" s="300" t="s">
        <v>22</v>
      </c>
      <c r="G603" s="300" t="s">
        <v>22</v>
      </c>
    </row>
    <row r="604">
      <c r="B604" s="3"/>
      <c r="E604" s="300" t="s">
        <v>22</v>
      </c>
      <c r="F604" s="300" t="s">
        <v>22</v>
      </c>
      <c r="G604" s="300" t="s">
        <v>22</v>
      </c>
    </row>
    <row r="605">
      <c r="B605" s="3"/>
      <c r="E605" s="300" t="s">
        <v>22</v>
      </c>
      <c r="F605" s="300" t="s">
        <v>22</v>
      </c>
      <c r="G605" s="300" t="s">
        <v>22</v>
      </c>
    </row>
    <row r="606">
      <c r="B606" s="3"/>
      <c r="E606" s="300" t="s">
        <v>22</v>
      </c>
      <c r="F606" s="300" t="s">
        <v>22</v>
      </c>
      <c r="G606" s="300" t="s">
        <v>22</v>
      </c>
    </row>
    <row r="607">
      <c r="B607" s="3"/>
      <c r="E607" s="300" t="s">
        <v>22</v>
      </c>
      <c r="F607" s="300" t="s">
        <v>22</v>
      </c>
      <c r="G607" s="300" t="s">
        <v>22</v>
      </c>
    </row>
    <row r="608">
      <c r="B608" s="3"/>
      <c r="E608" s="300" t="s">
        <v>22</v>
      </c>
      <c r="F608" s="300" t="s">
        <v>22</v>
      </c>
      <c r="G608" s="300" t="s">
        <v>22</v>
      </c>
    </row>
    <row r="609">
      <c r="B609" s="3"/>
      <c r="E609" s="300" t="s">
        <v>22</v>
      </c>
      <c r="F609" s="300" t="s">
        <v>22</v>
      </c>
      <c r="G609" s="300" t="s">
        <v>22</v>
      </c>
    </row>
    <row r="610">
      <c r="B610" s="3"/>
      <c r="E610" s="300" t="s">
        <v>22</v>
      </c>
      <c r="F610" s="300" t="s">
        <v>22</v>
      </c>
      <c r="G610" s="300" t="s">
        <v>22</v>
      </c>
    </row>
    <row r="611">
      <c r="B611" s="3"/>
      <c r="E611" s="300" t="s">
        <v>22</v>
      </c>
      <c r="F611" s="300" t="s">
        <v>22</v>
      </c>
      <c r="G611" s="300" t="s">
        <v>22</v>
      </c>
    </row>
    <row r="612">
      <c r="B612" s="3"/>
      <c r="E612" s="300" t="s">
        <v>22</v>
      </c>
      <c r="F612" s="300" t="s">
        <v>22</v>
      </c>
      <c r="G612" s="300" t="s">
        <v>22</v>
      </c>
    </row>
    <row r="613">
      <c r="B613" s="3"/>
      <c r="E613" s="300" t="s">
        <v>22</v>
      </c>
      <c r="F613" s="300" t="s">
        <v>22</v>
      </c>
      <c r="G613" s="300" t="s">
        <v>22</v>
      </c>
    </row>
    <row r="614">
      <c r="B614" s="3"/>
      <c r="E614" s="300" t="s">
        <v>22</v>
      </c>
      <c r="F614" s="300" t="s">
        <v>22</v>
      </c>
      <c r="G614" s="300" t="s">
        <v>22</v>
      </c>
    </row>
    <row r="615">
      <c r="B615" s="3"/>
      <c r="E615" s="300" t="s">
        <v>22</v>
      </c>
      <c r="F615" s="300" t="s">
        <v>22</v>
      </c>
      <c r="G615" s="300" t="s">
        <v>22</v>
      </c>
    </row>
    <row r="616">
      <c r="B616" s="3"/>
      <c r="E616" s="300" t="s">
        <v>22</v>
      </c>
      <c r="F616" s="300" t="s">
        <v>22</v>
      </c>
      <c r="G616" s="300" t="s">
        <v>22</v>
      </c>
    </row>
    <row r="617">
      <c r="B617" s="3"/>
      <c r="E617" s="300" t="s">
        <v>22</v>
      </c>
      <c r="F617" s="300" t="s">
        <v>22</v>
      </c>
      <c r="G617" s="300" t="s">
        <v>22</v>
      </c>
    </row>
    <row r="618">
      <c r="B618" s="3"/>
      <c r="E618" s="300" t="s">
        <v>22</v>
      </c>
      <c r="F618" s="300" t="s">
        <v>22</v>
      </c>
      <c r="G618" s="300" t="s">
        <v>22</v>
      </c>
    </row>
    <row r="619">
      <c r="B619" s="3"/>
      <c r="E619" s="300" t="s">
        <v>22</v>
      </c>
      <c r="F619" s="300" t="s">
        <v>22</v>
      </c>
      <c r="G619" s="300" t="s">
        <v>22</v>
      </c>
    </row>
    <row r="620">
      <c r="B620" s="3"/>
      <c r="E620" s="300" t="s">
        <v>22</v>
      </c>
      <c r="F620" s="300" t="s">
        <v>22</v>
      </c>
      <c r="G620" s="300" t="s">
        <v>22</v>
      </c>
    </row>
    <row r="621">
      <c r="B621" s="3"/>
      <c r="E621" s="300" t="s">
        <v>22</v>
      </c>
      <c r="F621" s="300" t="s">
        <v>22</v>
      </c>
      <c r="G621" s="300" t="s">
        <v>22</v>
      </c>
    </row>
    <row r="622">
      <c r="B622" s="3"/>
      <c r="E622" s="300" t="s">
        <v>22</v>
      </c>
      <c r="F622" s="300" t="s">
        <v>22</v>
      </c>
      <c r="G622" s="300" t="s">
        <v>22</v>
      </c>
    </row>
    <row r="623">
      <c r="B623" s="3"/>
      <c r="E623" s="300" t="s">
        <v>22</v>
      </c>
      <c r="F623" s="300" t="s">
        <v>22</v>
      </c>
      <c r="G623" s="300" t="s">
        <v>22</v>
      </c>
    </row>
    <row r="624">
      <c r="B624" s="3"/>
      <c r="E624" s="300" t="s">
        <v>22</v>
      </c>
      <c r="F624" s="300" t="s">
        <v>22</v>
      </c>
      <c r="G624" s="300" t="s">
        <v>22</v>
      </c>
    </row>
    <row r="625">
      <c r="B625" s="3"/>
      <c r="E625" s="300" t="s">
        <v>22</v>
      </c>
      <c r="F625" s="300" t="s">
        <v>22</v>
      </c>
      <c r="G625" s="300" t="s">
        <v>22</v>
      </c>
    </row>
    <row r="626">
      <c r="B626" s="3"/>
      <c r="E626" s="300" t="s">
        <v>22</v>
      </c>
      <c r="F626" s="300" t="s">
        <v>22</v>
      </c>
      <c r="G626" s="300" t="s">
        <v>22</v>
      </c>
    </row>
    <row r="627">
      <c r="B627" s="3"/>
      <c r="E627" s="300" t="s">
        <v>22</v>
      </c>
      <c r="F627" s="300" t="s">
        <v>22</v>
      </c>
      <c r="G627" s="300" t="s">
        <v>22</v>
      </c>
    </row>
    <row r="628">
      <c r="B628" s="3"/>
      <c r="E628" s="300" t="s">
        <v>22</v>
      </c>
      <c r="F628" s="300" t="s">
        <v>22</v>
      </c>
      <c r="G628" s="300" t="s">
        <v>22</v>
      </c>
    </row>
    <row r="629">
      <c r="B629" s="3"/>
      <c r="E629" s="300" t="s">
        <v>22</v>
      </c>
      <c r="F629" s="300" t="s">
        <v>22</v>
      </c>
      <c r="G629" s="300" t="s">
        <v>22</v>
      </c>
    </row>
    <row r="630">
      <c r="B630" s="3"/>
      <c r="E630" s="300" t="s">
        <v>22</v>
      </c>
      <c r="F630" s="300" t="s">
        <v>22</v>
      </c>
      <c r="G630" s="300" t="s">
        <v>22</v>
      </c>
    </row>
    <row r="631">
      <c r="B631" s="3"/>
      <c r="E631" s="300" t="s">
        <v>22</v>
      </c>
      <c r="F631" s="300" t="s">
        <v>22</v>
      </c>
      <c r="G631" s="300" t="s">
        <v>22</v>
      </c>
    </row>
    <row r="632">
      <c r="B632" s="3"/>
      <c r="E632" s="300" t="s">
        <v>22</v>
      </c>
      <c r="F632" s="300" t="s">
        <v>22</v>
      </c>
      <c r="G632" s="300" t="s">
        <v>22</v>
      </c>
    </row>
    <row r="633">
      <c r="B633" s="3"/>
      <c r="E633" s="300" t="s">
        <v>22</v>
      </c>
      <c r="F633" s="300" t="s">
        <v>22</v>
      </c>
      <c r="G633" s="300" t="s">
        <v>22</v>
      </c>
    </row>
    <row r="634">
      <c r="B634" s="3"/>
      <c r="E634" s="300" t="s">
        <v>22</v>
      </c>
      <c r="F634" s="300" t="s">
        <v>22</v>
      </c>
      <c r="G634" s="300" t="s">
        <v>22</v>
      </c>
    </row>
    <row r="635">
      <c r="B635" s="3"/>
      <c r="E635" s="300" t="s">
        <v>22</v>
      </c>
      <c r="F635" s="300" t="s">
        <v>22</v>
      </c>
      <c r="G635" s="300" t="s">
        <v>22</v>
      </c>
    </row>
    <row r="636">
      <c r="B636" s="3"/>
      <c r="E636" s="300" t="s">
        <v>22</v>
      </c>
      <c r="F636" s="300" t="s">
        <v>22</v>
      </c>
      <c r="G636" s="300" t="s">
        <v>22</v>
      </c>
    </row>
    <row r="637">
      <c r="B637" s="3"/>
      <c r="E637" s="300" t="s">
        <v>22</v>
      </c>
      <c r="F637" s="300" t="s">
        <v>22</v>
      </c>
      <c r="G637" s="300" t="s">
        <v>22</v>
      </c>
    </row>
    <row r="638">
      <c r="B638" s="3"/>
      <c r="E638" s="300" t="s">
        <v>22</v>
      </c>
      <c r="F638" s="300" t="s">
        <v>22</v>
      </c>
      <c r="G638" s="300" t="s">
        <v>22</v>
      </c>
    </row>
    <row r="639">
      <c r="B639" s="3"/>
      <c r="E639" s="300" t="s">
        <v>22</v>
      </c>
      <c r="F639" s="300" t="s">
        <v>22</v>
      </c>
      <c r="G639" s="300" t="s">
        <v>22</v>
      </c>
    </row>
    <row r="640">
      <c r="B640" s="3"/>
      <c r="E640" s="300" t="s">
        <v>22</v>
      </c>
      <c r="F640" s="300" t="s">
        <v>22</v>
      </c>
      <c r="G640" s="300" t="s">
        <v>22</v>
      </c>
    </row>
    <row r="641">
      <c r="B641" s="3"/>
      <c r="E641" s="300" t="s">
        <v>22</v>
      </c>
      <c r="F641" s="300" t="s">
        <v>22</v>
      </c>
      <c r="G641" s="300" t="s">
        <v>22</v>
      </c>
    </row>
    <row r="642">
      <c r="B642" s="3"/>
      <c r="E642" s="300" t="s">
        <v>22</v>
      </c>
      <c r="F642" s="300" t="s">
        <v>22</v>
      </c>
      <c r="G642" s="300" t="s">
        <v>22</v>
      </c>
    </row>
    <row r="643">
      <c r="B643" s="3"/>
      <c r="E643" s="300" t="s">
        <v>22</v>
      </c>
      <c r="F643" s="300" t="s">
        <v>22</v>
      </c>
      <c r="G643" s="300" t="s">
        <v>22</v>
      </c>
    </row>
    <row r="644">
      <c r="B644" s="3"/>
      <c r="E644" s="300" t="s">
        <v>22</v>
      </c>
      <c r="F644" s="300" t="s">
        <v>22</v>
      </c>
      <c r="G644" s="300" t="s">
        <v>22</v>
      </c>
    </row>
    <row r="645">
      <c r="B645" s="3"/>
      <c r="E645" s="300" t="s">
        <v>22</v>
      </c>
      <c r="F645" s="300" t="s">
        <v>22</v>
      </c>
      <c r="G645" s="300" t="s">
        <v>22</v>
      </c>
    </row>
    <row r="646">
      <c r="B646" s="3"/>
      <c r="E646" s="300" t="s">
        <v>22</v>
      </c>
      <c r="F646" s="300" t="s">
        <v>22</v>
      </c>
      <c r="G646" s="300" t="s">
        <v>22</v>
      </c>
    </row>
    <row r="647">
      <c r="B647" s="3"/>
      <c r="E647" s="300" t="s">
        <v>22</v>
      </c>
      <c r="F647" s="300" t="s">
        <v>22</v>
      </c>
      <c r="G647" s="300" t="s">
        <v>22</v>
      </c>
    </row>
    <row r="648">
      <c r="B648" s="3"/>
      <c r="E648" s="300" t="s">
        <v>22</v>
      </c>
      <c r="F648" s="300" t="s">
        <v>22</v>
      </c>
      <c r="G648" s="300" t="s">
        <v>22</v>
      </c>
    </row>
    <row r="649">
      <c r="B649" s="3"/>
      <c r="E649" s="300" t="s">
        <v>22</v>
      </c>
      <c r="F649" s="300" t="s">
        <v>22</v>
      </c>
      <c r="G649" s="300" t="s">
        <v>22</v>
      </c>
    </row>
    <row r="650">
      <c r="B650" s="3"/>
      <c r="E650" s="300" t="s">
        <v>22</v>
      </c>
      <c r="F650" s="300" t="s">
        <v>22</v>
      </c>
      <c r="G650" s="300" t="s">
        <v>22</v>
      </c>
    </row>
    <row r="651">
      <c r="B651" s="3"/>
      <c r="E651" s="300" t="s">
        <v>22</v>
      </c>
      <c r="F651" s="300" t="s">
        <v>22</v>
      </c>
      <c r="G651" s="300" t="s">
        <v>22</v>
      </c>
    </row>
    <row r="652">
      <c r="B652" s="3"/>
      <c r="E652" s="300" t="s">
        <v>22</v>
      </c>
      <c r="F652" s="300" t="s">
        <v>22</v>
      </c>
      <c r="G652" s="300" t="s">
        <v>22</v>
      </c>
    </row>
    <row r="653">
      <c r="B653" s="3"/>
      <c r="E653" s="300" t="s">
        <v>22</v>
      </c>
      <c r="F653" s="300" t="s">
        <v>22</v>
      </c>
      <c r="G653" s="300" t="s">
        <v>22</v>
      </c>
    </row>
    <row r="654">
      <c r="B654" s="3"/>
      <c r="E654" s="300" t="s">
        <v>22</v>
      </c>
      <c r="F654" s="300" t="s">
        <v>22</v>
      </c>
      <c r="G654" s="300" t="s">
        <v>22</v>
      </c>
    </row>
    <row r="655">
      <c r="B655" s="3"/>
      <c r="E655" s="300" t="s">
        <v>22</v>
      </c>
      <c r="F655" s="300" t="s">
        <v>22</v>
      </c>
      <c r="G655" s="300" t="s">
        <v>22</v>
      </c>
    </row>
    <row r="656">
      <c r="B656" s="3"/>
      <c r="E656" s="300" t="s">
        <v>22</v>
      </c>
      <c r="F656" s="300" t="s">
        <v>22</v>
      </c>
      <c r="G656" s="300" t="s">
        <v>22</v>
      </c>
    </row>
    <row r="657">
      <c r="B657" s="3"/>
      <c r="E657" s="300" t="s">
        <v>22</v>
      </c>
      <c r="F657" s="300" t="s">
        <v>22</v>
      </c>
      <c r="G657" s="300" t="s">
        <v>22</v>
      </c>
    </row>
    <row r="658">
      <c r="B658" s="3"/>
      <c r="E658" s="300" t="s">
        <v>22</v>
      </c>
      <c r="F658" s="300" t="s">
        <v>22</v>
      </c>
      <c r="G658" s="300" t="s">
        <v>22</v>
      </c>
    </row>
    <row r="659">
      <c r="B659" s="3"/>
      <c r="E659" s="300" t="s">
        <v>22</v>
      </c>
      <c r="F659" s="300" t="s">
        <v>22</v>
      </c>
      <c r="G659" s="300" t="s">
        <v>22</v>
      </c>
    </row>
    <row r="660">
      <c r="B660" s="3"/>
      <c r="E660" s="300" t="s">
        <v>22</v>
      </c>
      <c r="F660" s="300" t="s">
        <v>22</v>
      </c>
      <c r="G660" s="300" t="s">
        <v>22</v>
      </c>
    </row>
    <row r="661">
      <c r="B661" s="3"/>
      <c r="E661" s="300" t="s">
        <v>22</v>
      </c>
      <c r="F661" s="300" t="s">
        <v>22</v>
      </c>
      <c r="G661" s="300" t="s">
        <v>22</v>
      </c>
    </row>
    <row r="662">
      <c r="B662" s="3"/>
      <c r="E662" s="300" t="s">
        <v>22</v>
      </c>
      <c r="F662" s="300" t="s">
        <v>22</v>
      </c>
      <c r="G662" s="300" t="s">
        <v>22</v>
      </c>
    </row>
    <row r="663">
      <c r="B663" s="3"/>
      <c r="E663" s="300" t="s">
        <v>22</v>
      </c>
      <c r="F663" s="300" t="s">
        <v>22</v>
      </c>
      <c r="G663" s="300" t="s">
        <v>22</v>
      </c>
    </row>
    <row r="664">
      <c r="B664" s="3"/>
      <c r="E664" s="300" t="s">
        <v>22</v>
      </c>
      <c r="F664" s="300" t="s">
        <v>22</v>
      </c>
      <c r="G664" s="300" t="s">
        <v>22</v>
      </c>
    </row>
    <row r="665">
      <c r="B665" s="3"/>
      <c r="E665" s="300" t="s">
        <v>22</v>
      </c>
      <c r="F665" s="300" t="s">
        <v>22</v>
      </c>
      <c r="G665" s="300" t="s">
        <v>22</v>
      </c>
    </row>
    <row r="666">
      <c r="B666" s="3"/>
      <c r="E666" s="300" t="s">
        <v>22</v>
      </c>
      <c r="F666" s="300" t="s">
        <v>22</v>
      </c>
      <c r="G666" s="300" t="s">
        <v>22</v>
      </c>
    </row>
    <row r="667">
      <c r="B667" s="3"/>
      <c r="E667" s="300" t="s">
        <v>22</v>
      </c>
      <c r="F667" s="300" t="s">
        <v>22</v>
      </c>
      <c r="G667" s="300" t="s">
        <v>22</v>
      </c>
    </row>
    <row r="668">
      <c r="B668" s="3"/>
      <c r="E668" s="300" t="s">
        <v>22</v>
      </c>
      <c r="F668" s="300" t="s">
        <v>22</v>
      </c>
      <c r="G668" s="300" t="s">
        <v>22</v>
      </c>
    </row>
    <row r="669">
      <c r="B669" s="3"/>
      <c r="E669" s="300" t="s">
        <v>22</v>
      </c>
      <c r="F669" s="300" t="s">
        <v>22</v>
      </c>
      <c r="G669" s="300" t="s">
        <v>22</v>
      </c>
    </row>
    <row r="670">
      <c r="B670" s="3"/>
      <c r="E670" s="300" t="s">
        <v>22</v>
      </c>
      <c r="F670" s="300" t="s">
        <v>22</v>
      </c>
      <c r="G670" s="300" t="s">
        <v>22</v>
      </c>
    </row>
    <row r="671">
      <c r="B671" s="3"/>
      <c r="E671" s="300" t="s">
        <v>22</v>
      </c>
      <c r="F671" s="300" t="s">
        <v>22</v>
      </c>
      <c r="G671" s="300" t="s">
        <v>22</v>
      </c>
    </row>
    <row r="672">
      <c r="B672" s="3"/>
      <c r="E672" s="300" t="s">
        <v>22</v>
      </c>
      <c r="F672" s="300" t="s">
        <v>22</v>
      </c>
      <c r="G672" s="300" t="s">
        <v>22</v>
      </c>
    </row>
    <row r="673">
      <c r="B673" s="3"/>
      <c r="E673" s="300" t="s">
        <v>22</v>
      </c>
      <c r="F673" s="300" t="s">
        <v>22</v>
      </c>
      <c r="G673" s="300" t="s">
        <v>22</v>
      </c>
    </row>
    <row r="674">
      <c r="B674" s="3"/>
      <c r="E674" s="300" t="s">
        <v>22</v>
      </c>
      <c r="F674" s="300" t="s">
        <v>22</v>
      </c>
      <c r="G674" s="300" t="s">
        <v>22</v>
      </c>
    </row>
    <row r="675">
      <c r="B675" s="3"/>
      <c r="E675" s="300" t="s">
        <v>22</v>
      </c>
      <c r="F675" s="300" t="s">
        <v>22</v>
      </c>
      <c r="G675" s="300" t="s">
        <v>22</v>
      </c>
    </row>
    <row r="676">
      <c r="B676" s="3"/>
      <c r="E676" s="300" t="s">
        <v>22</v>
      </c>
      <c r="F676" s="300" t="s">
        <v>22</v>
      </c>
      <c r="G676" s="300" t="s">
        <v>22</v>
      </c>
    </row>
    <row r="677">
      <c r="B677" s="3"/>
      <c r="E677" s="300" t="s">
        <v>22</v>
      </c>
      <c r="F677" s="300" t="s">
        <v>22</v>
      </c>
      <c r="G677" s="300" t="s">
        <v>22</v>
      </c>
    </row>
    <row r="678">
      <c r="B678" s="3"/>
      <c r="E678" s="300" t="s">
        <v>22</v>
      </c>
      <c r="F678" s="300" t="s">
        <v>22</v>
      </c>
      <c r="G678" s="300" t="s">
        <v>22</v>
      </c>
    </row>
    <row r="679">
      <c r="B679" s="3"/>
      <c r="E679" s="300" t="s">
        <v>22</v>
      </c>
      <c r="F679" s="300" t="s">
        <v>22</v>
      </c>
      <c r="G679" s="300" t="s">
        <v>22</v>
      </c>
    </row>
    <row r="680">
      <c r="B680" s="3"/>
      <c r="E680" s="300" t="s">
        <v>22</v>
      </c>
      <c r="F680" s="300" t="s">
        <v>22</v>
      </c>
      <c r="G680" s="300" t="s">
        <v>22</v>
      </c>
    </row>
    <row r="681">
      <c r="B681" s="3"/>
      <c r="E681" s="300" t="s">
        <v>22</v>
      </c>
      <c r="F681" s="300" t="s">
        <v>22</v>
      </c>
      <c r="G681" s="300" t="s">
        <v>22</v>
      </c>
    </row>
    <row r="682">
      <c r="B682" s="3"/>
      <c r="E682" s="300" t="s">
        <v>22</v>
      </c>
      <c r="F682" s="300" t="s">
        <v>22</v>
      </c>
      <c r="G682" s="300" t="s">
        <v>22</v>
      </c>
    </row>
    <row r="683">
      <c r="B683" s="3"/>
      <c r="E683" s="300" t="s">
        <v>22</v>
      </c>
      <c r="F683" s="300" t="s">
        <v>22</v>
      </c>
      <c r="G683" s="300" t="s">
        <v>22</v>
      </c>
    </row>
    <row r="684">
      <c r="B684" s="3"/>
      <c r="E684" s="300" t="s">
        <v>22</v>
      </c>
      <c r="F684" s="300" t="s">
        <v>22</v>
      </c>
      <c r="G684" s="300" t="s">
        <v>22</v>
      </c>
    </row>
    <row r="685">
      <c r="B685" s="3"/>
      <c r="E685" s="300" t="s">
        <v>22</v>
      </c>
      <c r="F685" s="300" t="s">
        <v>22</v>
      </c>
      <c r="G685" s="300" t="s">
        <v>22</v>
      </c>
    </row>
    <row r="686">
      <c r="B686" s="3"/>
      <c r="E686" s="300" t="s">
        <v>22</v>
      </c>
      <c r="F686" s="300" t="s">
        <v>22</v>
      </c>
      <c r="G686" s="300" t="s">
        <v>22</v>
      </c>
    </row>
    <row r="687">
      <c r="B687" s="3"/>
      <c r="E687" s="300" t="s">
        <v>22</v>
      </c>
      <c r="F687" s="300" t="s">
        <v>22</v>
      </c>
      <c r="G687" s="300" t="s">
        <v>22</v>
      </c>
    </row>
    <row r="688">
      <c r="B688" s="3"/>
      <c r="E688" s="300" t="s">
        <v>22</v>
      </c>
      <c r="F688" s="300" t="s">
        <v>22</v>
      </c>
      <c r="G688" s="300" t="s">
        <v>22</v>
      </c>
    </row>
    <row r="689">
      <c r="B689" s="3"/>
      <c r="E689" s="300" t="s">
        <v>22</v>
      </c>
      <c r="F689" s="300" t="s">
        <v>22</v>
      </c>
      <c r="G689" s="300" t="s">
        <v>22</v>
      </c>
    </row>
    <row r="690">
      <c r="B690" s="3"/>
      <c r="E690" s="300" t="s">
        <v>22</v>
      </c>
      <c r="F690" s="300" t="s">
        <v>22</v>
      </c>
      <c r="G690" s="300" t="s">
        <v>22</v>
      </c>
    </row>
    <row r="691">
      <c r="B691" s="3"/>
      <c r="E691" s="300" t="s">
        <v>22</v>
      </c>
      <c r="F691" s="300" t="s">
        <v>22</v>
      </c>
      <c r="G691" s="300" t="s">
        <v>22</v>
      </c>
    </row>
    <row r="692">
      <c r="B692" s="3"/>
      <c r="E692" s="300" t="s">
        <v>22</v>
      </c>
      <c r="F692" s="300" t="s">
        <v>22</v>
      </c>
      <c r="G692" s="300" t="s">
        <v>22</v>
      </c>
    </row>
    <row r="693">
      <c r="B693" s="3"/>
      <c r="E693" s="300" t="s">
        <v>22</v>
      </c>
      <c r="F693" s="300" t="s">
        <v>22</v>
      </c>
      <c r="G693" s="300" t="s">
        <v>22</v>
      </c>
    </row>
    <row r="694">
      <c r="B694" s="3"/>
      <c r="E694" s="300" t="s">
        <v>22</v>
      </c>
      <c r="F694" s="300" t="s">
        <v>22</v>
      </c>
      <c r="G694" s="300" t="s">
        <v>22</v>
      </c>
    </row>
    <row r="695">
      <c r="B695" s="3"/>
      <c r="E695" s="300" t="s">
        <v>22</v>
      </c>
      <c r="F695" s="300" t="s">
        <v>22</v>
      </c>
      <c r="G695" s="300" t="s">
        <v>22</v>
      </c>
    </row>
    <row r="696">
      <c r="B696" s="3"/>
      <c r="E696" s="300" t="s">
        <v>22</v>
      </c>
      <c r="F696" s="300" t="s">
        <v>22</v>
      </c>
      <c r="G696" s="300" t="s">
        <v>22</v>
      </c>
    </row>
    <row r="697">
      <c r="B697" s="3"/>
      <c r="E697" s="300" t="s">
        <v>22</v>
      </c>
      <c r="F697" s="300" t="s">
        <v>22</v>
      </c>
      <c r="G697" s="300" t="s">
        <v>22</v>
      </c>
    </row>
    <row r="698">
      <c r="B698" s="3"/>
      <c r="E698" s="300" t="s">
        <v>22</v>
      </c>
      <c r="F698" s="300" t="s">
        <v>22</v>
      </c>
      <c r="G698" s="300" t="s">
        <v>22</v>
      </c>
    </row>
    <row r="699">
      <c r="B699" s="3"/>
      <c r="E699" s="300" t="s">
        <v>22</v>
      </c>
      <c r="F699" s="300" t="s">
        <v>22</v>
      </c>
      <c r="G699" s="300" t="s">
        <v>22</v>
      </c>
    </row>
    <row r="700">
      <c r="B700" s="3"/>
      <c r="E700" s="300" t="s">
        <v>22</v>
      </c>
      <c r="F700" s="300" t="s">
        <v>22</v>
      </c>
      <c r="G700" s="300" t="s">
        <v>22</v>
      </c>
    </row>
    <row r="701">
      <c r="B701" s="3"/>
      <c r="E701" s="300" t="s">
        <v>22</v>
      </c>
      <c r="F701" s="300" t="s">
        <v>22</v>
      </c>
      <c r="G701" s="300" t="s">
        <v>22</v>
      </c>
    </row>
    <row r="702">
      <c r="B702" s="3"/>
      <c r="E702" s="300" t="s">
        <v>22</v>
      </c>
      <c r="F702" s="300" t="s">
        <v>22</v>
      </c>
      <c r="G702" s="300" t="s">
        <v>22</v>
      </c>
    </row>
    <row r="703">
      <c r="B703" s="3"/>
      <c r="E703" s="300" t="s">
        <v>22</v>
      </c>
      <c r="F703" s="300" t="s">
        <v>22</v>
      </c>
      <c r="G703" s="300" t="s">
        <v>22</v>
      </c>
    </row>
    <row r="704">
      <c r="B704" s="3"/>
      <c r="E704" s="300" t="s">
        <v>22</v>
      </c>
      <c r="F704" s="300" t="s">
        <v>22</v>
      </c>
      <c r="G704" s="300" t="s">
        <v>22</v>
      </c>
    </row>
    <row r="705">
      <c r="B705" s="3"/>
      <c r="E705" s="300" t="s">
        <v>22</v>
      </c>
      <c r="F705" s="300" t="s">
        <v>22</v>
      </c>
      <c r="G705" s="300" t="s">
        <v>22</v>
      </c>
    </row>
    <row r="706">
      <c r="B706" s="3"/>
      <c r="E706" s="300" t="s">
        <v>22</v>
      </c>
      <c r="F706" s="300" t="s">
        <v>22</v>
      </c>
      <c r="G706" s="300" t="s">
        <v>22</v>
      </c>
    </row>
    <row r="707">
      <c r="B707" s="3"/>
      <c r="E707" s="300" t="s">
        <v>22</v>
      </c>
      <c r="F707" s="300" t="s">
        <v>22</v>
      </c>
      <c r="G707" s="300" t="s">
        <v>22</v>
      </c>
    </row>
    <row r="708">
      <c r="B708" s="3"/>
      <c r="E708" s="300" t="s">
        <v>22</v>
      </c>
      <c r="F708" s="300" t="s">
        <v>22</v>
      </c>
      <c r="G708" s="300" t="s">
        <v>22</v>
      </c>
    </row>
    <row r="709">
      <c r="B709" s="3"/>
      <c r="E709" s="300" t="s">
        <v>22</v>
      </c>
      <c r="F709" s="300" t="s">
        <v>22</v>
      </c>
      <c r="G709" s="300" t="s">
        <v>22</v>
      </c>
    </row>
    <row r="710">
      <c r="B710" s="3"/>
      <c r="E710" s="300" t="s">
        <v>22</v>
      </c>
      <c r="F710" s="300" t="s">
        <v>22</v>
      </c>
      <c r="G710" s="300" t="s">
        <v>22</v>
      </c>
    </row>
    <row r="711">
      <c r="B711" s="3"/>
      <c r="E711" s="300" t="s">
        <v>22</v>
      </c>
      <c r="F711" s="300" t="s">
        <v>22</v>
      </c>
      <c r="G711" s="300" t="s">
        <v>22</v>
      </c>
    </row>
    <row r="712">
      <c r="B712" s="3"/>
      <c r="E712" s="300" t="s">
        <v>22</v>
      </c>
      <c r="F712" s="300" t="s">
        <v>22</v>
      </c>
      <c r="G712" s="300" t="s">
        <v>22</v>
      </c>
    </row>
    <row r="713">
      <c r="B713" s="3"/>
      <c r="E713" s="300" t="s">
        <v>22</v>
      </c>
      <c r="F713" s="300" t="s">
        <v>22</v>
      </c>
      <c r="G713" s="300" t="s">
        <v>22</v>
      </c>
    </row>
    <row r="714">
      <c r="B714" s="3"/>
      <c r="E714" s="300" t="s">
        <v>22</v>
      </c>
      <c r="F714" s="300" t="s">
        <v>22</v>
      </c>
      <c r="G714" s="300" t="s">
        <v>22</v>
      </c>
    </row>
    <row r="715">
      <c r="B715" s="3"/>
      <c r="E715" s="300" t="s">
        <v>22</v>
      </c>
      <c r="F715" s="300" t="s">
        <v>22</v>
      </c>
      <c r="G715" s="300" t="s">
        <v>22</v>
      </c>
    </row>
    <row r="716">
      <c r="B716" s="3"/>
      <c r="E716" s="300" t="s">
        <v>22</v>
      </c>
      <c r="F716" s="300" t="s">
        <v>22</v>
      </c>
      <c r="G716" s="300" t="s">
        <v>22</v>
      </c>
    </row>
    <row r="717">
      <c r="B717" s="3"/>
      <c r="E717" s="300" t="s">
        <v>22</v>
      </c>
      <c r="F717" s="300" t="s">
        <v>22</v>
      </c>
      <c r="G717" s="300" t="s">
        <v>22</v>
      </c>
    </row>
    <row r="718">
      <c r="B718" s="3"/>
      <c r="E718" s="300" t="s">
        <v>22</v>
      </c>
      <c r="F718" s="300" t="s">
        <v>22</v>
      </c>
      <c r="G718" s="300" t="s">
        <v>22</v>
      </c>
    </row>
    <row r="719">
      <c r="B719" s="3"/>
      <c r="E719" s="300" t="s">
        <v>22</v>
      </c>
      <c r="F719" s="300" t="s">
        <v>22</v>
      </c>
      <c r="G719" s="300" t="s">
        <v>22</v>
      </c>
    </row>
    <row r="720">
      <c r="B720" s="3"/>
      <c r="E720" s="300" t="s">
        <v>22</v>
      </c>
      <c r="F720" s="300" t="s">
        <v>22</v>
      </c>
      <c r="G720" s="300" t="s">
        <v>22</v>
      </c>
    </row>
    <row r="721">
      <c r="B721" s="3"/>
      <c r="E721" s="300" t="s">
        <v>22</v>
      </c>
      <c r="F721" s="300" t="s">
        <v>22</v>
      </c>
      <c r="G721" s="300" t="s">
        <v>22</v>
      </c>
    </row>
    <row r="722">
      <c r="B722" s="3"/>
      <c r="E722" s="300" t="s">
        <v>22</v>
      </c>
      <c r="F722" s="300" t="s">
        <v>22</v>
      </c>
      <c r="G722" s="300" t="s">
        <v>22</v>
      </c>
    </row>
    <row r="723">
      <c r="B723" s="3"/>
      <c r="E723" s="300" t="s">
        <v>22</v>
      </c>
      <c r="F723" s="300" t="s">
        <v>22</v>
      </c>
      <c r="G723" s="300" t="s">
        <v>22</v>
      </c>
    </row>
    <row r="724">
      <c r="B724" s="3"/>
      <c r="E724" s="300" t="s">
        <v>22</v>
      </c>
      <c r="F724" s="300" t="s">
        <v>22</v>
      </c>
      <c r="G724" s="300" t="s">
        <v>22</v>
      </c>
    </row>
    <row r="725">
      <c r="B725" s="3"/>
      <c r="E725" s="300" t="s">
        <v>22</v>
      </c>
      <c r="F725" s="300" t="s">
        <v>22</v>
      </c>
      <c r="G725" s="300" t="s">
        <v>22</v>
      </c>
    </row>
    <row r="726">
      <c r="B726" s="3"/>
      <c r="E726" s="300" t="s">
        <v>22</v>
      </c>
      <c r="F726" s="300" t="s">
        <v>22</v>
      </c>
      <c r="G726" s="300" t="s">
        <v>22</v>
      </c>
    </row>
    <row r="727">
      <c r="B727" s="3"/>
      <c r="E727" s="300" t="s">
        <v>22</v>
      </c>
      <c r="F727" s="300" t="s">
        <v>22</v>
      </c>
      <c r="G727" s="300" t="s">
        <v>22</v>
      </c>
    </row>
    <row r="728">
      <c r="B728" s="3"/>
      <c r="E728" s="300" t="s">
        <v>22</v>
      </c>
      <c r="F728" s="300" t="s">
        <v>22</v>
      </c>
      <c r="G728" s="300" t="s">
        <v>22</v>
      </c>
    </row>
    <row r="729">
      <c r="B729" s="3"/>
      <c r="E729" s="300" t="s">
        <v>22</v>
      </c>
      <c r="F729" s="300" t="s">
        <v>22</v>
      </c>
      <c r="G729" s="300" t="s">
        <v>22</v>
      </c>
    </row>
    <row r="730">
      <c r="B730" s="3"/>
      <c r="E730" s="300" t="s">
        <v>22</v>
      </c>
      <c r="F730" s="300" t="s">
        <v>22</v>
      </c>
      <c r="G730" s="300" t="s">
        <v>22</v>
      </c>
    </row>
    <row r="731">
      <c r="B731" s="3"/>
      <c r="E731" s="300" t="s">
        <v>22</v>
      </c>
      <c r="F731" s="300" t="s">
        <v>22</v>
      </c>
      <c r="G731" s="300" t="s">
        <v>22</v>
      </c>
    </row>
    <row r="732">
      <c r="B732" s="3"/>
      <c r="E732" s="300" t="s">
        <v>22</v>
      </c>
      <c r="F732" s="300" t="s">
        <v>22</v>
      </c>
      <c r="G732" s="300" t="s">
        <v>22</v>
      </c>
    </row>
    <row r="733">
      <c r="B733" s="3"/>
      <c r="E733" s="300" t="s">
        <v>22</v>
      </c>
      <c r="F733" s="300" t="s">
        <v>22</v>
      </c>
      <c r="G733" s="300" t="s">
        <v>22</v>
      </c>
    </row>
    <row r="734">
      <c r="B734" s="3"/>
      <c r="E734" s="300" t="s">
        <v>22</v>
      </c>
      <c r="F734" s="300" t="s">
        <v>22</v>
      </c>
      <c r="G734" s="300" t="s">
        <v>22</v>
      </c>
    </row>
    <row r="735">
      <c r="B735" s="3"/>
      <c r="E735" s="300" t="s">
        <v>22</v>
      </c>
      <c r="F735" s="300" t="s">
        <v>22</v>
      </c>
      <c r="G735" s="300" t="s">
        <v>22</v>
      </c>
    </row>
    <row r="736">
      <c r="B736" s="3"/>
      <c r="E736" s="300" t="s">
        <v>22</v>
      </c>
      <c r="F736" s="300" t="s">
        <v>22</v>
      </c>
      <c r="G736" s="300" t="s">
        <v>22</v>
      </c>
    </row>
    <row r="737">
      <c r="B737" s="3"/>
      <c r="E737" s="300" t="s">
        <v>22</v>
      </c>
      <c r="F737" s="300" t="s">
        <v>22</v>
      </c>
      <c r="G737" s="300" t="s">
        <v>22</v>
      </c>
    </row>
    <row r="738">
      <c r="B738" s="3"/>
      <c r="E738" s="300" t="s">
        <v>22</v>
      </c>
      <c r="F738" s="300" t="s">
        <v>22</v>
      </c>
      <c r="G738" s="300" t="s">
        <v>22</v>
      </c>
    </row>
    <row r="739">
      <c r="B739" s="3"/>
      <c r="E739" s="300" t="s">
        <v>22</v>
      </c>
      <c r="F739" s="300" t="s">
        <v>22</v>
      </c>
      <c r="G739" s="300" t="s">
        <v>22</v>
      </c>
    </row>
    <row r="740">
      <c r="B740" s="3"/>
      <c r="E740" s="300" t="s">
        <v>22</v>
      </c>
      <c r="F740" s="300" t="s">
        <v>22</v>
      </c>
      <c r="G740" s="300" t="s">
        <v>22</v>
      </c>
    </row>
    <row r="741">
      <c r="B741" s="3"/>
      <c r="E741" s="300" t="s">
        <v>22</v>
      </c>
      <c r="F741" s="300" t="s">
        <v>22</v>
      </c>
      <c r="G741" s="300" t="s">
        <v>22</v>
      </c>
    </row>
    <row r="742">
      <c r="B742" s="3"/>
      <c r="E742" s="300" t="s">
        <v>22</v>
      </c>
      <c r="F742" s="300" t="s">
        <v>22</v>
      </c>
      <c r="G742" s="300" t="s">
        <v>22</v>
      </c>
    </row>
    <row r="743">
      <c r="B743" s="3"/>
      <c r="E743" s="300" t="s">
        <v>22</v>
      </c>
      <c r="F743" s="300" t="s">
        <v>22</v>
      </c>
      <c r="G743" s="300" t="s">
        <v>22</v>
      </c>
    </row>
    <row r="744">
      <c r="B744" s="3"/>
      <c r="E744" s="300" t="s">
        <v>22</v>
      </c>
      <c r="F744" s="300" t="s">
        <v>22</v>
      </c>
      <c r="G744" s="300" t="s">
        <v>22</v>
      </c>
    </row>
    <row r="745">
      <c r="B745" s="3"/>
      <c r="E745" s="300" t="s">
        <v>22</v>
      </c>
      <c r="F745" s="300" t="s">
        <v>22</v>
      </c>
      <c r="G745" s="300" t="s">
        <v>22</v>
      </c>
    </row>
    <row r="746">
      <c r="B746" s="3"/>
      <c r="E746" s="300" t="s">
        <v>22</v>
      </c>
      <c r="F746" s="300" t="s">
        <v>22</v>
      </c>
      <c r="G746" s="300" t="s">
        <v>22</v>
      </c>
    </row>
    <row r="747">
      <c r="B747" s="3"/>
      <c r="E747" s="300" t="s">
        <v>22</v>
      </c>
      <c r="F747" s="300" t="s">
        <v>22</v>
      </c>
      <c r="G747" s="300" t="s">
        <v>22</v>
      </c>
    </row>
    <row r="748">
      <c r="B748" s="3"/>
      <c r="E748" s="300" t="s">
        <v>22</v>
      </c>
      <c r="F748" s="300" t="s">
        <v>22</v>
      </c>
      <c r="G748" s="300" t="s">
        <v>22</v>
      </c>
    </row>
    <row r="749">
      <c r="B749" s="3"/>
      <c r="E749" s="300" t="s">
        <v>22</v>
      </c>
      <c r="F749" s="300" t="s">
        <v>22</v>
      </c>
      <c r="G749" s="300" t="s">
        <v>22</v>
      </c>
    </row>
    <row r="750">
      <c r="B750" s="3"/>
      <c r="E750" s="300" t="s">
        <v>22</v>
      </c>
      <c r="F750" s="300" t="s">
        <v>22</v>
      </c>
      <c r="G750" s="300" t="s">
        <v>22</v>
      </c>
    </row>
    <row r="751">
      <c r="B751" s="3"/>
      <c r="E751" s="300" t="s">
        <v>22</v>
      </c>
      <c r="F751" s="300" t="s">
        <v>22</v>
      </c>
      <c r="G751" s="300" t="s">
        <v>22</v>
      </c>
    </row>
    <row r="752">
      <c r="B752" s="3"/>
      <c r="E752" s="300" t="s">
        <v>22</v>
      </c>
      <c r="F752" s="300" t="s">
        <v>22</v>
      </c>
      <c r="G752" s="300" t="s">
        <v>22</v>
      </c>
    </row>
    <row r="753">
      <c r="B753" s="3"/>
      <c r="E753" s="300" t="s">
        <v>22</v>
      </c>
      <c r="F753" s="300" t="s">
        <v>22</v>
      </c>
      <c r="G753" s="300" t="s">
        <v>22</v>
      </c>
    </row>
    <row r="754">
      <c r="B754" s="3"/>
      <c r="E754" s="300" t="s">
        <v>22</v>
      </c>
      <c r="F754" s="300" t="s">
        <v>22</v>
      </c>
      <c r="G754" s="300" t="s">
        <v>22</v>
      </c>
    </row>
    <row r="755">
      <c r="B755" s="3"/>
      <c r="E755" s="300" t="s">
        <v>22</v>
      </c>
      <c r="F755" s="300" t="s">
        <v>22</v>
      </c>
      <c r="G755" s="300" t="s">
        <v>22</v>
      </c>
    </row>
    <row r="756">
      <c r="B756" s="3"/>
      <c r="E756" s="300" t="s">
        <v>22</v>
      </c>
      <c r="F756" s="300" t="s">
        <v>22</v>
      </c>
      <c r="G756" s="300" t="s">
        <v>22</v>
      </c>
    </row>
    <row r="757">
      <c r="B757" s="3"/>
      <c r="E757" s="300" t="s">
        <v>22</v>
      </c>
      <c r="F757" s="300" t="s">
        <v>22</v>
      </c>
      <c r="G757" s="300" t="s">
        <v>22</v>
      </c>
    </row>
    <row r="758">
      <c r="B758" s="3"/>
      <c r="E758" s="300" t="s">
        <v>22</v>
      </c>
      <c r="F758" s="300" t="s">
        <v>22</v>
      </c>
      <c r="G758" s="300" t="s">
        <v>22</v>
      </c>
    </row>
    <row r="759">
      <c r="B759" s="3"/>
      <c r="E759" s="300" t="s">
        <v>22</v>
      </c>
      <c r="F759" s="300" t="s">
        <v>22</v>
      </c>
      <c r="G759" s="300" t="s">
        <v>22</v>
      </c>
    </row>
    <row r="760">
      <c r="B760" s="3"/>
      <c r="E760" s="300" t="s">
        <v>22</v>
      </c>
      <c r="F760" s="300" t="s">
        <v>22</v>
      </c>
      <c r="G760" s="300" t="s">
        <v>22</v>
      </c>
    </row>
    <row r="761">
      <c r="B761" s="3"/>
      <c r="E761" s="300" t="s">
        <v>22</v>
      </c>
      <c r="F761" s="300" t="s">
        <v>22</v>
      </c>
      <c r="G761" s="300" t="s">
        <v>22</v>
      </c>
    </row>
    <row r="762">
      <c r="B762" s="3"/>
      <c r="E762" s="300" t="s">
        <v>22</v>
      </c>
      <c r="F762" s="300" t="s">
        <v>22</v>
      </c>
      <c r="G762" s="300" t="s">
        <v>22</v>
      </c>
    </row>
    <row r="763">
      <c r="B763" s="3"/>
      <c r="E763" s="300" t="s">
        <v>22</v>
      </c>
      <c r="F763" s="300" t="s">
        <v>22</v>
      </c>
      <c r="G763" s="300" t="s">
        <v>22</v>
      </c>
    </row>
    <row r="764">
      <c r="B764" s="3"/>
      <c r="E764" s="300" t="s">
        <v>22</v>
      </c>
      <c r="F764" s="300" t="s">
        <v>22</v>
      </c>
      <c r="G764" s="300" t="s">
        <v>22</v>
      </c>
    </row>
    <row r="765">
      <c r="B765" s="3"/>
      <c r="E765" s="300" t="s">
        <v>22</v>
      </c>
      <c r="F765" s="300" t="s">
        <v>22</v>
      </c>
      <c r="G765" s="300" t="s">
        <v>22</v>
      </c>
    </row>
    <row r="766">
      <c r="B766" s="3"/>
      <c r="E766" s="300" t="s">
        <v>22</v>
      </c>
      <c r="F766" s="300" t="s">
        <v>22</v>
      </c>
      <c r="G766" s="300" t="s">
        <v>22</v>
      </c>
    </row>
    <row r="767">
      <c r="B767" s="3"/>
      <c r="E767" s="300" t="s">
        <v>22</v>
      </c>
      <c r="F767" s="300" t="s">
        <v>22</v>
      </c>
      <c r="G767" s="300" t="s">
        <v>22</v>
      </c>
    </row>
    <row r="768">
      <c r="B768" s="3"/>
      <c r="E768" s="300" t="s">
        <v>22</v>
      </c>
      <c r="F768" s="300" t="s">
        <v>22</v>
      </c>
      <c r="G768" s="300" t="s">
        <v>22</v>
      </c>
    </row>
    <row r="769">
      <c r="B769" s="3"/>
      <c r="E769" s="300" t="s">
        <v>22</v>
      </c>
      <c r="F769" s="300" t="s">
        <v>22</v>
      </c>
      <c r="G769" s="300" t="s">
        <v>22</v>
      </c>
    </row>
    <row r="770">
      <c r="B770" s="3"/>
      <c r="E770" s="300" t="s">
        <v>22</v>
      </c>
      <c r="F770" s="300" t="s">
        <v>22</v>
      </c>
      <c r="G770" s="300" t="s">
        <v>22</v>
      </c>
    </row>
    <row r="771">
      <c r="B771" s="3"/>
      <c r="E771" s="300" t="s">
        <v>22</v>
      </c>
      <c r="F771" s="300" t="s">
        <v>22</v>
      </c>
      <c r="G771" s="300" t="s">
        <v>22</v>
      </c>
    </row>
    <row r="772">
      <c r="B772" s="3"/>
      <c r="E772" s="300" t="s">
        <v>22</v>
      </c>
      <c r="F772" s="300" t="s">
        <v>22</v>
      </c>
      <c r="G772" s="300" t="s">
        <v>22</v>
      </c>
    </row>
    <row r="773">
      <c r="B773" s="3"/>
      <c r="E773" s="300" t="s">
        <v>22</v>
      </c>
      <c r="F773" s="300" t="s">
        <v>22</v>
      </c>
      <c r="G773" s="300" t="s">
        <v>22</v>
      </c>
    </row>
    <row r="774">
      <c r="B774" s="3"/>
      <c r="E774" s="300" t="s">
        <v>22</v>
      </c>
      <c r="F774" s="300" t="s">
        <v>22</v>
      </c>
      <c r="G774" s="300" t="s">
        <v>22</v>
      </c>
    </row>
    <row r="775">
      <c r="B775" s="3"/>
      <c r="E775" s="300" t="s">
        <v>22</v>
      </c>
      <c r="F775" s="300" t="s">
        <v>22</v>
      </c>
      <c r="G775" s="300" t="s">
        <v>22</v>
      </c>
    </row>
    <row r="776">
      <c r="B776" s="3"/>
      <c r="E776" s="300" t="s">
        <v>22</v>
      </c>
      <c r="F776" s="300" t="s">
        <v>22</v>
      </c>
      <c r="G776" s="300" t="s">
        <v>22</v>
      </c>
    </row>
    <row r="777">
      <c r="B777" s="3"/>
      <c r="E777" s="300" t="s">
        <v>22</v>
      </c>
      <c r="F777" s="300" t="s">
        <v>22</v>
      </c>
      <c r="G777" s="300" t="s">
        <v>22</v>
      </c>
    </row>
    <row r="778">
      <c r="B778" s="3"/>
      <c r="E778" s="300" t="s">
        <v>22</v>
      </c>
      <c r="F778" s="300" t="s">
        <v>22</v>
      </c>
      <c r="G778" s="300" t="s">
        <v>22</v>
      </c>
    </row>
    <row r="779">
      <c r="B779" s="3"/>
      <c r="E779" s="300" t="s">
        <v>22</v>
      </c>
      <c r="F779" s="300" t="s">
        <v>22</v>
      </c>
      <c r="G779" s="300" t="s">
        <v>22</v>
      </c>
    </row>
    <row r="780">
      <c r="B780" s="3"/>
      <c r="E780" s="300" t="s">
        <v>22</v>
      </c>
      <c r="F780" s="300" t="s">
        <v>22</v>
      </c>
      <c r="G780" s="300" t="s">
        <v>22</v>
      </c>
    </row>
    <row r="781">
      <c r="B781" s="3"/>
      <c r="E781" s="300" t="s">
        <v>22</v>
      </c>
      <c r="F781" s="300" t="s">
        <v>22</v>
      </c>
      <c r="G781" s="300" t="s">
        <v>22</v>
      </c>
    </row>
    <row r="782">
      <c r="B782" s="3"/>
      <c r="E782" s="300" t="s">
        <v>22</v>
      </c>
      <c r="F782" s="300" t="s">
        <v>22</v>
      </c>
      <c r="G782" s="300" t="s">
        <v>22</v>
      </c>
    </row>
    <row r="783">
      <c r="B783" s="3"/>
      <c r="E783" s="300" t="s">
        <v>22</v>
      </c>
      <c r="F783" s="300" t="s">
        <v>22</v>
      </c>
      <c r="G783" s="300" t="s">
        <v>22</v>
      </c>
    </row>
    <row r="784">
      <c r="B784" s="3"/>
      <c r="E784" s="300" t="s">
        <v>22</v>
      </c>
      <c r="F784" s="300" t="s">
        <v>22</v>
      </c>
      <c r="G784" s="300" t="s">
        <v>22</v>
      </c>
    </row>
    <row r="785">
      <c r="B785" s="3"/>
      <c r="E785" s="300" t="s">
        <v>22</v>
      </c>
      <c r="F785" s="300" t="s">
        <v>22</v>
      </c>
      <c r="G785" s="300" t="s">
        <v>22</v>
      </c>
    </row>
    <row r="786">
      <c r="B786" s="3"/>
      <c r="E786" s="300" t="s">
        <v>22</v>
      </c>
      <c r="F786" s="300" t="s">
        <v>22</v>
      </c>
      <c r="G786" s="300" t="s">
        <v>22</v>
      </c>
    </row>
    <row r="787">
      <c r="B787" s="3"/>
      <c r="E787" s="300" t="s">
        <v>22</v>
      </c>
      <c r="F787" s="300" t="s">
        <v>22</v>
      </c>
      <c r="G787" s="300" t="s">
        <v>22</v>
      </c>
    </row>
    <row r="788">
      <c r="B788" s="3"/>
      <c r="E788" s="300" t="s">
        <v>22</v>
      </c>
      <c r="F788" s="300" t="s">
        <v>22</v>
      </c>
      <c r="G788" s="300" t="s">
        <v>22</v>
      </c>
    </row>
    <row r="789">
      <c r="B789" s="3"/>
      <c r="E789" s="300" t="s">
        <v>22</v>
      </c>
      <c r="F789" s="300" t="s">
        <v>22</v>
      </c>
      <c r="G789" s="300" t="s">
        <v>22</v>
      </c>
    </row>
    <row r="790">
      <c r="B790" s="3"/>
      <c r="E790" s="300" t="s">
        <v>22</v>
      </c>
      <c r="F790" s="300" t="s">
        <v>22</v>
      </c>
      <c r="G790" s="300" t="s">
        <v>22</v>
      </c>
    </row>
    <row r="791">
      <c r="B791" s="3"/>
      <c r="E791" s="300" t="s">
        <v>22</v>
      </c>
      <c r="F791" s="300" t="s">
        <v>22</v>
      </c>
      <c r="G791" s="300" t="s">
        <v>22</v>
      </c>
    </row>
    <row r="792">
      <c r="B792" s="3"/>
      <c r="E792" s="300" t="s">
        <v>22</v>
      </c>
      <c r="F792" s="300" t="s">
        <v>22</v>
      </c>
      <c r="G792" s="300" t="s">
        <v>22</v>
      </c>
    </row>
    <row r="793">
      <c r="B793" s="3"/>
      <c r="E793" s="300" t="s">
        <v>22</v>
      </c>
      <c r="F793" s="300" t="s">
        <v>22</v>
      </c>
      <c r="G793" s="300" t="s">
        <v>22</v>
      </c>
    </row>
    <row r="794">
      <c r="B794" s="3"/>
      <c r="E794" s="300" t="s">
        <v>22</v>
      </c>
      <c r="F794" s="300" t="s">
        <v>22</v>
      </c>
      <c r="G794" s="300" t="s">
        <v>22</v>
      </c>
    </row>
    <row r="795">
      <c r="B795" s="3"/>
      <c r="E795" s="300" t="s">
        <v>22</v>
      </c>
      <c r="F795" s="300" t="s">
        <v>22</v>
      </c>
      <c r="G795" s="300" t="s">
        <v>22</v>
      </c>
    </row>
    <row r="796">
      <c r="B796" s="3"/>
      <c r="E796" s="300" t="s">
        <v>22</v>
      </c>
      <c r="F796" s="300" t="s">
        <v>22</v>
      </c>
      <c r="G796" s="300" t="s">
        <v>22</v>
      </c>
    </row>
    <row r="797">
      <c r="B797" s="3"/>
      <c r="E797" s="300" t="s">
        <v>22</v>
      </c>
      <c r="F797" s="300" t="s">
        <v>22</v>
      </c>
      <c r="G797" s="300" t="s">
        <v>22</v>
      </c>
    </row>
    <row r="798">
      <c r="B798" s="3"/>
      <c r="E798" s="300" t="s">
        <v>22</v>
      </c>
      <c r="F798" s="300" t="s">
        <v>22</v>
      </c>
      <c r="G798" s="300" t="s">
        <v>22</v>
      </c>
    </row>
    <row r="799">
      <c r="B799" s="3"/>
      <c r="E799" s="300" t="s">
        <v>22</v>
      </c>
      <c r="F799" s="300" t="s">
        <v>22</v>
      </c>
      <c r="G799" s="300" t="s">
        <v>22</v>
      </c>
    </row>
    <row r="800">
      <c r="B800" s="3"/>
      <c r="E800" s="300" t="s">
        <v>22</v>
      </c>
      <c r="F800" s="300" t="s">
        <v>22</v>
      </c>
      <c r="G800" s="300" t="s">
        <v>22</v>
      </c>
    </row>
    <row r="801">
      <c r="B801" s="3"/>
      <c r="E801" s="300" t="s">
        <v>22</v>
      </c>
      <c r="F801" s="300" t="s">
        <v>22</v>
      </c>
      <c r="G801" s="300" t="s">
        <v>22</v>
      </c>
    </row>
    <row r="802">
      <c r="B802" s="3"/>
      <c r="E802" s="300" t="s">
        <v>22</v>
      </c>
      <c r="F802" s="300" t="s">
        <v>22</v>
      </c>
      <c r="G802" s="300" t="s">
        <v>22</v>
      </c>
    </row>
    <row r="803">
      <c r="B803" s="3"/>
      <c r="E803" s="300" t="s">
        <v>22</v>
      </c>
      <c r="F803" s="300" t="s">
        <v>22</v>
      </c>
      <c r="G803" s="300" t="s">
        <v>22</v>
      </c>
    </row>
    <row r="804">
      <c r="B804" s="3"/>
      <c r="E804" s="300" t="s">
        <v>22</v>
      </c>
      <c r="F804" s="300" t="s">
        <v>22</v>
      </c>
      <c r="G804" s="300" t="s">
        <v>22</v>
      </c>
    </row>
    <row r="805">
      <c r="B805" s="3"/>
      <c r="E805" s="300" t="s">
        <v>22</v>
      </c>
      <c r="F805" s="300" t="s">
        <v>22</v>
      </c>
      <c r="G805" s="300" t="s">
        <v>22</v>
      </c>
    </row>
    <row r="806">
      <c r="B806" s="3"/>
      <c r="E806" s="300" t="s">
        <v>22</v>
      </c>
      <c r="F806" s="300" t="s">
        <v>22</v>
      </c>
      <c r="G806" s="300" t="s">
        <v>22</v>
      </c>
    </row>
    <row r="807">
      <c r="B807" s="3"/>
      <c r="E807" s="300" t="s">
        <v>22</v>
      </c>
      <c r="F807" s="300" t="s">
        <v>22</v>
      </c>
      <c r="G807" s="300" t="s">
        <v>22</v>
      </c>
    </row>
    <row r="808">
      <c r="B808" s="3"/>
      <c r="E808" s="300" t="s">
        <v>22</v>
      </c>
      <c r="F808" s="300" t="s">
        <v>22</v>
      </c>
      <c r="G808" s="300" t="s">
        <v>22</v>
      </c>
    </row>
    <row r="809">
      <c r="B809" s="3"/>
      <c r="E809" s="300" t="s">
        <v>22</v>
      </c>
      <c r="F809" s="300" t="s">
        <v>22</v>
      </c>
      <c r="G809" s="300" t="s">
        <v>22</v>
      </c>
    </row>
    <row r="810">
      <c r="B810" s="3"/>
      <c r="E810" s="300" t="s">
        <v>22</v>
      </c>
      <c r="F810" s="300" t="s">
        <v>22</v>
      </c>
      <c r="G810" s="300" t="s">
        <v>22</v>
      </c>
    </row>
    <row r="811">
      <c r="B811" s="3"/>
      <c r="E811" s="300" t="s">
        <v>22</v>
      </c>
      <c r="F811" s="300" t="s">
        <v>22</v>
      </c>
      <c r="G811" s="300" t="s">
        <v>22</v>
      </c>
    </row>
    <row r="812">
      <c r="B812" s="3"/>
      <c r="E812" s="300" t="s">
        <v>22</v>
      </c>
      <c r="F812" s="300" t="s">
        <v>22</v>
      </c>
      <c r="G812" s="300" t="s">
        <v>22</v>
      </c>
    </row>
    <row r="813">
      <c r="B813" s="3"/>
      <c r="E813" s="300" t="s">
        <v>22</v>
      </c>
      <c r="F813" s="300" t="s">
        <v>22</v>
      </c>
      <c r="G813" s="300" t="s">
        <v>22</v>
      </c>
    </row>
    <row r="814">
      <c r="B814" s="3"/>
      <c r="E814" s="300" t="s">
        <v>22</v>
      </c>
      <c r="F814" s="300" t="s">
        <v>22</v>
      </c>
      <c r="G814" s="300" t="s">
        <v>22</v>
      </c>
    </row>
    <row r="815">
      <c r="B815" s="3"/>
      <c r="E815" s="300" t="s">
        <v>22</v>
      </c>
      <c r="F815" s="300" t="s">
        <v>22</v>
      </c>
      <c r="G815" s="300" t="s">
        <v>22</v>
      </c>
    </row>
    <row r="816">
      <c r="B816" s="3"/>
      <c r="E816" s="300" t="s">
        <v>22</v>
      </c>
      <c r="F816" s="300" t="s">
        <v>22</v>
      </c>
      <c r="G816" s="300" t="s">
        <v>22</v>
      </c>
    </row>
    <row r="817">
      <c r="B817" s="3"/>
      <c r="E817" s="300" t="s">
        <v>22</v>
      </c>
      <c r="F817" s="300" t="s">
        <v>22</v>
      </c>
      <c r="G817" s="300" t="s">
        <v>22</v>
      </c>
    </row>
    <row r="818">
      <c r="B818" s="3"/>
      <c r="E818" s="300" t="s">
        <v>22</v>
      </c>
      <c r="F818" s="300" t="s">
        <v>22</v>
      </c>
      <c r="G818" s="300" t="s">
        <v>22</v>
      </c>
    </row>
    <row r="819">
      <c r="B819" s="3"/>
      <c r="E819" s="300" t="s">
        <v>22</v>
      </c>
      <c r="F819" s="300" t="s">
        <v>22</v>
      </c>
      <c r="G819" s="300" t="s">
        <v>22</v>
      </c>
    </row>
    <row r="820">
      <c r="B820" s="3"/>
      <c r="E820" s="300" t="s">
        <v>22</v>
      </c>
      <c r="F820" s="300" t="s">
        <v>22</v>
      </c>
      <c r="G820" s="300" t="s">
        <v>22</v>
      </c>
    </row>
    <row r="821">
      <c r="B821" s="3"/>
      <c r="E821" s="300" t="s">
        <v>22</v>
      </c>
      <c r="F821" s="300" t="s">
        <v>22</v>
      </c>
      <c r="G821" s="300" t="s">
        <v>22</v>
      </c>
    </row>
    <row r="822">
      <c r="B822" s="3"/>
      <c r="E822" s="300" t="s">
        <v>22</v>
      </c>
      <c r="F822" s="300" t="s">
        <v>22</v>
      </c>
      <c r="G822" s="300" t="s">
        <v>22</v>
      </c>
    </row>
    <row r="823">
      <c r="B823" s="3"/>
      <c r="E823" s="300" t="s">
        <v>22</v>
      </c>
      <c r="F823" s="300" t="s">
        <v>22</v>
      </c>
      <c r="G823" s="300" t="s">
        <v>22</v>
      </c>
    </row>
    <row r="824">
      <c r="B824" s="3"/>
      <c r="E824" s="300" t="s">
        <v>22</v>
      </c>
      <c r="F824" s="300" t="s">
        <v>22</v>
      </c>
      <c r="G824" s="300" t="s">
        <v>22</v>
      </c>
    </row>
    <row r="825">
      <c r="B825" s="3"/>
      <c r="E825" s="300" t="s">
        <v>22</v>
      </c>
      <c r="F825" s="300" t="s">
        <v>22</v>
      </c>
      <c r="G825" s="300" t="s">
        <v>22</v>
      </c>
    </row>
    <row r="826">
      <c r="B826" s="3"/>
      <c r="E826" s="300" t="s">
        <v>22</v>
      </c>
      <c r="F826" s="300" t="s">
        <v>22</v>
      </c>
      <c r="G826" s="300" t="s">
        <v>22</v>
      </c>
    </row>
    <row r="827">
      <c r="B827" s="3"/>
      <c r="E827" s="300" t="s">
        <v>22</v>
      </c>
      <c r="F827" s="300" t="s">
        <v>22</v>
      </c>
      <c r="G827" s="300" t="s">
        <v>22</v>
      </c>
    </row>
    <row r="828">
      <c r="B828" s="3"/>
      <c r="E828" s="300" t="s">
        <v>22</v>
      </c>
      <c r="F828" s="300" t="s">
        <v>22</v>
      </c>
      <c r="G828" s="300" t="s">
        <v>22</v>
      </c>
    </row>
    <row r="829">
      <c r="B829" s="3"/>
      <c r="E829" s="300" t="s">
        <v>22</v>
      </c>
      <c r="F829" s="300" t="s">
        <v>22</v>
      </c>
      <c r="G829" s="300" t="s">
        <v>22</v>
      </c>
    </row>
    <row r="830">
      <c r="B830" s="3"/>
      <c r="E830" s="300" t="s">
        <v>22</v>
      </c>
      <c r="F830" s="300" t="s">
        <v>22</v>
      </c>
      <c r="G830" s="300" t="s">
        <v>22</v>
      </c>
    </row>
    <row r="831">
      <c r="B831" s="3"/>
      <c r="E831" s="300" t="s">
        <v>22</v>
      </c>
      <c r="F831" s="300" t="s">
        <v>22</v>
      </c>
      <c r="G831" s="300" t="s">
        <v>22</v>
      </c>
    </row>
    <row r="832">
      <c r="B832" s="3"/>
      <c r="E832" s="300" t="s">
        <v>22</v>
      </c>
      <c r="F832" s="300" t="s">
        <v>22</v>
      </c>
      <c r="G832" s="300" t="s">
        <v>22</v>
      </c>
    </row>
    <row r="833">
      <c r="B833" s="3"/>
      <c r="E833" s="300" t="s">
        <v>22</v>
      </c>
      <c r="F833" s="300" t="s">
        <v>22</v>
      </c>
      <c r="G833" s="300" t="s">
        <v>22</v>
      </c>
    </row>
    <row r="834">
      <c r="B834" s="3"/>
      <c r="E834" s="300" t="s">
        <v>22</v>
      </c>
      <c r="F834" s="300" t="s">
        <v>22</v>
      </c>
      <c r="G834" s="300" t="s">
        <v>22</v>
      </c>
    </row>
    <row r="835">
      <c r="B835" s="3"/>
      <c r="E835" s="300" t="s">
        <v>22</v>
      </c>
      <c r="F835" s="300" t="s">
        <v>22</v>
      </c>
      <c r="G835" s="300" t="s">
        <v>22</v>
      </c>
    </row>
    <row r="836">
      <c r="B836" s="3"/>
      <c r="E836" s="300" t="s">
        <v>22</v>
      </c>
      <c r="F836" s="300" t="s">
        <v>22</v>
      </c>
      <c r="G836" s="300" t="s">
        <v>22</v>
      </c>
    </row>
    <row r="837">
      <c r="B837" s="3"/>
      <c r="E837" s="300" t="s">
        <v>22</v>
      </c>
      <c r="F837" s="300" t="s">
        <v>22</v>
      </c>
      <c r="G837" s="300" t="s">
        <v>22</v>
      </c>
    </row>
    <row r="838">
      <c r="B838" s="3"/>
      <c r="E838" s="300" t="s">
        <v>22</v>
      </c>
      <c r="F838" s="300" t="s">
        <v>22</v>
      </c>
      <c r="G838" s="300" t="s">
        <v>22</v>
      </c>
    </row>
    <row r="839">
      <c r="B839" s="3"/>
      <c r="E839" s="300" t="s">
        <v>22</v>
      </c>
      <c r="F839" s="300" t="s">
        <v>22</v>
      </c>
      <c r="G839" s="300" t="s">
        <v>22</v>
      </c>
    </row>
    <row r="840">
      <c r="B840" s="3"/>
      <c r="E840" s="300" t="s">
        <v>22</v>
      </c>
      <c r="F840" s="300" t="s">
        <v>22</v>
      </c>
      <c r="G840" s="300" t="s">
        <v>22</v>
      </c>
    </row>
    <row r="841">
      <c r="B841" s="3"/>
      <c r="E841" s="300" t="s">
        <v>22</v>
      </c>
      <c r="F841" s="300" t="s">
        <v>22</v>
      </c>
      <c r="G841" s="300" t="s">
        <v>22</v>
      </c>
    </row>
    <row r="842">
      <c r="B842" s="3"/>
      <c r="E842" s="300" t="s">
        <v>22</v>
      </c>
      <c r="F842" s="300" t="s">
        <v>22</v>
      </c>
      <c r="G842" s="300" t="s">
        <v>22</v>
      </c>
    </row>
    <row r="843">
      <c r="B843" s="3"/>
      <c r="E843" s="300" t="s">
        <v>22</v>
      </c>
      <c r="F843" s="300" t="s">
        <v>22</v>
      </c>
      <c r="G843" s="300" t="s">
        <v>22</v>
      </c>
    </row>
    <row r="844">
      <c r="B844" s="3"/>
      <c r="E844" s="300" t="s">
        <v>22</v>
      </c>
      <c r="F844" s="300" t="s">
        <v>22</v>
      </c>
      <c r="G844" s="300" t="s">
        <v>22</v>
      </c>
    </row>
    <row r="845">
      <c r="B845" s="3"/>
      <c r="E845" s="300" t="s">
        <v>22</v>
      </c>
      <c r="F845" s="300" t="s">
        <v>22</v>
      </c>
      <c r="G845" s="300" t="s">
        <v>22</v>
      </c>
    </row>
    <row r="846">
      <c r="B846" s="3"/>
      <c r="E846" s="300" t="s">
        <v>22</v>
      </c>
      <c r="F846" s="300" t="s">
        <v>22</v>
      </c>
      <c r="G846" s="300" t="s">
        <v>22</v>
      </c>
    </row>
    <row r="847">
      <c r="B847" s="3"/>
      <c r="E847" s="300" t="s">
        <v>22</v>
      </c>
      <c r="F847" s="300" t="s">
        <v>22</v>
      </c>
      <c r="G847" s="300" t="s">
        <v>22</v>
      </c>
    </row>
    <row r="848">
      <c r="B848" s="3"/>
      <c r="E848" s="300" t="s">
        <v>22</v>
      </c>
      <c r="F848" s="300" t="s">
        <v>22</v>
      </c>
      <c r="G848" s="300" t="s">
        <v>22</v>
      </c>
    </row>
    <row r="849">
      <c r="B849" s="3"/>
      <c r="E849" s="300" t="s">
        <v>22</v>
      </c>
      <c r="F849" s="300" t="s">
        <v>22</v>
      </c>
      <c r="G849" s="300" t="s">
        <v>22</v>
      </c>
    </row>
    <row r="850">
      <c r="B850" s="3"/>
      <c r="E850" s="300" t="s">
        <v>22</v>
      </c>
      <c r="F850" s="300" t="s">
        <v>22</v>
      </c>
      <c r="G850" s="300" t="s">
        <v>22</v>
      </c>
    </row>
    <row r="851">
      <c r="B851" s="3"/>
      <c r="E851" s="300" t="s">
        <v>22</v>
      </c>
      <c r="F851" s="300" t="s">
        <v>22</v>
      </c>
      <c r="G851" s="300" t="s">
        <v>22</v>
      </c>
    </row>
    <row r="852">
      <c r="B852" s="3"/>
      <c r="E852" s="300" t="s">
        <v>22</v>
      </c>
      <c r="F852" s="300" t="s">
        <v>22</v>
      </c>
      <c r="G852" s="300" t="s">
        <v>22</v>
      </c>
    </row>
    <row r="853">
      <c r="B853" s="3"/>
      <c r="E853" s="300" t="s">
        <v>22</v>
      </c>
      <c r="F853" s="300" t="s">
        <v>22</v>
      </c>
      <c r="G853" s="300" t="s">
        <v>22</v>
      </c>
    </row>
    <row r="854">
      <c r="B854" s="3"/>
      <c r="E854" s="300" t="s">
        <v>22</v>
      </c>
      <c r="F854" s="300" t="s">
        <v>22</v>
      </c>
      <c r="G854" s="300" t="s">
        <v>22</v>
      </c>
    </row>
    <row r="855">
      <c r="B855" s="3"/>
      <c r="E855" s="300" t="s">
        <v>22</v>
      </c>
      <c r="F855" s="300" t="s">
        <v>22</v>
      </c>
      <c r="G855" s="300" t="s">
        <v>22</v>
      </c>
    </row>
    <row r="856">
      <c r="B856" s="3"/>
      <c r="E856" s="300" t="s">
        <v>22</v>
      </c>
      <c r="F856" s="300" t="s">
        <v>22</v>
      </c>
      <c r="G856" s="300" t="s">
        <v>22</v>
      </c>
    </row>
    <row r="857">
      <c r="B857" s="3"/>
      <c r="E857" s="300" t="s">
        <v>22</v>
      </c>
      <c r="F857" s="300" t="s">
        <v>22</v>
      </c>
      <c r="G857" s="300" t="s">
        <v>22</v>
      </c>
    </row>
    <row r="858">
      <c r="B858" s="3"/>
      <c r="E858" s="300" t="s">
        <v>22</v>
      </c>
      <c r="F858" s="300" t="s">
        <v>22</v>
      </c>
      <c r="G858" s="300" t="s">
        <v>22</v>
      </c>
    </row>
    <row r="859">
      <c r="B859" s="3"/>
      <c r="E859" s="300" t="s">
        <v>22</v>
      </c>
      <c r="F859" s="300" t="s">
        <v>22</v>
      </c>
      <c r="G859" s="300" t="s">
        <v>22</v>
      </c>
    </row>
    <row r="860">
      <c r="B860" s="3"/>
      <c r="E860" s="300" t="s">
        <v>22</v>
      </c>
      <c r="F860" s="300" t="s">
        <v>22</v>
      </c>
      <c r="G860" s="300" t="s">
        <v>22</v>
      </c>
    </row>
    <row r="861">
      <c r="B861" s="3"/>
      <c r="E861" s="300" t="s">
        <v>22</v>
      </c>
      <c r="F861" s="300" t="s">
        <v>22</v>
      </c>
      <c r="G861" s="300" t="s">
        <v>22</v>
      </c>
    </row>
    <row r="862">
      <c r="B862" s="3"/>
      <c r="E862" s="300" t="s">
        <v>22</v>
      </c>
      <c r="F862" s="300" t="s">
        <v>22</v>
      </c>
      <c r="G862" s="300" t="s">
        <v>22</v>
      </c>
    </row>
    <row r="863">
      <c r="B863" s="3"/>
      <c r="E863" s="300" t="s">
        <v>22</v>
      </c>
      <c r="F863" s="300" t="s">
        <v>22</v>
      </c>
      <c r="G863" s="300" t="s">
        <v>22</v>
      </c>
    </row>
    <row r="864">
      <c r="B864" s="3"/>
      <c r="E864" s="300" t="s">
        <v>22</v>
      </c>
      <c r="F864" s="300" t="s">
        <v>22</v>
      </c>
      <c r="G864" s="300" t="s">
        <v>22</v>
      </c>
    </row>
    <row r="865">
      <c r="B865" s="3"/>
      <c r="E865" s="300" t="s">
        <v>22</v>
      </c>
      <c r="F865" s="300" t="s">
        <v>22</v>
      </c>
      <c r="G865" s="300" t="s">
        <v>22</v>
      </c>
    </row>
    <row r="866">
      <c r="B866" s="3"/>
      <c r="E866" s="300" t="s">
        <v>22</v>
      </c>
      <c r="F866" s="300" t="s">
        <v>22</v>
      </c>
      <c r="G866" s="300" t="s">
        <v>22</v>
      </c>
    </row>
    <row r="867">
      <c r="B867" s="3"/>
      <c r="E867" s="300" t="s">
        <v>22</v>
      </c>
      <c r="F867" s="300" t="s">
        <v>22</v>
      </c>
      <c r="G867" s="300" t="s">
        <v>22</v>
      </c>
    </row>
    <row r="868">
      <c r="B868" s="3"/>
      <c r="E868" s="300" t="s">
        <v>22</v>
      </c>
      <c r="F868" s="300" t="s">
        <v>22</v>
      </c>
      <c r="G868" s="300" t="s">
        <v>22</v>
      </c>
    </row>
    <row r="869">
      <c r="B869" s="3"/>
      <c r="E869" s="300" t="s">
        <v>22</v>
      </c>
      <c r="F869" s="300" t="s">
        <v>22</v>
      </c>
      <c r="G869" s="300" t="s">
        <v>22</v>
      </c>
    </row>
    <row r="870">
      <c r="B870" s="3"/>
      <c r="E870" s="300" t="s">
        <v>22</v>
      </c>
      <c r="F870" s="300" t="s">
        <v>22</v>
      </c>
      <c r="G870" s="300" t="s">
        <v>22</v>
      </c>
    </row>
    <row r="871">
      <c r="B871" s="3"/>
      <c r="E871" s="300" t="s">
        <v>22</v>
      </c>
      <c r="F871" s="300" t="s">
        <v>22</v>
      </c>
      <c r="G871" s="300" t="s">
        <v>22</v>
      </c>
    </row>
    <row r="872">
      <c r="B872" s="3"/>
      <c r="E872" s="300" t="s">
        <v>22</v>
      </c>
      <c r="F872" s="300" t="s">
        <v>22</v>
      </c>
      <c r="G872" s="300" t="s">
        <v>22</v>
      </c>
    </row>
    <row r="873">
      <c r="B873" s="3"/>
      <c r="E873" s="300" t="s">
        <v>22</v>
      </c>
      <c r="F873" s="300" t="s">
        <v>22</v>
      </c>
      <c r="G873" s="300" t="s">
        <v>22</v>
      </c>
    </row>
    <row r="874">
      <c r="B874" s="3"/>
      <c r="E874" s="300" t="s">
        <v>22</v>
      </c>
      <c r="F874" s="300" t="s">
        <v>22</v>
      </c>
      <c r="G874" s="300" t="s">
        <v>22</v>
      </c>
    </row>
    <row r="875">
      <c r="B875" s="3"/>
      <c r="E875" s="300" t="s">
        <v>22</v>
      </c>
      <c r="F875" s="300" t="s">
        <v>22</v>
      </c>
      <c r="G875" s="300" t="s">
        <v>22</v>
      </c>
    </row>
    <row r="876">
      <c r="B876" s="3"/>
      <c r="E876" s="300" t="s">
        <v>22</v>
      </c>
      <c r="F876" s="300" t="s">
        <v>22</v>
      </c>
      <c r="G876" s="300" t="s">
        <v>22</v>
      </c>
    </row>
    <row r="877">
      <c r="B877" s="3"/>
      <c r="E877" s="300" t="s">
        <v>22</v>
      </c>
      <c r="F877" s="300" t="s">
        <v>22</v>
      </c>
      <c r="G877" s="300" t="s">
        <v>22</v>
      </c>
    </row>
    <row r="878">
      <c r="B878" s="3"/>
      <c r="E878" s="300" t="s">
        <v>22</v>
      </c>
      <c r="F878" s="300" t="s">
        <v>22</v>
      </c>
      <c r="G878" s="300" t="s">
        <v>22</v>
      </c>
    </row>
    <row r="879">
      <c r="B879" s="3"/>
      <c r="E879" s="300" t="s">
        <v>22</v>
      </c>
      <c r="F879" s="300" t="s">
        <v>22</v>
      </c>
      <c r="G879" s="300" t="s">
        <v>22</v>
      </c>
    </row>
    <row r="880">
      <c r="B880" s="3"/>
      <c r="E880" s="300" t="s">
        <v>22</v>
      </c>
      <c r="F880" s="300" t="s">
        <v>22</v>
      </c>
      <c r="G880" s="300" t="s">
        <v>22</v>
      </c>
    </row>
    <row r="881">
      <c r="B881" s="3"/>
      <c r="E881" s="300" t="s">
        <v>22</v>
      </c>
      <c r="F881" s="300" t="s">
        <v>22</v>
      </c>
      <c r="G881" s="300" t="s">
        <v>22</v>
      </c>
    </row>
    <row r="882">
      <c r="B882" s="3"/>
      <c r="E882" s="300" t="s">
        <v>22</v>
      </c>
      <c r="F882" s="300" t="s">
        <v>22</v>
      </c>
      <c r="G882" s="300" t="s">
        <v>22</v>
      </c>
    </row>
    <row r="883">
      <c r="B883" s="3"/>
      <c r="E883" s="300" t="s">
        <v>22</v>
      </c>
      <c r="F883" s="300" t="s">
        <v>22</v>
      </c>
      <c r="G883" s="300" t="s">
        <v>22</v>
      </c>
    </row>
    <row r="884">
      <c r="B884" s="3"/>
      <c r="E884" s="300" t="s">
        <v>22</v>
      </c>
      <c r="F884" s="300" t="s">
        <v>22</v>
      </c>
      <c r="G884" s="300" t="s">
        <v>22</v>
      </c>
    </row>
    <row r="885">
      <c r="B885" s="3"/>
      <c r="E885" s="300" t="s">
        <v>22</v>
      </c>
      <c r="F885" s="300" t="s">
        <v>22</v>
      </c>
      <c r="G885" s="300" t="s">
        <v>22</v>
      </c>
    </row>
    <row r="886">
      <c r="B886" s="3"/>
      <c r="E886" s="300" t="s">
        <v>22</v>
      </c>
      <c r="F886" s="300" t="s">
        <v>22</v>
      </c>
      <c r="G886" s="300" t="s">
        <v>22</v>
      </c>
    </row>
    <row r="887">
      <c r="B887" s="3"/>
      <c r="E887" s="300" t="s">
        <v>22</v>
      </c>
      <c r="F887" s="300" t="s">
        <v>22</v>
      </c>
      <c r="G887" s="300" t="s">
        <v>22</v>
      </c>
    </row>
    <row r="888">
      <c r="B888" s="3"/>
      <c r="E888" s="300" t="s">
        <v>22</v>
      </c>
      <c r="F888" s="300" t="s">
        <v>22</v>
      </c>
      <c r="G888" s="300" t="s">
        <v>22</v>
      </c>
    </row>
    <row r="889">
      <c r="B889" s="3"/>
      <c r="E889" s="300" t="s">
        <v>22</v>
      </c>
      <c r="F889" s="300" t="s">
        <v>22</v>
      </c>
      <c r="G889" s="300" t="s">
        <v>22</v>
      </c>
    </row>
    <row r="890">
      <c r="B890" s="3"/>
      <c r="E890" s="300" t="s">
        <v>22</v>
      </c>
      <c r="F890" s="300" t="s">
        <v>22</v>
      </c>
      <c r="G890" s="300" t="s">
        <v>22</v>
      </c>
    </row>
    <row r="891">
      <c r="B891" s="3"/>
      <c r="E891" s="300" t="s">
        <v>22</v>
      </c>
      <c r="F891" s="300" t="s">
        <v>22</v>
      </c>
      <c r="G891" s="300" t="s">
        <v>22</v>
      </c>
    </row>
    <row r="892">
      <c r="B892" s="3"/>
      <c r="E892" s="300" t="s">
        <v>22</v>
      </c>
      <c r="F892" s="300" t="s">
        <v>22</v>
      </c>
      <c r="G892" s="300" t="s">
        <v>22</v>
      </c>
    </row>
    <row r="893">
      <c r="B893" s="3"/>
      <c r="E893" s="300" t="s">
        <v>22</v>
      </c>
      <c r="F893" s="300" t="s">
        <v>22</v>
      </c>
      <c r="G893" s="300" t="s">
        <v>22</v>
      </c>
    </row>
    <row r="894">
      <c r="B894" s="3"/>
      <c r="E894" s="300" t="s">
        <v>22</v>
      </c>
      <c r="F894" s="300" t="s">
        <v>22</v>
      </c>
      <c r="G894" s="300" t="s">
        <v>22</v>
      </c>
    </row>
    <row r="895">
      <c r="B895" s="3"/>
      <c r="E895" s="300" t="s">
        <v>22</v>
      </c>
      <c r="F895" s="300" t="s">
        <v>22</v>
      </c>
      <c r="G895" s="300" t="s">
        <v>22</v>
      </c>
    </row>
    <row r="896">
      <c r="B896" s="3"/>
      <c r="E896" s="300" t="s">
        <v>22</v>
      </c>
      <c r="F896" s="300" t="s">
        <v>22</v>
      </c>
      <c r="G896" s="300" t="s">
        <v>22</v>
      </c>
    </row>
    <row r="897">
      <c r="B897" s="3"/>
      <c r="E897" s="300" t="s">
        <v>22</v>
      </c>
      <c r="F897" s="300" t="s">
        <v>22</v>
      </c>
      <c r="G897" s="300" t="s">
        <v>22</v>
      </c>
    </row>
    <row r="898">
      <c r="B898" s="3"/>
      <c r="E898" s="300" t="s">
        <v>22</v>
      </c>
      <c r="F898" s="300" t="s">
        <v>22</v>
      </c>
      <c r="G898" s="300" t="s">
        <v>22</v>
      </c>
    </row>
    <row r="899">
      <c r="B899" s="3"/>
      <c r="E899" s="300" t="s">
        <v>22</v>
      </c>
      <c r="F899" s="300" t="s">
        <v>22</v>
      </c>
      <c r="G899" s="300" t="s">
        <v>22</v>
      </c>
    </row>
    <row r="900">
      <c r="B900" s="3"/>
      <c r="E900" s="300" t="s">
        <v>22</v>
      </c>
      <c r="F900" s="300" t="s">
        <v>22</v>
      </c>
      <c r="G900" s="300" t="s">
        <v>22</v>
      </c>
    </row>
    <row r="901">
      <c r="B901" s="3"/>
      <c r="E901" s="300" t="s">
        <v>22</v>
      </c>
      <c r="F901" s="300" t="s">
        <v>22</v>
      </c>
      <c r="G901" s="300" t="s">
        <v>22</v>
      </c>
    </row>
    <row r="902">
      <c r="B902" s="3"/>
      <c r="E902" s="300" t="s">
        <v>22</v>
      </c>
      <c r="F902" s="300" t="s">
        <v>22</v>
      </c>
      <c r="G902" s="300" t="s">
        <v>22</v>
      </c>
    </row>
    <row r="903">
      <c r="B903" s="3"/>
      <c r="E903" s="300" t="s">
        <v>22</v>
      </c>
      <c r="F903" s="300" t="s">
        <v>22</v>
      </c>
      <c r="G903" s="300" t="s">
        <v>22</v>
      </c>
    </row>
    <row r="904">
      <c r="B904" s="3"/>
      <c r="E904" s="300" t="s">
        <v>22</v>
      </c>
      <c r="F904" s="300" t="s">
        <v>22</v>
      </c>
      <c r="G904" s="300" t="s">
        <v>22</v>
      </c>
    </row>
    <row r="905">
      <c r="B905" s="3"/>
      <c r="E905" s="300" t="s">
        <v>22</v>
      </c>
      <c r="F905" s="300" t="s">
        <v>22</v>
      </c>
      <c r="G905" s="300" t="s">
        <v>22</v>
      </c>
    </row>
    <row r="906">
      <c r="B906" s="3"/>
      <c r="E906" s="300" t="s">
        <v>22</v>
      </c>
      <c r="F906" s="300" t="s">
        <v>22</v>
      </c>
      <c r="G906" s="300" t="s">
        <v>22</v>
      </c>
    </row>
    <row r="907">
      <c r="B907" s="3"/>
      <c r="E907" s="300" t="s">
        <v>22</v>
      </c>
      <c r="F907" s="300" t="s">
        <v>22</v>
      </c>
      <c r="G907" s="300" t="s">
        <v>22</v>
      </c>
    </row>
    <row r="908">
      <c r="B908" s="3"/>
      <c r="E908" s="300" t="s">
        <v>22</v>
      </c>
      <c r="F908" s="300" t="s">
        <v>22</v>
      </c>
      <c r="G908" s="300" t="s">
        <v>22</v>
      </c>
    </row>
    <row r="909">
      <c r="B909" s="3"/>
      <c r="E909" s="300" t="s">
        <v>22</v>
      </c>
      <c r="F909" s="300" t="s">
        <v>22</v>
      </c>
      <c r="G909" s="300" t="s">
        <v>22</v>
      </c>
    </row>
    <row r="910">
      <c r="B910" s="3"/>
      <c r="E910" s="300" t="s">
        <v>22</v>
      </c>
      <c r="F910" s="300" t="s">
        <v>22</v>
      </c>
      <c r="G910" s="300" t="s">
        <v>22</v>
      </c>
    </row>
    <row r="911">
      <c r="B911" s="3"/>
      <c r="E911" s="300" t="s">
        <v>22</v>
      </c>
      <c r="F911" s="300" t="s">
        <v>22</v>
      </c>
      <c r="G911" s="300" t="s">
        <v>22</v>
      </c>
    </row>
    <row r="912">
      <c r="B912" s="3"/>
      <c r="E912" s="300" t="s">
        <v>22</v>
      </c>
      <c r="F912" s="300" t="s">
        <v>22</v>
      </c>
      <c r="G912" s="300" t="s">
        <v>22</v>
      </c>
    </row>
    <row r="913">
      <c r="B913" s="3"/>
      <c r="E913" s="300" t="s">
        <v>22</v>
      </c>
      <c r="F913" s="300" t="s">
        <v>22</v>
      </c>
      <c r="G913" s="300" t="s">
        <v>22</v>
      </c>
    </row>
    <row r="914">
      <c r="B914" s="3"/>
      <c r="E914" s="300" t="s">
        <v>22</v>
      </c>
      <c r="F914" s="300" t="s">
        <v>22</v>
      </c>
      <c r="G914" s="300" t="s">
        <v>22</v>
      </c>
    </row>
    <row r="915">
      <c r="B915" s="3"/>
      <c r="E915" s="300" t="s">
        <v>22</v>
      </c>
      <c r="F915" s="300" t="s">
        <v>22</v>
      </c>
      <c r="G915" s="300" t="s">
        <v>22</v>
      </c>
    </row>
    <row r="916">
      <c r="B916" s="3"/>
      <c r="E916" s="300" t="s">
        <v>22</v>
      </c>
      <c r="F916" s="300" t="s">
        <v>22</v>
      </c>
      <c r="G916" s="300" t="s">
        <v>22</v>
      </c>
    </row>
    <row r="917">
      <c r="B917" s="3"/>
      <c r="E917" s="300" t="s">
        <v>22</v>
      </c>
      <c r="F917" s="300" t="s">
        <v>22</v>
      </c>
      <c r="G917" s="300" t="s">
        <v>22</v>
      </c>
    </row>
    <row r="918">
      <c r="B918" s="3"/>
      <c r="E918" s="300" t="s">
        <v>22</v>
      </c>
      <c r="F918" s="300" t="s">
        <v>22</v>
      </c>
      <c r="G918" s="300" t="s">
        <v>22</v>
      </c>
    </row>
    <row r="919">
      <c r="B919" s="3"/>
      <c r="E919" s="300" t="s">
        <v>22</v>
      </c>
      <c r="F919" s="300" t="s">
        <v>22</v>
      </c>
      <c r="G919" s="300" t="s">
        <v>22</v>
      </c>
    </row>
    <row r="920">
      <c r="B920" s="3"/>
      <c r="E920" s="300" t="s">
        <v>22</v>
      </c>
      <c r="F920" s="300" t="s">
        <v>22</v>
      </c>
      <c r="G920" s="300" t="s">
        <v>22</v>
      </c>
    </row>
    <row r="921">
      <c r="B921" s="3"/>
      <c r="E921" s="300" t="s">
        <v>22</v>
      </c>
      <c r="F921" s="300" t="s">
        <v>22</v>
      </c>
      <c r="G921" s="300" t="s">
        <v>22</v>
      </c>
    </row>
    <row r="922">
      <c r="B922" s="3"/>
      <c r="E922" s="300" t="s">
        <v>22</v>
      </c>
      <c r="F922" s="300" t="s">
        <v>22</v>
      </c>
      <c r="G922" s="300" t="s">
        <v>22</v>
      </c>
    </row>
    <row r="923">
      <c r="B923" s="3"/>
      <c r="E923" s="300" t="s">
        <v>22</v>
      </c>
      <c r="F923" s="300" t="s">
        <v>22</v>
      </c>
      <c r="G923" s="300" t="s">
        <v>22</v>
      </c>
    </row>
    <row r="924">
      <c r="B924" s="3"/>
      <c r="E924" s="300" t="s">
        <v>22</v>
      </c>
      <c r="F924" s="300" t="s">
        <v>22</v>
      </c>
      <c r="G924" s="300" t="s">
        <v>22</v>
      </c>
    </row>
    <row r="925">
      <c r="B925" s="3"/>
      <c r="E925" s="300" t="s">
        <v>22</v>
      </c>
      <c r="F925" s="300" t="s">
        <v>22</v>
      </c>
      <c r="G925" s="300" t="s">
        <v>22</v>
      </c>
    </row>
    <row r="926">
      <c r="B926" s="3"/>
      <c r="E926" s="300" t="s">
        <v>22</v>
      </c>
      <c r="F926" s="300" t="s">
        <v>22</v>
      </c>
      <c r="G926" s="300" t="s">
        <v>22</v>
      </c>
    </row>
    <row r="927">
      <c r="B927" s="3"/>
      <c r="E927" s="300" t="s">
        <v>22</v>
      </c>
      <c r="F927" s="300" t="s">
        <v>22</v>
      </c>
      <c r="G927" s="300" t="s">
        <v>22</v>
      </c>
    </row>
    <row r="928">
      <c r="B928" s="3"/>
      <c r="E928" s="300" t="s">
        <v>22</v>
      </c>
      <c r="F928" s="300" t="s">
        <v>22</v>
      </c>
      <c r="G928" s="300" t="s">
        <v>22</v>
      </c>
    </row>
    <row r="929">
      <c r="B929" s="3"/>
      <c r="E929" s="300" t="s">
        <v>22</v>
      </c>
      <c r="F929" s="300" t="s">
        <v>22</v>
      </c>
      <c r="G929" s="300" t="s">
        <v>22</v>
      </c>
    </row>
    <row r="930">
      <c r="B930" s="3"/>
      <c r="E930" s="300" t="s">
        <v>22</v>
      </c>
      <c r="F930" s="300" t="s">
        <v>22</v>
      </c>
      <c r="G930" s="300" t="s">
        <v>22</v>
      </c>
    </row>
    <row r="931">
      <c r="B931" s="3"/>
      <c r="E931" s="300" t="s">
        <v>22</v>
      </c>
      <c r="F931" s="300" t="s">
        <v>22</v>
      </c>
      <c r="G931" s="300" t="s">
        <v>22</v>
      </c>
    </row>
    <row r="932">
      <c r="B932" s="3"/>
      <c r="E932" s="300" t="s">
        <v>22</v>
      </c>
      <c r="F932" s="300" t="s">
        <v>22</v>
      </c>
      <c r="G932" s="300" t="s">
        <v>22</v>
      </c>
    </row>
    <row r="933">
      <c r="B933" s="3"/>
      <c r="E933" s="300" t="s">
        <v>22</v>
      </c>
      <c r="F933" s="300" t="s">
        <v>22</v>
      </c>
      <c r="G933" s="300" t="s">
        <v>22</v>
      </c>
    </row>
    <row r="934">
      <c r="B934" s="3"/>
      <c r="E934" s="300" t="s">
        <v>22</v>
      </c>
      <c r="F934" s="300" t="s">
        <v>22</v>
      </c>
      <c r="G934" s="300" t="s">
        <v>22</v>
      </c>
    </row>
    <row r="935">
      <c r="B935" s="3"/>
      <c r="E935" s="300" t="s">
        <v>22</v>
      </c>
      <c r="F935" s="300" t="s">
        <v>22</v>
      </c>
      <c r="G935" s="300" t="s">
        <v>22</v>
      </c>
    </row>
    <row r="936">
      <c r="B936" s="3"/>
      <c r="E936" s="300" t="s">
        <v>22</v>
      </c>
      <c r="F936" s="300" t="s">
        <v>22</v>
      </c>
      <c r="G936" s="300" t="s">
        <v>22</v>
      </c>
    </row>
    <row r="937">
      <c r="B937" s="3"/>
      <c r="E937" s="300" t="s">
        <v>22</v>
      </c>
      <c r="F937" s="300" t="s">
        <v>22</v>
      </c>
      <c r="G937" s="300" t="s">
        <v>22</v>
      </c>
    </row>
    <row r="938">
      <c r="B938" s="3"/>
      <c r="E938" s="300" t="s">
        <v>22</v>
      </c>
      <c r="F938" s="300" t="s">
        <v>22</v>
      </c>
      <c r="G938" s="300" t="s">
        <v>22</v>
      </c>
    </row>
    <row r="939">
      <c r="B939" s="3"/>
      <c r="E939" s="300" t="s">
        <v>22</v>
      </c>
      <c r="F939" s="300" t="s">
        <v>22</v>
      </c>
      <c r="G939" s="300" t="s">
        <v>22</v>
      </c>
    </row>
    <row r="940">
      <c r="B940" s="3"/>
      <c r="E940" s="300" t="s">
        <v>22</v>
      </c>
      <c r="F940" s="300" t="s">
        <v>22</v>
      </c>
      <c r="G940" s="300" t="s">
        <v>22</v>
      </c>
    </row>
    <row r="941">
      <c r="B941" s="3"/>
      <c r="E941" s="300" t="s">
        <v>22</v>
      </c>
      <c r="F941" s="300" t="s">
        <v>22</v>
      </c>
      <c r="G941" s="300" t="s">
        <v>22</v>
      </c>
    </row>
    <row r="942">
      <c r="B942" s="3"/>
      <c r="E942" s="300" t="s">
        <v>22</v>
      </c>
      <c r="F942" s="300" t="s">
        <v>22</v>
      </c>
      <c r="G942" s="300" t="s">
        <v>22</v>
      </c>
    </row>
    <row r="943">
      <c r="B943" s="3"/>
      <c r="E943" s="300" t="s">
        <v>22</v>
      </c>
      <c r="F943" s="300" t="s">
        <v>22</v>
      </c>
      <c r="G943" s="300" t="s">
        <v>22</v>
      </c>
    </row>
    <row r="944">
      <c r="B944" s="3"/>
      <c r="E944" s="300" t="s">
        <v>22</v>
      </c>
      <c r="F944" s="300" t="s">
        <v>22</v>
      </c>
      <c r="G944" s="300" t="s">
        <v>22</v>
      </c>
    </row>
    <row r="945">
      <c r="B945" s="3"/>
      <c r="E945" s="300" t="s">
        <v>22</v>
      </c>
      <c r="F945" s="300" t="s">
        <v>22</v>
      </c>
      <c r="G945" s="300" t="s">
        <v>22</v>
      </c>
    </row>
    <row r="946">
      <c r="B946" s="3"/>
      <c r="E946" s="300" t="s">
        <v>22</v>
      </c>
      <c r="F946" s="300" t="s">
        <v>22</v>
      </c>
      <c r="G946" s="300" t="s">
        <v>22</v>
      </c>
    </row>
    <row r="947">
      <c r="B947" s="3"/>
      <c r="E947" s="300" t="s">
        <v>22</v>
      </c>
      <c r="F947" s="300" t="s">
        <v>22</v>
      </c>
      <c r="G947" s="300" t="s">
        <v>22</v>
      </c>
    </row>
    <row r="948">
      <c r="B948" s="3"/>
      <c r="E948" s="300" t="s">
        <v>22</v>
      </c>
      <c r="F948" s="300" t="s">
        <v>22</v>
      </c>
      <c r="G948" s="300" t="s">
        <v>22</v>
      </c>
    </row>
    <row r="949">
      <c r="B949" s="3"/>
      <c r="E949" s="300" t="s">
        <v>22</v>
      </c>
      <c r="F949" s="300" t="s">
        <v>22</v>
      </c>
      <c r="G949" s="300" t="s">
        <v>22</v>
      </c>
    </row>
    <row r="950">
      <c r="B950" s="3"/>
      <c r="E950" s="300" t="s">
        <v>22</v>
      </c>
      <c r="F950" s="300" t="s">
        <v>22</v>
      </c>
      <c r="G950" s="300" t="s">
        <v>22</v>
      </c>
    </row>
    <row r="951">
      <c r="B951" s="3"/>
      <c r="E951" s="300" t="s">
        <v>22</v>
      </c>
      <c r="F951" s="300" t="s">
        <v>22</v>
      </c>
      <c r="G951" s="300" t="s">
        <v>22</v>
      </c>
    </row>
    <row r="952">
      <c r="B952" s="3"/>
      <c r="E952" s="300" t="s">
        <v>22</v>
      </c>
      <c r="F952" s="300" t="s">
        <v>22</v>
      </c>
      <c r="G952" s="300" t="s">
        <v>22</v>
      </c>
    </row>
    <row r="953">
      <c r="B953" s="3"/>
      <c r="E953" s="300" t="s">
        <v>22</v>
      </c>
      <c r="F953" s="300" t="s">
        <v>22</v>
      </c>
      <c r="G953" s="300" t="s">
        <v>22</v>
      </c>
    </row>
    <row r="954">
      <c r="B954" s="3"/>
      <c r="E954" s="300" t="s">
        <v>22</v>
      </c>
      <c r="F954" s="300" t="s">
        <v>22</v>
      </c>
      <c r="G954" s="300" t="s">
        <v>22</v>
      </c>
    </row>
    <row r="955">
      <c r="B955" s="3"/>
      <c r="E955" s="300" t="s">
        <v>22</v>
      </c>
      <c r="F955" s="300" t="s">
        <v>22</v>
      </c>
      <c r="G955" s="300" t="s">
        <v>22</v>
      </c>
    </row>
    <row r="956">
      <c r="B956" s="3"/>
      <c r="E956" s="300" t="s">
        <v>22</v>
      </c>
      <c r="F956" s="300" t="s">
        <v>22</v>
      </c>
      <c r="G956" s="300" t="s">
        <v>22</v>
      </c>
    </row>
    <row r="957">
      <c r="B957" s="3"/>
      <c r="E957" s="300" t="s">
        <v>22</v>
      </c>
      <c r="F957" s="300" t="s">
        <v>22</v>
      </c>
      <c r="G957" s="300" t="s">
        <v>22</v>
      </c>
    </row>
    <row r="958">
      <c r="B958" s="3"/>
      <c r="E958" s="300" t="s">
        <v>22</v>
      </c>
      <c r="F958" s="300" t="s">
        <v>22</v>
      </c>
      <c r="G958" s="300" t="s">
        <v>22</v>
      </c>
    </row>
    <row r="959">
      <c r="B959" s="3"/>
      <c r="E959" s="300" t="s">
        <v>22</v>
      </c>
      <c r="F959" s="300" t="s">
        <v>22</v>
      </c>
      <c r="G959" s="300" t="s">
        <v>22</v>
      </c>
    </row>
    <row r="960">
      <c r="B960" s="3"/>
      <c r="E960" s="300" t="s">
        <v>22</v>
      </c>
      <c r="F960" s="300" t="s">
        <v>22</v>
      </c>
      <c r="G960" s="300" t="s">
        <v>22</v>
      </c>
    </row>
    <row r="961">
      <c r="B961" s="3"/>
      <c r="E961" s="300" t="s">
        <v>22</v>
      </c>
      <c r="F961" s="300" t="s">
        <v>22</v>
      </c>
      <c r="G961" s="300" t="s">
        <v>22</v>
      </c>
    </row>
    <row r="962">
      <c r="B962" s="3"/>
      <c r="E962" s="300" t="s">
        <v>22</v>
      </c>
      <c r="F962" s="300" t="s">
        <v>22</v>
      </c>
      <c r="G962" s="300" t="s">
        <v>22</v>
      </c>
    </row>
    <row r="963">
      <c r="B963" s="3"/>
      <c r="E963" s="300" t="s">
        <v>22</v>
      </c>
      <c r="F963" s="300" t="s">
        <v>22</v>
      </c>
      <c r="G963" s="300" t="s">
        <v>22</v>
      </c>
    </row>
    <row r="964">
      <c r="B964" s="3"/>
      <c r="E964" s="300" t="s">
        <v>22</v>
      </c>
      <c r="F964" s="300" t="s">
        <v>22</v>
      </c>
      <c r="G964" s="300" t="s">
        <v>22</v>
      </c>
    </row>
    <row r="965">
      <c r="B965" s="3"/>
      <c r="E965" s="300" t="s">
        <v>22</v>
      </c>
      <c r="F965" s="300" t="s">
        <v>22</v>
      </c>
      <c r="G965" s="300" t="s">
        <v>22</v>
      </c>
    </row>
    <row r="966">
      <c r="B966" s="3"/>
      <c r="E966" s="300" t="s">
        <v>22</v>
      </c>
      <c r="F966" s="300" t="s">
        <v>22</v>
      </c>
      <c r="G966" s="300" t="s">
        <v>22</v>
      </c>
    </row>
    <row r="967">
      <c r="B967" s="3"/>
      <c r="E967" s="300" t="s">
        <v>22</v>
      </c>
      <c r="F967" s="300" t="s">
        <v>22</v>
      </c>
      <c r="G967" s="300" t="s">
        <v>22</v>
      </c>
    </row>
    <row r="968">
      <c r="B968" s="3"/>
      <c r="E968" s="300" t="s">
        <v>22</v>
      </c>
      <c r="F968" s="300" t="s">
        <v>22</v>
      </c>
      <c r="G968" s="300" t="s">
        <v>22</v>
      </c>
    </row>
    <row r="969">
      <c r="B969" s="3"/>
      <c r="E969" s="300" t="s">
        <v>22</v>
      </c>
      <c r="F969" s="300" t="s">
        <v>22</v>
      </c>
      <c r="G969" s="300" t="s">
        <v>22</v>
      </c>
    </row>
    <row r="970">
      <c r="B970" s="3"/>
      <c r="E970" s="300" t="s">
        <v>22</v>
      </c>
      <c r="F970" s="300" t="s">
        <v>22</v>
      </c>
      <c r="G970" s="300" t="s">
        <v>22</v>
      </c>
    </row>
    <row r="971">
      <c r="B971" s="3"/>
      <c r="E971" s="300" t="s">
        <v>22</v>
      </c>
      <c r="F971" s="300" t="s">
        <v>22</v>
      </c>
      <c r="G971" s="300" t="s">
        <v>22</v>
      </c>
    </row>
    <row r="972">
      <c r="B972" s="3"/>
      <c r="E972" s="300" t="s">
        <v>22</v>
      </c>
      <c r="F972" s="300" t="s">
        <v>22</v>
      </c>
      <c r="G972" s="300" t="s">
        <v>22</v>
      </c>
    </row>
    <row r="973">
      <c r="B973" s="3"/>
      <c r="E973" s="300" t="s">
        <v>22</v>
      </c>
      <c r="F973" s="300" t="s">
        <v>22</v>
      </c>
      <c r="G973" s="300" t="s">
        <v>22</v>
      </c>
    </row>
    <row r="974">
      <c r="B974" s="3"/>
      <c r="E974" s="300" t="s">
        <v>22</v>
      </c>
      <c r="F974" s="300" t="s">
        <v>22</v>
      </c>
      <c r="G974" s="300" t="s">
        <v>22</v>
      </c>
    </row>
    <row r="975">
      <c r="B975" s="3"/>
      <c r="E975" s="300" t="s">
        <v>22</v>
      </c>
      <c r="F975" s="300" t="s">
        <v>22</v>
      </c>
      <c r="G975" s="300" t="s">
        <v>22</v>
      </c>
    </row>
    <row r="976">
      <c r="B976" s="3"/>
      <c r="E976" s="300" t="s">
        <v>22</v>
      </c>
      <c r="F976" s="300" t="s">
        <v>22</v>
      </c>
      <c r="G976" s="300" t="s">
        <v>22</v>
      </c>
    </row>
    <row r="977">
      <c r="B977" s="3"/>
      <c r="E977" s="300" t="s">
        <v>22</v>
      </c>
      <c r="F977" s="300" t="s">
        <v>22</v>
      </c>
      <c r="G977" s="300" t="s">
        <v>22</v>
      </c>
    </row>
    <row r="978">
      <c r="B978" s="3"/>
      <c r="E978" s="300" t="s">
        <v>22</v>
      </c>
      <c r="F978" s="300" t="s">
        <v>22</v>
      </c>
      <c r="G978" s="300" t="s">
        <v>22</v>
      </c>
    </row>
    <row r="979">
      <c r="B979" s="3"/>
      <c r="E979" s="300" t="s">
        <v>22</v>
      </c>
      <c r="F979" s="300" t="s">
        <v>22</v>
      </c>
      <c r="G979" s="300" t="s">
        <v>22</v>
      </c>
    </row>
    <row r="980">
      <c r="B980" s="3"/>
      <c r="E980" s="300" t="s">
        <v>22</v>
      </c>
      <c r="F980" s="300" t="s">
        <v>22</v>
      </c>
      <c r="G980" s="300" t="s">
        <v>22</v>
      </c>
    </row>
    <row r="981">
      <c r="B981" s="3"/>
      <c r="E981" s="300" t="s">
        <v>22</v>
      </c>
      <c r="F981" s="300" t="s">
        <v>22</v>
      </c>
      <c r="G981" s="300" t="s">
        <v>22</v>
      </c>
    </row>
    <row r="982">
      <c r="B982" s="3"/>
      <c r="E982" s="300" t="s">
        <v>22</v>
      </c>
      <c r="F982" s="300" t="s">
        <v>22</v>
      </c>
      <c r="G982" s="300" t="s">
        <v>22</v>
      </c>
    </row>
    <row r="983">
      <c r="B983" s="3"/>
      <c r="E983" s="300" t="s">
        <v>22</v>
      </c>
      <c r="F983" s="300" t="s">
        <v>22</v>
      </c>
      <c r="G983" s="300" t="s">
        <v>22</v>
      </c>
    </row>
    <row r="984">
      <c r="B984" s="3"/>
      <c r="E984" s="300" t="s">
        <v>22</v>
      </c>
      <c r="F984" s="300" t="s">
        <v>22</v>
      </c>
      <c r="G984" s="300" t="s">
        <v>22</v>
      </c>
    </row>
    <row r="985">
      <c r="B985" s="3"/>
      <c r="E985" s="300" t="s">
        <v>22</v>
      </c>
      <c r="F985" s="300" t="s">
        <v>22</v>
      </c>
      <c r="G985" s="300" t="s">
        <v>22</v>
      </c>
    </row>
    <row r="986">
      <c r="B986" s="3"/>
      <c r="E986" s="300" t="s">
        <v>22</v>
      </c>
      <c r="F986" s="300" t="s">
        <v>22</v>
      </c>
      <c r="G986" s="300" t="s">
        <v>22</v>
      </c>
    </row>
    <row r="987">
      <c r="B987" s="3"/>
      <c r="E987" s="300" t="s">
        <v>22</v>
      </c>
      <c r="F987" s="300" t="s">
        <v>22</v>
      </c>
      <c r="G987" s="300" t="s">
        <v>22</v>
      </c>
    </row>
    <row r="988">
      <c r="B988" s="3"/>
      <c r="E988" s="300" t="s">
        <v>22</v>
      </c>
      <c r="F988" s="300" t="s">
        <v>22</v>
      </c>
      <c r="G988" s="300" t="s">
        <v>22</v>
      </c>
    </row>
    <row r="989">
      <c r="B989" s="3"/>
      <c r="E989" s="300" t="s">
        <v>22</v>
      </c>
      <c r="F989" s="300" t="s">
        <v>22</v>
      </c>
      <c r="G989" s="300" t="s">
        <v>22</v>
      </c>
    </row>
    <row r="990">
      <c r="B990" s="3"/>
      <c r="E990" s="300" t="s">
        <v>22</v>
      </c>
      <c r="F990" s="300" t="s">
        <v>22</v>
      </c>
      <c r="G990" s="300" t="s">
        <v>22</v>
      </c>
    </row>
    <row r="991">
      <c r="B991" s="3"/>
      <c r="E991" s="300" t="s">
        <v>22</v>
      </c>
      <c r="F991" s="300" t="s">
        <v>22</v>
      </c>
      <c r="G991" s="300" t="s">
        <v>22</v>
      </c>
    </row>
    <row r="992">
      <c r="B992" s="3"/>
      <c r="E992" s="300" t="s">
        <v>22</v>
      </c>
      <c r="F992" s="300" t="s">
        <v>22</v>
      </c>
      <c r="G992" s="300" t="s">
        <v>22</v>
      </c>
    </row>
    <row r="993">
      <c r="B993" s="3"/>
      <c r="E993" s="300" t="s">
        <v>22</v>
      </c>
      <c r="F993" s="300" t="s">
        <v>22</v>
      </c>
      <c r="G993" s="300" t="s">
        <v>22</v>
      </c>
    </row>
    <row r="994">
      <c r="B994" s="3"/>
      <c r="E994" s="300" t="s">
        <v>22</v>
      </c>
      <c r="F994" s="300" t="s">
        <v>22</v>
      </c>
      <c r="G994" s="300" t="s">
        <v>22</v>
      </c>
    </row>
    <row r="995">
      <c r="B995" s="3"/>
      <c r="E995" s="300" t="s">
        <v>22</v>
      </c>
      <c r="F995" s="300" t="s">
        <v>22</v>
      </c>
      <c r="G995" s="300" t="s">
        <v>22</v>
      </c>
    </row>
    <row r="996">
      <c r="B996" s="3"/>
      <c r="E996" s="300" t="s">
        <v>22</v>
      </c>
      <c r="F996" s="300" t="s">
        <v>22</v>
      </c>
      <c r="G996" s="300" t="s">
        <v>22</v>
      </c>
    </row>
    <row r="997">
      <c r="B997" s="3"/>
      <c r="E997" s="300" t="s">
        <v>22</v>
      </c>
      <c r="F997" s="300" t="s">
        <v>22</v>
      </c>
      <c r="G997" s="300" t="s">
        <v>22</v>
      </c>
    </row>
    <row r="998">
      <c r="B998" s="3"/>
      <c r="E998" s="300" t="s">
        <v>22</v>
      </c>
      <c r="F998" s="300" t="s">
        <v>22</v>
      </c>
      <c r="G998" s="300" t="s">
        <v>22</v>
      </c>
    </row>
    <row r="999">
      <c r="B999" s="3"/>
      <c r="E999" s="300" t="s">
        <v>22</v>
      </c>
      <c r="F999" s="300" t="s">
        <v>22</v>
      </c>
      <c r="G999" s="300" t="s">
        <v>22</v>
      </c>
    </row>
    <row r="1000">
      <c r="B1000" s="3"/>
      <c r="E1000" s="300" t="s">
        <v>22</v>
      </c>
      <c r="F1000" s="300" t="s">
        <v>22</v>
      </c>
      <c r="G1000" s="300" t="s">
        <v>22</v>
      </c>
    </row>
    <row r="1001">
      <c r="B1001" s="3"/>
      <c r="E1001" s="300" t="s">
        <v>22</v>
      </c>
      <c r="F1001" s="300" t="s">
        <v>22</v>
      </c>
      <c r="G1001" s="300" t="s">
        <v>22</v>
      </c>
    </row>
    <row r="1002">
      <c r="B1002" s="3"/>
      <c r="E1002" s="300" t="s">
        <v>22</v>
      </c>
      <c r="F1002" s="300" t="s">
        <v>22</v>
      </c>
      <c r="G1002" s="300" t="s">
        <v>22</v>
      </c>
    </row>
    <row r="1003">
      <c r="B1003" s="3"/>
      <c r="E1003" s="300" t="s">
        <v>22</v>
      </c>
      <c r="F1003" s="300" t="s">
        <v>22</v>
      </c>
      <c r="G1003" s="300" t="s">
        <v>22</v>
      </c>
    </row>
    <row r="1004">
      <c r="B1004" s="3"/>
      <c r="E1004" s="300" t="s">
        <v>22</v>
      </c>
      <c r="F1004" s="300" t="s">
        <v>22</v>
      </c>
      <c r="G1004" s="300" t="s">
        <v>22</v>
      </c>
    </row>
    <row r="1005">
      <c r="B1005" s="3"/>
      <c r="E1005" s="300" t="s">
        <v>22</v>
      </c>
      <c r="F1005" s="300" t="s">
        <v>22</v>
      </c>
      <c r="G1005" s="300" t="s">
        <v>22</v>
      </c>
    </row>
    <row r="1006">
      <c r="B1006" s="3"/>
      <c r="E1006" s="300" t="s">
        <v>22</v>
      </c>
      <c r="F1006" s="300" t="s">
        <v>22</v>
      </c>
      <c r="G1006" s="300" t="s">
        <v>22</v>
      </c>
    </row>
    <row r="1007">
      <c r="B1007" s="3"/>
      <c r="E1007" s="300" t="s">
        <v>22</v>
      </c>
      <c r="F1007" s="300" t="s">
        <v>22</v>
      </c>
      <c r="G1007" s="300" t="s">
        <v>22</v>
      </c>
    </row>
    <row r="1008">
      <c r="B1008" s="3"/>
      <c r="E1008" s="300" t="s">
        <v>22</v>
      </c>
      <c r="F1008" s="300" t="s">
        <v>22</v>
      </c>
      <c r="G1008" s="300" t="s">
        <v>22</v>
      </c>
    </row>
    <row r="1009">
      <c r="B1009" s="3"/>
      <c r="E1009" s="300" t="s">
        <v>22</v>
      </c>
      <c r="F1009" s="300" t="s">
        <v>22</v>
      </c>
      <c r="G1009" s="300" t="s">
        <v>22</v>
      </c>
    </row>
    <row r="1010">
      <c r="B1010" s="3"/>
      <c r="E1010" s="300" t="s">
        <v>22</v>
      </c>
      <c r="F1010" s="300" t="s">
        <v>22</v>
      </c>
      <c r="G1010" s="300" t="s">
        <v>22</v>
      </c>
    </row>
    <row r="1011">
      <c r="B1011" s="3"/>
      <c r="E1011" s="300" t="s">
        <v>22</v>
      </c>
      <c r="F1011" s="300" t="s">
        <v>22</v>
      </c>
      <c r="G1011" s="300" t="s">
        <v>22</v>
      </c>
    </row>
    <row r="1012">
      <c r="B1012" s="3"/>
      <c r="E1012" s="300" t="s">
        <v>22</v>
      </c>
      <c r="F1012" s="300" t="s">
        <v>22</v>
      </c>
      <c r="G1012" s="300" t="s">
        <v>22</v>
      </c>
    </row>
  </sheetData>
  <autoFilter ref="$A$1:$G$1012"/>
  <conditionalFormatting sqref="A3 A21 A26 A28 A31 A33:A34 A36 A52 A69:A70 A73 A80:A82">
    <cfRule type="expression" dxfId="2" priority="1">
      <formula>AND($AH3&lt;&gt;"",$AI3&lt;&gt;"")</formula>
    </cfRule>
  </conditionalFormatting>
  <conditionalFormatting sqref="A3 A21 A26 A28 A31 A33:A34 A36 A52 A69:A70 A73 A80:A82">
    <cfRule type="expression" dxfId="3" priority="2">
      <formula>AND($AH3&lt;&gt;"")</formula>
    </cfRule>
  </conditionalFormatting>
  <conditionalFormatting sqref="A3 A21 A26 A28 A31 A33:A34 A36 A52 A69:A70 A73 A80:A82">
    <cfRule type="expression" dxfId="4" priority="3">
      <formula>AND($AI3&lt;&gt;"")</formula>
    </cfRule>
  </conditionalFormatting>
  <conditionalFormatting sqref="F2:F1012">
    <cfRule type="expression" dxfId="0" priority="4">
      <formula>F2&lt;&gt;B2</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hidden="1" min="1" max="1" width="19.5"/>
    <col customWidth="1" hidden="1" min="2" max="2" width="7.13"/>
    <col customWidth="1" min="3" max="3" width="4.88"/>
    <col customWidth="1" min="4" max="4" width="14.63"/>
    <col customWidth="1" min="5" max="5" width="16.38"/>
    <col customWidth="1" min="6" max="6" width="15.38"/>
    <col customWidth="1" min="7" max="7" width="16.63"/>
    <col customWidth="1" min="8" max="8" width="16.25"/>
    <col customWidth="1" min="10" max="10" width="4.5"/>
    <col customWidth="1" hidden="1" min="11" max="12" width="4.5"/>
    <col customWidth="1" min="20" max="20" width="5.5"/>
  </cols>
  <sheetData>
    <row r="1">
      <c r="A1" s="295"/>
      <c r="B1" s="295"/>
      <c r="C1" s="379"/>
      <c r="D1" s="380"/>
      <c r="E1" s="380"/>
      <c r="F1" s="380"/>
      <c r="G1" s="380"/>
      <c r="H1" s="380"/>
      <c r="I1" s="294"/>
      <c r="J1" s="294"/>
      <c r="K1" s="294"/>
      <c r="L1" s="294"/>
      <c r="M1" s="294"/>
      <c r="N1" s="381"/>
      <c r="O1" s="381"/>
      <c r="P1" s="381"/>
      <c r="Q1" s="381"/>
      <c r="R1" s="381"/>
      <c r="S1" s="294"/>
      <c r="T1" s="294"/>
    </row>
    <row r="2">
      <c r="A2" s="45"/>
      <c r="B2" s="45"/>
      <c r="C2" s="382" t="str">
        <f>Teachers!A1</f>
        <v>Alejandro Henao</v>
      </c>
      <c r="D2" s="383"/>
      <c r="E2" s="383"/>
      <c r="F2" s="383"/>
      <c r="G2" s="383"/>
      <c r="H2" s="384"/>
      <c r="I2" s="385" t="str">
        <f>IFERROR(__xludf.DUMMYFUNCTION("if(C2="""","""", iferror(filter(Schedule!$K:$K,Schedule!$L:$L=$C2,Schedule!$K:$K=""S1""),unique(filter(Schedule!$K:$K,Schedule!$L:$L=$C2,Schedule!$K:$K=""""))))"),"")</f>
        <v/>
      </c>
      <c r="M2" s="386" t="str">
        <f>if(S2="","",C2)</f>
        <v/>
      </c>
      <c r="N2" s="383"/>
      <c r="O2" s="383"/>
      <c r="P2" s="383"/>
      <c r="Q2" s="383"/>
      <c r="R2" s="384"/>
      <c r="S2" s="385" t="str">
        <f>if(I2="S1","S2","")</f>
        <v/>
      </c>
      <c r="T2" s="112"/>
    </row>
    <row r="3">
      <c r="A3" s="116"/>
      <c r="B3" s="116"/>
      <c r="C3" s="100" t="s">
        <v>7</v>
      </c>
      <c r="D3" s="387" t="s">
        <v>8</v>
      </c>
      <c r="E3" s="387" t="s">
        <v>9</v>
      </c>
      <c r="F3" s="387" t="s">
        <v>10</v>
      </c>
      <c r="G3" s="387" t="s">
        <v>11</v>
      </c>
      <c r="H3" s="387" t="s">
        <v>12</v>
      </c>
      <c r="I3" s="21" t="s">
        <v>766</v>
      </c>
      <c r="J3" s="116"/>
      <c r="K3" s="116"/>
      <c r="L3" s="116"/>
      <c r="M3" s="100" t="s">
        <v>7</v>
      </c>
      <c r="N3" s="387" t="s">
        <v>8</v>
      </c>
      <c r="O3" s="387" t="s">
        <v>9</v>
      </c>
      <c r="P3" s="387" t="s">
        <v>10</v>
      </c>
      <c r="Q3" s="387" t="s">
        <v>11</v>
      </c>
      <c r="R3" s="387" t="s">
        <v>12</v>
      </c>
      <c r="S3" s="21" t="s">
        <v>766</v>
      </c>
      <c r="T3" s="388"/>
    </row>
    <row r="4">
      <c r="A4" s="389" t="str">
        <f>C2</f>
        <v>Alejandro Henao</v>
      </c>
      <c r="B4" s="389" t="str">
        <f>I2</f>
        <v/>
      </c>
      <c r="C4" s="100">
        <v>1.0</v>
      </c>
      <c r="D4" s="390" t="str">
        <f>IFERROR(__xludf.DUMMYFUNCTION("if($A4="""","""",iferror(join("" &amp; "",filter(Schedule!$P:$P&amp;""-""&amp;Schedule!$Q:$Q,Schedule!$L:$L=$A4,(Schedule!$K:$K=$B4)+(Schedule!$K:$K=""""),Schedule!$P:$P&lt;&gt;"""")),""""))"),"FRC 9 Robotics-1")</f>
        <v>FRC 9 Robotics-1</v>
      </c>
      <c r="E4" s="390" t="str">
        <f>IFERROR(__xludf.DUMMYFUNCTION("if($A4="""","""",iferror(join("" &amp; "",filter(Schedule!$AE:$AE&amp;""-""&amp;Schedule!$AF:$AF,Schedule!$L:$L=$A4,(Schedule!$K:$K=$B4)+(Schedule!$K:$K=""""),Schedule!$AE:$AE&lt;&gt;"""")),""""))"),"FRC 9 Robotics-4")</f>
        <v>FRC 9 Robotics-4</v>
      </c>
      <c r="F4" s="390" t="str">
        <f>IFERROR(__xludf.DUMMYFUNCTION("if($A4="""","""",iferror(join("" &amp; "",filter(Schedule!$V:$V&amp;""-""&amp;Schedule!$W:$W,Schedule!$L:$L=$A4,(Schedule!$K:$K=$B4)+(Schedule!$K:$K=""""),Schedule!$V:$V&lt;&gt;"""")),""""))"),"Entrepreneurship - Business Tech-2")</f>
        <v>Entrepreneurship - Business Tech-2</v>
      </c>
      <c r="G4" s="390" t="str">
        <f>IFERROR(__xludf.DUMMYFUNCTION("if($A4="""","""",iferror(join("" &amp; "",filter(Schedule!$AK:$AK&amp;""-""&amp;Schedule!$AL:$AL,Schedule!$L:$L=$A4,(Schedule!$K:$K=$B4)+(Schedule!$K:$K=""""),Schedule!$AK:$AK&lt;&gt;"""")),""""))"),"")</f>
        <v/>
      </c>
      <c r="H4" s="390" t="str">
        <f>IFERROR(__xludf.DUMMYFUNCTION("if($A4="""","""",iferror(join("" &amp; "",filter(Schedule!$AB:$AB&amp;""-""&amp;Schedule!$AC:$AC,Schedule!$L:$L=$A4,(Schedule!$K:$K=$B4)+(Schedule!$K:$K=""""),Schedule!$AB:$AB&lt;&gt;"""")),""""))"),"FRC 9 Robotics-3")</f>
        <v>FRC 9 Robotics-3</v>
      </c>
      <c r="I4" s="391">
        <f>if(C2="","", 24-countifs(D4:H8,""))</f>
        <v>15</v>
      </c>
      <c r="J4" s="392"/>
      <c r="K4" s="389" t="str">
        <f>M2</f>
        <v/>
      </c>
      <c r="L4" s="389" t="str">
        <f>S2</f>
        <v/>
      </c>
      <c r="M4" s="100">
        <v>1.0</v>
      </c>
      <c r="N4" s="390" t="str">
        <f>IFERROR(__xludf.DUMMYFUNCTION("if($K4="""","""",iferror(join("" &amp; "",filter(Schedule!$P:$P&amp;""-""&amp;Schedule!$Q:$Q,Schedule!$L:$L=$K4,(Schedule!$K:$K=$L4)+(Schedule!$K:$K=""""),Schedule!$P:$P&lt;&gt;"""")),""""))"),"")</f>
        <v/>
      </c>
      <c r="O4" s="390" t="str">
        <f>IFERROR(__xludf.DUMMYFUNCTION("if($K4="""","""",iferror(join("" &amp; "",filter(Schedule!$AE:$AE&amp;""-""&amp;Schedule!$AF:$AF,Schedule!$L:$L=$K4,(Schedule!$K:$K=$L4)+(Schedule!$K:$K=""""),Schedule!$AE:$AE&lt;&gt;"""")),""""))"),"")</f>
        <v/>
      </c>
      <c r="P4" s="390"/>
      <c r="Q4" s="390" t="str">
        <f>IFERROR(__xludf.DUMMYFUNCTION("if($K4="""","""",iferror(join("" &amp; "",filter(Schedule!$AK:$AK&amp;""-""&amp;Schedule!$AL:$AL,Schedule!$L:$L=$K4,(Schedule!$K:$K=$L4)+(Schedule!$K:$K=""""),Schedule!$AK:$AK&lt;&gt;"""")),""""))"),"")</f>
        <v/>
      </c>
      <c r="R4" s="390" t="str">
        <f>IFERROR(__xludf.DUMMYFUNCTION("if($K4="""","""",iferror(join("" &amp; "",filter(Schedule!$AB:$AB&amp;""-""&amp;Schedule!$AC:$AC,Schedule!$L:$L=$K4,(Schedule!$K:$K=$L4)+(Schedule!$K:$K=""""),Schedule!$AB:$AB&lt;&gt;"""")),""""))"),"")</f>
        <v/>
      </c>
      <c r="S4" s="391" t="str">
        <f>if(K4="","", 24-countifs(N4:R8,""))</f>
        <v/>
      </c>
      <c r="T4" s="393"/>
    </row>
    <row r="5">
      <c r="A5" s="389" t="str">
        <f>C2</f>
        <v>Alejandro Henao</v>
      </c>
      <c r="B5" s="389" t="str">
        <f>I2</f>
        <v/>
      </c>
      <c r="C5" s="100">
        <v>2.0</v>
      </c>
      <c r="D5" s="390" t="str">
        <f>IFERROR(__xludf.DUMMYFUNCTION("if($A5="""","""",iferror(join("" &amp; "",filter(Schedule!$S:$S&amp;""-""&amp;Schedule!$T:$T,Schedule!$L:$L=$A5,(Schedule!$K:$K=$B5)+(Schedule!$K:$K=""""),Schedule!$S:$S&lt;&gt;"""")),""""))"),"FRC 9 Robotics-2")</f>
        <v>FRC 9 Robotics-2</v>
      </c>
      <c r="E5" s="390" t="str">
        <f>IFERROR(__xludf.DUMMYFUNCTION("if($A5="""","""",iferror(join("" &amp; "",filter(Schedule!$AH:$AH&amp;""-""&amp;Schedule!$AI:$AI,Schedule!$L:$L=$A5,(Schedule!$K:$K=$B5)+(Schedule!$K:$K=""""),Schedule!$AH:$AH&lt;&gt;"""")),""""))"),"")</f>
        <v/>
      </c>
      <c r="F5" s="390" t="str">
        <f>IFERROR(__xludf.DUMMYFUNCTION("if($A5="""","""",iferror(join("" &amp; "",filter(Schedule!$Y:$Y&amp;""-""&amp;Schedule!$Z:$Z,Schedule!$L:$L=$A5,(Schedule!$K:$K=$B5)+(Schedule!$K:$K=""""),Schedule!$Y:$Y&lt;&gt;"""")),""""))"),"")</f>
        <v/>
      </c>
      <c r="G5" s="390" t="str">
        <f>IFERROR(__xludf.DUMMYFUNCTION("if($A5="""","""",iferror(join("" &amp; "",filter(Schedule!$P:$P&amp;""-""&amp;Schedule!$Q:$Q,Schedule!$L:$L=$A5,(Schedule!$K:$K=$B5)+(Schedule!$K:$K=""""),Schedule!$P:$P&lt;&gt;"""")),""""))"),"FRC 9 Robotics-1")</f>
        <v>FRC 9 Robotics-1</v>
      </c>
      <c r="H5" s="390" t="str">
        <f>IFERROR(__xludf.DUMMYFUNCTION("if($A5="""","""",iferror(join("" &amp; "",filter(Schedule!$AE:$AE&amp;""-""&amp;Schedule!$AF:$AF,Schedule!$L:$L=$A5,(Schedule!$K:$K=$B5)+(Schedule!$K:$K=""""),Schedule!$AE:$AE&lt;&gt;"""")),""""))"),"FRC 9 Robotics-4")</f>
        <v>FRC 9 Robotics-4</v>
      </c>
      <c r="I5" s="53"/>
      <c r="J5" s="392"/>
      <c r="K5" s="389" t="str">
        <f>M2</f>
        <v/>
      </c>
      <c r="L5" s="389" t="str">
        <f>S2</f>
        <v/>
      </c>
      <c r="M5" s="100">
        <v>2.0</v>
      </c>
      <c r="N5" s="390" t="str">
        <f>IFERROR(__xludf.DUMMYFUNCTION("if($K5="""","""",iferror(join("" &amp; "",filter(Schedule!$S:$S&amp;""-""&amp;Schedule!$T:$T,Schedule!$L:$L=$K5,(Schedule!$K:$K=$L5)+(Schedule!$K:$K=""""),Schedule!$S:$S&lt;&gt;"""")),""""))"),"")</f>
        <v/>
      </c>
      <c r="O5" s="390" t="str">
        <f>IFERROR(__xludf.DUMMYFUNCTION("if($K5="""","""",iferror(join("" &amp; "",filter(Schedule!$AH:$AH&amp;""-""&amp;Schedule!$AI:$AI,Schedule!$L:$L=$K5,(Schedule!$K:$K=$L5)+(Schedule!$K:$K=""""),Schedule!$AH:$AH&lt;&gt;"""")),""""))"),"")</f>
        <v/>
      </c>
      <c r="P5" s="394"/>
      <c r="Q5" s="390" t="str">
        <f>IFERROR(__xludf.DUMMYFUNCTION("if($K5="""","""",iferror(join("" &amp; "",filter(Schedule!$P:$P&amp;""-""&amp;Schedule!$Q:$Q,Schedule!$L:$L=$K5,(Schedule!$K:$K=$L5)+(Schedule!$K:$K=""""),Schedule!$P:$P&lt;&gt;"""")),""""))"),"")</f>
        <v/>
      </c>
      <c r="R5" s="390" t="str">
        <f>IFERROR(__xludf.DUMMYFUNCTION("if($K5="""","""",iferror(join("" &amp; "",filter(Schedule!$AE:$AE&amp;""-""&amp;Schedule!$AF:$AF,Schedule!$L:$L=$K5,(Schedule!$K:$K=$L5)+(Schedule!$K:$K=""""),Schedule!$AE:$AE&lt;&gt;"""")),""""))"),"")</f>
        <v/>
      </c>
      <c r="S5" s="53"/>
      <c r="T5" s="393"/>
    </row>
    <row r="6">
      <c r="A6" s="389" t="str">
        <f>C2</f>
        <v>Alejandro Henao</v>
      </c>
      <c r="B6" s="389" t="str">
        <f>I2</f>
        <v/>
      </c>
      <c r="C6" s="100">
        <v>3.0</v>
      </c>
      <c r="D6" s="390" t="str">
        <f>IFERROR(__xludf.DUMMYFUNCTION("if($A6="""","""",iferror(join("" &amp; "",filter(Schedule!$V:$V&amp;""-""&amp;Schedule!$W:$W,Schedule!$L:$L=$A6,(Schedule!$K:$K=$B6)+(Schedule!$K:$K=""""),Schedule!$V:$V&lt;&gt;"""")),""""))"),"Entrepreneurship - Business Tech-2")</f>
        <v>Entrepreneurship - Business Tech-2</v>
      </c>
      <c r="E6" s="390" t="str">
        <f>IFERROR(__xludf.DUMMYFUNCTION("if($A6="""","""",iferror(join("" &amp; "",filter(Schedule!$AK:$AK&amp;""-""&amp;Schedule!$AL:$AL,Schedule!$L:$L=$A6,(Schedule!$K:$K=$B6)+(Schedule!$K:$K=""""),Schedule!$AK:$AK&lt;&gt;"""")),""""))"),"")</f>
        <v/>
      </c>
      <c r="F6" s="390" t="str">
        <f>IFERROR(__xludf.DUMMYFUNCTION("if($A6="""","""",iferror(join("" &amp; "",filter(Schedule!$AB:$AB&amp;""-""&amp;Schedule!$AC:$AC,Schedule!$L:$L=$A6,(Schedule!$K:$K=$B6)+(Schedule!$K:$K=""""),Schedule!$AB:$AB&lt;&gt;"""")),""""))"),"FRC 9 Robotics-3")</f>
        <v>FRC 9 Robotics-3</v>
      </c>
      <c r="G6" s="390" t="str">
        <f>IFERROR(__xludf.DUMMYFUNCTION("if($A6="""","""",iferror(join("" &amp; "",filter(Schedule!$S:$S&amp;""-""&amp;Schedule!$T:$T,Schedule!$L:$L=$A6,(Schedule!$K:$K=$B6)+(Schedule!$K:$K=""""),Schedule!$S:$S&lt;&gt;"""")),""""))"),"FRC 9 Robotics-2")</f>
        <v>FRC 9 Robotics-2</v>
      </c>
      <c r="H6" s="395" t="str">
        <f>if($C2="","","X-Block")</f>
        <v>X-Block</v>
      </c>
      <c r="I6" s="53"/>
      <c r="J6" s="392"/>
      <c r="K6" s="389" t="str">
        <f>M2</f>
        <v/>
      </c>
      <c r="L6" s="389" t="str">
        <f>S2</f>
        <v/>
      </c>
      <c r="M6" s="100">
        <v>3.0</v>
      </c>
      <c r="N6" s="390" t="str">
        <f>IFERROR(__xludf.DUMMYFUNCTION("if($K6="""","""",iferror(join("" &amp; "",filter(Schedule!$V:$V&amp;""-""&amp;Schedule!$W:$W,Schedule!$L:$L=$K6,(Schedule!$K:$K=$L6)+(Schedule!$K:$K=""""),Schedule!$V:$V&lt;&gt;"""")),""""))"),"")</f>
        <v/>
      </c>
      <c r="O6" s="390" t="str">
        <f>IFERROR(__xludf.DUMMYFUNCTION("if($K6="""","""",iferror(join("" &amp; "",filter(Schedule!$AK:$AK&amp;""-""&amp;Schedule!$AL:$AL,Schedule!$L:$L=$K6,(Schedule!$K:$K=$L6)+(Schedule!$K:$K=""""),Schedule!$AK:$AK&lt;&gt;"""")),""""))"),"")</f>
        <v/>
      </c>
      <c r="P6" s="390" t="str">
        <f>IFERROR(__xludf.DUMMYFUNCTION("if($K6="""","""",iferror(join("" &amp; "",filter(Schedule!$AB:$AB&amp;""-""&amp;Schedule!$AC:$AC,Schedule!$L:$L=$K6,(Schedule!$K:$K=$L6)+(Schedule!$K:$K=""""),Schedule!$AB:$AB&lt;&gt;"""")),""""))"),"")</f>
        <v/>
      </c>
      <c r="Q6" s="390" t="str">
        <f>IFERROR(__xludf.DUMMYFUNCTION("if($K6="""","""",iferror(join("" &amp; "",filter(Schedule!$S:$S&amp;""-""&amp;Schedule!$T:$T,Schedule!$L:$L=$K6,(Schedule!$K:$K=$L6)+(Schedule!$K:$K=""""),Schedule!$S:$S&lt;&gt;"""")),""""))"),"")</f>
        <v/>
      </c>
      <c r="R6" s="395" t="str">
        <f>if($M2="","","X-Block")</f>
        <v/>
      </c>
      <c r="S6" s="53"/>
      <c r="T6" s="393"/>
    </row>
    <row r="7">
      <c r="A7" s="389" t="str">
        <f>C2</f>
        <v>Alejandro Henao</v>
      </c>
      <c r="B7" s="389" t="str">
        <f>I2</f>
        <v/>
      </c>
      <c r="C7" s="100">
        <v>4.0</v>
      </c>
      <c r="D7" s="390" t="str">
        <f>IFERROR(__xludf.DUMMYFUNCTION("if($A7="""","""",iferror(join("" &amp; "",filter(Schedule!$Y:$Y&amp;""-""&amp;Schedule!$Z:$Z,Schedule!$L:$L=$A7,(Schedule!$K:$K=$B7)+(Schedule!$K:$K=""""),Schedule!$Y:$Y&lt;&gt;"""")),""""))"),"")</f>
        <v/>
      </c>
      <c r="E7" s="390" t="str">
        <f>IFERROR(__xludf.DUMMYFUNCTION("if($A7="""","""",iferror(join("" &amp; "",filter(Schedule!$P:$P&amp;""-""&amp;Schedule!$Q:$Q,Schedule!$L:$L=$A7,(Schedule!$K:$K=$B7)+(Schedule!$K:$K=""""),Schedule!$P:$P&lt;&gt;"""")),""""))"),"FRC 9 Robotics-1")</f>
        <v>FRC 9 Robotics-1</v>
      </c>
      <c r="F7" s="390" t="str">
        <f>IFERROR(__xludf.DUMMYFUNCTION("if($A7="""","""",iferror(join("" &amp; "",filter(Schedule!$AE:$AE&amp;""-""&amp;Schedule!$AF:$AF,Schedule!$L:$L=$A7,(Schedule!$K:$K=$B7)+(Schedule!$K:$K=""""),Schedule!$AE:$AE&lt;&gt;"""")),""""))"),"FRC 9 Robotics-4")</f>
        <v>FRC 9 Robotics-4</v>
      </c>
      <c r="G7" s="390" t="str">
        <f>IFERROR(__xludf.DUMMYFUNCTION("if($A7="""","""",iferror(join("" &amp; "",filter(Schedule!$V:$V&amp;""-""&amp;Schedule!$W:$W,Schedule!$L:$L=$A7,(Schedule!$K:$K=$B7)+(Schedule!$K:$K=""""),Schedule!$V:$V&lt;&gt;"""")),""""))"),"Entrepreneurship - Business Tech-2")</f>
        <v>Entrepreneurship - Business Tech-2</v>
      </c>
      <c r="H7" s="390" t="str">
        <f>IFERROR(__xludf.DUMMYFUNCTION("if($A7="""","""",iferror(join("" &amp; "",filter(Schedule!$AH:$AH&amp;""-""&amp;Schedule!$AI:$AI,Schedule!$L:$L=$A7,(Schedule!$K:$K=$B7)+(Schedule!$K:$K=""""),Schedule!$AH:$AH&lt;&gt;"""")),""""))"),"")</f>
        <v/>
      </c>
      <c r="I7" s="53"/>
      <c r="J7" s="392"/>
      <c r="K7" s="389" t="str">
        <f>M2</f>
        <v/>
      </c>
      <c r="L7" s="389" t="str">
        <f>S2</f>
        <v/>
      </c>
      <c r="M7" s="100">
        <v>4.0</v>
      </c>
      <c r="N7" s="390" t="str">
        <f>IFERROR(__xludf.DUMMYFUNCTION("if($K7="""","""",iferror(join("" &amp; "",filter(Schedule!$Y:$Y&amp;""-""&amp;Schedule!$Z:$Z,Schedule!$L:$L=$K7,(Schedule!$K:$K=$L7)+(Schedule!$K:$K=""""),Schedule!$Y:$Y&lt;&gt;"""")),""""))"),"")</f>
        <v/>
      </c>
      <c r="O7" s="390" t="str">
        <f>IFERROR(__xludf.DUMMYFUNCTION("if($K7="""","""",iferror(join("" &amp; "",filter(Schedule!$P:$P&amp;""-""&amp;Schedule!$Q:$Q,Schedule!$L:$L=$K7,(Schedule!$K:$K=$L7)+(Schedule!$K:$K=""""),Schedule!$P:$P&lt;&gt;"""")),""""))"),"")</f>
        <v/>
      </c>
      <c r="P7" s="390" t="str">
        <f>IFERROR(__xludf.DUMMYFUNCTION("if($K7="""","""",iferror(join("" &amp; "",filter(Schedule!$AE:$AE&amp;""-""&amp;Schedule!$AF:$AF,Schedule!$L:$L=$K7,(Schedule!$K:$K=$L7)+(Schedule!$K:$K=""""),Schedule!$AE:$AE&lt;&gt;"""")),""""))"),"")</f>
        <v/>
      </c>
      <c r="Q7" s="390" t="str">
        <f>IFERROR(__xludf.DUMMYFUNCTION("if($K7="""","""",iferror(join("" &amp; "",filter(Schedule!$V:$V&amp;""-""&amp;Schedule!$W:$W,Schedule!$L:$L=$K7,(Schedule!$K:$K=$L7)+(Schedule!$K:$K=""""),Schedule!$V:$V&lt;&gt;"""")),""""))"),"")</f>
        <v/>
      </c>
      <c r="R7" s="390" t="str">
        <f>IFERROR(__xludf.DUMMYFUNCTION("if($K7="""","""",iferror(join("" &amp; "",filter(Schedule!$AH:$AH&amp;""-""&amp;Schedule!$AI:$AI,Schedule!$L:$L=$K7,(Schedule!$K:$K=$L7)+(Schedule!$K:$K=""""),Schedule!$AH:$AH&lt;&gt;"""")),""""))"),"")</f>
        <v/>
      </c>
      <c r="S7" s="53"/>
      <c r="T7" s="393"/>
    </row>
    <row r="8">
      <c r="A8" s="389" t="str">
        <f>C2</f>
        <v>Alejandro Henao</v>
      </c>
      <c r="B8" s="389" t="str">
        <f>I2</f>
        <v/>
      </c>
      <c r="C8" s="100">
        <v>5.0</v>
      </c>
      <c r="D8" s="390" t="str">
        <f>IFERROR(__xludf.DUMMYFUNCTION("if($A8="""","""",iferror(join("" &amp; "",filter(Schedule!$AB:$AB&amp;""-""&amp;Schedule!$AC:$AC,Schedule!$L:$L=$A8,(Schedule!$K:$K=$B8)+(Schedule!$K:$K=""""),Schedule!$AB:$AB&lt;&gt;"""")),""""))"),"FRC 9 Robotics-3")</f>
        <v>FRC 9 Robotics-3</v>
      </c>
      <c r="E8" s="390" t="str">
        <f>IFERROR(__xludf.DUMMYFUNCTION("if($A8="""","""",iferror(join("" &amp; "",filter(Schedule!$S:$S&amp;""-""&amp;Schedule!$T:$T,Schedule!$L:$L=$A8,(Schedule!$K:$K=$B8)+(Schedule!$K:$K=""""),Schedule!$S:$S&lt;&gt;"""")),""""))"),"FRC 9 Robotics-2")</f>
        <v>FRC 9 Robotics-2</v>
      </c>
      <c r="F8" s="390" t="str">
        <f>IFERROR(__xludf.DUMMYFUNCTION("if($A8="""","""",iferror(join("" &amp; "",filter(Schedule!$AH:$AH&amp;""-""&amp;Schedule!$AI:$AI,Schedule!$L:$L=$A8,(Schedule!$K:$K=$B8)+(Schedule!$K:$K=""""),Schedule!$AH:$AH&lt;&gt;"""")),""""))"),"")</f>
        <v/>
      </c>
      <c r="G8" s="390" t="str">
        <f>IFERROR(__xludf.DUMMYFUNCTION("if($A8="""","""",iferror(join("" &amp; "",filter(Schedule!$Y:$Y&amp;""-""&amp;Schedule!$Z:$Z,Schedule!$L:$L=$A8,(Schedule!$K:$K=$B8)+(Schedule!$K:$K=""""),Schedule!$Y:$Y&lt;&gt;"""")),""""))"),"")</f>
        <v/>
      </c>
      <c r="H8" s="390" t="str">
        <f>IFERROR(__xludf.DUMMYFUNCTION("if($A8="""","""",iferror(join("" &amp; "",filter(Schedule!$AK:$AK&amp;""-""&amp;Schedule!$AL:$AL,Schedule!$L:$L=$A8,(Schedule!$K:$K=$B8)+(Schedule!$K:$K=""""),Schedule!$AK:$AK&lt;&gt;"""")),""""))"),"")</f>
        <v/>
      </c>
      <c r="I8" s="68"/>
      <c r="J8" s="392"/>
      <c r="K8" s="389" t="str">
        <f>M2</f>
        <v/>
      </c>
      <c r="L8" s="389" t="str">
        <f>S2</f>
        <v/>
      </c>
      <c r="M8" s="100">
        <v>5.0</v>
      </c>
      <c r="N8" s="390" t="str">
        <f>IFERROR(__xludf.DUMMYFUNCTION("if($K8="""","""",iferror(join("" &amp; "",filter(Schedule!$AB:$AB&amp;""-""&amp;Schedule!$AC:$AC,Schedule!$L:$L=$K8,(Schedule!$K:$K=$L8)+(Schedule!$K:$K=""""),Schedule!$AB:$AB&lt;&gt;"""")),""""))"),"")</f>
        <v/>
      </c>
      <c r="O8" s="390" t="str">
        <f>IFERROR(__xludf.DUMMYFUNCTION("if($K8="""","""",iferror(join("" &amp; "",filter(Schedule!$S:$S&amp;""-""&amp;Schedule!$T:$T,Schedule!$L:$L=$K8,(Schedule!$K:$K=$L8)+(Schedule!$K:$K=""""),Schedule!$S:$S&lt;&gt;"""")),""""))"),"")</f>
        <v/>
      </c>
      <c r="P8" s="390" t="str">
        <f>IFERROR(__xludf.DUMMYFUNCTION("if($K8="""","""",iferror(join("" &amp; "",filter(Schedule!$AH:$AH&amp;""-""&amp;Schedule!$AI:$AI,Schedule!$L:$L=$K8,(Schedule!$K:$K=$L8)+(Schedule!$K:$K=""""),Schedule!$AH:$AH&lt;&gt;"""")),""""))"),"")</f>
        <v/>
      </c>
      <c r="Q8" s="390" t="str">
        <f>IFERROR(__xludf.DUMMYFUNCTION("if($K8="""","""",iferror(join("" &amp; "",filter(Schedule!$Y:$Y&amp;""-""&amp;Schedule!$Z:$Z,Schedule!$L:$L=$K8,(Schedule!$K:$K=$L8)+(Schedule!$K:$K=""""),Schedule!$Y:$Y&lt;&gt;"""")),""""))"),"")</f>
        <v/>
      </c>
      <c r="R8" s="390" t="str">
        <f>IFERROR(__xludf.DUMMYFUNCTION("if($K8="""","""",iferror(join("" &amp; "",filter(Schedule!$AK:$AK&amp;""-""&amp;Schedule!$AL:$AL,Schedule!$L:$L=$K8,(Schedule!$K:$K=$L8)+(Schedule!$K:$K=""""),Schedule!$AK:$AK&lt;&gt;"""")),""""))"),"")</f>
        <v/>
      </c>
      <c r="S8" s="68"/>
      <c r="T8" s="393"/>
    </row>
    <row r="9">
      <c r="C9" s="3"/>
      <c r="D9" s="396"/>
      <c r="E9" s="396"/>
      <c r="F9" s="396"/>
      <c r="G9" s="396"/>
      <c r="H9" s="396"/>
      <c r="N9" s="397"/>
      <c r="O9" s="397"/>
      <c r="P9" s="397"/>
      <c r="Q9" s="397"/>
      <c r="R9" s="397"/>
    </row>
    <row r="10">
      <c r="A10" s="45"/>
      <c r="B10" s="45"/>
      <c r="C10" s="386" t="str">
        <f>Teachers!A2</f>
        <v>Alyssa Jodoin</v>
      </c>
      <c r="D10" s="383"/>
      <c r="E10" s="383"/>
      <c r="F10" s="383"/>
      <c r="G10" s="383"/>
      <c r="H10" s="384"/>
      <c r="I10" s="385" t="str">
        <f>IFERROR(__xludf.DUMMYFUNCTION("if(C10="""","""", iferror(filter(Schedule!$K:$K,Schedule!$L:$L=$C10,Schedule!$K:$K=""S1""),unique(filter(Schedule!$K:$K,Schedule!$L:$L=$C10,Schedule!$K:$K=""""))))"),"")</f>
        <v/>
      </c>
      <c r="M10" s="386" t="str">
        <f>if(S10="","",C10)</f>
        <v/>
      </c>
      <c r="N10" s="383"/>
      <c r="O10" s="383"/>
      <c r="P10" s="383"/>
      <c r="Q10" s="383"/>
      <c r="R10" s="384"/>
      <c r="S10" s="385" t="str">
        <f>if(I10="S1","S2","")</f>
        <v/>
      </c>
      <c r="T10" s="112"/>
    </row>
    <row r="11">
      <c r="A11" s="116"/>
      <c r="B11" s="116"/>
      <c r="C11" s="100" t="s">
        <v>7</v>
      </c>
      <c r="D11" s="387" t="s">
        <v>8</v>
      </c>
      <c r="E11" s="387" t="s">
        <v>9</v>
      </c>
      <c r="F11" s="387" t="s">
        <v>10</v>
      </c>
      <c r="G11" s="387" t="s">
        <v>11</v>
      </c>
      <c r="H11" s="387" t="s">
        <v>12</v>
      </c>
      <c r="I11" s="21" t="s">
        <v>766</v>
      </c>
      <c r="J11" s="116"/>
      <c r="K11" s="116"/>
      <c r="L11" s="116"/>
      <c r="M11" s="100" t="s">
        <v>7</v>
      </c>
      <c r="N11" s="387" t="s">
        <v>8</v>
      </c>
      <c r="O11" s="387" t="s">
        <v>9</v>
      </c>
      <c r="P11" s="387" t="s">
        <v>10</v>
      </c>
      <c r="Q11" s="387" t="s">
        <v>11</v>
      </c>
      <c r="R11" s="387" t="s">
        <v>12</v>
      </c>
      <c r="S11" s="21" t="s">
        <v>766</v>
      </c>
      <c r="T11" s="388"/>
    </row>
    <row r="12">
      <c r="A12" s="389" t="str">
        <f>C10</f>
        <v>Alyssa Jodoin</v>
      </c>
      <c r="B12" s="389" t="str">
        <f>I10</f>
        <v/>
      </c>
      <c r="C12" s="100">
        <v>1.0</v>
      </c>
      <c r="D12" s="390" t="str">
        <f>IFERROR(__xludf.DUMMYFUNCTION("if($A12="""","""",iferror(join("" &amp; "",filter(Schedule!$P:$P&amp;""-""&amp;Schedule!$Q:$Q,Schedule!$L:$L=$A12,(Schedule!$K:$K=$B12)+(Schedule!$K:$K=""""),Schedule!$P:$P&lt;&gt;"""")),""""))"),"Art of Fiction Higher Level-1")</f>
        <v>Art of Fiction Higher Level-1</v>
      </c>
      <c r="E12" s="390" t="str">
        <f>IFERROR(__xludf.DUMMYFUNCTION("if($A12="""","""",iferror(join("" &amp; "",filter(Schedule!$AE:$AE&amp;""-""&amp;Schedule!$AF:$AF,Schedule!$L:$L=$A12,(Schedule!$K:$K=$B12)+(Schedule!$K:$K=""""),Schedule!$AE:$AE&lt;&gt;"""")),""""))"),"Art of Fiction Intermediate Level-3")</f>
        <v>Art of Fiction Intermediate Level-3</v>
      </c>
      <c r="F12" s="390" t="str">
        <f>IFERROR(__xludf.DUMMYFUNCTION("if($A12="""","""",iferror(join("" &amp; "",filter(Schedule!$V:$V&amp;""-""&amp;Schedule!$W:$W,Schedule!$L:$L=$A12,(Schedule!$K:$K=$B12)+(Schedule!$K:$K=""""),Schedule!$V:$V&lt;&gt;"""")),""""))"),"")</f>
        <v/>
      </c>
      <c r="G12" s="390" t="str">
        <f>IFERROR(__xludf.DUMMYFUNCTION("if($A12="""","""",iferror(join("" &amp; "",filter(Schedule!$AK:$AK&amp;""-""&amp;Schedule!$AL:$AL,Schedule!$L:$L=$A12,(Schedule!$K:$K=$B12)+(Schedule!$K:$K=""""),Schedule!$AK:$AK&lt;&gt;"""")),""""))"),"Art of Fiction Higher Level-3")</f>
        <v>Art of Fiction Higher Level-3</v>
      </c>
      <c r="H12" s="390" t="str">
        <f>IFERROR(__xludf.DUMMYFUNCTION("if($A12="""","""",iferror(join("" &amp; "",filter(Schedule!$AB:$AB&amp;""-""&amp;Schedule!$AC:$AC,Schedule!$L:$L=$A12,(Schedule!$K:$K=$B12)+(Schedule!$K:$K=""""),Schedule!$AB:$AB&lt;&gt;"""")),""""))"),"")</f>
        <v/>
      </c>
      <c r="I12" s="391">
        <f>if(C10="","", 24-countifs(D12:H16,""))</f>
        <v>15</v>
      </c>
      <c r="J12" s="392"/>
      <c r="K12" s="389" t="str">
        <f>M10</f>
        <v/>
      </c>
      <c r="L12" s="389" t="str">
        <f>S10</f>
        <v/>
      </c>
      <c r="M12" s="100">
        <v>1.0</v>
      </c>
      <c r="N12" s="390" t="str">
        <f>IFERROR(__xludf.DUMMYFUNCTION("if($K12="""","""",iferror(join("" &amp; "",filter(Schedule!$P:$P&amp;""-""&amp;Schedule!$Q:$Q,Schedule!$L:$L=$K12,(Schedule!$K:$K=$L12)+(Schedule!$K:$K=""""),Schedule!$P:$P&lt;&gt;"""")),""""))"),"")</f>
        <v/>
      </c>
      <c r="O12" s="390" t="str">
        <f>IFERROR(__xludf.DUMMYFUNCTION("if($K12="""","""",iferror(join("" &amp; "",filter(Schedule!$AE:$AE&amp;""-""&amp;Schedule!$AF:$AF,Schedule!$L:$L=$K12,(Schedule!$K:$K=$L12)+(Schedule!$K:$K=""""),Schedule!$AE:$AE&lt;&gt;"""")),""""))"),"")</f>
        <v/>
      </c>
      <c r="P12" s="390" t="str">
        <f>IFERROR(__xludf.DUMMYFUNCTION("if($K12="""","""",iferror(join("" &amp; "",filter(Schedule!$V:$V&amp;""-""&amp;Schedule!$W:$W,Schedule!$L:$L=$K12,(Schedule!$K:$K=$L12)+(Schedule!$K:$K=""""),Schedule!$V:$V&lt;&gt;"""")),""""))"),"")</f>
        <v/>
      </c>
      <c r="Q12" s="390" t="str">
        <f>IFERROR(__xludf.DUMMYFUNCTION("if($K12="""","""",iferror(join("" &amp; "",filter(Schedule!$AK:$AK&amp;""-""&amp;Schedule!$AL:$AL,Schedule!$L:$L=$K12,(Schedule!$K:$K=$L12)+(Schedule!$K:$K=""""),Schedule!$AK:$AK&lt;&gt;"""")),""""))"),"")</f>
        <v/>
      </c>
      <c r="R12" s="390" t="str">
        <f>IFERROR(__xludf.DUMMYFUNCTION("if($K12="""","""",iferror(join("" &amp; "",filter(Schedule!$AB:$AB&amp;""-""&amp;Schedule!$AC:$AC,Schedule!$L:$L=$K12,(Schedule!$K:$K=$L12)+(Schedule!$K:$K=""""),Schedule!$AB:$AB&lt;&gt;"""")),""""))"),"")</f>
        <v/>
      </c>
      <c r="S12" s="391" t="str">
        <f>if(K12="","", 24-countifs(N12:R16,""))</f>
        <v/>
      </c>
      <c r="T12" s="393"/>
    </row>
    <row r="13">
      <c r="A13" s="389" t="str">
        <f>C10</f>
        <v>Alyssa Jodoin</v>
      </c>
      <c r="B13" s="389" t="str">
        <f>I10</f>
        <v/>
      </c>
      <c r="C13" s="100">
        <v>2.0</v>
      </c>
      <c r="D13" s="390" t="str">
        <f>IFERROR(__xludf.DUMMYFUNCTION("if($A13="""","""",iferror(join("" &amp; "",filter(Schedule!$S:$S&amp;""-""&amp;Schedule!$T:$T,Schedule!$L:$L=$A13,(Schedule!$K:$K=$B13)+(Schedule!$K:$K=""""),Schedule!$S:$S&lt;&gt;"""")),""""))"),"")</f>
        <v/>
      </c>
      <c r="E13" s="390" t="str">
        <f>IFERROR(__xludf.DUMMYFUNCTION("if($A13="""","""",iferror(join("" &amp; "",filter(Schedule!$AH:$AH&amp;""-""&amp;Schedule!$AI:$AI,Schedule!$L:$L=$A13,(Schedule!$K:$K=$B13)+(Schedule!$K:$K=""""),Schedule!$AH:$AH&lt;&gt;"""")),""""))"),"Art of Fiction Higher Level-2")</f>
        <v>Art of Fiction Higher Level-2</v>
      </c>
      <c r="F13" s="390" t="str">
        <f>IFERROR(__xludf.DUMMYFUNCTION("if($A13="""","""",iferror(join("" &amp; "",filter(Schedule!$Y:$Y&amp;""-""&amp;Schedule!$Z:$Z,Schedule!$L:$L=$A13,(Schedule!$K:$K=$B13)+(Schedule!$K:$K=""""),Schedule!$Y:$Y&lt;&gt;"""")),""""))"),"AP English Literature-1")</f>
        <v>AP English Literature-1</v>
      </c>
      <c r="G13" s="390" t="str">
        <f>IFERROR(__xludf.DUMMYFUNCTION("if($A13="""","""",iferror(join("" &amp; "",filter(Schedule!$P:$P&amp;""-""&amp;Schedule!$Q:$Q,Schedule!$L:$L=$A13,(Schedule!$K:$K=$B13)+(Schedule!$K:$K=""""),Schedule!$P:$P&lt;&gt;"""")),""""))"),"Art of Fiction Higher Level-1")</f>
        <v>Art of Fiction Higher Level-1</v>
      </c>
      <c r="H13" s="390" t="str">
        <f>IFERROR(__xludf.DUMMYFUNCTION("if($A13="""","""",iferror(join("" &amp; "",filter(Schedule!$AE:$AE&amp;""-""&amp;Schedule!$AF:$AF,Schedule!$L:$L=$A13,(Schedule!$K:$K=$B13)+(Schedule!$K:$K=""""),Schedule!$AE:$AE&lt;&gt;"""")),""""))"),"Art of Fiction Intermediate Level-3")</f>
        <v>Art of Fiction Intermediate Level-3</v>
      </c>
      <c r="I13" s="53"/>
      <c r="J13" s="392"/>
      <c r="K13" s="389" t="str">
        <f>M10</f>
        <v/>
      </c>
      <c r="L13" s="389" t="str">
        <f>S10</f>
        <v/>
      </c>
      <c r="M13" s="100">
        <v>2.0</v>
      </c>
      <c r="N13" s="390" t="str">
        <f>IFERROR(__xludf.DUMMYFUNCTION("if($K13="""","""",iferror(join("" &amp; "",filter(Schedule!$S:$S&amp;""-""&amp;Schedule!$T:$T,Schedule!$L:$L=$K13,(Schedule!$K:$K=$L13)+(Schedule!$K:$K=""""),Schedule!$S:$S&lt;&gt;"""")),""""))"),"")</f>
        <v/>
      </c>
      <c r="O13" s="390" t="str">
        <f>IFERROR(__xludf.DUMMYFUNCTION("if($K13="""","""",iferror(join("" &amp; "",filter(Schedule!$AH:$AH&amp;""-""&amp;Schedule!$AI:$AI,Schedule!$L:$L=$K13,(Schedule!$K:$K=$L13)+(Schedule!$K:$K=""""),Schedule!$AH:$AH&lt;&gt;"""")),""""))"),"")</f>
        <v/>
      </c>
      <c r="P13" s="390" t="str">
        <f>IFERROR(__xludf.DUMMYFUNCTION("if($K13="""","""",iferror(join("" &amp; "",filter(Schedule!$Y:$Y&amp;""-""&amp;Schedule!$Z:$Z,Schedule!$L:$L=$K13,(Schedule!$K:$K=$L13)+(Schedule!$K:$K=""""),Schedule!$Y:$Y&lt;&gt;"""")),""""))"),"")</f>
        <v/>
      </c>
      <c r="Q13" s="390" t="str">
        <f>IFERROR(__xludf.DUMMYFUNCTION("if($K13="""","""",iferror(join("" &amp; "",filter(Schedule!$P:$P&amp;""-""&amp;Schedule!$Q:$Q,Schedule!$L:$L=$K13,(Schedule!$K:$K=$L13)+(Schedule!$K:$K=""""),Schedule!$P:$P&lt;&gt;"""")),""""))"),"")</f>
        <v/>
      </c>
      <c r="R13" s="390" t="str">
        <f>IFERROR(__xludf.DUMMYFUNCTION("if($K13="""","""",iferror(join("" &amp; "",filter(Schedule!$AE:$AE&amp;""-""&amp;Schedule!$AF:$AF,Schedule!$L:$L=$K13,(Schedule!$K:$K=$L13)+(Schedule!$K:$K=""""),Schedule!$AE:$AE&lt;&gt;"""")),""""))"),"")</f>
        <v/>
      </c>
      <c r="S13" s="53"/>
      <c r="T13" s="393"/>
    </row>
    <row r="14">
      <c r="A14" s="389" t="str">
        <f>C10</f>
        <v>Alyssa Jodoin</v>
      </c>
      <c r="B14" s="389" t="str">
        <f>I10</f>
        <v/>
      </c>
      <c r="C14" s="100">
        <v>3.0</v>
      </c>
      <c r="D14" s="390" t="str">
        <f>IFERROR(__xludf.DUMMYFUNCTION("if($A14="""","""",iferror(join("" &amp; "",filter(Schedule!$V:$V&amp;""-""&amp;Schedule!$W:$W,Schedule!$L:$L=$A14,(Schedule!$K:$K=$B14)+(Schedule!$K:$K=""""),Schedule!$V:$V&lt;&gt;"""")),""""))"),"")</f>
        <v/>
      </c>
      <c r="E14" s="390" t="str">
        <f>IFERROR(__xludf.DUMMYFUNCTION("if($A14="""","""",iferror(join("" &amp; "",filter(Schedule!$AK:$AK&amp;""-""&amp;Schedule!$AL:$AL,Schedule!$L:$L=$A14,(Schedule!$K:$K=$B14)+(Schedule!$K:$K=""""),Schedule!$AK:$AK&lt;&gt;"""")),""""))"),"Art of Fiction Higher Level-3")</f>
        <v>Art of Fiction Higher Level-3</v>
      </c>
      <c r="F14" s="390" t="str">
        <f>IFERROR(__xludf.DUMMYFUNCTION("if($A14="""","""",iferror(join("" &amp; "",filter(Schedule!$AB:$AB&amp;""-""&amp;Schedule!$AC:$AC,Schedule!$L:$L=$A14,(Schedule!$K:$K=$B14)+(Schedule!$K:$K=""""),Schedule!$AB:$AB&lt;&gt;"""")),""""))"),"")</f>
        <v/>
      </c>
      <c r="G14" s="390" t="str">
        <f>IFERROR(__xludf.DUMMYFUNCTION("if($A14="""","""",iferror(join("" &amp; "",filter(Schedule!$S:$S&amp;""-""&amp;Schedule!$T:$T,Schedule!$L:$L=$A14,(Schedule!$K:$K=$B14)+(Schedule!$K:$K=""""),Schedule!$S:$S&lt;&gt;"""")),""""))"),"")</f>
        <v/>
      </c>
      <c r="H14" s="395" t="str">
        <f>if($C10="","","X-Block")</f>
        <v>X-Block</v>
      </c>
      <c r="I14" s="53"/>
      <c r="J14" s="392"/>
      <c r="K14" s="389" t="str">
        <f>M10</f>
        <v/>
      </c>
      <c r="L14" s="389" t="str">
        <f>S10</f>
        <v/>
      </c>
      <c r="M14" s="100">
        <v>3.0</v>
      </c>
      <c r="N14" s="390" t="str">
        <f>IFERROR(__xludf.DUMMYFUNCTION("if($K14="""","""",iferror(join("" &amp; "",filter(Schedule!$V:$V&amp;""-""&amp;Schedule!$W:$W,Schedule!$L:$L=$K14,(Schedule!$K:$K=$L14)+(Schedule!$K:$K=""""),Schedule!$V:$V&lt;&gt;"""")),""""))"),"")</f>
        <v/>
      </c>
      <c r="O14" s="390" t="str">
        <f>IFERROR(__xludf.DUMMYFUNCTION("if($K14="""","""",iferror(join("" &amp; "",filter(Schedule!$AK:$AK&amp;""-""&amp;Schedule!$AL:$AL,Schedule!$L:$L=$K14,(Schedule!$K:$K=$L14)+(Schedule!$K:$K=""""),Schedule!$AK:$AK&lt;&gt;"""")),""""))"),"")</f>
        <v/>
      </c>
      <c r="P14" s="390" t="str">
        <f>IFERROR(__xludf.DUMMYFUNCTION("if($K14="""","""",iferror(join("" &amp; "",filter(Schedule!$AB:$AB&amp;""-""&amp;Schedule!$AC:$AC,Schedule!$L:$L=$K14,(Schedule!$K:$K=$L14)+(Schedule!$K:$K=""""),Schedule!$AB:$AB&lt;&gt;"""")),""""))"),"")</f>
        <v/>
      </c>
      <c r="Q14" s="390" t="str">
        <f>IFERROR(__xludf.DUMMYFUNCTION("if($K14="""","""",iferror(join("" &amp; "",filter(Schedule!$S:$S&amp;""-""&amp;Schedule!$T:$T,Schedule!$L:$L=$K14,(Schedule!$K:$K=$L14)+(Schedule!$K:$K=""""),Schedule!$S:$S&lt;&gt;"""")),""""))"),"")</f>
        <v/>
      </c>
      <c r="R14" s="395" t="str">
        <f>if($M10="","","X-Block")</f>
        <v/>
      </c>
      <c r="S14" s="53"/>
      <c r="T14" s="393"/>
    </row>
    <row r="15">
      <c r="A15" s="389" t="str">
        <f>C10</f>
        <v>Alyssa Jodoin</v>
      </c>
      <c r="B15" s="389" t="str">
        <f>I10</f>
        <v/>
      </c>
      <c r="C15" s="100">
        <v>4.0</v>
      </c>
      <c r="D15" s="390" t="str">
        <f>IFERROR(__xludf.DUMMYFUNCTION("if($A15="""","""",iferror(join("" &amp; "",filter(Schedule!$Y:$Y&amp;""-""&amp;Schedule!$Z:$Z,Schedule!$L:$L=$A15,(Schedule!$K:$K=$B15)+(Schedule!$K:$K=""""),Schedule!$Y:$Y&lt;&gt;"""")),""""))"),"AP English Literature-1")</f>
        <v>AP English Literature-1</v>
      </c>
      <c r="E15" s="390" t="str">
        <f>IFERROR(__xludf.DUMMYFUNCTION("if($A15="""","""",iferror(join("" &amp; "",filter(Schedule!$P:$P&amp;""-""&amp;Schedule!$Q:$Q,Schedule!$L:$L=$A15,(Schedule!$K:$K=$B15)+(Schedule!$K:$K=""""),Schedule!$P:$P&lt;&gt;"""")),""""))"),"Art of Fiction Higher Level-1")</f>
        <v>Art of Fiction Higher Level-1</v>
      </c>
      <c r="F15" s="390" t="str">
        <f>IFERROR(__xludf.DUMMYFUNCTION("if($A15="""","""",iferror(join("" &amp; "",filter(Schedule!$AE:$AE&amp;""-""&amp;Schedule!$AF:$AF,Schedule!$L:$L=$A15,(Schedule!$K:$K=$B15)+(Schedule!$K:$K=""""),Schedule!$AE:$AE&lt;&gt;"""")),""""))"),"Art of Fiction Intermediate Level-3")</f>
        <v>Art of Fiction Intermediate Level-3</v>
      </c>
      <c r="G15" s="390" t="str">
        <f>IFERROR(__xludf.DUMMYFUNCTION("if($A15="""","""",iferror(join("" &amp; "",filter(Schedule!$V:$V&amp;""-""&amp;Schedule!$W:$W,Schedule!$L:$L=$A15,(Schedule!$K:$K=$B15)+(Schedule!$K:$K=""""),Schedule!$V:$V&lt;&gt;"""")),""""))"),"")</f>
        <v/>
      </c>
      <c r="H15" s="390" t="str">
        <f>IFERROR(__xludf.DUMMYFUNCTION("if($A15="""","""",iferror(join("" &amp; "",filter(Schedule!$AH:$AH&amp;""-""&amp;Schedule!$AI:$AI,Schedule!$L:$L=$A15,(Schedule!$K:$K=$B15)+(Schedule!$K:$K=""""),Schedule!$AH:$AH&lt;&gt;"""")),""""))"),"Art of Fiction Higher Level-2")</f>
        <v>Art of Fiction Higher Level-2</v>
      </c>
      <c r="I15" s="53"/>
      <c r="J15" s="392"/>
      <c r="K15" s="389" t="str">
        <f>M10</f>
        <v/>
      </c>
      <c r="L15" s="389" t="str">
        <f>S10</f>
        <v/>
      </c>
      <c r="M15" s="100">
        <v>4.0</v>
      </c>
      <c r="N15" s="390" t="str">
        <f>IFERROR(__xludf.DUMMYFUNCTION("if($K15="""","""",iferror(join("" &amp; "",filter(Schedule!$Y:$Y&amp;""-""&amp;Schedule!$Z:$Z,Schedule!$L:$L=$K15,(Schedule!$K:$K=$L15)+(Schedule!$K:$K=""""),Schedule!$Y:$Y&lt;&gt;"""")),""""))"),"")</f>
        <v/>
      </c>
      <c r="O15" s="390" t="str">
        <f>IFERROR(__xludf.DUMMYFUNCTION("if($K15="""","""",iferror(join("" &amp; "",filter(Schedule!$P:$P&amp;""-""&amp;Schedule!$Q:$Q,Schedule!$L:$L=$K15,(Schedule!$K:$K=$L15)+(Schedule!$K:$K=""""),Schedule!$P:$P&lt;&gt;"""")),""""))"),"")</f>
        <v/>
      </c>
      <c r="P15" s="390" t="str">
        <f>IFERROR(__xludf.DUMMYFUNCTION("if($K15="""","""",iferror(join("" &amp; "",filter(Schedule!$AE:$AE&amp;""-""&amp;Schedule!$AF:$AF,Schedule!$L:$L=$K15,(Schedule!$K:$K=$L15)+(Schedule!$K:$K=""""),Schedule!$AE:$AE&lt;&gt;"""")),""""))"),"")</f>
        <v/>
      </c>
      <c r="Q15" s="390" t="str">
        <f>IFERROR(__xludf.DUMMYFUNCTION("if($K15="""","""",iferror(join("" &amp; "",filter(Schedule!$V:$V&amp;""-""&amp;Schedule!$W:$W,Schedule!$L:$L=$K15,(Schedule!$K:$K=$L15)+(Schedule!$K:$K=""""),Schedule!$V:$V&lt;&gt;"""")),""""))"),"")</f>
        <v/>
      </c>
      <c r="R15" s="390" t="str">
        <f>IFERROR(__xludf.DUMMYFUNCTION("if($K15="""","""",iferror(join("" &amp; "",filter(Schedule!$AH:$AH&amp;""-""&amp;Schedule!$AI:$AI,Schedule!$L:$L=$K15,(Schedule!$K:$K=$L15)+(Schedule!$K:$K=""""),Schedule!$AH:$AH&lt;&gt;"""")),""""))"),"")</f>
        <v/>
      </c>
      <c r="S15" s="53"/>
      <c r="T15" s="393"/>
    </row>
    <row r="16">
      <c r="A16" s="389" t="str">
        <f>C10</f>
        <v>Alyssa Jodoin</v>
      </c>
      <c r="B16" s="389" t="str">
        <f>I10</f>
        <v/>
      </c>
      <c r="C16" s="100">
        <v>5.0</v>
      </c>
      <c r="D16" s="390" t="str">
        <f>IFERROR(__xludf.DUMMYFUNCTION("if($A16="""","""",iferror(join("" &amp; "",filter(Schedule!$AB:$AB&amp;""-""&amp;Schedule!$AC:$AC,Schedule!$L:$L=$A16,(Schedule!$K:$K=$B16)+(Schedule!$K:$K=""""),Schedule!$AB:$AB&lt;&gt;"""")),""""))"),"")</f>
        <v/>
      </c>
      <c r="E16" s="390" t="str">
        <f>IFERROR(__xludf.DUMMYFUNCTION("if($A16="""","""",iferror(join("" &amp; "",filter(Schedule!$S:$S&amp;""-""&amp;Schedule!$T:$T,Schedule!$L:$L=$A16,(Schedule!$K:$K=$B16)+(Schedule!$K:$K=""""),Schedule!$S:$S&lt;&gt;"""")),""""))"),"")</f>
        <v/>
      </c>
      <c r="F16" s="390" t="str">
        <f>IFERROR(__xludf.DUMMYFUNCTION("if($A16="""","""",iferror(join("" &amp; "",filter(Schedule!$AH:$AH&amp;""-""&amp;Schedule!$AI:$AI,Schedule!$L:$L=$A16,(Schedule!$K:$K=$B16)+(Schedule!$K:$K=""""),Schedule!$AH:$AH&lt;&gt;"""")),""""))"),"Art of Fiction Higher Level-2")</f>
        <v>Art of Fiction Higher Level-2</v>
      </c>
      <c r="G16" s="390" t="str">
        <f>IFERROR(__xludf.DUMMYFUNCTION("if($A16="""","""",iferror(join("" &amp; "",filter(Schedule!$Y:$Y&amp;""-""&amp;Schedule!$Z:$Z,Schedule!$L:$L=$A16,(Schedule!$K:$K=$B16)+(Schedule!$K:$K=""""),Schedule!$Y:$Y&lt;&gt;"""")),""""))"),"AP English Literature-1")</f>
        <v>AP English Literature-1</v>
      </c>
      <c r="H16" s="390" t="str">
        <f>IFERROR(__xludf.DUMMYFUNCTION("if($A16="""","""",iferror(join("" &amp; "",filter(Schedule!$AK:$AK&amp;""-""&amp;Schedule!$AL:$AL,Schedule!$L:$L=$A16,(Schedule!$K:$K=$B16)+(Schedule!$K:$K=""""),Schedule!$AK:$AK&lt;&gt;"""")),""""))"),"Art of Fiction Higher Level-3")</f>
        <v>Art of Fiction Higher Level-3</v>
      </c>
      <c r="I16" s="68"/>
      <c r="J16" s="392"/>
      <c r="K16" s="389" t="str">
        <f>M10</f>
        <v/>
      </c>
      <c r="L16" s="389" t="str">
        <f>S10</f>
        <v/>
      </c>
      <c r="M16" s="100">
        <v>5.0</v>
      </c>
      <c r="N16" s="390" t="str">
        <f>IFERROR(__xludf.DUMMYFUNCTION("if($K16="""","""",iferror(join("" &amp; "",filter(Schedule!$AB:$AB&amp;""-""&amp;Schedule!$AC:$AC,Schedule!$L:$L=$K16,(Schedule!$K:$K=$L16)+(Schedule!$K:$K=""""),Schedule!$AB:$AB&lt;&gt;"""")),""""))"),"")</f>
        <v/>
      </c>
      <c r="O16" s="390" t="str">
        <f>IFERROR(__xludf.DUMMYFUNCTION("if($K16="""","""",iferror(join("" &amp; "",filter(Schedule!$S:$S&amp;""-""&amp;Schedule!$T:$T,Schedule!$L:$L=$K16,(Schedule!$K:$K=$L16)+(Schedule!$K:$K=""""),Schedule!$S:$S&lt;&gt;"""")),""""))"),"")</f>
        <v/>
      </c>
      <c r="P16" s="390" t="str">
        <f>IFERROR(__xludf.DUMMYFUNCTION("if($K16="""","""",iferror(join("" &amp; "",filter(Schedule!$AH:$AH&amp;""-""&amp;Schedule!$AI:$AI,Schedule!$L:$L=$K16,(Schedule!$K:$K=$L16)+(Schedule!$K:$K=""""),Schedule!$AH:$AH&lt;&gt;"""")),""""))"),"")</f>
        <v/>
      </c>
      <c r="Q16" s="390" t="str">
        <f>IFERROR(__xludf.DUMMYFUNCTION("if($K16="""","""",iferror(join("" &amp; "",filter(Schedule!$Y:$Y&amp;""-""&amp;Schedule!$Z:$Z,Schedule!$L:$L=$K16,(Schedule!$K:$K=$L16)+(Schedule!$K:$K=""""),Schedule!$Y:$Y&lt;&gt;"""")),""""))"),"")</f>
        <v/>
      </c>
      <c r="R16" s="390" t="str">
        <f>IFERROR(__xludf.DUMMYFUNCTION("if($K16="""","""",iferror(join("" &amp; "",filter(Schedule!$AK:$AK&amp;""-""&amp;Schedule!$AL:$AL,Schedule!$L:$L=$K16,(Schedule!$K:$K=$L16)+(Schedule!$K:$K=""""),Schedule!$AK:$AK&lt;&gt;"""")),""""))"),"")</f>
        <v/>
      </c>
      <c r="S16" s="68"/>
      <c r="T16" s="393"/>
    </row>
    <row r="17">
      <c r="C17" s="3"/>
      <c r="D17" s="396"/>
      <c r="E17" s="396"/>
      <c r="F17" s="396"/>
      <c r="G17" s="396"/>
      <c r="H17" s="396"/>
      <c r="N17" s="397"/>
      <c r="O17" s="397"/>
      <c r="P17" s="397"/>
      <c r="Q17" s="397"/>
      <c r="R17" s="397"/>
    </row>
    <row r="18">
      <c r="A18" s="45"/>
      <c r="B18" s="45"/>
      <c r="C18" s="386" t="str">
        <f>Teachers!A3</f>
        <v>Andrea Martínez</v>
      </c>
      <c r="D18" s="383"/>
      <c r="E18" s="383"/>
      <c r="F18" s="383"/>
      <c r="G18" s="383"/>
      <c r="H18" s="384"/>
      <c r="I18" s="385" t="str">
        <f>IFERROR(__xludf.DUMMYFUNCTION("if(C18="""","""", iferror(filter(Schedule!$K:$K,Schedule!$L:$L=$C18,Schedule!$K:$K=""S1""),unique(filter(Schedule!$K:$K,Schedule!$L:$L=$C18,Schedule!$K:$K=""""))))"),"")</f>
        <v/>
      </c>
      <c r="M18" s="386" t="str">
        <f>if(S18="","",C18)</f>
        <v/>
      </c>
      <c r="N18" s="383"/>
      <c r="O18" s="383"/>
      <c r="P18" s="383"/>
      <c r="Q18" s="383"/>
      <c r="R18" s="384"/>
      <c r="S18" s="385" t="str">
        <f>if(I18="S1","S2","")</f>
        <v/>
      </c>
      <c r="T18" s="112"/>
    </row>
    <row r="19">
      <c r="A19" s="116"/>
      <c r="B19" s="116"/>
      <c r="C19" s="100" t="s">
        <v>7</v>
      </c>
      <c r="D19" s="387" t="s">
        <v>8</v>
      </c>
      <c r="E19" s="387" t="s">
        <v>9</v>
      </c>
      <c r="F19" s="387" t="s">
        <v>10</v>
      </c>
      <c r="G19" s="387" t="s">
        <v>11</v>
      </c>
      <c r="H19" s="387" t="s">
        <v>12</v>
      </c>
      <c r="I19" s="21" t="s">
        <v>766</v>
      </c>
      <c r="J19" s="116"/>
      <c r="K19" s="116"/>
      <c r="L19" s="116"/>
      <c r="M19" s="100" t="s">
        <v>7</v>
      </c>
      <c r="N19" s="387" t="s">
        <v>8</v>
      </c>
      <c r="O19" s="387" t="s">
        <v>9</v>
      </c>
      <c r="P19" s="387" t="s">
        <v>10</v>
      </c>
      <c r="Q19" s="387" t="s">
        <v>11</v>
      </c>
      <c r="R19" s="387" t="s">
        <v>12</v>
      </c>
      <c r="S19" s="21" t="s">
        <v>766</v>
      </c>
      <c r="T19" s="388"/>
    </row>
    <row r="20">
      <c r="A20" s="389" t="str">
        <f>C18</f>
        <v>Andrea Martínez</v>
      </c>
      <c r="B20" s="389" t="str">
        <f>I18</f>
        <v/>
      </c>
      <c r="C20" s="100">
        <v>1.0</v>
      </c>
      <c r="D20" s="390" t="str">
        <f>IFERROR(__xludf.DUMMYFUNCTION("if($A20="""","""",iferror(join("" &amp; "",filter(Schedule!$P:$P&amp;""-""&amp;Schedule!$Q:$Q,Schedule!$L:$L=$A20,(Schedule!$K:$K=$B20)+(Schedule!$K:$K=""""),Schedule!$P:$P&lt;&gt;"""")),""""))"),"Spanish and Literature 9-1")</f>
        <v>Spanish and Literature 9-1</v>
      </c>
      <c r="E20" s="390" t="str">
        <f>IFERROR(__xludf.DUMMYFUNCTION("if($A20="""","""",iferror(join("" &amp; "",filter(Schedule!$AE:$AE&amp;""-""&amp;Schedule!$AF:$AF,Schedule!$L:$L=$A20,(Schedule!$K:$K=$B20)+(Schedule!$K:$K=""""),Schedule!$AE:$AE&lt;&gt;"""")),""""))"),"Spanish and Literature 9-4")</f>
        <v>Spanish and Literature 9-4</v>
      </c>
      <c r="F20" s="390" t="str">
        <f>IFERROR(__xludf.DUMMYFUNCTION("if($A20="""","""",iferror(join("" &amp; "",filter(Schedule!$V:$V&amp;""-""&amp;Schedule!$W:$W,Schedule!$L:$L=$A20,(Schedule!$K:$K=$B20)+(Schedule!$K:$K=""""),Schedule!$V:$V&lt;&gt;"""")),""""))"),"")</f>
        <v/>
      </c>
      <c r="G20" s="390" t="str">
        <f>IFERROR(__xludf.DUMMYFUNCTION("if($A20="""","""",iferror(join("" &amp; "",filter(Schedule!$AK:$AK&amp;""-""&amp;Schedule!$AL:$AL,Schedule!$L:$L=$A20,(Schedule!$K:$K=$B20)+(Schedule!$K:$K=""""),Schedule!$AK:$AK&lt;&gt;"""")),""""))"),"Spanish as a Foreing Language-1")</f>
        <v>Spanish as a Foreing Language-1</v>
      </c>
      <c r="H20" s="390" t="str">
        <f>IFERROR(__xludf.DUMMYFUNCTION("if($A20="""","""",iferror(join("" &amp; "",filter(Schedule!$AB:$AB&amp;""-""&amp;Schedule!$AC:$AC,Schedule!$L:$L=$A20,(Schedule!$K:$K=$B20)+(Schedule!$K:$K=""""),Schedule!$AB:$AB&lt;&gt;"""")),""""))"),"Spanish and Literature 9-3")</f>
        <v>Spanish and Literature 9-3</v>
      </c>
      <c r="I20" s="391">
        <f>if(C18="","", 24-countifs(D20:H24,""))</f>
        <v>15</v>
      </c>
      <c r="J20" s="392"/>
      <c r="K20" s="389" t="str">
        <f>M18</f>
        <v/>
      </c>
      <c r="L20" s="389" t="str">
        <f>S18</f>
        <v/>
      </c>
      <c r="M20" s="100">
        <v>1.0</v>
      </c>
      <c r="N20" s="390" t="str">
        <f>IFERROR(__xludf.DUMMYFUNCTION("if($K20="""","""",iferror(join("" &amp; "",filter(Schedule!$P:$P&amp;""-""&amp;Schedule!$Q:$Q,Schedule!$L:$L=$K20,(Schedule!$K:$K=$L20)+(Schedule!$K:$K=""""),Schedule!$P:$P&lt;&gt;"""")),""""))"),"")</f>
        <v/>
      </c>
      <c r="O20" s="390" t="str">
        <f>IFERROR(__xludf.DUMMYFUNCTION("if($K20="""","""",iferror(join("" &amp; "",filter(Schedule!$AE:$AE&amp;""-""&amp;Schedule!$AF:$AF,Schedule!$L:$L=$K20,(Schedule!$K:$K=$L20)+(Schedule!$K:$K=""""),Schedule!$AE:$AE&lt;&gt;"""")),""""))"),"")</f>
        <v/>
      </c>
      <c r="P20" s="390" t="str">
        <f>IFERROR(__xludf.DUMMYFUNCTION("if($K20="""","""",iferror(join("" &amp; "",filter(Schedule!$V:$V&amp;""-""&amp;Schedule!$W:$W,Schedule!$L:$L=$K20,(Schedule!$K:$K=$L20)+(Schedule!$K:$K=""""),Schedule!$V:$V&lt;&gt;"""")),""""))"),"")</f>
        <v/>
      </c>
      <c r="Q20" s="390" t="str">
        <f>IFERROR(__xludf.DUMMYFUNCTION("if($K20="""","""",iferror(join("" &amp; "",filter(Schedule!$AK:$AK&amp;""-""&amp;Schedule!$AL:$AL,Schedule!$L:$L=$K20,(Schedule!$K:$K=$L20)+(Schedule!$K:$K=""""),Schedule!$AK:$AK&lt;&gt;"""")),""""))"),"")</f>
        <v/>
      </c>
      <c r="R20" s="390" t="str">
        <f>IFERROR(__xludf.DUMMYFUNCTION("if($K20="""","""",iferror(join("" &amp; "",filter(Schedule!$AB:$AB&amp;""-""&amp;Schedule!$AC:$AC,Schedule!$L:$L=$K20,(Schedule!$K:$K=$L20)+(Schedule!$K:$K=""""),Schedule!$AB:$AB&lt;&gt;"""")),""""))"),"")</f>
        <v/>
      </c>
      <c r="S20" s="391" t="str">
        <f>if(K20="","", 24-countifs(N20:R24,""))</f>
        <v/>
      </c>
      <c r="T20" s="393"/>
    </row>
    <row r="21">
      <c r="A21" s="389" t="str">
        <f>C18</f>
        <v>Andrea Martínez</v>
      </c>
      <c r="B21" s="389" t="str">
        <f>I18</f>
        <v/>
      </c>
      <c r="C21" s="100">
        <v>2.0</v>
      </c>
      <c r="D21" s="390" t="str">
        <f>IFERROR(__xludf.DUMMYFUNCTION("if($A21="""","""",iferror(join("" &amp; "",filter(Schedule!$S:$S&amp;""-""&amp;Schedule!$T:$T,Schedule!$L:$L=$A21,(Schedule!$K:$K=$B21)+(Schedule!$K:$K=""""),Schedule!$S:$S&lt;&gt;"""")),""""))"),"")</f>
        <v/>
      </c>
      <c r="E21" s="390" t="str">
        <f>IFERROR(__xludf.DUMMYFUNCTION("if($A21="""","""",iferror(join("" &amp; "",filter(Schedule!$AH:$AH&amp;""-""&amp;Schedule!$AI:$AI,Schedule!$L:$L=$A21,(Schedule!$K:$K=$B21)+(Schedule!$K:$K=""""),Schedule!$AH:$AH&lt;&gt;"""")),""""))"),"")</f>
        <v/>
      </c>
      <c r="F21" s="390" t="str">
        <f>IFERROR(__xludf.DUMMYFUNCTION("if($A21="""","""",iferror(join("" &amp; "",filter(Schedule!$Y:$Y&amp;""-""&amp;Schedule!$Z:$Z,Schedule!$L:$L=$A21,(Schedule!$K:$K=$B21)+(Schedule!$K:$K=""""),Schedule!$Y:$Y&lt;&gt;"""")),""""))"),"Spanish and Literature 9-2")</f>
        <v>Spanish and Literature 9-2</v>
      </c>
      <c r="G21" s="390" t="str">
        <f>IFERROR(__xludf.DUMMYFUNCTION("if($A21="""","""",iferror(join("" &amp; "",filter(Schedule!$P:$P&amp;""-""&amp;Schedule!$Q:$Q,Schedule!$L:$L=$A21,(Schedule!$K:$K=$B21)+(Schedule!$K:$K=""""),Schedule!$P:$P&lt;&gt;"""")),""""))"),"Spanish and Literature 9-1")</f>
        <v>Spanish and Literature 9-1</v>
      </c>
      <c r="H21" s="390" t="str">
        <f>IFERROR(__xludf.DUMMYFUNCTION("if($A21="""","""",iferror(join("" &amp; "",filter(Schedule!$AE:$AE&amp;""-""&amp;Schedule!$AF:$AF,Schedule!$L:$L=$A21,(Schedule!$K:$K=$B21)+(Schedule!$K:$K=""""),Schedule!$AE:$AE&lt;&gt;"""")),""""))"),"Spanish and Literature 9-4")</f>
        <v>Spanish and Literature 9-4</v>
      </c>
      <c r="I21" s="53"/>
      <c r="J21" s="392"/>
      <c r="K21" s="389" t="str">
        <f>M18</f>
        <v/>
      </c>
      <c r="L21" s="389" t="str">
        <f>S18</f>
        <v/>
      </c>
      <c r="M21" s="100">
        <v>2.0</v>
      </c>
      <c r="N21" s="390" t="str">
        <f>IFERROR(__xludf.DUMMYFUNCTION("if($K21="""","""",iferror(join("" &amp; "",filter(Schedule!$S:$S&amp;""-""&amp;Schedule!$T:$T,Schedule!$L:$L=$K21,(Schedule!$K:$K=$L21)+(Schedule!$K:$K=""""),Schedule!$S:$S&lt;&gt;"""")),""""))"),"")</f>
        <v/>
      </c>
      <c r="O21" s="390" t="str">
        <f>IFERROR(__xludf.DUMMYFUNCTION("if($K21="""","""",iferror(join("" &amp; "",filter(Schedule!$AH:$AH&amp;""-""&amp;Schedule!$AI:$AI,Schedule!$L:$L=$K21,(Schedule!$K:$K=$L21)+(Schedule!$K:$K=""""),Schedule!$AH:$AH&lt;&gt;"""")),""""))"),"")</f>
        <v/>
      </c>
      <c r="P21" s="390" t="str">
        <f>IFERROR(__xludf.DUMMYFUNCTION("if($K21="""","""",iferror(join("" &amp; "",filter(Schedule!$Y:$Y&amp;""-""&amp;Schedule!$Z:$Z,Schedule!$L:$L=$K21,(Schedule!$K:$K=$L21)+(Schedule!$K:$K=""""),Schedule!$Y:$Y&lt;&gt;"""")),""""))"),"")</f>
        <v/>
      </c>
      <c r="Q21" s="390" t="str">
        <f>IFERROR(__xludf.DUMMYFUNCTION("if($K21="""","""",iferror(join("" &amp; "",filter(Schedule!$P:$P&amp;""-""&amp;Schedule!$Q:$Q,Schedule!$L:$L=$K21,(Schedule!$K:$K=$L21)+(Schedule!$K:$K=""""),Schedule!$P:$P&lt;&gt;"""")),""""))"),"")</f>
        <v/>
      </c>
      <c r="R21" s="390" t="str">
        <f>IFERROR(__xludf.DUMMYFUNCTION("if($K21="""","""",iferror(join("" &amp; "",filter(Schedule!$AE:$AE&amp;""-""&amp;Schedule!$AF:$AF,Schedule!$L:$L=$K21,(Schedule!$K:$K=$L21)+(Schedule!$K:$K=""""),Schedule!$AE:$AE&lt;&gt;"""")),""""))"),"")</f>
        <v/>
      </c>
      <c r="S21" s="53"/>
      <c r="T21" s="393"/>
    </row>
    <row r="22">
      <c r="A22" s="389" t="str">
        <f>C18</f>
        <v>Andrea Martínez</v>
      </c>
      <c r="B22" s="389" t="str">
        <f>I18</f>
        <v/>
      </c>
      <c r="C22" s="100">
        <v>3.0</v>
      </c>
      <c r="D22" s="390" t="str">
        <f>IFERROR(__xludf.DUMMYFUNCTION("if($A22="""","""",iferror(join("" &amp; "",filter(Schedule!$V:$V&amp;""-""&amp;Schedule!$W:$W,Schedule!$L:$L=$A22,(Schedule!$K:$K=$B22)+(Schedule!$K:$K=""""),Schedule!$V:$V&lt;&gt;"""")),""""))"),"")</f>
        <v/>
      </c>
      <c r="E22" s="390" t="str">
        <f>IFERROR(__xludf.DUMMYFUNCTION("if($A22="""","""",iferror(join("" &amp; "",filter(Schedule!$AK:$AK&amp;""-""&amp;Schedule!$AL:$AL,Schedule!$L:$L=$A22,(Schedule!$K:$K=$B22)+(Schedule!$K:$K=""""),Schedule!$AK:$AK&lt;&gt;"""")),""""))"),"Spanish as a Foreing Language-1")</f>
        <v>Spanish as a Foreing Language-1</v>
      </c>
      <c r="F22" s="390" t="str">
        <f>IFERROR(__xludf.DUMMYFUNCTION("if($A22="""","""",iferror(join("" &amp; "",filter(Schedule!$AB:$AB&amp;""-""&amp;Schedule!$AC:$AC,Schedule!$L:$L=$A22,(Schedule!$K:$K=$B22)+(Schedule!$K:$K=""""),Schedule!$AB:$AB&lt;&gt;"""")),""""))"),"Spanish and Literature 9-3")</f>
        <v>Spanish and Literature 9-3</v>
      </c>
      <c r="G22" s="390" t="str">
        <f>IFERROR(__xludf.DUMMYFUNCTION("if($A22="""","""",iferror(join("" &amp; "",filter(Schedule!$S:$S&amp;""-""&amp;Schedule!$T:$T,Schedule!$L:$L=$A22,(Schedule!$K:$K=$B22)+(Schedule!$K:$K=""""),Schedule!$S:$S&lt;&gt;"""")),""""))"),"")</f>
        <v/>
      </c>
      <c r="H22" s="395" t="str">
        <f>if($C18="","","X-Block")</f>
        <v>X-Block</v>
      </c>
      <c r="I22" s="53"/>
      <c r="J22" s="392"/>
      <c r="K22" s="389" t="str">
        <f>M18</f>
        <v/>
      </c>
      <c r="L22" s="389" t="str">
        <f>S18</f>
        <v/>
      </c>
      <c r="M22" s="100">
        <v>3.0</v>
      </c>
      <c r="N22" s="390" t="str">
        <f>IFERROR(__xludf.DUMMYFUNCTION("if($K22="""","""",iferror(join("" &amp; "",filter(Schedule!$V:$V&amp;""-""&amp;Schedule!$W:$W,Schedule!$L:$L=$K22,(Schedule!$K:$K=$L22)+(Schedule!$K:$K=""""),Schedule!$V:$V&lt;&gt;"""")),""""))"),"")</f>
        <v/>
      </c>
      <c r="O22" s="390" t="str">
        <f>IFERROR(__xludf.DUMMYFUNCTION("if($K22="""","""",iferror(join("" &amp; "",filter(Schedule!$AK:$AK&amp;""-""&amp;Schedule!$AL:$AL,Schedule!$L:$L=$K22,(Schedule!$K:$K=$L22)+(Schedule!$K:$K=""""),Schedule!$AK:$AK&lt;&gt;"""")),""""))"),"")</f>
        <v/>
      </c>
      <c r="P22" s="390" t="str">
        <f>IFERROR(__xludf.DUMMYFUNCTION("if($K22="""","""",iferror(join("" &amp; "",filter(Schedule!$AB:$AB&amp;""-""&amp;Schedule!$AC:$AC,Schedule!$L:$L=$K22,(Schedule!$K:$K=$L22)+(Schedule!$K:$K=""""),Schedule!$AB:$AB&lt;&gt;"""")),""""))"),"")</f>
        <v/>
      </c>
      <c r="Q22" s="390" t="str">
        <f>IFERROR(__xludf.DUMMYFUNCTION("if($K22="""","""",iferror(join("" &amp; "",filter(Schedule!$S:$S&amp;""-""&amp;Schedule!$T:$T,Schedule!$L:$L=$K22,(Schedule!$K:$K=$L22)+(Schedule!$K:$K=""""),Schedule!$S:$S&lt;&gt;"""")),""""))"),"")</f>
        <v/>
      </c>
      <c r="R22" s="395" t="str">
        <f>if($M18="","","X-Block")</f>
        <v/>
      </c>
      <c r="S22" s="53"/>
      <c r="T22" s="393"/>
    </row>
    <row r="23">
      <c r="A23" s="389" t="str">
        <f>C18</f>
        <v>Andrea Martínez</v>
      </c>
      <c r="B23" s="389" t="str">
        <f>I18</f>
        <v/>
      </c>
      <c r="C23" s="100">
        <v>4.0</v>
      </c>
      <c r="D23" s="390" t="str">
        <f>IFERROR(__xludf.DUMMYFUNCTION("if($A23="""","""",iferror(join("" &amp; "",filter(Schedule!$Y:$Y&amp;""-""&amp;Schedule!$Z:$Z,Schedule!$L:$L=$A23,(Schedule!$K:$K=$B23)+(Schedule!$K:$K=""""),Schedule!$Y:$Y&lt;&gt;"""")),""""))"),"Spanish and Literature 9-2")</f>
        <v>Spanish and Literature 9-2</v>
      </c>
      <c r="E23" s="390" t="str">
        <f>IFERROR(__xludf.DUMMYFUNCTION("if($A23="""","""",iferror(join("" &amp; "",filter(Schedule!$P:$P&amp;""-""&amp;Schedule!$Q:$Q,Schedule!$L:$L=$A23,(Schedule!$K:$K=$B23)+(Schedule!$K:$K=""""),Schedule!$P:$P&lt;&gt;"""")),""""))"),"Spanish and Literature 9-1")</f>
        <v>Spanish and Literature 9-1</v>
      </c>
      <c r="F23" s="390" t="str">
        <f>IFERROR(__xludf.DUMMYFUNCTION("if($A23="""","""",iferror(join("" &amp; "",filter(Schedule!$AE:$AE&amp;""-""&amp;Schedule!$AF:$AF,Schedule!$L:$L=$A23,(Schedule!$K:$K=$B23)+(Schedule!$K:$K=""""),Schedule!$AE:$AE&lt;&gt;"""")),""""))"),"Spanish and Literature 9-4")</f>
        <v>Spanish and Literature 9-4</v>
      </c>
      <c r="G23" s="390" t="str">
        <f>IFERROR(__xludf.DUMMYFUNCTION("if($A23="""","""",iferror(join("" &amp; "",filter(Schedule!$V:$V&amp;""-""&amp;Schedule!$W:$W,Schedule!$L:$L=$A23,(Schedule!$K:$K=$B23)+(Schedule!$K:$K=""""),Schedule!$V:$V&lt;&gt;"""")),""""))"),"")</f>
        <v/>
      </c>
      <c r="H23" s="390" t="str">
        <f>IFERROR(__xludf.DUMMYFUNCTION("if($A23="""","""",iferror(join("" &amp; "",filter(Schedule!$AH:$AH&amp;""-""&amp;Schedule!$AI:$AI,Schedule!$L:$L=$A23,(Schedule!$K:$K=$B23)+(Schedule!$K:$K=""""),Schedule!$AH:$AH&lt;&gt;"""")),""""))"),"")</f>
        <v/>
      </c>
      <c r="I23" s="53"/>
      <c r="J23" s="392"/>
      <c r="K23" s="389" t="str">
        <f>M18</f>
        <v/>
      </c>
      <c r="L23" s="389" t="str">
        <f>S18</f>
        <v/>
      </c>
      <c r="M23" s="100">
        <v>4.0</v>
      </c>
      <c r="N23" s="390" t="str">
        <f>IFERROR(__xludf.DUMMYFUNCTION("if($K23="""","""",iferror(join("" &amp; "",filter(Schedule!$Y:$Y&amp;""-""&amp;Schedule!$Z:$Z,Schedule!$L:$L=$K23,(Schedule!$K:$K=$L23)+(Schedule!$K:$K=""""),Schedule!$Y:$Y&lt;&gt;"""")),""""))"),"")</f>
        <v/>
      </c>
      <c r="O23" s="390" t="str">
        <f>IFERROR(__xludf.DUMMYFUNCTION("if($K23="""","""",iferror(join("" &amp; "",filter(Schedule!$P:$P&amp;""-""&amp;Schedule!$Q:$Q,Schedule!$L:$L=$K23,(Schedule!$K:$K=$L23)+(Schedule!$K:$K=""""),Schedule!$P:$P&lt;&gt;"""")),""""))"),"")</f>
        <v/>
      </c>
      <c r="P23" s="390" t="str">
        <f>IFERROR(__xludf.DUMMYFUNCTION("if($K23="""","""",iferror(join("" &amp; "",filter(Schedule!$AE:$AE&amp;""-""&amp;Schedule!$AF:$AF,Schedule!$L:$L=$K23,(Schedule!$K:$K=$L23)+(Schedule!$K:$K=""""),Schedule!$AE:$AE&lt;&gt;"""")),""""))"),"")</f>
        <v/>
      </c>
      <c r="Q23" s="390" t="str">
        <f>IFERROR(__xludf.DUMMYFUNCTION("if($K23="""","""",iferror(join("" &amp; "",filter(Schedule!$V:$V&amp;""-""&amp;Schedule!$W:$W,Schedule!$L:$L=$K23,(Schedule!$K:$K=$L23)+(Schedule!$K:$K=""""),Schedule!$V:$V&lt;&gt;"""")),""""))"),"")</f>
        <v/>
      </c>
      <c r="R23" s="390" t="str">
        <f>IFERROR(__xludf.DUMMYFUNCTION("if($K23="""","""",iferror(join("" &amp; "",filter(Schedule!$AH:$AH&amp;""-""&amp;Schedule!$AI:$AI,Schedule!$L:$L=$K23,(Schedule!$K:$K=$L23)+(Schedule!$K:$K=""""),Schedule!$AH:$AH&lt;&gt;"""")),""""))"),"")</f>
        <v/>
      </c>
      <c r="S23" s="53"/>
      <c r="T23" s="393"/>
    </row>
    <row r="24">
      <c r="A24" s="389" t="str">
        <f>C18</f>
        <v>Andrea Martínez</v>
      </c>
      <c r="B24" s="389" t="str">
        <f>I18</f>
        <v/>
      </c>
      <c r="C24" s="100">
        <v>5.0</v>
      </c>
      <c r="D24" s="390" t="str">
        <f>IFERROR(__xludf.DUMMYFUNCTION("if($A24="""","""",iferror(join("" &amp; "",filter(Schedule!$AB:$AB&amp;""-""&amp;Schedule!$AC:$AC,Schedule!$L:$L=$A24,(Schedule!$K:$K=$B24)+(Schedule!$K:$K=""""),Schedule!$AB:$AB&lt;&gt;"""")),""""))"),"Spanish and Literature 9-3")</f>
        <v>Spanish and Literature 9-3</v>
      </c>
      <c r="E24" s="390" t="str">
        <f>IFERROR(__xludf.DUMMYFUNCTION("if($A24="""","""",iferror(join("" &amp; "",filter(Schedule!$S:$S&amp;""-""&amp;Schedule!$T:$T,Schedule!$L:$L=$A24,(Schedule!$K:$K=$B24)+(Schedule!$K:$K=""""),Schedule!$S:$S&lt;&gt;"""")),""""))"),"")</f>
        <v/>
      </c>
      <c r="F24" s="390" t="str">
        <f>IFERROR(__xludf.DUMMYFUNCTION("if($A24="""","""",iferror(join("" &amp; "",filter(Schedule!$AH:$AH&amp;""-""&amp;Schedule!$AI:$AI,Schedule!$L:$L=$A24,(Schedule!$K:$K=$B24)+(Schedule!$K:$K=""""),Schedule!$AH:$AH&lt;&gt;"""")),""""))"),"")</f>
        <v/>
      </c>
      <c r="G24" s="390" t="str">
        <f>IFERROR(__xludf.DUMMYFUNCTION("if($A24="""","""",iferror(join("" &amp; "",filter(Schedule!$Y:$Y&amp;""-""&amp;Schedule!$Z:$Z,Schedule!$L:$L=$A24,(Schedule!$K:$K=$B24)+(Schedule!$K:$K=""""),Schedule!$Y:$Y&lt;&gt;"""")),""""))"),"Spanish and Literature 9-2")</f>
        <v>Spanish and Literature 9-2</v>
      </c>
      <c r="H24" s="390" t="str">
        <f>IFERROR(__xludf.DUMMYFUNCTION("if($A24="""","""",iferror(join("" &amp; "",filter(Schedule!$AK:$AK&amp;""-""&amp;Schedule!$AL:$AL,Schedule!$L:$L=$A24,(Schedule!$K:$K=$B24)+(Schedule!$K:$K=""""),Schedule!$AK:$AK&lt;&gt;"""")),""""))"),"Spanish as a Foreing Language-1")</f>
        <v>Spanish as a Foreing Language-1</v>
      </c>
      <c r="I24" s="68"/>
      <c r="J24" s="392"/>
      <c r="K24" s="389" t="str">
        <f>M18</f>
        <v/>
      </c>
      <c r="L24" s="389" t="str">
        <f>S18</f>
        <v/>
      </c>
      <c r="M24" s="100">
        <v>5.0</v>
      </c>
      <c r="N24" s="390" t="str">
        <f>IFERROR(__xludf.DUMMYFUNCTION("if($K24="""","""",iferror(join("" &amp; "",filter(Schedule!$AB:$AB&amp;""-""&amp;Schedule!$AC:$AC,Schedule!$L:$L=$K24,(Schedule!$K:$K=$L24)+(Schedule!$K:$K=""""),Schedule!$AB:$AB&lt;&gt;"""")),""""))"),"")</f>
        <v/>
      </c>
      <c r="O24" s="390" t="str">
        <f>IFERROR(__xludf.DUMMYFUNCTION("if($K24="""","""",iferror(join("" &amp; "",filter(Schedule!$S:$S&amp;""-""&amp;Schedule!$T:$T,Schedule!$L:$L=$K24,(Schedule!$K:$K=$L24)+(Schedule!$K:$K=""""),Schedule!$S:$S&lt;&gt;"""")),""""))"),"")</f>
        <v/>
      </c>
      <c r="P24" s="390" t="str">
        <f>IFERROR(__xludf.DUMMYFUNCTION("if($K24="""","""",iferror(join("" &amp; "",filter(Schedule!$AH:$AH&amp;""-""&amp;Schedule!$AI:$AI,Schedule!$L:$L=$K24,(Schedule!$K:$K=$L24)+(Schedule!$K:$K=""""),Schedule!$AH:$AH&lt;&gt;"""")),""""))"),"")</f>
        <v/>
      </c>
      <c r="Q24" s="390" t="str">
        <f>IFERROR(__xludf.DUMMYFUNCTION("if($K24="""","""",iferror(join("" &amp; "",filter(Schedule!$Y:$Y&amp;""-""&amp;Schedule!$Z:$Z,Schedule!$L:$L=$K24,(Schedule!$K:$K=$L24)+(Schedule!$K:$K=""""),Schedule!$Y:$Y&lt;&gt;"""")),""""))"),"")</f>
        <v/>
      </c>
      <c r="R24" s="390" t="str">
        <f>IFERROR(__xludf.DUMMYFUNCTION("if($K24="""","""",iferror(join("" &amp; "",filter(Schedule!$AK:$AK&amp;""-""&amp;Schedule!$AL:$AL,Schedule!$L:$L=$K24,(Schedule!$K:$K=$L24)+(Schedule!$K:$K=""""),Schedule!$AK:$AK&lt;&gt;"""")),""""))"),"")</f>
        <v/>
      </c>
      <c r="S24" s="68"/>
      <c r="T24" s="393"/>
    </row>
    <row r="25">
      <c r="C25" s="3"/>
      <c r="D25" s="396"/>
      <c r="E25" s="396"/>
      <c r="F25" s="396"/>
      <c r="G25" s="396"/>
      <c r="H25" s="396"/>
      <c r="N25" s="397"/>
      <c r="O25" s="397"/>
      <c r="P25" s="397"/>
      <c r="Q25" s="397"/>
      <c r="R25" s="397"/>
    </row>
    <row r="26">
      <c r="A26" s="45"/>
      <c r="B26" s="45"/>
      <c r="C26" s="386" t="str">
        <f>Teachers!A4</f>
        <v>Andres Arboleda</v>
      </c>
      <c r="D26" s="383"/>
      <c r="E26" s="383"/>
      <c r="F26" s="383"/>
      <c r="G26" s="383"/>
      <c r="H26" s="384"/>
      <c r="I26" s="385" t="str">
        <f>IFERROR(__xludf.DUMMYFUNCTION("if(C26="""","""", iferror(unique(filter(Schedule!$K:$K,Schedule!$L:$L=$C26,Schedule!$K:$K=""S1""),unique(filter(Schedule!$K:$K,Schedule!$L:$L=$C26,Schedule!$K:$K="""")))))"),"")</f>
        <v/>
      </c>
      <c r="J26" t="str">
        <f>IFERROR(__xludf.DUMMYFUNCTION("if(C26="""","""", iferror(filter(Schedule!$K:$K,Schedule!$L:$L=$C26,Schedule!$K:$K=""S1""),unique(filter(Schedule!$K:$K,Schedule!$L:$L=$C26,Schedule!$K:$K=""""))))"),"")</f>
        <v/>
      </c>
      <c r="M26" s="386" t="str">
        <f>if(S26="","",C26)</f>
        <v/>
      </c>
      <c r="N26" s="383"/>
      <c r="O26" s="383"/>
      <c r="P26" s="383"/>
      <c r="Q26" s="383"/>
      <c r="R26" s="384"/>
      <c r="S26" s="385" t="str">
        <f>if(I26="S1","S2","")</f>
        <v/>
      </c>
      <c r="T26" s="112"/>
    </row>
    <row r="27">
      <c r="A27" s="116"/>
      <c r="B27" s="116"/>
      <c r="C27" s="100" t="s">
        <v>7</v>
      </c>
      <c r="D27" s="387" t="s">
        <v>8</v>
      </c>
      <c r="E27" s="387" t="s">
        <v>9</v>
      </c>
      <c r="F27" s="387" t="s">
        <v>10</v>
      </c>
      <c r="G27" s="387" t="s">
        <v>11</v>
      </c>
      <c r="H27" s="387" t="s">
        <v>12</v>
      </c>
      <c r="I27" s="21" t="s">
        <v>766</v>
      </c>
      <c r="J27" s="116"/>
      <c r="K27" s="116"/>
      <c r="L27" s="116"/>
      <c r="M27" s="100" t="s">
        <v>7</v>
      </c>
      <c r="N27" s="387" t="s">
        <v>8</v>
      </c>
      <c r="O27" s="387" t="s">
        <v>9</v>
      </c>
      <c r="P27" s="387" t="s">
        <v>10</v>
      </c>
      <c r="Q27" s="387" t="s">
        <v>11</v>
      </c>
      <c r="R27" s="387" t="s">
        <v>12</v>
      </c>
      <c r="S27" s="21" t="s">
        <v>766</v>
      </c>
      <c r="T27" s="388"/>
    </row>
    <row r="28">
      <c r="A28" s="389" t="str">
        <f>C26</f>
        <v>Andres Arboleda</v>
      </c>
      <c r="B28" s="389" t="str">
        <f>I26</f>
        <v/>
      </c>
      <c r="C28" s="100">
        <v>1.0</v>
      </c>
      <c r="D28" s="390" t="str">
        <f>IFERROR(__xludf.DUMMYFUNCTION("if($A28="""","""",iferror(join("" &amp; "",filter(Schedule!$P:$P&amp;""-""&amp;Schedule!$Q:$Q,Schedule!$L:$L=$A28,(Schedule!$K:$K=$B28)+(Schedule!$K:$K=""""),Schedule!$P:$P&lt;&gt;"""")),""""))"),"")</f>
        <v/>
      </c>
      <c r="E28" s="390" t="str">
        <f>IFERROR(__xludf.DUMMYFUNCTION("if($A28="""","""",iferror(join("" &amp; "",filter(Schedule!$AE:$AE&amp;""-""&amp;Schedule!$AF:$AF,Schedule!$L:$L=$A28,(Schedule!$K:$K=$B28)+(Schedule!$K:$K=""""),Schedule!$AE:$AE&lt;&gt;"""")),""""))"),"")</f>
        <v/>
      </c>
      <c r="F28" s="390" t="str">
        <f>IFERROR(__xludf.DUMMYFUNCTION("if($A28="""","""",iferror(join("" &amp; "",filter(Schedule!$V:$V&amp;""-""&amp;Schedule!$W:$W,Schedule!$L:$L=$A28,(Schedule!$K:$K=$B28)+(Schedule!$K:$K=""""),Schedule!$V:$V&lt;&gt;"""")),""""))"),"AP Precalculus-2")</f>
        <v>AP Precalculus-2</v>
      </c>
      <c r="G28" s="390" t="str">
        <f>IFERROR(__xludf.DUMMYFUNCTION("if($A28="""","""",iferror(join("" &amp; "",filter(Schedule!$AK:$AK&amp;""-""&amp;Schedule!$AL:$AL,Schedule!$L:$L=$A28,(Schedule!$K:$K=$B28)+(Schedule!$K:$K=""""),Schedule!$AK:$AK&lt;&gt;"""")),""""))"),"")</f>
        <v/>
      </c>
      <c r="H28" s="390" t="str">
        <f>IFERROR(__xludf.DUMMYFUNCTION("if($A28="""","""",iferror(join("" &amp; "",filter(Schedule!$AB:$AB&amp;""-""&amp;Schedule!$AC:$AC,Schedule!$L:$L=$A28,(Schedule!$K:$K=$B28)+(Schedule!$K:$K=""""),Schedule!$AB:$AB&lt;&gt;"""")),""""))"),"Financial Math-2")</f>
        <v>Financial Math-2</v>
      </c>
      <c r="I28" s="391">
        <f>if(C26="","", 24-countifs(D28:H32,""))</f>
        <v>15</v>
      </c>
      <c r="J28" s="392"/>
      <c r="K28" s="389" t="str">
        <f>M26</f>
        <v/>
      </c>
      <c r="L28" s="389" t="str">
        <f>S26</f>
        <v/>
      </c>
      <c r="M28" s="100">
        <v>1.0</v>
      </c>
      <c r="N28" s="390" t="str">
        <f>IFERROR(__xludf.DUMMYFUNCTION("if($K28="""","""",iferror(join("" &amp; "",filter(Schedule!$P:$P&amp;""-""&amp;Schedule!$Q:$Q,Schedule!$L:$L=$K28,(Schedule!$K:$K=$L28)+(Schedule!$K:$K=""""),Schedule!$P:$P&lt;&gt;"""")),""""))"),"")</f>
        <v/>
      </c>
      <c r="O28" s="390" t="str">
        <f>IFERROR(__xludf.DUMMYFUNCTION("if($K28="""","""",iferror(join("" &amp; "",filter(Schedule!$AE:$AE&amp;""-""&amp;Schedule!$AF:$AF,Schedule!$L:$L=$K28,(Schedule!$K:$K=$L28)+(Schedule!$K:$K=""""),Schedule!$AE:$AE&lt;&gt;"""")),""""))"),"")</f>
        <v/>
      </c>
      <c r="P28" s="390" t="str">
        <f>IFERROR(__xludf.DUMMYFUNCTION("if($K28="""","""",iferror(join("" &amp; "",filter(Schedule!$V:$V&amp;""-""&amp;Schedule!$W:$W,Schedule!$L:$L=$K28,(Schedule!$K:$K=$L28)+(Schedule!$K:$K=""""),Schedule!$V:$V&lt;&gt;"""")),""""))"),"")</f>
        <v/>
      </c>
      <c r="Q28" s="390" t="str">
        <f>IFERROR(__xludf.DUMMYFUNCTION("if($K28="""","""",iferror(join("" &amp; "",filter(Schedule!$AK:$AK&amp;""-""&amp;Schedule!$AL:$AL,Schedule!$L:$L=$K28,(Schedule!$K:$K=$L28)+(Schedule!$K:$K=""""),Schedule!$AK:$AK&lt;&gt;"""")),""""))"),"")</f>
        <v/>
      </c>
      <c r="R28" s="390" t="str">
        <f>IFERROR(__xludf.DUMMYFUNCTION("if($K28="""","""",iferror(join("" &amp; "",filter(Schedule!$AB:$AB&amp;""-""&amp;Schedule!$AC:$AC,Schedule!$L:$L=$K28,(Schedule!$K:$K=$L28)+(Schedule!$K:$K=""""),Schedule!$AB:$AB&lt;&gt;"""")),""""))"),"")</f>
        <v/>
      </c>
      <c r="S28" s="391" t="str">
        <f>if(K28="","", 24-countifs(N28:R32,""))</f>
        <v/>
      </c>
      <c r="T28" s="393"/>
    </row>
    <row r="29">
      <c r="A29" s="389" t="str">
        <f>C26</f>
        <v>Andres Arboleda</v>
      </c>
      <c r="B29" s="389" t="str">
        <f>I26</f>
        <v/>
      </c>
      <c r="C29" s="100">
        <v>2.0</v>
      </c>
      <c r="D29" s="390" t="str">
        <f>IFERROR(__xludf.DUMMYFUNCTION("if($A29="""","""",iferror(join("" &amp; "",filter(Schedule!$S:$S&amp;""-""&amp;Schedule!$T:$T,Schedule!$L:$L=$A29,(Schedule!$K:$K=$B29)+(Schedule!$K:$K=""""),Schedule!$S:$S&lt;&gt;"""")),""""))"),"AP Precalculus-1")</f>
        <v>AP Precalculus-1</v>
      </c>
      <c r="E29" s="390" t="str">
        <f>IFERROR(__xludf.DUMMYFUNCTION("if($A29="""","""",iferror(join("" &amp; "",filter(Schedule!$AH:$AH&amp;""-""&amp;Schedule!$AI:$AI,Schedule!$L:$L=$A29,(Schedule!$K:$K=$B29)+(Schedule!$K:$K=""""),Schedule!$AH:$AH&lt;&gt;"""")),""""))"),"Financial Math-3")</f>
        <v>Financial Math-3</v>
      </c>
      <c r="F29" s="390" t="str">
        <f>IFERROR(__xludf.DUMMYFUNCTION("if($A29="""","""",iferror(join("" &amp; "",filter(Schedule!$Y:$Y&amp;""-""&amp;Schedule!$Z:$Z,Schedule!$L:$L=$A29,(Schedule!$K:$K=$B29)+(Schedule!$K:$K=""""),Schedule!$Y:$Y&lt;&gt;"""")),""""))"),"Financial Math-1")</f>
        <v>Financial Math-1</v>
      </c>
      <c r="G29" s="390" t="str">
        <f>IFERROR(__xludf.DUMMYFUNCTION("if($A29="""","""",iferror(join("" &amp; "",filter(Schedule!$P:$P&amp;""-""&amp;Schedule!$Q:$Q,Schedule!$L:$L=$A29,(Schedule!$K:$K=$B29)+(Schedule!$K:$K=""""),Schedule!$P:$P&lt;&gt;"""")),""""))"),"")</f>
        <v/>
      </c>
      <c r="H29" s="390" t="str">
        <f>IFERROR(__xludf.DUMMYFUNCTION("if($A29="""","""",iferror(join("" &amp; "",filter(Schedule!$AE:$AE&amp;""-""&amp;Schedule!$AF:$AF,Schedule!$L:$L=$A29,(Schedule!$K:$K=$B29)+(Schedule!$K:$K=""""),Schedule!$AE:$AE&lt;&gt;"""")),""""))"),"")</f>
        <v/>
      </c>
      <c r="I29" s="53"/>
      <c r="J29" s="392"/>
      <c r="K29" s="389" t="str">
        <f>M26</f>
        <v/>
      </c>
      <c r="L29" s="389" t="str">
        <f>S26</f>
        <v/>
      </c>
      <c r="M29" s="100">
        <v>2.0</v>
      </c>
      <c r="N29" s="390" t="str">
        <f>IFERROR(__xludf.DUMMYFUNCTION("if($K29="""","""",iferror(join("" &amp; "",filter(Schedule!$S:$S&amp;""-""&amp;Schedule!$T:$T,Schedule!$L:$L=$K29,(Schedule!$K:$K=$L29)+(Schedule!$K:$K=""""),Schedule!$S:$S&lt;&gt;"""")),""""))"),"")</f>
        <v/>
      </c>
      <c r="O29" s="390" t="str">
        <f>IFERROR(__xludf.DUMMYFUNCTION("if($K29="""","""",iferror(join("" &amp; "",filter(Schedule!$AH:$AH&amp;""-""&amp;Schedule!$AI:$AI,Schedule!$L:$L=$K29,(Schedule!$K:$K=$L29)+(Schedule!$K:$K=""""),Schedule!$AH:$AH&lt;&gt;"""")),""""))"),"")</f>
        <v/>
      </c>
      <c r="P29" s="390" t="str">
        <f>IFERROR(__xludf.DUMMYFUNCTION("if($K29="""","""",iferror(join("" &amp; "",filter(Schedule!$Y:$Y&amp;""-""&amp;Schedule!$Z:$Z,Schedule!$L:$L=$K29,(Schedule!$K:$K=$L29)+(Schedule!$K:$K=""""),Schedule!$Y:$Y&lt;&gt;"""")),""""))"),"")</f>
        <v/>
      </c>
      <c r="Q29" s="390" t="str">
        <f>IFERROR(__xludf.DUMMYFUNCTION("if($K29="""","""",iferror(join("" &amp; "",filter(Schedule!$P:$P&amp;""-""&amp;Schedule!$Q:$Q,Schedule!$L:$L=$K29,(Schedule!$K:$K=$L29)+(Schedule!$K:$K=""""),Schedule!$P:$P&lt;&gt;"""")),""""))"),"")</f>
        <v/>
      </c>
      <c r="R29" s="390" t="str">
        <f>IFERROR(__xludf.DUMMYFUNCTION("if($K29="""","""",iferror(join("" &amp; "",filter(Schedule!$AE:$AE&amp;""-""&amp;Schedule!$AF:$AF,Schedule!$L:$L=$K29,(Schedule!$K:$K=$L29)+(Schedule!$K:$K=""""),Schedule!$AE:$AE&lt;&gt;"""")),""""))"),"")</f>
        <v/>
      </c>
      <c r="S29" s="53"/>
      <c r="T29" s="393"/>
    </row>
    <row r="30">
      <c r="A30" s="389" t="str">
        <f>C26</f>
        <v>Andres Arboleda</v>
      </c>
      <c r="B30" s="389" t="str">
        <f>I26</f>
        <v/>
      </c>
      <c r="C30" s="100">
        <v>3.0</v>
      </c>
      <c r="D30" s="390" t="str">
        <f>IFERROR(__xludf.DUMMYFUNCTION("if($A30="""","""",iferror(join("" &amp; "",filter(Schedule!$V:$V&amp;""-""&amp;Schedule!$W:$W,Schedule!$L:$L=$A30,(Schedule!$K:$K=$B30)+(Schedule!$K:$K=""""),Schedule!$V:$V&lt;&gt;"""")),""""))"),"AP Precalculus-2")</f>
        <v>AP Precalculus-2</v>
      </c>
      <c r="E30" s="390" t="str">
        <f>IFERROR(__xludf.DUMMYFUNCTION("if($A30="""","""",iferror(join("" &amp; "",filter(Schedule!$AK:$AK&amp;""-""&amp;Schedule!$AL:$AL,Schedule!$L:$L=$A30,(Schedule!$K:$K=$B30)+(Schedule!$K:$K=""""),Schedule!$AK:$AK&lt;&gt;"""")),""""))"),"")</f>
        <v/>
      </c>
      <c r="F30" s="390" t="str">
        <f>IFERROR(__xludf.DUMMYFUNCTION("if($A30="""","""",iferror(join("" &amp; "",filter(Schedule!$AB:$AB&amp;""-""&amp;Schedule!$AC:$AC,Schedule!$L:$L=$A30,(Schedule!$K:$K=$B30)+(Schedule!$K:$K=""""),Schedule!$AB:$AB&lt;&gt;"""")),""""))"),"Financial Math-2")</f>
        <v>Financial Math-2</v>
      </c>
      <c r="G30" s="390" t="str">
        <f>IFERROR(__xludf.DUMMYFUNCTION("if($A30="""","""",iferror(join("" &amp; "",filter(Schedule!$S:$S&amp;""-""&amp;Schedule!$T:$T,Schedule!$L:$L=$A30,(Schedule!$K:$K=$B30)+(Schedule!$K:$K=""""),Schedule!$S:$S&lt;&gt;"""")),""""))"),"AP Precalculus-1")</f>
        <v>AP Precalculus-1</v>
      </c>
      <c r="H30" s="395" t="str">
        <f>if($C26="","","X-Block")</f>
        <v>X-Block</v>
      </c>
      <c r="I30" s="53"/>
      <c r="J30" s="392"/>
      <c r="K30" s="389" t="str">
        <f>M26</f>
        <v/>
      </c>
      <c r="L30" s="389" t="str">
        <f>S26</f>
        <v/>
      </c>
      <c r="M30" s="100">
        <v>3.0</v>
      </c>
      <c r="N30" s="390" t="str">
        <f>IFERROR(__xludf.DUMMYFUNCTION("if($K30="""","""",iferror(join("" &amp; "",filter(Schedule!$V:$V&amp;""-""&amp;Schedule!$W:$W,Schedule!$L:$L=$K30,(Schedule!$K:$K=$L30)+(Schedule!$K:$K=""""),Schedule!$V:$V&lt;&gt;"""")),""""))"),"")</f>
        <v/>
      </c>
      <c r="O30" s="390" t="str">
        <f>IFERROR(__xludf.DUMMYFUNCTION("if($K30="""","""",iferror(join("" &amp; "",filter(Schedule!$AK:$AK&amp;""-""&amp;Schedule!$AL:$AL,Schedule!$L:$L=$K30,(Schedule!$K:$K=$L30)+(Schedule!$K:$K=""""),Schedule!$AK:$AK&lt;&gt;"""")),""""))"),"")</f>
        <v/>
      </c>
      <c r="P30" s="390" t="str">
        <f>IFERROR(__xludf.DUMMYFUNCTION("if($K30="""","""",iferror(join("" &amp; "",filter(Schedule!$AB:$AB&amp;""-""&amp;Schedule!$AC:$AC,Schedule!$L:$L=$K30,(Schedule!$K:$K=$L30)+(Schedule!$K:$K=""""),Schedule!$AB:$AB&lt;&gt;"""")),""""))"),"")</f>
        <v/>
      </c>
      <c r="Q30" s="390" t="str">
        <f>IFERROR(__xludf.DUMMYFUNCTION("if($K30="""","""",iferror(join("" &amp; "",filter(Schedule!$S:$S&amp;""-""&amp;Schedule!$T:$T,Schedule!$L:$L=$K30,(Schedule!$K:$K=$L30)+(Schedule!$K:$K=""""),Schedule!$S:$S&lt;&gt;"""")),""""))"),"")</f>
        <v/>
      </c>
      <c r="R30" s="395" t="str">
        <f>if($M26="","","X-Block")</f>
        <v/>
      </c>
      <c r="S30" s="53"/>
      <c r="T30" s="393"/>
    </row>
    <row r="31">
      <c r="A31" s="389" t="str">
        <f>C26</f>
        <v>Andres Arboleda</v>
      </c>
      <c r="B31" s="389" t="str">
        <f>I26</f>
        <v/>
      </c>
      <c r="C31" s="100">
        <v>4.0</v>
      </c>
      <c r="D31" s="390" t="str">
        <f>IFERROR(__xludf.DUMMYFUNCTION("if($A31="""","""",iferror(join("" &amp; "",filter(Schedule!$Y:$Y&amp;""-""&amp;Schedule!$Z:$Z,Schedule!$L:$L=$A31,(Schedule!$K:$K=$B31)+(Schedule!$K:$K=""""),Schedule!$Y:$Y&lt;&gt;"""")),""""))"),"Financial Math-1")</f>
        <v>Financial Math-1</v>
      </c>
      <c r="E31" s="390" t="str">
        <f>IFERROR(__xludf.DUMMYFUNCTION("if($A31="""","""",iferror(join("" &amp; "",filter(Schedule!$P:$P&amp;""-""&amp;Schedule!$Q:$Q,Schedule!$L:$L=$A31,(Schedule!$K:$K=$B31)+(Schedule!$K:$K=""""),Schedule!$P:$P&lt;&gt;"""")),""""))"),"")</f>
        <v/>
      </c>
      <c r="F31" s="390" t="str">
        <f>IFERROR(__xludf.DUMMYFUNCTION("if($A31="""","""",iferror(join("" &amp; "",filter(Schedule!$AE:$AE&amp;""-""&amp;Schedule!$AF:$AF,Schedule!$L:$L=$A31,(Schedule!$K:$K=$B31)+(Schedule!$K:$K=""""),Schedule!$AE:$AE&lt;&gt;"""")),""""))"),"")</f>
        <v/>
      </c>
      <c r="G31" s="390" t="str">
        <f>IFERROR(__xludf.DUMMYFUNCTION("if($A31="""","""",iferror(join("" &amp; "",filter(Schedule!$V:$V&amp;""-""&amp;Schedule!$W:$W,Schedule!$L:$L=$A31,(Schedule!$K:$K=$B31)+(Schedule!$K:$K=""""),Schedule!$V:$V&lt;&gt;"""")),""""))"),"AP Precalculus-2")</f>
        <v>AP Precalculus-2</v>
      </c>
      <c r="H31" s="390" t="str">
        <f>IFERROR(__xludf.DUMMYFUNCTION("if($A31="""","""",iferror(join("" &amp; "",filter(Schedule!$AH:$AH&amp;""-""&amp;Schedule!$AI:$AI,Schedule!$L:$L=$A31,(Schedule!$K:$K=$B31)+(Schedule!$K:$K=""""),Schedule!$AH:$AH&lt;&gt;"""")),""""))"),"Financial Math-3")</f>
        <v>Financial Math-3</v>
      </c>
      <c r="I31" s="53"/>
      <c r="J31" s="392"/>
      <c r="K31" s="389" t="str">
        <f>M26</f>
        <v/>
      </c>
      <c r="L31" s="389" t="str">
        <f>S26</f>
        <v/>
      </c>
      <c r="M31" s="100">
        <v>4.0</v>
      </c>
      <c r="N31" s="390" t="str">
        <f>IFERROR(__xludf.DUMMYFUNCTION("if($K31="""","""",iferror(join("" &amp; "",filter(Schedule!$Y:$Y&amp;""-""&amp;Schedule!$Z:$Z,Schedule!$L:$L=$K31,(Schedule!$K:$K=$L31)+(Schedule!$K:$K=""""),Schedule!$Y:$Y&lt;&gt;"""")),""""))"),"")</f>
        <v/>
      </c>
      <c r="O31" s="390" t="str">
        <f>IFERROR(__xludf.DUMMYFUNCTION("if($K31="""","""",iferror(join("" &amp; "",filter(Schedule!$P:$P&amp;""-""&amp;Schedule!$Q:$Q,Schedule!$L:$L=$K31,(Schedule!$K:$K=$L31)+(Schedule!$K:$K=""""),Schedule!$P:$P&lt;&gt;"""")),""""))"),"")</f>
        <v/>
      </c>
      <c r="P31" s="390" t="str">
        <f>IFERROR(__xludf.DUMMYFUNCTION("if($K31="""","""",iferror(join("" &amp; "",filter(Schedule!$AE:$AE&amp;""-""&amp;Schedule!$AF:$AF,Schedule!$L:$L=$K31,(Schedule!$K:$K=$L31)+(Schedule!$K:$K=""""),Schedule!$AE:$AE&lt;&gt;"""")),""""))"),"")</f>
        <v/>
      </c>
      <c r="Q31" s="390" t="str">
        <f>IFERROR(__xludf.DUMMYFUNCTION("if($K31="""","""",iferror(join("" &amp; "",filter(Schedule!$V:$V&amp;""-""&amp;Schedule!$W:$W,Schedule!$L:$L=$K31,(Schedule!$K:$K=$L31)+(Schedule!$K:$K=""""),Schedule!$V:$V&lt;&gt;"""")),""""))"),"")</f>
        <v/>
      </c>
      <c r="R31" s="390" t="str">
        <f>IFERROR(__xludf.DUMMYFUNCTION("if($K31="""","""",iferror(join("" &amp; "",filter(Schedule!$AH:$AH&amp;""-""&amp;Schedule!$AI:$AI,Schedule!$L:$L=$K31,(Schedule!$K:$K=$L31)+(Schedule!$K:$K=""""),Schedule!$AH:$AH&lt;&gt;"""")),""""))"),"")</f>
        <v/>
      </c>
      <c r="S31" s="53"/>
      <c r="T31" s="393"/>
    </row>
    <row r="32">
      <c r="A32" s="389" t="str">
        <f>C26</f>
        <v>Andres Arboleda</v>
      </c>
      <c r="B32" s="389" t="str">
        <f>I26</f>
        <v/>
      </c>
      <c r="C32" s="100">
        <v>5.0</v>
      </c>
      <c r="D32" s="390" t="str">
        <f>IFERROR(__xludf.DUMMYFUNCTION("if($A32="""","""",iferror(join("" &amp; "",filter(Schedule!$AB:$AB&amp;""-""&amp;Schedule!$AC:$AC,Schedule!$L:$L=$A32,(Schedule!$K:$K=$B32)+(Schedule!$K:$K=""""),Schedule!$AB:$AB&lt;&gt;"""")),""""))"),"Financial Math-2")</f>
        <v>Financial Math-2</v>
      </c>
      <c r="E32" s="390" t="str">
        <f>IFERROR(__xludf.DUMMYFUNCTION("if($A32="""","""",iferror(join("" &amp; "",filter(Schedule!$S:$S&amp;""-""&amp;Schedule!$T:$T,Schedule!$L:$L=$A32,(Schedule!$K:$K=$B32)+(Schedule!$K:$K=""""),Schedule!$S:$S&lt;&gt;"""")),""""))"),"AP Precalculus-1")</f>
        <v>AP Precalculus-1</v>
      </c>
      <c r="F32" s="390" t="str">
        <f>IFERROR(__xludf.DUMMYFUNCTION("if($A32="""","""",iferror(join("" &amp; "",filter(Schedule!$AH:$AH&amp;""-""&amp;Schedule!$AI:$AI,Schedule!$L:$L=$A32,(Schedule!$K:$K=$B32)+(Schedule!$K:$K=""""),Schedule!$AH:$AH&lt;&gt;"""")),""""))"),"Financial Math-3")</f>
        <v>Financial Math-3</v>
      </c>
      <c r="G32" s="390" t="str">
        <f>IFERROR(__xludf.DUMMYFUNCTION("if($A32="""","""",iferror(join("" &amp; "",filter(Schedule!$Y:$Y&amp;""-""&amp;Schedule!$Z:$Z,Schedule!$L:$L=$A32,(Schedule!$K:$K=$B32)+(Schedule!$K:$K=""""),Schedule!$Y:$Y&lt;&gt;"""")),""""))"),"Financial Math-1")</f>
        <v>Financial Math-1</v>
      </c>
      <c r="H32" s="390" t="str">
        <f>IFERROR(__xludf.DUMMYFUNCTION("if($A32="""","""",iferror(join("" &amp; "",filter(Schedule!$AK:$AK&amp;""-""&amp;Schedule!$AL:$AL,Schedule!$L:$L=$A32,(Schedule!$K:$K=$B32)+(Schedule!$K:$K=""""),Schedule!$AK:$AK&lt;&gt;"""")),""""))"),"")</f>
        <v/>
      </c>
      <c r="I32" s="68"/>
      <c r="J32" s="392"/>
      <c r="K32" s="389" t="str">
        <f>M26</f>
        <v/>
      </c>
      <c r="L32" s="389" t="str">
        <f>S26</f>
        <v/>
      </c>
      <c r="M32" s="100">
        <v>5.0</v>
      </c>
      <c r="N32" s="390" t="str">
        <f>IFERROR(__xludf.DUMMYFUNCTION("if($K32="""","""",iferror(join("" &amp; "",filter(Schedule!$AB:$AB&amp;""-""&amp;Schedule!$AC:$AC,Schedule!$L:$L=$K32,(Schedule!$K:$K=$L32)+(Schedule!$K:$K=""""),Schedule!$AB:$AB&lt;&gt;"""")),""""))"),"")</f>
        <v/>
      </c>
      <c r="O32" s="390" t="str">
        <f>IFERROR(__xludf.DUMMYFUNCTION("if($K32="""","""",iferror(join("" &amp; "",filter(Schedule!$S:$S&amp;""-""&amp;Schedule!$T:$T,Schedule!$L:$L=$K32,(Schedule!$K:$K=$L32)+(Schedule!$K:$K=""""),Schedule!$S:$S&lt;&gt;"""")),""""))"),"")</f>
        <v/>
      </c>
      <c r="P32" s="390" t="str">
        <f>IFERROR(__xludf.DUMMYFUNCTION("if($K32="""","""",iferror(join("" &amp; "",filter(Schedule!$AH:$AH&amp;""-""&amp;Schedule!$AI:$AI,Schedule!$L:$L=$K32,(Schedule!$K:$K=$L32)+(Schedule!$K:$K=""""),Schedule!$AH:$AH&lt;&gt;"""")),""""))"),"")</f>
        <v/>
      </c>
      <c r="Q32" s="390" t="str">
        <f>IFERROR(__xludf.DUMMYFUNCTION("if($K32="""","""",iferror(join("" &amp; "",filter(Schedule!$Y:$Y&amp;""-""&amp;Schedule!$Z:$Z,Schedule!$L:$L=$K32,(Schedule!$K:$K=$L32)+(Schedule!$K:$K=""""),Schedule!$Y:$Y&lt;&gt;"""")),""""))"),"")</f>
        <v/>
      </c>
      <c r="R32" s="390" t="str">
        <f>IFERROR(__xludf.DUMMYFUNCTION("if($K32="""","""",iferror(join("" &amp; "",filter(Schedule!$AK:$AK&amp;""-""&amp;Schedule!$AL:$AL,Schedule!$L:$L=$K32,(Schedule!$K:$K=$L32)+(Schedule!$K:$K=""""),Schedule!$AK:$AK&lt;&gt;"""")),""""))"),"")</f>
        <v/>
      </c>
      <c r="S32" s="68"/>
      <c r="T32" s="393"/>
    </row>
    <row r="33">
      <c r="C33" s="3"/>
      <c r="D33" s="396"/>
      <c r="E33" s="396"/>
      <c r="F33" s="396"/>
      <c r="G33" s="396"/>
      <c r="H33" s="396"/>
      <c r="N33" s="397"/>
      <c r="O33" s="397"/>
      <c r="P33" s="397"/>
      <c r="Q33" s="397"/>
      <c r="R33" s="397"/>
    </row>
    <row r="34">
      <c r="A34" s="45"/>
      <c r="B34" s="45"/>
      <c r="C34" s="386" t="str">
        <f>Teachers!A5</f>
        <v>Andres Ortegon</v>
      </c>
      <c r="D34" s="383"/>
      <c r="E34" s="383"/>
      <c r="F34" s="383"/>
      <c r="G34" s="383"/>
      <c r="H34" s="384"/>
      <c r="I34" s="385" t="str">
        <f>IFERROR(__xludf.DUMMYFUNCTION("if(C34="""","""", iferror(filter(Schedule!$K:$K,Schedule!$L:$L=$C34,Schedule!$K:$K=""S1""),unique(filter(Schedule!$K:$K,Schedule!$L:$L=$C34,Schedule!$K:$K=""""))))"),"")</f>
        <v/>
      </c>
      <c r="M34" s="386" t="str">
        <f>if(S34="","",C34)</f>
        <v/>
      </c>
      <c r="N34" s="383"/>
      <c r="O34" s="383"/>
      <c r="P34" s="383"/>
      <c r="Q34" s="383"/>
      <c r="R34" s="384"/>
      <c r="S34" s="385" t="str">
        <f>if(I34="S1","S2","")</f>
        <v/>
      </c>
      <c r="T34" s="112"/>
    </row>
    <row r="35">
      <c r="A35" s="116"/>
      <c r="B35" s="116"/>
      <c r="C35" s="100" t="s">
        <v>7</v>
      </c>
      <c r="D35" s="387" t="s">
        <v>8</v>
      </c>
      <c r="E35" s="387" t="s">
        <v>9</v>
      </c>
      <c r="F35" s="387" t="s">
        <v>10</v>
      </c>
      <c r="G35" s="387" t="s">
        <v>11</v>
      </c>
      <c r="H35" s="387" t="s">
        <v>12</v>
      </c>
      <c r="I35" s="21" t="s">
        <v>766</v>
      </c>
      <c r="J35" s="116"/>
      <c r="K35" s="116"/>
      <c r="L35" s="116"/>
      <c r="M35" s="100" t="s">
        <v>7</v>
      </c>
      <c r="N35" s="387" t="s">
        <v>8</v>
      </c>
      <c r="O35" s="387" t="s">
        <v>9</v>
      </c>
      <c r="P35" s="387" t="s">
        <v>10</v>
      </c>
      <c r="Q35" s="387" t="s">
        <v>11</v>
      </c>
      <c r="R35" s="387" t="s">
        <v>12</v>
      </c>
      <c r="S35" s="21" t="s">
        <v>766</v>
      </c>
      <c r="T35" s="388"/>
    </row>
    <row r="36">
      <c r="A36" s="389" t="str">
        <f>C34</f>
        <v>Andres Ortegon</v>
      </c>
      <c r="B36" s="389" t="str">
        <f>I34</f>
        <v/>
      </c>
      <c r="C36" s="100">
        <v>1.0</v>
      </c>
      <c r="D36" s="390" t="str">
        <f>IFERROR(__xludf.DUMMYFUNCTION("if($A36="""","""",iferror(join("" &amp; "",filter(Schedule!$P:$P&amp;""-""&amp;Schedule!$Q:$Q,Schedule!$L:$L=$A36,(Schedule!$K:$K=$B36)+(Schedule!$K:$K=""""),Schedule!$P:$P&lt;&gt;"""")),""""))"),"")</f>
        <v/>
      </c>
      <c r="E36" s="390" t="str">
        <f>IFERROR(__xludf.DUMMYFUNCTION("if($A36="""","""",iferror(join("" &amp; "",filter(Schedule!$AE:$AE&amp;""-""&amp;Schedule!$AF:$AF,Schedule!$L:$L=$A36,(Schedule!$K:$K=$B36)+(Schedule!$K:$K=""""),Schedule!$AE:$AE&lt;&gt;"""")),""""))"),"")</f>
        <v/>
      </c>
      <c r="F36" s="390" t="str">
        <f>IFERROR(__xludf.DUMMYFUNCTION("if($A36="""","""",iferror(join("" &amp; "",filter(Schedule!$V:$V&amp;""-""&amp;Schedule!$W:$W,Schedule!$L:$L=$A36,(Schedule!$K:$K=$B36)+(Schedule!$K:$K=""""),Schedule!$V:$V&lt;&gt;"""")),""""))"),"")</f>
        <v/>
      </c>
      <c r="G36" s="390" t="str">
        <f>IFERROR(__xludf.DUMMYFUNCTION("if($A36="""","""",iferror(join("" &amp; "",filter(Schedule!$AK:$AK&amp;""-""&amp;Schedule!$AL:$AL,Schedule!$L:$L=$A36,(Schedule!$K:$K=$B36)+(Schedule!$K:$K=""""),Schedule!$AK:$AK&lt;&gt;"""")),""""))"),"AP Economics-4")</f>
        <v>AP Economics-4</v>
      </c>
      <c r="H36" s="390" t="str">
        <f>IFERROR(__xludf.DUMMYFUNCTION("if($A36="""","""",iferror(join("" &amp; "",filter(Schedule!$AB:$AB&amp;""-""&amp;Schedule!$AC:$AC,Schedule!$L:$L=$A36,(Schedule!$K:$K=$B36)+(Schedule!$K:$K=""""),Schedule!$AB:$AB&lt;&gt;"""")),""""))"),"AP Economics-2")</f>
        <v>AP Economics-2</v>
      </c>
      <c r="I36" s="391">
        <f>if(C34="","", 24-countifs(D36:H40,""))</f>
        <v>15</v>
      </c>
      <c r="J36" s="392"/>
      <c r="K36" s="389" t="str">
        <f>M34</f>
        <v/>
      </c>
      <c r="L36" s="389" t="str">
        <f>S34</f>
        <v/>
      </c>
      <c r="M36" s="100">
        <v>1.0</v>
      </c>
      <c r="N36" s="390" t="str">
        <f>IFERROR(__xludf.DUMMYFUNCTION("if($K36="""","""",iferror(join("" &amp; "",filter(Schedule!$P:$P&amp;""-""&amp;Schedule!$Q:$Q,Schedule!$L:$L=$K36,(Schedule!$K:$K=$L36)+(Schedule!$K:$K=""""),Schedule!$P:$P&lt;&gt;"""")),""""))"),"")</f>
        <v/>
      </c>
      <c r="O36" s="390" t="str">
        <f>IFERROR(__xludf.DUMMYFUNCTION("if($K36="""","""",iferror(join("" &amp; "",filter(Schedule!$AE:$AE&amp;""-""&amp;Schedule!$AF:$AF,Schedule!$L:$L=$K36,(Schedule!$K:$K=$L36)+(Schedule!$K:$K=""""),Schedule!$AE:$AE&lt;&gt;"""")),""""))"),"")</f>
        <v/>
      </c>
      <c r="P36" s="390" t="str">
        <f>IFERROR(__xludf.DUMMYFUNCTION("if($K36="""","""",iferror(join("" &amp; "",filter(Schedule!$V:$V&amp;""-""&amp;Schedule!$W:$W,Schedule!$L:$L=$K36,(Schedule!$K:$K=$L36)+(Schedule!$K:$K=""""),Schedule!$V:$V&lt;&gt;"""")),""""))"),"")</f>
        <v/>
      </c>
      <c r="Q36" s="390" t="str">
        <f>IFERROR(__xludf.DUMMYFUNCTION("if($K36="""","""",iferror(join("" &amp; "",filter(Schedule!$AK:$AK&amp;""-""&amp;Schedule!$AL:$AL,Schedule!$L:$L=$K36,(Schedule!$K:$K=$L36)+(Schedule!$K:$K=""""),Schedule!$AK:$AK&lt;&gt;"""")),""""))"),"")</f>
        <v/>
      </c>
      <c r="R36" s="390" t="str">
        <f>IFERROR(__xludf.DUMMYFUNCTION("if($K36="""","""",iferror(join("" &amp; "",filter(Schedule!$AB:$AB&amp;""-""&amp;Schedule!$AC:$AC,Schedule!$L:$L=$K36,(Schedule!$K:$K=$L36)+(Schedule!$K:$K=""""),Schedule!$AB:$AB&lt;&gt;"""")),""""))"),"")</f>
        <v/>
      </c>
      <c r="S36" s="391" t="str">
        <f>if(K36="","", 24-countifs(N36:R40,""))</f>
        <v/>
      </c>
      <c r="T36" s="393"/>
    </row>
    <row r="37">
      <c r="A37" s="389" t="str">
        <f>C34</f>
        <v>Andres Ortegon</v>
      </c>
      <c r="B37" s="389" t="str">
        <f>I34</f>
        <v/>
      </c>
      <c r="C37" s="100">
        <v>2.0</v>
      </c>
      <c r="D37" s="390" t="str">
        <f>IFERROR(__xludf.DUMMYFUNCTION("if($A37="""","""",iferror(join("" &amp; "",filter(Schedule!$S:$S&amp;""-""&amp;Schedule!$T:$T,Schedule!$L:$L=$A37,(Schedule!$K:$K=$B37)+(Schedule!$K:$K=""""),Schedule!$S:$S&lt;&gt;"""")),""""))"),"Social Studies 9-6")</f>
        <v>Social Studies 9-6</v>
      </c>
      <c r="E37" s="390" t="str">
        <f>IFERROR(__xludf.DUMMYFUNCTION("if($A37="""","""",iferror(join("" &amp; "",filter(Schedule!$AH:$AH&amp;""-""&amp;Schedule!$AI:$AI,Schedule!$L:$L=$A37,(Schedule!$K:$K=$B37)+(Schedule!$K:$K=""""),Schedule!$AH:$AH&lt;&gt;"""")),""""))"),"AP Economics-3")</f>
        <v>AP Economics-3</v>
      </c>
      <c r="F37" s="390" t="str">
        <f>IFERROR(__xludf.DUMMYFUNCTION("if($A37="""","""",iferror(join("" &amp; "",filter(Schedule!$Y:$Y&amp;""-""&amp;Schedule!$Z:$Z,Schedule!$L:$L=$A37,(Schedule!$K:$K=$B37)+(Schedule!$K:$K=""""),Schedule!$Y:$Y&lt;&gt;"""")),""""))"),"AP Economics-1")</f>
        <v>AP Economics-1</v>
      </c>
      <c r="G37" s="390" t="str">
        <f>IFERROR(__xludf.DUMMYFUNCTION("if($A37="""","""",iferror(join("" &amp; "",filter(Schedule!$P:$P&amp;""-""&amp;Schedule!$Q:$Q,Schedule!$L:$L=$A37,(Schedule!$K:$K=$B37)+(Schedule!$K:$K=""""),Schedule!$P:$P&lt;&gt;"""")),""""))"),"")</f>
        <v/>
      </c>
      <c r="H37" s="390" t="str">
        <f>IFERROR(__xludf.DUMMYFUNCTION("if($A37="""","""",iferror(join("" &amp; "",filter(Schedule!$AE:$AE&amp;""-""&amp;Schedule!$AF:$AF,Schedule!$L:$L=$A37,(Schedule!$K:$K=$B37)+(Schedule!$K:$K=""""),Schedule!$AE:$AE&lt;&gt;"""")),""""))"),"")</f>
        <v/>
      </c>
      <c r="I37" s="53"/>
      <c r="J37" s="392"/>
      <c r="K37" s="389" t="str">
        <f>M34</f>
        <v/>
      </c>
      <c r="L37" s="389" t="str">
        <f>S34</f>
        <v/>
      </c>
      <c r="M37" s="100">
        <v>2.0</v>
      </c>
      <c r="N37" s="390" t="str">
        <f>IFERROR(__xludf.DUMMYFUNCTION("if($K37="""","""",iferror(join("" &amp; "",filter(Schedule!$S:$S&amp;""-""&amp;Schedule!$T:$T,Schedule!$L:$L=$K37,(Schedule!$K:$K=$L37)+(Schedule!$K:$K=""""),Schedule!$S:$S&lt;&gt;"""")),""""))"),"")</f>
        <v/>
      </c>
      <c r="O37" s="390" t="str">
        <f>IFERROR(__xludf.DUMMYFUNCTION("if($K37="""","""",iferror(join("" &amp; "",filter(Schedule!$AH:$AH&amp;""-""&amp;Schedule!$AI:$AI,Schedule!$L:$L=$K37,(Schedule!$K:$K=$L37)+(Schedule!$K:$K=""""),Schedule!$AH:$AH&lt;&gt;"""")),""""))"),"")</f>
        <v/>
      </c>
      <c r="P37" s="390" t="str">
        <f>IFERROR(__xludf.DUMMYFUNCTION("if($K37="""","""",iferror(join("" &amp; "",filter(Schedule!$Y:$Y&amp;""-""&amp;Schedule!$Z:$Z,Schedule!$L:$L=$K37,(Schedule!$K:$K=$L37)+(Schedule!$K:$K=""""),Schedule!$Y:$Y&lt;&gt;"""")),""""))"),"")</f>
        <v/>
      </c>
      <c r="Q37" s="390" t="str">
        <f>IFERROR(__xludf.DUMMYFUNCTION("if($K37="""","""",iferror(join("" &amp; "",filter(Schedule!$P:$P&amp;""-""&amp;Schedule!$Q:$Q,Schedule!$L:$L=$K37,(Schedule!$K:$K=$L37)+(Schedule!$K:$K=""""),Schedule!$P:$P&lt;&gt;"""")),""""))"),"")</f>
        <v/>
      </c>
      <c r="R37" s="390" t="str">
        <f>IFERROR(__xludf.DUMMYFUNCTION("if($K37="""","""",iferror(join("" &amp; "",filter(Schedule!$AE:$AE&amp;""-""&amp;Schedule!$AF:$AF,Schedule!$L:$L=$K37,(Schedule!$K:$K=$L37)+(Schedule!$K:$K=""""),Schedule!$AE:$AE&lt;&gt;"""")),""""))"),"")</f>
        <v/>
      </c>
      <c r="S37" s="53"/>
      <c r="T37" s="393"/>
    </row>
    <row r="38">
      <c r="A38" s="389" t="str">
        <f>C34</f>
        <v>Andres Ortegon</v>
      </c>
      <c r="B38" s="389" t="str">
        <f>I34</f>
        <v/>
      </c>
      <c r="C38" s="100">
        <v>3.0</v>
      </c>
      <c r="D38" s="390" t="str">
        <f>IFERROR(__xludf.DUMMYFUNCTION("if($A38="""","""",iferror(join("" &amp; "",filter(Schedule!$V:$V&amp;""-""&amp;Schedule!$W:$W,Schedule!$L:$L=$A38,(Schedule!$K:$K=$B38)+(Schedule!$K:$K=""""),Schedule!$V:$V&lt;&gt;"""")),""""))"),"")</f>
        <v/>
      </c>
      <c r="E38" s="390" t="str">
        <f>IFERROR(__xludf.DUMMYFUNCTION("if($A38="""","""",iferror(join("" &amp; "",filter(Schedule!$AK:$AK&amp;""-""&amp;Schedule!$AL:$AL,Schedule!$L:$L=$A38,(Schedule!$K:$K=$B38)+(Schedule!$K:$K=""""),Schedule!$AK:$AK&lt;&gt;"""")),""""))"),"AP Economics-4")</f>
        <v>AP Economics-4</v>
      </c>
      <c r="F38" s="390" t="str">
        <f>IFERROR(__xludf.DUMMYFUNCTION("if($A38="""","""",iferror(join("" &amp; "",filter(Schedule!$AB:$AB&amp;""-""&amp;Schedule!$AC:$AC,Schedule!$L:$L=$A38,(Schedule!$K:$K=$B38)+(Schedule!$K:$K=""""),Schedule!$AB:$AB&lt;&gt;"""")),""""))"),"AP Economics-2")</f>
        <v>AP Economics-2</v>
      </c>
      <c r="G38" s="390" t="str">
        <f>IFERROR(__xludf.DUMMYFUNCTION("if($A38="""","""",iferror(join("" &amp; "",filter(Schedule!$S:$S&amp;""-""&amp;Schedule!$T:$T,Schedule!$L:$L=$A38,(Schedule!$K:$K=$B38)+(Schedule!$K:$K=""""),Schedule!$S:$S&lt;&gt;"""")),""""))"),"Social Studies 9-6")</f>
        <v>Social Studies 9-6</v>
      </c>
      <c r="H38" s="395" t="str">
        <f>if($C34="","","X-Block")</f>
        <v>X-Block</v>
      </c>
      <c r="I38" s="53"/>
      <c r="J38" s="392"/>
      <c r="K38" s="389" t="str">
        <f>M34</f>
        <v/>
      </c>
      <c r="L38" s="389" t="str">
        <f>S34</f>
        <v/>
      </c>
      <c r="M38" s="100">
        <v>3.0</v>
      </c>
      <c r="N38" s="390" t="str">
        <f>IFERROR(__xludf.DUMMYFUNCTION("if($K38="""","""",iferror(join("" &amp; "",filter(Schedule!$V:$V&amp;""-""&amp;Schedule!$W:$W,Schedule!$L:$L=$K38,(Schedule!$K:$K=$L38)+(Schedule!$K:$K=""""),Schedule!$V:$V&lt;&gt;"""")),""""))"),"")</f>
        <v/>
      </c>
      <c r="O38" s="390" t="str">
        <f>IFERROR(__xludf.DUMMYFUNCTION("if($K38="""","""",iferror(join("" &amp; "",filter(Schedule!$AK:$AK&amp;""-""&amp;Schedule!$AL:$AL,Schedule!$L:$L=$K38,(Schedule!$K:$K=$L38)+(Schedule!$K:$K=""""),Schedule!$AK:$AK&lt;&gt;"""")),""""))"),"")</f>
        <v/>
      </c>
      <c r="P38" s="390" t="str">
        <f>IFERROR(__xludf.DUMMYFUNCTION("if($K38="""","""",iferror(join("" &amp; "",filter(Schedule!$AB:$AB&amp;""-""&amp;Schedule!$AC:$AC,Schedule!$L:$L=$K38,(Schedule!$K:$K=$L38)+(Schedule!$K:$K=""""),Schedule!$AB:$AB&lt;&gt;"""")),""""))"),"")</f>
        <v/>
      </c>
      <c r="Q38" s="390" t="str">
        <f>IFERROR(__xludf.DUMMYFUNCTION("if($K38="""","""",iferror(join("" &amp; "",filter(Schedule!$S:$S&amp;""-""&amp;Schedule!$T:$T,Schedule!$L:$L=$K38,(Schedule!$K:$K=$L38)+(Schedule!$K:$K=""""),Schedule!$S:$S&lt;&gt;"""")),""""))"),"")</f>
        <v/>
      </c>
      <c r="R38" s="395" t="str">
        <f>if($M34="","","X-Block")</f>
        <v/>
      </c>
      <c r="S38" s="53"/>
      <c r="T38" s="393"/>
    </row>
    <row r="39">
      <c r="A39" s="389" t="str">
        <f>C34</f>
        <v>Andres Ortegon</v>
      </c>
      <c r="B39" s="389" t="str">
        <f>I34</f>
        <v/>
      </c>
      <c r="C39" s="100">
        <v>4.0</v>
      </c>
      <c r="D39" s="390" t="str">
        <f>IFERROR(__xludf.DUMMYFUNCTION("if($A39="""","""",iferror(join("" &amp; "",filter(Schedule!$Y:$Y&amp;""-""&amp;Schedule!$Z:$Z,Schedule!$L:$L=$A39,(Schedule!$K:$K=$B39)+(Schedule!$K:$K=""""),Schedule!$Y:$Y&lt;&gt;"""")),""""))"),"AP Economics-1")</f>
        <v>AP Economics-1</v>
      </c>
      <c r="E39" s="390" t="str">
        <f>IFERROR(__xludf.DUMMYFUNCTION("if($A39="""","""",iferror(join("" &amp; "",filter(Schedule!$P:$P&amp;""-""&amp;Schedule!$Q:$Q,Schedule!$L:$L=$A39,(Schedule!$K:$K=$B39)+(Schedule!$K:$K=""""),Schedule!$P:$P&lt;&gt;"""")),""""))"),"")</f>
        <v/>
      </c>
      <c r="F39" s="390" t="str">
        <f>IFERROR(__xludf.DUMMYFUNCTION("if($A39="""","""",iferror(join("" &amp; "",filter(Schedule!$AE:$AE&amp;""-""&amp;Schedule!$AF:$AF,Schedule!$L:$L=$A39,(Schedule!$K:$K=$B39)+(Schedule!$K:$K=""""),Schedule!$AE:$AE&lt;&gt;"""")),""""))"),"")</f>
        <v/>
      </c>
      <c r="G39" s="390" t="str">
        <f>IFERROR(__xludf.DUMMYFUNCTION("if($A39="""","""",iferror(join("" &amp; "",filter(Schedule!$V:$V&amp;""-""&amp;Schedule!$W:$W,Schedule!$L:$L=$A39,(Schedule!$K:$K=$B39)+(Schedule!$K:$K=""""),Schedule!$V:$V&lt;&gt;"""")),""""))"),"")</f>
        <v/>
      </c>
      <c r="H39" s="390" t="str">
        <f>IFERROR(__xludf.DUMMYFUNCTION("if($A39="""","""",iferror(join("" &amp; "",filter(Schedule!$AH:$AH&amp;""-""&amp;Schedule!$AI:$AI,Schedule!$L:$L=$A39,(Schedule!$K:$K=$B39)+(Schedule!$K:$K=""""),Schedule!$AH:$AH&lt;&gt;"""")),""""))"),"AP Economics-3")</f>
        <v>AP Economics-3</v>
      </c>
      <c r="I39" s="53"/>
      <c r="J39" s="392"/>
      <c r="K39" s="389" t="str">
        <f>M34</f>
        <v/>
      </c>
      <c r="L39" s="389" t="str">
        <f>S34</f>
        <v/>
      </c>
      <c r="M39" s="100">
        <v>4.0</v>
      </c>
      <c r="N39" s="390" t="str">
        <f>IFERROR(__xludf.DUMMYFUNCTION("if($K39="""","""",iferror(join("" &amp; "",filter(Schedule!$Y:$Y&amp;""-""&amp;Schedule!$Z:$Z,Schedule!$L:$L=$K39,(Schedule!$K:$K=$L39)+(Schedule!$K:$K=""""),Schedule!$Y:$Y&lt;&gt;"""")),""""))"),"")</f>
        <v/>
      </c>
      <c r="O39" s="390" t="str">
        <f>IFERROR(__xludf.DUMMYFUNCTION("if($K39="""","""",iferror(join("" &amp; "",filter(Schedule!$P:$P&amp;""-""&amp;Schedule!$Q:$Q,Schedule!$L:$L=$K39,(Schedule!$K:$K=$L39)+(Schedule!$K:$K=""""),Schedule!$P:$P&lt;&gt;"""")),""""))"),"")</f>
        <v/>
      </c>
      <c r="P39" s="390" t="str">
        <f>IFERROR(__xludf.DUMMYFUNCTION("if($K39="""","""",iferror(join("" &amp; "",filter(Schedule!$AE:$AE&amp;""-""&amp;Schedule!$AF:$AF,Schedule!$L:$L=$K39,(Schedule!$K:$K=$L39)+(Schedule!$K:$K=""""),Schedule!$AE:$AE&lt;&gt;"""")),""""))"),"")</f>
        <v/>
      </c>
      <c r="Q39" s="390" t="str">
        <f>IFERROR(__xludf.DUMMYFUNCTION("if($K39="""","""",iferror(join("" &amp; "",filter(Schedule!$V:$V&amp;""-""&amp;Schedule!$W:$W,Schedule!$L:$L=$K39,(Schedule!$K:$K=$L39)+(Schedule!$K:$K=""""),Schedule!$V:$V&lt;&gt;"""")),""""))"),"")</f>
        <v/>
      </c>
      <c r="R39" s="390" t="str">
        <f>IFERROR(__xludf.DUMMYFUNCTION("if($K39="""","""",iferror(join("" &amp; "",filter(Schedule!$AH:$AH&amp;""-""&amp;Schedule!$AI:$AI,Schedule!$L:$L=$K39,(Schedule!$K:$K=$L39)+(Schedule!$K:$K=""""),Schedule!$AH:$AH&lt;&gt;"""")),""""))"),"")</f>
        <v/>
      </c>
      <c r="S39" s="53"/>
      <c r="T39" s="393"/>
    </row>
    <row r="40">
      <c r="A40" s="389" t="str">
        <f>C34</f>
        <v>Andres Ortegon</v>
      </c>
      <c r="B40" s="389" t="str">
        <f>I34</f>
        <v/>
      </c>
      <c r="C40" s="100">
        <v>5.0</v>
      </c>
      <c r="D40" s="390" t="str">
        <f>IFERROR(__xludf.DUMMYFUNCTION("if($A40="""","""",iferror(join("" &amp; "",filter(Schedule!$AB:$AB&amp;""-""&amp;Schedule!$AC:$AC,Schedule!$L:$L=$A40,(Schedule!$K:$K=$B40)+(Schedule!$K:$K=""""),Schedule!$AB:$AB&lt;&gt;"""")),""""))"),"AP Economics-2")</f>
        <v>AP Economics-2</v>
      </c>
      <c r="E40" s="390" t="str">
        <f>IFERROR(__xludf.DUMMYFUNCTION("if($A40="""","""",iferror(join("" &amp; "",filter(Schedule!$S:$S&amp;""-""&amp;Schedule!$T:$T,Schedule!$L:$L=$A40,(Schedule!$K:$K=$B40)+(Schedule!$K:$K=""""),Schedule!$S:$S&lt;&gt;"""")),""""))"),"Social Studies 9-6")</f>
        <v>Social Studies 9-6</v>
      </c>
      <c r="F40" s="390" t="str">
        <f>IFERROR(__xludf.DUMMYFUNCTION("if($A40="""","""",iferror(join("" &amp; "",filter(Schedule!$AH:$AH&amp;""-""&amp;Schedule!$AI:$AI,Schedule!$L:$L=$A40,(Schedule!$K:$K=$B40)+(Schedule!$K:$K=""""),Schedule!$AH:$AH&lt;&gt;"""")),""""))"),"AP Economics-3")</f>
        <v>AP Economics-3</v>
      </c>
      <c r="G40" s="390" t="str">
        <f>IFERROR(__xludf.DUMMYFUNCTION("if($A40="""","""",iferror(join("" &amp; "",filter(Schedule!$Y:$Y&amp;""-""&amp;Schedule!$Z:$Z,Schedule!$L:$L=$A40,(Schedule!$K:$K=$B40)+(Schedule!$K:$K=""""),Schedule!$Y:$Y&lt;&gt;"""")),""""))"),"AP Economics-1")</f>
        <v>AP Economics-1</v>
      </c>
      <c r="H40" s="390" t="str">
        <f>IFERROR(__xludf.DUMMYFUNCTION("if($A40="""","""",iferror(join("" &amp; "",filter(Schedule!$AK:$AK&amp;""-""&amp;Schedule!$AL:$AL,Schedule!$L:$L=$A40,(Schedule!$K:$K=$B40)+(Schedule!$K:$K=""""),Schedule!$AK:$AK&lt;&gt;"""")),""""))"),"AP Economics-4")</f>
        <v>AP Economics-4</v>
      </c>
      <c r="I40" s="68"/>
      <c r="J40" s="392"/>
      <c r="K40" s="389" t="str">
        <f>M34</f>
        <v/>
      </c>
      <c r="L40" s="389" t="str">
        <f>S34</f>
        <v/>
      </c>
      <c r="M40" s="100">
        <v>5.0</v>
      </c>
      <c r="N40" s="390" t="str">
        <f>IFERROR(__xludf.DUMMYFUNCTION("if($K40="""","""",iferror(join("" &amp; "",filter(Schedule!$AB:$AB&amp;""-""&amp;Schedule!$AC:$AC,Schedule!$L:$L=$K40,(Schedule!$K:$K=$L40)+(Schedule!$K:$K=""""),Schedule!$AB:$AB&lt;&gt;"""")),""""))"),"")</f>
        <v/>
      </c>
      <c r="O40" s="390" t="str">
        <f>IFERROR(__xludf.DUMMYFUNCTION("if($K40="""","""",iferror(join("" &amp; "",filter(Schedule!$S:$S&amp;""-""&amp;Schedule!$T:$T,Schedule!$L:$L=$K40,(Schedule!$K:$K=$L40)+(Schedule!$K:$K=""""),Schedule!$S:$S&lt;&gt;"""")),""""))"),"")</f>
        <v/>
      </c>
      <c r="P40" s="390" t="str">
        <f>IFERROR(__xludf.DUMMYFUNCTION("if($K40="""","""",iferror(join("" &amp; "",filter(Schedule!$AH:$AH&amp;""-""&amp;Schedule!$AI:$AI,Schedule!$L:$L=$K40,(Schedule!$K:$K=$L40)+(Schedule!$K:$K=""""),Schedule!$AH:$AH&lt;&gt;"""")),""""))"),"")</f>
        <v/>
      </c>
      <c r="Q40" s="390" t="str">
        <f>IFERROR(__xludf.DUMMYFUNCTION("if($K40="""","""",iferror(join("" &amp; "",filter(Schedule!$Y:$Y&amp;""-""&amp;Schedule!$Z:$Z,Schedule!$L:$L=$K40,(Schedule!$K:$K=$L40)+(Schedule!$K:$K=""""),Schedule!$Y:$Y&lt;&gt;"""")),""""))"),"")</f>
        <v/>
      </c>
      <c r="R40" s="390" t="str">
        <f>IFERROR(__xludf.DUMMYFUNCTION("if($K40="""","""",iferror(join("" &amp; "",filter(Schedule!$AK:$AK&amp;""-""&amp;Schedule!$AL:$AL,Schedule!$L:$L=$K40,(Schedule!$K:$K=$L40)+(Schedule!$K:$K=""""),Schedule!$AK:$AK&lt;&gt;"""")),""""))"),"")</f>
        <v/>
      </c>
      <c r="S40" s="68"/>
      <c r="T40" s="393"/>
    </row>
    <row r="41">
      <c r="C41" s="3"/>
      <c r="D41" s="396"/>
      <c r="E41" s="396"/>
      <c r="F41" s="396"/>
      <c r="G41" s="396"/>
      <c r="H41" s="396"/>
      <c r="N41" s="397"/>
      <c r="O41" s="397"/>
      <c r="P41" s="397"/>
      <c r="Q41" s="397"/>
      <c r="R41" s="397"/>
    </row>
    <row r="42">
      <c r="A42" s="45"/>
      <c r="B42" s="45"/>
      <c r="C42" s="386" t="str">
        <f>Teachers!A6</f>
        <v>Andrew Shainker</v>
      </c>
      <c r="D42" s="383"/>
      <c r="E42" s="383"/>
      <c r="F42" s="383"/>
      <c r="G42" s="383"/>
      <c r="H42" s="384"/>
      <c r="I42" s="385" t="str">
        <f>IFERROR(__xludf.DUMMYFUNCTION("if(C42="""","""", iferror(filter(Schedule!$K:$K,Schedule!$L:$L=$C42,Schedule!$K:$K=""S1""),unique(filter(Schedule!$K:$K,Schedule!$L:$L=$C42,Schedule!$K:$K=""""))))"),"")</f>
        <v/>
      </c>
      <c r="M42" s="386" t="str">
        <f>if(S42="","",C42)</f>
        <v/>
      </c>
      <c r="N42" s="383"/>
      <c r="O42" s="383"/>
      <c r="P42" s="383"/>
      <c r="Q42" s="383"/>
      <c r="R42" s="384"/>
      <c r="S42" s="385" t="str">
        <f>if(I42="S1","S2","")</f>
        <v/>
      </c>
      <c r="T42" s="112"/>
    </row>
    <row r="43">
      <c r="A43" s="116"/>
      <c r="B43" s="116"/>
      <c r="C43" s="100" t="s">
        <v>7</v>
      </c>
      <c r="D43" s="387" t="s">
        <v>8</v>
      </c>
      <c r="E43" s="387" t="s">
        <v>9</v>
      </c>
      <c r="F43" s="387" t="s">
        <v>10</v>
      </c>
      <c r="G43" s="387" t="s">
        <v>11</v>
      </c>
      <c r="H43" s="387" t="s">
        <v>12</v>
      </c>
      <c r="I43" s="21" t="s">
        <v>766</v>
      </c>
      <c r="J43" s="116"/>
      <c r="K43" s="116"/>
      <c r="L43" s="116"/>
      <c r="M43" s="100" t="s">
        <v>7</v>
      </c>
      <c r="N43" s="387" t="s">
        <v>8</v>
      </c>
      <c r="O43" s="387" t="s">
        <v>9</v>
      </c>
      <c r="P43" s="387" t="s">
        <v>10</v>
      </c>
      <c r="Q43" s="387" t="s">
        <v>11</v>
      </c>
      <c r="R43" s="387" t="s">
        <v>12</v>
      </c>
      <c r="S43" s="21" t="s">
        <v>766</v>
      </c>
      <c r="T43" s="388"/>
    </row>
    <row r="44">
      <c r="A44" s="389" t="str">
        <f>C42</f>
        <v>Andrew Shainker</v>
      </c>
      <c r="B44" s="389" t="str">
        <f>I42</f>
        <v/>
      </c>
      <c r="C44" s="100">
        <v>1.0</v>
      </c>
      <c r="D44" s="390" t="str">
        <f>IFERROR(__xludf.DUMMYFUNCTION("if($A44="""","""",iferror(join("" &amp; "",filter(Schedule!$P:$P&amp;""-""&amp;Schedule!$Q:$Q,Schedule!$L:$L=$A44,(Schedule!$K:$K=$B44)+(Schedule!$K:$K=""""),Schedule!$P:$P&lt;&gt;"""")),""""))"),"")</f>
        <v/>
      </c>
      <c r="E44" s="390" t="str">
        <f>IFERROR(__xludf.DUMMYFUNCTION("if($A44="""","""",iferror(join("" &amp; "",filter(Schedule!$AE:$AE&amp;""-""&amp;Schedule!$AF:$AF,Schedule!$L:$L=$A44,(Schedule!$K:$K=$B44)+(Schedule!$K:$K=""""),Schedule!$AE:$AE&lt;&gt;"""")),""""))"),"")</f>
        <v/>
      </c>
      <c r="F44" s="390" t="str">
        <f>IFERROR(__xludf.DUMMYFUNCTION("if($A44="""","""",iferror(join("" &amp; "",filter(Schedule!$V:$V&amp;""-""&amp;Schedule!$W:$W,Schedule!$L:$L=$A44,(Schedule!$K:$K=$B44)+(Schedule!$K:$K=""""),Schedule!$V:$V&lt;&gt;"""")),""""))"),"Journalism Higher Level-1")</f>
        <v>Journalism Higher Level-1</v>
      </c>
      <c r="G44" s="390" t="str">
        <f>IFERROR(__xludf.DUMMYFUNCTION("if($A44="""","""",iferror(join("" &amp; "",filter(Schedule!$AK:$AK&amp;""-""&amp;Schedule!$AL:$AL,Schedule!$L:$L=$A44,(Schedule!$K:$K=$B44)+(Schedule!$K:$K=""""),Schedule!$AK:$AK&lt;&gt;"""")),""""))"),"Journalism Higher Level-3")</f>
        <v>Journalism Higher Level-3</v>
      </c>
      <c r="H44" s="390" t="str">
        <f>IFERROR(__xludf.DUMMYFUNCTION("if($A44="""","""",iferror(join("" &amp; "",filter(Schedule!$AB:$AB&amp;""-""&amp;Schedule!$AC:$AC,Schedule!$L:$L=$A44,(Schedule!$K:$K=$B44)+(Schedule!$K:$K=""""),Schedule!$AB:$AB&lt;&gt;"""")),""""))"),"English 10-2")</f>
        <v>English 10-2</v>
      </c>
      <c r="I44" s="391">
        <f>if(C42="","", 24-countifs(D44:H48,""))</f>
        <v>15</v>
      </c>
      <c r="J44" s="392"/>
      <c r="K44" s="389" t="str">
        <f>M42</f>
        <v/>
      </c>
      <c r="L44" s="389" t="str">
        <f>S42</f>
        <v/>
      </c>
      <c r="M44" s="100">
        <v>1.0</v>
      </c>
      <c r="N44" s="390" t="str">
        <f>IFERROR(__xludf.DUMMYFUNCTION("if($K44="""","""",iferror(join("" &amp; "",filter(Schedule!$P:$P&amp;""-""&amp;Schedule!$Q:$Q,Schedule!$L:$L=$K44,(Schedule!$K:$K=$L44)+(Schedule!$K:$K=""""),Schedule!$P:$P&lt;&gt;"""")),""""))"),"")</f>
        <v/>
      </c>
      <c r="O44" s="390" t="str">
        <f>IFERROR(__xludf.DUMMYFUNCTION("if($K44="""","""",iferror(join("" &amp; "",filter(Schedule!$AE:$AE&amp;""-""&amp;Schedule!$AF:$AF,Schedule!$L:$L=$K44,(Schedule!$K:$K=$L44)+(Schedule!$K:$K=""""),Schedule!$AE:$AE&lt;&gt;"""")),""""))"),"")</f>
        <v/>
      </c>
      <c r="P44" s="390" t="str">
        <f>IFERROR(__xludf.DUMMYFUNCTION("if($K44="""","""",iferror(join("" &amp; "",filter(Schedule!$V:$V&amp;""-""&amp;Schedule!$W:$W,Schedule!$L:$L=$K44,(Schedule!$K:$K=$L44)+(Schedule!$K:$K=""""),Schedule!$V:$V&lt;&gt;"""")),""""))"),"")</f>
        <v/>
      </c>
      <c r="Q44" s="390" t="str">
        <f>IFERROR(__xludf.DUMMYFUNCTION("if($K44="""","""",iferror(join("" &amp; "",filter(Schedule!$AK:$AK&amp;""-""&amp;Schedule!$AL:$AL,Schedule!$L:$L=$K44,(Schedule!$K:$K=$L44)+(Schedule!$K:$K=""""),Schedule!$AK:$AK&lt;&gt;"""")),""""))"),"")</f>
        <v/>
      </c>
      <c r="R44" s="390" t="str">
        <f>IFERROR(__xludf.DUMMYFUNCTION("if($K44="""","""",iferror(join("" &amp; "",filter(Schedule!$AB:$AB&amp;""-""&amp;Schedule!$AC:$AC,Schedule!$L:$L=$K44,(Schedule!$K:$K=$L44)+(Schedule!$K:$K=""""),Schedule!$AB:$AB&lt;&gt;"""")),""""))"),"")</f>
        <v/>
      </c>
      <c r="S44" s="391" t="str">
        <f>if(K44="","", 24-countifs(N44:R48,""))</f>
        <v/>
      </c>
      <c r="T44" s="393"/>
    </row>
    <row r="45">
      <c r="A45" s="389" t="str">
        <f>C42</f>
        <v>Andrew Shainker</v>
      </c>
      <c r="B45" s="389" t="str">
        <f>I42</f>
        <v/>
      </c>
      <c r="C45" s="100">
        <v>2.0</v>
      </c>
      <c r="D45" s="390" t="str">
        <f>IFERROR(__xludf.DUMMYFUNCTION("if($A45="""","""",iferror(join("" &amp; "",filter(Schedule!$S:$S&amp;""-""&amp;Schedule!$T:$T,Schedule!$L:$L=$A45,(Schedule!$K:$K=$B45)+(Schedule!$K:$K=""""),Schedule!$S:$S&lt;&gt;"""")),""""))"),"English 10-1")</f>
        <v>English 10-1</v>
      </c>
      <c r="E45" s="390" t="str">
        <f>IFERROR(__xludf.DUMMYFUNCTION("if($A45="""","""",iferror(join("" &amp; "",filter(Schedule!$AH:$AH&amp;""-""&amp;Schedule!$AI:$AI,Schedule!$L:$L=$A45,(Schedule!$K:$K=$B45)+(Schedule!$K:$K=""""),Schedule!$AH:$AH&lt;&gt;"""")),""""))"),"Journalism Higher Level-2")</f>
        <v>Journalism Higher Level-2</v>
      </c>
      <c r="F45" s="390" t="str">
        <f>IFERROR(__xludf.DUMMYFUNCTION("if($A45="""","""",iferror(join("" &amp; "",filter(Schedule!$Y:$Y&amp;""-""&amp;Schedule!$Z:$Z,Schedule!$L:$L=$A45,(Schedule!$K:$K=$B45)+(Schedule!$K:$K=""""),Schedule!$Y:$Y&lt;&gt;"""")),""""))"),"")</f>
        <v/>
      </c>
      <c r="G45" s="390" t="str">
        <f>IFERROR(__xludf.DUMMYFUNCTION("if($A45="""","""",iferror(join("" &amp; "",filter(Schedule!$P:$P&amp;""-""&amp;Schedule!$Q:$Q,Schedule!$L:$L=$A45,(Schedule!$K:$K=$B45)+(Schedule!$K:$K=""""),Schedule!$P:$P&lt;&gt;"""")),""""))"),"")</f>
        <v/>
      </c>
      <c r="H45" s="390" t="str">
        <f>IFERROR(__xludf.DUMMYFUNCTION("if($A45="""","""",iferror(join("" &amp; "",filter(Schedule!$AE:$AE&amp;""-""&amp;Schedule!$AF:$AF,Schedule!$L:$L=$A45,(Schedule!$K:$K=$B45)+(Schedule!$K:$K=""""),Schedule!$AE:$AE&lt;&gt;"""")),""""))"),"")</f>
        <v/>
      </c>
      <c r="I45" s="53"/>
      <c r="J45" s="392"/>
      <c r="K45" s="389" t="str">
        <f>M42</f>
        <v/>
      </c>
      <c r="L45" s="389" t="str">
        <f>S42</f>
        <v/>
      </c>
      <c r="M45" s="100">
        <v>2.0</v>
      </c>
      <c r="N45" s="390" t="str">
        <f>IFERROR(__xludf.DUMMYFUNCTION("if($K45="""","""",iferror(join("" &amp; "",filter(Schedule!$S:$S&amp;""-""&amp;Schedule!$T:$T,Schedule!$L:$L=$K45,(Schedule!$K:$K=$L45)+(Schedule!$K:$K=""""),Schedule!$S:$S&lt;&gt;"""")),""""))"),"")</f>
        <v/>
      </c>
      <c r="O45" s="390" t="str">
        <f>IFERROR(__xludf.DUMMYFUNCTION("if($K45="""","""",iferror(join("" &amp; "",filter(Schedule!$AH:$AH&amp;""-""&amp;Schedule!$AI:$AI,Schedule!$L:$L=$K45,(Schedule!$K:$K=$L45)+(Schedule!$K:$K=""""),Schedule!$AH:$AH&lt;&gt;"""")),""""))"),"")</f>
        <v/>
      </c>
      <c r="P45" s="390" t="str">
        <f>IFERROR(__xludf.DUMMYFUNCTION("if($K45="""","""",iferror(join("" &amp; "",filter(Schedule!$Y:$Y&amp;""-""&amp;Schedule!$Z:$Z,Schedule!$L:$L=$K45,(Schedule!$K:$K=$L45)+(Schedule!$K:$K=""""),Schedule!$Y:$Y&lt;&gt;"""")),""""))"),"")</f>
        <v/>
      </c>
      <c r="Q45" s="390" t="str">
        <f>IFERROR(__xludf.DUMMYFUNCTION("if($K45="""","""",iferror(join("" &amp; "",filter(Schedule!$P:$P&amp;""-""&amp;Schedule!$Q:$Q,Schedule!$L:$L=$K45,(Schedule!$K:$K=$L45)+(Schedule!$K:$K=""""),Schedule!$P:$P&lt;&gt;"""")),""""))"),"")</f>
        <v/>
      </c>
      <c r="R45" s="390" t="str">
        <f>IFERROR(__xludf.DUMMYFUNCTION("if($K45="""","""",iferror(join("" &amp; "",filter(Schedule!$AE:$AE&amp;""-""&amp;Schedule!$AF:$AF,Schedule!$L:$L=$K45,(Schedule!$K:$K=$L45)+(Schedule!$K:$K=""""),Schedule!$AE:$AE&lt;&gt;"""")),""""))"),"")</f>
        <v/>
      </c>
      <c r="S45" s="53"/>
      <c r="T45" s="393"/>
    </row>
    <row r="46">
      <c r="A46" s="389" t="str">
        <f>C42</f>
        <v>Andrew Shainker</v>
      </c>
      <c r="B46" s="389" t="str">
        <f>I42</f>
        <v/>
      </c>
      <c r="C46" s="100">
        <v>3.0</v>
      </c>
      <c r="D46" s="390" t="str">
        <f>IFERROR(__xludf.DUMMYFUNCTION("if($A46="""","""",iferror(join("" &amp; "",filter(Schedule!$V:$V&amp;""-""&amp;Schedule!$W:$W,Schedule!$L:$L=$A46,(Schedule!$K:$K=$B46)+(Schedule!$K:$K=""""),Schedule!$V:$V&lt;&gt;"""")),""""))"),"Journalism Higher Level-1")</f>
        <v>Journalism Higher Level-1</v>
      </c>
      <c r="E46" s="390" t="str">
        <f>IFERROR(__xludf.DUMMYFUNCTION("if($A46="""","""",iferror(join("" &amp; "",filter(Schedule!$AK:$AK&amp;""-""&amp;Schedule!$AL:$AL,Schedule!$L:$L=$A46,(Schedule!$K:$K=$B46)+(Schedule!$K:$K=""""),Schedule!$AK:$AK&lt;&gt;"""")),""""))"),"Journalism Higher Level-3")</f>
        <v>Journalism Higher Level-3</v>
      </c>
      <c r="F46" s="390" t="str">
        <f>IFERROR(__xludf.DUMMYFUNCTION("if($A46="""","""",iferror(join("" &amp; "",filter(Schedule!$AB:$AB&amp;""-""&amp;Schedule!$AC:$AC,Schedule!$L:$L=$A46,(Schedule!$K:$K=$B46)+(Schedule!$K:$K=""""),Schedule!$AB:$AB&lt;&gt;"""")),""""))"),"English 10-2")</f>
        <v>English 10-2</v>
      </c>
      <c r="G46" s="390" t="str">
        <f>IFERROR(__xludf.DUMMYFUNCTION("if($A46="""","""",iferror(join("" &amp; "",filter(Schedule!$S:$S&amp;""-""&amp;Schedule!$T:$T,Schedule!$L:$L=$A46,(Schedule!$K:$K=$B46)+(Schedule!$K:$K=""""),Schedule!$S:$S&lt;&gt;"""")),""""))"),"English 10-1")</f>
        <v>English 10-1</v>
      </c>
      <c r="H46" s="395" t="str">
        <f>if($C42="","","X-Block")</f>
        <v>X-Block</v>
      </c>
      <c r="I46" s="53"/>
      <c r="J46" s="392"/>
      <c r="K46" s="389" t="str">
        <f>M42</f>
        <v/>
      </c>
      <c r="L46" s="389" t="str">
        <f>S42</f>
        <v/>
      </c>
      <c r="M46" s="100">
        <v>3.0</v>
      </c>
      <c r="N46" s="390" t="str">
        <f>IFERROR(__xludf.DUMMYFUNCTION("if($K46="""","""",iferror(join("" &amp; "",filter(Schedule!$V:$V&amp;""-""&amp;Schedule!$W:$W,Schedule!$L:$L=$K46,(Schedule!$K:$K=$L46)+(Schedule!$K:$K=""""),Schedule!$V:$V&lt;&gt;"""")),""""))"),"")</f>
        <v/>
      </c>
      <c r="O46" s="390" t="str">
        <f>IFERROR(__xludf.DUMMYFUNCTION("if($K46="""","""",iferror(join("" &amp; "",filter(Schedule!$AK:$AK&amp;""-""&amp;Schedule!$AL:$AL,Schedule!$L:$L=$K46,(Schedule!$K:$K=$L46)+(Schedule!$K:$K=""""),Schedule!$AK:$AK&lt;&gt;"""")),""""))"),"")</f>
        <v/>
      </c>
      <c r="P46" s="390" t="str">
        <f>IFERROR(__xludf.DUMMYFUNCTION("if($K46="""","""",iferror(join("" &amp; "",filter(Schedule!$AB:$AB&amp;""-""&amp;Schedule!$AC:$AC,Schedule!$L:$L=$K46,(Schedule!$K:$K=$L46)+(Schedule!$K:$K=""""),Schedule!$AB:$AB&lt;&gt;"""")),""""))"),"")</f>
        <v/>
      </c>
      <c r="Q46" s="390" t="str">
        <f>IFERROR(__xludf.DUMMYFUNCTION("if($K46="""","""",iferror(join("" &amp; "",filter(Schedule!$S:$S&amp;""-""&amp;Schedule!$T:$T,Schedule!$L:$L=$K46,(Schedule!$K:$K=$L46)+(Schedule!$K:$K=""""),Schedule!$S:$S&lt;&gt;"""")),""""))"),"")</f>
        <v/>
      </c>
      <c r="R46" s="395" t="str">
        <f>if($M42="","","X-Block")</f>
        <v/>
      </c>
      <c r="S46" s="53"/>
      <c r="T46" s="393"/>
    </row>
    <row r="47">
      <c r="A47" s="389" t="str">
        <f>C42</f>
        <v>Andrew Shainker</v>
      </c>
      <c r="B47" s="389" t="str">
        <f>I42</f>
        <v/>
      </c>
      <c r="C47" s="100">
        <v>4.0</v>
      </c>
      <c r="D47" s="390" t="str">
        <f>IFERROR(__xludf.DUMMYFUNCTION("if($A47="""","""",iferror(join("" &amp; "",filter(Schedule!$Y:$Y&amp;""-""&amp;Schedule!$Z:$Z,Schedule!$L:$L=$A47,(Schedule!$K:$K=$B47)+(Schedule!$K:$K=""""),Schedule!$Y:$Y&lt;&gt;"""")),""""))"),"")</f>
        <v/>
      </c>
      <c r="E47" s="390" t="str">
        <f>IFERROR(__xludf.DUMMYFUNCTION("if($A47="""","""",iferror(join("" &amp; "",filter(Schedule!$P:$P&amp;""-""&amp;Schedule!$Q:$Q,Schedule!$L:$L=$A47,(Schedule!$K:$K=$B47)+(Schedule!$K:$K=""""),Schedule!$P:$P&lt;&gt;"""")),""""))"),"")</f>
        <v/>
      </c>
      <c r="F47" s="390" t="str">
        <f>IFERROR(__xludf.DUMMYFUNCTION("if($A47="""","""",iferror(join("" &amp; "",filter(Schedule!$AE:$AE&amp;""-""&amp;Schedule!$AF:$AF,Schedule!$L:$L=$A47,(Schedule!$K:$K=$B47)+(Schedule!$K:$K=""""),Schedule!$AE:$AE&lt;&gt;"""")),""""))"),"")</f>
        <v/>
      </c>
      <c r="G47" s="390" t="str">
        <f>IFERROR(__xludf.DUMMYFUNCTION("if($A47="""","""",iferror(join("" &amp; "",filter(Schedule!$V:$V&amp;""-""&amp;Schedule!$W:$W,Schedule!$L:$L=$A47,(Schedule!$K:$K=$B47)+(Schedule!$K:$K=""""),Schedule!$V:$V&lt;&gt;"""")),""""))"),"Journalism Higher Level-1")</f>
        <v>Journalism Higher Level-1</v>
      </c>
      <c r="H47" s="390" t="str">
        <f>IFERROR(__xludf.DUMMYFUNCTION("if($A47="""","""",iferror(join("" &amp; "",filter(Schedule!$AH:$AH&amp;""-""&amp;Schedule!$AI:$AI,Schedule!$L:$L=$A47,(Schedule!$K:$K=$B47)+(Schedule!$K:$K=""""),Schedule!$AH:$AH&lt;&gt;"""")),""""))"),"Journalism Higher Level-2")</f>
        <v>Journalism Higher Level-2</v>
      </c>
      <c r="I47" s="53"/>
      <c r="J47" s="392"/>
      <c r="K47" s="389" t="str">
        <f>M42</f>
        <v/>
      </c>
      <c r="L47" s="389" t="str">
        <f>S42</f>
        <v/>
      </c>
      <c r="M47" s="100">
        <v>4.0</v>
      </c>
      <c r="N47" s="390" t="str">
        <f>IFERROR(__xludf.DUMMYFUNCTION("if($K47="""","""",iferror(join("" &amp; "",filter(Schedule!$Y:$Y&amp;""-""&amp;Schedule!$Z:$Z,Schedule!$L:$L=$K47,(Schedule!$K:$K=$L47)+(Schedule!$K:$K=""""),Schedule!$Y:$Y&lt;&gt;"""")),""""))"),"")</f>
        <v/>
      </c>
      <c r="O47" s="390" t="str">
        <f>IFERROR(__xludf.DUMMYFUNCTION("if($K47="""","""",iferror(join("" &amp; "",filter(Schedule!$P:$P&amp;""-""&amp;Schedule!$Q:$Q,Schedule!$L:$L=$K47,(Schedule!$K:$K=$L47)+(Schedule!$K:$K=""""),Schedule!$P:$P&lt;&gt;"""")),""""))"),"")</f>
        <v/>
      </c>
      <c r="P47" s="390" t="str">
        <f>IFERROR(__xludf.DUMMYFUNCTION("if($K47="""","""",iferror(join("" &amp; "",filter(Schedule!$AE:$AE&amp;""-""&amp;Schedule!$AF:$AF,Schedule!$L:$L=$K47,(Schedule!$K:$K=$L47)+(Schedule!$K:$K=""""),Schedule!$AE:$AE&lt;&gt;"""")),""""))"),"")</f>
        <v/>
      </c>
      <c r="Q47" s="390" t="str">
        <f>IFERROR(__xludf.DUMMYFUNCTION("if($K47="""","""",iferror(join("" &amp; "",filter(Schedule!$V:$V&amp;""-""&amp;Schedule!$W:$W,Schedule!$L:$L=$K47,(Schedule!$K:$K=$L47)+(Schedule!$K:$K=""""),Schedule!$V:$V&lt;&gt;"""")),""""))"),"")</f>
        <v/>
      </c>
      <c r="R47" s="390" t="str">
        <f>IFERROR(__xludf.DUMMYFUNCTION("if($K47="""","""",iferror(join("" &amp; "",filter(Schedule!$AH:$AH&amp;""-""&amp;Schedule!$AI:$AI,Schedule!$L:$L=$K47,(Schedule!$K:$K=$L47)+(Schedule!$K:$K=""""),Schedule!$AH:$AH&lt;&gt;"""")),""""))"),"")</f>
        <v/>
      </c>
      <c r="S47" s="53"/>
      <c r="T47" s="393"/>
    </row>
    <row r="48">
      <c r="A48" s="389" t="str">
        <f>C42</f>
        <v>Andrew Shainker</v>
      </c>
      <c r="B48" s="389" t="str">
        <f>I42</f>
        <v/>
      </c>
      <c r="C48" s="100">
        <v>5.0</v>
      </c>
      <c r="D48" s="390" t="str">
        <f>IFERROR(__xludf.DUMMYFUNCTION("if($A48="""","""",iferror(join("" &amp; "",filter(Schedule!$AB:$AB&amp;""-""&amp;Schedule!$AC:$AC,Schedule!$L:$L=$A48,(Schedule!$K:$K=$B48)+(Schedule!$K:$K=""""),Schedule!$AB:$AB&lt;&gt;"""")),""""))"),"English 10-2")</f>
        <v>English 10-2</v>
      </c>
      <c r="E48" s="390" t="str">
        <f>IFERROR(__xludf.DUMMYFUNCTION("if($A48="""","""",iferror(join("" &amp; "",filter(Schedule!$S:$S&amp;""-""&amp;Schedule!$T:$T,Schedule!$L:$L=$A48,(Schedule!$K:$K=$B48)+(Schedule!$K:$K=""""),Schedule!$S:$S&lt;&gt;"""")),""""))"),"English 10-1")</f>
        <v>English 10-1</v>
      </c>
      <c r="F48" s="390" t="str">
        <f>IFERROR(__xludf.DUMMYFUNCTION("if($A48="""","""",iferror(join("" &amp; "",filter(Schedule!$AH:$AH&amp;""-""&amp;Schedule!$AI:$AI,Schedule!$L:$L=$A48,(Schedule!$K:$K=$B48)+(Schedule!$K:$K=""""),Schedule!$AH:$AH&lt;&gt;"""")),""""))"),"Journalism Higher Level-2")</f>
        <v>Journalism Higher Level-2</v>
      </c>
      <c r="G48" s="390" t="str">
        <f>IFERROR(__xludf.DUMMYFUNCTION("if($A48="""","""",iferror(join("" &amp; "",filter(Schedule!$Y:$Y&amp;""-""&amp;Schedule!$Z:$Z,Schedule!$L:$L=$A48,(Schedule!$K:$K=$B48)+(Schedule!$K:$K=""""),Schedule!$Y:$Y&lt;&gt;"""")),""""))"),"")</f>
        <v/>
      </c>
      <c r="H48" s="390" t="str">
        <f>IFERROR(__xludf.DUMMYFUNCTION("if($A48="""","""",iferror(join("" &amp; "",filter(Schedule!$AK:$AK&amp;""-""&amp;Schedule!$AL:$AL,Schedule!$L:$L=$A48,(Schedule!$K:$K=$B48)+(Schedule!$K:$K=""""),Schedule!$AK:$AK&lt;&gt;"""")),""""))"),"Journalism Higher Level-3")</f>
        <v>Journalism Higher Level-3</v>
      </c>
      <c r="I48" s="68"/>
      <c r="J48" s="392"/>
      <c r="K48" s="389" t="str">
        <f>M42</f>
        <v/>
      </c>
      <c r="L48" s="389" t="str">
        <f>S42</f>
        <v/>
      </c>
      <c r="M48" s="100">
        <v>5.0</v>
      </c>
      <c r="N48" s="390" t="str">
        <f>IFERROR(__xludf.DUMMYFUNCTION("if($K48="""","""",iferror(join("" &amp; "",filter(Schedule!$AB:$AB&amp;""-""&amp;Schedule!$AC:$AC,Schedule!$L:$L=$K48,(Schedule!$K:$K=$L48)+(Schedule!$K:$K=""""),Schedule!$AB:$AB&lt;&gt;"""")),""""))"),"")</f>
        <v/>
      </c>
      <c r="O48" s="390" t="str">
        <f>IFERROR(__xludf.DUMMYFUNCTION("if($K48="""","""",iferror(join("" &amp; "",filter(Schedule!$S:$S&amp;""-""&amp;Schedule!$T:$T,Schedule!$L:$L=$K48,(Schedule!$K:$K=$L48)+(Schedule!$K:$K=""""),Schedule!$S:$S&lt;&gt;"""")),""""))"),"")</f>
        <v/>
      </c>
      <c r="P48" s="390" t="str">
        <f>IFERROR(__xludf.DUMMYFUNCTION("if($K48="""","""",iferror(join("" &amp; "",filter(Schedule!$AH:$AH&amp;""-""&amp;Schedule!$AI:$AI,Schedule!$L:$L=$K48,(Schedule!$K:$K=$L48)+(Schedule!$K:$K=""""),Schedule!$AH:$AH&lt;&gt;"""")),""""))"),"")</f>
        <v/>
      </c>
      <c r="Q48" s="390" t="str">
        <f>IFERROR(__xludf.DUMMYFUNCTION("if($K48="""","""",iferror(join("" &amp; "",filter(Schedule!$Y:$Y&amp;""-""&amp;Schedule!$Z:$Z,Schedule!$L:$L=$K48,(Schedule!$K:$K=$L48)+(Schedule!$K:$K=""""),Schedule!$Y:$Y&lt;&gt;"""")),""""))"),"")</f>
        <v/>
      </c>
      <c r="R48" s="390" t="str">
        <f>IFERROR(__xludf.DUMMYFUNCTION("if($K48="""","""",iferror(join("" &amp; "",filter(Schedule!$AK:$AK&amp;""-""&amp;Schedule!$AL:$AL,Schedule!$L:$L=$K48,(Schedule!$K:$K=$L48)+(Schedule!$K:$K=""""),Schedule!$AK:$AK&lt;&gt;"""")),""""))"),"")</f>
        <v/>
      </c>
      <c r="S48" s="68"/>
      <c r="T48" s="393"/>
    </row>
    <row r="49">
      <c r="C49" s="3"/>
      <c r="D49" s="396"/>
      <c r="E49" s="396"/>
      <c r="F49" s="396"/>
      <c r="G49" s="396"/>
      <c r="H49" s="396"/>
      <c r="N49" s="397"/>
      <c r="O49" s="397"/>
      <c r="P49" s="397"/>
      <c r="Q49" s="397"/>
      <c r="R49" s="397"/>
    </row>
    <row r="50">
      <c r="A50" s="45"/>
      <c r="B50" s="45"/>
      <c r="C50" s="386" t="str">
        <f>Teachers!A7</f>
        <v>Anibal Betancur</v>
      </c>
      <c r="D50" s="383"/>
      <c r="E50" s="383"/>
      <c r="F50" s="383"/>
      <c r="G50" s="383"/>
      <c r="H50" s="384"/>
      <c r="I50" s="385" t="str">
        <f>IFERROR(__xludf.DUMMYFUNCTION("if(C50="""","""", iferror(filter(Schedule!$K:$K,Schedule!$L:$L=$C50,Schedule!$K:$K=""S1""),unique(filter(Schedule!$K:$K,Schedule!$L:$L=$C50,Schedule!$K:$K=""""))))"),"")</f>
        <v/>
      </c>
      <c r="M50" s="386" t="str">
        <f>if(S50="","",C50)</f>
        <v/>
      </c>
      <c r="N50" s="383"/>
      <c r="O50" s="383"/>
      <c r="P50" s="383"/>
      <c r="Q50" s="383"/>
      <c r="R50" s="384"/>
      <c r="S50" s="385" t="str">
        <f>if(I50="S1","S2","")</f>
        <v/>
      </c>
      <c r="T50" s="112"/>
    </row>
    <row r="51">
      <c r="A51" s="116"/>
      <c r="B51" s="116"/>
      <c r="C51" s="100" t="s">
        <v>7</v>
      </c>
      <c r="D51" s="387" t="s">
        <v>8</v>
      </c>
      <c r="E51" s="387" t="s">
        <v>9</v>
      </c>
      <c r="F51" s="387" t="s">
        <v>10</v>
      </c>
      <c r="G51" s="387" t="s">
        <v>11</v>
      </c>
      <c r="H51" s="387" t="s">
        <v>12</v>
      </c>
      <c r="I51" s="21" t="s">
        <v>766</v>
      </c>
      <c r="J51" s="116"/>
      <c r="K51" s="116"/>
      <c r="L51" s="116"/>
      <c r="M51" s="100" t="s">
        <v>7</v>
      </c>
      <c r="N51" s="387" t="s">
        <v>8</v>
      </c>
      <c r="O51" s="387" t="s">
        <v>9</v>
      </c>
      <c r="P51" s="387" t="s">
        <v>10</v>
      </c>
      <c r="Q51" s="387" t="s">
        <v>11</v>
      </c>
      <c r="R51" s="387" t="s">
        <v>12</v>
      </c>
      <c r="S51" s="21" t="s">
        <v>766</v>
      </c>
      <c r="T51" s="388"/>
    </row>
    <row r="52">
      <c r="A52" s="389" t="str">
        <f>C50</f>
        <v>Anibal Betancur</v>
      </c>
      <c r="B52" s="389" t="str">
        <f>I50</f>
        <v/>
      </c>
      <c r="C52" s="100">
        <v>1.0</v>
      </c>
      <c r="D52" s="390" t="str">
        <f>IFERROR(__xludf.DUMMYFUNCTION("if($A52="""","""",iferror(join("" &amp; "",filter(Schedule!$P:$P&amp;""-""&amp;Schedule!$Q:$Q,Schedule!$L:$L=$A52,(Schedule!$K:$K=$B52)+(Schedule!$K:$K=""""),Schedule!$P:$P&lt;&gt;"""")),""""))"),"PE 9-1")</f>
        <v>PE 9-1</v>
      </c>
      <c r="E52" s="390" t="str">
        <f>IFERROR(__xludf.DUMMYFUNCTION("if($A52="""","""",iferror(join("" &amp; "",filter(Schedule!$AE:$AE&amp;""-""&amp;Schedule!$AF:$AF,Schedule!$L:$L=$A52,(Schedule!$K:$K=$B52)+(Schedule!$K:$K=""""),Schedule!$AE:$AE&lt;&gt;"""")),""""))"),"PE 9-5")</f>
        <v>PE 9-5</v>
      </c>
      <c r="F52" s="390" t="str">
        <f>IFERROR(__xludf.DUMMYFUNCTION("if($A52="""","""",iferror(join("" &amp; "",filter(Schedule!$V:$V&amp;""-""&amp;Schedule!$W:$W,Schedule!$L:$L=$A52,(Schedule!$K:$K=$B52)+(Schedule!$K:$K=""""),Schedule!$V:$V&lt;&gt;"""")),""""))"),"")</f>
        <v/>
      </c>
      <c r="G52" s="390" t="str">
        <f>IFERROR(__xludf.DUMMYFUNCTION("if($A52="""","""",iferror(join("" &amp; "",filter(Schedule!$AK:$AK&amp;""-""&amp;Schedule!$AL:$AL,Schedule!$L:$L=$A52,(Schedule!$K:$K=$B52)+(Schedule!$K:$K=""""),Schedule!$AK:$AK&lt;&gt;"""")),""""))"),"PE 9-6")</f>
        <v>PE 9-6</v>
      </c>
      <c r="H52" s="390" t="str">
        <f>IFERROR(__xludf.DUMMYFUNCTION("if($A52="""","""",iferror(join("" &amp; "",filter(Schedule!$AB:$AB&amp;""-""&amp;Schedule!$AC:$AC,Schedule!$L:$L=$A52,(Schedule!$K:$K=$B52)+(Schedule!$K:$K=""""),Schedule!$AB:$AB&lt;&gt;"""")),""""))"),"PE 9-4")</f>
        <v>PE 9-4</v>
      </c>
      <c r="I52" s="391">
        <f>if(C50="","", 24-countifs(D52:H56,""))</f>
        <v>18</v>
      </c>
      <c r="J52" s="392"/>
      <c r="K52" s="389" t="str">
        <f>M50</f>
        <v/>
      </c>
      <c r="L52" s="389" t="str">
        <f>S50</f>
        <v/>
      </c>
      <c r="M52" s="100">
        <v>1.0</v>
      </c>
      <c r="N52" s="390" t="str">
        <f>IFERROR(__xludf.DUMMYFUNCTION("if($K52="""","""",iferror(join("" &amp; "",filter(Schedule!$P:$P&amp;""-""&amp;Schedule!$Q:$Q,Schedule!$L:$L=$K52,(Schedule!$K:$K=$L52)+(Schedule!$K:$K=""""),Schedule!$P:$P&lt;&gt;"""")),""""))"),"")</f>
        <v/>
      </c>
      <c r="O52" s="390" t="str">
        <f>IFERROR(__xludf.DUMMYFUNCTION("if($K52="""","""",iferror(join("" &amp; "",filter(Schedule!$AE:$AE&amp;""-""&amp;Schedule!$AF:$AF,Schedule!$L:$L=$K52,(Schedule!$K:$K=$L52)+(Schedule!$K:$K=""""),Schedule!$AE:$AE&lt;&gt;"""")),""""))"),"")</f>
        <v/>
      </c>
      <c r="P52" s="390" t="str">
        <f>IFERROR(__xludf.DUMMYFUNCTION("if($K52="""","""",iferror(join("" &amp; "",filter(Schedule!$V:$V&amp;""-""&amp;Schedule!$W:$W,Schedule!$L:$L=$K52,(Schedule!$K:$K=$L52)+(Schedule!$K:$K=""""),Schedule!$V:$V&lt;&gt;"""")),""""))"),"")</f>
        <v/>
      </c>
      <c r="Q52" s="390" t="str">
        <f>IFERROR(__xludf.DUMMYFUNCTION("if($K52="""","""",iferror(join("" &amp; "",filter(Schedule!$AK:$AK&amp;""-""&amp;Schedule!$AL:$AL,Schedule!$L:$L=$K52,(Schedule!$K:$K=$L52)+(Schedule!$K:$K=""""),Schedule!$AK:$AK&lt;&gt;"""")),""""))"),"")</f>
        <v/>
      </c>
      <c r="R52" s="390" t="str">
        <f>IFERROR(__xludf.DUMMYFUNCTION("if($K52="""","""",iferror(join("" &amp; "",filter(Schedule!$AB:$AB&amp;""-""&amp;Schedule!$AC:$AC,Schedule!$L:$L=$K52,(Schedule!$K:$K=$L52)+(Schedule!$K:$K=""""),Schedule!$AB:$AB&lt;&gt;"""")),""""))"),"")</f>
        <v/>
      </c>
      <c r="S52" s="391" t="str">
        <f>if(K52="","", 24-countifs(N52:R56,""))</f>
        <v/>
      </c>
      <c r="T52" s="393"/>
    </row>
    <row r="53">
      <c r="A53" s="389" t="str">
        <f>C50</f>
        <v>Anibal Betancur</v>
      </c>
      <c r="B53" s="389" t="str">
        <f>I50</f>
        <v/>
      </c>
      <c r="C53" s="100">
        <v>2.0</v>
      </c>
      <c r="D53" s="390" t="str">
        <f>IFERROR(__xludf.DUMMYFUNCTION("if($A53="""","""",iferror(join("" &amp; "",filter(Schedule!$S:$S&amp;""-""&amp;Schedule!$T:$T,Schedule!$L:$L=$A53,(Schedule!$K:$K=$B53)+(Schedule!$K:$K=""""),Schedule!$S:$S&lt;&gt;"""")),""""))"),"PE 9-2")</f>
        <v>PE 9-2</v>
      </c>
      <c r="E53" s="390" t="str">
        <f>IFERROR(__xludf.DUMMYFUNCTION("if($A53="""","""",iferror(join("" &amp; "",filter(Schedule!$AH:$AH&amp;""-""&amp;Schedule!$AI:$AI,Schedule!$L:$L=$A53,(Schedule!$K:$K=$B53)+(Schedule!$K:$K=""""),Schedule!$AH:$AH&lt;&gt;"""")),""""))"),"")</f>
        <v/>
      </c>
      <c r="F53" s="390" t="str">
        <f>IFERROR(__xludf.DUMMYFUNCTION("if($A53="""","""",iferror(join("" &amp; "",filter(Schedule!$Y:$Y&amp;""-""&amp;Schedule!$Z:$Z,Schedule!$L:$L=$A53,(Schedule!$K:$K=$B53)+(Schedule!$K:$K=""""),Schedule!$Y:$Y&lt;&gt;"""")),""""))"),"PE 9-3")</f>
        <v>PE 9-3</v>
      </c>
      <c r="G53" s="390" t="str">
        <f>IFERROR(__xludf.DUMMYFUNCTION("if($A53="""","""",iferror(join("" &amp; "",filter(Schedule!$P:$P&amp;""-""&amp;Schedule!$Q:$Q,Schedule!$L:$L=$A53,(Schedule!$K:$K=$B53)+(Schedule!$K:$K=""""),Schedule!$P:$P&lt;&gt;"""")),""""))"),"PE 9-1")</f>
        <v>PE 9-1</v>
      </c>
      <c r="H53" s="390" t="str">
        <f>IFERROR(__xludf.DUMMYFUNCTION("if($A53="""","""",iferror(join("" &amp; "",filter(Schedule!$AE:$AE&amp;""-""&amp;Schedule!$AF:$AF,Schedule!$L:$L=$A53,(Schedule!$K:$K=$B53)+(Schedule!$K:$K=""""),Schedule!$AE:$AE&lt;&gt;"""")),""""))"),"PE 9-5")</f>
        <v>PE 9-5</v>
      </c>
      <c r="I53" s="53"/>
      <c r="J53" s="392"/>
      <c r="K53" s="389" t="str">
        <f>M50</f>
        <v/>
      </c>
      <c r="L53" s="389" t="str">
        <f>S50</f>
        <v/>
      </c>
      <c r="M53" s="100">
        <v>2.0</v>
      </c>
      <c r="N53" s="390" t="str">
        <f>IFERROR(__xludf.DUMMYFUNCTION("if($K53="""","""",iferror(join("" &amp; "",filter(Schedule!$S:$S&amp;""-""&amp;Schedule!$T:$T,Schedule!$L:$L=$K53,(Schedule!$K:$K=$L53)+(Schedule!$K:$K=""""),Schedule!$S:$S&lt;&gt;"""")),""""))"),"")</f>
        <v/>
      </c>
      <c r="O53" s="390" t="str">
        <f>IFERROR(__xludf.DUMMYFUNCTION("if($K53="""","""",iferror(join("" &amp; "",filter(Schedule!$AH:$AH&amp;""-""&amp;Schedule!$AI:$AI,Schedule!$L:$L=$K53,(Schedule!$K:$K=$L53)+(Schedule!$K:$K=""""),Schedule!$AH:$AH&lt;&gt;"""")),""""))"),"")</f>
        <v/>
      </c>
      <c r="P53" s="390" t="str">
        <f>IFERROR(__xludf.DUMMYFUNCTION("if($K53="""","""",iferror(join("" &amp; "",filter(Schedule!$Y:$Y&amp;""-""&amp;Schedule!$Z:$Z,Schedule!$L:$L=$K53,(Schedule!$K:$K=$L53)+(Schedule!$K:$K=""""),Schedule!$Y:$Y&lt;&gt;"""")),""""))"),"")</f>
        <v/>
      </c>
      <c r="Q53" s="390" t="str">
        <f>IFERROR(__xludf.DUMMYFUNCTION("if($K53="""","""",iferror(join("" &amp; "",filter(Schedule!$P:$P&amp;""-""&amp;Schedule!$Q:$Q,Schedule!$L:$L=$K53,(Schedule!$K:$K=$L53)+(Schedule!$K:$K=""""),Schedule!$P:$P&lt;&gt;"""")),""""))"),"")</f>
        <v/>
      </c>
      <c r="R53" s="390" t="str">
        <f>IFERROR(__xludf.DUMMYFUNCTION("if($K53="""","""",iferror(join("" &amp; "",filter(Schedule!$AE:$AE&amp;""-""&amp;Schedule!$AF:$AF,Schedule!$L:$L=$K53,(Schedule!$K:$K=$L53)+(Schedule!$K:$K=""""),Schedule!$AE:$AE&lt;&gt;"""")),""""))"),"")</f>
        <v/>
      </c>
      <c r="S53" s="53"/>
      <c r="T53" s="393"/>
    </row>
    <row r="54">
      <c r="A54" s="389" t="str">
        <f>C50</f>
        <v>Anibal Betancur</v>
      </c>
      <c r="B54" s="389" t="str">
        <f>I50</f>
        <v/>
      </c>
      <c r="C54" s="100">
        <v>3.0</v>
      </c>
      <c r="D54" s="390" t="str">
        <f>IFERROR(__xludf.DUMMYFUNCTION("if($A54="""","""",iferror(join("" &amp; "",filter(Schedule!$V:$V&amp;""-""&amp;Schedule!$W:$W,Schedule!$L:$L=$A54,(Schedule!$K:$K=$B54)+(Schedule!$K:$K=""""),Schedule!$V:$V&lt;&gt;"""")),""""))"),"")</f>
        <v/>
      </c>
      <c r="E54" s="390" t="str">
        <f>IFERROR(__xludf.DUMMYFUNCTION("if($A54="""","""",iferror(join("" &amp; "",filter(Schedule!$AK:$AK&amp;""-""&amp;Schedule!$AL:$AL,Schedule!$L:$L=$A54,(Schedule!$K:$K=$B54)+(Schedule!$K:$K=""""),Schedule!$AK:$AK&lt;&gt;"""")),""""))"),"PE 9-6")</f>
        <v>PE 9-6</v>
      </c>
      <c r="F54" s="390" t="str">
        <f>IFERROR(__xludf.DUMMYFUNCTION("if($A54="""","""",iferror(join("" &amp; "",filter(Schedule!$AB:$AB&amp;""-""&amp;Schedule!$AC:$AC,Schedule!$L:$L=$A54,(Schedule!$K:$K=$B54)+(Schedule!$K:$K=""""),Schedule!$AB:$AB&lt;&gt;"""")),""""))"),"PE 9-4")</f>
        <v>PE 9-4</v>
      </c>
      <c r="G54" s="390" t="str">
        <f>IFERROR(__xludf.DUMMYFUNCTION("if($A54="""","""",iferror(join("" &amp; "",filter(Schedule!$S:$S&amp;""-""&amp;Schedule!$T:$T,Schedule!$L:$L=$A54,(Schedule!$K:$K=$B54)+(Schedule!$K:$K=""""),Schedule!$S:$S&lt;&gt;"""")),""""))"),"PE 9-2")</f>
        <v>PE 9-2</v>
      </c>
      <c r="H54" s="395" t="str">
        <f>if($C50="","","X-Block")</f>
        <v>X-Block</v>
      </c>
      <c r="I54" s="53"/>
      <c r="J54" s="392"/>
      <c r="K54" s="389" t="str">
        <f>M50</f>
        <v/>
      </c>
      <c r="L54" s="389" t="str">
        <f>S50</f>
        <v/>
      </c>
      <c r="M54" s="100">
        <v>3.0</v>
      </c>
      <c r="N54" s="390" t="str">
        <f>IFERROR(__xludf.DUMMYFUNCTION("if($K54="""","""",iferror(join("" &amp; "",filter(Schedule!$V:$V&amp;""-""&amp;Schedule!$W:$W,Schedule!$L:$L=$K54,(Schedule!$K:$K=$L54)+(Schedule!$K:$K=""""),Schedule!$V:$V&lt;&gt;"""")),""""))"),"")</f>
        <v/>
      </c>
      <c r="O54" s="390" t="str">
        <f>IFERROR(__xludf.DUMMYFUNCTION("if($K54="""","""",iferror(join("" &amp; "",filter(Schedule!$AK:$AK&amp;""-""&amp;Schedule!$AL:$AL,Schedule!$L:$L=$K54,(Schedule!$K:$K=$L54)+(Schedule!$K:$K=""""),Schedule!$AK:$AK&lt;&gt;"""")),""""))"),"")</f>
        <v/>
      </c>
      <c r="P54" s="390" t="str">
        <f>IFERROR(__xludf.DUMMYFUNCTION("if($K54="""","""",iferror(join("" &amp; "",filter(Schedule!$AB:$AB&amp;""-""&amp;Schedule!$AC:$AC,Schedule!$L:$L=$K54,(Schedule!$K:$K=$L54)+(Schedule!$K:$K=""""),Schedule!$AB:$AB&lt;&gt;"""")),""""))"),"")</f>
        <v/>
      </c>
      <c r="Q54" s="390" t="str">
        <f>IFERROR(__xludf.DUMMYFUNCTION("if($K54="""","""",iferror(join("" &amp; "",filter(Schedule!$S:$S&amp;""-""&amp;Schedule!$T:$T,Schedule!$L:$L=$K54,(Schedule!$K:$K=$L54)+(Schedule!$K:$K=""""),Schedule!$S:$S&lt;&gt;"""")),""""))"),"")</f>
        <v/>
      </c>
      <c r="R54" s="395" t="str">
        <f>if($M50="","","X-Block")</f>
        <v/>
      </c>
      <c r="S54" s="53"/>
      <c r="T54" s="393"/>
    </row>
    <row r="55">
      <c r="A55" s="389" t="str">
        <f>C50</f>
        <v>Anibal Betancur</v>
      </c>
      <c r="B55" s="389" t="str">
        <f>I50</f>
        <v/>
      </c>
      <c r="C55" s="100">
        <v>4.0</v>
      </c>
      <c r="D55" s="390" t="str">
        <f>IFERROR(__xludf.DUMMYFUNCTION("if($A55="""","""",iferror(join("" &amp; "",filter(Schedule!$Y:$Y&amp;""-""&amp;Schedule!$Z:$Z,Schedule!$L:$L=$A55,(Schedule!$K:$K=$B55)+(Schedule!$K:$K=""""),Schedule!$Y:$Y&lt;&gt;"""")),""""))"),"PE 9-3")</f>
        <v>PE 9-3</v>
      </c>
      <c r="E55" s="390" t="str">
        <f>IFERROR(__xludf.DUMMYFUNCTION("if($A55="""","""",iferror(join("" &amp; "",filter(Schedule!$P:$P&amp;""-""&amp;Schedule!$Q:$Q,Schedule!$L:$L=$A55,(Schedule!$K:$K=$B55)+(Schedule!$K:$K=""""),Schedule!$P:$P&lt;&gt;"""")),""""))"),"PE 9-1")</f>
        <v>PE 9-1</v>
      </c>
      <c r="F55" s="390" t="str">
        <f>IFERROR(__xludf.DUMMYFUNCTION("if($A55="""","""",iferror(join("" &amp; "",filter(Schedule!$AE:$AE&amp;""-""&amp;Schedule!$AF:$AF,Schedule!$L:$L=$A55,(Schedule!$K:$K=$B55)+(Schedule!$K:$K=""""),Schedule!$AE:$AE&lt;&gt;"""")),""""))"),"PE 9-5")</f>
        <v>PE 9-5</v>
      </c>
      <c r="G55" s="390" t="str">
        <f>IFERROR(__xludf.DUMMYFUNCTION("if($A55="""","""",iferror(join("" &amp; "",filter(Schedule!$V:$V&amp;""-""&amp;Schedule!$W:$W,Schedule!$L:$L=$A55,(Schedule!$K:$K=$B55)+(Schedule!$K:$K=""""),Schedule!$V:$V&lt;&gt;"""")),""""))"),"")</f>
        <v/>
      </c>
      <c r="H55" s="390" t="str">
        <f>IFERROR(__xludf.DUMMYFUNCTION("if($A55="""","""",iferror(join("" &amp; "",filter(Schedule!$AH:$AH&amp;""-""&amp;Schedule!$AI:$AI,Schedule!$L:$L=$A55,(Schedule!$K:$K=$B55)+(Schedule!$K:$K=""""),Schedule!$AH:$AH&lt;&gt;"""")),""""))"),"")</f>
        <v/>
      </c>
      <c r="I55" s="53"/>
      <c r="J55" s="392"/>
      <c r="K55" s="389" t="str">
        <f>M50</f>
        <v/>
      </c>
      <c r="L55" s="389" t="str">
        <f>S50</f>
        <v/>
      </c>
      <c r="M55" s="100">
        <v>4.0</v>
      </c>
      <c r="N55" s="390" t="str">
        <f>IFERROR(__xludf.DUMMYFUNCTION("if($K55="""","""",iferror(join("" &amp; "",filter(Schedule!$Y:$Y&amp;""-""&amp;Schedule!$Z:$Z,Schedule!$L:$L=$K55,(Schedule!$K:$K=$L55)+(Schedule!$K:$K=""""),Schedule!$Y:$Y&lt;&gt;"""")),""""))"),"")</f>
        <v/>
      </c>
      <c r="O55" s="390" t="str">
        <f>IFERROR(__xludf.DUMMYFUNCTION("if($K55="""","""",iferror(join("" &amp; "",filter(Schedule!$P:$P&amp;""-""&amp;Schedule!$Q:$Q,Schedule!$L:$L=$K55,(Schedule!$K:$K=$L55)+(Schedule!$K:$K=""""),Schedule!$P:$P&lt;&gt;"""")),""""))"),"")</f>
        <v/>
      </c>
      <c r="P55" s="390" t="str">
        <f>IFERROR(__xludf.DUMMYFUNCTION("if($K55="""","""",iferror(join("" &amp; "",filter(Schedule!$AE:$AE&amp;""-""&amp;Schedule!$AF:$AF,Schedule!$L:$L=$K55,(Schedule!$K:$K=$L55)+(Schedule!$K:$K=""""),Schedule!$AE:$AE&lt;&gt;"""")),""""))"),"")</f>
        <v/>
      </c>
      <c r="Q55" s="390" t="str">
        <f>IFERROR(__xludf.DUMMYFUNCTION("if($K55="""","""",iferror(join("" &amp; "",filter(Schedule!$V:$V&amp;""-""&amp;Schedule!$W:$W,Schedule!$L:$L=$K55,(Schedule!$K:$K=$L55)+(Schedule!$K:$K=""""),Schedule!$V:$V&lt;&gt;"""")),""""))"),"")</f>
        <v/>
      </c>
      <c r="R55" s="390" t="str">
        <f>IFERROR(__xludf.DUMMYFUNCTION("if($K55="""","""",iferror(join("" &amp; "",filter(Schedule!$AH:$AH&amp;""-""&amp;Schedule!$AI:$AI,Schedule!$L:$L=$K55,(Schedule!$K:$K=$L55)+(Schedule!$K:$K=""""),Schedule!$AH:$AH&lt;&gt;"""")),""""))"),"")</f>
        <v/>
      </c>
      <c r="S55" s="53"/>
      <c r="T55" s="393"/>
    </row>
    <row r="56">
      <c r="A56" s="389" t="str">
        <f>C50</f>
        <v>Anibal Betancur</v>
      </c>
      <c r="B56" s="389" t="str">
        <f>I50</f>
        <v/>
      </c>
      <c r="C56" s="100">
        <v>5.0</v>
      </c>
      <c r="D56" s="390" t="str">
        <f>IFERROR(__xludf.DUMMYFUNCTION("if($A56="""","""",iferror(join("" &amp; "",filter(Schedule!$AB:$AB&amp;""-""&amp;Schedule!$AC:$AC,Schedule!$L:$L=$A56,(Schedule!$K:$K=$B56)+(Schedule!$K:$K=""""),Schedule!$AB:$AB&lt;&gt;"""")),""""))"),"PE 9-4")</f>
        <v>PE 9-4</v>
      </c>
      <c r="E56" s="390" t="str">
        <f>IFERROR(__xludf.DUMMYFUNCTION("if($A56="""","""",iferror(join("" &amp; "",filter(Schedule!$S:$S&amp;""-""&amp;Schedule!$T:$T,Schedule!$L:$L=$A56,(Schedule!$K:$K=$B56)+(Schedule!$K:$K=""""),Schedule!$S:$S&lt;&gt;"""")),""""))"),"PE 9-2")</f>
        <v>PE 9-2</v>
      </c>
      <c r="F56" s="390" t="str">
        <f>IFERROR(__xludf.DUMMYFUNCTION("if($A56="""","""",iferror(join("" &amp; "",filter(Schedule!$AH:$AH&amp;""-""&amp;Schedule!$AI:$AI,Schedule!$L:$L=$A56,(Schedule!$K:$K=$B56)+(Schedule!$K:$K=""""),Schedule!$AH:$AH&lt;&gt;"""")),""""))"),"")</f>
        <v/>
      </c>
      <c r="G56" s="390" t="str">
        <f>IFERROR(__xludf.DUMMYFUNCTION("if($A56="""","""",iferror(join("" &amp; "",filter(Schedule!$Y:$Y&amp;""-""&amp;Schedule!$Z:$Z,Schedule!$L:$L=$A56,(Schedule!$K:$K=$B56)+(Schedule!$K:$K=""""),Schedule!$Y:$Y&lt;&gt;"""")),""""))"),"PE 9-3")</f>
        <v>PE 9-3</v>
      </c>
      <c r="H56" s="390" t="str">
        <f>IFERROR(__xludf.DUMMYFUNCTION("if($A56="""","""",iferror(join("" &amp; "",filter(Schedule!$AK:$AK&amp;""-""&amp;Schedule!$AL:$AL,Schedule!$L:$L=$A56,(Schedule!$K:$K=$B56)+(Schedule!$K:$K=""""),Schedule!$AK:$AK&lt;&gt;"""")),""""))"),"PE 9-6")</f>
        <v>PE 9-6</v>
      </c>
      <c r="I56" s="68"/>
      <c r="J56" s="392"/>
      <c r="K56" s="389" t="str">
        <f>M50</f>
        <v/>
      </c>
      <c r="L56" s="389" t="str">
        <f>S50</f>
        <v/>
      </c>
      <c r="M56" s="100">
        <v>5.0</v>
      </c>
      <c r="N56" s="390" t="str">
        <f>IFERROR(__xludf.DUMMYFUNCTION("if($K56="""","""",iferror(join("" &amp; "",filter(Schedule!$AB:$AB&amp;""-""&amp;Schedule!$AC:$AC,Schedule!$L:$L=$K56,(Schedule!$K:$K=$L56)+(Schedule!$K:$K=""""),Schedule!$AB:$AB&lt;&gt;"""")),""""))"),"")</f>
        <v/>
      </c>
      <c r="O56" s="390" t="str">
        <f>IFERROR(__xludf.DUMMYFUNCTION("if($K56="""","""",iferror(join("" &amp; "",filter(Schedule!$S:$S&amp;""-""&amp;Schedule!$T:$T,Schedule!$L:$L=$K56,(Schedule!$K:$K=$L56)+(Schedule!$K:$K=""""),Schedule!$S:$S&lt;&gt;"""")),""""))"),"")</f>
        <v/>
      </c>
      <c r="P56" s="390" t="str">
        <f>IFERROR(__xludf.DUMMYFUNCTION("if($K56="""","""",iferror(join("" &amp; "",filter(Schedule!$AH:$AH&amp;""-""&amp;Schedule!$AI:$AI,Schedule!$L:$L=$K56,(Schedule!$K:$K=$L56)+(Schedule!$K:$K=""""),Schedule!$AH:$AH&lt;&gt;"""")),""""))"),"")</f>
        <v/>
      </c>
      <c r="Q56" s="390" t="str">
        <f>IFERROR(__xludf.DUMMYFUNCTION("if($K56="""","""",iferror(join("" &amp; "",filter(Schedule!$Y:$Y&amp;""-""&amp;Schedule!$Z:$Z,Schedule!$L:$L=$K56,(Schedule!$K:$K=$L56)+(Schedule!$K:$K=""""),Schedule!$Y:$Y&lt;&gt;"""")),""""))"),"")</f>
        <v/>
      </c>
      <c r="R56" s="390" t="str">
        <f>IFERROR(__xludf.DUMMYFUNCTION("if($K56="""","""",iferror(join("" &amp; "",filter(Schedule!$AK:$AK&amp;""-""&amp;Schedule!$AL:$AL,Schedule!$L:$L=$K56,(Schedule!$K:$K=$L56)+(Schedule!$K:$K=""""),Schedule!$AK:$AK&lt;&gt;"""")),""""))"),"")</f>
        <v/>
      </c>
      <c r="S56" s="68"/>
      <c r="T56" s="393"/>
    </row>
    <row r="57">
      <c r="C57" s="3"/>
      <c r="D57" s="396"/>
      <c r="E57" s="396"/>
      <c r="F57" s="396"/>
      <c r="G57" s="396"/>
      <c r="H57" s="396"/>
      <c r="N57" s="397"/>
      <c r="O57" s="397"/>
      <c r="P57" s="397"/>
      <c r="Q57" s="397"/>
      <c r="R57" s="397"/>
    </row>
    <row r="58">
      <c r="A58" s="45"/>
      <c r="B58" s="45"/>
      <c r="C58" s="386" t="str">
        <f>Teachers!A8</f>
        <v>Bill Beauchamp</v>
      </c>
      <c r="D58" s="383"/>
      <c r="E58" s="383"/>
      <c r="F58" s="383"/>
      <c r="G58" s="383"/>
      <c r="H58" s="384"/>
      <c r="I58" s="385" t="str">
        <f>IFERROR(__xludf.DUMMYFUNCTION("if(C58="""","""", iferror(filter(Schedule!$K:$K,Schedule!$L:$L=$C58,Schedule!$K:$K=""S1""),unique(filter(Schedule!$K:$K,Schedule!$L:$L=$C58,Schedule!$K:$K=""""))))"),"")</f>
        <v/>
      </c>
      <c r="M58" s="386"/>
      <c r="N58" s="383"/>
      <c r="O58" s="383"/>
      <c r="P58" s="383"/>
      <c r="Q58" s="383"/>
      <c r="R58" s="384"/>
      <c r="S58" s="385" t="str">
        <f>if(I58="S1","S2","")</f>
        <v/>
      </c>
      <c r="T58" s="112"/>
    </row>
    <row r="59">
      <c r="A59" s="116"/>
      <c r="B59" s="116"/>
      <c r="C59" s="100" t="s">
        <v>7</v>
      </c>
      <c r="D59" s="387" t="s">
        <v>8</v>
      </c>
      <c r="E59" s="387" t="s">
        <v>9</v>
      </c>
      <c r="F59" s="387" t="s">
        <v>10</v>
      </c>
      <c r="G59" s="387" t="s">
        <v>11</v>
      </c>
      <c r="H59" s="387" t="s">
        <v>12</v>
      </c>
      <c r="I59" s="21" t="s">
        <v>766</v>
      </c>
      <c r="J59" s="116"/>
      <c r="K59" s="116"/>
      <c r="L59" s="116"/>
      <c r="M59" s="100" t="s">
        <v>7</v>
      </c>
      <c r="N59" s="387" t="s">
        <v>8</v>
      </c>
      <c r="O59" s="387" t="s">
        <v>9</v>
      </c>
      <c r="P59" s="387" t="s">
        <v>10</v>
      </c>
      <c r="Q59" s="387" t="s">
        <v>11</v>
      </c>
      <c r="R59" s="387" t="s">
        <v>12</v>
      </c>
      <c r="S59" s="21" t="s">
        <v>766</v>
      </c>
      <c r="T59" s="388"/>
    </row>
    <row r="60">
      <c r="A60" s="389" t="str">
        <f>C58</f>
        <v>Bill Beauchamp</v>
      </c>
      <c r="B60" s="389" t="str">
        <f>I58</f>
        <v/>
      </c>
      <c r="C60" s="100">
        <v>1.0</v>
      </c>
      <c r="D60" s="390" t="str">
        <f>IFERROR(__xludf.DUMMYFUNCTION("if($A60="""","""",iferror(join("" &amp; "",filter(Schedule!$P:$P&amp;""-""&amp;Schedule!$Q:$Q,Schedule!$L:$L=$A60,(Schedule!$K:$K=$B60)+(Schedule!$K:$K=""""),Schedule!$P:$P&lt;&gt;"""")),""""))"),"Physics-5")</f>
        <v>Physics-5</v>
      </c>
      <c r="E60" s="390" t="str">
        <f>IFERROR(__xludf.DUMMYFUNCTION("if($A60="""","""",iferror(join("" &amp; "",filter(Schedule!$AE:$AE&amp;""-""&amp;Schedule!$AF:$AF,Schedule!$L:$L=$A60,(Schedule!$K:$K=$B60)+(Schedule!$K:$K=""""),Schedule!$AE:$AE&lt;&gt;"""")),""""))"),"")</f>
        <v/>
      </c>
      <c r="F60" s="390" t="str">
        <f>IFERROR(__xludf.DUMMYFUNCTION("if($A60="""","""",iferror(join("" &amp; "",filter(Schedule!$V:$V&amp;""-""&amp;Schedule!$W:$W,Schedule!$L:$L=$A60,(Schedule!$K:$K=$B60)+(Schedule!$K:$K=""""),Schedule!$V:$V&lt;&gt;"""")),""""))"),"Chemistry-1")</f>
        <v>Chemistry-1</v>
      </c>
      <c r="G60" s="390" t="str">
        <f>IFERROR(__xludf.DUMMYFUNCTION("if($A60="""","""",iferror(join("" &amp; "",filter(Schedule!$AK:$AK&amp;""-""&amp;Schedule!$AL:$AL,Schedule!$L:$L=$A60,(Schedule!$K:$K=$B60)+(Schedule!$K:$K=""""),Schedule!$AK:$AK&lt;&gt;"""")),""""))"),"Chemistry-3")</f>
        <v>Chemistry-3</v>
      </c>
      <c r="H60" s="390" t="str">
        <f>IFERROR(__xludf.DUMMYFUNCTION("if($A60="""","""",iferror(join("" &amp; "",filter(Schedule!$AB:$AB&amp;""-""&amp;Schedule!$AC:$AC,Schedule!$L:$L=$A60,(Schedule!$K:$K=$B60)+(Schedule!$K:$K=""""),Schedule!$AB:$AB&lt;&gt;"""")),""""))"),"AP Biology-1")</f>
        <v>AP Biology-1</v>
      </c>
      <c r="I60" s="391">
        <f>if(C58="","", 24-countifs(D60:H64,""))</f>
        <v>15</v>
      </c>
      <c r="J60" s="392"/>
      <c r="K60" s="389" t="str">
        <f>M58</f>
        <v/>
      </c>
      <c r="L60" s="389" t="str">
        <f>S58</f>
        <v/>
      </c>
      <c r="M60" s="100">
        <v>1.0</v>
      </c>
      <c r="N60" s="390" t="str">
        <f>IFERROR(__xludf.DUMMYFUNCTION("if($K60="""","""",iferror(join("" &amp; "",filter(Schedule!$P:$P&amp;""-""&amp;Schedule!$Q:$Q,Schedule!$L:$L=$K60,(Schedule!$K:$K=$L60)+(Schedule!$K:$K=""""),Schedule!$P:$P&lt;&gt;"""")),""""))"),"")</f>
        <v/>
      </c>
      <c r="O60" s="390" t="str">
        <f>IFERROR(__xludf.DUMMYFUNCTION("if($K60="""","""",iferror(join("" &amp; "",filter(Schedule!$AE:$AE&amp;""-""&amp;Schedule!$AF:$AF,Schedule!$L:$L=$K60,(Schedule!$K:$K=$L60)+(Schedule!$K:$K=""""),Schedule!$AE:$AE&lt;&gt;"""")),""""))"),"")</f>
        <v/>
      </c>
      <c r="P60" s="390" t="str">
        <f>IFERROR(__xludf.DUMMYFUNCTION("if($K60="""","""",iferror(join("" &amp; "",filter(Schedule!$V:$V&amp;""-""&amp;Schedule!$W:$W,Schedule!$L:$L=$K60,(Schedule!$K:$K=$L60)+(Schedule!$K:$K=""""),Schedule!$V:$V&lt;&gt;"""")),""""))"),"")</f>
        <v/>
      </c>
      <c r="Q60" s="390" t="str">
        <f>IFERROR(__xludf.DUMMYFUNCTION("if($K60="""","""",iferror(join("" &amp; "",filter(Schedule!$AK:$AK&amp;""-""&amp;Schedule!$AL:$AL,Schedule!$L:$L=$K60,(Schedule!$K:$K=$L60)+(Schedule!$K:$K=""""),Schedule!$AK:$AK&lt;&gt;"""")),""""))"),"")</f>
        <v/>
      </c>
      <c r="R60" s="390" t="str">
        <f>IFERROR(__xludf.DUMMYFUNCTION("if($K60="""","""",iferror(join("" &amp; "",filter(Schedule!$AB:$AB&amp;""-""&amp;Schedule!$AC:$AC,Schedule!$L:$L=$K60,(Schedule!$K:$K=$L60)+(Schedule!$K:$K=""""),Schedule!$AB:$AB&lt;&gt;"""")),""""))"),"")</f>
        <v/>
      </c>
      <c r="S60" s="391" t="str">
        <f>if(K60="","", 24-countifs(N60:R64,""))</f>
        <v/>
      </c>
      <c r="T60" s="393"/>
    </row>
    <row r="61">
      <c r="A61" s="389" t="str">
        <f>C58</f>
        <v>Bill Beauchamp</v>
      </c>
      <c r="B61" s="389" t="str">
        <f>I58</f>
        <v/>
      </c>
      <c r="C61" s="100">
        <v>2.0</v>
      </c>
      <c r="D61" s="390" t="str">
        <f>IFERROR(__xludf.DUMMYFUNCTION("if($A61="""","""",iferror(join("" &amp; "",filter(Schedule!$S:$S&amp;""-""&amp;Schedule!$T:$T,Schedule!$L:$L=$A61,(Schedule!$K:$K=$B61)+(Schedule!$K:$K=""""),Schedule!$S:$S&lt;&gt;"""")),""""))"),"")</f>
        <v/>
      </c>
      <c r="E61" s="390" t="str">
        <f>IFERROR(__xludf.DUMMYFUNCTION("if($A61="""","""",iferror(join("" &amp; "",filter(Schedule!$AH:$AH&amp;""-""&amp;Schedule!$AI:$AI,Schedule!$L:$L=$A61,(Schedule!$K:$K=$B61)+(Schedule!$K:$K=""""),Schedule!$AH:$AH&lt;&gt;"""")),""""))"),"Chemistry-2")</f>
        <v>Chemistry-2</v>
      </c>
      <c r="F61" s="390" t="str">
        <f>IFERROR(__xludf.DUMMYFUNCTION("if($A61="""","""",iferror(join("" &amp; "",filter(Schedule!$Y:$Y&amp;""-""&amp;Schedule!$Z:$Z,Schedule!$L:$L=$A61,(Schedule!$K:$K=$B61)+(Schedule!$K:$K=""""),Schedule!$Y:$Y&lt;&gt;"""")),""""))"),"")</f>
        <v/>
      </c>
      <c r="G61" s="390" t="str">
        <f>IFERROR(__xludf.DUMMYFUNCTION("if($A61="""","""",iferror(join("" &amp; "",filter(Schedule!$P:$P&amp;""-""&amp;Schedule!$Q:$Q,Schedule!$L:$L=$A61,(Schedule!$K:$K=$B61)+(Schedule!$K:$K=""""),Schedule!$P:$P&lt;&gt;"""")),""""))"),"Physics-5")</f>
        <v>Physics-5</v>
      </c>
      <c r="H61" s="390" t="str">
        <f>IFERROR(__xludf.DUMMYFUNCTION("if($A61="""","""",iferror(join("" &amp; "",filter(Schedule!$AE:$AE&amp;""-""&amp;Schedule!$AF:$AF,Schedule!$L:$L=$A61,(Schedule!$K:$K=$B61)+(Schedule!$K:$K=""""),Schedule!$AE:$AE&lt;&gt;"""")),""""))"),"")</f>
        <v/>
      </c>
      <c r="I61" s="53"/>
      <c r="J61" s="392"/>
      <c r="K61" s="389" t="str">
        <f>M58</f>
        <v/>
      </c>
      <c r="L61" s="389" t="str">
        <f>S58</f>
        <v/>
      </c>
      <c r="M61" s="100">
        <v>2.0</v>
      </c>
      <c r="N61" s="390" t="str">
        <f>IFERROR(__xludf.DUMMYFUNCTION("if($K61="""","""",iferror(join("" &amp; "",filter(Schedule!$S:$S&amp;""-""&amp;Schedule!$T:$T,Schedule!$L:$L=$K61,(Schedule!$K:$K=$L61)+(Schedule!$K:$K=""""),Schedule!$S:$S&lt;&gt;"""")),""""))"),"")</f>
        <v/>
      </c>
      <c r="O61" s="390" t="str">
        <f>IFERROR(__xludf.DUMMYFUNCTION("if($K61="""","""",iferror(join("" &amp; "",filter(Schedule!$AH:$AH&amp;""-""&amp;Schedule!$AI:$AI,Schedule!$L:$L=$K61,(Schedule!$K:$K=$L61)+(Schedule!$K:$K=""""),Schedule!$AH:$AH&lt;&gt;"""")),""""))"),"")</f>
        <v/>
      </c>
      <c r="P61" s="390" t="str">
        <f>IFERROR(__xludf.DUMMYFUNCTION("if($K61="""","""",iferror(join("" &amp; "",filter(Schedule!$Y:$Y&amp;""-""&amp;Schedule!$Z:$Z,Schedule!$L:$L=$K61,(Schedule!$K:$K=$L61)+(Schedule!$K:$K=""""),Schedule!$Y:$Y&lt;&gt;"""")),""""))"),"")</f>
        <v/>
      </c>
      <c r="Q61" s="390" t="str">
        <f>IFERROR(__xludf.DUMMYFUNCTION("if($K61="""","""",iferror(join("" &amp; "",filter(Schedule!$P:$P&amp;""-""&amp;Schedule!$Q:$Q,Schedule!$L:$L=$K61,(Schedule!$K:$K=$L61)+(Schedule!$K:$K=""""),Schedule!$P:$P&lt;&gt;"""")),""""))"),"")</f>
        <v/>
      </c>
      <c r="R61" s="390" t="str">
        <f>IFERROR(__xludf.DUMMYFUNCTION("if($K61="""","""",iferror(join("" &amp; "",filter(Schedule!$AE:$AE&amp;""-""&amp;Schedule!$AF:$AF,Schedule!$L:$L=$K61,(Schedule!$K:$K=$L61)+(Schedule!$K:$K=""""),Schedule!$AE:$AE&lt;&gt;"""")),""""))"),"")</f>
        <v/>
      </c>
      <c r="S61" s="53"/>
      <c r="T61" s="393"/>
    </row>
    <row r="62">
      <c r="A62" s="389" t="str">
        <f>C58</f>
        <v>Bill Beauchamp</v>
      </c>
      <c r="B62" s="389" t="str">
        <f>I58</f>
        <v/>
      </c>
      <c r="C62" s="100">
        <v>3.0</v>
      </c>
      <c r="D62" s="390" t="str">
        <f>IFERROR(__xludf.DUMMYFUNCTION("if($A62="""","""",iferror(join("" &amp; "",filter(Schedule!$V:$V&amp;""-""&amp;Schedule!$W:$W,Schedule!$L:$L=$A62,(Schedule!$K:$K=$B62)+(Schedule!$K:$K=""""),Schedule!$V:$V&lt;&gt;"""")),""""))"),"Chemistry-1")</f>
        <v>Chemistry-1</v>
      </c>
      <c r="E62" s="390" t="str">
        <f>IFERROR(__xludf.DUMMYFUNCTION("if($A62="""","""",iferror(join("" &amp; "",filter(Schedule!$AK:$AK&amp;""-""&amp;Schedule!$AL:$AL,Schedule!$L:$L=$A62,(Schedule!$K:$K=$B62)+(Schedule!$K:$K=""""),Schedule!$AK:$AK&lt;&gt;"""")),""""))"),"Chemistry-3")</f>
        <v>Chemistry-3</v>
      </c>
      <c r="F62" s="390" t="str">
        <f>IFERROR(__xludf.DUMMYFUNCTION("if($A62="""","""",iferror(join("" &amp; "",filter(Schedule!$AB:$AB&amp;""-""&amp;Schedule!$AC:$AC,Schedule!$L:$L=$A62,(Schedule!$K:$K=$B62)+(Schedule!$K:$K=""""),Schedule!$AB:$AB&lt;&gt;"""")),""""))"),"AP Biology-1")</f>
        <v>AP Biology-1</v>
      </c>
      <c r="G62" s="390" t="str">
        <f>IFERROR(__xludf.DUMMYFUNCTION("if($A62="""","""",iferror(join("" &amp; "",filter(Schedule!$S:$S&amp;""-""&amp;Schedule!$T:$T,Schedule!$L:$L=$A62,(Schedule!$K:$K=$B62)+(Schedule!$K:$K=""""),Schedule!$S:$S&lt;&gt;"""")),""""))"),"")</f>
        <v/>
      </c>
      <c r="H62" s="395" t="str">
        <f>if($C58="","","X-Block")</f>
        <v>X-Block</v>
      </c>
      <c r="I62" s="53"/>
      <c r="J62" s="392"/>
      <c r="K62" s="389" t="str">
        <f>M58</f>
        <v/>
      </c>
      <c r="L62" s="389" t="str">
        <f>S58</f>
        <v/>
      </c>
      <c r="M62" s="100">
        <v>3.0</v>
      </c>
      <c r="N62" s="390" t="str">
        <f>IFERROR(__xludf.DUMMYFUNCTION("if($K62="""","""",iferror(join("" &amp; "",filter(Schedule!$V:$V&amp;""-""&amp;Schedule!$W:$W,Schedule!$L:$L=$K62,(Schedule!$K:$K=$L62)+(Schedule!$K:$K=""""),Schedule!$V:$V&lt;&gt;"""")),""""))"),"")</f>
        <v/>
      </c>
      <c r="O62" s="390" t="str">
        <f>IFERROR(__xludf.DUMMYFUNCTION("if($K62="""","""",iferror(join("" &amp; "",filter(Schedule!$AK:$AK&amp;""-""&amp;Schedule!$AL:$AL,Schedule!$L:$L=$K62,(Schedule!$K:$K=$L62)+(Schedule!$K:$K=""""),Schedule!$AK:$AK&lt;&gt;"""")),""""))"),"")</f>
        <v/>
      </c>
      <c r="P62" s="390" t="str">
        <f>IFERROR(__xludf.DUMMYFUNCTION("if($K62="""","""",iferror(join("" &amp; "",filter(Schedule!$AB:$AB&amp;""-""&amp;Schedule!$AC:$AC,Schedule!$L:$L=$K62,(Schedule!$K:$K=$L62)+(Schedule!$K:$K=""""),Schedule!$AB:$AB&lt;&gt;"""")),""""))"),"")</f>
        <v/>
      </c>
      <c r="Q62" s="390" t="str">
        <f>IFERROR(__xludf.DUMMYFUNCTION("if($K62="""","""",iferror(join("" &amp; "",filter(Schedule!$S:$S&amp;""-""&amp;Schedule!$T:$T,Schedule!$L:$L=$K62,(Schedule!$K:$K=$L62)+(Schedule!$K:$K=""""),Schedule!$S:$S&lt;&gt;"""")),""""))"),"")</f>
        <v/>
      </c>
      <c r="R62" s="395" t="str">
        <f>if($M58="","","X-Block")</f>
        <v/>
      </c>
      <c r="S62" s="53"/>
      <c r="T62" s="393"/>
    </row>
    <row r="63">
      <c r="A63" s="389" t="str">
        <f>C58</f>
        <v>Bill Beauchamp</v>
      </c>
      <c r="B63" s="389" t="str">
        <f>I58</f>
        <v/>
      </c>
      <c r="C63" s="100">
        <v>4.0</v>
      </c>
      <c r="D63" s="390" t="str">
        <f>IFERROR(__xludf.DUMMYFUNCTION("if($A63="""","""",iferror(join("" &amp; "",filter(Schedule!$Y:$Y&amp;""-""&amp;Schedule!$Z:$Z,Schedule!$L:$L=$A63,(Schedule!$K:$K=$B63)+(Schedule!$K:$K=""""),Schedule!$Y:$Y&lt;&gt;"""")),""""))"),"")</f>
        <v/>
      </c>
      <c r="E63" s="390" t="str">
        <f>IFERROR(__xludf.DUMMYFUNCTION("if($A63="""","""",iferror(join("" &amp; "",filter(Schedule!$P:$P&amp;""-""&amp;Schedule!$Q:$Q,Schedule!$L:$L=$A63,(Schedule!$K:$K=$B63)+(Schedule!$K:$K=""""),Schedule!$P:$P&lt;&gt;"""")),""""))"),"Physics-5")</f>
        <v>Physics-5</v>
      </c>
      <c r="F63" s="390" t="str">
        <f>IFERROR(__xludf.DUMMYFUNCTION("if($A63="""","""",iferror(join("" &amp; "",filter(Schedule!$AE:$AE&amp;""-""&amp;Schedule!$AF:$AF,Schedule!$L:$L=$A63,(Schedule!$K:$K=$B63)+(Schedule!$K:$K=""""),Schedule!$AE:$AE&lt;&gt;"""")),""""))"),"")</f>
        <v/>
      </c>
      <c r="G63" s="390" t="str">
        <f>IFERROR(__xludf.DUMMYFUNCTION("if($A63="""","""",iferror(join("" &amp; "",filter(Schedule!$V:$V&amp;""-""&amp;Schedule!$W:$W,Schedule!$L:$L=$A63,(Schedule!$K:$K=$B63)+(Schedule!$K:$K=""""),Schedule!$V:$V&lt;&gt;"""")),""""))"),"Chemistry-1")</f>
        <v>Chemistry-1</v>
      </c>
      <c r="H63" s="390" t="str">
        <f>IFERROR(__xludf.DUMMYFUNCTION("if($A63="""","""",iferror(join("" &amp; "",filter(Schedule!$AH:$AH&amp;""-""&amp;Schedule!$AI:$AI,Schedule!$L:$L=$A63,(Schedule!$K:$K=$B63)+(Schedule!$K:$K=""""),Schedule!$AH:$AH&lt;&gt;"""")),""""))"),"Chemistry-2")</f>
        <v>Chemistry-2</v>
      </c>
      <c r="I63" s="53"/>
      <c r="J63" s="392"/>
      <c r="K63" s="389" t="str">
        <f>M58</f>
        <v/>
      </c>
      <c r="L63" s="389" t="str">
        <f>S58</f>
        <v/>
      </c>
      <c r="M63" s="100">
        <v>4.0</v>
      </c>
      <c r="N63" s="390" t="str">
        <f>IFERROR(__xludf.DUMMYFUNCTION("if($K63="""","""",iferror(join("" &amp; "",filter(Schedule!$Y:$Y&amp;""-""&amp;Schedule!$Z:$Z,Schedule!$L:$L=$K63,(Schedule!$K:$K=$L63)+(Schedule!$K:$K=""""),Schedule!$Y:$Y&lt;&gt;"""")),""""))"),"")</f>
        <v/>
      </c>
      <c r="O63" s="390" t="str">
        <f>IFERROR(__xludf.DUMMYFUNCTION("if($K63="""","""",iferror(join("" &amp; "",filter(Schedule!$P:$P&amp;""-""&amp;Schedule!$Q:$Q,Schedule!$L:$L=$K63,(Schedule!$K:$K=$L63)+(Schedule!$K:$K=""""),Schedule!$P:$P&lt;&gt;"""")),""""))"),"")</f>
        <v/>
      </c>
      <c r="P63" s="390" t="str">
        <f>IFERROR(__xludf.DUMMYFUNCTION("if($K63="""","""",iferror(join("" &amp; "",filter(Schedule!$AE:$AE&amp;""-""&amp;Schedule!$AF:$AF,Schedule!$L:$L=$K63,(Schedule!$K:$K=$L63)+(Schedule!$K:$K=""""),Schedule!$AE:$AE&lt;&gt;"""")),""""))"),"")</f>
        <v/>
      </c>
      <c r="Q63" s="390" t="str">
        <f>IFERROR(__xludf.DUMMYFUNCTION("if($K63="""","""",iferror(join("" &amp; "",filter(Schedule!$V:$V&amp;""-""&amp;Schedule!$W:$W,Schedule!$L:$L=$K63,(Schedule!$K:$K=$L63)+(Schedule!$K:$K=""""),Schedule!$V:$V&lt;&gt;"""")),""""))"),"")</f>
        <v/>
      </c>
      <c r="R63" s="390" t="str">
        <f>IFERROR(__xludf.DUMMYFUNCTION("if($K63="""","""",iferror(join("" &amp; "",filter(Schedule!$AH:$AH&amp;""-""&amp;Schedule!$AI:$AI,Schedule!$L:$L=$K63,(Schedule!$K:$K=$L63)+(Schedule!$K:$K=""""),Schedule!$AH:$AH&lt;&gt;"""")),""""))"),"")</f>
        <v/>
      </c>
      <c r="S63" s="53"/>
      <c r="T63" s="393"/>
    </row>
    <row r="64">
      <c r="A64" s="389" t="str">
        <f>C58</f>
        <v>Bill Beauchamp</v>
      </c>
      <c r="B64" s="389" t="str">
        <f>I58</f>
        <v/>
      </c>
      <c r="C64" s="100">
        <v>5.0</v>
      </c>
      <c r="D64" s="390" t="str">
        <f>IFERROR(__xludf.DUMMYFUNCTION("if($A64="""","""",iferror(join("" &amp; "",filter(Schedule!$AB:$AB&amp;""-""&amp;Schedule!$AC:$AC,Schedule!$L:$L=$A64,(Schedule!$K:$K=$B64)+(Schedule!$K:$K=""""),Schedule!$AB:$AB&lt;&gt;"""")),""""))"),"AP Biology-1")</f>
        <v>AP Biology-1</v>
      </c>
      <c r="E64" s="390" t="str">
        <f>IFERROR(__xludf.DUMMYFUNCTION("if($A64="""","""",iferror(join("" &amp; "",filter(Schedule!$S:$S&amp;""-""&amp;Schedule!$T:$T,Schedule!$L:$L=$A64,(Schedule!$K:$K=$B64)+(Schedule!$K:$K=""""),Schedule!$S:$S&lt;&gt;"""")),""""))"),"")</f>
        <v/>
      </c>
      <c r="F64" s="390" t="str">
        <f>IFERROR(__xludf.DUMMYFUNCTION("if($A64="""","""",iferror(join("" &amp; "",filter(Schedule!$AH:$AH&amp;""-""&amp;Schedule!$AI:$AI,Schedule!$L:$L=$A64,(Schedule!$K:$K=$B64)+(Schedule!$K:$K=""""),Schedule!$AH:$AH&lt;&gt;"""")),""""))"),"Chemistry-2")</f>
        <v>Chemistry-2</v>
      </c>
      <c r="G64" s="390" t="str">
        <f>IFERROR(__xludf.DUMMYFUNCTION("if($A64="""","""",iferror(join("" &amp; "",filter(Schedule!$Y:$Y&amp;""-""&amp;Schedule!$Z:$Z,Schedule!$L:$L=$A64,(Schedule!$K:$K=$B64)+(Schedule!$K:$K=""""),Schedule!$Y:$Y&lt;&gt;"""")),""""))"),"")</f>
        <v/>
      </c>
      <c r="H64" s="390" t="str">
        <f>IFERROR(__xludf.DUMMYFUNCTION("if($A64="""","""",iferror(join("" &amp; "",filter(Schedule!$AK:$AK&amp;""-""&amp;Schedule!$AL:$AL,Schedule!$L:$L=$A64,(Schedule!$K:$K=$B64)+(Schedule!$K:$K=""""),Schedule!$AK:$AK&lt;&gt;"""")),""""))"),"Chemistry-3")</f>
        <v>Chemistry-3</v>
      </c>
      <c r="I64" s="68"/>
      <c r="J64" s="392"/>
      <c r="K64" s="389" t="str">
        <f>M58</f>
        <v/>
      </c>
      <c r="L64" s="389" t="str">
        <f>S58</f>
        <v/>
      </c>
      <c r="M64" s="100">
        <v>5.0</v>
      </c>
      <c r="N64" s="390" t="str">
        <f>IFERROR(__xludf.DUMMYFUNCTION("if($K64="""","""",iferror(join("" &amp; "",filter(Schedule!$AB:$AB&amp;""-""&amp;Schedule!$AC:$AC,Schedule!$L:$L=$K64,(Schedule!$K:$K=$L64)+(Schedule!$K:$K=""""),Schedule!$AB:$AB&lt;&gt;"""")),""""))"),"")</f>
        <v/>
      </c>
      <c r="O64" s="390" t="str">
        <f>IFERROR(__xludf.DUMMYFUNCTION("if($K64="""","""",iferror(join("" &amp; "",filter(Schedule!$S:$S&amp;""-""&amp;Schedule!$T:$T,Schedule!$L:$L=$K64,(Schedule!$K:$K=$L64)+(Schedule!$K:$K=""""),Schedule!$S:$S&lt;&gt;"""")),""""))"),"")</f>
        <v/>
      </c>
      <c r="P64" s="390" t="str">
        <f>IFERROR(__xludf.DUMMYFUNCTION("if($K64="""","""",iferror(join("" &amp; "",filter(Schedule!$AH:$AH&amp;""-""&amp;Schedule!$AI:$AI,Schedule!$L:$L=$K64,(Schedule!$K:$K=$L64)+(Schedule!$K:$K=""""),Schedule!$AH:$AH&lt;&gt;"""")),""""))"),"")</f>
        <v/>
      </c>
      <c r="Q64" s="390" t="str">
        <f>IFERROR(__xludf.DUMMYFUNCTION("if($K64="""","""",iferror(join("" &amp; "",filter(Schedule!$Y:$Y&amp;""-""&amp;Schedule!$Z:$Z,Schedule!$L:$L=$K64,(Schedule!$K:$K=$L64)+(Schedule!$K:$K=""""),Schedule!$Y:$Y&lt;&gt;"""")),""""))"),"")</f>
        <v/>
      </c>
      <c r="R64" s="390" t="str">
        <f>IFERROR(__xludf.DUMMYFUNCTION("if($K64="""","""",iferror(join("" &amp; "",filter(Schedule!$AK:$AK&amp;""-""&amp;Schedule!$AL:$AL,Schedule!$L:$L=$K64,(Schedule!$K:$K=$L64)+(Schedule!$K:$K=""""),Schedule!$AK:$AK&lt;&gt;"""")),""""))"),"")</f>
        <v/>
      </c>
      <c r="S64" s="68"/>
      <c r="T64" s="393"/>
    </row>
    <row r="65">
      <c r="C65" s="3"/>
      <c r="D65" s="396"/>
      <c r="E65" s="396"/>
      <c r="F65" s="396"/>
      <c r="G65" s="396"/>
      <c r="H65" s="396"/>
      <c r="N65" s="397"/>
      <c r="O65" s="397"/>
      <c r="P65" s="397"/>
      <c r="Q65" s="397"/>
      <c r="R65" s="397"/>
    </row>
    <row r="66">
      <c r="A66" s="45"/>
      <c r="B66" s="45"/>
      <c r="C66" s="386" t="str">
        <f>Teachers!A9</f>
        <v>Blaire Dawkins</v>
      </c>
      <c r="D66" s="383"/>
      <c r="E66" s="383"/>
      <c r="F66" s="383"/>
      <c r="G66" s="383"/>
      <c r="H66" s="384"/>
      <c r="I66" s="385" t="str">
        <f>IFERROR(__xludf.DUMMYFUNCTION("if(C66="""","""", iferror(filter(Schedule!$K:$K,Schedule!$L:$L=$C66,Schedule!$K:$K=""S1""),unique(filter(Schedule!$K:$K,Schedule!$L:$L=$C66,Schedule!$K:$K=""""))))"),"")</f>
        <v/>
      </c>
      <c r="M66" s="386" t="str">
        <f>if(S66="","",C66)</f>
        <v/>
      </c>
      <c r="N66" s="383"/>
      <c r="O66" s="383"/>
      <c r="P66" s="383"/>
      <c r="Q66" s="383"/>
      <c r="R66" s="384"/>
      <c r="S66" s="385" t="str">
        <f>if(I66="S1","S2","")</f>
        <v/>
      </c>
      <c r="T66" s="112"/>
    </row>
    <row r="67">
      <c r="A67" s="116"/>
      <c r="B67" s="116"/>
      <c r="C67" s="100" t="s">
        <v>7</v>
      </c>
      <c r="D67" s="387" t="s">
        <v>8</v>
      </c>
      <c r="E67" s="387" t="s">
        <v>9</v>
      </c>
      <c r="F67" s="387" t="s">
        <v>10</v>
      </c>
      <c r="G67" s="387" t="s">
        <v>11</v>
      </c>
      <c r="H67" s="387" t="s">
        <v>12</v>
      </c>
      <c r="I67" s="21" t="s">
        <v>766</v>
      </c>
      <c r="J67" s="116"/>
      <c r="K67" s="116"/>
      <c r="L67" s="116"/>
      <c r="M67" s="100" t="s">
        <v>7</v>
      </c>
      <c r="N67" s="387" t="s">
        <v>8</v>
      </c>
      <c r="O67" s="387" t="s">
        <v>9</v>
      </c>
      <c r="P67" s="387" t="s">
        <v>10</v>
      </c>
      <c r="Q67" s="387" t="s">
        <v>11</v>
      </c>
      <c r="R67" s="387" t="s">
        <v>12</v>
      </c>
      <c r="S67" s="21" t="s">
        <v>766</v>
      </c>
      <c r="T67" s="388"/>
    </row>
    <row r="68">
      <c r="A68" s="389" t="str">
        <f>C66</f>
        <v>Blaire Dawkins</v>
      </c>
      <c r="B68" s="389" t="str">
        <f>I66</f>
        <v/>
      </c>
      <c r="C68" s="100">
        <v>1.0</v>
      </c>
      <c r="D68" s="390" t="str">
        <f>IFERROR(__xludf.DUMMYFUNCTION("if($A68="""","""",iferror(join("" &amp; "",filter(Schedule!$P:$P&amp;""-""&amp;Schedule!$Q:$Q,Schedule!$L:$L=$A68,(Schedule!$K:$K=$B68)+(Schedule!$K:$K=""""),Schedule!$P:$P&lt;&gt;"""")),""""))"),"")</f>
        <v/>
      </c>
      <c r="E68" s="390" t="str">
        <f>IFERROR(__xludf.DUMMYFUNCTION("if($A68="""","""",iferror(join("" &amp; "",filter(Schedule!$AE:$AE&amp;""-""&amp;Schedule!$AF:$AF,Schedule!$L:$L=$A68,(Schedule!$K:$K=$B68)+(Schedule!$K:$K=""""),Schedule!$AE:$AE&lt;&gt;"""")),""""))"),"Environmental Science-2")</f>
        <v>Environmental Science-2</v>
      </c>
      <c r="F68" s="390" t="str">
        <f>IFERROR(__xludf.DUMMYFUNCTION("if($A68="""","""",iferror(join("" &amp; "",filter(Schedule!$V:$V&amp;""-""&amp;Schedule!$W:$W,Schedule!$L:$L=$A68,(Schedule!$K:$K=$B68)+(Schedule!$K:$K=""""),Schedule!$V:$V&lt;&gt;"""")),""""))"),"AP Environmental Science-1")</f>
        <v>AP Environmental Science-1</v>
      </c>
      <c r="G68" s="390" t="str">
        <f>IFERROR(__xludf.DUMMYFUNCTION("if($A68="""","""",iferror(join("" &amp; "",filter(Schedule!$AK:$AK&amp;""-""&amp;Schedule!$AL:$AL,Schedule!$L:$L=$A68,(Schedule!$K:$K=$B68)+(Schedule!$K:$K=""""),Schedule!$AK:$AK&lt;&gt;"""")),""""))"),"Environmental Science-3")</f>
        <v>Environmental Science-3</v>
      </c>
      <c r="H68" s="390" t="str">
        <f>IFERROR(__xludf.DUMMYFUNCTION("if($A68="""","""",iferror(join("" &amp; "",filter(Schedule!$AB:$AB&amp;""-""&amp;Schedule!$AC:$AC,Schedule!$L:$L=$A68,(Schedule!$K:$K=$B68)+(Schedule!$K:$K=""""),Schedule!$AB:$AB&lt;&gt;"""")),""""))"),"")</f>
        <v/>
      </c>
      <c r="I68" s="391">
        <f>if(C66="","", 24-countifs(D68:H72,""))</f>
        <v>15</v>
      </c>
      <c r="J68" s="392"/>
      <c r="K68" s="389" t="str">
        <f>M66</f>
        <v/>
      </c>
      <c r="L68" s="389" t="str">
        <f>S66</f>
        <v/>
      </c>
      <c r="M68" s="100">
        <v>1.0</v>
      </c>
      <c r="N68" s="390" t="str">
        <f>IFERROR(__xludf.DUMMYFUNCTION("if($K68="""","""",iferror(join("" &amp; "",filter(Schedule!$P:$P&amp;""-""&amp;Schedule!$Q:$Q,Schedule!$L:$L=$K68,(Schedule!$K:$K=$L68)+(Schedule!$K:$K=""""),Schedule!$P:$P&lt;&gt;"""")),""""))"),"")</f>
        <v/>
      </c>
      <c r="O68" s="390" t="str">
        <f>IFERROR(__xludf.DUMMYFUNCTION("if($K68="""","""",iferror(join("" &amp; "",filter(Schedule!$AE:$AE&amp;""-""&amp;Schedule!$AF:$AF,Schedule!$L:$L=$K68,(Schedule!$K:$K=$L68)+(Schedule!$K:$K=""""),Schedule!$AE:$AE&lt;&gt;"""")),""""))"),"")</f>
        <v/>
      </c>
      <c r="P68" s="390" t="str">
        <f>IFERROR(__xludf.DUMMYFUNCTION("if($K68="""","""",iferror(join("" &amp; "",filter(Schedule!$V:$V&amp;""-""&amp;Schedule!$W:$W,Schedule!$L:$L=$K68,(Schedule!$K:$K=$L68)+(Schedule!$K:$K=""""),Schedule!$V:$V&lt;&gt;"""")),""""))"),"")</f>
        <v/>
      </c>
      <c r="Q68" s="390" t="str">
        <f>IFERROR(__xludf.DUMMYFUNCTION("if($K68="""","""",iferror(join("" &amp; "",filter(Schedule!$AK:$AK&amp;""-""&amp;Schedule!$AL:$AL,Schedule!$L:$L=$K68,(Schedule!$K:$K=$L68)+(Schedule!$K:$K=""""),Schedule!$AK:$AK&lt;&gt;"""")),""""))"),"")</f>
        <v/>
      </c>
      <c r="R68" s="390" t="str">
        <f>IFERROR(__xludf.DUMMYFUNCTION("if($K68="""","""",iferror(join("" &amp; "",filter(Schedule!$AB:$AB&amp;""-""&amp;Schedule!$AC:$AC,Schedule!$L:$L=$K68,(Schedule!$K:$K=$L68)+(Schedule!$K:$K=""""),Schedule!$AB:$AB&lt;&gt;"""")),""""))"),"")</f>
        <v/>
      </c>
      <c r="S68" s="391" t="str">
        <f>if(K68="","", 24-countifs(N68:R72,""))</f>
        <v/>
      </c>
      <c r="T68" s="393"/>
    </row>
    <row r="69">
      <c r="A69" s="389" t="str">
        <f>C66</f>
        <v>Blaire Dawkins</v>
      </c>
      <c r="B69" s="389" t="str">
        <f>I66</f>
        <v/>
      </c>
      <c r="C69" s="100">
        <v>2.0</v>
      </c>
      <c r="D69" s="390" t="str">
        <f>IFERROR(__xludf.DUMMYFUNCTION("if($A69="""","""",iferror(join("" &amp; "",filter(Schedule!$S:$S&amp;""-""&amp;Schedule!$T:$T,Schedule!$L:$L=$A69,(Schedule!$K:$K=$B69)+(Schedule!$K:$K=""""),Schedule!$S:$S&lt;&gt;"""")),""""))"),"Environmental Science-1")</f>
        <v>Environmental Science-1</v>
      </c>
      <c r="E69" s="390" t="str">
        <f>IFERROR(__xludf.DUMMYFUNCTION("if($A69="""","""",iferror(join("" &amp; "",filter(Schedule!$AH:$AH&amp;""-""&amp;Schedule!$AI:$AI,Schedule!$L:$L=$A69,(Schedule!$K:$K=$B69)+(Schedule!$K:$K=""""),Schedule!$AH:$AH&lt;&gt;"""")),""""))"),"")</f>
        <v/>
      </c>
      <c r="F69" s="390" t="str">
        <f>IFERROR(__xludf.DUMMYFUNCTION("if($A69="""","""",iferror(join("" &amp; "",filter(Schedule!$Y:$Y&amp;""-""&amp;Schedule!$Z:$Z,Schedule!$L:$L=$A69,(Schedule!$K:$K=$B69)+(Schedule!$K:$K=""""),Schedule!$Y:$Y&lt;&gt;"""")),""""))"),"Anatomy and Physiology-1")</f>
        <v>Anatomy and Physiology-1</v>
      </c>
      <c r="G69" s="390" t="str">
        <f>IFERROR(__xludf.DUMMYFUNCTION("if($A69="""","""",iferror(join("" &amp; "",filter(Schedule!$P:$P&amp;""-""&amp;Schedule!$Q:$Q,Schedule!$L:$L=$A69,(Schedule!$K:$K=$B69)+(Schedule!$K:$K=""""),Schedule!$P:$P&lt;&gt;"""")),""""))"),"")</f>
        <v/>
      </c>
      <c r="H69" s="390" t="str">
        <f>IFERROR(__xludf.DUMMYFUNCTION("if($A69="""","""",iferror(join("" &amp; "",filter(Schedule!$AE:$AE&amp;""-""&amp;Schedule!$AF:$AF,Schedule!$L:$L=$A69,(Schedule!$K:$K=$B69)+(Schedule!$K:$K=""""),Schedule!$AE:$AE&lt;&gt;"""")),""""))"),"Environmental Science-2")</f>
        <v>Environmental Science-2</v>
      </c>
      <c r="I69" s="53"/>
      <c r="J69" s="392"/>
      <c r="K69" s="389" t="str">
        <f>M66</f>
        <v/>
      </c>
      <c r="L69" s="389" t="str">
        <f>S66</f>
        <v/>
      </c>
      <c r="M69" s="100">
        <v>2.0</v>
      </c>
      <c r="N69" s="390" t="str">
        <f>IFERROR(__xludf.DUMMYFUNCTION("if($K69="""","""",iferror(join("" &amp; "",filter(Schedule!$S:$S&amp;""-""&amp;Schedule!$T:$T,Schedule!$L:$L=$K69,(Schedule!$K:$K=$L69)+(Schedule!$K:$K=""""),Schedule!$S:$S&lt;&gt;"""")),""""))"),"")</f>
        <v/>
      </c>
      <c r="O69" s="390" t="str">
        <f>IFERROR(__xludf.DUMMYFUNCTION("if($K69="""","""",iferror(join("" &amp; "",filter(Schedule!$AH:$AH&amp;""-""&amp;Schedule!$AI:$AI,Schedule!$L:$L=$K69,(Schedule!$K:$K=$L69)+(Schedule!$K:$K=""""),Schedule!$AH:$AH&lt;&gt;"""")),""""))"),"")</f>
        <v/>
      </c>
      <c r="P69" s="390" t="str">
        <f>IFERROR(__xludf.DUMMYFUNCTION("if($K69="""","""",iferror(join("" &amp; "",filter(Schedule!$Y:$Y&amp;""-""&amp;Schedule!$Z:$Z,Schedule!$L:$L=$K69,(Schedule!$K:$K=$L69)+(Schedule!$K:$K=""""),Schedule!$Y:$Y&lt;&gt;"""")),""""))"),"")</f>
        <v/>
      </c>
      <c r="Q69" s="390" t="str">
        <f>IFERROR(__xludf.DUMMYFUNCTION("if($K69="""","""",iferror(join("" &amp; "",filter(Schedule!$P:$P&amp;""-""&amp;Schedule!$Q:$Q,Schedule!$L:$L=$K69,(Schedule!$K:$K=$L69)+(Schedule!$K:$K=""""),Schedule!$P:$P&lt;&gt;"""")),""""))"),"")</f>
        <v/>
      </c>
      <c r="R69" s="390" t="str">
        <f>IFERROR(__xludf.DUMMYFUNCTION("if($K69="""","""",iferror(join("" &amp; "",filter(Schedule!$AE:$AE&amp;""-""&amp;Schedule!$AF:$AF,Schedule!$L:$L=$K69,(Schedule!$K:$K=$L69)+(Schedule!$K:$K=""""),Schedule!$AE:$AE&lt;&gt;"""")),""""))"),"")</f>
        <v/>
      </c>
      <c r="S69" s="53"/>
      <c r="T69" s="393"/>
    </row>
    <row r="70">
      <c r="A70" s="389" t="str">
        <f>C66</f>
        <v>Blaire Dawkins</v>
      </c>
      <c r="B70" s="389" t="str">
        <f>I66</f>
        <v/>
      </c>
      <c r="C70" s="100">
        <v>3.0</v>
      </c>
      <c r="D70" s="390" t="str">
        <f>IFERROR(__xludf.DUMMYFUNCTION("if($A70="""","""",iferror(join("" &amp; "",filter(Schedule!$V:$V&amp;""-""&amp;Schedule!$W:$W,Schedule!$L:$L=$A70,(Schedule!$K:$K=$B70)+(Schedule!$K:$K=""""),Schedule!$V:$V&lt;&gt;"""")),""""))"),"AP Environmental Science-1")</f>
        <v>AP Environmental Science-1</v>
      </c>
      <c r="E70" s="390" t="str">
        <f>IFERROR(__xludf.DUMMYFUNCTION("if($A70="""","""",iferror(join("" &amp; "",filter(Schedule!$AK:$AK&amp;""-""&amp;Schedule!$AL:$AL,Schedule!$L:$L=$A70,(Schedule!$K:$K=$B70)+(Schedule!$K:$K=""""),Schedule!$AK:$AK&lt;&gt;"""")),""""))"),"Environmental Science-3")</f>
        <v>Environmental Science-3</v>
      </c>
      <c r="F70" s="390" t="str">
        <f>IFERROR(__xludf.DUMMYFUNCTION("if($A70="""","""",iferror(join("" &amp; "",filter(Schedule!$AB:$AB&amp;""-""&amp;Schedule!$AC:$AC,Schedule!$L:$L=$A70,(Schedule!$K:$K=$B70)+(Schedule!$K:$K=""""),Schedule!$AB:$AB&lt;&gt;"""")),""""))"),"")</f>
        <v/>
      </c>
      <c r="G70" s="390" t="str">
        <f>IFERROR(__xludf.DUMMYFUNCTION("if($A70="""","""",iferror(join("" &amp; "",filter(Schedule!$S:$S&amp;""-""&amp;Schedule!$T:$T,Schedule!$L:$L=$A70,(Schedule!$K:$K=$B70)+(Schedule!$K:$K=""""),Schedule!$S:$S&lt;&gt;"""")),""""))"),"Environmental Science-1")</f>
        <v>Environmental Science-1</v>
      </c>
      <c r="H70" s="395" t="str">
        <f>if($C66="","","X-Block")</f>
        <v>X-Block</v>
      </c>
      <c r="I70" s="53"/>
      <c r="J70" s="392"/>
      <c r="K70" s="389" t="str">
        <f>M66</f>
        <v/>
      </c>
      <c r="L70" s="389" t="str">
        <f>S66</f>
        <v/>
      </c>
      <c r="M70" s="100">
        <v>3.0</v>
      </c>
      <c r="N70" s="390" t="str">
        <f>IFERROR(__xludf.DUMMYFUNCTION("if($K70="""","""",iferror(join("" &amp; "",filter(Schedule!$V:$V&amp;""-""&amp;Schedule!$W:$W,Schedule!$L:$L=$K70,(Schedule!$K:$K=$L70)+(Schedule!$K:$K=""""),Schedule!$V:$V&lt;&gt;"""")),""""))"),"")</f>
        <v/>
      </c>
      <c r="O70" s="390" t="str">
        <f>IFERROR(__xludf.DUMMYFUNCTION("if($K70="""","""",iferror(join("" &amp; "",filter(Schedule!$AK:$AK&amp;""-""&amp;Schedule!$AL:$AL,Schedule!$L:$L=$K70,(Schedule!$K:$K=$L70)+(Schedule!$K:$K=""""),Schedule!$AK:$AK&lt;&gt;"""")),""""))"),"")</f>
        <v/>
      </c>
      <c r="P70" s="390" t="str">
        <f>IFERROR(__xludf.DUMMYFUNCTION("if($K70="""","""",iferror(join("" &amp; "",filter(Schedule!$AB:$AB&amp;""-""&amp;Schedule!$AC:$AC,Schedule!$L:$L=$K70,(Schedule!$K:$K=$L70)+(Schedule!$K:$K=""""),Schedule!$AB:$AB&lt;&gt;"""")),""""))"),"")</f>
        <v/>
      </c>
      <c r="Q70" s="390" t="str">
        <f>IFERROR(__xludf.DUMMYFUNCTION("if($K70="""","""",iferror(join("" &amp; "",filter(Schedule!$S:$S&amp;""-""&amp;Schedule!$T:$T,Schedule!$L:$L=$K70,(Schedule!$K:$K=$L70)+(Schedule!$K:$K=""""),Schedule!$S:$S&lt;&gt;"""")),""""))"),"")</f>
        <v/>
      </c>
      <c r="R70" s="395" t="str">
        <f>if($M66="","","X-Block")</f>
        <v/>
      </c>
      <c r="S70" s="53"/>
      <c r="T70" s="393"/>
    </row>
    <row r="71">
      <c r="A71" s="389" t="str">
        <f>C66</f>
        <v>Blaire Dawkins</v>
      </c>
      <c r="B71" s="389" t="str">
        <f>I66</f>
        <v/>
      </c>
      <c r="C71" s="100">
        <v>4.0</v>
      </c>
      <c r="D71" s="390" t="str">
        <f>IFERROR(__xludf.DUMMYFUNCTION("if($A71="""","""",iferror(join("" &amp; "",filter(Schedule!$Y:$Y&amp;""-""&amp;Schedule!$Z:$Z,Schedule!$L:$L=$A71,(Schedule!$K:$K=$B71)+(Schedule!$K:$K=""""),Schedule!$Y:$Y&lt;&gt;"""")),""""))"),"Anatomy and Physiology-1")</f>
        <v>Anatomy and Physiology-1</v>
      </c>
      <c r="E71" s="390" t="str">
        <f>IFERROR(__xludf.DUMMYFUNCTION("if($A71="""","""",iferror(join("" &amp; "",filter(Schedule!$P:$P&amp;""-""&amp;Schedule!$Q:$Q,Schedule!$L:$L=$A71,(Schedule!$K:$K=$B71)+(Schedule!$K:$K=""""),Schedule!$P:$P&lt;&gt;"""")),""""))"),"")</f>
        <v/>
      </c>
      <c r="F71" s="390" t="str">
        <f>IFERROR(__xludf.DUMMYFUNCTION("if($A71="""","""",iferror(join("" &amp; "",filter(Schedule!$AE:$AE&amp;""-""&amp;Schedule!$AF:$AF,Schedule!$L:$L=$A71,(Schedule!$K:$K=$B71)+(Schedule!$K:$K=""""),Schedule!$AE:$AE&lt;&gt;"""")),""""))"),"Environmental Science-2")</f>
        <v>Environmental Science-2</v>
      </c>
      <c r="G71" s="390" t="str">
        <f>IFERROR(__xludf.DUMMYFUNCTION("if($A71="""","""",iferror(join("" &amp; "",filter(Schedule!$V:$V&amp;""-""&amp;Schedule!$W:$W,Schedule!$L:$L=$A71,(Schedule!$K:$K=$B71)+(Schedule!$K:$K=""""),Schedule!$V:$V&lt;&gt;"""")),""""))"),"AP Environmental Science-1")</f>
        <v>AP Environmental Science-1</v>
      </c>
      <c r="H71" s="390" t="str">
        <f>IFERROR(__xludf.DUMMYFUNCTION("if($A71="""","""",iferror(join("" &amp; "",filter(Schedule!$AH:$AH&amp;""-""&amp;Schedule!$AI:$AI,Schedule!$L:$L=$A71,(Schedule!$K:$K=$B71)+(Schedule!$K:$K=""""),Schedule!$AH:$AH&lt;&gt;"""")),""""))"),"")</f>
        <v/>
      </c>
      <c r="I71" s="53"/>
      <c r="J71" s="392"/>
      <c r="K71" s="389" t="str">
        <f>M66</f>
        <v/>
      </c>
      <c r="L71" s="389" t="str">
        <f>S66</f>
        <v/>
      </c>
      <c r="M71" s="100">
        <v>4.0</v>
      </c>
      <c r="N71" s="390" t="str">
        <f>IFERROR(__xludf.DUMMYFUNCTION("if($K71="""","""",iferror(join("" &amp; "",filter(Schedule!$Y:$Y&amp;""-""&amp;Schedule!$Z:$Z,Schedule!$L:$L=$K71,(Schedule!$K:$K=$L71)+(Schedule!$K:$K=""""),Schedule!$Y:$Y&lt;&gt;"""")),""""))"),"")</f>
        <v/>
      </c>
      <c r="O71" s="390" t="str">
        <f>IFERROR(__xludf.DUMMYFUNCTION("if($K71="""","""",iferror(join("" &amp; "",filter(Schedule!$P:$P&amp;""-""&amp;Schedule!$Q:$Q,Schedule!$L:$L=$K71,(Schedule!$K:$K=$L71)+(Schedule!$K:$K=""""),Schedule!$P:$P&lt;&gt;"""")),""""))"),"")</f>
        <v/>
      </c>
      <c r="P71" s="390" t="str">
        <f>IFERROR(__xludf.DUMMYFUNCTION("if($K71="""","""",iferror(join("" &amp; "",filter(Schedule!$AE:$AE&amp;""-""&amp;Schedule!$AF:$AF,Schedule!$L:$L=$K71,(Schedule!$K:$K=$L71)+(Schedule!$K:$K=""""),Schedule!$AE:$AE&lt;&gt;"""")),""""))"),"")</f>
        <v/>
      </c>
      <c r="Q71" s="390" t="str">
        <f>IFERROR(__xludf.DUMMYFUNCTION("if($K71="""","""",iferror(join("" &amp; "",filter(Schedule!$V:$V&amp;""-""&amp;Schedule!$W:$W,Schedule!$L:$L=$K71,(Schedule!$K:$K=$L71)+(Schedule!$K:$K=""""),Schedule!$V:$V&lt;&gt;"""")),""""))"),"")</f>
        <v/>
      </c>
      <c r="R71" s="390" t="str">
        <f>IFERROR(__xludf.DUMMYFUNCTION("if($K71="""","""",iferror(join("" &amp; "",filter(Schedule!$AH:$AH&amp;""-""&amp;Schedule!$AI:$AI,Schedule!$L:$L=$K71,(Schedule!$K:$K=$L71)+(Schedule!$K:$K=""""),Schedule!$AH:$AH&lt;&gt;"""")),""""))"),"")</f>
        <v/>
      </c>
      <c r="S71" s="53"/>
      <c r="T71" s="393"/>
    </row>
    <row r="72">
      <c r="A72" s="389" t="str">
        <f>C66</f>
        <v>Blaire Dawkins</v>
      </c>
      <c r="B72" s="389" t="str">
        <f>I66</f>
        <v/>
      </c>
      <c r="C72" s="100">
        <v>5.0</v>
      </c>
      <c r="D72" s="390" t="str">
        <f>IFERROR(__xludf.DUMMYFUNCTION("if($A72="""","""",iferror(join("" &amp; "",filter(Schedule!$AB:$AB&amp;""-""&amp;Schedule!$AC:$AC,Schedule!$L:$L=$A72,(Schedule!$K:$K=$B72)+(Schedule!$K:$K=""""),Schedule!$AB:$AB&lt;&gt;"""")),""""))"),"")</f>
        <v/>
      </c>
      <c r="E72" s="390" t="str">
        <f>IFERROR(__xludf.DUMMYFUNCTION("if($A72="""","""",iferror(join("" &amp; "",filter(Schedule!$S:$S&amp;""-""&amp;Schedule!$T:$T,Schedule!$L:$L=$A72,(Schedule!$K:$K=$B72)+(Schedule!$K:$K=""""),Schedule!$S:$S&lt;&gt;"""")),""""))"),"Environmental Science-1")</f>
        <v>Environmental Science-1</v>
      </c>
      <c r="F72" s="390" t="str">
        <f>IFERROR(__xludf.DUMMYFUNCTION("if($A72="""","""",iferror(join("" &amp; "",filter(Schedule!$AH:$AH&amp;""-""&amp;Schedule!$AI:$AI,Schedule!$L:$L=$A72,(Schedule!$K:$K=$B72)+(Schedule!$K:$K=""""),Schedule!$AH:$AH&lt;&gt;"""")),""""))"),"")</f>
        <v/>
      </c>
      <c r="G72" s="390" t="str">
        <f>IFERROR(__xludf.DUMMYFUNCTION("if($A72="""","""",iferror(join("" &amp; "",filter(Schedule!$Y:$Y&amp;""-""&amp;Schedule!$Z:$Z,Schedule!$L:$L=$A72,(Schedule!$K:$K=$B72)+(Schedule!$K:$K=""""),Schedule!$Y:$Y&lt;&gt;"""")),""""))"),"Anatomy and Physiology-1")</f>
        <v>Anatomy and Physiology-1</v>
      </c>
      <c r="H72" s="390" t="str">
        <f>IFERROR(__xludf.DUMMYFUNCTION("if($A72="""","""",iferror(join("" &amp; "",filter(Schedule!$AK:$AK&amp;""-""&amp;Schedule!$AL:$AL,Schedule!$L:$L=$A72,(Schedule!$K:$K=$B72)+(Schedule!$K:$K=""""),Schedule!$AK:$AK&lt;&gt;"""")),""""))"),"Environmental Science-3")</f>
        <v>Environmental Science-3</v>
      </c>
      <c r="I72" s="68"/>
      <c r="J72" s="392"/>
      <c r="K72" s="389" t="str">
        <f>M66</f>
        <v/>
      </c>
      <c r="L72" s="389" t="str">
        <f>S66</f>
        <v/>
      </c>
      <c r="M72" s="100">
        <v>5.0</v>
      </c>
      <c r="N72" s="390" t="str">
        <f>IFERROR(__xludf.DUMMYFUNCTION("if($K72="""","""",iferror(join("" &amp; "",filter(Schedule!$AB:$AB&amp;""-""&amp;Schedule!$AC:$AC,Schedule!$L:$L=$K72,(Schedule!$K:$K=$L72)+(Schedule!$K:$K=""""),Schedule!$AB:$AB&lt;&gt;"""")),""""))"),"")</f>
        <v/>
      </c>
      <c r="O72" s="390" t="str">
        <f>IFERROR(__xludf.DUMMYFUNCTION("if($K72="""","""",iferror(join("" &amp; "",filter(Schedule!$S:$S&amp;""-""&amp;Schedule!$T:$T,Schedule!$L:$L=$K72,(Schedule!$K:$K=$L72)+(Schedule!$K:$K=""""),Schedule!$S:$S&lt;&gt;"""")),""""))"),"")</f>
        <v/>
      </c>
      <c r="P72" s="390" t="str">
        <f>IFERROR(__xludf.DUMMYFUNCTION("if($K72="""","""",iferror(join("" &amp; "",filter(Schedule!$AH:$AH&amp;""-""&amp;Schedule!$AI:$AI,Schedule!$L:$L=$K72,(Schedule!$K:$K=$L72)+(Schedule!$K:$K=""""),Schedule!$AH:$AH&lt;&gt;"""")),""""))"),"")</f>
        <v/>
      </c>
      <c r="Q72" s="390" t="str">
        <f>IFERROR(__xludf.DUMMYFUNCTION("if($K72="""","""",iferror(join("" &amp; "",filter(Schedule!$Y:$Y&amp;""-""&amp;Schedule!$Z:$Z,Schedule!$L:$L=$K72,(Schedule!$K:$K=$L72)+(Schedule!$K:$K=""""),Schedule!$Y:$Y&lt;&gt;"""")),""""))"),"")</f>
        <v/>
      </c>
      <c r="R72" s="390" t="str">
        <f>IFERROR(__xludf.DUMMYFUNCTION("if($K72="""","""",iferror(join("" &amp; "",filter(Schedule!$AK:$AK&amp;""-""&amp;Schedule!$AL:$AL,Schedule!$L:$L=$K72,(Schedule!$K:$K=$L72)+(Schedule!$K:$K=""""),Schedule!$AK:$AK&lt;&gt;"""")),""""))"),"")</f>
        <v/>
      </c>
      <c r="S72" s="68"/>
      <c r="T72" s="393"/>
    </row>
    <row r="73">
      <c r="C73" s="3"/>
      <c r="D73" s="396"/>
      <c r="E73" s="396"/>
      <c r="F73" s="396"/>
      <c r="G73" s="396"/>
      <c r="H73" s="396"/>
      <c r="N73" s="397"/>
      <c r="O73" s="397"/>
      <c r="P73" s="397"/>
      <c r="Q73" s="397"/>
      <c r="R73" s="397"/>
    </row>
    <row r="74">
      <c r="A74" s="45"/>
      <c r="B74" s="45"/>
      <c r="C74" s="386" t="str">
        <f>Teachers!A10</f>
        <v>Bradford Stretton</v>
      </c>
      <c r="D74" s="383"/>
      <c r="E74" s="383"/>
      <c r="F74" s="383"/>
      <c r="G74" s="383"/>
      <c r="H74" s="384"/>
      <c r="I74" s="385" t="str">
        <f>IFERROR(__xludf.DUMMYFUNCTION("if(C74="""","""", iferror(filter(Schedule!$K:$K,Schedule!$L:$L=$C74,Schedule!$K:$K=""S1""),unique(filter(Schedule!$K:$K,Schedule!$L:$L=$C74,Schedule!$K:$K=""""))))"),"")</f>
        <v/>
      </c>
      <c r="M74" s="386" t="str">
        <f>if(S74="","",C74)</f>
        <v/>
      </c>
      <c r="N74" s="383"/>
      <c r="O74" s="383"/>
      <c r="P74" s="383"/>
      <c r="Q74" s="383"/>
      <c r="R74" s="384"/>
      <c r="S74" s="385" t="str">
        <f>if(I74="S1","S2","")</f>
        <v/>
      </c>
      <c r="T74" s="112"/>
    </row>
    <row r="75">
      <c r="A75" s="116"/>
      <c r="B75" s="116"/>
      <c r="C75" s="100" t="s">
        <v>7</v>
      </c>
      <c r="D75" s="387" t="s">
        <v>8</v>
      </c>
      <c r="E75" s="387" t="s">
        <v>9</v>
      </c>
      <c r="F75" s="387" t="s">
        <v>10</v>
      </c>
      <c r="G75" s="387" t="s">
        <v>11</v>
      </c>
      <c r="H75" s="387" t="s">
        <v>12</v>
      </c>
      <c r="I75" s="21" t="s">
        <v>766</v>
      </c>
      <c r="J75" s="116"/>
      <c r="K75" s="116"/>
      <c r="L75" s="116"/>
      <c r="M75" s="100" t="s">
        <v>7</v>
      </c>
      <c r="N75" s="387" t="s">
        <v>8</v>
      </c>
      <c r="O75" s="387" t="s">
        <v>9</v>
      </c>
      <c r="P75" s="387" t="s">
        <v>10</v>
      </c>
      <c r="Q75" s="387" t="s">
        <v>11</v>
      </c>
      <c r="R75" s="387" t="s">
        <v>12</v>
      </c>
      <c r="S75" s="21" t="s">
        <v>766</v>
      </c>
      <c r="T75" s="388"/>
    </row>
    <row r="76">
      <c r="A76" s="389" t="str">
        <f>C74</f>
        <v>Bradford Stretton</v>
      </c>
      <c r="B76" s="389" t="str">
        <f>I74</f>
        <v/>
      </c>
      <c r="C76" s="100">
        <v>1.0</v>
      </c>
      <c r="D76" s="390" t="str">
        <f>IFERROR(__xludf.DUMMYFUNCTION("if($A76="""","""",iferror(join("" &amp; "",filter(Schedule!$P:$P&amp;""-""&amp;Schedule!$Q:$Q,Schedule!$L:$L=$A76,(Schedule!$K:$K=$B76)+(Schedule!$K:$K=""""),Schedule!$P:$P&lt;&gt;"""")),""""))"),"Calculus-1")</f>
        <v>Calculus-1</v>
      </c>
      <c r="E76" s="390" t="str">
        <f>IFERROR(__xludf.DUMMYFUNCTION("if($A76="""","""",iferror(join("" &amp; "",filter(Schedule!$AE:$AE&amp;""-""&amp;Schedule!$AF:$AF,Schedule!$L:$L=$A76,(Schedule!$K:$K=$B76)+(Schedule!$K:$K=""""),Schedule!$AE:$AE&lt;&gt;"""")),""""))"),"Calculus-2")</f>
        <v>Calculus-2</v>
      </c>
      <c r="F76" s="390" t="str">
        <f>IFERROR(__xludf.DUMMYFUNCTION("if($A76="""","""",iferror(join("" &amp; "",filter(Schedule!$V:$V&amp;""-""&amp;Schedule!$W:$W,Schedule!$L:$L=$A76,(Schedule!$K:$K=$B76)+(Schedule!$K:$K=""""),Schedule!$V:$V&lt;&gt;"""")),""""))"),"AP Calculus BC-1")</f>
        <v>AP Calculus BC-1</v>
      </c>
      <c r="G76" s="390" t="str">
        <f>IFERROR(__xludf.DUMMYFUNCTION("if($A76="""","""",iferror(join("" &amp; "",filter(Schedule!$AK:$AK&amp;""-""&amp;Schedule!$AL:$AL,Schedule!$L:$L=$A76,(Schedule!$K:$K=$B76)+(Schedule!$K:$K=""""),Schedule!$AK:$AK&lt;&gt;"""")),""""))"),"")</f>
        <v/>
      </c>
      <c r="H76" s="390" t="str">
        <f>IFERROR(__xludf.DUMMYFUNCTION("if($A76="""","""",iferror(join("" &amp; "",filter(Schedule!$AB:$AB&amp;""-""&amp;Schedule!$AC:$AC,Schedule!$L:$L=$A76,(Schedule!$K:$K=$B76)+(Schedule!$K:$K=""""),Schedule!$AB:$AB&lt;&gt;"""")),""""))"),"")</f>
        <v/>
      </c>
      <c r="I76" s="391">
        <f>if(C74="","", 24-countifs(D76:H80,""))</f>
        <v>15</v>
      </c>
      <c r="J76" s="392"/>
      <c r="K76" s="389" t="str">
        <f>M74</f>
        <v/>
      </c>
      <c r="L76" s="389" t="str">
        <f>S74</f>
        <v/>
      </c>
      <c r="M76" s="100">
        <v>1.0</v>
      </c>
      <c r="N76" s="390" t="str">
        <f>IFERROR(__xludf.DUMMYFUNCTION("if($K76="""","""",iferror(join("" &amp; "",filter(Schedule!$P:$P&amp;""-""&amp;Schedule!$Q:$Q,Schedule!$L:$L=$K76,(Schedule!$K:$K=$L76)+(Schedule!$K:$K=""""),Schedule!$P:$P&lt;&gt;"""")),""""))"),"")</f>
        <v/>
      </c>
      <c r="O76" s="390" t="str">
        <f>IFERROR(__xludf.DUMMYFUNCTION("if($K76="""","""",iferror(join("" &amp; "",filter(Schedule!$AE:$AE&amp;""-""&amp;Schedule!$AF:$AF,Schedule!$L:$L=$K76,(Schedule!$K:$K=$L76)+(Schedule!$K:$K=""""),Schedule!$AE:$AE&lt;&gt;"""")),""""))"),"")</f>
        <v/>
      </c>
      <c r="P76" s="390" t="str">
        <f>IFERROR(__xludf.DUMMYFUNCTION("if($K76="""","""",iferror(join("" &amp; "",filter(Schedule!$V:$V&amp;""-""&amp;Schedule!$W:$W,Schedule!$L:$L=$K76,(Schedule!$K:$K=$L76)+(Schedule!$K:$K=""""),Schedule!$V:$V&lt;&gt;"""")),""""))"),"")</f>
        <v/>
      </c>
      <c r="Q76" s="390" t="str">
        <f>IFERROR(__xludf.DUMMYFUNCTION("if($K76="""","""",iferror(join("" &amp; "",filter(Schedule!$AK:$AK&amp;""-""&amp;Schedule!$AL:$AL,Schedule!$L:$L=$K76,(Schedule!$K:$K=$L76)+(Schedule!$K:$K=""""),Schedule!$AK:$AK&lt;&gt;"""")),""""))"),"")</f>
        <v/>
      </c>
      <c r="R76" s="390" t="str">
        <f>IFERROR(__xludf.DUMMYFUNCTION("if($K76="""","""",iferror(join("" &amp; "",filter(Schedule!$AB:$AB&amp;""-""&amp;Schedule!$AC:$AC,Schedule!$L:$L=$K76,(Schedule!$K:$K=$L76)+(Schedule!$K:$K=""""),Schedule!$AB:$AB&lt;&gt;"""")),""""))"),"")</f>
        <v/>
      </c>
      <c r="S76" s="391" t="str">
        <f>if(K76="","", 24-countifs(N76:R80,""))</f>
        <v/>
      </c>
      <c r="T76" s="393"/>
    </row>
    <row r="77">
      <c r="A77" s="389" t="str">
        <f>C74</f>
        <v>Bradford Stretton</v>
      </c>
      <c r="B77" s="389" t="str">
        <f>I74</f>
        <v/>
      </c>
      <c r="C77" s="100">
        <v>2.0</v>
      </c>
      <c r="D77" s="390" t="str">
        <f>IFERROR(__xludf.DUMMYFUNCTION("if($A77="""","""",iferror(join("" &amp; "",filter(Schedule!$S:$S&amp;""-""&amp;Schedule!$T:$T,Schedule!$L:$L=$A77,(Schedule!$K:$K=$B77)+(Schedule!$K:$K=""""),Schedule!$S:$S&lt;&gt;"""")),""""))"),"AP Calculus AB-1")</f>
        <v>AP Calculus AB-1</v>
      </c>
      <c r="E77" s="390" t="str">
        <f>IFERROR(__xludf.DUMMYFUNCTION("if($A77="""","""",iferror(join("" &amp; "",filter(Schedule!$AH:$AH&amp;""-""&amp;Schedule!$AI:$AI,Schedule!$L:$L=$A77,(Schedule!$K:$K=$B77)+(Schedule!$K:$K=""""),Schedule!$AH:$AH&lt;&gt;"""")),""""))"),"AP Calculus AB-2")</f>
        <v>AP Calculus AB-2</v>
      </c>
      <c r="F77" s="390" t="str">
        <f>IFERROR(__xludf.DUMMYFUNCTION("if($A77="""","""",iferror(join("" &amp; "",filter(Schedule!$Y:$Y&amp;""-""&amp;Schedule!$Z:$Z,Schedule!$L:$L=$A77,(Schedule!$K:$K=$B77)+(Schedule!$K:$K=""""),Schedule!$Y:$Y&lt;&gt;"""")),""""))"),"")</f>
        <v/>
      </c>
      <c r="G77" s="390" t="str">
        <f>IFERROR(__xludf.DUMMYFUNCTION("if($A77="""","""",iferror(join("" &amp; "",filter(Schedule!$P:$P&amp;""-""&amp;Schedule!$Q:$Q,Schedule!$L:$L=$A77,(Schedule!$K:$K=$B77)+(Schedule!$K:$K=""""),Schedule!$P:$P&lt;&gt;"""")),""""))"),"Calculus-1")</f>
        <v>Calculus-1</v>
      </c>
      <c r="H77" s="390" t="str">
        <f>IFERROR(__xludf.DUMMYFUNCTION("if($A77="""","""",iferror(join("" &amp; "",filter(Schedule!$AE:$AE&amp;""-""&amp;Schedule!$AF:$AF,Schedule!$L:$L=$A77,(Schedule!$K:$K=$B77)+(Schedule!$K:$K=""""),Schedule!$AE:$AE&lt;&gt;"""")),""""))"),"Calculus-2")</f>
        <v>Calculus-2</v>
      </c>
      <c r="I77" s="53"/>
      <c r="J77" s="392"/>
      <c r="K77" s="389" t="str">
        <f>M74</f>
        <v/>
      </c>
      <c r="L77" s="389" t="str">
        <f>S74</f>
        <v/>
      </c>
      <c r="M77" s="100">
        <v>2.0</v>
      </c>
      <c r="N77" s="390" t="str">
        <f>IFERROR(__xludf.DUMMYFUNCTION("if($K77="""","""",iferror(join("" &amp; "",filter(Schedule!$S:$S&amp;""-""&amp;Schedule!$T:$T,Schedule!$L:$L=$K77,(Schedule!$K:$K=$L77)+(Schedule!$K:$K=""""),Schedule!$S:$S&lt;&gt;"""")),""""))"),"")</f>
        <v/>
      </c>
      <c r="O77" s="390" t="str">
        <f>IFERROR(__xludf.DUMMYFUNCTION("if($K77="""","""",iferror(join("" &amp; "",filter(Schedule!$AH:$AH&amp;""-""&amp;Schedule!$AI:$AI,Schedule!$L:$L=$K77,(Schedule!$K:$K=$L77)+(Schedule!$K:$K=""""),Schedule!$AH:$AH&lt;&gt;"""")),""""))"),"")</f>
        <v/>
      </c>
      <c r="P77" s="390" t="str">
        <f>IFERROR(__xludf.DUMMYFUNCTION("if($K77="""","""",iferror(join("" &amp; "",filter(Schedule!$Y:$Y&amp;""-""&amp;Schedule!$Z:$Z,Schedule!$L:$L=$K77,(Schedule!$K:$K=$L77)+(Schedule!$K:$K=""""),Schedule!$Y:$Y&lt;&gt;"""")),""""))"),"")</f>
        <v/>
      </c>
      <c r="Q77" s="390" t="str">
        <f>IFERROR(__xludf.DUMMYFUNCTION("if($K77="""","""",iferror(join("" &amp; "",filter(Schedule!$P:$P&amp;""-""&amp;Schedule!$Q:$Q,Schedule!$L:$L=$K77,(Schedule!$K:$K=$L77)+(Schedule!$K:$K=""""),Schedule!$P:$P&lt;&gt;"""")),""""))"),"")</f>
        <v/>
      </c>
      <c r="R77" s="390" t="str">
        <f>IFERROR(__xludf.DUMMYFUNCTION("if($K77="""","""",iferror(join("" &amp; "",filter(Schedule!$AE:$AE&amp;""-""&amp;Schedule!$AF:$AF,Schedule!$L:$L=$K77,(Schedule!$K:$K=$L77)+(Schedule!$K:$K=""""),Schedule!$AE:$AE&lt;&gt;"""")),""""))"),"")</f>
        <v/>
      </c>
      <c r="S77" s="53"/>
      <c r="T77" s="393"/>
    </row>
    <row r="78">
      <c r="A78" s="389" t="str">
        <f>C74</f>
        <v>Bradford Stretton</v>
      </c>
      <c r="B78" s="389" t="str">
        <f>I74</f>
        <v/>
      </c>
      <c r="C78" s="100">
        <v>3.0</v>
      </c>
      <c r="D78" s="390" t="str">
        <f>IFERROR(__xludf.DUMMYFUNCTION("if($A78="""","""",iferror(join("" &amp; "",filter(Schedule!$V:$V&amp;""-""&amp;Schedule!$W:$W,Schedule!$L:$L=$A78,(Schedule!$K:$K=$B78)+(Schedule!$K:$K=""""),Schedule!$V:$V&lt;&gt;"""")),""""))"),"AP Calculus BC-1")</f>
        <v>AP Calculus BC-1</v>
      </c>
      <c r="E78" s="390" t="str">
        <f>IFERROR(__xludf.DUMMYFUNCTION("if($A78="""","""",iferror(join("" &amp; "",filter(Schedule!$AK:$AK&amp;""-""&amp;Schedule!$AL:$AL,Schedule!$L:$L=$A78,(Schedule!$K:$K=$B78)+(Schedule!$K:$K=""""),Schedule!$AK:$AK&lt;&gt;"""")),""""))"),"")</f>
        <v/>
      </c>
      <c r="F78" s="390" t="str">
        <f>IFERROR(__xludf.DUMMYFUNCTION("if($A78="""","""",iferror(join("" &amp; "",filter(Schedule!$AB:$AB&amp;""-""&amp;Schedule!$AC:$AC,Schedule!$L:$L=$A78,(Schedule!$K:$K=$B78)+(Schedule!$K:$K=""""),Schedule!$AB:$AB&lt;&gt;"""")),""""))"),"")</f>
        <v/>
      </c>
      <c r="G78" s="390" t="str">
        <f>IFERROR(__xludf.DUMMYFUNCTION("if($A78="""","""",iferror(join("" &amp; "",filter(Schedule!$S:$S&amp;""-""&amp;Schedule!$T:$T,Schedule!$L:$L=$A78,(Schedule!$K:$K=$B78)+(Schedule!$K:$K=""""),Schedule!$S:$S&lt;&gt;"""")),""""))"),"AP Calculus AB-1")</f>
        <v>AP Calculus AB-1</v>
      </c>
      <c r="H78" s="395" t="str">
        <f>if($C74="","","X-Block")</f>
        <v>X-Block</v>
      </c>
      <c r="I78" s="53"/>
      <c r="J78" s="392"/>
      <c r="K78" s="389" t="str">
        <f>M74</f>
        <v/>
      </c>
      <c r="L78" s="389" t="str">
        <f>S74</f>
        <v/>
      </c>
      <c r="M78" s="100">
        <v>3.0</v>
      </c>
      <c r="N78" s="390" t="str">
        <f>IFERROR(__xludf.DUMMYFUNCTION("if($K78="""","""",iferror(join("" &amp; "",filter(Schedule!$V:$V&amp;""-""&amp;Schedule!$W:$W,Schedule!$L:$L=$K78,(Schedule!$K:$K=$L78)+(Schedule!$K:$K=""""),Schedule!$V:$V&lt;&gt;"""")),""""))"),"")</f>
        <v/>
      </c>
      <c r="O78" s="390" t="str">
        <f>IFERROR(__xludf.DUMMYFUNCTION("if($K78="""","""",iferror(join("" &amp; "",filter(Schedule!$AK:$AK&amp;""-""&amp;Schedule!$AL:$AL,Schedule!$L:$L=$K78,(Schedule!$K:$K=$L78)+(Schedule!$K:$K=""""),Schedule!$AK:$AK&lt;&gt;"""")),""""))"),"")</f>
        <v/>
      </c>
      <c r="P78" s="390" t="str">
        <f>IFERROR(__xludf.DUMMYFUNCTION("if($K78="""","""",iferror(join("" &amp; "",filter(Schedule!$AB:$AB&amp;""-""&amp;Schedule!$AC:$AC,Schedule!$L:$L=$K78,(Schedule!$K:$K=$L78)+(Schedule!$K:$K=""""),Schedule!$AB:$AB&lt;&gt;"""")),""""))"),"")</f>
        <v/>
      </c>
      <c r="Q78" s="390" t="str">
        <f>IFERROR(__xludf.DUMMYFUNCTION("if($K78="""","""",iferror(join("" &amp; "",filter(Schedule!$S:$S&amp;""-""&amp;Schedule!$T:$T,Schedule!$L:$L=$K78,(Schedule!$K:$K=$L78)+(Schedule!$K:$K=""""),Schedule!$S:$S&lt;&gt;"""")),""""))"),"")</f>
        <v/>
      </c>
      <c r="R78" s="395" t="str">
        <f>if($M74="","","X-Block")</f>
        <v/>
      </c>
      <c r="S78" s="53"/>
      <c r="T78" s="393"/>
    </row>
    <row r="79">
      <c r="A79" s="389" t="str">
        <f>C74</f>
        <v>Bradford Stretton</v>
      </c>
      <c r="B79" s="389" t="str">
        <f>I74</f>
        <v/>
      </c>
      <c r="C79" s="100">
        <v>4.0</v>
      </c>
      <c r="D79" s="390" t="str">
        <f>IFERROR(__xludf.DUMMYFUNCTION("if($A79="""","""",iferror(join("" &amp; "",filter(Schedule!$Y:$Y&amp;""-""&amp;Schedule!$Z:$Z,Schedule!$L:$L=$A79,(Schedule!$K:$K=$B79)+(Schedule!$K:$K=""""),Schedule!$Y:$Y&lt;&gt;"""")),""""))"),"")</f>
        <v/>
      </c>
      <c r="E79" s="390" t="str">
        <f>IFERROR(__xludf.DUMMYFUNCTION("if($A79="""","""",iferror(join("" &amp; "",filter(Schedule!$P:$P&amp;""-""&amp;Schedule!$Q:$Q,Schedule!$L:$L=$A79,(Schedule!$K:$K=$B79)+(Schedule!$K:$K=""""),Schedule!$P:$P&lt;&gt;"""")),""""))"),"Calculus-1")</f>
        <v>Calculus-1</v>
      </c>
      <c r="F79" s="390" t="str">
        <f>IFERROR(__xludf.DUMMYFUNCTION("if($A79="""","""",iferror(join("" &amp; "",filter(Schedule!$AE:$AE&amp;""-""&amp;Schedule!$AF:$AF,Schedule!$L:$L=$A79,(Schedule!$K:$K=$B79)+(Schedule!$K:$K=""""),Schedule!$AE:$AE&lt;&gt;"""")),""""))"),"Calculus-2")</f>
        <v>Calculus-2</v>
      </c>
      <c r="G79" s="390" t="str">
        <f>IFERROR(__xludf.DUMMYFUNCTION("if($A79="""","""",iferror(join("" &amp; "",filter(Schedule!$V:$V&amp;""-""&amp;Schedule!$W:$W,Schedule!$L:$L=$A79,(Schedule!$K:$K=$B79)+(Schedule!$K:$K=""""),Schedule!$V:$V&lt;&gt;"""")),""""))"),"AP Calculus BC-1")</f>
        <v>AP Calculus BC-1</v>
      </c>
      <c r="H79" s="390" t="str">
        <f>IFERROR(__xludf.DUMMYFUNCTION("if($A79="""","""",iferror(join("" &amp; "",filter(Schedule!$AH:$AH&amp;""-""&amp;Schedule!$AI:$AI,Schedule!$L:$L=$A79,(Schedule!$K:$K=$B79)+(Schedule!$K:$K=""""),Schedule!$AH:$AH&lt;&gt;"""")),""""))"),"AP Calculus AB-2")</f>
        <v>AP Calculus AB-2</v>
      </c>
      <c r="I79" s="53"/>
      <c r="J79" s="392"/>
      <c r="K79" s="389" t="str">
        <f>M74</f>
        <v/>
      </c>
      <c r="L79" s="389" t="str">
        <f>S74</f>
        <v/>
      </c>
      <c r="M79" s="100">
        <v>4.0</v>
      </c>
      <c r="N79" s="390" t="str">
        <f>IFERROR(__xludf.DUMMYFUNCTION("if($K79="""","""",iferror(join("" &amp; "",filter(Schedule!$Y:$Y&amp;""-""&amp;Schedule!$Z:$Z,Schedule!$L:$L=$K79,(Schedule!$K:$K=$L79)+(Schedule!$K:$K=""""),Schedule!$Y:$Y&lt;&gt;"""")),""""))"),"")</f>
        <v/>
      </c>
      <c r="O79" s="390" t="str">
        <f>IFERROR(__xludf.DUMMYFUNCTION("if($K79="""","""",iferror(join("" &amp; "",filter(Schedule!$P:$P&amp;""-""&amp;Schedule!$Q:$Q,Schedule!$L:$L=$K79,(Schedule!$K:$K=$L79)+(Schedule!$K:$K=""""),Schedule!$P:$P&lt;&gt;"""")),""""))"),"")</f>
        <v/>
      </c>
      <c r="P79" s="390" t="str">
        <f>IFERROR(__xludf.DUMMYFUNCTION("if($K79="""","""",iferror(join("" &amp; "",filter(Schedule!$AE:$AE&amp;""-""&amp;Schedule!$AF:$AF,Schedule!$L:$L=$K79,(Schedule!$K:$K=$L79)+(Schedule!$K:$K=""""),Schedule!$AE:$AE&lt;&gt;"""")),""""))"),"")</f>
        <v/>
      </c>
      <c r="Q79" s="390" t="str">
        <f>IFERROR(__xludf.DUMMYFUNCTION("if($K79="""","""",iferror(join("" &amp; "",filter(Schedule!$V:$V&amp;""-""&amp;Schedule!$W:$W,Schedule!$L:$L=$K79,(Schedule!$K:$K=$L79)+(Schedule!$K:$K=""""),Schedule!$V:$V&lt;&gt;"""")),""""))"),"")</f>
        <v/>
      </c>
      <c r="R79" s="390" t="str">
        <f>IFERROR(__xludf.DUMMYFUNCTION("if($K79="""","""",iferror(join("" &amp; "",filter(Schedule!$AH:$AH&amp;""-""&amp;Schedule!$AI:$AI,Schedule!$L:$L=$K79,(Schedule!$K:$K=$L79)+(Schedule!$K:$K=""""),Schedule!$AH:$AH&lt;&gt;"""")),""""))"),"")</f>
        <v/>
      </c>
      <c r="S79" s="53"/>
      <c r="T79" s="393"/>
    </row>
    <row r="80">
      <c r="A80" s="389" t="str">
        <f>C74</f>
        <v>Bradford Stretton</v>
      </c>
      <c r="B80" s="389" t="str">
        <f>I74</f>
        <v/>
      </c>
      <c r="C80" s="100">
        <v>5.0</v>
      </c>
      <c r="D80" s="390" t="str">
        <f>IFERROR(__xludf.DUMMYFUNCTION("if($A80="""","""",iferror(join("" &amp; "",filter(Schedule!$AB:$AB&amp;""-""&amp;Schedule!$AC:$AC,Schedule!$L:$L=$A80,(Schedule!$K:$K=$B80)+(Schedule!$K:$K=""""),Schedule!$AB:$AB&lt;&gt;"""")),""""))"),"")</f>
        <v/>
      </c>
      <c r="E80" s="390" t="str">
        <f>IFERROR(__xludf.DUMMYFUNCTION("if($A80="""","""",iferror(join("" &amp; "",filter(Schedule!$S:$S&amp;""-""&amp;Schedule!$T:$T,Schedule!$L:$L=$A80,(Schedule!$K:$K=$B80)+(Schedule!$K:$K=""""),Schedule!$S:$S&lt;&gt;"""")),""""))"),"AP Calculus AB-1")</f>
        <v>AP Calculus AB-1</v>
      </c>
      <c r="F80" s="390" t="str">
        <f>IFERROR(__xludf.DUMMYFUNCTION("if($A80="""","""",iferror(join("" &amp; "",filter(Schedule!$AH:$AH&amp;""-""&amp;Schedule!$AI:$AI,Schedule!$L:$L=$A80,(Schedule!$K:$K=$B80)+(Schedule!$K:$K=""""),Schedule!$AH:$AH&lt;&gt;"""")),""""))"),"AP Calculus AB-2")</f>
        <v>AP Calculus AB-2</v>
      </c>
      <c r="G80" s="390" t="str">
        <f>IFERROR(__xludf.DUMMYFUNCTION("if($A80="""","""",iferror(join("" &amp; "",filter(Schedule!$Y:$Y&amp;""-""&amp;Schedule!$Z:$Z,Schedule!$L:$L=$A80,(Schedule!$K:$K=$B80)+(Schedule!$K:$K=""""),Schedule!$Y:$Y&lt;&gt;"""")),""""))"),"")</f>
        <v/>
      </c>
      <c r="H80" s="390" t="str">
        <f>IFERROR(__xludf.DUMMYFUNCTION("if($A80="""","""",iferror(join("" &amp; "",filter(Schedule!$AK:$AK&amp;""-""&amp;Schedule!$AL:$AL,Schedule!$L:$L=$A80,(Schedule!$K:$K=$B80)+(Schedule!$K:$K=""""),Schedule!$AK:$AK&lt;&gt;"""")),""""))"),"")</f>
        <v/>
      </c>
      <c r="I80" s="68"/>
      <c r="J80" s="392"/>
      <c r="K80" s="389" t="str">
        <f>M74</f>
        <v/>
      </c>
      <c r="L80" s="389" t="str">
        <f>S74</f>
        <v/>
      </c>
      <c r="M80" s="100">
        <v>5.0</v>
      </c>
      <c r="N80" s="390" t="str">
        <f>IFERROR(__xludf.DUMMYFUNCTION("if($K80="""","""",iferror(join("" &amp; "",filter(Schedule!$AB:$AB&amp;""-""&amp;Schedule!$AC:$AC,Schedule!$L:$L=$K80,(Schedule!$K:$K=$L80)+(Schedule!$K:$K=""""),Schedule!$AB:$AB&lt;&gt;"""")),""""))"),"")</f>
        <v/>
      </c>
      <c r="O80" s="390" t="str">
        <f>IFERROR(__xludf.DUMMYFUNCTION("if($K80="""","""",iferror(join("" &amp; "",filter(Schedule!$S:$S&amp;""-""&amp;Schedule!$T:$T,Schedule!$L:$L=$K80,(Schedule!$K:$K=$L80)+(Schedule!$K:$K=""""),Schedule!$S:$S&lt;&gt;"""")),""""))"),"")</f>
        <v/>
      </c>
      <c r="P80" s="390" t="str">
        <f>IFERROR(__xludf.DUMMYFUNCTION("if($K80="""","""",iferror(join("" &amp; "",filter(Schedule!$AH:$AH&amp;""-""&amp;Schedule!$AI:$AI,Schedule!$L:$L=$K80,(Schedule!$K:$K=$L80)+(Schedule!$K:$K=""""),Schedule!$AH:$AH&lt;&gt;"""")),""""))"),"")</f>
        <v/>
      </c>
      <c r="Q80" s="390" t="str">
        <f>IFERROR(__xludf.DUMMYFUNCTION("if($K80="""","""",iferror(join("" &amp; "",filter(Schedule!$Y:$Y&amp;""-""&amp;Schedule!$Z:$Z,Schedule!$L:$L=$K80,(Schedule!$K:$K=$L80)+(Schedule!$K:$K=""""),Schedule!$Y:$Y&lt;&gt;"""")),""""))"),"")</f>
        <v/>
      </c>
      <c r="R80" s="390" t="str">
        <f>IFERROR(__xludf.DUMMYFUNCTION("if($K80="""","""",iferror(join("" &amp; "",filter(Schedule!$AK:$AK&amp;""-""&amp;Schedule!$AL:$AL,Schedule!$L:$L=$K80,(Schedule!$K:$K=$L80)+(Schedule!$K:$K=""""),Schedule!$AK:$AK&lt;&gt;"""")),""""))"),"")</f>
        <v/>
      </c>
      <c r="S80" s="68"/>
      <c r="T80" s="393"/>
    </row>
    <row r="81">
      <c r="C81" s="3"/>
      <c r="D81" s="396"/>
      <c r="E81" s="396"/>
      <c r="F81" s="396"/>
      <c r="G81" s="396"/>
      <c r="H81" s="396"/>
      <c r="N81" s="397"/>
      <c r="O81" s="397"/>
      <c r="P81" s="397"/>
      <c r="Q81" s="397"/>
      <c r="R81" s="397"/>
    </row>
    <row r="82">
      <c r="A82" s="45"/>
      <c r="B82" s="45"/>
      <c r="C82" s="386" t="str">
        <f>Teachers!A11</f>
        <v>Brian Summers</v>
      </c>
      <c r="D82" s="383"/>
      <c r="E82" s="383"/>
      <c r="F82" s="383"/>
      <c r="G82" s="383"/>
      <c r="H82" s="384"/>
      <c r="I82" s="385" t="str">
        <f>IFERROR(__xludf.DUMMYFUNCTION("if(C82="""","""", iferror(filter(Schedule!$K:$K,Schedule!$L:$L=$C82,Schedule!$K:$K=""S1""),unique(filter(Schedule!$K:$K,Schedule!$L:$L=$C82,Schedule!$K:$K=""""))))"),"")</f>
        <v/>
      </c>
      <c r="M82" s="386" t="str">
        <f>if(S82="","",C82)</f>
        <v/>
      </c>
      <c r="N82" s="383"/>
      <c r="O82" s="383"/>
      <c r="P82" s="383"/>
      <c r="Q82" s="383"/>
      <c r="R82" s="384"/>
      <c r="S82" s="385" t="str">
        <f>if(I82="S1","S2","")</f>
        <v/>
      </c>
      <c r="T82" s="112"/>
    </row>
    <row r="83">
      <c r="A83" s="116"/>
      <c r="B83" s="116"/>
      <c r="C83" s="100" t="s">
        <v>7</v>
      </c>
      <c r="D83" s="387" t="s">
        <v>8</v>
      </c>
      <c r="E83" s="387" t="s">
        <v>9</v>
      </c>
      <c r="F83" s="387" t="s">
        <v>10</v>
      </c>
      <c r="G83" s="387" t="s">
        <v>11</v>
      </c>
      <c r="H83" s="387" t="s">
        <v>12</v>
      </c>
      <c r="I83" s="21" t="s">
        <v>766</v>
      </c>
      <c r="J83" s="116"/>
      <c r="K83" s="116"/>
      <c r="L83" s="116"/>
      <c r="M83" s="100" t="s">
        <v>7</v>
      </c>
      <c r="N83" s="387" t="s">
        <v>8</v>
      </c>
      <c r="O83" s="387" t="s">
        <v>9</v>
      </c>
      <c r="P83" s="387" t="s">
        <v>10</v>
      </c>
      <c r="Q83" s="387" t="s">
        <v>11</v>
      </c>
      <c r="R83" s="387" t="s">
        <v>12</v>
      </c>
      <c r="S83" s="21" t="s">
        <v>766</v>
      </c>
      <c r="T83" s="388"/>
    </row>
    <row r="84">
      <c r="A84" s="389" t="str">
        <f>C82</f>
        <v>Brian Summers</v>
      </c>
      <c r="B84" s="389" t="str">
        <f>I82</f>
        <v/>
      </c>
      <c r="C84" s="100">
        <v>1.0</v>
      </c>
      <c r="D84" s="390" t="str">
        <f>IFERROR(__xludf.DUMMYFUNCTION("if($A84="""","""",iferror(join("" &amp; "",filter(Schedule!$P:$P&amp;""-""&amp;Schedule!$Q:$Q,Schedule!$L:$L=$A84,(Schedule!$K:$K=$B84)+(Schedule!$K:$K=""""),Schedule!$P:$P&lt;&gt;"""")),""""))"),"")</f>
        <v/>
      </c>
      <c r="E84" s="390" t="str">
        <f>IFERROR(__xludf.DUMMYFUNCTION("if($A84="""","""",iferror(join("" &amp; "",filter(Schedule!$AE:$AE&amp;""-""&amp;Schedule!$AF:$AF,Schedule!$L:$L=$A84,(Schedule!$K:$K=$B84)+(Schedule!$K:$K=""""),Schedule!$AE:$AE&lt;&gt;"""")),""""))"),"AP Human Geography-4")</f>
        <v>AP Human Geography-4</v>
      </c>
      <c r="F84" s="390" t="str">
        <f>IFERROR(__xludf.DUMMYFUNCTION("if($A84="""","""",iferror(join("" &amp; "",filter(Schedule!$V:$V&amp;""-""&amp;Schedule!$W:$W,Schedule!$L:$L=$A84,(Schedule!$K:$K=$B84)+(Schedule!$K:$K=""""),Schedule!$V:$V&lt;&gt;"""")),""""))"),"AP Human Geography-2")</f>
        <v>AP Human Geography-2</v>
      </c>
      <c r="G84" s="390" t="str">
        <f>IFERROR(__xludf.DUMMYFUNCTION("if($A84="""","""",iferror(join("" &amp; "",filter(Schedule!$AK:$AK&amp;""-""&amp;Schedule!$AL:$AL,Schedule!$L:$L=$A84,(Schedule!$K:$K=$B84)+(Schedule!$K:$K=""""),Schedule!$AK:$AK&lt;&gt;"""")),""""))"),"")</f>
        <v/>
      </c>
      <c r="H84" s="390" t="str">
        <f>IFERROR(__xludf.DUMMYFUNCTION("if($A84="""","""",iferror(join("" &amp; "",filter(Schedule!$AB:$AB&amp;""-""&amp;Schedule!$AC:$AC,Schedule!$L:$L=$A84,(Schedule!$K:$K=$B84)+(Schedule!$K:$K=""""),Schedule!$AB:$AB&lt;&gt;"""")),""""))"),"Social Studies 9-5")</f>
        <v>Social Studies 9-5</v>
      </c>
      <c r="I84" s="391">
        <f>if(C82="","", 24-countifs(D84:H88,""))</f>
        <v>15</v>
      </c>
      <c r="J84" s="392"/>
      <c r="K84" s="389" t="str">
        <f>M82</f>
        <v/>
      </c>
      <c r="L84" s="389" t="str">
        <f>S82</f>
        <v/>
      </c>
      <c r="M84" s="100">
        <v>1.0</v>
      </c>
      <c r="N84" s="390" t="str">
        <f>IFERROR(__xludf.DUMMYFUNCTION("if($K84="""","""",iferror(join("" &amp; "",filter(Schedule!$P:$P&amp;""-""&amp;Schedule!$Q:$Q,Schedule!$L:$L=$K84,(Schedule!$K:$K=$L84)+(Schedule!$K:$K=""""),Schedule!$P:$P&lt;&gt;"""")),""""))"),"")</f>
        <v/>
      </c>
      <c r="O84" s="390" t="str">
        <f>IFERROR(__xludf.DUMMYFUNCTION("if($K84="""","""",iferror(join("" &amp; "",filter(Schedule!$AE:$AE&amp;""-""&amp;Schedule!$AF:$AF,Schedule!$L:$L=$K84,(Schedule!$K:$K=$L84)+(Schedule!$K:$K=""""),Schedule!$AE:$AE&lt;&gt;"""")),""""))"),"")</f>
        <v/>
      </c>
      <c r="P84" s="390" t="str">
        <f>IFERROR(__xludf.DUMMYFUNCTION("if($K84="""","""",iferror(join("" &amp; "",filter(Schedule!$V:$V&amp;""-""&amp;Schedule!$W:$W,Schedule!$L:$L=$K84,(Schedule!$K:$K=$L84)+(Schedule!$K:$K=""""),Schedule!$V:$V&lt;&gt;"""")),""""))"),"")</f>
        <v/>
      </c>
      <c r="Q84" s="390" t="str">
        <f>IFERROR(__xludf.DUMMYFUNCTION("if($K84="""","""",iferror(join("" &amp; "",filter(Schedule!$AK:$AK&amp;""-""&amp;Schedule!$AL:$AL,Schedule!$L:$L=$K84,(Schedule!$K:$K=$L84)+(Schedule!$K:$K=""""),Schedule!$AK:$AK&lt;&gt;"""")),""""))"),"")</f>
        <v/>
      </c>
      <c r="R84" s="390" t="str">
        <f>IFERROR(__xludf.DUMMYFUNCTION("if($K84="""","""",iferror(join("" &amp; "",filter(Schedule!$AB:$AB&amp;""-""&amp;Schedule!$AC:$AC,Schedule!$L:$L=$K84,(Schedule!$K:$K=$L84)+(Schedule!$K:$K=""""),Schedule!$AB:$AB&lt;&gt;"""")),""""))"),"")</f>
        <v/>
      </c>
      <c r="S84" s="391" t="str">
        <f>if(K84="","", 24-countifs(N84:R88,""))</f>
        <v/>
      </c>
      <c r="T84" s="393"/>
    </row>
    <row r="85">
      <c r="A85" s="389" t="str">
        <f>C82</f>
        <v>Brian Summers</v>
      </c>
      <c r="B85" s="389" t="str">
        <f>I82</f>
        <v/>
      </c>
      <c r="C85" s="100">
        <v>2.0</v>
      </c>
      <c r="D85" s="390" t="str">
        <f>IFERROR(__xludf.DUMMYFUNCTION("if($A85="""","""",iferror(join("" &amp; "",filter(Schedule!$S:$S&amp;""-""&amp;Schedule!$T:$T,Schedule!$L:$L=$A85,(Schedule!$K:$K=$B85)+(Schedule!$K:$K=""""),Schedule!$S:$S&lt;&gt;"""")),""""))"),"AP Human Geography-1")</f>
        <v>AP Human Geography-1</v>
      </c>
      <c r="E85" s="390" t="str">
        <f>IFERROR(__xludf.DUMMYFUNCTION("if($A85="""","""",iferror(join("" &amp; "",filter(Schedule!$AH:$AH&amp;""-""&amp;Schedule!$AI:$AI,Schedule!$L:$L=$A85,(Schedule!$K:$K=$B85)+(Schedule!$K:$K=""""),Schedule!$AH:$AH&lt;&gt;"""")),""""))"),"")</f>
        <v/>
      </c>
      <c r="F85" s="390" t="str">
        <f>IFERROR(__xludf.DUMMYFUNCTION("if($A85="""","""",iferror(join("" &amp; "",filter(Schedule!$Y:$Y&amp;""-""&amp;Schedule!$Z:$Z,Schedule!$L:$L=$A85,(Schedule!$K:$K=$B85)+(Schedule!$K:$K=""""),Schedule!$Y:$Y&lt;&gt;"""")),""""))"),"AP Human Geography-3")</f>
        <v>AP Human Geography-3</v>
      </c>
      <c r="G85" s="390" t="str">
        <f>IFERROR(__xludf.DUMMYFUNCTION("if($A85="""","""",iferror(join("" &amp; "",filter(Schedule!$P:$P&amp;""-""&amp;Schedule!$Q:$Q,Schedule!$L:$L=$A85,(Schedule!$K:$K=$B85)+(Schedule!$K:$K=""""),Schedule!$P:$P&lt;&gt;"""")),""""))"),"")</f>
        <v/>
      </c>
      <c r="H85" s="390" t="str">
        <f>IFERROR(__xludf.DUMMYFUNCTION("if($A85="""","""",iferror(join("" &amp; "",filter(Schedule!$AE:$AE&amp;""-""&amp;Schedule!$AF:$AF,Schedule!$L:$L=$A85,(Schedule!$K:$K=$B85)+(Schedule!$K:$K=""""),Schedule!$AE:$AE&lt;&gt;"""")),""""))"),"AP Human Geography-4")</f>
        <v>AP Human Geography-4</v>
      </c>
      <c r="I85" s="53"/>
      <c r="J85" s="392"/>
      <c r="K85" s="389" t="str">
        <f>M82</f>
        <v/>
      </c>
      <c r="L85" s="389" t="str">
        <f>S82</f>
        <v/>
      </c>
      <c r="M85" s="100">
        <v>2.0</v>
      </c>
      <c r="N85" s="390" t="str">
        <f>IFERROR(__xludf.DUMMYFUNCTION("if($K85="""","""",iferror(join("" &amp; "",filter(Schedule!$S:$S&amp;""-""&amp;Schedule!$T:$T,Schedule!$L:$L=$K85,(Schedule!$K:$K=$L85)+(Schedule!$K:$K=""""),Schedule!$S:$S&lt;&gt;"""")),""""))"),"")</f>
        <v/>
      </c>
      <c r="O85" s="390" t="str">
        <f>IFERROR(__xludf.DUMMYFUNCTION("if($K85="""","""",iferror(join("" &amp; "",filter(Schedule!$AH:$AH&amp;""-""&amp;Schedule!$AI:$AI,Schedule!$L:$L=$K85,(Schedule!$K:$K=$L85)+(Schedule!$K:$K=""""),Schedule!$AH:$AH&lt;&gt;"""")),""""))"),"")</f>
        <v/>
      </c>
      <c r="P85" s="390" t="str">
        <f>IFERROR(__xludf.DUMMYFUNCTION("if($K85="""","""",iferror(join("" &amp; "",filter(Schedule!$Y:$Y&amp;""-""&amp;Schedule!$Z:$Z,Schedule!$L:$L=$K85,(Schedule!$K:$K=$L85)+(Schedule!$K:$K=""""),Schedule!$Y:$Y&lt;&gt;"""")),""""))"),"")</f>
        <v/>
      </c>
      <c r="Q85" s="390" t="str">
        <f>IFERROR(__xludf.DUMMYFUNCTION("if($K85="""","""",iferror(join("" &amp; "",filter(Schedule!$P:$P&amp;""-""&amp;Schedule!$Q:$Q,Schedule!$L:$L=$K85,(Schedule!$K:$K=$L85)+(Schedule!$K:$K=""""),Schedule!$P:$P&lt;&gt;"""")),""""))"),"")</f>
        <v/>
      </c>
      <c r="R85" s="390" t="str">
        <f>IFERROR(__xludf.DUMMYFUNCTION("if($K85="""","""",iferror(join("" &amp; "",filter(Schedule!$AE:$AE&amp;""-""&amp;Schedule!$AF:$AF,Schedule!$L:$L=$K85,(Schedule!$K:$K=$L85)+(Schedule!$K:$K=""""),Schedule!$AE:$AE&lt;&gt;"""")),""""))"),"")</f>
        <v/>
      </c>
      <c r="S85" s="53"/>
      <c r="T85" s="393"/>
    </row>
    <row r="86">
      <c r="A86" s="389" t="str">
        <f>C82</f>
        <v>Brian Summers</v>
      </c>
      <c r="B86" s="389" t="str">
        <f>I82</f>
        <v/>
      </c>
      <c r="C86" s="100">
        <v>3.0</v>
      </c>
      <c r="D86" s="390" t="str">
        <f>IFERROR(__xludf.DUMMYFUNCTION("if($A86="""","""",iferror(join("" &amp; "",filter(Schedule!$V:$V&amp;""-""&amp;Schedule!$W:$W,Schedule!$L:$L=$A86,(Schedule!$K:$K=$B86)+(Schedule!$K:$K=""""),Schedule!$V:$V&lt;&gt;"""")),""""))"),"AP Human Geography-2")</f>
        <v>AP Human Geography-2</v>
      </c>
      <c r="E86" s="390" t="str">
        <f>IFERROR(__xludf.DUMMYFUNCTION("if($A86="""","""",iferror(join("" &amp; "",filter(Schedule!$AK:$AK&amp;""-""&amp;Schedule!$AL:$AL,Schedule!$L:$L=$A86,(Schedule!$K:$K=$B86)+(Schedule!$K:$K=""""),Schedule!$AK:$AK&lt;&gt;"""")),""""))"),"")</f>
        <v/>
      </c>
      <c r="F86" s="390" t="str">
        <f>IFERROR(__xludf.DUMMYFUNCTION("if($A86="""","""",iferror(join("" &amp; "",filter(Schedule!$AB:$AB&amp;""-""&amp;Schedule!$AC:$AC,Schedule!$L:$L=$A86,(Schedule!$K:$K=$B86)+(Schedule!$K:$K=""""),Schedule!$AB:$AB&lt;&gt;"""")),""""))"),"Social Studies 9-5")</f>
        <v>Social Studies 9-5</v>
      </c>
      <c r="G86" s="390" t="str">
        <f>IFERROR(__xludf.DUMMYFUNCTION("if($A86="""","""",iferror(join("" &amp; "",filter(Schedule!$S:$S&amp;""-""&amp;Schedule!$T:$T,Schedule!$L:$L=$A86,(Schedule!$K:$K=$B86)+(Schedule!$K:$K=""""),Schedule!$S:$S&lt;&gt;"""")),""""))"),"AP Human Geography-1")</f>
        <v>AP Human Geography-1</v>
      </c>
      <c r="H86" s="395" t="str">
        <f>if($C82="","","X-Block")</f>
        <v>X-Block</v>
      </c>
      <c r="I86" s="53"/>
      <c r="J86" s="392"/>
      <c r="K86" s="389" t="str">
        <f>M82</f>
        <v/>
      </c>
      <c r="L86" s="389" t="str">
        <f>S82</f>
        <v/>
      </c>
      <c r="M86" s="100">
        <v>3.0</v>
      </c>
      <c r="N86" s="390" t="str">
        <f>IFERROR(__xludf.DUMMYFUNCTION("if($K86="""","""",iferror(join("" &amp; "",filter(Schedule!$V:$V&amp;""-""&amp;Schedule!$W:$W,Schedule!$L:$L=$K86,(Schedule!$K:$K=$L86)+(Schedule!$K:$K=""""),Schedule!$V:$V&lt;&gt;"""")),""""))"),"")</f>
        <v/>
      </c>
      <c r="O86" s="390" t="str">
        <f>IFERROR(__xludf.DUMMYFUNCTION("if($K86="""","""",iferror(join("" &amp; "",filter(Schedule!$AK:$AK&amp;""-""&amp;Schedule!$AL:$AL,Schedule!$L:$L=$K86,(Schedule!$K:$K=$L86)+(Schedule!$K:$K=""""),Schedule!$AK:$AK&lt;&gt;"""")),""""))"),"")</f>
        <v/>
      </c>
      <c r="P86" s="390" t="str">
        <f>IFERROR(__xludf.DUMMYFUNCTION("if($K86="""","""",iferror(join("" &amp; "",filter(Schedule!$AB:$AB&amp;""-""&amp;Schedule!$AC:$AC,Schedule!$L:$L=$K86,(Schedule!$K:$K=$L86)+(Schedule!$K:$K=""""),Schedule!$AB:$AB&lt;&gt;"""")),""""))"),"")</f>
        <v/>
      </c>
      <c r="Q86" s="390" t="str">
        <f>IFERROR(__xludf.DUMMYFUNCTION("if($K86="""","""",iferror(join("" &amp; "",filter(Schedule!$S:$S&amp;""-""&amp;Schedule!$T:$T,Schedule!$L:$L=$K86,(Schedule!$K:$K=$L86)+(Schedule!$K:$K=""""),Schedule!$S:$S&lt;&gt;"""")),""""))"),"")</f>
        <v/>
      </c>
      <c r="R86" s="395" t="str">
        <f>if($M82="","","X-Block")</f>
        <v/>
      </c>
      <c r="S86" s="53"/>
      <c r="T86" s="393"/>
    </row>
    <row r="87">
      <c r="A87" s="389" t="str">
        <f>C82</f>
        <v>Brian Summers</v>
      </c>
      <c r="B87" s="389" t="str">
        <f>I82</f>
        <v/>
      </c>
      <c r="C87" s="100">
        <v>4.0</v>
      </c>
      <c r="D87" s="390" t="str">
        <f>IFERROR(__xludf.DUMMYFUNCTION("if($A87="""","""",iferror(join("" &amp; "",filter(Schedule!$Y:$Y&amp;""-""&amp;Schedule!$Z:$Z,Schedule!$L:$L=$A87,(Schedule!$K:$K=$B87)+(Schedule!$K:$K=""""),Schedule!$Y:$Y&lt;&gt;"""")),""""))"),"AP Human Geography-3")</f>
        <v>AP Human Geography-3</v>
      </c>
      <c r="E87" s="390" t="str">
        <f>IFERROR(__xludf.DUMMYFUNCTION("if($A87="""","""",iferror(join("" &amp; "",filter(Schedule!$P:$P&amp;""-""&amp;Schedule!$Q:$Q,Schedule!$L:$L=$A87,(Schedule!$K:$K=$B87)+(Schedule!$K:$K=""""),Schedule!$P:$P&lt;&gt;"""")),""""))"),"")</f>
        <v/>
      </c>
      <c r="F87" s="390" t="str">
        <f>IFERROR(__xludf.DUMMYFUNCTION("if($A87="""","""",iferror(join("" &amp; "",filter(Schedule!$AE:$AE&amp;""-""&amp;Schedule!$AF:$AF,Schedule!$L:$L=$A87,(Schedule!$K:$K=$B87)+(Schedule!$K:$K=""""),Schedule!$AE:$AE&lt;&gt;"""")),""""))"),"AP Human Geography-4")</f>
        <v>AP Human Geography-4</v>
      </c>
      <c r="G87" s="390" t="str">
        <f>IFERROR(__xludf.DUMMYFUNCTION("if($A87="""","""",iferror(join("" &amp; "",filter(Schedule!$V:$V&amp;""-""&amp;Schedule!$W:$W,Schedule!$L:$L=$A87,(Schedule!$K:$K=$B87)+(Schedule!$K:$K=""""),Schedule!$V:$V&lt;&gt;"""")),""""))"),"AP Human Geography-2")</f>
        <v>AP Human Geography-2</v>
      </c>
      <c r="H87" s="390" t="str">
        <f>IFERROR(__xludf.DUMMYFUNCTION("if($A87="""","""",iferror(join("" &amp; "",filter(Schedule!$AH:$AH&amp;""-""&amp;Schedule!$AI:$AI,Schedule!$L:$L=$A87,(Schedule!$K:$K=$B87)+(Schedule!$K:$K=""""),Schedule!$AH:$AH&lt;&gt;"""")),""""))"),"")</f>
        <v/>
      </c>
      <c r="I87" s="53"/>
      <c r="J87" s="392"/>
      <c r="K87" s="389" t="str">
        <f>M82</f>
        <v/>
      </c>
      <c r="L87" s="389" t="str">
        <f>S82</f>
        <v/>
      </c>
      <c r="M87" s="100">
        <v>4.0</v>
      </c>
      <c r="N87" s="390" t="str">
        <f>IFERROR(__xludf.DUMMYFUNCTION("if($K87="""","""",iferror(join("" &amp; "",filter(Schedule!$Y:$Y&amp;""-""&amp;Schedule!$Z:$Z,Schedule!$L:$L=$K87,(Schedule!$K:$K=$L87)+(Schedule!$K:$K=""""),Schedule!$Y:$Y&lt;&gt;"""")),""""))"),"")</f>
        <v/>
      </c>
      <c r="O87" s="390" t="str">
        <f>IFERROR(__xludf.DUMMYFUNCTION("if($K87="""","""",iferror(join("" &amp; "",filter(Schedule!$P:$P&amp;""-""&amp;Schedule!$Q:$Q,Schedule!$L:$L=$K87,(Schedule!$K:$K=$L87)+(Schedule!$K:$K=""""),Schedule!$P:$P&lt;&gt;"""")),""""))"),"")</f>
        <v/>
      </c>
      <c r="P87" s="390" t="str">
        <f>IFERROR(__xludf.DUMMYFUNCTION("if($K87="""","""",iferror(join("" &amp; "",filter(Schedule!$AE:$AE&amp;""-""&amp;Schedule!$AF:$AF,Schedule!$L:$L=$K87,(Schedule!$K:$K=$L87)+(Schedule!$K:$K=""""),Schedule!$AE:$AE&lt;&gt;"""")),""""))"),"")</f>
        <v/>
      </c>
      <c r="Q87" s="390" t="str">
        <f>IFERROR(__xludf.DUMMYFUNCTION("if($K87="""","""",iferror(join("" &amp; "",filter(Schedule!$V:$V&amp;""-""&amp;Schedule!$W:$W,Schedule!$L:$L=$K87,(Schedule!$K:$K=$L87)+(Schedule!$K:$K=""""),Schedule!$V:$V&lt;&gt;"""")),""""))"),"")</f>
        <v/>
      </c>
      <c r="R87" s="390" t="str">
        <f>IFERROR(__xludf.DUMMYFUNCTION("if($K87="""","""",iferror(join("" &amp; "",filter(Schedule!$AH:$AH&amp;""-""&amp;Schedule!$AI:$AI,Schedule!$L:$L=$K87,(Schedule!$K:$K=$L87)+(Schedule!$K:$K=""""),Schedule!$AH:$AH&lt;&gt;"""")),""""))"),"")</f>
        <v/>
      </c>
      <c r="S87" s="53"/>
      <c r="T87" s="393"/>
    </row>
    <row r="88">
      <c r="A88" s="389" t="str">
        <f>C82</f>
        <v>Brian Summers</v>
      </c>
      <c r="B88" s="389" t="str">
        <f>I82</f>
        <v/>
      </c>
      <c r="C88" s="100">
        <v>5.0</v>
      </c>
      <c r="D88" s="390" t="str">
        <f>IFERROR(__xludf.DUMMYFUNCTION("if($A88="""","""",iferror(join("" &amp; "",filter(Schedule!$AB:$AB&amp;""-""&amp;Schedule!$AC:$AC,Schedule!$L:$L=$A88,(Schedule!$K:$K=$B88)+(Schedule!$K:$K=""""),Schedule!$AB:$AB&lt;&gt;"""")),""""))"),"Social Studies 9-5")</f>
        <v>Social Studies 9-5</v>
      </c>
      <c r="E88" s="390" t="str">
        <f>IFERROR(__xludf.DUMMYFUNCTION("if($A88="""","""",iferror(join("" &amp; "",filter(Schedule!$S:$S&amp;""-""&amp;Schedule!$T:$T,Schedule!$L:$L=$A88,(Schedule!$K:$K=$B88)+(Schedule!$K:$K=""""),Schedule!$S:$S&lt;&gt;"""")),""""))"),"AP Human Geography-1")</f>
        <v>AP Human Geography-1</v>
      </c>
      <c r="F88" s="390" t="str">
        <f>IFERROR(__xludf.DUMMYFUNCTION("if($A88="""","""",iferror(join("" &amp; "",filter(Schedule!$AH:$AH&amp;""-""&amp;Schedule!$AI:$AI,Schedule!$L:$L=$A88,(Schedule!$K:$K=$B88)+(Schedule!$K:$K=""""),Schedule!$AH:$AH&lt;&gt;"""")),""""))"),"")</f>
        <v/>
      </c>
      <c r="G88" s="390" t="str">
        <f>IFERROR(__xludf.DUMMYFUNCTION("if($A88="""","""",iferror(join("" &amp; "",filter(Schedule!$Y:$Y&amp;""-""&amp;Schedule!$Z:$Z,Schedule!$L:$L=$A88,(Schedule!$K:$K=$B88)+(Schedule!$K:$K=""""),Schedule!$Y:$Y&lt;&gt;"""")),""""))"),"AP Human Geography-3")</f>
        <v>AP Human Geography-3</v>
      </c>
      <c r="H88" s="390" t="str">
        <f>IFERROR(__xludf.DUMMYFUNCTION("if($A88="""","""",iferror(join("" &amp; "",filter(Schedule!$AK:$AK&amp;""-""&amp;Schedule!$AL:$AL,Schedule!$L:$L=$A88,(Schedule!$K:$K=$B88)+(Schedule!$K:$K=""""),Schedule!$AK:$AK&lt;&gt;"""")),""""))"),"")</f>
        <v/>
      </c>
      <c r="I88" s="68"/>
      <c r="J88" s="392"/>
      <c r="K88" s="389" t="str">
        <f>M82</f>
        <v/>
      </c>
      <c r="L88" s="389" t="str">
        <f>S82</f>
        <v/>
      </c>
      <c r="M88" s="100">
        <v>5.0</v>
      </c>
      <c r="N88" s="390" t="str">
        <f>IFERROR(__xludf.DUMMYFUNCTION("if($K88="""","""",iferror(join("" &amp; "",filter(Schedule!$AB:$AB&amp;""-""&amp;Schedule!$AC:$AC,Schedule!$L:$L=$K88,(Schedule!$K:$K=$L88)+(Schedule!$K:$K=""""),Schedule!$AB:$AB&lt;&gt;"""")),""""))"),"")</f>
        <v/>
      </c>
      <c r="O88" s="390" t="str">
        <f>IFERROR(__xludf.DUMMYFUNCTION("if($K88="""","""",iferror(join("" &amp; "",filter(Schedule!$S:$S&amp;""-""&amp;Schedule!$T:$T,Schedule!$L:$L=$K88,(Schedule!$K:$K=$L88)+(Schedule!$K:$K=""""),Schedule!$S:$S&lt;&gt;"""")),""""))"),"")</f>
        <v/>
      </c>
      <c r="P88" s="390" t="str">
        <f>IFERROR(__xludf.DUMMYFUNCTION("if($K88="""","""",iferror(join("" &amp; "",filter(Schedule!$AH:$AH&amp;""-""&amp;Schedule!$AI:$AI,Schedule!$L:$L=$K88,(Schedule!$K:$K=$L88)+(Schedule!$K:$K=""""),Schedule!$AH:$AH&lt;&gt;"""")),""""))"),"")</f>
        <v/>
      </c>
      <c r="Q88" s="390" t="str">
        <f>IFERROR(__xludf.DUMMYFUNCTION("if($K88="""","""",iferror(join("" &amp; "",filter(Schedule!$Y:$Y&amp;""-""&amp;Schedule!$Z:$Z,Schedule!$L:$L=$K88,(Schedule!$K:$K=$L88)+(Schedule!$K:$K=""""),Schedule!$Y:$Y&lt;&gt;"""")),""""))"),"")</f>
        <v/>
      </c>
      <c r="R88" s="390" t="str">
        <f>IFERROR(__xludf.DUMMYFUNCTION("if($K88="""","""",iferror(join("" &amp; "",filter(Schedule!$AK:$AK&amp;""-""&amp;Schedule!$AL:$AL,Schedule!$L:$L=$K88,(Schedule!$K:$K=$L88)+(Schedule!$K:$K=""""),Schedule!$AK:$AK&lt;&gt;"""")),""""))"),"")</f>
        <v/>
      </c>
      <c r="S88" s="68"/>
      <c r="T88" s="393"/>
    </row>
    <row r="89">
      <c r="C89" s="3"/>
      <c r="D89" s="396"/>
      <c r="E89" s="396"/>
      <c r="F89" s="396"/>
      <c r="G89" s="396"/>
      <c r="H89" s="396"/>
      <c r="N89" s="397"/>
      <c r="O89" s="397"/>
      <c r="P89" s="397"/>
      <c r="Q89" s="397"/>
      <c r="R89" s="397"/>
    </row>
    <row r="90">
      <c r="A90" s="45"/>
      <c r="B90" s="45"/>
      <c r="C90" s="386" t="str">
        <f>Teachers!A12</f>
        <v>Camila Leiva</v>
      </c>
      <c r="D90" s="383"/>
      <c r="E90" s="383"/>
      <c r="F90" s="383"/>
      <c r="G90" s="383"/>
      <c r="H90" s="384"/>
      <c r="I90" s="385" t="str">
        <f>IFERROR(__xludf.DUMMYFUNCTION("if(C90="""","""", iferror(filter(Schedule!$K:$K,Schedule!$L:$L=$C90,Schedule!$K:$K=""S1""),unique(filter(Schedule!$K:$K,Schedule!$L:$L=$C90,Schedule!$K:$K=""""))))"),"")</f>
        <v/>
      </c>
      <c r="M90" s="386" t="str">
        <f>if(S90="","",C90)</f>
        <v/>
      </c>
      <c r="N90" s="383"/>
      <c r="O90" s="383"/>
      <c r="P90" s="383"/>
      <c r="Q90" s="383"/>
      <c r="R90" s="384"/>
      <c r="S90" s="385" t="str">
        <f>if(I90="S1","S2","")</f>
        <v/>
      </c>
      <c r="T90" s="112"/>
    </row>
    <row r="91">
      <c r="A91" s="116"/>
      <c r="B91" s="116"/>
      <c r="C91" s="100" t="s">
        <v>7</v>
      </c>
      <c r="D91" s="387" t="s">
        <v>8</v>
      </c>
      <c r="E91" s="387" t="s">
        <v>9</v>
      </c>
      <c r="F91" s="387" t="s">
        <v>10</v>
      </c>
      <c r="G91" s="387" t="s">
        <v>11</v>
      </c>
      <c r="H91" s="387" t="s">
        <v>12</v>
      </c>
      <c r="I91" s="21" t="s">
        <v>766</v>
      </c>
      <c r="J91" s="116"/>
      <c r="K91" s="116"/>
      <c r="L91" s="116"/>
      <c r="M91" s="100" t="s">
        <v>7</v>
      </c>
      <c r="N91" s="387" t="s">
        <v>8</v>
      </c>
      <c r="O91" s="387" t="s">
        <v>9</v>
      </c>
      <c r="P91" s="387" t="s">
        <v>10</v>
      </c>
      <c r="Q91" s="387" t="s">
        <v>11</v>
      </c>
      <c r="R91" s="387" t="s">
        <v>12</v>
      </c>
      <c r="S91" s="21" t="s">
        <v>766</v>
      </c>
      <c r="T91" s="388"/>
    </row>
    <row r="92">
      <c r="A92" s="389" t="str">
        <f>C90</f>
        <v>Camila Leiva</v>
      </c>
      <c r="B92" s="389" t="str">
        <f>I90</f>
        <v/>
      </c>
      <c r="C92" s="100">
        <v>1.0</v>
      </c>
      <c r="D92" s="390" t="str">
        <f>IFERROR(__xludf.DUMMYFUNCTION("if($A92="""","""",iferror(join("" &amp; "",filter(Schedule!$P:$P&amp;""-""&amp;Schedule!$Q:$Q,Schedule!$L:$L=$A92,(Schedule!$K:$K=$B92)+(Schedule!$K:$K=""""),Schedule!$P:$P&lt;&gt;"""")),""""))"),"")</f>
        <v/>
      </c>
      <c r="E92" s="390" t="str">
        <f>IFERROR(__xludf.DUMMYFUNCTION("if($A92="""","""",iferror(join("" &amp; "",filter(Schedule!$AE:$AE&amp;""-""&amp;Schedule!$AF:$AF,Schedule!$L:$L=$A92,(Schedule!$K:$K=$B92)+(Schedule!$K:$K=""""),Schedule!$AE:$AE&lt;&gt;"""")),""""))"),"")</f>
        <v/>
      </c>
      <c r="F92" s="390" t="str">
        <f>IFERROR(__xludf.DUMMYFUNCTION("if($A92="""","""",iferror(join("" &amp; "",filter(Schedule!$V:$V&amp;""-""&amp;Schedule!$W:$W,Schedule!$L:$L=$A92,(Schedule!$K:$K=$B92)+(Schedule!$K:$K=""""),Schedule!$V:$V&lt;&gt;"""")),""""))"),"Sociales 10-7")</f>
        <v>Sociales 10-7</v>
      </c>
      <c r="G92" s="390" t="str">
        <f>IFERROR(__xludf.DUMMYFUNCTION("if($A92="""","""",iferror(join("" &amp; "",filter(Schedule!$AK:$AK&amp;""-""&amp;Schedule!$AL:$AL,Schedule!$L:$L=$A92,(Schedule!$K:$K=$B92)+(Schedule!$K:$K=""""),Schedule!$AK:$AK&lt;&gt;"""")),""""))"),"Spanish Film, Art, and Literature-2")</f>
        <v>Spanish Film, Art, and Literature-2</v>
      </c>
      <c r="H92" s="390" t="str">
        <f>IFERROR(__xludf.DUMMYFUNCTION("if($A92="""","""",iferror(join("" &amp; "",filter(Schedule!$AB:$AB&amp;""-""&amp;Schedule!$AC:$AC,Schedule!$L:$L=$A92,(Schedule!$K:$K=$B92)+(Schedule!$K:$K=""""),Schedule!$AB:$AB&lt;&gt;"""")),""""))"),"Spanish Film, Art, and Literature-1")</f>
        <v>Spanish Film, Art, and Literature-1</v>
      </c>
      <c r="I92" s="391">
        <f>if(C90="","", 24-countifs(D92:H96,""))</f>
        <v>15</v>
      </c>
      <c r="J92" s="392"/>
      <c r="K92" s="389" t="str">
        <f>M90</f>
        <v/>
      </c>
      <c r="L92" s="389" t="str">
        <f>S90</f>
        <v/>
      </c>
      <c r="M92" s="100">
        <v>1.0</v>
      </c>
      <c r="N92" s="390" t="str">
        <f>IFERROR(__xludf.DUMMYFUNCTION("if($K92="""","""",iferror(join("" &amp; "",filter(Schedule!$P:$P&amp;""-""&amp;Schedule!$Q:$Q,Schedule!$L:$L=$K92,(Schedule!$K:$K=$L92)+(Schedule!$K:$K=""""),Schedule!$P:$P&lt;&gt;"""")),""""))"),"")</f>
        <v/>
      </c>
      <c r="O92" s="390" t="str">
        <f>IFERROR(__xludf.DUMMYFUNCTION("if($K92="""","""",iferror(join("" &amp; "",filter(Schedule!$AE:$AE&amp;""-""&amp;Schedule!$AF:$AF,Schedule!$L:$L=$K92,(Schedule!$K:$K=$L92)+(Schedule!$K:$K=""""),Schedule!$AE:$AE&lt;&gt;"""")),""""))"),"")</f>
        <v/>
      </c>
      <c r="P92" s="390" t="str">
        <f>IFERROR(__xludf.DUMMYFUNCTION("if($K92="""","""",iferror(join("" &amp; "",filter(Schedule!$V:$V&amp;""-""&amp;Schedule!$W:$W,Schedule!$L:$L=$K92,(Schedule!$K:$K=$L92)+(Schedule!$K:$K=""""),Schedule!$V:$V&lt;&gt;"""")),""""))"),"")</f>
        <v/>
      </c>
      <c r="Q92" s="390" t="str">
        <f>IFERROR(__xludf.DUMMYFUNCTION("if($K92="""","""",iferror(join("" &amp; "",filter(Schedule!$AK:$AK&amp;""-""&amp;Schedule!$AL:$AL,Schedule!$L:$L=$K92,(Schedule!$K:$K=$L92)+(Schedule!$K:$K=""""),Schedule!$AK:$AK&lt;&gt;"""")),""""))"),"")</f>
        <v/>
      </c>
      <c r="R92" s="390" t="str">
        <f>IFERROR(__xludf.DUMMYFUNCTION("if($K92="""","""",iferror(join("" &amp; "",filter(Schedule!$AB:$AB&amp;""-""&amp;Schedule!$AC:$AC,Schedule!$L:$L=$K92,(Schedule!$K:$K=$L92)+(Schedule!$K:$K=""""),Schedule!$AB:$AB&lt;&gt;"""")),""""))"),"")</f>
        <v/>
      </c>
      <c r="S92" s="391" t="str">
        <f>if(K92="","", 24-countifs(N92:R96,""))</f>
        <v/>
      </c>
      <c r="T92" s="393"/>
    </row>
    <row r="93">
      <c r="A93" s="389" t="str">
        <f>C90</f>
        <v>Camila Leiva</v>
      </c>
      <c r="B93" s="389" t="str">
        <f>I90</f>
        <v/>
      </c>
      <c r="C93" s="100">
        <v>2.0</v>
      </c>
      <c r="D93" s="390" t="str">
        <f>IFERROR(__xludf.DUMMYFUNCTION("if($A93="""","""",iferror(join("" &amp; "",filter(Schedule!$S:$S&amp;""-""&amp;Schedule!$T:$T,Schedule!$L:$L=$A93,(Schedule!$K:$K=$B93)+(Schedule!$K:$K=""""),Schedule!$S:$S&lt;&gt;"""")),""""))"),"Sociales 10-6")</f>
        <v>Sociales 10-6</v>
      </c>
      <c r="E93" s="390" t="str">
        <f>IFERROR(__xludf.DUMMYFUNCTION("if($A93="""","""",iferror(join("" &amp; "",filter(Schedule!$AH:$AH&amp;""-""&amp;Schedule!$AI:$AI,Schedule!$L:$L=$A93,(Schedule!$K:$K=$B93)+(Schedule!$K:$K=""""),Schedule!$AH:$AH&lt;&gt;"""")),""""))"),"Spanish and Literature 12-5")</f>
        <v>Spanish and Literature 12-5</v>
      </c>
      <c r="F93" s="390" t="str">
        <f>IFERROR(__xludf.DUMMYFUNCTION("if($A93="""","""",iferror(join("" &amp; "",filter(Schedule!$Y:$Y&amp;""-""&amp;Schedule!$Z:$Z,Schedule!$L:$L=$A93,(Schedule!$K:$K=$B93)+(Schedule!$K:$K=""""),Schedule!$Y:$Y&lt;&gt;"""")),""""))"),"")</f>
        <v/>
      </c>
      <c r="G93" s="390" t="str">
        <f>IFERROR(__xludf.DUMMYFUNCTION("if($A93="""","""",iferror(join("" &amp; "",filter(Schedule!$P:$P&amp;""-""&amp;Schedule!$Q:$Q,Schedule!$L:$L=$A93,(Schedule!$K:$K=$B93)+(Schedule!$K:$K=""""),Schedule!$P:$P&lt;&gt;"""")),""""))"),"")</f>
        <v/>
      </c>
      <c r="H93" s="390" t="str">
        <f>IFERROR(__xludf.DUMMYFUNCTION("if($A93="""","""",iferror(join("" &amp; "",filter(Schedule!$AE:$AE&amp;""-""&amp;Schedule!$AF:$AF,Schedule!$L:$L=$A93,(Schedule!$K:$K=$B93)+(Schedule!$K:$K=""""),Schedule!$AE:$AE&lt;&gt;"""")),""""))"),"")</f>
        <v/>
      </c>
      <c r="I93" s="53"/>
      <c r="J93" s="392"/>
      <c r="K93" s="389" t="str">
        <f>M90</f>
        <v/>
      </c>
      <c r="L93" s="389" t="str">
        <f>S90</f>
        <v/>
      </c>
      <c r="M93" s="100">
        <v>2.0</v>
      </c>
      <c r="N93" s="390" t="str">
        <f>IFERROR(__xludf.DUMMYFUNCTION("if($K93="""","""",iferror(join("" &amp; "",filter(Schedule!$S:$S&amp;""-""&amp;Schedule!$T:$T,Schedule!$L:$L=$K93,(Schedule!$K:$K=$L93)+(Schedule!$K:$K=""""),Schedule!$S:$S&lt;&gt;"""")),""""))"),"")</f>
        <v/>
      </c>
      <c r="O93" s="390" t="str">
        <f>IFERROR(__xludf.DUMMYFUNCTION("if($K93="""","""",iferror(join("" &amp; "",filter(Schedule!$AH:$AH&amp;""-""&amp;Schedule!$AI:$AI,Schedule!$L:$L=$K93,(Schedule!$K:$K=$L93)+(Schedule!$K:$K=""""),Schedule!$AH:$AH&lt;&gt;"""")),""""))"),"")</f>
        <v/>
      </c>
      <c r="P93" s="390" t="str">
        <f>IFERROR(__xludf.DUMMYFUNCTION("if($K93="""","""",iferror(join("" &amp; "",filter(Schedule!$Y:$Y&amp;""-""&amp;Schedule!$Z:$Z,Schedule!$L:$L=$K93,(Schedule!$K:$K=$L93)+(Schedule!$K:$K=""""),Schedule!$Y:$Y&lt;&gt;"""")),""""))"),"")</f>
        <v/>
      </c>
      <c r="Q93" s="390" t="str">
        <f>IFERROR(__xludf.DUMMYFUNCTION("if($K93="""","""",iferror(join("" &amp; "",filter(Schedule!$P:$P&amp;""-""&amp;Schedule!$Q:$Q,Schedule!$L:$L=$K93,(Schedule!$K:$K=$L93)+(Schedule!$K:$K=""""),Schedule!$P:$P&lt;&gt;"""")),""""))"),"")</f>
        <v/>
      </c>
      <c r="R93" s="390" t="str">
        <f>IFERROR(__xludf.DUMMYFUNCTION("if($K93="""","""",iferror(join("" &amp; "",filter(Schedule!$AE:$AE&amp;""-""&amp;Schedule!$AF:$AF,Schedule!$L:$L=$K93,(Schedule!$K:$K=$L93)+(Schedule!$K:$K=""""),Schedule!$AE:$AE&lt;&gt;"""")),""""))"),"")</f>
        <v/>
      </c>
      <c r="S93" s="53"/>
      <c r="T93" s="393"/>
    </row>
    <row r="94">
      <c r="A94" s="389" t="str">
        <f>C90</f>
        <v>Camila Leiva</v>
      </c>
      <c r="B94" s="389" t="str">
        <f>I90</f>
        <v/>
      </c>
      <c r="C94" s="100">
        <v>3.0</v>
      </c>
      <c r="D94" s="390" t="str">
        <f>IFERROR(__xludf.DUMMYFUNCTION("if($A94="""","""",iferror(join("" &amp; "",filter(Schedule!$V:$V&amp;""-""&amp;Schedule!$W:$W,Schedule!$L:$L=$A94,(Schedule!$K:$K=$B94)+(Schedule!$K:$K=""""),Schedule!$V:$V&lt;&gt;"""")),""""))"),"Sociales 10-7")</f>
        <v>Sociales 10-7</v>
      </c>
      <c r="E94" s="390" t="str">
        <f>IFERROR(__xludf.DUMMYFUNCTION("if($A94="""","""",iferror(join("" &amp; "",filter(Schedule!$AK:$AK&amp;""-""&amp;Schedule!$AL:$AL,Schedule!$L:$L=$A94,(Schedule!$K:$K=$B94)+(Schedule!$K:$K=""""),Schedule!$AK:$AK&lt;&gt;"""")),""""))"),"Spanish Film, Art, and Literature-2")</f>
        <v>Spanish Film, Art, and Literature-2</v>
      </c>
      <c r="F94" s="390" t="str">
        <f>IFERROR(__xludf.DUMMYFUNCTION("if($A94="""","""",iferror(join("" &amp; "",filter(Schedule!$AB:$AB&amp;""-""&amp;Schedule!$AC:$AC,Schedule!$L:$L=$A94,(Schedule!$K:$K=$B94)+(Schedule!$K:$K=""""),Schedule!$AB:$AB&lt;&gt;"""")),""""))"),"Spanish Film, Art, and Literature-1")</f>
        <v>Spanish Film, Art, and Literature-1</v>
      </c>
      <c r="G94" s="390" t="str">
        <f>IFERROR(__xludf.DUMMYFUNCTION("if($A94="""","""",iferror(join("" &amp; "",filter(Schedule!$S:$S&amp;""-""&amp;Schedule!$T:$T,Schedule!$L:$L=$A94,(Schedule!$K:$K=$B94)+(Schedule!$K:$K=""""),Schedule!$S:$S&lt;&gt;"""")),""""))"),"Sociales 10-6")</f>
        <v>Sociales 10-6</v>
      </c>
      <c r="H94" s="395" t="str">
        <f>if($C90="","","X-Block")</f>
        <v>X-Block</v>
      </c>
      <c r="I94" s="53"/>
      <c r="J94" s="392"/>
      <c r="K94" s="389" t="str">
        <f>M90</f>
        <v/>
      </c>
      <c r="L94" s="389" t="str">
        <f>S90</f>
        <v/>
      </c>
      <c r="M94" s="100">
        <v>3.0</v>
      </c>
      <c r="N94" s="390" t="str">
        <f>IFERROR(__xludf.DUMMYFUNCTION("if($K94="""","""",iferror(join("" &amp; "",filter(Schedule!$V:$V&amp;""-""&amp;Schedule!$W:$W,Schedule!$L:$L=$K94,(Schedule!$K:$K=$L94)+(Schedule!$K:$K=""""),Schedule!$V:$V&lt;&gt;"""")),""""))"),"")</f>
        <v/>
      </c>
      <c r="O94" s="390" t="str">
        <f>IFERROR(__xludf.DUMMYFUNCTION("if($K94="""","""",iferror(join("" &amp; "",filter(Schedule!$AK:$AK&amp;""-""&amp;Schedule!$AL:$AL,Schedule!$L:$L=$K94,(Schedule!$K:$K=$L94)+(Schedule!$K:$K=""""),Schedule!$AK:$AK&lt;&gt;"""")),""""))"),"")</f>
        <v/>
      </c>
      <c r="P94" s="390" t="str">
        <f>IFERROR(__xludf.DUMMYFUNCTION("if($K94="""","""",iferror(join("" &amp; "",filter(Schedule!$AB:$AB&amp;""-""&amp;Schedule!$AC:$AC,Schedule!$L:$L=$K94,(Schedule!$K:$K=$L94)+(Schedule!$K:$K=""""),Schedule!$AB:$AB&lt;&gt;"""")),""""))"),"")</f>
        <v/>
      </c>
      <c r="Q94" s="390" t="str">
        <f>IFERROR(__xludf.DUMMYFUNCTION("if($K94="""","""",iferror(join("" &amp; "",filter(Schedule!$S:$S&amp;""-""&amp;Schedule!$T:$T,Schedule!$L:$L=$K94,(Schedule!$K:$K=$L94)+(Schedule!$K:$K=""""),Schedule!$S:$S&lt;&gt;"""")),""""))"),"")</f>
        <v/>
      </c>
      <c r="R94" s="395" t="str">
        <f>if($M90="","","X-Block")</f>
        <v/>
      </c>
      <c r="S94" s="53"/>
      <c r="T94" s="393"/>
    </row>
    <row r="95">
      <c r="A95" s="389" t="str">
        <f>C90</f>
        <v>Camila Leiva</v>
      </c>
      <c r="B95" s="389" t="str">
        <f>I90</f>
        <v/>
      </c>
      <c r="C95" s="100">
        <v>4.0</v>
      </c>
      <c r="D95" s="390" t="str">
        <f>IFERROR(__xludf.DUMMYFUNCTION("if($A95="""","""",iferror(join("" &amp; "",filter(Schedule!$Y:$Y&amp;""-""&amp;Schedule!$Z:$Z,Schedule!$L:$L=$A95,(Schedule!$K:$K=$B95)+(Schedule!$K:$K=""""),Schedule!$Y:$Y&lt;&gt;"""")),""""))"),"")</f>
        <v/>
      </c>
      <c r="E95" s="390" t="str">
        <f>IFERROR(__xludf.DUMMYFUNCTION("if($A95="""","""",iferror(join("" &amp; "",filter(Schedule!$P:$P&amp;""-""&amp;Schedule!$Q:$Q,Schedule!$L:$L=$A95,(Schedule!$K:$K=$B95)+(Schedule!$K:$K=""""),Schedule!$P:$P&lt;&gt;"""")),""""))"),"")</f>
        <v/>
      </c>
      <c r="F95" s="390" t="str">
        <f>IFERROR(__xludf.DUMMYFUNCTION("if($A95="""","""",iferror(join("" &amp; "",filter(Schedule!$AE:$AE&amp;""-""&amp;Schedule!$AF:$AF,Schedule!$L:$L=$A95,(Schedule!$K:$K=$B95)+(Schedule!$K:$K=""""),Schedule!$AE:$AE&lt;&gt;"""")),""""))"),"")</f>
        <v/>
      </c>
      <c r="G95" s="390" t="str">
        <f>IFERROR(__xludf.DUMMYFUNCTION("if($A95="""","""",iferror(join("" &amp; "",filter(Schedule!$V:$V&amp;""-""&amp;Schedule!$W:$W,Schedule!$L:$L=$A95,(Schedule!$K:$K=$B95)+(Schedule!$K:$K=""""),Schedule!$V:$V&lt;&gt;"""")),""""))"),"Sociales 10-7")</f>
        <v>Sociales 10-7</v>
      </c>
      <c r="H95" s="390" t="str">
        <f>IFERROR(__xludf.DUMMYFUNCTION("if($A95="""","""",iferror(join("" &amp; "",filter(Schedule!$AH:$AH&amp;""-""&amp;Schedule!$AI:$AI,Schedule!$L:$L=$A95,(Schedule!$K:$K=$B95)+(Schedule!$K:$K=""""),Schedule!$AH:$AH&lt;&gt;"""")),""""))"),"Spanish and Literature 12-5")</f>
        <v>Spanish and Literature 12-5</v>
      </c>
      <c r="I95" s="53"/>
      <c r="J95" s="392"/>
      <c r="K95" s="389" t="str">
        <f>M90</f>
        <v/>
      </c>
      <c r="L95" s="389" t="str">
        <f>S90</f>
        <v/>
      </c>
      <c r="M95" s="100">
        <v>4.0</v>
      </c>
      <c r="N95" s="390" t="str">
        <f>IFERROR(__xludf.DUMMYFUNCTION("if($K95="""","""",iferror(join("" &amp; "",filter(Schedule!$Y:$Y&amp;""-""&amp;Schedule!$Z:$Z,Schedule!$L:$L=$K95,(Schedule!$K:$K=$L95)+(Schedule!$K:$K=""""),Schedule!$Y:$Y&lt;&gt;"""")),""""))"),"")</f>
        <v/>
      </c>
      <c r="O95" s="390" t="str">
        <f>IFERROR(__xludf.DUMMYFUNCTION("if($K95="""","""",iferror(join("" &amp; "",filter(Schedule!$P:$P&amp;""-""&amp;Schedule!$Q:$Q,Schedule!$L:$L=$K95,(Schedule!$K:$K=$L95)+(Schedule!$K:$K=""""),Schedule!$P:$P&lt;&gt;"""")),""""))"),"")</f>
        <v/>
      </c>
      <c r="P95" s="390" t="str">
        <f>IFERROR(__xludf.DUMMYFUNCTION("if($K95="""","""",iferror(join("" &amp; "",filter(Schedule!$AE:$AE&amp;""-""&amp;Schedule!$AF:$AF,Schedule!$L:$L=$K95,(Schedule!$K:$K=$L95)+(Schedule!$K:$K=""""),Schedule!$AE:$AE&lt;&gt;"""")),""""))"),"")</f>
        <v/>
      </c>
      <c r="Q95" s="390" t="str">
        <f>IFERROR(__xludf.DUMMYFUNCTION("if($K95="""","""",iferror(join("" &amp; "",filter(Schedule!$V:$V&amp;""-""&amp;Schedule!$W:$W,Schedule!$L:$L=$K95,(Schedule!$K:$K=$L95)+(Schedule!$K:$K=""""),Schedule!$V:$V&lt;&gt;"""")),""""))"),"")</f>
        <v/>
      </c>
      <c r="R95" s="390" t="str">
        <f>IFERROR(__xludf.DUMMYFUNCTION("if($K95="""","""",iferror(join("" &amp; "",filter(Schedule!$AH:$AH&amp;""-""&amp;Schedule!$AI:$AI,Schedule!$L:$L=$K95,(Schedule!$K:$K=$L95)+(Schedule!$K:$K=""""),Schedule!$AH:$AH&lt;&gt;"""")),""""))"),"")</f>
        <v/>
      </c>
      <c r="S95" s="53"/>
      <c r="T95" s="393"/>
    </row>
    <row r="96">
      <c r="A96" s="389" t="str">
        <f>C90</f>
        <v>Camila Leiva</v>
      </c>
      <c r="B96" s="389" t="str">
        <f>I90</f>
        <v/>
      </c>
      <c r="C96" s="100">
        <v>5.0</v>
      </c>
      <c r="D96" s="390" t="str">
        <f>IFERROR(__xludf.DUMMYFUNCTION("if($A96="""","""",iferror(join("" &amp; "",filter(Schedule!$AB:$AB&amp;""-""&amp;Schedule!$AC:$AC,Schedule!$L:$L=$A96,(Schedule!$K:$K=$B96)+(Schedule!$K:$K=""""),Schedule!$AB:$AB&lt;&gt;"""")),""""))"),"Spanish Film, Art, and Literature-1")</f>
        <v>Spanish Film, Art, and Literature-1</v>
      </c>
      <c r="E96" s="390" t="str">
        <f>IFERROR(__xludf.DUMMYFUNCTION("if($A96="""","""",iferror(join("" &amp; "",filter(Schedule!$S:$S&amp;""-""&amp;Schedule!$T:$T,Schedule!$L:$L=$A96,(Schedule!$K:$K=$B96)+(Schedule!$K:$K=""""),Schedule!$S:$S&lt;&gt;"""")),""""))"),"Sociales 10-6")</f>
        <v>Sociales 10-6</v>
      </c>
      <c r="F96" s="390" t="str">
        <f>IFERROR(__xludf.DUMMYFUNCTION("if($A96="""","""",iferror(join("" &amp; "",filter(Schedule!$AH:$AH&amp;""-""&amp;Schedule!$AI:$AI,Schedule!$L:$L=$A96,(Schedule!$K:$K=$B96)+(Schedule!$K:$K=""""),Schedule!$AH:$AH&lt;&gt;"""")),""""))"),"Spanish and Literature 12-5")</f>
        <v>Spanish and Literature 12-5</v>
      </c>
      <c r="G96" s="390" t="str">
        <f>IFERROR(__xludf.DUMMYFUNCTION("if($A96="""","""",iferror(join("" &amp; "",filter(Schedule!$Y:$Y&amp;""-""&amp;Schedule!$Z:$Z,Schedule!$L:$L=$A96,(Schedule!$K:$K=$B96)+(Schedule!$K:$K=""""),Schedule!$Y:$Y&lt;&gt;"""")),""""))"),"")</f>
        <v/>
      </c>
      <c r="H96" s="390" t="str">
        <f>IFERROR(__xludf.DUMMYFUNCTION("if($A96="""","""",iferror(join("" &amp; "",filter(Schedule!$AK:$AK&amp;""-""&amp;Schedule!$AL:$AL,Schedule!$L:$L=$A96,(Schedule!$K:$K=$B96)+(Schedule!$K:$K=""""),Schedule!$AK:$AK&lt;&gt;"""")),""""))"),"Spanish Film, Art, and Literature-2")</f>
        <v>Spanish Film, Art, and Literature-2</v>
      </c>
      <c r="I96" s="68"/>
      <c r="J96" s="392"/>
      <c r="K96" s="389" t="str">
        <f>M90</f>
        <v/>
      </c>
      <c r="L96" s="389" t="str">
        <f>S90</f>
        <v/>
      </c>
      <c r="M96" s="100">
        <v>5.0</v>
      </c>
      <c r="N96" s="390" t="str">
        <f>IFERROR(__xludf.DUMMYFUNCTION("if($K96="""","""",iferror(join("" &amp; "",filter(Schedule!$AB:$AB&amp;""-""&amp;Schedule!$AC:$AC,Schedule!$L:$L=$K96,(Schedule!$K:$K=$L96)+(Schedule!$K:$K=""""),Schedule!$AB:$AB&lt;&gt;"""")),""""))"),"")</f>
        <v/>
      </c>
      <c r="O96" s="390" t="str">
        <f>IFERROR(__xludf.DUMMYFUNCTION("if($K96="""","""",iferror(join("" &amp; "",filter(Schedule!$S:$S&amp;""-""&amp;Schedule!$T:$T,Schedule!$L:$L=$K96,(Schedule!$K:$K=$L96)+(Schedule!$K:$K=""""),Schedule!$S:$S&lt;&gt;"""")),""""))"),"")</f>
        <v/>
      </c>
      <c r="P96" s="390" t="str">
        <f>IFERROR(__xludf.DUMMYFUNCTION("if($K96="""","""",iferror(join("" &amp; "",filter(Schedule!$AH:$AH&amp;""-""&amp;Schedule!$AI:$AI,Schedule!$L:$L=$K96,(Schedule!$K:$K=$L96)+(Schedule!$K:$K=""""),Schedule!$AH:$AH&lt;&gt;"""")),""""))"),"")</f>
        <v/>
      </c>
      <c r="Q96" s="390" t="str">
        <f>IFERROR(__xludf.DUMMYFUNCTION("if($K96="""","""",iferror(join("" &amp; "",filter(Schedule!$Y:$Y&amp;""-""&amp;Schedule!$Z:$Z,Schedule!$L:$L=$K96,(Schedule!$K:$K=$L96)+(Schedule!$K:$K=""""),Schedule!$Y:$Y&lt;&gt;"""")),""""))"),"")</f>
        <v/>
      </c>
      <c r="R96" s="390" t="str">
        <f>IFERROR(__xludf.DUMMYFUNCTION("if($K96="""","""",iferror(join("" &amp; "",filter(Schedule!$AK:$AK&amp;""-""&amp;Schedule!$AL:$AL,Schedule!$L:$L=$K96,(Schedule!$K:$K=$L96)+(Schedule!$K:$K=""""),Schedule!$AK:$AK&lt;&gt;"""")),""""))"),"")</f>
        <v/>
      </c>
      <c r="S96" s="68"/>
      <c r="T96" s="393"/>
    </row>
    <row r="97">
      <c r="C97" s="3"/>
      <c r="D97" s="396"/>
      <c r="E97" s="396"/>
      <c r="F97" s="396"/>
      <c r="G97" s="396"/>
      <c r="H97" s="396"/>
      <c r="N97" s="397"/>
      <c r="O97" s="397"/>
      <c r="P97" s="397"/>
      <c r="Q97" s="397"/>
      <c r="R97" s="397"/>
    </row>
    <row r="98">
      <c r="A98" s="45"/>
      <c r="B98" s="45"/>
      <c r="C98" s="386" t="str">
        <f>Teachers!A13</f>
        <v>Camilo  Hoyos</v>
      </c>
      <c r="D98" s="383"/>
      <c r="E98" s="383"/>
      <c r="F98" s="383"/>
      <c r="G98" s="383"/>
      <c r="H98" s="384"/>
      <c r="I98" s="385" t="str">
        <f>IFERROR(__xludf.DUMMYFUNCTION("if(C98="""","""", iferror(filter(Schedule!$K:$K,Schedule!$L:$L=$C98,Schedule!$K:$K=""S1""),unique(filter(Schedule!$K:$K,Schedule!$L:$L=$C98,Schedule!$K:$K=""""))))"),"")</f>
        <v/>
      </c>
      <c r="M98" s="386" t="str">
        <f>if(S98="","",C98)</f>
        <v/>
      </c>
      <c r="N98" s="383"/>
      <c r="O98" s="383"/>
      <c r="P98" s="383"/>
      <c r="Q98" s="383"/>
      <c r="R98" s="384"/>
      <c r="S98" s="385" t="str">
        <f>if(I98="S1","S2","")</f>
        <v/>
      </c>
      <c r="T98" s="112"/>
    </row>
    <row r="99">
      <c r="A99" s="116"/>
      <c r="B99" s="116"/>
      <c r="C99" s="100" t="s">
        <v>7</v>
      </c>
      <c r="D99" s="387" t="s">
        <v>8</v>
      </c>
      <c r="E99" s="387" t="s">
        <v>9</v>
      </c>
      <c r="F99" s="387" t="s">
        <v>10</v>
      </c>
      <c r="G99" s="387" t="s">
        <v>11</v>
      </c>
      <c r="H99" s="387" t="s">
        <v>12</v>
      </c>
      <c r="I99" s="21" t="s">
        <v>766</v>
      </c>
      <c r="J99" s="116"/>
      <c r="K99" s="116"/>
      <c r="L99" s="116"/>
      <c r="M99" s="100" t="s">
        <v>7</v>
      </c>
      <c r="N99" s="387" t="s">
        <v>8</v>
      </c>
      <c r="O99" s="387" t="s">
        <v>9</v>
      </c>
      <c r="P99" s="387" t="s">
        <v>10</v>
      </c>
      <c r="Q99" s="387" t="s">
        <v>11</v>
      </c>
      <c r="R99" s="387" t="s">
        <v>12</v>
      </c>
      <c r="S99" s="21" t="s">
        <v>766</v>
      </c>
      <c r="T99" s="388"/>
    </row>
    <row r="100">
      <c r="A100" s="389" t="str">
        <f>C98</f>
        <v>Camilo  Hoyos</v>
      </c>
      <c r="B100" s="389" t="str">
        <f>I98</f>
        <v/>
      </c>
      <c r="C100" s="100">
        <v>1.0</v>
      </c>
      <c r="D100" s="390" t="str">
        <f>IFERROR(__xludf.DUMMYFUNCTION("if($A100="""","""",iferror(join("" &amp; "",filter(Schedule!$P:$P&amp;""-""&amp;Schedule!$Q:$Q,Schedule!$L:$L=$A100,(Schedule!$K:$K=$B100)+(Schedule!$K:$K=""""),Schedule!$P:$P&lt;&gt;"""")),""""))"),"ISC-3")</f>
        <v>ISC-3</v>
      </c>
      <c r="E100" s="390" t="str">
        <f>IFERROR(__xludf.DUMMYFUNCTION("if($A100="""","""",iferror(join("" &amp; "",filter(Schedule!$AE:$AE&amp;""-""&amp;Schedule!$AF:$AF,Schedule!$L:$L=$A100,(Schedule!$K:$K=$B100)+(Schedule!$K:$K=""""),Schedule!$AE:$AE&lt;&gt;"""")),""""))"),"ISC-1")</f>
        <v>ISC-1</v>
      </c>
      <c r="F100" s="390" t="str">
        <f>IFERROR(__xludf.DUMMYFUNCTION("if($A100="""","""",iferror(join("" &amp; "",filter(Schedule!$V:$V&amp;""-""&amp;Schedule!$W:$W,Schedule!$L:$L=$A100,(Schedule!$K:$K=$B100)+(Schedule!$K:$K=""""),Schedule!$V:$V&lt;&gt;"""")),""""))"),"ISC-4")</f>
        <v>ISC-4</v>
      </c>
      <c r="G100" s="390" t="str">
        <f>IFERROR(__xludf.DUMMYFUNCTION("if($A100="""","""",iferror(join("" &amp; "",filter(Schedule!$AK:$AK&amp;""-""&amp;Schedule!$AL:$AL,Schedule!$L:$L=$A100,(Schedule!$K:$K=$B100)+(Schedule!$K:$K=""""),Schedule!$AK:$AK&lt;&gt;"""")),""""))"),"ISC-2")</f>
        <v>ISC-2</v>
      </c>
      <c r="H100" s="390" t="str">
        <f>IFERROR(__xludf.DUMMYFUNCTION("if($A100="""","""",iferror(join("" &amp; "",filter(Schedule!$AB:$AB&amp;""-""&amp;Schedule!$AC:$AC,Schedule!$L:$L=$A100,(Schedule!$K:$K=$B100)+(Schedule!$K:$K=""""),Schedule!$AB:$AB&lt;&gt;"""")),""""))"),"Entrepreneurship - Business Tech-1")</f>
        <v>Entrepreneurship - Business Tech-1</v>
      </c>
      <c r="I100" s="391">
        <f>if(C98="","", 24-countifs(D100:H104,""))</f>
        <v>18</v>
      </c>
      <c r="J100" s="392"/>
      <c r="K100" s="389" t="str">
        <f>M98</f>
        <v/>
      </c>
      <c r="L100" s="389" t="str">
        <f>S98</f>
        <v/>
      </c>
      <c r="M100" s="100">
        <v>1.0</v>
      </c>
      <c r="N100" s="390" t="str">
        <f>IFERROR(__xludf.DUMMYFUNCTION("if($K100="""","""",iferror(join("" &amp; "",filter(Schedule!$P:$P&amp;""-""&amp;Schedule!$Q:$Q,Schedule!$L:$L=$K100,(Schedule!$K:$K=$L100)+(Schedule!$K:$K=""""),Schedule!$P:$P&lt;&gt;"""")),""""))"),"")</f>
        <v/>
      </c>
      <c r="O100" s="390" t="str">
        <f>IFERROR(__xludf.DUMMYFUNCTION("if($K100="""","""",iferror(join("" &amp; "",filter(Schedule!$AE:$AE&amp;""-""&amp;Schedule!$AF:$AF,Schedule!$L:$L=$K100,(Schedule!$K:$K=$L100)+(Schedule!$K:$K=""""),Schedule!$AE:$AE&lt;&gt;"""")),""""))"),"")</f>
        <v/>
      </c>
      <c r="P100" s="390" t="str">
        <f>IFERROR(__xludf.DUMMYFUNCTION("if($K100="""","""",iferror(join("" &amp; "",filter(Schedule!$V:$V&amp;""-""&amp;Schedule!$W:$W,Schedule!$L:$L=$K100,(Schedule!$K:$K=$L100)+(Schedule!$K:$K=""""),Schedule!$V:$V&lt;&gt;"""")),""""))"),"")</f>
        <v/>
      </c>
      <c r="Q100" s="390" t="str">
        <f>IFERROR(__xludf.DUMMYFUNCTION("if($K100="""","""",iferror(join("" &amp; "",filter(Schedule!$AK:$AK&amp;""-""&amp;Schedule!$AL:$AL,Schedule!$L:$L=$K100,(Schedule!$K:$K=$L100)+(Schedule!$K:$K=""""),Schedule!$AK:$AK&lt;&gt;"""")),""""))"),"")</f>
        <v/>
      </c>
      <c r="R100" s="390" t="str">
        <f>IFERROR(__xludf.DUMMYFUNCTION("if($K100="""","""",iferror(join("" &amp; "",filter(Schedule!$AB:$AB&amp;""-""&amp;Schedule!$AC:$AC,Schedule!$L:$L=$K100,(Schedule!$K:$K=$L100)+(Schedule!$K:$K=""""),Schedule!$AB:$AB&lt;&gt;"""")),""""))"),"")</f>
        <v/>
      </c>
      <c r="S100" s="391" t="str">
        <f>if(K100="","", 24-countifs(N100:R104,""))</f>
        <v/>
      </c>
      <c r="T100" s="393"/>
    </row>
    <row r="101">
      <c r="A101" s="389" t="str">
        <f>C98</f>
        <v>Camilo  Hoyos</v>
      </c>
      <c r="B101" s="389" t="str">
        <f>I98</f>
        <v/>
      </c>
      <c r="C101" s="100">
        <v>2.0</v>
      </c>
      <c r="D101" s="390" t="str">
        <f>IFERROR(__xludf.DUMMYFUNCTION("if($A101="""","""",iferror(join("" &amp; "",filter(Schedule!$S:$S&amp;""-""&amp;Schedule!$T:$T,Schedule!$L:$L=$A101,(Schedule!$K:$K=$B101)+(Schedule!$K:$K=""""),Schedule!$S:$S&lt;&gt;"""")),""""))"),"")</f>
        <v/>
      </c>
      <c r="E101" s="390" t="str">
        <f>IFERROR(__xludf.DUMMYFUNCTION("if($A101="""","""",iferror(join("" &amp; "",filter(Schedule!$AH:$AH&amp;""-""&amp;Schedule!$AI:$AI,Schedule!$L:$L=$A101,(Schedule!$K:$K=$B101)+(Schedule!$K:$K=""""),Schedule!$AH:$AH&lt;&gt;"""")),""""))"),"")</f>
        <v/>
      </c>
      <c r="F101" s="390" t="str">
        <f>IFERROR(__xludf.DUMMYFUNCTION("if($A101="""","""",iferror(join("" &amp; "",filter(Schedule!$Y:$Y&amp;""-""&amp;Schedule!$Z:$Z,Schedule!$L:$L=$A101,(Schedule!$K:$K=$B101)+(Schedule!$K:$K=""""),Schedule!$Y:$Y&lt;&gt;"""")),""""))"),"ISC-5")</f>
        <v>ISC-5</v>
      </c>
      <c r="G101" s="390" t="str">
        <f>IFERROR(__xludf.DUMMYFUNCTION("if($A101="""","""",iferror(join("" &amp; "",filter(Schedule!$P:$P&amp;""-""&amp;Schedule!$Q:$Q,Schedule!$L:$L=$A101,(Schedule!$K:$K=$B101)+(Schedule!$K:$K=""""),Schedule!$P:$P&lt;&gt;"""")),""""))"),"ISC-3")</f>
        <v>ISC-3</v>
      </c>
      <c r="H101" s="390" t="str">
        <f>IFERROR(__xludf.DUMMYFUNCTION("if($A101="""","""",iferror(join("" &amp; "",filter(Schedule!$AE:$AE&amp;""-""&amp;Schedule!$AF:$AF,Schedule!$L:$L=$A101,(Schedule!$K:$K=$B101)+(Schedule!$K:$K=""""),Schedule!$AE:$AE&lt;&gt;"""")),""""))"),"ISC-1")</f>
        <v>ISC-1</v>
      </c>
      <c r="I101" s="53"/>
      <c r="J101" s="392"/>
      <c r="K101" s="389" t="str">
        <f>M98</f>
        <v/>
      </c>
      <c r="L101" s="389" t="str">
        <f>S98</f>
        <v/>
      </c>
      <c r="M101" s="100">
        <v>2.0</v>
      </c>
      <c r="N101" s="390" t="str">
        <f>IFERROR(__xludf.DUMMYFUNCTION("if($K101="""","""",iferror(join("" &amp; "",filter(Schedule!$S:$S&amp;""-""&amp;Schedule!$T:$T,Schedule!$L:$L=$K101,(Schedule!$K:$K=$L101)+(Schedule!$K:$K=""""),Schedule!$S:$S&lt;&gt;"""")),""""))"),"")</f>
        <v/>
      </c>
      <c r="O101" s="390" t="str">
        <f>IFERROR(__xludf.DUMMYFUNCTION("if($K101="""","""",iferror(join("" &amp; "",filter(Schedule!$AH:$AH&amp;""-""&amp;Schedule!$AI:$AI,Schedule!$L:$L=$K101,(Schedule!$K:$K=$L101)+(Schedule!$K:$K=""""),Schedule!$AH:$AH&lt;&gt;"""")),""""))"),"")</f>
        <v/>
      </c>
      <c r="P101" s="390" t="str">
        <f>IFERROR(__xludf.DUMMYFUNCTION("if($K101="""","""",iferror(join("" &amp; "",filter(Schedule!$Y:$Y&amp;""-""&amp;Schedule!$Z:$Z,Schedule!$L:$L=$K101,(Schedule!$K:$K=$L101)+(Schedule!$K:$K=""""),Schedule!$Y:$Y&lt;&gt;"""")),""""))"),"")</f>
        <v/>
      </c>
      <c r="Q101" s="390" t="str">
        <f>IFERROR(__xludf.DUMMYFUNCTION("if($K101="""","""",iferror(join("" &amp; "",filter(Schedule!$P:$P&amp;""-""&amp;Schedule!$Q:$Q,Schedule!$L:$L=$K101,(Schedule!$K:$K=$L101)+(Schedule!$K:$K=""""),Schedule!$P:$P&lt;&gt;"""")),""""))"),"")</f>
        <v/>
      </c>
      <c r="R101" s="390" t="str">
        <f>IFERROR(__xludf.DUMMYFUNCTION("if($K101="""","""",iferror(join("" &amp; "",filter(Schedule!$AE:$AE&amp;""-""&amp;Schedule!$AF:$AF,Schedule!$L:$L=$K101,(Schedule!$K:$K=$L101)+(Schedule!$K:$K=""""),Schedule!$AE:$AE&lt;&gt;"""")),""""))"),"")</f>
        <v/>
      </c>
      <c r="S101" s="53"/>
      <c r="T101" s="393"/>
    </row>
    <row r="102">
      <c r="A102" s="389" t="str">
        <f>C98</f>
        <v>Camilo  Hoyos</v>
      </c>
      <c r="B102" s="389" t="str">
        <f>I98</f>
        <v/>
      </c>
      <c r="C102" s="100">
        <v>3.0</v>
      </c>
      <c r="D102" s="390" t="str">
        <f>IFERROR(__xludf.DUMMYFUNCTION("if($A102="""","""",iferror(join("" &amp; "",filter(Schedule!$V:$V&amp;""-""&amp;Schedule!$W:$W,Schedule!$L:$L=$A102,(Schedule!$K:$K=$B102)+(Schedule!$K:$K=""""),Schedule!$V:$V&lt;&gt;"""")),""""))"),"ISC-4")</f>
        <v>ISC-4</v>
      </c>
      <c r="E102" s="390" t="str">
        <f>IFERROR(__xludf.DUMMYFUNCTION("if($A102="""","""",iferror(join("" &amp; "",filter(Schedule!$AK:$AK&amp;""-""&amp;Schedule!$AL:$AL,Schedule!$L:$L=$A102,(Schedule!$K:$K=$B102)+(Schedule!$K:$K=""""),Schedule!$AK:$AK&lt;&gt;"""")),""""))"),"ISC-2")</f>
        <v>ISC-2</v>
      </c>
      <c r="F102" s="390" t="str">
        <f>IFERROR(__xludf.DUMMYFUNCTION("if($A102="""","""",iferror(join("" &amp; "",filter(Schedule!$AB:$AB&amp;""-""&amp;Schedule!$AC:$AC,Schedule!$L:$L=$A102,(Schedule!$K:$K=$B102)+(Schedule!$K:$K=""""),Schedule!$AB:$AB&lt;&gt;"""")),""""))"),"Entrepreneurship - Business Tech-1")</f>
        <v>Entrepreneurship - Business Tech-1</v>
      </c>
      <c r="G102" s="390" t="str">
        <f>IFERROR(__xludf.DUMMYFUNCTION("if($A102="""","""",iferror(join("" &amp; "",filter(Schedule!$S:$S&amp;""-""&amp;Schedule!$T:$T,Schedule!$L:$L=$A102,(Schedule!$K:$K=$B102)+(Schedule!$K:$K=""""),Schedule!$S:$S&lt;&gt;"""")),""""))"),"")</f>
        <v/>
      </c>
      <c r="H102" s="395" t="str">
        <f>if($C98="","","X-Block")</f>
        <v>X-Block</v>
      </c>
      <c r="I102" s="53"/>
      <c r="J102" s="392"/>
      <c r="K102" s="389" t="str">
        <f>M98</f>
        <v/>
      </c>
      <c r="L102" s="389" t="str">
        <f>S98</f>
        <v/>
      </c>
      <c r="M102" s="100">
        <v>3.0</v>
      </c>
      <c r="N102" s="390" t="str">
        <f>IFERROR(__xludf.DUMMYFUNCTION("if($K102="""","""",iferror(join("" &amp; "",filter(Schedule!$V:$V&amp;""-""&amp;Schedule!$W:$W,Schedule!$L:$L=$K102,(Schedule!$K:$K=$L102)+(Schedule!$K:$K=""""),Schedule!$V:$V&lt;&gt;"""")),""""))"),"")</f>
        <v/>
      </c>
      <c r="O102" s="390" t="str">
        <f>IFERROR(__xludf.DUMMYFUNCTION("if($K102="""","""",iferror(join("" &amp; "",filter(Schedule!$AK:$AK&amp;""-""&amp;Schedule!$AL:$AL,Schedule!$L:$L=$K102,(Schedule!$K:$K=$L102)+(Schedule!$K:$K=""""),Schedule!$AK:$AK&lt;&gt;"""")),""""))"),"")</f>
        <v/>
      </c>
      <c r="P102" s="390" t="str">
        <f>IFERROR(__xludf.DUMMYFUNCTION("if($K102="""","""",iferror(join("" &amp; "",filter(Schedule!$AB:$AB&amp;""-""&amp;Schedule!$AC:$AC,Schedule!$L:$L=$K102,(Schedule!$K:$K=$L102)+(Schedule!$K:$K=""""),Schedule!$AB:$AB&lt;&gt;"""")),""""))"),"")</f>
        <v/>
      </c>
      <c r="Q102" s="390" t="str">
        <f>IFERROR(__xludf.DUMMYFUNCTION("if($K102="""","""",iferror(join("" &amp; "",filter(Schedule!$S:$S&amp;""-""&amp;Schedule!$T:$T,Schedule!$L:$L=$K102,(Schedule!$K:$K=$L102)+(Schedule!$K:$K=""""),Schedule!$S:$S&lt;&gt;"""")),""""))"),"")</f>
        <v/>
      </c>
      <c r="R102" s="395" t="str">
        <f>if($M98="","","X-Block")</f>
        <v/>
      </c>
      <c r="S102" s="53"/>
      <c r="T102" s="393"/>
    </row>
    <row r="103">
      <c r="A103" s="389" t="str">
        <f>C98</f>
        <v>Camilo  Hoyos</v>
      </c>
      <c r="B103" s="389" t="str">
        <f>I98</f>
        <v/>
      </c>
      <c r="C103" s="100">
        <v>4.0</v>
      </c>
      <c r="D103" s="390" t="str">
        <f>IFERROR(__xludf.DUMMYFUNCTION("if($A103="""","""",iferror(join("" &amp; "",filter(Schedule!$Y:$Y&amp;""-""&amp;Schedule!$Z:$Z,Schedule!$L:$L=$A103,(Schedule!$K:$K=$B103)+(Schedule!$K:$K=""""),Schedule!$Y:$Y&lt;&gt;"""")),""""))"),"ISC-5")</f>
        <v>ISC-5</v>
      </c>
      <c r="E103" s="390" t="str">
        <f>IFERROR(__xludf.DUMMYFUNCTION("if($A103="""","""",iferror(join("" &amp; "",filter(Schedule!$P:$P&amp;""-""&amp;Schedule!$Q:$Q,Schedule!$L:$L=$A103,(Schedule!$K:$K=$B103)+(Schedule!$K:$K=""""),Schedule!$P:$P&lt;&gt;"""")),""""))"),"ISC-3")</f>
        <v>ISC-3</v>
      </c>
      <c r="F103" s="390" t="str">
        <f>IFERROR(__xludf.DUMMYFUNCTION("if($A103="""","""",iferror(join("" &amp; "",filter(Schedule!$AE:$AE&amp;""-""&amp;Schedule!$AF:$AF,Schedule!$L:$L=$A103,(Schedule!$K:$K=$B103)+(Schedule!$K:$K=""""),Schedule!$AE:$AE&lt;&gt;"""")),""""))"),"ISC-1")</f>
        <v>ISC-1</v>
      </c>
      <c r="G103" s="390" t="str">
        <f>IFERROR(__xludf.DUMMYFUNCTION("if($A103="""","""",iferror(join("" &amp; "",filter(Schedule!$V:$V&amp;""-""&amp;Schedule!$W:$W,Schedule!$L:$L=$A103,(Schedule!$K:$K=$B103)+(Schedule!$K:$K=""""),Schedule!$V:$V&lt;&gt;"""")),""""))"),"ISC-4")</f>
        <v>ISC-4</v>
      </c>
      <c r="H103" s="390" t="str">
        <f>IFERROR(__xludf.DUMMYFUNCTION("if($A103="""","""",iferror(join("" &amp; "",filter(Schedule!$AH:$AH&amp;""-""&amp;Schedule!$AI:$AI,Schedule!$L:$L=$A103,(Schedule!$K:$K=$B103)+(Schedule!$K:$K=""""),Schedule!$AH:$AH&lt;&gt;"""")),""""))"),"")</f>
        <v/>
      </c>
      <c r="I103" s="53"/>
      <c r="J103" s="392"/>
      <c r="K103" s="389" t="str">
        <f>M98</f>
        <v/>
      </c>
      <c r="L103" s="389" t="str">
        <f>S98</f>
        <v/>
      </c>
      <c r="M103" s="100">
        <v>4.0</v>
      </c>
      <c r="N103" s="390" t="str">
        <f>IFERROR(__xludf.DUMMYFUNCTION("if($K103="""","""",iferror(join("" &amp; "",filter(Schedule!$Y:$Y&amp;""-""&amp;Schedule!$Z:$Z,Schedule!$L:$L=$K103,(Schedule!$K:$K=$L103)+(Schedule!$K:$K=""""),Schedule!$Y:$Y&lt;&gt;"""")),""""))"),"")</f>
        <v/>
      </c>
      <c r="O103" s="390" t="str">
        <f>IFERROR(__xludf.DUMMYFUNCTION("if($K103="""","""",iferror(join("" &amp; "",filter(Schedule!$P:$P&amp;""-""&amp;Schedule!$Q:$Q,Schedule!$L:$L=$K103,(Schedule!$K:$K=$L103)+(Schedule!$K:$K=""""),Schedule!$P:$P&lt;&gt;"""")),""""))"),"")</f>
        <v/>
      </c>
      <c r="P103" s="390" t="str">
        <f>IFERROR(__xludf.DUMMYFUNCTION("if($K103="""","""",iferror(join("" &amp; "",filter(Schedule!$AE:$AE&amp;""-""&amp;Schedule!$AF:$AF,Schedule!$L:$L=$K103,(Schedule!$K:$K=$L103)+(Schedule!$K:$K=""""),Schedule!$AE:$AE&lt;&gt;"""")),""""))"),"")</f>
        <v/>
      </c>
      <c r="Q103" s="390" t="str">
        <f>IFERROR(__xludf.DUMMYFUNCTION("if($K103="""","""",iferror(join("" &amp; "",filter(Schedule!$V:$V&amp;""-""&amp;Schedule!$W:$W,Schedule!$L:$L=$K103,(Schedule!$K:$K=$L103)+(Schedule!$K:$K=""""),Schedule!$V:$V&lt;&gt;"""")),""""))"),"")</f>
        <v/>
      </c>
      <c r="R103" s="390" t="str">
        <f>IFERROR(__xludf.DUMMYFUNCTION("if($K103="""","""",iferror(join("" &amp; "",filter(Schedule!$AH:$AH&amp;""-""&amp;Schedule!$AI:$AI,Schedule!$L:$L=$K103,(Schedule!$K:$K=$L103)+(Schedule!$K:$K=""""),Schedule!$AH:$AH&lt;&gt;"""")),""""))"),"")</f>
        <v/>
      </c>
      <c r="S103" s="53"/>
      <c r="T103" s="393"/>
    </row>
    <row r="104">
      <c r="A104" s="389" t="str">
        <f>C98</f>
        <v>Camilo  Hoyos</v>
      </c>
      <c r="B104" s="389" t="str">
        <f>I98</f>
        <v/>
      </c>
      <c r="C104" s="100">
        <v>5.0</v>
      </c>
      <c r="D104" s="390" t="str">
        <f>IFERROR(__xludf.DUMMYFUNCTION("if($A104="""","""",iferror(join("" &amp; "",filter(Schedule!$AB:$AB&amp;""-""&amp;Schedule!$AC:$AC,Schedule!$L:$L=$A104,(Schedule!$K:$K=$B104)+(Schedule!$K:$K=""""),Schedule!$AB:$AB&lt;&gt;"""")),""""))"),"Entrepreneurship - Business Tech-1")</f>
        <v>Entrepreneurship - Business Tech-1</v>
      </c>
      <c r="E104" s="390" t="str">
        <f>IFERROR(__xludf.DUMMYFUNCTION("if($A104="""","""",iferror(join("" &amp; "",filter(Schedule!$S:$S&amp;""-""&amp;Schedule!$T:$T,Schedule!$L:$L=$A104,(Schedule!$K:$K=$B104)+(Schedule!$K:$K=""""),Schedule!$S:$S&lt;&gt;"""")),""""))"),"")</f>
        <v/>
      </c>
      <c r="F104" s="390" t="str">
        <f>IFERROR(__xludf.DUMMYFUNCTION("if($A104="""","""",iferror(join("" &amp; "",filter(Schedule!$AH:$AH&amp;""-""&amp;Schedule!$AI:$AI,Schedule!$L:$L=$A104,(Schedule!$K:$K=$B104)+(Schedule!$K:$K=""""),Schedule!$AH:$AH&lt;&gt;"""")),""""))"),"")</f>
        <v/>
      </c>
      <c r="G104" s="390" t="str">
        <f>IFERROR(__xludf.DUMMYFUNCTION("if($A104="""","""",iferror(join("" &amp; "",filter(Schedule!$Y:$Y&amp;""-""&amp;Schedule!$Z:$Z,Schedule!$L:$L=$A104,(Schedule!$K:$K=$B104)+(Schedule!$K:$K=""""),Schedule!$Y:$Y&lt;&gt;"""")),""""))"),"ISC-5")</f>
        <v>ISC-5</v>
      </c>
      <c r="H104" s="390" t="str">
        <f>IFERROR(__xludf.DUMMYFUNCTION("if($A104="""","""",iferror(join("" &amp; "",filter(Schedule!$AK:$AK&amp;""-""&amp;Schedule!$AL:$AL,Schedule!$L:$L=$A104,(Schedule!$K:$K=$B104)+(Schedule!$K:$K=""""),Schedule!$AK:$AK&lt;&gt;"""")),""""))"),"ISC-2")</f>
        <v>ISC-2</v>
      </c>
      <c r="I104" s="68"/>
      <c r="J104" s="392"/>
      <c r="K104" s="389" t="str">
        <f>M98</f>
        <v/>
      </c>
      <c r="L104" s="389" t="str">
        <f>S98</f>
        <v/>
      </c>
      <c r="M104" s="100">
        <v>5.0</v>
      </c>
      <c r="N104" s="390" t="str">
        <f>IFERROR(__xludf.DUMMYFUNCTION("if($K104="""","""",iferror(join("" &amp; "",filter(Schedule!$AB:$AB&amp;""-""&amp;Schedule!$AC:$AC,Schedule!$L:$L=$K104,(Schedule!$K:$K=$L104)+(Schedule!$K:$K=""""),Schedule!$AB:$AB&lt;&gt;"""")),""""))"),"")</f>
        <v/>
      </c>
      <c r="O104" s="390" t="str">
        <f>IFERROR(__xludf.DUMMYFUNCTION("if($K104="""","""",iferror(join("" &amp; "",filter(Schedule!$S:$S&amp;""-""&amp;Schedule!$T:$T,Schedule!$L:$L=$K104,(Schedule!$K:$K=$L104)+(Schedule!$K:$K=""""),Schedule!$S:$S&lt;&gt;"""")),""""))"),"")</f>
        <v/>
      </c>
      <c r="P104" s="390" t="str">
        <f>IFERROR(__xludf.DUMMYFUNCTION("if($K104="""","""",iferror(join("" &amp; "",filter(Schedule!$AH:$AH&amp;""-""&amp;Schedule!$AI:$AI,Schedule!$L:$L=$K104,(Schedule!$K:$K=$L104)+(Schedule!$K:$K=""""),Schedule!$AH:$AH&lt;&gt;"""")),""""))"),"")</f>
        <v/>
      </c>
      <c r="Q104" s="390" t="str">
        <f>IFERROR(__xludf.DUMMYFUNCTION("if($K104="""","""",iferror(join("" &amp; "",filter(Schedule!$Y:$Y&amp;""-""&amp;Schedule!$Z:$Z,Schedule!$L:$L=$K104,(Schedule!$K:$K=$L104)+(Schedule!$K:$K=""""),Schedule!$Y:$Y&lt;&gt;"""")),""""))"),"")</f>
        <v/>
      </c>
      <c r="R104" s="390" t="str">
        <f>IFERROR(__xludf.DUMMYFUNCTION("if($K104="""","""",iferror(join("" &amp; "",filter(Schedule!$AK:$AK&amp;""-""&amp;Schedule!$AL:$AL,Schedule!$L:$L=$K104,(Schedule!$K:$K=$L104)+(Schedule!$K:$K=""""),Schedule!$AK:$AK&lt;&gt;"""")),""""))"),"")</f>
        <v/>
      </c>
      <c r="S104" s="68"/>
      <c r="T104" s="393"/>
    </row>
    <row r="105">
      <c r="C105" s="3"/>
      <c r="D105" s="396"/>
      <c r="E105" s="396"/>
      <c r="F105" s="396"/>
      <c r="G105" s="396"/>
      <c r="H105" s="396"/>
      <c r="N105" s="397"/>
      <c r="O105" s="397"/>
      <c r="P105" s="397"/>
      <c r="Q105" s="397"/>
      <c r="R105" s="397"/>
    </row>
    <row r="106">
      <c r="A106" s="45"/>
      <c r="B106" s="45"/>
      <c r="C106" s="386" t="str">
        <f>Teachers!A14</f>
        <v>David Murphy</v>
      </c>
      <c r="D106" s="383"/>
      <c r="E106" s="383"/>
      <c r="F106" s="383"/>
      <c r="G106" s="383"/>
      <c r="H106" s="384"/>
      <c r="I106" s="385" t="str">
        <f>IFERROR(__xludf.DUMMYFUNCTION("if(C106="""","""", iferror(filter(Schedule!$K:$K,Schedule!$L:$L=$C106,Schedule!$K:$K=""S1""),unique(filter(Schedule!$K:$K,Schedule!$L:$L=$C106,Schedule!$K:$K=""""))))"),"")</f>
        <v/>
      </c>
      <c r="M106" s="386" t="str">
        <f>if(S106="","",C106)</f>
        <v/>
      </c>
      <c r="N106" s="383"/>
      <c r="O106" s="383"/>
      <c r="P106" s="383"/>
      <c r="Q106" s="383"/>
      <c r="R106" s="384"/>
      <c r="S106" s="385" t="str">
        <f>if(I106="S1","S2","")</f>
        <v/>
      </c>
      <c r="T106" s="112"/>
    </row>
    <row r="107">
      <c r="A107" s="116"/>
      <c r="B107" s="116"/>
      <c r="C107" s="100" t="s">
        <v>7</v>
      </c>
      <c r="D107" s="387" t="s">
        <v>8</v>
      </c>
      <c r="E107" s="387" t="s">
        <v>9</v>
      </c>
      <c r="F107" s="387" t="s">
        <v>10</v>
      </c>
      <c r="G107" s="387" t="s">
        <v>11</v>
      </c>
      <c r="H107" s="387" t="s">
        <v>12</v>
      </c>
      <c r="I107" s="21" t="s">
        <v>766</v>
      </c>
      <c r="J107" s="116"/>
      <c r="K107" s="116"/>
      <c r="L107" s="116"/>
      <c r="M107" s="100" t="s">
        <v>7</v>
      </c>
      <c r="N107" s="387" t="s">
        <v>8</v>
      </c>
      <c r="O107" s="387" t="s">
        <v>9</v>
      </c>
      <c r="P107" s="387" t="s">
        <v>10</v>
      </c>
      <c r="Q107" s="387" t="s">
        <v>11</v>
      </c>
      <c r="R107" s="387" t="s">
        <v>12</v>
      </c>
      <c r="S107" s="21" t="s">
        <v>766</v>
      </c>
      <c r="T107" s="388"/>
    </row>
    <row r="108">
      <c r="A108" s="389" t="str">
        <f>C106</f>
        <v>David Murphy</v>
      </c>
      <c r="B108" s="389" t="str">
        <f>I106</f>
        <v/>
      </c>
      <c r="C108" s="100">
        <v>1.0</v>
      </c>
      <c r="D108" s="390" t="str">
        <f>IFERROR(__xludf.DUMMYFUNCTION("if($A108="""","""",iferror(join("" &amp; "",filter(Schedule!$P:$P&amp;""-""&amp;Schedule!$Q:$Q,Schedule!$L:$L=$A108,(Schedule!$K:$K=$B108)+(Schedule!$K:$K=""""),Schedule!$P:$P&lt;&gt;"""")),""""))"),"")</f>
        <v/>
      </c>
      <c r="E108" s="390" t="str">
        <f>IFERROR(__xludf.DUMMYFUNCTION("if($A108="""","""",iferror(join("" &amp; "",filter(Schedule!$AE:$AE&amp;""-""&amp;Schedule!$AF:$AF,Schedule!$L:$L=$A108,(Schedule!$K:$K=$B108)+(Schedule!$K:$K=""""),Schedule!$AE:$AE&lt;&gt;"""")),""""))"),"AP World History-2")</f>
        <v>AP World History-2</v>
      </c>
      <c r="F108" s="390" t="str">
        <f>IFERROR(__xludf.DUMMYFUNCTION("if($A108="""","""",iferror(join("" &amp; "",filter(Schedule!$V:$V&amp;""-""&amp;Schedule!$W:$W,Schedule!$L:$L=$A108,(Schedule!$K:$K=$B108)+(Schedule!$K:$K=""""),Schedule!$V:$V&lt;&gt;"""")),""""))"),"")</f>
        <v/>
      </c>
      <c r="G108" s="390" t="str">
        <f>IFERROR(__xludf.DUMMYFUNCTION("if($A108="""","""",iferror(join("" &amp; "",filter(Schedule!$AK:$AK&amp;""-""&amp;Schedule!$AL:$AL,Schedule!$L:$L=$A108,(Schedule!$K:$K=$B108)+(Schedule!$K:$K=""""),Schedule!$AK:$AK&lt;&gt;"""")),""""))"),"")</f>
        <v/>
      </c>
      <c r="H108" s="390" t="str">
        <f>IFERROR(__xludf.DUMMYFUNCTION("if($A108="""","""",iferror(join("" &amp; "",filter(Schedule!$AB:$AB&amp;""-""&amp;Schedule!$AC:$AC,Schedule!$L:$L=$A108,(Schedule!$K:$K=$B108)+(Schedule!$K:$K=""""),Schedule!$AB:$AB&lt;&gt;"""")),""""))"),"AP World History-1")</f>
        <v>AP World History-1</v>
      </c>
      <c r="I108" s="391">
        <f>if(C106="","", 24-countifs(D108:H112,""))</f>
        <v>15</v>
      </c>
      <c r="J108" s="392"/>
      <c r="K108" s="389" t="str">
        <f>M106</f>
        <v/>
      </c>
      <c r="L108" s="389" t="str">
        <f>S106</f>
        <v/>
      </c>
      <c r="M108" s="100">
        <v>1.0</v>
      </c>
      <c r="N108" s="390" t="str">
        <f>IFERROR(__xludf.DUMMYFUNCTION("if($K108="""","""",iferror(join("" &amp; "",filter(Schedule!$P:$P&amp;""-""&amp;Schedule!$Q:$Q,Schedule!$L:$L=$K108,(Schedule!$K:$K=$L108)+(Schedule!$K:$K=""""),Schedule!$P:$P&lt;&gt;"""")),""""))"),"")</f>
        <v/>
      </c>
      <c r="O108" s="390" t="str">
        <f>IFERROR(__xludf.DUMMYFUNCTION("if($K108="""","""",iferror(join("" &amp; "",filter(Schedule!$AE:$AE&amp;""-""&amp;Schedule!$AF:$AF,Schedule!$L:$L=$K108,(Schedule!$K:$K=$L108)+(Schedule!$K:$K=""""),Schedule!$AE:$AE&lt;&gt;"""")),""""))"),"")</f>
        <v/>
      </c>
      <c r="P108" s="390" t="str">
        <f>IFERROR(__xludf.DUMMYFUNCTION("if($K108="""","""",iferror(join("" &amp; "",filter(Schedule!$V:$V&amp;""-""&amp;Schedule!$W:$W,Schedule!$L:$L=$K108,(Schedule!$K:$K=$L108)+(Schedule!$K:$K=""""),Schedule!$V:$V&lt;&gt;"""")),""""))"),"")</f>
        <v/>
      </c>
      <c r="Q108" s="390" t="str">
        <f>IFERROR(__xludf.DUMMYFUNCTION("if($K108="""","""",iferror(join("" &amp; "",filter(Schedule!$AK:$AK&amp;""-""&amp;Schedule!$AL:$AL,Schedule!$L:$L=$K108,(Schedule!$K:$K=$L108)+(Schedule!$K:$K=""""),Schedule!$AK:$AK&lt;&gt;"""")),""""))"),"")</f>
        <v/>
      </c>
      <c r="R108" s="390" t="str">
        <f>IFERROR(__xludf.DUMMYFUNCTION("if($K108="""","""",iferror(join("" &amp; "",filter(Schedule!$AB:$AB&amp;""-""&amp;Schedule!$AC:$AC,Schedule!$L:$L=$K108,(Schedule!$K:$K=$L108)+(Schedule!$K:$K=""""),Schedule!$AB:$AB&lt;&gt;"""")),""""))"),"")</f>
        <v/>
      </c>
      <c r="S108" s="391" t="str">
        <f>if(K108="","", 24-countifs(N108:R112,""))</f>
        <v/>
      </c>
      <c r="T108" s="393"/>
    </row>
    <row r="109">
      <c r="A109" s="389" t="str">
        <f>C106</f>
        <v>David Murphy</v>
      </c>
      <c r="B109" s="389" t="str">
        <f>I106</f>
        <v/>
      </c>
      <c r="C109" s="100">
        <v>2.0</v>
      </c>
      <c r="D109" s="390" t="str">
        <f>IFERROR(__xludf.DUMMYFUNCTION("if($A109="""","""",iferror(join("" &amp; "",filter(Schedule!$S:$S&amp;""-""&amp;Schedule!$T:$T,Schedule!$L:$L=$A109,(Schedule!$K:$K=$B109)+(Schedule!$K:$K=""""),Schedule!$S:$S&lt;&gt;"""")),""""))"),"Global-1")</f>
        <v>Global-1</v>
      </c>
      <c r="E109" s="390" t="str">
        <f>IFERROR(__xludf.DUMMYFUNCTION("if($A109="""","""",iferror(join("" &amp; "",filter(Schedule!$AH:$AH&amp;""-""&amp;Schedule!$AI:$AI,Schedule!$L:$L=$A109,(Schedule!$K:$K=$B109)+(Schedule!$K:$K=""""),Schedule!$AH:$AH&lt;&gt;"""")),""""))"),"Global-3")</f>
        <v>Global-3</v>
      </c>
      <c r="F109" s="390" t="str">
        <f>IFERROR(__xludf.DUMMYFUNCTION("if($A109="""","""",iferror(join("" &amp; "",filter(Schedule!$Y:$Y&amp;""-""&amp;Schedule!$Z:$Z,Schedule!$L:$L=$A109,(Schedule!$K:$K=$B109)+(Schedule!$K:$K=""""),Schedule!$Y:$Y&lt;&gt;"""")),""""))"),"Global-2")</f>
        <v>Global-2</v>
      </c>
      <c r="G109" s="390" t="str">
        <f>IFERROR(__xludf.DUMMYFUNCTION("if($A109="""","""",iferror(join("" &amp; "",filter(Schedule!$P:$P&amp;""-""&amp;Schedule!$Q:$Q,Schedule!$L:$L=$A109,(Schedule!$K:$K=$B109)+(Schedule!$K:$K=""""),Schedule!$P:$P&lt;&gt;"""")),""""))"),"")</f>
        <v/>
      </c>
      <c r="H109" s="390" t="str">
        <f>IFERROR(__xludf.DUMMYFUNCTION("if($A109="""","""",iferror(join("" &amp; "",filter(Schedule!$AE:$AE&amp;""-""&amp;Schedule!$AF:$AF,Schedule!$L:$L=$A109,(Schedule!$K:$K=$B109)+(Schedule!$K:$K=""""),Schedule!$AE:$AE&lt;&gt;"""")),""""))"),"AP World History-2")</f>
        <v>AP World History-2</v>
      </c>
      <c r="I109" s="53"/>
      <c r="J109" s="392"/>
      <c r="K109" s="389" t="str">
        <f>M106</f>
        <v/>
      </c>
      <c r="L109" s="389" t="str">
        <f>S106</f>
        <v/>
      </c>
      <c r="M109" s="100">
        <v>2.0</v>
      </c>
      <c r="N109" s="390" t="str">
        <f>IFERROR(__xludf.DUMMYFUNCTION("if($K109="""","""",iferror(join("" &amp; "",filter(Schedule!$S:$S&amp;""-""&amp;Schedule!$T:$T,Schedule!$L:$L=$K109,(Schedule!$K:$K=$L109)+(Schedule!$K:$K=""""),Schedule!$S:$S&lt;&gt;"""")),""""))"),"")</f>
        <v/>
      </c>
      <c r="O109" s="390" t="str">
        <f>IFERROR(__xludf.DUMMYFUNCTION("if($K109="""","""",iferror(join("" &amp; "",filter(Schedule!$AH:$AH&amp;""-""&amp;Schedule!$AI:$AI,Schedule!$L:$L=$K109,(Schedule!$K:$K=$L109)+(Schedule!$K:$K=""""),Schedule!$AH:$AH&lt;&gt;"""")),""""))"),"")</f>
        <v/>
      </c>
      <c r="P109" s="390" t="str">
        <f>IFERROR(__xludf.DUMMYFUNCTION("if($K109="""","""",iferror(join("" &amp; "",filter(Schedule!$Y:$Y&amp;""-""&amp;Schedule!$Z:$Z,Schedule!$L:$L=$K109,(Schedule!$K:$K=$L109)+(Schedule!$K:$K=""""),Schedule!$Y:$Y&lt;&gt;"""")),""""))"),"")</f>
        <v/>
      </c>
      <c r="Q109" s="390" t="str">
        <f>IFERROR(__xludf.DUMMYFUNCTION("if($K109="""","""",iferror(join("" &amp; "",filter(Schedule!$P:$P&amp;""-""&amp;Schedule!$Q:$Q,Schedule!$L:$L=$K109,(Schedule!$K:$K=$L109)+(Schedule!$K:$K=""""),Schedule!$P:$P&lt;&gt;"""")),""""))"),"")</f>
        <v/>
      </c>
      <c r="R109" s="390" t="str">
        <f>IFERROR(__xludf.DUMMYFUNCTION("if($K109="""","""",iferror(join("" &amp; "",filter(Schedule!$AE:$AE&amp;""-""&amp;Schedule!$AF:$AF,Schedule!$L:$L=$K109,(Schedule!$K:$K=$L109)+(Schedule!$K:$K=""""),Schedule!$AE:$AE&lt;&gt;"""")),""""))"),"")</f>
        <v/>
      </c>
      <c r="S109" s="53"/>
      <c r="T109" s="393"/>
    </row>
    <row r="110">
      <c r="A110" s="389" t="str">
        <f>C106</f>
        <v>David Murphy</v>
      </c>
      <c r="B110" s="389" t="str">
        <f>I106</f>
        <v/>
      </c>
      <c r="C110" s="100">
        <v>3.0</v>
      </c>
      <c r="D110" s="390" t="str">
        <f>IFERROR(__xludf.DUMMYFUNCTION("if($A110="""","""",iferror(join("" &amp; "",filter(Schedule!$V:$V&amp;""-""&amp;Schedule!$W:$W,Schedule!$L:$L=$A110,(Schedule!$K:$K=$B110)+(Schedule!$K:$K=""""),Schedule!$V:$V&lt;&gt;"""")),""""))"),"")</f>
        <v/>
      </c>
      <c r="E110" s="390" t="str">
        <f>IFERROR(__xludf.DUMMYFUNCTION("if($A110="""","""",iferror(join("" &amp; "",filter(Schedule!$AK:$AK&amp;""-""&amp;Schedule!$AL:$AL,Schedule!$L:$L=$A110,(Schedule!$K:$K=$B110)+(Schedule!$K:$K=""""),Schedule!$AK:$AK&lt;&gt;"""")),""""))"),"")</f>
        <v/>
      </c>
      <c r="F110" s="390" t="str">
        <f>IFERROR(__xludf.DUMMYFUNCTION("if($A110="""","""",iferror(join("" &amp; "",filter(Schedule!$AB:$AB&amp;""-""&amp;Schedule!$AC:$AC,Schedule!$L:$L=$A110,(Schedule!$K:$K=$B110)+(Schedule!$K:$K=""""),Schedule!$AB:$AB&lt;&gt;"""")),""""))"),"AP World History-1")</f>
        <v>AP World History-1</v>
      </c>
      <c r="G110" s="390" t="str">
        <f>IFERROR(__xludf.DUMMYFUNCTION("if($A110="""","""",iferror(join("" &amp; "",filter(Schedule!$S:$S&amp;""-""&amp;Schedule!$T:$T,Schedule!$L:$L=$A110,(Schedule!$K:$K=$B110)+(Schedule!$K:$K=""""),Schedule!$S:$S&lt;&gt;"""")),""""))"),"Global-1")</f>
        <v>Global-1</v>
      </c>
      <c r="H110" s="395" t="str">
        <f>if($C106="","","X-Block")</f>
        <v>X-Block</v>
      </c>
      <c r="I110" s="53"/>
      <c r="J110" s="392"/>
      <c r="K110" s="389" t="str">
        <f>M106</f>
        <v/>
      </c>
      <c r="L110" s="389" t="str">
        <f>S106</f>
        <v/>
      </c>
      <c r="M110" s="100">
        <v>3.0</v>
      </c>
      <c r="N110" s="390" t="str">
        <f>IFERROR(__xludf.DUMMYFUNCTION("if($K110="""","""",iferror(join("" &amp; "",filter(Schedule!$V:$V&amp;""-""&amp;Schedule!$W:$W,Schedule!$L:$L=$K110,(Schedule!$K:$K=$L110)+(Schedule!$K:$K=""""),Schedule!$V:$V&lt;&gt;"""")),""""))"),"")</f>
        <v/>
      </c>
      <c r="O110" s="390" t="str">
        <f>IFERROR(__xludf.DUMMYFUNCTION("if($K110="""","""",iferror(join("" &amp; "",filter(Schedule!$AK:$AK&amp;""-""&amp;Schedule!$AL:$AL,Schedule!$L:$L=$K110,(Schedule!$K:$K=$L110)+(Schedule!$K:$K=""""),Schedule!$AK:$AK&lt;&gt;"""")),""""))"),"")</f>
        <v/>
      </c>
      <c r="P110" s="390" t="str">
        <f>IFERROR(__xludf.DUMMYFUNCTION("if($K110="""","""",iferror(join("" &amp; "",filter(Schedule!$AB:$AB&amp;""-""&amp;Schedule!$AC:$AC,Schedule!$L:$L=$K110,(Schedule!$K:$K=$L110)+(Schedule!$K:$K=""""),Schedule!$AB:$AB&lt;&gt;"""")),""""))"),"")</f>
        <v/>
      </c>
      <c r="Q110" s="390" t="str">
        <f>IFERROR(__xludf.DUMMYFUNCTION("if($K110="""","""",iferror(join("" &amp; "",filter(Schedule!$S:$S&amp;""-""&amp;Schedule!$T:$T,Schedule!$L:$L=$K110,(Schedule!$K:$K=$L110)+(Schedule!$K:$K=""""),Schedule!$S:$S&lt;&gt;"""")),""""))"),"")</f>
        <v/>
      </c>
      <c r="R110" s="395" t="str">
        <f>if($M106="","","X-Block")</f>
        <v/>
      </c>
      <c r="S110" s="53"/>
      <c r="T110" s="393"/>
    </row>
    <row r="111">
      <c r="A111" s="389" t="str">
        <f>C106</f>
        <v>David Murphy</v>
      </c>
      <c r="B111" s="389" t="str">
        <f>I106</f>
        <v/>
      </c>
      <c r="C111" s="100">
        <v>4.0</v>
      </c>
      <c r="D111" s="390" t="str">
        <f>IFERROR(__xludf.DUMMYFUNCTION("if($A111="""","""",iferror(join("" &amp; "",filter(Schedule!$Y:$Y&amp;""-""&amp;Schedule!$Z:$Z,Schedule!$L:$L=$A111,(Schedule!$K:$K=$B111)+(Schedule!$K:$K=""""),Schedule!$Y:$Y&lt;&gt;"""")),""""))"),"Global-2")</f>
        <v>Global-2</v>
      </c>
      <c r="E111" s="390" t="str">
        <f>IFERROR(__xludf.DUMMYFUNCTION("if($A111="""","""",iferror(join("" &amp; "",filter(Schedule!$P:$P&amp;""-""&amp;Schedule!$Q:$Q,Schedule!$L:$L=$A111,(Schedule!$K:$K=$B111)+(Schedule!$K:$K=""""),Schedule!$P:$P&lt;&gt;"""")),""""))"),"")</f>
        <v/>
      </c>
      <c r="F111" s="390" t="str">
        <f>IFERROR(__xludf.DUMMYFUNCTION("if($A111="""","""",iferror(join("" &amp; "",filter(Schedule!$AE:$AE&amp;""-""&amp;Schedule!$AF:$AF,Schedule!$L:$L=$A111,(Schedule!$K:$K=$B111)+(Schedule!$K:$K=""""),Schedule!$AE:$AE&lt;&gt;"""")),""""))"),"AP World History-2")</f>
        <v>AP World History-2</v>
      </c>
      <c r="G111" s="390" t="str">
        <f>IFERROR(__xludf.DUMMYFUNCTION("if($A111="""","""",iferror(join("" &amp; "",filter(Schedule!$V:$V&amp;""-""&amp;Schedule!$W:$W,Schedule!$L:$L=$A111,(Schedule!$K:$K=$B111)+(Schedule!$K:$K=""""),Schedule!$V:$V&lt;&gt;"""")),""""))"),"")</f>
        <v/>
      </c>
      <c r="H111" s="390" t="str">
        <f>IFERROR(__xludf.DUMMYFUNCTION("if($A111="""","""",iferror(join("" &amp; "",filter(Schedule!$AH:$AH&amp;""-""&amp;Schedule!$AI:$AI,Schedule!$L:$L=$A111,(Schedule!$K:$K=$B111)+(Schedule!$K:$K=""""),Schedule!$AH:$AH&lt;&gt;"""")),""""))"),"Global-3")</f>
        <v>Global-3</v>
      </c>
      <c r="I111" s="53"/>
      <c r="J111" s="392"/>
      <c r="K111" s="389" t="str">
        <f>M106</f>
        <v/>
      </c>
      <c r="L111" s="389" t="str">
        <f>S106</f>
        <v/>
      </c>
      <c r="M111" s="100">
        <v>4.0</v>
      </c>
      <c r="N111" s="390" t="str">
        <f>IFERROR(__xludf.DUMMYFUNCTION("if($K111="""","""",iferror(join("" &amp; "",filter(Schedule!$Y:$Y&amp;""-""&amp;Schedule!$Z:$Z,Schedule!$L:$L=$K111,(Schedule!$K:$K=$L111)+(Schedule!$K:$K=""""),Schedule!$Y:$Y&lt;&gt;"""")),""""))"),"")</f>
        <v/>
      </c>
      <c r="O111" s="390" t="str">
        <f>IFERROR(__xludf.DUMMYFUNCTION("if($K111="""","""",iferror(join("" &amp; "",filter(Schedule!$P:$P&amp;""-""&amp;Schedule!$Q:$Q,Schedule!$L:$L=$K111,(Schedule!$K:$K=$L111)+(Schedule!$K:$K=""""),Schedule!$P:$P&lt;&gt;"""")),""""))"),"")</f>
        <v/>
      </c>
      <c r="P111" s="390" t="str">
        <f>IFERROR(__xludf.DUMMYFUNCTION("if($K111="""","""",iferror(join("" &amp; "",filter(Schedule!$AE:$AE&amp;""-""&amp;Schedule!$AF:$AF,Schedule!$L:$L=$K111,(Schedule!$K:$K=$L111)+(Schedule!$K:$K=""""),Schedule!$AE:$AE&lt;&gt;"""")),""""))"),"")</f>
        <v/>
      </c>
      <c r="Q111" s="390" t="str">
        <f>IFERROR(__xludf.DUMMYFUNCTION("if($K111="""","""",iferror(join("" &amp; "",filter(Schedule!$V:$V&amp;""-""&amp;Schedule!$W:$W,Schedule!$L:$L=$K111,(Schedule!$K:$K=$L111)+(Schedule!$K:$K=""""),Schedule!$V:$V&lt;&gt;"""")),""""))"),"")</f>
        <v/>
      </c>
      <c r="R111" s="390" t="str">
        <f>IFERROR(__xludf.DUMMYFUNCTION("if($K111="""","""",iferror(join("" &amp; "",filter(Schedule!$AH:$AH&amp;""-""&amp;Schedule!$AI:$AI,Schedule!$L:$L=$K111,(Schedule!$K:$K=$L111)+(Schedule!$K:$K=""""),Schedule!$AH:$AH&lt;&gt;"""")),""""))"),"")</f>
        <v/>
      </c>
      <c r="S111" s="53"/>
      <c r="T111" s="393"/>
    </row>
    <row r="112">
      <c r="A112" s="389" t="str">
        <f>C106</f>
        <v>David Murphy</v>
      </c>
      <c r="B112" s="389" t="str">
        <f>I106</f>
        <v/>
      </c>
      <c r="C112" s="100">
        <v>5.0</v>
      </c>
      <c r="D112" s="390" t="str">
        <f>IFERROR(__xludf.DUMMYFUNCTION("if($A112="""","""",iferror(join("" &amp; "",filter(Schedule!$AB:$AB&amp;""-""&amp;Schedule!$AC:$AC,Schedule!$L:$L=$A112,(Schedule!$K:$K=$B112)+(Schedule!$K:$K=""""),Schedule!$AB:$AB&lt;&gt;"""")),""""))"),"AP World History-1")</f>
        <v>AP World History-1</v>
      </c>
      <c r="E112" s="390" t="str">
        <f>IFERROR(__xludf.DUMMYFUNCTION("if($A112="""","""",iferror(join("" &amp; "",filter(Schedule!$S:$S&amp;""-""&amp;Schedule!$T:$T,Schedule!$L:$L=$A112,(Schedule!$K:$K=$B112)+(Schedule!$K:$K=""""),Schedule!$S:$S&lt;&gt;"""")),""""))"),"Global-1")</f>
        <v>Global-1</v>
      </c>
      <c r="F112" s="390" t="str">
        <f>IFERROR(__xludf.DUMMYFUNCTION("if($A112="""","""",iferror(join("" &amp; "",filter(Schedule!$AH:$AH&amp;""-""&amp;Schedule!$AI:$AI,Schedule!$L:$L=$A112,(Schedule!$K:$K=$B112)+(Schedule!$K:$K=""""),Schedule!$AH:$AH&lt;&gt;"""")),""""))"),"Global-3")</f>
        <v>Global-3</v>
      </c>
      <c r="G112" s="390" t="str">
        <f>IFERROR(__xludf.DUMMYFUNCTION("if($A112="""","""",iferror(join("" &amp; "",filter(Schedule!$Y:$Y&amp;""-""&amp;Schedule!$Z:$Z,Schedule!$L:$L=$A112,(Schedule!$K:$K=$B112)+(Schedule!$K:$K=""""),Schedule!$Y:$Y&lt;&gt;"""")),""""))"),"Global-2")</f>
        <v>Global-2</v>
      </c>
      <c r="H112" s="390" t="str">
        <f>IFERROR(__xludf.DUMMYFUNCTION("if($A112="""","""",iferror(join("" &amp; "",filter(Schedule!$AK:$AK&amp;""-""&amp;Schedule!$AL:$AL,Schedule!$L:$L=$A112,(Schedule!$K:$K=$B112)+(Schedule!$K:$K=""""),Schedule!$AK:$AK&lt;&gt;"""")),""""))"),"")</f>
        <v/>
      </c>
      <c r="I112" s="68"/>
      <c r="J112" s="392"/>
      <c r="K112" s="389" t="str">
        <f>M106</f>
        <v/>
      </c>
      <c r="L112" s="389" t="str">
        <f>S106</f>
        <v/>
      </c>
      <c r="M112" s="100">
        <v>5.0</v>
      </c>
      <c r="N112" s="390" t="str">
        <f>IFERROR(__xludf.DUMMYFUNCTION("if($K112="""","""",iferror(join("" &amp; "",filter(Schedule!$AB:$AB&amp;""-""&amp;Schedule!$AC:$AC,Schedule!$L:$L=$K112,(Schedule!$K:$K=$L112)+(Schedule!$K:$K=""""),Schedule!$AB:$AB&lt;&gt;"""")),""""))"),"")</f>
        <v/>
      </c>
      <c r="O112" s="390" t="str">
        <f>IFERROR(__xludf.DUMMYFUNCTION("if($K112="""","""",iferror(join("" &amp; "",filter(Schedule!$S:$S&amp;""-""&amp;Schedule!$T:$T,Schedule!$L:$L=$K112,(Schedule!$K:$K=$L112)+(Schedule!$K:$K=""""),Schedule!$S:$S&lt;&gt;"""")),""""))"),"")</f>
        <v/>
      </c>
      <c r="P112" s="390" t="str">
        <f>IFERROR(__xludf.DUMMYFUNCTION("if($K112="""","""",iferror(join("" &amp; "",filter(Schedule!$AH:$AH&amp;""-""&amp;Schedule!$AI:$AI,Schedule!$L:$L=$K112,(Schedule!$K:$K=$L112)+(Schedule!$K:$K=""""),Schedule!$AH:$AH&lt;&gt;"""")),""""))"),"")</f>
        <v/>
      </c>
      <c r="Q112" s="390" t="str">
        <f>IFERROR(__xludf.DUMMYFUNCTION("if($K112="""","""",iferror(join("" &amp; "",filter(Schedule!$Y:$Y&amp;""-""&amp;Schedule!$Z:$Z,Schedule!$L:$L=$K112,(Schedule!$K:$K=$L112)+(Schedule!$K:$K=""""),Schedule!$Y:$Y&lt;&gt;"""")),""""))"),"")</f>
        <v/>
      </c>
      <c r="R112" s="390" t="str">
        <f>IFERROR(__xludf.DUMMYFUNCTION("if($K112="""","""",iferror(join("" &amp; "",filter(Schedule!$AK:$AK&amp;""-""&amp;Schedule!$AL:$AL,Schedule!$L:$L=$K112,(Schedule!$K:$K=$L112)+(Schedule!$K:$K=""""),Schedule!$AK:$AK&lt;&gt;"""")),""""))"),"")</f>
        <v/>
      </c>
      <c r="S112" s="68"/>
      <c r="T112" s="393"/>
    </row>
    <row r="113">
      <c r="C113" s="3"/>
      <c r="D113" s="396"/>
      <c r="E113" s="396"/>
      <c r="F113" s="396"/>
      <c r="G113" s="396"/>
      <c r="H113" s="396"/>
      <c r="N113" s="397"/>
      <c r="O113" s="397"/>
      <c r="P113" s="397"/>
      <c r="Q113" s="397"/>
      <c r="R113" s="397"/>
    </row>
    <row r="114">
      <c r="A114" s="45"/>
      <c r="B114" s="45"/>
      <c r="C114" s="386" t="str">
        <f>Teachers!A15</f>
        <v>Emily Butterworth</v>
      </c>
      <c r="D114" s="383"/>
      <c r="E114" s="383"/>
      <c r="F114" s="383"/>
      <c r="G114" s="383"/>
      <c r="H114" s="384"/>
      <c r="I114" s="385" t="str">
        <f>IFERROR(__xludf.DUMMYFUNCTION("if(C114="""","""", iferror(filter(Schedule!$K:$K,Schedule!$L:$L=$C114,Schedule!$K:$K=""S1""),unique(filter(Schedule!$K:$K,Schedule!$L:$L=$C114,Schedule!$K:$K=""""))))"),"")</f>
        <v/>
      </c>
      <c r="M114" s="386" t="str">
        <f>if(S114="","",C114)</f>
        <v/>
      </c>
      <c r="N114" s="383"/>
      <c r="O114" s="383"/>
      <c r="P114" s="383"/>
      <c r="Q114" s="383"/>
      <c r="R114" s="384"/>
      <c r="S114" s="385" t="str">
        <f>if(I114="S1","S2","")</f>
        <v/>
      </c>
      <c r="T114" s="112"/>
    </row>
    <row r="115">
      <c r="A115" s="116"/>
      <c r="B115" s="116"/>
      <c r="C115" s="100" t="s">
        <v>7</v>
      </c>
      <c r="D115" s="387" t="s">
        <v>8</v>
      </c>
      <c r="E115" s="387" t="s">
        <v>9</v>
      </c>
      <c r="F115" s="387" t="s">
        <v>10</v>
      </c>
      <c r="G115" s="387" t="s">
        <v>11</v>
      </c>
      <c r="H115" s="387" t="s">
        <v>12</v>
      </c>
      <c r="I115" s="21" t="s">
        <v>766</v>
      </c>
      <c r="J115" s="116"/>
      <c r="K115" s="116"/>
      <c r="L115" s="116"/>
      <c r="M115" s="100" t="s">
        <v>7</v>
      </c>
      <c r="N115" s="387" t="s">
        <v>8</v>
      </c>
      <c r="O115" s="387" t="s">
        <v>9</v>
      </c>
      <c r="P115" s="387" t="s">
        <v>10</v>
      </c>
      <c r="Q115" s="387" t="s">
        <v>11</v>
      </c>
      <c r="R115" s="387" t="s">
        <v>12</v>
      </c>
      <c r="S115" s="21" t="s">
        <v>766</v>
      </c>
      <c r="T115" s="388"/>
    </row>
    <row r="116">
      <c r="A116" s="389" t="str">
        <f>C114</f>
        <v>Emily Butterworth</v>
      </c>
      <c r="B116" s="389" t="str">
        <f>I114</f>
        <v/>
      </c>
      <c r="C116" s="100">
        <v>1.0</v>
      </c>
      <c r="D116" s="390" t="str">
        <f>IFERROR(__xludf.DUMMYFUNCTION("if($A116="""","""",iferror(join("" &amp; "",filter(Schedule!$P:$P&amp;""-""&amp;Schedule!$Q:$Q,Schedule!$L:$L=$A116,(Schedule!$K:$K=$B116)+(Schedule!$K:$K=""""),Schedule!$P:$P&lt;&gt;"""")),""""))"),"AP Research-1")</f>
        <v>AP Research-1</v>
      </c>
      <c r="E116" s="390" t="str">
        <f>IFERROR(__xludf.DUMMYFUNCTION("if($A116="""","""",iferror(join("" &amp; "",filter(Schedule!$AE:$AE&amp;""-""&amp;Schedule!$AF:$AF,Schedule!$L:$L=$A116,(Schedule!$K:$K=$B116)+(Schedule!$K:$K=""""),Schedule!$AE:$AE&lt;&gt;"""")),""""))"),"")</f>
        <v/>
      </c>
      <c r="F116" s="390" t="str">
        <f>IFERROR(__xludf.DUMMYFUNCTION("if($A116="""","""",iferror(join("" &amp; "",filter(Schedule!$V:$V&amp;""-""&amp;Schedule!$W:$W,Schedule!$L:$L=$A116,(Schedule!$K:$K=$B116)+(Schedule!$K:$K=""""),Schedule!$V:$V&lt;&gt;"""")),""""))"),"")</f>
        <v/>
      </c>
      <c r="G116" s="390" t="str">
        <f>IFERROR(__xludf.DUMMYFUNCTION("if($A116="""","""",iferror(join("" &amp; "",filter(Schedule!$AK:$AK&amp;""-""&amp;Schedule!$AL:$AL,Schedule!$L:$L=$A116,(Schedule!$K:$K=$B116)+(Schedule!$K:$K=""""),Schedule!$AK:$AK&lt;&gt;"""")),""""))"),"")</f>
        <v/>
      </c>
      <c r="H116" s="390" t="str">
        <f>IFERROR(__xludf.DUMMYFUNCTION("if($A116="""","""",iferror(join("" &amp; "",filter(Schedule!$AB:$AB&amp;""-""&amp;Schedule!$AC:$AC,Schedule!$L:$L=$A116,(Schedule!$K:$K=$B116)+(Schedule!$K:$K=""""),Schedule!$AB:$AB&lt;&gt;"""")),""""))"),"")</f>
        <v/>
      </c>
      <c r="I116" s="391">
        <f>if(C114="","", 24-countifs(D116:H120,""))</f>
        <v>3</v>
      </c>
      <c r="J116" s="392"/>
      <c r="K116" s="389" t="str">
        <f>M114</f>
        <v/>
      </c>
      <c r="L116" s="389" t="str">
        <f>S114</f>
        <v/>
      </c>
      <c r="M116" s="100">
        <v>1.0</v>
      </c>
      <c r="N116" s="390" t="str">
        <f>IFERROR(__xludf.DUMMYFUNCTION("if($K116="""","""",iferror(join("" &amp; "",filter(Schedule!$P:$P&amp;""-""&amp;Schedule!$Q:$Q,Schedule!$L:$L=$K116,(Schedule!$K:$K=$L116)+(Schedule!$K:$K=""""),Schedule!$P:$P&lt;&gt;"""")),""""))"),"")</f>
        <v/>
      </c>
      <c r="O116" s="390" t="str">
        <f>IFERROR(__xludf.DUMMYFUNCTION("if($K116="""","""",iferror(join("" &amp; "",filter(Schedule!$AE:$AE&amp;""-""&amp;Schedule!$AF:$AF,Schedule!$L:$L=$K116,(Schedule!$K:$K=$L116)+(Schedule!$K:$K=""""),Schedule!$AE:$AE&lt;&gt;"""")),""""))"),"")</f>
        <v/>
      </c>
      <c r="P116" s="390" t="str">
        <f>IFERROR(__xludf.DUMMYFUNCTION("if($K116="""","""",iferror(join("" &amp; "",filter(Schedule!$V:$V&amp;""-""&amp;Schedule!$W:$W,Schedule!$L:$L=$K116,(Schedule!$K:$K=$L116)+(Schedule!$K:$K=""""),Schedule!$V:$V&lt;&gt;"""")),""""))"),"")</f>
        <v/>
      </c>
      <c r="Q116" s="390" t="str">
        <f>IFERROR(__xludf.DUMMYFUNCTION("if($K116="""","""",iferror(join("" &amp; "",filter(Schedule!$AK:$AK&amp;""-""&amp;Schedule!$AL:$AL,Schedule!$L:$L=$K116,(Schedule!$K:$K=$L116)+(Schedule!$K:$K=""""),Schedule!$AK:$AK&lt;&gt;"""")),""""))"),"")</f>
        <v/>
      </c>
      <c r="R116" s="390" t="str">
        <f>IFERROR(__xludf.DUMMYFUNCTION("if($K116="""","""",iferror(join("" &amp; "",filter(Schedule!$AB:$AB&amp;""-""&amp;Schedule!$AC:$AC,Schedule!$L:$L=$K116,(Schedule!$K:$K=$L116)+(Schedule!$K:$K=""""),Schedule!$AB:$AB&lt;&gt;"""")),""""))"),"")</f>
        <v/>
      </c>
      <c r="S116" s="391" t="str">
        <f>if(K116="","", 24-countifs(N116:R120,""))</f>
        <v/>
      </c>
      <c r="T116" s="393"/>
    </row>
    <row r="117">
      <c r="A117" s="389" t="str">
        <f>C114</f>
        <v>Emily Butterworth</v>
      </c>
      <c r="B117" s="389" t="str">
        <f>I114</f>
        <v/>
      </c>
      <c r="C117" s="100">
        <v>2.0</v>
      </c>
      <c r="D117" s="390" t="str">
        <f>IFERROR(__xludf.DUMMYFUNCTION("if($A117="""","""",iferror(join("" &amp; "",filter(Schedule!$S:$S&amp;""-""&amp;Schedule!$T:$T,Schedule!$L:$L=$A117,(Schedule!$K:$K=$B117)+(Schedule!$K:$K=""""),Schedule!$S:$S&lt;&gt;"""")),""""))"),"")</f>
        <v/>
      </c>
      <c r="E117" s="390" t="str">
        <f>IFERROR(__xludf.DUMMYFUNCTION("if($A117="""","""",iferror(join("" &amp; "",filter(Schedule!$AH:$AH&amp;""-""&amp;Schedule!$AI:$AI,Schedule!$L:$L=$A117,(Schedule!$K:$K=$B117)+(Schedule!$K:$K=""""),Schedule!$AH:$AH&lt;&gt;"""")),""""))"),"")</f>
        <v/>
      </c>
      <c r="F117" s="390" t="str">
        <f>IFERROR(__xludf.DUMMYFUNCTION("if($A117="""","""",iferror(join("" &amp; "",filter(Schedule!$Y:$Y&amp;""-""&amp;Schedule!$Z:$Z,Schedule!$L:$L=$A117,(Schedule!$K:$K=$B117)+(Schedule!$K:$K=""""),Schedule!$Y:$Y&lt;&gt;"""")),""""))"),"")</f>
        <v/>
      </c>
      <c r="G117" s="390" t="str">
        <f>IFERROR(__xludf.DUMMYFUNCTION("if($A117="""","""",iferror(join("" &amp; "",filter(Schedule!$P:$P&amp;""-""&amp;Schedule!$Q:$Q,Schedule!$L:$L=$A117,(Schedule!$K:$K=$B117)+(Schedule!$K:$K=""""),Schedule!$P:$P&lt;&gt;"""")),""""))"),"AP Research-1")</f>
        <v>AP Research-1</v>
      </c>
      <c r="H117" s="390" t="str">
        <f>IFERROR(__xludf.DUMMYFUNCTION("if($A117="""","""",iferror(join("" &amp; "",filter(Schedule!$AE:$AE&amp;""-""&amp;Schedule!$AF:$AF,Schedule!$L:$L=$A117,(Schedule!$K:$K=$B117)+(Schedule!$K:$K=""""),Schedule!$AE:$AE&lt;&gt;"""")),""""))"),"")</f>
        <v/>
      </c>
      <c r="I117" s="53"/>
      <c r="J117" s="392"/>
      <c r="K117" s="389" t="str">
        <f>M114</f>
        <v/>
      </c>
      <c r="L117" s="389" t="str">
        <f>S114</f>
        <v/>
      </c>
      <c r="M117" s="100">
        <v>2.0</v>
      </c>
      <c r="N117" s="390" t="str">
        <f>IFERROR(__xludf.DUMMYFUNCTION("if($K117="""","""",iferror(join("" &amp; "",filter(Schedule!$S:$S&amp;""-""&amp;Schedule!$T:$T,Schedule!$L:$L=$K117,(Schedule!$K:$K=$L117)+(Schedule!$K:$K=""""),Schedule!$S:$S&lt;&gt;"""")),""""))"),"")</f>
        <v/>
      </c>
      <c r="O117" s="390" t="str">
        <f>IFERROR(__xludf.DUMMYFUNCTION("if($K117="""","""",iferror(join("" &amp; "",filter(Schedule!$AH:$AH&amp;""-""&amp;Schedule!$AI:$AI,Schedule!$L:$L=$K117,(Schedule!$K:$K=$L117)+(Schedule!$K:$K=""""),Schedule!$AH:$AH&lt;&gt;"""")),""""))"),"")</f>
        <v/>
      </c>
      <c r="P117" s="390" t="str">
        <f>IFERROR(__xludf.DUMMYFUNCTION("if($K117="""","""",iferror(join("" &amp; "",filter(Schedule!$Y:$Y&amp;""-""&amp;Schedule!$Z:$Z,Schedule!$L:$L=$K117,(Schedule!$K:$K=$L117)+(Schedule!$K:$K=""""),Schedule!$Y:$Y&lt;&gt;"""")),""""))"),"")</f>
        <v/>
      </c>
      <c r="Q117" s="390" t="str">
        <f>IFERROR(__xludf.DUMMYFUNCTION("if($K117="""","""",iferror(join("" &amp; "",filter(Schedule!$P:$P&amp;""-""&amp;Schedule!$Q:$Q,Schedule!$L:$L=$K117,(Schedule!$K:$K=$L117)+(Schedule!$K:$K=""""),Schedule!$P:$P&lt;&gt;"""")),""""))"),"")</f>
        <v/>
      </c>
      <c r="R117" s="390" t="str">
        <f>IFERROR(__xludf.DUMMYFUNCTION("if($K117="""","""",iferror(join("" &amp; "",filter(Schedule!$AE:$AE&amp;""-""&amp;Schedule!$AF:$AF,Schedule!$L:$L=$K117,(Schedule!$K:$K=$L117)+(Schedule!$K:$K=""""),Schedule!$AE:$AE&lt;&gt;"""")),""""))"),"")</f>
        <v/>
      </c>
      <c r="S117" s="53"/>
      <c r="T117" s="393"/>
    </row>
    <row r="118">
      <c r="A118" s="389" t="str">
        <f>C114</f>
        <v>Emily Butterworth</v>
      </c>
      <c r="B118" s="389" t="str">
        <f>I114</f>
        <v/>
      </c>
      <c r="C118" s="100">
        <v>3.0</v>
      </c>
      <c r="D118" s="390" t="str">
        <f>IFERROR(__xludf.DUMMYFUNCTION("if($A118="""","""",iferror(join("" &amp; "",filter(Schedule!$V:$V&amp;""-""&amp;Schedule!$W:$W,Schedule!$L:$L=$A118,(Schedule!$K:$K=$B118)+(Schedule!$K:$K=""""),Schedule!$V:$V&lt;&gt;"""")),""""))"),"")</f>
        <v/>
      </c>
      <c r="E118" s="390" t="str">
        <f>IFERROR(__xludf.DUMMYFUNCTION("if($A118="""","""",iferror(join("" &amp; "",filter(Schedule!$AK:$AK&amp;""-""&amp;Schedule!$AL:$AL,Schedule!$L:$L=$A118,(Schedule!$K:$K=$B118)+(Schedule!$K:$K=""""),Schedule!$AK:$AK&lt;&gt;"""")),""""))"),"")</f>
        <v/>
      </c>
      <c r="F118" s="390" t="str">
        <f>IFERROR(__xludf.DUMMYFUNCTION("if($A118="""","""",iferror(join("" &amp; "",filter(Schedule!$AB:$AB&amp;""-""&amp;Schedule!$AC:$AC,Schedule!$L:$L=$A118,(Schedule!$K:$K=$B118)+(Schedule!$K:$K=""""),Schedule!$AB:$AB&lt;&gt;"""")),""""))"),"")</f>
        <v/>
      </c>
      <c r="G118" s="390" t="str">
        <f>IFERROR(__xludf.DUMMYFUNCTION("if($A118="""","""",iferror(join("" &amp; "",filter(Schedule!$S:$S&amp;""-""&amp;Schedule!$T:$T,Schedule!$L:$L=$A118,(Schedule!$K:$K=$B118)+(Schedule!$K:$K=""""),Schedule!$S:$S&lt;&gt;"""")),""""))"),"")</f>
        <v/>
      </c>
      <c r="H118" s="395" t="str">
        <f>if($C114="","","X-Block")</f>
        <v>X-Block</v>
      </c>
      <c r="I118" s="53"/>
      <c r="J118" s="392"/>
      <c r="K118" s="389" t="str">
        <f>M114</f>
        <v/>
      </c>
      <c r="L118" s="389" t="str">
        <f>S114</f>
        <v/>
      </c>
      <c r="M118" s="100">
        <v>3.0</v>
      </c>
      <c r="N118" s="390" t="str">
        <f>IFERROR(__xludf.DUMMYFUNCTION("if($K118="""","""",iferror(join("" &amp; "",filter(Schedule!$V:$V&amp;""-""&amp;Schedule!$W:$W,Schedule!$L:$L=$K118,(Schedule!$K:$K=$L118)+(Schedule!$K:$K=""""),Schedule!$V:$V&lt;&gt;"""")),""""))"),"")</f>
        <v/>
      </c>
      <c r="O118" s="390" t="str">
        <f>IFERROR(__xludf.DUMMYFUNCTION("if($K118="""","""",iferror(join("" &amp; "",filter(Schedule!$AK:$AK&amp;""-""&amp;Schedule!$AL:$AL,Schedule!$L:$L=$K118,(Schedule!$K:$K=$L118)+(Schedule!$K:$K=""""),Schedule!$AK:$AK&lt;&gt;"""")),""""))"),"")</f>
        <v/>
      </c>
      <c r="P118" s="390" t="str">
        <f>IFERROR(__xludf.DUMMYFUNCTION("if($K118="""","""",iferror(join("" &amp; "",filter(Schedule!$AB:$AB&amp;""-""&amp;Schedule!$AC:$AC,Schedule!$L:$L=$K118,(Schedule!$K:$K=$L118)+(Schedule!$K:$K=""""),Schedule!$AB:$AB&lt;&gt;"""")),""""))"),"")</f>
        <v/>
      </c>
      <c r="Q118" s="390" t="str">
        <f>IFERROR(__xludf.DUMMYFUNCTION("if($K118="""","""",iferror(join("" &amp; "",filter(Schedule!$S:$S&amp;""-""&amp;Schedule!$T:$T,Schedule!$L:$L=$K118,(Schedule!$K:$K=$L118)+(Schedule!$K:$K=""""),Schedule!$S:$S&lt;&gt;"""")),""""))"),"")</f>
        <v/>
      </c>
      <c r="R118" s="395" t="str">
        <f>if($M114="","","X-Block")</f>
        <v/>
      </c>
      <c r="S118" s="53"/>
      <c r="T118" s="393"/>
    </row>
    <row r="119">
      <c r="A119" s="389" t="str">
        <f>C114</f>
        <v>Emily Butterworth</v>
      </c>
      <c r="B119" s="389" t="str">
        <f>I114</f>
        <v/>
      </c>
      <c r="C119" s="100">
        <v>4.0</v>
      </c>
      <c r="D119" s="390" t="str">
        <f>IFERROR(__xludf.DUMMYFUNCTION("if($A119="""","""",iferror(join("" &amp; "",filter(Schedule!$Y:$Y&amp;""-""&amp;Schedule!$Z:$Z,Schedule!$L:$L=$A119,(Schedule!$K:$K=$B119)+(Schedule!$K:$K=""""),Schedule!$Y:$Y&lt;&gt;"""")),""""))"),"")</f>
        <v/>
      </c>
      <c r="E119" s="390" t="str">
        <f>IFERROR(__xludf.DUMMYFUNCTION("if($A119="""","""",iferror(join("" &amp; "",filter(Schedule!$P:$P&amp;""-""&amp;Schedule!$Q:$Q,Schedule!$L:$L=$A119,(Schedule!$K:$K=$B119)+(Schedule!$K:$K=""""),Schedule!$P:$P&lt;&gt;"""")),""""))"),"AP Research-1")</f>
        <v>AP Research-1</v>
      </c>
      <c r="F119" s="390" t="str">
        <f>IFERROR(__xludf.DUMMYFUNCTION("if($A119="""","""",iferror(join("" &amp; "",filter(Schedule!$AE:$AE&amp;""-""&amp;Schedule!$AF:$AF,Schedule!$L:$L=$A119,(Schedule!$K:$K=$B119)+(Schedule!$K:$K=""""),Schedule!$AE:$AE&lt;&gt;"""")),""""))"),"")</f>
        <v/>
      </c>
      <c r="G119" s="390" t="str">
        <f>IFERROR(__xludf.DUMMYFUNCTION("if($A119="""","""",iferror(join("" &amp; "",filter(Schedule!$V:$V&amp;""-""&amp;Schedule!$W:$W,Schedule!$L:$L=$A119,(Schedule!$K:$K=$B119)+(Schedule!$K:$K=""""),Schedule!$V:$V&lt;&gt;"""")),""""))"),"")</f>
        <v/>
      </c>
      <c r="H119" s="390" t="str">
        <f>IFERROR(__xludf.DUMMYFUNCTION("if($A119="""","""",iferror(join("" &amp; "",filter(Schedule!$AH:$AH&amp;""-""&amp;Schedule!$AI:$AI,Schedule!$L:$L=$A119,(Schedule!$K:$K=$B119)+(Schedule!$K:$K=""""),Schedule!$AH:$AH&lt;&gt;"""")),""""))"),"")</f>
        <v/>
      </c>
      <c r="I119" s="53"/>
      <c r="J119" s="392"/>
      <c r="K119" s="389" t="str">
        <f>M114</f>
        <v/>
      </c>
      <c r="L119" s="389" t="str">
        <f>S114</f>
        <v/>
      </c>
      <c r="M119" s="100">
        <v>4.0</v>
      </c>
      <c r="N119" s="390" t="str">
        <f>IFERROR(__xludf.DUMMYFUNCTION("if($K119="""","""",iferror(join("" &amp; "",filter(Schedule!$Y:$Y&amp;""-""&amp;Schedule!$Z:$Z,Schedule!$L:$L=$K119,(Schedule!$K:$K=$L119)+(Schedule!$K:$K=""""),Schedule!$Y:$Y&lt;&gt;"""")),""""))"),"")</f>
        <v/>
      </c>
      <c r="O119" s="390" t="str">
        <f>IFERROR(__xludf.DUMMYFUNCTION("if($K119="""","""",iferror(join("" &amp; "",filter(Schedule!$P:$P&amp;""-""&amp;Schedule!$Q:$Q,Schedule!$L:$L=$K119,(Schedule!$K:$K=$L119)+(Schedule!$K:$K=""""),Schedule!$P:$P&lt;&gt;"""")),""""))"),"")</f>
        <v/>
      </c>
      <c r="P119" s="390" t="str">
        <f>IFERROR(__xludf.DUMMYFUNCTION("if($K119="""","""",iferror(join("" &amp; "",filter(Schedule!$AE:$AE&amp;""-""&amp;Schedule!$AF:$AF,Schedule!$L:$L=$K119,(Schedule!$K:$K=$L119)+(Schedule!$K:$K=""""),Schedule!$AE:$AE&lt;&gt;"""")),""""))"),"")</f>
        <v/>
      </c>
      <c r="Q119" s="390" t="str">
        <f>IFERROR(__xludf.DUMMYFUNCTION("if($K119="""","""",iferror(join("" &amp; "",filter(Schedule!$V:$V&amp;""-""&amp;Schedule!$W:$W,Schedule!$L:$L=$K119,(Schedule!$K:$K=$L119)+(Schedule!$K:$K=""""),Schedule!$V:$V&lt;&gt;"""")),""""))"),"")</f>
        <v/>
      </c>
      <c r="R119" s="390" t="str">
        <f>IFERROR(__xludf.DUMMYFUNCTION("if($K119="""","""",iferror(join("" &amp; "",filter(Schedule!$AH:$AH&amp;""-""&amp;Schedule!$AI:$AI,Schedule!$L:$L=$K119,(Schedule!$K:$K=$L119)+(Schedule!$K:$K=""""),Schedule!$AH:$AH&lt;&gt;"""")),""""))"),"")</f>
        <v/>
      </c>
      <c r="S119" s="53"/>
      <c r="T119" s="393"/>
    </row>
    <row r="120">
      <c r="A120" s="389" t="str">
        <f>C114</f>
        <v>Emily Butterworth</v>
      </c>
      <c r="B120" s="389" t="str">
        <f>I114</f>
        <v/>
      </c>
      <c r="C120" s="100">
        <v>5.0</v>
      </c>
      <c r="D120" s="390" t="str">
        <f>IFERROR(__xludf.DUMMYFUNCTION("if($A120="""","""",iferror(join("" &amp; "",filter(Schedule!$AB:$AB&amp;""-""&amp;Schedule!$AC:$AC,Schedule!$L:$L=$A120,(Schedule!$K:$K=$B120)+(Schedule!$K:$K=""""),Schedule!$AB:$AB&lt;&gt;"""")),""""))"),"")</f>
        <v/>
      </c>
      <c r="E120" s="390" t="str">
        <f>IFERROR(__xludf.DUMMYFUNCTION("if($A120="""","""",iferror(join("" &amp; "",filter(Schedule!$S:$S&amp;""-""&amp;Schedule!$T:$T,Schedule!$L:$L=$A120,(Schedule!$K:$K=$B120)+(Schedule!$K:$K=""""),Schedule!$S:$S&lt;&gt;"""")),""""))"),"")</f>
        <v/>
      </c>
      <c r="F120" s="390" t="str">
        <f>IFERROR(__xludf.DUMMYFUNCTION("if($A120="""","""",iferror(join("" &amp; "",filter(Schedule!$AH:$AH&amp;""-""&amp;Schedule!$AI:$AI,Schedule!$L:$L=$A120,(Schedule!$K:$K=$B120)+(Schedule!$K:$K=""""),Schedule!$AH:$AH&lt;&gt;"""")),""""))"),"")</f>
        <v/>
      </c>
      <c r="G120" s="390" t="str">
        <f>IFERROR(__xludf.DUMMYFUNCTION("if($A120="""","""",iferror(join("" &amp; "",filter(Schedule!$Y:$Y&amp;""-""&amp;Schedule!$Z:$Z,Schedule!$L:$L=$A120,(Schedule!$K:$K=$B120)+(Schedule!$K:$K=""""),Schedule!$Y:$Y&lt;&gt;"""")),""""))"),"")</f>
        <v/>
      </c>
      <c r="H120" s="390" t="str">
        <f>IFERROR(__xludf.DUMMYFUNCTION("if($A120="""","""",iferror(join("" &amp; "",filter(Schedule!$AK:$AK&amp;""-""&amp;Schedule!$AL:$AL,Schedule!$L:$L=$A120,(Schedule!$K:$K=$B120)+(Schedule!$K:$K=""""),Schedule!$AK:$AK&lt;&gt;"""")),""""))"),"")</f>
        <v/>
      </c>
      <c r="I120" s="68"/>
      <c r="J120" s="392"/>
      <c r="K120" s="389" t="str">
        <f>M114</f>
        <v/>
      </c>
      <c r="L120" s="389" t="str">
        <f>S114</f>
        <v/>
      </c>
      <c r="M120" s="100">
        <v>5.0</v>
      </c>
      <c r="N120" s="390" t="str">
        <f>IFERROR(__xludf.DUMMYFUNCTION("if($K120="""","""",iferror(join("" &amp; "",filter(Schedule!$AB:$AB&amp;""-""&amp;Schedule!$AC:$AC,Schedule!$L:$L=$K120,(Schedule!$K:$K=$L120)+(Schedule!$K:$K=""""),Schedule!$AB:$AB&lt;&gt;"""")),""""))"),"")</f>
        <v/>
      </c>
      <c r="O120" s="390" t="str">
        <f>IFERROR(__xludf.DUMMYFUNCTION("if($K120="""","""",iferror(join("" &amp; "",filter(Schedule!$S:$S&amp;""-""&amp;Schedule!$T:$T,Schedule!$L:$L=$K120,(Schedule!$K:$K=$L120)+(Schedule!$K:$K=""""),Schedule!$S:$S&lt;&gt;"""")),""""))"),"")</f>
        <v/>
      </c>
      <c r="P120" s="390" t="str">
        <f>IFERROR(__xludf.DUMMYFUNCTION("if($K120="""","""",iferror(join("" &amp; "",filter(Schedule!$AH:$AH&amp;""-""&amp;Schedule!$AI:$AI,Schedule!$L:$L=$K120,(Schedule!$K:$K=$L120)+(Schedule!$K:$K=""""),Schedule!$AH:$AH&lt;&gt;"""")),""""))"),"")</f>
        <v/>
      </c>
      <c r="Q120" s="390" t="str">
        <f>IFERROR(__xludf.DUMMYFUNCTION("if($K120="""","""",iferror(join("" &amp; "",filter(Schedule!$Y:$Y&amp;""-""&amp;Schedule!$Z:$Z,Schedule!$L:$L=$K120,(Schedule!$K:$K=$L120)+(Schedule!$K:$K=""""),Schedule!$Y:$Y&lt;&gt;"""")),""""))"),"")</f>
        <v/>
      </c>
      <c r="R120" s="390" t="str">
        <f>IFERROR(__xludf.DUMMYFUNCTION("if($K120="""","""",iferror(join("" &amp; "",filter(Schedule!$AK:$AK&amp;""-""&amp;Schedule!$AL:$AL,Schedule!$L:$L=$K120,(Schedule!$K:$K=$L120)+(Schedule!$K:$K=""""),Schedule!$AK:$AK&lt;&gt;"""")),""""))"),"")</f>
        <v/>
      </c>
      <c r="S120" s="68"/>
      <c r="T120" s="393"/>
    </row>
    <row r="121">
      <c r="C121" s="3"/>
      <c r="D121" s="396"/>
      <c r="E121" s="396"/>
      <c r="F121" s="396"/>
      <c r="G121" s="396"/>
      <c r="H121" s="396"/>
      <c r="N121" s="397"/>
      <c r="O121" s="397"/>
      <c r="P121" s="397"/>
      <c r="Q121" s="397"/>
      <c r="R121" s="397"/>
    </row>
    <row r="122">
      <c r="A122" s="45"/>
      <c r="B122" s="45"/>
      <c r="C122" s="386" t="str">
        <f>Teachers!A16</f>
        <v>Erika Atehortúa</v>
      </c>
      <c r="D122" s="383"/>
      <c r="E122" s="383"/>
      <c r="F122" s="383"/>
      <c r="G122" s="383"/>
      <c r="H122" s="384"/>
      <c r="I122" s="385" t="str">
        <f>IFERROR(__xludf.DUMMYFUNCTION("if(C122="""","""", iferror(filter(Schedule!$K:$K,Schedule!$L:$L=$C122,Schedule!$K:$K=""S1""),unique(filter(Schedule!$K:$K,Schedule!$L:$L=$C122,Schedule!$K:$K=""""))))"),"")</f>
        <v/>
      </c>
      <c r="M122" s="386" t="str">
        <f>if(S122="","",C122)</f>
        <v/>
      </c>
      <c r="N122" s="383"/>
      <c r="O122" s="383"/>
      <c r="P122" s="383"/>
      <c r="Q122" s="383"/>
      <c r="R122" s="384"/>
      <c r="S122" s="385" t="str">
        <f>if(I122="S1","S2","")</f>
        <v/>
      </c>
      <c r="T122" s="112"/>
    </row>
    <row r="123">
      <c r="A123" s="116"/>
      <c r="B123" s="116"/>
      <c r="C123" s="100" t="s">
        <v>7</v>
      </c>
      <c r="D123" s="387" t="s">
        <v>8</v>
      </c>
      <c r="E123" s="387" t="s">
        <v>9</v>
      </c>
      <c r="F123" s="387" t="s">
        <v>10</v>
      </c>
      <c r="G123" s="387" t="s">
        <v>11</v>
      </c>
      <c r="H123" s="387" t="s">
        <v>12</v>
      </c>
      <c r="I123" s="21" t="s">
        <v>766</v>
      </c>
      <c r="J123" s="116"/>
      <c r="K123" s="116"/>
      <c r="L123" s="116"/>
      <c r="M123" s="100" t="s">
        <v>7</v>
      </c>
      <c r="N123" s="387" t="s">
        <v>8</v>
      </c>
      <c r="O123" s="387" t="s">
        <v>9</v>
      </c>
      <c r="P123" s="387" t="s">
        <v>10</v>
      </c>
      <c r="Q123" s="387" t="s">
        <v>11</v>
      </c>
      <c r="R123" s="387" t="s">
        <v>12</v>
      </c>
      <c r="S123" s="21" t="s">
        <v>766</v>
      </c>
      <c r="T123" s="388"/>
    </row>
    <row r="124">
      <c r="A124" s="389" t="str">
        <f>C122</f>
        <v>Erika Atehortúa</v>
      </c>
      <c r="B124" s="389" t="str">
        <f>I122</f>
        <v/>
      </c>
      <c r="C124" s="100">
        <v>1.0</v>
      </c>
      <c r="D124" s="390" t="str">
        <f>IFERROR(__xludf.DUMMYFUNCTION("if($A124="""","""",iferror(join("" &amp; "",filter(Schedule!$P:$P&amp;""-""&amp;Schedule!$Q:$Q,Schedule!$L:$L=$A124,(Schedule!$K:$K=$B124)+(Schedule!$K:$K=""""),Schedule!$P:$P&lt;&gt;"""")),""""))"),"")</f>
        <v/>
      </c>
      <c r="E124" s="390" t="str">
        <f>IFERROR(__xludf.DUMMYFUNCTION("if($A124="""","""",iferror(join("" &amp; "",filter(Schedule!$AE:$AE&amp;""-""&amp;Schedule!$AF:$AF,Schedule!$L:$L=$A124,(Schedule!$K:$K=$B124)+(Schedule!$K:$K=""""),Schedule!$AE:$AE&lt;&gt;"""")),""""))"),"")</f>
        <v/>
      </c>
      <c r="F124" s="390" t="str">
        <f>IFERROR(__xludf.DUMMYFUNCTION("if($A124="""","""",iferror(join("" &amp; "",filter(Schedule!$V:$V&amp;""-""&amp;Schedule!$W:$W,Schedule!$L:$L=$A124,(Schedule!$K:$K=$B124)+(Schedule!$K:$K=""""),Schedule!$V:$V&lt;&gt;"""")),""""))"),"Spanish and Literature 12-2")</f>
        <v>Spanish and Literature 12-2</v>
      </c>
      <c r="G124" s="390" t="str">
        <f>IFERROR(__xludf.DUMMYFUNCTION("if($A124="""","""",iferror(join("" &amp; "",filter(Schedule!$AK:$AK&amp;""-""&amp;Schedule!$AL:$AL,Schedule!$L:$L=$A124,(Schedule!$K:$K=$B124)+(Schedule!$K:$K=""""),Schedule!$AK:$AK&lt;&gt;"""")),""""))"),"AP Spanish Literature and Culture-1")</f>
        <v>AP Spanish Literature and Culture-1</v>
      </c>
      <c r="H124" s="390" t="str">
        <f>IFERROR(__xludf.DUMMYFUNCTION("if($A124="""","""",iferror(join("" &amp; "",filter(Schedule!$AB:$AB&amp;""-""&amp;Schedule!$AC:$AC,Schedule!$L:$L=$A124,(Schedule!$K:$K=$B124)+(Schedule!$K:$K=""""),Schedule!$AB:$AB&lt;&gt;"""")),""""))"),"Spanish and Literature 12-4")</f>
        <v>Spanish and Literature 12-4</v>
      </c>
      <c r="I124" s="391">
        <f>if(C122="","", 24-countifs(D124:H128,""))</f>
        <v>15</v>
      </c>
      <c r="J124" s="392"/>
      <c r="K124" s="389" t="str">
        <f>M122</f>
        <v/>
      </c>
      <c r="L124" s="389" t="str">
        <f>S122</f>
        <v/>
      </c>
      <c r="M124" s="100">
        <v>1.0</v>
      </c>
      <c r="N124" s="390" t="str">
        <f>IFERROR(__xludf.DUMMYFUNCTION("if($K124="""","""",iferror(join("" &amp; "",filter(Schedule!$P:$P&amp;""-""&amp;Schedule!$Q:$Q,Schedule!$L:$L=$K124,(Schedule!$K:$K=$L124)+(Schedule!$K:$K=""""),Schedule!$P:$P&lt;&gt;"""")),""""))"),"")</f>
        <v/>
      </c>
      <c r="O124" s="390" t="str">
        <f>IFERROR(__xludf.DUMMYFUNCTION("if($K124="""","""",iferror(join("" &amp; "",filter(Schedule!$AE:$AE&amp;""-""&amp;Schedule!$AF:$AF,Schedule!$L:$L=$K124,(Schedule!$K:$K=$L124)+(Schedule!$K:$K=""""),Schedule!$AE:$AE&lt;&gt;"""")),""""))"),"")</f>
        <v/>
      </c>
      <c r="P124" s="390" t="str">
        <f>IFERROR(__xludf.DUMMYFUNCTION("if($K124="""","""",iferror(join("" &amp; "",filter(Schedule!$V:$V&amp;""-""&amp;Schedule!$W:$W,Schedule!$L:$L=$K124,(Schedule!$K:$K=$L124)+(Schedule!$K:$K=""""),Schedule!$V:$V&lt;&gt;"""")),""""))"),"")</f>
        <v/>
      </c>
      <c r="Q124" s="390" t="str">
        <f>IFERROR(__xludf.DUMMYFUNCTION("if($K124="""","""",iferror(join("" &amp; "",filter(Schedule!$AK:$AK&amp;""-""&amp;Schedule!$AL:$AL,Schedule!$L:$L=$K124,(Schedule!$K:$K=$L124)+(Schedule!$K:$K=""""),Schedule!$AK:$AK&lt;&gt;"""")),""""))"),"")</f>
        <v/>
      </c>
      <c r="R124" s="390" t="str">
        <f>IFERROR(__xludf.DUMMYFUNCTION("if($K124="""","""",iferror(join("" &amp; "",filter(Schedule!$AB:$AB&amp;""-""&amp;Schedule!$AC:$AC,Schedule!$L:$L=$K124,(Schedule!$K:$K=$L124)+(Schedule!$K:$K=""""),Schedule!$AB:$AB&lt;&gt;"""")),""""))"),"")</f>
        <v/>
      </c>
      <c r="S124" s="391" t="str">
        <f>if(K124="","", 24-countifs(N124:R128,""))</f>
        <v/>
      </c>
      <c r="T124" s="393"/>
    </row>
    <row r="125">
      <c r="A125" s="389" t="str">
        <f>C122</f>
        <v>Erika Atehortúa</v>
      </c>
      <c r="B125" s="389" t="str">
        <f>I122</f>
        <v/>
      </c>
      <c r="C125" s="100">
        <v>2.0</v>
      </c>
      <c r="D125" s="390" t="str">
        <f>IFERROR(__xludf.DUMMYFUNCTION("if($A125="""","""",iferror(join("" &amp; "",filter(Schedule!$S:$S&amp;""-""&amp;Schedule!$T:$T,Schedule!$L:$L=$A125,(Schedule!$K:$K=$B125)+(Schedule!$K:$K=""""),Schedule!$S:$S&lt;&gt;"""")),""""))"),"Spanish and Literature 12-1")</f>
        <v>Spanish and Literature 12-1</v>
      </c>
      <c r="E125" s="390" t="str">
        <f>IFERROR(__xludf.DUMMYFUNCTION("if($A125="""","""",iferror(join("" &amp; "",filter(Schedule!$AH:$AH&amp;""-""&amp;Schedule!$AI:$AI,Schedule!$L:$L=$A125,(Schedule!$K:$K=$B125)+(Schedule!$K:$K=""""),Schedule!$AH:$AH&lt;&gt;"""")),""""))"),"")</f>
        <v/>
      </c>
      <c r="F125" s="390" t="str">
        <f>IFERROR(__xludf.DUMMYFUNCTION("if($A125="""","""",iferror(join("" &amp; "",filter(Schedule!$Y:$Y&amp;""-""&amp;Schedule!$Z:$Z,Schedule!$L:$L=$A125,(Schedule!$K:$K=$B125)+(Schedule!$K:$K=""""),Schedule!$Y:$Y&lt;&gt;"""")),""""))"),"Spanish and Literature 12-3")</f>
        <v>Spanish and Literature 12-3</v>
      </c>
      <c r="G125" s="390" t="str">
        <f>IFERROR(__xludf.DUMMYFUNCTION("if($A125="""","""",iferror(join("" &amp; "",filter(Schedule!$P:$P&amp;""-""&amp;Schedule!$Q:$Q,Schedule!$L:$L=$A125,(Schedule!$K:$K=$B125)+(Schedule!$K:$K=""""),Schedule!$P:$P&lt;&gt;"""")),""""))"),"")</f>
        <v/>
      </c>
      <c r="H125" s="390" t="str">
        <f>IFERROR(__xludf.DUMMYFUNCTION("if($A125="""","""",iferror(join("" &amp; "",filter(Schedule!$AE:$AE&amp;""-""&amp;Schedule!$AF:$AF,Schedule!$L:$L=$A125,(Schedule!$K:$K=$B125)+(Schedule!$K:$K=""""),Schedule!$AE:$AE&lt;&gt;"""")),""""))"),"")</f>
        <v/>
      </c>
      <c r="I125" s="53"/>
      <c r="J125" s="392"/>
      <c r="K125" s="389" t="str">
        <f>M122</f>
        <v/>
      </c>
      <c r="L125" s="389" t="str">
        <f>S122</f>
        <v/>
      </c>
      <c r="M125" s="100">
        <v>2.0</v>
      </c>
      <c r="N125" s="390" t="str">
        <f>IFERROR(__xludf.DUMMYFUNCTION("if($K125="""","""",iferror(join("" &amp; "",filter(Schedule!$S:$S&amp;""-""&amp;Schedule!$T:$T,Schedule!$L:$L=$K125,(Schedule!$K:$K=$L125)+(Schedule!$K:$K=""""),Schedule!$S:$S&lt;&gt;"""")),""""))"),"")</f>
        <v/>
      </c>
      <c r="O125" s="390" t="str">
        <f>IFERROR(__xludf.DUMMYFUNCTION("if($K125="""","""",iferror(join("" &amp; "",filter(Schedule!$AH:$AH&amp;""-""&amp;Schedule!$AI:$AI,Schedule!$L:$L=$K125,(Schedule!$K:$K=$L125)+(Schedule!$K:$K=""""),Schedule!$AH:$AH&lt;&gt;"""")),""""))"),"")</f>
        <v/>
      </c>
      <c r="P125" s="390" t="str">
        <f>IFERROR(__xludf.DUMMYFUNCTION("if($K125="""","""",iferror(join("" &amp; "",filter(Schedule!$Y:$Y&amp;""-""&amp;Schedule!$Z:$Z,Schedule!$L:$L=$K125,(Schedule!$K:$K=$L125)+(Schedule!$K:$K=""""),Schedule!$Y:$Y&lt;&gt;"""")),""""))"),"")</f>
        <v/>
      </c>
      <c r="Q125" s="390" t="str">
        <f>IFERROR(__xludf.DUMMYFUNCTION("if($K125="""","""",iferror(join("" &amp; "",filter(Schedule!$P:$P&amp;""-""&amp;Schedule!$Q:$Q,Schedule!$L:$L=$K125,(Schedule!$K:$K=$L125)+(Schedule!$K:$K=""""),Schedule!$P:$P&lt;&gt;"""")),""""))"),"")</f>
        <v/>
      </c>
      <c r="R125" s="390" t="str">
        <f>IFERROR(__xludf.DUMMYFUNCTION("if($K125="""","""",iferror(join("" &amp; "",filter(Schedule!$AE:$AE&amp;""-""&amp;Schedule!$AF:$AF,Schedule!$L:$L=$K125,(Schedule!$K:$K=$L125)+(Schedule!$K:$K=""""),Schedule!$AE:$AE&lt;&gt;"""")),""""))"),"")</f>
        <v/>
      </c>
      <c r="S125" s="53"/>
      <c r="T125" s="393"/>
    </row>
    <row r="126">
      <c r="A126" s="389" t="str">
        <f>C122</f>
        <v>Erika Atehortúa</v>
      </c>
      <c r="B126" s="389" t="str">
        <f>I122</f>
        <v/>
      </c>
      <c r="C126" s="100">
        <v>3.0</v>
      </c>
      <c r="D126" s="390" t="str">
        <f>IFERROR(__xludf.DUMMYFUNCTION("if($A126="""","""",iferror(join("" &amp; "",filter(Schedule!$V:$V&amp;""-""&amp;Schedule!$W:$W,Schedule!$L:$L=$A126,(Schedule!$K:$K=$B126)+(Schedule!$K:$K=""""),Schedule!$V:$V&lt;&gt;"""")),""""))"),"Spanish and Literature 12-2")</f>
        <v>Spanish and Literature 12-2</v>
      </c>
      <c r="E126" s="390" t="str">
        <f>IFERROR(__xludf.DUMMYFUNCTION("if($A126="""","""",iferror(join("" &amp; "",filter(Schedule!$AK:$AK&amp;""-""&amp;Schedule!$AL:$AL,Schedule!$L:$L=$A126,(Schedule!$K:$K=$B126)+(Schedule!$K:$K=""""),Schedule!$AK:$AK&lt;&gt;"""")),""""))"),"AP Spanish Literature and Culture-1")</f>
        <v>AP Spanish Literature and Culture-1</v>
      </c>
      <c r="F126" s="390" t="str">
        <f>IFERROR(__xludf.DUMMYFUNCTION("if($A126="""","""",iferror(join("" &amp; "",filter(Schedule!$AB:$AB&amp;""-""&amp;Schedule!$AC:$AC,Schedule!$L:$L=$A126,(Schedule!$K:$K=$B126)+(Schedule!$K:$K=""""),Schedule!$AB:$AB&lt;&gt;"""")),""""))"),"Spanish and Literature 12-4")</f>
        <v>Spanish and Literature 12-4</v>
      </c>
      <c r="G126" s="390" t="str">
        <f>IFERROR(__xludf.DUMMYFUNCTION("if($A126="""","""",iferror(join("" &amp; "",filter(Schedule!$S:$S&amp;""-""&amp;Schedule!$T:$T,Schedule!$L:$L=$A126,(Schedule!$K:$K=$B126)+(Schedule!$K:$K=""""),Schedule!$S:$S&lt;&gt;"""")),""""))"),"Spanish and Literature 12-1")</f>
        <v>Spanish and Literature 12-1</v>
      </c>
      <c r="H126" s="395" t="str">
        <f>if($C122="","","X-Block")</f>
        <v>X-Block</v>
      </c>
      <c r="I126" s="53"/>
      <c r="J126" s="392"/>
      <c r="K126" s="389" t="str">
        <f>M122</f>
        <v/>
      </c>
      <c r="L126" s="389" t="str">
        <f>S122</f>
        <v/>
      </c>
      <c r="M126" s="100">
        <v>3.0</v>
      </c>
      <c r="N126" s="390" t="str">
        <f>IFERROR(__xludf.DUMMYFUNCTION("if($K126="""","""",iferror(join("" &amp; "",filter(Schedule!$V:$V&amp;""-""&amp;Schedule!$W:$W,Schedule!$L:$L=$K126,(Schedule!$K:$K=$L126)+(Schedule!$K:$K=""""),Schedule!$V:$V&lt;&gt;"""")),""""))"),"")</f>
        <v/>
      </c>
      <c r="O126" s="390" t="str">
        <f>IFERROR(__xludf.DUMMYFUNCTION("if($K126="""","""",iferror(join("" &amp; "",filter(Schedule!$AK:$AK&amp;""-""&amp;Schedule!$AL:$AL,Schedule!$L:$L=$K126,(Schedule!$K:$K=$L126)+(Schedule!$K:$K=""""),Schedule!$AK:$AK&lt;&gt;"""")),""""))"),"")</f>
        <v/>
      </c>
      <c r="P126" s="390" t="str">
        <f>IFERROR(__xludf.DUMMYFUNCTION("if($K126="""","""",iferror(join("" &amp; "",filter(Schedule!$AB:$AB&amp;""-""&amp;Schedule!$AC:$AC,Schedule!$L:$L=$K126,(Schedule!$K:$K=$L126)+(Schedule!$K:$K=""""),Schedule!$AB:$AB&lt;&gt;"""")),""""))"),"")</f>
        <v/>
      </c>
      <c r="Q126" s="390" t="str">
        <f>IFERROR(__xludf.DUMMYFUNCTION("if($K126="""","""",iferror(join("" &amp; "",filter(Schedule!$S:$S&amp;""-""&amp;Schedule!$T:$T,Schedule!$L:$L=$K126,(Schedule!$K:$K=$L126)+(Schedule!$K:$K=""""),Schedule!$S:$S&lt;&gt;"""")),""""))"),"")</f>
        <v/>
      </c>
      <c r="R126" s="395" t="str">
        <f>if($M122="","","X-Block")</f>
        <v/>
      </c>
      <c r="S126" s="53"/>
      <c r="T126" s="393"/>
    </row>
    <row r="127">
      <c r="A127" s="389" t="str">
        <f>C122</f>
        <v>Erika Atehortúa</v>
      </c>
      <c r="B127" s="389" t="str">
        <f>I122</f>
        <v/>
      </c>
      <c r="C127" s="100">
        <v>4.0</v>
      </c>
      <c r="D127" s="390" t="str">
        <f>IFERROR(__xludf.DUMMYFUNCTION("if($A127="""","""",iferror(join("" &amp; "",filter(Schedule!$Y:$Y&amp;""-""&amp;Schedule!$Z:$Z,Schedule!$L:$L=$A127,(Schedule!$K:$K=$B127)+(Schedule!$K:$K=""""),Schedule!$Y:$Y&lt;&gt;"""")),""""))"),"Spanish and Literature 12-3")</f>
        <v>Spanish and Literature 12-3</v>
      </c>
      <c r="E127" s="390" t="str">
        <f>IFERROR(__xludf.DUMMYFUNCTION("if($A127="""","""",iferror(join("" &amp; "",filter(Schedule!$P:$P&amp;""-""&amp;Schedule!$Q:$Q,Schedule!$L:$L=$A127,(Schedule!$K:$K=$B127)+(Schedule!$K:$K=""""),Schedule!$P:$P&lt;&gt;"""")),""""))"),"")</f>
        <v/>
      </c>
      <c r="F127" s="390" t="str">
        <f>IFERROR(__xludf.DUMMYFUNCTION("if($A127="""","""",iferror(join("" &amp; "",filter(Schedule!$AE:$AE&amp;""-""&amp;Schedule!$AF:$AF,Schedule!$L:$L=$A127,(Schedule!$K:$K=$B127)+(Schedule!$K:$K=""""),Schedule!$AE:$AE&lt;&gt;"""")),""""))"),"")</f>
        <v/>
      </c>
      <c r="G127" s="390" t="str">
        <f>IFERROR(__xludf.DUMMYFUNCTION("if($A127="""","""",iferror(join("" &amp; "",filter(Schedule!$V:$V&amp;""-""&amp;Schedule!$W:$W,Schedule!$L:$L=$A127,(Schedule!$K:$K=$B127)+(Schedule!$K:$K=""""),Schedule!$V:$V&lt;&gt;"""")),""""))"),"Spanish and Literature 12-2")</f>
        <v>Spanish and Literature 12-2</v>
      </c>
      <c r="H127" s="390" t="str">
        <f>IFERROR(__xludf.DUMMYFUNCTION("if($A127="""","""",iferror(join("" &amp; "",filter(Schedule!$AH:$AH&amp;""-""&amp;Schedule!$AI:$AI,Schedule!$L:$L=$A127,(Schedule!$K:$K=$B127)+(Schedule!$K:$K=""""),Schedule!$AH:$AH&lt;&gt;"""")),""""))"),"")</f>
        <v/>
      </c>
      <c r="I127" s="53"/>
      <c r="J127" s="392"/>
      <c r="K127" s="389" t="str">
        <f>M122</f>
        <v/>
      </c>
      <c r="L127" s="389" t="str">
        <f>S122</f>
        <v/>
      </c>
      <c r="M127" s="100">
        <v>4.0</v>
      </c>
      <c r="N127" s="390" t="str">
        <f>IFERROR(__xludf.DUMMYFUNCTION("if($K127="""","""",iferror(join("" &amp; "",filter(Schedule!$Y:$Y&amp;""-""&amp;Schedule!$Z:$Z,Schedule!$L:$L=$K127,(Schedule!$K:$K=$L127)+(Schedule!$K:$K=""""),Schedule!$Y:$Y&lt;&gt;"""")),""""))"),"")</f>
        <v/>
      </c>
      <c r="O127" s="390" t="str">
        <f>IFERROR(__xludf.DUMMYFUNCTION("if($K127="""","""",iferror(join("" &amp; "",filter(Schedule!$P:$P&amp;""-""&amp;Schedule!$Q:$Q,Schedule!$L:$L=$K127,(Schedule!$K:$K=$L127)+(Schedule!$K:$K=""""),Schedule!$P:$P&lt;&gt;"""")),""""))"),"")</f>
        <v/>
      </c>
      <c r="P127" s="390" t="str">
        <f>IFERROR(__xludf.DUMMYFUNCTION("if($K127="""","""",iferror(join("" &amp; "",filter(Schedule!$AE:$AE&amp;""-""&amp;Schedule!$AF:$AF,Schedule!$L:$L=$K127,(Schedule!$K:$K=$L127)+(Schedule!$K:$K=""""),Schedule!$AE:$AE&lt;&gt;"""")),""""))"),"")</f>
        <v/>
      </c>
      <c r="Q127" s="390" t="str">
        <f>IFERROR(__xludf.DUMMYFUNCTION("if($K127="""","""",iferror(join("" &amp; "",filter(Schedule!$V:$V&amp;""-""&amp;Schedule!$W:$W,Schedule!$L:$L=$K127,(Schedule!$K:$K=$L127)+(Schedule!$K:$K=""""),Schedule!$V:$V&lt;&gt;"""")),""""))"),"")</f>
        <v/>
      </c>
      <c r="R127" s="390" t="str">
        <f>IFERROR(__xludf.DUMMYFUNCTION("if($K127="""","""",iferror(join("" &amp; "",filter(Schedule!$AH:$AH&amp;""-""&amp;Schedule!$AI:$AI,Schedule!$L:$L=$K127,(Schedule!$K:$K=$L127)+(Schedule!$K:$K=""""),Schedule!$AH:$AH&lt;&gt;"""")),""""))"),"")</f>
        <v/>
      </c>
      <c r="S127" s="53"/>
      <c r="T127" s="393"/>
    </row>
    <row r="128">
      <c r="A128" s="389" t="str">
        <f>C122</f>
        <v>Erika Atehortúa</v>
      </c>
      <c r="B128" s="389" t="str">
        <f>I122</f>
        <v/>
      </c>
      <c r="C128" s="100">
        <v>5.0</v>
      </c>
      <c r="D128" s="390" t="str">
        <f>IFERROR(__xludf.DUMMYFUNCTION("if($A128="""","""",iferror(join("" &amp; "",filter(Schedule!$AB:$AB&amp;""-""&amp;Schedule!$AC:$AC,Schedule!$L:$L=$A128,(Schedule!$K:$K=$B128)+(Schedule!$K:$K=""""),Schedule!$AB:$AB&lt;&gt;"""")),""""))"),"Spanish and Literature 12-4")</f>
        <v>Spanish and Literature 12-4</v>
      </c>
      <c r="E128" s="390" t="str">
        <f>IFERROR(__xludf.DUMMYFUNCTION("if($A128="""","""",iferror(join("" &amp; "",filter(Schedule!$S:$S&amp;""-""&amp;Schedule!$T:$T,Schedule!$L:$L=$A128,(Schedule!$K:$K=$B128)+(Schedule!$K:$K=""""),Schedule!$S:$S&lt;&gt;"""")),""""))"),"Spanish and Literature 12-1")</f>
        <v>Spanish and Literature 12-1</v>
      </c>
      <c r="F128" s="390" t="str">
        <f>IFERROR(__xludf.DUMMYFUNCTION("if($A128="""","""",iferror(join("" &amp; "",filter(Schedule!$AH:$AH&amp;""-""&amp;Schedule!$AI:$AI,Schedule!$L:$L=$A128,(Schedule!$K:$K=$B128)+(Schedule!$K:$K=""""),Schedule!$AH:$AH&lt;&gt;"""")),""""))"),"")</f>
        <v/>
      </c>
      <c r="G128" s="390" t="str">
        <f>IFERROR(__xludf.DUMMYFUNCTION("if($A128="""","""",iferror(join("" &amp; "",filter(Schedule!$Y:$Y&amp;""-""&amp;Schedule!$Z:$Z,Schedule!$L:$L=$A128,(Schedule!$K:$K=$B128)+(Schedule!$K:$K=""""),Schedule!$Y:$Y&lt;&gt;"""")),""""))"),"Spanish and Literature 12-3")</f>
        <v>Spanish and Literature 12-3</v>
      </c>
      <c r="H128" s="390" t="str">
        <f>IFERROR(__xludf.DUMMYFUNCTION("if($A128="""","""",iferror(join("" &amp; "",filter(Schedule!$AK:$AK&amp;""-""&amp;Schedule!$AL:$AL,Schedule!$L:$L=$A128,(Schedule!$K:$K=$B128)+(Schedule!$K:$K=""""),Schedule!$AK:$AK&lt;&gt;"""")),""""))"),"AP Spanish Literature and Culture-1")</f>
        <v>AP Spanish Literature and Culture-1</v>
      </c>
      <c r="I128" s="68"/>
      <c r="J128" s="392"/>
      <c r="K128" s="389" t="str">
        <f>M122</f>
        <v/>
      </c>
      <c r="L128" s="389" t="str">
        <f>S122</f>
        <v/>
      </c>
      <c r="M128" s="100">
        <v>5.0</v>
      </c>
      <c r="N128" s="390" t="str">
        <f>IFERROR(__xludf.DUMMYFUNCTION("if($K128="""","""",iferror(join("" &amp; "",filter(Schedule!$AB:$AB&amp;""-""&amp;Schedule!$AC:$AC,Schedule!$L:$L=$K128,(Schedule!$K:$K=$L128)+(Schedule!$K:$K=""""),Schedule!$AB:$AB&lt;&gt;"""")),""""))"),"")</f>
        <v/>
      </c>
      <c r="O128" s="390" t="str">
        <f>IFERROR(__xludf.DUMMYFUNCTION("if($K128="""","""",iferror(join("" &amp; "",filter(Schedule!$S:$S&amp;""-""&amp;Schedule!$T:$T,Schedule!$L:$L=$K128,(Schedule!$K:$K=$L128)+(Schedule!$K:$K=""""),Schedule!$S:$S&lt;&gt;"""")),""""))"),"")</f>
        <v/>
      </c>
      <c r="P128" s="390" t="str">
        <f>IFERROR(__xludf.DUMMYFUNCTION("if($K128="""","""",iferror(join("" &amp; "",filter(Schedule!$AH:$AH&amp;""-""&amp;Schedule!$AI:$AI,Schedule!$L:$L=$K128,(Schedule!$K:$K=$L128)+(Schedule!$K:$K=""""),Schedule!$AH:$AH&lt;&gt;"""")),""""))"),"")</f>
        <v/>
      </c>
      <c r="Q128" s="390" t="str">
        <f>IFERROR(__xludf.DUMMYFUNCTION("if($K128="""","""",iferror(join("" &amp; "",filter(Schedule!$Y:$Y&amp;""-""&amp;Schedule!$Z:$Z,Schedule!$L:$L=$K128,(Schedule!$K:$K=$L128)+(Schedule!$K:$K=""""),Schedule!$Y:$Y&lt;&gt;"""")),""""))"),"")</f>
        <v/>
      </c>
      <c r="R128" s="390" t="str">
        <f>IFERROR(__xludf.DUMMYFUNCTION("if($K128="""","""",iferror(join("" &amp; "",filter(Schedule!$AK:$AK&amp;""-""&amp;Schedule!$AL:$AL,Schedule!$L:$L=$K128,(Schedule!$K:$K=$L128)+(Schedule!$K:$K=""""),Schedule!$AK:$AK&lt;&gt;"""")),""""))"),"")</f>
        <v/>
      </c>
      <c r="S128" s="68"/>
      <c r="T128" s="393"/>
    </row>
    <row r="129">
      <c r="C129" s="3"/>
      <c r="D129" s="396"/>
      <c r="E129" s="396"/>
      <c r="F129" s="396"/>
      <c r="G129" s="396"/>
      <c r="H129" s="396"/>
      <c r="N129" s="397"/>
      <c r="O129" s="397"/>
      <c r="P129" s="397"/>
      <c r="Q129" s="397"/>
      <c r="R129" s="397"/>
    </row>
    <row r="130">
      <c r="A130" s="45"/>
      <c r="B130" s="45"/>
      <c r="C130" s="386" t="str">
        <f>Teachers!A17</f>
        <v>Felipe Naranjo</v>
      </c>
      <c r="D130" s="383"/>
      <c r="E130" s="383"/>
      <c r="F130" s="383"/>
      <c r="G130" s="383"/>
      <c r="H130" s="384"/>
      <c r="I130" s="385" t="str">
        <f>IFERROR(__xludf.DUMMYFUNCTION("if(C130="""","""", iferror(filter(Schedule!$K:$K,Schedule!$L:$L=$C130,Schedule!$K:$K=""S1""),unique(filter(Schedule!$K:$K,Schedule!$L:$L=$C130,Schedule!$K:$K=""""))))"),"")</f>
        <v/>
      </c>
      <c r="M130" s="386" t="str">
        <f>if(S130="","",C130)</f>
        <v/>
      </c>
      <c r="N130" s="383"/>
      <c r="O130" s="383"/>
      <c r="P130" s="383"/>
      <c r="Q130" s="383"/>
      <c r="R130" s="384"/>
      <c r="S130" s="385" t="str">
        <f>if(I130="S1","S2","")</f>
        <v/>
      </c>
      <c r="T130" s="112"/>
    </row>
    <row r="131">
      <c r="A131" s="116"/>
      <c r="B131" s="116"/>
      <c r="C131" s="100" t="s">
        <v>7</v>
      </c>
      <c r="D131" s="387" t="s">
        <v>8</v>
      </c>
      <c r="E131" s="387" t="s">
        <v>9</v>
      </c>
      <c r="F131" s="387" t="s">
        <v>10</v>
      </c>
      <c r="G131" s="387" t="s">
        <v>11</v>
      </c>
      <c r="H131" s="387" t="s">
        <v>12</v>
      </c>
      <c r="I131" s="21"/>
      <c r="J131" s="116"/>
      <c r="K131" s="116"/>
      <c r="L131" s="116"/>
      <c r="M131" s="100" t="s">
        <v>7</v>
      </c>
      <c r="N131" s="387" t="s">
        <v>8</v>
      </c>
      <c r="O131" s="387" t="s">
        <v>9</v>
      </c>
      <c r="P131" s="387" t="s">
        <v>10</v>
      </c>
      <c r="Q131" s="387" t="s">
        <v>11</v>
      </c>
      <c r="R131" s="387" t="s">
        <v>12</v>
      </c>
      <c r="S131" s="21" t="s">
        <v>766</v>
      </c>
      <c r="T131" s="388"/>
    </row>
    <row r="132">
      <c r="A132" s="389" t="str">
        <f>C130</f>
        <v>Felipe Naranjo</v>
      </c>
      <c r="B132" s="389" t="str">
        <f>I130</f>
        <v/>
      </c>
      <c r="C132" s="100">
        <v>1.0</v>
      </c>
      <c r="D132" s="390" t="str">
        <f>IFERROR(__xludf.DUMMYFUNCTION("if($A132="""","""",iferror(join("" &amp; "",filter(Schedule!$P:$P&amp;""-""&amp;Schedule!$Q:$Q,Schedule!$L:$L=$A132,(Schedule!$K:$K=$B132)+(Schedule!$K:$K=""""),Schedule!$P:$P&lt;&gt;"""")),""""))"),"")</f>
        <v/>
      </c>
      <c r="E132" s="390" t="str">
        <f>IFERROR(__xludf.DUMMYFUNCTION("if($A132="""","""",iferror(join("" &amp; "",filter(Schedule!$AE:$AE&amp;""-""&amp;Schedule!$AF:$AF,Schedule!$L:$L=$A132,(Schedule!$K:$K=$B132)+(Schedule!$K:$K=""""),Schedule!$AE:$AE&lt;&gt;"""")),""""))"),"")</f>
        <v/>
      </c>
      <c r="F132" s="390" t="str">
        <f>IFERROR(__xludf.DUMMYFUNCTION("if($A132="""","""",iferror(join("" &amp; "",filter(Schedule!$V:$V&amp;""-""&amp;Schedule!$W:$W,Schedule!$L:$L=$A132,(Schedule!$K:$K=$B132)+(Schedule!$K:$K=""""),Schedule!$V:$V&lt;&gt;"""")),""""))"),"Life Purpose-5")</f>
        <v>Life Purpose-5</v>
      </c>
      <c r="G132" s="390" t="str">
        <f>IFERROR(__xludf.DUMMYFUNCTION("if($A132="""","""",iferror(join("" &amp; "",filter(Schedule!$AK:$AK&amp;""-""&amp;Schedule!$AL:$AL,Schedule!$L:$L=$A132,(Schedule!$K:$K=$B132)+(Schedule!$K:$K=""""),Schedule!$AK:$AK&lt;&gt;"""")),""""))"),"Life Purpose-6")</f>
        <v>Life Purpose-6</v>
      </c>
      <c r="H132" s="390" t="str">
        <f>IFERROR(__xludf.DUMMYFUNCTION("if($A132="""","""",iferror(join("" &amp; "",filter(Schedule!$AB:$AB&amp;""-""&amp;Schedule!$AC:$AC,Schedule!$L:$L=$A132,(Schedule!$K:$K=$B132)+(Schedule!$K:$K=""""),Schedule!$AB:$AB&lt;&gt;"""")),""""))"),"AP Psychology-2")</f>
        <v>AP Psychology-2</v>
      </c>
      <c r="I132" s="391">
        <f>if(C130="","", 24-countifs(D132:H136,""))</f>
        <v>15</v>
      </c>
      <c r="J132" s="392"/>
      <c r="K132" s="389" t="str">
        <f>M130</f>
        <v/>
      </c>
      <c r="L132" s="389" t="str">
        <f>S130</f>
        <v/>
      </c>
      <c r="M132" s="100">
        <v>1.0</v>
      </c>
      <c r="N132" s="390" t="str">
        <f>IFERROR(__xludf.DUMMYFUNCTION("if($K132="""","""",iferror(join("" &amp; "",filter(Schedule!$P:$P&amp;""-""&amp;Schedule!$Q:$Q,Schedule!$L:$L=$K132,(Schedule!$K:$K=$L132)+(Schedule!$K:$K=""""),Schedule!$P:$P&lt;&gt;"""")),""""))"),"")</f>
        <v/>
      </c>
      <c r="O132" s="390" t="str">
        <f>IFERROR(__xludf.DUMMYFUNCTION("if($K132="""","""",iferror(join("" &amp; "",filter(Schedule!$AE:$AE&amp;""-""&amp;Schedule!$AF:$AF,Schedule!$L:$L=$K132,(Schedule!$K:$K=$L132)+(Schedule!$K:$K=""""),Schedule!$AE:$AE&lt;&gt;"""")),""""))"),"")</f>
        <v/>
      </c>
      <c r="P132" s="390" t="str">
        <f>IFERROR(__xludf.DUMMYFUNCTION("if($K132="""","""",iferror(join("" &amp; "",filter(Schedule!$V:$V&amp;""-""&amp;Schedule!$W:$W,Schedule!$L:$L=$K132,(Schedule!$K:$K=$L132)+(Schedule!$K:$K=""""),Schedule!$V:$V&lt;&gt;"""")),""""))"),"")</f>
        <v/>
      </c>
      <c r="Q132" s="390" t="str">
        <f>IFERROR(__xludf.DUMMYFUNCTION("if($K132="""","""",iferror(join("" &amp; "",filter(Schedule!$AK:$AK&amp;""-""&amp;Schedule!$AL:$AL,Schedule!$L:$L=$K132,(Schedule!$K:$K=$L132)+(Schedule!$K:$K=""""),Schedule!$AK:$AK&lt;&gt;"""")),""""))"),"")</f>
        <v/>
      </c>
      <c r="R132" s="390" t="str">
        <f>IFERROR(__xludf.DUMMYFUNCTION("if($K132="""","""",iferror(join("" &amp; "",filter(Schedule!$AB:$AB&amp;""-""&amp;Schedule!$AC:$AC,Schedule!$L:$L=$K132,(Schedule!$K:$K=$L132)+(Schedule!$K:$K=""""),Schedule!$AB:$AB&lt;&gt;"""")),""""))"),"")</f>
        <v/>
      </c>
      <c r="S132" s="391" t="str">
        <f>if(K132="","", 24-countifs(N132:R136,""))</f>
        <v/>
      </c>
      <c r="T132" s="393"/>
    </row>
    <row r="133">
      <c r="A133" s="389" t="str">
        <f>C130</f>
        <v>Felipe Naranjo</v>
      </c>
      <c r="B133" s="389" t="str">
        <f>I130</f>
        <v/>
      </c>
      <c r="C133" s="100">
        <v>2.0</v>
      </c>
      <c r="D133" s="390" t="str">
        <f>IFERROR(__xludf.DUMMYFUNCTION("if($A133="""","""",iferror(join("" &amp; "",filter(Schedule!$S:$S&amp;""-""&amp;Schedule!$T:$T,Schedule!$L:$L=$A133,(Schedule!$K:$K=$B133)+(Schedule!$K:$K=""""),Schedule!$S:$S&lt;&gt;"""")),""""))"),"Life Purpose-4")</f>
        <v>Life Purpose-4</v>
      </c>
      <c r="E133" s="390" t="str">
        <f>IFERROR(__xludf.DUMMYFUNCTION("if($A133="""","""",iferror(join("" &amp; "",filter(Schedule!$AH:$AH&amp;""-""&amp;Schedule!$AI:$AI,Schedule!$L:$L=$A133,(Schedule!$K:$K=$B133)+(Schedule!$K:$K=""""),Schedule!$AH:$AH&lt;&gt;"""")),""""))"),"")</f>
        <v/>
      </c>
      <c r="F133" s="390" t="str">
        <f>IFERROR(__xludf.DUMMYFUNCTION("if($A133="""","""",iferror(join("" &amp; "",filter(Schedule!$Y:$Y&amp;""-""&amp;Schedule!$Z:$Z,Schedule!$L:$L=$A133,(Schedule!$K:$K=$B133)+(Schedule!$K:$K=""""),Schedule!$Y:$Y&lt;&gt;"""")),""""))"),"AP Psychology-1")</f>
        <v>AP Psychology-1</v>
      </c>
      <c r="G133" s="390" t="str">
        <f>IFERROR(__xludf.DUMMYFUNCTION("if($A133="""","""",iferror(join("" &amp; "",filter(Schedule!$P:$P&amp;""-""&amp;Schedule!$Q:$Q,Schedule!$L:$L=$A133,(Schedule!$K:$K=$B133)+(Schedule!$K:$K=""""),Schedule!$P:$P&lt;&gt;"""")),""""))"),"")</f>
        <v/>
      </c>
      <c r="H133" s="390" t="str">
        <f>IFERROR(__xludf.DUMMYFUNCTION("if($A133="""","""",iferror(join("" &amp; "",filter(Schedule!$AE:$AE&amp;""-""&amp;Schedule!$AF:$AF,Schedule!$L:$L=$A133,(Schedule!$K:$K=$B133)+(Schedule!$K:$K=""""),Schedule!$AE:$AE&lt;&gt;"""")),""""))"),"")</f>
        <v/>
      </c>
      <c r="I133" s="53"/>
      <c r="J133" s="392"/>
      <c r="K133" s="389" t="str">
        <f>M130</f>
        <v/>
      </c>
      <c r="L133" s="389" t="str">
        <f>S130</f>
        <v/>
      </c>
      <c r="M133" s="100">
        <v>2.0</v>
      </c>
      <c r="N133" s="390" t="str">
        <f>IFERROR(__xludf.DUMMYFUNCTION("if($K133="""","""",iferror(join("" &amp; "",filter(Schedule!$S:$S&amp;""-""&amp;Schedule!$T:$T,Schedule!$L:$L=$K133,(Schedule!$K:$K=$L133)+(Schedule!$K:$K=""""),Schedule!$S:$S&lt;&gt;"""")),""""))"),"")</f>
        <v/>
      </c>
      <c r="O133" s="390" t="str">
        <f>IFERROR(__xludf.DUMMYFUNCTION("if($K133="""","""",iferror(join("" &amp; "",filter(Schedule!$AH:$AH&amp;""-""&amp;Schedule!$AI:$AI,Schedule!$L:$L=$K133,(Schedule!$K:$K=$L133)+(Schedule!$K:$K=""""),Schedule!$AH:$AH&lt;&gt;"""")),""""))"),"")</f>
        <v/>
      </c>
      <c r="P133" s="390" t="str">
        <f>IFERROR(__xludf.DUMMYFUNCTION("if($K133="""","""",iferror(join("" &amp; "",filter(Schedule!$Y:$Y&amp;""-""&amp;Schedule!$Z:$Z,Schedule!$L:$L=$K133,(Schedule!$K:$K=$L133)+(Schedule!$K:$K=""""),Schedule!$Y:$Y&lt;&gt;"""")),""""))"),"")</f>
        <v/>
      </c>
      <c r="Q133" s="390" t="str">
        <f>IFERROR(__xludf.DUMMYFUNCTION("if($K133="""","""",iferror(join("" &amp; "",filter(Schedule!$P:$P&amp;""-""&amp;Schedule!$Q:$Q,Schedule!$L:$L=$K133,(Schedule!$K:$K=$L133)+(Schedule!$K:$K=""""),Schedule!$P:$P&lt;&gt;"""")),""""))"),"")</f>
        <v/>
      </c>
      <c r="R133" s="390" t="str">
        <f>IFERROR(__xludf.DUMMYFUNCTION("if($K133="""","""",iferror(join("" &amp; "",filter(Schedule!$AE:$AE&amp;""-""&amp;Schedule!$AF:$AF,Schedule!$L:$L=$K133,(Schedule!$K:$K=$L133)+(Schedule!$K:$K=""""),Schedule!$AE:$AE&lt;&gt;"""")),""""))"),"")</f>
        <v/>
      </c>
      <c r="S133" s="53"/>
      <c r="T133" s="393"/>
    </row>
    <row r="134">
      <c r="A134" s="389" t="str">
        <f>C130</f>
        <v>Felipe Naranjo</v>
      </c>
      <c r="B134" s="389" t="str">
        <f>I130</f>
        <v/>
      </c>
      <c r="C134" s="100">
        <v>3.0</v>
      </c>
      <c r="D134" s="390" t="str">
        <f>IFERROR(__xludf.DUMMYFUNCTION("if($A134="""","""",iferror(join("" &amp; "",filter(Schedule!$V:$V&amp;""-""&amp;Schedule!$W:$W,Schedule!$L:$L=$A134,(Schedule!$K:$K=$B134)+(Schedule!$K:$K=""""),Schedule!$V:$V&lt;&gt;"""")),""""))"),"Life Purpose-5")</f>
        <v>Life Purpose-5</v>
      </c>
      <c r="E134" s="390" t="str">
        <f>IFERROR(__xludf.DUMMYFUNCTION("if($A134="""","""",iferror(join("" &amp; "",filter(Schedule!$AK:$AK&amp;""-""&amp;Schedule!$AL:$AL,Schedule!$L:$L=$A134,(Schedule!$K:$K=$B134)+(Schedule!$K:$K=""""),Schedule!$AK:$AK&lt;&gt;"""")),""""))"),"Life Purpose-6")</f>
        <v>Life Purpose-6</v>
      </c>
      <c r="F134" s="390" t="str">
        <f>IFERROR(__xludf.DUMMYFUNCTION("if($A134="""","""",iferror(join("" &amp; "",filter(Schedule!$AB:$AB&amp;""-""&amp;Schedule!$AC:$AC,Schedule!$L:$L=$A134,(Schedule!$K:$K=$B134)+(Schedule!$K:$K=""""),Schedule!$AB:$AB&lt;&gt;"""")),""""))"),"AP Psychology-2")</f>
        <v>AP Psychology-2</v>
      </c>
      <c r="G134" s="390" t="str">
        <f>IFERROR(__xludf.DUMMYFUNCTION("if($A134="""","""",iferror(join("" &amp; "",filter(Schedule!$S:$S&amp;""-""&amp;Schedule!$T:$T,Schedule!$L:$L=$A134,(Schedule!$K:$K=$B134)+(Schedule!$K:$K=""""),Schedule!$S:$S&lt;&gt;"""")),""""))"),"Life Purpose-4")</f>
        <v>Life Purpose-4</v>
      </c>
      <c r="H134" s="395" t="str">
        <f>if($C130="","","X-Block")</f>
        <v>X-Block</v>
      </c>
      <c r="I134" s="53"/>
      <c r="J134" s="392"/>
      <c r="K134" s="389" t="str">
        <f>M130</f>
        <v/>
      </c>
      <c r="L134" s="389" t="str">
        <f>S130</f>
        <v/>
      </c>
      <c r="M134" s="100">
        <v>3.0</v>
      </c>
      <c r="N134" s="390" t="str">
        <f>IFERROR(__xludf.DUMMYFUNCTION("if($K134="""","""",iferror(join("" &amp; "",filter(Schedule!$V:$V&amp;""-""&amp;Schedule!$W:$W,Schedule!$L:$L=$K134,(Schedule!$K:$K=$L134)+(Schedule!$K:$K=""""),Schedule!$V:$V&lt;&gt;"""")),""""))"),"")</f>
        <v/>
      </c>
      <c r="O134" s="390" t="str">
        <f>IFERROR(__xludf.DUMMYFUNCTION("if($K134="""","""",iferror(join("" &amp; "",filter(Schedule!$AK:$AK&amp;""-""&amp;Schedule!$AL:$AL,Schedule!$L:$L=$K134,(Schedule!$K:$K=$L134)+(Schedule!$K:$K=""""),Schedule!$AK:$AK&lt;&gt;"""")),""""))"),"")</f>
        <v/>
      </c>
      <c r="P134" s="390" t="str">
        <f>IFERROR(__xludf.DUMMYFUNCTION("if($K134="""","""",iferror(join("" &amp; "",filter(Schedule!$AB:$AB&amp;""-""&amp;Schedule!$AC:$AC,Schedule!$L:$L=$K134,(Schedule!$K:$K=$L134)+(Schedule!$K:$K=""""),Schedule!$AB:$AB&lt;&gt;"""")),""""))"),"")</f>
        <v/>
      </c>
      <c r="Q134" s="390" t="str">
        <f>IFERROR(__xludf.DUMMYFUNCTION("if($K134="""","""",iferror(join("" &amp; "",filter(Schedule!$S:$S&amp;""-""&amp;Schedule!$T:$T,Schedule!$L:$L=$K134,(Schedule!$K:$K=$L134)+(Schedule!$K:$K=""""),Schedule!$S:$S&lt;&gt;"""")),""""))"),"")</f>
        <v/>
      </c>
      <c r="R134" s="395" t="str">
        <f>if($M130="","","X-Block")</f>
        <v/>
      </c>
      <c r="S134" s="53"/>
      <c r="T134" s="393"/>
    </row>
    <row r="135">
      <c r="A135" s="389" t="str">
        <f>C130</f>
        <v>Felipe Naranjo</v>
      </c>
      <c r="B135" s="389" t="str">
        <f>I130</f>
        <v/>
      </c>
      <c r="C135" s="100">
        <v>4.0</v>
      </c>
      <c r="D135" s="390" t="str">
        <f>IFERROR(__xludf.DUMMYFUNCTION("if($A135="""","""",iferror(join("" &amp; "",filter(Schedule!$Y:$Y&amp;""-""&amp;Schedule!$Z:$Z,Schedule!$L:$L=$A135,(Schedule!$K:$K=$B135)+(Schedule!$K:$K=""""),Schedule!$Y:$Y&lt;&gt;"""")),""""))"),"AP Psychology-1")</f>
        <v>AP Psychology-1</v>
      </c>
      <c r="E135" s="390" t="str">
        <f>IFERROR(__xludf.DUMMYFUNCTION("if($A135="""","""",iferror(join("" &amp; "",filter(Schedule!$P:$P&amp;""-""&amp;Schedule!$Q:$Q,Schedule!$L:$L=$A135,(Schedule!$K:$K=$B135)+(Schedule!$K:$K=""""),Schedule!$P:$P&lt;&gt;"""")),""""))"),"")</f>
        <v/>
      </c>
      <c r="F135" s="390" t="str">
        <f>IFERROR(__xludf.DUMMYFUNCTION("if($A135="""","""",iferror(join("" &amp; "",filter(Schedule!$AE:$AE&amp;""-""&amp;Schedule!$AF:$AF,Schedule!$L:$L=$A135,(Schedule!$K:$K=$B135)+(Schedule!$K:$K=""""),Schedule!$AE:$AE&lt;&gt;"""")),""""))"),"")</f>
        <v/>
      </c>
      <c r="G135" s="390" t="str">
        <f>IFERROR(__xludf.DUMMYFUNCTION("if($A135="""","""",iferror(join("" &amp; "",filter(Schedule!$V:$V&amp;""-""&amp;Schedule!$W:$W,Schedule!$L:$L=$A135,(Schedule!$K:$K=$B135)+(Schedule!$K:$K=""""),Schedule!$V:$V&lt;&gt;"""")),""""))"),"Life Purpose-5")</f>
        <v>Life Purpose-5</v>
      </c>
      <c r="H135" s="390" t="str">
        <f>IFERROR(__xludf.DUMMYFUNCTION("if($A135="""","""",iferror(join("" &amp; "",filter(Schedule!$AH:$AH&amp;""-""&amp;Schedule!$AI:$AI,Schedule!$L:$L=$A135,(Schedule!$K:$K=$B135)+(Schedule!$K:$K=""""),Schedule!$AH:$AH&lt;&gt;"""")),""""))"),"")</f>
        <v/>
      </c>
      <c r="I135" s="53"/>
      <c r="J135" s="392"/>
      <c r="K135" s="389" t="str">
        <f>M130</f>
        <v/>
      </c>
      <c r="L135" s="389" t="str">
        <f>S130</f>
        <v/>
      </c>
      <c r="M135" s="100">
        <v>4.0</v>
      </c>
      <c r="N135" s="390" t="str">
        <f>IFERROR(__xludf.DUMMYFUNCTION("if($K135="""","""",iferror(join("" &amp; "",filter(Schedule!$Y:$Y&amp;""-""&amp;Schedule!$Z:$Z,Schedule!$L:$L=$K135,(Schedule!$K:$K=$L135)+(Schedule!$K:$K=""""),Schedule!$Y:$Y&lt;&gt;"""")),""""))"),"")</f>
        <v/>
      </c>
      <c r="O135" s="390" t="str">
        <f>IFERROR(__xludf.DUMMYFUNCTION("if($K135="""","""",iferror(join("" &amp; "",filter(Schedule!$P:$P&amp;""-""&amp;Schedule!$Q:$Q,Schedule!$L:$L=$K135,(Schedule!$K:$K=$L135)+(Schedule!$K:$K=""""),Schedule!$P:$P&lt;&gt;"""")),""""))"),"")</f>
        <v/>
      </c>
      <c r="P135" s="390" t="str">
        <f>IFERROR(__xludf.DUMMYFUNCTION("if($K135="""","""",iferror(join("" &amp; "",filter(Schedule!$AE:$AE&amp;""-""&amp;Schedule!$AF:$AF,Schedule!$L:$L=$K135,(Schedule!$K:$K=$L135)+(Schedule!$K:$K=""""),Schedule!$AE:$AE&lt;&gt;"""")),""""))"),"")</f>
        <v/>
      </c>
      <c r="Q135" s="390" t="str">
        <f>IFERROR(__xludf.DUMMYFUNCTION("if($K135="""","""",iferror(join("" &amp; "",filter(Schedule!$V:$V&amp;""-""&amp;Schedule!$W:$W,Schedule!$L:$L=$K135,(Schedule!$K:$K=$L135)+(Schedule!$K:$K=""""),Schedule!$V:$V&lt;&gt;"""")),""""))"),"")</f>
        <v/>
      </c>
      <c r="R135" s="390" t="str">
        <f>IFERROR(__xludf.DUMMYFUNCTION("if($K135="""","""",iferror(join("" &amp; "",filter(Schedule!$AH:$AH&amp;""-""&amp;Schedule!$AI:$AI,Schedule!$L:$L=$K135,(Schedule!$K:$K=$L135)+(Schedule!$K:$K=""""),Schedule!$AH:$AH&lt;&gt;"""")),""""))"),"")</f>
        <v/>
      </c>
      <c r="S135" s="53"/>
      <c r="T135" s="393"/>
    </row>
    <row r="136">
      <c r="A136" s="389" t="str">
        <f>C130</f>
        <v>Felipe Naranjo</v>
      </c>
      <c r="B136" s="389" t="str">
        <f>I130</f>
        <v/>
      </c>
      <c r="C136" s="100">
        <v>5.0</v>
      </c>
      <c r="D136" s="390" t="str">
        <f>IFERROR(__xludf.DUMMYFUNCTION("if($A136="""","""",iferror(join("" &amp; "",filter(Schedule!$AB:$AB&amp;""-""&amp;Schedule!$AC:$AC,Schedule!$L:$L=$A136,(Schedule!$K:$K=$B136)+(Schedule!$K:$K=""""),Schedule!$AB:$AB&lt;&gt;"""")),""""))"),"AP Psychology-2")</f>
        <v>AP Psychology-2</v>
      </c>
      <c r="E136" s="390" t="str">
        <f>IFERROR(__xludf.DUMMYFUNCTION("if($A136="""","""",iferror(join("" &amp; "",filter(Schedule!$S:$S&amp;""-""&amp;Schedule!$T:$T,Schedule!$L:$L=$A136,(Schedule!$K:$K=$B136)+(Schedule!$K:$K=""""),Schedule!$S:$S&lt;&gt;"""")),""""))"),"Life Purpose-4")</f>
        <v>Life Purpose-4</v>
      </c>
      <c r="F136" s="390" t="str">
        <f>IFERROR(__xludf.DUMMYFUNCTION("if($A136="""","""",iferror(join("" &amp; "",filter(Schedule!$AH:$AH&amp;""-""&amp;Schedule!$AI:$AI,Schedule!$L:$L=$A136,(Schedule!$K:$K=$B136)+(Schedule!$K:$K=""""),Schedule!$AH:$AH&lt;&gt;"""")),""""))"),"")</f>
        <v/>
      </c>
      <c r="G136" s="390" t="str">
        <f>IFERROR(__xludf.DUMMYFUNCTION("if($A136="""","""",iferror(join("" &amp; "",filter(Schedule!$Y:$Y&amp;""-""&amp;Schedule!$Z:$Z,Schedule!$L:$L=$A136,(Schedule!$K:$K=$B136)+(Schedule!$K:$K=""""),Schedule!$Y:$Y&lt;&gt;"""")),""""))"),"AP Psychology-1")</f>
        <v>AP Psychology-1</v>
      </c>
      <c r="H136" s="390" t="str">
        <f>IFERROR(__xludf.DUMMYFUNCTION("if($A136="""","""",iferror(join("" &amp; "",filter(Schedule!$AK:$AK&amp;""-""&amp;Schedule!$AL:$AL,Schedule!$L:$L=$A136,(Schedule!$K:$K=$B136)+(Schedule!$K:$K=""""),Schedule!$AK:$AK&lt;&gt;"""")),""""))"),"Life Purpose-6")</f>
        <v>Life Purpose-6</v>
      </c>
      <c r="I136" s="68"/>
      <c r="J136" s="392"/>
      <c r="K136" s="389" t="str">
        <f>M130</f>
        <v/>
      </c>
      <c r="L136" s="389" t="str">
        <f>S130</f>
        <v/>
      </c>
      <c r="M136" s="100">
        <v>5.0</v>
      </c>
      <c r="N136" s="390" t="str">
        <f>IFERROR(__xludf.DUMMYFUNCTION("if($K136="""","""",iferror(join("" &amp; "",filter(Schedule!$AB:$AB&amp;""-""&amp;Schedule!$AC:$AC,Schedule!$L:$L=$K136,(Schedule!$K:$K=$L136)+(Schedule!$K:$K=""""),Schedule!$AB:$AB&lt;&gt;"""")),""""))"),"")</f>
        <v/>
      </c>
      <c r="O136" s="390" t="str">
        <f>IFERROR(__xludf.DUMMYFUNCTION("if($K136="""","""",iferror(join("" &amp; "",filter(Schedule!$S:$S&amp;""-""&amp;Schedule!$T:$T,Schedule!$L:$L=$K136,(Schedule!$K:$K=$L136)+(Schedule!$K:$K=""""),Schedule!$S:$S&lt;&gt;"""")),""""))"),"")</f>
        <v/>
      </c>
      <c r="P136" s="390" t="str">
        <f>IFERROR(__xludf.DUMMYFUNCTION("if($K136="""","""",iferror(join("" &amp; "",filter(Schedule!$AH:$AH&amp;""-""&amp;Schedule!$AI:$AI,Schedule!$L:$L=$K136,(Schedule!$K:$K=$L136)+(Schedule!$K:$K=""""),Schedule!$AH:$AH&lt;&gt;"""")),""""))"),"")</f>
        <v/>
      </c>
      <c r="Q136" s="390" t="str">
        <f>IFERROR(__xludf.DUMMYFUNCTION("if($K136="""","""",iferror(join("" &amp; "",filter(Schedule!$Y:$Y&amp;""-""&amp;Schedule!$Z:$Z,Schedule!$L:$L=$K136,(Schedule!$K:$K=$L136)+(Schedule!$K:$K=""""),Schedule!$Y:$Y&lt;&gt;"""")),""""))"),"")</f>
        <v/>
      </c>
      <c r="R136" s="390" t="str">
        <f>IFERROR(__xludf.DUMMYFUNCTION("if($K136="""","""",iferror(join("" &amp; "",filter(Schedule!$AK:$AK&amp;""-""&amp;Schedule!$AL:$AL,Schedule!$L:$L=$K136,(Schedule!$K:$K=$L136)+(Schedule!$K:$K=""""),Schedule!$AK:$AK&lt;&gt;"""")),""""))"),"")</f>
        <v/>
      </c>
      <c r="S136" s="68"/>
      <c r="T136" s="393"/>
    </row>
    <row r="137">
      <c r="C137" s="3"/>
      <c r="D137" s="396"/>
      <c r="E137" s="396"/>
      <c r="F137" s="396"/>
      <c r="G137" s="396"/>
      <c r="H137" s="396"/>
      <c r="N137" s="397"/>
      <c r="O137" s="397"/>
      <c r="P137" s="397"/>
      <c r="Q137" s="397"/>
      <c r="R137" s="397"/>
    </row>
    <row r="138">
      <c r="A138" s="45"/>
      <c r="B138" s="45"/>
      <c r="C138" s="386" t="str">
        <f>Teachers!A18</f>
        <v>Gloria Velez</v>
      </c>
      <c r="D138" s="383"/>
      <c r="E138" s="383"/>
      <c r="F138" s="383"/>
      <c r="G138" s="383"/>
      <c r="H138" s="384"/>
      <c r="I138" s="385" t="str">
        <f>IFERROR(__xludf.DUMMYFUNCTION("if(C138="""","""", iferror(filter(Schedule!$K:$K,Schedule!$L:$L=$C138,Schedule!$K:$K=""S1""),unique(filter(Schedule!$K:$K,Schedule!$L:$L=$C138,Schedule!$K:$K=""""))))"),"")</f>
        <v/>
      </c>
      <c r="M138" s="386" t="str">
        <f>if(S138="","",C138)</f>
        <v/>
      </c>
      <c r="N138" s="383"/>
      <c r="O138" s="383"/>
      <c r="P138" s="383"/>
      <c r="Q138" s="383"/>
      <c r="R138" s="384"/>
      <c r="S138" s="385" t="str">
        <f>if(I138="S1","S2","")</f>
        <v/>
      </c>
      <c r="T138" s="112"/>
    </row>
    <row r="139">
      <c r="A139" s="116"/>
      <c r="B139" s="116"/>
      <c r="C139" s="100" t="s">
        <v>7</v>
      </c>
      <c r="D139" s="387" t="s">
        <v>8</v>
      </c>
      <c r="E139" s="387" t="s">
        <v>9</v>
      </c>
      <c r="F139" s="387" t="s">
        <v>10</v>
      </c>
      <c r="G139" s="387" t="s">
        <v>11</v>
      </c>
      <c r="H139" s="387" t="s">
        <v>12</v>
      </c>
      <c r="I139" s="21"/>
      <c r="J139" s="116"/>
      <c r="K139" s="116"/>
      <c r="L139" s="116"/>
      <c r="M139" s="100" t="s">
        <v>7</v>
      </c>
      <c r="N139" s="387" t="s">
        <v>8</v>
      </c>
      <c r="O139" s="387" t="s">
        <v>9</v>
      </c>
      <c r="P139" s="387" t="s">
        <v>10</v>
      </c>
      <c r="Q139" s="387" t="s">
        <v>11</v>
      </c>
      <c r="R139" s="387" t="s">
        <v>12</v>
      </c>
      <c r="S139" s="21" t="s">
        <v>766</v>
      </c>
      <c r="T139" s="388"/>
    </row>
    <row r="140">
      <c r="A140" s="389" t="str">
        <f>C138</f>
        <v>Gloria Velez</v>
      </c>
      <c r="B140" s="389" t="str">
        <f>I138</f>
        <v/>
      </c>
      <c r="C140" s="100">
        <v>1.0</v>
      </c>
      <c r="D140" s="390" t="str">
        <f>IFERROR(__xludf.DUMMYFUNCTION("if($A140="""","""",iferror(join("" &amp; "",filter(Schedule!$P:$P&amp;""-""&amp;Schedule!$Q:$Q,Schedule!$L:$L=$A140,(Schedule!$K:$K=$B140)+(Schedule!$K:$K=""""),Schedule!$P:$P&lt;&gt;"""")),""""))"),"Painting II-1")</f>
        <v>Painting II-1</v>
      </c>
      <c r="E140" s="390" t="str">
        <f>IFERROR(__xludf.DUMMYFUNCTION("if($A140="""","""",iferror(join("" &amp; "",filter(Schedule!$AE:$AE&amp;""-""&amp;Schedule!$AF:$AF,Schedule!$L:$L=$A140,(Schedule!$K:$K=$B140)+(Schedule!$K:$K=""""),Schedule!$AE:$AE&lt;&gt;"""")),""""))"),"")</f>
        <v/>
      </c>
      <c r="F140" s="390" t="str">
        <f>IFERROR(__xludf.DUMMYFUNCTION("if($A140="""","""",iferror(join("" &amp; "",filter(Schedule!$V:$V&amp;""-""&amp;Schedule!$W:$W,Schedule!$L:$L=$A140,(Schedule!$K:$K=$B140)+(Schedule!$K:$K=""""),Schedule!$V:$V&lt;&gt;"""")),""""))"),"Sculpture I-1")</f>
        <v>Sculpture I-1</v>
      </c>
      <c r="G140" s="390" t="str">
        <f>IFERROR(__xludf.DUMMYFUNCTION("if($A140="""","""",iferror(join("" &amp; "",filter(Schedule!$AK:$AK&amp;""-""&amp;Schedule!$AL:$AL,Schedule!$L:$L=$A140,(Schedule!$K:$K=$B140)+(Schedule!$K:$K=""""),Schedule!$AK:$AK&lt;&gt;"""")),""""))"),"AP Drawing-1 &amp; Drawing I-1")</f>
        <v>AP Drawing-1 &amp; Drawing I-1</v>
      </c>
      <c r="H140" s="390" t="str">
        <f>IFERROR(__xludf.DUMMYFUNCTION("if($A140="""","""",iferror(join("" &amp; "",filter(Schedule!$AB:$AB&amp;""-""&amp;Schedule!$AC:$AC,Schedule!$L:$L=$A140,(Schedule!$K:$K=$B140)+(Schedule!$K:$K=""""),Schedule!$AB:$AB&lt;&gt;"""")),""""))"),"Painting I-4")</f>
        <v>Painting I-4</v>
      </c>
      <c r="I140" s="391">
        <f>if(C138="","", 24-countifs(D140:H144,""))</f>
        <v>18</v>
      </c>
      <c r="J140" s="392"/>
      <c r="K140" s="389" t="str">
        <f>M138</f>
        <v/>
      </c>
      <c r="L140" s="389" t="str">
        <f>S138</f>
        <v/>
      </c>
      <c r="M140" s="100">
        <v>1.0</v>
      </c>
      <c r="N140" s="390" t="str">
        <f>IFERROR(__xludf.DUMMYFUNCTION("if($K140="""","""",iferror(join("" &amp; "",filter(Schedule!$P:$P&amp;""-""&amp;Schedule!$Q:$Q,Schedule!$L:$L=$K140,(Schedule!$K:$K=$L140)+(Schedule!$K:$K=""""),Schedule!$P:$P&lt;&gt;"""")),""""))"),"")</f>
        <v/>
      </c>
      <c r="O140" s="390" t="str">
        <f>IFERROR(__xludf.DUMMYFUNCTION("if($K140="""","""",iferror(join("" &amp; "",filter(Schedule!$AE:$AE&amp;""-""&amp;Schedule!$AF:$AF,Schedule!$L:$L=$K140,(Schedule!$K:$K=$L140)+(Schedule!$K:$K=""""),Schedule!$AE:$AE&lt;&gt;"""")),""""))"),"")</f>
        <v/>
      </c>
      <c r="P140" s="390" t="str">
        <f>IFERROR(__xludf.DUMMYFUNCTION("if($K140="""","""",iferror(join("" &amp; "",filter(Schedule!$V:$V&amp;""-""&amp;Schedule!$W:$W,Schedule!$L:$L=$K140,(Schedule!$K:$K=$L140)+(Schedule!$K:$K=""""),Schedule!$V:$V&lt;&gt;"""")),""""))"),"")</f>
        <v/>
      </c>
      <c r="Q140" s="390" t="str">
        <f>IFERROR(__xludf.DUMMYFUNCTION("if($K140="""","""",iferror(join("" &amp; "",filter(Schedule!$AK:$AK&amp;""-""&amp;Schedule!$AL:$AL,Schedule!$L:$L=$K140,(Schedule!$K:$K=$L140)+(Schedule!$K:$K=""""),Schedule!$AK:$AK&lt;&gt;"""")),""""))"),"")</f>
        <v/>
      </c>
      <c r="R140" s="390" t="str">
        <f>IFERROR(__xludf.DUMMYFUNCTION("if($K140="""","""",iferror(join("" &amp; "",filter(Schedule!$AB:$AB&amp;""-""&amp;Schedule!$AC:$AC,Schedule!$L:$L=$K140,(Schedule!$K:$K=$L140)+(Schedule!$K:$K=""""),Schedule!$AB:$AB&lt;&gt;"""")),""""))"),"")</f>
        <v/>
      </c>
      <c r="S140" s="391" t="str">
        <f>if(K140="","", 24-countifs(N140:R144,""))</f>
        <v/>
      </c>
      <c r="T140" s="393"/>
    </row>
    <row r="141">
      <c r="A141" s="389" t="str">
        <f>C138</f>
        <v>Gloria Velez</v>
      </c>
      <c r="B141" s="389" t="str">
        <f>I138</f>
        <v/>
      </c>
      <c r="C141" s="100">
        <v>2.0</v>
      </c>
      <c r="D141" s="390" t="str">
        <f>IFERROR(__xludf.DUMMYFUNCTION("if($A141="""","""",iferror(join("" &amp; "",filter(Schedule!$S:$S&amp;""-""&amp;Schedule!$T:$T,Schedule!$L:$L=$A141,(Schedule!$K:$K=$B141)+(Schedule!$K:$K=""""),Schedule!$S:$S&lt;&gt;"""")),""""))"),"")</f>
        <v/>
      </c>
      <c r="E141" s="390" t="str">
        <f>IFERROR(__xludf.DUMMYFUNCTION("if($A141="""","""",iferror(join("" &amp; "",filter(Schedule!$AH:$AH&amp;""-""&amp;Schedule!$AI:$AI,Schedule!$L:$L=$A141,(Schedule!$K:$K=$B141)+(Schedule!$K:$K=""""),Schedule!$AH:$AH&lt;&gt;"""")),""""))"),"Painting II-2")</f>
        <v>Painting II-2</v>
      </c>
      <c r="F141" s="390" t="str">
        <f>IFERROR(__xludf.DUMMYFUNCTION("if($A141="""","""",iferror(join("" &amp; "",filter(Schedule!$Y:$Y&amp;""-""&amp;Schedule!$Z:$Z,Schedule!$L:$L=$A141,(Schedule!$K:$K=$B141)+(Schedule!$K:$K=""""),Schedule!$Y:$Y&lt;&gt;"""")),""""))"),"Painting I-3")</f>
        <v>Painting I-3</v>
      </c>
      <c r="G141" s="390" t="str">
        <f>IFERROR(__xludf.DUMMYFUNCTION("if($A141="""","""",iferror(join("" &amp; "",filter(Schedule!$P:$P&amp;""-""&amp;Schedule!$Q:$Q,Schedule!$L:$L=$A141,(Schedule!$K:$K=$B141)+(Schedule!$K:$K=""""),Schedule!$P:$P&lt;&gt;"""")),""""))"),"Painting II-1")</f>
        <v>Painting II-1</v>
      </c>
      <c r="H141" s="390" t="str">
        <f>IFERROR(__xludf.DUMMYFUNCTION("if($A141="""","""",iferror(join("" &amp; "",filter(Schedule!$AE:$AE&amp;""-""&amp;Schedule!$AF:$AF,Schedule!$L:$L=$A141,(Schedule!$K:$K=$B141)+(Schedule!$K:$K=""""),Schedule!$AE:$AE&lt;&gt;"""")),""""))"),"")</f>
        <v/>
      </c>
      <c r="I141" s="53"/>
      <c r="J141" s="392"/>
      <c r="K141" s="389" t="str">
        <f>M138</f>
        <v/>
      </c>
      <c r="L141" s="389" t="str">
        <f>S138</f>
        <v/>
      </c>
      <c r="M141" s="100">
        <v>2.0</v>
      </c>
      <c r="N141" s="390" t="str">
        <f>IFERROR(__xludf.DUMMYFUNCTION("if($K141="""","""",iferror(join("" &amp; "",filter(Schedule!$S:$S&amp;""-""&amp;Schedule!$T:$T,Schedule!$L:$L=$K141,(Schedule!$K:$K=$L141)+(Schedule!$K:$K=""""),Schedule!$S:$S&lt;&gt;"""")),""""))"),"")</f>
        <v/>
      </c>
      <c r="O141" s="390" t="str">
        <f>IFERROR(__xludf.DUMMYFUNCTION("if($K141="""","""",iferror(join("" &amp; "",filter(Schedule!$AH:$AH&amp;""-""&amp;Schedule!$AI:$AI,Schedule!$L:$L=$K141,(Schedule!$K:$K=$L141)+(Schedule!$K:$K=""""),Schedule!$AH:$AH&lt;&gt;"""")),""""))"),"")</f>
        <v/>
      </c>
      <c r="P141" s="390" t="str">
        <f>IFERROR(__xludf.DUMMYFUNCTION("if($K141="""","""",iferror(join("" &amp; "",filter(Schedule!$Y:$Y&amp;""-""&amp;Schedule!$Z:$Z,Schedule!$L:$L=$K141,(Schedule!$K:$K=$L141)+(Schedule!$K:$K=""""),Schedule!$Y:$Y&lt;&gt;"""")),""""))"),"")</f>
        <v/>
      </c>
      <c r="Q141" s="390" t="str">
        <f>IFERROR(__xludf.DUMMYFUNCTION("if($K141="""","""",iferror(join("" &amp; "",filter(Schedule!$P:$P&amp;""-""&amp;Schedule!$Q:$Q,Schedule!$L:$L=$K141,(Schedule!$K:$K=$L141)+(Schedule!$K:$K=""""),Schedule!$P:$P&lt;&gt;"""")),""""))"),"")</f>
        <v/>
      </c>
      <c r="R141" s="390" t="str">
        <f>IFERROR(__xludf.DUMMYFUNCTION("if($K141="""","""",iferror(join("" &amp; "",filter(Schedule!$AE:$AE&amp;""-""&amp;Schedule!$AF:$AF,Schedule!$L:$L=$K141,(Schedule!$K:$K=$L141)+(Schedule!$K:$K=""""),Schedule!$AE:$AE&lt;&gt;"""")),""""))"),"")</f>
        <v/>
      </c>
      <c r="S141" s="53"/>
      <c r="T141" s="393"/>
    </row>
    <row r="142">
      <c r="A142" s="389" t="str">
        <f>C138</f>
        <v>Gloria Velez</v>
      </c>
      <c r="B142" s="389" t="str">
        <f>I138</f>
        <v/>
      </c>
      <c r="C142" s="100">
        <v>3.0</v>
      </c>
      <c r="D142" s="390" t="str">
        <f>IFERROR(__xludf.DUMMYFUNCTION("if($A142="""","""",iferror(join("" &amp; "",filter(Schedule!$V:$V&amp;""-""&amp;Schedule!$W:$W,Schedule!$L:$L=$A142,(Schedule!$K:$K=$B142)+(Schedule!$K:$K=""""),Schedule!$V:$V&lt;&gt;"""")),""""))"),"Sculpture I-1")</f>
        <v>Sculpture I-1</v>
      </c>
      <c r="E142" s="390" t="str">
        <f>IFERROR(__xludf.DUMMYFUNCTION("if($A142="""","""",iferror(join("" &amp; "",filter(Schedule!$AK:$AK&amp;""-""&amp;Schedule!$AL:$AL,Schedule!$L:$L=$A142,(Schedule!$K:$K=$B142)+(Schedule!$K:$K=""""),Schedule!$AK:$AK&lt;&gt;"""")),""""))"),"AP Drawing-1 &amp; Drawing I-1")</f>
        <v>AP Drawing-1 &amp; Drawing I-1</v>
      </c>
      <c r="F142" s="390" t="str">
        <f>IFERROR(__xludf.DUMMYFUNCTION("if($A142="""","""",iferror(join("" &amp; "",filter(Schedule!$AB:$AB&amp;""-""&amp;Schedule!$AC:$AC,Schedule!$L:$L=$A142,(Schedule!$K:$K=$B142)+(Schedule!$K:$K=""""),Schedule!$AB:$AB&lt;&gt;"""")),""""))"),"Painting I-4")</f>
        <v>Painting I-4</v>
      </c>
      <c r="G142" s="390" t="str">
        <f>IFERROR(__xludf.DUMMYFUNCTION("if($A142="""","""",iferror(join("" &amp; "",filter(Schedule!$S:$S&amp;""-""&amp;Schedule!$T:$T,Schedule!$L:$L=$A142,(Schedule!$K:$K=$B142)+(Schedule!$K:$K=""""),Schedule!$S:$S&lt;&gt;"""")),""""))"),"")</f>
        <v/>
      </c>
      <c r="H142" s="395" t="str">
        <f>if($C138="","","X-Block")</f>
        <v>X-Block</v>
      </c>
      <c r="I142" s="53"/>
      <c r="J142" s="392"/>
      <c r="K142" s="389" t="str">
        <f>M138</f>
        <v/>
      </c>
      <c r="L142" s="389" t="str">
        <f>S138</f>
        <v/>
      </c>
      <c r="M142" s="100">
        <v>3.0</v>
      </c>
      <c r="N142" s="390" t="str">
        <f>IFERROR(__xludf.DUMMYFUNCTION("if($K142="""","""",iferror(join("" &amp; "",filter(Schedule!$V:$V&amp;""-""&amp;Schedule!$W:$W,Schedule!$L:$L=$K142,(Schedule!$K:$K=$L142)+(Schedule!$K:$K=""""),Schedule!$V:$V&lt;&gt;"""")),""""))"),"")</f>
        <v/>
      </c>
      <c r="O142" s="390" t="str">
        <f>IFERROR(__xludf.DUMMYFUNCTION("if($K142="""","""",iferror(join("" &amp; "",filter(Schedule!$AK:$AK&amp;""-""&amp;Schedule!$AL:$AL,Schedule!$L:$L=$K142,(Schedule!$K:$K=$L142)+(Schedule!$K:$K=""""),Schedule!$AK:$AK&lt;&gt;"""")),""""))"),"")</f>
        <v/>
      </c>
      <c r="P142" s="390" t="str">
        <f>IFERROR(__xludf.DUMMYFUNCTION("if($K142="""","""",iferror(join("" &amp; "",filter(Schedule!$AB:$AB&amp;""-""&amp;Schedule!$AC:$AC,Schedule!$L:$L=$K142,(Schedule!$K:$K=$L142)+(Schedule!$K:$K=""""),Schedule!$AB:$AB&lt;&gt;"""")),""""))"),"")</f>
        <v/>
      </c>
      <c r="Q142" s="390" t="str">
        <f>IFERROR(__xludf.DUMMYFUNCTION("if($K142="""","""",iferror(join("" &amp; "",filter(Schedule!$S:$S&amp;""-""&amp;Schedule!$T:$T,Schedule!$L:$L=$K142,(Schedule!$K:$K=$L142)+(Schedule!$K:$K=""""),Schedule!$S:$S&lt;&gt;"""")),""""))"),"")</f>
        <v/>
      </c>
      <c r="R142" s="395" t="str">
        <f>if($M138="","","X-Block")</f>
        <v/>
      </c>
      <c r="S142" s="53"/>
      <c r="T142" s="393"/>
    </row>
    <row r="143">
      <c r="A143" s="389" t="str">
        <f>C138</f>
        <v>Gloria Velez</v>
      </c>
      <c r="B143" s="389" t="str">
        <f>I138</f>
        <v/>
      </c>
      <c r="C143" s="100">
        <v>4.0</v>
      </c>
      <c r="D143" s="390" t="str">
        <f>IFERROR(__xludf.DUMMYFUNCTION("if($A143="""","""",iferror(join("" &amp; "",filter(Schedule!$Y:$Y&amp;""-""&amp;Schedule!$Z:$Z,Schedule!$L:$L=$A143,(Schedule!$K:$K=$B143)+(Schedule!$K:$K=""""),Schedule!$Y:$Y&lt;&gt;"""")),""""))"),"Painting I-3")</f>
        <v>Painting I-3</v>
      </c>
      <c r="E143" s="390" t="str">
        <f>IFERROR(__xludf.DUMMYFUNCTION("if($A143="""","""",iferror(join("" &amp; "",filter(Schedule!$P:$P&amp;""-""&amp;Schedule!$Q:$Q,Schedule!$L:$L=$A143,(Schedule!$K:$K=$B143)+(Schedule!$K:$K=""""),Schedule!$P:$P&lt;&gt;"""")),""""))"),"Painting II-1")</f>
        <v>Painting II-1</v>
      </c>
      <c r="F143" s="390" t="str">
        <f>IFERROR(__xludf.DUMMYFUNCTION("if($A143="""","""",iferror(join("" &amp; "",filter(Schedule!$AE:$AE&amp;""-""&amp;Schedule!$AF:$AF,Schedule!$L:$L=$A143,(Schedule!$K:$K=$B143)+(Schedule!$K:$K=""""),Schedule!$AE:$AE&lt;&gt;"""")),""""))"),"")</f>
        <v/>
      </c>
      <c r="G143" s="390" t="str">
        <f>IFERROR(__xludf.DUMMYFUNCTION("if($A143="""","""",iferror(join("" &amp; "",filter(Schedule!$V:$V&amp;""-""&amp;Schedule!$W:$W,Schedule!$L:$L=$A143,(Schedule!$K:$K=$B143)+(Schedule!$K:$K=""""),Schedule!$V:$V&lt;&gt;"""")),""""))"),"Sculpture I-1")</f>
        <v>Sculpture I-1</v>
      </c>
      <c r="H143" s="390" t="str">
        <f>IFERROR(__xludf.DUMMYFUNCTION("if($A143="""","""",iferror(join("" &amp; "",filter(Schedule!$AH:$AH&amp;""-""&amp;Schedule!$AI:$AI,Schedule!$L:$L=$A143,(Schedule!$K:$K=$B143)+(Schedule!$K:$K=""""),Schedule!$AH:$AH&lt;&gt;"""")),""""))"),"Painting II-2")</f>
        <v>Painting II-2</v>
      </c>
      <c r="I143" s="53"/>
      <c r="J143" s="392"/>
      <c r="K143" s="389" t="str">
        <f>M138</f>
        <v/>
      </c>
      <c r="L143" s="389" t="str">
        <f>S138</f>
        <v/>
      </c>
      <c r="M143" s="100">
        <v>4.0</v>
      </c>
      <c r="N143" s="390" t="str">
        <f>IFERROR(__xludf.DUMMYFUNCTION("if($K143="""","""",iferror(join("" &amp; "",filter(Schedule!$Y:$Y&amp;""-""&amp;Schedule!$Z:$Z,Schedule!$L:$L=$K143,(Schedule!$K:$K=$L143)+(Schedule!$K:$K=""""),Schedule!$Y:$Y&lt;&gt;"""")),""""))"),"")</f>
        <v/>
      </c>
      <c r="O143" s="390" t="str">
        <f>IFERROR(__xludf.DUMMYFUNCTION("if($K143="""","""",iferror(join("" &amp; "",filter(Schedule!$P:$P&amp;""-""&amp;Schedule!$Q:$Q,Schedule!$L:$L=$K143,(Schedule!$K:$K=$L143)+(Schedule!$K:$K=""""),Schedule!$P:$P&lt;&gt;"""")),""""))"),"")</f>
        <v/>
      </c>
      <c r="P143" s="390" t="str">
        <f>IFERROR(__xludf.DUMMYFUNCTION("if($K143="""","""",iferror(join("" &amp; "",filter(Schedule!$AE:$AE&amp;""-""&amp;Schedule!$AF:$AF,Schedule!$L:$L=$K143,(Schedule!$K:$K=$L143)+(Schedule!$K:$K=""""),Schedule!$AE:$AE&lt;&gt;"""")),""""))"),"")</f>
        <v/>
      </c>
      <c r="Q143" s="390" t="str">
        <f>IFERROR(__xludf.DUMMYFUNCTION("if($K143="""","""",iferror(join("" &amp; "",filter(Schedule!$V:$V&amp;""-""&amp;Schedule!$W:$W,Schedule!$L:$L=$K143,(Schedule!$K:$K=$L143)+(Schedule!$K:$K=""""),Schedule!$V:$V&lt;&gt;"""")),""""))"),"")</f>
        <v/>
      </c>
      <c r="R143" s="390" t="str">
        <f>IFERROR(__xludf.DUMMYFUNCTION("if($K143="""","""",iferror(join("" &amp; "",filter(Schedule!$AH:$AH&amp;""-""&amp;Schedule!$AI:$AI,Schedule!$L:$L=$K143,(Schedule!$K:$K=$L143)+(Schedule!$K:$K=""""),Schedule!$AH:$AH&lt;&gt;"""")),""""))"),"")</f>
        <v/>
      </c>
      <c r="S143" s="53"/>
      <c r="T143" s="393"/>
    </row>
    <row r="144">
      <c r="A144" s="389" t="str">
        <f>C138</f>
        <v>Gloria Velez</v>
      </c>
      <c r="B144" s="389" t="str">
        <f>I138</f>
        <v/>
      </c>
      <c r="C144" s="100">
        <v>5.0</v>
      </c>
      <c r="D144" s="390" t="str">
        <f>IFERROR(__xludf.DUMMYFUNCTION("if($A144="""","""",iferror(join("" &amp; "",filter(Schedule!$AB:$AB&amp;""-""&amp;Schedule!$AC:$AC,Schedule!$L:$L=$A144,(Schedule!$K:$K=$B144)+(Schedule!$K:$K=""""),Schedule!$AB:$AB&lt;&gt;"""")),""""))"),"Painting I-4")</f>
        <v>Painting I-4</v>
      </c>
      <c r="E144" s="390" t="str">
        <f>IFERROR(__xludf.DUMMYFUNCTION("if($A144="""","""",iferror(join("" &amp; "",filter(Schedule!$S:$S&amp;""-""&amp;Schedule!$T:$T,Schedule!$L:$L=$A144,(Schedule!$K:$K=$B144)+(Schedule!$K:$K=""""),Schedule!$S:$S&lt;&gt;"""")),""""))"),"")</f>
        <v/>
      </c>
      <c r="F144" s="390" t="str">
        <f>IFERROR(__xludf.DUMMYFUNCTION("if($A144="""","""",iferror(join("" &amp; "",filter(Schedule!$AH:$AH&amp;""-""&amp;Schedule!$AI:$AI,Schedule!$L:$L=$A144,(Schedule!$K:$K=$B144)+(Schedule!$K:$K=""""),Schedule!$AH:$AH&lt;&gt;"""")),""""))"),"Painting II-2")</f>
        <v>Painting II-2</v>
      </c>
      <c r="G144" s="390" t="str">
        <f>IFERROR(__xludf.DUMMYFUNCTION("if($A144="""","""",iferror(join("" &amp; "",filter(Schedule!$Y:$Y&amp;""-""&amp;Schedule!$Z:$Z,Schedule!$L:$L=$A144,(Schedule!$K:$K=$B144)+(Schedule!$K:$K=""""),Schedule!$Y:$Y&lt;&gt;"""")),""""))"),"Painting I-3")</f>
        <v>Painting I-3</v>
      </c>
      <c r="H144" s="390" t="str">
        <f>IFERROR(__xludf.DUMMYFUNCTION("if($A144="""","""",iferror(join("" &amp; "",filter(Schedule!$AK:$AK&amp;""-""&amp;Schedule!$AL:$AL,Schedule!$L:$L=$A144,(Schedule!$K:$K=$B144)+(Schedule!$K:$K=""""),Schedule!$AK:$AK&lt;&gt;"""")),""""))"),"AP Drawing-1 &amp; Drawing I-1")</f>
        <v>AP Drawing-1 &amp; Drawing I-1</v>
      </c>
      <c r="I144" s="68"/>
      <c r="J144" s="392"/>
      <c r="K144" s="389" t="str">
        <f>M138</f>
        <v/>
      </c>
      <c r="L144" s="389" t="str">
        <f>S138</f>
        <v/>
      </c>
      <c r="M144" s="100">
        <v>5.0</v>
      </c>
      <c r="N144" s="390" t="str">
        <f>IFERROR(__xludf.DUMMYFUNCTION("if($K144="""","""",iferror(join("" &amp; "",filter(Schedule!$AB:$AB&amp;""-""&amp;Schedule!$AC:$AC,Schedule!$L:$L=$K144,(Schedule!$K:$K=$L144)+(Schedule!$K:$K=""""),Schedule!$AB:$AB&lt;&gt;"""")),""""))"),"")</f>
        <v/>
      </c>
      <c r="O144" s="390" t="str">
        <f>IFERROR(__xludf.DUMMYFUNCTION("if($K144="""","""",iferror(join("" &amp; "",filter(Schedule!$S:$S&amp;""-""&amp;Schedule!$T:$T,Schedule!$L:$L=$K144,(Schedule!$K:$K=$L144)+(Schedule!$K:$K=""""),Schedule!$S:$S&lt;&gt;"""")),""""))"),"")</f>
        <v/>
      </c>
      <c r="P144" s="390" t="str">
        <f>IFERROR(__xludf.DUMMYFUNCTION("if($K144="""","""",iferror(join("" &amp; "",filter(Schedule!$AH:$AH&amp;""-""&amp;Schedule!$AI:$AI,Schedule!$L:$L=$K144,(Schedule!$K:$K=$L144)+(Schedule!$K:$K=""""),Schedule!$AH:$AH&lt;&gt;"""")),""""))"),"")</f>
        <v/>
      </c>
      <c r="Q144" s="390" t="str">
        <f>IFERROR(__xludf.DUMMYFUNCTION("if($K144="""","""",iferror(join("" &amp; "",filter(Schedule!$Y:$Y&amp;""-""&amp;Schedule!$Z:$Z,Schedule!$L:$L=$K144,(Schedule!$K:$K=$L144)+(Schedule!$K:$K=""""),Schedule!$Y:$Y&lt;&gt;"""")),""""))"),"")</f>
        <v/>
      </c>
      <c r="R144" s="390" t="str">
        <f>IFERROR(__xludf.DUMMYFUNCTION("if($K144="""","""",iferror(join("" &amp; "",filter(Schedule!$AK:$AK&amp;""-""&amp;Schedule!$AL:$AL,Schedule!$L:$L=$K144,(Schedule!$K:$K=$L144)+(Schedule!$K:$K=""""),Schedule!$AK:$AK&lt;&gt;"""")),""""))"),"")</f>
        <v/>
      </c>
      <c r="S144" s="68"/>
      <c r="T144" s="393"/>
    </row>
    <row r="145">
      <c r="C145" s="3"/>
      <c r="D145" s="396"/>
      <c r="E145" s="396"/>
      <c r="F145" s="396"/>
      <c r="G145" s="396"/>
      <c r="H145" s="396"/>
      <c r="N145" s="397"/>
      <c r="O145" s="397"/>
      <c r="P145" s="397"/>
      <c r="Q145" s="397"/>
      <c r="R145" s="397"/>
    </row>
    <row r="146">
      <c r="A146" s="45"/>
      <c r="B146" s="45"/>
      <c r="C146" s="386" t="str">
        <f>Teachers!A19</f>
        <v>Jake Landry</v>
      </c>
      <c r="D146" s="383"/>
      <c r="E146" s="383"/>
      <c r="F146" s="383"/>
      <c r="G146" s="383"/>
      <c r="H146" s="384"/>
      <c r="I146" s="385" t="str">
        <f>IFERROR(__xludf.DUMMYFUNCTION("if(C146="""","""", iferror(filter(Schedule!$K:$K,Schedule!$L:$L=$C146,Schedule!$K:$K=""S1""),unique(filter(Schedule!$K:$K,Schedule!$L:$L=$C146,Schedule!$K:$K=""""))))"),"")</f>
        <v/>
      </c>
      <c r="M146" s="386" t="str">
        <f>if(S146="","",C146)</f>
        <v/>
      </c>
      <c r="N146" s="383"/>
      <c r="O146" s="383"/>
      <c r="P146" s="383"/>
      <c r="Q146" s="383"/>
      <c r="R146" s="384"/>
      <c r="S146" s="385" t="str">
        <f>if(I146="S1","S2","")</f>
        <v/>
      </c>
      <c r="T146" s="112"/>
    </row>
    <row r="147">
      <c r="A147" s="116"/>
      <c r="B147" s="116"/>
      <c r="C147" s="100" t="s">
        <v>7</v>
      </c>
      <c r="D147" s="387" t="s">
        <v>8</v>
      </c>
      <c r="E147" s="387" t="s">
        <v>9</v>
      </c>
      <c r="F147" s="387" t="s">
        <v>10</v>
      </c>
      <c r="G147" s="387" t="s">
        <v>11</v>
      </c>
      <c r="H147" s="387" t="s">
        <v>12</v>
      </c>
      <c r="I147" s="21" t="s">
        <v>766</v>
      </c>
      <c r="J147" s="116"/>
      <c r="K147" s="116"/>
      <c r="L147" s="116"/>
      <c r="M147" s="100" t="s">
        <v>7</v>
      </c>
      <c r="N147" s="387" t="s">
        <v>8</v>
      </c>
      <c r="O147" s="387" t="s">
        <v>9</v>
      </c>
      <c r="P147" s="387" t="s">
        <v>10</v>
      </c>
      <c r="Q147" s="387" t="s">
        <v>11</v>
      </c>
      <c r="R147" s="387" t="s">
        <v>12</v>
      </c>
      <c r="S147" s="21" t="s">
        <v>766</v>
      </c>
      <c r="T147" s="388"/>
    </row>
    <row r="148">
      <c r="A148" s="389" t="str">
        <f>C146</f>
        <v>Jake Landry</v>
      </c>
      <c r="B148" s="389" t="str">
        <f>I146</f>
        <v/>
      </c>
      <c r="C148" s="100">
        <v>1.0</v>
      </c>
      <c r="D148" s="390" t="str">
        <f>IFERROR(__xludf.DUMMYFUNCTION("if($A148="""","""",iferror(join("" &amp; "",filter(Schedule!$P:$P&amp;""-""&amp;Schedule!$Q:$Q,Schedule!$L:$L=$A148,(Schedule!$K:$K=$B148)+(Schedule!$K:$K=""""),Schedule!$P:$P&lt;&gt;"""")),""""))"),"AP Physics 1-1")</f>
        <v>AP Physics 1-1</v>
      </c>
      <c r="E148" s="390" t="str">
        <f>IFERROR(__xludf.DUMMYFUNCTION("if($A148="""","""",iferror(join("" &amp; "",filter(Schedule!$AE:$AE&amp;""-""&amp;Schedule!$AF:$AF,Schedule!$L:$L=$A148,(Schedule!$K:$K=$B148)+(Schedule!$K:$K=""""),Schedule!$AE:$AE&lt;&gt;"""")),""""))"),"")</f>
        <v/>
      </c>
      <c r="F148" s="390" t="str">
        <f>IFERROR(__xludf.DUMMYFUNCTION("if($A148="""","""",iferror(join("" &amp; "",filter(Schedule!$V:$V&amp;""-""&amp;Schedule!$W:$W,Schedule!$L:$L=$A148,(Schedule!$K:$K=$B148)+(Schedule!$K:$K=""""),Schedule!$V:$V&lt;&gt;"""")),""""))"),"AP Physics 2-1")</f>
        <v>AP Physics 2-1</v>
      </c>
      <c r="G148" s="390" t="str">
        <f>IFERROR(__xludf.DUMMYFUNCTION("if($A148="""","""",iferror(join("" &amp; "",filter(Schedule!$AK:$AK&amp;""-""&amp;Schedule!$AL:$AL,Schedule!$L:$L=$A148,(Schedule!$K:$K=$B148)+(Schedule!$K:$K=""""),Schedule!$AK:$AK&lt;&gt;"""")),""""))"),"Physics-4")</f>
        <v>Physics-4</v>
      </c>
      <c r="H148" s="390" t="str">
        <f>IFERROR(__xludf.DUMMYFUNCTION("if($A148="""","""",iferror(join("" &amp; "",filter(Schedule!$AB:$AB&amp;""-""&amp;Schedule!$AC:$AC,Schedule!$L:$L=$A148,(Schedule!$K:$K=$B148)+(Schedule!$K:$K=""""),Schedule!$AB:$AB&lt;&gt;"""")),""""))"),"AP Physics 2-2")</f>
        <v>AP Physics 2-2</v>
      </c>
      <c r="I148" s="391">
        <f>if(C146="","", 24-countifs(D148:H152,""))</f>
        <v>15</v>
      </c>
      <c r="J148" s="392"/>
      <c r="K148" s="389" t="str">
        <f>M146</f>
        <v/>
      </c>
      <c r="L148" s="389" t="str">
        <f>S146</f>
        <v/>
      </c>
      <c r="M148" s="100">
        <v>1.0</v>
      </c>
      <c r="N148" s="390" t="str">
        <f>IFERROR(__xludf.DUMMYFUNCTION("if($K148="""","""",iferror(join("" &amp; "",filter(Schedule!$P:$P&amp;""-""&amp;Schedule!$Q:$Q,Schedule!$L:$L=$K148,(Schedule!$K:$K=$L148)+(Schedule!$K:$K=""""),Schedule!$P:$P&lt;&gt;"""")),""""))"),"")</f>
        <v/>
      </c>
      <c r="O148" s="390" t="str">
        <f>IFERROR(__xludf.DUMMYFUNCTION("if($K148="""","""",iferror(join("" &amp; "",filter(Schedule!$AE:$AE&amp;""-""&amp;Schedule!$AF:$AF,Schedule!$L:$L=$K148,(Schedule!$K:$K=$L148)+(Schedule!$K:$K=""""),Schedule!$AE:$AE&lt;&gt;"""")),""""))"),"")</f>
        <v/>
      </c>
      <c r="P148" s="390" t="str">
        <f>IFERROR(__xludf.DUMMYFUNCTION("if($K148="""","""",iferror(join("" &amp; "",filter(Schedule!$V:$V&amp;""-""&amp;Schedule!$W:$W,Schedule!$L:$L=$K148,(Schedule!$K:$K=$L148)+(Schedule!$K:$K=""""),Schedule!$V:$V&lt;&gt;"""")),""""))"),"")</f>
        <v/>
      </c>
      <c r="Q148" s="390" t="str">
        <f>IFERROR(__xludf.DUMMYFUNCTION("if($K148="""","""",iferror(join("" &amp; "",filter(Schedule!$AK:$AK&amp;""-""&amp;Schedule!$AL:$AL,Schedule!$L:$L=$K148,(Schedule!$K:$K=$L148)+(Schedule!$K:$K=""""),Schedule!$AK:$AK&lt;&gt;"""")),""""))"),"")</f>
        <v/>
      </c>
      <c r="R148" s="390" t="str">
        <f>IFERROR(__xludf.DUMMYFUNCTION("if($K148="""","""",iferror(join("" &amp; "",filter(Schedule!$AB:$AB&amp;""-""&amp;Schedule!$AC:$AC,Schedule!$L:$L=$K148,(Schedule!$K:$K=$L148)+(Schedule!$K:$K=""""),Schedule!$AB:$AB&lt;&gt;"""")),""""))"),"")</f>
        <v/>
      </c>
      <c r="S148" s="391" t="str">
        <f>if(K148="","", 24-countifs(N148:R152,""))</f>
        <v/>
      </c>
      <c r="T148" s="393"/>
    </row>
    <row r="149">
      <c r="A149" s="389" t="str">
        <f>C146</f>
        <v>Jake Landry</v>
      </c>
      <c r="B149" s="389" t="str">
        <f>I146</f>
        <v/>
      </c>
      <c r="C149" s="100">
        <v>2.0</v>
      </c>
      <c r="D149" s="390" t="str">
        <f>IFERROR(__xludf.DUMMYFUNCTION("if($A149="""","""",iferror(join("" &amp; "",filter(Schedule!$S:$S&amp;""-""&amp;Schedule!$T:$T,Schedule!$L:$L=$A149,(Schedule!$K:$K=$B149)+(Schedule!$K:$K=""""),Schedule!$S:$S&lt;&gt;"""")),""""))"),"")</f>
        <v/>
      </c>
      <c r="E149" s="390" t="str">
        <f>IFERROR(__xludf.DUMMYFUNCTION("if($A149="""","""",iferror(join("" &amp; "",filter(Schedule!$AH:$AH&amp;""-""&amp;Schedule!$AI:$AI,Schedule!$L:$L=$A149,(Schedule!$K:$K=$B149)+(Schedule!$K:$K=""""),Schedule!$AH:$AH&lt;&gt;"""")),""""))"),"Physics-3")</f>
        <v>Physics-3</v>
      </c>
      <c r="F149" s="390" t="str">
        <f>IFERROR(__xludf.DUMMYFUNCTION("if($A149="""","""",iferror(join("" &amp; "",filter(Schedule!$Y:$Y&amp;""-""&amp;Schedule!$Z:$Z,Schedule!$L:$L=$A149,(Schedule!$K:$K=$B149)+(Schedule!$K:$K=""""),Schedule!$Y:$Y&lt;&gt;"""")),""""))"),"")</f>
        <v/>
      </c>
      <c r="G149" s="390" t="str">
        <f>IFERROR(__xludf.DUMMYFUNCTION("if($A149="""","""",iferror(join("" &amp; "",filter(Schedule!$P:$P&amp;""-""&amp;Schedule!$Q:$Q,Schedule!$L:$L=$A149,(Schedule!$K:$K=$B149)+(Schedule!$K:$K=""""),Schedule!$P:$P&lt;&gt;"""")),""""))"),"AP Physics 1-1")</f>
        <v>AP Physics 1-1</v>
      </c>
      <c r="H149" s="390" t="str">
        <f>IFERROR(__xludf.DUMMYFUNCTION("if($A149="""","""",iferror(join("" &amp; "",filter(Schedule!$AE:$AE&amp;""-""&amp;Schedule!$AF:$AF,Schedule!$L:$L=$A149,(Schedule!$K:$K=$B149)+(Schedule!$K:$K=""""),Schedule!$AE:$AE&lt;&gt;"""")),""""))"),"")</f>
        <v/>
      </c>
      <c r="I149" s="53"/>
      <c r="J149" s="392"/>
      <c r="K149" s="389" t="str">
        <f>M146</f>
        <v/>
      </c>
      <c r="L149" s="389" t="str">
        <f>S146</f>
        <v/>
      </c>
      <c r="M149" s="100">
        <v>2.0</v>
      </c>
      <c r="N149" s="390" t="str">
        <f>IFERROR(__xludf.DUMMYFUNCTION("if($K149="""","""",iferror(join("" &amp; "",filter(Schedule!$S:$S&amp;""-""&amp;Schedule!$T:$T,Schedule!$L:$L=$K149,(Schedule!$K:$K=$L149)+(Schedule!$K:$K=""""),Schedule!$S:$S&lt;&gt;"""")),""""))"),"")</f>
        <v/>
      </c>
      <c r="O149" s="390" t="str">
        <f>IFERROR(__xludf.DUMMYFUNCTION("if($K149="""","""",iferror(join("" &amp; "",filter(Schedule!$AH:$AH&amp;""-""&amp;Schedule!$AI:$AI,Schedule!$L:$L=$K149,(Schedule!$K:$K=$L149)+(Schedule!$K:$K=""""),Schedule!$AH:$AH&lt;&gt;"""")),""""))"),"")</f>
        <v/>
      </c>
      <c r="P149" s="390" t="str">
        <f>IFERROR(__xludf.DUMMYFUNCTION("if($K149="""","""",iferror(join("" &amp; "",filter(Schedule!$Y:$Y&amp;""-""&amp;Schedule!$Z:$Z,Schedule!$L:$L=$K149,(Schedule!$K:$K=$L149)+(Schedule!$K:$K=""""),Schedule!$Y:$Y&lt;&gt;"""")),""""))"),"")</f>
        <v/>
      </c>
      <c r="Q149" s="390" t="str">
        <f>IFERROR(__xludf.DUMMYFUNCTION("if($K149="""","""",iferror(join("" &amp; "",filter(Schedule!$P:$P&amp;""-""&amp;Schedule!$Q:$Q,Schedule!$L:$L=$K149,(Schedule!$K:$K=$L149)+(Schedule!$K:$K=""""),Schedule!$P:$P&lt;&gt;"""")),""""))"),"")</f>
        <v/>
      </c>
      <c r="R149" s="390" t="str">
        <f>IFERROR(__xludf.DUMMYFUNCTION("if($K149="""","""",iferror(join("" &amp; "",filter(Schedule!$AE:$AE&amp;""-""&amp;Schedule!$AF:$AF,Schedule!$L:$L=$K149,(Schedule!$K:$K=$L149)+(Schedule!$K:$K=""""),Schedule!$AE:$AE&lt;&gt;"""")),""""))"),"")</f>
        <v/>
      </c>
      <c r="S149" s="53"/>
      <c r="T149" s="393"/>
    </row>
    <row r="150">
      <c r="A150" s="389" t="str">
        <f>C146</f>
        <v>Jake Landry</v>
      </c>
      <c r="B150" s="389" t="str">
        <f>I146</f>
        <v/>
      </c>
      <c r="C150" s="100">
        <v>3.0</v>
      </c>
      <c r="D150" s="390" t="str">
        <f>IFERROR(__xludf.DUMMYFUNCTION("if($A150="""","""",iferror(join("" &amp; "",filter(Schedule!$V:$V&amp;""-""&amp;Schedule!$W:$W,Schedule!$L:$L=$A150,(Schedule!$K:$K=$B150)+(Schedule!$K:$K=""""),Schedule!$V:$V&lt;&gt;"""")),""""))"),"AP Physics 2-1")</f>
        <v>AP Physics 2-1</v>
      </c>
      <c r="E150" s="390" t="str">
        <f>IFERROR(__xludf.DUMMYFUNCTION("if($A150="""","""",iferror(join("" &amp; "",filter(Schedule!$AK:$AK&amp;""-""&amp;Schedule!$AL:$AL,Schedule!$L:$L=$A150,(Schedule!$K:$K=$B150)+(Schedule!$K:$K=""""),Schedule!$AK:$AK&lt;&gt;"""")),""""))"),"Physics-4")</f>
        <v>Physics-4</v>
      </c>
      <c r="F150" s="390" t="str">
        <f>IFERROR(__xludf.DUMMYFUNCTION("if($A150="""","""",iferror(join("" &amp; "",filter(Schedule!$AB:$AB&amp;""-""&amp;Schedule!$AC:$AC,Schedule!$L:$L=$A150,(Schedule!$K:$K=$B150)+(Schedule!$K:$K=""""),Schedule!$AB:$AB&lt;&gt;"""")),""""))"),"AP Physics 2-2")</f>
        <v>AP Physics 2-2</v>
      </c>
      <c r="G150" s="390" t="str">
        <f>IFERROR(__xludf.DUMMYFUNCTION("if($A150="""","""",iferror(join("" &amp; "",filter(Schedule!$S:$S&amp;""-""&amp;Schedule!$T:$T,Schedule!$L:$L=$A150,(Schedule!$K:$K=$B150)+(Schedule!$K:$K=""""),Schedule!$S:$S&lt;&gt;"""")),""""))"),"")</f>
        <v/>
      </c>
      <c r="H150" s="395" t="str">
        <f>if($C146="","","X-Block")</f>
        <v>X-Block</v>
      </c>
      <c r="I150" s="53"/>
      <c r="J150" s="392"/>
      <c r="K150" s="389" t="str">
        <f>M146</f>
        <v/>
      </c>
      <c r="L150" s="389" t="str">
        <f>S146</f>
        <v/>
      </c>
      <c r="M150" s="100">
        <v>3.0</v>
      </c>
      <c r="N150" s="390" t="str">
        <f>IFERROR(__xludf.DUMMYFUNCTION("if($K150="""","""",iferror(join("" &amp; "",filter(Schedule!$V:$V&amp;""-""&amp;Schedule!$W:$W,Schedule!$L:$L=$K150,(Schedule!$K:$K=$L150)+(Schedule!$K:$K=""""),Schedule!$V:$V&lt;&gt;"""")),""""))"),"")</f>
        <v/>
      </c>
      <c r="O150" s="390" t="str">
        <f>IFERROR(__xludf.DUMMYFUNCTION("if($K150="""","""",iferror(join("" &amp; "",filter(Schedule!$AK:$AK&amp;""-""&amp;Schedule!$AL:$AL,Schedule!$L:$L=$K150,(Schedule!$K:$K=$L150)+(Schedule!$K:$K=""""),Schedule!$AK:$AK&lt;&gt;"""")),""""))"),"")</f>
        <v/>
      </c>
      <c r="P150" s="390" t="str">
        <f>IFERROR(__xludf.DUMMYFUNCTION("if($K150="""","""",iferror(join("" &amp; "",filter(Schedule!$AB:$AB&amp;""-""&amp;Schedule!$AC:$AC,Schedule!$L:$L=$K150,(Schedule!$K:$K=$L150)+(Schedule!$K:$K=""""),Schedule!$AB:$AB&lt;&gt;"""")),""""))"),"")</f>
        <v/>
      </c>
      <c r="Q150" s="390" t="str">
        <f>IFERROR(__xludf.DUMMYFUNCTION("if($K150="""","""",iferror(join("" &amp; "",filter(Schedule!$S:$S&amp;""-""&amp;Schedule!$T:$T,Schedule!$L:$L=$K150,(Schedule!$K:$K=$L150)+(Schedule!$K:$K=""""),Schedule!$S:$S&lt;&gt;"""")),""""))"),"")</f>
        <v/>
      </c>
      <c r="R150" s="395" t="str">
        <f>if($M146="","","X-Block")</f>
        <v/>
      </c>
      <c r="S150" s="53"/>
      <c r="T150" s="393"/>
    </row>
    <row r="151">
      <c r="A151" s="389" t="str">
        <f>C146</f>
        <v>Jake Landry</v>
      </c>
      <c r="B151" s="389" t="str">
        <f>I146</f>
        <v/>
      </c>
      <c r="C151" s="100">
        <v>4.0</v>
      </c>
      <c r="D151" s="390" t="str">
        <f>IFERROR(__xludf.DUMMYFUNCTION("if($A151="""","""",iferror(join("" &amp; "",filter(Schedule!$Y:$Y&amp;""-""&amp;Schedule!$Z:$Z,Schedule!$L:$L=$A151,(Schedule!$K:$K=$B151)+(Schedule!$K:$K=""""),Schedule!$Y:$Y&lt;&gt;"""")),""""))"),"")</f>
        <v/>
      </c>
      <c r="E151" s="390" t="str">
        <f>IFERROR(__xludf.DUMMYFUNCTION("if($A151="""","""",iferror(join("" &amp; "",filter(Schedule!$P:$P&amp;""-""&amp;Schedule!$Q:$Q,Schedule!$L:$L=$A151,(Schedule!$K:$K=$B151)+(Schedule!$K:$K=""""),Schedule!$P:$P&lt;&gt;"""")),""""))"),"AP Physics 1-1")</f>
        <v>AP Physics 1-1</v>
      </c>
      <c r="F151" s="390" t="str">
        <f>IFERROR(__xludf.DUMMYFUNCTION("if($A151="""","""",iferror(join("" &amp; "",filter(Schedule!$AE:$AE&amp;""-""&amp;Schedule!$AF:$AF,Schedule!$L:$L=$A151,(Schedule!$K:$K=$B151)+(Schedule!$K:$K=""""),Schedule!$AE:$AE&lt;&gt;"""")),""""))"),"")</f>
        <v/>
      </c>
      <c r="G151" s="390" t="str">
        <f>IFERROR(__xludf.DUMMYFUNCTION("if($A151="""","""",iferror(join("" &amp; "",filter(Schedule!$V:$V&amp;""-""&amp;Schedule!$W:$W,Schedule!$L:$L=$A151,(Schedule!$K:$K=$B151)+(Schedule!$K:$K=""""),Schedule!$V:$V&lt;&gt;"""")),""""))"),"AP Physics 2-1")</f>
        <v>AP Physics 2-1</v>
      </c>
      <c r="H151" s="390" t="str">
        <f>IFERROR(__xludf.DUMMYFUNCTION("if($A151="""","""",iferror(join("" &amp; "",filter(Schedule!$AH:$AH&amp;""-""&amp;Schedule!$AI:$AI,Schedule!$L:$L=$A151,(Schedule!$K:$K=$B151)+(Schedule!$K:$K=""""),Schedule!$AH:$AH&lt;&gt;"""")),""""))"),"Physics-3")</f>
        <v>Physics-3</v>
      </c>
      <c r="I151" s="53"/>
      <c r="J151" s="392"/>
      <c r="K151" s="389" t="str">
        <f>M146</f>
        <v/>
      </c>
      <c r="L151" s="389" t="str">
        <f>S146</f>
        <v/>
      </c>
      <c r="M151" s="100">
        <v>4.0</v>
      </c>
      <c r="N151" s="390" t="str">
        <f>IFERROR(__xludf.DUMMYFUNCTION("if($K151="""","""",iferror(join("" &amp; "",filter(Schedule!$Y:$Y&amp;""-""&amp;Schedule!$Z:$Z,Schedule!$L:$L=$K151,(Schedule!$K:$K=$L151)+(Schedule!$K:$K=""""),Schedule!$Y:$Y&lt;&gt;"""")),""""))"),"")</f>
        <v/>
      </c>
      <c r="O151" s="390" t="str">
        <f>IFERROR(__xludf.DUMMYFUNCTION("if($K151="""","""",iferror(join("" &amp; "",filter(Schedule!$P:$P&amp;""-""&amp;Schedule!$Q:$Q,Schedule!$L:$L=$K151,(Schedule!$K:$K=$L151)+(Schedule!$K:$K=""""),Schedule!$P:$P&lt;&gt;"""")),""""))"),"")</f>
        <v/>
      </c>
      <c r="P151" s="390" t="str">
        <f>IFERROR(__xludf.DUMMYFUNCTION("if($K151="""","""",iferror(join("" &amp; "",filter(Schedule!$AE:$AE&amp;""-""&amp;Schedule!$AF:$AF,Schedule!$L:$L=$K151,(Schedule!$K:$K=$L151)+(Schedule!$K:$K=""""),Schedule!$AE:$AE&lt;&gt;"""")),""""))"),"")</f>
        <v/>
      </c>
      <c r="Q151" s="390" t="str">
        <f>IFERROR(__xludf.DUMMYFUNCTION("if($K151="""","""",iferror(join("" &amp; "",filter(Schedule!$V:$V&amp;""-""&amp;Schedule!$W:$W,Schedule!$L:$L=$K151,(Schedule!$K:$K=$L151)+(Schedule!$K:$K=""""),Schedule!$V:$V&lt;&gt;"""")),""""))"),"")</f>
        <v/>
      </c>
      <c r="R151" s="390" t="str">
        <f>IFERROR(__xludf.DUMMYFUNCTION("if($K151="""","""",iferror(join("" &amp; "",filter(Schedule!$AH:$AH&amp;""-""&amp;Schedule!$AI:$AI,Schedule!$L:$L=$K151,(Schedule!$K:$K=$L151)+(Schedule!$K:$K=""""),Schedule!$AH:$AH&lt;&gt;"""")),""""))"),"")</f>
        <v/>
      </c>
      <c r="S151" s="53"/>
      <c r="T151" s="393"/>
    </row>
    <row r="152">
      <c r="A152" s="389" t="str">
        <f>C146</f>
        <v>Jake Landry</v>
      </c>
      <c r="B152" s="389" t="str">
        <f>I146</f>
        <v/>
      </c>
      <c r="C152" s="100">
        <v>5.0</v>
      </c>
      <c r="D152" s="390" t="str">
        <f>IFERROR(__xludf.DUMMYFUNCTION("if($A152="""","""",iferror(join("" &amp; "",filter(Schedule!$AB:$AB&amp;""-""&amp;Schedule!$AC:$AC,Schedule!$L:$L=$A152,(Schedule!$K:$K=$B152)+(Schedule!$K:$K=""""),Schedule!$AB:$AB&lt;&gt;"""")),""""))"),"AP Physics 2-2")</f>
        <v>AP Physics 2-2</v>
      </c>
      <c r="E152" s="390" t="str">
        <f>IFERROR(__xludf.DUMMYFUNCTION("if($A152="""","""",iferror(join("" &amp; "",filter(Schedule!$S:$S&amp;""-""&amp;Schedule!$T:$T,Schedule!$L:$L=$A152,(Schedule!$K:$K=$B152)+(Schedule!$K:$K=""""),Schedule!$S:$S&lt;&gt;"""")),""""))"),"")</f>
        <v/>
      </c>
      <c r="F152" s="390" t="str">
        <f>IFERROR(__xludf.DUMMYFUNCTION("if($A152="""","""",iferror(join("" &amp; "",filter(Schedule!$AH:$AH&amp;""-""&amp;Schedule!$AI:$AI,Schedule!$L:$L=$A152,(Schedule!$K:$K=$B152)+(Schedule!$K:$K=""""),Schedule!$AH:$AH&lt;&gt;"""")),""""))"),"Physics-3")</f>
        <v>Physics-3</v>
      </c>
      <c r="G152" s="390" t="str">
        <f>IFERROR(__xludf.DUMMYFUNCTION("if($A152="""","""",iferror(join("" &amp; "",filter(Schedule!$Y:$Y&amp;""-""&amp;Schedule!$Z:$Z,Schedule!$L:$L=$A152,(Schedule!$K:$K=$B152)+(Schedule!$K:$K=""""),Schedule!$Y:$Y&lt;&gt;"""")),""""))"),"")</f>
        <v/>
      </c>
      <c r="H152" s="390" t="str">
        <f>IFERROR(__xludf.DUMMYFUNCTION("if($A152="""","""",iferror(join("" &amp; "",filter(Schedule!$AK:$AK&amp;""-""&amp;Schedule!$AL:$AL,Schedule!$L:$L=$A152,(Schedule!$K:$K=$B152)+(Schedule!$K:$K=""""),Schedule!$AK:$AK&lt;&gt;"""")),""""))"),"Physics-4")</f>
        <v>Physics-4</v>
      </c>
      <c r="I152" s="68"/>
      <c r="J152" s="392"/>
      <c r="K152" s="389" t="str">
        <f>M146</f>
        <v/>
      </c>
      <c r="L152" s="389" t="str">
        <f>S146</f>
        <v/>
      </c>
      <c r="M152" s="100">
        <v>5.0</v>
      </c>
      <c r="N152" s="390" t="str">
        <f>IFERROR(__xludf.DUMMYFUNCTION("if($K152="""","""",iferror(join("" &amp; "",filter(Schedule!$AB:$AB&amp;""-""&amp;Schedule!$AC:$AC,Schedule!$L:$L=$K152,(Schedule!$K:$K=$L152)+(Schedule!$K:$K=""""),Schedule!$AB:$AB&lt;&gt;"""")),""""))"),"")</f>
        <v/>
      </c>
      <c r="O152" s="390" t="str">
        <f>IFERROR(__xludf.DUMMYFUNCTION("if($K152="""","""",iferror(join("" &amp; "",filter(Schedule!$S:$S&amp;""-""&amp;Schedule!$T:$T,Schedule!$L:$L=$K152,(Schedule!$K:$K=$L152)+(Schedule!$K:$K=""""),Schedule!$S:$S&lt;&gt;"""")),""""))"),"")</f>
        <v/>
      </c>
      <c r="P152" s="390" t="str">
        <f>IFERROR(__xludf.DUMMYFUNCTION("if($K152="""","""",iferror(join("" &amp; "",filter(Schedule!$AH:$AH&amp;""-""&amp;Schedule!$AI:$AI,Schedule!$L:$L=$K152,(Schedule!$K:$K=$L152)+(Schedule!$K:$K=""""),Schedule!$AH:$AH&lt;&gt;"""")),""""))"),"")</f>
        <v/>
      </c>
      <c r="Q152" s="390" t="str">
        <f>IFERROR(__xludf.DUMMYFUNCTION("if($K152="""","""",iferror(join("" &amp; "",filter(Schedule!$Y:$Y&amp;""-""&amp;Schedule!$Z:$Z,Schedule!$L:$L=$K152,(Schedule!$K:$K=$L152)+(Schedule!$K:$K=""""),Schedule!$Y:$Y&lt;&gt;"""")),""""))"),"")</f>
        <v/>
      </c>
      <c r="R152" s="390" t="str">
        <f>IFERROR(__xludf.DUMMYFUNCTION("if($K152="""","""",iferror(join("" &amp; "",filter(Schedule!$AK:$AK&amp;""-""&amp;Schedule!$AL:$AL,Schedule!$L:$L=$K152,(Schedule!$K:$K=$L152)+(Schedule!$K:$K=""""),Schedule!$AK:$AK&lt;&gt;"""")),""""))"),"")</f>
        <v/>
      </c>
      <c r="S152" s="68"/>
      <c r="T152" s="393"/>
    </row>
    <row r="153">
      <c r="C153" s="3"/>
      <c r="D153" s="396"/>
      <c r="E153" s="396"/>
      <c r="F153" s="396"/>
      <c r="G153" s="396"/>
      <c r="H153" s="396"/>
      <c r="N153" s="397"/>
      <c r="O153" s="397"/>
      <c r="P153" s="397"/>
      <c r="Q153" s="397"/>
      <c r="R153" s="397"/>
    </row>
    <row r="154">
      <c r="A154" s="45"/>
      <c r="B154" s="45"/>
      <c r="C154" s="386" t="str">
        <f>Teachers!A20</f>
        <v>Jason Hendricks</v>
      </c>
      <c r="D154" s="383"/>
      <c r="E154" s="383"/>
      <c r="F154" s="383"/>
      <c r="G154" s="383"/>
      <c r="H154" s="384"/>
      <c r="I154" s="385" t="str">
        <f>IFERROR(__xludf.DUMMYFUNCTION("if(C154="""","""", iferror(filter(Schedule!$K:$K,Schedule!$L:$L=$C154,Schedule!$K:$K=""S1""),unique(filter(Schedule!$K:$K,Schedule!$L:$L=$C154,Schedule!$K:$K=""""))))"),"")</f>
        <v/>
      </c>
      <c r="M154" s="386" t="str">
        <f>if(S154="","",C154)</f>
        <v/>
      </c>
      <c r="N154" s="383"/>
      <c r="O154" s="383"/>
      <c r="P154" s="383"/>
      <c r="Q154" s="383"/>
      <c r="R154" s="384"/>
      <c r="S154" s="385" t="str">
        <f>if(I154="S1","S2","")</f>
        <v/>
      </c>
      <c r="T154" s="112"/>
    </row>
    <row r="155">
      <c r="A155" s="116"/>
      <c r="B155" s="116"/>
      <c r="C155" s="100" t="s">
        <v>7</v>
      </c>
      <c r="D155" s="387" t="s">
        <v>8</v>
      </c>
      <c r="E155" s="387" t="s">
        <v>9</v>
      </c>
      <c r="F155" s="387" t="s">
        <v>10</v>
      </c>
      <c r="G155" s="387" t="s">
        <v>11</v>
      </c>
      <c r="H155" s="387" t="s">
        <v>12</v>
      </c>
      <c r="I155" s="21" t="s">
        <v>766</v>
      </c>
      <c r="J155" s="116"/>
      <c r="K155" s="116"/>
      <c r="L155" s="116"/>
      <c r="M155" s="100" t="s">
        <v>7</v>
      </c>
      <c r="N155" s="387" t="s">
        <v>8</v>
      </c>
      <c r="O155" s="387" t="s">
        <v>9</v>
      </c>
      <c r="P155" s="387" t="s">
        <v>10</v>
      </c>
      <c r="Q155" s="387" t="s">
        <v>11</v>
      </c>
      <c r="R155" s="387" t="s">
        <v>12</v>
      </c>
      <c r="S155" s="21" t="s">
        <v>766</v>
      </c>
      <c r="T155" s="388"/>
    </row>
    <row r="156">
      <c r="A156" s="389" t="str">
        <f>C154</f>
        <v>Jason Hendricks</v>
      </c>
      <c r="B156" s="389" t="str">
        <f>I154</f>
        <v/>
      </c>
      <c r="C156" s="100">
        <v>1.0</v>
      </c>
      <c r="D156" s="390" t="str">
        <f>IFERROR(__xludf.DUMMYFUNCTION("if($A156="""","""",iferror(join("" &amp; "",filter(Schedule!$P:$P&amp;""-""&amp;Schedule!$Q:$Q,Schedule!$L:$L=$A156,(Schedule!$K:$K=$B156)+(Schedule!$K:$K=""""),Schedule!$P:$P&lt;&gt;"""")),""""))"),"English 9-1")</f>
        <v>English 9-1</v>
      </c>
      <c r="E156" s="390" t="str">
        <f>IFERROR(__xludf.DUMMYFUNCTION("if($A156="""","""",iferror(join("" &amp; "",filter(Schedule!$AE:$AE&amp;""-""&amp;Schedule!$AF:$AF,Schedule!$L:$L=$A156,(Schedule!$K:$K=$B156)+(Schedule!$K:$K=""""),Schedule!$AE:$AE&lt;&gt;"""")),""""))"),"English 9-2")</f>
        <v>English 9-2</v>
      </c>
      <c r="F156" s="390" t="str">
        <f>IFERROR(__xludf.DUMMYFUNCTION("if($A156="""","""",iferror(join("" &amp; "",filter(Schedule!$V:$V&amp;""-""&amp;Schedule!$W:$W,Schedule!$L:$L=$A156,(Schedule!$K:$K=$B156)+(Schedule!$K:$K=""""),Schedule!$V:$V&lt;&gt;"""")),""""))"),"Journalism Intermediate Level-2")</f>
        <v>Journalism Intermediate Level-2</v>
      </c>
      <c r="G156" s="390" t="str">
        <f>IFERROR(__xludf.DUMMYFUNCTION("if($A156="""","""",iferror(join("" &amp; "",filter(Schedule!$AK:$AK&amp;""-""&amp;Schedule!$AL:$AL,Schedule!$L:$L=$A156,(Schedule!$K:$K=$B156)+(Schedule!$K:$K=""""),Schedule!$AK:$AK&lt;&gt;"""")),""""))"),"")</f>
        <v/>
      </c>
      <c r="H156" s="390" t="str">
        <f>IFERROR(__xludf.DUMMYFUNCTION("if($A156="""","""",iferror(join("" &amp; "",filter(Schedule!$AB:$AB&amp;""-""&amp;Schedule!$AC:$AC,Schedule!$L:$L=$A156,(Schedule!$K:$K=$B156)+(Schedule!$K:$K=""""),Schedule!$AB:$AB&lt;&gt;"""")),""""))"),"")</f>
        <v/>
      </c>
      <c r="I156" s="391">
        <f>if(C154="","", 24-countifs(D156:H160,""))</f>
        <v>15</v>
      </c>
      <c r="J156" s="392"/>
      <c r="K156" s="389" t="str">
        <f>M154</f>
        <v/>
      </c>
      <c r="L156" s="389" t="str">
        <f>S154</f>
        <v/>
      </c>
      <c r="M156" s="100">
        <v>1.0</v>
      </c>
      <c r="N156" s="390" t="str">
        <f>IFERROR(__xludf.DUMMYFUNCTION("if($K156="""","""",iferror(join("" &amp; "",filter(Schedule!$P:$P&amp;""-""&amp;Schedule!$Q:$Q,Schedule!$L:$L=$K156,(Schedule!$K:$K=$L156)+(Schedule!$K:$K=""""),Schedule!$P:$P&lt;&gt;"""")),""""))"),"")</f>
        <v/>
      </c>
      <c r="O156" s="390" t="str">
        <f>IFERROR(__xludf.DUMMYFUNCTION("if($K156="""","""",iferror(join("" &amp; "",filter(Schedule!$AE:$AE&amp;""-""&amp;Schedule!$AF:$AF,Schedule!$L:$L=$K156,(Schedule!$K:$K=$L156)+(Schedule!$K:$K=""""),Schedule!$AE:$AE&lt;&gt;"""")),""""))"),"")</f>
        <v/>
      </c>
      <c r="P156" s="390" t="str">
        <f>IFERROR(__xludf.DUMMYFUNCTION("if($K156="""","""",iferror(join("" &amp; "",filter(Schedule!$V:$V&amp;""-""&amp;Schedule!$W:$W,Schedule!$L:$L=$K156,(Schedule!$K:$K=$L156)+(Schedule!$K:$K=""""),Schedule!$V:$V&lt;&gt;"""")),""""))"),"")</f>
        <v/>
      </c>
      <c r="Q156" s="390" t="str">
        <f>IFERROR(__xludf.DUMMYFUNCTION("if($K156="""","""",iferror(join("" &amp; "",filter(Schedule!$AK:$AK&amp;""-""&amp;Schedule!$AL:$AL,Schedule!$L:$L=$K156,(Schedule!$K:$K=$L156)+(Schedule!$K:$K=""""),Schedule!$AK:$AK&lt;&gt;"""")),""""))"),"")</f>
        <v/>
      </c>
      <c r="R156" s="390" t="str">
        <f>IFERROR(__xludf.DUMMYFUNCTION("if($K156="""","""",iferror(join("" &amp; "",filter(Schedule!$AB:$AB&amp;""-""&amp;Schedule!$AC:$AC,Schedule!$L:$L=$K156,(Schedule!$K:$K=$L156)+(Schedule!$K:$K=""""),Schedule!$AB:$AB&lt;&gt;"""")),""""))"),"")</f>
        <v/>
      </c>
      <c r="S156" s="391" t="str">
        <f>if(K156="","", 24-countifs(N156:R160,""))</f>
        <v/>
      </c>
      <c r="T156" s="393"/>
    </row>
    <row r="157">
      <c r="A157" s="389" t="str">
        <f>C154</f>
        <v>Jason Hendricks</v>
      </c>
      <c r="B157" s="389" t="str">
        <f>I154</f>
        <v/>
      </c>
      <c r="C157" s="100">
        <v>2.0</v>
      </c>
      <c r="D157" s="390" t="str">
        <f>IFERROR(__xludf.DUMMYFUNCTION("if($A157="""","""",iferror(join("" &amp; "",filter(Schedule!$S:$S&amp;""-""&amp;Schedule!$T:$T,Schedule!$L:$L=$A157,(Schedule!$K:$K=$B157)+(Schedule!$K:$K=""""),Schedule!$S:$S&lt;&gt;"""")),""""))"),"Journalism Intermediate Level-1")</f>
        <v>Journalism Intermediate Level-1</v>
      </c>
      <c r="E157" s="390" t="str">
        <f>IFERROR(__xludf.DUMMYFUNCTION("if($A157="""","""",iferror(join("" &amp; "",filter(Schedule!$AH:$AH&amp;""-""&amp;Schedule!$AI:$AI,Schedule!$L:$L=$A157,(Schedule!$K:$K=$B157)+(Schedule!$K:$K=""""),Schedule!$AH:$AH&lt;&gt;"""")),""""))"),"English 9-3")</f>
        <v>English 9-3</v>
      </c>
      <c r="F157" s="390" t="str">
        <f>IFERROR(__xludf.DUMMYFUNCTION("if($A157="""","""",iferror(join("" &amp; "",filter(Schedule!$Y:$Y&amp;""-""&amp;Schedule!$Z:$Z,Schedule!$L:$L=$A157,(Schedule!$K:$K=$B157)+(Schedule!$K:$K=""""),Schedule!$Y:$Y&lt;&gt;"""")),""""))"),"")</f>
        <v/>
      </c>
      <c r="G157" s="390" t="str">
        <f>IFERROR(__xludf.DUMMYFUNCTION("if($A157="""","""",iferror(join("" &amp; "",filter(Schedule!$P:$P&amp;""-""&amp;Schedule!$Q:$Q,Schedule!$L:$L=$A157,(Schedule!$K:$K=$B157)+(Schedule!$K:$K=""""),Schedule!$P:$P&lt;&gt;"""")),""""))"),"English 9-1")</f>
        <v>English 9-1</v>
      </c>
      <c r="H157" s="390" t="str">
        <f>IFERROR(__xludf.DUMMYFUNCTION("if($A157="""","""",iferror(join("" &amp; "",filter(Schedule!$AE:$AE&amp;""-""&amp;Schedule!$AF:$AF,Schedule!$L:$L=$A157,(Schedule!$K:$K=$B157)+(Schedule!$K:$K=""""),Schedule!$AE:$AE&lt;&gt;"""")),""""))"),"English 9-2")</f>
        <v>English 9-2</v>
      </c>
      <c r="I157" s="53"/>
      <c r="J157" s="392"/>
      <c r="K157" s="389" t="str">
        <f>M154</f>
        <v/>
      </c>
      <c r="L157" s="389" t="str">
        <f>S154</f>
        <v/>
      </c>
      <c r="M157" s="100">
        <v>2.0</v>
      </c>
      <c r="N157" s="390" t="str">
        <f>IFERROR(__xludf.DUMMYFUNCTION("if($K157="""","""",iferror(join("" &amp; "",filter(Schedule!$S:$S&amp;""-""&amp;Schedule!$T:$T,Schedule!$L:$L=$K157,(Schedule!$K:$K=$L157)+(Schedule!$K:$K=""""),Schedule!$S:$S&lt;&gt;"""")),""""))"),"")</f>
        <v/>
      </c>
      <c r="O157" s="390" t="str">
        <f>IFERROR(__xludf.DUMMYFUNCTION("if($K157="""","""",iferror(join("" &amp; "",filter(Schedule!$AH:$AH&amp;""-""&amp;Schedule!$AI:$AI,Schedule!$L:$L=$K157,(Schedule!$K:$K=$L157)+(Schedule!$K:$K=""""),Schedule!$AH:$AH&lt;&gt;"""")),""""))"),"")</f>
        <v/>
      </c>
      <c r="P157" s="390" t="str">
        <f>IFERROR(__xludf.DUMMYFUNCTION("if($K157="""","""",iferror(join("" &amp; "",filter(Schedule!$Y:$Y&amp;""-""&amp;Schedule!$Z:$Z,Schedule!$L:$L=$K157,(Schedule!$K:$K=$L157)+(Schedule!$K:$K=""""),Schedule!$Y:$Y&lt;&gt;"""")),""""))"),"")</f>
        <v/>
      </c>
      <c r="Q157" s="390" t="str">
        <f>IFERROR(__xludf.DUMMYFUNCTION("if($K157="""","""",iferror(join("" &amp; "",filter(Schedule!$P:$P&amp;""-""&amp;Schedule!$Q:$Q,Schedule!$L:$L=$K157,(Schedule!$K:$K=$L157)+(Schedule!$K:$K=""""),Schedule!$P:$P&lt;&gt;"""")),""""))"),"")</f>
        <v/>
      </c>
      <c r="R157" s="390" t="str">
        <f>IFERROR(__xludf.DUMMYFUNCTION("if($K157="""","""",iferror(join("" &amp; "",filter(Schedule!$AE:$AE&amp;""-""&amp;Schedule!$AF:$AF,Schedule!$L:$L=$K157,(Schedule!$K:$K=$L157)+(Schedule!$K:$K=""""),Schedule!$AE:$AE&lt;&gt;"""")),""""))"),"")</f>
        <v/>
      </c>
      <c r="S157" s="53"/>
      <c r="T157" s="393"/>
    </row>
    <row r="158">
      <c r="A158" s="389" t="str">
        <f>C154</f>
        <v>Jason Hendricks</v>
      </c>
      <c r="B158" s="389" t="str">
        <f>I154</f>
        <v/>
      </c>
      <c r="C158" s="100">
        <v>3.0</v>
      </c>
      <c r="D158" s="390" t="str">
        <f>IFERROR(__xludf.DUMMYFUNCTION("if($A158="""","""",iferror(join("" &amp; "",filter(Schedule!$V:$V&amp;""-""&amp;Schedule!$W:$W,Schedule!$L:$L=$A158,(Schedule!$K:$K=$B158)+(Schedule!$K:$K=""""),Schedule!$V:$V&lt;&gt;"""")),""""))"),"Journalism Intermediate Level-2")</f>
        <v>Journalism Intermediate Level-2</v>
      </c>
      <c r="E158" s="390" t="str">
        <f>IFERROR(__xludf.DUMMYFUNCTION("if($A158="""","""",iferror(join("" &amp; "",filter(Schedule!$AK:$AK&amp;""-""&amp;Schedule!$AL:$AL,Schedule!$L:$L=$A158,(Schedule!$K:$K=$B158)+(Schedule!$K:$K=""""),Schedule!$AK:$AK&lt;&gt;"""")),""""))"),"")</f>
        <v/>
      </c>
      <c r="F158" s="390" t="str">
        <f>IFERROR(__xludf.DUMMYFUNCTION("if($A158="""","""",iferror(join("" &amp; "",filter(Schedule!$AB:$AB&amp;""-""&amp;Schedule!$AC:$AC,Schedule!$L:$L=$A158,(Schedule!$K:$K=$B158)+(Schedule!$K:$K=""""),Schedule!$AB:$AB&lt;&gt;"""")),""""))"),"")</f>
        <v/>
      </c>
      <c r="G158" s="390" t="str">
        <f>IFERROR(__xludf.DUMMYFUNCTION("if($A158="""","""",iferror(join("" &amp; "",filter(Schedule!$S:$S&amp;""-""&amp;Schedule!$T:$T,Schedule!$L:$L=$A158,(Schedule!$K:$K=$B158)+(Schedule!$K:$K=""""),Schedule!$S:$S&lt;&gt;"""")),""""))"),"Journalism Intermediate Level-1")</f>
        <v>Journalism Intermediate Level-1</v>
      </c>
      <c r="H158" s="395" t="str">
        <f>if($C154="","","X-Block")</f>
        <v>X-Block</v>
      </c>
      <c r="I158" s="53"/>
      <c r="J158" s="392"/>
      <c r="K158" s="389" t="str">
        <f>M154</f>
        <v/>
      </c>
      <c r="L158" s="389" t="str">
        <f>S154</f>
        <v/>
      </c>
      <c r="M158" s="100">
        <v>3.0</v>
      </c>
      <c r="N158" s="390" t="str">
        <f>IFERROR(__xludf.DUMMYFUNCTION("if($K158="""","""",iferror(join("" &amp; "",filter(Schedule!$V:$V&amp;""-""&amp;Schedule!$W:$W,Schedule!$L:$L=$K158,(Schedule!$K:$K=$L158)+(Schedule!$K:$K=""""),Schedule!$V:$V&lt;&gt;"""")),""""))"),"")</f>
        <v/>
      </c>
      <c r="O158" s="390" t="str">
        <f>IFERROR(__xludf.DUMMYFUNCTION("if($K158="""","""",iferror(join("" &amp; "",filter(Schedule!$AK:$AK&amp;""-""&amp;Schedule!$AL:$AL,Schedule!$L:$L=$K158,(Schedule!$K:$K=$L158)+(Schedule!$K:$K=""""),Schedule!$AK:$AK&lt;&gt;"""")),""""))"),"")</f>
        <v/>
      </c>
      <c r="P158" s="390" t="str">
        <f>IFERROR(__xludf.DUMMYFUNCTION("if($K158="""","""",iferror(join("" &amp; "",filter(Schedule!$AB:$AB&amp;""-""&amp;Schedule!$AC:$AC,Schedule!$L:$L=$K158,(Schedule!$K:$K=$L158)+(Schedule!$K:$K=""""),Schedule!$AB:$AB&lt;&gt;"""")),""""))"),"")</f>
        <v/>
      </c>
      <c r="Q158" s="390" t="str">
        <f>IFERROR(__xludf.DUMMYFUNCTION("if($K158="""","""",iferror(join("" &amp; "",filter(Schedule!$S:$S&amp;""-""&amp;Schedule!$T:$T,Schedule!$L:$L=$K158,(Schedule!$K:$K=$L158)+(Schedule!$K:$K=""""),Schedule!$S:$S&lt;&gt;"""")),""""))"),"")</f>
        <v/>
      </c>
      <c r="R158" s="395" t="str">
        <f>if($M154="","","X-Block")</f>
        <v/>
      </c>
      <c r="S158" s="53"/>
      <c r="T158" s="393"/>
    </row>
    <row r="159">
      <c r="A159" s="389" t="str">
        <f>C154</f>
        <v>Jason Hendricks</v>
      </c>
      <c r="B159" s="389" t="str">
        <f>I154</f>
        <v/>
      </c>
      <c r="C159" s="100">
        <v>4.0</v>
      </c>
      <c r="D159" s="390" t="str">
        <f>IFERROR(__xludf.DUMMYFUNCTION("if($A159="""","""",iferror(join("" &amp; "",filter(Schedule!$Y:$Y&amp;""-""&amp;Schedule!$Z:$Z,Schedule!$L:$L=$A159,(Schedule!$K:$K=$B159)+(Schedule!$K:$K=""""),Schedule!$Y:$Y&lt;&gt;"""")),""""))"),"")</f>
        <v/>
      </c>
      <c r="E159" s="390" t="str">
        <f>IFERROR(__xludf.DUMMYFUNCTION("if($A159="""","""",iferror(join("" &amp; "",filter(Schedule!$P:$P&amp;""-""&amp;Schedule!$Q:$Q,Schedule!$L:$L=$A159,(Schedule!$K:$K=$B159)+(Schedule!$K:$K=""""),Schedule!$P:$P&lt;&gt;"""")),""""))"),"English 9-1")</f>
        <v>English 9-1</v>
      </c>
      <c r="F159" s="390" t="str">
        <f>IFERROR(__xludf.DUMMYFUNCTION("if($A159="""","""",iferror(join("" &amp; "",filter(Schedule!$AE:$AE&amp;""-""&amp;Schedule!$AF:$AF,Schedule!$L:$L=$A159,(Schedule!$K:$K=$B159)+(Schedule!$K:$K=""""),Schedule!$AE:$AE&lt;&gt;"""")),""""))"),"English 9-2")</f>
        <v>English 9-2</v>
      </c>
      <c r="G159" s="390" t="str">
        <f>IFERROR(__xludf.DUMMYFUNCTION("if($A159="""","""",iferror(join("" &amp; "",filter(Schedule!$V:$V&amp;""-""&amp;Schedule!$W:$W,Schedule!$L:$L=$A159,(Schedule!$K:$K=$B159)+(Schedule!$K:$K=""""),Schedule!$V:$V&lt;&gt;"""")),""""))"),"Journalism Intermediate Level-2")</f>
        <v>Journalism Intermediate Level-2</v>
      </c>
      <c r="H159" s="390" t="str">
        <f>IFERROR(__xludf.DUMMYFUNCTION("if($A159="""","""",iferror(join("" &amp; "",filter(Schedule!$AH:$AH&amp;""-""&amp;Schedule!$AI:$AI,Schedule!$L:$L=$A159,(Schedule!$K:$K=$B159)+(Schedule!$K:$K=""""),Schedule!$AH:$AH&lt;&gt;"""")),""""))"),"English 9-3")</f>
        <v>English 9-3</v>
      </c>
      <c r="I159" s="53"/>
      <c r="J159" s="392"/>
      <c r="K159" s="389" t="str">
        <f>M154</f>
        <v/>
      </c>
      <c r="L159" s="389" t="str">
        <f>S154</f>
        <v/>
      </c>
      <c r="M159" s="100">
        <v>4.0</v>
      </c>
      <c r="N159" s="390" t="str">
        <f>IFERROR(__xludf.DUMMYFUNCTION("if($K159="""","""",iferror(join("" &amp; "",filter(Schedule!$Y:$Y&amp;""-""&amp;Schedule!$Z:$Z,Schedule!$L:$L=$K159,(Schedule!$K:$K=$L159)+(Schedule!$K:$K=""""),Schedule!$Y:$Y&lt;&gt;"""")),""""))"),"")</f>
        <v/>
      </c>
      <c r="O159" s="390" t="str">
        <f>IFERROR(__xludf.DUMMYFUNCTION("if($K159="""","""",iferror(join("" &amp; "",filter(Schedule!$P:$P&amp;""-""&amp;Schedule!$Q:$Q,Schedule!$L:$L=$K159,(Schedule!$K:$K=$L159)+(Schedule!$K:$K=""""),Schedule!$P:$P&lt;&gt;"""")),""""))"),"")</f>
        <v/>
      </c>
      <c r="P159" s="390" t="str">
        <f>IFERROR(__xludf.DUMMYFUNCTION("if($K159="""","""",iferror(join("" &amp; "",filter(Schedule!$AE:$AE&amp;""-""&amp;Schedule!$AF:$AF,Schedule!$L:$L=$K159,(Schedule!$K:$K=$L159)+(Schedule!$K:$K=""""),Schedule!$AE:$AE&lt;&gt;"""")),""""))"),"")</f>
        <v/>
      </c>
      <c r="Q159" s="390" t="str">
        <f>IFERROR(__xludf.DUMMYFUNCTION("if($K159="""","""",iferror(join("" &amp; "",filter(Schedule!$V:$V&amp;""-""&amp;Schedule!$W:$W,Schedule!$L:$L=$K159,(Schedule!$K:$K=$L159)+(Schedule!$K:$K=""""),Schedule!$V:$V&lt;&gt;"""")),""""))"),"")</f>
        <v/>
      </c>
      <c r="R159" s="390" t="str">
        <f>IFERROR(__xludf.DUMMYFUNCTION("if($K159="""","""",iferror(join("" &amp; "",filter(Schedule!$AH:$AH&amp;""-""&amp;Schedule!$AI:$AI,Schedule!$L:$L=$K159,(Schedule!$K:$K=$L159)+(Schedule!$K:$K=""""),Schedule!$AH:$AH&lt;&gt;"""")),""""))"),"")</f>
        <v/>
      </c>
      <c r="S159" s="53"/>
      <c r="T159" s="393"/>
    </row>
    <row r="160">
      <c r="A160" s="389" t="str">
        <f>C154</f>
        <v>Jason Hendricks</v>
      </c>
      <c r="B160" s="389" t="str">
        <f>I154</f>
        <v/>
      </c>
      <c r="C160" s="100">
        <v>5.0</v>
      </c>
      <c r="D160" s="390" t="str">
        <f>IFERROR(__xludf.DUMMYFUNCTION("if($A160="""","""",iferror(join("" &amp; "",filter(Schedule!$AB:$AB&amp;""-""&amp;Schedule!$AC:$AC,Schedule!$L:$L=$A160,(Schedule!$K:$K=$B160)+(Schedule!$K:$K=""""),Schedule!$AB:$AB&lt;&gt;"""")),""""))"),"")</f>
        <v/>
      </c>
      <c r="E160" s="390" t="str">
        <f>IFERROR(__xludf.DUMMYFUNCTION("if($A160="""","""",iferror(join("" &amp; "",filter(Schedule!$S:$S&amp;""-""&amp;Schedule!$T:$T,Schedule!$L:$L=$A160,(Schedule!$K:$K=$B160)+(Schedule!$K:$K=""""),Schedule!$S:$S&lt;&gt;"""")),""""))"),"Journalism Intermediate Level-1")</f>
        <v>Journalism Intermediate Level-1</v>
      </c>
      <c r="F160" s="390" t="str">
        <f>IFERROR(__xludf.DUMMYFUNCTION("if($A160="""","""",iferror(join("" &amp; "",filter(Schedule!$AH:$AH&amp;""-""&amp;Schedule!$AI:$AI,Schedule!$L:$L=$A160,(Schedule!$K:$K=$B160)+(Schedule!$K:$K=""""),Schedule!$AH:$AH&lt;&gt;"""")),""""))"),"English 9-3")</f>
        <v>English 9-3</v>
      </c>
      <c r="G160" s="390" t="str">
        <f>IFERROR(__xludf.DUMMYFUNCTION("if($A160="""","""",iferror(join("" &amp; "",filter(Schedule!$Y:$Y&amp;""-""&amp;Schedule!$Z:$Z,Schedule!$L:$L=$A160,(Schedule!$K:$K=$B160)+(Schedule!$K:$K=""""),Schedule!$Y:$Y&lt;&gt;"""")),""""))"),"")</f>
        <v/>
      </c>
      <c r="H160" s="390" t="str">
        <f>IFERROR(__xludf.DUMMYFUNCTION("if($A160="""","""",iferror(join("" &amp; "",filter(Schedule!$AK:$AK&amp;""-""&amp;Schedule!$AL:$AL,Schedule!$L:$L=$A160,(Schedule!$K:$K=$B160)+(Schedule!$K:$K=""""),Schedule!$AK:$AK&lt;&gt;"""")),""""))"),"")</f>
        <v/>
      </c>
      <c r="I160" s="68"/>
      <c r="J160" s="392"/>
      <c r="K160" s="389" t="str">
        <f>M154</f>
        <v/>
      </c>
      <c r="L160" s="389" t="str">
        <f>S154</f>
        <v/>
      </c>
      <c r="M160" s="100">
        <v>5.0</v>
      </c>
      <c r="N160" s="390" t="str">
        <f>IFERROR(__xludf.DUMMYFUNCTION("if($K160="""","""",iferror(join("" &amp; "",filter(Schedule!$AB:$AB&amp;""-""&amp;Schedule!$AC:$AC,Schedule!$L:$L=$K160,(Schedule!$K:$K=$L160)+(Schedule!$K:$K=""""),Schedule!$AB:$AB&lt;&gt;"""")),""""))"),"")</f>
        <v/>
      </c>
      <c r="O160" s="390" t="str">
        <f>IFERROR(__xludf.DUMMYFUNCTION("if($K160="""","""",iferror(join("" &amp; "",filter(Schedule!$S:$S&amp;""-""&amp;Schedule!$T:$T,Schedule!$L:$L=$K160,(Schedule!$K:$K=$L160)+(Schedule!$K:$K=""""),Schedule!$S:$S&lt;&gt;"""")),""""))"),"")</f>
        <v/>
      </c>
      <c r="P160" s="390" t="str">
        <f>IFERROR(__xludf.DUMMYFUNCTION("if($K160="""","""",iferror(join("" &amp; "",filter(Schedule!$AH:$AH&amp;""-""&amp;Schedule!$AI:$AI,Schedule!$L:$L=$K160,(Schedule!$K:$K=$L160)+(Schedule!$K:$K=""""),Schedule!$AH:$AH&lt;&gt;"""")),""""))"),"")</f>
        <v/>
      </c>
      <c r="Q160" s="390" t="str">
        <f>IFERROR(__xludf.DUMMYFUNCTION("if($K160="""","""",iferror(join("" &amp; "",filter(Schedule!$Y:$Y&amp;""-""&amp;Schedule!$Z:$Z,Schedule!$L:$L=$K160,(Schedule!$K:$K=$L160)+(Schedule!$K:$K=""""),Schedule!$Y:$Y&lt;&gt;"""")),""""))"),"")</f>
        <v/>
      </c>
      <c r="R160" s="390" t="str">
        <f>IFERROR(__xludf.DUMMYFUNCTION("if($K160="""","""",iferror(join("" &amp; "",filter(Schedule!$AK:$AK&amp;""-""&amp;Schedule!$AL:$AL,Schedule!$L:$L=$K160,(Schedule!$K:$K=$L160)+(Schedule!$K:$K=""""),Schedule!$AK:$AK&lt;&gt;"""")),""""))"),"")</f>
        <v/>
      </c>
      <c r="S160" s="68"/>
      <c r="T160" s="393"/>
    </row>
    <row r="161">
      <c r="C161" s="3"/>
      <c r="D161" s="396"/>
      <c r="E161" s="396"/>
      <c r="F161" s="396"/>
      <c r="G161" s="396"/>
      <c r="H161" s="396"/>
      <c r="N161" s="397"/>
      <c r="O161" s="397"/>
      <c r="P161" s="397"/>
      <c r="Q161" s="397"/>
      <c r="R161" s="397"/>
    </row>
    <row r="162">
      <c r="A162" s="45"/>
      <c r="B162" s="45"/>
      <c r="C162" s="386" t="str">
        <f>Teachers!A21</f>
        <v>Jhon Higuita</v>
      </c>
      <c r="D162" s="383"/>
      <c r="E162" s="383"/>
      <c r="F162" s="383"/>
      <c r="G162" s="383"/>
      <c r="H162" s="384"/>
      <c r="I162" s="385" t="str">
        <f>IFERROR(__xludf.DUMMYFUNCTION("if(C162="""","""", iferror(filter(Schedule!$K:$K,Schedule!$L:$L=$C162,Schedule!$K:$K=""S1""),unique(filter(Schedule!$K:$K,Schedule!$L:$L=$C162,Schedule!$K:$K=""""))))"),"")</f>
        <v/>
      </c>
      <c r="M162" s="386" t="str">
        <f>if(S162="","",C162)</f>
        <v/>
      </c>
      <c r="N162" s="383"/>
      <c r="O162" s="383"/>
      <c r="P162" s="383"/>
      <c r="Q162" s="383"/>
      <c r="R162" s="384"/>
      <c r="S162" s="385" t="str">
        <f>if(I162="S1","S2","")</f>
        <v/>
      </c>
      <c r="T162" s="112"/>
    </row>
    <row r="163">
      <c r="A163" s="116"/>
      <c r="B163" s="116"/>
      <c r="C163" s="100" t="s">
        <v>7</v>
      </c>
      <c r="D163" s="387" t="s">
        <v>8</v>
      </c>
      <c r="E163" s="387" t="s">
        <v>9</v>
      </c>
      <c r="F163" s="387" t="s">
        <v>10</v>
      </c>
      <c r="G163" s="387" t="s">
        <v>11</v>
      </c>
      <c r="H163" s="387" t="s">
        <v>12</v>
      </c>
      <c r="I163" s="21" t="s">
        <v>766</v>
      </c>
      <c r="J163" s="116"/>
      <c r="K163" s="116"/>
      <c r="L163" s="116"/>
      <c r="M163" s="100" t="s">
        <v>7</v>
      </c>
      <c r="N163" s="387" t="s">
        <v>8</v>
      </c>
      <c r="O163" s="387" t="s">
        <v>9</v>
      </c>
      <c r="P163" s="387" t="s">
        <v>10</v>
      </c>
      <c r="Q163" s="387" t="s">
        <v>11</v>
      </c>
      <c r="R163" s="387" t="s">
        <v>12</v>
      </c>
      <c r="S163" s="21" t="s">
        <v>766</v>
      </c>
      <c r="T163" s="388"/>
    </row>
    <row r="164">
      <c r="A164" s="389" t="str">
        <f>C162</f>
        <v>Jhon Higuita</v>
      </c>
      <c r="B164" s="389" t="str">
        <f>I162</f>
        <v/>
      </c>
      <c r="C164" s="100">
        <v>1.0</v>
      </c>
      <c r="D164" s="390" t="str">
        <f>IFERROR(__xludf.DUMMYFUNCTION("if($A164="""","""",iferror(join("" &amp; "",filter(Schedule!$P:$P&amp;""-""&amp;Schedule!$Q:$Q,Schedule!$L:$L=$A164,(Schedule!$K:$K=$B164)+(Schedule!$K:$K=""""),Schedule!$P:$P&lt;&gt;"""")),""""))"),"Technology 9-1")</f>
        <v>Technology 9-1</v>
      </c>
      <c r="E164" s="390" t="str">
        <f>IFERROR(__xludf.DUMMYFUNCTION("if($A164="""","""",iferror(join("" &amp; "",filter(Schedule!$AE:$AE&amp;""-""&amp;Schedule!$AF:$AF,Schedule!$L:$L=$A164,(Schedule!$K:$K=$B164)+(Schedule!$K:$K=""""),Schedule!$AE:$AE&lt;&gt;"""")),""""))"),"FRC 9-5")</f>
        <v>FRC 9-5</v>
      </c>
      <c r="F164" s="390" t="str">
        <f>IFERROR(__xludf.DUMMYFUNCTION("if($A164="""","""",iferror(join("" &amp; "",filter(Schedule!$V:$V&amp;""-""&amp;Schedule!$W:$W,Schedule!$L:$L=$A164,(Schedule!$K:$K=$B164)+(Schedule!$K:$K=""""),Schedule!$V:$V&lt;&gt;"""")),""""))"),"Technology 9-2")</f>
        <v>Technology 9-2</v>
      </c>
      <c r="G164" s="390" t="str">
        <f>IFERROR(__xludf.DUMMYFUNCTION("if($A164="""","""",iferror(join("" &amp; "",filter(Schedule!$AK:$AK&amp;""-""&amp;Schedule!$AL:$AL,Schedule!$L:$L=$A164,(Schedule!$K:$K=$B164)+(Schedule!$K:$K=""""),Schedule!$AK:$AK&lt;&gt;"""")),""""))"),"")</f>
        <v/>
      </c>
      <c r="H164" s="390" t="str">
        <f>IFERROR(__xludf.DUMMYFUNCTION("if($A164="""","""",iferror(join("" &amp; "",filter(Schedule!$AB:$AB&amp;""-""&amp;Schedule!$AC:$AC,Schedule!$L:$L=$A164,(Schedule!$K:$K=$B164)+(Schedule!$K:$K=""""),Schedule!$AB:$AB&lt;&gt;"""")),""""))"),"Technology 9-3")</f>
        <v>Technology 9-3</v>
      </c>
      <c r="I164" s="391">
        <f>if(C162="","", 24-countifs(D164:H168,""))</f>
        <v>15</v>
      </c>
      <c r="J164" s="392"/>
      <c r="K164" s="389" t="str">
        <f>M162</f>
        <v/>
      </c>
      <c r="L164" s="389" t="str">
        <f>S162</f>
        <v/>
      </c>
      <c r="M164" s="100">
        <v>1.0</v>
      </c>
      <c r="N164" s="390" t="str">
        <f>IFERROR(__xludf.DUMMYFUNCTION("if($K164="""","""",iferror(join("" &amp; "",filter(Schedule!$P:$P&amp;""-""&amp;Schedule!$Q:$Q,Schedule!$L:$L=$K164,(Schedule!$K:$K=$L164)+(Schedule!$K:$K=""""),Schedule!$P:$P&lt;&gt;"""")),""""))"),"")</f>
        <v/>
      </c>
      <c r="O164" s="390" t="str">
        <f>IFERROR(__xludf.DUMMYFUNCTION("if($K164="""","""",iferror(join("" &amp; "",filter(Schedule!$AE:$AE&amp;""-""&amp;Schedule!$AF:$AF,Schedule!$L:$L=$K164,(Schedule!$K:$K=$L164)+(Schedule!$K:$K=""""),Schedule!$AE:$AE&lt;&gt;"""")),""""))"),"")</f>
        <v/>
      </c>
      <c r="P164" s="390" t="str">
        <f>IFERROR(__xludf.DUMMYFUNCTION("if($K164="""","""",iferror(join("" &amp; "",filter(Schedule!$V:$V&amp;""-""&amp;Schedule!$W:$W,Schedule!$L:$L=$K164,(Schedule!$K:$K=$L164)+(Schedule!$K:$K=""""),Schedule!$V:$V&lt;&gt;"""")),""""))"),"")</f>
        <v/>
      </c>
      <c r="Q164" s="390" t="str">
        <f>IFERROR(__xludf.DUMMYFUNCTION("if($K164="""","""",iferror(join("" &amp; "",filter(Schedule!$AK:$AK&amp;""-""&amp;Schedule!$AL:$AL,Schedule!$L:$L=$K164,(Schedule!$K:$K=$L164)+(Schedule!$K:$K=""""),Schedule!$AK:$AK&lt;&gt;"""")),""""))"),"")</f>
        <v/>
      </c>
      <c r="R164" s="390" t="str">
        <f>IFERROR(__xludf.DUMMYFUNCTION("if($K164="""","""",iferror(join("" &amp; "",filter(Schedule!$AB:$AB&amp;""-""&amp;Schedule!$AC:$AC,Schedule!$L:$L=$K164,(Schedule!$K:$K=$L164)+(Schedule!$K:$K=""""),Schedule!$AB:$AB&lt;&gt;"""")),""""))"),"")</f>
        <v/>
      </c>
      <c r="S164" s="391" t="str">
        <f>if(K164="","", 24-countifs(N164:R168,""))</f>
        <v/>
      </c>
      <c r="T164" s="393"/>
    </row>
    <row r="165">
      <c r="A165" s="389" t="str">
        <f>C162</f>
        <v>Jhon Higuita</v>
      </c>
      <c r="B165" s="389" t="str">
        <f>I162</f>
        <v/>
      </c>
      <c r="C165" s="100">
        <v>2.0</v>
      </c>
      <c r="D165" s="390" t="str">
        <f>IFERROR(__xludf.DUMMYFUNCTION("if($A165="""","""",iferror(join("" &amp; "",filter(Schedule!$S:$S&amp;""-""&amp;Schedule!$T:$T,Schedule!$L:$L=$A165,(Schedule!$K:$K=$B165)+(Schedule!$K:$K=""""),Schedule!$S:$S&lt;&gt;"""")),""""))"),"")</f>
        <v/>
      </c>
      <c r="E165" s="390" t="str">
        <f>IFERROR(__xludf.DUMMYFUNCTION("if($A165="""","""",iferror(join("" &amp; "",filter(Schedule!$AH:$AH&amp;""-""&amp;Schedule!$AI:$AI,Schedule!$L:$L=$A165,(Schedule!$K:$K=$B165)+(Schedule!$K:$K=""""),Schedule!$AH:$AH&lt;&gt;"""")),""""))"),"")</f>
        <v/>
      </c>
      <c r="F165" s="390" t="str">
        <f>IFERROR(__xludf.DUMMYFUNCTION("if($A165="""","""",iferror(join("" &amp; "",filter(Schedule!$Y:$Y&amp;""-""&amp;Schedule!$Z:$Z,Schedule!$L:$L=$A165,(Schedule!$K:$K=$B165)+(Schedule!$K:$K=""""),Schedule!$Y:$Y&lt;&gt;"""")),""""))"),"Creative Design-1")</f>
        <v>Creative Design-1</v>
      </c>
      <c r="G165" s="390" t="str">
        <f>IFERROR(__xludf.DUMMYFUNCTION("if($A165="""","""",iferror(join("" &amp; "",filter(Schedule!$P:$P&amp;""-""&amp;Schedule!$Q:$Q,Schedule!$L:$L=$A165,(Schedule!$K:$K=$B165)+(Schedule!$K:$K=""""),Schedule!$P:$P&lt;&gt;"""")),""""))"),"Technology 9-1")</f>
        <v>Technology 9-1</v>
      </c>
      <c r="H165" s="390" t="str">
        <f>IFERROR(__xludf.DUMMYFUNCTION("if($A165="""","""",iferror(join("" &amp; "",filter(Schedule!$AE:$AE&amp;""-""&amp;Schedule!$AF:$AF,Schedule!$L:$L=$A165,(Schedule!$K:$K=$B165)+(Schedule!$K:$K=""""),Schedule!$AE:$AE&lt;&gt;"""")),""""))"),"FRC 9-5")</f>
        <v>FRC 9-5</v>
      </c>
      <c r="I165" s="53"/>
      <c r="J165" s="392"/>
      <c r="K165" s="389" t="str">
        <f>M162</f>
        <v/>
      </c>
      <c r="L165" s="389" t="str">
        <f>S162</f>
        <v/>
      </c>
      <c r="M165" s="100">
        <v>2.0</v>
      </c>
      <c r="N165" s="390" t="str">
        <f>IFERROR(__xludf.DUMMYFUNCTION("if($K165="""","""",iferror(join("" &amp; "",filter(Schedule!$S:$S&amp;""-""&amp;Schedule!$T:$T,Schedule!$L:$L=$K165,(Schedule!$K:$K=$L165)+(Schedule!$K:$K=""""),Schedule!$S:$S&lt;&gt;"""")),""""))"),"")</f>
        <v/>
      </c>
      <c r="O165" s="390" t="str">
        <f>IFERROR(__xludf.DUMMYFUNCTION("if($K165="""","""",iferror(join("" &amp; "",filter(Schedule!$AH:$AH&amp;""-""&amp;Schedule!$AI:$AI,Schedule!$L:$L=$K165,(Schedule!$K:$K=$L165)+(Schedule!$K:$K=""""),Schedule!$AH:$AH&lt;&gt;"""")),""""))"),"")</f>
        <v/>
      </c>
      <c r="P165" s="390" t="str">
        <f>IFERROR(__xludf.DUMMYFUNCTION("if($K165="""","""",iferror(join("" &amp; "",filter(Schedule!$Y:$Y&amp;""-""&amp;Schedule!$Z:$Z,Schedule!$L:$L=$K165,(Schedule!$K:$K=$L165)+(Schedule!$K:$K=""""),Schedule!$Y:$Y&lt;&gt;"""")),""""))"),"")</f>
        <v/>
      </c>
      <c r="Q165" s="390" t="str">
        <f>IFERROR(__xludf.DUMMYFUNCTION("if($K165="""","""",iferror(join("" &amp; "",filter(Schedule!$P:$P&amp;""-""&amp;Schedule!$Q:$Q,Schedule!$L:$L=$K165,(Schedule!$K:$K=$L165)+(Schedule!$K:$K=""""),Schedule!$P:$P&lt;&gt;"""")),""""))"),"")</f>
        <v/>
      </c>
      <c r="R165" s="390" t="str">
        <f>IFERROR(__xludf.DUMMYFUNCTION("if($K165="""","""",iferror(join("" &amp; "",filter(Schedule!$AE:$AE&amp;""-""&amp;Schedule!$AF:$AF,Schedule!$L:$L=$K165,(Schedule!$K:$K=$L165)+(Schedule!$K:$K=""""),Schedule!$AE:$AE&lt;&gt;"""")),""""))"),"")</f>
        <v/>
      </c>
      <c r="S165" s="53"/>
      <c r="T165" s="393"/>
    </row>
    <row r="166">
      <c r="A166" s="389" t="str">
        <f>C162</f>
        <v>Jhon Higuita</v>
      </c>
      <c r="B166" s="389" t="str">
        <f>I162</f>
        <v/>
      </c>
      <c r="C166" s="100">
        <v>3.0</v>
      </c>
      <c r="D166" s="390" t="str">
        <f>IFERROR(__xludf.DUMMYFUNCTION("if($A166="""","""",iferror(join("" &amp; "",filter(Schedule!$V:$V&amp;""-""&amp;Schedule!$W:$W,Schedule!$L:$L=$A166,(Schedule!$K:$K=$B166)+(Schedule!$K:$K=""""),Schedule!$V:$V&lt;&gt;"""")),""""))"),"Technology 9-2")</f>
        <v>Technology 9-2</v>
      </c>
      <c r="E166" s="390" t="str">
        <f>IFERROR(__xludf.DUMMYFUNCTION("if($A166="""","""",iferror(join("" &amp; "",filter(Schedule!$AK:$AK&amp;""-""&amp;Schedule!$AL:$AL,Schedule!$L:$L=$A166,(Schedule!$K:$K=$B166)+(Schedule!$K:$K=""""),Schedule!$AK:$AK&lt;&gt;"""")),""""))"),"")</f>
        <v/>
      </c>
      <c r="F166" s="390" t="str">
        <f>IFERROR(__xludf.DUMMYFUNCTION("if($A166="""","""",iferror(join("" &amp; "",filter(Schedule!$AB:$AB&amp;""-""&amp;Schedule!$AC:$AC,Schedule!$L:$L=$A166,(Schedule!$K:$K=$B166)+(Schedule!$K:$K=""""),Schedule!$AB:$AB&lt;&gt;"""")),""""))"),"Technology 9-3")</f>
        <v>Technology 9-3</v>
      </c>
      <c r="G166" s="390" t="str">
        <f>IFERROR(__xludf.DUMMYFUNCTION("if($A166="""","""",iferror(join("" &amp; "",filter(Schedule!$S:$S&amp;""-""&amp;Schedule!$T:$T,Schedule!$L:$L=$A166,(Schedule!$K:$K=$B166)+(Schedule!$K:$K=""""),Schedule!$S:$S&lt;&gt;"""")),""""))"),"")</f>
        <v/>
      </c>
      <c r="H166" s="395" t="str">
        <f>if($C162="","","X-Block")</f>
        <v>X-Block</v>
      </c>
      <c r="I166" s="53"/>
      <c r="J166" s="392"/>
      <c r="K166" s="389" t="str">
        <f>M162</f>
        <v/>
      </c>
      <c r="L166" s="389" t="str">
        <f>S162</f>
        <v/>
      </c>
      <c r="M166" s="100">
        <v>3.0</v>
      </c>
      <c r="N166" s="390" t="str">
        <f>IFERROR(__xludf.DUMMYFUNCTION("if($K166="""","""",iferror(join("" &amp; "",filter(Schedule!$V:$V&amp;""-""&amp;Schedule!$W:$W,Schedule!$L:$L=$K166,(Schedule!$K:$K=$L166)+(Schedule!$K:$K=""""),Schedule!$V:$V&lt;&gt;"""")),""""))"),"")</f>
        <v/>
      </c>
      <c r="O166" s="390" t="str">
        <f>IFERROR(__xludf.DUMMYFUNCTION("if($K166="""","""",iferror(join("" &amp; "",filter(Schedule!$AK:$AK&amp;""-""&amp;Schedule!$AL:$AL,Schedule!$L:$L=$K166,(Schedule!$K:$K=$L166)+(Schedule!$K:$K=""""),Schedule!$AK:$AK&lt;&gt;"""")),""""))"),"")</f>
        <v/>
      </c>
      <c r="P166" s="390" t="str">
        <f>IFERROR(__xludf.DUMMYFUNCTION("if($K166="""","""",iferror(join("" &amp; "",filter(Schedule!$AB:$AB&amp;""-""&amp;Schedule!$AC:$AC,Schedule!$L:$L=$K166,(Schedule!$K:$K=$L166)+(Schedule!$K:$K=""""),Schedule!$AB:$AB&lt;&gt;"""")),""""))"),"")</f>
        <v/>
      </c>
      <c r="Q166" s="390" t="str">
        <f>IFERROR(__xludf.DUMMYFUNCTION("if($K166="""","""",iferror(join("" &amp; "",filter(Schedule!$S:$S&amp;""-""&amp;Schedule!$T:$T,Schedule!$L:$L=$K166,(Schedule!$K:$K=$L166)+(Schedule!$K:$K=""""),Schedule!$S:$S&lt;&gt;"""")),""""))"),"")</f>
        <v/>
      </c>
      <c r="R166" s="395" t="str">
        <f>if($M162="","","X-Block")</f>
        <v/>
      </c>
      <c r="S166" s="53"/>
      <c r="T166" s="393"/>
    </row>
    <row r="167">
      <c r="A167" s="389" t="str">
        <f>C162</f>
        <v>Jhon Higuita</v>
      </c>
      <c r="B167" s="389" t="str">
        <f>I162</f>
        <v/>
      </c>
      <c r="C167" s="100">
        <v>4.0</v>
      </c>
      <c r="D167" s="390" t="str">
        <f>IFERROR(__xludf.DUMMYFUNCTION("if($A167="""","""",iferror(join("" &amp; "",filter(Schedule!$Y:$Y&amp;""-""&amp;Schedule!$Z:$Z,Schedule!$L:$L=$A167,(Schedule!$K:$K=$B167)+(Schedule!$K:$K=""""),Schedule!$Y:$Y&lt;&gt;"""")),""""))"),"Creative Design-1")</f>
        <v>Creative Design-1</v>
      </c>
      <c r="E167" s="390" t="str">
        <f>IFERROR(__xludf.DUMMYFUNCTION("if($A167="""","""",iferror(join("" &amp; "",filter(Schedule!$P:$P&amp;""-""&amp;Schedule!$Q:$Q,Schedule!$L:$L=$A167,(Schedule!$K:$K=$B167)+(Schedule!$K:$K=""""),Schedule!$P:$P&lt;&gt;"""")),""""))"),"Technology 9-1")</f>
        <v>Technology 9-1</v>
      </c>
      <c r="F167" s="390" t="str">
        <f>IFERROR(__xludf.DUMMYFUNCTION("if($A167="""","""",iferror(join("" &amp; "",filter(Schedule!$AE:$AE&amp;""-""&amp;Schedule!$AF:$AF,Schedule!$L:$L=$A167,(Schedule!$K:$K=$B167)+(Schedule!$K:$K=""""),Schedule!$AE:$AE&lt;&gt;"""")),""""))"),"FRC 9-5")</f>
        <v>FRC 9-5</v>
      </c>
      <c r="G167" s="390" t="str">
        <f>IFERROR(__xludf.DUMMYFUNCTION("if($A167="""","""",iferror(join("" &amp; "",filter(Schedule!$V:$V&amp;""-""&amp;Schedule!$W:$W,Schedule!$L:$L=$A167,(Schedule!$K:$K=$B167)+(Schedule!$K:$K=""""),Schedule!$V:$V&lt;&gt;"""")),""""))"),"Technology 9-2")</f>
        <v>Technology 9-2</v>
      </c>
      <c r="H167" s="390" t="str">
        <f>IFERROR(__xludf.DUMMYFUNCTION("if($A167="""","""",iferror(join("" &amp; "",filter(Schedule!$AH:$AH&amp;""-""&amp;Schedule!$AI:$AI,Schedule!$L:$L=$A167,(Schedule!$K:$K=$B167)+(Schedule!$K:$K=""""),Schedule!$AH:$AH&lt;&gt;"""")),""""))"),"")</f>
        <v/>
      </c>
      <c r="I167" s="53"/>
      <c r="J167" s="392"/>
      <c r="K167" s="389" t="str">
        <f>M162</f>
        <v/>
      </c>
      <c r="L167" s="389" t="str">
        <f>S162</f>
        <v/>
      </c>
      <c r="M167" s="100">
        <v>4.0</v>
      </c>
      <c r="N167" s="390" t="str">
        <f>IFERROR(__xludf.DUMMYFUNCTION("if($K167="""","""",iferror(join("" &amp; "",filter(Schedule!$Y:$Y&amp;""-""&amp;Schedule!$Z:$Z,Schedule!$L:$L=$K167,(Schedule!$K:$K=$L167)+(Schedule!$K:$K=""""),Schedule!$Y:$Y&lt;&gt;"""")),""""))"),"")</f>
        <v/>
      </c>
      <c r="O167" s="390" t="str">
        <f>IFERROR(__xludf.DUMMYFUNCTION("if($K167="""","""",iferror(join("" &amp; "",filter(Schedule!$P:$P&amp;""-""&amp;Schedule!$Q:$Q,Schedule!$L:$L=$K167,(Schedule!$K:$K=$L167)+(Schedule!$K:$K=""""),Schedule!$P:$P&lt;&gt;"""")),""""))"),"")</f>
        <v/>
      </c>
      <c r="P167" s="390" t="str">
        <f>IFERROR(__xludf.DUMMYFUNCTION("if($K167="""","""",iferror(join("" &amp; "",filter(Schedule!$AE:$AE&amp;""-""&amp;Schedule!$AF:$AF,Schedule!$L:$L=$K167,(Schedule!$K:$K=$L167)+(Schedule!$K:$K=""""),Schedule!$AE:$AE&lt;&gt;"""")),""""))"),"")</f>
        <v/>
      </c>
      <c r="Q167" s="390" t="str">
        <f>IFERROR(__xludf.DUMMYFUNCTION("if($K167="""","""",iferror(join("" &amp; "",filter(Schedule!$V:$V&amp;""-""&amp;Schedule!$W:$W,Schedule!$L:$L=$K167,(Schedule!$K:$K=$L167)+(Schedule!$K:$K=""""),Schedule!$V:$V&lt;&gt;"""")),""""))"),"")</f>
        <v/>
      </c>
      <c r="R167" s="390" t="str">
        <f>IFERROR(__xludf.DUMMYFUNCTION("if($K167="""","""",iferror(join("" &amp; "",filter(Schedule!$AH:$AH&amp;""-""&amp;Schedule!$AI:$AI,Schedule!$L:$L=$K167,(Schedule!$K:$K=$L167)+(Schedule!$K:$K=""""),Schedule!$AH:$AH&lt;&gt;"""")),""""))"),"")</f>
        <v/>
      </c>
      <c r="S167" s="53"/>
      <c r="T167" s="393"/>
    </row>
    <row r="168">
      <c r="A168" s="389" t="str">
        <f>C162</f>
        <v>Jhon Higuita</v>
      </c>
      <c r="B168" s="389" t="str">
        <f>I162</f>
        <v/>
      </c>
      <c r="C168" s="100">
        <v>5.0</v>
      </c>
      <c r="D168" s="390" t="str">
        <f>IFERROR(__xludf.DUMMYFUNCTION("if($A168="""","""",iferror(join("" &amp; "",filter(Schedule!$AB:$AB&amp;""-""&amp;Schedule!$AC:$AC,Schedule!$L:$L=$A168,(Schedule!$K:$K=$B168)+(Schedule!$K:$K=""""),Schedule!$AB:$AB&lt;&gt;"""")),""""))"),"Technology 9-3")</f>
        <v>Technology 9-3</v>
      </c>
      <c r="E168" s="390" t="str">
        <f>IFERROR(__xludf.DUMMYFUNCTION("if($A168="""","""",iferror(join("" &amp; "",filter(Schedule!$S:$S&amp;""-""&amp;Schedule!$T:$T,Schedule!$L:$L=$A168,(Schedule!$K:$K=$B168)+(Schedule!$K:$K=""""),Schedule!$S:$S&lt;&gt;"""")),""""))"),"")</f>
        <v/>
      </c>
      <c r="F168" s="390" t="str">
        <f>IFERROR(__xludf.DUMMYFUNCTION("if($A168="""","""",iferror(join("" &amp; "",filter(Schedule!$AH:$AH&amp;""-""&amp;Schedule!$AI:$AI,Schedule!$L:$L=$A168,(Schedule!$K:$K=$B168)+(Schedule!$K:$K=""""),Schedule!$AH:$AH&lt;&gt;"""")),""""))"),"")</f>
        <v/>
      </c>
      <c r="G168" s="390" t="str">
        <f>IFERROR(__xludf.DUMMYFUNCTION("if($A168="""","""",iferror(join("" &amp; "",filter(Schedule!$Y:$Y&amp;""-""&amp;Schedule!$Z:$Z,Schedule!$L:$L=$A168,(Schedule!$K:$K=$B168)+(Schedule!$K:$K=""""),Schedule!$Y:$Y&lt;&gt;"""")),""""))"),"Creative Design-1")</f>
        <v>Creative Design-1</v>
      </c>
      <c r="H168" s="390" t="str">
        <f>IFERROR(__xludf.DUMMYFUNCTION("if($A168="""","""",iferror(join("" &amp; "",filter(Schedule!$AK:$AK&amp;""-""&amp;Schedule!$AL:$AL,Schedule!$L:$L=$A168,(Schedule!$K:$K=$B168)+(Schedule!$K:$K=""""),Schedule!$AK:$AK&lt;&gt;"""")),""""))"),"")</f>
        <v/>
      </c>
      <c r="I168" s="68"/>
      <c r="J168" s="392"/>
      <c r="K168" s="389" t="str">
        <f>M162</f>
        <v/>
      </c>
      <c r="L168" s="389" t="str">
        <f>S162</f>
        <v/>
      </c>
      <c r="M168" s="100">
        <v>5.0</v>
      </c>
      <c r="N168" s="390" t="str">
        <f>IFERROR(__xludf.DUMMYFUNCTION("if($K168="""","""",iferror(join("" &amp; "",filter(Schedule!$AB:$AB&amp;""-""&amp;Schedule!$AC:$AC,Schedule!$L:$L=$K168,(Schedule!$K:$K=$L168)+(Schedule!$K:$K=""""),Schedule!$AB:$AB&lt;&gt;"""")),""""))"),"")</f>
        <v/>
      </c>
      <c r="O168" s="390" t="str">
        <f>IFERROR(__xludf.DUMMYFUNCTION("if($K168="""","""",iferror(join("" &amp; "",filter(Schedule!$S:$S&amp;""-""&amp;Schedule!$T:$T,Schedule!$L:$L=$K168,(Schedule!$K:$K=$L168)+(Schedule!$K:$K=""""),Schedule!$S:$S&lt;&gt;"""")),""""))"),"")</f>
        <v/>
      </c>
      <c r="P168" s="390" t="str">
        <f>IFERROR(__xludf.DUMMYFUNCTION("if($K168="""","""",iferror(join("" &amp; "",filter(Schedule!$AH:$AH&amp;""-""&amp;Schedule!$AI:$AI,Schedule!$L:$L=$K168,(Schedule!$K:$K=$L168)+(Schedule!$K:$K=""""),Schedule!$AH:$AH&lt;&gt;"""")),""""))"),"")</f>
        <v/>
      </c>
      <c r="Q168" s="390" t="str">
        <f>IFERROR(__xludf.DUMMYFUNCTION("if($K168="""","""",iferror(join("" &amp; "",filter(Schedule!$Y:$Y&amp;""-""&amp;Schedule!$Z:$Z,Schedule!$L:$L=$K168,(Schedule!$K:$K=$L168)+(Schedule!$K:$K=""""),Schedule!$Y:$Y&lt;&gt;"""")),""""))"),"")</f>
        <v/>
      </c>
      <c r="R168" s="390" t="str">
        <f>IFERROR(__xludf.DUMMYFUNCTION("if($K168="""","""",iferror(join("" &amp; "",filter(Schedule!$AK:$AK&amp;""-""&amp;Schedule!$AL:$AL,Schedule!$L:$L=$K168,(Schedule!$K:$K=$L168)+(Schedule!$K:$K=""""),Schedule!$AK:$AK&lt;&gt;"""")),""""))"),"")</f>
        <v/>
      </c>
      <c r="S168" s="68"/>
      <c r="T168" s="393"/>
    </row>
    <row r="169">
      <c r="C169" s="3"/>
      <c r="D169" s="396"/>
      <c r="E169" s="396"/>
      <c r="F169" s="396"/>
      <c r="G169" s="396"/>
      <c r="H169" s="396"/>
      <c r="N169" s="397"/>
      <c r="O169" s="397"/>
      <c r="P169" s="397"/>
      <c r="Q169" s="397"/>
      <c r="R169" s="397"/>
    </row>
    <row r="170">
      <c r="A170" s="45"/>
      <c r="B170" s="45"/>
      <c r="C170" s="386" t="str">
        <f>Teachers!A22</f>
        <v>Jiovanna Castañeda</v>
      </c>
      <c r="D170" s="383"/>
      <c r="E170" s="383"/>
      <c r="F170" s="383"/>
      <c r="G170" s="383"/>
      <c r="H170" s="384"/>
      <c r="I170" s="385" t="str">
        <f>IFERROR(__xludf.DUMMYFUNCTION("if(C170="""","""", iferror(filter(Schedule!$K:$K,Schedule!$L:$L=$C170,Schedule!$K:$K=""S1""),unique(filter(Schedule!$K:$K,Schedule!$L:$L=$C170,Schedule!$K:$K=""""))))"),"")</f>
        <v/>
      </c>
      <c r="M170" s="386" t="str">
        <f>if(S170="","",C170)</f>
        <v/>
      </c>
      <c r="N170" s="383"/>
      <c r="O170" s="383"/>
      <c r="P170" s="383"/>
      <c r="Q170" s="383"/>
      <c r="R170" s="384"/>
      <c r="S170" s="385" t="str">
        <f>if(I170="S1","S2","")</f>
        <v/>
      </c>
      <c r="T170" s="112"/>
    </row>
    <row r="171">
      <c r="A171" s="116"/>
      <c r="B171" s="116"/>
      <c r="C171" s="100" t="s">
        <v>7</v>
      </c>
      <c r="D171" s="387" t="s">
        <v>8</v>
      </c>
      <c r="E171" s="387" t="s">
        <v>9</v>
      </c>
      <c r="F171" s="387" t="s">
        <v>10</v>
      </c>
      <c r="G171" s="387" t="s">
        <v>11</v>
      </c>
      <c r="H171" s="387" t="s">
        <v>12</v>
      </c>
      <c r="I171" s="21" t="s">
        <v>766</v>
      </c>
      <c r="J171" s="116"/>
      <c r="K171" s="116"/>
      <c r="L171" s="116"/>
      <c r="M171" s="100" t="s">
        <v>7</v>
      </c>
      <c r="N171" s="387" t="s">
        <v>8</v>
      </c>
      <c r="O171" s="387" t="s">
        <v>9</v>
      </c>
      <c r="P171" s="387" t="s">
        <v>10</v>
      </c>
      <c r="Q171" s="387" t="s">
        <v>11</v>
      </c>
      <c r="R171" s="387" t="s">
        <v>12</v>
      </c>
      <c r="S171" s="21" t="s">
        <v>766</v>
      </c>
      <c r="T171" s="388"/>
    </row>
    <row r="172">
      <c r="A172" s="389" t="str">
        <f>C170</f>
        <v>Jiovanna Castañeda</v>
      </c>
      <c r="B172" s="389" t="str">
        <f>I170</f>
        <v/>
      </c>
      <c r="C172" s="100">
        <v>1.0</v>
      </c>
      <c r="D172" s="390" t="str">
        <f>IFERROR(__xludf.DUMMYFUNCTION("if($A172="""","""",iferror(join("" &amp; "",filter(Schedule!$P:$P&amp;""-""&amp;Schedule!$Q:$Q,Schedule!$L:$L=$A172,(Schedule!$K:$K=$B172)+(Schedule!$K:$K=""""),Schedule!$P:$P&lt;&gt;"""")),""""))"),"PE 10-1")</f>
        <v>PE 10-1</v>
      </c>
      <c r="E172" s="390" t="str">
        <f>IFERROR(__xludf.DUMMYFUNCTION("if($A172="""","""",iferror(join("" &amp; "",filter(Schedule!$AE:$AE&amp;""-""&amp;Schedule!$AF:$AF,Schedule!$L:$L=$A172,(Schedule!$K:$K=$B172)+(Schedule!$K:$K=""""),Schedule!$AE:$AE&lt;&gt;"""")),""""))"),"PE 10-5")</f>
        <v>PE 10-5</v>
      </c>
      <c r="F172" s="390" t="str">
        <f>IFERROR(__xludf.DUMMYFUNCTION("if($A172="""","""",iferror(join("" &amp; "",filter(Schedule!$V:$V&amp;""-""&amp;Schedule!$W:$W,Schedule!$L:$L=$A172,(Schedule!$K:$K=$B172)+(Schedule!$K:$K=""""),Schedule!$V:$V&lt;&gt;"""")),""""))"),"")</f>
        <v/>
      </c>
      <c r="G172" s="390" t="str">
        <f>IFERROR(__xludf.DUMMYFUNCTION("if($A172="""","""",iferror(join("" &amp; "",filter(Schedule!$AK:$AK&amp;""-""&amp;Schedule!$AL:$AL,Schedule!$L:$L=$A172,(Schedule!$K:$K=$B172)+(Schedule!$K:$K=""""),Schedule!$AK:$AK&lt;&gt;"""")),""""))"),"")</f>
        <v/>
      </c>
      <c r="H172" s="390" t="str">
        <f>IFERROR(__xludf.DUMMYFUNCTION("if($A172="""","""",iferror(join("" &amp; "",filter(Schedule!$AB:$AB&amp;""-""&amp;Schedule!$AC:$AC,Schedule!$L:$L=$A172,(Schedule!$K:$K=$B172)+(Schedule!$K:$K=""""),Schedule!$AB:$AB&lt;&gt;"""")),""""))"),"PE 10-4")</f>
        <v>PE 10-4</v>
      </c>
      <c r="I172" s="391">
        <f>if(C170="","", 24-countifs(D172:H176,""))</f>
        <v>18</v>
      </c>
      <c r="J172" s="392"/>
      <c r="K172" s="389" t="str">
        <f>M170</f>
        <v/>
      </c>
      <c r="L172" s="389" t="str">
        <f>S170</f>
        <v/>
      </c>
      <c r="M172" s="100">
        <v>1.0</v>
      </c>
      <c r="N172" s="390" t="str">
        <f>IFERROR(__xludf.DUMMYFUNCTION("if($K172="""","""",iferror(join("" &amp; "",filter(Schedule!$P:$P&amp;""-""&amp;Schedule!$Q:$Q,Schedule!$L:$L=$K172,(Schedule!$K:$K=$L172)+(Schedule!$K:$K=""""),Schedule!$P:$P&lt;&gt;"""")),""""))"),"")</f>
        <v/>
      </c>
      <c r="O172" s="390" t="str">
        <f>IFERROR(__xludf.DUMMYFUNCTION("if($K172="""","""",iferror(join("" &amp; "",filter(Schedule!$AE:$AE&amp;""-""&amp;Schedule!$AF:$AF,Schedule!$L:$L=$K172,(Schedule!$K:$K=$L172)+(Schedule!$K:$K=""""),Schedule!$AE:$AE&lt;&gt;"""")),""""))"),"")</f>
        <v/>
      </c>
      <c r="P172" s="390" t="str">
        <f>IFERROR(__xludf.DUMMYFUNCTION("if($K172="""","""",iferror(join("" &amp; "",filter(Schedule!$V:$V&amp;""-""&amp;Schedule!$W:$W,Schedule!$L:$L=$K172,(Schedule!$K:$K=$L172)+(Schedule!$K:$K=""""),Schedule!$V:$V&lt;&gt;"""")),""""))"),"")</f>
        <v/>
      </c>
      <c r="Q172" s="390" t="str">
        <f>IFERROR(__xludf.DUMMYFUNCTION("if($K172="""","""",iferror(join("" &amp; "",filter(Schedule!$AK:$AK&amp;""-""&amp;Schedule!$AL:$AL,Schedule!$L:$L=$K172,(Schedule!$K:$K=$L172)+(Schedule!$K:$K=""""),Schedule!$AK:$AK&lt;&gt;"""")),""""))"),"")</f>
        <v/>
      </c>
      <c r="R172" s="390" t="str">
        <f>IFERROR(__xludf.DUMMYFUNCTION("if($K172="""","""",iferror(join("" &amp; "",filter(Schedule!$AB:$AB&amp;""-""&amp;Schedule!$AC:$AC,Schedule!$L:$L=$K172,(Schedule!$K:$K=$L172)+(Schedule!$K:$K=""""),Schedule!$AB:$AB&lt;&gt;"""")),""""))"),"")</f>
        <v/>
      </c>
      <c r="S172" s="391" t="str">
        <f>if(K172="","", 24-countifs(N172:R176,""))</f>
        <v/>
      </c>
      <c r="T172" s="393"/>
    </row>
    <row r="173">
      <c r="A173" s="389" t="str">
        <f>C170</f>
        <v>Jiovanna Castañeda</v>
      </c>
      <c r="B173" s="389" t="str">
        <f>I170</f>
        <v/>
      </c>
      <c r="C173" s="100">
        <v>2.0</v>
      </c>
      <c r="D173" s="390" t="str">
        <f>IFERROR(__xludf.DUMMYFUNCTION("if($A173="""","""",iferror(join("" &amp; "",filter(Schedule!$S:$S&amp;""-""&amp;Schedule!$T:$T,Schedule!$L:$L=$A173,(Schedule!$K:$K=$B173)+(Schedule!$K:$K=""""),Schedule!$S:$S&lt;&gt;"""")),""""))"),"PE 10-2")</f>
        <v>PE 10-2</v>
      </c>
      <c r="E173" s="390" t="str">
        <f>IFERROR(__xludf.DUMMYFUNCTION("if($A173="""","""",iferror(join("" &amp; "",filter(Schedule!$AH:$AH&amp;""-""&amp;Schedule!$AI:$AI,Schedule!$L:$L=$A173,(Schedule!$K:$K=$B173)+(Schedule!$K:$K=""""),Schedule!$AH:$AH&lt;&gt;"""")),""""))"),"PE 10-6")</f>
        <v>PE 10-6</v>
      </c>
      <c r="F173" s="390" t="str">
        <f>IFERROR(__xludf.DUMMYFUNCTION("if($A173="""","""",iferror(join("" &amp; "",filter(Schedule!$Y:$Y&amp;""-""&amp;Schedule!$Z:$Z,Schedule!$L:$L=$A173,(Schedule!$K:$K=$B173)+(Schedule!$K:$K=""""),Schedule!$Y:$Y&lt;&gt;"""")),""""))"),"PE 10-3")</f>
        <v>PE 10-3</v>
      </c>
      <c r="G173" s="390" t="str">
        <f>IFERROR(__xludf.DUMMYFUNCTION("if($A173="""","""",iferror(join("" &amp; "",filter(Schedule!$P:$P&amp;""-""&amp;Schedule!$Q:$Q,Schedule!$L:$L=$A173,(Schedule!$K:$K=$B173)+(Schedule!$K:$K=""""),Schedule!$P:$P&lt;&gt;"""")),""""))"),"PE 10-1")</f>
        <v>PE 10-1</v>
      </c>
      <c r="H173" s="390" t="str">
        <f>IFERROR(__xludf.DUMMYFUNCTION("if($A173="""","""",iferror(join("" &amp; "",filter(Schedule!$AE:$AE&amp;""-""&amp;Schedule!$AF:$AF,Schedule!$L:$L=$A173,(Schedule!$K:$K=$B173)+(Schedule!$K:$K=""""),Schedule!$AE:$AE&lt;&gt;"""")),""""))"),"PE 10-5")</f>
        <v>PE 10-5</v>
      </c>
      <c r="I173" s="53"/>
      <c r="J173" s="392"/>
      <c r="K173" s="389" t="str">
        <f>M170</f>
        <v/>
      </c>
      <c r="L173" s="389" t="str">
        <f>S170</f>
        <v/>
      </c>
      <c r="M173" s="100">
        <v>2.0</v>
      </c>
      <c r="N173" s="390" t="str">
        <f>IFERROR(__xludf.DUMMYFUNCTION("if($K173="""","""",iferror(join("" &amp; "",filter(Schedule!$S:$S&amp;""-""&amp;Schedule!$T:$T,Schedule!$L:$L=$K173,(Schedule!$K:$K=$L173)+(Schedule!$K:$K=""""),Schedule!$S:$S&lt;&gt;"""")),""""))"),"")</f>
        <v/>
      </c>
      <c r="O173" s="390" t="str">
        <f>IFERROR(__xludf.DUMMYFUNCTION("if($K173="""","""",iferror(join("" &amp; "",filter(Schedule!$AH:$AH&amp;""-""&amp;Schedule!$AI:$AI,Schedule!$L:$L=$K173,(Schedule!$K:$K=$L173)+(Schedule!$K:$K=""""),Schedule!$AH:$AH&lt;&gt;"""")),""""))"),"")</f>
        <v/>
      </c>
      <c r="P173" s="390" t="str">
        <f>IFERROR(__xludf.DUMMYFUNCTION("if($K173="""","""",iferror(join("" &amp; "",filter(Schedule!$Y:$Y&amp;""-""&amp;Schedule!$Z:$Z,Schedule!$L:$L=$K173,(Schedule!$K:$K=$L173)+(Schedule!$K:$K=""""),Schedule!$Y:$Y&lt;&gt;"""")),""""))"),"")</f>
        <v/>
      </c>
      <c r="Q173" s="390" t="str">
        <f>IFERROR(__xludf.DUMMYFUNCTION("if($K173="""","""",iferror(join("" &amp; "",filter(Schedule!$P:$P&amp;""-""&amp;Schedule!$Q:$Q,Schedule!$L:$L=$K173,(Schedule!$K:$K=$L173)+(Schedule!$K:$K=""""),Schedule!$P:$P&lt;&gt;"""")),""""))"),"")</f>
        <v/>
      </c>
      <c r="R173" s="390" t="str">
        <f>IFERROR(__xludf.DUMMYFUNCTION("if($K173="""","""",iferror(join("" &amp; "",filter(Schedule!$AE:$AE&amp;""-""&amp;Schedule!$AF:$AF,Schedule!$L:$L=$K173,(Schedule!$K:$K=$L173)+(Schedule!$K:$K=""""),Schedule!$AE:$AE&lt;&gt;"""")),""""))"),"")</f>
        <v/>
      </c>
      <c r="S173" s="53"/>
      <c r="T173" s="393"/>
    </row>
    <row r="174">
      <c r="A174" s="389" t="str">
        <f>C170</f>
        <v>Jiovanna Castañeda</v>
      </c>
      <c r="B174" s="389" t="str">
        <f>I170</f>
        <v/>
      </c>
      <c r="C174" s="100">
        <v>3.0</v>
      </c>
      <c r="D174" s="390" t="str">
        <f>IFERROR(__xludf.DUMMYFUNCTION("if($A174="""","""",iferror(join("" &amp; "",filter(Schedule!$V:$V&amp;""-""&amp;Schedule!$W:$W,Schedule!$L:$L=$A174,(Schedule!$K:$K=$B174)+(Schedule!$K:$K=""""),Schedule!$V:$V&lt;&gt;"""")),""""))"),"")</f>
        <v/>
      </c>
      <c r="E174" s="390" t="str">
        <f>IFERROR(__xludf.DUMMYFUNCTION("if($A174="""","""",iferror(join("" &amp; "",filter(Schedule!$AK:$AK&amp;""-""&amp;Schedule!$AL:$AL,Schedule!$L:$L=$A174,(Schedule!$K:$K=$B174)+(Schedule!$K:$K=""""),Schedule!$AK:$AK&lt;&gt;"""")),""""))"),"")</f>
        <v/>
      </c>
      <c r="F174" s="390" t="str">
        <f>IFERROR(__xludf.DUMMYFUNCTION("if($A174="""","""",iferror(join("" &amp; "",filter(Schedule!$AB:$AB&amp;""-""&amp;Schedule!$AC:$AC,Schedule!$L:$L=$A174,(Schedule!$K:$K=$B174)+(Schedule!$K:$K=""""),Schedule!$AB:$AB&lt;&gt;"""")),""""))"),"PE 10-4")</f>
        <v>PE 10-4</v>
      </c>
      <c r="G174" s="390" t="str">
        <f>IFERROR(__xludf.DUMMYFUNCTION("if($A174="""","""",iferror(join("" &amp; "",filter(Schedule!$S:$S&amp;""-""&amp;Schedule!$T:$T,Schedule!$L:$L=$A174,(Schedule!$K:$K=$B174)+(Schedule!$K:$K=""""),Schedule!$S:$S&lt;&gt;"""")),""""))"),"PE 10-2")</f>
        <v>PE 10-2</v>
      </c>
      <c r="H174" s="395" t="str">
        <f>if($C170="","","X-Block")</f>
        <v>X-Block</v>
      </c>
      <c r="I174" s="53"/>
      <c r="J174" s="392"/>
      <c r="K174" s="389" t="str">
        <f>M170</f>
        <v/>
      </c>
      <c r="L174" s="389" t="str">
        <f>S170</f>
        <v/>
      </c>
      <c r="M174" s="100">
        <v>3.0</v>
      </c>
      <c r="N174" s="390" t="str">
        <f>IFERROR(__xludf.DUMMYFUNCTION("if($K174="""","""",iferror(join("" &amp; "",filter(Schedule!$V:$V&amp;""-""&amp;Schedule!$W:$W,Schedule!$L:$L=$K174,(Schedule!$K:$K=$L174)+(Schedule!$K:$K=""""),Schedule!$V:$V&lt;&gt;"""")),""""))"),"")</f>
        <v/>
      </c>
      <c r="O174" s="390" t="str">
        <f>IFERROR(__xludf.DUMMYFUNCTION("if($K174="""","""",iferror(join("" &amp; "",filter(Schedule!$AK:$AK&amp;""-""&amp;Schedule!$AL:$AL,Schedule!$L:$L=$K174,(Schedule!$K:$K=$L174)+(Schedule!$K:$K=""""),Schedule!$AK:$AK&lt;&gt;"""")),""""))"),"")</f>
        <v/>
      </c>
      <c r="P174" s="390" t="str">
        <f>IFERROR(__xludf.DUMMYFUNCTION("if($K174="""","""",iferror(join("" &amp; "",filter(Schedule!$AB:$AB&amp;""-""&amp;Schedule!$AC:$AC,Schedule!$L:$L=$K174,(Schedule!$K:$K=$L174)+(Schedule!$K:$K=""""),Schedule!$AB:$AB&lt;&gt;"""")),""""))"),"")</f>
        <v/>
      </c>
      <c r="Q174" s="390" t="str">
        <f>IFERROR(__xludf.DUMMYFUNCTION("if($K174="""","""",iferror(join("" &amp; "",filter(Schedule!$S:$S&amp;""-""&amp;Schedule!$T:$T,Schedule!$L:$L=$K174,(Schedule!$K:$K=$L174)+(Schedule!$K:$K=""""),Schedule!$S:$S&lt;&gt;"""")),""""))"),"")</f>
        <v/>
      </c>
      <c r="R174" s="395" t="str">
        <f>if($M170="","","X-Block")</f>
        <v/>
      </c>
      <c r="S174" s="53"/>
      <c r="T174" s="393"/>
    </row>
    <row r="175">
      <c r="A175" s="389" t="str">
        <f>C170</f>
        <v>Jiovanna Castañeda</v>
      </c>
      <c r="B175" s="389" t="str">
        <f>I170</f>
        <v/>
      </c>
      <c r="C175" s="100">
        <v>4.0</v>
      </c>
      <c r="D175" s="390" t="str">
        <f>IFERROR(__xludf.DUMMYFUNCTION("if($A175="""","""",iferror(join("" &amp; "",filter(Schedule!$Y:$Y&amp;""-""&amp;Schedule!$Z:$Z,Schedule!$L:$L=$A175,(Schedule!$K:$K=$B175)+(Schedule!$K:$K=""""),Schedule!$Y:$Y&lt;&gt;"""")),""""))"),"PE 10-3")</f>
        <v>PE 10-3</v>
      </c>
      <c r="E175" s="390" t="str">
        <f>IFERROR(__xludf.DUMMYFUNCTION("if($A175="""","""",iferror(join("" &amp; "",filter(Schedule!$P:$P&amp;""-""&amp;Schedule!$Q:$Q,Schedule!$L:$L=$A175,(Schedule!$K:$K=$B175)+(Schedule!$K:$K=""""),Schedule!$P:$P&lt;&gt;"""")),""""))"),"PE 10-1")</f>
        <v>PE 10-1</v>
      </c>
      <c r="F175" s="390" t="str">
        <f>IFERROR(__xludf.DUMMYFUNCTION("if($A175="""","""",iferror(join("" &amp; "",filter(Schedule!$AE:$AE&amp;""-""&amp;Schedule!$AF:$AF,Schedule!$L:$L=$A175,(Schedule!$K:$K=$B175)+(Schedule!$K:$K=""""),Schedule!$AE:$AE&lt;&gt;"""")),""""))"),"PE 10-5")</f>
        <v>PE 10-5</v>
      </c>
      <c r="G175" s="390" t="str">
        <f>IFERROR(__xludf.DUMMYFUNCTION("if($A175="""","""",iferror(join("" &amp; "",filter(Schedule!$V:$V&amp;""-""&amp;Schedule!$W:$W,Schedule!$L:$L=$A175,(Schedule!$K:$K=$B175)+(Schedule!$K:$K=""""),Schedule!$V:$V&lt;&gt;"""")),""""))"),"")</f>
        <v/>
      </c>
      <c r="H175" s="390" t="str">
        <f>IFERROR(__xludf.DUMMYFUNCTION("if($A175="""","""",iferror(join("" &amp; "",filter(Schedule!$AH:$AH&amp;""-""&amp;Schedule!$AI:$AI,Schedule!$L:$L=$A175,(Schedule!$K:$K=$B175)+(Schedule!$K:$K=""""),Schedule!$AH:$AH&lt;&gt;"""")),""""))"),"PE 10-6")</f>
        <v>PE 10-6</v>
      </c>
      <c r="I175" s="53"/>
      <c r="J175" s="392"/>
      <c r="K175" s="389" t="str">
        <f>M170</f>
        <v/>
      </c>
      <c r="L175" s="389" t="str">
        <f>S170</f>
        <v/>
      </c>
      <c r="M175" s="100">
        <v>4.0</v>
      </c>
      <c r="N175" s="390" t="str">
        <f>IFERROR(__xludf.DUMMYFUNCTION("if($K175="""","""",iferror(join("" &amp; "",filter(Schedule!$Y:$Y&amp;""-""&amp;Schedule!$Z:$Z,Schedule!$L:$L=$K175,(Schedule!$K:$K=$L175)+(Schedule!$K:$K=""""),Schedule!$Y:$Y&lt;&gt;"""")),""""))"),"")</f>
        <v/>
      </c>
      <c r="O175" s="390" t="str">
        <f>IFERROR(__xludf.DUMMYFUNCTION("if($K175="""","""",iferror(join("" &amp; "",filter(Schedule!$P:$P&amp;""-""&amp;Schedule!$Q:$Q,Schedule!$L:$L=$K175,(Schedule!$K:$K=$L175)+(Schedule!$K:$K=""""),Schedule!$P:$P&lt;&gt;"""")),""""))"),"")</f>
        <v/>
      </c>
      <c r="P175" s="390" t="str">
        <f>IFERROR(__xludf.DUMMYFUNCTION("if($K175="""","""",iferror(join("" &amp; "",filter(Schedule!$AE:$AE&amp;""-""&amp;Schedule!$AF:$AF,Schedule!$L:$L=$K175,(Schedule!$K:$K=$L175)+(Schedule!$K:$K=""""),Schedule!$AE:$AE&lt;&gt;"""")),""""))"),"")</f>
        <v/>
      </c>
      <c r="Q175" s="390" t="str">
        <f>IFERROR(__xludf.DUMMYFUNCTION("if($K175="""","""",iferror(join("" &amp; "",filter(Schedule!$V:$V&amp;""-""&amp;Schedule!$W:$W,Schedule!$L:$L=$K175,(Schedule!$K:$K=$L175)+(Schedule!$K:$K=""""),Schedule!$V:$V&lt;&gt;"""")),""""))"),"")</f>
        <v/>
      </c>
      <c r="R175" s="390" t="str">
        <f>IFERROR(__xludf.DUMMYFUNCTION("if($K175="""","""",iferror(join("" &amp; "",filter(Schedule!$AH:$AH&amp;""-""&amp;Schedule!$AI:$AI,Schedule!$L:$L=$K175,(Schedule!$K:$K=$L175)+(Schedule!$K:$K=""""),Schedule!$AH:$AH&lt;&gt;"""")),""""))"),"")</f>
        <v/>
      </c>
      <c r="S175" s="53"/>
      <c r="T175" s="393"/>
    </row>
    <row r="176">
      <c r="A176" s="389" t="str">
        <f>C170</f>
        <v>Jiovanna Castañeda</v>
      </c>
      <c r="B176" s="389" t="str">
        <f>I170</f>
        <v/>
      </c>
      <c r="C176" s="100">
        <v>5.0</v>
      </c>
      <c r="D176" s="390" t="str">
        <f>IFERROR(__xludf.DUMMYFUNCTION("if($A176="""","""",iferror(join("" &amp; "",filter(Schedule!$AB:$AB&amp;""-""&amp;Schedule!$AC:$AC,Schedule!$L:$L=$A176,(Schedule!$K:$K=$B176)+(Schedule!$K:$K=""""),Schedule!$AB:$AB&lt;&gt;"""")),""""))"),"PE 10-4")</f>
        <v>PE 10-4</v>
      </c>
      <c r="E176" s="390" t="str">
        <f>IFERROR(__xludf.DUMMYFUNCTION("if($A176="""","""",iferror(join("" &amp; "",filter(Schedule!$S:$S&amp;""-""&amp;Schedule!$T:$T,Schedule!$L:$L=$A176,(Schedule!$K:$K=$B176)+(Schedule!$K:$K=""""),Schedule!$S:$S&lt;&gt;"""")),""""))"),"PE 10-2")</f>
        <v>PE 10-2</v>
      </c>
      <c r="F176" s="390" t="str">
        <f>IFERROR(__xludf.DUMMYFUNCTION("if($A176="""","""",iferror(join("" &amp; "",filter(Schedule!$AH:$AH&amp;""-""&amp;Schedule!$AI:$AI,Schedule!$L:$L=$A176,(Schedule!$K:$K=$B176)+(Schedule!$K:$K=""""),Schedule!$AH:$AH&lt;&gt;"""")),""""))"),"PE 10-6")</f>
        <v>PE 10-6</v>
      </c>
      <c r="G176" s="390" t="str">
        <f>IFERROR(__xludf.DUMMYFUNCTION("if($A176="""","""",iferror(join("" &amp; "",filter(Schedule!$Y:$Y&amp;""-""&amp;Schedule!$Z:$Z,Schedule!$L:$L=$A176,(Schedule!$K:$K=$B176)+(Schedule!$K:$K=""""),Schedule!$Y:$Y&lt;&gt;"""")),""""))"),"PE 10-3")</f>
        <v>PE 10-3</v>
      </c>
      <c r="H176" s="390" t="str">
        <f>IFERROR(__xludf.DUMMYFUNCTION("if($A176="""","""",iferror(join("" &amp; "",filter(Schedule!$AK:$AK&amp;""-""&amp;Schedule!$AL:$AL,Schedule!$L:$L=$A176,(Schedule!$K:$K=$B176)+(Schedule!$K:$K=""""),Schedule!$AK:$AK&lt;&gt;"""")),""""))"),"")</f>
        <v/>
      </c>
      <c r="I176" s="68"/>
      <c r="J176" s="392"/>
      <c r="K176" s="389" t="str">
        <f>M170</f>
        <v/>
      </c>
      <c r="L176" s="389" t="str">
        <f>S170</f>
        <v/>
      </c>
      <c r="M176" s="100">
        <v>5.0</v>
      </c>
      <c r="N176" s="390" t="str">
        <f>IFERROR(__xludf.DUMMYFUNCTION("if($K176="""","""",iferror(join("" &amp; "",filter(Schedule!$AB:$AB&amp;""-""&amp;Schedule!$AC:$AC,Schedule!$L:$L=$K176,(Schedule!$K:$K=$L176)+(Schedule!$K:$K=""""),Schedule!$AB:$AB&lt;&gt;"""")),""""))"),"")</f>
        <v/>
      </c>
      <c r="O176" s="390" t="str">
        <f>IFERROR(__xludf.DUMMYFUNCTION("if($K176="""","""",iferror(join("" &amp; "",filter(Schedule!$S:$S&amp;""-""&amp;Schedule!$T:$T,Schedule!$L:$L=$K176,(Schedule!$K:$K=$L176)+(Schedule!$K:$K=""""),Schedule!$S:$S&lt;&gt;"""")),""""))"),"")</f>
        <v/>
      </c>
      <c r="P176" s="390" t="str">
        <f>IFERROR(__xludf.DUMMYFUNCTION("if($K176="""","""",iferror(join("" &amp; "",filter(Schedule!$AH:$AH&amp;""-""&amp;Schedule!$AI:$AI,Schedule!$L:$L=$K176,(Schedule!$K:$K=$L176)+(Schedule!$K:$K=""""),Schedule!$AH:$AH&lt;&gt;"""")),""""))"),"")</f>
        <v/>
      </c>
      <c r="Q176" s="390" t="str">
        <f>IFERROR(__xludf.DUMMYFUNCTION("if($K176="""","""",iferror(join("" &amp; "",filter(Schedule!$Y:$Y&amp;""-""&amp;Schedule!$Z:$Z,Schedule!$L:$L=$K176,(Schedule!$K:$K=$L176)+(Schedule!$K:$K=""""),Schedule!$Y:$Y&lt;&gt;"""")),""""))"),"")</f>
        <v/>
      </c>
      <c r="R176" s="390" t="str">
        <f>IFERROR(__xludf.DUMMYFUNCTION("if($K176="""","""",iferror(join("" &amp; "",filter(Schedule!$AK:$AK&amp;""-""&amp;Schedule!$AL:$AL,Schedule!$L:$L=$K176,(Schedule!$K:$K=$L176)+(Schedule!$K:$K=""""),Schedule!$AK:$AK&lt;&gt;"""")),""""))"),"")</f>
        <v/>
      </c>
      <c r="S176" s="68"/>
      <c r="T176" s="393"/>
    </row>
    <row r="177">
      <c r="C177" s="3"/>
      <c r="D177" s="396"/>
      <c r="E177" s="396"/>
      <c r="F177" s="396"/>
      <c r="G177" s="396"/>
      <c r="H177" s="396"/>
      <c r="N177" s="397"/>
      <c r="O177" s="397"/>
      <c r="P177" s="397"/>
      <c r="Q177" s="397"/>
      <c r="R177" s="397"/>
    </row>
    <row r="178">
      <c r="A178" s="45"/>
      <c r="B178" s="45"/>
      <c r="C178" s="386" t="str">
        <f>Teachers!A23</f>
        <v>Johana Restrepo</v>
      </c>
      <c r="D178" s="383"/>
      <c r="E178" s="383"/>
      <c r="F178" s="383"/>
      <c r="G178" s="383"/>
      <c r="H178" s="384"/>
      <c r="I178" s="385" t="str">
        <f>IFERROR(__xludf.DUMMYFUNCTION("if(C178="""","""", iferror(filter(Schedule!$K:$K,Schedule!$L:$L=$C178,Schedule!$K:$K=""S1""),unique(filter(Schedule!$K:$K,Schedule!$L:$L=$C178,Schedule!$K:$K=""""))))"),"")</f>
        <v/>
      </c>
      <c r="M178" s="386" t="str">
        <f>if(S178="","",C178)</f>
        <v/>
      </c>
      <c r="N178" s="383"/>
      <c r="O178" s="383"/>
      <c r="P178" s="383"/>
      <c r="Q178" s="383"/>
      <c r="R178" s="384"/>
      <c r="S178" s="385" t="str">
        <f>if(I178="S1","S2","")</f>
        <v/>
      </c>
      <c r="T178" s="112"/>
    </row>
    <row r="179">
      <c r="A179" s="116"/>
      <c r="B179" s="116"/>
      <c r="C179" s="100" t="s">
        <v>7</v>
      </c>
      <c r="D179" s="387" t="s">
        <v>8</v>
      </c>
      <c r="E179" s="387" t="s">
        <v>9</v>
      </c>
      <c r="F179" s="387" t="s">
        <v>10</v>
      </c>
      <c r="G179" s="387" t="s">
        <v>11</v>
      </c>
      <c r="H179" s="387" t="s">
        <v>12</v>
      </c>
      <c r="I179" s="21" t="s">
        <v>766</v>
      </c>
      <c r="J179" s="116"/>
      <c r="K179" s="116"/>
      <c r="L179" s="116"/>
      <c r="M179" s="100" t="s">
        <v>7</v>
      </c>
      <c r="N179" s="387" t="s">
        <v>8</v>
      </c>
      <c r="O179" s="387" t="s">
        <v>9</v>
      </c>
      <c r="P179" s="387" t="s">
        <v>10</v>
      </c>
      <c r="Q179" s="387" t="s">
        <v>11</v>
      </c>
      <c r="R179" s="387" t="s">
        <v>12</v>
      </c>
      <c r="S179" s="21" t="s">
        <v>766</v>
      </c>
      <c r="T179" s="388"/>
    </row>
    <row r="180">
      <c r="A180" s="389" t="str">
        <f>C178</f>
        <v>Johana Restrepo</v>
      </c>
      <c r="B180" s="389" t="str">
        <f>I178</f>
        <v/>
      </c>
      <c r="C180" s="100">
        <v>1.0</v>
      </c>
      <c r="D180" s="390" t="str">
        <f>IFERROR(__xludf.DUMMYFUNCTION("if($A180="""","""",iferror(join("" &amp; "",filter(Schedule!$P:$P&amp;""-""&amp;Schedule!$Q:$Q,Schedule!$L:$L=$A180,(Schedule!$K:$K=$B180)+(Schedule!$K:$K=""""),Schedule!$P:$P&lt;&gt;"""")),""""))"),"Spanish and Literature 11-1")</f>
        <v>Spanish and Literature 11-1</v>
      </c>
      <c r="E180" s="390" t="str">
        <f>IFERROR(__xludf.DUMMYFUNCTION("if($A180="""","""",iferror(join("" &amp; "",filter(Schedule!$AE:$AE&amp;""-""&amp;Schedule!$AF:$AF,Schedule!$L:$L=$A180,(Schedule!$K:$K=$B180)+(Schedule!$K:$K=""""),Schedule!$AE:$AE&lt;&gt;"""")),""""))"),"Spanish and Literature 11-5")</f>
        <v>Spanish and Literature 11-5</v>
      </c>
      <c r="F180" s="390" t="str">
        <f>IFERROR(__xludf.DUMMYFUNCTION("if($A180="""","""",iferror(join("" &amp; "",filter(Schedule!$V:$V&amp;""-""&amp;Schedule!$W:$W,Schedule!$L:$L=$A180,(Schedule!$K:$K=$B180)+(Schedule!$K:$K=""""),Schedule!$V:$V&lt;&gt;"""")),""""))"),"Spanish and Literature 11-2")</f>
        <v>Spanish and Literature 11-2</v>
      </c>
      <c r="G180" s="390" t="str">
        <f>IFERROR(__xludf.DUMMYFUNCTION("if($A180="""","""",iferror(join("" &amp; "",filter(Schedule!$AK:$AK&amp;""-""&amp;Schedule!$AL:$AL,Schedule!$L:$L=$A180,(Schedule!$K:$K=$B180)+(Schedule!$K:$K=""""),Schedule!$AK:$AK&lt;&gt;"""")),""""))"),"")</f>
        <v/>
      </c>
      <c r="H180" s="390" t="str">
        <f>IFERROR(__xludf.DUMMYFUNCTION("if($A180="""","""",iferror(join("" &amp; "",filter(Schedule!$AB:$AB&amp;""-""&amp;Schedule!$AC:$AC,Schedule!$L:$L=$A180,(Schedule!$K:$K=$B180)+(Schedule!$K:$K=""""),Schedule!$AB:$AB&lt;&gt;"""")),""""))"),"Spanish and Literature 11-4")</f>
        <v>Spanish and Literature 11-4</v>
      </c>
      <c r="I180" s="391">
        <f>if(C178="","", 24-countifs(D180:H184,""))</f>
        <v>15</v>
      </c>
      <c r="J180" s="392"/>
      <c r="K180" s="389" t="str">
        <f>M178</f>
        <v/>
      </c>
      <c r="L180" s="389" t="str">
        <f>S178</f>
        <v/>
      </c>
      <c r="M180" s="100">
        <v>1.0</v>
      </c>
      <c r="N180" s="390" t="str">
        <f>IFERROR(__xludf.DUMMYFUNCTION("if($K180="""","""",iferror(join("" &amp; "",filter(Schedule!$P:$P&amp;""-""&amp;Schedule!$Q:$Q,Schedule!$L:$L=$K180,(Schedule!$K:$K=$L180)+(Schedule!$K:$K=""""),Schedule!$P:$P&lt;&gt;"""")),""""))"),"")</f>
        <v/>
      </c>
      <c r="O180" s="390" t="str">
        <f>IFERROR(__xludf.DUMMYFUNCTION("if($K180="""","""",iferror(join("" &amp; "",filter(Schedule!$AE:$AE&amp;""-""&amp;Schedule!$AF:$AF,Schedule!$L:$L=$K180,(Schedule!$K:$K=$L180)+(Schedule!$K:$K=""""),Schedule!$AE:$AE&lt;&gt;"""")),""""))"),"")</f>
        <v/>
      </c>
      <c r="P180" s="390" t="str">
        <f>IFERROR(__xludf.DUMMYFUNCTION("if($K180="""","""",iferror(join("" &amp; "",filter(Schedule!$V:$V&amp;""-""&amp;Schedule!$W:$W,Schedule!$L:$L=$K180,(Schedule!$K:$K=$L180)+(Schedule!$K:$K=""""),Schedule!$V:$V&lt;&gt;"""")),""""))"),"")</f>
        <v/>
      </c>
      <c r="Q180" s="390" t="str">
        <f>IFERROR(__xludf.DUMMYFUNCTION("if($K180="""","""",iferror(join("" &amp; "",filter(Schedule!$AK:$AK&amp;""-""&amp;Schedule!$AL:$AL,Schedule!$L:$L=$K180,(Schedule!$K:$K=$L180)+(Schedule!$K:$K=""""),Schedule!$AK:$AK&lt;&gt;"""")),""""))"),"")</f>
        <v/>
      </c>
      <c r="R180" s="390" t="str">
        <f>IFERROR(__xludf.DUMMYFUNCTION("if($K180="""","""",iferror(join("" &amp; "",filter(Schedule!$AB:$AB&amp;""-""&amp;Schedule!$AC:$AC,Schedule!$L:$L=$K180,(Schedule!$K:$K=$L180)+(Schedule!$K:$K=""""),Schedule!$AB:$AB&lt;&gt;"""")),""""))"),"")</f>
        <v/>
      </c>
      <c r="S180" s="391" t="str">
        <f>if(K180="","", 24-countifs(N180:R184,""))</f>
        <v/>
      </c>
      <c r="T180" s="393"/>
    </row>
    <row r="181">
      <c r="A181" s="389" t="str">
        <f>C178</f>
        <v>Johana Restrepo</v>
      </c>
      <c r="B181" s="389" t="str">
        <f>I178</f>
        <v/>
      </c>
      <c r="C181" s="100">
        <v>2.0</v>
      </c>
      <c r="D181" s="390" t="str">
        <f>IFERROR(__xludf.DUMMYFUNCTION("if($A181="""","""",iferror(join("" &amp; "",filter(Schedule!$S:$S&amp;""-""&amp;Schedule!$T:$T,Schedule!$L:$L=$A181,(Schedule!$K:$K=$B181)+(Schedule!$K:$K=""""),Schedule!$S:$S&lt;&gt;"""")),""""))"),"")</f>
        <v/>
      </c>
      <c r="E181" s="390" t="str">
        <f>IFERROR(__xludf.DUMMYFUNCTION("if($A181="""","""",iferror(join("" &amp; "",filter(Schedule!$AH:$AH&amp;""-""&amp;Schedule!$AI:$AI,Schedule!$L:$L=$A181,(Schedule!$K:$K=$B181)+(Schedule!$K:$K=""""),Schedule!$AH:$AH&lt;&gt;"""")),""""))"),"")</f>
        <v/>
      </c>
      <c r="F181" s="390" t="str">
        <f>IFERROR(__xludf.DUMMYFUNCTION("if($A181="""","""",iferror(join("" &amp; "",filter(Schedule!$Y:$Y&amp;""-""&amp;Schedule!$Z:$Z,Schedule!$L:$L=$A181,(Schedule!$K:$K=$B181)+(Schedule!$K:$K=""""),Schedule!$Y:$Y&lt;&gt;"""")),""""))"),"Spanish and Literature 11-3")</f>
        <v>Spanish and Literature 11-3</v>
      </c>
      <c r="G181" s="390" t="str">
        <f>IFERROR(__xludf.DUMMYFUNCTION("if($A181="""","""",iferror(join("" &amp; "",filter(Schedule!$P:$P&amp;""-""&amp;Schedule!$Q:$Q,Schedule!$L:$L=$A181,(Schedule!$K:$K=$B181)+(Schedule!$K:$K=""""),Schedule!$P:$P&lt;&gt;"""")),""""))"),"Spanish and Literature 11-1")</f>
        <v>Spanish and Literature 11-1</v>
      </c>
      <c r="H181" s="390" t="str">
        <f>IFERROR(__xludf.DUMMYFUNCTION("if($A181="""","""",iferror(join("" &amp; "",filter(Schedule!$AE:$AE&amp;""-""&amp;Schedule!$AF:$AF,Schedule!$L:$L=$A181,(Schedule!$K:$K=$B181)+(Schedule!$K:$K=""""),Schedule!$AE:$AE&lt;&gt;"""")),""""))"),"Spanish and Literature 11-5")</f>
        <v>Spanish and Literature 11-5</v>
      </c>
      <c r="I181" s="53"/>
      <c r="J181" s="392"/>
      <c r="K181" s="389" t="str">
        <f>M178</f>
        <v/>
      </c>
      <c r="L181" s="389" t="str">
        <f>S178</f>
        <v/>
      </c>
      <c r="M181" s="100">
        <v>2.0</v>
      </c>
      <c r="N181" s="390" t="str">
        <f>IFERROR(__xludf.DUMMYFUNCTION("if($K181="""","""",iferror(join("" &amp; "",filter(Schedule!$S:$S&amp;""-""&amp;Schedule!$T:$T,Schedule!$L:$L=$K181,(Schedule!$K:$K=$L181)+(Schedule!$K:$K=""""),Schedule!$S:$S&lt;&gt;"""")),""""))"),"")</f>
        <v/>
      </c>
      <c r="O181" s="390" t="str">
        <f>IFERROR(__xludf.DUMMYFUNCTION("if($K181="""","""",iferror(join("" &amp; "",filter(Schedule!$AH:$AH&amp;""-""&amp;Schedule!$AI:$AI,Schedule!$L:$L=$K181,(Schedule!$K:$K=$L181)+(Schedule!$K:$K=""""),Schedule!$AH:$AH&lt;&gt;"""")),""""))"),"")</f>
        <v/>
      </c>
      <c r="P181" s="390" t="str">
        <f>IFERROR(__xludf.DUMMYFUNCTION("if($K181="""","""",iferror(join("" &amp; "",filter(Schedule!$Y:$Y&amp;""-""&amp;Schedule!$Z:$Z,Schedule!$L:$L=$K181,(Schedule!$K:$K=$L181)+(Schedule!$K:$K=""""),Schedule!$Y:$Y&lt;&gt;"""")),""""))"),"")</f>
        <v/>
      </c>
      <c r="Q181" s="390" t="str">
        <f>IFERROR(__xludf.DUMMYFUNCTION("if($K181="""","""",iferror(join("" &amp; "",filter(Schedule!$P:$P&amp;""-""&amp;Schedule!$Q:$Q,Schedule!$L:$L=$K181,(Schedule!$K:$K=$L181)+(Schedule!$K:$K=""""),Schedule!$P:$P&lt;&gt;"""")),""""))"),"")</f>
        <v/>
      </c>
      <c r="R181" s="390" t="str">
        <f>IFERROR(__xludf.DUMMYFUNCTION("if($K181="""","""",iferror(join("" &amp; "",filter(Schedule!$AE:$AE&amp;""-""&amp;Schedule!$AF:$AF,Schedule!$L:$L=$K181,(Schedule!$K:$K=$L181)+(Schedule!$K:$K=""""),Schedule!$AE:$AE&lt;&gt;"""")),""""))"),"")</f>
        <v/>
      </c>
      <c r="S181" s="53"/>
      <c r="T181" s="393"/>
    </row>
    <row r="182">
      <c r="A182" s="389" t="str">
        <f>C178</f>
        <v>Johana Restrepo</v>
      </c>
      <c r="B182" s="389" t="str">
        <f>I178</f>
        <v/>
      </c>
      <c r="C182" s="100">
        <v>3.0</v>
      </c>
      <c r="D182" s="390" t="str">
        <f>IFERROR(__xludf.DUMMYFUNCTION("if($A182="""","""",iferror(join("" &amp; "",filter(Schedule!$V:$V&amp;""-""&amp;Schedule!$W:$W,Schedule!$L:$L=$A182,(Schedule!$K:$K=$B182)+(Schedule!$K:$K=""""),Schedule!$V:$V&lt;&gt;"""")),""""))"),"Spanish and Literature 11-2")</f>
        <v>Spanish and Literature 11-2</v>
      </c>
      <c r="E182" s="390" t="str">
        <f>IFERROR(__xludf.DUMMYFUNCTION("if($A182="""","""",iferror(join("" &amp; "",filter(Schedule!$AK:$AK&amp;""-""&amp;Schedule!$AL:$AL,Schedule!$L:$L=$A182,(Schedule!$K:$K=$B182)+(Schedule!$K:$K=""""),Schedule!$AK:$AK&lt;&gt;"""")),""""))"),"")</f>
        <v/>
      </c>
      <c r="F182" s="390" t="str">
        <f>IFERROR(__xludf.DUMMYFUNCTION("if($A182="""","""",iferror(join("" &amp; "",filter(Schedule!$AB:$AB&amp;""-""&amp;Schedule!$AC:$AC,Schedule!$L:$L=$A182,(Schedule!$K:$K=$B182)+(Schedule!$K:$K=""""),Schedule!$AB:$AB&lt;&gt;"""")),""""))"),"Spanish and Literature 11-4")</f>
        <v>Spanish and Literature 11-4</v>
      </c>
      <c r="G182" s="390" t="str">
        <f>IFERROR(__xludf.DUMMYFUNCTION("if($A182="""","""",iferror(join("" &amp; "",filter(Schedule!$S:$S&amp;""-""&amp;Schedule!$T:$T,Schedule!$L:$L=$A182,(Schedule!$K:$K=$B182)+(Schedule!$K:$K=""""),Schedule!$S:$S&lt;&gt;"""")),""""))"),"")</f>
        <v/>
      </c>
      <c r="H182" s="395" t="str">
        <f>if($C178="","","X-Block")</f>
        <v>X-Block</v>
      </c>
      <c r="I182" s="53"/>
      <c r="J182" s="392"/>
      <c r="K182" s="389" t="str">
        <f>M178</f>
        <v/>
      </c>
      <c r="L182" s="389" t="str">
        <f>S178</f>
        <v/>
      </c>
      <c r="M182" s="100">
        <v>3.0</v>
      </c>
      <c r="N182" s="390" t="str">
        <f>IFERROR(__xludf.DUMMYFUNCTION("if($K182="""","""",iferror(join("" &amp; "",filter(Schedule!$V:$V&amp;""-""&amp;Schedule!$W:$W,Schedule!$L:$L=$K182,(Schedule!$K:$K=$L182)+(Schedule!$K:$K=""""),Schedule!$V:$V&lt;&gt;"""")),""""))"),"")</f>
        <v/>
      </c>
      <c r="O182" s="390" t="str">
        <f>IFERROR(__xludf.DUMMYFUNCTION("if($K182="""","""",iferror(join("" &amp; "",filter(Schedule!$AK:$AK&amp;""-""&amp;Schedule!$AL:$AL,Schedule!$L:$L=$K182,(Schedule!$K:$K=$L182)+(Schedule!$K:$K=""""),Schedule!$AK:$AK&lt;&gt;"""")),""""))"),"")</f>
        <v/>
      </c>
      <c r="P182" s="390" t="str">
        <f>IFERROR(__xludf.DUMMYFUNCTION("if($K182="""","""",iferror(join("" &amp; "",filter(Schedule!$AB:$AB&amp;""-""&amp;Schedule!$AC:$AC,Schedule!$L:$L=$K182,(Schedule!$K:$K=$L182)+(Schedule!$K:$K=""""),Schedule!$AB:$AB&lt;&gt;"""")),""""))"),"")</f>
        <v/>
      </c>
      <c r="Q182" s="390" t="str">
        <f>IFERROR(__xludf.DUMMYFUNCTION("if($K182="""","""",iferror(join("" &amp; "",filter(Schedule!$S:$S&amp;""-""&amp;Schedule!$T:$T,Schedule!$L:$L=$K182,(Schedule!$K:$K=$L182)+(Schedule!$K:$K=""""),Schedule!$S:$S&lt;&gt;"""")),""""))"),"")</f>
        <v/>
      </c>
      <c r="R182" s="395" t="str">
        <f>if($M178="","","X-Block")</f>
        <v/>
      </c>
      <c r="S182" s="53"/>
      <c r="T182" s="393"/>
    </row>
    <row r="183">
      <c r="A183" s="389" t="str">
        <f>C178</f>
        <v>Johana Restrepo</v>
      </c>
      <c r="B183" s="389" t="str">
        <f>I178</f>
        <v/>
      </c>
      <c r="C183" s="100">
        <v>4.0</v>
      </c>
      <c r="D183" s="390" t="str">
        <f>IFERROR(__xludf.DUMMYFUNCTION("if($A183="""","""",iferror(join("" &amp; "",filter(Schedule!$Y:$Y&amp;""-""&amp;Schedule!$Z:$Z,Schedule!$L:$L=$A183,(Schedule!$K:$K=$B183)+(Schedule!$K:$K=""""),Schedule!$Y:$Y&lt;&gt;"""")),""""))"),"Spanish and Literature 11-3")</f>
        <v>Spanish and Literature 11-3</v>
      </c>
      <c r="E183" s="390" t="str">
        <f>IFERROR(__xludf.DUMMYFUNCTION("if($A183="""","""",iferror(join("" &amp; "",filter(Schedule!$P:$P&amp;""-""&amp;Schedule!$Q:$Q,Schedule!$L:$L=$A183,(Schedule!$K:$K=$B183)+(Schedule!$K:$K=""""),Schedule!$P:$P&lt;&gt;"""")),""""))"),"Spanish and Literature 11-1")</f>
        <v>Spanish and Literature 11-1</v>
      </c>
      <c r="F183" s="390" t="str">
        <f>IFERROR(__xludf.DUMMYFUNCTION("if($A183="""","""",iferror(join("" &amp; "",filter(Schedule!$AE:$AE&amp;""-""&amp;Schedule!$AF:$AF,Schedule!$L:$L=$A183,(Schedule!$K:$K=$B183)+(Schedule!$K:$K=""""),Schedule!$AE:$AE&lt;&gt;"""")),""""))"),"Spanish and Literature 11-5")</f>
        <v>Spanish and Literature 11-5</v>
      </c>
      <c r="G183" s="390" t="str">
        <f>IFERROR(__xludf.DUMMYFUNCTION("if($A183="""","""",iferror(join("" &amp; "",filter(Schedule!$V:$V&amp;""-""&amp;Schedule!$W:$W,Schedule!$L:$L=$A183,(Schedule!$K:$K=$B183)+(Schedule!$K:$K=""""),Schedule!$V:$V&lt;&gt;"""")),""""))"),"Spanish and Literature 11-2")</f>
        <v>Spanish and Literature 11-2</v>
      </c>
      <c r="H183" s="390" t="str">
        <f>IFERROR(__xludf.DUMMYFUNCTION("if($A183="""","""",iferror(join("" &amp; "",filter(Schedule!$AH:$AH&amp;""-""&amp;Schedule!$AI:$AI,Schedule!$L:$L=$A183,(Schedule!$K:$K=$B183)+(Schedule!$K:$K=""""),Schedule!$AH:$AH&lt;&gt;"""")),""""))"),"")</f>
        <v/>
      </c>
      <c r="I183" s="53"/>
      <c r="J183" s="392"/>
      <c r="K183" s="389" t="str">
        <f>M178</f>
        <v/>
      </c>
      <c r="L183" s="389" t="str">
        <f>S178</f>
        <v/>
      </c>
      <c r="M183" s="100">
        <v>4.0</v>
      </c>
      <c r="N183" s="390" t="str">
        <f>IFERROR(__xludf.DUMMYFUNCTION("if($K183="""","""",iferror(join("" &amp; "",filter(Schedule!$Y:$Y&amp;""-""&amp;Schedule!$Z:$Z,Schedule!$L:$L=$K183,(Schedule!$K:$K=$L183)+(Schedule!$K:$K=""""),Schedule!$Y:$Y&lt;&gt;"""")),""""))"),"")</f>
        <v/>
      </c>
      <c r="O183" s="390" t="str">
        <f>IFERROR(__xludf.DUMMYFUNCTION("if($K183="""","""",iferror(join("" &amp; "",filter(Schedule!$P:$P&amp;""-""&amp;Schedule!$Q:$Q,Schedule!$L:$L=$K183,(Schedule!$K:$K=$L183)+(Schedule!$K:$K=""""),Schedule!$P:$P&lt;&gt;"""")),""""))"),"")</f>
        <v/>
      </c>
      <c r="P183" s="390" t="str">
        <f>IFERROR(__xludf.DUMMYFUNCTION("if($K183="""","""",iferror(join("" &amp; "",filter(Schedule!$AE:$AE&amp;""-""&amp;Schedule!$AF:$AF,Schedule!$L:$L=$K183,(Schedule!$K:$K=$L183)+(Schedule!$K:$K=""""),Schedule!$AE:$AE&lt;&gt;"""")),""""))"),"")</f>
        <v/>
      </c>
      <c r="Q183" s="390" t="str">
        <f>IFERROR(__xludf.DUMMYFUNCTION("if($K183="""","""",iferror(join("" &amp; "",filter(Schedule!$V:$V&amp;""-""&amp;Schedule!$W:$W,Schedule!$L:$L=$K183,(Schedule!$K:$K=$L183)+(Schedule!$K:$K=""""),Schedule!$V:$V&lt;&gt;"""")),""""))"),"")</f>
        <v/>
      </c>
      <c r="R183" s="390" t="str">
        <f>IFERROR(__xludf.DUMMYFUNCTION("if($K183="""","""",iferror(join("" &amp; "",filter(Schedule!$AH:$AH&amp;""-""&amp;Schedule!$AI:$AI,Schedule!$L:$L=$K183,(Schedule!$K:$K=$L183)+(Schedule!$K:$K=""""),Schedule!$AH:$AH&lt;&gt;"""")),""""))"),"")</f>
        <v/>
      </c>
      <c r="S183" s="53"/>
      <c r="T183" s="393"/>
    </row>
    <row r="184">
      <c r="A184" s="389" t="str">
        <f>C178</f>
        <v>Johana Restrepo</v>
      </c>
      <c r="B184" s="389" t="str">
        <f>I178</f>
        <v/>
      </c>
      <c r="C184" s="100">
        <v>5.0</v>
      </c>
      <c r="D184" s="390" t="str">
        <f>IFERROR(__xludf.DUMMYFUNCTION("if($A184="""","""",iferror(join("" &amp; "",filter(Schedule!$AB:$AB&amp;""-""&amp;Schedule!$AC:$AC,Schedule!$L:$L=$A184,(Schedule!$K:$K=$B184)+(Schedule!$K:$K=""""),Schedule!$AB:$AB&lt;&gt;"""")),""""))"),"Spanish and Literature 11-4")</f>
        <v>Spanish and Literature 11-4</v>
      </c>
      <c r="E184" s="390" t="str">
        <f>IFERROR(__xludf.DUMMYFUNCTION("if($A184="""","""",iferror(join("" &amp; "",filter(Schedule!$S:$S&amp;""-""&amp;Schedule!$T:$T,Schedule!$L:$L=$A184,(Schedule!$K:$K=$B184)+(Schedule!$K:$K=""""),Schedule!$S:$S&lt;&gt;"""")),""""))"),"")</f>
        <v/>
      </c>
      <c r="F184" s="390" t="str">
        <f>IFERROR(__xludf.DUMMYFUNCTION("if($A184="""","""",iferror(join("" &amp; "",filter(Schedule!$AH:$AH&amp;""-""&amp;Schedule!$AI:$AI,Schedule!$L:$L=$A184,(Schedule!$K:$K=$B184)+(Schedule!$K:$K=""""),Schedule!$AH:$AH&lt;&gt;"""")),""""))"),"")</f>
        <v/>
      </c>
      <c r="G184" s="390" t="str">
        <f>IFERROR(__xludf.DUMMYFUNCTION("if($A184="""","""",iferror(join("" &amp; "",filter(Schedule!$Y:$Y&amp;""-""&amp;Schedule!$Z:$Z,Schedule!$L:$L=$A184,(Schedule!$K:$K=$B184)+(Schedule!$K:$K=""""),Schedule!$Y:$Y&lt;&gt;"""")),""""))"),"Spanish and Literature 11-3")</f>
        <v>Spanish and Literature 11-3</v>
      </c>
      <c r="H184" s="390" t="str">
        <f>IFERROR(__xludf.DUMMYFUNCTION("if($A184="""","""",iferror(join("" &amp; "",filter(Schedule!$AK:$AK&amp;""-""&amp;Schedule!$AL:$AL,Schedule!$L:$L=$A184,(Schedule!$K:$K=$B184)+(Schedule!$K:$K=""""),Schedule!$AK:$AK&lt;&gt;"""")),""""))"),"")</f>
        <v/>
      </c>
      <c r="I184" s="68"/>
      <c r="J184" s="392"/>
      <c r="K184" s="389" t="str">
        <f>M178</f>
        <v/>
      </c>
      <c r="L184" s="389" t="str">
        <f>S178</f>
        <v/>
      </c>
      <c r="M184" s="100">
        <v>5.0</v>
      </c>
      <c r="N184" s="390" t="str">
        <f>IFERROR(__xludf.DUMMYFUNCTION("if($K184="""","""",iferror(join("" &amp; "",filter(Schedule!$AB:$AB&amp;""-""&amp;Schedule!$AC:$AC,Schedule!$L:$L=$K184,(Schedule!$K:$K=$L184)+(Schedule!$K:$K=""""),Schedule!$AB:$AB&lt;&gt;"""")),""""))"),"")</f>
        <v/>
      </c>
      <c r="O184" s="390" t="str">
        <f>IFERROR(__xludf.DUMMYFUNCTION("if($K184="""","""",iferror(join("" &amp; "",filter(Schedule!$S:$S&amp;""-""&amp;Schedule!$T:$T,Schedule!$L:$L=$K184,(Schedule!$K:$K=$L184)+(Schedule!$K:$K=""""),Schedule!$S:$S&lt;&gt;"""")),""""))"),"")</f>
        <v/>
      </c>
      <c r="P184" s="390" t="str">
        <f>IFERROR(__xludf.DUMMYFUNCTION("if($K184="""","""",iferror(join("" &amp; "",filter(Schedule!$AH:$AH&amp;""-""&amp;Schedule!$AI:$AI,Schedule!$L:$L=$K184,(Schedule!$K:$K=$L184)+(Schedule!$K:$K=""""),Schedule!$AH:$AH&lt;&gt;"""")),""""))"),"")</f>
        <v/>
      </c>
      <c r="Q184" s="390" t="str">
        <f>IFERROR(__xludf.DUMMYFUNCTION("if($K184="""","""",iferror(join("" &amp; "",filter(Schedule!$Y:$Y&amp;""-""&amp;Schedule!$Z:$Z,Schedule!$L:$L=$K184,(Schedule!$K:$K=$L184)+(Schedule!$K:$K=""""),Schedule!$Y:$Y&lt;&gt;"""")),""""))"),"")</f>
        <v/>
      </c>
      <c r="R184" s="390" t="str">
        <f>IFERROR(__xludf.DUMMYFUNCTION("if($K184="""","""",iferror(join("" &amp; "",filter(Schedule!$AK:$AK&amp;""-""&amp;Schedule!$AL:$AL,Schedule!$L:$L=$K184,(Schedule!$K:$K=$L184)+(Schedule!$K:$K=""""),Schedule!$AK:$AK&lt;&gt;"""")),""""))"),"")</f>
        <v/>
      </c>
      <c r="S184" s="68"/>
      <c r="T184" s="393"/>
    </row>
    <row r="185">
      <c r="C185" s="3"/>
      <c r="D185" s="396"/>
      <c r="E185" s="396"/>
      <c r="F185" s="396"/>
      <c r="G185" s="396"/>
      <c r="H185" s="396"/>
      <c r="N185" s="397"/>
      <c r="O185" s="397"/>
      <c r="P185" s="397"/>
      <c r="Q185" s="397"/>
      <c r="R185" s="397"/>
    </row>
    <row r="186">
      <c r="A186" s="45"/>
      <c r="B186" s="45"/>
      <c r="C186" s="386" t="str">
        <f>Teachers!A24</f>
        <v>Jorge Mario Angel</v>
      </c>
      <c r="D186" s="383"/>
      <c r="E186" s="383"/>
      <c r="F186" s="383"/>
      <c r="G186" s="383"/>
      <c r="H186" s="384"/>
      <c r="I186" s="385" t="str">
        <f>IFERROR(__xludf.DUMMYFUNCTION("if(C186="""","""", iferror(filter(Schedule!$K:$K,Schedule!$L:$L=$C186,Schedule!$K:$K=""S1""),unique(filter(Schedule!$K:$K,Schedule!$L:$L=$C186,Schedule!$K:$K=""""))))"),"")</f>
        <v/>
      </c>
      <c r="M186" s="386" t="str">
        <f>if(S186="","",C186)</f>
        <v/>
      </c>
      <c r="N186" s="383"/>
      <c r="O186" s="383"/>
      <c r="P186" s="383"/>
      <c r="Q186" s="383"/>
      <c r="R186" s="384"/>
      <c r="S186" s="385" t="str">
        <f>if(I186="S1","S2","")</f>
        <v/>
      </c>
      <c r="T186" s="112"/>
    </row>
    <row r="187">
      <c r="A187" s="116"/>
      <c r="B187" s="116"/>
      <c r="C187" s="100" t="s">
        <v>7</v>
      </c>
      <c r="D187" s="387" t="s">
        <v>8</v>
      </c>
      <c r="E187" s="387" t="s">
        <v>9</v>
      </c>
      <c r="F187" s="387" t="s">
        <v>10</v>
      </c>
      <c r="G187" s="387" t="s">
        <v>11</v>
      </c>
      <c r="H187" s="387" t="s">
        <v>12</v>
      </c>
      <c r="I187" s="21" t="s">
        <v>766</v>
      </c>
      <c r="J187" s="116"/>
      <c r="K187" s="116"/>
      <c r="L187" s="116"/>
      <c r="M187" s="100" t="s">
        <v>7</v>
      </c>
      <c r="N187" s="387" t="s">
        <v>8</v>
      </c>
      <c r="O187" s="387" t="s">
        <v>9</v>
      </c>
      <c r="P187" s="387" t="s">
        <v>10</v>
      </c>
      <c r="Q187" s="387" t="s">
        <v>11</v>
      </c>
      <c r="R187" s="387" t="s">
        <v>12</v>
      </c>
      <c r="S187" s="21" t="s">
        <v>766</v>
      </c>
      <c r="T187" s="388"/>
    </row>
    <row r="188">
      <c r="A188" s="389" t="str">
        <f>C186</f>
        <v>Jorge Mario Angel</v>
      </c>
      <c r="B188" s="389" t="str">
        <f>I186</f>
        <v/>
      </c>
      <c r="C188" s="100">
        <v>1.0</v>
      </c>
      <c r="D188" s="390" t="str">
        <f>IFERROR(__xludf.DUMMYFUNCTION("if($A188="""","""",iferror(join("" &amp; "",filter(Schedule!$P:$P&amp;""-""&amp;Schedule!$Q:$Q,Schedule!$L:$L=$A188,(Schedule!$K:$K=$B188)+(Schedule!$K:$K=""""),Schedule!$P:$P&lt;&gt;"""")),""""))"),"")</f>
        <v/>
      </c>
      <c r="E188" s="390" t="str">
        <f>IFERROR(__xludf.DUMMYFUNCTION("if($A188="""","""",iferror(join("" &amp; "",filter(Schedule!$AE:$AE&amp;""-""&amp;Schedule!$AF:$AF,Schedule!$L:$L=$A188,(Schedule!$K:$K=$B188)+(Schedule!$K:$K=""""),Schedule!$AE:$AE&lt;&gt;"""")),""""))"),"Band Level II-2")</f>
        <v>Band Level II-2</v>
      </c>
      <c r="F188" s="390" t="str">
        <f>IFERROR(__xludf.DUMMYFUNCTION("if($A188="""","""",iferror(join("" &amp; "",filter(Schedule!$V:$V&amp;""-""&amp;Schedule!$W:$W,Schedule!$L:$L=$A188,(Schedule!$K:$K=$B188)+(Schedule!$K:$K=""""),Schedule!$V:$V&lt;&gt;"""")),""""))"),"Band Level I-1")</f>
        <v>Band Level I-1</v>
      </c>
      <c r="G188" s="390" t="str">
        <f>IFERROR(__xludf.DUMMYFUNCTION("if($A188="""","""",iferror(join("" &amp; "",filter(Schedule!$AK:$AK&amp;""-""&amp;Schedule!$AL:$AL,Schedule!$L:$L=$A188,(Schedule!$K:$K=$B188)+(Schedule!$K:$K=""""),Schedule!$AK:$AK&lt;&gt;"""")),""""))"),"Band Level I-4")</f>
        <v>Band Level I-4</v>
      </c>
      <c r="H188" s="390" t="str">
        <f>IFERROR(__xludf.DUMMYFUNCTION("if($A188="""","""",iferror(join("" &amp; "",filter(Schedule!$AB:$AB&amp;""-""&amp;Schedule!$AC:$AC,Schedule!$L:$L=$A188,(Schedule!$K:$K=$B188)+(Schedule!$K:$K=""""),Schedule!$AB:$AB&lt;&gt;"""")),""""))"),"")</f>
        <v/>
      </c>
      <c r="I188" s="391">
        <f>if(C186="","", 24-countifs(D188:H192,""))</f>
        <v>18</v>
      </c>
      <c r="J188" s="392"/>
      <c r="K188" s="389" t="str">
        <f>M186</f>
        <v/>
      </c>
      <c r="L188" s="389" t="str">
        <f>S186</f>
        <v/>
      </c>
      <c r="M188" s="100">
        <v>1.0</v>
      </c>
      <c r="N188" s="390" t="str">
        <f>IFERROR(__xludf.DUMMYFUNCTION("if($K188="""","""",iferror(join("" &amp; "",filter(Schedule!$P:$P&amp;""-""&amp;Schedule!$Q:$Q,Schedule!$L:$L=$K188,(Schedule!$K:$K=$L188)+(Schedule!$K:$K=""""),Schedule!$P:$P&lt;&gt;"""")),""""))"),"")</f>
        <v/>
      </c>
      <c r="O188" s="390" t="str">
        <f>IFERROR(__xludf.DUMMYFUNCTION("if($K188="""","""",iferror(join("" &amp; "",filter(Schedule!$AE:$AE&amp;""-""&amp;Schedule!$AF:$AF,Schedule!$L:$L=$K188,(Schedule!$K:$K=$L188)+(Schedule!$K:$K=""""),Schedule!$AE:$AE&lt;&gt;"""")),""""))"),"")</f>
        <v/>
      </c>
      <c r="P188" s="390" t="str">
        <f>IFERROR(__xludf.DUMMYFUNCTION("if($K188="""","""",iferror(join("" &amp; "",filter(Schedule!$V:$V&amp;""-""&amp;Schedule!$W:$W,Schedule!$L:$L=$K188,(Schedule!$K:$K=$L188)+(Schedule!$K:$K=""""),Schedule!$V:$V&lt;&gt;"""")),""""))"),"")</f>
        <v/>
      </c>
      <c r="Q188" s="390" t="str">
        <f>IFERROR(__xludf.DUMMYFUNCTION("if($K188="""","""",iferror(join("" &amp; "",filter(Schedule!$AK:$AK&amp;""-""&amp;Schedule!$AL:$AL,Schedule!$L:$L=$K188,(Schedule!$K:$K=$L188)+(Schedule!$K:$K=""""),Schedule!$AK:$AK&lt;&gt;"""")),""""))"),"")</f>
        <v/>
      </c>
      <c r="R188" s="390" t="str">
        <f>IFERROR(__xludf.DUMMYFUNCTION("if($K188="""","""",iferror(join("" &amp; "",filter(Schedule!$AB:$AB&amp;""-""&amp;Schedule!$AC:$AC,Schedule!$L:$L=$K188,(Schedule!$K:$K=$L188)+(Schedule!$K:$K=""""),Schedule!$AB:$AB&lt;&gt;"""")),""""))"),"")</f>
        <v/>
      </c>
      <c r="S188" s="391" t="str">
        <f>if(K188="","", 24-countifs(N188:R192,""))</f>
        <v/>
      </c>
      <c r="T188" s="393"/>
    </row>
    <row r="189">
      <c r="A189" s="389" t="str">
        <f>C186</f>
        <v>Jorge Mario Angel</v>
      </c>
      <c r="B189" s="389" t="str">
        <f>I186</f>
        <v/>
      </c>
      <c r="C189" s="100">
        <v>2.0</v>
      </c>
      <c r="D189" s="390" t="str">
        <f>IFERROR(__xludf.DUMMYFUNCTION("if($A189="""","""",iferror(join("" &amp; "",filter(Schedule!$S:$S&amp;""-""&amp;Schedule!$T:$T,Schedule!$L:$L=$A189,(Schedule!$K:$K=$B189)+(Schedule!$K:$K=""""),Schedule!$S:$S&lt;&gt;"""")),""""))"),"Band Level II-1")</f>
        <v>Band Level II-1</v>
      </c>
      <c r="E189" s="390" t="str">
        <f>IFERROR(__xludf.DUMMYFUNCTION("if($A189="""","""",iferror(join("" &amp; "",filter(Schedule!$AH:$AH&amp;""-""&amp;Schedule!$AI:$AI,Schedule!$L:$L=$A189,(Schedule!$K:$K=$B189)+(Schedule!$K:$K=""""),Schedule!$AH:$AH&lt;&gt;"""")),""""))"),"Band Level I-3")</f>
        <v>Band Level I-3</v>
      </c>
      <c r="F189" s="390" t="str">
        <f>IFERROR(__xludf.DUMMYFUNCTION("if($A189="""","""",iferror(join("" &amp; "",filter(Schedule!$Y:$Y&amp;""-""&amp;Schedule!$Z:$Z,Schedule!$L:$L=$A189,(Schedule!$K:$K=$B189)+(Schedule!$K:$K=""""),Schedule!$Y:$Y&lt;&gt;"""")),""""))"),"Band Level I-2")</f>
        <v>Band Level I-2</v>
      </c>
      <c r="G189" s="390" t="str">
        <f>IFERROR(__xludf.DUMMYFUNCTION("if($A189="""","""",iferror(join("" &amp; "",filter(Schedule!$P:$P&amp;""-""&amp;Schedule!$Q:$Q,Schedule!$L:$L=$A189,(Schedule!$K:$K=$B189)+(Schedule!$K:$K=""""),Schedule!$P:$P&lt;&gt;"""")),""""))"),"")</f>
        <v/>
      </c>
      <c r="H189" s="390" t="str">
        <f>IFERROR(__xludf.DUMMYFUNCTION("if($A189="""","""",iferror(join("" &amp; "",filter(Schedule!$AE:$AE&amp;""-""&amp;Schedule!$AF:$AF,Schedule!$L:$L=$A189,(Schedule!$K:$K=$B189)+(Schedule!$K:$K=""""),Schedule!$AE:$AE&lt;&gt;"""")),""""))"),"Band Level II-2")</f>
        <v>Band Level II-2</v>
      </c>
      <c r="I189" s="53"/>
      <c r="J189" s="392"/>
      <c r="K189" s="389" t="str">
        <f>M186</f>
        <v/>
      </c>
      <c r="L189" s="389" t="str">
        <f>S186</f>
        <v/>
      </c>
      <c r="M189" s="100">
        <v>2.0</v>
      </c>
      <c r="N189" s="390" t="str">
        <f>IFERROR(__xludf.DUMMYFUNCTION("if($K189="""","""",iferror(join("" &amp; "",filter(Schedule!$S:$S&amp;""-""&amp;Schedule!$T:$T,Schedule!$L:$L=$K189,(Schedule!$K:$K=$L189)+(Schedule!$K:$K=""""),Schedule!$S:$S&lt;&gt;"""")),""""))"),"")</f>
        <v/>
      </c>
      <c r="O189" s="390" t="str">
        <f>IFERROR(__xludf.DUMMYFUNCTION("if($K189="""","""",iferror(join("" &amp; "",filter(Schedule!$AH:$AH&amp;""-""&amp;Schedule!$AI:$AI,Schedule!$L:$L=$K189,(Schedule!$K:$K=$L189)+(Schedule!$K:$K=""""),Schedule!$AH:$AH&lt;&gt;"""")),""""))"),"")</f>
        <v/>
      </c>
      <c r="P189" s="390" t="str">
        <f>IFERROR(__xludf.DUMMYFUNCTION("if($K189="""","""",iferror(join("" &amp; "",filter(Schedule!$Y:$Y&amp;""-""&amp;Schedule!$Z:$Z,Schedule!$L:$L=$K189,(Schedule!$K:$K=$L189)+(Schedule!$K:$K=""""),Schedule!$Y:$Y&lt;&gt;"""")),""""))"),"")</f>
        <v/>
      </c>
      <c r="Q189" s="390" t="str">
        <f>IFERROR(__xludf.DUMMYFUNCTION("if($K189="""","""",iferror(join("" &amp; "",filter(Schedule!$P:$P&amp;""-""&amp;Schedule!$Q:$Q,Schedule!$L:$L=$K189,(Schedule!$K:$K=$L189)+(Schedule!$K:$K=""""),Schedule!$P:$P&lt;&gt;"""")),""""))"),"")</f>
        <v/>
      </c>
      <c r="R189" s="390" t="str">
        <f>IFERROR(__xludf.DUMMYFUNCTION("if($K189="""","""",iferror(join("" &amp; "",filter(Schedule!$AE:$AE&amp;""-""&amp;Schedule!$AF:$AF,Schedule!$L:$L=$K189,(Schedule!$K:$K=$L189)+(Schedule!$K:$K=""""),Schedule!$AE:$AE&lt;&gt;"""")),""""))"),"")</f>
        <v/>
      </c>
      <c r="S189" s="53"/>
      <c r="T189" s="393"/>
    </row>
    <row r="190">
      <c r="A190" s="389" t="str">
        <f>C186</f>
        <v>Jorge Mario Angel</v>
      </c>
      <c r="B190" s="389" t="str">
        <f>I186</f>
        <v/>
      </c>
      <c r="C190" s="100">
        <v>3.0</v>
      </c>
      <c r="D190" s="390" t="str">
        <f>IFERROR(__xludf.DUMMYFUNCTION("if($A190="""","""",iferror(join("" &amp; "",filter(Schedule!$V:$V&amp;""-""&amp;Schedule!$W:$W,Schedule!$L:$L=$A190,(Schedule!$K:$K=$B190)+(Schedule!$K:$K=""""),Schedule!$V:$V&lt;&gt;"""")),""""))"),"Band Level I-1")</f>
        <v>Band Level I-1</v>
      </c>
      <c r="E190" s="390" t="str">
        <f>IFERROR(__xludf.DUMMYFUNCTION("if($A190="""","""",iferror(join("" &amp; "",filter(Schedule!$AK:$AK&amp;""-""&amp;Schedule!$AL:$AL,Schedule!$L:$L=$A190,(Schedule!$K:$K=$B190)+(Schedule!$K:$K=""""),Schedule!$AK:$AK&lt;&gt;"""")),""""))"),"Band Level I-4")</f>
        <v>Band Level I-4</v>
      </c>
      <c r="F190" s="390" t="str">
        <f>IFERROR(__xludf.DUMMYFUNCTION("if($A190="""","""",iferror(join("" &amp; "",filter(Schedule!$AB:$AB&amp;""-""&amp;Schedule!$AC:$AC,Schedule!$L:$L=$A190,(Schedule!$K:$K=$B190)+(Schedule!$K:$K=""""),Schedule!$AB:$AB&lt;&gt;"""")),""""))"),"")</f>
        <v/>
      </c>
      <c r="G190" s="390" t="str">
        <f>IFERROR(__xludf.DUMMYFUNCTION("if($A190="""","""",iferror(join("" &amp; "",filter(Schedule!$S:$S&amp;""-""&amp;Schedule!$T:$T,Schedule!$L:$L=$A190,(Schedule!$K:$K=$B190)+(Schedule!$K:$K=""""),Schedule!$S:$S&lt;&gt;"""")),""""))"),"Band Level II-1")</f>
        <v>Band Level II-1</v>
      </c>
      <c r="H190" s="395" t="str">
        <f>if($C186="","","X-Block")</f>
        <v>X-Block</v>
      </c>
      <c r="I190" s="53"/>
      <c r="J190" s="392"/>
      <c r="K190" s="389" t="str">
        <f>M186</f>
        <v/>
      </c>
      <c r="L190" s="389" t="str">
        <f>S186</f>
        <v/>
      </c>
      <c r="M190" s="100">
        <v>3.0</v>
      </c>
      <c r="N190" s="390" t="str">
        <f>IFERROR(__xludf.DUMMYFUNCTION("if($K190="""","""",iferror(join("" &amp; "",filter(Schedule!$V:$V&amp;""-""&amp;Schedule!$W:$W,Schedule!$L:$L=$K190,(Schedule!$K:$K=$L190)+(Schedule!$K:$K=""""),Schedule!$V:$V&lt;&gt;"""")),""""))"),"")</f>
        <v/>
      </c>
      <c r="O190" s="390" t="str">
        <f>IFERROR(__xludf.DUMMYFUNCTION("if($K190="""","""",iferror(join("" &amp; "",filter(Schedule!$AK:$AK&amp;""-""&amp;Schedule!$AL:$AL,Schedule!$L:$L=$K190,(Schedule!$K:$K=$L190)+(Schedule!$K:$K=""""),Schedule!$AK:$AK&lt;&gt;"""")),""""))"),"")</f>
        <v/>
      </c>
      <c r="P190" s="390" t="str">
        <f>IFERROR(__xludf.DUMMYFUNCTION("if($K190="""","""",iferror(join("" &amp; "",filter(Schedule!$AB:$AB&amp;""-""&amp;Schedule!$AC:$AC,Schedule!$L:$L=$K190,(Schedule!$K:$K=$L190)+(Schedule!$K:$K=""""),Schedule!$AB:$AB&lt;&gt;"""")),""""))"),"")</f>
        <v/>
      </c>
      <c r="Q190" s="390" t="str">
        <f>IFERROR(__xludf.DUMMYFUNCTION("if($K190="""","""",iferror(join("" &amp; "",filter(Schedule!$S:$S&amp;""-""&amp;Schedule!$T:$T,Schedule!$L:$L=$K190,(Schedule!$K:$K=$L190)+(Schedule!$K:$K=""""),Schedule!$S:$S&lt;&gt;"""")),""""))"),"")</f>
        <v/>
      </c>
      <c r="R190" s="395" t="str">
        <f>if($M186="","","X-Block")</f>
        <v/>
      </c>
      <c r="S190" s="53"/>
      <c r="T190" s="393"/>
    </row>
    <row r="191">
      <c r="A191" s="389" t="str">
        <f>C186</f>
        <v>Jorge Mario Angel</v>
      </c>
      <c r="B191" s="389" t="str">
        <f>I186</f>
        <v/>
      </c>
      <c r="C191" s="100">
        <v>4.0</v>
      </c>
      <c r="D191" s="390" t="str">
        <f>IFERROR(__xludf.DUMMYFUNCTION("if($A191="""","""",iferror(join("" &amp; "",filter(Schedule!$Y:$Y&amp;""-""&amp;Schedule!$Z:$Z,Schedule!$L:$L=$A191,(Schedule!$K:$K=$B191)+(Schedule!$K:$K=""""),Schedule!$Y:$Y&lt;&gt;"""")),""""))"),"Band Level I-2")</f>
        <v>Band Level I-2</v>
      </c>
      <c r="E191" s="390" t="str">
        <f>IFERROR(__xludf.DUMMYFUNCTION("if($A191="""","""",iferror(join("" &amp; "",filter(Schedule!$P:$P&amp;""-""&amp;Schedule!$Q:$Q,Schedule!$L:$L=$A191,(Schedule!$K:$K=$B191)+(Schedule!$K:$K=""""),Schedule!$P:$P&lt;&gt;"""")),""""))"),"")</f>
        <v/>
      </c>
      <c r="F191" s="390" t="str">
        <f>IFERROR(__xludf.DUMMYFUNCTION("if($A191="""","""",iferror(join("" &amp; "",filter(Schedule!$AE:$AE&amp;""-""&amp;Schedule!$AF:$AF,Schedule!$L:$L=$A191,(Schedule!$K:$K=$B191)+(Schedule!$K:$K=""""),Schedule!$AE:$AE&lt;&gt;"""")),""""))"),"Band Level II-2")</f>
        <v>Band Level II-2</v>
      </c>
      <c r="G191" s="390" t="str">
        <f>IFERROR(__xludf.DUMMYFUNCTION("if($A191="""","""",iferror(join("" &amp; "",filter(Schedule!$V:$V&amp;""-""&amp;Schedule!$W:$W,Schedule!$L:$L=$A191,(Schedule!$K:$K=$B191)+(Schedule!$K:$K=""""),Schedule!$V:$V&lt;&gt;"""")),""""))"),"Band Level I-1")</f>
        <v>Band Level I-1</v>
      </c>
      <c r="H191" s="390" t="str">
        <f>IFERROR(__xludf.DUMMYFUNCTION("if($A191="""","""",iferror(join("" &amp; "",filter(Schedule!$AH:$AH&amp;""-""&amp;Schedule!$AI:$AI,Schedule!$L:$L=$A191,(Schedule!$K:$K=$B191)+(Schedule!$K:$K=""""),Schedule!$AH:$AH&lt;&gt;"""")),""""))"),"Band Level I-3")</f>
        <v>Band Level I-3</v>
      </c>
      <c r="I191" s="53"/>
      <c r="J191" s="392"/>
      <c r="K191" s="389" t="str">
        <f>M186</f>
        <v/>
      </c>
      <c r="L191" s="389" t="str">
        <f>S186</f>
        <v/>
      </c>
      <c r="M191" s="100">
        <v>4.0</v>
      </c>
      <c r="N191" s="390" t="str">
        <f>IFERROR(__xludf.DUMMYFUNCTION("if($K191="""","""",iferror(join("" &amp; "",filter(Schedule!$Y:$Y&amp;""-""&amp;Schedule!$Z:$Z,Schedule!$L:$L=$K191,(Schedule!$K:$K=$L191)+(Schedule!$K:$K=""""),Schedule!$Y:$Y&lt;&gt;"""")),""""))"),"")</f>
        <v/>
      </c>
      <c r="O191" s="390" t="str">
        <f>IFERROR(__xludf.DUMMYFUNCTION("if($K191="""","""",iferror(join("" &amp; "",filter(Schedule!$P:$P&amp;""-""&amp;Schedule!$Q:$Q,Schedule!$L:$L=$K191,(Schedule!$K:$K=$L191)+(Schedule!$K:$K=""""),Schedule!$P:$P&lt;&gt;"""")),""""))"),"")</f>
        <v/>
      </c>
      <c r="P191" s="390" t="str">
        <f>IFERROR(__xludf.DUMMYFUNCTION("if($K191="""","""",iferror(join("" &amp; "",filter(Schedule!$AE:$AE&amp;""-""&amp;Schedule!$AF:$AF,Schedule!$L:$L=$K191,(Schedule!$K:$K=$L191)+(Schedule!$K:$K=""""),Schedule!$AE:$AE&lt;&gt;"""")),""""))"),"")</f>
        <v/>
      </c>
      <c r="Q191" s="390" t="str">
        <f>IFERROR(__xludf.DUMMYFUNCTION("if($K191="""","""",iferror(join("" &amp; "",filter(Schedule!$V:$V&amp;""-""&amp;Schedule!$W:$W,Schedule!$L:$L=$K191,(Schedule!$K:$K=$L191)+(Schedule!$K:$K=""""),Schedule!$V:$V&lt;&gt;"""")),""""))"),"")</f>
        <v/>
      </c>
      <c r="R191" s="390" t="str">
        <f>IFERROR(__xludf.DUMMYFUNCTION("if($K191="""","""",iferror(join("" &amp; "",filter(Schedule!$AH:$AH&amp;""-""&amp;Schedule!$AI:$AI,Schedule!$L:$L=$K191,(Schedule!$K:$K=$L191)+(Schedule!$K:$K=""""),Schedule!$AH:$AH&lt;&gt;"""")),""""))"),"")</f>
        <v/>
      </c>
      <c r="S191" s="53"/>
      <c r="T191" s="393"/>
    </row>
    <row r="192">
      <c r="A192" s="389" t="str">
        <f>C186</f>
        <v>Jorge Mario Angel</v>
      </c>
      <c r="B192" s="389" t="str">
        <f>I186</f>
        <v/>
      </c>
      <c r="C192" s="100">
        <v>5.0</v>
      </c>
      <c r="D192" s="390" t="str">
        <f>IFERROR(__xludf.DUMMYFUNCTION("if($A192="""","""",iferror(join("" &amp; "",filter(Schedule!$AB:$AB&amp;""-""&amp;Schedule!$AC:$AC,Schedule!$L:$L=$A192,(Schedule!$K:$K=$B192)+(Schedule!$K:$K=""""),Schedule!$AB:$AB&lt;&gt;"""")),""""))"),"")</f>
        <v/>
      </c>
      <c r="E192" s="390" t="str">
        <f>IFERROR(__xludf.DUMMYFUNCTION("if($A192="""","""",iferror(join("" &amp; "",filter(Schedule!$S:$S&amp;""-""&amp;Schedule!$T:$T,Schedule!$L:$L=$A192,(Schedule!$K:$K=$B192)+(Schedule!$K:$K=""""),Schedule!$S:$S&lt;&gt;"""")),""""))"),"Band Level II-1")</f>
        <v>Band Level II-1</v>
      </c>
      <c r="F192" s="390" t="str">
        <f>IFERROR(__xludf.DUMMYFUNCTION("if($A192="""","""",iferror(join("" &amp; "",filter(Schedule!$AH:$AH&amp;""-""&amp;Schedule!$AI:$AI,Schedule!$L:$L=$A192,(Schedule!$K:$K=$B192)+(Schedule!$K:$K=""""),Schedule!$AH:$AH&lt;&gt;"""")),""""))"),"Band Level I-3")</f>
        <v>Band Level I-3</v>
      </c>
      <c r="G192" s="390" t="str">
        <f>IFERROR(__xludf.DUMMYFUNCTION("if($A192="""","""",iferror(join("" &amp; "",filter(Schedule!$Y:$Y&amp;""-""&amp;Schedule!$Z:$Z,Schedule!$L:$L=$A192,(Schedule!$K:$K=$B192)+(Schedule!$K:$K=""""),Schedule!$Y:$Y&lt;&gt;"""")),""""))"),"Band Level I-2")</f>
        <v>Band Level I-2</v>
      </c>
      <c r="H192" s="390" t="str">
        <f>IFERROR(__xludf.DUMMYFUNCTION("if($A192="""","""",iferror(join("" &amp; "",filter(Schedule!$AK:$AK&amp;""-""&amp;Schedule!$AL:$AL,Schedule!$L:$L=$A192,(Schedule!$K:$K=$B192)+(Schedule!$K:$K=""""),Schedule!$AK:$AK&lt;&gt;"""")),""""))"),"Band Level I-4")</f>
        <v>Band Level I-4</v>
      </c>
      <c r="I192" s="68"/>
      <c r="J192" s="392"/>
      <c r="K192" s="389" t="str">
        <f>M186</f>
        <v/>
      </c>
      <c r="L192" s="389" t="str">
        <f>S186</f>
        <v/>
      </c>
      <c r="M192" s="100">
        <v>5.0</v>
      </c>
      <c r="N192" s="390" t="str">
        <f>IFERROR(__xludf.DUMMYFUNCTION("if($K192="""","""",iferror(join("" &amp; "",filter(Schedule!$AB:$AB&amp;""-""&amp;Schedule!$AC:$AC,Schedule!$L:$L=$K192,(Schedule!$K:$K=$L192)+(Schedule!$K:$K=""""),Schedule!$AB:$AB&lt;&gt;"""")),""""))"),"")</f>
        <v/>
      </c>
      <c r="O192" s="390" t="str">
        <f>IFERROR(__xludf.DUMMYFUNCTION("if($K192="""","""",iferror(join("" &amp; "",filter(Schedule!$S:$S&amp;""-""&amp;Schedule!$T:$T,Schedule!$L:$L=$K192,(Schedule!$K:$K=$L192)+(Schedule!$K:$K=""""),Schedule!$S:$S&lt;&gt;"""")),""""))"),"")</f>
        <v/>
      </c>
      <c r="P192" s="390" t="str">
        <f>IFERROR(__xludf.DUMMYFUNCTION("if($K192="""","""",iferror(join("" &amp; "",filter(Schedule!$AH:$AH&amp;""-""&amp;Schedule!$AI:$AI,Schedule!$L:$L=$K192,(Schedule!$K:$K=$L192)+(Schedule!$K:$K=""""),Schedule!$AH:$AH&lt;&gt;"""")),""""))"),"")</f>
        <v/>
      </c>
      <c r="Q192" s="390" t="str">
        <f>IFERROR(__xludf.DUMMYFUNCTION("if($K192="""","""",iferror(join("" &amp; "",filter(Schedule!$Y:$Y&amp;""-""&amp;Schedule!$Z:$Z,Schedule!$L:$L=$K192,(Schedule!$K:$K=$L192)+(Schedule!$K:$K=""""),Schedule!$Y:$Y&lt;&gt;"""")),""""))"),"")</f>
        <v/>
      </c>
      <c r="R192" s="390" t="str">
        <f>IFERROR(__xludf.DUMMYFUNCTION("if($K192="""","""",iferror(join("" &amp; "",filter(Schedule!$AK:$AK&amp;""-""&amp;Schedule!$AL:$AL,Schedule!$L:$L=$K192,(Schedule!$K:$K=$L192)+(Schedule!$K:$K=""""),Schedule!$AK:$AK&lt;&gt;"""")),""""))"),"")</f>
        <v/>
      </c>
      <c r="S192" s="68"/>
      <c r="T192" s="393"/>
    </row>
    <row r="193">
      <c r="C193" s="3"/>
      <c r="D193" s="396"/>
      <c r="E193" s="396"/>
      <c r="F193" s="396"/>
      <c r="G193" s="396"/>
      <c r="H193" s="396"/>
      <c r="N193" s="397"/>
      <c r="O193" s="397"/>
      <c r="P193" s="397"/>
      <c r="Q193" s="397"/>
      <c r="R193" s="397"/>
    </row>
    <row r="194">
      <c r="A194" s="45"/>
      <c r="B194" s="45"/>
      <c r="C194" s="386" t="str">
        <f>Teachers!A25</f>
        <v>Jose Sabido</v>
      </c>
      <c r="D194" s="383"/>
      <c r="E194" s="383"/>
      <c r="F194" s="383"/>
      <c r="G194" s="383"/>
      <c r="H194" s="384"/>
      <c r="I194" s="385" t="str">
        <f>IFERROR(__xludf.DUMMYFUNCTION("if(C194="""","""", iferror(filter(Schedule!$K:$K,Schedule!$L:$L=$C194,Schedule!$K:$K=""S1""),unique(filter(Schedule!$K:$K,Schedule!$L:$L=$C194,Schedule!$K:$K=""""))))"),"")</f>
        <v/>
      </c>
      <c r="M194" s="386" t="str">
        <f>if(S194="","",C194)</f>
        <v/>
      </c>
      <c r="N194" s="383"/>
      <c r="O194" s="383"/>
      <c r="P194" s="383"/>
      <c r="Q194" s="383"/>
      <c r="R194" s="384"/>
      <c r="S194" s="385" t="str">
        <f>if(I194="S1","S2","")</f>
        <v/>
      </c>
      <c r="T194" s="112"/>
    </row>
    <row r="195">
      <c r="A195" s="116"/>
      <c r="B195" s="116"/>
      <c r="C195" s="100" t="s">
        <v>7</v>
      </c>
      <c r="D195" s="387" t="s">
        <v>8</v>
      </c>
      <c r="E195" s="387" t="s">
        <v>9</v>
      </c>
      <c r="F195" s="387" t="s">
        <v>10</v>
      </c>
      <c r="G195" s="387" t="s">
        <v>11</v>
      </c>
      <c r="H195" s="387" t="s">
        <v>12</v>
      </c>
      <c r="I195" s="21" t="s">
        <v>766</v>
      </c>
      <c r="J195" s="116"/>
      <c r="K195" s="116"/>
      <c r="L195" s="116"/>
      <c r="M195" s="100" t="s">
        <v>7</v>
      </c>
      <c r="N195" s="387" t="s">
        <v>8</v>
      </c>
      <c r="O195" s="387" t="s">
        <v>9</v>
      </c>
      <c r="P195" s="387" t="s">
        <v>10</v>
      </c>
      <c r="Q195" s="387" t="s">
        <v>11</v>
      </c>
      <c r="R195" s="387" t="s">
        <v>12</v>
      </c>
      <c r="S195" s="21" t="s">
        <v>766</v>
      </c>
      <c r="T195" s="388"/>
    </row>
    <row r="196">
      <c r="A196" s="389" t="str">
        <f>C194</f>
        <v>Jose Sabido</v>
      </c>
      <c r="B196" s="389" t="str">
        <f>I194</f>
        <v/>
      </c>
      <c r="C196" s="100">
        <v>1.0</v>
      </c>
      <c r="D196" s="390" t="str">
        <f>IFERROR(__xludf.DUMMYFUNCTION("if($A196="""","""",iferror(join("" &amp; "",filter(Schedule!$P:$P&amp;""-""&amp;Schedule!$Q:$Q,Schedule!$L:$L=$A196,(Schedule!$K:$K=$B196)+(Schedule!$K:$K=""""),Schedule!$P:$P&lt;&gt;"""")),""""))"),"Chemistry-4")</f>
        <v>Chemistry-4</v>
      </c>
      <c r="E196" s="390" t="str">
        <f>IFERROR(__xludf.DUMMYFUNCTION("if($A196="""","""",iferror(join("" &amp; "",filter(Schedule!$AE:$AE&amp;""-""&amp;Schedule!$AF:$AF,Schedule!$L:$L=$A196,(Schedule!$K:$K=$B196)+(Schedule!$K:$K=""""),Schedule!$AE:$AE&lt;&gt;"""")),""""))"),"Chemistry-7")</f>
        <v>Chemistry-7</v>
      </c>
      <c r="F196" s="390" t="str">
        <f>IFERROR(__xludf.DUMMYFUNCTION("if($A196="""","""",iferror(join("" &amp; "",filter(Schedule!$V:$V&amp;""-""&amp;Schedule!$W:$W,Schedule!$L:$L=$A196,(Schedule!$K:$K=$B196)+(Schedule!$K:$K=""""),Schedule!$V:$V&lt;&gt;"""")),""""))"),"")</f>
        <v/>
      </c>
      <c r="G196" s="390" t="str">
        <f>IFERROR(__xludf.DUMMYFUNCTION("if($A196="""","""",iferror(join("" &amp; "",filter(Schedule!$AK:$AK&amp;""-""&amp;Schedule!$AL:$AL,Schedule!$L:$L=$A196,(Schedule!$K:$K=$B196)+(Schedule!$K:$K=""""),Schedule!$AK:$AK&lt;&gt;"""")),""""))"),"")</f>
        <v/>
      </c>
      <c r="H196" s="390" t="str">
        <f>IFERROR(__xludf.DUMMYFUNCTION("if($A196="""","""",iferror(join("" &amp; "",filter(Schedule!$AB:$AB&amp;""-""&amp;Schedule!$AC:$AC,Schedule!$L:$L=$A196,(Schedule!$K:$K=$B196)+(Schedule!$K:$K=""""),Schedule!$AB:$AB&lt;&gt;"""")),""""))"),"Chemistry-6")</f>
        <v>Chemistry-6</v>
      </c>
      <c r="I196" s="391">
        <f>if(C194="","", 24-countifs(D196:H200,""))</f>
        <v>15</v>
      </c>
      <c r="J196" s="392"/>
      <c r="K196" s="389" t="str">
        <f>M194</f>
        <v/>
      </c>
      <c r="L196" s="389" t="str">
        <f>S194</f>
        <v/>
      </c>
      <c r="M196" s="100">
        <v>1.0</v>
      </c>
      <c r="N196" s="390" t="str">
        <f>IFERROR(__xludf.DUMMYFUNCTION("if($K196="""","""",iferror(join("" &amp; "",filter(Schedule!$P:$P&amp;""-""&amp;Schedule!$Q:$Q,Schedule!$L:$L=$K196,(Schedule!$K:$K=$L196)+(Schedule!$K:$K=""""),Schedule!$P:$P&lt;&gt;"""")),""""))"),"")</f>
        <v/>
      </c>
      <c r="O196" s="390" t="str">
        <f>IFERROR(__xludf.DUMMYFUNCTION("if($K196="""","""",iferror(join("" &amp; "",filter(Schedule!$AE:$AE&amp;""-""&amp;Schedule!$AF:$AF,Schedule!$L:$L=$K196,(Schedule!$K:$K=$L196)+(Schedule!$K:$K=""""),Schedule!$AE:$AE&lt;&gt;"""")),""""))"),"")</f>
        <v/>
      </c>
      <c r="P196" s="390" t="str">
        <f>IFERROR(__xludf.DUMMYFUNCTION("if($K196="""","""",iferror(join("" &amp; "",filter(Schedule!$V:$V&amp;""-""&amp;Schedule!$W:$W,Schedule!$L:$L=$K196,(Schedule!$K:$K=$L196)+(Schedule!$K:$K=""""),Schedule!$V:$V&lt;&gt;"""")),""""))"),"")</f>
        <v/>
      </c>
      <c r="Q196" s="390" t="str">
        <f>IFERROR(__xludf.DUMMYFUNCTION("if($K196="""","""",iferror(join("" &amp; "",filter(Schedule!$AK:$AK&amp;""-""&amp;Schedule!$AL:$AL,Schedule!$L:$L=$K196,(Schedule!$K:$K=$L196)+(Schedule!$K:$K=""""),Schedule!$AK:$AK&lt;&gt;"""")),""""))"),"")</f>
        <v/>
      </c>
      <c r="R196" s="390" t="str">
        <f>IFERROR(__xludf.DUMMYFUNCTION("if($K196="""","""",iferror(join("" &amp; "",filter(Schedule!$AB:$AB&amp;""-""&amp;Schedule!$AC:$AC,Schedule!$L:$L=$K196,(Schedule!$K:$K=$L196)+(Schedule!$K:$K=""""),Schedule!$AB:$AB&lt;&gt;"""")),""""))"),"")</f>
        <v/>
      </c>
      <c r="S196" s="391" t="str">
        <f>if(K196="","", 24-countifs(N196:R200,""))</f>
        <v/>
      </c>
      <c r="T196" s="393"/>
    </row>
    <row r="197">
      <c r="A197" s="389" t="str">
        <f>C194</f>
        <v>Jose Sabido</v>
      </c>
      <c r="B197" s="389" t="str">
        <f>I194</f>
        <v/>
      </c>
      <c r="C197" s="100">
        <v>2.0</v>
      </c>
      <c r="D197" s="390" t="str">
        <f>IFERROR(__xludf.DUMMYFUNCTION("if($A197="""","""",iferror(join("" &amp; "",filter(Schedule!$S:$S&amp;""-""&amp;Schedule!$T:$T,Schedule!$L:$L=$A197,(Schedule!$K:$K=$B197)+(Schedule!$K:$K=""""),Schedule!$S:$S&lt;&gt;"""")),""""))"),"Chemistry-5")</f>
        <v>Chemistry-5</v>
      </c>
      <c r="E197" s="390" t="str">
        <f>IFERROR(__xludf.DUMMYFUNCTION("if($A197="""","""",iferror(join("" &amp; "",filter(Schedule!$AH:$AH&amp;""-""&amp;Schedule!$AI:$AI,Schedule!$L:$L=$A197,(Schedule!$K:$K=$B197)+(Schedule!$K:$K=""""),Schedule!$AH:$AH&lt;&gt;"""")),""""))"),"AP Chemistry-1")</f>
        <v>AP Chemistry-1</v>
      </c>
      <c r="F197" s="390" t="str">
        <f>IFERROR(__xludf.DUMMYFUNCTION("if($A197="""","""",iferror(join("" &amp; "",filter(Schedule!$Y:$Y&amp;""-""&amp;Schedule!$Z:$Z,Schedule!$L:$L=$A197,(Schedule!$K:$K=$B197)+(Schedule!$K:$K=""""),Schedule!$Y:$Y&lt;&gt;"""")),""""))"),"")</f>
        <v/>
      </c>
      <c r="G197" s="390" t="str">
        <f>IFERROR(__xludf.DUMMYFUNCTION("if($A197="""","""",iferror(join("" &amp; "",filter(Schedule!$P:$P&amp;""-""&amp;Schedule!$Q:$Q,Schedule!$L:$L=$A197,(Schedule!$K:$K=$B197)+(Schedule!$K:$K=""""),Schedule!$P:$P&lt;&gt;"""")),""""))"),"Chemistry-4")</f>
        <v>Chemistry-4</v>
      </c>
      <c r="H197" s="390" t="str">
        <f>IFERROR(__xludf.DUMMYFUNCTION("if($A197="""","""",iferror(join("" &amp; "",filter(Schedule!$AE:$AE&amp;""-""&amp;Schedule!$AF:$AF,Schedule!$L:$L=$A197,(Schedule!$K:$K=$B197)+(Schedule!$K:$K=""""),Schedule!$AE:$AE&lt;&gt;"""")),""""))"),"Chemistry-7")</f>
        <v>Chemistry-7</v>
      </c>
      <c r="I197" s="53"/>
      <c r="J197" s="392"/>
      <c r="K197" s="389" t="str">
        <f>M194</f>
        <v/>
      </c>
      <c r="L197" s="389" t="str">
        <f>S194</f>
        <v/>
      </c>
      <c r="M197" s="100">
        <v>2.0</v>
      </c>
      <c r="N197" s="390" t="str">
        <f>IFERROR(__xludf.DUMMYFUNCTION("if($K197="""","""",iferror(join("" &amp; "",filter(Schedule!$S:$S&amp;""-""&amp;Schedule!$T:$T,Schedule!$L:$L=$K197,(Schedule!$K:$K=$L197)+(Schedule!$K:$K=""""),Schedule!$S:$S&lt;&gt;"""")),""""))"),"")</f>
        <v/>
      </c>
      <c r="O197" s="390" t="str">
        <f>IFERROR(__xludf.DUMMYFUNCTION("if($K197="""","""",iferror(join("" &amp; "",filter(Schedule!$AH:$AH&amp;""-""&amp;Schedule!$AI:$AI,Schedule!$L:$L=$K197,(Schedule!$K:$K=$L197)+(Schedule!$K:$K=""""),Schedule!$AH:$AH&lt;&gt;"""")),""""))"),"")</f>
        <v/>
      </c>
      <c r="P197" s="390" t="str">
        <f>IFERROR(__xludf.DUMMYFUNCTION("if($K197="""","""",iferror(join("" &amp; "",filter(Schedule!$Y:$Y&amp;""-""&amp;Schedule!$Z:$Z,Schedule!$L:$L=$K197,(Schedule!$K:$K=$L197)+(Schedule!$K:$K=""""),Schedule!$Y:$Y&lt;&gt;"""")),""""))"),"")</f>
        <v/>
      </c>
      <c r="Q197" s="390" t="str">
        <f>IFERROR(__xludf.DUMMYFUNCTION("if($K197="""","""",iferror(join("" &amp; "",filter(Schedule!$P:$P&amp;""-""&amp;Schedule!$Q:$Q,Schedule!$L:$L=$K197,(Schedule!$K:$K=$L197)+(Schedule!$K:$K=""""),Schedule!$P:$P&lt;&gt;"""")),""""))"),"")</f>
        <v/>
      </c>
      <c r="R197" s="390" t="str">
        <f>IFERROR(__xludf.DUMMYFUNCTION("if($K197="""","""",iferror(join("" &amp; "",filter(Schedule!$AE:$AE&amp;""-""&amp;Schedule!$AF:$AF,Schedule!$L:$L=$K197,(Schedule!$K:$K=$L197)+(Schedule!$K:$K=""""),Schedule!$AE:$AE&lt;&gt;"""")),""""))"),"")</f>
        <v/>
      </c>
      <c r="S197" s="53"/>
      <c r="T197" s="393"/>
    </row>
    <row r="198">
      <c r="A198" s="389" t="str">
        <f>C194</f>
        <v>Jose Sabido</v>
      </c>
      <c r="B198" s="389" t="str">
        <f>I194</f>
        <v/>
      </c>
      <c r="C198" s="100">
        <v>3.0</v>
      </c>
      <c r="D198" s="390" t="str">
        <f>IFERROR(__xludf.DUMMYFUNCTION("if($A198="""","""",iferror(join("" &amp; "",filter(Schedule!$V:$V&amp;""-""&amp;Schedule!$W:$W,Schedule!$L:$L=$A198,(Schedule!$K:$K=$B198)+(Schedule!$K:$K=""""),Schedule!$V:$V&lt;&gt;"""")),""""))"),"")</f>
        <v/>
      </c>
      <c r="E198" s="390" t="str">
        <f>IFERROR(__xludf.DUMMYFUNCTION("if($A198="""","""",iferror(join("" &amp; "",filter(Schedule!$AK:$AK&amp;""-""&amp;Schedule!$AL:$AL,Schedule!$L:$L=$A198,(Schedule!$K:$K=$B198)+(Schedule!$K:$K=""""),Schedule!$AK:$AK&lt;&gt;"""")),""""))"),"")</f>
        <v/>
      </c>
      <c r="F198" s="390" t="str">
        <f>IFERROR(__xludf.DUMMYFUNCTION("if($A198="""","""",iferror(join("" &amp; "",filter(Schedule!$AB:$AB&amp;""-""&amp;Schedule!$AC:$AC,Schedule!$L:$L=$A198,(Schedule!$K:$K=$B198)+(Schedule!$K:$K=""""),Schedule!$AB:$AB&lt;&gt;"""")),""""))"),"Chemistry-6")</f>
        <v>Chemistry-6</v>
      </c>
      <c r="G198" s="390" t="str">
        <f>IFERROR(__xludf.DUMMYFUNCTION("if($A198="""","""",iferror(join("" &amp; "",filter(Schedule!$S:$S&amp;""-""&amp;Schedule!$T:$T,Schedule!$L:$L=$A198,(Schedule!$K:$K=$B198)+(Schedule!$K:$K=""""),Schedule!$S:$S&lt;&gt;"""")),""""))"),"Chemistry-5")</f>
        <v>Chemistry-5</v>
      </c>
      <c r="H198" s="395" t="str">
        <f>if($C194="","","X-Block")</f>
        <v>X-Block</v>
      </c>
      <c r="I198" s="53"/>
      <c r="J198" s="392"/>
      <c r="K198" s="389" t="str">
        <f>M194</f>
        <v/>
      </c>
      <c r="L198" s="389" t="str">
        <f>S194</f>
        <v/>
      </c>
      <c r="M198" s="100">
        <v>3.0</v>
      </c>
      <c r="N198" s="390" t="str">
        <f>IFERROR(__xludf.DUMMYFUNCTION("if($K198="""","""",iferror(join("" &amp; "",filter(Schedule!$V:$V&amp;""-""&amp;Schedule!$W:$W,Schedule!$L:$L=$K198,(Schedule!$K:$K=$L198)+(Schedule!$K:$K=""""),Schedule!$V:$V&lt;&gt;"""")),""""))"),"")</f>
        <v/>
      </c>
      <c r="O198" s="390" t="str">
        <f>IFERROR(__xludf.DUMMYFUNCTION("if($K198="""","""",iferror(join("" &amp; "",filter(Schedule!$AK:$AK&amp;""-""&amp;Schedule!$AL:$AL,Schedule!$L:$L=$K198,(Schedule!$K:$K=$L198)+(Schedule!$K:$K=""""),Schedule!$AK:$AK&lt;&gt;"""")),""""))"),"")</f>
        <v/>
      </c>
      <c r="P198" s="390" t="str">
        <f>IFERROR(__xludf.DUMMYFUNCTION("if($K198="""","""",iferror(join("" &amp; "",filter(Schedule!$AB:$AB&amp;""-""&amp;Schedule!$AC:$AC,Schedule!$L:$L=$K198,(Schedule!$K:$K=$L198)+(Schedule!$K:$K=""""),Schedule!$AB:$AB&lt;&gt;"""")),""""))"),"")</f>
        <v/>
      </c>
      <c r="Q198" s="390" t="str">
        <f>IFERROR(__xludf.DUMMYFUNCTION("if($K198="""","""",iferror(join("" &amp; "",filter(Schedule!$S:$S&amp;""-""&amp;Schedule!$T:$T,Schedule!$L:$L=$K198,(Schedule!$K:$K=$L198)+(Schedule!$K:$K=""""),Schedule!$S:$S&lt;&gt;"""")),""""))"),"")</f>
        <v/>
      </c>
      <c r="R198" s="395" t="str">
        <f>if($M194="","","X-Block")</f>
        <v/>
      </c>
      <c r="S198" s="53"/>
      <c r="T198" s="393"/>
    </row>
    <row r="199">
      <c r="A199" s="389" t="str">
        <f>C194</f>
        <v>Jose Sabido</v>
      </c>
      <c r="B199" s="389" t="str">
        <f>I194</f>
        <v/>
      </c>
      <c r="C199" s="100">
        <v>4.0</v>
      </c>
      <c r="D199" s="390" t="str">
        <f>IFERROR(__xludf.DUMMYFUNCTION("if($A199="""","""",iferror(join("" &amp; "",filter(Schedule!$Y:$Y&amp;""-""&amp;Schedule!$Z:$Z,Schedule!$L:$L=$A199,(Schedule!$K:$K=$B199)+(Schedule!$K:$K=""""),Schedule!$Y:$Y&lt;&gt;"""")),""""))"),"")</f>
        <v/>
      </c>
      <c r="E199" s="390" t="str">
        <f>IFERROR(__xludf.DUMMYFUNCTION("if($A199="""","""",iferror(join("" &amp; "",filter(Schedule!$P:$P&amp;""-""&amp;Schedule!$Q:$Q,Schedule!$L:$L=$A199,(Schedule!$K:$K=$B199)+(Schedule!$K:$K=""""),Schedule!$P:$P&lt;&gt;"""")),""""))"),"Chemistry-4")</f>
        <v>Chemistry-4</v>
      </c>
      <c r="F199" s="390" t="str">
        <f>IFERROR(__xludf.DUMMYFUNCTION("if($A199="""","""",iferror(join("" &amp; "",filter(Schedule!$AE:$AE&amp;""-""&amp;Schedule!$AF:$AF,Schedule!$L:$L=$A199,(Schedule!$K:$K=$B199)+(Schedule!$K:$K=""""),Schedule!$AE:$AE&lt;&gt;"""")),""""))"),"Chemistry-7")</f>
        <v>Chemistry-7</v>
      </c>
      <c r="G199" s="390" t="str">
        <f>IFERROR(__xludf.DUMMYFUNCTION("if($A199="""","""",iferror(join("" &amp; "",filter(Schedule!$V:$V&amp;""-""&amp;Schedule!$W:$W,Schedule!$L:$L=$A199,(Schedule!$K:$K=$B199)+(Schedule!$K:$K=""""),Schedule!$V:$V&lt;&gt;"""")),""""))"),"")</f>
        <v/>
      </c>
      <c r="H199" s="390" t="str">
        <f>IFERROR(__xludf.DUMMYFUNCTION("if($A199="""","""",iferror(join("" &amp; "",filter(Schedule!$AH:$AH&amp;""-""&amp;Schedule!$AI:$AI,Schedule!$L:$L=$A199,(Schedule!$K:$K=$B199)+(Schedule!$K:$K=""""),Schedule!$AH:$AH&lt;&gt;"""")),""""))"),"AP Chemistry-1")</f>
        <v>AP Chemistry-1</v>
      </c>
      <c r="I199" s="53"/>
      <c r="J199" s="392"/>
      <c r="K199" s="389" t="str">
        <f>M194</f>
        <v/>
      </c>
      <c r="L199" s="389" t="str">
        <f>S194</f>
        <v/>
      </c>
      <c r="M199" s="100">
        <v>4.0</v>
      </c>
      <c r="N199" s="390" t="str">
        <f>IFERROR(__xludf.DUMMYFUNCTION("if($K199="""","""",iferror(join("" &amp; "",filter(Schedule!$Y:$Y&amp;""-""&amp;Schedule!$Z:$Z,Schedule!$L:$L=$K199,(Schedule!$K:$K=$L199)+(Schedule!$K:$K=""""),Schedule!$Y:$Y&lt;&gt;"""")),""""))"),"")</f>
        <v/>
      </c>
      <c r="O199" s="390" t="str">
        <f>IFERROR(__xludf.DUMMYFUNCTION("if($K199="""","""",iferror(join("" &amp; "",filter(Schedule!$P:$P&amp;""-""&amp;Schedule!$Q:$Q,Schedule!$L:$L=$K199,(Schedule!$K:$K=$L199)+(Schedule!$K:$K=""""),Schedule!$P:$P&lt;&gt;"""")),""""))"),"")</f>
        <v/>
      </c>
      <c r="P199" s="390" t="str">
        <f>IFERROR(__xludf.DUMMYFUNCTION("if($K199="""","""",iferror(join("" &amp; "",filter(Schedule!$AE:$AE&amp;""-""&amp;Schedule!$AF:$AF,Schedule!$L:$L=$K199,(Schedule!$K:$K=$L199)+(Schedule!$K:$K=""""),Schedule!$AE:$AE&lt;&gt;"""")),""""))"),"")</f>
        <v/>
      </c>
      <c r="Q199" s="390" t="str">
        <f>IFERROR(__xludf.DUMMYFUNCTION("if($K199="""","""",iferror(join("" &amp; "",filter(Schedule!$V:$V&amp;""-""&amp;Schedule!$W:$W,Schedule!$L:$L=$K199,(Schedule!$K:$K=$L199)+(Schedule!$K:$K=""""),Schedule!$V:$V&lt;&gt;"""")),""""))"),"")</f>
        <v/>
      </c>
      <c r="R199" s="390" t="str">
        <f>IFERROR(__xludf.DUMMYFUNCTION("if($K199="""","""",iferror(join("" &amp; "",filter(Schedule!$AH:$AH&amp;""-""&amp;Schedule!$AI:$AI,Schedule!$L:$L=$K199,(Schedule!$K:$K=$L199)+(Schedule!$K:$K=""""),Schedule!$AH:$AH&lt;&gt;"""")),""""))"),"")</f>
        <v/>
      </c>
      <c r="S199" s="53"/>
      <c r="T199" s="393"/>
    </row>
    <row r="200">
      <c r="A200" s="389" t="str">
        <f>C194</f>
        <v>Jose Sabido</v>
      </c>
      <c r="B200" s="389" t="str">
        <f>I194</f>
        <v/>
      </c>
      <c r="C200" s="100">
        <v>5.0</v>
      </c>
      <c r="D200" s="390" t="str">
        <f>IFERROR(__xludf.DUMMYFUNCTION("if($A200="""","""",iferror(join("" &amp; "",filter(Schedule!$AB:$AB&amp;""-""&amp;Schedule!$AC:$AC,Schedule!$L:$L=$A200,(Schedule!$K:$K=$B200)+(Schedule!$K:$K=""""),Schedule!$AB:$AB&lt;&gt;"""")),""""))"),"Chemistry-6")</f>
        <v>Chemistry-6</v>
      </c>
      <c r="E200" s="390" t="str">
        <f>IFERROR(__xludf.DUMMYFUNCTION("if($A200="""","""",iferror(join("" &amp; "",filter(Schedule!$S:$S&amp;""-""&amp;Schedule!$T:$T,Schedule!$L:$L=$A200,(Schedule!$K:$K=$B200)+(Schedule!$K:$K=""""),Schedule!$S:$S&lt;&gt;"""")),""""))"),"Chemistry-5")</f>
        <v>Chemistry-5</v>
      </c>
      <c r="F200" s="390" t="str">
        <f>IFERROR(__xludf.DUMMYFUNCTION("if($A200="""","""",iferror(join("" &amp; "",filter(Schedule!$AH:$AH&amp;""-""&amp;Schedule!$AI:$AI,Schedule!$L:$L=$A200,(Schedule!$K:$K=$B200)+(Schedule!$K:$K=""""),Schedule!$AH:$AH&lt;&gt;"""")),""""))"),"AP Chemistry-1")</f>
        <v>AP Chemistry-1</v>
      </c>
      <c r="G200" s="390" t="str">
        <f>IFERROR(__xludf.DUMMYFUNCTION("if($A200="""","""",iferror(join("" &amp; "",filter(Schedule!$Y:$Y&amp;""-""&amp;Schedule!$Z:$Z,Schedule!$L:$L=$A200,(Schedule!$K:$K=$B200)+(Schedule!$K:$K=""""),Schedule!$Y:$Y&lt;&gt;"""")),""""))"),"")</f>
        <v/>
      </c>
      <c r="H200" s="390" t="str">
        <f>IFERROR(__xludf.DUMMYFUNCTION("if($A200="""","""",iferror(join("" &amp; "",filter(Schedule!$AK:$AK&amp;""-""&amp;Schedule!$AL:$AL,Schedule!$L:$L=$A200,(Schedule!$K:$K=$B200)+(Schedule!$K:$K=""""),Schedule!$AK:$AK&lt;&gt;"""")),""""))"),"")</f>
        <v/>
      </c>
      <c r="I200" s="68"/>
      <c r="J200" s="392"/>
      <c r="K200" s="389" t="str">
        <f>M194</f>
        <v/>
      </c>
      <c r="L200" s="389" t="str">
        <f>S194</f>
        <v/>
      </c>
      <c r="M200" s="100">
        <v>5.0</v>
      </c>
      <c r="N200" s="390" t="str">
        <f>IFERROR(__xludf.DUMMYFUNCTION("if($K200="""","""",iferror(join("" &amp; "",filter(Schedule!$AB:$AB&amp;""-""&amp;Schedule!$AC:$AC,Schedule!$L:$L=$K200,(Schedule!$K:$K=$L200)+(Schedule!$K:$K=""""),Schedule!$AB:$AB&lt;&gt;"""")),""""))"),"")</f>
        <v/>
      </c>
      <c r="O200" s="390" t="str">
        <f>IFERROR(__xludf.DUMMYFUNCTION("if($K200="""","""",iferror(join("" &amp; "",filter(Schedule!$S:$S&amp;""-""&amp;Schedule!$T:$T,Schedule!$L:$L=$K200,(Schedule!$K:$K=$L200)+(Schedule!$K:$K=""""),Schedule!$S:$S&lt;&gt;"""")),""""))"),"")</f>
        <v/>
      </c>
      <c r="P200" s="390" t="str">
        <f>IFERROR(__xludf.DUMMYFUNCTION("if($K200="""","""",iferror(join("" &amp; "",filter(Schedule!$AH:$AH&amp;""-""&amp;Schedule!$AI:$AI,Schedule!$L:$L=$K200,(Schedule!$K:$K=$L200)+(Schedule!$K:$K=""""),Schedule!$AH:$AH&lt;&gt;"""")),""""))"),"")</f>
        <v/>
      </c>
      <c r="Q200" s="390" t="str">
        <f>IFERROR(__xludf.DUMMYFUNCTION("if($K200="""","""",iferror(join("" &amp; "",filter(Schedule!$Y:$Y&amp;""-""&amp;Schedule!$Z:$Z,Schedule!$L:$L=$K200,(Schedule!$K:$K=$L200)+(Schedule!$K:$K=""""),Schedule!$Y:$Y&lt;&gt;"""")),""""))"),"")</f>
        <v/>
      </c>
      <c r="R200" s="390" t="str">
        <f>IFERROR(__xludf.DUMMYFUNCTION("if($K200="""","""",iferror(join("" &amp; "",filter(Schedule!$AK:$AK&amp;""-""&amp;Schedule!$AL:$AL,Schedule!$L:$L=$K200,(Schedule!$K:$K=$L200)+(Schedule!$K:$K=""""),Schedule!$AK:$AK&lt;&gt;"""")),""""))"),"")</f>
        <v/>
      </c>
      <c r="S200" s="68"/>
      <c r="T200" s="393"/>
    </row>
    <row r="201">
      <c r="C201" s="3"/>
      <c r="D201" s="396"/>
      <c r="E201" s="396"/>
      <c r="F201" s="396"/>
      <c r="G201" s="396"/>
      <c r="H201" s="396"/>
      <c r="N201" s="397"/>
      <c r="O201" s="397"/>
      <c r="P201" s="397"/>
      <c r="Q201" s="397"/>
      <c r="R201" s="397"/>
    </row>
    <row r="202">
      <c r="A202" s="45"/>
      <c r="B202" s="45"/>
      <c r="C202" s="386" t="str">
        <f>Teachers!A26</f>
        <v>Josue Acosta</v>
      </c>
      <c r="D202" s="383"/>
      <c r="E202" s="383"/>
      <c r="F202" s="383"/>
      <c r="G202" s="383"/>
      <c r="H202" s="384"/>
      <c r="I202" s="385" t="str">
        <f>IFERROR(__xludf.DUMMYFUNCTION("if(C202="""","""", iferror(filter(Schedule!$K:$K,Schedule!$L:$L=$C202,Schedule!$K:$K=""S1""),unique(filter(Schedule!$K:$K,Schedule!$L:$L=$C202,Schedule!$K:$K=""""))))"),"")</f>
        <v/>
      </c>
      <c r="M202" s="386" t="str">
        <f>if(S202="","",C202)</f>
        <v/>
      </c>
      <c r="N202" s="383"/>
      <c r="O202" s="383"/>
      <c r="P202" s="383"/>
      <c r="Q202" s="383"/>
      <c r="R202" s="384"/>
      <c r="S202" s="385" t="str">
        <f>if(I202="S1","S2","")</f>
        <v/>
      </c>
      <c r="T202" s="112"/>
    </row>
    <row r="203">
      <c r="A203" s="116"/>
      <c r="B203" s="116"/>
      <c r="C203" s="100" t="s">
        <v>7</v>
      </c>
      <c r="D203" s="387" t="s">
        <v>8</v>
      </c>
      <c r="E203" s="387" t="s">
        <v>9</v>
      </c>
      <c r="F203" s="387" t="s">
        <v>10</v>
      </c>
      <c r="G203" s="387" t="s">
        <v>11</v>
      </c>
      <c r="H203" s="387" t="s">
        <v>12</v>
      </c>
      <c r="I203" s="21" t="s">
        <v>766</v>
      </c>
      <c r="J203" s="116"/>
      <c r="K203" s="116"/>
      <c r="L203" s="116"/>
      <c r="M203" s="100" t="s">
        <v>7</v>
      </c>
      <c r="N203" s="387" t="s">
        <v>8</v>
      </c>
      <c r="O203" s="387" t="s">
        <v>9</v>
      </c>
      <c r="P203" s="387" t="s">
        <v>10</v>
      </c>
      <c r="Q203" s="387" t="s">
        <v>11</v>
      </c>
      <c r="R203" s="387" t="s">
        <v>12</v>
      </c>
      <c r="S203" s="21" t="s">
        <v>766</v>
      </c>
      <c r="T203" s="388"/>
    </row>
    <row r="204">
      <c r="A204" s="389" t="str">
        <f>C202</f>
        <v>Josue Acosta</v>
      </c>
      <c r="B204" s="389" t="str">
        <f>I202</f>
        <v/>
      </c>
      <c r="C204" s="100">
        <v>1.0</v>
      </c>
      <c r="D204" s="390" t="str">
        <f>IFERROR(__xludf.DUMMYFUNCTION("if($A204="""","""",iferror(join("" &amp; "",filter(Schedule!$P:$P&amp;""-""&amp;Schedule!$Q:$Q,Schedule!$L:$L=$A204,(Schedule!$K:$K=$B204)+(Schedule!$K:$K=""""),Schedule!$P:$P&lt;&gt;"""")),""""))"),"")</f>
        <v/>
      </c>
      <c r="E204" s="390" t="str">
        <f>IFERROR(__xludf.DUMMYFUNCTION("if($A204="""","""",iferror(join("" &amp; "",filter(Schedule!$AE:$AE&amp;""-""&amp;Schedule!$AF:$AF,Schedule!$L:$L=$A204,(Schedule!$K:$K=$B204)+(Schedule!$K:$K=""""),Schedule!$AE:$AE&lt;&gt;"""")),""""))"),"Algebra I-2")</f>
        <v>Algebra I-2</v>
      </c>
      <c r="F204" s="390" t="str">
        <f>IFERROR(__xludf.DUMMYFUNCTION("if($A204="""","""",iferror(join("" &amp; "",filter(Schedule!$V:$V&amp;""-""&amp;Schedule!$W:$W,Schedule!$L:$L=$A204,(Schedule!$K:$K=$B204)+(Schedule!$K:$K=""""),Schedule!$V:$V&lt;&gt;"""")),""""))"),"")</f>
        <v/>
      </c>
      <c r="G204" s="390" t="str">
        <f>IFERROR(__xludf.DUMMYFUNCTION("if($A204="""","""",iferror(join("" &amp; "",filter(Schedule!$AK:$AK&amp;""-""&amp;Schedule!$AL:$AL,Schedule!$L:$L=$A204,(Schedule!$K:$K=$B204)+(Schedule!$K:$K=""""),Schedule!$AK:$AK&lt;&gt;"""")),""""))"),"")</f>
        <v/>
      </c>
      <c r="H204" s="390" t="str">
        <f>IFERROR(__xludf.DUMMYFUNCTION("if($A204="""","""",iferror(join("" &amp; "",filter(Schedule!$AB:$AB&amp;""-""&amp;Schedule!$AC:$AC,Schedule!$L:$L=$A204,(Schedule!$K:$K=$B204)+(Schedule!$K:$K=""""),Schedule!$AB:$AB&lt;&gt;"""")),""""))"),"Calculus-4")</f>
        <v>Calculus-4</v>
      </c>
      <c r="I204" s="391">
        <f>if(C202="","", 24-countifs(D204:H208,""))</f>
        <v>15</v>
      </c>
      <c r="J204" s="392"/>
      <c r="K204" s="389" t="str">
        <f>M202</f>
        <v/>
      </c>
      <c r="L204" s="389" t="str">
        <f>S202</f>
        <v/>
      </c>
      <c r="M204" s="100">
        <v>1.0</v>
      </c>
      <c r="N204" s="390" t="str">
        <f>IFERROR(__xludf.DUMMYFUNCTION("if($K204="""","""",iferror(join("" &amp; "",filter(Schedule!$P:$P&amp;""-""&amp;Schedule!$Q:$Q,Schedule!$L:$L=$K204,(Schedule!$K:$K=$L204)+(Schedule!$K:$K=""""),Schedule!$P:$P&lt;&gt;"""")),""""))"),"")</f>
        <v/>
      </c>
      <c r="O204" s="390" t="str">
        <f>IFERROR(__xludf.DUMMYFUNCTION("if($K204="""","""",iferror(join("" &amp; "",filter(Schedule!$AE:$AE&amp;""-""&amp;Schedule!$AF:$AF,Schedule!$L:$L=$K204,(Schedule!$K:$K=$L204)+(Schedule!$K:$K=""""),Schedule!$AE:$AE&lt;&gt;"""")),""""))"),"")</f>
        <v/>
      </c>
      <c r="P204" s="390" t="str">
        <f>IFERROR(__xludf.DUMMYFUNCTION("if($K204="""","""",iferror(join("" &amp; "",filter(Schedule!$V:$V&amp;""-""&amp;Schedule!$W:$W,Schedule!$L:$L=$K204,(Schedule!$K:$K=$L204)+(Schedule!$K:$K=""""),Schedule!$V:$V&lt;&gt;"""")),""""))"),"")</f>
        <v/>
      </c>
      <c r="Q204" s="390" t="str">
        <f>IFERROR(__xludf.DUMMYFUNCTION("if($K204="""","""",iferror(join("" &amp; "",filter(Schedule!$AK:$AK&amp;""-""&amp;Schedule!$AL:$AL,Schedule!$L:$L=$K204,(Schedule!$K:$K=$L204)+(Schedule!$K:$K=""""),Schedule!$AK:$AK&lt;&gt;"""")),""""))"),"")</f>
        <v/>
      </c>
      <c r="R204" s="390" t="str">
        <f>IFERROR(__xludf.DUMMYFUNCTION("if($K204="""","""",iferror(join("" &amp; "",filter(Schedule!$AB:$AB&amp;""-""&amp;Schedule!$AC:$AC,Schedule!$L:$L=$K204,(Schedule!$K:$K=$L204)+(Schedule!$K:$K=""""),Schedule!$AB:$AB&lt;&gt;"""")),""""))"),"")</f>
        <v/>
      </c>
      <c r="S204" s="391" t="str">
        <f>if(K204="","", 24-countifs(N204:R208,""))</f>
        <v/>
      </c>
      <c r="T204" s="393"/>
    </row>
    <row r="205">
      <c r="A205" s="389" t="str">
        <f>C202</f>
        <v>Josue Acosta</v>
      </c>
      <c r="B205" s="389" t="str">
        <f>I202</f>
        <v/>
      </c>
      <c r="C205" s="100">
        <v>2.0</v>
      </c>
      <c r="D205" s="390" t="str">
        <f>IFERROR(__xludf.DUMMYFUNCTION("if($A205="""","""",iferror(join("" &amp; "",filter(Schedule!$S:$S&amp;""-""&amp;Schedule!$T:$T,Schedule!$L:$L=$A205,(Schedule!$K:$K=$B205)+(Schedule!$K:$K=""""),Schedule!$S:$S&lt;&gt;"""")),""""))"),"Calculus-3")</f>
        <v>Calculus-3</v>
      </c>
      <c r="E205" s="390" t="str">
        <f>IFERROR(__xludf.DUMMYFUNCTION("if($A205="""","""",iferror(join("" &amp; "",filter(Schedule!$AH:$AH&amp;""-""&amp;Schedule!$AI:$AI,Schedule!$L:$L=$A205,(Schedule!$K:$K=$B205)+(Schedule!$K:$K=""""),Schedule!$AH:$AH&lt;&gt;"""")),""""))"),"AP Statistics-1")</f>
        <v>AP Statistics-1</v>
      </c>
      <c r="F205" s="390" t="str">
        <f>IFERROR(__xludf.DUMMYFUNCTION("if($A205="""","""",iferror(join("" &amp; "",filter(Schedule!$Y:$Y&amp;""-""&amp;Schedule!$Z:$Z,Schedule!$L:$L=$A205,(Schedule!$K:$K=$B205)+(Schedule!$K:$K=""""),Schedule!$Y:$Y&lt;&gt;"""")),""""))"),"Algebra I-1")</f>
        <v>Algebra I-1</v>
      </c>
      <c r="G205" s="390" t="str">
        <f>IFERROR(__xludf.DUMMYFUNCTION("if($A205="""","""",iferror(join("" &amp; "",filter(Schedule!$P:$P&amp;""-""&amp;Schedule!$Q:$Q,Schedule!$L:$L=$A205,(Schedule!$K:$K=$B205)+(Schedule!$K:$K=""""),Schedule!$P:$P&lt;&gt;"""")),""""))"),"")</f>
        <v/>
      </c>
      <c r="H205" s="390" t="str">
        <f>IFERROR(__xludf.DUMMYFUNCTION("if($A205="""","""",iferror(join("" &amp; "",filter(Schedule!$AE:$AE&amp;""-""&amp;Schedule!$AF:$AF,Schedule!$L:$L=$A205,(Schedule!$K:$K=$B205)+(Schedule!$K:$K=""""),Schedule!$AE:$AE&lt;&gt;"""")),""""))"),"Algebra I-2")</f>
        <v>Algebra I-2</v>
      </c>
      <c r="I205" s="53"/>
      <c r="J205" s="392"/>
      <c r="K205" s="389" t="str">
        <f>M202</f>
        <v/>
      </c>
      <c r="L205" s="389" t="str">
        <f>S202</f>
        <v/>
      </c>
      <c r="M205" s="100">
        <v>2.0</v>
      </c>
      <c r="N205" s="390" t="str">
        <f>IFERROR(__xludf.DUMMYFUNCTION("if($K205="""","""",iferror(join("" &amp; "",filter(Schedule!$S:$S&amp;""-""&amp;Schedule!$T:$T,Schedule!$L:$L=$K205,(Schedule!$K:$K=$L205)+(Schedule!$K:$K=""""),Schedule!$S:$S&lt;&gt;"""")),""""))"),"")</f>
        <v/>
      </c>
      <c r="O205" s="390" t="str">
        <f>IFERROR(__xludf.DUMMYFUNCTION("if($K205="""","""",iferror(join("" &amp; "",filter(Schedule!$AH:$AH&amp;""-""&amp;Schedule!$AI:$AI,Schedule!$L:$L=$K205,(Schedule!$K:$K=$L205)+(Schedule!$K:$K=""""),Schedule!$AH:$AH&lt;&gt;"""")),""""))"),"")</f>
        <v/>
      </c>
      <c r="P205" s="390" t="str">
        <f>IFERROR(__xludf.DUMMYFUNCTION("if($K205="""","""",iferror(join("" &amp; "",filter(Schedule!$Y:$Y&amp;""-""&amp;Schedule!$Z:$Z,Schedule!$L:$L=$K205,(Schedule!$K:$K=$L205)+(Schedule!$K:$K=""""),Schedule!$Y:$Y&lt;&gt;"""")),""""))"),"")</f>
        <v/>
      </c>
      <c r="Q205" s="390" t="str">
        <f>IFERROR(__xludf.DUMMYFUNCTION("if($K205="""","""",iferror(join("" &amp; "",filter(Schedule!$P:$P&amp;""-""&amp;Schedule!$Q:$Q,Schedule!$L:$L=$K205,(Schedule!$K:$K=$L205)+(Schedule!$K:$K=""""),Schedule!$P:$P&lt;&gt;"""")),""""))"),"")</f>
        <v/>
      </c>
      <c r="R205" s="390" t="str">
        <f>IFERROR(__xludf.DUMMYFUNCTION("if($K205="""","""",iferror(join("" &amp; "",filter(Schedule!$AE:$AE&amp;""-""&amp;Schedule!$AF:$AF,Schedule!$L:$L=$K205,(Schedule!$K:$K=$L205)+(Schedule!$K:$K=""""),Schedule!$AE:$AE&lt;&gt;"""")),""""))"),"")</f>
        <v/>
      </c>
      <c r="S205" s="53"/>
      <c r="T205" s="393"/>
    </row>
    <row r="206">
      <c r="A206" s="389" t="str">
        <f>C202</f>
        <v>Josue Acosta</v>
      </c>
      <c r="B206" s="389" t="str">
        <f>I202</f>
        <v/>
      </c>
      <c r="C206" s="100">
        <v>3.0</v>
      </c>
      <c r="D206" s="390" t="str">
        <f>IFERROR(__xludf.DUMMYFUNCTION("if($A206="""","""",iferror(join("" &amp; "",filter(Schedule!$V:$V&amp;""-""&amp;Schedule!$W:$W,Schedule!$L:$L=$A206,(Schedule!$K:$K=$B206)+(Schedule!$K:$K=""""),Schedule!$V:$V&lt;&gt;"""")),""""))"),"")</f>
        <v/>
      </c>
      <c r="E206" s="390" t="str">
        <f>IFERROR(__xludf.DUMMYFUNCTION("if($A206="""","""",iferror(join("" &amp; "",filter(Schedule!$AK:$AK&amp;""-""&amp;Schedule!$AL:$AL,Schedule!$L:$L=$A206,(Schedule!$K:$K=$B206)+(Schedule!$K:$K=""""),Schedule!$AK:$AK&lt;&gt;"""")),""""))"),"")</f>
        <v/>
      </c>
      <c r="F206" s="390" t="str">
        <f>IFERROR(__xludf.DUMMYFUNCTION("if($A206="""","""",iferror(join("" &amp; "",filter(Schedule!$AB:$AB&amp;""-""&amp;Schedule!$AC:$AC,Schedule!$L:$L=$A206,(Schedule!$K:$K=$B206)+(Schedule!$K:$K=""""),Schedule!$AB:$AB&lt;&gt;"""")),""""))"),"Calculus-4")</f>
        <v>Calculus-4</v>
      </c>
      <c r="G206" s="390" t="str">
        <f>IFERROR(__xludf.DUMMYFUNCTION("if($A206="""","""",iferror(join("" &amp; "",filter(Schedule!$S:$S&amp;""-""&amp;Schedule!$T:$T,Schedule!$L:$L=$A206,(Schedule!$K:$K=$B206)+(Schedule!$K:$K=""""),Schedule!$S:$S&lt;&gt;"""")),""""))"),"Calculus-3")</f>
        <v>Calculus-3</v>
      </c>
      <c r="H206" s="395" t="str">
        <f>if($C202="","","X-Block")</f>
        <v>X-Block</v>
      </c>
      <c r="I206" s="53"/>
      <c r="J206" s="392"/>
      <c r="K206" s="389" t="str">
        <f>M202</f>
        <v/>
      </c>
      <c r="L206" s="389" t="str">
        <f>S202</f>
        <v/>
      </c>
      <c r="M206" s="100">
        <v>3.0</v>
      </c>
      <c r="N206" s="390" t="str">
        <f>IFERROR(__xludf.DUMMYFUNCTION("if($K206="""","""",iferror(join("" &amp; "",filter(Schedule!$V:$V&amp;""-""&amp;Schedule!$W:$W,Schedule!$L:$L=$K206,(Schedule!$K:$K=$L206)+(Schedule!$K:$K=""""),Schedule!$V:$V&lt;&gt;"""")),""""))"),"")</f>
        <v/>
      </c>
      <c r="O206" s="390" t="str">
        <f>IFERROR(__xludf.DUMMYFUNCTION("if($K206="""","""",iferror(join("" &amp; "",filter(Schedule!$AK:$AK&amp;""-""&amp;Schedule!$AL:$AL,Schedule!$L:$L=$K206,(Schedule!$K:$K=$L206)+(Schedule!$K:$K=""""),Schedule!$AK:$AK&lt;&gt;"""")),""""))"),"")</f>
        <v/>
      </c>
      <c r="P206" s="390" t="str">
        <f>IFERROR(__xludf.DUMMYFUNCTION("if($K206="""","""",iferror(join("" &amp; "",filter(Schedule!$AB:$AB&amp;""-""&amp;Schedule!$AC:$AC,Schedule!$L:$L=$K206,(Schedule!$K:$K=$L206)+(Schedule!$K:$K=""""),Schedule!$AB:$AB&lt;&gt;"""")),""""))"),"")</f>
        <v/>
      </c>
      <c r="Q206" s="390" t="str">
        <f>IFERROR(__xludf.DUMMYFUNCTION("if($K206="""","""",iferror(join("" &amp; "",filter(Schedule!$S:$S&amp;""-""&amp;Schedule!$T:$T,Schedule!$L:$L=$K206,(Schedule!$K:$K=$L206)+(Schedule!$K:$K=""""),Schedule!$S:$S&lt;&gt;"""")),""""))"),"")</f>
        <v/>
      </c>
      <c r="R206" s="395" t="str">
        <f>if($M202="","","X-Block")</f>
        <v/>
      </c>
      <c r="S206" s="53"/>
      <c r="T206" s="393"/>
    </row>
    <row r="207">
      <c r="A207" s="389" t="str">
        <f>C202</f>
        <v>Josue Acosta</v>
      </c>
      <c r="B207" s="389" t="str">
        <f>I202</f>
        <v/>
      </c>
      <c r="C207" s="100">
        <v>4.0</v>
      </c>
      <c r="D207" s="390" t="str">
        <f>IFERROR(__xludf.DUMMYFUNCTION("if($A207="""","""",iferror(join("" &amp; "",filter(Schedule!$Y:$Y&amp;""-""&amp;Schedule!$Z:$Z,Schedule!$L:$L=$A207,(Schedule!$K:$K=$B207)+(Schedule!$K:$K=""""),Schedule!$Y:$Y&lt;&gt;"""")),""""))"),"Algebra I-1")</f>
        <v>Algebra I-1</v>
      </c>
      <c r="E207" s="390" t="str">
        <f>IFERROR(__xludf.DUMMYFUNCTION("if($A207="""","""",iferror(join("" &amp; "",filter(Schedule!$P:$P&amp;""-""&amp;Schedule!$Q:$Q,Schedule!$L:$L=$A207,(Schedule!$K:$K=$B207)+(Schedule!$K:$K=""""),Schedule!$P:$P&lt;&gt;"""")),""""))"),"")</f>
        <v/>
      </c>
      <c r="F207" s="390" t="str">
        <f>IFERROR(__xludf.DUMMYFUNCTION("if($A207="""","""",iferror(join("" &amp; "",filter(Schedule!$AE:$AE&amp;""-""&amp;Schedule!$AF:$AF,Schedule!$L:$L=$A207,(Schedule!$K:$K=$B207)+(Schedule!$K:$K=""""),Schedule!$AE:$AE&lt;&gt;"""")),""""))"),"Algebra I-2")</f>
        <v>Algebra I-2</v>
      </c>
      <c r="G207" s="390" t="str">
        <f>IFERROR(__xludf.DUMMYFUNCTION("if($A207="""","""",iferror(join("" &amp; "",filter(Schedule!$V:$V&amp;""-""&amp;Schedule!$W:$W,Schedule!$L:$L=$A207,(Schedule!$K:$K=$B207)+(Schedule!$K:$K=""""),Schedule!$V:$V&lt;&gt;"""")),""""))"),"")</f>
        <v/>
      </c>
      <c r="H207" s="390" t="str">
        <f>IFERROR(__xludf.DUMMYFUNCTION("if($A207="""","""",iferror(join("" &amp; "",filter(Schedule!$AH:$AH&amp;""-""&amp;Schedule!$AI:$AI,Schedule!$L:$L=$A207,(Schedule!$K:$K=$B207)+(Schedule!$K:$K=""""),Schedule!$AH:$AH&lt;&gt;"""")),""""))"),"AP Statistics-1")</f>
        <v>AP Statistics-1</v>
      </c>
      <c r="I207" s="53"/>
      <c r="J207" s="392"/>
      <c r="K207" s="389" t="str">
        <f>M202</f>
        <v/>
      </c>
      <c r="L207" s="389" t="str">
        <f>S202</f>
        <v/>
      </c>
      <c r="M207" s="100">
        <v>4.0</v>
      </c>
      <c r="N207" s="390" t="str">
        <f>IFERROR(__xludf.DUMMYFUNCTION("if($K207="""","""",iferror(join("" &amp; "",filter(Schedule!$Y:$Y&amp;""-""&amp;Schedule!$Z:$Z,Schedule!$L:$L=$K207,(Schedule!$K:$K=$L207)+(Schedule!$K:$K=""""),Schedule!$Y:$Y&lt;&gt;"""")),""""))"),"")</f>
        <v/>
      </c>
      <c r="O207" s="390" t="str">
        <f>IFERROR(__xludf.DUMMYFUNCTION("if($K207="""","""",iferror(join("" &amp; "",filter(Schedule!$P:$P&amp;""-""&amp;Schedule!$Q:$Q,Schedule!$L:$L=$K207,(Schedule!$K:$K=$L207)+(Schedule!$K:$K=""""),Schedule!$P:$P&lt;&gt;"""")),""""))"),"")</f>
        <v/>
      </c>
      <c r="P207" s="390" t="str">
        <f>IFERROR(__xludf.DUMMYFUNCTION("if($K207="""","""",iferror(join("" &amp; "",filter(Schedule!$AE:$AE&amp;""-""&amp;Schedule!$AF:$AF,Schedule!$L:$L=$K207,(Schedule!$K:$K=$L207)+(Schedule!$K:$K=""""),Schedule!$AE:$AE&lt;&gt;"""")),""""))"),"")</f>
        <v/>
      </c>
      <c r="Q207" s="390" t="str">
        <f>IFERROR(__xludf.DUMMYFUNCTION("if($K207="""","""",iferror(join("" &amp; "",filter(Schedule!$V:$V&amp;""-""&amp;Schedule!$W:$W,Schedule!$L:$L=$K207,(Schedule!$K:$K=$L207)+(Schedule!$K:$K=""""),Schedule!$V:$V&lt;&gt;"""")),""""))"),"")</f>
        <v/>
      </c>
      <c r="R207" s="390" t="str">
        <f>IFERROR(__xludf.DUMMYFUNCTION("if($K207="""","""",iferror(join("" &amp; "",filter(Schedule!$AH:$AH&amp;""-""&amp;Schedule!$AI:$AI,Schedule!$L:$L=$K207,(Schedule!$K:$K=$L207)+(Schedule!$K:$K=""""),Schedule!$AH:$AH&lt;&gt;"""")),""""))"),"")</f>
        <v/>
      </c>
      <c r="S207" s="53"/>
      <c r="T207" s="393"/>
    </row>
    <row r="208">
      <c r="A208" s="389" t="str">
        <f>C202</f>
        <v>Josue Acosta</v>
      </c>
      <c r="B208" s="389" t="str">
        <f>I202</f>
        <v/>
      </c>
      <c r="C208" s="100">
        <v>5.0</v>
      </c>
      <c r="D208" s="390" t="str">
        <f>IFERROR(__xludf.DUMMYFUNCTION("if($A208="""","""",iferror(join("" &amp; "",filter(Schedule!$AB:$AB&amp;""-""&amp;Schedule!$AC:$AC,Schedule!$L:$L=$A208,(Schedule!$K:$K=$B208)+(Schedule!$K:$K=""""),Schedule!$AB:$AB&lt;&gt;"""")),""""))"),"Calculus-4")</f>
        <v>Calculus-4</v>
      </c>
      <c r="E208" s="390" t="str">
        <f>IFERROR(__xludf.DUMMYFUNCTION("if($A208="""","""",iferror(join("" &amp; "",filter(Schedule!$S:$S&amp;""-""&amp;Schedule!$T:$T,Schedule!$L:$L=$A208,(Schedule!$K:$K=$B208)+(Schedule!$K:$K=""""),Schedule!$S:$S&lt;&gt;"""")),""""))"),"Calculus-3")</f>
        <v>Calculus-3</v>
      </c>
      <c r="F208" s="390" t="str">
        <f>IFERROR(__xludf.DUMMYFUNCTION("if($A208="""","""",iferror(join("" &amp; "",filter(Schedule!$AH:$AH&amp;""-""&amp;Schedule!$AI:$AI,Schedule!$L:$L=$A208,(Schedule!$K:$K=$B208)+(Schedule!$K:$K=""""),Schedule!$AH:$AH&lt;&gt;"""")),""""))"),"AP Statistics-1")</f>
        <v>AP Statistics-1</v>
      </c>
      <c r="G208" s="390" t="str">
        <f>IFERROR(__xludf.DUMMYFUNCTION("if($A208="""","""",iferror(join("" &amp; "",filter(Schedule!$Y:$Y&amp;""-""&amp;Schedule!$Z:$Z,Schedule!$L:$L=$A208,(Schedule!$K:$K=$B208)+(Schedule!$K:$K=""""),Schedule!$Y:$Y&lt;&gt;"""")),""""))"),"Algebra I-1")</f>
        <v>Algebra I-1</v>
      </c>
      <c r="H208" s="390" t="str">
        <f>IFERROR(__xludf.DUMMYFUNCTION("if($A208="""","""",iferror(join("" &amp; "",filter(Schedule!$AK:$AK&amp;""-""&amp;Schedule!$AL:$AL,Schedule!$L:$L=$A208,(Schedule!$K:$K=$B208)+(Schedule!$K:$K=""""),Schedule!$AK:$AK&lt;&gt;"""")),""""))"),"")</f>
        <v/>
      </c>
      <c r="I208" s="68"/>
      <c r="J208" s="392"/>
      <c r="K208" s="389" t="str">
        <f>M202</f>
        <v/>
      </c>
      <c r="L208" s="389" t="str">
        <f>S202</f>
        <v/>
      </c>
      <c r="M208" s="100">
        <v>5.0</v>
      </c>
      <c r="N208" s="390" t="str">
        <f>IFERROR(__xludf.DUMMYFUNCTION("if($K208="""","""",iferror(join("" &amp; "",filter(Schedule!$AB:$AB&amp;""-""&amp;Schedule!$AC:$AC,Schedule!$L:$L=$K208,(Schedule!$K:$K=$L208)+(Schedule!$K:$K=""""),Schedule!$AB:$AB&lt;&gt;"""")),""""))"),"")</f>
        <v/>
      </c>
      <c r="O208" s="390" t="str">
        <f>IFERROR(__xludf.DUMMYFUNCTION("if($K208="""","""",iferror(join("" &amp; "",filter(Schedule!$S:$S&amp;""-""&amp;Schedule!$T:$T,Schedule!$L:$L=$K208,(Schedule!$K:$K=$L208)+(Schedule!$K:$K=""""),Schedule!$S:$S&lt;&gt;"""")),""""))"),"")</f>
        <v/>
      </c>
      <c r="P208" s="390" t="str">
        <f>IFERROR(__xludf.DUMMYFUNCTION("if($K208="""","""",iferror(join("" &amp; "",filter(Schedule!$AH:$AH&amp;""-""&amp;Schedule!$AI:$AI,Schedule!$L:$L=$K208,(Schedule!$K:$K=$L208)+(Schedule!$K:$K=""""),Schedule!$AH:$AH&lt;&gt;"""")),""""))"),"")</f>
        <v/>
      </c>
      <c r="Q208" s="390" t="str">
        <f>IFERROR(__xludf.DUMMYFUNCTION("if($K208="""","""",iferror(join("" &amp; "",filter(Schedule!$Y:$Y&amp;""-""&amp;Schedule!$Z:$Z,Schedule!$L:$L=$K208,(Schedule!$K:$K=$L208)+(Schedule!$K:$K=""""),Schedule!$Y:$Y&lt;&gt;"""")),""""))"),"")</f>
        <v/>
      </c>
      <c r="R208" s="390" t="str">
        <f>IFERROR(__xludf.DUMMYFUNCTION("if($K208="""","""",iferror(join("" &amp; "",filter(Schedule!$AK:$AK&amp;""-""&amp;Schedule!$AL:$AL,Schedule!$L:$L=$K208,(Schedule!$K:$K=$L208)+(Schedule!$K:$K=""""),Schedule!$AK:$AK&lt;&gt;"""")),""""))"),"")</f>
        <v/>
      </c>
      <c r="S208" s="68"/>
      <c r="T208" s="393"/>
    </row>
    <row r="209">
      <c r="C209" s="3"/>
      <c r="D209" s="396"/>
      <c r="E209" s="396"/>
      <c r="F209" s="396"/>
      <c r="G209" s="396"/>
      <c r="H209" s="396"/>
      <c r="N209" s="397"/>
      <c r="O209" s="397"/>
      <c r="P209" s="397"/>
      <c r="Q209" s="397"/>
      <c r="R209" s="397"/>
    </row>
    <row r="210">
      <c r="A210" s="45"/>
      <c r="B210" s="45"/>
      <c r="C210" s="386" t="str">
        <f>Teachers!A27</f>
        <v>Juan Carlos Ledezma</v>
      </c>
      <c r="D210" s="383"/>
      <c r="E210" s="383"/>
      <c r="F210" s="383"/>
      <c r="G210" s="383"/>
      <c r="H210" s="384"/>
      <c r="I210" s="385" t="str">
        <f>IFERROR(__xludf.DUMMYFUNCTION("if(C210="""","""", iferror(filter(Schedule!$K:$K,Schedule!$L:$L=$C210,Schedule!$K:$K=""S1""),unique(filter(Schedule!$K:$K,Schedule!$L:$L=$C210,Schedule!$K:$K=""""))))"),"")</f>
        <v/>
      </c>
      <c r="M210" s="386" t="str">
        <f>if(S210="","",C210)</f>
        <v/>
      </c>
      <c r="N210" s="383"/>
      <c r="O210" s="383"/>
      <c r="P210" s="383"/>
      <c r="Q210" s="383"/>
      <c r="R210" s="384"/>
      <c r="S210" s="385" t="str">
        <f>if(I210="S1","S2","")</f>
        <v/>
      </c>
      <c r="T210" s="112"/>
    </row>
    <row r="211">
      <c r="A211" s="116"/>
      <c r="B211" s="116"/>
      <c r="C211" s="100" t="s">
        <v>7</v>
      </c>
      <c r="D211" s="387" t="s">
        <v>8</v>
      </c>
      <c r="E211" s="387" t="s">
        <v>9</v>
      </c>
      <c r="F211" s="387" t="s">
        <v>10</v>
      </c>
      <c r="G211" s="387" t="s">
        <v>11</v>
      </c>
      <c r="H211" s="387" t="s">
        <v>12</v>
      </c>
      <c r="I211" s="21" t="s">
        <v>766</v>
      </c>
      <c r="J211" s="116"/>
      <c r="K211" s="116"/>
      <c r="L211" s="116"/>
      <c r="M211" s="100" t="s">
        <v>7</v>
      </c>
      <c r="N211" s="387" t="s">
        <v>8</v>
      </c>
      <c r="O211" s="387" t="s">
        <v>9</v>
      </c>
      <c r="P211" s="387" t="s">
        <v>10</v>
      </c>
      <c r="Q211" s="387" t="s">
        <v>11</v>
      </c>
      <c r="R211" s="387" t="s">
        <v>12</v>
      </c>
      <c r="S211" s="21" t="s">
        <v>766</v>
      </c>
      <c r="T211" s="388"/>
    </row>
    <row r="212">
      <c r="A212" s="389" t="str">
        <f>C210</f>
        <v>Juan Carlos Ledezma</v>
      </c>
      <c r="B212" s="389" t="str">
        <f>I210</f>
        <v/>
      </c>
      <c r="C212" s="100">
        <v>1.0</v>
      </c>
      <c r="D212" s="390" t="str">
        <f>IFERROR(__xludf.DUMMYFUNCTION("if($A212="""","""",iferror(join("" &amp; "",filter(Schedule!$P:$P&amp;""-""&amp;Schedule!$Q:$Q,Schedule!$L:$L=$A212,(Schedule!$K:$K=$B212)+(Schedule!$K:$K=""""),Schedule!$P:$P&lt;&gt;"""")),""""))"),"Life Purpose-1")</f>
        <v>Life Purpose-1</v>
      </c>
      <c r="E212" s="390" t="str">
        <f>IFERROR(__xludf.DUMMYFUNCTION("if($A212="""","""",iferror(join("" &amp; "",filter(Schedule!$AE:$AE&amp;""-""&amp;Schedule!$AF:$AF,Schedule!$L:$L=$A212,(Schedule!$K:$K=$B212)+(Schedule!$K:$K=""""),Schedule!$AE:$AE&lt;&gt;"""")),""""))"),"Life Purpose-2")</f>
        <v>Life Purpose-2</v>
      </c>
      <c r="F212" s="390" t="str">
        <f>IFERROR(__xludf.DUMMYFUNCTION("if($A212="""","""",iferror(join("" &amp; "",filter(Schedule!$V:$V&amp;""-""&amp;Schedule!$W:$W,Schedule!$L:$L=$A212,(Schedule!$K:$K=$B212)+(Schedule!$K:$K=""""),Schedule!$V:$V&lt;&gt;"""")),""""))"),"")</f>
        <v/>
      </c>
      <c r="G212" s="390" t="str">
        <f>IFERROR(__xludf.DUMMYFUNCTION("if($A212="""","""",iferror(join("" &amp; "",filter(Schedule!$AK:$AK&amp;""-""&amp;Schedule!$AL:$AL,Schedule!$L:$L=$A212,(Schedule!$K:$K=$B212)+(Schedule!$K:$K=""""),Schedule!$AK:$AK&lt;&gt;"""")),""""))"),"")</f>
        <v/>
      </c>
      <c r="H212" s="390" t="str">
        <f>IFERROR(__xludf.DUMMYFUNCTION("if($A212="""","""",iferror(join("" &amp; "",filter(Schedule!$AB:$AB&amp;""-""&amp;Schedule!$AC:$AC,Schedule!$L:$L=$A212,(Schedule!$K:$K=$B212)+(Schedule!$K:$K=""""),Schedule!$AB:$AB&lt;&gt;"""")),""""))"),"")</f>
        <v/>
      </c>
      <c r="I212" s="391">
        <f>if(C210="","", 24-countifs(D212:H216,""))</f>
        <v>15</v>
      </c>
      <c r="J212" s="392"/>
      <c r="K212" s="389" t="str">
        <f>M210</f>
        <v/>
      </c>
      <c r="L212" s="389" t="str">
        <f>S210</f>
        <v/>
      </c>
      <c r="M212" s="100">
        <v>1.0</v>
      </c>
      <c r="N212" s="390" t="str">
        <f>IFERROR(__xludf.DUMMYFUNCTION("if($K212="""","""",iferror(join("" &amp; "",filter(Schedule!$P:$P&amp;""-""&amp;Schedule!$Q:$Q,Schedule!$L:$L=$K212,(Schedule!$K:$K=$L212)+(Schedule!$K:$K=""""),Schedule!$P:$P&lt;&gt;"""")),""""))"),"")</f>
        <v/>
      </c>
      <c r="O212" s="390" t="str">
        <f>IFERROR(__xludf.DUMMYFUNCTION("if($K212="""","""",iferror(join("" &amp; "",filter(Schedule!$AE:$AE&amp;""-""&amp;Schedule!$AF:$AF,Schedule!$L:$L=$K212,(Schedule!$K:$K=$L212)+(Schedule!$K:$K=""""),Schedule!$AE:$AE&lt;&gt;"""")),""""))"),"")</f>
        <v/>
      </c>
      <c r="P212" s="390" t="str">
        <f>IFERROR(__xludf.DUMMYFUNCTION("if($K212="""","""",iferror(join("" &amp; "",filter(Schedule!$V:$V&amp;""-""&amp;Schedule!$W:$W,Schedule!$L:$L=$K212,(Schedule!$K:$K=$L212)+(Schedule!$K:$K=""""),Schedule!$V:$V&lt;&gt;"""")),""""))"),"")</f>
        <v/>
      </c>
      <c r="Q212" s="390" t="str">
        <f>IFERROR(__xludf.DUMMYFUNCTION("if($K212="""","""",iferror(join("" &amp; "",filter(Schedule!$AK:$AK&amp;""-""&amp;Schedule!$AL:$AL,Schedule!$L:$L=$K212,(Schedule!$K:$K=$L212)+(Schedule!$K:$K=""""),Schedule!$AK:$AK&lt;&gt;"""")),""""))"),"")</f>
        <v/>
      </c>
      <c r="R212" s="390" t="str">
        <f>IFERROR(__xludf.DUMMYFUNCTION("if($K212="""","""",iferror(join("" &amp; "",filter(Schedule!$AB:$AB&amp;""-""&amp;Schedule!$AC:$AC,Schedule!$L:$L=$K212,(Schedule!$K:$K=$L212)+(Schedule!$K:$K=""""),Schedule!$AB:$AB&lt;&gt;"""")),""""))"),"")</f>
        <v/>
      </c>
      <c r="S212" s="391" t="str">
        <f>if(K212="","", 24-countifs(N212:R216,""))</f>
        <v/>
      </c>
      <c r="T212" s="393"/>
    </row>
    <row r="213">
      <c r="A213" s="389" t="str">
        <f>C210</f>
        <v>Juan Carlos Ledezma</v>
      </c>
      <c r="B213" s="389" t="str">
        <f>I210</f>
        <v/>
      </c>
      <c r="C213" s="100">
        <v>2.0</v>
      </c>
      <c r="D213" s="390" t="str">
        <f>IFERROR(__xludf.DUMMYFUNCTION("if($A213="""","""",iferror(join("" &amp; "",filter(Schedule!$S:$S&amp;""-""&amp;Schedule!$T:$T,Schedule!$L:$L=$A213,(Schedule!$K:$K=$B213)+(Schedule!$K:$K=""""),Schedule!$S:$S&lt;&gt;"""")),""""))"),"Pensar nuestro tiempo-1")</f>
        <v>Pensar nuestro tiempo-1</v>
      </c>
      <c r="E213" s="390" t="str">
        <f>IFERROR(__xludf.DUMMYFUNCTION("if($A213="""","""",iferror(join("" &amp; "",filter(Schedule!$AH:$AH&amp;""-""&amp;Schedule!$AI:$AI,Schedule!$L:$L=$A213,(Schedule!$K:$K=$B213)+(Schedule!$K:$K=""""),Schedule!$AH:$AH&lt;&gt;"""")),""""))"),"Life Purpose-3")</f>
        <v>Life Purpose-3</v>
      </c>
      <c r="F213" s="390" t="str">
        <f>IFERROR(__xludf.DUMMYFUNCTION("if($A213="""","""",iferror(join("" &amp; "",filter(Schedule!$Y:$Y&amp;""-""&amp;Schedule!$Z:$Z,Schedule!$L:$L=$A213,(Schedule!$K:$K=$B213)+(Schedule!$K:$K=""""),Schedule!$Y:$Y&lt;&gt;"""")),""""))"),"Introduction to Law-1")</f>
        <v>Introduction to Law-1</v>
      </c>
      <c r="G213" s="390" t="str">
        <f>IFERROR(__xludf.DUMMYFUNCTION("if($A213="""","""",iferror(join("" &amp; "",filter(Schedule!$P:$P&amp;""-""&amp;Schedule!$Q:$Q,Schedule!$L:$L=$A213,(Schedule!$K:$K=$B213)+(Schedule!$K:$K=""""),Schedule!$P:$P&lt;&gt;"""")),""""))"),"Life Purpose-1")</f>
        <v>Life Purpose-1</v>
      </c>
      <c r="H213" s="390" t="str">
        <f>IFERROR(__xludf.DUMMYFUNCTION("if($A213="""","""",iferror(join("" &amp; "",filter(Schedule!$AE:$AE&amp;""-""&amp;Schedule!$AF:$AF,Schedule!$L:$L=$A213,(Schedule!$K:$K=$B213)+(Schedule!$K:$K=""""),Schedule!$AE:$AE&lt;&gt;"""")),""""))"),"Life Purpose-2")</f>
        <v>Life Purpose-2</v>
      </c>
      <c r="I213" s="53"/>
      <c r="J213" s="392"/>
      <c r="K213" s="389" t="str">
        <f>M210</f>
        <v/>
      </c>
      <c r="L213" s="389" t="str">
        <f>S210</f>
        <v/>
      </c>
      <c r="M213" s="100">
        <v>2.0</v>
      </c>
      <c r="N213" s="390" t="str">
        <f>IFERROR(__xludf.DUMMYFUNCTION("if($K213="""","""",iferror(join("" &amp; "",filter(Schedule!$S:$S&amp;""-""&amp;Schedule!$T:$T,Schedule!$L:$L=$K213,(Schedule!$K:$K=$L213)+(Schedule!$K:$K=""""),Schedule!$S:$S&lt;&gt;"""")),""""))"),"")</f>
        <v/>
      </c>
      <c r="O213" s="390" t="str">
        <f>IFERROR(__xludf.DUMMYFUNCTION("if($K213="""","""",iferror(join("" &amp; "",filter(Schedule!$AH:$AH&amp;""-""&amp;Schedule!$AI:$AI,Schedule!$L:$L=$K213,(Schedule!$K:$K=$L213)+(Schedule!$K:$K=""""),Schedule!$AH:$AH&lt;&gt;"""")),""""))"),"")</f>
        <v/>
      </c>
      <c r="P213" s="390" t="str">
        <f>IFERROR(__xludf.DUMMYFUNCTION("if($K213="""","""",iferror(join("" &amp; "",filter(Schedule!$Y:$Y&amp;""-""&amp;Schedule!$Z:$Z,Schedule!$L:$L=$K213,(Schedule!$K:$K=$L213)+(Schedule!$K:$K=""""),Schedule!$Y:$Y&lt;&gt;"""")),""""))"),"")</f>
        <v/>
      </c>
      <c r="Q213" s="390" t="str">
        <f>IFERROR(__xludf.DUMMYFUNCTION("if($K213="""","""",iferror(join("" &amp; "",filter(Schedule!$P:$P&amp;""-""&amp;Schedule!$Q:$Q,Schedule!$L:$L=$K213,(Schedule!$K:$K=$L213)+(Schedule!$K:$K=""""),Schedule!$P:$P&lt;&gt;"""")),""""))"),"")</f>
        <v/>
      </c>
      <c r="R213" s="390" t="str">
        <f>IFERROR(__xludf.DUMMYFUNCTION("if($K213="""","""",iferror(join("" &amp; "",filter(Schedule!$AE:$AE&amp;""-""&amp;Schedule!$AF:$AF,Schedule!$L:$L=$K213,(Schedule!$K:$K=$L213)+(Schedule!$K:$K=""""),Schedule!$AE:$AE&lt;&gt;"""")),""""))"),"")</f>
        <v/>
      </c>
      <c r="S213" s="53"/>
      <c r="T213" s="393"/>
    </row>
    <row r="214">
      <c r="A214" s="389" t="str">
        <f>C210</f>
        <v>Juan Carlos Ledezma</v>
      </c>
      <c r="B214" s="389" t="str">
        <f>I210</f>
        <v/>
      </c>
      <c r="C214" s="100">
        <v>3.0</v>
      </c>
      <c r="D214" s="390" t="str">
        <f>IFERROR(__xludf.DUMMYFUNCTION("if($A214="""","""",iferror(join("" &amp; "",filter(Schedule!$V:$V&amp;""-""&amp;Schedule!$W:$W,Schedule!$L:$L=$A214,(Schedule!$K:$K=$B214)+(Schedule!$K:$K=""""),Schedule!$V:$V&lt;&gt;"""")),""""))"),"")</f>
        <v/>
      </c>
      <c r="E214" s="390" t="str">
        <f>IFERROR(__xludf.DUMMYFUNCTION("if($A214="""","""",iferror(join("" &amp; "",filter(Schedule!$AK:$AK&amp;""-""&amp;Schedule!$AL:$AL,Schedule!$L:$L=$A214,(Schedule!$K:$K=$B214)+(Schedule!$K:$K=""""),Schedule!$AK:$AK&lt;&gt;"""")),""""))"),"")</f>
        <v/>
      </c>
      <c r="F214" s="390" t="str">
        <f>IFERROR(__xludf.DUMMYFUNCTION("if($A214="""","""",iferror(join("" &amp; "",filter(Schedule!$AB:$AB&amp;""-""&amp;Schedule!$AC:$AC,Schedule!$L:$L=$A214,(Schedule!$K:$K=$B214)+(Schedule!$K:$K=""""),Schedule!$AB:$AB&lt;&gt;"""")),""""))"),"")</f>
        <v/>
      </c>
      <c r="G214" s="390" t="str">
        <f>IFERROR(__xludf.DUMMYFUNCTION("if($A214="""","""",iferror(join("" &amp; "",filter(Schedule!$S:$S&amp;""-""&amp;Schedule!$T:$T,Schedule!$L:$L=$A214,(Schedule!$K:$K=$B214)+(Schedule!$K:$K=""""),Schedule!$S:$S&lt;&gt;"""")),""""))"),"Pensar nuestro tiempo-1")</f>
        <v>Pensar nuestro tiempo-1</v>
      </c>
      <c r="H214" s="395" t="str">
        <f>if($C210="","","X-Block")</f>
        <v>X-Block</v>
      </c>
      <c r="I214" s="53"/>
      <c r="J214" s="392"/>
      <c r="K214" s="389" t="str">
        <f>M210</f>
        <v/>
      </c>
      <c r="L214" s="389" t="str">
        <f>S210</f>
        <v/>
      </c>
      <c r="M214" s="100">
        <v>3.0</v>
      </c>
      <c r="N214" s="390" t="str">
        <f>IFERROR(__xludf.DUMMYFUNCTION("if($K214="""","""",iferror(join("" &amp; "",filter(Schedule!$V:$V&amp;""-""&amp;Schedule!$W:$W,Schedule!$L:$L=$K214,(Schedule!$K:$K=$L214)+(Schedule!$K:$K=""""),Schedule!$V:$V&lt;&gt;"""")),""""))"),"")</f>
        <v/>
      </c>
      <c r="O214" s="390" t="str">
        <f>IFERROR(__xludf.DUMMYFUNCTION("if($K214="""","""",iferror(join("" &amp; "",filter(Schedule!$AK:$AK&amp;""-""&amp;Schedule!$AL:$AL,Schedule!$L:$L=$K214,(Schedule!$K:$K=$L214)+(Schedule!$K:$K=""""),Schedule!$AK:$AK&lt;&gt;"""")),""""))"),"")</f>
        <v/>
      </c>
      <c r="P214" s="390" t="str">
        <f>IFERROR(__xludf.DUMMYFUNCTION("if($K214="""","""",iferror(join("" &amp; "",filter(Schedule!$AB:$AB&amp;""-""&amp;Schedule!$AC:$AC,Schedule!$L:$L=$K214,(Schedule!$K:$K=$L214)+(Schedule!$K:$K=""""),Schedule!$AB:$AB&lt;&gt;"""")),""""))"),"")</f>
        <v/>
      </c>
      <c r="Q214" s="390" t="str">
        <f>IFERROR(__xludf.DUMMYFUNCTION("if($K214="""","""",iferror(join("" &amp; "",filter(Schedule!$S:$S&amp;""-""&amp;Schedule!$T:$T,Schedule!$L:$L=$K214,(Schedule!$K:$K=$L214)+(Schedule!$K:$K=""""),Schedule!$S:$S&lt;&gt;"""")),""""))"),"")</f>
        <v/>
      </c>
      <c r="R214" s="395" t="str">
        <f>if($M210="","","X-Block")</f>
        <v/>
      </c>
      <c r="S214" s="53"/>
      <c r="T214" s="393"/>
    </row>
    <row r="215">
      <c r="A215" s="389" t="str">
        <f>C210</f>
        <v>Juan Carlos Ledezma</v>
      </c>
      <c r="B215" s="389" t="str">
        <f>I210</f>
        <v/>
      </c>
      <c r="C215" s="100">
        <v>4.0</v>
      </c>
      <c r="D215" s="390" t="str">
        <f>IFERROR(__xludf.DUMMYFUNCTION("if($A215="""","""",iferror(join("" &amp; "",filter(Schedule!$Y:$Y&amp;""-""&amp;Schedule!$Z:$Z,Schedule!$L:$L=$A215,(Schedule!$K:$K=$B215)+(Schedule!$K:$K=""""),Schedule!$Y:$Y&lt;&gt;"""")),""""))"),"Introduction to Law-1")</f>
        <v>Introduction to Law-1</v>
      </c>
      <c r="E215" s="390" t="str">
        <f>IFERROR(__xludf.DUMMYFUNCTION("if($A215="""","""",iferror(join("" &amp; "",filter(Schedule!$P:$P&amp;""-""&amp;Schedule!$Q:$Q,Schedule!$L:$L=$A215,(Schedule!$K:$K=$B215)+(Schedule!$K:$K=""""),Schedule!$P:$P&lt;&gt;"""")),""""))"),"Life Purpose-1")</f>
        <v>Life Purpose-1</v>
      </c>
      <c r="F215" s="390" t="str">
        <f>IFERROR(__xludf.DUMMYFUNCTION("if($A215="""","""",iferror(join("" &amp; "",filter(Schedule!$AE:$AE&amp;""-""&amp;Schedule!$AF:$AF,Schedule!$L:$L=$A215,(Schedule!$K:$K=$B215)+(Schedule!$K:$K=""""),Schedule!$AE:$AE&lt;&gt;"""")),""""))"),"Life Purpose-2")</f>
        <v>Life Purpose-2</v>
      </c>
      <c r="G215" s="390" t="str">
        <f>IFERROR(__xludf.DUMMYFUNCTION("if($A215="""","""",iferror(join("" &amp; "",filter(Schedule!$V:$V&amp;""-""&amp;Schedule!$W:$W,Schedule!$L:$L=$A215,(Schedule!$K:$K=$B215)+(Schedule!$K:$K=""""),Schedule!$V:$V&lt;&gt;"""")),""""))"),"")</f>
        <v/>
      </c>
      <c r="H215" s="390" t="str">
        <f>IFERROR(__xludf.DUMMYFUNCTION("if($A215="""","""",iferror(join("" &amp; "",filter(Schedule!$AH:$AH&amp;""-""&amp;Schedule!$AI:$AI,Schedule!$L:$L=$A215,(Schedule!$K:$K=$B215)+(Schedule!$K:$K=""""),Schedule!$AH:$AH&lt;&gt;"""")),""""))"),"Life Purpose-3")</f>
        <v>Life Purpose-3</v>
      </c>
      <c r="I215" s="53"/>
      <c r="J215" s="392"/>
      <c r="K215" s="389" t="str">
        <f>M210</f>
        <v/>
      </c>
      <c r="L215" s="389" t="str">
        <f>S210</f>
        <v/>
      </c>
      <c r="M215" s="100">
        <v>4.0</v>
      </c>
      <c r="N215" s="390" t="str">
        <f>IFERROR(__xludf.DUMMYFUNCTION("if($K215="""","""",iferror(join("" &amp; "",filter(Schedule!$Y:$Y&amp;""-""&amp;Schedule!$Z:$Z,Schedule!$L:$L=$K215,(Schedule!$K:$K=$L215)+(Schedule!$K:$K=""""),Schedule!$Y:$Y&lt;&gt;"""")),""""))"),"")</f>
        <v/>
      </c>
      <c r="O215" s="390" t="str">
        <f>IFERROR(__xludf.DUMMYFUNCTION("if($K215="""","""",iferror(join("" &amp; "",filter(Schedule!$P:$P&amp;""-""&amp;Schedule!$Q:$Q,Schedule!$L:$L=$K215,(Schedule!$K:$K=$L215)+(Schedule!$K:$K=""""),Schedule!$P:$P&lt;&gt;"""")),""""))"),"")</f>
        <v/>
      </c>
      <c r="P215" s="390" t="str">
        <f>IFERROR(__xludf.DUMMYFUNCTION("if($K215="""","""",iferror(join("" &amp; "",filter(Schedule!$AE:$AE&amp;""-""&amp;Schedule!$AF:$AF,Schedule!$L:$L=$K215,(Schedule!$K:$K=$L215)+(Schedule!$K:$K=""""),Schedule!$AE:$AE&lt;&gt;"""")),""""))"),"")</f>
        <v/>
      </c>
      <c r="Q215" s="390" t="str">
        <f>IFERROR(__xludf.DUMMYFUNCTION("if($K215="""","""",iferror(join("" &amp; "",filter(Schedule!$V:$V&amp;""-""&amp;Schedule!$W:$W,Schedule!$L:$L=$K215,(Schedule!$K:$K=$L215)+(Schedule!$K:$K=""""),Schedule!$V:$V&lt;&gt;"""")),""""))"),"")</f>
        <v/>
      </c>
      <c r="R215" s="390" t="str">
        <f>IFERROR(__xludf.DUMMYFUNCTION("if($K215="""","""",iferror(join("" &amp; "",filter(Schedule!$AH:$AH&amp;""-""&amp;Schedule!$AI:$AI,Schedule!$L:$L=$K215,(Schedule!$K:$K=$L215)+(Schedule!$K:$K=""""),Schedule!$AH:$AH&lt;&gt;"""")),""""))"),"")</f>
        <v/>
      </c>
      <c r="S215" s="53"/>
      <c r="T215" s="393"/>
    </row>
    <row r="216">
      <c r="A216" s="389" t="str">
        <f>C210</f>
        <v>Juan Carlos Ledezma</v>
      </c>
      <c r="B216" s="389" t="str">
        <f>I210</f>
        <v/>
      </c>
      <c r="C216" s="100">
        <v>5.0</v>
      </c>
      <c r="D216" s="390" t="str">
        <f>IFERROR(__xludf.DUMMYFUNCTION("if($A216="""","""",iferror(join("" &amp; "",filter(Schedule!$AB:$AB&amp;""-""&amp;Schedule!$AC:$AC,Schedule!$L:$L=$A216,(Schedule!$K:$K=$B216)+(Schedule!$K:$K=""""),Schedule!$AB:$AB&lt;&gt;"""")),""""))"),"")</f>
        <v/>
      </c>
      <c r="E216" s="390" t="str">
        <f>IFERROR(__xludf.DUMMYFUNCTION("if($A216="""","""",iferror(join("" &amp; "",filter(Schedule!$S:$S&amp;""-""&amp;Schedule!$T:$T,Schedule!$L:$L=$A216,(Schedule!$K:$K=$B216)+(Schedule!$K:$K=""""),Schedule!$S:$S&lt;&gt;"""")),""""))"),"Pensar nuestro tiempo-1")</f>
        <v>Pensar nuestro tiempo-1</v>
      </c>
      <c r="F216" s="390" t="str">
        <f>IFERROR(__xludf.DUMMYFUNCTION("if($A216="""","""",iferror(join("" &amp; "",filter(Schedule!$AH:$AH&amp;""-""&amp;Schedule!$AI:$AI,Schedule!$L:$L=$A216,(Schedule!$K:$K=$B216)+(Schedule!$K:$K=""""),Schedule!$AH:$AH&lt;&gt;"""")),""""))"),"Life Purpose-3")</f>
        <v>Life Purpose-3</v>
      </c>
      <c r="G216" s="390" t="str">
        <f>IFERROR(__xludf.DUMMYFUNCTION("if($A216="""","""",iferror(join("" &amp; "",filter(Schedule!$Y:$Y&amp;""-""&amp;Schedule!$Z:$Z,Schedule!$L:$L=$A216,(Schedule!$K:$K=$B216)+(Schedule!$K:$K=""""),Schedule!$Y:$Y&lt;&gt;"""")),""""))"),"Introduction to Law-1")</f>
        <v>Introduction to Law-1</v>
      </c>
      <c r="H216" s="390" t="str">
        <f>IFERROR(__xludf.DUMMYFUNCTION("if($A216="""","""",iferror(join("" &amp; "",filter(Schedule!$AK:$AK&amp;""-""&amp;Schedule!$AL:$AL,Schedule!$L:$L=$A216,(Schedule!$K:$K=$B216)+(Schedule!$K:$K=""""),Schedule!$AK:$AK&lt;&gt;"""")),""""))"),"")</f>
        <v/>
      </c>
      <c r="I216" s="68"/>
      <c r="J216" s="392"/>
      <c r="K216" s="389" t="str">
        <f>M210</f>
        <v/>
      </c>
      <c r="L216" s="389" t="str">
        <f>S210</f>
        <v/>
      </c>
      <c r="M216" s="100">
        <v>5.0</v>
      </c>
      <c r="N216" s="390" t="str">
        <f>IFERROR(__xludf.DUMMYFUNCTION("if($K216="""","""",iferror(join("" &amp; "",filter(Schedule!$AB:$AB&amp;""-""&amp;Schedule!$AC:$AC,Schedule!$L:$L=$K216,(Schedule!$K:$K=$L216)+(Schedule!$K:$K=""""),Schedule!$AB:$AB&lt;&gt;"""")),""""))"),"")</f>
        <v/>
      </c>
      <c r="O216" s="390" t="str">
        <f>IFERROR(__xludf.DUMMYFUNCTION("if($K216="""","""",iferror(join("" &amp; "",filter(Schedule!$S:$S&amp;""-""&amp;Schedule!$T:$T,Schedule!$L:$L=$K216,(Schedule!$K:$K=$L216)+(Schedule!$K:$K=""""),Schedule!$S:$S&lt;&gt;"""")),""""))"),"")</f>
        <v/>
      </c>
      <c r="P216" s="390" t="str">
        <f>IFERROR(__xludf.DUMMYFUNCTION("if($K216="""","""",iferror(join("" &amp; "",filter(Schedule!$AH:$AH&amp;""-""&amp;Schedule!$AI:$AI,Schedule!$L:$L=$K216,(Schedule!$K:$K=$L216)+(Schedule!$K:$K=""""),Schedule!$AH:$AH&lt;&gt;"""")),""""))"),"")</f>
        <v/>
      </c>
      <c r="Q216" s="390" t="str">
        <f>IFERROR(__xludf.DUMMYFUNCTION("if($K216="""","""",iferror(join("" &amp; "",filter(Schedule!$Y:$Y&amp;""-""&amp;Schedule!$Z:$Z,Schedule!$L:$L=$K216,(Schedule!$K:$K=$L216)+(Schedule!$K:$K=""""),Schedule!$Y:$Y&lt;&gt;"""")),""""))"),"")</f>
        <v/>
      </c>
      <c r="R216" s="390" t="str">
        <f>IFERROR(__xludf.DUMMYFUNCTION("if($K216="""","""",iferror(join("" &amp; "",filter(Schedule!$AK:$AK&amp;""-""&amp;Schedule!$AL:$AL,Schedule!$L:$L=$K216,(Schedule!$K:$K=$L216)+(Schedule!$K:$K=""""),Schedule!$AK:$AK&lt;&gt;"""")),""""))"),"")</f>
        <v/>
      </c>
      <c r="S216" s="68"/>
      <c r="T216" s="393"/>
    </row>
    <row r="217">
      <c r="C217" s="3"/>
      <c r="D217" s="396"/>
      <c r="E217" s="396"/>
      <c r="F217" s="396"/>
      <c r="G217" s="396"/>
      <c r="H217" s="396"/>
      <c r="N217" s="397"/>
      <c r="O217" s="397"/>
      <c r="P217" s="397"/>
      <c r="Q217" s="397"/>
      <c r="R217" s="397"/>
    </row>
    <row r="218">
      <c r="A218" s="45"/>
      <c r="B218" s="45"/>
      <c r="C218" s="386" t="str">
        <f>Teachers!A28</f>
        <v>Juan Esteban Marin</v>
      </c>
      <c r="D218" s="383"/>
      <c r="E218" s="383"/>
      <c r="F218" s="383"/>
      <c r="G218" s="383"/>
      <c r="H218" s="384"/>
      <c r="I218" s="385" t="str">
        <f>IFERROR(__xludf.DUMMYFUNCTION("if(C218="""","""", iferror(filter(Schedule!$K:$K,Schedule!$L:$L=$C218,Schedule!$K:$K=""S1""),unique(filter(Schedule!$K:$K,Schedule!$L:$L=$C218,Schedule!$K:$K=""""))))"),"")</f>
        <v/>
      </c>
      <c r="M218" s="386" t="str">
        <f>if(S218="","",C218)</f>
        <v/>
      </c>
      <c r="N218" s="383"/>
      <c r="O218" s="383"/>
      <c r="P218" s="383"/>
      <c r="Q218" s="383"/>
      <c r="R218" s="384"/>
      <c r="S218" s="385" t="str">
        <f>if(I218="S1","S2","")</f>
        <v/>
      </c>
      <c r="T218" s="112"/>
    </row>
    <row r="219">
      <c r="A219" s="116"/>
      <c r="B219" s="116"/>
      <c r="C219" s="100" t="s">
        <v>7</v>
      </c>
      <c r="D219" s="387" t="s">
        <v>8</v>
      </c>
      <c r="E219" s="387" t="s">
        <v>9</v>
      </c>
      <c r="F219" s="387" t="s">
        <v>10</v>
      </c>
      <c r="G219" s="387" t="s">
        <v>11</v>
      </c>
      <c r="H219" s="387" t="s">
        <v>12</v>
      </c>
      <c r="I219" s="21" t="s">
        <v>766</v>
      </c>
      <c r="J219" s="116"/>
      <c r="K219" s="116"/>
      <c r="L219" s="116"/>
      <c r="M219" s="100" t="s">
        <v>7</v>
      </c>
      <c r="N219" s="387" t="s">
        <v>8</v>
      </c>
      <c r="O219" s="387" t="s">
        <v>9</v>
      </c>
      <c r="P219" s="387" t="s">
        <v>10</v>
      </c>
      <c r="Q219" s="387" t="s">
        <v>11</v>
      </c>
      <c r="R219" s="387" t="s">
        <v>12</v>
      </c>
      <c r="S219" s="21" t="s">
        <v>766</v>
      </c>
      <c r="T219" s="388"/>
    </row>
    <row r="220">
      <c r="A220" s="389" t="str">
        <f>C218</f>
        <v>Juan Esteban Marin</v>
      </c>
      <c r="B220" s="389" t="str">
        <f>I218</f>
        <v/>
      </c>
      <c r="C220" s="100">
        <v>1.0</v>
      </c>
      <c r="D220" s="390" t="str">
        <f>IFERROR(__xludf.DUMMYFUNCTION("if($A220="""","""",iferror(join("" &amp; "",filter(Schedule!$P:$P&amp;""-""&amp;Schedule!$Q:$Q,Schedule!$L:$L=$A220,(Schedule!$K:$K=$B220)+(Schedule!$K:$K=""""),Schedule!$P:$P&lt;&gt;"""")),""""))"),"PE 11-1")</f>
        <v>PE 11-1</v>
      </c>
      <c r="E220" s="390" t="str">
        <f>IFERROR(__xludf.DUMMYFUNCTION("if($A220="""","""",iferror(join("" &amp; "",filter(Schedule!$AE:$AE&amp;""-""&amp;Schedule!$AF:$AF,Schedule!$L:$L=$A220,(Schedule!$K:$K=$B220)+(Schedule!$K:$K=""""),Schedule!$AE:$AE&lt;&gt;"""")),""""))"),"PE 11-5")</f>
        <v>PE 11-5</v>
      </c>
      <c r="F220" s="390" t="str">
        <f>IFERROR(__xludf.DUMMYFUNCTION("if($A220="""","""",iferror(join("" &amp; "",filter(Schedule!$V:$V&amp;""-""&amp;Schedule!$W:$W,Schedule!$L:$L=$A220,(Schedule!$K:$K=$B220)+(Schedule!$K:$K=""""),Schedule!$V:$V&lt;&gt;"""")),""""))"),"PE 11-3")</f>
        <v>PE 11-3</v>
      </c>
      <c r="G220" s="390" t="str">
        <f>IFERROR(__xludf.DUMMYFUNCTION("if($A220="""","""",iferror(join("" &amp; "",filter(Schedule!$AK:$AK&amp;""-""&amp;Schedule!$AL:$AL,Schedule!$L:$L=$A220,(Schedule!$K:$K=$B220)+(Schedule!$K:$K=""""),Schedule!$AK:$AK&lt;&gt;"""")),""""))"),"")</f>
        <v/>
      </c>
      <c r="H220" s="390" t="str">
        <f>IFERROR(__xludf.DUMMYFUNCTION("if($A220="""","""",iferror(join("" &amp; "",filter(Schedule!$AB:$AB&amp;""-""&amp;Schedule!$AC:$AC,Schedule!$L:$L=$A220,(Schedule!$K:$K=$B220)+(Schedule!$K:$K=""""),Schedule!$AB:$AB&lt;&gt;"""")),""""))"),"")</f>
        <v/>
      </c>
      <c r="I220" s="391">
        <f>if(C218="","", 24-countifs(D220:H224,""))</f>
        <v>18</v>
      </c>
      <c r="J220" s="392"/>
      <c r="K220" s="389" t="str">
        <f>M218</f>
        <v/>
      </c>
      <c r="L220" s="389" t="str">
        <f>S218</f>
        <v/>
      </c>
      <c r="M220" s="100">
        <v>1.0</v>
      </c>
      <c r="N220" s="390" t="str">
        <f>IFERROR(__xludf.DUMMYFUNCTION("if($K220="""","""",iferror(join("" &amp; "",filter(Schedule!$P:$P&amp;""-""&amp;Schedule!$Q:$Q,Schedule!$L:$L=$K220,(Schedule!$K:$K=$L220)+(Schedule!$K:$K=""""),Schedule!$P:$P&lt;&gt;"""")),""""))"),"")</f>
        <v/>
      </c>
      <c r="O220" s="390" t="str">
        <f>IFERROR(__xludf.DUMMYFUNCTION("if($K220="""","""",iferror(join("" &amp; "",filter(Schedule!$AE:$AE&amp;""-""&amp;Schedule!$AF:$AF,Schedule!$L:$L=$K220,(Schedule!$K:$K=$L220)+(Schedule!$K:$K=""""),Schedule!$AE:$AE&lt;&gt;"""")),""""))"),"")</f>
        <v/>
      </c>
      <c r="P220" s="390" t="str">
        <f>IFERROR(__xludf.DUMMYFUNCTION("if($K220="""","""",iferror(join("" &amp; "",filter(Schedule!$V:$V&amp;""-""&amp;Schedule!$W:$W,Schedule!$L:$L=$K220,(Schedule!$K:$K=$L220)+(Schedule!$K:$K=""""),Schedule!$V:$V&lt;&gt;"""")),""""))"),"")</f>
        <v/>
      </c>
      <c r="Q220" s="390" t="str">
        <f>IFERROR(__xludf.DUMMYFUNCTION("if($K220="""","""",iferror(join("" &amp; "",filter(Schedule!$AK:$AK&amp;""-""&amp;Schedule!$AL:$AL,Schedule!$L:$L=$K220,(Schedule!$K:$K=$L220)+(Schedule!$K:$K=""""),Schedule!$AK:$AK&lt;&gt;"""")),""""))"),"")</f>
        <v/>
      </c>
      <c r="R220" s="390" t="str">
        <f>IFERROR(__xludf.DUMMYFUNCTION("if($K220="""","""",iferror(join("" &amp; "",filter(Schedule!$AB:$AB&amp;""-""&amp;Schedule!$AC:$AC,Schedule!$L:$L=$K220,(Schedule!$K:$K=$L220)+(Schedule!$K:$K=""""),Schedule!$AB:$AB&lt;&gt;"""")),""""))"),"")</f>
        <v/>
      </c>
      <c r="S220" s="391" t="str">
        <f>if(K220="","", 24-countifs(N220:R224,""))</f>
        <v/>
      </c>
      <c r="T220" s="393"/>
    </row>
    <row r="221">
      <c r="A221" s="389" t="str">
        <f>C218</f>
        <v>Juan Esteban Marin</v>
      </c>
      <c r="B221" s="389" t="str">
        <f>I218</f>
        <v/>
      </c>
      <c r="C221" s="100">
        <v>2.0</v>
      </c>
      <c r="D221" s="390" t="str">
        <f>IFERROR(__xludf.DUMMYFUNCTION("if($A221="""","""",iferror(join("" &amp; "",filter(Schedule!$S:$S&amp;""-""&amp;Schedule!$T:$T,Schedule!$L:$L=$A221,(Schedule!$K:$K=$B221)+(Schedule!$K:$K=""""),Schedule!$S:$S&lt;&gt;"""")),""""))"),"PE 11-2")</f>
        <v>PE 11-2</v>
      </c>
      <c r="E221" s="390" t="str">
        <f>IFERROR(__xludf.DUMMYFUNCTION("if($A221="""","""",iferror(join("" &amp; "",filter(Schedule!$AH:$AH&amp;""-""&amp;Schedule!$AI:$AI,Schedule!$L:$L=$A221,(Schedule!$K:$K=$B221)+(Schedule!$K:$K=""""),Schedule!$AH:$AH&lt;&gt;"""")),""""))"),"PE 11-6")</f>
        <v>PE 11-6</v>
      </c>
      <c r="F221" s="390" t="str">
        <f>IFERROR(__xludf.DUMMYFUNCTION("if($A221="""","""",iferror(join("" &amp; "",filter(Schedule!$Y:$Y&amp;""-""&amp;Schedule!$Z:$Z,Schedule!$L:$L=$A221,(Schedule!$K:$K=$B221)+(Schedule!$K:$K=""""),Schedule!$Y:$Y&lt;&gt;"""")),""""))"),"PE 11-4")</f>
        <v>PE 11-4</v>
      </c>
      <c r="G221" s="390" t="str">
        <f>IFERROR(__xludf.DUMMYFUNCTION("if($A221="""","""",iferror(join("" &amp; "",filter(Schedule!$P:$P&amp;""-""&amp;Schedule!$Q:$Q,Schedule!$L:$L=$A221,(Schedule!$K:$K=$B221)+(Schedule!$K:$K=""""),Schedule!$P:$P&lt;&gt;"""")),""""))"),"PE 11-1")</f>
        <v>PE 11-1</v>
      </c>
      <c r="H221" s="390" t="str">
        <f>IFERROR(__xludf.DUMMYFUNCTION("if($A221="""","""",iferror(join("" &amp; "",filter(Schedule!$AE:$AE&amp;""-""&amp;Schedule!$AF:$AF,Schedule!$L:$L=$A221,(Schedule!$K:$K=$B221)+(Schedule!$K:$K=""""),Schedule!$AE:$AE&lt;&gt;"""")),""""))"),"PE 11-5")</f>
        <v>PE 11-5</v>
      </c>
      <c r="I221" s="53"/>
      <c r="J221" s="392"/>
      <c r="K221" s="389" t="str">
        <f>M218</f>
        <v/>
      </c>
      <c r="L221" s="389" t="str">
        <f>S218</f>
        <v/>
      </c>
      <c r="M221" s="100">
        <v>2.0</v>
      </c>
      <c r="N221" s="390" t="str">
        <f>IFERROR(__xludf.DUMMYFUNCTION("if($K221="""","""",iferror(join("" &amp; "",filter(Schedule!$S:$S&amp;""-""&amp;Schedule!$T:$T,Schedule!$L:$L=$K221,(Schedule!$K:$K=$L221)+(Schedule!$K:$K=""""),Schedule!$S:$S&lt;&gt;"""")),""""))"),"")</f>
        <v/>
      </c>
      <c r="O221" s="390" t="str">
        <f>IFERROR(__xludf.DUMMYFUNCTION("if($K221="""","""",iferror(join("" &amp; "",filter(Schedule!$AH:$AH&amp;""-""&amp;Schedule!$AI:$AI,Schedule!$L:$L=$K221,(Schedule!$K:$K=$L221)+(Schedule!$K:$K=""""),Schedule!$AH:$AH&lt;&gt;"""")),""""))"),"")</f>
        <v/>
      </c>
      <c r="P221" s="390" t="str">
        <f>IFERROR(__xludf.DUMMYFUNCTION("if($K221="""","""",iferror(join("" &amp; "",filter(Schedule!$Y:$Y&amp;""-""&amp;Schedule!$Z:$Z,Schedule!$L:$L=$K221,(Schedule!$K:$K=$L221)+(Schedule!$K:$K=""""),Schedule!$Y:$Y&lt;&gt;"""")),""""))"),"")</f>
        <v/>
      </c>
      <c r="Q221" s="390" t="str">
        <f>IFERROR(__xludf.DUMMYFUNCTION("if($K221="""","""",iferror(join("" &amp; "",filter(Schedule!$P:$P&amp;""-""&amp;Schedule!$Q:$Q,Schedule!$L:$L=$K221,(Schedule!$K:$K=$L221)+(Schedule!$K:$K=""""),Schedule!$P:$P&lt;&gt;"""")),""""))"),"")</f>
        <v/>
      </c>
      <c r="R221" s="390" t="str">
        <f>IFERROR(__xludf.DUMMYFUNCTION("if($K221="""","""",iferror(join("" &amp; "",filter(Schedule!$AE:$AE&amp;""-""&amp;Schedule!$AF:$AF,Schedule!$L:$L=$K221,(Schedule!$K:$K=$L221)+(Schedule!$K:$K=""""),Schedule!$AE:$AE&lt;&gt;"""")),""""))"),"")</f>
        <v/>
      </c>
      <c r="S221" s="53"/>
      <c r="T221" s="393"/>
    </row>
    <row r="222">
      <c r="A222" s="389" t="str">
        <f>C218</f>
        <v>Juan Esteban Marin</v>
      </c>
      <c r="B222" s="389" t="str">
        <f>I218</f>
        <v/>
      </c>
      <c r="C222" s="100">
        <v>3.0</v>
      </c>
      <c r="D222" s="390" t="str">
        <f>IFERROR(__xludf.DUMMYFUNCTION("if($A222="""","""",iferror(join("" &amp; "",filter(Schedule!$V:$V&amp;""-""&amp;Schedule!$W:$W,Schedule!$L:$L=$A222,(Schedule!$K:$K=$B222)+(Schedule!$K:$K=""""),Schedule!$V:$V&lt;&gt;"""")),""""))"),"PE 11-3")</f>
        <v>PE 11-3</v>
      </c>
      <c r="E222" s="390" t="str">
        <f>IFERROR(__xludf.DUMMYFUNCTION("if($A222="""","""",iferror(join("" &amp; "",filter(Schedule!$AK:$AK&amp;""-""&amp;Schedule!$AL:$AL,Schedule!$L:$L=$A222,(Schedule!$K:$K=$B222)+(Schedule!$K:$K=""""),Schedule!$AK:$AK&lt;&gt;"""")),""""))"),"")</f>
        <v/>
      </c>
      <c r="F222" s="390" t="str">
        <f>IFERROR(__xludf.DUMMYFUNCTION("if($A222="""","""",iferror(join("" &amp; "",filter(Schedule!$AB:$AB&amp;""-""&amp;Schedule!$AC:$AC,Schedule!$L:$L=$A222,(Schedule!$K:$K=$B222)+(Schedule!$K:$K=""""),Schedule!$AB:$AB&lt;&gt;"""")),""""))"),"")</f>
        <v/>
      </c>
      <c r="G222" s="390" t="str">
        <f>IFERROR(__xludf.DUMMYFUNCTION("if($A222="""","""",iferror(join("" &amp; "",filter(Schedule!$S:$S&amp;""-""&amp;Schedule!$T:$T,Schedule!$L:$L=$A222,(Schedule!$K:$K=$B222)+(Schedule!$K:$K=""""),Schedule!$S:$S&lt;&gt;"""")),""""))"),"PE 11-2")</f>
        <v>PE 11-2</v>
      </c>
      <c r="H222" s="395" t="str">
        <f>if($C218="","","X-Block")</f>
        <v>X-Block</v>
      </c>
      <c r="I222" s="53"/>
      <c r="J222" s="392"/>
      <c r="K222" s="389" t="str">
        <f>M218</f>
        <v/>
      </c>
      <c r="L222" s="389" t="str">
        <f>S218</f>
        <v/>
      </c>
      <c r="M222" s="100">
        <v>3.0</v>
      </c>
      <c r="N222" s="390" t="str">
        <f>IFERROR(__xludf.DUMMYFUNCTION("if($K222="""","""",iferror(join("" &amp; "",filter(Schedule!$V:$V&amp;""-""&amp;Schedule!$W:$W,Schedule!$L:$L=$K222,(Schedule!$K:$K=$L222)+(Schedule!$K:$K=""""),Schedule!$V:$V&lt;&gt;"""")),""""))"),"")</f>
        <v/>
      </c>
      <c r="O222" s="390" t="str">
        <f>IFERROR(__xludf.DUMMYFUNCTION("if($K222="""","""",iferror(join("" &amp; "",filter(Schedule!$AK:$AK&amp;""-""&amp;Schedule!$AL:$AL,Schedule!$L:$L=$K222,(Schedule!$K:$K=$L222)+(Schedule!$K:$K=""""),Schedule!$AK:$AK&lt;&gt;"""")),""""))"),"")</f>
        <v/>
      </c>
      <c r="P222" s="390" t="str">
        <f>IFERROR(__xludf.DUMMYFUNCTION("if($K222="""","""",iferror(join("" &amp; "",filter(Schedule!$AB:$AB&amp;""-""&amp;Schedule!$AC:$AC,Schedule!$L:$L=$K222,(Schedule!$K:$K=$L222)+(Schedule!$K:$K=""""),Schedule!$AB:$AB&lt;&gt;"""")),""""))"),"")</f>
        <v/>
      </c>
      <c r="Q222" s="390" t="str">
        <f>IFERROR(__xludf.DUMMYFUNCTION("if($K222="""","""",iferror(join("" &amp; "",filter(Schedule!$S:$S&amp;""-""&amp;Schedule!$T:$T,Schedule!$L:$L=$K222,(Schedule!$K:$K=$L222)+(Schedule!$K:$K=""""),Schedule!$S:$S&lt;&gt;"""")),""""))"),"")</f>
        <v/>
      </c>
      <c r="R222" s="395" t="str">
        <f>if($M218="","","X-Block")</f>
        <v/>
      </c>
      <c r="S222" s="53"/>
      <c r="T222" s="393"/>
    </row>
    <row r="223">
      <c r="A223" s="389" t="str">
        <f>C218</f>
        <v>Juan Esteban Marin</v>
      </c>
      <c r="B223" s="389" t="str">
        <f>I218</f>
        <v/>
      </c>
      <c r="C223" s="100">
        <v>4.0</v>
      </c>
      <c r="D223" s="390" t="str">
        <f>IFERROR(__xludf.DUMMYFUNCTION("if($A223="""","""",iferror(join("" &amp; "",filter(Schedule!$Y:$Y&amp;""-""&amp;Schedule!$Z:$Z,Schedule!$L:$L=$A223,(Schedule!$K:$K=$B223)+(Schedule!$K:$K=""""),Schedule!$Y:$Y&lt;&gt;"""")),""""))"),"PE 11-4")</f>
        <v>PE 11-4</v>
      </c>
      <c r="E223" s="390" t="str">
        <f>IFERROR(__xludf.DUMMYFUNCTION("if($A223="""","""",iferror(join("" &amp; "",filter(Schedule!$P:$P&amp;""-""&amp;Schedule!$Q:$Q,Schedule!$L:$L=$A223,(Schedule!$K:$K=$B223)+(Schedule!$K:$K=""""),Schedule!$P:$P&lt;&gt;"""")),""""))"),"PE 11-1")</f>
        <v>PE 11-1</v>
      </c>
      <c r="F223" s="390" t="str">
        <f>IFERROR(__xludf.DUMMYFUNCTION("if($A223="""","""",iferror(join("" &amp; "",filter(Schedule!$AE:$AE&amp;""-""&amp;Schedule!$AF:$AF,Schedule!$L:$L=$A223,(Schedule!$K:$K=$B223)+(Schedule!$K:$K=""""),Schedule!$AE:$AE&lt;&gt;"""")),""""))"),"PE 11-5")</f>
        <v>PE 11-5</v>
      </c>
      <c r="G223" s="390" t="str">
        <f>IFERROR(__xludf.DUMMYFUNCTION("if($A223="""","""",iferror(join("" &amp; "",filter(Schedule!$V:$V&amp;""-""&amp;Schedule!$W:$W,Schedule!$L:$L=$A223,(Schedule!$K:$K=$B223)+(Schedule!$K:$K=""""),Schedule!$V:$V&lt;&gt;"""")),""""))"),"PE 11-3")</f>
        <v>PE 11-3</v>
      </c>
      <c r="H223" s="390" t="str">
        <f>IFERROR(__xludf.DUMMYFUNCTION("if($A223="""","""",iferror(join("" &amp; "",filter(Schedule!$AH:$AH&amp;""-""&amp;Schedule!$AI:$AI,Schedule!$L:$L=$A223,(Schedule!$K:$K=$B223)+(Schedule!$K:$K=""""),Schedule!$AH:$AH&lt;&gt;"""")),""""))"),"PE 11-6")</f>
        <v>PE 11-6</v>
      </c>
      <c r="I223" s="53"/>
      <c r="J223" s="392"/>
      <c r="K223" s="389" t="str">
        <f>M218</f>
        <v/>
      </c>
      <c r="L223" s="389" t="str">
        <f>S218</f>
        <v/>
      </c>
      <c r="M223" s="100">
        <v>4.0</v>
      </c>
      <c r="N223" s="390" t="str">
        <f>IFERROR(__xludf.DUMMYFUNCTION("if($K223="""","""",iferror(join("" &amp; "",filter(Schedule!$Y:$Y&amp;""-""&amp;Schedule!$Z:$Z,Schedule!$L:$L=$K223,(Schedule!$K:$K=$L223)+(Schedule!$K:$K=""""),Schedule!$Y:$Y&lt;&gt;"""")),""""))"),"")</f>
        <v/>
      </c>
      <c r="O223" s="390" t="str">
        <f>IFERROR(__xludf.DUMMYFUNCTION("if($K223="""","""",iferror(join("" &amp; "",filter(Schedule!$P:$P&amp;""-""&amp;Schedule!$Q:$Q,Schedule!$L:$L=$K223,(Schedule!$K:$K=$L223)+(Schedule!$K:$K=""""),Schedule!$P:$P&lt;&gt;"""")),""""))"),"")</f>
        <v/>
      </c>
      <c r="P223" s="390" t="str">
        <f>IFERROR(__xludf.DUMMYFUNCTION("if($K223="""","""",iferror(join("" &amp; "",filter(Schedule!$AE:$AE&amp;""-""&amp;Schedule!$AF:$AF,Schedule!$L:$L=$K223,(Schedule!$K:$K=$L223)+(Schedule!$K:$K=""""),Schedule!$AE:$AE&lt;&gt;"""")),""""))"),"")</f>
        <v/>
      </c>
      <c r="Q223" s="390" t="str">
        <f>IFERROR(__xludf.DUMMYFUNCTION("if($K223="""","""",iferror(join("" &amp; "",filter(Schedule!$V:$V&amp;""-""&amp;Schedule!$W:$W,Schedule!$L:$L=$K223,(Schedule!$K:$K=$L223)+(Schedule!$K:$K=""""),Schedule!$V:$V&lt;&gt;"""")),""""))"),"")</f>
        <v/>
      </c>
      <c r="R223" s="390" t="str">
        <f>IFERROR(__xludf.DUMMYFUNCTION("if($K223="""","""",iferror(join("" &amp; "",filter(Schedule!$AH:$AH&amp;""-""&amp;Schedule!$AI:$AI,Schedule!$L:$L=$K223,(Schedule!$K:$K=$L223)+(Schedule!$K:$K=""""),Schedule!$AH:$AH&lt;&gt;"""")),""""))"),"")</f>
        <v/>
      </c>
      <c r="S223" s="53"/>
      <c r="T223" s="393"/>
    </row>
    <row r="224">
      <c r="A224" s="389" t="str">
        <f>C218</f>
        <v>Juan Esteban Marin</v>
      </c>
      <c r="B224" s="389" t="str">
        <f>I218</f>
        <v/>
      </c>
      <c r="C224" s="100">
        <v>5.0</v>
      </c>
      <c r="D224" s="390" t="str">
        <f>IFERROR(__xludf.DUMMYFUNCTION("if($A224="""","""",iferror(join("" &amp; "",filter(Schedule!$AB:$AB&amp;""-""&amp;Schedule!$AC:$AC,Schedule!$L:$L=$A224,(Schedule!$K:$K=$B224)+(Schedule!$K:$K=""""),Schedule!$AB:$AB&lt;&gt;"""")),""""))"),"")</f>
        <v/>
      </c>
      <c r="E224" s="390" t="str">
        <f>IFERROR(__xludf.DUMMYFUNCTION("if($A224="""","""",iferror(join("" &amp; "",filter(Schedule!$S:$S&amp;""-""&amp;Schedule!$T:$T,Schedule!$L:$L=$A224,(Schedule!$K:$K=$B224)+(Schedule!$K:$K=""""),Schedule!$S:$S&lt;&gt;"""")),""""))"),"PE 11-2")</f>
        <v>PE 11-2</v>
      </c>
      <c r="F224" s="390" t="str">
        <f>IFERROR(__xludf.DUMMYFUNCTION("if($A224="""","""",iferror(join("" &amp; "",filter(Schedule!$AH:$AH&amp;""-""&amp;Schedule!$AI:$AI,Schedule!$L:$L=$A224,(Schedule!$K:$K=$B224)+(Schedule!$K:$K=""""),Schedule!$AH:$AH&lt;&gt;"""")),""""))"),"PE 11-6")</f>
        <v>PE 11-6</v>
      </c>
      <c r="G224" s="390" t="str">
        <f>IFERROR(__xludf.DUMMYFUNCTION("if($A224="""","""",iferror(join("" &amp; "",filter(Schedule!$Y:$Y&amp;""-""&amp;Schedule!$Z:$Z,Schedule!$L:$L=$A224,(Schedule!$K:$K=$B224)+(Schedule!$K:$K=""""),Schedule!$Y:$Y&lt;&gt;"""")),""""))"),"PE 11-4")</f>
        <v>PE 11-4</v>
      </c>
      <c r="H224" s="390" t="str">
        <f>IFERROR(__xludf.DUMMYFUNCTION("if($A224="""","""",iferror(join("" &amp; "",filter(Schedule!$AK:$AK&amp;""-""&amp;Schedule!$AL:$AL,Schedule!$L:$L=$A224,(Schedule!$K:$K=$B224)+(Schedule!$K:$K=""""),Schedule!$AK:$AK&lt;&gt;"""")),""""))"),"")</f>
        <v/>
      </c>
      <c r="I224" s="68"/>
      <c r="J224" s="392"/>
      <c r="K224" s="389" t="str">
        <f>M218</f>
        <v/>
      </c>
      <c r="L224" s="389" t="str">
        <f>S218</f>
        <v/>
      </c>
      <c r="M224" s="100">
        <v>5.0</v>
      </c>
      <c r="N224" s="390" t="str">
        <f>IFERROR(__xludf.DUMMYFUNCTION("if($K224="""","""",iferror(join("" &amp; "",filter(Schedule!$AB:$AB&amp;""-""&amp;Schedule!$AC:$AC,Schedule!$L:$L=$K224,(Schedule!$K:$K=$L224)+(Schedule!$K:$K=""""),Schedule!$AB:$AB&lt;&gt;"""")),""""))"),"")</f>
        <v/>
      </c>
      <c r="O224" s="390" t="str">
        <f>IFERROR(__xludf.DUMMYFUNCTION("if($K224="""","""",iferror(join("" &amp; "",filter(Schedule!$S:$S&amp;""-""&amp;Schedule!$T:$T,Schedule!$L:$L=$K224,(Schedule!$K:$K=$L224)+(Schedule!$K:$K=""""),Schedule!$S:$S&lt;&gt;"""")),""""))"),"")</f>
        <v/>
      </c>
      <c r="P224" s="390" t="str">
        <f>IFERROR(__xludf.DUMMYFUNCTION("if($K224="""","""",iferror(join("" &amp; "",filter(Schedule!$AH:$AH&amp;""-""&amp;Schedule!$AI:$AI,Schedule!$L:$L=$K224,(Schedule!$K:$K=$L224)+(Schedule!$K:$K=""""),Schedule!$AH:$AH&lt;&gt;"""")),""""))"),"")</f>
        <v/>
      </c>
      <c r="Q224" s="390" t="str">
        <f>IFERROR(__xludf.DUMMYFUNCTION("if($K224="""","""",iferror(join("" &amp; "",filter(Schedule!$Y:$Y&amp;""-""&amp;Schedule!$Z:$Z,Schedule!$L:$L=$K224,(Schedule!$K:$K=$L224)+(Schedule!$K:$K=""""),Schedule!$Y:$Y&lt;&gt;"""")),""""))"),"")</f>
        <v/>
      </c>
      <c r="R224" s="390" t="str">
        <f>IFERROR(__xludf.DUMMYFUNCTION("if($K224="""","""",iferror(join("" &amp; "",filter(Schedule!$AK:$AK&amp;""-""&amp;Schedule!$AL:$AL,Schedule!$L:$L=$K224,(Schedule!$K:$K=$L224)+(Schedule!$K:$K=""""),Schedule!$AK:$AK&lt;&gt;"""")),""""))"),"")</f>
        <v/>
      </c>
      <c r="S224" s="68"/>
      <c r="T224" s="393"/>
    </row>
    <row r="225">
      <c r="C225" s="3"/>
      <c r="D225" s="396"/>
      <c r="E225" s="396"/>
      <c r="F225" s="396"/>
      <c r="G225" s="396"/>
      <c r="H225" s="396"/>
      <c r="N225" s="397"/>
      <c r="O225" s="397"/>
      <c r="P225" s="397"/>
      <c r="Q225" s="397"/>
      <c r="R225" s="397"/>
    </row>
    <row r="226">
      <c r="A226" s="45"/>
      <c r="B226" s="45"/>
      <c r="C226" s="386" t="str">
        <f>Teachers!A29</f>
        <v>Julian Zúñiga</v>
      </c>
      <c r="D226" s="383"/>
      <c r="E226" s="383"/>
      <c r="F226" s="383"/>
      <c r="G226" s="383"/>
      <c r="H226" s="384"/>
      <c r="I226" s="385" t="str">
        <f>IFERROR(__xludf.DUMMYFUNCTION("if(C226="""","""", iferror(filter(Schedule!$K:$K,Schedule!$L:$L=$C226,Schedule!$K:$K=""S1""),unique(filter(Schedule!$K:$K,Schedule!$L:$L=$C226,Schedule!$K:$K=""""))))"),"")</f>
        <v/>
      </c>
      <c r="M226" s="386" t="str">
        <f>if(S226="","",C226)</f>
        <v/>
      </c>
      <c r="N226" s="383"/>
      <c r="O226" s="383"/>
      <c r="P226" s="383"/>
      <c r="Q226" s="383"/>
      <c r="R226" s="384"/>
      <c r="S226" s="385" t="str">
        <f>if(I226="S1","S2","")</f>
        <v/>
      </c>
      <c r="T226" s="112"/>
    </row>
    <row r="227">
      <c r="A227" s="116"/>
      <c r="B227" s="116"/>
      <c r="C227" s="100" t="s">
        <v>7</v>
      </c>
      <c r="D227" s="387" t="s">
        <v>8</v>
      </c>
      <c r="E227" s="387" t="s">
        <v>9</v>
      </c>
      <c r="F227" s="387" t="s">
        <v>10</v>
      </c>
      <c r="G227" s="387" t="s">
        <v>11</v>
      </c>
      <c r="H227" s="387" t="s">
        <v>12</v>
      </c>
      <c r="I227" s="21" t="s">
        <v>766</v>
      </c>
      <c r="J227" s="116"/>
      <c r="K227" s="116"/>
      <c r="L227" s="116"/>
      <c r="M227" s="100" t="s">
        <v>7</v>
      </c>
      <c r="N227" s="387" t="s">
        <v>8</v>
      </c>
      <c r="O227" s="387" t="s">
        <v>9</v>
      </c>
      <c r="P227" s="387" t="s">
        <v>10</v>
      </c>
      <c r="Q227" s="387" t="s">
        <v>11</v>
      </c>
      <c r="R227" s="387" t="s">
        <v>12</v>
      </c>
      <c r="S227" s="21" t="s">
        <v>766</v>
      </c>
      <c r="T227" s="388"/>
    </row>
    <row r="228">
      <c r="A228" s="389" t="str">
        <f>C226</f>
        <v>Julian Zúñiga</v>
      </c>
      <c r="B228" s="389" t="str">
        <f>I226</f>
        <v/>
      </c>
      <c r="C228" s="100">
        <v>1.0</v>
      </c>
      <c r="D228" s="390" t="str">
        <f>IFERROR(__xludf.DUMMYFUNCTION("if($A228="""","""",iferror(join("" &amp; "",filter(Schedule!$P:$P&amp;""-""&amp;Schedule!$Q:$Q,Schedule!$L:$L=$A228,(Schedule!$K:$K=$B228)+(Schedule!$K:$K=""""),Schedule!$P:$P&lt;&gt;"""")),""""))"),"")</f>
        <v/>
      </c>
      <c r="E228" s="390" t="str">
        <f>IFERROR(__xludf.DUMMYFUNCTION("if($A228="""","""",iferror(join("" &amp; "",filter(Schedule!$AE:$AE&amp;""-""&amp;Schedule!$AF:$AF,Schedule!$L:$L=$A228,(Schedule!$K:$K=$B228)+(Schedule!$K:$K=""""),Schedule!$AE:$AE&lt;&gt;"""")),""""))"),"")</f>
        <v/>
      </c>
      <c r="F228" s="390" t="str">
        <f>IFERROR(__xludf.DUMMYFUNCTION("if($A228="""","""",iferror(join("" &amp; "",filter(Schedule!$V:$V&amp;""-""&amp;Schedule!$W:$W,Schedule!$L:$L=$A228,(Schedule!$K:$K=$B228)+(Schedule!$K:$K=""""),Schedule!$V:$V&lt;&gt;"""")),""""))"),"AP Computer Science Principles-1")</f>
        <v>AP Computer Science Principles-1</v>
      </c>
      <c r="G228" s="390" t="str">
        <f>IFERROR(__xludf.DUMMYFUNCTION("if($A228="""","""",iferror(join("" &amp; "",filter(Schedule!$AK:$AK&amp;""-""&amp;Schedule!$AL:$AL,Schedule!$L:$L=$A228,(Schedule!$K:$K=$B228)+(Schedule!$K:$K=""""),Schedule!$AK:$AK&lt;&gt;"""")),""""))"),"")</f>
        <v/>
      </c>
      <c r="H228" s="390" t="str">
        <f>IFERROR(__xludf.DUMMYFUNCTION("if($A228="""","""",iferror(join("" &amp; "",filter(Schedule!$AB:$AB&amp;""-""&amp;Schedule!$AC:$AC,Schedule!$L:$L=$A228,(Schedule!$K:$K=$B228)+(Schedule!$K:$K=""""),Schedule!$AB:$AB&lt;&gt;"""")),""""))"),"")</f>
        <v/>
      </c>
      <c r="I228" s="391">
        <f>if(C226="","", 24-countifs(D228:H232,""))</f>
        <v>6</v>
      </c>
      <c r="J228" s="392"/>
      <c r="K228" s="389" t="str">
        <f>M226</f>
        <v/>
      </c>
      <c r="L228" s="389" t="str">
        <f>S226</f>
        <v/>
      </c>
      <c r="M228" s="100">
        <v>1.0</v>
      </c>
      <c r="N228" s="390" t="str">
        <f>IFERROR(__xludf.DUMMYFUNCTION("if($K228="""","""",iferror(join("" &amp; "",filter(Schedule!$P:$P&amp;""-""&amp;Schedule!$Q:$Q,Schedule!$L:$L=$K228,(Schedule!$K:$K=$L228)+(Schedule!$K:$K=""""),Schedule!$P:$P&lt;&gt;"""")),""""))"),"")</f>
        <v/>
      </c>
      <c r="O228" s="390" t="str">
        <f>IFERROR(__xludf.DUMMYFUNCTION("if($K228="""","""",iferror(join("" &amp; "",filter(Schedule!$AE:$AE&amp;""-""&amp;Schedule!$AF:$AF,Schedule!$L:$L=$K228,(Schedule!$K:$K=$L228)+(Schedule!$K:$K=""""),Schedule!$AE:$AE&lt;&gt;"""")),""""))"),"")</f>
        <v/>
      </c>
      <c r="P228" s="390" t="str">
        <f>IFERROR(__xludf.DUMMYFUNCTION("if($K228="""","""",iferror(join("" &amp; "",filter(Schedule!$V:$V&amp;""-""&amp;Schedule!$W:$W,Schedule!$L:$L=$K228,(Schedule!$K:$K=$L228)+(Schedule!$K:$K=""""),Schedule!$V:$V&lt;&gt;"""")),""""))"),"")</f>
        <v/>
      </c>
      <c r="Q228" s="390" t="str">
        <f>IFERROR(__xludf.DUMMYFUNCTION("if($K228="""","""",iferror(join("" &amp; "",filter(Schedule!$AK:$AK&amp;""-""&amp;Schedule!$AL:$AL,Schedule!$L:$L=$K228,(Schedule!$K:$K=$L228)+(Schedule!$K:$K=""""),Schedule!$AK:$AK&lt;&gt;"""")),""""))"),"")</f>
        <v/>
      </c>
      <c r="R228" s="390" t="str">
        <f>IFERROR(__xludf.DUMMYFUNCTION("if($K228="""","""",iferror(join("" &amp; "",filter(Schedule!$AB:$AB&amp;""-""&amp;Schedule!$AC:$AC,Schedule!$L:$L=$K228,(Schedule!$K:$K=$L228)+(Schedule!$K:$K=""""),Schedule!$AB:$AB&lt;&gt;"""")),""""))"),"")</f>
        <v/>
      </c>
      <c r="S228" s="391" t="str">
        <f>if(K228="","", 24-countifs(N228:R232,""))</f>
        <v/>
      </c>
      <c r="T228" s="393"/>
    </row>
    <row r="229">
      <c r="A229" s="389" t="str">
        <f>C226</f>
        <v>Julian Zúñiga</v>
      </c>
      <c r="B229" s="389" t="str">
        <f>I226</f>
        <v/>
      </c>
      <c r="C229" s="100">
        <v>2.0</v>
      </c>
      <c r="D229" s="390" t="str">
        <f>IFERROR(__xludf.DUMMYFUNCTION("if($A229="""","""",iferror(join("" &amp; "",filter(Schedule!$S:$S&amp;""-""&amp;Schedule!$T:$T,Schedule!$L:$L=$A229,(Schedule!$K:$K=$B229)+(Schedule!$K:$K=""""),Schedule!$S:$S&lt;&gt;"""")),""""))"),"")</f>
        <v/>
      </c>
      <c r="E229" s="390" t="str">
        <f>IFERROR(__xludf.DUMMYFUNCTION("if($A229="""","""",iferror(join("" &amp; "",filter(Schedule!$AH:$AH&amp;""-""&amp;Schedule!$AI:$AI,Schedule!$L:$L=$A229,(Schedule!$K:$K=$B229)+(Schedule!$K:$K=""""),Schedule!$AH:$AH&lt;&gt;"""")),""""))"),"")</f>
        <v/>
      </c>
      <c r="F229" s="390" t="str">
        <f>IFERROR(__xludf.DUMMYFUNCTION("if($A229="""","""",iferror(join("" &amp; "",filter(Schedule!$Y:$Y&amp;""-""&amp;Schedule!$Z:$Z,Schedule!$L:$L=$A229,(Schedule!$K:$K=$B229)+(Schedule!$K:$K=""""),Schedule!$Y:$Y&lt;&gt;"""")),""""))"),"AP Computer Science A-1")</f>
        <v>AP Computer Science A-1</v>
      </c>
      <c r="G229" s="390" t="str">
        <f>IFERROR(__xludf.DUMMYFUNCTION("if($A229="""","""",iferror(join("" &amp; "",filter(Schedule!$P:$P&amp;""-""&amp;Schedule!$Q:$Q,Schedule!$L:$L=$A229,(Schedule!$K:$K=$B229)+(Schedule!$K:$K=""""),Schedule!$P:$P&lt;&gt;"""")),""""))"),"")</f>
        <v/>
      </c>
      <c r="H229" s="390" t="str">
        <f>IFERROR(__xludf.DUMMYFUNCTION("if($A229="""","""",iferror(join("" &amp; "",filter(Schedule!$AE:$AE&amp;""-""&amp;Schedule!$AF:$AF,Schedule!$L:$L=$A229,(Schedule!$K:$K=$B229)+(Schedule!$K:$K=""""),Schedule!$AE:$AE&lt;&gt;"""")),""""))"),"")</f>
        <v/>
      </c>
      <c r="I229" s="53"/>
      <c r="J229" s="392"/>
      <c r="K229" s="389" t="str">
        <f>M226</f>
        <v/>
      </c>
      <c r="L229" s="389" t="str">
        <f>S226</f>
        <v/>
      </c>
      <c r="M229" s="100">
        <v>2.0</v>
      </c>
      <c r="N229" s="390" t="str">
        <f>IFERROR(__xludf.DUMMYFUNCTION("if($K229="""","""",iferror(join("" &amp; "",filter(Schedule!$S:$S&amp;""-""&amp;Schedule!$T:$T,Schedule!$L:$L=$K229,(Schedule!$K:$K=$L229)+(Schedule!$K:$K=""""),Schedule!$S:$S&lt;&gt;"""")),""""))"),"")</f>
        <v/>
      </c>
      <c r="O229" s="390" t="str">
        <f>IFERROR(__xludf.DUMMYFUNCTION("if($K229="""","""",iferror(join("" &amp; "",filter(Schedule!$AH:$AH&amp;""-""&amp;Schedule!$AI:$AI,Schedule!$L:$L=$K229,(Schedule!$K:$K=$L229)+(Schedule!$K:$K=""""),Schedule!$AH:$AH&lt;&gt;"""")),""""))"),"")</f>
        <v/>
      </c>
      <c r="P229" s="390" t="str">
        <f>IFERROR(__xludf.DUMMYFUNCTION("if($K229="""","""",iferror(join("" &amp; "",filter(Schedule!$Y:$Y&amp;""-""&amp;Schedule!$Z:$Z,Schedule!$L:$L=$K229,(Schedule!$K:$K=$L229)+(Schedule!$K:$K=""""),Schedule!$Y:$Y&lt;&gt;"""")),""""))"),"")</f>
        <v/>
      </c>
      <c r="Q229" s="390" t="str">
        <f>IFERROR(__xludf.DUMMYFUNCTION("if($K229="""","""",iferror(join("" &amp; "",filter(Schedule!$P:$P&amp;""-""&amp;Schedule!$Q:$Q,Schedule!$L:$L=$K229,(Schedule!$K:$K=$L229)+(Schedule!$K:$K=""""),Schedule!$P:$P&lt;&gt;"""")),""""))"),"")</f>
        <v/>
      </c>
      <c r="R229" s="390" t="str">
        <f>IFERROR(__xludf.DUMMYFUNCTION("if($K229="""","""",iferror(join("" &amp; "",filter(Schedule!$AE:$AE&amp;""-""&amp;Schedule!$AF:$AF,Schedule!$L:$L=$K229,(Schedule!$K:$K=$L229)+(Schedule!$K:$K=""""),Schedule!$AE:$AE&lt;&gt;"""")),""""))"),"")</f>
        <v/>
      </c>
      <c r="S229" s="53"/>
      <c r="T229" s="393"/>
    </row>
    <row r="230">
      <c r="A230" s="389" t="str">
        <f>C226</f>
        <v>Julian Zúñiga</v>
      </c>
      <c r="B230" s="389" t="str">
        <f>I226</f>
        <v/>
      </c>
      <c r="C230" s="100">
        <v>3.0</v>
      </c>
      <c r="D230" s="390" t="str">
        <f>IFERROR(__xludf.DUMMYFUNCTION("if($A230="""","""",iferror(join("" &amp; "",filter(Schedule!$V:$V&amp;""-""&amp;Schedule!$W:$W,Schedule!$L:$L=$A230,(Schedule!$K:$K=$B230)+(Schedule!$K:$K=""""),Schedule!$V:$V&lt;&gt;"""")),""""))"),"AP Computer Science Principles-1")</f>
        <v>AP Computer Science Principles-1</v>
      </c>
      <c r="E230" s="390" t="str">
        <f>IFERROR(__xludf.DUMMYFUNCTION("if($A230="""","""",iferror(join("" &amp; "",filter(Schedule!$AK:$AK&amp;""-""&amp;Schedule!$AL:$AL,Schedule!$L:$L=$A230,(Schedule!$K:$K=$B230)+(Schedule!$K:$K=""""),Schedule!$AK:$AK&lt;&gt;"""")),""""))"),"")</f>
        <v/>
      </c>
      <c r="F230" s="390" t="str">
        <f>IFERROR(__xludf.DUMMYFUNCTION("if($A230="""","""",iferror(join("" &amp; "",filter(Schedule!$AB:$AB&amp;""-""&amp;Schedule!$AC:$AC,Schedule!$L:$L=$A230,(Schedule!$K:$K=$B230)+(Schedule!$K:$K=""""),Schedule!$AB:$AB&lt;&gt;"""")),""""))"),"")</f>
        <v/>
      </c>
      <c r="G230" s="390" t="str">
        <f>IFERROR(__xludf.DUMMYFUNCTION("if($A230="""","""",iferror(join("" &amp; "",filter(Schedule!$S:$S&amp;""-""&amp;Schedule!$T:$T,Schedule!$L:$L=$A230,(Schedule!$K:$K=$B230)+(Schedule!$K:$K=""""),Schedule!$S:$S&lt;&gt;"""")),""""))"),"")</f>
        <v/>
      </c>
      <c r="H230" s="395" t="str">
        <f>if($C226="","","X-Block")</f>
        <v>X-Block</v>
      </c>
      <c r="I230" s="53"/>
      <c r="J230" s="392"/>
      <c r="K230" s="389" t="str">
        <f>M226</f>
        <v/>
      </c>
      <c r="L230" s="389" t="str">
        <f>S226</f>
        <v/>
      </c>
      <c r="M230" s="100">
        <v>3.0</v>
      </c>
      <c r="N230" s="390" t="str">
        <f>IFERROR(__xludf.DUMMYFUNCTION("if($K230="""","""",iferror(join("" &amp; "",filter(Schedule!$V:$V&amp;""-""&amp;Schedule!$W:$W,Schedule!$L:$L=$K230,(Schedule!$K:$K=$L230)+(Schedule!$K:$K=""""),Schedule!$V:$V&lt;&gt;"""")),""""))"),"")</f>
        <v/>
      </c>
      <c r="O230" s="390" t="str">
        <f>IFERROR(__xludf.DUMMYFUNCTION("if($K230="""","""",iferror(join("" &amp; "",filter(Schedule!$AK:$AK&amp;""-""&amp;Schedule!$AL:$AL,Schedule!$L:$L=$K230,(Schedule!$K:$K=$L230)+(Schedule!$K:$K=""""),Schedule!$AK:$AK&lt;&gt;"""")),""""))"),"")</f>
        <v/>
      </c>
      <c r="P230" s="390" t="str">
        <f>IFERROR(__xludf.DUMMYFUNCTION("if($K230="""","""",iferror(join("" &amp; "",filter(Schedule!$AB:$AB&amp;""-""&amp;Schedule!$AC:$AC,Schedule!$L:$L=$K230,(Schedule!$K:$K=$L230)+(Schedule!$K:$K=""""),Schedule!$AB:$AB&lt;&gt;"""")),""""))"),"")</f>
        <v/>
      </c>
      <c r="Q230" s="390" t="str">
        <f>IFERROR(__xludf.DUMMYFUNCTION("if($K230="""","""",iferror(join("" &amp; "",filter(Schedule!$S:$S&amp;""-""&amp;Schedule!$T:$T,Schedule!$L:$L=$K230,(Schedule!$K:$K=$L230)+(Schedule!$K:$K=""""),Schedule!$S:$S&lt;&gt;"""")),""""))"),"")</f>
        <v/>
      </c>
      <c r="R230" s="395" t="str">
        <f>if($M226="","","X-Block")</f>
        <v/>
      </c>
      <c r="S230" s="53"/>
      <c r="T230" s="393"/>
    </row>
    <row r="231">
      <c r="A231" s="389" t="str">
        <f>C226</f>
        <v>Julian Zúñiga</v>
      </c>
      <c r="B231" s="389" t="str">
        <f>I226</f>
        <v/>
      </c>
      <c r="C231" s="100">
        <v>4.0</v>
      </c>
      <c r="D231" s="390" t="str">
        <f>IFERROR(__xludf.DUMMYFUNCTION("if($A231="""","""",iferror(join("" &amp; "",filter(Schedule!$Y:$Y&amp;""-""&amp;Schedule!$Z:$Z,Schedule!$L:$L=$A231,(Schedule!$K:$K=$B231)+(Schedule!$K:$K=""""),Schedule!$Y:$Y&lt;&gt;"""")),""""))"),"AP Computer Science A-1")</f>
        <v>AP Computer Science A-1</v>
      </c>
      <c r="E231" s="390" t="str">
        <f>IFERROR(__xludf.DUMMYFUNCTION("if($A231="""","""",iferror(join("" &amp; "",filter(Schedule!$P:$P&amp;""-""&amp;Schedule!$Q:$Q,Schedule!$L:$L=$A231,(Schedule!$K:$K=$B231)+(Schedule!$K:$K=""""),Schedule!$P:$P&lt;&gt;"""")),""""))"),"")</f>
        <v/>
      </c>
      <c r="F231" s="390" t="str">
        <f>IFERROR(__xludf.DUMMYFUNCTION("if($A231="""","""",iferror(join("" &amp; "",filter(Schedule!$AE:$AE&amp;""-""&amp;Schedule!$AF:$AF,Schedule!$L:$L=$A231,(Schedule!$K:$K=$B231)+(Schedule!$K:$K=""""),Schedule!$AE:$AE&lt;&gt;"""")),""""))"),"")</f>
        <v/>
      </c>
      <c r="G231" s="390" t="str">
        <f>IFERROR(__xludf.DUMMYFUNCTION("if($A231="""","""",iferror(join("" &amp; "",filter(Schedule!$V:$V&amp;""-""&amp;Schedule!$W:$W,Schedule!$L:$L=$A231,(Schedule!$K:$K=$B231)+(Schedule!$K:$K=""""),Schedule!$V:$V&lt;&gt;"""")),""""))"),"AP Computer Science Principles-1")</f>
        <v>AP Computer Science Principles-1</v>
      </c>
      <c r="H231" s="390" t="str">
        <f>IFERROR(__xludf.DUMMYFUNCTION("if($A231="""","""",iferror(join("" &amp; "",filter(Schedule!$AH:$AH&amp;""-""&amp;Schedule!$AI:$AI,Schedule!$L:$L=$A231,(Schedule!$K:$K=$B231)+(Schedule!$K:$K=""""),Schedule!$AH:$AH&lt;&gt;"""")),""""))"),"")</f>
        <v/>
      </c>
      <c r="I231" s="53"/>
      <c r="J231" s="392"/>
      <c r="K231" s="389" t="str">
        <f>M226</f>
        <v/>
      </c>
      <c r="L231" s="389" t="str">
        <f>S226</f>
        <v/>
      </c>
      <c r="M231" s="100">
        <v>4.0</v>
      </c>
      <c r="N231" s="390" t="str">
        <f>IFERROR(__xludf.DUMMYFUNCTION("if($K231="""","""",iferror(join("" &amp; "",filter(Schedule!$Y:$Y&amp;""-""&amp;Schedule!$Z:$Z,Schedule!$L:$L=$K231,(Schedule!$K:$K=$L231)+(Schedule!$K:$K=""""),Schedule!$Y:$Y&lt;&gt;"""")),""""))"),"")</f>
        <v/>
      </c>
      <c r="O231" s="390" t="str">
        <f>IFERROR(__xludf.DUMMYFUNCTION("if($K231="""","""",iferror(join("" &amp; "",filter(Schedule!$P:$P&amp;""-""&amp;Schedule!$Q:$Q,Schedule!$L:$L=$K231,(Schedule!$K:$K=$L231)+(Schedule!$K:$K=""""),Schedule!$P:$P&lt;&gt;"""")),""""))"),"")</f>
        <v/>
      </c>
      <c r="P231" s="390" t="str">
        <f>IFERROR(__xludf.DUMMYFUNCTION("if($K231="""","""",iferror(join("" &amp; "",filter(Schedule!$AE:$AE&amp;""-""&amp;Schedule!$AF:$AF,Schedule!$L:$L=$K231,(Schedule!$K:$K=$L231)+(Schedule!$K:$K=""""),Schedule!$AE:$AE&lt;&gt;"""")),""""))"),"")</f>
        <v/>
      </c>
      <c r="Q231" s="390" t="str">
        <f>IFERROR(__xludf.DUMMYFUNCTION("if($K231="""","""",iferror(join("" &amp; "",filter(Schedule!$V:$V&amp;""-""&amp;Schedule!$W:$W,Schedule!$L:$L=$K231,(Schedule!$K:$K=$L231)+(Schedule!$K:$K=""""),Schedule!$V:$V&lt;&gt;"""")),""""))"),"")</f>
        <v/>
      </c>
      <c r="R231" s="390" t="str">
        <f>IFERROR(__xludf.DUMMYFUNCTION("if($K231="""","""",iferror(join("" &amp; "",filter(Schedule!$AH:$AH&amp;""-""&amp;Schedule!$AI:$AI,Schedule!$L:$L=$K231,(Schedule!$K:$K=$L231)+(Schedule!$K:$K=""""),Schedule!$AH:$AH&lt;&gt;"""")),""""))"),"")</f>
        <v/>
      </c>
      <c r="S231" s="53"/>
      <c r="T231" s="393"/>
    </row>
    <row r="232">
      <c r="A232" s="389" t="str">
        <f>C226</f>
        <v>Julian Zúñiga</v>
      </c>
      <c r="B232" s="389" t="str">
        <f>I226</f>
        <v/>
      </c>
      <c r="C232" s="100">
        <v>5.0</v>
      </c>
      <c r="D232" s="390" t="str">
        <f>IFERROR(__xludf.DUMMYFUNCTION("if($A232="""","""",iferror(join("" &amp; "",filter(Schedule!$AB:$AB&amp;""-""&amp;Schedule!$AC:$AC,Schedule!$L:$L=$A232,(Schedule!$K:$K=$B232)+(Schedule!$K:$K=""""),Schedule!$AB:$AB&lt;&gt;"""")),""""))"),"")</f>
        <v/>
      </c>
      <c r="E232" s="390" t="str">
        <f>IFERROR(__xludf.DUMMYFUNCTION("if($A232="""","""",iferror(join("" &amp; "",filter(Schedule!$S:$S&amp;""-""&amp;Schedule!$T:$T,Schedule!$L:$L=$A232,(Schedule!$K:$K=$B232)+(Schedule!$K:$K=""""),Schedule!$S:$S&lt;&gt;"""")),""""))"),"")</f>
        <v/>
      </c>
      <c r="F232" s="390" t="str">
        <f>IFERROR(__xludf.DUMMYFUNCTION("if($A232="""","""",iferror(join("" &amp; "",filter(Schedule!$AH:$AH&amp;""-""&amp;Schedule!$AI:$AI,Schedule!$L:$L=$A232,(Schedule!$K:$K=$B232)+(Schedule!$K:$K=""""),Schedule!$AH:$AH&lt;&gt;"""")),""""))"),"")</f>
        <v/>
      </c>
      <c r="G232" s="390" t="str">
        <f>IFERROR(__xludf.DUMMYFUNCTION("if($A232="""","""",iferror(join("" &amp; "",filter(Schedule!$Y:$Y&amp;""-""&amp;Schedule!$Z:$Z,Schedule!$L:$L=$A232,(Schedule!$K:$K=$B232)+(Schedule!$K:$K=""""),Schedule!$Y:$Y&lt;&gt;"""")),""""))"),"AP Computer Science A-1")</f>
        <v>AP Computer Science A-1</v>
      </c>
      <c r="H232" s="390" t="str">
        <f>IFERROR(__xludf.DUMMYFUNCTION("if($A232="""","""",iferror(join("" &amp; "",filter(Schedule!$AK:$AK&amp;""-""&amp;Schedule!$AL:$AL,Schedule!$L:$L=$A232,(Schedule!$K:$K=$B232)+(Schedule!$K:$K=""""),Schedule!$AK:$AK&lt;&gt;"""")),""""))"),"")</f>
        <v/>
      </c>
      <c r="I232" s="68"/>
      <c r="J232" s="392"/>
      <c r="K232" s="389" t="str">
        <f>M226</f>
        <v/>
      </c>
      <c r="L232" s="389" t="str">
        <f>S226</f>
        <v/>
      </c>
      <c r="M232" s="100">
        <v>5.0</v>
      </c>
      <c r="N232" s="390" t="str">
        <f>IFERROR(__xludf.DUMMYFUNCTION("if($K232="""","""",iferror(join("" &amp; "",filter(Schedule!$AB:$AB&amp;""-""&amp;Schedule!$AC:$AC,Schedule!$L:$L=$K232,(Schedule!$K:$K=$L232)+(Schedule!$K:$K=""""),Schedule!$AB:$AB&lt;&gt;"""")),""""))"),"")</f>
        <v/>
      </c>
      <c r="O232" s="390" t="str">
        <f>IFERROR(__xludf.DUMMYFUNCTION("if($K232="""","""",iferror(join("" &amp; "",filter(Schedule!$S:$S&amp;""-""&amp;Schedule!$T:$T,Schedule!$L:$L=$K232,(Schedule!$K:$K=$L232)+(Schedule!$K:$K=""""),Schedule!$S:$S&lt;&gt;"""")),""""))"),"")</f>
        <v/>
      </c>
      <c r="P232" s="390" t="str">
        <f>IFERROR(__xludf.DUMMYFUNCTION("if($K232="""","""",iferror(join("" &amp; "",filter(Schedule!$AH:$AH&amp;""-""&amp;Schedule!$AI:$AI,Schedule!$L:$L=$K232,(Schedule!$K:$K=$L232)+(Schedule!$K:$K=""""),Schedule!$AH:$AH&lt;&gt;"""")),""""))"),"")</f>
        <v/>
      </c>
      <c r="Q232" s="390" t="str">
        <f>IFERROR(__xludf.DUMMYFUNCTION("if($K232="""","""",iferror(join("" &amp; "",filter(Schedule!$Y:$Y&amp;""-""&amp;Schedule!$Z:$Z,Schedule!$L:$L=$K232,(Schedule!$K:$K=$L232)+(Schedule!$K:$K=""""),Schedule!$Y:$Y&lt;&gt;"""")),""""))"),"")</f>
        <v/>
      </c>
      <c r="R232" s="390" t="str">
        <f>IFERROR(__xludf.DUMMYFUNCTION("if($K232="""","""",iferror(join("" &amp; "",filter(Schedule!$AK:$AK&amp;""-""&amp;Schedule!$AL:$AL,Schedule!$L:$L=$K232,(Schedule!$K:$K=$L232)+(Schedule!$K:$K=""""),Schedule!$AK:$AK&lt;&gt;"""")),""""))"),"")</f>
        <v/>
      </c>
      <c r="S232" s="68"/>
      <c r="T232" s="393"/>
    </row>
    <row r="233">
      <c r="C233" s="3"/>
      <c r="D233" s="396"/>
      <c r="E233" s="396"/>
      <c r="F233" s="396"/>
      <c r="G233" s="396"/>
      <c r="H233" s="396"/>
      <c r="N233" s="397"/>
      <c r="O233" s="397"/>
      <c r="P233" s="397"/>
      <c r="Q233" s="397"/>
      <c r="R233" s="397"/>
    </row>
    <row r="234">
      <c r="A234" s="45"/>
      <c r="B234" s="45"/>
      <c r="C234" s="386" t="str">
        <f>Teachers!A30</f>
        <v>Karol Marin</v>
      </c>
      <c r="D234" s="383"/>
      <c r="E234" s="383"/>
      <c r="F234" s="383"/>
      <c r="G234" s="383"/>
      <c r="H234" s="384"/>
      <c r="I234" s="385" t="str">
        <f>IFERROR(__xludf.DUMMYFUNCTION("if(C234="""","""", iferror(filter(Schedule!$K:$K,Schedule!$L:$L=$C234,Schedule!$K:$K=""S1""),unique(filter(Schedule!$K:$K,Schedule!$L:$L=$C234,Schedule!$K:$K=""""))))"),"")</f>
        <v/>
      </c>
      <c r="M234" s="386" t="str">
        <f>if(S234="","",C234)</f>
        <v/>
      </c>
      <c r="N234" s="383"/>
      <c r="O234" s="383"/>
      <c r="P234" s="383"/>
      <c r="Q234" s="383"/>
      <c r="R234" s="384"/>
      <c r="S234" s="385" t="str">
        <f>if(I234="S1","S2","")</f>
        <v/>
      </c>
      <c r="T234" s="112"/>
    </row>
    <row r="235">
      <c r="A235" s="116"/>
      <c r="B235" s="116"/>
      <c r="C235" s="100" t="s">
        <v>7</v>
      </c>
      <c r="D235" s="387" t="s">
        <v>8</v>
      </c>
      <c r="E235" s="387" t="s">
        <v>9</v>
      </c>
      <c r="F235" s="387" t="s">
        <v>10</v>
      </c>
      <c r="G235" s="387" t="s">
        <v>11</v>
      </c>
      <c r="H235" s="387" t="s">
        <v>12</v>
      </c>
      <c r="I235" s="21" t="s">
        <v>766</v>
      </c>
      <c r="J235" s="116"/>
      <c r="K235" s="116"/>
      <c r="L235" s="116"/>
      <c r="M235" s="100" t="s">
        <v>7</v>
      </c>
      <c r="N235" s="387" t="s">
        <v>8</v>
      </c>
      <c r="O235" s="387" t="s">
        <v>9</v>
      </c>
      <c r="P235" s="387" t="s">
        <v>10</v>
      </c>
      <c r="Q235" s="387" t="s">
        <v>11</v>
      </c>
      <c r="R235" s="387" t="s">
        <v>12</v>
      </c>
      <c r="S235" s="21" t="s">
        <v>766</v>
      </c>
      <c r="T235" s="388"/>
    </row>
    <row r="236">
      <c r="A236" s="389" t="str">
        <f>C234</f>
        <v>Karol Marin</v>
      </c>
      <c r="B236" s="389" t="str">
        <f>I234</f>
        <v/>
      </c>
      <c r="C236" s="100">
        <v>1.0</v>
      </c>
      <c r="D236" s="390" t="str">
        <f>IFERROR(__xludf.DUMMYFUNCTION("if($A236="""","""",iferror(join("" &amp; "",filter(Schedule!$P:$P&amp;""-""&amp;Schedule!$Q:$Q,Schedule!$L:$L=$A236,(Schedule!$K:$K=$B236)+(Schedule!$K:$K=""""),Schedule!$P:$P&lt;&gt;"""")),""""))"),"Sociales 10-1")</f>
        <v>Sociales 10-1</v>
      </c>
      <c r="E236" s="390" t="str">
        <f>IFERROR(__xludf.DUMMYFUNCTION("if($A236="""","""",iferror(join("" &amp; "",filter(Schedule!$AE:$AE&amp;""-""&amp;Schedule!$AF:$AF,Schedule!$L:$L=$A236,(Schedule!$K:$K=$B236)+(Schedule!$K:$K=""""),Schedule!$AE:$AE&lt;&gt;"""")),""""))"),"")</f>
        <v/>
      </c>
      <c r="F236" s="390" t="str">
        <f>IFERROR(__xludf.DUMMYFUNCTION("if($A236="""","""",iferror(join("" &amp; "",filter(Schedule!$V:$V&amp;""-""&amp;Schedule!$W:$W,Schedule!$L:$L=$A236,(Schedule!$K:$K=$B236)+(Schedule!$K:$K=""""),Schedule!$V:$V&lt;&gt;"""")),""""))"),"")</f>
        <v/>
      </c>
      <c r="G236" s="390" t="str">
        <f>IFERROR(__xludf.DUMMYFUNCTION("if($A236="""","""",iferror(join("" &amp; "",filter(Schedule!$AK:$AK&amp;""-""&amp;Schedule!$AL:$AL,Schedule!$L:$L=$A236,(Schedule!$K:$K=$B236)+(Schedule!$K:$K=""""),Schedule!$AK:$AK&lt;&gt;"""")),""""))"),"Sociales 10-5")</f>
        <v>Sociales 10-5</v>
      </c>
      <c r="H236" s="390" t="str">
        <f>IFERROR(__xludf.DUMMYFUNCTION("if($A236="""","""",iferror(join("" &amp; "",filter(Schedule!$AB:$AB&amp;""-""&amp;Schedule!$AC:$AC,Schedule!$L:$L=$A236,(Schedule!$K:$K=$B236)+(Schedule!$K:$K=""""),Schedule!$AB:$AB&lt;&gt;"""")),""""))"),"Sociales 10-3")</f>
        <v>Sociales 10-3</v>
      </c>
      <c r="I236" s="391">
        <f>if(C234="","", 24-countifs(D236:H240,""))</f>
        <v>15</v>
      </c>
      <c r="J236" s="392"/>
      <c r="K236" s="389" t="str">
        <f>M234</f>
        <v/>
      </c>
      <c r="L236" s="389" t="str">
        <f>S234</f>
        <v/>
      </c>
      <c r="M236" s="100">
        <v>1.0</v>
      </c>
      <c r="N236" s="390" t="str">
        <f>IFERROR(__xludf.DUMMYFUNCTION("if($K236="""","""",iferror(join("" &amp; "",filter(Schedule!$P:$P&amp;""-""&amp;Schedule!$Q:$Q,Schedule!$L:$L=$K236,(Schedule!$K:$K=$L236)+(Schedule!$K:$K=""""),Schedule!$P:$P&lt;&gt;"""")),""""))"),"")</f>
        <v/>
      </c>
      <c r="O236" s="390" t="str">
        <f>IFERROR(__xludf.DUMMYFUNCTION("if($K236="""","""",iferror(join("" &amp; "",filter(Schedule!$AE:$AE&amp;""-""&amp;Schedule!$AF:$AF,Schedule!$L:$L=$K236,(Schedule!$K:$K=$L236)+(Schedule!$K:$K=""""),Schedule!$AE:$AE&lt;&gt;"""")),""""))"),"")</f>
        <v/>
      </c>
      <c r="P236" s="390" t="str">
        <f>IFERROR(__xludf.DUMMYFUNCTION("if($K236="""","""",iferror(join("" &amp; "",filter(Schedule!$V:$V&amp;""-""&amp;Schedule!$W:$W,Schedule!$L:$L=$K236,(Schedule!$K:$K=$L236)+(Schedule!$K:$K=""""),Schedule!$V:$V&lt;&gt;"""")),""""))"),"")</f>
        <v/>
      </c>
      <c r="Q236" s="390" t="str">
        <f>IFERROR(__xludf.DUMMYFUNCTION("if($K236="""","""",iferror(join("" &amp; "",filter(Schedule!$AK:$AK&amp;""-""&amp;Schedule!$AL:$AL,Schedule!$L:$L=$K236,(Schedule!$K:$K=$L236)+(Schedule!$K:$K=""""),Schedule!$AK:$AK&lt;&gt;"""")),""""))"),"")</f>
        <v/>
      </c>
      <c r="R236" s="390" t="str">
        <f>IFERROR(__xludf.DUMMYFUNCTION("if($K236="""","""",iferror(join("" &amp; "",filter(Schedule!$AB:$AB&amp;""-""&amp;Schedule!$AC:$AC,Schedule!$L:$L=$K236,(Schedule!$K:$K=$L236)+(Schedule!$K:$K=""""),Schedule!$AB:$AB&lt;&gt;"""")),""""))"),"")</f>
        <v/>
      </c>
      <c r="S236" s="391" t="str">
        <f>if(K236="","", 24-countifs(N236:R240,""))</f>
        <v/>
      </c>
      <c r="T236" s="393"/>
    </row>
    <row r="237">
      <c r="A237" s="389" t="str">
        <f>C234</f>
        <v>Karol Marin</v>
      </c>
      <c r="B237" s="389" t="str">
        <f>I234</f>
        <v/>
      </c>
      <c r="C237" s="100">
        <v>2.0</v>
      </c>
      <c r="D237" s="390" t="str">
        <f>IFERROR(__xludf.DUMMYFUNCTION("if($A237="""","""",iferror(join("" &amp; "",filter(Schedule!$S:$S&amp;""-""&amp;Schedule!$T:$T,Schedule!$L:$L=$A237,(Schedule!$K:$K=$B237)+(Schedule!$K:$K=""""),Schedule!$S:$S&lt;&gt;"""")),""""))"),"")</f>
        <v/>
      </c>
      <c r="E237" s="390" t="str">
        <f>IFERROR(__xludf.DUMMYFUNCTION("if($A237="""","""",iferror(join("" &amp; "",filter(Schedule!$AH:$AH&amp;""-""&amp;Schedule!$AI:$AI,Schedule!$L:$L=$A237,(Schedule!$K:$K=$B237)+(Schedule!$K:$K=""""),Schedule!$AH:$AH&lt;&gt;"""")),""""))"),"Sociales 10-4")</f>
        <v>Sociales 10-4</v>
      </c>
      <c r="F237" s="390" t="str">
        <f>IFERROR(__xludf.DUMMYFUNCTION("if($A237="""","""",iferror(join("" &amp; "",filter(Schedule!$Y:$Y&amp;""-""&amp;Schedule!$Z:$Z,Schedule!$L:$L=$A237,(Schedule!$K:$K=$B237)+(Schedule!$K:$K=""""),Schedule!$Y:$Y&lt;&gt;"""")),""""))"),"Sociales 10-2")</f>
        <v>Sociales 10-2</v>
      </c>
      <c r="G237" s="390" t="str">
        <f>IFERROR(__xludf.DUMMYFUNCTION("if($A237="""","""",iferror(join("" &amp; "",filter(Schedule!$P:$P&amp;""-""&amp;Schedule!$Q:$Q,Schedule!$L:$L=$A237,(Schedule!$K:$K=$B237)+(Schedule!$K:$K=""""),Schedule!$P:$P&lt;&gt;"""")),""""))"),"Sociales 10-1")</f>
        <v>Sociales 10-1</v>
      </c>
      <c r="H237" s="390" t="str">
        <f>IFERROR(__xludf.DUMMYFUNCTION("if($A237="""","""",iferror(join("" &amp; "",filter(Schedule!$AE:$AE&amp;""-""&amp;Schedule!$AF:$AF,Schedule!$L:$L=$A237,(Schedule!$K:$K=$B237)+(Schedule!$K:$K=""""),Schedule!$AE:$AE&lt;&gt;"""")),""""))"),"")</f>
        <v/>
      </c>
      <c r="I237" s="53"/>
      <c r="J237" s="392"/>
      <c r="K237" s="389" t="str">
        <f>M234</f>
        <v/>
      </c>
      <c r="L237" s="389" t="str">
        <f>S234</f>
        <v/>
      </c>
      <c r="M237" s="100">
        <v>2.0</v>
      </c>
      <c r="N237" s="390" t="str">
        <f>IFERROR(__xludf.DUMMYFUNCTION("if($K237="""","""",iferror(join("" &amp; "",filter(Schedule!$S:$S&amp;""-""&amp;Schedule!$T:$T,Schedule!$L:$L=$K237,(Schedule!$K:$K=$L237)+(Schedule!$K:$K=""""),Schedule!$S:$S&lt;&gt;"""")),""""))"),"")</f>
        <v/>
      </c>
      <c r="O237" s="390" t="str">
        <f>IFERROR(__xludf.DUMMYFUNCTION("if($K237="""","""",iferror(join("" &amp; "",filter(Schedule!$AH:$AH&amp;""-""&amp;Schedule!$AI:$AI,Schedule!$L:$L=$K237,(Schedule!$K:$K=$L237)+(Schedule!$K:$K=""""),Schedule!$AH:$AH&lt;&gt;"""")),""""))"),"")</f>
        <v/>
      </c>
      <c r="P237" s="390" t="str">
        <f>IFERROR(__xludf.DUMMYFUNCTION("if($K237="""","""",iferror(join("" &amp; "",filter(Schedule!$Y:$Y&amp;""-""&amp;Schedule!$Z:$Z,Schedule!$L:$L=$K237,(Schedule!$K:$K=$L237)+(Schedule!$K:$K=""""),Schedule!$Y:$Y&lt;&gt;"""")),""""))"),"")</f>
        <v/>
      </c>
      <c r="Q237" s="390" t="str">
        <f>IFERROR(__xludf.DUMMYFUNCTION("if($K237="""","""",iferror(join("" &amp; "",filter(Schedule!$P:$P&amp;""-""&amp;Schedule!$Q:$Q,Schedule!$L:$L=$K237,(Schedule!$K:$K=$L237)+(Schedule!$K:$K=""""),Schedule!$P:$P&lt;&gt;"""")),""""))"),"")</f>
        <v/>
      </c>
      <c r="R237" s="390" t="str">
        <f>IFERROR(__xludf.DUMMYFUNCTION("if($K237="""","""",iferror(join("" &amp; "",filter(Schedule!$AE:$AE&amp;""-""&amp;Schedule!$AF:$AF,Schedule!$L:$L=$K237,(Schedule!$K:$K=$L237)+(Schedule!$K:$K=""""),Schedule!$AE:$AE&lt;&gt;"""")),""""))"),"")</f>
        <v/>
      </c>
      <c r="S237" s="53"/>
      <c r="T237" s="393"/>
    </row>
    <row r="238">
      <c r="A238" s="389" t="str">
        <f>C234</f>
        <v>Karol Marin</v>
      </c>
      <c r="B238" s="389" t="str">
        <f>I234</f>
        <v/>
      </c>
      <c r="C238" s="100">
        <v>3.0</v>
      </c>
      <c r="D238" s="390" t="str">
        <f>IFERROR(__xludf.DUMMYFUNCTION("if($A238="""","""",iferror(join("" &amp; "",filter(Schedule!$V:$V&amp;""-""&amp;Schedule!$W:$W,Schedule!$L:$L=$A238,(Schedule!$K:$K=$B238)+(Schedule!$K:$K=""""),Schedule!$V:$V&lt;&gt;"""")),""""))"),"")</f>
        <v/>
      </c>
      <c r="E238" s="390" t="str">
        <f>IFERROR(__xludf.DUMMYFUNCTION("if($A238="""","""",iferror(join("" &amp; "",filter(Schedule!$AK:$AK&amp;""-""&amp;Schedule!$AL:$AL,Schedule!$L:$L=$A238,(Schedule!$K:$K=$B238)+(Schedule!$K:$K=""""),Schedule!$AK:$AK&lt;&gt;"""")),""""))"),"Sociales 10-5")</f>
        <v>Sociales 10-5</v>
      </c>
      <c r="F238" s="390" t="str">
        <f>IFERROR(__xludf.DUMMYFUNCTION("if($A238="""","""",iferror(join("" &amp; "",filter(Schedule!$AB:$AB&amp;""-""&amp;Schedule!$AC:$AC,Schedule!$L:$L=$A238,(Schedule!$K:$K=$B238)+(Schedule!$K:$K=""""),Schedule!$AB:$AB&lt;&gt;"""")),""""))"),"Sociales 10-3")</f>
        <v>Sociales 10-3</v>
      </c>
      <c r="G238" s="390" t="str">
        <f>IFERROR(__xludf.DUMMYFUNCTION("if($A238="""","""",iferror(join("" &amp; "",filter(Schedule!$S:$S&amp;""-""&amp;Schedule!$T:$T,Schedule!$L:$L=$A238,(Schedule!$K:$K=$B238)+(Schedule!$K:$K=""""),Schedule!$S:$S&lt;&gt;"""")),""""))"),"")</f>
        <v/>
      </c>
      <c r="H238" s="395" t="str">
        <f>if($C234="","","X-Block")</f>
        <v>X-Block</v>
      </c>
      <c r="I238" s="53"/>
      <c r="J238" s="392"/>
      <c r="K238" s="389" t="str">
        <f>M234</f>
        <v/>
      </c>
      <c r="L238" s="389" t="str">
        <f>S234</f>
        <v/>
      </c>
      <c r="M238" s="100">
        <v>3.0</v>
      </c>
      <c r="N238" s="390" t="str">
        <f>IFERROR(__xludf.DUMMYFUNCTION("if($K238="""","""",iferror(join("" &amp; "",filter(Schedule!$V:$V&amp;""-""&amp;Schedule!$W:$W,Schedule!$L:$L=$K238,(Schedule!$K:$K=$L238)+(Schedule!$K:$K=""""),Schedule!$V:$V&lt;&gt;"""")),""""))"),"")</f>
        <v/>
      </c>
      <c r="O238" s="390" t="str">
        <f>IFERROR(__xludf.DUMMYFUNCTION("if($K238="""","""",iferror(join("" &amp; "",filter(Schedule!$AK:$AK&amp;""-""&amp;Schedule!$AL:$AL,Schedule!$L:$L=$K238,(Schedule!$K:$K=$L238)+(Schedule!$K:$K=""""),Schedule!$AK:$AK&lt;&gt;"""")),""""))"),"")</f>
        <v/>
      </c>
      <c r="P238" s="390" t="str">
        <f>IFERROR(__xludf.DUMMYFUNCTION("if($K238="""","""",iferror(join("" &amp; "",filter(Schedule!$AB:$AB&amp;""-""&amp;Schedule!$AC:$AC,Schedule!$L:$L=$K238,(Schedule!$K:$K=$L238)+(Schedule!$K:$K=""""),Schedule!$AB:$AB&lt;&gt;"""")),""""))"),"")</f>
        <v/>
      </c>
      <c r="Q238" s="390" t="str">
        <f>IFERROR(__xludf.DUMMYFUNCTION("if($K238="""","""",iferror(join("" &amp; "",filter(Schedule!$S:$S&amp;""-""&amp;Schedule!$T:$T,Schedule!$L:$L=$K238,(Schedule!$K:$K=$L238)+(Schedule!$K:$K=""""),Schedule!$S:$S&lt;&gt;"""")),""""))"),"")</f>
        <v/>
      </c>
      <c r="R238" s="395" t="str">
        <f>if($M234="","","X-Block")</f>
        <v/>
      </c>
      <c r="S238" s="53"/>
      <c r="T238" s="393"/>
    </row>
    <row r="239">
      <c r="A239" s="389" t="str">
        <f>C234</f>
        <v>Karol Marin</v>
      </c>
      <c r="B239" s="389" t="str">
        <f>I234</f>
        <v/>
      </c>
      <c r="C239" s="100">
        <v>4.0</v>
      </c>
      <c r="D239" s="390" t="str">
        <f>IFERROR(__xludf.DUMMYFUNCTION("if($A239="""","""",iferror(join("" &amp; "",filter(Schedule!$Y:$Y&amp;""-""&amp;Schedule!$Z:$Z,Schedule!$L:$L=$A239,(Schedule!$K:$K=$B239)+(Schedule!$K:$K=""""),Schedule!$Y:$Y&lt;&gt;"""")),""""))"),"Sociales 10-2")</f>
        <v>Sociales 10-2</v>
      </c>
      <c r="E239" s="390" t="str">
        <f>IFERROR(__xludf.DUMMYFUNCTION("if($A239="""","""",iferror(join("" &amp; "",filter(Schedule!$P:$P&amp;""-""&amp;Schedule!$Q:$Q,Schedule!$L:$L=$A239,(Schedule!$K:$K=$B239)+(Schedule!$K:$K=""""),Schedule!$P:$P&lt;&gt;"""")),""""))"),"Sociales 10-1")</f>
        <v>Sociales 10-1</v>
      </c>
      <c r="F239" s="390" t="str">
        <f>IFERROR(__xludf.DUMMYFUNCTION("if($A239="""","""",iferror(join("" &amp; "",filter(Schedule!$AE:$AE&amp;""-""&amp;Schedule!$AF:$AF,Schedule!$L:$L=$A239,(Schedule!$K:$K=$B239)+(Schedule!$K:$K=""""),Schedule!$AE:$AE&lt;&gt;"""")),""""))"),"")</f>
        <v/>
      </c>
      <c r="G239" s="390" t="str">
        <f>IFERROR(__xludf.DUMMYFUNCTION("if($A239="""","""",iferror(join("" &amp; "",filter(Schedule!$V:$V&amp;""-""&amp;Schedule!$W:$W,Schedule!$L:$L=$A239,(Schedule!$K:$K=$B239)+(Schedule!$K:$K=""""),Schedule!$V:$V&lt;&gt;"""")),""""))"),"")</f>
        <v/>
      </c>
      <c r="H239" s="390" t="str">
        <f>IFERROR(__xludf.DUMMYFUNCTION("if($A239="""","""",iferror(join("" &amp; "",filter(Schedule!$AH:$AH&amp;""-""&amp;Schedule!$AI:$AI,Schedule!$L:$L=$A239,(Schedule!$K:$K=$B239)+(Schedule!$K:$K=""""),Schedule!$AH:$AH&lt;&gt;"""")),""""))"),"Sociales 10-4")</f>
        <v>Sociales 10-4</v>
      </c>
      <c r="I239" s="53"/>
      <c r="J239" s="392"/>
      <c r="K239" s="389" t="str">
        <f>M234</f>
        <v/>
      </c>
      <c r="L239" s="389" t="str">
        <f>S234</f>
        <v/>
      </c>
      <c r="M239" s="100">
        <v>4.0</v>
      </c>
      <c r="N239" s="390" t="str">
        <f>IFERROR(__xludf.DUMMYFUNCTION("if($K239="""","""",iferror(join("" &amp; "",filter(Schedule!$Y:$Y&amp;""-""&amp;Schedule!$Z:$Z,Schedule!$L:$L=$K239,(Schedule!$K:$K=$L239)+(Schedule!$K:$K=""""),Schedule!$Y:$Y&lt;&gt;"""")),""""))"),"")</f>
        <v/>
      </c>
      <c r="O239" s="390" t="str">
        <f>IFERROR(__xludf.DUMMYFUNCTION("if($K239="""","""",iferror(join("" &amp; "",filter(Schedule!$P:$P&amp;""-""&amp;Schedule!$Q:$Q,Schedule!$L:$L=$K239,(Schedule!$K:$K=$L239)+(Schedule!$K:$K=""""),Schedule!$P:$P&lt;&gt;"""")),""""))"),"")</f>
        <v/>
      </c>
      <c r="P239" s="390" t="str">
        <f>IFERROR(__xludf.DUMMYFUNCTION("if($K239="""","""",iferror(join("" &amp; "",filter(Schedule!$AE:$AE&amp;""-""&amp;Schedule!$AF:$AF,Schedule!$L:$L=$K239,(Schedule!$K:$K=$L239)+(Schedule!$K:$K=""""),Schedule!$AE:$AE&lt;&gt;"""")),""""))"),"")</f>
        <v/>
      </c>
      <c r="Q239" s="390" t="str">
        <f>IFERROR(__xludf.DUMMYFUNCTION("if($K239="""","""",iferror(join("" &amp; "",filter(Schedule!$V:$V&amp;""-""&amp;Schedule!$W:$W,Schedule!$L:$L=$K239,(Schedule!$K:$K=$L239)+(Schedule!$K:$K=""""),Schedule!$V:$V&lt;&gt;"""")),""""))"),"")</f>
        <v/>
      </c>
      <c r="R239" s="390" t="str">
        <f>IFERROR(__xludf.DUMMYFUNCTION("if($K239="""","""",iferror(join("" &amp; "",filter(Schedule!$AH:$AH&amp;""-""&amp;Schedule!$AI:$AI,Schedule!$L:$L=$K239,(Schedule!$K:$K=$L239)+(Schedule!$K:$K=""""),Schedule!$AH:$AH&lt;&gt;"""")),""""))"),"")</f>
        <v/>
      </c>
      <c r="S239" s="53"/>
      <c r="T239" s="393"/>
    </row>
    <row r="240">
      <c r="A240" s="389" t="str">
        <f>C234</f>
        <v>Karol Marin</v>
      </c>
      <c r="B240" s="389" t="str">
        <f>I234</f>
        <v/>
      </c>
      <c r="C240" s="100">
        <v>5.0</v>
      </c>
      <c r="D240" s="390" t="str">
        <f>IFERROR(__xludf.DUMMYFUNCTION("if($A240="""","""",iferror(join("" &amp; "",filter(Schedule!$AB:$AB&amp;""-""&amp;Schedule!$AC:$AC,Schedule!$L:$L=$A240,(Schedule!$K:$K=$B240)+(Schedule!$K:$K=""""),Schedule!$AB:$AB&lt;&gt;"""")),""""))"),"Sociales 10-3")</f>
        <v>Sociales 10-3</v>
      </c>
      <c r="E240" s="390" t="str">
        <f>IFERROR(__xludf.DUMMYFUNCTION("if($A240="""","""",iferror(join("" &amp; "",filter(Schedule!$S:$S&amp;""-""&amp;Schedule!$T:$T,Schedule!$L:$L=$A240,(Schedule!$K:$K=$B240)+(Schedule!$K:$K=""""),Schedule!$S:$S&lt;&gt;"""")),""""))"),"")</f>
        <v/>
      </c>
      <c r="F240" s="390" t="str">
        <f>IFERROR(__xludf.DUMMYFUNCTION("if($A240="""","""",iferror(join("" &amp; "",filter(Schedule!$AH:$AH&amp;""-""&amp;Schedule!$AI:$AI,Schedule!$L:$L=$A240,(Schedule!$K:$K=$B240)+(Schedule!$K:$K=""""),Schedule!$AH:$AH&lt;&gt;"""")),""""))"),"Sociales 10-4")</f>
        <v>Sociales 10-4</v>
      </c>
      <c r="G240" s="390" t="str">
        <f>IFERROR(__xludf.DUMMYFUNCTION("if($A240="""","""",iferror(join("" &amp; "",filter(Schedule!$Y:$Y&amp;""-""&amp;Schedule!$Z:$Z,Schedule!$L:$L=$A240,(Schedule!$K:$K=$B240)+(Schedule!$K:$K=""""),Schedule!$Y:$Y&lt;&gt;"""")),""""))"),"Sociales 10-2")</f>
        <v>Sociales 10-2</v>
      </c>
      <c r="H240" s="390" t="str">
        <f>IFERROR(__xludf.DUMMYFUNCTION("if($A240="""","""",iferror(join("" &amp; "",filter(Schedule!$AK:$AK&amp;""-""&amp;Schedule!$AL:$AL,Schedule!$L:$L=$A240,(Schedule!$K:$K=$B240)+(Schedule!$K:$K=""""),Schedule!$AK:$AK&lt;&gt;"""")),""""))"),"Sociales 10-5")</f>
        <v>Sociales 10-5</v>
      </c>
      <c r="I240" s="68"/>
      <c r="J240" s="392"/>
      <c r="K240" s="389" t="str">
        <f>M234</f>
        <v/>
      </c>
      <c r="L240" s="389" t="str">
        <f>S234</f>
        <v/>
      </c>
      <c r="M240" s="100">
        <v>5.0</v>
      </c>
      <c r="N240" s="390" t="str">
        <f>IFERROR(__xludf.DUMMYFUNCTION("if($K240="""","""",iferror(join("" &amp; "",filter(Schedule!$AB:$AB&amp;""-""&amp;Schedule!$AC:$AC,Schedule!$L:$L=$K240,(Schedule!$K:$K=$L240)+(Schedule!$K:$K=""""),Schedule!$AB:$AB&lt;&gt;"""")),""""))"),"")</f>
        <v/>
      </c>
      <c r="O240" s="390" t="str">
        <f>IFERROR(__xludf.DUMMYFUNCTION("if($K240="""","""",iferror(join("" &amp; "",filter(Schedule!$S:$S&amp;""-""&amp;Schedule!$T:$T,Schedule!$L:$L=$K240,(Schedule!$K:$K=$L240)+(Schedule!$K:$K=""""),Schedule!$S:$S&lt;&gt;"""")),""""))"),"")</f>
        <v/>
      </c>
      <c r="P240" s="390" t="str">
        <f>IFERROR(__xludf.DUMMYFUNCTION("if($K240="""","""",iferror(join("" &amp; "",filter(Schedule!$AH:$AH&amp;""-""&amp;Schedule!$AI:$AI,Schedule!$L:$L=$K240,(Schedule!$K:$K=$L240)+(Schedule!$K:$K=""""),Schedule!$AH:$AH&lt;&gt;"""")),""""))"),"")</f>
        <v/>
      </c>
      <c r="Q240" s="390" t="str">
        <f>IFERROR(__xludf.DUMMYFUNCTION("if($K240="""","""",iferror(join("" &amp; "",filter(Schedule!$Y:$Y&amp;""-""&amp;Schedule!$Z:$Z,Schedule!$L:$L=$K240,(Schedule!$K:$K=$L240)+(Schedule!$K:$K=""""),Schedule!$Y:$Y&lt;&gt;"""")),""""))"),"")</f>
        <v/>
      </c>
      <c r="R240" s="390" t="str">
        <f>IFERROR(__xludf.DUMMYFUNCTION("if($K240="""","""",iferror(join("" &amp; "",filter(Schedule!$AK:$AK&amp;""-""&amp;Schedule!$AL:$AL,Schedule!$L:$L=$K240,(Schedule!$K:$K=$L240)+(Schedule!$K:$K=""""),Schedule!$AK:$AK&lt;&gt;"""")),""""))"),"")</f>
        <v/>
      </c>
      <c r="S240" s="68"/>
      <c r="T240" s="393"/>
    </row>
    <row r="241">
      <c r="C241" s="3"/>
      <c r="D241" s="396"/>
      <c r="E241" s="396"/>
      <c r="F241" s="396"/>
      <c r="G241" s="396"/>
      <c r="H241" s="396"/>
      <c r="N241" s="397"/>
      <c r="O241" s="397"/>
      <c r="P241" s="397"/>
      <c r="Q241" s="397"/>
      <c r="R241" s="397"/>
    </row>
    <row r="242">
      <c r="A242" s="45"/>
      <c r="B242" s="45"/>
      <c r="C242" s="386" t="str">
        <f>Teachers!A31</f>
        <v>Mauricio Sepúlveda</v>
      </c>
      <c r="D242" s="383"/>
      <c r="E242" s="383"/>
      <c r="F242" s="383"/>
      <c r="G242" s="383"/>
      <c r="H242" s="384"/>
      <c r="I242" s="385" t="str">
        <f>IFERROR(__xludf.DUMMYFUNCTION("if(C242="""","""", iferror(filter(Schedule!$K:$K,Schedule!$L:$L=$C242,Schedule!$K:$K=""S1""),unique(filter(Schedule!$K:$K,Schedule!$L:$L=$C242,Schedule!$K:$K=""""))))"),"")</f>
        <v/>
      </c>
      <c r="M242" s="386" t="str">
        <f>if(S242="","",C242)</f>
        <v/>
      </c>
      <c r="N242" s="383"/>
      <c r="O242" s="383"/>
      <c r="P242" s="383"/>
      <c r="Q242" s="383"/>
      <c r="R242" s="384"/>
      <c r="S242" s="385" t="str">
        <f>if(I242="S1","S2","")</f>
        <v/>
      </c>
      <c r="T242" s="112"/>
    </row>
    <row r="243">
      <c r="A243" s="116"/>
      <c r="B243" s="116"/>
      <c r="C243" s="100" t="s">
        <v>7</v>
      </c>
      <c r="D243" s="387" t="s">
        <v>8</v>
      </c>
      <c r="E243" s="387" t="s">
        <v>9</v>
      </c>
      <c r="F243" s="387" t="s">
        <v>10</v>
      </c>
      <c r="G243" s="387" t="s">
        <v>11</v>
      </c>
      <c r="H243" s="387" t="s">
        <v>12</v>
      </c>
      <c r="I243" s="21" t="s">
        <v>766</v>
      </c>
      <c r="J243" s="116"/>
      <c r="K243" s="116"/>
      <c r="L243" s="116"/>
      <c r="M243" s="100" t="s">
        <v>7</v>
      </c>
      <c r="N243" s="387" t="s">
        <v>8</v>
      </c>
      <c r="O243" s="387" t="s">
        <v>9</v>
      </c>
      <c r="P243" s="387" t="s">
        <v>10</v>
      </c>
      <c r="Q243" s="387" t="s">
        <v>11</v>
      </c>
      <c r="R243" s="387" t="s">
        <v>12</v>
      </c>
      <c r="S243" s="21" t="s">
        <v>766</v>
      </c>
      <c r="T243" s="388"/>
    </row>
    <row r="244">
      <c r="A244" s="389" t="str">
        <f>C242</f>
        <v>Mauricio Sepúlveda</v>
      </c>
      <c r="B244" s="389" t="str">
        <f>I242</f>
        <v/>
      </c>
      <c r="C244" s="100">
        <v>1.0</v>
      </c>
      <c r="D244" s="390" t="str">
        <f>IFERROR(__xludf.DUMMYFUNCTION("if($A244="""","""",iferror(join("" &amp; "",filter(Schedule!$P:$P&amp;""-""&amp;Schedule!$Q:$Q,Schedule!$L:$L=$A244,(Schedule!$K:$K=$B244)+(Schedule!$K:$K=""""),Schedule!$P:$P&lt;&gt;"""")),""""))"),"")</f>
        <v/>
      </c>
      <c r="E244" s="390" t="str">
        <f>IFERROR(__xludf.DUMMYFUNCTION("if($A244="""","""",iferror(join("" &amp; "",filter(Schedule!$AE:$AE&amp;""-""&amp;Schedule!$AF:$AF,Schedule!$L:$L=$A244,(Schedule!$K:$K=$B244)+(Schedule!$K:$K=""""),Schedule!$AE:$AE&lt;&gt;"""")),""""))"),"Geometry-4")</f>
        <v>Geometry-4</v>
      </c>
      <c r="F244" s="390" t="str">
        <f>IFERROR(__xludf.DUMMYFUNCTION("if($A244="""","""",iferror(join("" &amp; "",filter(Schedule!$V:$V&amp;""-""&amp;Schedule!$W:$W,Schedule!$L:$L=$A244,(Schedule!$K:$K=$B244)+(Schedule!$K:$K=""""),Schedule!$V:$V&lt;&gt;"""")),""""))"),"Geometry-2")</f>
        <v>Geometry-2</v>
      </c>
      <c r="G244" s="390" t="str">
        <f>IFERROR(__xludf.DUMMYFUNCTION("if($A244="""","""",iferror(join("" &amp; "",filter(Schedule!$AK:$AK&amp;""-""&amp;Schedule!$AL:$AL,Schedule!$L:$L=$A244,(Schedule!$K:$K=$B244)+(Schedule!$K:$K=""""),Schedule!$AK:$AK&lt;&gt;"""")),""""))"),"Geometry-6")</f>
        <v>Geometry-6</v>
      </c>
      <c r="H244" s="390" t="str">
        <f>IFERROR(__xludf.DUMMYFUNCTION("if($A244="""","""",iferror(join("" &amp; "",filter(Schedule!$AB:$AB&amp;""-""&amp;Schedule!$AC:$AC,Schedule!$L:$L=$A244,(Schedule!$K:$K=$B244)+(Schedule!$K:$K=""""),Schedule!$AB:$AB&lt;&gt;"""")),""""))"),"")</f>
        <v/>
      </c>
      <c r="I244" s="391">
        <f>if(C242="","", 24-countifs(D244:H248,""))</f>
        <v>15</v>
      </c>
      <c r="J244" s="392"/>
      <c r="K244" s="389" t="str">
        <f>M242</f>
        <v/>
      </c>
      <c r="L244" s="389" t="str">
        <f>S242</f>
        <v/>
      </c>
      <c r="M244" s="100">
        <v>1.0</v>
      </c>
      <c r="N244" s="390" t="str">
        <f>IFERROR(__xludf.DUMMYFUNCTION("if($K244="""","""",iferror(join("" &amp; "",filter(Schedule!$P:$P&amp;""-""&amp;Schedule!$Q:$Q,Schedule!$L:$L=$K244,(Schedule!$K:$K=$L244)+(Schedule!$K:$K=""""),Schedule!$P:$P&lt;&gt;"""")),""""))"),"")</f>
        <v/>
      </c>
      <c r="O244" s="390" t="str">
        <f>IFERROR(__xludf.DUMMYFUNCTION("if($K244="""","""",iferror(join("" &amp; "",filter(Schedule!$AE:$AE&amp;""-""&amp;Schedule!$AF:$AF,Schedule!$L:$L=$K244,(Schedule!$K:$K=$L244)+(Schedule!$K:$K=""""),Schedule!$AE:$AE&lt;&gt;"""")),""""))"),"")</f>
        <v/>
      </c>
      <c r="P244" s="390" t="str">
        <f>IFERROR(__xludf.DUMMYFUNCTION("if($K244="""","""",iferror(join("" &amp; "",filter(Schedule!$V:$V&amp;""-""&amp;Schedule!$W:$W,Schedule!$L:$L=$K244,(Schedule!$K:$K=$L244)+(Schedule!$K:$K=""""),Schedule!$V:$V&lt;&gt;"""")),""""))"),"")</f>
        <v/>
      </c>
      <c r="Q244" s="390" t="str">
        <f>IFERROR(__xludf.DUMMYFUNCTION("if($K244="""","""",iferror(join("" &amp; "",filter(Schedule!$AK:$AK&amp;""-""&amp;Schedule!$AL:$AL,Schedule!$L:$L=$K244,(Schedule!$K:$K=$L244)+(Schedule!$K:$K=""""),Schedule!$AK:$AK&lt;&gt;"""")),""""))"),"")</f>
        <v/>
      </c>
      <c r="R244" s="390" t="str">
        <f>IFERROR(__xludf.DUMMYFUNCTION("if($K244="""","""",iferror(join("" &amp; "",filter(Schedule!$AB:$AB&amp;""-""&amp;Schedule!$AC:$AC,Schedule!$L:$L=$K244,(Schedule!$K:$K=$L244)+(Schedule!$K:$K=""""),Schedule!$AB:$AB&lt;&gt;"""")),""""))"),"")</f>
        <v/>
      </c>
      <c r="S244" s="391" t="str">
        <f>if(K244="","", 24-countifs(N244:R248,""))</f>
        <v/>
      </c>
      <c r="T244" s="393"/>
    </row>
    <row r="245">
      <c r="A245" s="389" t="str">
        <f>C242</f>
        <v>Mauricio Sepúlveda</v>
      </c>
      <c r="B245" s="389" t="str">
        <f>I242</f>
        <v/>
      </c>
      <c r="C245" s="100">
        <v>2.0</v>
      </c>
      <c r="D245" s="390" t="str">
        <f>IFERROR(__xludf.DUMMYFUNCTION("if($A245="""","""",iferror(join("" &amp; "",filter(Schedule!$S:$S&amp;""-""&amp;Schedule!$T:$T,Schedule!$L:$L=$A245,(Schedule!$K:$K=$B245)+(Schedule!$K:$K=""""),Schedule!$S:$S&lt;&gt;"""")),""""))"),"")</f>
        <v/>
      </c>
      <c r="E245" s="390" t="str">
        <f>IFERROR(__xludf.DUMMYFUNCTION("if($A245="""","""",iferror(join("" &amp; "",filter(Schedule!$AH:$AH&amp;""-""&amp;Schedule!$AI:$AI,Schedule!$L:$L=$A245,(Schedule!$K:$K=$B245)+(Schedule!$K:$K=""""),Schedule!$AH:$AH&lt;&gt;"""")),""""))"),"Geometry-5")</f>
        <v>Geometry-5</v>
      </c>
      <c r="F245" s="390" t="str">
        <f>IFERROR(__xludf.DUMMYFUNCTION("if($A245="""","""",iferror(join("" &amp; "",filter(Schedule!$Y:$Y&amp;""-""&amp;Schedule!$Z:$Z,Schedule!$L:$L=$A245,(Schedule!$K:$K=$B245)+(Schedule!$K:$K=""""),Schedule!$Y:$Y&lt;&gt;"""")),""""))"),"Geometry-3")</f>
        <v>Geometry-3</v>
      </c>
      <c r="G245" s="390" t="str">
        <f>IFERROR(__xludf.DUMMYFUNCTION("if($A245="""","""",iferror(join("" &amp; "",filter(Schedule!$P:$P&amp;""-""&amp;Schedule!$Q:$Q,Schedule!$L:$L=$A245,(Schedule!$K:$K=$B245)+(Schedule!$K:$K=""""),Schedule!$P:$P&lt;&gt;"""")),""""))"),"")</f>
        <v/>
      </c>
      <c r="H245" s="390" t="str">
        <f>IFERROR(__xludf.DUMMYFUNCTION("if($A245="""","""",iferror(join("" &amp; "",filter(Schedule!$AE:$AE&amp;""-""&amp;Schedule!$AF:$AF,Schedule!$L:$L=$A245,(Schedule!$K:$K=$B245)+(Schedule!$K:$K=""""),Schedule!$AE:$AE&lt;&gt;"""")),""""))"),"Geometry-4")</f>
        <v>Geometry-4</v>
      </c>
      <c r="I245" s="53"/>
      <c r="J245" s="392"/>
      <c r="K245" s="389" t="str">
        <f>M242</f>
        <v/>
      </c>
      <c r="L245" s="389" t="str">
        <f>S242</f>
        <v/>
      </c>
      <c r="M245" s="100">
        <v>2.0</v>
      </c>
      <c r="N245" s="390" t="str">
        <f>IFERROR(__xludf.DUMMYFUNCTION("if($K245="""","""",iferror(join("" &amp; "",filter(Schedule!$S:$S&amp;""-""&amp;Schedule!$T:$T,Schedule!$L:$L=$K245,(Schedule!$K:$K=$L245)+(Schedule!$K:$K=""""),Schedule!$S:$S&lt;&gt;"""")),""""))"),"")</f>
        <v/>
      </c>
      <c r="O245" s="390" t="str">
        <f>IFERROR(__xludf.DUMMYFUNCTION("if($K245="""","""",iferror(join("" &amp; "",filter(Schedule!$AH:$AH&amp;""-""&amp;Schedule!$AI:$AI,Schedule!$L:$L=$K245,(Schedule!$K:$K=$L245)+(Schedule!$K:$K=""""),Schedule!$AH:$AH&lt;&gt;"""")),""""))"),"")</f>
        <v/>
      </c>
      <c r="P245" s="390" t="str">
        <f>IFERROR(__xludf.DUMMYFUNCTION("if($K245="""","""",iferror(join("" &amp; "",filter(Schedule!$Y:$Y&amp;""-""&amp;Schedule!$Z:$Z,Schedule!$L:$L=$K245,(Schedule!$K:$K=$L245)+(Schedule!$K:$K=""""),Schedule!$Y:$Y&lt;&gt;"""")),""""))"),"")</f>
        <v/>
      </c>
      <c r="Q245" s="390" t="str">
        <f>IFERROR(__xludf.DUMMYFUNCTION("if($K245="""","""",iferror(join("" &amp; "",filter(Schedule!$P:$P&amp;""-""&amp;Schedule!$Q:$Q,Schedule!$L:$L=$K245,(Schedule!$K:$K=$L245)+(Schedule!$K:$K=""""),Schedule!$P:$P&lt;&gt;"""")),""""))"),"")</f>
        <v/>
      </c>
      <c r="R245" s="390" t="str">
        <f>IFERROR(__xludf.DUMMYFUNCTION("if($K245="""","""",iferror(join("" &amp; "",filter(Schedule!$AE:$AE&amp;""-""&amp;Schedule!$AF:$AF,Schedule!$L:$L=$K245,(Schedule!$K:$K=$L245)+(Schedule!$K:$K=""""),Schedule!$AE:$AE&lt;&gt;"""")),""""))"),"")</f>
        <v/>
      </c>
      <c r="S245" s="53"/>
      <c r="T245" s="393"/>
    </row>
    <row r="246">
      <c r="A246" s="389" t="str">
        <f>C242</f>
        <v>Mauricio Sepúlveda</v>
      </c>
      <c r="B246" s="389" t="str">
        <f>I242</f>
        <v/>
      </c>
      <c r="C246" s="100">
        <v>3.0</v>
      </c>
      <c r="D246" s="390" t="str">
        <f>IFERROR(__xludf.DUMMYFUNCTION("if($A246="""","""",iferror(join("" &amp; "",filter(Schedule!$V:$V&amp;""-""&amp;Schedule!$W:$W,Schedule!$L:$L=$A246,(Schedule!$K:$K=$B246)+(Schedule!$K:$K=""""),Schedule!$V:$V&lt;&gt;"""")),""""))"),"Geometry-2")</f>
        <v>Geometry-2</v>
      </c>
      <c r="E246" s="390" t="str">
        <f>IFERROR(__xludf.DUMMYFUNCTION("if($A246="""","""",iferror(join("" &amp; "",filter(Schedule!$AK:$AK&amp;""-""&amp;Schedule!$AL:$AL,Schedule!$L:$L=$A246,(Schedule!$K:$K=$B246)+(Schedule!$K:$K=""""),Schedule!$AK:$AK&lt;&gt;"""")),""""))"),"Geometry-6")</f>
        <v>Geometry-6</v>
      </c>
      <c r="F246" s="390" t="str">
        <f>IFERROR(__xludf.DUMMYFUNCTION("if($A246="""","""",iferror(join("" &amp; "",filter(Schedule!$AB:$AB&amp;""-""&amp;Schedule!$AC:$AC,Schedule!$L:$L=$A246,(Schedule!$K:$K=$B246)+(Schedule!$K:$K=""""),Schedule!$AB:$AB&lt;&gt;"""")),""""))"),"")</f>
        <v/>
      </c>
      <c r="G246" s="390" t="str">
        <f>IFERROR(__xludf.DUMMYFUNCTION("if($A246="""","""",iferror(join("" &amp; "",filter(Schedule!$S:$S&amp;""-""&amp;Schedule!$T:$T,Schedule!$L:$L=$A246,(Schedule!$K:$K=$B246)+(Schedule!$K:$K=""""),Schedule!$S:$S&lt;&gt;"""")),""""))"),"")</f>
        <v/>
      </c>
      <c r="H246" s="395" t="str">
        <f>if($C242="","","X-Block")</f>
        <v>X-Block</v>
      </c>
      <c r="I246" s="53"/>
      <c r="J246" s="392"/>
      <c r="K246" s="389" t="str">
        <f>M242</f>
        <v/>
      </c>
      <c r="L246" s="389" t="str">
        <f>S242</f>
        <v/>
      </c>
      <c r="M246" s="100">
        <v>3.0</v>
      </c>
      <c r="N246" s="390" t="str">
        <f>IFERROR(__xludf.DUMMYFUNCTION("if($K246="""","""",iferror(join("" &amp; "",filter(Schedule!$V:$V&amp;""-""&amp;Schedule!$W:$W,Schedule!$L:$L=$K246,(Schedule!$K:$K=$L246)+(Schedule!$K:$K=""""),Schedule!$V:$V&lt;&gt;"""")),""""))"),"")</f>
        <v/>
      </c>
      <c r="O246" s="390" t="str">
        <f>IFERROR(__xludf.DUMMYFUNCTION("if($K246="""","""",iferror(join("" &amp; "",filter(Schedule!$AK:$AK&amp;""-""&amp;Schedule!$AL:$AL,Schedule!$L:$L=$K246,(Schedule!$K:$K=$L246)+(Schedule!$K:$K=""""),Schedule!$AK:$AK&lt;&gt;"""")),""""))"),"")</f>
        <v/>
      </c>
      <c r="P246" s="390" t="str">
        <f>IFERROR(__xludf.DUMMYFUNCTION("if($K246="""","""",iferror(join("" &amp; "",filter(Schedule!$AB:$AB&amp;""-""&amp;Schedule!$AC:$AC,Schedule!$L:$L=$K246,(Schedule!$K:$K=$L246)+(Schedule!$K:$K=""""),Schedule!$AB:$AB&lt;&gt;"""")),""""))"),"")</f>
        <v/>
      </c>
      <c r="Q246" s="390" t="str">
        <f>IFERROR(__xludf.DUMMYFUNCTION("if($K246="""","""",iferror(join("" &amp; "",filter(Schedule!$S:$S&amp;""-""&amp;Schedule!$T:$T,Schedule!$L:$L=$K246,(Schedule!$K:$K=$L246)+(Schedule!$K:$K=""""),Schedule!$S:$S&lt;&gt;"""")),""""))"),"")</f>
        <v/>
      </c>
      <c r="R246" s="395" t="str">
        <f>if($M242="","","X-Block")</f>
        <v/>
      </c>
      <c r="S246" s="53"/>
      <c r="T246" s="393"/>
    </row>
    <row r="247">
      <c r="A247" s="389" t="str">
        <f>C242</f>
        <v>Mauricio Sepúlveda</v>
      </c>
      <c r="B247" s="389" t="str">
        <f>I242</f>
        <v/>
      </c>
      <c r="C247" s="100">
        <v>4.0</v>
      </c>
      <c r="D247" s="390" t="str">
        <f>IFERROR(__xludf.DUMMYFUNCTION("if($A247="""","""",iferror(join("" &amp; "",filter(Schedule!$Y:$Y&amp;""-""&amp;Schedule!$Z:$Z,Schedule!$L:$L=$A247,(Schedule!$K:$K=$B247)+(Schedule!$K:$K=""""),Schedule!$Y:$Y&lt;&gt;"""")),""""))"),"Geometry-3")</f>
        <v>Geometry-3</v>
      </c>
      <c r="E247" s="390" t="str">
        <f>IFERROR(__xludf.DUMMYFUNCTION("if($A247="""","""",iferror(join("" &amp; "",filter(Schedule!$P:$P&amp;""-""&amp;Schedule!$Q:$Q,Schedule!$L:$L=$A247,(Schedule!$K:$K=$B247)+(Schedule!$K:$K=""""),Schedule!$P:$P&lt;&gt;"""")),""""))"),"")</f>
        <v/>
      </c>
      <c r="F247" s="390" t="str">
        <f>IFERROR(__xludf.DUMMYFUNCTION("if($A247="""","""",iferror(join("" &amp; "",filter(Schedule!$AE:$AE&amp;""-""&amp;Schedule!$AF:$AF,Schedule!$L:$L=$A247,(Schedule!$K:$K=$B247)+(Schedule!$K:$K=""""),Schedule!$AE:$AE&lt;&gt;"""")),""""))"),"Geometry-4")</f>
        <v>Geometry-4</v>
      </c>
      <c r="G247" s="390" t="str">
        <f>IFERROR(__xludf.DUMMYFUNCTION("if($A247="""","""",iferror(join("" &amp; "",filter(Schedule!$V:$V&amp;""-""&amp;Schedule!$W:$W,Schedule!$L:$L=$A247,(Schedule!$K:$K=$B247)+(Schedule!$K:$K=""""),Schedule!$V:$V&lt;&gt;"""")),""""))"),"Geometry-2")</f>
        <v>Geometry-2</v>
      </c>
      <c r="H247" s="390" t="str">
        <f>IFERROR(__xludf.DUMMYFUNCTION("if($A247="""","""",iferror(join("" &amp; "",filter(Schedule!$AH:$AH&amp;""-""&amp;Schedule!$AI:$AI,Schedule!$L:$L=$A247,(Schedule!$K:$K=$B247)+(Schedule!$K:$K=""""),Schedule!$AH:$AH&lt;&gt;"""")),""""))"),"Geometry-5")</f>
        <v>Geometry-5</v>
      </c>
      <c r="I247" s="53"/>
      <c r="J247" s="392"/>
      <c r="K247" s="389" t="str">
        <f>M242</f>
        <v/>
      </c>
      <c r="L247" s="389" t="str">
        <f>S242</f>
        <v/>
      </c>
      <c r="M247" s="100">
        <v>4.0</v>
      </c>
      <c r="N247" s="390" t="str">
        <f>IFERROR(__xludf.DUMMYFUNCTION("if($K247="""","""",iferror(join("" &amp; "",filter(Schedule!$Y:$Y&amp;""-""&amp;Schedule!$Z:$Z,Schedule!$L:$L=$K247,(Schedule!$K:$K=$L247)+(Schedule!$K:$K=""""),Schedule!$Y:$Y&lt;&gt;"""")),""""))"),"")</f>
        <v/>
      </c>
      <c r="O247" s="390" t="str">
        <f>IFERROR(__xludf.DUMMYFUNCTION("if($K247="""","""",iferror(join("" &amp; "",filter(Schedule!$P:$P&amp;""-""&amp;Schedule!$Q:$Q,Schedule!$L:$L=$K247,(Schedule!$K:$K=$L247)+(Schedule!$K:$K=""""),Schedule!$P:$P&lt;&gt;"""")),""""))"),"")</f>
        <v/>
      </c>
      <c r="P247" s="390" t="str">
        <f>IFERROR(__xludf.DUMMYFUNCTION("if($K247="""","""",iferror(join("" &amp; "",filter(Schedule!$AE:$AE&amp;""-""&amp;Schedule!$AF:$AF,Schedule!$L:$L=$K247,(Schedule!$K:$K=$L247)+(Schedule!$K:$K=""""),Schedule!$AE:$AE&lt;&gt;"""")),""""))"),"")</f>
        <v/>
      </c>
      <c r="Q247" s="390" t="str">
        <f>IFERROR(__xludf.DUMMYFUNCTION("if($K247="""","""",iferror(join("" &amp; "",filter(Schedule!$V:$V&amp;""-""&amp;Schedule!$W:$W,Schedule!$L:$L=$K247,(Schedule!$K:$K=$L247)+(Schedule!$K:$K=""""),Schedule!$V:$V&lt;&gt;"""")),""""))"),"")</f>
        <v/>
      </c>
      <c r="R247" s="390" t="str">
        <f>IFERROR(__xludf.DUMMYFUNCTION("if($K247="""","""",iferror(join("" &amp; "",filter(Schedule!$AH:$AH&amp;""-""&amp;Schedule!$AI:$AI,Schedule!$L:$L=$K247,(Schedule!$K:$K=$L247)+(Schedule!$K:$K=""""),Schedule!$AH:$AH&lt;&gt;"""")),""""))"),"")</f>
        <v/>
      </c>
      <c r="S247" s="53"/>
      <c r="T247" s="393"/>
    </row>
    <row r="248">
      <c r="A248" s="389" t="str">
        <f>C242</f>
        <v>Mauricio Sepúlveda</v>
      </c>
      <c r="B248" s="389" t="str">
        <f>I242</f>
        <v/>
      </c>
      <c r="C248" s="100">
        <v>5.0</v>
      </c>
      <c r="D248" s="390" t="str">
        <f>IFERROR(__xludf.DUMMYFUNCTION("if($A248="""","""",iferror(join("" &amp; "",filter(Schedule!$AB:$AB&amp;""-""&amp;Schedule!$AC:$AC,Schedule!$L:$L=$A248,(Schedule!$K:$K=$B248)+(Schedule!$K:$K=""""),Schedule!$AB:$AB&lt;&gt;"""")),""""))"),"")</f>
        <v/>
      </c>
      <c r="E248" s="390" t="str">
        <f>IFERROR(__xludf.DUMMYFUNCTION("if($A248="""","""",iferror(join("" &amp; "",filter(Schedule!$S:$S&amp;""-""&amp;Schedule!$T:$T,Schedule!$L:$L=$A248,(Schedule!$K:$K=$B248)+(Schedule!$K:$K=""""),Schedule!$S:$S&lt;&gt;"""")),""""))"),"")</f>
        <v/>
      </c>
      <c r="F248" s="390" t="str">
        <f>IFERROR(__xludf.DUMMYFUNCTION("if($A248="""","""",iferror(join("" &amp; "",filter(Schedule!$AH:$AH&amp;""-""&amp;Schedule!$AI:$AI,Schedule!$L:$L=$A248,(Schedule!$K:$K=$B248)+(Schedule!$K:$K=""""),Schedule!$AH:$AH&lt;&gt;"""")),""""))"),"Geometry-5")</f>
        <v>Geometry-5</v>
      </c>
      <c r="G248" s="390" t="str">
        <f>IFERROR(__xludf.DUMMYFUNCTION("if($A248="""","""",iferror(join("" &amp; "",filter(Schedule!$Y:$Y&amp;""-""&amp;Schedule!$Z:$Z,Schedule!$L:$L=$A248,(Schedule!$K:$K=$B248)+(Schedule!$K:$K=""""),Schedule!$Y:$Y&lt;&gt;"""")),""""))"),"Geometry-3")</f>
        <v>Geometry-3</v>
      </c>
      <c r="H248" s="390" t="str">
        <f>IFERROR(__xludf.DUMMYFUNCTION("if($A248="""","""",iferror(join("" &amp; "",filter(Schedule!$AK:$AK&amp;""-""&amp;Schedule!$AL:$AL,Schedule!$L:$L=$A248,(Schedule!$K:$K=$B248)+(Schedule!$K:$K=""""),Schedule!$AK:$AK&lt;&gt;"""")),""""))"),"Geometry-6")</f>
        <v>Geometry-6</v>
      </c>
      <c r="I248" s="68"/>
      <c r="J248" s="392"/>
      <c r="K248" s="389" t="str">
        <f>M242</f>
        <v/>
      </c>
      <c r="L248" s="389" t="str">
        <f>S242</f>
        <v/>
      </c>
      <c r="M248" s="100">
        <v>5.0</v>
      </c>
      <c r="N248" s="390" t="str">
        <f>IFERROR(__xludf.DUMMYFUNCTION("if($K248="""","""",iferror(join("" &amp; "",filter(Schedule!$AB:$AB&amp;""-""&amp;Schedule!$AC:$AC,Schedule!$L:$L=$K248,(Schedule!$K:$K=$L248)+(Schedule!$K:$K=""""),Schedule!$AB:$AB&lt;&gt;"""")),""""))"),"")</f>
        <v/>
      </c>
      <c r="O248" s="390" t="str">
        <f>IFERROR(__xludf.DUMMYFUNCTION("if($K248="""","""",iferror(join("" &amp; "",filter(Schedule!$S:$S&amp;""-""&amp;Schedule!$T:$T,Schedule!$L:$L=$K248,(Schedule!$K:$K=$L248)+(Schedule!$K:$K=""""),Schedule!$S:$S&lt;&gt;"""")),""""))"),"")</f>
        <v/>
      </c>
      <c r="P248" s="390" t="str">
        <f>IFERROR(__xludf.DUMMYFUNCTION("if($K248="""","""",iferror(join("" &amp; "",filter(Schedule!$AH:$AH&amp;""-""&amp;Schedule!$AI:$AI,Schedule!$L:$L=$K248,(Schedule!$K:$K=$L248)+(Schedule!$K:$K=""""),Schedule!$AH:$AH&lt;&gt;"""")),""""))"),"")</f>
        <v/>
      </c>
      <c r="Q248" s="390" t="str">
        <f>IFERROR(__xludf.DUMMYFUNCTION("if($K248="""","""",iferror(join("" &amp; "",filter(Schedule!$Y:$Y&amp;""-""&amp;Schedule!$Z:$Z,Schedule!$L:$L=$K248,(Schedule!$K:$K=$L248)+(Schedule!$K:$K=""""),Schedule!$Y:$Y&lt;&gt;"""")),""""))"),"")</f>
        <v/>
      </c>
      <c r="R248" s="390" t="str">
        <f>IFERROR(__xludf.DUMMYFUNCTION("if($K248="""","""",iferror(join("" &amp; "",filter(Schedule!$AK:$AK&amp;""-""&amp;Schedule!$AL:$AL,Schedule!$L:$L=$K248,(Schedule!$K:$K=$L248)+(Schedule!$K:$K=""""),Schedule!$AK:$AK&lt;&gt;"""")),""""))"),"")</f>
        <v/>
      </c>
      <c r="S248" s="68"/>
      <c r="T248" s="393"/>
    </row>
    <row r="249">
      <c r="C249" s="3"/>
      <c r="D249" s="396"/>
      <c r="E249" s="396"/>
      <c r="F249" s="396"/>
      <c r="G249" s="396"/>
      <c r="H249" s="396"/>
      <c r="N249" s="397"/>
      <c r="O249" s="397"/>
      <c r="P249" s="397"/>
      <c r="Q249" s="397"/>
      <c r="R249" s="397"/>
    </row>
    <row r="250">
      <c r="A250" s="45"/>
      <c r="B250" s="45"/>
      <c r="C250" s="386" t="str">
        <f>Teachers!A32</f>
        <v>Mitchell McPherson</v>
      </c>
      <c r="D250" s="383"/>
      <c r="E250" s="383"/>
      <c r="F250" s="383"/>
      <c r="G250" s="383"/>
      <c r="H250" s="384"/>
      <c r="I250" s="385" t="str">
        <f>IFERROR(__xludf.DUMMYFUNCTION("if(C250="""","""", iferror(filter(Schedule!$K:$K,Schedule!$L:$L=$C250,Schedule!$K:$K=""S1""),unique(filter(Schedule!$K:$K,Schedule!$L:$L=$C250,Schedule!$K:$K=""""))))"),"")</f>
        <v/>
      </c>
      <c r="M250" s="386" t="str">
        <f>if(S250="","",C250)</f>
        <v/>
      </c>
      <c r="N250" s="383"/>
      <c r="O250" s="383"/>
      <c r="P250" s="383"/>
      <c r="Q250" s="383"/>
      <c r="R250" s="384"/>
      <c r="S250" s="385" t="str">
        <f>if(I250="S1","S2","")</f>
        <v/>
      </c>
      <c r="T250" s="112"/>
    </row>
    <row r="251">
      <c r="A251" s="116"/>
      <c r="B251" s="116"/>
      <c r="C251" s="100" t="s">
        <v>7</v>
      </c>
      <c r="D251" s="387" t="s">
        <v>8</v>
      </c>
      <c r="E251" s="387" t="s">
        <v>9</v>
      </c>
      <c r="F251" s="387" t="s">
        <v>10</v>
      </c>
      <c r="G251" s="387" t="s">
        <v>11</v>
      </c>
      <c r="H251" s="387" t="s">
        <v>12</v>
      </c>
      <c r="I251" s="21" t="s">
        <v>766</v>
      </c>
      <c r="J251" s="116"/>
      <c r="K251" s="116"/>
      <c r="L251" s="116"/>
      <c r="M251" s="100" t="s">
        <v>7</v>
      </c>
      <c r="N251" s="387" t="s">
        <v>8</v>
      </c>
      <c r="O251" s="387" t="s">
        <v>9</v>
      </c>
      <c r="P251" s="387" t="s">
        <v>10</v>
      </c>
      <c r="Q251" s="387" t="s">
        <v>11</v>
      </c>
      <c r="R251" s="387" t="s">
        <v>12</v>
      </c>
      <c r="S251" s="21" t="s">
        <v>766</v>
      </c>
      <c r="T251" s="388"/>
    </row>
    <row r="252">
      <c r="A252" s="389" t="str">
        <f>C250</f>
        <v>Mitchell McPherson</v>
      </c>
      <c r="B252" s="389" t="str">
        <f>I250</f>
        <v/>
      </c>
      <c r="C252" s="100">
        <v>1.0</v>
      </c>
      <c r="D252" s="390" t="str">
        <f>IFERROR(__xludf.DUMMYFUNCTION("if($A252="""","""",iferror(join("" &amp; "",filter(Schedule!$P:$P&amp;""-""&amp;Schedule!$Q:$Q,Schedule!$L:$L=$A252,(Schedule!$K:$K=$B252)+(Schedule!$K:$K=""""),Schedule!$P:$P&lt;&gt;"""")),""""))"),"Art of Fiction Intermediate Level-1")</f>
        <v>Art of Fiction Intermediate Level-1</v>
      </c>
      <c r="E252" s="390" t="str">
        <f>IFERROR(__xludf.DUMMYFUNCTION("if($A252="""","""",iferror(join("" &amp; "",filter(Schedule!$AE:$AE&amp;""-""&amp;Schedule!$AF:$AF,Schedule!$L:$L=$A252,(Schedule!$K:$K=$B252)+(Schedule!$K:$K=""""),Schedule!$AE:$AE&lt;&gt;"""")),""""))"),"")</f>
        <v/>
      </c>
      <c r="F252" s="390" t="str">
        <f>IFERROR(__xludf.DUMMYFUNCTION("if($A252="""","""",iferror(join("" &amp; "",filter(Schedule!$V:$V&amp;""-""&amp;Schedule!$W:$W,Schedule!$L:$L=$A252,(Schedule!$K:$K=$B252)+(Schedule!$K:$K=""""),Schedule!$V:$V&lt;&gt;"""")),""""))"),"")</f>
        <v/>
      </c>
      <c r="G252" s="390" t="str">
        <f>IFERROR(__xludf.DUMMYFUNCTION("if($A252="""","""",iferror(join("" &amp; "",filter(Schedule!$AK:$AK&amp;""-""&amp;Schedule!$AL:$AL,Schedule!$L:$L=$A252,(Schedule!$K:$K=$B252)+(Schedule!$K:$K=""""),Schedule!$AK:$AK&lt;&gt;"""")),""""))"),"English 9-6")</f>
        <v>English 9-6</v>
      </c>
      <c r="H252" s="390" t="str">
        <f>IFERROR(__xludf.DUMMYFUNCTION("if($A252="""","""",iferror(join("" &amp; "",filter(Schedule!$AB:$AB&amp;""-""&amp;Schedule!$AC:$AC,Schedule!$L:$L=$A252,(Schedule!$K:$K=$B252)+(Schedule!$K:$K=""""),Schedule!$AB:$AB&lt;&gt;"""")),""""))"),"English 9-5")</f>
        <v>English 9-5</v>
      </c>
      <c r="I252" s="391">
        <f>if(C250="","", 24-countifs(D252:H256,""))</f>
        <v>15</v>
      </c>
      <c r="J252" s="392"/>
      <c r="K252" s="389" t="str">
        <f>M250</f>
        <v/>
      </c>
      <c r="L252" s="389" t="str">
        <f>S250</f>
        <v/>
      </c>
      <c r="M252" s="100">
        <v>1.0</v>
      </c>
      <c r="N252" s="390" t="str">
        <f>IFERROR(__xludf.DUMMYFUNCTION("if($K252="""","""",iferror(join("" &amp; "",filter(Schedule!$P:$P&amp;""-""&amp;Schedule!$Q:$Q,Schedule!$L:$L=$K252,(Schedule!$K:$K=$L252)+(Schedule!$K:$K=""""),Schedule!$P:$P&lt;&gt;"""")),""""))"),"")</f>
        <v/>
      </c>
      <c r="O252" s="390" t="str">
        <f>IFERROR(__xludf.DUMMYFUNCTION("if($K252="""","""",iferror(join("" &amp; "",filter(Schedule!$AE:$AE&amp;""-""&amp;Schedule!$AF:$AF,Schedule!$L:$L=$K252,(Schedule!$K:$K=$L252)+(Schedule!$K:$K=""""),Schedule!$AE:$AE&lt;&gt;"""")),""""))"),"")</f>
        <v/>
      </c>
      <c r="P252" s="390" t="str">
        <f>IFERROR(__xludf.DUMMYFUNCTION("if($K252="""","""",iferror(join("" &amp; "",filter(Schedule!$V:$V&amp;""-""&amp;Schedule!$W:$W,Schedule!$L:$L=$K252,(Schedule!$K:$K=$L252)+(Schedule!$K:$K=""""),Schedule!$V:$V&lt;&gt;"""")),""""))"),"")</f>
        <v/>
      </c>
      <c r="Q252" s="390" t="str">
        <f>IFERROR(__xludf.DUMMYFUNCTION("if($K252="""","""",iferror(join("" &amp; "",filter(Schedule!$AK:$AK&amp;""-""&amp;Schedule!$AL:$AL,Schedule!$L:$L=$K252,(Schedule!$K:$K=$L252)+(Schedule!$K:$K=""""),Schedule!$AK:$AK&lt;&gt;"""")),""""))"),"")</f>
        <v/>
      </c>
      <c r="R252" s="390" t="str">
        <f>IFERROR(__xludf.DUMMYFUNCTION("if($K252="""","""",iferror(join("" &amp; "",filter(Schedule!$AB:$AB&amp;""-""&amp;Schedule!$AC:$AC,Schedule!$L:$L=$K252,(Schedule!$K:$K=$L252)+(Schedule!$K:$K=""""),Schedule!$AB:$AB&lt;&gt;"""")),""""))"),"")</f>
        <v/>
      </c>
      <c r="S252" s="391" t="str">
        <f>if(K252="","", 24-countifs(N252:R256,""))</f>
        <v/>
      </c>
      <c r="T252" s="393"/>
    </row>
    <row r="253">
      <c r="A253" s="389" t="str">
        <f>C250</f>
        <v>Mitchell McPherson</v>
      </c>
      <c r="B253" s="389" t="str">
        <f>I250</f>
        <v/>
      </c>
      <c r="C253" s="100">
        <v>2.0</v>
      </c>
      <c r="D253" s="390" t="str">
        <f>IFERROR(__xludf.DUMMYFUNCTION("if($A253="""","""",iferror(join("" &amp; "",filter(Schedule!$S:$S&amp;""-""&amp;Schedule!$T:$T,Schedule!$L:$L=$A253,(Schedule!$K:$K=$B253)+(Schedule!$K:$K=""""),Schedule!$S:$S&lt;&gt;"""")),""""))"),"English 9-4")</f>
        <v>English 9-4</v>
      </c>
      <c r="E253" s="390" t="str">
        <f>IFERROR(__xludf.DUMMYFUNCTION("if($A253="""","""",iferror(join("" &amp; "",filter(Schedule!$AH:$AH&amp;""-""&amp;Schedule!$AI:$AI,Schedule!$L:$L=$A253,(Schedule!$K:$K=$B253)+(Schedule!$K:$K=""""),Schedule!$AH:$AH&lt;&gt;"""")),""""))"),"")</f>
        <v/>
      </c>
      <c r="F253" s="390" t="str">
        <f>IFERROR(__xludf.DUMMYFUNCTION("if($A253="""","""",iferror(join("" &amp; "",filter(Schedule!$Y:$Y&amp;""-""&amp;Schedule!$Z:$Z,Schedule!$L:$L=$A253,(Schedule!$K:$K=$B253)+(Schedule!$K:$K=""""),Schedule!$Y:$Y&lt;&gt;"""")),""""))"),"Art of Fiction Intermediate Level-2")</f>
        <v>Art of Fiction Intermediate Level-2</v>
      </c>
      <c r="G253" s="390" t="str">
        <f>IFERROR(__xludf.DUMMYFUNCTION("if($A253="""","""",iferror(join("" &amp; "",filter(Schedule!$P:$P&amp;""-""&amp;Schedule!$Q:$Q,Schedule!$L:$L=$A253,(Schedule!$K:$K=$B253)+(Schedule!$K:$K=""""),Schedule!$P:$P&lt;&gt;"""")),""""))"),"Art of Fiction Intermediate Level-1")</f>
        <v>Art of Fiction Intermediate Level-1</v>
      </c>
      <c r="H253" s="390" t="str">
        <f>IFERROR(__xludf.DUMMYFUNCTION("if($A253="""","""",iferror(join("" &amp; "",filter(Schedule!$AE:$AE&amp;""-""&amp;Schedule!$AF:$AF,Schedule!$L:$L=$A253,(Schedule!$K:$K=$B253)+(Schedule!$K:$K=""""),Schedule!$AE:$AE&lt;&gt;"""")),""""))"),"")</f>
        <v/>
      </c>
      <c r="I253" s="53"/>
      <c r="J253" s="392"/>
      <c r="K253" s="389" t="str">
        <f>M250</f>
        <v/>
      </c>
      <c r="L253" s="389" t="str">
        <f>S250</f>
        <v/>
      </c>
      <c r="M253" s="100">
        <v>2.0</v>
      </c>
      <c r="N253" s="390" t="str">
        <f>IFERROR(__xludf.DUMMYFUNCTION("if($K253="""","""",iferror(join("" &amp; "",filter(Schedule!$S:$S&amp;""-""&amp;Schedule!$T:$T,Schedule!$L:$L=$K253,(Schedule!$K:$K=$L253)+(Schedule!$K:$K=""""),Schedule!$S:$S&lt;&gt;"""")),""""))"),"")</f>
        <v/>
      </c>
      <c r="O253" s="390" t="str">
        <f>IFERROR(__xludf.DUMMYFUNCTION("if($K253="""","""",iferror(join("" &amp; "",filter(Schedule!$AH:$AH&amp;""-""&amp;Schedule!$AI:$AI,Schedule!$L:$L=$K253,(Schedule!$K:$K=$L253)+(Schedule!$K:$K=""""),Schedule!$AH:$AH&lt;&gt;"""")),""""))"),"")</f>
        <v/>
      </c>
      <c r="P253" s="390" t="str">
        <f>IFERROR(__xludf.DUMMYFUNCTION("if($K253="""","""",iferror(join("" &amp; "",filter(Schedule!$Y:$Y&amp;""-""&amp;Schedule!$Z:$Z,Schedule!$L:$L=$K253,(Schedule!$K:$K=$L253)+(Schedule!$K:$K=""""),Schedule!$Y:$Y&lt;&gt;"""")),""""))"),"")</f>
        <v/>
      </c>
      <c r="Q253" s="390" t="str">
        <f>IFERROR(__xludf.DUMMYFUNCTION("if($K253="""","""",iferror(join("" &amp; "",filter(Schedule!$P:$P&amp;""-""&amp;Schedule!$Q:$Q,Schedule!$L:$L=$K253,(Schedule!$K:$K=$L253)+(Schedule!$K:$K=""""),Schedule!$P:$P&lt;&gt;"""")),""""))"),"")</f>
        <v/>
      </c>
      <c r="R253" s="390" t="str">
        <f>IFERROR(__xludf.DUMMYFUNCTION("if($K253="""","""",iferror(join("" &amp; "",filter(Schedule!$AE:$AE&amp;""-""&amp;Schedule!$AF:$AF,Schedule!$L:$L=$K253,(Schedule!$K:$K=$L253)+(Schedule!$K:$K=""""),Schedule!$AE:$AE&lt;&gt;"""")),""""))"),"")</f>
        <v/>
      </c>
      <c r="S253" s="53"/>
      <c r="T253" s="393"/>
    </row>
    <row r="254">
      <c r="A254" s="389" t="str">
        <f>C250</f>
        <v>Mitchell McPherson</v>
      </c>
      <c r="B254" s="389" t="str">
        <f>I250</f>
        <v/>
      </c>
      <c r="C254" s="100">
        <v>3.0</v>
      </c>
      <c r="D254" s="390" t="str">
        <f>IFERROR(__xludf.DUMMYFUNCTION("if($A254="""","""",iferror(join("" &amp; "",filter(Schedule!$V:$V&amp;""-""&amp;Schedule!$W:$W,Schedule!$L:$L=$A254,(Schedule!$K:$K=$B254)+(Schedule!$K:$K=""""),Schedule!$V:$V&lt;&gt;"""")),""""))"),"")</f>
        <v/>
      </c>
      <c r="E254" s="390" t="str">
        <f>IFERROR(__xludf.DUMMYFUNCTION("if($A254="""","""",iferror(join("" &amp; "",filter(Schedule!$AK:$AK&amp;""-""&amp;Schedule!$AL:$AL,Schedule!$L:$L=$A254,(Schedule!$K:$K=$B254)+(Schedule!$K:$K=""""),Schedule!$AK:$AK&lt;&gt;"""")),""""))"),"English 9-6")</f>
        <v>English 9-6</v>
      </c>
      <c r="F254" s="390" t="str">
        <f>IFERROR(__xludf.DUMMYFUNCTION("if($A254="""","""",iferror(join("" &amp; "",filter(Schedule!$AB:$AB&amp;""-""&amp;Schedule!$AC:$AC,Schedule!$L:$L=$A254,(Schedule!$K:$K=$B254)+(Schedule!$K:$K=""""),Schedule!$AB:$AB&lt;&gt;"""")),""""))"),"English 9-5")</f>
        <v>English 9-5</v>
      </c>
      <c r="G254" s="390" t="str">
        <f>IFERROR(__xludf.DUMMYFUNCTION("if($A254="""","""",iferror(join("" &amp; "",filter(Schedule!$S:$S&amp;""-""&amp;Schedule!$T:$T,Schedule!$L:$L=$A254,(Schedule!$K:$K=$B254)+(Schedule!$K:$K=""""),Schedule!$S:$S&lt;&gt;"""")),""""))"),"English 9-4")</f>
        <v>English 9-4</v>
      </c>
      <c r="H254" s="395" t="str">
        <f>if($C250="","","X-Block")</f>
        <v>X-Block</v>
      </c>
      <c r="I254" s="53"/>
      <c r="J254" s="392"/>
      <c r="K254" s="389" t="str">
        <f>M250</f>
        <v/>
      </c>
      <c r="L254" s="389" t="str">
        <f>S250</f>
        <v/>
      </c>
      <c r="M254" s="100">
        <v>3.0</v>
      </c>
      <c r="N254" s="390" t="str">
        <f>IFERROR(__xludf.DUMMYFUNCTION("if($K254="""","""",iferror(join("" &amp; "",filter(Schedule!$V:$V&amp;""-""&amp;Schedule!$W:$W,Schedule!$L:$L=$K254,(Schedule!$K:$K=$L254)+(Schedule!$K:$K=""""),Schedule!$V:$V&lt;&gt;"""")),""""))"),"")</f>
        <v/>
      </c>
      <c r="O254" s="390" t="str">
        <f>IFERROR(__xludf.DUMMYFUNCTION("if($K254="""","""",iferror(join("" &amp; "",filter(Schedule!$AK:$AK&amp;""-""&amp;Schedule!$AL:$AL,Schedule!$L:$L=$K254,(Schedule!$K:$K=$L254)+(Schedule!$K:$K=""""),Schedule!$AK:$AK&lt;&gt;"""")),""""))"),"")</f>
        <v/>
      </c>
      <c r="P254" s="390" t="str">
        <f>IFERROR(__xludf.DUMMYFUNCTION("if($K254="""","""",iferror(join("" &amp; "",filter(Schedule!$AB:$AB&amp;""-""&amp;Schedule!$AC:$AC,Schedule!$L:$L=$K254,(Schedule!$K:$K=$L254)+(Schedule!$K:$K=""""),Schedule!$AB:$AB&lt;&gt;"""")),""""))"),"")</f>
        <v/>
      </c>
      <c r="Q254" s="390" t="str">
        <f>IFERROR(__xludf.DUMMYFUNCTION("if($K254="""","""",iferror(join("" &amp; "",filter(Schedule!$S:$S&amp;""-""&amp;Schedule!$T:$T,Schedule!$L:$L=$K254,(Schedule!$K:$K=$L254)+(Schedule!$K:$K=""""),Schedule!$S:$S&lt;&gt;"""")),""""))"),"")</f>
        <v/>
      </c>
      <c r="R254" s="395" t="str">
        <f>if($M250="","","X-Block")</f>
        <v/>
      </c>
      <c r="S254" s="53"/>
      <c r="T254" s="393"/>
    </row>
    <row r="255">
      <c r="A255" s="389" t="str">
        <f>C250</f>
        <v>Mitchell McPherson</v>
      </c>
      <c r="B255" s="389" t="str">
        <f>I250</f>
        <v/>
      </c>
      <c r="C255" s="100">
        <v>4.0</v>
      </c>
      <c r="D255" s="390" t="str">
        <f>IFERROR(__xludf.DUMMYFUNCTION("if($A255="""","""",iferror(join("" &amp; "",filter(Schedule!$Y:$Y&amp;""-""&amp;Schedule!$Z:$Z,Schedule!$L:$L=$A255,(Schedule!$K:$K=$B255)+(Schedule!$K:$K=""""),Schedule!$Y:$Y&lt;&gt;"""")),""""))"),"Art of Fiction Intermediate Level-2")</f>
        <v>Art of Fiction Intermediate Level-2</v>
      </c>
      <c r="E255" s="390" t="str">
        <f>IFERROR(__xludf.DUMMYFUNCTION("if($A255="""","""",iferror(join("" &amp; "",filter(Schedule!$P:$P&amp;""-""&amp;Schedule!$Q:$Q,Schedule!$L:$L=$A255,(Schedule!$K:$K=$B255)+(Schedule!$K:$K=""""),Schedule!$P:$P&lt;&gt;"""")),""""))"),"Art of Fiction Intermediate Level-1")</f>
        <v>Art of Fiction Intermediate Level-1</v>
      </c>
      <c r="F255" s="390" t="str">
        <f>IFERROR(__xludf.DUMMYFUNCTION("if($A255="""","""",iferror(join("" &amp; "",filter(Schedule!$AE:$AE&amp;""-""&amp;Schedule!$AF:$AF,Schedule!$L:$L=$A255,(Schedule!$K:$K=$B255)+(Schedule!$K:$K=""""),Schedule!$AE:$AE&lt;&gt;"""")),""""))"),"")</f>
        <v/>
      </c>
      <c r="G255" s="390" t="str">
        <f>IFERROR(__xludf.DUMMYFUNCTION("if($A255="""","""",iferror(join("" &amp; "",filter(Schedule!$V:$V&amp;""-""&amp;Schedule!$W:$W,Schedule!$L:$L=$A255,(Schedule!$K:$K=$B255)+(Schedule!$K:$K=""""),Schedule!$V:$V&lt;&gt;"""")),""""))"),"")</f>
        <v/>
      </c>
      <c r="H255" s="390" t="str">
        <f>IFERROR(__xludf.DUMMYFUNCTION("if($A255="""","""",iferror(join("" &amp; "",filter(Schedule!$AH:$AH&amp;""-""&amp;Schedule!$AI:$AI,Schedule!$L:$L=$A255,(Schedule!$K:$K=$B255)+(Schedule!$K:$K=""""),Schedule!$AH:$AH&lt;&gt;"""")),""""))"),"")</f>
        <v/>
      </c>
      <c r="I255" s="53"/>
      <c r="J255" s="392"/>
      <c r="K255" s="389" t="str">
        <f>M250</f>
        <v/>
      </c>
      <c r="L255" s="389" t="str">
        <f>S250</f>
        <v/>
      </c>
      <c r="M255" s="100">
        <v>4.0</v>
      </c>
      <c r="N255" s="390" t="str">
        <f>IFERROR(__xludf.DUMMYFUNCTION("if($K255="""","""",iferror(join("" &amp; "",filter(Schedule!$Y:$Y&amp;""-""&amp;Schedule!$Z:$Z,Schedule!$L:$L=$K255,(Schedule!$K:$K=$L255)+(Schedule!$K:$K=""""),Schedule!$Y:$Y&lt;&gt;"""")),""""))"),"")</f>
        <v/>
      </c>
      <c r="O255" s="390" t="str">
        <f>IFERROR(__xludf.DUMMYFUNCTION("if($K255="""","""",iferror(join("" &amp; "",filter(Schedule!$P:$P&amp;""-""&amp;Schedule!$Q:$Q,Schedule!$L:$L=$K255,(Schedule!$K:$K=$L255)+(Schedule!$K:$K=""""),Schedule!$P:$P&lt;&gt;"""")),""""))"),"")</f>
        <v/>
      </c>
      <c r="P255" s="390" t="str">
        <f>IFERROR(__xludf.DUMMYFUNCTION("if($K255="""","""",iferror(join("" &amp; "",filter(Schedule!$AE:$AE&amp;""-""&amp;Schedule!$AF:$AF,Schedule!$L:$L=$K255,(Schedule!$K:$K=$L255)+(Schedule!$K:$K=""""),Schedule!$AE:$AE&lt;&gt;"""")),""""))"),"")</f>
        <v/>
      </c>
      <c r="Q255" s="390" t="str">
        <f>IFERROR(__xludf.DUMMYFUNCTION("if($K255="""","""",iferror(join("" &amp; "",filter(Schedule!$V:$V&amp;""-""&amp;Schedule!$W:$W,Schedule!$L:$L=$K255,(Schedule!$K:$K=$L255)+(Schedule!$K:$K=""""),Schedule!$V:$V&lt;&gt;"""")),""""))"),"")</f>
        <v/>
      </c>
      <c r="R255" s="390" t="str">
        <f>IFERROR(__xludf.DUMMYFUNCTION("if($K255="""","""",iferror(join("" &amp; "",filter(Schedule!$AH:$AH&amp;""-""&amp;Schedule!$AI:$AI,Schedule!$L:$L=$K255,(Schedule!$K:$K=$L255)+(Schedule!$K:$K=""""),Schedule!$AH:$AH&lt;&gt;"""")),""""))"),"")</f>
        <v/>
      </c>
      <c r="S255" s="53"/>
      <c r="T255" s="393"/>
    </row>
    <row r="256">
      <c r="A256" s="389" t="str">
        <f>C250</f>
        <v>Mitchell McPherson</v>
      </c>
      <c r="B256" s="389" t="str">
        <f>I250</f>
        <v/>
      </c>
      <c r="C256" s="100">
        <v>5.0</v>
      </c>
      <c r="D256" s="390" t="str">
        <f>IFERROR(__xludf.DUMMYFUNCTION("if($A256="""","""",iferror(join("" &amp; "",filter(Schedule!$AB:$AB&amp;""-""&amp;Schedule!$AC:$AC,Schedule!$L:$L=$A256,(Schedule!$K:$K=$B256)+(Schedule!$K:$K=""""),Schedule!$AB:$AB&lt;&gt;"""")),""""))"),"English 9-5")</f>
        <v>English 9-5</v>
      </c>
      <c r="E256" s="390" t="str">
        <f>IFERROR(__xludf.DUMMYFUNCTION("if($A256="""","""",iferror(join("" &amp; "",filter(Schedule!$S:$S&amp;""-""&amp;Schedule!$T:$T,Schedule!$L:$L=$A256,(Schedule!$K:$K=$B256)+(Schedule!$K:$K=""""),Schedule!$S:$S&lt;&gt;"""")),""""))"),"English 9-4")</f>
        <v>English 9-4</v>
      </c>
      <c r="F256" s="390" t="str">
        <f>IFERROR(__xludf.DUMMYFUNCTION("if($A256="""","""",iferror(join("" &amp; "",filter(Schedule!$AH:$AH&amp;""-""&amp;Schedule!$AI:$AI,Schedule!$L:$L=$A256,(Schedule!$K:$K=$B256)+(Schedule!$K:$K=""""),Schedule!$AH:$AH&lt;&gt;"""")),""""))"),"")</f>
        <v/>
      </c>
      <c r="G256" s="390" t="str">
        <f>IFERROR(__xludf.DUMMYFUNCTION("if($A256="""","""",iferror(join("" &amp; "",filter(Schedule!$Y:$Y&amp;""-""&amp;Schedule!$Z:$Z,Schedule!$L:$L=$A256,(Schedule!$K:$K=$B256)+(Schedule!$K:$K=""""),Schedule!$Y:$Y&lt;&gt;"""")),""""))"),"Art of Fiction Intermediate Level-2")</f>
        <v>Art of Fiction Intermediate Level-2</v>
      </c>
      <c r="H256" s="390" t="str">
        <f>IFERROR(__xludf.DUMMYFUNCTION("if($A256="""","""",iferror(join("" &amp; "",filter(Schedule!$AK:$AK&amp;""-""&amp;Schedule!$AL:$AL,Schedule!$L:$L=$A256,(Schedule!$K:$K=$B256)+(Schedule!$K:$K=""""),Schedule!$AK:$AK&lt;&gt;"""")),""""))"),"English 9-6")</f>
        <v>English 9-6</v>
      </c>
      <c r="I256" s="68"/>
      <c r="J256" s="392"/>
      <c r="K256" s="389" t="str">
        <f>M250</f>
        <v/>
      </c>
      <c r="L256" s="389" t="str">
        <f>S250</f>
        <v/>
      </c>
      <c r="M256" s="100">
        <v>5.0</v>
      </c>
      <c r="N256" s="390" t="str">
        <f>IFERROR(__xludf.DUMMYFUNCTION("if($K256="""","""",iferror(join("" &amp; "",filter(Schedule!$AB:$AB&amp;""-""&amp;Schedule!$AC:$AC,Schedule!$L:$L=$K256,(Schedule!$K:$K=$L256)+(Schedule!$K:$K=""""),Schedule!$AB:$AB&lt;&gt;"""")),""""))"),"")</f>
        <v/>
      </c>
      <c r="O256" s="390" t="str">
        <f>IFERROR(__xludf.DUMMYFUNCTION("if($K256="""","""",iferror(join("" &amp; "",filter(Schedule!$S:$S&amp;""-""&amp;Schedule!$T:$T,Schedule!$L:$L=$K256,(Schedule!$K:$K=$L256)+(Schedule!$K:$K=""""),Schedule!$S:$S&lt;&gt;"""")),""""))"),"")</f>
        <v/>
      </c>
      <c r="P256" s="390" t="str">
        <f>IFERROR(__xludf.DUMMYFUNCTION("if($K256="""","""",iferror(join("" &amp; "",filter(Schedule!$AH:$AH&amp;""-""&amp;Schedule!$AI:$AI,Schedule!$L:$L=$K256,(Schedule!$K:$K=$L256)+(Schedule!$K:$K=""""),Schedule!$AH:$AH&lt;&gt;"""")),""""))"),"")</f>
        <v/>
      </c>
      <c r="Q256" s="390" t="str">
        <f>IFERROR(__xludf.DUMMYFUNCTION("if($K256="""","""",iferror(join("" &amp; "",filter(Schedule!$Y:$Y&amp;""-""&amp;Schedule!$Z:$Z,Schedule!$L:$L=$K256,(Schedule!$K:$K=$L256)+(Schedule!$K:$K=""""),Schedule!$Y:$Y&lt;&gt;"""")),""""))"),"")</f>
        <v/>
      </c>
      <c r="R256" s="390" t="str">
        <f>IFERROR(__xludf.DUMMYFUNCTION("if($K256="""","""",iferror(join("" &amp; "",filter(Schedule!$AK:$AK&amp;""-""&amp;Schedule!$AL:$AL,Schedule!$L:$L=$K256,(Schedule!$K:$K=$L256)+(Schedule!$K:$K=""""),Schedule!$AK:$AK&lt;&gt;"""")),""""))"),"")</f>
        <v/>
      </c>
      <c r="S256" s="68"/>
      <c r="T256" s="393"/>
    </row>
    <row r="257">
      <c r="C257" s="3"/>
      <c r="D257" s="396"/>
      <c r="E257" s="396"/>
      <c r="F257" s="396"/>
      <c r="G257" s="396"/>
      <c r="H257" s="396"/>
      <c r="N257" s="397"/>
      <c r="O257" s="397"/>
      <c r="P257" s="397"/>
      <c r="Q257" s="397"/>
      <c r="R257" s="397"/>
    </row>
    <row r="258">
      <c r="A258" s="45"/>
      <c r="B258" s="45"/>
      <c r="C258" s="386" t="str">
        <f>Teachers!A33</f>
        <v>New Math Teacher</v>
      </c>
      <c r="D258" s="383"/>
      <c r="E258" s="383"/>
      <c r="F258" s="383"/>
      <c r="G258" s="383"/>
      <c r="H258" s="384"/>
      <c r="I258" s="385" t="str">
        <f>IFERROR(__xludf.DUMMYFUNCTION("if(C258="""","""", iferror(filter(Schedule!$K:$K,Schedule!$L:$L=$C258,Schedule!$K:$K=""S1""),unique(filter(Schedule!$K:$K,Schedule!$L:$L=$C258,Schedule!$K:$K=""""))))"),"")</f>
        <v/>
      </c>
      <c r="M258" s="386" t="str">
        <f>if(S258="","",C258)</f>
        <v/>
      </c>
      <c r="N258" s="383"/>
      <c r="O258" s="383"/>
      <c r="P258" s="383"/>
      <c r="Q258" s="383"/>
      <c r="R258" s="384"/>
      <c r="S258" s="385" t="str">
        <f>if(I258="S1","S2","")</f>
        <v/>
      </c>
      <c r="T258" s="112"/>
    </row>
    <row r="259">
      <c r="A259" s="116"/>
      <c r="B259" s="116"/>
      <c r="C259" s="100" t="s">
        <v>7</v>
      </c>
      <c r="D259" s="387" t="s">
        <v>8</v>
      </c>
      <c r="E259" s="387" t="s">
        <v>9</v>
      </c>
      <c r="F259" s="387" t="s">
        <v>10</v>
      </c>
      <c r="G259" s="387" t="s">
        <v>11</v>
      </c>
      <c r="H259" s="387" t="s">
        <v>12</v>
      </c>
      <c r="I259" s="21" t="s">
        <v>766</v>
      </c>
      <c r="J259" s="116"/>
      <c r="K259" s="116"/>
      <c r="L259" s="116"/>
      <c r="M259" s="100" t="s">
        <v>7</v>
      </c>
      <c r="N259" s="387" t="s">
        <v>8</v>
      </c>
      <c r="O259" s="387" t="s">
        <v>9</v>
      </c>
      <c r="P259" s="387" t="s">
        <v>10</v>
      </c>
      <c r="Q259" s="387" t="s">
        <v>11</v>
      </c>
      <c r="R259" s="387" t="s">
        <v>12</v>
      </c>
      <c r="S259" s="21" t="s">
        <v>766</v>
      </c>
      <c r="T259" s="388"/>
    </row>
    <row r="260">
      <c r="A260" s="389" t="str">
        <f>C258</f>
        <v>New Math Teacher</v>
      </c>
      <c r="B260" s="389" t="str">
        <f>I258</f>
        <v/>
      </c>
      <c r="C260" s="100">
        <v>1.0</v>
      </c>
      <c r="D260" s="390" t="str">
        <f>IFERROR(__xludf.DUMMYFUNCTION("if($A260="""","""",iferror(join("" &amp; "",filter(Schedule!$P:$P&amp;""-""&amp;Schedule!$Q:$Q,Schedule!$L:$L=$A260,(Schedule!$K:$K=$B260)+(Schedule!$K:$K=""""),Schedule!$P:$P&lt;&gt;"""")),""""))"),"Geometry-1")</f>
        <v>Geometry-1</v>
      </c>
      <c r="E260" s="390" t="str">
        <f>IFERROR(__xludf.DUMMYFUNCTION("if($A260="""","""",iferror(join("" &amp; "",filter(Schedule!$AE:$AE&amp;""-""&amp;Schedule!$AF:$AF,Schedule!$L:$L=$A260,(Schedule!$K:$K=$B260)+(Schedule!$K:$K=""""),Schedule!$AE:$AE&lt;&gt;"""")),""""))"),"")</f>
        <v/>
      </c>
      <c r="F260" s="390" t="str">
        <f>IFERROR(__xludf.DUMMYFUNCTION("if($A260="""","""",iferror(join("" &amp; "",filter(Schedule!$V:$V&amp;""-""&amp;Schedule!$W:$W,Schedule!$L:$L=$A260,(Schedule!$K:$K=$B260)+(Schedule!$K:$K=""""),Schedule!$V:$V&lt;&gt;"""")),""""))"),"Algebra I-3")</f>
        <v>Algebra I-3</v>
      </c>
      <c r="G260" s="390" t="str">
        <f>IFERROR(__xludf.DUMMYFUNCTION("if($A260="""","""",iferror(join("" &amp; "",filter(Schedule!$AK:$AK&amp;""-""&amp;Schedule!$AL:$AL,Schedule!$L:$L=$A260,(Schedule!$K:$K=$B260)+(Schedule!$K:$K=""""),Schedule!$AK:$AK&lt;&gt;"""")),""""))"),"")</f>
        <v/>
      </c>
      <c r="H260" s="390" t="str">
        <f>IFERROR(__xludf.DUMMYFUNCTION("if($A260="""","""",iferror(join("" &amp; "",filter(Schedule!$AB:$AB&amp;""-""&amp;Schedule!$AC:$AC,Schedule!$L:$L=$A260,(Schedule!$K:$K=$B260)+(Schedule!$K:$K=""""),Schedule!$AB:$AB&lt;&gt;"""")),""""))"),"")</f>
        <v/>
      </c>
      <c r="I260" s="391">
        <f>if(C258="","", 24-countifs(D260:H264,""))</f>
        <v>12</v>
      </c>
      <c r="J260" s="392"/>
      <c r="K260" s="389" t="str">
        <f>M258</f>
        <v/>
      </c>
      <c r="L260" s="389" t="str">
        <f>S258</f>
        <v/>
      </c>
      <c r="M260" s="100">
        <v>1.0</v>
      </c>
      <c r="N260" s="390" t="str">
        <f>IFERROR(__xludf.DUMMYFUNCTION("if($K260="""","""",iferror(join("" &amp; "",filter(Schedule!$P:$P&amp;""-""&amp;Schedule!$Q:$Q,Schedule!$L:$L=$K260,(Schedule!$K:$K=$L260)+(Schedule!$K:$K=""""),Schedule!$P:$P&lt;&gt;"""")),""""))"),"")</f>
        <v/>
      </c>
      <c r="O260" s="390" t="str">
        <f>IFERROR(__xludf.DUMMYFUNCTION("if($K260="""","""",iferror(join("" &amp; "",filter(Schedule!$AE:$AE&amp;""-""&amp;Schedule!$AF:$AF,Schedule!$L:$L=$K260,(Schedule!$K:$K=$L260)+(Schedule!$K:$K=""""),Schedule!$AE:$AE&lt;&gt;"""")),""""))"),"")</f>
        <v/>
      </c>
      <c r="P260" s="390" t="str">
        <f>IFERROR(__xludf.DUMMYFUNCTION("if($K260="""","""",iferror(join("" &amp; "",filter(Schedule!$V:$V&amp;""-""&amp;Schedule!$W:$W,Schedule!$L:$L=$K260,(Schedule!$K:$K=$L260)+(Schedule!$K:$K=""""),Schedule!$V:$V&lt;&gt;"""")),""""))"),"")</f>
        <v/>
      </c>
      <c r="Q260" s="390" t="str">
        <f>IFERROR(__xludf.DUMMYFUNCTION("if($K260="""","""",iferror(join("" &amp; "",filter(Schedule!$AK:$AK&amp;""-""&amp;Schedule!$AL:$AL,Schedule!$L:$L=$K260,(Schedule!$K:$K=$L260)+(Schedule!$K:$K=""""),Schedule!$AK:$AK&lt;&gt;"""")),""""))"),"")</f>
        <v/>
      </c>
      <c r="R260" s="390" t="str">
        <f>IFERROR(__xludf.DUMMYFUNCTION("if($K260="""","""",iferror(join("" &amp; "",filter(Schedule!$AB:$AB&amp;""-""&amp;Schedule!$AC:$AC,Schedule!$L:$L=$K260,(Schedule!$K:$K=$L260)+(Schedule!$K:$K=""""),Schedule!$AB:$AB&lt;&gt;"""")),""""))"),"")</f>
        <v/>
      </c>
      <c r="S260" s="391" t="str">
        <f>if(K260="","", 24-countifs(N260:R264,""))</f>
        <v/>
      </c>
      <c r="T260" s="393"/>
    </row>
    <row r="261">
      <c r="A261" s="389" t="str">
        <f>C258</f>
        <v>New Math Teacher</v>
      </c>
      <c r="B261" s="389" t="str">
        <f>I258</f>
        <v/>
      </c>
      <c r="C261" s="100">
        <v>2.0</v>
      </c>
      <c r="D261" s="390" t="str">
        <f>IFERROR(__xludf.DUMMYFUNCTION("if($A261="""","""",iferror(join("" &amp; "",filter(Schedule!$S:$S&amp;""-""&amp;Schedule!$T:$T,Schedule!$L:$L=$A261,(Schedule!$K:$K=$B261)+(Schedule!$K:$K=""""),Schedule!$S:$S&lt;&gt;"""")),""""))"),"Geometry-7")</f>
        <v>Geometry-7</v>
      </c>
      <c r="E261" s="390" t="str">
        <f>IFERROR(__xludf.DUMMYFUNCTION("if($A261="""","""",iferror(join("" &amp; "",filter(Schedule!$AH:$AH&amp;""-""&amp;Schedule!$AI:$AI,Schedule!$L:$L=$A261,(Schedule!$K:$K=$B261)+(Schedule!$K:$K=""""),Schedule!$AH:$AH&lt;&gt;"""")),""""))"),"Algebra I-4")</f>
        <v>Algebra I-4</v>
      </c>
      <c r="F261" s="390" t="str">
        <f>IFERROR(__xludf.DUMMYFUNCTION("if($A261="""","""",iferror(join("" &amp; "",filter(Schedule!$Y:$Y&amp;""-""&amp;Schedule!$Z:$Z,Schedule!$L:$L=$A261,(Schedule!$K:$K=$B261)+(Schedule!$K:$K=""""),Schedule!$Y:$Y&lt;&gt;"""")),""""))"),"")</f>
        <v/>
      </c>
      <c r="G261" s="390" t="str">
        <f>IFERROR(__xludf.DUMMYFUNCTION("if($A261="""","""",iferror(join("" &amp; "",filter(Schedule!$P:$P&amp;""-""&amp;Schedule!$Q:$Q,Schedule!$L:$L=$A261,(Schedule!$K:$K=$B261)+(Schedule!$K:$K=""""),Schedule!$P:$P&lt;&gt;"""")),""""))"),"Geometry-1")</f>
        <v>Geometry-1</v>
      </c>
      <c r="H261" s="390" t="str">
        <f>IFERROR(__xludf.DUMMYFUNCTION("if($A261="""","""",iferror(join("" &amp; "",filter(Schedule!$AE:$AE&amp;""-""&amp;Schedule!$AF:$AF,Schedule!$L:$L=$A261,(Schedule!$K:$K=$B261)+(Schedule!$K:$K=""""),Schedule!$AE:$AE&lt;&gt;"""")),""""))"),"")</f>
        <v/>
      </c>
      <c r="I261" s="53"/>
      <c r="J261" s="392"/>
      <c r="K261" s="389" t="str">
        <f>M258</f>
        <v/>
      </c>
      <c r="L261" s="389" t="str">
        <f>S258</f>
        <v/>
      </c>
      <c r="M261" s="100">
        <v>2.0</v>
      </c>
      <c r="N261" s="390" t="str">
        <f>IFERROR(__xludf.DUMMYFUNCTION("if($K261="""","""",iferror(join("" &amp; "",filter(Schedule!$S:$S&amp;""-""&amp;Schedule!$T:$T,Schedule!$L:$L=$K261,(Schedule!$K:$K=$L261)+(Schedule!$K:$K=""""),Schedule!$S:$S&lt;&gt;"""")),""""))"),"")</f>
        <v/>
      </c>
      <c r="O261" s="390" t="str">
        <f>IFERROR(__xludf.DUMMYFUNCTION("if($K261="""","""",iferror(join("" &amp; "",filter(Schedule!$AH:$AH&amp;""-""&amp;Schedule!$AI:$AI,Schedule!$L:$L=$K261,(Schedule!$K:$K=$L261)+(Schedule!$K:$K=""""),Schedule!$AH:$AH&lt;&gt;"""")),""""))"),"")</f>
        <v/>
      </c>
      <c r="P261" s="390" t="str">
        <f>IFERROR(__xludf.DUMMYFUNCTION("if($K261="""","""",iferror(join("" &amp; "",filter(Schedule!$Y:$Y&amp;""-""&amp;Schedule!$Z:$Z,Schedule!$L:$L=$K261,(Schedule!$K:$K=$L261)+(Schedule!$K:$K=""""),Schedule!$Y:$Y&lt;&gt;"""")),""""))"),"")</f>
        <v/>
      </c>
      <c r="Q261" s="390" t="str">
        <f>IFERROR(__xludf.DUMMYFUNCTION("if($K261="""","""",iferror(join("" &amp; "",filter(Schedule!$P:$P&amp;""-""&amp;Schedule!$Q:$Q,Schedule!$L:$L=$K261,(Schedule!$K:$K=$L261)+(Schedule!$K:$K=""""),Schedule!$P:$P&lt;&gt;"""")),""""))"),"")</f>
        <v/>
      </c>
      <c r="R261" s="390" t="str">
        <f>IFERROR(__xludf.DUMMYFUNCTION("if($K261="""","""",iferror(join("" &amp; "",filter(Schedule!$AE:$AE&amp;""-""&amp;Schedule!$AF:$AF,Schedule!$L:$L=$K261,(Schedule!$K:$K=$L261)+(Schedule!$K:$K=""""),Schedule!$AE:$AE&lt;&gt;"""")),""""))"),"")</f>
        <v/>
      </c>
      <c r="S261" s="53"/>
      <c r="T261" s="393"/>
    </row>
    <row r="262">
      <c r="A262" s="389" t="str">
        <f>C258</f>
        <v>New Math Teacher</v>
      </c>
      <c r="B262" s="389" t="str">
        <f>I258</f>
        <v/>
      </c>
      <c r="C262" s="100">
        <v>3.0</v>
      </c>
      <c r="D262" s="390" t="str">
        <f>IFERROR(__xludf.DUMMYFUNCTION("if($A262="""","""",iferror(join("" &amp; "",filter(Schedule!$V:$V&amp;""-""&amp;Schedule!$W:$W,Schedule!$L:$L=$A262,(Schedule!$K:$K=$B262)+(Schedule!$K:$K=""""),Schedule!$V:$V&lt;&gt;"""")),""""))"),"Algebra I-3")</f>
        <v>Algebra I-3</v>
      </c>
      <c r="E262" s="390" t="str">
        <f>IFERROR(__xludf.DUMMYFUNCTION("if($A262="""","""",iferror(join("" &amp; "",filter(Schedule!$AK:$AK&amp;""-""&amp;Schedule!$AL:$AL,Schedule!$L:$L=$A262,(Schedule!$K:$K=$B262)+(Schedule!$K:$K=""""),Schedule!$AK:$AK&lt;&gt;"""")),""""))"),"")</f>
        <v/>
      </c>
      <c r="F262" s="390" t="str">
        <f>IFERROR(__xludf.DUMMYFUNCTION("if($A262="""","""",iferror(join("" &amp; "",filter(Schedule!$AB:$AB&amp;""-""&amp;Schedule!$AC:$AC,Schedule!$L:$L=$A262,(Schedule!$K:$K=$B262)+(Schedule!$K:$K=""""),Schedule!$AB:$AB&lt;&gt;"""")),""""))"),"")</f>
        <v/>
      </c>
      <c r="G262" s="390" t="str">
        <f>IFERROR(__xludf.DUMMYFUNCTION("if($A262="""","""",iferror(join("" &amp; "",filter(Schedule!$S:$S&amp;""-""&amp;Schedule!$T:$T,Schedule!$L:$L=$A262,(Schedule!$K:$K=$B262)+(Schedule!$K:$K=""""),Schedule!$S:$S&lt;&gt;"""")),""""))"),"Geometry-7")</f>
        <v>Geometry-7</v>
      </c>
      <c r="H262" s="395" t="str">
        <f>if($C258="","","X-Block")</f>
        <v>X-Block</v>
      </c>
      <c r="I262" s="53"/>
      <c r="J262" s="392"/>
      <c r="K262" s="389" t="str">
        <f>M258</f>
        <v/>
      </c>
      <c r="L262" s="389" t="str">
        <f>S258</f>
        <v/>
      </c>
      <c r="M262" s="100">
        <v>3.0</v>
      </c>
      <c r="N262" s="390" t="str">
        <f>IFERROR(__xludf.DUMMYFUNCTION("if($K262="""","""",iferror(join("" &amp; "",filter(Schedule!$V:$V&amp;""-""&amp;Schedule!$W:$W,Schedule!$L:$L=$K262,(Schedule!$K:$K=$L262)+(Schedule!$K:$K=""""),Schedule!$V:$V&lt;&gt;"""")),""""))"),"")</f>
        <v/>
      </c>
      <c r="O262" s="390" t="str">
        <f>IFERROR(__xludf.DUMMYFUNCTION("if($K262="""","""",iferror(join("" &amp; "",filter(Schedule!$AK:$AK&amp;""-""&amp;Schedule!$AL:$AL,Schedule!$L:$L=$K262,(Schedule!$K:$K=$L262)+(Schedule!$K:$K=""""),Schedule!$AK:$AK&lt;&gt;"""")),""""))"),"")</f>
        <v/>
      </c>
      <c r="P262" s="390" t="str">
        <f>IFERROR(__xludf.DUMMYFUNCTION("if($K262="""","""",iferror(join("" &amp; "",filter(Schedule!$AB:$AB&amp;""-""&amp;Schedule!$AC:$AC,Schedule!$L:$L=$K262,(Schedule!$K:$K=$L262)+(Schedule!$K:$K=""""),Schedule!$AB:$AB&lt;&gt;"""")),""""))"),"")</f>
        <v/>
      </c>
      <c r="Q262" s="390" t="str">
        <f>IFERROR(__xludf.DUMMYFUNCTION("if($K262="""","""",iferror(join("" &amp; "",filter(Schedule!$S:$S&amp;""-""&amp;Schedule!$T:$T,Schedule!$L:$L=$K262,(Schedule!$K:$K=$L262)+(Schedule!$K:$K=""""),Schedule!$S:$S&lt;&gt;"""")),""""))"),"")</f>
        <v/>
      </c>
      <c r="R262" s="395" t="str">
        <f>if($M258="","","X-Block")</f>
        <v/>
      </c>
      <c r="S262" s="53"/>
      <c r="T262" s="393"/>
    </row>
    <row r="263">
      <c r="A263" s="389" t="str">
        <f>C258</f>
        <v>New Math Teacher</v>
      </c>
      <c r="B263" s="389" t="str">
        <f>I258</f>
        <v/>
      </c>
      <c r="C263" s="100">
        <v>4.0</v>
      </c>
      <c r="D263" s="390" t="str">
        <f>IFERROR(__xludf.DUMMYFUNCTION("if($A263="""","""",iferror(join("" &amp; "",filter(Schedule!$Y:$Y&amp;""-""&amp;Schedule!$Z:$Z,Schedule!$L:$L=$A263,(Schedule!$K:$K=$B263)+(Schedule!$K:$K=""""),Schedule!$Y:$Y&lt;&gt;"""")),""""))"),"")</f>
        <v/>
      </c>
      <c r="E263" s="390" t="str">
        <f>IFERROR(__xludf.DUMMYFUNCTION("if($A263="""","""",iferror(join("" &amp; "",filter(Schedule!$P:$P&amp;""-""&amp;Schedule!$Q:$Q,Schedule!$L:$L=$A263,(Schedule!$K:$K=$B263)+(Schedule!$K:$K=""""),Schedule!$P:$P&lt;&gt;"""")),""""))"),"Geometry-1")</f>
        <v>Geometry-1</v>
      </c>
      <c r="F263" s="390" t="str">
        <f>IFERROR(__xludf.DUMMYFUNCTION("if($A263="""","""",iferror(join("" &amp; "",filter(Schedule!$AE:$AE&amp;""-""&amp;Schedule!$AF:$AF,Schedule!$L:$L=$A263,(Schedule!$K:$K=$B263)+(Schedule!$K:$K=""""),Schedule!$AE:$AE&lt;&gt;"""")),""""))"),"")</f>
        <v/>
      </c>
      <c r="G263" s="390" t="str">
        <f>IFERROR(__xludf.DUMMYFUNCTION("if($A263="""","""",iferror(join("" &amp; "",filter(Schedule!$V:$V&amp;""-""&amp;Schedule!$W:$W,Schedule!$L:$L=$A263,(Schedule!$K:$K=$B263)+(Schedule!$K:$K=""""),Schedule!$V:$V&lt;&gt;"""")),""""))"),"Algebra I-3")</f>
        <v>Algebra I-3</v>
      </c>
      <c r="H263" s="390" t="str">
        <f>IFERROR(__xludf.DUMMYFUNCTION("if($A263="""","""",iferror(join("" &amp; "",filter(Schedule!$AH:$AH&amp;""-""&amp;Schedule!$AI:$AI,Schedule!$L:$L=$A263,(Schedule!$K:$K=$B263)+(Schedule!$K:$K=""""),Schedule!$AH:$AH&lt;&gt;"""")),""""))"),"Algebra I-4")</f>
        <v>Algebra I-4</v>
      </c>
      <c r="I263" s="53"/>
      <c r="J263" s="392"/>
      <c r="K263" s="389" t="str">
        <f>M258</f>
        <v/>
      </c>
      <c r="L263" s="389" t="str">
        <f>S258</f>
        <v/>
      </c>
      <c r="M263" s="100">
        <v>4.0</v>
      </c>
      <c r="N263" s="390" t="str">
        <f>IFERROR(__xludf.DUMMYFUNCTION("if($K263="""","""",iferror(join("" &amp; "",filter(Schedule!$Y:$Y&amp;""-""&amp;Schedule!$Z:$Z,Schedule!$L:$L=$K263,(Schedule!$K:$K=$L263)+(Schedule!$K:$K=""""),Schedule!$Y:$Y&lt;&gt;"""")),""""))"),"")</f>
        <v/>
      </c>
      <c r="O263" s="390" t="str">
        <f>IFERROR(__xludf.DUMMYFUNCTION("if($K263="""","""",iferror(join("" &amp; "",filter(Schedule!$P:$P&amp;""-""&amp;Schedule!$Q:$Q,Schedule!$L:$L=$K263,(Schedule!$K:$K=$L263)+(Schedule!$K:$K=""""),Schedule!$P:$P&lt;&gt;"""")),""""))"),"")</f>
        <v/>
      </c>
      <c r="P263" s="390" t="str">
        <f>IFERROR(__xludf.DUMMYFUNCTION("if($K263="""","""",iferror(join("" &amp; "",filter(Schedule!$AE:$AE&amp;""-""&amp;Schedule!$AF:$AF,Schedule!$L:$L=$K263,(Schedule!$K:$K=$L263)+(Schedule!$K:$K=""""),Schedule!$AE:$AE&lt;&gt;"""")),""""))"),"")</f>
        <v/>
      </c>
      <c r="Q263" s="390" t="str">
        <f>IFERROR(__xludf.DUMMYFUNCTION("if($K263="""","""",iferror(join("" &amp; "",filter(Schedule!$V:$V&amp;""-""&amp;Schedule!$W:$W,Schedule!$L:$L=$K263,(Schedule!$K:$K=$L263)+(Schedule!$K:$K=""""),Schedule!$V:$V&lt;&gt;"""")),""""))"),"")</f>
        <v/>
      </c>
      <c r="R263" s="390" t="str">
        <f>IFERROR(__xludf.DUMMYFUNCTION("if($K263="""","""",iferror(join("" &amp; "",filter(Schedule!$AH:$AH&amp;""-""&amp;Schedule!$AI:$AI,Schedule!$L:$L=$K263,(Schedule!$K:$K=$L263)+(Schedule!$K:$K=""""),Schedule!$AH:$AH&lt;&gt;"""")),""""))"),"")</f>
        <v/>
      </c>
      <c r="S263" s="53"/>
      <c r="T263" s="393"/>
    </row>
    <row r="264">
      <c r="A264" s="389" t="str">
        <f>C258</f>
        <v>New Math Teacher</v>
      </c>
      <c r="B264" s="389" t="str">
        <f>I258</f>
        <v/>
      </c>
      <c r="C264" s="100">
        <v>5.0</v>
      </c>
      <c r="D264" s="390" t="str">
        <f>IFERROR(__xludf.DUMMYFUNCTION("if($A264="""","""",iferror(join("" &amp; "",filter(Schedule!$AB:$AB&amp;""-""&amp;Schedule!$AC:$AC,Schedule!$L:$L=$A264,(Schedule!$K:$K=$B264)+(Schedule!$K:$K=""""),Schedule!$AB:$AB&lt;&gt;"""")),""""))"),"")</f>
        <v/>
      </c>
      <c r="E264" s="390" t="str">
        <f>IFERROR(__xludf.DUMMYFUNCTION("if($A264="""","""",iferror(join("" &amp; "",filter(Schedule!$S:$S&amp;""-""&amp;Schedule!$T:$T,Schedule!$L:$L=$A264,(Schedule!$K:$K=$B264)+(Schedule!$K:$K=""""),Schedule!$S:$S&lt;&gt;"""")),""""))"),"Geometry-7")</f>
        <v>Geometry-7</v>
      </c>
      <c r="F264" s="390" t="str">
        <f>IFERROR(__xludf.DUMMYFUNCTION("if($A264="""","""",iferror(join("" &amp; "",filter(Schedule!$AH:$AH&amp;""-""&amp;Schedule!$AI:$AI,Schedule!$L:$L=$A264,(Schedule!$K:$K=$B264)+(Schedule!$K:$K=""""),Schedule!$AH:$AH&lt;&gt;"""")),""""))"),"Algebra I-4")</f>
        <v>Algebra I-4</v>
      </c>
      <c r="G264" s="390" t="str">
        <f>IFERROR(__xludf.DUMMYFUNCTION("if($A264="""","""",iferror(join("" &amp; "",filter(Schedule!$Y:$Y&amp;""-""&amp;Schedule!$Z:$Z,Schedule!$L:$L=$A264,(Schedule!$K:$K=$B264)+(Schedule!$K:$K=""""),Schedule!$Y:$Y&lt;&gt;"""")),""""))"),"")</f>
        <v/>
      </c>
      <c r="H264" s="390" t="str">
        <f>IFERROR(__xludf.DUMMYFUNCTION("if($A264="""","""",iferror(join("" &amp; "",filter(Schedule!$AK:$AK&amp;""-""&amp;Schedule!$AL:$AL,Schedule!$L:$L=$A264,(Schedule!$K:$K=$B264)+(Schedule!$K:$K=""""),Schedule!$AK:$AK&lt;&gt;"""")),""""))"),"")</f>
        <v/>
      </c>
      <c r="I264" s="68"/>
      <c r="J264" s="392"/>
      <c r="K264" s="389" t="str">
        <f>M258</f>
        <v/>
      </c>
      <c r="L264" s="389" t="str">
        <f>S258</f>
        <v/>
      </c>
      <c r="M264" s="100">
        <v>5.0</v>
      </c>
      <c r="N264" s="390" t="str">
        <f>IFERROR(__xludf.DUMMYFUNCTION("if($K264="""","""",iferror(join("" &amp; "",filter(Schedule!$AB:$AB&amp;""-""&amp;Schedule!$AC:$AC,Schedule!$L:$L=$K264,(Schedule!$K:$K=$L264)+(Schedule!$K:$K=""""),Schedule!$AB:$AB&lt;&gt;"""")),""""))"),"")</f>
        <v/>
      </c>
      <c r="O264" s="390" t="str">
        <f>IFERROR(__xludf.DUMMYFUNCTION("if($K264="""","""",iferror(join("" &amp; "",filter(Schedule!$S:$S&amp;""-""&amp;Schedule!$T:$T,Schedule!$L:$L=$K264,(Schedule!$K:$K=$L264)+(Schedule!$K:$K=""""),Schedule!$S:$S&lt;&gt;"""")),""""))"),"")</f>
        <v/>
      </c>
      <c r="P264" s="390" t="str">
        <f>IFERROR(__xludf.DUMMYFUNCTION("if($K264="""","""",iferror(join("" &amp; "",filter(Schedule!$AH:$AH&amp;""-""&amp;Schedule!$AI:$AI,Schedule!$L:$L=$K264,(Schedule!$K:$K=$L264)+(Schedule!$K:$K=""""),Schedule!$AH:$AH&lt;&gt;"""")),""""))"),"")</f>
        <v/>
      </c>
      <c r="Q264" s="390" t="str">
        <f>IFERROR(__xludf.DUMMYFUNCTION("if($K264="""","""",iferror(join("" &amp; "",filter(Schedule!$Y:$Y&amp;""-""&amp;Schedule!$Z:$Z,Schedule!$L:$L=$K264,(Schedule!$K:$K=$L264)+(Schedule!$K:$K=""""),Schedule!$Y:$Y&lt;&gt;"""")),""""))"),"")</f>
        <v/>
      </c>
      <c r="R264" s="390" t="str">
        <f>IFERROR(__xludf.DUMMYFUNCTION("if($K264="""","""",iferror(join("" &amp; "",filter(Schedule!$AK:$AK&amp;""-""&amp;Schedule!$AL:$AL,Schedule!$L:$L=$K264,(Schedule!$K:$K=$L264)+(Schedule!$K:$K=""""),Schedule!$AK:$AK&lt;&gt;"""")),""""))"),"")</f>
        <v/>
      </c>
      <c r="S264" s="68"/>
      <c r="T264" s="393"/>
    </row>
    <row r="265">
      <c r="C265" s="3"/>
      <c r="D265" s="396"/>
      <c r="E265" s="396"/>
      <c r="F265" s="396"/>
      <c r="G265" s="396"/>
      <c r="H265" s="396"/>
      <c r="N265" s="397"/>
      <c r="O265" s="397"/>
      <c r="P265" s="397"/>
      <c r="Q265" s="397"/>
      <c r="R265" s="397"/>
    </row>
    <row r="266">
      <c r="A266" s="45"/>
      <c r="B266" s="45"/>
      <c r="C266" s="386" t="str">
        <f>Teachers!A34</f>
        <v>Nick Schmalz</v>
      </c>
      <c r="D266" s="383"/>
      <c r="E266" s="383"/>
      <c r="F266" s="383"/>
      <c r="G266" s="383"/>
      <c r="H266" s="384"/>
      <c r="I266" s="385" t="str">
        <f>IFERROR(__xludf.DUMMYFUNCTION("if(C266="""","""", iferror(filter(Schedule!$K:$K,Schedule!$L:$L=$C266,Schedule!$K:$K=""S1""),unique(filter(Schedule!$K:$K,Schedule!$L:$L=$C266,Schedule!$K:$K=""""))))"),"")</f>
        <v/>
      </c>
      <c r="M266" s="386" t="str">
        <f>if(S266="","",C266)</f>
        <v/>
      </c>
      <c r="N266" s="383"/>
      <c r="O266" s="383"/>
      <c r="P266" s="383"/>
      <c r="Q266" s="383"/>
      <c r="R266" s="384"/>
      <c r="S266" s="385" t="str">
        <f>if(I266="S1","S2","")</f>
        <v/>
      </c>
      <c r="T266" s="112"/>
    </row>
    <row r="267">
      <c r="A267" s="116"/>
      <c r="B267" s="116"/>
      <c r="C267" s="100" t="s">
        <v>7</v>
      </c>
      <c r="D267" s="387" t="s">
        <v>8</v>
      </c>
      <c r="E267" s="387" t="s">
        <v>9</v>
      </c>
      <c r="F267" s="387" t="s">
        <v>10</v>
      </c>
      <c r="G267" s="387" t="s">
        <v>11</v>
      </c>
      <c r="H267" s="387" t="s">
        <v>12</v>
      </c>
      <c r="I267" s="21" t="s">
        <v>766</v>
      </c>
      <c r="J267" s="116"/>
      <c r="K267" s="116"/>
      <c r="L267" s="116"/>
      <c r="M267" s="100" t="s">
        <v>7</v>
      </c>
      <c r="N267" s="387" t="s">
        <v>8</v>
      </c>
      <c r="O267" s="387" t="s">
        <v>9</v>
      </c>
      <c r="P267" s="387" t="s">
        <v>10</v>
      </c>
      <c r="Q267" s="387" t="s">
        <v>11</v>
      </c>
      <c r="R267" s="387" t="s">
        <v>12</v>
      </c>
      <c r="S267" s="21" t="s">
        <v>766</v>
      </c>
      <c r="T267" s="388"/>
    </row>
    <row r="268">
      <c r="A268" s="389" t="str">
        <f>C266</f>
        <v>Nick Schmalz</v>
      </c>
      <c r="B268" s="389" t="str">
        <f>I266</f>
        <v/>
      </c>
      <c r="C268" s="100">
        <v>1.0</v>
      </c>
      <c r="D268" s="390" t="str">
        <f>IFERROR(__xludf.DUMMYFUNCTION("if($A268="""","""",iferror(join("" &amp; "",filter(Schedule!$P:$P&amp;""-""&amp;Schedule!$Q:$Q,Schedule!$L:$L=$A268,(Schedule!$K:$K=$B268)+(Schedule!$K:$K=""""),Schedule!$P:$P&lt;&gt;"""")),""""))"),"")</f>
        <v/>
      </c>
      <c r="E268" s="390" t="str">
        <f>IFERROR(__xludf.DUMMYFUNCTION("if($A268="""","""",iferror(join("" &amp; "",filter(Schedule!$AE:$AE&amp;""-""&amp;Schedule!$AF:$AF,Schedule!$L:$L=$A268,(Schedule!$K:$K=$B268)+(Schedule!$K:$K=""""),Schedule!$AE:$AE&lt;&gt;"""")),""""))"),"AP Seminar-3")</f>
        <v>AP Seminar-3</v>
      </c>
      <c r="F268" s="390" t="str">
        <f>IFERROR(__xludf.DUMMYFUNCTION("if($A268="""","""",iferror(join("" &amp; "",filter(Schedule!$V:$V&amp;""-""&amp;Schedule!$W:$W,Schedule!$L:$L=$A268,(Schedule!$K:$K=$B268)+(Schedule!$K:$K=""""),Schedule!$V:$V&lt;&gt;"""")),""""))"),"Social Studies 9-1")</f>
        <v>Social Studies 9-1</v>
      </c>
      <c r="G268" s="390" t="str">
        <f>IFERROR(__xludf.DUMMYFUNCTION("if($A268="""","""",iferror(join("" &amp; "",filter(Schedule!$AK:$AK&amp;""-""&amp;Schedule!$AL:$AL,Schedule!$L:$L=$A268,(Schedule!$K:$K=$B268)+(Schedule!$K:$K=""""),Schedule!$AK:$AK&lt;&gt;"""")),""""))"),"Social Studies 9-4")</f>
        <v>Social Studies 9-4</v>
      </c>
      <c r="H268" s="390" t="str">
        <f>IFERROR(__xludf.DUMMYFUNCTION("if($A268="""","""",iferror(join("" &amp; "",filter(Schedule!$AB:$AB&amp;""-""&amp;Schedule!$AC:$AC,Schedule!$L:$L=$A268,(Schedule!$K:$K=$B268)+(Schedule!$K:$K=""""),Schedule!$AB:$AB&lt;&gt;"""")),""""))"),"")</f>
        <v/>
      </c>
      <c r="I268" s="391">
        <f>if(C266="","", 24-countifs(D268:H272,""))</f>
        <v>15</v>
      </c>
      <c r="J268" s="392"/>
      <c r="K268" s="389" t="str">
        <f>M266</f>
        <v/>
      </c>
      <c r="L268" s="389" t="str">
        <f>S266</f>
        <v/>
      </c>
      <c r="M268" s="100">
        <v>1.0</v>
      </c>
      <c r="N268" s="390" t="str">
        <f>IFERROR(__xludf.DUMMYFUNCTION("if($K268="""","""",iferror(join("" &amp; "",filter(Schedule!$P:$P&amp;""-""&amp;Schedule!$Q:$Q,Schedule!$L:$L=$K268,(Schedule!$K:$K=$L268)+(Schedule!$K:$K=""""),Schedule!$P:$P&lt;&gt;"""")),""""))"),"")</f>
        <v/>
      </c>
      <c r="O268" s="390" t="str">
        <f>IFERROR(__xludf.DUMMYFUNCTION("if($K268="""","""",iferror(join("" &amp; "",filter(Schedule!$AE:$AE&amp;""-""&amp;Schedule!$AF:$AF,Schedule!$L:$L=$K268,(Schedule!$K:$K=$L268)+(Schedule!$K:$K=""""),Schedule!$AE:$AE&lt;&gt;"""")),""""))"),"")</f>
        <v/>
      </c>
      <c r="P268" s="390" t="str">
        <f>IFERROR(__xludf.DUMMYFUNCTION("if($K268="""","""",iferror(join("" &amp; "",filter(Schedule!$V:$V&amp;""-""&amp;Schedule!$W:$W,Schedule!$L:$L=$K268,(Schedule!$K:$K=$L268)+(Schedule!$K:$K=""""),Schedule!$V:$V&lt;&gt;"""")),""""))"),"")</f>
        <v/>
      </c>
      <c r="Q268" s="390" t="str">
        <f>IFERROR(__xludf.DUMMYFUNCTION("if($K268="""","""",iferror(join("" &amp; "",filter(Schedule!$AK:$AK&amp;""-""&amp;Schedule!$AL:$AL,Schedule!$L:$L=$K268,(Schedule!$K:$K=$L268)+(Schedule!$K:$K=""""),Schedule!$AK:$AK&lt;&gt;"""")),""""))"),"")</f>
        <v/>
      </c>
      <c r="R268" s="390" t="str">
        <f>IFERROR(__xludf.DUMMYFUNCTION("if($K268="""","""",iferror(join("" &amp; "",filter(Schedule!$AB:$AB&amp;""-""&amp;Schedule!$AC:$AC,Schedule!$L:$L=$K268,(Schedule!$K:$K=$L268)+(Schedule!$K:$K=""""),Schedule!$AB:$AB&lt;&gt;"""")),""""))"),"")</f>
        <v/>
      </c>
      <c r="S268" s="391" t="str">
        <f>if(K268="","", 24-countifs(N268:R272,""))</f>
        <v/>
      </c>
      <c r="T268" s="393"/>
    </row>
    <row r="269">
      <c r="A269" s="389" t="str">
        <f>C266</f>
        <v>Nick Schmalz</v>
      </c>
      <c r="B269" s="389" t="str">
        <f>I266</f>
        <v/>
      </c>
      <c r="C269" s="100">
        <v>2.0</v>
      </c>
      <c r="D269" s="390" t="str">
        <f>IFERROR(__xludf.DUMMYFUNCTION("if($A269="""","""",iferror(join("" &amp; "",filter(Schedule!$S:$S&amp;""-""&amp;Schedule!$T:$T,Schedule!$L:$L=$A269,(Schedule!$K:$K=$B269)+(Schedule!$K:$K=""""),Schedule!$S:$S&lt;&gt;"""")),""""))"),"")</f>
        <v/>
      </c>
      <c r="E269" s="390" t="str">
        <f>IFERROR(__xludf.DUMMYFUNCTION("if($A269="""","""",iferror(join("" &amp; "",filter(Schedule!$AH:$AH&amp;""-""&amp;Schedule!$AI:$AI,Schedule!$L:$L=$A269,(Schedule!$K:$K=$B269)+(Schedule!$K:$K=""""),Schedule!$AH:$AH&lt;&gt;"""")),""""))"),"Social Studies 9-3")</f>
        <v>Social Studies 9-3</v>
      </c>
      <c r="F269" s="390" t="str">
        <f>IFERROR(__xludf.DUMMYFUNCTION("if($A269="""","""",iferror(join("" &amp; "",filter(Schedule!$Y:$Y&amp;""-""&amp;Schedule!$Z:$Z,Schedule!$L:$L=$A269,(Schedule!$K:$K=$B269)+(Schedule!$K:$K=""""),Schedule!$Y:$Y&lt;&gt;"""")),""""))"),"Social Studies 9-2")</f>
        <v>Social Studies 9-2</v>
      </c>
      <c r="G269" s="390" t="str">
        <f>IFERROR(__xludf.DUMMYFUNCTION("if($A269="""","""",iferror(join("" &amp; "",filter(Schedule!$P:$P&amp;""-""&amp;Schedule!$Q:$Q,Schedule!$L:$L=$A269,(Schedule!$K:$K=$B269)+(Schedule!$K:$K=""""),Schedule!$P:$P&lt;&gt;"""")),""""))"),"")</f>
        <v/>
      </c>
      <c r="H269" s="390" t="str">
        <f>IFERROR(__xludf.DUMMYFUNCTION("if($A269="""","""",iferror(join("" &amp; "",filter(Schedule!$AE:$AE&amp;""-""&amp;Schedule!$AF:$AF,Schedule!$L:$L=$A269,(Schedule!$K:$K=$B269)+(Schedule!$K:$K=""""),Schedule!$AE:$AE&lt;&gt;"""")),""""))"),"AP Seminar-3")</f>
        <v>AP Seminar-3</v>
      </c>
      <c r="I269" s="53"/>
      <c r="J269" s="392"/>
      <c r="K269" s="389" t="str">
        <f>M266</f>
        <v/>
      </c>
      <c r="L269" s="389" t="str">
        <f>S266</f>
        <v/>
      </c>
      <c r="M269" s="100">
        <v>2.0</v>
      </c>
      <c r="N269" s="390" t="str">
        <f>IFERROR(__xludf.DUMMYFUNCTION("if($K269="""","""",iferror(join("" &amp; "",filter(Schedule!$S:$S&amp;""-""&amp;Schedule!$T:$T,Schedule!$L:$L=$K269,(Schedule!$K:$K=$L269)+(Schedule!$K:$K=""""),Schedule!$S:$S&lt;&gt;"""")),""""))"),"")</f>
        <v/>
      </c>
      <c r="O269" s="390" t="str">
        <f>IFERROR(__xludf.DUMMYFUNCTION("if($K269="""","""",iferror(join("" &amp; "",filter(Schedule!$AH:$AH&amp;""-""&amp;Schedule!$AI:$AI,Schedule!$L:$L=$K269,(Schedule!$K:$K=$L269)+(Schedule!$K:$K=""""),Schedule!$AH:$AH&lt;&gt;"""")),""""))"),"")</f>
        <v/>
      </c>
      <c r="P269" s="390" t="str">
        <f>IFERROR(__xludf.DUMMYFUNCTION("if($K269="""","""",iferror(join("" &amp; "",filter(Schedule!$Y:$Y&amp;""-""&amp;Schedule!$Z:$Z,Schedule!$L:$L=$K269,(Schedule!$K:$K=$L269)+(Schedule!$K:$K=""""),Schedule!$Y:$Y&lt;&gt;"""")),""""))"),"")</f>
        <v/>
      </c>
      <c r="Q269" s="390" t="str">
        <f>IFERROR(__xludf.DUMMYFUNCTION("if($K269="""","""",iferror(join("" &amp; "",filter(Schedule!$P:$P&amp;""-""&amp;Schedule!$Q:$Q,Schedule!$L:$L=$K269,(Schedule!$K:$K=$L269)+(Schedule!$K:$K=""""),Schedule!$P:$P&lt;&gt;"""")),""""))"),"")</f>
        <v/>
      </c>
      <c r="R269" s="390" t="str">
        <f>IFERROR(__xludf.DUMMYFUNCTION("if($K269="""","""",iferror(join("" &amp; "",filter(Schedule!$AE:$AE&amp;""-""&amp;Schedule!$AF:$AF,Schedule!$L:$L=$K269,(Schedule!$K:$K=$L269)+(Schedule!$K:$K=""""),Schedule!$AE:$AE&lt;&gt;"""")),""""))"),"")</f>
        <v/>
      </c>
      <c r="S269" s="53"/>
      <c r="T269" s="393"/>
    </row>
    <row r="270">
      <c r="A270" s="389" t="str">
        <f>C266</f>
        <v>Nick Schmalz</v>
      </c>
      <c r="B270" s="389" t="str">
        <f>I266</f>
        <v/>
      </c>
      <c r="C270" s="100">
        <v>3.0</v>
      </c>
      <c r="D270" s="390" t="str">
        <f>IFERROR(__xludf.DUMMYFUNCTION("if($A270="""","""",iferror(join("" &amp; "",filter(Schedule!$V:$V&amp;""-""&amp;Schedule!$W:$W,Schedule!$L:$L=$A270,(Schedule!$K:$K=$B270)+(Schedule!$K:$K=""""),Schedule!$V:$V&lt;&gt;"""")),""""))"),"Social Studies 9-1")</f>
        <v>Social Studies 9-1</v>
      </c>
      <c r="E270" s="390" t="str">
        <f>IFERROR(__xludf.DUMMYFUNCTION("if($A270="""","""",iferror(join("" &amp; "",filter(Schedule!$AK:$AK&amp;""-""&amp;Schedule!$AL:$AL,Schedule!$L:$L=$A270,(Schedule!$K:$K=$B270)+(Schedule!$K:$K=""""),Schedule!$AK:$AK&lt;&gt;"""")),""""))"),"Social Studies 9-4")</f>
        <v>Social Studies 9-4</v>
      </c>
      <c r="F270" s="390" t="str">
        <f>IFERROR(__xludf.DUMMYFUNCTION("if($A270="""","""",iferror(join("" &amp; "",filter(Schedule!$AB:$AB&amp;""-""&amp;Schedule!$AC:$AC,Schedule!$L:$L=$A270,(Schedule!$K:$K=$B270)+(Schedule!$K:$K=""""),Schedule!$AB:$AB&lt;&gt;"""")),""""))"),"")</f>
        <v/>
      </c>
      <c r="G270" s="390" t="str">
        <f>IFERROR(__xludf.DUMMYFUNCTION("if($A270="""","""",iferror(join("" &amp; "",filter(Schedule!$S:$S&amp;""-""&amp;Schedule!$T:$T,Schedule!$L:$L=$A270,(Schedule!$K:$K=$B270)+(Schedule!$K:$K=""""),Schedule!$S:$S&lt;&gt;"""")),""""))"),"")</f>
        <v/>
      </c>
      <c r="H270" s="395" t="str">
        <f>if($C266="","","X-Block")</f>
        <v>X-Block</v>
      </c>
      <c r="I270" s="53"/>
      <c r="J270" s="392"/>
      <c r="K270" s="389" t="str">
        <f>M266</f>
        <v/>
      </c>
      <c r="L270" s="389" t="str">
        <f>S266</f>
        <v/>
      </c>
      <c r="M270" s="100">
        <v>3.0</v>
      </c>
      <c r="N270" s="390" t="str">
        <f>IFERROR(__xludf.DUMMYFUNCTION("if($K270="""","""",iferror(join("" &amp; "",filter(Schedule!$V:$V&amp;""-""&amp;Schedule!$W:$W,Schedule!$L:$L=$K270,(Schedule!$K:$K=$L270)+(Schedule!$K:$K=""""),Schedule!$V:$V&lt;&gt;"""")),""""))"),"")</f>
        <v/>
      </c>
      <c r="O270" s="390" t="str">
        <f>IFERROR(__xludf.DUMMYFUNCTION("if($K270="""","""",iferror(join("" &amp; "",filter(Schedule!$AK:$AK&amp;""-""&amp;Schedule!$AL:$AL,Schedule!$L:$L=$K270,(Schedule!$K:$K=$L270)+(Schedule!$K:$K=""""),Schedule!$AK:$AK&lt;&gt;"""")),""""))"),"")</f>
        <v/>
      </c>
      <c r="P270" s="390" t="str">
        <f>IFERROR(__xludf.DUMMYFUNCTION("if($K270="""","""",iferror(join("" &amp; "",filter(Schedule!$AB:$AB&amp;""-""&amp;Schedule!$AC:$AC,Schedule!$L:$L=$K270,(Schedule!$K:$K=$L270)+(Schedule!$K:$K=""""),Schedule!$AB:$AB&lt;&gt;"""")),""""))"),"")</f>
        <v/>
      </c>
      <c r="Q270" s="390" t="str">
        <f>IFERROR(__xludf.DUMMYFUNCTION("if($K270="""","""",iferror(join("" &amp; "",filter(Schedule!$S:$S&amp;""-""&amp;Schedule!$T:$T,Schedule!$L:$L=$K270,(Schedule!$K:$K=$L270)+(Schedule!$K:$K=""""),Schedule!$S:$S&lt;&gt;"""")),""""))"),"")</f>
        <v/>
      </c>
      <c r="R270" s="395" t="str">
        <f>if($M266="","","X-Block")</f>
        <v/>
      </c>
      <c r="S270" s="53"/>
      <c r="T270" s="393"/>
    </row>
    <row r="271">
      <c r="A271" s="389" t="str">
        <f>C266</f>
        <v>Nick Schmalz</v>
      </c>
      <c r="B271" s="389" t="str">
        <f>I266</f>
        <v/>
      </c>
      <c r="C271" s="100">
        <v>4.0</v>
      </c>
      <c r="D271" s="390" t="str">
        <f>IFERROR(__xludf.DUMMYFUNCTION("if($A271="""","""",iferror(join("" &amp; "",filter(Schedule!$Y:$Y&amp;""-""&amp;Schedule!$Z:$Z,Schedule!$L:$L=$A271,(Schedule!$K:$K=$B271)+(Schedule!$K:$K=""""),Schedule!$Y:$Y&lt;&gt;"""")),""""))"),"Social Studies 9-2")</f>
        <v>Social Studies 9-2</v>
      </c>
      <c r="E271" s="390" t="str">
        <f>IFERROR(__xludf.DUMMYFUNCTION("if($A271="""","""",iferror(join("" &amp; "",filter(Schedule!$P:$P&amp;""-""&amp;Schedule!$Q:$Q,Schedule!$L:$L=$A271,(Schedule!$K:$K=$B271)+(Schedule!$K:$K=""""),Schedule!$P:$P&lt;&gt;"""")),""""))"),"")</f>
        <v/>
      </c>
      <c r="F271" s="390" t="str">
        <f>IFERROR(__xludf.DUMMYFUNCTION("if($A271="""","""",iferror(join("" &amp; "",filter(Schedule!$AE:$AE&amp;""-""&amp;Schedule!$AF:$AF,Schedule!$L:$L=$A271,(Schedule!$K:$K=$B271)+(Schedule!$K:$K=""""),Schedule!$AE:$AE&lt;&gt;"""")),""""))"),"AP Seminar-3")</f>
        <v>AP Seminar-3</v>
      </c>
      <c r="G271" s="390" t="str">
        <f>IFERROR(__xludf.DUMMYFUNCTION("if($A271="""","""",iferror(join("" &amp; "",filter(Schedule!$V:$V&amp;""-""&amp;Schedule!$W:$W,Schedule!$L:$L=$A271,(Schedule!$K:$K=$B271)+(Schedule!$K:$K=""""),Schedule!$V:$V&lt;&gt;"""")),""""))"),"Social Studies 9-1")</f>
        <v>Social Studies 9-1</v>
      </c>
      <c r="H271" s="390" t="str">
        <f>IFERROR(__xludf.DUMMYFUNCTION("if($A271="""","""",iferror(join("" &amp; "",filter(Schedule!$AH:$AH&amp;""-""&amp;Schedule!$AI:$AI,Schedule!$L:$L=$A271,(Schedule!$K:$K=$B271)+(Schedule!$K:$K=""""),Schedule!$AH:$AH&lt;&gt;"""")),""""))"),"Social Studies 9-3")</f>
        <v>Social Studies 9-3</v>
      </c>
      <c r="I271" s="53"/>
      <c r="J271" s="392"/>
      <c r="K271" s="389" t="str">
        <f>M266</f>
        <v/>
      </c>
      <c r="L271" s="389" t="str">
        <f>S266</f>
        <v/>
      </c>
      <c r="M271" s="100">
        <v>4.0</v>
      </c>
      <c r="N271" s="390" t="str">
        <f>IFERROR(__xludf.DUMMYFUNCTION("if($K271="""","""",iferror(join("" &amp; "",filter(Schedule!$Y:$Y&amp;""-""&amp;Schedule!$Z:$Z,Schedule!$L:$L=$K271,(Schedule!$K:$K=$L271)+(Schedule!$K:$K=""""),Schedule!$Y:$Y&lt;&gt;"""")),""""))"),"")</f>
        <v/>
      </c>
      <c r="O271" s="390" t="str">
        <f>IFERROR(__xludf.DUMMYFUNCTION("if($K271="""","""",iferror(join("" &amp; "",filter(Schedule!$P:$P&amp;""-""&amp;Schedule!$Q:$Q,Schedule!$L:$L=$K271,(Schedule!$K:$K=$L271)+(Schedule!$K:$K=""""),Schedule!$P:$P&lt;&gt;"""")),""""))"),"")</f>
        <v/>
      </c>
      <c r="P271" s="390" t="str">
        <f>IFERROR(__xludf.DUMMYFUNCTION("if($K271="""","""",iferror(join("" &amp; "",filter(Schedule!$AE:$AE&amp;""-""&amp;Schedule!$AF:$AF,Schedule!$L:$L=$K271,(Schedule!$K:$K=$L271)+(Schedule!$K:$K=""""),Schedule!$AE:$AE&lt;&gt;"""")),""""))"),"")</f>
        <v/>
      </c>
      <c r="Q271" s="390" t="str">
        <f>IFERROR(__xludf.DUMMYFUNCTION("if($K271="""","""",iferror(join("" &amp; "",filter(Schedule!$V:$V&amp;""-""&amp;Schedule!$W:$W,Schedule!$L:$L=$K271,(Schedule!$K:$K=$L271)+(Schedule!$K:$K=""""),Schedule!$V:$V&lt;&gt;"""")),""""))"),"")</f>
        <v/>
      </c>
      <c r="R271" s="390" t="str">
        <f>IFERROR(__xludf.DUMMYFUNCTION("if($K271="""","""",iferror(join("" &amp; "",filter(Schedule!$AH:$AH&amp;""-""&amp;Schedule!$AI:$AI,Schedule!$L:$L=$K271,(Schedule!$K:$K=$L271)+(Schedule!$K:$K=""""),Schedule!$AH:$AH&lt;&gt;"""")),""""))"),"")</f>
        <v/>
      </c>
      <c r="S271" s="53"/>
      <c r="T271" s="393"/>
    </row>
    <row r="272">
      <c r="A272" s="389" t="str">
        <f>C266</f>
        <v>Nick Schmalz</v>
      </c>
      <c r="B272" s="389" t="str">
        <f>I266</f>
        <v/>
      </c>
      <c r="C272" s="100">
        <v>5.0</v>
      </c>
      <c r="D272" s="390" t="str">
        <f>IFERROR(__xludf.DUMMYFUNCTION("if($A272="""","""",iferror(join("" &amp; "",filter(Schedule!$AB:$AB&amp;""-""&amp;Schedule!$AC:$AC,Schedule!$L:$L=$A272,(Schedule!$K:$K=$B272)+(Schedule!$K:$K=""""),Schedule!$AB:$AB&lt;&gt;"""")),""""))"),"")</f>
        <v/>
      </c>
      <c r="E272" s="390" t="str">
        <f>IFERROR(__xludf.DUMMYFUNCTION("if($A272="""","""",iferror(join("" &amp; "",filter(Schedule!$S:$S&amp;""-""&amp;Schedule!$T:$T,Schedule!$L:$L=$A272,(Schedule!$K:$K=$B272)+(Schedule!$K:$K=""""),Schedule!$S:$S&lt;&gt;"""")),""""))"),"")</f>
        <v/>
      </c>
      <c r="F272" s="390" t="str">
        <f>IFERROR(__xludf.DUMMYFUNCTION("if($A272="""","""",iferror(join("" &amp; "",filter(Schedule!$AH:$AH&amp;""-""&amp;Schedule!$AI:$AI,Schedule!$L:$L=$A272,(Schedule!$K:$K=$B272)+(Schedule!$K:$K=""""),Schedule!$AH:$AH&lt;&gt;"""")),""""))"),"Social Studies 9-3")</f>
        <v>Social Studies 9-3</v>
      </c>
      <c r="G272" s="390" t="str">
        <f>IFERROR(__xludf.DUMMYFUNCTION("if($A272="""","""",iferror(join("" &amp; "",filter(Schedule!$Y:$Y&amp;""-""&amp;Schedule!$Z:$Z,Schedule!$L:$L=$A272,(Schedule!$K:$K=$B272)+(Schedule!$K:$K=""""),Schedule!$Y:$Y&lt;&gt;"""")),""""))"),"Social Studies 9-2")</f>
        <v>Social Studies 9-2</v>
      </c>
      <c r="H272" s="390" t="str">
        <f>IFERROR(__xludf.DUMMYFUNCTION("if($A272="""","""",iferror(join("" &amp; "",filter(Schedule!$AK:$AK&amp;""-""&amp;Schedule!$AL:$AL,Schedule!$L:$L=$A272,(Schedule!$K:$K=$B272)+(Schedule!$K:$K=""""),Schedule!$AK:$AK&lt;&gt;"""")),""""))"),"Social Studies 9-4")</f>
        <v>Social Studies 9-4</v>
      </c>
      <c r="I272" s="68"/>
      <c r="J272" s="392"/>
      <c r="K272" s="389" t="str">
        <f>M266</f>
        <v/>
      </c>
      <c r="L272" s="389" t="str">
        <f>S266</f>
        <v/>
      </c>
      <c r="M272" s="100">
        <v>5.0</v>
      </c>
      <c r="N272" s="390" t="str">
        <f>IFERROR(__xludf.DUMMYFUNCTION("if($K272="""","""",iferror(join("" &amp; "",filter(Schedule!$AB:$AB&amp;""-""&amp;Schedule!$AC:$AC,Schedule!$L:$L=$K272,(Schedule!$K:$K=$L272)+(Schedule!$K:$K=""""),Schedule!$AB:$AB&lt;&gt;"""")),""""))"),"")</f>
        <v/>
      </c>
      <c r="O272" s="390" t="str">
        <f>IFERROR(__xludf.DUMMYFUNCTION("if($K272="""","""",iferror(join("" &amp; "",filter(Schedule!$S:$S&amp;""-""&amp;Schedule!$T:$T,Schedule!$L:$L=$K272,(Schedule!$K:$K=$L272)+(Schedule!$K:$K=""""),Schedule!$S:$S&lt;&gt;"""")),""""))"),"")</f>
        <v/>
      </c>
      <c r="P272" s="390" t="str">
        <f>IFERROR(__xludf.DUMMYFUNCTION("if($K272="""","""",iferror(join("" &amp; "",filter(Schedule!$AH:$AH&amp;""-""&amp;Schedule!$AI:$AI,Schedule!$L:$L=$K272,(Schedule!$K:$K=$L272)+(Schedule!$K:$K=""""),Schedule!$AH:$AH&lt;&gt;"""")),""""))"),"")</f>
        <v/>
      </c>
      <c r="Q272" s="390" t="str">
        <f>IFERROR(__xludf.DUMMYFUNCTION("if($K272="""","""",iferror(join("" &amp; "",filter(Schedule!$Y:$Y&amp;""-""&amp;Schedule!$Z:$Z,Schedule!$L:$L=$K272,(Schedule!$K:$K=$L272)+(Schedule!$K:$K=""""),Schedule!$Y:$Y&lt;&gt;"""")),""""))"),"")</f>
        <v/>
      </c>
      <c r="R272" s="390" t="str">
        <f>IFERROR(__xludf.DUMMYFUNCTION("if($K272="""","""",iferror(join("" &amp; "",filter(Schedule!$AK:$AK&amp;""-""&amp;Schedule!$AL:$AL,Schedule!$L:$L=$K272,(Schedule!$K:$K=$L272)+(Schedule!$K:$K=""""),Schedule!$AK:$AK&lt;&gt;"""")),""""))"),"")</f>
        <v/>
      </c>
      <c r="S272" s="68"/>
      <c r="T272" s="393"/>
    </row>
    <row r="273">
      <c r="C273" s="3"/>
      <c r="D273" s="396"/>
      <c r="E273" s="396"/>
      <c r="F273" s="396"/>
      <c r="G273" s="396"/>
      <c r="H273" s="396"/>
      <c r="N273" s="397"/>
      <c r="O273" s="397"/>
      <c r="P273" s="397"/>
      <c r="Q273" s="397"/>
      <c r="R273" s="397"/>
    </row>
    <row r="274">
      <c r="A274" s="45"/>
      <c r="B274" s="45"/>
      <c r="C274" s="386" t="str">
        <f>Teachers!A35</f>
        <v>Norberto Villa</v>
      </c>
      <c r="D274" s="383"/>
      <c r="E274" s="383"/>
      <c r="F274" s="383"/>
      <c r="G274" s="383"/>
      <c r="H274" s="384"/>
      <c r="I274" s="385" t="str">
        <f>IFERROR(__xludf.DUMMYFUNCTION("if(C274="""","""", iferror(filter(Schedule!$K:$K,Schedule!$L:$L=$C274,Schedule!$K:$K=""S1""),unique(filter(Schedule!$K:$K,Schedule!$L:$L=$C274,Schedule!$K:$K=""""))))"),"")</f>
        <v/>
      </c>
      <c r="M274" s="386" t="str">
        <f>if(S274="","",C274)</f>
        <v/>
      </c>
      <c r="N274" s="383"/>
      <c r="O274" s="383"/>
      <c r="P274" s="383"/>
      <c r="Q274" s="383"/>
      <c r="R274" s="384"/>
      <c r="S274" s="385" t="str">
        <f>if(I274="S1","S2","")</f>
        <v/>
      </c>
      <c r="T274" s="112"/>
    </row>
    <row r="275">
      <c r="A275" s="116"/>
      <c r="B275" s="116"/>
      <c r="C275" s="100" t="s">
        <v>7</v>
      </c>
      <c r="D275" s="387" t="s">
        <v>8</v>
      </c>
      <c r="E275" s="387" t="s">
        <v>9</v>
      </c>
      <c r="F275" s="387" t="s">
        <v>10</v>
      </c>
      <c r="G275" s="387" t="s">
        <v>11</v>
      </c>
      <c r="H275" s="387" t="s">
        <v>12</v>
      </c>
      <c r="I275" s="21" t="s">
        <v>766</v>
      </c>
      <c r="J275" s="116"/>
      <c r="K275" s="116"/>
      <c r="L275" s="116"/>
      <c r="M275" s="100" t="s">
        <v>7</v>
      </c>
      <c r="N275" s="387" t="s">
        <v>8</v>
      </c>
      <c r="O275" s="387" t="s">
        <v>9</v>
      </c>
      <c r="P275" s="387" t="s">
        <v>10</v>
      </c>
      <c r="Q275" s="387" t="s">
        <v>11</v>
      </c>
      <c r="R275" s="387" t="s">
        <v>12</v>
      </c>
      <c r="S275" s="21" t="s">
        <v>766</v>
      </c>
      <c r="T275" s="388"/>
    </row>
    <row r="276">
      <c r="A276" s="389" t="str">
        <f>C274</f>
        <v>Norberto Villa</v>
      </c>
      <c r="B276" s="389" t="str">
        <f>I274</f>
        <v/>
      </c>
      <c r="C276" s="100">
        <v>1.0</v>
      </c>
      <c r="D276" s="390" t="str">
        <f>IFERROR(__xludf.DUMMYFUNCTION("if($A276="""","""",iferror(join("" &amp; "",filter(Schedule!$P:$P&amp;""-""&amp;Schedule!$Q:$Q,Schedule!$L:$L=$A276,(Schedule!$K:$K=$B276)+(Schedule!$K:$K=""""),Schedule!$P:$P&lt;&gt;"""")),""""))"),"AP Spanish Language and Culture-1")</f>
        <v>AP Spanish Language and Culture-1</v>
      </c>
      <c r="E276" s="390" t="str">
        <f>IFERROR(__xludf.DUMMYFUNCTION("if($A276="""","""",iferror(join("" &amp; "",filter(Schedule!$AE:$AE&amp;""-""&amp;Schedule!$AF:$AF,Schedule!$L:$L=$A276,(Schedule!$K:$K=$B276)+(Schedule!$K:$K=""""),Schedule!$AE:$AE&lt;&gt;"""")),""""))"),"")</f>
        <v/>
      </c>
      <c r="F276" s="390" t="str">
        <f>IFERROR(__xludf.DUMMYFUNCTION("if($A276="""","""",iferror(join("" &amp; "",filter(Schedule!$V:$V&amp;""-""&amp;Schedule!$W:$W,Schedule!$L:$L=$A276,(Schedule!$K:$K=$B276)+(Schedule!$K:$K=""""),Schedule!$V:$V&lt;&gt;"""")),""""))"),"AP Spanish Language and Culture-2")</f>
        <v>AP Spanish Language and Culture-2</v>
      </c>
      <c r="G276" s="390" t="str">
        <f>IFERROR(__xludf.DUMMYFUNCTION("if($A276="""","""",iferror(join("" &amp; "",filter(Schedule!$AK:$AK&amp;""-""&amp;Schedule!$AL:$AL,Schedule!$L:$L=$A276,(Schedule!$K:$K=$B276)+(Schedule!$K:$K=""""),Schedule!$AK:$AK&lt;&gt;"""")),""""))"),"AP Spanish Language and Culture-5")</f>
        <v>AP Spanish Language and Culture-5</v>
      </c>
      <c r="H276" s="390" t="str">
        <f>IFERROR(__xludf.DUMMYFUNCTION("if($A276="""","""",iferror(join("" &amp; "",filter(Schedule!$AB:$AB&amp;""-""&amp;Schedule!$AC:$AC,Schedule!$L:$L=$A276,(Schedule!$K:$K=$B276)+(Schedule!$K:$K=""""),Schedule!$AB:$AB&lt;&gt;"""")),""""))"),"AP Spanish Language and Culture-3")</f>
        <v>AP Spanish Language and Culture-3</v>
      </c>
      <c r="I276" s="391">
        <f>if(C274="","", 24-countifs(D276:H280,""))</f>
        <v>15</v>
      </c>
      <c r="J276" s="392"/>
      <c r="K276" s="389" t="str">
        <f>M274</f>
        <v/>
      </c>
      <c r="L276" s="389" t="str">
        <f>S274</f>
        <v/>
      </c>
      <c r="M276" s="100">
        <v>1.0</v>
      </c>
      <c r="N276" s="390" t="str">
        <f>IFERROR(__xludf.DUMMYFUNCTION("if($K276="""","""",iferror(join("" &amp; "",filter(Schedule!$P:$P&amp;""-""&amp;Schedule!$Q:$Q,Schedule!$L:$L=$K276,(Schedule!$K:$K=$L276)+(Schedule!$K:$K=""""),Schedule!$P:$P&lt;&gt;"""")),""""))"),"")</f>
        <v/>
      </c>
      <c r="O276" s="390" t="str">
        <f>IFERROR(__xludf.DUMMYFUNCTION("if($K276="""","""",iferror(join("" &amp; "",filter(Schedule!$AE:$AE&amp;""-""&amp;Schedule!$AF:$AF,Schedule!$L:$L=$K276,(Schedule!$K:$K=$L276)+(Schedule!$K:$K=""""),Schedule!$AE:$AE&lt;&gt;"""")),""""))"),"")</f>
        <v/>
      </c>
      <c r="P276" s="390" t="str">
        <f>IFERROR(__xludf.DUMMYFUNCTION("if($K276="""","""",iferror(join("" &amp; "",filter(Schedule!$V:$V&amp;""-""&amp;Schedule!$W:$W,Schedule!$L:$L=$K276,(Schedule!$K:$K=$L276)+(Schedule!$K:$K=""""),Schedule!$V:$V&lt;&gt;"""")),""""))"),"")</f>
        <v/>
      </c>
      <c r="Q276" s="390" t="str">
        <f>IFERROR(__xludf.DUMMYFUNCTION("if($K276="""","""",iferror(join("" &amp; "",filter(Schedule!$AK:$AK&amp;""-""&amp;Schedule!$AL:$AL,Schedule!$L:$L=$K276,(Schedule!$K:$K=$L276)+(Schedule!$K:$K=""""),Schedule!$AK:$AK&lt;&gt;"""")),""""))"),"")</f>
        <v/>
      </c>
      <c r="R276" s="390" t="str">
        <f>IFERROR(__xludf.DUMMYFUNCTION("if($K276="""","""",iferror(join("" &amp; "",filter(Schedule!$AB:$AB&amp;""-""&amp;Schedule!$AC:$AC,Schedule!$L:$L=$K276,(Schedule!$K:$K=$L276)+(Schedule!$K:$K=""""),Schedule!$AB:$AB&lt;&gt;"""")),""""))"),"")</f>
        <v/>
      </c>
      <c r="S276" s="391" t="str">
        <f>if(K276="","", 24-countifs(N276:R280,""))</f>
        <v/>
      </c>
      <c r="T276" s="393"/>
    </row>
    <row r="277">
      <c r="A277" s="389" t="str">
        <f>C274</f>
        <v>Norberto Villa</v>
      </c>
      <c r="B277" s="389" t="str">
        <f>I274</f>
        <v/>
      </c>
      <c r="C277" s="100">
        <v>2.0</v>
      </c>
      <c r="D277" s="390" t="str">
        <f>IFERROR(__xludf.DUMMYFUNCTION("if($A277="""","""",iferror(join("" &amp; "",filter(Schedule!$S:$S&amp;""-""&amp;Schedule!$T:$T,Schedule!$L:$L=$A277,(Schedule!$K:$K=$B277)+(Schedule!$K:$K=""""),Schedule!$S:$S&lt;&gt;"""")),""""))"),"")</f>
        <v/>
      </c>
      <c r="E277" s="390" t="str">
        <f>IFERROR(__xludf.DUMMYFUNCTION("if($A277="""","""",iferror(join("" &amp; "",filter(Schedule!$AH:$AH&amp;""-""&amp;Schedule!$AI:$AI,Schedule!$L:$L=$A277,(Schedule!$K:$K=$B277)+(Schedule!$K:$K=""""),Schedule!$AH:$AH&lt;&gt;"""")),""""))"),"AP Spanish Language and Culture-4")</f>
        <v>AP Spanish Language and Culture-4</v>
      </c>
      <c r="F277" s="390" t="str">
        <f>IFERROR(__xludf.DUMMYFUNCTION("if($A277="""","""",iferror(join("" &amp; "",filter(Schedule!$Y:$Y&amp;""-""&amp;Schedule!$Z:$Z,Schedule!$L:$L=$A277,(Schedule!$K:$K=$B277)+(Schedule!$K:$K=""""),Schedule!$Y:$Y&lt;&gt;"""")),""""))"),"")</f>
        <v/>
      </c>
      <c r="G277" s="390" t="str">
        <f>IFERROR(__xludf.DUMMYFUNCTION("if($A277="""","""",iferror(join("" &amp; "",filter(Schedule!$P:$P&amp;""-""&amp;Schedule!$Q:$Q,Schedule!$L:$L=$A277,(Schedule!$K:$K=$B277)+(Schedule!$K:$K=""""),Schedule!$P:$P&lt;&gt;"""")),""""))"),"AP Spanish Language and Culture-1")</f>
        <v>AP Spanish Language and Culture-1</v>
      </c>
      <c r="H277" s="390" t="str">
        <f>IFERROR(__xludf.DUMMYFUNCTION("if($A277="""","""",iferror(join("" &amp; "",filter(Schedule!$AE:$AE&amp;""-""&amp;Schedule!$AF:$AF,Schedule!$L:$L=$A277,(Schedule!$K:$K=$B277)+(Schedule!$K:$K=""""),Schedule!$AE:$AE&lt;&gt;"""")),""""))"),"")</f>
        <v/>
      </c>
      <c r="I277" s="53"/>
      <c r="J277" s="392"/>
      <c r="K277" s="389" t="str">
        <f>M274</f>
        <v/>
      </c>
      <c r="L277" s="389" t="str">
        <f>S274</f>
        <v/>
      </c>
      <c r="M277" s="100">
        <v>2.0</v>
      </c>
      <c r="N277" s="390" t="str">
        <f>IFERROR(__xludf.DUMMYFUNCTION("if($K277="""","""",iferror(join("" &amp; "",filter(Schedule!$S:$S&amp;""-""&amp;Schedule!$T:$T,Schedule!$L:$L=$K277,(Schedule!$K:$K=$L277)+(Schedule!$K:$K=""""),Schedule!$S:$S&lt;&gt;"""")),""""))"),"")</f>
        <v/>
      </c>
      <c r="O277" s="390" t="str">
        <f>IFERROR(__xludf.DUMMYFUNCTION("if($K277="""","""",iferror(join("" &amp; "",filter(Schedule!$AH:$AH&amp;""-""&amp;Schedule!$AI:$AI,Schedule!$L:$L=$K277,(Schedule!$K:$K=$L277)+(Schedule!$K:$K=""""),Schedule!$AH:$AH&lt;&gt;"""")),""""))"),"")</f>
        <v/>
      </c>
      <c r="P277" s="390" t="str">
        <f>IFERROR(__xludf.DUMMYFUNCTION("if($K277="""","""",iferror(join("" &amp; "",filter(Schedule!$Y:$Y&amp;""-""&amp;Schedule!$Z:$Z,Schedule!$L:$L=$K277,(Schedule!$K:$K=$L277)+(Schedule!$K:$K=""""),Schedule!$Y:$Y&lt;&gt;"""")),""""))"),"")</f>
        <v/>
      </c>
      <c r="Q277" s="390" t="str">
        <f>IFERROR(__xludf.DUMMYFUNCTION("if($K277="""","""",iferror(join("" &amp; "",filter(Schedule!$P:$P&amp;""-""&amp;Schedule!$Q:$Q,Schedule!$L:$L=$K277,(Schedule!$K:$K=$L277)+(Schedule!$K:$K=""""),Schedule!$P:$P&lt;&gt;"""")),""""))"),"")</f>
        <v/>
      </c>
      <c r="R277" s="390" t="str">
        <f>IFERROR(__xludf.DUMMYFUNCTION("if($K277="""","""",iferror(join("" &amp; "",filter(Schedule!$AE:$AE&amp;""-""&amp;Schedule!$AF:$AF,Schedule!$L:$L=$K277,(Schedule!$K:$K=$L277)+(Schedule!$K:$K=""""),Schedule!$AE:$AE&lt;&gt;"""")),""""))"),"")</f>
        <v/>
      </c>
      <c r="S277" s="53"/>
      <c r="T277" s="393"/>
    </row>
    <row r="278">
      <c r="A278" s="389" t="str">
        <f>C274</f>
        <v>Norberto Villa</v>
      </c>
      <c r="B278" s="389" t="str">
        <f>I274</f>
        <v/>
      </c>
      <c r="C278" s="100">
        <v>3.0</v>
      </c>
      <c r="D278" s="390" t="str">
        <f>IFERROR(__xludf.DUMMYFUNCTION("if($A278="""","""",iferror(join("" &amp; "",filter(Schedule!$V:$V&amp;""-""&amp;Schedule!$W:$W,Schedule!$L:$L=$A278,(Schedule!$K:$K=$B278)+(Schedule!$K:$K=""""),Schedule!$V:$V&lt;&gt;"""")),""""))"),"AP Spanish Language and Culture-2")</f>
        <v>AP Spanish Language and Culture-2</v>
      </c>
      <c r="E278" s="390" t="str">
        <f>IFERROR(__xludf.DUMMYFUNCTION("if($A278="""","""",iferror(join("" &amp; "",filter(Schedule!$AK:$AK&amp;""-""&amp;Schedule!$AL:$AL,Schedule!$L:$L=$A278,(Schedule!$K:$K=$B278)+(Schedule!$K:$K=""""),Schedule!$AK:$AK&lt;&gt;"""")),""""))"),"AP Spanish Language and Culture-5")</f>
        <v>AP Spanish Language and Culture-5</v>
      </c>
      <c r="F278" s="390" t="str">
        <f>IFERROR(__xludf.DUMMYFUNCTION("if($A278="""","""",iferror(join("" &amp; "",filter(Schedule!$AB:$AB&amp;""-""&amp;Schedule!$AC:$AC,Schedule!$L:$L=$A278,(Schedule!$K:$K=$B278)+(Schedule!$K:$K=""""),Schedule!$AB:$AB&lt;&gt;"""")),""""))"),"AP Spanish Language and Culture-3")</f>
        <v>AP Spanish Language and Culture-3</v>
      </c>
      <c r="G278" s="390" t="str">
        <f>IFERROR(__xludf.DUMMYFUNCTION("if($A278="""","""",iferror(join("" &amp; "",filter(Schedule!$S:$S&amp;""-""&amp;Schedule!$T:$T,Schedule!$L:$L=$A278,(Schedule!$K:$K=$B278)+(Schedule!$K:$K=""""),Schedule!$S:$S&lt;&gt;"""")),""""))"),"")</f>
        <v/>
      </c>
      <c r="H278" s="395" t="str">
        <f>if($C274="","","X-Block")</f>
        <v>X-Block</v>
      </c>
      <c r="I278" s="53"/>
      <c r="J278" s="392"/>
      <c r="K278" s="389" t="str">
        <f>M274</f>
        <v/>
      </c>
      <c r="L278" s="389" t="str">
        <f>S274</f>
        <v/>
      </c>
      <c r="M278" s="100">
        <v>3.0</v>
      </c>
      <c r="N278" s="390" t="str">
        <f>IFERROR(__xludf.DUMMYFUNCTION("if($K278="""","""",iferror(join("" &amp; "",filter(Schedule!$V:$V&amp;""-""&amp;Schedule!$W:$W,Schedule!$L:$L=$K278,(Schedule!$K:$K=$L278)+(Schedule!$K:$K=""""),Schedule!$V:$V&lt;&gt;"""")),""""))"),"")</f>
        <v/>
      </c>
      <c r="O278" s="390" t="str">
        <f>IFERROR(__xludf.DUMMYFUNCTION("if($K278="""","""",iferror(join("" &amp; "",filter(Schedule!$AK:$AK&amp;""-""&amp;Schedule!$AL:$AL,Schedule!$L:$L=$K278,(Schedule!$K:$K=$L278)+(Schedule!$K:$K=""""),Schedule!$AK:$AK&lt;&gt;"""")),""""))"),"")</f>
        <v/>
      </c>
      <c r="P278" s="390" t="str">
        <f>IFERROR(__xludf.DUMMYFUNCTION("if($K278="""","""",iferror(join("" &amp; "",filter(Schedule!$AB:$AB&amp;""-""&amp;Schedule!$AC:$AC,Schedule!$L:$L=$K278,(Schedule!$K:$K=$L278)+(Schedule!$K:$K=""""),Schedule!$AB:$AB&lt;&gt;"""")),""""))"),"")</f>
        <v/>
      </c>
      <c r="Q278" s="390" t="str">
        <f>IFERROR(__xludf.DUMMYFUNCTION("if($K278="""","""",iferror(join("" &amp; "",filter(Schedule!$S:$S&amp;""-""&amp;Schedule!$T:$T,Schedule!$L:$L=$K278,(Schedule!$K:$K=$L278)+(Schedule!$K:$K=""""),Schedule!$S:$S&lt;&gt;"""")),""""))"),"")</f>
        <v/>
      </c>
      <c r="R278" s="395" t="str">
        <f>if($M274="","","X-Block")</f>
        <v/>
      </c>
      <c r="S278" s="53"/>
      <c r="T278" s="393"/>
    </row>
    <row r="279">
      <c r="A279" s="389" t="str">
        <f>C274</f>
        <v>Norberto Villa</v>
      </c>
      <c r="B279" s="389" t="str">
        <f>I274</f>
        <v/>
      </c>
      <c r="C279" s="100">
        <v>4.0</v>
      </c>
      <c r="D279" s="390" t="str">
        <f>IFERROR(__xludf.DUMMYFUNCTION("if($A279="""","""",iferror(join("" &amp; "",filter(Schedule!$Y:$Y&amp;""-""&amp;Schedule!$Z:$Z,Schedule!$L:$L=$A279,(Schedule!$K:$K=$B279)+(Schedule!$K:$K=""""),Schedule!$Y:$Y&lt;&gt;"""")),""""))"),"")</f>
        <v/>
      </c>
      <c r="E279" s="390" t="str">
        <f>IFERROR(__xludf.DUMMYFUNCTION("if($A279="""","""",iferror(join("" &amp; "",filter(Schedule!$P:$P&amp;""-""&amp;Schedule!$Q:$Q,Schedule!$L:$L=$A279,(Schedule!$K:$K=$B279)+(Schedule!$K:$K=""""),Schedule!$P:$P&lt;&gt;"""")),""""))"),"AP Spanish Language and Culture-1")</f>
        <v>AP Spanish Language and Culture-1</v>
      </c>
      <c r="F279" s="390" t="str">
        <f>IFERROR(__xludf.DUMMYFUNCTION("if($A279="""","""",iferror(join("" &amp; "",filter(Schedule!$AE:$AE&amp;""-""&amp;Schedule!$AF:$AF,Schedule!$L:$L=$A279,(Schedule!$K:$K=$B279)+(Schedule!$K:$K=""""),Schedule!$AE:$AE&lt;&gt;"""")),""""))"),"")</f>
        <v/>
      </c>
      <c r="G279" s="390" t="str">
        <f>IFERROR(__xludf.DUMMYFUNCTION("if($A279="""","""",iferror(join("" &amp; "",filter(Schedule!$V:$V&amp;""-""&amp;Schedule!$W:$W,Schedule!$L:$L=$A279,(Schedule!$K:$K=$B279)+(Schedule!$K:$K=""""),Schedule!$V:$V&lt;&gt;"""")),""""))"),"AP Spanish Language and Culture-2")</f>
        <v>AP Spanish Language and Culture-2</v>
      </c>
      <c r="H279" s="390" t="str">
        <f>IFERROR(__xludf.DUMMYFUNCTION("if($A279="""","""",iferror(join("" &amp; "",filter(Schedule!$AH:$AH&amp;""-""&amp;Schedule!$AI:$AI,Schedule!$L:$L=$A279,(Schedule!$K:$K=$B279)+(Schedule!$K:$K=""""),Schedule!$AH:$AH&lt;&gt;"""")),""""))"),"AP Spanish Language and Culture-4")</f>
        <v>AP Spanish Language and Culture-4</v>
      </c>
      <c r="I279" s="53"/>
      <c r="J279" s="392"/>
      <c r="K279" s="389" t="str">
        <f>M274</f>
        <v/>
      </c>
      <c r="L279" s="389" t="str">
        <f>S274</f>
        <v/>
      </c>
      <c r="M279" s="100">
        <v>4.0</v>
      </c>
      <c r="N279" s="390" t="str">
        <f>IFERROR(__xludf.DUMMYFUNCTION("if($K279="""","""",iferror(join("" &amp; "",filter(Schedule!$Y:$Y&amp;""-""&amp;Schedule!$Z:$Z,Schedule!$L:$L=$K279,(Schedule!$K:$K=$L279)+(Schedule!$K:$K=""""),Schedule!$Y:$Y&lt;&gt;"""")),""""))"),"")</f>
        <v/>
      </c>
      <c r="O279" s="390" t="str">
        <f>IFERROR(__xludf.DUMMYFUNCTION("if($K279="""","""",iferror(join("" &amp; "",filter(Schedule!$P:$P&amp;""-""&amp;Schedule!$Q:$Q,Schedule!$L:$L=$K279,(Schedule!$K:$K=$L279)+(Schedule!$K:$K=""""),Schedule!$P:$P&lt;&gt;"""")),""""))"),"")</f>
        <v/>
      </c>
      <c r="P279" s="390" t="str">
        <f>IFERROR(__xludf.DUMMYFUNCTION("if($K279="""","""",iferror(join("" &amp; "",filter(Schedule!$AE:$AE&amp;""-""&amp;Schedule!$AF:$AF,Schedule!$L:$L=$K279,(Schedule!$K:$K=$L279)+(Schedule!$K:$K=""""),Schedule!$AE:$AE&lt;&gt;"""")),""""))"),"")</f>
        <v/>
      </c>
      <c r="Q279" s="390" t="str">
        <f>IFERROR(__xludf.DUMMYFUNCTION("if($K279="""","""",iferror(join("" &amp; "",filter(Schedule!$V:$V&amp;""-""&amp;Schedule!$W:$W,Schedule!$L:$L=$K279,(Schedule!$K:$K=$L279)+(Schedule!$K:$K=""""),Schedule!$V:$V&lt;&gt;"""")),""""))"),"")</f>
        <v/>
      </c>
      <c r="R279" s="390" t="str">
        <f>IFERROR(__xludf.DUMMYFUNCTION("if($K279="""","""",iferror(join("" &amp; "",filter(Schedule!$AH:$AH&amp;""-""&amp;Schedule!$AI:$AI,Schedule!$L:$L=$K279,(Schedule!$K:$K=$L279)+(Schedule!$K:$K=""""),Schedule!$AH:$AH&lt;&gt;"""")),""""))"),"")</f>
        <v/>
      </c>
      <c r="S279" s="53"/>
      <c r="T279" s="393"/>
    </row>
    <row r="280">
      <c r="A280" s="389" t="str">
        <f>C274</f>
        <v>Norberto Villa</v>
      </c>
      <c r="B280" s="389" t="str">
        <f>I274</f>
        <v/>
      </c>
      <c r="C280" s="100">
        <v>5.0</v>
      </c>
      <c r="D280" s="390" t="str">
        <f>IFERROR(__xludf.DUMMYFUNCTION("if($A280="""","""",iferror(join("" &amp; "",filter(Schedule!$AB:$AB&amp;""-""&amp;Schedule!$AC:$AC,Schedule!$L:$L=$A280,(Schedule!$K:$K=$B280)+(Schedule!$K:$K=""""),Schedule!$AB:$AB&lt;&gt;"""")),""""))"),"AP Spanish Language and Culture-3")</f>
        <v>AP Spanish Language and Culture-3</v>
      </c>
      <c r="E280" s="390" t="str">
        <f>IFERROR(__xludf.DUMMYFUNCTION("if($A280="""","""",iferror(join("" &amp; "",filter(Schedule!$S:$S&amp;""-""&amp;Schedule!$T:$T,Schedule!$L:$L=$A280,(Schedule!$K:$K=$B280)+(Schedule!$K:$K=""""),Schedule!$S:$S&lt;&gt;"""")),""""))"),"")</f>
        <v/>
      </c>
      <c r="F280" s="390" t="str">
        <f>IFERROR(__xludf.DUMMYFUNCTION("if($A280="""","""",iferror(join("" &amp; "",filter(Schedule!$AH:$AH&amp;""-""&amp;Schedule!$AI:$AI,Schedule!$L:$L=$A280,(Schedule!$K:$K=$B280)+(Schedule!$K:$K=""""),Schedule!$AH:$AH&lt;&gt;"""")),""""))"),"AP Spanish Language and Culture-4")</f>
        <v>AP Spanish Language and Culture-4</v>
      </c>
      <c r="G280" s="390" t="str">
        <f>IFERROR(__xludf.DUMMYFUNCTION("if($A280="""","""",iferror(join("" &amp; "",filter(Schedule!$Y:$Y&amp;""-""&amp;Schedule!$Z:$Z,Schedule!$L:$L=$A280,(Schedule!$K:$K=$B280)+(Schedule!$K:$K=""""),Schedule!$Y:$Y&lt;&gt;"""")),""""))"),"")</f>
        <v/>
      </c>
      <c r="H280" s="390" t="str">
        <f>IFERROR(__xludf.DUMMYFUNCTION("if($A280="""","""",iferror(join("" &amp; "",filter(Schedule!$AK:$AK&amp;""-""&amp;Schedule!$AL:$AL,Schedule!$L:$L=$A280,(Schedule!$K:$K=$B280)+(Schedule!$K:$K=""""),Schedule!$AK:$AK&lt;&gt;"""")),""""))"),"AP Spanish Language and Culture-5")</f>
        <v>AP Spanish Language and Culture-5</v>
      </c>
      <c r="I280" s="68"/>
      <c r="J280" s="392"/>
      <c r="K280" s="389" t="str">
        <f>M274</f>
        <v/>
      </c>
      <c r="L280" s="389" t="str">
        <f>S274</f>
        <v/>
      </c>
      <c r="M280" s="100">
        <v>5.0</v>
      </c>
      <c r="N280" s="390" t="str">
        <f>IFERROR(__xludf.DUMMYFUNCTION("if($K280="""","""",iferror(join("" &amp; "",filter(Schedule!$AB:$AB&amp;""-""&amp;Schedule!$AC:$AC,Schedule!$L:$L=$K280,(Schedule!$K:$K=$L280)+(Schedule!$K:$K=""""),Schedule!$AB:$AB&lt;&gt;"""")),""""))"),"")</f>
        <v/>
      </c>
      <c r="O280" s="390" t="str">
        <f>IFERROR(__xludf.DUMMYFUNCTION("if($K280="""","""",iferror(join("" &amp; "",filter(Schedule!$S:$S&amp;""-""&amp;Schedule!$T:$T,Schedule!$L:$L=$K280,(Schedule!$K:$K=$L280)+(Schedule!$K:$K=""""),Schedule!$S:$S&lt;&gt;"""")),""""))"),"")</f>
        <v/>
      </c>
      <c r="P280" s="390" t="str">
        <f>IFERROR(__xludf.DUMMYFUNCTION("if($K280="""","""",iferror(join("" &amp; "",filter(Schedule!$AH:$AH&amp;""-""&amp;Schedule!$AI:$AI,Schedule!$L:$L=$K280,(Schedule!$K:$K=$L280)+(Schedule!$K:$K=""""),Schedule!$AH:$AH&lt;&gt;"""")),""""))"),"")</f>
        <v/>
      </c>
      <c r="Q280" s="390" t="str">
        <f>IFERROR(__xludf.DUMMYFUNCTION("if($K280="""","""",iferror(join("" &amp; "",filter(Schedule!$Y:$Y&amp;""-""&amp;Schedule!$Z:$Z,Schedule!$L:$L=$K280,(Schedule!$K:$K=$L280)+(Schedule!$K:$K=""""),Schedule!$Y:$Y&lt;&gt;"""")),""""))"),"")</f>
        <v/>
      </c>
      <c r="R280" s="390" t="str">
        <f>IFERROR(__xludf.DUMMYFUNCTION("if($K280="""","""",iferror(join("" &amp; "",filter(Schedule!$AK:$AK&amp;""-""&amp;Schedule!$AL:$AL,Schedule!$L:$L=$K280,(Schedule!$K:$K=$L280)+(Schedule!$K:$K=""""),Schedule!$AK:$AK&lt;&gt;"""")),""""))"),"")</f>
        <v/>
      </c>
      <c r="S280" s="68"/>
      <c r="T280" s="393"/>
    </row>
    <row r="281">
      <c r="C281" s="3"/>
      <c r="D281" s="396"/>
      <c r="E281" s="396"/>
      <c r="F281" s="396"/>
      <c r="G281" s="396"/>
      <c r="H281" s="396"/>
      <c r="N281" s="397"/>
      <c r="O281" s="397"/>
      <c r="P281" s="397"/>
      <c r="Q281" s="397"/>
      <c r="R281" s="397"/>
    </row>
    <row r="282">
      <c r="C282" s="386" t="str">
        <f>Teachers!A36</f>
        <v>Samantha Gwinn</v>
      </c>
      <c r="D282" s="383"/>
      <c r="E282" s="383"/>
      <c r="F282" s="383"/>
      <c r="G282" s="383"/>
      <c r="H282" s="384"/>
      <c r="I282" s="385" t="str">
        <f>IFERROR(__xludf.DUMMYFUNCTION("if(C282="""","""", iferror(filter(Schedule!$K:$K,Schedule!$L:$L=$C282,Schedule!$K:$K=""S1""),unique(filter(Schedule!$K:$K,Schedule!$L:$L=$C282,Schedule!$K:$K=""""))))"),"")</f>
        <v/>
      </c>
      <c r="M282" s="386" t="str">
        <f>if(S282="","",C282)</f>
        <v/>
      </c>
      <c r="N282" s="383"/>
      <c r="O282" s="383"/>
      <c r="P282" s="383"/>
      <c r="Q282" s="383"/>
      <c r="R282" s="384"/>
      <c r="S282" s="385" t="str">
        <f>if(I282="S1","S2","")</f>
        <v/>
      </c>
      <c r="T282" s="112"/>
    </row>
    <row r="283">
      <c r="C283" s="100" t="s">
        <v>7</v>
      </c>
      <c r="D283" s="387" t="s">
        <v>8</v>
      </c>
      <c r="E283" s="387" t="s">
        <v>9</v>
      </c>
      <c r="F283" s="387" t="s">
        <v>10</v>
      </c>
      <c r="G283" s="387" t="s">
        <v>11</v>
      </c>
      <c r="H283" s="387" t="s">
        <v>12</v>
      </c>
      <c r="I283" s="21" t="s">
        <v>766</v>
      </c>
      <c r="J283" s="116"/>
      <c r="K283" s="116"/>
      <c r="L283" s="116"/>
      <c r="M283" s="100" t="s">
        <v>7</v>
      </c>
      <c r="N283" s="387" t="s">
        <v>8</v>
      </c>
      <c r="O283" s="387" t="s">
        <v>9</v>
      </c>
      <c r="P283" s="387" t="s">
        <v>10</v>
      </c>
      <c r="Q283" s="387" t="s">
        <v>11</v>
      </c>
      <c r="R283" s="387" t="s">
        <v>12</v>
      </c>
      <c r="S283" s="21" t="s">
        <v>766</v>
      </c>
      <c r="T283" s="388"/>
    </row>
    <row r="284">
      <c r="A284" s="389" t="str">
        <f>C282</f>
        <v>Samantha Gwinn</v>
      </c>
      <c r="B284" s="389" t="str">
        <f>I282</f>
        <v/>
      </c>
      <c r="C284" s="100">
        <v>1.0</v>
      </c>
      <c r="D284" s="390" t="str">
        <f>IFERROR(__xludf.DUMMYFUNCTION("if($A284="""","""",iferror(join("" &amp; "",filter(Schedule!$P:$P&amp;""-""&amp;Schedule!$Q:$Q,Schedule!$L:$L=$A284,(Schedule!$K:$K=$B284)+(Schedule!$K:$K=""""),Schedule!$P:$P&lt;&gt;"""")),""""))"),"AP Seminar-1")</f>
        <v>AP Seminar-1</v>
      </c>
      <c r="E284" s="390" t="str">
        <f>IFERROR(__xludf.DUMMYFUNCTION("if($A284="""","""",iferror(join("" &amp; "",filter(Schedule!$AE:$AE&amp;""-""&amp;Schedule!$AF:$AF,Schedule!$L:$L=$A284,(Schedule!$K:$K=$B284)+(Schedule!$K:$K=""""),Schedule!$AE:$AE&lt;&gt;"""")),""""))"),"")</f>
        <v/>
      </c>
      <c r="F284" s="390" t="str">
        <f>IFERROR(__xludf.DUMMYFUNCTION("if($A284="""","""",iferror(join("" &amp; "",filter(Schedule!$V:$V&amp;""-""&amp;Schedule!$W:$W,Schedule!$L:$L=$A284,(Schedule!$K:$K=$B284)+(Schedule!$K:$K=""""),Schedule!$V:$V&lt;&gt;"""")),""""))"),"AP English Language-1")</f>
        <v>AP English Language-1</v>
      </c>
      <c r="G284" s="390" t="str">
        <f>IFERROR(__xludf.DUMMYFUNCTION("if($A284="""","""",iferror(join("" &amp; "",filter(Schedule!$AK:$AK&amp;""-""&amp;Schedule!$AL:$AL,Schedule!$L:$L=$A284,(Schedule!$K:$K=$B284)+(Schedule!$K:$K=""""),Schedule!$AK:$AK&lt;&gt;"""")),""""))"),"English 10-3")</f>
        <v>English 10-3</v>
      </c>
      <c r="H284" s="390" t="str">
        <f>IFERROR(__xludf.DUMMYFUNCTION("if($A284="""","""",iferror(join("" &amp; "",filter(Schedule!$AB:$AB&amp;""-""&amp;Schedule!$AC:$AC,Schedule!$L:$L=$A284,(Schedule!$K:$K=$B284)+(Schedule!$K:$K=""""),Schedule!$AB:$AB&lt;&gt;"""")),""""))"),"AP Seminar-2")</f>
        <v>AP Seminar-2</v>
      </c>
      <c r="I284" s="391">
        <f>if(C282="","", 24-countifs(D284:H288,""))</f>
        <v>15</v>
      </c>
      <c r="J284" s="392"/>
      <c r="K284" s="389" t="str">
        <f>M282</f>
        <v/>
      </c>
      <c r="L284" s="389" t="str">
        <f>S282</f>
        <v/>
      </c>
      <c r="M284" s="100">
        <v>1.0</v>
      </c>
      <c r="N284" s="390" t="str">
        <f>IFERROR(__xludf.DUMMYFUNCTION("if($K284="""","""",iferror(join("" &amp; "",filter(Schedule!$P:$P&amp;""-""&amp;Schedule!$Q:$Q,Schedule!$L:$L=$K284,(Schedule!$K:$K=$L284)+(Schedule!$K:$K=""""),Schedule!$P:$P&lt;&gt;"""")),""""))"),"")</f>
        <v/>
      </c>
      <c r="O284" s="390" t="str">
        <f>IFERROR(__xludf.DUMMYFUNCTION("if($K284="""","""",iferror(join("" &amp; "",filter(Schedule!$AE:$AE&amp;""-""&amp;Schedule!$AF:$AF,Schedule!$L:$L=$K284,(Schedule!$K:$K=$L284)+(Schedule!$K:$K=""""),Schedule!$AE:$AE&lt;&gt;"""")),""""))"),"")</f>
        <v/>
      </c>
      <c r="P284" s="390" t="str">
        <f>IFERROR(__xludf.DUMMYFUNCTION("if($K284="""","""",iferror(join("" &amp; "",filter(Schedule!$V:$V&amp;""-""&amp;Schedule!$W:$W,Schedule!$L:$L=$K284,(Schedule!$K:$K=$L284)+(Schedule!$K:$K=""""),Schedule!$V:$V&lt;&gt;"""")),""""))"),"")</f>
        <v/>
      </c>
      <c r="Q284" s="390" t="str">
        <f>IFERROR(__xludf.DUMMYFUNCTION("if($K284="""","""",iferror(join("" &amp; "",filter(Schedule!$AK:$AK&amp;""-""&amp;Schedule!$AL:$AL,Schedule!$L:$L=$K284,(Schedule!$K:$K=$L284)+(Schedule!$K:$K=""""),Schedule!$AK:$AK&lt;&gt;"""")),""""))"),"")</f>
        <v/>
      </c>
      <c r="R284" s="390" t="str">
        <f>IFERROR(__xludf.DUMMYFUNCTION("if($K284="""","""",iferror(join("" &amp; "",filter(Schedule!$AB:$AB&amp;""-""&amp;Schedule!$AC:$AC,Schedule!$L:$L=$K284,(Schedule!$K:$K=$L284)+(Schedule!$K:$K=""""),Schedule!$AB:$AB&lt;&gt;"""")),""""))"),"")</f>
        <v/>
      </c>
      <c r="S284" s="391" t="str">
        <f>if(K284="","", 24-countifs(N284:R288,""))</f>
        <v/>
      </c>
      <c r="T284" s="393"/>
    </row>
    <row r="285">
      <c r="A285" s="389" t="str">
        <f>C282</f>
        <v>Samantha Gwinn</v>
      </c>
      <c r="B285" s="389" t="str">
        <f>I282</f>
        <v/>
      </c>
      <c r="C285" s="100">
        <v>2.0</v>
      </c>
      <c r="D285" s="390" t="str">
        <f>IFERROR(__xludf.DUMMYFUNCTION("if($A285="""","""",iferror(join("" &amp; "",filter(Schedule!$S:$S&amp;""-""&amp;Schedule!$T:$T,Schedule!$L:$L=$A285,(Schedule!$K:$K=$B285)+(Schedule!$K:$K=""""),Schedule!$S:$S&lt;&gt;"""")),""""))"),"")</f>
        <v/>
      </c>
      <c r="E285" s="390" t="str">
        <f>IFERROR(__xludf.DUMMYFUNCTION("if($A285="""","""",iferror(join("" &amp; "",filter(Schedule!$AH:$AH&amp;""-""&amp;Schedule!$AI:$AI,Schedule!$L:$L=$A285,(Schedule!$K:$K=$B285)+(Schedule!$K:$K=""""),Schedule!$AH:$AH&lt;&gt;"""")),""""))"),"AP English Language-2")</f>
        <v>AP English Language-2</v>
      </c>
      <c r="F285" s="390" t="str">
        <f>IFERROR(__xludf.DUMMYFUNCTION("if($A285="""","""",iferror(join("" &amp; "",filter(Schedule!$Y:$Y&amp;""-""&amp;Schedule!$Z:$Z,Schedule!$L:$L=$A285,(Schedule!$K:$K=$B285)+(Schedule!$K:$K=""""),Schedule!$Y:$Y&lt;&gt;"""")),""""))"),"")</f>
        <v/>
      </c>
      <c r="G285" s="390" t="str">
        <f>IFERROR(__xludf.DUMMYFUNCTION("if($A285="""","""",iferror(join("" &amp; "",filter(Schedule!$P:$P&amp;""-""&amp;Schedule!$Q:$Q,Schedule!$L:$L=$A285,(Schedule!$K:$K=$B285)+(Schedule!$K:$K=""""),Schedule!$P:$P&lt;&gt;"""")),""""))"),"AP Seminar-1")</f>
        <v>AP Seminar-1</v>
      </c>
      <c r="H285" s="390" t="str">
        <f>IFERROR(__xludf.DUMMYFUNCTION("if($A285="""","""",iferror(join("" &amp; "",filter(Schedule!$AE:$AE&amp;""-""&amp;Schedule!$AF:$AF,Schedule!$L:$L=$A285,(Schedule!$K:$K=$B285)+(Schedule!$K:$K=""""),Schedule!$AE:$AE&lt;&gt;"""")),""""))"),"")</f>
        <v/>
      </c>
      <c r="I285" s="53"/>
      <c r="J285" s="392"/>
      <c r="K285" s="389" t="str">
        <f>M282</f>
        <v/>
      </c>
      <c r="L285" s="389" t="str">
        <f>S282</f>
        <v/>
      </c>
      <c r="M285" s="100">
        <v>2.0</v>
      </c>
      <c r="N285" s="390" t="str">
        <f>IFERROR(__xludf.DUMMYFUNCTION("if($K285="""","""",iferror(join("" &amp; "",filter(Schedule!$S:$S&amp;""-""&amp;Schedule!$T:$T,Schedule!$L:$L=$K285,(Schedule!$K:$K=$L285)+(Schedule!$K:$K=""""),Schedule!$S:$S&lt;&gt;"""")),""""))"),"")</f>
        <v/>
      </c>
      <c r="O285" s="390" t="str">
        <f>IFERROR(__xludf.DUMMYFUNCTION("if($K285="""","""",iferror(join("" &amp; "",filter(Schedule!$AH:$AH&amp;""-""&amp;Schedule!$AI:$AI,Schedule!$L:$L=$K285,(Schedule!$K:$K=$L285)+(Schedule!$K:$K=""""),Schedule!$AH:$AH&lt;&gt;"""")),""""))"),"")</f>
        <v/>
      </c>
      <c r="P285" s="390" t="str">
        <f>IFERROR(__xludf.DUMMYFUNCTION("if($K285="""","""",iferror(join("" &amp; "",filter(Schedule!$Y:$Y&amp;""-""&amp;Schedule!$Z:$Z,Schedule!$L:$L=$K285,(Schedule!$K:$K=$L285)+(Schedule!$K:$K=""""),Schedule!$Y:$Y&lt;&gt;"""")),""""))"),"")</f>
        <v/>
      </c>
      <c r="Q285" s="390" t="str">
        <f>IFERROR(__xludf.DUMMYFUNCTION("if($K285="""","""",iferror(join("" &amp; "",filter(Schedule!$P:$P&amp;""-""&amp;Schedule!$Q:$Q,Schedule!$L:$L=$K285,(Schedule!$K:$K=$L285)+(Schedule!$K:$K=""""),Schedule!$P:$P&lt;&gt;"""")),""""))"),"")</f>
        <v/>
      </c>
      <c r="R285" s="390" t="str">
        <f>IFERROR(__xludf.DUMMYFUNCTION("if($K285="""","""",iferror(join("" &amp; "",filter(Schedule!$AE:$AE&amp;""-""&amp;Schedule!$AF:$AF,Schedule!$L:$L=$K285,(Schedule!$K:$K=$L285)+(Schedule!$K:$K=""""),Schedule!$AE:$AE&lt;&gt;"""")),""""))"),"")</f>
        <v/>
      </c>
      <c r="S285" s="53"/>
      <c r="T285" s="393"/>
    </row>
    <row r="286">
      <c r="A286" s="389" t="str">
        <f>C282</f>
        <v>Samantha Gwinn</v>
      </c>
      <c r="B286" s="389" t="str">
        <f>I282</f>
        <v/>
      </c>
      <c r="C286" s="100">
        <v>3.0</v>
      </c>
      <c r="D286" s="390" t="str">
        <f>IFERROR(__xludf.DUMMYFUNCTION("if($A286="""","""",iferror(join("" &amp; "",filter(Schedule!$V:$V&amp;""-""&amp;Schedule!$W:$W,Schedule!$L:$L=$A286,(Schedule!$K:$K=$B286)+(Schedule!$K:$K=""""),Schedule!$V:$V&lt;&gt;"""")),""""))"),"AP English Language-1")</f>
        <v>AP English Language-1</v>
      </c>
      <c r="E286" s="390" t="str">
        <f>IFERROR(__xludf.DUMMYFUNCTION("if($A286="""","""",iferror(join("" &amp; "",filter(Schedule!$AK:$AK&amp;""-""&amp;Schedule!$AL:$AL,Schedule!$L:$L=$A286,(Schedule!$K:$K=$B286)+(Schedule!$K:$K=""""),Schedule!$AK:$AK&lt;&gt;"""")),""""))"),"English 10-3")</f>
        <v>English 10-3</v>
      </c>
      <c r="F286" s="390" t="str">
        <f>IFERROR(__xludf.DUMMYFUNCTION("if($A286="""","""",iferror(join("" &amp; "",filter(Schedule!$AB:$AB&amp;""-""&amp;Schedule!$AC:$AC,Schedule!$L:$L=$A286,(Schedule!$K:$K=$B286)+(Schedule!$K:$K=""""),Schedule!$AB:$AB&lt;&gt;"""")),""""))"),"AP Seminar-2")</f>
        <v>AP Seminar-2</v>
      </c>
      <c r="G286" s="390" t="str">
        <f>IFERROR(__xludf.DUMMYFUNCTION("if($A286="""","""",iferror(join("" &amp; "",filter(Schedule!$S:$S&amp;""-""&amp;Schedule!$T:$T,Schedule!$L:$L=$A286,(Schedule!$K:$K=$B286)+(Schedule!$K:$K=""""),Schedule!$S:$S&lt;&gt;"""")),""""))"),"")</f>
        <v/>
      </c>
      <c r="H286" s="395" t="str">
        <f>if($C282="","","X-Block")</f>
        <v>X-Block</v>
      </c>
      <c r="I286" s="53"/>
      <c r="J286" s="392"/>
      <c r="K286" s="389" t="str">
        <f>M282</f>
        <v/>
      </c>
      <c r="L286" s="389" t="str">
        <f>S282</f>
        <v/>
      </c>
      <c r="M286" s="100">
        <v>3.0</v>
      </c>
      <c r="N286" s="390" t="str">
        <f>IFERROR(__xludf.DUMMYFUNCTION("if($K286="""","""",iferror(join("" &amp; "",filter(Schedule!$V:$V&amp;""-""&amp;Schedule!$W:$W,Schedule!$L:$L=$K286,(Schedule!$K:$K=$L286)+(Schedule!$K:$K=""""),Schedule!$V:$V&lt;&gt;"""")),""""))"),"")</f>
        <v/>
      </c>
      <c r="O286" s="390" t="str">
        <f>IFERROR(__xludf.DUMMYFUNCTION("if($K286="""","""",iferror(join("" &amp; "",filter(Schedule!$AK:$AK&amp;""-""&amp;Schedule!$AL:$AL,Schedule!$L:$L=$K286,(Schedule!$K:$K=$L286)+(Schedule!$K:$K=""""),Schedule!$AK:$AK&lt;&gt;"""")),""""))"),"")</f>
        <v/>
      </c>
      <c r="P286" s="390" t="str">
        <f>IFERROR(__xludf.DUMMYFUNCTION("if($K286="""","""",iferror(join("" &amp; "",filter(Schedule!$AB:$AB&amp;""-""&amp;Schedule!$AC:$AC,Schedule!$L:$L=$K286,(Schedule!$K:$K=$L286)+(Schedule!$K:$K=""""),Schedule!$AB:$AB&lt;&gt;"""")),""""))"),"")</f>
        <v/>
      </c>
      <c r="Q286" s="390" t="str">
        <f>IFERROR(__xludf.DUMMYFUNCTION("if($K286="""","""",iferror(join("" &amp; "",filter(Schedule!$S:$S&amp;""-""&amp;Schedule!$T:$T,Schedule!$L:$L=$K286,(Schedule!$K:$K=$L286)+(Schedule!$K:$K=""""),Schedule!$S:$S&lt;&gt;"""")),""""))"),"")</f>
        <v/>
      </c>
      <c r="R286" s="395" t="str">
        <f>if($M282="","","X-Block")</f>
        <v/>
      </c>
      <c r="S286" s="53"/>
      <c r="T286" s="393"/>
    </row>
    <row r="287">
      <c r="A287" s="389" t="str">
        <f>C282</f>
        <v>Samantha Gwinn</v>
      </c>
      <c r="B287" s="389" t="str">
        <f>I282</f>
        <v/>
      </c>
      <c r="C287" s="100">
        <v>4.0</v>
      </c>
      <c r="D287" s="390" t="str">
        <f>IFERROR(__xludf.DUMMYFUNCTION("if($A287="""","""",iferror(join("" &amp; "",filter(Schedule!$Y:$Y&amp;""-""&amp;Schedule!$Z:$Z,Schedule!$L:$L=$A287,(Schedule!$K:$K=$B287)+(Schedule!$K:$K=""""),Schedule!$Y:$Y&lt;&gt;"""")),""""))"),"")</f>
        <v/>
      </c>
      <c r="E287" s="390" t="str">
        <f>IFERROR(__xludf.DUMMYFUNCTION("if($A287="""","""",iferror(join("" &amp; "",filter(Schedule!$P:$P&amp;""-""&amp;Schedule!$Q:$Q,Schedule!$L:$L=$A287,(Schedule!$K:$K=$B287)+(Schedule!$K:$K=""""),Schedule!$P:$P&lt;&gt;"""")),""""))"),"AP Seminar-1")</f>
        <v>AP Seminar-1</v>
      </c>
      <c r="F287" s="390" t="str">
        <f>IFERROR(__xludf.DUMMYFUNCTION("if($A287="""","""",iferror(join("" &amp; "",filter(Schedule!$AE:$AE&amp;""-""&amp;Schedule!$AF:$AF,Schedule!$L:$L=$A287,(Schedule!$K:$K=$B287)+(Schedule!$K:$K=""""),Schedule!$AE:$AE&lt;&gt;"""")),""""))"),"")</f>
        <v/>
      </c>
      <c r="G287" s="390" t="str">
        <f>IFERROR(__xludf.DUMMYFUNCTION("if($A287="""","""",iferror(join("" &amp; "",filter(Schedule!$V:$V&amp;""-""&amp;Schedule!$W:$W,Schedule!$L:$L=$A287,(Schedule!$K:$K=$B287)+(Schedule!$K:$K=""""),Schedule!$V:$V&lt;&gt;"""")),""""))"),"AP English Language-1")</f>
        <v>AP English Language-1</v>
      </c>
      <c r="H287" s="390" t="str">
        <f>IFERROR(__xludf.DUMMYFUNCTION("if($A287="""","""",iferror(join("" &amp; "",filter(Schedule!$AH:$AH&amp;""-""&amp;Schedule!$AI:$AI,Schedule!$L:$L=$A287,(Schedule!$K:$K=$B287)+(Schedule!$K:$K=""""),Schedule!$AH:$AH&lt;&gt;"""")),""""))"),"AP English Language-2")</f>
        <v>AP English Language-2</v>
      </c>
      <c r="I287" s="53"/>
      <c r="J287" s="392"/>
      <c r="K287" s="389" t="str">
        <f>M282</f>
        <v/>
      </c>
      <c r="L287" s="389" t="str">
        <f>S282</f>
        <v/>
      </c>
      <c r="M287" s="100">
        <v>4.0</v>
      </c>
      <c r="N287" s="390" t="str">
        <f>IFERROR(__xludf.DUMMYFUNCTION("if($K287="""","""",iferror(join("" &amp; "",filter(Schedule!$Y:$Y&amp;""-""&amp;Schedule!$Z:$Z,Schedule!$L:$L=$K287,(Schedule!$K:$K=$L287)+(Schedule!$K:$K=""""),Schedule!$Y:$Y&lt;&gt;"""")),""""))"),"")</f>
        <v/>
      </c>
      <c r="O287" s="390" t="str">
        <f>IFERROR(__xludf.DUMMYFUNCTION("if($K287="""","""",iferror(join("" &amp; "",filter(Schedule!$P:$P&amp;""-""&amp;Schedule!$Q:$Q,Schedule!$L:$L=$K287,(Schedule!$K:$K=$L287)+(Schedule!$K:$K=""""),Schedule!$P:$P&lt;&gt;"""")),""""))"),"")</f>
        <v/>
      </c>
      <c r="P287" s="390" t="str">
        <f>IFERROR(__xludf.DUMMYFUNCTION("if($K287="""","""",iferror(join("" &amp; "",filter(Schedule!$AE:$AE&amp;""-""&amp;Schedule!$AF:$AF,Schedule!$L:$L=$K287,(Schedule!$K:$K=$L287)+(Schedule!$K:$K=""""),Schedule!$AE:$AE&lt;&gt;"""")),""""))"),"")</f>
        <v/>
      </c>
      <c r="Q287" s="390" t="str">
        <f>IFERROR(__xludf.DUMMYFUNCTION("if($K287="""","""",iferror(join("" &amp; "",filter(Schedule!$V:$V&amp;""-""&amp;Schedule!$W:$W,Schedule!$L:$L=$K287,(Schedule!$K:$K=$L287)+(Schedule!$K:$K=""""),Schedule!$V:$V&lt;&gt;"""")),""""))"),"")</f>
        <v/>
      </c>
      <c r="R287" s="390" t="str">
        <f>IFERROR(__xludf.DUMMYFUNCTION("if($K287="""","""",iferror(join("" &amp; "",filter(Schedule!$AH:$AH&amp;""-""&amp;Schedule!$AI:$AI,Schedule!$L:$L=$K287,(Schedule!$K:$K=$L287)+(Schedule!$K:$K=""""),Schedule!$AH:$AH&lt;&gt;"""")),""""))"),"")</f>
        <v/>
      </c>
      <c r="S287" s="53"/>
      <c r="T287" s="393"/>
    </row>
    <row r="288">
      <c r="A288" s="389" t="str">
        <f>C282</f>
        <v>Samantha Gwinn</v>
      </c>
      <c r="B288" s="389" t="str">
        <f>I282</f>
        <v/>
      </c>
      <c r="C288" s="100">
        <v>5.0</v>
      </c>
      <c r="D288" s="390" t="str">
        <f>IFERROR(__xludf.DUMMYFUNCTION("if($A288="""","""",iferror(join("" &amp; "",filter(Schedule!$AB:$AB&amp;""-""&amp;Schedule!$AC:$AC,Schedule!$L:$L=$A288,(Schedule!$K:$K=$B288)+(Schedule!$K:$K=""""),Schedule!$AB:$AB&lt;&gt;"""")),""""))"),"AP Seminar-2")</f>
        <v>AP Seminar-2</v>
      </c>
      <c r="E288" s="390" t="str">
        <f>IFERROR(__xludf.DUMMYFUNCTION("if($A288="""","""",iferror(join("" &amp; "",filter(Schedule!$S:$S&amp;""-""&amp;Schedule!$T:$T,Schedule!$L:$L=$A288,(Schedule!$K:$K=$B288)+(Schedule!$K:$K=""""),Schedule!$S:$S&lt;&gt;"""")),""""))"),"")</f>
        <v/>
      </c>
      <c r="F288" s="390" t="str">
        <f>IFERROR(__xludf.DUMMYFUNCTION("if($A288="""","""",iferror(join("" &amp; "",filter(Schedule!$AH:$AH&amp;""-""&amp;Schedule!$AI:$AI,Schedule!$L:$L=$A288,(Schedule!$K:$K=$B288)+(Schedule!$K:$K=""""),Schedule!$AH:$AH&lt;&gt;"""")),""""))"),"AP English Language-2")</f>
        <v>AP English Language-2</v>
      </c>
      <c r="G288" s="390" t="str">
        <f>IFERROR(__xludf.DUMMYFUNCTION("if($A288="""","""",iferror(join("" &amp; "",filter(Schedule!$Y:$Y&amp;""-""&amp;Schedule!$Z:$Z,Schedule!$L:$L=$A288,(Schedule!$K:$K=$B288)+(Schedule!$K:$K=""""),Schedule!$Y:$Y&lt;&gt;"""")),""""))"),"")</f>
        <v/>
      </c>
      <c r="H288" s="390" t="str">
        <f>IFERROR(__xludf.DUMMYFUNCTION("if($A288="""","""",iferror(join("" &amp; "",filter(Schedule!$AK:$AK&amp;""-""&amp;Schedule!$AL:$AL,Schedule!$L:$L=$A288,(Schedule!$K:$K=$B288)+(Schedule!$K:$K=""""),Schedule!$AK:$AK&lt;&gt;"""")),""""))"),"English 10-3")</f>
        <v>English 10-3</v>
      </c>
      <c r="I288" s="68"/>
      <c r="J288" s="392"/>
      <c r="K288" s="389" t="str">
        <f>M282</f>
        <v/>
      </c>
      <c r="L288" s="389" t="str">
        <f>S282</f>
        <v/>
      </c>
      <c r="M288" s="100">
        <v>5.0</v>
      </c>
      <c r="N288" s="390" t="str">
        <f>IFERROR(__xludf.DUMMYFUNCTION("if($K288="""","""",iferror(join("" &amp; "",filter(Schedule!$AB:$AB&amp;""-""&amp;Schedule!$AC:$AC,Schedule!$L:$L=$K288,(Schedule!$K:$K=$L288)+(Schedule!$K:$K=""""),Schedule!$AB:$AB&lt;&gt;"""")),""""))"),"")</f>
        <v/>
      </c>
      <c r="O288" s="390" t="str">
        <f>IFERROR(__xludf.DUMMYFUNCTION("if($K288="""","""",iferror(join("" &amp; "",filter(Schedule!$S:$S&amp;""-""&amp;Schedule!$T:$T,Schedule!$L:$L=$K288,(Schedule!$K:$K=$L288)+(Schedule!$K:$K=""""),Schedule!$S:$S&lt;&gt;"""")),""""))"),"")</f>
        <v/>
      </c>
      <c r="P288" s="390" t="str">
        <f>IFERROR(__xludf.DUMMYFUNCTION("if($K288="""","""",iferror(join("" &amp; "",filter(Schedule!$AH:$AH&amp;""-""&amp;Schedule!$AI:$AI,Schedule!$L:$L=$K288,(Schedule!$K:$K=$L288)+(Schedule!$K:$K=""""),Schedule!$AH:$AH&lt;&gt;"""")),""""))"),"")</f>
        <v/>
      </c>
      <c r="Q288" s="390" t="str">
        <f>IFERROR(__xludf.DUMMYFUNCTION("if($K288="""","""",iferror(join("" &amp; "",filter(Schedule!$Y:$Y&amp;""-""&amp;Schedule!$Z:$Z,Schedule!$L:$L=$K288,(Schedule!$K:$K=$L288)+(Schedule!$K:$K=""""),Schedule!$Y:$Y&lt;&gt;"""")),""""))"),"")</f>
        <v/>
      </c>
      <c r="R288" s="390" t="str">
        <f>IFERROR(__xludf.DUMMYFUNCTION("if($K288="""","""",iferror(join("" &amp; "",filter(Schedule!$AK:$AK&amp;""-""&amp;Schedule!$AL:$AL,Schedule!$L:$L=$K288,(Schedule!$K:$K=$L288)+(Schedule!$K:$K=""""),Schedule!$AK:$AK&lt;&gt;"""")),""""))"),"")</f>
        <v/>
      </c>
      <c r="S288" s="68"/>
      <c r="T288" s="393"/>
    </row>
    <row r="289">
      <c r="C289" s="3"/>
      <c r="D289" s="396"/>
      <c r="E289" s="396"/>
      <c r="F289" s="396"/>
      <c r="G289" s="396"/>
      <c r="H289" s="396"/>
      <c r="N289" s="397"/>
      <c r="O289" s="397"/>
      <c r="P289" s="397"/>
      <c r="Q289" s="397"/>
      <c r="R289" s="397"/>
    </row>
    <row r="290">
      <c r="C290" s="386" t="str">
        <f>Teachers!A37</f>
        <v>Sandro Berrio</v>
      </c>
      <c r="D290" s="383"/>
      <c r="E290" s="383"/>
      <c r="F290" s="383"/>
      <c r="G290" s="383"/>
      <c r="H290" s="384"/>
      <c r="I290" s="385" t="str">
        <f>IFERROR(__xludf.DUMMYFUNCTION("if(C290="""","""", iferror(filter(Schedule!$K:$K,Schedule!$L:$L=$C290,Schedule!$K:$K=""S1""),unique(filter(Schedule!$K:$K,Schedule!$L:$L=$C290,Schedule!$K:$K=""""))))"),"")</f>
        <v/>
      </c>
      <c r="M290" s="386" t="str">
        <f>if(S290="","",C290)</f>
        <v/>
      </c>
      <c r="N290" s="383"/>
      <c r="O290" s="383"/>
      <c r="P290" s="383"/>
      <c r="Q290" s="383"/>
      <c r="R290" s="384"/>
      <c r="S290" s="385" t="str">
        <f>if(I290="S1","S2","")</f>
        <v/>
      </c>
      <c r="T290" s="112"/>
    </row>
    <row r="291">
      <c r="C291" s="100" t="s">
        <v>7</v>
      </c>
      <c r="D291" s="387" t="s">
        <v>8</v>
      </c>
      <c r="E291" s="387" t="s">
        <v>9</v>
      </c>
      <c r="F291" s="387" t="s">
        <v>10</v>
      </c>
      <c r="G291" s="387" t="s">
        <v>11</v>
      </c>
      <c r="H291" s="387" t="s">
        <v>12</v>
      </c>
      <c r="I291" s="21" t="s">
        <v>766</v>
      </c>
      <c r="J291" s="116"/>
      <c r="K291" s="116"/>
      <c r="L291" s="116"/>
      <c r="M291" s="100" t="s">
        <v>7</v>
      </c>
      <c r="N291" s="387" t="s">
        <v>8</v>
      </c>
      <c r="O291" s="387" t="s">
        <v>9</v>
      </c>
      <c r="P291" s="387" t="s">
        <v>10</v>
      </c>
      <c r="Q291" s="387" t="s">
        <v>11</v>
      </c>
      <c r="R291" s="387" t="s">
        <v>12</v>
      </c>
      <c r="S291" s="21" t="s">
        <v>766</v>
      </c>
      <c r="T291" s="388"/>
    </row>
    <row r="292">
      <c r="A292" s="389" t="str">
        <f>C290</f>
        <v>Sandro Berrio</v>
      </c>
      <c r="B292" s="389" t="str">
        <f>I290</f>
        <v/>
      </c>
      <c r="C292" s="100">
        <v>1.0</v>
      </c>
      <c r="D292" s="390" t="str">
        <f>IFERROR(__xludf.DUMMYFUNCTION("if($A292="""","""",iferror(join("" &amp; "",filter(Schedule!$P:$P&amp;""-""&amp;Schedule!$Q:$Q,Schedule!$L:$L=$A292,(Schedule!$K:$K=$B292)+(Schedule!$K:$K=""""),Schedule!$P:$P&lt;&gt;"""")),""""))"),"Algebra II-1")</f>
        <v>Algebra II-1</v>
      </c>
      <c r="E292" s="390" t="str">
        <f>IFERROR(__xludf.DUMMYFUNCTION("if($A292="""","""",iferror(join("" &amp; "",filter(Schedule!$AE:$AE&amp;""-""&amp;Schedule!$AF:$AF,Schedule!$L:$L=$A292,(Schedule!$K:$K=$B292)+(Schedule!$K:$K=""""),Schedule!$AE:$AE&lt;&gt;"""")),""""))"),"Algebra II-4")</f>
        <v>Algebra II-4</v>
      </c>
      <c r="F292" s="390" t="str">
        <f>IFERROR(__xludf.DUMMYFUNCTION("if($A292="""","""",iferror(join("" &amp; "",filter(Schedule!$V:$V&amp;""-""&amp;Schedule!$W:$W,Schedule!$L:$L=$A292,(Schedule!$K:$K=$B292)+(Schedule!$K:$K=""""),Schedule!$V:$V&lt;&gt;"""")),""""))"),"Algebra II-2")</f>
        <v>Algebra II-2</v>
      </c>
      <c r="G292" s="390" t="str">
        <f>IFERROR(__xludf.DUMMYFUNCTION("if($A292="""","""",iferror(join("" &amp; "",filter(Schedule!$AK:$AK&amp;""-""&amp;Schedule!$AL:$AL,Schedule!$L:$L=$A292,(Schedule!$K:$K=$B292)+(Schedule!$K:$K=""""),Schedule!$AK:$AK&lt;&gt;"""")),""""))"),"Algebra II-5")</f>
        <v>Algebra II-5</v>
      </c>
      <c r="H292" s="390" t="str">
        <f>IFERROR(__xludf.DUMMYFUNCTION("if($A292="""","""",iferror(join("" &amp; "",filter(Schedule!$AB:$AB&amp;""-""&amp;Schedule!$AC:$AC,Schedule!$L:$L=$A292,(Schedule!$K:$K=$B292)+(Schedule!$K:$K=""""),Schedule!$AB:$AB&lt;&gt;"""")),""""))"),"Algebra II-3")</f>
        <v>Algebra II-3</v>
      </c>
      <c r="I292" s="391">
        <f>if(C290="","", 24-countifs(D292:H296,""))</f>
        <v>15</v>
      </c>
      <c r="J292" s="392"/>
      <c r="K292" s="389" t="str">
        <f>M290</f>
        <v/>
      </c>
      <c r="L292" s="389" t="str">
        <f>S290</f>
        <v/>
      </c>
      <c r="M292" s="100">
        <v>1.0</v>
      </c>
      <c r="N292" s="390" t="str">
        <f>IFERROR(__xludf.DUMMYFUNCTION("if($K292="""","""",iferror(join("" &amp; "",filter(Schedule!$P:$P&amp;""-""&amp;Schedule!$Q:$Q,Schedule!$L:$L=$K292,(Schedule!$K:$K=$L292)+(Schedule!$K:$K=""""),Schedule!$P:$P&lt;&gt;"""")),""""))"),"")</f>
        <v/>
      </c>
      <c r="O292" s="390" t="str">
        <f>IFERROR(__xludf.DUMMYFUNCTION("if($K292="""","""",iferror(join("" &amp; "",filter(Schedule!$AE:$AE&amp;""-""&amp;Schedule!$AF:$AF,Schedule!$L:$L=$K292,(Schedule!$K:$K=$L292)+(Schedule!$K:$K=""""),Schedule!$AE:$AE&lt;&gt;"""")),""""))"),"")</f>
        <v/>
      </c>
      <c r="P292" s="390" t="str">
        <f>IFERROR(__xludf.DUMMYFUNCTION("if($K292="""","""",iferror(join("" &amp; "",filter(Schedule!$V:$V&amp;""-""&amp;Schedule!$W:$W,Schedule!$L:$L=$K292,(Schedule!$K:$K=$L292)+(Schedule!$K:$K=""""),Schedule!$V:$V&lt;&gt;"""")),""""))"),"")</f>
        <v/>
      </c>
      <c r="Q292" s="390" t="str">
        <f>IFERROR(__xludf.DUMMYFUNCTION("if($K292="""","""",iferror(join("" &amp; "",filter(Schedule!$AK:$AK&amp;""-""&amp;Schedule!$AL:$AL,Schedule!$L:$L=$K292,(Schedule!$K:$K=$L292)+(Schedule!$K:$K=""""),Schedule!$AK:$AK&lt;&gt;"""")),""""))"),"")</f>
        <v/>
      </c>
      <c r="R292" s="390" t="str">
        <f>IFERROR(__xludf.DUMMYFUNCTION("if($K292="""","""",iferror(join("" &amp; "",filter(Schedule!$AB:$AB&amp;""-""&amp;Schedule!$AC:$AC,Schedule!$L:$L=$K292,(Schedule!$K:$K=$L292)+(Schedule!$K:$K=""""),Schedule!$AB:$AB&lt;&gt;"""")),""""))"),"")</f>
        <v/>
      </c>
      <c r="S292" s="391" t="str">
        <f>if(K292="","", 24-countifs(N292:R296,""))</f>
        <v/>
      </c>
      <c r="T292" s="393"/>
    </row>
    <row r="293">
      <c r="A293" s="389" t="str">
        <f>C290</f>
        <v>Sandro Berrio</v>
      </c>
      <c r="B293" s="389" t="str">
        <f>I290</f>
        <v/>
      </c>
      <c r="C293" s="100">
        <v>2.0</v>
      </c>
      <c r="D293" s="390" t="str">
        <f>IFERROR(__xludf.DUMMYFUNCTION("if($A293="""","""",iferror(join("" &amp; "",filter(Schedule!$S:$S&amp;""-""&amp;Schedule!$T:$T,Schedule!$L:$L=$A293,(Schedule!$K:$K=$B293)+(Schedule!$K:$K=""""),Schedule!$S:$S&lt;&gt;"""")),""""))"),"")</f>
        <v/>
      </c>
      <c r="E293" s="390" t="str">
        <f>IFERROR(__xludf.DUMMYFUNCTION("if($A293="""","""",iferror(join("" &amp; "",filter(Schedule!$AH:$AH&amp;""-""&amp;Schedule!$AI:$AI,Schedule!$L:$L=$A293,(Schedule!$K:$K=$B293)+(Schedule!$K:$K=""""),Schedule!$AH:$AH&lt;&gt;"""")),""""))"),"")</f>
        <v/>
      </c>
      <c r="F293" s="390" t="str">
        <f>IFERROR(__xludf.DUMMYFUNCTION("if($A293="""","""",iferror(join("" &amp; "",filter(Schedule!$Y:$Y&amp;""-""&amp;Schedule!$Z:$Z,Schedule!$L:$L=$A293,(Schedule!$K:$K=$B293)+(Schedule!$K:$K=""""),Schedule!$Y:$Y&lt;&gt;"""")),""""))"),"")</f>
        <v/>
      </c>
      <c r="G293" s="390" t="str">
        <f>IFERROR(__xludf.DUMMYFUNCTION("if($A293="""","""",iferror(join("" &amp; "",filter(Schedule!$P:$P&amp;""-""&amp;Schedule!$Q:$Q,Schedule!$L:$L=$A293,(Schedule!$K:$K=$B293)+(Schedule!$K:$K=""""),Schedule!$P:$P&lt;&gt;"""")),""""))"),"Algebra II-1")</f>
        <v>Algebra II-1</v>
      </c>
      <c r="H293" s="390" t="str">
        <f>IFERROR(__xludf.DUMMYFUNCTION("if($A293="""","""",iferror(join("" &amp; "",filter(Schedule!$AE:$AE&amp;""-""&amp;Schedule!$AF:$AF,Schedule!$L:$L=$A293,(Schedule!$K:$K=$B293)+(Schedule!$K:$K=""""),Schedule!$AE:$AE&lt;&gt;"""")),""""))"),"Algebra II-4")</f>
        <v>Algebra II-4</v>
      </c>
      <c r="I293" s="53"/>
      <c r="J293" s="392"/>
      <c r="K293" s="389" t="str">
        <f>M290</f>
        <v/>
      </c>
      <c r="L293" s="389" t="str">
        <f>S290</f>
        <v/>
      </c>
      <c r="M293" s="100">
        <v>2.0</v>
      </c>
      <c r="N293" s="390" t="str">
        <f>IFERROR(__xludf.DUMMYFUNCTION("if($K293="""","""",iferror(join("" &amp; "",filter(Schedule!$S:$S&amp;""-""&amp;Schedule!$T:$T,Schedule!$L:$L=$K293,(Schedule!$K:$K=$L293)+(Schedule!$K:$K=""""),Schedule!$S:$S&lt;&gt;"""")),""""))"),"")</f>
        <v/>
      </c>
      <c r="O293" s="390" t="str">
        <f>IFERROR(__xludf.DUMMYFUNCTION("if($K293="""","""",iferror(join("" &amp; "",filter(Schedule!$AH:$AH&amp;""-""&amp;Schedule!$AI:$AI,Schedule!$L:$L=$K293,(Schedule!$K:$K=$L293)+(Schedule!$K:$K=""""),Schedule!$AH:$AH&lt;&gt;"""")),""""))"),"")</f>
        <v/>
      </c>
      <c r="P293" s="390" t="str">
        <f>IFERROR(__xludf.DUMMYFUNCTION("if($K293="""","""",iferror(join("" &amp; "",filter(Schedule!$Y:$Y&amp;""-""&amp;Schedule!$Z:$Z,Schedule!$L:$L=$K293,(Schedule!$K:$K=$L293)+(Schedule!$K:$K=""""),Schedule!$Y:$Y&lt;&gt;"""")),""""))"),"")</f>
        <v/>
      </c>
      <c r="Q293" s="390" t="str">
        <f>IFERROR(__xludf.DUMMYFUNCTION("if($K293="""","""",iferror(join("" &amp; "",filter(Schedule!$P:$P&amp;""-""&amp;Schedule!$Q:$Q,Schedule!$L:$L=$K293,(Schedule!$K:$K=$L293)+(Schedule!$K:$K=""""),Schedule!$P:$P&lt;&gt;"""")),""""))"),"")</f>
        <v/>
      </c>
      <c r="R293" s="390" t="str">
        <f>IFERROR(__xludf.DUMMYFUNCTION("if($K293="""","""",iferror(join("" &amp; "",filter(Schedule!$AE:$AE&amp;""-""&amp;Schedule!$AF:$AF,Schedule!$L:$L=$K293,(Schedule!$K:$K=$L293)+(Schedule!$K:$K=""""),Schedule!$AE:$AE&lt;&gt;"""")),""""))"),"")</f>
        <v/>
      </c>
      <c r="S293" s="53"/>
      <c r="T293" s="393"/>
    </row>
    <row r="294">
      <c r="A294" s="389" t="str">
        <f>C290</f>
        <v>Sandro Berrio</v>
      </c>
      <c r="B294" s="389" t="str">
        <f>I290</f>
        <v/>
      </c>
      <c r="C294" s="100">
        <v>3.0</v>
      </c>
      <c r="D294" s="390" t="str">
        <f>IFERROR(__xludf.DUMMYFUNCTION("if($A294="""","""",iferror(join("" &amp; "",filter(Schedule!$V:$V&amp;""-""&amp;Schedule!$W:$W,Schedule!$L:$L=$A294,(Schedule!$K:$K=$B294)+(Schedule!$K:$K=""""),Schedule!$V:$V&lt;&gt;"""")),""""))"),"Algebra II-2")</f>
        <v>Algebra II-2</v>
      </c>
      <c r="E294" s="390" t="str">
        <f>IFERROR(__xludf.DUMMYFUNCTION("if($A294="""","""",iferror(join("" &amp; "",filter(Schedule!$AK:$AK&amp;""-""&amp;Schedule!$AL:$AL,Schedule!$L:$L=$A294,(Schedule!$K:$K=$B294)+(Schedule!$K:$K=""""),Schedule!$AK:$AK&lt;&gt;"""")),""""))"),"Algebra II-5")</f>
        <v>Algebra II-5</v>
      </c>
      <c r="F294" s="390" t="str">
        <f>IFERROR(__xludf.DUMMYFUNCTION("if($A294="""","""",iferror(join("" &amp; "",filter(Schedule!$AB:$AB&amp;""-""&amp;Schedule!$AC:$AC,Schedule!$L:$L=$A294,(Schedule!$K:$K=$B294)+(Schedule!$K:$K=""""),Schedule!$AB:$AB&lt;&gt;"""")),""""))"),"Algebra II-3")</f>
        <v>Algebra II-3</v>
      </c>
      <c r="G294" s="390" t="str">
        <f>IFERROR(__xludf.DUMMYFUNCTION("if($A294="""","""",iferror(join("" &amp; "",filter(Schedule!$S:$S&amp;""-""&amp;Schedule!$T:$T,Schedule!$L:$L=$A294,(Schedule!$K:$K=$B294)+(Schedule!$K:$K=""""),Schedule!$S:$S&lt;&gt;"""")),""""))"),"")</f>
        <v/>
      </c>
      <c r="H294" s="395" t="str">
        <f>if($C290="","","X-Block")</f>
        <v>X-Block</v>
      </c>
      <c r="I294" s="53"/>
      <c r="J294" s="392"/>
      <c r="K294" s="389" t="str">
        <f>M290</f>
        <v/>
      </c>
      <c r="L294" s="389" t="str">
        <f>S290</f>
        <v/>
      </c>
      <c r="M294" s="100">
        <v>3.0</v>
      </c>
      <c r="N294" s="390" t="str">
        <f>IFERROR(__xludf.DUMMYFUNCTION("if($K294="""","""",iferror(join("" &amp; "",filter(Schedule!$V:$V&amp;""-""&amp;Schedule!$W:$W,Schedule!$L:$L=$K294,(Schedule!$K:$K=$L294)+(Schedule!$K:$K=""""),Schedule!$V:$V&lt;&gt;"""")),""""))"),"")</f>
        <v/>
      </c>
      <c r="O294" s="390" t="str">
        <f>IFERROR(__xludf.DUMMYFUNCTION("if($K294="""","""",iferror(join("" &amp; "",filter(Schedule!$AK:$AK&amp;""-""&amp;Schedule!$AL:$AL,Schedule!$L:$L=$K294,(Schedule!$K:$K=$L294)+(Schedule!$K:$K=""""),Schedule!$AK:$AK&lt;&gt;"""")),""""))"),"")</f>
        <v/>
      </c>
      <c r="P294" s="390" t="str">
        <f>IFERROR(__xludf.DUMMYFUNCTION("if($K294="""","""",iferror(join("" &amp; "",filter(Schedule!$AB:$AB&amp;""-""&amp;Schedule!$AC:$AC,Schedule!$L:$L=$K294,(Schedule!$K:$K=$L294)+(Schedule!$K:$K=""""),Schedule!$AB:$AB&lt;&gt;"""")),""""))"),"")</f>
        <v/>
      </c>
      <c r="Q294" s="390" t="str">
        <f>IFERROR(__xludf.DUMMYFUNCTION("if($K294="""","""",iferror(join("" &amp; "",filter(Schedule!$S:$S&amp;""-""&amp;Schedule!$T:$T,Schedule!$L:$L=$K294,(Schedule!$K:$K=$L294)+(Schedule!$K:$K=""""),Schedule!$S:$S&lt;&gt;"""")),""""))"),"")</f>
        <v/>
      </c>
      <c r="R294" s="395" t="str">
        <f>if($M290="","","X-Block")</f>
        <v/>
      </c>
      <c r="S294" s="53"/>
      <c r="T294" s="393"/>
    </row>
    <row r="295">
      <c r="A295" s="389" t="str">
        <f>C290</f>
        <v>Sandro Berrio</v>
      </c>
      <c r="B295" s="389" t="str">
        <f>I290</f>
        <v/>
      </c>
      <c r="C295" s="100">
        <v>4.0</v>
      </c>
      <c r="D295" s="390" t="str">
        <f>IFERROR(__xludf.DUMMYFUNCTION("if($A295="""","""",iferror(join("" &amp; "",filter(Schedule!$Y:$Y&amp;""-""&amp;Schedule!$Z:$Z,Schedule!$L:$L=$A295,(Schedule!$K:$K=$B295)+(Schedule!$K:$K=""""),Schedule!$Y:$Y&lt;&gt;"""")),""""))"),"")</f>
        <v/>
      </c>
      <c r="E295" s="390" t="str">
        <f>IFERROR(__xludf.DUMMYFUNCTION("if($A295="""","""",iferror(join("" &amp; "",filter(Schedule!$P:$P&amp;""-""&amp;Schedule!$Q:$Q,Schedule!$L:$L=$A295,(Schedule!$K:$K=$B295)+(Schedule!$K:$K=""""),Schedule!$P:$P&lt;&gt;"""")),""""))"),"Algebra II-1")</f>
        <v>Algebra II-1</v>
      </c>
      <c r="F295" s="390" t="str">
        <f>IFERROR(__xludf.DUMMYFUNCTION("if($A295="""","""",iferror(join("" &amp; "",filter(Schedule!$AE:$AE&amp;""-""&amp;Schedule!$AF:$AF,Schedule!$L:$L=$A295,(Schedule!$K:$K=$B295)+(Schedule!$K:$K=""""),Schedule!$AE:$AE&lt;&gt;"""")),""""))"),"Algebra II-4")</f>
        <v>Algebra II-4</v>
      </c>
      <c r="G295" s="390" t="str">
        <f>IFERROR(__xludf.DUMMYFUNCTION("if($A295="""","""",iferror(join("" &amp; "",filter(Schedule!$V:$V&amp;""-""&amp;Schedule!$W:$W,Schedule!$L:$L=$A295,(Schedule!$K:$K=$B295)+(Schedule!$K:$K=""""),Schedule!$V:$V&lt;&gt;"""")),""""))"),"Algebra II-2")</f>
        <v>Algebra II-2</v>
      </c>
      <c r="H295" s="390" t="str">
        <f>IFERROR(__xludf.DUMMYFUNCTION("if($A295="""","""",iferror(join("" &amp; "",filter(Schedule!$AH:$AH&amp;""-""&amp;Schedule!$AI:$AI,Schedule!$L:$L=$A295,(Schedule!$K:$K=$B295)+(Schedule!$K:$K=""""),Schedule!$AH:$AH&lt;&gt;"""")),""""))"),"")</f>
        <v/>
      </c>
      <c r="I295" s="53"/>
      <c r="J295" s="392"/>
      <c r="K295" s="389" t="str">
        <f>M290</f>
        <v/>
      </c>
      <c r="L295" s="389" t="str">
        <f>S290</f>
        <v/>
      </c>
      <c r="M295" s="100">
        <v>4.0</v>
      </c>
      <c r="N295" s="390" t="str">
        <f>IFERROR(__xludf.DUMMYFUNCTION("if($K295="""","""",iferror(join("" &amp; "",filter(Schedule!$Y:$Y&amp;""-""&amp;Schedule!$Z:$Z,Schedule!$L:$L=$K295,(Schedule!$K:$K=$L295)+(Schedule!$K:$K=""""),Schedule!$Y:$Y&lt;&gt;"""")),""""))"),"")</f>
        <v/>
      </c>
      <c r="O295" s="390" t="str">
        <f>IFERROR(__xludf.DUMMYFUNCTION("if($K295="""","""",iferror(join("" &amp; "",filter(Schedule!$P:$P&amp;""-""&amp;Schedule!$Q:$Q,Schedule!$L:$L=$K295,(Schedule!$K:$K=$L295)+(Schedule!$K:$K=""""),Schedule!$P:$P&lt;&gt;"""")),""""))"),"")</f>
        <v/>
      </c>
      <c r="P295" s="390" t="str">
        <f>IFERROR(__xludf.DUMMYFUNCTION("if($K295="""","""",iferror(join("" &amp; "",filter(Schedule!$AE:$AE&amp;""-""&amp;Schedule!$AF:$AF,Schedule!$L:$L=$K295,(Schedule!$K:$K=$L295)+(Schedule!$K:$K=""""),Schedule!$AE:$AE&lt;&gt;"""")),""""))"),"")</f>
        <v/>
      </c>
      <c r="Q295" s="390" t="str">
        <f>IFERROR(__xludf.DUMMYFUNCTION("if($K295="""","""",iferror(join("" &amp; "",filter(Schedule!$V:$V&amp;""-""&amp;Schedule!$W:$W,Schedule!$L:$L=$K295,(Schedule!$K:$K=$L295)+(Schedule!$K:$K=""""),Schedule!$V:$V&lt;&gt;"""")),""""))"),"")</f>
        <v/>
      </c>
      <c r="R295" s="390" t="str">
        <f>IFERROR(__xludf.DUMMYFUNCTION("if($K295="""","""",iferror(join("" &amp; "",filter(Schedule!$AH:$AH&amp;""-""&amp;Schedule!$AI:$AI,Schedule!$L:$L=$K295,(Schedule!$K:$K=$L295)+(Schedule!$K:$K=""""),Schedule!$AH:$AH&lt;&gt;"""")),""""))"),"")</f>
        <v/>
      </c>
      <c r="S295" s="53"/>
      <c r="T295" s="393"/>
    </row>
    <row r="296">
      <c r="A296" s="389" t="str">
        <f>C290</f>
        <v>Sandro Berrio</v>
      </c>
      <c r="B296" s="389" t="str">
        <f>I290</f>
        <v/>
      </c>
      <c r="C296" s="100">
        <v>5.0</v>
      </c>
      <c r="D296" s="390" t="str">
        <f>IFERROR(__xludf.DUMMYFUNCTION("if($A296="""","""",iferror(join("" &amp; "",filter(Schedule!$AB:$AB&amp;""-""&amp;Schedule!$AC:$AC,Schedule!$L:$L=$A296,(Schedule!$K:$K=$B296)+(Schedule!$K:$K=""""),Schedule!$AB:$AB&lt;&gt;"""")),""""))"),"Algebra II-3")</f>
        <v>Algebra II-3</v>
      </c>
      <c r="E296" s="390" t="str">
        <f>IFERROR(__xludf.DUMMYFUNCTION("if($A296="""","""",iferror(join("" &amp; "",filter(Schedule!$S:$S&amp;""-""&amp;Schedule!$T:$T,Schedule!$L:$L=$A296,(Schedule!$K:$K=$B296)+(Schedule!$K:$K=""""),Schedule!$S:$S&lt;&gt;"""")),""""))"),"")</f>
        <v/>
      </c>
      <c r="F296" s="390" t="str">
        <f>IFERROR(__xludf.DUMMYFUNCTION("if($A296="""","""",iferror(join("" &amp; "",filter(Schedule!$AH:$AH&amp;""-""&amp;Schedule!$AI:$AI,Schedule!$L:$L=$A296,(Schedule!$K:$K=$B296)+(Schedule!$K:$K=""""),Schedule!$AH:$AH&lt;&gt;"""")),""""))"),"")</f>
        <v/>
      </c>
      <c r="G296" s="390" t="str">
        <f>IFERROR(__xludf.DUMMYFUNCTION("if($A296="""","""",iferror(join("" &amp; "",filter(Schedule!$Y:$Y&amp;""-""&amp;Schedule!$Z:$Z,Schedule!$L:$L=$A296,(Schedule!$K:$K=$B296)+(Schedule!$K:$K=""""),Schedule!$Y:$Y&lt;&gt;"""")),""""))"),"")</f>
        <v/>
      </c>
      <c r="H296" s="390" t="str">
        <f>IFERROR(__xludf.DUMMYFUNCTION("if($A296="""","""",iferror(join("" &amp; "",filter(Schedule!$AK:$AK&amp;""-""&amp;Schedule!$AL:$AL,Schedule!$L:$L=$A296,(Schedule!$K:$K=$B296)+(Schedule!$K:$K=""""),Schedule!$AK:$AK&lt;&gt;"""")),""""))"),"Algebra II-5")</f>
        <v>Algebra II-5</v>
      </c>
      <c r="I296" s="68"/>
      <c r="J296" s="392"/>
      <c r="K296" s="389" t="str">
        <f>M290</f>
        <v/>
      </c>
      <c r="L296" s="389" t="str">
        <f>S290</f>
        <v/>
      </c>
      <c r="M296" s="100">
        <v>5.0</v>
      </c>
      <c r="N296" s="390" t="str">
        <f>IFERROR(__xludf.DUMMYFUNCTION("if($K296="""","""",iferror(join("" &amp; "",filter(Schedule!$AB:$AB&amp;""-""&amp;Schedule!$AC:$AC,Schedule!$L:$L=$K296,(Schedule!$K:$K=$L296)+(Schedule!$K:$K=""""),Schedule!$AB:$AB&lt;&gt;"""")),""""))"),"")</f>
        <v/>
      </c>
      <c r="O296" s="390" t="str">
        <f>IFERROR(__xludf.DUMMYFUNCTION("if($K296="""","""",iferror(join("" &amp; "",filter(Schedule!$S:$S&amp;""-""&amp;Schedule!$T:$T,Schedule!$L:$L=$K296,(Schedule!$K:$K=$L296)+(Schedule!$K:$K=""""),Schedule!$S:$S&lt;&gt;"""")),""""))"),"")</f>
        <v/>
      </c>
      <c r="P296" s="390" t="str">
        <f>IFERROR(__xludf.DUMMYFUNCTION("if($K296="""","""",iferror(join("" &amp; "",filter(Schedule!$AH:$AH&amp;""-""&amp;Schedule!$AI:$AI,Schedule!$L:$L=$K296,(Schedule!$K:$K=$L296)+(Schedule!$K:$K=""""),Schedule!$AH:$AH&lt;&gt;"""")),""""))"),"")</f>
        <v/>
      </c>
      <c r="Q296" s="390" t="str">
        <f>IFERROR(__xludf.DUMMYFUNCTION("if($K296="""","""",iferror(join("" &amp; "",filter(Schedule!$Y:$Y&amp;""-""&amp;Schedule!$Z:$Z,Schedule!$L:$L=$K296,(Schedule!$K:$K=$L296)+(Schedule!$K:$K=""""),Schedule!$Y:$Y&lt;&gt;"""")),""""))"),"")</f>
        <v/>
      </c>
      <c r="R296" s="390" t="str">
        <f>IFERROR(__xludf.DUMMYFUNCTION("if($K296="""","""",iferror(join("" &amp; "",filter(Schedule!$AK:$AK&amp;""-""&amp;Schedule!$AL:$AL,Schedule!$L:$L=$K296,(Schedule!$K:$K=$L296)+(Schedule!$K:$K=""""),Schedule!$AK:$AK&lt;&gt;"""")),""""))"),"")</f>
        <v/>
      </c>
      <c r="S296" s="68"/>
      <c r="T296" s="393"/>
    </row>
    <row r="297">
      <c r="C297" s="3"/>
      <c r="D297" s="396"/>
      <c r="E297" s="396"/>
      <c r="F297" s="396"/>
      <c r="G297" s="396"/>
      <c r="H297" s="396"/>
      <c r="N297" s="397"/>
      <c r="O297" s="397"/>
      <c r="P297" s="397"/>
      <c r="Q297" s="397"/>
      <c r="R297" s="397"/>
    </row>
    <row r="298">
      <c r="C298" s="386" t="str">
        <f>Teachers!A38</f>
        <v>Sindy Villamizar</v>
      </c>
      <c r="D298" s="383"/>
      <c r="E298" s="383"/>
      <c r="F298" s="383"/>
      <c r="G298" s="383"/>
      <c r="H298" s="384"/>
      <c r="I298" s="385" t="str">
        <f>IFERROR(__xludf.DUMMYFUNCTION("if(C298="""","""", iferror(filter(Schedule!$K:$K,Schedule!$L:$L=$C298,Schedule!$K:$K=""S1""),unique(filter(Schedule!$K:$K,Schedule!$L:$L=$C298,Schedule!$K:$K=""""))))"),"")</f>
        <v/>
      </c>
      <c r="M298" s="386" t="str">
        <f>if(S298="","",C298)</f>
        <v/>
      </c>
      <c r="N298" s="383"/>
      <c r="O298" s="383"/>
      <c r="P298" s="383"/>
      <c r="Q298" s="383"/>
      <c r="R298" s="384"/>
      <c r="S298" s="385" t="str">
        <f>if(I298="S1","S2","")</f>
        <v/>
      </c>
      <c r="T298" s="112"/>
    </row>
    <row r="299">
      <c r="C299" s="100" t="s">
        <v>7</v>
      </c>
      <c r="D299" s="387" t="s">
        <v>8</v>
      </c>
      <c r="E299" s="387" t="s">
        <v>9</v>
      </c>
      <c r="F299" s="387" t="s">
        <v>10</v>
      </c>
      <c r="G299" s="387" t="s">
        <v>11</v>
      </c>
      <c r="H299" s="387" t="s">
        <v>12</v>
      </c>
      <c r="I299" s="21" t="s">
        <v>766</v>
      </c>
      <c r="J299" s="116"/>
      <c r="K299" s="116"/>
      <c r="L299" s="116"/>
      <c r="M299" s="100" t="s">
        <v>7</v>
      </c>
      <c r="N299" s="387" t="s">
        <v>8</v>
      </c>
      <c r="O299" s="387" t="s">
        <v>9</v>
      </c>
      <c r="P299" s="387" t="s">
        <v>10</v>
      </c>
      <c r="Q299" s="387" t="s">
        <v>11</v>
      </c>
      <c r="R299" s="387" t="s">
        <v>12</v>
      </c>
      <c r="S299" s="21" t="s">
        <v>766</v>
      </c>
      <c r="T299" s="388"/>
    </row>
    <row r="300">
      <c r="A300" s="389" t="str">
        <f>C298</f>
        <v>Sindy Villamizar</v>
      </c>
      <c r="B300" s="389" t="str">
        <f>I298</f>
        <v/>
      </c>
      <c r="C300" s="100">
        <v>1.0</v>
      </c>
      <c r="D300" s="390" t="str">
        <f>IFERROR(__xludf.DUMMYFUNCTION("if($A300="""","""",iferror(join("" &amp; "",filter(Schedule!$P:$P&amp;""-""&amp;Schedule!$Q:$Q,Schedule!$L:$L=$A300,(Schedule!$K:$K=$B300)+(Schedule!$K:$K=""""),Schedule!$P:$P&lt;&gt;"""")),""""))"),"")</f>
        <v/>
      </c>
      <c r="E300" s="390" t="str">
        <f>IFERROR(__xludf.DUMMYFUNCTION("if($A300="""","""",iferror(join("" &amp; "",filter(Schedule!$AE:$AE&amp;""-""&amp;Schedule!$AF:$AF,Schedule!$L:$L=$A300,(Schedule!$K:$K=$B300)+(Schedule!$K:$K=""""),Schedule!$AE:$AE&lt;&gt;"""")),""""))"),"AP Spanish Language and Culture-7")</f>
        <v>AP Spanish Language and Culture-7</v>
      </c>
      <c r="F300" s="390" t="str">
        <f>IFERROR(__xludf.DUMMYFUNCTION("if($A300="""","""",iferror(join("" &amp; "",filter(Schedule!$V:$V&amp;""-""&amp;Schedule!$W:$W,Schedule!$L:$L=$A300,(Schedule!$K:$K=$B300)+(Schedule!$K:$K=""""),Schedule!$V:$V&lt;&gt;"""")),""""))"),"Spanish and Literature 9-5")</f>
        <v>Spanish and Literature 9-5</v>
      </c>
      <c r="G300" s="390" t="str">
        <f>IFERROR(__xludf.DUMMYFUNCTION("if($A300="""","""",iferror(join("" &amp; "",filter(Schedule!$AK:$AK&amp;""-""&amp;Schedule!$AL:$AL,Schedule!$L:$L=$A300,(Schedule!$K:$K=$B300)+(Schedule!$K:$K=""""),Schedule!$AK:$AK&lt;&gt;"""")),""""))"),"Spanish and Literature 9-7")</f>
        <v>Spanish and Literature 9-7</v>
      </c>
      <c r="H300" s="390" t="str">
        <f>IFERROR(__xludf.DUMMYFUNCTION("if($A300="""","""",iferror(join("" &amp; "",filter(Schedule!$AB:$AB&amp;""-""&amp;Schedule!$AC:$AC,Schedule!$L:$L=$A300,(Schedule!$K:$K=$B300)+(Schedule!$K:$K=""""),Schedule!$AB:$AB&lt;&gt;"""")),""""))"),"")</f>
        <v/>
      </c>
      <c r="I300" s="391">
        <f>if(C298="","", 24-countifs(D300:H304,""))</f>
        <v>15</v>
      </c>
      <c r="J300" s="392"/>
      <c r="K300" s="389" t="str">
        <f>M298</f>
        <v/>
      </c>
      <c r="L300" s="389" t="str">
        <f>S298</f>
        <v/>
      </c>
      <c r="M300" s="100">
        <v>1.0</v>
      </c>
      <c r="N300" s="390" t="str">
        <f>IFERROR(__xludf.DUMMYFUNCTION("if($K300="""","""",iferror(join("" &amp; "",filter(Schedule!$P:$P&amp;""-""&amp;Schedule!$Q:$Q,Schedule!$L:$L=$K300,(Schedule!$K:$K=$L300)+(Schedule!$K:$K=""""),Schedule!$P:$P&lt;&gt;"""")),""""))"),"")</f>
        <v/>
      </c>
      <c r="O300" s="390" t="str">
        <f>IFERROR(__xludf.DUMMYFUNCTION("if($K300="""","""",iferror(join("" &amp; "",filter(Schedule!$AE:$AE&amp;""-""&amp;Schedule!$AF:$AF,Schedule!$L:$L=$K300,(Schedule!$K:$K=$L300)+(Schedule!$K:$K=""""),Schedule!$AE:$AE&lt;&gt;"""")),""""))"),"")</f>
        <v/>
      </c>
      <c r="P300" s="390" t="str">
        <f>IFERROR(__xludf.DUMMYFUNCTION("if($K300="""","""",iferror(join("" &amp; "",filter(Schedule!$V:$V&amp;""-""&amp;Schedule!$W:$W,Schedule!$L:$L=$K300,(Schedule!$K:$K=$L300)+(Schedule!$K:$K=""""),Schedule!$V:$V&lt;&gt;"""")),""""))"),"")</f>
        <v/>
      </c>
      <c r="Q300" s="390" t="str">
        <f>IFERROR(__xludf.DUMMYFUNCTION("if($K300="""","""",iferror(join("" &amp; "",filter(Schedule!$AK:$AK&amp;""-""&amp;Schedule!$AL:$AL,Schedule!$L:$L=$K300,(Schedule!$K:$K=$L300)+(Schedule!$K:$K=""""),Schedule!$AK:$AK&lt;&gt;"""")),""""))"),"")</f>
        <v/>
      </c>
      <c r="R300" s="390" t="str">
        <f>IFERROR(__xludf.DUMMYFUNCTION("if($K300="""","""",iferror(join("" &amp; "",filter(Schedule!$AB:$AB&amp;""-""&amp;Schedule!$AC:$AC,Schedule!$L:$L=$K300,(Schedule!$K:$K=$L300)+(Schedule!$K:$K=""""),Schedule!$AB:$AB&lt;&gt;"""")),""""))"),"")</f>
        <v/>
      </c>
      <c r="S300" s="391" t="str">
        <f>if(K300="","", 24-countifs(N300:R304,""))</f>
        <v/>
      </c>
      <c r="T300" s="393"/>
    </row>
    <row r="301">
      <c r="A301" s="389" t="str">
        <f>C298</f>
        <v>Sindy Villamizar</v>
      </c>
      <c r="B301" s="389" t="str">
        <f>I298</f>
        <v/>
      </c>
      <c r="C301" s="100">
        <v>2.0</v>
      </c>
      <c r="D301" s="390" t="str">
        <f>IFERROR(__xludf.DUMMYFUNCTION("if($A301="""","""",iferror(join("" &amp; "",filter(Schedule!$S:$S&amp;""-""&amp;Schedule!$T:$T,Schedule!$L:$L=$A301,(Schedule!$K:$K=$B301)+(Schedule!$K:$K=""""),Schedule!$S:$S&lt;&gt;"""")),""""))"),"")</f>
        <v/>
      </c>
      <c r="E301" s="390" t="str">
        <f>IFERROR(__xludf.DUMMYFUNCTION("if($A301="""","""",iferror(join("" &amp; "",filter(Schedule!$AH:$AH&amp;""-""&amp;Schedule!$AI:$AI,Schedule!$L:$L=$A301,(Schedule!$K:$K=$B301)+(Schedule!$K:$K=""""),Schedule!$AH:$AH&lt;&gt;"""")),""""))"),"Spanish and Literature 9-6")</f>
        <v>Spanish and Literature 9-6</v>
      </c>
      <c r="F301" s="390" t="str">
        <f>IFERROR(__xludf.DUMMYFUNCTION("if($A301="""","""",iferror(join("" &amp; "",filter(Schedule!$Y:$Y&amp;""-""&amp;Schedule!$Z:$Z,Schedule!$L:$L=$A301,(Schedule!$K:$K=$B301)+(Schedule!$K:$K=""""),Schedule!$Y:$Y&lt;&gt;"""")),""""))"),"AP Spanish Language and Culture-6")</f>
        <v>AP Spanish Language and Culture-6</v>
      </c>
      <c r="G301" s="390" t="str">
        <f>IFERROR(__xludf.DUMMYFUNCTION("if($A301="""","""",iferror(join("" &amp; "",filter(Schedule!$P:$P&amp;""-""&amp;Schedule!$Q:$Q,Schedule!$L:$L=$A301,(Schedule!$K:$K=$B301)+(Schedule!$K:$K=""""),Schedule!$P:$P&lt;&gt;"""")),""""))"),"")</f>
        <v/>
      </c>
      <c r="H301" s="390" t="str">
        <f>IFERROR(__xludf.DUMMYFUNCTION("if($A301="""","""",iferror(join("" &amp; "",filter(Schedule!$AE:$AE&amp;""-""&amp;Schedule!$AF:$AF,Schedule!$L:$L=$A301,(Schedule!$K:$K=$B301)+(Schedule!$K:$K=""""),Schedule!$AE:$AE&lt;&gt;"""")),""""))"),"AP Spanish Language and Culture-7")</f>
        <v>AP Spanish Language and Culture-7</v>
      </c>
      <c r="I301" s="53"/>
      <c r="J301" s="392"/>
      <c r="K301" s="389" t="str">
        <f>M298</f>
        <v/>
      </c>
      <c r="L301" s="389" t="str">
        <f>S298</f>
        <v/>
      </c>
      <c r="M301" s="100">
        <v>2.0</v>
      </c>
      <c r="N301" s="390" t="str">
        <f>IFERROR(__xludf.DUMMYFUNCTION("if($K301="""","""",iferror(join("" &amp; "",filter(Schedule!$S:$S&amp;""-""&amp;Schedule!$T:$T,Schedule!$L:$L=$K301,(Schedule!$K:$K=$L301)+(Schedule!$K:$K=""""),Schedule!$S:$S&lt;&gt;"""")),""""))"),"")</f>
        <v/>
      </c>
      <c r="O301" s="390" t="str">
        <f>IFERROR(__xludf.DUMMYFUNCTION("if($K301="""","""",iferror(join("" &amp; "",filter(Schedule!$AH:$AH&amp;""-""&amp;Schedule!$AI:$AI,Schedule!$L:$L=$K301,(Schedule!$K:$K=$L301)+(Schedule!$K:$K=""""),Schedule!$AH:$AH&lt;&gt;"""")),""""))"),"")</f>
        <v/>
      </c>
      <c r="P301" s="390" t="str">
        <f>IFERROR(__xludf.DUMMYFUNCTION("if($K301="""","""",iferror(join("" &amp; "",filter(Schedule!$Y:$Y&amp;""-""&amp;Schedule!$Z:$Z,Schedule!$L:$L=$K301,(Schedule!$K:$K=$L301)+(Schedule!$K:$K=""""),Schedule!$Y:$Y&lt;&gt;"""")),""""))"),"")</f>
        <v/>
      </c>
      <c r="Q301" s="390" t="str">
        <f>IFERROR(__xludf.DUMMYFUNCTION("if($K301="""","""",iferror(join("" &amp; "",filter(Schedule!$P:$P&amp;""-""&amp;Schedule!$Q:$Q,Schedule!$L:$L=$K301,(Schedule!$K:$K=$L301)+(Schedule!$K:$K=""""),Schedule!$P:$P&lt;&gt;"""")),""""))"),"")</f>
        <v/>
      </c>
      <c r="R301" s="390" t="str">
        <f>IFERROR(__xludf.DUMMYFUNCTION("if($K301="""","""",iferror(join("" &amp; "",filter(Schedule!$AE:$AE&amp;""-""&amp;Schedule!$AF:$AF,Schedule!$L:$L=$K301,(Schedule!$K:$K=$L301)+(Schedule!$K:$K=""""),Schedule!$AE:$AE&lt;&gt;"""")),""""))"),"")</f>
        <v/>
      </c>
      <c r="S301" s="53"/>
      <c r="T301" s="393"/>
    </row>
    <row r="302">
      <c r="A302" s="389" t="str">
        <f>C298</f>
        <v>Sindy Villamizar</v>
      </c>
      <c r="B302" s="389" t="str">
        <f>I298</f>
        <v/>
      </c>
      <c r="C302" s="100">
        <v>3.0</v>
      </c>
      <c r="D302" s="390" t="str">
        <f>IFERROR(__xludf.DUMMYFUNCTION("if($A302="""","""",iferror(join("" &amp; "",filter(Schedule!$V:$V&amp;""-""&amp;Schedule!$W:$W,Schedule!$L:$L=$A302,(Schedule!$K:$K=$B302)+(Schedule!$K:$K=""""),Schedule!$V:$V&lt;&gt;"""")),""""))"),"Spanish and Literature 9-5")</f>
        <v>Spanish and Literature 9-5</v>
      </c>
      <c r="E302" s="390" t="str">
        <f>IFERROR(__xludf.DUMMYFUNCTION("if($A302="""","""",iferror(join("" &amp; "",filter(Schedule!$AK:$AK&amp;""-""&amp;Schedule!$AL:$AL,Schedule!$L:$L=$A302,(Schedule!$K:$K=$B302)+(Schedule!$K:$K=""""),Schedule!$AK:$AK&lt;&gt;"""")),""""))"),"Spanish and Literature 9-7")</f>
        <v>Spanish and Literature 9-7</v>
      </c>
      <c r="F302" s="390" t="str">
        <f>IFERROR(__xludf.DUMMYFUNCTION("if($A302="""","""",iferror(join("" &amp; "",filter(Schedule!$AB:$AB&amp;""-""&amp;Schedule!$AC:$AC,Schedule!$L:$L=$A302,(Schedule!$K:$K=$B302)+(Schedule!$K:$K=""""),Schedule!$AB:$AB&lt;&gt;"""")),""""))"),"")</f>
        <v/>
      </c>
      <c r="G302" s="390" t="str">
        <f>IFERROR(__xludf.DUMMYFUNCTION("if($A302="""","""",iferror(join("" &amp; "",filter(Schedule!$S:$S&amp;""-""&amp;Schedule!$T:$T,Schedule!$L:$L=$A302,(Schedule!$K:$K=$B302)+(Schedule!$K:$K=""""),Schedule!$S:$S&lt;&gt;"""")),""""))"),"")</f>
        <v/>
      </c>
      <c r="H302" s="395" t="str">
        <f>if($C298="","","X-Block")</f>
        <v>X-Block</v>
      </c>
      <c r="I302" s="53"/>
      <c r="J302" s="392"/>
      <c r="K302" s="389" t="str">
        <f>M298</f>
        <v/>
      </c>
      <c r="L302" s="389" t="str">
        <f>S298</f>
        <v/>
      </c>
      <c r="M302" s="100">
        <v>3.0</v>
      </c>
      <c r="N302" s="390" t="str">
        <f>IFERROR(__xludf.DUMMYFUNCTION("if($K302="""","""",iferror(join("" &amp; "",filter(Schedule!$V:$V&amp;""-""&amp;Schedule!$W:$W,Schedule!$L:$L=$K302,(Schedule!$K:$K=$L302)+(Schedule!$K:$K=""""),Schedule!$V:$V&lt;&gt;"""")),""""))"),"")</f>
        <v/>
      </c>
      <c r="O302" s="390" t="str">
        <f>IFERROR(__xludf.DUMMYFUNCTION("if($K302="""","""",iferror(join("" &amp; "",filter(Schedule!$AK:$AK&amp;""-""&amp;Schedule!$AL:$AL,Schedule!$L:$L=$K302,(Schedule!$K:$K=$L302)+(Schedule!$K:$K=""""),Schedule!$AK:$AK&lt;&gt;"""")),""""))"),"")</f>
        <v/>
      </c>
      <c r="P302" s="390" t="str">
        <f>IFERROR(__xludf.DUMMYFUNCTION("if($K302="""","""",iferror(join("" &amp; "",filter(Schedule!$AB:$AB&amp;""-""&amp;Schedule!$AC:$AC,Schedule!$L:$L=$K302,(Schedule!$K:$K=$L302)+(Schedule!$K:$K=""""),Schedule!$AB:$AB&lt;&gt;"""")),""""))"),"")</f>
        <v/>
      </c>
      <c r="Q302" s="390" t="str">
        <f>IFERROR(__xludf.DUMMYFUNCTION("if($K302="""","""",iferror(join("" &amp; "",filter(Schedule!$S:$S&amp;""-""&amp;Schedule!$T:$T,Schedule!$L:$L=$K302,(Schedule!$K:$K=$L302)+(Schedule!$K:$K=""""),Schedule!$S:$S&lt;&gt;"""")),""""))"),"")</f>
        <v/>
      </c>
      <c r="R302" s="395" t="str">
        <f>if($M298="","","X-Block")</f>
        <v/>
      </c>
      <c r="S302" s="53"/>
      <c r="T302" s="393"/>
    </row>
    <row r="303">
      <c r="A303" s="389" t="str">
        <f>C298</f>
        <v>Sindy Villamizar</v>
      </c>
      <c r="B303" s="389" t="str">
        <f>I298</f>
        <v/>
      </c>
      <c r="C303" s="100">
        <v>4.0</v>
      </c>
      <c r="D303" s="390" t="str">
        <f>IFERROR(__xludf.DUMMYFUNCTION("if($A303="""","""",iferror(join("" &amp; "",filter(Schedule!$Y:$Y&amp;""-""&amp;Schedule!$Z:$Z,Schedule!$L:$L=$A303,(Schedule!$K:$K=$B303)+(Schedule!$K:$K=""""),Schedule!$Y:$Y&lt;&gt;"""")),""""))"),"AP Spanish Language and Culture-6")</f>
        <v>AP Spanish Language and Culture-6</v>
      </c>
      <c r="E303" s="390" t="str">
        <f>IFERROR(__xludf.DUMMYFUNCTION("if($A303="""","""",iferror(join("" &amp; "",filter(Schedule!$P:$P&amp;""-""&amp;Schedule!$Q:$Q,Schedule!$L:$L=$A303,(Schedule!$K:$K=$B303)+(Schedule!$K:$K=""""),Schedule!$P:$P&lt;&gt;"""")),""""))"),"")</f>
        <v/>
      </c>
      <c r="F303" s="390" t="str">
        <f>IFERROR(__xludf.DUMMYFUNCTION("if($A303="""","""",iferror(join("" &amp; "",filter(Schedule!$AE:$AE&amp;""-""&amp;Schedule!$AF:$AF,Schedule!$L:$L=$A303,(Schedule!$K:$K=$B303)+(Schedule!$K:$K=""""),Schedule!$AE:$AE&lt;&gt;"""")),""""))"),"AP Spanish Language and Culture-7")</f>
        <v>AP Spanish Language and Culture-7</v>
      </c>
      <c r="G303" s="390" t="str">
        <f>IFERROR(__xludf.DUMMYFUNCTION("if($A303="""","""",iferror(join("" &amp; "",filter(Schedule!$V:$V&amp;""-""&amp;Schedule!$W:$W,Schedule!$L:$L=$A303,(Schedule!$K:$K=$B303)+(Schedule!$K:$K=""""),Schedule!$V:$V&lt;&gt;"""")),""""))"),"Spanish and Literature 9-5")</f>
        <v>Spanish and Literature 9-5</v>
      </c>
      <c r="H303" s="390" t="str">
        <f>IFERROR(__xludf.DUMMYFUNCTION("if($A303="""","""",iferror(join("" &amp; "",filter(Schedule!$AH:$AH&amp;""-""&amp;Schedule!$AI:$AI,Schedule!$L:$L=$A303,(Schedule!$K:$K=$B303)+(Schedule!$K:$K=""""),Schedule!$AH:$AH&lt;&gt;"""")),""""))"),"Spanish and Literature 9-6")</f>
        <v>Spanish and Literature 9-6</v>
      </c>
      <c r="I303" s="53"/>
      <c r="J303" s="392"/>
      <c r="K303" s="389" t="str">
        <f>M298</f>
        <v/>
      </c>
      <c r="L303" s="389" t="str">
        <f>S298</f>
        <v/>
      </c>
      <c r="M303" s="100">
        <v>4.0</v>
      </c>
      <c r="N303" s="390" t="str">
        <f>IFERROR(__xludf.DUMMYFUNCTION("if($K303="""","""",iferror(join("" &amp; "",filter(Schedule!$Y:$Y&amp;""-""&amp;Schedule!$Z:$Z,Schedule!$L:$L=$K303,(Schedule!$K:$K=$L303)+(Schedule!$K:$K=""""),Schedule!$Y:$Y&lt;&gt;"""")),""""))"),"")</f>
        <v/>
      </c>
      <c r="O303" s="390" t="str">
        <f>IFERROR(__xludf.DUMMYFUNCTION("if($K303="""","""",iferror(join("" &amp; "",filter(Schedule!$P:$P&amp;""-""&amp;Schedule!$Q:$Q,Schedule!$L:$L=$K303,(Schedule!$K:$K=$L303)+(Schedule!$K:$K=""""),Schedule!$P:$P&lt;&gt;"""")),""""))"),"")</f>
        <v/>
      </c>
      <c r="P303" s="390" t="str">
        <f>IFERROR(__xludf.DUMMYFUNCTION("if($K303="""","""",iferror(join("" &amp; "",filter(Schedule!$AE:$AE&amp;""-""&amp;Schedule!$AF:$AF,Schedule!$L:$L=$K303,(Schedule!$K:$K=$L303)+(Schedule!$K:$K=""""),Schedule!$AE:$AE&lt;&gt;"""")),""""))"),"")</f>
        <v/>
      </c>
      <c r="Q303" s="390" t="str">
        <f>IFERROR(__xludf.DUMMYFUNCTION("if($K303="""","""",iferror(join("" &amp; "",filter(Schedule!$V:$V&amp;""-""&amp;Schedule!$W:$W,Schedule!$L:$L=$K303,(Schedule!$K:$K=$L303)+(Schedule!$K:$K=""""),Schedule!$V:$V&lt;&gt;"""")),""""))"),"")</f>
        <v/>
      </c>
      <c r="R303" s="390" t="str">
        <f>IFERROR(__xludf.DUMMYFUNCTION("if($K303="""","""",iferror(join("" &amp; "",filter(Schedule!$AH:$AH&amp;""-""&amp;Schedule!$AI:$AI,Schedule!$L:$L=$K303,(Schedule!$K:$K=$L303)+(Schedule!$K:$K=""""),Schedule!$AH:$AH&lt;&gt;"""")),""""))"),"")</f>
        <v/>
      </c>
      <c r="S303" s="53"/>
      <c r="T303" s="393"/>
    </row>
    <row r="304">
      <c r="A304" s="389" t="str">
        <f>C298</f>
        <v>Sindy Villamizar</v>
      </c>
      <c r="B304" s="389" t="str">
        <f>I298</f>
        <v/>
      </c>
      <c r="C304" s="100">
        <v>5.0</v>
      </c>
      <c r="D304" s="390" t="str">
        <f>IFERROR(__xludf.DUMMYFUNCTION("if($A304="""","""",iferror(join("" &amp; "",filter(Schedule!$AB:$AB&amp;""-""&amp;Schedule!$AC:$AC,Schedule!$L:$L=$A304,(Schedule!$K:$K=$B304)+(Schedule!$K:$K=""""),Schedule!$AB:$AB&lt;&gt;"""")),""""))"),"")</f>
        <v/>
      </c>
      <c r="E304" s="390" t="str">
        <f>IFERROR(__xludf.DUMMYFUNCTION("if($A304="""","""",iferror(join("" &amp; "",filter(Schedule!$S:$S&amp;""-""&amp;Schedule!$T:$T,Schedule!$L:$L=$A304,(Schedule!$K:$K=$B304)+(Schedule!$K:$K=""""),Schedule!$S:$S&lt;&gt;"""")),""""))"),"")</f>
        <v/>
      </c>
      <c r="F304" s="390" t="str">
        <f>IFERROR(__xludf.DUMMYFUNCTION("if($A304="""","""",iferror(join("" &amp; "",filter(Schedule!$AH:$AH&amp;""-""&amp;Schedule!$AI:$AI,Schedule!$L:$L=$A304,(Schedule!$K:$K=$B304)+(Schedule!$K:$K=""""),Schedule!$AH:$AH&lt;&gt;"""")),""""))"),"Spanish and Literature 9-6")</f>
        <v>Spanish and Literature 9-6</v>
      </c>
      <c r="G304" s="390" t="str">
        <f>IFERROR(__xludf.DUMMYFUNCTION("if($A304="""","""",iferror(join("" &amp; "",filter(Schedule!$Y:$Y&amp;""-""&amp;Schedule!$Z:$Z,Schedule!$L:$L=$A304,(Schedule!$K:$K=$B304)+(Schedule!$K:$K=""""),Schedule!$Y:$Y&lt;&gt;"""")),""""))"),"AP Spanish Language and Culture-6")</f>
        <v>AP Spanish Language and Culture-6</v>
      </c>
      <c r="H304" s="390" t="str">
        <f>IFERROR(__xludf.DUMMYFUNCTION("if($A304="""","""",iferror(join("" &amp; "",filter(Schedule!$AK:$AK&amp;""-""&amp;Schedule!$AL:$AL,Schedule!$L:$L=$A304,(Schedule!$K:$K=$B304)+(Schedule!$K:$K=""""),Schedule!$AK:$AK&lt;&gt;"""")),""""))"),"Spanish and Literature 9-7")</f>
        <v>Spanish and Literature 9-7</v>
      </c>
      <c r="I304" s="68"/>
      <c r="J304" s="392"/>
      <c r="K304" s="389" t="str">
        <f>M298</f>
        <v/>
      </c>
      <c r="L304" s="389" t="str">
        <f>S298</f>
        <v/>
      </c>
      <c r="M304" s="100">
        <v>5.0</v>
      </c>
      <c r="N304" s="390" t="str">
        <f>IFERROR(__xludf.DUMMYFUNCTION("if($K304="""","""",iferror(join("" &amp; "",filter(Schedule!$AB:$AB&amp;""-""&amp;Schedule!$AC:$AC,Schedule!$L:$L=$K304,(Schedule!$K:$K=$L304)+(Schedule!$K:$K=""""),Schedule!$AB:$AB&lt;&gt;"""")),""""))"),"")</f>
        <v/>
      </c>
      <c r="O304" s="390" t="str">
        <f>IFERROR(__xludf.DUMMYFUNCTION("if($K304="""","""",iferror(join("" &amp; "",filter(Schedule!$S:$S&amp;""-""&amp;Schedule!$T:$T,Schedule!$L:$L=$K304,(Schedule!$K:$K=$L304)+(Schedule!$K:$K=""""),Schedule!$S:$S&lt;&gt;"""")),""""))"),"")</f>
        <v/>
      </c>
      <c r="P304" s="390" t="str">
        <f>IFERROR(__xludf.DUMMYFUNCTION("if($K304="""","""",iferror(join("" &amp; "",filter(Schedule!$AH:$AH&amp;""-""&amp;Schedule!$AI:$AI,Schedule!$L:$L=$K304,(Schedule!$K:$K=$L304)+(Schedule!$K:$K=""""),Schedule!$AH:$AH&lt;&gt;"""")),""""))"),"")</f>
        <v/>
      </c>
      <c r="Q304" s="390" t="str">
        <f>IFERROR(__xludf.DUMMYFUNCTION("if($K304="""","""",iferror(join("" &amp; "",filter(Schedule!$Y:$Y&amp;""-""&amp;Schedule!$Z:$Z,Schedule!$L:$L=$K304,(Schedule!$K:$K=$L304)+(Schedule!$K:$K=""""),Schedule!$Y:$Y&lt;&gt;"""")),""""))"),"")</f>
        <v/>
      </c>
      <c r="R304" s="390" t="str">
        <f>IFERROR(__xludf.DUMMYFUNCTION("if($K304="""","""",iferror(join("" &amp; "",filter(Schedule!$AK:$AK&amp;""-""&amp;Schedule!$AL:$AL,Schedule!$L:$L=$K304,(Schedule!$K:$K=$L304)+(Schedule!$K:$K=""""),Schedule!$AK:$AK&lt;&gt;"""")),""""))"),"")</f>
        <v/>
      </c>
      <c r="S304" s="68"/>
      <c r="T304" s="393"/>
    </row>
    <row r="305">
      <c r="C305" s="3"/>
      <c r="D305" s="396"/>
      <c r="E305" s="396"/>
      <c r="F305" s="396"/>
      <c r="G305" s="396"/>
      <c r="H305" s="396"/>
      <c r="N305" s="397"/>
      <c r="O305" s="397"/>
      <c r="P305" s="397"/>
      <c r="Q305" s="397"/>
      <c r="R305" s="397"/>
    </row>
    <row r="306">
      <c r="C306" s="386" t="str">
        <f>Teachers!A39</f>
        <v>Sofia Arcila</v>
      </c>
      <c r="D306" s="383"/>
      <c r="E306" s="383"/>
      <c r="F306" s="383"/>
      <c r="G306" s="383"/>
      <c r="H306" s="384"/>
      <c r="I306" s="385" t="str">
        <f>IFERROR(__xludf.DUMMYFUNCTION("if(C306="""","""", iferror(filter(Schedule!$K:$K,Schedule!$L:$L=$C306,Schedule!$K:$K=""S1""),unique(filter(Schedule!$K:$K,Schedule!$L:$L=$C306,Schedule!$K:$K=""""))))"),"")</f>
        <v/>
      </c>
      <c r="M306" s="386" t="str">
        <f>if(S306="","",C306)</f>
        <v/>
      </c>
      <c r="N306" s="383"/>
      <c r="O306" s="383"/>
      <c r="P306" s="383"/>
      <c r="Q306" s="383"/>
      <c r="R306" s="384"/>
      <c r="S306" s="385" t="str">
        <f>if(I306="S1","S2","")</f>
        <v/>
      </c>
      <c r="T306" s="112"/>
    </row>
    <row r="307">
      <c r="C307" s="100" t="s">
        <v>7</v>
      </c>
      <c r="D307" s="387" t="s">
        <v>8</v>
      </c>
      <c r="E307" s="387" t="s">
        <v>9</v>
      </c>
      <c r="F307" s="387" t="s">
        <v>10</v>
      </c>
      <c r="G307" s="387" t="s">
        <v>11</v>
      </c>
      <c r="H307" s="387" t="s">
        <v>12</v>
      </c>
      <c r="I307" s="21" t="s">
        <v>766</v>
      </c>
      <c r="J307" s="116"/>
      <c r="K307" s="116"/>
      <c r="L307" s="116"/>
      <c r="M307" s="100" t="s">
        <v>7</v>
      </c>
      <c r="N307" s="387" t="s">
        <v>8</v>
      </c>
      <c r="O307" s="387" t="s">
        <v>9</v>
      </c>
      <c r="P307" s="387" t="s">
        <v>10</v>
      </c>
      <c r="Q307" s="387" t="s">
        <v>11</v>
      </c>
      <c r="R307" s="387" t="s">
        <v>12</v>
      </c>
      <c r="S307" s="21" t="s">
        <v>766</v>
      </c>
      <c r="T307" s="388"/>
    </row>
    <row r="308">
      <c r="A308" s="389" t="str">
        <f>C306</f>
        <v>Sofia Arcila</v>
      </c>
      <c r="B308" s="389" t="str">
        <f>I306</f>
        <v/>
      </c>
      <c r="C308" s="100">
        <v>1.0</v>
      </c>
      <c r="D308" s="390" t="str">
        <f>IFERROR(__xludf.DUMMYFUNCTION("if($A308="""","""",iferror(join("" &amp; "",filter(Schedule!$P:$P&amp;""-""&amp;Schedule!$Q:$Q,Schedule!$L:$L=$A308,(Schedule!$K:$K=$B308)+(Schedule!$K:$K=""""),Schedule!$P:$P&lt;&gt;"""")),""""))"),"AP 2-D Art and Design-1")</f>
        <v>AP 2-D Art and Design-1</v>
      </c>
      <c r="E308" s="390" t="str">
        <f>IFERROR(__xludf.DUMMYFUNCTION("if($A308="""","""",iferror(join("" &amp; "",filter(Schedule!$AE:$AE&amp;""-""&amp;Schedule!$AF:$AF,Schedule!$L:$L=$A308,(Schedule!$K:$K=$B308)+(Schedule!$K:$K=""""),Schedule!$AE:$AE&lt;&gt;"""")),""""))"),"Mixed Media Art-1 &amp; AP 3-D Art and Design-1")</f>
        <v>Mixed Media Art-1 &amp; AP 3-D Art and Design-1</v>
      </c>
      <c r="F308" s="390" t="str">
        <f>IFERROR(__xludf.DUMMYFUNCTION("if($A308="""","""",iferror(join("" &amp; "",filter(Schedule!$V:$V&amp;""-""&amp;Schedule!$W:$W,Schedule!$L:$L=$A308,(Schedule!$K:$K=$B308)+(Schedule!$K:$K=""""),Schedule!$V:$V&lt;&gt;"""")),""""))"),"Drawing I-2")</f>
        <v>Drawing I-2</v>
      </c>
      <c r="G308" s="390" t="str">
        <f>IFERROR(__xludf.DUMMYFUNCTION("if($A308="""","""",iferror(join("" &amp; "",filter(Schedule!$AK:$AK&amp;""-""&amp;Schedule!$AL:$AL,Schedule!$L:$L=$A308,(Schedule!$K:$K=$B308)+(Schedule!$K:$K=""""),Schedule!$AK:$AK&lt;&gt;"""")),""""))"),"Painting I-2")</f>
        <v>Painting I-2</v>
      </c>
      <c r="H308" s="390" t="str">
        <f>IFERROR(__xludf.DUMMYFUNCTION("if($A308="""","""",iferror(join("" &amp; "",filter(Schedule!$AB:$AB&amp;""-""&amp;Schedule!$AC:$AC,Schedule!$L:$L=$A308,(Schedule!$K:$K=$B308)+(Schedule!$K:$K=""""),Schedule!$AB:$AB&lt;&gt;"""")),""""))"),"")</f>
        <v/>
      </c>
      <c r="I308" s="391">
        <f>if(C306="","", 24-countifs(D308:H312,""))</f>
        <v>18</v>
      </c>
      <c r="J308" s="392"/>
      <c r="K308" s="389" t="str">
        <f>M306</f>
        <v/>
      </c>
      <c r="L308" s="389" t="str">
        <f>S306</f>
        <v/>
      </c>
      <c r="M308" s="100">
        <v>1.0</v>
      </c>
      <c r="N308" s="390" t="str">
        <f>IFERROR(__xludf.DUMMYFUNCTION("if($K308="""","""",iferror(join("" &amp; "",filter(Schedule!$P:$P&amp;""-""&amp;Schedule!$Q:$Q,Schedule!$L:$L=$K308,(Schedule!$K:$K=$L308)+(Schedule!$K:$K=""""),Schedule!$P:$P&lt;&gt;"""")),""""))"),"")</f>
        <v/>
      </c>
      <c r="O308" s="390" t="str">
        <f>IFERROR(__xludf.DUMMYFUNCTION("if($K308="""","""",iferror(join("" &amp; "",filter(Schedule!$AE:$AE&amp;""-""&amp;Schedule!$AF:$AF,Schedule!$L:$L=$K308,(Schedule!$K:$K=$L308)+(Schedule!$K:$K=""""),Schedule!$AE:$AE&lt;&gt;"""")),""""))"),"")</f>
        <v/>
      </c>
      <c r="P308" s="390" t="str">
        <f>IFERROR(__xludf.DUMMYFUNCTION("if($K308="""","""",iferror(join("" &amp; "",filter(Schedule!$V:$V&amp;""-""&amp;Schedule!$W:$W,Schedule!$L:$L=$K308,(Schedule!$K:$K=$L308)+(Schedule!$K:$K=""""),Schedule!$V:$V&lt;&gt;"""")),""""))"),"")</f>
        <v/>
      </c>
      <c r="Q308" s="390" t="str">
        <f>IFERROR(__xludf.DUMMYFUNCTION("if($K308="""","""",iferror(join("" &amp; "",filter(Schedule!$AK:$AK&amp;""-""&amp;Schedule!$AL:$AL,Schedule!$L:$L=$K308,(Schedule!$K:$K=$L308)+(Schedule!$K:$K=""""),Schedule!$AK:$AK&lt;&gt;"""")),""""))"),"")</f>
        <v/>
      </c>
      <c r="R308" s="390" t="str">
        <f>IFERROR(__xludf.DUMMYFUNCTION("if($K308="""","""",iferror(join("" &amp; "",filter(Schedule!$AB:$AB&amp;""-""&amp;Schedule!$AC:$AC,Schedule!$L:$L=$K308,(Schedule!$K:$K=$L308)+(Schedule!$K:$K=""""),Schedule!$AB:$AB&lt;&gt;"""")),""""))"),"")</f>
        <v/>
      </c>
      <c r="S308" s="391" t="str">
        <f>if(K308="","", 24-countifs(N308:R312,""))</f>
        <v/>
      </c>
      <c r="T308" s="393"/>
    </row>
    <row r="309">
      <c r="A309" s="389" t="str">
        <f>C306</f>
        <v>Sofia Arcila</v>
      </c>
      <c r="B309" s="389" t="str">
        <f>I306</f>
        <v/>
      </c>
      <c r="C309" s="100">
        <v>2.0</v>
      </c>
      <c r="D309" s="390" t="str">
        <f>IFERROR(__xludf.DUMMYFUNCTION("if($A309="""","""",iferror(join("" &amp; "",filter(Schedule!$S:$S&amp;""-""&amp;Schedule!$T:$T,Schedule!$L:$L=$A309,(Schedule!$K:$K=$B309)+(Schedule!$K:$K=""""),Schedule!$S:$S&lt;&gt;"""")),""""))"),"")</f>
        <v/>
      </c>
      <c r="E309" s="390" t="str">
        <f>IFERROR(__xludf.DUMMYFUNCTION("if($A309="""","""",iferror(join("" &amp; "",filter(Schedule!$AH:$AH&amp;""-""&amp;Schedule!$AI:$AI,Schedule!$L:$L=$A309,(Schedule!$K:$K=$B309)+(Schedule!$K:$K=""""),Schedule!$AH:$AH&lt;&gt;"""")),""""))"),"Painting I-1")</f>
        <v>Painting I-1</v>
      </c>
      <c r="F309" s="390" t="str">
        <f>IFERROR(__xludf.DUMMYFUNCTION("if($A309="""","""",iferror(join("" &amp; "",filter(Schedule!$Y:$Y&amp;""-""&amp;Schedule!$Z:$Z,Schedule!$L:$L=$A309,(Schedule!$K:$K=$B309)+(Schedule!$K:$K=""""),Schedule!$Y:$Y&lt;&gt;"""")),""""))"),"Sculpture I-2")</f>
        <v>Sculpture I-2</v>
      </c>
      <c r="G309" s="390" t="str">
        <f>IFERROR(__xludf.DUMMYFUNCTION("if($A309="""","""",iferror(join("" &amp; "",filter(Schedule!$P:$P&amp;""-""&amp;Schedule!$Q:$Q,Schedule!$L:$L=$A309,(Schedule!$K:$K=$B309)+(Schedule!$K:$K=""""),Schedule!$P:$P&lt;&gt;"""")),""""))"),"AP 2-D Art and Design-1")</f>
        <v>AP 2-D Art and Design-1</v>
      </c>
      <c r="H309" s="390" t="str">
        <f>IFERROR(__xludf.DUMMYFUNCTION("if($A309="""","""",iferror(join("" &amp; "",filter(Schedule!$AE:$AE&amp;""-""&amp;Schedule!$AF:$AF,Schedule!$L:$L=$A309,(Schedule!$K:$K=$B309)+(Schedule!$K:$K=""""),Schedule!$AE:$AE&lt;&gt;"""")),""""))"),"Mixed Media Art-1 &amp; AP 3-D Art and Design-1")</f>
        <v>Mixed Media Art-1 &amp; AP 3-D Art and Design-1</v>
      </c>
      <c r="I309" s="53"/>
      <c r="J309" s="392"/>
      <c r="K309" s="389" t="str">
        <f>M306</f>
        <v/>
      </c>
      <c r="L309" s="389" t="str">
        <f>S306</f>
        <v/>
      </c>
      <c r="M309" s="100">
        <v>2.0</v>
      </c>
      <c r="N309" s="390" t="str">
        <f>IFERROR(__xludf.DUMMYFUNCTION("if($K309="""","""",iferror(join("" &amp; "",filter(Schedule!$S:$S&amp;""-""&amp;Schedule!$T:$T,Schedule!$L:$L=$K309,(Schedule!$K:$K=$L309)+(Schedule!$K:$K=""""),Schedule!$S:$S&lt;&gt;"""")),""""))"),"")</f>
        <v/>
      </c>
      <c r="O309" s="390" t="str">
        <f>IFERROR(__xludf.DUMMYFUNCTION("if($K309="""","""",iferror(join("" &amp; "",filter(Schedule!$AH:$AH&amp;""-""&amp;Schedule!$AI:$AI,Schedule!$L:$L=$K309,(Schedule!$K:$K=$L309)+(Schedule!$K:$K=""""),Schedule!$AH:$AH&lt;&gt;"""")),""""))"),"")</f>
        <v/>
      </c>
      <c r="P309" s="390" t="str">
        <f>IFERROR(__xludf.DUMMYFUNCTION("if($K309="""","""",iferror(join("" &amp; "",filter(Schedule!$Y:$Y&amp;""-""&amp;Schedule!$Z:$Z,Schedule!$L:$L=$K309,(Schedule!$K:$K=$L309)+(Schedule!$K:$K=""""),Schedule!$Y:$Y&lt;&gt;"""")),""""))"),"")</f>
        <v/>
      </c>
      <c r="Q309" s="390" t="str">
        <f>IFERROR(__xludf.DUMMYFUNCTION("if($K309="""","""",iferror(join("" &amp; "",filter(Schedule!$P:$P&amp;""-""&amp;Schedule!$Q:$Q,Schedule!$L:$L=$K309,(Schedule!$K:$K=$L309)+(Schedule!$K:$K=""""),Schedule!$P:$P&lt;&gt;"""")),""""))"),"")</f>
        <v/>
      </c>
      <c r="R309" s="390" t="str">
        <f>IFERROR(__xludf.DUMMYFUNCTION("if($K309="""","""",iferror(join("" &amp; "",filter(Schedule!$AE:$AE&amp;""-""&amp;Schedule!$AF:$AF,Schedule!$L:$L=$K309,(Schedule!$K:$K=$L309)+(Schedule!$K:$K=""""),Schedule!$AE:$AE&lt;&gt;"""")),""""))"),"")</f>
        <v/>
      </c>
      <c r="S309" s="53"/>
      <c r="T309" s="393"/>
    </row>
    <row r="310">
      <c r="A310" s="389" t="str">
        <f>C306</f>
        <v>Sofia Arcila</v>
      </c>
      <c r="B310" s="389" t="str">
        <f>I306</f>
        <v/>
      </c>
      <c r="C310" s="100">
        <v>3.0</v>
      </c>
      <c r="D310" s="390" t="str">
        <f>IFERROR(__xludf.DUMMYFUNCTION("if($A310="""","""",iferror(join("" &amp; "",filter(Schedule!$V:$V&amp;""-""&amp;Schedule!$W:$W,Schedule!$L:$L=$A310,(Schedule!$K:$K=$B310)+(Schedule!$K:$K=""""),Schedule!$V:$V&lt;&gt;"""")),""""))"),"Drawing I-2")</f>
        <v>Drawing I-2</v>
      </c>
      <c r="E310" s="390" t="str">
        <f>IFERROR(__xludf.DUMMYFUNCTION("if($A310="""","""",iferror(join("" &amp; "",filter(Schedule!$AK:$AK&amp;""-""&amp;Schedule!$AL:$AL,Schedule!$L:$L=$A310,(Schedule!$K:$K=$B310)+(Schedule!$K:$K=""""),Schedule!$AK:$AK&lt;&gt;"""")),""""))"),"Painting I-2")</f>
        <v>Painting I-2</v>
      </c>
      <c r="F310" s="390" t="str">
        <f>IFERROR(__xludf.DUMMYFUNCTION("if($A310="""","""",iferror(join("" &amp; "",filter(Schedule!$AB:$AB&amp;""-""&amp;Schedule!$AC:$AC,Schedule!$L:$L=$A310,(Schedule!$K:$K=$B310)+(Schedule!$K:$K=""""),Schedule!$AB:$AB&lt;&gt;"""")),""""))"),"")</f>
        <v/>
      </c>
      <c r="G310" s="390" t="str">
        <f>IFERROR(__xludf.DUMMYFUNCTION("if($A310="""","""",iferror(join("" &amp; "",filter(Schedule!$S:$S&amp;""-""&amp;Schedule!$T:$T,Schedule!$L:$L=$A310,(Schedule!$K:$K=$B310)+(Schedule!$K:$K=""""),Schedule!$S:$S&lt;&gt;"""")),""""))"),"")</f>
        <v/>
      </c>
      <c r="H310" s="395" t="str">
        <f>if($C306="","","X-Block")</f>
        <v>X-Block</v>
      </c>
      <c r="I310" s="53"/>
      <c r="J310" s="392"/>
      <c r="K310" s="389" t="str">
        <f>M306</f>
        <v/>
      </c>
      <c r="L310" s="389" t="str">
        <f>S306</f>
        <v/>
      </c>
      <c r="M310" s="100">
        <v>3.0</v>
      </c>
      <c r="N310" s="390" t="str">
        <f>IFERROR(__xludf.DUMMYFUNCTION("if($K310="""","""",iferror(join("" &amp; "",filter(Schedule!$V:$V&amp;""-""&amp;Schedule!$W:$W,Schedule!$L:$L=$K310,(Schedule!$K:$K=$L310)+(Schedule!$K:$K=""""),Schedule!$V:$V&lt;&gt;"""")),""""))"),"")</f>
        <v/>
      </c>
      <c r="O310" s="390" t="str">
        <f>IFERROR(__xludf.DUMMYFUNCTION("if($K310="""","""",iferror(join("" &amp; "",filter(Schedule!$AK:$AK&amp;""-""&amp;Schedule!$AL:$AL,Schedule!$L:$L=$K310,(Schedule!$K:$K=$L310)+(Schedule!$K:$K=""""),Schedule!$AK:$AK&lt;&gt;"""")),""""))"),"")</f>
        <v/>
      </c>
      <c r="P310" s="390" t="str">
        <f>IFERROR(__xludf.DUMMYFUNCTION("if($K310="""","""",iferror(join("" &amp; "",filter(Schedule!$AB:$AB&amp;""-""&amp;Schedule!$AC:$AC,Schedule!$L:$L=$K310,(Schedule!$K:$K=$L310)+(Schedule!$K:$K=""""),Schedule!$AB:$AB&lt;&gt;"""")),""""))"),"")</f>
        <v/>
      </c>
      <c r="Q310" s="390" t="str">
        <f>IFERROR(__xludf.DUMMYFUNCTION("if($K310="""","""",iferror(join("" &amp; "",filter(Schedule!$S:$S&amp;""-""&amp;Schedule!$T:$T,Schedule!$L:$L=$K310,(Schedule!$K:$K=$L310)+(Schedule!$K:$K=""""),Schedule!$S:$S&lt;&gt;"""")),""""))"),"")</f>
        <v/>
      </c>
      <c r="R310" s="395" t="str">
        <f>if($M306="","","X-Block")</f>
        <v/>
      </c>
      <c r="S310" s="53"/>
      <c r="T310" s="393"/>
    </row>
    <row r="311">
      <c r="A311" s="389" t="str">
        <f>C306</f>
        <v>Sofia Arcila</v>
      </c>
      <c r="B311" s="389" t="str">
        <f>I306</f>
        <v/>
      </c>
      <c r="C311" s="100">
        <v>4.0</v>
      </c>
      <c r="D311" s="390" t="str">
        <f>IFERROR(__xludf.DUMMYFUNCTION("if($A311="""","""",iferror(join("" &amp; "",filter(Schedule!$Y:$Y&amp;""-""&amp;Schedule!$Z:$Z,Schedule!$L:$L=$A311,(Schedule!$K:$K=$B311)+(Schedule!$K:$K=""""),Schedule!$Y:$Y&lt;&gt;"""")),""""))"),"Sculpture I-2")</f>
        <v>Sculpture I-2</v>
      </c>
      <c r="E311" s="390" t="str">
        <f>IFERROR(__xludf.DUMMYFUNCTION("if($A311="""","""",iferror(join("" &amp; "",filter(Schedule!$P:$P&amp;""-""&amp;Schedule!$Q:$Q,Schedule!$L:$L=$A311,(Schedule!$K:$K=$B311)+(Schedule!$K:$K=""""),Schedule!$P:$P&lt;&gt;"""")),""""))"),"AP 2-D Art and Design-1")</f>
        <v>AP 2-D Art and Design-1</v>
      </c>
      <c r="F311" s="390" t="str">
        <f>IFERROR(__xludf.DUMMYFUNCTION("if($A311="""","""",iferror(join("" &amp; "",filter(Schedule!$AE:$AE&amp;""-""&amp;Schedule!$AF:$AF,Schedule!$L:$L=$A311,(Schedule!$K:$K=$B311)+(Schedule!$K:$K=""""),Schedule!$AE:$AE&lt;&gt;"""")),""""))"),"Mixed Media Art-1 &amp; AP 3-D Art and Design-1")</f>
        <v>Mixed Media Art-1 &amp; AP 3-D Art and Design-1</v>
      </c>
      <c r="G311" s="390" t="str">
        <f>IFERROR(__xludf.DUMMYFUNCTION("if($A311="""","""",iferror(join("" &amp; "",filter(Schedule!$V:$V&amp;""-""&amp;Schedule!$W:$W,Schedule!$L:$L=$A311,(Schedule!$K:$K=$B311)+(Schedule!$K:$K=""""),Schedule!$V:$V&lt;&gt;"""")),""""))"),"Drawing I-2")</f>
        <v>Drawing I-2</v>
      </c>
      <c r="H311" s="390" t="str">
        <f>IFERROR(__xludf.DUMMYFUNCTION("if($A311="""","""",iferror(join("" &amp; "",filter(Schedule!$AH:$AH&amp;""-""&amp;Schedule!$AI:$AI,Schedule!$L:$L=$A311,(Schedule!$K:$K=$B311)+(Schedule!$K:$K=""""),Schedule!$AH:$AH&lt;&gt;"""")),""""))"),"Painting I-1")</f>
        <v>Painting I-1</v>
      </c>
      <c r="I311" s="53"/>
      <c r="J311" s="392"/>
      <c r="K311" s="389" t="str">
        <f>M306</f>
        <v/>
      </c>
      <c r="L311" s="389" t="str">
        <f>S306</f>
        <v/>
      </c>
      <c r="M311" s="100">
        <v>4.0</v>
      </c>
      <c r="N311" s="390" t="str">
        <f>IFERROR(__xludf.DUMMYFUNCTION("if($K311="""","""",iferror(join("" &amp; "",filter(Schedule!$Y:$Y&amp;""-""&amp;Schedule!$Z:$Z,Schedule!$L:$L=$K311,(Schedule!$K:$K=$L311)+(Schedule!$K:$K=""""),Schedule!$Y:$Y&lt;&gt;"""")),""""))"),"")</f>
        <v/>
      </c>
      <c r="O311" s="390" t="str">
        <f>IFERROR(__xludf.DUMMYFUNCTION("if($K311="""","""",iferror(join("" &amp; "",filter(Schedule!$P:$P&amp;""-""&amp;Schedule!$Q:$Q,Schedule!$L:$L=$K311,(Schedule!$K:$K=$L311)+(Schedule!$K:$K=""""),Schedule!$P:$P&lt;&gt;"""")),""""))"),"")</f>
        <v/>
      </c>
      <c r="P311" s="390" t="str">
        <f>IFERROR(__xludf.DUMMYFUNCTION("if($K311="""","""",iferror(join("" &amp; "",filter(Schedule!$AE:$AE&amp;""-""&amp;Schedule!$AF:$AF,Schedule!$L:$L=$K311,(Schedule!$K:$K=$L311)+(Schedule!$K:$K=""""),Schedule!$AE:$AE&lt;&gt;"""")),""""))"),"")</f>
        <v/>
      </c>
      <c r="Q311" s="390" t="str">
        <f>IFERROR(__xludf.DUMMYFUNCTION("if($K311="""","""",iferror(join("" &amp; "",filter(Schedule!$V:$V&amp;""-""&amp;Schedule!$W:$W,Schedule!$L:$L=$K311,(Schedule!$K:$K=$L311)+(Schedule!$K:$K=""""),Schedule!$V:$V&lt;&gt;"""")),""""))"),"")</f>
        <v/>
      </c>
      <c r="R311" s="390" t="str">
        <f>IFERROR(__xludf.DUMMYFUNCTION("if($K311="""","""",iferror(join("" &amp; "",filter(Schedule!$AH:$AH&amp;""-""&amp;Schedule!$AI:$AI,Schedule!$L:$L=$K311,(Schedule!$K:$K=$L311)+(Schedule!$K:$K=""""),Schedule!$AH:$AH&lt;&gt;"""")),""""))"),"")</f>
        <v/>
      </c>
      <c r="S311" s="53"/>
      <c r="T311" s="393"/>
    </row>
    <row r="312">
      <c r="A312" s="389" t="str">
        <f>C306</f>
        <v>Sofia Arcila</v>
      </c>
      <c r="B312" s="389" t="str">
        <f>I306</f>
        <v/>
      </c>
      <c r="C312" s="100">
        <v>5.0</v>
      </c>
      <c r="D312" s="390" t="str">
        <f>IFERROR(__xludf.DUMMYFUNCTION("if($A312="""","""",iferror(join("" &amp; "",filter(Schedule!$AB:$AB&amp;""-""&amp;Schedule!$AC:$AC,Schedule!$L:$L=$A312,(Schedule!$K:$K=$B312)+(Schedule!$K:$K=""""),Schedule!$AB:$AB&lt;&gt;"""")),""""))"),"")</f>
        <v/>
      </c>
      <c r="E312" s="390" t="str">
        <f>IFERROR(__xludf.DUMMYFUNCTION("if($A312="""","""",iferror(join("" &amp; "",filter(Schedule!$S:$S&amp;""-""&amp;Schedule!$T:$T,Schedule!$L:$L=$A312,(Schedule!$K:$K=$B312)+(Schedule!$K:$K=""""),Schedule!$S:$S&lt;&gt;"""")),""""))"),"")</f>
        <v/>
      </c>
      <c r="F312" s="390" t="str">
        <f>IFERROR(__xludf.DUMMYFUNCTION("if($A312="""","""",iferror(join("" &amp; "",filter(Schedule!$AH:$AH&amp;""-""&amp;Schedule!$AI:$AI,Schedule!$L:$L=$A312,(Schedule!$K:$K=$B312)+(Schedule!$K:$K=""""),Schedule!$AH:$AH&lt;&gt;"""")),""""))"),"Painting I-1")</f>
        <v>Painting I-1</v>
      </c>
      <c r="G312" s="390" t="str">
        <f>IFERROR(__xludf.DUMMYFUNCTION("if($A312="""","""",iferror(join("" &amp; "",filter(Schedule!$Y:$Y&amp;""-""&amp;Schedule!$Z:$Z,Schedule!$L:$L=$A312,(Schedule!$K:$K=$B312)+(Schedule!$K:$K=""""),Schedule!$Y:$Y&lt;&gt;"""")),""""))"),"Sculpture I-2")</f>
        <v>Sculpture I-2</v>
      </c>
      <c r="H312" s="390" t="str">
        <f>IFERROR(__xludf.DUMMYFUNCTION("if($A312="""","""",iferror(join("" &amp; "",filter(Schedule!$AK:$AK&amp;""-""&amp;Schedule!$AL:$AL,Schedule!$L:$L=$A312,(Schedule!$K:$K=$B312)+(Schedule!$K:$K=""""),Schedule!$AK:$AK&lt;&gt;"""")),""""))"),"Painting I-2")</f>
        <v>Painting I-2</v>
      </c>
      <c r="I312" s="68"/>
      <c r="J312" s="392"/>
      <c r="K312" s="389" t="str">
        <f>M306</f>
        <v/>
      </c>
      <c r="L312" s="389" t="str">
        <f>S306</f>
        <v/>
      </c>
      <c r="M312" s="100">
        <v>5.0</v>
      </c>
      <c r="N312" s="390" t="str">
        <f>IFERROR(__xludf.DUMMYFUNCTION("if($K312="""","""",iferror(join("" &amp; "",filter(Schedule!$AB:$AB&amp;""-""&amp;Schedule!$AC:$AC,Schedule!$L:$L=$K312,(Schedule!$K:$K=$L312)+(Schedule!$K:$K=""""),Schedule!$AB:$AB&lt;&gt;"""")),""""))"),"")</f>
        <v/>
      </c>
      <c r="O312" s="390" t="str">
        <f>IFERROR(__xludf.DUMMYFUNCTION("if($K312="""","""",iferror(join("" &amp; "",filter(Schedule!$S:$S&amp;""-""&amp;Schedule!$T:$T,Schedule!$L:$L=$K312,(Schedule!$K:$K=$L312)+(Schedule!$K:$K=""""),Schedule!$S:$S&lt;&gt;"""")),""""))"),"")</f>
        <v/>
      </c>
      <c r="P312" s="390" t="str">
        <f>IFERROR(__xludf.DUMMYFUNCTION("if($K312="""","""",iferror(join("" &amp; "",filter(Schedule!$AH:$AH&amp;""-""&amp;Schedule!$AI:$AI,Schedule!$L:$L=$K312,(Schedule!$K:$K=$L312)+(Schedule!$K:$K=""""),Schedule!$AH:$AH&lt;&gt;"""")),""""))"),"")</f>
        <v/>
      </c>
      <c r="Q312" s="390" t="str">
        <f>IFERROR(__xludf.DUMMYFUNCTION("if($K312="""","""",iferror(join("" &amp; "",filter(Schedule!$Y:$Y&amp;""-""&amp;Schedule!$Z:$Z,Schedule!$L:$L=$K312,(Schedule!$K:$K=$L312)+(Schedule!$K:$K=""""),Schedule!$Y:$Y&lt;&gt;"""")),""""))"),"")</f>
        <v/>
      </c>
      <c r="R312" s="390" t="str">
        <f>IFERROR(__xludf.DUMMYFUNCTION("if($K312="""","""",iferror(join("" &amp; "",filter(Schedule!$AK:$AK&amp;""-""&amp;Schedule!$AL:$AL,Schedule!$L:$L=$K312,(Schedule!$K:$K=$L312)+(Schedule!$K:$K=""""),Schedule!$AK:$AK&lt;&gt;"""")),""""))"),"")</f>
        <v/>
      </c>
      <c r="S312" s="68"/>
      <c r="T312" s="393"/>
    </row>
    <row r="313">
      <c r="A313" s="389"/>
      <c r="B313" s="389"/>
      <c r="C313" s="275"/>
      <c r="D313" s="396"/>
      <c r="E313" s="396"/>
      <c r="F313" s="396"/>
      <c r="G313" s="396"/>
      <c r="H313" s="396"/>
      <c r="I313" s="392"/>
      <c r="J313" s="392"/>
      <c r="K313" s="389"/>
      <c r="L313" s="389"/>
      <c r="M313" s="275"/>
      <c r="N313" s="396"/>
      <c r="O313" s="396"/>
      <c r="P313" s="396"/>
      <c r="Q313" s="396"/>
      <c r="R313" s="396"/>
      <c r="S313" s="392"/>
      <c r="T313" s="393"/>
    </row>
    <row r="314">
      <c r="C314" s="386" t="str">
        <f>Teachers!A40</f>
        <v>Tamir Mickens</v>
      </c>
      <c r="D314" s="383"/>
      <c r="E314" s="383"/>
      <c r="F314" s="383"/>
      <c r="G314" s="383"/>
      <c r="H314" s="384"/>
      <c r="I314" s="385" t="str">
        <f>IFERROR(__xludf.DUMMYFUNCTION("if(C314="""","""", iferror(filter(Schedule!$K:$K,Schedule!$L:$L=$C314,Schedule!$K:$K=""S1""),unique(filter(Schedule!$K:$K,Schedule!$L:$L=$C314,Schedule!$K:$K=""""))))"),"")</f>
        <v/>
      </c>
      <c r="M314" s="386" t="str">
        <f>if(S314="","",C314)</f>
        <v/>
      </c>
      <c r="N314" s="383"/>
      <c r="O314" s="383"/>
      <c r="P314" s="383"/>
      <c r="Q314" s="383"/>
      <c r="R314" s="384"/>
      <c r="S314" s="385" t="str">
        <f>if(I314="S1","S2","")</f>
        <v/>
      </c>
    </row>
    <row r="315">
      <c r="C315" s="100" t="s">
        <v>7</v>
      </c>
      <c r="D315" s="387" t="s">
        <v>8</v>
      </c>
      <c r="E315" s="387" t="s">
        <v>9</v>
      </c>
      <c r="F315" s="387" t="s">
        <v>10</v>
      </c>
      <c r="G315" s="387" t="s">
        <v>11</v>
      </c>
      <c r="H315" s="387" t="s">
        <v>12</v>
      </c>
      <c r="I315" s="21" t="s">
        <v>766</v>
      </c>
      <c r="J315" s="116"/>
      <c r="K315" s="116"/>
      <c r="L315" s="116"/>
      <c r="M315" s="100" t="s">
        <v>7</v>
      </c>
      <c r="N315" s="387" t="s">
        <v>8</v>
      </c>
      <c r="O315" s="387" t="s">
        <v>9</v>
      </c>
      <c r="P315" s="387" t="s">
        <v>10</v>
      </c>
      <c r="Q315" s="387" t="s">
        <v>11</v>
      </c>
      <c r="R315" s="387" t="s">
        <v>12</v>
      </c>
      <c r="S315" s="21" t="s">
        <v>766</v>
      </c>
    </row>
    <row r="316">
      <c r="A316" s="389" t="str">
        <f>C314</f>
        <v>Tamir Mickens</v>
      </c>
      <c r="B316" s="389" t="str">
        <f>I314</f>
        <v/>
      </c>
      <c r="C316" s="100">
        <v>1.0</v>
      </c>
      <c r="D316" s="390" t="str">
        <f>IFERROR(__xludf.DUMMYFUNCTION("if($A316="""","""",iferror(join("" &amp; "",filter(Schedule!$P:$P&amp;""-""&amp;Schedule!$Q:$Q,Schedule!$L:$L=$A316,(Schedule!$K:$K=$B316)+(Schedule!$K:$K=""""),Schedule!$P:$P&lt;&gt;"""")),""""))"),"Biology 9-5")</f>
        <v>Biology 9-5</v>
      </c>
      <c r="E316" s="390" t="str">
        <f>IFERROR(__xludf.DUMMYFUNCTION("if($A316="""","""",iferror(join("" &amp; "",filter(Schedule!$AE:$AE&amp;""-""&amp;Schedule!$AF:$AF,Schedule!$L:$L=$A316,(Schedule!$K:$K=$B316)+(Schedule!$K:$K=""""),Schedule!$AE:$AE&lt;&gt;"""")),""""))"),"")</f>
        <v/>
      </c>
      <c r="F316" s="390" t="str">
        <f>IFERROR(__xludf.DUMMYFUNCTION("if($A316="""","""",iferror(join("" &amp; "",filter(Schedule!$V:$V&amp;""-""&amp;Schedule!$W:$W,Schedule!$L:$L=$A316,(Schedule!$K:$K=$B316)+(Schedule!$K:$K=""""),Schedule!$V:$V&lt;&gt;"""")),""""))"),"")</f>
        <v/>
      </c>
      <c r="G316" s="390" t="str">
        <f>IFERROR(__xludf.DUMMYFUNCTION("if($A316="""","""",iferror(join("" &amp; "",filter(Schedule!$AK:$AK&amp;""-""&amp;Schedule!$AL:$AL,Schedule!$L:$L=$A316,(Schedule!$K:$K=$B316)+(Schedule!$K:$K=""""),Schedule!$AK:$AK&lt;&gt;"""")),""""))"),"")</f>
        <v/>
      </c>
      <c r="H316" s="390" t="str">
        <f>IFERROR(__xludf.DUMMYFUNCTION("if($A316="""","""",iferror(join("" &amp; "",filter(Schedule!$AB:$AB&amp;""-""&amp;Schedule!$AC:$AC,Schedule!$L:$L=$A316,(Schedule!$K:$K=$B316)+(Schedule!$K:$K=""""),Schedule!$AB:$AB&lt;&gt;"""")),""""))"),"Physics-2")</f>
        <v>Physics-2</v>
      </c>
      <c r="I316" s="391">
        <f>if(C314="","", 24-countifs(D316:H320,""))</f>
        <v>15</v>
      </c>
      <c r="J316" s="392"/>
      <c r="K316" s="389" t="str">
        <f>M314</f>
        <v/>
      </c>
      <c r="L316" s="389" t="str">
        <f>S314</f>
        <v/>
      </c>
      <c r="M316" s="100">
        <v>1.0</v>
      </c>
      <c r="N316" s="390" t="str">
        <f>IFERROR(__xludf.DUMMYFUNCTION("if($K316="""","""",iferror(join("" &amp; "",filter(Schedule!$P:$P&amp;""-""&amp;Schedule!$Q:$Q,Schedule!$L:$L=$K316,(Schedule!$K:$K=$L316)+(Schedule!$K:$K=""""),Schedule!$P:$P&lt;&gt;"""")),""""))"),"")</f>
        <v/>
      </c>
      <c r="O316" s="390" t="str">
        <f>IFERROR(__xludf.DUMMYFUNCTION("if($K316="""","""",iferror(join("" &amp; "",filter(Schedule!$AE:$AE&amp;""-""&amp;Schedule!$AF:$AF,Schedule!$L:$L=$K316,(Schedule!$K:$K=$L316)+(Schedule!$K:$K=""""),Schedule!$AE:$AE&lt;&gt;"""")),""""))"),"")</f>
        <v/>
      </c>
      <c r="P316" s="390" t="str">
        <f>IFERROR(__xludf.DUMMYFUNCTION("if($K316="""","""",iferror(join("" &amp; "",filter(Schedule!$V:$V&amp;""-""&amp;Schedule!$W:$W,Schedule!$L:$L=$K316,(Schedule!$K:$K=$L316)+(Schedule!$K:$K=""""),Schedule!$V:$V&lt;&gt;"""")),""""))"),"")</f>
        <v/>
      </c>
      <c r="Q316" s="390" t="str">
        <f>IFERROR(__xludf.DUMMYFUNCTION("if($K316="""","""",iferror(join("" &amp; "",filter(Schedule!$AK:$AK&amp;""-""&amp;Schedule!$AL:$AL,Schedule!$L:$L=$K316,(Schedule!$K:$K=$L316)+(Schedule!$K:$K=""""),Schedule!$AK:$AK&lt;&gt;"""")),""""))"),"")</f>
        <v/>
      </c>
      <c r="R316" s="390" t="str">
        <f>IFERROR(__xludf.DUMMYFUNCTION("if($K316="""","""",iferror(join("" &amp; "",filter(Schedule!$AB:$AB&amp;""-""&amp;Schedule!$AC:$AC,Schedule!$L:$L=$K316,(Schedule!$K:$K=$L316)+(Schedule!$K:$K=""""),Schedule!$AB:$AB&lt;&gt;"""")),""""))"),"")</f>
        <v/>
      </c>
      <c r="S316" s="391" t="str">
        <f>if(K316="","", 24-countifs(N316:R320,""))</f>
        <v/>
      </c>
    </row>
    <row r="317">
      <c r="A317" s="389" t="str">
        <f>C314</f>
        <v>Tamir Mickens</v>
      </c>
      <c r="B317" s="389" t="str">
        <f>I314</f>
        <v/>
      </c>
      <c r="C317" s="100">
        <v>2.0</v>
      </c>
      <c r="D317" s="390" t="str">
        <f>IFERROR(__xludf.DUMMYFUNCTION("if($A317="""","""",iferror(join("" &amp; "",filter(Schedule!$S:$S&amp;""-""&amp;Schedule!$T:$T,Schedule!$L:$L=$A317,(Schedule!$K:$K=$B317)+(Schedule!$K:$K=""""),Schedule!$S:$S&lt;&gt;"""")),""""))"),"Physics-1")</f>
        <v>Physics-1</v>
      </c>
      <c r="E317" s="390" t="str">
        <f>IFERROR(__xludf.DUMMYFUNCTION("if($A317="""","""",iferror(join("" &amp; "",filter(Schedule!$AH:$AH&amp;""-""&amp;Schedule!$AI:$AI,Schedule!$L:$L=$A317,(Schedule!$K:$K=$B317)+(Schedule!$K:$K=""""),Schedule!$AH:$AH&lt;&gt;"""")),""""))"),"Biology 9-7")</f>
        <v>Biology 9-7</v>
      </c>
      <c r="F317" s="390" t="str">
        <f>IFERROR(__xludf.DUMMYFUNCTION("if($A317="""","""",iferror(join("" &amp; "",filter(Schedule!$Y:$Y&amp;""-""&amp;Schedule!$Z:$Z,Schedule!$L:$L=$A317,(Schedule!$K:$K=$B317)+(Schedule!$K:$K=""""),Schedule!$Y:$Y&lt;&gt;"""")),""""))"),"Biology 9-6")</f>
        <v>Biology 9-6</v>
      </c>
      <c r="G317" s="390" t="str">
        <f>IFERROR(__xludf.DUMMYFUNCTION("if($A317="""","""",iferror(join("" &amp; "",filter(Schedule!$P:$P&amp;""-""&amp;Schedule!$Q:$Q,Schedule!$L:$L=$A317,(Schedule!$K:$K=$B317)+(Schedule!$K:$K=""""),Schedule!$P:$P&lt;&gt;"""")),""""))"),"Biology 9-5")</f>
        <v>Biology 9-5</v>
      </c>
      <c r="H317" s="390" t="str">
        <f>IFERROR(__xludf.DUMMYFUNCTION("if($A317="""","""",iferror(join("" &amp; "",filter(Schedule!$AE:$AE&amp;""-""&amp;Schedule!$AF:$AF,Schedule!$L:$L=$A317,(Schedule!$K:$K=$B317)+(Schedule!$K:$K=""""),Schedule!$AE:$AE&lt;&gt;"""")),""""))"),"")</f>
        <v/>
      </c>
      <c r="I317" s="53"/>
      <c r="J317" s="392"/>
      <c r="K317" s="389" t="str">
        <f>M314</f>
        <v/>
      </c>
      <c r="L317" s="389" t="str">
        <f>S314</f>
        <v/>
      </c>
      <c r="M317" s="100">
        <v>2.0</v>
      </c>
      <c r="N317" s="390" t="str">
        <f>IFERROR(__xludf.DUMMYFUNCTION("if($K317="""","""",iferror(join("" &amp; "",filter(Schedule!$S:$S&amp;""-""&amp;Schedule!$T:$T,Schedule!$L:$L=$K317,(Schedule!$K:$K=$L317)+(Schedule!$K:$K=""""),Schedule!$S:$S&lt;&gt;"""")),""""))"),"")</f>
        <v/>
      </c>
      <c r="O317" s="390" t="str">
        <f>IFERROR(__xludf.DUMMYFUNCTION("if($K317="""","""",iferror(join("" &amp; "",filter(Schedule!$AH:$AH&amp;""-""&amp;Schedule!$AI:$AI,Schedule!$L:$L=$K317,(Schedule!$K:$K=$L317)+(Schedule!$K:$K=""""),Schedule!$AH:$AH&lt;&gt;"""")),""""))"),"")</f>
        <v/>
      </c>
      <c r="P317" s="390" t="str">
        <f>IFERROR(__xludf.DUMMYFUNCTION("if($K317="""","""",iferror(join("" &amp; "",filter(Schedule!$Y:$Y&amp;""-""&amp;Schedule!$Z:$Z,Schedule!$L:$L=$K317,(Schedule!$K:$K=$L317)+(Schedule!$K:$K=""""),Schedule!$Y:$Y&lt;&gt;"""")),""""))"),"")</f>
        <v/>
      </c>
      <c r="Q317" s="390" t="str">
        <f>IFERROR(__xludf.DUMMYFUNCTION("if($K317="""","""",iferror(join("" &amp; "",filter(Schedule!$P:$P&amp;""-""&amp;Schedule!$Q:$Q,Schedule!$L:$L=$K317,(Schedule!$K:$K=$L317)+(Schedule!$K:$K=""""),Schedule!$P:$P&lt;&gt;"""")),""""))"),"")</f>
        <v/>
      </c>
      <c r="R317" s="390" t="str">
        <f>IFERROR(__xludf.DUMMYFUNCTION("if($K317="""","""",iferror(join("" &amp; "",filter(Schedule!$AE:$AE&amp;""-""&amp;Schedule!$AF:$AF,Schedule!$L:$L=$K317,(Schedule!$K:$K=$L317)+(Schedule!$K:$K=""""),Schedule!$AE:$AE&lt;&gt;"""")),""""))"),"")</f>
        <v/>
      </c>
      <c r="S317" s="53"/>
    </row>
    <row r="318">
      <c r="A318" s="389" t="str">
        <f>C314</f>
        <v>Tamir Mickens</v>
      </c>
      <c r="B318" s="389" t="str">
        <f>I314</f>
        <v/>
      </c>
      <c r="C318" s="100">
        <v>3.0</v>
      </c>
      <c r="D318" s="390" t="str">
        <f>IFERROR(__xludf.DUMMYFUNCTION("if($A318="""","""",iferror(join("" &amp; "",filter(Schedule!$V:$V&amp;""-""&amp;Schedule!$W:$W,Schedule!$L:$L=$A318,(Schedule!$K:$K=$B318)+(Schedule!$K:$K=""""),Schedule!$V:$V&lt;&gt;"""")),""""))"),"")</f>
        <v/>
      </c>
      <c r="E318" s="390" t="str">
        <f>IFERROR(__xludf.DUMMYFUNCTION("if($A318="""","""",iferror(join("" &amp; "",filter(Schedule!$AK:$AK&amp;""-""&amp;Schedule!$AL:$AL,Schedule!$L:$L=$A318,(Schedule!$K:$K=$B318)+(Schedule!$K:$K=""""),Schedule!$AK:$AK&lt;&gt;"""")),""""))"),"")</f>
        <v/>
      </c>
      <c r="F318" s="390" t="str">
        <f>IFERROR(__xludf.DUMMYFUNCTION("if($A318="""","""",iferror(join("" &amp; "",filter(Schedule!$AB:$AB&amp;""-""&amp;Schedule!$AC:$AC,Schedule!$L:$L=$A318,(Schedule!$K:$K=$B318)+(Schedule!$K:$K=""""),Schedule!$AB:$AB&lt;&gt;"""")),""""))"),"Physics-2")</f>
        <v>Physics-2</v>
      </c>
      <c r="G318" s="390" t="str">
        <f>IFERROR(__xludf.DUMMYFUNCTION("if($A318="""","""",iferror(join("" &amp; "",filter(Schedule!$S:$S&amp;""-""&amp;Schedule!$T:$T,Schedule!$L:$L=$A318,(Schedule!$K:$K=$B318)+(Schedule!$K:$K=""""),Schedule!$S:$S&lt;&gt;"""")),""""))"),"Physics-1")</f>
        <v>Physics-1</v>
      </c>
      <c r="H318" s="395" t="str">
        <f>if($C314="","","X-Block")</f>
        <v>X-Block</v>
      </c>
      <c r="I318" s="53"/>
      <c r="J318" s="392"/>
      <c r="K318" s="389" t="str">
        <f>M314</f>
        <v/>
      </c>
      <c r="L318" s="389" t="str">
        <f>S314</f>
        <v/>
      </c>
      <c r="M318" s="100">
        <v>3.0</v>
      </c>
      <c r="N318" s="390" t="str">
        <f>IFERROR(__xludf.DUMMYFUNCTION("if($K318="""","""",iferror(join("" &amp; "",filter(Schedule!$V:$V&amp;""-""&amp;Schedule!$W:$W,Schedule!$L:$L=$K318,(Schedule!$K:$K=$L318)+(Schedule!$K:$K=""""),Schedule!$V:$V&lt;&gt;"""")),""""))"),"")</f>
        <v/>
      </c>
      <c r="O318" s="390" t="str">
        <f>IFERROR(__xludf.DUMMYFUNCTION("if($K318="""","""",iferror(join("" &amp; "",filter(Schedule!$AK:$AK&amp;""-""&amp;Schedule!$AL:$AL,Schedule!$L:$L=$K318,(Schedule!$K:$K=$L318)+(Schedule!$K:$K=""""),Schedule!$AK:$AK&lt;&gt;"""")),""""))"),"")</f>
        <v/>
      </c>
      <c r="P318" s="390" t="str">
        <f>IFERROR(__xludf.DUMMYFUNCTION("if($K318="""","""",iferror(join("" &amp; "",filter(Schedule!$AB:$AB&amp;""-""&amp;Schedule!$AC:$AC,Schedule!$L:$L=$K318,(Schedule!$K:$K=$L318)+(Schedule!$K:$K=""""),Schedule!$AB:$AB&lt;&gt;"""")),""""))"),"")</f>
        <v/>
      </c>
      <c r="Q318" s="390" t="str">
        <f>IFERROR(__xludf.DUMMYFUNCTION("if($K318="""","""",iferror(join("" &amp; "",filter(Schedule!$S:$S&amp;""-""&amp;Schedule!$T:$T,Schedule!$L:$L=$K318,(Schedule!$K:$K=$L318)+(Schedule!$K:$K=""""),Schedule!$S:$S&lt;&gt;"""")),""""))"),"")</f>
        <v/>
      </c>
      <c r="R318" s="395" t="str">
        <f>if($M314="","","X-Block")</f>
        <v/>
      </c>
      <c r="S318" s="53"/>
    </row>
    <row r="319">
      <c r="A319" s="389" t="str">
        <f>C314</f>
        <v>Tamir Mickens</v>
      </c>
      <c r="B319" s="389" t="str">
        <f>I314</f>
        <v/>
      </c>
      <c r="C319" s="100">
        <v>4.0</v>
      </c>
      <c r="D319" s="390" t="str">
        <f>IFERROR(__xludf.DUMMYFUNCTION("if($A319="""","""",iferror(join("" &amp; "",filter(Schedule!$Y:$Y&amp;""-""&amp;Schedule!$Z:$Z,Schedule!$L:$L=$A319,(Schedule!$K:$K=$B319)+(Schedule!$K:$K=""""),Schedule!$Y:$Y&lt;&gt;"""")),""""))"),"Biology 9-6")</f>
        <v>Biology 9-6</v>
      </c>
      <c r="E319" s="390" t="str">
        <f>IFERROR(__xludf.DUMMYFUNCTION("if($A319="""","""",iferror(join("" &amp; "",filter(Schedule!$P:$P&amp;""-""&amp;Schedule!$Q:$Q,Schedule!$L:$L=$A319,(Schedule!$K:$K=$B319)+(Schedule!$K:$K=""""),Schedule!$P:$P&lt;&gt;"""")),""""))"),"Biology 9-5")</f>
        <v>Biology 9-5</v>
      </c>
      <c r="F319" s="390" t="str">
        <f>IFERROR(__xludf.DUMMYFUNCTION("if($A319="""","""",iferror(join("" &amp; "",filter(Schedule!$AE:$AE&amp;""-""&amp;Schedule!$AF:$AF,Schedule!$L:$L=$A319,(Schedule!$K:$K=$B319)+(Schedule!$K:$K=""""),Schedule!$AE:$AE&lt;&gt;"""")),""""))"),"")</f>
        <v/>
      </c>
      <c r="G319" s="390" t="str">
        <f>IFERROR(__xludf.DUMMYFUNCTION("if($A319="""","""",iferror(join("" &amp; "",filter(Schedule!$V:$V&amp;""-""&amp;Schedule!$W:$W,Schedule!$L:$L=$A319,(Schedule!$K:$K=$B319)+(Schedule!$K:$K=""""),Schedule!$V:$V&lt;&gt;"""")),""""))"),"")</f>
        <v/>
      </c>
      <c r="H319" s="390" t="str">
        <f>IFERROR(__xludf.DUMMYFUNCTION("if($A319="""","""",iferror(join("" &amp; "",filter(Schedule!$AH:$AH&amp;""-""&amp;Schedule!$AI:$AI,Schedule!$L:$L=$A319,(Schedule!$K:$K=$B319)+(Schedule!$K:$K=""""),Schedule!$AH:$AH&lt;&gt;"""")),""""))"),"Biology 9-7")</f>
        <v>Biology 9-7</v>
      </c>
      <c r="I319" s="53"/>
      <c r="J319" s="392"/>
      <c r="K319" s="389" t="str">
        <f>M314</f>
        <v/>
      </c>
      <c r="L319" s="389" t="str">
        <f>S314</f>
        <v/>
      </c>
      <c r="M319" s="100">
        <v>4.0</v>
      </c>
      <c r="N319" s="390" t="str">
        <f>IFERROR(__xludf.DUMMYFUNCTION("if($K319="""","""",iferror(join("" &amp; "",filter(Schedule!$Y:$Y&amp;""-""&amp;Schedule!$Z:$Z,Schedule!$L:$L=$K319,(Schedule!$K:$K=$L319)+(Schedule!$K:$K=""""),Schedule!$Y:$Y&lt;&gt;"""")),""""))"),"")</f>
        <v/>
      </c>
      <c r="O319" s="390" t="str">
        <f>IFERROR(__xludf.DUMMYFUNCTION("if($K319="""","""",iferror(join("" &amp; "",filter(Schedule!$P:$P&amp;""-""&amp;Schedule!$Q:$Q,Schedule!$L:$L=$K319,(Schedule!$K:$K=$L319)+(Schedule!$K:$K=""""),Schedule!$P:$P&lt;&gt;"""")),""""))"),"")</f>
        <v/>
      </c>
      <c r="P319" s="390" t="str">
        <f>IFERROR(__xludf.DUMMYFUNCTION("if($K319="""","""",iferror(join("" &amp; "",filter(Schedule!$AE:$AE&amp;""-""&amp;Schedule!$AF:$AF,Schedule!$L:$L=$K319,(Schedule!$K:$K=$L319)+(Schedule!$K:$K=""""),Schedule!$AE:$AE&lt;&gt;"""")),""""))"),"")</f>
        <v/>
      </c>
      <c r="Q319" s="390" t="str">
        <f>IFERROR(__xludf.DUMMYFUNCTION("if($K319="""","""",iferror(join("" &amp; "",filter(Schedule!$V:$V&amp;""-""&amp;Schedule!$W:$W,Schedule!$L:$L=$K319,(Schedule!$K:$K=$L319)+(Schedule!$K:$K=""""),Schedule!$V:$V&lt;&gt;"""")),""""))"),"")</f>
        <v/>
      </c>
      <c r="R319" s="390" t="str">
        <f>IFERROR(__xludf.DUMMYFUNCTION("if($K319="""","""",iferror(join("" &amp; "",filter(Schedule!$AH:$AH&amp;""-""&amp;Schedule!$AI:$AI,Schedule!$L:$L=$K319,(Schedule!$K:$K=$L319)+(Schedule!$K:$K=""""),Schedule!$AH:$AH&lt;&gt;"""")),""""))"),"")</f>
        <v/>
      </c>
      <c r="S319" s="53"/>
    </row>
    <row r="320">
      <c r="A320" s="389" t="str">
        <f>C314</f>
        <v>Tamir Mickens</v>
      </c>
      <c r="B320" s="389" t="str">
        <f>I314</f>
        <v/>
      </c>
      <c r="C320" s="100">
        <v>5.0</v>
      </c>
      <c r="D320" s="390" t="str">
        <f>IFERROR(__xludf.DUMMYFUNCTION("if($A320="""","""",iferror(join("" &amp; "",filter(Schedule!$AB:$AB&amp;""-""&amp;Schedule!$AC:$AC,Schedule!$L:$L=$A320,(Schedule!$K:$K=$B320)+(Schedule!$K:$K=""""),Schedule!$AB:$AB&lt;&gt;"""")),""""))"),"Physics-2")</f>
        <v>Physics-2</v>
      </c>
      <c r="E320" s="390" t="str">
        <f>IFERROR(__xludf.DUMMYFUNCTION("if($A320="""","""",iferror(join("" &amp; "",filter(Schedule!$S:$S&amp;""-""&amp;Schedule!$T:$T,Schedule!$L:$L=$A320,(Schedule!$K:$K=$B320)+(Schedule!$K:$K=""""),Schedule!$S:$S&lt;&gt;"""")),""""))"),"Physics-1")</f>
        <v>Physics-1</v>
      </c>
      <c r="F320" s="390" t="str">
        <f>IFERROR(__xludf.DUMMYFUNCTION("if($A320="""","""",iferror(join("" &amp; "",filter(Schedule!$AH:$AH&amp;""-""&amp;Schedule!$AI:$AI,Schedule!$L:$L=$A320,(Schedule!$K:$K=$B320)+(Schedule!$K:$K=""""),Schedule!$AH:$AH&lt;&gt;"""")),""""))"),"Biology 9-7")</f>
        <v>Biology 9-7</v>
      </c>
      <c r="G320" s="390" t="str">
        <f>IFERROR(__xludf.DUMMYFUNCTION("if($A320="""","""",iferror(join("" &amp; "",filter(Schedule!$Y:$Y&amp;""-""&amp;Schedule!$Z:$Z,Schedule!$L:$L=$A320,(Schedule!$K:$K=$B320)+(Schedule!$K:$K=""""),Schedule!$Y:$Y&lt;&gt;"""")),""""))"),"Biology 9-6")</f>
        <v>Biology 9-6</v>
      </c>
      <c r="H320" s="390" t="str">
        <f>IFERROR(__xludf.DUMMYFUNCTION("if($A320="""","""",iferror(join("" &amp; "",filter(Schedule!$AK:$AK&amp;""-""&amp;Schedule!$AL:$AL,Schedule!$L:$L=$A320,(Schedule!$K:$K=$B320)+(Schedule!$K:$K=""""),Schedule!$AK:$AK&lt;&gt;"""")),""""))"),"")</f>
        <v/>
      </c>
      <c r="I320" s="68"/>
      <c r="J320" s="392"/>
      <c r="K320" s="389" t="str">
        <f>M314</f>
        <v/>
      </c>
      <c r="L320" s="389" t="str">
        <f>S314</f>
        <v/>
      </c>
      <c r="M320" s="100">
        <v>5.0</v>
      </c>
      <c r="N320" s="390" t="str">
        <f>IFERROR(__xludf.DUMMYFUNCTION("if($K320="""","""",iferror(join("" &amp; "",filter(Schedule!$AB:$AB&amp;""-""&amp;Schedule!$AC:$AC,Schedule!$L:$L=$K320,(Schedule!$K:$K=$L320)+(Schedule!$K:$K=""""),Schedule!$AB:$AB&lt;&gt;"""")),""""))"),"")</f>
        <v/>
      </c>
      <c r="O320" s="390" t="str">
        <f>IFERROR(__xludf.DUMMYFUNCTION("if($K320="""","""",iferror(join("" &amp; "",filter(Schedule!$S:$S&amp;""-""&amp;Schedule!$T:$T,Schedule!$L:$L=$K320,(Schedule!$K:$K=$L320)+(Schedule!$K:$K=""""),Schedule!$S:$S&lt;&gt;"""")),""""))"),"")</f>
        <v/>
      </c>
      <c r="P320" s="390" t="str">
        <f>IFERROR(__xludf.DUMMYFUNCTION("if($K320="""","""",iferror(join("" &amp; "",filter(Schedule!$AH:$AH&amp;""-""&amp;Schedule!$AI:$AI,Schedule!$L:$L=$K320,(Schedule!$K:$K=$L320)+(Schedule!$K:$K=""""),Schedule!$AH:$AH&lt;&gt;"""")),""""))"),"")</f>
        <v/>
      </c>
      <c r="Q320" s="390" t="str">
        <f>IFERROR(__xludf.DUMMYFUNCTION("if($K320="""","""",iferror(join("" &amp; "",filter(Schedule!$Y:$Y&amp;""-""&amp;Schedule!$Z:$Z,Schedule!$L:$L=$K320,(Schedule!$K:$K=$L320)+(Schedule!$K:$K=""""),Schedule!$Y:$Y&lt;&gt;"""")),""""))"),"")</f>
        <v/>
      </c>
      <c r="R320" s="390" t="str">
        <f>IFERROR(__xludf.DUMMYFUNCTION("if($K320="""","""",iferror(join("" &amp; "",filter(Schedule!$AK:$AK&amp;""-""&amp;Schedule!$AL:$AL,Schedule!$L:$L=$K320,(Schedule!$K:$K=$L320)+(Schedule!$K:$K=""""),Schedule!$AK:$AK&lt;&gt;"""")),""""))"),"")</f>
        <v/>
      </c>
      <c r="S320" s="68"/>
    </row>
    <row r="321">
      <c r="A321" s="389"/>
      <c r="B321" s="389"/>
      <c r="C321" s="275"/>
      <c r="D321" s="396"/>
      <c r="E321" s="396"/>
      <c r="F321" s="396"/>
      <c r="G321" s="396"/>
      <c r="H321" s="396"/>
      <c r="I321" s="392"/>
      <c r="J321" s="392"/>
      <c r="K321" s="389"/>
      <c r="L321" s="389"/>
      <c r="M321" s="275"/>
      <c r="N321" s="396"/>
      <c r="O321" s="396"/>
      <c r="P321" s="396"/>
      <c r="Q321" s="396"/>
      <c r="R321" s="396"/>
      <c r="S321" s="392"/>
      <c r="T321" s="393"/>
    </row>
    <row r="322">
      <c r="C322" s="386" t="str">
        <f>Teachers!A41</f>
        <v>Urbano Mesa</v>
      </c>
      <c r="D322" s="383"/>
      <c r="E322" s="383"/>
      <c r="F322" s="383"/>
      <c r="G322" s="383"/>
      <c r="H322" s="384"/>
      <c r="I322" s="385" t="str">
        <f>IFERROR(__xludf.DUMMYFUNCTION("if(C322="""","""", iferror(filter(Schedule!$K:$K,Schedule!$L:$L=$C322,Schedule!$K:$K=""S1""),unique(filter(Schedule!$K:$K,Schedule!$L:$L=$C322,Schedule!$K:$K=""""))))"),"")</f>
        <v/>
      </c>
      <c r="M322" s="386" t="str">
        <f>if(S322="","",C322)</f>
        <v/>
      </c>
      <c r="N322" s="383"/>
      <c r="O322" s="383"/>
      <c r="P322" s="383"/>
      <c r="Q322" s="383"/>
      <c r="R322" s="384"/>
      <c r="S322" s="385" t="str">
        <f>if(I322="S1","S2","")</f>
        <v/>
      </c>
    </row>
    <row r="323">
      <c r="C323" s="100" t="s">
        <v>7</v>
      </c>
      <c r="D323" s="387" t="s">
        <v>8</v>
      </c>
      <c r="E323" s="387" t="s">
        <v>9</v>
      </c>
      <c r="F323" s="387" t="s">
        <v>10</v>
      </c>
      <c r="G323" s="387" t="s">
        <v>11</v>
      </c>
      <c r="H323" s="387" t="s">
        <v>12</v>
      </c>
      <c r="I323" s="21" t="s">
        <v>766</v>
      </c>
      <c r="J323" s="116"/>
      <c r="K323" s="116"/>
      <c r="L323" s="116"/>
      <c r="M323" s="100" t="s">
        <v>7</v>
      </c>
      <c r="N323" s="387" t="s">
        <v>8</v>
      </c>
      <c r="O323" s="387" t="s">
        <v>9</v>
      </c>
      <c r="P323" s="387" t="s">
        <v>10</v>
      </c>
      <c r="Q323" s="387" t="s">
        <v>11</v>
      </c>
      <c r="R323" s="387" t="s">
        <v>12</v>
      </c>
      <c r="S323" s="21" t="s">
        <v>766</v>
      </c>
    </row>
    <row r="324">
      <c r="A324" s="389" t="str">
        <f>C322</f>
        <v>Urbano Mesa</v>
      </c>
      <c r="B324" s="389" t="str">
        <f>I322</f>
        <v/>
      </c>
      <c r="C324" s="100">
        <v>1.0</v>
      </c>
      <c r="D324" s="390" t="str">
        <f>IFERROR(__xludf.DUMMYFUNCTION("if($A324="""","""",iferror(join("" &amp; "",filter(Schedule!$P:$P&amp;""-""&amp;Schedule!$Q:$Q,Schedule!$L:$L=$A324,(Schedule!$K:$K=$B324)+(Schedule!$K:$K=""""),Schedule!$P:$P&lt;&gt;"""")),""""))"),"PE 12-1")</f>
        <v>PE 12-1</v>
      </c>
      <c r="E324" s="390" t="str">
        <f>IFERROR(__xludf.DUMMYFUNCTION("if($A324="""","""",iferror(join("" &amp; "",filter(Schedule!$AE:$AE&amp;""-""&amp;Schedule!$AF:$AF,Schedule!$L:$L=$A324,(Schedule!$K:$K=$B324)+(Schedule!$K:$K=""""),Schedule!$AE:$AE&lt;&gt;"""")),""""))"),"PE 12-5")</f>
        <v>PE 12-5</v>
      </c>
      <c r="F324" s="390" t="str">
        <f>IFERROR(__xludf.DUMMYFUNCTION("if($A324="""","""",iferror(join("" &amp; "",filter(Schedule!$V:$V&amp;""-""&amp;Schedule!$W:$W,Schedule!$L:$L=$A324,(Schedule!$K:$K=$B324)+(Schedule!$K:$K=""""),Schedule!$V:$V&lt;&gt;"""")),""""))"),"")</f>
        <v/>
      </c>
      <c r="G324" s="390" t="str">
        <f>IFERROR(__xludf.DUMMYFUNCTION("if($A324="""","""",iferror(join("" &amp; "",filter(Schedule!$AK:$AK&amp;""-""&amp;Schedule!$AL:$AL,Schedule!$L:$L=$A324,(Schedule!$K:$K=$B324)+(Schedule!$K:$K=""""),Schedule!$AK:$AK&lt;&gt;"""")),""""))"),"PE 12-6")</f>
        <v>PE 12-6</v>
      </c>
      <c r="H324" s="390" t="str">
        <f>IFERROR(__xludf.DUMMYFUNCTION("if($A324="""","""",iferror(join("" &amp; "",filter(Schedule!$AB:$AB&amp;""-""&amp;Schedule!$AC:$AC,Schedule!$L:$L=$A324,(Schedule!$K:$K=$B324)+(Schedule!$K:$K=""""),Schedule!$AB:$AB&lt;&gt;"""")),""""))"),"PE 12-4")</f>
        <v>PE 12-4</v>
      </c>
      <c r="I324" s="391">
        <f>if(C322="","", 24-countifs(D324:H328,""))</f>
        <v>18</v>
      </c>
      <c r="J324" s="392"/>
      <c r="K324" s="389" t="str">
        <f>M322</f>
        <v/>
      </c>
      <c r="L324" s="389" t="str">
        <f>S322</f>
        <v/>
      </c>
      <c r="M324" s="100">
        <v>1.0</v>
      </c>
      <c r="N324" s="390" t="str">
        <f>IFERROR(__xludf.DUMMYFUNCTION("if($K324="""","""",iferror(join("" &amp; "",filter(Schedule!$P:$P&amp;""-""&amp;Schedule!$Q:$Q,Schedule!$L:$L=$K324,(Schedule!$K:$K=$L324)+(Schedule!$K:$K=""""),Schedule!$P:$P&lt;&gt;"""")),""""))"),"")</f>
        <v/>
      </c>
      <c r="O324" s="390" t="str">
        <f>IFERROR(__xludf.DUMMYFUNCTION("if($K324="""","""",iferror(join("" &amp; "",filter(Schedule!$AE:$AE&amp;""-""&amp;Schedule!$AF:$AF,Schedule!$L:$L=$K324,(Schedule!$K:$K=$L324)+(Schedule!$K:$K=""""),Schedule!$AE:$AE&lt;&gt;"""")),""""))"),"")</f>
        <v/>
      </c>
      <c r="P324" s="390" t="str">
        <f>IFERROR(__xludf.DUMMYFUNCTION("if($K324="""","""",iferror(join("" &amp; "",filter(Schedule!$V:$V&amp;""-""&amp;Schedule!$W:$W,Schedule!$L:$L=$K324,(Schedule!$K:$K=$L324)+(Schedule!$K:$K=""""),Schedule!$V:$V&lt;&gt;"""")),""""))"),"")</f>
        <v/>
      </c>
      <c r="Q324" s="390" t="str">
        <f>IFERROR(__xludf.DUMMYFUNCTION("if($K324="""","""",iferror(join("" &amp; "",filter(Schedule!$AK:$AK&amp;""-""&amp;Schedule!$AL:$AL,Schedule!$L:$L=$K324,(Schedule!$K:$K=$L324)+(Schedule!$K:$K=""""),Schedule!$AK:$AK&lt;&gt;"""")),""""))"),"")</f>
        <v/>
      </c>
      <c r="R324" s="390" t="str">
        <f>IFERROR(__xludf.DUMMYFUNCTION("if($K324="""","""",iferror(join("" &amp; "",filter(Schedule!$AB:$AB&amp;""-""&amp;Schedule!$AC:$AC,Schedule!$L:$L=$K324,(Schedule!$K:$K=$L324)+(Schedule!$K:$K=""""),Schedule!$AB:$AB&lt;&gt;"""")),""""))"),"")</f>
        <v/>
      </c>
      <c r="S324" s="391" t="str">
        <f>if(K324="","", 24-countifs(N324:R328,""))</f>
        <v/>
      </c>
    </row>
    <row r="325">
      <c r="A325" s="389" t="str">
        <f>C322</f>
        <v>Urbano Mesa</v>
      </c>
      <c r="B325" s="389" t="str">
        <f>I322</f>
        <v/>
      </c>
      <c r="C325" s="100">
        <v>2.0</v>
      </c>
      <c r="D325" s="390" t="str">
        <f>IFERROR(__xludf.DUMMYFUNCTION("if($A325="""","""",iferror(join("" &amp; "",filter(Schedule!$S:$S&amp;""-""&amp;Schedule!$T:$T,Schedule!$L:$L=$A325,(Schedule!$K:$K=$B325)+(Schedule!$K:$K=""""),Schedule!$S:$S&lt;&gt;"""")),""""))"),"PE 12-2")</f>
        <v>PE 12-2</v>
      </c>
      <c r="E325" s="390" t="str">
        <f>IFERROR(__xludf.DUMMYFUNCTION("if($A325="""","""",iferror(join("" &amp; "",filter(Schedule!$AH:$AH&amp;""-""&amp;Schedule!$AI:$AI,Schedule!$L:$L=$A325,(Schedule!$K:$K=$B325)+(Schedule!$K:$K=""""),Schedule!$AH:$AH&lt;&gt;"""")),""""))"),"")</f>
        <v/>
      </c>
      <c r="F325" s="390" t="str">
        <f>IFERROR(__xludf.DUMMYFUNCTION("if($A325="""","""",iferror(join("" &amp; "",filter(Schedule!$Y:$Y&amp;""-""&amp;Schedule!$Z:$Z,Schedule!$L:$L=$A325,(Schedule!$K:$K=$B325)+(Schedule!$K:$K=""""),Schedule!$Y:$Y&lt;&gt;"""")),""""))"),"PE 12-3")</f>
        <v>PE 12-3</v>
      </c>
      <c r="G325" s="390" t="str">
        <f>IFERROR(__xludf.DUMMYFUNCTION("if($A325="""","""",iferror(join("" &amp; "",filter(Schedule!$P:$P&amp;""-""&amp;Schedule!$Q:$Q,Schedule!$L:$L=$A325,(Schedule!$K:$K=$B325)+(Schedule!$K:$K=""""),Schedule!$P:$P&lt;&gt;"""")),""""))"),"PE 12-1")</f>
        <v>PE 12-1</v>
      </c>
      <c r="H325" s="390" t="str">
        <f>IFERROR(__xludf.DUMMYFUNCTION("if($A325="""","""",iferror(join("" &amp; "",filter(Schedule!$AE:$AE&amp;""-""&amp;Schedule!$AF:$AF,Schedule!$L:$L=$A325,(Schedule!$K:$K=$B325)+(Schedule!$K:$K=""""),Schedule!$AE:$AE&lt;&gt;"""")),""""))"),"PE 12-5")</f>
        <v>PE 12-5</v>
      </c>
      <c r="I325" s="53"/>
      <c r="J325" s="392"/>
      <c r="K325" s="389" t="str">
        <f>M322</f>
        <v/>
      </c>
      <c r="L325" s="389" t="str">
        <f>S322</f>
        <v/>
      </c>
      <c r="M325" s="100">
        <v>2.0</v>
      </c>
      <c r="N325" s="390" t="str">
        <f>IFERROR(__xludf.DUMMYFUNCTION("if($K325="""","""",iferror(join("" &amp; "",filter(Schedule!$S:$S&amp;""-""&amp;Schedule!$T:$T,Schedule!$L:$L=$K325,(Schedule!$K:$K=$L325)+(Schedule!$K:$K=""""),Schedule!$S:$S&lt;&gt;"""")),""""))"),"")</f>
        <v/>
      </c>
      <c r="O325" s="390" t="str">
        <f>IFERROR(__xludf.DUMMYFUNCTION("if($K325="""","""",iferror(join("" &amp; "",filter(Schedule!$AH:$AH&amp;""-""&amp;Schedule!$AI:$AI,Schedule!$L:$L=$K325,(Schedule!$K:$K=$L325)+(Schedule!$K:$K=""""),Schedule!$AH:$AH&lt;&gt;"""")),""""))"),"")</f>
        <v/>
      </c>
      <c r="P325" s="390" t="str">
        <f>IFERROR(__xludf.DUMMYFUNCTION("if($K325="""","""",iferror(join("" &amp; "",filter(Schedule!$Y:$Y&amp;""-""&amp;Schedule!$Z:$Z,Schedule!$L:$L=$K325,(Schedule!$K:$K=$L325)+(Schedule!$K:$K=""""),Schedule!$Y:$Y&lt;&gt;"""")),""""))"),"")</f>
        <v/>
      </c>
      <c r="Q325" s="390" t="str">
        <f>IFERROR(__xludf.DUMMYFUNCTION("if($K325="""","""",iferror(join("" &amp; "",filter(Schedule!$P:$P&amp;""-""&amp;Schedule!$Q:$Q,Schedule!$L:$L=$K325,(Schedule!$K:$K=$L325)+(Schedule!$K:$K=""""),Schedule!$P:$P&lt;&gt;"""")),""""))"),"")</f>
        <v/>
      </c>
      <c r="R325" s="390" t="str">
        <f>IFERROR(__xludf.DUMMYFUNCTION("if($K325="""","""",iferror(join("" &amp; "",filter(Schedule!$AE:$AE&amp;""-""&amp;Schedule!$AF:$AF,Schedule!$L:$L=$K325,(Schedule!$K:$K=$L325)+(Schedule!$K:$K=""""),Schedule!$AE:$AE&lt;&gt;"""")),""""))"),"")</f>
        <v/>
      </c>
      <c r="S325" s="53"/>
    </row>
    <row r="326">
      <c r="A326" s="389" t="str">
        <f>C322</f>
        <v>Urbano Mesa</v>
      </c>
      <c r="B326" s="389" t="str">
        <f>I322</f>
        <v/>
      </c>
      <c r="C326" s="100">
        <v>3.0</v>
      </c>
      <c r="D326" s="390" t="str">
        <f>IFERROR(__xludf.DUMMYFUNCTION("if($A326="""","""",iferror(join("" &amp; "",filter(Schedule!$V:$V&amp;""-""&amp;Schedule!$W:$W,Schedule!$L:$L=$A326,(Schedule!$K:$K=$B326)+(Schedule!$K:$K=""""),Schedule!$V:$V&lt;&gt;"""")),""""))"),"")</f>
        <v/>
      </c>
      <c r="E326" s="398" t="str">
        <f>IFERROR(__xludf.DUMMYFUNCTION("if($A326="""","""",iferror(join("" &amp; "",filter(Schedule!$AK:$AK&amp;""-""&amp;Schedule!$AL:$AL,Schedule!$L:$L=$A326,(Schedule!$K:$K=$B326)+(Schedule!$K:$K=""""),Schedule!$AK:$AK&lt;&gt;"""")),""""))"),"PE 12-6")</f>
        <v>PE 12-6</v>
      </c>
      <c r="F326" s="390" t="str">
        <f>IFERROR(__xludf.DUMMYFUNCTION("if($A326="""","""",iferror(join("" &amp; "",filter(Schedule!$AB:$AB&amp;""-""&amp;Schedule!$AC:$AC,Schedule!$L:$L=$A326,(Schedule!$K:$K=$B326)+(Schedule!$K:$K=""""),Schedule!$AB:$AB&lt;&gt;"""")),""""))"),"PE 12-4")</f>
        <v>PE 12-4</v>
      </c>
      <c r="G326" s="390" t="str">
        <f>IFERROR(__xludf.DUMMYFUNCTION("if($A326="""","""",iferror(join("" &amp; "",filter(Schedule!$S:$S&amp;""-""&amp;Schedule!$T:$T,Schedule!$L:$L=$A326,(Schedule!$K:$K=$B326)+(Schedule!$K:$K=""""),Schedule!$S:$S&lt;&gt;"""")),""""))"),"PE 12-2")</f>
        <v>PE 12-2</v>
      </c>
      <c r="H326" s="395" t="str">
        <f>if($C322="","","X-Block")</f>
        <v>X-Block</v>
      </c>
      <c r="I326" s="53"/>
      <c r="J326" s="392"/>
      <c r="K326" s="389" t="str">
        <f>M322</f>
        <v/>
      </c>
      <c r="L326" s="389" t="str">
        <f>S322</f>
        <v/>
      </c>
      <c r="M326" s="100">
        <v>3.0</v>
      </c>
      <c r="N326" s="390" t="str">
        <f>IFERROR(__xludf.DUMMYFUNCTION("if($K326="""","""",iferror(join("" &amp; "",filter(Schedule!$V:$V&amp;""-""&amp;Schedule!$W:$W,Schedule!$L:$L=$K326,(Schedule!$K:$K=$L326)+(Schedule!$K:$K=""""),Schedule!$V:$V&lt;&gt;"""")),""""))"),"")</f>
        <v/>
      </c>
      <c r="O326" s="390" t="str">
        <f>IFERROR(__xludf.DUMMYFUNCTION("if($K326="""","""",iferror(join("" &amp; "",filter(Schedule!$AK:$AK&amp;""-""&amp;Schedule!$AL:$AL,Schedule!$L:$L=$K326,(Schedule!$K:$K=$L326)+(Schedule!$K:$K=""""),Schedule!$AK:$AK&lt;&gt;"""")),""""))"),"")</f>
        <v/>
      </c>
      <c r="P326" s="390" t="str">
        <f>IFERROR(__xludf.DUMMYFUNCTION("if($K326="""","""",iferror(join("" &amp; "",filter(Schedule!$AB:$AB&amp;""-""&amp;Schedule!$AC:$AC,Schedule!$L:$L=$K326,(Schedule!$K:$K=$L326)+(Schedule!$K:$K=""""),Schedule!$AB:$AB&lt;&gt;"""")),""""))"),"")</f>
        <v/>
      </c>
      <c r="Q326" s="390" t="str">
        <f>IFERROR(__xludf.DUMMYFUNCTION("if($K326="""","""",iferror(join("" &amp; "",filter(Schedule!$S:$S&amp;""-""&amp;Schedule!$T:$T,Schedule!$L:$L=$K326,(Schedule!$K:$K=$L326)+(Schedule!$K:$K=""""),Schedule!$S:$S&lt;&gt;"""")),""""))"),"")</f>
        <v/>
      </c>
      <c r="R326" s="395" t="str">
        <f>if($M322="","","X-Block")</f>
        <v/>
      </c>
      <c r="S326" s="53"/>
    </row>
    <row r="327">
      <c r="A327" s="389" t="str">
        <f>C322</f>
        <v>Urbano Mesa</v>
      </c>
      <c r="B327" s="389" t="str">
        <f>I322</f>
        <v/>
      </c>
      <c r="C327" s="100">
        <v>4.0</v>
      </c>
      <c r="D327" s="390" t="str">
        <f>IFERROR(__xludf.DUMMYFUNCTION("if($A327="""","""",iferror(join("" &amp; "",filter(Schedule!$Y:$Y&amp;""-""&amp;Schedule!$Z:$Z,Schedule!$L:$L=$A327,(Schedule!$K:$K=$B327)+(Schedule!$K:$K=""""),Schedule!$Y:$Y&lt;&gt;"""")),""""))"),"PE 12-3")</f>
        <v>PE 12-3</v>
      </c>
      <c r="E327" s="390" t="str">
        <f>IFERROR(__xludf.DUMMYFUNCTION("if($A327="""","""",iferror(join("" &amp; "",filter(Schedule!$P:$P&amp;""-""&amp;Schedule!$Q:$Q,Schedule!$L:$L=$A327,(Schedule!$K:$K=$B327)+(Schedule!$K:$K=""""),Schedule!$P:$P&lt;&gt;"""")),""""))"),"PE 12-1")</f>
        <v>PE 12-1</v>
      </c>
      <c r="F327" s="390" t="str">
        <f>IFERROR(__xludf.DUMMYFUNCTION("if($A327="""","""",iferror(join("" &amp; "",filter(Schedule!$AE:$AE&amp;""-""&amp;Schedule!$AF:$AF,Schedule!$L:$L=$A327,(Schedule!$K:$K=$B327)+(Schedule!$K:$K=""""),Schedule!$AE:$AE&lt;&gt;"""")),""""))"),"PE 12-5")</f>
        <v>PE 12-5</v>
      </c>
      <c r="G327" s="390" t="str">
        <f>IFERROR(__xludf.DUMMYFUNCTION("if($A327="""","""",iferror(join("" &amp; "",filter(Schedule!$V:$V&amp;""-""&amp;Schedule!$W:$W,Schedule!$L:$L=$A327,(Schedule!$K:$K=$B327)+(Schedule!$K:$K=""""),Schedule!$V:$V&lt;&gt;"""")),""""))"),"")</f>
        <v/>
      </c>
      <c r="H327" s="390" t="str">
        <f>IFERROR(__xludf.DUMMYFUNCTION("if($A327="""","""",iferror(join("" &amp; "",filter(Schedule!$AH:$AH&amp;""-""&amp;Schedule!$AI:$AI,Schedule!$L:$L=$A327,(Schedule!$K:$K=$B327)+(Schedule!$K:$K=""""),Schedule!$AH:$AH&lt;&gt;"""")),""""))"),"")</f>
        <v/>
      </c>
      <c r="I327" s="53"/>
      <c r="J327" s="392"/>
      <c r="K327" s="389" t="str">
        <f>M322</f>
        <v/>
      </c>
      <c r="L327" s="389" t="str">
        <f>S322</f>
        <v/>
      </c>
      <c r="M327" s="100">
        <v>4.0</v>
      </c>
      <c r="N327" s="390" t="str">
        <f>IFERROR(__xludf.DUMMYFUNCTION("if($K327="""","""",iferror(join("" &amp; "",filter(Schedule!$Y:$Y&amp;""-""&amp;Schedule!$Z:$Z,Schedule!$L:$L=$K327,(Schedule!$K:$K=$L327)+(Schedule!$K:$K=""""),Schedule!$Y:$Y&lt;&gt;"""")),""""))"),"")</f>
        <v/>
      </c>
      <c r="O327" s="390" t="str">
        <f>IFERROR(__xludf.DUMMYFUNCTION("if($K327="""","""",iferror(join("" &amp; "",filter(Schedule!$P:$P&amp;""-""&amp;Schedule!$Q:$Q,Schedule!$L:$L=$K327,(Schedule!$K:$K=$L327)+(Schedule!$K:$K=""""),Schedule!$P:$P&lt;&gt;"""")),""""))"),"")</f>
        <v/>
      </c>
      <c r="P327" s="390" t="str">
        <f>IFERROR(__xludf.DUMMYFUNCTION("if($K327="""","""",iferror(join("" &amp; "",filter(Schedule!$AE:$AE&amp;""-""&amp;Schedule!$AF:$AF,Schedule!$L:$L=$K327,(Schedule!$K:$K=$L327)+(Schedule!$K:$K=""""),Schedule!$AE:$AE&lt;&gt;"""")),""""))"),"")</f>
        <v/>
      </c>
      <c r="Q327" s="390" t="str">
        <f>IFERROR(__xludf.DUMMYFUNCTION("if($K327="""","""",iferror(join("" &amp; "",filter(Schedule!$V:$V&amp;""-""&amp;Schedule!$W:$W,Schedule!$L:$L=$K327,(Schedule!$K:$K=$L327)+(Schedule!$K:$K=""""),Schedule!$V:$V&lt;&gt;"""")),""""))"),"")</f>
        <v/>
      </c>
      <c r="R327" s="390" t="str">
        <f>IFERROR(__xludf.DUMMYFUNCTION("if($K327="""","""",iferror(join("" &amp; "",filter(Schedule!$AH:$AH&amp;""-""&amp;Schedule!$AI:$AI,Schedule!$L:$L=$K327,(Schedule!$K:$K=$L327)+(Schedule!$K:$K=""""),Schedule!$AH:$AH&lt;&gt;"""")),""""))"),"")</f>
        <v/>
      </c>
      <c r="S327" s="53"/>
    </row>
    <row r="328">
      <c r="A328" s="389" t="str">
        <f>C322</f>
        <v>Urbano Mesa</v>
      </c>
      <c r="B328" s="389" t="str">
        <f>I322</f>
        <v/>
      </c>
      <c r="C328" s="100">
        <v>5.0</v>
      </c>
      <c r="D328" s="390" t="str">
        <f>IFERROR(__xludf.DUMMYFUNCTION("if($A328="""","""",iferror(join("" &amp; "",filter(Schedule!$AB:$AB&amp;""-""&amp;Schedule!$AC:$AC,Schedule!$L:$L=$A328,(Schedule!$K:$K=$B328)+(Schedule!$K:$K=""""),Schedule!$AB:$AB&lt;&gt;"""")),""""))"),"PE 12-4")</f>
        <v>PE 12-4</v>
      </c>
      <c r="E328" s="390" t="str">
        <f>IFERROR(__xludf.DUMMYFUNCTION("if($A328="""","""",iferror(join("" &amp; "",filter(Schedule!$S:$S&amp;""-""&amp;Schedule!$T:$T,Schedule!$L:$L=$A328,(Schedule!$K:$K=$B328)+(Schedule!$K:$K=""""),Schedule!$S:$S&lt;&gt;"""")),""""))"),"PE 12-2")</f>
        <v>PE 12-2</v>
      </c>
      <c r="F328" s="390" t="str">
        <f>IFERROR(__xludf.DUMMYFUNCTION("if($A328="""","""",iferror(join("" &amp; "",filter(Schedule!$AH:$AH&amp;""-""&amp;Schedule!$AI:$AI,Schedule!$L:$L=$A328,(Schedule!$K:$K=$B328)+(Schedule!$K:$K=""""),Schedule!$AH:$AH&lt;&gt;"""")),""""))"),"")</f>
        <v/>
      </c>
      <c r="G328" s="390" t="str">
        <f>IFERROR(__xludf.DUMMYFUNCTION("if($A328="""","""",iferror(join("" &amp; "",filter(Schedule!$Y:$Y&amp;""-""&amp;Schedule!$Z:$Z,Schedule!$L:$L=$A328,(Schedule!$K:$K=$B328)+(Schedule!$K:$K=""""),Schedule!$Y:$Y&lt;&gt;"""")),""""))"),"PE 12-3")</f>
        <v>PE 12-3</v>
      </c>
      <c r="H328" s="390" t="str">
        <f>IFERROR(__xludf.DUMMYFUNCTION("if($A328="""","""",iferror(join("" &amp; "",filter(Schedule!$AK:$AK&amp;""-""&amp;Schedule!$AL:$AL,Schedule!$L:$L=$A328,(Schedule!$K:$K=$B328)+(Schedule!$K:$K=""""),Schedule!$AK:$AK&lt;&gt;"""")),""""))"),"PE 12-6")</f>
        <v>PE 12-6</v>
      </c>
      <c r="I328" s="68"/>
      <c r="J328" s="392"/>
      <c r="K328" s="389" t="str">
        <f>M322</f>
        <v/>
      </c>
      <c r="L328" s="389" t="str">
        <f>S322</f>
        <v/>
      </c>
      <c r="M328" s="100">
        <v>5.0</v>
      </c>
      <c r="N328" s="390" t="str">
        <f>IFERROR(__xludf.DUMMYFUNCTION("if($K328="""","""",iferror(join("" &amp; "",filter(Schedule!$AB:$AB&amp;""-""&amp;Schedule!$AC:$AC,Schedule!$L:$L=$K328,(Schedule!$K:$K=$L328)+(Schedule!$K:$K=""""),Schedule!$AB:$AB&lt;&gt;"""")),""""))"),"")</f>
        <v/>
      </c>
      <c r="O328" s="390" t="str">
        <f>IFERROR(__xludf.DUMMYFUNCTION("if($K328="""","""",iferror(join("" &amp; "",filter(Schedule!$S:$S&amp;""-""&amp;Schedule!$T:$T,Schedule!$L:$L=$K328,(Schedule!$K:$K=$L328)+(Schedule!$K:$K=""""),Schedule!$S:$S&lt;&gt;"""")),""""))"),"")</f>
        <v/>
      </c>
      <c r="P328" s="390" t="str">
        <f>IFERROR(__xludf.DUMMYFUNCTION("if($K328="""","""",iferror(join("" &amp; "",filter(Schedule!$AH:$AH&amp;""-""&amp;Schedule!$AI:$AI,Schedule!$L:$L=$K328,(Schedule!$K:$K=$L328)+(Schedule!$K:$K=""""),Schedule!$AH:$AH&lt;&gt;"""")),""""))"),"")</f>
        <v/>
      </c>
      <c r="Q328" s="390" t="str">
        <f>IFERROR(__xludf.DUMMYFUNCTION("if($K328="""","""",iferror(join("" &amp; "",filter(Schedule!$Y:$Y&amp;""-""&amp;Schedule!$Z:$Z,Schedule!$L:$L=$K328,(Schedule!$K:$K=$L328)+(Schedule!$K:$K=""""),Schedule!$Y:$Y&lt;&gt;"""")),""""))"),"")</f>
        <v/>
      </c>
      <c r="R328" s="390" t="str">
        <f>IFERROR(__xludf.DUMMYFUNCTION("if($K328="""","""",iferror(join("" &amp; "",filter(Schedule!$AK:$AK&amp;""-""&amp;Schedule!$AL:$AL,Schedule!$L:$L=$K328,(Schedule!$K:$K=$L328)+(Schedule!$K:$K=""""),Schedule!$AK:$AK&lt;&gt;"""")),""""))"),"")</f>
        <v/>
      </c>
      <c r="S328" s="68"/>
    </row>
    <row r="329">
      <c r="A329" s="389"/>
      <c r="B329" s="389"/>
      <c r="C329" s="275"/>
      <c r="D329" s="396"/>
      <c r="E329" s="396"/>
      <c r="F329" s="396"/>
      <c r="G329" s="396"/>
      <c r="H329" s="396"/>
      <c r="I329" s="392"/>
      <c r="J329" s="392"/>
      <c r="K329" s="389"/>
      <c r="L329" s="389"/>
      <c r="M329" s="275"/>
      <c r="N329" s="396"/>
      <c r="O329" s="396"/>
      <c r="P329" s="396"/>
      <c r="Q329" s="396"/>
      <c r="R329" s="396"/>
      <c r="S329" s="392"/>
      <c r="T329" s="393"/>
    </row>
    <row r="330">
      <c r="C330" s="386" t="str">
        <f>Teachers!A42</f>
        <v>Valentina Zuluaga</v>
      </c>
      <c r="D330" s="383"/>
      <c r="E330" s="383"/>
      <c r="F330" s="383"/>
      <c r="G330" s="383"/>
      <c r="H330" s="384"/>
      <c r="I330" s="385" t="str">
        <f>IFERROR(__xludf.DUMMYFUNCTION("if(C330="""","""", iferror(filter(Schedule!$K:$K,Schedule!$L:$L=$C330,Schedule!$K:$K=""S1""),unique(filter(Schedule!$K:$K,Schedule!$L:$L=$C330,Schedule!$K:$K=""""))))"),"")</f>
        <v/>
      </c>
      <c r="M330" s="386" t="str">
        <f>if(S330="","",C330)</f>
        <v/>
      </c>
      <c r="N330" s="383"/>
      <c r="O330" s="383"/>
      <c r="P330" s="383"/>
      <c r="Q330" s="383"/>
      <c r="R330" s="384"/>
      <c r="S330" s="385" t="str">
        <f>if(I330="S1","S2","")</f>
        <v/>
      </c>
    </row>
    <row r="331">
      <c r="C331" s="100" t="s">
        <v>7</v>
      </c>
      <c r="D331" s="387" t="s">
        <v>8</v>
      </c>
      <c r="E331" s="387" t="s">
        <v>9</v>
      </c>
      <c r="F331" s="387" t="s">
        <v>10</v>
      </c>
      <c r="G331" s="387" t="s">
        <v>11</v>
      </c>
      <c r="H331" s="387" t="s">
        <v>12</v>
      </c>
      <c r="I331" s="21" t="s">
        <v>766</v>
      </c>
      <c r="J331" s="116"/>
      <c r="K331" s="116"/>
      <c r="L331" s="116"/>
      <c r="M331" s="100" t="s">
        <v>7</v>
      </c>
      <c r="N331" s="387" t="s">
        <v>8</v>
      </c>
      <c r="O331" s="387" t="s">
        <v>9</v>
      </c>
      <c r="P331" s="387" t="s">
        <v>10</v>
      </c>
      <c r="Q331" s="387" t="s">
        <v>11</v>
      </c>
      <c r="R331" s="387" t="s">
        <v>12</v>
      </c>
      <c r="S331" s="21" t="s">
        <v>766</v>
      </c>
    </row>
    <row r="332">
      <c r="A332" s="389" t="str">
        <f>C330</f>
        <v>Valentina Zuluaga</v>
      </c>
      <c r="B332" s="389" t="str">
        <f>I330</f>
        <v/>
      </c>
      <c r="C332" s="100">
        <v>1.0</v>
      </c>
      <c r="D332" s="390" t="str">
        <f>IFERROR(__xludf.DUMMYFUNCTION("if($A332="""","""",iferror(join("" &amp; "",filter(Schedule!$P:$P&amp;""-""&amp;Schedule!$Q:$Q,Schedule!$L:$L=$A332,(Schedule!$K:$K=$B332)+(Schedule!$K:$K=""""),Schedule!$P:$P&lt;&gt;"""")),""""))"),"")</f>
        <v/>
      </c>
      <c r="E332" s="390" t="str">
        <f>IFERROR(__xludf.DUMMYFUNCTION("if($A332="""","""",iferror(join("" &amp; "",filter(Schedule!$AE:$AE&amp;""-""&amp;Schedule!$AF:$AF,Schedule!$L:$L=$A332,(Schedule!$K:$K=$B332)+(Schedule!$K:$K=""""),Schedule!$AE:$AE&lt;&gt;"""")),""""))"),"Biology 9-4")</f>
        <v>Biology 9-4</v>
      </c>
      <c r="F332" s="390" t="str">
        <f>IFERROR(__xludf.DUMMYFUNCTION("if($A332="""","""",iferror(join("" &amp; "",filter(Schedule!$V:$V&amp;""-""&amp;Schedule!$W:$W,Schedule!$L:$L=$A332,(Schedule!$K:$K=$B332)+(Schedule!$K:$K=""""),Schedule!$V:$V&lt;&gt;"""")),""""))"),"Biology 9-2")</f>
        <v>Biology 9-2</v>
      </c>
      <c r="G332" s="390" t="str">
        <f>IFERROR(__xludf.DUMMYFUNCTION("if($A332="""","""",iferror(join("" &amp; "",filter(Schedule!$AK:$AK&amp;""-""&amp;Schedule!$AL:$AL,Schedule!$L:$L=$A332,(Schedule!$K:$K=$B332)+(Schedule!$K:$K=""""),Schedule!$AK:$AK&lt;&gt;"""")),""""))"),"Anatomy and Physiology-2")</f>
        <v>Anatomy and Physiology-2</v>
      </c>
      <c r="H332" s="390" t="str">
        <f>IFERROR(__xludf.DUMMYFUNCTION("if($A332="""","""",iferror(join("" &amp; "",filter(Schedule!$AB:$AB&amp;""-""&amp;Schedule!$AC:$AC,Schedule!$L:$L=$A332,(Schedule!$K:$K=$B332)+(Schedule!$K:$K=""""),Schedule!$AB:$AB&lt;&gt;"""")),""""))"),"Biology 9-3")</f>
        <v>Biology 9-3</v>
      </c>
      <c r="I332" s="391">
        <f>if(C330="","", 24-countifs(D332:H336,""))</f>
        <v>15</v>
      </c>
      <c r="J332" s="392"/>
      <c r="K332" s="389" t="str">
        <f>M330</f>
        <v/>
      </c>
      <c r="L332" s="389" t="str">
        <f>S330</f>
        <v/>
      </c>
      <c r="M332" s="100">
        <v>1.0</v>
      </c>
      <c r="N332" s="390" t="str">
        <f>IFERROR(__xludf.DUMMYFUNCTION("if($K332="""","""",iferror(join("" &amp; "",filter(Schedule!$P:$P&amp;""-""&amp;Schedule!$Q:$Q,Schedule!$L:$L=$K332,(Schedule!$K:$K=$L332)+(Schedule!$K:$K=""""),Schedule!$P:$P&lt;&gt;"""")),""""))"),"")</f>
        <v/>
      </c>
      <c r="O332" s="390" t="str">
        <f>IFERROR(__xludf.DUMMYFUNCTION("if($K332="""","""",iferror(join("" &amp; "",filter(Schedule!$AE:$AE&amp;""-""&amp;Schedule!$AF:$AF,Schedule!$L:$L=$K332,(Schedule!$K:$K=$L332)+(Schedule!$K:$K=""""),Schedule!$AE:$AE&lt;&gt;"""")),""""))"),"")</f>
        <v/>
      </c>
      <c r="P332" s="390" t="str">
        <f>IFERROR(__xludf.DUMMYFUNCTION("if($K332="""","""",iferror(join("" &amp; "",filter(Schedule!$V:$V&amp;""-""&amp;Schedule!$W:$W,Schedule!$L:$L=$K332,(Schedule!$K:$K=$L332)+(Schedule!$K:$K=""""),Schedule!$V:$V&lt;&gt;"""")),""""))"),"")</f>
        <v/>
      </c>
      <c r="Q332" s="390" t="str">
        <f>IFERROR(__xludf.DUMMYFUNCTION("if($K332="""","""",iferror(join("" &amp; "",filter(Schedule!$AK:$AK&amp;""-""&amp;Schedule!$AL:$AL,Schedule!$L:$L=$K332,(Schedule!$K:$K=$L332)+(Schedule!$K:$K=""""),Schedule!$AK:$AK&lt;&gt;"""")),""""))"),"")</f>
        <v/>
      </c>
      <c r="R332" s="390" t="str">
        <f>IFERROR(__xludf.DUMMYFUNCTION("if($K332="""","""",iferror(join("" &amp; "",filter(Schedule!$AB:$AB&amp;""-""&amp;Schedule!$AC:$AC,Schedule!$L:$L=$K332,(Schedule!$K:$K=$L332)+(Schedule!$K:$K=""""),Schedule!$AB:$AB&lt;&gt;"""")),""""))"),"")</f>
        <v/>
      </c>
      <c r="S332" s="391" t="str">
        <f>if(K332="","", 24-countifs(N332:R336,""))</f>
        <v/>
      </c>
    </row>
    <row r="333">
      <c r="A333" s="389" t="str">
        <f>C330</f>
        <v>Valentina Zuluaga</v>
      </c>
      <c r="B333" s="389" t="str">
        <f>I330</f>
        <v/>
      </c>
      <c r="C333" s="100">
        <v>2.0</v>
      </c>
      <c r="D333" s="390" t="str">
        <f>IFERROR(__xludf.DUMMYFUNCTION("if($A333="""","""",iferror(join("" &amp; "",filter(Schedule!$S:$S&amp;""-""&amp;Schedule!$T:$T,Schedule!$L:$L=$A333,(Schedule!$K:$K=$B333)+(Schedule!$K:$K=""""),Schedule!$S:$S&lt;&gt;"""")),""""))"),"Biology 9-1")</f>
        <v>Biology 9-1</v>
      </c>
      <c r="E333" s="390" t="str">
        <f>IFERROR(__xludf.DUMMYFUNCTION("if($A333="""","""",iferror(join("" &amp; "",filter(Schedule!$AH:$AH&amp;""-""&amp;Schedule!$AI:$AI,Schedule!$L:$L=$A333,(Schedule!$K:$K=$B333)+(Schedule!$K:$K=""""),Schedule!$AH:$AH&lt;&gt;"""")),""""))"),"")</f>
        <v/>
      </c>
      <c r="F333" s="390" t="str">
        <f>IFERROR(__xludf.DUMMYFUNCTION("if($A333="""","""",iferror(join("" &amp; "",filter(Schedule!$Y:$Y&amp;""-""&amp;Schedule!$Z:$Z,Schedule!$L:$L=$A333,(Schedule!$K:$K=$B333)+(Schedule!$K:$K=""""),Schedule!$Y:$Y&lt;&gt;"""")),""""))"),"")</f>
        <v/>
      </c>
      <c r="G333" s="390" t="str">
        <f>IFERROR(__xludf.DUMMYFUNCTION("if($A333="""","""",iferror(join("" &amp; "",filter(Schedule!$P:$P&amp;""-""&amp;Schedule!$Q:$Q,Schedule!$L:$L=$A333,(Schedule!$K:$K=$B333)+(Schedule!$K:$K=""""),Schedule!$P:$P&lt;&gt;"""")),""""))"),"")</f>
        <v/>
      </c>
      <c r="H333" s="390" t="str">
        <f>IFERROR(__xludf.DUMMYFUNCTION("if($A333="""","""",iferror(join("" &amp; "",filter(Schedule!$AE:$AE&amp;""-""&amp;Schedule!$AF:$AF,Schedule!$L:$L=$A333,(Schedule!$K:$K=$B333)+(Schedule!$K:$K=""""),Schedule!$AE:$AE&lt;&gt;"""")),""""))"),"Biology 9-4")</f>
        <v>Biology 9-4</v>
      </c>
      <c r="I333" s="53"/>
      <c r="J333" s="392"/>
      <c r="K333" s="389" t="str">
        <f>M330</f>
        <v/>
      </c>
      <c r="L333" s="389" t="str">
        <f>S330</f>
        <v/>
      </c>
      <c r="M333" s="100">
        <v>2.0</v>
      </c>
      <c r="N333" s="390" t="str">
        <f>IFERROR(__xludf.DUMMYFUNCTION("if($K333="""","""",iferror(join("" &amp; "",filter(Schedule!$S:$S&amp;""-""&amp;Schedule!$T:$T,Schedule!$L:$L=$K333,(Schedule!$K:$K=$L333)+(Schedule!$K:$K=""""),Schedule!$S:$S&lt;&gt;"""")),""""))"),"")</f>
        <v/>
      </c>
      <c r="O333" s="390" t="str">
        <f>IFERROR(__xludf.DUMMYFUNCTION("if($K333="""","""",iferror(join("" &amp; "",filter(Schedule!$AH:$AH&amp;""-""&amp;Schedule!$AI:$AI,Schedule!$L:$L=$K333,(Schedule!$K:$K=$L333)+(Schedule!$K:$K=""""),Schedule!$AH:$AH&lt;&gt;"""")),""""))"),"")</f>
        <v/>
      </c>
      <c r="P333" s="390" t="str">
        <f>IFERROR(__xludf.DUMMYFUNCTION("if($K333="""","""",iferror(join("" &amp; "",filter(Schedule!$Y:$Y&amp;""-""&amp;Schedule!$Z:$Z,Schedule!$L:$L=$K333,(Schedule!$K:$K=$L333)+(Schedule!$K:$K=""""),Schedule!$Y:$Y&lt;&gt;"""")),""""))"),"")</f>
        <v/>
      </c>
      <c r="Q333" s="390" t="str">
        <f>IFERROR(__xludf.DUMMYFUNCTION("if($K333="""","""",iferror(join("" &amp; "",filter(Schedule!$P:$P&amp;""-""&amp;Schedule!$Q:$Q,Schedule!$L:$L=$K333,(Schedule!$K:$K=$L333)+(Schedule!$K:$K=""""),Schedule!$P:$P&lt;&gt;"""")),""""))"),"")</f>
        <v/>
      </c>
      <c r="R333" s="390" t="str">
        <f>IFERROR(__xludf.DUMMYFUNCTION("if($K333="""","""",iferror(join("" &amp; "",filter(Schedule!$AE:$AE&amp;""-""&amp;Schedule!$AF:$AF,Schedule!$L:$L=$K333,(Schedule!$K:$K=$L333)+(Schedule!$K:$K=""""),Schedule!$AE:$AE&lt;&gt;"""")),""""))"),"")</f>
        <v/>
      </c>
      <c r="S333" s="53"/>
    </row>
    <row r="334">
      <c r="A334" s="389" t="str">
        <f>C330</f>
        <v>Valentina Zuluaga</v>
      </c>
      <c r="B334" s="389" t="str">
        <f>I330</f>
        <v/>
      </c>
      <c r="C334" s="100">
        <v>3.0</v>
      </c>
      <c r="D334" s="390" t="str">
        <f>IFERROR(__xludf.DUMMYFUNCTION("if($A334="""","""",iferror(join("" &amp; "",filter(Schedule!$V:$V&amp;""-""&amp;Schedule!$W:$W,Schedule!$L:$L=$A334,(Schedule!$K:$K=$B334)+(Schedule!$K:$K=""""),Schedule!$V:$V&lt;&gt;"""")),""""))"),"Biology 9-2")</f>
        <v>Biology 9-2</v>
      </c>
      <c r="E334" s="390" t="str">
        <f>IFERROR(__xludf.DUMMYFUNCTION("if($A334="""","""",iferror(join("" &amp; "",filter(Schedule!$AK:$AK&amp;""-""&amp;Schedule!$AL:$AL,Schedule!$L:$L=$A334,(Schedule!$K:$K=$B334)+(Schedule!$K:$K=""""),Schedule!$AK:$AK&lt;&gt;"""")),""""))"),"Anatomy and Physiology-2")</f>
        <v>Anatomy and Physiology-2</v>
      </c>
      <c r="F334" s="390" t="str">
        <f>IFERROR(__xludf.DUMMYFUNCTION("if($A334="""","""",iferror(join("" &amp; "",filter(Schedule!$AB:$AB&amp;""-""&amp;Schedule!$AC:$AC,Schedule!$L:$L=$A334,(Schedule!$K:$K=$B334)+(Schedule!$K:$K=""""),Schedule!$AB:$AB&lt;&gt;"""")),""""))"),"Biology 9-3")</f>
        <v>Biology 9-3</v>
      </c>
      <c r="G334" s="390" t="str">
        <f>IFERROR(__xludf.DUMMYFUNCTION("if($A334="""","""",iferror(join("" &amp; "",filter(Schedule!$S:$S&amp;""-""&amp;Schedule!$T:$T,Schedule!$L:$L=$A334,(Schedule!$K:$K=$B334)+(Schedule!$K:$K=""""),Schedule!$S:$S&lt;&gt;"""")),""""))"),"Biology 9-1")</f>
        <v>Biology 9-1</v>
      </c>
      <c r="H334" s="395" t="str">
        <f>if($C330="","","X-Block")</f>
        <v>X-Block</v>
      </c>
      <c r="I334" s="53"/>
      <c r="J334" s="392"/>
      <c r="K334" s="389" t="str">
        <f>M330</f>
        <v/>
      </c>
      <c r="L334" s="389" t="str">
        <f>S330</f>
        <v/>
      </c>
      <c r="M334" s="100">
        <v>3.0</v>
      </c>
      <c r="N334" s="390" t="str">
        <f>IFERROR(__xludf.DUMMYFUNCTION("if($K334="""","""",iferror(join("" &amp; "",filter(Schedule!$V:$V&amp;""-""&amp;Schedule!$W:$W,Schedule!$L:$L=$K334,(Schedule!$K:$K=$L334)+(Schedule!$K:$K=""""),Schedule!$V:$V&lt;&gt;"""")),""""))"),"")</f>
        <v/>
      </c>
      <c r="O334" s="390" t="str">
        <f>IFERROR(__xludf.DUMMYFUNCTION("if($K334="""","""",iferror(join("" &amp; "",filter(Schedule!$AK:$AK&amp;""-""&amp;Schedule!$AL:$AL,Schedule!$L:$L=$K334,(Schedule!$K:$K=$L334)+(Schedule!$K:$K=""""),Schedule!$AK:$AK&lt;&gt;"""")),""""))"),"")</f>
        <v/>
      </c>
      <c r="P334" s="390" t="str">
        <f>IFERROR(__xludf.DUMMYFUNCTION("if($K334="""","""",iferror(join("" &amp; "",filter(Schedule!$AB:$AB&amp;""-""&amp;Schedule!$AC:$AC,Schedule!$L:$L=$K334,(Schedule!$K:$K=$L334)+(Schedule!$K:$K=""""),Schedule!$AB:$AB&lt;&gt;"""")),""""))"),"")</f>
        <v/>
      </c>
      <c r="Q334" s="390" t="str">
        <f>IFERROR(__xludf.DUMMYFUNCTION("if($K334="""","""",iferror(join("" &amp; "",filter(Schedule!$S:$S&amp;""-""&amp;Schedule!$T:$T,Schedule!$L:$L=$K334,(Schedule!$K:$K=$L334)+(Schedule!$K:$K=""""),Schedule!$S:$S&lt;&gt;"""")),""""))"),"")</f>
        <v/>
      </c>
      <c r="R334" s="395" t="str">
        <f>if($M330="","","X-Block")</f>
        <v/>
      </c>
      <c r="S334" s="53"/>
    </row>
    <row r="335">
      <c r="A335" s="389" t="str">
        <f>C330</f>
        <v>Valentina Zuluaga</v>
      </c>
      <c r="B335" s="389" t="str">
        <f>I330</f>
        <v/>
      </c>
      <c r="C335" s="100">
        <v>4.0</v>
      </c>
      <c r="D335" s="390" t="str">
        <f>IFERROR(__xludf.DUMMYFUNCTION("if($A335="""","""",iferror(join("" &amp; "",filter(Schedule!$Y:$Y&amp;""-""&amp;Schedule!$Z:$Z,Schedule!$L:$L=$A335,(Schedule!$K:$K=$B335)+(Schedule!$K:$K=""""),Schedule!$Y:$Y&lt;&gt;"""")),""""))"),"")</f>
        <v/>
      </c>
      <c r="E335" s="390" t="str">
        <f>IFERROR(__xludf.DUMMYFUNCTION("if($A335="""","""",iferror(join("" &amp; "",filter(Schedule!$P:$P&amp;""-""&amp;Schedule!$Q:$Q,Schedule!$L:$L=$A335,(Schedule!$K:$K=$B335)+(Schedule!$K:$K=""""),Schedule!$P:$P&lt;&gt;"""")),""""))"),"")</f>
        <v/>
      </c>
      <c r="F335" s="390" t="str">
        <f>IFERROR(__xludf.DUMMYFUNCTION("if($A335="""","""",iferror(join("" &amp; "",filter(Schedule!$AE:$AE&amp;""-""&amp;Schedule!$AF:$AF,Schedule!$L:$L=$A335,(Schedule!$K:$K=$B335)+(Schedule!$K:$K=""""),Schedule!$AE:$AE&lt;&gt;"""")),""""))"),"Biology 9-4")</f>
        <v>Biology 9-4</v>
      </c>
      <c r="G335" s="390" t="str">
        <f>IFERROR(__xludf.DUMMYFUNCTION("if($A335="""","""",iferror(join("" &amp; "",filter(Schedule!$V:$V&amp;""-""&amp;Schedule!$W:$W,Schedule!$L:$L=$A335,(Schedule!$K:$K=$B335)+(Schedule!$K:$K=""""),Schedule!$V:$V&lt;&gt;"""")),""""))"),"Biology 9-2")</f>
        <v>Biology 9-2</v>
      </c>
      <c r="H335" s="390" t="str">
        <f>IFERROR(__xludf.DUMMYFUNCTION("if($A335="""","""",iferror(join("" &amp; "",filter(Schedule!$AH:$AH&amp;""-""&amp;Schedule!$AI:$AI,Schedule!$L:$L=$A335,(Schedule!$K:$K=$B335)+(Schedule!$K:$K=""""),Schedule!$AH:$AH&lt;&gt;"""")),""""))"),"")</f>
        <v/>
      </c>
      <c r="I335" s="53"/>
      <c r="J335" s="392"/>
      <c r="K335" s="389" t="str">
        <f>M330</f>
        <v/>
      </c>
      <c r="L335" s="389" t="str">
        <f>S330</f>
        <v/>
      </c>
      <c r="M335" s="100">
        <v>4.0</v>
      </c>
      <c r="N335" s="390" t="str">
        <f>IFERROR(__xludf.DUMMYFUNCTION("if($K335="""","""",iferror(join("" &amp; "",filter(Schedule!$Y:$Y&amp;""-""&amp;Schedule!$Z:$Z,Schedule!$L:$L=$K335,(Schedule!$K:$K=$L335)+(Schedule!$K:$K=""""),Schedule!$Y:$Y&lt;&gt;"""")),""""))"),"")</f>
        <v/>
      </c>
      <c r="O335" s="390" t="str">
        <f>IFERROR(__xludf.DUMMYFUNCTION("if($K335="""","""",iferror(join("" &amp; "",filter(Schedule!$P:$P&amp;""-""&amp;Schedule!$Q:$Q,Schedule!$L:$L=$K335,(Schedule!$K:$K=$L335)+(Schedule!$K:$K=""""),Schedule!$P:$P&lt;&gt;"""")),""""))"),"")</f>
        <v/>
      </c>
      <c r="P335" s="390" t="str">
        <f>IFERROR(__xludf.DUMMYFUNCTION("if($K335="""","""",iferror(join("" &amp; "",filter(Schedule!$AE:$AE&amp;""-""&amp;Schedule!$AF:$AF,Schedule!$L:$L=$K335,(Schedule!$K:$K=$L335)+(Schedule!$K:$K=""""),Schedule!$AE:$AE&lt;&gt;"""")),""""))"),"")</f>
        <v/>
      </c>
      <c r="Q335" s="390" t="str">
        <f>IFERROR(__xludf.DUMMYFUNCTION("if($K335="""","""",iferror(join("" &amp; "",filter(Schedule!$V:$V&amp;""-""&amp;Schedule!$W:$W,Schedule!$L:$L=$K335,(Schedule!$K:$K=$L335)+(Schedule!$K:$K=""""),Schedule!$V:$V&lt;&gt;"""")),""""))"),"")</f>
        <v/>
      </c>
      <c r="R335" s="390" t="str">
        <f>IFERROR(__xludf.DUMMYFUNCTION("if($K335="""","""",iferror(join("" &amp; "",filter(Schedule!$AH:$AH&amp;""-""&amp;Schedule!$AI:$AI,Schedule!$L:$L=$K335,(Schedule!$K:$K=$L335)+(Schedule!$K:$K=""""),Schedule!$AH:$AH&lt;&gt;"""")),""""))"),"")</f>
        <v/>
      </c>
      <c r="S335" s="53"/>
    </row>
    <row r="336">
      <c r="A336" s="389" t="str">
        <f>C330</f>
        <v>Valentina Zuluaga</v>
      </c>
      <c r="B336" s="389" t="str">
        <f>I330</f>
        <v/>
      </c>
      <c r="C336" s="100">
        <v>5.0</v>
      </c>
      <c r="D336" s="390" t="str">
        <f>IFERROR(__xludf.DUMMYFUNCTION("if($A336="""","""",iferror(join("" &amp; "",filter(Schedule!$AB:$AB&amp;""-""&amp;Schedule!$AC:$AC,Schedule!$L:$L=$A336,(Schedule!$K:$K=$B336)+(Schedule!$K:$K=""""),Schedule!$AB:$AB&lt;&gt;"""")),""""))"),"Biology 9-3")</f>
        <v>Biology 9-3</v>
      </c>
      <c r="E336" s="390" t="str">
        <f>IFERROR(__xludf.DUMMYFUNCTION("if($A336="""","""",iferror(join("" &amp; "",filter(Schedule!$S:$S&amp;""-""&amp;Schedule!$T:$T,Schedule!$L:$L=$A336,(Schedule!$K:$K=$B336)+(Schedule!$K:$K=""""),Schedule!$S:$S&lt;&gt;"""")),""""))"),"Biology 9-1")</f>
        <v>Biology 9-1</v>
      </c>
      <c r="F336" s="390" t="str">
        <f>IFERROR(__xludf.DUMMYFUNCTION("if($A336="""","""",iferror(join("" &amp; "",filter(Schedule!$AH:$AH&amp;""-""&amp;Schedule!$AI:$AI,Schedule!$L:$L=$A336,(Schedule!$K:$K=$B336)+(Schedule!$K:$K=""""),Schedule!$AH:$AH&lt;&gt;"""")),""""))"),"")</f>
        <v/>
      </c>
      <c r="G336" s="390" t="str">
        <f>IFERROR(__xludf.DUMMYFUNCTION("if($A336="""","""",iferror(join("" &amp; "",filter(Schedule!$Y:$Y&amp;""-""&amp;Schedule!$Z:$Z,Schedule!$L:$L=$A336,(Schedule!$K:$K=$B336)+(Schedule!$K:$K=""""),Schedule!$Y:$Y&lt;&gt;"""")),""""))"),"")</f>
        <v/>
      </c>
      <c r="H336" s="390" t="str">
        <f>IFERROR(__xludf.DUMMYFUNCTION("if($A336="""","""",iferror(join("" &amp; "",filter(Schedule!$AK:$AK&amp;""-""&amp;Schedule!$AL:$AL,Schedule!$L:$L=$A336,(Schedule!$K:$K=$B336)+(Schedule!$K:$K=""""),Schedule!$AK:$AK&lt;&gt;"""")),""""))"),"Anatomy and Physiology-2")</f>
        <v>Anatomy and Physiology-2</v>
      </c>
      <c r="I336" s="68"/>
      <c r="J336" s="392"/>
      <c r="K336" s="389" t="str">
        <f>M330</f>
        <v/>
      </c>
      <c r="L336" s="389" t="str">
        <f>S330</f>
        <v/>
      </c>
      <c r="M336" s="100">
        <v>5.0</v>
      </c>
      <c r="N336" s="390" t="str">
        <f>IFERROR(__xludf.DUMMYFUNCTION("if($K336="""","""",iferror(join("" &amp; "",filter(Schedule!$AB:$AB&amp;""-""&amp;Schedule!$AC:$AC,Schedule!$L:$L=$K336,(Schedule!$K:$K=$L336)+(Schedule!$K:$K=""""),Schedule!$AB:$AB&lt;&gt;"""")),""""))"),"")</f>
        <v/>
      </c>
      <c r="O336" s="390" t="str">
        <f>IFERROR(__xludf.DUMMYFUNCTION("if($K336="""","""",iferror(join("" &amp; "",filter(Schedule!$S:$S&amp;""-""&amp;Schedule!$T:$T,Schedule!$L:$L=$K336,(Schedule!$K:$K=$L336)+(Schedule!$K:$K=""""),Schedule!$S:$S&lt;&gt;"""")),""""))"),"")</f>
        <v/>
      </c>
      <c r="P336" s="390" t="str">
        <f>IFERROR(__xludf.DUMMYFUNCTION("if($K336="""","""",iferror(join("" &amp; "",filter(Schedule!$AH:$AH&amp;""-""&amp;Schedule!$AI:$AI,Schedule!$L:$L=$K336,(Schedule!$K:$K=$L336)+(Schedule!$K:$K=""""),Schedule!$AH:$AH&lt;&gt;"""")),""""))"),"")</f>
        <v/>
      </c>
      <c r="Q336" s="390" t="str">
        <f>IFERROR(__xludf.DUMMYFUNCTION("if($K336="""","""",iferror(join("" &amp; "",filter(Schedule!$Y:$Y&amp;""-""&amp;Schedule!$Z:$Z,Schedule!$L:$L=$K336,(Schedule!$K:$K=$L336)+(Schedule!$K:$K=""""),Schedule!$Y:$Y&lt;&gt;"""")),""""))"),"")</f>
        <v/>
      </c>
      <c r="R336" s="390" t="str">
        <f>IFERROR(__xludf.DUMMYFUNCTION("if($K336="""","""",iferror(join("" &amp; "",filter(Schedule!$AK:$AK&amp;""-""&amp;Schedule!$AL:$AL,Schedule!$L:$L=$K336,(Schedule!$K:$K=$L336)+(Schedule!$K:$K=""""),Schedule!$AK:$AK&lt;&gt;"""")),""""))"),"")</f>
        <v/>
      </c>
      <c r="S336" s="68"/>
    </row>
    <row r="337">
      <c r="A337" s="389"/>
      <c r="B337" s="389"/>
      <c r="C337" s="275"/>
      <c r="D337" s="396"/>
      <c r="E337" s="396"/>
      <c r="F337" s="396"/>
      <c r="G337" s="396"/>
      <c r="H337" s="396"/>
      <c r="I337" s="392"/>
      <c r="J337" s="392"/>
      <c r="K337" s="389"/>
      <c r="L337" s="389"/>
      <c r="M337" s="275"/>
      <c r="N337" s="396"/>
      <c r="O337" s="396"/>
      <c r="P337" s="396"/>
      <c r="Q337" s="396"/>
      <c r="R337" s="396"/>
      <c r="S337" s="392"/>
      <c r="T337" s="393"/>
    </row>
    <row r="338">
      <c r="C338" s="386" t="str">
        <f>Teachers!A43</f>
        <v/>
      </c>
      <c r="D338" s="383"/>
      <c r="E338" s="383"/>
      <c r="F338" s="383"/>
      <c r="G338" s="383"/>
      <c r="H338" s="384"/>
      <c r="I338" s="385" t="str">
        <f>IFERROR(__xludf.DUMMYFUNCTION("if(C338="""","""", iferror(filter(Schedule!$K:$K,Schedule!$L:$L=$C338,Schedule!$K:$K=""S1""),unique(filter(Schedule!$K:$K,Schedule!$L:$L=$C338,Schedule!$K:$K=""""))))"),"")</f>
        <v/>
      </c>
      <c r="M338" s="386" t="str">
        <f>if(S338="","",C338)</f>
        <v/>
      </c>
      <c r="N338" s="383"/>
      <c r="O338" s="383"/>
      <c r="P338" s="383"/>
      <c r="Q338" s="383"/>
      <c r="R338" s="384"/>
      <c r="S338" s="385" t="str">
        <f>if(I338="S1","S2","")</f>
        <v/>
      </c>
    </row>
    <row r="339">
      <c r="C339" s="100" t="s">
        <v>7</v>
      </c>
      <c r="D339" s="387" t="s">
        <v>8</v>
      </c>
      <c r="E339" s="387" t="s">
        <v>9</v>
      </c>
      <c r="F339" s="387" t="s">
        <v>10</v>
      </c>
      <c r="G339" s="387" t="s">
        <v>11</v>
      </c>
      <c r="H339" s="387" t="s">
        <v>12</v>
      </c>
      <c r="I339" s="21" t="s">
        <v>766</v>
      </c>
      <c r="J339" s="116"/>
      <c r="K339" s="116"/>
      <c r="L339" s="116"/>
      <c r="M339" s="100" t="s">
        <v>7</v>
      </c>
      <c r="N339" s="387" t="s">
        <v>8</v>
      </c>
      <c r="O339" s="387" t="s">
        <v>9</v>
      </c>
      <c r="P339" s="387" t="s">
        <v>10</v>
      </c>
      <c r="Q339" s="387" t="s">
        <v>11</v>
      </c>
      <c r="R339" s="387" t="s">
        <v>12</v>
      </c>
      <c r="S339" s="21" t="s">
        <v>766</v>
      </c>
    </row>
    <row r="340">
      <c r="A340" s="389" t="str">
        <f>C338</f>
        <v/>
      </c>
      <c r="B340" s="389" t="str">
        <f>I338</f>
        <v/>
      </c>
      <c r="C340" s="100">
        <v>1.0</v>
      </c>
      <c r="D340" s="390" t="str">
        <f>IFERROR(__xludf.DUMMYFUNCTION("if($A340="""","""",iferror(join("" &amp; "",filter(Schedule!$P:$P&amp;""-""&amp;Schedule!$Q:$Q,Schedule!$L:$L=$A340,(Schedule!$K:$K=$B340)+(Schedule!$K:$K=""""),Schedule!$P:$P&lt;&gt;"""")),""""))"),"")</f>
        <v/>
      </c>
      <c r="E340" s="390" t="str">
        <f>IFERROR(__xludf.DUMMYFUNCTION("if($A340="""","""",iferror(join("" &amp; "",filter(Schedule!$AE:$AE&amp;""-""&amp;Schedule!$AF:$AF,Schedule!$L:$L=$A340,(Schedule!$K:$K=$B340)+(Schedule!$K:$K=""""),Schedule!$AE:$AE&lt;&gt;"""")),""""))"),"")</f>
        <v/>
      </c>
      <c r="F340" s="390" t="str">
        <f>IFERROR(__xludf.DUMMYFUNCTION("if($A340="""","""",iferror(join("" &amp; "",filter(Schedule!$V:$V&amp;""-""&amp;Schedule!$W:$W,Schedule!$L:$L=$A340,(Schedule!$K:$K=$B340)+(Schedule!$K:$K=""""),Schedule!$V:$V&lt;&gt;"""")),""""))"),"")</f>
        <v/>
      </c>
      <c r="G340" s="390" t="str">
        <f>IFERROR(__xludf.DUMMYFUNCTION("if($A340="""","""",iferror(join("" &amp; "",filter(Schedule!$AK:$AK&amp;""-""&amp;Schedule!$AL:$AL,Schedule!$L:$L=$A340,(Schedule!$K:$K=$B340)+(Schedule!$K:$K=""""),Schedule!$AK:$AK&lt;&gt;"""")),""""))"),"")</f>
        <v/>
      </c>
      <c r="H340" s="390" t="str">
        <f>IFERROR(__xludf.DUMMYFUNCTION("if($A340="""","""",iferror(join("" &amp; "",filter(Schedule!$AB:$AB&amp;""-""&amp;Schedule!$AC:$AC,Schedule!$L:$L=$A340,(Schedule!$K:$K=$B340)+(Schedule!$K:$K=""""),Schedule!$AB:$AB&lt;&gt;"""")),""""))"),"")</f>
        <v/>
      </c>
      <c r="I340" s="391" t="str">
        <f>if(C338="","", 24-countifs(D340:H344,""))</f>
        <v/>
      </c>
      <c r="J340" s="392"/>
      <c r="K340" s="389" t="str">
        <f>M338</f>
        <v/>
      </c>
      <c r="L340" s="389" t="str">
        <f>S338</f>
        <v/>
      </c>
      <c r="M340" s="100">
        <v>1.0</v>
      </c>
      <c r="N340" s="390" t="str">
        <f>IFERROR(__xludf.DUMMYFUNCTION("if($K340="""","""",iferror(join("" &amp; "",filter(Schedule!$P:$P&amp;""-""&amp;Schedule!$Q:$Q,Schedule!$L:$L=$K340,(Schedule!$K:$K=$L340)+(Schedule!$K:$K=""""),Schedule!$P:$P&lt;&gt;"""")),""""))"),"")</f>
        <v/>
      </c>
      <c r="O340" s="390" t="str">
        <f>IFERROR(__xludf.DUMMYFUNCTION("if($K340="""","""",iferror(join("" &amp; "",filter(Schedule!$AE:$AE&amp;""-""&amp;Schedule!$AF:$AF,Schedule!$L:$L=$K340,(Schedule!$K:$K=$L340)+(Schedule!$K:$K=""""),Schedule!$AE:$AE&lt;&gt;"""")),""""))"),"")</f>
        <v/>
      </c>
      <c r="P340" s="390" t="str">
        <f>IFERROR(__xludf.DUMMYFUNCTION("if($K340="""","""",iferror(join("" &amp; "",filter(Schedule!$V:$V&amp;""-""&amp;Schedule!$W:$W,Schedule!$L:$L=$K340,(Schedule!$K:$K=$L340)+(Schedule!$K:$K=""""),Schedule!$V:$V&lt;&gt;"""")),""""))"),"")</f>
        <v/>
      </c>
      <c r="Q340" s="390" t="str">
        <f>IFERROR(__xludf.DUMMYFUNCTION("if($K340="""","""",iferror(join("" &amp; "",filter(Schedule!$AK:$AK&amp;""-""&amp;Schedule!$AL:$AL,Schedule!$L:$L=$K340,(Schedule!$K:$K=$L340)+(Schedule!$K:$K=""""),Schedule!$AK:$AK&lt;&gt;"""")),""""))"),"")</f>
        <v/>
      </c>
      <c r="R340" s="390" t="str">
        <f>IFERROR(__xludf.DUMMYFUNCTION("if($K340="""","""",iferror(join("" &amp; "",filter(Schedule!$AB:$AB&amp;""-""&amp;Schedule!$AC:$AC,Schedule!$L:$L=$K340,(Schedule!$K:$K=$L340)+(Schedule!$K:$K=""""),Schedule!$AB:$AB&lt;&gt;"""")),""""))"),"")</f>
        <v/>
      </c>
      <c r="S340" s="391" t="str">
        <f>if(K340="","", 24-countifs(N340:R344,""))</f>
        <v/>
      </c>
    </row>
    <row r="341">
      <c r="A341" s="389" t="str">
        <f>C338</f>
        <v/>
      </c>
      <c r="B341" s="389" t="str">
        <f>I338</f>
        <v/>
      </c>
      <c r="C341" s="100">
        <v>2.0</v>
      </c>
      <c r="D341" s="390" t="str">
        <f>IFERROR(__xludf.DUMMYFUNCTION("if($A341="""","""",iferror(join("" &amp; "",filter(Schedule!$S:$S&amp;""-""&amp;Schedule!$T:$T,Schedule!$L:$L=$A341,(Schedule!$K:$K=$B341)+(Schedule!$K:$K=""""),Schedule!$S:$S&lt;&gt;"""")),""""))"),"")</f>
        <v/>
      </c>
      <c r="E341" s="390" t="str">
        <f>IFERROR(__xludf.DUMMYFUNCTION("if($A341="""","""",iferror(join("" &amp; "",filter(Schedule!$AH:$AH&amp;""-""&amp;Schedule!$AI:$AI,Schedule!$L:$L=$A341,(Schedule!$K:$K=$B341)+(Schedule!$K:$K=""""),Schedule!$AH:$AH&lt;&gt;"""")),""""))"),"")</f>
        <v/>
      </c>
      <c r="F341" s="390" t="str">
        <f>IFERROR(__xludf.DUMMYFUNCTION("if($A341="""","""",iferror(join("" &amp; "",filter(Schedule!$Y:$Y&amp;""-""&amp;Schedule!$Z:$Z,Schedule!$L:$L=$A341,(Schedule!$K:$K=$B341)+(Schedule!$K:$K=""""),Schedule!$Y:$Y&lt;&gt;"""")),""""))"),"")</f>
        <v/>
      </c>
      <c r="G341" s="390" t="str">
        <f>IFERROR(__xludf.DUMMYFUNCTION("if($A341="""","""",iferror(join("" &amp; "",filter(Schedule!$P:$P&amp;""-""&amp;Schedule!$Q:$Q,Schedule!$L:$L=$A341,(Schedule!$K:$K=$B341)+(Schedule!$K:$K=""""),Schedule!$P:$P&lt;&gt;"""")),""""))"),"")</f>
        <v/>
      </c>
      <c r="H341" s="390" t="str">
        <f>IFERROR(__xludf.DUMMYFUNCTION("if($A341="""","""",iferror(join("" &amp; "",filter(Schedule!$AE:$AE&amp;""-""&amp;Schedule!$AF:$AF,Schedule!$L:$L=$A341,(Schedule!$K:$K=$B341)+(Schedule!$K:$K=""""),Schedule!$AE:$AE&lt;&gt;"""")),""""))"),"")</f>
        <v/>
      </c>
      <c r="I341" s="53"/>
      <c r="J341" s="392"/>
      <c r="K341" s="389" t="str">
        <f>M338</f>
        <v/>
      </c>
      <c r="L341" s="389" t="str">
        <f>S338</f>
        <v/>
      </c>
      <c r="M341" s="100">
        <v>2.0</v>
      </c>
      <c r="N341" s="390" t="str">
        <f>IFERROR(__xludf.DUMMYFUNCTION("if($K341="""","""",iferror(join("" &amp; "",filter(Schedule!$S:$S&amp;""-""&amp;Schedule!$T:$T,Schedule!$L:$L=$K341,(Schedule!$K:$K=$L341)+(Schedule!$K:$K=""""),Schedule!$S:$S&lt;&gt;"""")),""""))"),"")</f>
        <v/>
      </c>
      <c r="O341" s="390" t="str">
        <f>IFERROR(__xludf.DUMMYFUNCTION("if($K341="""","""",iferror(join("" &amp; "",filter(Schedule!$AH:$AH&amp;""-""&amp;Schedule!$AI:$AI,Schedule!$L:$L=$K341,(Schedule!$K:$K=$L341)+(Schedule!$K:$K=""""),Schedule!$AH:$AH&lt;&gt;"""")),""""))"),"")</f>
        <v/>
      </c>
      <c r="P341" s="390" t="str">
        <f>IFERROR(__xludf.DUMMYFUNCTION("if($K341="""","""",iferror(join("" &amp; "",filter(Schedule!$Y:$Y&amp;""-""&amp;Schedule!$Z:$Z,Schedule!$L:$L=$K341,(Schedule!$K:$K=$L341)+(Schedule!$K:$K=""""),Schedule!$Y:$Y&lt;&gt;"""")),""""))"),"")</f>
        <v/>
      </c>
      <c r="Q341" s="390" t="str">
        <f>IFERROR(__xludf.DUMMYFUNCTION("if($K341="""","""",iferror(join("" &amp; "",filter(Schedule!$P:$P&amp;""-""&amp;Schedule!$Q:$Q,Schedule!$L:$L=$K341,(Schedule!$K:$K=$L341)+(Schedule!$K:$K=""""),Schedule!$P:$P&lt;&gt;"""")),""""))"),"")</f>
        <v/>
      </c>
      <c r="R341" s="390" t="str">
        <f>IFERROR(__xludf.DUMMYFUNCTION("if($K341="""","""",iferror(join("" &amp; "",filter(Schedule!$AE:$AE&amp;""-""&amp;Schedule!$AF:$AF,Schedule!$L:$L=$K341,(Schedule!$K:$K=$L341)+(Schedule!$K:$K=""""),Schedule!$AE:$AE&lt;&gt;"""")),""""))"),"")</f>
        <v/>
      </c>
      <c r="S341" s="53"/>
    </row>
    <row r="342">
      <c r="A342" s="389" t="str">
        <f>C338</f>
        <v/>
      </c>
      <c r="B342" s="389" t="str">
        <f>I338</f>
        <v/>
      </c>
      <c r="C342" s="100">
        <v>3.0</v>
      </c>
      <c r="D342" s="390" t="str">
        <f>IFERROR(__xludf.DUMMYFUNCTION("if($A342="""","""",iferror(join("" &amp; "",filter(Schedule!$V:$V&amp;""-""&amp;Schedule!$W:$W,Schedule!$L:$L=$A342,(Schedule!$K:$K=$B342)+(Schedule!$K:$K=""""),Schedule!$V:$V&lt;&gt;"""")),""""))"),"")</f>
        <v/>
      </c>
      <c r="E342" s="390" t="str">
        <f>IFERROR(__xludf.DUMMYFUNCTION("if($A342="""","""",iferror(join("" &amp; "",filter(Schedule!$AK:$AK&amp;""-""&amp;Schedule!$AL:$AL,Schedule!$L:$L=$A342,(Schedule!$K:$K=$B342)+(Schedule!$K:$K=""""),Schedule!$AK:$AK&lt;&gt;"""")),""""))"),"")</f>
        <v/>
      </c>
      <c r="F342" s="390" t="str">
        <f>IFERROR(__xludf.DUMMYFUNCTION("if($A342="""","""",iferror(join("" &amp; "",filter(Schedule!$AB:$AB&amp;""-""&amp;Schedule!$AC:$AC,Schedule!$L:$L=$A342,(Schedule!$K:$K=$B342)+(Schedule!$K:$K=""""),Schedule!$AB:$AB&lt;&gt;"""")),""""))"),"")</f>
        <v/>
      </c>
      <c r="G342" s="390" t="str">
        <f>IFERROR(__xludf.DUMMYFUNCTION("if($A342="""","""",iferror(join("" &amp; "",filter(Schedule!$S:$S&amp;""-""&amp;Schedule!$T:$T,Schedule!$L:$L=$A342,(Schedule!$K:$K=$B342)+(Schedule!$K:$K=""""),Schedule!$S:$S&lt;&gt;"""")),""""))"),"")</f>
        <v/>
      </c>
      <c r="H342" s="395" t="str">
        <f>if($C338="","","X-Block")</f>
        <v/>
      </c>
      <c r="I342" s="53"/>
      <c r="J342" s="392"/>
      <c r="K342" s="389" t="str">
        <f>M338</f>
        <v/>
      </c>
      <c r="L342" s="389" t="str">
        <f>S338</f>
        <v/>
      </c>
      <c r="M342" s="100">
        <v>3.0</v>
      </c>
      <c r="N342" s="390" t="str">
        <f>IFERROR(__xludf.DUMMYFUNCTION("if($K342="""","""",iferror(join("" &amp; "",filter(Schedule!$V:$V&amp;""-""&amp;Schedule!$W:$W,Schedule!$L:$L=$K342,(Schedule!$K:$K=$L342)+(Schedule!$K:$K=""""),Schedule!$V:$V&lt;&gt;"""")),""""))"),"")</f>
        <v/>
      </c>
      <c r="O342" s="390" t="str">
        <f>IFERROR(__xludf.DUMMYFUNCTION("if($K342="""","""",iferror(join("" &amp; "",filter(Schedule!$AK:$AK&amp;""-""&amp;Schedule!$AL:$AL,Schedule!$L:$L=$K342,(Schedule!$K:$K=$L342)+(Schedule!$K:$K=""""),Schedule!$AK:$AK&lt;&gt;"""")),""""))"),"")</f>
        <v/>
      </c>
      <c r="P342" s="390" t="str">
        <f>IFERROR(__xludf.DUMMYFUNCTION("if($K342="""","""",iferror(join("" &amp; "",filter(Schedule!$AB:$AB&amp;""-""&amp;Schedule!$AC:$AC,Schedule!$L:$L=$K342,(Schedule!$K:$K=$L342)+(Schedule!$K:$K=""""),Schedule!$AB:$AB&lt;&gt;"""")),""""))"),"")</f>
        <v/>
      </c>
      <c r="Q342" s="390" t="str">
        <f>IFERROR(__xludf.DUMMYFUNCTION("if($K342="""","""",iferror(join("" &amp; "",filter(Schedule!$S:$S&amp;""-""&amp;Schedule!$T:$T,Schedule!$L:$L=$K342,(Schedule!$K:$K=$L342)+(Schedule!$K:$K=""""),Schedule!$S:$S&lt;&gt;"""")),""""))"),"")</f>
        <v/>
      </c>
      <c r="R342" s="395" t="str">
        <f>if($M338="","","X-Block")</f>
        <v/>
      </c>
      <c r="S342" s="53"/>
    </row>
    <row r="343">
      <c r="A343" s="389" t="str">
        <f>C338</f>
        <v/>
      </c>
      <c r="B343" s="389" t="str">
        <f>I338</f>
        <v/>
      </c>
      <c r="C343" s="100">
        <v>4.0</v>
      </c>
      <c r="D343" s="390" t="str">
        <f>IFERROR(__xludf.DUMMYFUNCTION("if($A343="""","""",iferror(join("" &amp; "",filter(Schedule!$Y:$Y&amp;""-""&amp;Schedule!$Z:$Z,Schedule!$L:$L=$A343,(Schedule!$K:$K=$B343)+(Schedule!$K:$K=""""),Schedule!$Y:$Y&lt;&gt;"""")),""""))"),"")</f>
        <v/>
      </c>
      <c r="E343" s="390" t="str">
        <f>IFERROR(__xludf.DUMMYFUNCTION("if($A343="""","""",iferror(join("" &amp; "",filter(Schedule!$P:$P&amp;""-""&amp;Schedule!$Q:$Q,Schedule!$L:$L=$A343,(Schedule!$K:$K=$B343)+(Schedule!$K:$K=""""),Schedule!$P:$P&lt;&gt;"""")),""""))"),"")</f>
        <v/>
      </c>
      <c r="F343" s="390" t="str">
        <f>IFERROR(__xludf.DUMMYFUNCTION("if($A343="""","""",iferror(join("" &amp; "",filter(Schedule!$AE:$AE&amp;""-""&amp;Schedule!$AF:$AF,Schedule!$L:$L=$A343,(Schedule!$K:$K=$B343)+(Schedule!$K:$K=""""),Schedule!$AE:$AE&lt;&gt;"""")),""""))"),"")</f>
        <v/>
      </c>
      <c r="G343" s="390" t="str">
        <f>IFERROR(__xludf.DUMMYFUNCTION("if($A343="""","""",iferror(join("" &amp; "",filter(Schedule!$V:$V&amp;""-""&amp;Schedule!$W:$W,Schedule!$L:$L=$A343,(Schedule!$K:$K=$B343)+(Schedule!$K:$K=""""),Schedule!$V:$V&lt;&gt;"""")),""""))"),"")</f>
        <v/>
      </c>
      <c r="H343" s="390" t="str">
        <f>IFERROR(__xludf.DUMMYFUNCTION("if($A343="""","""",iferror(join("" &amp; "",filter(Schedule!$AH:$AH&amp;""-""&amp;Schedule!$AI:$AI,Schedule!$L:$L=$A343,(Schedule!$K:$K=$B343)+(Schedule!$K:$K=""""),Schedule!$AH:$AH&lt;&gt;"""")),""""))"),"")</f>
        <v/>
      </c>
      <c r="I343" s="53"/>
      <c r="J343" s="392"/>
      <c r="K343" s="389" t="str">
        <f>M338</f>
        <v/>
      </c>
      <c r="L343" s="389" t="str">
        <f>S338</f>
        <v/>
      </c>
      <c r="M343" s="100">
        <v>4.0</v>
      </c>
      <c r="N343" s="390" t="str">
        <f>IFERROR(__xludf.DUMMYFUNCTION("if($K343="""","""",iferror(join("" &amp; "",filter(Schedule!$Y:$Y&amp;""-""&amp;Schedule!$Z:$Z,Schedule!$L:$L=$K343,(Schedule!$K:$K=$L343)+(Schedule!$K:$K=""""),Schedule!$Y:$Y&lt;&gt;"""")),""""))"),"")</f>
        <v/>
      </c>
      <c r="O343" s="390" t="str">
        <f>IFERROR(__xludf.DUMMYFUNCTION("if($K343="""","""",iferror(join("" &amp; "",filter(Schedule!$P:$P&amp;""-""&amp;Schedule!$Q:$Q,Schedule!$L:$L=$K343,(Schedule!$K:$K=$L343)+(Schedule!$K:$K=""""),Schedule!$P:$P&lt;&gt;"""")),""""))"),"")</f>
        <v/>
      </c>
      <c r="P343" s="390" t="str">
        <f>IFERROR(__xludf.DUMMYFUNCTION("if($K343="""","""",iferror(join("" &amp; "",filter(Schedule!$AE:$AE&amp;""-""&amp;Schedule!$AF:$AF,Schedule!$L:$L=$K343,(Schedule!$K:$K=$L343)+(Schedule!$K:$K=""""),Schedule!$AE:$AE&lt;&gt;"""")),""""))"),"")</f>
        <v/>
      </c>
      <c r="Q343" s="390" t="str">
        <f>IFERROR(__xludf.DUMMYFUNCTION("if($K343="""","""",iferror(join("" &amp; "",filter(Schedule!$V:$V&amp;""-""&amp;Schedule!$W:$W,Schedule!$L:$L=$K343,(Schedule!$K:$K=$L343)+(Schedule!$K:$K=""""),Schedule!$V:$V&lt;&gt;"""")),""""))"),"")</f>
        <v/>
      </c>
      <c r="R343" s="390" t="str">
        <f>IFERROR(__xludf.DUMMYFUNCTION("if($K343="""","""",iferror(join("" &amp; "",filter(Schedule!$AH:$AH&amp;""-""&amp;Schedule!$AI:$AI,Schedule!$L:$L=$K343,(Schedule!$K:$K=$L343)+(Schedule!$K:$K=""""),Schedule!$AH:$AH&lt;&gt;"""")),""""))"),"")</f>
        <v/>
      </c>
      <c r="S343" s="53"/>
    </row>
    <row r="344">
      <c r="A344" s="389" t="str">
        <f>C338</f>
        <v/>
      </c>
      <c r="B344" s="389" t="str">
        <f>I338</f>
        <v/>
      </c>
      <c r="C344" s="100">
        <v>5.0</v>
      </c>
      <c r="D344" s="390" t="str">
        <f>IFERROR(__xludf.DUMMYFUNCTION("if($A344="""","""",iferror(join("" &amp; "",filter(Schedule!$AB:$AB&amp;""-""&amp;Schedule!$AC:$AC,Schedule!$L:$L=$A344,(Schedule!$K:$K=$B344)+(Schedule!$K:$K=""""),Schedule!$AB:$AB&lt;&gt;"""")),""""))"),"")</f>
        <v/>
      </c>
      <c r="E344" s="390" t="str">
        <f>IFERROR(__xludf.DUMMYFUNCTION("if($A344="""","""",iferror(join("" &amp; "",filter(Schedule!$S:$S&amp;""-""&amp;Schedule!$T:$T,Schedule!$L:$L=$A344,(Schedule!$K:$K=$B344)+(Schedule!$K:$K=""""),Schedule!$S:$S&lt;&gt;"""")),""""))"),"")</f>
        <v/>
      </c>
      <c r="F344" s="390" t="str">
        <f>IFERROR(__xludf.DUMMYFUNCTION("if($A344="""","""",iferror(join("" &amp; "",filter(Schedule!$AH:$AH&amp;""-""&amp;Schedule!$AI:$AI,Schedule!$L:$L=$A344,(Schedule!$K:$K=$B344)+(Schedule!$K:$K=""""),Schedule!$AH:$AH&lt;&gt;"""")),""""))"),"")</f>
        <v/>
      </c>
      <c r="G344" s="390" t="str">
        <f>IFERROR(__xludf.DUMMYFUNCTION("if($A344="""","""",iferror(join("" &amp; "",filter(Schedule!$Y:$Y&amp;""-""&amp;Schedule!$Z:$Z,Schedule!$L:$L=$A344,(Schedule!$K:$K=$B344)+(Schedule!$K:$K=""""),Schedule!$Y:$Y&lt;&gt;"""")),""""))"),"")</f>
        <v/>
      </c>
      <c r="H344" s="390" t="str">
        <f>IFERROR(__xludf.DUMMYFUNCTION("if($A344="""","""",iferror(join("" &amp; "",filter(Schedule!$AK:$AK&amp;""-""&amp;Schedule!$AL:$AL,Schedule!$L:$L=$A344,(Schedule!$K:$K=$B344)+(Schedule!$K:$K=""""),Schedule!$AK:$AK&lt;&gt;"""")),""""))"),"")</f>
        <v/>
      </c>
      <c r="I344" s="68"/>
      <c r="J344" s="392"/>
      <c r="K344" s="389" t="str">
        <f>M338</f>
        <v/>
      </c>
      <c r="L344" s="389" t="str">
        <f>S338</f>
        <v/>
      </c>
      <c r="M344" s="100">
        <v>5.0</v>
      </c>
      <c r="N344" s="390" t="str">
        <f>IFERROR(__xludf.DUMMYFUNCTION("if($K344="""","""",iferror(join("" &amp; "",filter(Schedule!$AB:$AB&amp;""-""&amp;Schedule!$AC:$AC,Schedule!$L:$L=$K344,(Schedule!$K:$K=$L344)+(Schedule!$K:$K=""""),Schedule!$AB:$AB&lt;&gt;"""")),""""))"),"")</f>
        <v/>
      </c>
      <c r="O344" s="390" t="str">
        <f>IFERROR(__xludf.DUMMYFUNCTION("if($K344="""","""",iferror(join("" &amp; "",filter(Schedule!$S:$S&amp;""-""&amp;Schedule!$T:$T,Schedule!$L:$L=$K344,(Schedule!$K:$K=$L344)+(Schedule!$K:$K=""""),Schedule!$S:$S&lt;&gt;"""")),""""))"),"")</f>
        <v/>
      </c>
      <c r="P344" s="390" t="str">
        <f>IFERROR(__xludf.DUMMYFUNCTION("if($K344="""","""",iferror(join("" &amp; "",filter(Schedule!$AH:$AH&amp;""-""&amp;Schedule!$AI:$AI,Schedule!$L:$L=$K344,(Schedule!$K:$K=$L344)+(Schedule!$K:$K=""""),Schedule!$AH:$AH&lt;&gt;"""")),""""))"),"")</f>
        <v/>
      </c>
      <c r="Q344" s="390" t="str">
        <f>IFERROR(__xludf.DUMMYFUNCTION("if($K344="""","""",iferror(join("" &amp; "",filter(Schedule!$Y:$Y&amp;""-""&amp;Schedule!$Z:$Z,Schedule!$L:$L=$K344,(Schedule!$K:$K=$L344)+(Schedule!$K:$K=""""),Schedule!$Y:$Y&lt;&gt;"""")),""""))"),"")</f>
        <v/>
      </c>
      <c r="R344" s="390" t="str">
        <f>IFERROR(__xludf.DUMMYFUNCTION("if($K344="""","""",iferror(join("" &amp; "",filter(Schedule!$AK:$AK&amp;""-""&amp;Schedule!$AL:$AL,Schedule!$L:$L=$K344,(Schedule!$K:$K=$L344)+(Schedule!$K:$K=""""),Schedule!$AK:$AK&lt;&gt;"""")),""""))"),"")</f>
        <v/>
      </c>
      <c r="S344" s="68"/>
    </row>
    <row r="345">
      <c r="A345" s="389"/>
      <c r="B345" s="389"/>
      <c r="C345" s="275"/>
      <c r="D345" s="396"/>
      <c r="E345" s="396"/>
      <c r="F345" s="396"/>
      <c r="G345" s="396"/>
      <c r="H345" s="396"/>
      <c r="I345" s="392"/>
      <c r="J345" s="392"/>
      <c r="K345" s="389"/>
      <c r="L345" s="389"/>
      <c r="M345" s="275"/>
      <c r="N345" s="396"/>
      <c r="O345" s="396"/>
      <c r="P345" s="396"/>
      <c r="Q345" s="396"/>
      <c r="R345" s="396"/>
      <c r="S345" s="392"/>
    </row>
  </sheetData>
  <mergeCells count="172">
    <mergeCell ref="I36:I40"/>
    <mergeCell ref="I44:I48"/>
    <mergeCell ref="I52:I56"/>
    <mergeCell ref="I60:I64"/>
    <mergeCell ref="I68:I72"/>
    <mergeCell ref="I76:I80"/>
    <mergeCell ref="I84:I88"/>
    <mergeCell ref="I92:I96"/>
    <mergeCell ref="I100:I104"/>
    <mergeCell ref="I108:I112"/>
    <mergeCell ref="I116:I120"/>
    <mergeCell ref="I124:I128"/>
    <mergeCell ref="I132:I136"/>
    <mergeCell ref="I140:I144"/>
    <mergeCell ref="I148:I152"/>
    <mergeCell ref="I156:I160"/>
    <mergeCell ref="I164:I168"/>
    <mergeCell ref="I172:I176"/>
    <mergeCell ref="I180:I184"/>
    <mergeCell ref="I188:I192"/>
    <mergeCell ref="I196:I200"/>
    <mergeCell ref="I204:I208"/>
    <mergeCell ref="I212:I216"/>
    <mergeCell ref="I220:I224"/>
    <mergeCell ref="I228:I232"/>
    <mergeCell ref="I236:I240"/>
    <mergeCell ref="I244:I248"/>
    <mergeCell ref="I252:I256"/>
    <mergeCell ref="I316:I320"/>
    <mergeCell ref="I324:I328"/>
    <mergeCell ref="I332:I336"/>
    <mergeCell ref="I340:I344"/>
    <mergeCell ref="I260:I264"/>
    <mergeCell ref="I268:I272"/>
    <mergeCell ref="I276:I280"/>
    <mergeCell ref="I284:I288"/>
    <mergeCell ref="I292:I296"/>
    <mergeCell ref="I300:I304"/>
    <mergeCell ref="I308:I312"/>
    <mergeCell ref="S68:S72"/>
    <mergeCell ref="S76:S80"/>
    <mergeCell ref="S84:S88"/>
    <mergeCell ref="S92:S96"/>
    <mergeCell ref="S100:S104"/>
    <mergeCell ref="S108:S112"/>
    <mergeCell ref="S116:S120"/>
    <mergeCell ref="S124:S128"/>
    <mergeCell ref="S132:S136"/>
    <mergeCell ref="S140:S144"/>
    <mergeCell ref="S148:S152"/>
    <mergeCell ref="S156:S160"/>
    <mergeCell ref="S164:S168"/>
    <mergeCell ref="S172:S176"/>
    <mergeCell ref="S180:S184"/>
    <mergeCell ref="S188:S192"/>
    <mergeCell ref="S196:S200"/>
    <mergeCell ref="S204:S208"/>
    <mergeCell ref="S212:S216"/>
    <mergeCell ref="S220:S224"/>
    <mergeCell ref="S228:S232"/>
    <mergeCell ref="S292:S296"/>
    <mergeCell ref="S300:S304"/>
    <mergeCell ref="S308:S312"/>
    <mergeCell ref="S316:S320"/>
    <mergeCell ref="S324:S328"/>
    <mergeCell ref="S332:S336"/>
    <mergeCell ref="S340:S344"/>
    <mergeCell ref="S236:S240"/>
    <mergeCell ref="S244:S248"/>
    <mergeCell ref="S252:S256"/>
    <mergeCell ref="S260:S264"/>
    <mergeCell ref="S268:S272"/>
    <mergeCell ref="S276:S280"/>
    <mergeCell ref="S284:S288"/>
    <mergeCell ref="C106:H106"/>
    <mergeCell ref="C114:H114"/>
    <mergeCell ref="C122:H122"/>
    <mergeCell ref="C130:H130"/>
    <mergeCell ref="C138:H138"/>
    <mergeCell ref="C146:H146"/>
    <mergeCell ref="C154:H154"/>
    <mergeCell ref="C162:H162"/>
    <mergeCell ref="C170:H170"/>
    <mergeCell ref="C178:H178"/>
    <mergeCell ref="C186:H186"/>
    <mergeCell ref="C194:H194"/>
    <mergeCell ref="C202:H202"/>
    <mergeCell ref="C210:H210"/>
    <mergeCell ref="C218:H218"/>
    <mergeCell ref="C226:H226"/>
    <mergeCell ref="C234:H234"/>
    <mergeCell ref="C242:H242"/>
    <mergeCell ref="C250:H250"/>
    <mergeCell ref="C258:H258"/>
    <mergeCell ref="C266:H266"/>
    <mergeCell ref="C330:H330"/>
    <mergeCell ref="C338:H338"/>
    <mergeCell ref="C274:H274"/>
    <mergeCell ref="C282:H282"/>
    <mergeCell ref="C290:H290"/>
    <mergeCell ref="C298:H298"/>
    <mergeCell ref="C306:H306"/>
    <mergeCell ref="C314:H314"/>
    <mergeCell ref="C322:H322"/>
    <mergeCell ref="M194:R194"/>
    <mergeCell ref="M202:R202"/>
    <mergeCell ref="M210:R210"/>
    <mergeCell ref="M218:R218"/>
    <mergeCell ref="M226:R226"/>
    <mergeCell ref="M234:R234"/>
    <mergeCell ref="M242:R242"/>
    <mergeCell ref="M306:R306"/>
    <mergeCell ref="M314:R314"/>
    <mergeCell ref="M322:R322"/>
    <mergeCell ref="M330:R330"/>
    <mergeCell ref="M338:R338"/>
    <mergeCell ref="M250:R250"/>
    <mergeCell ref="M258:R258"/>
    <mergeCell ref="M266:R266"/>
    <mergeCell ref="M274:R274"/>
    <mergeCell ref="M282:R282"/>
    <mergeCell ref="M290:R290"/>
    <mergeCell ref="M298:R298"/>
    <mergeCell ref="C2:H2"/>
    <mergeCell ref="M2:R2"/>
    <mergeCell ref="I4:I8"/>
    <mergeCell ref="S4:S8"/>
    <mergeCell ref="C10:H10"/>
    <mergeCell ref="M10:R10"/>
    <mergeCell ref="M18:R18"/>
    <mergeCell ref="S12:S16"/>
    <mergeCell ref="S20:S24"/>
    <mergeCell ref="M26:R26"/>
    <mergeCell ref="S28:S32"/>
    <mergeCell ref="M34:R34"/>
    <mergeCell ref="S36:S40"/>
    <mergeCell ref="M42:R42"/>
    <mergeCell ref="I12:I16"/>
    <mergeCell ref="C18:H18"/>
    <mergeCell ref="I20:I24"/>
    <mergeCell ref="C26:H26"/>
    <mergeCell ref="I28:I32"/>
    <mergeCell ref="C34:H34"/>
    <mergeCell ref="C42:H42"/>
    <mergeCell ref="S44:S48"/>
    <mergeCell ref="M50:R50"/>
    <mergeCell ref="S52:S56"/>
    <mergeCell ref="M58:R58"/>
    <mergeCell ref="S60:S64"/>
    <mergeCell ref="M66:R66"/>
    <mergeCell ref="M74:R74"/>
    <mergeCell ref="C50:H50"/>
    <mergeCell ref="C58:H58"/>
    <mergeCell ref="C66:H66"/>
    <mergeCell ref="C74:H74"/>
    <mergeCell ref="C82:H82"/>
    <mergeCell ref="C90:H90"/>
    <mergeCell ref="C98:H98"/>
    <mergeCell ref="M82:R82"/>
    <mergeCell ref="M90:R90"/>
    <mergeCell ref="M98:R98"/>
    <mergeCell ref="M106:R106"/>
    <mergeCell ref="M114:R114"/>
    <mergeCell ref="M122:R122"/>
    <mergeCell ref="M130:R130"/>
    <mergeCell ref="M138:R138"/>
    <mergeCell ref="M146:R146"/>
    <mergeCell ref="M154:R154"/>
    <mergeCell ref="M162:R162"/>
    <mergeCell ref="M170:R170"/>
    <mergeCell ref="M178:R178"/>
    <mergeCell ref="M186:R186"/>
  </mergeCells>
  <conditionalFormatting sqref="D4 N4 G5 Q5 E7 O7 D12 N12 G13 Q13 E15 O15 D20 N20 G21 Q21 E23 O23 D28 N28 G29 Q29 E31 O31 D36 N36 G37 Q37 E39 O39 D44 N44 G45 Q45 E47 O47 D52 N52 G53 Q53 E55 O55 D60 N60 G61 Q61 E63 O63 D68 N68 G69 Q69 E71 O71 D76 N76 G77 Q77 E79 O79 D84 N84 G85 Q85 E87 O87 D92 N92 G93 Q93 E95 O95 D100 N100 G101 Q101 E103 O103 D108 N108 G109 Q109 E111 O111 D116 N116 G117 Q117 E119 O119 D124 N124 G125 Q125 E127 O127 D132 N132 G133 Q133 E135 O135 D140 N140 G141 Q141 E143 O143 D148 N148 G149 Q149 E151 O151 D156 N156 G157 Q157 E159 O159 D164 N164 G165 Q165 E167 O167 D172 N172 G173 Q173 E175 O175 D180 N180 G181 Q181 E183 O183 D188 N188 G189 Q189 E191 O191 D196 N196 G197 Q197 E199 O199 D204 N204 G205 Q205 E207 O207 D212 N212 G213 Q213 E215 O215 D220 N220 G221 Q221 E223 O223 D228 N228 G229 Q229 E231 O231 D236 N236 G237 Q237 E239 O239 D244 N244 G245 Q245 E247 O247 D252 N252 G253 Q253 E255 O255 D260 N260 G261 Q261 E263 O263 D268 N268 G269 Q269 E271 O271 D276 N276 G277 Q277 E279 O279 D284 N284 G285 Q285 E287 O287 D292 N292 G293 Q293 E295 O295 D300 N300 G301 Q301 E303 O303 D308 N308 G309 Q309 E311 O311 D316 N316 G317 Q317 E319 O319 D324 N324 G325 Q325 E327 O327 D332 N332 G333 Q333 E335 O335 D340 N340 G341 Q341 E343 O343">
    <cfRule type="notContainsBlanks" dxfId="6" priority="1">
      <formula>LEN(TRIM(D4))&gt;0</formula>
    </cfRule>
  </conditionalFormatting>
  <conditionalFormatting sqref="E4 O4 H5 R5 F7 P7 E12 O12 H13 R13 F15 P15 E20 O20 H21 R21 F23 P23 E28 O28 H29 R29 F31 P31 E36 O36 H37 R37 F39 P39 E44 O44 H45 R45 F47 P47 E52 O52 H53 R53 F55 P55 E60 O60 H61 R61 F63 P63 E68 O68 H69 R69 F71 P71 E76 O76 H77 R77 F79 P79 E84 O84 H85 R85 F87 P87 E92 O92 H93 R93 F95 P95 E100 O100 H101 R101 F103 P103 E108 O108 H109 R109 F111 P111 E116 O116 H117 R117 F119 P119 E124 O124 H125 R125 F127 P127 E132 O132 H133 R133 F135 P135 E140 O140 H141 R141 F143 P143 E148 O148 H149 R149 F151 P151 E156 O156 H157 R157 F159 P159 E164 O164 H165 R165 F167 P167 E172 O172 H173 R173 F175 P175 E180 O180 H181 R181 F183 P183 E188 O188 H189 R189 F191 P191 E196 O196 H197 R197 F199 P199 E204 O204 H205 R205 F207 P207 E212 O212 H213 R213 F215 P215 E220 O220 H221 R221 F223 P223 E228 O228 H229 R229 F231 P231 E236 O236 H237 R237 F239 P239 E244 O244 H245 R245 F247 P247 E252 O252 H253 R253 F255 P255 E260 O260 H261 R261 F263 P263 E268 O268 H269 R269 F271 P271 E276 O276 H277 R277 F279 P279 E284 O284 H285 R285 F287 P287 E292 O292 H293 R293 F295 P295 E300 O300 H301 R301 F303 P303 E308 O308 H309 R309 F311 P311 E316 O316 H317 R317 F319 P319 E324 O324 H325 R325 F327 P327 E332 O332 H333 R333 F335 P335 E340 O340 H341 R341 F343 P343">
    <cfRule type="notContainsBlanks" dxfId="7" priority="2">
      <formula>LEN(TRIM(E4))&gt;0</formula>
    </cfRule>
  </conditionalFormatting>
  <conditionalFormatting sqref="D5 N5 G6 Q6 E8 O8 D13 N13 G14 Q14 E16 O16 D21 N21 G22 Q22 E24 O24 D29 N29 G30 Q30 E32 O32 D37 N37 G38 Q38 E40 O40 D45 N45 G46 Q46 E48 O48 D53 N53 G54 Q54 E56 O56 D61 N61 G62 Q62 E64 O64 D69 N69 G70 Q70 E72 O72 D77 N77 G78 Q78 E80 O80 D85 N85 G86 Q86 E88 O88 D93 N93 G94 Q94 E96 O96 D101 N101 G102 Q102 E104 O104 D109 N109 G110 Q110 E112 O112 D117 N117 G118 Q118 E120 O120 D125 N125 G126 Q126 E128 O128 D133 N133 G134 Q134 E136 O136 D141 N141 G142 Q142 E144 O144 D149 N149 G150 Q150 E152 O152 D157 N157 G158 Q158 E160 O160 D165 N165 G166 Q166 E168 O168 D173 N173 G174 Q174 E176 O176 D181 N181 G182 Q182 E184 O184 D189 N189 G190 Q190 E192 O192 D197 N197 G198 Q198 E200 O200 D205 N205 G206 Q206 E208 O208 D213 N213 G214 Q214 E216 O216 D221 N221 G222 Q222 E224 O224 D229 N229 G230 Q230 E232 O232 D237 N237 G238 Q238 E240 O240 D245 N245 G246 Q246 E248 O248 D253 N253 G254 Q254 E256 O256 D261 N261 G262 Q262 E264 O264 D269 N269 G270 Q270 E272 O272 D277 N277 G278 Q278 E280 O280 D285 N285 G286 Q286 E288 O288 D293 N293 G294 Q294 E296 O296 D301 N301 G302 Q302 E304 O304 D309 N309 G310 Q310 E312:E313 O312:O313 D317 N317 G318 Q318 E320:E321 O320:O321 E328 O324:O329 D325 N325 G326 Q326 E332:E333 E336 O332:O337 D333 N333 G334 Q334 E340:E345 O340:O345 D341 N341 G342 Q342">
    <cfRule type="notContainsBlanks" dxfId="8" priority="3">
      <formula>LEN(TRIM(D5))&gt;0</formula>
    </cfRule>
  </conditionalFormatting>
  <conditionalFormatting sqref="F4 P4 D6 N6 G7 Q7 F12 P12 D14 N14 G15 Q15 F20 P20 D22 N22 G23 Q23 F28 P28 D30 N30 G31 Q31 F36 P36 D38 N38 G39 Q39 F44 P44 D46 N46 G47 Q47 F52 P52 D54 N54 G55 Q55 F60 P60 D62 N62 G63 Q63 F68 P68 D70 N70 G71 Q71 F76 P76 D78 N78 G79 Q79 F84 P84 D86 N86 G87 Q87 F92 P92 D94 N94 G95 Q95 F100 P100 D102 N102 G103 Q103 F108 P108 D110 N110 G111 Q111 F116 P116 D118 N118 G119 Q119 F124 P124 D126 N126 G127 Q127 F132 P132 D134 N134 G135 Q135 F140 P140 D142 N142 G143 Q143 F148 P148 D150 N150 G151 Q151 F156 P156 D158 N158 G159 Q159 F164 P164 D166 N166 G167 Q167 F172 P172 D174 N174 G175 Q175 F180 P180 D182 N182 G183 Q183 F188 P188 D190 N190 G191 Q191 F196 P196 D198 N198 G199 Q199 F204 P204 D206 N206 G207 Q207 F212 P212 D214 N214 G215 Q215 F220 P220 D222 N222 G223 Q223 F228 P228 D230 N230 G231 Q231 F236 P236 D238 N238 G239 Q239 F244 P244 D246 N246 G247 Q247 F252 P252 D254 N254 G255 Q255 F260 P260 D262 N262 G263 Q263 F268 P268 D270 N270 G271 Q271 F276 P276 D278 N278 G279 Q279 F284 P284 D286 N286 G287 Q287 F292 P292 D294 N294 G295 Q295 F300 P300 D302 N302 G303 Q303 F308 P308 D310 N310 G311 Q311 F316 P316 D318 N318 G319 Q319 F324 P324 D326 N326 G327 Q327 F332 P332 D334 N334 G335 Q335 F340 P340 D342 N342 G343 Q343">
    <cfRule type="notContainsBlanks" dxfId="9" priority="4">
      <formula>LEN(TRIM(F4))&gt;0</formula>
    </cfRule>
  </conditionalFormatting>
  <conditionalFormatting sqref="F5 P5 D7 N7 G8 Q8 F13 P13 D15 N15 G16 Q16 F21 P21 D23 N23 G24 Q24 F29 P29 D31 N31 G32 Q32 F37 P37 D39 N39 G40 Q40 F45 P45 D47 N47 G48 Q48 F53 P53 D55 N55 G56 Q56 F61 P61 D63 N63 G64 Q64 F69 P69 D71 N71 G72 Q72 F77 P77 D79 N79 G80 Q80 F85 P85 D87 N87 G88 Q88 F93 P93 D95 N95 G96 Q96 F101 P101 D103 N103 G104 Q104 F109 P109 D111 N111 G112 Q112 F117 P117 D119 N119 G120 Q120 F125 P125 D127 N127 G128 Q128 F133 P133 D135 N135 G136 Q136 F141 P141 D143 N143 G144 Q144 F149 P149 D151 N151 G152 Q152 F157 P157 D159 N159 G160 Q160 F165 P165 D167 N167 G168 Q168 F173 P173 D175 N175 G176 Q176 F181 P181 D183 N183 G184 Q184 F189 P189 D191 N191 G192 Q192 F197 P197 D199 N199 G200 Q200 F205 P205 D207 N207 G208 Q208 F213 P213 D215 N215 G216 Q216 F221 P221 D223 N223 G224 Q224 F229 P229 D231 N231 G232 Q232 F237 P237 D239 N239 G240 Q240 F245 P245 D247 N247 G248 Q248 F253 P253 D255 N255 G256 Q256 F261 P261 D263 N263 G264 Q264 F269 P269 D271 N271 G272 Q272 F277 P277 D279 N279 G280 Q280 F285 P285 D287 N287 G288 Q288 F293 P293 D295 N295 G296 Q296 F301 P301 D303 N303 G304 Q304 F309 P309 D311 N311 G312:G313 Q312:Q313 F317 P317 D319 N319 G320:G321 Q320:Q321 G328 Q324:Q329 F325 P325 D327 N327">
    <cfRule type="notContainsBlanks" dxfId="5" priority="5">
      <formula>LEN(TRIM(F5))&gt;0</formula>
    </cfRule>
  </conditionalFormatting>
  <conditionalFormatting sqref="H4 R4 F6 P6 D8 N8 H12 R12 F14 P14 D16 N16 H20 R20 F22 P22 D24 N24 H28 R28 F30 P30 D32 N32 H36 R36 F38 P38 D40 N40 H44 R44 F46 P46 D48 N48 H52 R52 F54 P54 D56 N56 H60 R60 F62 P62 D64 N64 H68 R68 F70 P70 D72 N72 H76 R76 F78 P78 D80 N80 H84 R84 F86 P86 D88 N88 H92 R92 F94 P94 D96 N96 H100 R100 F102 P102 D104 N104 H108 R108 F110 P110 D112 N112 H116 R116 F118 P118 D120 N120 H124 R124 F126 P126 D128 N128 H132 R132 F134 P134 D136 N136 H140 R140 F142 P142 D144 N144 H148 R148 F150 P150 D152 N152 H156 R156 F158 P158 D160 N160 H164 R164 F166 P166 D168 N168 H172 R172 F174 P174 D176 N176 H180 R180 F182 P182 D184 N184 H188 R188 F190 P190 D192 N192 H196 R196 F198 P198 D200 N200 H204 R204 F206 P206 D208 N208 H212 R212 F214 P214 D216 N216 H220 R220 F222 P222 D224 N224 H228 R228 F230 P230 D232 N232 H236 R236 F238 P238 D240 N240 H244 R244 F246 P246 D248 N248 H252 R252 F254 P254 D256 N256 H260 R260 F262 P262 D264 N264 H268 R268 F270 P270 D272 N272 H276 R276 F278 P278 D280 N280 H284 R284 F286 P286 D288 N288 H292 R292 F294 P294 D296 N296 H300 R300 F302 P302 D304 N304 H308 R308 F310 P310 D312:D313 N312:N313 H316 R316 F318 P318 D320:D321 N320:N321 D324:D329 H324 N324:N329 R324 F326 P326 D332:D337 H332 N332:N337 R332 F334 P334 D340:D345 H340 N340:N345 R340 F342 P342">
    <cfRule type="notContainsBlanks" dxfId="10" priority="6">
      <formula>LEN(TRIM(H4))&gt;0</formula>
    </cfRule>
  </conditionalFormatting>
  <conditionalFormatting sqref="E5 O5 H7 R7 F8 P8 E13 O13 H15 R15 F16 P16 E21 O21 H23 R23 F24 P24 E29 O29 H31 R31 F32 P32 E37 O37 H39 R39 F40 P40 E45 O45 H47 R47 F48 P48 E53 O53 H55 R55 F56 P56 E61 O61 H63 R63 F64 P64 E69 O69 H71 R71 F72 P72 E77 O77 H79 R79 F80 P80 E85 O85 H87 R87 F88 P88 E93 O93 H95 R95 F96 P96 E101 O101 H103 R103 F104 P104 E109 O109 H111 R111 F112 P112 E117 O117 H119 R119 F120 P120 E125 O125 H127 R127 F128 P128 E133 O133 H135 R135 F136 P136 E141 O141 H143 R143 F144 P144 E149 O149 H151 R151 F152 P152 E157 O157 H159 R159 F160 P160 E165 O165 H167 R167 F168 P168 E173 O173 H175 R175 F176 P176 E181 O181 H183 R183 F184 P184 E189 O189 H191 R191 F192 P192 E197 O197 H199 R199 F200 P200 E205 O205 H207 R207 F208 P208 E213 O213 H215 R215 F216 P216 E221 O221 H223 R223 F224 P224 E229 O229 H231 R231 F232 P232 E237 O237 H239 R239 F240 P240 E245 O245 H247 R247 F248 P248 E253 O253 H255 R255 F256 P256 E261 O261 H263 R263 F264 P264 E269 O269 H271 R271 F272 P272 E277 O277 H279 R279 F280 P280 E285 O285 H287 R287 F288 P288 E293 O293 H295 R295 F296 P296 E301 O301 H303 R303 F304 P304 E309 O309 H311 R311 F312:F313 P312:P313 E317 O317 H319 R319 F320:F321 P320:P321 F324:F329 P324:P329 E325 O325 H327 R327 F332:F337 P332:P337 E333 O333 H335 R335 F340:F345 P340:P345 E341 O341 H343 R343">
    <cfRule type="notContainsBlanks" dxfId="11" priority="7">
      <formula>LEN(TRIM(E5))&gt;0</formula>
    </cfRule>
  </conditionalFormatting>
  <conditionalFormatting sqref="H6 R6 H14 R14 H16 R16 H22 R22 H24 R24 H30 R30 H32 R32 H38 R38 H40 R40 H46 R46 H48 R48 H54 R54 H56 R56 H62 R62 H64 R64 H70 R70 H72 R72 H78 R78 H80 R80 H86 R86 H88 R88 H94 R94 H96 R96 H102 R102 H104 R104 H110 R110 H112 R112 H118 R118 H120 R120 H126 R126 H128 R128 H134 R134 H136 R136 H142 R142 H144 R144 H150 R150 H152 R152 H158 R158 H160 R160 H166 R166 H168 R168 H174 R174 H176 R176 H182 R182 H184 R184 H190 R190 H192 R192 H198 R198 H200 R200 H206 R206 H208 R208 H214 R214 H216 R216 H222 R222 H224 R224 H230 R230 H232 R232 H238 R238 H240 R240 H246 R246 H248 R248 H254 R254 H256 R256 H262 R262 H264 R264 H270 R270 H272 R272 H278 R278 H280 R280 H286 R286 H288 R288 H294 R294 H296 R296 H302 R302 H304 R304 H310 R310 H312 R312 H318 R318 H320:H321 R320:R321 H324:H329 R324:R329 H332:H337 R332:R337 H340:H345 R340:R345">
    <cfRule type="containsBlanks" dxfId="12" priority="8">
      <formula>LEN(TRIM(H6))=0</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37.25"/>
    <col customWidth="1" min="5" max="5" width="21.63"/>
  </cols>
  <sheetData>
    <row r="1">
      <c r="A1" s="290" t="s">
        <v>63</v>
      </c>
      <c r="B1" s="290" t="s">
        <v>61</v>
      </c>
      <c r="C1" s="291">
        <v>923.0</v>
      </c>
    </row>
    <row r="2">
      <c r="A2" s="290" t="s">
        <v>63</v>
      </c>
      <c r="B2" s="399" t="s">
        <v>64</v>
      </c>
      <c r="C2" s="291">
        <v>933.0</v>
      </c>
    </row>
    <row r="3">
      <c r="A3" s="290" t="s">
        <v>55</v>
      </c>
      <c r="B3" s="399" t="s">
        <v>53</v>
      </c>
      <c r="C3" s="291">
        <v>922.0</v>
      </c>
    </row>
    <row r="4">
      <c r="A4" s="290" t="s">
        <v>55</v>
      </c>
      <c r="B4" s="399" t="s">
        <v>56</v>
      </c>
      <c r="C4" s="291">
        <v>928.0</v>
      </c>
    </row>
    <row r="5">
      <c r="A5" s="290" t="s">
        <v>55</v>
      </c>
      <c r="B5" s="399" t="s">
        <v>57</v>
      </c>
      <c r="C5" s="291">
        <v>927.0</v>
      </c>
    </row>
    <row r="6">
      <c r="A6" s="109" t="s">
        <v>21</v>
      </c>
      <c r="B6" s="361" t="s">
        <v>24</v>
      </c>
      <c r="C6" s="291">
        <v>622.0</v>
      </c>
    </row>
    <row r="7">
      <c r="A7" s="109" t="s">
        <v>21</v>
      </c>
      <c r="B7" s="289" t="s">
        <v>23</v>
      </c>
      <c r="C7" s="291">
        <v>622.0</v>
      </c>
    </row>
    <row r="8">
      <c r="A8" s="109" t="s">
        <v>25</v>
      </c>
      <c r="B8" s="364" t="s">
        <v>26</v>
      </c>
      <c r="C8" s="291">
        <v>911.0</v>
      </c>
    </row>
    <row r="9">
      <c r="A9" s="109" t="s">
        <v>25</v>
      </c>
      <c r="B9" s="364" t="s">
        <v>32</v>
      </c>
      <c r="C9" s="291">
        <v>911.0</v>
      </c>
    </row>
    <row r="10">
      <c r="A10" s="109" t="s">
        <v>25</v>
      </c>
      <c r="B10" s="364" t="s">
        <v>29</v>
      </c>
      <c r="C10" s="291">
        <v>911.0</v>
      </c>
    </row>
    <row r="11">
      <c r="A11" s="109" t="s">
        <v>25</v>
      </c>
      <c r="B11" s="364" t="s">
        <v>27</v>
      </c>
      <c r="C11" s="291">
        <v>911.0</v>
      </c>
    </row>
    <row r="12">
      <c r="A12" s="109" t="s">
        <v>25</v>
      </c>
      <c r="B12" s="364" t="s">
        <v>30</v>
      </c>
      <c r="C12" s="291">
        <v>911.0</v>
      </c>
    </row>
    <row r="13">
      <c r="A13" s="109" t="s">
        <v>25</v>
      </c>
      <c r="B13" s="364" t="s">
        <v>28</v>
      </c>
      <c r="C13" s="291">
        <v>911.0</v>
      </c>
    </row>
    <row r="14">
      <c r="A14" s="109" t="s">
        <v>33</v>
      </c>
      <c r="B14" s="364" t="s">
        <v>30</v>
      </c>
      <c r="C14" s="291">
        <v>327.0</v>
      </c>
    </row>
    <row r="15">
      <c r="A15" s="109" t="s">
        <v>33</v>
      </c>
      <c r="B15" s="366" t="s">
        <v>34</v>
      </c>
      <c r="C15" s="291">
        <v>327.0</v>
      </c>
    </row>
    <row r="16">
      <c r="A16" s="109" t="s">
        <v>33</v>
      </c>
      <c r="B16" s="364" t="s">
        <v>27</v>
      </c>
      <c r="C16" s="291">
        <v>327.0</v>
      </c>
    </row>
    <row r="17">
      <c r="A17" s="109" t="s">
        <v>33</v>
      </c>
      <c r="B17" s="361" t="s">
        <v>35</v>
      </c>
      <c r="C17" s="291">
        <v>327.0</v>
      </c>
    </row>
    <row r="18">
      <c r="A18" s="109" t="s">
        <v>33</v>
      </c>
      <c r="B18" s="364" t="s">
        <v>28</v>
      </c>
      <c r="C18" s="291">
        <v>327.0</v>
      </c>
    </row>
    <row r="19">
      <c r="A19" s="109" t="s">
        <v>36</v>
      </c>
      <c r="B19" s="361" t="s">
        <v>38</v>
      </c>
      <c r="C19" s="291">
        <v>913.0</v>
      </c>
    </row>
    <row r="20">
      <c r="A20" s="109" t="s">
        <v>36</v>
      </c>
      <c r="B20" s="364" t="s">
        <v>37</v>
      </c>
      <c r="C20" s="291">
        <v>913.0</v>
      </c>
    </row>
    <row r="21">
      <c r="A21" s="368" t="s">
        <v>39</v>
      </c>
      <c r="B21" s="364" t="s">
        <v>41</v>
      </c>
      <c r="C21" s="291">
        <v>903.0</v>
      </c>
    </row>
    <row r="22">
      <c r="A22" s="368" t="s">
        <v>39</v>
      </c>
      <c r="B22" s="364" t="s">
        <v>40</v>
      </c>
      <c r="C22" s="291">
        <v>903.0</v>
      </c>
    </row>
    <row r="23">
      <c r="A23" s="368" t="s">
        <v>42</v>
      </c>
      <c r="B23" s="364" t="s">
        <v>40</v>
      </c>
      <c r="C23" s="291" t="s">
        <v>767</v>
      </c>
    </row>
    <row r="24">
      <c r="A24" s="368" t="s">
        <v>42</v>
      </c>
      <c r="B24" s="364" t="s">
        <v>43</v>
      </c>
      <c r="C24" s="291" t="s">
        <v>767</v>
      </c>
    </row>
    <row r="25">
      <c r="A25" s="368" t="s">
        <v>44</v>
      </c>
      <c r="B25" s="369" t="s">
        <v>46</v>
      </c>
      <c r="C25" s="291">
        <v>902.0</v>
      </c>
    </row>
    <row r="26">
      <c r="A26" s="109" t="s">
        <v>44</v>
      </c>
      <c r="B26" s="364" t="s">
        <v>45</v>
      </c>
      <c r="C26" s="291">
        <v>902.0</v>
      </c>
    </row>
    <row r="27">
      <c r="A27" s="109" t="s">
        <v>44</v>
      </c>
      <c r="B27" s="364" t="s">
        <v>43</v>
      </c>
      <c r="C27" s="291">
        <v>902.0</v>
      </c>
    </row>
    <row r="28">
      <c r="A28" s="109" t="s">
        <v>47</v>
      </c>
      <c r="B28" s="361" t="s">
        <v>48</v>
      </c>
      <c r="C28" s="291">
        <v>901.0</v>
      </c>
    </row>
    <row r="29">
      <c r="A29" s="109" t="s">
        <v>47</v>
      </c>
      <c r="B29" s="364" t="s">
        <v>37</v>
      </c>
      <c r="C29" s="291">
        <v>901.0</v>
      </c>
    </row>
    <row r="30">
      <c r="A30" s="109" t="s">
        <v>47</v>
      </c>
      <c r="B30" s="369" t="s">
        <v>49</v>
      </c>
      <c r="C30" s="291">
        <v>901.0</v>
      </c>
    </row>
    <row r="31">
      <c r="A31" s="109" t="s">
        <v>50</v>
      </c>
      <c r="B31" s="361" t="s">
        <v>48</v>
      </c>
      <c r="C31" s="291">
        <v>908.0</v>
      </c>
    </row>
    <row r="32">
      <c r="A32" s="109" t="s">
        <v>50</v>
      </c>
      <c r="B32" s="289" t="s">
        <v>51</v>
      </c>
      <c r="C32" s="291">
        <v>908.0</v>
      </c>
    </row>
    <row r="33">
      <c r="A33" s="109" t="s">
        <v>52</v>
      </c>
      <c r="B33" s="361" t="s">
        <v>53</v>
      </c>
      <c r="C33" s="291">
        <v>922.0</v>
      </c>
    </row>
    <row r="34">
      <c r="A34" s="109" t="s">
        <v>52</v>
      </c>
      <c r="B34" s="361" t="s">
        <v>54</v>
      </c>
      <c r="C34" s="291">
        <v>922.0</v>
      </c>
    </row>
    <row r="35">
      <c r="A35" s="109" t="s">
        <v>60</v>
      </c>
      <c r="B35" s="370" t="s">
        <v>61</v>
      </c>
      <c r="C35" s="291">
        <v>923.0</v>
      </c>
    </row>
    <row r="36">
      <c r="A36" s="109" t="s">
        <v>60</v>
      </c>
      <c r="B36" s="361" t="s">
        <v>62</v>
      </c>
      <c r="C36" s="291" t="s">
        <v>768</v>
      </c>
    </row>
    <row r="37">
      <c r="A37" s="109" t="s">
        <v>65</v>
      </c>
      <c r="B37" s="361" t="s">
        <v>66</v>
      </c>
      <c r="C37" s="291">
        <v>921.0</v>
      </c>
    </row>
    <row r="38">
      <c r="A38" s="109" t="s">
        <v>67</v>
      </c>
      <c r="B38" s="361" t="s">
        <v>64</v>
      </c>
      <c r="C38" s="291">
        <v>933.0</v>
      </c>
    </row>
    <row r="39">
      <c r="A39" s="109" t="s">
        <v>68</v>
      </c>
      <c r="B39" s="361" t="s">
        <v>69</v>
      </c>
      <c r="C39" s="291">
        <v>907.0</v>
      </c>
    </row>
    <row r="40">
      <c r="A40" s="109" t="s">
        <v>68</v>
      </c>
      <c r="B40" s="361" t="s">
        <v>70</v>
      </c>
      <c r="C40" s="291">
        <v>907.0</v>
      </c>
    </row>
    <row r="41">
      <c r="A41" s="109" t="s">
        <v>68</v>
      </c>
      <c r="B41" s="361" t="s">
        <v>71</v>
      </c>
      <c r="C41" s="291">
        <v>907.0</v>
      </c>
    </row>
    <row r="42">
      <c r="A42" s="109" t="s">
        <v>77</v>
      </c>
      <c r="B42" s="361" t="s">
        <v>76</v>
      </c>
      <c r="C42" s="291">
        <v>924.0</v>
      </c>
    </row>
    <row r="43">
      <c r="A43" s="109" t="s">
        <v>80</v>
      </c>
      <c r="B43" s="366" t="s">
        <v>82</v>
      </c>
      <c r="C43" s="291">
        <v>925.0</v>
      </c>
    </row>
    <row r="44">
      <c r="A44" s="109" t="s">
        <v>80</v>
      </c>
      <c r="B44" s="361" t="s">
        <v>81</v>
      </c>
      <c r="C44" s="291">
        <v>925.0</v>
      </c>
    </row>
    <row r="45">
      <c r="A45" s="109" t="s">
        <v>72</v>
      </c>
      <c r="B45" s="361" t="s">
        <v>69</v>
      </c>
      <c r="C45" s="288" t="s">
        <v>769</v>
      </c>
    </row>
    <row r="46">
      <c r="A46" s="109" t="s">
        <v>72</v>
      </c>
      <c r="B46" s="364" t="s">
        <v>74</v>
      </c>
      <c r="C46" s="288" t="s">
        <v>769</v>
      </c>
    </row>
    <row r="47">
      <c r="A47" s="109" t="s">
        <v>72</v>
      </c>
      <c r="B47" s="361" t="s">
        <v>73</v>
      </c>
      <c r="C47" s="288" t="s">
        <v>769</v>
      </c>
    </row>
    <row r="48">
      <c r="A48" s="109" t="s">
        <v>78</v>
      </c>
      <c r="B48" s="361" t="s">
        <v>79</v>
      </c>
      <c r="C48" s="291">
        <v>906.0</v>
      </c>
    </row>
    <row r="49">
      <c r="A49" s="109" t="s">
        <v>75</v>
      </c>
      <c r="B49" s="361" t="s">
        <v>73</v>
      </c>
      <c r="C49" s="288" t="s">
        <v>770</v>
      </c>
    </row>
    <row r="50">
      <c r="A50" s="109" t="s">
        <v>75</v>
      </c>
      <c r="B50" s="361" t="s">
        <v>76</v>
      </c>
      <c r="C50" s="288" t="s">
        <v>770</v>
      </c>
    </row>
    <row r="51">
      <c r="A51" s="109" t="s">
        <v>75</v>
      </c>
      <c r="B51" s="371" t="s">
        <v>114</v>
      </c>
      <c r="C51" s="288" t="s">
        <v>770</v>
      </c>
    </row>
    <row r="52">
      <c r="A52" s="109" t="s">
        <v>94</v>
      </c>
      <c r="B52" s="372" t="s">
        <v>96</v>
      </c>
      <c r="C52" s="291">
        <v>910.0</v>
      </c>
    </row>
    <row r="53">
      <c r="A53" s="109" t="s">
        <v>94</v>
      </c>
      <c r="B53" s="366" t="s">
        <v>90</v>
      </c>
      <c r="C53" s="291">
        <v>912.0</v>
      </c>
    </row>
    <row r="54">
      <c r="A54" s="109" t="s">
        <v>94</v>
      </c>
      <c r="B54" s="361" t="s">
        <v>95</v>
      </c>
      <c r="C54" s="291">
        <v>912.0</v>
      </c>
    </row>
    <row r="55">
      <c r="A55" s="109" t="s">
        <v>83</v>
      </c>
      <c r="B55" s="361" t="s">
        <v>84</v>
      </c>
      <c r="C55" s="291">
        <v>910.0</v>
      </c>
    </row>
    <row r="56">
      <c r="A56" s="109" t="s">
        <v>83</v>
      </c>
      <c r="B56" s="361" t="s">
        <v>85</v>
      </c>
      <c r="C56" s="291">
        <v>910.0</v>
      </c>
    </row>
    <row r="57">
      <c r="A57" s="109" t="s">
        <v>83</v>
      </c>
      <c r="B57" s="372" t="s">
        <v>86</v>
      </c>
      <c r="C57" s="291">
        <v>910.0</v>
      </c>
    </row>
    <row r="58">
      <c r="A58" s="373" t="s">
        <v>89</v>
      </c>
      <c r="B58" s="361" t="s">
        <v>88</v>
      </c>
      <c r="C58" s="291">
        <v>909.0</v>
      </c>
    </row>
    <row r="59">
      <c r="A59" s="374" t="s">
        <v>89</v>
      </c>
      <c r="B59" s="366" t="s">
        <v>90</v>
      </c>
      <c r="C59" s="291">
        <v>912.0</v>
      </c>
    </row>
    <row r="60">
      <c r="A60" s="109" t="s">
        <v>87</v>
      </c>
      <c r="B60" s="372" t="s">
        <v>86</v>
      </c>
      <c r="C60" s="291">
        <v>909.0</v>
      </c>
    </row>
    <row r="61">
      <c r="A61" s="109" t="s">
        <v>87</v>
      </c>
      <c r="B61" s="361" t="s">
        <v>88</v>
      </c>
      <c r="C61" s="291">
        <v>909.0</v>
      </c>
    </row>
    <row r="62">
      <c r="A62" s="109" t="s">
        <v>97</v>
      </c>
      <c r="B62" s="372" t="s">
        <v>98</v>
      </c>
      <c r="C62" s="291">
        <v>929.0</v>
      </c>
    </row>
    <row r="63">
      <c r="A63" s="109" t="s">
        <v>97</v>
      </c>
      <c r="B63" s="361" t="s">
        <v>95</v>
      </c>
      <c r="C63" s="291">
        <v>929.0</v>
      </c>
    </row>
    <row r="64">
      <c r="A64" s="109" t="s">
        <v>91</v>
      </c>
      <c r="B64" s="361" t="s">
        <v>92</v>
      </c>
      <c r="C64" s="291">
        <v>932.0</v>
      </c>
    </row>
    <row r="65">
      <c r="A65" s="109" t="s">
        <v>91</v>
      </c>
      <c r="B65" s="361" t="s">
        <v>93</v>
      </c>
      <c r="C65" s="291">
        <v>932.0</v>
      </c>
    </row>
    <row r="66">
      <c r="A66" s="109" t="s">
        <v>91</v>
      </c>
      <c r="B66" s="366" t="s">
        <v>90</v>
      </c>
      <c r="C66" s="291">
        <v>932.0</v>
      </c>
    </row>
    <row r="67">
      <c r="A67" s="109" t="s">
        <v>102</v>
      </c>
      <c r="B67" s="361" t="s">
        <v>103</v>
      </c>
      <c r="C67" s="291">
        <v>904.0</v>
      </c>
    </row>
    <row r="68">
      <c r="A68" s="109" t="s">
        <v>102</v>
      </c>
      <c r="B68" s="289" t="s">
        <v>51</v>
      </c>
      <c r="C68" s="291">
        <v>904.0</v>
      </c>
    </row>
    <row r="69">
      <c r="A69" s="109" t="s">
        <v>99</v>
      </c>
      <c r="B69" s="371" t="s">
        <v>100</v>
      </c>
      <c r="C69" s="291" t="s">
        <v>771</v>
      </c>
    </row>
    <row r="70">
      <c r="A70" s="109" t="s">
        <v>99</v>
      </c>
      <c r="B70" s="361" t="s">
        <v>101</v>
      </c>
      <c r="C70" s="291" t="s">
        <v>771</v>
      </c>
    </row>
    <row r="71">
      <c r="A71" s="109" t="s">
        <v>104</v>
      </c>
      <c r="B71" s="372" t="s">
        <v>105</v>
      </c>
      <c r="C71" s="291">
        <v>905.0</v>
      </c>
    </row>
    <row r="72">
      <c r="A72" s="109" t="s">
        <v>104</v>
      </c>
      <c r="B72" s="289" t="s">
        <v>51</v>
      </c>
      <c r="C72" s="291">
        <v>905.0</v>
      </c>
    </row>
    <row r="73">
      <c r="A73" s="109" t="s">
        <v>106</v>
      </c>
      <c r="B73" s="361" t="s">
        <v>108</v>
      </c>
      <c r="C73" s="291">
        <v>927.0</v>
      </c>
    </row>
    <row r="74">
      <c r="A74" s="109" t="s">
        <v>106</v>
      </c>
      <c r="B74" s="361" t="s">
        <v>109</v>
      </c>
      <c r="C74" s="291">
        <v>927.0</v>
      </c>
    </row>
    <row r="75">
      <c r="A75" s="109" t="s">
        <v>106</v>
      </c>
      <c r="B75" s="361" t="s">
        <v>107</v>
      </c>
      <c r="C75" s="291">
        <v>927.0</v>
      </c>
    </row>
    <row r="76">
      <c r="A76" s="109" t="s">
        <v>110</v>
      </c>
      <c r="B76" s="361" t="s">
        <v>107</v>
      </c>
      <c r="C76" s="291">
        <v>926.0</v>
      </c>
    </row>
    <row r="77">
      <c r="A77" s="109" t="s">
        <v>110</v>
      </c>
      <c r="B77" s="361" t="s">
        <v>111</v>
      </c>
      <c r="C77" s="291">
        <v>926.0</v>
      </c>
    </row>
    <row r="78">
      <c r="A78" s="109" t="s">
        <v>112</v>
      </c>
      <c r="B78" s="361" t="s">
        <v>56</v>
      </c>
      <c r="C78" s="291">
        <v>928.0</v>
      </c>
    </row>
    <row r="79">
      <c r="A79" s="109" t="s">
        <v>113</v>
      </c>
      <c r="B79" s="371" t="s">
        <v>114</v>
      </c>
      <c r="C79" s="291" t="s">
        <v>772</v>
      </c>
    </row>
    <row r="80">
      <c r="A80" s="109" t="s">
        <v>113</v>
      </c>
      <c r="B80" s="371" t="s">
        <v>115</v>
      </c>
      <c r="C80" s="291" t="s">
        <v>772</v>
      </c>
    </row>
    <row r="81">
      <c r="A81" s="109" t="s">
        <v>773</v>
      </c>
      <c r="B81" s="371" t="s">
        <v>115</v>
      </c>
      <c r="C81" s="291" t="s">
        <v>774</v>
      </c>
    </row>
    <row r="82">
      <c r="A82" s="109" t="s">
        <v>773</v>
      </c>
      <c r="B82" s="361" t="s">
        <v>124</v>
      </c>
      <c r="C82" s="291" t="s">
        <v>774</v>
      </c>
    </row>
    <row r="83">
      <c r="A83" s="109" t="s">
        <v>116</v>
      </c>
      <c r="B83" s="361" t="s">
        <v>117</v>
      </c>
      <c r="C83" s="291" t="s">
        <v>775</v>
      </c>
    </row>
    <row r="84">
      <c r="A84" s="109" t="s">
        <v>116</v>
      </c>
      <c r="B84" s="361" t="s">
        <v>118</v>
      </c>
      <c r="C84" s="291" t="s">
        <v>775</v>
      </c>
    </row>
    <row r="85">
      <c r="A85" s="109" t="s">
        <v>119</v>
      </c>
      <c r="B85" s="361" t="s">
        <v>120</v>
      </c>
      <c r="C85" s="291" t="s">
        <v>776</v>
      </c>
    </row>
    <row r="86">
      <c r="A86" s="109" t="s">
        <v>119</v>
      </c>
      <c r="B86" s="361" t="s">
        <v>122</v>
      </c>
      <c r="C86" s="291" t="s">
        <v>776</v>
      </c>
    </row>
    <row r="87">
      <c r="A87" s="109" t="s">
        <v>119</v>
      </c>
      <c r="B87" s="361" t="s">
        <v>121</v>
      </c>
      <c r="C87" s="291" t="s">
        <v>776</v>
      </c>
    </row>
    <row r="88">
      <c r="A88" s="109" t="s">
        <v>127</v>
      </c>
      <c r="B88" s="372" t="s">
        <v>128</v>
      </c>
      <c r="C88" s="291"/>
    </row>
    <row r="89">
      <c r="A89" s="109" t="s">
        <v>129</v>
      </c>
      <c r="B89" s="372" t="s">
        <v>130</v>
      </c>
      <c r="C89" s="291"/>
    </row>
    <row r="90">
      <c r="A90" s="109" t="s">
        <v>131</v>
      </c>
      <c r="B90" s="361" t="s">
        <v>132</v>
      </c>
      <c r="C90" s="291"/>
    </row>
    <row r="91">
      <c r="A91" s="109" t="s">
        <v>133</v>
      </c>
      <c r="B91" s="372" t="s">
        <v>134</v>
      </c>
      <c r="C91" s="291"/>
    </row>
    <row r="92">
      <c r="A92" s="109" t="s">
        <v>125</v>
      </c>
      <c r="B92" s="321" t="s">
        <v>126</v>
      </c>
      <c r="C92" s="291">
        <v>904.0</v>
      </c>
    </row>
    <row r="93">
      <c r="C93" s="3"/>
    </row>
    <row r="94">
      <c r="C94" s="3"/>
    </row>
    <row r="95">
      <c r="C95" s="3"/>
    </row>
    <row r="96">
      <c r="C96" s="3"/>
    </row>
    <row r="97">
      <c r="C97" s="3"/>
    </row>
    <row r="98">
      <c r="C98" s="3"/>
    </row>
    <row r="99">
      <c r="C99" s="3"/>
    </row>
    <row r="100">
      <c r="C100" s="3"/>
    </row>
    <row r="101">
      <c r="C101" s="3"/>
    </row>
    <row r="102">
      <c r="C102" s="3"/>
    </row>
    <row r="103">
      <c r="C103" s="3"/>
    </row>
    <row r="104">
      <c r="C104" s="3"/>
    </row>
    <row r="105">
      <c r="C105" s="3"/>
    </row>
    <row r="106">
      <c r="C106" s="3"/>
    </row>
    <row r="107">
      <c r="C107" s="3"/>
    </row>
    <row r="108">
      <c r="C108" s="3"/>
    </row>
    <row r="109">
      <c r="C109" s="3"/>
    </row>
    <row r="110">
      <c r="C110" s="3"/>
    </row>
    <row r="111">
      <c r="C111" s="3"/>
    </row>
    <row r="112">
      <c r="C112" s="3"/>
    </row>
    <row r="113">
      <c r="C113" s="3"/>
    </row>
    <row r="114">
      <c r="C114" s="3"/>
    </row>
    <row r="115">
      <c r="C115" s="3"/>
    </row>
    <row r="116">
      <c r="C116" s="3"/>
    </row>
    <row r="117">
      <c r="C117" s="3"/>
    </row>
    <row r="118">
      <c r="C118" s="3"/>
    </row>
    <row r="119">
      <c r="C119" s="3"/>
    </row>
    <row r="120">
      <c r="C120" s="3"/>
    </row>
    <row r="121">
      <c r="C121" s="3"/>
    </row>
    <row r="122">
      <c r="C122" s="3"/>
    </row>
    <row r="123">
      <c r="C123" s="3"/>
    </row>
    <row r="124">
      <c r="C124" s="3"/>
    </row>
    <row r="125">
      <c r="C125" s="3"/>
    </row>
    <row r="126">
      <c r="C126" s="3"/>
    </row>
    <row r="127">
      <c r="C127" s="3"/>
    </row>
    <row r="128">
      <c r="C128" s="3"/>
    </row>
    <row r="129">
      <c r="C129" s="3"/>
    </row>
    <row r="130">
      <c r="C130" s="3"/>
    </row>
    <row r="131">
      <c r="C131" s="3"/>
    </row>
    <row r="132">
      <c r="C132" s="3"/>
    </row>
    <row r="133">
      <c r="C133" s="3"/>
    </row>
    <row r="134">
      <c r="C134" s="3"/>
    </row>
    <row r="135">
      <c r="C135" s="3"/>
    </row>
    <row r="136">
      <c r="C136" s="3"/>
    </row>
    <row r="137">
      <c r="C137" s="3"/>
    </row>
    <row r="138">
      <c r="C138" s="3"/>
    </row>
    <row r="139">
      <c r="C139" s="3"/>
    </row>
    <row r="140">
      <c r="C140" s="3"/>
    </row>
    <row r="141">
      <c r="C141" s="3"/>
    </row>
    <row r="142">
      <c r="C142" s="3"/>
    </row>
    <row r="143">
      <c r="C143" s="3"/>
    </row>
    <row r="144">
      <c r="C144" s="3"/>
    </row>
    <row r="145">
      <c r="C145" s="3"/>
    </row>
    <row r="146">
      <c r="C146" s="3"/>
    </row>
    <row r="147">
      <c r="C147" s="3"/>
    </row>
    <row r="148">
      <c r="C148" s="3"/>
    </row>
    <row r="149">
      <c r="C149" s="3"/>
    </row>
    <row r="150">
      <c r="C150" s="3"/>
    </row>
    <row r="151">
      <c r="C151" s="3"/>
    </row>
    <row r="152">
      <c r="C152" s="3"/>
    </row>
    <row r="153">
      <c r="C153" s="3"/>
    </row>
    <row r="154">
      <c r="C154" s="3"/>
    </row>
    <row r="155">
      <c r="C155" s="3"/>
    </row>
    <row r="156">
      <c r="C156" s="3"/>
    </row>
    <row r="157">
      <c r="C157" s="3"/>
    </row>
    <row r="158">
      <c r="C158" s="3"/>
    </row>
    <row r="159">
      <c r="C159" s="3"/>
    </row>
    <row r="160">
      <c r="C160" s="3"/>
    </row>
    <row r="161">
      <c r="C161" s="3"/>
    </row>
    <row r="162">
      <c r="C162" s="3"/>
    </row>
    <row r="163">
      <c r="C163" s="3"/>
    </row>
    <row r="164">
      <c r="C164" s="3"/>
    </row>
    <row r="165">
      <c r="C165" s="3"/>
    </row>
    <row r="166">
      <c r="C166" s="3"/>
    </row>
    <row r="167">
      <c r="C167" s="3"/>
    </row>
    <row r="168">
      <c r="C168" s="3"/>
    </row>
    <row r="169">
      <c r="C169" s="3"/>
    </row>
    <row r="170">
      <c r="C170" s="3"/>
    </row>
    <row r="171">
      <c r="C171" s="3"/>
    </row>
    <row r="172">
      <c r="C172" s="3"/>
    </row>
    <row r="173">
      <c r="C173" s="3"/>
    </row>
    <row r="174">
      <c r="C174" s="3"/>
    </row>
    <row r="175">
      <c r="C175" s="3"/>
    </row>
    <row r="176">
      <c r="C176" s="3"/>
    </row>
    <row r="177">
      <c r="C177" s="3"/>
    </row>
    <row r="178">
      <c r="C178" s="3"/>
    </row>
    <row r="179">
      <c r="C179" s="3"/>
    </row>
    <row r="180">
      <c r="C180" s="3"/>
    </row>
    <row r="181">
      <c r="C181" s="3"/>
    </row>
    <row r="182">
      <c r="C182" s="3"/>
    </row>
    <row r="183">
      <c r="C183" s="3"/>
    </row>
    <row r="184">
      <c r="C184" s="3"/>
    </row>
    <row r="185">
      <c r="C185" s="3"/>
    </row>
    <row r="186">
      <c r="C186" s="3"/>
    </row>
    <row r="187">
      <c r="C187" s="3"/>
    </row>
    <row r="188">
      <c r="C188" s="3"/>
    </row>
    <row r="189">
      <c r="C189" s="3"/>
    </row>
    <row r="190">
      <c r="C190" s="3"/>
    </row>
    <row r="191">
      <c r="C191" s="3"/>
    </row>
    <row r="192">
      <c r="C192" s="3"/>
    </row>
    <row r="193">
      <c r="C193" s="3"/>
    </row>
    <row r="194">
      <c r="C194" s="3"/>
    </row>
    <row r="195">
      <c r="C195" s="3"/>
    </row>
    <row r="196">
      <c r="C196" s="3"/>
    </row>
    <row r="197">
      <c r="C197" s="3"/>
    </row>
    <row r="198">
      <c r="C198" s="3"/>
    </row>
    <row r="199">
      <c r="C199" s="3"/>
    </row>
    <row r="200">
      <c r="C200" s="3"/>
    </row>
    <row r="201">
      <c r="C201" s="3"/>
    </row>
    <row r="202">
      <c r="C202" s="3"/>
    </row>
    <row r="203">
      <c r="C203" s="3"/>
    </row>
    <row r="204">
      <c r="C204" s="3"/>
    </row>
    <row r="205">
      <c r="C205" s="3"/>
    </row>
    <row r="206">
      <c r="C206" s="3"/>
    </row>
    <row r="207">
      <c r="C207" s="3"/>
    </row>
    <row r="208">
      <c r="C208" s="3"/>
    </row>
    <row r="209">
      <c r="C209" s="3"/>
    </row>
    <row r="210">
      <c r="C210" s="3"/>
    </row>
    <row r="211">
      <c r="C211" s="3"/>
    </row>
    <row r="212">
      <c r="C212" s="3"/>
    </row>
    <row r="213">
      <c r="C213" s="3"/>
    </row>
    <row r="214">
      <c r="C214" s="3"/>
    </row>
    <row r="215">
      <c r="C215" s="3"/>
    </row>
    <row r="216">
      <c r="C216" s="3"/>
    </row>
    <row r="217">
      <c r="C217" s="3"/>
    </row>
    <row r="218">
      <c r="C218" s="3"/>
    </row>
    <row r="219">
      <c r="C219" s="3"/>
    </row>
    <row r="220">
      <c r="C220" s="3"/>
    </row>
    <row r="221">
      <c r="C221" s="3"/>
    </row>
    <row r="222">
      <c r="C222" s="3"/>
    </row>
    <row r="223">
      <c r="C223" s="3"/>
    </row>
    <row r="224">
      <c r="C224" s="3"/>
    </row>
    <row r="225">
      <c r="C225" s="3"/>
    </row>
    <row r="226">
      <c r="C226" s="3"/>
    </row>
    <row r="227">
      <c r="C227" s="3"/>
    </row>
    <row r="228">
      <c r="C228" s="3"/>
    </row>
    <row r="229">
      <c r="C229" s="3"/>
    </row>
    <row r="230">
      <c r="C230" s="3"/>
    </row>
    <row r="231">
      <c r="C231" s="3"/>
    </row>
    <row r="232">
      <c r="C232" s="3"/>
    </row>
    <row r="233">
      <c r="C233" s="3"/>
    </row>
    <row r="234">
      <c r="C234" s="3"/>
    </row>
    <row r="235">
      <c r="C235" s="3"/>
    </row>
    <row r="236">
      <c r="C236" s="3"/>
    </row>
    <row r="237">
      <c r="C237" s="3"/>
    </row>
    <row r="238">
      <c r="C238" s="3"/>
    </row>
    <row r="239">
      <c r="C239" s="3"/>
    </row>
    <row r="240">
      <c r="C240" s="3"/>
    </row>
    <row r="241">
      <c r="C241" s="3"/>
    </row>
    <row r="242">
      <c r="C242" s="3"/>
    </row>
    <row r="243">
      <c r="C243" s="3"/>
    </row>
    <row r="244">
      <c r="C244" s="3"/>
    </row>
    <row r="245">
      <c r="C245" s="3"/>
    </row>
    <row r="246">
      <c r="C246" s="3"/>
    </row>
    <row r="247">
      <c r="C247" s="3"/>
    </row>
    <row r="248">
      <c r="C248" s="3"/>
    </row>
    <row r="249">
      <c r="C249" s="3"/>
    </row>
    <row r="250">
      <c r="C250" s="3"/>
    </row>
    <row r="251">
      <c r="C251" s="3"/>
    </row>
    <row r="252">
      <c r="C252" s="3"/>
    </row>
    <row r="253">
      <c r="C253" s="3"/>
    </row>
    <row r="254">
      <c r="C254" s="3"/>
    </row>
    <row r="255">
      <c r="C255" s="3"/>
    </row>
    <row r="256">
      <c r="C256" s="3"/>
    </row>
    <row r="257">
      <c r="C257" s="3"/>
    </row>
    <row r="258">
      <c r="C258" s="3"/>
    </row>
    <row r="259">
      <c r="C259" s="3"/>
    </row>
    <row r="260">
      <c r="C260" s="3"/>
    </row>
    <row r="261">
      <c r="C261" s="3"/>
    </row>
    <row r="262">
      <c r="C262" s="3"/>
    </row>
    <row r="263">
      <c r="C263" s="3"/>
    </row>
    <row r="264">
      <c r="C264" s="3"/>
    </row>
    <row r="265">
      <c r="C265" s="3"/>
    </row>
    <row r="266">
      <c r="C266" s="3"/>
    </row>
    <row r="267">
      <c r="C267" s="3"/>
    </row>
    <row r="268">
      <c r="C268" s="3"/>
    </row>
    <row r="269">
      <c r="C269" s="3"/>
    </row>
    <row r="270">
      <c r="C270" s="3"/>
    </row>
    <row r="271">
      <c r="C271" s="3"/>
    </row>
    <row r="272">
      <c r="C272" s="3"/>
    </row>
    <row r="273">
      <c r="C273" s="3"/>
    </row>
    <row r="274">
      <c r="C274" s="3"/>
    </row>
    <row r="275">
      <c r="C275" s="3"/>
    </row>
    <row r="276">
      <c r="C276" s="3"/>
    </row>
    <row r="277">
      <c r="C277" s="3"/>
    </row>
    <row r="278">
      <c r="C278" s="3"/>
    </row>
    <row r="279">
      <c r="C279" s="3"/>
    </row>
    <row r="280">
      <c r="C280" s="3"/>
    </row>
    <row r="281">
      <c r="C281" s="3"/>
    </row>
    <row r="282">
      <c r="C282" s="3"/>
    </row>
    <row r="283">
      <c r="C283" s="3"/>
    </row>
    <row r="284">
      <c r="C284" s="3"/>
    </row>
    <row r="285">
      <c r="C285" s="3"/>
    </row>
    <row r="286">
      <c r="C286" s="3"/>
    </row>
    <row r="287">
      <c r="C287" s="3"/>
    </row>
    <row r="288">
      <c r="C288" s="3"/>
    </row>
    <row r="289">
      <c r="C289" s="3"/>
    </row>
    <row r="290">
      <c r="C290" s="3"/>
    </row>
    <row r="291">
      <c r="C291" s="3"/>
    </row>
    <row r="292">
      <c r="C292" s="3"/>
    </row>
    <row r="293">
      <c r="C293" s="3"/>
    </row>
    <row r="294">
      <c r="C294" s="3"/>
    </row>
    <row r="295">
      <c r="C295" s="3"/>
    </row>
    <row r="296">
      <c r="C296" s="3"/>
    </row>
    <row r="297">
      <c r="C297" s="3"/>
    </row>
    <row r="298">
      <c r="C298" s="3"/>
    </row>
    <row r="299">
      <c r="C299" s="3"/>
    </row>
    <row r="300">
      <c r="C300" s="3"/>
    </row>
    <row r="301">
      <c r="C301" s="3"/>
    </row>
    <row r="302">
      <c r="C302" s="3"/>
    </row>
    <row r="303">
      <c r="C303" s="3"/>
    </row>
    <row r="304">
      <c r="C304" s="3"/>
    </row>
    <row r="305">
      <c r="C305" s="3"/>
    </row>
    <row r="306">
      <c r="C306" s="3"/>
    </row>
    <row r="307">
      <c r="C307" s="3"/>
    </row>
    <row r="308">
      <c r="C308" s="3"/>
    </row>
    <row r="309">
      <c r="C309" s="3"/>
    </row>
    <row r="310">
      <c r="C310" s="3"/>
    </row>
    <row r="311">
      <c r="C311" s="3"/>
    </row>
    <row r="312">
      <c r="C312" s="3"/>
    </row>
    <row r="313">
      <c r="C313" s="3"/>
    </row>
    <row r="314">
      <c r="C314" s="3"/>
    </row>
    <row r="315">
      <c r="C315" s="3"/>
    </row>
    <row r="316">
      <c r="C316" s="3"/>
    </row>
    <row r="317">
      <c r="C317" s="3"/>
    </row>
    <row r="318">
      <c r="C318" s="3"/>
    </row>
    <row r="319">
      <c r="C319" s="3"/>
    </row>
    <row r="320">
      <c r="C320" s="3"/>
    </row>
    <row r="321">
      <c r="C321" s="3"/>
    </row>
    <row r="322">
      <c r="C322" s="3"/>
    </row>
    <row r="323">
      <c r="C323" s="3"/>
    </row>
    <row r="324">
      <c r="C324" s="3"/>
    </row>
    <row r="325">
      <c r="C325" s="3"/>
    </row>
    <row r="326">
      <c r="C326" s="3"/>
    </row>
    <row r="327">
      <c r="C327" s="3"/>
    </row>
    <row r="328">
      <c r="C328" s="3"/>
    </row>
    <row r="329">
      <c r="C329" s="3"/>
    </row>
    <row r="330">
      <c r="C330" s="3"/>
    </row>
    <row r="331">
      <c r="C331" s="3"/>
    </row>
    <row r="332">
      <c r="C332" s="3"/>
    </row>
    <row r="333">
      <c r="C333" s="3"/>
    </row>
    <row r="334">
      <c r="C334" s="3"/>
    </row>
    <row r="335">
      <c r="C335" s="3"/>
    </row>
    <row r="336">
      <c r="C336" s="3"/>
    </row>
    <row r="337">
      <c r="C337" s="3"/>
    </row>
    <row r="338">
      <c r="C338" s="3"/>
    </row>
    <row r="339">
      <c r="C339" s="3"/>
    </row>
    <row r="340">
      <c r="C340" s="3"/>
    </row>
    <row r="341">
      <c r="C341" s="3"/>
    </row>
    <row r="342">
      <c r="C342" s="3"/>
    </row>
    <row r="343">
      <c r="C343" s="3"/>
    </row>
    <row r="344">
      <c r="C344" s="3"/>
    </row>
    <row r="345">
      <c r="C345" s="3"/>
    </row>
    <row r="346">
      <c r="C346" s="3"/>
    </row>
    <row r="347">
      <c r="C347" s="3"/>
    </row>
    <row r="348">
      <c r="C348" s="3"/>
    </row>
    <row r="349">
      <c r="C349" s="3"/>
    </row>
    <row r="350">
      <c r="C350" s="3"/>
    </row>
    <row r="351">
      <c r="C351" s="3"/>
    </row>
    <row r="352">
      <c r="C352" s="3"/>
    </row>
    <row r="353">
      <c r="C353" s="3"/>
    </row>
    <row r="354">
      <c r="C354" s="3"/>
    </row>
    <row r="355">
      <c r="C355" s="3"/>
    </row>
    <row r="356">
      <c r="C356" s="3"/>
    </row>
    <row r="357">
      <c r="C357" s="3"/>
    </row>
    <row r="358">
      <c r="C358" s="3"/>
    </row>
    <row r="359">
      <c r="C359" s="3"/>
    </row>
    <row r="360">
      <c r="C360" s="3"/>
    </row>
    <row r="361">
      <c r="C361" s="3"/>
    </row>
    <row r="362">
      <c r="C362" s="3"/>
    </row>
    <row r="363">
      <c r="C363" s="3"/>
    </row>
    <row r="364">
      <c r="C364" s="3"/>
    </row>
    <row r="365">
      <c r="C365" s="3"/>
    </row>
    <row r="366">
      <c r="C366" s="3"/>
    </row>
    <row r="367">
      <c r="C367" s="3"/>
    </row>
    <row r="368">
      <c r="C368" s="3"/>
    </row>
    <row r="369">
      <c r="C369" s="3"/>
    </row>
    <row r="370">
      <c r="C370" s="3"/>
    </row>
    <row r="371">
      <c r="C371" s="3"/>
    </row>
    <row r="372">
      <c r="C372" s="3"/>
    </row>
    <row r="373">
      <c r="C373" s="3"/>
    </row>
    <row r="374">
      <c r="C374" s="3"/>
    </row>
    <row r="375">
      <c r="C375" s="3"/>
    </row>
    <row r="376">
      <c r="C376" s="3"/>
    </row>
    <row r="377">
      <c r="C377" s="3"/>
    </row>
    <row r="378">
      <c r="C378" s="3"/>
    </row>
    <row r="379">
      <c r="C379" s="3"/>
    </row>
    <row r="380">
      <c r="C380" s="3"/>
    </row>
    <row r="381">
      <c r="C381" s="3"/>
    </row>
    <row r="382">
      <c r="C382" s="3"/>
    </row>
    <row r="383">
      <c r="C383" s="3"/>
    </row>
    <row r="384">
      <c r="C384" s="3"/>
    </row>
    <row r="385">
      <c r="C385" s="3"/>
    </row>
    <row r="386">
      <c r="C386" s="3"/>
    </row>
    <row r="387">
      <c r="C387" s="3"/>
    </row>
    <row r="388">
      <c r="C388" s="3"/>
    </row>
    <row r="389">
      <c r="C389" s="3"/>
    </row>
    <row r="390">
      <c r="C390" s="3"/>
    </row>
    <row r="391">
      <c r="C391" s="3"/>
    </row>
    <row r="392">
      <c r="C392" s="3"/>
    </row>
    <row r="393">
      <c r="C393" s="3"/>
    </row>
    <row r="394">
      <c r="C394" s="3"/>
    </row>
    <row r="395">
      <c r="C395" s="3"/>
    </row>
    <row r="396">
      <c r="C396" s="3"/>
    </row>
    <row r="397">
      <c r="C397" s="3"/>
    </row>
    <row r="398">
      <c r="C398" s="3"/>
    </row>
    <row r="399">
      <c r="C399" s="3"/>
    </row>
    <row r="400">
      <c r="C400" s="3"/>
    </row>
    <row r="401">
      <c r="C401" s="3"/>
    </row>
    <row r="402">
      <c r="C402" s="3"/>
    </row>
    <row r="403">
      <c r="C403" s="3"/>
    </row>
    <row r="404">
      <c r="C404" s="3"/>
    </row>
    <row r="405">
      <c r="C405" s="3"/>
    </row>
    <row r="406">
      <c r="C406" s="3"/>
    </row>
    <row r="407">
      <c r="C407" s="3"/>
    </row>
    <row r="408">
      <c r="C408" s="3"/>
    </row>
    <row r="409">
      <c r="C409" s="3"/>
    </row>
    <row r="410">
      <c r="C410" s="3"/>
    </row>
    <row r="411">
      <c r="C411" s="3"/>
    </row>
    <row r="412">
      <c r="C412" s="3"/>
    </row>
    <row r="413">
      <c r="C413" s="3"/>
    </row>
    <row r="414">
      <c r="C414" s="3"/>
    </row>
    <row r="415">
      <c r="C415" s="3"/>
    </row>
    <row r="416">
      <c r="C416" s="3"/>
    </row>
    <row r="417">
      <c r="C417" s="3"/>
    </row>
    <row r="418">
      <c r="C418" s="3"/>
    </row>
    <row r="419">
      <c r="C419" s="3"/>
    </row>
    <row r="420">
      <c r="C420" s="3"/>
    </row>
    <row r="421">
      <c r="C421" s="3"/>
    </row>
    <row r="422">
      <c r="C422" s="3"/>
    </row>
    <row r="423">
      <c r="C423" s="3"/>
    </row>
    <row r="424">
      <c r="C424" s="3"/>
    </row>
    <row r="425">
      <c r="C425" s="3"/>
    </row>
    <row r="426">
      <c r="C426" s="3"/>
    </row>
    <row r="427">
      <c r="C427" s="3"/>
    </row>
    <row r="428">
      <c r="C428" s="3"/>
    </row>
    <row r="429">
      <c r="C429" s="3"/>
    </row>
    <row r="430">
      <c r="C430" s="3"/>
    </row>
    <row r="431">
      <c r="C431" s="3"/>
    </row>
    <row r="432">
      <c r="C432" s="3"/>
    </row>
    <row r="433">
      <c r="C433" s="3"/>
    </row>
    <row r="434">
      <c r="C434" s="3"/>
    </row>
    <row r="435">
      <c r="C435" s="3"/>
    </row>
    <row r="436">
      <c r="C436" s="3"/>
    </row>
    <row r="437">
      <c r="C437" s="3"/>
    </row>
    <row r="438">
      <c r="C438" s="3"/>
    </row>
    <row r="439">
      <c r="C439" s="3"/>
    </row>
    <row r="440">
      <c r="C440" s="3"/>
    </row>
    <row r="441">
      <c r="C441" s="3"/>
    </row>
    <row r="442">
      <c r="C442" s="3"/>
    </row>
    <row r="443">
      <c r="C443" s="3"/>
    </row>
    <row r="444">
      <c r="C444" s="3"/>
    </row>
    <row r="445">
      <c r="C445" s="3"/>
    </row>
    <row r="446">
      <c r="C446" s="3"/>
    </row>
    <row r="447">
      <c r="C447" s="3"/>
    </row>
    <row r="448">
      <c r="C448" s="3"/>
    </row>
    <row r="449">
      <c r="C449" s="3"/>
    </row>
    <row r="450">
      <c r="C450" s="3"/>
    </row>
    <row r="451">
      <c r="C451" s="3"/>
    </row>
    <row r="452">
      <c r="C452" s="3"/>
    </row>
    <row r="453">
      <c r="C453" s="3"/>
    </row>
    <row r="454">
      <c r="C454" s="3"/>
    </row>
    <row r="455">
      <c r="C455" s="3"/>
    </row>
    <row r="456">
      <c r="C456" s="3"/>
    </row>
    <row r="457">
      <c r="C457" s="3"/>
    </row>
    <row r="458">
      <c r="C458" s="3"/>
    </row>
    <row r="459">
      <c r="C459" s="3"/>
    </row>
    <row r="460">
      <c r="C460" s="3"/>
    </row>
    <row r="461">
      <c r="C461" s="3"/>
    </row>
    <row r="462">
      <c r="C462" s="3"/>
    </row>
    <row r="463">
      <c r="C463" s="3"/>
    </row>
    <row r="464">
      <c r="C464" s="3"/>
    </row>
    <row r="465">
      <c r="C465" s="3"/>
    </row>
    <row r="466">
      <c r="C466" s="3"/>
    </row>
    <row r="467">
      <c r="C467" s="3"/>
    </row>
    <row r="468">
      <c r="C468" s="3"/>
    </row>
    <row r="469">
      <c r="C469" s="3"/>
    </row>
    <row r="470">
      <c r="C470" s="3"/>
    </row>
    <row r="471">
      <c r="C471" s="3"/>
    </row>
    <row r="472">
      <c r="C472" s="3"/>
    </row>
    <row r="473">
      <c r="C473" s="3"/>
    </row>
    <row r="474">
      <c r="C474" s="3"/>
    </row>
    <row r="475">
      <c r="C475" s="3"/>
    </row>
    <row r="476">
      <c r="C476" s="3"/>
    </row>
    <row r="477">
      <c r="C477" s="3"/>
    </row>
    <row r="478">
      <c r="C478" s="3"/>
    </row>
    <row r="479">
      <c r="C479" s="3"/>
    </row>
    <row r="480">
      <c r="C480" s="3"/>
    </row>
    <row r="481">
      <c r="C481" s="3"/>
    </row>
    <row r="482">
      <c r="C482" s="3"/>
    </row>
    <row r="483">
      <c r="C483" s="3"/>
    </row>
    <row r="484">
      <c r="C484" s="3"/>
    </row>
    <row r="485">
      <c r="C485" s="3"/>
    </row>
    <row r="486">
      <c r="C486" s="3"/>
    </row>
    <row r="487">
      <c r="C487" s="3"/>
    </row>
    <row r="488">
      <c r="C488" s="3"/>
    </row>
    <row r="489">
      <c r="C489" s="3"/>
    </row>
    <row r="490">
      <c r="C490" s="3"/>
    </row>
    <row r="491">
      <c r="C491" s="3"/>
    </row>
    <row r="492">
      <c r="C492" s="3"/>
    </row>
    <row r="493">
      <c r="C493" s="3"/>
    </row>
    <row r="494">
      <c r="C494" s="3"/>
    </row>
    <row r="495">
      <c r="C495" s="3"/>
    </row>
    <row r="496">
      <c r="C496" s="3"/>
    </row>
    <row r="497">
      <c r="C497" s="3"/>
    </row>
    <row r="498">
      <c r="C498" s="3"/>
    </row>
    <row r="499">
      <c r="C499" s="3"/>
    </row>
    <row r="500">
      <c r="C500" s="3"/>
    </row>
    <row r="501">
      <c r="C501" s="3"/>
    </row>
    <row r="502">
      <c r="C502" s="3"/>
    </row>
    <row r="503">
      <c r="C503" s="3"/>
    </row>
    <row r="504">
      <c r="C504" s="3"/>
    </row>
    <row r="505">
      <c r="C505" s="3"/>
    </row>
    <row r="506">
      <c r="C506" s="3"/>
    </row>
    <row r="507">
      <c r="C507" s="3"/>
    </row>
    <row r="508">
      <c r="C508" s="3"/>
    </row>
    <row r="509">
      <c r="C509" s="3"/>
    </row>
    <row r="510">
      <c r="C510" s="3"/>
    </row>
    <row r="511">
      <c r="C511" s="3"/>
    </row>
    <row r="512">
      <c r="C512" s="3"/>
    </row>
    <row r="513">
      <c r="C513" s="3"/>
    </row>
    <row r="514">
      <c r="C514" s="3"/>
    </row>
    <row r="515">
      <c r="C515" s="3"/>
    </row>
    <row r="516">
      <c r="C516" s="3"/>
    </row>
    <row r="517">
      <c r="C517" s="3"/>
    </row>
    <row r="518">
      <c r="C518" s="3"/>
    </row>
    <row r="519">
      <c r="C519" s="3"/>
    </row>
    <row r="520">
      <c r="C520" s="3"/>
    </row>
    <row r="521">
      <c r="C521" s="3"/>
    </row>
    <row r="522">
      <c r="C522" s="3"/>
    </row>
    <row r="523">
      <c r="C523" s="3"/>
    </row>
    <row r="524">
      <c r="C524" s="3"/>
    </row>
    <row r="525">
      <c r="C525" s="3"/>
    </row>
    <row r="526">
      <c r="C526" s="3"/>
    </row>
    <row r="527">
      <c r="C527" s="3"/>
    </row>
    <row r="528">
      <c r="C528" s="3"/>
    </row>
    <row r="529">
      <c r="C529" s="3"/>
    </row>
    <row r="530">
      <c r="C530" s="3"/>
    </row>
    <row r="531">
      <c r="C531" s="3"/>
    </row>
    <row r="532">
      <c r="C532" s="3"/>
    </row>
    <row r="533">
      <c r="C533" s="3"/>
    </row>
    <row r="534">
      <c r="C534" s="3"/>
    </row>
    <row r="535">
      <c r="C535" s="3"/>
    </row>
    <row r="536">
      <c r="C536" s="3"/>
    </row>
    <row r="537">
      <c r="C537" s="3"/>
    </row>
    <row r="538">
      <c r="C538" s="3"/>
    </row>
    <row r="539">
      <c r="C539" s="3"/>
    </row>
    <row r="540">
      <c r="C540" s="3"/>
    </row>
    <row r="541">
      <c r="C541" s="3"/>
    </row>
    <row r="542">
      <c r="C542" s="3"/>
    </row>
    <row r="543">
      <c r="C543" s="3"/>
    </row>
    <row r="544">
      <c r="C544" s="3"/>
    </row>
    <row r="545">
      <c r="C545" s="3"/>
    </row>
    <row r="546">
      <c r="C546" s="3"/>
    </row>
    <row r="547">
      <c r="C547" s="3"/>
    </row>
    <row r="548">
      <c r="C548" s="3"/>
    </row>
    <row r="549">
      <c r="C549" s="3"/>
    </row>
    <row r="550">
      <c r="C550" s="3"/>
    </row>
    <row r="551">
      <c r="C551" s="3"/>
    </row>
    <row r="552">
      <c r="C552" s="3"/>
    </row>
    <row r="553">
      <c r="C553" s="3"/>
    </row>
    <row r="554">
      <c r="C554" s="3"/>
    </row>
    <row r="555">
      <c r="C555" s="3"/>
    </row>
    <row r="556">
      <c r="C556" s="3"/>
    </row>
    <row r="557">
      <c r="C557" s="3"/>
    </row>
    <row r="558">
      <c r="C558" s="3"/>
    </row>
    <row r="559">
      <c r="C559" s="3"/>
    </row>
    <row r="560">
      <c r="C560" s="3"/>
    </row>
    <row r="561">
      <c r="C561" s="3"/>
    </row>
    <row r="562">
      <c r="C562" s="3"/>
    </row>
    <row r="563">
      <c r="C563" s="3"/>
    </row>
    <row r="564">
      <c r="C564" s="3"/>
    </row>
    <row r="565">
      <c r="C565" s="3"/>
    </row>
    <row r="566">
      <c r="C566" s="3"/>
    </row>
    <row r="567">
      <c r="C567" s="3"/>
    </row>
    <row r="568">
      <c r="C568" s="3"/>
    </row>
    <row r="569">
      <c r="C569" s="3"/>
    </row>
    <row r="570">
      <c r="C570" s="3"/>
    </row>
    <row r="571">
      <c r="C571" s="3"/>
    </row>
    <row r="572">
      <c r="C572" s="3"/>
    </row>
    <row r="573">
      <c r="C573" s="3"/>
    </row>
    <row r="574">
      <c r="C574" s="3"/>
    </row>
    <row r="575">
      <c r="C575" s="3"/>
    </row>
    <row r="576">
      <c r="C576" s="3"/>
    </row>
    <row r="577">
      <c r="C577" s="3"/>
    </row>
    <row r="578">
      <c r="C578" s="3"/>
    </row>
    <row r="579">
      <c r="C579" s="3"/>
    </row>
    <row r="580">
      <c r="C580" s="3"/>
    </row>
    <row r="581">
      <c r="C581" s="3"/>
    </row>
    <row r="582">
      <c r="C582" s="3"/>
    </row>
    <row r="583">
      <c r="C583" s="3"/>
    </row>
    <row r="584">
      <c r="C584" s="3"/>
    </row>
    <row r="585">
      <c r="C585" s="3"/>
    </row>
    <row r="586">
      <c r="C586" s="3"/>
    </row>
    <row r="587">
      <c r="C587" s="3"/>
    </row>
    <row r="588">
      <c r="C588" s="3"/>
    </row>
    <row r="589">
      <c r="C589" s="3"/>
    </row>
    <row r="590">
      <c r="C590" s="3"/>
    </row>
    <row r="591">
      <c r="C591" s="3"/>
    </row>
    <row r="592">
      <c r="C592" s="3"/>
    </row>
    <row r="593">
      <c r="C593" s="3"/>
    </row>
    <row r="594">
      <c r="C594" s="3"/>
    </row>
    <row r="595">
      <c r="C595" s="3"/>
    </row>
    <row r="596">
      <c r="C596" s="3"/>
    </row>
    <row r="597">
      <c r="C597" s="3"/>
    </row>
    <row r="598">
      <c r="C598" s="3"/>
    </row>
    <row r="599">
      <c r="C599" s="3"/>
    </row>
    <row r="600">
      <c r="C600" s="3"/>
    </row>
    <row r="601">
      <c r="C601" s="3"/>
    </row>
    <row r="602">
      <c r="C602" s="3"/>
    </row>
    <row r="603">
      <c r="C603" s="3"/>
    </row>
    <row r="604">
      <c r="C604" s="3"/>
    </row>
    <row r="605">
      <c r="C605" s="3"/>
    </row>
    <row r="606">
      <c r="C606" s="3"/>
    </row>
    <row r="607">
      <c r="C607" s="3"/>
    </row>
    <row r="608">
      <c r="C608" s="3"/>
    </row>
    <row r="609">
      <c r="C609" s="3"/>
    </row>
    <row r="610">
      <c r="C610" s="3"/>
    </row>
    <row r="611">
      <c r="C611" s="3"/>
    </row>
    <row r="612">
      <c r="C612" s="3"/>
    </row>
    <row r="613">
      <c r="C613" s="3"/>
    </row>
    <row r="614">
      <c r="C614" s="3"/>
    </row>
    <row r="615">
      <c r="C615" s="3"/>
    </row>
    <row r="616">
      <c r="C616" s="3"/>
    </row>
    <row r="617">
      <c r="C617" s="3"/>
    </row>
    <row r="618">
      <c r="C618" s="3"/>
    </row>
    <row r="619">
      <c r="C619" s="3"/>
    </row>
    <row r="620">
      <c r="C620" s="3"/>
    </row>
    <row r="621">
      <c r="C621" s="3"/>
    </row>
    <row r="622">
      <c r="C622" s="3"/>
    </row>
    <row r="623">
      <c r="C623" s="3"/>
    </row>
    <row r="624">
      <c r="C624" s="3"/>
    </row>
    <row r="625">
      <c r="C625" s="3"/>
    </row>
    <row r="626">
      <c r="C626" s="3"/>
    </row>
    <row r="627">
      <c r="C627" s="3"/>
    </row>
    <row r="628">
      <c r="C628" s="3"/>
    </row>
    <row r="629">
      <c r="C629" s="3"/>
    </row>
    <row r="630">
      <c r="C630" s="3"/>
    </row>
    <row r="631">
      <c r="C631" s="3"/>
    </row>
    <row r="632">
      <c r="C632" s="3"/>
    </row>
    <row r="633">
      <c r="C633" s="3"/>
    </row>
    <row r="634">
      <c r="C634" s="3"/>
    </row>
    <row r="635">
      <c r="C635" s="3"/>
    </row>
    <row r="636">
      <c r="C636" s="3"/>
    </row>
    <row r="637">
      <c r="C637" s="3"/>
    </row>
    <row r="638">
      <c r="C638" s="3"/>
    </row>
    <row r="639">
      <c r="C639" s="3"/>
    </row>
    <row r="640">
      <c r="C640" s="3"/>
    </row>
    <row r="641">
      <c r="C641" s="3"/>
    </row>
    <row r="642">
      <c r="C642" s="3"/>
    </row>
    <row r="643">
      <c r="C643" s="3"/>
    </row>
    <row r="644">
      <c r="C644" s="3"/>
    </row>
    <row r="645">
      <c r="C645" s="3"/>
    </row>
    <row r="646">
      <c r="C646" s="3"/>
    </row>
    <row r="647">
      <c r="C647" s="3"/>
    </row>
    <row r="648">
      <c r="C648" s="3"/>
    </row>
    <row r="649">
      <c r="C649" s="3"/>
    </row>
    <row r="650">
      <c r="C650" s="3"/>
    </row>
    <row r="651">
      <c r="C651" s="3"/>
    </row>
    <row r="652">
      <c r="C652" s="3"/>
    </row>
    <row r="653">
      <c r="C653" s="3"/>
    </row>
    <row r="654">
      <c r="C654" s="3"/>
    </row>
    <row r="655">
      <c r="C655" s="3"/>
    </row>
    <row r="656">
      <c r="C656" s="3"/>
    </row>
    <row r="657">
      <c r="C657" s="3"/>
    </row>
    <row r="658">
      <c r="C658" s="3"/>
    </row>
    <row r="659">
      <c r="C659" s="3"/>
    </row>
    <row r="660">
      <c r="C660" s="3"/>
    </row>
    <row r="661">
      <c r="C661" s="3"/>
    </row>
    <row r="662">
      <c r="C662" s="3"/>
    </row>
    <row r="663">
      <c r="C663" s="3"/>
    </row>
    <row r="664">
      <c r="C664" s="3"/>
    </row>
    <row r="665">
      <c r="C665" s="3"/>
    </row>
    <row r="666">
      <c r="C666" s="3"/>
    </row>
    <row r="667">
      <c r="C667" s="3"/>
    </row>
    <row r="668">
      <c r="C668" s="3"/>
    </row>
    <row r="669">
      <c r="C669" s="3"/>
    </row>
    <row r="670">
      <c r="C670" s="3"/>
    </row>
    <row r="671">
      <c r="C671" s="3"/>
    </row>
    <row r="672">
      <c r="C672" s="3"/>
    </row>
    <row r="673">
      <c r="C673" s="3"/>
    </row>
    <row r="674">
      <c r="C674" s="3"/>
    </row>
    <row r="675">
      <c r="C675" s="3"/>
    </row>
    <row r="676">
      <c r="C676" s="3"/>
    </row>
    <row r="677">
      <c r="C677" s="3"/>
    </row>
    <row r="678">
      <c r="C678" s="3"/>
    </row>
    <row r="679">
      <c r="C679" s="3"/>
    </row>
    <row r="680">
      <c r="C680" s="3"/>
    </row>
    <row r="681">
      <c r="C681" s="3"/>
    </row>
    <row r="682">
      <c r="C682" s="3"/>
    </row>
    <row r="683">
      <c r="C683" s="3"/>
    </row>
    <row r="684">
      <c r="C684" s="3"/>
    </row>
    <row r="685">
      <c r="C685" s="3"/>
    </row>
    <row r="686">
      <c r="C686" s="3"/>
    </row>
    <row r="687">
      <c r="C687" s="3"/>
    </row>
    <row r="688">
      <c r="C688" s="3"/>
    </row>
    <row r="689">
      <c r="C689" s="3"/>
    </row>
    <row r="690">
      <c r="C690" s="3"/>
    </row>
    <row r="691">
      <c r="C691" s="3"/>
    </row>
    <row r="692">
      <c r="C692" s="3"/>
    </row>
    <row r="693">
      <c r="C693" s="3"/>
    </row>
    <row r="694">
      <c r="C694" s="3"/>
    </row>
    <row r="695">
      <c r="C695" s="3"/>
    </row>
    <row r="696">
      <c r="C696" s="3"/>
    </row>
    <row r="697">
      <c r="C697" s="3"/>
    </row>
    <row r="698">
      <c r="C698" s="3"/>
    </row>
    <row r="699">
      <c r="C699" s="3"/>
    </row>
    <row r="700">
      <c r="C700" s="3"/>
    </row>
    <row r="701">
      <c r="C701" s="3"/>
    </row>
    <row r="702">
      <c r="C702" s="3"/>
    </row>
    <row r="703">
      <c r="C703" s="3"/>
    </row>
    <row r="704">
      <c r="C704" s="3"/>
    </row>
    <row r="705">
      <c r="C705" s="3"/>
    </row>
    <row r="706">
      <c r="C706" s="3"/>
    </row>
    <row r="707">
      <c r="C707" s="3"/>
    </row>
    <row r="708">
      <c r="C708" s="3"/>
    </row>
    <row r="709">
      <c r="C709" s="3"/>
    </row>
    <row r="710">
      <c r="C710" s="3"/>
    </row>
    <row r="711">
      <c r="C711" s="3"/>
    </row>
    <row r="712">
      <c r="C712" s="3"/>
    </row>
    <row r="713">
      <c r="C713" s="3"/>
    </row>
    <row r="714">
      <c r="C714" s="3"/>
    </row>
    <row r="715">
      <c r="C715" s="3"/>
    </row>
    <row r="716">
      <c r="C716" s="3"/>
    </row>
    <row r="717">
      <c r="C717" s="3"/>
    </row>
    <row r="718">
      <c r="C718" s="3"/>
    </row>
    <row r="719">
      <c r="C719" s="3"/>
    </row>
    <row r="720">
      <c r="C720" s="3"/>
    </row>
    <row r="721">
      <c r="C721" s="3"/>
    </row>
    <row r="722">
      <c r="C722" s="3"/>
    </row>
    <row r="723">
      <c r="C723" s="3"/>
    </row>
    <row r="724">
      <c r="C724" s="3"/>
    </row>
    <row r="725">
      <c r="C725" s="3"/>
    </row>
    <row r="726">
      <c r="C726" s="3"/>
    </row>
    <row r="727">
      <c r="C727" s="3"/>
    </row>
    <row r="728">
      <c r="C728" s="3"/>
    </row>
    <row r="729">
      <c r="C729" s="3"/>
    </row>
    <row r="730">
      <c r="C730" s="3"/>
    </row>
    <row r="731">
      <c r="C731" s="3"/>
    </row>
    <row r="732">
      <c r="C732" s="3"/>
    </row>
    <row r="733">
      <c r="C733" s="3"/>
    </row>
    <row r="734">
      <c r="C734" s="3"/>
    </row>
    <row r="735">
      <c r="C735" s="3"/>
    </row>
    <row r="736">
      <c r="C736" s="3"/>
    </row>
    <row r="737">
      <c r="C737" s="3"/>
    </row>
    <row r="738">
      <c r="C738" s="3"/>
    </row>
    <row r="739">
      <c r="C739" s="3"/>
    </row>
    <row r="740">
      <c r="C740" s="3"/>
    </row>
    <row r="741">
      <c r="C741" s="3"/>
    </row>
    <row r="742">
      <c r="C742" s="3"/>
    </row>
    <row r="743">
      <c r="C743" s="3"/>
    </row>
    <row r="744">
      <c r="C744" s="3"/>
    </row>
    <row r="745">
      <c r="C745" s="3"/>
    </row>
    <row r="746">
      <c r="C746" s="3"/>
    </row>
    <row r="747">
      <c r="C747" s="3"/>
    </row>
    <row r="748">
      <c r="C748" s="3"/>
    </row>
    <row r="749">
      <c r="C749" s="3"/>
    </row>
    <row r="750">
      <c r="C750" s="3"/>
    </row>
    <row r="751">
      <c r="C751" s="3"/>
    </row>
    <row r="752">
      <c r="C752" s="3"/>
    </row>
    <row r="753">
      <c r="C753" s="3"/>
    </row>
    <row r="754">
      <c r="C754" s="3"/>
    </row>
    <row r="755">
      <c r="C755" s="3"/>
    </row>
    <row r="756">
      <c r="C756" s="3"/>
    </row>
    <row r="757">
      <c r="C757" s="3"/>
    </row>
    <row r="758">
      <c r="C758" s="3"/>
    </row>
    <row r="759">
      <c r="C759" s="3"/>
    </row>
    <row r="760">
      <c r="C760" s="3"/>
    </row>
    <row r="761">
      <c r="C761" s="3"/>
    </row>
    <row r="762">
      <c r="C762" s="3"/>
    </row>
    <row r="763">
      <c r="C763" s="3"/>
    </row>
    <row r="764">
      <c r="C764" s="3"/>
    </row>
    <row r="765">
      <c r="C765" s="3"/>
    </row>
    <row r="766">
      <c r="C766" s="3"/>
    </row>
    <row r="767">
      <c r="C767" s="3"/>
    </row>
    <row r="768">
      <c r="C768" s="3"/>
    </row>
    <row r="769">
      <c r="C769" s="3"/>
    </row>
    <row r="770">
      <c r="C770" s="3"/>
    </row>
    <row r="771">
      <c r="C771" s="3"/>
    </row>
    <row r="772">
      <c r="C772" s="3"/>
    </row>
    <row r="773">
      <c r="C773" s="3"/>
    </row>
    <row r="774">
      <c r="C774" s="3"/>
    </row>
    <row r="775">
      <c r="C775" s="3"/>
    </row>
    <row r="776">
      <c r="C776" s="3"/>
    </row>
    <row r="777">
      <c r="C777" s="3"/>
    </row>
    <row r="778">
      <c r="C778" s="3"/>
    </row>
    <row r="779">
      <c r="C779" s="3"/>
    </row>
    <row r="780">
      <c r="C780" s="3"/>
    </row>
    <row r="781">
      <c r="C781" s="3"/>
    </row>
    <row r="782">
      <c r="C782" s="3"/>
    </row>
    <row r="783">
      <c r="C783" s="3"/>
    </row>
    <row r="784">
      <c r="C784" s="3"/>
    </row>
    <row r="785">
      <c r="C785" s="3"/>
    </row>
    <row r="786">
      <c r="C786" s="3"/>
    </row>
    <row r="787">
      <c r="C787" s="3"/>
    </row>
    <row r="788">
      <c r="C788" s="3"/>
    </row>
    <row r="789">
      <c r="C789" s="3"/>
    </row>
    <row r="790">
      <c r="C790" s="3"/>
    </row>
    <row r="791">
      <c r="C791" s="3"/>
    </row>
    <row r="792">
      <c r="C792" s="3"/>
    </row>
    <row r="793">
      <c r="C793" s="3"/>
    </row>
    <row r="794">
      <c r="C794" s="3"/>
    </row>
    <row r="795">
      <c r="C795" s="3"/>
    </row>
    <row r="796">
      <c r="C796" s="3"/>
    </row>
    <row r="797">
      <c r="C797" s="3"/>
    </row>
    <row r="798">
      <c r="C798" s="3"/>
    </row>
    <row r="799">
      <c r="C799" s="3"/>
    </row>
    <row r="800">
      <c r="C800" s="3"/>
    </row>
    <row r="801">
      <c r="C801" s="3"/>
    </row>
    <row r="802">
      <c r="C802" s="3"/>
    </row>
    <row r="803">
      <c r="C803" s="3"/>
    </row>
    <row r="804">
      <c r="C804" s="3"/>
    </row>
    <row r="805">
      <c r="C805" s="3"/>
    </row>
    <row r="806">
      <c r="C806" s="3"/>
    </row>
    <row r="807">
      <c r="C807" s="3"/>
    </row>
    <row r="808">
      <c r="C808" s="3"/>
    </row>
    <row r="809">
      <c r="C809" s="3"/>
    </row>
    <row r="810">
      <c r="C810" s="3"/>
    </row>
    <row r="811">
      <c r="C811" s="3"/>
    </row>
    <row r="812">
      <c r="C812" s="3"/>
    </row>
    <row r="813">
      <c r="C813" s="3"/>
    </row>
    <row r="814">
      <c r="C814" s="3"/>
    </row>
    <row r="815">
      <c r="C815" s="3"/>
    </row>
    <row r="816">
      <c r="C816" s="3"/>
    </row>
    <row r="817">
      <c r="C817" s="3"/>
    </row>
    <row r="818">
      <c r="C818" s="3"/>
    </row>
    <row r="819">
      <c r="C819" s="3"/>
    </row>
    <row r="820">
      <c r="C820" s="3"/>
    </row>
    <row r="821">
      <c r="C821" s="3"/>
    </row>
    <row r="822">
      <c r="C822" s="3"/>
    </row>
    <row r="823">
      <c r="C823" s="3"/>
    </row>
    <row r="824">
      <c r="C824" s="3"/>
    </row>
    <row r="825">
      <c r="C825" s="3"/>
    </row>
    <row r="826">
      <c r="C826" s="3"/>
    </row>
    <row r="827">
      <c r="C827" s="3"/>
    </row>
    <row r="828">
      <c r="C828" s="3"/>
    </row>
    <row r="829">
      <c r="C829" s="3"/>
    </row>
    <row r="830">
      <c r="C830" s="3"/>
    </row>
    <row r="831">
      <c r="C831" s="3"/>
    </row>
    <row r="832">
      <c r="C832" s="3"/>
    </row>
    <row r="833">
      <c r="C833" s="3"/>
    </row>
    <row r="834">
      <c r="C834" s="3"/>
    </row>
    <row r="835">
      <c r="C835" s="3"/>
    </row>
    <row r="836">
      <c r="C836" s="3"/>
    </row>
    <row r="837">
      <c r="C837" s="3"/>
    </row>
    <row r="838">
      <c r="C838" s="3"/>
    </row>
    <row r="839">
      <c r="C839" s="3"/>
    </row>
    <row r="840">
      <c r="C840" s="3"/>
    </row>
    <row r="841">
      <c r="C841" s="3"/>
    </row>
    <row r="842">
      <c r="C842" s="3"/>
    </row>
    <row r="843">
      <c r="C843" s="3"/>
    </row>
    <row r="844">
      <c r="C844" s="3"/>
    </row>
    <row r="845">
      <c r="C845" s="3"/>
    </row>
    <row r="846">
      <c r="C846" s="3"/>
    </row>
    <row r="847">
      <c r="C847" s="3"/>
    </row>
    <row r="848">
      <c r="C848" s="3"/>
    </row>
    <row r="849">
      <c r="C849" s="3"/>
    </row>
    <row r="850">
      <c r="C850" s="3"/>
    </row>
    <row r="851">
      <c r="C851" s="3"/>
    </row>
    <row r="852">
      <c r="C852" s="3"/>
    </row>
    <row r="853">
      <c r="C853" s="3"/>
    </row>
    <row r="854">
      <c r="C854" s="3"/>
    </row>
    <row r="855">
      <c r="C855" s="3"/>
    </row>
    <row r="856">
      <c r="C856" s="3"/>
    </row>
    <row r="857">
      <c r="C857" s="3"/>
    </row>
    <row r="858">
      <c r="C858" s="3"/>
    </row>
    <row r="859">
      <c r="C859" s="3"/>
    </row>
    <row r="860">
      <c r="C860" s="3"/>
    </row>
    <row r="861">
      <c r="C861" s="3"/>
    </row>
    <row r="862">
      <c r="C862" s="3"/>
    </row>
    <row r="863">
      <c r="C863" s="3"/>
    </row>
    <row r="864">
      <c r="C864" s="3"/>
    </row>
    <row r="865">
      <c r="C865" s="3"/>
    </row>
    <row r="866">
      <c r="C866" s="3"/>
    </row>
    <row r="867">
      <c r="C867" s="3"/>
    </row>
    <row r="868">
      <c r="C868" s="3"/>
    </row>
    <row r="869">
      <c r="C869" s="3"/>
    </row>
    <row r="870">
      <c r="C870" s="3"/>
    </row>
    <row r="871">
      <c r="C871" s="3"/>
    </row>
    <row r="872">
      <c r="C872" s="3"/>
    </row>
    <row r="873">
      <c r="C873" s="3"/>
    </row>
    <row r="874">
      <c r="C874" s="3"/>
    </row>
    <row r="875">
      <c r="C875" s="3"/>
    </row>
    <row r="876">
      <c r="C876" s="3"/>
    </row>
    <row r="877">
      <c r="C877" s="3"/>
    </row>
    <row r="878">
      <c r="C878" s="3"/>
    </row>
    <row r="879">
      <c r="C879" s="3"/>
    </row>
    <row r="880">
      <c r="C880" s="3"/>
    </row>
    <row r="881">
      <c r="C881" s="3"/>
    </row>
    <row r="882">
      <c r="C882" s="3"/>
    </row>
    <row r="883">
      <c r="C883" s="3"/>
    </row>
    <row r="884">
      <c r="C884" s="3"/>
    </row>
    <row r="885">
      <c r="C885" s="3"/>
    </row>
    <row r="886">
      <c r="C886" s="3"/>
    </row>
    <row r="887">
      <c r="C887" s="3"/>
    </row>
    <row r="888">
      <c r="C888" s="3"/>
    </row>
    <row r="889">
      <c r="C889" s="3"/>
    </row>
    <row r="890">
      <c r="C890" s="3"/>
    </row>
    <row r="891">
      <c r="C891" s="3"/>
    </row>
    <row r="892">
      <c r="C892" s="3"/>
    </row>
    <row r="893">
      <c r="C893" s="3"/>
    </row>
    <row r="894">
      <c r="C894" s="3"/>
    </row>
    <row r="895">
      <c r="C895" s="3"/>
    </row>
    <row r="896">
      <c r="C896" s="3"/>
    </row>
    <row r="897">
      <c r="C897" s="3"/>
    </row>
    <row r="898">
      <c r="C898" s="3"/>
    </row>
    <row r="899">
      <c r="C899" s="3"/>
    </row>
    <row r="900">
      <c r="C900" s="3"/>
    </row>
    <row r="901">
      <c r="C901" s="3"/>
    </row>
    <row r="902">
      <c r="C902" s="3"/>
    </row>
    <row r="903">
      <c r="C903" s="3"/>
    </row>
    <row r="904">
      <c r="C904" s="3"/>
    </row>
    <row r="905">
      <c r="C905" s="3"/>
    </row>
    <row r="906">
      <c r="C906" s="3"/>
    </row>
    <row r="907">
      <c r="C907" s="3"/>
    </row>
    <row r="908">
      <c r="C908" s="3"/>
    </row>
    <row r="909">
      <c r="C909" s="3"/>
    </row>
    <row r="910">
      <c r="C910" s="3"/>
    </row>
    <row r="911">
      <c r="C911" s="3"/>
    </row>
    <row r="912">
      <c r="C912" s="3"/>
    </row>
    <row r="913">
      <c r="C913" s="3"/>
    </row>
    <row r="914">
      <c r="C914" s="3"/>
    </row>
    <row r="915">
      <c r="C915" s="3"/>
    </row>
    <row r="916">
      <c r="C916" s="3"/>
    </row>
    <row r="917">
      <c r="C917" s="3"/>
    </row>
    <row r="918">
      <c r="C918" s="3"/>
    </row>
    <row r="919">
      <c r="C919" s="3"/>
    </row>
    <row r="920">
      <c r="C920" s="3"/>
    </row>
    <row r="921">
      <c r="C921" s="3"/>
    </row>
    <row r="922">
      <c r="C922" s="3"/>
    </row>
    <row r="923">
      <c r="C923" s="3"/>
    </row>
    <row r="924">
      <c r="C924" s="3"/>
    </row>
    <row r="925">
      <c r="C925" s="3"/>
    </row>
    <row r="926">
      <c r="C926" s="3"/>
    </row>
    <row r="927">
      <c r="C927" s="3"/>
    </row>
    <row r="928">
      <c r="C928" s="3"/>
    </row>
    <row r="929">
      <c r="C929" s="3"/>
    </row>
    <row r="930">
      <c r="C930" s="3"/>
    </row>
    <row r="931">
      <c r="C931" s="3"/>
    </row>
    <row r="932">
      <c r="C932" s="3"/>
    </row>
    <row r="933">
      <c r="C933" s="3"/>
    </row>
    <row r="934">
      <c r="C934" s="3"/>
    </row>
    <row r="935">
      <c r="C935" s="3"/>
    </row>
    <row r="936">
      <c r="C936" s="3"/>
    </row>
    <row r="937">
      <c r="C937" s="3"/>
    </row>
    <row r="938">
      <c r="C938" s="3"/>
    </row>
    <row r="939">
      <c r="C939" s="3"/>
    </row>
    <row r="940">
      <c r="C940" s="3"/>
    </row>
    <row r="941">
      <c r="C941" s="3"/>
    </row>
    <row r="942">
      <c r="C942" s="3"/>
    </row>
    <row r="943">
      <c r="C943" s="3"/>
    </row>
    <row r="944">
      <c r="C944" s="3"/>
    </row>
    <row r="945">
      <c r="C945" s="3"/>
    </row>
    <row r="946">
      <c r="C946" s="3"/>
    </row>
    <row r="947">
      <c r="C947" s="3"/>
    </row>
    <row r="948">
      <c r="C948" s="3"/>
    </row>
    <row r="949">
      <c r="C949" s="3"/>
    </row>
    <row r="950">
      <c r="C950" s="3"/>
    </row>
    <row r="951">
      <c r="C951" s="3"/>
    </row>
    <row r="952">
      <c r="C952" s="3"/>
    </row>
    <row r="953">
      <c r="C953" s="3"/>
    </row>
    <row r="954">
      <c r="C954" s="3"/>
    </row>
    <row r="955">
      <c r="C955" s="3"/>
    </row>
    <row r="956">
      <c r="C956" s="3"/>
    </row>
    <row r="957">
      <c r="C957" s="3"/>
    </row>
    <row r="958">
      <c r="C958" s="3"/>
    </row>
    <row r="959">
      <c r="C959" s="3"/>
    </row>
    <row r="960">
      <c r="C960" s="3"/>
    </row>
    <row r="961">
      <c r="C961" s="3"/>
    </row>
    <row r="962">
      <c r="C962" s="3"/>
    </row>
    <row r="963">
      <c r="C963" s="3"/>
    </row>
    <row r="964">
      <c r="C964" s="3"/>
    </row>
    <row r="965">
      <c r="C965" s="3"/>
    </row>
    <row r="966">
      <c r="C966" s="3"/>
    </row>
    <row r="967">
      <c r="C967" s="3"/>
    </row>
    <row r="968">
      <c r="C968" s="3"/>
    </row>
    <row r="969">
      <c r="C969" s="3"/>
    </row>
    <row r="970">
      <c r="C970" s="3"/>
    </row>
    <row r="971">
      <c r="C971" s="3"/>
    </row>
    <row r="972">
      <c r="C972" s="3"/>
    </row>
    <row r="973">
      <c r="C973" s="3"/>
    </row>
    <row r="974">
      <c r="C974" s="3"/>
    </row>
    <row r="975">
      <c r="C975" s="3"/>
    </row>
    <row r="976">
      <c r="C976" s="3"/>
    </row>
    <row r="977">
      <c r="C977" s="3"/>
    </row>
    <row r="978">
      <c r="C978" s="3"/>
    </row>
    <row r="979">
      <c r="C979" s="3"/>
    </row>
    <row r="980">
      <c r="C980" s="3"/>
    </row>
    <row r="981">
      <c r="C981" s="3"/>
    </row>
    <row r="982">
      <c r="C982" s="3"/>
    </row>
    <row r="983">
      <c r="C983" s="3"/>
    </row>
    <row r="984">
      <c r="C984" s="3"/>
    </row>
    <row r="985">
      <c r="C985" s="3"/>
    </row>
    <row r="986">
      <c r="C986" s="3"/>
    </row>
    <row r="987">
      <c r="C987" s="3"/>
    </row>
    <row r="988">
      <c r="C988" s="3"/>
    </row>
    <row r="989">
      <c r="C989" s="3"/>
    </row>
    <row r="990">
      <c r="C990" s="3"/>
    </row>
    <row r="991">
      <c r="C991" s="3"/>
    </row>
    <row r="992">
      <c r="C992" s="3"/>
    </row>
    <row r="993">
      <c r="C993" s="3"/>
    </row>
    <row r="994">
      <c r="C994" s="3"/>
    </row>
    <row r="995">
      <c r="C995" s="3"/>
    </row>
    <row r="996">
      <c r="C996" s="3"/>
    </row>
    <row r="997">
      <c r="C997" s="3"/>
    </row>
    <row r="998">
      <c r="C998" s="3"/>
    </row>
    <row r="999">
      <c r="C999" s="3"/>
    </row>
    <row r="1000">
      <c r="C1000" s="3"/>
    </row>
  </sheetData>
  <conditionalFormatting sqref="B7 B25 B30 B32 B35 B38 B51 B68:B69 B72 B79:B81">
    <cfRule type="expression" dxfId="2" priority="1">
      <formula>AND($AH7&lt;&gt;"",$AI7&lt;&gt;"")</formula>
    </cfRule>
  </conditionalFormatting>
  <conditionalFormatting sqref="B7 B25 B30 B32 B35 B38 B51 B68:B69 B72 B79:B81">
    <cfRule type="expression" dxfId="3" priority="2">
      <formula>AND($AH7&lt;&gt;"")</formula>
    </cfRule>
  </conditionalFormatting>
  <conditionalFormatting sqref="B7 B25 B30 B32 B35 B38 B51 B68:B69 B72 B79:B81">
    <cfRule type="expression" dxfId="4" priority="3">
      <formula>AND($AI7&lt;&gt;"")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9.5"/>
    <col customWidth="1" min="2" max="2" width="7.13"/>
    <col customWidth="1" min="3" max="3" width="4.88"/>
    <col customWidth="1" min="4" max="4" width="14.63"/>
    <col customWidth="1" min="5" max="5" width="16.38"/>
    <col customWidth="1" min="6" max="6" width="15.38"/>
    <col customWidth="1" min="7" max="7" width="16.63"/>
    <col customWidth="1" min="8" max="8" width="16.25"/>
    <col customWidth="1" min="10" max="10" width="4.5"/>
    <col customWidth="1" hidden="1" min="11" max="12" width="4.5"/>
    <col customWidth="1" min="20" max="20" width="5.5"/>
  </cols>
  <sheetData>
    <row r="1">
      <c r="A1" s="295"/>
      <c r="B1" s="295"/>
      <c r="C1" s="379"/>
      <c r="D1" s="380"/>
      <c r="E1" s="380"/>
      <c r="F1" s="380"/>
      <c r="G1" s="380"/>
      <c r="H1" s="380"/>
      <c r="I1" s="294"/>
      <c r="J1" s="294"/>
      <c r="K1" s="294"/>
      <c r="L1" s="294"/>
      <c r="M1" s="294"/>
      <c r="N1" s="381"/>
      <c r="O1" s="381"/>
      <c r="P1" s="381"/>
      <c r="Q1" s="381"/>
      <c r="R1" s="381"/>
      <c r="S1" s="294"/>
      <c r="T1" s="294"/>
    </row>
    <row r="2">
      <c r="A2" s="45"/>
      <c r="B2" s="45"/>
      <c r="C2" s="382" t="s">
        <v>44</v>
      </c>
      <c r="D2" s="383"/>
      <c r="E2" s="383"/>
      <c r="F2" s="383"/>
      <c r="G2" s="383"/>
      <c r="H2" s="384"/>
      <c r="I2" s="385" t="str">
        <f>IFERROR(__xludf.DUMMYFUNCTION("if(C2="""","""", iferror(filter(Schedule!$K:$K,Schedule!$L:$L=$C2,Schedule!$K:$K=""S1""),unique(filter(Schedule!$K:$K,Schedule!$L:$L=$C2,Schedule!$K:$K=""""))))"),"")</f>
        <v/>
      </c>
      <c r="M2" s="386" t="s">
        <v>22</v>
      </c>
      <c r="N2" s="383"/>
      <c r="O2" s="383"/>
      <c r="P2" s="383"/>
      <c r="Q2" s="383"/>
      <c r="R2" s="384"/>
      <c r="S2" s="385" t="s">
        <v>22</v>
      </c>
      <c r="T2" s="112"/>
    </row>
    <row r="3">
      <c r="A3" s="116"/>
      <c r="B3" s="116"/>
      <c r="C3" s="100" t="s">
        <v>7</v>
      </c>
      <c r="D3" s="387" t="s">
        <v>8</v>
      </c>
      <c r="E3" s="387" t="s">
        <v>9</v>
      </c>
      <c r="F3" s="387" t="s">
        <v>10</v>
      </c>
      <c r="G3" s="387" t="s">
        <v>11</v>
      </c>
      <c r="H3" s="387" t="s">
        <v>12</v>
      </c>
      <c r="I3" s="21" t="s">
        <v>766</v>
      </c>
      <c r="J3" s="116"/>
      <c r="K3" s="116"/>
      <c r="L3" s="116"/>
      <c r="M3" s="100" t="s">
        <v>7</v>
      </c>
      <c r="N3" s="387" t="s">
        <v>8</v>
      </c>
      <c r="O3" s="387" t="s">
        <v>9</v>
      </c>
      <c r="P3" s="387" t="s">
        <v>10</v>
      </c>
      <c r="Q3" s="387" t="s">
        <v>11</v>
      </c>
      <c r="R3" s="387" t="s">
        <v>12</v>
      </c>
      <c r="S3" s="21" t="s">
        <v>766</v>
      </c>
      <c r="T3" s="388"/>
    </row>
    <row r="4">
      <c r="A4" s="389" t="s">
        <v>44</v>
      </c>
      <c r="B4" s="389" t="s">
        <v>22</v>
      </c>
      <c r="C4" s="100">
        <v>1.0</v>
      </c>
      <c r="D4" s="390" t="str">
        <f t="array" ref="D4">IF('Teachers sched'!D4="", "", 
  IFERROR(
    VLOOKUP(
      'Teachers sched'!$A4 &amp; "|" &amp; 
      LEFT('Teachers sched'!D4, FIND("-", 'Teachers sched'!D4) - 1),
      {
        SALONES!$A:$A &amp; "|" &amp; SALONES!$B:$B,
        SALONES!$C:$C
      },
      2,
      FALSE
    ) &amp; " - " &amp; 'Teachers sched'!D4,
    'Teachers sched'!D4
  )
)
</f>
        <v>FRC 9 Robotics-1</v>
      </c>
      <c r="E4" s="390" t="str">
        <f t="array" ref="E4">IF('Teachers sched'!E4="", "", 
  IFERROR(
    VLOOKUP(
      'Teachers sched'!$A4 &amp; "|" &amp; 
      LEFT('Teachers sched'!E4, FIND("-", 'Teachers sched'!E4) - 1),
      {
        SALONES!$A:$A &amp; "|" &amp; SALONES!$B:$B,
        SALONES!$C:$C
      },
      2,
      FALSE
    ) &amp; " - " &amp; 'Teachers sched'!E4,
    'Teachers sched'!E4
  )
)
</f>
        <v>FRC 9 Robotics-4</v>
      </c>
      <c r="F4" s="390" t="str">
        <f t="array" ref="F4">IF('Teachers sched'!F4="", "", 
  IFERROR(
    VLOOKUP(
      'Teachers sched'!$A4 &amp; "|" &amp; 
      LEFT('Teachers sched'!F4, FIND("-", 'Teachers sched'!F4) - 1),
      {
        SALONES!$A:$A &amp; "|" &amp; SALONES!$B:$B,
        SALONES!$C:$C
      },
      2,
      FALSE
    ) &amp; " - " &amp; 'Teachers sched'!F4,
    'Teachers sched'!F4
  )
)
</f>
        <v>Entrepreneurship - Business Tech-2</v>
      </c>
      <c r="G4" s="390" t="str">
        <f t="array" ref="G4">IF('Teachers sched'!G4="", "", 
  IFERROR(
    VLOOKUP(
      'Teachers sched'!$A4 &amp; "|" &amp; 
      LEFT('Teachers sched'!G4, FIND("-", 'Teachers sched'!G4) - 1),
      {
        SALONES!$A:$A &amp; "|" &amp; SALONES!$B:$B,
        SALONES!$C:$C
      },
      2,
      FALSE
    ) &amp; " - " &amp; 'Teachers sched'!G4,
    'Teachers sched'!G4
  )
)
</f>
        <v/>
      </c>
      <c r="H4" s="390" t="str">
        <f t="array" ref="H4">IF('Teachers sched'!H4="", "", 
  IFERROR(
    VLOOKUP(
      'Teachers sched'!$A4 &amp; "|" &amp; 
      LEFT('Teachers sched'!H4, FIND("-", 'Teachers sched'!H4) - 1),
      {
        SALONES!$A:$A &amp; "|" &amp; SALONES!$B:$B,
        SALONES!$C:$C
      },
      2,
      FALSE
    ) &amp; " - " &amp; 'Teachers sched'!H4,
    'Teachers sched'!H4
  )
)
</f>
        <v>FRC 9 Robotics-3</v>
      </c>
      <c r="I4" s="391">
        <f>if(C2="","", 24-countifs(D4:H8,""))</f>
        <v>15</v>
      </c>
      <c r="J4" s="392"/>
      <c r="K4" s="389" t="s">
        <v>22</v>
      </c>
      <c r="L4" s="389" t="s">
        <v>22</v>
      </c>
      <c r="M4" s="100">
        <v>1.0</v>
      </c>
      <c r="N4" s="390" t="s">
        <v>22</v>
      </c>
      <c r="O4" s="390" t="s">
        <v>22</v>
      </c>
      <c r="P4" s="390"/>
      <c r="Q4" s="390" t="s">
        <v>22</v>
      </c>
      <c r="R4" s="390" t="s">
        <v>22</v>
      </c>
      <c r="S4" s="391" t="s">
        <v>22</v>
      </c>
      <c r="T4" s="393"/>
    </row>
    <row r="5">
      <c r="A5" s="389" t="s">
        <v>44</v>
      </c>
      <c r="B5" s="389" t="s">
        <v>22</v>
      </c>
      <c r="C5" s="100">
        <v>2.0</v>
      </c>
      <c r="D5" s="390" t="str">
        <f t="array" ref="D5">IF('Teachers sched'!D5="", "", 
  IFERROR(
    VLOOKUP(
      'Teachers sched'!$A5 &amp; "|" &amp; 
      LEFT('Teachers sched'!D5, FIND("-", 'Teachers sched'!D5) - 1),
      {
        SALONES!$A:$A &amp; "|" &amp; SALONES!$B:$B,
        SALONES!$C:$C
      },
      2,
      FALSE
    ) &amp; " - " &amp; 'Teachers sched'!D5,
    'Teachers sched'!D5
  )
)
</f>
        <v>FRC 9 Robotics-2</v>
      </c>
      <c r="E5" s="390" t="str">
        <f t="array" ref="E5">IF('Teachers sched'!E5="", "", 
  IFERROR(
    VLOOKUP(
      'Teachers sched'!$A5 &amp; "|" &amp; 
      LEFT('Teachers sched'!E5, FIND("-", 'Teachers sched'!E5) - 1),
      {
        SALONES!$A:$A &amp; "|" &amp; SALONES!$B:$B,
        SALONES!$C:$C
      },
      2,
      FALSE
    ) &amp; " - " &amp; 'Teachers sched'!E5,
    'Teachers sched'!E5
  )
)
</f>
        <v/>
      </c>
      <c r="F5" s="390" t="str">
        <f t="array" ref="F5">IF('Teachers sched'!F5="", "", 
  IFERROR(
    VLOOKUP(
      'Teachers sched'!$A5 &amp; "|" &amp; 
      LEFT('Teachers sched'!F5, FIND("-", 'Teachers sched'!F5) - 1),
      {
        SALONES!$A:$A &amp; "|" &amp; SALONES!$B:$B,
        SALONES!$C:$C
      },
      2,
      FALSE
    ) &amp; " - " &amp; 'Teachers sched'!F5,
    'Teachers sched'!F5
  )
)
</f>
        <v/>
      </c>
      <c r="G5" s="390" t="str">
        <f t="array" ref="G5">IF('Teachers sched'!G5="", "", 
  IFERROR(
    VLOOKUP(
      'Teachers sched'!$A5 &amp; "|" &amp; 
      LEFT('Teachers sched'!G5, FIND("-", 'Teachers sched'!G5) - 1),
      {
        SALONES!$A:$A &amp; "|" &amp; SALONES!$B:$B,
        SALONES!$C:$C
      },
      2,
      FALSE
    ) &amp; " - " &amp; 'Teachers sched'!G5,
    'Teachers sched'!G5
  )
)
</f>
        <v>FRC 9 Robotics-1</v>
      </c>
      <c r="H5" s="390" t="str">
        <f t="array" ref="H5">IF('Teachers sched'!H5="", "", 
  IFERROR(
    VLOOKUP(
      'Teachers sched'!$A5 &amp; "|" &amp; 
      LEFT('Teachers sched'!H5, FIND("-", 'Teachers sched'!H5) - 1),
      {
        SALONES!$A:$A &amp; "|" &amp; SALONES!$B:$B,
        SALONES!$C:$C
      },
      2,
      FALSE
    ) &amp; " - " &amp; 'Teachers sched'!H5,
    'Teachers sched'!H5
  )
)
</f>
        <v>FRC 9 Robotics-4</v>
      </c>
      <c r="I5" s="53"/>
      <c r="J5" s="392"/>
      <c r="K5" s="389" t="s">
        <v>22</v>
      </c>
      <c r="L5" s="389" t="s">
        <v>22</v>
      </c>
      <c r="M5" s="100">
        <v>2.0</v>
      </c>
      <c r="N5" s="390" t="s">
        <v>22</v>
      </c>
      <c r="O5" s="390" t="s">
        <v>22</v>
      </c>
      <c r="P5" s="394"/>
      <c r="Q5" s="390" t="s">
        <v>22</v>
      </c>
      <c r="R5" s="390" t="s">
        <v>22</v>
      </c>
      <c r="S5" s="53"/>
      <c r="T5" s="393"/>
    </row>
    <row r="6">
      <c r="A6" s="389" t="s">
        <v>44</v>
      </c>
      <c r="B6" s="389" t="s">
        <v>22</v>
      </c>
      <c r="C6" s="100">
        <v>3.0</v>
      </c>
      <c r="D6" s="390" t="str">
        <f t="array" ref="D6">IF('Teachers sched'!D6="", "", 
  IFERROR(
    VLOOKUP(
      'Teachers sched'!$A6 &amp; "|" &amp; 
      LEFT('Teachers sched'!D6, FIND("-", 'Teachers sched'!D6) - 1),
      {
        SALONES!$A:$A &amp; "|" &amp; SALONES!$B:$B,
        SALONES!$C:$C
      },
      2,
      FALSE
    ) &amp; " - " &amp; 'Teachers sched'!D6,
    'Teachers sched'!D6
  )
)
</f>
        <v>Entrepreneurship - Business Tech-2</v>
      </c>
      <c r="E6" s="390" t="str">
        <f t="array" ref="E6">IF('Teachers sched'!E6="", "", 
  IFERROR(
    VLOOKUP(
      'Teachers sched'!$A6 &amp; "|" &amp; 
      LEFT('Teachers sched'!E6, FIND("-", 'Teachers sched'!E6) - 1),
      {
        SALONES!$A:$A &amp; "|" &amp; SALONES!$B:$B,
        SALONES!$C:$C
      },
      2,
      FALSE
    ) &amp; " - " &amp; 'Teachers sched'!E6,
    'Teachers sched'!E6
  )
)
</f>
        <v/>
      </c>
      <c r="F6" s="390" t="str">
        <f t="array" ref="F6">IF('Teachers sched'!F6="", "", 
  IFERROR(
    VLOOKUP(
      'Teachers sched'!$A6 &amp; "|" &amp; 
      LEFT('Teachers sched'!F6, FIND("-", 'Teachers sched'!F6) - 1),
      {
        SALONES!$A:$A &amp; "|" &amp; SALONES!$B:$B,
        SALONES!$C:$C
      },
      2,
      FALSE
    ) &amp; " - " &amp; 'Teachers sched'!F6,
    'Teachers sched'!F6
  )
)
</f>
        <v>FRC 9 Robotics-3</v>
      </c>
      <c r="G6" s="390" t="str">
        <f t="array" ref="G6">IF('Teachers sched'!G6="", "", 
  IFERROR(
    VLOOKUP(
      'Teachers sched'!$A6 &amp; "|" &amp; 
      LEFT('Teachers sched'!G6, FIND("-", 'Teachers sched'!G6) - 1),
      {
        SALONES!$A:$A &amp; "|" &amp; SALONES!$B:$B,
        SALONES!$C:$C
      },
      2,
      FALSE
    ) &amp; " - " &amp; 'Teachers sched'!G6,
    'Teachers sched'!G6
  )
)
</f>
        <v>FRC 9 Robotics-2</v>
      </c>
      <c r="H6" s="395" t="str">
        <f t="array" ref="H6">IF('Teachers sched'!H6="", "", 
  IFERROR(
    VLOOKUP(
      'Teachers sched'!$A6 &amp; "|" &amp; 
      LEFT('Teachers sched'!H6, FIND("-", 'Teachers sched'!H6) - 1),
      {
        SALONES!$A:$A &amp; "|" &amp; SALONES!$B:$B,
        SALONES!$C:$C
      },
      2,
      FALSE
    ) &amp; " - " &amp; 'Teachers sched'!H6,
    'Teachers sched'!H6
  )
)
</f>
        <v>X-Block</v>
      </c>
      <c r="I6" s="53"/>
      <c r="J6" s="392"/>
      <c r="K6" s="389" t="s">
        <v>22</v>
      </c>
      <c r="L6" s="389" t="s">
        <v>22</v>
      </c>
      <c r="M6" s="100">
        <v>3.0</v>
      </c>
      <c r="N6" s="390" t="s">
        <v>22</v>
      </c>
      <c r="O6" s="390" t="s">
        <v>22</v>
      </c>
      <c r="P6" s="390" t="s">
        <v>22</v>
      </c>
      <c r="Q6" s="390" t="s">
        <v>22</v>
      </c>
      <c r="R6" s="395" t="s">
        <v>22</v>
      </c>
      <c r="S6" s="53"/>
      <c r="T6" s="393"/>
    </row>
    <row r="7">
      <c r="A7" s="389" t="s">
        <v>44</v>
      </c>
      <c r="B7" s="389" t="s">
        <v>22</v>
      </c>
      <c r="C7" s="100">
        <v>4.0</v>
      </c>
      <c r="D7" s="390" t="str">
        <f t="array" ref="D7">IF('Teachers sched'!D7="", "", 
  IFERROR(
    VLOOKUP(
      'Teachers sched'!$A7 &amp; "|" &amp; 
      LEFT('Teachers sched'!D7, FIND("-", 'Teachers sched'!D7) - 1),
      {
        SALONES!$A:$A &amp; "|" &amp; SALONES!$B:$B,
        SALONES!$C:$C
      },
      2,
      FALSE
    ) &amp; " - " &amp; 'Teachers sched'!D7,
    'Teachers sched'!D7
  )
)
</f>
        <v/>
      </c>
      <c r="E7" s="390" t="str">
        <f t="array" ref="E7">IF('Teachers sched'!E7="", "", 
  IFERROR(
    VLOOKUP(
      'Teachers sched'!$A7 &amp; "|" &amp; 
      LEFT('Teachers sched'!E7, FIND("-", 'Teachers sched'!E7) - 1),
      {
        SALONES!$A:$A &amp; "|" &amp; SALONES!$B:$B,
        SALONES!$C:$C
      },
      2,
      FALSE
    ) &amp; " - " &amp; 'Teachers sched'!E7,
    'Teachers sched'!E7
  )
)
</f>
        <v>FRC 9 Robotics-1</v>
      </c>
      <c r="F7" s="390" t="str">
        <f t="array" ref="F7">IF('Teachers sched'!F7="", "", 
  IFERROR(
    VLOOKUP(
      'Teachers sched'!$A7 &amp; "|" &amp; 
      LEFT('Teachers sched'!F7, FIND("-", 'Teachers sched'!F7) - 1),
      {
        SALONES!$A:$A &amp; "|" &amp; SALONES!$B:$B,
        SALONES!$C:$C
      },
      2,
      FALSE
    ) &amp; " - " &amp; 'Teachers sched'!F7,
    'Teachers sched'!F7
  )
)
</f>
        <v>FRC 9 Robotics-4</v>
      </c>
      <c r="G7" s="390" t="str">
        <f t="array" ref="G7">IF('Teachers sched'!G7="", "", 
  IFERROR(
    VLOOKUP(
      'Teachers sched'!$A7 &amp; "|" &amp; 
      LEFT('Teachers sched'!G7, FIND("-", 'Teachers sched'!G7) - 1),
      {
        SALONES!$A:$A &amp; "|" &amp; SALONES!$B:$B,
        SALONES!$C:$C
      },
      2,
      FALSE
    ) &amp; " - " &amp; 'Teachers sched'!G7,
    'Teachers sched'!G7
  )
)
</f>
        <v>Entrepreneurship - Business Tech-2</v>
      </c>
      <c r="H7" s="390" t="str">
        <f t="array" ref="H7">IF('Teachers sched'!H7="", "", 
  IFERROR(
    VLOOKUP(
      'Teachers sched'!$A7 &amp; "|" &amp; 
      LEFT('Teachers sched'!H7, FIND("-", 'Teachers sched'!H7) - 1),
      {
        SALONES!$A:$A &amp; "|" &amp; SALONES!$B:$B,
        SALONES!$C:$C
      },
      2,
      FALSE
    ) &amp; " - " &amp; 'Teachers sched'!H7,
    'Teachers sched'!H7
  )
)
</f>
        <v/>
      </c>
      <c r="I7" s="53"/>
      <c r="J7" s="392"/>
      <c r="K7" s="389" t="s">
        <v>22</v>
      </c>
      <c r="L7" s="389" t="s">
        <v>22</v>
      </c>
      <c r="M7" s="100">
        <v>4.0</v>
      </c>
      <c r="N7" s="390" t="s">
        <v>22</v>
      </c>
      <c r="O7" s="390" t="s">
        <v>22</v>
      </c>
      <c r="P7" s="390" t="s">
        <v>22</v>
      </c>
      <c r="Q7" s="390" t="s">
        <v>22</v>
      </c>
      <c r="R7" s="390" t="s">
        <v>22</v>
      </c>
      <c r="S7" s="53"/>
      <c r="T7" s="393"/>
    </row>
    <row r="8">
      <c r="A8" s="389" t="s">
        <v>44</v>
      </c>
      <c r="B8" s="389" t="s">
        <v>22</v>
      </c>
      <c r="C8" s="100">
        <v>5.0</v>
      </c>
      <c r="D8" s="390" t="str">
        <f t="array" ref="D8">IF('Teachers sched'!D8="", "", 
  IFERROR(
    VLOOKUP(
      'Teachers sched'!$A8 &amp; "|" &amp; 
      LEFT('Teachers sched'!D8, FIND("-", 'Teachers sched'!D8) - 1),
      {
        SALONES!$A:$A &amp; "|" &amp; SALONES!$B:$B,
        SALONES!$C:$C
      },
      2,
      FALSE
    ) &amp; " - " &amp; 'Teachers sched'!D8,
    'Teachers sched'!D8
  )
)
</f>
        <v>FRC 9 Robotics-3</v>
      </c>
      <c r="E8" s="390" t="str">
        <f t="array" ref="E8">IF('Teachers sched'!E8="", "", 
  IFERROR(
    VLOOKUP(
      'Teachers sched'!$A8 &amp; "|" &amp; 
      LEFT('Teachers sched'!E8, FIND("-", 'Teachers sched'!E8) - 1),
      {
        SALONES!$A:$A &amp; "|" &amp; SALONES!$B:$B,
        SALONES!$C:$C
      },
      2,
      FALSE
    ) &amp; " - " &amp; 'Teachers sched'!E8,
    'Teachers sched'!E8
  )
)
</f>
        <v>FRC 9 Robotics-2</v>
      </c>
      <c r="F8" s="390" t="str">
        <f t="array" ref="F8">IF('Teachers sched'!F8="", "", 
  IFERROR(
    VLOOKUP(
      'Teachers sched'!$A8 &amp; "|" &amp; 
      LEFT('Teachers sched'!F8, FIND("-", 'Teachers sched'!F8) - 1),
      {
        SALONES!$A:$A &amp; "|" &amp; SALONES!$B:$B,
        SALONES!$C:$C
      },
      2,
      FALSE
    ) &amp; " - " &amp; 'Teachers sched'!F8,
    'Teachers sched'!F8
  )
)
</f>
        <v/>
      </c>
      <c r="G8" s="390" t="str">
        <f t="array" ref="G8">IF('Teachers sched'!G8="", "", 
  IFERROR(
    VLOOKUP(
      'Teachers sched'!$A8 &amp; "|" &amp; 
      LEFT('Teachers sched'!G8, FIND("-", 'Teachers sched'!G8) - 1),
      {
        SALONES!$A:$A &amp; "|" &amp; SALONES!$B:$B,
        SALONES!$C:$C
      },
      2,
      FALSE
    ) &amp; " - " &amp; 'Teachers sched'!G8,
    'Teachers sched'!G8
  )
)
</f>
        <v/>
      </c>
      <c r="H8" s="390" t="str">
        <f t="array" ref="H8">IF('Teachers sched'!H8="", "", 
  IFERROR(
    VLOOKUP(
      'Teachers sched'!$A8 &amp; "|" &amp; 
      LEFT('Teachers sched'!H8, FIND("-", 'Teachers sched'!H8) - 1),
      {
        SALONES!$A:$A &amp; "|" &amp; SALONES!$B:$B,
        SALONES!$C:$C
      },
      2,
      FALSE
    ) &amp; " - " &amp; 'Teachers sched'!H8,
    'Teachers sched'!H8
  )
)
</f>
        <v/>
      </c>
      <c r="I8" s="68"/>
      <c r="J8" s="392"/>
      <c r="K8" s="389" t="s">
        <v>22</v>
      </c>
      <c r="L8" s="389" t="s">
        <v>22</v>
      </c>
      <c r="M8" s="100">
        <v>5.0</v>
      </c>
      <c r="N8" s="390" t="s">
        <v>22</v>
      </c>
      <c r="O8" s="390" t="s">
        <v>22</v>
      </c>
      <c r="P8" s="390" t="s">
        <v>22</v>
      </c>
      <c r="Q8" s="390" t="s">
        <v>22</v>
      </c>
      <c r="R8" s="390" t="s">
        <v>22</v>
      </c>
      <c r="S8" s="68"/>
      <c r="T8" s="393"/>
    </row>
    <row r="9">
      <c r="C9" s="3"/>
      <c r="D9" s="396"/>
      <c r="E9" s="396"/>
      <c r="F9" s="396"/>
      <c r="G9" s="396"/>
      <c r="H9" s="396"/>
      <c r="N9" s="397"/>
      <c r="O9" s="397"/>
      <c r="P9" s="397"/>
      <c r="Q9" s="397"/>
      <c r="R9" s="397"/>
    </row>
    <row r="10">
      <c r="A10" s="45"/>
      <c r="B10" s="45"/>
      <c r="C10" s="386" t="s">
        <v>60</v>
      </c>
      <c r="D10" s="383"/>
      <c r="E10" s="383"/>
      <c r="F10" s="383"/>
      <c r="G10" s="383"/>
      <c r="H10" s="384"/>
      <c r="I10" s="385" t="str">
        <f>IFERROR(__xludf.DUMMYFUNCTION("if(C10="""","""", iferror(filter(Schedule!$K:$K,Schedule!$L:$L=$C10,Schedule!$K:$K=""S1""),unique(filter(Schedule!$K:$K,Schedule!$L:$L=$C10,Schedule!$K:$K=""""))))"),"")</f>
        <v/>
      </c>
      <c r="M10" s="386" t="s">
        <v>22</v>
      </c>
      <c r="N10" s="383"/>
      <c r="O10" s="383"/>
      <c r="P10" s="383"/>
      <c r="Q10" s="383"/>
      <c r="R10" s="384"/>
      <c r="S10" s="385" t="s">
        <v>22</v>
      </c>
      <c r="T10" s="112"/>
    </row>
    <row r="11">
      <c r="A11" s="116"/>
      <c r="B11" s="116"/>
      <c r="C11" s="100" t="s">
        <v>7</v>
      </c>
      <c r="D11" s="387" t="s">
        <v>8</v>
      </c>
      <c r="E11" s="387" t="s">
        <v>9</v>
      </c>
      <c r="F11" s="387" t="s">
        <v>10</v>
      </c>
      <c r="G11" s="387" t="s">
        <v>11</v>
      </c>
      <c r="H11" s="387" t="s">
        <v>12</v>
      </c>
      <c r="I11" s="21" t="s">
        <v>766</v>
      </c>
      <c r="J11" s="116"/>
      <c r="K11" s="116"/>
      <c r="L11" s="116"/>
      <c r="M11" s="100" t="s">
        <v>7</v>
      </c>
      <c r="N11" s="387" t="s">
        <v>8</v>
      </c>
      <c r="O11" s="387" t="s">
        <v>9</v>
      </c>
      <c r="P11" s="387" t="s">
        <v>10</v>
      </c>
      <c r="Q11" s="387" t="s">
        <v>11</v>
      </c>
      <c r="R11" s="387" t="s">
        <v>12</v>
      </c>
      <c r="S11" s="21" t="s">
        <v>766</v>
      </c>
      <c r="T11" s="388"/>
    </row>
    <row r="12">
      <c r="A12" s="389" t="s">
        <v>60</v>
      </c>
      <c r="B12" s="389" t="s">
        <v>22</v>
      </c>
      <c r="C12" s="100">
        <v>1.0</v>
      </c>
      <c r="D12" s="390" t="str">
        <f t="array" ref="D12">IF('Teachers sched'!D12="", "", 
  IFERROR(
    VLOOKUP(
      'Teachers sched'!$A12 &amp; "|" &amp; 
      LEFT('Teachers sched'!D12, FIND("-", 'Teachers sched'!D12) - 1),
      {
        SALONES!$A:$A &amp; "|" &amp; SALONES!$B:$B,
        SALONES!$C:$C
      },
      2,
      FALSE
    ) &amp; " - " &amp; 'Teachers sched'!D12,
    'Teachers sched'!D12
  )
)
</f>
        <v>902 - Art of Fiction Higher Level-1</v>
      </c>
      <c r="E12" s="390" t="str">
        <f t="array" ref="E12">IF('Teachers sched'!E12="", "", 
  IFERROR(
    VLOOKUP(
      'Teachers sched'!$A12 &amp; "|" &amp; 
      LEFT('Teachers sched'!E12, FIND("-", 'Teachers sched'!E12) - 1),
      {
        SALONES!$A:$A &amp; "|" &amp; SALONES!$B:$B,
        SALONES!$C:$C
      },
      2,
      FALSE
    ) &amp; " - " &amp; 'Teachers sched'!E12,
    'Teachers sched'!E12
  )
)
</f>
        <v>902 - Art of Fiction Intermediate Level-3</v>
      </c>
      <c r="F12" s="390" t="str">
        <f t="array" ref="F12">IF('Teachers sched'!F12="", "", 
  IFERROR(
    VLOOKUP(
      'Teachers sched'!$A12 &amp; "|" &amp; 
      LEFT('Teachers sched'!F12, FIND("-", 'Teachers sched'!F12) - 1),
      {
        SALONES!$A:$A &amp; "|" &amp; SALONES!$B:$B,
        SALONES!$C:$C
      },
      2,
      FALSE
    ) &amp; " - " &amp; 'Teachers sched'!F12,
    'Teachers sched'!F12
  )
)
</f>
        <v/>
      </c>
      <c r="G12" s="390" t="str">
        <f t="array" ref="G12">IF('Teachers sched'!G12="", "", 
  IFERROR(
    VLOOKUP(
      'Teachers sched'!$A12 &amp; "|" &amp; 
      LEFT('Teachers sched'!G12, FIND("-", 'Teachers sched'!G12) - 1),
      {
        SALONES!$A:$A &amp; "|" &amp; SALONES!$B:$B,
        SALONES!$C:$C
      },
      2,
      FALSE
    ) &amp; " - " &amp; 'Teachers sched'!G12,
    'Teachers sched'!G12
  )
)
</f>
        <v>902 - Art of Fiction Higher Level-3</v>
      </c>
      <c r="H12" s="390" t="str">
        <f t="array" ref="H12">IF('Teachers sched'!H12="", "", 
  IFERROR(
    VLOOKUP(
      'Teachers sched'!$A12 &amp; "|" &amp; 
      LEFT('Teachers sched'!H12, FIND("-", 'Teachers sched'!H12) - 1),
      {
        SALONES!$A:$A &amp; "|" &amp; SALONES!$B:$B,
        SALONES!$C:$C
      },
      2,
      FALSE
    ) &amp; " - " &amp; 'Teachers sched'!H12,
    'Teachers sched'!H12
  )
)
</f>
        <v/>
      </c>
      <c r="I12" s="391">
        <f>if(C10="","", 24-countifs(D12:H16,""))</f>
        <v>15</v>
      </c>
      <c r="J12" s="392"/>
      <c r="K12" s="389" t="s">
        <v>22</v>
      </c>
      <c r="L12" s="389" t="s">
        <v>22</v>
      </c>
      <c r="M12" s="100">
        <v>1.0</v>
      </c>
      <c r="N12" s="390" t="s">
        <v>22</v>
      </c>
      <c r="O12" s="390" t="s">
        <v>22</v>
      </c>
      <c r="P12" s="390" t="s">
        <v>22</v>
      </c>
      <c r="Q12" s="390" t="s">
        <v>22</v>
      </c>
      <c r="R12" s="390" t="s">
        <v>22</v>
      </c>
      <c r="S12" s="391" t="s">
        <v>22</v>
      </c>
      <c r="T12" s="393"/>
    </row>
    <row r="13">
      <c r="A13" s="389" t="s">
        <v>60</v>
      </c>
      <c r="B13" s="389" t="s">
        <v>22</v>
      </c>
      <c r="C13" s="100">
        <v>2.0</v>
      </c>
      <c r="D13" s="390" t="str">
        <f t="array" ref="D13">IF('Teachers sched'!D13="", "", 
  IFERROR(
    VLOOKUP(
      'Teachers sched'!$A13 &amp; "|" &amp; 
      LEFT('Teachers sched'!D13, FIND("-", 'Teachers sched'!D13) - 1),
      {
        SALONES!$A:$A &amp; "|" &amp; SALONES!$B:$B,
        SALONES!$C:$C
      },
      2,
      FALSE
    ) &amp; " - " &amp; 'Teachers sched'!D13,
    'Teachers sched'!D13
  )
)
</f>
        <v/>
      </c>
      <c r="E13" s="390" t="str">
        <f t="array" ref="E13">IF('Teachers sched'!E13="", "", 
  IFERROR(
    VLOOKUP(
      'Teachers sched'!$A13 &amp; "|" &amp; 
      LEFT('Teachers sched'!E13, FIND("-", 'Teachers sched'!E13) - 1),
      {
        SALONES!$A:$A &amp; "|" &amp; SALONES!$B:$B,
        SALONES!$C:$C
      },
      2,
      FALSE
    ) &amp; " - " &amp; 'Teachers sched'!E13,
    'Teachers sched'!E13
  )
)
</f>
        <v>902 - Art of Fiction Higher Level-2</v>
      </c>
      <c r="F13" s="390" t="str">
        <f t="array" ref="F13">IF('Teachers sched'!F13="", "", 
  IFERROR(
    VLOOKUP(
      'Teachers sched'!$A13 &amp; "|" &amp; 
      LEFT('Teachers sched'!F13, FIND("-", 'Teachers sched'!F13) - 1),
      {
        SALONES!$A:$A &amp; "|" &amp; SALONES!$B:$B,
        SALONES!$C:$C
      },
      2,
      FALSE
    ) &amp; " - " &amp; 'Teachers sched'!F13,
    'Teachers sched'!F13
  )
)
</f>
        <v>902 - AP English Literature-1</v>
      </c>
      <c r="G13" s="390" t="str">
        <f t="array" ref="G13">IF('Teachers sched'!G13="", "", 
  IFERROR(
    VLOOKUP(
      'Teachers sched'!$A13 &amp; "|" &amp; 
      LEFT('Teachers sched'!G13, FIND("-", 'Teachers sched'!G13) - 1),
      {
        SALONES!$A:$A &amp; "|" &amp; SALONES!$B:$B,
        SALONES!$C:$C
      },
      2,
      FALSE
    ) &amp; " - " &amp; 'Teachers sched'!G13,
    'Teachers sched'!G13
  )
)
</f>
        <v>902 - Art of Fiction Higher Level-1</v>
      </c>
      <c r="H13" s="390" t="str">
        <f t="array" ref="H13">IF('Teachers sched'!H13="", "", 
  IFERROR(
    VLOOKUP(
      'Teachers sched'!$A13 &amp; "|" &amp; 
      LEFT('Teachers sched'!H13, FIND("-", 'Teachers sched'!H13) - 1),
      {
        SALONES!$A:$A &amp; "|" &amp; SALONES!$B:$B,
        SALONES!$C:$C
      },
      2,
      FALSE
    ) &amp; " - " &amp; 'Teachers sched'!H13,
    'Teachers sched'!H13
  )
)
</f>
        <v>902 - Art of Fiction Intermediate Level-3</v>
      </c>
      <c r="I13" s="53"/>
      <c r="J13" s="392"/>
      <c r="K13" s="389" t="s">
        <v>22</v>
      </c>
      <c r="L13" s="389" t="s">
        <v>22</v>
      </c>
      <c r="M13" s="100">
        <v>2.0</v>
      </c>
      <c r="N13" s="390" t="s">
        <v>22</v>
      </c>
      <c r="O13" s="390" t="s">
        <v>22</v>
      </c>
      <c r="P13" s="390" t="s">
        <v>22</v>
      </c>
      <c r="Q13" s="390" t="s">
        <v>22</v>
      </c>
      <c r="R13" s="390" t="s">
        <v>22</v>
      </c>
      <c r="S13" s="53"/>
      <c r="T13" s="393"/>
    </row>
    <row r="14">
      <c r="A14" s="389" t="s">
        <v>60</v>
      </c>
      <c r="B14" s="389" t="s">
        <v>22</v>
      </c>
      <c r="C14" s="100">
        <v>3.0</v>
      </c>
      <c r="D14" s="390" t="str">
        <f t="array" ref="D14">IF('Teachers sched'!D14="", "", 
  IFERROR(
    VLOOKUP(
      'Teachers sched'!$A14 &amp; "|" &amp; 
      LEFT('Teachers sched'!D14, FIND("-", 'Teachers sched'!D14) - 1),
      {
        SALONES!$A:$A &amp; "|" &amp; SALONES!$B:$B,
        SALONES!$C:$C
      },
      2,
      FALSE
    ) &amp; " - " &amp; 'Teachers sched'!D14,
    'Teachers sched'!D14
  )
)
</f>
        <v/>
      </c>
      <c r="E14" s="390" t="str">
        <f t="array" ref="E14">IF('Teachers sched'!E14="", "", 
  IFERROR(
    VLOOKUP(
      'Teachers sched'!$A14 &amp; "|" &amp; 
      LEFT('Teachers sched'!E14, FIND("-", 'Teachers sched'!E14) - 1),
      {
        SALONES!$A:$A &amp; "|" &amp; SALONES!$B:$B,
        SALONES!$C:$C
      },
      2,
      FALSE
    ) &amp; " - " &amp; 'Teachers sched'!E14,
    'Teachers sched'!E14
  )
)
</f>
        <v>902 - Art of Fiction Higher Level-3</v>
      </c>
      <c r="F14" s="390" t="str">
        <f t="array" ref="F14">IF('Teachers sched'!F14="", "", 
  IFERROR(
    VLOOKUP(
      'Teachers sched'!$A14 &amp; "|" &amp; 
      LEFT('Teachers sched'!F14, FIND("-", 'Teachers sched'!F14) - 1),
      {
        SALONES!$A:$A &amp; "|" &amp; SALONES!$B:$B,
        SALONES!$C:$C
      },
      2,
      FALSE
    ) &amp; " - " &amp; 'Teachers sched'!F14,
    'Teachers sched'!F14
  )
)
</f>
        <v/>
      </c>
      <c r="G14" s="390" t="str">
        <f t="array" ref="G14">IF('Teachers sched'!G14="", "", 
  IFERROR(
    VLOOKUP(
      'Teachers sched'!$A14 &amp; "|" &amp; 
      LEFT('Teachers sched'!G14, FIND("-", 'Teachers sched'!G14) - 1),
      {
        SALONES!$A:$A &amp; "|" &amp; SALONES!$B:$B,
        SALONES!$C:$C
      },
      2,
      FALSE
    ) &amp; " - " &amp; 'Teachers sched'!G14,
    'Teachers sched'!G14
  )
)
</f>
        <v/>
      </c>
      <c r="H14" s="395" t="str">
        <f t="array" ref="H14">IF('Teachers sched'!H14="", "", 
  IFERROR(
    VLOOKUP(
      'Teachers sched'!$A14 &amp; "|" &amp; 
      LEFT('Teachers sched'!H14, FIND("-", 'Teachers sched'!H14) - 1),
      {
        SALONES!$A:$A &amp; "|" &amp; SALONES!$B:$B,
        SALONES!$C:$C
      },
      2,
      FALSE
    ) &amp; " - " &amp; 'Teachers sched'!H14,
    'Teachers sched'!H14
  )
)
</f>
        <v>X-Block</v>
      </c>
      <c r="I14" s="53"/>
      <c r="J14" s="392"/>
      <c r="K14" s="389" t="s">
        <v>22</v>
      </c>
      <c r="L14" s="389" t="s">
        <v>22</v>
      </c>
      <c r="M14" s="100">
        <v>3.0</v>
      </c>
      <c r="N14" s="390" t="s">
        <v>22</v>
      </c>
      <c r="O14" s="390" t="s">
        <v>22</v>
      </c>
      <c r="P14" s="390" t="s">
        <v>22</v>
      </c>
      <c r="Q14" s="390" t="s">
        <v>22</v>
      </c>
      <c r="R14" s="395" t="s">
        <v>22</v>
      </c>
      <c r="S14" s="53"/>
      <c r="T14" s="393"/>
    </row>
    <row r="15">
      <c r="A15" s="389" t="s">
        <v>60</v>
      </c>
      <c r="B15" s="389" t="s">
        <v>22</v>
      </c>
      <c r="C15" s="100">
        <v>4.0</v>
      </c>
      <c r="D15" s="390" t="str">
        <f t="array" ref="D15">IF('Teachers sched'!D15="", "", 
  IFERROR(
    VLOOKUP(
      'Teachers sched'!$A15 &amp; "|" &amp; 
      LEFT('Teachers sched'!D15, FIND("-", 'Teachers sched'!D15) - 1),
      {
        SALONES!$A:$A &amp; "|" &amp; SALONES!$B:$B,
        SALONES!$C:$C
      },
      2,
      FALSE
    ) &amp; " - " &amp; 'Teachers sched'!D15,
    'Teachers sched'!D15
  )
)
</f>
        <v>902 - AP English Literature-1</v>
      </c>
      <c r="E15" s="390" t="str">
        <f t="array" ref="E15">IF('Teachers sched'!E15="", "", 
  IFERROR(
    VLOOKUP(
      'Teachers sched'!$A15 &amp; "|" &amp; 
      LEFT('Teachers sched'!E15, FIND("-", 'Teachers sched'!E15) - 1),
      {
        SALONES!$A:$A &amp; "|" &amp; SALONES!$B:$B,
        SALONES!$C:$C
      },
      2,
      FALSE
    ) &amp; " - " &amp; 'Teachers sched'!E15,
    'Teachers sched'!E15
  )
)
</f>
        <v>902 - Art of Fiction Higher Level-1</v>
      </c>
      <c r="F15" s="390" t="str">
        <f t="array" ref="F15">IF('Teachers sched'!F15="", "", 
  IFERROR(
    VLOOKUP(
      'Teachers sched'!$A15 &amp; "|" &amp; 
      LEFT('Teachers sched'!F15, FIND("-", 'Teachers sched'!F15) - 1),
      {
        SALONES!$A:$A &amp; "|" &amp; SALONES!$B:$B,
        SALONES!$C:$C
      },
      2,
      FALSE
    ) &amp; " - " &amp; 'Teachers sched'!F15,
    'Teachers sched'!F15
  )
)
</f>
        <v>902 - Art of Fiction Intermediate Level-3</v>
      </c>
      <c r="G15" s="390" t="str">
        <f t="array" ref="G15">IF('Teachers sched'!G15="", "", 
  IFERROR(
    VLOOKUP(
      'Teachers sched'!$A15 &amp; "|" &amp; 
      LEFT('Teachers sched'!G15, FIND("-", 'Teachers sched'!G15) - 1),
      {
        SALONES!$A:$A &amp; "|" &amp; SALONES!$B:$B,
        SALONES!$C:$C
      },
      2,
      FALSE
    ) &amp; " - " &amp; 'Teachers sched'!G15,
    'Teachers sched'!G15
  )
)
</f>
        <v/>
      </c>
      <c r="H15" s="390" t="str">
        <f t="array" ref="H15">IF('Teachers sched'!H15="", "", 
  IFERROR(
    VLOOKUP(
      'Teachers sched'!$A15 &amp; "|" &amp; 
      LEFT('Teachers sched'!H15, FIND("-", 'Teachers sched'!H15) - 1),
      {
        SALONES!$A:$A &amp; "|" &amp; SALONES!$B:$B,
        SALONES!$C:$C
      },
      2,
      FALSE
    ) &amp; " - " &amp; 'Teachers sched'!H15,
    'Teachers sched'!H15
  )
)
</f>
        <v>902 - Art of Fiction Higher Level-2</v>
      </c>
      <c r="I15" s="53"/>
      <c r="J15" s="392"/>
      <c r="K15" s="389" t="s">
        <v>22</v>
      </c>
      <c r="L15" s="389" t="s">
        <v>22</v>
      </c>
      <c r="M15" s="100">
        <v>4.0</v>
      </c>
      <c r="N15" s="390" t="s">
        <v>22</v>
      </c>
      <c r="O15" s="390" t="s">
        <v>22</v>
      </c>
      <c r="P15" s="390" t="s">
        <v>22</v>
      </c>
      <c r="Q15" s="390" t="s">
        <v>22</v>
      </c>
      <c r="R15" s="390" t="s">
        <v>22</v>
      </c>
      <c r="S15" s="53"/>
      <c r="T15" s="393"/>
    </row>
    <row r="16">
      <c r="A16" s="389" t="s">
        <v>60</v>
      </c>
      <c r="B16" s="389" t="s">
        <v>22</v>
      </c>
      <c r="C16" s="100">
        <v>5.0</v>
      </c>
      <c r="D16" s="390" t="str">
        <f t="array" ref="D16">IF('Teachers sched'!D16="", "", 
  IFERROR(
    VLOOKUP(
      'Teachers sched'!$A16 &amp; "|" &amp; 
      LEFT('Teachers sched'!D16, FIND("-", 'Teachers sched'!D16) - 1),
      {
        SALONES!$A:$A &amp; "|" &amp; SALONES!$B:$B,
        SALONES!$C:$C
      },
      2,
      FALSE
    ) &amp; " - " &amp; 'Teachers sched'!D16,
    'Teachers sched'!D16
  )
)
</f>
        <v/>
      </c>
      <c r="E16" s="390" t="str">
        <f t="array" ref="E16">IF('Teachers sched'!E16="", "", 
  IFERROR(
    VLOOKUP(
      'Teachers sched'!$A16 &amp; "|" &amp; 
      LEFT('Teachers sched'!E16, FIND("-", 'Teachers sched'!E16) - 1),
      {
        SALONES!$A:$A &amp; "|" &amp; SALONES!$B:$B,
        SALONES!$C:$C
      },
      2,
      FALSE
    ) &amp; " - " &amp; 'Teachers sched'!E16,
    'Teachers sched'!E16
  )
)
</f>
        <v/>
      </c>
      <c r="F16" s="390" t="str">
        <f t="array" ref="F16">IF('Teachers sched'!F16="", "", 
  IFERROR(
    VLOOKUP(
      'Teachers sched'!$A16 &amp; "|" &amp; 
      LEFT('Teachers sched'!F16, FIND("-", 'Teachers sched'!F16) - 1),
      {
        SALONES!$A:$A &amp; "|" &amp; SALONES!$B:$B,
        SALONES!$C:$C
      },
      2,
      FALSE
    ) &amp; " - " &amp; 'Teachers sched'!F16,
    'Teachers sched'!F16
  )
)
</f>
        <v>902 - Art of Fiction Higher Level-2</v>
      </c>
      <c r="G16" s="390" t="str">
        <f t="array" ref="G16">IF('Teachers sched'!G16="", "", 
  IFERROR(
    VLOOKUP(
      'Teachers sched'!$A16 &amp; "|" &amp; 
      LEFT('Teachers sched'!G16, FIND("-", 'Teachers sched'!G16) - 1),
      {
        SALONES!$A:$A &amp; "|" &amp; SALONES!$B:$B,
        SALONES!$C:$C
      },
      2,
      FALSE
    ) &amp; " - " &amp; 'Teachers sched'!G16,
    'Teachers sched'!G16
  )
)
</f>
        <v>902 - AP English Literature-1</v>
      </c>
      <c r="H16" s="390" t="str">
        <f t="array" ref="H16">IF('Teachers sched'!H16="", "", 
  IFERROR(
    VLOOKUP(
      'Teachers sched'!$A16 &amp; "|" &amp; 
      LEFT('Teachers sched'!H16, FIND("-", 'Teachers sched'!H16) - 1),
      {
        SALONES!$A:$A &amp; "|" &amp; SALONES!$B:$B,
        SALONES!$C:$C
      },
      2,
      FALSE
    ) &amp; " - " &amp; 'Teachers sched'!H16,
    'Teachers sched'!H16
  )
)
</f>
        <v>902 - Art of Fiction Higher Level-3</v>
      </c>
      <c r="I16" s="68"/>
      <c r="J16" s="392"/>
      <c r="K16" s="389" t="s">
        <v>22</v>
      </c>
      <c r="L16" s="389" t="s">
        <v>22</v>
      </c>
      <c r="M16" s="100">
        <v>5.0</v>
      </c>
      <c r="N16" s="390" t="s">
        <v>22</v>
      </c>
      <c r="O16" s="390" t="s">
        <v>22</v>
      </c>
      <c r="P16" s="390" t="s">
        <v>22</v>
      </c>
      <c r="Q16" s="390" t="s">
        <v>22</v>
      </c>
      <c r="R16" s="390" t="s">
        <v>22</v>
      </c>
      <c r="S16" s="68"/>
      <c r="T16" s="393"/>
    </row>
    <row r="17">
      <c r="C17" s="3"/>
      <c r="D17" s="396"/>
      <c r="E17" s="396"/>
      <c r="F17" s="396"/>
      <c r="G17" s="396"/>
      <c r="H17" s="396"/>
      <c r="N17" s="397"/>
      <c r="O17" s="397"/>
      <c r="P17" s="397"/>
      <c r="Q17" s="397"/>
      <c r="R17" s="397"/>
    </row>
    <row r="18">
      <c r="A18" s="45"/>
      <c r="B18" s="45"/>
      <c r="C18" s="386" t="s">
        <v>80</v>
      </c>
      <c r="D18" s="383"/>
      <c r="E18" s="383"/>
      <c r="F18" s="383"/>
      <c r="G18" s="383"/>
      <c r="H18" s="384"/>
      <c r="I18" s="385" t="str">
        <f>IFERROR(__xludf.DUMMYFUNCTION("if(C18="""","""", iferror(filter(Schedule!$K:$K,Schedule!$L:$L=$C18,Schedule!$K:$K=""S1""),unique(filter(Schedule!$K:$K,Schedule!$L:$L=$C18,Schedule!$K:$K=""""))))"),"")</f>
        <v/>
      </c>
      <c r="M18" s="386" t="s">
        <v>22</v>
      </c>
      <c r="N18" s="383"/>
      <c r="O18" s="383"/>
      <c r="P18" s="383"/>
      <c r="Q18" s="383"/>
      <c r="R18" s="384"/>
      <c r="S18" s="385" t="s">
        <v>22</v>
      </c>
      <c r="T18" s="112"/>
    </row>
    <row r="19">
      <c r="A19" s="116"/>
      <c r="B19" s="116"/>
      <c r="C19" s="100" t="s">
        <v>7</v>
      </c>
      <c r="D19" s="387" t="s">
        <v>8</v>
      </c>
      <c r="E19" s="387" t="s">
        <v>9</v>
      </c>
      <c r="F19" s="387" t="s">
        <v>10</v>
      </c>
      <c r="G19" s="387" t="s">
        <v>11</v>
      </c>
      <c r="H19" s="387" t="s">
        <v>12</v>
      </c>
      <c r="I19" s="21" t="s">
        <v>766</v>
      </c>
      <c r="J19" s="116"/>
      <c r="K19" s="116"/>
      <c r="L19" s="116"/>
      <c r="M19" s="100" t="s">
        <v>7</v>
      </c>
      <c r="N19" s="387" t="s">
        <v>8</v>
      </c>
      <c r="O19" s="387" t="s">
        <v>9</v>
      </c>
      <c r="P19" s="387" t="s">
        <v>10</v>
      </c>
      <c r="Q19" s="387" t="s">
        <v>11</v>
      </c>
      <c r="R19" s="387" t="s">
        <v>12</v>
      </c>
      <c r="S19" s="21" t="s">
        <v>766</v>
      </c>
      <c r="T19" s="388"/>
    </row>
    <row r="20">
      <c r="A20" s="389" t="s">
        <v>80</v>
      </c>
      <c r="B20" s="389" t="s">
        <v>22</v>
      </c>
      <c r="C20" s="100">
        <v>1.0</v>
      </c>
      <c r="D20" s="390" t="str">
        <f t="array" ref="D20">IF('Teachers sched'!D20="", "", 
  IFERROR(
    VLOOKUP(
      'Teachers sched'!$A20 &amp; "|" &amp; 
      LEFT('Teachers sched'!D20, FIND("-", 'Teachers sched'!D20) - 1),
      {
        SALONES!$A:$A &amp; "|" &amp; SALONES!$B:$B,
        SALONES!$C:$C
      },
      2,
      FALSE
    ) &amp; " - " &amp; 'Teachers sched'!D20,
    'Teachers sched'!D20
  )
)
</f>
        <v>923 - Spanish and Literature 9-1</v>
      </c>
      <c r="E20" s="390" t="str">
        <f t="array" ref="E20">IF('Teachers sched'!E20="", "", 
  IFERROR(
    VLOOKUP(
      'Teachers sched'!$A20 &amp; "|" &amp; 
      LEFT('Teachers sched'!E20, FIND("-", 'Teachers sched'!E20) - 1),
      {
        SALONES!$A:$A &amp; "|" &amp; SALONES!$B:$B,
        SALONES!$C:$C
      },
      2,
      FALSE
    ) &amp; " - " &amp; 'Teachers sched'!E20,
    'Teachers sched'!E20
  )
)
</f>
        <v>923 - Spanish and Literature 9-4</v>
      </c>
      <c r="F20" s="390" t="str">
        <f t="array" ref="F20">IF('Teachers sched'!F20="", "", 
  IFERROR(
    VLOOKUP(
      'Teachers sched'!$A20 &amp; "|" &amp; 
      LEFT('Teachers sched'!F20, FIND("-", 'Teachers sched'!F20) - 1),
      {
        SALONES!$A:$A &amp; "|" &amp; SALONES!$B:$B,
        SALONES!$C:$C
      },
      2,
      FALSE
    ) &amp; " - " &amp; 'Teachers sched'!F20,
    'Teachers sched'!F20
  )
)
</f>
        <v/>
      </c>
      <c r="G20" s="390" t="str">
        <f t="array" ref="G20">IF('Teachers sched'!G20="", "", 
  IFERROR(
    VLOOKUP(
      'Teachers sched'!$A20 &amp; "|" &amp; 
      LEFT('Teachers sched'!G20, FIND("-", 'Teachers sched'!G20) - 1),
      {
        SALONES!$A:$A &amp; "|" &amp; SALONES!$B:$B,
        SALONES!$C:$C
      },
      2,
      FALSE
    ) &amp; " - " &amp; 'Teachers sched'!G20,
    'Teachers sched'!G20
  )
)
</f>
        <v>Library - Spanish as a Foreing Language-1</v>
      </c>
      <c r="H20" s="390" t="str">
        <f t="array" ref="H20">IF('Teachers sched'!H20="", "", 
  IFERROR(
    VLOOKUP(
      'Teachers sched'!$A20 &amp; "|" &amp; 
      LEFT('Teachers sched'!H20, FIND("-", 'Teachers sched'!H20) - 1),
      {
        SALONES!$A:$A &amp; "|" &amp; SALONES!$B:$B,
        SALONES!$C:$C
      },
      2,
      FALSE
    ) &amp; " - " &amp; 'Teachers sched'!H20,
    'Teachers sched'!H20
  )
)
</f>
        <v>923 - Spanish and Literature 9-3</v>
      </c>
      <c r="I20" s="391">
        <f>if(C18="","", 24-countifs(D20:H24,""))</f>
        <v>15</v>
      </c>
      <c r="J20" s="392"/>
      <c r="K20" s="389" t="s">
        <v>22</v>
      </c>
      <c r="L20" s="389" t="s">
        <v>22</v>
      </c>
      <c r="M20" s="100">
        <v>1.0</v>
      </c>
      <c r="N20" s="390" t="s">
        <v>22</v>
      </c>
      <c r="O20" s="390" t="s">
        <v>22</v>
      </c>
      <c r="P20" s="390" t="s">
        <v>22</v>
      </c>
      <c r="Q20" s="390" t="s">
        <v>22</v>
      </c>
      <c r="R20" s="390" t="s">
        <v>22</v>
      </c>
      <c r="S20" s="391" t="s">
        <v>22</v>
      </c>
      <c r="T20" s="393"/>
    </row>
    <row r="21">
      <c r="A21" s="389" t="s">
        <v>80</v>
      </c>
      <c r="B21" s="389" t="s">
        <v>22</v>
      </c>
      <c r="C21" s="100">
        <v>2.0</v>
      </c>
      <c r="D21" s="390" t="str">
        <f t="array" ref="D21">IF('Teachers sched'!D21="", "", 
  IFERROR(
    VLOOKUP(
      'Teachers sched'!$A21 &amp; "|" &amp; 
      LEFT('Teachers sched'!D21, FIND("-", 'Teachers sched'!D21) - 1),
      {
        SALONES!$A:$A &amp; "|" &amp; SALONES!$B:$B,
        SALONES!$C:$C
      },
      2,
      FALSE
    ) &amp; " - " &amp; 'Teachers sched'!D21,
    'Teachers sched'!D21
  )
)
</f>
        <v/>
      </c>
      <c r="E21" s="390" t="str">
        <f t="array" ref="E21">IF('Teachers sched'!E21="", "", 
  IFERROR(
    VLOOKUP(
      'Teachers sched'!$A21 &amp; "|" &amp; 
      LEFT('Teachers sched'!E21, FIND("-", 'Teachers sched'!E21) - 1),
      {
        SALONES!$A:$A &amp; "|" &amp; SALONES!$B:$B,
        SALONES!$C:$C
      },
      2,
      FALSE
    ) &amp; " - " &amp; 'Teachers sched'!E21,
    'Teachers sched'!E21
  )
)
</f>
        <v/>
      </c>
      <c r="F21" s="390" t="str">
        <f t="array" ref="F21">IF('Teachers sched'!F21="", "", 
  IFERROR(
    VLOOKUP(
      'Teachers sched'!$A21 &amp; "|" &amp; 
      LEFT('Teachers sched'!F21, FIND("-", 'Teachers sched'!F21) - 1),
      {
        SALONES!$A:$A &amp; "|" &amp; SALONES!$B:$B,
        SALONES!$C:$C
      },
      2,
      FALSE
    ) &amp; " - " &amp; 'Teachers sched'!F21,
    'Teachers sched'!F21
  )
)
</f>
        <v>923 - Spanish and Literature 9-2</v>
      </c>
      <c r="G21" s="390" t="str">
        <f t="array" ref="G21">IF('Teachers sched'!G21="", "", 
  IFERROR(
    VLOOKUP(
      'Teachers sched'!$A21 &amp; "|" &amp; 
      LEFT('Teachers sched'!G21, FIND("-", 'Teachers sched'!G21) - 1),
      {
        SALONES!$A:$A &amp; "|" &amp; SALONES!$B:$B,
        SALONES!$C:$C
      },
      2,
      FALSE
    ) &amp; " - " &amp; 'Teachers sched'!G21,
    'Teachers sched'!G21
  )
)
</f>
        <v>923 - Spanish and Literature 9-1</v>
      </c>
      <c r="H21" s="390" t="str">
        <f t="array" ref="H21">IF('Teachers sched'!H21="", "", 
  IFERROR(
    VLOOKUP(
      'Teachers sched'!$A21 &amp; "|" &amp; 
      LEFT('Teachers sched'!H21, FIND("-", 'Teachers sched'!H21) - 1),
      {
        SALONES!$A:$A &amp; "|" &amp; SALONES!$B:$B,
        SALONES!$C:$C
      },
      2,
      FALSE
    ) &amp; " - " &amp; 'Teachers sched'!H21,
    'Teachers sched'!H21
  )
)
</f>
        <v>923 - Spanish and Literature 9-4</v>
      </c>
      <c r="I21" s="53"/>
      <c r="J21" s="392"/>
      <c r="K21" s="389" t="s">
        <v>22</v>
      </c>
      <c r="L21" s="389" t="s">
        <v>22</v>
      </c>
      <c r="M21" s="100">
        <v>2.0</v>
      </c>
      <c r="N21" s="390" t="s">
        <v>22</v>
      </c>
      <c r="O21" s="390" t="s">
        <v>22</v>
      </c>
      <c r="P21" s="390" t="s">
        <v>22</v>
      </c>
      <c r="Q21" s="390" t="s">
        <v>22</v>
      </c>
      <c r="R21" s="390" t="s">
        <v>22</v>
      </c>
      <c r="S21" s="53"/>
      <c r="T21" s="393"/>
    </row>
    <row r="22">
      <c r="A22" s="389" t="s">
        <v>80</v>
      </c>
      <c r="B22" s="389" t="s">
        <v>22</v>
      </c>
      <c r="C22" s="100">
        <v>3.0</v>
      </c>
      <c r="D22" s="390" t="str">
        <f t="array" ref="D22">IF('Teachers sched'!D22="", "", 
  IFERROR(
    VLOOKUP(
      'Teachers sched'!$A22 &amp; "|" &amp; 
      LEFT('Teachers sched'!D22, FIND("-", 'Teachers sched'!D22) - 1),
      {
        SALONES!$A:$A &amp; "|" &amp; SALONES!$B:$B,
        SALONES!$C:$C
      },
      2,
      FALSE
    ) &amp; " - " &amp; 'Teachers sched'!D22,
    'Teachers sched'!D22
  )
)
</f>
        <v/>
      </c>
      <c r="E22" s="390" t="str">
        <f t="array" ref="E22">IF('Teachers sched'!E22="", "", 
  IFERROR(
    VLOOKUP(
      'Teachers sched'!$A22 &amp; "|" &amp; 
      LEFT('Teachers sched'!E22, FIND("-", 'Teachers sched'!E22) - 1),
      {
        SALONES!$A:$A &amp; "|" &amp; SALONES!$B:$B,
        SALONES!$C:$C
      },
      2,
      FALSE
    ) &amp; " - " &amp; 'Teachers sched'!E22,
    'Teachers sched'!E22
  )
)
</f>
        <v>Library - Spanish as a Foreing Language-1</v>
      </c>
      <c r="F22" s="390" t="str">
        <f t="array" ref="F22">IF('Teachers sched'!F22="", "", 
  IFERROR(
    VLOOKUP(
      'Teachers sched'!$A22 &amp; "|" &amp; 
      LEFT('Teachers sched'!F22, FIND("-", 'Teachers sched'!F22) - 1),
      {
        SALONES!$A:$A &amp; "|" &amp; SALONES!$B:$B,
        SALONES!$C:$C
      },
      2,
      FALSE
    ) &amp; " - " &amp; 'Teachers sched'!F22,
    'Teachers sched'!F22
  )
)
</f>
        <v>923 - Spanish and Literature 9-3</v>
      </c>
      <c r="G22" s="390" t="str">
        <f t="array" ref="G22">IF('Teachers sched'!G22="", "", 
  IFERROR(
    VLOOKUP(
      'Teachers sched'!$A22 &amp; "|" &amp; 
      LEFT('Teachers sched'!G22, FIND("-", 'Teachers sched'!G22) - 1),
      {
        SALONES!$A:$A &amp; "|" &amp; SALONES!$B:$B,
        SALONES!$C:$C
      },
      2,
      FALSE
    ) &amp; " - " &amp; 'Teachers sched'!G22,
    'Teachers sched'!G22
  )
)
</f>
        <v/>
      </c>
      <c r="H22" s="395" t="str">
        <f t="array" ref="H22">IF('Teachers sched'!H22="", "", 
  IFERROR(
    VLOOKUP(
      'Teachers sched'!$A22 &amp; "|" &amp; 
      LEFT('Teachers sched'!H22, FIND("-", 'Teachers sched'!H22) - 1),
      {
        SALONES!$A:$A &amp; "|" &amp; SALONES!$B:$B,
        SALONES!$C:$C
      },
      2,
      FALSE
    ) &amp; " - " &amp; 'Teachers sched'!H22,
    'Teachers sched'!H22
  )
)
</f>
        <v>X-Block</v>
      </c>
      <c r="I22" s="53"/>
      <c r="J22" s="392"/>
      <c r="K22" s="389" t="s">
        <v>22</v>
      </c>
      <c r="L22" s="389" t="s">
        <v>22</v>
      </c>
      <c r="M22" s="100">
        <v>3.0</v>
      </c>
      <c r="N22" s="390" t="s">
        <v>22</v>
      </c>
      <c r="O22" s="390" t="s">
        <v>22</v>
      </c>
      <c r="P22" s="390" t="s">
        <v>22</v>
      </c>
      <c r="Q22" s="390" t="s">
        <v>22</v>
      </c>
      <c r="R22" s="395" t="s">
        <v>22</v>
      </c>
      <c r="S22" s="53"/>
      <c r="T22" s="393"/>
    </row>
    <row r="23">
      <c r="A23" s="389" t="s">
        <v>80</v>
      </c>
      <c r="B23" s="389" t="s">
        <v>22</v>
      </c>
      <c r="C23" s="100">
        <v>4.0</v>
      </c>
      <c r="D23" s="390" t="str">
        <f t="array" ref="D23">IF('Teachers sched'!D23="", "", 
  IFERROR(
    VLOOKUP(
      'Teachers sched'!$A23 &amp; "|" &amp; 
      LEFT('Teachers sched'!D23, FIND("-", 'Teachers sched'!D23) - 1),
      {
        SALONES!$A:$A &amp; "|" &amp; SALONES!$B:$B,
        SALONES!$C:$C
      },
      2,
      FALSE
    ) &amp; " - " &amp; 'Teachers sched'!D23,
    'Teachers sched'!D23
  )
)
</f>
        <v>923 - Spanish and Literature 9-2</v>
      </c>
      <c r="E23" s="390" t="str">
        <f t="array" ref="E23">IF('Teachers sched'!E23="", "", 
  IFERROR(
    VLOOKUP(
      'Teachers sched'!$A23 &amp; "|" &amp; 
      LEFT('Teachers sched'!E23, FIND("-", 'Teachers sched'!E23) - 1),
      {
        SALONES!$A:$A &amp; "|" &amp; SALONES!$B:$B,
        SALONES!$C:$C
      },
      2,
      FALSE
    ) &amp; " - " &amp; 'Teachers sched'!E23,
    'Teachers sched'!E23
  )
)
</f>
        <v>923 - Spanish and Literature 9-1</v>
      </c>
      <c r="F23" s="390" t="str">
        <f t="array" ref="F23">IF('Teachers sched'!F23="", "", 
  IFERROR(
    VLOOKUP(
      'Teachers sched'!$A23 &amp; "|" &amp; 
      LEFT('Teachers sched'!F23, FIND("-", 'Teachers sched'!F23) - 1),
      {
        SALONES!$A:$A &amp; "|" &amp; SALONES!$B:$B,
        SALONES!$C:$C
      },
      2,
      FALSE
    ) &amp; " - " &amp; 'Teachers sched'!F23,
    'Teachers sched'!F23
  )
)
</f>
        <v>923 - Spanish and Literature 9-4</v>
      </c>
      <c r="G23" s="390" t="str">
        <f t="array" ref="G23">IF('Teachers sched'!G23="", "", 
  IFERROR(
    VLOOKUP(
      'Teachers sched'!$A23 &amp; "|" &amp; 
      LEFT('Teachers sched'!G23, FIND("-", 'Teachers sched'!G23) - 1),
      {
        SALONES!$A:$A &amp; "|" &amp; SALONES!$B:$B,
        SALONES!$C:$C
      },
      2,
      FALSE
    ) &amp; " - " &amp; 'Teachers sched'!G23,
    'Teachers sched'!G23
  )
)
</f>
        <v/>
      </c>
      <c r="H23" s="390" t="str">
        <f t="array" ref="H23">IF('Teachers sched'!H23="", "", 
  IFERROR(
    VLOOKUP(
      'Teachers sched'!$A23 &amp; "|" &amp; 
      LEFT('Teachers sched'!H23, FIND("-", 'Teachers sched'!H23) - 1),
      {
        SALONES!$A:$A &amp; "|" &amp; SALONES!$B:$B,
        SALONES!$C:$C
      },
      2,
      FALSE
    ) &amp; " - " &amp; 'Teachers sched'!H23,
    'Teachers sched'!H23
  )
)
</f>
        <v/>
      </c>
      <c r="I23" s="53"/>
      <c r="J23" s="392"/>
      <c r="K23" s="389" t="s">
        <v>22</v>
      </c>
      <c r="L23" s="389" t="s">
        <v>22</v>
      </c>
      <c r="M23" s="100">
        <v>4.0</v>
      </c>
      <c r="N23" s="390" t="s">
        <v>22</v>
      </c>
      <c r="O23" s="390" t="s">
        <v>22</v>
      </c>
      <c r="P23" s="390" t="s">
        <v>22</v>
      </c>
      <c r="Q23" s="390" t="s">
        <v>22</v>
      </c>
      <c r="R23" s="390" t="s">
        <v>22</v>
      </c>
      <c r="S23" s="53"/>
      <c r="T23" s="393"/>
    </row>
    <row r="24">
      <c r="A24" s="389" t="s">
        <v>80</v>
      </c>
      <c r="B24" s="389" t="s">
        <v>22</v>
      </c>
      <c r="C24" s="100">
        <v>5.0</v>
      </c>
      <c r="D24" s="390" t="str">
        <f t="array" ref="D24">IF('Teachers sched'!D24="", "", 
  IFERROR(
    VLOOKUP(
      'Teachers sched'!$A24 &amp; "|" &amp; 
      LEFT('Teachers sched'!D24, FIND("-", 'Teachers sched'!D24) - 1),
      {
        SALONES!$A:$A &amp; "|" &amp; SALONES!$B:$B,
        SALONES!$C:$C
      },
      2,
      FALSE
    ) &amp; " - " &amp; 'Teachers sched'!D24,
    'Teachers sched'!D24
  )
)
</f>
        <v>923 - Spanish and Literature 9-3</v>
      </c>
      <c r="E24" s="390" t="str">
        <f t="array" ref="E24">IF('Teachers sched'!E24="", "", 
  IFERROR(
    VLOOKUP(
      'Teachers sched'!$A24 &amp; "|" &amp; 
      LEFT('Teachers sched'!E24, FIND("-", 'Teachers sched'!E24) - 1),
      {
        SALONES!$A:$A &amp; "|" &amp; SALONES!$B:$B,
        SALONES!$C:$C
      },
      2,
      FALSE
    ) &amp; " - " &amp; 'Teachers sched'!E24,
    'Teachers sched'!E24
  )
)
</f>
        <v/>
      </c>
      <c r="F24" s="390" t="str">
        <f t="array" ref="F24">IF('Teachers sched'!F24="", "", 
  IFERROR(
    VLOOKUP(
      'Teachers sched'!$A24 &amp; "|" &amp; 
      LEFT('Teachers sched'!F24, FIND("-", 'Teachers sched'!F24) - 1),
      {
        SALONES!$A:$A &amp; "|" &amp; SALONES!$B:$B,
        SALONES!$C:$C
      },
      2,
      FALSE
    ) &amp; " - " &amp; 'Teachers sched'!F24,
    'Teachers sched'!F24
  )
)
</f>
        <v/>
      </c>
      <c r="G24" s="390" t="str">
        <f t="array" ref="G24">IF('Teachers sched'!G24="", "", 
  IFERROR(
    VLOOKUP(
      'Teachers sched'!$A24 &amp; "|" &amp; 
      LEFT('Teachers sched'!G24, FIND("-", 'Teachers sched'!G24) - 1),
      {
        SALONES!$A:$A &amp; "|" &amp; SALONES!$B:$B,
        SALONES!$C:$C
      },
      2,
      FALSE
    ) &amp; " - " &amp; 'Teachers sched'!G24,
    'Teachers sched'!G24
  )
)
</f>
        <v>923 - Spanish and Literature 9-2</v>
      </c>
      <c r="H24" s="390" t="str">
        <f t="array" ref="H24">IF('Teachers sched'!H24="", "", 
  IFERROR(
    VLOOKUP(
      'Teachers sched'!$A24 &amp; "|" &amp; 
      LEFT('Teachers sched'!H24, FIND("-", 'Teachers sched'!H24) - 1),
      {
        SALONES!$A:$A &amp; "|" &amp; SALONES!$B:$B,
        SALONES!$C:$C
      },
      2,
      FALSE
    ) &amp; " - " &amp; 'Teachers sched'!H24,
    'Teachers sched'!H24
  )
)
</f>
        <v>Library - Spanish as a Foreing Language-1</v>
      </c>
      <c r="I24" s="68"/>
      <c r="J24" s="392"/>
      <c r="K24" s="389" t="s">
        <v>22</v>
      </c>
      <c r="L24" s="389" t="s">
        <v>22</v>
      </c>
      <c r="M24" s="100">
        <v>5.0</v>
      </c>
      <c r="N24" s="390" t="s">
        <v>22</v>
      </c>
      <c r="O24" s="390" t="s">
        <v>22</v>
      </c>
      <c r="P24" s="390" t="s">
        <v>22</v>
      </c>
      <c r="Q24" s="390" t="s">
        <v>22</v>
      </c>
      <c r="R24" s="390" t="s">
        <v>22</v>
      </c>
      <c r="S24" s="68"/>
      <c r="T24" s="393"/>
    </row>
    <row r="25">
      <c r="C25" s="3"/>
      <c r="D25" s="396"/>
      <c r="E25" s="396"/>
      <c r="F25" s="396"/>
      <c r="G25" s="396"/>
      <c r="H25" s="396"/>
      <c r="N25" s="397"/>
      <c r="O25" s="397"/>
      <c r="P25" s="397"/>
      <c r="Q25" s="397"/>
      <c r="R25" s="397"/>
    </row>
    <row r="26">
      <c r="A26" s="45"/>
      <c r="B26" s="45"/>
      <c r="C26" s="386" t="s">
        <v>104</v>
      </c>
      <c r="D26" s="383"/>
      <c r="E26" s="383"/>
      <c r="F26" s="383"/>
      <c r="G26" s="383"/>
      <c r="H26" s="384"/>
      <c r="I26" s="385" t="str">
        <f>IFERROR(__xludf.DUMMYFUNCTION("if(C26="""","""", iferror(unique(filter(Schedule!$K:$K,Schedule!$L:$L=$C26,Schedule!$K:$K=""S1""),unique(filter(Schedule!$K:$K,Schedule!$L:$L=$C26,Schedule!$K:$K="""")))))"),"")</f>
        <v/>
      </c>
      <c r="M26" s="386" t="s">
        <v>22</v>
      </c>
      <c r="N26" s="383"/>
      <c r="O26" s="383"/>
      <c r="P26" s="383"/>
      <c r="Q26" s="383"/>
      <c r="R26" s="384"/>
      <c r="S26" s="385" t="s">
        <v>22</v>
      </c>
      <c r="T26" s="112"/>
    </row>
    <row r="27">
      <c r="A27" s="116"/>
      <c r="B27" s="116"/>
      <c r="C27" s="100" t="s">
        <v>7</v>
      </c>
      <c r="D27" s="387" t="s">
        <v>8</v>
      </c>
      <c r="E27" s="387" t="s">
        <v>9</v>
      </c>
      <c r="F27" s="387" t="s">
        <v>10</v>
      </c>
      <c r="G27" s="387" t="s">
        <v>11</v>
      </c>
      <c r="H27" s="387" t="s">
        <v>12</v>
      </c>
      <c r="I27" s="21" t="s">
        <v>766</v>
      </c>
      <c r="J27" s="116"/>
      <c r="K27" s="116"/>
      <c r="L27" s="116"/>
      <c r="M27" s="100" t="s">
        <v>7</v>
      </c>
      <c r="N27" s="387" t="s">
        <v>8</v>
      </c>
      <c r="O27" s="387" t="s">
        <v>9</v>
      </c>
      <c r="P27" s="387" t="s">
        <v>10</v>
      </c>
      <c r="Q27" s="387" t="s">
        <v>11</v>
      </c>
      <c r="R27" s="387" t="s">
        <v>12</v>
      </c>
      <c r="S27" s="21" t="s">
        <v>766</v>
      </c>
      <c r="T27" s="388"/>
    </row>
    <row r="28">
      <c r="A28" s="389" t="s">
        <v>104</v>
      </c>
      <c r="B28" s="389"/>
      <c r="C28" s="100">
        <v>1.0</v>
      </c>
      <c r="D28" s="390" t="str">
        <f t="array" ref="D28">IF('Teachers sched'!D28="", "", 
  IFERROR(
    VLOOKUP(
      'Teachers sched'!$A28 &amp; "|" &amp; 
      LEFT('Teachers sched'!D28, FIND("-", 'Teachers sched'!D28) - 1),
      {
        SALONES!$A:$A &amp; "|" &amp; SALONES!$B:$B,
        SALONES!$C:$C
      },
      2,
      FALSE
    ) &amp; " - " &amp; 'Teachers sched'!D28,
    'Teachers sched'!D28
  )
)
</f>
        <v/>
      </c>
      <c r="E28" s="390" t="str">
        <f t="array" ref="E28">IF('Teachers sched'!E28="", "", 
  IFERROR(
    VLOOKUP(
      'Teachers sched'!$A28 &amp; "|" &amp; 
      LEFT('Teachers sched'!E28, FIND("-", 'Teachers sched'!E28) - 1),
      {
        SALONES!$A:$A &amp; "|" &amp; SALONES!$B:$B,
        SALONES!$C:$C
      },
      2,
      FALSE
    ) &amp; " - " &amp; 'Teachers sched'!E28,
    'Teachers sched'!E28
  )
)
</f>
        <v/>
      </c>
      <c r="F28" s="390" t="str">
        <f t="array" ref="F28">IF('Teachers sched'!F28="", "", 
  IFERROR(
    VLOOKUP(
      'Teachers sched'!$A28 &amp; "|" &amp; 
      LEFT('Teachers sched'!F28, FIND("-", 'Teachers sched'!F28) - 1),
      {
        SALONES!$A:$A &amp; "|" &amp; SALONES!$B:$B,
        SALONES!$C:$C
      },
      2,
      FALSE
    ) &amp; " - " &amp; 'Teachers sched'!F28,
    'Teachers sched'!F28
  )
)
</f>
        <v>925 - AP Precalculus-2</v>
      </c>
      <c r="G28" s="390" t="str">
        <f t="array" ref="G28">IF('Teachers sched'!G28="", "", 
  IFERROR(
    VLOOKUP(
      'Teachers sched'!$A28 &amp; "|" &amp; 
      LEFT('Teachers sched'!G28, FIND("-", 'Teachers sched'!G28) - 1),
      {
        SALONES!$A:$A &amp; "|" &amp; SALONES!$B:$B,
        SALONES!$C:$C
      },
      2,
      FALSE
    ) &amp; " - " &amp; 'Teachers sched'!G28,
    'Teachers sched'!G28
  )
)
</f>
        <v/>
      </c>
      <c r="H28" s="390" t="str">
        <f t="array" ref="H28">IF('Teachers sched'!H28="", "", 
  IFERROR(
    VLOOKUP(
      'Teachers sched'!$A28 &amp; "|" &amp; 
      LEFT('Teachers sched'!H28, FIND("-", 'Teachers sched'!H28) - 1),
      {
        SALONES!$A:$A &amp; "|" &amp; SALONES!$B:$B,
        SALONES!$C:$C
      },
      2,
      FALSE
    ) &amp; " - " &amp; 'Teachers sched'!H28,
    'Teachers sched'!H28
  )
)
</f>
        <v>925 - Financial Math-2</v>
      </c>
      <c r="I28" s="391">
        <f>if(C26="","", 24-countifs(D28:H32,""))</f>
        <v>15</v>
      </c>
      <c r="J28" s="392"/>
      <c r="K28" s="389" t="s">
        <v>22</v>
      </c>
      <c r="L28" s="389" t="s">
        <v>22</v>
      </c>
      <c r="M28" s="100">
        <v>1.0</v>
      </c>
      <c r="N28" s="390" t="s">
        <v>22</v>
      </c>
      <c r="O28" s="390" t="s">
        <v>22</v>
      </c>
      <c r="P28" s="390" t="s">
        <v>22</v>
      </c>
      <c r="Q28" s="390" t="s">
        <v>22</v>
      </c>
      <c r="R28" s="390" t="s">
        <v>22</v>
      </c>
      <c r="S28" s="391" t="s">
        <v>22</v>
      </c>
      <c r="T28" s="393"/>
    </row>
    <row r="29">
      <c r="A29" s="389" t="s">
        <v>104</v>
      </c>
      <c r="B29" s="389"/>
      <c r="C29" s="100">
        <v>2.0</v>
      </c>
      <c r="D29" s="390" t="str">
        <f t="array" ref="D29">IF('Teachers sched'!D29="", "", 
  IFERROR(
    VLOOKUP(
      'Teachers sched'!$A29 &amp; "|" &amp; 
      LEFT('Teachers sched'!D29, FIND("-", 'Teachers sched'!D29) - 1),
      {
        SALONES!$A:$A &amp; "|" &amp; SALONES!$B:$B,
        SALONES!$C:$C
      },
      2,
      FALSE
    ) &amp; " - " &amp; 'Teachers sched'!D29,
    'Teachers sched'!D29
  )
)
</f>
        <v>925 - AP Precalculus-1</v>
      </c>
      <c r="E29" s="390" t="str">
        <f t="array" ref="E29">IF('Teachers sched'!E29="", "", 
  IFERROR(
    VLOOKUP(
      'Teachers sched'!$A29 &amp; "|" &amp; 
      LEFT('Teachers sched'!E29, FIND("-", 'Teachers sched'!E29) - 1),
      {
        SALONES!$A:$A &amp; "|" &amp; SALONES!$B:$B,
        SALONES!$C:$C
      },
      2,
      FALSE
    ) &amp; " - " &amp; 'Teachers sched'!E29,
    'Teachers sched'!E29
  )
)
</f>
        <v>925 - Financial Math-3</v>
      </c>
      <c r="F29" s="390" t="str">
        <f t="array" ref="F29">IF('Teachers sched'!F29="", "", 
  IFERROR(
    VLOOKUP(
      'Teachers sched'!$A29 &amp; "|" &amp; 
      LEFT('Teachers sched'!F29, FIND("-", 'Teachers sched'!F29) - 1),
      {
        SALONES!$A:$A &amp; "|" &amp; SALONES!$B:$B,
        SALONES!$C:$C
      },
      2,
      FALSE
    ) &amp; " - " &amp; 'Teachers sched'!F29,
    'Teachers sched'!F29
  )
)
</f>
        <v>925 - Financial Math-1</v>
      </c>
      <c r="G29" s="390" t="str">
        <f t="array" ref="G29">IF('Teachers sched'!G29="", "", 
  IFERROR(
    VLOOKUP(
      'Teachers sched'!$A29 &amp; "|" &amp; 
      LEFT('Teachers sched'!G29, FIND("-", 'Teachers sched'!G29) - 1),
      {
        SALONES!$A:$A &amp; "|" &amp; SALONES!$B:$B,
        SALONES!$C:$C
      },
      2,
      FALSE
    ) &amp; " - " &amp; 'Teachers sched'!G29,
    'Teachers sched'!G29
  )
)
</f>
        <v/>
      </c>
      <c r="H29" s="390" t="str">
        <f t="array" ref="H29">IF('Teachers sched'!H29="", "", 
  IFERROR(
    VLOOKUP(
      'Teachers sched'!$A29 &amp; "|" &amp; 
      LEFT('Teachers sched'!H29, FIND("-", 'Teachers sched'!H29) - 1),
      {
        SALONES!$A:$A &amp; "|" &amp; SALONES!$B:$B,
        SALONES!$C:$C
      },
      2,
      FALSE
    ) &amp; " - " &amp; 'Teachers sched'!H29,
    'Teachers sched'!H29
  )
)
</f>
        <v/>
      </c>
      <c r="I29" s="53"/>
      <c r="J29" s="392"/>
      <c r="K29" s="389" t="s">
        <v>22</v>
      </c>
      <c r="L29" s="389" t="s">
        <v>22</v>
      </c>
      <c r="M29" s="100">
        <v>2.0</v>
      </c>
      <c r="N29" s="390" t="s">
        <v>22</v>
      </c>
      <c r="O29" s="390" t="s">
        <v>22</v>
      </c>
      <c r="P29" s="390" t="s">
        <v>22</v>
      </c>
      <c r="Q29" s="390" t="s">
        <v>22</v>
      </c>
      <c r="R29" s="390" t="s">
        <v>22</v>
      </c>
      <c r="S29" s="53"/>
      <c r="T29" s="393"/>
    </row>
    <row r="30">
      <c r="A30" s="389" t="s">
        <v>104</v>
      </c>
      <c r="B30" s="389"/>
      <c r="C30" s="100">
        <v>3.0</v>
      </c>
      <c r="D30" s="390" t="str">
        <f t="array" ref="D30">IF('Teachers sched'!D30="", "", 
  IFERROR(
    VLOOKUP(
      'Teachers sched'!$A30 &amp; "|" &amp; 
      LEFT('Teachers sched'!D30, FIND("-", 'Teachers sched'!D30) - 1),
      {
        SALONES!$A:$A &amp; "|" &amp; SALONES!$B:$B,
        SALONES!$C:$C
      },
      2,
      FALSE
    ) &amp; " - " &amp; 'Teachers sched'!D30,
    'Teachers sched'!D30
  )
)
</f>
        <v>925 - AP Precalculus-2</v>
      </c>
      <c r="E30" s="390" t="str">
        <f t="array" ref="E30">IF('Teachers sched'!E30="", "", 
  IFERROR(
    VLOOKUP(
      'Teachers sched'!$A30 &amp; "|" &amp; 
      LEFT('Teachers sched'!E30, FIND("-", 'Teachers sched'!E30) - 1),
      {
        SALONES!$A:$A &amp; "|" &amp; SALONES!$B:$B,
        SALONES!$C:$C
      },
      2,
      FALSE
    ) &amp; " - " &amp; 'Teachers sched'!E30,
    'Teachers sched'!E30
  )
)
</f>
        <v/>
      </c>
      <c r="F30" s="390" t="str">
        <f t="array" ref="F30">IF('Teachers sched'!F30="", "", 
  IFERROR(
    VLOOKUP(
      'Teachers sched'!$A30 &amp; "|" &amp; 
      LEFT('Teachers sched'!F30, FIND("-", 'Teachers sched'!F30) - 1),
      {
        SALONES!$A:$A &amp; "|" &amp; SALONES!$B:$B,
        SALONES!$C:$C
      },
      2,
      FALSE
    ) &amp; " - " &amp; 'Teachers sched'!F30,
    'Teachers sched'!F30
  )
)
</f>
        <v>925 - Financial Math-2</v>
      </c>
      <c r="G30" s="390" t="str">
        <f t="array" ref="G30">IF('Teachers sched'!G30="", "", 
  IFERROR(
    VLOOKUP(
      'Teachers sched'!$A30 &amp; "|" &amp; 
      LEFT('Teachers sched'!G30, FIND("-", 'Teachers sched'!G30) - 1),
      {
        SALONES!$A:$A &amp; "|" &amp; SALONES!$B:$B,
        SALONES!$C:$C
      },
      2,
      FALSE
    ) &amp; " - " &amp; 'Teachers sched'!G30,
    'Teachers sched'!G30
  )
)
</f>
        <v>925 - AP Precalculus-1</v>
      </c>
      <c r="H30" s="395" t="str">
        <f t="array" ref="H30">IF('Teachers sched'!H30="", "", 
  IFERROR(
    VLOOKUP(
      'Teachers sched'!$A30 &amp; "|" &amp; 
      LEFT('Teachers sched'!H30, FIND("-", 'Teachers sched'!H30) - 1),
      {
        SALONES!$A:$A &amp; "|" &amp; SALONES!$B:$B,
        SALONES!$C:$C
      },
      2,
      FALSE
    ) &amp; " - " &amp; 'Teachers sched'!H30,
    'Teachers sched'!H30
  )
)
</f>
        <v>X-Block</v>
      </c>
      <c r="I30" s="53"/>
      <c r="J30" s="392"/>
      <c r="K30" s="389" t="s">
        <v>22</v>
      </c>
      <c r="L30" s="389" t="s">
        <v>22</v>
      </c>
      <c r="M30" s="100">
        <v>3.0</v>
      </c>
      <c r="N30" s="390" t="s">
        <v>22</v>
      </c>
      <c r="O30" s="390" t="s">
        <v>22</v>
      </c>
      <c r="P30" s="390" t="s">
        <v>22</v>
      </c>
      <c r="Q30" s="390" t="s">
        <v>22</v>
      </c>
      <c r="R30" s="395" t="s">
        <v>22</v>
      </c>
      <c r="S30" s="53"/>
      <c r="T30" s="393"/>
    </row>
    <row r="31">
      <c r="A31" s="389" t="s">
        <v>104</v>
      </c>
      <c r="B31" s="389"/>
      <c r="C31" s="100">
        <v>4.0</v>
      </c>
      <c r="D31" s="390" t="str">
        <f t="array" ref="D31">IF('Teachers sched'!D31="", "", 
  IFERROR(
    VLOOKUP(
      'Teachers sched'!$A31 &amp; "|" &amp; 
      LEFT('Teachers sched'!D31, FIND("-", 'Teachers sched'!D31) - 1),
      {
        SALONES!$A:$A &amp; "|" &amp; SALONES!$B:$B,
        SALONES!$C:$C
      },
      2,
      FALSE
    ) &amp; " - " &amp; 'Teachers sched'!D31,
    'Teachers sched'!D31
  )
)
</f>
        <v>925 - Financial Math-1</v>
      </c>
      <c r="E31" s="390" t="str">
        <f t="array" ref="E31">IF('Teachers sched'!E31="", "", 
  IFERROR(
    VLOOKUP(
      'Teachers sched'!$A31 &amp; "|" &amp; 
      LEFT('Teachers sched'!E31, FIND("-", 'Teachers sched'!E31) - 1),
      {
        SALONES!$A:$A &amp; "|" &amp; SALONES!$B:$B,
        SALONES!$C:$C
      },
      2,
      FALSE
    ) &amp; " - " &amp; 'Teachers sched'!E31,
    'Teachers sched'!E31
  )
)
</f>
        <v/>
      </c>
      <c r="F31" s="390" t="str">
        <f t="array" ref="F31">IF('Teachers sched'!F31="", "", 
  IFERROR(
    VLOOKUP(
      'Teachers sched'!$A31 &amp; "|" &amp; 
      LEFT('Teachers sched'!F31, FIND("-", 'Teachers sched'!F31) - 1),
      {
        SALONES!$A:$A &amp; "|" &amp; SALONES!$B:$B,
        SALONES!$C:$C
      },
      2,
      FALSE
    ) &amp; " - " &amp; 'Teachers sched'!F31,
    'Teachers sched'!F31
  )
)
</f>
        <v/>
      </c>
      <c r="G31" s="390" t="str">
        <f t="array" ref="G31">IF('Teachers sched'!G31="", "", 
  IFERROR(
    VLOOKUP(
      'Teachers sched'!$A31 &amp; "|" &amp; 
      LEFT('Teachers sched'!G31, FIND("-", 'Teachers sched'!G31) - 1),
      {
        SALONES!$A:$A &amp; "|" &amp; SALONES!$B:$B,
        SALONES!$C:$C
      },
      2,
      FALSE
    ) &amp; " - " &amp; 'Teachers sched'!G31,
    'Teachers sched'!G31
  )
)
</f>
        <v>925 - AP Precalculus-2</v>
      </c>
      <c r="H31" s="390" t="str">
        <f t="array" ref="H31">IF('Teachers sched'!H31="", "", 
  IFERROR(
    VLOOKUP(
      'Teachers sched'!$A31 &amp; "|" &amp; 
      LEFT('Teachers sched'!H31, FIND("-", 'Teachers sched'!H31) - 1),
      {
        SALONES!$A:$A &amp; "|" &amp; SALONES!$B:$B,
        SALONES!$C:$C
      },
      2,
      FALSE
    ) &amp; " - " &amp; 'Teachers sched'!H31,
    'Teachers sched'!H31
  )
)
</f>
        <v>925 - Financial Math-3</v>
      </c>
      <c r="I31" s="53"/>
      <c r="J31" s="392"/>
      <c r="K31" s="389" t="s">
        <v>22</v>
      </c>
      <c r="L31" s="389" t="s">
        <v>22</v>
      </c>
      <c r="M31" s="100">
        <v>4.0</v>
      </c>
      <c r="N31" s="390" t="s">
        <v>22</v>
      </c>
      <c r="O31" s="390" t="s">
        <v>22</v>
      </c>
      <c r="P31" s="390" t="s">
        <v>22</v>
      </c>
      <c r="Q31" s="390" t="s">
        <v>22</v>
      </c>
      <c r="R31" s="390" t="s">
        <v>22</v>
      </c>
      <c r="S31" s="53"/>
      <c r="T31" s="393"/>
    </row>
    <row r="32">
      <c r="A32" s="389" t="s">
        <v>104</v>
      </c>
      <c r="B32" s="389"/>
      <c r="C32" s="100">
        <v>5.0</v>
      </c>
      <c r="D32" s="390" t="str">
        <f t="array" ref="D32">IF('Teachers sched'!D32="", "", 
  IFERROR(
    VLOOKUP(
      'Teachers sched'!$A32 &amp; "|" &amp; 
      LEFT('Teachers sched'!D32, FIND("-", 'Teachers sched'!D32) - 1),
      {
        SALONES!$A:$A &amp; "|" &amp; SALONES!$B:$B,
        SALONES!$C:$C
      },
      2,
      FALSE
    ) &amp; " - " &amp; 'Teachers sched'!D32,
    'Teachers sched'!D32
  )
)
</f>
        <v>925 - Financial Math-2</v>
      </c>
      <c r="E32" s="390" t="str">
        <f t="array" ref="E32">IF('Teachers sched'!E32="", "", 
  IFERROR(
    VLOOKUP(
      'Teachers sched'!$A32 &amp; "|" &amp; 
      LEFT('Teachers sched'!E32, FIND("-", 'Teachers sched'!E32) - 1),
      {
        SALONES!$A:$A &amp; "|" &amp; SALONES!$B:$B,
        SALONES!$C:$C
      },
      2,
      FALSE
    ) &amp; " - " &amp; 'Teachers sched'!E32,
    'Teachers sched'!E32
  )
)
</f>
        <v>925 - AP Precalculus-1</v>
      </c>
      <c r="F32" s="390" t="str">
        <f t="array" ref="F32">IF('Teachers sched'!F32="", "", 
  IFERROR(
    VLOOKUP(
      'Teachers sched'!$A32 &amp; "|" &amp; 
      LEFT('Teachers sched'!F32, FIND("-", 'Teachers sched'!F32) - 1),
      {
        SALONES!$A:$A &amp; "|" &amp; SALONES!$B:$B,
        SALONES!$C:$C
      },
      2,
      FALSE
    ) &amp; " - " &amp; 'Teachers sched'!F32,
    'Teachers sched'!F32
  )
)
</f>
        <v>925 - Financial Math-3</v>
      </c>
      <c r="G32" s="390" t="str">
        <f t="array" ref="G32">IF('Teachers sched'!G32="", "", 
  IFERROR(
    VLOOKUP(
      'Teachers sched'!$A32 &amp; "|" &amp; 
      LEFT('Teachers sched'!G32, FIND("-", 'Teachers sched'!G32) - 1),
      {
        SALONES!$A:$A &amp; "|" &amp; SALONES!$B:$B,
        SALONES!$C:$C
      },
      2,
      FALSE
    ) &amp; " - " &amp; 'Teachers sched'!G32,
    'Teachers sched'!G32
  )
)
</f>
        <v>925 - Financial Math-1</v>
      </c>
      <c r="H32" s="390" t="str">
        <f t="array" ref="H32">IF('Teachers sched'!H32="", "", 
  IFERROR(
    VLOOKUP(
      'Teachers sched'!$A32 &amp; "|" &amp; 
      LEFT('Teachers sched'!H32, FIND("-", 'Teachers sched'!H32) - 1),
      {
        SALONES!$A:$A &amp; "|" &amp; SALONES!$B:$B,
        SALONES!$C:$C
      },
      2,
      FALSE
    ) &amp; " - " &amp; 'Teachers sched'!H32,
    'Teachers sched'!H32
  )
)
</f>
        <v/>
      </c>
      <c r="I32" s="68"/>
      <c r="J32" s="392"/>
      <c r="K32" s="389" t="s">
        <v>22</v>
      </c>
      <c r="L32" s="389" t="s">
        <v>22</v>
      </c>
      <c r="M32" s="100">
        <v>5.0</v>
      </c>
      <c r="N32" s="390" t="s">
        <v>22</v>
      </c>
      <c r="O32" s="390" t="s">
        <v>22</v>
      </c>
      <c r="P32" s="390" t="s">
        <v>22</v>
      </c>
      <c r="Q32" s="390" t="s">
        <v>22</v>
      </c>
      <c r="R32" s="390" t="s">
        <v>22</v>
      </c>
      <c r="S32" s="68"/>
      <c r="T32" s="393"/>
    </row>
    <row r="33">
      <c r="C33" s="3"/>
      <c r="D33" s="396"/>
      <c r="E33" s="396"/>
      <c r="F33" s="396"/>
      <c r="G33" s="396"/>
      <c r="H33" s="396"/>
      <c r="N33" s="397"/>
      <c r="O33" s="397"/>
      <c r="P33" s="397"/>
      <c r="Q33" s="397"/>
      <c r="R33" s="397"/>
    </row>
    <row r="34">
      <c r="A34" s="45"/>
      <c r="B34" s="45"/>
      <c r="C34" s="386" t="s">
        <v>36</v>
      </c>
      <c r="D34" s="383"/>
      <c r="E34" s="383"/>
      <c r="F34" s="383"/>
      <c r="G34" s="383"/>
      <c r="H34" s="384"/>
      <c r="I34" s="385" t="str">
        <f>IFERROR(__xludf.DUMMYFUNCTION("if(C34="""","""", iferror(filter(Schedule!$K:$K,Schedule!$L:$L=$C34,Schedule!$K:$K=""S1""),unique(filter(Schedule!$K:$K,Schedule!$L:$L=$C34,Schedule!$K:$K=""""))))"),"")</f>
        <v/>
      </c>
      <c r="M34" s="386" t="s">
        <v>22</v>
      </c>
      <c r="N34" s="383"/>
      <c r="O34" s="383"/>
      <c r="P34" s="383"/>
      <c r="Q34" s="383"/>
      <c r="R34" s="384"/>
      <c r="S34" s="385" t="s">
        <v>22</v>
      </c>
      <c r="T34" s="112"/>
    </row>
    <row r="35">
      <c r="A35" s="116"/>
      <c r="B35" s="116"/>
      <c r="C35" s="100" t="s">
        <v>7</v>
      </c>
      <c r="D35" s="387" t="s">
        <v>8</v>
      </c>
      <c r="E35" s="387" t="s">
        <v>9</v>
      </c>
      <c r="F35" s="387" t="s">
        <v>10</v>
      </c>
      <c r="G35" s="387" t="s">
        <v>11</v>
      </c>
      <c r="H35" s="387" t="s">
        <v>12</v>
      </c>
      <c r="I35" s="21" t="s">
        <v>766</v>
      </c>
      <c r="J35" s="116"/>
      <c r="K35" s="116"/>
      <c r="L35" s="116"/>
      <c r="M35" s="100" t="s">
        <v>7</v>
      </c>
      <c r="N35" s="387" t="s">
        <v>8</v>
      </c>
      <c r="O35" s="387" t="s">
        <v>9</v>
      </c>
      <c r="P35" s="387" t="s">
        <v>10</v>
      </c>
      <c r="Q35" s="387" t="s">
        <v>11</v>
      </c>
      <c r="R35" s="387" t="s">
        <v>12</v>
      </c>
      <c r="S35" s="21" t="s">
        <v>766</v>
      </c>
      <c r="T35" s="388"/>
    </row>
    <row r="36">
      <c r="A36" s="389" t="s">
        <v>36</v>
      </c>
      <c r="B36" s="389"/>
      <c r="C36" s="100">
        <v>1.0</v>
      </c>
      <c r="D36" s="390" t="str">
        <f t="array" ref="D36">IF('Teachers sched'!D36="", "", 
  IFERROR(
    VLOOKUP(
      'Teachers sched'!$A36 &amp; "|" &amp; 
      LEFT('Teachers sched'!D36, FIND("-", 'Teachers sched'!D36) - 1),
      {
        SALONES!$A:$A &amp; "|" &amp; SALONES!$B:$B,
        SALONES!$C:$C
      },
      2,
      FALSE
    ) &amp; " - " &amp; 'Teachers sched'!D36,
    'Teachers sched'!D36
  )
)
</f>
        <v/>
      </c>
      <c r="E36" s="390" t="str">
        <f t="array" ref="E36">IF('Teachers sched'!E36="", "", 
  IFERROR(
    VLOOKUP(
      'Teachers sched'!$A36 &amp; "|" &amp; 
      LEFT('Teachers sched'!E36, FIND("-", 'Teachers sched'!E36) - 1),
      {
        SALONES!$A:$A &amp; "|" &amp; SALONES!$B:$B,
        SALONES!$C:$C
      },
      2,
      FALSE
    ) &amp; " - " &amp; 'Teachers sched'!E36,
    'Teachers sched'!E36
  )
)
</f>
        <v/>
      </c>
      <c r="F36" s="390" t="str">
        <f t="array" ref="F36">IF('Teachers sched'!F36="", "", 
  IFERROR(
    VLOOKUP(
      'Teachers sched'!$A36 &amp; "|" &amp; 
      LEFT('Teachers sched'!F36, FIND("-", 'Teachers sched'!F36) - 1),
      {
        SALONES!$A:$A &amp; "|" &amp; SALONES!$B:$B,
        SALONES!$C:$C
      },
      2,
      FALSE
    ) &amp; " - " &amp; 'Teachers sched'!F36,
    'Teachers sched'!F36
  )
)
</f>
        <v/>
      </c>
      <c r="G36" s="390" t="str">
        <f t="array" ref="G36">IF('Teachers sched'!G36="", "", 
  IFERROR(
    VLOOKUP(
      'Teachers sched'!$A36 &amp; "|" &amp; 
      LEFT('Teachers sched'!G36, FIND("-", 'Teachers sched'!G36) - 1),
      {
        SALONES!$A:$A &amp; "|" &amp; SALONES!$B:$B,
        SALONES!$C:$C
      },
      2,
      FALSE
    ) &amp; " - " &amp; 'Teachers sched'!G36,
    'Teachers sched'!G36
  )
)
</f>
        <v>905 - AP Economics-4</v>
      </c>
      <c r="H36" s="390" t="str">
        <f t="array" ref="H36">IF('Teachers sched'!H36="", "", 
  IFERROR(
    VLOOKUP(
      'Teachers sched'!$A36 &amp; "|" &amp; 
      LEFT('Teachers sched'!H36, FIND("-", 'Teachers sched'!H36) - 1),
      {
        SALONES!$A:$A &amp; "|" &amp; SALONES!$B:$B,
        SALONES!$C:$C
      },
      2,
      FALSE
    ) &amp; " - " &amp; 'Teachers sched'!H36,
    'Teachers sched'!H36
  )
)
</f>
        <v>905 - AP Economics-2</v>
      </c>
      <c r="I36" s="391">
        <f>if(C34="","", 24-countifs(D36:H40,""))</f>
        <v>15</v>
      </c>
      <c r="J36" s="392"/>
      <c r="K36" s="389" t="s">
        <v>22</v>
      </c>
      <c r="L36" s="389" t="s">
        <v>22</v>
      </c>
      <c r="M36" s="100">
        <v>1.0</v>
      </c>
      <c r="N36" s="390" t="s">
        <v>22</v>
      </c>
      <c r="O36" s="390" t="s">
        <v>22</v>
      </c>
      <c r="P36" s="390" t="s">
        <v>22</v>
      </c>
      <c r="Q36" s="390" t="s">
        <v>22</v>
      </c>
      <c r="R36" s="390" t="s">
        <v>22</v>
      </c>
      <c r="S36" s="391" t="s">
        <v>22</v>
      </c>
      <c r="T36" s="393"/>
    </row>
    <row r="37">
      <c r="A37" s="389" t="s">
        <v>36</v>
      </c>
      <c r="B37" s="389"/>
      <c r="C37" s="100">
        <v>2.0</v>
      </c>
      <c r="D37" s="390" t="str">
        <f t="array" ref="D37">IF('Teachers sched'!D37="", "", 
  IFERROR(
    VLOOKUP(
      'Teachers sched'!$A37 &amp; "|" &amp; 
      LEFT('Teachers sched'!D37, FIND("-", 'Teachers sched'!D37) - 1),
      {
        SALONES!$A:$A &amp; "|" &amp; SALONES!$B:$B,
        SALONES!$C:$C
      },
      2,
      FALSE
    ) &amp; " - " &amp; 'Teachers sched'!D37,
    'Teachers sched'!D37
  )
)
</f>
        <v>905 - Social Studies 9-6</v>
      </c>
      <c r="E37" s="390" t="str">
        <f t="array" ref="E37">IF('Teachers sched'!E37="", "", 
  IFERROR(
    VLOOKUP(
      'Teachers sched'!$A37 &amp; "|" &amp; 
      LEFT('Teachers sched'!E37, FIND("-", 'Teachers sched'!E37) - 1),
      {
        SALONES!$A:$A &amp; "|" &amp; SALONES!$B:$B,
        SALONES!$C:$C
      },
      2,
      FALSE
    ) &amp; " - " &amp; 'Teachers sched'!E37,
    'Teachers sched'!E37
  )
)
</f>
        <v>905 - AP Economics-3</v>
      </c>
      <c r="F37" s="390" t="str">
        <f t="array" ref="F37">IF('Teachers sched'!F37="", "", 
  IFERROR(
    VLOOKUP(
      'Teachers sched'!$A37 &amp; "|" &amp; 
      LEFT('Teachers sched'!F37, FIND("-", 'Teachers sched'!F37) - 1),
      {
        SALONES!$A:$A &amp; "|" &amp; SALONES!$B:$B,
        SALONES!$C:$C
      },
      2,
      FALSE
    ) &amp; " - " &amp; 'Teachers sched'!F37,
    'Teachers sched'!F37
  )
)
</f>
        <v>905 - AP Economics-1</v>
      </c>
      <c r="G37" s="390" t="str">
        <f t="array" ref="G37">IF('Teachers sched'!G37="", "", 
  IFERROR(
    VLOOKUP(
      'Teachers sched'!$A37 &amp; "|" &amp; 
      LEFT('Teachers sched'!G37, FIND("-", 'Teachers sched'!G37) - 1),
      {
        SALONES!$A:$A &amp; "|" &amp; SALONES!$B:$B,
        SALONES!$C:$C
      },
      2,
      FALSE
    ) &amp; " - " &amp; 'Teachers sched'!G37,
    'Teachers sched'!G37
  )
)
</f>
        <v/>
      </c>
      <c r="H37" s="390" t="str">
        <f t="array" ref="H37">IF('Teachers sched'!H37="", "", 
  IFERROR(
    VLOOKUP(
      'Teachers sched'!$A37 &amp; "|" &amp; 
      LEFT('Teachers sched'!H37, FIND("-", 'Teachers sched'!H37) - 1),
      {
        SALONES!$A:$A &amp; "|" &amp; SALONES!$B:$B,
        SALONES!$C:$C
      },
      2,
      FALSE
    ) &amp; " - " &amp; 'Teachers sched'!H37,
    'Teachers sched'!H37
  )
)
</f>
        <v/>
      </c>
      <c r="I37" s="53"/>
      <c r="J37" s="392"/>
      <c r="K37" s="389" t="s">
        <v>22</v>
      </c>
      <c r="L37" s="389" t="s">
        <v>22</v>
      </c>
      <c r="M37" s="100">
        <v>2.0</v>
      </c>
      <c r="N37" s="390" t="s">
        <v>22</v>
      </c>
      <c r="O37" s="390" t="s">
        <v>22</v>
      </c>
      <c r="P37" s="390" t="s">
        <v>22</v>
      </c>
      <c r="Q37" s="390" t="s">
        <v>22</v>
      </c>
      <c r="R37" s="390" t="s">
        <v>22</v>
      </c>
      <c r="S37" s="53"/>
      <c r="T37" s="393"/>
    </row>
    <row r="38">
      <c r="A38" s="389" t="s">
        <v>36</v>
      </c>
      <c r="B38" s="389"/>
      <c r="C38" s="100">
        <v>3.0</v>
      </c>
      <c r="D38" s="390" t="str">
        <f t="array" ref="D38">IF('Teachers sched'!D38="", "", 
  IFERROR(
    VLOOKUP(
      'Teachers sched'!$A38 &amp; "|" &amp; 
      LEFT('Teachers sched'!D38, FIND("-", 'Teachers sched'!D38) - 1),
      {
        SALONES!$A:$A &amp; "|" &amp; SALONES!$B:$B,
        SALONES!$C:$C
      },
      2,
      FALSE
    ) &amp; " - " &amp; 'Teachers sched'!D38,
    'Teachers sched'!D38
  )
)
</f>
        <v/>
      </c>
      <c r="E38" s="390" t="str">
        <f t="array" ref="E38">IF('Teachers sched'!E38="", "", 
  IFERROR(
    VLOOKUP(
      'Teachers sched'!$A38 &amp; "|" &amp; 
      LEFT('Teachers sched'!E38, FIND("-", 'Teachers sched'!E38) - 1),
      {
        SALONES!$A:$A &amp; "|" &amp; SALONES!$B:$B,
        SALONES!$C:$C
      },
      2,
      FALSE
    ) &amp; " - " &amp; 'Teachers sched'!E38,
    'Teachers sched'!E38
  )
)
</f>
        <v>905 - AP Economics-4</v>
      </c>
      <c r="F38" s="390" t="str">
        <f t="array" ref="F38">IF('Teachers sched'!F38="", "", 
  IFERROR(
    VLOOKUP(
      'Teachers sched'!$A38 &amp; "|" &amp; 
      LEFT('Teachers sched'!F38, FIND("-", 'Teachers sched'!F38) - 1),
      {
        SALONES!$A:$A &amp; "|" &amp; SALONES!$B:$B,
        SALONES!$C:$C
      },
      2,
      FALSE
    ) &amp; " - " &amp; 'Teachers sched'!F38,
    'Teachers sched'!F38
  )
)
</f>
        <v>905 - AP Economics-2</v>
      </c>
      <c r="G38" s="390" t="str">
        <f t="array" ref="G38">IF('Teachers sched'!G38="", "", 
  IFERROR(
    VLOOKUP(
      'Teachers sched'!$A38 &amp; "|" &amp; 
      LEFT('Teachers sched'!G38, FIND("-", 'Teachers sched'!G38) - 1),
      {
        SALONES!$A:$A &amp; "|" &amp; SALONES!$B:$B,
        SALONES!$C:$C
      },
      2,
      FALSE
    ) &amp; " - " &amp; 'Teachers sched'!G38,
    'Teachers sched'!G38
  )
)
</f>
        <v>905 - Social Studies 9-6</v>
      </c>
      <c r="H38" s="395" t="str">
        <f t="array" ref="H38">IF('Teachers sched'!H38="", "", 
  IFERROR(
    VLOOKUP(
      'Teachers sched'!$A38 &amp; "|" &amp; 
      LEFT('Teachers sched'!H38, FIND("-", 'Teachers sched'!H38) - 1),
      {
        SALONES!$A:$A &amp; "|" &amp; SALONES!$B:$B,
        SALONES!$C:$C
      },
      2,
      FALSE
    ) &amp; " - " &amp; 'Teachers sched'!H38,
    'Teachers sched'!H38
  )
)
</f>
        <v>X-Block</v>
      </c>
      <c r="I38" s="53"/>
      <c r="J38" s="392"/>
      <c r="K38" s="389" t="s">
        <v>22</v>
      </c>
      <c r="L38" s="389" t="s">
        <v>22</v>
      </c>
      <c r="M38" s="100">
        <v>3.0</v>
      </c>
      <c r="N38" s="390" t="s">
        <v>22</v>
      </c>
      <c r="O38" s="390" t="s">
        <v>22</v>
      </c>
      <c r="P38" s="390" t="s">
        <v>22</v>
      </c>
      <c r="Q38" s="390" t="s">
        <v>22</v>
      </c>
      <c r="R38" s="395" t="s">
        <v>22</v>
      </c>
      <c r="S38" s="53"/>
      <c r="T38" s="393"/>
    </row>
    <row r="39">
      <c r="A39" s="389" t="s">
        <v>36</v>
      </c>
      <c r="B39" s="389"/>
      <c r="C39" s="100">
        <v>4.0</v>
      </c>
      <c r="D39" s="390" t="str">
        <f t="array" ref="D39">IF('Teachers sched'!D39="", "", 
  IFERROR(
    VLOOKUP(
      'Teachers sched'!$A39 &amp; "|" &amp; 
      LEFT('Teachers sched'!D39, FIND("-", 'Teachers sched'!D39) - 1),
      {
        SALONES!$A:$A &amp; "|" &amp; SALONES!$B:$B,
        SALONES!$C:$C
      },
      2,
      FALSE
    ) &amp; " - " &amp; 'Teachers sched'!D39,
    'Teachers sched'!D39
  )
)
</f>
        <v>905 - AP Economics-1</v>
      </c>
      <c r="E39" s="390" t="str">
        <f t="array" ref="E39">IF('Teachers sched'!E39="", "", 
  IFERROR(
    VLOOKUP(
      'Teachers sched'!$A39 &amp; "|" &amp; 
      LEFT('Teachers sched'!E39, FIND("-", 'Teachers sched'!E39) - 1),
      {
        SALONES!$A:$A &amp; "|" &amp; SALONES!$B:$B,
        SALONES!$C:$C
      },
      2,
      FALSE
    ) &amp; " - " &amp; 'Teachers sched'!E39,
    'Teachers sched'!E39
  )
)
</f>
        <v/>
      </c>
      <c r="F39" s="390" t="str">
        <f t="array" ref="F39">IF('Teachers sched'!F39="", "", 
  IFERROR(
    VLOOKUP(
      'Teachers sched'!$A39 &amp; "|" &amp; 
      LEFT('Teachers sched'!F39, FIND("-", 'Teachers sched'!F39) - 1),
      {
        SALONES!$A:$A &amp; "|" &amp; SALONES!$B:$B,
        SALONES!$C:$C
      },
      2,
      FALSE
    ) &amp; " - " &amp; 'Teachers sched'!F39,
    'Teachers sched'!F39
  )
)
</f>
        <v/>
      </c>
      <c r="G39" s="390" t="str">
        <f t="array" ref="G39">IF('Teachers sched'!G39="", "", 
  IFERROR(
    VLOOKUP(
      'Teachers sched'!$A39 &amp; "|" &amp; 
      LEFT('Teachers sched'!G39, FIND("-", 'Teachers sched'!G39) - 1),
      {
        SALONES!$A:$A &amp; "|" &amp; SALONES!$B:$B,
        SALONES!$C:$C
      },
      2,
      FALSE
    ) &amp; " - " &amp; 'Teachers sched'!G39,
    'Teachers sched'!G39
  )
)
</f>
        <v/>
      </c>
      <c r="H39" s="390" t="str">
        <f t="array" ref="H39">IF('Teachers sched'!H39="", "", 
  IFERROR(
    VLOOKUP(
      'Teachers sched'!$A39 &amp; "|" &amp; 
      LEFT('Teachers sched'!H39, FIND("-", 'Teachers sched'!H39) - 1),
      {
        SALONES!$A:$A &amp; "|" &amp; SALONES!$B:$B,
        SALONES!$C:$C
      },
      2,
      FALSE
    ) &amp; " - " &amp; 'Teachers sched'!H39,
    'Teachers sched'!H39
  )
)
</f>
        <v>905 - AP Economics-3</v>
      </c>
      <c r="I39" s="53"/>
      <c r="J39" s="392"/>
      <c r="K39" s="389" t="s">
        <v>22</v>
      </c>
      <c r="L39" s="389" t="s">
        <v>22</v>
      </c>
      <c r="M39" s="100">
        <v>4.0</v>
      </c>
      <c r="N39" s="390" t="s">
        <v>22</v>
      </c>
      <c r="O39" s="390" t="s">
        <v>22</v>
      </c>
      <c r="P39" s="390" t="s">
        <v>22</v>
      </c>
      <c r="Q39" s="390" t="s">
        <v>22</v>
      </c>
      <c r="R39" s="390" t="s">
        <v>22</v>
      </c>
      <c r="S39" s="53"/>
      <c r="T39" s="393"/>
    </row>
    <row r="40">
      <c r="A40" s="389" t="s">
        <v>36</v>
      </c>
      <c r="B40" s="389"/>
      <c r="C40" s="100">
        <v>5.0</v>
      </c>
      <c r="D40" s="390" t="str">
        <f t="array" ref="D40">IF('Teachers sched'!D40="", "", 
  IFERROR(
    VLOOKUP(
      'Teachers sched'!$A40 &amp; "|" &amp; 
      LEFT('Teachers sched'!D40, FIND("-", 'Teachers sched'!D40) - 1),
      {
        SALONES!$A:$A &amp; "|" &amp; SALONES!$B:$B,
        SALONES!$C:$C
      },
      2,
      FALSE
    ) &amp; " - " &amp; 'Teachers sched'!D40,
    'Teachers sched'!D40
  )
)
</f>
        <v>905 - AP Economics-2</v>
      </c>
      <c r="E40" s="390" t="str">
        <f t="array" ref="E40">IF('Teachers sched'!E40="", "", 
  IFERROR(
    VLOOKUP(
      'Teachers sched'!$A40 &amp; "|" &amp; 
      LEFT('Teachers sched'!E40, FIND("-", 'Teachers sched'!E40) - 1),
      {
        SALONES!$A:$A &amp; "|" &amp; SALONES!$B:$B,
        SALONES!$C:$C
      },
      2,
      FALSE
    ) &amp; " - " &amp; 'Teachers sched'!E40,
    'Teachers sched'!E40
  )
)
</f>
        <v>905 - Social Studies 9-6</v>
      </c>
      <c r="F40" s="390" t="str">
        <f t="array" ref="F40">IF('Teachers sched'!F40="", "", 
  IFERROR(
    VLOOKUP(
      'Teachers sched'!$A40 &amp; "|" &amp; 
      LEFT('Teachers sched'!F40, FIND("-", 'Teachers sched'!F40) - 1),
      {
        SALONES!$A:$A &amp; "|" &amp; SALONES!$B:$B,
        SALONES!$C:$C
      },
      2,
      FALSE
    ) &amp; " - " &amp; 'Teachers sched'!F40,
    'Teachers sched'!F40
  )
)
</f>
        <v>905 - AP Economics-3</v>
      </c>
      <c r="G40" s="390" t="str">
        <f t="array" ref="G40">IF('Teachers sched'!G40="", "", 
  IFERROR(
    VLOOKUP(
      'Teachers sched'!$A40 &amp; "|" &amp; 
      LEFT('Teachers sched'!G40, FIND("-", 'Teachers sched'!G40) - 1),
      {
        SALONES!$A:$A &amp; "|" &amp; SALONES!$B:$B,
        SALONES!$C:$C
      },
      2,
      FALSE
    ) &amp; " - " &amp; 'Teachers sched'!G40,
    'Teachers sched'!G40
  )
)
</f>
        <v>905 - AP Economics-1</v>
      </c>
      <c r="H40" s="390" t="str">
        <f t="array" ref="H40">IF('Teachers sched'!H40="", "", 
  IFERROR(
    VLOOKUP(
      'Teachers sched'!$A40 &amp; "|" &amp; 
      LEFT('Teachers sched'!H40, FIND("-", 'Teachers sched'!H40) - 1),
      {
        SALONES!$A:$A &amp; "|" &amp; SALONES!$B:$B,
        SALONES!$C:$C
      },
      2,
      FALSE
    ) &amp; " - " &amp; 'Teachers sched'!H40,
    'Teachers sched'!H40
  )
)
</f>
        <v>905 - AP Economics-4</v>
      </c>
      <c r="I40" s="68"/>
      <c r="J40" s="392"/>
      <c r="K40" s="389" t="s">
        <v>22</v>
      </c>
      <c r="L40" s="389" t="s">
        <v>22</v>
      </c>
      <c r="M40" s="100">
        <v>5.0</v>
      </c>
      <c r="N40" s="390" t="s">
        <v>22</v>
      </c>
      <c r="O40" s="390" t="s">
        <v>22</v>
      </c>
      <c r="P40" s="390" t="s">
        <v>22</v>
      </c>
      <c r="Q40" s="390" t="s">
        <v>22</v>
      </c>
      <c r="R40" s="390" t="s">
        <v>22</v>
      </c>
      <c r="S40" s="68"/>
      <c r="T40" s="393"/>
    </row>
    <row r="41">
      <c r="C41" s="3"/>
      <c r="D41" s="396"/>
      <c r="E41" s="396"/>
      <c r="F41" s="396"/>
      <c r="G41" s="396"/>
      <c r="H41" s="396"/>
      <c r="N41" s="397"/>
      <c r="O41" s="397"/>
      <c r="P41" s="397"/>
      <c r="Q41" s="397"/>
      <c r="R41" s="397"/>
    </row>
    <row r="42">
      <c r="A42" s="45"/>
      <c r="B42" s="45"/>
      <c r="C42" s="386" t="s">
        <v>127</v>
      </c>
      <c r="D42" s="383"/>
      <c r="E42" s="383"/>
      <c r="F42" s="383"/>
      <c r="G42" s="383"/>
      <c r="H42" s="384"/>
      <c r="I42" s="385" t="str">
        <f>IFERROR(__xludf.DUMMYFUNCTION("if(C42="""","""", iferror(filter(Schedule!$K:$K,Schedule!$L:$L=$C42,Schedule!$K:$K=""S1""),unique(filter(Schedule!$K:$K,Schedule!$L:$L=$C42,Schedule!$K:$K=""""))))"),"")</f>
        <v/>
      </c>
      <c r="M42" s="386" t="s">
        <v>22</v>
      </c>
      <c r="N42" s="383"/>
      <c r="O42" s="383"/>
      <c r="P42" s="383"/>
      <c r="Q42" s="383"/>
      <c r="R42" s="384"/>
      <c r="S42" s="385" t="s">
        <v>22</v>
      </c>
      <c r="T42" s="112"/>
    </row>
    <row r="43">
      <c r="A43" s="116"/>
      <c r="B43" s="116"/>
      <c r="C43" s="100" t="s">
        <v>7</v>
      </c>
      <c r="D43" s="387" t="s">
        <v>8</v>
      </c>
      <c r="E43" s="387" t="s">
        <v>9</v>
      </c>
      <c r="F43" s="387" t="s">
        <v>10</v>
      </c>
      <c r="G43" s="387" t="s">
        <v>11</v>
      </c>
      <c r="H43" s="387" t="s">
        <v>12</v>
      </c>
      <c r="I43" s="21" t="s">
        <v>766</v>
      </c>
      <c r="J43" s="116"/>
      <c r="K43" s="116"/>
      <c r="L43" s="116"/>
      <c r="M43" s="100" t="s">
        <v>7</v>
      </c>
      <c r="N43" s="387" t="s">
        <v>8</v>
      </c>
      <c r="O43" s="387" t="s">
        <v>9</v>
      </c>
      <c r="P43" s="387" t="s">
        <v>10</v>
      </c>
      <c r="Q43" s="387" t="s">
        <v>11</v>
      </c>
      <c r="R43" s="387" t="s">
        <v>12</v>
      </c>
      <c r="S43" s="21" t="s">
        <v>766</v>
      </c>
      <c r="T43" s="388"/>
    </row>
    <row r="44">
      <c r="A44" s="389" t="s">
        <v>127</v>
      </c>
      <c r="B44" s="389" t="s">
        <v>22</v>
      </c>
      <c r="C44" s="100">
        <v>1.0</v>
      </c>
      <c r="D44" s="390" t="str">
        <f t="array" ref="D44">IF('Teachers sched'!D44="", "", 
  IFERROR(
    VLOOKUP(
      'Teachers sched'!$A44 &amp; "|" &amp; 
      LEFT('Teachers sched'!D44, FIND("-", 'Teachers sched'!D44) - 1),
      {
        SALONES!$A:$A &amp; "|" &amp; SALONES!$B:$B,
        SALONES!$C:$C
      },
      2,
      FALSE
    ) &amp; " - " &amp; 'Teachers sched'!D44,
    'Teachers sched'!D44
  )
)
</f>
        <v/>
      </c>
      <c r="E44" s="390" t="str">
        <f t="array" ref="E44">IF('Teachers sched'!E44="", "", 
  IFERROR(
    VLOOKUP(
      'Teachers sched'!$A44 &amp; "|" &amp; 
      LEFT('Teachers sched'!E44, FIND("-", 'Teachers sched'!E44) - 1),
      {
        SALONES!$A:$A &amp; "|" &amp; SALONES!$B:$B,
        SALONES!$C:$C
      },
      2,
      FALSE
    ) &amp; " - " &amp; 'Teachers sched'!E44,
    'Teachers sched'!E44
  )
)
</f>
        <v/>
      </c>
      <c r="F44" s="390" t="str">
        <f t="array" ref="F44">IF('Teachers sched'!F44="", "", 
  IFERROR(
    VLOOKUP(
      'Teachers sched'!$A44 &amp; "|" &amp; 
      LEFT('Teachers sched'!F44, FIND("-", 'Teachers sched'!F44) - 1),
      {
        SALONES!$A:$A &amp; "|" &amp; SALONES!$B:$B,
        SALONES!$C:$C
      },
      2,
      FALSE
    ) &amp; " - " &amp; 'Teachers sched'!F44,
    'Teachers sched'!F44
  )
)
</f>
        <v>913 - Journalism Higher Level-1</v>
      </c>
      <c r="G44" s="390" t="str">
        <f t="array" ref="G44">IF('Teachers sched'!G44="", "", 
  IFERROR(
    VLOOKUP(
      'Teachers sched'!$A44 &amp; "|" &amp; 
      LEFT('Teachers sched'!G44, FIND("-", 'Teachers sched'!G44) - 1),
      {
        SALONES!$A:$A &amp; "|" &amp; SALONES!$B:$B,
        SALONES!$C:$C
      },
      2,
      FALSE
    ) &amp; " - " &amp; 'Teachers sched'!G44,
    'Teachers sched'!G44
  )
)
</f>
        <v>913 - Journalism Higher Level-3</v>
      </c>
      <c r="H44" s="390" t="str">
        <f t="array" ref="H44">IF('Teachers sched'!H44="", "", 
  IFERROR(
    VLOOKUP(
      'Teachers sched'!$A44 &amp; "|" &amp; 
      LEFT('Teachers sched'!H44, FIND("-", 'Teachers sched'!H44) - 1),
      {
        SALONES!$A:$A &amp; "|" &amp; SALONES!$B:$B,
        SALONES!$C:$C
      },
      2,
      FALSE
    ) &amp; " - " &amp; 'Teachers sched'!H44,
    'Teachers sched'!H44
  )
)
</f>
        <v>913 - English 10-2</v>
      </c>
      <c r="I44" s="391">
        <f>if(C42="","", 24-countifs(D44:H48,""))</f>
        <v>15</v>
      </c>
      <c r="J44" s="392"/>
      <c r="K44" s="389" t="s">
        <v>22</v>
      </c>
      <c r="L44" s="389" t="s">
        <v>22</v>
      </c>
      <c r="M44" s="100">
        <v>1.0</v>
      </c>
      <c r="N44" s="390" t="s">
        <v>22</v>
      </c>
      <c r="O44" s="390" t="s">
        <v>22</v>
      </c>
      <c r="P44" s="390" t="s">
        <v>22</v>
      </c>
      <c r="Q44" s="390" t="s">
        <v>22</v>
      </c>
      <c r="R44" s="390" t="s">
        <v>22</v>
      </c>
      <c r="S44" s="391" t="s">
        <v>22</v>
      </c>
      <c r="T44" s="393"/>
    </row>
    <row r="45">
      <c r="A45" s="389" t="s">
        <v>127</v>
      </c>
      <c r="B45" s="389" t="s">
        <v>22</v>
      </c>
      <c r="C45" s="100">
        <v>2.0</v>
      </c>
      <c r="D45" s="390" t="str">
        <f t="array" ref="D45">IF('Teachers sched'!D45="", "", 
  IFERROR(
    VLOOKUP(
      'Teachers sched'!$A45 &amp; "|" &amp; 
      LEFT('Teachers sched'!D45, FIND("-", 'Teachers sched'!D45) - 1),
      {
        SALONES!$A:$A &amp; "|" &amp; SALONES!$B:$B,
        SALONES!$C:$C
      },
      2,
      FALSE
    ) &amp; " - " &amp; 'Teachers sched'!D45,
    'Teachers sched'!D45
  )
)
</f>
        <v>913 - English 10-1</v>
      </c>
      <c r="E45" s="390" t="str">
        <f t="array" ref="E45">IF('Teachers sched'!E45="", "", 
  IFERROR(
    VLOOKUP(
      'Teachers sched'!$A45 &amp; "|" &amp; 
      LEFT('Teachers sched'!E45, FIND("-", 'Teachers sched'!E45) - 1),
      {
        SALONES!$A:$A &amp; "|" &amp; SALONES!$B:$B,
        SALONES!$C:$C
      },
      2,
      FALSE
    ) &amp; " - " &amp; 'Teachers sched'!E45,
    'Teachers sched'!E45
  )
)
</f>
        <v>913 - Journalism Higher Level-2</v>
      </c>
      <c r="F45" s="390" t="str">
        <f t="array" ref="F45">IF('Teachers sched'!F45="", "", 
  IFERROR(
    VLOOKUP(
      'Teachers sched'!$A45 &amp; "|" &amp; 
      LEFT('Teachers sched'!F45, FIND("-", 'Teachers sched'!F45) - 1),
      {
        SALONES!$A:$A &amp; "|" &amp; SALONES!$B:$B,
        SALONES!$C:$C
      },
      2,
      FALSE
    ) &amp; " - " &amp; 'Teachers sched'!F45,
    'Teachers sched'!F45
  )
)
</f>
        <v/>
      </c>
      <c r="G45" s="390" t="str">
        <f t="array" ref="G45">IF('Teachers sched'!G45="", "", 
  IFERROR(
    VLOOKUP(
      'Teachers sched'!$A45 &amp; "|" &amp; 
      LEFT('Teachers sched'!G45, FIND("-", 'Teachers sched'!G45) - 1),
      {
        SALONES!$A:$A &amp; "|" &amp; SALONES!$B:$B,
        SALONES!$C:$C
      },
      2,
      FALSE
    ) &amp; " - " &amp; 'Teachers sched'!G45,
    'Teachers sched'!G45
  )
)
</f>
        <v/>
      </c>
      <c r="H45" s="390" t="str">
        <f t="array" ref="H45">IF('Teachers sched'!H45="", "", 
  IFERROR(
    VLOOKUP(
      'Teachers sched'!$A45 &amp; "|" &amp; 
      LEFT('Teachers sched'!H45, FIND("-", 'Teachers sched'!H45) - 1),
      {
        SALONES!$A:$A &amp; "|" &amp; SALONES!$B:$B,
        SALONES!$C:$C
      },
      2,
      FALSE
    ) &amp; " - " &amp; 'Teachers sched'!H45,
    'Teachers sched'!H45
  )
)
</f>
        <v/>
      </c>
      <c r="I45" s="53"/>
      <c r="J45" s="392"/>
      <c r="K45" s="389" t="s">
        <v>22</v>
      </c>
      <c r="L45" s="389" t="s">
        <v>22</v>
      </c>
      <c r="M45" s="100">
        <v>2.0</v>
      </c>
      <c r="N45" s="390" t="s">
        <v>22</v>
      </c>
      <c r="O45" s="390" t="s">
        <v>22</v>
      </c>
      <c r="P45" s="390" t="s">
        <v>22</v>
      </c>
      <c r="Q45" s="390" t="s">
        <v>22</v>
      </c>
      <c r="R45" s="390" t="s">
        <v>22</v>
      </c>
      <c r="S45" s="53"/>
      <c r="T45" s="393"/>
    </row>
    <row r="46">
      <c r="A46" s="389" t="s">
        <v>127</v>
      </c>
      <c r="B46" s="389" t="s">
        <v>22</v>
      </c>
      <c r="C46" s="100">
        <v>3.0</v>
      </c>
      <c r="D46" s="390" t="str">
        <f t="array" ref="D46">IF('Teachers sched'!D46="", "", 
  IFERROR(
    VLOOKUP(
      'Teachers sched'!$A46 &amp; "|" &amp; 
      LEFT('Teachers sched'!D46, FIND("-", 'Teachers sched'!D46) - 1),
      {
        SALONES!$A:$A &amp; "|" &amp; SALONES!$B:$B,
        SALONES!$C:$C
      },
      2,
      FALSE
    ) &amp; " - " &amp; 'Teachers sched'!D46,
    'Teachers sched'!D46
  )
)
</f>
        <v>913 - Journalism Higher Level-1</v>
      </c>
      <c r="E46" s="390" t="str">
        <f t="array" ref="E46">IF('Teachers sched'!E46="", "", 
  IFERROR(
    VLOOKUP(
      'Teachers sched'!$A46 &amp; "|" &amp; 
      LEFT('Teachers sched'!E46, FIND("-", 'Teachers sched'!E46) - 1),
      {
        SALONES!$A:$A &amp; "|" &amp; SALONES!$B:$B,
        SALONES!$C:$C
      },
      2,
      FALSE
    ) &amp; " - " &amp; 'Teachers sched'!E46,
    'Teachers sched'!E46
  )
)
</f>
        <v>913 - Journalism Higher Level-3</v>
      </c>
      <c r="F46" s="390" t="str">
        <f t="array" ref="F46">IF('Teachers sched'!F46="", "", 
  IFERROR(
    VLOOKUP(
      'Teachers sched'!$A46 &amp; "|" &amp; 
      LEFT('Teachers sched'!F46, FIND("-", 'Teachers sched'!F46) - 1),
      {
        SALONES!$A:$A &amp; "|" &amp; SALONES!$B:$B,
        SALONES!$C:$C
      },
      2,
      FALSE
    ) &amp; " - " &amp; 'Teachers sched'!F46,
    'Teachers sched'!F46
  )
)
</f>
        <v>913 - English 10-2</v>
      </c>
      <c r="G46" s="390" t="str">
        <f t="array" ref="G46">IF('Teachers sched'!G46="", "", 
  IFERROR(
    VLOOKUP(
      'Teachers sched'!$A46 &amp; "|" &amp; 
      LEFT('Teachers sched'!G46, FIND("-", 'Teachers sched'!G46) - 1),
      {
        SALONES!$A:$A &amp; "|" &amp; SALONES!$B:$B,
        SALONES!$C:$C
      },
      2,
      FALSE
    ) &amp; " - " &amp; 'Teachers sched'!G46,
    'Teachers sched'!G46
  )
)
</f>
        <v>913 - English 10-1</v>
      </c>
      <c r="H46" s="395" t="str">
        <f t="array" ref="H46">IF('Teachers sched'!H46="", "", 
  IFERROR(
    VLOOKUP(
      'Teachers sched'!$A46 &amp; "|" &amp; 
      LEFT('Teachers sched'!H46, FIND("-", 'Teachers sched'!H46) - 1),
      {
        SALONES!$A:$A &amp; "|" &amp; SALONES!$B:$B,
        SALONES!$C:$C
      },
      2,
      FALSE
    ) &amp; " - " &amp; 'Teachers sched'!H46,
    'Teachers sched'!H46
  )
)
</f>
        <v>X-Block</v>
      </c>
      <c r="I46" s="53"/>
      <c r="J46" s="392"/>
      <c r="K46" s="389" t="s">
        <v>22</v>
      </c>
      <c r="L46" s="389" t="s">
        <v>22</v>
      </c>
      <c r="M46" s="100">
        <v>3.0</v>
      </c>
      <c r="N46" s="390" t="s">
        <v>22</v>
      </c>
      <c r="O46" s="390" t="s">
        <v>22</v>
      </c>
      <c r="P46" s="390" t="s">
        <v>22</v>
      </c>
      <c r="Q46" s="390" t="s">
        <v>22</v>
      </c>
      <c r="R46" s="395" t="s">
        <v>22</v>
      </c>
      <c r="S46" s="53"/>
      <c r="T46" s="393"/>
    </row>
    <row r="47">
      <c r="A47" s="389" t="s">
        <v>127</v>
      </c>
      <c r="B47" s="389" t="s">
        <v>22</v>
      </c>
      <c r="C47" s="100">
        <v>4.0</v>
      </c>
      <c r="D47" s="390" t="str">
        <f t="array" ref="D47">IF('Teachers sched'!D47="", "", 
  IFERROR(
    VLOOKUP(
      'Teachers sched'!$A47 &amp; "|" &amp; 
      LEFT('Teachers sched'!D47, FIND("-", 'Teachers sched'!D47) - 1),
      {
        SALONES!$A:$A &amp; "|" &amp; SALONES!$B:$B,
        SALONES!$C:$C
      },
      2,
      FALSE
    ) &amp; " - " &amp; 'Teachers sched'!D47,
    'Teachers sched'!D47
  )
)
</f>
        <v/>
      </c>
      <c r="E47" s="390" t="str">
        <f t="array" ref="E47">IF('Teachers sched'!E47="", "", 
  IFERROR(
    VLOOKUP(
      'Teachers sched'!$A47 &amp; "|" &amp; 
      LEFT('Teachers sched'!E47, FIND("-", 'Teachers sched'!E47) - 1),
      {
        SALONES!$A:$A &amp; "|" &amp; SALONES!$B:$B,
        SALONES!$C:$C
      },
      2,
      FALSE
    ) &amp; " - " &amp; 'Teachers sched'!E47,
    'Teachers sched'!E47
  )
)
</f>
        <v/>
      </c>
      <c r="F47" s="390" t="str">
        <f t="array" ref="F47">IF('Teachers sched'!F47="", "", 
  IFERROR(
    VLOOKUP(
      'Teachers sched'!$A47 &amp; "|" &amp; 
      LEFT('Teachers sched'!F47, FIND("-", 'Teachers sched'!F47) - 1),
      {
        SALONES!$A:$A &amp; "|" &amp; SALONES!$B:$B,
        SALONES!$C:$C
      },
      2,
      FALSE
    ) &amp; " - " &amp; 'Teachers sched'!F47,
    'Teachers sched'!F47
  )
)
</f>
        <v/>
      </c>
      <c r="G47" s="390" t="str">
        <f t="array" ref="G47">IF('Teachers sched'!G47="", "", 
  IFERROR(
    VLOOKUP(
      'Teachers sched'!$A47 &amp; "|" &amp; 
      LEFT('Teachers sched'!G47, FIND("-", 'Teachers sched'!G47) - 1),
      {
        SALONES!$A:$A &amp; "|" &amp; SALONES!$B:$B,
        SALONES!$C:$C
      },
      2,
      FALSE
    ) &amp; " - " &amp; 'Teachers sched'!G47,
    'Teachers sched'!G47
  )
)
</f>
        <v>913 - Journalism Higher Level-1</v>
      </c>
      <c r="H47" s="390" t="str">
        <f t="array" ref="H47">IF('Teachers sched'!H47="", "", 
  IFERROR(
    VLOOKUP(
      'Teachers sched'!$A47 &amp; "|" &amp; 
      LEFT('Teachers sched'!H47, FIND("-", 'Teachers sched'!H47) - 1),
      {
        SALONES!$A:$A &amp; "|" &amp; SALONES!$B:$B,
        SALONES!$C:$C
      },
      2,
      FALSE
    ) &amp; " - " &amp; 'Teachers sched'!H47,
    'Teachers sched'!H47
  )
)
</f>
        <v>913 - Journalism Higher Level-2</v>
      </c>
      <c r="I47" s="53"/>
      <c r="J47" s="392"/>
      <c r="K47" s="389" t="s">
        <v>22</v>
      </c>
      <c r="L47" s="389" t="s">
        <v>22</v>
      </c>
      <c r="M47" s="100">
        <v>4.0</v>
      </c>
      <c r="N47" s="390" t="s">
        <v>22</v>
      </c>
      <c r="O47" s="390" t="s">
        <v>22</v>
      </c>
      <c r="P47" s="390" t="s">
        <v>22</v>
      </c>
      <c r="Q47" s="390" t="s">
        <v>22</v>
      </c>
      <c r="R47" s="390" t="s">
        <v>22</v>
      </c>
      <c r="S47" s="53"/>
      <c r="T47" s="393"/>
    </row>
    <row r="48">
      <c r="A48" s="389" t="s">
        <v>127</v>
      </c>
      <c r="B48" s="389" t="s">
        <v>22</v>
      </c>
      <c r="C48" s="100">
        <v>5.0</v>
      </c>
      <c r="D48" s="390" t="str">
        <f t="array" ref="D48">IF('Teachers sched'!D48="", "", 
  IFERROR(
    VLOOKUP(
      'Teachers sched'!$A48 &amp; "|" &amp; 
      LEFT('Teachers sched'!D48, FIND("-", 'Teachers sched'!D48) - 1),
      {
        SALONES!$A:$A &amp; "|" &amp; SALONES!$B:$B,
        SALONES!$C:$C
      },
      2,
      FALSE
    ) &amp; " - " &amp; 'Teachers sched'!D48,
    'Teachers sched'!D48
  )
)
</f>
        <v>913 - English 10-2</v>
      </c>
      <c r="E48" s="390" t="str">
        <f t="array" ref="E48">IF('Teachers sched'!E48="", "", 
  IFERROR(
    VLOOKUP(
      'Teachers sched'!$A48 &amp; "|" &amp; 
      LEFT('Teachers sched'!E48, FIND("-", 'Teachers sched'!E48) - 1),
      {
        SALONES!$A:$A &amp; "|" &amp; SALONES!$B:$B,
        SALONES!$C:$C
      },
      2,
      FALSE
    ) &amp; " - " &amp; 'Teachers sched'!E48,
    'Teachers sched'!E48
  )
)
</f>
        <v>913 - English 10-1</v>
      </c>
      <c r="F48" s="390" t="str">
        <f t="array" ref="F48">IF('Teachers sched'!F48="", "", 
  IFERROR(
    VLOOKUP(
      'Teachers sched'!$A48 &amp; "|" &amp; 
      LEFT('Teachers sched'!F48, FIND("-", 'Teachers sched'!F48) - 1),
      {
        SALONES!$A:$A &amp; "|" &amp; SALONES!$B:$B,
        SALONES!$C:$C
      },
      2,
      FALSE
    ) &amp; " - " &amp; 'Teachers sched'!F48,
    'Teachers sched'!F48
  )
)
</f>
        <v>913 - Journalism Higher Level-2</v>
      </c>
      <c r="G48" s="390" t="str">
        <f t="array" ref="G48">IF('Teachers sched'!G48="", "", 
  IFERROR(
    VLOOKUP(
      'Teachers sched'!$A48 &amp; "|" &amp; 
      LEFT('Teachers sched'!G48, FIND("-", 'Teachers sched'!G48) - 1),
      {
        SALONES!$A:$A &amp; "|" &amp; SALONES!$B:$B,
        SALONES!$C:$C
      },
      2,
      FALSE
    ) &amp; " - " &amp; 'Teachers sched'!G48,
    'Teachers sched'!G48
  )
)
</f>
        <v/>
      </c>
      <c r="H48" s="390" t="str">
        <f t="array" ref="H48">IF('Teachers sched'!H48="", "", 
  IFERROR(
    VLOOKUP(
      'Teachers sched'!$A48 &amp; "|" &amp; 
      LEFT('Teachers sched'!H48, FIND("-", 'Teachers sched'!H48) - 1),
      {
        SALONES!$A:$A &amp; "|" &amp; SALONES!$B:$B,
        SALONES!$C:$C
      },
      2,
      FALSE
    ) &amp; " - " &amp; 'Teachers sched'!H48,
    'Teachers sched'!H48
  )
)
</f>
        <v>913 - Journalism Higher Level-3</v>
      </c>
      <c r="I48" s="68"/>
      <c r="J48" s="392"/>
      <c r="K48" s="389" t="s">
        <v>22</v>
      </c>
      <c r="L48" s="389" t="s">
        <v>22</v>
      </c>
      <c r="M48" s="100">
        <v>5.0</v>
      </c>
      <c r="N48" s="390" t="s">
        <v>22</v>
      </c>
      <c r="O48" s="390" t="s">
        <v>22</v>
      </c>
      <c r="P48" s="390" t="s">
        <v>22</v>
      </c>
      <c r="Q48" s="390" t="s">
        <v>22</v>
      </c>
      <c r="R48" s="390" t="s">
        <v>22</v>
      </c>
      <c r="S48" s="68"/>
      <c r="T48" s="393"/>
    </row>
    <row r="49">
      <c r="C49" s="3"/>
      <c r="D49" s="396"/>
      <c r="E49" s="396"/>
      <c r="F49" s="396"/>
      <c r="G49" s="396"/>
      <c r="H49" s="396"/>
      <c r="N49" s="397"/>
      <c r="O49" s="397"/>
      <c r="P49" s="397"/>
      <c r="Q49" s="397"/>
      <c r="R49" s="397"/>
    </row>
    <row r="50">
      <c r="A50" s="45"/>
      <c r="B50" s="45"/>
      <c r="C50" s="386" t="s">
        <v>777</v>
      </c>
      <c r="D50" s="383"/>
      <c r="E50" s="383"/>
      <c r="F50" s="383"/>
      <c r="G50" s="383"/>
      <c r="H50" s="384"/>
      <c r="I50" s="385" t="str">
        <f>IFERROR(__xludf.DUMMYFUNCTION("if(C50="""","""", iferror(filter(Schedule!$K:$K,Schedule!$L:$L=$C50,Schedule!$K:$K=""S1""),unique(filter(Schedule!$K:$K,Schedule!$L:$L=$C50,Schedule!$K:$K=""""))))"),"#N/A")</f>
        <v>#N/A</v>
      </c>
      <c r="M50" s="386" t="s">
        <v>22</v>
      </c>
      <c r="N50" s="383"/>
      <c r="O50" s="383"/>
      <c r="P50" s="383"/>
      <c r="Q50" s="383"/>
      <c r="R50" s="384"/>
      <c r="S50" s="385" t="s">
        <v>22</v>
      </c>
      <c r="T50" s="112"/>
    </row>
    <row r="51">
      <c r="A51" s="116"/>
      <c r="B51" s="116"/>
      <c r="C51" s="100" t="s">
        <v>7</v>
      </c>
      <c r="D51" s="387" t="s">
        <v>8</v>
      </c>
      <c r="E51" s="387" t="s">
        <v>9</v>
      </c>
      <c r="F51" s="387" t="s">
        <v>10</v>
      </c>
      <c r="G51" s="387" t="s">
        <v>11</v>
      </c>
      <c r="H51" s="387" t="s">
        <v>12</v>
      </c>
      <c r="I51" s="21" t="s">
        <v>766</v>
      </c>
      <c r="J51" s="116"/>
      <c r="K51" s="116"/>
      <c r="L51" s="116"/>
      <c r="M51" s="100" t="s">
        <v>7</v>
      </c>
      <c r="N51" s="387" t="s">
        <v>8</v>
      </c>
      <c r="O51" s="387" t="s">
        <v>9</v>
      </c>
      <c r="P51" s="387" t="s">
        <v>10</v>
      </c>
      <c r="Q51" s="387" t="s">
        <v>11</v>
      </c>
      <c r="R51" s="387" t="s">
        <v>12</v>
      </c>
      <c r="S51" s="21" t="s">
        <v>766</v>
      </c>
      <c r="T51" s="388"/>
    </row>
    <row r="52">
      <c r="A52" s="389" t="s">
        <v>777</v>
      </c>
      <c r="B52" s="389" t="s">
        <v>22</v>
      </c>
      <c r="C52" s="100">
        <v>1.0</v>
      </c>
      <c r="D52" s="390" t="str">
        <f t="array" ref="D52">IF('Teachers sched'!D52="", "", 
  IFERROR(
    VLOOKUP(
      'Teachers sched'!$A52 &amp; "|" &amp; 
      LEFT('Teachers sched'!D52, FIND("-", 'Teachers sched'!D52) - 1),
      {
        SALONES!$A:$A &amp; "|" &amp; SALONES!$B:$B,
        SALONES!$C:$C
      },
      2,
      FALSE
    ) &amp; " - " &amp; 'Teachers sched'!D52,
    'Teachers sched'!D52
  )
)
</f>
        <v> - PE 9-1</v>
      </c>
      <c r="E52" s="390" t="str">
        <f t="array" ref="E52">IF('Teachers sched'!E52="", "", 
  IFERROR(
    VLOOKUP(
      'Teachers sched'!$A52 &amp; "|" &amp; 
      LEFT('Teachers sched'!E52, FIND("-", 'Teachers sched'!E52) - 1),
      {
        SALONES!$A:$A &amp; "|" &amp; SALONES!$B:$B,
        SALONES!$C:$C
      },
      2,
      FALSE
    ) &amp; " - " &amp; 'Teachers sched'!E52,
    'Teachers sched'!E52
  )
)
</f>
        <v> - PE 9-5</v>
      </c>
      <c r="F52" s="390" t="str">
        <f t="array" ref="F52">IF('Teachers sched'!F52="", "", 
  IFERROR(
    VLOOKUP(
      'Teachers sched'!$A52 &amp; "|" &amp; 
      LEFT('Teachers sched'!F52, FIND("-", 'Teachers sched'!F52) - 1),
      {
        SALONES!$A:$A &amp; "|" &amp; SALONES!$B:$B,
        SALONES!$C:$C
      },
      2,
      FALSE
    ) &amp; " - " &amp; 'Teachers sched'!F52,
    'Teachers sched'!F52
  )
)
</f>
        <v/>
      </c>
      <c r="G52" s="390" t="str">
        <f t="array" ref="G52">IF('Teachers sched'!G52="", "", 
  IFERROR(
    VLOOKUP(
      'Teachers sched'!$A52 &amp; "|" &amp; 
      LEFT('Teachers sched'!G52, FIND("-", 'Teachers sched'!G52) - 1),
      {
        SALONES!$A:$A &amp; "|" &amp; SALONES!$B:$B,
        SALONES!$C:$C
      },
      2,
      FALSE
    ) &amp; " - " &amp; 'Teachers sched'!G52,
    'Teachers sched'!G52
  )
)
</f>
        <v> - PE 9-6</v>
      </c>
      <c r="H52" s="390" t="str">
        <f t="array" ref="H52">IF('Teachers sched'!H52="", "", 
  IFERROR(
    VLOOKUP(
      'Teachers sched'!$A52 &amp; "|" &amp; 
      LEFT('Teachers sched'!H52, FIND("-", 'Teachers sched'!H52) - 1),
      {
        SALONES!$A:$A &amp; "|" &amp; SALONES!$B:$B,
        SALONES!$C:$C
      },
      2,
      FALSE
    ) &amp; " - " &amp; 'Teachers sched'!H52,
    'Teachers sched'!H52
  )
)
</f>
        <v> - PE 9-4</v>
      </c>
      <c r="I52" s="391">
        <f>if(C50="","", 24-countifs(D52:H56,""))</f>
        <v>18</v>
      </c>
      <c r="J52" s="392"/>
      <c r="K52" s="389" t="s">
        <v>22</v>
      </c>
      <c r="L52" s="389" t="s">
        <v>22</v>
      </c>
      <c r="M52" s="100">
        <v>1.0</v>
      </c>
      <c r="N52" s="390" t="s">
        <v>22</v>
      </c>
      <c r="O52" s="390" t="s">
        <v>22</v>
      </c>
      <c r="P52" s="390" t="s">
        <v>22</v>
      </c>
      <c r="Q52" s="390" t="s">
        <v>22</v>
      </c>
      <c r="R52" s="390" t="s">
        <v>22</v>
      </c>
      <c r="S52" s="391" t="s">
        <v>22</v>
      </c>
      <c r="T52" s="393"/>
    </row>
    <row r="53">
      <c r="A53" s="389" t="s">
        <v>777</v>
      </c>
      <c r="B53" s="389" t="s">
        <v>22</v>
      </c>
      <c r="C53" s="100">
        <v>2.0</v>
      </c>
      <c r="D53" s="390" t="str">
        <f t="array" ref="D53">IF('Teachers sched'!D53="", "", 
  IFERROR(
    VLOOKUP(
      'Teachers sched'!$A53 &amp; "|" &amp; 
      LEFT('Teachers sched'!D53, FIND("-", 'Teachers sched'!D53) - 1),
      {
        SALONES!$A:$A &amp; "|" &amp; SALONES!$B:$B,
        SALONES!$C:$C
      },
      2,
      FALSE
    ) &amp; " - " &amp; 'Teachers sched'!D53,
    'Teachers sched'!D53
  )
)
</f>
        <v> - PE 9-2</v>
      </c>
      <c r="E53" s="390" t="str">
        <f t="array" ref="E53">IF('Teachers sched'!E53="", "", 
  IFERROR(
    VLOOKUP(
      'Teachers sched'!$A53 &amp; "|" &amp; 
      LEFT('Teachers sched'!E53, FIND("-", 'Teachers sched'!E53) - 1),
      {
        SALONES!$A:$A &amp; "|" &amp; SALONES!$B:$B,
        SALONES!$C:$C
      },
      2,
      FALSE
    ) &amp; " - " &amp; 'Teachers sched'!E53,
    'Teachers sched'!E53
  )
)
</f>
        <v/>
      </c>
      <c r="F53" s="390" t="str">
        <f t="array" ref="F53">IF('Teachers sched'!F53="", "", 
  IFERROR(
    VLOOKUP(
      'Teachers sched'!$A53 &amp; "|" &amp; 
      LEFT('Teachers sched'!F53, FIND("-", 'Teachers sched'!F53) - 1),
      {
        SALONES!$A:$A &amp; "|" &amp; SALONES!$B:$B,
        SALONES!$C:$C
      },
      2,
      FALSE
    ) &amp; " - " &amp; 'Teachers sched'!F53,
    'Teachers sched'!F53
  )
)
</f>
        <v> - PE 9-3</v>
      </c>
      <c r="G53" s="390" t="str">
        <f t="array" ref="G53">IF('Teachers sched'!G53="", "", 
  IFERROR(
    VLOOKUP(
      'Teachers sched'!$A53 &amp; "|" &amp; 
      LEFT('Teachers sched'!G53, FIND("-", 'Teachers sched'!G53) - 1),
      {
        SALONES!$A:$A &amp; "|" &amp; SALONES!$B:$B,
        SALONES!$C:$C
      },
      2,
      FALSE
    ) &amp; " - " &amp; 'Teachers sched'!G53,
    'Teachers sched'!G53
  )
)
</f>
        <v> - PE 9-1</v>
      </c>
      <c r="H53" s="390" t="str">
        <f t="array" ref="H53">IF('Teachers sched'!H53="", "", 
  IFERROR(
    VLOOKUP(
      'Teachers sched'!$A53 &amp; "|" &amp; 
      LEFT('Teachers sched'!H53, FIND("-", 'Teachers sched'!H53) - 1),
      {
        SALONES!$A:$A &amp; "|" &amp; SALONES!$B:$B,
        SALONES!$C:$C
      },
      2,
      FALSE
    ) &amp; " - " &amp; 'Teachers sched'!H53,
    'Teachers sched'!H53
  )
)
</f>
        <v> - PE 9-5</v>
      </c>
      <c r="I53" s="53"/>
      <c r="J53" s="392"/>
      <c r="K53" s="389" t="s">
        <v>22</v>
      </c>
      <c r="L53" s="389" t="s">
        <v>22</v>
      </c>
      <c r="M53" s="100">
        <v>2.0</v>
      </c>
      <c r="N53" s="390" t="s">
        <v>22</v>
      </c>
      <c r="O53" s="390" t="s">
        <v>22</v>
      </c>
      <c r="P53" s="390" t="s">
        <v>22</v>
      </c>
      <c r="Q53" s="390" t="s">
        <v>22</v>
      </c>
      <c r="R53" s="390" t="s">
        <v>22</v>
      </c>
      <c r="S53" s="53"/>
      <c r="T53" s="393"/>
    </row>
    <row r="54">
      <c r="A54" s="389" t="s">
        <v>777</v>
      </c>
      <c r="B54" s="389" t="s">
        <v>22</v>
      </c>
      <c r="C54" s="100">
        <v>3.0</v>
      </c>
      <c r="D54" s="390" t="str">
        <f t="array" ref="D54">IF('Teachers sched'!D54="", "", 
  IFERROR(
    VLOOKUP(
      'Teachers sched'!$A54 &amp; "|" &amp; 
      LEFT('Teachers sched'!D54, FIND("-", 'Teachers sched'!D54) - 1),
      {
        SALONES!$A:$A &amp; "|" &amp; SALONES!$B:$B,
        SALONES!$C:$C
      },
      2,
      FALSE
    ) &amp; " - " &amp; 'Teachers sched'!D54,
    'Teachers sched'!D54
  )
)
</f>
        <v/>
      </c>
      <c r="E54" s="390" t="str">
        <f t="array" ref="E54">IF('Teachers sched'!E54="", "", 
  IFERROR(
    VLOOKUP(
      'Teachers sched'!$A54 &amp; "|" &amp; 
      LEFT('Teachers sched'!E54, FIND("-", 'Teachers sched'!E54) - 1),
      {
        SALONES!$A:$A &amp; "|" &amp; SALONES!$B:$B,
        SALONES!$C:$C
      },
      2,
      FALSE
    ) &amp; " - " &amp; 'Teachers sched'!E54,
    'Teachers sched'!E54
  )
)
</f>
        <v> - PE 9-6</v>
      </c>
      <c r="F54" s="390" t="str">
        <f t="array" ref="F54">IF('Teachers sched'!F54="", "", 
  IFERROR(
    VLOOKUP(
      'Teachers sched'!$A54 &amp; "|" &amp; 
      LEFT('Teachers sched'!F54, FIND("-", 'Teachers sched'!F54) - 1),
      {
        SALONES!$A:$A &amp; "|" &amp; SALONES!$B:$B,
        SALONES!$C:$C
      },
      2,
      FALSE
    ) &amp; " - " &amp; 'Teachers sched'!F54,
    'Teachers sched'!F54
  )
)
</f>
        <v> - PE 9-4</v>
      </c>
      <c r="G54" s="390" t="str">
        <f t="array" ref="G54">IF('Teachers sched'!G54="", "", 
  IFERROR(
    VLOOKUP(
      'Teachers sched'!$A54 &amp; "|" &amp; 
      LEFT('Teachers sched'!G54, FIND("-", 'Teachers sched'!G54) - 1),
      {
        SALONES!$A:$A &amp; "|" &amp; SALONES!$B:$B,
        SALONES!$C:$C
      },
      2,
      FALSE
    ) &amp; " - " &amp; 'Teachers sched'!G54,
    'Teachers sched'!G54
  )
)
</f>
        <v> - PE 9-2</v>
      </c>
      <c r="H54" s="395" t="str">
        <f t="array" ref="H54">IF('Teachers sched'!H54="", "", 
  IFERROR(
    VLOOKUP(
      'Teachers sched'!$A54 &amp; "|" &amp; 
      LEFT('Teachers sched'!H54, FIND("-", 'Teachers sched'!H54) - 1),
      {
        SALONES!$A:$A &amp; "|" &amp; SALONES!$B:$B,
        SALONES!$C:$C
      },
      2,
      FALSE
    ) &amp; " - " &amp; 'Teachers sched'!H54,
    'Teachers sched'!H54
  )
)
</f>
        <v>X-Block</v>
      </c>
      <c r="I54" s="53"/>
      <c r="J54" s="392"/>
      <c r="K54" s="389" t="s">
        <v>22</v>
      </c>
      <c r="L54" s="389" t="s">
        <v>22</v>
      </c>
      <c r="M54" s="100">
        <v>3.0</v>
      </c>
      <c r="N54" s="390" t="s">
        <v>22</v>
      </c>
      <c r="O54" s="390" t="s">
        <v>22</v>
      </c>
      <c r="P54" s="390" t="s">
        <v>22</v>
      </c>
      <c r="Q54" s="390" t="s">
        <v>22</v>
      </c>
      <c r="R54" s="395" t="s">
        <v>22</v>
      </c>
      <c r="S54" s="53"/>
      <c r="T54" s="393"/>
    </row>
    <row r="55">
      <c r="A55" s="389" t="s">
        <v>777</v>
      </c>
      <c r="B55" s="389" t="s">
        <v>22</v>
      </c>
      <c r="C55" s="100">
        <v>4.0</v>
      </c>
      <c r="D55" s="390" t="str">
        <f t="array" ref="D55">IF('Teachers sched'!D55="", "", 
  IFERROR(
    VLOOKUP(
      'Teachers sched'!$A55 &amp; "|" &amp; 
      LEFT('Teachers sched'!D55, FIND("-", 'Teachers sched'!D55) - 1),
      {
        SALONES!$A:$A &amp; "|" &amp; SALONES!$B:$B,
        SALONES!$C:$C
      },
      2,
      FALSE
    ) &amp; " - " &amp; 'Teachers sched'!D55,
    'Teachers sched'!D55
  )
)
</f>
        <v> - PE 9-3</v>
      </c>
      <c r="E55" s="390" t="str">
        <f t="array" ref="E55">IF('Teachers sched'!E55="", "", 
  IFERROR(
    VLOOKUP(
      'Teachers sched'!$A55 &amp; "|" &amp; 
      LEFT('Teachers sched'!E55, FIND("-", 'Teachers sched'!E55) - 1),
      {
        SALONES!$A:$A &amp; "|" &amp; SALONES!$B:$B,
        SALONES!$C:$C
      },
      2,
      FALSE
    ) &amp; " - " &amp; 'Teachers sched'!E55,
    'Teachers sched'!E55
  )
)
</f>
        <v> - PE 9-1</v>
      </c>
      <c r="F55" s="390" t="str">
        <f t="array" ref="F55">IF('Teachers sched'!F55="", "", 
  IFERROR(
    VLOOKUP(
      'Teachers sched'!$A55 &amp; "|" &amp; 
      LEFT('Teachers sched'!F55, FIND("-", 'Teachers sched'!F55) - 1),
      {
        SALONES!$A:$A &amp; "|" &amp; SALONES!$B:$B,
        SALONES!$C:$C
      },
      2,
      FALSE
    ) &amp; " - " &amp; 'Teachers sched'!F55,
    'Teachers sched'!F55
  )
)
</f>
        <v> - PE 9-5</v>
      </c>
      <c r="G55" s="390" t="str">
        <f t="array" ref="G55">IF('Teachers sched'!G55="", "", 
  IFERROR(
    VLOOKUP(
      'Teachers sched'!$A55 &amp; "|" &amp; 
      LEFT('Teachers sched'!G55, FIND("-", 'Teachers sched'!G55) - 1),
      {
        SALONES!$A:$A &amp; "|" &amp; SALONES!$B:$B,
        SALONES!$C:$C
      },
      2,
      FALSE
    ) &amp; " - " &amp; 'Teachers sched'!G55,
    'Teachers sched'!G55
  )
)
</f>
        <v/>
      </c>
      <c r="H55" s="390" t="str">
        <f t="array" ref="H55">IF('Teachers sched'!H55="", "", 
  IFERROR(
    VLOOKUP(
      'Teachers sched'!$A55 &amp; "|" &amp; 
      LEFT('Teachers sched'!H55, FIND("-", 'Teachers sched'!H55) - 1),
      {
        SALONES!$A:$A &amp; "|" &amp; SALONES!$B:$B,
        SALONES!$C:$C
      },
      2,
      FALSE
    ) &amp; " - " &amp; 'Teachers sched'!H55,
    'Teachers sched'!H55
  )
)
</f>
        <v/>
      </c>
      <c r="I55" s="53"/>
      <c r="J55" s="392"/>
      <c r="K55" s="389" t="s">
        <v>22</v>
      </c>
      <c r="L55" s="389" t="s">
        <v>22</v>
      </c>
      <c r="M55" s="100">
        <v>4.0</v>
      </c>
      <c r="N55" s="390" t="s">
        <v>22</v>
      </c>
      <c r="O55" s="390" t="s">
        <v>22</v>
      </c>
      <c r="P55" s="390" t="s">
        <v>22</v>
      </c>
      <c r="Q55" s="390" t="s">
        <v>22</v>
      </c>
      <c r="R55" s="390" t="s">
        <v>22</v>
      </c>
      <c r="S55" s="53"/>
      <c r="T55" s="393"/>
    </row>
    <row r="56">
      <c r="A56" s="389" t="s">
        <v>777</v>
      </c>
      <c r="B56" s="389" t="s">
        <v>22</v>
      </c>
      <c r="C56" s="100">
        <v>5.0</v>
      </c>
      <c r="D56" s="390" t="str">
        <f t="array" ref="D56">IF('Teachers sched'!D56="", "", 
  IFERROR(
    VLOOKUP(
      'Teachers sched'!$A56 &amp; "|" &amp; 
      LEFT('Teachers sched'!D56, FIND("-", 'Teachers sched'!D56) - 1),
      {
        SALONES!$A:$A &amp; "|" &amp; SALONES!$B:$B,
        SALONES!$C:$C
      },
      2,
      FALSE
    ) &amp; " - " &amp; 'Teachers sched'!D56,
    'Teachers sched'!D56
  )
)
</f>
        <v> - PE 9-4</v>
      </c>
      <c r="E56" s="390" t="str">
        <f t="array" ref="E56">IF('Teachers sched'!E56="", "", 
  IFERROR(
    VLOOKUP(
      'Teachers sched'!$A56 &amp; "|" &amp; 
      LEFT('Teachers sched'!E56, FIND("-", 'Teachers sched'!E56) - 1),
      {
        SALONES!$A:$A &amp; "|" &amp; SALONES!$B:$B,
        SALONES!$C:$C
      },
      2,
      FALSE
    ) &amp; " - " &amp; 'Teachers sched'!E56,
    'Teachers sched'!E56
  )
)
</f>
        <v> - PE 9-2</v>
      </c>
      <c r="F56" s="390" t="str">
        <f t="array" ref="F56">IF('Teachers sched'!F56="", "", 
  IFERROR(
    VLOOKUP(
      'Teachers sched'!$A56 &amp; "|" &amp; 
      LEFT('Teachers sched'!F56, FIND("-", 'Teachers sched'!F56) - 1),
      {
        SALONES!$A:$A &amp; "|" &amp; SALONES!$B:$B,
        SALONES!$C:$C
      },
      2,
      FALSE
    ) &amp; " - " &amp; 'Teachers sched'!F56,
    'Teachers sched'!F56
  )
)
</f>
        <v/>
      </c>
      <c r="G56" s="390" t="str">
        <f t="array" ref="G56">IF('Teachers sched'!G56="", "", 
  IFERROR(
    VLOOKUP(
      'Teachers sched'!$A56 &amp; "|" &amp; 
      LEFT('Teachers sched'!G56, FIND("-", 'Teachers sched'!G56) - 1),
      {
        SALONES!$A:$A &amp; "|" &amp; SALONES!$B:$B,
        SALONES!$C:$C
      },
      2,
      FALSE
    ) &amp; " - " &amp; 'Teachers sched'!G56,
    'Teachers sched'!G56
  )
)
</f>
        <v> - PE 9-3</v>
      </c>
      <c r="H56" s="390" t="str">
        <f t="array" ref="H56">IF('Teachers sched'!H56="", "", 
  IFERROR(
    VLOOKUP(
      'Teachers sched'!$A56 &amp; "|" &amp; 
      LEFT('Teachers sched'!H56, FIND("-", 'Teachers sched'!H56) - 1),
      {
        SALONES!$A:$A &amp; "|" &amp; SALONES!$B:$B,
        SALONES!$C:$C
      },
      2,
      FALSE
    ) &amp; " - " &amp; 'Teachers sched'!H56,
    'Teachers sched'!H56
  )
)
</f>
        <v> - PE 9-6</v>
      </c>
      <c r="I56" s="68"/>
      <c r="J56" s="392"/>
      <c r="K56" s="389" t="s">
        <v>22</v>
      </c>
      <c r="L56" s="389" t="s">
        <v>22</v>
      </c>
      <c r="M56" s="100">
        <v>5.0</v>
      </c>
      <c r="N56" s="390" t="s">
        <v>22</v>
      </c>
      <c r="O56" s="390" t="s">
        <v>22</v>
      </c>
      <c r="P56" s="390" t="s">
        <v>22</v>
      </c>
      <c r="Q56" s="390" t="s">
        <v>22</v>
      </c>
      <c r="R56" s="390" t="s">
        <v>22</v>
      </c>
      <c r="S56" s="68"/>
      <c r="T56" s="393"/>
    </row>
    <row r="57">
      <c r="C57" s="3"/>
      <c r="D57" s="396"/>
      <c r="E57" s="396"/>
      <c r="F57" s="396"/>
      <c r="G57" s="396"/>
      <c r="H57" s="396"/>
      <c r="N57" s="397"/>
      <c r="O57" s="397"/>
      <c r="P57" s="397"/>
      <c r="Q57" s="397"/>
      <c r="R57" s="397"/>
    </row>
    <row r="58">
      <c r="A58" s="45"/>
      <c r="B58" s="45"/>
      <c r="C58" s="386" t="s">
        <v>94</v>
      </c>
      <c r="D58" s="383"/>
      <c r="E58" s="383"/>
      <c r="F58" s="383"/>
      <c r="G58" s="383"/>
      <c r="H58" s="384"/>
      <c r="I58" s="385" t="str">
        <f>IFERROR(__xludf.DUMMYFUNCTION("if(C58="""","""", iferror(filter(Schedule!$K:$K,Schedule!$L:$L=$C58,Schedule!$K:$K=""S1""),unique(filter(Schedule!$K:$K,Schedule!$L:$L=$C58,Schedule!$K:$K=""""))))"),"")</f>
        <v/>
      </c>
      <c r="M58" s="386"/>
      <c r="N58" s="383"/>
      <c r="O58" s="383"/>
      <c r="P58" s="383"/>
      <c r="Q58" s="383"/>
      <c r="R58" s="384"/>
      <c r="S58" s="385" t="s">
        <v>22</v>
      </c>
      <c r="T58" s="112"/>
    </row>
    <row r="59">
      <c r="A59" s="116"/>
      <c r="B59" s="116"/>
      <c r="C59" s="100" t="s">
        <v>7</v>
      </c>
      <c r="D59" s="387" t="s">
        <v>8</v>
      </c>
      <c r="E59" s="387" t="s">
        <v>9</v>
      </c>
      <c r="F59" s="387" t="s">
        <v>10</v>
      </c>
      <c r="G59" s="387" t="s">
        <v>11</v>
      </c>
      <c r="H59" s="387" t="s">
        <v>12</v>
      </c>
      <c r="I59" s="21" t="s">
        <v>766</v>
      </c>
      <c r="J59" s="116"/>
      <c r="K59" s="116"/>
      <c r="L59" s="116"/>
      <c r="M59" s="100" t="s">
        <v>7</v>
      </c>
      <c r="N59" s="387" t="s">
        <v>8</v>
      </c>
      <c r="O59" s="387" t="s">
        <v>9</v>
      </c>
      <c r="P59" s="387" t="s">
        <v>10</v>
      </c>
      <c r="Q59" s="387" t="s">
        <v>11</v>
      </c>
      <c r="R59" s="387" t="s">
        <v>12</v>
      </c>
      <c r="S59" s="21" t="s">
        <v>766</v>
      </c>
      <c r="T59" s="388"/>
    </row>
    <row r="60">
      <c r="A60" s="389" t="s">
        <v>94</v>
      </c>
      <c r="B60" s="389"/>
      <c r="C60" s="100">
        <v>1.0</v>
      </c>
      <c r="D60" s="390" t="str">
        <f t="array" ref="D60">IF('Teachers sched'!D60="", "", 
  IFERROR(
    VLOOKUP(
      'Teachers sched'!$A60 &amp; "|" &amp; 
      LEFT('Teachers sched'!D60, FIND("-", 'Teachers sched'!D60) - 1),
      {
        SALONES!$A:$A &amp; "|" &amp; SALONES!$B:$B,
        SALONES!$C:$C
      },
      2,
      FALSE
    ) &amp; " - " &amp; 'Teachers sched'!D60,
    'Teachers sched'!D60
  )
)
</f>
        <v>912 - Physics-5</v>
      </c>
      <c r="E60" s="390" t="str">
        <f t="array" ref="E60">IF('Teachers sched'!E60="", "", 
  IFERROR(
    VLOOKUP(
      'Teachers sched'!$A60 &amp; "|" &amp; 
      LEFT('Teachers sched'!E60, FIND("-", 'Teachers sched'!E60) - 1),
      {
        SALONES!$A:$A &amp; "|" &amp; SALONES!$B:$B,
        SALONES!$C:$C
      },
      2,
      FALSE
    ) &amp; " - " &amp; 'Teachers sched'!E60,
    'Teachers sched'!E60
  )
)
</f>
        <v/>
      </c>
      <c r="F60" s="390" t="str">
        <f t="array" ref="F60">IF('Teachers sched'!F60="", "", 
  IFERROR(
    VLOOKUP(
      'Teachers sched'!$A60 &amp; "|" &amp; 
      LEFT('Teachers sched'!F60, FIND("-", 'Teachers sched'!F60) - 1),
      {
        SALONES!$A:$A &amp; "|" &amp; SALONES!$B:$B,
        SALONES!$C:$C
      },
      2,
      FALSE
    ) &amp; " - " &amp; 'Teachers sched'!F60,
    'Teachers sched'!F60
  )
)
</f>
        <v>912 - Chemistry-1</v>
      </c>
      <c r="G60" s="390" t="str">
        <f t="array" ref="G60">IF('Teachers sched'!G60="", "", 
  IFERROR(
    VLOOKUP(
      'Teachers sched'!$A60 &amp; "|" &amp; 
      LEFT('Teachers sched'!G60, FIND("-", 'Teachers sched'!G60) - 1),
      {
        SALONES!$A:$A &amp; "|" &amp; SALONES!$B:$B,
        SALONES!$C:$C
      },
      2,
      FALSE
    ) &amp; " - " &amp; 'Teachers sched'!G60,
    'Teachers sched'!G60
  )
)
</f>
        <v>912 - Chemistry-3</v>
      </c>
      <c r="H60" s="390" t="str">
        <f t="array" ref="H60">IF('Teachers sched'!H60="", "", 
  IFERROR(
    VLOOKUP(
      'Teachers sched'!$A60 &amp; "|" &amp; 
      LEFT('Teachers sched'!H60, FIND("-", 'Teachers sched'!H60) - 1),
      {
        SALONES!$A:$A &amp; "|" &amp; SALONES!$B:$B,
        SALONES!$C:$C
      },
      2,
      FALSE
    ) &amp; " - " &amp; 'Teachers sched'!H60,
    'Teachers sched'!H60
  )
)
</f>
        <v>910 - AP Biology-1</v>
      </c>
      <c r="I60" s="391">
        <f>if(C58="","", 24-countifs(D60:H64,""))</f>
        <v>15</v>
      </c>
      <c r="J60" s="392"/>
      <c r="K60" s="389"/>
      <c r="L60" s="389" t="s">
        <v>22</v>
      </c>
      <c r="M60" s="100">
        <v>1.0</v>
      </c>
      <c r="N60" s="390" t="s">
        <v>22</v>
      </c>
      <c r="O60" s="390" t="s">
        <v>22</v>
      </c>
      <c r="P60" s="390" t="s">
        <v>22</v>
      </c>
      <c r="Q60" s="390" t="s">
        <v>22</v>
      </c>
      <c r="R60" s="390" t="s">
        <v>22</v>
      </c>
      <c r="S60" s="391" t="s">
        <v>22</v>
      </c>
      <c r="T60" s="393"/>
    </row>
    <row r="61">
      <c r="A61" s="389" t="s">
        <v>94</v>
      </c>
      <c r="B61" s="389"/>
      <c r="C61" s="100">
        <v>2.0</v>
      </c>
      <c r="D61" s="390" t="str">
        <f t="array" ref="D61">IF('Teachers sched'!D61="", "", 
  IFERROR(
    VLOOKUP(
      'Teachers sched'!$A61 &amp; "|" &amp; 
      LEFT('Teachers sched'!D61, FIND("-", 'Teachers sched'!D61) - 1),
      {
        SALONES!$A:$A &amp; "|" &amp; SALONES!$B:$B,
        SALONES!$C:$C
      },
      2,
      FALSE
    ) &amp; " - " &amp; 'Teachers sched'!D61,
    'Teachers sched'!D61
  )
)
</f>
        <v/>
      </c>
      <c r="E61" s="390" t="str">
        <f t="array" ref="E61">IF('Teachers sched'!E61="", "", 
  IFERROR(
    VLOOKUP(
      'Teachers sched'!$A61 &amp; "|" &amp; 
      LEFT('Teachers sched'!E61, FIND("-", 'Teachers sched'!E61) - 1),
      {
        SALONES!$A:$A &amp; "|" &amp; SALONES!$B:$B,
        SALONES!$C:$C
      },
      2,
      FALSE
    ) &amp; " - " &amp; 'Teachers sched'!E61,
    'Teachers sched'!E61
  )
)
</f>
        <v>912 - Chemistry-2</v>
      </c>
      <c r="F61" s="390" t="str">
        <f t="array" ref="F61">IF('Teachers sched'!F61="", "", 
  IFERROR(
    VLOOKUP(
      'Teachers sched'!$A61 &amp; "|" &amp; 
      LEFT('Teachers sched'!F61, FIND("-", 'Teachers sched'!F61) - 1),
      {
        SALONES!$A:$A &amp; "|" &amp; SALONES!$B:$B,
        SALONES!$C:$C
      },
      2,
      FALSE
    ) &amp; " - " &amp; 'Teachers sched'!F61,
    'Teachers sched'!F61
  )
)
</f>
        <v/>
      </c>
      <c r="G61" s="390" t="str">
        <f t="array" ref="G61">IF('Teachers sched'!G61="", "", 
  IFERROR(
    VLOOKUP(
      'Teachers sched'!$A61 &amp; "|" &amp; 
      LEFT('Teachers sched'!G61, FIND("-", 'Teachers sched'!G61) - 1),
      {
        SALONES!$A:$A &amp; "|" &amp; SALONES!$B:$B,
        SALONES!$C:$C
      },
      2,
      FALSE
    ) &amp; " - " &amp; 'Teachers sched'!G61,
    'Teachers sched'!G61
  )
)
</f>
        <v>912 - Physics-5</v>
      </c>
      <c r="H61" s="390" t="str">
        <f t="array" ref="H61">IF('Teachers sched'!H61="", "", 
  IFERROR(
    VLOOKUP(
      'Teachers sched'!$A61 &amp; "|" &amp; 
      LEFT('Teachers sched'!H61, FIND("-", 'Teachers sched'!H61) - 1),
      {
        SALONES!$A:$A &amp; "|" &amp; SALONES!$B:$B,
        SALONES!$C:$C
      },
      2,
      FALSE
    ) &amp; " - " &amp; 'Teachers sched'!H61,
    'Teachers sched'!H61
  )
)
</f>
        <v/>
      </c>
      <c r="I61" s="53"/>
      <c r="J61" s="392"/>
      <c r="K61" s="389"/>
      <c r="L61" s="389" t="s">
        <v>22</v>
      </c>
      <c r="M61" s="100">
        <v>2.0</v>
      </c>
      <c r="N61" s="390" t="s">
        <v>22</v>
      </c>
      <c r="O61" s="390" t="s">
        <v>22</v>
      </c>
      <c r="P61" s="390" t="s">
        <v>22</v>
      </c>
      <c r="Q61" s="390" t="s">
        <v>22</v>
      </c>
      <c r="R61" s="390" t="s">
        <v>22</v>
      </c>
      <c r="S61" s="53"/>
      <c r="T61" s="393"/>
    </row>
    <row r="62">
      <c r="A62" s="389" t="s">
        <v>94</v>
      </c>
      <c r="B62" s="389"/>
      <c r="C62" s="100">
        <v>3.0</v>
      </c>
      <c r="D62" s="390" t="str">
        <f t="array" ref="D62">IF('Teachers sched'!D62="", "", 
  IFERROR(
    VLOOKUP(
      'Teachers sched'!$A62 &amp; "|" &amp; 
      LEFT('Teachers sched'!D62, FIND("-", 'Teachers sched'!D62) - 1),
      {
        SALONES!$A:$A &amp; "|" &amp; SALONES!$B:$B,
        SALONES!$C:$C
      },
      2,
      FALSE
    ) &amp; " - " &amp; 'Teachers sched'!D62,
    'Teachers sched'!D62
  )
)
</f>
        <v>912 - Chemistry-1</v>
      </c>
      <c r="E62" s="390" t="str">
        <f t="array" ref="E62">IF('Teachers sched'!E62="", "", 
  IFERROR(
    VLOOKUP(
      'Teachers sched'!$A62 &amp; "|" &amp; 
      LEFT('Teachers sched'!E62, FIND("-", 'Teachers sched'!E62) - 1),
      {
        SALONES!$A:$A &amp; "|" &amp; SALONES!$B:$B,
        SALONES!$C:$C
      },
      2,
      FALSE
    ) &amp; " - " &amp; 'Teachers sched'!E62,
    'Teachers sched'!E62
  )
)
</f>
        <v>912 - Chemistry-3</v>
      </c>
      <c r="F62" s="390" t="str">
        <f t="array" ref="F62">IF('Teachers sched'!F62="", "", 
  IFERROR(
    VLOOKUP(
      'Teachers sched'!$A62 &amp; "|" &amp; 
      LEFT('Teachers sched'!F62, FIND("-", 'Teachers sched'!F62) - 1),
      {
        SALONES!$A:$A &amp; "|" &amp; SALONES!$B:$B,
        SALONES!$C:$C
      },
      2,
      FALSE
    ) &amp; " - " &amp; 'Teachers sched'!F62,
    'Teachers sched'!F62
  )
)
</f>
        <v>910 - AP Biology-1</v>
      </c>
      <c r="G62" s="390" t="str">
        <f t="array" ref="G62">IF('Teachers sched'!G62="", "", 
  IFERROR(
    VLOOKUP(
      'Teachers sched'!$A62 &amp; "|" &amp; 
      LEFT('Teachers sched'!G62, FIND("-", 'Teachers sched'!G62) - 1),
      {
        SALONES!$A:$A &amp; "|" &amp; SALONES!$B:$B,
        SALONES!$C:$C
      },
      2,
      FALSE
    ) &amp; " - " &amp; 'Teachers sched'!G62,
    'Teachers sched'!G62
  )
)
</f>
        <v/>
      </c>
      <c r="H62" s="395" t="str">
        <f t="array" ref="H62">IF('Teachers sched'!H62="", "", 
  IFERROR(
    VLOOKUP(
      'Teachers sched'!$A62 &amp; "|" &amp; 
      LEFT('Teachers sched'!H62, FIND("-", 'Teachers sched'!H62) - 1),
      {
        SALONES!$A:$A &amp; "|" &amp; SALONES!$B:$B,
        SALONES!$C:$C
      },
      2,
      FALSE
    ) &amp; " - " &amp; 'Teachers sched'!H62,
    'Teachers sched'!H62
  )
)
</f>
        <v>X-Block</v>
      </c>
      <c r="I62" s="53"/>
      <c r="J62" s="392"/>
      <c r="K62" s="389"/>
      <c r="L62" s="389" t="s">
        <v>22</v>
      </c>
      <c r="M62" s="100">
        <v>3.0</v>
      </c>
      <c r="N62" s="390" t="s">
        <v>22</v>
      </c>
      <c r="O62" s="390" t="s">
        <v>22</v>
      </c>
      <c r="P62" s="390" t="s">
        <v>22</v>
      </c>
      <c r="Q62" s="390" t="s">
        <v>22</v>
      </c>
      <c r="R62" s="395" t="s">
        <v>22</v>
      </c>
      <c r="S62" s="53"/>
      <c r="T62" s="393"/>
    </row>
    <row r="63">
      <c r="A63" s="389" t="s">
        <v>94</v>
      </c>
      <c r="B63" s="389"/>
      <c r="C63" s="100">
        <v>4.0</v>
      </c>
      <c r="D63" s="390" t="str">
        <f t="array" ref="D63">IF('Teachers sched'!D63="", "", 
  IFERROR(
    VLOOKUP(
      'Teachers sched'!$A63 &amp; "|" &amp; 
      LEFT('Teachers sched'!D63, FIND("-", 'Teachers sched'!D63) - 1),
      {
        SALONES!$A:$A &amp; "|" &amp; SALONES!$B:$B,
        SALONES!$C:$C
      },
      2,
      FALSE
    ) &amp; " - " &amp; 'Teachers sched'!D63,
    'Teachers sched'!D63
  )
)
</f>
        <v/>
      </c>
      <c r="E63" s="390" t="str">
        <f t="array" ref="E63">IF('Teachers sched'!E63="", "", 
  IFERROR(
    VLOOKUP(
      'Teachers sched'!$A63 &amp; "|" &amp; 
      LEFT('Teachers sched'!E63, FIND("-", 'Teachers sched'!E63) - 1),
      {
        SALONES!$A:$A &amp; "|" &amp; SALONES!$B:$B,
        SALONES!$C:$C
      },
      2,
      FALSE
    ) &amp; " - " &amp; 'Teachers sched'!E63,
    'Teachers sched'!E63
  )
)
</f>
        <v>912 - Physics-5</v>
      </c>
      <c r="F63" s="390" t="str">
        <f t="array" ref="F63">IF('Teachers sched'!F63="", "", 
  IFERROR(
    VLOOKUP(
      'Teachers sched'!$A63 &amp; "|" &amp; 
      LEFT('Teachers sched'!F63, FIND("-", 'Teachers sched'!F63) - 1),
      {
        SALONES!$A:$A &amp; "|" &amp; SALONES!$B:$B,
        SALONES!$C:$C
      },
      2,
      FALSE
    ) &amp; " - " &amp; 'Teachers sched'!F63,
    'Teachers sched'!F63
  )
)
</f>
        <v/>
      </c>
      <c r="G63" s="390" t="str">
        <f t="array" ref="G63">IF('Teachers sched'!G63="", "", 
  IFERROR(
    VLOOKUP(
      'Teachers sched'!$A63 &amp; "|" &amp; 
      LEFT('Teachers sched'!G63, FIND("-", 'Teachers sched'!G63) - 1),
      {
        SALONES!$A:$A &amp; "|" &amp; SALONES!$B:$B,
        SALONES!$C:$C
      },
      2,
      FALSE
    ) &amp; " - " &amp; 'Teachers sched'!G63,
    'Teachers sched'!G63
  )
)
</f>
        <v>912 - Chemistry-1</v>
      </c>
      <c r="H63" s="390" t="str">
        <f t="array" ref="H63">IF('Teachers sched'!H63="", "", 
  IFERROR(
    VLOOKUP(
      'Teachers sched'!$A63 &amp; "|" &amp; 
      LEFT('Teachers sched'!H63, FIND("-", 'Teachers sched'!H63) - 1),
      {
        SALONES!$A:$A &amp; "|" &amp; SALONES!$B:$B,
        SALONES!$C:$C
      },
      2,
      FALSE
    ) &amp; " - " &amp; 'Teachers sched'!H63,
    'Teachers sched'!H63
  )
)
</f>
        <v>912 - Chemistry-2</v>
      </c>
      <c r="I63" s="53"/>
      <c r="J63" s="392"/>
      <c r="K63" s="389"/>
      <c r="L63" s="389" t="s">
        <v>22</v>
      </c>
      <c r="M63" s="100">
        <v>4.0</v>
      </c>
      <c r="N63" s="390" t="s">
        <v>22</v>
      </c>
      <c r="O63" s="390" t="s">
        <v>22</v>
      </c>
      <c r="P63" s="390" t="s">
        <v>22</v>
      </c>
      <c r="Q63" s="390" t="s">
        <v>22</v>
      </c>
      <c r="R63" s="390" t="s">
        <v>22</v>
      </c>
      <c r="S63" s="53"/>
      <c r="T63" s="393"/>
    </row>
    <row r="64">
      <c r="A64" s="389" t="s">
        <v>94</v>
      </c>
      <c r="B64" s="389"/>
      <c r="C64" s="100">
        <v>5.0</v>
      </c>
      <c r="D64" s="390" t="str">
        <f t="array" ref="D64">IF('Teachers sched'!D64="", "", 
  IFERROR(
    VLOOKUP(
      'Teachers sched'!$A64 &amp; "|" &amp; 
      LEFT('Teachers sched'!D64, FIND("-", 'Teachers sched'!D64) - 1),
      {
        SALONES!$A:$A &amp; "|" &amp; SALONES!$B:$B,
        SALONES!$C:$C
      },
      2,
      FALSE
    ) &amp; " - " &amp; 'Teachers sched'!D64,
    'Teachers sched'!D64
  )
)
</f>
        <v>910 - AP Biology-1</v>
      </c>
      <c r="E64" s="390" t="str">
        <f t="array" ref="E64">IF('Teachers sched'!E64="", "", 
  IFERROR(
    VLOOKUP(
      'Teachers sched'!$A64 &amp; "|" &amp; 
      LEFT('Teachers sched'!E64, FIND("-", 'Teachers sched'!E64) - 1),
      {
        SALONES!$A:$A &amp; "|" &amp; SALONES!$B:$B,
        SALONES!$C:$C
      },
      2,
      FALSE
    ) &amp; " - " &amp; 'Teachers sched'!E64,
    'Teachers sched'!E64
  )
)
</f>
        <v/>
      </c>
      <c r="F64" s="390" t="str">
        <f t="array" ref="F64">IF('Teachers sched'!F64="", "", 
  IFERROR(
    VLOOKUP(
      'Teachers sched'!$A64 &amp; "|" &amp; 
      LEFT('Teachers sched'!F64, FIND("-", 'Teachers sched'!F64) - 1),
      {
        SALONES!$A:$A &amp; "|" &amp; SALONES!$B:$B,
        SALONES!$C:$C
      },
      2,
      FALSE
    ) &amp; " - " &amp; 'Teachers sched'!F64,
    'Teachers sched'!F64
  )
)
</f>
        <v>912 - Chemistry-2</v>
      </c>
      <c r="G64" s="390" t="str">
        <f t="array" ref="G64">IF('Teachers sched'!G64="", "", 
  IFERROR(
    VLOOKUP(
      'Teachers sched'!$A64 &amp; "|" &amp; 
      LEFT('Teachers sched'!G64, FIND("-", 'Teachers sched'!G64) - 1),
      {
        SALONES!$A:$A &amp; "|" &amp; SALONES!$B:$B,
        SALONES!$C:$C
      },
      2,
      FALSE
    ) &amp; " - " &amp; 'Teachers sched'!G64,
    'Teachers sched'!G64
  )
)
</f>
        <v/>
      </c>
      <c r="H64" s="390" t="str">
        <f t="array" ref="H64">IF('Teachers sched'!H64="", "", 
  IFERROR(
    VLOOKUP(
      'Teachers sched'!$A64 &amp; "|" &amp; 
      LEFT('Teachers sched'!H64, FIND("-", 'Teachers sched'!H64) - 1),
      {
        SALONES!$A:$A &amp; "|" &amp; SALONES!$B:$B,
        SALONES!$C:$C
      },
      2,
      FALSE
    ) &amp; " - " &amp; 'Teachers sched'!H64,
    'Teachers sched'!H64
  )
)
</f>
        <v>912 - Chemistry-3</v>
      </c>
      <c r="I64" s="68"/>
      <c r="J64" s="392"/>
      <c r="K64" s="389"/>
      <c r="L64" s="389" t="s">
        <v>22</v>
      </c>
      <c r="M64" s="100">
        <v>5.0</v>
      </c>
      <c r="N64" s="390" t="s">
        <v>22</v>
      </c>
      <c r="O64" s="390" t="s">
        <v>22</v>
      </c>
      <c r="P64" s="390" t="s">
        <v>22</v>
      </c>
      <c r="Q64" s="390" t="s">
        <v>22</v>
      </c>
      <c r="R64" s="390" t="s">
        <v>22</v>
      </c>
      <c r="S64" s="68"/>
      <c r="T64" s="393"/>
    </row>
    <row r="65">
      <c r="C65" s="3"/>
      <c r="D65" s="396"/>
      <c r="E65" s="396"/>
      <c r="F65" s="396"/>
      <c r="G65" s="396"/>
      <c r="H65" s="396"/>
      <c r="N65" s="397"/>
      <c r="O65" s="397"/>
      <c r="P65" s="397"/>
      <c r="Q65" s="397"/>
      <c r="R65" s="397"/>
    </row>
    <row r="66">
      <c r="A66" s="45"/>
      <c r="B66" s="45"/>
      <c r="C66" s="386" t="s">
        <v>83</v>
      </c>
      <c r="D66" s="383"/>
      <c r="E66" s="383"/>
      <c r="F66" s="383"/>
      <c r="G66" s="383"/>
      <c r="H66" s="384"/>
      <c r="I66" s="385" t="str">
        <f>IFERROR(__xludf.DUMMYFUNCTION("if(C66="""","""", iferror(filter(Schedule!$K:$K,Schedule!$L:$L=$C66,Schedule!$K:$K=""S1""),unique(filter(Schedule!$K:$K,Schedule!$L:$L=$C66,Schedule!$K:$K=""""))))"),"")</f>
        <v/>
      </c>
      <c r="M66" s="386" t="s">
        <v>22</v>
      </c>
      <c r="N66" s="383"/>
      <c r="O66" s="383"/>
      <c r="P66" s="383"/>
      <c r="Q66" s="383"/>
      <c r="R66" s="384"/>
      <c r="S66" s="385" t="s">
        <v>22</v>
      </c>
      <c r="T66" s="112"/>
    </row>
    <row r="67">
      <c r="A67" s="116"/>
      <c r="B67" s="116"/>
      <c r="C67" s="100" t="s">
        <v>7</v>
      </c>
      <c r="D67" s="387" t="s">
        <v>8</v>
      </c>
      <c r="E67" s="387" t="s">
        <v>9</v>
      </c>
      <c r="F67" s="387" t="s">
        <v>10</v>
      </c>
      <c r="G67" s="387" t="s">
        <v>11</v>
      </c>
      <c r="H67" s="387" t="s">
        <v>12</v>
      </c>
      <c r="I67" s="21" t="s">
        <v>766</v>
      </c>
      <c r="J67" s="116"/>
      <c r="K67" s="116"/>
      <c r="L67" s="116"/>
      <c r="M67" s="100" t="s">
        <v>7</v>
      </c>
      <c r="N67" s="387" t="s">
        <v>8</v>
      </c>
      <c r="O67" s="387" t="s">
        <v>9</v>
      </c>
      <c r="P67" s="387" t="s">
        <v>10</v>
      </c>
      <c r="Q67" s="387" t="s">
        <v>11</v>
      </c>
      <c r="R67" s="387" t="s">
        <v>12</v>
      </c>
      <c r="S67" s="21" t="s">
        <v>766</v>
      </c>
      <c r="T67" s="388"/>
    </row>
    <row r="68">
      <c r="A68" s="389" t="s">
        <v>83</v>
      </c>
      <c r="B68" s="389" t="s">
        <v>22</v>
      </c>
      <c r="C68" s="100">
        <v>1.0</v>
      </c>
      <c r="D68" s="390" t="str">
        <f t="array" ref="D68">IF('Teachers sched'!D68="", "", 
  IFERROR(
    VLOOKUP(
      'Teachers sched'!$A68 &amp; "|" &amp; 
      LEFT('Teachers sched'!D68, FIND("-", 'Teachers sched'!D68) - 1),
      {
        SALONES!$A:$A &amp; "|" &amp; SALONES!$B:$B,
        SALONES!$C:$C
      },
      2,
      FALSE
    ) &amp; " - " &amp; 'Teachers sched'!D68,
    'Teachers sched'!D68
  )
)
</f>
        <v/>
      </c>
      <c r="E68" s="390" t="str">
        <f t="array" ref="E68">IF('Teachers sched'!E68="", "", 
  IFERROR(
    VLOOKUP(
      'Teachers sched'!$A68 &amp; "|" &amp; 
      LEFT('Teachers sched'!E68, FIND("-", 'Teachers sched'!E68) - 1),
      {
        SALONES!$A:$A &amp; "|" &amp; SALONES!$B:$B,
        SALONES!$C:$C
      },
      2,
      FALSE
    ) &amp; " - " &amp; 'Teachers sched'!E68,
    'Teachers sched'!E68
  )
)
</f>
        <v>910 - Environmental Science-2</v>
      </c>
      <c r="F68" s="390" t="str">
        <f t="array" ref="F68">IF('Teachers sched'!F68="", "", 
  IFERROR(
    VLOOKUP(
      'Teachers sched'!$A68 &amp; "|" &amp; 
      LEFT('Teachers sched'!F68, FIND("-", 'Teachers sched'!F68) - 1),
      {
        SALONES!$A:$A &amp; "|" &amp; SALONES!$B:$B,
        SALONES!$C:$C
      },
      2,
      FALSE
    ) &amp; " - " &amp; 'Teachers sched'!F68,
    'Teachers sched'!F68
  )
)
</f>
        <v>910 - AP Environmental Science-1</v>
      </c>
      <c r="G68" s="390" t="str">
        <f t="array" ref="G68">IF('Teachers sched'!G68="", "", 
  IFERROR(
    VLOOKUP(
      'Teachers sched'!$A68 &amp; "|" &amp; 
      LEFT('Teachers sched'!G68, FIND("-", 'Teachers sched'!G68) - 1),
      {
        SALONES!$A:$A &amp; "|" &amp; SALONES!$B:$B,
        SALONES!$C:$C
      },
      2,
      FALSE
    ) &amp; " - " &amp; 'Teachers sched'!G68,
    'Teachers sched'!G68
  )
)
</f>
        <v>910 - Environmental Science-3</v>
      </c>
      <c r="H68" s="390" t="str">
        <f t="array" ref="H68">IF('Teachers sched'!H68="", "", 
  IFERROR(
    VLOOKUP(
      'Teachers sched'!$A68 &amp; "|" &amp; 
      LEFT('Teachers sched'!H68, FIND("-", 'Teachers sched'!H68) - 1),
      {
        SALONES!$A:$A &amp; "|" &amp; SALONES!$B:$B,
        SALONES!$C:$C
      },
      2,
      FALSE
    ) &amp; " - " &amp; 'Teachers sched'!H68,
    'Teachers sched'!H68
  )
)
</f>
        <v/>
      </c>
      <c r="I68" s="391">
        <f>if(C66="","", 24-countifs(D68:H72,""))</f>
        <v>15</v>
      </c>
      <c r="J68" s="392"/>
      <c r="K68" s="389" t="s">
        <v>22</v>
      </c>
      <c r="L68" s="389" t="s">
        <v>22</v>
      </c>
      <c r="M68" s="100">
        <v>1.0</v>
      </c>
      <c r="N68" s="390" t="s">
        <v>22</v>
      </c>
      <c r="O68" s="390" t="s">
        <v>22</v>
      </c>
      <c r="P68" s="390" t="s">
        <v>22</v>
      </c>
      <c r="Q68" s="390" t="s">
        <v>22</v>
      </c>
      <c r="R68" s="390" t="s">
        <v>22</v>
      </c>
      <c r="S68" s="391" t="s">
        <v>22</v>
      </c>
      <c r="T68" s="393"/>
    </row>
    <row r="69">
      <c r="A69" s="389" t="s">
        <v>83</v>
      </c>
      <c r="B69" s="389" t="s">
        <v>22</v>
      </c>
      <c r="C69" s="100">
        <v>2.0</v>
      </c>
      <c r="D69" s="390" t="str">
        <f t="array" ref="D69">IF('Teachers sched'!D69="", "", 
  IFERROR(
    VLOOKUP(
      'Teachers sched'!$A69 &amp; "|" &amp; 
      LEFT('Teachers sched'!D69, FIND("-", 'Teachers sched'!D69) - 1),
      {
        SALONES!$A:$A &amp; "|" &amp; SALONES!$B:$B,
        SALONES!$C:$C
      },
      2,
      FALSE
    ) &amp; " - " &amp; 'Teachers sched'!D69,
    'Teachers sched'!D69
  )
)
</f>
        <v>910 - Environmental Science-1</v>
      </c>
      <c r="E69" s="390" t="str">
        <f t="array" ref="E69">IF('Teachers sched'!E69="", "", 
  IFERROR(
    VLOOKUP(
      'Teachers sched'!$A69 &amp; "|" &amp; 
      LEFT('Teachers sched'!E69, FIND("-", 'Teachers sched'!E69) - 1),
      {
        SALONES!$A:$A &amp; "|" &amp; SALONES!$B:$B,
        SALONES!$C:$C
      },
      2,
      FALSE
    ) &amp; " - " &amp; 'Teachers sched'!E69,
    'Teachers sched'!E69
  )
)
</f>
        <v/>
      </c>
      <c r="F69" s="390" t="str">
        <f t="array" ref="F69">IF('Teachers sched'!F69="", "", 
  IFERROR(
    VLOOKUP(
      'Teachers sched'!$A69 &amp; "|" &amp; 
      LEFT('Teachers sched'!F69, FIND("-", 'Teachers sched'!F69) - 1),
      {
        SALONES!$A:$A &amp; "|" &amp; SALONES!$B:$B,
        SALONES!$C:$C
      },
      2,
      FALSE
    ) &amp; " - " &amp; 'Teachers sched'!F69,
    'Teachers sched'!F69
  )
)
</f>
        <v>910 - Anatomy and Physiology-1</v>
      </c>
      <c r="G69" s="390" t="str">
        <f t="array" ref="G69">IF('Teachers sched'!G69="", "", 
  IFERROR(
    VLOOKUP(
      'Teachers sched'!$A69 &amp; "|" &amp; 
      LEFT('Teachers sched'!G69, FIND("-", 'Teachers sched'!G69) - 1),
      {
        SALONES!$A:$A &amp; "|" &amp; SALONES!$B:$B,
        SALONES!$C:$C
      },
      2,
      FALSE
    ) &amp; " - " &amp; 'Teachers sched'!G69,
    'Teachers sched'!G69
  )
)
</f>
        <v/>
      </c>
      <c r="H69" s="390" t="str">
        <f t="array" ref="H69">IF('Teachers sched'!H69="", "", 
  IFERROR(
    VLOOKUP(
      'Teachers sched'!$A69 &amp; "|" &amp; 
      LEFT('Teachers sched'!H69, FIND("-", 'Teachers sched'!H69) - 1),
      {
        SALONES!$A:$A &amp; "|" &amp; SALONES!$B:$B,
        SALONES!$C:$C
      },
      2,
      FALSE
    ) &amp; " - " &amp; 'Teachers sched'!H69,
    'Teachers sched'!H69
  )
)
</f>
        <v>910 - Environmental Science-2</v>
      </c>
      <c r="I69" s="53"/>
      <c r="J69" s="392"/>
      <c r="K69" s="389" t="s">
        <v>22</v>
      </c>
      <c r="L69" s="389" t="s">
        <v>22</v>
      </c>
      <c r="M69" s="100">
        <v>2.0</v>
      </c>
      <c r="N69" s="390" t="s">
        <v>22</v>
      </c>
      <c r="O69" s="390" t="s">
        <v>22</v>
      </c>
      <c r="P69" s="390" t="s">
        <v>22</v>
      </c>
      <c r="Q69" s="390" t="s">
        <v>22</v>
      </c>
      <c r="R69" s="390" t="s">
        <v>22</v>
      </c>
      <c r="S69" s="53"/>
      <c r="T69" s="393"/>
    </row>
    <row r="70">
      <c r="A70" s="389" t="s">
        <v>83</v>
      </c>
      <c r="B70" s="389" t="s">
        <v>22</v>
      </c>
      <c r="C70" s="100">
        <v>3.0</v>
      </c>
      <c r="D70" s="390" t="str">
        <f t="array" ref="D70">IF('Teachers sched'!D70="", "", 
  IFERROR(
    VLOOKUP(
      'Teachers sched'!$A70 &amp; "|" &amp; 
      LEFT('Teachers sched'!D70, FIND("-", 'Teachers sched'!D70) - 1),
      {
        SALONES!$A:$A &amp; "|" &amp; SALONES!$B:$B,
        SALONES!$C:$C
      },
      2,
      FALSE
    ) &amp; " - " &amp; 'Teachers sched'!D70,
    'Teachers sched'!D70
  )
)
</f>
        <v>910 - AP Environmental Science-1</v>
      </c>
      <c r="E70" s="390" t="str">
        <f t="array" ref="E70">IF('Teachers sched'!E70="", "", 
  IFERROR(
    VLOOKUP(
      'Teachers sched'!$A70 &amp; "|" &amp; 
      LEFT('Teachers sched'!E70, FIND("-", 'Teachers sched'!E70) - 1),
      {
        SALONES!$A:$A &amp; "|" &amp; SALONES!$B:$B,
        SALONES!$C:$C
      },
      2,
      FALSE
    ) &amp; " - " &amp; 'Teachers sched'!E70,
    'Teachers sched'!E70
  )
)
</f>
        <v>910 - Environmental Science-3</v>
      </c>
      <c r="F70" s="390" t="str">
        <f t="array" ref="F70">IF('Teachers sched'!F70="", "", 
  IFERROR(
    VLOOKUP(
      'Teachers sched'!$A70 &amp; "|" &amp; 
      LEFT('Teachers sched'!F70, FIND("-", 'Teachers sched'!F70) - 1),
      {
        SALONES!$A:$A &amp; "|" &amp; SALONES!$B:$B,
        SALONES!$C:$C
      },
      2,
      FALSE
    ) &amp; " - " &amp; 'Teachers sched'!F70,
    'Teachers sched'!F70
  )
)
</f>
        <v/>
      </c>
      <c r="G70" s="390" t="str">
        <f t="array" ref="G70">IF('Teachers sched'!G70="", "", 
  IFERROR(
    VLOOKUP(
      'Teachers sched'!$A70 &amp; "|" &amp; 
      LEFT('Teachers sched'!G70, FIND("-", 'Teachers sched'!G70) - 1),
      {
        SALONES!$A:$A &amp; "|" &amp; SALONES!$B:$B,
        SALONES!$C:$C
      },
      2,
      FALSE
    ) &amp; " - " &amp; 'Teachers sched'!G70,
    'Teachers sched'!G70
  )
)
</f>
        <v>910 - Environmental Science-1</v>
      </c>
      <c r="H70" s="395" t="str">
        <f t="array" ref="H70">IF('Teachers sched'!H70="", "", 
  IFERROR(
    VLOOKUP(
      'Teachers sched'!$A70 &amp; "|" &amp; 
      LEFT('Teachers sched'!H70, FIND("-", 'Teachers sched'!H70) - 1),
      {
        SALONES!$A:$A &amp; "|" &amp; SALONES!$B:$B,
        SALONES!$C:$C
      },
      2,
      FALSE
    ) &amp; " - " &amp; 'Teachers sched'!H70,
    'Teachers sched'!H70
  )
)
</f>
        <v>X-Block</v>
      </c>
      <c r="I70" s="53"/>
      <c r="J70" s="392"/>
      <c r="K70" s="389" t="s">
        <v>22</v>
      </c>
      <c r="L70" s="389" t="s">
        <v>22</v>
      </c>
      <c r="M70" s="100">
        <v>3.0</v>
      </c>
      <c r="N70" s="390" t="s">
        <v>22</v>
      </c>
      <c r="O70" s="390" t="s">
        <v>22</v>
      </c>
      <c r="P70" s="390" t="s">
        <v>22</v>
      </c>
      <c r="Q70" s="390" t="s">
        <v>22</v>
      </c>
      <c r="R70" s="395" t="s">
        <v>22</v>
      </c>
      <c r="S70" s="53"/>
      <c r="T70" s="393"/>
    </row>
    <row r="71">
      <c r="A71" s="389" t="s">
        <v>83</v>
      </c>
      <c r="B71" s="389" t="s">
        <v>22</v>
      </c>
      <c r="C71" s="100">
        <v>4.0</v>
      </c>
      <c r="D71" s="390" t="str">
        <f t="array" ref="D71">IF('Teachers sched'!D71="", "", 
  IFERROR(
    VLOOKUP(
      'Teachers sched'!$A71 &amp; "|" &amp; 
      LEFT('Teachers sched'!D71, FIND("-", 'Teachers sched'!D71) - 1),
      {
        SALONES!$A:$A &amp; "|" &amp; SALONES!$B:$B,
        SALONES!$C:$C
      },
      2,
      FALSE
    ) &amp; " - " &amp; 'Teachers sched'!D71,
    'Teachers sched'!D71
  )
)
</f>
        <v>910 - Anatomy and Physiology-1</v>
      </c>
      <c r="E71" s="390" t="str">
        <f t="array" ref="E71">IF('Teachers sched'!E71="", "", 
  IFERROR(
    VLOOKUP(
      'Teachers sched'!$A71 &amp; "|" &amp; 
      LEFT('Teachers sched'!E71, FIND("-", 'Teachers sched'!E71) - 1),
      {
        SALONES!$A:$A &amp; "|" &amp; SALONES!$B:$B,
        SALONES!$C:$C
      },
      2,
      FALSE
    ) &amp; " - " &amp; 'Teachers sched'!E71,
    'Teachers sched'!E71
  )
)
</f>
        <v/>
      </c>
      <c r="F71" s="390" t="str">
        <f t="array" ref="F71">IF('Teachers sched'!F71="", "", 
  IFERROR(
    VLOOKUP(
      'Teachers sched'!$A71 &amp; "|" &amp; 
      LEFT('Teachers sched'!F71, FIND("-", 'Teachers sched'!F71) - 1),
      {
        SALONES!$A:$A &amp; "|" &amp; SALONES!$B:$B,
        SALONES!$C:$C
      },
      2,
      FALSE
    ) &amp; " - " &amp; 'Teachers sched'!F71,
    'Teachers sched'!F71
  )
)
</f>
        <v>910 - Environmental Science-2</v>
      </c>
      <c r="G71" s="390" t="str">
        <f t="array" ref="G71">IF('Teachers sched'!G71="", "", 
  IFERROR(
    VLOOKUP(
      'Teachers sched'!$A71 &amp; "|" &amp; 
      LEFT('Teachers sched'!G71, FIND("-", 'Teachers sched'!G71) - 1),
      {
        SALONES!$A:$A &amp; "|" &amp; SALONES!$B:$B,
        SALONES!$C:$C
      },
      2,
      FALSE
    ) &amp; " - " &amp; 'Teachers sched'!G71,
    'Teachers sched'!G71
  )
)
</f>
        <v>910 - AP Environmental Science-1</v>
      </c>
      <c r="H71" s="390" t="str">
        <f t="array" ref="H71">IF('Teachers sched'!H71="", "", 
  IFERROR(
    VLOOKUP(
      'Teachers sched'!$A71 &amp; "|" &amp; 
      LEFT('Teachers sched'!H71, FIND("-", 'Teachers sched'!H71) - 1),
      {
        SALONES!$A:$A &amp; "|" &amp; SALONES!$B:$B,
        SALONES!$C:$C
      },
      2,
      FALSE
    ) &amp; " - " &amp; 'Teachers sched'!H71,
    'Teachers sched'!H71
  )
)
</f>
        <v/>
      </c>
      <c r="I71" s="53"/>
      <c r="J71" s="392"/>
      <c r="K71" s="389" t="s">
        <v>22</v>
      </c>
      <c r="L71" s="389" t="s">
        <v>22</v>
      </c>
      <c r="M71" s="100">
        <v>4.0</v>
      </c>
      <c r="N71" s="390" t="s">
        <v>22</v>
      </c>
      <c r="O71" s="390" t="s">
        <v>22</v>
      </c>
      <c r="P71" s="390" t="s">
        <v>22</v>
      </c>
      <c r="Q71" s="390" t="s">
        <v>22</v>
      </c>
      <c r="R71" s="390" t="s">
        <v>22</v>
      </c>
      <c r="S71" s="53"/>
      <c r="T71" s="393"/>
    </row>
    <row r="72">
      <c r="A72" s="389" t="s">
        <v>83</v>
      </c>
      <c r="B72" s="389" t="s">
        <v>22</v>
      </c>
      <c r="C72" s="100">
        <v>5.0</v>
      </c>
      <c r="D72" s="390" t="str">
        <f t="array" ref="D72">IF('Teachers sched'!D72="", "", 
  IFERROR(
    VLOOKUP(
      'Teachers sched'!$A72 &amp; "|" &amp; 
      LEFT('Teachers sched'!D72, FIND("-", 'Teachers sched'!D72) - 1),
      {
        SALONES!$A:$A &amp; "|" &amp; SALONES!$B:$B,
        SALONES!$C:$C
      },
      2,
      FALSE
    ) &amp; " - " &amp; 'Teachers sched'!D72,
    'Teachers sched'!D72
  )
)
</f>
        <v/>
      </c>
      <c r="E72" s="390" t="str">
        <f t="array" ref="E72">IF('Teachers sched'!E72="", "", 
  IFERROR(
    VLOOKUP(
      'Teachers sched'!$A72 &amp; "|" &amp; 
      LEFT('Teachers sched'!E72, FIND("-", 'Teachers sched'!E72) - 1),
      {
        SALONES!$A:$A &amp; "|" &amp; SALONES!$B:$B,
        SALONES!$C:$C
      },
      2,
      FALSE
    ) &amp; " - " &amp; 'Teachers sched'!E72,
    'Teachers sched'!E72
  )
)
</f>
        <v>910 - Environmental Science-1</v>
      </c>
      <c r="F72" s="390" t="str">
        <f t="array" ref="F72">IF('Teachers sched'!F72="", "", 
  IFERROR(
    VLOOKUP(
      'Teachers sched'!$A72 &amp; "|" &amp; 
      LEFT('Teachers sched'!F72, FIND("-", 'Teachers sched'!F72) - 1),
      {
        SALONES!$A:$A &amp; "|" &amp; SALONES!$B:$B,
        SALONES!$C:$C
      },
      2,
      FALSE
    ) &amp; " - " &amp; 'Teachers sched'!F72,
    'Teachers sched'!F72
  )
)
</f>
        <v/>
      </c>
      <c r="G72" s="390" t="str">
        <f t="array" ref="G72">IF('Teachers sched'!G72="", "", 
  IFERROR(
    VLOOKUP(
      'Teachers sched'!$A72 &amp; "|" &amp; 
      LEFT('Teachers sched'!G72, FIND("-", 'Teachers sched'!G72) - 1),
      {
        SALONES!$A:$A &amp; "|" &amp; SALONES!$B:$B,
        SALONES!$C:$C
      },
      2,
      FALSE
    ) &amp; " - " &amp; 'Teachers sched'!G72,
    'Teachers sched'!G72
  )
)
</f>
        <v>910 - Anatomy and Physiology-1</v>
      </c>
      <c r="H72" s="390" t="str">
        <f t="array" ref="H72">IF('Teachers sched'!H72="", "", 
  IFERROR(
    VLOOKUP(
      'Teachers sched'!$A72 &amp; "|" &amp; 
      LEFT('Teachers sched'!H72, FIND("-", 'Teachers sched'!H72) - 1),
      {
        SALONES!$A:$A &amp; "|" &amp; SALONES!$B:$B,
        SALONES!$C:$C
      },
      2,
      FALSE
    ) &amp; " - " &amp; 'Teachers sched'!H72,
    'Teachers sched'!H72
  )
)
</f>
        <v>910 - Environmental Science-3</v>
      </c>
      <c r="I72" s="68"/>
      <c r="J72" s="392"/>
      <c r="K72" s="389" t="s">
        <v>22</v>
      </c>
      <c r="L72" s="389" t="s">
        <v>22</v>
      </c>
      <c r="M72" s="100">
        <v>5.0</v>
      </c>
      <c r="N72" s="390" t="s">
        <v>22</v>
      </c>
      <c r="O72" s="390" t="s">
        <v>22</v>
      </c>
      <c r="P72" s="390" t="s">
        <v>22</v>
      </c>
      <c r="Q72" s="390" t="s">
        <v>22</v>
      </c>
      <c r="R72" s="390" t="s">
        <v>22</v>
      </c>
      <c r="S72" s="68"/>
      <c r="T72" s="393"/>
    </row>
    <row r="73">
      <c r="C73" s="3"/>
      <c r="D73" s="396"/>
      <c r="E73" s="396"/>
      <c r="F73" s="396"/>
      <c r="G73" s="396"/>
      <c r="H73" s="396"/>
      <c r="N73" s="397"/>
      <c r="O73" s="397"/>
      <c r="P73" s="397"/>
      <c r="Q73" s="397"/>
      <c r="R73" s="397"/>
    </row>
    <row r="74">
      <c r="A74" s="45"/>
      <c r="B74" s="45"/>
      <c r="C74" s="386" t="s">
        <v>68</v>
      </c>
      <c r="D74" s="383"/>
      <c r="E74" s="383"/>
      <c r="F74" s="383"/>
      <c r="G74" s="383"/>
      <c r="H74" s="384"/>
      <c r="I74" s="385" t="str">
        <f>IFERROR(__xludf.DUMMYFUNCTION("if(C74="""","""", iferror(filter(Schedule!$K:$K,Schedule!$L:$L=$C74,Schedule!$K:$K=""S1""),unique(filter(Schedule!$K:$K,Schedule!$L:$L=$C74,Schedule!$K:$K=""""))))"),"")</f>
        <v/>
      </c>
      <c r="M74" s="386" t="s">
        <v>22</v>
      </c>
      <c r="N74" s="383"/>
      <c r="O74" s="383"/>
      <c r="P74" s="383"/>
      <c r="Q74" s="383"/>
      <c r="R74" s="384"/>
      <c r="S74" s="385" t="s">
        <v>22</v>
      </c>
      <c r="T74" s="112"/>
    </row>
    <row r="75">
      <c r="A75" s="116"/>
      <c r="B75" s="116"/>
      <c r="C75" s="100" t="s">
        <v>7</v>
      </c>
      <c r="D75" s="387" t="s">
        <v>8</v>
      </c>
      <c r="E75" s="387" t="s">
        <v>9</v>
      </c>
      <c r="F75" s="387" t="s">
        <v>10</v>
      </c>
      <c r="G75" s="387" t="s">
        <v>11</v>
      </c>
      <c r="H75" s="387" t="s">
        <v>12</v>
      </c>
      <c r="I75" s="21" t="s">
        <v>766</v>
      </c>
      <c r="J75" s="116"/>
      <c r="K75" s="116"/>
      <c r="L75" s="116"/>
      <c r="M75" s="100" t="s">
        <v>7</v>
      </c>
      <c r="N75" s="387" t="s">
        <v>8</v>
      </c>
      <c r="O75" s="387" t="s">
        <v>9</v>
      </c>
      <c r="P75" s="387" t="s">
        <v>10</v>
      </c>
      <c r="Q75" s="387" t="s">
        <v>11</v>
      </c>
      <c r="R75" s="387" t="s">
        <v>12</v>
      </c>
      <c r="S75" s="21" t="s">
        <v>766</v>
      </c>
      <c r="T75" s="388"/>
    </row>
    <row r="76">
      <c r="A76" s="389" t="s">
        <v>68</v>
      </c>
      <c r="B76" s="389" t="s">
        <v>22</v>
      </c>
      <c r="C76" s="100">
        <v>1.0</v>
      </c>
      <c r="D76" s="390" t="str">
        <f t="array" ref="D76">IF('Teachers sched'!D76="", "", 
  IFERROR(
    VLOOKUP(
      'Teachers sched'!$A76 &amp; "|" &amp; 
      LEFT('Teachers sched'!D76, FIND("-", 'Teachers sched'!D76) - 1),
      {
        SALONES!$A:$A &amp; "|" &amp; SALONES!$B:$B,
        SALONES!$C:$C
      },
      2,
      FALSE
    ) &amp; " - " &amp; 'Teachers sched'!D76,
    'Teachers sched'!D76
  )
)
</f>
        <v>907 - Calculus-1</v>
      </c>
      <c r="E76" s="390" t="str">
        <f t="array" ref="E76">IF('Teachers sched'!E76="", "", 
  IFERROR(
    VLOOKUP(
      'Teachers sched'!$A76 &amp; "|" &amp; 
      LEFT('Teachers sched'!E76, FIND("-", 'Teachers sched'!E76) - 1),
      {
        SALONES!$A:$A &amp; "|" &amp; SALONES!$B:$B,
        SALONES!$C:$C
      },
      2,
      FALSE
    ) &amp; " - " &amp; 'Teachers sched'!E76,
    'Teachers sched'!E76
  )
)
</f>
        <v>907 - Calculus-2</v>
      </c>
      <c r="F76" s="390" t="str">
        <f t="array" ref="F76">IF('Teachers sched'!F76="", "", 
  IFERROR(
    VLOOKUP(
      'Teachers sched'!$A76 &amp; "|" &amp; 
      LEFT('Teachers sched'!F76, FIND("-", 'Teachers sched'!F76) - 1),
      {
        SALONES!$A:$A &amp; "|" &amp; SALONES!$B:$B,
        SALONES!$C:$C
      },
      2,
      FALSE
    ) &amp; " - " &amp; 'Teachers sched'!F76,
    'Teachers sched'!F76
  )
)
</f>
        <v>907 - AP Calculus BC-1</v>
      </c>
      <c r="G76" s="390" t="str">
        <f t="array" ref="G76">IF('Teachers sched'!G76="", "", 
  IFERROR(
    VLOOKUP(
      'Teachers sched'!$A76 &amp; "|" &amp; 
      LEFT('Teachers sched'!G76, FIND("-", 'Teachers sched'!G76) - 1),
      {
        SALONES!$A:$A &amp; "|" &amp; SALONES!$B:$B,
        SALONES!$C:$C
      },
      2,
      FALSE
    ) &amp; " - " &amp; 'Teachers sched'!G76,
    'Teachers sched'!G76
  )
)
</f>
        <v/>
      </c>
      <c r="H76" s="390" t="str">
        <f t="array" ref="H76">IF('Teachers sched'!H76="", "", 
  IFERROR(
    VLOOKUP(
      'Teachers sched'!$A76 &amp; "|" &amp; 
      LEFT('Teachers sched'!H76, FIND("-", 'Teachers sched'!H76) - 1),
      {
        SALONES!$A:$A &amp; "|" &amp; SALONES!$B:$B,
        SALONES!$C:$C
      },
      2,
      FALSE
    ) &amp; " - " &amp; 'Teachers sched'!H76,
    'Teachers sched'!H76
  )
)
</f>
        <v/>
      </c>
      <c r="I76" s="391">
        <f>if(C74="","", 24-countifs(D76:H80,""))</f>
        <v>15</v>
      </c>
      <c r="J76" s="392"/>
      <c r="K76" s="389" t="s">
        <v>22</v>
      </c>
      <c r="L76" s="389" t="s">
        <v>22</v>
      </c>
      <c r="M76" s="100">
        <v>1.0</v>
      </c>
      <c r="N76" s="390" t="s">
        <v>22</v>
      </c>
      <c r="O76" s="390" t="s">
        <v>22</v>
      </c>
      <c r="P76" s="390" t="s">
        <v>22</v>
      </c>
      <c r="Q76" s="390" t="s">
        <v>22</v>
      </c>
      <c r="R76" s="390" t="s">
        <v>22</v>
      </c>
      <c r="S76" s="391" t="s">
        <v>22</v>
      </c>
      <c r="T76" s="393"/>
    </row>
    <row r="77">
      <c r="A77" s="389" t="s">
        <v>68</v>
      </c>
      <c r="B77" s="389" t="s">
        <v>22</v>
      </c>
      <c r="C77" s="100">
        <v>2.0</v>
      </c>
      <c r="D77" s="390" t="str">
        <f t="array" ref="D77">IF('Teachers sched'!D77="", "", 
  IFERROR(
    VLOOKUP(
      'Teachers sched'!$A77 &amp; "|" &amp; 
      LEFT('Teachers sched'!D77, FIND("-", 'Teachers sched'!D77) - 1),
      {
        SALONES!$A:$A &amp; "|" &amp; SALONES!$B:$B,
        SALONES!$C:$C
      },
      2,
      FALSE
    ) &amp; " - " &amp; 'Teachers sched'!D77,
    'Teachers sched'!D77
  )
)
</f>
        <v>907 - AP Calculus AB-1</v>
      </c>
      <c r="E77" s="390" t="str">
        <f t="array" ref="E77">IF('Teachers sched'!E77="", "", 
  IFERROR(
    VLOOKUP(
      'Teachers sched'!$A77 &amp; "|" &amp; 
      LEFT('Teachers sched'!E77, FIND("-", 'Teachers sched'!E77) - 1),
      {
        SALONES!$A:$A &amp; "|" &amp; SALONES!$B:$B,
        SALONES!$C:$C
      },
      2,
      FALSE
    ) &amp; " - " &amp; 'Teachers sched'!E77,
    'Teachers sched'!E77
  )
)
</f>
        <v>907 - AP Calculus AB-2</v>
      </c>
      <c r="F77" s="390" t="str">
        <f t="array" ref="F77">IF('Teachers sched'!F77="", "", 
  IFERROR(
    VLOOKUP(
      'Teachers sched'!$A77 &amp; "|" &amp; 
      LEFT('Teachers sched'!F77, FIND("-", 'Teachers sched'!F77) - 1),
      {
        SALONES!$A:$A &amp; "|" &amp; SALONES!$B:$B,
        SALONES!$C:$C
      },
      2,
      FALSE
    ) &amp; " - " &amp; 'Teachers sched'!F77,
    'Teachers sched'!F77
  )
)
</f>
        <v/>
      </c>
      <c r="G77" s="390" t="str">
        <f t="array" ref="G77">IF('Teachers sched'!G77="", "", 
  IFERROR(
    VLOOKUP(
      'Teachers sched'!$A77 &amp; "|" &amp; 
      LEFT('Teachers sched'!G77, FIND("-", 'Teachers sched'!G77) - 1),
      {
        SALONES!$A:$A &amp; "|" &amp; SALONES!$B:$B,
        SALONES!$C:$C
      },
      2,
      FALSE
    ) &amp; " - " &amp; 'Teachers sched'!G77,
    'Teachers sched'!G77
  )
)
</f>
        <v>907 - Calculus-1</v>
      </c>
      <c r="H77" s="390" t="str">
        <f t="array" ref="H77">IF('Teachers sched'!H77="", "", 
  IFERROR(
    VLOOKUP(
      'Teachers sched'!$A77 &amp; "|" &amp; 
      LEFT('Teachers sched'!H77, FIND("-", 'Teachers sched'!H77) - 1),
      {
        SALONES!$A:$A &amp; "|" &amp; SALONES!$B:$B,
        SALONES!$C:$C
      },
      2,
      FALSE
    ) &amp; " - " &amp; 'Teachers sched'!H77,
    'Teachers sched'!H77
  )
)
</f>
        <v>907 - Calculus-2</v>
      </c>
      <c r="I77" s="53"/>
      <c r="J77" s="392"/>
      <c r="K77" s="389" t="s">
        <v>22</v>
      </c>
      <c r="L77" s="389" t="s">
        <v>22</v>
      </c>
      <c r="M77" s="100">
        <v>2.0</v>
      </c>
      <c r="N77" s="390" t="s">
        <v>22</v>
      </c>
      <c r="O77" s="390" t="s">
        <v>22</v>
      </c>
      <c r="P77" s="390" t="s">
        <v>22</v>
      </c>
      <c r="Q77" s="390" t="s">
        <v>22</v>
      </c>
      <c r="R77" s="390" t="s">
        <v>22</v>
      </c>
      <c r="S77" s="53"/>
      <c r="T77" s="393"/>
    </row>
    <row r="78">
      <c r="A78" s="389" t="s">
        <v>68</v>
      </c>
      <c r="B78" s="389" t="s">
        <v>22</v>
      </c>
      <c r="C78" s="100">
        <v>3.0</v>
      </c>
      <c r="D78" s="390" t="str">
        <f t="array" ref="D78">IF('Teachers sched'!D78="", "", 
  IFERROR(
    VLOOKUP(
      'Teachers sched'!$A78 &amp; "|" &amp; 
      LEFT('Teachers sched'!D78, FIND("-", 'Teachers sched'!D78) - 1),
      {
        SALONES!$A:$A &amp; "|" &amp; SALONES!$B:$B,
        SALONES!$C:$C
      },
      2,
      FALSE
    ) &amp; " - " &amp; 'Teachers sched'!D78,
    'Teachers sched'!D78
  )
)
</f>
        <v>907 - AP Calculus BC-1</v>
      </c>
      <c r="E78" s="390" t="str">
        <f t="array" ref="E78">IF('Teachers sched'!E78="", "", 
  IFERROR(
    VLOOKUP(
      'Teachers sched'!$A78 &amp; "|" &amp; 
      LEFT('Teachers sched'!E78, FIND("-", 'Teachers sched'!E78) - 1),
      {
        SALONES!$A:$A &amp; "|" &amp; SALONES!$B:$B,
        SALONES!$C:$C
      },
      2,
      FALSE
    ) &amp; " - " &amp; 'Teachers sched'!E78,
    'Teachers sched'!E78
  )
)
</f>
        <v/>
      </c>
      <c r="F78" s="390" t="str">
        <f t="array" ref="F78">IF('Teachers sched'!F78="", "", 
  IFERROR(
    VLOOKUP(
      'Teachers sched'!$A78 &amp; "|" &amp; 
      LEFT('Teachers sched'!F78, FIND("-", 'Teachers sched'!F78) - 1),
      {
        SALONES!$A:$A &amp; "|" &amp; SALONES!$B:$B,
        SALONES!$C:$C
      },
      2,
      FALSE
    ) &amp; " - " &amp; 'Teachers sched'!F78,
    'Teachers sched'!F78
  )
)
</f>
        <v/>
      </c>
      <c r="G78" s="390" t="str">
        <f t="array" ref="G78">IF('Teachers sched'!G78="", "", 
  IFERROR(
    VLOOKUP(
      'Teachers sched'!$A78 &amp; "|" &amp; 
      LEFT('Teachers sched'!G78, FIND("-", 'Teachers sched'!G78) - 1),
      {
        SALONES!$A:$A &amp; "|" &amp; SALONES!$B:$B,
        SALONES!$C:$C
      },
      2,
      FALSE
    ) &amp; " - " &amp; 'Teachers sched'!G78,
    'Teachers sched'!G78
  )
)
</f>
        <v>907 - AP Calculus AB-1</v>
      </c>
      <c r="H78" s="395" t="str">
        <f t="array" ref="H78">IF('Teachers sched'!H78="", "", 
  IFERROR(
    VLOOKUP(
      'Teachers sched'!$A78 &amp; "|" &amp; 
      LEFT('Teachers sched'!H78, FIND("-", 'Teachers sched'!H78) - 1),
      {
        SALONES!$A:$A &amp; "|" &amp; SALONES!$B:$B,
        SALONES!$C:$C
      },
      2,
      FALSE
    ) &amp; " - " &amp; 'Teachers sched'!H78,
    'Teachers sched'!H78
  )
)
</f>
        <v>X-Block</v>
      </c>
      <c r="I78" s="53"/>
      <c r="J78" s="392"/>
      <c r="K78" s="389" t="s">
        <v>22</v>
      </c>
      <c r="L78" s="389" t="s">
        <v>22</v>
      </c>
      <c r="M78" s="100">
        <v>3.0</v>
      </c>
      <c r="N78" s="390" t="s">
        <v>22</v>
      </c>
      <c r="O78" s="390" t="s">
        <v>22</v>
      </c>
      <c r="P78" s="390" t="s">
        <v>22</v>
      </c>
      <c r="Q78" s="390" t="s">
        <v>22</v>
      </c>
      <c r="R78" s="395" t="s">
        <v>22</v>
      </c>
      <c r="S78" s="53"/>
      <c r="T78" s="393"/>
    </row>
    <row r="79">
      <c r="A79" s="389" t="s">
        <v>68</v>
      </c>
      <c r="B79" s="389" t="s">
        <v>22</v>
      </c>
      <c r="C79" s="100">
        <v>4.0</v>
      </c>
      <c r="D79" s="390" t="str">
        <f t="array" ref="D79">IF('Teachers sched'!D79="", "", 
  IFERROR(
    VLOOKUP(
      'Teachers sched'!$A79 &amp; "|" &amp; 
      LEFT('Teachers sched'!D79, FIND("-", 'Teachers sched'!D79) - 1),
      {
        SALONES!$A:$A &amp; "|" &amp; SALONES!$B:$B,
        SALONES!$C:$C
      },
      2,
      FALSE
    ) &amp; " - " &amp; 'Teachers sched'!D79,
    'Teachers sched'!D79
  )
)
</f>
        <v/>
      </c>
      <c r="E79" s="390" t="str">
        <f t="array" ref="E79">IF('Teachers sched'!E79="", "", 
  IFERROR(
    VLOOKUP(
      'Teachers sched'!$A79 &amp; "|" &amp; 
      LEFT('Teachers sched'!E79, FIND("-", 'Teachers sched'!E79) - 1),
      {
        SALONES!$A:$A &amp; "|" &amp; SALONES!$B:$B,
        SALONES!$C:$C
      },
      2,
      FALSE
    ) &amp; " - " &amp; 'Teachers sched'!E79,
    'Teachers sched'!E79
  )
)
</f>
        <v>907 - Calculus-1</v>
      </c>
      <c r="F79" s="390" t="str">
        <f t="array" ref="F79">IF('Teachers sched'!F79="", "", 
  IFERROR(
    VLOOKUP(
      'Teachers sched'!$A79 &amp; "|" &amp; 
      LEFT('Teachers sched'!F79, FIND("-", 'Teachers sched'!F79) - 1),
      {
        SALONES!$A:$A &amp; "|" &amp; SALONES!$B:$B,
        SALONES!$C:$C
      },
      2,
      FALSE
    ) &amp; " - " &amp; 'Teachers sched'!F79,
    'Teachers sched'!F79
  )
)
</f>
        <v>907 - Calculus-2</v>
      </c>
      <c r="G79" s="390" t="str">
        <f t="array" ref="G79">IF('Teachers sched'!G79="", "", 
  IFERROR(
    VLOOKUP(
      'Teachers sched'!$A79 &amp; "|" &amp; 
      LEFT('Teachers sched'!G79, FIND("-", 'Teachers sched'!G79) - 1),
      {
        SALONES!$A:$A &amp; "|" &amp; SALONES!$B:$B,
        SALONES!$C:$C
      },
      2,
      FALSE
    ) &amp; " - " &amp; 'Teachers sched'!G79,
    'Teachers sched'!G79
  )
)
</f>
        <v>907 - AP Calculus BC-1</v>
      </c>
      <c r="H79" s="390" t="str">
        <f t="array" ref="H79">IF('Teachers sched'!H79="", "", 
  IFERROR(
    VLOOKUP(
      'Teachers sched'!$A79 &amp; "|" &amp; 
      LEFT('Teachers sched'!H79, FIND("-", 'Teachers sched'!H79) - 1),
      {
        SALONES!$A:$A &amp; "|" &amp; SALONES!$B:$B,
        SALONES!$C:$C
      },
      2,
      FALSE
    ) &amp; " - " &amp; 'Teachers sched'!H79,
    'Teachers sched'!H79
  )
)
</f>
        <v>907 - AP Calculus AB-2</v>
      </c>
      <c r="I79" s="53"/>
      <c r="J79" s="392"/>
      <c r="K79" s="389" t="s">
        <v>22</v>
      </c>
      <c r="L79" s="389" t="s">
        <v>22</v>
      </c>
      <c r="M79" s="100">
        <v>4.0</v>
      </c>
      <c r="N79" s="390" t="s">
        <v>22</v>
      </c>
      <c r="O79" s="390" t="s">
        <v>22</v>
      </c>
      <c r="P79" s="390" t="s">
        <v>22</v>
      </c>
      <c r="Q79" s="390" t="s">
        <v>22</v>
      </c>
      <c r="R79" s="390" t="s">
        <v>22</v>
      </c>
      <c r="S79" s="53"/>
      <c r="T79" s="393"/>
    </row>
    <row r="80">
      <c r="A80" s="389" t="s">
        <v>68</v>
      </c>
      <c r="B80" s="389" t="s">
        <v>22</v>
      </c>
      <c r="C80" s="100">
        <v>5.0</v>
      </c>
      <c r="D80" s="390" t="str">
        <f t="array" ref="D80">IF('Teachers sched'!D80="", "", 
  IFERROR(
    VLOOKUP(
      'Teachers sched'!$A80 &amp; "|" &amp; 
      LEFT('Teachers sched'!D80, FIND("-", 'Teachers sched'!D80) - 1),
      {
        SALONES!$A:$A &amp; "|" &amp; SALONES!$B:$B,
        SALONES!$C:$C
      },
      2,
      FALSE
    ) &amp; " - " &amp; 'Teachers sched'!D80,
    'Teachers sched'!D80
  )
)
</f>
        <v/>
      </c>
      <c r="E80" s="390" t="str">
        <f t="array" ref="E80">IF('Teachers sched'!E80="", "", 
  IFERROR(
    VLOOKUP(
      'Teachers sched'!$A80 &amp; "|" &amp; 
      LEFT('Teachers sched'!E80, FIND("-", 'Teachers sched'!E80) - 1),
      {
        SALONES!$A:$A &amp; "|" &amp; SALONES!$B:$B,
        SALONES!$C:$C
      },
      2,
      FALSE
    ) &amp; " - " &amp; 'Teachers sched'!E80,
    'Teachers sched'!E80
  )
)
</f>
        <v>907 - AP Calculus AB-1</v>
      </c>
      <c r="F80" s="390" t="str">
        <f t="array" ref="F80">IF('Teachers sched'!F80="", "", 
  IFERROR(
    VLOOKUP(
      'Teachers sched'!$A80 &amp; "|" &amp; 
      LEFT('Teachers sched'!F80, FIND("-", 'Teachers sched'!F80) - 1),
      {
        SALONES!$A:$A &amp; "|" &amp; SALONES!$B:$B,
        SALONES!$C:$C
      },
      2,
      FALSE
    ) &amp; " - " &amp; 'Teachers sched'!F80,
    'Teachers sched'!F80
  )
)
</f>
        <v>907 - AP Calculus AB-2</v>
      </c>
      <c r="G80" s="390" t="str">
        <f t="array" ref="G80">IF('Teachers sched'!G80="", "", 
  IFERROR(
    VLOOKUP(
      'Teachers sched'!$A80 &amp; "|" &amp; 
      LEFT('Teachers sched'!G80, FIND("-", 'Teachers sched'!G80) - 1),
      {
        SALONES!$A:$A &amp; "|" &amp; SALONES!$B:$B,
        SALONES!$C:$C
      },
      2,
      FALSE
    ) &amp; " - " &amp; 'Teachers sched'!G80,
    'Teachers sched'!G80
  )
)
</f>
        <v/>
      </c>
      <c r="H80" s="390" t="str">
        <f t="array" ref="H80">IF('Teachers sched'!H80="", "", 
  IFERROR(
    VLOOKUP(
      'Teachers sched'!$A80 &amp; "|" &amp; 
      LEFT('Teachers sched'!H80, FIND("-", 'Teachers sched'!H80) - 1),
      {
        SALONES!$A:$A &amp; "|" &amp; SALONES!$B:$B,
        SALONES!$C:$C
      },
      2,
      FALSE
    ) &amp; " - " &amp; 'Teachers sched'!H80,
    'Teachers sched'!H80
  )
)
</f>
        <v/>
      </c>
      <c r="I80" s="68"/>
      <c r="J80" s="392"/>
      <c r="K80" s="389" t="s">
        <v>22</v>
      </c>
      <c r="L80" s="389" t="s">
        <v>22</v>
      </c>
      <c r="M80" s="100">
        <v>5.0</v>
      </c>
      <c r="N80" s="390" t="s">
        <v>22</v>
      </c>
      <c r="O80" s="390" t="s">
        <v>22</v>
      </c>
      <c r="P80" s="390" t="s">
        <v>22</v>
      </c>
      <c r="Q80" s="390" t="s">
        <v>22</v>
      </c>
      <c r="R80" s="390" t="s">
        <v>22</v>
      </c>
      <c r="S80" s="68"/>
      <c r="T80" s="393"/>
    </row>
    <row r="81">
      <c r="C81" s="3"/>
      <c r="D81" s="396"/>
      <c r="E81" s="396"/>
      <c r="F81" s="396"/>
      <c r="G81" s="396"/>
      <c r="H81" s="396"/>
      <c r="N81" s="397"/>
      <c r="O81" s="397"/>
      <c r="P81" s="397"/>
      <c r="Q81" s="397"/>
      <c r="R81" s="397"/>
    </row>
    <row r="82">
      <c r="A82" s="45"/>
      <c r="B82" s="45"/>
      <c r="C82" s="386" t="s">
        <v>102</v>
      </c>
      <c r="D82" s="383"/>
      <c r="E82" s="383"/>
      <c r="F82" s="383"/>
      <c r="G82" s="383"/>
      <c r="H82" s="384"/>
      <c r="I82" s="385" t="str">
        <f>IFERROR(__xludf.DUMMYFUNCTION("if(C82="""","""", iferror(filter(Schedule!$K:$K,Schedule!$L:$L=$C82,Schedule!$K:$K=""S1""),unique(filter(Schedule!$K:$K,Schedule!$L:$L=$C82,Schedule!$K:$K=""""))))"),"")</f>
        <v/>
      </c>
      <c r="M82" s="386" t="s">
        <v>22</v>
      </c>
      <c r="N82" s="383"/>
      <c r="O82" s="383"/>
      <c r="P82" s="383"/>
      <c r="Q82" s="383"/>
      <c r="R82" s="384"/>
      <c r="S82" s="385" t="s">
        <v>22</v>
      </c>
      <c r="T82" s="112"/>
    </row>
    <row r="83">
      <c r="A83" s="116"/>
      <c r="B83" s="116"/>
      <c r="C83" s="100" t="s">
        <v>7</v>
      </c>
      <c r="D83" s="387" t="s">
        <v>8</v>
      </c>
      <c r="E83" s="387" t="s">
        <v>9</v>
      </c>
      <c r="F83" s="387" t="s">
        <v>10</v>
      </c>
      <c r="G83" s="387" t="s">
        <v>11</v>
      </c>
      <c r="H83" s="387" t="s">
        <v>12</v>
      </c>
      <c r="I83" s="21" t="s">
        <v>766</v>
      </c>
      <c r="J83" s="116"/>
      <c r="K83" s="116"/>
      <c r="L83" s="116"/>
      <c r="M83" s="100" t="s">
        <v>7</v>
      </c>
      <c r="N83" s="387" t="s">
        <v>8</v>
      </c>
      <c r="O83" s="387" t="s">
        <v>9</v>
      </c>
      <c r="P83" s="387" t="s">
        <v>10</v>
      </c>
      <c r="Q83" s="387" t="s">
        <v>11</v>
      </c>
      <c r="R83" s="387" t="s">
        <v>12</v>
      </c>
      <c r="S83" s="21" t="s">
        <v>766</v>
      </c>
      <c r="T83" s="388"/>
    </row>
    <row r="84">
      <c r="A84" s="389" t="s">
        <v>102</v>
      </c>
      <c r="B84" s="389"/>
      <c r="C84" s="100">
        <v>1.0</v>
      </c>
      <c r="D84" s="390" t="str">
        <f t="array" ref="D84">IF('Teachers sched'!D84="", "", 
  IFERROR(
    VLOOKUP(
      'Teachers sched'!$A84 &amp; "|" &amp; 
      LEFT('Teachers sched'!D84, FIND("-", 'Teachers sched'!D84) - 1),
      {
        SALONES!$A:$A &amp; "|" &amp; SALONES!$B:$B,
        SALONES!$C:$C
      },
      2,
      FALSE
    ) &amp; " - " &amp; 'Teachers sched'!D84,
    'Teachers sched'!D84
  )
)
</f>
        <v/>
      </c>
      <c r="E84" s="390" t="str">
        <f t="array" ref="E84">IF('Teachers sched'!E84="", "", 
  IFERROR(
    VLOOKUP(
      'Teachers sched'!$A84 &amp; "|" &amp; 
      LEFT('Teachers sched'!E84, FIND("-", 'Teachers sched'!E84) - 1),
      {
        SALONES!$A:$A &amp; "|" &amp; SALONES!$B:$B,
        SALONES!$C:$C
      },
      2,
      FALSE
    ) &amp; " - " &amp; 'Teachers sched'!E84,
    'Teachers sched'!E84
  )
)
</f>
        <v>904 - AP Human Geography-4</v>
      </c>
      <c r="F84" s="390" t="str">
        <f t="array" ref="F84">IF('Teachers sched'!F84="", "", 
  IFERROR(
    VLOOKUP(
      'Teachers sched'!$A84 &amp; "|" &amp; 
      LEFT('Teachers sched'!F84, FIND("-", 'Teachers sched'!F84) - 1),
      {
        SALONES!$A:$A &amp; "|" &amp; SALONES!$B:$B,
        SALONES!$C:$C
      },
      2,
      FALSE
    ) &amp; " - " &amp; 'Teachers sched'!F84,
    'Teachers sched'!F84
  )
)
</f>
        <v>904 - AP Human Geography-2</v>
      </c>
      <c r="G84" s="390" t="str">
        <f t="array" ref="G84">IF('Teachers sched'!G84="", "", 
  IFERROR(
    VLOOKUP(
      'Teachers sched'!$A84 &amp; "|" &amp; 
      LEFT('Teachers sched'!G84, FIND("-", 'Teachers sched'!G84) - 1),
      {
        SALONES!$A:$A &amp; "|" &amp; SALONES!$B:$B,
        SALONES!$C:$C
      },
      2,
      FALSE
    ) &amp; " - " &amp; 'Teachers sched'!G84,
    'Teachers sched'!G84
  )
)
</f>
        <v/>
      </c>
      <c r="H84" s="390" t="str">
        <f t="array" ref="H84">IF('Teachers sched'!H84="", "", 
  IFERROR(
    VLOOKUP(
      'Teachers sched'!$A84 &amp; "|" &amp; 
      LEFT('Teachers sched'!H84, FIND("-", 'Teachers sched'!H84) - 1),
      {
        SALONES!$A:$A &amp; "|" &amp; SALONES!$B:$B,
        SALONES!$C:$C
      },
      2,
      FALSE
    ) &amp; " - " &amp; 'Teachers sched'!H84,
    'Teachers sched'!H84
  )
)
</f>
        <v>904 - Social Studies 9-5</v>
      </c>
      <c r="I84" s="391">
        <f>if(C82="","", 24-countifs(D84:H88,""))</f>
        <v>15</v>
      </c>
      <c r="J84" s="392"/>
      <c r="K84" s="389" t="s">
        <v>22</v>
      </c>
      <c r="L84" s="389" t="s">
        <v>22</v>
      </c>
      <c r="M84" s="100">
        <v>1.0</v>
      </c>
      <c r="N84" s="390" t="s">
        <v>22</v>
      </c>
      <c r="O84" s="390" t="s">
        <v>22</v>
      </c>
      <c r="P84" s="390" t="s">
        <v>22</v>
      </c>
      <c r="Q84" s="390" t="s">
        <v>22</v>
      </c>
      <c r="R84" s="390" t="s">
        <v>22</v>
      </c>
      <c r="S84" s="391" t="s">
        <v>22</v>
      </c>
      <c r="T84" s="393"/>
    </row>
    <row r="85">
      <c r="A85" s="389" t="s">
        <v>102</v>
      </c>
      <c r="B85" s="389"/>
      <c r="C85" s="100">
        <v>2.0</v>
      </c>
      <c r="D85" s="390" t="str">
        <f t="array" ref="D85">IF('Teachers sched'!D85="", "", 
  IFERROR(
    VLOOKUP(
      'Teachers sched'!$A85 &amp; "|" &amp; 
      LEFT('Teachers sched'!D85, FIND("-", 'Teachers sched'!D85) - 1),
      {
        SALONES!$A:$A &amp; "|" &amp; SALONES!$B:$B,
        SALONES!$C:$C
      },
      2,
      FALSE
    ) &amp; " - " &amp; 'Teachers sched'!D85,
    'Teachers sched'!D85
  )
)
</f>
        <v>904 - AP Human Geography-1</v>
      </c>
      <c r="E85" s="390" t="str">
        <f t="array" ref="E85">IF('Teachers sched'!E85="", "", 
  IFERROR(
    VLOOKUP(
      'Teachers sched'!$A85 &amp; "|" &amp; 
      LEFT('Teachers sched'!E85, FIND("-", 'Teachers sched'!E85) - 1),
      {
        SALONES!$A:$A &amp; "|" &amp; SALONES!$B:$B,
        SALONES!$C:$C
      },
      2,
      FALSE
    ) &amp; " - " &amp; 'Teachers sched'!E85,
    'Teachers sched'!E85
  )
)
</f>
        <v/>
      </c>
      <c r="F85" s="390" t="str">
        <f t="array" ref="F85">IF('Teachers sched'!F85="", "", 
  IFERROR(
    VLOOKUP(
      'Teachers sched'!$A85 &amp; "|" &amp; 
      LEFT('Teachers sched'!F85, FIND("-", 'Teachers sched'!F85) - 1),
      {
        SALONES!$A:$A &amp; "|" &amp; SALONES!$B:$B,
        SALONES!$C:$C
      },
      2,
      FALSE
    ) &amp; " - " &amp; 'Teachers sched'!F85,
    'Teachers sched'!F85
  )
)
</f>
        <v>904 - AP Human Geography-3</v>
      </c>
      <c r="G85" s="390" t="str">
        <f t="array" ref="G85">IF('Teachers sched'!G85="", "", 
  IFERROR(
    VLOOKUP(
      'Teachers sched'!$A85 &amp; "|" &amp; 
      LEFT('Teachers sched'!G85, FIND("-", 'Teachers sched'!G85) - 1),
      {
        SALONES!$A:$A &amp; "|" &amp; SALONES!$B:$B,
        SALONES!$C:$C
      },
      2,
      FALSE
    ) &amp; " - " &amp; 'Teachers sched'!G85,
    'Teachers sched'!G85
  )
)
</f>
        <v/>
      </c>
      <c r="H85" s="390" t="str">
        <f t="array" ref="H85">IF('Teachers sched'!H85="", "", 
  IFERROR(
    VLOOKUP(
      'Teachers sched'!$A85 &amp; "|" &amp; 
      LEFT('Teachers sched'!H85, FIND("-", 'Teachers sched'!H85) - 1),
      {
        SALONES!$A:$A &amp; "|" &amp; SALONES!$B:$B,
        SALONES!$C:$C
      },
      2,
      FALSE
    ) &amp; " - " &amp; 'Teachers sched'!H85,
    'Teachers sched'!H85
  )
)
</f>
        <v>904 - AP Human Geography-4</v>
      </c>
      <c r="I85" s="53"/>
      <c r="J85" s="392"/>
      <c r="K85" s="389" t="s">
        <v>22</v>
      </c>
      <c r="L85" s="389" t="s">
        <v>22</v>
      </c>
      <c r="M85" s="100">
        <v>2.0</v>
      </c>
      <c r="N85" s="390" t="s">
        <v>22</v>
      </c>
      <c r="O85" s="390" t="s">
        <v>22</v>
      </c>
      <c r="P85" s="390" t="s">
        <v>22</v>
      </c>
      <c r="Q85" s="390" t="s">
        <v>22</v>
      </c>
      <c r="R85" s="390" t="s">
        <v>22</v>
      </c>
      <c r="S85" s="53"/>
      <c r="T85" s="393"/>
    </row>
    <row r="86">
      <c r="A86" s="389" t="s">
        <v>102</v>
      </c>
      <c r="B86" s="389"/>
      <c r="C86" s="100">
        <v>3.0</v>
      </c>
      <c r="D86" s="390" t="str">
        <f t="array" ref="D86">IF('Teachers sched'!D86="", "", 
  IFERROR(
    VLOOKUP(
      'Teachers sched'!$A86 &amp; "|" &amp; 
      LEFT('Teachers sched'!D86, FIND("-", 'Teachers sched'!D86) - 1),
      {
        SALONES!$A:$A &amp; "|" &amp; SALONES!$B:$B,
        SALONES!$C:$C
      },
      2,
      FALSE
    ) &amp; " - " &amp; 'Teachers sched'!D86,
    'Teachers sched'!D86
  )
)
</f>
        <v>904 - AP Human Geography-2</v>
      </c>
      <c r="E86" s="390" t="str">
        <f t="array" ref="E86">IF('Teachers sched'!E86="", "", 
  IFERROR(
    VLOOKUP(
      'Teachers sched'!$A86 &amp; "|" &amp; 
      LEFT('Teachers sched'!E86, FIND("-", 'Teachers sched'!E86) - 1),
      {
        SALONES!$A:$A &amp; "|" &amp; SALONES!$B:$B,
        SALONES!$C:$C
      },
      2,
      FALSE
    ) &amp; " - " &amp; 'Teachers sched'!E86,
    'Teachers sched'!E86
  )
)
</f>
        <v/>
      </c>
      <c r="F86" s="390" t="str">
        <f t="array" ref="F86">IF('Teachers sched'!F86="", "", 
  IFERROR(
    VLOOKUP(
      'Teachers sched'!$A86 &amp; "|" &amp; 
      LEFT('Teachers sched'!F86, FIND("-", 'Teachers sched'!F86) - 1),
      {
        SALONES!$A:$A &amp; "|" &amp; SALONES!$B:$B,
        SALONES!$C:$C
      },
      2,
      FALSE
    ) &amp; " - " &amp; 'Teachers sched'!F86,
    'Teachers sched'!F86
  )
)
</f>
        <v>904 - Social Studies 9-5</v>
      </c>
      <c r="G86" s="390" t="str">
        <f t="array" ref="G86">IF('Teachers sched'!G86="", "", 
  IFERROR(
    VLOOKUP(
      'Teachers sched'!$A86 &amp; "|" &amp; 
      LEFT('Teachers sched'!G86, FIND("-", 'Teachers sched'!G86) - 1),
      {
        SALONES!$A:$A &amp; "|" &amp; SALONES!$B:$B,
        SALONES!$C:$C
      },
      2,
      FALSE
    ) &amp; " - " &amp; 'Teachers sched'!G86,
    'Teachers sched'!G86
  )
)
</f>
        <v>904 - AP Human Geography-1</v>
      </c>
      <c r="H86" s="395" t="str">
        <f t="array" ref="H86">IF('Teachers sched'!H86="", "", 
  IFERROR(
    VLOOKUP(
      'Teachers sched'!$A86 &amp; "|" &amp; 
      LEFT('Teachers sched'!H86, FIND("-", 'Teachers sched'!H86) - 1),
      {
        SALONES!$A:$A &amp; "|" &amp; SALONES!$B:$B,
        SALONES!$C:$C
      },
      2,
      FALSE
    ) &amp; " - " &amp; 'Teachers sched'!H86,
    'Teachers sched'!H86
  )
)
</f>
        <v>X-Block</v>
      </c>
      <c r="I86" s="53"/>
      <c r="J86" s="392"/>
      <c r="K86" s="389" t="s">
        <v>22</v>
      </c>
      <c r="L86" s="389" t="s">
        <v>22</v>
      </c>
      <c r="M86" s="100">
        <v>3.0</v>
      </c>
      <c r="N86" s="390" t="s">
        <v>22</v>
      </c>
      <c r="O86" s="390" t="s">
        <v>22</v>
      </c>
      <c r="P86" s="390" t="s">
        <v>22</v>
      </c>
      <c r="Q86" s="390" t="s">
        <v>22</v>
      </c>
      <c r="R86" s="395" t="s">
        <v>22</v>
      </c>
      <c r="S86" s="53"/>
      <c r="T86" s="393"/>
    </row>
    <row r="87">
      <c r="A87" s="389" t="s">
        <v>102</v>
      </c>
      <c r="B87" s="389"/>
      <c r="C87" s="100">
        <v>4.0</v>
      </c>
      <c r="D87" s="390" t="str">
        <f t="array" ref="D87">IF('Teachers sched'!D87="", "", 
  IFERROR(
    VLOOKUP(
      'Teachers sched'!$A87 &amp; "|" &amp; 
      LEFT('Teachers sched'!D87, FIND("-", 'Teachers sched'!D87) - 1),
      {
        SALONES!$A:$A &amp; "|" &amp; SALONES!$B:$B,
        SALONES!$C:$C
      },
      2,
      FALSE
    ) &amp; " - " &amp; 'Teachers sched'!D87,
    'Teachers sched'!D87
  )
)
</f>
        <v>904 - AP Human Geography-3</v>
      </c>
      <c r="E87" s="390" t="str">
        <f t="array" ref="E87">IF('Teachers sched'!E87="", "", 
  IFERROR(
    VLOOKUP(
      'Teachers sched'!$A87 &amp; "|" &amp; 
      LEFT('Teachers sched'!E87, FIND("-", 'Teachers sched'!E87) - 1),
      {
        SALONES!$A:$A &amp; "|" &amp; SALONES!$B:$B,
        SALONES!$C:$C
      },
      2,
      FALSE
    ) &amp; " - " &amp; 'Teachers sched'!E87,
    'Teachers sched'!E87
  )
)
</f>
        <v/>
      </c>
      <c r="F87" s="390" t="str">
        <f t="array" ref="F87">IF('Teachers sched'!F87="", "", 
  IFERROR(
    VLOOKUP(
      'Teachers sched'!$A87 &amp; "|" &amp; 
      LEFT('Teachers sched'!F87, FIND("-", 'Teachers sched'!F87) - 1),
      {
        SALONES!$A:$A &amp; "|" &amp; SALONES!$B:$B,
        SALONES!$C:$C
      },
      2,
      FALSE
    ) &amp; " - " &amp; 'Teachers sched'!F87,
    'Teachers sched'!F87
  )
)
</f>
        <v>904 - AP Human Geography-4</v>
      </c>
      <c r="G87" s="390" t="str">
        <f t="array" ref="G87">IF('Teachers sched'!G87="", "", 
  IFERROR(
    VLOOKUP(
      'Teachers sched'!$A87 &amp; "|" &amp; 
      LEFT('Teachers sched'!G87, FIND("-", 'Teachers sched'!G87) - 1),
      {
        SALONES!$A:$A &amp; "|" &amp; SALONES!$B:$B,
        SALONES!$C:$C
      },
      2,
      FALSE
    ) &amp; " - " &amp; 'Teachers sched'!G87,
    'Teachers sched'!G87
  )
)
</f>
        <v>904 - AP Human Geography-2</v>
      </c>
      <c r="H87" s="390" t="str">
        <f t="array" ref="H87">IF('Teachers sched'!H87="", "", 
  IFERROR(
    VLOOKUP(
      'Teachers sched'!$A87 &amp; "|" &amp; 
      LEFT('Teachers sched'!H87, FIND("-", 'Teachers sched'!H87) - 1),
      {
        SALONES!$A:$A &amp; "|" &amp; SALONES!$B:$B,
        SALONES!$C:$C
      },
      2,
      FALSE
    ) &amp; " - " &amp; 'Teachers sched'!H87,
    'Teachers sched'!H87
  )
)
</f>
        <v/>
      </c>
      <c r="I87" s="53"/>
      <c r="J87" s="392"/>
      <c r="K87" s="389" t="s">
        <v>22</v>
      </c>
      <c r="L87" s="389" t="s">
        <v>22</v>
      </c>
      <c r="M87" s="100">
        <v>4.0</v>
      </c>
      <c r="N87" s="390" t="s">
        <v>22</v>
      </c>
      <c r="O87" s="390" t="s">
        <v>22</v>
      </c>
      <c r="P87" s="390" t="s">
        <v>22</v>
      </c>
      <c r="Q87" s="390" t="s">
        <v>22</v>
      </c>
      <c r="R87" s="390" t="s">
        <v>22</v>
      </c>
      <c r="S87" s="53"/>
      <c r="T87" s="393"/>
    </row>
    <row r="88">
      <c r="A88" s="389" t="s">
        <v>102</v>
      </c>
      <c r="B88" s="389"/>
      <c r="C88" s="100">
        <v>5.0</v>
      </c>
      <c r="D88" s="390" t="str">
        <f t="array" ref="D88">IF('Teachers sched'!D88="", "", 
  IFERROR(
    VLOOKUP(
      'Teachers sched'!$A88 &amp; "|" &amp; 
      LEFT('Teachers sched'!D88, FIND("-", 'Teachers sched'!D88) - 1),
      {
        SALONES!$A:$A &amp; "|" &amp; SALONES!$B:$B,
        SALONES!$C:$C
      },
      2,
      FALSE
    ) &amp; " - " &amp; 'Teachers sched'!D88,
    'Teachers sched'!D88
  )
)
</f>
        <v>904 - Social Studies 9-5</v>
      </c>
      <c r="E88" s="390" t="str">
        <f t="array" ref="E88">IF('Teachers sched'!E88="", "", 
  IFERROR(
    VLOOKUP(
      'Teachers sched'!$A88 &amp; "|" &amp; 
      LEFT('Teachers sched'!E88, FIND("-", 'Teachers sched'!E88) - 1),
      {
        SALONES!$A:$A &amp; "|" &amp; SALONES!$B:$B,
        SALONES!$C:$C
      },
      2,
      FALSE
    ) &amp; " - " &amp; 'Teachers sched'!E88,
    'Teachers sched'!E88
  )
)
</f>
        <v>904 - AP Human Geography-1</v>
      </c>
      <c r="F88" s="390" t="str">
        <f t="array" ref="F88">IF('Teachers sched'!F88="", "", 
  IFERROR(
    VLOOKUP(
      'Teachers sched'!$A88 &amp; "|" &amp; 
      LEFT('Teachers sched'!F88, FIND("-", 'Teachers sched'!F88) - 1),
      {
        SALONES!$A:$A &amp; "|" &amp; SALONES!$B:$B,
        SALONES!$C:$C
      },
      2,
      FALSE
    ) &amp; " - " &amp; 'Teachers sched'!F88,
    'Teachers sched'!F88
  )
)
</f>
        <v/>
      </c>
      <c r="G88" s="390" t="str">
        <f t="array" ref="G88">IF('Teachers sched'!G88="", "", 
  IFERROR(
    VLOOKUP(
      'Teachers sched'!$A88 &amp; "|" &amp; 
      LEFT('Teachers sched'!G88, FIND("-", 'Teachers sched'!G88) - 1),
      {
        SALONES!$A:$A &amp; "|" &amp; SALONES!$B:$B,
        SALONES!$C:$C
      },
      2,
      FALSE
    ) &amp; " - " &amp; 'Teachers sched'!G88,
    'Teachers sched'!G88
  )
)
</f>
        <v>904 - AP Human Geography-3</v>
      </c>
      <c r="H88" s="390" t="str">
        <f t="array" ref="H88">IF('Teachers sched'!H88="", "", 
  IFERROR(
    VLOOKUP(
      'Teachers sched'!$A88 &amp; "|" &amp; 
      LEFT('Teachers sched'!H88, FIND("-", 'Teachers sched'!H88) - 1),
      {
        SALONES!$A:$A &amp; "|" &amp; SALONES!$B:$B,
        SALONES!$C:$C
      },
      2,
      FALSE
    ) &amp; " - " &amp; 'Teachers sched'!H88,
    'Teachers sched'!H88
  )
)
</f>
        <v/>
      </c>
      <c r="I88" s="68"/>
      <c r="J88" s="392"/>
      <c r="K88" s="389" t="s">
        <v>22</v>
      </c>
      <c r="L88" s="389" t="s">
        <v>22</v>
      </c>
      <c r="M88" s="100">
        <v>5.0</v>
      </c>
      <c r="N88" s="390" t="s">
        <v>22</v>
      </c>
      <c r="O88" s="390" t="s">
        <v>22</v>
      </c>
      <c r="P88" s="390" t="s">
        <v>22</v>
      </c>
      <c r="Q88" s="390" t="s">
        <v>22</v>
      </c>
      <c r="R88" s="390" t="s">
        <v>22</v>
      </c>
      <c r="S88" s="68"/>
      <c r="T88" s="393"/>
    </row>
    <row r="89">
      <c r="C89" s="3"/>
      <c r="D89" s="396"/>
      <c r="E89" s="396"/>
      <c r="F89" s="396"/>
      <c r="G89" s="396"/>
      <c r="H89" s="396"/>
      <c r="N89" s="397"/>
      <c r="O89" s="397"/>
      <c r="P89" s="397"/>
      <c r="Q89" s="397"/>
      <c r="R89" s="397"/>
    </row>
    <row r="90">
      <c r="A90" s="45"/>
      <c r="B90" s="45"/>
      <c r="C90" s="386" t="s">
        <v>55</v>
      </c>
      <c r="D90" s="383"/>
      <c r="E90" s="383"/>
      <c r="F90" s="383"/>
      <c r="G90" s="383"/>
      <c r="H90" s="384"/>
      <c r="I90" s="385" t="str">
        <f>IFERROR(__xludf.DUMMYFUNCTION("if(C90="""","""", iferror(filter(Schedule!$K:$K,Schedule!$L:$L=$C90,Schedule!$K:$K=""S1""),unique(filter(Schedule!$K:$K,Schedule!$L:$L=$C90,Schedule!$K:$K=""""))))"),"")</f>
        <v/>
      </c>
      <c r="M90" s="386" t="s">
        <v>22</v>
      </c>
      <c r="N90" s="383"/>
      <c r="O90" s="383"/>
      <c r="P90" s="383"/>
      <c r="Q90" s="383"/>
      <c r="R90" s="384"/>
      <c r="S90" s="385" t="s">
        <v>22</v>
      </c>
      <c r="T90" s="112"/>
    </row>
    <row r="91">
      <c r="A91" s="116"/>
      <c r="B91" s="116"/>
      <c r="C91" s="100" t="s">
        <v>7</v>
      </c>
      <c r="D91" s="387" t="s">
        <v>8</v>
      </c>
      <c r="E91" s="387" t="s">
        <v>9</v>
      </c>
      <c r="F91" s="387" t="s">
        <v>10</v>
      </c>
      <c r="G91" s="387" t="s">
        <v>11</v>
      </c>
      <c r="H91" s="387" t="s">
        <v>12</v>
      </c>
      <c r="I91" s="21" t="s">
        <v>766</v>
      </c>
      <c r="J91" s="116"/>
      <c r="K91" s="116"/>
      <c r="L91" s="116"/>
      <c r="M91" s="100" t="s">
        <v>7</v>
      </c>
      <c r="N91" s="387" t="s">
        <v>8</v>
      </c>
      <c r="O91" s="387" t="s">
        <v>9</v>
      </c>
      <c r="P91" s="387" t="s">
        <v>10</v>
      </c>
      <c r="Q91" s="387" t="s">
        <v>11</v>
      </c>
      <c r="R91" s="387" t="s">
        <v>12</v>
      </c>
      <c r="S91" s="21" t="s">
        <v>766</v>
      </c>
      <c r="T91" s="388"/>
    </row>
    <row r="92">
      <c r="A92" s="389" t="s">
        <v>55</v>
      </c>
      <c r="B92" s="389" t="s">
        <v>22</v>
      </c>
      <c r="C92" s="100">
        <v>1.0</v>
      </c>
      <c r="D92" s="390" t="str">
        <f t="array" ref="D92">IF('Teachers sched'!D92="", "", 
  IFERROR(
    VLOOKUP(
      'Teachers sched'!$A92 &amp; "|" &amp; 
      LEFT('Teachers sched'!D92, FIND("-", 'Teachers sched'!D92) - 1),
      {
        SALONES!$A:$A &amp; "|" &amp; SALONES!$B:$B,
        SALONES!$C:$C
      },
      2,
      FALSE
    ) &amp; " - " &amp; 'Teachers sched'!D92,
    'Teachers sched'!D92
  )
)
</f>
        <v/>
      </c>
      <c r="E92" s="390" t="str">
        <f t="array" ref="E92">IF('Teachers sched'!E92="", "", 
  IFERROR(
    VLOOKUP(
      'Teachers sched'!$A92 &amp; "|" &amp; 
      LEFT('Teachers sched'!E92, FIND("-", 'Teachers sched'!E92) - 1),
      {
        SALONES!$A:$A &amp; "|" &amp; SALONES!$B:$B,
        SALONES!$C:$C
      },
      2,
      FALSE
    ) &amp; " - " &amp; 'Teachers sched'!E92,
    'Teachers sched'!E92
  )
)
</f>
        <v/>
      </c>
      <c r="F92" s="390" t="str">
        <f t="array" ref="F92">IF('Teachers sched'!F92="", "", 
  IFERROR(
    VLOOKUP(
      'Teachers sched'!$A92 &amp; "|" &amp; 
      LEFT('Teachers sched'!F92, FIND("-", 'Teachers sched'!F92) - 1),
      {
        SALONES!$A:$A &amp; "|" &amp; SALONES!$B:$B,
        SALONES!$C:$C
      },
      2,
      FALSE
    ) &amp; " - " &amp; 'Teachers sched'!F92,
    'Teachers sched'!F92
  )
)
</f>
        <v>928 - Sociales 10-7</v>
      </c>
      <c r="G92" s="390" t="str">
        <f t="array" ref="G92">IF('Teachers sched'!G92="", "", 
  IFERROR(
    VLOOKUP(
      'Teachers sched'!$A92 &amp; "|" &amp; 
      LEFT('Teachers sched'!G92, FIND("-", 'Teachers sched'!G92) - 1),
      {
        SALONES!$A:$A &amp; "|" &amp; SALONES!$B:$B,
        SALONES!$C:$C
      },
      2,
      FALSE
    ) &amp; " - " &amp; 'Teachers sched'!G92,
    'Teachers sched'!G92
  )
)
</f>
        <v>927 - Spanish Film, Art, and Literature-2</v>
      </c>
      <c r="H92" s="390" t="str">
        <f t="array" ref="H92">IF('Teachers sched'!H92="", "", 
  IFERROR(
    VLOOKUP(
      'Teachers sched'!$A92 &amp; "|" &amp; 
      LEFT('Teachers sched'!H92, FIND("-", 'Teachers sched'!H92) - 1),
      {
        SALONES!$A:$A &amp; "|" &amp; SALONES!$B:$B,
        SALONES!$C:$C
      },
      2,
      FALSE
    ) &amp; " - " &amp; 'Teachers sched'!H92,
    'Teachers sched'!H92
  )
)
</f>
        <v>927 - Spanish Film, Art, and Literature-1</v>
      </c>
      <c r="I92" s="391">
        <f>if(C90="","", 24-countifs(D92:H96,""))</f>
        <v>15</v>
      </c>
      <c r="J92" s="392"/>
      <c r="K92" s="389" t="s">
        <v>22</v>
      </c>
      <c r="L92" s="389" t="s">
        <v>22</v>
      </c>
      <c r="M92" s="100">
        <v>1.0</v>
      </c>
      <c r="N92" s="390" t="s">
        <v>22</v>
      </c>
      <c r="O92" s="390" t="s">
        <v>22</v>
      </c>
      <c r="P92" s="390" t="s">
        <v>22</v>
      </c>
      <c r="Q92" s="390" t="s">
        <v>22</v>
      </c>
      <c r="R92" s="390" t="s">
        <v>22</v>
      </c>
      <c r="S92" s="391" t="s">
        <v>22</v>
      </c>
      <c r="T92" s="393"/>
    </row>
    <row r="93">
      <c r="A93" s="389" t="s">
        <v>55</v>
      </c>
      <c r="B93" s="389" t="s">
        <v>22</v>
      </c>
      <c r="C93" s="100">
        <v>2.0</v>
      </c>
      <c r="D93" s="390" t="str">
        <f t="array" ref="D93">IF('Teachers sched'!D93="", "", 
  IFERROR(
    VLOOKUP(
      'Teachers sched'!$A93 &amp; "|" &amp; 
      LEFT('Teachers sched'!D93, FIND("-", 'Teachers sched'!D93) - 1),
      {
        SALONES!$A:$A &amp; "|" &amp; SALONES!$B:$B,
        SALONES!$C:$C
      },
      2,
      FALSE
    ) &amp; " - " &amp; 'Teachers sched'!D93,
    'Teachers sched'!D93
  )
)
</f>
        <v>928 - Sociales 10-6</v>
      </c>
      <c r="E93" s="390" t="str">
        <f t="array" ref="E93">IF('Teachers sched'!E93="", "", 
  IFERROR(
    VLOOKUP(
      'Teachers sched'!$A93 &amp; "|" &amp; 
      LEFT('Teachers sched'!E93, FIND("-", 'Teachers sched'!E93) - 1),
      {
        SALONES!$A:$A &amp; "|" &amp; SALONES!$B:$B,
        SALONES!$C:$C
      },
      2,
      FALSE
    ) &amp; " - " &amp; 'Teachers sched'!E93,
    'Teachers sched'!E93
  )
)
</f>
        <v>922 - Spanish and Literature 12-5</v>
      </c>
      <c r="F93" s="390" t="str">
        <f t="array" ref="F93">IF('Teachers sched'!F93="", "", 
  IFERROR(
    VLOOKUP(
      'Teachers sched'!$A93 &amp; "|" &amp; 
      LEFT('Teachers sched'!F93, FIND("-", 'Teachers sched'!F93) - 1),
      {
        SALONES!$A:$A &amp; "|" &amp; SALONES!$B:$B,
        SALONES!$C:$C
      },
      2,
      FALSE
    ) &amp; " - " &amp; 'Teachers sched'!F93,
    'Teachers sched'!F93
  )
)
</f>
        <v/>
      </c>
      <c r="G93" s="390" t="str">
        <f t="array" ref="G93">IF('Teachers sched'!G93="", "", 
  IFERROR(
    VLOOKUP(
      'Teachers sched'!$A93 &amp; "|" &amp; 
      LEFT('Teachers sched'!G93, FIND("-", 'Teachers sched'!G93) - 1),
      {
        SALONES!$A:$A &amp; "|" &amp; SALONES!$B:$B,
        SALONES!$C:$C
      },
      2,
      FALSE
    ) &amp; " - " &amp; 'Teachers sched'!G93,
    'Teachers sched'!G93
  )
)
</f>
        <v/>
      </c>
      <c r="H93" s="390" t="str">
        <f t="array" ref="H93">IF('Teachers sched'!H93="", "", 
  IFERROR(
    VLOOKUP(
      'Teachers sched'!$A93 &amp; "|" &amp; 
      LEFT('Teachers sched'!H93, FIND("-", 'Teachers sched'!H93) - 1),
      {
        SALONES!$A:$A &amp; "|" &amp; SALONES!$B:$B,
        SALONES!$C:$C
      },
      2,
      FALSE
    ) &amp; " - " &amp; 'Teachers sched'!H93,
    'Teachers sched'!H93
  )
)
</f>
        <v/>
      </c>
      <c r="I93" s="53"/>
      <c r="J93" s="392"/>
      <c r="K93" s="389" t="s">
        <v>22</v>
      </c>
      <c r="L93" s="389" t="s">
        <v>22</v>
      </c>
      <c r="M93" s="100">
        <v>2.0</v>
      </c>
      <c r="N93" s="390" t="s">
        <v>22</v>
      </c>
      <c r="O93" s="390" t="s">
        <v>22</v>
      </c>
      <c r="P93" s="390" t="s">
        <v>22</v>
      </c>
      <c r="Q93" s="390" t="s">
        <v>22</v>
      </c>
      <c r="R93" s="390" t="s">
        <v>22</v>
      </c>
      <c r="S93" s="53"/>
      <c r="T93" s="393"/>
    </row>
    <row r="94">
      <c r="A94" s="389" t="s">
        <v>55</v>
      </c>
      <c r="B94" s="389" t="s">
        <v>22</v>
      </c>
      <c r="C94" s="100">
        <v>3.0</v>
      </c>
      <c r="D94" s="390" t="str">
        <f t="array" ref="D94">IF('Teachers sched'!D94="", "", 
  IFERROR(
    VLOOKUP(
      'Teachers sched'!$A94 &amp; "|" &amp; 
      LEFT('Teachers sched'!D94, FIND("-", 'Teachers sched'!D94) - 1),
      {
        SALONES!$A:$A &amp; "|" &amp; SALONES!$B:$B,
        SALONES!$C:$C
      },
      2,
      FALSE
    ) &amp; " - " &amp; 'Teachers sched'!D94,
    'Teachers sched'!D94
  )
)
</f>
        <v>928 - Sociales 10-7</v>
      </c>
      <c r="E94" s="390" t="str">
        <f t="array" ref="E94">IF('Teachers sched'!E94="", "", 
  IFERROR(
    VLOOKUP(
      'Teachers sched'!$A94 &amp; "|" &amp; 
      LEFT('Teachers sched'!E94, FIND("-", 'Teachers sched'!E94) - 1),
      {
        SALONES!$A:$A &amp; "|" &amp; SALONES!$B:$B,
        SALONES!$C:$C
      },
      2,
      FALSE
    ) &amp; " - " &amp; 'Teachers sched'!E94,
    'Teachers sched'!E94
  )
)
</f>
        <v>927 - Spanish Film, Art, and Literature-2</v>
      </c>
      <c r="F94" s="390" t="str">
        <f t="array" ref="F94">IF('Teachers sched'!F94="", "", 
  IFERROR(
    VLOOKUP(
      'Teachers sched'!$A94 &amp; "|" &amp; 
      LEFT('Teachers sched'!F94, FIND("-", 'Teachers sched'!F94) - 1),
      {
        SALONES!$A:$A &amp; "|" &amp; SALONES!$B:$B,
        SALONES!$C:$C
      },
      2,
      FALSE
    ) &amp; " - " &amp; 'Teachers sched'!F94,
    'Teachers sched'!F94
  )
)
</f>
        <v>927 - Spanish Film, Art, and Literature-1</v>
      </c>
      <c r="G94" s="390" t="str">
        <f t="array" ref="G94">IF('Teachers sched'!G94="", "", 
  IFERROR(
    VLOOKUP(
      'Teachers sched'!$A94 &amp; "|" &amp; 
      LEFT('Teachers sched'!G94, FIND("-", 'Teachers sched'!G94) - 1),
      {
        SALONES!$A:$A &amp; "|" &amp; SALONES!$B:$B,
        SALONES!$C:$C
      },
      2,
      FALSE
    ) &amp; " - " &amp; 'Teachers sched'!G94,
    'Teachers sched'!G94
  )
)
</f>
        <v>928 - Sociales 10-6</v>
      </c>
      <c r="H94" s="395" t="str">
        <f t="array" ref="H94">IF('Teachers sched'!H94="", "", 
  IFERROR(
    VLOOKUP(
      'Teachers sched'!$A94 &amp; "|" &amp; 
      LEFT('Teachers sched'!H94, FIND("-", 'Teachers sched'!H94) - 1),
      {
        SALONES!$A:$A &amp; "|" &amp; SALONES!$B:$B,
        SALONES!$C:$C
      },
      2,
      FALSE
    ) &amp; " - " &amp; 'Teachers sched'!H94,
    'Teachers sched'!H94
  )
)
</f>
        <v>X-Block</v>
      </c>
      <c r="I94" s="53"/>
      <c r="J94" s="392"/>
      <c r="K94" s="389" t="s">
        <v>22</v>
      </c>
      <c r="L94" s="389" t="s">
        <v>22</v>
      </c>
      <c r="M94" s="100">
        <v>3.0</v>
      </c>
      <c r="N94" s="390" t="s">
        <v>22</v>
      </c>
      <c r="O94" s="390" t="s">
        <v>22</v>
      </c>
      <c r="P94" s="390" t="s">
        <v>22</v>
      </c>
      <c r="Q94" s="390" t="s">
        <v>22</v>
      </c>
      <c r="R94" s="395" t="s">
        <v>22</v>
      </c>
      <c r="S94" s="53"/>
      <c r="T94" s="393"/>
    </row>
    <row r="95">
      <c r="A95" s="389" t="s">
        <v>55</v>
      </c>
      <c r="B95" s="389" t="s">
        <v>22</v>
      </c>
      <c r="C95" s="100">
        <v>4.0</v>
      </c>
      <c r="D95" s="390" t="str">
        <f t="array" ref="D95">IF('Teachers sched'!D95="", "", 
  IFERROR(
    VLOOKUP(
      'Teachers sched'!$A95 &amp; "|" &amp; 
      LEFT('Teachers sched'!D95, FIND("-", 'Teachers sched'!D95) - 1),
      {
        SALONES!$A:$A &amp; "|" &amp; SALONES!$B:$B,
        SALONES!$C:$C
      },
      2,
      FALSE
    ) &amp; " - " &amp; 'Teachers sched'!D95,
    'Teachers sched'!D95
  )
)
</f>
        <v/>
      </c>
      <c r="E95" s="390" t="str">
        <f t="array" ref="E95">IF('Teachers sched'!E95="", "", 
  IFERROR(
    VLOOKUP(
      'Teachers sched'!$A95 &amp; "|" &amp; 
      LEFT('Teachers sched'!E95, FIND("-", 'Teachers sched'!E95) - 1),
      {
        SALONES!$A:$A &amp; "|" &amp; SALONES!$B:$B,
        SALONES!$C:$C
      },
      2,
      FALSE
    ) &amp; " - " &amp; 'Teachers sched'!E95,
    'Teachers sched'!E95
  )
)
</f>
        <v/>
      </c>
      <c r="F95" s="390" t="str">
        <f t="array" ref="F95">IF('Teachers sched'!F95="", "", 
  IFERROR(
    VLOOKUP(
      'Teachers sched'!$A95 &amp; "|" &amp; 
      LEFT('Teachers sched'!F95, FIND("-", 'Teachers sched'!F95) - 1),
      {
        SALONES!$A:$A &amp; "|" &amp; SALONES!$B:$B,
        SALONES!$C:$C
      },
      2,
      FALSE
    ) &amp; " - " &amp; 'Teachers sched'!F95,
    'Teachers sched'!F95
  )
)
</f>
        <v/>
      </c>
      <c r="G95" s="390" t="str">
        <f t="array" ref="G95">IF('Teachers sched'!G95="", "", 
  IFERROR(
    VLOOKUP(
      'Teachers sched'!$A95 &amp; "|" &amp; 
      LEFT('Teachers sched'!G95, FIND("-", 'Teachers sched'!G95) - 1),
      {
        SALONES!$A:$A &amp; "|" &amp; SALONES!$B:$B,
        SALONES!$C:$C
      },
      2,
      FALSE
    ) &amp; " - " &amp; 'Teachers sched'!G95,
    'Teachers sched'!G95
  )
)
</f>
        <v>928 - Sociales 10-7</v>
      </c>
      <c r="H95" s="390" t="str">
        <f t="array" ref="H95">IF('Teachers sched'!H95="", "", 
  IFERROR(
    VLOOKUP(
      'Teachers sched'!$A95 &amp; "|" &amp; 
      LEFT('Teachers sched'!H95, FIND("-", 'Teachers sched'!H95) - 1),
      {
        SALONES!$A:$A &amp; "|" &amp; SALONES!$B:$B,
        SALONES!$C:$C
      },
      2,
      FALSE
    ) &amp; " - " &amp; 'Teachers sched'!H95,
    'Teachers sched'!H95
  )
)
</f>
        <v>922 - Spanish and Literature 12-5</v>
      </c>
      <c r="I95" s="53"/>
      <c r="J95" s="392"/>
      <c r="K95" s="389" t="s">
        <v>22</v>
      </c>
      <c r="L95" s="389" t="s">
        <v>22</v>
      </c>
      <c r="M95" s="100">
        <v>4.0</v>
      </c>
      <c r="N95" s="390" t="s">
        <v>22</v>
      </c>
      <c r="O95" s="390" t="s">
        <v>22</v>
      </c>
      <c r="P95" s="390" t="s">
        <v>22</v>
      </c>
      <c r="Q95" s="390" t="s">
        <v>22</v>
      </c>
      <c r="R95" s="390" t="s">
        <v>22</v>
      </c>
      <c r="S95" s="53"/>
      <c r="T95" s="393"/>
    </row>
    <row r="96">
      <c r="A96" s="389" t="s">
        <v>55</v>
      </c>
      <c r="B96" s="389" t="s">
        <v>22</v>
      </c>
      <c r="C96" s="100">
        <v>5.0</v>
      </c>
      <c r="D96" s="390" t="str">
        <f t="array" ref="D96">IF('Teachers sched'!D96="", "", 
  IFERROR(
    VLOOKUP(
      'Teachers sched'!$A96 &amp; "|" &amp; 
      LEFT('Teachers sched'!D96, FIND("-", 'Teachers sched'!D96) - 1),
      {
        SALONES!$A:$A &amp; "|" &amp; SALONES!$B:$B,
        SALONES!$C:$C
      },
      2,
      FALSE
    ) &amp; " - " &amp; 'Teachers sched'!D96,
    'Teachers sched'!D96
  )
)
</f>
        <v>927 - Spanish Film, Art, and Literature-1</v>
      </c>
      <c r="E96" s="390" t="str">
        <f t="array" ref="E96">IF('Teachers sched'!E96="", "", 
  IFERROR(
    VLOOKUP(
      'Teachers sched'!$A96 &amp; "|" &amp; 
      LEFT('Teachers sched'!E96, FIND("-", 'Teachers sched'!E96) - 1),
      {
        SALONES!$A:$A &amp; "|" &amp; SALONES!$B:$B,
        SALONES!$C:$C
      },
      2,
      FALSE
    ) &amp; " - " &amp; 'Teachers sched'!E96,
    'Teachers sched'!E96
  )
)
</f>
        <v>928 - Sociales 10-6</v>
      </c>
      <c r="F96" s="390" t="str">
        <f t="array" ref="F96">IF('Teachers sched'!F96="", "", 
  IFERROR(
    VLOOKUP(
      'Teachers sched'!$A96 &amp; "|" &amp; 
      LEFT('Teachers sched'!F96, FIND("-", 'Teachers sched'!F96) - 1),
      {
        SALONES!$A:$A &amp; "|" &amp; SALONES!$B:$B,
        SALONES!$C:$C
      },
      2,
      FALSE
    ) &amp; " - " &amp; 'Teachers sched'!F96,
    'Teachers sched'!F96
  )
)
</f>
        <v>922 - Spanish and Literature 12-5</v>
      </c>
      <c r="G96" s="390" t="str">
        <f t="array" ref="G96">IF('Teachers sched'!G96="", "", 
  IFERROR(
    VLOOKUP(
      'Teachers sched'!$A96 &amp; "|" &amp; 
      LEFT('Teachers sched'!G96, FIND("-", 'Teachers sched'!G96) - 1),
      {
        SALONES!$A:$A &amp; "|" &amp; SALONES!$B:$B,
        SALONES!$C:$C
      },
      2,
      FALSE
    ) &amp; " - " &amp; 'Teachers sched'!G96,
    'Teachers sched'!G96
  )
)
</f>
        <v/>
      </c>
      <c r="H96" s="390" t="str">
        <f t="array" ref="H96">IF('Teachers sched'!H96="", "", 
  IFERROR(
    VLOOKUP(
      'Teachers sched'!$A96 &amp; "|" &amp; 
      LEFT('Teachers sched'!H96, FIND("-", 'Teachers sched'!H96) - 1),
      {
        SALONES!$A:$A &amp; "|" &amp; SALONES!$B:$B,
        SALONES!$C:$C
      },
      2,
      FALSE
    ) &amp; " - " &amp; 'Teachers sched'!H96,
    'Teachers sched'!H96
  )
)
</f>
        <v>927 - Spanish Film, Art, and Literature-2</v>
      </c>
      <c r="I96" s="68"/>
      <c r="J96" s="392"/>
      <c r="K96" s="389" t="s">
        <v>22</v>
      </c>
      <c r="L96" s="389" t="s">
        <v>22</v>
      </c>
      <c r="M96" s="100">
        <v>5.0</v>
      </c>
      <c r="N96" s="390" t="s">
        <v>22</v>
      </c>
      <c r="O96" s="390" t="s">
        <v>22</v>
      </c>
      <c r="P96" s="390" t="s">
        <v>22</v>
      </c>
      <c r="Q96" s="390" t="s">
        <v>22</v>
      </c>
      <c r="R96" s="390" t="s">
        <v>22</v>
      </c>
      <c r="S96" s="68"/>
      <c r="T96" s="393"/>
    </row>
    <row r="97">
      <c r="C97" s="3"/>
      <c r="D97" s="396"/>
      <c r="E97" s="396"/>
      <c r="F97" s="396"/>
      <c r="G97" s="396"/>
      <c r="H97" s="396"/>
      <c r="N97" s="397"/>
      <c r="O97" s="397"/>
      <c r="P97" s="397"/>
      <c r="Q97" s="397"/>
      <c r="R97" s="397"/>
    </row>
    <row r="98">
      <c r="A98" s="45"/>
      <c r="B98" s="45"/>
      <c r="C98" s="386" t="s">
        <v>113</v>
      </c>
      <c r="D98" s="383"/>
      <c r="E98" s="383"/>
      <c r="F98" s="383"/>
      <c r="G98" s="383"/>
      <c r="H98" s="384"/>
      <c r="I98" s="385" t="str">
        <f>IFERROR(__xludf.DUMMYFUNCTION("if(C98="""","""", iferror(filter(Schedule!$K:$K,Schedule!$L:$L=$C98,Schedule!$K:$K=""S1""),unique(filter(Schedule!$K:$K,Schedule!$L:$L=$C98,Schedule!$K:$K=""""))))"),"")</f>
        <v/>
      </c>
      <c r="M98" s="386" t="s">
        <v>22</v>
      </c>
      <c r="N98" s="383"/>
      <c r="O98" s="383"/>
      <c r="P98" s="383"/>
      <c r="Q98" s="383"/>
      <c r="R98" s="384"/>
      <c r="S98" s="385" t="s">
        <v>22</v>
      </c>
      <c r="T98" s="112"/>
    </row>
    <row r="99">
      <c r="A99" s="116"/>
      <c r="B99" s="116"/>
      <c r="C99" s="100" t="s">
        <v>7</v>
      </c>
      <c r="D99" s="387" t="s">
        <v>8</v>
      </c>
      <c r="E99" s="387" t="s">
        <v>9</v>
      </c>
      <c r="F99" s="387" t="s">
        <v>10</v>
      </c>
      <c r="G99" s="387" t="s">
        <v>11</v>
      </c>
      <c r="H99" s="387" t="s">
        <v>12</v>
      </c>
      <c r="I99" s="21" t="s">
        <v>766</v>
      </c>
      <c r="J99" s="116"/>
      <c r="K99" s="116"/>
      <c r="L99" s="116"/>
      <c r="M99" s="100" t="s">
        <v>7</v>
      </c>
      <c r="N99" s="387" t="s">
        <v>8</v>
      </c>
      <c r="O99" s="387" t="s">
        <v>9</v>
      </c>
      <c r="P99" s="387" t="s">
        <v>10</v>
      </c>
      <c r="Q99" s="387" t="s">
        <v>11</v>
      </c>
      <c r="R99" s="387" t="s">
        <v>12</v>
      </c>
      <c r="S99" s="21" t="s">
        <v>766</v>
      </c>
      <c r="T99" s="388"/>
    </row>
    <row r="100">
      <c r="A100" s="389" t="s">
        <v>113</v>
      </c>
      <c r="B100" s="389"/>
      <c r="C100" s="100">
        <v>1.0</v>
      </c>
      <c r="D100" s="390" t="str">
        <f t="array" ref="D100">IF('Teachers sched'!D100="", "", 
  IFERROR(
    VLOOKUP(
      'Teachers sched'!$A100 &amp; "|" &amp; 
      LEFT('Teachers sched'!D100, FIND("-", 'Teachers sched'!D100) - 1),
      {
        SALONES!$A:$A &amp; "|" &amp; SALONES!$B:$B,
        SALONES!$C:$C
      },
      2,
      FALSE
    ) &amp; " - " &amp; 'Teachers sched'!D100,
    'Teachers sched'!D100
  )
)
</f>
        <v>900A - ISC-3</v>
      </c>
      <c r="E100" s="390" t="str">
        <f t="array" ref="E100">IF('Teachers sched'!E100="", "", 
  IFERROR(
    VLOOKUP(
      'Teachers sched'!$A100 &amp; "|" &amp; 
      LEFT('Teachers sched'!E100, FIND("-", 'Teachers sched'!E100) - 1),
      {
        SALONES!$A:$A &amp; "|" &amp; SALONES!$B:$B,
        SALONES!$C:$C
      },
      2,
      FALSE
    ) &amp; " - " &amp; 'Teachers sched'!E100,
    'Teachers sched'!E100
  )
)
</f>
        <v>900A - ISC-1</v>
      </c>
      <c r="F100" s="390" t="str">
        <f t="array" ref="F100">IF('Teachers sched'!F100="", "", 
  IFERROR(
    VLOOKUP(
      'Teachers sched'!$A100 &amp; "|" &amp; 
      LEFT('Teachers sched'!F100, FIND("-", 'Teachers sched'!F100) - 1),
      {
        SALONES!$A:$A &amp; "|" &amp; SALONES!$B:$B,
        SALONES!$C:$C
      },
      2,
      FALSE
    ) &amp; " - " &amp; 'Teachers sched'!F100,
    'Teachers sched'!F100
  )
)
</f>
        <v>900A - ISC-4</v>
      </c>
      <c r="G100" s="390" t="str">
        <f t="array" ref="G100">IF('Teachers sched'!G100="", "", 
  IFERROR(
    VLOOKUP(
      'Teachers sched'!$A100 &amp; "|" &amp; 
      LEFT('Teachers sched'!G100, FIND("-", 'Teachers sched'!G100) - 1),
      {
        SALONES!$A:$A &amp; "|" &amp; SALONES!$B:$B,
        SALONES!$C:$C
      },
      2,
      FALSE
    ) &amp; " - " &amp; 'Teachers sched'!G100,
    'Teachers sched'!G100
  )
)
</f>
        <v>900A - ISC-2</v>
      </c>
      <c r="H100" s="390" t="str">
        <f t="array" ref="H100">IF('Teachers sched'!H100="", "", 
  IFERROR(
    VLOOKUP(
      'Teachers sched'!$A100 &amp; "|" &amp; 
      LEFT('Teachers sched'!H100, FIND("-", 'Teachers sched'!H100) - 1),
      {
        SALONES!$A:$A &amp; "|" &amp; SALONES!$B:$B,
        SALONES!$C:$C
      },
      2,
      FALSE
    ) &amp; " - " &amp; 'Teachers sched'!H100,
    'Teachers sched'!H100
  )
)
</f>
        <v>Entrepreneurship - Business Tech-1</v>
      </c>
      <c r="I100" s="391">
        <f>if(C98="","", 24-countifs(D100:H104,""))</f>
        <v>18</v>
      </c>
      <c r="J100" s="392"/>
      <c r="K100" s="389" t="s">
        <v>22</v>
      </c>
      <c r="L100" s="389" t="s">
        <v>22</v>
      </c>
      <c r="M100" s="100">
        <v>1.0</v>
      </c>
      <c r="N100" s="390" t="s">
        <v>22</v>
      </c>
      <c r="O100" s="390" t="s">
        <v>22</v>
      </c>
      <c r="P100" s="390" t="s">
        <v>22</v>
      </c>
      <c r="Q100" s="390" t="s">
        <v>22</v>
      </c>
      <c r="R100" s="390" t="s">
        <v>22</v>
      </c>
      <c r="S100" s="391" t="s">
        <v>22</v>
      </c>
      <c r="T100" s="393"/>
    </row>
    <row r="101">
      <c r="A101" s="389" t="s">
        <v>113</v>
      </c>
      <c r="B101" s="389"/>
      <c r="C101" s="100">
        <v>2.0</v>
      </c>
      <c r="D101" s="390" t="str">
        <f t="array" ref="D101">IF('Teachers sched'!D101="", "", 
  IFERROR(
    VLOOKUP(
      'Teachers sched'!$A101 &amp; "|" &amp; 
      LEFT('Teachers sched'!D101, FIND("-", 'Teachers sched'!D101) - 1),
      {
        SALONES!$A:$A &amp; "|" &amp; SALONES!$B:$B,
        SALONES!$C:$C
      },
      2,
      FALSE
    ) &amp; " - " &amp; 'Teachers sched'!D101,
    'Teachers sched'!D101
  )
)
</f>
        <v/>
      </c>
      <c r="E101" s="390" t="str">
        <f t="array" ref="E101">IF('Teachers sched'!E101="", "", 
  IFERROR(
    VLOOKUP(
      'Teachers sched'!$A101 &amp; "|" &amp; 
      LEFT('Teachers sched'!E101, FIND("-", 'Teachers sched'!E101) - 1),
      {
        SALONES!$A:$A &amp; "|" &amp; SALONES!$B:$B,
        SALONES!$C:$C
      },
      2,
      FALSE
    ) &amp; " - " &amp; 'Teachers sched'!E101,
    'Teachers sched'!E101
  )
)
</f>
        <v/>
      </c>
      <c r="F101" s="390" t="str">
        <f t="array" ref="F101">IF('Teachers sched'!F101="", "", 
  IFERROR(
    VLOOKUP(
      'Teachers sched'!$A101 &amp; "|" &amp; 
      LEFT('Teachers sched'!F101, FIND("-", 'Teachers sched'!F101) - 1),
      {
        SALONES!$A:$A &amp; "|" &amp; SALONES!$B:$B,
        SALONES!$C:$C
      },
      2,
      FALSE
    ) &amp; " - " &amp; 'Teachers sched'!F101,
    'Teachers sched'!F101
  )
)
</f>
        <v>900A - ISC-5</v>
      </c>
      <c r="G101" s="390" t="str">
        <f t="array" ref="G101">IF('Teachers sched'!G101="", "", 
  IFERROR(
    VLOOKUP(
      'Teachers sched'!$A101 &amp; "|" &amp; 
      LEFT('Teachers sched'!G101, FIND("-", 'Teachers sched'!G101) - 1),
      {
        SALONES!$A:$A &amp; "|" &amp; SALONES!$B:$B,
        SALONES!$C:$C
      },
      2,
      FALSE
    ) &amp; " - " &amp; 'Teachers sched'!G101,
    'Teachers sched'!G101
  )
)
</f>
        <v>900A - ISC-3</v>
      </c>
      <c r="H101" s="390" t="str">
        <f t="array" ref="H101">IF('Teachers sched'!H101="", "", 
  IFERROR(
    VLOOKUP(
      'Teachers sched'!$A101 &amp; "|" &amp; 
      LEFT('Teachers sched'!H101, FIND("-", 'Teachers sched'!H101) - 1),
      {
        SALONES!$A:$A &amp; "|" &amp; SALONES!$B:$B,
        SALONES!$C:$C
      },
      2,
      FALSE
    ) &amp; " - " &amp; 'Teachers sched'!H101,
    'Teachers sched'!H101
  )
)
</f>
        <v>900A - ISC-1</v>
      </c>
      <c r="I101" s="53"/>
      <c r="J101" s="392"/>
      <c r="K101" s="389" t="s">
        <v>22</v>
      </c>
      <c r="L101" s="389" t="s">
        <v>22</v>
      </c>
      <c r="M101" s="100">
        <v>2.0</v>
      </c>
      <c r="N101" s="390" t="s">
        <v>22</v>
      </c>
      <c r="O101" s="390" t="s">
        <v>22</v>
      </c>
      <c r="P101" s="390" t="s">
        <v>22</v>
      </c>
      <c r="Q101" s="390" t="s">
        <v>22</v>
      </c>
      <c r="R101" s="390" t="s">
        <v>22</v>
      </c>
      <c r="S101" s="53"/>
      <c r="T101" s="393"/>
    </row>
    <row r="102">
      <c r="A102" s="389" t="s">
        <v>113</v>
      </c>
      <c r="B102" s="389"/>
      <c r="C102" s="100">
        <v>3.0</v>
      </c>
      <c r="D102" s="390" t="str">
        <f t="array" ref="D102">IF('Teachers sched'!D102="", "", 
  IFERROR(
    VLOOKUP(
      'Teachers sched'!$A102 &amp; "|" &amp; 
      LEFT('Teachers sched'!D102, FIND("-", 'Teachers sched'!D102) - 1),
      {
        SALONES!$A:$A &amp; "|" &amp; SALONES!$B:$B,
        SALONES!$C:$C
      },
      2,
      FALSE
    ) &amp; " - " &amp; 'Teachers sched'!D102,
    'Teachers sched'!D102
  )
)
</f>
        <v>900A - ISC-4</v>
      </c>
      <c r="E102" s="390" t="str">
        <f t="array" ref="E102">IF('Teachers sched'!E102="", "", 
  IFERROR(
    VLOOKUP(
      'Teachers sched'!$A102 &amp; "|" &amp; 
      LEFT('Teachers sched'!E102, FIND("-", 'Teachers sched'!E102) - 1),
      {
        SALONES!$A:$A &amp; "|" &amp; SALONES!$B:$B,
        SALONES!$C:$C
      },
      2,
      FALSE
    ) &amp; " - " &amp; 'Teachers sched'!E102,
    'Teachers sched'!E102
  )
)
</f>
        <v>900A - ISC-2</v>
      </c>
      <c r="F102" s="390" t="str">
        <f t="array" ref="F102">IF('Teachers sched'!F102="", "", 
  IFERROR(
    VLOOKUP(
      'Teachers sched'!$A102 &amp; "|" &amp; 
      LEFT('Teachers sched'!F102, FIND("-", 'Teachers sched'!F102) - 1),
      {
        SALONES!$A:$A &amp; "|" &amp; SALONES!$B:$B,
        SALONES!$C:$C
      },
      2,
      FALSE
    ) &amp; " - " &amp; 'Teachers sched'!F102,
    'Teachers sched'!F102
  )
)
</f>
        <v>Entrepreneurship - Business Tech-1</v>
      </c>
      <c r="G102" s="390" t="str">
        <f t="array" ref="G102">IF('Teachers sched'!G102="", "", 
  IFERROR(
    VLOOKUP(
      'Teachers sched'!$A102 &amp; "|" &amp; 
      LEFT('Teachers sched'!G102, FIND("-", 'Teachers sched'!G102) - 1),
      {
        SALONES!$A:$A &amp; "|" &amp; SALONES!$B:$B,
        SALONES!$C:$C
      },
      2,
      FALSE
    ) &amp; " - " &amp; 'Teachers sched'!G102,
    'Teachers sched'!G102
  )
)
</f>
        <v/>
      </c>
      <c r="H102" s="395" t="str">
        <f t="array" ref="H102">IF('Teachers sched'!H102="", "", 
  IFERROR(
    VLOOKUP(
      'Teachers sched'!$A102 &amp; "|" &amp; 
      LEFT('Teachers sched'!H102, FIND("-", 'Teachers sched'!H102) - 1),
      {
        SALONES!$A:$A &amp; "|" &amp; SALONES!$B:$B,
        SALONES!$C:$C
      },
      2,
      FALSE
    ) &amp; " - " &amp; 'Teachers sched'!H102,
    'Teachers sched'!H102
  )
)
</f>
        <v>X-Block</v>
      </c>
      <c r="I102" s="53"/>
      <c r="J102" s="392"/>
      <c r="K102" s="389" t="s">
        <v>22</v>
      </c>
      <c r="L102" s="389" t="s">
        <v>22</v>
      </c>
      <c r="M102" s="100">
        <v>3.0</v>
      </c>
      <c r="N102" s="390" t="s">
        <v>22</v>
      </c>
      <c r="O102" s="390" t="s">
        <v>22</v>
      </c>
      <c r="P102" s="390" t="s">
        <v>22</v>
      </c>
      <c r="Q102" s="390" t="s">
        <v>22</v>
      </c>
      <c r="R102" s="395" t="s">
        <v>22</v>
      </c>
      <c r="S102" s="53"/>
      <c r="T102" s="393"/>
    </row>
    <row r="103">
      <c r="A103" s="389" t="s">
        <v>113</v>
      </c>
      <c r="B103" s="389"/>
      <c r="C103" s="100">
        <v>4.0</v>
      </c>
      <c r="D103" s="390" t="str">
        <f t="array" ref="D103">IF('Teachers sched'!D103="", "", 
  IFERROR(
    VLOOKUP(
      'Teachers sched'!$A103 &amp; "|" &amp; 
      LEFT('Teachers sched'!D103, FIND("-", 'Teachers sched'!D103) - 1),
      {
        SALONES!$A:$A &amp; "|" &amp; SALONES!$B:$B,
        SALONES!$C:$C
      },
      2,
      FALSE
    ) &amp; " - " &amp; 'Teachers sched'!D103,
    'Teachers sched'!D103
  )
)
</f>
        <v>900A - ISC-5</v>
      </c>
      <c r="E103" s="390" t="str">
        <f t="array" ref="E103">IF('Teachers sched'!E103="", "", 
  IFERROR(
    VLOOKUP(
      'Teachers sched'!$A103 &amp; "|" &amp; 
      LEFT('Teachers sched'!E103, FIND("-", 'Teachers sched'!E103) - 1),
      {
        SALONES!$A:$A &amp; "|" &amp; SALONES!$B:$B,
        SALONES!$C:$C
      },
      2,
      FALSE
    ) &amp; " - " &amp; 'Teachers sched'!E103,
    'Teachers sched'!E103
  )
)
</f>
        <v>900A - ISC-3</v>
      </c>
      <c r="F103" s="390" t="str">
        <f t="array" ref="F103">IF('Teachers sched'!F103="", "", 
  IFERROR(
    VLOOKUP(
      'Teachers sched'!$A103 &amp; "|" &amp; 
      LEFT('Teachers sched'!F103, FIND("-", 'Teachers sched'!F103) - 1),
      {
        SALONES!$A:$A &amp; "|" &amp; SALONES!$B:$B,
        SALONES!$C:$C
      },
      2,
      FALSE
    ) &amp; " - " &amp; 'Teachers sched'!F103,
    'Teachers sched'!F103
  )
)
</f>
        <v>900A - ISC-1</v>
      </c>
      <c r="G103" s="390" t="str">
        <f t="array" ref="G103">IF('Teachers sched'!G103="", "", 
  IFERROR(
    VLOOKUP(
      'Teachers sched'!$A103 &amp; "|" &amp; 
      LEFT('Teachers sched'!G103, FIND("-", 'Teachers sched'!G103) - 1),
      {
        SALONES!$A:$A &amp; "|" &amp; SALONES!$B:$B,
        SALONES!$C:$C
      },
      2,
      FALSE
    ) &amp; " - " &amp; 'Teachers sched'!G103,
    'Teachers sched'!G103
  )
)
</f>
        <v>900A - ISC-4</v>
      </c>
      <c r="H103" s="390" t="str">
        <f t="array" ref="H103">IF('Teachers sched'!H103="", "", 
  IFERROR(
    VLOOKUP(
      'Teachers sched'!$A103 &amp; "|" &amp; 
      LEFT('Teachers sched'!H103, FIND("-", 'Teachers sched'!H103) - 1),
      {
        SALONES!$A:$A &amp; "|" &amp; SALONES!$B:$B,
        SALONES!$C:$C
      },
      2,
      FALSE
    ) &amp; " - " &amp; 'Teachers sched'!H103,
    'Teachers sched'!H103
  )
)
</f>
        <v/>
      </c>
      <c r="I103" s="53"/>
      <c r="J103" s="392"/>
      <c r="K103" s="389" t="s">
        <v>22</v>
      </c>
      <c r="L103" s="389" t="s">
        <v>22</v>
      </c>
      <c r="M103" s="100">
        <v>4.0</v>
      </c>
      <c r="N103" s="390" t="s">
        <v>22</v>
      </c>
      <c r="O103" s="390" t="s">
        <v>22</v>
      </c>
      <c r="P103" s="390" t="s">
        <v>22</v>
      </c>
      <c r="Q103" s="390" t="s">
        <v>22</v>
      </c>
      <c r="R103" s="390" t="s">
        <v>22</v>
      </c>
      <c r="S103" s="53"/>
      <c r="T103" s="393"/>
    </row>
    <row r="104">
      <c r="A104" s="389" t="s">
        <v>113</v>
      </c>
      <c r="B104" s="389"/>
      <c r="C104" s="100">
        <v>5.0</v>
      </c>
      <c r="D104" s="390" t="str">
        <f t="array" ref="D104">IF('Teachers sched'!D104="", "", 
  IFERROR(
    VLOOKUP(
      'Teachers sched'!$A104 &amp; "|" &amp; 
      LEFT('Teachers sched'!D104, FIND("-", 'Teachers sched'!D104) - 1),
      {
        SALONES!$A:$A &amp; "|" &amp; SALONES!$B:$B,
        SALONES!$C:$C
      },
      2,
      FALSE
    ) &amp; " - " &amp; 'Teachers sched'!D104,
    'Teachers sched'!D104
  )
)
</f>
        <v>Entrepreneurship - Business Tech-1</v>
      </c>
      <c r="E104" s="390" t="str">
        <f t="array" ref="E104">IF('Teachers sched'!E104="", "", 
  IFERROR(
    VLOOKUP(
      'Teachers sched'!$A104 &amp; "|" &amp; 
      LEFT('Teachers sched'!E104, FIND("-", 'Teachers sched'!E104) - 1),
      {
        SALONES!$A:$A &amp; "|" &amp; SALONES!$B:$B,
        SALONES!$C:$C
      },
      2,
      FALSE
    ) &amp; " - " &amp; 'Teachers sched'!E104,
    'Teachers sched'!E104
  )
)
</f>
        <v/>
      </c>
      <c r="F104" s="390" t="str">
        <f t="array" ref="F104">IF('Teachers sched'!F104="", "", 
  IFERROR(
    VLOOKUP(
      'Teachers sched'!$A104 &amp; "|" &amp; 
      LEFT('Teachers sched'!F104, FIND("-", 'Teachers sched'!F104) - 1),
      {
        SALONES!$A:$A &amp; "|" &amp; SALONES!$B:$B,
        SALONES!$C:$C
      },
      2,
      FALSE
    ) &amp; " - " &amp; 'Teachers sched'!F104,
    'Teachers sched'!F104
  )
)
</f>
        <v/>
      </c>
      <c r="G104" s="390" t="str">
        <f t="array" ref="G104">IF('Teachers sched'!G104="", "", 
  IFERROR(
    VLOOKUP(
      'Teachers sched'!$A104 &amp; "|" &amp; 
      LEFT('Teachers sched'!G104, FIND("-", 'Teachers sched'!G104) - 1),
      {
        SALONES!$A:$A &amp; "|" &amp; SALONES!$B:$B,
        SALONES!$C:$C
      },
      2,
      FALSE
    ) &amp; " - " &amp; 'Teachers sched'!G104,
    'Teachers sched'!G104
  )
)
</f>
        <v>900A - ISC-5</v>
      </c>
      <c r="H104" s="390" t="str">
        <f t="array" ref="H104">IF('Teachers sched'!H104="", "", 
  IFERROR(
    VLOOKUP(
      'Teachers sched'!$A104 &amp; "|" &amp; 
      LEFT('Teachers sched'!H104, FIND("-", 'Teachers sched'!H104) - 1),
      {
        SALONES!$A:$A &amp; "|" &amp; SALONES!$B:$B,
        SALONES!$C:$C
      },
      2,
      FALSE
    ) &amp; " - " &amp; 'Teachers sched'!H104,
    'Teachers sched'!H104
  )
)
</f>
        <v>900A - ISC-2</v>
      </c>
      <c r="I104" s="68"/>
      <c r="J104" s="392"/>
      <c r="K104" s="389" t="s">
        <v>22</v>
      </c>
      <c r="L104" s="389" t="s">
        <v>22</v>
      </c>
      <c r="M104" s="100">
        <v>5.0</v>
      </c>
      <c r="N104" s="390" t="s">
        <v>22</v>
      </c>
      <c r="O104" s="390" t="s">
        <v>22</v>
      </c>
      <c r="P104" s="390" t="s">
        <v>22</v>
      </c>
      <c r="Q104" s="390" t="s">
        <v>22</v>
      </c>
      <c r="R104" s="390" t="s">
        <v>22</v>
      </c>
      <c r="S104" s="68"/>
      <c r="T104" s="393"/>
    </row>
    <row r="105">
      <c r="C105" s="3"/>
      <c r="D105" s="396"/>
      <c r="E105" s="396"/>
      <c r="F105" s="396"/>
      <c r="G105" s="396"/>
      <c r="H105" s="396"/>
      <c r="N105" s="397"/>
      <c r="O105" s="397"/>
      <c r="P105" s="397"/>
      <c r="Q105" s="397"/>
      <c r="R105" s="397"/>
    </row>
    <row r="106">
      <c r="A106" s="45"/>
      <c r="B106" s="45"/>
      <c r="C106" s="386" t="s">
        <v>99</v>
      </c>
      <c r="D106" s="383"/>
      <c r="E106" s="383"/>
      <c r="F106" s="383"/>
      <c r="G106" s="383"/>
      <c r="H106" s="384"/>
      <c r="I106" s="385" t="str">
        <f>IFERROR(__xludf.DUMMYFUNCTION("if(C106="""","""", iferror(filter(Schedule!$K:$K,Schedule!$L:$L=$C106,Schedule!$K:$K=""S1""),unique(filter(Schedule!$K:$K,Schedule!$L:$L=$C106,Schedule!$K:$K=""""))))"),"")</f>
        <v/>
      </c>
      <c r="M106" s="386" t="s">
        <v>22</v>
      </c>
      <c r="N106" s="383"/>
      <c r="O106" s="383"/>
      <c r="P106" s="383"/>
      <c r="Q106" s="383"/>
      <c r="R106" s="384"/>
      <c r="S106" s="385" t="s">
        <v>22</v>
      </c>
      <c r="T106" s="112"/>
    </row>
    <row r="107">
      <c r="A107" s="116"/>
      <c r="B107" s="116"/>
      <c r="C107" s="100" t="s">
        <v>7</v>
      </c>
      <c r="D107" s="387" t="s">
        <v>8</v>
      </c>
      <c r="E107" s="387" t="s">
        <v>9</v>
      </c>
      <c r="F107" s="387" t="s">
        <v>10</v>
      </c>
      <c r="G107" s="387" t="s">
        <v>11</v>
      </c>
      <c r="H107" s="387" t="s">
        <v>12</v>
      </c>
      <c r="I107" s="21" t="s">
        <v>766</v>
      </c>
      <c r="J107" s="116"/>
      <c r="K107" s="116"/>
      <c r="L107" s="116"/>
      <c r="M107" s="100" t="s">
        <v>7</v>
      </c>
      <c r="N107" s="387" t="s">
        <v>8</v>
      </c>
      <c r="O107" s="387" t="s">
        <v>9</v>
      </c>
      <c r="P107" s="387" t="s">
        <v>10</v>
      </c>
      <c r="Q107" s="387" t="s">
        <v>11</v>
      </c>
      <c r="R107" s="387" t="s">
        <v>12</v>
      </c>
      <c r="S107" s="21" t="s">
        <v>766</v>
      </c>
      <c r="T107" s="388"/>
    </row>
    <row r="108">
      <c r="A108" s="389" t="s">
        <v>99</v>
      </c>
      <c r="B108" s="389"/>
      <c r="C108" s="100">
        <v>1.0</v>
      </c>
      <c r="D108" s="390" t="str">
        <f t="array" ref="D108">IF('Teachers sched'!D108="", "", 
  IFERROR(
    VLOOKUP(
      'Teachers sched'!$A108 &amp; "|" &amp; 
      LEFT('Teachers sched'!D108, FIND("-", 'Teachers sched'!D108) - 1),
      {
        SALONES!$A:$A &amp; "|" &amp; SALONES!$B:$B,
        SALONES!$C:$C
      },
      2,
      FALSE
    ) &amp; " - " &amp; 'Teachers sched'!D108,
    'Teachers sched'!D108
  )
)
</f>
        <v/>
      </c>
      <c r="E108" s="390" t="str">
        <f t="array" ref="E108">IF('Teachers sched'!E108="", "", 
  IFERROR(
    VLOOKUP(
      'Teachers sched'!$A108 &amp; "|" &amp; 
      LEFT('Teachers sched'!E108, FIND("-", 'Teachers sched'!E108) - 1),
      {
        SALONES!$A:$A &amp; "|" &amp; SALONES!$B:$B,
        SALONES!$C:$C
      },
      2,
      FALSE
    ) &amp; " - " &amp; 'Teachers sched'!E108,
    'Teachers sched'!E108
  )
)
</f>
        <v>930A - AP World History-2</v>
      </c>
      <c r="F108" s="390" t="str">
        <f t="array" ref="F108">IF('Teachers sched'!F108="", "", 
  IFERROR(
    VLOOKUP(
      'Teachers sched'!$A108 &amp; "|" &amp; 
      LEFT('Teachers sched'!F108, FIND("-", 'Teachers sched'!F108) - 1),
      {
        SALONES!$A:$A &amp; "|" &amp; SALONES!$B:$B,
        SALONES!$C:$C
      },
      2,
      FALSE
    ) &amp; " - " &amp; 'Teachers sched'!F108,
    'Teachers sched'!F108
  )
)
</f>
        <v/>
      </c>
      <c r="G108" s="390" t="str">
        <f t="array" ref="G108">IF('Teachers sched'!G108="", "", 
  IFERROR(
    VLOOKUP(
      'Teachers sched'!$A108 &amp; "|" &amp; 
      LEFT('Teachers sched'!G108, FIND("-", 'Teachers sched'!G108) - 1),
      {
        SALONES!$A:$A &amp; "|" &amp; SALONES!$B:$B,
        SALONES!$C:$C
      },
      2,
      FALSE
    ) &amp; " - " &amp; 'Teachers sched'!G108,
    'Teachers sched'!G108
  )
)
</f>
        <v/>
      </c>
      <c r="H108" s="390" t="str">
        <f t="array" ref="H108">IF('Teachers sched'!H108="", "", 
  IFERROR(
    VLOOKUP(
      'Teachers sched'!$A108 &amp; "|" &amp; 
      LEFT('Teachers sched'!H108, FIND("-", 'Teachers sched'!H108) - 1),
      {
        SALONES!$A:$A &amp; "|" &amp; SALONES!$B:$B,
        SALONES!$C:$C
      },
      2,
      FALSE
    ) &amp; " - " &amp; 'Teachers sched'!H108,
    'Teachers sched'!H108
  )
)
</f>
        <v>930A - AP World History-1</v>
      </c>
      <c r="I108" s="391">
        <f>if(C106="","", 24-countifs(D108:H112,""))</f>
        <v>15</v>
      </c>
      <c r="J108" s="392"/>
      <c r="K108" s="389" t="s">
        <v>22</v>
      </c>
      <c r="L108" s="389" t="s">
        <v>22</v>
      </c>
      <c r="M108" s="100">
        <v>1.0</v>
      </c>
      <c r="N108" s="390" t="s">
        <v>22</v>
      </c>
      <c r="O108" s="390" t="s">
        <v>22</v>
      </c>
      <c r="P108" s="390" t="s">
        <v>22</v>
      </c>
      <c r="Q108" s="390" t="s">
        <v>22</v>
      </c>
      <c r="R108" s="390" t="s">
        <v>22</v>
      </c>
      <c r="S108" s="391" t="s">
        <v>22</v>
      </c>
      <c r="T108" s="393"/>
    </row>
    <row r="109">
      <c r="A109" s="389" t="s">
        <v>99</v>
      </c>
      <c r="B109" s="389"/>
      <c r="C109" s="100">
        <v>2.0</v>
      </c>
      <c r="D109" s="390" t="str">
        <f t="array" ref="D109">IF('Teachers sched'!D109="", "", 
  IFERROR(
    VLOOKUP(
      'Teachers sched'!$A109 &amp; "|" &amp; 
      LEFT('Teachers sched'!D109, FIND("-", 'Teachers sched'!D109) - 1),
      {
        SALONES!$A:$A &amp; "|" &amp; SALONES!$B:$B,
        SALONES!$C:$C
      },
      2,
      FALSE
    ) &amp; " - " &amp; 'Teachers sched'!D109,
    'Teachers sched'!D109
  )
)
</f>
        <v>930A - Global-1</v>
      </c>
      <c r="E109" s="390" t="str">
        <f t="array" ref="E109">IF('Teachers sched'!E109="", "", 
  IFERROR(
    VLOOKUP(
      'Teachers sched'!$A109 &amp; "|" &amp; 
      LEFT('Teachers sched'!E109, FIND("-", 'Teachers sched'!E109) - 1),
      {
        SALONES!$A:$A &amp; "|" &amp; SALONES!$B:$B,
        SALONES!$C:$C
      },
      2,
      FALSE
    ) &amp; " - " &amp; 'Teachers sched'!E109,
    'Teachers sched'!E109
  )
)
</f>
        <v>930A - Global-3</v>
      </c>
      <c r="F109" s="390" t="str">
        <f t="array" ref="F109">IF('Teachers sched'!F109="", "", 
  IFERROR(
    VLOOKUP(
      'Teachers sched'!$A109 &amp; "|" &amp; 
      LEFT('Teachers sched'!F109, FIND("-", 'Teachers sched'!F109) - 1),
      {
        SALONES!$A:$A &amp; "|" &amp; SALONES!$B:$B,
        SALONES!$C:$C
      },
      2,
      FALSE
    ) &amp; " - " &amp; 'Teachers sched'!F109,
    'Teachers sched'!F109
  )
)
</f>
        <v>930A - Global-2</v>
      </c>
      <c r="G109" s="390" t="str">
        <f t="array" ref="G109">IF('Teachers sched'!G109="", "", 
  IFERROR(
    VLOOKUP(
      'Teachers sched'!$A109 &amp; "|" &amp; 
      LEFT('Teachers sched'!G109, FIND("-", 'Teachers sched'!G109) - 1),
      {
        SALONES!$A:$A &amp; "|" &amp; SALONES!$B:$B,
        SALONES!$C:$C
      },
      2,
      FALSE
    ) &amp; " - " &amp; 'Teachers sched'!G109,
    'Teachers sched'!G109
  )
)
</f>
        <v/>
      </c>
      <c r="H109" s="390" t="str">
        <f t="array" ref="H109">IF('Teachers sched'!H109="", "", 
  IFERROR(
    VLOOKUP(
      'Teachers sched'!$A109 &amp; "|" &amp; 
      LEFT('Teachers sched'!H109, FIND("-", 'Teachers sched'!H109) - 1),
      {
        SALONES!$A:$A &amp; "|" &amp; SALONES!$B:$B,
        SALONES!$C:$C
      },
      2,
      FALSE
    ) &amp; " - " &amp; 'Teachers sched'!H109,
    'Teachers sched'!H109
  )
)
</f>
        <v>930A - AP World History-2</v>
      </c>
      <c r="I109" s="53"/>
      <c r="J109" s="392"/>
      <c r="K109" s="389" t="s">
        <v>22</v>
      </c>
      <c r="L109" s="389" t="s">
        <v>22</v>
      </c>
      <c r="M109" s="100">
        <v>2.0</v>
      </c>
      <c r="N109" s="390" t="s">
        <v>22</v>
      </c>
      <c r="O109" s="390" t="s">
        <v>22</v>
      </c>
      <c r="P109" s="390" t="s">
        <v>22</v>
      </c>
      <c r="Q109" s="390" t="s">
        <v>22</v>
      </c>
      <c r="R109" s="390" t="s">
        <v>22</v>
      </c>
      <c r="S109" s="53"/>
      <c r="T109" s="393"/>
    </row>
    <row r="110">
      <c r="A110" s="389" t="s">
        <v>99</v>
      </c>
      <c r="B110" s="389"/>
      <c r="C110" s="100">
        <v>3.0</v>
      </c>
      <c r="D110" s="390" t="str">
        <f t="array" ref="D110">IF('Teachers sched'!D110="", "", 
  IFERROR(
    VLOOKUP(
      'Teachers sched'!$A110 &amp; "|" &amp; 
      LEFT('Teachers sched'!D110, FIND("-", 'Teachers sched'!D110) - 1),
      {
        SALONES!$A:$A &amp; "|" &amp; SALONES!$B:$B,
        SALONES!$C:$C
      },
      2,
      FALSE
    ) &amp; " - " &amp; 'Teachers sched'!D110,
    'Teachers sched'!D110
  )
)
</f>
        <v/>
      </c>
      <c r="E110" s="390" t="str">
        <f t="array" ref="E110">IF('Teachers sched'!E110="", "", 
  IFERROR(
    VLOOKUP(
      'Teachers sched'!$A110 &amp; "|" &amp; 
      LEFT('Teachers sched'!E110, FIND("-", 'Teachers sched'!E110) - 1),
      {
        SALONES!$A:$A &amp; "|" &amp; SALONES!$B:$B,
        SALONES!$C:$C
      },
      2,
      FALSE
    ) &amp; " - " &amp; 'Teachers sched'!E110,
    'Teachers sched'!E110
  )
)
</f>
        <v/>
      </c>
      <c r="F110" s="390" t="str">
        <f t="array" ref="F110">IF('Teachers sched'!F110="", "", 
  IFERROR(
    VLOOKUP(
      'Teachers sched'!$A110 &amp; "|" &amp; 
      LEFT('Teachers sched'!F110, FIND("-", 'Teachers sched'!F110) - 1),
      {
        SALONES!$A:$A &amp; "|" &amp; SALONES!$B:$B,
        SALONES!$C:$C
      },
      2,
      FALSE
    ) &amp; " - " &amp; 'Teachers sched'!F110,
    'Teachers sched'!F110
  )
)
</f>
        <v>930A - AP World History-1</v>
      </c>
      <c r="G110" s="390" t="str">
        <f t="array" ref="G110">IF('Teachers sched'!G110="", "", 
  IFERROR(
    VLOOKUP(
      'Teachers sched'!$A110 &amp; "|" &amp; 
      LEFT('Teachers sched'!G110, FIND("-", 'Teachers sched'!G110) - 1),
      {
        SALONES!$A:$A &amp; "|" &amp; SALONES!$B:$B,
        SALONES!$C:$C
      },
      2,
      FALSE
    ) &amp; " - " &amp; 'Teachers sched'!G110,
    'Teachers sched'!G110
  )
)
</f>
        <v>930A - Global-1</v>
      </c>
      <c r="H110" s="395" t="str">
        <f t="array" ref="H110">IF('Teachers sched'!H110="", "", 
  IFERROR(
    VLOOKUP(
      'Teachers sched'!$A110 &amp; "|" &amp; 
      LEFT('Teachers sched'!H110, FIND("-", 'Teachers sched'!H110) - 1),
      {
        SALONES!$A:$A &amp; "|" &amp; SALONES!$B:$B,
        SALONES!$C:$C
      },
      2,
      FALSE
    ) &amp; " - " &amp; 'Teachers sched'!H110,
    'Teachers sched'!H110
  )
)
</f>
        <v>X-Block</v>
      </c>
      <c r="I110" s="53"/>
      <c r="J110" s="392"/>
      <c r="K110" s="389" t="s">
        <v>22</v>
      </c>
      <c r="L110" s="389" t="s">
        <v>22</v>
      </c>
      <c r="M110" s="100">
        <v>3.0</v>
      </c>
      <c r="N110" s="390" t="s">
        <v>22</v>
      </c>
      <c r="O110" s="390" t="s">
        <v>22</v>
      </c>
      <c r="P110" s="390" t="s">
        <v>22</v>
      </c>
      <c r="Q110" s="390" t="s">
        <v>22</v>
      </c>
      <c r="R110" s="395" t="s">
        <v>22</v>
      </c>
      <c r="S110" s="53"/>
      <c r="T110" s="393"/>
    </row>
    <row r="111">
      <c r="A111" s="389" t="s">
        <v>99</v>
      </c>
      <c r="B111" s="389"/>
      <c r="C111" s="100">
        <v>4.0</v>
      </c>
      <c r="D111" s="390" t="str">
        <f t="array" ref="D111">IF('Teachers sched'!D111="", "", 
  IFERROR(
    VLOOKUP(
      'Teachers sched'!$A111 &amp; "|" &amp; 
      LEFT('Teachers sched'!D111, FIND("-", 'Teachers sched'!D111) - 1),
      {
        SALONES!$A:$A &amp; "|" &amp; SALONES!$B:$B,
        SALONES!$C:$C
      },
      2,
      FALSE
    ) &amp; " - " &amp; 'Teachers sched'!D111,
    'Teachers sched'!D111
  )
)
</f>
        <v>930A - Global-2</v>
      </c>
      <c r="E111" s="390" t="str">
        <f t="array" ref="E111">IF('Teachers sched'!E111="", "", 
  IFERROR(
    VLOOKUP(
      'Teachers sched'!$A111 &amp; "|" &amp; 
      LEFT('Teachers sched'!E111, FIND("-", 'Teachers sched'!E111) - 1),
      {
        SALONES!$A:$A &amp; "|" &amp; SALONES!$B:$B,
        SALONES!$C:$C
      },
      2,
      FALSE
    ) &amp; " - " &amp; 'Teachers sched'!E111,
    'Teachers sched'!E111
  )
)
</f>
        <v/>
      </c>
      <c r="F111" s="390" t="str">
        <f t="array" ref="F111">IF('Teachers sched'!F111="", "", 
  IFERROR(
    VLOOKUP(
      'Teachers sched'!$A111 &amp; "|" &amp; 
      LEFT('Teachers sched'!F111, FIND("-", 'Teachers sched'!F111) - 1),
      {
        SALONES!$A:$A &amp; "|" &amp; SALONES!$B:$B,
        SALONES!$C:$C
      },
      2,
      FALSE
    ) &amp; " - " &amp; 'Teachers sched'!F111,
    'Teachers sched'!F111
  )
)
</f>
        <v>930A - AP World History-2</v>
      </c>
      <c r="G111" s="390" t="str">
        <f t="array" ref="G111">IF('Teachers sched'!G111="", "", 
  IFERROR(
    VLOOKUP(
      'Teachers sched'!$A111 &amp; "|" &amp; 
      LEFT('Teachers sched'!G111, FIND("-", 'Teachers sched'!G111) - 1),
      {
        SALONES!$A:$A &amp; "|" &amp; SALONES!$B:$B,
        SALONES!$C:$C
      },
      2,
      FALSE
    ) &amp; " - " &amp; 'Teachers sched'!G111,
    'Teachers sched'!G111
  )
)
</f>
        <v/>
      </c>
      <c r="H111" s="390" t="str">
        <f t="array" ref="H111">IF('Teachers sched'!H111="", "", 
  IFERROR(
    VLOOKUP(
      'Teachers sched'!$A111 &amp; "|" &amp; 
      LEFT('Teachers sched'!H111, FIND("-", 'Teachers sched'!H111) - 1),
      {
        SALONES!$A:$A &amp; "|" &amp; SALONES!$B:$B,
        SALONES!$C:$C
      },
      2,
      FALSE
    ) &amp; " - " &amp; 'Teachers sched'!H111,
    'Teachers sched'!H111
  )
)
</f>
        <v>930A - Global-3</v>
      </c>
      <c r="I111" s="53"/>
      <c r="J111" s="392"/>
      <c r="K111" s="389" t="s">
        <v>22</v>
      </c>
      <c r="L111" s="389" t="s">
        <v>22</v>
      </c>
      <c r="M111" s="100">
        <v>4.0</v>
      </c>
      <c r="N111" s="390" t="s">
        <v>22</v>
      </c>
      <c r="O111" s="390" t="s">
        <v>22</v>
      </c>
      <c r="P111" s="390" t="s">
        <v>22</v>
      </c>
      <c r="Q111" s="390" t="s">
        <v>22</v>
      </c>
      <c r="R111" s="390" t="s">
        <v>22</v>
      </c>
      <c r="S111" s="53"/>
      <c r="T111" s="393"/>
    </row>
    <row r="112">
      <c r="A112" s="389" t="s">
        <v>99</v>
      </c>
      <c r="B112" s="389"/>
      <c r="C112" s="100">
        <v>5.0</v>
      </c>
      <c r="D112" s="390" t="str">
        <f t="array" ref="D112">IF('Teachers sched'!D112="", "", 
  IFERROR(
    VLOOKUP(
      'Teachers sched'!$A112 &amp; "|" &amp; 
      LEFT('Teachers sched'!D112, FIND("-", 'Teachers sched'!D112) - 1),
      {
        SALONES!$A:$A &amp; "|" &amp; SALONES!$B:$B,
        SALONES!$C:$C
      },
      2,
      FALSE
    ) &amp; " - " &amp; 'Teachers sched'!D112,
    'Teachers sched'!D112
  )
)
</f>
        <v>930A - AP World History-1</v>
      </c>
      <c r="E112" s="390" t="str">
        <f t="array" ref="E112">IF('Teachers sched'!E112="", "", 
  IFERROR(
    VLOOKUP(
      'Teachers sched'!$A112 &amp; "|" &amp; 
      LEFT('Teachers sched'!E112, FIND("-", 'Teachers sched'!E112) - 1),
      {
        SALONES!$A:$A &amp; "|" &amp; SALONES!$B:$B,
        SALONES!$C:$C
      },
      2,
      FALSE
    ) &amp; " - " &amp; 'Teachers sched'!E112,
    'Teachers sched'!E112
  )
)
</f>
        <v>930A - Global-1</v>
      </c>
      <c r="F112" s="390" t="str">
        <f t="array" ref="F112">IF('Teachers sched'!F112="", "", 
  IFERROR(
    VLOOKUP(
      'Teachers sched'!$A112 &amp; "|" &amp; 
      LEFT('Teachers sched'!F112, FIND("-", 'Teachers sched'!F112) - 1),
      {
        SALONES!$A:$A &amp; "|" &amp; SALONES!$B:$B,
        SALONES!$C:$C
      },
      2,
      FALSE
    ) &amp; " - " &amp; 'Teachers sched'!F112,
    'Teachers sched'!F112
  )
)
</f>
        <v>930A - Global-3</v>
      </c>
      <c r="G112" s="390" t="str">
        <f t="array" ref="G112">IF('Teachers sched'!G112="", "", 
  IFERROR(
    VLOOKUP(
      'Teachers sched'!$A112 &amp; "|" &amp; 
      LEFT('Teachers sched'!G112, FIND("-", 'Teachers sched'!G112) - 1),
      {
        SALONES!$A:$A &amp; "|" &amp; SALONES!$B:$B,
        SALONES!$C:$C
      },
      2,
      FALSE
    ) &amp; " - " &amp; 'Teachers sched'!G112,
    'Teachers sched'!G112
  )
)
</f>
        <v>930A - Global-2</v>
      </c>
      <c r="H112" s="390" t="str">
        <f t="array" ref="H112">IF('Teachers sched'!H112="", "", 
  IFERROR(
    VLOOKUP(
      'Teachers sched'!$A112 &amp; "|" &amp; 
      LEFT('Teachers sched'!H112, FIND("-", 'Teachers sched'!H112) - 1),
      {
        SALONES!$A:$A &amp; "|" &amp; SALONES!$B:$B,
        SALONES!$C:$C
      },
      2,
      FALSE
    ) &amp; " - " &amp; 'Teachers sched'!H112,
    'Teachers sched'!H112
  )
)
</f>
        <v/>
      </c>
      <c r="I112" s="68"/>
      <c r="J112" s="392"/>
      <c r="K112" s="389" t="s">
        <v>22</v>
      </c>
      <c r="L112" s="389" t="s">
        <v>22</v>
      </c>
      <c r="M112" s="100">
        <v>5.0</v>
      </c>
      <c r="N112" s="390" t="s">
        <v>22</v>
      </c>
      <c r="O112" s="390" t="s">
        <v>22</v>
      </c>
      <c r="P112" s="390" t="s">
        <v>22</v>
      </c>
      <c r="Q112" s="390" t="s">
        <v>22</v>
      </c>
      <c r="R112" s="390" t="s">
        <v>22</v>
      </c>
      <c r="S112" s="68"/>
      <c r="T112" s="393"/>
    </row>
    <row r="113">
      <c r="C113" s="3"/>
      <c r="D113" s="396"/>
      <c r="E113" s="396"/>
      <c r="F113" s="396"/>
      <c r="G113" s="396"/>
      <c r="H113" s="396"/>
      <c r="N113" s="397"/>
      <c r="O113" s="397"/>
      <c r="P113" s="397"/>
      <c r="Q113" s="397"/>
      <c r="R113" s="397"/>
    </row>
    <row r="114">
      <c r="A114" s="45"/>
      <c r="B114" s="45"/>
      <c r="C114" s="386" t="s">
        <v>125</v>
      </c>
      <c r="D114" s="383"/>
      <c r="E114" s="383"/>
      <c r="F114" s="383"/>
      <c r="G114" s="383"/>
      <c r="H114" s="384"/>
      <c r="I114" s="385" t="str">
        <f>IFERROR(__xludf.DUMMYFUNCTION("if(C114="""","""", iferror(filter(Schedule!$K:$K,Schedule!$L:$L=$C114,Schedule!$K:$K=""S1""),unique(filter(Schedule!$K:$K,Schedule!$L:$L=$C114,Schedule!$K:$K=""""))))"),"")</f>
        <v/>
      </c>
      <c r="M114" s="386" t="s">
        <v>22</v>
      </c>
      <c r="N114" s="383"/>
      <c r="O114" s="383"/>
      <c r="P114" s="383"/>
      <c r="Q114" s="383"/>
      <c r="R114" s="384"/>
      <c r="S114" s="385" t="s">
        <v>22</v>
      </c>
      <c r="T114" s="112"/>
    </row>
    <row r="115">
      <c r="A115" s="116"/>
      <c r="B115" s="116"/>
      <c r="C115" s="100" t="s">
        <v>7</v>
      </c>
      <c r="D115" s="387" t="s">
        <v>8</v>
      </c>
      <c r="E115" s="387" t="s">
        <v>9</v>
      </c>
      <c r="F115" s="387" t="s">
        <v>10</v>
      </c>
      <c r="G115" s="387" t="s">
        <v>11</v>
      </c>
      <c r="H115" s="387" t="s">
        <v>12</v>
      </c>
      <c r="I115" s="21" t="s">
        <v>766</v>
      </c>
      <c r="J115" s="116"/>
      <c r="K115" s="116"/>
      <c r="L115" s="116"/>
      <c r="M115" s="100" t="s">
        <v>7</v>
      </c>
      <c r="N115" s="387" t="s">
        <v>8</v>
      </c>
      <c r="O115" s="387" t="s">
        <v>9</v>
      </c>
      <c r="P115" s="387" t="s">
        <v>10</v>
      </c>
      <c r="Q115" s="387" t="s">
        <v>11</v>
      </c>
      <c r="R115" s="387" t="s">
        <v>12</v>
      </c>
      <c r="S115" s="21" t="s">
        <v>766</v>
      </c>
      <c r="T115" s="388"/>
    </row>
    <row r="116">
      <c r="A116" s="389" t="s">
        <v>125</v>
      </c>
      <c r="B116" s="389" t="s">
        <v>22</v>
      </c>
      <c r="C116" s="100">
        <v>1.0</v>
      </c>
      <c r="D116" s="390" t="str">
        <f t="array" ref="D116">IF('Teachers sched'!D116="", "", 
  IFERROR(
    VLOOKUP(
      'Teachers sched'!$A116 &amp; "|" &amp; 
      LEFT('Teachers sched'!D116, FIND("-", 'Teachers sched'!D116) - 1),
      {
        SALONES!$A:$A &amp; "|" &amp; SALONES!$B:$B,
        SALONES!$C:$C
      },
      2,
      FALSE
    ) &amp; " - " &amp; 'Teachers sched'!D116,
    'Teachers sched'!D116
  )
)
</f>
        <v>904 - AP Research-1</v>
      </c>
      <c r="E116" s="390" t="str">
        <f t="array" ref="E116">IF('Teachers sched'!E116="", "", 
  IFERROR(
    VLOOKUP(
      'Teachers sched'!$A116 &amp; "|" &amp; 
      LEFT('Teachers sched'!E116, FIND("-", 'Teachers sched'!E116) - 1),
      {
        SALONES!$A:$A &amp; "|" &amp; SALONES!$B:$B,
        SALONES!$C:$C
      },
      2,
      FALSE
    ) &amp; " - " &amp; 'Teachers sched'!E116,
    'Teachers sched'!E116
  )
)
</f>
        <v/>
      </c>
      <c r="F116" s="390" t="str">
        <f t="array" ref="F116">IF('Teachers sched'!F116="", "", 
  IFERROR(
    VLOOKUP(
      'Teachers sched'!$A116 &amp; "|" &amp; 
      LEFT('Teachers sched'!F116, FIND("-", 'Teachers sched'!F116) - 1),
      {
        SALONES!$A:$A &amp; "|" &amp; SALONES!$B:$B,
        SALONES!$C:$C
      },
      2,
      FALSE
    ) &amp; " - " &amp; 'Teachers sched'!F116,
    'Teachers sched'!F116
  )
)
</f>
        <v/>
      </c>
      <c r="G116" s="390" t="str">
        <f t="array" ref="G116">IF('Teachers sched'!G116="", "", 
  IFERROR(
    VLOOKUP(
      'Teachers sched'!$A116 &amp; "|" &amp; 
      LEFT('Teachers sched'!G116, FIND("-", 'Teachers sched'!G116) - 1),
      {
        SALONES!$A:$A &amp; "|" &amp; SALONES!$B:$B,
        SALONES!$C:$C
      },
      2,
      FALSE
    ) &amp; " - " &amp; 'Teachers sched'!G116,
    'Teachers sched'!G116
  )
)
</f>
        <v/>
      </c>
      <c r="H116" s="390" t="str">
        <f t="array" ref="H116">IF('Teachers sched'!H116="", "", 
  IFERROR(
    VLOOKUP(
      'Teachers sched'!$A116 &amp; "|" &amp; 
      LEFT('Teachers sched'!H116, FIND("-", 'Teachers sched'!H116) - 1),
      {
        SALONES!$A:$A &amp; "|" &amp; SALONES!$B:$B,
        SALONES!$C:$C
      },
      2,
      FALSE
    ) &amp; " - " &amp; 'Teachers sched'!H116,
    'Teachers sched'!H116
  )
)
</f>
        <v/>
      </c>
      <c r="I116" s="391">
        <f>if(C114="","", 24-countifs(D116:H120,""))</f>
        <v>3</v>
      </c>
      <c r="J116" s="392"/>
      <c r="K116" s="389" t="s">
        <v>22</v>
      </c>
      <c r="L116" s="389" t="s">
        <v>22</v>
      </c>
      <c r="M116" s="100">
        <v>1.0</v>
      </c>
      <c r="N116" s="390" t="s">
        <v>22</v>
      </c>
      <c r="O116" s="390" t="s">
        <v>22</v>
      </c>
      <c r="P116" s="390" t="s">
        <v>22</v>
      </c>
      <c r="Q116" s="390" t="s">
        <v>22</v>
      </c>
      <c r="R116" s="390" t="s">
        <v>22</v>
      </c>
      <c r="S116" s="391" t="s">
        <v>22</v>
      </c>
      <c r="T116" s="393"/>
    </row>
    <row r="117">
      <c r="A117" s="389" t="s">
        <v>125</v>
      </c>
      <c r="B117" s="389" t="s">
        <v>22</v>
      </c>
      <c r="C117" s="100">
        <v>2.0</v>
      </c>
      <c r="D117" s="390" t="str">
        <f t="array" ref="D117">IF('Teachers sched'!D117="", "", 
  IFERROR(
    VLOOKUP(
      'Teachers sched'!$A117 &amp; "|" &amp; 
      LEFT('Teachers sched'!D117, FIND("-", 'Teachers sched'!D117) - 1),
      {
        SALONES!$A:$A &amp; "|" &amp; SALONES!$B:$B,
        SALONES!$C:$C
      },
      2,
      FALSE
    ) &amp; " - " &amp; 'Teachers sched'!D117,
    'Teachers sched'!D117
  )
)
</f>
        <v/>
      </c>
      <c r="E117" s="390" t="str">
        <f t="array" ref="E117">IF('Teachers sched'!E117="", "", 
  IFERROR(
    VLOOKUP(
      'Teachers sched'!$A117 &amp; "|" &amp; 
      LEFT('Teachers sched'!E117, FIND("-", 'Teachers sched'!E117) - 1),
      {
        SALONES!$A:$A &amp; "|" &amp; SALONES!$B:$B,
        SALONES!$C:$C
      },
      2,
      FALSE
    ) &amp; " - " &amp; 'Teachers sched'!E117,
    'Teachers sched'!E117
  )
)
</f>
        <v/>
      </c>
      <c r="F117" s="390" t="str">
        <f t="array" ref="F117">IF('Teachers sched'!F117="", "", 
  IFERROR(
    VLOOKUP(
      'Teachers sched'!$A117 &amp; "|" &amp; 
      LEFT('Teachers sched'!F117, FIND("-", 'Teachers sched'!F117) - 1),
      {
        SALONES!$A:$A &amp; "|" &amp; SALONES!$B:$B,
        SALONES!$C:$C
      },
      2,
      FALSE
    ) &amp; " - " &amp; 'Teachers sched'!F117,
    'Teachers sched'!F117
  )
)
</f>
        <v/>
      </c>
      <c r="G117" s="390" t="str">
        <f t="array" ref="G117">IF('Teachers sched'!G117="", "", 
  IFERROR(
    VLOOKUP(
      'Teachers sched'!$A117 &amp; "|" &amp; 
      LEFT('Teachers sched'!G117, FIND("-", 'Teachers sched'!G117) - 1),
      {
        SALONES!$A:$A &amp; "|" &amp; SALONES!$B:$B,
        SALONES!$C:$C
      },
      2,
      FALSE
    ) &amp; " - " &amp; 'Teachers sched'!G117,
    'Teachers sched'!G117
  )
)
</f>
        <v>904 - AP Research-1</v>
      </c>
      <c r="H117" s="390" t="str">
        <f t="array" ref="H117">IF('Teachers sched'!H117="", "", 
  IFERROR(
    VLOOKUP(
      'Teachers sched'!$A117 &amp; "|" &amp; 
      LEFT('Teachers sched'!H117, FIND("-", 'Teachers sched'!H117) - 1),
      {
        SALONES!$A:$A &amp; "|" &amp; SALONES!$B:$B,
        SALONES!$C:$C
      },
      2,
      FALSE
    ) &amp; " - " &amp; 'Teachers sched'!H117,
    'Teachers sched'!H117
  )
)
</f>
        <v/>
      </c>
      <c r="I117" s="53"/>
      <c r="J117" s="392"/>
      <c r="K117" s="389" t="s">
        <v>22</v>
      </c>
      <c r="L117" s="389" t="s">
        <v>22</v>
      </c>
      <c r="M117" s="100">
        <v>2.0</v>
      </c>
      <c r="N117" s="390" t="s">
        <v>22</v>
      </c>
      <c r="O117" s="390" t="s">
        <v>22</v>
      </c>
      <c r="P117" s="390" t="s">
        <v>22</v>
      </c>
      <c r="Q117" s="390" t="s">
        <v>22</v>
      </c>
      <c r="R117" s="390" t="s">
        <v>22</v>
      </c>
      <c r="S117" s="53"/>
      <c r="T117" s="393"/>
    </row>
    <row r="118">
      <c r="A118" s="389" t="s">
        <v>125</v>
      </c>
      <c r="B118" s="389" t="s">
        <v>22</v>
      </c>
      <c r="C118" s="100">
        <v>3.0</v>
      </c>
      <c r="D118" s="390" t="str">
        <f t="array" ref="D118">IF('Teachers sched'!D118="", "", 
  IFERROR(
    VLOOKUP(
      'Teachers sched'!$A118 &amp; "|" &amp; 
      LEFT('Teachers sched'!D118, FIND("-", 'Teachers sched'!D118) - 1),
      {
        SALONES!$A:$A &amp; "|" &amp; SALONES!$B:$B,
        SALONES!$C:$C
      },
      2,
      FALSE
    ) &amp; " - " &amp; 'Teachers sched'!D118,
    'Teachers sched'!D118
  )
)
</f>
        <v/>
      </c>
      <c r="E118" s="390" t="str">
        <f t="array" ref="E118">IF('Teachers sched'!E118="", "", 
  IFERROR(
    VLOOKUP(
      'Teachers sched'!$A118 &amp; "|" &amp; 
      LEFT('Teachers sched'!E118, FIND("-", 'Teachers sched'!E118) - 1),
      {
        SALONES!$A:$A &amp; "|" &amp; SALONES!$B:$B,
        SALONES!$C:$C
      },
      2,
      FALSE
    ) &amp; " - " &amp; 'Teachers sched'!E118,
    'Teachers sched'!E118
  )
)
</f>
        <v/>
      </c>
      <c r="F118" s="390" t="str">
        <f t="array" ref="F118">IF('Teachers sched'!F118="", "", 
  IFERROR(
    VLOOKUP(
      'Teachers sched'!$A118 &amp; "|" &amp; 
      LEFT('Teachers sched'!F118, FIND("-", 'Teachers sched'!F118) - 1),
      {
        SALONES!$A:$A &amp; "|" &amp; SALONES!$B:$B,
        SALONES!$C:$C
      },
      2,
      FALSE
    ) &amp; " - " &amp; 'Teachers sched'!F118,
    'Teachers sched'!F118
  )
)
</f>
        <v/>
      </c>
      <c r="G118" s="390" t="str">
        <f t="array" ref="G118">IF('Teachers sched'!G118="", "", 
  IFERROR(
    VLOOKUP(
      'Teachers sched'!$A118 &amp; "|" &amp; 
      LEFT('Teachers sched'!G118, FIND("-", 'Teachers sched'!G118) - 1),
      {
        SALONES!$A:$A &amp; "|" &amp; SALONES!$B:$B,
        SALONES!$C:$C
      },
      2,
      FALSE
    ) &amp; " - " &amp; 'Teachers sched'!G118,
    'Teachers sched'!G118
  )
)
</f>
        <v/>
      </c>
      <c r="H118" s="395" t="str">
        <f t="array" ref="H118">IF('Teachers sched'!H118="", "", 
  IFERROR(
    VLOOKUP(
      'Teachers sched'!$A118 &amp; "|" &amp; 
      LEFT('Teachers sched'!H118, FIND("-", 'Teachers sched'!H118) - 1),
      {
        SALONES!$A:$A &amp; "|" &amp; SALONES!$B:$B,
        SALONES!$C:$C
      },
      2,
      FALSE
    ) &amp; " - " &amp; 'Teachers sched'!H118,
    'Teachers sched'!H118
  )
)
</f>
        <v>X-Block</v>
      </c>
      <c r="I118" s="53"/>
      <c r="J118" s="392"/>
      <c r="K118" s="389" t="s">
        <v>22</v>
      </c>
      <c r="L118" s="389" t="s">
        <v>22</v>
      </c>
      <c r="M118" s="100">
        <v>3.0</v>
      </c>
      <c r="N118" s="390" t="s">
        <v>22</v>
      </c>
      <c r="O118" s="390" t="s">
        <v>22</v>
      </c>
      <c r="P118" s="390" t="s">
        <v>22</v>
      </c>
      <c r="Q118" s="390" t="s">
        <v>22</v>
      </c>
      <c r="R118" s="395" t="s">
        <v>22</v>
      </c>
      <c r="S118" s="53"/>
      <c r="T118" s="393"/>
    </row>
    <row r="119">
      <c r="A119" s="389" t="s">
        <v>125</v>
      </c>
      <c r="B119" s="389" t="s">
        <v>22</v>
      </c>
      <c r="C119" s="100">
        <v>4.0</v>
      </c>
      <c r="D119" s="390" t="str">
        <f t="array" ref="D119">IF('Teachers sched'!D119="", "", 
  IFERROR(
    VLOOKUP(
      'Teachers sched'!$A119 &amp; "|" &amp; 
      LEFT('Teachers sched'!D119, FIND("-", 'Teachers sched'!D119) - 1),
      {
        SALONES!$A:$A &amp; "|" &amp; SALONES!$B:$B,
        SALONES!$C:$C
      },
      2,
      FALSE
    ) &amp; " - " &amp; 'Teachers sched'!D119,
    'Teachers sched'!D119
  )
)
</f>
        <v/>
      </c>
      <c r="E119" s="390" t="str">
        <f t="array" ref="E119">IF('Teachers sched'!E119="", "", 
  IFERROR(
    VLOOKUP(
      'Teachers sched'!$A119 &amp; "|" &amp; 
      LEFT('Teachers sched'!E119, FIND("-", 'Teachers sched'!E119) - 1),
      {
        SALONES!$A:$A &amp; "|" &amp; SALONES!$B:$B,
        SALONES!$C:$C
      },
      2,
      FALSE
    ) &amp; " - " &amp; 'Teachers sched'!E119,
    'Teachers sched'!E119
  )
)
</f>
        <v>904 - AP Research-1</v>
      </c>
      <c r="F119" s="390" t="str">
        <f t="array" ref="F119">IF('Teachers sched'!F119="", "", 
  IFERROR(
    VLOOKUP(
      'Teachers sched'!$A119 &amp; "|" &amp; 
      LEFT('Teachers sched'!F119, FIND("-", 'Teachers sched'!F119) - 1),
      {
        SALONES!$A:$A &amp; "|" &amp; SALONES!$B:$B,
        SALONES!$C:$C
      },
      2,
      FALSE
    ) &amp; " - " &amp; 'Teachers sched'!F119,
    'Teachers sched'!F119
  )
)
</f>
        <v/>
      </c>
      <c r="G119" s="390" t="str">
        <f t="array" ref="G119">IF('Teachers sched'!G119="", "", 
  IFERROR(
    VLOOKUP(
      'Teachers sched'!$A119 &amp; "|" &amp; 
      LEFT('Teachers sched'!G119, FIND("-", 'Teachers sched'!G119) - 1),
      {
        SALONES!$A:$A &amp; "|" &amp; SALONES!$B:$B,
        SALONES!$C:$C
      },
      2,
      FALSE
    ) &amp; " - " &amp; 'Teachers sched'!G119,
    'Teachers sched'!G119
  )
)
</f>
        <v/>
      </c>
      <c r="H119" s="390" t="str">
        <f t="array" ref="H119">IF('Teachers sched'!H119="", "", 
  IFERROR(
    VLOOKUP(
      'Teachers sched'!$A119 &amp; "|" &amp; 
      LEFT('Teachers sched'!H119, FIND("-", 'Teachers sched'!H119) - 1),
      {
        SALONES!$A:$A &amp; "|" &amp; SALONES!$B:$B,
        SALONES!$C:$C
      },
      2,
      FALSE
    ) &amp; " - " &amp; 'Teachers sched'!H119,
    'Teachers sched'!H119
  )
)
</f>
        <v/>
      </c>
      <c r="I119" s="53"/>
      <c r="J119" s="392"/>
      <c r="K119" s="389" t="s">
        <v>22</v>
      </c>
      <c r="L119" s="389" t="s">
        <v>22</v>
      </c>
      <c r="M119" s="100">
        <v>4.0</v>
      </c>
      <c r="N119" s="390" t="s">
        <v>22</v>
      </c>
      <c r="O119" s="390" t="s">
        <v>22</v>
      </c>
      <c r="P119" s="390" t="s">
        <v>22</v>
      </c>
      <c r="Q119" s="390" t="s">
        <v>22</v>
      </c>
      <c r="R119" s="390" t="s">
        <v>22</v>
      </c>
      <c r="S119" s="53"/>
      <c r="T119" s="393"/>
    </row>
    <row r="120">
      <c r="A120" s="389" t="s">
        <v>125</v>
      </c>
      <c r="B120" s="389" t="s">
        <v>22</v>
      </c>
      <c r="C120" s="100">
        <v>5.0</v>
      </c>
      <c r="D120" s="390" t="str">
        <f t="array" ref="D120">IF('Teachers sched'!D120="", "", 
  IFERROR(
    VLOOKUP(
      'Teachers sched'!$A120 &amp; "|" &amp; 
      LEFT('Teachers sched'!D120, FIND("-", 'Teachers sched'!D120) - 1),
      {
        SALONES!$A:$A &amp; "|" &amp; SALONES!$B:$B,
        SALONES!$C:$C
      },
      2,
      FALSE
    ) &amp; " - " &amp; 'Teachers sched'!D120,
    'Teachers sched'!D120
  )
)
</f>
        <v/>
      </c>
      <c r="E120" s="390" t="str">
        <f t="array" ref="E120">IF('Teachers sched'!E120="", "", 
  IFERROR(
    VLOOKUP(
      'Teachers sched'!$A120 &amp; "|" &amp; 
      LEFT('Teachers sched'!E120, FIND("-", 'Teachers sched'!E120) - 1),
      {
        SALONES!$A:$A &amp; "|" &amp; SALONES!$B:$B,
        SALONES!$C:$C
      },
      2,
      FALSE
    ) &amp; " - " &amp; 'Teachers sched'!E120,
    'Teachers sched'!E120
  )
)
</f>
        <v/>
      </c>
      <c r="F120" s="390" t="str">
        <f t="array" ref="F120">IF('Teachers sched'!F120="", "", 
  IFERROR(
    VLOOKUP(
      'Teachers sched'!$A120 &amp; "|" &amp; 
      LEFT('Teachers sched'!F120, FIND("-", 'Teachers sched'!F120) - 1),
      {
        SALONES!$A:$A &amp; "|" &amp; SALONES!$B:$B,
        SALONES!$C:$C
      },
      2,
      FALSE
    ) &amp; " - " &amp; 'Teachers sched'!F120,
    'Teachers sched'!F120
  )
)
</f>
        <v/>
      </c>
      <c r="G120" s="390" t="str">
        <f t="array" ref="G120">IF('Teachers sched'!G120="", "", 
  IFERROR(
    VLOOKUP(
      'Teachers sched'!$A120 &amp; "|" &amp; 
      LEFT('Teachers sched'!G120, FIND("-", 'Teachers sched'!G120) - 1),
      {
        SALONES!$A:$A &amp; "|" &amp; SALONES!$B:$B,
        SALONES!$C:$C
      },
      2,
      FALSE
    ) &amp; " - " &amp; 'Teachers sched'!G120,
    'Teachers sched'!G120
  )
)
</f>
        <v/>
      </c>
      <c r="H120" s="390" t="str">
        <f t="array" ref="H120">IF('Teachers sched'!H120="", "", 
  IFERROR(
    VLOOKUP(
      'Teachers sched'!$A120 &amp; "|" &amp; 
      LEFT('Teachers sched'!H120, FIND("-", 'Teachers sched'!H120) - 1),
      {
        SALONES!$A:$A &amp; "|" &amp; SALONES!$B:$B,
        SALONES!$C:$C
      },
      2,
      FALSE
    ) &amp; " - " &amp; 'Teachers sched'!H120,
    'Teachers sched'!H120
  )
)
</f>
        <v/>
      </c>
      <c r="I120" s="68"/>
      <c r="J120" s="392"/>
      <c r="K120" s="389" t="s">
        <v>22</v>
      </c>
      <c r="L120" s="389" t="s">
        <v>22</v>
      </c>
      <c r="M120" s="100">
        <v>5.0</v>
      </c>
      <c r="N120" s="390" t="s">
        <v>22</v>
      </c>
      <c r="O120" s="390" t="s">
        <v>22</v>
      </c>
      <c r="P120" s="390" t="s">
        <v>22</v>
      </c>
      <c r="Q120" s="390" t="s">
        <v>22</v>
      </c>
      <c r="R120" s="390" t="s">
        <v>22</v>
      </c>
      <c r="S120" s="68"/>
      <c r="T120" s="393"/>
    </row>
    <row r="121">
      <c r="C121" s="3"/>
      <c r="D121" s="396"/>
      <c r="E121" s="396"/>
      <c r="F121" s="396"/>
      <c r="G121" s="396"/>
      <c r="H121" s="396"/>
      <c r="N121" s="397"/>
      <c r="O121" s="397"/>
      <c r="P121" s="397"/>
      <c r="Q121" s="397"/>
      <c r="R121" s="397"/>
    </row>
    <row r="122">
      <c r="A122" s="45"/>
      <c r="B122" s="45"/>
      <c r="C122" s="386" t="s">
        <v>52</v>
      </c>
      <c r="D122" s="383"/>
      <c r="E122" s="383"/>
      <c r="F122" s="383"/>
      <c r="G122" s="383"/>
      <c r="H122" s="384"/>
      <c r="I122" s="385" t="str">
        <f>IFERROR(__xludf.DUMMYFUNCTION("if(C122="""","""", iferror(filter(Schedule!$K:$K,Schedule!$L:$L=$C122,Schedule!$K:$K=""S1""),unique(filter(Schedule!$K:$K,Schedule!$L:$L=$C122,Schedule!$K:$K=""""))))"),"")</f>
        <v/>
      </c>
      <c r="M122" s="386" t="s">
        <v>22</v>
      </c>
      <c r="N122" s="383"/>
      <c r="O122" s="383"/>
      <c r="P122" s="383"/>
      <c r="Q122" s="383"/>
      <c r="R122" s="384"/>
      <c r="S122" s="385" t="s">
        <v>22</v>
      </c>
      <c r="T122" s="112"/>
    </row>
    <row r="123">
      <c r="A123" s="116"/>
      <c r="B123" s="116"/>
      <c r="C123" s="100" t="s">
        <v>7</v>
      </c>
      <c r="D123" s="387" t="s">
        <v>8</v>
      </c>
      <c r="E123" s="387" t="s">
        <v>9</v>
      </c>
      <c r="F123" s="387" t="s">
        <v>10</v>
      </c>
      <c r="G123" s="387" t="s">
        <v>11</v>
      </c>
      <c r="H123" s="387" t="s">
        <v>12</v>
      </c>
      <c r="I123" s="21" t="s">
        <v>766</v>
      </c>
      <c r="J123" s="116"/>
      <c r="K123" s="116"/>
      <c r="L123" s="116"/>
      <c r="M123" s="100" t="s">
        <v>7</v>
      </c>
      <c r="N123" s="387" t="s">
        <v>8</v>
      </c>
      <c r="O123" s="387" t="s">
        <v>9</v>
      </c>
      <c r="P123" s="387" t="s">
        <v>10</v>
      </c>
      <c r="Q123" s="387" t="s">
        <v>11</v>
      </c>
      <c r="R123" s="387" t="s">
        <v>12</v>
      </c>
      <c r="S123" s="21" t="s">
        <v>766</v>
      </c>
      <c r="T123" s="388"/>
    </row>
    <row r="124">
      <c r="A124" s="389" t="s">
        <v>52</v>
      </c>
      <c r="B124" s="389" t="s">
        <v>22</v>
      </c>
      <c r="C124" s="100">
        <v>1.0</v>
      </c>
      <c r="D124" s="390" t="str">
        <f t="array" ref="D124">IF('Teachers sched'!D124="", "", 
  IFERROR(
    VLOOKUP(
      'Teachers sched'!$A124 &amp; "|" &amp; 
      LEFT('Teachers sched'!D124, FIND("-", 'Teachers sched'!D124) - 1),
      {
        SALONES!$A:$A &amp; "|" &amp; SALONES!$B:$B,
        SALONES!$C:$C
      },
      2,
      FALSE
    ) &amp; " - " &amp; 'Teachers sched'!D124,
    'Teachers sched'!D124
  )
)
</f>
        <v/>
      </c>
      <c r="E124" s="390" t="str">
        <f t="array" ref="E124">IF('Teachers sched'!E124="", "", 
  IFERROR(
    VLOOKUP(
      'Teachers sched'!$A124 &amp; "|" &amp; 
      LEFT('Teachers sched'!E124, FIND("-", 'Teachers sched'!E124) - 1),
      {
        SALONES!$A:$A &amp; "|" &amp; SALONES!$B:$B,
        SALONES!$C:$C
      },
      2,
      FALSE
    ) &amp; " - " &amp; 'Teachers sched'!E124,
    'Teachers sched'!E124
  )
)
</f>
        <v/>
      </c>
      <c r="F124" s="390" t="str">
        <f t="array" ref="F124">IF('Teachers sched'!F124="", "", 
  IFERROR(
    VLOOKUP(
      'Teachers sched'!$A124 &amp; "|" &amp; 
      LEFT('Teachers sched'!F124, FIND("-", 'Teachers sched'!F124) - 1),
      {
        SALONES!$A:$A &amp; "|" &amp; SALONES!$B:$B,
        SALONES!$C:$C
      },
      2,
      FALSE
    ) &amp; " - " &amp; 'Teachers sched'!F124,
    'Teachers sched'!F124
  )
)
</f>
        <v>922 - Spanish and Literature 12-2</v>
      </c>
      <c r="G124" s="390" t="str">
        <f t="array" ref="G124">IF('Teachers sched'!G124="", "", 
  IFERROR(
    VLOOKUP(
      'Teachers sched'!$A124 &amp; "|" &amp; 
      LEFT('Teachers sched'!G124, FIND("-", 'Teachers sched'!G124) - 1),
      {
        SALONES!$A:$A &amp; "|" &amp; SALONES!$B:$B,
        SALONES!$C:$C
      },
      2,
      FALSE
    ) &amp; " - " &amp; 'Teachers sched'!G124,
    'Teachers sched'!G124
  )
)
</f>
        <v>922 - AP Spanish Literature and Culture-1</v>
      </c>
      <c r="H124" s="390" t="str">
        <f t="array" ref="H124">IF('Teachers sched'!H124="", "", 
  IFERROR(
    VLOOKUP(
      'Teachers sched'!$A124 &amp; "|" &amp; 
      LEFT('Teachers sched'!H124, FIND("-", 'Teachers sched'!H124) - 1),
      {
        SALONES!$A:$A &amp; "|" &amp; SALONES!$B:$B,
        SALONES!$C:$C
      },
      2,
      FALSE
    ) &amp; " - " &amp; 'Teachers sched'!H124,
    'Teachers sched'!H124
  )
)
</f>
        <v>922 - Spanish and Literature 12-4</v>
      </c>
      <c r="I124" s="391">
        <f>if(C122="","", 24-countifs(D124:H128,""))</f>
        <v>15</v>
      </c>
      <c r="J124" s="392"/>
      <c r="K124" s="389" t="s">
        <v>22</v>
      </c>
      <c r="L124" s="389" t="s">
        <v>22</v>
      </c>
      <c r="M124" s="100">
        <v>1.0</v>
      </c>
      <c r="N124" s="390" t="s">
        <v>22</v>
      </c>
      <c r="O124" s="390" t="s">
        <v>22</v>
      </c>
      <c r="P124" s="390" t="s">
        <v>22</v>
      </c>
      <c r="Q124" s="390" t="s">
        <v>22</v>
      </c>
      <c r="R124" s="390" t="s">
        <v>22</v>
      </c>
      <c r="S124" s="391" t="s">
        <v>22</v>
      </c>
      <c r="T124" s="393"/>
    </row>
    <row r="125">
      <c r="A125" s="389" t="s">
        <v>52</v>
      </c>
      <c r="B125" s="389" t="s">
        <v>22</v>
      </c>
      <c r="C125" s="100">
        <v>2.0</v>
      </c>
      <c r="D125" s="390" t="str">
        <f t="array" ref="D125">IF('Teachers sched'!D125="", "", 
  IFERROR(
    VLOOKUP(
      'Teachers sched'!$A125 &amp; "|" &amp; 
      LEFT('Teachers sched'!D125, FIND("-", 'Teachers sched'!D125) - 1),
      {
        SALONES!$A:$A &amp; "|" &amp; SALONES!$B:$B,
        SALONES!$C:$C
      },
      2,
      FALSE
    ) &amp; " - " &amp; 'Teachers sched'!D125,
    'Teachers sched'!D125
  )
)
</f>
        <v>922 - Spanish and Literature 12-1</v>
      </c>
      <c r="E125" s="390" t="str">
        <f t="array" ref="E125">IF('Teachers sched'!E125="", "", 
  IFERROR(
    VLOOKUP(
      'Teachers sched'!$A125 &amp; "|" &amp; 
      LEFT('Teachers sched'!E125, FIND("-", 'Teachers sched'!E125) - 1),
      {
        SALONES!$A:$A &amp; "|" &amp; SALONES!$B:$B,
        SALONES!$C:$C
      },
      2,
      FALSE
    ) &amp; " - " &amp; 'Teachers sched'!E125,
    'Teachers sched'!E125
  )
)
</f>
        <v/>
      </c>
      <c r="F125" s="390" t="str">
        <f t="array" ref="F125">IF('Teachers sched'!F125="", "", 
  IFERROR(
    VLOOKUP(
      'Teachers sched'!$A125 &amp; "|" &amp; 
      LEFT('Teachers sched'!F125, FIND("-", 'Teachers sched'!F125) - 1),
      {
        SALONES!$A:$A &amp; "|" &amp; SALONES!$B:$B,
        SALONES!$C:$C
      },
      2,
      FALSE
    ) &amp; " - " &amp; 'Teachers sched'!F125,
    'Teachers sched'!F125
  )
)
</f>
        <v>922 - Spanish and Literature 12-3</v>
      </c>
      <c r="G125" s="390" t="str">
        <f t="array" ref="G125">IF('Teachers sched'!G125="", "", 
  IFERROR(
    VLOOKUP(
      'Teachers sched'!$A125 &amp; "|" &amp; 
      LEFT('Teachers sched'!G125, FIND("-", 'Teachers sched'!G125) - 1),
      {
        SALONES!$A:$A &amp; "|" &amp; SALONES!$B:$B,
        SALONES!$C:$C
      },
      2,
      FALSE
    ) &amp; " - " &amp; 'Teachers sched'!G125,
    'Teachers sched'!G125
  )
)
</f>
        <v/>
      </c>
      <c r="H125" s="390" t="str">
        <f t="array" ref="H125">IF('Teachers sched'!H125="", "", 
  IFERROR(
    VLOOKUP(
      'Teachers sched'!$A125 &amp; "|" &amp; 
      LEFT('Teachers sched'!H125, FIND("-", 'Teachers sched'!H125) - 1),
      {
        SALONES!$A:$A &amp; "|" &amp; SALONES!$B:$B,
        SALONES!$C:$C
      },
      2,
      FALSE
    ) &amp; " - " &amp; 'Teachers sched'!H125,
    'Teachers sched'!H125
  )
)
</f>
        <v/>
      </c>
      <c r="I125" s="53"/>
      <c r="J125" s="392"/>
      <c r="K125" s="389" t="s">
        <v>22</v>
      </c>
      <c r="L125" s="389" t="s">
        <v>22</v>
      </c>
      <c r="M125" s="100">
        <v>2.0</v>
      </c>
      <c r="N125" s="390" t="s">
        <v>22</v>
      </c>
      <c r="O125" s="390" t="s">
        <v>22</v>
      </c>
      <c r="P125" s="390" t="s">
        <v>22</v>
      </c>
      <c r="Q125" s="390" t="s">
        <v>22</v>
      </c>
      <c r="R125" s="390" t="s">
        <v>22</v>
      </c>
      <c r="S125" s="53"/>
      <c r="T125" s="393"/>
    </row>
    <row r="126">
      <c r="A126" s="389" t="s">
        <v>52</v>
      </c>
      <c r="B126" s="389" t="s">
        <v>22</v>
      </c>
      <c r="C126" s="100">
        <v>3.0</v>
      </c>
      <c r="D126" s="390" t="str">
        <f t="array" ref="D126">IF('Teachers sched'!D126="", "", 
  IFERROR(
    VLOOKUP(
      'Teachers sched'!$A126 &amp; "|" &amp; 
      LEFT('Teachers sched'!D126, FIND("-", 'Teachers sched'!D126) - 1),
      {
        SALONES!$A:$A &amp; "|" &amp; SALONES!$B:$B,
        SALONES!$C:$C
      },
      2,
      FALSE
    ) &amp; " - " &amp; 'Teachers sched'!D126,
    'Teachers sched'!D126
  )
)
</f>
        <v>922 - Spanish and Literature 12-2</v>
      </c>
      <c r="E126" s="390" t="str">
        <f t="array" ref="E126">IF('Teachers sched'!E126="", "", 
  IFERROR(
    VLOOKUP(
      'Teachers sched'!$A126 &amp; "|" &amp; 
      LEFT('Teachers sched'!E126, FIND("-", 'Teachers sched'!E126) - 1),
      {
        SALONES!$A:$A &amp; "|" &amp; SALONES!$B:$B,
        SALONES!$C:$C
      },
      2,
      FALSE
    ) &amp; " - " &amp; 'Teachers sched'!E126,
    'Teachers sched'!E126
  )
)
</f>
        <v>922 - AP Spanish Literature and Culture-1</v>
      </c>
      <c r="F126" s="390" t="str">
        <f t="array" ref="F126">IF('Teachers sched'!F126="", "", 
  IFERROR(
    VLOOKUP(
      'Teachers sched'!$A126 &amp; "|" &amp; 
      LEFT('Teachers sched'!F126, FIND("-", 'Teachers sched'!F126) - 1),
      {
        SALONES!$A:$A &amp; "|" &amp; SALONES!$B:$B,
        SALONES!$C:$C
      },
      2,
      FALSE
    ) &amp; " - " &amp; 'Teachers sched'!F126,
    'Teachers sched'!F126
  )
)
</f>
        <v>922 - Spanish and Literature 12-4</v>
      </c>
      <c r="G126" s="390" t="str">
        <f t="array" ref="G126">IF('Teachers sched'!G126="", "", 
  IFERROR(
    VLOOKUP(
      'Teachers sched'!$A126 &amp; "|" &amp; 
      LEFT('Teachers sched'!G126, FIND("-", 'Teachers sched'!G126) - 1),
      {
        SALONES!$A:$A &amp; "|" &amp; SALONES!$B:$B,
        SALONES!$C:$C
      },
      2,
      FALSE
    ) &amp; " - " &amp; 'Teachers sched'!G126,
    'Teachers sched'!G126
  )
)
</f>
        <v>922 - Spanish and Literature 12-1</v>
      </c>
      <c r="H126" s="395" t="str">
        <f t="array" ref="H126">IF('Teachers sched'!H126="", "", 
  IFERROR(
    VLOOKUP(
      'Teachers sched'!$A126 &amp; "|" &amp; 
      LEFT('Teachers sched'!H126, FIND("-", 'Teachers sched'!H126) - 1),
      {
        SALONES!$A:$A &amp; "|" &amp; SALONES!$B:$B,
        SALONES!$C:$C
      },
      2,
      FALSE
    ) &amp; " - " &amp; 'Teachers sched'!H126,
    'Teachers sched'!H126
  )
)
</f>
        <v>X-Block</v>
      </c>
      <c r="I126" s="53"/>
      <c r="J126" s="392"/>
      <c r="K126" s="389" t="s">
        <v>22</v>
      </c>
      <c r="L126" s="389" t="s">
        <v>22</v>
      </c>
      <c r="M126" s="100">
        <v>3.0</v>
      </c>
      <c r="N126" s="390" t="s">
        <v>22</v>
      </c>
      <c r="O126" s="390" t="s">
        <v>22</v>
      </c>
      <c r="P126" s="390" t="s">
        <v>22</v>
      </c>
      <c r="Q126" s="390" t="s">
        <v>22</v>
      </c>
      <c r="R126" s="395" t="s">
        <v>22</v>
      </c>
      <c r="S126" s="53"/>
      <c r="T126" s="393"/>
    </row>
    <row r="127">
      <c r="A127" s="389" t="s">
        <v>52</v>
      </c>
      <c r="B127" s="389" t="s">
        <v>22</v>
      </c>
      <c r="C127" s="100">
        <v>4.0</v>
      </c>
      <c r="D127" s="390" t="str">
        <f t="array" ref="D127">IF('Teachers sched'!D127="", "", 
  IFERROR(
    VLOOKUP(
      'Teachers sched'!$A127 &amp; "|" &amp; 
      LEFT('Teachers sched'!D127, FIND("-", 'Teachers sched'!D127) - 1),
      {
        SALONES!$A:$A &amp; "|" &amp; SALONES!$B:$B,
        SALONES!$C:$C
      },
      2,
      FALSE
    ) &amp; " - " &amp; 'Teachers sched'!D127,
    'Teachers sched'!D127
  )
)
</f>
        <v>922 - Spanish and Literature 12-3</v>
      </c>
      <c r="E127" s="390" t="str">
        <f t="array" ref="E127">IF('Teachers sched'!E127="", "", 
  IFERROR(
    VLOOKUP(
      'Teachers sched'!$A127 &amp; "|" &amp; 
      LEFT('Teachers sched'!E127, FIND("-", 'Teachers sched'!E127) - 1),
      {
        SALONES!$A:$A &amp; "|" &amp; SALONES!$B:$B,
        SALONES!$C:$C
      },
      2,
      FALSE
    ) &amp; " - " &amp; 'Teachers sched'!E127,
    'Teachers sched'!E127
  )
)
</f>
        <v/>
      </c>
      <c r="F127" s="390" t="str">
        <f t="array" ref="F127">IF('Teachers sched'!F127="", "", 
  IFERROR(
    VLOOKUP(
      'Teachers sched'!$A127 &amp; "|" &amp; 
      LEFT('Teachers sched'!F127, FIND("-", 'Teachers sched'!F127) - 1),
      {
        SALONES!$A:$A &amp; "|" &amp; SALONES!$B:$B,
        SALONES!$C:$C
      },
      2,
      FALSE
    ) &amp; " - " &amp; 'Teachers sched'!F127,
    'Teachers sched'!F127
  )
)
</f>
        <v/>
      </c>
      <c r="G127" s="390" t="str">
        <f t="array" ref="G127">IF('Teachers sched'!G127="", "", 
  IFERROR(
    VLOOKUP(
      'Teachers sched'!$A127 &amp; "|" &amp; 
      LEFT('Teachers sched'!G127, FIND("-", 'Teachers sched'!G127) - 1),
      {
        SALONES!$A:$A &amp; "|" &amp; SALONES!$B:$B,
        SALONES!$C:$C
      },
      2,
      FALSE
    ) &amp; " - " &amp; 'Teachers sched'!G127,
    'Teachers sched'!G127
  )
)
</f>
        <v>922 - Spanish and Literature 12-2</v>
      </c>
      <c r="H127" s="390" t="str">
        <f t="array" ref="H127">IF('Teachers sched'!H127="", "", 
  IFERROR(
    VLOOKUP(
      'Teachers sched'!$A127 &amp; "|" &amp; 
      LEFT('Teachers sched'!H127, FIND("-", 'Teachers sched'!H127) - 1),
      {
        SALONES!$A:$A &amp; "|" &amp; SALONES!$B:$B,
        SALONES!$C:$C
      },
      2,
      FALSE
    ) &amp; " - " &amp; 'Teachers sched'!H127,
    'Teachers sched'!H127
  )
)
</f>
        <v/>
      </c>
      <c r="I127" s="53"/>
      <c r="J127" s="392"/>
      <c r="K127" s="389" t="s">
        <v>22</v>
      </c>
      <c r="L127" s="389" t="s">
        <v>22</v>
      </c>
      <c r="M127" s="100">
        <v>4.0</v>
      </c>
      <c r="N127" s="390" t="s">
        <v>22</v>
      </c>
      <c r="O127" s="390" t="s">
        <v>22</v>
      </c>
      <c r="P127" s="390" t="s">
        <v>22</v>
      </c>
      <c r="Q127" s="390" t="s">
        <v>22</v>
      </c>
      <c r="R127" s="390" t="s">
        <v>22</v>
      </c>
      <c r="S127" s="53"/>
      <c r="T127" s="393"/>
    </row>
    <row r="128">
      <c r="A128" s="389" t="s">
        <v>52</v>
      </c>
      <c r="B128" s="389" t="s">
        <v>22</v>
      </c>
      <c r="C128" s="100">
        <v>5.0</v>
      </c>
      <c r="D128" s="390" t="str">
        <f t="array" ref="D128">IF('Teachers sched'!D128="", "", 
  IFERROR(
    VLOOKUP(
      'Teachers sched'!$A128 &amp; "|" &amp; 
      LEFT('Teachers sched'!D128, FIND("-", 'Teachers sched'!D128) - 1),
      {
        SALONES!$A:$A &amp; "|" &amp; SALONES!$B:$B,
        SALONES!$C:$C
      },
      2,
      FALSE
    ) &amp; " - " &amp; 'Teachers sched'!D128,
    'Teachers sched'!D128
  )
)
</f>
        <v>922 - Spanish and Literature 12-4</v>
      </c>
      <c r="E128" s="390" t="str">
        <f t="array" ref="E128">IF('Teachers sched'!E128="", "", 
  IFERROR(
    VLOOKUP(
      'Teachers sched'!$A128 &amp; "|" &amp; 
      LEFT('Teachers sched'!E128, FIND("-", 'Teachers sched'!E128) - 1),
      {
        SALONES!$A:$A &amp; "|" &amp; SALONES!$B:$B,
        SALONES!$C:$C
      },
      2,
      FALSE
    ) &amp; " - " &amp; 'Teachers sched'!E128,
    'Teachers sched'!E128
  )
)
</f>
        <v>922 - Spanish and Literature 12-1</v>
      </c>
      <c r="F128" s="390" t="str">
        <f t="array" ref="F128">IF('Teachers sched'!F128="", "", 
  IFERROR(
    VLOOKUP(
      'Teachers sched'!$A128 &amp; "|" &amp; 
      LEFT('Teachers sched'!F128, FIND("-", 'Teachers sched'!F128) - 1),
      {
        SALONES!$A:$A &amp; "|" &amp; SALONES!$B:$B,
        SALONES!$C:$C
      },
      2,
      FALSE
    ) &amp; " - " &amp; 'Teachers sched'!F128,
    'Teachers sched'!F128
  )
)
</f>
        <v/>
      </c>
      <c r="G128" s="390" t="str">
        <f t="array" ref="G128">IF('Teachers sched'!G128="", "", 
  IFERROR(
    VLOOKUP(
      'Teachers sched'!$A128 &amp; "|" &amp; 
      LEFT('Teachers sched'!G128, FIND("-", 'Teachers sched'!G128) - 1),
      {
        SALONES!$A:$A &amp; "|" &amp; SALONES!$B:$B,
        SALONES!$C:$C
      },
      2,
      FALSE
    ) &amp; " - " &amp; 'Teachers sched'!G128,
    'Teachers sched'!G128
  )
)
</f>
        <v>922 - Spanish and Literature 12-3</v>
      </c>
      <c r="H128" s="390" t="str">
        <f t="array" ref="H128">IF('Teachers sched'!H128="", "", 
  IFERROR(
    VLOOKUP(
      'Teachers sched'!$A128 &amp; "|" &amp; 
      LEFT('Teachers sched'!H128, FIND("-", 'Teachers sched'!H128) - 1),
      {
        SALONES!$A:$A &amp; "|" &amp; SALONES!$B:$B,
        SALONES!$C:$C
      },
      2,
      FALSE
    ) &amp; " - " &amp; 'Teachers sched'!H128,
    'Teachers sched'!H128
  )
)
</f>
        <v>922 - AP Spanish Literature and Culture-1</v>
      </c>
      <c r="I128" s="68"/>
      <c r="J128" s="392"/>
      <c r="K128" s="389" t="s">
        <v>22</v>
      </c>
      <c r="L128" s="389" t="s">
        <v>22</v>
      </c>
      <c r="M128" s="100">
        <v>5.0</v>
      </c>
      <c r="N128" s="390" t="s">
        <v>22</v>
      </c>
      <c r="O128" s="390" t="s">
        <v>22</v>
      </c>
      <c r="P128" s="390" t="s">
        <v>22</v>
      </c>
      <c r="Q128" s="390" t="s">
        <v>22</v>
      </c>
      <c r="R128" s="390" t="s">
        <v>22</v>
      </c>
      <c r="S128" s="68"/>
      <c r="T128" s="393"/>
    </row>
    <row r="129">
      <c r="C129" s="3"/>
      <c r="D129" s="396"/>
      <c r="E129" s="396"/>
      <c r="F129" s="396"/>
      <c r="G129" s="396"/>
      <c r="H129" s="396"/>
      <c r="N129" s="397"/>
      <c r="O129" s="397"/>
      <c r="P129" s="397"/>
      <c r="Q129" s="397"/>
      <c r="R129" s="397"/>
    </row>
    <row r="130">
      <c r="A130" s="45"/>
      <c r="B130" s="45"/>
      <c r="C130" s="386" t="s">
        <v>110</v>
      </c>
      <c r="D130" s="383"/>
      <c r="E130" s="383"/>
      <c r="F130" s="383"/>
      <c r="G130" s="383"/>
      <c r="H130" s="384"/>
      <c r="I130" s="385" t="str">
        <f>IFERROR(__xludf.DUMMYFUNCTION("if(C130="""","""", iferror(filter(Schedule!$K:$K,Schedule!$L:$L=$C130,Schedule!$K:$K=""S1""),unique(filter(Schedule!$K:$K,Schedule!$L:$L=$C130,Schedule!$K:$K=""""))))"),"")</f>
        <v/>
      </c>
      <c r="M130" s="386" t="s">
        <v>22</v>
      </c>
      <c r="N130" s="383"/>
      <c r="O130" s="383"/>
      <c r="P130" s="383"/>
      <c r="Q130" s="383"/>
      <c r="R130" s="384"/>
      <c r="S130" s="385" t="s">
        <v>22</v>
      </c>
      <c r="T130" s="112"/>
    </row>
    <row r="131">
      <c r="A131" s="116"/>
      <c r="B131" s="116"/>
      <c r="C131" s="100" t="s">
        <v>7</v>
      </c>
      <c r="D131" s="387" t="s">
        <v>8</v>
      </c>
      <c r="E131" s="387" t="s">
        <v>9</v>
      </c>
      <c r="F131" s="387" t="s">
        <v>10</v>
      </c>
      <c r="G131" s="387" t="s">
        <v>11</v>
      </c>
      <c r="H131" s="387" t="s">
        <v>12</v>
      </c>
      <c r="I131" s="21"/>
      <c r="J131" s="116"/>
      <c r="K131" s="116"/>
      <c r="L131" s="116"/>
      <c r="M131" s="100" t="s">
        <v>7</v>
      </c>
      <c r="N131" s="387" t="s">
        <v>8</v>
      </c>
      <c r="O131" s="387" t="s">
        <v>9</v>
      </c>
      <c r="P131" s="387" t="s">
        <v>10</v>
      </c>
      <c r="Q131" s="387" t="s">
        <v>11</v>
      </c>
      <c r="R131" s="387" t="s">
        <v>12</v>
      </c>
      <c r="S131" s="21" t="s">
        <v>766</v>
      </c>
      <c r="T131" s="388"/>
    </row>
    <row r="132">
      <c r="A132" s="389" t="s">
        <v>110</v>
      </c>
      <c r="B132" s="389"/>
      <c r="C132" s="100">
        <v>1.0</v>
      </c>
      <c r="D132" s="390" t="str">
        <f t="array" ref="D132">IF('Teachers sched'!D132="", "", 
  IFERROR(
    VLOOKUP(
      'Teachers sched'!$A132 &amp; "|" &amp; 
      LEFT('Teachers sched'!D132, FIND("-", 'Teachers sched'!D132) - 1),
      {
        SALONES!$A:$A &amp; "|" &amp; SALONES!$B:$B,
        SALONES!$C:$C
      },
      2,
      FALSE
    ) &amp; " - " &amp; 'Teachers sched'!D132,
    'Teachers sched'!D132
  )
)
</f>
        <v/>
      </c>
      <c r="E132" s="390" t="str">
        <f t="array" ref="E132">IF('Teachers sched'!E132="", "", 
  IFERROR(
    VLOOKUP(
      'Teachers sched'!$A132 &amp; "|" &amp; 
      LEFT('Teachers sched'!E132, FIND("-", 'Teachers sched'!E132) - 1),
      {
        SALONES!$A:$A &amp; "|" &amp; SALONES!$B:$B,
        SALONES!$C:$C
      },
      2,
      FALSE
    ) &amp; " - " &amp; 'Teachers sched'!E132,
    'Teachers sched'!E132
  )
)
</f>
        <v/>
      </c>
      <c r="F132" s="390" t="str">
        <f t="array" ref="F132">IF('Teachers sched'!F132="", "", 
  IFERROR(
    VLOOKUP(
      'Teachers sched'!$A132 &amp; "|" &amp; 
      LEFT('Teachers sched'!F132, FIND("-", 'Teachers sched'!F132) - 1),
      {
        SALONES!$A:$A &amp; "|" &amp; SALONES!$B:$B,
        SALONES!$C:$C
      },
      2,
      FALSE
    ) &amp; " - " &amp; 'Teachers sched'!F132,
    'Teachers sched'!F132
  )
)
</f>
        <v>926 - Life Purpose-5</v>
      </c>
      <c r="G132" s="390" t="str">
        <f t="array" ref="G132">IF('Teachers sched'!G132="", "", 
  IFERROR(
    VLOOKUP(
      'Teachers sched'!$A132 &amp; "|" &amp; 
      LEFT('Teachers sched'!G132, FIND("-", 'Teachers sched'!G132) - 1),
      {
        SALONES!$A:$A &amp; "|" &amp; SALONES!$B:$B,
        SALONES!$C:$C
      },
      2,
      FALSE
    ) &amp; " - " &amp; 'Teachers sched'!G132,
    'Teachers sched'!G132
  )
)
</f>
        <v>926 - Life Purpose-6</v>
      </c>
      <c r="H132" s="390" t="str">
        <f t="array" ref="H132">IF('Teachers sched'!H132="", "", 
  IFERROR(
    VLOOKUP(
      'Teachers sched'!$A132 &amp; "|" &amp; 
      LEFT('Teachers sched'!H132, FIND("-", 'Teachers sched'!H132) - 1),
      {
        SALONES!$A:$A &amp; "|" &amp; SALONES!$B:$B,
        SALONES!$C:$C
      },
      2,
      FALSE
    ) &amp; " - " &amp; 'Teachers sched'!H132,
    'Teachers sched'!H132
  )
)
</f>
        <v>926 - AP Psychology-2</v>
      </c>
      <c r="I132" s="391">
        <f>if(C130="","", 24-countifs(D132:H136,""))</f>
        <v>15</v>
      </c>
      <c r="J132" s="392"/>
      <c r="K132" s="389" t="s">
        <v>22</v>
      </c>
      <c r="L132" s="389" t="s">
        <v>22</v>
      </c>
      <c r="M132" s="100">
        <v>1.0</v>
      </c>
      <c r="N132" s="390" t="s">
        <v>22</v>
      </c>
      <c r="O132" s="390" t="s">
        <v>22</v>
      </c>
      <c r="P132" s="390" t="s">
        <v>22</v>
      </c>
      <c r="Q132" s="390" t="s">
        <v>22</v>
      </c>
      <c r="R132" s="390" t="s">
        <v>22</v>
      </c>
      <c r="S132" s="391" t="s">
        <v>22</v>
      </c>
      <c r="T132" s="393"/>
    </row>
    <row r="133">
      <c r="A133" s="389" t="s">
        <v>110</v>
      </c>
      <c r="B133" s="389"/>
      <c r="C133" s="100">
        <v>2.0</v>
      </c>
      <c r="D133" s="390" t="str">
        <f t="array" ref="D133">IF('Teachers sched'!D133="", "", 
  IFERROR(
    VLOOKUP(
      'Teachers sched'!$A133 &amp; "|" &amp; 
      LEFT('Teachers sched'!D133, FIND("-", 'Teachers sched'!D133) - 1),
      {
        SALONES!$A:$A &amp; "|" &amp; SALONES!$B:$B,
        SALONES!$C:$C
      },
      2,
      FALSE
    ) &amp; " - " &amp; 'Teachers sched'!D133,
    'Teachers sched'!D133
  )
)
</f>
        <v>926 - Life Purpose-4</v>
      </c>
      <c r="E133" s="390" t="str">
        <f t="array" ref="E133">IF('Teachers sched'!E133="", "", 
  IFERROR(
    VLOOKUP(
      'Teachers sched'!$A133 &amp; "|" &amp; 
      LEFT('Teachers sched'!E133, FIND("-", 'Teachers sched'!E133) - 1),
      {
        SALONES!$A:$A &amp; "|" &amp; SALONES!$B:$B,
        SALONES!$C:$C
      },
      2,
      FALSE
    ) &amp; " - " &amp; 'Teachers sched'!E133,
    'Teachers sched'!E133
  )
)
</f>
        <v/>
      </c>
      <c r="F133" s="390" t="str">
        <f t="array" ref="F133">IF('Teachers sched'!F133="", "", 
  IFERROR(
    VLOOKUP(
      'Teachers sched'!$A133 &amp; "|" &amp; 
      LEFT('Teachers sched'!F133, FIND("-", 'Teachers sched'!F133) - 1),
      {
        SALONES!$A:$A &amp; "|" &amp; SALONES!$B:$B,
        SALONES!$C:$C
      },
      2,
      FALSE
    ) &amp; " - " &amp; 'Teachers sched'!F133,
    'Teachers sched'!F133
  )
)
</f>
        <v>926 - AP Psychology-1</v>
      </c>
      <c r="G133" s="390" t="str">
        <f t="array" ref="G133">IF('Teachers sched'!G133="", "", 
  IFERROR(
    VLOOKUP(
      'Teachers sched'!$A133 &amp; "|" &amp; 
      LEFT('Teachers sched'!G133, FIND("-", 'Teachers sched'!G133) - 1),
      {
        SALONES!$A:$A &amp; "|" &amp; SALONES!$B:$B,
        SALONES!$C:$C
      },
      2,
      FALSE
    ) &amp; " - " &amp; 'Teachers sched'!G133,
    'Teachers sched'!G133
  )
)
</f>
        <v/>
      </c>
      <c r="H133" s="390" t="str">
        <f t="array" ref="H133">IF('Teachers sched'!H133="", "", 
  IFERROR(
    VLOOKUP(
      'Teachers sched'!$A133 &amp; "|" &amp; 
      LEFT('Teachers sched'!H133, FIND("-", 'Teachers sched'!H133) - 1),
      {
        SALONES!$A:$A &amp; "|" &amp; SALONES!$B:$B,
        SALONES!$C:$C
      },
      2,
      FALSE
    ) &amp; " - " &amp; 'Teachers sched'!H133,
    'Teachers sched'!H133
  )
)
</f>
        <v/>
      </c>
      <c r="I133" s="53"/>
      <c r="J133" s="392"/>
      <c r="K133" s="389" t="s">
        <v>22</v>
      </c>
      <c r="L133" s="389" t="s">
        <v>22</v>
      </c>
      <c r="M133" s="100">
        <v>2.0</v>
      </c>
      <c r="N133" s="390" t="s">
        <v>22</v>
      </c>
      <c r="O133" s="390" t="s">
        <v>22</v>
      </c>
      <c r="P133" s="390" t="s">
        <v>22</v>
      </c>
      <c r="Q133" s="390" t="s">
        <v>22</v>
      </c>
      <c r="R133" s="390" t="s">
        <v>22</v>
      </c>
      <c r="S133" s="53"/>
      <c r="T133" s="393"/>
    </row>
    <row r="134">
      <c r="A134" s="389" t="s">
        <v>110</v>
      </c>
      <c r="B134" s="389"/>
      <c r="C134" s="100">
        <v>3.0</v>
      </c>
      <c r="D134" s="390" t="str">
        <f t="array" ref="D134">IF('Teachers sched'!D134="", "", 
  IFERROR(
    VLOOKUP(
      'Teachers sched'!$A134 &amp; "|" &amp; 
      LEFT('Teachers sched'!D134, FIND("-", 'Teachers sched'!D134) - 1),
      {
        SALONES!$A:$A &amp; "|" &amp; SALONES!$B:$B,
        SALONES!$C:$C
      },
      2,
      FALSE
    ) &amp; " - " &amp; 'Teachers sched'!D134,
    'Teachers sched'!D134
  )
)
</f>
        <v>926 - Life Purpose-5</v>
      </c>
      <c r="E134" s="390" t="str">
        <f t="array" ref="E134">IF('Teachers sched'!E134="", "", 
  IFERROR(
    VLOOKUP(
      'Teachers sched'!$A134 &amp; "|" &amp; 
      LEFT('Teachers sched'!E134, FIND("-", 'Teachers sched'!E134) - 1),
      {
        SALONES!$A:$A &amp; "|" &amp; SALONES!$B:$B,
        SALONES!$C:$C
      },
      2,
      FALSE
    ) &amp; " - " &amp; 'Teachers sched'!E134,
    'Teachers sched'!E134
  )
)
</f>
        <v>926 - Life Purpose-6</v>
      </c>
      <c r="F134" s="390" t="str">
        <f t="array" ref="F134">IF('Teachers sched'!F134="", "", 
  IFERROR(
    VLOOKUP(
      'Teachers sched'!$A134 &amp; "|" &amp; 
      LEFT('Teachers sched'!F134, FIND("-", 'Teachers sched'!F134) - 1),
      {
        SALONES!$A:$A &amp; "|" &amp; SALONES!$B:$B,
        SALONES!$C:$C
      },
      2,
      FALSE
    ) &amp; " - " &amp; 'Teachers sched'!F134,
    'Teachers sched'!F134
  )
)
</f>
        <v>926 - AP Psychology-2</v>
      </c>
      <c r="G134" s="390" t="str">
        <f t="array" ref="G134">IF('Teachers sched'!G134="", "", 
  IFERROR(
    VLOOKUP(
      'Teachers sched'!$A134 &amp; "|" &amp; 
      LEFT('Teachers sched'!G134, FIND("-", 'Teachers sched'!G134) - 1),
      {
        SALONES!$A:$A &amp; "|" &amp; SALONES!$B:$B,
        SALONES!$C:$C
      },
      2,
      FALSE
    ) &amp; " - " &amp; 'Teachers sched'!G134,
    'Teachers sched'!G134
  )
)
</f>
        <v>926 - Life Purpose-4</v>
      </c>
      <c r="H134" s="395" t="str">
        <f t="array" ref="H134">IF('Teachers sched'!H134="", "", 
  IFERROR(
    VLOOKUP(
      'Teachers sched'!$A134 &amp; "|" &amp; 
      LEFT('Teachers sched'!H134, FIND("-", 'Teachers sched'!H134) - 1),
      {
        SALONES!$A:$A &amp; "|" &amp; SALONES!$B:$B,
        SALONES!$C:$C
      },
      2,
      FALSE
    ) &amp; " - " &amp; 'Teachers sched'!H134,
    'Teachers sched'!H134
  )
)
</f>
        <v>X-Block</v>
      </c>
      <c r="I134" s="53"/>
      <c r="J134" s="392"/>
      <c r="K134" s="389" t="s">
        <v>22</v>
      </c>
      <c r="L134" s="389" t="s">
        <v>22</v>
      </c>
      <c r="M134" s="100">
        <v>3.0</v>
      </c>
      <c r="N134" s="390" t="s">
        <v>22</v>
      </c>
      <c r="O134" s="390" t="s">
        <v>22</v>
      </c>
      <c r="P134" s="390" t="s">
        <v>22</v>
      </c>
      <c r="Q134" s="390" t="s">
        <v>22</v>
      </c>
      <c r="R134" s="395" t="s">
        <v>22</v>
      </c>
      <c r="S134" s="53"/>
      <c r="T134" s="393"/>
    </row>
    <row r="135">
      <c r="A135" s="389" t="s">
        <v>110</v>
      </c>
      <c r="B135" s="389"/>
      <c r="C135" s="100">
        <v>4.0</v>
      </c>
      <c r="D135" s="390" t="str">
        <f t="array" ref="D135">IF('Teachers sched'!D135="", "", 
  IFERROR(
    VLOOKUP(
      'Teachers sched'!$A135 &amp; "|" &amp; 
      LEFT('Teachers sched'!D135, FIND("-", 'Teachers sched'!D135) - 1),
      {
        SALONES!$A:$A &amp; "|" &amp; SALONES!$B:$B,
        SALONES!$C:$C
      },
      2,
      FALSE
    ) &amp; " - " &amp; 'Teachers sched'!D135,
    'Teachers sched'!D135
  )
)
</f>
        <v>926 - AP Psychology-1</v>
      </c>
      <c r="E135" s="390" t="str">
        <f t="array" ref="E135">IF('Teachers sched'!E135="", "", 
  IFERROR(
    VLOOKUP(
      'Teachers sched'!$A135 &amp; "|" &amp; 
      LEFT('Teachers sched'!E135, FIND("-", 'Teachers sched'!E135) - 1),
      {
        SALONES!$A:$A &amp; "|" &amp; SALONES!$B:$B,
        SALONES!$C:$C
      },
      2,
      FALSE
    ) &amp; " - " &amp; 'Teachers sched'!E135,
    'Teachers sched'!E135
  )
)
</f>
        <v/>
      </c>
      <c r="F135" s="390" t="str">
        <f t="array" ref="F135">IF('Teachers sched'!F135="", "", 
  IFERROR(
    VLOOKUP(
      'Teachers sched'!$A135 &amp; "|" &amp; 
      LEFT('Teachers sched'!F135, FIND("-", 'Teachers sched'!F135) - 1),
      {
        SALONES!$A:$A &amp; "|" &amp; SALONES!$B:$B,
        SALONES!$C:$C
      },
      2,
      FALSE
    ) &amp; " - " &amp; 'Teachers sched'!F135,
    'Teachers sched'!F135
  )
)
</f>
        <v/>
      </c>
      <c r="G135" s="390" t="str">
        <f t="array" ref="G135">IF('Teachers sched'!G135="", "", 
  IFERROR(
    VLOOKUP(
      'Teachers sched'!$A135 &amp; "|" &amp; 
      LEFT('Teachers sched'!G135, FIND("-", 'Teachers sched'!G135) - 1),
      {
        SALONES!$A:$A &amp; "|" &amp; SALONES!$B:$B,
        SALONES!$C:$C
      },
      2,
      FALSE
    ) &amp; " - " &amp; 'Teachers sched'!G135,
    'Teachers sched'!G135
  )
)
</f>
        <v>926 - Life Purpose-5</v>
      </c>
      <c r="H135" s="390" t="str">
        <f t="array" ref="H135">IF('Teachers sched'!H135="", "", 
  IFERROR(
    VLOOKUP(
      'Teachers sched'!$A135 &amp; "|" &amp; 
      LEFT('Teachers sched'!H135, FIND("-", 'Teachers sched'!H135) - 1),
      {
        SALONES!$A:$A &amp; "|" &amp; SALONES!$B:$B,
        SALONES!$C:$C
      },
      2,
      FALSE
    ) &amp; " - " &amp; 'Teachers sched'!H135,
    'Teachers sched'!H135
  )
)
</f>
        <v/>
      </c>
      <c r="I135" s="53"/>
      <c r="J135" s="392"/>
      <c r="K135" s="389" t="s">
        <v>22</v>
      </c>
      <c r="L135" s="389" t="s">
        <v>22</v>
      </c>
      <c r="M135" s="100">
        <v>4.0</v>
      </c>
      <c r="N135" s="390" t="s">
        <v>22</v>
      </c>
      <c r="O135" s="390" t="s">
        <v>22</v>
      </c>
      <c r="P135" s="390" t="s">
        <v>22</v>
      </c>
      <c r="Q135" s="390" t="s">
        <v>22</v>
      </c>
      <c r="R135" s="390" t="s">
        <v>22</v>
      </c>
      <c r="S135" s="53"/>
      <c r="T135" s="393"/>
    </row>
    <row r="136">
      <c r="A136" s="389" t="s">
        <v>110</v>
      </c>
      <c r="B136" s="389"/>
      <c r="C136" s="100">
        <v>5.0</v>
      </c>
      <c r="D136" s="390" t="str">
        <f t="array" ref="D136">IF('Teachers sched'!D136="", "", 
  IFERROR(
    VLOOKUP(
      'Teachers sched'!$A136 &amp; "|" &amp; 
      LEFT('Teachers sched'!D136, FIND("-", 'Teachers sched'!D136) - 1),
      {
        SALONES!$A:$A &amp; "|" &amp; SALONES!$B:$B,
        SALONES!$C:$C
      },
      2,
      FALSE
    ) &amp; " - " &amp; 'Teachers sched'!D136,
    'Teachers sched'!D136
  )
)
</f>
        <v>926 - AP Psychology-2</v>
      </c>
      <c r="E136" s="390" t="str">
        <f t="array" ref="E136">IF('Teachers sched'!E136="", "", 
  IFERROR(
    VLOOKUP(
      'Teachers sched'!$A136 &amp; "|" &amp; 
      LEFT('Teachers sched'!E136, FIND("-", 'Teachers sched'!E136) - 1),
      {
        SALONES!$A:$A &amp; "|" &amp; SALONES!$B:$B,
        SALONES!$C:$C
      },
      2,
      FALSE
    ) &amp; " - " &amp; 'Teachers sched'!E136,
    'Teachers sched'!E136
  )
)
</f>
        <v>926 - Life Purpose-4</v>
      </c>
      <c r="F136" s="390" t="str">
        <f t="array" ref="F136">IF('Teachers sched'!F136="", "", 
  IFERROR(
    VLOOKUP(
      'Teachers sched'!$A136 &amp; "|" &amp; 
      LEFT('Teachers sched'!F136, FIND("-", 'Teachers sched'!F136) - 1),
      {
        SALONES!$A:$A &amp; "|" &amp; SALONES!$B:$B,
        SALONES!$C:$C
      },
      2,
      FALSE
    ) &amp; " - " &amp; 'Teachers sched'!F136,
    'Teachers sched'!F136
  )
)
</f>
        <v/>
      </c>
      <c r="G136" s="390" t="str">
        <f t="array" ref="G136">IF('Teachers sched'!G136="", "", 
  IFERROR(
    VLOOKUP(
      'Teachers sched'!$A136 &amp; "|" &amp; 
      LEFT('Teachers sched'!G136, FIND("-", 'Teachers sched'!G136) - 1),
      {
        SALONES!$A:$A &amp; "|" &amp; SALONES!$B:$B,
        SALONES!$C:$C
      },
      2,
      FALSE
    ) &amp; " - " &amp; 'Teachers sched'!G136,
    'Teachers sched'!G136
  )
)
</f>
        <v>926 - AP Psychology-1</v>
      </c>
      <c r="H136" s="390" t="str">
        <f t="array" ref="H136">IF('Teachers sched'!H136="", "", 
  IFERROR(
    VLOOKUP(
      'Teachers sched'!$A136 &amp; "|" &amp; 
      LEFT('Teachers sched'!H136, FIND("-", 'Teachers sched'!H136) - 1),
      {
        SALONES!$A:$A &amp; "|" &amp; SALONES!$B:$B,
        SALONES!$C:$C
      },
      2,
      FALSE
    ) &amp; " - " &amp; 'Teachers sched'!H136,
    'Teachers sched'!H136
  )
)
</f>
        <v>926 - Life Purpose-6</v>
      </c>
      <c r="I136" s="68"/>
      <c r="J136" s="392"/>
      <c r="K136" s="389" t="s">
        <v>22</v>
      </c>
      <c r="L136" s="389" t="s">
        <v>22</v>
      </c>
      <c r="M136" s="100">
        <v>5.0</v>
      </c>
      <c r="N136" s="390" t="s">
        <v>22</v>
      </c>
      <c r="O136" s="390" t="s">
        <v>22</v>
      </c>
      <c r="P136" s="390" t="s">
        <v>22</v>
      </c>
      <c r="Q136" s="390" t="s">
        <v>22</v>
      </c>
      <c r="R136" s="390" t="s">
        <v>22</v>
      </c>
      <c r="S136" s="68"/>
      <c r="T136" s="393"/>
    </row>
    <row r="137">
      <c r="C137" s="3"/>
      <c r="D137" s="396"/>
      <c r="E137" s="396"/>
      <c r="F137" s="396"/>
      <c r="G137" s="396"/>
      <c r="H137" s="396"/>
      <c r="N137" s="397"/>
      <c r="O137" s="397"/>
      <c r="P137" s="397"/>
      <c r="Q137" s="397"/>
      <c r="R137" s="397"/>
    </row>
    <row r="138">
      <c r="A138" s="45"/>
      <c r="B138" s="45"/>
      <c r="C138" s="386" t="s">
        <v>33</v>
      </c>
      <c r="D138" s="383"/>
      <c r="E138" s="383"/>
      <c r="F138" s="383"/>
      <c r="G138" s="383"/>
      <c r="H138" s="384"/>
      <c r="I138" s="385" t="str">
        <f>IFERROR(__xludf.DUMMYFUNCTION("if(C138="""","""", iferror(filter(Schedule!$K:$K,Schedule!$L:$L=$C138,Schedule!$K:$K=""S1""),unique(filter(Schedule!$K:$K,Schedule!$L:$L=$C138,Schedule!$K:$K=""""))))"),"")</f>
        <v/>
      </c>
      <c r="M138" s="386" t="s">
        <v>22</v>
      </c>
      <c r="N138" s="383"/>
      <c r="O138" s="383"/>
      <c r="P138" s="383"/>
      <c r="Q138" s="383"/>
      <c r="R138" s="384"/>
      <c r="S138" s="385" t="s">
        <v>22</v>
      </c>
      <c r="T138" s="112"/>
    </row>
    <row r="139">
      <c r="A139" s="116"/>
      <c r="B139" s="116"/>
      <c r="C139" s="100" t="s">
        <v>7</v>
      </c>
      <c r="D139" s="387" t="s">
        <v>8</v>
      </c>
      <c r="E139" s="387" t="s">
        <v>9</v>
      </c>
      <c r="F139" s="387" t="s">
        <v>10</v>
      </c>
      <c r="G139" s="387" t="s">
        <v>11</v>
      </c>
      <c r="H139" s="387" t="s">
        <v>12</v>
      </c>
      <c r="I139" s="21"/>
      <c r="J139" s="116"/>
      <c r="K139" s="116"/>
      <c r="L139" s="116"/>
      <c r="M139" s="100" t="s">
        <v>7</v>
      </c>
      <c r="N139" s="387" t="s">
        <v>8</v>
      </c>
      <c r="O139" s="387" t="s">
        <v>9</v>
      </c>
      <c r="P139" s="387" t="s">
        <v>10</v>
      </c>
      <c r="Q139" s="387" t="s">
        <v>11</v>
      </c>
      <c r="R139" s="387" t="s">
        <v>12</v>
      </c>
      <c r="S139" s="21" t="s">
        <v>766</v>
      </c>
      <c r="T139" s="388"/>
    </row>
    <row r="140">
      <c r="A140" s="389" t="s">
        <v>33</v>
      </c>
      <c r="B140" s="389" t="s">
        <v>22</v>
      </c>
      <c r="C140" s="100">
        <v>1.0</v>
      </c>
      <c r="D140" s="390" t="str">
        <f t="array" ref="D140">IF('Teachers sched'!D140="", "", 
  IFERROR(
    VLOOKUP(
      'Teachers sched'!$A140 &amp; "|" &amp; 
      LEFT('Teachers sched'!D140, FIND("-", 'Teachers sched'!D140) - 1),
      {
        SALONES!$A:$A &amp; "|" &amp; SALONES!$B:$B,
        SALONES!$C:$C
      },
      2,
      FALSE
    ) &amp; " - " &amp; 'Teachers sched'!D140,
    'Teachers sched'!D140
  )
)
</f>
        <v>327 - Painting II-1</v>
      </c>
      <c r="E140" s="390" t="str">
        <f t="array" ref="E140">IF('Teachers sched'!E140="", "", 
  IFERROR(
    VLOOKUP(
      'Teachers sched'!$A140 &amp; "|" &amp; 
      LEFT('Teachers sched'!E140, FIND("-", 'Teachers sched'!E140) - 1),
      {
        SALONES!$A:$A &amp; "|" &amp; SALONES!$B:$B,
        SALONES!$C:$C
      },
      2,
      FALSE
    ) &amp; " - " &amp; 'Teachers sched'!E140,
    'Teachers sched'!E140
  )
)
</f>
        <v/>
      </c>
      <c r="F140" s="390" t="str">
        <f t="array" ref="F140">IF('Teachers sched'!F140="", "", 
  IFERROR(
    VLOOKUP(
      'Teachers sched'!$A140 &amp; "|" &amp; 
      LEFT('Teachers sched'!F140, FIND("-", 'Teachers sched'!F140) - 1),
      {
        SALONES!$A:$A &amp; "|" &amp; SALONES!$B:$B,
        SALONES!$C:$C
      },
      2,
      FALSE
    ) &amp; " - " &amp; 'Teachers sched'!F140,
    'Teachers sched'!F140
  )
)
</f>
        <v>327 - Sculpture I-1</v>
      </c>
      <c r="G140" s="390" t="str">
        <f t="array" ref="G140">IF('Teachers sched'!G140="", "", 
  IFERROR(
    VLOOKUP(
      'Teachers sched'!$A140 &amp; "|" &amp; 
      LEFT('Teachers sched'!G140, FIND("-", 'Teachers sched'!G140) - 1),
      {
        SALONES!$A:$A &amp; "|" &amp; SALONES!$B:$B,
        SALONES!$C:$C
      },
      2,
      FALSE
    ) &amp; " - " &amp; 'Teachers sched'!G140,
    'Teachers sched'!G140
  )
)
</f>
        <v>327 - AP Drawing-1 &amp; Drawing I-1</v>
      </c>
      <c r="H140" s="390" t="str">
        <f t="array" ref="H140">IF('Teachers sched'!H140="", "", 
  IFERROR(
    VLOOKUP(
      'Teachers sched'!$A140 &amp; "|" &amp; 
      LEFT('Teachers sched'!H140, FIND("-", 'Teachers sched'!H140) - 1),
      {
        SALONES!$A:$A &amp; "|" &amp; SALONES!$B:$B,
        SALONES!$C:$C
      },
      2,
      FALSE
    ) &amp; " - " &amp; 'Teachers sched'!H140,
    'Teachers sched'!H140
  )
)
</f>
        <v>327 - Painting I-4</v>
      </c>
      <c r="I140" s="391">
        <f>if(C138="","", 24-countifs(D140:H144,""))</f>
        <v>18</v>
      </c>
      <c r="J140" s="392"/>
      <c r="K140" s="389" t="s">
        <v>22</v>
      </c>
      <c r="L140" s="389" t="s">
        <v>22</v>
      </c>
      <c r="M140" s="100">
        <v>1.0</v>
      </c>
      <c r="N140" s="390" t="s">
        <v>22</v>
      </c>
      <c r="O140" s="390" t="s">
        <v>22</v>
      </c>
      <c r="P140" s="390" t="s">
        <v>22</v>
      </c>
      <c r="Q140" s="390" t="s">
        <v>22</v>
      </c>
      <c r="R140" s="390" t="s">
        <v>22</v>
      </c>
      <c r="S140" s="391" t="s">
        <v>22</v>
      </c>
      <c r="T140" s="393"/>
    </row>
    <row r="141">
      <c r="A141" s="389" t="s">
        <v>33</v>
      </c>
      <c r="B141" s="389" t="s">
        <v>22</v>
      </c>
      <c r="C141" s="100">
        <v>2.0</v>
      </c>
      <c r="D141" s="390" t="str">
        <f t="array" ref="D141">IF('Teachers sched'!D141="", "", 
  IFERROR(
    VLOOKUP(
      'Teachers sched'!$A141 &amp; "|" &amp; 
      LEFT('Teachers sched'!D141, FIND("-", 'Teachers sched'!D141) - 1),
      {
        SALONES!$A:$A &amp; "|" &amp; SALONES!$B:$B,
        SALONES!$C:$C
      },
      2,
      FALSE
    ) &amp; " - " &amp; 'Teachers sched'!D141,
    'Teachers sched'!D141
  )
)
</f>
        <v/>
      </c>
      <c r="E141" s="390" t="str">
        <f t="array" ref="E141">IF('Teachers sched'!E141="", "", 
  IFERROR(
    VLOOKUP(
      'Teachers sched'!$A141 &amp; "|" &amp; 
      LEFT('Teachers sched'!E141, FIND("-", 'Teachers sched'!E141) - 1),
      {
        SALONES!$A:$A &amp; "|" &amp; SALONES!$B:$B,
        SALONES!$C:$C
      },
      2,
      FALSE
    ) &amp; " - " &amp; 'Teachers sched'!E141,
    'Teachers sched'!E141
  )
)
</f>
        <v>327 - Painting II-2</v>
      </c>
      <c r="F141" s="390" t="str">
        <f t="array" ref="F141">IF('Teachers sched'!F141="", "", 
  IFERROR(
    VLOOKUP(
      'Teachers sched'!$A141 &amp; "|" &amp; 
      LEFT('Teachers sched'!F141, FIND("-", 'Teachers sched'!F141) - 1),
      {
        SALONES!$A:$A &amp; "|" &amp; SALONES!$B:$B,
        SALONES!$C:$C
      },
      2,
      FALSE
    ) &amp; " - " &amp; 'Teachers sched'!F141,
    'Teachers sched'!F141
  )
)
</f>
        <v>327 - Painting I-3</v>
      </c>
      <c r="G141" s="390" t="str">
        <f t="array" ref="G141">IF('Teachers sched'!G141="", "", 
  IFERROR(
    VLOOKUP(
      'Teachers sched'!$A141 &amp; "|" &amp; 
      LEFT('Teachers sched'!G141, FIND("-", 'Teachers sched'!G141) - 1),
      {
        SALONES!$A:$A &amp; "|" &amp; SALONES!$B:$B,
        SALONES!$C:$C
      },
      2,
      FALSE
    ) &amp; " - " &amp; 'Teachers sched'!G141,
    'Teachers sched'!G141
  )
)
</f>
        <v>327 - Painting II-1</v>
      </c>
      <c r="H141" s="390" t="str">
        <f t="array" ref="H141">IF('Teachers sched'!H141="", "", 
  IFERROR(
    VLOOKUP(
      'Teachers sched'!$A141 &amp; "|" &amp; 
      LEFT('Teachers sched'!H141, FIND("-", 'Teachers sched'!H141) - 1),
      {
        SALONES!$A:$A &amp; "|" &amp; SALONES!$B:$B,
        SALONES!$C:$C
      },
      2,
      FALSE
    ) &amp; " - " &amp; 'Teachers sched'!H141,
    'Teachers sched'!H141
  )
)
</f>
        <v/>
      </c>
      <c r="I141" s="53"/>
      <c r="J141" s="392"/>
      <c r="K141" s="389" t="s">
        <v>22</v>
      </c>
      <c r="L141" s="389" t="s">
        <v>22</v>
      </c>
      <c r="M141" s="100">
        <v>2.0</v>
      </c>
      <c r="N141" s="390" t="s">
        <v>22</v>
      </c>
      <c r="O141" s="390" t="s">
        <v>22</v>
      </c>
      <c r="P141" s="390" t="s">
        <v>22</v>
      </c>
      <c r="Q141" s="390" t="s">
        <v>22</v>
      </c>
      <c r="R141" s="390" t="s">
        <v>22</v>
      </c>
      <c r="S141" s="53"/>
      <c r="T141" s="393"/>
    </row>
    <row r="142">
      <c r="A142" s="389" t="s">
        <v>33</v>
      </c>
      <c r="B142" s="389" t="s">
        <v>22</v>
      </c>
      <c r="C142" s="100">
        <v>3.0</v>
      </c>
      <c r="D142" s="390" t="str">
        <f t="array" ref="D142">IF('Teachers sched'!D142="", "", 
  IFERROR(
    VLOOKUP(
      'Teachers sched'!$A142 &amp; "|" &amp; 
      LEFT('Teachers sched'!D142, FIND("-", 'Teachers sched'!D142) - 1),
      {
        SALONES!$A:$A &amp; "|" &amp; SALONES!$B:$B,
        SALONES!$C:$C
      },
      2,
      FALSE
    ) &amp; " - " &amp; 'Teachers sched'!D142,
    'Teachers sched'!D142
  )
)
</f>
        <v>327 - Sculpture I-1</v>
      </c>
      <c r="E142" s="390" t="str">
        <f t="array" ref="E142">IF('Teachers sched'!E142="", "", 
  IFERROR(
    VLOOKUP(
      'Teachers sched'!$A142 &amp; "|" &amp; 
      LEFT('Teachers sched'!E142, FIND("-", 'Teachers sched'!E142) - 1),
      {
        SALONES!$A:$A &amp; "|" &amp; SALONES!$B:$B,
        SALONES!$C:$C
      },
      2,
      FALSE
    ) &amp; " - " &amp; 'Teachers sched'!E142,
    'Teachers sched'!E142
  )
)
</f>
        <v>327 - AP Drawing-1 &amp; Drawing I-1</v>
      </c>
      <c r="F142" s="390" t="str">
        <f t="array" ref="F142">IF('Teachers sched'!F142="", "", 
  IFERROR(
    VLOOKUP(
      'Teachers sched'!$A142 &amp; "|" &amp; 
      LEFT('Teachers sched'!F142, FIND("-", 'Teachers sched'!F142) - 1),
      {
        SALONES!$A:$A &amp; "|" &amp; SALONES!$B:$B,
        SALONES!$C:$C
      },
      2,
      FALSE
    ) &amp; " - " &amp; 'Teachers sched'!F142,
    'Teachers sched'!F142
  )
)
</f>
        <v>327 - Painting I-4</v>
      </c>
      <c r="G142" s="390" t="str">
        <f t="array" ref="G142">IF('Teachers sched'!G142="", "", 
  IFERROR(
    VLOOKUP(
      'Teachers sched'!$A142 &amp; "|" &amp; 
      LEFT('Teachers sched'!G142, FIND("-", 'Teachers sched'!G142) - 1),
      {
        SALONES!$A:$A &amp; "|" &amp; SALONES!$B:$B,
        SALONES!$C:$C
      },
      2,
      FALSE
    ) &amp; " - " &amp; 'Teachers sched'!G142,
    'Teachers sched'!G142
  )
)
</f>
        <v/>
      </c>
      <c r="H142" s="395" t="str">
        <f t="array" ref="H142">IF('Teachers sched'!H142="", "", 
  IFERROR(
    VLOOKUP(
      'Teachers sched'!$A142 &amp; "|" &amp; 
      LEFT('Teachers sched'!H142, FIND("-", 'Teachers sched'!H142) - 1),
      {
        SALONES!$A:$A &amp; "|" &amp; SALONES!$B:$B,
        SALONES!$C:$C
      },
      2,
      FALSE
    ) &amp; " - " &amp; 'Teachers sched'!H142,
    'Teachers sched'!H142
  )
)
</f>
        <v>X-Block</v>
      </c>
      <c r="I142" s="53"/>
      <c r="J142" s="392"/>
      <c r="K142" s="389" t="s">
        <v>22</v>
      </c>
      <c r="L142" s="389" t="s">
        <v>22</v>
      </c>
      <c r="M142" s="100">
        <v>3.0</v>
      </c>
      <c r="N142" s="390" t="s">
        <v>22</v>
      </c>
      <c r="O142" s="390" t="s">
        <v>22</v>
      </c>
      <c r="P142" s="390" t="s">
        <v>22</v>
      </c>
      <c r="Q142" s="390" t="s">
        <v>22</v>
      </c>
      <c r="R142" s="395" t="s">
        <v>22</v>
      </c>
      <c r="S142" s="53"/>
      <c r="T142" s="393"/>
    </row>
    <row r="143">
      <c r="A143" s="389" t="s">
        <v>33</v>
      </c>
      <c r="B143" s="389" t="s">
        <v>22</v>
      </c>
      <c r="C143" s="100">
        <v>4.0</v>
      </c>
      <c r="D143" s="390" t="str">
        <f t="array" ref="D143">IF('Teachers sched'!D143="", "", 
  IFERROR(
    VLOOKUP(
      'Teachers sched'!$A143 &amp; "|" &amp; 
      LEFT('Teachers sched'!D143, FIND("-", 'Teachers sched'!D143) - 1),
      {
        SALONES!$A:$A &amp; "|" &amp; SALONES!$B:$B,
        SALONES!$C:$C
      },
      2,
      FALSE
    ) &amp; " - " &amp; 'Teachers sched'!D143,
    'Teachers sched'!D143
  )
)
</f>
        <v>327 - Painting I-3</v>
      </c>
      <c r="E143" s="390" t="str">
        <f t="array" ref="E143">IF('Teachers sched'!E143="", "", 
  IFERROR(
    VLOOKUP(
      'Teachers sched'!$A143 &amp; "|" &amp; 
      LEFT('Teachers sched'!E143, FIND("-", 'Teachers sched'!E143) - 1),
      {
        SALONES!$A:$A &amp; "|" &amp; SALONES!$B:$B,
        SALONES!$C:$C
      },
      2,
      FALSE
    ) &amp; " - " &amp; 'Teachers sched'!E143,
    'Teachers sched'!E143
  )
)
</f>
        <v>327 - Painting II-1</v>
      </c>
      <c r="F143" s="390" t="str">
        <f t="array" ref="F143">IF('Teachers sched'!F143="", "", 
  IFERROR(
    VLOOKUP(
      'Teachers sched'!$A143 &amp; "|" &amp; 
      LEFT('Teachers sched'!F143, FIND("-", 'Teachers sched'!F143) - 1),
      {
        SALONES!$A:$A &amp; "|" &amp; SALONES!$B:$B,
        SALONES!$C:$C
      },
      2,
      FALSE
    ) &amp; " - " &amp; 'Teachers sched'!F143,
    'Teachers sched'!F143
  )
)
</f>
        <v/>
      </c>
      <c r="G143" s="390" t="str">
        <f t="array" ref="G143">IF('Teachers sched'!G143="", "", 
  IFERROR(
    VLOOKUP(
      'Teachers sched'!$A143 &amp; "|" &amp; 
      LEFT('Teachers sched'!G143, FIND("-", 'Teachers sched'!G143) - 1),
      {
        SALONES!$A:$A &amp; "|" &amp; SALONES!$B:$B,
        SALONES!$C:$C
      },
      2,
      FALSE
    ) &amp; " - " &amp; 'Teachers sched'!G143,
    'Teachers sched'!G143
  )
)
</f>
        <v>327 - Sculpture I-1</v>
      </c>
      <c r="H143" s="390" t="str">
        <f t="array" ref="H143">IF('Teachers sched'!H143="", "", 
  IFERROR(
    VLOOKUP(
      'Teachers sched'!$A143 &amp; "|" &amp; 
      LEFT('Teachers sched'!H143, FIND("-", 'Teachers sched'!H143) - 1),
      {
        SALONES!$A:$A &amp; "|" &amp; SALONES!$B:$B,
        SALONES!$C:$C
      },
      2,
      FALSE
    ) &amp; " - " &amp; 'Teachers sched'!H143,
    'Teachers sched'!H143
  )
)
</f>
        <v>327 - Painting II-2</v>
      </c>
      <c r="I143" s="53"/>
      <c r="J143" s="392"/>
      <c r="K143" s="389" t="s">
        <v>22</v>
      </c>
      <c r="L143" s="389" t="s">
        <v>22</v>
      </c>
      <c r="M143" s="100">
        <v>4.0</v>
      </c>
      <c r="N143" s="390" t="s">
        <v>22</v>
      </c>
      <c r="O143" s="390" t="s">
        <v>22</v>
      </c>
      <c r="P143" s="390" t="s">
        <v>22</v>
      </c>
      <c r="Q143" s="390" t="s">
        <v>22</v>
      </c>
      <c r="R143" s="390" t="s">
        <v>22</v>
      </c>
      <c r="S143" s="53"/>
      <c r="T143" s="393"/>
    </row>
    <row r="144">
      <c r="A144" s="389" t="s">
        <v>33</v>
      </c>
      <c r="B144" s="389" t="s">
        <v>22</v>
      </c>
      <c r="C144" s="100">
        <v>5.0</v>
      </c>
      <c r="D144" s="390" t="str">
        <f t="array" ref="D144">IF('Teachers sched'!D144="", "", 
  IFERROR(
    VLOOKUP(
      'Teachers sched'!$A144 &amp; "|" &amp; 
      LEFT('Teachers sched'!D144, FIND("-", 'Teachers sched'!D144) - 1),
      {
        SALONES!$A:$A &amp; "|" &amp; SALONES!$B:$B,
        SALONES!$C:$C
      },
      2,
      FALSE
    ) &amp; " - " &amp; 'Teachers sched'!D144,
    'Teachers sched'!D144
  )
)
</f>
        <v>327 - Painting I-4</v>
      </c>
      <c r="E144" s="390" t="str">
        <f t="array" ref="E144">IF('Teachers sched'!E144="", "", 
  IFERROR(
    VLOOKUP(
      'Teachers sched'!$A144 &amp; "|" &amp; 
      LEFT('Teachers sched'!E144, FIND("-", 'Teachers sched'!E144) - 1),
      {
        SALONES!$A:$A &amp; "|" &amp; SALONES!$B:$B,
        SALONES!$C:$C
      },
      2,
      FALSE
    ) &amp; " - " &amp; 'Teachers sched'!E144,
    'Teachers sched'!E144
  )
)
</f>
        <v/>
      </c>
      <c r="F144" s="390" t="str">
        <f t="array" ref="F144">IF('Teachers sched'!F144="", "", 
  IFERROR(
    VLOOKUP(
      'Teachers sched'!$A144 &amp; "|" &amp; 
      LEFT('Teachers sched'!F144, FIND("-", 'Teachers sched'!F144) - 1),
      {
        SALONES!$A:$A &amp; "|" &amp; SALONES!$B:$B,
        SALONES!$C:$C
      },
      2,
      FALSE
    ) &amp; " - " &amp; 'Teachers sched'!F144,
    'Teachers sched'!F144
  )
)
</f>
        <v>327 - Painting II-2</v>
      </c>
      <c r="G144" s="390" t="str">
        <f t="array" ref="G144">IF('Teachers sched'!G144="", "", 
  IFERROR(
    VLOOKUP(
      'Teachers sched'!$A144 &amp; "|" &amp; 
      LEFT('Teachers sched'!G144, FIND("-", 'Teachers sched'!G144) - 1),
      {
        SALONES!$A:$A &amp; "|" &amp; SALONES!$B:$B,
        SALONES!$C:$C
      },
      2,
      FALSE
    ) &amp; " - " &amp; 'Teachers sched'!G144,
    'Teachers sched'!G144
  )
)
</f>
        <v>327 - Painting I-3</v>
      </c>
      <c r="H144" s="390" t="str">
        <f t="array" ref="H144">IF('Teachers sched'!H144="", "", 
  IFERROR(
    VLOOKUP(
      'Teachers sched'!$A144 &amp; "|" &amp; 
      LEFT('Teachers sched'!H144, FIND("-", 'Teachers sched'!H144) - 1),
      {
        SALONES!$A:$A &amp; "|" &amp; SALONES!$B:$B,
        SALONES!$C:$C
      },
      2,
      FALSE
    ) &amp; " - " &amp; 'Teachers sched'!H144,
    'Teachers sched'!H144
  )
)
</f>
        <v>327 - AP Drawing-1 &amp; Drawing I-1</v>
      </c>
      <c r="I144" s="68"/>
      <c r="J144" s="392"/>
      <c r="K144" s="389" t="s">
        <v>22</v>
      </c>
      <c r="L144" s="389" t="s">
        <v>22</v>
      </c>
      <c r="M144" s="100">
        <v>5.0</v>
      </c>
      <c r="N144" s="390" t="s">
        <v>22</v>
      </c>
      <c r="O144" s="390" t="s">
        <v>22</v>
      </c>
      <c r="P144" s="390" t="s">
        <v>22</v>
      </c>
      <c r="Q144" s="390" t="s">
        <v>22</v>
      </c>
      <c r="R144" s="390" t="s">
        <v>22</v>
      </c>
      <c r="S144" s="68"/>
      <c r="T144" s="393"/>
    </row>
    <row r="145">
      <c r="C145" s="3"/>
      <c r="D145" s="396"/>
      <c r="E145" s="396"/>
      <c r="F145" s="396"/>
      <c r="G145" s="396"/>
      <c r="H145" s="396"/>
      <c r="N145" s="397"/>
      <c r="O145" s="397"/>
      <c r="P145" s="397"/>
      <c r="Q145" s="397"/>
      <c r="R145" s="397"/>
    </row>
    <row r="146">
      <c r="A146" s="45"/>
      <c r="B146" s="45"/>
      <c r="C146" s="386" t="s">
        <v>91</v>
      </c>
      <c r="D146" s="383"/>
      <c r="E146" s="383"/>
      <c r="F146" s="383"/>
      <c r="G146" s="383"/>
      <c r="H146" s="384"/>
      <c r="I146" s="385" t="str">
        <f>IFERROR(__xludf.DUMMYFUNCTION("if(C146="""","""", iferror(filter(Schedule!$K:$K,Schedule!$L:$L=$C146,Schedule!$K:$K=""S1""),unique(filter(Schedule!$K:$K,Schedule!$L:$L=$C146,Schedule!$K:$K=""""))))"),"")</f>
        <v/>
      </c>
      <c r="M146" s="386" t="s">
        <v>22</v>
      </c>
      <c r="N146" s="383"/>
      <c r="O146" s="383"/>
      <c r="P146" s="383"/>
      <c r="Q146" s="383"/>
      <c r="R146" s="384"/>
      <c r="S146" s="385" t="s">
        <v>22</v>
      </c>
      <c r="T146" s="112"/>
    </row>
    <row r="147">
      <c r="A147" s="116"/>
      <c r="B147" s="116"/>
      <c r="C147" s="100" t="s">
        <v>7</v>
      </c>
      <c r="D147" s="387" t="s">
        <v>8</v>
      </c>
      <c r="E147" s="387" t="s">
        <v>9</v>
      </c>
      <c r="F147" s="387" t="s">
        <v>10</v>
      </c>
      <c r="G147" s="387" t="s">
        <v>11</v>
      </c>
      <c r="H147" s="387" t="s">
        <v>12</v>
      </c>
      <c r="I147" s="21" t="s">
        <v>766</v>
      </c>
      <c r="J147" s="116"/>
      <c r="K147" s="116"/>
      <c r="L147" s="116"/>
      <c r="M147" s="100" t="s">
        <v>7</v>
      </c>
      <c r="N147" s="387" t="s">
        <v>8</v>
      </c>
      <c r="O147" s="387" t="s">
        <v>9</v>
      </c>
      <c r="P147" s="387" t="s">
        <v>10</v>
      </c>
      <c r="Q147" s="387" t="s">
        <v>11</v>
      </c>
      <c r="R147" s="387" t="s">
        <v>12</v>
      </c>
      <c r="S147" s="21" t="s">
        <v>766</v>
      </c>
      <c r="T147" s="388"/>
    </row>
    <row r="148">
      <c r="A148" s="389" t="s">
        <v>91</v>
      </c>
      <c r="B148" s="389"/>
      <c r="C148" s="100">
        <v>1.0</v>
      </c>
      <c r="D148" s="390" t="str">
        <f t="array" ref="D148">IF('Teachers sched'!D148="", "", 
  IFERROR(
    VLOOKUP(
      'Teachers sched'!$A148 &amp; "|" &amp; 
      LEFT('Teachers sched'!D148, FIND("-", 'Teachers sched'!D148) - 1),
      {
        SALONES!$A:$A &amp; "|" &amp; SALONES!$B:$B,
        SALONES!$C:$C
      },
      2,
      FALSE
    ) &amp; " - " &amp; 'Teachers sched'!D148,
    'Teachers sched'!D148
  )
)
</f>
        <v>932 - AP Physics 1-1</v>
      </c>
      <c r="E148" s="390" t="str">
        <f t="array" ref="E148">IF('Teachers sched'!E148="", "", 
  IFERROR(
    VLOOKUP(
      'Teachers sched'!$A148 &amp; "|" &amp; 
      LEFT('Teachers sched'!E148, FIND("-", 'Teachers sched'!E148) - 1),
      {
        SALONES!$A:$A &amp; "|" &amp; SALONES!$B:$B,
        SALONES!$C:$C
      },
      2,
      FALSE
    ) &amp; " - " &amp; 'Teachers sched'!E148,
    'Teachers sched'!E148
  )
)
</f>
        <v/>
      </c>
      <c r="F148" s="390" t="str">
        <f t="array" ref="F148">IF('Teachers sched'!F148="", "", 
  IFERROR(
    VLOOKUP(
      'Teachers sched'!$A148 &amp; "|" &amp; 
      LEFT('Teachers sched'!F148, FIND("-", 'Teachers sched'!F148) - 1),
      {
        SALONES!$A:$A &amp; "|" &amp; SALONES!$B:$B,
        SALONES!$C:$C
      },
      2,
      FALSE
    ) &amp; " - " &amp; 'Teachers sched'!F148,
    'Teachers sched'!F148
  )
)
</f>
        <v>932 - AP Physics 2-1</v>
      </c>
      <c r="G148" s="390" t="str">
        <f t="array" ref="G148">IF('Teachers sched'!G148="", "", 
  IFERROR(
    VLOOKUP(
      'Teachers sched'!$A148 &amp; "|" &amp; 
      LEFT('Teachers sched'!G148, FIND("-", 'Teachers sched'!G148) - 1),
      {
        SALONES!$A:$A &amp; "|" &amp; SALONES!$B:$B,
        SALONES!$C:$C
      },
      2,
      FALSE
    ) &amp; " - " &amp; 'Teachers sched'!G148,
    'Teachers sched'!G148
  )
)
</f>
        <v>932 - Physics-4</v>
      </c>
      <c r="H148" s="390" t="str">
        <f t="array" ref="H148">IF('Teachers sched'!H148="", "", 
  IFERROR(
    VLOOKUP(
      'Teachers sched'!$A148 &amp; "|" &amp; 
      LEFT('Teachers sched'!H148, FIND("-", 'Teachers sched'!H148) - 1),
      {
        SALONES!$A:$A &amp; "|" &amp; SALONES!$B:$B,
        SALONES!$C:$C
      },
      2,
      FALSE
    ) &amp; " - " &amp; 'Teachers sched'!H148,
    'Teachers sched'!H148
  )
)
</f>
        <v>932 - AP Physics 2-2</v>
      </c>
      <c r="I148" s="391">
        <f>if(C146="","", 24-countifs(D148:H152,""))</f>
        <v>15</v>
      </c>
      <c r="J148" s="392"/>
      <c r="K148" s="389" t="s">
        <v>22</v>
      </c>
      <c r="L148" s="389" t="s">
        <v>22</v>
      </c>
      <c r="M148" s="100">
        <v>1.0</v>
      </c>
      <c r="N148" s="390" t="s">
        <v>22</v>
      </c>
      <c r="O148" s="390" t="s">
        <v>22</v>
      </c>
      <c r="P148" s="390" t="s">
        <v>22</v>
      </c>
      <c r="Q148" s="390" t="s">
        <v>22</v>
      </c>
      <c r="R148" s="390" t="s">
        <v>22</v>
      </c>
      <c r="S148" s="391" t="s">
        <v>22</v>
      </c>
      <c r="T148" s="393"/>
    </row>
    <row r="149">
      <c r="A149" s="389" t="s">
        <v>91</v>
      </c>
      <c r="B149" s="389"/>
      <c r="C149" s="100">
        <v>2.0</v>
      </c>
      <c r="D149" s="390" t="str">
        <f t="array" ref="D149">IF('Teachers sched'!D149="", "", 
  IFERROR(
    VLOOKUP(
      'Teachers sched'!$A149 &amp; "|" &amp; 
      LEFT('Teachers sched'!D149, FIND("-", 'Teachers sched'!D149) - 1),
      {
        SALONES!$A:$A &amp; "|" &amp; SALONES!$B:$B,
        SALONES!$C:$C
      },
      2,
      FALSE
    ) &amp; " - " &amp; 'Teachers sched'!D149,
    'Teachers sched'!D149
  )
)
</f>
        <v/>
      </c>
      <c r="E149" s="390" t="str">
        <f t="array" ref="E149">IF('Teachers sched'!E149="", "", 
  IFERROR(
    VLOOKUP(
      'Teachers sched'!$A149 &amp; "|" &amp; 
      LEFT('Teachers sched'!E149, FIND("-", 'Teachers sched'!E149) - 1),
      {
        SALONES!$A:$A &amp; "|" &amp; SALONES!$B:$B,
        SALONES!$C:$C
      },
      2,
      FALSE
    ) &amp; " - " &amp; 'Teachers sched'!E149,
    'Teachers sched'!E149
  )
)
</f>
        <v>932 - Physics-3</v>
      </c>
      <c r="F149" s="390" t="str">
        <f t="array" ref="F149">IF('Teachers sched'!F149="", "", 
  IFERROR(
    VLOOKUP(
      'Teachers sched'!$A149 &amp; "|" &amp; 
      LEFT('Teachers sched'!F149, FIND("-", 'Teachers sched'!F149) - 1),
      {
        SALONES!$A:$A &amp; "|" &amp; SALONES!$B:$B,
        SALONES!$C:$C
      },
      2,
      FALSE
    ) &amp; " - " &amp; 'Teachers sched'!F149,
    'Teachers sched'!F149
  )
)
</f>
        <v/>
      </c>
      <c r="G149" s="390" t="str">
        <f t="array" ref="G149">IF('Teachers sched'!G149="", "", 
  IFERROR(
    VLOOKUP(
      'Teachers sched'!$A149 &amp; "|" &amp; 
      LEFT('Teachers sched'!G149, FIND("-", 'Teachers sched'!G149) - 1),
      {
        SALONES!$A:$A &amp; "|" &amp; SALONES!$B:$B,
        SALONES!$C:$C
      },
      2,
      FALSE
    ) &amp; " - " &amp; 'Teachers sched'!G149,
    'Teachers sched'!G149
  )
)
</f>
        <v>932 - AP Physics 1-1</v>
      </c>
      <c r="H149" s="390" t="str">
        <f t="array" ref="H149">IF('Teachers sched'!H149="", "", 
  IFERROR(
    VLOOKUP(
      'Teachers sched'!$A149 &amp; "|" &amp; 
      LEFT('Teachers sched'!H149, FIND("-", 'Teachers sched'!H149) - 1),
      {
        SALONES!$A:$A &amp; "|" &amp; SALONES!$B:$B,
        SALONES!$C:$C
      },
      2,
      FALSE
    ) &amp; " - " &amp; 'Teachers sched'!H149,
    'Teachers sched'!H149
  )
)
</f>
        <v/>
      </c>
      <c r="I149" s="53"/>
      <c r="J149" s="392"/>
      <c r="K149" s="389" t="s">
        <v>22</v>
      </c>
      <c r="L149" s="389" t="s">
        <v>22</v>
      </c>
      <c r="M149" s="100">
        <v>2.0</v>
      </c>
      <c r="N149" s="390" t="s">
        <v>22</v>
      </c>
      <c r="O149" s="390" t="s">
        <v>22</v>
      </c>
      <c r="P149" s="390" t="s">
        <v>22</v>
      </c>
      <c r="Q149" s="390" t="s">
        <v>22</v>
      </c>
      <c r="R149" s="390" t="s">
        <v>22</v>
      </c>
      <c r="S149" s="53"/>
      <c r="T149" s="393"/>
    </row>
    <row r="150">
      <c r="A150" s="389" t="s">
        <v>91</v>
      </c>
      <c r="B150" s="389"/>
      <c r="C150" s="100">
        <v>3.0</v>
      </c>
      <c r="D150" s="390" t="str">
        <f t="array" ref="D150">IF('Teachers sched'!D150="", "", 
  IFERROR(
    VLOOKUP(
      'Teachers sched'!$A150 &amp; "|" &amp; 
      LEFT('Teachers sched'!D150, FIND("-", 'Teachers sched'!D150) - 1),
      {
        SALONES!$A:$A &amp; "|" &amp; SALONES!$B:$B,
        SALONES!$C:$C
      },
      2,
      FALSE
    ) &amp; " - " &amp; 'Teachers sched'!D150,
    'Teachers sched'!D150
  )
)
</f>
        <v>932 - AP Physics 2-1</v>
      </c>
      <c r="E150" s="390" t="str">
        <f t="array" ref="E150">IF('Teachers sched'!E150="", "", 
  IFERROR(
    VLOOKUP(
      'Teachers sched'!$A150 &amp; "|" &amp; 
      LEFT('Teachers sched'!E150, FIND("-", 'Teachers sched'!E150) - 1),
      {
        SALONES!$A:$A &amp; "|" &amp; SALONES!$B:$B,
        SALONES!$C:$C
      },
      2,
      FALSE
    ) &amp; " - " &amp; 'Teachers sched'!E150,
    'Teachers sched'!E150
  )
)
</f>
        <v>932 - Physics-4</v>
      </c>
      <c r="F150" s="390" t="str">
        <f t="array" ref="F150">IF('Teachers sched'!F150="", "", 
  IFERROR(
    VLOOKUP(
      'Teachers sched'!$A150 &amp; "|" &amp; 
      LEFT('Teachers sched'!F150, FIND("-", 'Teachers sched'!F150) - 1),
      {
        SALONES!$A:$A &amp; "|" &amp; SALONES!$B:$B,
        SALONES!$C:$C
      },
      2,
      FALSE
    ) &amp; " - " &amp; 'Teachers sched'!F150,
    'Teachers sched'!F150
  )
)
</f>
        <v>932 - AP Physics 2-2</v>
      </c>
      <c r="G150" s="390" t="str">
        <f t="array" ref="G150">IF('Teachers sched'!G150="", "", 
  IFERROR(
    VLOOKUP(
      'Teachers sched'!$A150 &amp; "|" &amp; 
      LEFT('Teachers sched'!G150, FIND("-", 'Teachers sched'!G150) - 1),
      {
        SALONES!$A:$A &amp; "|" &amp; SALONES!$B:$B,
        SALONES!$C:$C
      },
      2,
      FALSE
    ) &amp; " - " &amp; 'Teachers sched'!G150,
    'Teachers sched'!G150
  )
)
</f>
        <v/>
      </c>
      <c r="H150" s="395" t="str">
        <f t="array" ref="H150">IF('Teachers sched'!H150="", "", 
  IFERROR(
    VLOOKUP(
      'Teachers sched'!$A150 &amp; "|" &amp; 
      LEFT('Teachers sched'!H150, FIND("-", 'Teachers sched'!H150) - 1),
      {
        SALONES!$A:$A &amp; "|" &amp; SALONES!$B:$B,
        SALONES!$C:$C
      },
      2,
      FALSE
    ) &amp; " - " &amp; 'Teachers sched'!H150,
    'Teachers sched'!H150
  )
)
</f>
        <v>X-Block</v>
      </c>
      <c r="I150" s="53"/>
      <c r="J150" s="392"/>
      <c r="K150" s="389" t="s">
        <v>22</v>
      </c>
      <c r="L150" s="389" t="s">
        <v>22</v>
      </c>
      <c r="M150" s="100">
        <v>3.0</v>
      </c>
      <c r="N150" s="390" t="s">
        <v>22</v>
      </c>
      <c r="O150" s="390" t="s">
        <v>22</v>
      </c>
      <c r="P150" s="390" t="s">
        <v>22</v>
      </c>
      <c r="Q150" s="390" t="s">
        <v>22</v>
      </c>
      <c r="R150" s="395" t="s">
        <v>22</v>
      </c>
      <c r="S150" s="53"/>
      <c r="T150" s="393"/>
    </row>
    <row r="151">
      <c r="A151" s="389" t="s">
        <v>91</v>
      </c>
      <c r="B151" s="389"/>
      <c r="C151" s="100">
        <v>4.0</v>
      </c>
      <c r="D151" s="390" t="str">
        <f t="array" ref="D151">IF('Teachers sched'!D151="", "", 
  IFERROR(
    VLOOKUP(
      'Teachers sched'!$A151 &amp; "|" &amp; 
      LEFT('Teachers sched'!D151, FIND("-", 'Teachers sched'!D151) - 1),
      {
        SALONES!$A:$A &amp; "|" &amp; SALONES!$B:$B,
        SALONES!$C:$C
      },
      2,
      FALSE
    ) &amp; " - " &amp; 'Teachers sched'!D151,
    'Teachers sched'!D151
  )
)
</f>
        <v/>
      </c>
      <c r="E151" s="390" t="str">
        <f t="array" ref="E151">IF('Teachers sched'!E151="", "", 
  IFERROR(
    VLOOKUP(
      'Teachers sched'!$A151 &amp; "|" &amp; 
      LEFT('Teachers sched'!E151, FIND("-", 'Teachers sched'!E151) - 1),
      {
        SALONES!$A:$A &amp; "|" &amp; SALONES!$B:$B,
        SALONES!$C:$C
      },
      2,
      FALSE
    ) &amp; " - " &amp; 'Teachers sched'!E151,
    'Teachers sched'!E151
  )
)
</f>
        <v>932 - AP Physics 1-1</v>
      </c>
      <c r="F151" s="390" t="str">
        <f t="array" ref="F151">IF('Teachers sched'!F151="", "", 
  IFERROR(
    VLOOKUP(
      'Teachers sched'!$A151 &amp; "|" &amp; 
      LEFT('Teachers sched'!F151, FIND("-", 'Teachers sched'!F151) - 1),
      {
        SALONES!$A:$A &amp; "|" &amp; SALONES!$B:$B,
        SALONES!$C:$C
      },
      2,
      FALSE
    ) &amp; " - " &amp; 'Teachers sched'!F151,
    'Teachers sched'!F151
  )
)
</f>
        <v/>
      </c>
      <c r="G151" s="390" t="str">
        <f t="array" ref="G151">IF('Teachers sched'!G151="", "", 
  IFERROR(
    VLOOKUP(
      'Teachers sched'!$A151 &amp; "|" &amp; 
      LEFT('Teachers sched'!G151, FIND("-", 'Teachers sched'!G151) - 1),
      {
        SALONES!$A:$A &amp; "|" &amp; SALONES!$B:$B,
        SALONES!$C:$C
      },
      2,
      FALSE
    ) &amp; " - " &amp; 'Teachers sched'!G151,
    'Teachers sched'!G151
  )
)
</f>
        <v>932 - AP Physics 2-1</v>
      </c>
      <c r="H151" s="390" t="str">
        <f t="array" ref="H151">IF('Teachers sched'!H151="", "", 
  IFERROR(
    VLOOKUP(
      'Teachers sched'!$A151 &amp; "|" &amp; 
      LEFT('Teachers sched'!H151, FIND("-", 'Teachers sched'!H151) - 1),
      {
        SALONES!$A:$A &amp; "|" &amp; SALONES!$B:$B,
        SALONES!$C:$C
      },
      2,
      FALSE
    ) &amp; " - " &amp; 'Teachers sched'!H151,
    'Teachers sched'!H151
  )
)
</f>
        <v>932 - Physics-3</v>
      </c>
      <c r="I151" s="53"/>
      <c r="J151" s="392"/>
      <c r="K151" s="389" t="s">
        <v>22</v>
      </c>
      <c r="L151" s="389" t="s">
        <v>22</v>
      </c>
      <c r="M151" s="100">
        <v>4.0</v>
      </c>
      <c r="N151" s="390" t="s">
        <v>22</v>
      </c>
      <c r="O151" s="390" t="s">
        <v>22</v>
      </c>
      <c r="P151" s="390" t="s">
        <v>22</v>
      </c>
      <c r="Q151" s="390" t="s">
        <v>22</v>
      </c>
      <c r="R151" s="390" t="s">
        <v>22</v>
      </c>
      <c r="S151" s="53"/>
      <c r="T151" s="393"/>
    </row>
    <row r="152">
      <c r="A152" s="389" t="s">
        <v>91</v>
      </c>
      <c r="B152" s="389"/>
      <c r="C152" s="100">
        <v>5.0</v>
      </c>
      <c r="D152" s="390" t="str">
        <f t="array" ref="D152">IF('Teachers sched'!D152="", "", 
  IFERROR(
    VLOOKUP(
      'Teachers sched'!$A152 &amp; "|" &amp; 
      LEFT('Teachers sched'!D152, FIND("-", 'Teachers sched'!D152) - 1),
      {
        SALONES!$A:$A &amp; "|" &amp; SALONES!$B:$B,
        SALONES!$C:$C
      },
      2,
      FALSE
    ) &amp; " - " &amp; 'Teachers sched'!D152,
    'Teachers sched'!D152
  )
)
</f>
        <v>932 - AP Physics 2-2</v>
      </c>
      <c r="E152" s="390" t="str">
        <f t="array" ref="E152">IF('Teachers sched'!E152="", "", 
  IFERROR(
    VLOOKUP(
      'Teachers sched'!$A152 &amp; "|" &amp; 
      LEFT('Teachers sched'!E152, FIND("-", 'Teachers sched'!E152) - 1),
      {
        SALONES!$A:$A &amp; "|" &amp; SALONES!$B:$B,
        SALONES!$C:$C
      },
      2,
      FALSE
    ) &amp; " - " &amp; 'Teachers sched'!E152,
    'Teachers sched'!E152
  )
)
</f>
        <v/>
      </c>
      <c r="F152" s="390" t="str">
        <f t="array" ref="F152">IF('Teachers sched'!F152="", "", 
  IFERROR(
    VLOOKUP(
      'Teachers sched'!$A152 &amp; "|" &amp; 
      LEFT('Teachers sched'!F152, FIND("-", 'Teachers sched'!F152) - 1),
      {
        SALONES!$A:$A &amp; "|" &amp; SALONES!$B:$B,
        SALONES!$C:$C
      },
      2,
      FALSE
    ) &amp; " - " &amp; 'Teachers sched'!F152,
    'Teachers sched'!F152
  )
)
</f>
        <v>932 - Physics-3</v>
      </c>
      <c r="G152" s="390" t="str">
        <f t="array" ref="G152">IF('Teachers sched'!G152="", "", 
  IFERROR(
    VLOOKUP(
      'Teachers sched'!$A152 &amp; "|" &amp; 
      LEFT('Teachers sched'!G152, FIND("-", 'Teachers sched'!G152) - 1),
      {
        SALONES!$A:$A &amp; "|" &amp; SALONES!$B:$B,
        SALONES!$C:$C
      },
      2,
      FALSE
    ) &amp; " - " &amp; 'Teachers sched'!G152,
    'Teachers sched'!G152
  )
)
</f>
        <v/>
      </c>
      <c r="H152" s="390" t="str">
        <f t="array" ref="H152">IF('Teachers sched'!H152="", "", 
  IFERROR(
    VLOOKUP(
      'Teachers sched'!$A152 &amp; "|" &amp; 
      LEFT('Teachers sched'!H152, FIND("-", 'Teachers sched'!H152) - 1),
      {
        SALONES!$A:$A &amp; "|" &amp; SALONES!$B:$B,
        SALONES!$C:$C
      },
      2,
      FALSE
    ) &amp; " - " &amp; 'Teachers sched'!H152,
    'Teachers sched'!H152
  )
)
</f>
        <v>932 - Physics-4</v>
      </c>
      <c r="I152" s="68"/>
      <c r="J152" s="392"/>
      <c r="K152" s="389" t="s">
        <v>22</v>
      </c>
      <c r="L152" s="389" t="s">
        <v>22</v>
      </c>
      <c r="M152" s="100">
        <v>5.0</v>
      </c>
      <c r="N152" s="390" t="s">
        <v>22</v>
      </c>
      <c r="O152" s="390" t="s">
        <v>22</v>
      </c>
      <c r="P152" s="390" t="s">
        <v>22</v>
      </c>
      <c r="Q152" s="390" t="s">
        <v>22</v>
      </c>
      <c r="R152" s="390" t="s">
        <v>22</v>
      </c>
      <c r="S152" s="68"/>
      <c r="T152" s="393"/>
    </row>
    <row r="153">
      <c r="C153" s="3"/>
      <c r="D153" s="396"/>
      <c r="E153" s="396"/>
      <c r="F153" s="396"/>
      <c r="G153" s="396"/>
      <c r="H153" s="396"/>
      <c r="N153" s="397"/>
      <c r="O153" s="397"/>
      <c r="P153" s="397"/>
      <c r="Q153" s="397"/>
      <c r="R153" s="397"/>
    </row>
    <row r="154">
      <c r="A154" s="45"/>
      <c r="B154" s="45"/>
      <c r="C154" s="386" t="s">
        <v>39</v>
      </c>
      <c r="D154" s="383"/>
      <c r="E154" s="383"/>
      <c r="F154" s="383"/>
      <c r="G154" s="383"/>
      <c r="H154" s="384"/>
      <c r="I154" s="385" t="str">
        <f>IFERROR(__xludf.DUMMYFUNCTION("if(C154="""","""", iferror(filter(Schedule!$K:$K,Schedule!$L:$L=$C154,Schedule!$K:$K=""S1""),unique(filter(Schedule!$K:$K,Schedule!$L:$L=$C154,Schedule!$K:$K=""""))))"),"")</f>
        <v/>
      </c>
      <c r="M154" s="386" t="s">
        <v>22</v>
      </c>
      <c r="N154" s="383"/>
      <c r="O154" s="383"/>
      <c r="P154" s="383"/>
      <c r="Q154" s="383"/>
      <c r="R154" s="384"/>
      <c r="S154" s="385" t="s">
        <v>22</v>
      </c>
      <c r="T154" s="112"/>
    </row>
    <row r="155">
      <c r="A155" s="116"/>
      <c r="B155" s="116"/>
      <c r="C155" s="100" t="s">
        <v>7</v>
      </c>
      <c r="D155" s="387" t="s">
        <v>8</v>
      </c>
      <c r="E155" s="387" t="s">
        <v>9</v>
      </c>
      <c r="F155" s="387" t="s">
        <v>10</v>
      </c>
      <c r="G155" s="387" t="s">
        <v>11</v>
      </c>
      <c r="H155" s="387" t="s">
        <v>12</v>
      </c>
      <c r="I155" s="21" t="s">
        <v>766</v>
      </c>
      <c r="J155" s="116"/>
      <c r="K155" s="116"/>
      <c r="L155" s="116"/>
      <c r="M155" s="100" t="s">
        <v>7</v>
      </c>
      <c r="N155" s="387" t="s">
        <v>8</v>
      </c>
      <c r="O155" s="387" t="s">
        <v>9</v>
      </c>
      <c r="P155" s="387" t="s">
        <v>10</v>
      </c>
      <c r="Q155" s="387" t="s">
        <v>11</v>
      </c>
      <c r="R155" s="387" t="s">
        <v>12</v>
      </c>
      <c r="S155" s="21" t="s">
        <v>766</v>
      </c>
      <c r="T155" s="388"/>
    </row>
    <row r="156">
      <c r="A156" s="389" t="s">
        <v>39</v>
      </c>
      <c r="B156" s="389" t="s">
        <v>22</v>
      </c>
      <c r="C156" s="100">
        <v>1.0</v>
      </c>
      <c r="D156" s="390" t="str">
        <f t="array" ref="D156">IF('Teachers sched'!D156="", "", 
  IFERROR(
    VLOOKUP(
      'Teachers sched'!$A156 &amp; "|" &amp; 
      LEFT('Teachers sched'!D156, FIND("-", 'Teachers sched'!D156) - 1),
      {
        SALONES!$A:$A &amp; "|" &amp; SALONES!$B:$B,
        SALONES!$C:$C
      },
      2,
      FALSE
    ) &amp; " - " &amp; 'Teachers sched'!D156,
    'Teachers sched'!D156
  )
)
</f>
        <v>903 - English 9-1</v>
      </c>
      <c r="E156" s="390" t="str">
        <f t="array" ref="E156">IF('Teachers sched'!E156="", "", 
  IFERROR(
    VLOOKUP(
      'Teachers sched'!$A156 &amp; "|" &amp; 
      LEFT('Teachers sched'!E156, FIND("-", 'Teachers sched'!E156) - 1),
      {
        SALONES!$A:$A &amp; "|" &amp; SALONES!$B:$B,
        SALONES!$C:$C
      },
      2,
      FALSE
    ) &amp; " - " &amp; 'Teachers sched'!E156,
    'Teachers sched'!E156
  )
)
</f>
        <v>903 - English 9-2</v>
      </c>
      <c r="F156" s="390" t="str">
        <f t="array" ref="F156">IF('Teachers sched'!F156="", "", 
  IFERROR(
    VLOOKUP(
      'Teachers sched'!$A156 &amp; "|" &amp; 
      LEFT('Teachers sched'!F156, FIND("-", 'Teachers sched'!F156) - 1),
      {
        SALONES!$A:$A &amp; "|" &amp; SALONES!$B:$B,
        SALONES!$C:$C
      },
      2,
      FALSE
    ) &amp; " - " &amp; 'Teachers sched'!F156,
    'Teachers sched'!F156
  )
)
</f>
        <v>903 - Journalism Intermediate Level-2</v>
      </c>
      <c r="G156" s="390" t="str">
        <f t="array" ref="G156">IF('Teachers sched'!G156="", "", 
  IFERROR(
    VLOOKUP(
      'Teachers sched'!$A156 &amp; "|" &amp; 
      LEFT('Teachers sched'!G156, FIND("-", 'Teachers sched'!G156) - 1),
      {
        SALONES!$A:$A &amp; "|" &amp; SALONES!$B:$B,
        SALONES!$C:$C
      },
      2,
      FALSE
    ) &amp; " - " &amp; 'Teachers sched'!G156,
    'Teachers sched'!G156
  )
)
</f>
        <v/>
      </c>
      <c r="H156" s="390" t="str">
        <f t="array" ref="H156">IF('Teachers sched'!H156="", "", 
  IFERROR(
    VLOOKUP(
      'Teachers sched'!$A156 &amp; "|" &amp; 
      LEFT('Teachers sched'!H156, FIND("-", 'Teachers sched'!H156) - 1),
      {
        SALONES!$A:$A &amp; "|" &amp; SALONES!$B:$B,
        SALONES!$C:$C
      },
      2,
      FALSE
    ) &amp; " - " &amp; 'Teachers sched'!H156,
    'Teachers sched'!H156
  )
)
</f>
        <v/>
      </c>
      <c r="I156" s="391">
        <f>if(C154="","", 24-countifs(D156:H160,""))</f>
        <v>15</v>
      </c>
      <c r="J156" s="392"/>
      <c r="K156" s="389" t="s">
        <v>22</v>
      </c>
      <c r="L156" s="389" t="s">
        <v>22</v>
      </c>
      <c r="M156" s="100">
        <v>1.0</v>
      </c>
      <c r="N156" s="390" t="s">
        <v>22</v>
      </c>
      <c r="O156" s="390" t="s">
        <v>22</v>
      </c>
      <c r="P156" s="390" t="s">
        <v>22</v>
      </c>
      <c r="Q156" s="390" t="s">
        <v>22</v>
      </c>
      <c r="R156" s="390" t="s">
        <v>22</v>
      </c>
      <c r="S156" s="391" t="s">
        <v>22</v>
      </c>
      <c r="T156" s="393"/>
    </row>
    <row r="157">
      <c r="A157" s="389" t="s">
        <v>39</v>
      </c>
      <c r="B157" s="389" t="s">
        <v>22</v>
      </c>
      <c r="C157" s="100">
        <v>2.0</v>
      </c>
      <c r="D157" s="390" t="str">
        <f t="array" ref="D157">IF('Teachers sched'!D157="", "", 
  IFERROR(
    VLOOKUP(
      'Teachers sched'!$A157 &amp; "|" &amp; 
      LEFT('Teachers sched'!D157, FIND("-", 'Teachers sched'!D157) - 1),
      {
        SALONES!$A:$A &amp; "|" &amp; SALONES!$B:$B,
        SALONES!$C:$C
      },
      2,
      FALSE
    ) &amp; " - " &amp; 'Teachers sched'!D157,
    'Teachers sched'!D157
  )
)
</f>
        <v>903 - Journalism Intermediate Level-1</v>
      </c>
      <c r="E157" s="390" t="str">
        <f t="array" ref="E157">IF('Teachers sched'!E157="", "", 
  IFERROR(
    VLOOKUP(
      'Teachers sched'!$A157 &amp; "|" &amp; 
      LEFT('Teachers sched'!E157, FIND("-", 'Teachers sched'!E157) - 1),
      {
        SALONES!$A:$A &amp; "|" &amp; SALONES!$B:$B,
        SALONES!$C:$C
      },
      2,
      FALSE
    ) &amp; " - " &amp; 'Teachers sched'!E157,
    'Teachers sched'!E157
  )
)
</f>
        <v>903 - English 9-3</v>
      </c>
      <c r="F157" s="390" t="str">
        <f t="array" ref="F157">IF('Teachers sched'!F157="", "", 
  IFERROR(
    VLOOKUP(
      'Teachers sched'!$A157 &amp; "|" &amp; 
      LEFT('Teachers sched'!F157, FIND("-", 'Teachers sched'!F157) - 1),
      {
        SALONES!$A:$A &amp; "|" &amp; SALONES!$B:$B,
        SALONES!$C:$C
      },
      2,
      FALSE
    ) &amp; " - " &amp; 'Teachers sched'!F157,
    'Teachers sched'!F157
  )
)
</f>
        <v/>
      </c>
      <c r="G157" s="390" t="str">
        <f t="array" ref="G157">IF('Teachers sched'!G157="", "", 
  IFERROR(
    VLOOKUP(
      'Teachers sched'!$A157 &amp; "|" &amp; 
      LEFT('Teachers sched'!G157, FIND("-", 'Teachers sched'!G157) - 1),
      {
        SALONES!$A:$A &amp; "|" &amp; SALONES!$B:$B,
        SALONES!$C:$C
      },
      2,
      FALSE
    ) &amp; " - " &amp; 'Teachers sched'!G157,
    'Teachers sched'!G157
  )
)
</f>
        <v>903 - English 9-1</v>
      </c>
      <c r="H157" s="390" t="str">
        <f t="array" ref="H157">IF('Teachers sched'!H157="", "", 
  IFERROR(
    VLOOKUP(
      'Teachers sched'!$A157 &amp; "|" &amp; 
      LEFT('Teachers sched'!H157, FIND("-", 'Teachers sched'!H157) - 1),
      {
        SALONES!$A:$A &amp; "|" &amp; SALONES!$B:$B,
        SALONES!$C:$C
      },
      2,
      FALSE
    ) &amp; " - " &amp; 'Teachers sched'!H157,
    'Teachers sched'!H157
  )
)
</f>
        <v>903 - English 9-2</v>
      </c>
      <c r="I157" s="53"/>
      <c r="J157" s="392"/>
      <c r="K157" s="389" t="s">
        <v>22</v>
      </c>
      <c r="L157" s="389" t="s">
        <v>22</v>
      </c>
      <c r="M157" s="100">
        <v>2.0</v>
      </c>
      <c r="N157" s="390" t="s">
        <v>22</v>
      </c>
      <c r="O157" s="390" t="s">
        <v>22</v>
      </c>
      <c r="P157" s="390" t="s">
        <v>22</v>
      </c>
      <c r="Q157" s="390" t="s">
        <v>22</v>
      </c>
      <c r="R157" s="390" t="s">
        <v>22</v>
      </c>
      <c r="S157" s="53"/>
      <c r="T157" s="393"/>
    </row>
    <row r="158">
      <c r="A158" s="389" t="s">
        <v>39</v>
      </c>
      <c r="B158" s="389" t="s">
        <v>22</v>
      </c>
      <c r="C158" s="100">
        <v>3.0</v>
      </c>
      <c r="D158" s="390" t="str">
        <f t="array" ref="D158">IF('Teachers sched'!D158="", "", 
  IFERROR(
    VLOOKUP(
      'Teachers sched'!$A158 &amp; "|" &amp; 
      LEFT('Teachers sched'!D158, FIND("-", 'Teachers sched'!D158) - 1),
      {
        SALONES!$A:$A &amp; "|" &amp; SALONES!$B:$B,
        SALONES!$C:$C
      },
      2,
      FALSE
    ) &amp; " - " &amp; 'Teachers sched'!D158,
    'Teachers sched'!D158
  )
)
</f>
        <v>903 - Journalism Intermediate Level-2</v>
      </c>
      <c r="E158" s="390" t="str">
        <f t="array" ref="E158">IF('Teachers sched'!E158="", "", 
  IFERROR(
    VLOOKUP(
      'Teachers sched'!$A158 &amp; "|" &amp; 
      LEFT('Teachers sched'!E158, FIND("-", 'Teachers sched'!E158) - 1),
      {
        SALONES!$A:$A &amp; "|" &amp; SALONES!$B:$B,
        SALONES!$C:$C
      },
      2,
      FALSE
    ) &amp; " - " &amp; 'Teachers sched'!E158,
    'Teachers sched'!E158
  )
)
</f>
        <v/>
      </c>
      <c r="F158" s="390" t="str">
        <f t="array" ref="F158">IF('Teachers sched'!F158="", "", 
  IFERROR(
    VLOOKUP(
      'Teachers sched'!$A158 &amp; "|" &amp; 
      LEFT('Teachers sched'!F158, FIND("-", 'Teachers sched'!F158) - 1),
      {
        SALONES!$A:$A &amp; "|" &amp; SALONES!$B:$B,
        SALONES!$C:$C
      },
      2,
      FALSE
    ) &amp; " - " &amp; 'Teachers sched'!F158,
    'Teachers sched'!F158
  )
)
</f>
        <v/>
      </c>
      <c r="G158" s="390" t="str">
        <f t="array" ref="G158">IF('Teachers sched'!G158="", "", 
  IFERROR(
    VLOOKUP(
      'Teachers sched'!$A158 &amp; "|" &amp; 
      LEFT('Teachers sched'!G158, FIND("-", 'Teachers sched'!G158) - 1),
      {
        SALONES!$A:$A &amp; "|" &amp; SALONES!$B:$B,
        SALONES!$C:$C
      },
      2,
      FALSE
    ) &amp; " - " &amp; 'Teachers sched'!G158,
    'Teachers sched'!G158
  )
)
</f>
        <v>903 - Journalism Intermediate Level-1</v>
      </c>
      <c r="H158" s="395" t="str">
        <f t="array" ref="H158">IF('Teachers sched'!H158="", "", 
  IFERROR(
    VLOOKUP(
      'Teachers sched'!$A158 &amp; "|" &amp; 
      LEFT('Teachers sched'!H158, FIND("-", 'Teachers sched'!H158) - 1),
      {
        SALONES!$A:$A &amp; "|" &amp; SALONES!$B:$B,
        SALONES!$C:$C
      },
      2,
      FALSE
    ) &amp; " - " &amp; 'Teachers sched'!H158,
    'Teachers sched'!H158
  )
)
</f>
        <v>X-Block</v>
      </c>
      <c r="I158" s="53"/>
      <c r="J158" s="392"/>
      <c r="K158" s="389" t="s">
        <v>22</v>
      </c>
      <c r="L158" s="389" t="s">
        <v>22</v>
      </c>
      <c r="M158" s="100">
        <v>3.0</v>
      </c>
      <c r="N158" s="390" t="s">
        <v>22</v>
      </c>
      <c r="O158" s="390" t="s">
        <v>22</v>
      </c>
      <c r="P158" s="390" t="s">
        <v>22</v>
      </c>
      <c r="Q158" s="390" t="s">
        <v>22</v>
      </c>
      <c r="R158" s="395" t="s">
        <v>22</v>
      </c>
      <c r="S158" s="53"/>
      <c r="T158" s="393"/>
    </row>
    <row r="159">
      <c r="A159" s="389" t="s">
        <v>39</v>
      </c>
      <c r="B159" s="389" t="s">
        <v>22</v>
      </c>
      <c r="C159" s="100">
        <v>4.0</v>
      </c>
      <c r="D159" s="390" t="str">
        <f t="array" ref="D159">IF('Teachers sched'!D159="", "", 
  IFERROR(
    VLOOKUP(
      'Teachers sched'!$A159 &amp; "|" &amp; 
      LEFT('Teachers sched'!D159, FIND("-", 'Teachers sched'!D159) - 1),
      {
        SALONES!$A:$A &amp; "|" &amp; SALONES!$B:$B,
        SALONES!$C:$C
      },
      2,
      FALSE
    ) &amp; " - " &amp; 'Teachers sched'!D159,
    'Teachers sched'!D159
  )
)
</f>
        <v/>
      </c>
      <c r="E159" s="390" t="str">
        <f t="array" ref="E159">IF('Teachers sched'!E159="", "", 
  IFERROR(
    VLOOKUP(
      'Teachers sched'!$A159 &amp; "|" &amp; 
      LEFT('Teachers sched'!E159, FIND("-", 'Teachers sched'!E159) - 1),
      {
        SALONES!$A:$A &amp; "|" &amp; SALONES!$B:$B,
        SALONES!$C:$C
      },
      2,
      FALSE
    ) &amp; " - " &amp; 'Teachers sched'!E159,
    'Teachers sched'!E159
  )
)
</f>
        <v>903 - English 9-1</v>
      </c>
      <c r="F159" s="390" t="str">
        <f t="array" ref="F159">IF('Teachers sched'!F159="", "", 
  IFERROR(
    VLOOKUP(
      'Teachers sched'!$A159 &amp; "|" &amp; 
      LEFT('Teachers sched'!F159, FIND("-", 'Teachers sched'!F159) - 1),
      {
        SALONES!$A:$A &amp; "|" &amp; SALONES!$B:$B,
        SALONES!$C:$C
      },
      2,
      FALSE
    ) &amp; " - " &amp; 'Teachers sched'!F159,
    'Teachers sched'!F159
  )
)
</f>
        <v>903 - English 9-2</v>
      </c>
      <c r="G159" s="390" t="str">
        <f t="array" ref="G159">IF('Teachers sched'!G159="", "", 
  IFERROR(
    VLOOKUP(
      'Teachers sched'!$A159 &amp; "|" &amp; 
      LEFT('Teachers sched'!G159, FIND("-", 'Teachers sched'!G159) - 1),
      {
        SALONES!$A:$A &amp; "|" &amp; SALONES!$B:$B,
        SALONES!$C:$C
      },
      2,
      FALSE
    ) &amp; " - " &amp; 'Teachers sched'!G159,
    'Teachers sched'!G159
  )
)
</f>
        <v>903 - Journalism Intermediate Level-2</v>
      </c>
      <c r="H159" s="390" t="str">
        <f t="array" ref="H159">IF('Teachers sched'!H159="", "", 
  IFERROR(
    VLOOKUP(
      'Teachers sched'!$A159 &amp; "|" &amp; 
      LEFT('Teachers sched'!H159, FIND("-", 'Teachers sched'!H159) - 1),
      {
        SALONES!$A:$A &amp; "|" &amp; SALONES!$B:$B,
        SALONES!$C:$C
      },
      2,
      FALSE
    ) &amp; " - " &amp; 'Teachers sched'!H159,
    'Teachers sched'!H159
  )
)
</f>
        <v>903 - English 9-3</v>
      </c>
      <c r="I159" s="53"/>
      <c r="J159" s="392"/>
      <c r="K159" s="389" t="s">
        <v>22</v>
      </c>
      <c r="L159" s="389" t="s">
        <v>22</v>
      </c>
      <c r="M159" s="100">
        <v>4.0</v>
      </c>
      <c r="N159" s="390" t="s">
        <v>22</v>
      </c>
      <c r="O159" s="390" t="s">
        <v>22</v>
      </c>
      <c r="P159" s="390" t="s">
        <v>22</v>
      </c>
      <c r="Q159" s="390" t="s">
        <v>22</v>
      </c>
      <c r="R159" s="390" t="s">
        <v>22</v>
      </c>
      <c r="S159" s="53"/>
      <c r="T159" s="393"/>
    </row>
    <row r="160">
      <c r="A160" s="389" t="s">
        <v>39</v>
      </c>
      <c r="B160" s="389" t="s">
        <v>22</v>
      </c>
      <c r="C160" s="100">
        <v>5.0</v>
      </c>
      <c r="D160" s="390" t="str">
        <f t="array" ref="D160">IF('Teachers sched'!D160="", "", 
  IFERROR(
    VLOOKUP(
      'Teachers sched'!$A160 &amp; "|" &amp; 
      LEFT('Teachers sched'!D160, FIND("-", 'Teachers sched'!D160) - 1),
      {
        SALONES!$A:$A &amp; "|" &amp; SALONES!$B:$B,
        SALONES!$C:$C
      },
      2,
      FALSE
    ) &amp; " - " &amp; 'Teachers sched'!D160,
    'Teachers sched'!D160
  )
)
</f>
        <v/>
      </c>
      <c r="E160" s="390" t="str">
        <f t="array" ref="E160">IF('Teachers sched'!E160="", "", 
  IFERROR(
    VLOOKUP(
      'Teachers sched'!$A160 &amp; "|" &amp; 
      LEFT('Teachers sched'!E160, FIND("-", 'Teachers sched'!E160) - 1),
      {
        SALONES!$A:$A &amp; "|" &amp; SALONES!$B:$B,
        SALONES!$C:$C
      },
      2,
      FALSE
    ) &amp; " - " &amp; 'Teachers sched'!E160,
    'Teachers sched'!E160
  )
)
</f>
        <v>903 - Journalism Intermediate Level-1</v>
      </c>
      <c r="F160" s="390" t="str">
        <f t="array" ref="F160">IF('Teachers sched'!F160="", "", 
  IFERROR(
    VLOOKUP(
      'Teachers sched'!$A160 &amp; "|" &amp; 
      LEFT('Teachers sched'!F160, FIND("-", 'Teachers sched'!F160) - 1),
      {
        SALONES!$A:$A &amp; "|" &amp; SALONES!$B:$B,
        SALONES!$C:$C
      },
      2,
      FALSE
    ) &amp; " - " &amp; 'Teachers sched'!F160,
    'Teachers sched'!F160
  )
)
</f>
        <v>903 - English 9-3</v>
      </c>
      <c r="G160" s="390" t="str">
        <f t="array" ref="G160">IF('Teachers sched'!G160="", "", 
  IFERROR(
    VLOOKUP(
      'Teachers sched'!$A160 &amp; "|" &amp; 
      LEFT('Teachers sched'!G160, FIND("-", 'Teachers sched'!G160) - 1),
      {
        SALONES!$A:$A &amp; "|" &amp; SALONES!$B:$B,
        SALONES!$C:$C
      },
      2,
      FALSE
    ) &amp; " - " &amp; 'Teachers sched'!G160,
    'Teachers sched'!G160
  )
)
</f>
        <v/>
      </c>
      <c r="H160" s="390" t="str">
        <f t="array" ref="H160">IF('Teachers sched'!H160="", "", 
  IFERROR(
    VLOOKUP(
      'Teachers sched'!$A160 &amp; "|" &amp; 
      LEFT('Teachers sched'!H160, FIND("-", 'Teachers sched'!H160) - 1),
      {
        SALONES!$A:$A &amp; "|" &amp; SALONES!$B:$B,
        SALONES!$C:$C
      },
      2,
      FALSE
    ) &amp; " - " &amp; 'Teachers sched'!H160,
    'Teachers sched'!H160
  )
)
</f>
        <v/>
      </c>
      <c r="I160" s="68"/>
      <c r="J160" s="392"/>
      <c r="K160" s="389" t="s">
        <v>22</v>
      </c>
      <c r="L160" s="389" t="s">
        <v>22</v>
      </c>
      <c r="M160" s="100">
        <v>5.0</v>
      </c>
      <c r="N160" s="390" t="s">
        <v>22</v>
      </c>
      <c r="O160" s="390" t="s">
        <v>22</v>
      </c>
      <c r="P160" s="390" t="s">
        <v>22</v>
      </c>
      <c r="Q160" s="390" t="s">
        <v>22</v>
      </c>
      <c r="R160" s="390" t="s">
        <v>22</v>
      </c>
      <c r="S160" s="68"/>
      <c r="T160" s="393"/>
    </row>
    <row r="161">
      <c r="C161" s="3"/>
      <c r="D161" s="396"/>
      <c r="E161" s="396"/>
      <c r="F161" s="396"/>
      <c r="G161" s="396"/>
      <c r="H161" s="396"/>
      <c r="N161" s="397"/>
      <c r="O161" s="397"/>
      <c r="P161" s="397"/>
      <c r="Q161" s="397"/>
      <c r="R161" s="397"/>
    </row>
    <row r="162">
      <c r="A162" s="45"/>
      <c r="B162" s="45"/>
      <c r="C162" s="386" t="s">
        <v>119</v>
      </c>
      <c r="D162" s="383"/>
      <c r="E162" s="383"/>
      <c r="F162" s="383"/>
      <c r="G162" s="383"/>
      <c r="H162" s="384"/>
      <c r="I162" s="385" t="str">
        <f>IFERROR(__xludf.DUMMYFUNCTION("if(C162="""","""", iferror(filter(Schedule!$K:$K,Schedule!$L:$L=$C162,Schedule!$K:$K=""S1""),unique(filter(Schedule!$K:$K,Schedule!$L:$L=$C162,Schedule!$K:$K=""""))))"),"")</f>
        <v/>
      </c>
      <c r="M162" s="386" t="s">
        <v>22</v>
      </c>
      <c r="N162" s="383"/>
      <c r="O162" s="383"/>
      <c r="P162" s="383"/>
      <c r="Q162" s="383"/>
      <c r="R162" s="384"/>
      <c r="S162" s="385" t="s">
        <v>22</v>
      </c>
      <c r="T162" s="112"/>
    </row>
    <row r="163">
      <c r="A163" s="116"/>
      <c r="B163" s="116"/>
      <c r="C163" s="100" t="s">
        <v>7</v>
      </c>
      <c r="D163" s="387" t="s">
        <v>8</v>
      </c>
      <c r="E163" s="387" t="s">
        <v>9</v>
      </c>
      <c r="F163" s="387" t="s">
        <v>10</v>
      </c>
      <c r="G163" s="387" t="s">
        <v>11</v>
      </c>
      <c r="H163" s="387" t="s">
        <v>12</v>
      </c>
      <c r="I163" s="21" t="s">
        <v>766</v>
      </c>
      <c r="J163" s="116"/>
      <c r="K163" s="116"/>
      <c r="L163" s="116"/>
      <c r="M163" s="100" t="s">
        <v>7</v>
      </c>
      <c r="N163" s="387" t="s">
        <v>8</v>
      </c>
      <c r="O163" s="387" t="s">
        <v>9</v>
      </c>
      <c r="P163" s="387" t="s">
        <v>10</v>
      </c>
      <c r="Q163" s="387" t="s">
        <v>11</v>
      </c>
      <c r="R163" s="387" t="s">
        <v>12</v>
      </c>
      <c r="S163" s="21" t="s">
        <v>766</v>
      </c>
      <c r="T163" s="388"/>
    </row>
    <row r="164">
      <c r="A164" s="389" t="s">
        <v>119</v>
      </c>
      <c r="B164" s="389" t="s">
        <v>22</v>
      </c>
      <c r="C164" s="100">
        <v>1.0</v>
      </c>
      <c r="D164" s="390" t="str">
        <f t="array" ref="D164">IF('Teachers sched'!D164="", "", 
  IFERROR(
    VLOOKUP(
      'Teachers sched'!$A164 &amp; "|" &amp; 
      LEFT('Teachers sched'!D164, FIND("-", 'Teachers sched'!D164) - 1),
      {
        SALONES!$A:$A &amp; "|" &amp; SALONES!$B:$B,
        SALONES!$C:$C
      },
      2,
      FALSE
    ) &amp; " - " &amp; 'Teachers sched'!D164,
    'Teachers sched'!D164
  )
)
</f>
        <v>900C - Technology 9-1</v>
      </c>
      <c r="E164" s="390" t="str">
        <f t="array" ref="E164">IF('Teachers sched'!E164="", "", 
  IFERROR(
    VLOOKUP(
      'Teachers sched'!$A164 &amp; "|" &amp; 
      LEFT('Teachers sched'!E164, FIND("-", 'Teachers sched'!E164) - 1),
      {
        SALONES!$A:$A &amp; "|" &amp; SALONES!$B:$B,
        SALONES!$C:$C
      },
      2,
      FALSE
    ) &amp; " - " &amp; 'Teachers sched'!E164,
    'Teachers sched'!E164
  )
)
</f>
        <v>900C - FRC 9-5</v>
      </c>
      <c r="F164" s="390" t="str">
        <f t="array" ref="F164">IF('Teachers sched'!F164="", "", 
  IFERROR(
    VLOOKUP(
      'Teachers sched'!$A164 &amp; "|" &amp; 
      LEFT('Teachers sched'!F164, FIND("-", 'Teachers sched'!F164) - 1),
      {
        SALONES!$A:$A &amp; "|" &amp; SALONES!$B:$B,
        SALONES!$C:$C
      },
      2,
      FALSE
    ) &amp; " - " &amp; 'Teachers sched'!F164,
    'Teachers sched'!F164
  )
)
</f>
        <v>900C - Technology 9-2</v>
      </c>
      <c r="G164" s="390" t="str">
        <f t="array" ref="G164">IF('Teachers sched'!G164="", "", 
  IFERROR(
    VLOOKUP(
      'Teachers sched'!$A164 &amp; "|" &amp; 
      LEFT('Teachers sched'!G164, FIND("-", 'Teachers sched'!G164) - 1),
      {
        SALONES!$A:$A &amp; "|" &amp; SALONES!$B:$B,
        SALONES!$C:$C
      },
      2,
      FALSE
    ) &amp; " - " &amp; 'Teachers sched'!G164,
    'Teachers sched'!G164
  )
)
</f>
        <v/>
      </c>
      <c r="H164" s="390" t="str">
        <f t="array" ref="H164">IF('Teachers sched'!H164="", "", 
  IFERROR(
    VLOOKUP(
      'Teachers sched'!$A164 &amp; "|" &amp; 
      LEFT('Teachers sched'!H164, FIND("-", 'Teachers sched'!H164) - 1),
      {
        SALONES!$A:$A &amp; "|" &amp; SALONES!$B:$B,
        SALONES!$C:$C
      },
      2,
      FALSE
    ) &amp; " - " &amp; 'Teachers sched'!H164,
    'Teachers sched'!H164
  )
)
</f>
        <v>900C - Technology 9-3</v>
      </c>
      <c r="I164" s="391">
        <f>if(C162="","", 24-countifs(D164:H168,""))</f>
        <v>15</v>
      </c>
      <c r="J164" s="392"/>
      <c r="K164" s="389" t="s">
        <v>22</v>
      </c>
      <c r="L164" s="389" t="s">
        <v>22</v>
      </c>
      <c r="M164" s="100">
        <v>1.0</v>
      </c>
      <c r="N164" s="390" t="s">
        <v>22</v>
      </c>
      <c r="O164" s="390" t="s">
        <v>22</v>
      </c>
      <c r="P164" s="390" t="s">
        <v>22</v>
      </c>
      <c r="Q164" s="390" t="s">
        <v>22</v>
      </c>
      <c r="R164" s="390" t="s">
        <v>22</v>
      </c>
      <c r="S164" s="391" t="s">
        <v>22</v>
      </c>
      <c r="T164" s="393"/>
    </row>
    <row r="165">
      <c r="A165" s="389" t="s">
        <v>119</v>
      </c>
      <c r="B165" s="389" t="s">
        <v>22</v>
      </c>
      <c r="C165" s="100">
        <v>2.0</v>
      </c>
      <c r="D165" s="390" t="str">
        <f t="array" ref="D165">IF('Teachers sched'!D165="", "", 
  IFERROR(
    VLOOKUP(
      'Teachers sched'!$A165 &amp; "|" &amp; 
      LEFT('Teachers sched'!D165, FIND("-", 'Teachers sched'!D165) - 1),
      {
        SALONES!$A:$A &amp; "|" &amp; SALONES!$B:$B,
        SALONES!$C:$C
      },
      2,
      FALSE
    ) &amp; " - " &amp; 'Teachers sched'!D165,
    'Teachers sched'!D165
  )
)
</f>
        <v/>
      </c>
      <c r="E165" s="390" t="str">
        <f t="array" ref="E165">IF('Teachers sched'!E165="", "", 
  IFERROR(
    VLOOKUP(
      'Teachers sched'!$A165 &amp; "|" &amp; 
      LEFT('Teachers sched'!E165, FIND("-", 'Teachers sched'!E165) - 1),
      {
        SALONES!$A:$A &amp; "|" &amp; SALONES!$B:$B,
        SALONES!$C:$C
      },
      2,
      FALSE
    ) &amp; " - " &amp; 'Teachers sched'!E165,
    'Teachers sched'!E165
  )
)
</f>
        <v/>
      </c>
      <c r="F165" s="390" t="str">
        <f t="array" ref="F165">IF('Teachers sched'!F165="", "", 
  IFERROR(
    VLOOKUP(
      'Teachers sched'!$A165 &amp; "|" &amp; 
      LEFT('Teachers sched'!F165, FIND("-", 'Teachers sched'!F165) - 1),
      {
        SALONES!$A:$A &amp; "|" &amp; SALONES!$B:$B,
        SALONES!$C:$C
      },
      2,
      FALSE
    ) &amp; " - " &amp; 'Teachers sched'!F165,
    'Teachers sched'!F165
  )
)
</f>
        <v>900C - Creative Design-1</v>
      </c>
      <c r="G165" s="390" t="str">
        <f t="array" ref="G165">IF('Teachers sched'!G165="", "", 
  IFERROR(
    VLOOKUP(
      'Teachers sched'!$A165 &amp; "|" &amp; 
      LEFT('Teachers sched'!G165, FIND("-", 'Teachers sched'!G165) - 1),
      {
        SALONES!$A:$A &amp; "|" &amp; SALONES!$B:$B,
        SALONES!$C:$C
      },
      2,
      FALSE
    ) &amp; " - " &amp; 'Teachers sched'!G165,
    'Teachers sched'!G165
  )
)
</f>
        <v>900C - Technology 9-1</v>
      </c>
      <c r="H165" s="390" t="str">
        <f t="array" ref="H165">IF('Teachers sched'!H165="", "", 
  IFERROR(
    VLOOKUP(
      'Teachers sched'!$A165 &amp; "|" &amp; 
      LEFT('Teachers sched'!H165, FIND("-", 'Teachers sched'!H165) - 1),
      {
        SALONES!$A:$A &amp; "|" &amp; SALONES!$B:$B,
        SALONES!$C:$C
      },
      2,
      FALSE
    ) &amp; " - " &amp; 'Teachers sched'!H165,
    'Teachers sched'!H165
  )
)
</f>
        <v>900C - FRC 9-5</v>
      </c>
      <c r="I165" s="53"/>
      <c r="J165" s="392"/>
      <c r="K165" s="389" t="s">
        <v>22</v>
      </c>
      <c r="L165" s="389" t="s">
        <v>22</v>
      </c>
      <c r="M165" s="100">
        <v>2.0</v>
      </c>
      <c r="N165" s="390" t="s">
        <v>22</v>
      </c>
      <c r="O165" s="390" t="s">
        <v>22</v>
      </c>
      <c r="P165" s="390" t="s">
        <v>22</v>
      </c>
      <c r="Q165" s="390" t="s">
        <v>22</v>
      </c>
      <c r="R165" s="390" t="s">
        <v>22</v>
      </c>
      <c r="S165" s="53"/>
      <c r="T165" s="393"/>
    </row>
    <row r="166">
      <c r="A166" s="389" t="s">
        <v>119</v>
      </c>
      <c r="B166" s="389" t="s">
        <v>22</v>
      </c>
      <c r="C166" s="100">
        <v>3.0</v>
      </c>
      <c r="D166" s="390" t="str">
        <f t="array" ref="D166">IF('Teachers sched'!D166="", "", 
  IFERROR(
    VLOOKUP(
      'Teachers sched'!$A166 &amp; "|" &amp; 
      LEFT('Teachers sched'!D166, FIND("-", 'Teachers sched'!D166) - 1),
      {
        SALONES!$A:$A &amp; "|" &amp; SALONES!$B:$B,
        SALONES!$C:$C
      },
      2,
      FALSE
    ) &amp; " - " &amp; 'Teachers sched'!D166,
    'Teachers sched'!D166
  )
)
</f>
        <v>900C - Technology 9-2</v>
      </c>
      <c r="E166" s="390" t="str">
        <f t="array" ref="E166">IF('Teachers sched'!E166="", "", 
  IFERROR(
    VLOOKUP(
      'Teachers sched'!$A166 &amp; "|" &amp; 
      LEFT('Teachers sched'!E166, FIND("-", 'Teachers sched'!E166) - 1),
      {
        SALONES!$A:$A &amp; "|" &amp; SALONES!$B:$B,
        SALONES!$C:$C
      },
      2,
      FALSE
    ) &amp; " - " &amp; 'Teachers sched'!E166,
    'Teachers sched'!E166
  )
)
</f>
        <v/>
      </c>
      <c r="F166" s="390" t="str">
        <f t="array" ref="F166">IF('Teachers sched'!F166="", "", 
  IFERROR(
    VLOOKUP(
      'Teachers sched'!$A166 &amp; "|" &amp; 
      LEFT('Teachers sched'!F166, FIND("-", 'Teachers sched'!F166) - 1),
      {
        SALONES!$A:$A &amp; "|" &amp; SALONES!$B:$B,
        SALONES!$C:$C
      },
      2,
      FALSE
    ) &amp; " - " &amp; 'Teachers sched'!F166,
    'Teachers sched'!F166
  )
)
</f>
        <v>900C - Technology 9-3</v>
      </c>
      <c r="G166" s="390" t="str">
        <f t="array" ref="G166">IF('Teachers sched'!G166="", "", 
  IFERROR(
    VLOOKUP(
      'Teachers sched'!$A166 &amp; "|" &amp; 
      LEFT('Teachers sched'!G166, FIND("-", 'Teachers sched'!G166) - 1),
      {
        SALONES!$A:$A &amp; "|" &amp; SALONES!$B:$B,
        SALONES!$C:$C
      },
      2,
      FALSE
    ) &amp; " - " &amp; 'Teachers sched'!G166,
    'Teachers sched'!G166
  )
)
</f>
        <v/>
      </c>
      <c r="H166" s="395" t="str">
        <f t="array" ref="H166">IF('Teachers sched'!H166="", "", 
  IFERROR(
    VLOOKUP(
      'Teachers sched'!$A166 &amp; "|" &amp; 
      LEFT('Teachers sched'!H166, FIND("-", 'Teachers sched'!H166) - 1),
      {
        SALONES!$A:$A &amp; "|" &amp; SALONES!$B:$B,
        SALONES!$C:$C
      },
      2,
      FALSE
    ) &amp; " - " &amp; 'Teachers sched'!H166,
    'Teachers sched'!H166
  )
)
</f>
        <v>X-Block</v>
      </c>
      <c r="I166" s="53"/>
      <c r="J166" s="392"/>
      <c r="K166" s="389" t="s">
        <v>22</v>
      </c>
      <c r="L166" s="389" t="s">
        <v>22</v>
      </c>
      <c r="M166" s="100">
        <v>3.0</v>
      </c>
      <c r="N166" s="390" t="s">
        <v>22</v>
      </c>
      <c r="O166" s="390" t="s">
        <v>22</v>
      </c>
      <c r="P166" s="390" t="s">
        <v>22</v>
      </c>
      <c r="Q166" s="390" t="s">
        <v>22</v>
      </c>
      <c r="R166" s="395" t="s">
        <v>22</v>
      </c>
      <c r="S166" s="53"/>
      <c r="T166" s="393"/>
    </row>
    <row r="167">
      <c r="A167" s="389" t="s">
        <v>119</v>
      </c>
      <c r="B167" s="389" t="s">
        <v>22</v>
      </c>
      <c r="C167" s="100">
        <v>4.0</v>
      </c>
      <c r="D167" s="390" t="str">
        <f t="array" ref="D167">IF('Teachers sched'!D167="", "", 
  IFERROR(
    VLOOKUP(
      'Teachers sched'!$A167 &amp; "|" &amp; 
      LEFT('Teachers sched'!D167, FIND("-", 'Teachers sched'!D167) - 1),
      {
        SALONES!$A:$A &amp; "|" &amp; SALONES!$B:$B,
        SALONES!$C:$C
      },
      2,
      FALSE
    ) &amp; " - " &amp; 'Teachers sched'!D167,
    'Teachers sched'!D167
  )
)
</f>
        <v>900C - Creative Design-1</v>
      </c>
      <c r="E167" s="390" t="str">
        <f t="array" ref="E167">IF('Teachers sched'!E167="", "", 
  IFERROR(
    VLOOKUP(
      'Teachers sched'!$A167 &amp; "|" &amp; 
      LEFT('Teachers sched'!E167, FIND("-", 'Teachers sched'!E167) - 1),
      {
        SALONES!$A:$A &amp; "|" &amp; SALONES!$B:$B,
        SALONES!$C:$C
      },
      2,
      FALSE
    ) &amp; " - " &amp; 'Teachers sched'!E167,
    'Teachers sched'!E167
  )
)
</f>
        <v>900C - Technology 9-1</v>
      </c>
      <c r="F167" s="390" t="str">
        <f t="array" ref="F167">IF('Teachers sched'!F167="", "", 
  IFERROR(
    VLOOKUP(
      'Teachers sched'!$A167 &amp; "|" &amp; 
      LEFT('Teachers sched'!F167, FIND("-", 'Teachers sched'!F167) - 1),
      {
        SALONES!$A:$A &amp; "|" &amp; SALONES!$B:$B,
        SALONES!$C:$C
      },
      2,
      FALSE
    ) &amp; " - " &amp; 'Teachers sched'!F167,
    'Teachers sched'!F167
  )
)
</f>
        <v>900C - FRC 9-5</v>
      </c>
      <c r="G167" s="390" t="str">
        <f t="array" ref="G167">IF('Teachers sched'!G167="", "", 
  IFERROR(
    VLOOKUP(
      'Teachers sched'!$A167 &amp; "|" &amp; 
      LEFT('Teachers sched'!G167, FIND("-", 'Teachers sched'!G167) - 1),
      {
        SALONES!$A:$A &amp; "|" &amp; SALONES!$B:$B,
        SALONES!$C:$C
      },
      2,
      FALSE
    ) &amp; " - " &amp; 'Teachers sched'!G167,
    'Teachers sched'!G167
  )
)
</f>
        <v>900C - Technology 9-2</v>
      </c>
      <c r="H167" s="390" t="str">
        <f t="array" ref="H167">IF('Teachers sched'!H167="", "", 
  IFERROR(
    VLOOKUP(
      'Teachers sched'!$A167 &amp; "|" &amp; 
      LEFT('Teachers sched'!H167, FIND("-", 'Teachers sched'!H167) - 1),
      {
        SALONES!$A:$A &amp; "|" &amp; SALONES!$B:$B,
        SALONES!$C:$C
      },
      2,
      FALSE
    ) &amp; " - " &amp; 'Teachers sched'!H167,
    'Teachers sched'!H167
  )
)
</f>
        <v/>
      </c>
      <c r="I167" s="53"/>
      <c r="J167" s="392"/>
      <c r="K167" s="389" t="s">
        <v>22</v>
      </c>
      <c r="L167" s="389" t="s">
        <v>22</v>
      </c>
      <c r="M167" s="100">
        <v>4.0</v>
      </c>
      <c r="N167" s="390" t="s">
        <v>22</v>
      </c>
      <c r="O167" s="390" t="s">
        <v>22</v>
      </c>
      <c r="P167" s="390" t="s">
        <v>22</v>
      </c>
      <c r="Q167" s="390" t="s">
        <v>22</v>
      </c>
      <c r="R167" s="390" t="s">
        <v>22</v>
      </c>
      <c r="S167" s="53"/>
      <c r="T167" s="393"/>
    </row>
    <row r="168">
      <c r="A168" s="389" t="s">
        <v>119</v>
      </c>
      <c r="B168" s="389" t="s">
        <v>22</v>
      </c>
      <c r="C168" s="100">
        <v>5.0</v>
      </c>
      <c r="D168" s="390" t="str">
        <f t="array" ref="D168">IF('Teachers sched'!D168="", "", 
  IFERROR(
    VLOOKUP(
      'Teachers sched'!$A168 &amp; "|" &amp; 
      LEFT('Teachers sched'!D168, FIND("-", 'Teachers sched'!D168) - 1),
      {
        SALONES!$A:$A &amp; "|" &amp; SALONES!$B:$B,
        SALONES!$C:$C
      },
      2,
      FALSE
    ) &amp; " - " &amp; 'Teachers sched'!D168,
    'Teachers sched'!D168
  )
)
</f>
        <v>900C - Technology 9-3</v>
      </c>
      <c r="E168" s="390" t="str">
        <f t="array" ref="E168">IF('Teachers sched'!E168="", "", 
  IFERROR(
    VLOOKUP(
      'Teachers sched'!$A168 &amp; "|" &amp; 
      LEFT('Teachers sched'!E168, FIND("-", 'Teachers sched'!E168) - 1),
      {
        SALONES!$A:$A &amp; "|" &amp; SALONES!$B:$B,
        SALONES!$C:$C
      },
      2,
      FALSE
    ) &amp; " - " &amp; 'Teachers sched'!E168,
    'Teachers sched'!E168
  )
)
</f>
        <v/>
      </c>
      <c r="F168" s="390" t="str">
        <f t="array" ref="F168">IF('Teachers sched'!F168="", "", 
  IFERROR(
    VLOOKUP(
      'Teachers sched'!$A168 &amp; "|" &amp; 
      LEFT('Teachers sched'!F168, FIND("-", 'Teachers sched'!F168) - 1),
      {
        SALONES!$A:$A &amp; "|" &amp; SALONES!$B:$B,
        SALONES!$C:$C
      },
      2,
      FALSE
    ) &amp; " - " &amp; 'Teachers sched'!F168,
    'Teachers sched'!F168
  )
)
</f>
        <v/>
      </c>
      <c r="G168" s="390" t="str">
        <f t="array" ref="G168">IF('Teachers sched'!G168="", "", 
  IFERROR(
    VLOOKUP(
      'Teachers sched'!$A168 &amp; "|" &amp; 
      LEFT('Teachers sched'!G168, FIND("-", 'Teachers sched'!G168) - 1),
      {
        SALONES!$A:$A &amp; "|" &amp; SALONES!$B:$B,
        SALONES!$C:$C
      },
      2,
      FALSE
    ) &amp; " - " &amp; 'Teachers sched'!G168,
    'Teachers sched'!G168
  )
)
</f>
        <v>900C - Creative Design-1</v>
      </c>
      <c r="H168" s="390" t="str">
        <f t="array" ref="H168">IF('Teachers sched'!H168="", "", 
  IFERROR(
    VLOOKUP(
      'Teachers sched'!$A168 &amp; "|" &amp; 
      LEFT('Teachers sched'!H168, FIND("-", 'Teachers sched'!H168) - 1),
      {
        SALONES!$A:$A &amp; "|" &amp; SALONES!$B:$B,
        SALONES!$C:$C
      },
      2,
      FALSE
    ) &amp; " - " &amp; 'Teachers sched'!H168,
    'Teachers sched'!H168
  )
)
</f>
        <v/>
      </c>
      <c r="I168" s="68"/>
      <c r="J168" s="392"/>
      <c r="K168" s="389" t="s">
        <v>22</v>
      </c>
      <c r="L168" s="389" t="s">
        <v>22</v>
      </c>
      <c r="M168" s="100">
        <v>5.0</v>
      </c>
      <c r="N168" s="390" t="s">
        <v>22</v>
      </c>
      <c r="O168" s="390" t="s">
        <v>22</v>
      </c>
      <c r="P168" s="390" t="s">
        <v>22</v>
      </c>
      <c r="Q168" s="390" t="s">
        <v>22</v>
      </c>
      <c r="R168" s="390" t="s">
        <v>22</v>
      </c>
      <c r="S168" s="68"/>
      <c r="T168" s="393"/>
    </row>
    <row r="169">
      <c r="C169" s="3"/>
      <c r="D169" s="396"/>
      <c r="E169" s="396"/>
      <c r="F169" s="396"/>
      <c r="G169" s="396"/>
      <c r="H169" s="396"/>
      <c r="N169" s="397"/>
      <c r="O169" s="397"/>
      <c r="P169" s="397"/>
      <c r="Q169" s="397"/>
      <c r="R169" s="397"/>
    </row>
    <row r="170">
      <c r="A170" s="45"/>
      <c r="B170" s="45"/>
      <c r="C170" s="386" t="s">
        <v>129</v>
      </c>
      <c r="D170" s="383"/>
      <c r="E170" s="383"/>
      <c r="F170" s="383"/>
      <c r="G170" s="383"/>
      <c r="H170" s="384"/>
      <c r="I170" s="385" t="str">
        <f>IFERROR(__xludf.DUMMYFUNCTION("if(C170="""","""", iferror(filter(Schedule!$K:$K,Schedule!$L:$L=$C170,Schedule!$K:$K=""S1""),unique(filter(Schedule!$K:$K,Schedule!$L:$L=$C170,Schedule!$K:$K=""""))))"),"")</f>
        <v/>
      </c>
      <c r="M170" s="386" t="s">
        <v>22</v>
      </c>
      <c r="N170" s="383"/>
      <c r="O170" s="383"/>
      <c r="P170" s="383"/>
      <c r="Q170" s="383"/>
      <c r="R170" s="384"/>
      <c r="S170" s="385" t="s">
        <v>22</v>
      </c>
      <c r="T170" s="112"/>
    </row>
    <row r="171">
      <c r="A171" s="116"/>
      <c r="B171" s="116"/>
      <c r="C171" s="100" t="s">
        <v>7</v>
      </c>
      <c r="D171" s="387" t="s">
        <v>8</v>
      </c>
      <c r="E171" s="387" t="s">
        <v>9</v>
      </c>
      <c r="F171" s="387" t="s">
        <v>10</v>
      </c>
      <c r="G171" s="387" t="s">
        <v>11</v>
      </c>
      <c r="H171" s="387" t="s">
        <v>12</v>
      </c>
      <c r="I171" s="21" t="s">
        <v>766</v>
      </c>
      <c r="J171" s="116"/>
      <c r="K171" s="116"/>
      <c r="L171" s="116"/>
      <c r="M171" s="100" t="s">
        <v>7</v>
      </c>
      <c r="N171" s="387" t="s">
        <v>8</v>
      </c>
      <c r="O171" s="387" t="s">
        <v>9</v>
      </c>
      <c r="P171" s="387" t="s">
        <v>10</v>
      </c>
      <c r="Q171" s="387" t="s">
        <v>11</v>
      </c>
      <c r="R171" s="387" t="s">
        <v>12</v>
      </c>
      <c r="S171" s="21" t="s">
        <v>766</v>
      </c>
      <c r="T171" s="388"/>
    </row>
    <row r="172">
      <c r="A172" s="389" t="s">
        <v>129</v>
      </c>
      <c r="B172" s="389" t="s">
        <v>22</v>
      </c>
      <c r="C172" s="100">
        <v>1.0</v>
      </c>
      <c r="D172" s="390" t="str">
        <f t="array" ref="D172">IF('Teachers sched'!D172="", "", 
  IFERROR(
    VLOOKUP(
      'Teachers sched'!$A172 &amp; "|" &amp; 
      LEFT('Teachers sched'!D172, FIND("-", 'Teachers sched'!D172) - 1),
      {
        SALONES!$A:$A &amp; "|" &amp; SALONES!$B:$B,
        SALONES!$C:$C
      },
      2,
      FALSE
    ) &amp; " - " &amp; 'Teachers sched'!D172,
    'Teachers sched'!D172
  )
)
</f>
        <v> - PE 10-1</v>
      </c>
      <c r="E172" s="390" t="str">
        <f t="array" ref="E172">IF('Teachers sched'!E172="", "", 
  IFERROR(
    VLOOKUP(
      'Teachers sched'!$A172 &amp; "|" &amp; 
      LEFT('Teachers sched'!E172, FIND("-", 'Teachers sched'!E172) - 1),
      {
        SALONES!$A:$A &amp; "|" &amp; SALONES!$B:$B,
        SALONES!$C:$C
      },
      2,
      FALSE
    ) &amp; " - " &amp; 'Teachers sched'!E172,
    'Teachers sched'!E172
  )
)
</f>
        <v> - PE 10-5</v>
      </c>
      <c r="F172" s="390" t="str">
        <f t="array" ref="F172">IF('Teachers sched'!F172="", "", 
  IFERROR(
    VLOOKUP(
      'Teachers sched'!$A172 &amp; "|" &amp; 
      LEFT('Teachers sched'!F172, FIND("-", 'Teachers sched'!F172) - 1),
      {
        SALONES!$A:$A &amp; "|" &amp; SALONES!$B:$B,
        SALONES!$C:$C
      },
      2,
      FALSE
    ) &amp; " - " &amp; 'Teachers sched'!F172,
    'Teachers sched'!F172
  )
)
</f>
        <v/>
      </c>
      <c r="G172" s="390" t="str">
        <f t="array" ref="G172">IF('Teachers sched'!G172="", "", 
  IFERROR(
    VLOOKUP(
      'Teachers sched'!$A172 &amp; "|" &amp; 
      LEFT('Teachers sched'!G172, FIND("-", 'Teachers sched'!G172) - 1),
      {
        SALONES!$A:$A &amp; "|" &amp; SALONES!$B:$B,
        SALONES!$C:$C
      },
      2,
      FALSE
    ) &amp; " - " &amp; 'Teachers sched'!G172,
    'Teachers sched'!G172
  )
)
</f>
        <v/>
      </c>
      <c r="H172" s="390" t="str">
        <f t="array" ref="H172">IF('Teachers sched'!H172="", "", 
  IFERROR(
    VLOOKUP(
      'Teachers sched'!$A172 &amp; "|" &amp; 
      LEFT('Teachers sched'!H172, FIND("-", 'Teachers sched'!H172) - 1),
      {
        SALONES!$A:$A &amp; "|" &amp; SALONES!$B:$B,
        SALONES!$C:$C
      },
      2,
      FALSE
    ) &amp; " - " &amp; 'Teachers sched'!H172,
    'Teachers sched'!H172
  )
)
</f>
        <v> - PE 10-4</v>
      </c>
      <c r="I172" s="391">
        <f>if(C170="","", 24-countifs(D172:H176,""))</f>
        <v>18</v>
      </c>
      <c r="J172" s="392"/>
      <c r="K172" s="389" t="s">
        <v>22</v>
      </c>
      <c r="L172" s="389" t="s">
        <v>22</v>
      </c>
      <c r="M172" s="100">
        <v>1.0</v>
      </c>
      <c r="N172" s="390" t="s">
        <v>22</v>
      </c>
      <c r="O172" s="390" t="s">
        <v>22</v>
      </c>
      <c r="P172" s="390" t="s">
        <v>22</v>
      </c>
      <c r="Q172" s="390" t="s">
        <v>22</v>
      </c>
      <c r="R172" s="390" t="s">
        <v>22</v>
      </c>
      <c r="S172" s="391" t="s">
        <v>22</v>
      </c>
      <c r="T172" s="393"/>
    </row>
    <row r="173">
      <c r="A173" s="389" t="s">
        <v>129</v>
      </c>
      <c r="B173" s="389" t="s">
        <v>22</v>
      </c>
      <c r="C173" s="100">
        <v>2.0</v>
      </c>
      <c r="D173" s="390" t="str">
        <f t="array" ref="D173">IF('Teachers sched'!D173="", "", 
  IFERROR(
    VLOOKUP(
      'Teachers sched'!$A173 &amp; "|" &amp; 
      LEFT('Teachers sched'!D173, FIND("-", 'Teachers sched'!D173) - 1),
      {
        SALONES!$A:$A &amp; "|" &amp; SALONES!$B:$B,
        SALONES!$C:$C
      },
      2,
      FALSE
    ) &amp; " - " &amp; 'Teachers sched'!D173,
    'Teachers sched'!D173
  )
)
</f>
        <v> - PE 10-2</v>
      </c>
      <c r="E173" s="390" t="str">
        <f t="array" ref="E173">IF('Teachers sched'!E173="", "", 
  IFERROR(
    VLOOKUP(
      'Teachers sched'!$A173 &amp; "|" &amp; 
      LEFT('Teachers sched'!E173, FIND("-", 'Teachers sched'!E173) - 1),
      {
        SALONES!$A:$A &amp; "|" &amp; SALONES!$B:$B,
        SALONES!$C:$C
      },
      2,
      FALSE
    ) &amp; " - " &amp; 'Teachers sched'!E173,
    'Teachers sched'!E173
  )
)
</f>
        <v> - PE 10-6</v>
      </c>
      <c r="F173" s="390" t="str">
        <f t="array" ref="F173">IF('Teachers sched'!F173="", "", 
  IFERROR(
    VLOOKUP(
      'Teachers sched'!$A173 &amp; "|" &amp; 
      LEFT('Teachers sched'!F173, FIND("-", 'Teachers sched'!F173) - 1),
      {
        SALONES!$A:$A &amp; "|" &amp; SALONES!$B:$B,
        SALONES!$C:$C
      },
      2,
      FALSE
    ) &amp; " - " &amp; 'Teachers sched'!F173,
    'Teachers sched'!F173
  )
)
</f>
        <v> - PE 10-3</v>
      </c>
      <c r="G173" s="390" t="str">
        <f t="array" ref="G173">IF('Teachers sched'!G173="", "", 
  IFERROR(
    VLOOKUP(
      'Teachers sched'!$A173 &amp; "|" &amp; 
      LEFT('Teachers sched'!G173, FIND("-", 'Teachers sched'!G173) - 1),
      {
        SALONES!$A:$A &amp; "|" &amp; SALONES!$B:$B,
        SALONES!$C:$C
      },
      2,
      FALSE
    ) &amp; " - " &amp; 'Teachers sched'!G173,
    'Teachers sched'!G173
  )
)
</f>
        <v> - PE 10-1</v>
      </c>
      <c r="H173" s="390" t="str">
        <f t="array" ref="H173">IF('Teachers sched'!H173="", "", 
  IFERROR(
    VLOOKUP(
      'Teachers sched'!$A173 &amp; "|" &amp; 
      LEFT('Teachers sched'!H173, FIND("-", 'Teachers sched'!H173) - 1),
      {
        SALONES!$A:$A &amp; "|" &amp; SALONES!$B:$B,
        SALONES!$C:$C
      },
      2,
      FALSE
    ) &amp; " - " &amp; 'Teachers sched'!H173,
    'Teachers sched'!H173
  )
)
</f>
        <v> - PE 10-5</v>
      </c>
      <c r="I173" s="53"/>
      <c r="J173" s="392"/>
      <c r="K173" s="389" t="s">
        <v>22</v>
      </c>
      <c r="L173" s="389" t="s">
        <v>22</v>
      </c>
      <c r="M173" s="100">
        <v>2.0</v>
      </c>
      <c r="N173" s="390" t="s">
        <v>22</v>
      </c>
      <c r="O173" s="390" t="s">
        <v>22</v>
      </c>
      <c r="P173" s="390" t="s">
        <v>22</v>
      </c>
      <c r="Q173" s="390" t="s">
        <v>22</v>
      </c>
      <c r="R173" s="390" t="s">
        <v>22</v>
      </c>
      <c r="S173" s="53"/>
      <c r="T173" s="393"/>
    </row>
    <row r="174">
      <c r="A174" s="389" t="s">
        <v>129</v>
      </c>
      <c r="B174" s="389" t="s">
        <v>22</v>
      </c>
      <c r="C174" s="100">
        <v>3.0</v>
      </c>
      <c r="D174" s="390" t="str">
        <f t="array" ref="D174">IF('Teachers sched'!D174="", "", 
  IFERROR(
    VLOOKUP(
      'Teachers sched'!$A174 &amp; "|" &amp; 
      LEFT('Teachers sched'!D174, FIND("-", 'Teachers sched'!D174) - 1),
      {
        SALONES!$A:$A &amp; "|" &amp; SALONES!$B:$B,
        SALONES!$C:$C
      },
      2,
      FALSE
    ) &amp; " - " &amp; 'Teachers sched'!D174,
    'Teachers sched'!D174
  )
)
</f>
        <v/>
      </c>
      <c r="E174" s="390" t="str">
        <f t="array" ref="E174">IF('Teachers sched'!E174="", "", 
  IFERROR(
    VLOOKUP(
      'Teachers sched'!$A174 &amp; "|" &amp; 
      LEFT('Teachers sched'!E174, FIND("-", 'Teachers sched'!E174) - 1),
      {
        SALONES!$A:$A &amp; "|" &amp; SALONES!$B:$B,
        SALONES!$C:$C
      },
      2,
      FALSE
    ) &amp; " - " &amp; 'Teachers sched'!E174,
    'Teachers sched'!E174
  )
)
</f>
        <v/>
      </c>
      <c r="F174" s="390" t="str">
        <f t="array" ref="F174">IF('Teachers sched'!F174="", "", 
  IFERROR(
    VLOOKUP(
      'Teachers sched'!$A174 &amp; "|" &amp; 
      LEFT('Teachers sched'!F174, FIND("-", 'Teachers sched'!F174) - 1),
      {
        SALONES!$A:$A &amp; "|" &amp; SALONES!$B:$B,
        SALONES!$C:$C
      },
      2,
      FALSE
    ) &amp; " - " &amp; 'Teachers sched'!F174,
    'Teachers sched'!F174
  )
)
</f>
        <v> - PE 10-4</v>
      </c>
      <c r="G174" s="390" t="str">
        <f t="array" ref="G174">IF('Teachers sched'!G174="", "", 
  IFERROR(
    VLOOKUP(
      'Teachers sched'!$A174 &amp; "|" &amp; 
      LEFT('Teachers sched'!G174, FIND("-", 'Teachers sched'!G174) - 1),
      {
        SALONES!$A:$A &amp; "|" &amp; SALONES!$B:$B,
        SALONES!$C:$C
      },
      2,
      FALSE
    ) &amp; " - " &amp; 'Teachers sched'!G174,
    'Teachers sched'!G174
  )
)
</f>
        <v> - PE 10-2</v>
      </c>
      <c r="H174" s="395" t="str">
        <f t="array" ref="H174">IF('Teachers sched'!H174="", "", 
  IFERROR(
    VLOOKUP(
      'Teachers sched'!$A174 &amp; "|" &amp; 
      LEFT('Teachers sched'!H174, FIND("-", 'Teachers sched'!H174) - 1),
      {
        SALONES!$A:$A &amp; "|" &amp; SALONES!$B:$B,
        SALONES!$C:$C
      },
      2,
      FALSE
    ) &amp; " - " &amp; 'Teachers sched'!H174,
    'Teachers sched'!H174
  )
)
</f>
        <v>X-Block</v>
      </c>
      <c r="I174" s="53"/>
      <c r="J174" s="392"/>
      <c r="K174" s="389" t="s">
        <v>22</v>
      </c>
      <c r="L174" s="389" t="s">
        <v>22</v>
      </c>
      <c r="M174" s="100">
        <v>3.0</v>
      </c>
      <c r="N174" s="390" t="s">
        <v>22</v>
      </c>
      <c r="O174" s="390" t="s">
        <v>22</v>
      </c>
      <c r="P174" s="390" t="s">
        <v>22</v>
      </c>
      <c r="Q174" s="390" t="s">
        <v>22</v>
      </c>
      <c r="R174" s="395" t="s">
        <v>22</v>
      </c>
      <c r="S174" s="53"/>
      <c r="T174" s="393"/>
    </row>
    <row r="175">
      <c r="A175" s="389" t="s">
        <v>129</v>
      </c>
      <c r="B175" s="389" t="s">
        <v>22</v>
      </c>
      <c r="C175" s="100">
        <v>4.0</v>
      </c>
      <c r="D175" s="390" t="str">
        <f t="array" ref="D175">IF('Teachers sched'!D175="", "", 
  IFERROR(
    VLOOKUP(
      'Teachers sched'!$A175 &amp; "|" &amp; 
      LEFT('Teachers sched'!D175, FIND("-", 'Teachers sched'!D175) - 1),
      {
        SALONES!$A:$A &amp; "|" &amp; SALONES!$B:$B,
        SALONES!$C:$C
      },
      2,
      FALSE
    ) &amp; " - " &amp; 'Teachers sched'!D175,
    'Teachers sched'!D175
  )
)
</f>
        <v> - PE 10-3</v>
      </c>
      <c r="E175" s="390" t="str">
        <f t="array" ref="E175">IF('Teachers sched'!E175="", "", 
  IFERROR(
    VLOOKUP(
      'Teachers sched'!$A175 &amp; "|" &amp; 
      LEFT('Teachers sched'!E175, FIND("-", 'Teachers sched'!E175) - 1),
      {
        SALONES!$A:$A &amp; "|" &amp; SALONES!$B:$B,
        SALONES!$C:$C
      },
      2,
      FALSE
    ) &amp; " - " &amp; 'Teachers sched'!E175,
    'Teachers sched'!E175
  )
)
</f>
        <v> - PE 10-1</v>
      </c>
      <c r="F175" s="390" t="str">
        <f t="array" ref="F175">IF('Teachers sched'!F175="", "", 
  IFERROR(
    VLOOKUP(
      'Teachers sched'!$A175 &amp; "|" &amp; 
      LEFT('Teachers sched'!F175, FIND("-", 'Teachers sched'!F175) - 1),
      {
        SALONES!$A:$A &amp; "|" &amp; SALONES!$B:$B,
        SALONES!$C:$C
      },
      2,
      FALSE
    ) &amp; " - " &amp; 'Teachers sched'!F175,
    'Teachers sched'!F175
  )
)
</f>
        <v> - PE 10-5</v>
      </c>
      <c r="G175" s="390" t="str">
        <f t="array" ref="G175">IF('Teachers sched'!G175="", "", 
  IFERROR(
    VLOOKUP(
      'Teachers sched'!$A175 &amp; "|" &amp; 
      LEFT('Teachers sched'!G175, FIND("-", 'Teachers sched'!G175) - 1),
      {
        SALONES!$A:$A &amp; "|" &amp; SALONES!$B:$B,
        SALONES!$C:$C
      },
      2,
      FALSE
    ) &amp; " - " &amp; 'Teachers sched'!G175,
    'Teachers sched'!G175
  )
)
</f>
        <v/>
      </c>
      <c r="H175" s="390" t="str">
        <f t="array" ref="H175">IF('Teachers sched'!H175="", "", 
  IFERROR(
    VLOOKUP(
      'Teachers sched'!$A175 &amp; "|" &amp; 
      LEFT('Teachers sched'!H175, FIND("-", 'Teachers sched'!H175) - 1),
      {
        SALONES!$A:$A &amp; "|" &amp; SALONES!$B:$B,
        SALONES!$C:$C
      },
      2,
      FALSE
    ) &amp; " - " &amp; 'Teachers sched'!H175,
    'Teachers sched'!H175
  )
)
</f>
        <v> - PE 10-6</v>
      </c>
      <c r="I175" s="53"/>
      <c r="J175" s="392"/>
      <c r="K175" s="389" t="s">
        <v>22</v>
      </c>
      <c r="L175" s="389" t="s">
        <v>22</v>
      </c>
      <c r="M175" s="100">
        <v>4.0</v>
      </c>
      <c r="N175" s="390" t="s">
        <v>22</v>
      </c>
      <c r="O175" s="390" t="s">
        <v>22</v>
      </c>
      <c r="P175" s="390" t="s">
        <v>22</v>
      </c>
      <c r="Q175" s="390" t="s">
        <v>22</v>
      </c>
      <c r="R175" s="390" t="s">
        <v>22</v>
      </c>
      <c r="S175" s="53"/>
      <c r="T175" s="393"/>
    </row>
    <row r="176">
      <c r="A176" s="389" t="s">
        <v>129</v>
      </c>
      <c r="B176" s="389" t="s">
        <v>22</v>
      </c>
      <c r="C176" s="100">
        <v>5.0</v>
      </c>
      <c r="D176" s="390" t="str">
        <f t="array" ref="D176">IF('Teachers sched'!D176="", "", 
  IFERROR(
    VLOOKUP(
      'Teachers sched'!$A176 &amp; "|" &amp; 
      LEFT('Teachers sched'!D176, FIND("-", 'Teachers sched'!D176) - 1),
      {
        SALONES!$A:$A &amp; "|" &amp; SALONES!$B:$B,
        SALONES!$C:$C
      },
      2,
      FALSE
    ) &amp; " - " &amp; 'Teachers sched'!D176,
    'Teachers sched'!D176
  )
)
</f>
        <v> - PE 10-4</v>
      </c>
      <c r="E176" s="390" t="str">
        <f t="array" ref="E176">IF('Teachers sched'!E176="", "", 
  IFERROR(
    VLOOKUP(
      'Teachers sched'!$A176 &amp; "|" &amp; 
      LEFT('Teachers sched'!E176, FIND("-", 'Teachers sched'!E176) - 1),
      {
        SALONES!$A:$A &amp; "|" &amp; SALONES!$B:$B,
        SALONES!$C:$C
      },
      2,
      FALSE
    ) &amp; " - " &amp; 'Teachers sched'!E176,
    'Teachers sched'!E176
  )
)
</f>
        <v> - PE 10-2</v>
      </c>
      <c r="F176" s="390" t="str">
        <f t="array" ref="F176">IF('Teachers sched'!F176="", "", 
  IFERROR(
    VLOOKUP(
      'Teachers sched'!$A176 &amp; "|" &amp; 
      LEFT('Teachers sched'!F176, FIND("-", 'Teachers sched'!F176) - 1),
      {
        SALONES!$A:$A &amp; "|" &amp; SALONES!$B:$B,
        SALONES!$C:$C
      },
      2,
      FALSE
    ) &amp; " - " &amp; 'Teachers sched'!F176,
    'Teachers sched'!F176
  )
)
</f>
        <v> - PE 10-6</v>
      </c>
      <c r="G176" s="390" t="str">
        <f t="array" ref="G176">IF('Teachers sched'!G176="", "", 
  IFERROR(
    VLOOKUP(
      'Teachers sched'!$A176 &amp; "|" &amp; 
      LEFT('Teachers sched'!G176, FIND("-", 'Teachers sched'!G176) - 1),
      {
        SALONES!$A:$A &amp; "|" &amp; SALONES!$B:$B,
        SALONES!$C:$C
      },
      2,
      FALSE
    ) &amp; " - " &amp; 'Teachers sched'!G176,
    'Teachers sched'!G176
  )
)
</f>
        <v> - PE 10-3</v>
      </c>
      <c r="H176" s="390" t="str">
        <f t="array" ref="H176">IF('Teachers sched'!H176="", "", 
  IFERROR(
    VLOOKUP(
      'Teachers sched'!$A176 &amp; "|" &amp; 
      LEFT('Teachers sched'!H176, FIND("-", 'Teachers sched'!H176) - 1),
      {
        SALONES!$A:$A &amp; "|" &amp; SALONES!$B:$B,
        SALONES!$C:$C
      },
      2,
      FALSE
    ) &amp; " - " &amp; 'Teachers sched'!H176,
    'Teachers sched'!H176
  )
)
</f>
        <v/>
      </c>
      <c r="I176" s="68"/>
      <c r="J176" s="392"/>
      <c r="K176" s="389" t="s">
        <v>22</v>
      </c>
      <c r="L176" s="389" t="s">
        <v>22</v>
      </c>
      <c r="M176" s="100">
        <v>5.0</v>
      </c>
      <c r="N176" s="390" t="s">
        <v>22</v>
      </c>
      <c r="O176" s="390" t="s">
        <v>22</v>
      </c>
      <c r="P176" s="390" t="s">
        <v>22</v>
      </c>
      <c r="Q176" s="390" t="s">
        <v>22</v>
      </c>
      <c r="R176" s="390" t="s">
        <v>22</v>
      </c>
      <c r="S176" s="68"/>
      <c r="T176" s="393"/>
    </row>
    <row r="177">
      <c r="C177" s="3"/>
      <c r="D177" s="396"/>
      <c r="E177" s="396"/>
      <c r="F177" s="396"/>
      <c r="G177" s="396"/>
      <c r="H177" s="396"/>
      <c r="N177" s="397"/>
      <c r="O177" s="397"/>
      <c r="P177" s="397"/>
      <c r="Q177" s="397"/>
      <c r="R177" s="397"/>
    </row>
    <row r="178">
      <c r="A178" s="45"/>
      <c r="B178" s="45"/>
      <c r="C178" s="386" t="s">
        <v>65</v>
      </c>
      <c r="D178" s="383"/>
      <c r="E178" s="383"/>
      <c r="F178" s="383"/>
      <c r="G178" s="383"/>
      <c r="H178" s="384"/>
      <c r="I178" s="385" t="str">
        <f>IFERROR(__xludf.DUMMYFUNCTION("if(C178="""","""", iferror(filter(Schedule!$K:$K,Schedule!$L:$L=$C178,Schedule!$K:$K=""S1""),unique(filter(Schedule!$K:$K,Schedule!$L:$L=$C178,Schedule!$K:$K=""""))))"),"")</f>
        <v/>
      </c>
      <c r="M178" s="386" t="s">
        <v>22</v>
      </c>
      <c r="N178" s="383"/>
      <c r="O178" s="383"/>
      <c r="P178" s="383"/>
      <c r="Q178" s="383"/>
      <c r="R178" s="384"/>
      <c r="S178" s="385" t="s">
        <v>22</v>
      </c>
      <c r="T178" s="112"/>
    </row>
    <row r="179">
      <c r="A179" s="116"/>
      <c r="B179" s="116"/>
      <c r="C179" s="100" t="s">
        <v>7</v>
      </c>
      <c r="D179" s="387" t="s">
        <v>8</v>
      </c>
      <c r="E179" s="387" t="s">
        <v>9</v>
      </c>
      <c r="F179" s="387" t="s">
        <v>10</v>
      </c>
      <c r="G179" s="387" t="s">
        <v>11</v>
      </c>
      <c r="H179" s="387" t="s">
        <v>12</v>
      </c>
      <c r="I179" s="21" t="s">
        <v>766</v>
      </c>
      <c r="J179" s="116"/>
      <c r="K179" s="116"/>
      <c r="L179" s="116"/>
      <c r="M179" s="100" t="s">
        <v>7</v>
      </c>
      <c r="N179" s="387" t="s">
        <v>8</v>
      </c>
      <c r="O179" s="387" t="s">
        <v>9</v>
      </c>
      <c r="P179" s="387" t="s">
        <v>10</v>
      </c>
      <c r="Q179" s="387" t="s">
        <v>11</v>
      </c>
      <c r="R179" s="387" t="s">
        <v>12</v>
      </c>
      <c r="S179" s="21" t="s">
        <v>766</v>
      </c>
      <c r="T179" s="388"/>
    </row>
    <row r="180">
      <c r="A180" s="389" t="s">
        <v>65</v>
      </c>
      <c r="B180" s="389" t="s">
        <v>22</v>
      </c>
      <c r="C180" s="100">
        <v>1.0</v>
      </c>
      <c r="D180" s="390" t="str">
        <f t="array" ref="D180">IF('Teachers sched'!D180="", "", 
  IFERROR(
    VLOOKUP(
      'Teachers sched'!$A180 &amp; "|" &amp; 
      LEFT('Teachers sched'!D180, FIND("-", 'Teachers sched'!D180) - 1),
      {
        SALONES!$A:$A &amp; "|" &amp; SALONES!$B:$B,
        SALONES!$C:$C
      },
      2,
      FALSE
    ) &amp; " - " &amp; 'Teachers sched'!D180,
    'Teachers sched'!D180
  )
)
</f>
        <v>921 - Spanish and Literature 11-1</v>
      </c>
      <c r="E180" s="390" t="str">
        <f t="array" ref="E180">IF('Teachers sched'!E180="", "", 
  IFERROR(
    VLOOKUP(
      'Teachers sched'!$A180 &amp; "|" &amp; 
      LEFT('Teachers sched'!E180, FIND("-", 'Teachers sched'!E180) - 1),
      {
        SALONES!$A:$A &amp; "|" &amp; SALONES!$B:$B,
        SALONES!$C:$C
      },
      2,
      FALSE
    ) &amp; " - " &amp; 'Teachers sched'!E180,
    'Teachers sched'!E180
  )
)
</f>
        <v>921 - Spanish and Literature 11-5</v>
      </c>
      <c r="F180" s="390" t="str">
        <f t="array" ref="F180">IF('Teachers sched'!F180="", "", 
  IFERROR(
    VLOOKUP(
      'Teachers sched'!$A180 &amp; "|" &amp; 
      LEFT('Teachers sched'!F180, FIND("-", 'Teachers sched'!F180) - 1),
      {
        SALONES!$A:$A &amp; "|" &amp; SALONES!$B:$B,
        SALONES!$C:$C
      },
      2,
      FALSE
    ) &amp; " - " &amp; 'Teachers sched'!F180,
    'Teachers sched'!F180
  )
)
</f>
        <v>921 - Spanish and Literature 11-2</v>
      </c>
      <c r="G180" s="390" t="str">
        <f t="array" ref="G180">IF('Teachers sched'!G180="", "", 
  IFERROR(
    VLOOKUP(
      'Teachers sched'!$A180 &amp; "|" &amp; 
      LEFT('Teachers sched'!G180, FIND("-", 'Teachers sched'!G180) - 1),
      {
        SALONES!$A:$A &amp; "|" &amp; SALONES!$B:$B,
        SALONES!$C:$C
      },
      2,
      FALSE
    ) &amp; " - " &amp; 'Teachers sched'!G180,
    'Teachers sched'!G180
  )
)
</f>
        <v/>
      </c>
      <c r="H180" s="390" t="str">
        <f t="array" ref="H180">IF('Teachers sched'!H180="", "", 
  IFERROR(
    VLOOKUP(
      'Teachers sched'!$A180 &amp; "|" &amp; 
      LEFT('Teachers sched'!H180, FIND("-", 'Teachers sched'!H180) - 1),
      {
        SALONES!$A:$A &amp; "|" &amp; SALONES!$B:$B,
        SALONES!$C:$C
      },
      2,
      FALSE
    ) &amp; " - " &amp; 'Teachers sched'!H180,
    'Teachers sched'!H180
  )
)
</f>
        <v>921 - Spanish and Literature 11-4</v>
      </c>
      <c r="I180" s="391">
        <f>if(C178="","", 24-countifs(D180:H184,""))</f>
        <v>15</v>
      </c>
      <c r="J180" s="392"/>
      <c r="K180" s="389" t="s">
        <v>22</v>
      </c>
      <c r="L180" s="389" t="s">
        <v>22</v>
      </c>
      <c r="M180" s="100">
        <v>1.0</v>
      </c>
      <c r="N180" s="390" t="s">
        <v>22</v>
      </c>
      <c r="O180" s="390" t="s">
        <v>22</v>
      </c>
      <c r="P180" s="390" t="s">
        <v>22</v>
      </c>
      <c r="Q180" s="390" t="s">
        <v>22</v>
      </c>
      <c r="R180" s="390" t="s">
        <v>22</v>
      </c>
      <c r="S180" s="391" t="s">
        <v>22</v>
      </c>
      <c r="T180" s="393"/>
    </row>
    <row r="181">
      <c r="A181" s="389" t="s">
        <v>65</v>
      </c>
      <c r="B181" s="389" t="s">
        <v>22</v>
      </c>
      <c r="C181" s="100">
        <v>2.0</v>
      </c>
      <c r="D181" s="390" t="str">
        <f t="array" ref="D181">IF('Teachers sched'!D181="", "", 
  IFERROR(
    VLOOKUP(
      'Teachers sched'!$A181 &amp; "|" &amp; 
      LEFT('Teachers sched'!D181, FIND("-", 'Teachers sched'!D181) - 1),
      {
        SALONES!$A:$A &amp; "|" &amp; SALONES!$B:$B,
        SALONES!$C:$C
      },
      2,
      FALSE
    ) &amp; " - " &amp; 'Teachers sched'!D181,
    'Teachers sched'!D181
  )
)
</f>
        <v/>
      </c>
      <c r="E181" s="390" t="str">
        <f t="array" ref="E181">IF('Teachers sched'!E181="", "", 
  IFERROR(
    VLOOKUP(
      'Teachers sched'!$A181 &amp; "|" &amp; 
      LEFT('Teachers sched'!E181, FIND("-", 'Teachers sched'!E181) - 1),
      {
        SALONES!$A:$A &amp; "|" &amp; SALONES!$B:$B,
        SALONES!$C:$C
      },
      2,
      FALSE
    ) &amp; " - " &amp; 'Teachers sched'!E181,
    'Teachers sched'!E181
  )
)
</f>
        <v/>
      </c>
      <c r="F181" s="390" t="str">
        <f t="array" ref="F181">IF('Teachers sched'!F181="", "", 
  IFERROR(
    VLOOKUP(
      'Teachers sched'!$A181 &amp; "|" &amp; 
      LEFT('Teachers sched'!F181, FIND("-", 'Teachers sched'!F181) - 1),
      {
        SALONES!$A:$A &amp; "|" &amp; SALONES!$B:$B,
        SALONES!$C:$C
      },
      2,
      FALSE
    ) &amp; " - " &amp; 'Teachers sched'!F181,
    'Teachers sched'!F181
  )
)
</f>
        <v>921 - Spanish and Literature 11-3</v>
      </c>
      <c r="G181" s="390" t="str">
        <f t="array" ref="G181">IF('Teachers sched'!G181="", "", 
  IFERROR(
    VLOOKUP(
      'Teachers sched'!$A181 &amp; "|" &amp; 
      LEFT('Teachers sched'!G181, FIND("-", 'Teachers sched'!G181) - 1),
      {
        SALONES!$A:$A &amp; "|" &amp; SALONES!$B:$B,
        SALONES!$C:$C
      },
      2,
      FALSE
    ) &amp; " - " &amp; 'Teachers sched'!G181,
    'Teachers sched'!G181
  )
)
</f>
        <v>921 - Spanish and Literature 11-1</v>
      </c>
      <c r="H181" s="390" t="str">
        <f t="array" ref="H181">IF('Teachers sched'!H181="", "", 
  IFERROR(
    VLOOKUP(
      'Teachers sched'!$A181 &amp; "|" &amp; 
      LEFT('Teachers sched'!H181, FIND("-", 'Teachers sched'!H181) - 1),
      {
        SALONES!$A:$A &amp; "|" &amp; SALONES!$B:$B,
        SALONES!$C:$C
      },
      2,
      FALSE
    ) &amp; " - " &amp; 'Teachers sched'!H181,
    'Teachers sched'!H181
  )
)
</f>
        <v>921 - Spanish and Literature 11-5</v>
      </c>
      <c r="I181" s="53"/>
      <c r="J181" s="392"/>
      <c r="K181" s="389" t="s">
        <v>22</v>
      </c>
      <c r="L181" s="389" t="s">
        <v>22</v>
      </c>
      <c r="M181" s="100">
        <v>2.0</v>
      </c>
      <c r="N181" s="390" t="s">
        <v>22</v>
      </c>
      <c r="O181" s="390" t="s">
        <v>22</v>
      </c>
      <c r="P181" s="390" t="s">
        <v>22</v>
      </c>
      <c r="Q181" s="390" t="s">
        <v>22</v>
      </c>
      <c r="R181" s="390" t="s">
        <v>22</v>
      </c>
      <c r="S181" s="53"/>
      <c r="T181" s="393"/>
    </row>
    <row r="182">
      <c r="A182" s="389" t="s">
        <v>65</v>
      </c>
      <c r="B182" s="389" t="s">
        <v>22</v>
      </c>
      <c r="C182" s="100">
        <v>3.0</v>
      </c>
      <c r="D182" s="390" t="str">
        <f t="array" ref="D182">IF('Teachers sched'!D182="", "", 
  IFERROR(
    VLOOKUP(
      'Teachers sched'!$A182 &amp; "|" &amp; 
      LEFT('Teachers sched'!D182, FIND("-", 'Teachers sched'!D182) - 1),
      {
        SALONES!$A:$A &amp; "|" &amp; SALONES!$B:$B,
        SALONES!$C:$C
      },
      2,
      FALSE
    ) &amp; " - " &amp; 'Teachers sched'!D182,
    'Teachers sched'!D182
  )
)
</f>
        <v>921 - Spanish and Literature 11-2</v>
      </c>
      <c r="E182" s="390" t="str">
        <f t="array" ref="E182">IF('Teachers sched'!E182="", "", 
  IFERROR(
    VLOOKUP(
      'Teachers sched'!$A182 &amp; "|" &amp; 
      LEFT('Teachers sched'!E182, FIND("-", 'Teachers sched'!E182) - 1),
      {
        SALONES!$A:$A &amp; "|" &amp; SALONES!$B:$B,
        SALONES!$C:$C
      },
      2,
      FALSE
    ) &amp; " - " &amp; 'Teachers sched'!E182,
    'Teachers sched'!E182
  )
)
</f>
        <v/>
      </c>
      <c r="F182" s="390" t="str">
        <f t="array" ref="F182">IF('Teachers sched'!F182="", "", 
  IFERROR(
    VLOOKUP(
      'Teachers sched'!$A182 &amp; "|" &amp; 
      LEFT('Teachers sched'!F182, FIND("-", 'Teachers sched'!F182) - 1),
      {
        SALONES!$A:$A &amp; "|" &amp; SALONES!$B:$B,
        SALONES!$C:$C
      },
      2,
      FALSE
    ) &amp; " - " &amp; 'Teachers sched'!F182,
    'Teachers sched'!F182
  )
)
</f>
        <v>921 - Spanish and Literature 11-4</v>
      </c>
      <c r="G182" s="390" t="str">
        <f t="array" ref="G182">IF('Teachers sched'!G182="", "", 
  IFERROR(
    VLOOKUP(
      'Teachers sched'!$A182 &amp; "|" &amp; 
      LEFT('Teachers sched'!G182, FIND("-", 'Teachers sched'!G182) - 1),
      {
        SALONES!$A:$A &amp; "|" &amp; SALONES!$B:$B,
        SALONES!$C:$C
      },
      2,
      FALSE
    ) &amp; " - " &amp; 'Teachers sched'!G182,
    'Teachers sched'!G182
  )
)
</f>
        <v/>
      </c>
      <c r="H182" s="395" t="str">
        <f t="array" ref="H182">IF('Teachers sched'!H182="", "", 
  IFERROR(
    VLOOKUP(
      'Teachers sched'!$A182 &amp; "|" &amp; 
      LEFT('Teachers sched'!H182, FIND("-", 'Teachers sched'!H182) - 1),
      {
        SALONES!$A:$A &amp; "|" &amp; SALONES!$B:$B,
        SALONES!$C:$C
      },
      2,
      FALSE
    ) &amp; " - " &amp; 'Teachers sched'!H182,
    'Teachers sched'!H182
  )
)
</f>
        <v>X-Block</v>
      </c>
      <c r="I182" s="53"/>
      <c r="J182" s="392"/>
      <c r="K182" s="389" t="s">
        <v>22</v>
      </c>
      <c r="L182" s="389" t="s">
        <v>22</v>
      </c>
      <c r="M182" s="100">
        <v>3.0</v>
      </c>
      <c r="N182" s="390" t="s">
        <v>22</v>
      </c>
      <c r="O182" s="390" t="s">
        <v>22</v>
      </c>
      <c r="P182" s="390" t="s">
        <v>22</v>
      </c>
      <c r="Q182" s="390" t="s">
        <v>22</v>
      </c>
      <c r="R182" s="395" t="s">
        <v>22</v>
      </c>
      <c r="S182" s="53"/>
      <c r="T182" s="393"/>
    </row>
    <row r="183">
      <c r="A183" s="389" t="s">
        <v>65</v>
      </c>
      <c r="B183" s="389" t="s">
        <v>22</v>
      </c>
      <c r="C183" s="100">
        <v>4.0</v>
      </c>
      <c r="D183" s="390" t="str">
        <f t="array" ref="D183">IF('Teachers sched'!D183="", "", 
  IFERROR(
    VLOOKUP(
      'Teachers sched'!$A183 &amp; "|" &amp; 
      LEFT('Teachers sched'!D183, FIND("-", 'Teachers sched'!D183) - 1),
      {
        SALONES!$A:$A &amp; "|" &amp; SALONES!$B:$B,
        SALONES!$C:$C
      },
      2,
      FALSE
    ) &amp; " - " &amp; 'Teachers sched'!D183,
    'Teachers sched'!D183
  )
)
</f>
        <v>921 - Spanish and Literature 11-3</v>
      </c>
      <c r="E183" s="390" t="str">
        <f t="array" ref="E183">IF('Teachers sched'!E183="", "", 
  IFERROR(
    VLOOKUP(
      'Teachers sched'!$A183 &amp; "|" &amp; 
      LEFT('Teachers sched'!E183, FIND("-", 'Teachers sched'!E183) - 1),
      {
        SALONES!$A:$A &amp; "|" &amp; SALONES!$B:$B,
        SALONES!$C:$C
      },
      2,
      FALSE
    ) &amp; " - " &amp; 'Teachers sched'!E183,
    'Teachers sched'!E183
  )
)
</f>
        <v>921 - Spanish and Literature 11-1</v>
      </c>
      <c r="F183" s="390" t="str">
        <f t="array" ref="F183">IF('Teachers sched'!F183="", "", 
  IFERROR(
    VLOOKUP(
      'Teachers sched'!$A183 &amp; "|" &amp; 
      LEFT('Teachers sched'!F183, FIND("-", 'Teachers sched'!F183) - 1),
      {
        SALONES!$A:$A &amp; "|" &amp; SALONES!$B:$B,
        SALONES!$C:$C
      },
      2,
      FALSE
    ) &amp; " - " &amp; 'Teachers sched'!F183,
    'Teachers sched'!F183
  )
)
</f>
        <v>921 - Spanish and Literature 11-5</v>
      </c>
      <c r="G183" s="390" t="str">
        <f t="array" ref="G183">IF('Teachers sched'!G183="", "", 
  IFERROR(
    VLOOKUP(
      'Teachers sched'!$A183 &amp; "|" &amp; 
      LEFT('Teachers sched'!G183, FIND("-", 'Teachers sched'!G183) - 1),
      {
        SALONES!$A:$A &amp; "|" &amp; SALONES!$B:$B,
        SALONES!$C:$C
      },
      2,
      FALSE
    ) &amp; " - " &amp; 'Teachers sched'!G183,
    'Teachers sched'!G183
  )
)
</f>
        <v>921 - Spanish and Literature 11-2</v>
      </c>
      <c r="H183" s="390" t="str">
        <f t="array" ref="H183">IF('Teachers sched'!H183="", "", 
  IFERROR(
    VLOOKUP(
      'Teachers sched'!$A183 &amp; "|" &amp; 
      LEFT('Teachers sched'!H183, FIND("-", 'Teachers sched'!H183) - 1),
      {
        SALONES!$A:$A &amp; "|" &amp; SALONES!$B:$B,
        SALONES!$C:$C
      },
      2,
      FALSE
    ) &amp; " - " &amp; 'Teachers sched'!H183,
    'Teachers sched'!H183
  )
)
</f>
        <v/>
      </c>
      <c r="I183" s="53"/>
      <c r="J183" s="392"/>
      <c r="K183" s="389" t="s">
        <v>22</v>
      </c>
      <c r="L183" s="389" t="s">
        <v>22</v>
      </c>
      <c r="M183" s="100">
        <v>4.0</v>
      </c>
      <c r="N183" s="390" t="s">
        <v>22</v>
      </c>
      <c r="O183" s="390" t="s">
        <v>22</v>
      </c>
      <c r="P183" s="390" t="s">
        <v>22</v>
      </c>
      <c r="Q183" s="390" t="s">
        <v>22</v>
      </c>
      <c r="R183" s="390" t="s">
        <v>22</v>
      </c>
      <c r="S183" s="53"/>
      <c r="T183" s="393"/>
    </row>
    <row r="184">
      <c r="A184" s="389" t="s">
        <v>65</v>
      </c>
      <c r="B184" s="389" t="s">
        <v>22</v>
      </c>
      <c r="C184" s="100">
        <v>5.0</v>
      </c>
      <c r="D184" s="390" t="str">
        <f t="array" ref="D184">IF('Teachers sched'!D184="", "", 
  IFERROR(
    VLOOKUP(
      'Teachers sched'!$A184 &amp; "|" &amp; 
      LEFT('Teachers sched'!D184, FIND("-", 'Teachers sched'!D184) - 1),
      {
        SALONES!$A:$A &amp; "|" &amp; SALONES!$B:$B,
        SALONES!$C:$C
      },
      2,
      FALSE
    ) &amp; " - " &amp; 'Teachers sched'!D184,
    'Teachers sched'!D184
  )
)
</f>
        <v>921 - Spanish and Literature 11-4</v>
      </c>
      <c r="E184" s="390" t="str">
        <f t="array" ref="E184">IF('Teachers sched'!E184="", "", 
  IFERROR(
    VLOOKUP(
      'Teachers sched'!$A184 &amp; "|" &amp; 
      LEFT('Teachers sched'!E184, FIND("-", 'Teachers sched'!E184) - 1),
      {
        SALONES!$A:$A &amp; "|" &amp; SALONES!$B:$B,
        SALONES!$C:$C
      },
      2,
      FALSE
    ) &amp; " - " &amp; 'Teachers sched'!E184,
    'Teachers sched'!E184
  )
)
</f>
        <v/>
      </c>
      <c r="F184" s="390" t="str">
        <f t="array" ref="F184">IF('Teachers sched'!F184="", "", 
  IFERROR(
    VLOOKUP(
      'Teachers sched'!$A184 &amp; "|" &amp; 
      LEFT('Teachers sched'!F184, FIND("-", 'Teachers sched'!F184) - 1),
      {
        SALONES!$A:$A &amp; "|" &amp; SALONES!$B:$B,
        SALONES!$C:$C
      },
      2,
      FALSE
    ) &amp; " - " &amp; 'Teachers sched'!F184,
    'Teachers sched'!F184
  )
)
</f>
        <v/>
      </c>
      <c r="G184" s="390" t="str">
        <f t="array" ref="G184">IF('Teachers sched'!G184="", "", 
  IFERROR(
    VLOOKUP(
      'Teachers sched'!$A184 &amp; "|" &amp; 
      LEFT('Teachers sched'!G184, FIND("-", 'Teachers sched'!G184) - 1),
      {
        SALONES!$A:$A &amp; "|" &amp; SALONES!$B:$B,
        SALONES!$C:$C
      },
      2,
      FALSE
    ) &amp; " - " &amp; 'Teachers sched'!G184,
    'Teachers sched'!G184
  )
)
</f>
        <v>921 - Spanish and Literature 11-3</v>
      </c>
      <c r="H184" s="390" t="str">
        <f t="array" ref="H184">IF('Teachers sched'!H184="", "", 
  IFERROR(
    VLOOKUP(
      'Teachers sched'!$A184 &amp; "|" &amp; 
      LEFT('Teachers sched'!H184, FIND("-", 'Teachers sched'!H184) - 1),
      {
        SALONES!$A:$A &amp; "|" &amp; SALONES!$B:$B,
        SALONES!$C:$C
      },
      2,
      FALSE
    ) &amp; " - " &amp; 'Teachers sched'!H184,
    'Teachers sched'!H184
  )
)
</f>
        <v/>
      </c>
      <c r="I184" s="68"/>
      <c r="J184" s="392"/>
      <c r="K184" s="389" t="s">
        <v>22</v>
      </c>
      <c r="L184" s="389" t="s">
        <v>22</v>
      </c>
      <c r="M184" s="100">
        <v>5.0</v>
      </c>
      <c r="N184" s="390" t="s">
        <v>22</v>
      </c>
      <c r="O184" s="390" t="s">
        <v>22</v>
      </c>
      <c r="P184" s="390" t="s">
        <v>22</v>
      </c>
      <c r="Q184" s="390" t="s">
        <v>22</v>
      </c>
      <c r="R184" s="390" t="s">
        <v>22</v>
      </c>
      <c r="S184" s="68"/>
      <c r="T184" s="393"/>
    </row>
    <row r="185">
      <c r="C185" s="3"/>
      <c r="D185" s="396"/>
      <c r="E185" s="396"/>
      <c r="F185" s="396"/>
      <c r="G185" s="396"/>
      <c r="H185" s="396"/>
      <c r="N185" s="397"/>
      <c r="O185" s="397"/>
      <c r="P185" s="397"/>
      <c r="Q185" s="397"/>
      <c r="R185" s="397"/>
    </row>
    <row r="186">
      <c r="A186" s="45"/>
      <c r="B186" s="45"/>
      <c r="C186" s="386" t="s">
        <v>21</v>
      </c>
      <c r="D186" s="383"/>
      <c r="E186" s="383"/>
      <c r="F186" s="383"/>
      <c r="G186" s="383"/>
      <c r="H186" s="384"/>
      <c r="I186" s="385" t="str">
        <f>IFERROR(__xludf.DUMMYFUNCTION("if(C186="""","""", iferror(filter(Schedule!$K:$K,Schedule!$L:$L=$C186,Schedule!$K:$K=""S1""),unique(filter(Schedule!$K:$K,Schedule!$L:$L=$C186,Schedule!$K:$K=""""))))"),"")</f>
        <v/>
      </c>
      <c r="M186" s="386" t="s">
        <v>22</v>
      </c>
      <c r="N186" s="383"/>
      <c r="O186" s="383"/>
      <c r="P186" s="383"/>
      <c r="Q186" s="383"/>
      <c r="R186" s="384"/>
      <c r="S186" s="385" t="s">
        <v>22</v>
      </c>
      <c r="T186" s="112"/>
    </row>
    <row r="187">
      <c r="A187" s="116"/>
      <c r="B187" s="116"/>
      <c r="C187" s="100" t="s">
        <v>7</v>
      </c>
      <c r="D187" s="387" t="s">
        <v>8</v>
      </c>
      <c r="E187" s="387" t="s">
        <v>9</v>
      </c>
      <c r="F187" s="387" t="s">
        <v>10</v>
      </c>
      <c r="G187" s="387" t="s">
        <v>11</v>
      </c>
      <c r="H187" s="387" t="s">
        <v>12</v>
      </c>
      <c r="I187" s="21" t="s">
        <v>766</v>
      </c>
      <c r="J187" s="116"/>
      <c r="K187" s="116"/>
      <c r="L187" s="116"/>
      <c r="M187" s="100" t="s">
        <v>7</v>
      </c>
      <c r="N187" s="387" t="s">
        <v>8</v>
      </c>
      <c r="O187" s="387" t="s">
        <v>9</v>
      </c>
      <c r="P187" s="387" t="s">
        <v>10</v>
      </c>
      <c r="Q187" s="387" t="s">
        <v>11</v>
      </c>
      <c r="R187" s="387" t="s">
        <v>12</v>
      </c>
      <c r="S187" s="21" t="s">
        <v>766</v>
      </c>
      <c r="T187" s="388"/>
    </row>
    <row r="188">
      <c r="A188" s="389" t="s">
        <v>21</v>
      </c>
      <c r="B188" s="389" t="s">
        <v>22</v>
      </c>
      <c r="C188" s="100">
        <v>1.0</v>
      </c>
      <c r="D188" s="390" t="str">
        <f t="array" ref="D188">IF('Teachers sched'!D188="", "", 
  IFERROR(
    VLOOKUP(
      'Teachers sched'!$A188 &amp; "|" &amp; 
      LEFT('Teachers sched'!D188, FIND("-", 'Teachers sched'!D188) - 1),
      {
        SALONES!$A:$A &amp; "|" &amp; SALONES!$B:$B,
        SALONES!$C:$C
      },
      2,
      FALSE
    ) &amp; " - " &amp; 'Teachers sched'!D188,
    'Teachers sched'!D188
  )
)
</f>
        <v/>
      </c>
      <c r="E188" s="390" t="str">
        <f t="array" ref="E188">IF('Teachers sched'!E188="", "", 
  IFERROR(
    VLOOKUP(
      'Teachers sched'!$A188 &amp; "|" &amp; 
      LEFT('Teachers sched'!E188, FIND("-", 'Teachers sched'!E188) - 1),
      {
        SALONES!$A:$A &amp; "|" &amp; SALONES!$B:$B,
        SALONES!$C:$C
      },
      2,
      FALSE
    ) &amp; " - " &amp; 'Teachers sched'!E188,
    'Teachers sched'!E188
  )
)
</f>
        <v>622 - Band Level II-2</v>
      </c>
      <c r="F188" s="390" t="str">
        <f t="array" ref="F188">IF('Teachers sched'!F188="", "", 
  IFERROR(
    VLOOKUP(
      'Teachers sched'!$A188 &amp; "|" &amp; 
      LEFT('Teachers sched'!F188, FIND("-", 'Teachers sched'!F188) - 1),
      {
        SALONES!$A:$A &amp; "|" &amp; SALONES!$B:$B,
        SALONES!$C:$C
      },
      2,
      FALSE
    ) &amp; " - " &amp; 'Teachers sched'!F188,
    'Teachers sched'!F188
  )
)
</f>
        <v>622 - Band Level I-1</v>
      </c>
      <c r="G188" s="390" t="str">
        <f t="array" ref="G188">IF('Teachers sched'!G188="", "", 
  IFERROR(
    VLOOKUP(
      'Teachers sched'!$A188 &amp; "|" &amp; 
      LEFT('Teachers sched'!G188, FIND("-", 'Teachers sched'!G188) - 1),
      {
        SALONES!$A:$A &amp; "|" &amp; SALONES!$B:$B,
        SALONES!$C:$C
      },
      2,
      FALSE
    ) &amp; " - " &amp; 'Teachers sched'!G188,
    'Teachers sched'!G188
  )
)
</f>
        <v>622 - Band Level I-4</v>
      </c>
      <c r="H188" s="390" t="str">
        <f t="array" ref="H188">IF('Teachers sched'!H188="", "", 
  IFERROR(
    VLOOKUP(
      'Teachers sched'!$A188 &amp; "|" &amp; 
      LEFT('Teachers sched'!H188, FIND("-", 'Teachers sched'!H188) - 1),
      {
        SALONES!$A:$A &amp; "|" &amp; SALONES!$B:$B,
        SALONES!$C:$C
      },
      2,
      FALSE
    ) &amp; " - " &amp; 'Teachers sched'!H188,
    'Teachers sched'!H188
  )
)
</f>
        <v/>
      </c>
      <c r="I188" s="391">
        <f>if(C186="","", 24-countifs(D188:H192,""))</f>
        <v>18</v>
      </c>
      <c r="J188" s="392"/>
      <c r="K188" s="389" t="s">
        <v>22</v>
      </c>
      <c r="L188" s="389" t="s">
        <v>22</v>
      </c>
      <c r="M188" s="100">
        <v>1.0</v>
      </c>
      <c r="N188" s="390" t="s">
        <v>22</v>
      </c>
      <c r="O188" s="390" t="s">
        <v>22</v>
      </c>
      <c r="P188" s="390" t="s">
        <v>22</v>
      </c>
      <c r="Q188" s="390" t="s">
        <v>22</v>
      </c>
      <c r="R188" s="390" t="s">
        <v>22</v>
      </c>
      <c r="S188" s="391" t="s">
        <v>22</v>
      </c>
      <c r="T188" s="393"/>
    </row>
    <row r="189">
      <c r="A189" s="389" t="s">
        <v>21</v>
      </c>
      <c r="B189" s="389" t="s">
        <v>22</v>
      </c>
      <c r="C189" s="100">
        <v>2.0</v>
      </c>
      <c r="D189" s="390" t="str">
        <f t="array" ref="D189">IF('Teachers sched'!D189="", "", 
  IFERROR(
    VLOOKUP(
      'Teachers sched'!$A189 &amp; "|" &amp; 
      LEFT('Teachers sched'!D189, FIND("-", 'Teachers sched'!D189) - 1),
      {
        SALONES!$A:$A &amp; "|" &amp; SALONES!$B:$B,
        SALONES!$C:$C
      },
      2,
      FALSE
    ) &amp; " - " &amp; 'Teachers sched'!D189,
    'Teachers sched'!D189
  )
)
</f>
        <v>622 - Band Level II-1</v>
      </c>
      <c r="E189" s="390" t="str">
        <f t="array" ref="E189">IF('Teachers sched'!E189="", "", 
  IFERROR(
    VLOOKUP(
      'Teachers sched'!$A189 &amp; "|" &amp; 
      LEFT('Teachers sched'!E189, FIND("-", 'Teachers sched'!E189) - 1),
      {
        SALONES!$A:$A &amp; "|" &amp; SALONES!$B:$B,
        SALONES!$C:$C
      },
      2,
      FALSE
    ) &amp; " - " &amp; 'Teachers sched'!E189,
    'Teachers sched'!E189
  )
)
</f>
        <v>622 - Band Level I-3</v>
      </c>
      <c r="F189" s="390" t="str">
        <f t="array" ref="F189">IF('Teachers sched'!F189="", "", 
  IFERROR(
    VLOOKUP(
      'Teachers sched'!$A189 &amp; "|" &amp; 
      LEFT('Teachers sched'!F189, FIND("-", 'Teachers sched'!F189) - 1),
      {
        SALONES!$A:$A &amp; "|" &amp; SALONES!$B:$B,
        SALONES!$C:$C
      },
      2,
      FALSE
    ) &amp; " - " &amp; 'Teachers sched'!F189,
    'Teachers sched'!F189
  )
)
</f>
        <v>622 - Band Level I-2</v>
      </c>
      <c r="G189" s="390" t="str">
        <f t="array" ref="G189">IF('Teachers sched'!G189="", "", 
  IFERROR(
    VLOOKUP(
      'Teachers sched'!$A189 &amp; "|" &amp; 
      LEFT('Teachers sched'!G189, FIND("-", 'Teachers sched'!G189) - 1),
      {
        SALONES!$A:$A &amp; "|" &amp; SALONES!$B:$B,
        SALONES!$C:$C
      },
      2,
      FALSE
    ) &amp; " - " &amp; 'Teachers sched'!G189,
    'Teachers sched'!G189
  )
)
</f>
        <v/>
      </c>
      <c r="H189" s="390" t="str">
        <f t="array" ref="H189">IF('Teachers sched'!H189="", "", 
  IFERROR(
    VLOOKUP(
      'Teachers sched'!$A189 &amp; "|" &amp; 
      LEFT('Teachers sched'!H189, FIND("-", 'Teachers sched'!H189) - 1),
      {
        SALONES!$A:$A &amp; "|" &amp; SALONES!$B:$B,
        SALONES!$C:$C
      },
      2,
      FALSE
    ) &amp; " - " &amp; 'Teachers sched'!H189,
    'Teachers sched'!H189
  )
)
</f>
        <v>622 - Band Level II-2</v>
      </c>
      <c r="I189" s="53"/>
      <c r="J189" s="392"/>
      <c r="K189" s="389" t="s">
        <v>22</v>
      </c>
      <c r="L189" s="389" t="s">
        <v>22</v>
      </c>
      <c r="M189" s="100">
        <v>2.0</v>
      </c>
      <c r="N189" s="390" t="s">
        <v>22</v>
      </c>
      <c r="O189" s="390" t="s">
        <v>22</v>
      </c>
      <c r="P189" s="390" t="s">
        <v>22</v>
      </c>
      <c r="Q189" s="390" t="s">
        <v>22</v>
      </c>
      <c r="R189" s="390" t="s">
        <v>22</v>
      </c>
      <c r="S189" s="53"/>
      <c r="T189" s="393"/>
    </row>
    <row r="190">
      <c r="A190" s="389" t="s">
        <v>21</v>
      </c>
      <c r="B190" s="389" t="s">
        <v>22</v>
      </c>
      <c r="C190" s="100">
        <v>3.0</v>
      </c>
      <c r="D190" s="390" t="str">
        <f t="array" ref="D190">IF('Teachers sched'!D190="", "", 
  IFERROR(
    VLOOKUP(
      'Teachers sched'!$A190 &amp; "|" &amp; 
      LEFT('Teachers sched'!D190, FIND("-", 'Teachers sched'!D190) - 1),
      {
        SALONES!$A:$A &amp; "|" &amp; SALONES!$B:$B,
        SALONES!$C:$C
      },
      2,
      FALSE
    ) &amp; " - " &amp; 'Teachers sched'!D190,
    'Teachers sched'!D190
  )
)
</f>
        <v>622 - Band Level I-1</v>
      </c>
      <c r="E190" s="390" t="str">
        <f t="array" ref="E190">IF('Teachers sched'!E190="", "", 
  IFERROR(
    VLOOKUP(
      'Teachers sched'!$A190 &amp; "|" &amp; 
      LEFT('Teachers sched'!E190, FIND("-", 'Teachers sched'!E190) - 1),
      {
        SALONES!$A:$A &amp; "|" &amp; SALONES!$B:$B,
        SALONES!$C:$C
      },
      2,
      FALSE
    ) &amp; " - " &amp; 'Teachers sched'!E190,
    'Teachers sched'!E190
  )
)
</f>
        <v>622 - Band Level I-4</v>
      </c>
      <c r="F190" s="390" t="str">
        <f t="array" ref="F190">IF('Teachers sched'!F190="", "", 
  IFERROR(
    VLOOKUP(
      'Teachers sched'!$A190 &amp; "|" &amp; 
      LEFT('Teachers sched'!F190, FIND("-", 'Teachers sched'!F190) - 1),
      {
        SALONES!$A:$A &amp; "|" &amp; SALONES!$B:$B,
        SALONES!$C:$C
      },
      2,
      FALSE
    ) &amp; " - " &amp; 'Teachers sched'!F190,
    'Teachers sched'!F190
  )
)
</f>
        <v/>
      </c>
      <c r="G190" s="390" t="str">
        <f t="array" ref="G190">IF('Teachers sched'!G190="", "", 
  IFERROR(
    VLOOKUP(
      'Teachers sched'!$A190 &amp; "|" &amp; 
      LEFT('Teachers sched'!G190, FIND("-", 'Teachers sched'!G190) - 1),
      {
        SALONES!$A:$A &amp; "|" &amp; SALONES!$B:$B,
        SALONES!$C:$C
      },
      2,
      FALSE
    ) &amp; " - " &amp; 'Teachers sched'!G190,
    'Teachers sched'!G190
  )
)
</f>
        <v>622 - Band Level II-1</v>
      </c>
      <c r="H190" s="395" t="str">
        <f t="array" ref="H190">IF('Teachers sched'!H190="", "", 
  IFERROR(
    VLOOKUP(
      'Teachers sched'!$A190 &amp; "|" &amp; 
      LEFT('Teachers sched'!H190, FIND("-", 'Teachers sched'!H190) - 1),
      {
        SALONES!$A:$A &amp; "|" &amp; SALONES!$B:$B,
        SALONES!$C:$C
      },
      2,
      FALSE
    ) &amp; " - " &amp; 'Teachers sched'!H190,
    'Teachers sched'!H190
  )
)
</f>
        <v>X-Block</v>
      </c>
      <c r="I190" s="53"/>
      <c r="J190" s="392"/>
      <c r="K190" s="389" t="s">
        <v>22</v>
      </c>
      <c r="L190" s="389" t="s">
        <v>22</v>
      </c>
      <c r="M190" s="100">
        <v>3.0</v>
      </c>
      <c r="N190" s="390" t="s">
        <v>22</v>
      </c>
      <c r="O190" s="390" t="s">
        <v>22</v>
      </c>
      <c r="P190" s="390" t="s">
        <v>22</v>
      </c>
      <c r="Q190" s="390" t="s">
        <v>22</v>
      </c>
      <c r="R190" s="395" t="s">
        <v>22</v>
      </c>
      <c r="S190" s="53"/>
      <c r="T190" s="393"/>
    </row>
    <row r="191">
      <c r="A191" s="389" t="s">
        <v>21</v>
      </c>
      <c r="B191" s="389" t="s">
        <v>22</v>
      </c>
      <c r="C191" s="100">
        <v>4.0</v>
      </c>
      <c r="D191" s="390" t="str">
        <f t="array" ref="D191">IF('Teachers sched'!D191="", "", 
  IFERROR(
    VLOOKUP(
      'Teachers sched'!$A191 &amp; "|" &amp; 
      LEFT('Teachers sched'!D191, FIND("-", 'Teachers sched'!D191) - 1),
      {
        SALONES!$A:$A &amp; "|" &amp; SALONES!$B:$B,
        SALONES!$C:$C
      },
      2,
      FALSE
    ) &amp; " - " &amp; 'Teachers sched'!D191,
    'Teachers sched'!D191
  )
)
</f>
        <v>622 - Band Level I-2</v>
      </c>
      <c r="E191" s="390" t="str">
        <f t="array" ref="E191">IF('Teachers sched'!E191="", "", 
  IFERROR(
    VLOOKUP(
      'Teachers sched'!$A191 &amp; "|" &amp; 
      LEFT('Teachers sched'!E191, FIND("-", 'Teachers sched'!E191) - 1),
      {
        SALONES!$A:$A &amp; "|" &amp; SALONES!$B:$B,
        SALONES!$C:$C
      },
      2,
      FALSE
    ) &amp; " - " &amp; 'Teachers sched'!E191,
    'Teachers sched'!E191
  )
)
</f>
        <v/>
      </c>
      <c r="F191" s="390" t="str">
        <f t="array" ref="F191">IF('Teachers sched'!F191="", "", 
  IFERROR(
    VLOOKUP(
      'Teachers sched'!$A191 &amp; "|" &amp; 
      LEFT('Teachers sched'!F191, FIND("-", 'Teachers sched'!F191) - 1),
      {
        SALONES!$A:$A &amp; "|" &amp; SALONES!$B:$B,
        SALONES!$C:$C
      },
      2,
      FALSE
    ) &amp; " - " &amp; 'Teachers sched'!F191,
    'Teachers sched'!F191
  )
)
</f>
        <v>622 - Band Level II-2</v>
      </c>
      <c r="G191" s="390" t="str">
        <f t="array" ref="G191">IF('Teachers sched'!G191="", "", 
  IFERROR(
    VLOOKUP(
      'Teachers sched'!$A191 &amp; "|" &amp; 
      LEFT('Teachers sched'!G191, FIND("-", 'Teachers sched'!G191) - 1),
      {
        SALONES!$A:$A &amp; "|" &amp; SALONES!$B:$B,
        SALONES!$C:$C
      },
      2,
      FALSE
    ) &amp; " - " &amp; 'Teachers sched'!G191,
    'Teachers sched'!G191
  )
)
</f>
        <v>622 - Band Level I-1</v>
      </c>
      <c r="H191" s="390" t="str">
        <f t="array" ref="H191">IF('Teachers sched'!H191="", "", 
  IFERROR(
    VLOOKUP(
      'Teachers sched'!$A191 &amp; "|" &amp; 
      LEFT('Teachers sched'!H191, FIND("-", 'Teachers sched'!H191) - 1),
      {
        SALONES!$A:$A &amp; "|" &amp; SALONES!$B:$B,
        SALONES!$C:$C
      },
      2,
      FALSE
    ) &amp; " - " &amp; 'Teachers sched'!H191,
    'Teachers sched'!H191
  )
)
</f>
        <v>622 - Band Level I-3</v>
      </c>
      <c r="I191" s="53"/>
      <c r="J191" s="392"/>
      <c r="K191" s="389" t="s">
        <v>22</v>
      </c>
      <c r="L191" s="389" t="s">
        <v>22</v>
      </c>
      <c r="M191" s="100">
        <v>4.0</v>
      </c>
      <c r="N191" s="390" t="s">
        <v>22</v>
      </c>
      <c r="O191" s="390" t="s">
        <v>22</v>
      </c>
      <c r="P191" s="390" t="s">
        <v>22</v>
      </c>
      <c r="Q191" s="390" t="s">
        <v>22</v>
      </c>
      <c r="R191" s="390" t="s">
        <v>22</v>
      </c>
      <c r="S191" s="53"/>
      <c r="T191" s="393"/>
    </row>
    <row r="192">
      <c r="A192" s="389" t="s">
        <v>21</v>
      </c>
      <c r="B192" s="389" t="s">
        <v>22</v>
      </c>
      <c r="C192" s="100">
        <v>5.0</v>
      </c>
      <c r="D192" s="390" t="str">
        <f t="array" ref="D192">IF('Teachers sched'!D192="", "", 
  IFERROR(
    VLOOKUP(
      'Teachers sched'!$A192 &amp; "|" &amp; 
      LEFT('Teachers sched'!D192, FIND("-", 'Teachers sched'!D192) - 1),
      {
        SALONES!$A:$A &amp; "|" &amp; SALONES!$B:$B,
        SALONES!$C:$C
      },
      2,
      FALSE
    ) &amp; " - " &amp; 'Teachers sched'!D192,
    'Teachers sched'!D192
  )
)
</f>
        <v/>
      </c>
      <c r="E192" s="390" t="str">
        <f t="array" ref="E192">IF('Teachers sched'!E192="", "", 
  IFERROR(
    VLOOKUP(
      'Teachers sched'!$A192 &amp; "|" &amp; 
      LEFT('Teachers sched'!E192, FIND("-", 'Teachers sched'!E192) - 1),
      {
        SALONES!$A:$A &amp; "|" &amp; SALONES!$B:$B,
        SALONES!$C:$C
      },
      2,
      FALSE
    ) &amp; " - " &amp; 'Teachers sched'!E192,
    'Teachers sched'!E192
  )
)
</f>
        <v>622 - Band Level II-1</v>
      </c>
      <c r="F192" s="390" t="str">
        <f t="array" ref="F192">IF('Teachers sched'!F192="", "", 
  IFERROR(
    VLOOKUP(
      'Teachers sched'!$A192 &amp; "|" &amp; 
      LEFT('Teachers sched'!F192, FIND("-", 'Teachers sched'!F192) - 1),
      {
        SALONES!$A:$A &amp; "|" &amp; SALONES!$B:$B,
        SALONES!$C:$C
      },
      2,
      FALSE
    ) &amp; " - " &amp; 'Teachers sched'!F192,
    'Teachers sched'!F192
  )
)
</f>
        <v>622 - Band Level I-3</v>
      </c>
      <c r="G192" s="390" t="str">
        <f t="array" ref="G192">IF('Teachers sched'!G192="", "", 
  IFERROR(
    VLOOKUP(
      'Teachers sched'!$A192 &amp; "|" &amp; 
      LEFT('Teachers sched'!G192, FIND("-", 'Teachers sched'!G192) - 1),
      {
        SALONES!$A:$A &amp; "|" &amp; SALONES!$B:$B,
        SALONES!$C:$C
      },
      2,
      FALSE
    ) &amp; " - " &amp; 'Teachers sched'!G192,
    'Teachers sched'!G192
  )
)
</f>
        <v>622 - Band Level I-2</v>
      </c>
      <c r="H192" s="390" t="str">
        <f t="array" ref="H192">IF('Teachers sched'!H192="", "", 
  IFERROR(
    VLOOKUP(
      'Teachers sched'!$A192 &amp; "|" &amp; 
      LEFT('Teachers sched'!H192, FIND("-", 'Teachers sched'!H192) - 1),
      {
        SALONES!$A:$A &amp; "|" &amp; SALONES!$B:$B,
        SALONES!$C:$C
      },
      2,
      FALSE
    ) &amp; " - " &amp; 'Teachers sched'!H192,
    'Teachers sched'!H192
  )
)
</f>
        <v>622 - Band Level I-4</v>
      </c>
      <c r="I192" s="68"/>
      <c r="J192" s="392"/>
      <c r="K192" s="389" t="s">
        <v>22</v>
      </c>
      <c r="L192" s="389" t="s">
        <v>22</v>
      </c>
      <c r="M192" s="100">
        <v>5.0</v>
      </c>
      <c r="N192" s="390" t="s">
        <v>22</v>
      </c>
      <c r="O192" s="390" t="s">
        <v>22</v>
      </c>
      <c r="P192" s="390" t="s">
        <v>22</v>
      </c>
      <c r="Q192" s="390" t="s">
        <v>22</v>
      </c>
      <c r="R192" s="390" t="s">
        <v>22</v>
      </c>
      <c r="S192" s="68"/>
      <c r="T192" s="393"/>
    </row>
    <row r="193">
      <c r="C193" s="3"/>
      <c r="D193" s="396"/>
      <c r="E193" s="396"/>
      <c r="F193" s="396"/>
      <c r="G193" s="396"/>
      <c r="H193" s="396"/>
      <c r="N193" s="397"/>
      <c r="O193" s="397"/>
      <c r="P193" s="397"/>
      <c r="Q193" s="397"/>
      <c r="R193" s="397"/>
    </row>
    <row r="194">
      <c r="A194" s="45"/>
      <c r="B194" s="45"/>
      <c r="C194" s="386" t="s">
        <v>97</v>
      </c>
      <c r="D194" s="383"/>
      <c r="E194" s="383"/>
      <c r="F194" s="383"/>
      <c r="G194" s="383"/>
      <c r="H194" s="384"/>
      <c r="I194" s="385" t="str">
        <f>IFERROR(__xludf.DUMMYFUNCTION("if(C194="""","""", iferror(filter(Schedule!$K:$K,Schedule!$L:$L=$C194,Schedule!$K:$K=""S1""),unique(filter(Schedule!$K:$K,Schedule!$L:$L=$C194,Schedule!$K:$K=""""))))"),"")</f>
        <v/>
      </c>
      <c r="M194" s="386" t="s">
        <v>22</v>
      </c>
      <c r="N194" s="383"/>
      <c r="O194" s="383"/>
      <c r="P194" s="383"/>
      <c r="Q194" s="383"/>
      <c r="R194" s="384"/>
      <c r="S194" s="385" t="s">
        <v>22</v>
      </c>
      <c r="T194" s="112"/>
    </row>
    <row r="195">
      <c r="A195" s="116"/>
      <c r="B195" s="116"/>
      <c r="C195" s="100" t="s">
        <v>7</v>
      </c>
      <c r="D195" s="387" t="s">
        <v>8</v>
      </c>
      <c r="E195" s="387" t="s">
        <v>9</v>
      </c>
      <c r="F195" s="387" t="s">
        <v>10</v>
      </c>
      <c r="G195" s="387" t="s">
        <v>11</v>
      </c>
      <c r="H195" s="387" t="s">
        <v>12</v>
      </c>
      <c r="I195" s="21" t="s">
        <v>766</v>
      </c>
      <c r="J195" s="116"/>
      <c r="K195" s="116"/>
      <c r="L195" s="116"/>
      <c r="M195" s="100" t="s">
        <v>7</v>
      </c>
      <c r="N195" s="387" t="s">
        <v>8</v>
      </c>
      <c r="O195" s="387" t="s">
        <v>9</v>
      </c>
      <c r="P195" s="387" t="s">
        <v>10</v>
      </c>
      <c r="Q195" s="387" t="s">
        <v>11</v>
      </c>
      <c r="R195" s="387" t="s">
        <v>12</v>
      </c>
      <c r="S195" s="21" t="s">
        <v>766</v>
      </c>
      <c r="T195" s="388"/>
    </row>
    <row r="196">
      <c r="A196" s="389" t="s">
        <v>97</v>
      </c>
      <c r="B196" s="389" t="s">
        <v>22</v>
      </c>
      <c r="C196" s="100">
        <v>1.0</v>
      </c>
      <c r="D196" s="390" t="str">
        <f t="array" ref="D196">IF('Teachers sched'!D196="", "", 
  IFERROR(
    VLOOKUP(
      'Teachers sched'!$A196 &amp; "|" &amp; 
      LEFT('Teachers sched'!D196, FIND("-", 'Teachers sched'!D196) - 1),
      {
        SALONES!$A:$A &amp; "|" &amp; SALONES!$B:$B,
        SALONES!$C:$C
      },
      2,
      FALSE
    ) &amp; " - " &amp; 'Teachers sched'!D196,
    'Teachers sched'!D196
  )
)
</f>
        <v>929 - Chemistry-4</v>
      </c>
      <c r="E196" s="390" t="str">
        <f t="array" ref="E196">IF('Teachers sched'!E196="", "", 
  IFERROR(
    VLOOKUP(
      'Teachers sched'!$A196 &amp; "|" &amp; 
      LEFT('Teachers sched'!E196, FIND("-", 'Teachers sched'!E196) - 1),
      {
        SALONES!$A:$A &amp; "|" &amp; SALONES!$B:$B,
        SALONES!$C:$C
      },
      2,
      FALSE
    ) &amp; " - " &amp; 'Teachers sched'!E196,
    'Teachers sched'!E196
  )
)
</f>
        <v>929 - Chemistry-7</v>
      </c>
      <c r="F196" s="390" t="str">
        <f t="array" ref="F196">IF('Teachers sched'!F196="", "", 
  IFERROR(
    VLOOKUP(
      'Teachers sched'!$A196 &amp; "|" &amp; 
      LEFT('Teachers sched'!F196, FIND("-", 'Teachers sched'!F196) - 1),
      {
        SALONES!$A:$A &amp; "|" &amp; SALONES!$B:$B,
        SALONES!$C:$C
      },
      2,
      FALSE
    ) &amp; " - " &amp; 'Teachers sched'!F196,
    'Teachers sched'!F196
  )
)
</f>
        <v/>
      </c>
      <c r="G196" s="390" t="str">
        <f t="array" ref="G196">IF('Teachers sched'!G196="", "", 
  IFERROR(
    VLOOKUP(
      'Teachers sched'!$A196 &amp; "|" &amp; 
      LEFT('Teachers sched'!G196, FIND("-", 'Teachers sched'!G196) - 1),
      {
        SALONES!$A:$A &amp; "|" &amp; SALONES!$B:$B,
        SALONES!$C:$C
      },
      2,
      FALSE
    ) &amp; " - " &amp; 'Teachers sched'!G196,
    'Teachers sched'!G196
  )
)
</f>
        <v/>
      </c>
      <c r="H196" s="390" t="str">
        <f t="array" ref="H196">IF('Teachers sched'!H196="", "", 
  IFERROR(
    VLOOKUP(
      'Teachers sched'!$A196 &amp; "|" &amp; 
      LEFT('Teachers sched'!H196, FIND("-", 'Teachers sched'!H196) - 1),
      {
        SALONES!$A:$A &amp; "|" &amp; SALONES!$B:$B,
        SALONES!$C:$C
      },
      2,
      FALSE
    ) &amp; " - " &amp; 'Teachers sched'!H196,
    'Teachers sched'!H196
  )
)
</f>
        <v>929 - Chemistry-6</v>
      </c>
      <c r="I196" s="391">
        <f>if(C194="","", 24-countifs(D196:H200,""))</f>
        <v>15</v>
      </c>
      <c r="J196" s="392"/>
      <c r="K196" s="389" t="s">
        <v>22</v>
      </c>
      <c r="L196" s="389" t="s">
        <v>22</v>
      </c>
      <c r="M196" s="100">
        <v>1.0</v>
      </c>
      <c r="N196" s="390" t="s">
        <v>22</v>
      </c>
      <c r="O196" s="390" t="s">
        <v>22</v>
      </c>
      <c r="P196" s="390" t="s">
        <v>22</v>
      </c>
      <c r="Q196" s="390" t="s">
        <v>22</v>
      </c>
      <c r="R196" s="390" t="s">
        <v>22</v>
      </c>
      <c r="S196" s="391" t="s">
        <v>22</v>
      </c>
      <c r="T196" s="393"/>
    </row>
    <row r="197">
      <c r="A197" s="389" t="s">
        <v>97</v>
      </c>
      <c r="B197" s="389" t="s">
        <v>22</v>
      </c>
      <c r="C197" s="100">
        <v>2.0</v>
      </c>
      <c r="D197" s="390" t="str">
        <f t="array" ref="D197">IF('Teachers sched'!D197="", "", 
  IFERROR(
    VLOOKUP(
      'Teachers sched'!$A197 &amp; "|" &amp; 
      LEFT('Teachers sched'!D197, FIND("-", 'Teachers sched'!D197) - 1),
      {
        SALONES!$A:$A &amp; "|" &amp; SALONES!$B:$B,
        SALONES!$C:$C
      },
      2,
      FALSE
    ) &amp; " - " &amp; 'Teachers sched'!D197,
    'Teachers sched'!D197
  )
)
</f>
        <v>929 - Chemistry-5</v>
      </c>
      <c r="E197" s="390" t="str">
        <f t="array" ref="E197">IF('Teachers sched'!E197="", "", 
  IFERROR(
    VLOOKUP(
      'Teachers sched'!$A197 &amp; "|" &amp; 
      LEFT('Teachers sched'!E197, FIND("-", 'Teachers sched'!E197) - 1),
      {
        SALONES!$A:$A &amp; "|" &amp; SALONES!$B:$B,
        SALONES!$C:$C
      },
      2,
      FALSE
    ) &amp; " - " &amp; 'Teachers sched'!E197,
    'Teachers sched'!E197
  )
)
</f>
        <v>929 - AP Chemistry-1</v>
      </c>
      <c r="F197" s="390" t="str">
        <f t="array" ref="F197">IF('Teachers sched'!F197="", "", 
  IFERROR(
    VLOOKUP(
      'Teachers sched'!$A197 &amp; "|" &amp; 
      LEFT('Teachers sched'!F197, FIND("-", 'Teachers sched'!F197) - 1),
      {
        SALONES!$A:$A &amp; "|" &amp; SALONES!$B:$B,
        SALONES!$C:$C
      },
      2,
      FALSE
    ) &amp; " - " &amp; 'Teachers sched'!F197,
    'Teachers sched'!F197
  )
)
</f>
        <v/>
      </c>
      <c r="G197" s="390" t="str">
        <f t="array" ref="G197">IF('Teachers sched'!G197="", "", 
  IFERROR(
    VLOOKUP(
      'Teachers sched'!$A197 &amp; "|" &amp; 
      LEFT('Teachers sched'!G197, FIND("-", 'Teachers sched'!G197) - 1),
      {
        SALONES!$A:$A &amp; "|" &amp; SALONES!$B:$B,
        SALONES!$C:$C
      },
      2,
      FALSE
    ) &amp; " - " &amp; 'Teachers sched'!G197,
    'Teachers sched'!G197
  )
)
</f>
        <v>929 - Chemistry-4</v>
      </c>
      <c r="H197" s="390" t="str">
        <f t="array" ref="H197">IF('Teachers sched'!H197="", "", 
  IFERROR(
    VLOOKUP(
      'Teachers sched'!$A197 &amp; "|" &amp; 
      LEFT('Teachers sched'!H197, FIND("-", 'Teachers sched'!H197) - 1),
      {
        SALONES!$A:$A &amp; "|" &amp; SALONES!$B:$B,
        SALONES!$C:$C
      },
      2,
      FALSE
    ) &amp; " - " &amp; 'Teachers sched'!H197,
    'Teachers sched'!H197
  )
)
</f>
        <v>929 - Chemistry-7</v>
      </c>
      <c r="I197" s="53"/>
      <c r="J197" s="392"/>
      <c r="K197" s="389" t="s">
        <v>22</v>
      </c>
      <c r="L197" s="389" t="s">
        <v>22</v>
      </c>
      <c r="M197" s="100">
        <v>2.0</v>
      </c>
      <c r="N197" s="390" t="s">
        <v>22</v>
      </c>
      <c r="O197" s="390" t="s">
        <v>22</v>
      </c>
      <c r="P197" s="390" t="s">
        <v>22</v>
      </c>
      <c r="Q197" s="390" t="s">
        <v>22</v>
      </c>
      <c r="R197" s="390" t="s">
        <v>22</v>
      </c>
      <c r="S197" s="53"/>
      <c r="T197" s="393"/>
    </row>
    <row r="198">
      <c r="A198" s="389" t="s">
        <v>97</v>
      </c>
      <c r="B198" s="389" t="s">
        <v>22</v>
      </c>
      <c r="C198" s="100">
        <v>3.0</v>
      </c>
      <c r="D198" s="390" t="str">
        <f t="array" ref="D198">IF('Teachers sched'!D198="", "", 
  IFERROR(
    VLOOKUP(
      'Teachers sched'!$A198 &amp; "|" &amp; 
      LEFT('Teachers sched'!D198, FIND("-", 'Teachers sched'!D198) - 1),
      {
        SALONES!$A:$A &amp; "|" &amp; SALONES!$B:$B,
        SALONES!$C:$C
      },
      2,
      FALSE
    ) &amp; " - " &amp; 'Teachers sched'!D198,
    'Teachers sched'!D198
  )
)
</f>
        <v/>
      </c>
      <c r="E198" s="390" t="str">
        <f t="array" ref="E198">IF('Teachers sched'!E198="", "", 
  IFERROR(
    VLOOKUP(
      'Teachers sched'!$A198 &amp; "|" &amp; 
      LEFT('Teachers sched'!E198, FIND("-", 'Teachers sched'!E198) - 1),
      {
        SALONES!$A:$A &amp; "|" &amp; SALONES!$B:$B,
        SALONES!$C:$C
      },
      2,
      FALSE
    ) &amp; " - " &amp; 'Teachers sched'!E198,
    'Teachers sched'!E198
  )
)
</f>
        <v/>
      </c>
      <c r="F198" s="390" t="str">
        <f t="array" ref="F198">IF('Teachers sched'!F198="", "", 
  IFERROR(
    VLOOKUP(
      'Teachers sched'!$A198 &amp; "|" &amp; 
      LEFT('Teachers sched'!F198, FIND("-", 'Teachers sched'!F198) - 1),
      {
        SALONES!$A:$A &amp; "|" &amp; SALONES!$B:$B,
        SALONES!$C:$C
      },
      2,
      FALSE
    ) &amp; " - " &amp; 'Teachers sched'!F198,
    'Teachers sched'!F198
  )
)
</f>
        <v>929 - Chemistry-6</v>
      </c>
      <c r="G198" s="390" t="str">
        <f t="array" ref="G198">IF('Teachers sched'!G198="", "", 
  IFERROR(
    VLOOKUP(
      'Teachers sched'!$A198 &amp; "|" &amp; 
      LEFT('Teachers sched'!G198, FIND("-", 'Teachers sched'!G198) - 1),
      {
        SALONES!$A:$A &amp; "|" &amp; SALONES!$B:$B,
        SALONES!$C:$C
      },
      2,
      FALSE
    ) &amp; " - " &amp; 'Teachers sched'!G198,
    'Teachers sched'!G198
  )
)
</f>
        <v>929 - Chemistry-5</v>
      </c>
      <c r="H198" s="395" t="str">
        <f t="array" ref="H198">IF('Teachers sched'!H198="", "", 
  IFERROR(
    VLOOKUP(
      'Teachers sched'!$A198 &amp; "|" &amp; 
      LEFT('Teachers sched'!H198, FIND("-", 'Teachers sched'!H198) - 1),
      {
        SALONES!$A:$A &amp; "|" &amp; SALONES!$B:$B,
        SALONES!$C:$C
      },
      2,
      FALSE
    ) &amp; " - " &amp; 'Teachers sched'!H198,
    'Teachers sched'!H198
  )
)
</f>
        <v>X-Block</v>
      </c>
      <c r="I198" s="53"/>
      <c r="J198" s="392"/>
      <c r="K198" s="389" t="s">
        <v>22</v>
      </c>
      <c r="L198" s="389" t="s">
        <v>22</v>
      </c>
      <c r="M198" s="100">
        <v>3.0</v>
      </c>
      <c r="N198" s="390" t="s">
        <v>22</v>
      </c>
      <c r="O198" s="390" t="s">
        <v>22</v>
      </c>
      <c r="P198" s="390" t="s">
        <v>22</v>
      </c>
      <c r="Q198" s="390" t="s">
        <v>22</v>
      </c>
      <c r="R198" s="395" t="s">
        <v>22</v>
      </c>
      <c r="S198" s="53"/>
      <c r="T198" s="393"/>
    </row>
    <row r="199">
      <c r="A199" s="389" t="s">
        <v>97</v>
      </c>
      <c r="B199" s="389" t="s">
        <v>22</v>
      </c>
      <c r="C199" s="100">
        <v>4.0</v>
      </c>
      <c r="D199" s="390" t="str">
        <f t="array" ref="D199">IF('Teachers sched'!D199="", "", 
  IFERROR(
    VLOOKUP(
      'Teachers sched'!$A199 &amp; "|" &amp; 
      LEFT('Teachers sched'!D199, FIND("-", 'Teachers sched'!D199) - 1),
      {
        SALONES!$A:$A &amp; "|" &amp; SALONES!$B:$B,
        SALONES!$C:$C
      },
      2,
      FALSE
    ) &amp; " - " &amp; 'Teachers sched'!D199,
    'Teachers sched'!D199
  )
)
</f>
        <v/>
      </c>
      <c r="E199" s="390" t="str">
        <f t="array" ref="E199">IF('Teachers sched'!E199="", "", 
  IFERROR(
    VLOOKUP(
      'Teachers sched'!$A199 &amp; "|" &amp; 
      LEFT('Teachers sched'!E199, FIND("-", 'Teachers sched'!E199) - 1),
      {
        SALONES!$A:$A &amp; "|" &amp; SALONES!$B:$B,
        SALONES!$C:$C
      },
      2,
      FALSE
    ) &amp; " - " &amp; 'Teachers sched'!E199,
    'Teachers sched'!E199
  )
)
</f>
        <v>929 - Chemistry-4</v>
      </c>
      <c r="F199" s="390" t="str">
        <f t="array" ref="F199">IF('Teachers sched'!F199="", "", 
  IFERROR(
    VLOOKUP(
      'Teachers sched'!$A199 &amp; "|" &amp; 
      LEFT('Teachers sched'!F199, FIND("-", 'Teachers sched'!F199) - 1),
      {
        SALONES!$A:$A &amp; "|" &amp; SALONES!$B:$B,
        SALONES!$C:$C
      },
      2,
      FALSE
    ) &amp; " - " &amp; 'Teachers sched'!F199,
    'Teachers sched'!F199
  )
)
</f>
        <v>929 - Chemistry-7</v>
      </c>
      <c r="G199" s="390" t="str">
        <f t="array" ref="G199">IF('Teachers sched'!G199="", "", 
  IFERROR(
    VLOOKUP(
      'Teachers sched'!$A199 &amp; "|" &amp; 
      LEFT('Teachers sched'!G199, FIND("-", 'Teachers sched'!G199) - 1),
      {
        SALONES!$A:$A &amp; "|" &amp; SALONES!$B:$B,
        SALONES!$C:$C
      },
      2,
      FALSE
    ) &amp; " - " &amp; 'Teachers sched'!G199,
    'Teachers sched'!G199
  )
)
</f>
        <v/>
      </c>
      <c r="H199" s="390" t="str">
        <f t="array" ref="H199">IF('Teachers sched'!H199="", "", 
  IFERROR(
    VLOOKUP(
      'Teachers sched'!$A199 &amp; "|" &amp; 
      LEFT('Teachers sched'!H199, FIND("-", 'Teachers sched'!H199) - 1),
      {
        SALONES!$A:$A &amp; "|" &amp; SALONES!$B:$B,
        SALONES!$C:$C
      },
      2,
      FALSE
    ) &amp; " - " &amp; 'Teachers sched'!H199,
    'Teachers sched'!H199
  )
)
</f>
        <v>929 - AP Chemistry-1</v>
      </c>
      <c r="I199" s="53"/>
      <c r="J199" s="392"/>
      <c r="K199" s="389" t="s">
        <v>22</v>
      </c>
      <c r="L199" s="389" t="s">
        <v>22</v>
      </c>
      <c r="M199" s="100">
        <v>4.0</v>
      </c>
      <c r="N199" s="390" t="s">
        <v>22</v>
      </c>
      <c r="O199" s="390" t="s">
        <v>22</v>
      </c>
      <c r="P199" s="390" t="s">
        <v>22</v>
      </c>
      <c r="Q199" s="390" t="s">
        <v>22</v>
      </c>
      <c r="R199" s="390" t="s">
        <v>22</v>
      </c>
      <c r="S199" s="53"/>
      <c r="T199" s="393"/>
    </row>
    <row r="200">
      <c r="A200" s="389" t="s">
        <v>97</v>
      </c>
      <c r="B200" s="389" t="s">
        <v>22</v>
      </c>
      <c r="C200" s="100">
        <v>5.0</v>
      </c>
      <c r="D200" s="390" t="str">
        <f t="array" ref="D200">IF('Teachers sched'!D200="", "", 
  IFERROR(
    VLOOKUP(
      'Teachers sched'!$A200 &amp; "|" &amp; 
      LEFT('Teachers sched'!D200, FIND("-", 'Teachers sched'!D200) - 1),
      {
        SALONES!$A:$A &amp; "|" &amp; SALONES!$B:$B,
        SALONES!$C:$C
      },
      2,
      FALSE
    ) &amp; " - " &amp; 'Teachers sched'!D200,
    'Teachers sched'!D200
  )
)
</f>
        <v>929 - Chemistry-6</v>
      </c>
      <c r="E200" s="390" t="str">
        <f t="array" ref="E200">IF('Teachers sched'!E200="", "", 
  IFERROR(
    VLOOKUP(
      'Teachers sched'!$A200 &amp; "|" &amp; 
      LEFT('Teachers sched'!E200, FIND("-", 'Teachers sched'!E200) - 1),
      {
        SALONES!$A:$A &amp; "|" &amp; SALONES!$B:$B,
        SALONES!$C:$C
      },
      2,
      FALSE
    ) &amp; " - " &amp; 'Teachers sched'!E200,
    'Teachers sched'!E200
  )
)
</f>
        <v>929 - Chemistry-5</v>
      </c>
      <c r="F200" s="390" t="str">
        <f t="array" ref="F200">IF('Teachers sched'!F200="", "", 
  IFERROR(
    VLOOKUP(
      'Teachers sched'!$A200 &amp; "|" &amp; 
      LEFT('Teachers sched'!F200, FIND("-", 'Teachers sched'!F200) - 1),
      {
        SALONES!$A:$A &amp; "|" &amp; SALONES!$B:$B,
        SALONES!$C:$C
      },
      2,
      FALSE
    ) &amp; " - " &amp; 'Teachers sched'!F200,
    'Teachers sched'!F200
  )
)
</f>
        <v>929 - AP Chemistry-1</v>
      </c>
      <c r="G200" s="390" t="str">
        <f t="array" ref="G200">IF('Teachers sched'!G200="", "", 
  IFERROR(
    VLOOKUP(
      'Teachers sched'!$A200 &amp; "|" &amp; 
      LEFT('Teachers sched'!G200, FIND("-", 'Teachers sched'!G200) - 1),
      {
        SALONES!$A:$A &amp; "|" &amp; SALONES!$B:$B,
        SALONES!$C:$C
      },
      2,
      FALSE
    ) &amp; " - " &amp; 'Teachers sched'!G200,
    'Teachers sched'!G200
  )
)
</f>
        <v/>
      </c>
      <c r="H200" s="390" t="str">
        <f t="array" ref="H200">IF('Teachers sched'!H200="", "", 
  IFERROR(
    VLOOKUP(
      'Teachers sched'!$A200 &amp; "|" &amp; 
      LEFT('Teachers sched'!H200, FIND("-", 'Teachers sched'!H200) - 1),
      {
        SALONES!$A:$A &amp; "|" &amp; SALONES!$B:$B,
        SALONES!$C:$C
      },
      2,
      FALSE
    ) &amp; " - " &amp; 'Teachers sched'!H200,
    'Teachers sched'!H200
  )
)
</f>
        <v/>
      </c>
      <c r="I200" s="68"/>
      <c r="J200" s="392"/>
      <c r="K200" s="389" t="s">
        <v>22</v>
      </c>
      <c r="L200" s="389" t="s">
        <v>22</v>
      </c>
      <c r="M200" s="100">
        <v>5.0</v>
      </c>
      <c r="N200" s="390" t="s">
        <v>22</v>
      </c>
      <c r="O200" s="390" t="s">
        <v>22</v>
      </c>
      <c r="P200" s="390" t="s">
        <v>22</v>
      </c>
      <c r="Q200" s="390" t="s">
        <v>22</v>
      </c>
      <c r="R200" s="390" t="s">
        <v>22</v>
      </c>
      <c r="S200" s="68"/>
      <c r="T200" s="393"/>
    </row>
    <row r="201">
      <c r="C201" s="3"/>
      <c r="D201" s="396"/>
      <c r="E201" s="396"/>
      <c r="F201" s="396"/>
      <c r="G201" s="396"/>
      <c r="H201" s="396"/>
      <c r="N201" s="397"/>
      <c r="O201" s="397"/>
      <c r="P201" s="397"/>
      <c r="Q201" s="397"/>
      <c r="R201" s="397"/>
    </row>
    <row r="202">
      <c r="A202" s="45"/>
      <c r="B202" s="45"/>
      <c r="C202" s="386" t="s">
        <v>72</v>
      </c>
      <c r="D202" s="383"/>
      <c r="E202" s="383"/>
      <c r="F202" s="383"/>
      <c r="G202" s="383"/>
      <c r="H202" s="384"/>
      <c r="I202" s="385" t="str">
        <f>IFERROR(__xludf.DUMMYFUNCTION("if(C202="""","""", iferror(filter(Schedule!$K:$K,Schedule!$L:$L=$C202,Schedule!$K:$K=""S1""),unique(filter(Schedule!$K:$K,Schedule!$L:$L=$C202,Schedule!$K:$K=""""))))"),"")</f>
        <v/>
      </c>
      <c r="M202" s="386" t="s">
        <v>22</v>
      </c>
      <c r="N202" s="383"/>
      <c r="O202" s="383"/>
      <c r="P202" s="383"/>
      <c r="Q202" s="383"/>
      <c r="R202" s="384"/>
      <c r="S202" s="385" t="s">
        <v>22</v>
      </c>
      <c r="T202" s="112"/>
    </row>
    <row r="203">
      <c r="A203" s="116"/>
      <c r="B203" s="116"/>
      <c r="C203" s="100" t="s">
        <v>7</v>
      </c>
      <c r="D203" s="387" t="s">
        <v>8</v>
      </c>
      <c r="E203" s="387" t="s">
        <v>9</v>
      </c>
      <c r="F203" s="387" t="s">
        <v>10</v>
      </c>
      <c r="G203" s="387" t="s">
        <v>11</v>
      </c>
      <c r="H203" s="387" t="s">
        <v>12</v>
      </c>
      <c r="I203" s="21" t="s">
        <v>766</v>
      </c>
      <c r="J203" s="116"/>
      <c r="K203" s="116"/>
      <c r="L203" s="116"/>
      <c r="M203" s="100" t="s">
        <v>7</v>
      </c>
      <c r="N203" s="387" t="s">
        <v>8</v>
      </c>
      <c r="O203" s="387" t="s">
        <v>9</v>
      </c>
      <c r="P203" s="387" t="s">
        <v>10</v>
      </c>
      <c r="Q203" s="387" t="s">
        <v>11</v>
      </c>
      <c r="R203" s="387" t="s">
        <v>12</v>
      </c>
      <c r="S203" s="21" t="s">
        <v>766</v>
      </c>
      <c r="T203" s="388"/>
    </row>
    <row r="204">
      <c r="A204" s="389" t="s">
        <v>72</v>
      </c>
      <c r="B204" s="389" t="s">
        <v>22</v>
      </c>
      <c r="C204" s="100">
        <v>1.0</v>
      </c>
      <c r="D204" s="390" t="str">
        <f t="array" ref="D204">IF('Teachers sched'!D204="", "", 
  IFERROR(
    VLOOKUP(
      'Teachers sched'!$A204 &amp; "|" &amp; 
      LEFT('Teachers sched'!D204, FIND("-", 'Teachers sched'!D204) - 1),
      {
        SALONES!$A:$A &amp; "|" &amp; SALONES!$B:$B,
        SALONES!$C:$C
      },
      2,
      FALSE
    ) &amp; " - " &amp; 'Teachers sched'!D204,
    'Teachers sched'!D204
  )
)
</f>
        <v/>
      </c>
      <c r="E204" s="390" t="str">
        <f t="array" ref="E204">IF('Teachers sched'!E204="", "", 
  IFERROR(
    VLOOKUP(
      'Teachers sched'!$A204 &amp; "|" &amp; 
      LEFT('Teachers sched'!E204, FIND("-", 'Teachers sched'!E204) - 1),
      {
        SALONES!$A:$A &amp; "|" &amp; SALONES!$B:$B,
        SALONES!$C:$C
      },
      2,
      FALSE
    ) &amp; " - " &amp; 'Teachers sched'!E204,
    'Teachers sched'!E204
  )
)
</f>
        <v>931B - Algebra I-2</v>
      </c>
      <c r="F204" s="390" t="str">
        <f t="array" ref="F204">IF('Teachers sched'!F204="", "", 
  IFERROR(
    VLOOKUP(
      'Teachers sched'!$A204 &amp; "|" &amp; 
      LEFT('Teachers sched'!F204, FIND("-", 'Teachers sched'!F204) - 1),
      {
        SALONES!$A:$A &amp; "|" &amp; SALONES!$B:$B,
        SALONES!$C:$C
      },
      2,
      FALSE
    ) &amp; " - " &amp; 'Teachers sched'!F204,
    'Teachers sched'!F204
  )
)
</f>
        <v/>
      </c>
      <c r="G204" s="390" t="str">
        <f t="array" ref="G204">IF('Teachers sched'!G204="", "", 
  IFERROR(
    VLOOKUP(
      'Teachers sched'!$A204 &amp; "|" &amp; 
      LEFT('Teachers sched'!G204, FIND("-", 'Teachers sched'!G204) - 1),
      {
        SALONES!$A:$A &amp; "|" &amp; SALONES!$B:$B,
        SALONES!$C:$C
      },
      2,
      FALSE
    ) &amp; " - " &amp; 'Teachers sched'!G204,
    'Teachers sched'!G204
  )
)
</f>
        <v/>
      </c>
      <c r="H204" s="390" t="str">
        <f t="array" ref="H204">IF('Teachers sched'!H204="", "", 
  IFERROR(
    VLOOKUP(
      'Teachers sched'!$A204 &amp; "|" &amp; 
      LEFT('Teachers sched'!H204, FIND("-", 'Teachers sched'!H204) - 1),
      {
        SALONES!$A:$A &amp; "|" &amp; SALONES!$B:$B,
        SALONES!$C:$C
      },
      2,
      FALSE
    ) &amp; " - " &amp; 'Teachers sched'!H204,
    'Teachers sched'!H204
  )
)
</f>
        <v>931B - Calculus-4</v>
      </c>
      <c r="I204" s="391">
        <f>if(C202="","", 24-countifs(D204:H208,""))</f>
        <v>15</v>
      </c>
      <c r="J204" s="392"/>
      <c r="K204" s="389" t="s">
        <v>22</v>
      </c>
      <c r="L204" s="389" t="s">
        <v>22</v>
      </c>
      <c r="M204" s="100">
        <v>1.0</v>
      </c>
      <c r="N204" s="390" t="s">
        <v>22</v>
      </c>
      <c r="O204" s="390" t="s">
        <v>22</v>
      </c>
      <c r="P204" s="390" t="s">
        <v>22</v>
      </c>
      <c r="Q204" s="390" t="s">
        <v>22</v>
      </c>
      <c r="R204" s="390" t="s">
        <v>22</v>
      </c>
      <c r="S204" s="391" t="s">
        <v>22</v>
      </c>
      <c r="T204" s="393"/>
    </row>
    <row r="205">
      <c r="A205" s="389" t="s">
        <v>72</v>
      </c>
      <c r="B205" s="389" t="s">
        <v>22</v>
      </c>
      <c r="C205" s="100">
        <v>2.0</v>
      </c>
      <c r="D205" s="390" t="str">
        <f t="array" ref="D205">IF('Teachers sched'!D205="", "", 
  IFERROR(
    VLOOKUP(
      'Teachers sched'!$A205 &amp; "|" &amp; 
      LEFT('Teachers sched'!D205, FIND("-", 'Teachers sched'!D205) - 1),
      {
        SALONES!$A:$A &amp; "|" &amp; SALONES!$B:$B,
        SALONES!$C:$C
      },
      2,
      FALSE
    ) &amp; " - " &amp; 'Teachers sched'!D205,
    'Teachers sched'!D205
  )
)
</f>
        <v>931B - Calculus-3</v>
      </c>
      <c r="E205" s="390" t="str">
        <f t="array" ref="E205">IF('Teachers sched'!E205="", "", 
  IFERROR(
    VLOOKUP(
      'Teachers sched'!$A205 &amp; "|" &amp; 
      LEFT('Teachers sched'!E205, FIND("-", 'Teachers sched'!E205) - 1),
      {
        SALONES!$A:$A &amp; "|" &amp; SALONES!$B:$B,
        SALONES!$C:$C
      },
      2,
      FALSE
    ) &amp; " - " &amp; 'Teachers sched'!E205,
    'Teachers sched'!E205
  )
)
</f>
        <v>931B - AP Statistics-1</v>
      </c>
      <c r="F205" s="390" t="str">
        <f t="array" ref="F205">IF('Teachers sched'!F205="", "", 
  IFERROR(
    VLOOKUP(
      'Teachers sched'!$A205 &amp; "|" &amp; 
      LEFT('Teachers sched'!F205, FIND("-", 'Teachers sched'!F205) - 1),
      {
        SALONES!$A:$A &amp; "|" &amp; SALONES!$B:$B,
        SALONES!$C:$C
      },
      2,
      FALSE
    ) &amp; " - " &amp; 'Teachers sched'!F205,
    'Teachers sched'!F205
  )
)
</f>
        <v>931B - Algebra I-1</v>
      </c>
      <c r="G205" s="390" t="str">
        <f t="array" ref="G205">IF('Teachers sched'!G205="", "", 
  IFERROR(
    VLOOKUP(
      'Teachers sched'!$A205 &amp; "|" &amp; 
      LEFT('Teachers sched'!G205, FIND("-", 'Teachers sched'!G205) - 1),
      {
        SALONES!$A:$A &amp; "|" &amp; SALONES!$B:$B,
        SALONES!$C:$C
      },
      2,
      FALSE
    ) &amp; " - " &amp; 'Teachers sched'!G205,
    'Teachers sched'!G205
  )
)
</f>
        <v/>
      </c>
      <c r="H205" s="390" t="str">
        <f t="array" ref="H205">IF('Teachers sched'!H205="", "", 
  IFERROR(
    VLOOKUP(
      'Teachers sched'!$A205 &amp; "|" &amp; 
      LEFT('Teachers sched'!H205, FIND("-", 'Teachers sched'!H205) - 1),
      {
        SALONES!$A:$A &amp; "|" &amp; SALONES!$B:$B,
        SALONES!$C:$C
      },
      2,
      FALSE
    ) &amp; " - " &amp; 'Teachers sched'!H205,
    'Teachers sched'!H205
  )
)
</f>
        <v>931B - Algebra I-2</v>
      </c>
      <c r="I205" s="53"/>
      <c r="J205" s="392"/>
      <c r="K205" s="389" t="s">
        <v>22</v>
      </c>
      <c r="L205" s="389" t="s">
        <v>22</v>
      </c>
      <c r="M205" s="100">
        <v>2.0</v>
      </c>
      <c r="N205" s="390" t="s">
        <v>22</v>
      </c>
      <c r="O205" s="390" t="s">
        <v>22</v>
      </c>
      <c r="P205" s="390" t="s">
        <v>22</v>
      </c>
      <c r="Q205" s="390" t="s">
        <v>22</v>
      </c>
      <c r="R205" s="390" t="s">
        <v>22</v>
      </c>
      <c r="S205" s="53"/>
      <c r="T205" s="393"/>
    </row>
    <row r="206">
      <c r="A206" s="389" t="s">
        <v>72</v>
      </c>
      <c r="B206" s="389" t="s">
        <v>22</v>
      </c>
      <c r="C206" s="100">
        <v>3.0</v>
      </c>
      <c r="D206" s="390" t="str">
        <f t="array" ref="D206">IF('Teachers sched'!D206="", "", 
  IFERROR(
    VLOOKUP(
      'Teachers sched'!$A206 &amp; "|" &amp; 
      LEFT('Teachers sched'!D206, FIND("-", 'Teachers sched'!D206) - 1),
      {
        SALONES!$A:$A &amp; "|" &amp; SALONES!$B:$B,
        SALONES!$C:$C
      },
      2,
      FALSE
    ) &amp; " - " &amp; 'Teachers sched'!D206,
    'Teachers sched'!D206
  )
)
</f>
        <v/>
      </c>
      <c r="E206" s="390" t="str">
        <f t="array" ref="E206">IF('Teachers sched'!E206="", "", 
  IFERROR(
    VLOOKUP(
      'Teachers sched'!$A206 &amp; "|" &amp; 
      LEFT('Teachers sched'!E206, FIND("-", 'Teachers sched'!E206) - 1),
      {
        SALONES!$A:$A &amp; "|" &amp; SALONES!$B:$B,
        SALONES!$C:$C
      },
      2,
      FALSE
    ) &amp; " - " &amp; 'Teachers sched'!E206,
    'Teachers sched'!E206
  )
)
</f>
        <v/>
      </c>
      <c r="F206" s="390" t="str">
        <f t="array" ref="F206">IF('Teachers sched'!F206="", "", 
  IFERROR(
    VLOOKUP(
      'Teachers sched'!$A206 &amp; "|" &amp; 
      LEFT('Teachers sched'!F206, FIND("-", 'Teachers sched'!F206) - 1),
      {
        SALONES!$A:$A &amp; "|" &amp; SALONES!$B:$B,
        SALONES!$C:$C
      },
      2,
      FALSE
    ) &amp; " - " &amp; 'Teachers sched'!F206,
    'Teachers sched'!F206
  )
)
</f>
        <v>931B - Calculus-4</v>
      </c>
      <c r="G206" s="390" t="str">
        <f t="array" ref="G206">IF('Teachers sched'!G206="", "", 
  IFERROR(
    VLOOKUP(
      'Teachers sched'!$A206 &amp; "|" &amp; 
      LEFT('Teachers sched'!G206, FIND("-", 'Teachers sched'!G206) - 1),
      {
        SALONES!$A:$A &amp; "|" &amp; SALONES!$B:$B,
        SALONES!$C:$C
      },
      2,
      FALSE
    ) &amp; " - " &amp; 'Teachers sched'!G206,
    'Teachers sched'!G206
  )
)
</f>
        <v>931B - Calculus-3</v>
      </c>
      <c r="H206" s="395" t="str">
        <f t="array" ref="H206">IF('Teachers sched'!H206="", "", 
  IFERROR(
    VLOOKUP(
      'Teachers sched'!$A206 &amp; "|" &amp; 
      LEFT('Teachers sched'!H206, FIND("-", 'Teachers sched'!H206) - 1),
      {
        SALONES!$A:$A &amp; "|" &amp; SALONES!$B:$B,
        SALONES!$C:$C
      },
      2,
      FALSE
    ) &amp; " - " &amp; 'Teachers sched'!H206,
    'Teachers sched'!H206
  )
)
</f>
        <v>X-Block</v>
      </c>
      <c r="I206" s="53"/>
      <c r="J206" s="392"/>
      <c r="K206" s="389" t="s">
        <v>22</v>
      </c>
      <c r="L206" s="389" t="s">
        <v>22</v>
      </c>
      <c r="M206" s="100">
        <v>3.0</v>
      </c>
      <c r="N206" s="390" t="s">
        <v>22</v>
      </c>
      <c r="O206" s="390" t="s">
        <v>22</v>
      </c>
      <c r="P206" s="390" t="s">
        <v>22</v>
      </c>
      <c r="Q206" s="390" t="s">
        <v>22</v>
      </c>
      <c r="R206" s="395" t="s">
        <v>22</v>
      </c>
      <c r="S206" s="53"/>
      <c r="T206" s="393"/>
    </row>
    <row r="207">
      <c r="A207" s="389" t="s">
        <v>72</v>
      </c>
      <c r="B207" s="389" t="s">
        <v>22</v>
      </c>
      <c r="C207" s="100">
        <v>4.0</v>
      </c>
      <c r="D207" s="390" t="str">
        <f t="array" ref="D207">IF('Teachers sched'!D207="", "", 
  IFERROR(
    VLOOKUP(
      'Teachers sched'!$A207 &amp; "|" &amp; 
      LEFT('Teachers sched'!D207, FIND("-", 'Teachers sched'!D207) - 1),
      {
        SALONES!$A:$A &amp; "|" &amp; SALONES!$B:$B,
        SALONES!$C:$C
      },
      2,
      FALSE
    ) &amp; " - " &amp; 'Teachers sched'!D207,
    'Teachers sched'!D207
  )
)
</f>
        <v>931B - Algebra I-1</v>
      </c>
      <c r="E207" s="390" t="str">
        <f t="array" ref="E207">IF('Teachers sched'!E207="", "", 
  IFERROR(
    VLOOKUP(
      'Teachers sched'!$A207 &amp; "|" &amp; 
      LEFT('Teachers sched'!E207, FIND("-", 'Teachers sched'!E207) - 1),
      {
        SALONES!$A:$A &amp; "|" &amp; SALONES!$B:$B,
        SALONES!$C:$C
      },
      2,
      FALSE
    ) &amp; " - " &amp; 'Teachers sched'!E207,
    'Teachers sched'!E207
  )
)
</f>
        <v/>
      </c>
      <c r="F207" s="390" t="str">
        <f t="array" ref="F207">IF('Teachers sched'!F207="", "", 
  IFERROR(
    VLOOKUP(
      'Teachers sched'!$A207 &amp; "|" &amp; 
      LEFT('Teachers sched'!F207, FIND("-", 'Teachers sched'!F207) - 1),
      {
        SALONES!$A:$A &amp; "|" &amp; SALONES!$B:$B,
        SALONES!$C:$C
      },
      2,
      FALSE
    ) &amp; " - " &amp; 'Teachers sched'!F207,
    'Teachers sched'!F207
  )
)
</f>
        <v>931B - Algebra I-2</v>
      </c>
      <c r="G207" s="390" t="str">
        <f t="array" ref="G207">IF('Teachers sched'!G207="", "", 
  IFERROR(
    VLOOKUP(
      'Teachers sched'!$A207 &amp; "|" &amp; 
      LEFT('Teachers sched'!G207, FIND("-", 'Teachers sched'!G207) - 1),
      {
        SALONES!$A:$A &amp; "|" &amp; SALONES!$B:$B,
        SALONES!$C:$C
      },
      2,
      FALSE
    ) &amp; " - " &amp; 'Teachers sched'!G207,
    'Teachers sched'!G207
  )
)
</f>
        <v/>
      </c>
      <c r="H207" s="390" t="str">
        <f t="array" ref="H207">IF('Teachers sched'!H207="", "", 
  IFERROR(
    VLOOKUP(
      'Teachers sched'!$A207 &amp; "|" &amp; 
      LEFT('Teachers sched'!H207, FIND("-", 'Teachers sched'!H207) - 1),
      {
        SALONES!$A:$A &amp; "|" &amp; SALONES!$B:$B,
        SALONES!$C:$C
      },
      2,
      FALSE
    ) &amp; " - " &amp; 'Teachers sched'!H207,
    'Teachers sched'!H207
  )
)
</f>
        <v>931B - AP Statistics-1</v>
      </c>
      <c r="I207" s="53"/>
      <c r="J207" s="392"/>
      <c r="K207" s="389" t="s">
        <v>22</v>
      </c>
      <c r="L207" s="389" t="s">
        <v>22</v>
      </c>
      <c r="M207" s="100">
        <v>4.0</v>
      </c>
      <c r="N207" s="390" t="s">
        <v>22</v>
      </c>
      <c r="O207" s="390" t="s">
        <v>22</v>
      </c>
      <c r="P207" s="390" t="s">
        <v>22</v>
      </c>
      <c r="Q207" s="390" t="s">
        <v>22</v>
      </c>
      <c r="R207" s="390" t="s">
        <v>22</v>
      </c>
      <c r="S207" s="53"/>
      <c r="T207" s="393"/>
    </row>
    <row r="208">
      <c r="A208" s="389" t="s">
        <v>72</v>
      </c>
      <c r="B208" s="389" t="s">
        <v>22</v>
      </c>
      <c r="C208" s="100">
        <v>5.0</v>
      </c>
      <c r="D208" s="390" t="str">
        <f t="array" ref="D208">IF('Teachers sched'!D208="", "", 
  IFERROR(
    VLOOKUP(
      'Teachers sched'!$A208 &amp; "|" &amp; 
      LEFT('Teachers sched'!D208, FIND("-", 'Teachers sched'!D208) - 1),
      {
        SALONES!$A:$A &amp; "|" &amp; SALONES!$B:$B,
        SALONES!$C:$C
      },
      2,
      FALSE
    ) &amp; " - " &amp; 'Teachers sched'!D208,
    'Teachers sched'!D208
  )
)
</f>
        <v>931B - Calculus-4</v>
      </c>
      <c r="E208" s="390" t="str">
        <f t="array" ref="E208">IF('Teachers sched'!E208="", "", 
  IFERROR(
    VLOOKUP(
      'Teachers sched'!$A208 &amp; "|" &amp; 
      LEFT('Teachers sched'!E208, FIND("-", 'Teachers sched'!E208) - 1),
      {
        SALONES!$A:$A &amp; "|" &amp; SALONES!$B:$B,
        SALONES!$C:$C
      },
      2,
      FALSE
    ) &amp; " - " &amp; 'Teachers sched'!E208,
    'Teachers sched'!E208
  )
)
</f>
        <v>931B - Calculus-3</v>
      </c>
      <c r="F208" s="390" t="str">
        <f t="array" ref="F208">IF('Teachers sched'!F208="", "", 
  IFERROR(
    VLOOKUP(
      'Teachers sched'!$A208 &amp; "|" &amp; 
      LEFT('Teachers sched'!F208, FIND("-", 'Teachers sched'!F208) - 1),
      {
        SALONES!$A:$A &amp; "|" &amp; SALONES!$B:$B,
        SALONES!$C:$C
      },
      2,
      FALSE
    ) &amp; " - " &amp; 'Teachers sched'!F208,
    'Teachers sched'!F208
  )
)
</f>
        <v>931B - AP Statistics-1</v>
      </c>
      <c r="G208" s="390" t="str">
        <f t="array" ref="G208">IF('Teachers sched'!G208="", "", 
  IFERROR(
    VLOOKUP(
      'Teachers sched'!$A208 &amp; "|" &amp; 
      LEFT('Teachers sched'!G208, FIND("-", 'Teachers sched'!G208) - 1),
      {
        SALONES!$A:$A &amp; "|" &amp; SALONES!$B:$B,
        SALONES!$C:$C
      },
      2,
      FALSE
    ) &amp; " - " &amp; 'Teachers sched'!G208,
    'Teachers sched'!G208
  )
)
</f>
        <v>931B - Algebra I-1</v>
      </c>
      <c r="H208" s="390" t="str">
        <f t="array" ref="H208">IF('Teachers sched'!H208="", "", 
  IFERROR(
    VLOOKUP(
      'Teachers sched'!$A208 &amp; "|" &amp; 
      LEFT('Teachers sched'!H208, FIND("-", 'Teachers sched'!H208) - 1),
      {
        SALONES!$A:$A &amp; "|" &amp; SALONES!$B:$B,
        SALONES!$C:$C
      },
      2,
      FALSE
    ) &amp; " - " &amp; 'Teachers sched'!H208,
    'Teachers sched'!H208
  )
)
</f>
        <v/>
      </c>
      <c r="I208" s="68"/>
      <c r="J208" s="392"/>
      <c r="K208" s="389" t="s">
        <v>22</v>
      </c>
      <c r="L208" s="389" t="s">
        <v>22</v>
      </c>
      <c r="M208" s="100">
        <v>5.0</v>
      </c>
      <c r="N208" s="390" t="s">
        <v>22</v>
      </c>
      <c r="O208" s="390" t="s">
        <v>22</v>
      </c>
      <c r="P208" s="390" t="s">
        <v>22</v>
      </c>
      <c r="Q208" s="390" t="s">
        <v>22</v>
      </c>
      <c r="R208" s="390" t="s">
        <v>22</v>
      </c>
      <c r="S208" s="68"/>
      <c r="T208" s="393"/>
    </row>
    <row r="209">
      <c r="C209" s="3"/>
      <c r="D209" s="396"/>
      <c r="E209" s="396"/>
      <c r="F209" s="396"/>
      <c r="G209" s="396"/>
      <c r="H209" s="396"/>
      <c r="N209" s="397"/>
      <c r="O209" s="397"/>
      <c r="P209" s="397"/>
      <c r="Q209" s="397"/>
      <c r="R209" s="397"/>
    </row>
    <row r="210">
      <c r="A210" s="45"/>
      <c r="B210" s="45"/>
      <c r="C210" s="386" t="s">
        <v>106</v>
      </c>
      <c r="D210" s="383"/>
      <c r="E210" s="383"/>
      <c r="F210" s="383"/>
      <c r="G210" s="383"/>
      <c r="H210" s="384"/>
      <c r="I210" s="385" t="str">
        <f>IFERROR(__xludf.DUMMYFUNCTION("if(C210="""","""", iferror(filter(Schedule!$K:$K,Schedule!$L:$L=$C210,Schedule!$K:$K=""S1""),unique(filter(Schedule!$K:$K,Schedule!$L:$L=$C210,Schedule!$K:$K=""""))))"),"")</f>
        <v/>
      </c>
      <c r="M210" s="386" t="s">
        <v>22</v>
      </c>
      <c r="N210" s="383"/>
      <c r="O210" s="383"/>
      <c r="P210" s="383"/>
      <c r="Q210" s="383"/>
      <c r="R210" s="384"/>
      <c r="S210" s="385" t="s">
        <v>22</v>
      </c>
      <c r="T210" s="112"/>
    </row>
    <row r="211">
      <c r="A211" s="116"/>
      <c r="B211" s="116"/>
      <c r="C211" s="100" t="s">
        <v>7</v>
      </c>
      <c r="D211" s="387" t="s">
        <v>8</v>
      </c>
      <c r="E211" s="387" t="s">
        <v>9</v>
      </c>
      <c r="F211" s="387" t="s">
        <v>10</v>
      </c>
      <c r="G211" s="387" t="s">
        <v>11</v>
      </c>
      <c r="H211" s="387" t="s">
        <v>12</v>
      </c>
      <c r="I211" s="21" t="s">
        <v>766</v>
      </c>
      <c r="J211" s="116"/>
      <c r="K211" s="116"/>
      <c r="L211" s="116"/>
      <c r="M211" s="100" t="s">
        <v>7</v>
      </c>
      <c r="N211" s="387" t="s">
        <v>8</v>
      </c>
      <c r="O211" s="387" t="s">
        <v>9</v>
      </c>
      <c r="P211" s="387" t="s">
        <v>10</v>
      </c>
      <c r="Q211" s="387" t="s">
        <v>11</v>
      </c>
      <c r="R211" s="387" t="s">
        <v>12</v>
      </c>
      <c r="S211" s="21" t="s">
        <v>766</v>
      </c>
      <c r="T211" s="388"/>
    </row>
    <row r="212">
      <c r="A212" s="389" t="s">
        <v>106</v>
      </c>
      <c r="B212" s="389"/>
      <c r="C212" s="100">
        <v>1.0</v>
      </c>
      <c r="D212" s="390" t="str">
        <f t="array" ref="D212">IF('Teachers sched'!D212="", "", 
  IFERROR(
    VLOOKUP(
      'Teachers sched'!$A212 &amp; "|" &amp; 
      LEFT('Teachers sched'!D212, FIND("-", 'Teachers sched'!D212) - 1),
      {
        SALONES!$A:$A &amp; "|" &amp; SALONES!$B:$B,
        SALONES!$C:$C
      },
      2,
      FALSE
    ) &amp; " - " &amp; 'Teachers sched'!D212,
    'Teachers sched'!D212
  )
)
</f>
        <v>927 - Life Purpose-1</v>
      </c>
      <c r="E212" s="390" t="str">
        <f t="array" ref="E212">IF('Teachers sched'!E212="", "", 
  IFERROR(
    VLOOKUP(
      'Teachers sched'!$A212 &amp; "|" &amp; 
      LEFT('Teachers sched'!E212, FIND("-", 'Teachers sched'!E212) - 1),
      {
        SALONES!$A:$A &amp; "|" &amp; SALONES!$B:$B,
        SALONES!$C:$C
      },
      2,
      FALSE
    ) &amp; " - " &amp; 'Teachers sched'!E212,
    'Teachers sched'!E212
  )
)
</f>
        <v>927 - Life Purpose-2</v>
      </c>
      <c r="F212" s="390" t="str">
        <f t="array" ref="F212">IF('Teachers sched'!F212="", "", 
  IFERROR(
    VLOOKUP(
      'Teachers sched'!$A212 &amp; "|" &amp; 
      LEFT('Teachers sched'!F212, FIND("-", 'Teachers sched'!F212) - 1),
      {
        SALONES!$A:$A &amp; "|" &amp; SALONES!$B:$B,
        SALONES!$C:$C
      },
      2,
      FALSE
    ) &amp; " - " &amp; 'Teachers sched'!F212,
    'Teachers sched'!F212
  )
)
</f>
        <v/>
      </c>
      <c r="G212" s="390" t="str">
        <f t="array" ref="G212">IF('Teachers sched'!G212="", "", 
  IFERROR(
    VLOOKUP(
      'Teachers sched'!$A212 &amp; "|" &amp; 
      LEFT('Teachers sched'!G212, FIND("-", 'Teachers sched'!G212) - 1),
      {
        SALONES!$A:$A &amp; "|" &amp; SALONES!$B:$B,
        SALONES!$C:$C
      },
      2,
      FALSE
    ) &amp; " - " &amp; 'Teachers sched'!G212,
    'Teachers sched'!G212
  )
)
</f>
        <v/>
      </c>
      <c r="H212" s="390" t="str">
        <f t="array" ref="H212">IF('Teachers sched'!H212="", "", 
  IFERROR(
    VLOOKUP(
      'Teachers sched'!$A212 &amp; "|" &amp; 
      LEFT('Teachers sched'!H212, FIND("-", 'Teachers sched'!H212) - 1),
      {
        SALONES!$A:$A &amp; "|" &amp; SALONES!$B:$B,
        SALONES!$C:$C
      },
      2,
      FALSE
    ) &amp; " - " &amp; 'Teachers sched'!H212,
    'Teachers sched'!H212
  )
)
</f>
        <v/>
      </c>
      <c r="I212" s="391">
        <f>if(C210="","", 24-countifs(D212:H216,""))</f>
        <v>15</v>
      </c>
      <c r="J212" s="392"/>
      <c r="K212" s="389" t="s">
        <v>22</v>
      </c>
      <c r="L212" s="389" t="s">
        <v>22</v>
      </c>
      <c r="M212" s="100">
        <v>1.0</v>
      </c>
      <c r="N212" s="390" t="s">
        <v>22</v>
      </c>
      <c r="O212" s="390" t="s">
        <v>22</v>
      </c>
      <c r="P212" s="390" t="s">
        <v>22</v>
      </c>
      <c r="Q212" s="390" t="s">
        <v>22</v>
      </c>
      <c r="R212" s="390" t="s">
        <v>22</v>
      </c>
      <c r="S212" s="391" t="s">
        <v>22</v>
      </c>
      <c r="T212" s="393"/>
    </row>
    <row r="213">
      <c r="A213" s="389" t="s">
        <v>106</v>
      </c>
      <c r="B213" s="389"/>
      <c r="C213" s="100">
        <v>2.0</v>
      </c>
      <c r="D213" s="390" t="str">
        <f t="array" ref="D213">IF('Teachers sched'!D213="", "", 
  IFERROR(
    VLOOKUP(
      'Teachers sched'!$A213 &amp; "|" &amp; 
      LEFT('Teachers sched'!D213, FIND("-", 'Teachers sched'!D213) - 1),
      {
        SALONES!$A:$A &amp; "|" &amp; SALONES!$B:$B,
        SALONES!$C:$C
      },
      2,
      FALSE
    ) &amp; " - " &amp; 'Teachers sched'!D213,
    'Teachers sched'!D213
  )
)
</f>
        <v>927 - Pensar nuestro tiempo-1</v>
      </c>
      <c r="E213" s="390" t="str">
        <f t="array" ref="E213">IF('Teachers sched'!E213="", "", 
  IFERROR(
    VLOOKUP(
      'Teachers sched'!$A213 &amp; "|" &amp; 
      LEFT('Teachers sched'!E213, FIND("-", 'Teachers sched'!E213) - 1),
      {
        SALONES!$A:$A &amp; "|" &amp; SALONES!$B:$B,
        SALONES!$C:$C
      },
      2,
      FALSE
    ) &amp; " - " &amp; 'Teachers sched'!E213,
    'Teachers sched'!E213
  )
)
</f>
        <v>927 - Life Purpose-3</v>
      </c>
      <c r="F213" s="390" t="str">
        <f t="array" ref="F213">IF('Teachers sched'!F213="", "", 
  IFERROR(
    VLOOKUP(
      'Teachers sched'!$A213 &amp; "|" &amp; 
      LEFT('Teachers sched'!F213, FIND("-", 'Teachers sched'!F213) - 1),
      {
        SALONES!$A:$A &amp; "|" &amp; SALONES!$B:$B,
        SALONES!$C:$C
      },
      2,
      FALSE
    ) &amp; " - " &amp; 'Teachers sched'!F213,
    'Teachers sched'!F213
  )
)
</f>
        <v>927 - Introduction to Law-1</v>
      </c>
      <c r="G213" s="390" t="str">
        <f t="array" ref="G213">IF('Teachers sched'!G213="", "", 
  IFERROR(
    VLOOKUP(
      'Teachers sched'!$A213 &amp; "|" &amp; 
      LEFT('Teachers sched'!G213, FIND("-", 'Teachers sched'!G213) - 1),
      {
        SALONES!$A:$A &amp; "|" &amp; SALONES!$B:$B,
        SALONES!$C:$C
      },
      2,
      FALSE
    ) &amp; " - " &amp; 'Teachers sched'!G213,
    'Teachers sched'!G213
  )
)
</f>
        <v>927 - Life Purpose-1</v>
      </c>
      <c r="H213" s="390" t="str">
        <f t="array" ref="H213">IF('Teachers sched'!H213="", "", 
  IFERROR(
    VLOOKUP(
      'Teachers sched'!$A213 &amp; "|" &amp; 
      LEFT('Teachers sched'!H213, FIND("-", 'Teachers sched'!H213) - 1),
      {
        SALONES!$A:$A &amp; "|" &amp; SALONES!$B:$B,
        SALONES!$C:$C
      },
      2,
      FALSE
    ) &amp; " - " &amp; 'Teachers sched'!H213,
    'Teachers sched'!H213
  )
)
</f>
        <v>927 - Life Purpose-2</v>
      </c>
      <c r="I213" s="53"/>
      <c r="J213" s="392"/>
      <c r="K213" s="389" t="s">
        <v>22</v>
      </c>
      <c r="L213" s="389" t="s">
        <v>22</v>
      </c>
      <c r="M213" s="100">
        <v>2.0</v>
      </c>
      <c r="N213" s="390" t="s">
        <v>22</v>
      </c>
      <c r="O213" s="390" t="s">
        <v>22</v>
      </c>
      <c r="P213" s="390" t="s">
        <v>22</v>
      </c>
      <c r="Q213" s="390" t="s">
        <v>22</v>
      </c>
      <c r="R213" s="390" t="s">
        <v>22</v>
      </c>
      <c r="S213" s="53"/>
      <c r="T213" s="393"/>
    </row>
    <row r="214">
      <c r="A214" s="389" t="s">
        <v>106</v>
      </c>
      <c r="B214" s="389"/>
      <c r="C214" s="100">
        <v>3.0</v>
      </c>
      <c r="D214" s="390" t="str">
        <f t="array" ref="D214">IF('Teachers sched'!D214="", "", 
  IFERROR(
    VLOOKUP(
      'Teachers sched'!$A214 &amp; "|" &amp; 
      LEFT('Teachers sched'!D214, FIND("-", 'Teachers sched'!D214) - 1),
      {
        SALONES!$A:$A &amp; "|" &amp; SALONES!$B:$B,
        SALONES!$C:$C
      },
      2,
      FALSE
    ) &amp; " - " &amp; 'Teachers sched'!D214,
    'Teachers sched'!D214
  )
)
</f>
        <v/>
      </c>
      <c r="E214" s="390" t="str">
        <f t="array" ref="E214">IF('Teachers sched'!E214="", "", 
  IFERROR(
    VLOOKUP(
      'Teachers sched'!$A214 &amp; "|" &amp; 
      LEFT('Teachers sched'!E214, FIND("-", 'Teachers sched'!E214) - 1),
      {
        SALONES!$A:$A &amp; "|" &amp; SALONES!$B:$B,
        SALONES!$C:$C
      },
      2,
      FALSE
    ) &amp; " - " &amp; 'Teachers sched'!E214,
    'Teachers sched'!E214
  )
)
</f>
        <v/>
      </c>
      <c r="F214" s="390" t="str">
        <f t="array" ref="F214">IF('Teachers sched'!F214="", "", 
  IFERROR(
    VLOOKUP(
      'Teachers sched'!$A214 &amp; "|" &amp; 
      LEFT('Teachers sched'!F214, FIND("-", 'Teachers sched'!F214) - 1),
      {
        SALONES!$A:$A &amp; "|" &amp; SALONES!$B:$B,
        SALONES!$C:$C
      },
      2,
      FALSE
    ) &amp; " - " &amp; 'Teachers sched'!F214,
    'Teachers sched'!F214
  )
)
</f>
        <v/>
      </c>
      <c r="G214" s="390" t="str">
        <f t="array" ref="G214">IF('Teachers sched'!G214="", "", 
  IFERROR(
    VLOOKUP(
      'Teachers sched'!$A214 &amp; "|" &amp; 
      LEFT('Teachers sched'!G214, FIND("-", 'Teachers sched'!G214) - 1),
      {
        SALONES!$A:$A &amp; "|" &amp; SALONES!$B:$B,
        SALONES!$C:$C
      },
      2,
      FALSE
    ) &amp; " - " &amp; 'Teachers sched'!G214,
    'Teachers sched'!G214
  )
)
</f>
        <v>927 - Pensar nuestro tiempo-1</v>
      </c>
      <c r="H214" s="395" t="str">
        <f t="array" ref="H214">IF('Teachers sched'!H214="", "", 
  IFERROR(
    VLOOKUP(
      'Teachers sched'!$A214 &amp; "|" &amp; 
      LEFT('Teachers sched'!H214, FIND("-", 'Teachers sched'!H214) - 1),
      {
        SALONES!$A:$A &amp; "|" &amp; SALONES!$B:$B,
        SALONES!$C:$C
      },
      2,
      FALSE
    ) &amp; " - " &amp; 'Teachers sched'!H214,
    'Teachers sched'!H214
  )
)
</f>
        <v>X-Block</v>
      </c>
      <c r="I214" s="53"/>
      <c r="J214" s="392"/>
      <c r="K214" s="389" t="s">
        <v>22</v>
      </c>
      <c r="L214" s="389" t="s">
        <v>22</v>
      </c>
      <c r="M214" s="100">
        <v>3.0</v>
      </c>
      <c r="N214" s="390" t="s">
        <v>22</v>
      </c>
      <c r="O214" s="390" t="s">
        <v>22</v>
      </c>
      <c r="P214" s="390" t="s">
        <v>22</v>
      </c>
      <c r="Q214" s="390" t="s">
        <v>22</v>
      </c>
      <c r="R214" s="395" t="s">
        <v>22</v>
      </c>
      <c r="S214" s="53"/>
      <c r="T214" s="393"/>
    </row>
    <row r="215">
      <c r="A215" s="389" t="s">
        <v>106</v>
      </c>
      <c r="B215" s="389"/>
      <c r="C215" s="100">
        <v>4.0</v>
      </c>
      <c r="D215" s="390" t="str">
        <f t="array" ref="D215">IF('Teachers sched'!D215="", "", 
  IFERROR(
    VLOOKUP(
      'Teachers sched'!$A215 &amp; "|" &amp; 
      LEFT('Teachers sched'!D215, FIND("-", 'Teachers sched'!D215) - 1),
      {
        SALONES!$A:$A &amp; "|" &amp; SALONES!$B:$B,
        SALONES!$C:$C
      },
      2,
      FALSE
    ) &amp; " - " &amp; 'Teachers sched'!D215,
    'Teachers sched'!D215
  )
)
</f>
        <v>927 - Introduction to Law-1</v>
      </c>
      <c r="E215" s="390" t="str">
        <f t="array" ref="E215">IF('Teachers sched'!E215="", "", 
  IFERROR(
    VLOOKUP(
      'Teachers sched'!$A215 &amp; "|" &amp; 
      LEFT('Teachers sched'!E215, FIND("-", 'Teachers sched'!E215) - 1),
      {
        SALONES!$A:$A &amp; "|" &amp; SALONES!$B:$B,
        SALONES!$C:$C
      },
      2,
      FALSE
    ) &amp; " - " &amp; 'Teachers sched'!E215,
    'Teachers sched'!E215
  )
)
</f>
        <v>927 - Life Purpose-1</v>
      </c>
      <c r="F215" s="390" t="str">
        <f t="array" ref="F215">IF('Teachers sched'!F215="", "", 
  IFERROR(
    VLOOKUP(
      'Teachers sched'!$A215 &amp; "|" &amp; 
      LEFT('Teachers sched'!F215, FIND("-", 'Teachers sched'!F215) - 1),
      {
        SALONES!$A:$A &amp; "|" &amp; SALONES!$B:$B,
        SALONES!$C:$C
      },
      2,
      FALSE
    ) &amp; " - " &amp; 'Teachers sched'!F215,
    'Teachers sched'!F215
  )
)
</f>
        <v>927 - Life Purpose-2</v>
      </c>
      <c r="G215" s="390" t="str">
        <f t="array" ref="G215">IF('Teachers sched'!G215="", "", 
  IFERROR(
    VLOOKUP(
      'Teachers sched'!$A215 &amp; "|" &amp; 
      LEFT('Teachers sched'!G215, FIND("-", 'Teachers sched'!G215) - 1),
      {
        SALONES!$A:$A &amp; "|" &amp; SALONES!$B:$B,
        SALONES!$C:$C
      },
      2,
      FALSE
    ) &amp; " - " &amp; 'Teachers sched'!G215,
    'Teachers sched'!G215
  )
)
</f>
        <v/>
      </c>
      <c r="H215" s="390" t="str">
        <f t="array" ref="H215">IF('Teachers sched'!H215="", "", 
  IFERROR(
    VLOOKUP(
      'Teachers sched'!$A215 &amp; "|" &amp; 
      LEFT('Teachers sched'!H215, FIND("-", 'Teachers sched'!H215) - 1),
      {
        SALONES!$A:$A &amp; "|" &amp; SALONES!$B:$B,
        SALONES!$C:$C
      },
      2,
      FALSE
    ) &amp; " - " &amp; 'Teachers sched'!H215,
    'Teachers sched'!H215
  )
)
</f>
        <v>927 - Life Purpose-3</v>
      </c>
      <c r="I215" s="53"/>
      <c r="J215" s="392"/>
      <c r="K215" s="389" t="s">
        <v>22</v>
      </c>
      <c r="L215" s="389" t="s">
        <v>22</v>
      </c>
      <c r="M215" s="100">
        <v>4.0</v>
      </c>
      <c r="N215" s="390" t="s">
        <v>22</v>
      </c>
      <c r="O215" s="390" t="s">
        <v>22</v>
      </c>
      <c r="P215" s="390" t="s">
        <v>22</v>
      </c>
      <c r="Q215" s="390" t="s">
        <v>22</v>
      </c>
      <c r="R215" s="390" t="s">
        <v>22</v>
      </c>
      <c r="S215" s="53"/>
      <c r="T215" s="393"/>
    </row>
    <row r="216">
      <c r="A216" s="389" t="s">
        <v>106</v>
      </c>
      <c r="B216" s="389"/>
      <c r="C216" s="100">
        <v>5.0</v>
      </c>
      <c r="D216" s="390" t="str">
        <f t="array" ref="D216">IF('Teachers sched'!D216="", "", 
  IFERROR(
    VLOOKUP(
      'Teachers sched'!$A216 &amp; "|" &amp; 
      LEFT('Teachers sched'!D216, FIND("-", 'Teachers sched'!D216) - 1),
      {
        SALONES!$A:$A &amp; "|" &amp; SALONES!$B:$B,
        SALONES!$C:$C
      },
      2,
      FALSE
    ) &amp; " - " &amp; 'Teachers sched'!D216,
    'Teachers sched'!D216
  )
)
</f>
        <v/>
      </c>
      <c r="E216" s="390" t="str">
        <f t="array" ref="E216">IF('Teachers sched'!E216="", "", 
  IFERROR(
    VLOOKUP(
      'Teachers sched'!$A216 &amp; "|" &amp; 
      LEFT('Teachers sched'!E216, FIND("-", 'Teachers sched'!E216) - 1),
      {
        SALONES!$A:$A &amp; "|" &amp; SALONES!$B:$B,
        SALONES!$C:$C
      },
      2,
      FALSE
    ) &amp; " - " &amp; 'Teachers sched'!E216,
    'Teachers sched'!E216
  )
)
</f>
        <v>927 - Pensar nuestro tiempo-1</v>
      </c>
      <c r="F216" s="390" t="str">
        <f t="array" ref="F216">IF('Teachers sched'!F216="", "", 
  IFERROR(
    VLOOKUP(
      'Teachers sched'!$A216 &amp; "|" &amp; 
      LEFT('Teachers sched'!F216, FIND("-", 'Teachers sched'!F216) - 1),
      {
        SALONES!$A:$A &amp; "|" &amp; SALONES!$B:$B,
        SALONES!$C:$C
      },
      2,
      FALSE
    ) &amp; " - " &amp; 'Teachers sched'!F216,
    'Teachers sched'!F216
  )
)
</f>
        <v>927 - Life Purpose-3</v>
      </c>
      <c r="G216" s="390" t="str">
        <f t="array" ref="G216">IF('Teachers sched'!G216="", "", 
  IFERROR(
    VLOOKUP(
      'Teachers sched'!$A216 &amp; "|" &amp; 
      LEFT('Teachers sched'!G216, FIND("-", 'Teachers sched'!G216) - 1),
      {
        SALONES!$A:$A &amp; "|" &amp; SALONES!$B:$B,
        SALONES!$C:$C
      },
      2,
      FALSE
    ) &amp; " - " &amp; 'Teachers sched'!G216,
    'Teachers sched'!G216
  )
)
</f>
        <v>927 - Introduction to Law-1</v>
      </c>
      <c r="H216" s="390" t="str">
        <f t="array" ref="H216">IF('Teachers sched'!H216="", "", 
  IFERROR(
    VLOOKUP(
      'Teachers sched'!$A216 &amp; "|" &amp; 
      LEFT('Teachers sched'!H216, FIND("-", 'Teachers sched'!H216) - 1),
      {
        SALONES!$A:$A &amp; "|" &amp; SALONES!$B:$B,
        SALONES!$C:$C
      },
      2,
      FALSE
    ) &amp; " - " &amp; 'Teachers sched'!H216,
    'Teachers sched'!H216
  )
)
</f>
        <v/>
      </c>
      <c r="I216" s="68"/>
      <c r="J216" s="392"/>
      <c r="K216" s="389" t="s">
        <v>22</v>
      </c>
      <c r="L216" s="389" t="s">
        <v>22</v>
      </c>
      <c r="M216" s="100">
        <v>5.0</v>
      </c>
      <c r="N216" s="390" t="s">
        <v>22</v>
      </c>
      <c r="O216" s="390" t="s">
        <v>22</v>
      </c>
      <c r="P216" s="390" t="s">
        <v>22</v>
      </c>
      <c r="Q216" s="390" t="s">
        <v>22</v>
      </c>
      <c r="R216" s="390" t="s">
        <v>22</v>
      </c>
      <c r="S216" s="68"/>
      <c r="T216" s="393"/>
    </row>
    <row r="217">
      <c r="C217" s="3"/>
      <c r="D217" s="396"/>
      <c r="E217" s="396"/>
      <c r="F217" s="396"/>
      <c r="G217" s="396"/>
      <c r="H217" s="396"/>
      <c r="N217" s="397"/>
      <c r="O217" s="397"/>
      <c r="P217" s="397"/>
      <c r="Q217" s="397"/>
      <c r="R217" s="397"/>
    </row>
    <row r="218">
      <c r="A218" s="45"/>
      <c r="B218" s="45"/>
      <c r="C218" s="386" t="s">
        <v>131</v>
      </c>
      <c r="D218" s="383"/>
      <c r="E218" s="383"/>
      <c r="F218" s="383"/>
      <c r="G218" s="383"/>
      <c r="H218" s="384"/>
      <c r="I218" s="385" t="str">
        <f>IFERROR(__xludf.DUMMYFUNCTION("if(C218="""","""", iferror(filter(Schedule!$K:$K,Schedule!$L:$L=$C218,Schedule!$K:$K=""S1""),unique(filter(Schedule!$K:$K,Schedule!$L:$L=$C218,Schedule!$K:$K=""""))))"),"")</f>
        <v/>
      </c>
      <c r="M218" s="386" t="s">
        <v>22</v>
      </c>
      <c r="N218" s="383"/>
      <c r="O218" s="383"/>
      <c r="P218" s="383"/>
      <c r="Q218" s="383"/>
      <c r="R218" s="384"/>
      <c r="S218" s="385" t="s">
        <v>22</v>
      </c>
      <c r="T218" s="112"/>
    </row>
    <row r="219">
      <c r="A219" s="116"/>
      <c r="B219" s="116"/>
      <c r="C219" s="100" t="s">
        <v>7</v>
      </c>
      <c r="D219" s="387" t="s">
        <v>8</v>
      </c>
      <c r="E219" s="387" t="s">
        <v>9</v>
      </c>
      <c r="F219" s="387" t="s">
        <v>10</v>
      </c>
      <c r="G219" s="387" t="s">
        <v>11</v>
      </c>
      <c r="H219" s="387" t="s">
        <v>12</v>
      </c>
      <c r="I219" s="21" t="s">
        <v>766</v>
      </c>
      <c r="J219" s="116"/>
      <c r="K219" s="116"/>
      <c r="L219" s="116"/>
      <c r="M219" s="100" t="s">
        <v>7</v>
      </c>
      <c r="N219" s="387" t="s">
        <v>8</v>
      </c>
      <c r="O219" s="387" t="s">
        <v>9</v>
      </c>
      <c r="P219" s="387" t="s">
        <v>10</v>
      </c>
      <c r="Q219" s="387" t="s">
        <v>11</v>
      </c>
      <c r="R219" s="387" t="s">
        <v>12</v>
      </c>
      <c r="S219" s="21" t="s">
        <v>766</v>
      </c>
      <c r="T219" s="388"/>
    </row>
    <row r="220">
      <c r="A220" s="389" t="s">
        <v>131</v>
      </c>
      <c r="B220" s="389" t="s">
        <v>22</v>
      </c>
      <c r="C220" s="100">
        <v>1.0</v>
      </c>
      <c r="D220" s="390" t="str">
        <f t="array" ref="D220">IF('Teachers sched'!D220="", "", 
  IFERROR(
    VLOOKUP(
      'Teachers sched'!$A220 &amp; "|" &amp; 
      LEFT('Teachers sched'!D220, FIND("-", 'Teachers sched'!D220) - 1),
      {
        SALONES!$A:$A &amp; "|" &amp; SALONES!$B:$B,
        SALONES!$C:$C
      },
      2,
      FALSE
    ) &amp; " - " &amp; 'Teachers sched'!D220,
    'Teachers sched'!D220
  )
)
</f>
        <v> - PE 11-1</v>
      </c>
      <c r="E220" s="390" t="str">
        <f t="array" ref="E220">IF('Teachers sched'!E220="", "", 
  IFERROR(
    VLOOKUP(
      'Teachers sched'!$A220 &amp; "|" &amp; 
      LEFT('Teachers sched'!E220, FIND("-", 'Teachers sched'!E220) - 1),
      {
        SALONES!$A:$A &amp; "|" &amp; SALONES!$B:$B,
        SALONES!$C:$C
      },
      2,
      FALSE
    ) &amp; " - " &amp; 'Teachers sched'!E220,
    'Teachers sched'!E220
  )
)
</f>
        <v> - PE 11-5</v>
      </c>
      <c r="F220" s="390" t="str">
        <f t="array" ref="F220">IF('Teachers sched'!F220="", "", 
  IFERROR(
    VLOOKUP(
      'Teachers sched'!$A220 &amp; "|" &amp; 
      LEFT('Teachers sched'!F220, FIND("-", 'Teachers sched'!F220) - 1),
      {
        SALONES!$A:$A &amp; "|" &amp; SALONES!$B:$B,
        SALONES!$C:$C
      },
      2,
      FALSE
    ) &amp; " - " &amp; 'Teachers sched'!F220,
    'Teachers sched'!F220
  )
)
</f>
        <v> - PE 11-3</v>
      </c>
      <c r="G220" s="390" t="str">
        <f t="array" ref="G220">IF('Teachers sched'!G220="", "", 
  IFERROR(
    VLOOKUP(
      'Teachers sched'!$A220 &amp; "|" &amp; 
      LEFT('Teachers sched'!G220, FIND("-", 'Teachers sched'!G220) - 1),
      {
        SALONES!$A:$A &amp; "|" &amp; SALONES!$B:$B,
        SALONES!$C:$C
      },
      2,
      FALSE
    ) &amp; " - " &amp; 'Teachers sched'!G220,
    'Teachers sched'!G220
  )
)
</f>
        <v/>
      </c>
      <c r="H220" s="390" t="str">
        <f t="array" ref="H220">IF('Teachers sched'!H220="", "", 
  IFERROR(
    VLOOKUP(
      'Teachers sched'!$A220 &amp; "|" &amp; 
      LEFT('Teachers sched'!H220, FIND("-", 'Teachers sched'!H220) - 1),
      {
        SALONES!$A:$A &amp; "|" &amp; SALONES!$B:$B,
        SALONES!$C:$C
      },
      2,
      FALSE
    ) &amp; " - " &amp; 'Teachers sched'!H220,
    'Teachers sched'!H220
  )
)
</f>
        <v/>
      </c>
      <c r="I220" s="391">
        <f>if(C218="","", 24-countifs(D220:H224,""))</f>
        <v>18</v>
      </c>
      <c r="J220" s="392"/>
      <c r="K220" s="389" t="s">
        <v>22</v>
      </c>
      <c r="L220" s="389" t="s">
        <v>22</v>
      </c>
      <c r="M220" s="100">
        <v>1.0</v>
      </c>
      <c r="N220" s="390" t="s">
        <v>22</v>
      </c>
      <c r="O220" s="390" t="s">
        <v>22</v>
      </c>
      <c r="P220" s="390" t="s">
        <v>22</v>
      </c>
      <c r="Q220" s="390" t="s">
        <v>22</v>
      </c>
      <c r="R220" s="390" t="s">
        <v>22</v>
      </c>
      <c r="S220" s="391" t="s">
        <v>22</v>
      </c>
      <c r="T220" s="393"/>
    </row>
    <row r="221">
      <c r="A221" s="389" t="s">
        <v>131</v>
      </c>
      <c r="B221" s="389" t="s">
        <v>22</v>
      </c>
      <c r="C221" s="100">
        <v>2.0</v>
      </c>
      <c r="D221" s="390" t="str">
        <f t="array" ref="D221">IF('Teachers sched'!D221="", "", 
  IFERROR(
    VLOOKUP(
      'Teachers sched'!$A221 &amp; "|" &amp; 
      LEFT('Teachers sched'!D221, FIND("-", 'Teachers sched'!D221) - 1),
      {
        SALONES!$A:$A &amp; "|" &amp; SALONES!$B:$B,
        SALONES!$C:$C
      },
      2,
      FALSE
    ) &amp; " - " &amp; 'Teachers sched'!D221,
    'Teachers sched'!D221
  )
)
</f>
        <v> - PE 11-2</v>
      </c>
      <c r="E221" s="390" t="str">
        <f t="array" ref="E221">IF('Teachers sched'!E221="", "", 
  IFERROR(
    VLOOKUP(
      'Teachers sched'!$A221 &amp; "|" &amp; 
      LEFT('Teachers sched'!E221, FIND("-", 'Teachers sched'!E221) - 1),
      {
        SALONES!$A:$A &amp; "|" &amp; SALONES!$B:$B,
        SALONES!$C:$C
      },
      2,
      FALSE
    ) &amp; " - " &amp; 'Teachers sched'!E221,
    'Teachers sched'!E221
  )
)
</f>
        <v> - PE 11-6</v>
      </c>
      <c r="F221" s="390" t="str">
        <f t="array" ref="F221">IF('Teachers sched'!F221="", "", 
  IFERROR(
    VLOOKUP(
      'Teachers sched'!$A221 &amp; "|" &amp; 
      LEFT('Teachers sched'!F221, FIND("-", 'Teachers sched'!F221) - 1),
      {
        SALONES!$A:$A &amp; "|" &amp; SALONES!$B:$B,
        SALONES!$C:$C
      },
      2,
      FALSE
    ) &amp; " - " &amp; 'Teachers sched'!F221,
    'Teachers sched'!F221
  )
)
</f>
        <v> - PE 11-4</v>
      </c>
      <c r="G221" s="390" t="str">
        <f t="array" ref="G221">IF('Teachers sched'!G221="", "", 
  IFERROR(
    VLOOKUP(
      'Teachers sched'!$A221 &amp; "|" &amp; 
      LEFT('Teachers sched'!G221, FIND("-", 'Teachers sched'!G221) - 1),
      {
        SALONES!$A:$A &amp; "|" &amp; SALONES!$B:$B,
        SALONES!$C:$C
      },
      2,
      FALSE
    ) &amp; " - " &amp; 'Teachers sched'!G221,
    'Teachers sched'!G221
  )
)
</f>
        <v> - PE 11-1</v>
      </c>
      <c r="H221" s="390" t="str">
        <f t="array" ref="H221">IF('Teachers sched'!H221="", "", 
  IFERROR(
    VLOOKUP(
      'Teachers sched'!$A221 &amp; "|" &amp; 
      LEFT('Teachers sched'!H221, FIND("-", 'Teachers sched'!H221) - 1),
      {
        SALONES!$A:$A &amp; "|" &amp; SALONES!$B:$B,
        SALONES!$C:$C
      },
      2,
      FALSE
    ) &amp; " - " &amp; 'Teachers sched'!H221,
    'Teachers sched'!H221
  )
)
</f>
        <v> - PE 11-5</v>
      </c>
      <c r="I221" s="53"/>
      <c r="J221" s="392"/>
      <c r="K221" s="389" t="s">
        <v>22</v>
      </c>
      <c r="L221" s="389" t="s">
        <v>22</v>
      </c>
      <c r="M221" s="100">
        <v>2.0</v>
      </c>
      <c r="N221" s="390" t="s">
        <v>22</v>
      </c>
      <c r="O221" s="390" t="s">
        <v>22</v>
      </c>
      <c r="P221" s="390" t="s">
        <v>22</v>
      </c>
      <c r="Q221" s="390" t="s">
        <v>22</v>
      </c>
      <c r="R221" s="390" t="s">
        <v>22</v>
      </c>
      <c r="S221" s="53"/>
      <c r="T221" s="393"/>
    </row>
    <row r="222">
      <c r="A222" s="389" t="s">
        <v>131</v>
      </c>
      <c r="B222" s="389" t="s">
        <v>22</v>
      </c>
      <c r="C222" s="100">
        <v>3.0</v>
      </c>
      <c r="D222" s="390" t="str">
        <f t="array" ref="D222">IF('Teachers sched'!D222="", "", 
  IFERROR(
    VLOOKUP(
      'Teachers sched'!$A222 &amp; "|" &amp; 
      LEFT('Teachers sched'!D222, FIND("-", 'Teachers sched'!D222) - 1),
      {
        SALONES!$A:$A &amp; "|" &amp; SALONES!$B:$B,
        SALONES!$C:$C
      },
      2,
      FALSE
    ) &amp; " - " &amp; 'Teachers sched'!D222,
    'Teachers sched'!D222
  )
)
</f>
        <v> - PE 11-3</v>
      </c>
      <c r="E222" s="390" t="str">
        <f t="array" ref="E222">IF('Teachers sched'!E222="", "", 
  IFERROR(
    VLOOKUP(
      'Teachers sched'!$A222 &amp; "|" &amp; 
      LEFT('Teachers sched'!E222, FIND("-", 'Teachers sched'!E222) - 1),
      {
        SALONES!$A:$A &amp; "|" &amp; SALONES!$B:$B,
        SALONES!$C:$C
      },
      2,
      FALSE
    ) &amp; " - " &amp; 'Teachers sched'!E222,
    'Teachers sched'!E222
  )
)
</f>
        <v/>
      </c>
      <c r="F222" s="390" t="str">
        <f t="array" ref="F222">IF('Teachers sched'!F222="", "", 
  IFERROR(
    VLOOKUP(
      'Teachers sched'!$A222 &amp; "|" &amp; 
      LEFT('Teachers sched'!F222, FIND("-", 'Teachers sched'!F222) - 1),
      {
        SALONES!$A:$A &amp; "|" &amp; SALONES!$B:$B,
        SALONES!$C:$C
      },
      2,
      FALSE
    ) &amp; " - " &amp; 'Teachers sched'!F222,
    'Teachers sched'!F222
  )
)
</f>
        <v/>
      </c>
      <c r="G222" s="390" t="str">
        <f t="array" ref="G222">IF('Teachers sched'!G222="", "", 
  IFERROR(
    VLOOKUP(
      'Teachers sched'!$A222 &amp; "|" &amp; 
      LEFT('Teachers sched'!G222, FIND("-", 'Teachers sched'!G222) - 1),
      {
        SALONES!$A:$A &amp; "|" &amp; SALONES!$B:$B,
        SALONES!$C:$C
      },
      2,
      FALSE
    ) &amp; " - " &amp; 'Teachers sched'!G222,
    'Teachers sched'!G222
  )
)
</f>
        <v> - PE 11-2</v>
      </c>
      <c r="H222" s="395" t="str">
        <f t="array" ref="H222">IF('Teachers sched'!H222="", "", 
  IFERROR(
    VLOOKUP(
      'Teachers sched'!$A222 &amp; "|" &amp; 
      LEFT('Teachers sched'!H222, FIND("-", 'Teachers sched'!H222) - 1),
      {
        SALONES!$A:$A &amp; "|" &amp; SALONES!$B:$B,
        SALONES!$C:$C
      },
      2,
      FALSE
    ) &amp; " - " &amp; 'Teachers sched'!H222,
    'Teachers sched'!H222
  )
)
</f>
        <v>X-Block</v>
      </c>
      <c r="I222" s="53"/>
      <c r="J222" s="392"/>
      <c r="K222" s="389" t="s">
        <v>22</v>
      </c>
      <c r="L222" s="389" t="s">
        <v>22</v>
      </c>
      <c r="M222" s="100">
        <v>3.0</v>
      </c>
      <c r="N222" s="390" t="s">
        <v>22</v>
      </c>
      <c r="O222" s="390" t="s">
        <v>22</v>
      </c>
      <c r="P222" s="390" t="s">
        <v>22</v>
      </c>
      <c r="Q222" s="390" t="s">
        <v>22</v>
      </c>
      <c r="R222" s="395" t="s">
        <v>22</v>
      </c>
      <c r="S222" s="53"/>
      <c r="T222" s="393"/>
    </row>
    <row r="223">
      <c r="A223" s="389" t="s">
        <v>131</v>
      </c>
      <c r="B223" s="389" t="s">
        <v>22</v>
      </c>
      <c r="C223" s="100">
        <v>4.0</v>
      </c>
      <c r="D223" s="390" t="str">
        <f t="array" ref="D223">IF('Teachers sched'!D223="", "", 
  IFERROR(
    VLOOKUP(
      'Teachers sched'!$A223 &amp; "|" &amp; 
      LEFT('Teachers sched'!D223, FIND("-", 'Teachers sched'!D223) - 1),
      {
        SALONES!$A:$A &amp; "|" &amp; SALONES!$B:$B,
        SALONES!$C:$C
      },
      2,
      FALSE
    ) &amp; " - " &amp; 'Teachers sched'!D223,
    'Teachers sched'!D223
  )
)
</f>
        <v> - PE 11-4</v>
      </c>
      <c r="E223" s="390" t="str">
        <f t="array" ref="E223">IF('Teachers sched'!E223="", "", 
  IFERROR(
    VLOOKUP(
      'Teachers sched'!$A223 &amp; "|" &amp; 
      LEFT('Teachers sched'!E223, FIND("-", 'Teachers sched'!E223) - 1),
      {
        SALONES!$A:$A &amp; "|" &amp; SALONES!$B:$B,
        SALONES!$C:$C
      },
      2,
      FALSE
    ) &amp; " - " &amp; 'Teachers sched'!E223,
    'Teachers sched'!E223
  )
)
</f>
        <v> - PE 11-1</v>
      </c>
      <c r="F223" s="390" t="str">
        <f t="array" ref="F223">IF('Teachers sched'!F223="", "", 
  IFERROR(
    VLOOKUP(
      'Teachers sched'!$A223 &amp; "|" &amp; 
      LEFT('Teachers sched'!F223, FIND("-", 'Teachers sched'!F223) - 1),
      {
        SALONES!$A:$A &amp; "|" &amp; SALONES!$B:$B,
        SALONES!$C:$C
      },
      2,
      FALSE
    ) &amp; " - " &amp; 'Teachers sched'!F223,
    'Teachers sched'!F223
  )
)
</f>
        <v> - PE 11-5</v>
      </c>
      <c r="G223" s="390" t="str">
        <f t="array" ref="G223">IF('Teachers sched'!G223="", "", 
  IFERROR(
    VLOOKUP(
      'Teachers sched'!$A223 &amp; "|" &amp; 
      LEFT('Teachers sched'!G223, FIND("-", 'Teachers sched'!G223) - 1),
      {
        SALONES!$A:$A &amp; "|" &amp; SALONES!$B:$B,
        SALONES!$C:$C
      },
      2,
      FALSE
    ) &amp; " - " &amp; 'Teachers sched'!G223,
    'Teachers sched'!G223
  )
)
</f>
        <v> - PE 11-3</v>
      </c>
      <c r="H223" s="390" t="str">
        <f t="array" ref="H223">IF('Teachers sched'!H223="", "", 
  IFERROR(
    VLOOKUP(
      'Teachers sched'!$A223 &amp; "|" &amp; 
      LEFT('Teachers sched'!H223, FIND("-", 'Teachers sched'!H223) - 1),
      {
        SALONES!$A:$A &amp; "|" &amp; SALONES!$B:$B,
        SALONES!$C:$C
      },
      2,
      FALSE
    ) &amp; " - " &amp; 'Teachers sched'!H223,
    'Teachers sched'!H223
  )
)
</f>
        <v> - PE 11-6</v>
      </c>
      <c r="I223" s="53"/>
      <c r="J223" s="392"/>
      <c r="K223" s="389" t="s">
        <v>22</v>
      </c>
      <c r="L223" s="389" t="s">
        <v>22</v>
      </c>
      <c r="M223" s="100">
        <v>4.0</v>
      </c>
      <c r="N223" s="390" t="s">
        <v>22</v>
      </c>
      <c r="O223" s="390" t="s">
        <v>22</v>
      </c>
      <c r="P223" s="390" t="s">
        <v>22</v>
      </c>
      <c r="Q223" s="390" t="s">
        <v>22</v>
      </c>
      <c r="R223" s="390" t="s">
        <v>22</v>
      </c>
      <c r="S223" s="53"/>
      <c r="T223" s="393"/>
    </row>
    <row r="224">
      <c r="A224" s="389" t="s">
        <v>131</v>
      </c>
      <c r="B224" s="389" t="s">
        <v>22</v>
      </c>
      <c r="C224" s="100">
        <v>5.0</v>
      </c>
      <c r="D224" s="390" t="str">
        <f t="array" ref="D224">IF('Teachers sched'!D224="", "", 
  IFERROR(
    VLOOKUP(
      'Teachers sched'!$A224 &amp; "|" &amp; 
      LEFT('Teachers sched'!D224, FIND("-", 'Teachers sched'!D224) - 1),
      {
        SALONES!$A:$A &amp; "|" &amp; SALONES!$B:$B,
        SALONES!$C:$C
      },
      2,
      FALSE
    ) &amp; " - " &amp; 'Teachers sched'!D224,
    'Teachers sched'!D224
  )
)
</f>
        <v/>
      </c>
      <c r="E224" s="390" t="str">
        <f t="array" ref="E224">IF('Teachers sched'!E224="", "", 
  IFERROR(
    VLOOKUP(
      'Teachers sched'!$A224 &amp; "|" &amp; 
      LEFT('Teachers sched'!E224, FIND("-", 'Teachers sched'!E224) - 1),
      {
        SALONES!$A:$A &amp; "|" &amp; SALONES!$B:$B,
        SALONES!$C:$C
      },
      2,
      FALSE
    ) &amp; " - " &amp; 'Teachers sched'!E224,
    'Teachers sched'!E224
  )
)
</f>
        <v> - PE 11-2</v>
      </c>
      <c r="F224" s="390" t="str">
        <f t="array" ref="F224">IF('Teachers sched'!F224="", "", 
  IFERROR(
    VLOOKUP(
      'Teachers sched'!$A224 &amp; "|" &amp; 
      LEFT('Teachers sched'!F224, FIND("-", 'Teachers sched'!F224) - 1),
      {
        SALONES!$A:$A &amp; "|" &amp; SALONES!$B:$B,
        SALONES!$C:$C
      },
      2,
      FALSE
    ) &amp; " - " &amp; 'Teachers sched'!F224,
    'Teachers sched'!F224
  )
)
</f>
        <v> - PE 11-6</v>
      </c>
      <c r="G224" s="390" t="str">
        <f t="array" ref="G224">IF('Teachers sched'!G224="", "", 
  IFERROR(
    VLOOKUP(
      'Teachers sched'!$A224 &amp; "|" &amp; 
      LEFT('Teachers sched'!G224, FIND("-", 'Teachers sched'!G224) - 1),
      {
        SALONES!$A:$A &amp; "|" &amp; SALONES!$B:$B,
        SALONES!$C:$C
      },
      2,
      FALSE
    ) &amp; " - " &amp; 'Teachers sched'!G224,
    'Teachers sched'!G224
  )
)
</f>
        <v> - PE 11-4</v>
      </c>
      <c r="H224" s="390" t="str">
        <f t="array" ref="H224">IF('Teachers sched'!H224="", "", 
  IFERROR(
    VLOOKUP(
      'Teachers sched'!$A224 &amp; "|" &amp; 
      LEFT('Teachers sched'!H224, FIND("-", 'Teachers sched'!H224) - 1),
      {
        SALONES!$A:$A &amp; "|" &amp; SALONES!$B:$B,
        SALONES!$C:$C
      },
      2,
      FALSE
    ) &amp; " - " &amp; 'Teachers sched'!H224,
    'Teachers sched'!H224
  )
)
</f>
        <v/>
      </c>
      <c r="I224" s="68"/>
      <c r="J224" s="392"/>
      <c r="K224" s="389" t="s">
        <v>22</v>
      </c>
      <c r="L224" s="389" t="s">
        <v>22</v>
      </c>
      <c r="M224" s="100">
        <v>5.0</v>
      </c>
      <c r="N224" s="390" t="s">
        <v>22</v>
      </c>
      <c r="O224" s="390" t="s">
        <v>22</v>
      </c>
      <c r="P224" s="390" t="s">
        <v>22</v>
      </c>
      <c r="Q224" s="390" t="s">
        <v>22</v>
      </c>
      <c r="R224" s="390" t="s">
        <v>22</v>
      </c>
      <c r="S224" s="68"/>
      <c r="T224" s="393"/>
    </row>
    <row r="225">
      <c r="C225" s="3"/>
      <c r="D225" s="396"/>
      <c r="E225" s="396"/>
      <c r="F225" s="396"/>
      <c r="G225" s="396"/>
      <c r="H225" s="396"/>
      <c r="N225" s="397"/>
      <c r="O225" s="397"/>
      <c r="P225" s="397"/>
      <c r="Q225" s="397"/>
      <c r="R225" s="397"/>
    </row>
    <row r="226">
      <c r="A226" s="45"/>
      <c r="B226" s="45"/>
      <c r="C226" s="386" t="s">
        <v>116</v>
      </c>
      <c r="D226" s="383"/>
      <c r="E226" s="383"/>
      <c r="F226" s="383"/>
      <c r="G226" s="383"/>
      <c r="H226" s="384"/>
      <c r="I226" s="385" t="str">
        <f>IFERROR(__xludf.DUMMYFUNCTION("if(C226="""","""", iferror(filter(Schedule!$K:$K,Schedule!$L:$L=$C226,Schedule!$K:$K=""S1""),unique(filter(Schedule!$K:$K,Schedule!$L:$L=$C226,Schedule!$K:$K=""""))))"),"")</f>
        <v/>
      </c>
      <c r="M226" s="386" t="s">
        <v>22</v>
      </c>
      <c r="N226" s="383"/>
      <c r="O226" s="383"/>
      <c r="P226" s="383"/>
      <c r="Q226" s="383"/>
      <c r="R226" s="384"/>
      <c r="S226" s="385" t="s">
        <v>22</v>
      </c>
      <c r="T226" s="112"/>
    </row>
    <row r="227">
      <c r="A227" s="116"/>
      <c r="B227" s="116"/>
      <c r="C227" s="100" t="s">
        <v>7</v>
      </c>
      <c r="D227" s="387" t="s">
        <v>8</v>
      </c>
      <c r="E227" s="387" t="s">
        <v>9</v>
      </c>
      <c r="F227" s="387" t="s">
        <v>10</v>
      </c>
      <c r="G227" s="387" t="s">
        <v>11</v>
      </c>
      <c r="H227" s="387" t="s">
        <v>12</v>
      </c>
      <c r="I227" s="21" t="s">
        <v>766</v>
      </c>
      <c r="J227" s="116"/>
      <c r="K227" s="116"/>
      <c r="L227" s="116"/>
      <c r="M227" s="100" t="s">
        <v>7</v>
      </c>
      <c r="N227" s="387" t="s">
        <v>8</v>
      </c>
      <c r="O227" s="387" t="s">
        <v>9</v>
      </c>
      <c r="P227" s="387" t="s">
        <v>10</v>
      </c>
      <c r="Q227" s="387" t="s">
        <v>11</v>
      </c>
      <c r="R227" s="387" t="s">
        <v>12</v>
      </c>
      <c r="S227" s="21" t="s">
        <v>766</v>
      </c>
      <c r="T227" s="388"/>
    </row>
    <row r="228">
      <c r="A228" s="389" t="s">
        <v>116</v>
      </c>
      <c r="B228" s="389"/>
      <c r="C228" s="100">
        <v>1.0</v>
      </c>
      <c r="D228" s="390" t="str">
        <f t="array" ref="D228">IF('Teachers sched'!D228="", "", 
  IFERROR(
    VLOOKUP(
      'Teachers sched'!$A228 &amp; "|" &amp; 
      LEFT('Teachers sched'!D228, FIND("-", 'Teachers sched'!D228) - 1),
      {
        SALONES!$A:$A &amp; "|" &amp; SALONES!$B:$B,
        SALONES!$C:$C
      },
      2,
      FALSE
    ) &amp; " - " &amp; 'Teachers sched'!D228,
    'Teachers sched'!D228
  )
)
</f>
        <v/>
      </c>
      <c r="E228" s="390" t="str">
        <f t="array" ref="E228">IF('Teachers sched'!E228="", "", 
  IFERROR(
    VLOOKUP(
      'Teachers sched'!$A228 &amp; "|" &amp; 
      LEFT('Teachers sched'!E228, FIND("-", 'Teachers sched'!E228) - 1),
      {
        SALONES!$A:$A &amp; "|" &amp; SALONES!$B:$B,
        SALONES!$C:$C
      },
      2,
      FALSE
    ) &amp; " - " &amp; 'Teachers sched'!E228,
    'Teachers sched'!E228
  )
)
</f>
        <v/>
      </c>
      <c r="F228" s="390" t="str">
        <f t="array" ref="F228">IF('Teachers sched'!F228="", "", 
  IFERROR(
    VLOOKUP(
      'Teachers sched'!$A228 &amp; "|" &amp; 
      LEFT('Teachers sched'!F228, FIND("-", 'Teachers sched'!F228) - 1),
      {
        SALONES!$A:$A &amp; "|" &amp; SALONES!$B:$B,
        SALONES!$C:$C
      },
      2,
      FALSE
    ) &amp; " - " &amp; 'Teachers sched'!F228,
    'Teachers sched'!F228
  )
)
</f>
        <v>Maker - AP Computer Science Principles-1</v>
      </c>
      <c r="G228" s="390" t="str">
        <f t="array" ref="G228">IF('Teachers sched'!G228="", "", 
  IFERROR(
    VLOOKUP(
      'Teachers sched'!$A228 &amp; "|" &amp; 
      LEFT('Teachers sched'!G228, FIND("-", 'Teachers sched'!G228) - 1),
      {
        SALONES!$A:$A &amp; "|" &amp; SALONES!$B:$B,
        SALONES!$C:$C
      },
      2,
      FALSE
    ) &amp; " - " &amp; 'Teachers sched'!G228,
    'Teachers sched'!G228
  )
)
</f>
        <v/>
      </c>
      <c r="H228" s="390" t="str">
        <f t="array" ref="H228">IF('Teachers sched'!H228="", "", 
  IFERROR(
    VLOOKUP(
      'Teachers sched'!$A228 &amp; "|" &amp; 
      LEFT('Teachers sched'!H228, FIND("-", 'Teachers sched'!H228) - 1),
      {
        SALONES!$A:$A &amp; "|" &amp; SALONES!$B:$B,
        SALONES!$C:$C
      },
      2,
      FALSE
    ) &amp; " - " &amp; 'Teachers sched'!H228,
    'Teachers sched'!H228
  )
)
</f>
        <v/>
      </c>
      <c r="I228" s="391">
        <f>if(C226="","", 24-countifs(D228:H232,""))</f>
        <v>6</v>
      </c>
      <c r="J228" s="392"/>
      <c r="K228" s="389" t="s">
        <v>22</v>
      </c>
      <c r="L228" s="389" t="s">
        <v>22</v>
      </c>
      <c r="M228" s="100">
        <v>1.0</v>
      </c>
      <c r="N228" s="390" t="s">
        <v>22</v>
      </c>
      <c r="O228" s="390" t="s">
        <v>22</v>
      </c>
      <c r="P228" s="390" t="s">
        <v>22</v>
      </c>
      <c r="Q228" s="390" t="s">
        <v>22</v>
      </c>
      <c r="R228" s="390" t="s">
        <v>22</v>
      </c>
      <c r="S228" s="391" t="s">
        <v>22</v>
      </c>
      <c r="T228" s="393"/>
    </row>
    <row r="229">
      <c r="A229" s="389" t="s">
        <v>116</v>
      </c>
      <c r="B229" s="389"/>
      <c r="C229" s="100">
        <v>2.0</v>
      </c>
      <c r="D229" s="390" t="str">
        <f t="array" ref="D229">IF('Teachers sched'!D229="", "", 
  IFERROR(
    VLOOKUP(
      'Teachers sched'!$A229 &amp; "|" &amp; 
      LEFT('Teachers sched'!D229, FIND("-", 'Teachers sched'!D229) - 1),
      {
        SALONES!$A:$A &amp; "|" &amp; SALONES!$B:$B,
        SALONES!$C:$C
      },
      2,
      FALSE
    ) &amp; " - " &amp; 'Teachers sched'!D229,
    'Teachers sched'!D229
  )
)
</f>
        <v/>
      </c>
      <c r="E229" s="390" t="str">
        <f t="array" ref="E229">IF('Teachers sched'!E229="", "", 
  IFERROR(
    VLOOKUP(
      'Teachers sched'!$A229 &amp; "|" &amp; 
      LEFT('Teachers sched'!E229, FIND("-", 'Teachers sched'!E229) - 1),
      {
        SALONES!$A:$A &amp; "|" &amp; SALONES!$B:$B,
        SALONES!$C:$C
      },
      2,
      FALSE
    ) &amp; " - " &amp; 'Teachers sched'!E229,
    'Teachers sched'!E229
  )
)
</f>
        <v/>
      </c>
      <c r="F229" s="390" t="str">
        <f t="array" ref="F229">IF('Teachers sched'!F229="", "", 
  IFERROR(
    VLOOKUP(
      'Teachers sched'!$A229 &amp; "|" &amp; 
      LEFT('Teachers sched'!F229, FIND("-", 'Teachers sched'!F229) - 1),
      {
        SALONES!$A:$A &amp; "|" &amp; SALONES!$B:$B,
        SALONES!$C:$C
      },
      2,
      FALSE
    ) &amp; " - " &amp; 'Teachers sched'!F229,
    'Teachers sched'!F229
  )
)
</f>
        <v>Maker - AP Computer Science A-1</v>
      </c>
      <c r="G229" s="390" t="str">
        <f t="array" ref="G229">IF('Teachers sched'!G229="", "", 
  IFERROR(
    VLOOKUP(
      'Teachers sched'!$A229 &amp; "|" &amp; 
      LEFT('Teachers sched'!G229, FIND("-", 'Teachers sched'!G229) - 1),
      {
        SALONES!$A:$A &amp; "|" &amp; SALONES!$B:$B,
        SALONES!$C:$C
      },
      2,
      FALSE
    ) &amp; " - " &amp; 'Teachers sched'!G229,
    'Teachers sched'!G229
  )
)
</f>
        <v/>
      </c>
      <c r="H229" s="390" t="str">
        <f t="array" ref="H229">IF('Teachers sched'!H229="", "", 
  IFERROR(
    VLOOKUP(
      'Teachers sched'!$A229 &amp; "|" &amp; 
      LEFT('Teachers sched'!H229, FIND("-", 'Teachers sched'!H229) - 1),
      {
        SALONES!$A:$A &amp; "|" &amp; SALONES!$B:$B,
        SALONES!$C:$C
      },
      2,
      FALSE
    ) &amp; " - " &amp; 'Teachers sched'!H229,
    'Teachers sched'!H229
  )
)
</f>
        <v/>
      </c>
      <c r="I229" s="53"/>
      <c r="J229" s="392"/>
      <c r="K229" s="389" t="s">
        <v>22</v>
      </c>
      <c r="L229" s="389" t="s">
        <v>22</v>
      </c>
      <c r="M229" s="100">
        <v>2.0</v>
      </c>
      <c r="N229" s="390" t="s">
        <v>22</v>
      </c>
      <c r="O229" s="390" t="s">
        <v>22</v>
      </c>
      <c r="P229" s="390" t="s">
        <v>22</v>
      </c>
      <c r="Q229" s="390" t="s">
        <v>22</v>
      </c>
      <c r="R229" s="390" t="s">
        <v>22</v>
      </c>
      <c r="S229" s="53"/>
      <c r="T229" s="393"/>
    </row>
    <row r="230">
      <c r="A230" s="389" t="s">
        <v>116</v>
      </c>
      <c r="B230" s="389"/>
      <c r="C230" s="100">
        <v>3.0</v>
      </c>
      <c r="D230" s="390" t="str">
        <f t="array" ref="D230">IF('Teachers sched'!D230="", "", 
  IFERROR(
    VLOOKUP(
      'Teachers sched'!$A230 &amp; "|" &amp; 
      LEFT('Teachers sched'!D230, FIND("-", 'Teachers sched'!D230) - 1),
      {
        SALONES!$A:$A &amp; "|" &amp; SALONES!$B:$B,
        SALONES!$C:$C
      },
      2,
      FALSE
    ) &amp; " - " &amp; 'Teachers sched'!D230,
    'Teachers sched'!D230
  )
)
</f>
        <v>Maker - AP Computer Science Principles-1</v>
      </c>
      <c r="E230" s="390" t="str">
        <f t="array" ref="E230">IF('Teachers sched'!E230="", "", 
  IFERROR(
    VLOOKUP(
      'Teachers sched'!$A230 &amp; "|" &amp; 
      LEFT('Teachers sched'!E230, FIND("-", 'Teachers sched'!E230) - 1),
      {
        SALONES!$A:$A &amp; "|" &amp; SALONES!$B:$B,
        SALONES!$C:$C
      },
      2,
      FALSE
    ) &amp; " - " &amp; 'Teachers sched'!E230,
    'Teachers sched'!E230
  )
)
</f>
        <v/>
      </c>
      <c r="F230" s="390" t="str">
        <f t="array" ref="F230">IF('Teachers sched'!F230="", "", 
  IFERROR(
    VLOOKUP(
      'Teachers sched'!$A230 &amp; "|" &amp; 
      LEFT('Teachers sched'!F230, FIND("-", 'Teachers sched'!F230) - 1),
      {
        SALONES!$A:$A &amp; "|" &amp; SALONES!$B:$B,
        SALONES!$C:$C
      },
      2,
      FALSE
    ) &amp; " - " &amp; 'Teachers sched'!F230,
    'Teachers sched'!F230
  )
)
</f>
        <v/>
      </c>
      <c r="G230" s="390" t="str">
        <f t="array" ref="G230">IF('Teachers sched'!G230="", "", 
  IFERROR(
    VLOOKUP(
      'Teachers sched'!$A230 &amp; "|" &amp; 
      LEFT('Teachers sched'!G230, FIND("-", 'Teachers sched'!G230) - 1),
      {
        SALONES!$A:$A &amp; "|" &amp; SALONES!$B:$B,
        SALONES!$C:$C
      },
      2,
      FALSE
    ) &amp; " - " &amp; 'Teachers sched'!G230,
    'Teachers sched'!G230
  )
)
</f>
        <v/>
      </c>
      <c r="H230" s="395" t="str">
        <f t="array" ref="H230">IF('Teachers sched'!H230="", "", 
  IFERROR(
    VLOOKUP(
      'Teachers sched'!$A230 &amp; "|" &amp; 
      LEFT('Teachers sched'!H230, FIND("-", 'Teachers sched'!H230) - 1),
      {
        SALONES!$A:$A &amp; "|" &amp; SALONES!$B:$B,
        SALONES!$C:$C
      },
      2,
      FALSE
    ) &amp; " - " &amp; 'Teachers sched'!H230,
    'Teachers sched'!H230
  )
)
</f>
        <v>X-Block</v>
      </c>
      <c r="I230" s="53"/>
      <c r="J230" s="392"/>
      <c r="K230" s="389" t="s">
        <v>22</v>
      </c>
      <c r="L230" s="389" t="s">
        <v>22</v>
      </c>
      <c r="M230" s="100">
        <v>3.0</v>
      </c>
      <c r="N230" s="390" t="s">
        <v>22</v>
      </c>
      <c r="O230" s="390" t="s">
        <v>22</v>
      </c>
      <c r="P230" s="390" t="s">
        <v>22</v>
      </c>
      <c r="Q230" s="390" t="s">
        <v>22</v>
      </c>
      <c r="R230" s="395" t="s">
        <v>22</v>
      </c>
      <c r="S230" s="53"/>
      <c r="T230" s="393"/>
    </row>
    <row r="231">
      <c r="A231" s="389" t="s">
        <v>116</v>
      </c>
      <c r="B231" s="389"/>
      <c r="C231" s="100">
        <v>4.0</v>
      </c>
      <c r="D231" s="390" t="str">
        <f t="array" ref="D231">IF('Teachers sched'!D231="", "", 
  IFERROR(
    VLOOKUP(
      'Teachers sched'!$A231 &amp; "|" &amp; 
      LEFT('Teachers sched'!D231, FIND("-", 'Teachers sched'!D231) - 1),
      {
        SALONES!$A:$A &amp; "|" &amp; SALONES!$B:$B,
        SALONES!$C:$C
      },
      2,
      FALSE
    ) &amp; " - " &amp; 'Teachers sched'!D231,
    'Teachers sched'!D231
  )
)
</f>
        <v>Maker - AP Computer Science A-1</v>
      </c>
      <c r="E231" s="390" t="str">
        <f t="array" ref="E231">IF('Teachers sched'!E231="", "", 
  IFERROR(
    VLOOKUP(
      'Teachers sched'!$A231 &amp; "|" &amp; 
      LEFT('Teachers sched'!E231, FIND("-", 'Teachers sched'!E231) - 1),
      {
        SALONES!$A:$A &amp; "|" &amp; SALONES!$B:$B,
        SALONES!$C:$C
      },
      2,
      FALSE
    ) &amp; " - " &amp; 'Teachers sched'!E231,
    'Teachers sched'!E231
  )
)
</f>
        <v/>
      </c>
      <c r="F231" s="390" t="str">
        <f t="array" ref="F231">IF('Teachers sched'!F231="", "", 
  IFERROR(
    VLOOKUP(
      'Teachers sched'!$A231 &amp; "|" &amp; 
      LEFT('Teachers sched'!F231, FIND("-", 'Teachers sched'!F231) - 1),
      {
        SALONES!$A:$A &amp; "|" &amp; SALONES!$B:$B,
        SALONES!$C:$C
      },
      2,
      FALSE
    ) &amp; " - " &amp; 'Teachers sched'!F231,
    'Teachers sched'!F231
  )
)
</f>
        <v/>
      </c>
      <c r="G231" s="390" t="str">
        <f t="array" ref="G231">IF('Teachers sched'!G231="", "", 
  IFERROR(
    VLOOKUP(
      'Teachers sched'!$A231 &amp; "|" &amp; 
      LEFT('Teachers sched'!G231, FIND("-", 'Teachers sched'!G231) - 1),
      {
        SALONES!$A:$A &amp; "|" &amp; SALONES!$B:$B,
        SALONES!$C:$C
      },
      2,
      FALSE
    ) &amp; " - " &amp; 'Teachers sched'!G231,
    'Teachers sched'!G231
  )
)
</f>
        <v>Maker - AP Computer Science Principles-1</v>
      </c>
      <c r="H231" s="390" t="str">
        <f t="array" ref="H231">IF('Teachers sched'!H231="", "", 
  IFERROR(
    VLOOKUP(
      'Teachers sched'!$A231 &amp; "|" &amp; 
      LEFT('Teachers sched'!H231, FIND("-", 'Teachers sched'!H231) - 1),
      {
        SALONES!$A:$A &amp; "|" &amp; SALONES!$B:$B,
        SALONES!$C:$C
      },
      2,
      FALSE
    ) &amp; " - " &amp; 'Teachers sched'!H231,
    'Teachers sched'!H231
  )
)
</f>
        <v/>
      </c>
      <c r="I231" s="53"/>
      <c r="J231" s="392"/>
      <c r="K231" s="389" t="s">
        <v>22</v>
      </c>
      <c r="L231" s="389" t="s">
        <v>22</v>
      </c>
      <c r="M231" s="100">
        <v>4.0</v>
      </c>
      <c r="N231" s="390" t="s">
        <v>22</v>
      </c>
      <c r="O231" s="390" t="s">
        <v>22</v>
      </c>
      <c r="P231" s="390" t="s">
        <v>22</v>
      </c>
      <c r="Q231" s="390" t="s">
        <v>22</v>
      </c>
      <c r="R231" s="390" t="s">
        <v>22</v>
      </c>
      <c r="S231" s="53"/>
      <c r="T231" s="393"/>
    </row>
    <row r="232">
      <c r="A232" s="389" t="s">
        <v>116</v>
      </c>
      <c r="B232" s="389"/>
      <c r="C232" s="100">
        <v>5.0</v>
      </c>
      <c r="D232" s="390" t="str">
        <f t="array" ref="D232">IF('Teachers sched'!D232="", "", 
  IFERROR(
    VLOOKUP(
      'Teachers sched'!$A232 &amp; "|" &amp; 
      LEFT('Teachers sched'!D232, FIND("-", 'Teachers sched'!D232) - 1),
      {
        SALONES!$A:$A &amp; "|" &amp; SALONES!$B:$B,
        SALONES!$C:$C
      },
      2,
      FALSE
    ) &amp; " - " &amp; 'Teachers sched'!D232,
    'Teachers sched'!D232
  )
)
</f>
        <v/>
      </c>
      <c r="E232" s="390" t="str">
        <f t="array" ref="E232">IF('Teachers sched'!E232="", "", 
  IFERROR(
    VLOOKUP(
      'Teachers sched'!$A232 &amp; "|" &amp; 
      LEFT('Teachers sched'!E232, FIND("-", 'Teachers sched'!E232) - 1),
      {
        SALONES!$A:$A &amp; "|" &amp; SALONES!$B:$B,
        SALONES!$C:$C
      },
      2,
      FALSE
    ) &amp; " - " &amp; 'Teachers sched'!E232,
    'Teachers sched'!E232
  )
)
</f>
        <v/>
      </c>
      <c r="F232" s="390" t="str">
        <f t="array" ref="F232">IF('Teachers sched'!F232="", "", 
  IFERROR(
    VLOOKUP(
      'Teachers sched'!$A232 &amp; "|" &amp; 
      LEFT('Teachers sched'!F232, FIND("-", 'Teachers sched'!F232) - 1),
      {
        SALONES!$A:$A &amp; "|" &amp; SALONES!$B:$B,
        SALONES!$C:$C
      },
      2,
      FALSE
    ) &amp; " - " &amp; 'Teachers sched'!F232,
    'Teachers sched'!F232
  )
)
</f>
        <v/>
      </c>
      <c r="G232" s="390" t="str">
        <f t="array" ref="G232">IF('Teachers sched'!G232="", "", 
  IFERROR(
    VLOOKUP(
      'Teachers sched'!$A232 &amp; "|" &amp; 
      LEFT('Teachers sched'!G232, FIND("-", 'Teachers sched'!G232) - 1),
      {
        SALONES!$A:$A &amp; "|" &amp; SALONES!$B:$B,
        SALONES!$C:$C
      },
      2,
      FALSE
    ) &amp; " - " &amp; 'Teachers sched'!G232,
    'Teachers sched'!G232
  )
)
</f>
        <v>Maker - AP Computer Science A-1</v>
      </c>
      <c r="H232" s="390" t="str">
        <f t="array" ref="H232">IF('Teachers sched'!H232="", "", 
  IFERROR(
    VLOOKUP(
      'Teachers sched'!$A232 &amp; "|" &amp; 
      LEFT('Teachers sched'!H232, FIND("-", 'Teachers sched'!H232) - 1),
      {
        SALONES!$A:$A &amp; "|" &amp; SALONES!$B:$B,
        SALONES!$C:$C
      },
      2,
      FALSE
    ) &amp; " - " &amp; 'Teachers sched'!H232,
    'Teachers sched'!H232
  )
)
</f>
        <v/>
      </c>
      <c r="I232" s="68"/>
      <c r="J232" s="392"/>
      <c r="K232" s="389" t="s">
        <v>22</v>
      </c>
      <c r="L232" s="389" t="s">
        <v>22</v>
      </c>
      <c r="M232" s="100">
        <v>5.0</v>
      </c>
      <c r="N232" s="390" t="s">
        <v>22</v>
      </c>
      <c r="O232" s="390" t="s">
        <v>22</v>
      </c>
      <c r="P232" s="390" t="s">
        <v>22</v>
      </c>
      <c r="Q232" s="390" t="s">
        <v>22</v>
      </c>
      <c r="R232" s="390" t="s">
        <v>22</v>
      </c>
      <c r="S232" s="68"/>
      <c r="T232" s="393"/>
    </row>
    <row r="233">
      <c r="C233" s="3"/>
      <c r="D233" s="396"/>
      <c r="E233" s="396"/>
      <c r="F233" s="396"/>
      <c r="G233" s="396"/>
      <c r="H233" s="396"/>
      <c r="N233" s="397"/>
      <c r="O233" s="397"/>
      <c r="P233" s="397"/>
      <c r="Q233" s="397"/>
      <c r="R233" s="397"/>
    </row>
    <row r="234">
      <c r="A234" s="45"/>
      <c r="B234" s="45"/>
      <c r="C234" s="386" t="s">
        <v>112</v>
      </c>
      <c r="D234" s="383"/>
      <c r="E234" s="383"/>
      <c r="F234" s="383"/>
      <c r="G234" s="383"/>
      <c r="H234" s="384"/>
      <c r="I234" s="385" t="str">
        <f>IFERROR(__xludf.DUMMYFUNCTION("if(C234="""","""", iferror(filter(Schedule!$K:$K,Schedule!$L:$L=$C234,Schedule!$K:$K=""S1""),unique(filter(Schedule!$K:$K,Schedule!$L:$L=$C234,Schedule!$K:$K=""""))))"),"")</f>
        <v/>
      </c>
      <c r="M234" s="386" t="s">
        <v>22</v>
      </c>
      <c r="N234" s="383"/>
      <c r="O234" s="383"/>
      <c r="P234" s="383"/>
      <c r="Q234" s="383"/>
      <c r="R234" s="384"/>
      <c r="S234" s="385" t="s">
        <v>22</v>
      </c>
      <c r="T234" s="112"/>
    </row>
    <row r="235">
      <c r="A235" s="116"/>
      <c r="B235" s="116"/>
      <c r="C235" s="100" t="s">
        <v>7</v>
      </c>
      <c r="D235" s="387" t="s">
        <v>8</v>
      </c>
      <c r="E235" s="387" t="s">
        <v>9</v>
      </c>
      <c r="F235" s="387" t="s">
        <v>10</v>
      </c>
      <c r="G235" s="387" t="s">
        <v>11</v>
      </c>
      <c r="H235" s="387" t="s">
        <v>12</v>
      </c>
      <c r="I235" s="21" t="s">
        <v>766</v>
      </c>
      <c r="J235" s="116"/>
      <c r="K235" s="116"/>
      <c r="L235" s="116"/>
      <c r="M235" s="100" t="s">
        <v>7</v>
      </c>
      <c r="N235" s="387" t="s">
        <v>8</v>
      </c>
      <c r="O235" s="387" t="s">
        <v>9</v>
      </c>
      <c r="P235" s="387" t="s">
        <v>10</v>
      </c>
      <c r="Q235" s="387" t="s">
        <v>11</v>
      </c>
      <c r="R235" s="387" t="s">
        <v>12</v>
      </c>
      <c r="S235" s="21" t="s">
        <v>766</v>
      </c>
      <c r="T235" s="388"/>
    </row>
    <row r="236">
      <c r="A236" s="389" t="s">
        <v>112</v>
      </c>
      <c r="B236" s="389"/>
      <c r="C236" s="100">
        <v>1.0</v>
      </c>
      <c r="D236" s="390" t="str">
        <f t="array" ref="D236">IF('Teachers sched'!D236="", "", 
  IFERROR(
    VLOOKUP(
      'Teachers sched'!$A236 &amp; "|" &amp; 
      LEFT('Teachers sched'!D236, FIND("-", 'Teachers sched'!D236) - 1),
      {
        SALONES!$A:$A &amp; "|" &amp; SALONES!$B:$B,
        SALONES!$C:$C
      },
      2,
      FALSE
    ) &amp; " - " &amp; 'Teachers sched'!D236,
    'Teachers sched'!D236
  )
)
</f>
        <v>928 - Sociales 10-1</v>
      </c>
      <c r="E236" s="390" t="str">
        <f t="array" ref="E236">IF('Teachers sched'!E236="", "", 
  IFERROR(
    VLOOKUP(
      'Teachers sched'!$A236 &amp; "|" &amp; 
      LEFT('Teachers sched'!E236, FIND("-", 'Teachers sched'!E236) - 1),
      {
        SALONES!$A:$A &amp; "|" &amp; SALONES!$B:$B,
        SALONES!$C:$C
      },
      2,
      FALSE
    ) &amp; " - " &amp; 'Teachers sched'!E236,
    'Teachers sched'!E236
  )
)
</f>
        <v/>
      </c>
      <c r="F236" s="390" t="str">
        <f t="array" ref="F236">IF('Teachers sched'!F236="", "", 
  IFERROR(
    VLOOKUP(
      'Teachers sched'!$A236 &amp; "|" &amp; 
      LEFT('Teachers sched'!F236, FIND("-", 'Teachers sched'!F236) - 1),
      {
        SALONES!$A:$A &amp; "|" &amp; SALONES!$B:$B,
        SALONES!$C:$C
      },
      2,
      FALSE
    ) &amp; " - " &amp; 'Teachers sched'!F236,
    'Teachers sched'!F236
  )
)
</f>
        <v/>
      </c>
      <c r="G236" s="390" t="str">
        <f t="array" ref="G236">IF('Teachers sched'!G236="", "", 
  IFERROR(
    VLOOKUP(
      'Teachers sched'!$A236 &amp; "|" &amp; 
      LEFT('Teachers sched'!G236, FIND("-", 'Teachers sched'!G236) - 1),
      {
        SALONES!$A:$A &amp; "|" &amp; SALONES!$B:$B,
        SALONES!$C:$C
      },
      2,
      FALSE
    ) &amp; " - " &amp; 'Teachers sched'!G236,
    'Teachers sched'!G236
  )
)
</f>
        <v>928 - Sociales 10-5</v>
      </c>
      <c r="H236" s="390" t="str">
        <f t="array" ref="H236">IF('Teachers sched'!H236="", "", 
  IFERROR(
    VLOOKUP(
      'Teachers sched'!$A236 &amp; "|" &amp; 
      LEFT('Teachers sched'!H236, FIND("-", 'Teachers sched'!H236) - 1),
      {
        SALONES!$A:$A &amp; "|" &amp; SALONES!$B:$B,
        SALONES!$C:$C
      },
      2,
      FALSE
    ) &amp; " - " &amp; 'Teachers sched'!H236,
    'Teachers sched'!H236
  )
)
</f>
        <v>928 - Sociales 10-3</v>
      </c>
      <c r="I236" s="391">
        <f>if(C234="","", 24-countifs(D236:H240,""))</f>
        <v>15</v>
      </c>
      <c r="J236" s="392"/>
      <c r="K236" s="389" t="s">
        <v>22</v>
      </c>
      <c r="L236" s="389" t="s">
        <v>22</v>
      </c>
      <c r="M236" s="100">
        <v>1.0</v>
      </c>
      <c r="N236" s="390" t="s">
        <v>22</v>
      </c>
      <c r="O236" s="390" t="s">
        <v>22</v>
      </c>
      <c r="P236" s="390" t="s">
        <v>22</v>
      </c>
      <c r="Q236" s="390" t="s">
        <v>22</v>
      </c>
      <c r="R236" s="390" t="s">
        <v>22</v>
      </c>
      <c r="S236" s="391" t="s">
        <v>22</v>
      </c>
      <c r="T236" s="393"/>
    </row>
    <row r="237">
      <c r="A237" s="389" t="s">
        <v>112</v>
      </c>
      <c r="B237" s="389"/>
      <c r="C237" s="100">
        <v>2.0</v>
      </c>
      <c r="D237" s="390" t="str">
        <f t="array" ref="D237">IF('Teachers sched'!D237="", "", 
  IFERROR(
    VLOOKUP(
      'Teachers sched'!$A237 &amp; "|" &amp; 
      LEFT('Teachers sched'!D237, FIND("-", 'Teachers sched'!D237) - 1),
      {
        SALONES!$A:$A &amp; "|" &amp; SALONES!$B:$B,
        SALONES!$C:$C
      },
      2,
      FALSE
    ) &amp; " - " &amp; 'Teachers sched'!D237,
    'Teachers sched'!D237
  )
)
</f>
        <v/>
      </c>
      <c r="E237" s="390" t="str">
        <f t="array" ref="E237">IF('Teachers sched'!E237="", "", 
  IFERROR(
    VLOOKUP(
      'Teachers sched'!$A237 &amp; "|" &amp; 
      LEFT('Teachers sched'!E237, FIND("-", 'Teachers sched'!E237) - 1),
      {
        SALONES!$A:$A &amp; "|" &amp; SALONES!$B:$B,
        SALONES!$C:$C
      },
      2,
      FALSE
    ) &amp; " - " &amp; 'Teachers sched'!E237,
    'Teachers sched'!E237
  )
)
</f>
        <v>928 - Sociales 10-4</v>
      </c>
      <c r="F237" s="390" t="str">
        <f t="array" ref="F237">IF('Teachers sched'!F237="", "", 
  IFERROR(
    VLOOKUP(
      'Teachers sched'!$A237 &amp; "|" &amp; 
      LEFT('Teachers sched'!F237, FIND("-", 'Teachers sched'!F237) - 1),
      {
        SALONES!$A:$A &amp; "|" &amp; SALONES!$B:$B,
        SALONES!$C:$C
      },
      2,
      FALSE
    ) &amp; " - " &amp; 'Teachers sched'!F237,
    'Teachers sched'!F237
  )
)
</f>
        <v>928 - Sociales 10-2</v>
      </c>
      <c r="G237" s="390" t="str">
        <f t="array" ref="G237">IF('Teachers sched'!G237="", "", 
  IFERROR(
    VLOOKUP(
      'Teachers sched'!$A237 &amp; "|" &amp; 
      LEFT('Teachers sched'!G237, FIND("-", 'Teachers sched'!G237) - 1),
      {
        SALONES!$A:$A &amp; "|" &amp; SALONES!$B:$B,
        SALONES!$C:$C
      },
      2,
      FALSE
    ) &amp; " - " &amp; 'Teachers sched'!G237,
    'Teachers sched'!G237
  )
)
</f>
        <v>928 - Sociales 10-1</v>
      </c>
      <c r="H237" s="390" t="str">
        <f t="array" ref="H237">IF('Teachers sched'!H237="", "", 
  IFERROR(
    VLOOKUP(
      'Teachers sched'!$A237 &amp; "|" &amp; 
      LEFT('Teachers sched'!H237, FIND("-", 'Teachers sched'!H237) - 1),
      {
        SALONES!$A:$A &amp; "|" &amp; SALONES!$B:$B,
        SALONES!$C:$C
      },
      2,
      FALSE
    ) &amp; " - " &amp; 'Teachers sched'!H237,
    'Teachers sched'!H237
  )
)
</f>
        <v/>
      </c>
      <c r="I237" s="53"/>
      <c r="J237" s="392"/>
      <c r="K237" s="389" t="s">
        <v>22</v>
      </c>
      <c r="L237" s="389" t="s">
        <v>22</v>
      </c>
      <c r="M237" s="100">
        <v>2.0</v>
      </c>
      <c r="N237" s="390" t="s">
        <v>22</v>
      </c>
      <c r="O237" s="390" t="s">
        <v>22</v>
      </c>
      <c r="P237" s="390" t="s">
        <v>22</v>
      </c>
      <c r="Q237" s="390" t="s">
        <v>22</v>
      </c>
      <c r="R237" s="390" t="s">
        <v>22</v>
      </c>
      <c r="S237" s="53"/>
      <c r="T237" s="393"/>
    </row>
    <row r="238">
      <c r="A238" s="389" t="s">
        <v>112</v>
      </c>
      <c r="B238" s="389"/>
      <c r="C238" s="100">
        <v>3.0</v>
      </c>
      <c r="D238" s="390" t="str">
        <f t="array" ref="D238">IF('Teachers sched'!D238="", "", 
  IFERROR(
    VLOOKUP(
      'Teachers sched'!$A238 &amp; "|" &amp; 
      LEFT('Teachers sched'!D238, FIND("-", 'Teachers sched'!D238) - 1),
      {
        SALONES!$A:$A &amp; "|" &amp; SALONES!$B:$B,
        SALONES!$C:$C
      },
      2,
      FALSE
    ) &amp; " - " &amp; 'Teachers sched'!D238,
    'Teachers sched'!D238
  )
)
</f>
        <v/>
      </c>
      <c r="E238" s="390" t="str">
        <f t="array" ref="E238">IF('Teachers sched'!E238="", "", 
  IFERROR(
    VLOOKUP(
      'Teachers sched'!$A238 &amp; "|" &amp; 
      LEFT('Teachers sched'!E238, FIND("-", 'Teachers sched'!E238) - 1),
      {
        SALONES!$A:$A &amp; "|" &amp; SALONES!$B:$B,
        SALONES!$C:$C
      },
      2,
      FALSE
    ) &amp; " - " &amp; 'Teachers sched'!E238,
    'Teachers sched'!E238
  )
)
</f>
        <v>928 - Sociales 10-5</v>
      </c>
      <c r="F238" s="390" t="str">
        <f t="array" ref="F238">IF('Teachers sched'!F238="", "", 
  IFERROR(
    VLOOKUP(
      'Teachers sched'!$A238 &amp; "|" &amp; 
      LEFT('Teachers sched'!F238, FIND("-", 'Teachers sched'!F238) - 1),
      {
        SALONES!$A:$A &amp; "|" &amp; SALONES!$B:$B,
        SALONES!$C:$C
      },
      2,
      FALSE
    ) &amp; " - " &amp; 'Teachers sched'!F238,
    'Teachers sched'!F238
  )
)
</f>
        <v>928 - Sociales 10-3</v>
      </c>
      <c r="G238" s="390" t="str">
        <f t="array" ref="G238">IF('Teachers sched'!G238="", "", 
  IFERROR(
    VLOOKUP(
      'Teachers sched'!$A238 &amp; "|" &amp; 
      LEFT('Teachers sched'!G238, FIND("-", 'Teachers sched'!G238) - 1),
      {
        SALONES!$A:$A &amp; "|" &amp; SALONES!$B:$B,
        SALONES!$C:$C
      },
      2,
      FALSE
    ) &amp; " - " &amp; 'Teachers sched'!G238,
    'Teachers sched'!G238
  )
)
</f>
        <v/>
      </c>
      <c r="H238" s="395" t="str">
        <f t="array" ref="H238">IF('Teachers sched'!H238="", "", 
  IFERROR(
    VLOOKUP(
      'Teachers sched'!$A238 &amp; "|" &amp; 
      LEFT('Teachers sched'!H238, FIND("-", 'Teachers sched'!H238) - 1),
      {
        SALONES!$A:$A &amp; "|" &amp; SALONES!$B:$B,
        SALONES!$C:$C
      },
      2,
      FALSE
    ) &amp; " - " &amp; 'Teachers sched'!H238,
    'Teachers sched'!H238
  )
)
</f>
        <v>X-Block</v>
      </c>
      <c r="I238" s="53"/>
      <c r="J238" s="392"/>
      <c r="K238" s="389" t="s">
        <v>22</v>
      </c>
      <c r="L238" s="389" t="s">
        <v>22</v>
      </c>
      <c r="M238" s="100">
        <v>3.0</v>
      </c>
      <c r="N238" s="390" t="s">
        <v>22</v>
      </c>
      <c r="O238" s="390" t="s">
        <v>22</v>
      </c>
      <c r="P238" s="390" t="s">
        <v>22</v>
      </c>
      <c r="Q238" s="390" t="s">
        <v>22</v>
      </c>
      <c r="R238" s="395" t="s">
        <v>22</v>
      </c>
      <c r="S238" s="53"/>
      <c r="T238" s="393"/>
    </row>
    <row r="239">
      <c r="A239" s="389" t="s">
        <v>112</v>
      </c>
      <c r="B239" s="389"/>
      <c r="C239" s="100">
        <v>4.0</v>
      </c>
      <c r="D239" s="390" t="str">
        <f t="array" ref="D239">IF('Teachers sched'!D239="", "", 
  IFERROR(
    VLOOKUP(
      'Teachers sched'!$A239 &amp; "|" &amp; 
      LEFT('Teachers sched'!D239, FIND("-", 'Teachers sched'!D239) - 1),
      {
        SALONES!$A:$A &amp; "|" &amp; SALONES!$B:$B,
        SALONES!$C:$C
      },
      2,
      FALSE
    ) &amp; " - " &amp; 'Teachers sched'!D239,
    'Teachers sched'!D239
  )
)
</f>
        <v>928 - Sociales 10-2</v>
      </c>
      <c r="E239" s="390" t="str">
        <f t="array" ref="E239">IF('Teachers sched'!E239="", "", 
  IFERROR(
    VLOOKUP(
      'Teachers sched'!$A239 &amp; "|" &amp; 
      LEFT('Teachers sched'!E239, FIND("-", 'Teachers sched'!E239) - 1),
      {
        SALONES!$A:$A &amp; "|" &amp; SALONES!$B:$B,
        SALONES!$C:$C
      },
      2,
      FALSE
    ) &amp; " - " &amp; 'Teachers sched'!E239,
    'Teachers sched'!E239
  )
)
</f>
        <v>928 - Sociales 10-1</v>
      </c>
      <c r="F239" s="390" t="str">
        <f t="array" ref="F239">IF('Teachers sched'!F239="", "", 
  IFERROR(
    VLOOKUP(
      'Teachers sched'!$A239 &amp; "|" &amp; 
      LEFT('Teachers sched'!F239, FIND("-", 'Teachers sched'!F239) - 1),
      {
        SALONES!$A:$A &amp; "|" &amp; SALONES!$B:$B,
        SALONES!$C:$C
      },
      2,
      FALSE
    ) &amp; " - " &amp; 'Teachers sched'!F239,
    'Teachers sched'!F239
  )
)
</f>
        <v/>
      </c>
      <c r="G239" s="390" t="str">
        <f t="array" ref="G239">IF('Teachers sched'!G239="", "", 
  IFERROR(
    VLOOKUP(
      'Teachers sched'!$A239 &amp; "|" &amp; 
      LEFT('Teachers sched'!G239, FIND("-", 'Teachers sched'!G239) - 1),
      {
        SALONES!$A:$A &amp; "|" &amp; SALONES!$B:$B,
        SALONES!$C:$C
      },
      2,
      FALSE
    ) &amp; " - " &amp; 'Teachers sched'!G239,
    'Teachers sched'!G239
  )
)
</f>
        <v/>
      </c>
      <c r="H239" s="390" t="str">
        <f t="array" ref="H239">IF('Teachers sched'!H239="", "", 
  IFERROR(
    VLOOKUP(
      'Teachers sched'!$A239 &amp; "|" &amp; 
      LEFT('Teachers sched'!H239, FIND("-", 'Teachers sched'!H239) - 1),
      {
        SALONES!$A:$A &amp; "|" &amp; SALONES!$B:$B,
        SALONES!$C:$C
      },
      2,
      FALSE
    ) &amp; " - " &amp; 'Teachers sched'!H239,
    'Teachers sched'!H239
  )
)
</f>
        <v>928 - Sociales 10-4</v>
      </c>
      <c r="I239" s="53"/>
      <c r="J239" s="392"/>
      <c r="K239" s="389" t="s">
        <v>22</v>
      </c>
      <c r="L239" s="389" t="s">
        <v>22</v>
      </c>
      <c r="M239" s="100">
        <v>4.0</v>
      </c>
      <c r="N239" s="390" t="s">
        <v>22</v>
      </c>
      <c r="O239" s="390" t="s">
        <v>22</v>
      </c>
      <c r="P239" s="390" t="s">
        <v>22</v>
      </c>
      <c r="Q239" s="390" t="s">
        <v>22</v>
      </c>
      <c r="R239" s="390" t="s">
        <v>22</v>
      </c>
      <c r="S239" s="53"/>
      <c r="T239" s="393"/>
    </row>
    <row r="240">
      <c r="A240" s="389" t="s">
        <v>112</v>
      </c>
      <c r="B240" s="389"/>
      <c r="C240" s="100">
        <v>5.0</v>
      </c>
      <c r="D240" s="390" t="str">
        <f t="array" ref="D240">IF('Teachers sched'!D240="", "", 
  IFERROR(
    VLOOKUP(
      'Teachers sched'!$A240 &amp; "|" &amp; 
      LEFT('Teachers sched'!D240, FIND("-", 'Teachers sched'!D240) - 1),
      {
        SALONES!$A:$A &amp; "|" &amp; SALONES!$B:$B,
        SALONES!$C:$C
      },
      2,
      FALSE
    ) &amp; " - " &amp; 'Teachers sched'!D240,
    'Teachers sched'!D240
  )
)
</f>
        <v>928 - Sociales 10-3</v>
      </c>
      <c r="E240" s="390" t="str">
        <f t="array" ref="E240">IF('Teachers sched'!E240="", "", 
  IFERROR(
    VLOOKUP(
      'Teachers sched'!$A240 &amp; "|" &amp; 
      LEFT('Teachers sched'!E240, FIND("-", 'Teachers sched'!E240) - 1),
      {
        SALONES!$A:$A &amp; "|" &amp; SALONES!$B:$B,
        SALONES!$C:$C
      },
      2,
      FALSE
    ) &amp; " - " &amp; 'Teachers sched'!E240,
    'Teachers sched'!E240
  )
)
</f>
        <v/>
      </c>
      <c r="F240" s="390" t="str">
        <f t="array" ref="F240">IF('Teachers sched'!F240="", "", 
  IFERROR(
    VLOOKUP(
      'Teachers sched'!$A240 &amp; "|" &amp; 
      LEFT('Teachers sched'!F240, FIND("-", 'Teachers sched'!F240) - 1),
      {
        SALONES!$A:$A &amp; "|" &amp; SALONES!$B:$B,
        SALONES!$C:$C
      },
      2,
      FALSE
    ) &amp; " - " &amp; 'Teachers sched'!F240,
    'Teachers sched'!F240
  )
)
</f>
        <v>928 - Sociales 10-4</v>
      </c>
      <c r="G240" s="390" t="str">
        <f t="array" ref="G240">IF('Teachers sched'!G240="", "", 
  IFERROR(
    VLOOKUP(
      'Teachers sched'!$A240 &amp; "|" &amp; 
      LEFT('Teachers sched'!G240, FIND("-", 'Teachers sched'!G240) - 1),
      {
        SALONES!$A:$A &amp; "|" &amp; SALONES!$B:$B,
        SALONES!$C:$C
      },
      2,
      FALSE
    ) &amp; " - " &amp; 'Teachers sched'!G240,
    'Teachers sched'!G240
  )
)
</f>
        <v>928 - Sociales 10-2</v>
      </c>
      <c r="H240" s="390" t="str">
        <f t="array" ref="H240">IF('Teachers sched'!H240="", "", 
  IFERROR(
    VLOOKUP(
      'Teachers sched'!$A240 &amp; "|" &amp; 
      LEFT('Teachers sched'!H240, FIND("-", 'Teachers sched'!H240) - 1),
      {
        SALONES!$A:$A &amp; "|" &amp; SALONES!$B:$B,
        SALONES!$C:$C
      },
      2,
      FALSE
    ) &amp; " - " &amp; 'Teachers sched'!H240,
    'Teachers sched'!H240
  )
)
</f>
        <v>928 - Sociales 10-5</v>
      </c>
      <c r="I240" s="68"/>
      <c r="J240" s="392"/>
      <c r="K240" s="389" t="s">
        <v>22</v>
      </c>
      <c r="L240" s="389" t="s">
        <v>22</v>
      </c>
      <c r="M240" s="100">
        <v>5.0</v>
      </c>
      <c r="N240" s="390" t="s">
        <v>22</v>
      </c>
      <c r="O240" s="390" t="s">
        <v>22</v>
      </c>
      <c r="P240" s="390" t="s">
        <v>22</v>
      </c>
      <c r="Q240" s="390" t="s">
        <v>22</v>
      </c>
      <c r="R240" s="390" t="s">
        <v>22</v>
      </c>
      <c r="S240" s="68"/>
      <c r="T240" s="393"/>
    </row>
    <row r="241">
      <c r="C241" s="3"/>
      <c r="D241" s="396"/>
      <c r="E241" s="396"/>
      <c r="F241" s="396"/>
      <c r="G241" s="396"/>
      <c r="H241" s="396"/>
      <c r="N241" s="397"/>
      <c r="O241" s="397"/>
      <c r="P241" s="397"/>
      <c r="Q241" s="397"/>
      <c r="R241" s="397"/>
    </row>
    <row r="242">
      <c r="A242" s="45"/>
      <c r="B242" s="45"/>
      <c r="C242" s="386" t="s">
        <v>77</v>
      </c>
      <c r="D242" s="383"/>
      <c r="E242" s="383"/>
      <c r="F242" s="383"/>
      <c r="G242" s="383"/>
      <c r="H242" s="384"/>
      <c r="I242" s="385" t="str">
        <f>IFERROR(__xludf.DUMMYFUNCTION("if(C242="""","""", iferror(filter(Schedule!$K:$K,Schedule!$L:$L=$C242,Schedule!$K:$K=""S1""),unique(filter(Schedule!$K:$K,Schedule!$L:$L=$C242,Schedule!$K:$K=""""))))"),"")</f>
        <v/>
      </c>
      <c r="M242" s="386" t="s">
        <v>22</v>
      </c>
      <c r="N242" s="383"/>
      <c r="O242" s="383"/>
      <c r="P242" s="383"/>
      <c r="Q242" s="383"/>
      <c r="R242" s="384"/>
      <c r="S242" s="385" t="s">
        <v>22</v>
      </c>
      <c r="T242" s="112"/>
    </row>
    <row r="243">
      <c r="A243" s="116"/>
      <c r="B243" s="116"/>
      <c r="C243" s="100" t="s">
        <v>7</v>
      </c>
      <c r="D243" s="387" t="s">
        <v>8</v>
      </c>
      <c r="E243" s="387" t="s">
        <v>9</v>
      </c>
      <c r="F243" s="387" t="s">
        <v>10</v>
      </c>
      <c r="G243" s="387" t="s">
        <v>11</v>
      </c>
      <c r="H243" s="387" t="s">
        <v>12</v>
      </c>
      <c r="I243" s="21" t="s">
        <v>766</v>
      </c>
      <c r="J243" s="116"/>
      <c r="K243" s="116"/>
      <c r="L243" s="116"/>
      <c r="M243" s="100" t="s">
        <v>7</v>
      </c>
      <c r="N243" s="387" t="s">
        <v>8</v>
      </c>
      <c r="O243" s="387" t="s">
        <v>9</v>
      </c>
      <c r="P243" s="387" t="s">
        <v>10</v>
      </c>
      <c r="Q243" s="387" t="s">
        <v>11</v>
      </c>
      <c r="R243" s="387" t="s">
        <v>12</v>
      </c>
      <c r="S243" s="21" t="s">
        <v>766</v>
      </c>
      <c r="T243" s="388"/>
    </row>
    <row r="244">
      <c r="A244" s="389" t="s">
        <v>77</v>
      </c>
      <c r="B244" s="389"/>
      <c r="C244" s="100">
        <v>1.0</v>
      </c>
      <c r="D244" s="390" t="str">
        <f t="array" ref="D244">IF('Teachers sched'!D244="", "", 
  IFERROR(
    VLOOKUP(
      'Teachers sched'!$A244 &amp; "|" &amp; 
      LEFT('Teachers sched'!D244, FIND("-", 'Teachers sched'!D244) - 1),
      {
        SALONES!$A:$A &amp; "|" &amp; SALONES!$B:$B,
        SALONES!$C:$C
      },
      2,
      FALSE
    ) &amp; " - " &amp; 'Teachers sched'!D244,
    'Teachers sched'!D244
  )
)
</f>
        <v/>
      </c>
      <c r="E244" s="390" t="str">
        <f t="array" ref="E244">IF('Teachers sched'!E244="", "", 
  IFERROR(
    VLOOKUP(
      'Teachers sched'!$A244 &amp; "|" &amp; 
      LEFT('Teachers sched'!E244, FIND("-", 'Teachers sched'!E244) - 1),
      {
        SALONES!$A:$A &amp; "|" &amp; SALONES!$B:$B,
        SALONES!$C:$C
      },
      2,
      FALSE
    ) &amp; " - " &amp; 'Teachers sched'!E244,
    'Teachers sched'!E244
  )
)
</f>
        <v>924 - Geometry-4</v>
      </c>
      <c r="F244" s="390" t="str">
        <f t="array" ref="F244">IF('Teachers sched'!F244="", "", 
  IFERROR(
    VLOOKUP(
      'Teachers sched'!$A244 &amp; "|" &amp; 
      LEFT('Teachers sched'!F244, FIND("-", 'Teachers sched'!F244) - 1),
      {
        SALONES!$A:$A &amp; "|" &amp; SALONES!$B:$B,
        SALONES!$C:$C
      },
      2,
      FALSE
    ) &amp; " - " &amp; 'Teachers sched'!F244,
    'Teachers sched'!F244
  )
)
</f>
        <v>924 - Geometry-2</v>
      </c>
      <c r="G244" s="390" t="str">
        <f t="array" ref="G244">IF('Teachers sched'!G244="", "", 
  IFERROR(
    VLOOKUP(
      'Teachers sched'!$A244 &amp; "|" &amp; 
      LEFT('Teachers sched'!G244, FIND("-", 'Teachers sched'!G244) - 1),
      {
        SALONES!$A:$A &amp; "|" &amp; SALONES!$B:$B,
        SALONES!$C:$C
      },
      2,
      FALSE
    ) &amp; " - " &amp; 'Teachers sched'!G244,
    'Teachers sched'!G244
  )
)
</f>
        <v>924 - Geometry-6</v>
      </c>
      <c r="H244" s="390" t="str">
        <f t="array" ref="H244">IF('Teachers sched'!H244="", "", 
  IFERROR(
    VLOOKUP(
      'Teachers sched'!$A244 &amp; "|" &amp; 
      LEFT('Teachers sched'!H244, FIND("-", 'Teachers sched'!H244) - 1),
      {
        SALONES!$A:$A &amp; "|" &amp; SALONES!$B:$B,
        SALONES!$C:$C
      },
      2,
      FALSE
    ) &amp; " - " &amp; 'Teachers sched'!H244,
    'Teachers sched'!H244
  )
)
</f>
        <v/>
      </c>
      <c r="I244" s="391">
        <f>if(C242="","", 24-countifs(D244:H248,""))</f>
        <v>15</v>
      </c>
      <c r="J244" s="392"/>
      <c r="K244" s="389" t="s">
        <v>22</v>
      </c>
      <c r="L244" s="389" t="s">
        <v>22</v>
      </c>
      <c r="M244" s="100">
        <v>1.0</v>
      </c>
      <c r="N244" s="390" t="s">
        <v>22</v>
      </c>
      <c r="O244" s="390" t="s">
        <v>22</v>
      </c>
      <c r="P244" s="390" t="s">
        <v>22</v>
      </c>
      <c r="Q244" s="390" t="s">
        <v>22</v>
      </c>
      <c r="R244" s="390" t="s">
        <v>22</v>
      </c>
      <c r="S244" s="391" t="s">
        <v>22</v>
      </c>
      <c r="T244" s="393"/>
    </row>
    <row r="245">
      <c r="A245" s="389" t="s">
        <v>77</v>
      </c>
      <c r="B245" s="389"/>
      <c r="C245" s="100">
        <v>2.0</v>
      </c>
      <c r="D245" s="390" t="str">
        <f t="array" ref="D245">IF('Teachers sched'!D245="", "", 
  IFERROR(
    VLOOKUP(
      'Teachers sched'!$A245 &amp; "|" &amp; 
      LEFT('Teachers sched'!D245, FIND("-", 'Teachers sched'!D245) - 1),
      {
        SALONES!$A:$A &amp; "|" &amp; SALONES!$B:$B,
        SALONES!$C:$C
      },
      2,
      FALSE
    ) &amp; " - " &amp; 'Teachers sched'!D245,
    'Teachers sched'!D245
  )
)
</f>
        <v/>
      </c>
      <c r="E245" s="390" t="str">
        <f t="array" ref="E245">IF('Teachers sched'!E245="", "", 
  IFERROR(
    VLOOKUP(
      'Teachers sched'!$A245 &amp; "|" &amp; 
      LEFT('Teachers sched'!E245, FIND("-", 'Teachers sched'!E245) - 1),
      {
        SALONES!$A:$A &amp; "|" &amp; SALONES!$B:$B,
        SALONES!$C:$C
      },
      2,
      FALSE
    ) &amp; " - " &amp; 'Teachers sched'!E245,
    'Teachers sched'!E245
  )
)
</f>
        <v>924 - Geometry-5</v>
      </c>
      <c r="F245" s="390" t="str">
        <f t="array" ref="F245">IF('Teachers sched'!F245="", "", 
  IFERROR(
    VLOOKUP(
      'Teachers sched'!$A245 &amp; "|" &amp; 
      LEFT('Teachers sched'!F245, FIND("-", 'Teachers sched'!F245) - 1),
      {
        SALONES!$A:$A &amp; "|" &amp; SALONES!$B:$B,
        SALONES!$C:$C
      },
      2,
      FALSE
    ) &amp; " - " &amp; 'Teachers sched'!F245,
    'Teachers sched'!F245
  )
)
</f>
        <v>924 - Geometry-3</v>
      </c>
      <c r="G245" s="390" t="str">
        <f t="array" ref="G245">IF('Teachers sched'!G245="", "", 
  IFERROR(
    VLOOKUP(
      'Teachers sched'!$A245 &amp; "|" &amp; 
      LEFT('Teachers sched'!G245, FIND("-", 'Teachers sched'!G245) - 1),
      {
        SALONES!$A:$A &amp; "|" &amp; SALONES!$B:$B,
        SALONES!$C:$C
      },
      2,
      FALSE
    ) &amp; " - " &amp; 'Teachers sched'!G245,
    'Teachers sched'!G245
  )
)
</f>
        <v/>
      </c>
      <c r="H245" s="390" t="str">
        <f t="array" ref="H245">IF('Teachers sched'!H245="", "", 
  IFERROR(
    VLOOKUP(
      'Teachers sched'!$A245 &amp; "|" &amp; 
      LEFT('Teachers sched'!H245, FIND("-", 'Teachers sched'!H245) - 1),
      {
        SALONES!$A:$A &amp; "|" &amp; SALONES!$B:$B,
        SALONES!$C:$C
      },
      2,
      FALSE
    ) &amp; " - " &amp; 'Teachers sched'!H245,
    'Teachers sched'!H245
  )
)
</f>
        <v>924 - Geometry-4</v>
      </c>
      <c r="I245" s="53"/>
      <c r="J245" s="392"/>
      <c r="K245" s="389" t="s">
        <v>22</v>
      </c>
      <c r="L245" s="389" t="s">
        <v>22</v>
      </c>
      <c r="M245" s="100">
        <v>2.0</v>
      </c>
      <c r="N245" s="390" t="s">
        <v>22</v>
      </c>
      <c r="O245" s="390" t="s">
        <v>22</v>
      </c>
      <c r="P245" s="390" t="s">
        <v>22</v>
      </c>
      <c r="Q245" s="390" t="s">
        <v>22</v>
      </c>
      <c r="R245" s="390" t="s">
        <v>22</v>
      </c>
      <c r="S245" s="53"/>
      <c r="T245" s="393"/>
    </row>
    <row r="246">
      <c r="A246" s="389" t="s">
        <v>77</v>
      </c>
      <c r="B246" s="389"/>
      <c r="C246" s="100">
        <v>3.0</v>
      </c>
      <c r="D246" s="390" t="str">
        <f t="array" ref="D246">IF('Teachers sched'!D246="", "", 
  IFERROR(
    VLOOKUP(
      'Teachers sched'!$A246 &amp; "|" &amp; 
      LEFT('Teachers sched'!D246, FIND("-", 'Teachers sched'!D246) - 1),
      {
        SALONES!$A:$A &amp; "|" &amp; SALONES!$B:$B,
        SALONES!$C:$C
      },
      2,
      FALSE
    ) &amp; " - " &amp; 'Teachers sched'!D246,
    'Teachers sched'!D246
  )
)
</f>
        <v>924 - Geometry-2</v>
      </c>
      <c r="E246" s="390" t="str">
        <f t="array" ref="E246">IF('Teachers sched'!E246="", "", 
  IFERROR(
    VLOOKUP(
      'Teachers sched'!$A246 &amp; "|" &amp; 
      LEFT('Teachers sched'!E246, FIND("-", 'Teachers sched'!E246) - 1),
      {
        SALONES!$A:$A &amp; "|" &amp; SALONES!$B:$B,
        SALONES!$C:$C
      },
      2,
      FALSE
    ) &amp; " - " &amp; 'Teachers sched'!E246,
    'Teachers sched'!E246
  )
)
</f>
        <v>924 - Geometry-6</v>
      </c>
      <c r="F246" s="390" t="str">
        <f t="array" ref="F246">IF('Teachers sched'!F246="", "", 
  IFERROR(
    VLOOKUP(
      'Teachers sched'!$A246 &amp; "|" &amp; 
      LEFT('Teachers sched'!F246, FIND("-", 'Teachers sched'!F246) - 1),
      {
        SALONES!$A:$A &amp; "|" &amp; SALONES!$B:$B,
        SALONES!$C:$C
      },
      2,
      FALSE
    ) &amp; " - " &amp; 'Teachers sched'!F246,
    'Teachers sched'!F246
  )
)
</f>
        <v/>
      </c>
      <c r="G246" s="390" t="str">
        <f t="array" ref="G246">IF('Teachers sched'!G246="", "", 
  IFERROR(
    VLOOKUP(
      'Teachers sched'!$A246 &amp; "|" &amp; 
      LEFT('Teachers sched'!G246, FIND("-", 'Teachers sched'!G246) - 1),
      {
        SALONES!$A:$A &amp; "|" &amp; SALONES!$B:$B,
        SALONES!$C:$C
      },
      2,
      FALSE
    ) &amp; " - " &amp; 'Teachers sched'!G246,
    'Teachers sched'!G246
  )
)
</f>
        <v/>
      </c>
      <c r="H246" s="395" t="str">
        <f t="array" ref="H246">IF('Teachers sched'!H246="", "", 
  IFERROR(
    VLOOKUP(
      'Teachers sched'!$A246 &amp; "|" &amp; 
      LEFT('Teachers sched'!H246, FIND("-", 'Teachers sched'!H246) - 1),
      {
        SALONES!$A:$A &amp; "|" &amp; SALONES!$B:$B,
        SALONES!$C:$C
      },
      2,
      FALSE
    ) &amp; " - " &amp; 'Teachers sched'!H246,
    'Teachers sched'!H246
  )
)
</f>
        <v>X-Block</v>
      </c>
      <c r="I246" s="53"/>
      <c r="J246" s="392"/>
      <c r="K246" s="389" t="s">
        <v>22</v>
      </c>
      <c r="L246" s="389" t="s">
        <v>22</v>
      </c>
      <c r="M246" s="100">
        <v>3.0</v>
      </c>
      <c r="N246" s="390" t="s">
        <v>22</v>
      </c>
      <c r="O246" s="390" t="s">
        <v>22</v>
      </c>
      <c r="P246" s="390" t="s">
        <v>22</v>
      </c>
      <c r="Q246" s="390" t="s">
        <v>22</v>
      </c>
      <c r="R246" s="395" t="s">
        <v>22</v>
      </c>
      <c r="S246" s="53"/>
      <c r="T246" s="393"/>
    </row>
    <row r="247">
      <c r="A247" s="389" t="s">
        <v>77</v>
      </c>
      <c r="B247" s="389"/>
      <c r="C247" s="100">
        <v>4.0</v>
      </c>
      <c r="D247" s="390" t="str">
        <f t="array" ref="D247">IF('Teachers sched'!D247="", "", 
  IFERROR(
    VLOOKUP(
      'Teachers sched'!$A247 &amp; "|" &amp; 
      LEFT('Teachers sched'!D247, FIND("-", 'Teachers sched'!D247) - 1),
      {
        SALONES!$A:$A &amp; "|" &amp; SALONES!$B:$B,
        SALONES!$C:$C
      },
      2,
      FALSE
    ) &amp; " - " &amp; 'Teachers sched'!D247,
    'Teachers sched'!D247
  )
)
</f>
        <v>924 - Geometry-3</v>
      </c>
      <c r="E247" s="390" t="str">
        <f t="array" ref="E247">IF('Teachers sched'!E247="", "", 
  IFERROR(
    VLOOKUP(
      'Teachers sched'!$A247 &amp; "|" &amp; 
      LEFT('Teachers sched'!E247, FIND("-", 'Teachers sched'!E247) - 1),
      {
        SALONES!$A:$A &amp; "|" &amp; SALONES!$B:$B,
        SALONES!$C:$C
      },
      2,
      FALSE
    ) &amp; " - " &amp; 'Teachers sched'!E247,
    'Teachers sched'!E247
  )
)
</f>
        <v/>
      </c>
      <c r="F247" s="390" t="str">
        <f t="array" ref="F247">IF('Teachers sched'!F247="", "", 
  IFERROR(
    VLOOKUP(
      'Teachers sched'!$A247 &amp; "|" &amp; 
      LEFT('Teachers sched'!F247, FIND("-", 'Teachers sched'!F247) - 1),
      {
        SALONES!$A:$A &amp; "|" &amp; SALONES!$B:$B,
        SALONES!$C:$C
      },
      2,
      FALSE
    ) &amp; " - " &amp; 'Teachers sched'!F247,
    'Teachers sched'!F247
  )
)
</f>
        <v>924 - Geometry-4</v>
      </c>
      <c r="G247" s="390" t="str">
        <f t="array" ref="G247">IF('Teachers sched'!G247="", "", 
  IFERROR(
    VLOOKUP(
      'Teachers sched'!$A247 &amp; "|" &amp; 
      LEFT('Teachers sched'!G247, FIND("-", 'Teachers sched'!G247) - 1),
      {
        SALONES!$A:$A &amp; "|" &amp; SALONES!$B:$B,
        SALONES!$C:$C
      },
      2,
      FALSE
    ) &amp; " - " &amp; 'Teachers sched'!G247,
    'Teachers sched'!G247
  )
)
</f>
        <v>924 - Geometry-2</v>
      </c>
      <c r="H247" s="390" t="str">
        <f t="array" ref="H247">IF('Teachers sched'!H247="", "", 
  IFERROR(
    VLOOKUP(
      'Teachers sched'!$A247 &amp; "|" &amp; 
      LEFT('Teachers sched'!H247, FIND("-", 'Teachers sched'!H247) - 1),
      {
        SALONES!$A:$A &amp; "|" &amp; SALONES!$B:$B,
        SALONES!$C:$C
      },
      2,
      FALSE
    ) &amp; " - " &amp; 'Teachers sched'!H247,
    'Teachers sched'!H247
  )
)
</f>
        <v>924 - Geometry-5</v>
      </c>
      <c r="I247" s="53"/>
      <c r="J247" s="392"/>
      <c r="K247" s="389" t="s">
        <v>22</v>
      </c>
      <c r="L247" s="389" t="s">
        <v>22</v>
      </c>
      <c r="M247" s="100">
        <v>4.0</v>
      </c>
      <c r="N247" s="390" t="s">
        <v>22</v>
      </c>
      <c r="O247" s="390" t="s">
        <v>22</v>
      </c>
      <c r="P247" s="390" t="s">
        <v>22</v>
      </c>
      <c r="Q247" s="390" t="s">
        <v>22</v>
      </c>
      <c r="R247" s="390" t="s">
        <v>22</v>
      </c>
      <c r="S247" s="53"/>
      <c r="T247" s="393"/>
    </row>
    <row r="248">
      <c r="A248" s="389" t="s">
        <v>77</v>
      </c>
      <c r="B248" s="389"/>
      <c r="C248" s="100">
        <v>5.0</v>
      </c>
      <c r="D248" s="390" t="str">
        <f t="array" ref="D248">IF('Teachers sched'!D248="", "", 
  IFERROR(
    VLOOKUP(
      'Teachers sched'!$A248 &amp; "|" &amp; 
      LEFT('Teachers sched'!D248, FIND("-", 'Teachers sched'!D248) - 1),
      {
        SALONES!$A:$A &amp; "|" &amp; SALONES!$B:$B,
        SALONES!$C:$C
      },
      2,
      FALSE
    ) &amp; " - " &amp; 'Teachers sched'!D248,
    'Teachers sched'!D248
  )
)
</f>
        <v/>
      </c>
      <c r="E248" s="390" t="str">
        <f t="array" ref="E248">IF('Teachers sched'!E248="", "", 
  IFERROR(
    VLOOKUP(
      'Teachers sched'!$A248 &amp; "|" &amp; 
      LEFT('Teachers sched'!E248, FIND("-", 'Teachers sched'!E248) - 1),
      {
        SALONES!$A:$A &amp; "|" &amp; SALONES!$B:$B,
        SALONES!$C:$C
      },
      2,
      FALSE
    ) &amp; " - " &amp; 'Teachers sched'!E248,
    'Teachers sched'!E248
  )
)
</f>
        <v/>
      </c>
      <c r="F248" s="390" t="str">
        <f t="array" ref="F248">IF('Teachers sched'!F248="", "", 
  IFERROR(
    VLOOKUP(
      'Teachers sched'!$A248 &amp; "|" &amp; 
      LEFT('Teachers sched'!F248, FIND("-", 'Teachers sched'!F248) - 1),
      {
        SALONES!$A:$A &amp; "|" &amp; SALONES!$B:$B,
        SALONES!$C:$C
      },
      2,
      FALSE
    ) &amp; " - " &amp; 'Teachers sched'!F248,
    'Teachers sched'!F248
  )
)
</f>
        <v>924 - Geometry-5</v>
      </c>
      <c r="G248" s="390" t="str">
        <f t="array" ref="G248">IF('Teachers sched'!G248="", "", 
  IFERROR(
    VLOOKUP(
      'Teachers sched'!$A248 &amp; "|" &amp; 
      LEFT('Teachers sched'!G248, FIND("-", 'Teachers sched'!G248) - 1),
      {
        SALONES!$A:$A &amp; "|" &amp; SALONES!$B:$B,
        SALONES!$C:$C
      },
      2,
      FALSE
    ) &amp; " - " &amp; 'Teachers sched'!G248,
    'Teachers sched'!G248
  )
)
</f>
        <v>924 - Geometry-3</v>
      </c>
      <c r="H248" s="390" t="str">
        <f t="array" ref="H248">IF('Teachers sched'!H248="", "", 
  IFERROR(
    VLOOKUP(
      'Teachers sched'!$A248 &amp; "|" &amp; 
      LEFT('Teachers sched'!H248, FIND("-", 'Teachers sched'!H248) - 1),
      {
        SALONES!$A:$A &amp; "|" &amp; SALONES!$B:$B,
        SALONES!$C:$C
      },
      2,
      FALSE
    ) &amp; " - " &amp; 'Teachers sched'!H248,
    'Teachers sched'!H248
  )
)
</f>
        <v>924 - Geometry-6</v>
      </c>
      <c r="I248" s="68"/>
      <c r="J248" s="392"/>
      <c r="K248" s="389" t="s">
        <v>22</v>
      </c>
      <c r="L248" s="389" t="s">
        <v>22</v>
      </c>
      <c r="M248" s="100">
        <v>5.0</v>
      </c>
      <c r="N248" s="390" t="s">
        <v>22</v>
      </c>
      <c r="O248" s="390" t="s">
        <v>22</v>
      </c>
      <c r="P248" s="390" t="s">
        <v>22</v>
      </c>
      <c r="Q248" s="390" t="s">
        <v>22</v>
      </c>
      <c r="R248" s="390" t="s">
        <v>22</v>
      </c>
      <c r="S248" s="68"/>
      <c r="T248" s="393"/>
    </row>
    <row r="249">
      <c r="C249" s="3"/>
      <c r="D249" s="396"/>
      <c r="E249" s="396"/>
      <c r="F249" s="396"/>
      <c r="G249" s="396"/>
      <c r="H249" s="396"/>
      <c r="N249" s="397"/>
      <c r="O249" s="397"/>
      <c r="P249" s="397"/>
      <c r="Q249" s="397"/>
      <c r="R249" s="397"/>
    </row>
    <row r="250">
      <c r="A250" s="45"/>
      <c r="B250" s="45"/>
      <c r="C250" s="386" t="s">
        <v>42</v>
      </c>
      <c r="D250" s="383"/>
      <c r="E250" s="383"/>
      <c r="F250" s="383"/>
      <c r="G250" s="383"/>
      <c r="H250" s="384"/>
      <c r="I250" s="385" t="str">
        <f>IFERROR(__xludf.DUMMYFUNCTION("if(C250="""","""", iferror(filter(Schedule!$K:$K,Schedule!$L:$L=$C250,Schedule!$K:$K=""S1""),unique(filter(Schedule!$K:$K,Schedule!$L:$L=$C250,Schedule!$K:$K=""""))))"),"")</f>
        <v/>
      </c>
      <c r="M250" s="386" t="s">
        <v>22</v>
      </c>
      <c r="N250" s="383"/>
      <c r="O250" s="383"/>
      <c r="P250" s="383"/>
      <c r="Q250" s="383"/>
      <c r="R250" s="384"/>
      <c r="S250" s="385" t="s">
        <v>22</v>
      </c>
      <c r="T250" s="112"/>
    </row>
    <row r="251">
      <c r="A251" s="116"/>
      <c r="B251" s="116"/>
      <c r="C251" s="100" t="s">
        <v>7</v>
      </c>
      <c r="D251" s="387" t="s">
        <v>8</v>
      </c>
      <c r="E251" s="387" t="s">
        <v>9</v>
      </c>
      <c r="F251" s="387" t="s">
        <v>10</v>
      </c>
      <c r="G251" s="387" t="s">
        <v>11</v>
      </c>
      <c r="H251" s="387" t="s">
        <v>12</v>
      </c>
      <c r="I251" s="21" t="s">
        <v>766</v>
      </c>
      <c r="J251" s="116"/>
      <c r="K251" s="116"/>
      <c r="L251" s="116"/>
      <c r="M251" s="100" t="s">
        <v>7</v>
      </c>
      <c r="N251" s="387" t="s">
        <v>8</v>
      </c>
      <c r="O251" s="387" t="s">
        <v>9</v>
      </c>
      <c r="P251" s="387" t="s">
        <v>10</v>
      </c>
      <c r="Q251" s="387" t="s">
        <v>11</v>
      </c>
      <c r="R251" s="387" t="s">
        <v>12</v>
      </c>
      <c r="S251" s="21" t="s">
        <v>766</v>
      </c>
      <c r="T251" s="388"/>
    </row>
    <row r="252">
      <c r="A252" s="389" t="s">
        <v>42</v>
      </c>
      <c r="B252" s="389" t="s">
        <v>22</v>
      </c>
      <c r="C252" s="100">
        <v>1.0</v>
      </c>
      <c r="D252" s="390" t="str">
        <f t="array" ref="D252">IF('Teachers sched'!D252="", "", 
  IFERROR(
    VLOOKUP(
      'Teachers sched'!$A252 &amp; "|" &amp; 
      LEFT('Teachers sched'!D252, FIND("-", 'Teachers sched'!D252) - 1),
      {
        SALONES!$A:$A &amp; "|" &amp; SALONES!$B:$B,
        SALONES!$C:$C
      },
      2,
      FALSE
    ) &amp; " - " &amp; 'Teachers sched'!D252,
    'Teachers sched'!D252
  )
)
</f>
        <v>930B - Art of Fiction Intermediate Level-1</v>
      </c>
      <c r="E252" s="390" t="str">
        <f t="array" ref="E252">IF('Teachers sched'!E252="", "", 
  IFERROR(
    VLOOKUP(
      'Teachers sched'!$A252 &amp; "|" &amp; 
      LEFT('Teachers sched'!E252, FIND("-", 'Teachers sched'!E252) - 1),
      {
        SALONES!$A:$A &amp; "|" &amp; SALONES!$B:$B,
        SALONES!$C:$C
      },
      2,
      FALSE
    ) &amp; " - " &amp; 'Teachers sched'!E252,
    'Teachers sched'!E252
  )
)
</f>
        <v/>
      </c>
      <c r="F252" s="390" t="str">
        <f t="array" ref="F252">IF('Teachers sched'!F252="", "", 
  IFERROR(
    VLOOKUP(
      'Teachers sched'!$A252 &amp; "|" &amp; 
      LEFT('Teachers sched'!F252, FIND("-", 'Teachers sched'!F252) - 1),
      {
        SALONES!$A:$A &amp; "|" &amp; SALONES!$B:$B,
        SALONES!$C:$C
      },
      2,
      FALSE
    ) &amp; " - " &amp; 'Teachers sched'!F252,
    'Teachers sched'!F252
  )
)
</f>
        <v/>
      </c>
      <c r="G252" s="390" t="str">
        <f t="array" ref="G252">IF('Teachers sched'!G252="", "", 
  IFERROR(
    VLOOKUP(
      'Teachers sched'!$A252 &amp; "|" &amp; 
      LEFT('Teachers sched'!G252, FIND("-", 'Teachers sched'!G252) - 1),
      {
        SALONES!$A:$A &amp; "|" &amp; SALONES!$B:$B,
        SALONES!$C:$C
      },
      2,
      FALSE
    ) &amp; " - " &amp; 'Teachers sched'!G252,
    'Teachers sched'!G252
  )
)
</f>
        <v>930B - English 9-6</v>
      </c>
      <c r="H252" s="390" t="str">
        <f t="array" ref="H252">IF('Teachers sched'!H252="", "", 
  IFERROR(
    VLOOKUP(
      'Teachers sched'!$A252 &amp; "|" &amp; 
      LEFT('Teachers sched'!H252, FIND("-", 'Teachers sched'!H252) - 1),
      {
        SALONES!$A:$A &amp; "|" &amp; SALONES!$B:$B,
        SALONES!$C:$C
      },
      2,
      FALSE
    ) &amp; " - " &amp; 'Teachers sched'!H252,
    'Teachers sched'!H252
  )
)
</f>
        <v>930B - English 9-5</v>
      </c>
      <c r="I252" s="391">
        <f>if(C250="","", 24-countifs(D252:H256,""))</f>
        <v>15</v>
      </c>
      <c r="J252" s="392"/>
      <c r="K252" s="389" t="s">
        <v>22</v>
      </c>
      <c r="L252" s="389" t="s">
        <v>22</v>
      </c>
      <c r="M252" s="100">
        <v>1.0</v>
      </c>
      <c r="N252" s="390" t="s">
        <v>22</v>
      </c>
      <c r="O252" s="390" t="s">
        <v>22</v>
      </c>
      <c r="P252" s="390" t="s">
        <v>22</v>
      </c>
      <c r="Q252" s="390" t="s">
        <v>22</v>
      </c>
      <c r="R252" s="390" t="s">
        <v>22</v>
      </c>
      <c r="S252" s="391" t="s">
        <v>22</v>
      </c>
      <c r="T252" s="393"/>
    </row>
    <row r="253">
      <c r="A253" s="389" t="s">
        <v>42</v>
      </c>
      <c r="B253" s="389" t="s">
        <v>22</v>
      </c>
      <c r="C253" s="100">
        <v>2.0</v>
      </c>
      <c r="D253" s="390" t="str">
        <f t="array" ref="D253">IF('Teachers sched'!D253="", "", 
  IFERROR(
    VLOOKUP(
      'Teachers sched'!$A253 &amp; "|" &amp; 
      LEFT('Teachers sched'!D253, FIND("-", 'Teachers sched'!D253) - 1),
      {
        SALONES!$A:$A &amp; "|" &amp; SALONES!$B:$B,
        SALONES!$C:$C
      },
      2,
      FALSE
    ) &amp; " - " &amp; 'Teachers sched'!D253,
    'Teachers sched'!D253
  )
)
</f>
        <v>930B - English 9-4</v>
      </c>
      <c r="E253" s="390" t="str">
        <f t="array" ref="E253">IF('Teachers sched'!E253="", "", 
  IFERROR(
    VLOOKUP(
      'Teachers sched'!$A253 &amp; "|" &amp; 
      LEFT('Teachers sched'!E253, FIND("-", 'Teachers sched'!E253) - 1),
      {
        SALONES!$A:$A &amp; "|" &amp; SALONES!$B:$B,
        SALONES!$C:$C
      },
      2,
      FALSE
    ) &amp; " - " &amp; 'Teachers sched'!E253,
    'Teachers sched'!E253
  )
)
</f>
        <v/>
      </c>
      <c r="F253" s="390" t="str">
        <f t="array" ref="F253">IF('Teachers sched'!F253="", "", 
  IFERROR(
    VLOOKUP(
      'Teachers sched'!$A253 &amp; "|" &amp; 
      LEFT('Teachers sched'!F253, FIND("-", 'Teachers sched'!F253) - 1),
      {
        SALONES!$A:$A &amp; "|" &amp; SALONES!$B:$B,
        SALONES!$C:$C
      },
      2,
      FALSE
    ) &amp; " - " &amp; 'Teachers sched'!F253,
    'Teachers sched'!F253
  )
)
</f>
        <v>930B - Art of Fiction Intermediate Level-2</v>
      </c>
      <c r="G253" s="390" t="str">
        <f t="array" ref="G253">IF('Teachers sched'!G253="", "", 
  IFERROR(
    VLOOKUP(
      'Teachers sched'!$A253 &amp; "|" &amp; 
      LEFT('Teachers sched'!G253, FIND("-", 'Teachers sched'!G253) - 1),
      {
        SALONES!$A:$A &amp; "|" &amp; SALONES!$B:$B,
        SALONES!$C:$C
      },
      2,
      FALSE
    ) &amp; " - " &amp; 'Teachers sched'!G253,
    'Teachers sched'!G253
  )
)
</f>
        <v>930B - Art of Fiction Intermediate Level-1</v>
      </c>
      <c r="H253" s="390" t="str">
        <f t="array" ref="H253">IF('Teachers sched'!H253="", "", 
  IFERROR(
    VLOOKUP(
      'Teachers sched'!$A253 &amp; "|" &amp; 
      LEFT('Teachers sched'!H253, FIND("-", 'Teachers sched'!H253) - 1),
      {
        SALONES!$A:$A &amp; "|" &amp; SALONES!$B:$B,
        SALONES!$C:$C
      },
      2,
      FALSE
    ) &amp; " - " &amp; 'Teachers sched'!H253,
    'Teachers sched'!H253
  )
)
</f>
        <v/>
      </c>
      <c r="I253" s="53"/>
      <c r="J253" s="392"/>
      <c r="K253" s="389" t="s">
        <v>22</v>
      </c>
      <c r="L253" s="389" t="s">
        <v>22</v>
      </c>
      <c r="M253" s="100">
        <v>2.0</v>
      </c>
      <c r="N253" s="390" t="s">
        <v>22</v>
      </c>
      <c r="O253" s="390" t="s">
        <v>22</v>
      </c>
      <c r="P253" s="390" t="s">
        <v>22</v>
      </c>
      <c r="Q253" s="390" t="s">
        <v>22</v>
      </c>
      <c r="R253" s="390" t="s">
        <v>22</v>
      </c>
      <c r="S253" s="53"/>
      <c r="T253" s="393"/>
    </row>
    <row r="254">
      <c r="A254" s="389" t="s">
        <v>42</v>
      </c>
      <c r="B254" s="389" t="s">
        <v>22</v>
      </c>
      <c r="C254" s="100">
        <v>3.0</v>
      </c>
      <c r="D254" s="390" t="str">
        <f t="array" ref="D254">IF('Teachers sched'!D254="", "", 
  IFERROR(
    VLOOKUP(
      'Teachers sched'!$A254 &amp; "|" &amp; 
      LEFT('Teachers sched'!D254, FIND("-", 'Teachers sched'!D254) - 1),
      {
        SALONES!$A:$A &amp; "|" &amp; SALONES!$B:$B,
        SALONES!$C:$C
      },
      2,
      FALSE
    ) &amp; " - " &amp; 'Teachers sched'!D254,
    'Teachers sched'!D254
  )
)
</f>
        <v/>
      </c>
      <c r="E254" s="390" t="str">
        <f t="array" ref="E254">IF('Teachers sched'!E254="", "", 
  IFERROR(
    VLOOKUP(
      'Teachers sched'!$A254 &amp; "|" &amp; 
      LEFT('Teachers sched'!E254, FIND("-", 'Teachers sched'!E254) - 1),
      {
        SALONES!$A:$A &amp; "|" &amp; SALONES!$B:$B,
        SALONES!$C:$C
      },
      2,
      FALSE
    ) &amp; " - " &amp; 'Teachers sched'!E254,
    'Teachers sched'!E254
  )
)
</f>
        <v>930B - English 9-6</v>
      </c>
      <c r="F254" s="390" t="str">
        <f t="array" ref="F254">IF('Teachers sched'!F254="", "", 
  IFERROR(
    VLOOKUP(
      'Teachers sched'!$A254 &amp; "|" &amp; 
      LEFT('Teachers sched'!F254, FIND("-", 'Teachers sched'!F254) - 1),
      {
        SALONES!$A:$A &amp; "|" &amp; SALONES!$B:$B,
        SALONES!$C:$C
      },
      2,
      FALSE
    ) &amp; " - " &amp; 'Teachers sched'!F254,
    'Teachers sched'!F254
  )
)
</f>
        <v>930B - English 9-5</v>
      </c>
      <c r="G254" s="390" t="str">
        <f t="array" ref="G254">IF('Teachers sched'!G254="", "", 
  IFERROR(
    VLOOKUP(
      'Teachers sched'!$A254 &amp; "|" &amp; 
      LEFT('Teachers sched'!G254, FIND("-", 'Teachers sched'!G254) - 1),
      {
        SALONES!$A:$A &amp; "|" &amp; SALONES!$B:$B,
        SALONES!$C:$C
      },
      2,
      FALSE
    ) &amp; " - " &amp; 'Teachers sched'!G254,
    'Teachers sched'!G254
  )
)
</f>
        <v>930B - English 9-4</v>
      </c>
      <c r="H254" s="395" t="str">
        <f t="array" ref="H254">IF('Teachers sched'!H254="", "", 
  IFERROR(
    VLOOKUP(
      'Teachers sched'!$A254 &amp; "|" &amp; 
      LEFT('Teachers sched'!H254, FIND("-", 'Teachers sched'!H254) - 1),
      {
        SALONES!$A:$A &amp; "|" &amp; SALONES!$B:$B,
        SALONES!$C:$C
      },
      2,
      FALSE
    ) &amp; " - " &amp; 'Teachers sched'!H254,
    'Teachers sched'!H254
  )
)
</f>
        <v>X-Block</v>
      </c>
      <c r="I254" s="53"/>
      <c r="J254" s="392"/>
      <c r="K254" s="389" t="s">
        <v>22</v>
      </c>
      <c r="L254" s="389" t="s">
        <v>22</v>
      </c>
      <c r="M254" s="100">
        <v>3.0</v>
      </c>
      <c r="N254" s="390" t="s">
        <v>22</v>
      </c>
      <c r="O254" s="390" t="s">
        <v>22</v>
      </c>
      <c r="P254" s="390" t="s">
        <v>22</v>
      </c>
      <c r="Q254" s="390" t="s">
        <v>22</v>
      </c>
      <c r="R254" s="395" t="s">
        <v>22</v>
      </c>
      <c r="S254" s="53"/>
      <c r="T254" s="393"/>
    </row>
    <row r="255">
      <c r="A255" s="389" t="s">
        <v>42</v>
      </c>
      <c r="B255" s="389" t="s">
        <v>22</v>
      </c>
      <c r="C255" s="100">
        <v>4.0</v>
      </c>
      <c r="D255" s="390" t="str">
        <f t="array" ref="D255">IF('Teachers sched'!D255="", "", 
  IFERROR(
    VLOOKUP(
      'Teachers sched'!$A255 &amp; "|" &amp; 
      LEFT('Teachers sched'!D255, FIND("-", 'Teachers sched'!D255) - 1),
      {
        SALONES!$A:$A &amp; "|" &amp; SALONES!$B:$B,
        SALONES!$C:$C
      },
      2,
      FALSE
    ) &amp; " - " &amp; 'Teachers sched'!D255,
    'Teachers sched'!D255
  )
)
</f>
        <v>930B - Art of Fiction Intermediate Level-2</v>
      </c>
      <c r="E255" s="390" t="str">
        <f t="array" ref="E255">IF('Teachers sched'!E255="", "", 
  IFERROR(
    VLOOKUP(
      'Teachers sched'!$A255 &amp; "|" &amp; 
      LEFT('Teachers sched'!E255, FIND("-", 'Teachers sched'!E255) - 1),
      {
        SALONES!$A:$A &amp; "|" &amp; SALONES!$B:$B,
        SALONES!$C:$C
      },
      2,
      FALSE
    ) &amp; " - " &amp; 'Teachers sched'!E255,
    'Teachers sched'!E255
  )
)
</f>
        <v>930B - Art of Fiction Intermediate Level-1</v>
      </c>
      <c r="F255" s="390" t="str">
        <f t="array" ref="F255">IF('Teachers sched'!F255="", "", 
  IFERROR(
    VLOOKUP(
      'Teachers sched'!$A255 &amp; "|" &amp; 
      LEFT('Teachers sched'!F255, FIND("-", 'Teachers sched'!F255) - 1),
      {
        SALONES!$A:$A &amp; "|" &amp; SALONES!$B:$B,
        SALONES!$C:$C
      },
      2,
      FALSE
    ) &amp; " - " &amp; 'Teachers sched'!F255,
    'Teachers sched'!F255
  )
)
</f>
        <v/>
      </c>
      <c r="G255" s="390" t="str">
        <f t="array" ref="G255">IF('Teachers sched'!G255="", "", 
  IFERROR(
    VLOOKUP(
      'Teachers sched'!$A255 &amp; "|" &amp; 
      LEFT('Teachers sched'!G255, FIND("-", 'Teachers sched'!G255) - 1),
      {
        SALONES!$A:$A &amp; "|" &amp; SALONES!$B:$B,
        SALONES!$C:$C
      },
      2,
      FALSE
    ) &amp; " - " &amp; 'Teachers sched'!G255,
    'Teachers sched'!G255
  )
)
</f>
        <v/>
      </c>
      <c r="H255" s="390" t="str">
        <f t="array" ref="H255">IF('Teachers sched'!H255="", "", 
  IFERROR(
    VLOOKUP(
      'Teachers sched'!$A255 &amp; "|" &amp; 
      LEFT('Teachers sched'!H255, FIND("-", 'Teachers sched'!H255) - 1),
      {
        SALONES!$A:$A &amp; "|" &amp; SALONES!$B:$B,
        SALONES!$C:$C
      },
      2,
      FALSE
    ) &amp; " - " &amp; 'Teachers sched'!H255,
    'Teachers sched'!H255
  )
)
</f>
        <v/>
      </c>
      <c r="I255" s="53"/>
      <c r="J255" s="392"/>
      <c r="K255" s="389" t="s">
        <v>22</v>
      </c>
      <c r="L255" s="389" t="s">
        <v>22</v>
      </c>
      <c r="M255" s="100">
        <v>4.0</v>
      </c>
      <c r="N255" s="390" t="s">
        <v>22</v>
      </c>
      <c r="O255" s="390" t="s">
        <v>22</v>
      </c>
      <c r="P255" s="390" t="s">
        <v>22</v>
      </c>
      <c r="Q255" s="390" t="s">
        <v>22</v>
      </c>
      <c r="R255" s="390" t="s">
        <v>22</v>
      </c>
      <c r="S255" s="53"/>
      <c r="T255" s="393"/>
    </row>
    <row r="256">
      <c r="A256" s="389" t="s">
        <v>42</v>
      </c>
      <c r="B256" s="389" t="s">
        <v>22</v>
      </c>
      <c r="C256" s="100">
        <v>5.0</v>
      </c>
      <c r="D256" s="390" t="str">
        <f t="array" ref="D256">IF('Teachers sched'!D256="", "", 
  IFERROR(
    VLOOKUP(
      'Teachers sched'!$A256 &amp; "|" &amp; 
      LEFT('Teachers sched'!D256, FIND("-", 'Teachers sched'!D256) - 1),
      {
        SALONES!$A:$A &amp; "|" &amp; SALONES!$B:$B,
        SALONES!$C:$C
      },
      2,
      FALSE
    ) &amp; " - " &amp; 'Teachers sched'!D256,
    'Teachers sched'!D256
  )
)
</f>
        <v>930B - English 9-5</v>
      </c>
      <c r="E256" s="390" t="str">
        <f t="array" ref="E256">IF('Teachers sched'!E256="", "", 
  IFERROR(
    VLOOKUP(
      'Teachers sched'!$A256 &amp; "|" &amp; 
      LEFT('Teachers sched'!E256, FIND("-", 'Teachers sched'!E256) - 1),
      {
        SALONES!$A:$A &amp; "|" &amp; SALONES!$B:$B,
        SALONES!$C:$C
      },
      2,
      FALSE
    ) &amp; " - " &amp; 'Teachers sched'!E256,
    'Teachers sched'!E256
  )
)
</f>
        <v>930B - English 9-4</v>
      </c>
      <c r="F256" s="390" t="str">
        <f t="array" ref="F256">IF('Teachers sched'!F256="", "", 
  IFERROR(
    VLOOKUP(
      'Teachers sched'!$A256 &amp; "|" &amp; 
      LEFT('Teachers sched'!F256, FIND("-", 'Teachers sched'!F256) - 1),
      {
        SALONES!$A:$A &amp; "|" &amp; SALONES!$B:$B,
        SALONES!$C:$C
      },
      2,
      FALSE
    ) &amp; " - " &amp; 'Teachers sched'!F256,
    'Teachers sched'!F256
  )
)
</f>
        <v/>
      </c>
      <c r="G256" s="390" t="str">
        <f t="array" ref="G256">IF('Teachers sched'!G256="", "", 
  IFERROR(
    VLOOKUP(
      'Teachers sched'!$A256 &amp; "|" &amp; 
      LEFT('Teachers sched'!G256, FIND("-", 'Teachers sched'!G256) - 1),
      {
        SALONES!$A:$A &amp; "|" &amp; SALONES!$B:$B,
        SALONES!$C:$C
      },
      2,
      FALSE
    ) &amp; " - " &amp; 'Teachers sched'!G256,
    'Teachers sched'!G256
  )
)
</f>
        <v>930B - Art of Fiction Intermediate Level-2</v>
      </c>
      <c r="H256" s="390" t="str">
        <f t="array" ref="H256">IF('Teachers sched'!H256="", "", 
  IFERROR(
    VLOOKUP(
      'Teachers sched'!$A256 &amp; "|" &amp; 
      LEFT('Teachers sched'!H256, FIND("-", 'Teachers sched'!H256) - 1),
      {
        SALONES!$A:$A &amp; "|" &amp; SALONES!$B:$B,
        SALONES!$C:$C
      },
      2,
      FALSE
    ) &amp; " - " &amp; 'Teachers sched'!H256,
    'Teachers sched'!H256
  )
)
</f>
        <v>930B - English 9-6</v>
      </c>
      <c r="I256" s="68"/>
      <c r="J256" s="392"/>
      <c r="K256" s="389" t="s">
        <v>22</v>
      </c>
      <c r="L256" s="389" t="s">
        <v>22</v>
      </c>
      <c r="M256" s="100">
        <v>5.0</v>
      </c>
      <c r="N256" s="390" t="s">
        <v>22</v>
      </c>
      <c r="O256" s="390" t="s">
        <v>22</v>
      </c>
      <c r="P256" s="390" t="s">
        <v>22</v>
      </c>
      <c r="Q256" s="390" t="s">
        <v>22</v>
      </c>
      <c r="R256" s="390" t="s">
        <v>22</v>
      </c>
      <c r="S256" s="68"/>
      <c r="T256" s="393"/>
    </row>
    <row r="257">
      <c r="C257" s="3"/>
      <c r="D257" s="396"/>
      <c r="E257" s="396"/>
      <c r="F257" s="396"/>
      <c r="G257" s="396"/>
      <c r="H257" s="396"/>
      <c r="N257" s="397"/>
      <c r="O257" s="397"/>
      <c r="P257" s="397"/>
      <c r="Q257" s="397"/>
      <c r="R257" s="397"/>
    </row>
    <row r="258">
      <c r="A258" s="45"/>
      <c r="B258" s="45"/>
      <c r="C258" s="386" t="s">
        <v>773</v>
      </c>
      <c r="D258" s="383"/>
      <c r="E258" s="383"/>
      <c r="F258" s="383"/>
      <c r="G258" s="383"/>
      <c r="H258" s="384"/>
      <c r="I258" s="385" t="str">
        <f>IFERROR(__xludf.DUMMYFUNCTION("if(C258="""","""", iferror(filter(Schedule!$K:$K,Schedule!$L:$L=$C258,Schedule!$K:$K=""S1""),unique(filter(Schedule!$K:$K,Schedule!$L:$L=$C258,Schedule!$K:$K=""""))))"),"#N/A")</f>
        <v>#N/A</v>
      </c>
      <c r="M258" s="386" t="s">
        <v>22</v>
      </c>
      <c r="N258" s="383"/>
      <c r="O258" s="383"/>
      <c r="P258" s="383"/>
      <c r="Q258" s="383"/>
      <c r="R258" s="384"/>
      <c r="S258" s="385" t="s">
        <v>22</v>
      </c>
      <c r="T258" s="112"/>
    </row>
    <row r="259">
      <c r="A259" s="116"/>
      <c r="B259" s="116"/>
      <c r="C259" s="100" t="s">
        <v>7</v>
      </c>
      <c r="D259" s="387" t="s">
        <v>8</v>
      </c>
      <c r="E259" s="387" t="s">
        <v>9</v>
      </c>
      <c r="F259" s="387" t="s">
        <v>10</v>
      </c>
      <c r="G259" s="387" t="s">
        <v>11</v>
      </c>
      <c r="H259" s="387" t="s">
        <v>12</v>
      </c>
      <c r="I259" s="21" t="s">
        <v>766</v>
      </c>
      <c r="J259" s="116"/>
      <c r="K259" s="116"/>
      <c r="L259" s="116"/>
      <c r="M259" s="100" t="s">
        <v>7</v>
      </c>
      <c r="N259" s="387" t="s">
        <v>8</v>
      </c>
      <c r="O259" s="387" t="s">
        <v>9</v>
      </c>
      <c r="P259" s="387" t="s">
        <v>10</v>
      </c>
      <c r="Q259" s="387" t="s">
        <v>11</v>
      </c>
      <c r="R259" s="387" t="s">
        <v>12</v>
      </c>
      <c r="S259" s="21" t="s">
        <v>766</v>
      </c>
      <c r="T259" s="388"/>
    </row>
    <row r="260">
      <c r="A260" s="389" t="s">
        <v>773</v>
      </c>
      <c r="B260" s="389" t="s">
        <v>22</v>
      </c>
      <c r="C260" s="100">
        <v>1.0</v>
      </c>
      <c r="D260" s="390" t="str">
        <f t="array" ref="D260">IF('Teachers sched'!D260="", "", 
  IFERROR(
    VLOOKUP(
      'Teachers sched'!$A260 &amp; "|" &amp; 
      LEFT('Teachers sched'!D260, FIND("-", 'Teachers sched'!D260) - 1),
      {
        SALONES!$A:$A &amp; "|" &amp; SALONES!$B:$B,
        SALONES!$C:$C
      },
      2,
      FALSE
    ) &amp; " - " &amp; 'Teachers sched'!D260,
    'Teachers sched'!D260
  )
)
</f>
        <v>931A - Geometry-1</v>
      </c>
      <c r="E260" s="390" t="str">
        <f t="array" ref="E260">IF('Teachers sched'!E260="", "", 
  IFERROR(
    VLOOKUP(
      'Teachers sched'!$A260 &amp; "|" &amp; 
      LEFT('Teachers sched'!E260, FIND("-", 'Teachers sched'!E260) - 1),
      {
        SALONES!$A:$A &amp; "|" &amp; SALONES!$B:$B,
        SALONES!$C:$C
      },
      2,
      FALSE
    ) &amp; " - " &amp; 'Teachers sched'!E260,
    'Teachers sched'!E260
  )
)
</f>
        <v/>
      </c>
      <c r="F260" s="390" t="str">
        <f t="array" ref="F260">IF('Teachers sched'!F260="", "", 
  IFERROR(
    VLOOKUP(
      'Teachers sched'!$A260 &amp; "|" &amp; 
      LEFT('Teachers sched'!F260, FIND("-", 'Teachers sched'!F260) - 1),
      {
        SALONES!$A:$A &amp; "|" &amp; SALONES!$B:$B,
        SALONES!$C:$C
      },
      2,
      FALSE
    ) &amp; " - " &amp; 'Teachers sched'!F260,
    'Teachers sched'!F260
  )
)
</f>
        <v>931A - Algebra I-3</v>
      </c>
      <c r="G260" s="390" t="str">
        <f t="array" ref="G260">IF('Teachers sched'!G260="", "", 
  IFERROR(
    VLOOKUP(
      'Teachers sched'!$A260 &amp; "|" &amp; 
      LEFT('Teachers sched'!G260, FIND("-", 'Teachers sched'!G260) - 1),
      {
        SALONES!$A:$A &amp; "|" &amp; SALONES!$B:$B,
        SALONES!$C:$C
      },
      2,
      FALSE
    ) &amp; " - " &amp; 'Teachers sched'!G260,
    'Teachers sched'!G260
  )
)
</f>
        <v/>
      </c>
      <c r="H260" s="390" t="str">
        <f t="array" ref="H260">IF('Teachers sched'!H260="", "", 
  IFERROR(
    VLOOKUP(
      'Teachers sched'!$A260 &amp; "|" &amp; 
      LEFT('Teachers sched'!H260, FIND("-", 'Teachers sched'!H260) - 1),
      {
        SALONES!$A:$A &amp; "|" &amp; SALONES!$B:$B,
        SALONES!$C:$C
      },
      2,
      FALSE
    ) &amp; " - " &amp; 'Teachers sched'!H260,
    'Teachers sched'!H260
  )
)
</f>
        <v/>
      </c>
      <c r="I260" s="391">
        <f>if(C258="","", 24-countifs(D260:H264,""))</f>
        <v>12</v>
      </c>
      <c r="J260" s="392"/>
      <c r="K260" s="389" t="s">
        <v>22</v>
      </c>
      <c r="L260" s="389" t="s">
        <v>22</v>
      </c>
      <c r="M260" s="100">
        <v>1.0</v>
      </c>
      <c r="N260" s="390" t="s">
        <v>22</v>
      </c>
      <c r="O260" s="390" t="s">
        <v>22</v>
      </c>
      <c r="P260" s="390" t="s">
        <v>22</v>
      </c>
      <c r="Q260" s="390" t="s">
        <v>22</v>
      </c>
      <c r="R260" s="390" t="s">
        <v>22</v>
      </c>
      <c r="S260" s="391" t="s">
        <v>22</v>
      </c>
      <c r="T260" s="393"/>
    </row>
    <row r="261">
      <c r="A261" s="389" t="s">
        <v>773</v>
      </c>
      <c r="B261" s="389" t="s">
        <v>22</v>
      </c>
      <c r="C261" s="100">
        <v>2.0</v>
      </c>
      <c r="D261" s="390" t="str">
        <f t="array" ref="D261">IF('Teachers sched'!D261="", "", 
  IFERROR(
    VLOOKUP(
      'Teachers sched'!$A261 &amp; "|" &amp; 
      LEFT('Teachers sched'!D261, FIND("-", 'Teachers sched'!D261) - 1),
      {
        SALONES!$A:$A &amp; "|" &amp; SALONES!$B:$B,
        SALONES!$C:$C
      },
      2,
      FALSE
    ) &amp; " - " &amp; 'Teachers sched'!D261,
    'Teachers sched'!D261
  )
)
</f>
        <v>931A - Geometry-7</v>
      </c>
      <c r="E261" s="390" t="str">
        <f t="array" ref="E261">IF('Teachers sched'!E261="", "", 
  IFERROR(
    VLOOKUP(
      'Teachers sched'!$A261 &amp; "|" &amp; 
      LEFT('Teachers sched'!E261, FIND("-", 'Teachers sched'!E261) - 1),
      {
        SALONES!$A:$A &amp; "|" &amp; SALONES!$B:$B,
        SALONES!$C:$C
      },
      2,
      FALSE
    ) &amp; " - " &amp; 'Teachers sched'!E261,
    'Teachers sched'!E261
  )
)
</f>
        <v>931A - Algebra I-4</v>
      </c>
      <c r="F261" s="390" t="str">
        <f t="array" ref="F261">IF('Teachers sched'!F261="", "", 
  IFERROR(
    VLOOKUP(
      'Teachers sched'!$A261 &amp; "|" &amp; 
      LEFT('Teachers sched'!F261, FIND("-", 'Teachers sched'!F261) - 1),
      {
        SALONES!$A:$A &amp; "|" &amp; SALONES!$B:$B,
        SALONES!$C:$C
      },
      2,
      FALSE
    ) &amp; " - " &amp; 'Teachers sched'!F261,
    'Teachers sched'!F261
  )
)
</f>
        <v/>
      </c>
      <c r="G261" s="390" t="str">
        <f t="array" ref="G261">IF('Teachers sched'!G261="", "", 
  IFERROR(
    VLOOKUP(
      'Teachers sched'!$A261 &amp; "|" &amp; 
      LEFT('Teachers sched'!G261, FIND("-", 'Teachers sched'!G261) - 1),
      {
        SALONES!$A:$A &amp; "|" &amp; SALONES!$B:$B,
        SALONES!$C:$C
      },
      2,
      FALSE
    ) &amp; " - " &amp; 'Teachers sched'!G261,
    'Teachers sched'!G261
  )
)
</f>
        <v>931A - Geometry-1</v>
      </c>
      <c r="H261" s="390" t="str">
        <f t="array" ref="H261">IF('Teachers sched'!H261="", "", 
  IFERROR(
    VLOOKUP(
      'Teachers sched'!$A261 &amp; "|" &amp; 
      LEFT('Teachers sched'!H261, FIND("-", 'Teachers sched'!H261) - 1),
      {
        SALONES!$A:$A &amp; "|" &amp; SALONES!$B:$B,
        SALONES!$C:$C
      },
      2,
      FALSE
    ) &amp; " - " &amp; 'Teachers sched'!H261,
    'Teachers sched'!H261
  )
)
</f>
        <v/>
      </c>
      <c r="I261" s="53"/>
      <c r="J261" s="392"/>
      <c r="K261" s="389" t="s">
        <v>22</v>
      </c>
      <c r="L261" s="389" t="s">
        <v>22</v>
      </c>
      <c r="M261" s="100">
        <v>2.0</v>
      </c>
      <c r="N261" s="390" t="s">
        <v>22</v>
      </c>
      <c r="O261" s="390" t="s">
        <v>22</v>
      </c>
      <c r="P261" s="390" t="s">
        <v>22</v>
      </c>
      <c r="Q261" s="390" t="s">
        <v>22</v>
      </c>
      <c r="R261" s="390" t="s">
        <v>22</v>
      </c>
      <c r="S261" s="53"/>
      <c r="T261" s="393"/>
    </row>
    <row r="262">
      <c r="A262" s="389" t="s">
        <v>773</v>
      </c>
      <c r="B262" s="389" t="s">
        <v>22</v>
      </c>
      <c r="C262" s="100">
        <v>3.0</v>
      </c>
      <c r="D262" s="390" t="str">
        <f t="array" ref="D262">IF('Teachers sched'!D262="", "", 
  IFERROR(
    VLOOKUP(
      'Teachers sched'!$A262 &amp; "|" &amp; 
      LEFT('Teachers sched'!D262, FIND("-", 'Teachers sched'!D262) - 1),
      {
        SALONES!$A:$A &amp; "|" &amp; SALONES!$B:$B,
        SALONES!$C:$C
      },
      2,
      FALSE
    ) &amp; " - " &amp; 'Teachers sched'!D262,
    'Teachers sched'!D262
  )
)
</f>
        <v>931A - Algebra I-3</v>
      </c>
      <c r="E262" s="390" t="str">
        <f t="array" ref="E262">IF('Teachers sched'!E262="", "", 
  IFERROR(
    VLOOKUP(
      'Teachers sched'!$A262 &amp; "|" &amp; 
      LEFT('Teachers sched'!E262, FIND("-", 'Teachers sched'!E262) - 1),
      {
        SALONES!$A:$A &amp; "|" &amp; SALONES!$B:$B,
        SALONES!$C:$C
      },
      2,
      FALSE
    ) &amp; " - " &amp; 'Teachers sched'!E262,
    'Teachers sched'!E262
  )
)
</f>
        <v/>
      </c>
      <c r="F262" s="390" t="str">
        <f t="array" ref="F262">IF('Teachers sched'!F262="", "", 
  IFERROR(
    VLOOKUP(
      'Teachers sched'!$A262 &amp; "|" &amp; 
      LEFT('Teachers sched'!F262, FIND("-", 'Teachers sched'!F262) - 1),
      {
        SALONES!$A:$A &amp; "|" &amp; SALONES!$B:$B,
        SALONES!$C:$C
      },
      2,
      FALSE
    ) &amp; " - " &amp; 'Teachers sched'!F262,
    'Teachers sched'!F262
  )
)
</f>
        <v/>
      </c>
      <c r="G262" s="390" t="str">
        <f t="array" ref="G262">IF('Teachers sched'!G262="", "", 
  IFERROR(
    VLOOKUP(
      'Teachers sched'!$A262 &amp; "|" &amp; 
      LEFT('Teachers sched'!G262, FIND("-", 'Teachers sched'!G262) - 1),
      {
        SALONES!$A:$A &amp; "|" &amp; SALONES!$B:$B,
        SALONES!$C:$C
      },
      2,
      FALSE
    ) &amp; " - " &amp; 'Teachers sched'!G262,
    'Teachers sched'!G262
  )
)
</f>
        <v>931A - Geometry-7</v>
      </c>
      <c r="H262" s="395" t="str">
        <f t="array" ref="H262">IF('Teachers sched'!H262="", "", 
  IFERROR(
    VLOOKUP(
      'Teachers sched'!$A262 &amp; "|" &amp; 
      LEFT('Teachers sched'!H262, FIND("-", 'Teachers sched'!H262) - 1),
      {
        SALONES!$A:$A &amp; "|" &amp; SALONES!$B:$B,
        SALONES!$C:$C
      },
      2,
      FALSE
    ) &amp; " - " &amp; 'Teachers sched'!H262,
    'Teachers sched'!H262
  )
)
</f>
        <v>X-Block</v>
      </c>
      <c r="I262" s="53"/>
      <c r="J262" s="392"/>
      <c r="K262" s="389" t="s">
        <v>22</v>
      </c>
      <c r="L262" s="389" t="s">
        <v>22</v>
      </c>
      <c r="M262" s="100">
        <v>3.0</v>
      </c>
      <c r="N262" s="390" t="s">
        <v>22</v>
      </c>
      <c r="O262" s="390" t="s">
        <v>22</v>
      </c>
      <c r="P262" s="390" t="s">
        <v>22</v>
      </c>
      <c r="Q262" s="390" t="s">
        <v>22</v>
      </c>
      <c r="R262" s="395" t="s">
        <v>22</v>
      </c>
      <c r="S262" s="53"/>
      <c r="T262" s="393"/>
    </row>
    <row r="263">
      <c r="A263" s="389" t="s">
        <v>773</v>
      </c>
      <c r="B263" s="389" t="s">
        <v>22</v>
      </c>
      <c r="C263" s="100">
        <v>4.0</v>
      </c>
      <c r="D263" s="390" t="str">
        <f t="array" ref="D263">IF('Teachers sched'!D263="", "", 
  IFERROR(
    VLOOKUP(
      'Teachers sched'!$A263 &amp; "|" &amp; 
      LEFT('Teachers sched'!D263, FIND("-", 'Teachers sched'!D263) - 1),
      {
        SALONES!$A:$A &amp; "|" &amp; SALONES!$B:$B,
        SALONES!$C:$C
      },
      2,
      FALSE
    ) &amp; " - " &amp; 'Teachers sched'!D263,
    'Teachers sched'!D263
  )
)
</f>
        <v/>
      </c>
      <c r="E263" s="390" t="str">
        <f t="array" ref="E263">IF('Teachers sched'!E263="", "", 
  IFERROR(
    VLOOKUP(
      'Teachers sched'!$A263 &amp; "|" &amp; 
      LEFT('Teachers sched'!E263, FIND("-", 'Teachers sched'!E263) - 1),
      {
        SALONES!$A:$A &amp; "|" &amp; SALONES!$B:$B,
        SALONES!$C:$C
      },
      2,
      FALSE
    ) &amp; " - " &amp; 'Teachers sched'!E263,
    'Teachers sched'!E263
  )
)
</f>
        <v>931A - Geometry-1</v>
      </c>
      <c r="F263" s="390" t="str">
        <f t="array" ref="F263">IF('Teachers sched'!F263="", "", 
  IFERROR(
    VLOOKUP(
      'Teachers sched'!$A263 &amp; "|" &amp; 
      LEFT('Teachers sched'!F263, FIND("-", 'Teachers sched'!F263) - 1),
      {
        SALONES!$A:$A &amp; "|" &amp; SALONES!$B:$B,
        SALONES!$C:$C
      },
      2,
      FALSE
    ) &amp; " - " &amp; 'Teachers sched'!F263,
    'Teachers sched'!F263
  )
)
</f>
        <v/>
      </c>
      <c r="G263" s="390" t="str">
        <f t="array" ref="G263">IF('Teachers sched'!G263="", "", 
  IFERROR(
    VLOOKUP(
      'Teachers sched'!$A263 &amp; "|" &amp; 
      LEFT('Teachers sched'!G263, FIND("-", 'Teachers sched'!G263) - 1),
      {
        SALONES!$A:$A &amp; "|" &amp; SALONES!$B:$B,
        SALONES!$C:$C
      },
      2,
      FALSE
    ) &amp; " - " &amp; 'Teachers sched'!G263,
    'Teachers sched'!G263
  )
)
</f>
        <v>931A - Algebra I-3</v>
      </c>
      <c r="H263" s="390" t="str">
        <f t="array" ref="H263">IF('Teachers sched'!H263="", "", 
  IFERROR(
    VLOOKUP(
      'Teachers sched'!$A263 &amp; "|" &amp; 
      LEFT('Teachers sched'!H263, FIND("-", 'Teachers sched'!H263) - 1),
      {
        SALONES!$A:$A &amp; "|" &amp; SALONES!$B:$B,
        SALONES!$C:$C
      },
      2,
      FALSE
    ) &amp; " - " &amp; 'Teachers sched'!H263,
    'Teachers sched'!H263
  )
)
</f>
        <v>931A - Algebra I-4</v>
      </c>
      <c r="I263" s="53"/>
      <c r="J263" s="392"/>
      <c r="K263" s="389" t="s">
        <v>22</v>
      </c>
      <c r="L263" s="389" t="s">
        <v>22</v>
      </c>
      <c r="M263" s="100">
        <v>4.0</v>
      </c>
      <c r="N263" s="390" t="s">
        <v>22</v>
      </c>
      <c r="O263" s="390" t="s">
        <v>22</v>
      </c>
      <c r="P263" s="390" t="s">
        <v>22</v>
      </c>
      <c r="Q263" s="390" t="s">
        <v>22</v>
      </c>
      <c r="R263" s="390" t="s">
        <v>22</v>
      </c>
      <c r="S263" s="53"/>
      <c r="T263" s="393"/>
    </row>
    <row r="264">
      <c r="A264" s="389" t="s">
        <v>773</v>
      </c>
      <c r="B264" s="389" t="s">
        <v>22</v>
      </c>
      <c r="C264" s="100">
        <v>5.0</v>
      </c>
      <c r="D264" s="390" t="str">
        <f t="array" ref="D264">IF('Teachers sched'!D264="", "", 
  IFERROR(
    VLOOKUP(
      'Teachers sched'!$A264 &amp; "|" &amp; 
      LEFT('Teachers sched'!D264, FIND("-", 'Teachers sched'!D264) - 1),
      {
        SALONES!$A:$A &amp; "|" &amp; SALONES!$B:$B,
        SALONES!$C:$C
      },
      2,
      FALSE
    ) &amp; " - " &amp; 'Teachers sched'!D264,
    'Teachers sched'!D264
  )
)
</f>
        <v/>
      </c>
      <c r="E264" s="390" t="str">
        <f t="array" ref="E264">IF('Teachers sched'!E264="", "", 
  IFERROR(
    VLOOKUP(
      'Teachers sched'!$A264 &amp; "|" &amp; 
      LEFT('Teachers sched'!E264, FIND("-", 'Teachers sched'!E264) - 1),
      {
        SALONES!$A:$A &amp; "|" &amp; SALONES!$B:$B,
        SALONES!$C:$C
      },
      2,
      FALSE
    ) &amp; " - " &amp; 'Teachers sched'!E264,
    'Teachers sched'!E264
  )
)
</f>
        <v>931A - Geometry-7</v>
      </c>
      <c r="F264" s="390" t="str">
        <f t="array" ref="F264">IF('Teachers sched'!F264="", "", 
  IFERROR(
    VLOOKUP(
      'Teachers sched'!$A264 &amp; "|" &amp; 
      LEFT('Teachers sched'!F264, FIND("-", 'Teachers sched'!F264) - 1),
      {
        SALONES!$A:$A &amp; "|" &amp; SALONES!$B:$B,
        SALONES!$C:$C
      },
      2,
      FALSE
    ) &amp; " - " &amp; 'Teachers sched'!F264,
    'Teachers sched'!F264
  )
)
</f>
        <v>931A - Algebra I-4</v>
      </c>
      <c r="G264" s="390" t="str">
        <f t="array" ref="G264">IF('Teachers sched'!G264="", "", 
  IFERROR(
    VLOOKUP(
      'Teachers sched'!$A264 &amp; "|" &amp; 
      LEFT('Teachers sched'!G264, FIND("-", 'Teachers sched'!G264) - 1),
      {
        SALONES!$A:$A &amp; "|" &amp; SALONES!$B:$B,
        SALONES!$C:$C
      },
      2,
      FALSE
    ) &amp; " - " &amp; 'Teachers sched'!G264,
    'Teachers sched'!G264
  )
)
</f>
        <v/>
      </c>
      <c r="H264" s="390" t="str">
        <f t="array" ref="H264">IF('Teachers sched'!H264="", "", 
  IFERROR(
    VLOOKUP(
      'Teachers sched'!$A264 &amp; "|" &amp; 
      LEFT('Teachers sched'!H264, FIND("-", 'Teachers sched'!H264) - 1),
      {
        SALONES!$A:$A &amp; "|" &amp; SALONES!$B:$B,
        SALONES!$C:$C
      },
      2,
      FALSE
    ) &amp; " - " &amp; 'Teachers sched'!H264,
    'Teachers sched'!H264
  )
)
</f>
        <v/>
      </c>
      <c r="I264" s="68"/>
      <c r="J264" s="392"/>
      <c r="K264" s="389" t="s">
        <v>22</v>
      </c>
      <c r="L264" s="389" t="s">
        <v>22</v>
      </c>
      <c r="M264" s="100">
        <v>5.0</v>
      </c>
      <c r="N264" s="390" t="s">
        <v>22</v>
      </c>
      <c r="O264" s="390" t="s">
        <v>22</v>
      </c>
      <c r="P264" s="390" t="s">
        <v>22</v>
      </c>
      <c r="Q264" s="390" t="s">
        <v>22</v>
      </c>
      <c r="R264" s="390" t="s">
        <v>22</v>
      </c>
      <c r="S264" s="68"/>
      <c r="T264" s="393"/>
    </row>
    <row r="265">
      <c r="C265" s="3"/>
      <c r="D265" s="396"/>
      <c r="E265" s="396"/>
      <c r="F265" s="396"/>
      <c r="G265" s="396"/>
      <c r="H265" s="396"/>
      <c r="N265" s="397"/>
      <c r="O265" s="397"/>
      <c r="P265" s="397"/>
      <c r="Q265" s="397"/>
      <c r="R265" s="397"/>
    </row>
    <row r="266">
      <c r="A266" s="45"/>
      <c r="B266" s="45"/>
      <c r="C266" s="386" t="s">
        <v>50</v>
      </c>
      <c r="D266" s="383"/>
      <c r="E266" s="383"/>
      <c r="F266" s="383"/>
      <c r="G266" s="383"/>
      <c r="H266" s="384"/>
      <c r="I266" s="385" t="str">
        <f>IFERROR(__xludf.DUMMYFUNCTION("if(C266="""","""", iferror(filter(Schedule!$K:$K,Schedule!$L:$L=$C266,Schedule!$K:$K=""S1""),unique(filter(Schedule!$K:$K,Schedule!$L:$L=$C266,Schedule!$K:$K=""""))))"),"")</f>
        <v/>
      </c>
      <c r="M266" s="386" t="s">
        <v>22</v>
      </c>
      <c r="N266" s="383"/>
      <c r="O266" s="383"/>
      <c r="P266" s="383"/>
      <c r="Q266" s="383"/>
      <c r="R266" s="384"/>
      <c r="S266" s="385" t="s">
        <v>22</v>
      </c>
      <c r="T266" s="112"/>
    </row>
    <row r="267">
      <c r="A267" s="116"/>
      <c r="B267" s="116"/>
      <c r="C267" s="100" t="s">
        <v>7</v>
      </c>
      <c r="D267" s="387" t="s">
        <v>8</v>
      </c>
      <c r="E267" s="387" t="s">
        <v>9</v>
      </c>
      <c r="F267" s="387" t="s">
        <v>10</v>
      </c>
      <c r="G267" s="387" t="s">
        <v>11</v>
      </c>
      <c r="H267" s="387" t="s">
        <v>12</v>
      </c>
      <c r="I267" s="21" t="s">
        <v>766</v>
      </c>
      <c r="J267" s="116"/>
      <c r="K267" s="116"/>
      <c r="L267" s="116"/>
      <c r="M267" s="100" t="s">
        <v>7</v>
      </c>
      <c r="N267" s="387" t="s">
        <v>8</v>
      </c>
      <c r="O267" s="387" t="s">
        <v>9</v>
      </c>
      <c r="P267" s="387" t="s">
        <v>10</v>
      </c>
      <c r="Q267" s="387" t="s">
        <v>11</v>
      </c>
      <c r="R267" s="387" t="s">
        <v>12</v>
      </c>
      <c r="S267" s="21" t="s">
        <v>766</v>
      </c>
      <c r="T267" s="388"/>
    </row>
    <row r="268">
      <c r="A268" s="389" t="s">
        <v>50</v>
      </c>
      <c r="B268" s="389" t="s">
        <v>22</v>
      </c>
      <c r="C268" s="100">
        <v>1.0</v>
      </c>
      <c r="D268" s="390" t="str">
        <f t="array" ref="D268">IF('Teachers sched'!D268="", "", 
  IFERROR(
    VLOOKUP(
      'Teachers sched'!$A268 &amp; "|" &amp; 
      LEFT('Teachers sched'!D268, FIND("-", 'Teachers sched'!D268) - 1),
      {
        SALONES!$A:$A &amp; "|" &amp; SALONES!$B:$B,
        SALONES!$C:$C
      },
      2,
      FALSE
    ) &amp; " - " &amp; 'Teachers sched'!D268,
    'Teachers sched'!D268
  )
)
</f>
        <v/>
      </c>
      <c r="E268" s="390" t="str">
        <f t="array" ref="E268">IF('Teachers sched'!E268="", "", 
  IFERROR(
    VLOOKUP(
      'Teachers sched'!$A268 &amp; "|" &amp; 
      LEFT('Teachers sched'!E268, FIND("-", 'Teachers sched'!E268) - 1),
      {
        SALONES!$A:$A &amp; "|" &amp; SALONES!$B:$B,
        SALONES!$C:$C
      },
      2,
      FALSE
    ) &amp; " - " &amp; 'Teachers sched'!E268,
    'Teachers sched'!E268
  )
)
</f>
        <v>908 - AP Seminar-3</v>
      </c>
      <c r="F268" s="390" t="str">
        <f t="array" ref="F268">IF('Teachers sched'!F268="", "", 
  IFERROR(
    VLOOKUP(
      'Teachers sched'!$A268 &amp; "|" &amp; 
      LEFT('Teachers sched'!F268, FIND("-", 'Teachers sched'!F268) - 1),
      {
        SALONES!$A:$A &amp; "|" &amp; SALONES!$B:$B,
        SALONES!$C:$C
      },
      2,
      FALSE
    ) &amp; " - " &amp; 'Teachers sched'!F268,
    'Teachers sched'!F268
  )
)
</f>
        <v>908 - Social Studies 9-1</v>
      </c>
      <c r="G268" s="390" t="str">
        <f t="array" ref="G268">IF('Teachers sched'!G268="", "", 
  IFERROR(
    VLOOKUP(
      'Teachers sched'!$A268 &amp; "|" &amp; 
      LEFT('Teachers sched'!G268, FIND("-", 'Teachers sched'!G268) - 1),
      {
        SALONES!$A:$A &amp; "|" &amp; SALONES!$B:$B,
        SALONES!$C:$C
      },
      2,
      FALSE
    ) &amp; " - " &amp; 'Teachers sched'!G268,
    'Teachers sched'!G268
  )
)
</f>
        <v>908 - Social Studies 9-4</v>
      </c>
      <c r="H268" s="390" t="str">
        <f t="array" ref="H268">IF('Teachers sched'!H268="", "", 
  IFERROR(
    VLOOKUP(
      'Teachers sched'!$A268 &amp; "|" &amp; 
      LEFT('Teachers sched'!H268, FIND("-", 'Teachers sched'!H268) - 1),
      {
        SALONES!$A:$A &amp; "|" &amp; SALONES!$B:$B,
        SALONES!$C:$C
      },
      2,
      FALSE
    ) &amp; " - " &amp; 'Teachers sched'!H268,
    'Teachers sched'!H268
  )
)
</f>
        <v/>
      </c>
      <c r="I268" s="391">
        <f>if(C266="","", 24-countifs(D268:H272,""))</f>
        <v>15</v>
      </c>
      <c r="J268" s="392"/>
      <c r="K268" s="389" t="s">
        <v>22</v>
      </c>
      <c r="L268" s="389" t="s">
        <v>22</v>
      </c>
      <c r="M268" s="100">
        <v>1.0</v>
      </c>
      <c r="N268" s="390" t="s">
        <v>22</v>
      </c>
      <c r="O268" s="390" t="s">
        <v>22</v>
      </c>
      <c r="P268" s="390" t="s">
        <v>22</v>
      </c>
      <c r="Q268" s="390" t="s">
        <v>22</v>
      </c>
      <c r="R268" s="390" t="s">
        <v>22</v>
      </c>
      <c r="S268" s="391" t="s">
        <v>22</v>
      </c>
      <c r="T268" s="393"/>
    </row>
    <row r="269">
      <c r="A269" s="389" t="s">
        <v>50</v>
      </c>
      <c r="B269" s="389" t="s">
        <v>22</v>
      </c>
      <c r="C269" s="100">
        <v>2.0</v>
      </c>
      <c r="D269" s="390" t="str">
        <f t="array" ref="D269">IF('Teachers sched'!D269="", "", 
  IFERROR(
    VLOOKUP(
      'Teachers sched'!$A269 &amp; "|" &amp; 
      LEFT('Teachers sched'!D269, FIND("-", 'Teachers sched'!D269) - 1),
      {
        SALONES!$A:$A &amp; "|" &amp; SALONES!$B:$B,
        SALONES!$C:$C
      },
      2,
      FALSE
    ) &amp; " - " &amp; 'Teachers sched'!D269,
    'Teachers sched'!D269
  )
)
</f>
        <v/>
      </c>
      <c r="E269" s="390" t="str">
        <f t="array" ref="E269">IF('Teachers sched'!E269="", "", 
  IFERROR(
    VLOOKUP(
      'Teachers sched'!$A269 &amp; "|" &amp; 
      LEFT('Teachers sched'!E269, FIND("-", 'Teachers sched'!E269) - 1),
      {
        SALONES!$A:$A &amp; "|" &amp; SALONES!$B:$B,
        SALONES!$C:$C
      },
      2,
      FALSE
    ) &amp; " - " &amp; 'Teachers sched'!E269,
    'Teachers sched'!E269
  )
)
</f>
        <v>908 - Social Studies 9-3</v>
      </c>
      <c r="F269" s="390" t="str">
        <f t="array" ref="F269">IF('Teachers sched'!F269="", "", 
  IFERROR(
    VLOOKUP(
      'Teachers sched'!$A269 &amp; "|" &amp; 
      LEFT('Teachers sched'!F269, FIND("-", 'Teachers sched'!F269) - 1),
      {
        SALONES!$A:$A &amp; "|" &amp; SALONES!$B:$B,
        SALONES!$C:$C
      },
      2,
      FALSE
    ) &amp; " - " &amp; 'Teachers sched'!F269,
    'Teachers sched'!F269
  )
)
</f>
        <v>908 - Social Studies 9-2</v>
      </c>
      <c r="G269" s="390" t="str">
        <f t="array" ref="G269">IF('Teachers sched'!G269="", "", 
  IFERROR(
    VLOOKUP(
      'Teachers sched'!$A269 &amp; "|" &amp; 
      LEFT('Teachers sched'!G269, FIND("-", 'Teachers sched'!G269) - 1),
      {
        SALONES!$A:$A &amp; "|" &amp; SALONES!$B:$B,
        SALONES!$C:$C
      },
      2,
      FALSE
    ) &amp; " - " &amp; 'Teachers sched'!G269,
    'Teachers sched'!G269
  )
)
</f>
        <v/>
      </c>
      <c r="H269" s="390" t="str">
        <f t="array" ref="H269">IF('Teachers sched'!H269="", "", 
  IFERROR(
    VLOOKUP(
      'Teachers sched'!$A269 &amp; "|" &amp; 
      LEFT('Teachers sched'!H269, FIND("-", 'Teachers sched'!H269) - 1),
      {
        SALONES!$A:$A &amp; "|" &amp; SALONES!$B:$B,
        SALONES!$C:$C
      },
      2,
      FALSE
    ) &amp; " - " &amp; 'Teachers sched'!H269,
    'Teachers sched'!H269
  )
)
</f>
        <v>908 - AP Seminar-3</v>
      </c>
      <c r="I269" s="53"/>
      <c r="J269" s="392"/>
      <c r="K269" s="389" t="s">
        <v>22</v>
      </c>
      <c r="L269" s="389" t="s">
        <v>22</v>
      </c>
      <c r="M269" s="100">
        <v>2.0</v>
      </c>
      <c r="N269" s="390" t="s">
        <v>22</v>
      </c>
      <c r="O269" s="390" t="s">
        <v>22</v>
      </c>
      <c r="P269" s="390" t="s">
        <v>22</v>
      </c>
      <c r="Q269" s="390" t="s">
        <v>22</v>
      </c>
      <c r="R269" s="390" t="s">
        <v>22</v>
      </c>
      <c r="S269" s="53"/>
      <c r="T269" s="393"/>
    </row>
    <row r="270">
      <c r="A270" s="389" t="s">
        <v>50</v>
      </c>
      <c r="B270" s="389" t="s">
        <v>22</v>
      </c>
      <c r="C270" s="100">
        <v>3.0</v>
      </c>
      <c r="D270" s="390" t="str">
        <f t="array" ref="D270">IF('Teachers sched'!D270="", "", 
  IFERROR(
    VLOOKUP(
      'Teachers sched'!$A270 &amp; "|" &amp; 
      LEFT('Teachers sched'!D270, FIND("-", 'Teachers sched'!D270) - 1),
      {
        SALONES!$A:$A &amp; "|" &amp; SALONES!$B:$B,
        SALONES!$C:$C
      },
      2,
      FALSE
    ) &amp; " - " &amp; 'Teachers sched'!D270,
    'Teachers sched'!D270
  )
)
</f>
        <v>908 - Social Studies 9-1</v>
      </c>
      <c r="E270" s="390" t="str">
        <f t="array" ref="E270">IF('Teachers sched'!E270="", "", 
  IFERROR(
    VLOOKUP(
      'Teachers sched'!$A270 &amp; "|" &amp; 
      LEFT('Teachers sched'!E270, FIND("-", 'Teachers sched'!E270) - 1),
      {
        SALONES!$A:$A &amp; "|" &amp; SALONES!$B:$B,
        SALONES!$C:$C
      },
      2,
      FALSE
    ) &amp; " - " &amp; 'Teachers sched'!E270,
    'Teachers sched'!E270
  )
)
</f>
        <v>908 - Social Studies 9-4</v>
      </c>
      <c r="F270" s="390" t="str">
        <f t="array" ref="F270">IF('Teachers sched'!F270="", "", 
  IFERROR(
    VLOOKUP(
      'Teachers sched'!$A270 &amp; "|" &amp; 
      LEFT('Teachers sched'!F270, FIND("-", 'Teachers sched'!F270) - 1),
      {
        SALONES!$A:$A &amp; "|" &amp; SALONES!$B:$B,
        SALONES!$C:$C
      },
      2,
      FALSE
    ) &amp; " - " &amp; 'Teachers sched'!F270,
    'Teachers sched'!F270
  )
)
</f>
        <v/>
      </c>
      <c r="G270" s="390" t="str">
        <f t="array" ref="G270">IF('Teachers sched'!G270="", "", 
  IFERROR(
    VLOOKUP(
      'Teachers sched'!$A270 &amp; "|" &amp; 
      LEFT('Teachers sched'!G270, FIND("-", 'Teachers sched'!G270) - 1),
      {
        SALONES!$A:$A &amp; "|" &amp; SALONES!$B:$B,
        SALONES!$C:$C
      },
      2,
      FALSE
    ) &amp; " - " &amp; 'Teachers sched'!G270,
    'Teachers sched'!G270
  )
)
</f>
        <v/>
      </c>
      <c r="H270" s="395" t="str">
        <f t="array" ref="H270">IF('Teachers sched'!H270="", "", 
  IFERROR(
    VLOOKUP(
      'Teachers sched'!$A270 &amp; "|" &amp; 
      LEFT('Teachers sched'!H270, FIND("-", 'Teachers sched'!H270) - 1),
      {
        SALONES!$A:$A &amp; "|" &amp; SALONES!$B:$B,
        SALONES!$C:$C
      },
      2,
      FALSE
    ) &amp; " - " &amp; 'Teachers sched'!H270,
    'Teachers sched'!H270
  )
)
</f>
        <v>X-Block</v>
      </c>
      <c r="I270" s="53"/>
      <c r="J270" s="392"/>
      <c r="K270" s="389" t="s">
        <v>22</v>
      </c>
      <c r="L270" s="389" t="s">
        <v>22</v>
      </c>
      <c r="M270" s="100">
        <v>3.0</v>
      </c>
      <c r="N270" s="390" t="s">
        <v>22</v>
      </c>
      <c r="O270" s="390" t="s">
        <v>22</v>
      </c>
      <c r="P270" s="390" t="s">
        <v>22</v>
      </c>
      <c r="Q270" s="390" t="s">
        <v>22</v>
      </c>
      <c r="R270" s="395" t="s">
        <v>22</v>
      </c>
      <c r="S270" s="53"/>
      <c r="T270" s="393"/>
    </row>
    <row r="271">
      <c r="A271" s="389" t="s">
        <v>50</v>
      </c>
      <c r="B271" s="389" t="s">
        <v>22</v>
      </c>
      <c r="C271" s="100">
        <v>4.0</v>
      </c>
      <c r="D271" s="390" t="str">
        <f t="array" ref="D271">IF('Teachers sched'!D271="", "", 
  IFERROR(
    VLOOKUP(
      'Teachers sched'!$A271 &amp; "|" &amp; 
      LEFT('Teachers sched'!D271, FIND("-", 'Teachers sched'!D271) - 1),
      {
        SALONES!$A:$A &amp; "|" &amp; SALONES!$B:$B,
        SALONES!$C:$C
      },
      2,
      FALSE
    ) &amp; " - " &amp; 'Teachers sched'!D271,
    'Teachers sched'!D271
  )
)
</f>
        <v>908 - Social Studies 9-2</v>
      </c>
      <c r="E271" s="390" t="str">
        <f t="array" ref="E271">IF('Teachers sched'!E271="", "", 
  IFERROR(
    VLOOKUP(
      'Teachers sched'!$A271 &amp; "|" &amp; 
      LEFT('Teachers sched'!E271, FIND("-", 'Teachers sched'!E271) - 1),
      {
        SALONES!$A:$A &amp; "|" &amp; SALONES!$B:$B,
        SALONES!$C:$C
      },
      2,
      FALSE
    ) &amp; " - " &amp; 'Teachers sched'!E271,
    'Teachers sched'!E271
  )
)
</f>
        <v/>
      </c>
      <c r="F271" s="390" t="str">
        <f t="array" ref="F271">IF('Teachers sched'!F271="", "", 
  IFERROR(
    VLOOKUP(
      'Teachers sched'!$A271 &amp; "|" &amp; 
      LEFT('Teachers sched'!F271, FIND("-", 'Teachers sched'!F271) - 1),
      {
        SALONES!$A:$A &amp; "|" &amp; SALONES!$B:$B,
        SALONES!$C:$C
      },
      2,
      FALSE
    ) &amp; " - " &amp; 'Teachers sched'!F271,
    'Teachers sched'!F271
  )
)
</f>
        <v>908 - AP Seminar-3</v>
      </c>
      <c r="G271" s="390" t="str">
        <f t="array" ref="G271">IF('Teachers sched'!G271="", "", 
  IFERROR(
    VLOOKUP(
      'Teachers sched'!$A271 &amp; "|" &amp; 
      LEFT('Teachers sched'!G271, FIND("-", 'Teachers sched'!G271) - 1),
      {
        SALONES!$A:$A &amp; "|" &amp; SALONES!$B:$B,
        SALONES!$C:$C
      },
      2,
      FALSE
    ) &amp; " - " &amp; 'Teachers sched'!G271,
    'Teachers sched'!G271
  )
)
</f>
        <v>908 - Social Studies 9-1</v>
      </c>
      <c r="H271" s="390" t="str">
        <f t="array" ref="H271">IF('Teachers sched'!H271="", "", 
  IFERROR(
    VLOOKUP(
      'Teachers sched'!$A271 &amp; "|" &amp; 
      LEFT('Teachers sched'!H271, FIND("-", 'Teachers sched'!H271) - 1),
      {
        SALONES!$A:$A &amp; "|" &amp; SALONES!$B:$B,
        SALONES!$C:$C
      },
      2,
      FALSE
    ) &amp; " - " &amp; 'Teachers sched'!H271,
    'Teachers sched'!H271
  )
)
</f>
        <v>908 - Social Studies 9-3</v>
      </c>
      <c r="I271" s="53"/>
      <c r="J271" s="392"/>
      <c r="K271" s="389" t="s">
        <v>22</v>
      </c>
      <c r="L271" s="389" t="s">
        <v>22</v>
      </c>
      <c r="M271" s="100">
        <v>4.0</v>
      </c>
      <c r="N271" s="390" t="s">
        <v>22</v>
      </c>
      <c r="O271" s="390" t="s">
        <v>22</v>
      </c>
      <c r="P271" s="390" t="s">
        <v>22</v>
      </c>
      <c r="Q271" s="390" t="s">
        <v>22</v>
      </c>
      <c r="R271" s="390" t="s">
        <v>22</v>
      </c>
      <c r="S271" s="53"/>
      <c r="T271" s="393"/>
    </row>
    <row r="272">
      <c r="A272" s="389" t="s">
        <v>50</v>
      </c>
      <c r="B272" s="389" t="s">
        <v>22</v>
      </c>
      <c r="C272" s="100">
        <v>5.0</v>
      </c>
      <c r="D272" s="390" t="str">
        <f t="array" ref="D272">IF('Teachers sched'!D272="", "", 
  IFERROR(
    VLOOKUP(
      'Teachers sched'!$A272 &amp; "|" &amp; 
      LEFT('Teachers sched'!D272, FIND("-", 'Teachers sched'!D272) - 1),
      {
        SALONES!$A:$A &amp; "|" &amp; SALONES!$B:$B,
        SALONES!$C:$C
      },
      2,
      FALSE
    ) &amp; " - " &amp; 'Teachers sched'!D272,
    'Teachers sched'!D272
  )
)
</f>
        <v/>
      </c>
      <c r="E272" s="390" t="str">
        <f t="array" ref="E272">IF('Teachers sched'!E272="", "", 
  IFERROR(
    VLOOKUP(
      'Teachers sched'!$A272 &amp; "|" &amp; 
      LEFT('Teachers sched'!E272, FIND("-", 'Teachers sched'!E272) - 1),
      {
        SALONES!$A:$A &amp; "|" &amp; SALONES!$B:$B,
        SALONES!$C:$C
      },
      2,
      FALSE
    ) &amp; " - " &amp; 'Teachers sched'!E272,
    'Teachers sched'!E272
  )
)
</f>
        <v/>
      </c>
      <c r="F272" s="390" t="str">
        <f t="array" ref="F272">IF('Teachers sched'!F272="", "", 
  IFERROR(
    VLOOKUP(
      'Teachers sched'!$A272 &amp; "|" &amp; 
      LEFT('Teachers sched'!F272, FIND("-", 'Teachers sched'!F272) - 1),
      {
        SALONES!$A:$A &amp; "|" &amp; SALONES!$B:$B,
        SALONES!$C:$C
      },
      2,
      FALSE
    ) &amp; " - " &amp; 'Teachers sched'!F272,
    'Teachers sched'!F272
  )
)
</f>
        <v>908 - Social Studies 9-3</v>
      </c>
      <c r="G272" s="390" t="str">
        <f t="array" ref="G272">IF('Teachers sched'!G272="", "", 
  IFERROR(
    VLOOKUP(
      'Teachers sched'!$A272 &amp; "|" &amp; 
      LEFT('Teachers sched'!G272, FIND("-", 'Teachers sched'!G272) - 1),
      {
        SALONES!$A:$A &amp; "|" &amp; SALONES!$B:$B,
        SALONES!$C:$C
      },
      2,
      FALSE
    ) &amp; " - " &amp; 'Teachers sched'!G272,
    'Teachers sched'!G272
  )
)
</f>
        <v>908 - Social Studies 9-2</v>
      </c>
      <c r="H272" s="390" t="str">
        <f t="array" ref="H272">IF('Teachers sched'!H272="", "", 
  IFERROR(
    VLOOKUP(
      'Teachers sched'!$A272 &amp; "|" &amp; 
      LEFT('Teachers sched'!H272, FIND("-", 'Teachers sched'!H272) - 1),
      {
        SALONES!$A:$A &amp; "|" &amp; SALONES!$B:$B,
        SALONES!$C:$C
      },
      2,
      FALSE
    ) &amp; " - " &amp; 'Teachers sched'!H272,
    'Teachers sched'!H272
  )
)
</f>
        <v>908 - Social Studies 9-4</v>
      </c>
      <c r="I272" s="68"/>
      <c r="J272" s="392"/>
      <c r="K272" s="389" t="s">
        <v>22</v>
      </c>
      <c r="L272" s="389" t="s">
        <v>22</v>
      </c>
      <c r="M272" s="100">
        <v>5.0</v>
      </c>
      <c r="N272" s="390" t="s">
        <v>22</v>
      </c>
      <c r="O272" s="390" t="s">
        <v>22</v>
      </c>
      <c r="P272" s="390" t="s">
        <v>22</v>
      </c>
      <c r="Q272" s="390" t="s">
        <v>22</v>
      </c>
      <c r="R272" s="390" t="s">
        <v>22</v>
      </c>
      <c r="S272" s="68"/>
      <c r="T272" s="393"/>
    </row>
    <row r="273">
      <c r="C273" s="3"/>
      <c r="D273" s="396"/>
      <c r="E273" s="396"/>
      <c r="F273" s="396"/>
      <c r="G273" s="396"/>
      <c r="H273" s="396"/>
      <c r="N273" s="397"/>
      <c r="O273" s="397"/>
      <c r="P273" s="397"/>
      <c r="Q273" s="397"/>
      <c r="R273" s="397"/>
    </row>
    <row r="274">
      <c r="A274" s="45"/>
      <c r="B274" s="45"/>
      <c r="C274" s="386" t="s">
        <v>67</v>
      </c>
      <c r="D274" s="383"/>
      <c r="E274" s="383"/>
      <c r="F274" s="383"/>
      <c r="G274" s="383"/>
      <c r="H274" s="384"/>
      <c r="I274" s="385" t="str">
        <f>IFERROR(__xludf.DUMMYFUNCTION("if(C274="""","""", iferror(filter(Schedule!$K:$K,Schedule!$L:$L=$C274,Schedule!$K:$K=""S1""),unique(filter(Schedule!$K:$K,Schedule!$L:$L=$C274,Schedule!$K:$K=""""))))"),"")</f>
        <v/>
      </c>
      <c r="M274" s="386" t="s">
        <v>22</v>
      </c>
      <c r="N274" s="383"/>
      <c r="O274" s="383"/>
      <c r="P274" s="383"/>
      <c r="Q274" s="383"/>
      <c r="R274" s="384"/>
      <c r="S274" s="385" t="s">
        <v>22</v>
      </c>
      <c r="T274" s="112"/>
    </row>
    <row r="275">
      <c r="A275" s="116"/>
      <c r="B275" s="116"/>
      <c r="C275" s="100" t="s">
        <v>7</v>
      </c>
      <c r="D275" s="387" t="s">
        <v>8</v>
      </c>
      <c r="E275" s="387" t="s">
        <v>9</v>
      </c>
      <c r="F275" s="387" t="s">
        <v>10</v>
      </c>
      <c r="G275" s="387" t="s">
        <v>11</v>
      </c>
      <c r="H275" s="387" t="s">
        <v>12</v>
      </c>
      <c r="I275" s="21" t="s">
        <v>766</v>
      </c>
      <c r="J275" s="116"/>
      <c r="K275" s="116"/>
      <c r="L275" s="116"/>
      <c r="M275" s="100" t="s">
        <v>7</v>
      </c>
      <c r="N275" s="387" t="s">
        <v>8</v>
      </c>
      <c r="O275" s="387" t="s">
        <v>9</v>
      </c>
      <c r="P275" s="387" t="s">
        <v>10</v>
      </c>
      <c r="Q275" s="387" t="s">
        <v>11</v>
      </c>
      <c r="R275" s="387" t="s">
        <v>12</v>
      </c>
      <c r="S275" s="21" t="s">
        <v>766</v>
      </c>
      <c r="T275" s="388"/>
    </row>
    <row r="276">
      <c r="A276" s="389" t="s">
        <v>67</v>
      </c>
      <c r="B276" s="389" t="s">
        <v>22</v>
      </c>
      <c r="C276" s="100">
        <v>1.0</v>
      </c>
      <c r="D276" s="390" t="str">
        <f t="array" ref="D276">IF('Teachers sched'!D276="", "", 
  IFERROR(
    VLOOKUP(
      'Teachers sched'!$A276 &amp; "|" &amp; 
      LEFT('Teachers sched'!D276, FIND("-", 'Teachers sched'!D276) - 1),
      {
        SALONES!$A:$A &amp; "|" &amp; SALONES!$B:$B,
        SALONES!$C:$C
      },
      2,
      FALSE
    ) &amp; " - " &amp; 'Teachers sched'!D276,
    'Teachers sched'!D276
  )
)
</f>
        <v>933 - AP Spanish Language and Culture-1</v>
      </c>
      <c r="E276" s="390" t="str">
        <f t="array" ref="E276">IF('Teachers sched'!E276="", "", 
  IFERROR(
    VLOOKUP(
      'Teachers sched'!$A276 &amp; "|" &amp; 
      LEFT('Teachers sched'!E276, FIND("-", 'Teachers sched'!E276) - 1),
      {
        SALONES!$A:$A &amp; "|" &amp; SALONES!$B:$B,
        SALONES!$C:$C
      },
      2,
      FALSE
    ) &amp; " - " &amp; 'Teachers sched'!E276,
    'Teachers sched'!E276
  )
)
</f>
        <v/>
      </c>
      <c r="F276" s="390" t="str">
        <f t="array" ref="F276">IF('Teachers sched'!F276="", "", 
  IFERROR(
    VLOOKUP(
      'Teachers sched'!$A276 &amp; "|" &amp; 
      LEFT('Teachers sched'!F276, FIND("-", 'Teachers sched'!F276) - 1),
      {
        SALONES!$A:$A &amp; "|" &amp; SALONES!$B:$B,
        SALONES!$C:$C
      },
      2,
      FALSE
    ) &amp; " - " &amp; 'Teachers sched'!F276,
    'Teachers sched'!F276
  )
)
</f>
        <v>933 - AP Spanish Language and Culture-2</v>
      </c>
      <c r="G276" s="390" t="str">
        <f t="array" ref="G276">IF('Teachers sched'!G276="", "", 
  IFERROR(
    VLOOKUP(
      'Teachers sched'!$A276 &amp; "|" &amp; 
      LEFT('Teachers sched'!G276, FIND("-", 'Teachers sched'!G276) - 1),
      {
        SALONES!$A:$A &amp; "|" &amp; SALONES!$B:$B,
        SALONES!$C:$C
      },
      2,
      FALSE
    ) &amp; " - " &amp; 'Teachers sched'!G276,
    'Teachers sched'!G276
  )
)
</f>
        <v>933 - AP Spanish Language and Culture-5</v>
      </c>
      <c r="H276" s="390" t="str">
        <f t="array" ref="H276">IF('Teachers sched'!H276="", "", 
  IFERROR(
    VLOOKUP(
      'Teachers sched'!$A276 &amp; "|" &amp; 
      LEFT('Teachers sched'!H276, FIND("-", 'Teachers sched'!H276) - 1),
      {
        SALONES!$A:$A &amp; "|" &amp; SALONES!$B:$B,
        SALONES!$C:$C
      },
      2,
      FALSE
    ) &amp; " - " &amp; 'Teachers sched'!H276,
    'Teachers sched'!H276
  )
)
</f>
        <v>933 - AP Spanish Language and Culture-3</v>
      </c>
      <c r="I276" s="391">
        <f>if(C274="","", 24-countifs(D276:H280,""))</f>
        <v>15</v>
      </c>
      <c r="J276" s="392"/>
      <c r="K276" s="389" t="s">
        <v>22</v>
      </c>
      <c r="L276" s="389" t="s">
        <v>22</v>
      </c>
      <c r="M276" s="100">
        <v>1.0</v>
      </c>
      <c r="N276" s="390" t="s">
        <v>22</v>
      </c>
      <c r="O276" s="390" t="s">
        <v>22</v>
      </c>
      <c r="P276" s="390" t="s">
        <v>22</v>
      </c>
      <c r="Q276" s="390" t="s">
        <v>22</v>
      </c>
      <c r="R276" s="390" t="s">
        <v>22</v>
      </c>
      <c r="S276" s="391" t="s">
        <v>22</v>
      </c>
      <c r="T276" s="393"/>
    </row>
    <row r="277">
      <c r="A277" s="389" t="s">
        <v>67</v>
      </c>
      <c r="B277" s="389" t="s">
        <v>22</v>
      </c>
      <c r="C277" s="100">
        <v>2.0</v>
      </c>
      <c r="D277" s="390" t="str">
        <f t="array" ref="D277">IF('Teachers sched'!D277="", "", 
  IFERROR(
    VLOOKUP(
      'Teachers sched'!$A277 &amp; "|" &amp; 
      LEFT('Teachers sched'!D277, FIND("-", 'Teachers sched'!D277) - 1),
      {
        SALONES!$A:$A &amp; "|" &amp; SALONES!$B:$B,
        SALONES!$C:$C
      },
      2,
      FALSE
    ) &amp; " - " &amp; 'Teachers sched'!D277,
    'Teachers sched'!D277
  )
)
</f>
        <v/>
      </c>
      <c r="E277" s="390" t="str">
        <f t="array" ref="E277">IF('Teachers sched'!E277="", "", 
  IFERROR(
    VLOOKUP(
      'Teachers sched'!$A277 &amp; "|" &amp; 
      LEFT('Teachers sched'!E277, FIND("-", 'Teachers sched'!E277) - 1),
      {
        SALONES!$A:$A &amp; "|" &amp; SALONES!$B:$B,
        SALONES!$C:$C
      },
      2,
      FALSE
    ) &amp; " - " &amp; 'Teachers sched'!E277,
    'Teachers sched'!E277
  )
)
</f>
        <v>933 - AP Spanish Language and Culture-4</v>
      </c>
      <c r="F277" s="390" t="str">
        <f t="array" ref="F277">IF('Teachers sched'!F277="", "", 
  IFERROR(
    VLOOKUP(
      'Teachers sched'!$A277 &amp; "|" &amp; 
      LEFT('Teachers sched'!F277, FIND("-", 'Teachers sched'!F277) - 1),
      {
        SALONES!$A:$A &amp; "|" &amp; SALONES!$B:$B,
        SALONES!$C:$C
      },
      2,
      FALSE
    ) &amp; " - " &amp; 'Teachers sched'!F277,
    'Teachers sched'!F277
  )
)
</f>
        <v/>
      </c>
      <c r="G277" s="390" t="str">
        <f t="array" ref="G277">IF('Teachers sched'!G277="", "", 
  IFERROR(
    VLOOKUP(
      'Teachers sched'!$A277 &amp; "|" &amp; 
      LEFT('Teachers sched'!G277, FIND("-", 'Teachers sched'!G277) - 1),
      {
        SALONES!$A:$A &amp; "|" &amp; SALONES!$B:$B,
        SALONES!$C:$C
      },
      2,
      FALSE
    ) &amp; " - " &amp; 'Teachers sched'!G277,
    'Teachers sched'!G277
  )
)
</f>
        <v>933 - AP Spanish Language and Culture-1</v>
      </c>
      <c r="H277" s="390" t="str">
        <f t="array" ref="H277">IF('Teachers sched'!H277="", "", 
  IFERROR(
    VLOOKUP(
      'Teachers sched'!$A277 &amp; "|" &amp; 
      LEFT('Teachers sched'!H277, FIND("-", 'Teachers sched'!H277) - 1),
      {
        SALONES!$A:$A &amp; "|" &amp; SALONES!$B:$B,
        SALONES!$C:$C
      },
      2,
      FALSE
    ) &amp; " - " &amp; 'Teachers sched'!H277,
    'Teachers sched'!H277
  )
)
</f>
        <v/>
      </c>
      <c r="I277" s="53"/>
      <c r="J277" s="392"/>
      <c r="K277" s="389" t="s">
        <v>22</v>
      </c>
      <c r="L277" s="389" t="s">
        <v>22</v>
      </c>
      <c r="M277" s="100">
        <v>2.0</v>
      </c>
      <c r="N277" s="390" t="s">
        <v>22</v>
      </c>
      <c r="O277" s="390" t="s">
        <v>22</v>
      </c>
      <c r="P277" s="390" t="s">
        <v>22</v>
      </c>
      <c r="Q277" s="390" t="s">
        <v>22</v>
      </c>
      <c r="R277" s="390" t="s">
        <v>22</v>
      </c>
      <c r="S277" s="53"/>
      <c r="T277" s="393"/>
    </row>
    <row r="278">
      <c r="A278" s="389" t="s">
        <v>67</v>
      </c>
      <c r="B278" s="389" t="s">
        <v>22</v>
      </c>
      <c r="C278" s="100">
        <v>3.0</v>
      </c>
      <c r="D278" s="390" t="str">
        <f t="array" ref="D278">IF('Teachers sched'!D278="", "", 
  IFERROR(
    VLOOKUP(
      'Teachers sched'!$A278 &amp; "|" &amp; 
      LEFT('Teachers sched'!D278, FIND("-", 'Teachers sched'!D278) - 1),
      {
        SALONES!$A:$A &amp; "|" &amp; SALONES!$B:$B,
        SALONES!$C:$C
      },
      2,
      FALSE
    ) &amp; " - " &amp; 'Teachers sched'!D278,
    'Teachers sched'!D278
  )
)
</f>
        <v>933 - AP Spanish Language and Culture-2</v>
      </c>
      <c r="E278" s="390" t="str">
        <f t="array" ref="E278">IF('Teachers sched'!E278="", "", 
  IFERROR(
    VLOOKUP(
      'Teachers sched'!$A278 &amp; "|" &amp; 
      LEFT('Teachers sched'!E278, FIND("-", 'Teachers sched'!E278) - 1),
      {
        SALONES!$A:$A &amp; "|" &amp; SALONES!$B:$B,
        SALONES!$C:$C
      },
      2,
      FALSE
    ) &amp; " - " &amp; 'Teachers sched'!E278,
    'Teachers sched'!E278
  )
)
</f>
        <v>933 - AP Spanish Language and Culture-5</v>
      </c>
      <c r="F278" s="390" t="str">
        <f t="array" ref="F278">IF('Teachers sched'!F278="", "", 
  IFERROR(
    VLOOKUP(
      'Teachers sched'!$A278 &amp; "|" &amp; 
      LEFT('Teachers sched'!F278, FIND("-", 'Teachers sched'!F278) - 1),
      {
        SALONES!$A:$A &amp; "|" &amp; SALONES!$B:$B,
        SALONES!$C:$C
      },
      2,
      FALSE
    ) &amp; " - " &amp; 'Teachers sched'!F278,
    'Teachers sched'!F278
  )
)
</f>
        <v>933 - AP Spanish Language and Culture-3</v>
      </c>
      <c r="G278" s="390" t="str">
        <f t="array" ref="G278">IF('Teachers sched'!G278="", "", 
  IFERROR(
    VLOOKUP(
      'Teachers sched'!$A278 &amp; "|" &amp; 
      LEFT('Teachers sched'!G278, FIND("-", 'Teachers sched'!G278) - 1),
      {
        SALONES!$A:$A &amp; "|" &amp; SALONES!$B:$B,
        SALONES!$C:$C
      },
      2,
      FALSE
    ) &amp; " - " &amp; 'Teachers sched'!G278,
    'Teachers sched'!G278
  )
)
</f>
        <v/>
      </c>
      <c r="H278" s="395" t="str">
        <f t="array" ref="H278">IF('Teachers sched'!H278="", "", 
  IFERROR(
    VLOOKUP(
      'Teachers sched'!$A278 &amp; "|" &amp; 
      LEFT('Teachers sched'!H278, FIND("-", 'Teachers sched'!H278) - 1),
      {
        SALONES!$A:$A &amp; "|" &amp; SALONES!$B:$B,
        SALONES!$C:$C
      },
      2,
      FALSE
    ) &amp; " - " &amp; 'Teachers sched'!H278,
    'Teachers sched'!H278
  )
)
</f>
        <v>X-Block</v>
      </c>
      <c r="I278" s="53"/>
      <c r="J278" s="392"/>
      <c r="K278" s="389" t="s">
        <v>22</v>
      </c>
      <c r="L278" s="389" t="s">
        <v>22</v>
      </c>
      <c r="M278" s="100">
        <v>3.0</v>
      </c>
      <c r="N278" s="390" t="s">
        <v>22</v>
      </c>
      <c r="O278" s="390" t="s">
        <v>22</v>
      </c>
      <c r="P278" s="390" t="s">
        <v>22</v>
      </c>
      <c r="Q278" s="390" t="s">
        <v>22</v>
      </c>
      <c r="R278" s="395" t="s">
        <v>22</v>
      </c>
      <c r="S278" s="53"/>
      <c r="T278" s="393"/>
    </row>
    <row r="279">
      <c r="A279" s="389" t="s">
        <v>67</v>
      </c>
      <c r="B279" s="389" t="s">
        <v>22</v>
      </c>
      <c r="C279" s="100">
        <v>4.0</v>
      </c>
      <c r="D279" s="390" t="str">
        <f t="array" ref="D279">IF('Teachers sched'!D279="", "", 
  IFERROR(
    VLOOKUP(
      'Teachers sched'!$A279 &amp; "|" &amp; 
      LEFT('Teachers sched'!D279, FIND("-", 'Teachers sched'!D279) - 1),
      {
        SALONES!$A:$A &amp; "|" &amp; SALONES!$B:$B,
        SALONES!$C:$C
      },
      2,
      FALSE
    ) &amp; " - " &amp; 'Teachers sched'!D279,
    'Teachers sched'!D279
  )
)
</f>
        <v/>
      </c>
      <c r="E279" s="390" t="str">
        <f t="array" ref="E279">IF('Teachers sched'!E279="", "", 
  IFERROR(
    VLOOKUP(
      'Teachers sched'!$A279 &amp; "|" &amp; 
      LEFT('Teachers sched'!E279, FIND("-", 'Teachers sched'!E279) - 1),
      {
        SALONES!$A:$A &amp; "|" &amp; SALONES!$B:$B,
        SALONES!$C:$C
      },
      2,
      FALSE
    ) &amp; " - " &amp; 'Teachers sched'!E279,
    'Teachers sched'!E279
  )
)
</f>
        <v>933 - AP Spanish Language and Culture-1</v>
      </c>
      <c r="F279" s="390" t="str">
        <f t="array" ref="F279">IF('Teachers sched'!F279="", "", 
  IFERROR(
    VLOOKUP(
      'Teachers sched'!$A279 &amp; "|" &amp; 
      LEFT('Teachers sched'!F279, FIND("-", 'Teachers sched'!F279) - 1),
      {
        SALONES!$A:$A &amp; "|" &amp; SALONES!$B:$B,
        SALONES!$C:$C
      },
      2,
      FALSE
    ) &amp; " - " &amp; 'Teachers sched'!F279,
    'Teachers sched'!F279
  )
)
</f>
        <v/>
      </c>
      <c r="G279" s="390" t="str">
        <f t="array" ref="G279">IF('Teachers sched'!G279="", "", 
  IFERROR(
    VLOOKUP(
      'Teachers sched'!$A279 &amp; "|" &amp; 
      LEFT('Teachers sched'!G279, FIND("-", 'Teachers sched'!G279) - 1),
      {
        SALONES!$A:$A &amp; "|" &amp; SALONES!$B:$B,
        SALONES!$C:$C
      },
      2,
      FALSE
    ) &amp; " - " &amp; 'Teachers sched'!G279,
    'Teachers sched'!G279
  )
)
</f>
        <v>933 - AP Spanish Language and Culture-2</v>
      </c>
      <c r="H279" s="390" t="str">
        <f t="array" ref="H279">IF('Teachers sched'!H279="", "", 
  IFERROR(
    VLOOKUP(
      'Teachers sched'!$A279 &amp; "|" &amp; 
      LEFT('Teachers sched'!H279, FIND("-", 'Teachers sched'!H279) - 1),
      {
        SALONES!$A:$A &amp; "|" &amp; SALONES!$B:$B,
        SALONES!$C:$C
      },
      2,
      FALSE
    ) &amp; " - " &amp; 'Teachers sched'!H279,
    'Teachers sched'!H279
  )
)
</f>
        <v>933 - AP Spanish Language and Culture-4</v>
      </c>
      <c r="I279" s="53"/>
      <c r="J279" s="392"/>
      <c r="K279" s="389" t="s">
        <v>22</v>
      </c>
      <c r="L279" s="389" t="s">
        <v>22</v>
      </c>
      <c r="M279" s="100">
        <v>4.0</v>
      </c>
      <c r="N279" s="390" t="s">
        <v>22</v>
      </c>
      <c r="O279" s="390" t="s">
        <v>22</v>
      </c>
      <c r="P279" s="390" t="s">
        <v>22</v>
      </c>
      <c r="Q279" s="390" t="s">
        <v>22</v>
      </c>
      <c r="R279" s="390" t="s">
        <v>22</v>
      </c>
      <c r="S279" s="53"/>
      <c r="T279" s="393"/>
    </row>
    <row r="280">
      <c r="A280" s="389" t="s">
        <v>67</v>
      </c>
      <c r="B280" s="389" t="s">
        <v>22</v>
      </c>
      <c r="C280" s="100">
        <v>5.0</v>
      </c>
      <c r="D280" s="390" t="str">
        <f t="array" ref="D280">IF('Teachers sched'!D280="", "", 
  IFERROR(
    VLOOKUP(
      'Teachers sched'!$A280 &amp; "|" &amp; 
      LEFT('Teachers sched'!D280, FIND("-", 'Teachers sched'!D280) - 1),
      {
        SALONES!$A:$A &amp; "|" &amp; SALONES!$B:$B,
        SALONES!$C:$C
      },
      2,
      FALSE
    ) &amp; " - " &amp; 'Teachers sched'!D280,
    'Teachers sched'!D280
  )
)
</f>
        <v>933 - AP Spanish Language and Culture-3</v>
      </c>
      <c r="E280" s="390" t="str">
        <f t="array" ref="E280">IF('Teachers sched'!E280="", "", 
  IFERROR(
    VLOOKUP(
      'Teachers sched'!$A280 &amp; "|" &amp; 
      LEFT('Teachers sched'!E280, FIND("-", 'Teachers sched'!E280) - 1),
      {
        SALONES!$A:$A &amp; "|" &amp; SALONES!$B:$B,
        SALONES!$C:$C
      },
      2,
      FALSE
    ) &amp; " - " &amp; 'Teachers sched'!E280,
    'Teachers sched'!E280
  )
)
</f>
        <v/>
      </c>
      <c r="F280" s="390" t="str">
        <f t="array" ref="F280">IF('Teachers sched'!F280="", "", 
  IFERROR(
    VLOOKUP(
      'Teachers sched'!$A280 &amp; "|" &amp; 
      LEFT('Teachers sched'!F280, FIND("-", 'Teachers sched'!F280) - 1),
      {
        SALONES!$A:$A &amp; "|" &amp; SALONES!$B:$B,
        SALONES!$C:$C
      },
      2,
      FALSE
    ) &amp; " - " &amp; 'Teachers sched'!F280,
    'Teachers sched'!F280
  )
)
</f>
        <v>933 - AP Spanish Language and Culture-4</v>
      </c>
      <c r="G280" s="390" t="str">
        <f t="array" ref="G280">IF('Teachers sched'!G280="", "", 
  IFERROR(
    VLOOKUP(
      'Teachers sched'!$A280 &amp; "|" &amp; 
      LEFT('Teachers sched'!G280, FIND("-", 'Teachers sched'!G280) - 1),
      {
        SALONES!$A:$A &amp; "|" &amp; SALONES!$B:$B,
        SALONES!$C:$C
      },
      2,
      FALSE
    ) &amp; " - " &amp; 'Teachers sched'!G280,
    'Teachers sched'!G280
  )
)
</f>
        <v/>
      </c>
      <c r="H280" s="390" t="str">
        <f t="array" ref="H280">IF('Teachers sched'!H280="", "", 
  IFERROR(
    VLOOKUP(
      'Teachers sched'!$A280 &amp; "|" &amp; 
      LEFT('Teachers sched'!H280, FIND("-", 'Teachers sched'!H280) - 1),
      {
        SALONES!$A:$A &amp; "|" &amp; SALONES!$B:$B,
        SALONES!$C:$C
      },
      2,
      FALSE
    ) &amp; " - " &amp; 'Teachers sched'!H280,
    'Teachers sched'!H280
  )
)
</f>
        <v>933 - AP Spanish Language and Culture-5</v>
      </c>
      <c r="I280" s="68"/>
      <c r="J280" s="392"/>
      <c r="K280" s="389" t="s">
        <v>22</v>
      </c>
      <c r="L280" s="389" t="s">
        <v>22</v>
      </c>
      <c r="M280" s="100">
        <v>5.0</v>
      </c>
      <c r="N280" s="390" t="s">
        <v>22</v>
      </c>
      <c r="O280" s="390" t="s">
        <v>22</v>
      </c>
      <c r="P280" s="390" t="s">
        <v>22</v>
      </c>
      <c r="Q280" s="390" t="s">
        <v>22</v>
      </c>
      <c r="R280" s="390" t="s">
        <v>22</v>
      </c>
      <c r="S280" s="68"/>
      <c r="T280" s="393"/>
    </row>
    <row r="281">
      <c r="C281" s="3"/>
      <c r="D281" s="396"/>
      <c r="E281" s="396"/>
      <c r="F281" s="396"/>
      <c r="G281" s="396"/>
      <c r="H281" s="396"/>
      <c r="N281" s="397"/>
      <c r="O281" s="397"/>
      <c r="P281" s="397"/>
      <c r="Q281" s="397"/>
      <c r="R281" s="397"/>
    </row>
    <row r="282">
      <c r="C282" s="386" t="s">
        <v>47</v>
      </c>
      <c r="D282" s="383"/>
      <c r="E282" s="383"/>
      <c r="F282" s="383"/>
      <c r="G282" s="383"/>
      <c r="H282" s="384"/>
      <c r="I282" s="385" t="str">
        <f>IFERROR(__xludf.DUMMYFUNCTION("if(C282="""","""", iferror(filter(Schedule!$K:$K,Schedule!$L:$L=$C282,Schedule!$K:$K=""S1""),unique(filter(Schedule!$K:$K,Schedule!$L:$L=$C282,Schedule!$K:$K=""""))))"),"")</f>
        <v/>
      </c>
      <c r="M282" s="386" t="s">
        <v>22</v>
      </c>
      <c r="N282" s="383"/>
      <c r="O282" s="383"/>
      <c r="P282" s="383"/>
      <c r="Q282" s="383"/>
      <c r="R282" s="384"/>
      <c r="S282" s="385" t="s">
        <v>22</v>
      </c>
      <c r="T282" s="112"/>
    </row>
    <row r="283">
      <c r="C283" s="100" t="s">
        <v>7</v>
      </c>
      <c r="D283" s="387" t="s">
        <v>8</v>
      </c>
      <c r="E283" s="387" t="s">
        <v>9</v>
      </c>
      <c r="F283" s="387" t="s">
        <v>10</v>
      </c>
      <c r="G283" s="387" t="s">
        <v>11</v>
      </c>
      <c r="H283" s="387" t="s">
        <v>12</v>
      </c>
      <c r="I283" s="21" t="s">
        <v>766</v>
      </c>
      <c r="J283" s="116"/>
      <c r="K283" s="116"/>
      <c r="L283" s="116"/>
      <c r="M283" s="100" t="s">
        <v>7</v>
      </c>
      <c r="N283" s="387" t="s">
        <v>8</v>
      </c>
      <c r="O283" s="387" t="s">
        <v>9</v>
      </c>
      <c r="P283" s="387" t="s">
        <v>10</v>
      </c>
      <c r="Q283" s="387" t="s">
        <v>11</v>
      </c>
      <c r="R283" s="387" t="s">
        <v>12</v>
      </c>
      <c r="S283" s="21" t="s">
        <v>766</v>
      </c>
      <c r="T283" s="388"/>
    </row>
    <row r="284">
      <c r="A284" s="389" t="s">
        <v>47</v>
      </c>
      <c r="B284" s="389" t="s">
        <v>22</v>
      </c>
      <c r="C284" s="100">
        <v>1.0</v>
      </c>
      <c r="D284" s="390" t="str">
        <f t="array" ref="D284">IF('Teachers sched'!D284="", "", 
  IFERROR(
    VLOOKUP(
      'Teachers sched'!$A284 &amp; "|" &amp; 
      LEFT('Teachers sched'!D284, FIND("-", 'Teachers sched'!D284) - 1),
      {
        SALONES!$A:$A &amp; "|" &amp; SALONES!$B:$B,
        SALONES!$C:$C
      },
      2,
      FALSE
    ) &amp; " - " &amp; 'Teachers sched'!D284,
    'Teachers sched'!D284
  )
)
</f>
        <v>901 - AP Seminar-1</v>
      </c>
      <c r="E284" s="390" t="str">
        <f t="array" ref="E284">IF('Teachers sched'!E284="", "", 
  IFERROR(
    VLOOKUP(
      'Teachers sched'!$A284 &amp; "|" &amp; 
      LEFT('Teachers sched'!E284, FIND("-", 'Teachers sched'!E284) - 1),
      {
        SALONES!$A:$A &amp; "|" &amp; SALONES!$B:$B,
        SALONES!$C:$C
      },
      2,
      FALSE
    ) &amp; " - " &amp; 'Teachers sched'!E284,
    'Teachers sched'!E284
  )
)
</f>
        <v/>
      </c>
      <c r="F284" s="390" t="str">
        <f t="array" ref="F284">IF('Teachers sched'!F284="", "", 
  IFERROR(
    VLOOKUP(
      'Teachers sched'!$A284 &amp; "|" &amp; 
      LEFT('Teachers sched'!F284, FIND("-", 'Teachers sched'!F284) - 1),
      {
        SALONES!$A:$A &amp; "|" &amp; SALONES!$B:$B,
        SALONES!$C:$C
      },
      2,
      FALSE
    ) &amp; " - " &amp; 'Teachers sched'!F284,
    'Teachers sched'!F284
  )
)
</f>
        <v>901 - AP English Language-1</v>
      </c>
      <c r="G284" s="390" t="str">
        <f t="array" ref="G284">IF('Teachers sched'!G284="", "", 
  IFERROR(
    VLOOKUP(
      'Teachers sched'!$A284 &amp; "|" &amp; 
      LEFT('Teachers sched'!G284, FIND("-", 'Teachers sched'!G284) - 1),
      {
        SALONES!$A:$A &amp; "|" &amp; SALONES!$B:$B,
        SALONES!$C:$C
      },
      2,
      FALSE
    ) &amp; " - " &amp; 'Teachers sched'!G284,
    'Teachers sched'!G284
  )
)
</f>
        <v>901 - English 10-3</v>
      </c>
      <c r="H284" s="390" t="str">
        <f t="array" ref="H284">IF('Teachers sched'!H284="", "", 
  IFERROR(
    VLOOKUP(
      'Teachers sched'!$A284 &amp; "|" &amp; 
      LEFT('Teachers sched'!H284, FIND("-", 'Teachers sched'!H284) - 1),
      {
        SALONES!$A:$A &amp; "|" &amp; SALONES!$B:$B,
        SALONES!$C:$C
      },
      2,
      FALSE
    ) &amp; " - " &amp; 'Teachers sched'!H284,
    'Teachers sched'!H284
  )
)
</f>
        <v>901 - AP Seminar-2</v>
      </c>
      <c r="I284" s="391">
        <f>if(C282="","", 24-countifs(D284:H288,""))</f>
        <v>15</v>
      </c>
      <c r="J284" s="392"/>
      <c r="K284" s="389" t="s">
        <v>22</v>
      </c>
      <c r="L284" s="389" t="s">
        <v>22</v>
      </c>
      <c r="M284" s="100">
        <v>1.0</v>
      </c>
      <c r="N284" s="390" t="s">
        <v>22</v>
      </c>
      <c r="O284" s="390" t="s">
        <v>22</v>
      </c>
      <c r="P284" s="390" t="s">
        <v>22</v>
      </c>
      <c r="Q284" s="390" t="s">
        <v>22</v>
      </c>
      <c r="R284" s="390" t="s">
        <v>22</v>
      </c>
      <c r="S284" s="391" t="s">
        <v>22</v>
      </c>
      <c r="T284" s="393"/>
    </row>
    <row r="285">
      <c r="A285" s="389" t="s">
        <v>47</v>
      </c>
      <c r="B285" s="389" t="s">
        <v>22</v>
      </c>
      <c r="C285" s="100">
        <v>2.0</v>
      </c>
      <c r="D285" s="390" t="str">
        <f t="array" ref="D285">IF('Teachers sched'!D285="", "", 
  IFERROR(
    VLOOKUP(
      'Teachers sched'!$A285 &amp; "|" &amp; 
      LEFT('Teachers sched'!D285, FIND("-", 'Teachers sched'!D285) - 1),
      {
        SALONES!$A:$A &amp; "|" &amp; SALONES!$B:$B,
        SALONES!$C:$C
      },
      2,
      FALSE
    ) &amp; " - " &amp; 'Teachers sched'!D285,
    'Teachers sched'!D285
  )
)
</f>
        <v/>
      </c>
      <c r="E285" s="390" t="str">
        <f t="array" ref="E285">IF('Teachers sched'!E285="", "", 
  IFERROR(
    VLOOKUP(
      'Teachers sched'!$A285 &amp; "|" &amp; 
      LEFT('Teachers sched'!E285, FIND("-", 'Teachers sched'!E285) - 1),
      {
        SALONES!$A:$A &amp; "|" &amp; SALONES!$B:$B,
        SALONES!$C:$C
      },
      2,
      FALSE
    ) &amp; " - " &amp; 'Teachers sched'!E285,
    'Teachers sched'!E285
  )
)
</f>
        <v>901 - AP English Language-2</v>
      </c>
      <c r="F285" s="390" t="str">
        <f t="array" ref="F285">IF('Teachers sched'!F285="", "", 
  IFERROR(
    VLOOKUP(
      'Teachers sched'!$A285 &amp; "|" &amp; 
      LEFT('Teachers sched'!F285, FIND("-", 'Teachers sched'!F285) - 1),
      {
        SALONES!$A:$A &amp; "|" &amp; SALONES!$B:$B,
        SALONES!$C:$C
      },
      2,
      FALSE
    ) &amp; " - " &amp; 'Teachers sched'!F285,
    'Teachers sched'!F285
  )
)
</f>
        <v/>
      </c>
      <c r="G285" s="390" t="str">
        <f t="array" ref="G285">IF('Teachers sched'!G285="", "", 
  IFERROR(
    VLOOKUP(
      'Teachers sched'!$A285 &amp; "|" &amp; 
      LEFT('Teachers sched'!G285, FIND("-", 'Teachers sched'!G285) - 1),
      {
        SALONES!$A:$A &amp; "|" &amp; SALONES!$B:$B,
        SALONES!$C:$C
      },
      2,
      FALSE
    ) &amp; " - " &amp; 'Teachers sched'!G285,
    'Teachers sched'!G285
  )
)
</f>
        <v>901 - AP Seminar-1</v>
      </c>
      <c r="H285" s="390" t="str">
        <f t="array" ref="H285">IF('Teachers sched'!H285="", "", 
  IFERROR(
    VLOOKUP(
      'Teachers sched'!$A285 &amp; "|" &amp; 
      LEFT('Teachers sched'!H285, FIND("-", 'Teachers sched'!H285) - 1),
      {
        SALONES!$A:$A &amp; "|" &amp; SALONES!$B:$B,
        SALONES!$C:$C
      },
      2,
      FALSE
    ) &amp; " - " &amp; 'Teachers sched'!H285,
    'Teachers sched'!H285
  )
)
</f>
        <v/>
      </c>
      <c r="I285" s="53"/>
      <c r="J285" s="392"/>
      <c r="K285" s="389" t="s">
        <v>22</v>
      </c>
      <c r="L285" s="389" t="s">
        <v>22</v>
      </c>
      <c r="M285" s="100">
        <v>2.0</v>
      </c>
      <c r="N285" s="390" t="s">
        <v>22</v>
      </c>
      <c r="O285" s="390" t="s">
        <v>22</v>
      </c>
      <c r="P285" s="390" t="s">
        <v>22</v>
      </c>
      <c r="Q285" s="390" t="s">
        <v>22</v>
      </c>
      <c r="R285" s="390" t="s">
        <v>22</v>
      </c>
      <c r="S285" s="53"/>
      <c r="T285" s="393"/>
    </row>
    <row r="286">
      <c r="A286" s="389" t="s">
        <v>47</v>
      </c>
      <c r="B286" s="389" t="s">
        <v>22</v>
      </c>
      <c r="C286" s="100">
        <v>3.0</v>
      </c>
      <c r="D286" s="390" t="str">
        <f t="array" ref="D286">IF('Teachers sched'!D286="", "", 
  IFERROR(
    VLOOKUP(
      'Teachers sched'!$A286 &amp; "|" &amp; 
      LEFT('Teachers sched'!D286, FIND("-", 'Teachers sched'!D286) - 1),
      {
        SALONES!$A:$A &amp; "|" &amp; SALONES!$B:$B,
        SALONES!$C:$C
      },
      2,
      FALSE
    ) &amp; " - " &amp; 'Teachers sched'!D286,
    'Teachers sched'!D286
  )
)
</f>
        <v>901 - AP English Language-1</v>
      </c>
      <c r="E286" s="390" t="str">
        <f t="array" ref="E286">IF('Teachers sched'!E286="", "", 
  IFERROR(
    VLOOKUP(
      'Teachers sched'!$A286 &amp; "|" &amp; 
      LEFT('Teachers sched'!E286, FIND("-", 'Teachers sched'!E286) - 1),
      {
        SALONES!$A:$A &amp; "|" &amp; SALONES!$B:$B,
        SALONES!$C:$C
      },
      2,
      FALSE
    ) &amp; " - " &amp; 'Teachers sched'!E286,
    'Teachers sched'!E286
  )
)
</f>
        <v>901 - English 10-3</v>
      </c>
      <c r="F286" s="390" t="str">
        <f t="array" ref="F286">IF('Teachers sched'!F286="", "", 
  IFERROR(
    VLOOKUP(
      'Teachers sched'!$A286 &amp; "|" &amp; 
      LEFT('Teachers sched'!F286, FIND("-", 'Teachers sched'!F286) - 1),
      {
        SALONES!$A:$A &amp; "|" &amp; SALONES!$B:$B,
        SALONES!$C:$C
      },
      2,
      FALSE
    ) &amp; " - " &amp; 'Teachers sched'!F286,
    'Teachers sched'!F286
  )
)
</f>
        <v>901 - AP Seminar-2</v>
      </c>
      <c r="G286" s="390" t="str">
        <f t="array" ref="G286">IF('Teachers sched'!G286="", "", 
  IFERROR(
    VLOOKUP(
      'Teachers sched'!$A286 &amp; "|" &amp; 
      LEFT('Teachers sched'!G286, FIND("-", 'Teachers sched'!G286) - 1),
      {
        SALONES!$A:$A &amp; "|" &amp; SALONES!$B:$B,
        SALONES!$C:$C
      },
      2,
      FALSE
    ) &amp; " - " &amp; 'Teachers sched'!G286,
    'Teachers sched'!G286
  )
)
</f>
        <v/>
      </c>
      <c r="H286" s="395" t="str">
        <f t="array" ref="H286">IF('Teachers sched'!H286="", "", 
  IFERROR(
    VLOOKUP(
      'Teachers sched'!$A286 &amp; "|" &amp; 
      LEFT('Teachers sched'!H286, FIND("-", 'Teachers sched'!H286) - 1),
      {
        SALONES!$A:$A &amp; "|" &amp; SALONES!$B:$B,
        SALONES!$C:$C
      },
      2,
      FALSE
    ) &amp; " - " &amp; 'Teachers sched'!H286,
    'Teachers sched'!H286
  )
)
</f>
        <v>X-Block</v>
      </c>
      <c r="I286" s="53"/>
      <c r="J286" s="392"/>
      <c r="K286" s="389" t="s">
        <v>22</v>
      </c>
      <c r="L286" s="389" t="s">
        <v>22</v>
      </c>
      <c r="M286" s="100">
        <v>3.0</v>
      </c>
      <c r="N286" s="390" t="s">
        <v>22</v>
      </c>
      <c r="O286" s="390" t="s">
        <v>22</v>
      </c>
      <c r="P286" s="390" t="s">
        <v>22</v>
      </c>
      <c r="Q286" s="390" t="s">
        <v>22</v>
      </c>
      <c r="R286" s="395" t="s">
        <v>22</v>
      </c>
      <c r="S286" s="53"/>
      <c r="T286" s="393"/>
    </row>
    <row r="287">
      <c r="A287" s="389" t="s">
        <v>47</v>
      </c>
      <c r="B287" s="389" t="s">
        <v>22</v>
      </c>
      <c r="C287" s="100">
        <v>4.0</v>
      </c>
      <c r="D287" s="390" t="str">
        <f t="array" ref="D287">IF('Teachers sched'!D287="", "", 
  IFERROR(
    VLOOKUP(
      'Teachers sched'!$A287 &amp; "|" &amp; 
      LEFT('Teachers sched'!D287, FIND("-", 'Teachers sched'!D287) - 1),
      {
        SALONES!$A:$A &amp; "|" &amp; SALONES!$B:$B,
        SALONES!$C:$C
      },
      2,
      FALSE
    ) &amp; " - " &amp; 'Teachers sched'!D287,
    'Teachers sched'!D287
  )
)
</f>
        <v/>
      </c>
      <c r="E287" s="390" t="str">
        <f t="array" ref="E287">IF('Teachers sched'!E287="", "", 
  IFERROR(
    VLOOKUP(
      'Teachers sched'!$A287 &amp; "|" &amp; 
      LEFT('Teachers sched'!E287, FIND("-", 'Teachers sched'!E287) - 1),
      {
        SALONES!$A:$A &amp; "|" &amp; SALONES!$B:$B,
        SALONES!$C:$C
      },
      2,
      FALSE
    ) &amp; " - " &amp; 'Teachers sched'!E287,
    'Teachers sched'!E287
  )
)
</f>
        <v>901 - AP Seminar-1</v>
      </c>
      <c r="F287" s="390" t="str">
        <f t="array" ref="F287">IF('Teachers sched'!F287="", "", 
  IFERROR(
    VLOOKUP(
      'Teachers sched'!$A287 &amp; "|" &amp; 
      LEFT('Teachers sched'!F287, FIND("-", 'Teachers sched'!F287) - 1),
      {
        SALONES!$A:$A &amp; "|" &amp; SALONES!$B:$B,
        SALONES!$C:$C
      },
      2,
      FALSE
    ) &amp; " - " &amp; 'Teachers sched'!F287,
    'Teachers sched'!F287
  )
)
</f>
        <v/>
      </c>
      <c r="G287" s="390" t="str">
        <f t="array" ref="G287">IF('Teachers sched'!G287="", "", 
  IFERROR(
    VLOOKUP(
      'Teachers sched'!$A287 &amp; "|" &amp; 
      LEFT('Teachers sched'!G287, FIND("-", 'Teachers sched'!G287) - 1),
      {
        SALONES!$A:$A &amp; "|" &amp; SALONES!$B:$B,
        SALONES!$C:$C
      },
      2,
      FALSE
    ) &amp; " - " &amp; 'Teachers sched'!G287,
    'Teachers sched'!G287
  )
)
</f>
        <v>901 - AP English Language-1</v>
      </c>
      <c r="H287" s="390" t="str">
        <f t="array" ref="H287">IF('Teachers sched'!H287="", "", 
  IFERROR(
    VLOOKUP(
      'Teachers sched'!$A287 &amp; "|" &amp; 
      LEFT('Teachers sched'!H287, FIND("-", 'Teachers sched'!H287) - 1),
      {
        SALONES!$A:$A &amp; "|" &amp; SALONES!$B:$B,
        SALONES!$C:$C
      },
      2,
      FALSE
    ) &amp; " - " &amp; 'Teachers sched'!H287,
    'Teachers sched'!H287
  )
)
</f>
        <v>901 - AP English Language-2</v>
      </c>
      <c r="I287" s="53"/>
      <c r="J287" s="392"/>
      <c r="K287" s="389" t="s">
        <v>22</v>
      </c>
      <c r="L287" s="389" t="s">
        <v>22</v>
      </c>
      <c r="M287" s="100">
        <v>4.0</v>
      </c>
      <c r="N287" s="390" t="s">
        <v>22</v>
      </c>
      <c r="O287" s="390" t="s">
        <v>22</v>
      </c>
      <c r="P287" s="390" t="s">
        <v>22</v>
      </c>
      <c r="Q287" s="390" t="s">
        <v>22</v>
      </c>
      <c r="R287" s="390" t="s">
        <v>22</v>
      </c>
      <c r="S287" s="53"/>
      <c r="T287" s="393"/>
    </row>
    <row r="288">
      <c r="A288" s="389" t="s">
        <v>47</v>
      </c>
      <c r="B288" s="389" t="s">
        <v>22</v>
      </c>
      <c r="C288" s="100">
        <v>5.0</v>
      </c>
      <c r="D288" s="390" t="str">
        <f t="array" ref="D288">IF('Teachers sched'!D288="", "", 
  IFERROR(
    VLOOKUP(
      'Teachers sched'!$A288 &amp; "|" &amp; 
      LEFT('Teachers sched'!D288, FIND("-", 'Teachers sched'!D288) - 1),
      {
        SALONES!$A:$A &amp; "|" &amp; SALONES!$B:$B,
        SALONES!$C:$C
      },
      2,
      FALSE
    ) &amp; " - " &amp; 'Teachers sched'!D288,
    'Teachers sched'!D288
  )
)
</f>
        <v>901 - AP Seminar-2</v>
      </c>
      <c r="E288" s="390" t="str">
        <f t="array" ref="E288">IF('Teachers sched'!E288="", "", 
  IFERROR(
    VLOOKUP(
      'Teachers sched'!$A288 &amp; "|" &amp; 
      LEFT('Teachers sched'!E288, FIND("-", 'Teachers sched'!E288) - 1),
      {
        SALONES!$A:$A &amp; "|" &amp; SALONES!$B:$B,
        SALONES!$C:$C
      },
      2,
      FALSE
    ) &amp; " - " &amp; 'Teachers sched'!E288,
    'Teachers sched'!E288
  )
)
</f>
        <v/>
      </c>
      <c r="F288" s="390" t="str">
        <f t="array" ref="F288">IF('Teachers sched'!F288="", "", 
  IFERROR(
    VLOOKUP(
      'Teachers sched'!$A288 &amp; "|" &amp; 
      LEFT('Teachers sched'!F288, FIND("-", 'Teachers sched'!F288) - 1),
      {
        SALONES!$A:$A &amp; "|" &amp; SALONES!$B:$B,
        SALONES!$C:$C
      },
      2,
      FALSE
    ) &amp; " - " &amp; 'Teachers sched'!F288,
    'Teachers sched'!F288
  )
)
</f>
        <v>901 - AP English Language-2</v>
      </c>
      <c r="G288" s="390" t="str">
        <f t="array" ref="G288">IF('Teachers sched'!G288="", "", 
  IFERROR(
    VLOOKUP(
      'Teachers sched'!$A288 &amp; "|" &amp; 
      LEFT('Teachers sched'!G288, FIND("-", 'Teachers sched'!G288) - 1),
      {
        SALONES!$A:$A &amp; "|" &amp; SALONES!$B:$B,
        SALONES!$C:$C
      },
      2,
      FALSE
    ) &amp; " - " &amp; 'Teachers sched'!G288,
    'Teachers sched'!G288
  )
)
</f>
        <v/>
      </c>
      <c r="H288" s="390" t="str">
        <f t="array" ref="H288">IF('Teachers sched'!H288="", "", 
  IFERROR(
    VLOOKUP(
      'Teachers sched'!$A288 &amp; "|" &amp; 
      LEFT('Teachers sched'!H288, FIND("-", 'Teachers sched'!H288) - 1),
      {
        SALONES!$A:$A &amp; "|" &amp; SALONES!$B:$B,
        SALONES!$C:$C
      },
      2,
      FALSE
    ) &amp; " - " &amp; 'Teachers sched'!H288,
    'Teachers sched'!H288
  )
)
</f>
        <v>901 - English 10-3</v>
      </c>
      <c r="I288" s="68"/>
      <c r="J288" s="392"/>
      <c r="K288" s="389" t="s">
        <v>22</v>
      </c>
      <c r="L288" s="389" t="s">
        <v>22</v>
      </c>
      <c r="M288" s="100">
        <v>5.0</v>
      </c>
      <c r="N288" s="390" t="s">
        <v>22</v>
      </c>
      <c r="O288" s="390" t="s">
        <v>22</v>
      </c>
      <c r="P288" s="390" t="s">
        <v>22</v>
      </c>
      <c r="Q288" s="390" t="s">
        <v>22</v>
      </c>
      <c r="R288" s="390" t="s">
        <v>22</v>
      </c>
      <c r="S288" s="68"/>
      <c r="T288" s="393"/>
    </row>
    <row r="289">
      <c r="C289" s="3"/>
      <c r="D289" s="396"/>
      <c r="E289" s="396"/>
      <c r="F289" s="396"/>
      <c r="G289" s="396"/>
      <c r="H289" s="396"/>
      <c r="N289" s="397"/>
      <c r="O289" s="397"/>
      <c r="P289" s="397"/>
      <c r="Q289" s="397"/>
      <c r="R289" s="397"/>
    </row>
    <row r="290">
      <c r="C290" s="386" t="s">
        <v>78</v>
      </c>
      <c r="D290" s="383"/>
      <c r="E290" s="383"/>
      <c r="F290" s="383"/>
      <c r="G290" s="383"/>
      <c r="H290" s="384"/>
      <c r="I290" s="385" t="str">
        <f>IFERROR(__xludf.DUMMYFUNCTION("if(C290="""","""", iferror(filter(Schedule!$K:$K,Schedule!$L:$L=$C290,Schedule!$K:$K=""S1""),unique(filter(Schedule!$K:$K,Schedule!$L:$L=$C290,Schedule!$K:$K=""""))))"),"")</f>
        <v/>
      </c>
      <c r="M290" s="386" t="s">
        <v>22</v>
      </c>
      <c r="N290" s="383"/>
      <c r="O290" s="383"/>
      <c r="P290" s="383"/>
      <c r="Q290" s="383"/>
      <c r="R290" s="384"/>
      <c r="S290" s="385" t="s">
        <v>22</v>
      </c>
      <c r="T290" s="112"/>
    </row>
    <row r="291">
      <c r="C291" s="100" t="s">
        <v>7</v>
      </c>
      <c r="D291" s="387" t="s">
        <v>8</v>
      </c>
      <c r="E291" s="387" t="s">
        <v>9</v>
      </c>
      <c r="F291" s="387" t="s">
        <v>10</v>
      </c>
      <c r="G291" s="387" t="s">
        <v>11</v>
      </c>
      <c r="H291" s="387" t="s">
        <v>12</v>
      </c>
      <c r="I291" s="21" t="s">
        <v>766</v>
      </c>
      <c r="J291" s="116"/>
      <c r="K291" s="116"/>
      <c r="L291" s="116"/>
      <c r="M291" s="100" t="s">
        <v>7</v>
      </c>
      <c r="N291" s="387" t="s">
        <v>8</v>
      </c>
      <c r="O291" s="387" t="s">
        <v>9</v>
      </c>
      <c r="P291" s="387" t="s">
        <v>10</v>
      </c>
      <c r="Q291" s="387" t="s">
        <v>11</v>
      </c>
      <c r="R291" s="387" t="s">
        <v>12</v>
      </c>
      <c r="S291" s="21" t="s">
        <v>766</v>
      </c>
      <c r="T291" s="388"/>
    </row>
    <row r="292">
      <c r="A292" s="389" t="s">
        <v>78</v>
      </c>
      <c r="B292" s="389"/>
      <c r="C292" s="100">
        <v>1.0</v>
      </c>
      <c r="D292" s="390" t="str">
        <f t="array" ref="D292">IF('Teachers sched'!D292="", "", 
  IFERROR(
    VLOOKUP(
      'Teachers sched'!$A292 &amp; "|" &amp; 
      LEFT('Teachers sched'!D292, FIND("-", 'Teachers sched'!D292) - 1),
      {
        SALONES!$A:$A &amp; "|" &amp; SALONES!$B:$B,
        SALONES!$C:$C
      },
      2,
      FALSE
    ) &amp; " - " &amp; 'Teachers sched'!D292,
    'Teachers sched'!D292
  )
)
</f>
        <v>906 - Algebra II-1</v>
      </c>
      <c r="E292" s="390" t="str">
        <f t="array" ref="E292">IF('Teachers sched'!E292="", "", 
  IFERROR(
    VLOOKUP(
      'Teachers sched'!$A292 &amp; "|" &amp; 
      LEFT('Teachers sched'!E292, FIND("-", 'Teachers sched'!E292) - 1),
      {
        SALONES!$A:$A &amp; "|" &amp; SALONES!$B:$B,
        SALONES!$C:$C
      },
      2,
      FALSE
    ) &amp; " - " &amp; 'Teachers sched'!E292,
    'Teachers sched'!E292
  )
)
</f>
        <v>906 - Algebra II-4</v>
      </c>
      <c r="F292" s="390" t="str">
        <f t="array" ref="F292">IF('Teachers sched'!F292="", "", 
  IFERROR(
    VLOOKUP(
      'Teachers sched'!$A292 &amp; "|" &amp; 
      LEFT('Teachers sched'!F292, FIND("-", 'Teachers sched'!F292) - 1),
      {
        SALONES!$A:$A &amp; "|" &amp; SALONES!$B:$B,
        SALONES!$C:$C
      },
      2,
      FALSE
    ) &amp; " - " &amp; 'Teachers sched'!F292,
    'Teachers sched'!F292
  )
)
</f>
        <v>906 - Algebra II-2</v>
      </c>
      <c r="G292" s="390" t="str">
        <f t="array" ref="G292">IF('Teachers sched'!G292="", "", 
  IFERROR(
    VLOOKUP(
      'Teachers sched'!$A292 &amp; "|" &amp; 
      LEFT('Teachers sched'!G292, FIND("-", 'Teachers sched'!G292) - 1),
      {
        SALONES!$A:$A &amp; "|" &amp; SALONES!$B:$B,
        SALONES!$C:$C
      },
      2,
      FALSE
    ) &amp; " - " &amp; 'Teachers sched'!G292,
    'Teachers sched'!G292
  )
)
</f>
        <v>906 - Algebra II-5</v>
      </c>
      <c r="H292" s="390" t="str">
        <f t="array" ref="H292">IF('Teachers sched'!H292="", "", 
  IFERROR(
    VLOOKUP(
      'Teachers sched'!$A292 &amp; "|" &amp; 
      LEFT('Teachers sched'!H292, FIND("-", 'Teachers sched'!H292) - 1),
      {
        SALONES!$A:$A &amp; "|" &amp; SALONES!$B:$B,
        SALONES!$C:$C
      },
      2,
      FALSE
    ) &amp; " - " &amp; 'Teachers sched'!H292,
    'Teachers sched'!H292
  )
)
</f>
        <v>906 - Algebra II-3</v>
      </c>
      <c r="I292" s="391">
        <f>if(C290="","", 24-countifs(D292:H296,""))</f>
        <v>15</v>
      </c>
      <c r="J292" s="392"/>
      <c r="K292" s="389" t="s">
        <v>22</v>
      </c>
      <c r="L292" s="389" t="s">
        <v>22</v>
      </c>
      <c r="M292" s="100">
        <v>1.0</v>
      </c>
      <c r="N292" s="390" t="s">
        <v>22</v>
      </c>
      <c r="O292" s="390" t="s">
        <v>22</v>
      </c>
      <c r="P292" s="390" t="s">
        <v>22</v>
      </c>
      <c r="Q292" s="390" t="s">
        <v>22</v>
      </c>
      <c r="R292" s="390" t="s">
        <v>22</v>
      </c>
      <c r="S292" s="391" t="s">
        <v>22</v>
      </c>
      <c r="T292" s="393"/>
    </row>
    <row r="293">
      <c r="A293" s="389" t="s">
        <v>78</v>
      </c>
      <c r="B293" s="389"/>
      <c r="C293" s="100">
        <v>2.0</v>
      </c>
      <c r="D293" s="390" t="str">
        <f t="array" ref="D293">IF('Teachers sched'!D293="", "", 
  IFERROR(
    VLOOKUP(
      'Teachers sched'!$A293 &amp; "|" &amp; 
      LEFT('Teachers sched'!D293, FIND("-", 'Teachers sched'!D293) - 1),
      {
        SALONES!$A:$A &amp; "|" &amp; SALONES!$B:$B,
        SALONES!$C:$C
      },
      2,
      FALSE
    ) &amp; " - " &amp; 'Teachers sched'!D293,
    'Teachers sched'!D293
  )
)
</f>
        <v/>
      </c>
      <c r="E293" s="390" t="str">
        <f t="array" ref="E293">IF('Teachers sched'!E293="", "", 
  IFERROR(
    VLOOKUP(
      'Teachers sched'!$A293 &amp; "|" &amp; 
      LEFT('Teachers sched'!E293, FIND("-", 'Teachers sched'!E293) - 1),
      {
        SALONES!$A:$A &amp; "|" &amp; SALONES!$B:$B,
        SALONES!$C:$C
      },
      2,
      FALSE
    ) &amp; " - " &amp; 'Teachers sched'!E293,
    'Teachers sched'!E293
  )
)
</f>
        <v/>
      </c>
      <c r="F293" s="390" t="str">
        <f t="array" ref="F293">IF('Teachers sched'!F293="", "", 
  IFERROR(
    VLOOKUP(
      'Teachers sched'!$A293 &amp; "|" &amp; 
      LEFT('Teachers sched'!F293, FIND("-", 'Teachers sched'!F293) - 1),
      {
        SALONES!$A:$A &amp; "|" &amp; SALONES!$B:$B,
        SALONES!$C:$C
      },
      2,
      FALSE
    ) &amp; " - " &amp; 'Teachers sched'!F293,
    'Teachers sched'!F293
  )
)
</f>
        <v/>
      </c>
      <c r="G293" s="390" t="str">
        <f t="array" ref="G293">IF('Teachers sched'!G293="", "", 
  IFERROR(
    VLOOKUP(
      'Teachers sched'!$A293 &amp; "|" &amp; 
      LEFT('Teachers sched'!G293, FIND("-", 'Teachers sched'!G293) - 1),
      {
        SALONES!$A:$A &amp; "|" &amp; SALONES!$B:$B,
        SALONES!$C:$C
      },
      2,
      FALSE
    ) &amp; " - " &amp; 'Teachers sched'!G293,
    'Teachers sched'!G293
  )
)
</f>
        <v>906 - Algebra II-1</v>
      </c>
      <c r="H293" s="390" t="str">
        <f t="array" ref="H293">IF('Teachers sched'!H293="", "", 
  IFERROR(
    VLOOKUP(
      'Teachers sched'!$A293 &amp; "|" &amp; 
      LEFT('Teachers sched'!H293, FIND("-", 'Teachers sched'!H293) - 1),
      {
        SALONES!$A:$A &amp; "|" &amp; SALONES!$B:$B,
        SALONES!$C:$C
      },
      2,
      FALSE
    ) &amp; " - " &amp; 'Teachers sched'!H293,
    'Teachers sched'!H293
  )
)
</f>
        <v>906 - Algebra II-4</v>
      </c>
      <c r="I293" s="53"/>
      <c r="J293" s="392"/>
      <c r="K293" s="389" t="s">
        <v>22</v>
      </c>
      <c r="L293" s="389" t="s">
        <v>22</v>
      </c>
      <c r="M293" s="100">
        <v>2.0</v>
      </c>
      <c r="N293" s="390" t="s">
        <v>22</v>
      </c>
      <c r="O293" s="390" t="s">
        <v>22</v>
      </c>
      <c r="P293" s="390" t="s">
        <v>22</v>
      </c>
      <c r="Q293" s="390" t="s">
        <v>22</v>
      </c>
      <c r="R293" s="390" t="s">
        <v>22</v>
      </c>
      <c r="S293" s="53"/>
      <c r="T293" s="393"/>
    </row>
    <row r="294">
      <c r="A294" s="389" t="s">
        <v>78</v>
      </c>
      <c r="B294" s="389"/>
      <c r="C294" s="100">
        <v>3.0</v>
      </c>
      <c r="D294" s="390" t="str">
        <f t="array" ref="D294">IF('Teachers sched'!D294="", "", 
  IFERROR(
    VLOOKUP(
      'Teachers sched'!$A294 &amp; "|" &amp; 
      LEFT('Teachers sched'!D294, FIND("-", 'Teachers sched'!D294) - 1),
      {
        SALONES!$A:$A &amp; "|" &amp; SALONES!$B:$B,
        SALONES!$C:$C
      },
      2,
      FALSE
    ) &amp; " - " &amp; 'Teachers sched'!D294,
    'Teachers sched'!D294
  )
)
</f>
        <v>906 - Algebra II-2</v>
      </c>
      <c r="E294" s="390" t="str">
        <f t="array" ref="E294">IF('Teachers sched'!E294="", "", 
  IFERROR(
    VLOOKUP(
      'Teachers sched'!$A294 &amp; "|" &amp; 
      LEFT('Teachers sched'!E294, FIND("-", 'Teachers sched'!E294) - 1),
      {
        SALONES!$A:$A &amp; "|" &amp; SALONES!$B:$B,
        SALONES!$C:$C
      },
      2,
      FALSE
    ) &amp; " - " &amp; 'Teachers sched'!E294,
    'Teachers sched'!E294
  )
)
</f>
        <v>906 - Algebra II-5</v>
      </c>
      <c r="F294" s="390" t="str">
        <f t="array" ref="F294">IF('Teachers sched'!F294="", "", 
  IFERROR(
    VLOOKUP(
      'Teachers sched'!$A294 &amp; "|" &amp; 
      LEFT('Teachers sched'!F294, FIND("-", 'Teachers sched'!F294) - 1),
      {
        SALONES!$A:$A &amp; "|" &amp; SALONES!$B:$B,
        SALONES!$C:$C
      },
      2,
      FALSE
    ) &amp; " - " &amp; 'Teachers sched'!F294,
    'Teachers sched'!F294
  )
)
</f>
        <v>906 - Algebra II-3</v>
      </c>
      <c r="G294" s="390" t="str">
        <f t="array" ref="G294">IF('Teachers sched'!G294="", "", 
  IFERROR(
    VLOOKUP(
      'Teachers sched'!$A294 &amp; "|" &amp; 
      LEFT('Teachers sched'!G294, FIND("-", 'Teachers sched'!G294) - 1),
      {
        SALONES!$A:$A &amp; "|" &amp; SALONES!$B:$B,
        SALONES!$C:$C
      },
      2,
      FALSE
    ) &amp; " - " &amp; 'Teachers sched'!G294,
    'Teachers sched'!G294
  )
)
</f>
        <v/>
      </c>
      <c r="H294" s="395" t="str">
        <f t="array" ref="H294">IF('Teachers sched'!H294="", "", 
  IFERROR(
    VLOOKUP(
      'Teachers sched'!$A294 &amp; "|" &amp; 
      LEFT('Teachers sched'!H294, FIND("-", 'Teachers sched'!H294) - 1),
      {
        SALONES!$A:$A &amp; "|" &amp; SALONES!$B:$B,
        SALONES!$C:$C
      },
      2,
      FALSE
    ) &amp; " - " &amp; 'Teachers sched'!H294,
    'Teachers sched'!H294
  )
)
</f>
        <v>X-Block</v>
      </c>
      <c r="I294" s="53"/>
      <c r="J294" s="392"/>
      <c r="K294" s="389" t="s">
        <v>22</v>
      </c>
      <c r="L294" s="389" t="s">
        <v>22</v>
      </c>
      <c r="M294" s="100">
        <v>3.0</v>
      </c>
      <c r="N294" s="390" t="s">
        <v>22</v>
      </c>
      <c r="O294" s="390" t="s">
        <v>22</v>
      </c>
      <c r="P294" s="390" t="s">
        <v>22</v>
      </c>
      <c r="Q294" s="390" t="s">
        <v>22</v>
      </c>
      <c r="R294" s="395" t="s">
        <v>22</v>
      </c>
      <c r="S294" s="53"/>
      <c r="T294" s="393"/>
    </row>
    <row r="295">
      <c r="A295" s="389" t="s">
        <v>78</v>
      </c>
      <c r="B295" s="389"/>
      <c r="C295" s="100">
        <v>4.0</v>
      </c>
      <c r="D295" s="390" t="str">
        <f t="array" ref="D295">IF('Teachers sched'!D295="", "", 
  IFERROR(
    VLOOKUP(
      'Teachers sched'!$A295 &amp; "|" &amp; 
      LEFT('Teachers sched'!D295, FIND("-", 'Teachers sched'!D295) - 1),
      {
        SALONES!$A:$A &amp; "|" &amp; SALONES!$B:$B,
        SALONES!$C:$C
      },
      2,
      FALSE
    ) &amp; " - " &amp; 'Teachers sched'!D295,
    'Teachers sched'!D295
  )
)
</f>
        <v/>
      </c>
      <c r="E295" s="390" t="str">
        <f t="array" ref="E295">IF('Teachers sched'!E295="", "", 
  IFERROR(
    VLOOKUP(
      'Teachers sched'!$A295 &amp; "|" &amp; 
      LEFT('Teachers sched'!E295, FIND("-", 'Teachers sched'!E295) - 1),
      {
        SALONES!$A:$A &amp; "|" &amp; SALONES!$B:$B,
        SALONES!$C:$C
      },
      2,
      FALSE
    ) &amp; " - " &amp; 'Teachers sched'!E295,
    'Teachers sched'!E295
  )
)
</f>
        <v>906 - Algebra II-1</v>
      </c>
      <c r="F295" s="390" t="str">
        <f t="array" ref="F295">IF('Teachers sched'!F295="", "", 
  IFERROR(
    VLOOKUP(
      'Teachers sched'!$A295 &amp; "|" &amp; 
      LEFT('Teachers sched'!F295, FIND("-", 'Teachers sched'!F295) - 1),
      {
        SALONES!$A:$A &amp; "|" &amp; SALONES!$B:$B,
        SALONES!$C:$C
      },
      2,
      FALSE
    ) &amp; " - " &amp; 'Teachers sched'!F295,
    'Teachers sched'!F295
  )
)
</f>
        <v>906 - Algebra II-4</v>
      </c>
      <c r="G295" s="390" t="str">
        <f t="array" ref="G295">IF('Teachers sched'!G295="", "", 
  IFERROR(
    VLOOKUP(
      'Teachers sched'!$A295 &amp; "|" &amp; 
      LEFT('Teachers sched'!G295, FIND("-", 'Teachers sched'!G295) - 1),
      {
        SALONES!$A:$A &amp; "|" &amp; SALONES!$B:$B,
        SALONES!$C:$C
      },
      2,
      FALSE
    ) &amp; " - " &amp; 'Teachers sched'!G295,
    'Teachers sched'!G295
  )
)
</f>
        <v>906 - Algebra II-2</v>
      </c>
      <c r="H295" s="390" t="str">
        <f t="array" ref="H295">IF('Teachers sched'!H295="", "", 
  IFERROR(
    VLOOKUP(
      'Teachers sched'!$A295 &amp; "|" &amp; 
      LEFT('Teachers sched'!H295, FIND("-", 'Teachers sched'!H295) - 1),
      {
        SALONES!$A:$A &amp; "|" &amp; SALONES!$B:$B,
        SALONES!$C:$C
      },
      2,
      FALSE
    ) &amp; " - " &amp; 'Teachers sched'!H295,
    'Teachers sched'!H295
  )
)
</f>
        <v/>
      </c>
      <c r="I295" s="53"/>
      <c r="J295" s="392"/>
      <c r="K295" s="389" t="s">
        <v>22</v>
      </c>
      <c r="L295" s="389" t="s">
        <v>22</v>
      </c>
      <c r="M295" s="100">
        <v>4.0</v>
      </c>
      <c r="N295" s="390" t="s">
        <v>22</v>
      </c>
      <c r="O295" s="390" t="s">
        <v>22</v>
      </c>
      <c r="P295" s="390" t="s">
        <v>22</v>
      </c>
      <c r="Q295" s="390" t="s">
        <v>22</v>
      </c>
      <c r="R295" s="390" t="s">
        <v>22</v>
      </c>
      <c r="S295" s="53"/>
      <c r="T295" s="393"/>
    </row>
    <row r="296">
      <c r="A296" s="389" t="s">
        <v>78</v>
      </c>
      <c r="B296" s="389"/>
      <c r="C296" s="100">
        <v>5.0</v>
      </c>
      <c r="D296" s="390" t="str">
        <f t="array" ref="D296">IF('Teachers sched'!D296="", "", 
  IFERROR(
    VLOOKUP(
      'Teachers sched'!$A296 &amp; "|" &amp; 
      LEFT('Teachers sched'!D296, FIND("-", 'Teachers sched'!D296) - 1),
      {
        SALONES!$A:$A &amp; "|" &amp; SALONES!$B:$B,
        SALONES!$C:$C
      },
      2,
      FALSE
    ) &amp; " - " &amp; 'Teachers sched'!D296,
    'Teachers sched'!D296
  )
)
</f>
        <v>906 - Algebra II-3</v>
      </c>
      <c r="E296" s="390" t="str">
        <f t="array" ref="E296">IF('Teachers sched'!E296="", "", 
  IFERROR(
    VLOOKUP(
      'Teachers sched'!$A296 &amp; "|" &amp; 
      LEFT('Teachers sched'!E296, FIND("-", 'Teachers sched'!E296) - 1),
      {
        SALONES!$A:$A &amp; "|" &amp; SALONES!$B:$B,
        SALONES!$C:$C
      },
      2,
      FALSE
    ) &amp; " - " &amp; 'Teachers sched'!E296,
    'Teachers sched'!E296
  )
)
</f>
        <v/>
      </c>
      <c r="F296" s="390" t="str">
        <f t="array" ref="F296">IF('Teachers sched'!F296="", "", 
  IFERROR(
    VLOOKUP(
      'Teachers sched'!$A296 &amp; "|" &amp; 
      LEFT('Teachers sched'!F296, FIND("-", 'Teachers sched'!F296) - 1),
      {
        SALONES!$A:$A &amp; "|" &amp; SALONES!$B:$B,
        SALONES!$C:$C
      },
      2,
      FALSE
    ) &amp; " - " &amp; 'Teachers sched'!F296,
    'Teachers sched'!F296
  )
)
</f>
        <v/>
      </c>
      <c r="G296" s="390" t="str">
        <f t="array" ref="G296">IF('Teachers sched'!G296="", "", 
  IFERROR(
    VLOOKUP(
      'Teachers sched'!$A296 &amp; "|" &amp; 
      LEFT('Teachers sched'!G296, FIND("-", 'Teachers sched'!G296) - 1),
      {
        SALONES!$A:$A &amp; "|" &amp; SALONES!$B:$B,
        SALONES!$C:$C
      },
      2,
      FALSE
    ) &amp; " - " &amp; 'Teachers sched'!G296,
    'Teachers sched'!G296
  )
)
</f>
        <v/>
      </c>
      <c r="H296" s="390" t="str">
        <f t="array" ref="H296">IF('Teachers sched'!H296="", "", 
  IFERROR(
    VLOOKUP(
      'Teachers sched'!$A296 &amp; "|" &amp; 
      LEFT('Teachers sched'!H296, FIND("-", 'Teachers sched'!H296) - 1),
      {
        SALONES!$A:$A &amp; "|" &amp; SALONES!$B:$B,
        SALONES!$C:$C
      },
      2,
      FALSE
    ) &amp; " - " &amp; 'Teachers sched'!H296,
    'Teachers sched'!H296
  )
)
</f>
        <v>906 - Algebra II-5</v>
      </c>
      <c r="I296" s="68"/>
      <c r="J296" s="392"/>
      <c r="K296" s="389" t="s">
        <v>22</v>
      </c>
      <c r="L296" s="389" t="s">
        <v>22</v>
      </c>
      <c r="M296" s="100">
        <v>5.0</v>
      </c>
      <c r="N296" s="390" t="s">
        <v>22</v>
      </c>
      <c r="O296" s="390" t="s">
        <v>22</v>
      </c>
      <c r="P296" s="390" t="s">
        <v>22</v>
      </c>
      <c r="Q296" s="390" t="s">
        <v>22</v>
      </c>
      <c r="R296" s="390" t="s">
        <v>22</v>
      </c>
      <c r="S296" s="68"/>
      <c r="T296" s="393"/>
    </row>
    <row r="297">
      <c r="C297" s="3"/>
      <c r="D297" s="396"/>
      <c r="E297" s="396"/>
      <c r="F297" s="396"/>
      <c r="G297" s="396"/>
      <c r="H297" s="396"/>
      <c r="N297" s="397"/>
      <c r="O297" s="397"/>
      <c r="P297" s="397"/>
      <c r="Q297" s="397"/>
      <c r="R297" s="397"/>
    </row>
    <row r="298">
      <c r="C298" s="386" t="s">
        <v>63</v>
      </c>
      <c r="D298" s="383"/>
      <c r="E298" s="383"/>
      <c r="F298" s="383"/>
      <c r="G298" s="383"/>
      <c r="H298" s="384"/>
      <c r="I298" s="385" t="str">
        <f>IFERROR(__xludf.DUMMYFUNCTION("if(C298="""","""", iferror(filter(Schedule!$K:$K,Schedule!$L:$L=$C298,Schedule!$K:$K=""S1""),unique(filter(Schedule!$K:$K,Schedule!$L:$L=$C298,Schedule!$K:$K=""""))))"),"")</f>
        <v/>
      </c>
      <c r="M298" s="386" t="s">
        <v>22</v>
      </c>
      <c r="N298" s="383"/>
      <c r="O298" s="383"/>
      <c r="P298" s="383"/>
      <c r="Q298" s="383"/>
      <c r="R298" s="384"/>
      <c r="S298" s="385" t="s">
        <v>22</v>
      </c>
      <c r="T298" s="112"/>
    </row>
    <row r="299">
      <c r="C299" s="100" t="s">
        <v>7</v>
      </c>
      <c r="D299" s="387" t="s">
        <v>8</v>
      </c>
      <c r="E299" s="387" t="s">
        <v>9</v>
      </c>
      <c r="F299" s="387" t="s">
        <v>10</v>
      </c>
      <c r="G299" s="387" t="s">
        <v>11</v>
      </c>
      <c r="H299" s="387" t="s">
        <v>12</v>
      </c>
      <c r="I299" s="21" t="s">
        <v>766</v>
      </c>
      <c r="J299" s="116"/>
      <c r="K299" s="116"/>
      <c r="L299" s="116"/>
      <c r="M299" s="100" t="s">
        <v>7</v>
      </c>
      <c r="N299" s="387" t="s">
        <v>8</v>
      </c>
      <c r="O299" s="387" t="s">
        <v>9</v>
      </c>
      <c r="P299" s="387" t="s">
        <v>10</v>
      </c>
      <c r="Q299" s="387" t="s">
        <v>11</v>
      </c>
      <c r="R299" s="387" t="s">
        <v>12</v>
      </c>
      <c r="S299" s="21" t="s">
        <v>766</v>
      </c>
      <c r="T299" s="388"/>
    </row>
    <row r="300">
      <c r="A300" s="389" t="s">
        <v>63</v>
      </c>
      <c r="B300" s="389" t="s">
        <v>22</v>
      </c>
      <c r="C300" s="100">
        <v>1.0</v>
      </c>
      <c r="D300" s="390" t="str">
        <f t="array" ref="D300">IF('Teachers sched'!D300="", "", 
  IFERROR(
    VLOOKUP(
      'Teachers sched'!$A300 &amp; "|" &amp; 
      LEFT('Teachers sched'!D300, FIND("-", 'Teachers sched'!D300) - 1),
      {
        SALONES!$A:$A &amp; "|" &amp; SALONES!$B:$B,
        SALONES!$C:$C
      },
      2,
      FALSE
    ) &amp; " - " &amp; 'Teachers sched'!D300,
    'Teachers sched'!D300
  )
)
</f>
        <v/>
      </c>
      <c r="E300" s="390" t="str">
        <f t="array" ref="E300">IF('Teachers sched'!E300="", "", 
  IFERROR(
    VLOOKUP(
      'Teachers sched'!$A300 &amp; "|" &amp; 
      LEFT('Teachers sched'!E300, FIND("-", 'Teachers sched'!E300) - 1),
      {
        SALONES!$A:$A &amp; "|" &amp; SALONES!$B:$B,
        SALONES!$C:$C
      },
      2,
      FALSE
    ) &amp; " - " &amp; 'Teachers sched'!E300,
    'Teachers sched'!E300
  )
)
</f>
        <v>933 - AP Spanish Language and Culture-7</v>
      </c>
      <c r="F300" s="390" t="str">
        <f t="array" ref="F300">IF('Teachers sched'!F300="", "", 
  IFERROR(
    VLOOKUP(
      'Teachers sched'!$A300 &amp; "|" &amp; 
      LEFT('Teachers sched'!F300, FIND("-", 'Teachers sched'!F300) - 1),
      {
        SALONES!$A:$A &amp; "|" &amp; SALONES!$B:$B,
        SALONES!$C:$C
      },
      2,
      FALSE
    ) &amp; " - " &amp; 'Teachers sched'!F300,
    'Teachers sched'!F300
  )
)
</f>
        <v>923 - Spanish and Literature 9-5</v>
      </c>
      <c r="G300" s="390" t="str">
        <f t="array" ref="G300">IF('Teachers sched'!G300="", "", 
  IFERROR(
    VLOOKUP(
      'Teachers sched'!$A300 &amp; "|" &amp; 
      LEFT('Teachers sched'!G300, FIND("-", 'Teachers sched'!G300) - 1),
      {
        SALONES!$A:$A &amp; "|" &amp; SALONES!$B:$B,
        SALONES!$C:$C
      },
      2,
      FALSE
    ) &amp; " - " &amp; 'Teachers sched'!G300,
    'Teachers sched'!G300
  )
)
</f>
        <v>923 - Spanish and Literature 9-7</v>
      </c>
      <c r="H300" s="390" t="str">
        <f t="array" ref="H300">IF('Teachers sched'!H300="", "", 
  IFERROR(
    VLOOKUP(
      'Teachers sched'!$A300 &amp; "|" &amp; 
      LEFT('Teachers sched'!H300, FIND("-", 'Teachers sched'!H300) - 1),
      {
        SALONES!$A:$A &amp; "|" &amp; SALONES!$B:$B,
        SALONES!$C:$C
      },
      2,
      FALSE
    ) &amp; " - " &amp; 'Teachers sched'!H300,
    'Teachers sched'!H300
  )
)
</f>
        <v/>
      </c>
      <c r="I300" s="391">
        <f>if(C298="","", 24-countifs(D300:H304,""))</f>
        <v>15</v>
      </c>
      <c r="J300" s="392"/>
      <c r="K300" s="389" t="s">
        <v>22</v>
      </c>
      <c r="L300" s="389" t="s">
        <v>22</v>
      </c>
      <c r="M300" s="100">
        <v>1.0</v>
      </c>
      <c r="N300" s="390" t="s">
        <v>22</v>
      </c>
      <c r="O300" s="390" t="s">
        <v>22</v>
      </c>
      <c r="P300" s="390" t="s">
        <v>22</v>
      </c>
      <c r="Q300" s="390" t="s">
        <v>22</v>
      </c>
      <c r="R300" s="390" t="s">
        <v>22</v>
      </c>
      <c r="S300" s="391" t="s">
        <v>22</v>
      </c>
      <c r="T300" s="393"/>
    </row>
    <row r="301">
      <c r="A301" s="389" t="s">
        <v>63</v>
      </c>
      <c r="B301" s="389" t="s">
        <v>22</v>
      </c>
      <c r="C301" s="100">
        <v>2.0</v>
      </c>
      <c r="D301" s="390" t="str">
        <f t="array" ref="D301">IF('Teachers sched'!D301="", "", 
  IFERROR(
    VLOOKUP(
      'Teachers sched'!$A301 &amp; "|" &amp; 
      LEFT('Teachers sched'!D301, FIND("-", 'Teachers sched'!D301) - 1),
      {
        SALONES!$A:$A &amp; "|" &amp; SALONES!$B:$B,
        SALONES!$C:$C
      },
      2,
      FALSE
    ) &amp; " - " &amp; 'Teachers sched'!D301,
    'Teachers sched'!D301
  )
)
</f>
        <v/>
      </c>
      <c r="E301" s="390" t="str">
        <f t="array" ref="E301">IF('Teachers sched'!E301="", "", 
  IFERROR(
    VLOOKUP(
      'Teachers sched'!$A301 &amp; "|" &amp; 
      LEFT('Teachers sched'!E301, FIND("-", 'Teachers sched'!E301) - 1),
      {
        SALONES!$A:$A &amp; "|" &amp; SALONES!$B:$B,
        SALONES!$C:$C
      },
      2,
      FALSE
    ) &amp; " - " &amp; 'Teachers sched'!E301,
    'Teachers sched'!E301
  )
)
</f>
        <v>923 - Spanish and Literature 9-6</v>
      </c>
      <c r="F301" s="390" t="str">
        <f t="array" ref="F301">IF('Teachers sched'!F301="", "", 
  IFERROR(
    VLOOKUP(
      'Teachers sched'!$A301 &amp; "|" &amp; 
      LEFT('Teachers sched'!F301, FIND("-", 'Teachers sched'!F301) - 1),
      {
        SALONES!$A:$A &amp; "|" &amp; SALONES!$B:$B,
        SALONES!$C:$C
      },
      2,
      FALSE
    ) &amp; " - " &amp; 'Teachers sched'!F301,
    'Teachers sched'!F301
  )
)
</f>
        <v>933 - AP Spanish Language and Culture-6</v>
      </c>
      <c r="G301" s="390" t="str">
        <f t="array" ref="G301">IF('Teachers sched'!G301="", "", 
  IFERROR(
    VLOOKUP(
      'Teachers sched'!$A301 &amp; "|" &amp; 
      LEFT('Teachers sched'!G301, FIND("-", 'Teachers sched'!G301) - 1),
      {
        SALONES!$A:$A &amp; "|" &amp; SALONES!$B:$B,
        SALONES!$C:$C
      },
      2,
      FALSE
    ) &amp; " - " &amp; 'Teachers sched'!G301,
    'Teachers sched'!G301
  )
)
</f>
        <v/>
      </c>
      <c r="H301" s="390" t="str">
        <f t="array" ref="H301">IF('Teachers sched'!H301="", "", 
  IFERROR(
    VLOOKUP(
      'Teachers sched'!$A301 &amp; "|" &amp; 
      LEFT('Teachers sched'!H301, FIND("-", 'Teachers sched'!H301) - 1),
      {
        SALONES!$A:$A &amp; "|" &amp; SALONES!$B:$B,
        SALONES!$C:$C
      },
      2,
      FALSE
    ) &amp; " - " &amp; 'Teachers sched'!H301,
    'Teachers sched'!H301
  )
)
</f>
        <v>933 - AP Spanish Language and Culture-7</v>
      </c>
      <c r="I301" s="53"/>
      <c r="J301" s="392"/>
      <c r="K301" s="389" t="s">
        <v>22</v>
      </c>
      <c r="L301" s="389" t="s">
        <v>22</v>
      </c>
      <c r="M301" s="100">
        <v>2.0</v>
      </c>
      <c r="N301" s="390" t="s">
        <v>22</v>
      </c>
      <c r="O301" s="390" t="s">
        <v>22</v>
      </c>
      <c r="P301" s="390" t="s">
        <v>22</v>
      </c>
      <c r="Q301" s="390" t="s">
        <v>22</v>
      </c>
      <c r="R301" s="390" t="s">
        <v>22</v>
      </c>
      <c r="S301" s="53"/>
      <c r="T301" s="393"/>
    </row>
    <row r="302">
      <c r="A302" s="389" t="s">
        <v>63</v>
      </c>
      <c r="B302" s="389" t="s">
        <v>22</v>
      </c>
      <c r="C302" s="100">
        <v>3.0</v>
      </c>
      <c r="D302" s="390" t="str">
        <f t="array" ref="D302">IF('Teachers sched'!D302="", "", 
  IFERROR(
    VLOOKUP(
      'Teachers sched'!$A302 &amp; "|" &amp; 
      LEFT('Teachers sched'!D302, FIND("-", 'Teachers sched'!D302) - 1),
      {
        SALONES!$A:$A &amp; "|" &amp; SALONES!$B:$B,
        SALONES!$C:$C
      },
      2,
      FALSE
    ) &amp; " - " &amp; 'Teachers sched'!D302,
    'Teachers sched'!D302
  )
)
</f>
        <v>923 - Spanish and Literature 9-5</v>
      </c>
      <c r="E302" s="390" t="str">
        <f t="array" ref="E302">IF('Teachers sched'!E302="", "", 
  IFERROR(
    VLOOKUP(
      'Teachers sched'!$A302 &amp; "|" &amp; 
      LEFT('Teachers sched'!E302, FIND("-", 'Teachers sched'!E302) - 1),
      {
        SALONES!$A:$A &amp; "|" &amp; SALONES!$B:$B,
        SALONES!$C:$C
      },
      2,
      FALSE
    ) &amp; " - " &amp; 'Teachers sched'!E302,
    'Teachers sched'!E302
  )
)
</f>
        <v>923 - Spanish and Literature 9-7</v>
      </c>
      <c r="F302" s="390" t="str">
        <f t="array" ref="F302">IF('Teachers sched'!F302="", "", 
  IFERROR(
    VLOOKUP(
      'Teachers sched'!$A302 &amp; "|" &amp; 
      LEFT('Teachers sched'!F302, FIND("-", 'Teachers sched'!F302) - 1),
      {
        SALONES!$A:$A &amp; "|" &amp; SALONES!$B:$B,
        SALONES!$C:$C
      },
      2,
      FALSE
    ) &amp; " - " &amp; 'Teachers sched'!F302,
    'Teachers sched'!F302
  )
)
</f>
        <v/>
      </c>
      <c r="G302" s="390" t="str">
        <f t="array" ref="G302">IF('Teachers sched'!G302="", "", 
  IFERROR(
    VLOOKUP(
      'Teachers sched'!$A302 &amp; "|" &amp; 
      LEFT('Teachers sched'!G302, FIND("-", 'Teachers sched'!G302) - 1),
      {
        SALONES!$A:$A &amp; "|" &amp; SALONES!$B:$B,
        SALONES!$C:$C
      },
      2,
      FALSE
    ) &amp; " - " &amp; 'Teachers sched'!G302,
    'Teachers sched'!G302
  )
)
</f>
        <v/>
      </c>
      <c r="H302" s="395" t="str">
        <f t="array" ref="H302">IF('Teachers sched'!H302="", "", 
  IFERROR(
    VLOOKUP(
      'Teachers sched'!$A302 &amp; "|" &amp; 
      LEFT('Teachers sched'!H302, FIND("-", 'Teachers sched'!H302) - 1),
      {
        SALONES!$A:$A &amp; "|" &amp; SALONES!$B:$B,
        SALONES!$C:$C
      },
      2,
      FALSE
    ) &amp; " - " &amp; 'Teachers sched'!H302,
    'Teachers sched'!H302
  )
)
</f>
        <v>X-Block</v>
      </c>
      <c r="I302" s="53"/>
      <c r="J302" s="392"/>
      <c r="K302" s="389" t="s">
        <v>22</v>
      </c>
      <c r="L302" s="389" t="s">
        <v>22</v>
      </c>
      <c r="M302" s="100">
        <v>3.0</v>
      </c>
      <c r="N302" s="390" t="s">
        <v>22</v>
      </c>
      <c r="O302" s="390" t="s">
        <v>22</v>
      </c>
      <c r="P302" s="390" t="s">
        <v>22</v>
      </c>
      <c r="Q302" s="390" t="s">
        <v>22</v>
      </c>
      <c r="R302" s="395" t="s">
        <v>22</v>
      </c>
      <c r="S302" s="53"/>
      <c r="T302" s="393"/>
    </row>
    <row r="303">
      <c r="A303" s="389" t="s">
        <v>63</v>
      </c>
      <c r="B303" s="389" t="s">
        <v>22</v>
      </c>
      <c r="C303" s="100">
        <v>4.0</v>
      </c>
      <c r="D303" s="390" t="str">
        <f t="array" ref="D303">IF('Teachers sched'!D303="", "", 
  IFERROR(
    VLOOKUP(
      'Teachers sched'!$A303 &amp; "|" &amp; 
      LEFT('Teachers sched'!D303, FIND("-", 'Teachers sched'!D303) - 1),
      {
        SALONES!$A:$A &amp; "|" &amp; SALONES!$B:$B,
        SALONES!$C:$C
      },
      2,
      FALSE
    ) &amp; " - " &amp; 'Teachers sched'!D303,
    'Teachers sched'!D303
  )
)
</f>
        <v>933 - AP Spanish Language and Culture-6</v>
      </c>
      <c r="E303" s="390" t="str">
        <f t="array" ref="E303">IF('Teachers sched'!E303="", "", 
  IFERROR(
    VLOOKUP(
      'Teachers sched'!$A303 &amp; "|" &amp; 
      LEFT('Teachers sched'!E303, FIND("-", 'Teachers sched'!E303) - 1),
      {
        SALONES!$A:$A &amp; "|" &amp; SALONES!$B:$B,
        SALONES!$C:$C
      },
      2,
      FALSE
    ) &amp; " - " &amp; 'Teachers sched'!E303,
    'Teachers sched'!E303
  )
)
</f>
        <v/>
      </c>
      <c r="F303" s="390" t="str">
        <f t="array" ref="F303">IF('Teachers sched'!F303="", "", 
  IFERROR(
    VLOOKUP(
      'Teachers sched'!$A303 &amp; "|" &amp; 
      LEFT('Teachers sched'!F303, FIND("-", 'Teachers sched'!F303) - 1),
      {
        SALONES!$A:$A &amp; "|" &amp; SALONES!$B:$B,
        SALONES!$C:$C
      },
      2,
      FALSE
    ) &amp; " - " &amp; 'Teachers sched'!F303,
    'Teachers sched'!F303
  )
)
</f>
        <v>933 - AP Spanish Language and Culture-7</v>
      </c>
      <c r="G303" s="390" t="str">
        <f t="array" ref="G303">IF('Teachers sched'!G303="", "", 
  IFERROR(
    VLOOKUP(
      'Teachers sched'!$A303 &amp; "|" &amp; 
      LEFT('Teachers sched'!G303, FIND("-", 'Teachers sched'!G303) - 1),
      {
        SALONES!$A:$A &amp; "|" &amp; SALONES!$B:$B,
        SALONES!$C:$C
      },
      2,
      FALSE
    ) &amp; " - " &amp; 'Teachers sched'!G303,
    'Teachers sched'!G303
  )
)
</f>
        <v>923 - Spanish and Literature 9-5</v>
      </c>
      <c r="H303" s="390" t="str">
        <f t="array" ref="H303">IF('Teachers sched'!H303="", "", 
  IFERROR(
    VLOOKUP(
      'Teachers sched'!$A303 &amp; "|" &amp; 
      LEFT('Teachers sched'!H303, FIND("-", 'Teachers sched'!H303) - 1),
      {
        SALONES!$A:$A &amp; "|" &amp; SALONES!$B:$B,
        SALONES!$C:$C
      },
      2,
      FALSE
    ) &amp; " - " &amp; 'Teachers sched'!H303,
    'Teachers sched'!H303
  )
)
</f>
        <v>923 - Spanish and Literature 9-6</v>
      </c>
      <c r="I303" s="53"/>
      <c r="J303" s="392"/>
      <c r="K303" s="389" t="s">
        <v>22</v>
      </c>
      <c r="L303" s="389" t="s">
        <v>22</v>
      </c>
      <c r="M303" s="100">
        <v>4.0</v>
      </c>
      <c r="N303" s="390" t="s">
        <v>22</v>
      </c>
      <c r="O303" s="390" t="s">
        <v>22</v>
      </c>
      <c r="P303" s="390" t="s">
        <v>22</v>
      </c>
      <c r="Q303" s="390" t="s">
        <v>22</v>
      </c>
      <c r="R303" s="390" t="s">
        <v>22</v>
      </c>
      <c r="S303" s="53"/>
      <c r="T303" s="393"/>
    </row>
    <row r="304">
      <c r="A304" s="389" t="s">
        <v>63</v>
      </c>
      <c r="B304" s="389" t="s">
        <v>22</v>
      </c>
      <c r="C304" s="100">
        <v>5.0</v>
      </c>
      <c r="D304" s="390" t="str">
        <f t="array" ref="D304">IF('Teachers sched'!D304="", "", 
  IFERROR(
    VLOOKUP(
      'Teachers sched'!$A304 &amp; "|" &amp; 
      LEFT('Teachers sched'!D304, FIND("-", 'Teachers sched'!D304) - 1),
      {
        SALONES!$A:$A &amp; "|" &amp; SALONES!$B:$B,
        SALONES!$C:$C
      },
      2,
      FALSE
    ) &amp; " - " &amp; 'Teachers sched'!D304,
    'Teachers sched'!D304
  )
)
</f>
        <v/>
      </c>
      <c r="E304" s="390" t="str">
        <f t="array" ref="E304">IF('Teachers sched'!E304="", "", 
  IFERROR(
    VLOOKUP(
      'Teachers sched'!$A304 &amp; "|" &amp; 
      LEFT('Teachers sched'!E304, FIND("-", 'Teachers sched'!E304) - 1),
      {
        SALONES!$A:$A &amp; "|" &amp; SALONES!$B:$B,
        SALONES!$C:$C
      },
      2,
      FALSE
    ) &amp; " - " &amp; 'Teachers sched'!E304,
    'Teachers sched'!E304
  )
)
</f>
        <v/>
      </c>
      <c r="F304" s="390" t="str">
        <f t="array" ref="F304">IF('Teachers sched'!F304="", "", 
  IFERROR(
    VLOOKUP(
      'Teachers sched'!$A304 &amp; "|" &amp; 
      LEFT('Teachers sched'!F304, FIND("-", 'Teachers sched'!F304) - 1),
      {
        SALONES!$A:$A &amp; "|" &amp; SALONES!$B:$B,
        SALONES!$C:$C
      },
      2,
      FALSE
    ) &amp; " - " &amp; 'Teachers sched'!F304,
    'Teachers sched'!F304
  )
)
</f>
        <v>923 - Spanish and Literature 9-6</v>
      </c>
      <c r="G304" s="390" t="str">
        <f t="array" ref="G304">IF('Teachers sched'!G304="", "", 
  IFERROR(
    VLOOKUP(
      'Teachers sched'!$A304 &amp; "|" &amp; 
      LEFT('Teachers sched'!G304, FIND("-", 'Teachers sched'!G304) - 1),
      {
        SALONES!$A:$A &amp; "|" &amp; SALONES!$B:$B,
        SALONES!$C:$C
      },
      2,
      FALSE
    ) &amp; " - " &amp; 'Teachers sched'!G304,
    'Teachers sched'!G304
  )
)
</f>
        <v>933 - AP Spanish Language and Culture-6</v>
      </c>
      <c r="H304" s="390" t="str">
        <f t="array" ref="H304">IF('Teachers sched'!H304="", "", 
  IFERROR(
    VLOOKUP(
      'Teachers sched'!$A304 &amp; "|" &amp; 
      LEFT('Teachers sched'!H304, FIND("-", 'Teachers sched'!H304) - 1),
      {
        SALONES!$A:$A &amp; "|" &amp; SALONES!$B:$B,
        SALONES!$C:$C
      },
      2,
      FALSE
    ) &amp; " - " &amp; 'Teachers sched'!H304,
    'Teachers sched'!H304
  )
)
</f>
        <v>923 - Spanish and Literature 9-7</v>
      </c>
      <c r="I304" s="68"/>
      <c r="J304" s="392"/>
      <c r="K304" s="389" t="s">
        <v>22</v>
      </c>
      <c r="L304" s="389" t="s">
        <v>22</v>
      </c>
      <c r="M304" s="100">
        <v>5.0</v>
      </c>
      <c r="N304" s="390" t="s">
        <v>22</v>
      </c>
      <c r="O304" s="390" t="s">
        <v>22</v>
      </c>
      <c r="P304" s="390" t="s">
        <v>22</v>
      </c>
      <c r="Q304" s="390" t="s">
        <v>22</v>
      </c>
      <c r="R304" s="390" t="s">
        <v>22</v>
      </c>
      <c r="S304" s="68"/>
      <c r="T304" s="393"/>
    </row>
    <row r="305">
      <c r="C305" s="3"/>
      <c r="D305" s="396"/>
      <c r="E305" s="396"/>
      <c r="F305" s="396"/>
      <c r="G305" s="396"/>
      <c r="H305" s="396"/>
      <c r="N305" s="397"/>
      <c r="O305" s="397"/>
      <c r="P305" s="397"/>
      <c r="Q305" s="397"/>
      <c r="R305" s="397"/>
    </row>
    <row r="306">
      <c r="C306" s="386" t="s">
        <v>25</v>
      </c>
      <c r="D306" s="383"/>
      <c r="E306" s="383"/>
      <c r="F306" s="383"/>
      <c r="G306" s="383"/>
      <c r="H306" s="384"/>
      <c r="I306" s="385" t="str">
        <f>IFERROR(__xludf.DUMMYFUNCTION("if(C306="""","""", iferror(filter(Schedule!$K:$K,Schedule!$L:$L=$C306,Schedule!$K:$K=""S1""),unique(filter(Schedule!$K:$K,Schedule!$L:$L=$C306,Schedule!$K:$K=""""))))"),"")</f>
        <v/>
      </c>
      <c r="M306" s="386" t="s">
        <v>22</v>
      </c>
      <c r="N306" s="383"/>
      <c r="O306" s="383"/>
      <c r="P306" s="383"/>
      <c r="Q306" s="383"/>
      <c r="R306" s="384"/>
      <c r="S306" s="385" t="s">
        <v>22</v>
      </c>
      <c r="T306" s="112"/>
    </row>
    <row r="307">
      <c r="C307" s="100" t="s">
        <v>7</v>
      </c>
      <c r="D307" s="387" t="s">
        <v>8</v>
      </c>
      <c r="E307" s="387" t="s">
        <v>9</v>
      </c>
      <c r="F307" s="387" t="s">
        <v>10</v>
      </c>
      <c r="G307" s="387" t="s">
        <v>11</v>
      </c>
      <c r="H307" s="387" t="s">
        <v>12</v>
      </c>
      <c r="I307" s="21" t="s">
        <v>766</v>
      </c>
      <c r="J307" s="116"/>
      <c r="K307" s="116"/>
      <c r="L307" s="116"/>
      <c r="M307" s="100" t="s">
        <v>7</v>
      </c>
      <c r="N307" s="387" t="s">
        <v>8</v>
      </c>
      <c r="O307" s="387" t="s">
        <v>9</v>
      </c>
      <c r="P307" s="387" t="s">
        <v>10</v>
      </c>
      <c r="Q307" s="387" t="s">
        <v>11</v>
      </c>
      <c r="R307" s="387" t="s">
        <v>12</v>
      </c>
      <c r="S307" s="21" t="s">
        <v>766</v>
      </c>
      <c r="T307" s="388"/>
    </row>
    <row r="308">
      <c r="A308" s="389" t="s">
        <v>25</v>
      </c>
      <c r="B308" s="389"/>
      <c r="C308" s="100">
        <v>1.0</v>
      </c>
      <c r="D308" s="390" t="str">
        <f t="array" ref="D308">IF('Teachers sched'!D308="", "", 
  IFERROR(
    VLOOKUP(
      'Teachers sched'!$A308 &amp; "|" &amp; 
      LEFT('Teachers sched'!D308, FIND("-", 'Teachers sched'!D308) - 1),
      {
        SALONES!$A:$A &amp; "|" &amp; SALONES!$B:$B,
        SALONES!$C:$C
      },
      2,
      FALSE
    ) &amp; " - " &amp; 'Teachers sched'!D308,
    'Teachers sched'!D308
  )
)
</f>
        <v>AP 2-D Art and Design-1</v>
      </c>
      <c r="E308" s="390" t="str">
        <f t="array" ref="E308">IF('Teachers sched'!E308="", "", 
  IFERROR(
    VLOOKUP(
      'Teachers sched'!$A308 &amp; "|" &amp; 
      LEFT('Teachers sched'!E308, FIND("-", 'Teachers sched'!E308) - 1),
      {
        SALONES!$A:$A &amp; "|" &amp; SALONES!$B:$B,
        SALONES!$C:$C
      },
      2,
      FALSE
    ) &amp; " - " &amp; 'Teachers sched'!E308,
    'Teachers sched'!E308
  )
)
</f>
        <v>911 - Mixed Media Art-1 &amp; AP 3-D Art and Design-1</v>
      </c>
      <c r="F308" s="390" t="str">
        <f t="array" ref="F308">IF('Teachers sched'!F308="", "", 
  IFERROR(
    VLOOKUP(
      'Teachers sched'!$A308 &amp; "|" &amp; 
      LEFT('Teachers sched'!F308, FIND("-", 'Teachers sched'!F308) - 1),
      {
        SALONES!$A:$A &amp; "|" &amp; SALONES!$B:$B,
        SALONES!$C:$C
      },
      2,
      FALSE
    ) &amp; " - " &amp; 'Teachers sched'!F308,
    'Teachers sched'!F308
  )
)
</f>
        <v>911 - Drawing I-2</v>
      </c>
      <c r="G308" s="390" t="str">
        <f t="array" ref="G308">IF('Teachers sched'!G308="", "", 
  IFERROR(
    VLOOKUP(
      'Teachers sched'!$A308 &amp; "|" &amp; 
      LEFT('Teachers sched'!G308, FIND("-", 'Teachers sched'!G308) - 1),
      {
        SALONES!$A:$A &amp; "|" &amp; SALONES!$B:$B,
        SALONES!$C:$C
      },
      2,
      FALSE
    ) &amp; " - " &amp; 'Teachers sched'!G308,
    'Teachers sched'!G308
  )
)
</f>
        <v>911 - Painting I-2</v>
      </c>
      <c r="H308" s="390" t="str">
        <f t="array" ref="H308">IF('Teachers sched'!H308="", "", 
  IFERROR(
    VLOOKUP(
      'Teachers sched'!$A308 &amp; "|" &amp; 
      LEFT('Teachers sched'!H308, FIND("-", 'Teachers sched'!H308) - 1),
      {
        SALONES!$A:$A &amp; "|" &amp; SALONES!$B:$B,
        SALONES!$C:$C
      },
      2,
      FALSE
    ) &amp; " - " &amp; 'Teachers sched'!H308,
    'Teachers sched'!H308
  )
)
</f>
        <v/>
      </c>
      <c r="I308" s="391">
        <f>if(C306="","", 24-countifs(D308:H312,""))</f>
        <v>18</v>
      </c>
      <c r="J308" s="392"/>
      <c r="K308" s="389" t="s">
        <v>22</v>
      </c>
      <c r="L308" s="389" t="s">
        <v>22</v>
      </c>
      <c r="M308" s="100">
        <v>1.0</v>
      </c>
      <c r="N308" s="390" t="s">
        <v>22</v>
      </c>
      <c r="O308" s="390" t="s">
        <v>22</v>
      </c>
      <c r="P308" s="390" t="s">
        <v>22</v>
      </c>
      <c r="Q308" s="390" t="s">
        <v>22</v>
      </c>
      <c r="R308" s="390" t="s">
        <v>22</v>
      </c>
      <c r="S308" s="391" t="s">
        <v>22</v>
      </c>
      <c r="T308" s="393"/>
    </row>
    <row r="309">
      <c r="A309" s="389" t="s">
        <v>25</v>
      </c>
      <c r="B309" s="389"/>
      <c r="C309" s="100">
        <v>2.0</v>
      </c>
      <c r="D309" s="390" t="str">
        <f t="array" ref="D309">IF('Teachers sched'!D309="", "", 
  IFERROR(
    VLOOKUP(
      'Teachers sched'!$A309 &amp; "|" &amp; 
      LEFT('Teachers sched'!D309, FIND("-", 'Teachers sched'!D309) - 1),
      {
        SALONES!$A:$A &amp; "|" &amp; SALONES!$B:$B,
        SALONES!$C:$C
      },
      2,
      FALSE
    ) &amp; " - " &amp; 'Teachers sched'!D309,
    'Teachers sched'!D309
  )
)
</f>
        <v/>
      </c>
      <c r="E309" s="390" t="str">
        <f t="array" ref="E309">IF('Teachers sched'!E309="", "", 
  IFERROR(
    VLOOKUP(
      'Teachers sched'!$A309 &amp; "|" &amp; 
      LEFT('Teachers sched'!E309, FIND("-", 'Teachers sched'!E309) - 1),
      {
        SALONES!$A:$A &amp; "|" &amp; SALONES!$B:$B,
        SALONES!$C:$C
      },
      2,
      FALSE
    ) &amp; " - " &amp; 'Teachers sched'!E309,
    'Teachers sched'!E309
  )
)
</f>
        <v>911 - Painting I-1</v>
      </c>
      <c r="F309" s="390" t="str">
        <f t="array" ref="F309">IF('Teachers sched'!F309="", "", 
  IFERROR(
    VLOOKUP(
      'Teachers sched'!$A309 &amp; "|" &amp; 
      LEFT('Teachers sched'!F309, FIND("-", 'Teachers sched'!F309) - 1),
      {
        SALONES!$A:$A &amp; "|" &amp; SALONES!$B:$B,
        SALONES!$C:$C
      },
      2,
      FALSE
    ) &amp; " - " &amp; 'Teachers sched'!F309,
    'Teachers sched'!F309
  )
)
</f>
        <v>911 - Sculpture I-2</v>
      </c>
      <c r="G309" s="390" t="str">
        <f t="array" ref="G309">IF('Teachers sched'!G309="", "", 
  IFERROR(
    VLOOKUP(
      'Teachers sched'!$A309 &amp; "|" &amp; 
      LEFT('Teachers sched'!G309, FIND("-", 'Teachers sched'!G309) - 1),
      {
        SALONES!$A:$A &amp; "|" &amp; SALONES!$B:$B,
        SALONES!$C:$C
      },
      2,
      FALSE
    ) &amp; " - " &amp; 'Teachers sched'!G309,
    'Teachers sched'!G309
  )
)
</f>
        <v>AP 2-D Art and Design-1</v>
      </c>
      <c r="H309" s="390" t="str">
        <f t="array" ref="H309">IF('Teachers sched'!H309="", "", 
  IFERROR(
    VLOOKUP(
      'Teachers sched'!$A309 &amp; "|" &amp; 
      LEFT('Teachers sched'!H309, FIND("-", 'Teachers sched'!H309) - 1),
      {
        SALONES!$A:$A &amp; "|" &amp; SALONES!$B:$B,
        SALONES!$C:$C
      },
      2,
      FALSE
    ) &amp; " - " &amp; 'Teachers sched'!H309,
    'Teachers sched'!H309
  )
)
</f>
        <v>911 - Mixed Media Art-1 &amp; AP 3-D Art and Design-1</v>
      </c>
      <c r="I309" s="53"/>
      <c r="J309" s="392"/>
      <c r="K309" s="389" t="s">
        <v>22</v>
      </c>
      <c r="L309" s="389" t="s">
        <v>22</v>
      </c>
      <c r="M309" s="100">
        <v>2.0</v>
      </c>
      <c r="N309" s="390" t="s">
        <v>22</v>
      </c>
      <c r="O309" s="390" t="s">
        <v>22</v>
      </c>
      <c r="P309" s="390" t="s">
        <v>22</v>
      </c>
      <c r="Q309" s="390" t="s">
        <v>22</v>
      </c>
      <c r="R309" s="390" t="s">
        <v>22</v>
      </c>
      <c r="S309" s="53"/>
      <c r="T309" s="393"/>
    </row>
    <row r="310">
      <c r="A310" s="389" t="s">
        <v>25</v>
      </c>
      <c r="B310" s="389"/>
      <c r="C310" s="100">
        <v>3.0</v>
      </c>
      <c r="D310" s="390" t="str">
        <f t="array" ref="D310">IF('Teachers sched'!D310="", "", 
  IFERROR(
    VLOOKUP(
      'Teachers sched'!$A310 &amp; "|" &amp; 
      LEFT('Teachers sched'!D310, FIND("-", 'Teachers sched'!D310) - 1),
      {
        SALONES!$A:$A &amp; "|" &amp; SALONES!$B:$B,
        SALONES!$C:$C
      },
      2,
      FALSE
    ) &amp; " - " &amp; 'Teachers sched'!D310,
    'Teachers sched'!D310
  )
)
</f>
        <v>911 - Drawing I-2</v>
      </c>
      <c r="E310" s="390" t="str">
        <f t="array" ref="E310">IF('Teachers sched'!E310="", "", 
  IFERROR(
    VLOOKUP(
      'Teachers sched'!$A310 &amp; "|" &amp; 
      LEFT('Teachers sched'!E310, FIND("-", 'Teachers sched'!E310) - 1),
      {
        SALONES!$A:$A &amp; "|" &amp; SALONES!$B:$B,
        SALONES!$C:$C
      },
      2,
      FALSE
    ) &amp; " - " &amp; 'Teachers sched'!E310,
    'Teachers sched'!E310
  )
)
</f>
        <v>911 - Painting I-2</v>
      </c>
      <c r="F310" s="390" t="str">
        <f t="array" ref="F310">IF('Teachers sched'!F310="", "", 
  IFERROR(
    VLOOKUP(
      'Teachers sched'!$A310 &amp; "|" &amp; 
      LEFT('Teachers sched'!F310, FIND("-", 'Teachers sched'!F310) - 1),
      {
        SALONES!$A:$A &amp; "|" &amp; SALONES!$B:$B,
        SALONES!$C:$C
      },
      2,
      FALSE
    ) &amp; " - " &amp; 'Teachers sched'!F310,
    'Teachers sched'!F310
  )
)
</f>
        <v/>
      </c>
      <c r="G310" s="390" t="str">
        <f t="array" ref="G310">IF('Teachers sched'!G310="", "", 
  IFERROR(
    VLOOKUP(
      'Teachers sched'!$A310 &amp; "|" &amp; 
      LEFT('Teachers sched'!G310, FIND("-", 'Teachers sched'!G310) - 1),
      {
        SALONES!$A:$A &amp; "|" &amp; SALONES!$B:$B,
        SALONES!$C:$C
      },
      2,
      FALSE
    ) &amp; " - " &amp; 'Teachers sched'!G310,
    'Teachers sched'!G310
  )
)
</f>
        <v/>
      </c>
      <c r="H310" s="395" t="str">
        <f t="array" ref="H310">IF('Teachers sched'!H310="", "", 
  IFERROR(
    VLOOKUP(
      'Teachers sched'!$A310 &amp; "|" &amp; 
      LEFT('Teachers sched'!H310, FIND("-", 'Teachers sched'!H310) - 1),
      {
        SALONES!$A:$A &amp; "|" &amp; SALONES!$B:$B,
        SALONES!$C:$C
      },
      2,
      FALSE
    ) &amp; " - " &amp; 'Teachers sched'!H310,
    'Teachers sched'!H310
  )
)
</f>
        <v>X-Block</v>
      </c>
      <c r="I310" s="53"/>
      <c r="J310" s="392"/>
      <c r="K310" s="389" t="s">
        <v>22</v>
      </c>
      <c r="L310" s="389" t="s">
        <v>22</v>
      </c>
      <c r="M310" s="100">
        <v>3.0</v>
      </c>
      <c r="N310" s="390" t="s">
        <v>22</v>
      </c>
      <c r="O310" s="390" t="s">
        <v>22</v>
      </c>
      <c r="P310" s="390" t="s">
        <v>22</v>
      </c>
      <c r="Q310" s="390" t="s">
        <v>22</v>
      </c>
      <c r="R310" s="395" t="s">
        <v>22</v>
      </c>
      <c r="S310" s="53"/>
      <c r="T310" s="393"/>
    </row>
    <row r="311">
      <c r="A311" s="389" t="s">
        <v>25</v>
      </c>
      <c r="B311" s="389"/>
      <c r="C311" s="100">
        <v>4.0</v>
      </c>
      <c r="D311" s="390" t="str">
        <f t="array" ref="D311">IF('Teachers sched'!D311="", "", 
  IFERROR(
    VLOOKUP(
      'Teachers sched'!$A311 &amp; "|" &amp; 
      LEFT('Teachers sched'!D311, FIND("-", 'Teachers sched'!D311) - 1),
      {
        SALONES!$A:$A &amp; "|" &amp; SALONES!$B:$B,
        SALONES!$C:$C
      },
      2,
      FALSE
    ) &amp; " - " &amp; 'Teachers sched'!D311,
    'Teachers sched'!D311
  )
)
</f>
        <v>911 - Sculpture I-2</v>
      </c>
      <c r="E311" s="390" t="str">
        <f t="array" ref="E311">IF('Teachers sched'!E311="", "", 
  IFERROR(
    VLOOKUP(
      'Teachers sched'!$A311 &amp; "|" &amp; 
      LEFT('Teachers sched'!E311, FIND("-", 'Teachers sched'!E311) - 1),
      {
        SALONES!$A:$A &amp; "|" &amp; SALONES!$B:$B,
        SALONES!$C:$C
      },
      2,
      FALSE
    ) &amp; " - " &amp; 'Teachers sched'!E311,
    'Teachers sched'!E311
  )
)
</f>
        <v>AP 2-D Art and Design-1</v>
      </c>
      <c r="F311" s="390" t="str">
        <f t="array" ref="F311">IF('Teachers sched'!F311="", "", 
  IFERROR(
    VLOOKUP(
      'Teachers sched'!$A311 &amp; "|" &amp; 
      LEFT('Teachers sched'!F311, FIND("-", 'Teachers sched'!F311) - 1),
      {
        SALONES!$A:$A &amp; "|" &amp; SALONES!$B:$B,
        SALONES!$C:$C
      },
      2,
      FALSE
    ) &amp; " - " &amp; 'Teachers sched'!F311,
    'Teachers sched'!F311
  )
)
</f>
        <v>911 - Mixed Media Art-1 &amp; AP 3-D Art and Design-1</v>
      </c>
      <c r="G311" s="390" t="str">
        <f t="array" ref="G311">IF('Teachers sched'!G311="", "", 
  IFERROR(
    VLOOKUP(
      'Teachers sched'!$A311 &amp; "|" &amp; 
      LEFT('Teachers sched'!G311, FIND("-", 'Teachers sched'!G311) - 1),
      {
        SALONES!$A:$A &amp; "|" &amp; SALONES!$B:$B,
        SALONES!$C:$C
      },
      2,
      FALSE
    ) &amp; " - " &amp; 'Teachers sched'!G311,
    'Teachers sched'!G311
  )
)
</f>
        <v>911 - Drawing I-2</v>
      </c>
      <c r="H311" s="390" t="str">
        <f t="array" ref="H311">IF('Teachers sched'!H311="", "", 
  IFERROR(
    VLOOKUP(
      'Teachers sched'!$A311 &amp; "|" &amp; 
      LEFT('Teachers sched'!H311, FIND("-", 'Teachers sched'!H311) - 1),
      {
        SALONES!$A:$A &amp; "|" &amp; SALONES!$B:$B,
        SALONES!$C:$C
      },
      2,
      FALSE
    ) &amp; " - " &amp; 'Teachers sched'!H311,
    'Teachers sched'!H311
  )
)
</f>
        <v>911 - Painting I-1</v>
      </c>
      <c r="I311" s="53"/>
      <c r="J311" s="392"/>
      <c r="K311" s="389" t="s">
        <v>22</v>
      </c>
      <c r="L311" s="389" t="s">
        <v>22</v>
      </c>
      <c r="M311" s="100">
        <v>4.0</v>
      </c>
      <c r="N311" s="390" t="s">
        <v>22</v>
      </c>
      <c r="O311" s="390" t="s">
        <v>22</v>
      </c>
      <c r="P311" s="390" t="s">
        <v>22</v>
      </c>
      <c r="Q311" s="390" t="s">
        <v>22</v>
      </c>
      <c r="R311" s="390" t="s">
        <v>22</v>
      </c>
      <c r="S311" s="53"/>
      <c r="T311" s="393"/>
    </row>
    <row r="312">
      <c r="A312" s="389" t="s">
        <v>25</v>
      </c>
      <c r="B312" s="389"/>
      <c r="C312" s="100">
        <v>5.0</v>
      </c>
      <c r="D312" s="390" t="str">
        <f t="array" ref="D312">IF('Teachers sched'!D312="", "", 
  IFERROR(
    VLOOKUP(
      'Teachers sched'!$A312 &amp; "|" &amp; 
      LEFT('Teachers sched'!D312, FIND("-", 'Teachers sched'!D312) - 1),
      {
        SALONES!$A:$A &amp; "|" &amp; SALONES!$B:$B,
        SALONES!$C:$C
      },
      2,
      FALSE
    ) &amp; " - " &amp; 'Teachers sched'!D312,
    'Teachers sched'!D312
  )
)
</f>
        <v/>
      </c>
      <c r="E312" s="390" t="str">
        <f t="array" ref="E312">IF('Teachers sched'!E312="", "", 
  IFERROR(
    VLOOKUP(
      'Teachers sched'!$A312 &amp; "|" &amp; 
      LEFT('Teachers sched'!E312, FIND("-", 'Teachers sched'!E312) - 1),
      {
        SALONES!$A:$A &amp; "|" &amp; SALONES!$B:$B,
        SALONES!$C:$C
      },
      2,
      FALSE
    ) &amp; " - " &amp; 'Teachers sched'!E312,
    'Teachers sched'!E312
  )
)
</f>
        <v/>
      </c>
      <c r="F312" s="390" t="str">
        <f t="array" ref="F312">IF('Teachers sched'!F312="", "", 
  IFERROR(
    VLOOKUP(
      'Teachers sched'!$A312 &amp; "|" &amp; 
      LEFT('Teachers sched'!F312, FIND("-", 'Teachers sched'!F312) - 1),
      {
        SALONES!$A:$A &amp; "|" &amp; SALONES!$B:$B,
        SALONES!$C:$C
      },
      2,
      FALSE
    ) &amp; " - " &amp; 'Teachers sched'!F312,
    'Teachers sched'!F312
  )
)
</f>
        <v>911 - Painting I-1</v>
      </c>
      <c r="G312" s="390" t="str">
        <f t="array" ref="G312">IF('Teachers sched'!G312="", "", 
  IFERROR(
    VLOOKUP(
      'Teachers sched'!$A312 &amp; "|" &amp; 
      LEFT('Teachers sched'!G312, FIND("-", 'Teachers sched'!G312) - 1),
      {
        SALONES!$A:$A &amp; "|" &amp; SALONES!$B:$B,
        SALONES!$C:$C
      },
      2,
      FALSE
    ) &amp; " - " &amp; 'Teachers sched'!G312,
    'Teachers sched'!G312
  )
)
</f>
        <v>911 - Sculpture I-2</v>
      </c>
      <c r="H312" s="390" t="str">
        <f t="array" ref="H312">IF('Teachers sched'!H312="", "", 
  IFERROR(
    VLOOKUP(
      'Teachers sched'!$A312 &amp; "|" &amp; 
      LEFT('Teachers sched'!H312, FIND("-", 'Teachers sched'!H312) - 1),
      {
        SALONES!$A:$A &amp; "|" &amp; SALONES!$B:$B,
        SALONES!$C:$C
      },
      2,
      FALSE
    ) &amp; " - " &amp; 'Teachers sched'!H312,
    'Teachers sched'!H312
  )
)
</f>
        <v>911 - Painting I-2</v>
      </c>
      <c r="I312" s="68"/>
      <c r="J312" s="392"/>
      <c r="K312" s="389" t="s">
        <v>22</v>
      </c>
      <c r="L312" s="389" t="s">
        <v>22</v>
      </c>
      <c r="M312" s="100">
        <v>5.0</v>
      </c>
      <c r="N312" s="390" t="s">
        <v>22</v>
      </c>
      <c r="O312" s="390" t="s">
        <v>22</v>
      </c>
      <c r="P312" s="390" t="s">
        <v>22</v>
      </c>
      <c r="Q312" s="390" t="s">
        <v>22</v>
      </c>
      <c r="R312" s="390" t="s">
        <v>22</v>
      </c>
      <c r="S312" s="68"/>
      <c r="T312" s="393"/>
    </row>
    <row r="313">
      <c r="A313" s="389"/>
      <c r="B313" s="389"/>
      <c r="C313" s="275"/>
      <c r="D313" s="396"/>
      <c r="E313" s="396"/>
      <c r="F313" s="396"/>
      <c r="G313" s="396"/>
      <c r="H313" s="396"/>
      <c r="I313" s="392"/>
      <c r="J313" s="392"/>
      <c r="K313" s="389"/>
      <c r="L313" s="389"/>
      <c r="M313" s="275"/>
      <c r="N313" s="396"/>
      <c r="O313" s="396"/>
      <c r="P313" s="396"/>
      <c r="Q313" s="396"/>
      <c r="R313" s="396"/>
      <c r="S313" s="392"/>
      <c r="T313" s="393"/>
    </row>
    <row r="314">
      <c r="C314" s="386" t="s">
        <v>89</v>
      </c>
      <c r="D314" s="383"/>
      <c r="E314" s="383"/>
      <c r="F314" s="383"/>
      <c r="G314" s="383"/>
      <c r="H314" s="384"/>
      <c r="I314" s="385" t="str">
        <f>IFERROR(__xludf.DUMMYFUNCTION("if(C314="""","""", iferror(filter(Schedule!$K:$K,Schedule!$L:$L=$C314,Schedule!$K:$K=""S1""),unique(filter(Schedule!$K:$K,Schedule!$L:$L=$C314,Schedule!$K:$K=""""))))"),"")</f>
        <v/>
      </c>
      <c r="M314" s="386" t="s">
        <v>22</v>
      </c>
      <c r="N314" s="383"/>
      <c r="O314" s="383"/>
      <c r="P314" s="383"/>
      <c r="Q314" s="383"/>
      <c r="R314" s="384"/>
      <c r="S314" s="385" t="s">
        <v>22</v>
      </c>
    </row>
    <row r="315">
      <c r="C315" s="100" t="s">
        <v>7</v>
      </c>
      <c r="D315" s="387" t="s">
        <v>8</v>
      </c>
      <c r="E315" s="387" t="s">
        <v>9</v>
      </c>
      <c r="F315" s="387" t="s">
        <v>10</v>
      </c>
      <c r="G315" s="387" t="s">
        <v>11</v>
      </c>
      <c r="H315" s="387" t="s">
        <v>12</v>
      </c>
      <c r="I315" s="21" t="s">
        <v>766</v>
      </c>
      <c r="J315" s="116"/>
      <c r="K315" s="116"/>
      <c r="L315" s="116"/>
      <c r="M315" s="100" t="s">
        <v>7</v>
      </c>
      <c r="N315" s="387" t="s">
        <v>8</v>
      </c>
      <c r="O315" s="387" t="s">
        <v>9</v>
      </c>
      <c r="P315" s="387" t="s">
        <v>10</v>
      </c>
      <c r="Q315" s="387" t="s">
        <v>11</v>
      </c>
      <c r="R315" s="387" t="s">
        <v>12</v>
      </c>
      <c r="S315" s="21" t="s">
        <v>766</v>
      </c>
    </row>
    <row r="316">
      <c r="A316" s="389" t="s">
        <v>89</v>
      </c>
      <c r="B316" s="389" t="s">
        <v>22</v>
      </c>
      <c r="C316" s="100">
        <v>1.0</v>
      </c>
      <c r="D316" s="390" t="str">
        <f t="array" ref="D316">IF('Teachers sched'!D316="", "", 
  IFERROR(
    VLOOKUP(
      'Teachers sched'!$A316 &amp; "|" &amp; 
      LEFT('Teachers sched'!D316, FIND("-", 'Teachers sched'!D316) - 1),
      {
        SALONES!$A:$A &amp; "|" &amp; SALONES!$B:$B,
        SALONES!$C:$C
      },
      2,
      FALSE
    ) &amp; " - " &amp; 'Teachers sched'!D316,
    'Teachers sched'!D316
  )
)
</f>
        <v>909 - Biology 9-5</v>
      </c>
      <c r="E316" s="390" t="str">
        <f t="array" ref="E316">IF('Teachers sched'!E316="", "", 
  IFERROR(
    VLOOKUP(
      'Teachers sched'!$A316 &amp; "|" &amp; 
      LEFT('Teachers sched'!E316, FIND("-", 'Teachers sched'!E316) - 1),
      {
        SALONES!$A:$A &amp; "|" &amp; SALONES!$B:$B,
        SALONES!$C:$C
      },
      2,
      FALSE
    ) &amp; " - " &amp; 'Teachers sched'!E316,
    'Teachers sched'!E316
  )
)
</f>
        <v/>
      </c>
      <c r="F316" s="390" t="str">
        <f t="array" ref="F316">IF('Teachers sched'!F316="", "", 
  IFERROR(
    VLOOKUP(
      'Teachers sched'!$A316 &amp; "|" &amp; 
      LEFT('Teachers sched'!F316, FIND("-", 'Teachers sched'!F316) - 1),
      {
        SALONES!$A:$A &amp; "|" &amp; SALONES!$B:$B,
        SALONES!$C:$C
      },
      2,
      FALSE
    ) &amp; " - " &amp; 'Teachers sched'!F316,
    'Teachers sched'!F316
  )
)
</f>
        <v/>
      </c>
      <c r="G316" s="390" t="str">
        <f t="array" ref="G316">IF('Teachers sched'!G316="", "", 
  IFERROR(
    VLOOKUP(
      'Teachers sched'!$A316 &amp; "|" &amp; 
      LEFT('Teachers sched'!G316, FIND("-", 'Teachers sched'!G316) - 1),
      {
        SALONES!$A:$A &amp; "|" &amp; SALONES!$B:$B,
        SALONES!$C:$C
      },
      2,
      FALSE
    ) &amp; " - " &amp; 'Teachers sched'!G316,
    'Teachers sched'!G316
  )
)
</f>
        <v/>
      </c>
      <c r="H316" s="390" t="str">
        <f t="array" ref="H316">IF('Teachers sched'!H316="", "", 
  IFERROR(
    VLOOKUP(
      'Teachers sched'!$A316 &amp; "|" &amp; 
      LEFT('Teachers sched'!H316, FIND("-", 'Teachers sched'!H316) - 1),
      {
        SALONES!$A:$A &amp; "|" &amp; SALONES!$B:$B,
        SALONES!$C:$C
      },
      2,
      FALSE
    ) &amp; " - " &amp; 'Teachers sched'!H316,
    'Teachers sched'!H316
  )
)
</f>
        <v>912 - Physics-2</v>
      </c>
      <c r="I316" s="391">
        <f>if(C314="","", 24-countifs(D316:H320,""))</f>
        <v>15</v>
      </c>
      <c r="J316" s="392"/>
      <c r="K316" s="389" t="s">
        <v>22</v>
      </c>
      <c r="L316" s="389" t="s">
        <v>22</v>
      </c>
      <c r="M316" s="100">
        <v>1.0</v>
      </c>
      <c r="N316" s="390" t="s">
        <v>22</v>
      </c>
      <c r="O316" s="390" t="s">
        <v>22</v>
      </c>
      <c r="P316" s="390" t="s">
        <v>22</v>
      </c>
      <c r="Q316" s="390" t="s">
        <v>22</v>
      </c>
      <c r="R316" s="390" t="s">
        <v>22</v>
      </c>
      <c r="S316" s="391" t="s">
        <v>22</v>
      </c>
    </row>
    <row r="317">
      <c r="A317" s="389" t="s">
        <v>89</v>
      </c>
      <c r="B317" s="389" t="s">
        <v>22</v>
      </c>
      <c r="C317" s="100">
        <v>2.0</v>
      </c>
      <c r="D317" s="390" t="str">
        <f t="array" ref="D317">IF('Teachers sched'!D317="", "", 
  IFERROR(
    VLOOKUP(
      'Teachers sched'!$A317 &amp; "|" &amp; 
      LEFT('Teachers sched'!D317, FIND("-", 'Teachers sched'!D317) - 1),
      {
        SALONES!$A:$A &amp; "|" &amp; SALONES!$B:$B,
        SALONES!$C:$C
      },
      2,
      FALSE
    ) &amp; " - " &amp; 'Teachers sched'!D317,
    'Teachers sched'!D317
  )
)
</f>
        <v>912 - Physics-1</v>
      </c>
      <c r="E317" s="390" t="str">
        <f t="array" ref="E317">IF('Teachers sched'!E317="", "", 
  IFERROR(
    VLOOKUP(
      'Teachers sched'!$A317 &amp; "|" &amp; 
      LEFT('Teachers sched'!E317, FIND("-", 'Teachers sched'!E317) - 1),
      {
        SALONES!$A:$A &amp; "|" &amp; SALONES!$B:$B,
        SALONES!$C:$C
      },
      2,
      FALSE
    ) &amp; " - " &amp; 'Teachers sched'!E317,
    'Teachers sched'!E317
  )
)
</f>
        <v>909 - Biology 9-7</v>
      </c>
      <c r="F317" s="390" t="str">
        <f t="array" ref="F317">IF('Teachers sched'!F317="", "", 
  IFERROR(
    VLOOKUP(
      'Teachers sched'!$A317 &amp; "|" &amp; 
      LEFT('Teachers sched'!F317, FIND("-", 'Teachers sched'!F317) - 1),
      {
        SALONES!$A:$A &amp; "|" &amp; SALONES!$B:$B,
        SALONES!$C:$C
      },
      2,
      FALSE
    ) &amp; " - " &amp; 'Teachers sched'!F317,
    'Teachers sched'!F317
  )
)
</f>
        <v>909 - Biology 9-6</v>
      </c>
      <c r="G317" s="390" t="str">
        <f t="array" ref="G317">IF('Teachers sched'!G317="", "", 
  IFERROR(
    VLOOKUP(
      'Teachers sched'!$A317 &amp; "|" &amp; 
      LEFT('Teachers sched'!G317, FIND("-", 'Teachers sched'!G317) - 1),
      {
        SALONES!$A:$A &amp; "|" &amp; SALONES!$B:$B,
        SALONES!$C:$C
      },
      2,
      FALSE
    ) &amp; " - " &amp; 'Teachers sched'!G317,
    'Teachers sched'!G317
  )
)
</f>
        <v>909 - Biology 9-5</v>
      </c>
      <c r="H317" s="390" t="str">
        <f t="array" ref="H317">IF('Teachers sched'!H317="", "", 
  IFERROR(
    VLOOKUP(
      'Teachers sched'!$A317 &amp; "|" &amp; 
      LEFT('Teachers sched'!H317, FIND("-", 'Teachers sched'!H317) - 1),
      {
        SALONES!$A:$A &amp; "|" &amp; SALONES!$B:$B,
        SALONES!$C:$C
      },
      2,
      FALSE
    ) &amp; " - " &amp; 'Teachers sched'!H317,
    'Teachers sched'!H317
  )
)
</f>
        <v/>
      </c>
      <c r="I317" s="53"/>
      <c r="J317" s="392"/>
      <c r="K317" s="389" t="s">
        <v>22</v>
      </c>
      <c r="L317" s="389" t="s">
        <v>22</v>
      </c>
      <c r="M317" s="100">
        <v>2.0</v>
      </c>
      <c r="N317" s="390" t="s">
        <v>22</v>
      </c>
      <c r="O317" s="390" t="s">
        <v>22</v>
      </c>
      <c r="P317" s="390" t="s">
        <v>22</v>
      </c>
      <c r="Q317" s="390" t="s">
        <v>22</v>
      </c>
      <c r="R317" s="390" t="s">
        <v>22</v>
      </c>
      <c r="S317" s="53"/>
    </row>
    <row r="318">
      <c r="A318" s="389" t="s">
        <v>89</v>
      </c>
      <c r="B318" s="389" t="s">
        <v>22</v>
      </c>
      <c r="C318" s="100">
        <v>3.0</v>
      </c>
      <c r="D318" s="390" t="str">
        <f t="array" ref="D318">IF('Teachers sched'!D318="", "", 
  IFERROR(
    VLOOKUP(
      'Teachers sched'!$A318 &amp; "|" &amp; 
      LEFT('Teachers sched'!D318, FIND("-", 'Teachers sched'!D318) - 1),
      {
        SALONES!$A:$A &amp; "|" &amp; SALONES!$B:$B,
        SALONES!$C:$C
      },
      2,
      FALSE
    ) &amp; " - " &amp; 'Teachers sched'!D318,
    'Teachers sched'!D318
  )
)
</f>
        <v/>
      </c>
      <c r="E318" s="390" t="str">
        <f t="array" ref="E318">IF('Teachers sched'!E318="", "", 
  IFERROR(
    VLOOKUP(
      'Teachers sched'!$A318 &amp; "|" &amp; 
      LEFT('Teachers sched'!E318, FIND("-", 'Teachers sched'!E318) - 1),
      {
        SALONES!$A:$A &amp; "|" &amp; SALONES!$B:$B,
        SALONES!$C:$C
      },
      2,
      FALSE
    ) &amp; " - " &amp; 'Teachers sched'!E318,
    'Teachers sched'!E318
  )
)
</f>
        <v/>
      </c>
      <c r="F318" s="390" t="str">
        <f t="array" ref="F318">IF('Teachers sched'!F318="", "", 
  IFERROR(
    VLOOKUP(
      'Teachers sched'!$A318 &amp; "|" &amp; 
      LEFT('Teachers sched'!F318, FIND("-", 'Teachers sched'!F318) - 1),
      {
        SALONES!$A:$A &amp; "|" &amp; SALONES!$B:$B,
        SALONES!$C:$C
      },
      2,
      FALSE
    ) &amp; " - " &amp; 'Teachers sched'!F318,
    'Teachers sched'!F318
  )
)
</f>
        <v>912 - Physics-2</v>
      </c>
      <c r="G318" s="390" t="str">
        <f t="array" ref="G318">IF('Teachers sched'!G318="", "", 
  IFERROR(
    VLOOKUP(
      'Teachers sched'!$A318 &amp; "|" &amp; 
      LEFT('Teachers sched'!G318, FIND("-", 'Teachers sched'!G318) - 1),
      {
        SALONES!$A:$A &amp; "|" &amp; SALONES!$B:$B,
        SALONES!$C:$C
      },
      2,
      FALSE
    ) &amp; " - " &amp; 'Teachers sched'!G318,
    'Teachers sched'!G318
  )
)
</f>
        <v>912 - Physics-1</v>
      </c>
      <c r="H318" s="395" t="str">
        <f t="array" ref="H318">IF('Teachers sched'!H318="", "", 
  IFERROR(
    VLOOKUP(
      'Teachers sched'!$A318 &amp; "|" &amp; 
      LEFT('Teachers sched'!H318, FIND("-", 'Teachers sched'!H318) - 1),
      {
        SALONES!$A:$A &amp; "|" &amp; SALONES!$B:$B,
        SALONES!$C:$C
      },
      2,
      FALSE
    ) &amp; " - " &amp; 'Teachers sched'!H318,
    'Teachers sched'!H318
  )
)
</f>
        <v>X-Block</v>
      </c>
      <c r="I318" s="53"/>
      <c r="J318" s="392"/>
      <c r="K318" s="389" t="s">
        <v>22</v>
      </c>
      <c r="L318" s="389" t="s">
        <v>22</v>
      </c>
      <c r="M318" s="100">
        <v>3.0</v>
      </c>
      <c r="N318" s="390" t="s">
        <v>22</v>
      </c>
      <c r="O318" s="390" t="s">
        <v>22</v>
      </c>
      <c r="P318" s="390" t="s">
        <v>22</v>
      </c>
      <c r="Q318" s="390" t="s">
        <v>22</v>
      </c>
      <c r="R318" s="395" t="s">
        <v>22</v>
      </c>
      <c r="S318" s="53"/>
    </row>
    <row r="319">
      <c r="A319" s="389" t="s">
        <v>89</v>
      </c>
      <c r="B319" s="389" t="s">
        <v>22</v>
      </c>
      <c r="C319" s="100">
        <v>4.0</v>
      </c>
      <c r="D319" s="390" t="str">
        <f t="array" ref="D319">IF('Teachers sched'!D319="", "", 
  IFERROR(
    VLOOKUP(
      'Teachers sched'!$A319 &amp; "|" &amp; 
      LEFT('Teachers sched'!D319, FIND("-", 'Teachers sched'!D319) - 1),
      {
        SALONES!$A:$A &amp; "|" &amp; SALONES!$B:$B,
        SALONES!$C:$C
      },
      2,
      FALSE
    ) &amp; " - " &amp; 'Teachers sched'!D319,
    'Teachers sched'!D319
  )
)
</f>
        <v>909 - Biology 9-6</v>
      </c>
      <c r="E319" s="390" t="str">
        <f t="array" ref="E319">IF('Teachers sched'!E319="", "", 
  IFERROR(
    VLOOKUP(
      'Teachers sched'!$A319 &amp; "|" &amp; 
      LEFT('Teachers sched'!E319, FIND("-", 'Teachers sched'!E319) - 1),
      {
        SALONES!$A:$A &amp; "|" &amp; SALONES!$B:$B,
        SALONES!$C:$C
      },
      2,
      FALSE
    ) &amp; " - " &amp; 'Teachers sched'!E319,
    'Teachers sched'!E319
  )
)
</f>
        <v>909 - Biology 9-5</v>
      </c>
      <c r="F319" s="390" t="str">
        <f t="array" ref="F319">IF('Teachers sched'!F319="", "", 
  IFERROR(
    VLOOKUP(
      'Teachers sched'!$A319 &amp; "|" &amp; 
      LEFT('Teachers sched'!F319, FIND("-", 'Teachers sched'!F319) - 1),
      {
        SALONES!$A:$A &amp; "|" &amp; SALONES!$B:$B,
        SALONES!$C:$C
      },
      2,
      FALSE
    ) &amp; " - " &amp; 'Teachers sched'!F319,
    'Teachers sched'!F319
  )
)
</f>
        <v/>
      </c>
      <c r="G319" s="390" t="str">
        <f t="array" ref="G319">IF('Teachers sched'!G319="", "", 
  IFERROR(
    VLOOKUP(
      'Teachers sched'!$A319 &amp; "|" &amp; 
      LEFT('Teachers sched'!G319, FIND("-", 'Teachers sched'!G319) - 1),
      {
        SALONES!$A:$A &amp; "|" &amp; SALONES!$B:$B,
        SALONES!$C:$C
      },
      2,
      FALSE
    ) &amp; " - " &amp; 'Teachers sched'!G319,
    'Teachers sched'!G319
  )
)
</f>
        <v/>
      </c>
      <c r="H319" s="390" t="str">
        <f t="array" ref="H319">IF('Teachers sched'!H319="", "", 
  IFERROR(
    VLOOKUP(
      'Teachers sched'!$A319 &amp; "|" &amp; 
      LEFT('Teachers sched'!H319, FIND("-", 'Teachers sched'!H319) - 1),
      {
        SALONES!$A:$A &amp; "|" &amp; SALONES!$B:$B,
        SALONES!$C:$C
      },
      2,
      FALSE
    ) &amp; " - " &amp; 'Teachers sched'!H319,
    'Teachers sched'!H319
  )
)
</f>
        <v>909 - Biology 9-7</v>
      </c>
      <c r="I319" s="53"/>
      <c r="J319" s="392"/>
      <c r="K319" s="389" t="s">
        <v>22</v>
      </c>
      <c r="L319" s="389" t="s">
        <v>22</v>
      </c>
      <c r="M319" s="100">
        <v>4.0</v>
      </c>
      <c r="N319" s="390" t="s">
        <v>22</v>
      </c>
      <c r="O319" s="390" t="s">
        <v>22</v>
      </c>
      <c r="P319" s="390" t="s">
        <v>22</v>
      </c>
      <c r="Q319" s="390" t="s">
        <v>22</v>
      </c>
      <c r="R319" s="390" t="s">
        <v>22</v>
      </c>
      <c r="S319" s="53"/>
    </row>
    <row r="320">
      <c r="A320" s="389" t="s">
        <v>89</v>
      </c>
      <c r="B320" s="389" t="s">
        <v>22</v>
      </c>
      <c r="C320" s="100">
        <v>5.0</v>
      </c>
      <c r="D320" s="390" t="str">
        <f t="array" ref="D320">IF('Teachers sched'!D320="", "", 
  IFERROR(
    VLOOKUP(
      'Teachers sched'!$A320 &amp; "|" &amp; 
      LEFT('Teachers sched'!D320, FIND("-", 'Teachers sched'!D320) - 1),
      {
        SALONES!$A:$A &amp; "|" &amp; SALONES!$B:$B,
        SALONES!$C:$C
      },
      2,
      FALSE
    ) &amp; " - " &amp; 'Teachers sched'!D320,
    'Teachers sched'!D320
  )
)
</f>
        <v>912 - Physics-2</v>
      </c>
      <c r="E320" s="390" t="str">
        <f t="array" ref="E320">IF('Teachers sched'!E320="", "", 
  IFERROR(
    VLOOKUP(
      'Teachers sched'!$A320 &amp; "|" &amp; 
      LEFT('Teachers sched'!E320, FIND("-", 'Teachers sched'!E320) - 1),
      {
        SALONES!$A:$A &amp; "|" &amp; SALONES!$B:$B,
        SALONES!$C:$C
      },
      2,
      FALSE
    ) &amp; " - " &amp; 'Teachers sched'!E320,
    'Teachers sched'!E320
  )
)
</f>
        <v>912 - Physics-1</v>
      </c>
      <c r="F320" s="390" t="str">
        <f t="array" ref="F320">IF('Teachers sched'!F320="", "", 
  IFERROR(
    VLOOKUP(
      'Teachers sched'!$A320 &amp; "|" &amp; 
      LEFT('Teachers sched'!F320, FIND("-", 'Teachers sched'!F320) - 1),
      {
        SALONES!$A:$A &amp; "|" &amp; SALONES!$B:$B,
        SALONES!$C:$C
      },
      2,
      FALSE
    ) &amp; " - " &amp; 'Teachers sched'!F320,
    'Teachers sched'!F320
  )
)
</f>
        <v>909 - Biology 9-7</v>
      </c>
      <c r="G320" s="390" t="str">
        <f t="array" ref="G320">IF('Teachers sched'!G320="", "", 
  IFERROR(
    VLOOKUP(
      'Teachers sched'!$A320 &amp; "|" &amp; 
      LEFT('Teachers sched'!G320, FIND("-", 'Teachers sched'!G320) - 1),
      {
        SALONES!$A:$A &amp; "|" &amp; SALONES!$B:$B,
        SALONES!$C:$C
      },
      2,
      FALSE
    ) &amp; " - " &amp; 'Teachers sched'!G320,
    'Teachers sched'!G320
  )
)
</f>
        <v>909 - Biology 9-6</v>
      </c>
      <c r="H320" s="390" t="str">
        <f t="array" ref="H320">IF('Teachers sched'!H320="", "", 
  IFERROR(
    VLOOKUP(
      'Teachers sched'!$A320 &amp; "|" &amp; 
      LEFT('Teachers sched'!H320, FIND("-", 'Teachers sched'!H320) - 1),
      {
        SALONES!$A:$A &amp; "|" &amp; SALONES!$B:$B,
        SALONES!$C:$C
      },
      2,
      FALSE
    ) &amp; " - " &amp; 'Teachers sched'!H320,
    'Teachers sched'!H320
  )
)
</f>
        <v/>
      </c>
      <c r="I320" s="68"/>
      <c r="J320" s="392"/>
      <c r="K320" s="389" t="s">
        <v>22</v>
      </c>
      <c r="L320" s="389" t="s">
        <v>22</v>
      </c>
      <c r="M320" s="100">
        <v>5.0</v>
      </c>
      <c r="N320" s="390" t="s">
        <v>22</v>
      </c>
      <c r="O320" s="390" t="s">
        <v>22</v>
      </c>
      <c r="P320" s="390" t="s">
        <v>22</v>
      </c>
      <c r="Q320" s="390" t="s">
        <v>22</v>
      </c>
      <c r="R320" s="390" t="s">
        <v>22</v>
      </c>
      <c r="S320" s="68"/>
    </row>
    <row r="321">
      <c r="A321" s="389"/>
      <c r="B321" s="389"/>
      <c r="C321" s="275"/>
      <c r="D321" s="396"/>
      <c r="E321" s="396"/>
      <c r="F321" s="396"/>
      <c r="G321" s="396"/>
      <c r="H321" s="396"/>
      <c r="I321" s="392"/>
      <c r="J321" s="392"/>
      <c r="K321" s="389"/>
      <c r="L321" s="389"/>
      <c r="M321" s="275"/>
      <c r="N321" s="396"/>
      <c r="O321" s="396"/>
      <c r="P321" s="396"/>
      <c r="Q321" s="396"/>
      <c r="R321" s="396"/>
      <c r="S321" s="392"/>
      <c r="T321" s="393"/>
    </row>
    <row r="322">
      <c r="C322" s="386" t="s">
        <v>133</v>
      </c>
      <c r="D322" s="383"/>
      <c r="E322" s="383"/>
      <c r="F322" s="383"/>
      <c r="G322" s="383"/>
      <c r="H322" s="384"/>
      <c r="I322" s="385" t="str">
        <f>IFERROR(__xludf.DUMMYFUNCTION("if(C322="""","""", iferror(filter(Schedule!$K:$K,Schedule!$L:$L=$C322,Schedule!$K:$K=""S1""),unique(filter(Schedule!$K:$K,Schedule!$L:$L=$C322,Schedule!$K:$K=""""))))"),"")</f>
        <v/>
      </c>
      <c r="M322" s="386" t="s">
        <v>22</v>
      </c>
      <c r="N322" s="383"/>
      <c r="O322" s="383"/>
      <c r="P322" s="383"/>
      <c r="Q322" s="383"/>
      <c r="R322" s="384"/>
      <c r="S322" s="385" t="s">
        <v>22</v>
      </c>
    </row>
    <row r="323">
      <c r="C323" s="100" t="s">
        <v>7</v>
      </c>
      <c r="D323" s="387" t="s">
        <v>8</v>
      </c>
      <c r="E323" s="387" t="s">
        <v>9</v>
      </c>
      <c r="F323" s="387" t="s">
        <v>10</v>
      </c>
      <c r="G323" s="387" t="s">
        <v>11</v>
      </c>
      <c r="H323" s="387" t="s">
        <v>12</v>
      </c>
      <c r="I323" s="21" t="s">
        <v>766</v>
      </c>
      <c r="J323" s="116"/>
      <c r="K323" s="116"/>
      <c r="L323" s="116"/>
      <c r="M323" s="100" t="s">
        <v>7</v>
      </c>
      <c r="N323" s="387" t="s">
        <v>8</v>
      </c>
      <c r="O323" s="387" t="s">
        <v>9</v>
      </c>
      <c r="P323" s="387" t="s">
        <v>10</v>
      </c>
      <c r="Q323" s="387" t="s">
        <v>11</v>
      </c>
      <c r="R323" s="387" t="s">
        <v>12</v>
      </c>
      <c r="S323" s="21" t="s">
        <v>766</v>
      </c>
    </row>
    <row r="324">
      <c r="A324" s="389" t="s">
        <v>133</v>
      </c>
      <c r="B324" s="389" t="s">
        <v>22</v>
      </c>
      <c r="C324" s="100">
        <v>1.0</v>
      </c>
      <c r="D324" s="390" t="str">
        <f t="array" ref="D324">IF('Teachers sched'!D324="", "", 
  IFERROR(
    VLOOKUP(
      'Teachers sched'!$A324 &amp; "|" &amp; 
      LEFT('Teachers sched'!D324, FIND("-", 'Teachers sched'!D324) - 1),
      {
        SALONES!$A:$A &amp; "|" &amp; SALONES!$B:$B,
        SALONES!$C:$C
      },
      2,
      FALSE
    ) &amp; " - " &amp; 'Teachers sched'!D324,
    'Teachers sched'!D324
  )
)
</f>
        <v> - PE 12-1</v>
      </c>
      <c r="E324" s="390" t="str">
        <f t="array" ref="E324">IF('Teachers sched'!E324="", "", 
  IFERROR(
    VLOOKUP(
      'Teachers sched'!$A324 &amp; "|" &amp; 
      LEFT('Teachers sched'!E324, FIND("-", 'Teachers sched'!E324) - 1),
      {
        SALONES!$A:$A &amp; "|" &amp; SALONES!$B:$B,
        SALONES!$C:$C
      },
      2,
      FALSE
    ) &amp; " - " &amp; 'Teachers sched'!E324,
    'Teachers sched'!E324
  )
)
</f>
        <v> - PE 12-5</v>
      </c>
      <c r="F324" s="390" t="str">
        <f t="array" ref="F324">IF('Teachers sched'!F324="", "", 
  IFERROR(
    VLOOKUP(
      'Teachers sched'!$A324 &amp; "|" &amp; 
      LEFT('Teachers sched'!F324, FIND("-", 'Teachers sched'!F324) - 1),
      {
        SALONES!$A:$A &amp; "|" &amp; SALONES!$B:$B,
        SALONES!$C:$C
      },
      2,
      FALSE
    ) &amp; " - " &amp; 'Teachers sched'!F324,
    'Teachers sched'!F324
  )
)
</f>
        <v/>
      </c>
      <c r="G324" s="390" t="str">
        <f t="array" ref="G324">IF('Teachers sched'!G324="", "", 
  IFERROR(
    VLOOKUP(
      'Teachers sched'!$A324 &amp; "|" &amp; 
      LEFT('Teachers sched'!G324, FIND("-", 'Teachers sched'!G324) - 1),
      {
        SALONES!$A:$A &amp; "|" &amp; SALONES!$B:$B,
        SALONES!$C:$C
      },
      2,
      FALSE
    ) &amp; " - " &amp; 'Teachers sched'!G324,
    'Teachers sched'!G324
  )
)
</f>
        <v> - PE 12-6</v>
      </c>
      <c r="H324" s="390" t="str">
        <f t="array" ref="H324">IF('Teachers sched'!H324="", "", 
  IFERROR(
    VLOOKUP(
      'Teachers sched'!$A324 &amp; "|" &amp; 
      LEFT('Teachers sched'!H324, FIND("-", 'Teachers sched'!H324) - 1),
      {
        SALONES!$A:$A &amp; "|" &amp; SALONES!$B:$B,
        SALONES!$C:$C
      },
      2,
      FALSE
    ) &amp; " - " &amp; 'Teachers sched'!H324,
    'Teachers sched'!H324
  )
)
</f>
        <v> - PE 12-4</v>
      </c>
      <c r="I324" s="391">
        <f>if(C322="","", 24-countifs(D324:H328,""))</f>
        <v>18</v>
      </c>
      <c r="J324" s="392"/>
      <c r="K324" s="389" t="s">
        <v>22</v>
      </c>
      <c r="L324" s="389" t="s">
        <v>22</v>
      </c>
      <c r="M324" s="100">
        <v>1.0</v>
      </c>
      <c r="N324" s="390" t="s">
        <v>22</v>
      </c>
      <c r="O324" s="390" t="s">
        <v>22</v>
      </c>
      <c r="P324" s="390" t="s">
        <v>22</v>
      </c>
      <c r="Q324" s="390" t="s">
        <v>22</v>
      </c>
      <c r="R324" s="390" t="s">
        <v>22</v>
      </c>
      <c r="S324" s="391" t="s">
        <v>22</v>
      </c>
    </row>
    <row r="325">
      <c r="A325" s="389" t="s">
        <v>133</v>
      </c>
      <c r="B325" s="389" t="s">
        <v>22</v>
      </c>
      <c r="C325" s="100">
        <v>2.0</v>
      </c>
      <c r="D325" s="390" t="str">
        <f t="array" ref="D325">IF('Teachers sched'!D325="", "", 
  IFERROR(
    VLOOKUP(
      'Teachers sched'!$A325 &amp; "|" &amp; 
      LEFT('Teachers sched'!D325, FIND("-", 'Teachers sched'!D325) - 1),
      {
        SALONES!$A:$A &amp; "|" &amp; SALONES!$B:$B,
        SALONES!$C:$C
      },
      2,
      FALSE
    ) &amp; " - " &amp; 'Teachers sched'!D325,
    'Teachers sched'!D325
  )
)
</f>
        <v> - PE 12-2</v>
      </c>
      <c r="E325" s="390" t="str">
        <f t="array" ref="E325">IF('Teachers sched'!E325="", "", 
  IFERROR(
    VLOOKUP(
      'Teachers sched'!$A325 &amp; "|" &amp; 
      LEFT('Teachers sched'!E325, FIND("-", 'Teachers sched'!E325) - 1),
      {
        SALONES!$A:$A &amp; "|" &amp; SALONES!$B:$B,
        SALONES!$C:$C
      },
      2,
      FALSE
    ) &amp; " - " &amp; 'Teachers sched'!E325,
    'Teachers sched'!E325
  )
)
</f>
        <v/>
      </c>
      <c r="F325" s="390" t="str">
        <f t="array" ref="F325">IF('Teachers sched'!F325="", "", 
  IFERROR(
    VLOOKUP(
      'Teachers sched'!$A325 &amp; "|" &amp; 
      LEFT('Teachers sched'!F325, FIND("-", 'Teachers sched'!F325) - 1),
      {
        SALONES!$A:$A &amp; "|" &amp; SALONES!$B:$B,
        SALONES!$C:$C
      },
      2,
      FALSE
    ) &amp; " - " &amp; 'Teachers sched'!F325,
    'Teachers sched'!F325
  )
)
</f>
        <v> - PE 12-3</v>
      </c>
      <c r="G325" s="390" t="str">
        <f t="array" ref="G325">IF('Teachers sched'!G325="", "", 
  IFERROR(
    VLOOKUP(
      'Teachers sched'!$A325 &amp; "|" &amp; 
      LEFT('Teachers sched'!G325, FIND("-", 'Teachers sched'!G325) - 1),
      {
        SALONES!$A:$A &amp; "|" &amp; SALONES!$B:$B,
        SALONES!$C:$C
      },
      2,
      FALSE
    ) &amp; " - " &amp; 'Teachers sched'!G325,
    'Teachers sched'!G325
  )
)
</f>
        <v> - PE 12-1</v>
      </c>
      <c r="H325" s="390" t="str">
        <f t="array" ref="H325">IF('Teachers sched'!H325="", "", 
  IFERROR(
    VLOOKUP(
      'Teachers sched'!$A325 &amp; "|" &amp; 
      LEFT('Teachers sched'!H325, FIND("-", 'Teachers sched'!H325) - 1),
      {
        SALONES!$A:$A &amp; "|" &amp; SALONES!$B:$B,
        SALONES!$C:$C
      },
      2,
      FALSE
    ) &amp; " - " &amp; 'Teachers sched'!H325,
    'Teachers sched'!H325
  )
)
</f>
        <v> - PE 12-5</v>
      </c>
      <c r="I325" s="53"/>
      <c r="J325" s="392"/>
      <c r="K325" s="389" t="s">
        <v>22</v>
      </c>
      <c r="L325" s="389" t="s">
        <v>22</v>
      </c>
      <c r="M325" s="100">
        <v>2.0</v>
      </c>
      <c r="N325" s="390" t="s">
        <v>22</v>
      </c>
      <c r="O325" s="390" t="s">
        <v>22</v>
      </c>
      <c r="P325" s="390" t="s">
        <v>22</v>
      </c>
      <c r="Q325" s="390" t="s">
        <v>22</v>
      </c>
      <c r="R325" s="390" t="s">
        <v>22</v>
      </c>
      <c r="S325" s="53"/>
    </row>
    <row r="326">
      <c r="A326" s="389" t="s">
        <v>133</v>
      </c>
      <c r="B326" s="389" t="s">
        <v>22</v>
      </c>
      <c r="C326" s="100">
        <v>3.0</v>
      </c>
      <c r="D326" s="390" t="str">
        <f t="array" ref="D326">IF('Teachers sched'!D326="", "", 
  IFERROR(
    VLOOKUP(
      'Teachers sched'!$A326 &amp; "|" &amp; 
      LEFT('Teachers sched'!D326, FIND("-", 'Teachers sched'!D326) - 1),
      {
        SALONES!$A:$A &amp; "|" &amp; SALONES!$B:$B,
        SALONES!$C:$C
      },
      2,
      FALSE
    ) &amp; " - " &amp; 'Teachers sched'!D326,
    'Teachers sched'!D326
  )
)
</f>
        <v/>
      </c>
      <c r="E326" s="398" t="str">
        <f t="array" ref="E326">IF('Teachers sched'!E326="", "", 
  IFERROR(
    VLOOKUP(
      'Teachers sched'!$A326 &amp; "|" &amp; 
      LEFT('Teachers sched'!E326, FIND("-", 'Teachers sched'!E326) - 1),
      {
        SALONES!$A:$A &amp; "|" &amp; SALONES!$B:$B,
        SALONES!$C:$C
      },
      2,
      FALSE
    ) &amp; " - " &amp; 'Teachers sched'!E326,
    'Teachers sched'!E326
  )
)
</f>
        <v> - PE 12-6</v>
      </c>
      <c r="F326" s="390" t="str">
        <f t="array" ref="F326">IF('Teachers sched'!F326="", "", 
  IFERROR(
    VLOOKUP(
      'Teachers sched'!$A326 &amp; "|" &amp; 
      LEFT('Teachers sched'!F326, FIND("-", 'Teachers sched'!F326) - 1),
      {
        SALONES!$A:$A &amp; "|" &amp; SALONES!$B:$B,
        SALONES!$C:$C
      },
      2,
      FALSE
    ) &amp; " - " &amp; 'Teachers sched'!F326,
    'Teachers sched'!F326
  )
)
</f>
        <v> - PE 12-4</v>
      </c>
      <c r="G326" s="390" t="str">
        <f t="array" ref="G326">IF('Teachers sched'!G326="", "", 
  IFERROR(
    VLOOKUP(
      'Teachers sched'!$A326 &amp; "|" &amp; 
      LEFT('Teachers sched'!G326, FIND("-", 'Teachers sched'!G326) - 1),
      {
        SALONES!$A:$A &amp; "|" &amp; SALONES!$B:$B,
        SALONES!$C:$C
      },
      2,
      FALSE
    ) &amp; " - " &amp; 'Teachers sched'!G326,
    'Teachers sched'!G326
  )
)
</f>
        <v> - PE 12-2</v>
      </c>
      <c r="H326" s="395" t="str">
        <f t="array" ref="H326">IF('Teachers sched'!H326="", "", 
  IFERROR(
    VLOOKUP(
      'Teachers sched'!$A326 &amp; "|" &amp; 
      LEFT('Teachers sched'!H326, FIND("-", 'Teachers sched'!H326) - 1),
      {
        SALONES!$A:$A &amp; "|" &amp; SALONES!$B:$B,
        SALONES!$C:$C
      },
      2,
      FALSE
    ) &amp; " - " &amp; 'Teachers sched'!H326,
    'Teachers sched'!H326
  )
)
</f>
        <v>X-Block</v>
      </c>
      <c r="I326" s="53"/>
      <c r="J326" s="392"/>
      <c r="K326" s="389" t="s">
        <v>22</v>
      </c>
      <c r="L326" s="389" t="s">
        <v>22</v>
      </c>
      <c r="M326" s="100">
        <v>3.0</v>
      </c>
      <c r="N326" s="390" t="s">
        <v>22</v>
      </c>
      <c r="O326" s="390" t="s">
        <v>22</v>
      </c>
      <c r="P326" s="390" t="s">
        <v>22</v>
      </c>
      <c r="Q326" s="390" t="s">
        <v>22</v>
      </c>
      <c r="R326" s="395" t="s">
        <v>22</v>
      </c>
      <c r="S326" s="53"/>
    </row>
    <row r="327">
      <c r="A327" s="389" t="s">
        <v>133</v>
      </c>
      <c r="B327" s="389" t="s">
        <v>22</v>
      </c>
      <c r="C327" s="100">
        <v>4.0</v>
      </c>
      <c r="D327" s="390" t="str">
        <f t="array" ref="D327">IF('Teachers sched'!D327="", "", 
  IFERROR(
    VLOOKUP(
      'Teachers sched'!$A327 &amp; "|" &amp; 
      LEFT('Teachers sched'!D327, FIND("-", 'Teachers sched'!D327) - 1),
      {
        SALONES!$A:$A &amp; "|" &amp; SALONES!$B:$B,
        SALONES!$C:$C
      },
      2,
      FALSE
    ) &amp; " - " &amp; 'Teachers sched'!D327,
    'Teachers sched'!D327
  )
)
</f>
        <v> - PE 12-3</v>
      </c>
      <c r="E327" s="390" t="str">
        <f t="array" ref="E327">IF('Teachers sched'!E327="", "", 
  IFERROR(
    VLOOKUP(
      'Teachers sched'!$A327 &amp; "|" &amp; 
      LEFT('Teachers sched'!E327, FIND("-", 'Teachers sched'!E327) - 1),
      {
        SALONES!$A:$A &amp; "|" &amp; SALONES!$B:$B,
        SALONES!$C:$C
      },
      2,
      FALSE
    ) &amp; " - " &amp; 'Teachers sched'!E327,
    'Teachers sched'!E327
  )
)
</f>
        <v> - PE 12-1</v>
      </c>
      <c r="F327" s="390" t="str">
        <f t="array" ref="F327">IF('Teachers sched'!F327="", "", 
  IFERROR(
    VLOOKUP(
      'Teachers sched'!$A327 &amp; "|" &amp; 
      LEFT('Teachers sched'!F327, FIND("-", 'Teachers sched'!F327) - 1),
      {
        SALONES!$A:$A &amp; "|" &amp; SALONES!$B:$B,
        SALONES!$C:$C
      },
      2,
      FALSE
    ) &amp; " - " &amp; 'Teachers sched'!F327,
    'Teachers sched'!F327
  )
)
</f>
        <v> - PE 12-5</v>
      </c>
      <c r="G327" s="390" t="str">
        <f t="array" ref="G327">IF('Teachers sched'!G327="", "", 
  IFERROR(
    VLOOKUP(
      'Teachers sched'!$A327 &amp; "|" &amp; 
      LEFT('Teachers sched'!G327, FIND("-", 'Teachers sched'!G327) - 1),
      {
        SALONES!$A:$A &amp; "|" &amp; SALONES!$B:$B,
        SALONES!$C:$C
      },
      2,
      FALSE
    ) &amp; " - " &amp; 'Teachers sched'!G327,
    'Teachers sched'!G327
  )
)
</f>
        <v/>
      </c>
      <c r="H327" s="390" t="str">
        <f t="array" ref="H327">IF('Teachers sched'!H327="", "", 
  IFERROR(
    VLOOKUP(
      'Teachers sched'!$A327 &amp; "|" &amp; 
      LEFT('Teachers sched'!H327, FIND("-", 'Teachers sched'!H327) - 1),
      {
        SALONES!$A:$A &amp; "|" &amp; SALONES!$B:$B,
        SALONES!$C:$C
      },
      2,
      FALSE
    ) &amp; " - " &amp; 'Teachers sched'!H327,
    'Teachers sched'!H327
  )
)
</f>
        <v/>
      </c>
      <c r="I327" s="53"/>
      <c r="J327" s="392"/>
      <c r="K327" s="389" t="s">
        <v>22</v>
      </c>
      <c r="L327" s="389" t="s">
        <v>22</v>
      </c>
      <c r="M327" s="100">
        <v>4.0</v>
      </c>
      <c r="N327" s="390" t="s">
        <v>22</v>
      </c>
      <c r="O327" s="390" t="s">
        <v>22</v>
      </c>
      <c r="P327" s="390" t="s">
        <v>22</v>
      </c>
      <c r="Q327" s="390" t="s">
        <v>22</v>
      </c>
      <c r="R327" s="390" t="s">
        <v>22</v>
      </c>
      <c r="S327" s="53"/>
    </row>
    <row r="328">
      <c r="A328" s="389" t="s">
        <v>133</v>
      </c>
      <c r="B328" s="389" t="s">
        <v>22</v>
      </c>
      <c r="C328" s="100">
        <v>5.0</v>
      </c>
      <c r="D328" s="390" t="str">
        <f t="array" ref="D328">IF('Teachers sched'!D328="", "", 
  IFERROR(
    VLOOKUP(
      'Teachers sched'!$A328 &amp; "|" &amp; 
      LEFT('Teachers sched'!D328, FIND("-", 'Teachers sched'!D328) - 1),
      {
        SALONES!$A:$A &amp; "|" &amp; SALONES!$B:$B,
        SALONES!$C:$C
      },
      2,
      FALSE
    ) &amp; " - " &amp; 'Teachers sched'!D328,
    'Teachers sched'!D328
  )
)
</f>
        <v> - PE 12-4</v>
      </c>
      <c r="E328" s="390" t="str">
        <f t="array" ref="E328">IF('Teachers sched'!E328="", "", 
  IFERROR(
    VLOOKUP(
      'Teachers sched'!$A328 &amp; "|" &amp; 
      LEFT('Teachers sched'!E328, FIND("-", 'Teachers sched'!E328) - 1),
      {
        SALONES!$A:$A &amp; "|" &amp; SALONES!$B:$B,
        SALONES!$C:$C
      },
      2,
      FALSE
    ) &amp; " - " &amp; 'Teachers sched'!E328,
    'Teachers sched'!E328
  )
)
</f>
        <v> - PE 12-2</v>
      </c>
      <c r="F328" s="390" t="str">
        <f t="array" ref="F328">IF('Teachers sched'!F328="", "", 
  IFERROR(
    VLOOKUP(
      'Teachers sched'!$A328 &amp; "|" &amp; 
      LEFT('Teachers sched'!F328, FIND("-", 'Teachers sched'!F328) - 1),
      {
        SALONES!$A:$A &amp; "|" &amp; SALONES!$B:$B,
        SALONES!$C:$C
      },
      2,
      FALSE
    ) &amp; " - " &amp; 'Teachers sched'!F328,
    'Teachers sched'!F328
  )
)
</f>
        <v/>
      </c>
      <c r="G328" s="390" t="str">
        <f t="array" ref="G328">IF('Teachers sched'!G328="", "", 
  IFERROR(
    VLOOKUP(
      'Teachers sched'!$A328 &amp; "|" &amp; 
      LEFT('Teachers sched'!G328, FIND("-", 'Teachers sched'!G328) - 1),
      {
        SALONES!$A:$A &amp; "|" &amp; SALONES!$B:$B,
        SALONES!$C:$C
      },
      2,
      FALSE
    ) &amp; " - " &amp; 'Teachers sched'!G328,
    'Teachers sched'!G328
  )
)
</f>
        <v> - PE 12-3</v>
      </c>
      <c r="H328" s="390" t="str">
        <f t="array" ref="H328">IF('Teachers sched'!H328="", "", 
  IFERROR(
    VLOOKUP(
      'Teachers sched'!$A328 &amp; "|" &amp; 
      LEFT('Teachers sched'!H328, FIND("-", 'Teachers sched'!H328) - 1),
      {
        SALONES!$A:$A &amp; "|" &amp; SALONES!$B:$B,
        SALONES!$C:$C
      },
      2,
      FALSE
    ) &amp; " - " &amp; 'Teachers sched'!H328,
    'Teachers sched'!H328
  )
)
</f>
        <v> - PE 12-6</v>
      </c>
      <c r="I328" s="68"/>
      <c r="J328" s="392"/>
      <c r="K328" s="389" t="s">
        <v>22</v>
      </c>
      <c r="L328" s="389" t="s">
        <v>22</v>
      </c>
      <c r="M328" s="100">
        <v>5.0</v>
      </c>
      <c r="N328" s="390" t="s">
        <v>22</v>
      </c>
      <c r="O328" s="390" t="s">
        <v>22</v>
      </c>
      <c r="P328" s="390" t="s">
        <v>22</v>
      </c>
      <c r="Q328" s="390" t="s">
        <v>22</v>
      </c>
      <c r="R328" s="390" t="s">
        <v>22</v>
      </c>
      <c r="S328" s="68"/>
    </row>
    <row r="329">
      <c r="A329" s="389"/>
      <c r="B329" s="389"/>
      <c r="C329" s="275"/>
      <c r="D329" s="396"/>
      <c r="E329" s="396"/>
      <c r="F329" s="396"/>
      <c r="G329" s="396"/>
      <c r="H329" s="396"/>
      <c r="I329" s="392"/>
      <c r="J329" s="392"/>
      <c r="K329" s="389"/>
      <c r="L329" s="389"/>
      <c r="M329" s="275"/>
      <c r="N329" s="396"/>
      <c r="O329" s="396"/>
      <c r="P329" s="396"/>
      <c r="Q329" s="396"/>
      <c r="R329" s="396"/>
      <c r="S329" s="392"/>
      <c r="T329" s="393"/>
    </row>
    <row r="330">
      <c r="C330" s="386" t="s">
        <v>87</v>
      </c>
      <c r="D330" s="383"/>
      <c r="E330" s="383"/>
      <c r="F330" s="383"/>
      <c r="G330" s="383"/>
      <c r="H330" s="384"/>
      <c r="I330" s="385" t="str">
        <f>IFERROR(__xludf.DUMMYFUNCTION("if(C330="""","""", iferror(filter(Schedule!$K:$K,Schedule!$L:$L=$C330,Schedule!$K:$K=""S1""),unique(filter(Schedule!$K:$K,Schedule!$L:$L=$C330,Schedule!$K:$K=""""))))"),"")</f>
        <v/>
      </c>
      <c r="M330" s="386" t="s">
        <v>22</v>
      </c>
      <c r="N330" s="383"/>
      <c r="O330" s="383"/>
      <c r="P330" s="383"/>
      <c r="Q330" s="383"/>
      <c r="R330" s="384"/>
      <c r="S330" s="385" t="s">
        <v>22</v>
      </c>
    </row>
    <row r="331">
      <c r="C331" s="100" t="s">
        <v>7</v>
      </c>
      <c r="D331" s="387" t="s">
        <v>8</v>
      </c>
      <c r="E331" s="387" t="s">
        <v>9</v>
      </c>
      <c r="F331" s="387" t="s">
        <v>10</v>
      </c>
      <c r="G331" s="387" t="s">
        <v>11</v>
      </c>
      <c r="H331" s="387" t="s">
        <v>12</v>
      </c>
      <c r="I331" s="21" t="s">
        <v>766</v>
      </c>
      <c r="J331" s="116"/>
      <c r="K331" s="116"/>
      <c r="L331" s="116"/>
      <c r="M331" s="100" t="s">
        <v>7</v>
      </c>
      <c r="N331" s="387" t="s">
        <v>8</v>
      </c>
      <c r="O331" s="387" t="s">
        <v>9</v>
      </c>
      <c r="P331" s="387" t="s">
        <v>10</v>
      </c>
      <c r="Q331" s="387" t="s">
        <v>11</v>
      </c>
      <c r="R331" s="387" t="s">
        <v>12</v>
      </c>
      <c r="S331" s="21" t="s">
        <v>766</v>
      </c>
    </row>
    <row r="332">
      <c r="A332" s="389" t="s">
        <v>87</v>
      </c>
      <c r="B332" s="389" t="s">
        <v>22</v>
      </c>
      <c r="C332" s="100">
        <v>1.0</v>
      </c>
      <c r="D332" s="390" t="str">
        <f t="array" ref="D332">IF('Teachers sched'!D332="", "", 
  IFERROR(
    VLOOKUP(
      'Teachers sched'!$A332 &amp; "|" &amp; 
      LEFT('Teachers sched'!D332, FIND("-", 'Teachers sched'!D332) - 1),
      {
        SALONES!$A:$A &amp; "|" &amp; SALONES!$B:$B,
        SALONES!$C:$C
      },
      2,
      FALSE
    ) &amp; " - " &amp; 'Teachers sched'!D332,
    'Teachers sched'!D332
  )
)
</f>
        <v/>
      </c>
      <c r="E332" s="390" t="str">
        <f t="array" ref="E332">IF('Teachers sched'!E332="", "", 
  IFERROR(
    VLOOKUP(
      'Teachers sched'!$A332 &amp; "|" &amp; 
      LEFT('Teachers sched'!E332, FIND("-", 'Teachers sched'!E332) - 1),
      {
        SALONES!$A:$A &amp; "|" &amp; SALONES!$B:$B,
        SALONES!$C:$C
      },
      2,
      FALSE
    ) &amp; " - " &amp; 'Teachers sched'!E332,
    'Teachers sched'!E332
  )
)
</f>
        <v>909 - Biology 9-4</v>
      </c>
      <c r="F332" s="390" t="str">
        <f t="array" ref="F332">IF('Teachers sched'!F332="", "", 
  IFERROR(
    VLOOKUP(
      'Teachers sched'!$A332 &amp; "|" &amp; 
      LEFT('Teachers sched'!F332, FIND("-", 'Teachers sched'!F332) - 1),
      {
        SALONES!$A:$A &amp; "|" &amp; SALONES!$B:$B,
        SALONES!$C:$C
      },
      2,
      FALSE
    ) &amp; " - " &amp; 'Teachers sched'!F332,
    'Teachers sched'!F332
  )
)
</f>
        <v>909 - Biology 9-2</v>
      </c>
      <c r="G332" s="390" t="str">
        <f t="array" ref="G332">IF('Teachers sched'!G332="", "", 
  IFERROR(
    VLOOKUP(
      'Teachers sched'!$A332 &amp; "|" &amp; 
      LEFT('Teachers sched'!G332, FIND("-", 'Teachers sched'!G332) - 1),
      {
        SALONES!$A:$A &amp; "|" &amp; SALONES!$B:$B,
        SALONES!$C:$C
      },
      2,
      FALSE
    ) &amp; " - " &amp; 'Teachers sched'!G332,
    'Teachers sched'!G332
  )
)
</f>
        <v>909 - Anatomy and Physiology-2</v>
      </c>
      <c r="H332" s="390" t="str">
        <f t="array" ref="H332">IF('Teachers sched'!H332="", "", 
  IFERROR(
    VLOOKUP(
      'Teachers sched'!$A332 &amp; "|" &amp; 
      LEFT('Teachers sched'!H332, FIND("-", 'Teachers sched'!H332) - 1),
      {
        SALONES!$A:$A &amp; "|" &amp; SALONES!$B:$B,
        SALONES!$C:$C
      },
      2,
      FALSE
    ) &amp; " - " &amp; 'Teachers sched'!H332,
    'Teachers sched'!H332
  )
)
</f>
        <v>909 - Biology 9-3</v>
      </c>
      <c r="I332" s="391">
        <f>if(C330="","", 24-countifs(D332:H336,""))</f>
        <v>15</v>
      </c>
      <c r="J332" s="392"/>
      <c r="K332" s="389" t="s">
        <v>22</v>
      </c>
      <c r="L332" s="389" t="s">
        <v>22</v>
      </c>
      <c r="M332" s="100">
        <v>1.0</v>
      </c>
      <c r="N332" s="390" t="s">
        <v>22</v>
      </c>
      <c r="O332" s="390" t="s">
        <v>22</v>
      </c>
      <c r="P332" s="390" t="s">
        <v>22</v>
      </c>
      <c r="Q332" s="390" t="s">
        <v>22</v>
      </c>
      <c r="R332" s="390" t="s">
        <v>22</v>
      </c>
      <c r="S332" s="391" t="s">
        <v>22</v>
      </c>
    </row>
    <row r="333">
      <c r="A333" s="389" t="s">
        <v>87</v>
      </c>
      <c r="B333" s="389" t="s">
        <v>22</v>
      </c>
      <c r="C333" s="100">
        <v>2.0</v>
      </c>
      <c r="D333" s="390" t="str">
        <f t="array" ref="D333">IF('Teachers sched'!D333="", "", 
  IFERROR(
    VLOOKUP(
      'Teachers sched'!$A333 &amp; "|" &amp; 
      LEFT('Teachers sched'!D333, FIND("-", 'Teachers sched'!D333) - 1),
      {
        SALONES!$A:$A &amp; "|" &amp; SALONES!$B:$B,
        SALONES!$C:$C
      },
      2,
      FALSE
    ) &amp; " - " &amp; 'Teachers sched'!D333,
    'Teachers sched'!D333
  )
)
</f>
        <v>909 - Biology 9-1</v>
      </c>
      <c r="E333" s="390" t="str">
        <f t="array" ref="E333">IF('Teachers sched'!E333="", "", 
  IFERROR(
    VLOOKUP(
      'Teachers sched'!$A333 &amp; "|" &amp; 
      LEFT('Teachers sched'!E333, FIND("-", 'Teachers sched'!E333) - 1),
      {
        SALONES!$A:$A &amp; "|" &amp; SALONES!$B:$B,
        SALONES!$C:$C
      },
      2,
      FALSE
    ) &amp; " - " &amp; 'Teachers sched'!E333,
    'Teachers sched'!E333
  )
)
</f>
        <v/>
      </c>
      <c r="F333" s="390" t="str">
        <f t="array" ref="F333">IF('Teachers sched'!F333="", "", 
  IFERROR(
    VLOOKUP(
      'Teachers sched'!$A333 &amp; "|" &amp; 
      LEFT('Teachers sched'!F333, FIND("-", 'Teachers sched'!F333) - 1),
      {
        SALONES!$A:$A &amp; "|" &amp; SALONES!$B:$B,
        SALONES!$C:$C
      },
      2,
      FALSE
    ) &amp; " - " &amp; 'Teachers sched'!F333,
    'Teachers sched'!F333
  )
)
</f>
        <v/>
      </c>
      <c r="G333" s="390" t="str">
        <f t="array" ref="G333">IF('Teachers sched'!G333="", "", 
  IFERROR(
    VLOOKUP(
      'Teachers sched'!$A333 &amp; "|" &amp; 
      LEFT('Teachers sched'!G333, FIND("-", 'Teachers sched'!G333) - 1),
      {
        SALONES!$A:$A &amp; "|" &amp; SALONES!$B:$B,
        SALONES!$C:$C
      },
      2,
      FALSE
    ) &amp; " - " &amp; 'Teachers sched'!G333,
    'Teachers sched'!G333
  )
)
</f>
        <v/>
      </c>
      <c r="H333" s="390" t="str">
        <f t="array" ref="H333">IF('Teachers sched'!H333="", "", 
  IFERROR(
    VLOOKUP(
      'Teachers sched'!$A333 &amp; "|" &amp; 
      LEFT('Teachers sched'!H333, FIND("-", 'Teachers sched'!H333) - 1),
      {
        SALONES!$A:$A &amp; "|" &amp; SALONES!$B:$B,
        SALONES!$C:$C
      },
      2,
      FALSE
    ) &amp; " - " &amp; 'Teachers sched'!H333,
    'Teachers sched'!H333
  )
)
</f>
        <v>909 - Biology 9-4</v>
      </c>
      <c r="I333" s="53"/>
      <c r="J333" s="392"/>
      <c r="K333" s="389" t="s">
        <v>22</v>
      </c>
      <c r="L333" s="389" t="s">
        <v>22</v>
      </c>
      <c r="M333" s="100">
        <v>2.0</v>
      </c>
      <c r="N333" s="390" t="s">
        <v>22</v>
      </c>
      <c r="O333" s="390" t="s">
        <v>22</v>
      </c>
      <c r="P333" s="390" t="s">
        <v>22</v>
      </c>
      <c r="Q333" s="390" t="s">
        <v>22</v>
      </c>
      <c r="R333" s="390" t="s">
        <v>22</v>
      </c>
      <c r="S333" s="53"/>
    </row>
    <row r="334">
      <c r="A334" s="389" t="s">
        <v>87</v>
      </c>
      <c r="B334" s="389" t="s">
        <v>22</v>
      </c>
      <c r="C334" s="100">
        <v>3.0</v>
      </c>
      <c r="D334" s="390" t="str">
        <f t="array" ref="D334">IF('Teachers sched'!D334="", "", 
  IFERROR(
    VLOOKUP(
      'Teachers sched'!$A334 &amp; "|" &amp; 
      LEFT('Teachers sched'!D334, FIND("-", 'Teachers sched'!D334) - 1),
      {
        SALONES!$A:$A &amp; "|" &amp; SALONES!$B:$B,
        SALONES!$C:$C
      },
      2,
      FALSE
    ) &amp; " - " &amp; 'Teachers sched'!D334,
    'Teachers sched'!D334
  )
)
</f>
        <v>909 - Biology 9-2</v>
      </c>
      <c r="E334" s="390" t="str">
        <f t="array" ref="E334">IF('Teachers sched'!E334="", "", 
  IFERROR(
    VLOOKUP(
      'Teachers sched'!$A334 &amp; "|" &amp; 
      LEFT('Teachers sched'!E334, FIND("-", 'Teachers sched'!E334) - 1),
      {
        SALONES!$A:$A &amp; "|" &amp; SALONES!$B:$B,
        SALONES!$C:$C
      },
      2,
      FALSE
    ) &amp; " - " &amp; 'Teachers sched'!E334,
    'Teachers sched'!E334
  )
)
</f>
        <v>909 - Anatomy and Physiology-2</v>
      </c>
      <c r="F334" s="390" t="str">
        <f t="array" ref="F334">IF('Teachers sched'!F334="", "", 
  IFERROR(
    VLOOKUP(
      'Teachers sched'!$A334 &amp; "|" &amp; 
      LEFT('Teachers sched'!F334, FIND("-", 'Teachers sched'!F334) - 1),
      {
        SALONES!$A:$A &amp; "|" &amp; SALONES!$B:$B,
        SALONES!$C:$C
      },
      2,
      FALSE
    ) &amp; " - " &amp; 'Teachers sched'!F334,
    'Teachers sched'!F334
  )
)
</f>
        <v>909 - Biology 9-3</v>
      </c>
      <c r="G334" s="390" t="str">
        <f t="array" ref="G334">IF('Teachers sched'!G334="", "", 
  IFERROR(
    VLOOKUP(
      'Teachers sched'!$A334 &amp; "|" &amp; 
      LEFT('Teachers sched'!G334, FIND("-", 'Teachers sched'!G334) - 1),
      {
        SALONES!$A:$A &amp; "|" &amp; SALONES!$B:$B,
        SALONES!$C:$C
      },
      2,
      FALSE
    ) &amp; " - " &amp; 'Teachers sched'!G334,
    'Teachers sched'!G334
  )
)
</f>
        <v>909 - Biology 9-1</v>
      </c>
      <c r="H334" s="395" t="str">
        <f t="array" ref="H334">IF('Teachers sched'!H334="", "", 
  IFERROR(
    VLOOKUP(
      'Teachers sched'!$A334 &amp; "|" &amp; 
      LEFT('Teachers sched'!H334, FIND("-", 'Teachers sched'!H334) - 1),
      {
        SALONES!$A:$A &amp; "|" &amp; SALONES!$B:$B,
        SALONES!$C:$C
      },
      2,
      FALSE
    ) &amp; " - " &amp; 'Teachers sched'!H334,
    'Teachers sched'!H334
  )
)
</f>
        <v>X-Block</v>
      </c>
      <c r="I334" s="53"/>
      <c r="J334" s="392"/>
      <c r="K334" s="389" t="s">
        <v>22</v>
      </c>
      <c r="L334" s="389" t="s">
        <v>22</v>
      </c>
      <c r="M334" s="100">
        <v>3.0</v>
      </c>
      <c r="N334" s="390" t="s">
        <v>22</v>
      </c>
      <c r="O334" s="390" t="s">
        <v>22</v>
      </c>
      <c r="P334" s="390" t="s">
        <v>22</v>
      </c>
      <c r="Q334" s="390" t="s">
        <v>22</v>
      </c>
      <c r="R334" s="395" t="s">
        <v>22</v>
      </c>
      <c r="S334" s="53"/>
    </row>
    <row r="335">
      <c r="A335" s="389" t="s">
        <v>87</v>
      </c>
      <c r="B335" s="389" t="s">
        <v>22</v>
      </c>
      <c r="C335" s="100">
        <v>4.0</v>
      </c>
      <c r="D335" s="390" t="str">
        <f t="array" ref="D335">IF('Teachers sched'!D335="", "", 
  IFERROR(
    VLOOKUP(
      'Teachers sched'!$A335 &amp; "|" &amp; 
      LEFT('Teachers sched'!D335, FIND("-", 'Teachers sched'!D335) - 1),
      {
        SALONES!$A:$A &amp; "|" &amp; SALONES!$B:$B,
        SALONES!$C:$C
      },
      2,
      FALSE
    ) &amp; " - " &amp; 'Teachers sched'!D335,
    'Teachers sched'!D335
  )
)
</f>
        <v/>
      </c>
      <c r="E335" s="390" t="str">
        <f t="array" ref="E335">IF('Teachers sched'!E335="", "", 
  IFERROR(
    VLOOKUP(
      'Teachers sched'!$A335 &amp; "|" &amp; 
      LEFT('Teachers sched'!E335, FIND("-", 'Teachers sched'!E335) - 1),
      {
        SALONES!$A:$A &amp; "|" &amp; SALONES!$B:$B,
        SALONES!$C:$C
      },
      2,
      FALSE
    ) &amp; " - " &amp; 'Teachers sched'!E335,
    'Teachers sched'!E335
  )
)
</f>
        <v/>
      </c>
      <c r="F335" s="390" t="str">
        <f t="array" ref="F335">IF('Teachers sched'!F335="", "", 
  IFERROR(
    VLOOKUP(
      'Teachers sched'!$A335 &amp; "|" &amp; 
      LEFT('Teachers sched'!F335, FIND("-", 'Teachers sched'!F335) - 1),
      {
        SALONES!$A:$A &amp; "|" &amp; SALONES!$B:$B,
        SALONES!$C:$C
      },
      2,
      FALSE
    ) &amp; " - " &amp; 'Teachers sched'!F335,
    'Teachers sched'!F335
  )
)
</f>
        <v>909 - Biology 9-4</v>
      </c>
      <c r="G335" s="390" t="str">
        <f t="array" ref="G335">IF('Teachers sched'!G335="", "", 
  IFERROR(
    VLOOKUP(
      'Teachers sched'!$A335 &amp; "|" &amp; 
      LEFT('Teachers sched'!G335, FIND("-", 'Teachers sched'!G335) - 1),
      {
        SALONES!$A:$A &amp; "|" &amp; SALONES!$B:$B,
        SALONES!$C:$C
      },
      2,
      FALSE
    ) &amp; " - " &amp; 'Teachers sched'!G335,
    'Teachers sched'!G335
  )
)
</f>
        <v>909 - Biology 9-2</v>
      </c>
      <c r="H335" s="390" t="str">
        <f t="array" ref="H335">IF('Teachers sched'!H335="", "", 
  IFERROR(
    VLOOKUP(
      'Teachers sched'!$A335 &amp; "|" &amp; 
      LEFT('Teachers sched'!H335, FIND("-", 'Teachers sched'!H335) - 1),
      {
        SALONES!$A:$A &amp; "|" &amp; SALONES!$B:$B,
        SALONES!$C:$C
      },
      2,
      FALSE
    ) &amp; " - " &amp; 'Teachers sched'!H335,
    'Teachers sched'!H335
  )
)
</f>
        <v/>
      </c>
      <c r="I335" s="53"/>
      <c r="J335" s="392"/>
      <c r="K335" s="389" t="s">
        <v>22</v>
      </c>
      <c r="L335" s="389" t="s">
        <v>22</v>
      </c>
      <c r="M335" s="100">
        <v>4.0</v>
      </c>
      <c r="N335" s="390" t="s">
        <v>22</v>
      </c>
      <c r="O335" s="390" t="s">
        <v>22</v>
      </c>
      <c r="P335" s="390" t="s">
        <v>22</v>
      </c>
      <c r="Q335" s="390" t="s">
        <v>22</v>
      </c>
      <c r="R335" s="390" t="s">
        <v>22</v>
      </c>
      <c r="S335" s="53"/>
    </row>
    <row r="336">
      <c r="A336" s="389" t="s">
        <v>87</v>
      </c>
      <c r="B336" s="389" t="s">
        <v>22</v>
      </c>
      <c r="C336" s="100">
        <v>5.0</v>
      </c>
      <c r="D336" s="390" t="str">
        <f t="array" ref="D336">IF('Teachers sched'!D336="", "", 
  IFERROR(
    VLOOKUP(
      'Teachers sched'!$A336 &amp; "|" &amp; 
      LEFT('Teachers sched'!D336, FIND("-", 'Teachers sched'!D336) - 1),
      {
        SALONES!$A:$A &amp; "|" &amp; SALONES!$B:$B,
        SALONES!$C:$C
      },
      2,
      FALSE
    ) &amp; " - " &amp; 'Teachers sched'!D336,
    'Teachers sched'!D336
  )
)
</f>
        <v>909 - Biology 9-3</v>
      </c>
      <c r="E336" s="390" t="str">
        <f t="array" ref="E336">IF('Teachers sched'!E336="", "", 
  IFERROR(
    VLOOKUP(
      'Teachers sched'!$A336 &amp; "|" &amp; 
      LEFT('Teachers sched'!E336, FIND("-", 'Teachers sched'!E336) - 1),
      {
        SALONES!$A:$A &amp; "|" &amp; SALONES!$B:$B,
        SALONES!$C:$C
      },
      2,
      FALSE
    ) &amp; " - " &amp; 'Teachers sched'!E336,
    'Teachers sched'!E336
  )
)
</f>
        <v>909 - Biology 9-1</v>
      </c>
      <c r="F336" s="390" t="str">
        <f t="array" ref="F336">IF('Teachers sched'!F336="", "", 
  IFERROR(
    VLOOKUP(
      'Teachers sched'!$A336 &amp; "|" &amp; 
      LEFT('Teachers sched'!F336, FIND("-", 'Teachers sched'!F336) - 1),
      {
        SALONES!$A:$A &amp; "|" &amp; SALONES!$B:$B,
        SALONES!$C:$C
      },
      2,
      FALSE
    ) &amp; " - " &amp; 'Teachers sched'!F336,
    'Teachers sched'!F336
  )
)
</f>
        <v/>
      </c>
      <c r="G336" s="390" t="str">
        <f t="array" ref="G336">IF('Teachers sched'!G336="", "", 
  IFERROR(
    VLOOKUP(
      'Teachers sched'!$A336 &amp; "|" &amp; 
      LEFT('Teachers sched'!G336, FIND("-", 'Teachers sched'!G336) - 1),
      {
        SALONES!$A:$A &amp; "|" &amp; SALONES!$B:$B,
        SALONES!$C:$C
      },
      2,
      FALSE
    ) &amp; " - " &amp; 'Teachers sched'!G336,
    'Teachers sched'!G336
  )
)
</f>
        <v/>
      </c>
      <c r="H336" s="390" t="str">
        <f t="array" ref="H336">IF('Teachers sched'!H336="", "", 
  IFERROR(
    VLOOKUP(
      'Teachers sched'!$A336 &amp; "|" &amp; 
      LEFT('Teachers sched'!H336, FIND("-", 'Teachers sched'!H336) - 1),
      {
        SALONES!$A:$A &amp; "|" &amp; SALONES!$B:$B,
        SALONES!$C:$C
      },
      2,
      FALSE
    ) &amp; " - " &amp; 'Teachers sched'!H336,
    'Teachers sched'!H336
  )
)
</f>
        <v>909 - Anatomy and Physiology-2</v>
      </c>
      <c r="I336" s="68"/>
      <c r="J336" s="392"/>
      <c r="K336" s="389" t="s">
        <v>22</v>
      </c>
      <c r="L336" s="389" t="s">
        <v>22</v>
      </c>
      <c r="M336" s="100">
        <v>5.0</v>
      </c>
      <c r="N336" s="390" t="s">
        <v>22</v>
      </c>
      <c r="O336" s="390" t="s">
        <v>22</v>
      </c>
      <c r="P336" s="390" t="s">
        <v>22</v>
      </c>
      <c r="Q336" s="390" t="s">
        <v>22</v>
      </c>
      <c r="R336" s="390" t="s">
        <v>22</v>
      </c>
      <c r="S336" s="68"/>
    </row>
    <row r="337">
      <c r="A337" s="389"/>
      <c r="B337" s="389"/>
      <c r="C337" s="275"/>
      <c r="D337" s="396"/>
      <c r="E337" s="396"/>
      <c r="F337" s="396"/>
      <c r="G337" s="396"/>
      <c r="H337" s="396"/>
      <c r="I337" s="392"/>
      <c r="J337" s="392"/>
      <c r="K337" s="389"/>
      <c r="L337" s="389"/>
      <c r="M337" s="275"/>
      <c r="N337" s="396"/>
      <c r="O337" s="396"/>
      <c r="P337" s="396"/>
      <c r="Q337" s="396"/>
      <c r="R337" s="396"/>
      <c r="S337" s="392"/>
      <c r="T337" s="393"/>
    </row>
    <row r="338">
      <c r="C338" s="386"/>
      <c r="D338" s="383"/>
      <c r="E338" s="383"/>
      <c r="F338" s="383"/>
      <c r="G338" s="383"/>
      <c r="H338" s="384"/>
      <c r="I338" s="385" t="str">
        <f>IFERROR(__xludf.DUMMYFUNCTION("if(C338="""","""", iferror(filter(Schedule!$K:$K,Schedule!$L:$L=$C338,Schedule!$K:$K=""S1""),unique(filter(Schedule!$K:$K,Schedule!$L:$L=$C338,Schedule!$K:$K=""""))))"),"")</f>
        <v/>
      </c>
      <c r="M338" s="386" t="s">
        <v>22</v>
      </c>
      <c r="N338" s="383"/>
      <c r="O338" s="383"/>
      <c r="P338" s="383"/>
      <c r="Q338" s="383"/>
      <c r="R338" s="384"/>
      <c r="S338" s="385" t="s">
        <v>22</v>
      </c>
    </row>
    <row r="339">
      <c r="C339" s="100" t="s">
        <v>7</v>
      </c>
      <c r="D339" s="387" t="s">
        <v>8</v>
      </c>
      <c r="E339" s="387" t="s">
        <v>9</v>
      </c>
      <c r="F339" s="387" t="s">
        <v>10</v>
      </c>
      <c r="G339" s="387" t="s">
        <v>11</v>
      </c>
      <c r="H339" s="387" t="s">
        <v>12</v>
      </c>
      <c r="I339" s="21" t="s">
        <v>766</v>
      </c>
      <c r="J339" s="116"/>
      <c r="K339" s="116"/>
      <c r="L339" s="116"/>
      <c r="M339" s="100" t="s">
        <v>7</v>
      </c>
      <c r="N339" s="387" t="s">
        <v>8</v>
      </c>
      <c r="O339" s="387" t="s">
        <v>9</v>
      </c>
      <c r="P339" s="387" t="s">
        <v>10</v>
      </c>
      <c r="Q339" s="387" t="s">
        <v>11</v>
      </c>
      <c r="R339" s="387" t="s">
        <v>12</v>
      </c>
      <c r="S339" s="21" t="s">
        <v>766</v>
      </c>
    </row>
    <row r="340">
      <c r="A340" s="389"/>
      <c r="B340" s="389" t="s">
        <v>22</v>
      </c>
      <c r="C340" s="100">
        <v>1.0</v>
      </c>
      <c r="D340" s="390" t="s">
        <v>22</v>
      </c>
      <c r="E340" s="390" t="s">
        <v>22</v>
      </c>
      <c r="F340" s="390" t="s">
        <v>22</v>
      </c>
      <c r="G340" s="390" t="s">
        <v>22</v>
      </c>
      <c r="H340" s="390" t="s">
        <v>22</v>
      </c>
      <c r="I340" s="391" t="str">
        <f>if(C338="","", 24-countifs(D340:H344,""))</f>
        <v/>
      </c>
      <c r="J340" s="392"/>
      <c r="K340" s="389" t="s">
        <v>22</v>
      </c>
      <c r="L340" s="389" t="s">
        <v>22</v>
      </c>
      <c r="M340" s="100">
        <v>1.0</v>
      </c>
      <c r="N340" s="390" t="s">
        <v>22</v>
      </c>
      <c r="O340" s="390" t="s">
        <v>22</v>
      </c>
      <c r="P340" s="390" t="s">
        <v>22</v>
      </c>
      <c r="Q340" s="390" t="s">
        <v>22</v>
      </c>
      <c r="R340" s="390" t="s">
        <v>22</v>
      </c>
      <c r="S340" s="391" t="s">
        <v>22</v>
      </c>
    </row>
    <row r="341">
      <c r="A341" s="389"/>
      <c r="B341" s="389" t="s">
        <v>22</v>
      </c>
      <c r="C341" s="100">
        <v>2.0</v>
      </c>
      <c r="D341" s="390" t="s">
        <v>22</v>
      </c>
      <c r="E341" s="390" t="s">
        <v>22</v>
      </c>
      <c r="F341" s="390" t="s">
        <v>22</v>
      </c>
      <c r="G341" s="390" t="s">
        <v>22</v>
      </c>
      <c r="H341" s="390" t="s">
        <v>22</v>
      </c>
      <c r="I341" s="53"/>
      <c r="J341" s="392"/>
      <c r="K341" s="389" t="s">
        <v>22</v>
      </c>
      <c r="L341" s="389" t="s">
        <v>22</v>
      </c>
      <c r="M341" s="100">
        <v>2.0</v>
      </c>
      <c r="N341" s="390" t="s">
        <v>22</v>
      </c>
      <c r="O341" s="390" t="s">
        <v>22</v>
      </c>
      <c r="P341" s="390" t="s">
        <v>22</v>
      </c>
      <c r="Q341" s="390" t="s">
        <v>22</v>
      </c>
      <c r="R341" s="390" t="s">
        <v>22</v>
      </c>
      <c r="S341" s="53"/>
    </row>
    <row r="342">
      <c r="A342" s="389"/>
      <c r="B342" s="389" t="s">
        <v>22</v>
      </c>
      <c r="C342" s="100">
        <v>3.0</v>
      </c>
      <c r="D342" s="390" t="s">
        <v>22</v>
      </c>
      <c r="E342" s="390" t="s">
        <v>22</v>
      </c>
      <c r="F342" s="390" t="s">
        <v>22</v>
      </c>
      <c r="G342" s="390" t="s">
        <v>22</v>
      </c>
      <c r="H342" s="395" t="s">
        <v>22</v>
      </c>
      <c r="I342" s="53"/>
      <c r="J342" s="392"/>
      <c r="K342" s="389" t="s">
        <v>22</v>
      </c>
      <c r="L342" s="389" t="s">
        <v>22</v>
      </c>
      <c r="M342" s="100">
        <v>3.0</v>
      </c>
      <c r="N342" s="390" t="s">
        <v>22</v>
      </c>
      <c r="O342" s="390" t="s">
        <v>22</v>
      </c>
      <c r="P342" s="390" t="s">
        <v>22</v>
      </c>
      <c r="Q342" s="390" t="s">
        <v>22</v>
      </c>
      <c r="R342" s="395" t="s">
        <v>22</v>
      </c>
      <c r="S342" s="53"/>
    </row>
    <row r="343">
      <c r="A343" s="389"/>
      <c r="B343" s="389" t="s">
        <v>22</v>
      </c>
      <c r="C343" s="100">
        <v>4.0</v>
      </c>
      <c r="D343" s="390" t="s">
        <v>22</v>
      </c>
      <c r="E343" s="390" t="s">
        <v>22</v>
      </c>
      <c r="F343" s="390" t="s">
        <v>22</v>
      </c>
      <c r="G343" s="390" t="s">
        <v>22</v>
      </c>
      <c r="H343" s="390" t="s">
        <v>22</v>
      </c>
      <c r="I343" s="53"/>
      <c r="J343" s="392"/>
      <c r="K343" s="389" t="s">
        <v>22</v>
      </c>
      <c r="L343" s="389" t="s">
        <v>22</v>
      </c>
      <c r="M343" s="100">
        <v>4.0</v>
      </c>
      <c r="N343" s="390" t="s">
        <v>22</v>
      </c>
      <c r="O343" s="390" t="s">
        <v>22</v>
      </c>
      <c r="P343" s="390" t="s">
        <v>22</v>
      </c>
      <c r="Q343" s="390" t="s">
        <v>22</v>
      </c>
      <c r="R343" s="390" t="s">
        <v>22</v>
      </c>
      <c r="S343" s="53"/>
    </row>
    <row r="344">
      <c r="A344" s="389"/>
      <c r="B344" s="389" t="s">
        <v>22</v>
      </c>
      <c r="C344" s="100">
        <v>5.0</v>
      </c>
      <c r="D344" s="390" t="s">
        <v>22</v>
      </c>
      <c r="E344" s="390" t="s">
        <v>22</v>
      </c>
      <c r="F344" s="390" t="s">
        <v>22</v>
      </c>
      <c r="G344" s="390" t="s">
        <v>22</v>
      </c>
      <c r="H344" s="390" t="s">
        <v>22</v>
      </c>
      <c r="I344" s="68"/>
      <c r="J344" s="392"/>
      <c r="K344" s="389" t="s">
        <v>22</v>
      </c>
      <c r="L344" s="389" t="s">
        <v>22</v>
      </c>
      <c r="M344" s="100">
        <v>5.0</v>
      </c>
      <c r="N344" s="390" t="s">
        <v>22</v>
      </c>
      <c r="O344" s="390" t="s">
        <v>22</v>
      </c>
      <c r="P344" s="390" t="s">
        <v>22</v>
      </c>
      <c r="Q344" s="390" t="s">
        <v>22</v>
      </c>
      <c r="R344" s="390" t="s">
        <v>22</v>
      </c>
      <c r="S344" s="68"/>
    </row>
    <row r="345">
      <c r="A345" s="389"/>
      <c r="B345" s="389"/>
      <c r="C345" s="275"/>
      <c r="D345" s="396"/>
      <c r="E345" s="396"/>
      <c r="F345" s="396"/>
      <c r="G345" s="396"/>
      <c r="H345" s="396"/>
      <c r="I345" s="392"/>
      <c r="J345" s="392"/>
      <c r="K345" s="389"/>
      <c r="L345" s="389"/>
      <c r="M345" s="275"/>
      <c r="N345" s="396"/>
      <c r="O345" s="396"/>
      <c r="P345" s="396"/>
      <c r="Q345" s="396"/>
      <c r="R345" s="396"/>
      <c r="S345" s="392"/>
    </row>
  </sheetData>
  <mergeCells count="172">
    <mergeCell ref="I36:I40"/>
    <mergeCell ref="I44:I48"/>
    <mergeCell ref="I52:I56"/>
    <mergeCell ref="I60:I64"/>
    <mergeCell ref="I68:I72"/>
    <mergeCell ref="I76:I80"/>
    <mergeCell ref="I84:I88"/>
    <mergeCell ref="I92:I96"/>
    <mergeCell ref="I100:I104"/>
    <mergeCell ref="I108:I112"/>
    <mergeCell ref="I116:I120"/>
    <mergeCell ref="I124:I128"/>
    <mergeCell ref="I132:I136"/>
    <mergeCell ref="I140:I144"/>
    <mergeCell ref="I148:I152"/>
    <mergeCell ref="I156:I160"/>
    <mergeCell ref="I164:I168"/>
    <mergeCell ref="I172:I176"/>
    <mergeCell ref="I180:I184"/>
    <mergeCell ref="I188:I192"/>
    <mergeCell ref="I196:I200"/>
    <mergeCell ref="I204:I208"/>
    <mergeCell ref="I212:I216"/>
    <mergeCell ref="I220:I224"/>
    <mergeCell ref="I228:I232"/>
    <mergeCell ref="I236:I240"/>
    <mergeCell ref="I244:I248"/>
    <mergeCell ref="I252:I256"/>
    <mergeCell ref="I316:I320"/>
    <mergeCell ref="I324:I328"/>
    <mergeCell ref="I332:I336"/>
    <mergeCell ref="I340:I344"/>
    <mergeCell ref="I260:I264"/>
    <mergeCell ref="I268:I272"/>
    <mergeCell ref="I276:I280"/>
    <mergeCell ref="I284:I288"/>
    <mergeCell ref="I292:I296"/>
    <mergeCell ref="I300:I304"/>
    <mergeCell ref="I308:I312"/>
    <mergeCell ref="S68:S72"/>
    <mergeCell ref="S76:S80"/>
    <mergeCell ref="S84:S88"/>
    <mergeCell ref="S92:S96"/>
    <mergeCell ref="S100:S104"/>
    <mergeCell ref="S108:S112"/>
    <mergeCell ref="S116:S120"/>
    <mergeCell ref="S124:S128"/>
    <mergeCell ref="S132:S136"/>
    <mergeCell ref="S140:S144"/>
    <mergeCell ref="S148:S152"/>
    <mergeCell ref="S156:S160"/>
    <mergeCell ref="S164:S168"/>
    <mergeCell ref="S172:S176"/>
    <mergeCell ref="S180:S184"/>
    <mergeCell ref="S188:S192"/>
    <mergeCell ref="S196:S200"/>
    <mergeCell ref="S204:S208"/>
    <mergeCell ref="S212:S216"/>
    <mergeCell ref="S220:S224"/>
    <mergeCell ref="S228:S232"/>
    <mergeCell ref="S292:S296"/>
    <mergeCell ref="S300:S304"/>
    <mergeCell ref="S308:S312"/>
    <mergeCell ref="S316:S320"/>
    <mergeCell ref="S324:S328"/>
    <mergeCell ref="S332:S336"/>
    <mergeCell ref="S340:S344"/>
    <mergeCell ref="S236:S240"/>
    <mergeCell ref="S244:S248"/>
    <mergeCell ref="S252:S256"/>
    <mergeCell ref="S260:S264"/>
    <mergeCell ref="S268:S272"/>
    <mergeCell ref="S276:S280"/>
    <mergeCell ref="S284:S288"/>
    <mergeCell ref="C106:H106"/>
    <mergeCell ref="C114:H114"/>
    <mergeCell ref="C122:H122"/>
    <mergeCell ref="C130:H130"/>
    <mergeCell ref="C138:H138"/>
    <mergeCell ref="C146:H146"/>
    <mergeCell ref="C154:H154"/>
    <mergeCell ref="C162:H162"/>
    <mergeCell ref="C170:H170"/>
    <mergeCell ref="C178:H178"/>
    <mergeCell ref="C186:H186"/>
    <mergeCell ref="C194:H194"/>
    <mergeCell ref="C202:H202"/>
    <mergeCell ref="C210:H210"/>
    <mergeCell ref="C218:H218"/>
    <mergeCell ref="C226:H226"/>
    <mergeCell ref="C234:H234"/>
    <mergeCell ref="C242:H242"/>
    <mergeCell ref="C250:H250"/>
    <mergeCell ref="C258:H258"/>
    <mergeCell ref="C266:H266"/>
    <mergeCell ref="C330:H330"/>
    <mergeCell ref="C338:H338"/>
    <mergeCell ref="C274:H274"/>
    <mergeCell ref="C282:H282"/>
    <mergeCell ref="C290:H290"/>
    <mergeCell ref="C298:H298"/>
    <mergeCell ref="C306:H306"/>
    <mergeCell ref="C314:H314"/>
    <mergeCell ref="C322:H322"/>
    <mergeCell ref="M194:R194"/>
    <mergeCell ref="M202:R202"/>
    <mergeCell ref="M210:R210"/>
    <mergeCell ref="M218:R218"/>
    <mergeCell ref="M226:R226"/>
    <mergeCell ref="M234:R234"/>
    <mergeCell ref="M242:R242"/>
    <mergeCell ref="M306:R306"/>
    <mergeCell ref="M314:R314"/>
    <mergeCell ref="M322:R322"/>
    <mergeCell ref="M330:R330"/>
    <mergeCell ref="M338:R338"/>
    <mergeCell ref="M250:R250"/>
    <mergeCell ref="M258:R258"/>
    <mergeCell ref="M266:R266"/>
    <mergeCell ref="M274:R274"/>
    <mergeCell ref="M282:R282"/>
    <mergeCell ref="M290:R290"/>
    <mergeCell ref="M298:R298"/>
    <mergeCell ref="C2:H2"/>
    <mergeCell ref="M2:R2"/>
    <mergeCell ref="I4:I8"/>
    <mergeCell ref="S4:S8"/>
    <mergeCell ref="C10:H10"/>
    <mergeCell ref="M10:R10"/>
    <mergeCell ref="M18:R18"/>
    <mergeCell ref="S12:S16"/>
    <mergeCell ref="S20:S24"/>
    <mergeCell ref="M26:R26"/>
    <mergeCell ref="S28:S32"/>
    <mergeCell ref="M34:R34"/>
    <mergeCell ref="S36:S40"/>
    <mergeCell ref="M42:R42"/>
    <mergeCell ref="I12:I16"/>
    <mergeCell ref="C18:H18"/>
    <mergeCell ref="I20:I24"/>
    <mergeCell ref="C26:H26"/>
    <mergeCell ref="I28:I32"/>
    <mergeCell ref="C34:H34"/>
    <mergeCell ref="C42:H42"/>
    <mergeCell ref="S44:S48"/>
    <mergeCell ref="M50:R50"/>
    <mergeCell ref="S52:S56"/>
    <mergeCell ref="M58:R58"/>
    <mergeCell ref="S60:S64"/>
    <mergeCell ref="M66:R66"/>
    <mergeCell ref="M74:R74"/>
    <mergeCell ref="C50:H50"/>
    <mergeCell ref="C58:H58"/>
    <mergeCell ref="C66:H66"/>
    <mergeCell ref="C74:H74"/>
    <mergeCell ref="C82:H82"/>
    <mergeCell ref="C90:H90"/>
    <mergeCell ref="C98:H98"/>
    <mergeCell ref="M82:R82"/>
    <mergeCell ref="M90:R90"/>
    <mergeCell ref="M98:R98"/>
    <mergeCell ref="M106:R106"/>
    <mergeCell ref="M114:R114"/>
    <mergeCell ref="M122:R122"/>
    <mergeCell ref="M130:R130"/>
    <mergeCell ref="M138:R138"/>
    <mergeCell ref="M146:R146"/>
    <mergeCell ref="M154:R154"/>
    <mergeCell ref="M162:R162"/>
    <mergeCell ref="M170:R170"/>
    <mergeCell ref="M178:R178"/>
    <mergeCell ref="M186:R186"/>
  </mergeCells>
  <conditionalFormatting sqref="D4 N4 G5 Q5 E7 O7 D12 N12 G13 Q13 E15 O15 D20 N20 G21 Q21 E23 O23 D28 N28 G29 Q29 E31 O31 D36 N36 G37 Q37 E39 O39 D44 N44 G45 Q45 E47 O47 D52 N52 G53 Q53 E55 O55 D60 N60 G61 Q61 E63 O63 D68 N68 G69 Q69 E71 O71 D76 N76 G77 Q77 E79 O79 D84 N84 G85 Q85 E87 O87 D92 N92 G93 Q93 E95 O95 D100 N100 G101 Q101 E103 O103 D108 N108 G109 Q109 E111 O111 D116 N116 G117 Q117 E119 O119 D124 N124 G125 Q125 E127 O127 D132 N132 G133 Q133 E135 O135 D140 N140 G141 Q141 E143 O143 D148 N148 G149 Q149 E151 O151 D156 N156 G157 Q157 E159 O159 D164 N164 G165 Q165 E167 O167 D172 N172 G173 Q173 E175 O175 D180 N180 G181 Q181 E183 O183 D188 N188 G189 Q189 E191 O191 D196 N196 G197 Q197 E199 O199 D204 N204 G205 Q205 E207 O207 D212 N212 G213 Q213 E215 O215 D220 N220 G221 Q221 E223 O223 D228 N228 G229 Q229 E231 O231 D236 N236 G237 Q237 E239 O239 D244 N244 G245 Q245 E247 O247 D252 N252 G253 Q253 E255 O255 D260 N260 G261 Q261 E263 O263 D268 N268 G269 Q269 E271 O271 D276 N276 G277 Q277 E279 O279 D284 N284 G285 Q285 E287 O287 D292 N292 G293 Q293 E295 O295 D300 N300 G301 Q301 E303 O303 D308 N308 G309 Q309 E311 O311 D316 N316 G317 Q317 E319 O319 D324 N324 G325 Q325 E327 O327 D332 N332 G333 Q333 E335 O335 D340 N340 G341 Q341 E343 O343">
    <cfRule type="notContainsBlanks" dxfId="6" priority="1">
      <formula>LEN(TRIM(D4))&gt;0</formula>
    </cfRule>
  </conditionalFormatting>
  <conditionalFormatting sqref="E4 O4 H5 R5 F7 P7 E12 O12 H13 R13 F15 P15 E20 O20 H21 R21 F23 P23 E28 O28 H29 R29 F31 P31 E36 O36 H37 R37 F39 P39 E44 O44 H45 R45 F47 P47 E52 O52 H53 R53 F55 P55 E60 O60 H61 R61 F63 P63 E68 O68 H69 R69 F71 P71 E76 O76 H77 R77 F79 P79 E84 O84 H85 R85 F87 P87 E92 O92 H93 R93 F95 P95 E100 O100 H101 R101 F103 P103 E108 O108 H109 R109 F111 P111 E116 O116 H117 R117 F119 P119 E124 O124 H125 R125 F127 P127 E132 O132 H133 R133 F135 P135 E140 O140 H141 R141 F143 P143 E148 O148 H149 R149 F151 P151 E156 O156 H157 R157 F159 P159 E164 O164 H165 R165 F167 P167 E172 O172 H173 R173 F175 P175 E180 O180 H181 R181 F183 P183 E188 O188 H189 R189 F191 P191 E196 O196 H197 R197 F199 P199 E204 O204 H205 R205 F207 P207 E212 O212 H213 R213 F215 P215 E220 O220 H221 R221 F223 P223 E228 O228 H229 R229 F231 P231 E236 O236 H237 R237 F239 P239 E244 O244 H245 R245 F247 P247 E252 O252 H253 R253 F255 P255 E260 O260 H261 R261 F263 P263 E268 O268 H269 R269 F271 P271 E276 O276 H277 R277 F279 P279 E284 O284 H285 R285 F287 P287 E292 O292 H293 R293 F295 P295 E300 O300 H301 R301 F303 P303 E308 O308 H309 R309 F311 P311 E316 O316 H317 R317 F319 P319 E324 O324 H325 R325 F327 P327 E332 O332 H333 R333 F335 P335 E340 O340 H341 R341 F343 P343">
    <cfRule type="notContainsBlanks" dxfId="7" priority="2">
      <formula>LEN(TRIM(E4))&gt;0</formula>
    </cfRule>
  </conditionalFormatting>
  <conditionalFormatting sqref="D5 N5 G6 Q6 E8 O8 D13 N13 G14 Q14 E16 O16 D21 N21 G22 Q22 E24 O24 D29 N29 G30 Q30 E32 O32 D37 N37 G38 Q38 E40 O40 D45 N45 G46 Q46 E48 O48 D53 N53 G54 Q54 E56 O56 D61 N61 G62 Q62 E64 O64 D69 N69 G70 Q70 E72 O72 D77 N77 G78 Q78 E80 O80 D85 N85 G86 Q86 E88 O88 D93 N93 G94 Q94 E96 O96 D101 N101 G102 Q102 E104 O104 D109 N109 G110 Q110 E112 O112 D117 N117 G118 Q118 E120 O120 D125 N125 G126 Q126 E128 O128 D133 N133 G134 Q134 E136 O136 D141 N141 G142 Q142 E144 O144 D149 N149 G150 Q150 E152 O152 D157 N157 G158 Q158 E160 O160 D165 N165 G166 Q166 E168 O168 D173 N173 G174 Q174 E176 O176 D181 N181 G182 Q182 E184 O184 D189 N189 G190 Q190 E192 O192 D197 N197 G198 Q198 E200 O200 D205 N205 G206 Q206 E208 O208 D213 N213 G214 Q214 E216 O216 D221 N221 G222 Q222 E224 O224 D229 N229 G230 Q230 E232 O232 D237 N237 G238 Q238 E240 O240 D245 N245 G246 Q246 E248 O248 D253 N253 G254 Q254 E256 O256 D261 N261 G262 Q262 E264 O264 D269 N269 G270 Q270 E272 O272 D277 N277 G278 Q278 E280 O280 D285 N285 G286 Q286 E288 O288 D293 N293 G294 Q294 E296 O296 D301 N301 G302 Q302 E304 O304 D309 N309 G310 Q310 E312:E313 O312:O313 D317 N317 G318 Q318 E320:E321 O320:O321 E328 O324:O329 D325 N325 G326 Q326 E332:E333 E336 O332:O337 D333 N333 G334 Q334 E340:E345 O340:O345 D341 N341 G342 Q342">
    <cfRule type="notContainsBlanks" dxfId="8" priority="3">
      <formula>LEN(TRIM(D5))&gt;0</formula>
    </cfRule>
  </conditionalFormatting>
  <conditionalFormatting sqref="F4 P4 D6 N6 G7 Q7 F12 P12 D14 N14 G15 Q15 F20 P20 D22 N22 G23 Q23 F28 P28 D30 N30 G31 Q31 F36 P36 D38 N38 G39 Q39 F44 P44 D46 N46 G47 Q47 F52 P52 D54 N54 G55 Q55 F60 P60 D62 N62 G63 Q63 F68 P68 D70 N70 G71 Q71 F76 P76 D78 N78 G79 Q79 F84 P84 D86 N86 G87 Q87 F92 P92 D94 N94 G95 Q95 F100 P100 D102 N102 G103 Q103 F108 P108 D110 N110 G111 Q111 F116 P116 D118 N118 G119 Q119 F124 P124 D126 N126 G127 Q127 F132 P132 D134 N134 G135 Q135 F140 P140 D142 N142 G143 Q143 F148 P148 D150 N150 G151 Q151 F156 P156 D158 N158 G159 Q159 F164 P164 D166 N166 G167 Q167 F172 P172 D174 N174 G175 Q175 F180 P180 D182 N182 G183 Q183 F188 P188 D190 N190 G191 Q191 F196 P196 D198 N198 G199 Q199 F204 P204 D206 N206 G207 Q207 F212 P212 D214 N214 G215 Q215 F220 P220 D222 N222 G223 Q223 F228 P228 D230 N230 G231 Q231 F236 P236 D238 N238 G239 Q239 F244 P244 D246 N246 G247 Q247 F252 P252 D254 N254 G255 Q255 F260 P260 D262 N262 G263 Q263 F268 P268 D270 N270 G271 Q271 F276 P276 D278 N278 G279 Q279 F284 P284 D286 N286 G287 Q287 F292 P292 D294 N294 G295 Q295 F300 P300 D302 N302 G303 Q303 F308 P308 D310 N310 G311 Q311 F316 P316 D318 N318 G319 Q319 F324 P324 D326 N326 G327 Q327 F332 P332 D334 N334 G335 Q335 F340 P340 D342 N342 G343 Q343">
    <cfRule type="notContainsBlanks" dxfId="9" priority="4">
      <formula>LEN(TRIM(F4))&gt;0</formula>
    </cfRule>
  </conditionalFormatting>
  <conditionalFormatting sqref="F5 P5 D7 N7 G8 Q8 F13 P13 D15 N15 G16 Q16 F21 P21 D23 N23 G24 Q24 F29 P29 D31 N31 G32 Q32 F37 P37 D39 N39 G40 Q40 F45 P45 D47 N47 G48 Q48 F53 P53 D55 N55 G56 Q56 F61 P61 D63 N63 G64 Q64 F69 P69 D71 N71 G72 Q72 F77 P77 D79 N79 G80 Q80 F85 P85 D87 N87 G88 Q88 F93 P93 D95 N95 G96 Q96 F101 P101 D103 N103 G104 Q104 F109 P109 D111 N111 G112 Q112 F117 P117 D119 N119 G120 Q120 F125 P125 D127 N127 G128 Q128 F133 P133 D135 N135 G136 Q136 F141 P141 D143 N143 G144 Q144 F149 P149 D151 N151 G152 Q152 F157 P157 D159 N159 G160 Q160 F165 P165 D167 N167 G168 Q168 F173 P173 D175 N175 G176 Q176 F181 P181 D183 N183 G184 Q184 F189 P189 D191 N191 G192 Q192 F197 P197 D199 N199 G200 Q200 F205 P205 D207 N207 G208 Q208 F213 P213 D215 N215 G216 Q216 F221 P221 D223 N223 G224 Q224 F229 P229 D231 N231 G232 Q232 F237 P237 D239 N239 G240 Q240 F245 P245 D247 N247 G248 Q248 F253 P253 D255 N255 G256 Q256 F261 P261 D263 N263 G264 Q264 F269 P269 D271 N271 G272 Q272 F277 P277 D279 N279 G280 Q280 F285 P285 D287 N287 G288 Q288 F293 P293 D295 N295 G296 Q296 F301 P301 D303 N303 G304 Q304 F309 P309 D311 N311 G312:G313 Q312:Q313 F317 P317 D319 N319 G320:G321 Q320:Q321 G328 Q324:Q329 F325 P325 D327 N327">
    <cfRule type="notContainsBlanks" dxfId="5" priority="5">
      <formula>LEN(TRIM(F5))&gt;0</formula>
    </cfRule>
  </conditionalFormatting>
  <conditionalFormatting sqref="H4 R4 F6 P6 D8 N8 H12 R12 F14 P14 D16 N16 H20 R20 F22 P22 D24 N24 H28 R28 F30 P30 D32 N32 H36 R36 F38 P38 D40 N40 H44 R44 F46 P46 D48 N48 H52 R52 F54 P54 D56 N56 H60 R60 F62 P62 D64 N64 H68 R68 F70 P70 D72 N72 H76 R76 F78 P78 D80 N80 H84 R84 F86 P86 D88 N88 H92 R92 F94 P94 D96 N96 H100 R100 F102 P102 D104 N104 H108 R108 F110 P110 D112 N112 H116 R116 F118 P118 D120 N120 H124 R124 F126 P126 D128 N128 H132 R132 F134 P134 D136 N136 H140 R140 F142 P142 D144 N144 H148 R148 F150 P150 D152 N152 H156 R156 F158 P158 D160 N160 H164 R164 F166 P166 D168 N168 H172 R172 F174 P174 D176 N176 H180 R180 F182 P182 D184 N184 H188 R188 F190 P190 D192 N192 H196 R196 F198 P198 D200 N200 H204 R204 F206 P206 D208 N208 H212 R212 F214 P214 D216 N216 H220 R220 F222 P222 D224 N224 H228 R228 F230 P230 D232 N232 H236 R236 F238 P238 D240 N240 H244 R244 F246 P246 D248 N248 H252 R252 F254 P254 D256 N256 H260 R260 F262 P262 D264 N264 H268 R268 F270 P270 D272 N272 H276 R276 F278 P278 D280 N280 H284 R284 F286 P286 D288 N288 H292 R292 F294 P294 D296 N296 H300 R300 F302 P302 D304 N304 H308 R308 F310 P310 D312:D313 N312:N313 H316 R316 F318 P318 D320:D321 N320:N321 D324:D329 H324 N324:N329 R324 F326 P326 D332:D337 H332 N332:N337 R332 F334 P334 D340:D345 H340 N340:N345 R340 F342 P342">
    <cfRule type="notContainsBlanks" dxfId="10" priority="6">
      <formula>LEN(TRIM(H4))&gt;0</formula>
    </cfRule>
  </conditionalFormatting>
  <conditionalFormatting sqref="E5 O5 H7 R7 F8 P8 E13 O13 H15 R15 F16 P16 E21 O21 H23 R23 F24 P24 E29 O29 H31 R31 F32 P32 E37 O37 H39 R39 F40 P40 E45 O45 H47 R47 F48 P48 E53 O53 H55 R55 F56 P56 E61 O61 H63 R63 F64 P64 E69 O69 H71 R71 F72 P72 E77 O77 H79 R79 F80 P80 E85 O85 H87 R87 F88 P88 E93 O93 H95 R95 F96 P96 E101 O101 H103 R103 F104 P104 E109 O109 H111 R111 F112 P112 E117 O117 H119 R119 F120 P120 E125 O125 H127 R127 F128 P128 E133 O133 H135 R135 F136 P136 E141 O141 H143 R143 F144 P144 E149 O149 H151 R151 F152 P152 E157 O157 H159 R159 F160 P160 E165 O165 H167 R167 F168 P168 E173 O173 H175 R175 F176 P176 E181 O181 H183 R183 F184 P184 E189 O189 H191 R191 F192 P192 E197 O197 H199 R199 F200 P200 E205 O205 H207 R207 F208 P208 E213 O213 H215 R215 F216 P216 E221 O221 H223 R223 F224 P224 E229 O229 H231 R231 F232 P232 E237 O237 H239 R239 F240 P240 E245 O245 H247 R247 F248 P248 E253 O253 H255 R255 F256 P256 E261 O261 H263 R263 F264 P264 E269 O269 H271 R271 F272 P272 E277 O277 H279 R279 F280 P280 E285 O285 H287 R287 F288 P288 E293 O293 H295 R295 F296 P296 E301 O301 H303 R303 F304 P304 E309 O309 H311 R311 F312:F313 P312:P313 E317 O317 H319 R319 F320:F321 P320:P321 F324:F329 P324:P329 E325 O325 H327 R327 F332:F337 P332:P337 E333 O333 H335 R335 F340:F345 P340:P345 E341 O341 H343 R343">
    <cfRule type="notContainsBlanks" dxfId="11" priority="7">
      <formula>LEN(TRIM(E5))&gt;0</formula>
    </cfRule>
  </conditionalFormatting>
  <conditionalFormatting sqref="H6 R6 H14 R14 H16 R16 H22 R22 H24 R24 H30 R30 H32 R32 H38 R38 H40 R40 H46 R46 H48 R48 H54 R54 H56 R56 H62 R62 H64 R64 H70 R70 H72 R72 H78 R78 H80 R80 H86 R86 H88 R88 H94 R94 H96 R96 H102 R102 H104 R104 H110 R110 H112 R112 H118 R118 H120 R120 H126 R126 H128 R128 H134 R134 H136 R136 H142 R142 H144 R144 H150 R150 H152 R152 H158 R158 H160 R160 H166 R166 H168 R168 H174 R174 H176 R176 H182 R182 H184 R184 H190 R190 H192 R192 H198 R198 H200 R200 H206 R206 H208 R208 H214 R214 H216 R216 H222 R222 H224 R224 H230 R230 H232 R232 H238 R238 H240 R240 H246 R246 H248 R248 H254 R254 H256 R256 H262 R262 H264 R264 H270 R270 H272 R272 H278 R278 H280 R280 H286 R286 H288 R288 H294 R294 H296 R296 H302 R302 H304 R304 H310 R310 H312 R312 H318 R318 H320:H321 R320:R321 H324:H329 R324:R329 H332:H337 R332:R337 H340:H345 R340:R345">
    <cfRule type="containsBlanks" dxfId="12" priority="8">
      <formula>LEN(TRIM(H6))=0</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3.13"/>
    <col customWidth="1" min="4" max="4" width="19.13"/>
    <col customWidth="1" min="5" max="6" width="10.63"/>
    <col customWidth="1" min="8" max="8" width="19.88"/>
    <col customWidth="1" min="9" max="9" width="21.25"/>
    <col customWidth="1" hidden="1" min="10" max="13" width="21.25"/>
    <col customWidth="1" min="14" max="14" width="21.25"/>
  </cols>
  <sheetData>
    <row r="1">
      <c r="A1" s="359" t="s">
        <v>14</v>
      </c>
      <c r="B1" s="360" t="str">
        <f t="array" ref="B1:B50">if(ROW(B:B)=1,"# Students (S1)",if(A:A="","",sumif(Schedule!L:L&amp;Schedule!K:K,A:A&amp;"S1",Schedule!AO:AO)+sumif(Schedule!L:L&amp;Schedule!K:K,A:A,Schedule!AO:AO)))</f>
        <v># Students (S1)</v>
      </c>
      <c r="C1" s="360" t="str">
        <f t="array" ref="C1:C50">if(ROW(B:B)=1,"# Students (S2)",if(A:A="","",sumif(Schedule!L:L&amp;Schedule!K:K,A:A&amp;"S2",Schedule!AO:AO)+sumif(Schedule!L:L&amp;Schedule!K:K,A:A,Schedule!AO:AO)))</f>
        <v># Students (S2)</v>
      </c>
      <c r="D1" s="360" t="str">
        <f t="array" ref="D1:D50">if(ROW(D:D)=1,"Avg Students per Term",if(A:A="","",(B:B+C:C)/2))</f>
        <v>Avg Students per Term</v>
      </c>
      <c r="E1" s="360" t="s">
        <v>778</v>
      </c>
      <c r="F1" s="360" t="s">
        <v>779</v>
      </c>
      <c r="G1" s="400"/>
      <c r="H1" s="401" t="str">
        <f>IFERROR(__xludf.DUMMYFUNCTION("sort(filter(A:F,A:A&lt;&gt;""""),2,false)"),"Teacher")</f>
        <v>Teacher</v>
      </c>
      <c r="I1" s="402" t="str">
        <f>IFERROR(__xludf.DUMMYFUNCTION("""COMPUTED_VALUE"""),"# Students (S1)")</f>
        <v># Students (S1)</v>
      </c>
      <c r="J1" s="402" t="str">
        <f>IFERROR(__xludf.DUMMYFUNCTION("""COMPUTED_VALUE"""),"# Students (S2)")</f>
        <v># Students (S2)</v>
      </c>
      <c r="K1" s="402" t="str">
        <f>IFERROR(__xludf.DUMMYFUNCTION("""COMPUTED_VALUE"""),"Avg Students per Term")</f>
        <v>Avg Students per Term</v>
      </c>
      <c r="L1" s="402" t="str">
        <f>IFERROR(__xludf.DUMMYFUNCTION("""COMPUTED_VALUE"""),"# Preps (S1)")</f>
        <v># Preps (S1)</v>
      </c>
      <c r="M1" s="402" t="str">
        <f>IFERROR(__xludf.DUMMYFUNCTION("""COMPUTED_VALUE"""),"# Preps (S2)")</f>
        <v># Preps (S2)</v>
      </c>
      <c r="N1" s="402"/>
    </row>
    <row r="2">
      <c r="A2" s="296" t="str">
        <f t="array" ref="A2:A44">sort(unique(Schedule!L3:L50))</f>
        <v>Alejandro Henao</v>
      </c>
      <c r="B2" s="300">
        <v>86.0</v>
      </c>
      <c r="C2" s="300">
        <v>86.0</v>
      </c>
      <c r="D2" s="300">
        <v>86.0</v>
      </c>
      <c r="E2" s="300">
        <f>IFERROR(__xludf.DUMMYFUNCTION("if(A2="""","""",counta(filter(unique({filter(Schedule!P:P,Schedule!L:L=A2,(Schedule!K:K=""S1"")+(Schedule!K:K=""""));filter(Schedule!S:S,Schedule!L:L=A2,(Schedule!K:K=""S1"")+(Schedule!K:K=""""));filter(Schedule!V:V,Schedule!L:L=A2,(Schedule!K:K=""S1"")+("&amp;"Schedule!K:K=""""));filter(Schedule!Y:Y,Schedule!L:L=A2,(Schedule!K:K=""S1"")+(Schedule!K:K=""""));filter(Schedule!AB:AB,Schedule!L:L=A2,(Schedule!K:K=""S1"")+(Schedule!K:K=""""));filter(Schedule!AE:AE,Schedule!L:L=A2,(Schedule!K:K=""S1"")+(Schedule!K:K="&amp;"""""));filter(Schedule!AH:AH,Schedule!L:L=A2,(Schedule!K:K=""S1"")+(Schedule!K:K=""""));filter(Schedule!AK:AK,Schedule!L:L=A2,(Schedule!K:K=""S1"")+(Schedule!K:K=""""))}),unique({filter(Schedule!P:P,Schedule!L:L=A2,(Schedule!K:K=""S1"")+(Schedule!K:K="""""&amp;"));filter(Schedule!S:S,Schedule!L:L=A2,(Schedule!K:K=""S1"")+(Schedule!K:K=""""));filter(Schedule!V:V,Schedule!L:L=A2,(Schedule!K:K=""S1"")+(Schedule!K:K=""""));filter(Schedule!Y:Y,Schedule!L:L=A2,(Schedule!K:K=""S1"")+(Schedule!K:K=""""));filter(Schedule"&amp;"!AB:AB,Schedule!L:L=A2,(Schedule!K:K=""S1"")+(Schedule!K:K=""""));filter(Schedule!AE:AE,Schedule!L:L=A2,(Schedule!K:K=""S1"")+(Schedule!K:K=""""));filter(Schedule!AH:AH,Schedule!L:L=A2,(Schedule!K:K=""S1"")+(Schedule!K:K=""""));filter(Schedule!AK:AK,Sched"&amp;"ule!L:L=A2,(Schedule!K:K=""S1"")+(Schedule!K:K=""""))})&lt;&gt;"""")))"),2.0)</f>
        <v>2</v>
      </c>
      <c r="F2" s="300">
        <f>IFERROR(__xludf.DUMMYFUNCTION("if(A2="""","""",counta(filter(unique({filter(Schedule!P:P,Schedule!L:L=A2,(Schedule!K:K=""S2"")+(Schedule!K:K=""""));filter(Schedule!S:S,Schedule!L:L=A2,(Schedule!K:K=""S2"")+(Schedule!K:K=""""));filter(Schedule!V:V,Schedule!L:L=A2,(Schedule!K:K=""S2"")+("&amp;"Schedule!K:K=""""));filter(Schedule!Y:Y,Schedule!L:L=A2,(Schedule!K:K=""S2"")+(Schedule!K:K=""""));filter(Schedule!AB:AB,Schedule!L:L=A2,(Schedule!K:K=""S2"")+(Schedule!K:K=""""));filter(Schedule!AE:AE,Schedule!L:L=A2,(Schedule!K:K=""S2"")+(Schedule!K:K="&amp;"""""));filter(Schedule!AH:AH,Schedule!L:L=A2,(Schedule!K:K=""S2"")+(Schedule!K:K=""""));filter(Schedule!AK:AK,Schedule!L:L=A2,(Schedule!K:K=""S2"")+(Schedule!K:K=""""))}),unique({filter(Schedule!P:P,Schedule!L:L=A2,(Schedule!K:K=""S2"")+(Schedule!K:K="""""&amp;"));filter(Schedule!S:S,Schedule!L:L=A2,(Schedule!K:K=""S2"")+(Schedule!K:K=""""));filter(Schedule!V:V,Schedule!L:L=A2,(Schedule!K:K=""S2"")+(Schedule!K:K=""""));filter(Schedule!Y:Y,Schedule!L:L=A2,(Schedule!K:K=""S2"")+(Schedule!K:K=""""));filter(Schedule"&amp;"!AB:AB,Schedule!L:L=A2,(Schedule!K:K=""S2"")+(Schedule!K:K=""""));filter(Schedule!AE:AE,Schedule!L:L=A2,(Schedule!K:K=""S2"")+(Schedule!K:K=""""));filter(Schedule!AH:AH,Schedule!L:L=A2,(Schedule!K:K=""S2"")+(Schedule!K:K=""""));filter(Schedule!AK:AK,Sched"&amp;"ule!L:L=A2,(Schedule!K:K=""S2"")+(Schedule!K:K=""""))})&lt;&gt;"""")))"),2.0)</f>
        <v>2</v>
      </c>
      <c r="G2" s="403">
        <v>18.0</v>
      </c>
      <c r="H2" s="404" t="str">
        <f>IFERROR(__xludf.DUMMYFUNCTION("""COMPUTED_VALUE"""),"Jorge Mario Angel")</f>
        <v>Jorge Mario Angel</v>
      </c>
      <c r="I2" s="405">
        <f>IFERROR(__xludf.DUMMYFUNCTION("""COMPUTED_VALUE"""),144.0)</f>
        <v>144</v>
      </c>
      <c r="J2" s="299">
        <f>IFERROR(__xludf.DUMMYFUNCTION("""COMPUTED_VALUE"""),144.0)</f>
        <v>144</v>
      </c>
      <c r="K2" s="299">
        <f>IFERROR(__xludf.DUMMYFUNCTION("""COMPUTED_VALUE"""),144.0)</f>
        <v>144</v>
      </c>
      <c r="L2" s="3">
        <f>IFERROR(__xludf.DUMMYFUNCTION("""COMPUTED_VALUE"""),2.0)</f>
        <v>2</v>
      </c>
      <c r="M2" s="3">
        <f>IFERROR(__xludf.DUMMYFUNCTION("""COMPUTED_VALUE"""),2.0)</f>
        <v>2</v>
      </c>
      <c r="N2" s="3"/>
    </row>
    <row r="3">
      <c r="A3" t="s">
        <v>44</v>
      </c>
      <c r="B3" s="300">
        <v>103.0</v>
      </c>
      <c r="C3" s="300">
        <v>103.0</v>
      </c>
      <c r="D3" s="300">
        <v>103.0</v>
      </c>
      <c r="E3" s="300">
        <f>IFERROR(__xludf.DUMMYFUNCTION("if(A3="""","""",counta(filter(unique({filter(Schedule!P:P,Schedule!L:L=A3,(Schedule!K:K=""S1"")+(Schedule!K:K=""""));filter(Schedule!S:S,Schedule!L:L=A3,(Schedule!K:K=""S1"")+(Schedule!K:K=""""));filter(Schedule!V:V,Schedule!L:L=A3,(Schedule!K:K=""S1"")+("&amp;"Schedule!K:K=""""));filter(Schedule!Y:Y,Schedule!L:L=A3,(Schedule!K:K=""S1"")+(Schedule!K:K=""""));filter(Schedule!AB:AB,Schedule!L:L=A3,(Schedule!K:K=""S1"")+(Schedule!K:K=""""));filter(Schedule!AE:AE,Schedule!L:L=A3,(Schedule!K:K=""S1"")+(Schedule!K:K="&amp;"""""));filter(Schedule!AH:AH,Schedule!L:L=A3,(Schedule!K:K=""S1"")+(Schedule!K:K=""""));filter(Schedule!AK:AK,Schedule!L:L=A3,(Schedule!K:K=""S1"")+(Schedule!K:K=""""))}),unique({filter(Schedule!P:P,Schedule!L:L=A3,(Schedule!K:K=""S1"")+(Schedule!K:K="""""&amp;"));filter(Schedule!S:S,Schedule!L:L=A3,(Schedule!K:K=""S1"")+(Schedule!K:K=""""));filter(Schedule!V:V,Schedule!L:L=A3,(Schedule!K:K=""S1"")+(Schedule!K:K=""""));filter(Schedule!Y:Y,Schedule!L:L=A3,(Schedule!K:K=""S1"")+(Schedule!K:K=""""));filter(Schedule"&amp;"!AB:AB,Schedule!L:L=A3,(Schedule!K:K=""S1"")+(Schedule!K:K=""""));filter(Schedule!AE:AE,Schedule!L:L=A3,(Schedule!K:K=""S1"")+(Schedule!K:K=""""));filter(Schedule!AH:AH,Schedule!L:L=A3,(Schedule!K:K=""S1"")+(Schedule!K:K=""""));filter(Schedule!AK:AK,Sched"&amp;"ule!L:L=A3,(Schedule!K:K=""S1"")+(Schedule!K:K=""""))})&lt;&gt;"""")))"),3.0)</f>
        <v>3</v>
      </c>
      <c r="F3" s="300">
        <f>IFERROR(__xludf.DUMMYFUNCTION("if(A3="""","""",counta(filter(unique({filter(Schedule!P:P,Schedule!L:L=A3,(Schedule!K:K=""S2"")+(Schedule!K:K=""""));filter(Schedule!S:S,Schedule!L:L=A3,(Schedule!K:K=""S2"")+(Schedule!K:K=""""));filter(Schedule!V:V,Schedule!L:L=A3,(Schedule!K:K=""S2"")+("&amp;"Schedule!K:K=""""));filter(Schedule!Y:Y,Schedule!L:L=A3,(Schedule!K:K=""S2"")+(Schedule!K:K=""""));filter(Schedule!AB:AB,Schedule!L:L=A3,(Schedule!K:K=""S2"")+(Schedule!K:K=""""));filter(Schedule!AE:AE,Schedule!L:L=A3,(Schedule!K:K=""S2"")+(Schedule!K:K="&amp;"""""));filter(Schedule!AH:AH,Schedule!L:L=A3,(Schedule!K:K=""S2"")+(Schedule!K:K=""""));filter(Schedule!AK:AK,Schedule!L:L=A3,(Schedule!K:K=""S2"")+(Schedule!K:K=""""))}),unique({filter(Schedule!P:P,Schedule!L:L=A3,(Schedule!K:K=""S2"")+(Schedule!K:K="""""&amp;"));filter(Schedule!S:S,Schedule!L:L=A3,(Schedule!K:K=""S2"")+(Schedule!K:K=""""));filter(Schedule!V:V,Schedule!L:L=A3,(Schedule!K:K=""S2"")+(Schedule!K:K=""""));filter(Schedule!Y:Y,Schedule!L:L=A3,(Schedule!K:K=""S2"")+(Schedule!K:K=""""));filter(Schedule"&amp;"!AB:AB,Schedule!L:L=A3,(Schedule!K:K=""S2"")+(Schedule!K:K=""""));filter(Schedule!AE:AE,Schedule!L:L=A3,(Schedule!K:K=""S2"")+(Schedule!K:K=""""));filter(Schedule!AH:AH,Schedule!L:L=A3,(Schedule!K:K=""S2"")+(Schedule!K:K=""""));filter(Schedule!AK:AK,Sched"&amp;"ule!L:L=A3,(Schedule!K:K=""S2"")+(Schedule!K:K=""""))})&lt;&gt;"""")))"),3.0)</f>
        <v>3</v>
      </c>
      <c r="G3" s="403">
        <v>18.0</v>
      </c>
      <c r="H3" s="404" t="str">
        <f>IFERROR(__xludf.DUMMYFUNCTION("""COMPUTED_VALUE"""),"Gloria Velez")</f>
        <v>Gloria Velez</v>
      </c>
      <c r="I3" s="405">
        <f>IFERROR(__xludf.DUMMYFUNCTION("""COMPUTED_VALUE"""),139.0)</f>
        <v>139</v>
      </c>
      <c r="J3" s="299">
        <f>IFERROR(__xludf.DUMMYFUNCTION("""COMPUTED_VALUE"""),139.0)</f>
        <v>139</v>
      </c>
      <c r="K3" s="299">
        <f>IFERROR(__xludf.DUMMYFUNCTION("""COMPUTED_VALUE"""),139.0)</f>
        <v>139</v>
      </c>
      <c r="L3" s="3">
        <f>IFERROR(__xludf.DUMMYFUNCTION("""COMPUTED_VALUE"""),5.0)</f>
        <v>5</v>
      </c>
      <c r="M3" s="3">
        <f>IFERROR(__xludf.DUMMYFUNCTION("""COMPUTED_VALUE"""),5.0)</f>
        <v>5</v>
      </c>
      <c r="N3" s="3"/>
    </row>
    <row r="4">
      <c r="A4" t="s">
        <v>60</v>
      </c>
      <c r="B4" s="300">
        <v>79.0</v>
      </c>
      <c r="C4" s="300">
        <v>79.0</v>
      </c>
      <c r="D4" s="300">
        <v>79.0</v>
      </c>
      <c r="E4" s="300">
        <f>IFERROR(__xludf.DUMMYFUNCTION("if(A4="""","""",counta(filter(unique({filter(Schedule!P:P,Schedule!L:L=A4,(Schedule!K:K=""S1"")+(Schedule!K:K=""""));filter(Schedule!S:S,Schedule!L:L=A4,(Schedule!K:K=""S1"")+(Schedule!K:K=""""));filter(Schedule!V:V,Schedule!L:L=A4,(Schedule!K:K=""S1"")+("&amp;"Schedule!K:K=""""));filter(Schedule!Y:Y,Schedule!L:L=A4,(Schedule!K:K=""S1"")+(Schedule!K:K=""""));filter(Schedule!AB:AB,Schedule!L:L=A4,(Schedule!K:K=""S1"")+(Schedule!K:K=""""));filter(Schedule!AE:AE,Schedule!L:L=A4,(Schedule!K:K=""S1"")+(Schedule!K:K="&amp;"""""));filter(Schedule!AH:AH,Schedule!L:L=A4,(Schedule!K:K=""S1"")+(Schedule!K:K=""""));filter(Schedule!AK:AK,Schedule!L:L=A4,(Schedule!K:K=""S1"")+(Schedule!K:K=""""))}),unique({filter(Schedule!P:P,Schedule!L:L=A4,(Schedule!K:K=""S1"")+(Schedule!K:K="""""&amp;"));filter(Schedule!S:S,Schedule!L:L=A4,(Schedule!K:K=""S1"")+(Schedule!K:K=""""));filter(Schedule!V:V,Schedule!L:L=A4,(Schedule!K:K=""S1"")+(Schedule!K:K=""""));filter(Schedule!Y:Y,Schedule!L:L=A4,(Schedule!K:K=""S1"")+(Schedule!K:K=""""));filter(Schedule"&amp;"!AB:AB,Schedule!L:L=A4,(Schedule!K:K=""S1"")+(Schedule!K:K=""""));filter(Schedule!AE:AE,Schedule!L:L=A4,(Schedule!K:K=""S1"")+(Schedule!K:K=""""));filter(Schedule!AH:AH,Schedule!L:L=A4,(Schedule!K:K=""S1"")+(Schedule!K:K=""""));filter(Schedule!AK:AK,Sched"&amp;"ule!L:L=A4,(Schedule!K:K=""S1"")+(Schedule!K:K=""""))})&lt;&gt;"""")))"),2.0)</f>
        <v>2</v>
      </c>
      <c r="F4" s="300">
        <f>IFERROR(__xludf.DUMMYFUNCTION("if(A4="""","""",counta(filter(unique({filter(Schedule!P:P,Schedule!L:L=A4,(Schedule!K:K=""S2"")+(Schedule!K:K=""""));filter(Schedule!S:S,Schedule!L:L=A4,(Schedule!K:K=""S2"")+(Schedule!K:K=""""));filter(Schedule!V:V,Schedule!L:L=A4,(Schedule!K:K=""S2"")+("&amp;"Schedule!K:K=""""));filter(Schedule!Y:Y,Schedule!L:L=A4,(Schedule!K:K=""S2"")+(Schedule!K:K=""""));filter(Schedule!AB:AB,Schedule!L:L=A4,(Schedule!K:K=""S2"")+(Schedule!K:K=""""));filter(Schedule!AE:AE,Schedule!L:L=A4,(Schedule!K:K=""S2"")+(Schedule!K:K="&amp;"""""));filter(Schedule!AH:AH,Schedule!L:L=A4,(Schedule!K:K=""S2"")+(Schedule!K:K=""""));filter(Schedule!AK:AK,Schedule!L:L=A4,(Schedule!K:K=""S2"")+(Schedule!K:K=""""))}),unique({filter(Schedule!P:P,Schedule!L:L=A4,(Schedule!K:K=""S2"")+(Schedule!K:K="""""&amp;"));filter(Schedule!S:S,Schedule!L:L=A4,(Schedule!K:K=""S2"")+(Schedule!K:K=""""));filter(Schedule!V:V,Schedule!L:L=A4,(Schedule!K:K=""S2"")+(Schedule!K:K=""""));filter(Schedule!Y:Y,Schedule!L:L=A4,(Schedule!K:K=""S2"")+(Schedule!K:K=""""));filter(Schedule"&amp;"!AB:AB,Schedule!L:L=A4,(Schedule!K:K=""S2"")+(Schedule!K:K=""""));filter(Schedule!AE:AE,Schedule!L:L=A4,(Schedule!K:K=""S2"")+(Schedule!K:K=""""));filter(Schedule!AH:AH,Schedule!L:L=A4,(Schedule!K:K=""S2"")+(Schedule!K:K=""""));filter(Schedule!AK:AK,Sched"&amp;"ule!L:L=A4,(Schedule!K:K=""S2"")+(Schedule!K:K=""""))})&lt;&gt;"""")))"),2.0)</f>
        <v>2</v>
      </c>
      <c r="G4" s="403">
        <v>18.0</v>
      </c>
      <c r="H4" s="404" t="str">
        <f>IFERROR(__xludf.DUMMYFUNCTION("""COMPUTED_VALUE"""),"Jiovanna Castañeda")</f>
        <v>Jiovanna Castañeda</v>
      </c>
      <c r="I4" s="405">
        <f>IFERROR(__xludf.DUMMYFUNCTION("""COMPUTED_VALUE"""),139.0)</f>
        <v>139</v>
      </c>
      <c r="J4" s="299">
        <f>IFERROR(__xludf.DUMMYFUNCTION("""COMPUTED_VALUE"""),139.0)</f>
        <v>139</v>
      </c>
      <c r="K4" s="299">
        <f>IFERROR(__xludf.DUMMYFUNCTION("""COMPUTED_VALUE"""),139.0)</f>
        <v>139</v>
      </c>
      <c r="L4" s="405">
        <f>IFERROR(__xludf.DUMMYFUNCTION("""COMPUTED_VALUE"""),1.0)</f>
        <v>1</v>
      </c>
      <c r="M4" s="3">
        <f>IFERROR(__xludf.DUMMYFUNCTION("""COMPUTED_VALUE"""),1.0)</f>
        <v>1</v>
      </c>
      <c r="N4" s="3"/>
    </row>
    <row r="5">
      <c r="A5" t="s">
        <v>80</v>
      </c>
      <c r="B5" s="300">
        <v>99.0</v>
      </c>
      <c r="C5" s="300">
        <v>99.0</v>
      </c>
      <c r="D5" s="300">
        <v>99.0</v>
      </c>
      <c r="E5" s="300">
        <f>IFERROR(__xludf.DUMMYFUNCTION("if(A5="""","""",counta(filter(unique({filter(Schedule!P:P,Schedule!L:L=A5,(Schedule!K:K=""S1"")+(Schedule!K:K=""""));filter(Schedule!S:S,Schedule!L:L=A5,(Schedule!K:K=""S1"")+(Schedule!K:K=""""));filter(Schedule!V:V,Schedule!L:L=A5,(Schedule!K:K=""S1"")+("&amp;"Schedule!K:K=""""));filter(Schedule!Y:Y,Schedule!L:L=A5,(Schedule!K:K=""S1"")+(Schedule!K:K=""""));filter(Schedule!AB:AB,Schedule!L:L=A5,(Schedule!K:K=""S1"")+(Schedule!K:K=""""));filter(Schedule!AE:AE,Schedule!L:L=A5,(Schedule!K:K=""S1"")+(Schedule!K:K="&amp;"""""));filter(Schedule!AH:AH,Schedule!L:L=A5,(Schedule!K:K=""S1"")+(Schedule!K:K=""""));filter(Schedule!AK:AK,Schedule!L:L=A5,(Schedule!K:K=""S1"")+(Schedule!K:K=""""))}),unique({filter(Schedule!P:P,Schedule!L:L=A5,(Schedule!K:K=""S1"")+(Schedule!K:K="""""&amp;"));filter(Schedule!S:S,Schedule!L:L=A5,(Schedule!K:K=""S1"")+(Schedule!K:K=""""));filter(Schedule!V:V,Schedule!L:L=A5,(Schedule!K:K=""S1"")+(Schedule!K:K=""""));filter(Schedule!Y:Y,Schedule!L:L=A5,(Schedule!K:K=""S1"")+(Schedule!K:K=""""));filter(Schedule"&amp;"!AB:AB,Schedule!L:L=A5,(Schedule!K:K=""S1"")+(Schedule!K:K=""""));filter(Schedule!AE:AE,Schedule!L:L=A5,(Schedule!K:K=""S1"")+(Schedule!K:K=""""));filter(Schedule!AH:AH,Schedule!L:L=A5,(Schedule!K:K=""S1"")+(Schedule!K:K=""""));filter(Schedule!AK:AK,Sched"&amp;"ule!L:L=A5,(Schedule!K:K=""S1"")+(Schedule!K:K=""""))})&lt;&gt;"""")))"),2.0)</f>
        <v>2</v>
      </c>
      <c r="F5" s="300">
        <f>IFERROR(__xludf.DUMMYFUNCTION("if(A5="""","""",counta(filter(unique({filter(Schedule!P:P,Schedule!L:L=A5,(Schedule!K:K=""S2"")+(Schedule!K:K=""""));filter(Schedule!S:S,Schedule!L:L=A5,(Schedule!K:K=""S2"")+(Schedule!K:K=""""));filter(Schedule!V:V,Schedule!L:L=A5,(Schedule!K:K=""S2"")+("&amp;"Schedule!K:K=""""));filter(Schedule!Y:Y,Schedule!L:L=A5,(Schedule!K:K=""S2"")+(Schedule!K:K=""""));filter(Schedule!AB:AB,Schedule!L:L=A5,(Schedule!K:K=""S2"")+(Schedule!K:K=""""));filter(Schedule!AE:AE,Schedule!L:L=A5,(Schedule!K:K=""S2"")+(Schedule!K:K="&amp;"""""));filter(Schedule!AH:AH,Schedule!L:L=A5,(Schedule!K:K=""S2"")+(Schedule!K:K=""""));filter(Schedule!AK:AK,Schedule!L:L=A5,(Schedule!K:K=""S2"")+(Schedule!K:K=""""))}),unique({filter(Schedule!P:P,Schedule!L:L=A5,(Schedule!K:K=""S2"")+(Schedule!K:K="""""&amp;"));filter(Schedule!S:S,Schedule!L:L=A5,(Schedule!K:K=""S2"")+(Schedule!K:K=""""));filter(Schedule!V:V,Schedule!L:L=A5,(Schedule!K:K=""S2"")+(Schedule!K:K=""""));filter(Schedule!Y:Y,Schedule!L:L=A5,(Schedule!K:K=""S2"")+(Schedule!K:K=""""));filter(Schedule"&amp;"!AB:AB,Schedule!L:L=A5,(Schedule!K:K=""S2"")+(Schedule!K:K=""""));filter(Schedule!AE:AE,Schedule!L:L=A5,(Schedule!K:K=""S2"")+(Schedule!K:K=""""));filter(Schedule!AH:AH,Schedule!L:L=A5,(Schedule!K:K=""S2"")+(Schedule!K:K=""""));filter(Schedule!AK:AK,Sched"&amp;"ule!L:L=A5,(Schedule!K:K=""S2"")+(Schedule!K:K=""""))})&lt;&gt;"""")))"),2.0)</f>
        <v>2</v>
      </c>
      <c r="G5" s="403">
        <v>18.0</v>
      </c>
      <c r="H5" s="404" t="str">
        <f>IFERROR(__xludf.DUMMYFUNCTION("""COMPUTED_VALUE"""),"Sofia Arcila")</f>
        <v>Sofia Arcila</v>
      </c>
      <c r="I5" s="405">
        <f>IFERROR(__xludf.DUMMYFUNCTION("""COMPUTED_VALUE"""),133.0)</f>
        <v>133</v>
      </c>
      <c r="J5" s="299">
        <f>IFERROR(__xludf.DUMMYFUNCTION("""COMPUTED_VALUE"""),133.0)</f>
        <v>133</v>
      </c>
      <c r="K5" s="299">
        <f>IFERROR(__xludf.DUMMYFUNCTION("""COMPUTED_VALUE"""),133.0)</f>
        <v>133</v>
      </c>
      <c r="L5" s="3">
        <f>IFERROR(__xludf.DUMMYFUNCTION("""COMPUTED_VALUE"""),6.0)</f>
        <v>6</v>
      </c>
      <c r="M5" s="3">
        <f>IFERROR(__xludf.DUMMYFUNCTION("""COMPUTED_VALUE"""),6.0)</f>
        <v>6</v>
      </c>
      <c r="N5" s="3"/>
    </row>
    <row r="6">
      <c r="A6" t="s">
        <v>104</v>
      </c>
      <c r="B6" s="300">
        <v>95.0</v>
      </c>
      <c r="C6" s="300">
        <v>95.0</v>
      </c>
      <c r="D6" s="300">
        <v>95.0</v>
      </c>
      <c r="E6" s="300">
        <f>IFERROR(__xludf.DUMMYFUNCTION("if(A6="""","""",counta(filter(unique({filter(Schedule!P:P,Schedule!L:L=A6,(Schedule!K:K=""S1"")+(Schedule!K:K=""""));filter(Schedule!S:S,Schedule!L:L=A6,(Schedule!K:K=""S1"")+(Schedule!K:K=""""));filter(Schedule!V:V,Schedule!L:L=A6,(Schedule!K:K=""S1"")+("&amp;"Schedule!K:K=""""));filter(Schedule!Y:Y,Schedule!L:L=A6,(Schedule!K:K=""S1"")+(Schedule!K:K=""""));filter(Schedule!AB:AB,Schedule!L:L=A6,(Schedule!K:K=""S1"")+(Schedule!K:K=""""));filter(Schedule!AE:AE,Schedule!L:L=A6,(Schedule!K:K=""S1"")+(Schedule!K:K="&amp;"""""));filter(Schedule!AH:AH,Schedule!L:L=A6,(Schedule!K:K=""S1"")+(Schedule!K:K=""""));filter(Schedule!AK:AK,Schedule!L:L=A6,(Schedule!K:K=""S1"")+(Schedule!K:K=""""))}),unique({filter(Schedule!P:P,Schedule!L:L=A6,(Schedule!K:K=""S1"")+(Schedule!K:K="""""&amp;"));filter(Schedule!S:S,Schedule!L:L=A6,(Schedule!K:K=""S1"")+(Schedule!K:K=""""));filter(Schedule!V:V,Schedule!L:L=A6,(Schedule!K:K=""S1"")+(Schedule!K:K=""""));filter(Schedule!Y:Y,Schedule!L:L=A6,(Schedule!K:K=""S1"")+(Schedule!K:K=""""));filter(Schedule"&amp;"!AB:AB,Schedule!L:L=A6,(Schedule!K:K=""S1"")+(Schedule!K:K=""""));filter(Schedule!AE:AE,Schedule!L:L=A6,(Schedule!K:K=""S1"")+(Schedule!K:K=""""));filter(Schedule!AH:AH,Schedule!L:L=A6,(Schedule!K:K=""S1"")+(Schedule!K:K=""""));filter(Schedule!AK:AK,Sched"&amp;"ule!L:L=A6,(Schedule!K:K=""S1"")+(Schedule!K:K=""""))})&lt;&gt;"""")))"),2.0)</f>
        <v>2</v>
      </c>
      <c r="F6" s="300">
        <f>IFERROR(__xludf.DUMMYFUNCTION("if(A6="""","""",counta(filter(unique({filter(Schedule!P:P,Schedule!L:L=A6,(Schedule!K:K=""S2"")+(Schedule!K:K=""""));filter(Schedule!S:S,Schedule!L:L=A6,(Schedule!K:K=""S2"")+(Schedule!K:K=""""));filter(Schedule!V:V,Schedule!L:L=A6,(Schedule!K:K=""S2"")+("&amp;"Schedule!K:K=""""));filter(Schedule!Y:Y,Schedule!L:L=A6,(Schedule!K:K=""S2"")+(Schedule!K:K=""""));filter(Schedule!AB:AB,Schedule!L:L=A6,(Schedule!K:K=""S2"")+(Schedule!K:K=""""));filter(Schedule!AE:AE,Schedule!L:L=A6,(Schedule!K:K=""S2"")+(Schedule!K:K="&amp;"""""));filter(Schedule!AH:AH,Schedule!L:L=A6,(Schedule!K:K=""S2"")+(Schedule!K:K=""""));filter(Schedule!AK:AK,Schedule!L:L=A6,(Schedule!K:K=""S2"")+(Schedule!K:K=""""))}),unique({filter(Schedule!P:P,Schedule!L:L=A6,(Schedule!K:K=""S2"")+(Schedule!K:K="""""&amp;"));filter(Schedule!S:S,Schedule!L:L=A6,(Schedule!K:K=""S2"")+(Schedule!K:K=""""));filter(Schedule!V:V,Schedule!L:L=A6,(Schedule!K:K=""S2"")+(Schedule!K:K=""""));filter(Schedule!Y:Y,Schedule!L:L=A6,(Schedule!K:K=""S2"")+(Schedule!K:K=""""));filter(Schedule"&amp;"!AB:AB,Schedule!L:L=A6,(Schedule!K:K=""S2"")+(Schedule!K:K=""""));filter(Schedule!AE:AE,Schedule!L:L=A6,(Schedule!K:K=""S2"")+(Schedule!K:K=""""));filter(Schedule!AH:AH,Schedule!L:L=A6,(Schedule!K:K=""S2"")+(Schedule!K:K=""""));filter(Schedule!AK:AK,Sched"&amp;"ule!L:L=A6,(Schedule!K:K=""S2"")+(Schedule!K:K=""""))})&lt;&gt;"""")))"),2.0)</f>
        <v>2</v>
      </c>
      <c r="G6" s="403">
        <v>18.0</v>
      </c>
      <c r="H6" s="404" t="str">
        <f>IFERROR(__xludf.DUMMYFUNCTION("""COMPUTED_VALUE"""),"Anibal Betancur")</f>
        <v>Anibal Betancur</v>
      </c>
      <c r="I6" s="405">
        <f>IFERROR(__xludf.DUMMYFUNCTION("""COMPUTED_VALUE"""),131.0)</f>
        <v>131</v>
      </c>
      <c r="J6" s="299">
        <f>IFERROR(__xludf.DUMMYFUNCTION("""COMPUTED_VALUE"""),131.0)</f>
        <v>131</v>
      </c>
      <c r="K6" s="299">
        <f>IFERROR(__xludf.DUMMYFUNCTION("""COMPUTED_VALUE"""),131.0)</f>
        <v>131</v>
      </c>
      <c r="L6" s="3">
        <f>IFERROR(__xludf.DUMMYFUNCTION("""COMPUTED_VALUE"""),1.0)</f>
        <v>1</v>
      </c>
      <c r="M6" s="3">
        <f>IFERROR(__xludf.DUMMYFUNCTION("""COMPUTED_VALUE"""),1.0)</f>
        <v>1</v>
      </c>
      <c r="N6" s="3"/>
    </row>
    <row r="7">
      <c r="A7" t="s">
        <v>36</v>
      </c>
      <c r="B7" s="300">
        <v>111.0</v>
      </c>
      <c r="C7" s="300">
        <v>111.0</v>
      </c>
      <c r="D7" s="300">
        <v>111.0</v>
      </c>
      <c r="E7" s="300">
        <f>IFERROR(__xludf.DUMMYFUNCTION("if(A7="""","""",counta(filter(unique({filter(Schedule!P:P,Schedule!L:L=A7,(Schedule!K:K=""S1"")+(Schedule!K:K=""""));filter(Schedule!S:S,Schedule!L:L=A7,(Schedule!K:K=""S1"")+(Schedule!K:K=""""));filter(Schedule!V:V,Schedule!L:L=A7,(Schedule!K:K=""S1"")+("&amp;"Schedule!K:K=""""));filter(Schedule!Y:Y,Schedule!L:L=A7,(Schedule!K:K=""S1"")+(Schedule!K:K=""""));filter(Schedule!AB:AB,Schedule!L:L=A7,(Schedule!K:K=""S1"")+(Schedule!K:K=""""));filter(Schedule!AE:AE,Schedule!L:L=A7,(Schedule!K:K=""S1"")+(Schedule!K:K="&amp;"""""));filter(Schedule!AH:AH,Schedule!L:L=A7,(Schedule!K:K=""S1"")+(Schedule!K:K=""""));filter(Schedule!AK:AK,Schedule!L:L=A7,(Schedule!K:K=""S1"")+(Schedule!K:K=""""))}),unique({filter(Schedule!P:P,Schedule!L:L=A7,(Schedule!K:K=""S1"")+(Schedule!K:K="""""&amp;"));filter(Schedule!S:S,Schedule!L:L=A7,(Schedule!K:K=""S1"")+(Schedule!K:K=""""));filter(Schedule!V:V,Schedule!L:L=A7,(Schedule!K:K=""S1"")+(Schedule!K:K=""""));filter(Schedule!Y:Y,Schedule!L:L=A7,(Schedule!K:K=""S1"")+(Schedule!K:K=""""));filter(Schedule"&amp;"!AB:AB,Schedule!L:L=A7,(Schedule!K:K=""S1"")+(Schedule!K:K=""""));filter(Schedule!AE:AE,Schedule!L:L=A7,(Schedule!K:K=""S1"")+(Schedule!K:K=""""));filter(Schedule!AH:AH,Schedule!L:L=A7,(Schedule!K:K=""S1"")+(Schedule!K:K=""""));filter(Schedule!AK:AK,Sched"&amp;"ule!L:L=A7,(Schedule!K:K=""S1"")+(Schedule!K:K=""""))})&lt;&gt;"""")))"),2.0)</f>
        <v>2</v>
      </c>
      <c r="F7" s="300">
        <f>IFERROR(__xludf.DUMMYFUNCTION("if(A7="""","""",counta(filter(unique({filter(Schedule!P:P,Schedule!L:L=A7,(Schedule!K:K=""S2"")+(Schedule!K:K=""""));filter(Schedule!S:S,Schedule!L:L=A7,(Schedule!K:K=""S2"")+(Schedule!K:K=""""));filter(Schedule!V:V,Schedule!L:L=A7,(Schedule!K:K=""S2"")+("&amp;"Schedule!K:K=""""));filter(Schedule!Y:Y,Schedule!L:L=A7,(Schedule!K:K=""S2"")+(Schedule!K:K=""""));filter(Schedule!AB:AB,Schedule!L:L=A7,(Schedule!K:K=""S2"")+(Schedule!K:K=""""));filter(Schedule!AE:AE,Schedule!L:L=A7,(Schedule!K:K=""S2"")+(Schedule!K:K="&amp;"""""));filter(Schedule!AH:AH,Schedule!L:L=A7,(Schedule!K:K=""S2"")+(Schedule!K:K=""""));filter(Schedule!AK:AK,Schedule!L:L=A7,(Schedule!K:K=""S2"")+(Schedule!K:K=""""))}),unique({filter(Schedule!P:P,Schedule!L:L=A7,(Schedule!K:K=""S2"")+(Schedule!K:K="""""&amp;"));filter(Schedule!S:S,Schedule!L:L=A7,(Schedule!K:K=""S2"")+(Schedule!K:K=""""));filter(Schedule!V:V,Schedule!L:L=A7,(Schedule!K:K=""S2"")+(Schedule!K:K=""""));filter(Schedule!Y:Y,Schedule!L:L=A7,(Schedule!K:K=""S2"")+(Schedule!K:K=""""));filter(Schedule"&amp;"!AB:AB,Schedule!L:L=A7,(Schedule!K:K=""S2"")+(Schedule!K:K=""""));filter(Schedule!AE:AE,Schedule!L:L=A7,(Schedule!K:K=""S2"")+(Schedule!K:K=""""));filter(Schedule!AH:AH,Schedule!L:L=A7,(Schedule!K:K=""S2"")+(Schedule!K:K=""""));filter(Schedule!AK:AK,Sched"&amp;"ule!L:L=A7,(Schedule!K:K=""S2"")+(Schedule!K:K=""""))})&lt;&gt;"""")))"),2.0)</f>
        <v>2</v>
      </c>
      <c r="G7" s="403">
        <v>18.0</v>
      </c>
      <c r="H7" s="404" t="str">
        <f>IFERROR(__xludf.DUMMYFUNCTION("""COMPUTED_VALUE"""),"Urbano Mesa")</f>
        <v>Urbano Mesa</v>
      </c>
      <c r="I7" s="405">
        <f>IFERROR(__xludf.DUMMYFUNCTION("""COMPUTED_VALUE"""),127.0)</f>
        <v>127</v>
      </c>
      <c r="J7" s="299">
        <f>IFERROR(__xludf.DUMMYFUNCTION("""COMPUTED_VALUE"""),127.0)</f>
        <v>127</v>
      </c>
      <c r="K7" s="299">
        <f>IFERROR(__xludf.DUMMYFUNCTION("""COMPUTED_VALUE"""),127.0)</f>
        <v>127</v>
      </c>
      <c r="L7" s="3">
        <f>IFERROR(__xludf.DUMMYFUNCTION("""COMPUTED_VALUE"""),1.0)</f>
        <v>1</v>
      </c>
      <c r="M7" s="3">
        <f>IFERROR(__xludf.DUMMYFUNCTION("""COMPUTED_VALUE"""),1.0)</f>
        <v>1</v>
      </c>
      <c r="N7" s="3"/>
    </row>
    <row r="8">
      <c r="A8" t="s">
        <v>127</v>
      </c>
      <c r="B8" s="300">
        <v>131.0</v>
      </c>
      <c r="C8" s="300">
        <v>131.0</v>
      </c>
      <c r="D8" s="300">
        <v>131.0</v>
      </c>
      <c r="E8" s="300">
        <f>IFERROR(__xludf.DUMMYFUNCTION("if(A8="""","""",counta(filter(unique({filter(Schedule!P:P,Schedule!L:L=A8,(Schedule!K:K=""S1"")+(Schedule!K:K=""""));filter(Schedule!S:S,Schedule!L:L=A8,(Schedule!K:K=""S1"")+(Schedule!K:K=""""));filter(Schedule!V:V,Schedule!L:L=A8,(Schedule!K:K=""S1"")+("&amp;"Schedule!K:K=""""));filter(Schedule!Y:Y,Schedule!L:L=A8,(Schedule!K:K=""S1"")+(Schedule!K:K=""""));filter(Schedule!AB:AB,Schedule!L:L=A8,(Schedule!K:K=""S1"")+(Schedule!K:K=""""));filter(Schedule!AE:AE,Schedule!L:L=A8,(Schedule!K:K=""S1"")+(Schedule!K:K="&amp;"""""));filter(Schedule!AH:AH,Schedule!L:L=A8,(Schedule!K:K=""S1"")+(Schedule!K:K=""""));filter(Schedule!AK:AK,Schedule!L:L=A8,(Schedule!K:K=""S1"")+(Schedule!K:K=""""))}),unique({filter(Schedule!P:P,Schedule!L:L=A8,(Schedule!K:K=""S1"")+(Schedule!K:K="""""&amp;"));filter(Schedule!S:S,Schedule!L:L=A8,(Schedule!K:K=""S1"")+(Schedule!K:K=""""));filter(Schedule!V:V,Schedule!L:L=A8,(Schedule!K:K=""S1"")+(Schedule!K:K=""""));filter(Schedule!Y:Y,Schedule!L:L=A8,(Schedule!K:K=""S1"")+(Schedule!K:K=""""));filter(Schedule"&amp;"!AB:AB,Schedule!L:L=A8,(Schedule!K:K=""S1"")+(Schedule!K:K=""""));filter(Schedule!AE:AE,Schedule!L:L=A8,(Schedule!K:K=""S1"")+(Schedule!K:K=""""));filter(Schedule!AH:AH,Schedule!L:L=A8,(Schedule!K:K=""S1"")+(Schedule!K:K=""""));filter(Schedule!AK:AK,Sched"&amp;"ule!L:L=A8,(Schedule!K:K=""S1"")+(Schedule!K:K=""""))})&lt;&gt;"""")))"),1.0)</f>
        <v>1</v>
      </c>
      <c r="F8" s="300">
        <f>IFERROR(__xludf.DUMMYFUNCTION("if(A8="""","""",counta(filter(unique({filter(Schedule!P:P,Schedule!L:L=A8,(Schedule!K:K=""S2"")+(Schedule!K:K=""""));filter(Schedule!S:S,Schedule!L:L=A8,(Schedule!K:K=""S2"")+(Schedule!K:K=""""));filter(Schedule!V:V,Schedule!L:L=A8,(Schedule!K:K=""S2"")+("&amp;"Schedule!K:K=""""));filter(Schedule!Y:Y,Schedule!L:L=A8,(Schedule!K:K=""S2"")+(Schedule!K:K=""""));filter(Schedule!AB:AB,Schedule!L:L=A8,(Schedule!K:K=""S2"")+(Schedule!K:K=""""));filter(Schedule!AE:AE,Schedule!L:L=A8,(Schedule!K:K=""S2"")+(Schedule!K:K="&amp;"""""));filter(Schedule!AH:AH,Schedule!L:L=A8,(Schedule!K:K=""S2"")+(Schedule!K:K=""""));filter(Schedule!AK:AK,Schedule!L:L=A8,(Schedule!K:K=""S2"")+(Schedule!K:K=""""))}),unique({filter(Schedule!P:P,Schedule!L:L=A8,(Schedule!K:K=""S2"")+(Schedule!K:K="""""&amp;"));filter(Schedule!S:S,Schedule!L:L=A8,(Schedule!K:K=""S2"")+(Schedule!K:K=""""));filter(Schedule!V:V,Schedule!L:L=A8,(Schedule!K:K=""S2"")+(Schedule!K:K=""""));filter(Schedule!Y:Y,Schedule!L:L=A8,(Schedule!K:K=""S2"")+(Schedule!K:K=""""));filter(Schedule"&amp;"!AB:AB,Schedule!L:L=A8,(Schedule!K:K=""S2"")+(Schedule!K:K=""""));filter(Schedule!AE:AE,Schedule!L:L=A8,(Schedule!K:K=""S2"")+(Schedule!K:K=""""));filter(Schedule!AH:AH,Schedule!L:L=A8,(Schedule!K:K=""S2"")+(Schedule!K:K=""""));filter(Schedule!AK:AK,Sched"&amp;"ule!L:L=A8,(Schedule!K:K=""S2"")+(Schedule!K:K=""""))})&lt;&gt;"""")))"),1.0)</f>
        <v>1</v>
      </c>
      <c r="G8" s="403">
        <v>18.0</v>
      </c>
      <c r="H8" s="404" t="str">
        <f>IFERROR(__xludf.DUMMYFUNCTION("""COMPUTED_VALUE"""),"Camilo  Hoyos")</f>
        <v>Camilo  Hoyos</v>
      </c>
      <c r="I8" s="405">
        <f>IFERROR(__xludf.DUMMYFUNCTION("""COMPUTED_VALUE"""),125.0)</f>
        <v>125</v>
      </c>
      <c r="J8" s="299">
        <f>IFERROR(__xludf.DUMMYFUNCTION("""COMPUTED_VALUE"""),125.0)</f>
        <v>125</v>
      </c>
      <c r="K8" s="299">
        <f>IFERROR(__xludf.DUMMYFUNCTION("""COMPUTED_VALUE"""),125.0)</f>
        <v>125</v>
      </c>
      <c r="L8" s="3">
        <f>IFERROR(__xludf.DUMMYFUNCTION("""COMPUTED_VALUE"""),2.0)</f>
        <v>2</v>
      </c>
      <c r="M8" s="3">
        <f>IFERROR(__xludf.DUMMYFUNCTION("""COMPUTED_VALUE"""),2.0)</f>
        <v>2</v>
      </c>
      <c r="N8" s="3"/>
    </row>
    <row r="9">
      <c r="A9" t="s">
        <v>94</v>
      </c>
      <c r="B9" s="300">
        <v>101.0</v>
      </c>
      <c r="C9" s="300">
        <v>101.0</v>
      </c>
      <c r="D9" s="300">
        <v>101.0</v>
      </c>
      <c r="E9" s="300">
        <f>IFERROR(__xludf.DUMMYFUNCTION("if(A9="""","""",counta(filter(unique({filter(Schedule!P:P,Schedule!L:L=A9,(Schedule!K:K=""S1"")+(Schedule!K:K=""""));filter(Schedule!S:S,Schedule!L:L=A9,(Schedule!K:K=""S1"")+(Schedule!K:K=""""));filter(Schedule!V:V,Schedule!L:L=A9,(Schedule!K:K=""S1"")+("&amp;"Schedule!K:K=""""));filter(Schedule!Y:Y,Schedule!L:L=A9,(Schedule!K:K=""S1"")+(Schedule!K:K=""""));filter(Schedule!AB:AB,Schedule!L:L=A9,(Schedule!K:K=""S1"")+(Schedule!K:K=""""));filter(Schedule!AE:AE,Schedule!L:L=A9,(Schedule!K:K=""S1"")+(Schedule!K:K="&amp;"""""));filter(Schedule!AH:AH,Schedule!L:L=A9,(Schedule!K:K=""S1"")+(Schedule!K:K=""""));filter(Schedule!AK:AK,Schedule!L:L=A9,(Schedule!K:K=""S1"")+(Schedule!K:K=""""))}),unique({filter(Schedule!P:P,Schedule!L:L=A9,(Schedule!K:K=""S1"")+(Schedule!K:K="""""&amp;"));filter(Schedule!S:S,Schedule!L:L=A9,(Schedule!K:K=""S1"")+(Schedule!K:K=""""));filter(Schedule!V:V,Schedule!L:L=A9,(Schedule!K:K=""S1"")+(Schedule!K:K=""""));filter(Schedule!Y:Y,Schedule!L:L=A9,(Schedule!K:K=""S1"")+(Schedule!K:K=""""));filter(Schedule"&amp;"!AB:AB,Schedule!L:L=A9,(Schedule!K:K=""S1"")+(Schedule!K:K=""""));filter(Schedule!AE:AE,Schedule!L:L=A9,(Schedule!K:K=""S1"")+(Schedule!K:K=""""));filter(Schedule!AH:AH,Schedule!L:L=A9,(Schedule!K:K=""S1"")+(Schedule!K:K=""""));filter(Schedule!AK:AK,Sched"&amp;"ule!L:L=A9,(Schedule!K:K=""S1"")+(Schedule!K:K=""""))})&lt;&gt;"""")))"),3.0)</f>
        <v>3</v>
      </c>
      <c r="F9" s="300">
        <f>IFERROR(__xludf.DUMMYFUNCTION("if(A9="""","""",counta(filter(unique({filter(Schedule!P:P,Schedule!L:L=A9,(Schedule!K:K=""S2"")+(Schedule!K:K=""""));filter(Schedule!S:S,Schedule!L:L=A9,(Schedule!K:K=""S2"")+(Schedule!K:K=""""));filter(Schedule!V:V,Schedule!L:L=A9,(Schedule!K:K=""S2"")+("&amp;"Schedule!K:K=""""));filter(Schedule!Y:Y,Schedule!L:L=A9,(Schedule!K:K=""S2"")+(Schedule!K:K=""""));filter(Schedule!AB:AB,Schedule!L:L=A9,(Schedule!K:K=""S2"")+(Schedule!K:K=""""));filter(Schedule!AE:AE,Schedule!L:L=A9,(Schedule!K:K=""S2"")+(Schedule!K:K="&amp;"""""));filter(Schedule!AH:AH,Schedule!L:L=A9,(Schedule!K:K=""S2"")+(Schedule!K:K=""""));filter(Schedule!AK:AK,Schedule!L:L=A9,(Schedule!K:K=""S2"")+(Schedule!K:K=""""))}),unique({filter(Schedule!P:P,Schedule!L:L=A9,(Schedule!K:K=""S2"")+(Schedule!K:K="""""&amp;"));filter(Schedule!S:S,Schedule!L:L=A9,(Schedule!K:K=""S2"")+(Schedule!K:K=""""));filter(Schedule!V:V,Schedule!L:L=A9,(Schedule!K:K=""S2"")+(Schedule!K:K=""""));filter(Schedule!Y:Y,Schedule!L:L=A9,(Schedule!K:K=""S2"")+(Schedule!K:K=""""));filter(Schedule"&amp;"!AB:AB,Schedule!L:L=A9,(Schedule!K:K=""S2"")+(Schedule!K:K=""""));filter(Schedule!AE:AE,Schedule!L:L=A9,(Schedule!K:K=""S2"")+(Schedule!K:K=""""));filter(Schedule!AH:AH,Schedule!L:L=A9,(Schedule!K:K=""S2"")+(Schedule!K:K=""""));filter(Schedule!AK:AK,Sched"&amp;"ule!L:L=A9,(Schedule!K:K=""S2"")+(Schedule!K:K=""""))})&lt;&gt;"""")))"),3.0)</f>
        <v>3</v>
      </c>
      <c r="G9" s="403">
        <v>18.0</v>
      </c>
      <c r="H9" s="404" t="str">
        <f>IFERROR(__xludf.DUMMYFUNCTION("""COMPUTED_VALUE"""),"Juan Esteban Marin")</f>
        <v>Juan Esteban Marin</v>
      </c>
      <c r="I9" s="405">
        <f>IFERROR(__xludf.DUMMYFUNCTION("""COMPUTED_VALUE"""),125.0)</f>
        <v>125</v>
      </c>
      <c r="J9" s="299">
        <f>IFERROR(__xludf.DUMMYFUNCTION("""COMPUTED_VALUE"""),125.0)</f>
        <v>125</v>
      </c>
      <c r="K9" s="299">
        <f>IFERROR(__xludf.DUMMYFUNCTION("""COMPUTED_VALUE"""),125.0)</f>
        <v>125</v>
      </c>
      <c r="L9" s="3">
        <f>IFERROR(__xludf.DUMMYFUNCTION("""COMPUTED_VALUE"""),1.0)</f>
        <v>1</v>
      </c>
      <c r="M9" s="3">
        <f>IFERROR(__xludf.DUMMYFUNCTION("""COMPUTED_VALUE"""),1.0)</f>
        <v>1</v>
      </c>
      <c r="N9" s="3"/>
    </row>
    <row r="10">
      <c r="A10" s="294" t="s">
        <v>83</v>
      </c>
      <c r="B10" s="300">
        <v>110.0</v>
      </c>
      <c r="C10" s="300">
        <v>110.0</v>
      </c>
      <c r="D10" s="300">
        <v>110.0</v>
      </c>
      <c r="E10" s="300">
        <f>IFERROR(__xludf.DUMMYFUNCTION("if(A10="""","""",counta(filter(unique({filter(Schedule!P:P,Schedule!L:L=A10,(Schedule!K:K=""S1"")+(Schedule!K:K=""""));filter(Schedule!S:S,Schedule!L:L=A10,(Schedule!K:K=""S1"")+(Schedule!K:K=""""));filter(Schedule!V:V,Schedule!L:L=A10,(Schedule!K:K=""S1"&amp;""")+(Schedule!K:K=""""));filter(Schedule!Y:Y,Schedule!L:L=A10,(Schedule!K:K=""S1"")+(Schedule!K:K=""""));filter(Schedule!AB:AB,Schedule!L:L=A10,(Schedule!K:K=""S1"")+(Schedule!K:K=""""));filter(Schedule!AE:AE,Schedule!L:L=A10,(Schedule!K:K=""S1"")+(Schedu"&amp;"le!K:K=""""));filter(Schedule!AH:AH,Schedule!L:L=A10,(Schedule!K:K=""S1"")+(Schedule!K:K=""""));filter(Schedule!AK:AK,Schedule!L:L=A10,(Schedule!K:K=""S1"")+(Schedule!K:K=""""))}),unique({filter(Schedule!P:P,Schedule!L:L=A10,(Schedule!K:K=""S1"")+(Schedul"&amp;"e!K:K=""""));filter(Schedule!S:S,Schedule!L:L=A10,(Schedule!K:K=""S1"")+(Schedule!K:K=""""));filter(Schedule!V:V,Schedule!L:L=A10,(Schedule!K:K=""S1"")+(Schedule!K:K=""""));filter(Schedule!Y:Y,Schedule!L:L=A10,(Schedule!K:K=""S1"")+(Schedule!K:K=""""));fi"&amp;"lter(Schedule!AB:AB,Schedule!L:L=A10,(Schedule!K:K=""S1"")+(Schedule!K:K=""""));filter(Schedule!AE:AE,Schedule!L:L=A10,(Schedule!K:K=""S1"")+(Schedule!K:K=""""));filter(Schedule!AH:AH,Schedule!L:L=A10,(Schedule!K:K=""S1"")+(Schedule!K:K=""""));filter(Sche"&amp;"dule!AK:AK,Schedule!L:L=A10,(Schedule!K:K=""S1"")+(Schedule!K:K=""""))})&lt;&gt;"""")))"),3.0)</f>
        <v>3</v>
      </c>
      <c r="F10" s="300">
        <f>IFERROR(__xludf.DUMMYFUNCTION("if(A10="""","""",counta(filter(unique({filter(Schedule!P:P,Schedule!L:L=A10,(Schedule!K:K=""S2"")+(Schedule!K:K=""""));filter(Schedule!S:S,Schedule!L:L=A10,(Schedule!K:K=""S2"")+(Schedule!K:K=""""));filter(Schedule!V:V,Schedule!L:L=A10,(Schedule!K:K=""S2"&amp;""")+(Schedule!K:K=""""));filter(Schedule!Y:Y,Schedule!L:L=A10,(Schedule!K:K=""S2"")+(Schedule!K:K=""""));filter(Schedule!AB:AB,Schedule!L:L=A10,(Schedule!K:K=""S2"")+(Schedule!K:K=""""));filter(Schedule!AE:AE,Schedule!L:L=A10,(Schedule!K:K=""S2"")+(Schedu"&amp;"le!K:K=""""));filter(Schedule!AH:AH,Schedule!L:L=A10,(Schedule!K:K=""S2"")+(Schedule!K:K=""""));filter(Schedule!AK:AK,Schedule!L:L=A10,(Schedule!K:K=""S2"")+(Schedule!K:K=""""))}),unique({filter(Schedule!P:P,Schedule!L:L=A10,(Schedule!K:K=""S2"")+(Schedul"&amp;"e!K:K=""""));filter(Schedule!S:S,Schedule!L:L=A10,(Schedule!K:K=""S2"")+(Schedule!K:K=""""));filter(Schedule!V:V,Schedule!L:L=A10,(Schedule!K:K=""S2"")+(Schedule!K:K=""""));filter(Schedule!Y:Y,Schedule!L:L=A10,(Schedule!K:K=""S2"")+(Schedule!K:K=""""));fi"&amp;"lter(Schedule!AB:AB,Schedule!L:L=A10,(Schedule!K:K=""S2"")+(Schedule!K:K=""""));filter(Schedule!AE:AE,Schedule!L:L=A10,(Schedule!K:K=""S2"")+(Schedule!K:K=""""));filter(Schedule!AH:AH,Schedule!L:L=A10,(Schedule!K:K=""S2"")+(Schedule!K:K=""""));filter(Sche"&amp;"dule!AK:AK,Schedule!L:L=A10,(Schedule!K:K=""S2"")+(Schedule!K:K=""""))})&lt;&gt;"""")))"),3.0)</f>
        <v>3</v>
      </c>
      <c r="H10" s="294" t="str">
        <f>IFERROR(__xludf.DUMMYFUNCTION("""COMPUTED_VALUE"""),"Andrew Shainker")</f>
        <v>Andrew Shainker</v>
      </c>
      <c r="I10" s="299">
        <f>IFERROR(__xludf.DUMMYFUNCTION("""COMPUTED_VALUE"""),111.0)</f>
        <v>111</v>
      </c>
      <c r="J10" s="299">
        <f>IFERROR(__xludf.DUMMYFUNCTION("""COMPUTED_VALUE"""),111.0)</f>
        <v>111</v>
      </c>
      <c r="K10" s="299">
        <f>IFERROR(__xludf.DUMMYFUNCTION("""COMPUTED_VALUE"""),111.0)</f>
        <v>111</v>
      </c>
      <c r="L10" s="3">
        <f>IFERROR(__xludf.DUMMYFUNCTION("""COMPUTED_VALUE"""),2.0)</f>
        <v>2</v>
      </c>
      <c r="M10" s="3">
        <f>IFERROR(__xludf.DUMMYFUNCTION("""COMPUTED_VALUE"""),2.0)</f>
        <v>2</v>
      </c>
      <c r="N10" s="3"/>
    </row>
    <row r="11">
      <c r="A11" t="s">
        <v>68</v>
      </c>
      <c r="B11" s="300">
        <v>89.0</v>
      </c>
      <c r="C11" s="300">
        <v>89.0</v>
      </c>
      <c r="D11" s="300">
        <v>89.0</v>
      </c>
      <c r="E11" s="300">
        <f>IFERROR(__xludf.DUMMYFUNCTION("if(A11="""","""",counta(filter(unique({filter(Schedule!P:P,Schedule!L:L=A11,(Schedule!K:K=""S1"")+(Schedule!K:K=""""));filter(Schedule!S:S,Schedule!L:L=A11,(Schedule!K:K=""S1"")+(Schedule!K:K=""""));filter(Schedule!V:V,Schedule!L:L=A11,(Schedule!K:K=""S1"&amp;""")+(Schedule!K:K=""""));filter(Schedule!Y:Y,Schedule!L:L=A11,(Schedule!K:K=""S1"")+(Schedule!K:K=""""));filter(Schedule!AB:AB,Schedule!L:L=A11,(Schedule!K:K=""S1"")+(Schedule!K:K=""""));filter(Schedule!AE:AE,Schedule!L:L=A11,(Schedule!K:K=""S1"")+(Schedu"&amp;"le!K:K=""""));filter(Schedule!AH:AH,Schedule!L:L=A11,(Schedule!K:K=""S1"")+(Schedule!K:K=""""));filter(Schedule!AK:AK,Schedule!L:L=A11,(Schedule!K:K=""S1"")+(Schedule!K:K=""""))}),unique({filter(Schedule!P:P,Schedule!L:L=A11,(Schedule!K:K=""S1"")+(Schedul"&amp;"e!K:K=""""));filter(Schedule!S:S,Schedule!L:L=A11,(Schedule!K:K=""S1"")+(Schedule!K:K=""""));filter(Schedule!V:V,Schedule!L:L=A11,(Schedule!K:K=""S1"")+(Schedule!K:K=""""));filter(Schedule!Y:Y,Schedule!L:L=A11,(Schedule!K:K=""S1"")+(Schedule!K:K=""""));fi"&amp;"lter(Schedule!AB:AB,Schedule!L:L=A11,(Schedule!K:K=""S1"")+(Schedule!K:K=""""));filter(Schedule!AE:AE,Schedule!L:L=A11,(Schedule!K:K=""S1"")+(Schedule!K:K=""""));filter(Schedule!AH:AH,Schedule!L:L=A11,(Schedule!K:K=""S1"")+(Schedule!K:K=""""));filter(Sche"&amp;"dule!AK:AK,Schedule!L:L=A11,(Schedule!K:K=""S1"")+(Schedule!K:K=""""))})&lt;&gt;"""")))"),3.0)</f>
        <v>3</v>
      </c>
      <c r="F11" s="300">
        <f>IFERROR(__xludf.DUMMYFUNCTION("if(A11="""","""",counta(filter(unique({filter(Schedule!P:P,Schedule!L:L=A11,(Schedule!K:K=""S2"")+(Schedule!K:K=""""));filter(Schedule!S:S,Schedule!L:L=A11,(Schedule!K:K=""S2"")+(Schedule!K:K=""""));filter(Schedule!V:V,Schedule!L:L=A11,(Schedule!K:K=""S2"&amp;""")+(Schedule!K:K=""""));filter(Schedule!Y:Y,Schedule!L:L=A11,(Schedule!K:K=""S2"")+(Schedule!K:K=""""));filter(Schedule!AB:AB,Schedule!L:L=A11,(Schedule!K:K=""S2"")+(Schedule!K:K=""""));filter(Schedule!AE:AE,Schedule!L:L=A11,(Schedule!K:K=""S2"")+(Schedu"&amp;"le!K:K=""""));filter(Schedule!AH:AH,Schedule!L:L=A11,(Schedule!K:K=""S2"")+(Schedule!K:K=""""));filter(Schedule!AK:AK,Schedule!L:L=A11,(Schedule!K:K=""S2"")+(Schedule!K:K=""""))}),unique({filter(Schedule!P:P,Schedule!L:L=A11,(Schedule!K:K=""S2"")+(Schedul"&amp;"e!K:K=""""));filter(Schedule!S:S,Schedule!L:L=A11,(Schedule!K:K=""S2"")+(Schedule!K:K=""""));filter(Schedule!V:V,Schedule!L:L=A11,(Schedule!K:K=""S2"")+(Schedule!K:K=""""));filter(Schedule!Y:Y,Schedule!L:L=A11,(Schedule!K:K=""S2"")+(Schedule!K:K=""""));fi"&amp;"lter(Schedule!AB:AB,Schedule!L:L=A11,(Schedule!K:K=""S2"")+(Schedule!K:K=""""));filter(Schedule!AE:AE,Schedule!L:L=A11,(Schedule!K:K=""S2"")+(Schedule!K:K=""""));filter(Schedule!AH:AH,Schedule!L:L=A11,(Schedule!K:K=""S2"")+(Schedule!K:K=""""));filter(Sche"&amp;"dule!AK:AK,Schedule!L:L=A11,(Schedule!K:K=""S2"")+(Schedule!K:K=""""))})&lt;&gt;"""")))"),3.0)</f>
        <v>3</v>
      </c>
      <c r="H11" s="294" t="str">
        <f>IFERROR(__xludf.DUMMYFUNCTION("""COMPUTED_VALUE"""),"Erika Atehortúa")</f>
        <v>Erika Atehortúa</v>
      </c>
      <c r="I11" s="299">
        <f>IFERROR(__xludf.DUMMYFUNCTION("""COMPUTED_VALUE"""),111.0)</f>
        <v>111</v>
      </c>
      <c r="J11" s="299">
        <f>IFERROR(__xludf.DUMMYFUNCTION("""COMPUTED_VALUE"""),111.0)</f>
        <v>111</v>
      </c>
      <c r="K11" s="299">
        <f>IFERROR(__xludf.DUMMYFUNCTION("""COMPUTED_VALUE"""),111.0)</f>
        <v>111</v>
      </c>
      <c r="L11" s="3">
        <f>IFERROR(__xludf.DUMMYFUNCTION("""COMPUTED_VALUE"""),2.0)</f>
        <v>2</v>
      </c>
      <c r="M11" s="3">
        <f>IFERROR(__xludf.DUMMYFUNCTION("""COMPUTED_VALUE"""),2.0)</f>
        <v>2</v>
      </c>
      <c r="N11" s="3"/>
    </row>
    <row r="12">
      <c r="A12" t="s">
        <v>102</v>
      </c>
      <c r="B12" s="300">
        <v>93.0</v>
      </c>
      <c r="C12" s="300">
        <v>93.0</v>
      </c>
      <c r="D12" s="300">
        <v>93.0</v>
      </c>
      <c r="E12" s="300">
        <f>IFERROR(__xludf.DUMMYFUNCTION("if(A12="""","""",counta(filter(unique({filter(Schedule!P:P,Schedule!L:L=A12,(Schedule!K:K=""S1"")+(Schedule!K:K=""""));filter(Schedule!S:S,Schedule!L:L=A12,(Schedule!K:K=""S1"")+(Schedule!K:K=""""));filter(Schedule!V:V,Schedule!L:L=A12,(Schedule!K:K=""S1"&amp;""")+(Schedule!K:K=""""));filter(Schedule!Y:Y,Schedule!L:L=A12,(Schedule!K:K=""S1"")+(Schedule!K:K=""""));filter(Schedule!AB:AB,Schedule!L:L=A12,(Schedule!K:K=""S1"")+(Schedule!K:K=""""));filter(Schedule!AE:AE,Schedule!L:L=A12,(Schedule!K:K=""S1"")+(Schedu"&amp;"le!K:K=""""));filter(Schedule!AH:AH,Schedule!L:L=A12,(Schedule!K:K=""S1"")+(Schedule!K:K=""""));filter(Schedule!AK:AK,Schedule!L:L=A12,(Schedule!K:K=""S1"")+(Schedule!K:K=""""))}),unique({filter(Schedule!P:P,Schedule!L:L=A12,(Schedule!K:K=""S1"")+(Schedul"&amp;"e!K:K=""""));filter(Schedule!S:S,Schedule!L:L=A12,(Schedule!K:K=""S1"")+(Schedule!K:K=""""));filter(Schedule!V:V,Schedule!L:L=A12,(Schedule!K:K=""S1"")+(Schedule!K:K=""""));filter(Schedule!Y:Y,Schedule!L:L=A12,(Schedule!K:K=""S1"")+(Schedule!K:K=""""));fi"&amp;"lter(Schedule!AB:AB,Schedule!L:L=A12,(Schedule!K:K=""S1"")+(Schedule!K:K=""""));filter(Schedule!AE:AE,Schedule!L:L=A12,(Schedule!K:K=""S1"")+(Schedule!K:K=""""));filter(Schedule!AH:AH,Schedule!L:L=A12,(Schedule!K:K=""S1"")+(Schedule!K:K=""""));filter(Sche"&amp;"dule!AK:AK,Schedule!L:L=A12,(Schedule!K:K=""S1"")+(Schedule!K:K=""""))})&lt;&gt;"""")))"),2.0)</f>
        <v>2</v>
      </c>
      <c r="F12" s="300">
        <f>IFERROR(__xludf.DUMMYFUNCTION("if(A12="""","""",counta(filter(unique({filter(Schedule!P:P,Schedule!L:L=A12,(Schedule!K:K=""S2"")+(Schedule!K:K=""""));filter(Schedule!S:S,Schedule!L:L=A12,(Schedule!K:K=""S2"")+(Schedule!K:K=""""));filter(Schedule!V:V,Schedule!L:L=A12,(Schedule!K:K=""S2"&amp;""")+(Schedule!K:K=""""));filter(Schedule!Y:Y,Schedule!L:L=A12,(Schedule!K:K=""S2"")+(Schedule!K:K=""""));filter(Schedule!AB:AB,Schedule!L:L=A12,(Schedule!K:K=""S2"")+(Schedule!K:K=""""));filter(Schedule!AE:AE,Schedule!L:L=A12,(Schedule!K:K=""S2"")+(Schedu"&amp;"le!K:K=""""));filter(Schedule!AH:AH,Schedule!L:L=A12,(Schedule!K:K=""S2"")+(Schedule!K:K=""""));filter(Schedule!AK:AK,Schedule!L:L=A12,(Schedule!K:K=""S2"")+(Schedule!K:K=""""))}),unique({filter(Schedule!P:P,Schedule!L:L=A12,(Schedule!K:K=""S2"")+(Schedul"&amp;"e!K:K=""""));filter(Schedule!S:S,Schedule!L:L=A12,(Schedule!K:K=""S2"")+(Schedule!K:K=""""));filter(Schedule!V:V,Schedule!L:L=A12,(Schedule!K:K=""S2"")+(Schedule!K:K=""""));filter(Schedule!Y:Y,Schedule!L:L=A12,(Schedule!K:K=""S2"")+(Schedule!K:K=""""));fi"&amp;"lter(Schedule!AB:AB,Schedule!L:L=A12,(Schedule!K:K=""S2"")+(Schedule!K:K=""""));filter(Schedule!AE:AE,Schedule!L:L=A12,(Schedule!K:K=""S2"")+(Schedule!K:K=""""));filter(Schedule!AH:AH,Schedule!L:L=A12,(Schedule!K:K=""S2"")+(Schedule!K:K=""""));filter(Sche"&amp;"dule!AK:AK,Schedule!L:L=A12,(Schedule!K:K=""S2"")+(Schedule!K:K=""""))})&lt;&gt;"""")))"),2.0)</f>
        <v>2</v>
      </c>
      <c r="H12" t="str">
        <f>IFERROR(__xludf.DUMMYFUNCTION("""COMPUTED_VALUE"""),"Blaire Dawkins")</f>
        <v>Blaire Dawkins</v>
      </c>
      <c r="I12" s="299">
        <f>IFERROR(__xludf.DUMMYFUNCTION("""COMPUTED_VALUE"""),110.0)</f>
        <v>110</v>
      </c>
      <c r="J12" s="299">
        <f>IFERROR(__xludf.DUMMYFUNCTION("""COMPUTED_VALUE"""),110.0)</f>
        <v>110</v>
      </c>
      <c r="K12" s="299">
        <f>IFERROR(__xludf.DUMMYFUNCTION("""COMPUTED_VALUE"""),110.0)</f>
        <v>110</v>
      </c>
      <c r="L12" s="3">
        <f>IFERROR(__xludf.DUMMYFUNCTION("""COMPUTED_VALUE"""),3.0)</f>
        <v>3</v>
      </c>
      <c r="M12" s="3">
        <f>IFERROR(__xludf.DUMMYFUNCTION("""COMPUTED_VALUE"""),3.0)</f>
        <v>3</v>
      </c>
      <c r="N12" s="3"/>
    </row>
    <row r="13">
      <c r="A13" t="s">
        <v>55</v>
      </c>
      <c r="B13" s="300">
        <v>93.0</v>
      </c>
      <c r="C13" s="300">
        <v>93.0</v>
      </c>
      <c r="D13" s="300">
        <v>93.0</v>
      </c>
      <c r="E13" s="300">
        <f>IFERROR(__xludf.DUMMYFUNCTION("if(A13="""","""",counta(filter(unique({filter(Schedule!P:P,Schedule!L:L=A13,(Schedule!K:K=""S1"")+(Schedule!K:K=""""));filter(Schedule!S:S,Schedule!L:L=A13,(Schedule!K:K=""S1"")+(Schedule!K:K=""""));filter(Schedule!V:V,Schedule!L:L=A13,(Schedule!K:K=""S1"&amp;""")+(Schedule!K:K=""""));filter(Schedule!Y:Y,Schedule!L:L=A13,(Schedule!K:K=""S1"")+(Schedule!K:K=""""));filter(Schedule!AB:AB,Schedule!L:L=A13,(Schedule!K:K=""S1"")+(Schedule!K:K=""""));filter(Schedule!AE:AE,Schedule!L:L=A13,(Schedule!K:K=""S1"")+(Schedu"&amp;"le!K:K=""""));filter(Schedule!AH:AH,Schedule!L:L=A13,(Schedule!K:K=""S1"")+(Schedule!K:K=""""));filter(Schedule!AK:AK,Schedule!L:L=A13,(Schedule!K:K=""S1"")+(Schedule!K:K=""""))}),unique({filter(Schedule!P:P,Schedule!L:L=A13,(Schedule!K:K=""S1"")+(Schedul"&amp;"e!K:K=""""));filter(Schedule!S:S,Schedule!L:L=A13,(Schedule!K:K=""S1"")+(Schedule!K:K=""""));filter(Schedule!V:V,Schedule!L:L=A13,(Schedule!K:K=""S1"")+(Schedule!K:K=""""));filter(Schedule!Y:Y,Schedule!L:L=A13,(Schedule!K:K=""S1"")+(Schedule!K:K=""""));fi"&amp;"lter(Schedule!AB:AB,Schedule!L:L=A13,(Schedule!K:K=""S1"")+(Schedule!K:K=""""));filter(Schedule!AE:AE,Schedule!L:L=A13,(Schedule!K:K=""S1"")+(Schedule!K:K=""""));filter(Schedule!AH:AH,Schedule!L:L=A13,(Schedule!K:K=""S1"")+(Schedule!K:K=""""));filter(Sche"&amp;"dule!AK:AK,Schedule!L:L=A13,(Schedule!K:K=""S1"")+(Schedule!K:K=""""))})&lt;&gt;"""")))"),3.0)</f>
        <v>3</v>
      </c>
      <c r="F13" s="300">
        <f>IFERROR(__xludf.DUMMYFUNCTION("if(A13="""","""",counta(filter(unique({filter(Schedule!P:P,Schedule!L:L=A13,(Schedule!K:K=""S2"")+(Schedule!K:K=""""));filter(Schedule!S:S,Schedule!L:L=A13,(Schedule!K:K=""S2"")+(Schedule!K:K=""""));filter(Schedule!V:V,Schedule!L:L=A13,(Schedule!K:K=""S2"&amp;""")+(Schedule!K:K=""""));filter(Schedule!Y:Y,Schedule!L:L=A13,(Schedule!K:K=""S2"")+(Schedule!K:K=""""));filter(Schedule!AB:AB,Schedule!L:L=A13,(Schedule!K:K=""S2"")+(Schedule!K:K=""""));filter(Schedule!AE:AE,Schedule!L:L=A13,(Schedule!K:K=""S2"")+(Schedu"&amp;"le!K:K=""""));filter(Schedule!AH:AH,Schedule!L:L=A13,(Schedule!K:K=""S2"")+(Schedule!K:K=""""));filter(Schedule!AK:AK,Schedule!L:L=A13,(Schedule!K:K=""S2"")+(Schedule!K:K=""""))}),unique({filter(Schedule!P:P,Schedule!L:L=A13,(Schedule!K:K=""S2"")+(Schedul"&amp;"e!K:K=""""));filter(Schedule!S:S,Schedule!L:L=A13,(Schedule!K:K=""S2"")+(Schedule!K:K=""""));filter(Schedule!V:V,Schedule!L:L=A13,(Schedule!K:K=""S2"")+(Schedule!K:K=""""));filter(Schedule!Y:Y,Schedule!L:L=A13,(Schedule!K:K=""S2"")+(Schedule!K:K=""""));fi"&amp;"lter(Schedule!AB:AB,Schedule!L:L=A13,(Schedule!K:K=""S2"")+(Schedule!K:K=""""));filter(Schedule!AE:AE,Schedule!L:L=A13,(Schedule!K:K=""S2"")+(Schedule!K:K=""""));filter(Schedule!AH:AH,Schedule!L:L=A13,(Schedule!K:K=""S2"")+(Schedule!K:K=""""));filter(Sche"&amp;"dule!AK:AK,Schedule!L:L=A13,(Schedule!K:K=""S2"")+(Schedule!K:K=""""))})&lt;&gt;"""")))"),3.0)</f>
        <v>3</v>
      </c>
      <c r="H13" t="str">
        <f>IFERROR(__xludf.DUMMYFUNCTION("""COMPUTED_VALUE"""),"Nick Schmalz")</f>
        <v>Nick Schmalz</v>
      </c>
      <c r="I13" s="299">
        <f>IFERROR(__xludf.DUMMYFUNCTION("""COMPUTED_VALUE"""),109.0)</f>
        <v>109</v>
      </c>
      <c r="J13" s="299">
        <f>IFERROR(__xludf.DUMMYFUNCTION("""COMPUTED_VALUE"""),109.0)</f>
        <v>109</v>
      </c>
      <c r="K13" s="299">
        <f>IFERROR(__xludf.DUMMYFUNCTION("""COMPUTED_VALUE"""),109.0)</f>
        <v>109</v>
      </c>
      <c r="L13" s="3">
        <f>IFERROR(__xludf.DUMMYFUNCTION("""COMPUTED_VALUE"""),2.0)</f>
        <v>2</v>
      </c>
      <c r="M13" s="3">
        <f>IFERROR(__xludf.DUMMYFUNCTION("""COMPUTED_VALUE"""),2.0)</f>
        <v>2</v>
      </c>
      <c r="N13" s="3"/>
    </row>
    <row r="14">
      <c r="A14" t="s">
        <v>113</v>
      </c>
      <c r="B14" s="300">
        <v>125.0</v>
      </c>
      <c r="C14" s="300">
        <v>125.0</v>
      </c>
      <c r="D14" s="300">
        <v>125.0</v>
      </c>
      <c r="E14" s="300">
        <f>IFERROR(__xludf.DUMMYFUNCTION("if(A14="""","""",counta(filter(unique({filter(Schedule!P:P,Schedule!L:L=A14,(Schedule!K:K=""S1"")+(Schedule!K:K=""""));filter(Schedule!S:S,Schedule!L:L=A14,(Schedule!K:K=""S1"")+(Schedule!K:K=""""));filter(Schedule!V:V,Schedule!L:L=A14,(Schedule!K:K=""S1"&amp;""")+(Schedule!K:K=""""));filter(Schedule!Y:Y,Schedule!L:L=A14,(Schedule!K:K=""S1"")+(Schedule!K:K=""""));filter(Schedule!AB:AB,Schedule!L:L=A14,(Schedule!K:K=""S1"")+(Schedule!K:K=""""));filter(Schedule!AE:AE,Schedule!L:L=A14,(Schedule!K:K=""S1"")+(Schedu"&amp;"le!K:K=""""));filter(Schedule!AH:AH,Schedule!L:L=A14,(Schedule!K:K=""S1"")+(Schedule!K:K=""""));filter(Schedule!AK:AK,Schedule!L:L=A14,(Schedule!K:K=""S1"")+(Schedule!K:K=""""))}),unique({filter(Schedule!P:P,Schedule!L:L=A14,(Schedule!K:K=""S1"")+(Schedul"&amp;"e!K:K=""""));filter(Schedule!S:S,Schedule!L:L=A14,(Schedule!K:K=""S1"")+(Schedule!K:K=""""));filter(Schedule!V:V,Schedule!L:L=A14,(Schedule!K:K=""S1"")+(Schedule!K:K=""""));filter(Schedule!Y:Y,Schedule!L:L=A14,(Schedule!K:K=""S1"")+(Schedule!K:K=""""));fi"&amp;"lter(Schedule!AB:AB,Schedule!L:L=A14,(Schedule!K:K=""S1"")+(Schedule!K:K=""""));filter(Schedule!AE:AE,Schedule!L:L=A14,(Schedule!K:K=""S1"")+(Schedule!K:K=""""));filter(Schedule!AH:AH,Schedule!L:L=A14,(Schedule!K:K=""S1"")+(Schedule!K:K=""""));filter(Sche"&amp;"dule!AK:AK,Schedule!L:L=A14,(Schedule!K:K=""S1"")+(Schedule!K:K=""""))})&lt;&gt;"""")))"),2.0)</f>
        <v>2</v>
      </c>
      <c r="F14" s="300">
        <f>IFERROR(__xludf.DUMMYFUNCTION("if(A14="""","""",counta(filter(unique({filter(Schedule!P:P,Schedule!L:L=A14,(Schedule!K:K=""S2"")+(Schedule!K:K=""""));filter(Schedule!S:S,Schedule!L:L=A14,(Schedule!K:K=""S2"")+(Schedule!K:K=""""));filter(Schedule!V:V,Schedule!L:L=A14,(Schedule!K:K=""S2"&amp;""")+(Schedule!K:K=""""));filter(Schedule!Y:Y,Schedule!L:L=A14,(Schedule!K:K=""S2"")+(Schedule!K:K=""""));filter(Schedule!AB:AB,Schedule!L:L=A14,(Schedule!K:K=""S2"")+(Schedule!K:K=""""));filter(Schedule!AE:AE,Schedule!L:L=A14,(Schedule!K:K=""S2"")+(Schedu"&amp;"le!K:K=""""));filter(Schedule!AH:AH,Schedule!L:L=A14,(Schedule!K:K=""S2"")+(Schedule!K:K=""""));filter(Schedule!AK:AK,Schedule!L:L=A14,(Schedule!K:K=""S2"")+(Schedule!K:K=""""))}),unique({filter(Schedule!P:P,Schedule!L:L=A14,(Schedule!K:K=""S2"")+(Schedul"&amp;"e!K:K=""""));filter(Schedule!S:S,Schedule!L:L=A14,(Schedule!K:K=""S2"")+(Schedule!K:K=""""));filter(Schedule!V:V,Schedule!L:L=A14,(Schedule!K:K=""S2"")+(Schedule!K:K=""""));filter(Schedule!Y:Y,Schedule!L:L=A14,(Schedule!K:K=""S2"")+(Schedule!K:K=""""));fi"&amp;"lter(Schedule!AB:AB,Schedule!L:L=A14,(Schedule!K:K=""S2"")+(Schedule!K:K=""""));filter(Schedule!AE:AE,Schedule!L:L=A14,(Schedule!K:K=""S2"")+(Schedule!K:K=""""));filter(Schedule!AH:AH,Schedule!L:L=A14,(Schedule!K:K=""S2"")+(Schedule!K:K=""""));filter(Sche"&amp;"dule!AK:AK,Schedule!L:L=A14,(Schedule!K:K=""S2"")+(Schedule!K:K=""""))})&lt;&gt;"""")))"),2.0)</f>
        <v>2</v>
      </c>
      <c r="H14" t="str">
        <f>IFERROR(__xludf.DUMMYFUNCTION("""COMPUTED_VALUE"""),"David Murphy")</f>
        <v>David Murphy</v>
      </c>
      <c r="I14" s="3">
        <f>IFERROR(__xludf.DUMMYFUNCTION("""COMPUTED_VALUE"""),108.0)</f>
        <v>108</v>
      </c>
      <c r="J14" s="3">
        <f>IFERROR(__xludf.DUMMYFUNCTION("""COMPUTED_VALUE"""),108.0)</f>
        <v>108</v>
      </c>
      <c r="K14" s="3">
        <f>IFERROR(__xludf.DUMMYFUNCTION("""COMPUTED_VALUE"""),108.0)</f>
        <v>108</v>
      </c>
      <c r="L14" s="3">
        <f>IFERROR(__xludf.DUMMYFUNCTION("""COMPUTED_VALUE"""),2.0)</f>
        <v>2</v>
      </c>
      <c r="M14" s="3">
        <f>IFERROR(__xludf.DUMMYFUNCTION("""COMPUTED_VALUE"""),2.0)</f>
        <v>2</v>
      </c>
      <c r="N14" s="3"/>
    </row>
    <row r="15">
      <c r="A15" t="s">
        <v>99</v>
      </c>
      <c r="B15" s="300">
        <v>108.0</v>
      </c>
      <c r="C15" s="300">
        <v>108.0</v>
      </c>
      <c r="D15" s="300">
        <v>108.0</v>
      </c>
      <c r="E15" s="300">
        <f>IFERROR(__xludf.DUMMYFUNCTION("if(A15="""","""",counta(filter(unique({filter(Schedule!P:P,Schedule!L:L=A15,(Schedule!K:K=""S1"")+(Schedule!K:K=""""));filter(Schedule!S:S,Schedule!L:L=A15,(Schedule!K:K=""S1"")+(Schedule!K:K=""""));filter(Schedule!V:V,Schedule!L:L=A15,(Schedule!K:K=""S1"&amp;""")+(Schedule!K:K=""""));filter(Schedule!Y:Y,Schedule!L:L=A15,(Schedule!K:K=""S1"")+(Schedule!K:K=""""));filter(Schedule!AB:AB,Schedule!L:L=A15,(Schedule!K:K=""S1"")+(Schedule!K:K=""""));filter(Schedule!AE:AE,Schedule!L:L=A15,(Schedule!K:K=""S1"")+(Schedu"&amp;"le!K:K=""""));filter(Schedule!AH:AH,Schedule!L:L=A15,(Schedule!K:K=""S1"")+(Schedule!K:K=""""));filter(Schedule!AK:AK,Schedule!L:L=A15,(Schedule!K:K=""S1"")+(Schedule!K:K=""""))}),unique({filter(Schedule!P:P,Schedule!L:L=A15,(Schedule!K:K=""S1"")+(Schedul"&amp;"e!K:K=""""));filter(Schedule!S:S,Schedule!L:L=A15,(Schedule!K:K=""S1"")+(Schedule!K:K=""""));filter(Schedule!V:V,Schedule!L:L=A15,(Schedule!K:K=""S1"")+(Schedule!K:K=""""));filter(Schedule!Y:Y,Schedule!L:L=A15,(Schedule!K:K=""S1"")+(Schedule!K:K=""""));fi"&amp;"lter(Schedule!AB:AB,Schedule!L:L=A15,(Schedule!K:K=""S1"")+(Schedule!K:K=""""));filter(Schedule!AE:AE,Schedule!L:L=A15,(Schedule!K:K=""S1"")+(Schedule!K:K=""""));filter(Schedule!AH:AH,Schedule!L:L=A15,(Schedule!K:K=""S1"")+(Schedule!K:K=""""));filter(Sche"&amp;"dule!AK:AK,Schedule!L:L=A15,(Schedule!K:K=""S1"")+(Schedule!K:K=""""))})&lt;&gt;"""")))"),2.0)</f>
        <v>2</v>
      </c>
      <c r="F15" s="300">
        <f>IFERROR(__xludf.DUMMYFUNCTION("if(A15="""","""",counta(filter(unique({filter(Schedule!P:P,Schedule!L:L=A15,(Schedule!K:K=""S2"")+(Schedule!K:K=""""));filter(Schedule!S:S,Schedule!L:L=A15,(Schedule!K:K=""S2"")+(Schedule!K:K=""""));filter(Schedule!V:V,Schedule!L:L=A15,(Schedule!K:K=""S2"&amp;""")+(Schedule!K:K=""""));filter(Schedule!Y:Y,Schedule!L:L=A15,(Schedule!K:K=""S2"")+(Schedule!K:K=""""));filter(Schedule!AB:AB,Schedule!L:L=A15,(Schedule!K:K=""S2"")+(Schedule!K:K=""""));filter(Schedule!AE:AE,Schedule!L:L=A15,(Schedule!K:K=""S2"")+(Schedu"&amp;"le!K:K=""""));filter(Schedule!AH:AH,Schedule!L:L=A15,(Schedule!K:K=""S2"")+(Schedule!K:K=""""));filter(Schedule!AK:AK,Schedule!L:L=A15,(Schedule!K:K=""S2"")+(Schedule!K:K=""""))}),unique({filter(Schedule!P:P,Schedule!L:L=A15,(Schedule!K:K=""S2"")+(Schedul"&amp;"e!K:K=""""));filter(Schedule!S:S,Schedule!L:L=A15,(Schedule!K:K=""S2"")+(Schedule!K:K=""""));filter(Schedule!V:V,Schedule!L:L=A15,(Schedule!K:K=""S2"")+(Schedule!K:K=""""));filter(Schedule!Y:Y,Schedule!L:L=A15,(Schedule!K:K=""S2"")+(Schedule!K:K=""""));fi"&amp;"lter(Schedule!AB:AB,Schedule!L:L=A15,(Schedule!K:K=""S2"")+(Schedule!K:K=""""));filter(Schedule!AE:AE,Schedule!L:L=A15,(Schedule!K:K=""S2"")+(Schedule!K:K=""""));filter(Schedule!AH:AH,Schedule!L:L=A15,(Schedule!K:K=""S2"")+(Schedule!K:K=""""));filter(Sche"&amp;"dule!AK:AK,Schedule!L:L=A15,(Schedule!K:K=""S2"")+(Schedule!K:K=""""))})&lt;&gt;"""")))"),2.0)</f>
        <v>2</v>
      </c>
      <c r="H15" t="str">
        <f>IFERROR(__xludf.DUMMYFUNCTION("""COMPUTED_VALUE"""),"Sandro Berrio")</f>
        <v>Sandro Berrio</v>
      </c>
      <c r="I15" s="3">
        <f>IFERROR(__xludf.DUMMYFUNCTION("""COMPUTED_VALUE"""),105.0)</f>
        <v>105</v>
      </c>
      <c r="J15" s="3">
        <f>IFERROR(__xludf.DUMMYFUNCTION("""COMPUTED_VALUE"""),105.0)</f>
        <v>105</v>
      </c>
      <c r="K15" s="3">
        <f>IFERROR(__xludf.DUMMYFUNCTION("""COMPUTED_VALUE"""),105.0)</f>
        <v>105</v>
      </c>
      <c r="L15" s="3">
        <f>IFERROR(__xludf.DUMMYFUNCTION("""COMPUTED_VALUE"""),1.0)</f>
        <v>1</v>
      </c>
      <c r="M15" s="3">
        <f>IFERROR(__xludf.DUMMYFUNCTION("""COMPUTED_VALUE"""),1.0)</f>
        <v>1</v>
      </c>
      <c r="N15" s="3"/>
    </row>
    <row r="16">
      <c r="A16" t="s">
        <v>125</v>
      </c>
      <c r="B16" s="300">
        <v>23.0</v>
      </c>
      <c r="C16" s="300">
        <v>23.0</v>
      </c>
      <c r="D16" s="300">
        <v>23.0</v>
      </c>
      <c r="E16" s="300">
        <f>IFERROR(__xludf.DUMMYFUNCTION("if(A16="""","""",counta(filter(unique({filter(Schedule!P:P,Schedule!L:L=A16,(Schedule!K:K=""S1"")+(Schedule!K:K=""""));filter(Schedule!S:S,Schedule!L:L=A16,(Schedule!K:K=""S1"")+(Schedule!K:K=""""));filter(Schedule!V:V,Schedule!L:L=A16,(Schedule!K:K=""S1"&amp;""")+(Schedule!K:K=""""));filter(Schedule!Y:Y,Schedule!L:L=A16,(Schedule!K:K=""S1"")+(Schedule!K:K=""""));filter(Schedule!AB:AB,Schedule!L:L=A16,(Schedule!K:K=""S1"")+(Schedule!K:K=""""));filter(Schedule!AE:AE,Schedule!L:L=A16,(Schedule!K:K=""S1"")+(Schedu"&amp;"le!K:K=""""));filter(Schedule!AH:AH,Schedule!L:L=A16,(Schedule!K:K=""S1"")+(Schedule!K:K=""""));filter(Schedule!AK:AK,Schedule!L:L=A16,(Schedule!K:K=""S1"")+(Schedule!K:K=""""))}),unique({filter(Schedule!P:P,Schedule!L:L=A16,(Schedule!K:K=""S1"")+(Schedul"&amp;"e!K:K=""""));filter(Schedule!S:S,Schedule!L:L=A16,(Schedule!K:K=""S1"")+(Schedule!K:K=""""));filter(Schedule!V:V,Schedule!L:L=A16,(Schedule!K:K=""S1"")+(Schedule!K:K=""""));filter(Schedule!Y:Y,Schedule!L:L=A16,(Schedule!K:K=""S1"")+(Schedule!K:K=""""));fi"&amp;"lter(Schedule!AB:AB,Schedule!L:L=A16,(Schedule!K:K=""S1"")+(Schedule!K:K=""""));filter(Schedule!AE:AE,Schedule!L:L=A16,(Schedule!K:K=""S1"")+(Schedule!K:K=""""));filter(Schedule!AH:AH,Schedule!L:L=A16,(Schedule!K:K=""S1"")+(Schedule!K:K=""""));filter(Sche"&amp;"dule!AK:AK,Schedule!L:L=A16,(Schedule!K:K=""S1"")+(Schedule!K:K=""""))})&lt;&gt;"""")))"),1.0)</f>
        <v>1</v>
      </c>
      <c r="F16" s="300">
        <f>IFERROR(__xludf.DUMMYFUNCTION("if(A16="""","""",counta(filter(unique({filter(Schedule!P:P,Schedule!L:L=A16,(Schedule!K:K=""S2"")+(Schedule!K:K=""""));filter(Schedule!S:S,Schedule!L:L=A16,(Schedule!K:K=""S2"")+(Schedule!K:K=""""));filter(Schedule!V:V,Schedule!L:L=A16,(Schedule!K:K=""S2"&amp;""")+(Schedule!K:K=""""));filter(Schedule!Y:Y,Schedule!L:L=A16,(Schedule!K:K=""S2"")+(Schedule!K:K=""""));filter(Schedule!AB:AB,Schedule!L:L=A16,(Schedule!K:K=""S2"")+(Schedule!K:K=""""));filter(Schedule!AE:AE,Schedule!L:L=A16,(Schedule!K:K=""S2"")+(Schedu"&amp;"le!K:K=""""));filter(Schedule!AH:AH,Schedule!L:L=A16,(Schedule!K:K=""S2"")+(Schedule!K:K=""""));filter(Schedule!AK:AK,Schedule!L:L=A16,(Schedule!K:K=""S2"")+(Schedule!K:K=""""))}),unique({filter(Schedule!P:P,Schedule!L:L=A16,(Schedule!K:K=""S2"")+(Schedul"&amp;"e!K:K=""""));filter(Schedule!S:S,Schedule!L:L=A16,(Schedule!K:K=""S2"")+(Schedule!K:K=""""));filter(Schedule!V:V,Schedule!L:L=A16,(Schedule!K:K=""S2"")+(Schedule!K:K=""""));filter(Schedule!Y:Y,Schedule!L:L=A16,(Schedule!K:K=""S2"")+(Schedule!K:K=""""));fi"&amp;"lter(Schedule!AB:AB,Schedule!L:L=A16,(Schedule!K:K=""S2"")+(Schedule!K:K=""""));filter(Schedule!AE:AE,Schedule!L:L=A16,(Schedule!K:K=""S2"")+(Schedule!K:K=""""));filter(Schedule!AH:AH,Schedule!L:L=A16,(Schedule!K:K=""S2"")+(Schedule!K:K=""""));filter(Sche"&amp;"dule!AK:AK,Schedule!L:L=A16,(Schedule!K:K=""S2"")+(Schedule!K:K=""""))})&lt;&gt;"""")))"),1.0)</f>
        <v>1</v>
      </c>
      <c r="H16" t="str">
        <f>IFERROR(__xludf.DUMMYFUNCTION("""COMPUTED_VALUE"""),"Alyssa Jodoin")</f>
        <v>Alyssa Jodoin</v>
      </c>
      <c r="I16" s="3">
        <f>IFERROR(__xludf.DUMMYFUNCTION("""COMPUTED_VALUE"""),103.0)</f>
        <v>103</v>
      </c>
      <c r="J16" s="3">
        <f>IFERROR(__xludf.DUMMYFUNCTION("""COMPUTED_VALUE"""),103.0)</f>
        <v>103</v>
      </c>
      <c r="K16" s="3">
        <f>IFERROR(__xludf.DUMMYFUNCTION("""COMPUTED_VALUE"""),103.0)</f>
        <v>103</v>
      </c>
      <c r="L16" s="3">
        <f>IFERROR(__xludf.DUMMYFUNCTION("""COMPUTED_VALUE"""),3.0)</f>
        <v>3</v>
      </c>
      <c r="M16" s="3">
        <f>IFERROR(__xludf.DUMMYFUNCTION("""COMPUTED_VALUE"""),3.0)</f>
        <v>3</v>
      </c>
      <c r="N16" s="3"/>
    </row>
    <row r="17">
      <c r="A17" t="s">
        <v>52</v>
      </c>
      <c r="B17" s="300">
        <v>111.0</v>
      </c>
      <c r="C17" s="300">
        <v>111.0</v>
      </c>
      <c r="D17" s="300">
        <v>111.0</v>
      </c>
      <c r="E17" s="300">
        <f>IFERROR(__xludf.DUMMYFUNCTION("if(A17="""","""",counta(filter(unique({filter(Schedule!P:P,Schedule!L:L=A17,(Schedule!K:K=""S1"")+(Schedule!K:K=""""));filter(Schedule!S:S,Schedule!L:L=A17,(Schedule!K:K=""S1"")+(Schedule!K:K=""""));filter(Schedule!V:V,Schedule!L:L=A17,(Schedule!K:K=""S1"&amp;""")+(Schedule!K:K=""""));filter(Schedule!Y:Y,Schedule!L:L=A17,(Schedule!K:K=""S1"")+(Schedule!K:K=""""));filter(Schedule!AB:AB,Schedule!L:L=A17,(Schedule!K:K=""S1"")+(Schedule!K:K=""""));filter(Schedule!AE:AE,Schedule!L:L=A17,(Schedule!K:K=""S1"")+(Schedu"&amp;"le!K:K=""""));filter(Schedule!AH:AH,Schedule!L:L=A17,(Schedule!K:K=""S1"")+(Schedule!K:K=""""));filter(Schedule!AK:AK,Schedule!L:L=A17,(Schedule!K:K=""S1"")+(Schedule!K:K=""""))}),unique({filter(Schedule!P:P,Schedule!L:L=A17,(Schedule!K:K=""S1"")+(Schedul"&amp;"e!K:K=""""));filter(Schedule!S:S,Schedule!L:L=A17,(Schedule!K:K=""S1"")+(Schedule!K:K=""""));filter(Schedule!V:V,Schedule!L:L=A17,(Schedule!K:K=""S1"")+(Schedule!K:K=""""));filter(Schedule!Y:Y,Schedule!L:L=A17,(Schedule!K:K=""S1"")+(Schedule!K:K=""""));fi"&amp;"lter(Schedule!AB:AB,Schedule!L:L=A17,(Schedule!K:K=""S1"")+(Schedule!K:K=""""));filter(Schedule!AE:AE,Schedule!L:L=A17,(Schedule!K:K=""S1"")+(Schedule!K:K=""""));filter(Schedule!AH:AH,Schedule!L:L=A17,(Schedule!K:K=""S1"")+(Schedule!K:K=""""));filter(Sche"&amp;"dule!AK:AK,Schedule!L:L=A17,(Schedule!K:K=""S1"")+(Schedule!K:K=""""))})&lt;&gt;"""")))"),2.0)</f>
        <v>2</v>
      </c>
      <c r="F17" s="300">
        <f>IFERROR(__xludf.DUMMYFUNCTION("if(A17="""","""",counta(filter(unique({filter(Schedule!P:P,Schedule!L:L=A17,(Schedule!K:K=""S2"")+(Schedule!K:K=""""));filter(Schedule!S:S,Schedule!L:L=A17,(Schedule!K:K=""S2"")+(Schedule!K:K=""""));filter(Schedule!V:V,Schedule!L:L=A17,(Schedule!K:K=""S2"&amp;""")+(Schedule!K:K=""""));filter(Schedule!Y:Y,Schedule!L:L=A17,(Schedule!K:K=""S2"")+(Schedule!K:K=""""));filter(Schedule!AB:AB,Schedule!L:L=A17,(Schedule!K:K=""S2"")+(Schedule!K:K=""""));filter(Schedule!AE:AE,Schedule!L:L=A17,(Schedule!K:K=""S2"")+(Schedu"&amp;"le!K:K=""""));filter(Schedule!AH:AH,Schedule!L:L=A17,(Schedule!K:K=""S2"")+(Schedule!K:K=""""));filter(Schedule!AK:AK,Schedule!L:L=A17,(Schedule!K:K=""S2"")+(Schedule!K:K=""""))}),unique({filter(Schedule!P:P,Schedule!L:L=A17,(Schedule!K:K=""S2"")+(Schedul"&amp;"e!K:K=""""));filter(Schedule!S:S,Schedule!L:L=A17,(Schedule!K:K=""S2"")+(Schedule!K:K=""""));filter(Schedule!V:V,Schedule!L:L=A17,(Schedule!K:K=""S2"")+(Schedule!K:K=""""));filter(Schedule!Y:Y,Schedule!L:L=A17,(Schedule!K:K=""S2"")+(Schedule!K:K=""""));fi"&amp;"lter(Schedule!AB:AB,Schedule!L:L=A17,(Schedule!K:K=""S2"")+(Schedule!K:K=""""));filter(Schedule!AE:AE,Schedule!L:L=A17,(Schedule!K:K=""S2"")+(Schedule!K:K=""""));filter(Schedule!AH:AH,Schedule!L:L=A17,(Schedule!K:K=""S2"")+(Schedule!K:K=""""));filter(Sche"&amp;"dule!AK:AK,Schedule!L:L=A17,(Schedule!K:K=""S2"")+(Schedule!K:K=""""))})&lt;&gt;"""")))"),2.0)</f>
        <v>2</v>
      </c>
      <c r="H17" t="str">
        <f>IFERROR(__xludf.DUMMYFUNCTION("""COMPUTED_VALUE"""),"Tamir Mickens")</f>
        <v>Tamir Mickens</v>
      </c>
      <c r="I17" s="3">
        <f>IFERROR(__xludf.DUMMYFUNCTION("""COMPUTED_VALUE"""),102.0)</f>
        <v>102</v>
      </c>
      <c r="J17" s="3">
        <f>IFERROR(__xludf.DUMMYFUNCTION("""COMPUTED_VALUE"""),102.0)</f>
        <v>102</v>
      </c>
      <c r="K17" s="3">
        <f>IFERROR(__xludf.DUMMYFUNCTION("""COMPUTED_VALUE"""),102.0)</f>
        <v>102</v>
      </c>
      <c r="L17" s="3">
        <f>IFERROR(__xludf.DUMMYFUNCTION("""COMPUTED_VALUE"""),2.0)</f>
        <v>2</v>
      </c>
      <c r="M17" s="3">
        <f>IFERROR(__xludf.DUMMYFUNCTION("""COMPUTED_VALUE"""),2.0)</f>
        <v>2</v>
      </c>
      <c r="N17" s="3"/>
    </row>
    <row r="18">
      <c r="A18" t="s">
        <v>110</v>
      </c>
      <c r="B18" s="300">
        <v>99.0</v>
      </c>
      <c r="C18" s="300">
        <v>99.0</v>
      </c>
      <c r="D18" s="300">
        <v>99.0</v>
      </c>
      <c r="E18" s="300">
        <f>IFERROR(__xludf.DUMMYFUNCTION("if(A18="""","""",counta(filter(unique({filter(Schedule!P:P,Schedule!L:L=A18,(Schedule!K:K=""S1"")+(Schedule!K:K=""""));filter(Schedule!S:S,Schedule!L:L=A18,(Schedule!K:K=""S1"")+(Schedule!K:K=""""));filter(Schedule!V:V,Schedule!L:L=A18,(Schedule!K:K=""S1"&amp;""")+(Schedule!K:K=""""));filter(Schedule!Y:Y,Schedule!L:L=A18,(Schedule!K:K=""S1"")+(Schedule!K:K=""""));filter(Schedule!AB:AB,Schedule!L:L=A18,(Schedule!K:K=""S1"")+(Schedule!K:K=""""));filter(Schedule!AE:AE,Schedule!L:L=A18,(Schedule!K:K=""S1"")+(Schedu"&amp;"le!K:K=""""));filter(Schedule!AH:AH,Schedule!L:L=A18,(Schedule!K:K=""S1"")+(Schedule!K:K=""""));filter(Schedule!AK:AK,Schedule!L:L=A18,(Schedule!K:K=""S1"")+(Schedule!K:K=""""))}),unique({filter(Schedule!P:P,Schedule!L:L=A18,(Schedule!K:K=""S1"")+(Schedul"&amp;"e!K:K=""""));filter(Schedule!S:S,Schedule!L:L=A18,(Schedule!K:K=""S1"")+(Schedule!K:K=""""));filter(Schedule!V:V,Schedule!L:L=A18,(Schedule!K:K=""S1"")+(Schedule!K:K=""""));filter(Schedule!Y:Y,Schedule!L:L=A18,(Schedule!K:K=""S1"")+(Schedule!K:K=""""));fi"&amp;"lter(Schedule!AB:AB,Schedule!L:L=A18,(Schedule!K:K=""S1"")+(Schedule!K:K=""""));filter(Schedule!AE:AE,Schedule!L:L=A18,(Schedule!K:K=""S1"")+(Schedule!K:K=""""));filter(Schedule!AH:AH,Schedule!L:L=A18,(Schedule!K:K=""S1"")+(Schedule!K:K=""""));filter(Sche"&amp;"dule!AK:AK,Schedule!L:L=A18,(Schedule!K:K=""S1"")+(Schedule!K:K=""""))})&lt;&gt;"""")))"),2.0)</f>
        <v>2</v>
      </c>
      <c r="F18" s="300">
        <f>IFERROR(__xludf.DUMMYFUNCTION("if(A18="""","""",counta(filter(unique({filter(Schedule!P:P,Schedule!L:L=A18,(Schedule!K:K=""S2"")+(Schedule!K:K=""""));filter(Schedule!S:S,Schedule!L:L=A18,(Schedule!K:K=""S2"")+(Schedule!K:K=""""));filter(Schedule!V:V,Schedule!L:L=A18,(Schedule!K:K=""S2"&amp;""")+(Schedule!K:K=""""));filter(Schedule!Y:Y,Schedule!L:L=A18,(Schedule!K:K=""S2"")+(Schedule!K:K=""""));filter(Schedule!AB:AB,Schedule!L:L=A18,(Schedule!K:K=""S2"")+(Schedule!K:K=""""));filter(Schedule!AE:AE,Schedule!L:L=A18,(Schedule!K:K=""S2"")+(Schedu"&amp;"le!K:K=""""));filter(Schedule!AH:AH,Schedule!L:L=A18,(Schedule!K:K=""S2"")+(Schedule!K:K=""""));filter(Schedule!AK:AK,Schedule!L:L=A18,(Schedule!K:K=""S2"")+(Schedule!K:K=""""))}),unique({filter(Schedule!P:P,Schedule!L:L=A18,(Schedule!K:K=""S2"")+(Schedul"&amp;"e!K:K=""""));filter(Schedule!S:S,Schedule!L:L=A18,(Schedule!K:K=""S2"")+(Schedule!K:K=""""));filter(Schedule!V:V,Schedule!L:L=A18,(Schedule!K:K=""S2"")+(Schedule!K:K=""""));filter(Schedule!Y:Y,Schedule!L:L=A18,(Schedule!K:K=""S2"")+(Schedule!K:K=""""));fi"&amp;"lter(Schedule!AB:AB,Schedule!L:L=A18,(Schedule!K:K=""S2"")+(Schedule!K:K=""""));filter(Schedule!AE:AE,Schedule!L:L=A18,(Schedule!K:K=""S2"")+(Schedule!K:K=""""));filter(Schedule!AH:AH,Schedule!L:L=A18,(Schedule!K:K=""S2"")+(Schedule!K:K=""""));filter(Sche"&amp;"dule!AK:AK,Schedule!L:L=A18,(Schedule!K:K=""S2"")+(Schedule!K:K=""""))})&lt;&gt;"""")))"),2.0)</f>
        <v>2</v>
      </c>
      <c r="H18" t="str">
        <f>IFERROR(__xludf.DUMMYFUNCTION("""COMPUTED_VALUE"""),"Bill Beauchamp")</f>
        <v>Bill Beauchamp</v>
      </c>
      <c r="I18" s="3">
        <f>IFERROR(__xludf.DUMMYFUNCTION("""COMPUTED_VALUE"""),101.0)</f>
        <v>101</v>
      </c>
      <c r="J18" s="3">
        <f>IFERROR(__xludf.DUMMYFUNCTION("""COMPUTED_VALUE"""),101.0)</f>
        <v>101</v>
      </c>
      <c r="K18" s="3">
        <f>IFERROR(__xludf.DUMMYFUNCTION("""COMPUTED_VALUE"""),101.0)</f>
        <v>101</v>
      </c>
      <c r="L18" s="299">
        <f>IFERROR(__xludf.DUMMYFUNCTION("""COMPUTED_VALUE"""),3.0)</f>
        <v>3</v>
      </c>
      <c r="M18" s="3">
        <f>IFERROR(__xludf.DUMMYFUNCTION("""COMPUTED_VALUE"""),3.0)</f>
        <v>3</v>
      </c>
      <c r="N18" s="3"/>
    </row>
    <row r="19">
      <c r="A19" t="s">
        <v>33</v>
      </c>
      <c r="B19" s="300">
        <v>139.0</v>
      </c>
      <c r="C19" s="300">
        <v>139.0</v>
      </c>
      <c r="D19" s="300">
        <v>139.0</v>
      </c>
      <c r="E19" s="300">
        <f>IFERROR(__xludf.DUMMYFUNCTION("if(A19="""","""",counta(filter(unique({filter(Schedule!P:P,Schedule!L:L=A19,(Schedule!K:K=""S1"")+(Schedule!K:K=""""));filter(Schedule!S:S,Schedule!L:L=A19,(Schedule!K:K=""S1"")+(Schedule!K:K=""""));filter(Schedule!V:V,Schedule!L:L=A19,(Schedule!K:K=""S1"&amp;""")+(Schedule!K:K=""""));filter(Schedule!Y:Y,Schedule!L:L=A19,(Schedule!K:K=""S1"")+(Schedule!K:K=""""));filter(Schedule!AB:AB,Schedule!L:L=A19,(Schedule!K:K=""S1"")+(Schedule!K:K=""""));filter(Schedule!AE:AE,Schedule!L:L=A19,(Schedule!K:K=""S1"")+(Schedu"&amp;"le!K:K=""""));filter(Schedule!AH:AH,Schedule!L:L=A19,(Schedule!K:K=""S1"")+(Schedule!K:K=""""));filter(Schedule!AK:AK,Schedule!L:L=A19,(Schedule!K:K=""S1"")+(Schedule!K:K=""""))}),unique({filter(Schedule!P:P,Schedule!L:L=A19,(Schedule!K:K=""S1"")+(Schedul"&amp;"e!K:K=""""));filter(Schedule!S:S,Schedule!L:L=A19,(Schedule!K:K=""S1"")+(Schedule!K:K=""""));filter(Schedule!V:V,Schedule!L:L=A19,(Schedule!K:K=""S1"")+(Schedule!K:K=""""));filter(Schedule!Y:Y,Schedule!L:L=A19,(Schedule!K:K=""S1"")+(Schedule!K:K=""""));fi"&amp;"lter(Schedule!AB:AB,Schedule!L:L=A19,(Schedule!K:K=""S1"")+(Schedule!K:K=""""));filter(Schedule!AE:AE,Schedule!L:L=A19,(Schedule!K:K=""S1"")+(Schedule!K:K=""""));filter(Schedule!AH:AH,Schedule!L:L=A19,(Schedule!K:K=""S1"")+(Schedule!K:K=""""));filter(Sche"&amp;"dule!AK:AK,Schedule!L:L=A19,(Schedule!K:K=""S1"")+(Schedule!K:K=""""))})&lt;&gt;"""")))"),5.0)</f>
        <v>5</v>
      </c>
      <c r="F19" s="300">
        <f>IFERROR(__xludf.DUMMYFUNCTION("if(A19="""","""",counta(filter(unique({filter(Schedule!P:P,Schedule!L:L=A19,(Schedule!K:K=""S2"")+(Schedule!K:K=""""));filter(Schedule!S:S,Schedule!L:L=A19,(Schedule!K:K=""S2"")+(Schedule!K:K=""""));filter(Schedule!V:V,Schedule!L:L=A19,(Schedule!K:K=""S2"&amp;""")+(Schedule!K:K=""""));filter(Schedule!Y:Y,Schedule!L:L=A19,(Schedule!K:K=""S2"")+(Schedule!K:K=""""));filter(Schedule!AB:AB,Schedule!L:L=A19,(Schedule!K:K=""S2"")+(Schedule!K:K=""""));filter(Schedule!AE:AE,Schedule!L:L=A19,(Schedule!K:K=""S2"")+(Schedu"&amp;"le!K:K=""""));filter(Schedule!AH:AH,Schedule!L:L=A19,(Schedule!K:K=""S2"")+(Schedule!K:K=""""));filter(Schedule!AK:AK,Schedule!L:L=A19,(Schedule!K:K=""S2"")+(Schedule!K:K=""""))}),unique({filter(Schedule!P:P,Schedule!L:L=A19,(Schedule!K:K=""S2"")+(Schedul"&amp;"e!K:K=""""));filter(Schedule!S:S,Schedule!L:L=A19,(Schedule!K:K=""S2"")+(Schedule!K:K=""""));filter(Schedule!V:V,Schedule!L:L=A19,(Schedule!K:K=""S2"")+(Schedule!K:K=""""));filter(Schedule!Y:Y,Schedule!L:L=A19,(Schedule!K:K=""S2"")+(Schedule!K:K=""""));fi"&amp;"lter(Schedule!AB:AB,Schedule!L:L=A19,(Schedule!K:K=""S2"")+(Schedule!K:K=""""));filter(Schedule!AE:AE,Schedule!L:L=A19,(Schedule!K:K=""S2"")+(Schedule!K:K=""""));filter(Schedule!AH:AH,Schedule!L:L=A19,(Schedule!K:K=""S2"")+(Schedule!K:K=""""));filter(Sche"&amp;"dule!AK:AK,Schedule!L:L=A19,(Schedule!K:K=""S2"")+(Schedule!K:K=""""))})&lt;&gt;"""")))"),5.0)</f>
        <v>5</v>
      </c>
      <c r="H19" t="str">
        <f>IFERROR(__xludf.DUMMYFUNCTION("""COMPUTED_VALUE"""),"Andres Arboleda")</f>
        <v>Andres Arboleda</v>
      </c>
      <c r="I19" s="299">
        <f>IFERROR(__xludf.DUMMYFUNCTION("""COMPUTED_VALUE"""),99.0)</f>
        <v>99</v>
      </c>
      <c r="J19" s="299">
        <f>IFERROR(__xludf.DUMMYFUNCTION("""COMPUTED_VALUE"""),99.0)</f>
        <v>99</v>
      </c>
      <c r="K19" s="299">
        <f>IFERROR(__xludf.DUMMYFUNCTION("""COMPUTED_VALUE"""),99.0)</f>
        <v>99</v>
      </c>
      <c r="L19" s="299">
        <f>IFERROR(__xludf.DUMMYFUNCTION("""COMPUTED_VALUE"""),2.0)</f>
        <v>2</v>
      </c>
      <c r="M19" s="3">
        <f>IFERROR(__xludf.DUMMYFUNCTION("""COMPUTED_VALUE"""),2.0)</f>
        <v>2</v>
      </c>
      <c r="N19" s="3"/>
    </row>
    <row r="20">
      <c r="A20" t="s">
        <v>91</v>
      </c>
      <c r="B20" s="300">
        <v>85.0</v>
      </c>
      <c r="C20" s="300">
        <v>85.0</v>
      </c>
      <c r="D20" s="300">
        <v>85.0</v>
      </c>
      <c r="E20" s="300">
        <f>IFERROR(__xludf.DUMMYFUNCTION("if(A20="""","""",counta(filter(unique({filter(Schedule!P:P,Schedule!L:L=A20,(Schedule!K:K=""S1"")+(Schedule!K:K=""""));filter(Schedule!S:S,Schedule!L:L=A20,(Schedule!K:K=""S1"")+(Schedule!K:K=""""));filter(Schedule!V:V,Schedule!L:L=A20,(Schedule!K:K=""S1"&amp;""")+(Schedule!K:K=""""));filter(Schedule!Y:Y,Schedule!L:L=A20,(Schedule!K:K=""S1"")+(Schedule!K:K=""""));filter(Schedule!AB:AB,Schedule!L:L=A20,(Schedule!K:K=""S1"")+(Schedule!K:K=""""));filter(Schedule!AE:AE,Schedule!L:L=A20,(Schedule!K:K=""S1"")+(Schedu"&amp;"le!K:K=""""));filter(Schedule!AH:AH,Schedule!L:L=A20,(Schedule!K:K=""S1"")+(Schedule!K:K=""""));filter(Schedule!AK:AK,Schedule!L:L=A20,(Schedule!K:K=""S1"")+(Schedule!K:K=""""))}),unique({filter(Schedule!P:P,Schedule!L:L=A20,(Schedule!K:K=""S1"")+(Schedul"&amp;"e!K:K=""""));filter(Schedule!S:S,Schedule!L:L=A20,(Schedule!K:K=""S1"")+(Schedule!K:K=""""));filter(Schedule!V:V,Schedule!L:L=A20,(Schedule!K:K=""S1"")+(Schedule!K:K=""""));filter(Schedule!Y:Y,Schedule!L:L=A20,(Schedule!K:K=""S1"")+(Schedule!K:K=""""));fi"&amp;"lter(Schedule!AB:AB,Schedule!L:L=A20,(Schedule!K:K=""S1"")+(Schedule!K:K=""""));filter(Schedule!AE:AE,Schedule!L:L=A20,(Schedule!K:K=""S1"")+(Schedule!K:K=""""));filter(Schedule!AH:AH,Schedule!L:L=A20,(Schedule!K:K=""S1"")+(Schedule!K:K=""""));filter(Sche"&amp;"dule!AK:AK,Schedule!L:L=A20,(Schedule!K:K=""S1"")+(Schedule!K:K=""""))})&lt;&gt;"""")))"),3.0)</f>
        <v>3</v>
      </c>
      <c r="F20" s="300">
        <f>IFERROR(__xludf.DUMMYFUNCTION("if(A20="""","""",counta(filter(unique({filter(Schedule!P:P,Schedule!L:L=A20,(Schedule!K:K=""S2"")+(Schedule!K:K=""""));filter(Schedule!S:S,Schedule!L:L=A20,(Schedule!K:K=""S2"")+(Schedule!K:K=""""));filter(Schedule!V:V,Schedule!L:L=A20,(Schedule!K:K=""S2"&amp;""")+(Schedule!K:K=""""));filter(Schedule!Y:Y,Schedule!L:L=A20,(Schedule!K:K=""S2"")+(Schedule!K:K=""""));filter(Schedule!AB:AB,Schedule!L:L=A20,(Schedule!K:K=""S2"")+(Schedule!K:K=""""));filter(Schedule!AE:AE,Schedule!L:L=A20,(Schedule!K:K=""S2"")+(Schedu"&amp;"le!K:K=""""));filter(Schedule!AH:AH,Schedule!L:L=A20,(Schedule!K:K=""S2"")+(Schedule!K:K=""""));filter(Schedule!AK:AK,Schedule!L:L=A20,(Schedule!K:K=""S2"")+(Schedule!K:K=""""))}),unique({filter(Schedule!P:P,Schedule!L:L=A20,(Schedule!K:K=""S2"")+(Schedul"&amp;"e!K:K=""""));filter(Schedule!S:S,Schedule!L:L=A20,(Schedule!K:K=""S2"")+(Schedule!K:K=""""));filter(Schedule!V:V,Schedule!L:L=A20,(Schedule!K:K=""S2"")+(Schedule!K:K=""""));filter(Schedule!Y:Y,Schedule!L:L=A20,(Schedule!K:K=""S2"")+(Schedule!K:K=""""));fi"&amp;"lter(Schedule!AB:AB,Schedule!L:L=A20,(Schedule!K:K=""S2"")+(Schedule!K:K=""""));filter(Schedule!AE:AE,Schedule!L:L=A20,(Schedule!K:K=""S2"")+(Schedule!K:K=""""));filter(Schedule!AH:AH,Schedule!L:L=A20,(Schedule!K:K=""S2"")+(Schedule!K:K=""""));filter(Sche"&amp;"dule!AK:AK,Schedule!L:L=A20,(Schedule!K:K=""S2"")+(Schedule!K:K=""""))})&lt;&gt;"""")))"),3.0)</f>
        <v>3</v>
      </c>
      <c r="H20" t="str">
        <f>IFERROR(__xludf.DUMMYFUNCTION("""COMPUTED_VALUE"""),"Felipe Naranjo")</f>
        <v>Felipe Naranjo</v>
      </c>
      <c r="I20" s="299">
        <f>IFERROR(__xludf.DUMMYFUNCTION("""COMPUTED_VALUE"""),99.0)</f>
        <v>99</v>
      </c>
      <c r="J20" s="299">
        <f>IFERROR(__xludf.DUMMYFUNCTION("""COMPUTED_VALUE"""),99.0)</f>
        <v>99</v>
      </c>
      <c r="K20" s="299">
        <f>IFERROR(__xludf.DUMMYFUNCTION("""COMPUTED_VALUE"""),99.0)</f>
        <v>99</v>
      </c>
      <c r="L20" s="299">
        <f>IFERROR(__xludf.DUMMYFUNCTION("""COMPUTED_VALUE"""),2.0)</f>
        <v>2</v>
      </c>
      <c r="M20" s="3">
        <f>IFERROR(__xludf.DUMMYFUNCTION("""COMPUTED_VALUE"""),2.0)</f>
        <v>2</v>
      </c>
      <c r="N20" s="3"/>
    </row>
    <row r="21">
      <c r="A21" t="s">
        <v>39</v>
      </c>
      <c r="B21" s="300">
        <v>99.0</v>
      </c>
      <c r="C21" s="300">
        <v>99.0</v>
      </c>
      <c r="D21" s="300">
        <v>99.0</v>
      </c>
      <c r="E21" s="300">
        <f>IFERROR(__xludf.DUMMYFUNCTION("if(A21="""","""",counta(filter(unique({filter(Schedule!P:P,Schedule!L:L=A21,(Schedule!K:K=""S1"")+(Schedule!K:K=""""));filter(Schedule!S:S,Schedule!L:L=A21,(Schedule!K:K=""S1"")+(Schedule!K:K=""""));filter(Schedule!V:V,Schedule!L:L=A21,(Schedule!K:K=""S1"&amp;""")+(Schedule!K:K=""""));filter(Schedule!Y:Y,Schedule!L:L=A21,(Schedule!K:K=""S1"")+(Schedule!K:K=""""));filter(Schedule!AB:AB,Schedule!L:L=A21,(Schedule!K:K=""S1"")+(Schedule!K:K=""""));filter(Schedule!AE:AE,Schedule!L:L=A21,(Schedule!K:K=""S1"")+(Schedu"&amp;"le!K:K=""""));filter(Schedule!AH:AH,Schedule!L:L=A21,(Schedule!K:K=""S1"")+(Schedule!K:K=""""));filter(Schedule!AK:AK,Schedule!L:L=A21,(Schedule!K:K=""S1"")+(Schedule!K:K=""""))}),unique({filter(Schedule!P:P,Schedule!L:L=A21,(Schedule!K:K=""S1"")+(Schedul"&amp;"e!K:K=""""));filter(Schedule!S:S,Schedule!L:L=A21,(Schedule!K:K=""S1"")+(Schedule!K:K=""""));filter(Schedule!V:V,Schedule!L:L=A21,(Schedule!K:K=""S1"")+(Schedule!K:K=""""));filter(Schedule!Y:Y,Schedule!L:L=A21,(Schedule!K:K=""S1"")+(Schedule!K:K=""""));fi"&amp;"lter(Schedule!AB:AB,Schedule!L:L=A21,(Schedule!K:K=""S1"")+(Schedule!K:K=""""));filter(Schedule!AE:AE,Schedule!L:L=A21,(Schedule!K:K=""S1"")+(Schedule!K:K=""""));filter(Schedule!AH:AH,Schedule!L:L=A21,(Schedule!K:K=""S1"")+(Schedule!K:K=""""));filter(Sche"&amp;"dule!AK:AK,Schedule!L:L=A21,(Schedule!K:K=""S1"")+(Schedule!K:K=""""))})&lt;&gt;"""")))"),2.0)</f>
        <v>2</v>
      </c>
      <c r="F21" s="300">
        <f>IFERROR(__xludf.DUMMYFUNCTION("if(A21="""","""",counta(filter(unique({filter(Schedule!P:P,Schedule!L:L=A21,(Schedule!K:K=""S2"")+(Schedule!K:K=""""));filter(Schedule!S:S,Schedule!L:L=A21,(Schedule!K:K=""S2"")+(Schedule!K:K=""""));filter(Schedule!V:V,Schedule!L:L=A21,(Schedule!K:K=""S2"&amp;""")+(Schedule!K:K=""""));filter(Schedule!Y:Y,Schedule!L:L=A21,(Schedule!K:K=""S2"")+(Schedule!K:K=""""));filter(Schedule!AB:AB,Schedule!L:L=A21,(Schedule!K:K=""S2"")+(Schedule!K:K=""""));filter(Schedule!AE:AE,Schedule!L:L=A21,(Schedule!K:K=""S2"")+(Schedu"&amp;"le!K:K=""""));filter(Schedule!AH:AH,Schedule!L:L=A21,(Schedule!K:K=""S2"")+(Schedule!K:K=""""));filter(Schedule!AK:AK,Schedule!L:L=A21,(Schedule!K:K=""S2"")+(Schedule!K:K=""""))}),unique({filter(Schedule!P:P,Schedule!L:L=A21,(Schedule!K:K=""S2"")+(Schedul"&amp;"e!K:K=""""));filter(Schedule!S:S,Schedule!L:L=A21,(Schedule!K:K=""S2"")+(Schedule!K:K=""""));filter(Schedule!V:V,Schedule!L:L=A21,(Schedule!K:K=""S2"")+(Schedule!K:K=""""));filter(Schedule!Y:Y,Schedule!L:L=A21,(Schedule!K:K=""S2"")+(Schedule!K:K=""""));fi"&amp;"lter(Schedule!AB:AB,Schedule!L:L=A21,(Schedule!K:K=""S2"")+(Schedule!K:K=""""));filter(Schedule!AE:AE,Schedule!L:L=A21,(Schedule!K:K=""S2"")+(Schedule!K:K=""""));filter(Schedule!AH:AH,Schedule!L:L=A21,(Schedule!K:K=""S2"")+(Schedule!K:K=""""));filter(Sche"&amp;"dule!AK:AK,Schedule!L:L=A21,(Schedule!K:K=""S2"")+(Schedule!K:K=""""))})&lt;&gt;"""")))"),2.0)</f>
        <v>2</v>
      </c>
      <c r="H21" t="str">
        <f>IFERROR(__xludf.DUMMYFUNCTION("""COMPUTED_VALUE"""),"Jason Hendricks")</f>
        <v>Jason Hendricks</v>
      </c>
      <c r="I21" s="299">
        <f>IFERROR(__xludf.DUMMYFUNCTION("""COMPUTED_VALUE"""),99.0)</f>
        <v>99</v>
      </c>
      <c r="J21" s="299">
        <f>IFERROR(__xludf.DUMMYFUNCTION("""COMPUTED_VALUE"""),99.0)</f>
        <v>99</v>
      </c>
      <c r="K21" s="299">
        <f>IFERROR(__xludf.DUMMYFUNCTION("""COMPUTED_VALUE"""),99.0)</f>
        <v>99</v>
      </c>
      <c r="L21" s="299">
        <f>IFERROR(__xludf.DUMMYFUNCTION("""COMPUTED_VALUE"""),2.0)</f>
        <v>2</v>
      </c>
      <c r="M21" s="3">
        <f>IFERROR(__xludf.DUMMYFUNCTION("""COMPUTED_VALUE"""),2.0)</f>
        <v>2</v>
      </c>
      <c r="N21" s="3"/>
    </row>
    <row r="22">
      <c r="A22" t="s">
        <v>119</v>
      </c>
      <c r="B22" s="300">
        <v>80.0</v>
      </c>
      <c r="C22" s="300">
        <v>80.0</v>
      </c>
      <c r="D22" s="300">
        <v>80.0</v>
      </c>
      <c r="E22" s="300">
        <f>IFERROR(__xludf.DUMMYFUNCTION("if(A22="""","""",counta(filter(unique({filter(Schedule!P:P,Schedule!L:L=A22,(Schedule!K:K=""S1"")+(Schedule!K:K=""""));filter(Schedule!S:S,Schedule!L:L=A22,(Schedule!K:K=""S1"")+(Schedule!K:K=""""));filter(Schedule!V:V,Schedule!L:L=A22,(Schedule!K:K=""S1"&amp;""")+(Schedule!K:K=""""));filter(Schedule!Y:Y,Schedule!L:L=A22,(Schedule!K:K=""S1"")+(Schedule!K:K=""""));filter(Schedule!AB:AB,Schedule!L:L=A22,(Schedule!K:K=""S1"")+(Schedule!K:K=""""));filter(Schedule!AE:AE,Schedule!L:L=A22,(Schedule!K:K=""S1"")+(Schedu"&amp;"le!K:K=""""));filter(Schedule!AH:AH,Schedule!L:L=A22,(Schedule!K:K=""S1"")+(Schedule!K:K=""""));filter(Schedule!AK:AK,Schedule!L:L=A22,(Schedule!K:K=""S1"")+(Schedule!K:K=""""))}),unique({filter(Schedule!P:P,Schedule!L:L=A22,(Schedule!K:K=""S1"")+(Schedul"&amp;"e!K:K=""""));filter(Schedule!S:S,Schedule!L:L=A22,(Schedule!K:K=""S1"")+(Schedule!K:K=""""));filter(Schedule!V:V,Schedule!L:L=A22,(Schedule!K:K=""S1"")+(Schedule!K:K=""""));filter(Schedule!Y:Y,Schedule!L:L=A22,(Schedule!K:K=""S1"")+(Schedule!K:K=""""));fi"&amp;"lter(Schedule!AB:AB,Schedule!L:L=A22,(Schedule!K:K=""S1"")+(Schedule!K:K=""""));filter(Schedule!AE:AE,Schedule!L:L=A22,(Schedule!K:K=""S1"")+(Schedule!K:K=""""));filter(Schedule!AH:AH,Schedule!L:L=A22,(Schedule!K:K=""S1"")+(Schedule!K:K=""""));filter(Sche"&amp;"dule!AK:AK,Schedule!L:L=A22,(Schedule!K:K=""S1"")+(Schedule!K:K=""""))})&lt;&gt;"""")))"),3.0)</f>
        <v>3</v>
      </c>
      <c r="F22" s="300">
        <f>IFERROR(__xludf.DUMMYFUNCTION("if(A22="""","""",counta(filter(unique({filter(Schedule!P:P,Schedule!L:L=A22,(Schedule!K:K=""S2"")+(Schedule!K:K=""""));filter(Schedule!S:S,Schedule!L:L=A22,(Schedule!K:K=""S2"")+(Schedule!K:K=""""));filter(Schedule!V:V,Schedule!L:L=A22,(Schedule!K:K=""S2"&amp;""")+(Schedule!K:K=""""));filter(Schedule!Y:Y,Schedule!L:L=A22,(Schedule!K:K=""S2"")+(Schedule!K:K=""""));filter(Schedule!AB:AB,Schedule!L:L=A22,(Schedule!K:K=""S2"")+(Schedule!K:K=""""));filter(Schedule!AE:AE,Schedule!L:L=A22,(Schedule!K:K=""S2"")+(Schedu"&amp;"le!K:K=""""));filter(Schedule!AH:AH,Schedule!L:L=A22,(Schedule!K:K=""S2"")+(Schedule!K:K=""""));filter(Schedule!AK:AK,Schedule!L:L=A22,(Schedule!K:K=""S2"")+(Schedule!K:K=""""))}),unique({filter(Schedule!P:P,Schedule!L:L=A22,(Schedule!K:K=""S2"")+(Schedul"&amp;"e!K:K=""""));filter(Schedule!S:S,Schedule!L:L=A22,(Schedule!K:K=""S2"")+(Schedule!K:K=""""));filter(Schedule!V:V,Schedule!L:L=A22,(Schedule!K:K=""S2"")+(Schedule!K:K=""""));filter(Schedule!Y:Y,Schedule!L:L=A22,(Schedule!K:K=""S2"")+(Schedule!K:K=""""));fi"&amp;"lter(Schedule!AB:AB,Schedule!L:L=A22,(Schedule!K:K=""S2"")+(Schedule!K:K=""""));filter(Schedule!AE:AE,Schedule!L:L=A22,(Schedule!K:K=""S2"")+(Schedule!K:K=""""));filter(Schedule!AH:AH,Schedule!L:L=A22,(Schedule!K:K=""S2"")+(Schedule!K:K=""""));filter(Sche"&amp;"dule!AK:AK,Schedule!L:L=A22,(Schedule!K:K=""S2"")+(Schedule!K:K=""""))})&lt;&gt;"""")))"),3.0)</f>
        <v>3</v>
      </c>
      <c r="H22" t="str">
        <f>IFERROR(__xludf.DUMMYFUNCTION("""COMPUTED_VALUE"""),"Karol Marin")</f>
        <v>Karol Marin</v>
      </c>
      <c r="I22" s="299">
        <f>IFERROR(__xludf.DUMMYFUNCTION("""COMPUTED_VALUE"""),98.0)</f>
        <v>98</v>
      </c>
      <c r="J22" s="299">
        <f>IFERROR(__xludf.DUMMYFUNCTION("""COMPUTED_VALUE"""),98.0)</f>
        <v>98</v>
      </c>
      <c r="K22" s="299">
        <f>IFERROR(__xludf.DUMMYFUNCTION("""COMPUTED_VALUE"""),98.0)</f>
        <v>98</v>
      </c>
      <c r="L22" s="299">
        <f>IFERROR(__xludf.DUMMYFUNCTION("""COMPUTED_VALUE"""),1.0)</f>
        <v>1</v>
      </c>
      <c r="M22" s="3">
        <f>IFERROR(__xludf.DUMMYFUNCTION("""COMPUTED_VALUE"""),1.0)</f>
        <v>1</v>
      </c>
      <c r="N22" s="3"/>
    </row>
    <row r="23">
      <c r="A23" t="s">
        <v>129</v>
      </c>
      <c r="B23" s="300">
        <v>139.0</v>
      </c>
      <c r="C23" s="300">
        <v>139.0</v>
      </c>
      <c r="D23" s="300">
        <v>139.0</v>
      </c>
      <c r="E23" s="300">
        <f>IFERROR(__xludf.DUMMYFUNCTION("if(A23="""","""",counta(filter(unique({filter(Schedule!P:P,Schedule!L:L=A23,(Schedule!K:K=""S1"")+(Schedule!K:K=""""));filter(Schedule!S:S,Schedule!L:L=A23,(Schedule!K:K=""S1"")+(Schedule!K:K=""""));filter(Schedule!V:V,Schedule!L:L=A23,(Schedule!K:K=""S1"&amp;""")+(Schedule!K:K=""""));filter(Schedule!Y:Y,Schedule!L:L=A23,(Schedule!K:K=""S1"")+(Schedule!K:K=""""));filter(Schedule!AB:AB,Schedule!L:L=A23,(Schedule!K:K=""S1"")+(Schedule!K:K=""""));filter(Schedule!AE:AE,Schedule!L:L=A23,(Schedule!K:K=""S1"")+(Schedu"&amp;"le!K:K=""""));filter(Schedule!AH:AH,Schedule!L:L=A23,(Schedule!K:K=""S1"")+(Schedule!K:K=""""));filter(Schedule!AK:AK,Schedule!L:L=A23,(Schedule!K:K=""S1"")+(Schedule!K:K=""""))}),unique({filter(Schedule!P:P,Schedule!L:L=A23,(Schedule!K:K=""S1"")+(Schedul"&amp;"e!K:K=""""));filter(Schedule!S:S,Schedule!L:L=A23,(Schedule!K:K=""S1"")+(Schedule!K:K=""""));filter(Schedule!V:V,Schedule!L:L=A23,(Schedule!K:K=""S1"")+(Schedule!K:K=""""));filter(Schedule!Y:Y,Schedule!L:L=A23,(Schedule!K:K=""S1"")+(Schedule!K:K=""""));fi"&amp;"lter(Schedule!AB:AB,Schedule!L:L=A23,(Schedule!K:K=""S1"")+(Schedule!K:K=""""));filter(Schedule!AE:AE,Schedule!L:L=A23,(Schedule!K:K=""S1"")+(Schedule!K:K=""""));filter(Schedule!AH:AH,Schedule!L:L=A23,(Schedule!K:K=""S1"")+(Schedule!K:K=""""));filter(Sche"&amp;"dule!AK:AK,Schedule!L:L=A23,(Schedule!K:K=""S1"")+(Schedule!K:K=""""))})&lt;&gt;"""")))"),1.0)</f>
        <v>1</v>
      </c>
      <c r="F23" s="300">
        <f>IFERROR(__xludf.DUMMYFUNCTION("if(A23="""","""",counta(filter(unique({filter(Schedule!P:P,Schedule!L:L=A23,(Schedule!K:K=""S2"")+(Schedule!K:K=""""));filter(Schedule!S:S,Schedule!L:L=A23,(Schedule!K:K=""S2"")+(Schedule!K:K=""""));filter(Schedule!V:V,Schedule!L:L=A23,(Schedule!K:K=""S2"&amp;""")+(Schedule!K:K=""""));filter(Schedule!Y:Y,Schedule!L:L=A23,(Schedule!K:K=""S2"")+(Schedule!K:K=""""));filter(Schedule!AB:AB,Schedule!L:L=A23,(Schedule!K:K=""S2"")+(Schedule!K:K=""""));filter(Schedule!AE:AE,Schedule!L:L=A23,(Schedule!K:K=""S2"")+(Schedu"&amp;"le!K:K=""""));filter(Schedule!AH:AH,Schedule!L:L=A23,(Schedule!K:K=""S2"")+(Schedule!K:K=""""));filter(Schedule!AK:AK,Schedule!L:L=A23,(Schedule!K:K=""S2"")+(Schedule!K:K=""""))}),unique({filter(Schedule!P:P,Schedule!L:L=A23,(Schedule!K:K=""S2"")+(Schedul"&amp;"e!K:K=""""));filter(Schedule!S:S,Schedule!L:L=A23,(Schedule!K:K=""S2"")+(Schedule!K:K=""""));filter(Schedule!V:V,Schedule!L:L=A23,(Schedule!K:K=""S2"")+(Schedule!K:K=""""));filter(Schedule!Y:Y,Schedule!L:L=A23,(Schedule!K:K=""S2"")+(Schedule!K:K=""""));fi"&amp;"lter(Schedule!AB:AB,Schedule!L:L=A23,(Schedule!K:K=""S2"")+(Schedule!K:K=""""));filter(Schedule!AE:AE,Schedule!L:L=A23,(Schedule!K:K=""S2"")+(Schedule!K:K=""""));filter(Schedule!AH:AH,Schedule!L:L=A23,(Schedule!K:K=""S2"")+(Schedule!K:K=""""));filter(Sche"&amp;"dule!AK:AK,Schedule!L:L=A23,(Schedule!K:K=""S2"")+(Schedule!K:K=""""))})&lt;&gt;"""")))"),1.0)</f>
        <v>1</v>
      </c>
      <c r="H23" t="str">
        <f>IFERROR(__xludf.DUMMYFUNCTION("""COMPUTED_VALUE"""),"Mitchell McPherson")</f>
        <v>Mitchell McPherson</v>
      </c>
      <c r="I23" s="3">
        <f>IFERROR(__xludf.DUMMYFUNCTION("""COMPUTED_VALUE"""),98.0)</f>
        <v>98</v>
      </c>
      <c r="J23" s="3">
        <f>IFERROR(__xludf.DUMMYFUNCTION("""COMPUTED_VALUE"""),98.0)</f>
        <v>98</v>
      </c>
      <c r="K23" s="3">
        <f>IFERROR(__xludf.DUMMYFUNCTION("""COMPUTED_VALUE"""),98.0)</f>
        <v>98</v>
      </c>
      <c r="L23" s="299">
        <f>IFERROR(__xludf.DUMMYFUNCTION("""COMPUTED_VALUE"""),2.0)</f>
        <v>2</v>
      </c>
      <c r="M23" s="3">
        <f>IFERROR(__xludf.DUMMYFUNCTION("""COMPUTED_VALUE"""),2.0)</f>
        <v>2</v>
      </c>
      <c r="N23" s="3"/>
    </row>
    <row r="24">
      <c r="A24" t="s">
        <v>65</v>
      </c>
      <c r="B24" s="300">
        <v>88.0</v>
      </c>
      <c r="C24" s="300">
        <v>88.0</v>
      </c>
      <c r="D24" s="300">
        <v>88.0</v>
      </c>
      <c r="E24" s="300">
        <f>IFERROR(__xludf.DUMMYFUNCTION("if(A24="""","""",counta(filter(unique({filter(Schedule!P:P,Schedule!L:L=A24,(Schedule!K:K=""S1"")+(Schedule!K:K=""""));filter(Schedule!S:S,Schedule!L:L=A24,(Schedule!K:K=""S1"")+(Schedule!K:K=""""));filter(Schedule!V:V,Schedule!L:L=A24,(Schedule!K:K=""S1"&amp;""")+(Schedule!K:K=""""));filter(Schedule!Y:Y,Schedule!L:L=A24,(Schedule!K:K=""S1"")+(Schedule!K:K=""""));filter(Schedule!AB:AB,Schedule!L:L=A24,(Schedule!K:K=""S1"")+(Schedule!K:K=""""));filter(Schedule!AE:AE,Schedule!L:L=A24,(Schedule!K:K=""S1"")+(Schedu"&amp;"le!K:K=""""));filter(Schedule!AH:AH,Schedule!L:L=A24,(Schedule!K:K=""S1"")+(Schedule!K:K=""""));filter(Schedule!AK:AK,Schedule!L:L=A24,(Schedule!K:K=""S1"")+(Schedule!K:K=""""))}),unique({filter(Schedule!P:P,Schedule!L:L=A24,(Schedule!K:K=""S1"")+(Schedul"&amp;"e!K:K=""""));filter(Schedule!S:S,Schedule!L:L=A24,(Schedule!K:K=""S1"")+(Schedule!K:K=""""));filter(Schedule!V:V,Schedule!L:L=A24,(Schedule!K:K=""S1"")+(Schedule!K:K=""""));filter(Schedule!Y:Y,Schedule!L:L=A24,(Schedule!K:K=""S1"")+(Schedule!K:K=""""));fi"&amp;"lter(Schedule!AB:AB,Schedule!L:L=A24,(Schedule!K:K=""S1"")+(Schedule!K:K=""""));filter(Schedule!AE:AE,Schedule!L:L=A24,(Schedule!K:K=""S1"")+(Schedule!K:K=""""));filter(Schedule!AH:AH,Schedule!L:L=A24,(Schedule!K:K=""S1"")+(Schedule!K:K=""""));filter(Sche"&amp;"dule!AK:AK,Schedule!L:L=A24,(Schedule!K:K=""S1"")+(Schedule!K:K=""""))})&lt;&gt;"""")))"),1.0)</f>
        <v>1</v>
      </c>
      <c r="F24" s="300">
        <f>IFERROR(__xludf.DUMMYFUNCTION("if(A24="""","""",counta(filter(unique({filter(Schedule!P:P,Schedule!L:L=A24,(Schedule!K:K=""S2"")+(Schedule!K:K=""""));filter(Schedule!S:S,Schedule!L:L=A24,(Schedule!K:K=""S2"")+(Schedule!K:K=""""));filter(Schedule!V:V,Schedule!L:L=A24,(Schedule!K:K=""S2"&amp;""")+(Schedule!K:K=""""));filter(Schedule!Y:Y,Schedule!L:L=A24,(Schedule!K:K=""S2"")+(Schedule!K:K=""""));filter(Schedule!AB:AB,Schedule!L:L=A24,(Schedule!K:K=""S2"")+(Schedule!K:K=""""));filter(Schedule!AE:AE,Schedule!L:L=A24,(Schedule!K:K=""S2"")+(Schedu"&amp;"le!K:K=""""));filter(Schedule!AH:AH,Schedule!L:L=A24,(Schedule!K:K=""S2"")+(Schedule!K:K=""""));filter(Schedule!AK:AK,Schedule!L:L=A24,(Schedule!K:K=""S2"")+(Schedule!K:K=""""))}),unique({filter(Schedule!P:P,Schedule!L:L=A24,(Schedule!K:K=""S2"")+(Schedul"&amp;"e!K:K=""""));filter(Schedule!S:S,Schedule!L:L=A24,(Schedule!K:K=""S2"")+(Schedule!K:K=""""));filter(Schedule!V:V,Schedule!L:L=A24,(Schedule!K:K=""S2"")+(Schedule!K:K=""""));filter(Schedule!Y:Y,Schedule!L:L=A24,(Schedule!K:K=""S2"")+(Schedule!K:K=""""));fi"&amp;"lter(Schedule!AB:AB,Schedule!L:L=A24,(Schedule!K:K=""S2"")+(Schedule!K:K=""""));filter(Schedule!AE:AE,Schedule!L:L=A24,(Schedule!K:K=""S2"")+(Schedule!K:K=""""));filter(Schedule!AH:AH,Schedule!L:L=A24,(Schedule!K:K=""S2"")+(Schedule!K:K=""""));filter(Sche"&amp;"dule!AK:AK,Schedule!L:L=A24,(Schedule!K:K=""S2"")+(Schedule!K:K=""""))})&lt;&gt;"""")))"),1.0)</f>
        <v>1</v>
      </c>
      <c r="H24" t="str">
        <f>IFERROR(__xludf.DUMMYFUNCTION("""COMPUTED_VALUE"""),"Samantha Gwinn")</f>
        <v>Samantha Gwinn</v>
      </c>
      <c r="I24" s="3">
        <f>IFERROR(__xludf.DUMMYFUNCTION("""COMPUTED_VALUE"""),98.0)</f>
        <v>98</v>
      </c>
      <c r="J24" s="3">
        <f>IFERROR(__xludf.DUMMYFUNCTION("""COMPUTED_VALUE"""),98.0)</f>
        <v>98</v>
      </c>
      <c r="K24" s="3">
        <f>IFERROR(__xludf.DUMMYFUNCTION("""COMPUTED_VALUE"""),98.0)</f>
        <v>98</v>
      </c>
      <c r="L24" s="3">
        <f>IFERROR(__xludf.DUMMYFUNCTION("""COMPUTED_VALUE"""),3.0)</f>
        <v>3</v>
      </c>
      <c r="M24" s="3">
        <f>IFERROR(__xludf.DUMMYFUNCTION("""COMPUTED_VALUE"""),3.0)</f>
        <v>3</v>
      </c>
      <c r="N24" s="3"/>
    </row>
    <row r="25">
      <c r="A25" t="s">
        <v>21</v>
      </c>
      <c r="B25" s="300">
        <v>144.0</v>
      </c>
      <c r="C25" s="300">
        <v>144.0</v>
      </c>
      <c r="D25" s="300">
        <v>144.0</v>
      </c>
      <c r="E25" s="300">
        <f>IFERROR(__xludf.DUMMYFUNCTION("if(A25="""","""",counta(filter(unique({filter(Schedule!P:P,Schedule!L:L=A25,(Schedule!K:K=""S1"")+(Schedule!K:K=""""));filter(Schedule!S:S,Schedule!L:L=A25,(Schedule!K:K=""S1"")+(Schedule!K:K=""""));filter(Schedule!V:V,Schedule!L:L=A25,(Schedule!K:K=""S1"&amp;""")+(Schedule!K:K=""""));filter(Schedule!Y:Y,Schedule!L:L=A25,(Schedule!K:K=""S1"")+(Schedule!K:K=""""));filter(Schedule!AB:AB,Schedule!L:L=A25,(Schedule!K:K=""S1"")+(Schedule!K:K=""""));filter(Schedule!AE:AE,Schedule!L:L=A25,(Schedule!K:K=""S1"")+(Schedu"&amp;"le!K:K=""""));filter(Schedule!AH:AH,Schedule!L:L=A25,(Schedule!K:K=""S1"")+(Schedule!K:K=""""));filter(Schedule!AK:AK,Schedule!L:L=A25,(Schedule!K:K=""S1"")+(Schedule!K:K=""""))}),unique({filter(Schedule!P:P,Schedule!L:L=A25,(Schedule!K:K=""S1"")+(Schedul"&amp;"e!K:K=""""));filter(Schedule!S:S,Schedule!L:L=A25,(Schedule!K:K=""S1"")+(Schedule!K:K=""""));filter(Schedule!V:V,Schedule!L:L=A25,(Schedule!K:K=""S1"")+(Schedule!K:K=""""));filter(Schedule!Y:Y,Schedule!L:L=A25,(Schedule!K:K=""S1"")+(Schedule!K:K=""""));fi"&amp;"lter(Schedule!AB:AB,Schedule!L:L=A25,(Schedule!K:K=""S1"")+(Schedule!K:K=""""));filter(Schedule!AE:AE,Schedule!L:L=A25,(Schedule!K:K=""S1"")+(Schedule!K:K=""""));filter(Schedule!AH:AH,Schedule!L:L=A25,(Schedule!K:K=""S1"")+(Schedule!K:K=""""));filter(Sche"&amp;"dule!AK:AK,Schedule!L:L=A25,(Schedule!K:K=""S1"")+(Schedule!K:K=""""))})&lt;&gt;"""")))"),2.0)</f>
        <v>2</v>
      </c>
      <c r="F25" s="300">
        <f>IFERROR(__xludf.DUMMYFUNCTION("if(A25="""","""",counta(filter(unique({filter(Schedule!P:P,Schedule!L:L=A25,(Schedule!K:K=""S2"")+(Schedule!K:K=""""));filter(Schedule!S:S,Schedule!L:L=A25,(Schedule!K:K=""S2"")+(Schedule!K:K=""""));filter(Schedule!V:V,Schedule!L:L=A25,(Schedule!K:K=""S2"&amp;""")+(Schedule!K:K=""""));filter(Schedule!Y:Y,Schedule!L:L=A25,(Schedule!K:K=""S2"")+(Schedule!K:K=""""));filter(Schedule!AB:AB,Schedule!L:L=A25,(Schedule!K:K=""S2"")+(Schedule!K:K=""""));filter(Schedule!AE:AE,Schedule!L:L=A25,(Schedule!K:K=""S2"")+(Schedu"&amp;"le!K:K=""""));filter(Schedule!AH:AH,Schedule!L:L=A25,(Schedule!K:K=""S2"")+(Schedule!K:K=""""));filter(Schedule!AK:AK,Schedule!L:L=A25,(Schedule!K:K=""S2"")+(Schedule!K:K=""""))}),unique({filter(Schedule!P:P,Schedule!L:L=A25,(Schedule!K:K=""S2"")+(Schedul"&amp;"e!K:K=""""));filter(Schedule!S:S,Schedule!L:L=A25,(Schedule!K:K=""S2"")+(Schedule!K:K=""""));filter(Schedule!V:V,Schedule!L:L=A25,(Schedule!K:K=""S2"")+(Schedule!K:K=""""));filter(Schedule!Y:Y,Schedule!L:L=A25,(Schedule!K:K=""S2"")+(Schedule!K:K=""""));fi"&amp;"lter(Schedule!AB:AB,Schedule!L:L=A25,(Schedule!K:K=""S2"")+(Schedule!K:K=""""));filter(Schedule!AE:AE,Schedule!L:L=A25,(Schedule!K:K=""S2"")+(Schedule!K:K=""""));filter(Schedule!AH:AH,Schedule!L:L=A25,(Schedule!K:K=""S2"")+(Schedule!K:K=""""));filter(Sche"&amp;"dule!AK:AK,Schedule!L:L=A25,(Schedule!K:K=""S2"")+(Schedule!K:K=""""))})&lt;&gt;"""")))"),2.0)</f>
        <v>2</v>
      </c>
      <c r="H25" t="str">
        <f>IFERROR(__xludf.DUMMYFUNCTION("""COMPUTED_VALUE"""),"Andres Ortegon")</f>
        <v>Andres Ortegon</v>
      </c>
      <c r="I25" s="3">
        <f>IFERROR(__xludf.DUMMYFUNCTION("""COMPUTED_VALUE"""),95.0)</f>
        <v>95</v>
      </c>
      <c r="J25" s="3">
        <f>IFERROR(__xludf.DUMMYFUNCTION("""COMPUTED_VALUE"""),95.0)</f>
        <v>95</v>
      </c>
      <c r="K25" s="3">
        <f>IFERROR(__xludf.DUMMYFUNCTION("""COMPUTED_VALUE"""),95.0)</f>
        <v>95</v>
      </c>
      <c r="L25" s="3">
        <f>IFERROR(__xludf.DUMMYFUNCTION("""COMPUTED_VALUE"""),2.0)</f>
        <v>2</v>
      </c>
      <c r="M25" s="3">
        <f>IFERROR(__xludf.DUMMYFUNCTION("""COMPUTED_VALUE"""),2.0)</f>
        <v>2</v>
      </c>
      <c r="N25" s="3"/>
    </row>
    <row r="26">
      <c r="A26" t="s">
        <v>97</v>
      </c>
      <c r="B26" s="300">
        <v>85.0</v>
      </c>
      <c r="C26" s="300">
        <v>85.0</v>
      </c>
      <c r="D26" s="300">
        <v>85.0</v>
      </c>
      <c r="E26" s="300">
        <f>IFERROR(__xludf.DUMMYFUNCTION("if(A26="""","""",counta(filter(unique({filter(Schedule!P:P,Schedule!L:L=A26,(Schedule!K:K=""S1"")+(Schedule!K:K=""""));filter(Schedule!S:S,Schedule!L:L=A26,(Schedule!K:K=""S1"")+(Schedule!K:K=""""));filter(Schedule!V:V,Schedule!L:L=A26,(Schedule!K:K=""S1"&amp;""")+(Schedule!K:K=""""));filter(Schedule!Y:Y,Schedule!L:L=A26,(Schedule!K:K=""S1"")+(Schedule!K:K=""""));filter(Schedule!AB:AB,Schedule!L:L=A26,(Schedule!K:K=""S1"")+(Schedule!K:K=""""));filter(Schedule!AE:AE,Schedule!L:L=A26,(Schedule!K:K=""S1"")+(Schedu"&amp;"le!K:K=""""));filter(Schedule!AH:AH,Schedule!L:L=A26,(Schedule!K:K=""S1"")+(Schedule!K:K=""""));filter(Schedule!AK:AK,Schedule!L:L=A26,(Schedule!K:K=""S1"")+(Schedule!K:K=""""))}),unique({filter(Schedule!P:P,Schedule!L:L=A26,(Schedule!K:K=""S1"")+(Schedul"&amp;"e!K:K=""""));filter(Schedule!S:S,Schedule!L:L=A26,(Schedule!K:K=""S1"")+(Schedule!K:K=""""));filter(Schedule!V:V,Schedule!L:L=A26,(Schedule!K:K=""S1"")+(Schedule!K:K=""""));filter(Schedule!Y:Y,Schedule!L:L=A26,(Schedule!K:K=""S1"")+(Schedule!K:K=""""));fi"&amp;"lter(Schedule!AB:AB,Schedule!L:L=A26,(Schedule!K:K=""S1"")+(Schedule!K:K=""""));filter(Schedule!AE:AE,Schedule!L:L=A26,(Schedule!K:K=""S1"")+(Schedule!K:K=""""));filter(Schedule!AH:AH,Schedule!L:L=A26,(Schedule!K:K=""S1"")+(Schedule!K:K=""""));filter(Sche"&amp;"dule!AK:AK,Schedule!L:L=A26,(Schedule!K:K=""S1"")+(Schedule!K:K=""""))})&lt;&gt;"""")))"),2.0)</f>
        <v>2</v>
      </c>
      <c r="F26" s="300">
        <f>IFERROR(__xludf.DUMMYFUNCTION("if(A26="""","""",counta(filter(unique({filter(Schedule!P:P,Schedule!L:L=A26,(Schedule!K:K=""S2"")+(Schedule!K:K=""""));filter(Schedule!S:S,Schedule!L:L=A26,(Schedule!K:K=""S2"")+(Schedule!K:K=""""));filter(Schedule!V:V,Schedule!L:L=A26,(Schedule!K:K=""S2"&amp;""")+(Schedule!K:K=""""));filter(Schedule!Y:Y,Schedule!L:L=A26,(Schedule!K:K=""S2"")+(Schedule!K:K=""""));filter(Schedule!AB:AB,Schedule!L:L=A26,(Schedule!K:K=""S2"")+(Schedule!K:K=""""));filter(Schedule!AE:AE,Schedule!L:L=A26,(Schedule!K:K=""S2"")+(Schedu"&amp;"le!K:K=""""));filter(Schedule!AH:AH,Schedule!L:L=A26,(Schedule!K:K=""S2"")+(Schedule!K:K=""""));filter(Schedule!AK:AK,Schedule!L:L=A26,(Schedule!K:K=""S2"")+(Schedule!K:K=""""))}),unique({filter(Schedule!P:P,Schedule!L:L=A26,(Schedule!K:K=""S2"")+(Schedul"&amp;"e!K:K=""""));filter(Schedule!S:S,Schedule!L:L=A26,(Schedule!K:K=""S2"")+(Schedule!K:K=""""));filter(Schedule!V:V,Schedule!L:L=A26,(Schedule!K:K=""S2"")+(Schedule!K:K=""""));filter(Schedule!Y:Y,Schedule!L:L=A26,(Schedule!K:K=""S2"")+(Schedule!K:K=""""));fi"&amp;"lter(Schedule!AB:AB,Schedule!L:L=A26,(Schedule!K:K=""S2"")+(Schedule!K:K=""""));filter(Schedule!AE:AE,Schedule!L:L=A26,(Schedule!K:K=""S2"")+(Schedule!K:K=""""));filter(Schedule!AH:AH,Schedule!L:L=A26,(Schedule!K:K=""S2"")+(Schedule!K:K=""""));filter(Sche"&amp;"dule!AK:AK,Schedule!L:L=A26,(Schedule!K:K=""S2"")+(Schedule!K:K=""""))})&lt;&gt;"""")))"),2.0)</f>
        <v>2</v>
      </c>
      <c r="H26" t="str">
        <f>IFERROR(__xludf.DUMMYFUNCTION("""COMPUTED_VALUE"""),"Brian Summers")</f>
        <v>Brian Summers</v>
      </c>
      <c r="I26" s="3">
        <f>IFERROR(__xludf.DUMMYFUNCTION("""COMPUTED_VALUE"""),93.0)</f>
        <v>93</v>
      </c>
      <c r="J26" s="3">
        <f>IFERROR(__xludf.DUMMYFUNCTION("""COMPUTED_VALUE"""),93.0)</f>
        <v>93</v>
      </c>
      <c r="K26" s="3">
        <f>IFERROR(__xludf.DUMMYFUNCTION("""COMPUTED_VALUE"""),93.0)</f>
        <v>93</v>
      </c>
      <c r="L26" s="3">
        <f>IFERROR(__xludf.DUMMYFUNCTION("""COMPUTED_VALUE"""),2.0)</f>
        <v>2</v>
      </c>
      <c r="M26" s="3">
        <f>IFERROR(__xludf.DUMMYFUNCTION("""COMPUTED_VALUE"""),2.0)</f>
        <v>2</v>
      </c>
      <c r="N26" s="3"/>
    </row>
    <row r="27">
      <c r="A27" s="404" t="s">
        <v>72</v>
      </c>
      <c r="B27" s="300">
        <v>85.0</v>
      </c>
      <c r="C27" s="300">
        <v>85.0</v>
      </c>
      <c r="D27" s="300">
        <v>85.0</v>
      </c>
      <c r="E27" s="300">
        <f>IFERROR(__xludf.DUMMYFUNCTION("if(A27="""","""",counta(filter(unique({filter(Schedule!P:P,Schedule!L:L=A27,(Schedule!K:K=""S1"")+(Schedule!K:K=""""));filter(Schedule!S:S,Schedule!L:L=A27,(Schedule!K:K=""S1"")+(Schedule!K:K=""""));filter(Schedule!V:V,Schedule!L:L=A27,(Schedule!K:K=""S1"&amp;""")+(Schedule!K:K=""""));filter(Schedule!Y:Y,Schedule!L:L=A27,(Schedule!K:K=""S1"")+(Schedule!K:K=""""));filter(Schedule!AB:AB,Schedule!L:L=A27,(Schedule!K:K=""S1"")+(Schedule!K:K=""""));filter(Schedule!AE:AE,Schedule!L:L=A27,(Schedule!K:K=""S1"")+(Schedu"&amp;"le!K:K=""""));filter(Schedule!AH:AH,Schedule!L:L=A27,(Schedule!K:K=""S1"")+(Schedule!K:K=""""));filter(Schedule!AK:AK,Schedule!L:L=A27,(Schedule!K:K=""S1"")+(Schedule!K:K=""""))}),unique({filter(Schedule!P:P,Schedule!L:L=A27,(Schedule!K:K=""S1"")+(Schedul"&amp;"e!K:K=""""));filter(Schedule!S:S,Schedule!L:L=A27,(Schedule!K:K=""S1"")+(Schedule!K:K=""""));filter(Schedule!V:V,Schedule!L:L=A27,(Schedule!K:K=""S1"")+(Schedule!K:K=""""));filter(Schedule!Y:Y,Schedule!L:L=A27,(Schedule!K:K=""S1"")+(Schedule!K:K=""""));fi"&amp;"lter(Schedule!AB:AB,Schedule!L:L=A27,(Schedule!K:K=""S1"")+(Schedule!K:K=""""));filter(Schedule!AE:AE,Schedule!L:L=A27,(Schedule!K:K=""S1"")+(Schedule!K:K=""""));filter(Schedule!AH:AH,Schedule!L:L=A27,(Schedule!K:K=""S1"")+(Schedule!K:K=""""));filter(Sche"&amp;"dule!AK:AK,Schedule!L:L=A27,(Schedule!K:K=""S1"")+(Schedule!K:K=""""))})&lt;&gt;"""")))"),3.0)</f>
        <v>3</v>
      </c>
      <c r="F27" s="300">
        <f>IFERROR(__xludf.DUMMYFUNCTION("if(A27="""","""",counta(filter(unique({filter(Schedule!P:P,Schedule!L:L=A27,(Schedule!K:K=""S2"")+(Schedule!K:K=""""));filter(Schedule!S:S,Schedule!L:L=A27,(Schedule!K:K=""S2"")+(Schedule!K:K=""""));filter(Schedule!V:V,Schedule!L:L=A27,(Schedule!K:K=""S2"&amp;""")+(Schedule!K:K=""""));filter(Schedule!Y:Y,Schedule!L:L=A27,(Schedule!K:K=""S2"")+(Schedule!K:K=""""));filter(Schedule!AB:AB,Schedule!L:L=A27,(Schedule!K:K=""S2"")+(Schedule!K:K=""""));filter(Schedule!AE:AE,Schedule!L:L=A27,(Schedule!K:K=""S2"")+(Schedu"&amp;"le!K:K=""""));filter(Schedule!AH:AH,Schedule!L:L=A27,(Schedule!K:K=""S2"")+(Schedule!K:K=""""));filter(Schedule!AK:AK,Schedule!L:L=A27,(Schedule!K:K=""S2"")+(Schedule!K:K=""""))}),unique({filter(Schedule!P:P,Schedule!L:L=A27,(Schedule!K:K=""S2"")+(Schedul"&amp;"e!K:K=""""));filter(Schedule!S:S,Schedule!L:L=A27,(Schedule!K:K=""S2"")+(Schedule!K:K=""""));filter(Schedule!V:V,Schedule!L:L=A27,(Schedule!K:K=""S2"")+(Schedule!K:K=""""));filter(Schedule!Y:Y,Schedule!L:L=A27,(Schedule!K:K=""S2"")+(Schedule!K:K=""""));fi"&amp;"lter(Schedule!AB:AB,Schedule!L:L=A27,(Schedule!K:K=""S2"")+(Schedule!K:K=""""));filter(Schedule!AE:AE,Schedule!L:L=A27,(Schedule!K:K=""S2"")+(Schedule!K:K=""""));filter(Schedule!AH:AH,Schedule!L:L=A27,(Schedule!K:K=""S2"")+(Schedule!K:K=""""));filter(Sche"&amp;"dule!AK:AK,Schedule!L:L=A27,(Schedule!K:K=""S2"")+(Schedule!K:K=""""))})&lt;&gt;"""")))"),3.0)</f>
        <v>3</v>
      </c>
      <c r="H27" t="str">
        <f>IFERROR(__xludf.DUMMYFUNCTION("""COMPUTED_VALUE"""),"Camila Leiva")</f>
        <v>Camila Leiva</v>
      </c>
      <c r="I27" s="299">
        <f>IFERROR(__xludf.DUMMYFUNCTION("""COMPUTED_VALUE"""),93.0)</f>
        <v>93</v>
      </c>
      <c r="J27" s="299">
        <f>IFERROR(__xludf.DUMMYFUNCTION("""COMPUTED_VALUE"""),93.0)</f>
        <v>93</v>
      </c>
      <c r="K27" s="299">
        <f>IFERROR(__xludf.DUMMYFUNCTION("""COMPUTED_VALUE"""),93.0)</f>
        <v>93</v>
      </c>
      <c r="L27" s="299">
        <f>IFERROR(__xludf.DUMMYFUNCTION("""COMPUTED_VALUE"""),3.0)</f>
        <v>3</v>
      </c>
      <c r="M27" s="3">
        <f>IFERROR(__xludf.DUMMYFUNCTION("""COMPUTED_VALUE"""),3.0)</f>
        <v>3</v>
      </c>
      <c r="N27" s="3"/>
    </row>
    <row r="28">
      <c r="A28" t="s">
        <v>106</v>
      </c>
      <c r="B28" s="300">
        <v>91.0</v>
      </c>
      <c r="C28" s="300">
        <v>91.0</v>
      </c>
      <c r="D28" s="300">
        <v>91.0</v>
      </c>
      <c r="E28" s="300">
        <f>IFERROR(__xludf.DUMMYFUNCTION("if(A28="""","""",counta(filter(unique({filter(Schedule!P:P,Schedule!L:L=A28,(Schedule!K:K=""S1"")+(Schedule!K:K=""""));filter(Schedule!S:S,Schedule!L:L=A28,(Schedule!K:K=""S1"")+(Schedule!K:K=""""));filter(Schedule!V:V,Schedule!L:L=A28,(Schedule!K:K=""S1"&amp;""")+(Schedule!K:K=""""));filter(Schedule!Y:Y,Schedule!L:L=A28,(Schedule!K:K=""S1"")+(Schedule!K:K=""""));filter(Schedule!AB:AB,Schedule!L:L=A28,(Schedule!K:K=""S1"")+(Schedule!K:K=""""));filter(Schedule!AE:AE,Schedule!L:L=A28,(Schedule!K:K=""S1"")+(Schedu"&amp;"le!K:K=""""));filter(Schedule!AH:AH,Schedule!L:L=A28,(Schedule!K:K=""S1"")+(Schedule!K:K=""""));filter(Schedule!AK:AK,Schedule!L:L=A28,(Schedule!K:K=""S1"")+(Schedule!K:K=""""))}),unique({filter(Schedule!P:P,Schedule!L:L=A28,(Schedule!K:K=""S1"")+(Schedul"&amp;"e!K:K=""""));filter(Schedule!S:S,Schedule!L:L=A28,(Schedule!K:K=""S1"")+(Schedule!K:K=""""));filter(Schedule!V:V,Schedule!L:L=A28,(Schedule!K:K=""S1"")+(Schedule!K:K=""""));filter(Schedule!Y:Y,Schedule!L:L=A28,(Schedule!K:K=""S1"")+(Schedule!K:K=""""));fi"&amp;"lter(Schedule!AB:AB,Schedule!L:L=A28,(Schedule!K:K=""S1"")+(Schedule!K:K=""""));filter(Schedule!AE:AE,Schedule!L:L=A28,(Schedule!K:K=""S1"")+(Schedule!K:K=""""));filter(Schedule!AH:AH,Schedule!L:L=A28,(Schedule!K:K=""S1"")+(Schedule!K:K=""""));filter(Sche"&amp;"dule!AK:AK,Schedule!L:L=A28,(Schedule!K:K=""S1"")+(Schedule!K:K=""""))})&lt;&gt;"""")))"),3.0)</f>
        <v>3</v>
      </c>
      <c r="F28" s="300">
        <f>IFERROR(__xludf.DUMMYFUNCTION("if(A28="""","""",counta(filter(unique({filter(Schedule!P:P,Schedule!L:L=A28,(Schedule!K:K=""S2"")+(Schedule!K:K=""""));filter(Schedule!S:S,Schedule!L:L=A28,(Schedule!K:K=""S2"")+(Schedule!K:K=""""));filter(Schedule!V:V,Schedule!L:L=A28,(Schedule!K:K=""S2"&amp;""")+(Schedule!K:K=""""));filter(Schedule!Y:Y,Schedule!L:L=A28,(Schedule!K:K=""S2"")+(Schedule!K:K=""""));filter(Schedule!AB:AB,Schedule!L:L=A28,(Schedule!K:K=""S2"")+(Schedule!K:K=""""));filter(Schedule!AE:AE,Schedule!L:L=A28,(Schedule!K:K=""S2"")+(Schedu"&amp;"le!K:K=""""));filter(Schedule!AH:AH,Schedule!L:L=A28,(Schedule!K:K=""S2"")+(Schedule!K:K=""""));filter(Schedule!AK:AK,Schedule!L:L=A28,(Schedule!K:K=""S2"")+(Schedule!K:K=""""))}),unique({filter(Schedule!P:P,Schedule!L:L=A28,(Schedule!K:K=""S2"")+(Schedul"&amp;"e!K:K=""""));filter(Schedule!S:S,Schedule!L:L=A28,(Schedule!K:K=""S2"")+(Schedule!K:K=""""));filter(Schedule!V:V,Schedule!L:L=A28,(Schedule!K:K=""S2"")+(Schedule!K:K=""""));filter(Schedule!Y:Y,Schedule!L:L=A28,(Schedule!K:K=""S2"")+(Schedule!K:K=""""));fi"&amp;"lter(Schedule!AB:AB,Schedule!L:L=A28,(Schedule!K:K=""S2"")+(Schedule!K:K=""""));filter(Schedule!AE:AE,Schedule!L:L=A28,(Schedule!K:K=""S2"")+(Schedule!K:K=""""));filter(Schedule!AH:AH,Schedule!L:L=A28,(Schedule!K:K=""S2"")+(Schedule!K:K=""""));filter(Sche"&amp;"dule!AK:AK,Schedule!L:L=A28,(Schedule!K:K=""S2"")+(Schedule!K:K=""""))})&lt;&gt;"""")))"),3.0)</f>
        <v>3</v>
      </c>
      <c r="H28" t="str">
        <f>IFERROR(__xludf.DUMMYFUNCTION("""COMPUTED_VALUE"""),"Valentina Zuluaga")</f>
        <v>Valentina Zuluaga</v>
      </c>
      <c r="I28" s="299">
        <f>IFERROR(__xludf.DUMMYFUNCTION("""COMPUTED_VALUE"""),93.0)</f>
        <v>93</v>
      </c>
      <c r="J28" s="299">
        <f>IFERROR(__xludf.DUMMYFUNCTION("""COMPUTED_VALUE"""),93.0)</f>
        <v>93</v>
      </c>
      <c r="K28" s="299">
        <f>IFERROR(__xludf.DUMMYFUNCTION("""COMPUTED_VALUE"""),93.0)</f>
        <v>93</v>
      </c>
      <c r="L28" s="299">
        <f>IFERROR(__xludf.DUMMYFUNCTION("""COMPUTED_VALUE"""),2.0)</f>
        <v>2</v>
      </c>
      <c r="M28" s="3">
        <f>IFERROR(__xludf.DUMMYFUNCTION("""COMPUTED_VALUE"""),2.0)</f>
        <v>2</v>
      </c>
      <c r="N28" s="3"/>
    </row>
    <row r="29">
      <c r="A29" t="s">
        <v>131</v>
      </c>
      <c r="B29" s="300">
        <v>125.0</v>
      </c>
      <c r="C29" s="300">
        <v>125.0</v>
      </c>
      <c r="D29" s="300">
        <v>125.0</v>
      </c>
      <c r="E29" s="300">
        <f>IFERROR(__xludf.DUMMYFUNCTION("if(A29="""","""",counta(filter(unique({filter(Schedule!P:P,Schedule!L:L=A29,(Schedule!K:K=""S1"")+(Schedule!K:K=""""));filter(Schedule!S:S,Schedule!L:L=A29,(Schedule!K:K=""S1"")+(Schedule!K:K=""""));filter(Schedule!V:V,Schedule!L:L=A29,(Schedule!K:K=""S1"&amp;""")+(Schedule!K:K=""""));filter(Schedule!Y:Y,Schedule!L:L=A29,(Schedule!K:K=""S1"")+(Schedule!K:K=""""));filter(Schedule!AB:AB,Schedule!L:L=A29,(Schedule!K:K=""S1"")+(Schedule!K:K=""""));filter(Schedule!AE:AE,Schedule!L:L=A29,(Schedule!K:K=""S1"")+(Schedu"&amp;"le!K:K=""""));filter(Schedule!AH:AH,Schedule!L:L=A29,(Schedule!K:K=""S1"")+(Schedule!K:K=""""));filter(Schedule!AK:AK,Schedule!L:L=A29,(Schedule!K:K=""S1"")+(Schedule!K:K=""""))}),unique({filter(Schedule!P:P,Schedule!L:L=A29,(Schedule!K:K=""S1"")+(Schedul"&amp;"e!K:K=""""));filter(Schedule!S:S,Schedule!L:L=A29,(Schedule!K:K=""S1"")+(Schedule!K:K=""""));filter(Schedule!V:V,Schedule!L:L=A29,(Schedule!K:K=""S1"")+(Schedule!K:K=""""));filter(Schedule!Y:Y,Schedule!L:L=A29,(Schedule!K:K=""S1"")+(Schedule!K:K=""""));fi"&amp;"lter(Schedule!AB:AB,Schedule!L:L=A29,(Schedule!K:K=""S1"")+(Schedule!K:K=""""));filter(Schedule!AE:AE,Schedule!L:L=A29,(Schedule!K:K=""S1"")+(Schedule!K:K=""""));filter(Schedule!AH:AH,Schedule!L:L=A29,(Schedule!K:K=""S1"")+(Schedule!K:K=""""));filter(Sche"&amp;"dule!AK:AK,Schedule!L:L=A29,(Schedule!K:K=""S1"")+(Schedule!K:K=""""))})&lt;&gt;"""")))"),1.0)</f>
        <v>1</v>
      </c>
      <c r="F29" s="300">
        <f>IFERROR(__xludf.DUMMYFUNCTION("if(A29="""","""",counta(filter(unique({filter(Schedule!P:P,Schedule!L:L=A29,(Schedule!K:K=""S2"")+(Schedule!K:K=""""));filter(Schedule!S:S,Schedule!L:L=A29,(Schedule!K:K=""S2"")+(Schedule!K:K=""""));filter(Schedule!V:V,Schedule!L:L=A29,(Schedule!K:K=""S2"&amp;""")+(Schedule!K:K=""""));filter(Schedule!Y:Y,Schedule!L:L=A29,(Schedule!K:K=""S2"")+(Schedule!K:K=""""));filter(Schedule!AB:AB,Schedule!L:L=A29,(Schedule!K:K=""S2"")+(Schedule!K:K=""""));filter(Schedule!AE:AE,Schedule!L:L=A29,(Schedule!K:K=""S2"")+(Schedu"&amp;"le!K:K=""""));filter(Schedule!AH:AH,Schedule!L:L=A29,(Schedule!K:K=""S2"")+(Schedule!K:K=""""));filter(Schedule!AK:AK,Schedule!L:L=A29,(Schedule!K:K=""S2"")+(Schedule!K:K=""""))}),unique({filter(Schedule!P:P,Schedule!L:L=A29,(Schedule!K:K=""S2"")+(Schedul"&amp;"e!K:K=""""));filter(Schedule!S:S,Schedule!L:L=A29,(Schedule!K:K=""S2"")+(Schedule!K:K=""""));filter(Schedule!V:V,Schedule!L:L=A29,(Schedule!K:K=""S2"")+(Schedule!K:K=""""));filter(Schedule!Y:Y,Schedule!L:L=A29,(Schedule!K:K=""S2"")+(Schedule!K:K=""""));fi"&amp;"lter(Schedule!AB:AB,Schedule!L:L=A29,(Schedule!K:K=""S2"")+(Schedule!K:K=""""));filter(Schedule!AE:AE,Schedule!L:L=A29,(Schedule!K:K=""S2"")+(Schedule!K:K=""""));filter(Schedule!AH:AH,Schedule!L:L=A29,(Schedule!K:K=""S2"")+(Schedule!K:K=""""));filter(Sche"&amp;"dule!AK:AK,Schedule!L:L=A29,(Schedule!K:K=""S2"")+(Schedule!K:K=""""))})&lt;&gt;"""")))"),1.0)</f>
        <v>1</v>
      </c>
      <c r="H29" t="str">
        <f>IFERROR(__xludf.DUMMYFUNCTION("""COMPUTED_VALUE"""),"Mauricio Sepúlveda")</f>
        <v>Mauricio Sepúlveda</v>
      </c>
      <c r="I29" s="299">
        <f>IFERROR(__xludf.DUMMYFUNCTION("""COMPUTED_VALUE"""),92.0)</f>
        <v>92</v>
      </c>
      <c r="J29" s="299">
        <f>IFERROR(__xludf.DUMMYFUNCTION("""COMPUTED_VALUE"""),92.0)</f>
        <v>92</v>
      </c>
      <c r="K29" s="299">
        <f>IFERROR(__xludf.DUMMYFUNCTION("""COMPUTED_VALUE"""),92.0)</f>
        <v>92</v>
      </c>
      <c r="L29" s="299">
        <f>IFERROR(__xludf.DUMMYFUNCTION("""COMPUTED_VALUE"""),1.0)</f>
        <v>1</v>
      </c>
      <c r="M29" s="3">
        <f>IFERROR(__xludf.DUMMYFUNCTION("""COMPUTED_VALUE"""),1.0)</f>
        <v>1</v>
      </c>
      <c r="N29" s="3"/>
    </row>
    <row r="30">
      <c r="A30" t="s">
        <v>116</v>
      </c>
      <c r="B30" s="300">
        <v>23.0</v>
      </c>
      <c r="C30" s="300">
        <v>23.0</v>
      </c>
      <c r="D30" s="300">
        <v>23.0</v>
      </c>
      <c r="E30" s="300">
        <f>IFERROR(__xludf.DUMMYFUNCTION("if(A30="""","""",counta(filter(unique({filter(Schedule!P:P,Schedule!L:L=A30,(Schedule!K:K=""S1"")+(Schedule!K:K=""""));filter(Schedule!S:S,Schedule!L:L=A30,(Schedule!K:K=""S1"")+(Schedule!K:K=""""));filter(Schedule!V:V,Schedule!L:L=A30,(Schedule!K:K=""S1"&amp;""")+(Schedule!K:K=""""));filter(Schedule!Y:Y,Schedule!L:L=A30,(Schedule!K:K=""S1"")+(Schedule!K:K=""""));filter(Schedule!AB:AB,Schedule!L:L=A30,(Schedule!K:K=""S1"")+(Schedule!K:K=""""));filter(Schedule!AE:AE,Schedule!L:L=A30,(Schedule!K:K=""S1"")+(Schedu"&amp;"le!K:K=""""));filter(Schedule!AH:AH,Schedule!L:L=A30,(Schedule!K:K=""S1"")+(Schedule!K:K=""""));filter(Schedule!AK:AK,Schedule!L:L=A30,(Schedule!K:K=""S1"")+(Schedule!K:K=""""))}),unique({filter(Schedule!P:P,Schedule!L:L=A30,(Schedule!K:K=""S1"")+(Schedul"&amp;"e!K:K=""""));filter(Schedule!S:S,Schedule!L:L=A30,(Schedule!K:K=""S1"")+(Schedule!K:K=""""));filter(Schedule!V:V,Schedule!L:L=A30,(Schedule!K:K=""S1"")+(Schedule!K:K=""""));filter(Schedule!Y:Y,Schedule!L:L=A30,(Schedule!K:K=""S1"")+(Schedule!K:K=""""));fi"&amp;"lter(Schedule!AB:AB,Schedule!L:L=A30,(Schedule!K:K=""S1"")+(Schedule!K:K=""""));filter(Schedule!AE:AE,Schedule!L:L=A30,(Schedule!K:K=""S1"")+(Schedule!K:K=""""));filter(Schedule!AH:AH,Schedule!L:L=A30,(Schedule!K:K=""S1"")+(Schedule!K:K=""""));filter(Sche"&amp;"dule!AK:AK,Schedule!L:L=A30,(Schedule!K:K=""S1"")+(Schedule!K:K=""""))})&lt;&gt;"""")))"),2.0)</f>
        <v>2</v>
      </c>
      <c r="F30" s="300">
        <f>IFERROR(__xludf.DUMMYFUNCTION("if(A30="""","""",counta(filter(unique({filter(Schedule!P:P,Schedule!L:L=A30,(Schedule!K:K=""S2"")+(Schedule!K:K=""""));filter(Schedule!S:S,Schedule!L:L=A30,(Schedule!K:K=""S2"")+(Schedule!K:K=""""));filter(Schedule!V:V,Schedule!L:L=A30,(Schedule!K:K=""S2"&amp;""")+(Schedule!K:K=""""));filter(Schedule!Y:Y,Schedule!L:L=A30,(Schedule!K:K=""S2"")+(Schedule!K:K=""""));filter(Schedule!AB:AB,Schedule!L:L=A30,(Schedule!K:K=""S2"")+(Schedule!K:K=""""));filter(Schedule!AE:AE,Schedule!L:L=A30,(Schedule!K:K=""S2"")+(Schedu"&amp;"le!K:K=""""));filter(Schedule!AH:AH,Schedule!L:L=A30,(Schedule!K:K=""S2"")+(Schedule!K:K=""""));filter(Schedule!AK:AK,Schedule!L:L=A30,(Schedule!K:K=""S2"")+(Schedule!K:K=""""))}),unique({filter(Schedule!P:P,Schedule!L:L=A30,(Schedule!K:K=""S2"")+(Schedul"&amp;"e!K:K=""""));filter(Schedule!S:S,Schedule!L:L=A30,(Schedule!K:K=""S2"")+(Schedule!K:K=""""));filter(Schedule!V:V,Schedule!L:L=A30,(Schedule!K:K=""S2"")+(Schedule!K:K=""""));filter(Schedule!Y:Y,Schedule!L:L=A30,(Schedule!K:K=""S2"")+(Schedule!K:K=""""));fi"&amp;"lter(Schedule!AB:AB,Schedule!L:L=A30,(Schedule!K:K=""S2"")+(Schedule!K:K=""""));filter(Schedule!AE:AE,Schedule!L:L=A30,(Schedule!K:K=""S2"")+(Schedule!K:K=""""));filter(Schedule!AH:AH,Schedule!L:L=A30,(Schedule!K:K=""S2"")+(Schedule!K:K=""""));filter(Sche"&amp;"dule!AK:AK,Schedule!L:L=A30,(Schedule!K:K=""S2"")+(Schedule!K:K=""""))})&lt;&gt;"""")))"),2.0)</f>
        <v>2</v>
      </c>
      <c r="H30" t="str">
        <f>IFERROR(__xludf.DUMMYFUNCTION("""COMPUTED_VALUE"""),"Sindy Villamizar")</f>
        <v>Sindy Villamizar</v>
      </c>
      <c r="I30" s="299">
        <f>IFERROR(__xludf.DUMMYFUNCTION("""COMPUTED_VALUE"""),92.0)</f>
        <v>92</v>
      </c>
      <c r="J30" s="299">
        <f>IFERROR(__xludf.DUMMYFUNCTION("""COMPUTED_VALUE"""),92.0)</f>
        <v>92</v>
      </c>
      <c r="K30" s="299">
        <f>IFERROR(__xludf.DUMMYFUNCTION("""COMPUTED_VALUE"""),92.0)</f>
        <v>92</v>
      </c>
      <c r="L30" s="299">
        <f>IFERROR(__xludf.DUMMYFUNCTION("""COMPUTED_VALUE"""),2.0)</f>
        <v>2</v>
      </c>
      <c r="M30" s="3">
        <f>IFERROR(__xludf.DUMMYFUNCTION("""COMPUTED_VALUE"""),2.0)</f>
        <v>2</v>
      </c>
      <c r="N30" s="3"/>
    </row>
    <row r="31">
      <c r="A31" t="s">
        <v>112</v>
      </c>
      <c r="B31" s="300">
        <v>98.0</v>
      </c>
      <c r="C31" s="300">
        <v>98.0</v>
      </c>
      <c r="D31" s="300">
        <v>98.0</v>
      </c>
      <c r="E31" s="300">
        <f>IFERROR(__xludf.DUMMYFUNCTION("if(A31="""","""",counta(filter(unique({filter(Schedule!P:P,Schedule!L:L=A31,(Schedule!K:K=""S1"")+(Schedule!K:K=""""));filter(Schedule!S:S,Schedule!L:L=A31,(Schedule!K:K=""S1"")+(Schedule!K:K=""""));filter(Schedule!V:V,Schedule!L:L=A31,(Schedule!K:K=""S1"&amp;""")+(Schedule!K:K=""""));filter(Schedule!Y:Y,Schedule!L:L=A31,(Schedule!K:K=""S1"")+(Schedule!K:K=""""));filter(Schedule!AB:AB,Schedule!L:L=A31,(Schedule!K:K=""S1"")+(Schedule!K:K=""""));filter(Schedule!AE:AE,Schedule!L:L=A31,(Schedule!K:K=""S1"")+(Schedu"&amp;"le!K:K=""""));filter(Schedule!AH:AH,Schedule!L:L=A31,(Schedule!K:K=""S1"")+(Schedule!K:K=""""));filter(Schedule!AK:AK,Schedule!L:L=A31,(Schedule!K:K=""S1"")+(Schedule!K:K=""""))}),unique({filter(Schedule!P:P,Schedule!L:L=A31,(Schedule!K:K=""S1"")+(Schedul"&amp;"e!K:K=""""));filter(Schedule!S:S,Schedule!L:L=A31,(Schedule!K:K=""S1"")+(Schedule!K:K=""""));filter(Schedule!V:V,Schedule!L:L=A31,(Schedule!K:K=""S1"")+(Schedule!K:K=""""));filter(Schedule!Y:Y,Schedule!L:L=A31,(Schedule!K:K=""S1"")+(Schedule!K:K=""""));fi"&amp;"lter(Schedule!AB:AB,Schedule!L:L=A31,(Schedule!K:K=""S1"")+(Schedule!K:K=""""));filter(Schedule!AE:AE,Schedule!L:L=A31,(Schedule!K:K=""S1"")+(Schedule!K:K=""""));filter(Schedule!AH:AH,Schedule!L:L=A31,(Schedule!K:K=""S1"")+(Schedule!K:K=""""));filter(Sche"&amp;"dule!AK:AK,Schedule!L:L=A31,(Schedule!K:K=""S1"")+(Schedule!K:K=""""))})&lt;&gt;"""")))"),1.0)</f>
        <v>1</v>
      </c>
      <c r="F31" s="300">
        <f>IFERROR(__xludf.DUMMYFUNCTION("if(A31="""","""",counta(filter(unique({filter(Schedule!P:P,Schedule!L:L=A31,(Schedule!K:K=""S2"")+(Schedule!K:K=""""));filter(Schedule!S:S,Schedule!L:L=A31,(Schedule!K:K=""S2"")+(Schedule!K:K=""""));filter(Schedule!V:V,Schedule!L:L=A31,(Schedule!K:K=""S2"&amp;""")+(Schedule!K:K=""""));filter(Schedule!Y:Y,Schedule!L:L=A31,(Schedule!K:K=""S2"")+(Schedule!K:K=""""));filter(Schedule!AB:AB,Schedule!L:L=A31,(Schedule!K:K=""S2"")+(Schedule!K:K=""""));filter(Schedule!AE:AE,Schedule!L:L=A31,(Schedule!K:K=""S2"")+(Schedu"&amp;"le!K:K=""""));filter(Schedule!AH:AH,Schedule!L:L=A31,(Schedule!K:K=""S2"")+(Schedule!K:K=""""));filter(Schedule!AK:AK,Schedule!L:L=A31,(Schedule!K:K=""S2"")+(Schedule!K:K=""""))}),unique({filter(Schedule!P:P,Schedule!L:L=A31,(Schedule!K:K=""S2"")+(Schedul"&amp;"e!K:K=""""));filter(Schedule!S:S,Schedule!L:L=A31,(Schedule!K:K=""S2"")+(Schedule!K:K=""""));filter(Schedule!V:V,Schedule!L:L=A31,(Schedule!K:K=""S2"")+(Schedule!K:K=""""));filter(Schedule!Y:Y,Schedule!L:L=A31,(Schedule!K:K=""S2"")+(Schedule!K:K=""""));fi"&amp;"lter(Schedule!AB:AB,Schedule!L:L=A31,(Schedule!K:K=""S2"")+(Schedule!K:K=""""));filter(Schedule!AE:AE,Schedule!L:L=A31,(Schedule!K:K=""S2"")+(Schedule!K:K=""""));filter(Schedule!AH:AH,Schedule!L:L=A31,(Schedule!K:K=""S2"")+(Schedule!K:K=""""));filter(Sche"&amp;"dule!AK:AK,Schedule!L:L=A31,(Schedule!K:K=""S2"")+(Schedule!K:K=""""))})&lt;&gt;"""")))"),1.0)</f>
        <v>1</v>
      </c>
      <c r="H31" t="str">
        <f>IFERROR(__xludf.DUMMYFUNCTION("""COMPUTED_VALUE"""),"Juan Carlos Ledezma")</f>
        <v>Juan Carlos Ledezma</v>
      </c>
      <c r="I31" s="299">
        <f>IFERROR(__xludf.DUMMYFUNCTION("""COMPUTED_VALUE"""),91.0)</f>
        <v>91</v>
      </c>
      <c r="J31" s="299">
        <f>IFERROR(__xludf.DUMMYFUNCTION("""COMPUTED_VALUE"""),91.0)</f>
        <v>91</v>
      </c>
      <c r="K31" s="299">
        <f>IFERROR(__xludf.DUMMYFUNCTION("""COMPUTED_VALUE"""),91.0)</f>
        <v>91</v>
      </c>
      <c r="L31" s="299">
        <f>IFERROR(__xludf.DUMMYFUNCTION("""COMPUTED_VALUE"""),3.0)</f>
        <v>3</v>
      </c>
      <c r="M31" s="3">
        <f>IFERROR(__xludf.DUMMYFUNCTION("""COMPUTED_VALUE"""),3.0)</f>
        <v>3</v>
      </c>
      <c r="N31" s="3"/>
    </row>
    <row r="32">
      <c r="A32" t="s">
        <v>77</v>
      </c>
      <c r="B32" s="300">
        <v>92.0</v>
      </c>
      <c r="C32" s="300">
        <v>92.0</v>
      </c>
      <c r="D32" s="300">
        <v>92.0</v>
      </c>
      <c r="E32" s="300">
        <f>IFERROR(__xludf.DUMMYFUNCTION("if(A32="""","""",counta(filter(unique({filter(Schedule!P:P,Schedule!L:L=A32,(Schedule!K:K=""S1"")+(Schedule!K:K=""""));filter(Schedule!S:S,Schedule!L:L=A32,(Schedule!K:K=""S1"")+(Schedule!K:K=""""));filter(Schedule!V:V,Schedule!L:L=A32,(Schedule!K:K=""S1"&amp;""")+(Schedule!K:K=""""));filter(Schedule!Y:Y,Schedule!L:L=A32,(Schedule!K:K=""S1"")+(Schedule!K:K=""""));filter(Schedule!AB:AB,Schedule!L:L=A32,(Schedule!K:K=""S1"")+(Schedule!K:K=""""));filter(Schedule!AE:AE,Schedule!L:L=A32,(Schedule!K:K=""S1"")+(Schedu"&amp;"le!K:K=""""));filter(Schedule!AH:AH,Schedule!L:L=A32,(Schedule!K:K=""S1"")+(Schedule!K:K=""""));filter(Schedule!AK:AK,Schedule!L:L=A32,(Schedule!K:K=""S1"")+(Schedule!K:K=""""))}),unique({filter(Schedule!P:P,Schedule!L:L=A32,(Schedule!K:K=""S1"")+(Schedul"&amp;"e!K:K=""""));filter(Schedule!S:S,Schedule!L:L=A32,(Schedule!K:K=""S1"")+(Schedule!K:K=""""));filter(Schedule!V:V,Schedule!L:L=A32,(Schedule!K:K=""S1"")+(Schedule!K:K=""""));filter(Schedule!Y:Y,Schedule!L:L=A32,(Schedule!K:K=""S1"")+(Schedule!K:K=""""));fi"&amp;"lter(Schedule!AB:AB,Schedule!L:L=A32,(Schedule!K:K=""S1"")+(Schedule!K:K=""""));filter(Schedule!AE:AE,Schedule!L:L=A32,(Schedule!K:K=""S1"")+(Schedule!K:K=""""));filter(Schedule!AH:AH,Schedule!L:L=A32,(Schedule!K:K=""S1"")+(Schedule!K:K=""""));filter(Sche"&amp;"dule!AK:AK,Schedule!L:L=A32,(Schedule!K:K=""S1"")+(Schedule!K:K=""""))})&lt;&gt;"""")))"),1.0)</f>
        <v>1</v>
      </c>
      <c r="F32" s="300">
        <f>IFERROR(__xludf.DUMMYFUNCTION("if(A32="""","""",counta(filter(unique({filter(Schedule!P:P,Schedule!L:L=A32,(Schedule!K:K=""S2"")+(Schedule!K:K=""""));filter(Schedule!S:S,Schedule!L:L=A32,(Schedule!K:K=""S2"")+(Schedule!K:K=""""));filter(Schedule!V:V,Schedule!L:L=A32,(Schedule!K:K=""S2"&amp;""")+(Schedule!K:K=""""));filter(Schedule!Y:Y,Schedule!L:L=A32,(Schedule!K:K=""S2"")+(Schedule!K:K=""""));filter(Schedule!AB:AB,Schedule!L:L=A32,(Schedule!K:K=""S2"")+(Schedule!K:K=""""));filter(Schedule!AE:AE,Schedule!L:L=A32,(Schedule!K:K=""S2"")+(Schedu"&amp;"le!K:K=""""));filter(Schedule!AH:AH,Schedule!L:L=A32,(Schedule!K:K=""S2"")+(Schedule!K:K=""""));filter(Schedule!AK:AK,Schedule!L:L=A32,(Schedule!K:K=""S2"")+(Schedule!K:K=""""))}),unique({filter(Schedule!P:P,Schedule!L:L=A32,(Schedule!K:K=""S2"")+(Schedul"&amp;"e!K:K=""""));filter(Schedule!S:S,Schedule!L:L=A32,(Schedule!K:K=""S2"")+(Schedule!K:K=""""));filter(Schedule!V:V,Schedule!L:L=A32,(Schedule!K:K=""S2"")+(Schedule!K:K=""""));filter(Schedule!Y:Y,Schedule!L:L=A32,(Schedule!K:K=""S2"")+(Schedule!K:K=""""));fi"&amp;"lter(Schedule!AB:AB,Schedule!L:L=A32,(Schedule!K:K=""S2"")+(Schedule!K:K=""""));filter(Schedule!AE:AE,Schedule!L:L=A32,(Schedule!K:K=""S2"")+(Schedule!K:K=""""));filter(Schedule!AH:AH,Schedule!L:L=A32,(Schedule!K:K=""S2"")+(Schedule!K:K=""""));filter(Sche"&amp;"dule!AK:AK,Schedule!L:L=A32,(Schedule!K:K=""S2"")+(Schedule!K:K=""""))})&lt;&gt;"""")))"),1.0)</f>
        <v>1</v>
      </c>
      <c r="H32" t="str">
        <f>IFERROR(__xludf.DUMMYFUNCTION("""COMPUTED_VALUE"""),"Norberto Villa")</f>
        <v>Norberto Villa</v>
      </c>
      <c r="I32" s="299">
        <f>IFERROR(__xludf.DUMMYFUNCTION("""COMPUTED_VALUE"""),91.0)</f>
        <v>91</v>
      </c>
      <c r="J32" s="299">
        <f>IFERROR(__xludf.DUMMYFUNCTION("""COMPUTED_VALUE"""),91.0)</f>
        <v>91</v>
      </c>
      <c r="K32" s="299">
        <f>IFERROR(__xludf.DUMMYFUNCTION("""COMPUTED_VALUE"""),91.0)</f>
        <v>91</v>
      </c>
      <c r="L32" s="299">
        <f>IFERROR(__xludf.DUMMYFUNCTION("""COMPUTED_VALUE"""),1.0)</f>
        <v>1</v>
      </c>
      <c r="M32" s="3">
        <f>IFERROR(__xludf.DUMMYFUNCTION("""COMPUTED_VALUE"""),1.0)</f>
        <v>1</v>
      </c>
      <c r="N32" s="3"/>
    </row>
    <row r="33">
      <c r="A33" t="s">
        <v>42</v>
      </c>
      <c r="B33" s="300">
        <v>98.0</v>
      </c>
      <c r="C33" s="300">
        <v>98.0</v>
      </c>
      <c r="D33" s="300">
        <v>98.0</v>
      </c>
      <c r="E33" s="300">
        <f>IFERROR(__xludf.DUMMYFUNCTION("if(A33="""","""",counta(filter(unique({filter(Schedule!P:P,Schedule!L:L=A33,(Schedule!K:K=""S1"")+(Schedule!K:K=""""));filter(Schedule!S:S,Schedule!L:L=A33,(Schedule!K:K=""S1"")+(Schedule!K:K=""""));filter(Schedule!V:V,Schedule!L:L=A33,(Schedule!K:K=""S1"&amp;""")+(Schedule!K:K=""""));filter(Schedule!Y:Y,Schedule!L:L=A33,(Schedule!K:K=""S1"")+(Schedule!K:K=""""));filter(Schedule!AB:AB,Schedule!L:L=A33,(Schedule!K:K=""S1"")+(Schedule!K:K=""""));filter(Schedule!AE:AE,Schedule!L:L=A33,(Schedule!K:K=""S1"")+(Schedu"&amp;"le!K:K=""""));filter(Schedule!AH:AH,Schedule!L:L=A33,(Schedule!K:K=""S1"")+(Schedule!K:K=""""));filter(Schedule!AK:AK,Schedule!L:L=A33,(Schedule!K:K=""S1"")+(Schedule!K:K=""""))}),unique({filter(Schedule!P:P,Schedule!L:L=A33,(Schedule!K:K=""S1"")+(Schedul"&amp;"e!K:K=""""));filter(Schedule!S:S,Schedule!L:L=A33,(Schedule!K:K=""S1"")+(Schedule!K:K=""""));filter(Schedule!V:V,Schedule!L:L=A33,(Schedule!K:K=""S1"")+(Schedule!K:K=""""));filter(Schedule!Y:Y,Schedule!L:L=A33,(Schedule!K:K=""S1"")+(Schedule!K:K=""""));fi"&amp;"lter(Schedule!AB:AB,Schedule!L:L=A33,(Schedule!K:K=""S1"")+(Schedule!K:K=""""));filter(Schedule!AE:AE,Schedule!L:L=A33,(Schedule!K:K=""S1"")+(Schedule!K:K=""""));filter(Schedule!AH:AH,Schedule!L:L=A33,(Schedule!K:K=""S1"")+(Schedule!K:K=""""));filter(Sche"&amp;"dule!AK:AK,Schedule!L:L=A33,(Schedule!K:K=""S1"")+(Schedule!K:K=""""))})&lt;&gt;"""")))"),2.0)</f>
        <v>2</v>
      </c>
      <c r="F33" s="300">
        <f>IFERROR(__xludf.DUMMYFUNCTION("if(A33="""","""",counta(filter(unique({filter(Schedule!P:P,Schedule!L:L=A33,(Schedule!K:K=""S2"")+(Schedule!K:K=""""));filter(Schedule!S:S,Schedule!L:L=A33,(Schedule!K:K=""S2"")+(Schedule!K:K=""""));filter(Schedule!V:V,Schedule!L:L=A33,(Schedule!K:K=""S2"&amp;""")+(Schedule!K:K=""""));filter(Schedule!Y:Y,Schedule!L:L=A33,(Schedule!K:K=""S2"")+(Schedule!K:K=""""));filter(Schedule!AB:AB,Schedule!L:L=A33,(Schedule!K:K=""S2"")+(Schedule!K:K=""""));filter(Schedule!AE:AE,Schedule!L:L=A33,(Schedule!K:K=""S2"")+(Schedu"&amp;"le!K:K=""""));filter(Schedule!AH:AH,Schedule!L:L=A33,(Schedule!K:K=""S2"")+(Schedule!K:K=""""));filter(Schedule!AK:AK,Schedule!L:L=A33,(Schedule!K:K=""S2"")+(Schedule!K:K=""""))}),unique({filter(Schedule!P:P,Schedule!L:L=A33,(Schedule!K:K=""S2"")+(Schedul"&amp;"e!K:K=""""));filter(Schedule!S:S,Schedule!L:L=A33,(Schedule!K:K=""S2"")+(Schedule!K:K=""""));filter(Schedule!V:V,Schedule!L:L=A33,(Schedule!K:K=""S2"")+(Schedule!K:K=""""));filter(Schedule!Y:Y,Schedule!L:L=A33,(Schedule!K:K=""S2"")+(Schedule!K:K=""""));fi"&amp;"lter(Schedule!AB:AB,Schedule!L:L=A33,(Schedule!K:K=""S2"")+(Schedule!K:K=""""));filter(Schedule!AE:AE,Schedule!L:L=A33,(Schedule!K:K=""S2"")+(Schedule!K:K=""""));filter(Schedule!AH:AH,Schedule!L:L=A33,(Schedule!K:K=""S2"")+(Schedule!K:K=""""));filter(Sche"&amp;"dule!AK:AK,Schedule!L:L=A33,(Schedule!K:K=""S2"")+(Schedule!K:K=""""))})&lt;&gt;"""")))"),2.0)</f>
        <v>2</v>
      </c>
      <c r="H33" t="str">
        <f>IFERROR(__xludf.DUMMYFUNCTION("""COMPUTED_VALUE"""),"Bradford Stretton")</f>
        <v>Bradford Stretton</v>
      </c>
      <c r="I33" s="299">
        <f>IFERROR(__xludf.DUMMYFUNCTION("""COMPUTED_VALUE"""),89.0)</f>
        <v>89</v>
      </c>
      <c r="J33" s="299">
        <f>IFERROR(__xludf.DUMMYFUNCTION("""COMPUTED_VALUE"""),89.0)</f>
        <v>89</v>
      </c>
      <c r="K33" s="299">
        <f>IFERROR(__xludf.DUMMYFUNCTION("""COMPUTED_VALUE"""),89.0)</f>
        <v>89</v>
      </c>
      <c r="L33" s="299">
        <f>IFERROR(__xludf.DUMMYFUNCTION("""COMPUTED_VALUE"""),3.0)</f>
        <v>3</v>
      </c>
      <c r="M33" s="3">
        <f>IFERROR(__xludf.DUMMYFUNCTION("""COMPUTED_VALUE"""),3.0)</f>
        <v>3</v>
      </c>
      <c r="N33" s="3"/>
    </row>
    <row r="34">
      <c r="A34" t="s">
        <v>75</v>
      </c>
      <c r="B34" s="300">
        <v>75.0</v>
      </c>
      <c r="C34" s="300">
        <v>75.0</v>
      </c>
      <c r="D34" s="300">
        <v>75.0</v>
      </c>
      <c r="E34" s="300">
        <f>IFERROR(__xludf.DUMMYFUNCTION("if(A34="""","""",counta(filter(unique({filter(Schedule!P:P,Schedule!L:L=A34,(Schedule!K:K=""S1"")+(Schedule!K:K=""""));filter(Schedule!S:S,Schedule!L:L=A34,(Schedule!K:K=""S1"")+(Schedule!K:K=""""));filter(Schedule!V:V,Schedule!L:L=A34,(Schedule!K:K=""S1"&amp;""")+(Schedule!K:K=""""));filter(Schedule!Y:Y,Schedule!L:L=A34,(Schedule!K:K=""S1"")+(Schedule!K:K=""""));filter(Schedule!AB:AB,Schedule!L:L=A34,(Schedule!K:K=""S1"")+(Schedule!K:K=""""));filter(Schedule!AE:AE,Schedule!L:L=A34,(Schedule!K:K=""S1"")+(Schedu"&amp;"le!K:K=""""));filter(Schedule!AH:AH,Schedule!L:L=A34,(Schedule!K:K=""S1"")+(Schedule!K:K=""""));filter(Schedule!AK:AK,Schedule!L:L=A34,(Schedule!K:K=""S1"")+(Schedule!K:K=""""))}),unique({filter(Schedule!P:P,Schedule!L:L=A34,(Schedule!K:K=""S1"")+(Schedul"&amp;"e!K:K=""""));filter(Schedule!S:S,Schedule!L:L=A34,(Schedule!K:K=""S1"")+(Schedule!K:K=""""));filter(Schedule!V:V,Schedule!L:L=A34,(Schedule!K:K=""S1"")+(Schedule!K:K=""""));filter(Schedule!Y:Y,Schedule!L:L=A34,(Schedule!K:K=""S1"")+(Schedule!K:K=""""));fi"&amp;"lter(Schedule!AB:AB,Schedule!L:L=A34,(Schedule!K:K=""S1"")+(Schedule!K:K=""""));filter(Schedule!AE:AE,Schedule!L:L=A34,(Schedule!K:K=""S1"")+(Schedule!K:K=""""));filter(Schedule!AH:AH,Schedule!L:L=A34,(Schedule!K:K=""S1"")+(Schedule!K:K=""""));filter(Sche"&amp;"dule!AK:AK,Schedule!L:L=A34,(Schedule!K:K=""S1"")+(Schedule!K:K=""""))})&lt;&gt;"""")))"),2.0)</f>
        <v>2</v>
      </c>
      <c r="F34" s="300">
        <f>IFERROR(__xludf.DUMMYFUNCTION("if(A34="""","""",counta(filter(unique({filter(Schedule!P:P,Schedule!L:L=A34,(Schedule!K:K=""S2"")+(Schedule!K:K=""""));filter(Schedule!S:S,Schedule!L:L=A34,(Schedule!K:K=""S2"")+(Schedule!K:K=""""));filter(Schedule!V:V,Schedule!L:L=A34,(Schedule!K:K=""S2"&amp;""")+(Schedule!K:K=""""));filter(Schedule!Y:Y,Schedule!L:L=A34,(Schedule!K:K=""S2"")+(Schedule!K:K=""""));filter(Schedule!AB:AB,Schedule!L:L=A34,(Schedule!K:K=""S2"")+(Schedule!K:K=""""));filter(Schedule!AE:AE,Schedule!L:L=A34,(Schedule!K:K=""S2"")+(Schedu"&amp;"le!K:K=""""));filter(Schedule!AH:AH,Schedule!L:L=A34,(Schedule!K:K=""S2"")+(Schedule!K:K=""""));filter(Schedule!AK:AK,Schedule!L:L=A34,(Schedule!K:K=""S2"")+(Schedule!K:K=""""))}),unique({filter(Schedule!P:P,Schedule!L:L=A34,(Schedule!K:K=""S2"")+(Schedul"&amp;"e!K:K=""""));filter(Schedule!S:S,Schedule!L:L=A34,(Schedule!K:K=""S2"")+(Schedule!K:K=""""));filter(Schedule!V:V,Schedule!L:L=A34,(Schedule!K:K=""S2"")+(Schedule!K:K=""""));filter(Schedule!Y:Y,Schedule!L:L=A34,(Schedule!K:K=""S2"")+(Schedule!K:K=""""));fi"&amp;"lter(Schedule!AB:AB,Schedule!L:L=A34,(Schedule!K:K=""S2"")+(Schedule!K:K=""""));filter(Schedule!AE:AE,Schedule!L:L=A34,(Schedule!K:K=""S2"")+(Schedule!K:K=""""));filter(Schedule!AH:AH,Schedule!L:L=A34,(Schedule!K:K=""S2"")+(Schedule!K:K=""""));filter(Sche"&amp;"dule!AK:AK,Schedule!L:L=A34,(Schedule!K:K=""S2"")+(Schedule!K:K=""""))})&lt;&gt;"""")))"),2.0)</f>
        <v>2</v>
      </c>
      <c r="H34" t="str">
        <f>IFERROR(__xludf.DUMMYFUNCTION("""COMPUTED_VALUE"""),"Johana Restrepo")</f>
        <v>Johana Restrepo</v>
      </c>
      <c r="I34" s="299">
        <f>IFERROR(__xludf.DUMMYFUNCTION("""COMPUTED_VALUE"""),88.0)</f>
        <v>88</v>
      </c>
      <c r="J34" s="299">
        <f>IFERROR(__xludf.DUMMYFUNCTION("""COMPUTED_VALUE"""),88.0)</f>
        <v>88</v>
      </c>
      <c r="K34" s="299">
        <f>IFERROR(__xludf.DUMMYFUNCTION("""COMPUTED_VALUE"""),88.0)</f>
        <v>88</v>
      </c>
      <c r="L34" s="299">
        <f>IFERROR(__xludf.DUMMYFUNCTION("""COMPUTED_VALUE"""),1.0)</f>
        <v>1</v>
      </c>
      <c r="M34" s="3">
        <f>IFERROR(__xludf.DUMMYFUNCTION("""COMPUTED_VALUE"""),1.0)</f>
        <v>1</v>
      </c>
      <c r="N34" s="3"/>
    </row>
    <row r="35">
      <c r="A35" t="s">
        <v>50</v>
      </c>
      <c r="B35" s="300">
        <v>109.0</v>
      </c>
      <c r="C35" s="300">
        <v>109.0</v>
      </c>
      <c r="D35" s="300">
        <v>109.0</v>
      </c>
      <c r="E35" s="300">
        <f>IFERROR(__xludf.DUMMYFUNCTION("if(A35="""","""",counta(filter(unique({filter(Schedule!P:P,Schedule!L:L=A35,(Schedule!K:K=""S1"")+(Schedule!K:K=""""));filter(Schedule!S:S,Schedule!L:L=A35,(Schedule!K:K=""S1"")+(Schedule!K:K=""""));filter(Schedule!V:V,Schedule!L:L=A35,(Schedule!K:K=""S1"&amp;""")+(Schedule!K:K=""""));filter(Schedule!Y:Y,Schedule!L:L=A35,(Schedule!K:K=""S1"")+(Schedule!K:K=""""));filter(Schedule!AB:AB,Schedule!L:L=A35,(Schedule!K:K=""S1"")+(Schedule!K:K=""""));filter(Schedule!AE:AE,Schedule!L:L=A35,(Schedule!K:K=""S1"")+(Schedu"&amp;"le!K:K=""""));filter(Schedule!AH:AH,Schedule!L:L=A35,(Schedule!K:K=""S1"")+(Schedule!K:K=""""));filter(Schedule!AK:AK,Schedule!L:L=A35,(Schedule!K:K=""S1"")+(Schedule!K:K=""""))}),unique({filter(Schedule!P:P,Schedule!L:L=A35,(Schedule!K:K=""S1"")+(Schedul"&amp;"e!K:K=""""));filter(Schedule!S:S,Schedule!L:L=A35,(Schedule!K:K=""S1"")+(Schedule!K:K=""""));filter(Schedule!V:V,Schedule!L:L=A35,(Schedule!K:K=""S1"")+(Schedule!K:K=""""));filter(Schedule!Y:Y,Schedule!L:L=A35,(Schedule!K:K=""S1"")+(Schedule!K:K=""""));fi"&amp;"lter(Schedule!AB:AB,Schedule!L:L=A35,(Schedule!K:K=""S1"")+(Schedule!K:K=""""));filter(Schedule!AE:AE,Schedule!L:L=A35,(Schedule!K:K=""S1"")+(Schedule!K:K=""""));filter(Schedule!AH:AH,Schedule!L:L=A35,(Schedule!K:K=""S1"")+(Schedule!K:K=""""));filter(Sche"&amp;"dule!AK:AK,Schedule!L:L=A35,(Schedule!K:K=""S1"")+(Schedule!K:K=""""))})&lt;&gt;"""")))"),2.0)</f>
        <v>2</v>
      </c>
      <c r="F35" s="300">
        <f>IFERROR(__xludf.DUMMYFUNCTION("if(A35="""","""",counta(filter(unique({filter(Schedule!P:P,Schedule!L:L=A35,(Schedule!K:K=""S2"")+(Schedule!K:K=""""));filter(Schedule!S:S,Schedule!L:L=A35,(Schedule!K:K=""S2"")+(Schedule!K:K=""""));filter(Schedule!V:V,Schedule!L:L=A35,(Schedule!K:K=""S2"&amp;""")+(Schedule!K:K=""""));filter(Schedule!Y:Y,Schedule!L:L=A35,(Schedule!K:K=""S2"")+(Schedule!K:K=""""));filter(Schedule!AB:AB,Schedule!L:L=A35,(Schedule!K:K=""S2"")+(Schedule!K:K=""""));filter(Schedule!AE:AE,Schedule!L:L=A35,(Schedule!K:K=""S2"")+(Schedu"&amp;"le!K:K=""""));filter(Schedule!AH:AH,Schedule!L:L=A35,(Schedule!K:K=""S2"")+(Schedule!K:K=""""));filter(Schedule!AK:AK,Schedule!L:L=A35,(Schedule!K:K=""S2"")+(Schedule!K:K=""""))}),unique({filter(Schedule!P:P,Schedule!L:L=A35,(Schedule!K:K=""S2"")+(Schedul"&amp;"e!K:K=""""));filter(Schedule!S:S,Schedule!L:L=A35,(Schedule!K:K=""S2"")+(Schedule!K:K=""""));filter(Schedule!V:V,Schedule!L:L=A35,(Schedule!K:K=""S2"")+(Schedule!K:K=""""));filter(Schedule!Y:Y,Schedule!L:L=A35,(Schedule!K:K=""S2"")+(Schedule!K:K=""""));fi"&amp;"lter(Schedule!AB:AB,Schedule!L:L=A35,(Schedule!K:K=""S2"")+(Schedule!K:K=""""));filter(Schedule!AE:AE,Schedule!L:L=A35,(Schedule!K:K=""S2"")+(Schedule!K:K=""""));filter(Schedule!AH:AH,Schedule!L:L=A35,(Schedule!K:K=""S2"")+(Schedule!K:K=""""));filter(Sche"&amp;"dule!AK:AK,Schedule!L:L=A35,(Schedule!K:K=""S2"")+(Schedule!K:K=""""))})&lt;&gt;"""")))"),2.0)</f>
        <v>2</v>
      </c>
      <c r="H35" t="str">
        <f>IFERROR(__xludf.DUMMYFUNCTION("""COMPUTED_VALUE"""),"Alejandro Henao")</f>
        <v>Alejandro Henao</v>
      </c>
      <c r="I35" s="299">
        <f>IFERROR(__xludf.DUMMYFUNCTION("""COMPUTED_VALUE"""),86.0)</f>
        <v>86</v>
      </c>
      <c r="J35" s="299">
        <f>IFERROR(__xludf.DUMMYFUNCTION("""COMPUTED_VALUE"""),86.0)</f>
        <v>86</v>
      </c>
      <c r="K35" s="299">
        <f>IFERROR(__xludf.DUMMYFUNCTION("""COMPUTED_VALUE"""),86.0)</f>
        <v>86</v>
      </c>
      <c r="L35" s="299">
        <f>IFERROR(__xludf.DUMMYFUNCTION("""COMPUTED_VALUE"""),2.0)</f>
        <v>2</v>
      </c>
      <c r="M35" s="3">
        <f>IFERROR(__xludf.DUMMYFUNCTION("""COMPUTED_VALUE"""),2.0)</f>
        <v>2</v>
      </c>
      <c r="N35" s="3"/>
    </row>
    <row r="36">
      <c r="A36" t="s">
        <v>67</v>
      </c>
      <c r="B36" s="300">
        <v>91.0</v>
      </c>
      <c r="C36" s="300">
        <v>91.0</v>
      </c>
      <c r="D36" s="300">
        <v>91.0</v>
      </c>
      <c r="E36" s="300">
        <f>IFERROR(__xludf.DUMMYFUNCTION("if(A36="""","""",counta(filter(unique({filter(Schedule!P:P,Schedule!L:L=A36,(Schedule!K:K=""S1"")+(Schedule!K:K=""""));filter(Schedule!S:S,Schedule!L:L=A36,(Schedule!K:K=""S1"")+(Schedule!K:K=""""));filter(Schedule!V:V,Schedule!L:L=A36,(Schedule!K:K=""S1"&amp;""")+(Schedule!K:K=""""));filter(Schedule!Y:Y,Schedule!L:L=A36,(Schedule!K:K=""S1"")+(Schedule!K:K=""""));filter(Schedule!AB:AB,Schedule!L:L=A36,(Schedule!K:K=""S1"")+(Schedule!K:K=""""));filter(Schedule!AE:AE,Schedule!L:L=A36,(Schedule!K:K=""S1"")+(Schedu"&amp;"le!K:K=""""));filter(Schedule!AH:AH,Schedule!L:L=A36,(Schedule!K:K=""S1"")+(Schedule!K:K=""""));filter(Schedule!AK:AK,Schedule!L:L=A36,(Schedule!K:K=""S1"")+(Schedule!K:K=""""))}),unique({filter(Schedule!P:P,Schedule!L:L=A36,(Schedule!K:K=""S1"")+(Schedul"&amp;"e!K:K=""""));filter(Schedule!S:S,Schedule!L:L=A36,(Schedule!K:K=""S1"")+(Schedule!K:K=""""));filter(Schedule!V:V,Schedule!L:L=A36,(Schedule!K:K=""S1"")+(Schedule!K:K=""""));filter(Schedule!Y:Y,Schedule!L:L=A36,(Schedule!K:K=""S1"")+(Schedule!K:K=""""));fi"&amp;"lter(Schedule!AB:AB,Schedule!L:L=A36,(Schedule!K:K=""S1"")+(Schedule!K:K=""""));filter(Schedule!AE:AE,Schedule!L:L=A36,(Schedule!K:K=""S1"")+(Schedule!K:K=""""));filter(Schedule!AH:AH,Schedule!L:L=A36,(Schedule!K:K=""S1"")+(Schedule!K:K=""""));filter(Sche"&amp;"dule!AK:AK,Schedule!L:L=A36,(Schedule!K:K=""S1"")+(Schedule!K:K=""""))})&lt;&gt;"""")))"),1.0)</f>
        <v>1</v>
      </c>
      <c r="F36" s="300">
        <f>IFERROR(__xludf.DUMMYFUNCTION("if(A36="""","""",counta(filter(unique({filter(Schedule!P:P,Schedule!L:L=A36,(Schedule!K:K=""S2"")+(Schedule!K:K=""""));filter(Schedule!S:S,Schedule!L:L=A36,(Schedule!K:K=""S2"")+(Schedule!K:K=""""));filter(Schedule!V:V,Schedule!L:L=A36,(Schedule!K:K=""S2"&amp;""")+(Schedule!K:K=""""));filter(Schedule!Y:Y,Schedule!L:L=A36,(Schedule!K:K=""S2"")+(Schedule!K:K=""""));filter(Schedule!AB:AB,Schedule!L:L=A36,(Schedule!K:K=""S2"")+(Schedule!K:K=""""));filter(Schedule!AE:AE,Schedule!L:L=A36,(Schedule!K:K=""S2"")+(Schedu"&amp;"le!K:K=""""));filter(Schedule!AH:AH,Schedule!L:L=A36,(Schedule!K:K=""S2"")+(Schedule!K:K=""""));filter(Schedule!AK:AK,Schedule!L:L=A36,(Schedule!K:K=""S2"")+(Schedule!K:K=""""))}),unique({filter(Schedule!P:P,Schedule!L:L=A36,(Schedule!K:K=""S2"")+(Schedul"&amp;"e!K:K=""""));filter(Schedule!S:S,Schedule!L:L=A36,(Schedule!K:K=""S2"")+(Schedule!K:K=""""));filter(Schedule!V:V,Schedule!L:L=A36,(Schedule!K:K=""S2"")+(Schedule!K:K=""""));filter(Schedule!Y:Y,Schedule!L:L=A36,(Schedule!K:K=""S2"")+(Schedule!K:K=""""));fi"&amp;"lter(Schedule!AB:AB,Schedule!L:L=A36,(Schedule!K:K=""S2"")+(Schedule!K:K=""""));filter(Schedule!AE:AE,Schedule!L:L=A36,(Schedule!K:K=""S2"")+(Schedule!K:K=""""));filter(Schedule!AH:AH,Schedule!L:L=A36,(Schedule!K:K=""S2"")+(Schedule!K:K=""""));filter(Sche"&amp;"dule!AK:AK,Schedule!L:L=A36,(Schedule!K:K=""S2"")+(Schedule!K:K=""""))})&lt;&gt;"""")))"),1.0)</f>
        <v>1</v>
      </c>
      <c r="H36" t="str">
        <f>IFERROR(__xludf.DUMMYFUNCTION("""COMPUTED_VALUE"""),"Jake Landry")</f>
        <v>Jake Landry</v>
      </c>
      <c r="I36" s="299">
        <f>IFERROR(__xludf.DUMMYFUNCTION("""COMPUTED_VALUE"""),85.0)</f>
        <v>85</v>
      </c>
      <c r="J36" s="299">
        <f>IFERROR(__xludf.DUMMYFUNCTION("""COMPUTED_VALUE"""),85.0)</f>
        <v>85</v>
      </c>
      <c r="K36" s="299">
        <f>IFERROR(__xludf.DUMMYFUNCTION("""COMPUTED_VALUE"""),85.0)</f>
        <v>85</v>
      </c>
      <c r="L36" s="299">
        <f>IFERROR(__xludf.DUMMYFUNCTION("""COMPUTED_VALUE"""),3.0)</f>
        <v>3</v>
      </c>
      <c r="M36" s="3">
        <f>IFERROR(__xludf.DUMMYFUNCTION("""COMPUTED_VALUE"""),3.0)</f>
        <v>3</v>
      </c>
      <c r="N36" s="3"/>
    </row>
    <row r="37">
      <c r="A37" t="s">
        <v>47</v>
      </c>
      <c r="B37" s="300">
        <v>98.0</v>
      </c>
      <c r="C37" s="300">
        <v>98.0</v>
      </c>
      <c r="D37" s="300">
        <v>98.0</v>
      </c>
      <c r="E37" s="300">
        <f>IFERROR(__xludf.DUMMYFUNCTION("if(A37="""","""",counta(filter(unique({filter(Schedule!P:P,Schedule!L:L=A37,(Schedule!K:K=""S1"")+(Schedule!K:K=""""));filter(Schedule!S:S,Schedule!L:L=A37,(Schedule!K:K=""S1"")+(Schedule!K:K=""""));filter(Schedule!V:V,Schedule!L:L=A37,(Schedule!K:K=""S1"&amp;""")+(Schedule!K:K=""""));filter(Schedule!Y:Y,Schedule!L:L=A37,(Schedule!K:K=""S1"")+(Schedule!K:K=""""));filter(Schedule!AB:AB,Schedule!L:L=A37,(Schedule!K:K=""S1"")+(Schedule!K:K=""""));filter(Schedule!AE:AE,Schedule!L:L=A37,(Schedule!K:K=""S1"")+(Schedu"&amp;"le!K:K=""""));filter(Schedule!AH:AH,Schedule!L:L=A37,(Schedule!K:K=""S1"")+(Schedule!K:K=""""));filter(Schedule!AK:AK,Schedule!L:L=A37,(Schedule!K:K=""S1"")+(Schedule!K:K=""""))}),unique({filter(Schedule!P:P,Schedule!L:L=A37,(Schedule!K:K=""S1"")+(Schedul"&amp;"e!K:K=""""));filter(Schedule!S:S,Schedule!L:L=A37,(Schedule!K:K=""S1"")+(Schedule!K:K=""""));filter(Schedule!V:V,Schedule!L:L=A37,(Schedule!K:K=""S1"")+(Schedule!K:K=""""));filter(Schedule!Y:Y,Schedule!L:L=A37,(Schedule!K:K=""S1"")+(Schedule!K:K=""""));fi"&amp;"lter(Schedule!AB:AB,Schedule!L:L=A37,(Schedule!K:K=""S1"")+(Schedule!K:K=""""));filter(Schedule!AE:AE,Schedule!L:L=A37,(Schedule!K:K=""S1"")+(Schedule!K:K=""""));filter(Schedule!AH:AH,Schedule!L:L=A37,(Schedule!K:K=""S1"")+(Schedule!K:K=""""));filter(Sche"&amp;"dule!AK:AK,Schedule!L:L=A37,(Schedule!K:K=""S1"")+(Schedule!K:K=""""))})&lt;&gt;"""")))"),3.0)</f>
        <v>3</v>
      </c>
      <c r="F37" s="300">
        <f>IFERROR(__xludf.DUMMYFUNCTION("if(A37="""","""",counta(filter(unique({filter(Schedule!P:P,Schedule!L:L=A37,(Schedule!K:K=""S2"")+(Schedule!K:K=""""));filter(Schedule!S:S,Schedule!L:L=A37,(Schedule!K:K=""S2"")+(Schedule!K:K=""""));filter(Schedule!V:V,Schedule!L:L=A37,(Schedule!K:K=""S2"&amp;""")+(Schedule!K:K=""""));filter(Schedule!Y:Y,Schedule!L:L=A37,(Schedule!K:K=""S2"")+(Schedule!K:K=""""));filter(Schedule!AB:AB,Schedule!L:L=A37,(Schedule!K:K=""S2"")+(Schedule!K:K=""""));filter(Schedule!AE:AE,Schedule!L:L=A37,(Schedule!K:K=""S2"")+(Schedu"&amp;"le!K:K=""""));filter(Schedule!AH:AH,Schedule!L:L=A37,(Schedule!K:K=""S2"")+(Schedule!K:K=""""));filter(Schedule!AK:AK,Schedule!L:L=A37,(Schedule!K:K=""S2"")+(Schedule!K:K=""""))}),unique({filter(Schedule!P:P,Schedule!L:L=A37,(Schedule!K:K=""S2"")+(Schedul"&amp;"e!K:K=""""));filter(Schedule!S:S,Schedule!L:L=A37,(Schedule!K:K=""S2"")+(Schedule!K:K=""""));filter(Schedule!V:V,Schedule!L:L=A37,(Schedule!K:K=""S2"")+(Schedule!K:K=""""));filter(Schedule!Y:Y,Schedule!L:L=A37,(Schedule!K:K=""S2"")+(Schedule!K:K=""""));fi"&amp;"lter(Schedule!AB:AB,Schedule!L:L=A37,(Schedule!K:K=""S2"")+(Schedule!K:K=""""));filter(Schedule!AE:AE,Schedule!L:L=A37,(Schedule!K:K=""S2"")+(Schedule!K:K=""""));filter(Schedule!AH:AH,Schedule!L:L=A37,(Schedule!K:K=""S2"")+(Schedule!K:K=""""));filter(Sche"&amp;"dule!AK:AK,Schedule!L:L=A37,(Schedule!K:K=""S2"")+(Schedule!K:K=""""))})&lt;&gt;"""")))"),3.0)</f>
        <v>3</v>
      </c>
      <c r="H37" t="str">
        <f>IFERROR(__xludf.DUMMYFUNCTION("""COMPUTED_VALUE"""),"Jose Sabido")</f>
        <v>Jose Sabido</v>
      </c>
      <c r="I37" s="299">
        <f>IFERROR(__xludf.DUMMYFUNCTION("""COMPUTED_VALUE"""),85.0)</f>
        <v>85</v>
      </c>
      <c r="J37" s="299">
        <f>IFERROR(__xludf.DUMMYFUNCTION("""COMPUTED_VALUE"""),85.0)</f>
        <v>85</v>
      </c>
      <c r="K37" s="299">
        <f>IFERROR(__xludf.DUMMYFUNCTION("""COMPUTED_VALUE"""),85.0)</f>
        <v>85</v>
      </c>
      <c r="L37" s="299">
        <f>IFERROR(__xludf.DUMMYFUNCTION("""COMPUTED_VALUE"""),2.0)</f>
        <v>2</v>
      </c>
      <c r="M37" s="3">
        <f>IFERROR(__xludf.DUMMYFUNCTION("""COMPUTED_VALUE"""),2.0)</f>
        <v>2</v>
      </c>
      <c r="N37" s="3"/>
    </row>
    <row r="38">
      <c r="A38" t="s">
        <v>78</v>
      </c>
      <c r="B38" s="300">
        <v>105.0</v>
      </c>
      <c r="C38" s="300">
        <v>105.0</v>
      </c>
      <c r="D38" s="300">
        <v>105.0</v>
      </c>
      <c r="E38" s="300">
        <f>IFERROR(__xludf.DUMMYFUNCTION("if(A38="""","""",counta(filter(unique({filter(Schedule!P:P,Schedule!L:L=A38,(Schedule!K:K=""S1"")+(Schedule!K:K=""""));filter(Schedule!S:S,Schedule!L:L=A38,(Schedule!K:K=""S1"")+(Schedule!K:K=""""));filter(Schedule!V:V,Schedule!L:L=A38,(Schedule!K:K=""S1"&amp;""")+(Schedule!K:K=""""));filter(Schedule!Y:Y,Schedule!L:L=A38,(Schedule!K:K=""S1"")+(Schedule!K:K=""""));filter(Schedule!AB:AB,Schedule!L:L=A38,(Schedule!K:K=""S1"")+(Schedule!K:K=""""));filter(Schedule!AE:AE,Schedule!L:L=A38,(Schedule!K:K=""S1"")+(Schedu"&amp;"le!K:K=""""));filter(Schedule!AH:AH,Schedule!L:L=A38,(Schedule!K:K=""S1"")+(Schedule!K:K=""""));filter(Schedule!AK:AK,Schedule!L:L=A38,(Schedule!K:K=""S1"")+(Schedule!K:K=""""))}),unique({filter(Schedule!P:P,Schedule!L:L=A38,(Schedule!K:K=""S1"")+(Schedul"&amp;"e!K:K=""""));filter(Schedule!S:S,Schedule!L:L=A38,(Schedule!K:K=""S1"")+(Schedule!K:K=""""));filter(Schedule!V:V,Schedule!L:L=A38,(Schedule!K:K=""S1"")+(Schedule!K:K=""""));filter(Schedule!Y:Y,Schedule!L:L=A38,(Schedule!K:K=""S1"")+(Schedule!K:K=""""));fi"&amp;"lter(Schedule!AB:AB,Schedule!L:L=A38,(Schedule!K:K=""S1"")+(Schedule!K:K=""""));filter(Schedule!AE:AE,Schedule!L:L=A38,(Schedule!K:K=""S1"")+(Schedule!K:K=""""));filter(Schedule!AH:AH,Schedule!L:L=A38,(Schedule!K:K=""S1"")+(Schedule!K:K=""""));filter(Sche"&amp;"dule!AK:AK,Schedule!L:L=A38,(Schedule!K:K=""S1"")+(Schedule!K:K=""""))})&lt;&gt;"""")))"),1.0)</f>
        <v>1</v>
      </c>
      <c r="F38" s="300">
        <f>IFERROR(__xludf.DUMMYFUNCTION("if(A38="""","""",counta(filter(unique({filter(Schedule!P:P,Schedule!L:L=A38,(Schedule!K:K=""S2"")+(Schedule!K:K=""""));filter(Schedule!S:S,Schedule!L:L=A38,(Schedule!K:K=""S2"")+(Schedule!K:K=""""));filter(Schedule!V:V,Schedule!L:L=A38,(Schedule!K:K=""S2"&amp;""")+(Schedule!K:K=""""));filter(Schedule!Y:Y,Schedule!L:L=A38,(Schedule!K:K=""S2"")+(Schedule!K:K=""""));filter(Schedule!AB:AB,Schedule!L:L=A38,(Schedule!K:K=""S2"")+(Schedule!K:K=""""));filter(Schedule!AE:AE,Schedule!L:L=A38,(Schedule!K:K=""S2"")+(Schedu"&amp;"le!K:K=""""));filter(Schedule!AH:AH,Schedule!L:L=A38,(Schedule!K:K=""S2"")+(Schedule!K:K=""""));filter(Schedule!AK:AK,Schedule!L:L=A38,(Schedule!K:K=""S2"")+(Schedule!K:K=""""))}),unique({filter(Schedule!P:P,Schedule!L:L=A38,(Schedule!K:K=""S2"")+(Schedul"&amp;"e!K:K=""""));filter(Schedule!S:S,Schedule!L:L=A38,(Schedule!K:K=""S2"")+(Schedule!K:K=""""));filter(Schedule!V:V,Schedule!L:L=A38,(Schedule!K:K=""S2"")+(Schedule!K:K=""""));filter(Schedule!Y:Y,Schedule!L:L=A38,(Schedule!K:K=""S2"")+(Schedule!K:K=""""));fi"&amp;"lter(Schedule!AB:AB,Schedule!L:L=A38,(Schedule!K:K=""S2"")+(Schedule!K:K=""""));filter(Schedule!AE:AE,Schedule!L:L=A38,(Schedule!K:K=""S2"")+(Schedule!K:K=""""));filter(Schedule!AH:AH,Schedule!L:L=A38,(Schedule!K:K=""S2"")+(Schedule!K:K=""""));filter(Sche"&amp;"dule!AK:AK,Schedule!L:L=A38,(Schedule!K:K=""S2"")+(Schedule!K:K=""""))})&lt;&gt;"""")))"),1.0)</f>
        <v>1</v>
      </c>
      <c r="H38" t="str">
        <f>IFERROR(__xludf.DUMMYFUNCTION("""COMPUTED_VALUE"""),"Josue Acosta")</f>
        <v>Josue Acosta</v>
      </c>
      <c r="I38" s="299">
        <f>IFERROR(__xludf.DUMMYFUNCTION("""COMPUTED_VALUE"""),85.0)</f>
        <v>85</v>
      </c>
      <c r="J38" s="299">
        <f>IFERROR(__xludf.DUMMYFUNCTION("""COMPUTED_VALUE"""),85.0)</f>
        <v>85</v>
      </c>
      <c r="K38" s="299">
        <f>IFERROR(__xludf.DUMMYFUNCTION("""COMPUTED_VALUE"""),85.0)</f>
        <v>85</v>
      </c>
      <c r="L38" s="299">
        <f>IFERROR(__xludf.DUMMYFUNCTION("""COMPUTED_VALUE"""),3.0)</f>
        <v>3</v>
      </c>
      <c r="M38" s="3">
        <f>IFERROR(__xludf.DUMMYFUNCTION("""COMPUTED_VALUE"""),3.0)</f>
        <v>3</v>
      </c>
      <c r="N38" s="3"/>
    </row>
    <row r="39">
      <c r="A39" t="s">
        <v>63</v>
      </c>
      <c r="B39" s="300">
        <v>92.0</v>
      </c>
      <c r="C39" s="300">
        <v>92.0</v>
      </c>
      <c r="D39" s="300">
        <v>92.0</v>
      </c>
      <c r="E39" s="300">
        <f>IFERROR(__xludf.DUMMYFUNCTION("if(A39="""","""",counta(filter(unique({filter(Schedule!P:P,Schedule!L:L=A39,(Schedule!K:K=""S1"")+(Schedule!K:K=""""));filter(Schedule!S:S,Schedule!L:L=A39,(Schedule!K:K=""S1"")+(Schedule!K:K=""""));filter(Schedule!V:V,Schedule!L:L=A39,(Schedule!K:K=""S1"&amp;""")+(Schedule!K:K=""""));filter(Schedule!Y:Y,Schedule!L:L=A39,(Schedule!K:K=""S1"")+(Schedule!K:K=""""));filter(Schedule!AB:AB,Schedule!L:L=A39,(Schedule!K:K=""S1"")+(Schedule!K:K=""""));filter(Schedule!AE:AE,Schedule!L:L=A39,(Schedule!K:K=""S1"")+(Schedu"&amp;"le!K:K=""""));filter(Schedule!AH:AH,Schedule!L:L=A39,(Schedule!K:K=""S1"")+(Schedule!K:K=""""));filter(Schedule!AK:AK,Schedule!L:L=A39,(Schedule!K:K=""S1"")+(Schedule!K:K=""""))}),unique({filter(Schedule!P:P,Schedule!L:L=A39,(Schedule!K:K=""S1"")+(Schedul"&amp;"e!K:K=""""));filter(Schedule!S:S,Schedule!L:L=A39,(Schedule!K:K=""S1"")+(Schedule!K:K=""""));filter(Schedule!V:V,Schedule!L:L=A39,(Schedule!K:K=""S1"")+(Schedule!K:K=""""));filter(Schedule!Y:Y,Schedule!L:L=A39,(Schedule!K:K=""S1"")+(Schedule!K:K=""""));fi"&amp;"lter(Schedule!AB:AB,Schedule!L:L=A39,(Schedule!K:K=""S1"")+(Schedule!K:K=""""));filter(Schedule!AE:AE,Schedule!L:L=A39,(Schedule!K:K=""S1"")+(Schedule!K:K=""""));filter(Schedule!AH:AH,Schedule!L:L=A39,(Schedule!K:K=""S1"")+(Schedule!K:K=""""));filter(Sche"&amp;"dule!AK:AK,Schedule!L:L=A39,(Schedule!K:K=""S1"")+(Schedule!K:K=""""))})&lt;&gt;"""")))"),2.0)</f>
        <v>2</v>
      </c>
      <c r="F39" s="300">
        <f>IFERROR(__xludf.DUMMYFUNCTION("if(A39="""","""",counta(filter(unique({filter(Schedule!P:P,Schedule!L:L=A39,(Schedule!K:K=""S2"")+(Schedule!K:K=""""));filter(Schedule!S:S,Schedule!L:L=A39,(Schedule!K:K=""S2"")+(Schedule!K:K=""""));filter(Schedule!V:V,Schedule!L:L=A39,(Schedule!K:K=""S2"&amp;""")+(Schedule!K:K=""""));filter(Schedule!Y:Y,Schedule!L:L=A39,(Schedule!K:K=""S2"")+(Schedule!K:K=""""));filter(Schedule!AB:AB,Schedule!L:L=A39,(Schedule!K:K=""S2"")+(Schedule!K:K=""""));filter(Schedule!AE:AE,Schedule!L:L=A39,(Schedule!K:K=""S2"")+(Schedu"&amp;"le!K:K=""""));filter(Schedule!AH:AH,Schedule!L:L=A39,(Schedule!K:K=""S2"")+(Schedule!K:K=""""));filter(Schedule!AK:AK,Schedule!L:L=A39,(Schedule!K:K=""S2"")+(Schedule!K:K=""""))}),unique({filter(Schedule!P:P,Schedule!L:L=A39,(Schedule!K:K=""S2"")+(Schedul"&amp;"e!K:K=""""));filter(Schedule!S:S,Schedule!L:L=A39,(Schedule!K:K=""S2"")+(Schedule!K:K=""""));filter(Schedule!V:V,Schedule!L:L=A39,(Schedule!K:K=""S2"")+(Schedule!K:K=""""));filter(Schedule!Y:Y,Schedule!L:L=A39,(Schedule!K:K=""S2"")+(Schedule!K:K=""""));fi"&amp;"lter(Schedule!AB:AB,Schedule!L:L=A39,(Schedule!K:K=""S2"")+(Schedule!K:K=""""));filter(Schedule!AE:AE,Schedule!L:L=A39,(Schedule!K:K=""S2"")+(Schedule!K:K=""""));filter(Schedule!AH:AH,Schedule!L:L=A39,(Schedule!K:K=""S2"")+(Schedule!K:K=""""));filter(Sche"&amp;"dule!AK:AK,Schedule!L:L=A39,(Schedule!K:K=""S2"")+(Schedule!K:K=""""))})&lt;&gt;"""")))"),2.0)</f>
        <v>2</v>
      </c>
      <c r="H39" t="str">
        <f>IFERROR(__xludf.DUMMYFUNCTION("""COMPUTED_VALUE"""),"Jhon Higuita")</f>
        <v>Jhon Higuita</v>
      </c>
      <c r="I39" s="299">
        <f>IFERROR(__xludf.DUMMYFUNCTION("""COMPUTED_VALUE"""),80.0)</f>
        <v>80</v>
      </c>
      <c r="J39" s="299">
        <f>IFERROR(__xludf.DUMMYFUNCTION("""COMPUTED_VALUE"""),80.0)</f>
        <v>80</v>
      </c>
      <c r="K39" s="299">
        <f>IFERROR(__xludf.DUMMYFUNCTION("""COMPUTED_VALUE"""),80.0)</f>
        <v>80</v>
      </c>
      <c r="L39" s="299">
        <f>IFERROR(__xludf.DUMMYFUNCTION("""COMPUTED_VALUE"""),3.0)</f>
        <v>3</v>
      </c>
      <c r="M39" s="3">
        <f>IFERROR(__xludf.DUMMYFUNCTION("""COMPUTED_VALUE"""),3.0)</f>
        <v>3</v>
      </c>
      <c r="N39" s="3"/>
    </row>
    <row r="40">
      <c r="A40" t="s">
        <v>25</v>
      </c>
      <c r="B40" s="300">
        <v>133.0</v>
      </c>
      <c r="C40" s="300">
        <v>133.0</v>
      </c>
      <c r="D40" s="300">
        <v>133.0</v>
      </c>
      <c r="E40" s="300">
        <f>IFERROR(__xludf.DUMMYFUNCTION("if(A40="""","""",counta(filter(unique({filter(Schedule!P:P,Schedule!L:L=A40,(Schedule!K:K=""S1"")+(Schedule!K:K=""""));filter(Schedule!S:S,Schedule!L:L=A40,(Schedule!K:K=""S1"")+(Schedule!K:K=""""));filter(Schedule!V:V,Schedule!L:L=A40,(Schedule!K:K=""S1"&amp;""")+(Schedule!K:K=""""));filter(Schedule!Y:Y,Schedule!L:L=A40,(Schedule!K:K=""S1"")+(Schedule!K:K=""""));filter(Schedule!AB:AB,Schedule!L:L=A40,(Schedule!K:K=""S1"")+(Schedule!K:K=""""));filter(Schedule!AE:AE,Schedule!L:L=A40,(Schedule!K:K=""S1"")+(Schedu"&amp;"le!K:K=""""));filter(Schedule!AH:AH,Schedule!L:L=A40,(Schedule!K:K=""S1"")+(Schedule!K:K=""""));filter(Schedule!AK:AK,Schedule!L:L=A40,(Schedule!K:K=""S1"")+(Schedule!K:K=""""))}),unique({filter(Schedule!P:P,Schedule!L:L=A40,(Schedule!K:K=""S1"")+(Schedul"&amp;"e!K:K=""""));filter(Schedule!S:S,Schedule!L:L=A40,(Schedule!K:K=""S1"")+(Schedule!K:K=""""));filter(Schedule!V:V,Schedule!L:L=A40,(Schedule!K:K=""S1"")+(Schedule!K:K=""""));filter(Schedule!Y:Y,Schedule!L:L=A40,(Schedule!K:K=""S1"")+(Schedule!K:K=""""));fi"&amp;"lter(Schedule!AB:AB,Schedule!L:L=A40,(Schedule!K:K=""S1"")+(Schedule!K:K=""""));filter(Schedule!AE:AE,Schedule!L:L=A40,(Schedule!K:K=""S1"")+(Schedule!K:K=""""));filter(Schedule!AH:AH,Schedule!L:L=A40,(Schedule!K:K=""S1"")+(Schedule!K:K=""""));filter(Sche"&amp;"dule!AK:AK,Schedule!L:L=A40,(Schedule!K:K=""S1"")+(Schedule!K:K=""""))})&lt;&gt;"""")))"),6.0)</f>
        <v>6</v>
      </c>
      <c r="F40" s="300">
        <f>IFERROR(__xludf.DUMMYFUNCTION("if(A40="""","""",counta(filter(unique({filter(Schedule!P:P,Schedule!L:L=A40,(Schedule!K:K=""S2"")+(Schedule!K:K=""""));filter(Schedule!S:S,Schedule!L:L=A40,(Schedule!K:K=""S2"")+(Schedule!K:K=""""));filter(Schedule!V:V,Schedule!L:L=A40,(Schedule!K:K=""S2"&amp;""")+(Schedule!K:K=""""));filter(Schedule!Y:Y,Schedule!L:L=A40,(Schedule!K:K=""S2"")+(Schedule!K:K=""""));filter(Schedule!AB:AB,Schedule!L:L=A40,(Schedule!K:K=""S2"")+(Schedule!K:K=""""));filter(Schedule!AE:AE,Schedule!L:L=A40,(Schedule!K:K=""S2"")+(Schedu"&amp;"le!K:K=""""));filter(Schedule!AH:AH,Schedule!L:L=A40,(Schedule!K:K=""S2"")+(Schedule!K:K=""""));filter(Schedule!AK:AK,Schedule!L:L=A40,(Schedule!K:K=""S2"")+(Schedule!K:K=""""))}),unique({filter(Schedule!P:P,Schedule!L:L=A40,(Schedule!K:K=""S2"")+(Schedul"&amp;"e!K:K=""""));filter(Schedule!S:S,Schedule!L:L=A40,(Schedule!K:K=""S2"")+(Schedule!K:K=""""));filter(Schedule!V:V,Schedule!L:L=A40,(Schedule!K:K=""S2"")+(Schedule!K:K=""""));filter(Schedule!Y:Y,Schedule!L:L=A40,(Schedule!K:K=""S2"")+(Schedule!K:K=""""));fi"&amp;"lter(Schedule!AB:AB,Schedule!L:L=A40,(Schedule!K:K=""S2"")+(Schedule!K:K=""""));filter(Schedule!AE:AE,Schedule!L:L=A40,(Schedule!K:K=""S2"")+(Schedule!K:K=""""));filter(Schedule!AH:AH,Schedule!L:L=A40,(Schedule!K:K=""S2"")+(Schedule!K:K=""""));filter(Sche"&amp;"dule!AK:AK,Schedule!L:L=A40,(Schedule!K:K=""S2"")+(Schedule!K:K=""""))})&lt;&gt;"""")))"),6.0)</f>
        <v>6</v>
      </c>
      <c r="H40" t="str">
        <f>IFERROR(__xludf.DUMMYFUNCTION("""COMPUTED_VALUE"""),"Andrea Martínez")</f>
        <v>Andrea Martínez</v>
      </c>
      <c r="I40" s="3">
        <f>IFERROR(__xludf.DUMMYFUNCTION("""COMPUTED_VALUE"""),79.0)</f>
        <v>79</v>
      </c>
      <c r="J40" s="3">
        <f>IFERROR(__xludf.DUMMYFUNCTION("""COMPUTED_VALUE"""),79.0)</f>
        <v>79</v>
      </c>
      <c r="K40" s="3">
        <f>IFERROR(__xludf.DUMMYFUNCTION("""COMPUTED_VALUE"""),79.0)</f>
        <v>79</v>
      </c>
      <c r="L40" s="3">
        <f>IFERROR(__xludf.DUMMYFUNCTION("""COMPUTED_VALUE"""),2.0)</f>
        <v>2</v>
      </c>
      <c r="M40" s="3">
        <f>IFERROR(__xludf.DUMMYFUNCTION("""COMPUTED_VALUE"""),2.0)</f>
        <v>2</v>
      </c>
      <c r="N40" s="3"/>
    </row>
    <row r="41">
      <c r="A41" t="s">
        <v>89</v>
      </c>
      <c r="B41" s="300">
        <v>102.0</v>
      </c>
      <c r="C41" s="300">
        <v>102.0</v>
      </c>
      <c r="D41" s="300">
        <v>102.0</v>
      </c>
      <c r="E41" s="300">
        <f>IFERROR(__xludf.DUMMYFUNCTION("if(A41="""","""",counta(filter(unique({filter(Schedule!P:P,Schedule!L:L=A41,(Schedule!K:K=""S1"")+(Schedule!K:K=""""));filter(Schedule!S:S,Schedule!L:L=A41,(Schedule!K:K=""S1"")+(Schedule!K:K=""""));filter(Schedule!V:V,Schedule!L:L=A41,(Schedule!K:K=""S1"&amp;""")+(Schedule!K:K=""""));filter(Schedule!Y:Y,Schedule!L:L=A41,(Schedule!K:K=""S1"")+(Schedule!K:K=""""));filter(Schedule!AB:AB,Schedule!L:L=A41,(Schedule!K:K=""S1"")+(Schedule!K:K=""""));filter(Schedule!AE:AE,Schedule!L:L=A41,(Schedule!K:K=""S1"")+(Schedu"&amp;"le!K:K=""""));filter(Schedule!AH:AH,Schedule!L:L=A41,(Schedule!K:K=""S1"")+(Schedule!K:K=""""));filter(Schedule!AK:AK,Schedule!L:L=A41,(Schedule!K:K=""S1"")+(Schedule!K:K=""""))}),unique({filter(Schedule!P:P,Schedule!L:L=A41,(Schedule!K:K=""S1"")+(Schedul"&amp;"e!K:K=""""));filter(Schedule!S:S,Schedule!L:L=A41,(Schedule!K:K=""S1"")+(Schedule!K:K=""""));filter(Schedule!V:V,Schedule!L:L=A41,(Schedule!K:K=""S1"")+(Schedule!K:K=""""));filter(Schedule!Y:Y,Schedule!L:L=A41,(Schedule!K:K=""S1"")+(Schedule!K:K=""""));fi"&amp;"lter(Schedule!AB:AB,Schedule!L:L=A41,(Schedule!K:K=""S1"")+(Schedule!K:K=""""));filter(Schedule!AE:AE,Schedule!L:L=A41,(Schedule!K:K=""S1"")+(Schedule!K:K=""""));filter(Schedule!AH:AH,Schedule!L:L=A41,(Schedule!K:K=""S1"")+(Schedule!K:K=""""));filter(Sche"&amp;"dule!AK:AK,Schedule!L:L=A41,(Schedule!K:K=""S1"")+(Schedule!K:K=""""))})&lt;&gt;"""")))"),2.0)</f>
        <v>2</v>
      </c>
      <c r="F41" s="300">
        <f>IFERROR(__xludf.DUMMYFUNCTION("if(A41="""","""",counta(filter(unique({filter(Schedule!P:P,Schedule!L:L=A41,(Schedule!K:K=""S2"")+(Schedule!K:K=""""));filter(Schedule!S:S,Schedule!L:L=A41,(Schedule!K:K=""S2"")+(Schedule!K:K=""""));filter(Schedule!V:V,Schedule!L:L=A41,(Schedule!K:K=""S2"&amp;""")+(Schedule!K:K=""""));filter(Schedule!Y:Y,Schedule!L:L=A41,(Schedule!K:K=""S2"")+(Schedule!K:K=""""));filter(Schedule!AB:AB,Schedule!L:L=A41,(Schedule!K:K=""S2"")+(Schedule!K:K=""""));filter(Schedule!AE:AE,Schedule!L:L=A41,(Schedule!K:K=""S2"")+(Schedu"&amp;"le!K:K=""""));filter(Schedule!AH:AH,Schedule!L:L=A41,(Schedule!K:K=""S2"")+(Schedule!K:K=""""));filter(Schedule!AK:AK,Schedule!L:L=A41,(Schedule!K:K=""S2"")+(Schedule!K:K=""""))}),unique({filter(Schedule!P:P,Schedule!L:L=A41,(Schedule!K:K=""S2"")+(Schedul"&amp;"e!K:K=""""));filter(Schedule!S:S,Schedule!L:L=A41,(Schedule!K:K=""S2"")+(Schedule!K:K=""""));filter(Schedule!V:V,Schedule!L:L=A41,(Schedule!K:K=""S2"")+(Schedule!K:K=""""));filter(Schedule!Y:Y,Schedule!L:L=A41,(Schedule!K:K=""S2"")+(Schedule!K:K=""""));fi"&amp;"lter(Schedule!AB:AB,Schedule!L:L=A41,(Schedule!K:K=""S2"")+(Schedule!K:K=""""));filter(Schedule!AE:AE,Schedule!L:L=A41,(Schedule!K:K=""S2"")+(Schedule!K:K=""""));filter(Schedule!AH:AH,Schedule!L:L=A41,(Schedule!K:K=""S2"")+(Schedule!K:K=""""));filter(Sche"&amp;"dule!AK:AK,Schedule!L:L=A41,(Schedule!K:K=""S2"")+(Schedule!K:K=""""))})&lt;&gt;"""")))"),2.0)</f>
        <v>2</v>
      </c>
      <c r="H41" t="str">
        <f>IFERROR(__xludf.DUMMYFUNCTION("""COMPUTED_VALUE"""),"New Math Teacher")</f>
        <v>New Math Teacher</v>
      </c>
      <c r="I41" s="3">
        <f>IFERROR(__xludf.DUMMYFUNCTION("""COMPUTED_VALUE"""),75.0)</f>
        <v>75</v>
      </c>
      <c r="J41" s="3">
        <f>IFERROR(__xludf.DUMMYFUNCTION("""COMPUTED_VALUE"""),75.0)</f>
        <v>75</v>
      </c>
      <c r="K41" s="3">
        <f>IFERROR(__xludf.DUMMYFUNCTION("""COMPUTED_VALUE"""),75.0)</f>
        <v>75</v>
      </c>
      <c r="L41" s="3">
        <f>IFERROR(__xludf.DUMMYFUNCTION("""COMPUTED_VALUE"""),2.0)</f>
        <v>2</v>
      </c>
      <c r="M41" s="3">
        <f>IFERROR(__xludf.DUMMYFUNCTION("""COMPUTED_VALUE"""),2.0)</f>
        <v>2</v>
      </c>
      <c r="N41" s="3"/>
    </row>
    <row r="42">
      <c r="A42" t="s">
        <v>133</v>
      </c>
      <c r="B42" s="300">
        <v>127.0</v>
      </c>
      <c r="C42" s="300">
        <v>127.0</v>
      </c>
      <c r="D42" s="300">
        <v>127.0</v>
      </c>
      <c r="E42" s="300">
        <f>IFERROR(__xludf.DUMMYFUNCTION("if(A42="""","""",counta(filter(unique({filter(Schedule!P:P,Schedule!L:L=A42,(Schedule!K:K=""S1"")+(Schedule!K:K=""""));filter(Schedule!S:S,Schedule!L:L=A42,(Schedule!K:K=""S1"")+(Schedule!K:K=""""));filter(Schedule!V:V,Schedule!L:L=A42,(Schedule!K:K=""S1"&amp;""")+(Schedule!K:K=""""));filter(Schedule!Y:Y,Schedule!L:L=A42,(Schedule!K:K=""S1"")+(Schedule!K:K=""""));filter(Schedule!AB:AB,Schedule!L:L=A42,(Schedule!K:K=""S1"")+(Schedule!K:K=""""));filter(Schedule!AE:AE,Schedule!L:L=A42,(Schedule!K:K=""S1"")+(Schedu"&amp;"le!K:K=""""));filter(Schedule!AH:AH,Schedule!L:L=A42,(Schedule!K:K=""S1"")+(Schedule!K:K=""""));filter(Schedule!AK:AK,Schedule!L:L=A42,(Schedule!K:K=""S1"")+(Schedule!K:K=""""))}),unique({filter(Schedule!P:P,Schedule!L:L=A42,(Schedule!K:K=""S1"")+(Schedul"&amp;"e!K:K=""""));filter(Schedule!S:S,Schedule!L:L=A42,(Schedule!K:K=""S1"")+(Schedule!K:K=""""));filter(Schedule!V:V,Schedule!L:L=A42,(Schedule!K:K=""S1"")+(Schedule!K:K=""""));filter(Schedule!Y:Y,Schedule!L:L=A42,(Schedule!K:K=""S1"")+(Schedule!K:K=""""));fi"&amp;"lter(Schedule!AB:AB,Schedule!L:L=A42,(Schedule!K:K=""S1"")+(Schedule!K:K=""""));filter(Schedule!AE:AE,Schedule!L:L=A42,(Schedule!K:K=""S1"")+(Schedule!K:K=""""));filter(Schedule!AH:AH,Schedule!L:L=A42,(Schedule!K:K=""S1"")+(Schedule!K:K=""""));filter(Sche"&amp;"dule!AK:AK,Schedule!L:L=A42,(Schedule!K:K=""S1"")+(Schedule!K:K=""""))})&lt;&gt;"""")))"),1.0)</f>
        <v>1</v>
      </c>
      <c r="F42" s="300">
        <f>IFERROR(__xludf.DUMMYFUNCTION("if(A42="""","""",counta(filter(unique({filter(Schedule!P:P,Schedule!L:L=A42,(Schedule!K:K=""S2"")+(Schedule!K:K=""""));filter(Schedule!S:S,Schedule!L:L=A42,(Schedule!K:K=""S2"")+(Schedule!K:K=""""));filter(Schedule!V:V,Schedule!L:L=A42,(Schedule!K:K=""S2"&amp;""")+(Schedule!K:K=""""));filter(Schedule!Y:Y,Schedule!L:L=A42,(Schedule!K:K=""S2"")+(Schedule!K:K=""""));filter(Schedule!AB:AB,Schedule!L:L=A42,(Schedule!K:K=""S2"")+(Schedule!K:K=""""));filter(Schedule!AE:AE,Schedule!L:L=A42,(Schedule!K:K=""S2"")+(Schedu"&amp;"le!K:K=""""));filter(Schedule!AH:AH,Schedule!L:L=A42,(Schedule!K:K=""S2"")+(Schedule!K:K=""""));filter(Schedule!AK:AK,Schedule!L:L=A42,(Schedule!K:K=""S2"")+(Schedule!K:K=""""))}),unique({filter(Schedule!P:P,Schedule!L:L=A42,(Schedule!K:K=""S2"")+(Schedul"&amp;"e!K:K=""""));filter(Schedule!S:S,Schedule!L:L=A42,(Schedule!K:K=""S2"")+(Schedule!K:K=""""));filter(Schedule!V:V,Schedule!L:L=A42,(Schedule!K:K=""S2"")+(Schedule!K:K=""""));filter(Schedule!Y:Y,Schedule!L:L=A42,(Schedule!K:K=""S2"")+(Schedule!K:K=""""));fi"&amp;"lter(Schedule!AB:AB,Schedule!L:L=A42,(Schedule!K:K=""S2"")+(Schedule!K:K=""""));filter(Schedule!AE:AE,Schedule!L:L=A42,(Schedule!K:K=""S2"")+(Schedule!K:K=""""));filter(Schedule!AH:AH,Schedule!L:L=A42,(Schedule!K:K=""S2"")+(Schedule!K:K=""""));filter(Sche"&amp;"dule!AK:AK,Schedule!L:L=A42,(Schedule!K:K=""S2"")+(Schedule!K:K=""""))})&lt;&gt;"""")))"),1.0)</f>
        <v>1</v>
      </c>
      <c r="H42" t="str">
        <f>IFERROR(__xludf.DUMMYFUNCTION("""COMPUTED_VALUE"""),"Emily Butterworth")</f>
        <v>Emily Butterworth</v>
      </c>
      <c r="I42" s="3">
        <f>IFERROR(__xludf.DUMMYFUNCTION("""COMPUTED_VALUE"""),23.0)</f>
        <v>23</v>
      </c>
      <c r="J42" s="3">
        <f>IFERROR(__xludf.DUMMYFUNCTION("""COMPUTED_VALUE"""),23.0)</f>
        <v>23</v>
      </c>
      <c r="K42" s="3">
        <f>IFERROR(__xludf.DUMMYFUNCTION("""COMPUTED_VALUE"""),23.0)</f>
        <v>23</v>
      </c>
      <c r="L42" s="3">
        <f>IFERROR(__xludf.DUMMYFUNCTION("""COMPUTED_VALUE"""),1.0)</f>
        <v>1</v>
      </c>
      <c r="M42" s="3">
        <f>IFERROR(__xludf.DUMMYFUNCTION("""COMPUTED_VALUE"""),1.0)</f>
        <v>1</v>
      </c>
      <c r="N42" s="3"/>
    </row>
    <row r="43">
      <c r="A43" t="s">
        <v>87</v>
      </c>
      <c r="B43" s="300">
        <v>93.0</v>
      </c>
      <c r="C43" s="300">
        <v>93.0</v>
      </c>
      <c r="D43" s="300">
        <v>93.0</v>
      </c>
      <c r="E43" s="300">
        <f>IFERROR(__xludf.DUMMYFUNCTION("if(A43="""","""",counta(filter(unique({filter(Schedule!P:P,Schedule!L:L=A43,(Schedule!K:K=""S1"")+(Schedule!K:K=""""));filter(Schedule!S:S,Schedule!L:L=A43,(Schedule!K:K=""S1"")+(Schedule!K:K=""""));filter(Schedule!V:V,Schedule!L:L=A43,(Schedule!K:K=""S1"&amp;""")+(Schedule!K:K=""""));filter(Schedule!Y:Y,Schedule!L:L=A43,(Schedule!K:K=""S1"")+(Schedule!K:K=""""));filter(Schedule!AB:AB,Schedule!L:L=A43,(Schedule!K:K=""S1"")+(Schedule!K:K=""""));filter(Schedule!AE:AE,Schedule!L:L=A43,(Schedule!K:K=""S1"")+(Schedu"&amp;"le!K:K=""""));filter(Schedule!AH:AH,Schedule!L:L=A43,(Schedule!K:K=""S1"")+(Schedule!K:K=""""));filter(Schedule!AK:AK,Schedule!L:L=A43,(Schedule!K:K=""S1"")+(Schedule!K:K=""""))}),unique({filter(Schedule!P:P,Schedule!L:L=A43,(Schedule!K:K=""S1"")+(Schedul"&amp;"e!K:K=""""));filter(Schedule!S:S,Schedule!L:L=A43,(Schedule!K:K=""S1"")+(Schedule!K:K=""""));filter(Schedule!V:V,Schedule!L:L=A43,(Schedule!K:K=""S1"")+(Schedule!K:K=""""));filter(Schedule!Y:Y,Schedule!L:L=A43,(Schedule!K:K=""S1"")+(Schedule!K:K=""""));fi"&amp;"lter(Schedule!AB:AB,Schedule!L:L=A43,(Schedule!K:K=""S1"")+(Schedule!K:K=""""));filter(Schedule!AE:AE,Schedule!L:L=A43,(Schedule!K:K=""S1"")+(Schedule!K:K=""""));filter(Schedule!AH:AH,Schedule!L:L=A43,(Schedule!K:K=""S1"")+(Schedule!K:K=""""));filter(Sche"&amp;"dule!AK:AK,Schedule!L:L=A43,(Schedule!K:K=""S1"")+(Schedule!K:K=""""))})&lt;&gt;"""")))"),2.0)</f>
        <v>2</v>
      </c>
      <c r="F43" s="300">
        <f>IFERROR(__xludf.DUMMYFUNCTION("if(A43="""","""",counta(filter(unique({filter(Schedule!P:P,Schedule!L:L=A43,(Schedule!K:K=""S2"")+(Schedule!K:K=""""));filter(Schedule!S:S,Schedule!L:L=A43,(Schedule!K:K=""S2"")+(Schedule!K:K=""""));filter(Schedule!V:V,Schedule!L:L=A43,(Schedule!K:K=""S2"&amp;""")+(Schedule!K:K=""""));filter(Schedule!Y:Y,Schedule!L:L=A43,(Schedule!K:K=""S2"")+(Schedule!K:K=""""));filter(Schedule!AB:AB,Schedule!L:L=A43,(Schedule!K:K=""S2"")+(Schedule!K:K=""""));filter(Schedule!AE:AE,Schedule!L:L=A43,(Schedule!K:K=""S2"")+(Schedu"&amp;"le!K:K=""""));filter(Schedule!AH:AH,Schedule!L:L=A43,(Schedule!K:K=""S2"")+(Schedule!K:K=""""));filter(Schedule!AK:AK,Schedule!L:L=A43,(Schedule!K:K=""S2"")+(Schedule!K:K=""""))}),unique({filter(Schedule!P:P,Schedule!L:L=A43,(Schedule!K:K=""S2"")+(Schedul"&amp;"e!K:K=""""));filter(Schedule!S:S,Schedule!L:L=A43,(Schedule!K:K=""S2"")+(Schedule!K:K=""""));filter(Schedule!V:V,Schedule!L:L=A43,(Schedule!K:K=""S2"")+(Schedule!K:K=""""));filter(Schedule!Y:Y,Schedule!L:L=A43,(Schedule!K:K=""S2"")+(Schedule!K:K=""""));fi"&amp;"lter(Schedule!AB:AB,Schedule!L:L=A43,(Schedule!K:K=""S2"")+(Schedule!K:K=""""));filter(Schedule!AE:AE,Schedule!L:L=A43,(Schedule!K:K=""S2"")+(Schedule!K:K=""""));filter(Schedule!AH:AH,Schedule!L:L=A43,(Schedule!K:K=""S2"")+(Schedule!K:K=""""));filter(Sche"&amp;"dule!AK:AK,Schedule!L:L=A43,(Schedule!K:K=""S2"")+(Schedule!K:K=""""))})&lt;&gt;"""")))"),2.0)</f>
        <v>2</v>
      </c>
      <c r="H43" t="str">
        <f>IFERROR(__xludf.DUMMYFUNCTION("""COMPUTED_VALUE"""),"Julian Zúñiga")</f>
        <v>Julian Zúñiga</v>
      </c>
      <c r="I43" s="3">
        <f>IFERROR(__xludf.DUMMYFUNCTION("""COMPUTED_VALUE"""),23.0)</f>
        <v>23</v>
      </c>
      <c r="J43" s="3">
        <f>IFERROR(__xludf.DUMMYFUNCTION("""COMPUTED_VALUE"""),23.0)</f>
        <v>23</v>
      </c>
      <c r="K43" s="3">
        <f>IFERROR(__xludf.DUMMYFUNCTION("""COMPUTED_VALUE"""),23.0)</f>
        <v>23</v>
      </c>
      <c r="L43" s="3">
        <f>IFERROR(__xludf.DUMMYFUNCTION("""COMPUTED_VALUE"""),2.0)</f>
        <v>2</v>
      </c>
      <c r="M43" s="3">
        <f>IFERROR(__xludf.DUMMYFUNCTION("""COMPUTED_VALUE"""),2.0)</f>
        <v>2</v>
      </c>
      <c r="N43" s="3"/>
    </row>
    <row r="44">
      <c r="B44" s="300" t="s">
        <v>22</v>
      </c>
      <c r="C44" s="300" t="s">
        <v>22</v>
      </c>
      <c r="D44" s="300" t="s">
        <v>22</v>
      </c>
      <c r="E44" s="300" t="str">
        <f>IFERROR(__xludf.DUMMYFUNCTION("if(A44="""","""",counta(filter(unique({filter(Schedule!P:P,Schedule!L:L=A44,(Schedule!K:K=""S1"")+(Schedule!K:K=""""));filter(Schedule!S:S,Schedule!L:L=A44,(Schedule!K:K=""S1"")+(Schedule!K:K=""""));filter(Schedule!V:V,Schedule!L:L=A44,(Schedule!K:K=""S1"&amp;""")+(Schedule!K:K=""""));filter(Schedule!Y:Y,Schedule!L:L=A44,(Schedule!K:K=""S1"")+(Schedule!K:K=""""));filter(Schedule!AB:AB,Schedule!L:L=A44,(Schedule!K:K=""S1"")+(Schedule!K:K=""""));filter(Schedule!AE:AE,Schedule!L:L=A44,(Schedule!K:K=""S1"")+(Schedu"&amp;"le!K:K=""""));filter(Schedule!AH:AH,Schedule!L:L=A44,(Schedule!K:K=""S1"")+(Schedule!K:K=""""));filter(Schedule!AK:AK,Schedule!L:L=A44,(Schedule!K:K=""S1"")+(Schedule!K:K=""""))}),unique({filter(Schedule!P:P,Schedule!L:L=A44,(Schedule!K:K=""S1"")+(Schedul"&amp;"e!K:K=""""));filter(Schedule!S:S,Schedule!L:L=A44,(Schedule!K:K=""S1"")+(Schedule!K:K=""""));filter(Schedule!V:V,Schedule!L:L=A44,(Schedule!K:K=""S1"")+(Schedule!K:K=""""));filter(Schedule!Y:Y,Schedule!L:L=A44,(Schedule!K:K=""S1"")+(Schedule!K:K=""""));fi"&amp;"lter(Schedule!AB:AB,Schedule!L:L=A44,(Schedule!K:K=""S1"")+(Schedule!K:K=""""));filter(Schedule!AE:AE,Schedule!L:L=A44,(Schedule!K:K=""S1"")+(Schedule!K:K=""""));filter(Schedule!AH:AH,Schedule!L:L=A44,(Schedule!K:K=""S1"")+(Schedule!K:K=""""));filter(Sche"&amp;"dule!AK:AK,Schedule!L:L=A44,(Schedule!K:K=""S1"")+(Schedule!K:K=""""))})&lt;&gt;"""")))"),"")</f>
        <v/>
      </c>
      <c r="F44" s="300" t="str">
        <f>IFERROR(__xludf.DUMMYFUNCTION("if(A44="""","""",counta(filter(unique({filter(Schedule!P:P,Schedule!L:L=A44,(Schedule!K:K=""S2"")+(Schedule!K:K=""""));filter(Schedule!S:S,Schedule!L:L=A44,(Schedule!K:K=""S2"")+(Schedule!K:K=""""));filter(Schedule!V:V,Schedule!L:L=A44,(Schedule!K:K=""S2"&amp;""")+(Schedule!K:K=""""));filter(Schedule!Y:Y,Schedule!L:L=A44,(Schedule!K:K=""S2"")+(Schedule!K:K=""""));filter(Schedule!AB:AB,Schedule!L:L=A44,(Schedule!K:K=""S2"")+(Schedule!K:K=""""));filter(Schedule!AE:AE,Schedule!L:L=A44,(Schedule!K:K=""S2"")+(Schedu"&amp;"le!K:K=""""));filter(Schedule!AH:AH,Schedule!L:L=A44,(Schedule!K:K=""S2"")+(Schedule!K:K=""""));filter(Schedule!AK:AK,Schedule!L:L=A44,(Schedule!K:K=""S2"")+(Schedule!K:K=""""))}),unique({filter(Schedule!P:P,Schedule!L:L=A44,(Schedule!K:K=""S2"")+(Schedul"&amp;"e!K:K=""""));filter(Schedule!S:S,Schedule!L:L=A44,(Schedule!K:K=""S2"")+(Schedule!K:K=""""));filter(Schedule!V:V,Schedule!L:L=A44,(Schedule!K:K=""S2"")+(Schedule!K:K=""""));filter(Schedule!Y:Y,Schedule!L:L=A44,(Schedule!K:K=""S2"")+(Schedule!K:K=""""));fi"&amp;"lter(Schedule!AB:AB,Schedule!L:L=A44,(Schedule!K:K=""S2"")+(Schedule!K:K=""""));filter(Schedule!AE:AE,Schedule!L:L=A44,(Schedule!K:K=""S2"")+(Schedule!K:K=""""));filter(Schedule!AH:AH,Schedule!L:L=A44,(Schedule!K:K=""S2"")+(Schedule!K:K=""""));filter(Sche"&amp;"dule!AK:AK,Schedule!L:L=A44,(Schedule!K:K=""S2"")+(Schedule!K:K=""""))})&lt;&gt;"""")))"),"")</f>
        <v/>
      </c>
      <c r="I44" s="3"/>
      <c r="J44" s="3"/>
      <c r="K44" s="3"/>
      <c r="L44" s="3"/>
      <c r="M44" s="3"/>
      <c r="N44" s="3"/>
    </row>
    <row r="45">
      <c r="B45" s="300" t="s">
        <v>22</v>
      </c>
      <c r="C45" s="300" t="s">
        <v>22</v>
      </c>
      <c r="D45" s="300" t="s">
        <v>22</v>
      </c>
      <c r="E45" s="300" t="str">
        <f>IFERROR(__xludf.DUMMYFUNCTION("if(A45="""","""",counta(filter(unique({filter(Schedule!P:P,Schedule!L:L=A45,(Schedule!K:K=""S1"")+(Schedule!K:K=""""));filter(Schedule!S:S,Schedule!L:L=A45,(Schedule!K:K=""S1"")+(Schedule!K:K=""""));filter(Schedule!V:V,Schedule!L:L=A45,(Schedule!K:K=""S1"&amp;""")+(Schedule!K:K=""""));filter(Schedule!Y:Y,Schedule!L:L=A45,(Schedule!K:K=""S1"")+(Schedule!K:K=""""));filter(Schedule!AB:AB,Schedule!L:L=A45,(Schedule!K:K=""S1"")+(Schedule!K:K=""""));filter(Schedule!AE:AE,Schedule!L:L=A45,(Schedule!K:K=""S1"")+(Schedu"&amp;"le!K:K=""""));filter(Schedule!AH:AH,Schedule!L:L=A45,(Schedule!K:K=""S1"")+(Schedule!K:K=""""));filter(Schedule!AK:AK,Schedule!L:L=A45,(Schedule!K:K=""S1"")+(Schedule!K:K=""""))}),unique({filter(Schedule!P:P,Schedule!L:L=A45,(Schedule!K:K=""S1"")+(Schedul"&amp;"e!K:K=""""));filter(Schedule!S:S,Schedule!L:L=A45,(Schedule!K:K=""S1"")+(Schedule!K:K=""""));filter(Schedule!V:V,Schedule!L:L=A45,(Schedule!K:K=""S1"")+(Schedule!K:K=""""));filter(Schedule!Y:Y,Schedule!L:L=A45,(Schedule!K:K=""S1"")+(Schedule!K:K=""""));fi"&amp;"lter(Schedule!AB:AB,Schedule!L:L=A45,(Schedule!K:K=""S1"")+(Schedule!K:K=""""));filter(Schedule!AE:AE,Schedule!L:L=A45,(Schedule!K:K=""S1"")+(Schedule!K:K=""""));filter(Schedule!AH:AH,Schedule!L:L=A45,(Schedule!K:K=""S1"")+(Schedule!K:K=""""));filter(Sche"&amp;"dule!AK:AK,Schedule!L:L=A45,(Schedule!K:K=""S1"")+(Schedule!K:K=""""))})&lt;&gt;"""")))"),"")</f>
        <v/>
      </c>
      <c r="F45" s="300" t="str">
        <f>IFERROR(__xludf.DUMMYFUNCTION("if(A45="""","""",counta(filter(unique({filter(Schedule!P:P,Schedule!L:L=A45,(Schedule!K:K=""S2"")+(Schedule!K:K=""""));filter(Schedule!S:S,Schedule!L:L=A45,(Schedule!K:K=""S2"")+(Schedule!K:K=""""));filter(Schedule!V:V,Schedule!L:L=A45,(Schedule!K:K=""S2"&amp;""")+(Schedule!K:K=""""));filter(Schedule!Y:Y,Schedule!L:L=A45,(Schedule!K:K=""S2"")+(Schedule!K:K=""""));filter(Schedule!AB:AB,Schedule!L:L=A45,(Schedule!K:K=""S2"")+(Schedule!K:K=""""));filter(Schedule!AE:AE,Schedule!L:L=A45,(Schedule!K:K=""S2"")+(Schedu"&amp;"le!K:K=""""));filter(Schedule!AH:AH,Schedule!L:L=A45,(Schedule!K:K=""S2"")+(Schedule!K:K=""""));filter(Schedule!AK:AK,Schedule!L:L=A45,(Schedule!K:K=""S2"")+(Schedule!K:K=""""))}),unique({filter(Schedule!P:P,Schedule!L:L=A45,(Schedule!K:K=""S2"")+(Schedul"&amp;"e!K:K=""""));filter(Schedule!S:S,Schedule!L:L=A45,(Schedule!K:K=""S2"")+(Schedule!K:K=""""));filter(Schedule!V:V,Schedule!L:L=A45,(Schedule!K:K=""S2"")+(Schedule!K:K=""""));filter(Schedule!Y:Y,Schedule!L:L=A45,(Schedule!K:K=""S2"")+(Schedule!K:K=""""));fi"&amp;"lter(Schedule!AB:AB,Schedule!L:L=A45,(Schedule!K:K=""S2"")+(Schedule!K:K=""""));filter(Schedule!AE:AE,Schedule!L:L=A45,(Schedule!K:K=""S2"")+(Schedule!K:K=""""));filter(Schedule!AH:AH,Schedule!L:L=A45,(Schedule!K:K=""S2"")+(Schedule!K:K=""""));filter(Sche"&amp;"dule!AK:AK,Schedule!L:L=A45,(Schedule!K:K=""S2"")+(Schedule!K:K=""""))})&lt;&gt;"""")))"),"")</f>
        <v/>
      </c>
      <c r="I45" s="3"/>
      <c r="J45" s="3"/>
      <c r="K45" s="3"/>
      <c r="L45" s="3"/>
      <c r="M45" s="3"/>
      <c r="N45" s="3"/>
    </row>
    <row r="46">
      <c r="B46" s="300" t="s">
        <v>22</v>
      </c>
      <c r="C46" s="300" t="s">
        <v>22</v>
      </c>
      <c r="D46" s="300" t="s">
        <v>22</v>
      </c>
      <c r="E46" s="300" t="str">
        <f>IFERROR(__xludf.DUMMYFUNCTION("if(A46="""","""",counta(filter(unique({filter(Schedule!P:P,Schedule!L:L=A46,(Schedule!K:K=""S1"")+(Schedule!K:K=""""));filter(Schedule!S:S,Schedule!L:L=A46,(Schedule!K:K=""S1"")+(Schedule!K:K=""""));filter(Schedule!V:V,Schedule!L:L=A46,(Schedule!K:K=""S1"&amp;""")+(Schedule!K:K=""""));filter(Schedule!Y:Y,Schedule!L:L=A46,(Schedule!K:K=""S1"")+(Schedule!K:K=""""));filter(Schedule!AB:AB,Schedule!L:L=A46,(Schedule!K:K=""S1"")+(Schedule!K:K=""""));filter(Schedule!AE:AE,Schedule!L:L=A46,(Schedule!K:K=""S1"")+(Schedu"&amp;"le!K:K=""""));filter(Schedule!AH:AH,Schedule!L:L=A46,(Schedule!K:K=""S1"")+(Schedule!K:K=""""));filter(Schedule!AK:AK,Schedule!L:L=A46,(Schedule!K:K=""S1"")+(Schedule!K:K=""""))}),unique({filter(Schedule!P:P,Schedule!L:L=A46,(Schedule!K:K=""S1"")+(Schedul"&amp;"e!K:K=""""));filter(Schedule!S:S,Schedule!L:L=A46,(Schedule!K:K=""S1"")+(Schedule!K:K=""""));filter(Schedule!V:V,Schedule!L:L=A46,(Schedule!K:K=""S1"")+(Schedule!K:K=""""));filter(Schedule!Y:Y,Schedule!L:L=A46,(Schedule!K:K=""S1"")+(Schedule!K:K=""""));fi"&amp;"lter(Schedule!AB:AB,Schedule!L:L=A46,(Schedule!K:K=""S1"")+(Schedule!K:K=""""));filter(Schedule!AE:AE,Schedule!L:L=A46,(Schedule!K:K=""S1"")+(Schedule!K:K=""""));filter(Schedule!AH:AH,Schedule!L:L=A46,(Schedule!K:K=""S1"")+(Schedule!K:K=""""));filter(Sche"&amp;"dule!AK:AK,Schedule!L:L=A46,(Schedule!K:K=""S1"")+(Schedule!K:K=""""))})&lt;&gt;"""")))"),"")</f>
        <v/>
      </c>
      <c r="F46" s="300" t="str">
        <f>IFERROR(__xludf.DUMMYFUNCTION("if(A46="""","""",counta(filter(unique({filter(Schedule!P:P,Schedule!L:L=A46,(Schedule!K:K=""S2"")+(Schedule!K:K=""""));filter(Schedule!S:S,Schedule!L:L=A46,(Schedule!K:K=""S2"")+(Schedule!K:K=""""));filter(Schedule!V:V,Schedule!L:L=A46,(Schedule!K:K=""S2"&amp;""")+(Schedule!K:K=""""));filter(Schedule!Y:Y,Schedule!L:L=A46,(Schedule!K:K=""S2"")+(Schedule!K:K=""""));filter(Schedule!AB:AB,Schedule!L:L=A46,(Schedule!K:K=""S2"")+(Schedule!K:K=""""));filter(Schedule!AE:AE,Schedule!L:L=A46,(Schedule!K:K=""S2"")+(Schedu"&amp;"le!K:K=""""));filter(Schedule!AH:AH,Schedule!L:L=A46,(Schedule!K:K=""S2"")+(Schedule!K:K=""""));filter(Schedule!AK:AK,Schedule!L:L=A46,(Schedule!K:K=""S2"")+(Schedule!K:K=""""))}),unique({filter(Schedule!P:P,Schedule!L:L=A46,(Schedule!K:K=""S2"")+(Schedul"&amp;"e!K:K=""""));filter(Schedule!S:S,Schedule!L:L=A46,(Schedule!K:K=""S2"")+(Schedule!K:K=""""));filter(Schedule!V:V,Schedule!L:L=A46,(Schedule!K:K=""S2"")+(Schedule!K:K=""""));filter(Schedule!Y:Y,Schedule!L:L=A46,(Schedule!K:K=""S2"")+(Schedule!K:K=""""));fi"&amp;"lter(Schedule!AB:AB,Schedule!L:L=A46,(Schedule!K:K=""S2"")+(Schedule!K:K=""""));filter(Schedule!AE:AE,Schedule!L:L=A46,(Schedule!K:K=""S2"")+(Schedule!K:K=""""));filter(Schedule!AH:AH,Schedule!L:L=A46,(Schedule!K:K=""S2"")+(Schedule!K:K=""""));filter(Sche"&amp;"dule!AK:AK,Schedule!L:L=A46,(Schedule!K:K=""S2"")+(Schedule!K:K=""""))})&lt;&gt;"""")))"),"")</f>
        <v/>
      </c>
      <c r="I46" s="3"/>
      <c r="J46" s="3"/>
      <c r="K46" s="3"/>
      <c r="L46" s="3"/>
      <c r="M46" s="3"/>
      <c r="N46" s="3"/>
    </row>
    <row r="47">
      <c r="B47" s="300" t="s">
        <v>22</v>
      </c>
      <c r="C47" s="300" t="s">
        <v>22</v>
      </c>
      <c r="D47" s="300" t="s">
        <v>22</v>
      </c>
      <c r="E47" s="300" t="str">
        <f>IFERROR(__xludf.DUMMYFUNCTION("if(A47="""","""",counta(filter(unique({filter(Schedule!P:P,Schedule!L:L=A47,(Schedule!K:K=""S1"")+(Schedule!K:K=""""));filter(Schedule!S:S,Schedule!L:L=A47,(Schedule!K:K=""S1"")+(Schedule!K:K=""""));filter(Schedule!V:V,Schedule!L:L=A47,(Schedule!K:K=""S1"&amp;""")+(Schedule!K:K=""""));filter(Schedule!Y:Y,Schedule!L:L=A47,(Schedule!K:K=""S1"")+(Schedule!K:K=""""));filter(Schedule!AB:AB,Schedule!L:L=A47,(Schedule!K:K=""S1"")+(Schedule!K:K=""""));filter(Schedule!AE:AE,Schedule!L:L=A47,(Schedule!K:K=""S1"")+(Schedu"&amp;"le!K:K=""""));filter(Schedule!AH:AH,Schedule!L:L=A47,(Schedule!K:K=""S1"")+(Schedule!K:K=""""));filter(Schedule!AK:AK,Schedule!L:L=A47,(Schedule!K:K=""S1"")+(Schedule!K:K=""""))}),unique({filter(Schedule!P:P,Schedule!L:L=A47,(Schedule!K:K=""S1"")+(Schedul"&amp;"e!K:K=""""));filter(Schedule!S:S,Schedule!L:L=A47,(Schedule!K:K=""S1"")+(Schedule!K:K=""""));filter(Schedule!V:V,Schedule!L:L=A47,(Schedule!K:K=""S1"")+(Schedule!K:K=""""));filter(Schedule!Y:Y,Schedule!L:L=A47,(Schedule!K:K=""S1"")+(Schedule!K:K=""""));fi"&amp;"lter(Schedule!AB:AB,Schedule!L:L=A47,(Schedule!K:K=""S1"")+(Schedule!K:K=""""));filter(Schedule!AE:AE,Schedule!L:L=A47,(Schedule!K:K=""S1"")+(Schedule!K:K=""""));filter(Schedule!AH:AH,Schedule!L:L=A47,(Schedule!K:K=""S1"")+(Schedule!K:K=""""));filter(Sche"&amp;"dule!AK:AK,Schedule!L:L=A47,(Schedule!K:K=""S1"")+(Schedule!K:K=""""))})&lt;&gt;"""")))"),"")</f>
        <v/>
      </c>
      <c r="F47" s="300" t="str">
        <f>IFERROR(__xludf.DUMMYFUNCTION("if(A47="""","""",counta(filter(unique({filter(Schedule!P:P,Schedule!L:L=A47,(Schedule!K:K=""S2"")+(Schedule!K:K=""""));filter(Schedule!S:S,Schedule!L:L=A47,(Schedule!K:K=""S2"")+(Schedule!K:K=""""));filter(Schedule!V:V,Schedule!L:L=A47,(Schedule!K:K=""S2"&amp;""")+(Schedule!K:K=""""));filter(Schedule!Y:Y,Schedule!L:L=A47,(Schedule!K:K=""S2"")+(Schedule!K:K=""""));filter(Schedule!AB:AB,Schedule!L:L=A47,(Schedule!K:K=""S2"")+(Schedule!K:K=""""));filter(Schedule!AE:AE,Schedule!L:L=A47,(Schedule!K:K=""S2"")+(Schedu"&amp;"le!K:K=""""));filter(Schedule!AH:AH,Schedule!L:L=A47,(Schedule!K:K=""S2"")+(Schedule!K:K=""""));filter(Schedule!AK:AK,Schedule!L:L=A47,(Schedule!K:K=""S2"")+(Schedule!K:K=""""))}),unique({filter(Schedule!P:P,Schedule!L:L=A47,(Schedule!K:K=""S2"")+(Schedul"&amp;"e!K:K=""""));filter(Schedule!S:S,Schedule!L:L=A47,(Schedule!K:K=""S2"")+(Schedule!K:K=""""));filter(Schedule!V:V,Schedule!L:L=A47,(Schedule!K:K=""S2"")+(Schedule!K:K=""""));filter(Schedule!Y:Y,Schedule!L:L=A47,(Schedule!K:K=""S2"")+(Schedule!K:K=""""));fi"&amp;"lter(Schedule!AB:AB,Schedule!L:L=A47,(Schedule!K:K=""S2"")+(Schedule!K:K=""""));filter(Schedule!AE:AE,Schedule!L:L=A47,(Schedule!K:K=""S2"")+(Schedule!K:K=""""));filter(Schedule!AH:AH,Schedule!L:L=A47,(Schedule!K:K=""S2"")+(Schedule!K:K=""""));filter(Sche"&amp;"dule!AK:AK,Schedule!L:L=A47,(Schedule!K:K=""S2"")+(Schedule!K:K=""""))})&lt;&gt;"""")))"),"")</f>
        <v/>
      </c>
      <c r="I47" s="3"/>
      <c r="J47" s="3"/>
      <c r="K47" s="3"/>
      <c r="L47" s="3"/>
      <c r="M47" s="3"/>
      <c r="N47" s="3"/>
    </row>
    <row r="48">
      <c r="B48" s="300" t="s">
        <v>22</v>
      </c>
      <c r="C48" s="300" t="s">
        <v>22</v>
      </c>
      <c r="D48" s="300" t="s">
        <v>22</v>
      </c>
      <c r="E48" s="300" t="str">
        <f>IFERROR(__xludf.DUMMYFUNCTION("if(A48="""","""",counta(filter(unique({filter(Schedule!P:P,Schedule!L:L=A48,(Schedule!K:K=""S1"")+(Schedule!K:K=""""));filter(Schedule!S:S,Schedule!L:L=A48,(Schedule!K:K=""S1"")+(Schedule!K:K=""""));filter(Schedule!V:V,Schedule!L:L=A48,(Schedule!K:K=""S1"&amp;""")+(Schedule!K:K=""""));filter(Schedule!Y:Y,Schedule!L:L=A48,(Schedule!K:K=""S1"")+(Schedule!K:K=""""));filter(Schedule!AB:AB,Schedule!L:L=A48,(Schedule!K:K=""S1"")+(Schedule!K:K=""""));filter(Schedule!AE:AE,Schedule!L:L=A48,(Schedule!K:K=""S1"")+(Schedu"&amp;"le!K:K=""""));filter(Schedule!AH:AH,Schedule!L:L=A48,(Schedule!K:K=""S1"")+(Schedule!K:K=""""));filter(Schedule!AK:AK,Schedule!L:L=A48,(Schedule!K:K=""S1"")+(Schedule!K:K=""""))}),unique({filter(Schedule!P:P,Schedule!L:L=A48,(Schedule!K:K=""S1"")+(Schedul"&amp;"e!K:K=""""));filter(Schedule!S:S,Schedule!L:L=A48,(Schedule!K:K=""S1"")+(Schedule!K:K=""""));filter(Schedule!V:V,Schedule!L:L=A48,(Schedule!K:K=""S1"")+(Schedule!K:K=""""));filter(Schedule!Y:Y,Schedule!L:L=A48,(Schedule!K:K=""S1"")+(Schedule!K:K=""""));fi"&amp;"lter(Schedule!AB:AB,Schedule!L:L=A48,(Schedule!K:K=""S1"")+(Schedule!K:K=""""));filter(Schedule!AE:AE,Schedule!L:L=A48,(Schedule!K:K=""S1"")+(Schedule!K:K=""""));filter(Schedule!AH:AH,Schedule!L:L=A48,(Schedule!K:K=""S1"")+(Schedule!K:K=""""));filter(Sche"&amp;"dule!AK:AK,Schedule!L:L=A48,(Schedule!K:K=""S1"")+(Schedule!K:K=""""))})&lt;&gt;"""")))"),"")</f>
        <v/>
      </c>
      <c r="F48" s="300" t="str">
        <f>IFERROR(__xludf.DUMMYFUNCTION("if(A48="""","""",counta(filter(unique({filter(Schedule!P:P,Schedule!L:L=A48,(Schedule!K:K=""S2"")+(Schedule!K:K=""""));filter(Schedule!S:S,Schedule!L:L=A48,(Schedule!K:K=""S2"")+(Schedule!K:K=""""));filter(Schedule!V:V,Schedule!L:L=A48,(Schedule!K:K=""S2"&amp;""")+(Schedule!K:K=""""));filter(Schedule!Y:Y,Schedule!L:L=A48,(Schedule!K:K=""S2"")+(Schedule!K:K=""""));filter(Schedule!AB:AB,Schedule!L:L=A48,(Schedule!K:K=""S2"")+(Schedule!K:K=""""));filter(Schedule!AE:AE,Schedule!L:L=A48,(Schedule!K:K=""S2"")+(Schedu"&amp;"le!K:K=""""));filter(Schedule!AH:AH,Schedule!L:L=A48,(Schedule!K:K=""S2"")+(Schedule!K:K=""""));filter(Schedule!AK:AK,Schedule!L:L=A48,(Schedule!K:K=""S2"")+(Schedule!K:K=""""))}),unique({filter(Schedule!P:P,Schedule!L:L=A48,(Schedule!K:K=""S2"")+(Schedul"&amp;"e!K:K=""""));filter(Schedule!S:S,Schedule!L:L=A48,(Schedule!K:K=""S2"")+(Schedule!K:K=""""));filter(Schedule!V:V,Schedule!L:L=A48,(Schedule!K:K=""S2"")+(Schedule!K:K=""""));filter(Schedule!Y:Y,Schedule!L:L=A48,(Schedule!K:K=""S2"")+(Schedule!K:K=""""));fi"&amp;"lter(Schedule!AB:AB,Schedule!L:L=A48,(Schedule!K:K=""S2"")+(Schedule!K:K=""""));filter(Schedule!AE:AE,Schedule!L:L=A48,(Schedule!K:K=""S2"")+(Schedule!K:K=""""));filter(Schedule!AH:AH,Schedule!L:L=A48,(Schedule!K:K=""S2"")+(Schedule!K:K=""""));filter(Sche"&amp;"dule!AK:AK,Schedule!L:L=A48,(Schedule!K:K=""S2"")+(Schedule!K:K=""""))})&lt;&gt;"""")))"),"")</f>
        <v/>
      </c>
      <c r="I48" s="3"/>
      <c r="J48" s="3"/>
      <c r="K48" s="3"/>
      <c r="L48" s="3"/>
      <c r="M48" s="3"/>
      <c r="N48" s="3"/>
    </row>
    <row r="49">
      <c r="B49" s="300" t="s">
        <v>22</v>
      </c>
      <c r="C49" s="300" t="s">
        <v>22</v>
      </c>
      <c r="D49" s="300" t="s">
        <v>22</v>
      </c>
      <c r="E49" s="300" t="str">
        <f>IFERROR(__xludf.DUMMYFUNCTION("if(A49="""","""",counta(filter(unique({filter(Schedule!P:P,Schedule!L:L=A49,(Schedule!K:K=""S1"")+(Schedule!K:K=""""));filter(Schedule!S:S,Schedule!L:L=A49,(Schedule!K:K=""S1"")+(Schedule!K:K=""""));filter(Schedule!V:V,Schedule!L:L=A49,(Schedule!K:K=""S1"&amp;""")+(Schedule!K:K=""""));filter(Schedule!Y:Y,Schedule!L:L=A49,(Schedule!K:K=""S1"")+(Schedule!K:K=""""));filter(Schedule!AB:AB,Schedule!L:L=A49,(Schedule!K:K=""S1"")+(Schedule!K:K=""""));filter(Schedule!AE:AE,Schedule!L:L=A49,(Schedule!K:K=""S1"")+(Schedu"&amp;"le!K:K=""""));filter(Schedule!AH:AH,Schedule!L:L=A49,(Schedule!K:K=""S1"")+(Schedule!K:K=""""));filter(Schedule!AK:AK,Schedule!L:L=A49,(Schedule!K:K=""S1"")+(Schedule!K:K=""""))}),unique({filter(Schedule!P:P,Schedule!L:L=A49,(Schedule!K:K=""S1"")+(Schedul"&amp;"e!K:K=""""));filter(Schedule!S:S,Schedule!L:L=A49,(Schedule!K:K=""S1"")+(Schedule!K:K=""""));filter(Schedule!V:V,Schedule!L:L=A49,(Schedule!K:K=""S1"")+(Schedule!K:K=""""));filter(Schedule!Y:Y,Schedule!L:L=A49,(Schedule!K:K=""S1"")+(Schedule!K:K=""""));fi"&amp;"lter(Schedule!AB:AB,Schedule!L:L=A49,(Schedule!K:K=""S1"")+(Schedule!K:K=""""));filter(Schedule!AE:AE,Schedule!L:L=A49,(Schedule!K:K=""S1"")+(Schedule!K:K=""""));filter(Schedule!AH:AH,Schedule!L:L=A49,(Schedule!K:K=""S1"")+(Schedule!K:K=""""));filter(Sche"&amp;"dule!AK:AK,Schedule!L:L=A49,(Schedule!K:K=""S1"")+(Schedule!K:K=""""))})&lt;&gt;"""")))"),"")</f>
        <v/>
      </c>
      <c r="F49" s="300" t="str">
        <f>IFERROR(__xludf.DUMMYFUNCTION("if(A49="""","""",counta(filter(unique({filter(Schedule!P:P,Schedule!L:L=A49,(Schedule!K:K=""S2"")+(Schedule!K:K=""""));filter(Schedule!S:S,Schedule!L:L=A49,(Schedule!K:K=""S2"")+(Schedule!K:K=""""));filter(Schedule!V:V,Schedule!L:L=A49,(Schedule!K:K=""S2"&amp;""")+(Schedule!K:K=""""));filter(Schedule!Y:Y,Schedule!L:L=A49,(Schedule!K:K=""S2"")+(Schedule!K:K=""""));filter(Schedule!AB:AB,Schedule!L:L=A49,(Schedule!K:K=""S2"")+(Schedule!K:K=""""));filter(Schedule!AE:AE,Schedule!L:L=A49,(Schedule!K:K=""S2"")+(Schedu"&amp;"le!K:K=""""));filter(Schedule!AH:AH,Schedule!L:L=A49,(Schedule!K:K=""S2"")+(Schedule!K:K=""""));filter(Schedule!AK:AK,Schedule!L:L=A49,(Schedule!K:K=""S2"")+(Schedule!K:K=""""))}),unique({filter(Schedule!P:P,Schedule!L:L=A49,(Schedule!K:K=""S2"")+(Schedul"&amp;"e!K:K=""""));filter(Schedule!S:S,Schedule!L:L=A49,(Schedule!K:K=""S2"")+(Schedule!K:K=""""));filter(Schedule!V:V,Schedule!L:L=A49,(Schedule!K:K=""S2"")+(Schedule!K:K=""""));filter(Schedule!Y:Y,Schedule!L:L=A49,(Schedule!K:K=""S2"")+(Schedule!K:K=""""));fi"&amp;"lter(Schedule!AB:AB,Schedule!L:L=A49,(Schedule!K:K=""S2"")+(Schedule!K:K=""""));filter(Schedule!AE:AE,Schedule!L:L=A49,(Schedule!K:K=""S2"")+(Schedule!K:K=""""));filter(Schedule!AH:AH,Schedule!L:L=A49,(Schedule!K:K=""S2"")+(Schedule!K:K=""""));filter(Sche"&amp;"dule!AK:AK,Schedule!L:L=A49,(Schedule!K:K=""S2"")+(Schedule!K:K=""""))})&lt;&gt;"""")))"),"")</f>
        <v/>
      </c>
      <c r="I49" s="3"/>
      <c r="J49" s="3"/>
      <c r="K49" s="3"/>
      <c r="L49" s="3"/>
      <c r="M49" s="3"/>
      <c r="N49" s="3"/>
    </row>
    <row r="50">
      <c r="B50" s="300" t="s">
        <v>22</v>
      </c>
      <c r="C50" s="300" t="s">
        <v>22</v>
      </c>
      <c r="D50" s="300" t="s">
        <v>22</v>
      </c>
      <c r="E50" s="300" t="str">
        <f>IFERROR(__xludf.DUMMYFUNCTION("if(A50="""","""",counta(filter(unique({filter(Schedule!P:P,Schedule!L:L=A50,(Schedule!K:K=""S1"")+(Schedule!K:K=""""));filter(Schedule!S:S,Schedule!L:L=A50,(Schedule!K:K=""S1"")+(Schedule!K:K=""""));filter(Schedule!V:V,Schedule!L:L=A50,(Schedule!K:K=""S1"&amp;""")+(Schedule!K:K=""""));filter(Schedule!Y:Y,Schedule!L:L=A50,(Schedule!K:K=""S1"")+(Schedule!K:K=""""));filter(Schedule!AB:AB,Schedule!L:L=A50,(Schedule!K:K=""S1"")+(Schedule!K:K=""""));filter(Schedule!AE:AE,Schedule!L:L=A50,(Schedule!K:K=""S1"")+(Schedu"&amp;"le!K:K=""""));filter(Schedule!AH:AH,Schedule!L:L=A50,(Schedule!K:K=""S1"")+(Schedule!K:K=""""));filter(Schedule!AK:AK,Schedule!L:L=A50,(Schedule!K:K=""S1"")+(Schedule!K:K=""""))}),unique({filter(Schedule!P:P,Schedule!L:L=A50,(Schedule!K:K=""S1"")+(Schedul"&amp;"e!K:K=""""));filter(Schedule!S:S,Schedule!L:L=A50,(Schedule!K:K=""S1"")+(Schedule!K:K=""""));filter(Schedule!V:V,Schedule!L:L=A50,(Schedule!K:K=""S1"")+(Schedule!K:K=""""));filter(Schedule!Y:Y,Schedule!L:L=A50,(Schedule!K:K=""S1"")+(Schedule!K:K=""""));fi"&amp;"lter(Schedule!AB:AB,Schedule!L:L=A50,(Schedule!K:K=""S1"")+(Schedule!K:K=""""));filter(Schedule!AE:AE,Schedule!L:L=A50,(Schedule!K:K=""S1"")+(Schedule!K:K=""""));filter(Schedule!AH:AH,Schedule!L:L=A50,(Schedule!K:K=""S1"")+(Schedule!K:K=""""));filter(Sche"&amp;"dule!AK:AK,Schedule!L:L=A50,(Schedule!K:K=""S1"")+(Schedule!K:K=""""))})&lt;&gt;"""")))"),"")</f>
        <v/>
      </c>
      <c r="F50" s="300" t="str">
        <f>IFERROR(__xludf.DUMMYFUNCTION("if(A50="""","""",counta(filter(unique({filter(Schedule!P:P,Schedule!L:L=A50,(Schedule!K:K=""S2"")+(Schedule!K:K=""""));filter(Schedule!S:S,Schedule!L:L=A50,(Schedule!K:K=""S2"")+(Schedule!K:K=""""));filter(Schedule!V:V,Schedule!L:L=A50,(Schedule!K:K=""S2"&amp;""")+(Schedule!K:K=""""));filter(Schedule!Y:Y,Schedule!L:L=A50,(Schedule!K:K=""S2"")+(Schedule!K:K=""""));filter(Schedule!AB:AB,Schedule!L:L=A50,(Schedule!K:K=""S2"")+(Schedule!K:K=""""));filter(Schedule!AE:AE,Schedule!L:L=A50,(Schedule!K:K=""S2"")+(Schedu"&amp;"le!K:K=""""));filter(Schedule!AH:AH,Schedule!L:L=A50,(Schedule!K:K=""S2"")+(Schedule!K:K=""""));filter(Schedule!AK:AK,Schedule!L:L=A50,(Schedule!K:K=""S2"")+(Schedule!K:K=""""))}),unique({filter(Schedule!P:P,Schedule!L:L=A50,(Schedule!K:K=""S2"")+(Schedul"&amp;"e!K:K=""""));filter(Schedule!S:S,Schedule!L:L=A50,(Schedule!K:K=""S2"")+(Schedule!K:K=""""));filter(Schedule!V:V,Schedule!L:L=A50,(Schedule!K:K=""S2"")+(Schedule!K:K=""""));filter(Schedule!Y:Y,Schedule!L:L=A50,(Schedule!K:K=""S2"")+(Schedule!K:K=""""));fi"&amp;"lter(Schedule!AB:AB,Schedule!L:L=A50,(Schedule!K:K=""S2"")+(Schedule!K:K=""""));filter(Schedule!AE:AE,Schedule!L:L=A50,(Schedule!K:K=""S2"")+(Schedule!K:K=""""));filter(Schedule!AH:AH,Schedule!L:L=A50,(Schedule!K:K=""S2"")+(Schedule!K:K=""""));filter(Sche"&amp;"dule!AK:AK,Schedule!L:L=A50,(Schedule!K:K=""S2"")+(Schedule!K:K=""""))})&lt;&gt;"""")))"),"")</f>
        <v/>
      </c>
      <c r="I50" s="3"/>
      <c r="J50" s="3"/>
      <c r="K50" s="3"/>
      <c r="L50" s="3"/>
      <c r="M50" s="3"/>
      <c r="N50" s="3"/>
    </row>
  </sheetData>
  <conditionalFormatting sqref="L1:L50">
    <cfRule type="cellIs" dxfId="8" priority="1" operator="greaterThanOrEqual">
      <formula>3</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3.13"/>
    <col customWidth="1" min="4" max="4" width="24.0"/>
    <col customWidth="1" min="6" max="13" width="5.5"/>
    <col customWidth="1" min="14" max="14" width="10.88"/>
    <col customWidth="1" min="15" max="15" width="20.5"/>
    <col customWidth="1" min="16" max="16" width="15.0"/>
  </cols>
  <sheetData>
    <row r="1">
      <c r="A1" s="45" t="s">
        <v>148</v>
      </c>
      <c r="B1" s="45" t="s">
        <v>780</v>
      </c>
      <c r="C1" s="45" t="s">
        <v>149</v>
      </c>
      <c r="D1" s="45" t="s">
        <v>151</v>
      </c>
      <c r="E1" s="275" t="s">
        <v>781</v>
      </c>
      <c r="F1" s="355" t="str">
        <f t="array" ref="F1:F4543">if(ROW(F:F)=1,"E1",if($B:$B="","",xlookup($B:$B,Students!$B:$B,Students!X:X)))</f>
        <v>E1</v>
      </c>
      <c r="G1" s="355" t="str">
        <f t="array" ref="G1:G4543">if(ROW(G:G)=1,"E2",if($B:$B="","",xlookup($B:$B,Students!$B:$B,Students!Y:Y)))</f>
        <v>E2</v>
      </c>
      <c r="H1" s="355" t="str">
        <f t="array" ref="H1:H4543">if(ROW(H:H)=1,"E3",if($B:$B="","",xlookup($B:$B,Students!$B:$B,Students!Z:Z)))</f>
        <v>E3</v>
      </c>
      <c r="I1" s="355" t="str">
        <f t="array" ref="I1:I4543">if(ROW(I:I)=1,"E4",if($B:$B="","",xlookup($B:$B,Students!$B:$B,Students!AA:AA)))</f>
        <v>E4</v>
      </c>
      <c r="J1" s="355" t="str">
        <f t="array" ref="J1:J4543">if(ROW(J:J)=1,"E5",if($B:$B="","",xlookup($B:$B,Students!$B:$B,Students!AB:AB)))</f>
        <v>E5</v>
      </c>
      <c r="K1" s="355" t="str">
        <f t="array" ref="K1:K4543">if(ROW(K:K)=1,"E6",if($B:$B="","",xlookup($B:$B,Students!$B:$B,Students!AC:AC)))</f>
        <v>E6</v>
      </c>
      <c r="L1" s="355" t="str">
        <f t="array" ref="L1:L4543">if(ROW(L:L)=1,"E7",if($B:$B="","",xlookup($B:$B,Students!$B:$B,Students!AD:AD)))</f>
        <v>E7</v>
      </c>
      <c r="M1" s="355" t="str">
        <f t="array" ref="M1:M4543">if(ROW(M:M)=1,"E8",if($B:$B="","",xlookup($B:$B,Students!$B:$B,Students!AE:AE)))</f>
        <v>E8</v>
      </c>
      <c r="N1" s="355" t="str">
        <f t="array" ref="N1:N4543">if(ROW(N:N)=1,"Scheduled",if(B:B="","",F:F+G:G+H:H+I:I+J:J+K:K+L:L+M:M))</f>
        <v>Scheduled</v>
      </c>
      <c r="O1" s="355" t="str">
        <f t="array" ref="O1:O4543">if(ROW(O:O)=1,"Course-Section",if(E:E="","",D:D&amp;"-"&amp;E:E))</f>
        <v>Course-Section</v>
      </c>
      <c r="P1" s="355" t="str">
        <f t="array" ref="P1:P4543">if(ROW(P:P)=1,"Total Sections",if(O:O="","",xlookup(D:D,'Total Groups'!A:A,'Total Groups'!B:B)))</f>
        <v>Total Sections</v>
      </c>
    </row>
    <row r="2">
      <c r="A2" s="296">
        <f>IFERROR(__xludf.DUMMYFUNCTION("{filter({Students!A3:C4543,Students!D3:D4543,Students!E3:E4543},Students!D3:D4543&lt;&gt;"""");
filter({Students!A3:C4543,Students!F3:F4543,Students!G3:G4543},Students!F3:F4543&lt;&gt;"""");
filter({Students!A3:C4543,Students!H3:H4543,Students!I3:I4543},Students!H3:H"&amp;"4543&lt;&gt;"""");
filter({Students!A3:C4543,Students!J3:J4543,Students!K3:K4543},Students!J3:J4543&lt;&gt;"""");
filter({Students!A3:C4543,Students!L3:L4543,Students!M3:M4543},Students!L3:L4543&lt;&gt;"""");
filter({Students!A3:C4543,Students!N3:N4543,Students!O3:O4543},S"&amp;"tudents!N3:N4543&lt;&gt;"""");
filter({Students!A3:C4543,Students!P3:P4543,Students!Q3:Q4543},Students!P3:P4543&lt;&gt;"""");
filter({Students!A3:C4543,Students!R3:R4543,Students!S3:S4543},Students!R3:R4543&lt;&gt;"""");
filter({Students!A3:C4543,Students!T3:T4543,Students"&amp;"!U3:U4543},Students!T3:T4543&lt;&gt;"""");
filter({Students!A3:C4543,Students!V3:V4543,Students!W3:W4543},Students!V3:V4543&lt;&gt;"""")
}"),9.0)</f>
        <v>9</v>
      </c>
      <c r="B2" s="406">
        <f>IFERROR(__xludf.DUMMYFUNCTION("""COMPUTED_VALUE"""),29070.0)</f>
        <v>29070</v>
      </c>
      <c r="C2" t="str">
        <f>IFERROR(__xludf.DUMMYFUNCTION("""COMPUTED_VALUE"""),"MANRIQUE CUESTA, ISABELLA")</f>
        <v>MANRIQUE CUESTA, ISABELLA</v>
      </c>
      <c r="D2" t="str">
        <f>IFERROR(__xludf.DUMMYFUNCTION("""COMPUTED_VALUE"""),"English 9")</f>
        <v>English 9</v>
      </c>
      <c r="E2" s="3">
        <f>IFERROR(__xludf.DUMMYFUNCTION("""COMPUTED_VALUE"""),8.0)</f>
        <v>8</v>
      </c>
      <c r="F2" s="300">
        <v>1.0</v>
      </c>
      <c r="G2" s="300">
        <v>1.0</v>
      </c>
      <c r="H2" s="300">
        <v>1.0</v>
      </c>
      <c r="I2" s="300">
        <v>1.0</v>
      </c>
      <c r="J2" s="300">
        <v>1.0</v>
      </c>
      <c r="K2" s="300">
        <v>1.0</v>
      </c>
      <c r="L2" s="300">
        <v>1.0</v>
      </c>
      <c r="M2" s="300">
        <v>1.0</v>
      </c>
      <c r="N2" s="300">
        <v>8.0</v>
      </c>
      <c r="O2" s="300" t="s">
        <v>782</v>
      </c>
      <c r="P2" s="300">
        <v>6.0</v>
      </c>
    </row>
    <row r="3">
      <c r="A3">
        <f>IFERROR(__xludf.DUMMYFUNCTION("""COMPUTED_VALUE"""),9.0)</f>
        <v>9</v>
      </c>
      <c r="B3" s="406">
        <f>IFERROR(__xludf.DUMMYFUNCTION("""COMPUTED_VALUE"""),29075.0)</f>
        <v>29075</v>
      </c>
      <c r="C3" t="str">
        <f>IFERROR(__xludf.DUMMYFUNCTION("""COMPUTED_VALUE"""),"MEJIA BUSTAMANTE, ANTONIA")</f>
        <v>MEJIA BUSTAMANTE, ANTONIA</v>
      </c>
      <c r="D3" t="str">
        <f>IFERROR(__xludf.DUMMYFUNCTION("""COMPUTED_VALUE"""),"English 9")</f>
        <v>English 9</v>
      </c>
      <c r="E3" s="3">
        <f>IFERROR(__xludf.DUMMYFUNCTION("""COMPUTED_VALUE"""),6.0)</f>
        <v>6</v>
      </c>
      <c r="F3" s="300">
        <v>1.0</v>
      </c>
      <c r="G3" s="300">
        <v>1.0</v>
      </c>
      <c r="H3" s="300">
        <v>1.0</v>
      </c>
      <c r="I3" s="300">
        <v>1.0</v>
      </c>
      <c r="J3" s="300">
        <v>1.0</v>
      </c>
      <c r="K3" s="300">
        <v>1.0</v>
      </c>
      <c r="L3" s="300">
        <v>1.0</v>
      </c>
      <c r="M3" s="300">
        <v>1.0</v>
      </c>
      <c r="N3" s="300">
        <v>8.0</v>
      </c>
      <c r="O3" s="300" t="s">
        <v>783</v>
      </c>
      <c r="P3" s="300">
        <v>6.0</v>
      </c>
    </row>
    <row r="4">
      <c r="A4">
        <f>IFERROR(__xludf.DUMMYFUNCTION("""COMPUTED_VALUE"""),9.0)</f>
        <v>9</v>
      </c>
      <c r="B4" s="406">
        <f>IFERROR(__xludf.DUMMYFUNCTION("""COMPUTED_VALUE"""),29149.0)</f>
        <v>29149</v>
      </c>
      <c r="C4" t="str">
        <f>IFERROR(__xludf.DUMMYFUNCTION("""COMPUTED_VALUE"""),"SALEMME GUTIERREZ, AMALIA")</f>
        <v>SALEMME GUTIERREZ, AMALIA</v>
      </c>
      <c r="D4" t="str">
        <f>IFERROR(__xludf.DUMMYFUNCTION("""COMPUTED_VALUE"""),"English 9")</f>
        <v>English 9</v>
      </c>
      <c r="E4" s="3">
        <f>IFERROR(__xludf.DUMMYFUNCTION("""COMPUTED_VALUE"""),1.0)</f>
        <v>1</v>
      </c>
      <c r="F4" s="300">
        <v>1.0</v>
      </c>
      <c r="G4" s="300">
        <v>1.0</v>
      </c>
      <c r="H4" s="300">
        <v>1.0</v>
      </c>
      <c r="I4" s="300">
        <v>1.0</v>
      </c>
      <c r="J4" s="300">
        <v>1.0</v>
      </c>
      <c r="K4" s="300">
        <v>1.0</v>
      </c>
      <c r="L4" s="300">
        <v>1.0</v>
      </c>
      <c r="M4" s="300">
        <v>1.0</v>
      </c>
      <c r="N4" s="300">
        <v>8.0</v>
      </c>
      <c r="O4" s="300" t="s">
        <v>784</v>
      </c>
      <c r="P4" s="300">
        <v>6.0</v>
      </c>
    </row>
    <row r="5">
      <c r="A5">
        <f>IFERROR(__xludf.DUMMYFUNCTION("""COMPUTED_VALUE"""),9.0)</f>
        <v>9</v>
      </c>
      <c r="B5" s="406">
        <f>IFERROR(__xludf.DUMMYFUNCTION("""COMPUTED_VALUE"""),29113.0)</f>
        <v>29113</v>
      </c>
      <c r="C5" t="str">
        <f>IFERROR(__xludf.DUMMYFUNCTION("""COMPUTED_VALUE"""),"THIRIEZ VILLA, EMMA")</f>
        <v>THIRIEZ VILLA, EMMA</v>
      </c>
      <c r="D5" t="str">
        <f>IFERROR(__xludf.DUMMYFUNCTION("""COMPUTED_VALUE"""),"English 9")</f>
        <v>English 9</v>
      </c>
      <c r="E5" s="3">
        <f>IFERROR(__xludf.DUMMYFUNCTION("""COMPUTED_VALUE"""),1.0)</f>
        <v>1</v>
      </c>
      <c r="F5" s="300">
        <v>1.0</v>
      </c>
      <c r="G5" s="300">
        <v>1.0</v>
      </c>
      <c r="H5" s="300">
        <v>1.0</v>
      </c>
      <c r="I5" s="300">
        <v>1.0</v>
      </c>
      <c r="J5" s="300">
        <v>1.0</v>
      </c>
      <c r="K5" s="300">
        <v>1.0</v>
      </c>
      <c r="L5" s="300">
        <v>1.0</v>
      </c>
      <c r="M5" s="300">
        <v>1.0</v>
      </c>
      <c r="N5" s="300">
        <v>8.0</v>
      </c>
      <c r="O5" s="300" t="s">
        <v>784</v>
      </c>
      <c r="P5" s="300">
        <v>6.0</v>
      </c>
    </row>
    <row r="6">
      <c r="A6">
        <f>IFERROR(__xludf.DUMMYFUNCTION("""COMPUTED_VALUE"""),9.0)</f>
        <v>9</v>
      </c>
      <c r="B6" s="406">
        <f>IFERROR(__xludf.DUMMYFUNCTION("""COMPUTED_VALUE"""),29131.0)</f>
        <v>29131</v>
      </c>
      <c r="C6" t="str">
        <f>IFERROR(__xludf.DUMMYFUNCTION("""COMPUTED_VALUE"""),"VILLEGAS HINCAPIE, CANDELARIA")</f>
        <v>VILLEGAS HINCAPIE, CANDELARIA</v>
      </c>
      <c r="D6" t="str">
        <f>IFERROR(__xludf.DUMMYFUNCTION("""COMPUTED_VALUE"""),"English 9")</f>
        <v>English 9</v>
      </c>
      <c r="E6" s="3">
        <f>IFERROR(__xludf.DUMMYFUNCTION("""COMPUTED_VALUE"""),8.0)</f>
        <v>8</v>
      </c>
      <c r="F6" s="300">
        <v>1.0</v>
      </c>
      <c r="G6" s="300">
        <v>1.0</v>
      </c>
      <c r="H6" s="300">
        <v>1.0</v>
      </c>
      <c r="I6" s="300">
        <v>1.0</v>
      </c>
      <c r="J6" s="300">
        <v>1.0</v>
      </c>
      <c r="K6" s="300">
        <v>1.0</v>
      </c>
      <c r="L6" s="300">
        <v>1.0</v>
      </c>
      <c r="M6" s="300">
        <v>1.0</v>
      </c>
      <c r="N6" s="300">
        <v>8.0</v>
      </c>
      <c r="O6" s="300" t="s">
        <v>782</v>
      </c>
      <c r="P6" s="300">
        <v>6.0</v>
      </c>
    </row>
    <row r="7">
      <c r="A7">
        <f>IFERROR(__xludf.DUMMYFUNCTION("""COMPUTED_VALUE"""),9.0)</f>
        <v>9</v>
      </c>
      <c r="B7" s="406">
        <f>IFERROR(__xludf.DUMMYFUNCTION("""COMPUTED_VALUE"""),29077.0)</f>
        <v>29077</v>
      </c>
      <c r="C7" t="str">
        <f>IFERROR(__xludf.DUMMYFUNCTION("""COMPUTED_VALUE"""),"MEJIA VILLEGAS, CANDELARIA")</f>
        <v>MEJIA VILLEGAS, CANDELARIA</v>
      </c>
      <c r="D7" t="str">
        <f>IFERROR(__xludf.DUMMYFUNCTION("""COMPUTED_VALUE"""),"English 9")</f>
        <v>English 9</v>
      </c>
      <c r="E7" s="3">
        <f>IFERROR(__xludf.DUMMYFUNCTION("""COMPUTED_VALUE"""),2.0)</f>
        <v>2</v>
      </c>
      <c r="F7" s="300">
        <v>1.0</v>
      </c>
      <c r="G7" s="300">
        <v>1.0</v>
      </c>
      <c r="H7" s="300">
        <v>1.0</v>
      </c>
      <c r="I7" s="300">
        <v>1.0</v>
      </c>
      <c r="J7" s="300">
        <v>1.0</v>
      </c>
      <c r="K7" s="300">
        <v>1.0</v>
      </c>
      <c r="L7" s="300">
        <v>1.0</v>
      </c>
      <c r="M7" s="300">
        <v>1.0</v>
      </c>
      <c r="N7" s="300">
        <v>8.0</v>
      </c>
      <c r="O7" s="300" t="s">
        <v>785</v>
      </c>
      <c r="P7" s="300">
        <v>6.0</v>
      </c>
    </row>
    <row r="8">
      <c r="A8">
        <f>IFERROR(__xludf.DUMMYFUNCTION("""COMPUTED_VALUE"""),9.0)</f>
        <v>9</v>
      </c>
      <c r="B8" s="406">
        <f>IFERROR(__xludf.DUMMYFUNCTION("""COMPUTED_VALUE"""),28006.0)</f>
        <v>28006</v>
      </c>
      <c r="C8" t="str">
        <f>IFERROR(__xludf.DUMMYFUNCTION("""COMPUTED_VALUE"""),"ARISTIZABAL ECHAVARRIA, CRISTOBAL")</f>
        <v>ARISTIZABAL ECHAVARRIA, CRISTOBAL</v>
      </c>
      <c r="D8" t="str">
        <f>IFERROR(__xludf.DUMMYFUNCTION("""COMPUTED_VALUE"""),"English 9")</f>
        <v>English 9</v>
      </c>
      <c r="E8" s="3">
        <f>IFERROR(__xludf.DUMMYFUNCTION("""COMPUTED_VALUE"""),7.0)</f>
        <v>7</v>
      </c>
      <c r="F8" s="300">
        <v>1.0</v>
      </c>
      <c r="G8" s="300">
        <v>1.0</v>
      </c>
      <c r="H8" s="300">
        <v>1.0</v>
      </c>
      <c r="I8" s="300">
        <v>1.0</v>
      </c>
      <c r="J8" s="300">
        <v>1.0</v>
      </c>
      <c r="K8" s="300">
        <v>1.0</v>
      </c>
      <c r="L8" s="300">
        <v>1.0</v>
      </c>
      <c r="M8" s="300">
        <v>1.0</v>
      </c>
      <c r="N8" s="300">
        <v>8.0</v>
      </c>
      <c r="O8" s="300" t="s">
        <v>786</v>
      </c>
      <c r="P8" s="300">
        <v>6.0</v>
      </c>
    </row>
    <row r="9">
      <c r="A9">
        <f>IFERROR(__xludf.DUMMYFUNCTION("""COMPUTED_VALUE"""),9.0)</f>
        <v>9</v>
      </c>
      <c r="B9" s="406">
        <f>IFERROR(__xludf.DUMMYFUNCTION("""COMPUTED_VALUE"""),29089.0)</f>
        <v>29089</v>
      </c>
      <c r="C9" t="str">
        <f>IFERROR(__xludf.DUMMYFUNCTION("""COMPUTED_VALUE"""),"PEREZ BEDOYA, ELENA")</f>
        <v>PEREZ BEDOYA, ELENA</v>
      </c>
      <c r="D9" t="str">
        <f>IFERROR(__xludf.DUMMYFUNCTION("""COMPUTED_VALUE"""),"English 9")</f>
        <v>English 9</v>
      </c>
      <c r="E9" s="3">
        <f>IFERROR(__xludf.DUMMYFUNCTION("""COMPUTED_VALUE"""),6.0)</f>
        <v>6</v>
      </c>
      <c r="F9" s="300">
        <v>1.0</v>
      </c>
      <c r="G9" s="300">
        <v>1.0</v>
      </c>
      <c r="H9" s="300">
        <v>1.0</v>
      </c>
      <c r="I9" s="300">
        <v>1.0</v>
      </c>
      <c r="J9" s="300">
        <v>1.0</v>
      </c>
      <c r="K9" s="300">
        <v>1.0</v>
      </c>
      <c r="L9" s="300">
        <v>1.0</v>
      </c>
      <c r="M9" s="300">
        <v>1.0</v>
      </c>
      <c r="N9" s="300">
        <v>8.0</v>
      </c>
      <c r="O9" s="300" t="s">
        <v>783</v>
      </c>
      <c r="P9" s="300">
        <v>6.0</v>
      </c>
    </row>
    <row r="10">
      <c r="A10">
        <f>IFERROR(__xludf.DUMMYFUNCTION("""COMPUTED_VALUE"""),9.0)</f>
        <v>9</v>
      </c>
      <c r="B10" s="406">
        <f>IFERROR(__xludf.DUMMYFUNCTION("""COMPUTED_VALUE"""),29048.0)</f>
        <v>29048</v>
      </c>
      <c r="C10" t="str">
        <f>IFERROR(__xludf.DUMMYFUNCTION("""COMPUTED_VALUE"""),"HENAO RESTREPO, ANTONIA")</f>
        <v>HENAO RESTREPO, ANTONIA</v>
      </c>
      <c r="D10" t="str">
        <f>IFERROR(__xludf.DUMMYFUNCTION("""COMPUTED_VALUE"""),"English 9")</f>
        <v>English 9</v>
      </c>
      <c r="E10" s="3">
        <f>IFERROR(__xludf.DUMMYFUNCTION("""COMPUTED_VALUE"""),7.0)</f>
        <v>7</v>
      </c>
      <c r="F10" s="300">
        <v>1.0</v>
      </c>
      <c r="G10" s="300">
        <v>1.0</v>
      </c>
      <c r="H10" s="300">
        <v>1.0</v>
      </c>
      <c r="I10" s="300">
        <v>1.0</v>
      </c>
      <c r="J10" s="300">
        <v>1.0</v>
      </c>
      <c r="K10" s="300">
        <v>1.0</v>
      </c>
      <c r="L10" s="300">
        <v>1.0</v>
      </c>
      <c r="M10" s="300">
        <v>1.0</v>
      </c>
      <c r="N10" s="300">
        <v>8.0</v>
      </c>
      <c r="O10" s="300" t="s">
        <v>786</v>
      </c>
      <c r="P10" s="300">
        <v>6.0</v>
      </c>
    </row>
    <row r="11">
      <c r="A11">
        <f>IFERROR(__xludf.DUMMYFUNCTION("""COMPUTED_VALUE"""),9.0)</f>
        <v>9</v>
      </c>
      <c r="B11" s="406">
        <f>IFERROR(__xludf.DUMMYFUNCTION("""COMPUTED_VALUE"""),29019.0)</f>
        <v>29019</v>
      </c>
      <c r="C11" t="str">
        <f>IFERROR(__xludf.DUMMYFUNCTION("""COMPUTED_VALUE"""),"BARRIENTOS ALVAREZ, ELISA")</f>
        <v>BARRIENTOS ALVAREZ, ELISA</v>
      </c>
      <c r="D11" t="str">
        <f>IFERROR(__xludf.DUMMYFUNCTION("""COMPUTED_VALUE"""),"English 9")</f>
        <v>English 9</v>
      </c>
      <c r="E11" s="3">
        <f>IFERROR(__xludf.DUMMYFUNCTION("""COMPUTED_VALUE"""),8.0)</f>
        <v>8</v>
      </c>
      <c r="F11" s="300">
        <v>1.0</v>
      </c>
      <c r="G11" s="300">
        <v>1.0</v>
      </c>
      <c r="H11" s="300">
        <v>1.0</v>
      </c>
      <c r="I11" s="300">
        <v>1.0</v>
      </c>
      <c r="J11" s="300">
        <v>1.0</v>
      </c>
      <c r="K11" s="300">
        <v>1.0</v>
      </c>
      <c r="L11" s="300">
        <v>1.0</v>
      </c>
      <c r="M11" s="300">
        <v>1.0</v>
      </c>
      <c r="N11" s="300">
        <v>8.0</v>
      </c>
      <c r="O11" s="300" t="s">
        <v>782</v>
      </c>
      <c r="P11" s="300">
        <v>6.0</v>
      </c>
    </row>
    <row r="12">
      <c r="A12">
        <f>IFERROR(__xludf.DUMMYFUNCTION("""COMPUTED_VALUE"""),9.0)</f>
        <v>9</v>
      </c>
      <c r="B12" s="406">
        <f>IFERROR(__xludf.DUMMYFUNCTION("""COMPUTED_VALUE"""),29079.0)</f>
        <v>29079</v>
      </c>
      <c r="C12" t="str">
        <f>IFERROR(__xludf.DUMMYFUNCTION("""COMPUTED_VALUE"""),"MISAS MESA, ALICIA")</f>
        <v>MISAS MESA, ALICIA</v>
      </c>
      <c r="D12" t="str">
        <f>IFERROR(__xludf.DUMMYFUNCTION("""COMPUTED_VALUE"""),"English 9")</f>
        <v>English 9</v>
      </c>
      <c r="E12" s="3">
        <f>IFERROR(__xludf.DUMMYFUNCTION("""COMPUTED_VALUE"""),6.0)</f>
        <v>6</v>
      </c>
      <c r="F12" s="300">
        <v>1.0</v>
      </c>
      <c r="G12" s="300">
        <v>1.0</v>
      </c>
      <c r="H12" s="300">
        <v>1.0</v>
      </c>
      <c r="I12" s="300">
        <v>1.0</v>
      </c>
      <c r="J12" s="300">
        <v>1.0</v>
      </c>
      <c r="K12" s="300">
        <v>1.0</v>
      </c>
      <c r="L12" s="300">
        <v>1.0</v>
      </c>
      <c r="M12" s="300">
        <v>1.0</v>
      </c>
      <c r="N12" s="300">
        <v>8.0</v>
      </c>
      <c r="O12" s="300" t="s">
        <v>783</v>
      </c>
      <c r="P12" s="300">
        <v>6.0</v>
      </c>
    </row>
    <row r="13">
      <c r="A13">
        <f>IFERROR(__xludf.DUMMYFUNCTION("""COMPUTED_VALUE"""),9.0)</f>
        <v>9</v>
      </c>
      <c r="B13" s="406">
        <f>IFERROR(__xludf.DUMMYFUNCTION("""COMPUTED_VALUE"""),29010.0)</f>
        <v>29010</v>
      </c>
      <c r="C13" t="str">
        <f>IFERROR(__xludf.DUMMYFUNCTION("""COMPUTED_VALUE"""),"ARANGO NAVARRO, MANUELA")</f>
        <v>ARANGO NAVARRO, MANUELA</v>
      </c>
      <c r="D13" t="str">
        <f>IFERROR(__xludf.DUMMYFUNCTION("""COMPUTED_VALUE"""),"English 9")</f>
        <v>English 9</v>
      </c>
      <c r="E13" s="3">
        <f>IFERROR(__xludf.DUMMYFUNCTION("""COMPUTED_VALUE"""),5.0)</f>
        <v>5</v>
      </c>
      <c r="F13" s="300">
        <v>1.0</v>
      </c>
      <c r="G13" s="300">
        <v>1.0</v>
      </c>
      <c r="H13" s="300">
        <v>1.0</v>
      </c>
      <c r="I13" s="300">
        <v>1.0</v>
      </c>
      <c r="J13" s="300">
        <v>1.0</v>
      </c>
      <c r="K13" s="300">
        <v>1.0</v>
      </c>
      <c r="L13" s="300">
        <v>1.0</v>
      </c>
      <c r="M13" s="300">
        <v>1.0</v>
      </c>
      <c r="N13" s="300">
        <v>8.0</v>
      </c>
      <c r="O13" s="300" t="s">
        <v>787</v>
      </c>
      <c r="P13" s="300">
        <v>6.0</v>
      </c>
    </row>
    <row r="14">
      <c r="A14">
        <f>IFERROR(__xludf.DUMMYFUNCTION("""COMPUTED_VALUE"""),9.0)</f>
        <v>9</v>
      </c>
      <c r="B14" s="406">
        <f>IFERROR(__xludf.DUMMYFUNCTION("""COMPUTED_VALUE"""),29074.0)</f>
        <v>29074</v>
      </c>
      <c r="C14" t="str">
        <f>IFERROR(__xludf.DUMMYFUNCTION("""COMPUTED_VALUE"""),"MEDINA JARAMILLO, ALICIA")</f>
        <v>MEDINA JARAMILLO, ALICIA</v>
      </c>
      <c r="D14" t="str">
        <f>IFERROR(__xludf.DUMMYFUNCTION("""COMPUTED_VALUE"""),"English 9")</f>
        <v>English 9</v>
      </c>
      <c r="E14" s="3">
        <f>IFERROR(__xludf.DUMMYFUNCTION("""COMPUTED_VALUE"""),2.0)</f>
        <v>2</v>
      </c>
      <c r="F14" s="300">
        <v>1.0</v>
      </c>
      <c r="G14" s="300">
        <v>1.0</v>
      </c>
      <c r="H14" s="300">
        <v>1.0</v>
      </c>
      <c r="I14" s="300">
        <v>1.0</v>
      </c>
      <c r="J14" s="300">
        <v>1.0</v>
      </c>
      <c r="K14" s="300">
        <v>1.0</v>
      </c>
      <c r="L14" s="300">
        <v>1.0</v>
      </c>
      <c r="M14" s="300">
        <v>1.0</v>
      </c>
      <c r="N14" s="300">
        <v>8.0</v>
      </c>
      <c r="O14" s="300" t="s">
        <v>785</v>
      </c>
      <c r="P14" s="300">
        <v>6.0</v>
      </c>
    </row>
    <row r="15">
      <c r="A15">
        <f>IFERROR(__xludf.DUMMYFUNCTION("""COMPUTED_VALUE"""),9.0)</f>
        <v>9</v>
      </c>
      <c r="B15" s="406">
        <f>IFERROR(__xludf.DUMMYFUNCTION("""COMPUTED_VALUE"""),29001.0)</f>
        <v>29001</v>
      </c>
      <c r="C15" t="str">
        <f>IFERROR(__xludf.DUMMYFUNCTION("""COMPUTED_VALUE"""),"ACEVEDO ARANGO, ROSARIO")</f>
        <v>ACEVEDO ARANGO, ROSARIO</v>
      </c>
      <c r="D15" t="str">
        <f>IFERROR(__xludf.DUMMYFUNCTION("""COMPUTED_VALUE"""),"English 9")</f>
        <v>English 9</v>
      </c>
      <c r="E15" s="3">
        <f>IFERROR(__xludf.DUMMYFUNCTION("""COMPUTED_VALUE"""),2.0)</f>
        <v>2</v>
      </c>
      <c r="F15" s="300">
        <v>1.0</v>
      </c>
      <c r="G15" s="300">
        <v>1.0</v>
      </c>
      <c r="H15" s="300">
        <v>1.0</v>
      </c>
      <c r="I15" s="300">
        <v>1.0</v>
      </c>
      <c r="J15" s="300">
        <v>1.0</v>
      </c>
      <c r="K15" s="300">
        <v>1.0</v>
      </c>
      <c r="L15" s="300">
        <v>1.0</v>
      </c>
      <c r="M15" s="300">
        <v>1.0</v>
      </c>
      <c r="N15" s="300">
        <v>8.0</v>
      </c>
      <c r="O15" s="300" t="s">
        <v>785</v>
      </c>
      <c r="P15" s="300">
        <v>6.0</v>
      </c>
    </row>
    <row r="16">
      <c r="A16">
        <f>IFERROR(__xludf.DUMMYFUNCTION("""COMPUTED_VALUE"""),9.0)</f>
        <v>9</v>
      </c>
      <c r="B16" s="406">
        <f>IFERROR(__xludf.DUMMYFUNCTION("""COMPUTED_VALUE"""),29043.0)</f>
        <v>29043</v>
      </c>
      <c r="C16" t="str">
        <f>IFERROR(__xludf.DUMMYFUNCTION("""COMPUTED_VALUE"""),"GOMEZ PASCHKE, VALERIA")</f>
        <v>GOMEZ PASCHKE, VALERIA</v>
      </c>
      <c r="D16" t="str">
        <f>IFERROR(__xludf.DUMMYFUNCTION("""COMPUTED_VALUE"""),"English 9")</f>
        <v>English 9</v>
      </c>
      <c r="E16" s="3">
        <f>IFERROR(__xludf.DUMMYFUNCTION("""COMPUTED_VALUE"""),6.0)</f>
        <v>6</v>
      </c>
      <c r="F16" s="300">
        <v>1.0</v>
      </c>
      <c r="G16" s="300">
        <v>1.0</v>
      </c>
      <c r="H16" s="300">
        <v>1.0</v>
      </c>
      <c r="I16" s="300">
        <v>1.0</v>
      </c>
      <c r="J16" s="300">
        <v>1.0</v>
      </c>
      <c r="K16" s="300">
        <v>1.0</v>
      </c>
      <c r="L16" s="300">
        <v>1.0</v>
      </c>
      <c r="M16" s="300">
        <v>1.0</v>
      </c>
      <c r="N16" s="300">
        <v>8.0</v>
      </c>
      <c r="O16" s="300" t="s">
        <v>783</v>
      </c>
      <c r="P16" s="300">
        <v>6.0</v>
      </c>
    </row>
    <row r="17">
      <c r="A17">
        <f>IFERROR(__xludf.DUMMYFUNCTION("""COMPUTED_VALUE"""),9.0)</f>
        <v>9</v>
      </c>
      <c r="B17" s="406">
        <f>IFERROR(__xludf.DUMMYFUNCTION("""COMPUTED_VALUE"""),29114.0)</f>
        <v>29114</v>
      </c>
      <c r="C17" t="str">
        <f>IFERROR(__xludf.DUMMYFUNCTION("""COMPUTED_VALUE"""),"THIRIEZ VILLA, MARIA")</f>
        <v>THIRIEZ VILLA, MARIA</v>
      </c>
      <c r="D17" t="str">
        <f>IFERROR(__xludf.DUMMYFUNCTION("""COMPUTED_VALUE"""),"English 9")</f>
        <v>English 9</v>
      </c>
      <c r="E17" s="3">
        <f>IFERROR(__xludf.DUMMYFUNCTION("""COMPUTED_VALUE"""),8.0)</f>
        <v>8</v>
      </c>
      <c r="F17" s="300">
        <v>1.0</v>
      </c>
      <c r="G17" s="300">
        <v>1.0</v>
      </c>
      <c r="H17" s="300">
        <v>1.0</v>
      </c>
      <c r="I17" s="300">
        <v>1.0</v>
      </c>
      <c r="J17" s="300">
        <v>1.0</v>
      </c>
      <c r="K17" s="300">
        <v>1.0</v>
      </c>
      <c r="L17" s="300">
        <v>1.0</v>
      </c>
      <c r="M17" s="300">
        <v>1.0</v>
      </c>
      <c r="N17" s="300">
        <v>8.0</v>
      </c>
      <c r="O17" s="300" t="s">
        <v>782</v>
      </c>
      <c r="P17" s="300">
        <v>6.0</v>
      </c>
    </row>
    <row r="18">
      <c r="A18">
        <f>IFERROR(__xludf.DUMMYFUNCTION("""COMPUTED_VALUE"""),9.0)</f>
        <v>9</v>
      </c>
      <c r="B18" s="406">
        <f>IFERROR(__xludf.DUMMYFUNCTION("""COMPUTED_VALUE"""),29091.0)</f>
        <v>29091</v>
      </c>
      <c r="C18" t="str">
        <f>IFERROR(__xludf.DUMMYFUNCTION("""COMPUTED_VALUE"""),"PLATA BOLAÑOS, CAMILA")</f>
        <v>PLATA BOLAÑOS, CAMILA</v>
      </c>
      <c r="D18" t="str">
        <f>IFERROR(__xludf.DUMMYFUNCTION("""COMPUTED_VALUE"""),"English 9")</f>
        <v>English 9</v>
      </c>
      <c r="E18" s="3">
        <f>IFERROR(__xludf.DUMMYFUNCTION("""COMPUTED_VALUE"""),7.0)</f>
        <v>7</v>
      </c>
      <c r="F18" s="300">
        <v>1.0</v>
      </c>
      <c r="G18" s="300">
        <v>1.0</v>
      </c>
      <c r="H18" s="300">
        <v>1.0</v>
      </c>
      <c r="I18" s="300">
        <v>1.0</v>
      </c>
      <c r="J18" s="300">
        <v>1.0</v>
      </c>
      <c r="K18" s="300">
        <v>1.0</v>
      </c>
      <c r="L18" s="300">
        <v>1.0</v>
      </c>
      <c r="M18" s="300">
        <v>1.0</v>
      </c>
      <c r="N18" s="300">
        <v>8.0</v>
      </c>
      <c r="O18" s="300" t="s">
        <v>786</v>
      </c>
      <c r="P18" s="300">
        <v>6.0</v>
      </c>
    </row>
    <row r="19">
      <c r="A19">
        <f>IFERROR(__xludf.DUMMYFUNCTION("""COMPUTED_VALUE"""),9.0)</f>
        <v>9</v>
      </c>
      <c r="B19" s="406">
        <f>IFERROR(__xludf.DUMMYFUNCTION("""COMPUTED_VALUE"""),29034.0)</f>
        <v>29034</v>
      </c>
      <c r="C19" t="str">
        <f>IFERROR(__xludf.DUMMYFUNCTION("""COMPUTED_VALUE"""),"DUQUE BONNETT, ELISA")</f>
        <v>DUQUE BONNETT, ELISA</v>
      </c>
      <c r="D19" t="str">
        <f>IFERROR(__xludf.DUMMYFUNCTION("""COMPUTED_VALUE"""),"English 9")</f>
        <v>English 9</v>
      </c>
      <c r="E19" s="3">
        <f>IFERROR(__xludf.DUMMYFUNCTION("""COMPUTED_VALUE"""),6.0)</f>
        <v>6</v>
      </c>
      <c r="F19" s="300">
        <v>1.0</v>
      </c>
      <c r="G19" s="300">
        <v>1.0</v>
      </c>
      <c r="H19" s="300">
        <v>1.0</v>
      </c>
      <c r="I19" s="300">
        <v>1.0</v>
      </c>
      <c r="J19" s="300">
        <v>1.0</v>
      </c>
      <c r="K19" s="300">
        <v>1.0</v>
      </c>
      <c r="L19" s="300">
        <v>1.0</v>
      </c>
      <c r="M19" s="300">
        <v>1.0</v>
      </c>
      <c r="N19" s="300">
        <v>8.0</v>
      </c>
      <c r="O19" s="300" t="s">
        <v>783</v>
      </c>
      <c r="P19" s="300">
        <v>6.0</v>
      </c>
    </row>
    <row r="20">
      <c r="A20">
        <f>IFERROR(__xludf.DUMMYFUNCTION("""COMPUTED_VALUE"""),9.0)</f>
        <v>9</v>
      </c>
      <c r="B20" s="406">
        <f>IFERROR(__xludf.DUMMYFUNCTION("""COMPUTED_VALUE"""),29080.0)</f>
        <v>29080</v>
      </c>
      <c r="C20" t="str">
        <f>IFERROR(__xludf.DUMMYFUNCTION("""COMPUTED_VALUE"""),"MONTES LOPEZ, MANUELA")</f>
        <v>MONTES LOPEZ, MANUELA</v>
      </c>
      <c r="D20" t="str">
        <f>IFERROR(__xludf.DUMMYFUNCTION("""COMPUTED_VALUE"""),"English 9")</f>
        <v>English 9</v>
      </c>
      <c r="E20" s="3">
        <f>IFERROR(__xludf.DUMMYFUNCTION("""COMPUTED_VALUE"""),8.0)</f>
        <v>8</v>
      </c>
      <c r="F20" s="300">
        <v>1.0</v>
      </c>
      <c r="G20" s="300">
        <v>1.0</v>
      </c>
      <c r="H20" s="300">
        <v>1.0</v>
      </c>
      <c r="I20" s="300">
        <v>1.0</v>
      </c>
      <c r="J20" s="300">
        <v>1.0</v>
      </c>
      <c r="K20" s="300">
        <v>1.0</v>
      </c>
      <c r="L20" s="300">
        <v>1.0</v>
      </c>
      <c r="M20" s="300">
        <v>1.0</v>
      </c>
      <c r="N20" s="300">
        <v>8.0</v>
      </c>
      <c r="O20" s="300" t="s">
        <v>782</v>
      </c>
      <c r="P20" s="300">
        <v>6.0</v>
      </c>
    </row>
    <row r="21">
      <c r="A21">
        <f>IFERROR(__xludf.DUMMYFUNCTION("""COMPUTED_VALUE"""),9.0)</f>
        <v>9</v>
      </c>
      <c r="B21" s="406">
        <f>IFERROR(__xludf.DUMMYFUNCTION("""COMPUTED_VALUE"""),29157.0)</f>
        <v>29157</v>
      </c>
      <c r="C21" t="str">
        <f>IFERROR(__xludf.DUMMYFUNCTION("""COMPUTED_VALUE"""),"PETTERSSON VANEGAS, DOMINIQUE")</f>
        <v>PETTERSSON VANEGAS, DOMINIQUE</v>
      </c>
      <c r="D21" t="str">
        <f>IFERROR(__xludf.DUMMYFUNCTION("""COMPUTED_VALUE"""),"English 9")</f>
        <v>English 9</v>
      </c>
      <c r="E21" s="3">
        <f>IFERROR(__xludf.DUMMYFUNCTION("""COMPUTED_VALUE"""),5.0)</f>
        <v>5</v>
      </c>
      <c r="F21" s="300">
        <v>1.0</v>
      </c>
      <c r="G21" s="300">
        <v>1.0</v>
      </c>
      <c r="H21" s="300">
        <v>1.0</v>
      </c>
      <c r="I21" s="300">
        <v>1.0</v>
      </c>
      <c r="J21" s="300">
        <v>1.0</v>
      </c>
      <c r="K21" s="300">
        <v>1.0</v>
      </c>
      <c r="L21" s="300">
        <v>1.0</v>
      </c>
      <c r="M21" s="300">
        <v>1.0</v>
      </c>
      <c r="N21" s="300">
        <v>8.0</v>
      </c>
      <c r="O21" s="300" t="s">
        <v>787</v>
      </c>
      <c r="P21" s="300">
        <v>6.0</v>
      </c>
    </row>
    <row r="22">
      <c r="A22">
        <f>IFERROR(__xludf.DUMMYFUNCTION("""COMPUTED_VALUE"""),9.0)</f>
        <v>9</v>
      </c>
      <c r="B22" s="406">
        <f>IFERROR(__xludf.DUMMYFUNCTION("""COMPUTED_VALUE"""),29111.0)</f>
        <v>29111</v>
      </c>
      <c r="C22" t="str">
        <f>IFERROR(__xludf.DUMMYFUNCTION("""COMPUTED_VALUE"""),"SOTO ANGEL, GABRIELA")</f>
        <v>SOTO ANGEL, GABRIELA</v>
      </c>
      <c r="D22" t="str">
        <f>IFERROR(__xludf.DUMMYFUNCTION("""COMPUTED_VALUE"""),"English 9")</f>
        <v>English 9</v>
      </c>
      <c r="E22" s="3">
        <f>IFERROR(__xludf.DUMMYFUNCTION("""COMPUTED_VALUE"""),8.0)</f>
        <v>8</v>
      </c>
      <c r="F22" s="300">
        <v>1.0</v>
      </c>
      <c r="G22" s="300">
        <v>1.0</v>
      </c>
      <c r="H22" s="300">
        <v>1.0</v>
      </c>
      <c r="I22" s="300">
        <v>1.0</v>
      </c>
      <c r="J22" s="300">
        <v>1.0</v>
      </c>
      <c r="K22" s="300">
        <v>1.0</v>
      </c>
      <c r="L22" s="300">
        <v>1.0</v>
      </c>
      <c r="M22" s="300">
        <v>1.0</v>
      </c>
      <c r="N22" s="300">
        <v>8.0</v>
      </c>
      <c r="O22" s="300" t="s">
        <v>782</v>
      </c>
      <c r="P22" s="300">
        <v>6.0</v>
      </c>
    </row>
    <row r="23">
      <c r="A23">
        <f>IFERROR(__xludf.DUMMYFUNCTION("""COMPUTED_VALUE"""),9.0)</f>
        <v>9</v>
      </c>
      <c r="B23" s="406">
        <f>IFERROR(__xludf.DUMMYFUNCTION("""COMPUTED_VALUE"""),29107.0)</f>
        <v>29107</v>
      </c>
      <c r="C23" t="str">
        <f>IFERROR(__xludf.DUMMYFUNCTION("""COMPUTED_VALUE"""),"SANIN JARAMILLO, PEDRO")</f>
        <v>SANIN JARAMILLO, PEDRO</v>
      </c>
      <c r="D23" t="str">
        <f>IFERROR(__xludf.DUMMYFUNCTION("""COMPUTED_VALUE"""),"English 9")</f>
        <v>English 9</v>
      </c>
      <c r="E23" s="3">
        <f>IFERROR(__xludf.DUMMYFUNCTION("""COMPUTED_VALUE"""),1.0)</f>
        <v>1</v>
      </c>
      <c r="F23" s="300">
        <v>1.0</v>
      </c>
      <c r="G23" s="300">
        <v>1.0</v>
      </c>
      <c r="H23" s="300">
        <v>1.0</v>
      </c>
      <c r="I23" s="300">
        <v>1.0</v>
      </c>
      <c r="J23" s="300">
        <v>1.0</v>
      </c>
      <c r="K23" s="300">
        <v>1.0</v>
      </c>
      <c r="L23" s="300">
        <v>1.0</v>
      </c>
      <c r="M23" s="300">
        <v>1.0</v>
      </c>
      <c r="N23" s="300">
        <v>8.0</v>
      </c>
      <c r="O23" s="300" t="s">
        <v>784</v>
      </c>
      <c r="P23" s="300">
        <v>6.0</v>
      </c>
    </row>
    <row r="24">
      <c r="A24">
        <f>IFERROR(__xludf.DUMMYFUNCTION("""COMPUTED_VALUE"""),9.0)</f>
        <v>9</v>
      </c>
      <c r="B24" s="406">
        <f>IFERROR(__xludf.DUMMYFUNCTION("""COMPUTED_VALUE"""),29066.0)</f>
        <v>29066</v>
      </c>
      <c r="C24" t="str">
        <f>IFERROR(__xludf.DUMMYFUNCTION("""COMPUTED_VALUE"""),"LONDOÑO JARAMILLO, MARTINA")</f>
        <v>LONDOÑO JARAMILLO, MARTINA</v>
      </c>
      <c r="D24" t="str">
        <f>IFERROR(__xludf.DUMMYFUNCTION("""COMPUTED_VALUE"""),"English 9")</f>
        <v>English 9</v>
      </c>
      <c r="E24" s="3">
        <f>IFERROR(__xludf.DUMMYFUNCTION("""COMPUTED_VALUE"""),6.0)</f>
        <v>6</v>
      </c>
      <c r="F24" s="300">
        <v>1.0</v>
      </c>
      <c r="G24" s="300">
        <v>1.0</v>
      </c>
      <c r="H24" s="300">
        <v>1.0</v>
      </c>
      <c r="I24" s="300">
        <v>1.0</v>
      </c>
      <c r="J24" s="300">
        <v>1.0</v>
      </c>
      <c r="K24" s="300">
        <v>1.0</v>
      </c>
      <c r="L24" s="300">
        <v>1.0</v>
      </c>
      <c r="M24" s="300">
        <v>1.0</v>
      </c>
      <c r="N24" s="300">
        <v>8.0</v>
      </c>
      <c r="O24" s="300" t="s">
        <v>783</v>
      </c>
      <c r="P24" s="300">
        <v>6.0</v>
      </c>
    </row>
    <row r="25">
      <c r="A25">
        <f>IFERROR(__xludf.DUMMYFUNCTION("""COMPUTED_VALUE"""),9.0)</f>
        <v>9</v>
      </c>
      <c r="B25" s="406">
        <f>IFERROR(__xludf.DUMMYFUNCTION("""COMPUTED_VALUE"""),29071.0)</f>
        <v>29071</v>
      </c>
      <c r="C25" t="str">
        <f>IFERROR(__xludf.DUMMYFUNCTION("""COMPUTED_VALUE"""),"MARQUEZ BARRERA, MIRANDA")</f>
        <v>MARQUEZ BARRERA, MIRANDA</v>
      </c>
      <c r="D25" t="str">
        <f>IFERROR(__xludf.DUMMYFUNCTION("""COMPUTED_VALUE"""),"English 9")</f>
        <v>English 9</v>
      </c>
      <c r="E25" s="3">
        <f>IFERROR(__xludf.DUMMYFUNCTION("""COMPUTED_VALUE"""),5.0)</f>
        <v>5</v>
      </c>
      <c r="F25" s="300">
        <v>1.0</v>
      </c>
      <c r="G25" s="300">
        <v>1.0</v>
      </c>
      <c r="H25" s="300">
        <v>1.0</v>
      </c>
      <c r="I25" s="300">
        <v>1.0</v>
      </c>
      <c r="J25" s="300">
        <v>1.0</v>
      </c>
      <c r="K25" s="300">
        <v>1.0</v>
      </c>
      <c r="L25" s="300">
        <v>1.0</v>
      </c>
      <c r="M25" s="300">
        <v>1.0</v>
      </c>
      <c r="N25" s="300">
        <v>8.0</v>
      </c>
      <c r="O25" s="300" t="s">
        <v>787</v>
      </c>
      <c r="P25" s="300">
        <v>6.0</v>
      </c>
    </row>
    <row r="26">
      <c r="A26">
        <f>IFERROR(__xludf.DUMMYFUNCTION("""COMPUTED_VALUE"""),9.0)</f>
        <v>9</v>
      </c>
      <c r="B26" s="406">
        <f>IFERROR(__xludf.DUMMYFUNCTION("""COMPUTED_VALUE"""),29008.0)</f>
        <v>29008</v>
      </c>
      <c r="C26" t="str">
        <f>IFERROR(__xludf.DUMMYFUNCTION("""COMPUTED_VALUE"""),"APA ECHAVARRIA, LORENZO")</f>
        <v>APA ECHAVARRIA, LORENZO</v>
      </c>
      <c r="D26" t="str">
        <f>IFERROR(__xludf.DUMMYFUNCTION("""COMPUTED_VALUE"""),"English 9")</f>
        <v>English 9</v>
      </c>
      <c r="E26" s="3">
        <f>IFERROR(__xludf.DUMMYFUNCTION("""COMPUTED_VALUE"""),8.0)</f>
        <v>8</v>
      </c>
      <c r="F26" s="300">
        <v>1.0</v>
      </c>
      <c r="G26" s="300">
        <v>1.0</v>
      </c>
      <c r="H26" s="300">
        <v>1.0</v>
      </c>
      <c r="I26" s="300">
        <v>1.0</v>
      </c>
      <c r="J26" s="300">
        <v>1.0</v>
      </c>
      <c r="K26" s="300">
        <v>1.0</v>
      </c>
      <c r="L26" s="300">
        <v>1.0</v>
      </c>
      <c r="M26" s="300">
        <v>1.0</v>
      </c>
      <c r="N26" s="300">
        <v>8.0</v>
      </c>
      <c r="O26" s="300" t="s">
        <v>782</v>
      </c>
      <c r="P26" s="300">
        <v>6.0</v>
      </c>
    </row>
    <row r="27">
      <c r="A27">
        <f>IFERROR(__xludf.DUMMYFUNCTION("""COMPUTED_VALUE"""),9.0)</f>
        <v>9</v>
      </c>
      <c r="B27" s="406">
        <f>IFERROR(__xludf.DUMMYFUNCTION("""COMPUTED_VALUE"""),29016.0)</f>
        <v>29016</v>
      </c>
      <c r="C27" t="str">
        <f>IFERROR(__xludf.DUMMYFUNCTION("""COMPUTED_VALUE"""),"ARROYAVE LONDOÑO, ELISA")</f>
        <v>ARROYAVE LONDOÑO, ELISA</v>
      </c>
      <c r="D27" t="str">
        <f>IFERROR(__xludf.DUMMYFUNCTION("""COMPUTED_VALUE"""),"English 9")</f>
        <v>English 9</v>
      </c>
      <c r="E27" s="3">
        <f>IFERROR(__xludf.DUMMYFUNCTION("""COMPUTED_VALUE"""),1.0)</f>
        <v>1</v>
      </c>
      <c r="F27" s="300">
        <v>1.0</v>
      </c>
      <c r="G27" s="300">
        <v>1.0</v>
      </c>
      <c r="H27" s="300">
        <v>1.0</v>
      </c>
      <c r="I27" s="300">
        <v>1.0</v>
      </c>
      <c r="J27" s="300">
        <v>1.0</v>
      </c>
      <c r="K27" s="300">
        <v>1.0</v>
      </c>
      <c r="L27" s="300">
        <v>1.0</v>
      </c>
      <c r="M27" s="300">
        <v>1.0</v>
      </c>
      <c r="N27" s="300">
        <v>8.0</v>
      </c>
      <c r="O27" s="300" t="s">
        <v>784</v>
      </c>
      <c r="P27" s="300">
        <v>6.0</v>
      </c>
    </row>
    <row r="28">
      <c r="A28">
        <f>IFERROR(__xludf.DUMMYFUNCTION("""COMPUTED_VALUE"""),9.0)</f>
        <v>9</v>
      </c>
      <c r="B28" s="406">
        <f>IFERROR(__xludf.DUMMYFUNCTION("""COMPUTED_VALUE"""),29053.0)</f>
        <v>29053</v>
      </c>
      <c r="C28" t="str">
        <f>IFERROR(__xludf.DUMMYFUNCTION("""COMPUTED_VALUE"""),"HURTADO FAJARDO, JUANITA")</f>
        <v>HURTADO FAJARDO, JUANITA</v>
      </c>
      <c r="D28" t="str">
        <f>IFERROR(__xludf.DUMMYFUNCTION("""COMPUTED_VALUE"""),"English 9")</f>
        <v>English 9</v>
      </c>
      <c r="E28" s="3">
        <f>IFERROR(__xludf.DUMMYFUNCTION("""COMPUTED_VALUE"""),1.0)</f>
        <v>1</v>
      </c>
      <c r="F28" s="300">
        <v>1.0</v>
      </c>
      <c r="G28" s="300">
        <v>1.0</v>
      </c>
      <c r="H28" s="300">
        <v>1.0</v>
      </c>
      <c r="I28" s="300">
        <v>1.0</v>
      </c>
      <c r="J28" s="300">
        <v>1.0</v>
      </c>
      <c r="K28" s="300">
        <v>1.0</v>
      </c>
      <c r="L28" s="300">
        <v>1.0</v>
      </c>
      <c r="M28" s="300">
        <v>1.0</v>
      </c>
      <c r="N28" s="300">
        <v>8.0</v>
      </c>
      <c r="O28" s="300" t="s">
        <v>784</v>
      </c>
      <c r="P28" s="300">
        <v>6.0</v>
      </c>
    </row>
    <row r="29">
      <c r="A29">
        <f>IFERROR(__xludf.DUMMYFUNCTION("""COMPUTED_VALUE"""),9.0)</f>
        <v>9</v>
      </c>
      <c r="B29" s="406">
        <f>IFERROR(__xludf.DUMMYFUNCTION("""COMPUTED_VALUE"""),29124.0)</f>
        <v>29124</v>
      </c>
      <c r="C29" t="str">
        <f>IFERROR(__xludf.DUMMYFUNCTION("""COMPUTED_VALUE"""),"VALLEJO HOYOS, JUAN")</f>
        <v>VALLEJO HOYOS, JUAN</v>
      </c>
      <c r="D29" t="str">
        <f>IFERROR(__xludf.DUMMYFUNCTION("""COMPUTED_VALUE"""),"English 9")</f>
        <v>English 9</v>
      </c>
      <c r="E29" s="3">
        <f>IFERROR(__xludf.DUMMYFUNCTION("""COMPUTED_VALUE"""),1.0)</f>
        <v>1</v>
      </c>
      <c r="F29" s="300">
        <v>1.0</v>
      </c>
      <c r="G29" s="300">
        <v>1.0</v>
      </c>
      <c r="H29" s="300">
        <v>1.0</v>
      </c>
      <c r="I29" s="300">
        <v>1.0</v>
      </c>
      <c r="J29" s="300">
        <v>1.0</v>
      </c>
      <c r="K29" s="300">
        <v>1.0</v>
      </c>
      <c r="L29" s="300">
        <v>1.0</v>
      </c>
      <c r="M29" s="300">
        <v>1.0</v>
      </c>
      <c r="N29" s="300">
        <v>8.0</v>
      </c>
      <c r="O29" s="300" t="s">
        <v>784</v>
      </c>
      <c r="P29" s="300">
        <v>6.0</v>
      </c>
    </row>
    <row r="30">
      <c r="A30">
        <f>IFERROR(__xludf.DUMMYFUNCTION("""COMPUTED_VALUE"""),9.0)</f>
        <v>9</v>
      </c>
      <c r="B30" s="406">
        <f>IFERROR(__xludf.DUMMYFUNCTION("""COMPUTED_VALUE"""),29135.0)</f>
        <v>29135</v>
      </c>
      <c r="C30" t="str">
        <f>IFERROR(__xludf.DUMMYFUNCTION("""COMPUTED_VALUE"""),"ECHAVARRIA MUÑOZ, NICOLAS")</f>
        <v>ECHAVARRIA MUÑOZ, NICOLAS</v>
      </c>
      <c r="D30" t="str">
        <f>IFERROR(__xludf.DUMMYFUNCTION("""COMPUTED_VALUE"""),"English 9")</f>
        <v>English 9</v>
      </c>
      <c r="E30" s="3">
        <f>IFERROR(__xludf.DUMMYFUNCTION("""COMPUTED_VALUE"""),1.0)</f>
        <v>1</v>
      </c>
      <c r="F30" s="300">
        <v>1.0</v>
      </c>
      <c r="G30" s="300">
        <v>1.0</v>
      </c>
      <c r="H30" s="300">
        <v>1.0</v>
      </c>
      <c r="I30" s="300">
        <v>1.0</v>
      </c>
      <c r="J30" s="300">
        <v>1.0</v>
      </c>
      <c r="K30" s="300">
        <v>1.0</v>
      </c>
      <c r="L30" s="300">
        <v>1.0</v>
      </c>
      <c r="M30" s="300">
        <v>1.0</v>
      </c>
      <c r="N30" s="300">
        <v>8.0</v>
      </c>
      <c r="O30" s="300" t="s">
        <v>784</v>
      </c>
      <c r="P30" s="300">
        <v>6.0</v>
      </c>
    </row>
    <row r="31">
      <c r="A31">
        <f>IFERROR(__xludf.DUMMYFUNCTION("""COMPUTED_VALUE"""),9.0)</f>
        <v>9</v>
      </c>
      <c r="B31" s="406">
        <f>IFERROR(__xludf.DUMMYFUNCTION("""COMPUTED_VALUE"""),29112.0)</f>
        <v>29112</v>
      </c>
      <c r="C31" t="str">
        <f>IFERROR(__xludf.DUMMYFUNCTION("""COMPUTED_VALUE"""),"SUAREZ MARTINEZ, ANA")</f>
        <v>SUAREZ MARTINEZ, ANA</v>
      </c>
      <c r="D31" t="str">
        <f>IFERROR(__xludf.DUMMYFUNCTION("""COMPUTED_VALUE"""),"English 9")</f>
        <v>English 9</v>
      </c>
      <c r="E31" s="3">
        <f>IFERROR(__xludf.DUMMYFUNCTION("""COMPUTED_VALUE"""),2.0)</f>
        <v>2</v>
      </c>
      <c r="F31" s="300">
        <v>1.0</v>
      </c>
      <c r="G31" s="300">
        <v>1.0</v>
      </c>
      <c r="H31" s="300">
        <v>1.0</v>
      </c>
      <c r="I31" s="300">
        <v>1.0</v>
      </c>
      <c r="J31" s="300">
        <v>1.0</v>
      </c>
      <c r="K31" s="300">
        <v>1.0</v>
      </c>
      <c r="L31" s="300">
        <v>1.0</v>
      </c>
      <c r="M31" s="300">
        <v>1.0</v>
      </c>
      <c r="N31" s="300">
        <v>8.0</v>
      </c>
      <c r="O31" s="300" t="s">
        <v>785</v>
      </c>
      <c r="P31" s="300">
        <v>6.0</v>
      </c>
    </row>
    <row r="32">
      <c r="A32">
        <f>IFERROR(__xludf.DUMMYFUNCTION("""COMPUTED_VALUE"""),9.0)</f>
        <v>9</v>
      </c>
      <c r="B32" s="406">
        <f>IFERROR(__xludf.DUMMYFUNCTION("""COMPUTED_VALUE"""),29022.0)</f>
        <v>29022</v>
      </c>
      <c r="C32" t="str">
        <f>IFERROR(__xludf.DUMMYFUNCTION("""COMPUTED_VALUE"""),"BETANCUR ROBLEDO, PEDRO")</f>
        <v>BETANCUR ROBLEDO, PEDRO</v>
      </c>
      <c r="D32" t="str">
        <f>IFERROR(__xludf.DUMMYFUNCTION("""COMPUTED_VALUE"""),"English 9")</f>
        <v>English 9</v>
      </c>
      <c r="E32" s="3">
        <f>IFERROR(__xludf.DUMMYFUNCTION("""COMPUTED_VALUE"""),7.0)</f>
        <v>7</v>
      </c>
      <c r="F32" s="300">
        <v>1.0</v>
      </c>
      <c r="G32" s="300">
        <v>1.0</v>
      </c>
      <c r="H32" s="300">
        <v>1.0</v>
      </c>
      <c r="I32" s="300">
        <v>1.0</v>
      </c>
      <c r="J32" s="300">
        <v>1.0</v>
      </c>
      <c r="K32" s="300">
        <v>1.0</v>
      </c>
      <c r="L32" s="300">
        <v>1.0</v>
      </c>
      <c r="M32" s="300">
        <v>1.0</v>
      </c>
      <c r="N32" s="300">
        <v>8.0</v>
      </c>
      <c r="O32" s="300" t="s">
        <v>786</v>
      </c>
      <c r="P32" s="300">
        <v>6.0</v>
      </c>
    </row>
    <row r="33">
      <c r="A33">
        <f>IFERROR(__xludf.DUMMYFUNCTION("""COMPUTED_VALUE"""),9.0)</f>
        <v>9</v>
      </c>
      <c r="B33" s="406">
        <f>IFERROR(__xludf.DUMMYFUNCTION("""COMPUTED_VALUE"""),29085.0)</f>
        <v>29085</v>
      </c>
      <c r="C33" t="str">
        <f>IFERROR(__xludf.DUMMYFUNCTION("""COMPUTED_VALUE"""),"OTALVARO ABAD, JUAN MARTIN")</f>
        <v>OTALVARO ABAD, JUAN MARTIN</v>
      </c>
      <c r="D33" t="str">
        <f>IFERROR(__xludf.DUMMYFUNCTION("""COMPUTED_VALUE"""),"English 9")</f>
        <v>English 9</v>
      </c>
      <c r="E33" s="3">
        <f>IFERROR(__xludf.DUMMYFUNCTION("""COMPUTED_VALUE"""),2.0)</f>
        <v>2</v>
      </c>
      <c r="F33" s="300">
        <v>1.0</v>
      </c>
      <c r="G33" s="300">
        <v>1.0</v>
      </c>
      <c r="H33" s="300">
        <v>1.0</v>
      </c>
      <c r="I33" s="300">
        <v>1.0</v>
      </c>
      <c r="J33" s="300">
        <v>1.0</v>
      </c>
      <c r="K33" s="300">
        <v>1.0</v>
      </c>
      <c r="L33" s="300">
        <v>1.0</v>
      </c>
      <c r="M33" s="300">
        <v>1.0</v>
      </c>
      <c r="N33" s="300">
        <v>8.0</v>
      </c>
      <c r="O33" s="300" t="s">
        <v>785</v>
      </c>
      <c r="P33" s="300">
        <v>6.0</v>
      </c>
    </row>
    <row r="34">
      <c r="A34">
        <f>IFERROR(__xludf.DUMMYFUNCTION("""COMPUTED_VALUE"""),9.0)</f>
        <v>9</v>
      </c>
      <c r="B34" s="406">
        <f>IFERROR(__xludf.DUMMYFUNCTION("""COMPUTED_VALUE"""),29081.0)</f>
        <v>29081</v>
      </c>
      <c r="C34" t="str">
        <f>IFERROR(__xludf.DUMMYFUNCTION("""COMPUTED_VALUE"""),"MORA JARAMILLO, ALICIA")</f>
        <v>MORA JARAMILLO, ALICIA</v>
      </c>
      <c r="D34" t="str">
        <f>IFERROR(__xludf.DUMMYFUNCTION("""COMPUTED_VALUE"""),"English 9")</f>
        <v>English 9</v>
      </c>
      <c r="E34" s="3">
        <f>IFERROR(__xludf.DUMMYFUNCTION("""COMPUTED_VALUE"""),5.0)</f>
        <v>5</v>
      </c>
      <c r="F34" s="300">
        <v>1.0</v>
      </c>
      <c r="G34" s="300">
        <v>1.0</v>
      </c>
      <c r="H34" s="300">
        <v>1.0</v>
      </c>
      <c r="I34" s="300">
        <v>1.0</v>
      </c>
      <c r="J34" s="300">
        <v>1.0</v>
      </c>
      <c r="K34" s="300">
        <v>1.0</v>
      </c>
      <c r="L34" s="300">
        <v>1.0</v>
      </c>
      <c r="M34" s="300">
        <v>1.0</v>
      </c>
      <c r="N34" s="300">
        <v>8.0</v>
      </c>
      <c r="O34" s="300" t="s">
        <v>787</v>
      </c>
      <c r="P34" s="300">
        <v>6.0</v>
      </c>
    </row>
    <row r="35">
      <c r="A35">
        <f>IFERROR(__xludf.DUMMYFUNCTION("""COMPUTED_VALUE"""),9.0)</f>
        <v>9</v>
      </c>
      <c r="B35" s="406">
        <f>IFERROR(__xludf.DUMMYFUNCTION("""COMPUTED_VALUE"""),29147.0)</f>
        <v>29147</v>
      </c>
      <c r="C35" t="str">
        <f>IFERROR(__xludf.DUMMYFUNCTION("""COMPUTED_VALUE"""),"JIMENO ARISTIZABAL, ISABELLA")</f>
        <v>JIMENO ARISTIZABAL, ISABELLA</v>
      </c>
      <c r="D35" t="str">
        <f>IFERROR(__xludf.DUMMYFUNCTION("""COMPUTED_VALUE"""),"English 9")</f>
        <v>English 9</v>
      </c>
      <c r="E35" s="3">
        <f>IFERROR(__xludf.DUMMYFUNCTION("""COMPUTED_VALUE"""),7.0)</f>
        <v>7</v>
      </c>
      <c r="F35" s="300">
        <v>1.0</v>
      </c>
      <c r="G35" s="300">
        <v>1.0</v>
      </c>
      <c r="H35" s="300">
        <v>1.0</v>
      </c>
      <c r="I35" s="300">
        <v>1.0</v>
      </c>
      <c r="J35" s="300">
        <v>1.0</v>
      </c>
      <c r="K35" s="300">
        <v>1.0</v>
      </c>
      <c r="L35" s="300">
        <v>1.0</v>
      </c>
      <c r="M35" s="300">
        <v>1.0</v>
      </c>
      <c r="N35" s="300">
        <v>8.0</v>
      </c>
      <c r="O35" s="300" t="s">
        <v>786</v>
      </c>
      <c r="P35" s="300">
        <v>6.0</v>
      </c>
    </row>
    <row r="36">
      <c r="A36">
        <f>IFERROR(__xludf.DUMMYFUNCTION("""COMPUTED_VALUE"""),9.0)</f>
        <v>9</v>
      </c>
      <c r="B36" s="406">
        <f>IFERROR(__xludf.DUMMYFUNCTION("""COMPUTED_VALUE"""),29007.0)</f>
        <v>29007</v>
      </c>
      <c r="C36" t="str">
        <f>IFERROR(__xludf.DUMMYFUNCTION("""COMPUTED_VALUE"""),"ALZATE GARCIA, LUCIANA")</f>
        <v>ALZATE GARCIA, LUCIANA</v>
      </c>
      <c r="D36" t="str">
        <f>IFERROR(__xludf.DUMMYFUNCTION("""COMPUTED_VALUE"""),"English 9")</f>
        <v>English 9</v>
      </c>
      <c r="E36" s="3">
        <f>IFERROR(__xludf.DUMMYFUNCTION("""COMPUTED_VALUE"""),5.0)</f>
        <v>5</v>
      </c>
      <c r="F36" s="300">
        <v>1.0</v>
      </c>
      <c r="G36" s="300">
        <v>1.0</v>
      </c>
      <c r="H36" s="300">
        <v>1.0</v>
      </c>
      <c r="I36" s="300">
        <v>1.0</v>
      </c>
      <c r="J36" s="300">
        <v>1.0</v>
      </c>
      <c r="K36" s="300">
        <v>1.0</v>
      </c>
      <c r="L36" s="300">
        <v>1.0</v>
      </c>
      <c r="M36" s="300">
        <v>1.0</v>
      </c>
      <c r="N36" s="300">
        <v>8.0</v>
      </c>
      <c r="O36" s="300" t="s">
        <v>787</v>
      </c>
      <c r="P36" s="300">
        <v>6.0</v>
      </c>
    </row>
    <row r="37">
      <c r="A37">
        <f>IFERROR(__xludf.DUMMYFUNCTION("""COMPUTED_VALUE"""),9.0)</f>
        <v>9</v>
      </c>
      <c r="B37" s="406">
        <f>IFERROR(__xludf.DUMMYFUNCTION("""COMPUTED_VALUE"""),29032.0)</f>
        <v>29032</v>
      </c>
      <c r="C37" t="str">
        <f>IFERROR(__xludf.DUMMYFUNCTION("""COMPUTED_VALUE"""),"CORTES SIERRA, TOMAS")</f>
        <v>CORTES SIERRA, TOMAS</v>
      </c>
      <c r="D37" t="str">
        <f>IFERROR(__xludf.DUMMYFUNCTION("""COMPUTED_VALUE"""),"English 9")</f>
        <v>English 9</v>
      </c>
      <c r="E37" s="3">
        <f>IFERROR(__xludf.DUMMYFUNCTION("""COMPUTED_VALUE"""),8.0)</f>
        <v>8</v>
      </c>
      <c r="F37" s="300">
        <v>1.0</v>
      </c>
      <c r="G37" s="300">
        <v>1.0</v>
      </c>
      <c r="H37" s="300">
        <v>1.0</v>
      </c>
      <c r="I37" s="300">
        <v>1.0</v>
      </c>
      <c r="J37" s="300">
        <v>1.0</v>
      </c>
      <c r="K37" s="300">
        <v>1.0</v>
      </c>
      <c r="L37" s="300">
        <v>1.0</v>
      </c>
      <c r="M37" s="300">
        <v>1.0</v>
      </c>
      <c r="N37" s="300">
        <v>8.0</v>
      </c>
      <c r="O37" s="300" t="s">
        <v>782</v>
      </c>
      <c r="P37" s="300">
        <v>6.0</v>
      </c>
    </row>
    <row r="38">
      <c r="A38">
        <f>IFERROR(__xludf.DUMMYFUNCTION("""COMPUTED_VALUE"""),9.0)</f>
        <v>9</v>
      </c>
      <c r="B38" s="406">
        <f>IFERROR(__xludf.DUMMYFUNCTION("""COMPUTED_VALUE"""),29076.0)</f>
        <v>29076</v>
      </c>
      <c r="C38" t="str">
        <f>IFERROR(__xludf.DUMMYFUNCTION("""COMPUTED_VALUE"""),"MEJIA MANTILLA, MATEO")</f>
        <v>MEJIA MANTILLA, MATEO</v>
      </c>
      <c r="D38" t="str">
        <f>IFERROR(__xludf.DUMMYFUNCTION("""COMPUTED_VALUE"""),"English 9")</f>
        <v>English 9</v>
      </c>
      <c r="E38" s="3">
        <f>IFERROR(__xludf.DUMMYFUNCTION("""COMPUTED_VALUE"""),6.0)</f>
        <v>6</v>
      </c>
      <c r="F38" s="300">
        <v>1.0</v>
      </c>
      <c r="G38" s="300">
        <v>1.0</v>
      </c>
      <c r="H38" s="300">
        <v>1.0</v>
      </c>
      <c r="I38" s="300">
        <v>1.0</v>
      </c>
      <c r="J38" s="300">
        <v>1.0</v>
      </c>
      <c r="K38" s="300">
        <v>1.0</v>
      </c>
      <c r="L38" s="300">
        <v>1.0</v>
      </c>
      <c r="M38" s="300">
        <v>1.0</v>
      </c>
      <c r="N38" s="300">
        <v>8.0</v>
      </c>
      <c r="O38" s="300" t="s">
        <v>783</v>
      </c>
      <c r="P38" s="300">
        <v>6.0</v>
      </c>
    </row>
    <row r="39">
      <c r="A39">
        <f>IFERROR(__xludf.DUMMYFUNCTION("""COMPUTED_VALUE"""),9.0)</f>
        <v>9</v>
      </c>
      <c r="B39" s="406">
        <f>IFERROR(__xludf.DUMMYFUNCTION("""COMPUTED_VALUE"""),29025.0)</f>
        <v>29025</v>
      </c>
      <c r="C39" t="str">
        <f>IFERROR(__xludf.DUMMYFUNCTION("""COMPUTED_VALUE"""),"CALLE BUITRAGO, ESTEBAN")</f>
        <v>CALLE BUITRAGO, ESTEBAN</v>
      </c>
      <c r="D39" t="str">
        <f>IFERROR(__xludf.DUMMYFUNCTION("""COMPUTED_VALUE"""),"English 9")</f>
        <v>English 9</v>
      </c>
      <c r="E39" s="3">
        <f>IFERROR(__xludf.DUMMYFUNCTION("""COMPUTED_VALUE"""),7.0)</f>
        <v>7</v>
      </c>
      <c r="F39" s="300">
        <v>1.0</v>
      </c>
      <c r="G39" s="300">
        <v>1.0</v>
      </c>
      <c r="H39" s="300">
        <v>1.0</v>
      </c>
      <c r="I39" s="300">
        <v>1.0</v>
      </c>
      <c r="J39" s="300">
        <v>1.0</v>
      </c>
      <c r="K39" s="300">
        <v>1.0</v>
      </c>
      <c r="L39" s="300">
        <v>1.0</v>
      </c>
      <c r="M39" s="300">
        <v>1.0</v>
      </c>
      <c r="N39" s="300">
        <v>8.0</v>
      </c>
      <c r="O39" s="300" t="s">
        <v>786</v>
      </c>
      <c r="P39" s="300">
        <v>6.0</v>
      </c>
    </row>
    <row r="40">
      <c r="A40">
        <f>IFERROR(__xludf.DUMMYFUNCTION("""COMPUTED_VALUE"""),9.0)</f>
        <v>9</v>
      </c>
      <c r="B40" s="406">
        <f>IFERROR(__xludf.DUMMYFUNCTION("""COMPUTED_VALUE"""),29038.0)</f>
        <v>29038</v>
      </c>
      <c r="C40" t="str">
        <f>IFERROR(__xludf.DUMMYFUNCTION("""COMPUTED_VALUE"""),"ESCOBAR MADRID, MAXIMILIANO")</f>
        <v>ESCOBAR MADRID, MAXIMILIANO</v>
      </c>
      <c r="D40" t="str">
        <f>IFERROR(__xludf.DUMMYFUNCTION("""COMPUTED_VALUE"""),"English 9")</f>
        <v>English 9</v>
      </c>
      <c r="E40" s="3">
        <f>IFERROR(__xludf.DUMMYFUNCTION("""COMPUTED_VALUE"""),8.0)</f>
        <v>8</v>
      </c>
      <c r="F40" s="300">
        <v>1.0</v>
      </c>
      <c r="G40" s="300">
        <v>1.0</v>
      </c>
      <c r="H40" s="300">
        <v>1.0</v>
      </c>
      <c r="I40" s="300">
        <v>1.0</v>
      </c>
      <c r="J40" s="300">
        <v>1.0</v>
      </c>
      <c r="K40" s="300">
        <v>1.0</v>
      </c>
      <c r="L40" s="300">
        <v>1.0</v>
      </c>
      <c r="M40" s="300">
        <v>1.0</v>
      </c>
      <c r="N40" s="300">
        <v>8.0</v>
      </c>
      <c r="O40" s="300" t="s">
        <v>782</v>
      </c>
      <c r="P40" s="300">
        <v>6.0</v>
      </c>
    </row>
    <row r="41">
      <c r="A41">
        <f>IFERROR(__xludf.DUMMYFUNCTION("""COMPUTED_VALUE"""),9.0)</f>
        <v>9</v>
      </c>
      <c r="B41" s="406">
        <f>IFERROR(__xludf.DUMMYFUNCTION("""COMPUTED_VALUE"""),28077.0)</f>
        <v>28077</v>
      </c>
      <c r="C41" t="str">
        <f>IFERROR(__xludf.DUMMYFUNCTION("""COMPUTED_VALUE"""),"OLIVEIRA CASTAÑO, MARIANA")</f>
        <v>OLIVEIRA CASTAÑO, MARIANA</v>
      </c>
      <c r="D41" t="str">
        <f>IFERROR(__xludf.DUMMYFUNCTION("""COMPUTED_VALUE"""),"English 9")</f>
        <v>English 9</v>
      </c>
      <c r="E41" s="3">
        <f>IFERROR(__xludf.DUMMYFUNCTION("""COMPUTED_VALUE"""),1.0)</f>
        <v>1</v>
      </c>
      <c r="F41" s="300">
        <v>1.0</v>
      </c>
      <c r="G41" s="300">
        <v>1.0</v>
      </c>
      <c r="H41" s="300">
        <v>1.0</v>
      </c>
      <c r="I41" s="300">
        <v>1.0</v>
      </c>
      <c r="J41" s="300">
        <v>1.0</v>
      </c>
      <c r="K41" s="300">
        <v>1.0</v>
      </c>
      <c r="L41" s="300">
        <v>1.0</v>
      </c>
      <c r="M41" s="300">
        <v>1.0</v>
      </c>
      <c r="N41" s="300">
        <v>8.0</v>
      </c>
      <c r="O41" s="300" t="s">
        <v>784</v>
      </c>
      <c r="P41" s="300">
        <v>6.0</v>
      </c>
    </row>
    <row r="42">
      <c r="A42">
        <f>IFERROR(__xludf.DUMMYFUNCTION("""COMPUTED_VALUE"""),9.0)</f>
        <v>9</v>
      </c>
      <c r="B42" s="406">
        <f>IFERROR(__xludf.DUMMYFUNCTION("""COMPUTED_VALUE"""),29041.0)</f>
        <v>29041</v>
      </c>
      <c r="C42" t="str">
        <f>IFERROR(__xludf.DUMMYFUNCTION("""COMPUTED_VALUE"""),"FAJARDO VILLA, LUCIANA")</f>
        <v>FAJARDO VILLA, LUCIANA</v>
      </c>
      <c r="D42" t="str">
        <f>IFERROR(__xludf.DUMMYFUNCTION("""COMPUTED_VALUE"""),"English 9")</f>
        <v>English 9</v>
      </c>
      <c r="E42" s="3">
        <f>IFERROR(__xludf.DUMMYFUNCTION("""COMPUTED_VALUE"""),8.0)</f>
        <v>8</v>
      </c>
      <c r="F42" s="300">
        <v>1.0</v>
      </c>
      <c r="G42" s="300">
        <v>1.0</v>
      </c>
      <c r="H42" s="300">
        <v>1.0</v>
      </c>
      <c r="I42" s="300">
        <v>1.0</v>
      </c>
      <c r="J42" s="300">
        <v>1.0</v>
      </c>
      <c r="K42" s="300">
        <v>1.0</v>
      </c>
      <c r="L42" s="300">
        <v>1.0</v>
      </c>
      <c r="M42" s="300">
        <v>1.0</v>
      </c>
      <c r="N42" s="300">
        <v>8.0</v>
      </c>
      <c r="O42" s="300" t="s">
        <v>782</v>
      </c>
      <c r="P42" s="300">
        <v>6.0</v>
      </c>
    </row>
    <row r="43">
      <c r="A43">
        <f>IFERROR(__xludf.DUMMYFUNCTION("""COMPUTED_VALUE"""),9.0)</f>
        <v>9</v>
      </c>
      <c r="B43" s="406">
        <f>IFERROR(__xludf.DUMMYFUNCTION("""COMPUTED_VALUE"""),29021.0)</f>
        <v>29021</v>
      </c>
      <c r="C43" t="str">
        <f>IFERROR(__xludf.DUMMYFUNCTION("""COMPUTED_VALUE"""),"BETANCOURT QUINTERO, SIMON")</f>
        <v>BETANCOURT QUINTERO, SIMON</v>
      </c>
      <c r="D43" t="str">
        <f>IFERROR(__xludf.DUMMYFUNCTION("""COMPUTED_VALUE"""),"English 9")</f>
        <v>English 9</v>
      </c>
      <c r="E43" s="3">
        <f>IFERROR(__xludf.DUMMYFUNCTION("""COMPUTED_VALUE"""),1.0)</f>
        <v>1</v>
      </c>
      <c r="F43" s="300">
        <v>1.0</v>
      </c>
      <c r="G43" s="300">
        <v>1.0</v>
      </c>
      <c r="H43" s="300">
        <v>1.0</v>
      </c>
      <c r="I43" s="300">
        <v>1.0</v>
      </c>
      <c r="J43" s="300">
        <v>1.0</v>
      </c>
      <c r="K43" s="300">
        <v>1.0</v>
      </c>
      <c r="L43" s="300">
        <v>1.0</v>
      </c>
      <c r="M43" s="300">
        <v>1.0</v>
      </c>
      <c r="N43" s="300">
        <v>8.0</v>
      </c>
      <c r="O43" s="300" t="s">
        <v>784</v>
      </c>
      <c r="P43" s="300">
        <v>6.0</v>
      </c>
    </row>
    <row r="44">
      <c r="A44">
        <f>IFERROR(__xludf.DUMMYFUNCTION("""COMPUTED_VALUE"""),9.0)</f>
        <v>9</v>
      </c>
      <c r="B44" s="406">
        <f>IFERROR(__xludf.DUMMYFUNCTION("""COMPUTED_VALUE"""),29029.0)</f>
        <v>29029</v>
      </c>
      <c r="C44" t="str">
        <f>IFERROR(__xludf.DUMMYFUNCTION("""COMPUTED_VALUE"""),"CHAVARRIAGA MESA, GREGORIO")</f>
        <v>CHAVARRIAGA MESA, GREGORIO</v>
      </c>
      <c r="D44" t="str">
        <f>IFERROR(__xludf.DUMMYFUNCTION("""COMPUTED_VALUE"""),"English 9")</f>
        <v>English 9</v>
      </c>
      <c r="E44" s="3">
        <f>IFERROR(__xludf.DUMMYFUNCTION("""COMPUTED_VALUE"""),7.0)</f>
        <v>7</v>
      </c>
      <c r="F44" s="300">
        <v>1.0</v>
      </c>
      <c r="G44" s="300">
        <v>1.0</v>
      </c>
      <c r="H44" s="300">
        <v>1.0</v>
      </c>
      <c r="I44" s="300">
        <v>1.0</v>
      </c>
      <c r="J44" s="300">
        <v>1.0</v>
      </c>
      <c r="K44" s="300">
        <v>1.0</v>
      </c>
      <c r="L44" s="300">
        <v>1.0</v>
      </c>
      <c r="M44" s="300">
        <v>1.0</v>
      </c>
      <c r="N44" s="300">
        <v>8.0</v>
      </c>
      <c r="O44" s="300" t="s">
        <v>786</v>
      </c>
      <c r="P44" s="300">
        <v>6.0</v>
      </c>
    </row>
    <row r="45">
      <c r="A45">
        <f>IFERROR(__xludf.DUMMYFUNCTION("""COMPUTED_VALUE"""),9.0)</f>
        <v>9</v>
      </c>
      <c r="B45" s="406">
        <f>IFERROR(__xludf.DUMMYFUNCTION("""COMPUTED_VALUE"""),29148.0)</f>
        <v>29148</v>
      </c>
      <c r="C45" t="str">
        <f>IFERROR(__xludf.DUMMYFUNCTION("""COMPUTED_VALUE"""),"OSORIO ARISTIZABAL, MATIAS")</f>
        <v>OSORIO ARISTIZABAL, MATIAS</v>
      </c>
      <c r="D45" t="str">
        <f>IFERROR(__xludf.DUMMYFUNCTION("""COMPUTED_VALUE"""),"English 9")</f>
        <v>English 9</v>
      </c>
      <c r="E45" s="3">
        <f>IFERROR(__xludf.DUMMYFUNCTION("""COMPUTED_VALUE"""),6.0)</f>
        <v>6</v>
      </c>
      <c r="F45" s="300">
        <v>1.0</v>
      </c>
      <c r="G45" s="300">
        <v>1.0</v>
      </c>
      <c r="H45" s="300">
        <v>1.0</v>
      </c>
      <c r="I45" s="300">
        <v>1.0</v>
      </c>
      <c r="J45" s="300">
        <v>1.0</v>
      </c>
      <c r="K45" s="300">
        <v>1.0</v>
      </c>
      <c r="L45" s="300">
        <v>1.0</v>
      </c>
      <c r="M45" s="300">
        <v>1.0</v>
      </c>
      <c r="N45" s="300">
        <v>8.0</v>
      </c>
      <c r="O45" s="300" t="s">
        <v>783</v>
      </c>
      <c r="P45" s="300">
        <v>6.0</v>
      </c>
    </row>
    <row r="46">
      <c r="A46">
        <f>IFERROR(__xludf.DUMMYFUNCTION("""COMPUTED_VALUE"""),9.0)</f>
        <v>9</v>
      </c>
      <c r="B46" s="406">
        <f>IFERROR(__xludf.DUMMYFUNCTION("""COMPUTED_VALUE"""),29170.0)</f>
        <v>29170</v>
      </c>
      <c r="C46" t="str">
        <f>IFERROR(__xludf.DUMMYFUNCTION("""COMPUTED_VALUE"""),"ALVAREZ CARDENAS, JUAN EMILIO")</f>
        <v>ALVAREZ CARDENAS, JUAN EMILIO</v>
      </c>
      <c r="D46" t="str">
        <f>IFERROR(__xludf.DUMMYFUNCTION("""COMPUTED_VALUE"""),"English 9")</f>
        <v>English 9</v>
      </c>
      <c r="E46" s="3">
        <f>IFERROR(__xludf.DUMMYFUNCTION("""COMPUTED_VALUE"""),5.0)</f>
        <v>5</v>
      </c>
      <c r="F46" s="300">
        <v>1.0</v>
      </c>
      <c r="G46" s="300">
        <v>1.0</v>
      </c>
      <c r="H46" s="300">
        <v>1.0</v>
      </c>
      <c r="I46" s="300">
        <v>1.0</v>
      </c>
      <c r="J46" s="300">
        <v>1.0</v>
      </c>
      <c r="K46" s="300">
        <v>1.0</v>
      </c>
      <c r="L46" s="300">
        <v>1.0</v>
      </c>
      <c r="M46" s="300">
        <v>1.0</v>
      </c>
      <c r="N46" s="300">
        <v>8.0</v>
      </c>
      <c r="O46" s="300" t="s">
        <v>787</v>
      </c>
      <c r="P46" s="300">
        <v>6.0</v>
      </c>
    </row>
    <row r="47">
      <c r="A47">
        <f>IFERROR(__xludf.DUMMYFUNCTION("""COMPUTED_VALUE"""),9.0)</f>
        <v>9</v>
      </c>
      <c r="B47" s="406">
        <f>IFERROR(__xludf.DUMMYFUNCTION("""COMPUTED_VALUE"""),29058.0)</f>
        <v>29058</v>
      </c>
      <c r="C47" t="str">
        <f>IFERROR(__xludf.DUMMYFUNCTION("""COMPUTED_VALUE"""),"JARAMILLO DONADO, AMELIA")</f>
        <v>JARAMILLO DONADO, AMELIA</v>
      </c>
      <c r="D47" t="str">
        <f>IFERROR(__xludf.DUMMYFUNCTION("""COMPUTED_VALUE"""),"English 9")</f>
        <v>English 9</v>
      </c>
      <c r="E47" s="3">
        <f>IFERROR(__xludf.DUMMYFUNCTION("""COMPUTED_VALUE"""),5.0)</f>
        <v>5</v>
      </c>
      <c r="F47" s="300">
        <v>1.0</v>
      </c>
      <c r="G47" s="300">
        <v>1.0</v>
      </c>
      <c r="H47" s="300">
        <v>1.0</v>
      </c>
      <c r="I47" s="300">
        <v>1.0</v>
      </c>
      <c r="J47" s="300">
        <v>1.0</v>
      </c>
      <c r="K47" s="300">
        <v>1.0</v>
      </c>
      <c r="L47" s="300">
        <v>1.0</v>
      </c>
      <c r="M47" s="300">
        <v>1.0</v>
      </c>
      <c r="N47" s="300">
        <v>8.0</v>
      </c>
      <c r="O47" s="300" t="s">
        <v>787</v>
      </c>
      <c r="P47" s="300">
        <v>6.0</v>
      </c>
    </row>
    <row r="48">
      <c r="A48">
        <f>IFERROR(__xludf.DUMMYFUNCTION("""COMPUTED_VALUE"""),9.0)</f>
        <v>9</v>
      </c>
      <c r="B48" s="406">
        <f>IFERROR(__xludf.DUMMYFUNCTION("""COMPUTED_VALUE"""),29072.0)</f>
        <v>29072</v>
      </c>
      <c r="C48" t="str">
        <f>IFERROR(__xludf.DUMMYFUNCTION("""COMPUTED_VALUE"""),"MARQUEZ RAHAL, PEDRO")</f>
        <v>MARQUEZ RAHAL, PEDRO</v>
      </c>
      <c r="D48" t="str">
        <f>IFERROR(__xludf.DUMMYFUNCTION("""COMPUTED_VALUE"""),"English 9")</f>
        <v>English 9</v>
      </c>
      <c r="E48" s="3">
        <f>IFERROR(__xludf.DUMMYFUNCTION("""COMPUTED_VALUE"""),1.0)</f>
        <v>1</v>
      </c>
      <c r="F48" s="300">
        <v>1.0</v>
      </c>
      <c r="G48" s="300">
        <v>1.0</v>
      </c>
      <c r="H48" s="300">
        <v>1.0</v>
      </c>
      <c r="I48" s="300">
        <v>1.0</v>
      </c>
      <c r="J48" s="300">
        <v>1.0</v>
      </c>
      <c r="K48" s="300">
        <v>1.0</v>
      </c>
      <c r="L48" s="300">
        <v>1.0</v>
      </c>
      <c r="M48" s="300">
        <v>1.0</v>
      </c>
      <c r="N48" s="300">
        <v>8.0</v>
      </c>
      <c r="O48" s="300" t="s">
        <v>784</v>
      </c>
      <c r="P48" s="300">
        <v>6.0</v>
      </c>
    </row>
    <row r="49">
      <c r="A49">
        <f>IFERROR(__xludf.DUMMYFUNCTION("""COMPUTED_VALUE"""),9.0)</f>
        <v>9</v>
      </c>
      <c r="B49" s="406">
        <f>IFERROR(__xludf.DUMMYFUNCTION("""COMPUTED_VALUE"""),29125.0)</f>
        <v>29125</v>
      </c>
      <c r="C49" t="str">
        <f>IFERROR(__xludf.DUMMYFUNCTION("""COMPUTED_VALUE"""),"VALLEJO LONDOÑO, TOMAS")</f>
        <v>VALLEJO LONDOÑO, TOMAS</v>
      </c>
      <c r="D49" t="str">
        <f>IFERROR(__xludf.DUMMYFUNCTION("""COMPUTED_VALUE"""),"English 9")</f>
        <v>English 9</v>
      </c>
      <c r="E49" s="3">
        <f>IFERROR(__xludf.DUMMYFUNCTION("""COMPUTED_VALUE"""),8.0)</f>
        <v>8</v>
      </c>
      <c r="F49" s="300">
        <v>1.0</v>
      </c>
      <c r="G49" s="300">
        <v>1.0</v>
      </c>
      <c r="H49" s="300">
        <v>1.0</v>
      </c>
      <c r="I49" s="300">
        <v>1.0</v>
      </c>
      <c r="J49" s="300">
        <v>1.0</v>
      </c>
      <c r="K49" s="300">
        <v>1.0</v>
      </c>
      <c r="L49" s="300">
        <v>1.0</v>
      </c>
      <c r="M49" s="300">
        <v>1.0</v>
      </c>
      <c r="N49" s="300">
        <v>8.0</v>
      </c>
      <c r="O49" s="300" t="s">
        <v>782</v>
      </c>
      <c r="P49" s="300">
        <v>6.0</v>
      </c>
    </row>
    <row r="50">
      <c r="A50">
        <f>IFERROR(__xludf.DUMMYFUNCTION("""COMPUTED_VALUE"""),9.0)</f>
        <v>9</v>
      </c>
      <c r="B50" s="406">
        <f>IFERROR(__xludf.DUMMYFUNCTION("""COMPUTED_VALUE"""),29045.0)</f>
        <v>29045</v>
      </c>
      <c r="C50" t="str">
        <f>IFERROR(__xludf.DUMMYFUNCTION("""COMPUTED_VALUE"""),"GOMEZ ZULUAGA, JUAN JOSE")</f>
        <v>GOMEZ ZULUAGA, JUAN JOSE</v>
      </c>
      <c r="D50" t="str">
        <f>IFERROR(__xludf.DUMMYFUNCTION("""COMPUTED_VALUE"""),"English 9")</f>
        <v>English 9</v>
      </c>
      <c r="E50" s="3">
        <f>IFERROR(__xludf.DUMMYFUNCTION("""COMPUTED_VALUE"""),6.0)</f>
        <v>6</v>
      </c>
      <c r="F50" s="300">
        <v>1.0</v>
      </c>
      <c r="G50" s="300">
        <v>1.0</v>
      </c>
      <c r="H50" s="300">
        <v>1.0</v>
      </c>
      <c r="I50" s="300">
        <v>1.0</v>
      </c>
      <c r="J50" s="300">
        <v>1.0</v>
      </c>
      <c r="K50" s="300">
        <v>1.0</v>
      </c>
      <c r="L50" s="300">
        <v>1.0</v>
      </c>
      <c r="M50" s="300">
        <v>1.0</v>
      </c>
      <c r="N50" s="300">
        <v>8.0</v>
      </c>
      <c r="O50" s="300" t="s">
        <v>783</v>
      </c>
      <c r="P50" s="300">
        <v>6.0</v>
      </c>
    </row>
    <row r="51">
      <c r="A51">
        <f>IFERROR(__xludf.DUMMYFUNCTION("""COMPUTED_VALUE"""),9.0)</f>
        <v>9</v>
      </c>
      <c r="B51" s="406">
        <f>IFERROR(__xludf.DUMMYFUNCTION("""COMPUTED_VALUE"""),28032.0)</f>
        <v>28032</v>
      </c>
      <c r="C51" t="str">
        <f>IFERROR(__xludf.DUMMYFUNCTION("""COMPUTED_VALUE"""),"GALLON TOBON, GERONIMO")</f>
        <v>GALLON TOBON, GERONIMO</v>
      </c>
      <c r="D51" t="str">
        <f>IFERROR(__xludf.DUMMYFUNCTION("""COMPUTED_VALUE"""),"English 9")</f>
        <v>English 9</v>
      </c>
      <c r="E51" s="3">
        <f>IFERROR(__xludf.DUMMYFUNCTION("""COMPUTED_VALUE"""),5.0)</f>
        <v>5</v>
      </c>
      <c r="F51" s="300">
        <v>1.0</v>
      </c>
      <c r="G51" s="300">
        <v>1.0</v>
      </c>
      <c r="H51" s="300">
        <v>1.0</v>
      </c>
      <c r="I51" s="300">
        <v>1.0</v>
      </c>
      <c r="J51" s="300">
        <v>1.0</v>
      </c>
      <c r="K51" s="300">
        <v>1.0</v>
      </c>
      <c r="L51" s="300">
        <v>1.0</v>
      </c>
      <c r="M51" s="300">
        <v>1.0</v>
      </c>
      <c r="N51" s="300">
        <v>8.0</v>
      </c>
      <c r="O51" s="300" t="s">
        <v>787</v>
      </c>
      <c r="P51" s="300">
        <v>6.0</v>
      </c>
    </row>
    <row r="52">
      <c r="A52">
        <f>IFERROR(__xludf.DUMMYFUNCTION("""COMPUTED_VALUE"""),9.0)</f>
        <v>9</v>
      </c>
      <c r="B52" s="406">
        <f>IFERROR(__xludf.DUMMYFUNCTION("""COMPUTED_VALUE"""),29012.0)</f>
        <v>29012</v>
      </c>
      <c r="C52" t="str">
        <f>IFERROR(__xludf.DUMMYFUNCTION("""COMPUTED_VALUE"""),"ARANGO VILLA, TOMAS")</f>
        <v>ARANGO VILLA, TOMAS</v>
      </c>
      <c r="D52" t="str">
        <f>IFERROR(__xludf.DUMMYFUNCTION("""COMPUTED_VALUE"""),"English 9")</f>
        <v>English 9</v>
      </c>
      <c r="E52" s="3">
        <f>IFERROR(__xludf.DUMMYFUNCTION("""COMPUTED_VALUE"""),2.0)</f>
        <v>2</v>
      </c>
      <c r="F52" s="300">
        <v>1.0</v>
      </c>
      <c r="G52" s="300">
        <v>1.0</v>
      </c>
      <c r="H52" s="300">
        <v>1.0</v>
      </c>
      <c r="I52" s="300">
        <v>1.0</v>
      </c>
      <c r="J52" s="300">
        <v>1.0</v>
      </c>
      <c r="K52" s="300">
        <v>1.0</v>
      </c>
      <c r="L52" s="300">
        <v>1.0</v>
      </c>
      <c r="M52" s="300">
        <v>1.0</v>
      </c>
      <c r="N52" s="300">
        <v>8.0</v>
      </c>
      <c r="O52" s="300" t="s">
        <v>785</v>
      </c>
      <c r="P52" s="300">
        <v>6.0</v>
      </c>
    </row>
    <row r="53">
      <c r="A53">
        <f>IFERROR(__xludf.DUMMYFUNCTION("""COMPUTED_VALUE"""),9.0)</f>
        <v>9</v>
      </c>
      <c r="B53" s="406">
        <f>IFERROR(__xludf.DUMMYFUNCTION("""COMPUTED_VALUE"""),29138.0)</f>
        <v>29138</v>
      </c>
      <c r="C53" t="str">
        <f>IFERROR(__xludf.DUMMYFUNCTION("""COMPUTED_VALUE"""),"ECHAVARRIA ROLDAN, TOMAS")</f>
        <v>ECHAVARRIA ROLDAN, TOMAS</v>
      </c>
      <c r="D53" t="str">
        <f>IFERROR(__xludf.DUMMYFUNCTION("""COMPUTED_VALUE"""),"English 9")</f>
        <v>English 9</v>
      </c>
      <c r="E53" s="3">
        <f>IFERROR(__xludf.DUMMYFUNCTION("""COMPUTED_VALUE"""),5.0)</f>
        <v>5</v>
      </c>
      <c r="F53" s="300">
        <v>1.0</v>
      </c>
      <c r="G53" s="300">
        <v>1.0</v>
      </c>
      <c r="H53" s="300">
        <v>1.0</v>
      </c>
      <c r="I53" s="300">
        <v>1.0</v>
      </c>
      <c r="J53" s="300">
        <v>1.0</v>
      </c>
      <c r="K53" s="300">
        <v>1.0</v>
      </c>
      <c r="L53" s="300">
        <v>1.0</v>
      </c>
      <c r="M53" s="300">
        <v>1.0</v>
      </c>
      <c r="N53" s="300">
        <v>8.0</v>
      </c>
      <c r="O53" s="300" t="s">
        <v>787</v>
      </c>
      <c r="P53" s="300">
        <v>6.0</v>
      </c>
    </row>
    <row r="54">
      <c r="A54">
        <f>IFERROR(__xludf.DUMMYFUNCTION("""COMPUTED_VALUE"""),9.0)</f>
        <v>9</v>
      </c>
      <c r="B54" s="406">
        <f>IFERROR(__xludf.DUMMYFUNCTION("""COMPUTED_VALUE"""),29003.0)</f>
        <v>29003</v>
      </c>
      <c r="C54" t="str">
        <f>IFERROR(__xludf.DUMMYFUNCTION("""COMPUTED_VALUE"""),"ACEVEDO OROZCO, MARIA CELESTE")</f>
        <v>ACEVEDO OROZCO, MARIA CELESTE</v>
      </c>
      <c r="D54" t="str">
        <f>IFERROR(__xludf.DUMMYFUNCTION("""COMPUTED_VALUE"""),"English 9")</f>
        <v>English 9</v>
      </c>
      <c r="E54" s="3">
        <f>IFERROR(__xludf.DUMMYFUNCTION("""COMPUTED_VALUE"""),1.0)</f>
        <v>1</v>
      </c>
      <c r="F54" s="300">
        <v>1.0</v>
      </c>
      <c r="G54" s="300">
        <v>1.0</v>
      </c>
      <c r="H54" s="300">
        <v>1.0</v>
      </c>
      <c r="I54" s="300">
        <v>1.0</v>
      </c>
      <c r="J54" s="300">
        <v>1.0</v>
      </c>
      <c r="K54" s="300">
        <v>1.0</v>
      </c>
      <c r="L54" s="300">
        <v>1.0</v>
      </c>
      <c r="M54" s="300">
        <v>1.0</v>
      </c>
      <c r="N54" s="300">
        <v>8.0</v>
      </c>
      <c r="O54" s="300" t="s">
        <v>784</v>
      </c>
      <c r="P54" s="300">
        <v>6.0</v>
      </c>
    </row>
    <row r="55">
      <c r="A55">
        <f>IFERROR(__xludf.DUMMYFUNCTION("""COMPUTED_VALUE"""),9.0)</f>
        <v>9</v>
      </c>
      <c r="B55" s="406">
        <f>IFERROR(__xludf.DUMMYFUNCTION("""COMPUTED_VALUE"""),29158.0)</f>
        <v>29158</v>
      </c>
      <c r="C55" t="str">
        <f>IFERROR(__xludf.DUMMYFUNCTION("""COMPUTED_VALUE"""),"NIEHAUS TRUJILLO, MICHELLE")</f>
        <v>NIEHAUS TRUJILLO, MICHELLE</v>
      </c>
      <c r="D55" t="str">
        <f>IFERROR(__xludf.DUMMYFUNCTION("""COMPUTED_VALUE"""),"English 9")</f>
        <v>English 9</v>
      </c>
      <c r="E55" s="3">
        <f>IFERROR(__xludf.DUMMYFUNCTION("""COMPUTED_VALUE"""),7.0)</f>
        <v>7</v>
      </c>
      <c r="F55" s="300">
        <v>1.0</v>
      </c>
      <c r="G55" s="300">
        <v>1.0</v>
      </c>
      <c r="H55" s="300">
        <v>1.0</v>
      </c>
      <c r="I55" s="300">
        <v>1.0</v>
      </c>
      <c r="J55" s="300">
        <v>1.0</v>
      </c>
      <c r="K55" s="300">
        <v>1.0</v>
      </c>
      <c r="L55" s="300">
        <v>1.0</v>
      </c>
      <c r="M55" s="300">
        <v>1.0</v>
      </c>
      <c r="N55" s="300">
        <v>8.0</v>
      </c>
      <c r="O55" s="300" t="s">
        <v>786</v>
      </c>
      <c r="P55" s="300">
        <v>6.0</v>
      </c>
    </row>
    <row r="56">
      <c r="A56">
        <f>IFERROR(__xludf.DUMMYFUNCTION("""COMPUTED_VALUE"""),9.0)</f>
        <v>9</v>
      </c>
      <c r="B56" s="406">
        <f>IFERROR(__xludf.DUMMYFUNCTION("""COMPUTED_VALUE"""),29088.0)</f>
        <v>29088</v>
      </c>
      <c r="C56" t="str">
        <f>IFERROR(__xludf.DUMMYFUNCTION("""COMPUTED_VALUE"""),"PEREZ ALVARADO, SARA")</f>
        <v>PEREZ ALVARADO, SARA</v>
      </c>
      <c r="D56" t="str">
        <f>IFERROR(__xludf.DUMMYFUNCTION("""COMPUTED_VALUE"""),"English 9")</f>
        <v>English 9</v>
      </c>
      <c r="E56" s="3">
        <f>IFERROR(__xludf.DUMMYFUNCTION("""COMPUTED_VALUE"""),7.0)</f>
        <v>7</v>
      </c>
      <c r="F56" s="300">
        <v>1.0</v>
      </c>
      <c r="G56" s="300">
        <v>1.0</v>
      </c>
      <c r="H56" s="300">
        <v>1.0</v>
      </c>
      <c r="I56" s="300">
        <v>1.0</v>
      </c>
      <c r="J56" s="300">
        <v>1.0</v>
      </c>
      <c r="K56" s="300">
        <v>1.0</v>
      </c>
      <c r="L56" s="300">
        <v>1.0</v>
      </c>
      <c r="M56" s="300">
        <v>1.0</v>
      </c>
      <c r="N56" s="300">
        <v>8.0</v>
      </c>
      <c r="O56" s="300" t="s">
        <v>786</v>
      </c>
      <c r="P56" s="300">
        <v>6.0</v>
      </c>
    </row>
    <row r="57">
      <c r="A57">
        <f>IFERROR(__xludf.DUMMYFUNCTION("""COMPUTED_VALUE"""),9.0)</f>
        <v>9</v>
      </c>
      <c r="B57" s="406">
        <f>IFERROR(__xludf.DUMMYFUNCTION("""COMPUTED_VALUE"""),29164.0)</f>
        <v>29164</v>
      </c>
      <c r="C57" t="str">
        <f>IFERROR(__xludf.DUMMYFUNCTION("""COMPUTED_VALUE"""),"CONCHA VELASCO, LORENZO")</f>
        <v>CONCHA VELASCO, LORENZO</v>
      </c>
      <c r="D57" t="str">
        <f>IFERROR(__xludf.DUMMYFUNCTION("""COMPUTED_VALUE"""),"English 9")</f>
        <v>English 9</v>
      </c>
      <c r="E57" s="3">
        <f>IFERROR(__xludf.DUMMYFUNCTION("""COMPUTED_VALUE"""),7.0)</f>
        <v>7</v>
      </c>
      <c r="F57" s="300">
        <v>1.0</v>
      </c>
      <c r="G57" s="300">
        <v>1.0</v>
      </c>
      <c r="H57" s="300">
        <v>1.0</v>
      </c>
      <c r="I57" s="300">
        <v>1.0</v>
      </c>
      <c r="J57" s="300">
        <v>1.0</v>
      </c>
      <c r="K57" s="300">
        <v>1.0</v>
      </c>
      <c r="L57" s="300">
        <v>1.0</v>
      </c>
      <c r="M57" s="300">
        <v>1.0</v>
      </c>
      <c r="N57" s="300">
        <v>8.0</v>
      </c>
      <c r="O57" s="300" t="s">
        <v>786</v>
      </c>
      <c r="P57" s="300">
        <v>6.0</v>
      </c>
    </row>
    <row r="58">
      <c r="A58">
        <f>IFERROR(__xludf.DUMMYFUNCTION("""COMPUTED_VALUE"""),9.0)</f>
        <v>9</v>
      </c>
      <c r="B58" s="406">
        <f>IFERROR(__xludf.DUMMYFUNCTION("""COMPUTED_VALUE"""),29011.0)</f>
        <v>29011</v>
      </c>
      <c r="C58" t="str">
        <f>IFERROR(__xludf.DUMMYFUNCTION("""COMPUTED_VALUE"""),"ARANGO RUBIO, ROSARIO")</f>
        <v>ARANGO RUBIO, ROSARIO</v>
      </c>
      <c r="D58" t="str">
        <f>IFERROR(__xludf.DUMMYFUNCTION("""COMPUTED_VALUE"""),"English 9")</f>
        <v>English 9</v>
      </c>
      <c r="E58" s="3">
        <f>IFERROR(__xludf.DUMMYFUNCTION("""COMPUTED_VALUE"""),5.0)</f>
        <v>5</v>
      </c>
      <c r="F58" s="300">
        <v>1.0</v>
      </c>
      <c r="G58" s="300">
        <v>1.0</v>
      </c>
      <c r="H58" s="300">
        <v>1.0</v>
      </c>
      <c r="I58" s="300">
        <v>1.0</v>
      </c>
      <c r="J58" s="300">
        <v>1.0</v>
      </c>
      <c r="K58" s="300">
        <v>1.0</v>
      </c>
      <c r="L58" s="300">
        <v>1.0</v>
      </c>
      <c r="M58" s="300">
        <v>1.0</v>
      </c>
      <c r="N58" s="300">
        <v>8.0</v>
      </c>
      <c r="O58" s="300" t="s">
        <v>787</v>
      </c>
      <c r="P58" s="300">
        <v>6.0</v>
      </c>
    </row>
    <row r="59">
      <c r="A59">
        <f>IFERROR(__xludf.DUMMYFUNCTION("""COMPUTED_VALUE"""),9.0)</f>
        <v>9</v>
      </c>
      <c r="B59" s="406">
        <f>IFERROR(__xludf.DUMMYFUNCTION("""COMPUTED_VALUE"""),29161.0)</f>
        <v>29161</v>
      </c>
      <c r="C59" t="str">
        <f>IFERROR(__xludf.DUMMYFUNCTION("""COMPUTED_VALUE"""),"BURKHALTER, ESPERANZA JOY")</f>
        <v>BURKHALTER, ESPERANZA JOY</v>
      </c>
      <c r="D59" t="str">
        <f>IFERROR(__xludf.DUMMYFUNCTION("""COMPUTED_VALUE"""),"English 9")</f>
        <v>English 9</v>
      </c>
      <c r="E59" s="3">
        <f>IFERROR(__xludf.DUMMYFUNCTION("""COMPUTED_VALUE"""),1.0)</f>
        <v>1</v>
      </c>
      <c r="F59" s="300">
        <v>1.0</v>
      </c>
      <c r="G59" s="300">
        <v>1.0</v>
      </c>
      <c r="H59" s="300">
        <v>1.0</v>
      </c>
      <c r="I59" s="300">
        <v>1.0</v>
      </c>
      <c r="J59" s="300">
        <v>1.0</v>
      </c>
      <c r="K59" s="300">
        <v>1.0</v>
      </c>
      <c r="L59" s="300">
        <v>1.0</v>
      </c>
      <c r="M59" s="300">
        <v>1.0</v>
      </c>
      <c r="N59" s="300">
        <v>8.0</v>
      </c>
      <c r="O59" s="300" t="s">
        <v>784</v>
      </c>
      <c r="P59" s="300">
        <v>6.0</v>
      </c>
    </row>
    <row r="60">
      <c r="A60">
        <f>IFERROR(__xludf.DUMMYFUNCTION("""COMPUTED_VALUE"""),9.0)</f>
        <v>9</v>
      </c>
      <c r="B60" s="406">
        <f>IFERROR(__xludf.DUMMYFUNCTION("""COMPUTED_VALUE"""),29103.0)</f>
        <v>29103</v>
      </c>
      <c r="C60" t="str">
        <f>IFERROR(__xludf.DUMMYFUNCTION("""COMPUTED_VALUE"""),"SALAZAR ECHEVERRI, ANTONIA")</f>
        <v>SALAZAR ECHEVERRI, ANTONIA</v>
      </c>
      <c r="D60" t="str">
        <f>IFERROR(__xludf.DUMMYFUNCTION("""COMPUTED_VALUE"""),"English 9")</f>
        <v>English 9</v>
      </c>
      <c r="E60" s="3">
        <f>IFERROR(__xludf.DUMMYFUNCTION("""COMPUTED_VALUE"""),2.0)</f>
        <v>2</v>
      </c>
      <c r="F60" s="300">
        <v>1.0</v>
      </c>
      <c r="G60" s="300">
        <v>1.0</v>
      </c>
      <c r="H60" s="300">
        <v>1.0</v>
      </c>
      <c r="I60" s="300">
        <v>1.0</v>
      </c>
      <c r="J60" s="300">
        <v>1.0</v>
      </c>
      <c r="K60" s="300">
        <v>1.0</v>
      </c>
      <c r="L60" s="300">
        <v>1.0</v>
      </c>
      <c r="M60" s="300">
        <v>1.0</v>
      </c>
      <c r="N60" s="300">
        <v>8.0</v>
      </c>
      <c r="O60" s="300" t="s">
        <v>785</v>
      </c>
      <c r="P60" s="300">
        <v>6.0</v>
      </c>
    </row>
    <row r="61">
      <c r="A61">
        <f>IFERROR(__xludf.DUMMYFUNCTION("""COMPUTED_VALUE"""),9.0)</f>
        <v>9</v>
      </c>
      <c r="B61" s="406">
        <f>IFERROR(__xludf.DUMMYFUNCTION("""COMPUTED_VALUE"""),29004.0)</f>
        <v>29004</v>
      </c>
      <c r="C61" t="str">
        <f>IFERROR(__xludf.DUMMYFUNCTION("""COMPUTED_VALUE"""),"AGUIRRE ARANGO, DAVID")</f>
        <v>AGUIRRE ARANGO, DAVID</v>
      </c>
      <c r="D61" t="str">
        <f>IFERROR(__xludf.DUMMYFUNCTION("""COMPUTED_VALUE"""),"English 9")</f>
        <v>English 9</v>
      </c>
      <c r="E61" s="3">
        <f>IFERROR(__xludf.DUMMYFUNCTION("""COMPUTED_VALUE"""),7.0)</f>
        <v>7</v>
      </c>
      <c r="F61" s="300">
        <v>1.0</v>
      </c>
      <c r="G61" s="300">
        <v>1.0</v>
      </c>
      <c r="H61" s="300">
        <v>1.0</v>
      </c>
      <c r="I61" s="300">
        <v>1.0</v>
      </c>
      <c r="J61" s="300">
        <v>1.0</v>
      </c>
      <c r="K61" s="300">
        <v>1.0</v>
      </c>
      <c r="L61" s="300">
        <v>1.0</v>
      </c>
      <c r="M61" s="300">
        <v>1.0</v>
      </c>
      <c r="N61" s="300">
        <v>8.0</v>
      </c>
      <c r="O61" s="300" t="s">
        <v>786</v>
      </c>
      <c r="P61" s="300">
        <v>6.0</v>
      </c>
    </row>
    <row r="62">
      <c r="A62">
        <f>IFERROR(__xludf.DUMMYFUNCTION("""COMPUTED_VALUE"""),9.0)</f>
        <v>9</v>
      </c>
      <c r="B62" s="406">
        <f>IFERROR(__xludf.DUMMYFUNCTION("""COMPUTED_VALUE"""),29015.0)</f>
        <v>29015</v>
      </c>
      <c r="C62" t="str">
        <f>IFERROR(__xludf.DUMMYFUNCTION("""COMPUTED_VALUE"""),"ARISTIZABAL URIBE, MATIAS")</f>
        <v>ARISTIZABAL URIBE, MATIAS</v>
      </c>
      <c r="D62" t="str">
        <f>IFERROR(__xludf.DUMMYFUNCTION("""COMPUTED_VALUE"""),"English 9")</f>
        <v>English 9</v>
      </c>
      <c r="E62" s="3">
        <f>IFERROR(__xludf.DUMMYFUNCTION("""COMPUTED_VALUE"""),6.0)</f>
        <v>6</v>
      </c>
      <c r="F62" s="300">
        <v>1.0</v>
      </c>
      <c r="G62" s="300">
        <v>1.0</v>
      </c>
      <c r="H62" s="300">
        <v>1.0</v>
      </c>
      <c r="I62" s="300">
        <v>1.0</v>
      </c>
      <c r="J62" s="300">
        <v>1.0</v>
      </c>
      <c r="K62" s="300">
        <v>1.0</v>
      </c>
      <c r="L62" s="300">
        <v>1.0</v>
      </c>
      <c r="M62" s="300">
        <v>1.0</v>
      </c>
      <c r="N62" s="300">
        <v>8.0</v>
      </c>
      <c r="O62" s="300" t="s">
        <v>783</v>
      </c>
      <c r="P62" s="300">
        <v>6.0</v>
      </c>
    </row>
    <row r="63">
      <c r="A63">
        <f>IFERROR(__xludf.DUMMYFUNCTION("""COMPUTED_VALUE"""),9.0)</f>
        <v>9</v>
      </c>
      <c r="B63" s="406">
        <f>IFERROR(__xludf.DUMMYFUNCTION("""COMPUTED_VALUE"""),29052.0)</f>
        <v>29052</v>
      </c>
      <c r="C63" t="str">
        <f>IFERROR(__xludf.DUMMYFUNCTION("""COMPUTED_VALUE"""),"HURTADO ARISTIZABAL, CAMILA")</f>
        <v>HURTADO ARISTIZABAL, CAMILA</v>
      </c>
      <c r="D63" t="str">
        <f>IFERROR(__xludf.DUMMYFUNCTION("""COMPUTED_VALUE"""),"English 9")</f>
        <v>English 9</v>
      </c>
      <c r="E63" s="3">
        <f>IFERROR(__xludf.DUMMYFUNCTION("""COMPUTED_VALUE"""),7.0)</f>
        <v>7</v>
      </c>
      <c r="F63" s="300">
        <v>1.0</v>
      </c>
      <c r="G63" s="300">
        <v>1.0</v>
      </c>
      <c r="H63" s="300">
        <v>1.0</v>
      </c>
      <c r="I63" s="300">
        <v>1.0</v>
      </c>
      <c r="J63" s="300">
        <v>1.0</v>
      </c>
      <c r="K63" s="300">
        <v>1.0</v>
      </c>
      <c r="L63" s="300">
        <v>1.0</v>
      </c>
      <c r="M63" s="300">
        <v>1.0</v>
      </c>
      <c r="N63" s="300">
        <v>8.0</v>
      </c>
      <c r="O63" s="300" t="s">
        <v>786</v>
      </c>
      <c r="P63" s="300">
        <v>6.0</v>
      </c>
    </row>
    <row r="64">
      <c r="A64">
        <f>IFERROR(__xludf.DUMMYFUNCTION("""COMPUTED_VALUE"""),9.0)</f>
        <v>9</v>
      </c>
      <c r="B64" s="406">
        <f>IFERROR(__xludf.DUMMYFUNCTION("""COMPUTED_VALUE"""),29056.0)</f>
        <v>29056</v>
      </c>
      <c r="C64" t="str">
        <f>IFERROR(__xludf.DUMMYFUNCTION("""COMPUTED_VALUE"""),"JAILLIER PINZON, MAXIMILIANO")</f>
        <v>JAILLIER PINZON, MAXIMILIANO</v>
      </c>
      <c r="D64" t="str">
        <f>IFERROR(__xludf.DUMMYFUNCTION("""COMPUTED_VALUE"""),"English 9")</f>
        <v>English 9</v>
      </c>
      <c r="E64" s="3">
        <f>IFERROR(__xludf.DUMMYFUNCTION("""COMPUTED_VALUE"""),7.0)</f>
        <v>7</v>
      </c>
      <c r="F64" s="300">
        <v>1.0</v>
      </c>
      <c r="G64" s="300">
        <v>1.0</v>
      </c>
      <c r="H64" s="300">
        <v>1.0</v>
      </c>
      <c r="I64" s="300">
        <v>1.0</v>
      </c>
      <c r="J64" s="300">
        <v>1.0</v>
      </c>
      <c r="K64" s="300">
        <v>1.0</v>
      </c>
      <c r="L64" s="300">
        <v>1.0</v>
      </c>
      <c r="M64" s="300">
        <v>1.0</v>
      </c>
      <c r="N64" s="300">
        <v>8.0</v>
      </c>
      <c r="O64" s="300" t="s">
        <v>786</v>
      </c>
      <c r="P64" s="300">
        <v>6.0</v>
      </c>
    </row>
    <row r="65">
      <c r="A65">
        <f>IFERROR(__xludf.DUMMYFUNCTION("""COMPUTED_VALUE"""),9.0)</f>
        <v>9</v>
      </c>
      <c r="B65" s="406">
        <f>IFERROR(__xludf.DUMMYFUNCTION("""COMPUTED_VALUE"""),29073.0)</f>
        <v>29073</v>
      </c>
      <c r="C65" t="str">
        <f>IFERROR(__xludf.DUMMYFUNCTION("""COMPUTED_VALUE"""),"MARRERO MARTA, ALINA")</f>
        <v>MARRERO MARTA, ALINA</v>
      </c>
      <c r="D65" t="str">
        <f>IFERROR(__xludf.DUMMYFUNCTION("""COMPUTED_VALUE"""),"English 9")</f>
        <v>English 9</v>
      </c>
      <c r="E65" s="3">
        <f>IFERROR(__xludf.DUMMYFUNCTION("""COMPUTED_VALUE"""),2.0)</f>
        <v>2</v>
      </c>
      <c r="F65" s="300">
        <v>1.0</v>
      </c>
      <c r="G65" s="300">
        <v>1.0</v>
      </c>
      <c r="H65" s="300">
        <v>1.0</v>
      </c>
      <c r="I65" s="300">
        <v>1.0</v>
      </c>
      <c r="J65" s="300">
        <v>1.0</v>
      </c>
      <c r="K65" s="300">
        <v>1.0</v>
      </c>
      <c r="L65" s="300">
        <v>1.0</v>
      </c>
      <c r="M65" s="300">
        <v>1.0</v>
      </c>
      <c r="N65" s="300">
        <v>8.0</v>
      </c>
      <c r="O65" s="300" t="s">
        <v>785</v>
      </c>
      <c r="P65" s="300">
        <v>6.0</v>
      </c>
    </row>
    <row r="66">
      <c r="A66">
        <f>IFERROR(__xludf.DUMMYFUNCTION("""COMPUTED_VALUE"""),9.0)</f>
        <v>9</v>
      </c>
      <c r="B66" s="406">
        <f>IFERROR(__xludf.DUMMYFUNCTION("""COMPUTED_VALUE"""),29065.0)</f>
        <v>29065</v>
      </c>
      <c r="C66" t="str">
        <f>IFERROR(__xludf.DUMMYFUNCTION("""COMPUTED_VALUE"""),"LONDOÑO CUARTAS, TOMAS")</f>
        <v>LONDOÑO CUARTAS, TOMAS</v>
      </c>
      <c r="D66" t="str">
        <f>IFERROR(__xludf.DUMMYFUNCTION("""COMPUTED_VALUE"""),"English 9")</f>
        <v>English 9</v>
      </c>
      <c r="E66" s="3">
        <f>IFERROR(__xludf.DUMMYFUNCTION("""COMPUTED_VALUE"""),7.0)</f>
        <v>7</v>
      </c>
      <c r="F66" s="300">
        <v>1.0</v>
      </c>
      <c r="G66" s="300">
        <v>1.0</v>
      </c>
      <c r="H66" s="300">
        <v>1.0</v>
      </c>
      <c r="I66" s="300">
        <v>1.0</v>
      </c>
      <c r="J66" s="300">
        <v>1.0</v>
      </c>
      <c r="K66" s="300">
        <v>1.0</v>
      </c>
      <c r="L66" s="300">
        <v>1.0</v>
      </c>
      <c r="M66" s="300">
        <v>1.0</v>
      </c>
      <c r="N66" s="300">
        <v>8.0</v>
      </c>
      <c r="O66" s="300" t="s">
        <v>786</v>
      </c>
      <c r="P66" s="300">
        <v>6.0</v>
      </c>
    </row>
    <row r="67">
      <c r="A67">
        <f>IFERROR(__xludf.DUMMYFUNCTION("""COMPUTED_VALUE"""),9.0)</f>
        <v>9</v>
      </c>
      <c r="B67" s="406">
        <f>IFERROR(__xludf.DUMMYFUNCTION("""COMPUTED_VALUE"""),29101.0)</f>
        <v>29101</v>
      </c>
      <c r="C67" t="str">
        <f>IFERROR(__xludf.DUMMYFUNCTION("""COMPUTED_VALUE"""),"ROBLES MARTINEZ, MARIA")</f>
        <v>ROBLES MARTINEZ, MARIA</v>
      </c>
      <c r="D67" t="str">
        <f>IFERROR(__xludf.DUMMYFUNCTION("""COMPUTED_VALUE"""),"English 9")</f>
        <v>English 9</v>
      </c>
      <c r="E67" s="3">
        <f>IFERROR(__xludf.DUMMYFUNCTION("""COMPUTED_VALUE"""),5.0)</f>
        <v>5</v>
      </c>
      <c r="F67" s="300">
        <v>1.0</v>
      </c>
      <c r="G67" s="300">
        <v>1.0</v>
      </c>
      <c r="H67" s="300">
        <v>1.0</v>
      </c>
      <c r="I67" s="300">
        <v>1.0</v>
      </c>
      <c r="J67" s="300">
        <v>1.0</v>
      </c>
      <c r="K67" s="300">
        <v>1.0</v>
      </c>
      <c r="L67" s="300">
        <v>1.0</v>
      </c>
      <c r="M67" s="300">
        <v>1.0</v>
      </c>
      <c r="N67" s="300">
        <v>8.0</v>
      </c>
      <c r="O67" s="300" t="s">
        <v>787</v>
      </c>
      <c r="P67" s="300">
        <v>6.0</v>
      </c>
    </row>
    <row r="68">
      <c r="A68">
        <f>IFERROR(__xludf.DUMMYFUNCTION("""COMPUTED_VALUE"""),9.0)</f>
        <v>9</v>
      </c>
      <c r="B68" s="406">
        <f>IFERROR(__xludf.DUMMYFUNCTION("""COMPUTED_VALUE"""),29036.0)</f>
        <v>29036</v>
      </c>
      <c r="C68" t="str">
        <f>IFERROR(__xludf.DUMMYFUNCTION("""COMPUTED_VALUE"""),"ECHEVERRI ESCOBAR, RODRIGO")</f>
        <v>ECHEVERRI ESCOBAR, RODRIGO</v>
      </c>
      <c r="D68" t="str">
        <f>IFERROR(__xludf.DUMMYFUNCTION("""COMPUTED_VALUE"""),"English 9")</f>
        <v>English 9</v>
      </c>
      <c r="E68" s="3">
        <f>IFERROR(__xludf.DUMMYFUNCTION("""COMPUTED_VALUE"""),6.0)</f>
        <v>6</v>
      </c>
      <c r="F68" s="300">
        <v>1.0</v>
      </c>
      <c r="G68" s="300">
        <v>1.0</v>
      </c>
      <c r="H68" s="300">
        <v>1.0</v>
      </c>
      <c r="I68" s="300">
        <v>1.0</v>
      </c>
      <c r="J68" s="300">
        <v>1.0</v>
      </c>
      <c r="K68" s="300">
        <v>1.0</v>
      </c>
      <c r="L68" s="300">
        <v>1.0</v>
      </c>
      <c r="M68" s="300">
        <v>1.0</v>
      </c>
      <c r="N68" s="300">
        <v>8.0</v>
      </c>
      <c r="O68" s="300" t="s">
        <v>783</v>
      </c>
      <c r="P68" s="300">
        <v>6.0</v>
      </c>
    </row>
    <row r="69">
      <c r="A69">
        <f>IFERROR(__xludf.DUMMYFUNCTION("""COMPUTED_VALUE"""),9.0)</f>
        <v>9</v>
      </c>
      <c r="B69" s="406">
        <f>IFERROR(__xludf.DUMMYFUNCTION("""COMPUTED_VALUE"""),29106.0)</f>
        <v>29106</v>
      </c>
      <c r="C69" t="str">
        <f>IFERROR(__xludf.DUMMYFUNCTION("""COMPUTED_VALUE"""),"SANCHEZ DIAZ, SIMON")</f>
        <v>SANCHEZ DIAZ, SIMON</v>
      </c>
      <c r="D69" t="str">
        <f>IFERROR(__xludf.DUMMYFUNCTION("""COMPUTED_VALUE"""),"English 9")</f>
        <v>English 9</v>
      </c>
      <c r="E69" s="3">
        <f>IFERROR(__xludf.DUMMYFUNCTION("""COMPUTED_VALUE"""),7.0)</f>
        <v>7</v>
      </c>
      <c r="F69" s="300">
        <v>1.0</v>
      </c>
      <c r="G69" s="300">
        <v>1.0</v>
      </c>
      <c r="H69" s="300">
        <v>1.0</v>
      </c>
      <c r="I69" s="300">
        <v>1.0</v>
      </c>
      <c r="J69" s="300">
        <v>1.0</v>
      </c>
      <c r="K69" s="300">
        <v>1.0</v>
      </c>
      <c r="L69" s="300">
        <v>1.0</v>
      </c>
      <c r="M69" s="300">
        <v>1.0</v>
      </c>
      <c r="N69" s="300">
        <v>8.0</v>
      </c>
      <c r="O69" s="300" t="s">
        <v>786</v>
      </c>
      <c r="P69" s="300">
        <v>6.0</v>
      </c>
    </row>
    <row r="70">
      <c r="A70">
        <f>IFERROR(__xludf.DUMMYFUNCTION("""COMPUTED_VALUE"""),9.0)</f>
        <v>9</v>
      </c>
      <c r="B70" s="406">
        <f>IFERROR(__xludf.DUMMYFUNCTION("""COMPUTED_VALUE"""),29067.0)</f>
        <v>29067</v>
      </c>
      <c r="C70" t="str">
        <f>IFERROR(__xludf.DUMMYFUNCTION("""COMPUTED_VALUE"""),"LOPEZ ESCOBAR, VALENTIN")</f>
        <v>LOPEZ ESCOBAR, VALENTIN</v>
      </c>
      <c r="D70" t="str">
        <f>IFERROR(__xludf.DUMMYFUNCTION("""COMPUTED_VALUE"""),"English 9")</f>
        <v>English 9</v>
      </c>
      <c r="E70" s="3">
        <f>IFERROR(__xludf.DUMMYFUNCTION("""COMPUTED_VALUE"""),1.0)</f>
        <v>1</v>
      </c>
      <c r="F70" s="300">
        <v>1.0</v>
      </c>
      <c r="G70" s="300">
        <v>1.0</v>
      </c>
      <c r="H70" s="300">
        <v>1.0</v>
      </c>
      <c r="I70" s="300">
        <v>1.0</v>
      </c>
      <c r="J70" s="300">
        <v>1.0</v>
      </c>
      <c r="K70" s="300">
        <v>1.0</v>
      </c>
      <c r="L70" s="300">
        <v>1.0</v>
      </c>
      <c r="M70" s="300">
        <v>1.0</v>
      </c>
      <c r="N70" s="300">
        <v>8.0</v>
      </c>
      <c r="O70" s="300" t="s">
        <v>784</v>
      </c>
      <c r="P70" s="300">
        <v>6.0</v>
      </c>
    </row>
    <row r="71">
      <c r="A71">
        <f>IFERROR(__xludf.DUMMYFUNCTION("""COMPUTED_VALUE"""),9.0)</f>
        <v>9</v>
      </c>
      <c r="B71" s="406">
        <f>IFERROR(__xludf.DUMMYFUNCTION("""COMPUTED_VALUE"""),28023.0)</f>
        <v>28023</v>
      </c>
      <c r="C71" t="str">
        <f>IFERROR(__xludf.DUMMYFUNCTION("""COMPUTED_VALUE"""),"CLAVIJO GIRALDO, LORENZO")</f>
        <v>CLAVIJO GIRALDO, LORENZO</v>
      </c>
      <c r="D71" t="str">
        <f>IFERROR(__xludf.DUMMYFUNCTION("""COMPUTED_VALUE"""),"English 9")</f>
        <v>English 9</v>
      </c>
      <c r="E71" s="3">
        <f>IFERROR(__xludf.DUMMYFUNCTION("""COMPUTED_VALUE"""),5.0)</f>
        <v>5</v>
      </c>
      <c r="F71" s="300">
        <v>1.0</v>
      </c>
      <c r="G71" s="300">
        <v>1.0</v>
      </c>
      <c r="H71" s="300">
        <v>1.0</v>
      </c>
      <c r="I71" s="300">
        <v>1.0</v>
      </c>
      <c r="J71" s="300">
        <v>1.0</v>
      </c>
      <c r="K71" s="300">
        <v>1.0</v>
      </c>
      <c r="L71" s="300">
        <v>1.0</v>
      </c>
      <c r="M71" s="300">
        <v>1.0</v>
      </c>
      <c r="N71" s="300">
        <v>8.0</v>
      </c>
      <c r="O71" s="300" t="s">
        <v>787</v>
      </c>
      <c r="P71" s="300">
        <v>6.0</v>
      </c>
    </row>
    <row r="72">
      <c r="A72">
        <f>IFERROR(__xludf.DUMMYFUNCTION("""COMPUTED_VALUE"""),9.0)</f>
        <v>9</v>
      </c>
      <c r="B72" s="406">
        <f>IFERROR(__xludf.DUMMYFUNCTION("""COMPUTED_VALUE"""),29145.0)</f>
        <v>29145</v>
      </c>
      <c r="C72" t="str">
        <f>IFERROR(__xludf.DUMMYFUNCTION("""COMPUTED_VALUE"""),"VELASQUEZ GUTIERREZ, SAMUEL")</f>
        <v>VELASQUEZ GUTIERREZ, SAMUEL</v>
      </c>
      <c r="D72" t="str">
        <f>IFERROR(__xludf.DUMMYFUNCTION("""COMPUTED_VALUE"""),"English 9")</f>
        <v>English 9</v>
      </c>
      <c r="E72" s="3">
        <f>IFERROR(__xludf.DUMMYFUNCTION("""COMPUTED_VALUE"""),2.0)</f>
        <v>2</v>
      </c>
      <c r="F72" s="300">
        <v>1.0</v>
      </c>
      <c r="G72" s="300">
        <v>1.0</v>
      </c>
      <c r="H72" s="300">
        <v>1.0</v>
      </c>
      <c r="I72" s="300">
        <v>1.0</v>
      </c>
      <c r="J72" s="300">
        <v>1.0</v>
      </c>
      <c r="K72" s="300">
        <v>1.0</v>
      </c>
      <c r="L72" s="300">
        <v>1.0</v>
      </c>
      <c r="M72" s="300">
        <v>1.0</v>
      </c>
      <c r="N72" s="300">
        <v>8.0</v>
      </c>
      <c r="O72" s="300" t="s">
        <v>785</v>
      </c>
      <c r="P72" s="300">
        <v>6.0</v>
      </c>
    </row>
    <row r="73">
      <c r="A73">
        <f>IFERROR(__xludf.DUMMYFUNCTION("""COMPUTED_VALUE"""),9.0)</f>
        <v>9</v>
      </c>
      <c r="B73" s="406">
        <f>IFERROR(__xludf.DUMMYFUNCTION("""COMPUTED_VALUE"""),29061.0)</f>
        <v>29061</v>
      </c>
      <c r="C73" t="str">
        <f>IFERROR(__xludf.DUMMYFUNCTION("""COMPUTED_VALUE"""),"JARAMILLO OSPINA, MANUEL")</f>
        <v>JARAMILLO OSPINA, MANUEL</v>
      </c>
      <c r="D73" t="str">
        <f>IFERROR(__xludf.DUMMYFUNCTION("""COMPUTED_VALUE"""),"English 9")</f>
        <v>English 9</v>
      </c>
      <c r="E73" s="3">
        <f>IFERROR(__xludf.DUMMYFUNCTION("""COMPUTED_VALUE"""),2.0)</f>
        <v>2</v>
      </c>
      <c r="F73" s="300">
        <v>1.0</v>
      </c>
      <c r="G73" s="300">
        <v>1.0</v>
      </c>
      <c r="H73" s="300">
        <v>1.0</v>
      </c>
      <c r="I73" s="300">
        <v>1.0</v>
      </c>
      <c r="J73" s="300">
        <v>1.0</v>
      </c>
      <c r="K73" s="300">
        <v>1.0</v>
      </c>
      <c r="L73" s="300">
        <v>1.0</v>
      </c>
      <c r="M73" s="300">
        <v>1.0</v>
      </c>
      <c r="N73" s="300">
        <v>8.0</v>
      </c>
      <c r="O73" s="300" t="s">
        <v>785</v>
      </c>
      <c r="P73" s="300">
        <v>6.0</v>
      </c>
    </row>
    <row r="74">
      <c r="A74">
        <f>IFERROR(__xludf.DUMMYFUNCTION("""COMPUTED_VALUE"""),9.0)</f>
        <v>9</v>
      </c>
      <c r="B74" s="406">
        <f>IFERROR(__xludf.DUMMYFUNCTION("""COMPUTED_VALUE"""),29046.0)</f>
        <v>29046</v>
      </c>
      <c r="C74" t="str">
        <f>IFERROR(__xludf.DUMMYFUNCTION("""COMPUTED_VALUE"""),"GONZALEZ LOPEZ, SAMUEL")</f>
        <v>GONZALEZ LOPEZ, SAMUEL</v>
      </c>
      <c r="D74" t="str">
        <f>IFERROR(__xludf.DUMMYFUNCTION("""COMPUTED_VALUE"""),"English 9")</f>
        <v>English 9</v>
      </c>
      <c r="E74" s="3">
        <f>IFERROR(__xludf.DUMMYFUNCTION("""COMPUTED_VALUE"""),6.0)</f>
        <v>6</v>
      </c>
      <c r="F74" s="300">
        <v>1.0</v>
      </c>
      <c r="G74" s="300">
        <v>1.0</v>
      </c>
      <c r="H74" s="300">
        <v>1.0</v>
      </c>
      <c r="I74" s="300">
        <v>1.0</v>
      </c>
      <c r="J74" s="300">
        <v>1.0</v>
      </c>
      <c r="K74" s="300">
        <v>1.0</v>
      </c>
      <c r="L74" s="300">
        <v>1.0</v>
      </c>
      <c r="M74" s="300">
        <v>1.0</v>
      </c>
      <c r="N74" s="300">
        <v>8.0</v>
      </c>
      <c r="O74" s="300" t="s">
        <v>783</v>
      </c>
      <c r="P74" s="300">
        <v>6.0</v>
      </c>
    </row>
    <row r="75">
      <c r="A75">
        <f>IFERROR(__xludf.DUMMYFUNCTION("""COMPUTED_VALUE"""),9.0)</f>
        <v>9</v>
      </c>
      <c r="B75" s="406">
        <f>IFERROR(__xludf.DUMMYFUNCTION("""COMPUTED_VALUE"""),29143.0)</f>
        <v>29143</v>
      </c>
      <c r="C75" t="str">
        <f>IFERROR(__xludf.DUMMYFUNCTION("""COMPUTED_VALUE"""),"MOLANO MESA, CARMEN")</f>
        <v>MOLANO MESA, CARMEN</v>
      </c>
      <c r="D75" t="str">
        <f>IFERROR(__xludf.DUMMYFUNCTION("""COMPUTED_VALUE"""),"English 9")</f>
        <v>English 9</v>
      </c>
      <c r="E75" s="3">
        <f>IFERROR(__xludf.DUMMYFUNCTION("""COMPUTED_VALUE"""),2.0)</f>
        <v>2</v>
      </c>
      <c r="F75" s="300">
        <v>1.0</v>
      </c>
      <c r="G75" s="300">
        <v>1.0</v>
      </c>
      <c r="H75" s="300">
        <v>1.0</v>
      </c>
      <c r="I75" s="300">
        <v>1.0</v>
      </c>
      <c r="J75" s="300">
        <v>1.0</v>
      </c>
      <c r="K75" s="300">
        <v>1.0</v>
      </c>
      <c r="L75" s="300">
        <v>1.0</v>
      </c>
      <c r="M75" s="300">
        <v>1.0</v>
      </c>
      <c r="N75" s="300">
        <v>8.0</v>
      </c>
      <c r="O75" s="300" t="s">
        <v>785</v>
      </c>
      <c r="P75" s="300">
        <v>6.0</v>
      </c>
    </row>
    <row r="76">
      <c r="A76">
        <f>IFERROR(__xludf.DUMMYFUNCTION("""COMPUTED_VALUE"""),9.0)</f>
        <v>9</v>
      </c>
      <c r="B76" s="406">
        <f>IFERROR(__xludf.DUMMYFUNCTION("""COMPUTED_VALUE"""),29109.0)</f>
        <v>29109</v>
      </c>
      <c r="C76" t="str">
        <f>IFERROR(__xludf.DUMMYFUNCTION("""COMPUTED_VALUE"""),"SERANI ANGEL, LUCIANA")</f>
        <v>SERANI ANGEL, LUCIANA</v>
      </c>
      <c r="D76" t="str">
        <f>IFERROR(__xludf.DUMMYFUNCTION("""COMPUTED_VALUE"""),"English 9")</f>
        <v>English 9</v>
      </c>
      <c r="E76" s="3">
        <f>IFERROR(__xludf.DUMMYFUNCTION("""COMPUTED_VALUE"""),8.0)</f>
        <v>8</v>
      </c>
      <c r="F76" s="300">
        <v>1.0</v>
      </c>
      <c r="G76" s="300">
        <v>1.0</v>
      </c>
      <c r="H76" s="300">
        <v>1.0</v>
      </c>
      <c r="I76" s="300">
        <v>1.0</v>
      </c>
      <c r="J76" s="300">
        <v>1.0</v>
      </c>
      <c r="K76" s="300">
        <v>1.0</v>
      </c>
      <c r="L76" s="300">
        <v>1.0</v>
      </c>
      <c r="M76" s="300">
        <v>1.0</v>
      </c>
      <c r="N76" s="300">
        <v>8.0</v>
      </c>
      <c r="O76" s="300" t="s">
        <v>782</v>
      </c>
      <c r="P76" s="300">
        <v>6.0</v>
      </c>
    </row>
    <row r="77">
      <c r="A77">
        <f>IFERROR(__xludf.DUMMYFUNCTION("""COMPUTED_VALUE"""),9.0)</f>
        <v>9</v>
      </c>
      <c r="B77" s="406">
        <f>IFERROR(__xludf.DUMMYFUNCTION("""COMPUTED_VALUE"""),29037.0)</f>
        <v>29037</v>
      </c>
      <c r="C77" t="str">
        <f>IFERROR(__xludf.DUMMYFUNCTION("""COMPUTED_VALUE"""),"ESCOBAR INFANTINO, RAQUEL")</f>
        <v>ESCOBAR INFANTINO, RAQUEL</v>
      </c>
      <c r="D77" t="str">
        <f>IFERROR(__xludf.DUMMYFUNCTION("""COMPUTED_VALUE"""),"English 9")</f>
        <v>English 9</v>
      </c>
      <c r="E77" s="3">
        <f>IFERROR(__xludf.DUMMYFUNCTION("""COMPUTED_VALUE"""),6.0)</f>
        <v>6</v>
      </c>
      <c r="F77" s="300">
        <v>1.0</v>
      </c>
      <c r="G77" s="300">
        <v>1.0</v>
      </c>
      <c r="H77" s="300">
        <v>1.0</v>
      </c>
      <c r="I77" s="300">
        <v>1.0</v>
      </c>
      <c r="J77" s="300">
        <v>1.0</v>
      </c>
      <c r="K77" s="300">
        <v>1.0</v>
      </c>
      <c r="L77" s="300">
        <v>1.0</v>
      </c>
      <c r="M77" s="300">
        <v>1.0</v>
      </c>
      <c r="N77" s="300">
        <v>8.0</v>
      </c>
      <c r="O77" s="300" t="s">
        <v>783</v>
      </c>
      <c r="P77" s="300">
        <v>6.0</v>
      </c>
    </row>
    <row r="78">
      <c r="A78">
        <f>IFERROR(__xludf.DUMMYFUNCTION("""COMPUTED_VALUE"""),9.0)</f>
        <v>9</v>
      </c>
      <c r="B78" s="406">
        <f>IFERROR(__xludf.DUMMYFUNCTION("""COMPUTED_VALUE"""),29159.0)</f>
        <v>29159</v>
      </c>
      <c r="C78" t="str">
        <f>IFERROR(__xludf.DUMMYFUNCTION("""COMPUTED_VALUE"""),"PACHECO GARCIA, MARIANA")</f>
        <v>PACHECO GARCIA, MARIANA</v>
      </c>
      <c r="D78" t="str">
        <f>IFERROR(__xludf.DUMMYFUNCTION("""COMPUTED_VALUE"""),"English 9")</f>
        <v>English 9</v>
      </c>
      <c r="E78" s="3">
        <f>IFERROR(__xludf.DUMMYFUNCTION("""COMPUTED_VALUE"""),2.0)</f>
        <v>2</v>
      </c>
      <c r="F78" s="300">
        <v>1.0</v>
      </c>
      <c r="G78" s="300">
        <v>1.0</v>
      </c>
      <c r="H78" s="300">
        <v>1.0</v>
      </c>
      <c r="I78" s="300">
        <v>1.0</v>
      </c>
      <c r="J78" s="300">
        <v>1.0</v>
      </c>
      <c r="K78" s="300">
        <v>1.0</v>
      </c>
      <c r="L78" s="300">
        <v>1.0</v>
      </c>
      <c r="M78" s="300">
        <v>1.0</v>
      </c>
      <c r="N78" s="300">
        <v>8.0</v>
      </c>
      <c r="O78" s="300" t="s">
        <v>785</v>
      </c>
      <c r="P78" s="300">
        <v>6.0</v>
      </c>
    </row>
    <row r="79">
      <c r="A79">
        <f>IFERROR(__xludf.DUMMYFUNCTION("""COMPUTED_VALUE"""),9.0)</f>
        <v>9</v>
      </c>
      <c r="B79" s="406">
        <f>IFERROR(__xludf.DUMMYFUNCTION("""COMPUTED_VALUE"""),29142.0)</f>
        <v>29142</v>
      </c>
      <c r="C79" t="str">
        <f>IFERROR(__xludf.DUMMYFUNCTION("""COMPUTED_VALUE"""),"TOBON CARMONA, JACOBO")</f>
        <v>TOBON CARMONA, JACOBO</v>
      </c>
      <c r="D79" t="str">
        <f>IFERROR(__xludf.DUMMYFUNCTION("""COMPUTED_VALUE"""),"English 9")</f>
        <v>English 9</v>
      </c>
      <c r="E79" s="3">
        <f>IFERROR(__xludf.DUMMYFUNCTION("""COMPUTED_VALUE"""),2.0)</f>
        <v>2</v>
      </c>
      <c r="F79" s="300">
        <v>1.0</v>
      </c>
      <c r="G79" s="300">
        <v>1.0</v>
      </c>
      <c r="H79" s="300">
        <v>1.0</v>
      </c>
      <c r="I79" s="300">
        <v>1.0</v>
      </c>
      <c r="J79" s="300">
        <v>1.0</v>
      </c>
      <c r="K79" s="300">
        <v>1.0</v>
      </c>
      <c r="L79" s="300">
        <v>1.0</v>
      </c>
      <c r="M79" s="300">
        <v>1.0</v>
      </c>
      <c r="N79" s="300">
        <v>8.0</v>
      </c>
      <c r="O79" s="300" t="s">
        <v>785</v>
      </c>
      <c r="P79" s="300">
        <v>6.0</v>
      </c>
    </row>
    <row r="80">
      <c r="A80">
        <f>IFERROR(__xludf.DUMMYFUNCTION("""COMPUTED_VALUE"""),9.0)</f>
        <v>9</v>
      </c>
      <c r="B80" s="406">
        <f>IFERROR(__xludf.DUMMYFUNCTION("""COMPUTED_VALUE"""),29132.0)</f>
        <v>29132</v>
      </c>
      <c r="C80" t="str">
        <f>IFERROR(__xludf.DUMMYFUNCTION("""COMPUTED_VALUE"""),"VILLEGAS MEJIA, SIMON")</f>
        <v>VILLEGAS MEJIA, SIMON</v>
      </c>
      <c r="D80" t="str">
        <f>IFERROR(__xludf.DUMMYFUNCTION("""COMPUTED_VALUE"""),"English 9")</f>
        <v>English 9</v>
      </c>
      <c r="E80" s="3">
        <f>IFERROR(__xludf.DUMMYFUNCTION("""COMPUTED_VALUE"""),5.0)</f>
        <v>5</v>
      </c>
      <c r="F80" s="300">
        <v>1.0</v>
      </c>
      <c r="G80" s="300">
        <v>1.0</v>
      </c>
      <c r="H80" s="300">
        <v>1.0</v>
      </c>
      <c r="I80" s="300">
        <v>1.0</v>
      </c>
      <c r="J80" s="300">
        <v>1.0</v>
      </c>
      <c r="K80" s="300">
        <v>1.0</v>
      </c>
      <c r="L80" s="300">
        <v>1.0</v>
      </c>
      <c r="M80" s="300">
        <v>1.0</v>
      </c>
      <c r="N80" s="300">
        <v>8.0</v>
      </c>
      <c r="O80" s="300" t="s">
        <v>787</v>
      </c>
      <c r="P80" s="300">
        <v>6.0</v>
      </c>
    </row>
    <row r="81">
      <c r="A81">
        <f>IFERROR(__xludf.DUMMYFUNCTION("""COMPUTED_VALUE"""),9.0)</f>
        <v>9</v>
      </c>
      <c r="B81" s="406">
        <f>IFERROR(__xludf.DUMMYFUNCTION("""COMPUTED_VALUE"""),29027.0)</f>
        <v>29027</v>
      </c>
      <c r="C81" t="str">
        <f>IFERROR(__xludf.DUMMYFUNCTION("""COMPUTED_VALUE"""),"CARDONA VELEZ, MATIAS")</f>
        <v>CARDONA VELEZ, MATIAS</v>
      </c>
      <c r="D81" t="str">
        <f>IFERROR(__xludf.DUMMYFUNCTION("""COMPUTED_VALUE"""),"English 9")</f>
        <v>English 9</v>
      </c>
      <c r="E81" s="3">
        <f>IFERROR(__xludf.DUMMYFUNCTION("""COMPUTED_VALUE"""),2.0)</f>
        <v>2</v>
      </c>
      <c r="F81" s="300">
        <v>1.0</v>
      </c>
      <c r="G81" s="300">
        <v>1.0</v>
      </c>
      <c r="H81" s="300">
        <v>1.0</v>
      </c>
      <c r="I81" s="300">
        <v>1.0</v>
      </c>
      <c r="J81" s="300">
        <v>1.0</v>
      </c>
      <c r="K81" s="300">
        <v>1.0</v>
      </c>
      <c r="L81" s="300">
        <v>1.0</v>
      </c>
      <c r="M81" s="300">
        <v>1.0</v>
      </c>
      <c r="N81" s="300">
        <v>8.0</v>
      </c>
      <c r="O81" s="300" t="s">
        <v>785</v>
      </c>
      <c r="P81" s="300">
        <v>6.0</v>
      </c>
    </row>
    <row r="82">
      <c r="A82">
        <f>IFERROR(__xludf.DUMMYFUNCTION("""COMPUTED_VALUE"""),9.0)</f>
        <v>9</v>
      </c>
      <c r="B82" s="406">
        <f>IFERROR(__xludf.DUMMYFUNCTION("""COMPUTED_VALUE"""),29024.0)</f>
        <v>29024</v>
      </c>
      <c r="C82" t="str">
        <f>IFERROR(__xludf.DUMMYFUNCTION("""COMPUTED_VALUE"""),"CADAVID RESTREPO, LUIS FERNANDO")</f>
        <v>CADAVID RESTREPO, LUIS FERNANDO</v>
      </c>
      <c r="D82" t="str">
        <f>IFERROR(__xludf.DUMMYFUNCTION("""COMPUTED_VALUE"""),"English 9")</f>
        <v>English 9</v>
      </c>
      <c r="E82" s="3">
        <f>IFERROR(__xludf.DUMMYFUNCTION("""COMPUTED_VALUE"""),5.0)</f>
        <v>5</v>
      </c>
      <c r="F82" s="300">
        <v>1.0</v>
      </c>
      <c r="G82" s="300">
        <v>1.0</v>
      </c>
      <c r="H82" s="300">
        <v>1.0</v>
      </c>
      <c r="I82" s="300">
        <v>1.0</v>
      </c>
      <c r="J82" s="300">
        <v>1.0</v>
      </c>
      <c r="K82" s="300">
        <v>1.0</v>
      </c>
      <c r="L82" s="300">
        <v>1.0</v>
      </c>
      <c r="M82" s="300">
        <v>1.0</v>
      </c>
      <c r="N82" s="300">
        <v>8.0</v>
      </c>
      <c r="O82" s="300" t="s">
        <v>787</v>
      </c>
      <c r="P82" s="300">
        <v>6.0</v>
      </c>
    </row>
    <row r="83">
      <c r="A83">
        <f>IFERROR(__xludf.DUMMYFUNCTION("""COMPUTED_VALUE"""),9.0)</f>
        <v>9</v>
      </c>
      <c r="B83" s="406">
        <f>IFERROR(__xludf.DUMMYFUNCTION("""COMPUTED_VALUE"""),29042.0)</f>
        <v>29042</v>
      </c>
      <c r="C83" t="str">
        <f>IFERROR(__xludf.DUMMYFUNCTION("""COMPUTED_VALUE"""),"GOMEZ MIRA, GREGORIO")</f>
        <v>GOMEZ MIRA, GREGORIO</v>
      </c>
      <c r="D83" t="str">
        <f>IFERROR(__xludf.DUMMYFUNCTION("""COMPUTED_VALUE"""),"English 9")</f>
        <v>English 9</v>
      </c>
      <c r="E83" s="3">
        <f>IFERROR(__xludf.DUMMYFUNCTION("""COMPUTED_VALUE"""),6.0)</f>
        <v>6</v>
      </c>
      <c r="F83" s="300">
        <v>1.0</v>
      </c>
      <c r="G83" s="300">
        <v>1.0</v>
      </c>
      <c r="H83" s="300">
        <v>1.0</v>
      </c>
      <c r="I83" s="300">
        <v>1.0</v>
      </c>
      <c r="J83" s="300">
        <v>1.0</v>
      </c>
      <c r="K83" s="300">
        <v>1.0</v>
      </c>
      <c r="L83" s="300">
        <v>1.0</v>
      </c>
      <c r="M83" s="300">
        <v>1.0</v>
      </c>
      <c r="N83" s="300">
        <v>8.0</v>
      </c>
      <c r="O83" s="300" t="s">
        <v>783</v>
      </c>
      <c r="P83" s="300">
        <v>6.0</v>
      </c>
    </row>
    <row r="84">
      <c r="A84">
        <f>IFERROR(__xludf.DUMMYFUNCTION("""COMPUTED_VALUE"""),9.0)</f>
        <v>9</v>
      </c>
      <c r="B84" s="406">
        <f>IFERROR(__xludf.DUMMYFUNCTION("""COMPUTED_VALUE"""),29120.0)</f>
        <v>29120</v>
      </c>
      <c r="C84" t="str">
        <f>IFERROR(__xludf.DUMMYFUNCTION("""COMPUTED_VALUE"""),"URIBE JARAMILLO, PEDRO JUAN")</f>
        <v>URIBE JARAMILLO, PEDRO JUAN</v>
      </c>
      <c r="D84" t="str">
        <f>IFERROR(__xludf.DUMMYFUNCTION("""COMPUTED_VALUE"""),"English 9")</f>
        <v>English 9</v>
      </c>
      <c r="E84" s="3">
        <f>IFERROR(__xludf.DUMMYFUNCTION("""COMPUTED_VALUE"""),1.0)</f>
        <v>1</v>
      </c>
      <c r="F84" s="300">
        <v>1.0</v>
      </c>
      <c r="G84" s="300">
        <v>1.0</v>
      </c>
      <c r="H84" s="300">
        <v>1.0</v>
      </c>
      <c r="I84" s="300">
        <v>1.0</v>
      </c>
      <c r="J84" s="300">
        <v>1.0</v>
      </c>
      <c r="K84" s="300">
        <v>1.0</v>
      </c>
      <c r="L84" s="300">
        <v>1.0</v>
      </c>
      <c r="M84" s="300">
        <v>1.0</v>
      </c>
      <c r="N84" s="300">
        <v>8.0</v>
      </c>
      <c r="O84" s="300" t="s">
        <v>784</v>
      </c>
      <c r="P84" s="300">
        <v>6.0</v>
      </c>
    </row>
    <row r="85">
      <c r="A85">
        <f>IFERROR(__xludf.DUMMYFUNCTION("""COMPUTED_VALUE"""),9.0)</f>
        <v>9</v>
      </c>
      <c r="B85" s="406">
        <f>IFERROR(__xludf.DUMMYFUNCTION("""COMPUTED_VALUE"""),29040.0)</f>
        <v>29040</v>
      </c>
      <c r="C85" t="str">
        <f>IFERROR(__xludf.DUMMYFUNCTION("""COMPUTED_VALUE"""),"ESTRADA ZAPATA, MARTIN")</f>
        <v>ESTRADA ZAPATA, MARTIN</v>
      </c>
      <c r="D85" t="str">
        <f>IFERROR(__xludf.DUMMYFUNCTION("""COMPUTED_VALUE"""),"English 9")</f>
        <v>English 9</v>
      </c>
      <c r="E85" s="3">
        <f>IFERROR(__xludf.DUMMYFUNCTION("""COMPUTED_VALUE"""),8.0)</f>
        <v>8</v>
      </c>
      <c r="F85" s="300">
        <v>1.0</v>
      </c>
      <c r="G85" s="300">
        <v>1.0</v>
      </c>
      <c r="H85" s="300">
        <v>1.0</v>
      </c>
      <c r="I85" s="300">
        <v>1.0</v>
      </c>
      <c r="J85" s="300">
        <v>1.0</v>
      </c>
      <c r="K85" s="300">
        <v>1.0</v>
      </c>
      <c r="L85" s="300">
        <v>1.0</v>
      </c>
      <c r="M85" s="300">
        <v>1.0</v>
      </c>
      <c r="N85" s="300">
        <v>8.0</v>
      </c>
      <c r="O85" s="300" t="s">
        <v>782</v>
      </c>
      <c r="P85" s="300">
        <v>6.0</v>
      </c>
    </row>
    <row r="86">
      <c r="A86">
        <f>IFERROR(__xludf.DUMMYFUNCTION("""COMPUTED_VALUE"""),9.0)</f>
        <v>9</v>
      </c>
      <c r="B86" s="406">
        <f>IFERROR(__xludf.DUMMYFUNCTION("""COMPUTED_VALUE"""),29057.0)</f>
        <v>29057</v>
      </c>
      <c r="C86" t="str">
        <f>IFERROR(__xludf.DUMMYFUNCTION("""COMPUTED_VALUE"""),"JALLER TRUJILLO, KAMEL")</f>
        <v>JALLER TRUJILLO, KAMEL</v>
      </c>
      <c r="D86" t="str">
        <f>IFERROR(__xludf.DUMMYFUNCTION("""COMPUTED_VALUE"""),"English 9")</f>
        <v>English 9</v>
      </c>
      <c r="E86" s="3">
        <f>IFERROR(__xludf.DUMMYFUNCTION("""COMPUTED_VALUE"""),1.0)</f>
        <v>1</v>
      </c>
      <c r="F86" s="300">
        <v>1.0</v>
      </c>
      <c r="G86" s="300">
        <v>1.0</v>
      </c>
      <c r="H86" s="300">
        <v>1.0</v>
      </c>
      <c r="I86" s="300">
        <v>1.0</v>
      </c>
      <c r="J86" s="300">
        <v>1.0</v>
      </c>
      <c r="K86" s="300">
        <v>1.0</v>
      </c>
      <c r="L86" s="300">
        <v>1.0</v>
      </c>
      <c r="M86" s="300">
        <v>1.0</v>
      </c>
      <c r="N86" s="300">
        <v>8.0</v>
      </c>
      <c r="O86" s="300" t="s">
        <v>784</v>
      </c>
      <c r="P86" s="300">
        <v>6.0</v>
      </c>
    </row>
    <row r="87">
      <c r="A87">
        <f>IFERROR(__xludf.DUMMYFUNCTION("""COMPUTED_VALUE"""),9.0)</f>
        <v>9</v>
      </c>
      <c r="B87" s="406">
        <f>IFERROR(__xludf.DUMMYFUNCTION("""COMPUTED_VALUE"""),29092.0)</f>
        <v>29092</v>
      </c>
      <c r="C87" t="str">
        <f>IFERROR(__xludf.DUMMYFUNCTION("""COMPUTED_VALUE"""),"TURIZZO BORRERO, CAMILO ANDRES")</f>
        <v>TURIZZO BORRERO, CAMILO ANDRES</v>
      </c>
      <c r="D87" t="str">
        <f>IFERROR(__xludf.DUMMYFUNCTION("""COMPUTED_VALUE"""),"English 9")</f>
        <v>English 9</v>
      </c>
      <c r="E87" s="3">
        <f>IFERROR(__xludf.DUMMYFUNCTION("""COMPUTED_VALUE"""),1.0)</f>
        <v>1</v>
      </c>
      <c r="F87" s="300">
        <v>1.0</v>
      </c>
      <c r="G87" s="300">
        <v>1.0</v>
      </c>
      <c r="H87" s="300">
        <v>1.0</v>
      </c>
      <c r="I87" s="300">
        <v>1.0</v>
      </c>
      <c r="J87" s="300">
        <v>1.0</v>
      </c>
      <c r="K87" s="300">
        <v>1.0</v>
      </c>
      <c r="L87" s="300">
        <v>1.0</v>
      </c>
      <c r="M87" s="300">
        <v>1.0</v>
      </c>
      <c r="N87" s="300">
        <v>8.0</v>
      </c>
      <c r="O87" s="300" t="s">
        <v>784</v>
      </c>
      <c r="P87" s="300">
        <v>6.0</v>
      </c>
    </row>
    <row r="88">
      <c r="A88">
        <f>IFERROR(__xludf.DUMMYFUNCTION("""COMPUTED_VALUE"""),9.0)</f>
        <v>9</v>
      </c>
      <c r="B88" s="406">
        <f>IFERROR(__xludf.DUMMYFUNCTION("""COMPUTED_VALUE"""),29129.0)</f>
        <v>29129</v>
      </c>
      <c r="C88" t="str">
        <f>IFERROR(__xludf.DUMMYFUNCTION("""COMPUTED_VALUE"""),"VELEZ RESTREPO, SIMON")</f>
        <v>VELEZ RESTREPO, SIMON</v>
      </c>
      <c r="D88" t="str">
        <f>IFERROR(__xludf.DUMMYFUNCTION("""COMPUTED_VALUE"""),"English 9")</f>
        <v>English 9</v>
      </c>
      <c r="E88" s="3">
        <f>IFERROR(__xludf.DUMMYFUNCTION("""COMPUTED_VALUE"""),7.0)</f>
        <v>7</v>
      </c>
      <c r="F88" s="300">
        <v>1.0</v>
      </c>
      <c r="G88" s="300">
        <v>1.0</v>
      </c>
      <c r="H88" s="300">
        <v>1.0</v>
      </c>
      <c r="I88" s="300">
        <v>1.0</v>
      </c>
      <c r="J88" s="300">
        <v>1.0</v>
      </c>
      <c r="K88" s="300">
        <v>1.0</v>
      </c>
      <c r="L88" s="300">
        <v>1.0</v>
      </c>
      <c r="M88" s="300">
        <v>1.0</v>
      </c>
      <c r="N88" s="300">
        <v>8.0</v>
      </c>
      <c r="O88" s="300" t="s">
        <v>786</v>
      </c>
      <c r="P88" s="300">
        <v>6.0</v>
      </c>
    </row>
    <row r="89">
      <c r="A89">
        <f>IFERROR(__xludf.DUMMYFUNCTION("""COMPUTED_VALUE"""),9.0)</f>
        <v>9</v>
      </c>
      <c r="B89" s="406">
        <f>IFERROR(__xludf.DUMMYFUNCTION("""COMPUTED_VALUE"""),29002.0)</f>
        <v>29002</v>
      </c>
      <c r="C89" t="str">
        <f>IFERROR(__xludf.DUMMYFUNCTION("""COMPUTED_VALUE"""),"ACEVEDO OCHOA, MARIA DEL MAR")</f>
        <v>ACEVEDO OCHOA, MARIA DEL MAR</v>
      </c>
      <c r="D89" t="str">
        <f>IFERROR(__xludf.DUMMYFUNCTION("""COMPUTED_VALUE"""),"English 9")</f>
        <v>English 9</v>
      </c>
      <c r="E89" s="3">
        <f>IFERROR(__xludf.DUMMYFUNCTION("""COMPUTED_VALUE"""),5.0)</f>
        <v>5</v>
      </c>
      <c r="F89" s="300">
        <v>1.0</v>
      </c>
      <c r="G89" s="300">
        <v>1.0</v>
      </c>
      <c r="H89" s="300">
        <v>1.0</v>
      </c>
      <c r="I89" s="300">
        <v>1.0</v>
      </c>
      <c r="J89" s="300">
        <v>1.0</v>
      </c>
      <c r="K89" s="300">
        <v>1.0</v>
      </c>
      <c r="L89" s="300">
        <v>1.0</v>
      </c>
      <c r="M89" s="300">
        <v>1.0</v>
      </c>
      <c r="N89" s="300">
        <v>8.0</v>
      </c>
      <c r="O89" s="300" t="s">
        <v>787</v>
      </c>
      <c r="P89" s="300">
        <v>6.0</v>
      </c>
    </row>
    <row r="90">
      <c r="A90">
        <f>IFERROR(__xludf.DUMMYFUNCTION("""COMPUTED_VALUE"""),9.0)</f>
        <v>9</v>
      </c>
      <c r="B90" s="406">
        <f>IFERROR(__xludf.DUMMYFUNCTION("""COMPUTED_VALUE"""),29099.0)</f>
        <v>29099</v>
      </c>
      <c r="C90" t="str">
        <f>IFERROR(__xludf.DUMMYFUNCTION("""COMPUTED_VALUE"""),"RESTREPO RESTREPO, MATIAS")</f>
        <v>RESTREPO RESTREPO, MATIAS</v>
      </c>
      <c r="D90" t="str">
        <f>IFERROR(__xludf.DUMMYFUNCTION("""COMPUTED_VALUE"""),"English 9")</f>
        <v>English 9</v>
      </c>
      <c r="E90" s="3">
        <f>IFERROR(__xludf.DUMMYFUNCTION("""COMPUTED_VALUE"""),1.0)</f>
        <v>1</v>
      </c>
      <c r="F90" s="300">
        <v>1.0</v>
      </c>
      <c r="G90" s="300">
        <v>1.0</v>
      </c>
      <c r="H90" s="300">
        <v>1.0</v>
      </c>
      <c r="I90" s="300">
        <v>1.0</v>
      </c>
      <c r="J90" s="300">
        <v>1.0</v>
      </c>
      <c r="K90" s="300">
        <v>1.0</v>
      </c>
      <c r="L90" s="300">
        <v>1.0</v>
      </c>
      <c r="M90" s="300">
        <v>1.0</v>
      </c>
      <c r="N90" s="300">
        <v>8.0</v>
      </c>
      <c r="O90" s="300" t="s">
        <v>784</v>
      </c>
      <c r="P90" s="300">
        <v>6.0</v>
      </c>
    </row>
    <row r="91">
      <c r="A91">
        <f>IFERROR(__xludf.DUMMYFUNCTION("""COMPUTED_VALUE"""),9.0)</f>
        <v>9</v>
      </c>
      <c r="B91" s="406">
        <f>IFERROR(__xludf.DUMMYFUNCTION("""COMPUTED_VALUE"""),29087.0)</f>
        <v>29087</v>
      </c>
      <c r="C91" t="str">
        <f>IFERROR(__xludf.DUMMYFUNCTION("""COMPUTED_VALUE"""),"PALACIO BOTERO, MATIAS")</f>
        <v>PALACIO BOTERO, MATIAS</v>
      </c>
      <c r="D91" t="str">
        <f>IFERROR(__xludf.DUMMYFUNCTION("""COMPUTED_VALUE"""),"English 9")</f>
        <v>English 9</v>
      </c>
      <c r="E91" s="3">
        <f>IFERROR(__xludf.DUMMYFUNCTION("""COMPUTED_VALUE"""),2.0)</f>
        <v>2</v>
      </c>
      <c r="F91" s="300">
        <v>1.0</v>
      </c>
      <c r="G91" s="300">
        <v>1.0</v>
      </c>
      <c r="H91" s="300">
        <v>1.0</v>
      </c>
      <c r="I91" s="300">
        <v>1.0</v>
      </c>
      <c r="J91" s="300">
        <v>1.0</v>
      </c>
      <c r="K91" s="300">
        <v>1.0</v>
      </c>
      <c r="L91" s="300">
        <v>1.0</v>
      </c>
      <c r="M91" s="300">
        <v>1.0</v>
      </c>
      <c r="N91" s="300">
        <v>8.0</v>
      </c>
      <c r="O91" s="300" t="s">
        <v>785</v>
      </c>
      <c r="P91" s="300">
        <v>6.0</v>
      </c>
    </row>
    <row r="92">
      <c r="A92">
        <f>IFERROR(__xludf.DUMMYFUNCTION("""COMPUTED_VALUE"""),9.0)</f>
        <v>9</v>
      </c>
      <c r="B92" s="406">
        <f>IFERROR(__xludf.DUMMYFUNCTION("""COMPUTED_VALUE"""),28087.0)</f>
        <v>28087</v>
      </c>
      <c r="C92" t="str">
        <f>IFERROR(__xludf.DUMMYFUNCTION("""COMPUTED_VALUE"""),"QUINTERO HENAO, MATEO")</f>
        <v>QUINTERO HENAO, MATEO</v>
      </c>
      <c r="D92" t="str">
        <f>IFERROR(__xludf.DUMMYFUNCTION("""COMPUTED_VALUE"""),"English 9")</f>
        <v>English 9</v>
      </c>
      <c r="E92" s="3">
        <f>IFERROR(__xludf.DUMMYFUNCTION("""COMPUTED_VALUE"""),1.0)</f>
        <v>1</v>
      </c>
      <c r="F92" s="300">
        <v>1.0</v>
      </c>
      <c r="G92" s="300">
        <v>1.0</v>
      </c>
      <c r="H92" s="300">
        <v>1.0</v>
      </c>
      <c r="I92" s="300">
        <v>1.0</v>
      </c>
      <c r="J92" s="300">
        <v>1.0</v>
      </c>
      <c r="K92" s="300">
        <v>1.0</v>
      </c>
      <c r="L92" s="300">
        <v>1.0</v>
      </c>
      <c r="M92" s="300">
        <v>1.0</v>
      </c>
      <c r="N92" s="300">
        <v>8.0</v>
      </c>
      <c r="O92" s="300" t="s">
        <v>784</v>
      </c>
      <c r="P92" s="300">
        <v>6.0</v>
      </c>
    </row>
    <row r="93">
      <c r="A93">
        <f>IFERROR(__xludf.DUMMYFUNCTION("""COMPUTED_VALUE"""),9.0)</f>
        <v>9</v>
      </c>
      <c r="B93" s="406">
        <f>IFERROR(__xludf.DUMMYFUNCTION("""COMPUTED_VALUE"""),29133.0)</f>
        <v>29133</v>
      </c>
      <c r="C93" t="str">
        <f>IFERROR(__xludf.DUMMYFUNCTION("""COMPUTED_VALUE"""),"ZAPATA URIBE, RAFAEL")</f>
        <v>ZAPATA URIBE, RAFAEL</v>
      </c>
      <c r="D93" t="str">
        <f>IFERROR(__xludf.DUMMYFUNCTION("""COMPUTED_VALUE"""),"English 9")</f>
        <v>English 9</v>
      </c>
      <c r="E93" s="3">
        <f>IFERROR(__xludf.DUMMYFUNCTION("""COMPUTED_VALUE"""),2.0)</f>
        <v>2</v>
      </c>
      <c r="F93" s="300">
        <v>1.0</v>
      </c>
      <c r="G93" s="300">
        <v>1.0</v>
      </c>
      <c r="H93" s="300">
        <v>1.0</v>
      </c>
      <c r="I93" s="300">
        <v>1.0</v>
      </c>
      <c r="J93" s="300">
        <v>1.0</v>
      </c>
      <c r="K93" s="300">
        <v>1.0</v>
      </c>
      <c r="L93" s="300">
        <v>1.0</v>
      </c>
      <c r="M93" s="300">
        <v>1.0</v>
      </c>
      <c r="N93" s="300">
        <v>8.0</v>
      </c>
      <c r="O93" s="300" t="s">
        <v>785</v>
      </c>
      <c r="P93" s="300">
        <v>6.0</v>
      </c>
    </row>
    <row r="94">
      <c r="A94">
        <f>IFERROR(__xludf.DUMMYFUNCTION("""COMPUTED_VALUE"""),9.0)</f>
        <v>9</v>
      </c>
      <c r="B94" s="406">
        <f>IFERROR(__xludf.DUMMYFUNCTION("""COMPUTED_VALUE"""),29059.0)</f>
        <v>29059</v>
      </c>
      <c r="C94" t="str">
        <f>IFERROR(__xludf.DUMMYFUNCTION("""COMPUTED_VALUE"""),"JARAMILLO GONZALEZ, PASCUAL")</f>
        <v>JARAMILLO GONZALEZ, PASCUAL</v>
      </c>
      <c r="D94" t="str">
        <f>IFERROR(__xludf.DUMMYFUNCTION("""COMPUTED_VALUE"""),"English 9")</f>
        <v>English 9</v>
      </c>
      <c r="E94" s="3">
        <f>IFERROR(__xludf.DUMMYFUNCTION("""COMPUTED_VALUE"""),2.0)</f>
        <v>2</v>
      </c>
      <c r="F94" s="300">
        <v>1.0</v>
      </c>
      <c r="G94" s="300">
        <v>1.0</v>
      </c>
      <c r="H94" s="300">
        <v>1.0</v>
      </c>
      <c r="I94" s="300">
        <v>1.0</v>
      </c>
      <c r="J94" s="300">
        <v>1.0</v>
      </c>
      <c r="K94" s="300">
        <v>1.0</v>
      </c>
      <c r="L94" s="300">
        <v>1.0</v>
      </c>
      <c r="M94" s="300">
        <v>1.0</v>
      </c>
      <c r="N94" s="300">
        <v>8.0</v>
      </c>
      <c r="O94" s="300" t="s">
        <v>785</v>
      </c>
      <c r="P94" s="300">
        <v>6.0</v>
      </c>
    </row>
    <row r="95">
      <c r="A95">
        <f>IFERROR(__xludf.DUMMYFUNCTION("""COMPUTED_VALUE"""),9.0)</f>
        <v>9</v>
      </c>
      <c r="B95" s="406">
        <f>IFERROR(__xludf.DUMMYFUNCTION("""COMPUTED_VALUE"""),29050.0)</f>
        <v>29050</v>
      </c>
      <c r="C95" t="str">
        <f>IFERROR(__xludf.DUMMYFUNCTION("""COMPUTED_VALUE"""),"HINESTROSA SIERRA, PEDRO")</f>
        <v>HINESTROSA SIERRA, PEDRO</v>
      </c>
      <c r="D95" t="str">
        <f>IFERROR(__xludf.DUMMYFUNCTION("""COMPUTED_VALUE"""),"English 9")</f>
        <v>English 9</v>
      </c>
      <c r="E95" s="3">
        <f>IFERROR(__xludf.DUMMYFUNCTION("""COMPUTED_VALUE"""),1.0)</f>
        <v>1</v>
      </c>
      <c r="F95" s="300">
        <v>1.0</v>
      </c>
      <c r="G95" s="300">
        <v>1.0</v>
      </c>
      <c r="H95" s="300">
        <v>1.0</v>
      </c>
      <c r="I95" s="300">
        <v>1.0</v>
      </c>
      <c r="J95" s="300">
        <v>1.0</v>
      </c>
      <c r="K95" s="300">
        <v>1.0</v>
      </c>
      <c r="L95" s="300">
        <v>1.0</v>
      </c>
      <c r="M95" s="300">
        <v>1.0</v>
      </c>
      <c r="N95" s="300">
        <v>8.0</v>
      </c>
      <c r="O95" s="300" t="s">
        <v>784</v>
      </c>
      <c r="P95" s="300">
        <v>6.0</v>
      </c>
    </row>
    <row r="96">
      <c r="A96">
        <f>IFERROR(__xludf.DUMMYFUNCTION("""COMPUTED_VALUE"""),9.0)</f>
        <v>9</v>
      </c>
      <c r="B96" s="406">
        <f>IFERROR(__xludf.DUMMYFUNCTION("""COMPUTED_VALUE"""),29068.0)</f>
        <v>29068</v>
      </c>
      <c r="C96" t="str">
        <f>IFERROR(__xludf.DUMMYFUNCTION("""COMPUTED_VALUE"""),"LOPEZ JAIMES, VICENTE")</f>
        <v>LOPEZ JAIMES, VICENTE</v>
      </c>
      <c r="D96" t="str">
        <f>IFERROR(__xludf.DUMMYFUNCTION("""COMPUTED_VALUE"""),"English 9")</f>
        <v>English 9</v>
      </c>
      <c r="E96" s="3">
        <f>IFERROR(__xludf.DUMMYFUNCTION("""COMPUTED_VALUE"""),8.0)</f>
        <v>8</v>
      </c>
      <c r="F96" s="300">
        <v>1.0</v>
      </c>
      <c r="G96" s="300">
        <v>1.0</v>
      </c>
      <c r="H96" s="300">
        <v>1.0</v>
      </c>
      <c r="I96" s="300">
        <v>1.0</v>
      </c>
      <c r="J96" s="300">
        <v>1.0</v>
      </c>
      <c r="K96" s="300">
        <v>1.0</v>
      </c>
      <c r="L96" s="300">
        <v>1.0</v>
      </c>
      <c r="M96" s="300">
        <v>1.0</v>
      </c>
      <c r="N96" s="300">
        <v>8.0</v>
      </c>
      <c r="O96" s="300" t="s">
        <v>782</v>
      </c>
      <c r="P96" s="300">
        <v>6.0</v>
      </c>
    </row>
    <row r="97">
      <c r="A97">
        <f>IFERROR(__xludf.DUMMYFUNCTION("""COMPUTED_VALUE"""),9.0)</f>
        <v>9</v>
      </c>
      <c r="B97" s="406">
        <f>IFERROR(__xludf.DUMMYFUNCTION("""COMPUTED_VALUE"""),29136.0)</f>
        <v>29136</v>
      </c>
      <c r="C97" t="str">
        <f>IFERROR(__xludf.DUMMYFUNCTION("""COMPUTED_VALUE"""),"CHOPRA, HARSHUL")</f>
        <v>CHOPRA, HARSHUL</v>
      </c>
      <c r="D97" t="str">
        <f>IFERROR(__xludf.DUMMYFUNCTION("""COMPUTED_VALUE"""),"English 9")</f>
        <v>English 9</v>
      </c>
      <c r="E97" s="3">
        <f>IFERROR(__xludf.DUMMYFUNCTION("""COMPUTED_VALUE"""),8.0)</f>
        <v>8</v>
      </c>
      <c r="F97" s="300">
        <v>1.0</v>
      </c>
      <c r="G97" s="300">
        <v>1.0</v>
      </c>
      <c r="H97" s="300">
        <v>1.0</v>
      </c>
      <c r="I97" s="300">
        <v>1.0</v>
      </c>
      <c r="J97" s="300">
        <v>1.0</v>
      </c>
      <c r="K97" s="300">
        <v>1.0</v>
      </c>
      <c r="L97" s="300">
        <v>1.0</v>
      </c>
      <c r="M97" s="300">
        <v>1.0</v>
      </c>
      <c r="N97" s="300">
        <v>8.0</v>
      </c>
      <c r="O97" s="300" t="s">
        <v>782</v>
      </c>
      <c r="P97" s="300">
        <v>6.0</v>
      </c>
    </row>
    <row r="98">
      <c r="A98">
        <f>IFERROR(__xludf.DUMMYFUNCTION("""COMPUTED_VALUE"""),9.0)</f>
        <v>9</v>
      </c>
      <c r="B98" s="406">
        <f>IFERROR(__xludf.DUMMYFUNCTION("""COMPUTED_VALUE"""),28160.0)</f>
        <v>28160</v>
      </c>
      <c r="C98" t="str">
        <f>IFERROR(__xludf.DUMMYFUNCTION("""COMPUTED_VALUE"""),"ROJAS REYES, JERONIMO")</f>
        <v>ROJAS REYES, JERONIMO</v>
      </c>
      <c r="D98" t="str">
        <f>IFERROR(__xludf.DUMMYFUNCTION("""COMPUTED_VALUE"""),"English 9")</f>
        <v>English 9</v>
      </c>
      <c r="E98" s="3">
        <f>IFERROR(__xludf.DUMMYFUNCTION("""COMPUTED_VALUE"""),5.0)</f>
        <v>5</v>
      </c>
      <c r="F98" s="300">
        <v>1.0</v>
      </c>
      <c r="G98" s="300">
        <v>1.0</v>
      </c>
      <c r="H98" s="300">
        <v>1.0</v>
      </c>
      <c r="I98" s="300">
        <v>1.0</v>
      </c>
      <c r="J98" s="300">
        <v>1.0</v>
      </c>
      <c r="K98" s="300">
        <v>1.0</v>
      </c>
      <c r="L98" s="300">
        <v>1.0</v>
      </c>
      <c r="M98" s="300">
        <v>1.0</v>
      </c>
      <c r="N98" s="300">
        <v>8.0</v>
      </c>
      <c r="O98" s="300" t="s">
        <v>787</v>
      </c>
      <c r="P98" s="300">
        <v>6.0</v>
      </c>
    </row>
    <row r="99">
      <c r="A99">
        <f>IFERROR(__xludf.DUMMYFUNCTION("""COMPUTED_VALUE"""),9.0)</f>
        <v>9</v>
      </c>
      <c r="B99" s="406">
        <f>IFERROR(__xludf.DUMMYFUNCTION("""COMPUTED_VALUE"""),28046.0)</f>
        <v>28046</v>
      </c>
      <c r="C99" t="str">
        <f>IFERROR(__xludf.DUMMYFUNCTION("""COMPUTED_VALUE"""),"HOYOS SARAVIA, TOMAS")</f>
        <v>HOYOS SARAVIA, TOMAS</v>
      </c>
      <c r="D99" t="str">
        <f>IFERROR(__xludf.DUMMYFUNCTION("""COMPUTED_VALUE"""),"English 9")</f>
        <v>English 9</v>
      </c>
      <c r="E99" s="3">
        <f>IFERROR(__xludf.DUMMYFUNCTION("""COMPUTED_VALUE"""),2.0)</f>
        <v>2</v>
      </c>
      <c r="F99" s="300">
        <v>1.0</v>
      </c>
      <c r="G99" s="300">
        <v>1.0</v>
      </c>
      <c r="H99" s="300">
        <v>1.0</v>
      </c>
      <c r="I99" s="300">
        <v>1.0</v>
      </c>
      <c r="J99" s="300">
        <v>1.0</v>
      </c>
      <c r="K99" s="300">
        <v>1.0</v>
      </c>
      <c r="L99" s="300">
        <v>1.0</v>
      </c>
      <c r="M99" s="300">
        <v>1.0</v>
      </c>
      <c r="N99" s="300">
        <v>8.0</v>
      </c>
      <c r="O99" s="300" t="s">
        <v>785</v>
      </c>
      <c r="P99" s="300">
        <v>6.0</v>
      </c>
    </row>
    <row r="100">
      <c r="A100">
        <f>IFERROR(__xludf.DUMMYFUNCTION("""COMPUTED_VALUE"""),9.0)</f>
        <v>9</v>
      </c>
      <c r="B100" s="406">
        <f>IFERROR(__xludf.DUMMYFUNCTION("""COMPUTED_VALUE"""),29039.0)</f>
        <v>29039</v>
      </c>
      <c r="C100" t="str">
        <f>IFERROR(__xludf.DUMMYFUNCTION("""COMPUTED_VALUE"""),"ESPINOSA ABAD, GREGORIO")</f>
        <v>ESPINOSA ABAD, GREGORIO</v>
      </c>
      <c r="D100" t="str">
        <f>IFERROR(__xludf.DUMMYFUNCTION("""COMPUTED_VALUE"""),"English 9")</f>
        <v>English 9</v>
      </c>
      <c r="E100" s="3">
        <f>IFERROR(__xludf.DUMMYFUNCTION("""COMPUTED_VALUE"""),5.0)</f>
        <v>5</v>
      </c>
      <c r="F100" s="300">
        <v>1.0</v>
      </c>
      <c r="G100" s="300">
        <v>1.0</v>
      </c>
      <c r="H100" s="300">
        <v>1.0</v>
      </c>
      <c r="I100" s="300">
        <v>1.0</v>
      </c>
      <c r="J100" s="300">
        <v>1.0</v>
      </c>
      <c r="K100" s="300">
        <v>1.0</v>
      </c>
      <c r="L100" s="300">
        <v>1.0</v>
      </c>
      <c r="M100" s="300">
        <v>1.0</v>
      </c>
      <c r="N100" s="300">
        <v>8.0</v>
      </c>
      <c r="O100" s="300" t="s">
        <v>787</v>
      </c>
      <c r="P100" s="300">
        <v>6.0</v>
      </c>
    </row>
    <row r="101">
      <c r="A101">
        <f>IFERROR(__xludf.DUMMYFUNCTION("""COMPUTED_VALUE"""),9.0)</f>
        <v>9</v>
      </c>
      <c r="B101" s="406">
        <f>IFERROR(__xludf.DUMMYFUNCTION("""COMPUTED_VALUE"""),29116.0)</f>
        <v>29116</v>
      </c>
      <c r="C101" t="str">
        <f>IFERROR(__xludf.DUMMYFUNCTION("""COMPUTED_VALUE"""),"TOBAR MEJIA, CAMILO")</f>
        <v>TOBAR MEJIA, CAMILO</v>
      </c>
      <c r="D101" t="str">
        <f>IFERROR(__xludf.DUMMYFUNCTION("""COMPUTED_VALUE"""),"English 9")</f>
        <v>English 9</v>
      </c>
      <c r="E101" s="3">
        <f>IFERROR(__xludf.DUMMYFUNCTION("""COMPUTED_VALUE"""),5.0)</f>
        <v>5</v>
      </c>
      <c r="F101" s="300">
        <v>1.0</v>
      </c>
      <c r="G101" s="300">
        <v>1.0</v>
      </c>
      <c r="H101" s="300">
        <v>1.0</v>
      </c>
      <c r="I101" s="300">
        <v>1.0</v>
      </c>
      <c r="J101" s="300">
        <v>1.0</v>
      </c>
      <c r="K101" s="300">
        <v>1.0</v>
      </c>
      <c r="L101" s="300">
        <v>1.0</v>
      </c>
      <c r="M101" s="300">
        <v>1.0</v>
      </c>
      <c r="N101" s="300">
        <v>8.0</v>
      </c>
      <c r="O101" s="300" t="s">
        <v>787</v>
      </c>
      <c r="P101" s="300">
        <v>6.0</v>
      </c>
    </row>
    <row r="102">
      <c r="A102">
        <f>IFERROR(__xludf.DUMMYFUNCTION("""COMPUTED_VALUE"""),9.0)</f>
        <v>9</v>
      </c>
      <c r="B102" s="406">
        <f>IFERROR(__xludf.DUMMYFUNCTION("""COMPUTED_VALUE"""),29137.0)</f>
        <v>29137</v>
      </c>
      <c r="C102" t="str">
        <f>IFERROR(__xludf.DUMMYFUNCTION("""COMPUTED_VALUE"""),"OLARTE JARAMILLO, EMILIO")</f>
        <v>OLARTE JARAMILLO, EMILIO</v>
      </c>
      <c r="D102" t="str">
        <f>IFERROR(__xludf.DUMMYFUNCTION("""COMPUTED_VALUE"""),"English 9")</f>
        <v>English 9</v>
      </c>
      <c r="E102" s="3">
        <f>IFERROR(__xludf.DUMMYFUNCTION("""COMPUTED_VALUE"""),2.0)</f>
        <v>2</v>
      </c>
      <c r="F102" s="300">
        <v>1.0</v>
      </c>
      <c r="G102" s="300">
        <v>1.0</v>
      </c>
      <c r="H102" s="300">
        <v>1.0</v>
      </c>
      <c r="I102" s="300">
        <v>1.0</v>
      </c>
      <c r="J102" s="300">
        <v>1.0</v>
      </c>
      <c r="K102" s="300">
        <v>1.0</v>
      </c>
      <c r="L102" s="300">
        <v>1.0</v>
      </c>
      <c r="M102" s="300">
        <v>1.0</v>
      </c>
      <c r="N102" s="300">
        <v>8.0</v>
      </c>
      <c r="O102" s="300" t="s">
        <v>785</v>
      </c>
      <c r="P102" s="300">
        <v>6.0</v>
      </c>
    </row>
    <row r="103">
      <c r="A103">
        <f>IFERROR(__xludf.DUMMYFUNCTION("""COMPUTED_VALUE"""),9.0)</f>
        <v>9</v>
      </c>
      <c r="B103" s="406">
        <f>IFERROR(__xludf.DUMMYFUNCTION("""COMPUTED_VALUE"""),29172.0)</f>
        <v>29172</v>
      </c>
      <c r="C103" t="str">
        <f>IFERROR(__xludf.DUMMYFUNCTION("""COMPUTED_VALUE"""),"CESPEDES GARCIA, PABLO")</f>
        <v>CESPEDES GARCIA, PABLO</v>
      </c>
      <c r="D103" t="str">
        <f>IFERROR(__xludf.DUMMYFUNCTION("""COMPUTED_VALUE"""),"English 9")</f>
        <v>English 9</v>
      </c>
      <c r="E103" s="3">
        <f>IFERROR(__xludf.DUMMYFUNCTION("""COMPUTED_VALUE"""),7.0)</f>
        <v>7</v>
      </c>
      <c r="F103" s="300">
        <v>1.0</v>
      </c>
      <c r="G103" s="300">
        <v>1.0</v>
      </c>
      <c r="H103" s="300">
        <v>1.0</v>
      </c>
      <c r="I103" s="300">
        <v>1.0</v>
      </c>
      <c r="J103" s="300">
        <v>1.0</v>
      </c>
      <c r="K103" s="300">
        <v>1.0</v>
      </c>
      <c r="L103" s="300">
        <v>1.0</v>
      </c>
      <c r="M103" s="300">
        <v>1.0</v>
      </c>
      <c r="N103" s="300">
        <v>8.0</v>
      </c>
      <c r="O103" s="300" t="s">
        <v>786</v>
      </c>
      <c r="P103" s="300">
        <v>6.0</v>
      </c>
    </row>
    <row r="104">
      <c r="A104">
        <f>IFERROR(__xludf.DUMMYFUNCTION("""COMPUTED_VALUE"""),9.0)</f>
        <v>9</v>
      </c>
      <c r="B104" s="406">
        <f>IFERROR(__xludf.DUMMYFUNCTION("""COMPUTED_VALUE"""),29020.0)</f>
        <v>29020</v>
      </c>
      <c r="C104" t="str">
        <f>IFERROR(__xludf.DUMMYFUNCTION("""COMPUTED_VALUE"""),"BETANCOURT QUINTERO, LUCAS")</f>
        <v>BETANCOURT QUINTERO, LUCAS</v>
      </c>
      <c r="D104" t="str">
        <f>IFERROR(__xludf.DUMMYFUNCTION("""COMPUTED_VALUE"""),"English 9")</f>
        <v>English 9</v>
      </c>
      <c r="E104" s="3">
        <f>IFERROR(__xludf.DUMMYFUNCTION("""COMPUTED_VALUE"""),8.0)</f>
        <v>8</v>
      </c>
      <c r="F104" s="300">
        <v>1.0</v>
      </c>
      <c r="G104" s="300">
        <v>1.0</v>
      </c>
      <c r="H104" s="300">
        <v>1.0</v>
      </c>
      <c r="I104" s="300">
        <v>1.0</v>
      </c>
      <c r="J104" s="300">
        <v>1.0</v>
      </c>
      <c r="K104" s="300">
        <v>1.0</v>
      </c>
      <c r="L104" s="300">
        <v>1.0</v>
      </c>
      <c r="M104" s="300">
        <v>1.0</v>
      </c>
      <c r="N104" s="300">
        <v>8.0</v>
      </c>
      <c r="O104" s="300" t="s">
        <v>782</v>
      </c>
      <c r="P104" s="300">
        <v>6.0</v>
      </c>
    </row>
    <row r="105">
      <c r="A105">
        <f>IFERROR(__xludf.DUMMYFUNCTION("""COMPUTED_VALUE"""),9.0)</f>
        <v>9</v>
      </c>
      <c r="B105" s="406">
        <f>IFERROR(__xludf.DUMMYFUNCTION("""COMPUTED_VALUE"""),29069.0)</f>
        <v>29069</v>
      </c>
      <c r="C105" t="str">
        <f>IFERROR(__xludf.DUMMYFUNCTION("""COMPUTED_VALUE"""),"LUNA ALZATE, AMALIA")</f>
        <v>LUNA ALZATE, AMALIA</v>
      </c>
      <c r="D105" t="str">
        <f>IFERROR(__xludf.DUMMYFUNCTION("""COMPUTED_VALUE"""),"English 9")</f>
        <v>English 9</v>
      </c>
      <c r="E105" s="3">
        <f>IFERROR(__xludf.DUMMYFUNCTION("""COMPUTED_VALUE"""),7.0)</f>
        <v>7</v>
      </c>
      <c r="F105" s="300">
        <v>1.0</v>
      </c>
      <c r="G105" s="300">
        <v>1.0</v>
      </c>
      <c r="H105" s="300">
        <v>1.0</v>
      </c>
      <c r="I105" s="300">
        <v>1.0</v>
      </c>
      <c r="J105" s="300">
        <v>1.0</v>
      </c>
      <c r="K105" s="300">
        <v>1.0</v>
      </c>
      <c r="L105" s="300">
        <v>1.0</v>
      </c>
      <c r="M105" s="300">
        <v>1.0</v>
      </c>
      <c r="N105" s="300">
        <v>8.0</v>
      </c>
      <c r="O105" s="300" t="s">
        <v>786</v>
      </c>
      <c r="P105" s="300">
        <v>6.0</v>
      </c>
    </row>
    <row r="106">
      <c r="A106">
        <f>IFERROR(__xludf.DUMMYFUNCTION("""COMPUTED_VALUE"""),9.0)</f>
        <v>9</v>
      </c>
      <c r="B106" s="406">
        <f>IFERROR(__xludf.DUMMYFUNCTION("""COMPUTED_VALUE"""),29160.0)</f>
        <v>29160</v>
      </c>
      <c r="C106" t="str">
        <f>IFERROR(__xludf.DUMMYFUNCTION("""COMPUTED_VALUE"""),"BARRIOS CASTILLO, NICOLAS GUILLERMO")</f>
        <v>BARRIOS CASTILLO, NICOLAS GUILLERMO</v>
      </c>
      <c r="D106" t="str">
        <f>IFERROR(__xludf.DUMMYFUNCTION("""COMPUTED_VALUE"""),"English 9")</f>
        <v>English 9</v>
      </c>
      <c r="E106" s="3">
        <f>IFERROR(__xludf.DUMMYFUNCTION("""COMPUTED_VALUE"""),8.0)</f>
        <v>8</v>
      </c>
      <c r="F106" s="300">
        <v>1.0</v>
      </c>
      <c r="G106" s="300">
        <v>1.0</v>
      </c>
      <c r="H106" s="300">
        <v>1.0</v>
      </c>
      <c r="I106" s="300">
        <v>1.0</v>
      </c>
      <c r="J106" s="300">
        <v>1.0</v>
      </c>
      <c r="K106" s="300">
        <v>1.0</v>
      </c>
      <c r="L106" s="300">
        <v>1.0</v>
      </c>
      <c r="M106" s="300">
        <v>1.0</v>
      </c>
      <c r="N106" s="300">
        <v>8.0</v>
      </c>
      <c r="O106" s="300" t="s">
        <v>782</v>
      </c>
      <c r="P106" s="300">
        <v>6.0</v>
      </c>
    </row>
    <row r="107">
      <c r="A107">
        <f>IFERROR(__xludf.DUMMYFUNCTION("""COMPUTED_VALUE"""),9.0)</f>
        <v>9</v>
      </c>
      <c r="B107" s="406">
        <f>IFERROR(__xludf.DUMMYFUNCTION("""COMPUTED_VALUE"""),29155.0)</f>
        <v>29155</v>
      </c>
      <c r="C107" t="str">
        <f>IFERROR(__xludf.DUMMYFUNCTION("""COMPUTED_VALUE"""),"FERNANDEZ CALDERON, HANNA")</f>
        <v>FERNANDEZ CALDERON, HANNA</v>
      </c>
      <c r="D107" t="str">
        <f>IFERROR(__xludf.DUMMYFUNCTION("""COMPUTED_VALUE"""),"English 9")</f>
        <v>English 9</v>
      </c>
      <c r="E107" s="3">
        <f>IFERROR(__xludf.DUMMYFUNCTION("""COMPUTED_VALUE"""),5.0)</f>
        <v>5</v>
      </c>
      <c r="F107" s="300">
        <v>1.0</v>
      </c>
      <c r="G107" s="300">
        <v>1.0</v>
      </c>
      <c r="H107" s="300">
        <v>1.0</v>
      </c>
      <c r="I107" s="300">
        <v>1.0</v>
      </c>
      <c r="J107" s="300">
        <v>1.0</v>
      </c>
      <c r="K107" s="300">
        <v>1.0</v>
      </c>
      <c r="L107" s="300">
        <v>1.0</v>
      </c>
      <c r="M107" s="300">
        <v>1.0</v>
      </c>
      <c r="N107" s="300">
        <v>8.0</v>
      </c>
      <c r="O107" s="300" t="s">
        <v>787</v>
      </c>
      <c r="P107" s="300">
        <v>6.0</v>
      </c>
    </row>
    <row r="108">
      <c r="A108">
        <f>IFERROR(__xludf.DUMMYFUNCTION("""COMPUTED_VALUE"""),9.0)</f>
        <v>9</v>
      </c>
      <c r="B108" s="406">
        <f>IFERROR(__xludf.DUMMYFUNCTION("""COMPUTED_VALUE"""),29153.0)</f>
        <v>29153</v>
      </c>
      <c r="C108" t="str">
        <f>IFERROR(__xludf.DUMMYFUNCTION("""COMPUTED_VALUE"""),"MISERENDINO MUÑOZ, GABRIEL")</f>
        <v>MISERENDINO MUÑOZ, GABRIEL</v>
      </c>
      <c r="D108" t="str">
        <f>IFERROR(__xludf.DUMMYFUNCTION("""COMPUTED_VALUE"""),"English 9")</f>
        <v>English 9</v>
      </c>
      <c r="E108" s="3">
        <f>IFERROR(__xludf.DUMMYFUNCTION("""COMPUTED_VALUE"""),8.0)</f>
        <v>8</v>
      </c>
      <c r="F108" s="300">
        <v>1.0</v>
      </c>
      <c r="G108" s="300">
        <v>1.0</v>
      </c>
      <c r="H108" s="300">
        <v>1.0</v>
      </c>
      <c r="I108" s="300">
        <v>1.0</v>
      </c>
      <c r="J108" s="300">
        <v>1.0</v>
      </c>
      <c r="K108" s="300">
        <v>1.0</v>
      </c>
      <c r="L108" s="300">
        <v>1.0</v>
      </c>
      <c r="M108" s="300">
        <v>1.0</v>
      </c>
      <c r="N108" s="300">
        <v>8.0</v>
      </c>
      <c r="O108" s="300" t="s">
        <v>782</v>
      </c>
      <c r="P108" s="300">
        <v>6.0</v>
      </c>
    </row>
    <row r="109">
      <c r="A109">
        <f>IFERROR(__xludf.DUMMYFUNCTION("""COMPUTED_VALUE"""),9.0)</f>
        <v>9</v>
      </c>
      <c r="B109" s="406">
        <f>IFERROR(__xludf.DUMMYFUNCTION("""COMPUTED_VALUE"""),29030.0)</f>
        <v>29030</v>
      </c>
      <c r="C109" t="str">
        <f>IFERROR(__xludf.DUMMYFUNCTION("""COMPUTED_VALUE"""),"COCK ECHEVERRI, JULIETA")</f>
        <v>COCK ECHEVERRI, JULIETA</v>
      </c>
      <c r="D109" t="str">
        <f>IFERROR(__xludf.DUMMYFUNCTION("""COMPUTED_VALUE"""),"English 9")</f>
        <v>English 9</v>
      </c>
      <c r="E109" s="3">
        <f>IFERROR(__xludf.DUMMYFUNCTION("""COMPUTED_VALUE"""),2.0)</f>
        <v>2</v>
      </c>
      <c r="F109" s="300">
        <v>1.0</v>
      </c>
      <c r="G109" s="300">
        <v>1.0</v>
      </c>
      <c r="H109" s="300">
        <v>1.0</v>
      </c>
      <c r="I109" s="300">
        <v>1.0</v>
      </c>
      <c r="J109" s="300">
        <v>1.0</v>
      </c>
      <c r="K109" s="300">
        <v>1.0</v>
      </c>
      <c r="L109" s="300">
        <v>1.0</v>
      </c>
      <c r="M109" s="300">
        <v>1.0</v>
      </c>
      <c r="N109" s="300">
        <v>8.0</v>
      </c>
      <c r="O109" s="300" t="s">
        <v>785</v>
      </c>
      <c r="P109" s="300">
        <v>6.0</v>
      </c>
    </row>
    <row r="110">
      <c r="A110">
        <f>IFERROR(__xludf.DUMMYFUNCTION("""COMPUTED_VALUE"""),9.0)</f>
        <v>9</v>
      </c>
      <c r="B110" s="406">
        <f>IFERROR(__xludf.DUMMYFUNCTION("""COMPUTED_VALUE"""),29108.0)</f>
        <v>29108</v>
      </c>
      <c r="C110" t="str">
        <f>IFERROR(__xludf.DUMMYFUNCTION("""COMPUTED_VALUE"""),"SCHOBER OCAMPO, DANIEL")</f>
        <v>SCHOBER OCAMPO, DANIEL</v>
      </c>
      <c r="D110" t="str">
        <f>IFERROR(__xludf.DUMMYFUNCTION("""COMPUTED_VALUE"""),"English 9")</f>
        <v>English 9</v>
      </c>
      <c r="E110" s="3">
        <f>IFERROR(__xludf.DUMMYFUNCTION("""COMPUTED_VALUE"""),8.0)</f>
        <v>8</v>
      </c>
      <c r="F110" s="300">
        <v>1.0</v>
      </c>
      <c r="G110" s="300">
        <v>1.0</v>
      </c>
      <c r="H110" s="300">
        <v>1.0</v>
      </c>
      <c r="I110" s="300">
        <v>1.0</v>
      </c>
      <c r="J110" s="300">
        <v>1.0</v>
      </c>
      <c r="K110" s="300">
        <v>1.0</v>
      </c>
      <c r="L110" s="300">
        <v>1.0</v>
      </c>
      <c r="M110" s="300">
        <v>1.0</v>
      </c>
      <c r="N110" s="300">
        <v>8.0</v>
      </c>
      <c r="O110" s="300" t="s">
        <v>782</v>
      </c>
      <c r="P110" s="300">
        <v>6.0</v>
      </c>
    </row>
    <row r="111">
      <c r="A111">
        <f>IFERROR(__xludf.DUMMYFUNCTION("""COMPUTED_VALUE"""),9.0)</f>
        <v>9</v>
      </c>
      <c r="B111" s="406">
        <f>IFERROR(__xludf.DUMMYFUNCTION("""COMPUTED_VALUE"""),29062.0)</f>
        <v>29062</v>
      </c>
      <c r="C111" t="str">
        <f>IFERROR(__xludf.DUMMYFUNCTION("""COMPUTED_VALUE"""),"KIM LEE, SAE YOON LUCAS")</f>
        <v>KIM LEE, SAE YOON LUCAS</v>
      </c>
      <c r="D111" t="str">
        <f>IFERROR(__xludf.DUMMYFUNCTION("""COMPUTED_VALUE"""),"English 9")</f>
        <v>English 9</v>
      </c>
      <c r="E111" s="3">
        <f>IFERROR(__xludf.DUMMYFUNCTION("""COMPUTED_VALUE"""),2.0)</f>
        <v>2</v>
      </c>
      <c r="F111" s="300">
        <v>1.0</v>
      </c>
      <c r="G111" s="300">
        <v>1.0</v>
      </c>
      <c r="H111" s="300">
        <v>1.0</v>
      </c>
      <c r="I111" s="300">
        <v>1.0</v>
      </c>
      <c r="J111" s="300">
        <v>1.0</v>
      </c>
      <c r="K111" s="300">
        <v>1.0</v>
      </c>
      <c r="L111" s="300">
        <v>1.0</v>
      </c>
      <c r="M111" s="300">
        <v>1.0</v>
      </c>
      <c r="N111" s="300">
        <v>8.0</v>
      </c>
      <c r="O111" s="300" t="s">
        <v>785</v>
      </c>
      <c r="P111" s="300">
        <v>6.0</v>
      </c>
    </row>
    <row r="112">
      <c r="A112">
        <f>IFERROR(__xludf.DUMMYFUNCTION("""COMPUTED_VALUE"""),9.0)</f>
        <v>9</v>
      </c>
      <c r="B112" s="406">
        <f>IFERROR(__xludf.DUMMYFUNCTION("""COMPUTED_VALUE"""),29115.0)</f>
        <v>29115</v>
      </c>
      <c r="C112" t="str">
        <f>IFERROR(__xludf.DUMMYFUNCTION("""COMPUTED_VALUE"""),"TIRADO SANIN, ELENA")</f>
        <v>TIRADO SANIN, ELENA</v>
      </c>
      <c r="D112" t="str">
        <f>IFERROR(__xludf.DUMMYFUNCTION("""COMPUTED_VALUE"""),"English 9")</f>
        <v>English 9</v>
      </c>
      <c r="E112" s="3">
        <f>IFERROR(__xludf.DUMMYFUNCTION("""COMPUTED_VALUE"""),6.0)</f>
        <v>6</v>
      </c>
      <c r="F112" s="300">
        <v>1.0</v>
      </c>
      <c r="G112" s="300">
        <v>1.0</v>
      </c>
      <c r="H112" s="300">
        <v>1.0</v>
      </c>
      <c r="I112" s="300">
        <v>1.0</v>
      </c>
      <c r="J112" s="300">
        <v>1.0</v>
      </c>
      <c r="K112" s="300">
        <v>1.0</v>
      </c>
      <c r="L112" s="300">
        <v>1.0</v>
      </c>
      <c r="M112" s="300">
        <v>1.0</v>
      </c>
      <c r="N112" s="300">
        <v>8.0</v>
      </c>
      <c r="O112" s="300" t="s">
        <v>783</v>
      </c>
      <c r="P112" s="300">
        <v>6.0</v>
      </c>
    </row>
    <row r="113">
      <c r="A113">
        <f>IFERROR(__xludf.DUMMYFUNCTION("""COMPUTED_VALUE"""),9.0)</f>
        <v>9</v>
      </c>
      <c r="B113" s="406">
        <f>IFERROR(__xludf.DUMMYFUNCTION("""COMPUTED_VALUE"""),29018.0)</f>
        <v>29018</v>
      </c>
      <c r="C113" t="str">
        <f>IFERROR(__xludf.DUMMYFUNCTION("""COMPUTED_VALUE"""),"BAENA GIRALDO, VIOLETA")</f>
        <v>BAENA GIRALDO, VIOLETA</v>
      </c>
      <c r="D113" t="str">
        <f>IFERROR(__xludf.DUMMYFUNCTION("""COMPUTED_VALUE"""),"English 9")</f>
        <v>English 9</v>
      </c>
      <c r="E113" s="3">
        <f>IFERROR(__xludf.DUMMYFUNCTION("""COMPUTED_VALUE"""),2.0)</f>
        <v>2</v>
      </c>
      <c r="F113" s="300">
        <v>1.0</v>
      </c>
      <c r="G113" s="300">
        <v>1.0</v>
      </c>
      <c r="H113" s="300">
        <v>1.0</v>
      </c>
      <c r="I113" s="300">
        <v>1.0</v>
      </c>
      <c r="J113" s="300">
        <v>1.0</v>
      </c>
      <c r="K113" s="300">
        <v>1.0</v>
      </c>
      <c r="L113" s="300">
        <v>1.0</v>
      </c>
      <c r="M113" s="300">
        <v>1.0</v>
      </c>
      <c r="N113" s="300">
        <v>8.0</v>
      </c>
      <c r="O113" s="300" t="s">
        <v>785</v>
      </c>
      <c r="P113" s="300">
        <v>6.0</v>
      </c>
    </row>
    <row r="114">
      <c r="A114">
        <f>IFERROR(__xludf.DUMMYFUNCTION("""COMPUTED_VALUE"""),9.0)</f>
        <v>9</v>
      </c>
      <c r="B114" s="406">
        <f>IFERROR(__xludf.DUMMYFUNCTION("""COMPUTED_VALUE"""),29122.0)</f>
        <v>29122</v>
      </c>
      <c r="C114" t="str">
        <f>IFERROR(__xludf.DUMMYFUNCTION("""COMPUTED_VALUE"""),"URIBE RODRIGUEZ, MARIA LUISA")</f>
        <v>URIBE RODRIGUEZ, MARIA LUISA</v>
      </c>
      <c r="D114" t="str">
        <f>IFERROR(__xludf.DUMMYFUNCTION("""COMPUTED_VALUE"""),"English 9")</f>
        <v>English 9</v>
      </c>
      <c r="E114" s="3">
        <f>IFERROR(__xludf.DUMMYFUNCTION("""COMPUTED_VALUE"""),5.0)</f>
        <v>5</v>
      </c>
      <c r="F114" s="300">
        <v>1.0</v>
      </c>
      <c r="G114" s="300">
        <v>1.0</v>
      </c>
      <c r="H114" s="300">
        <v>1.0</v>
      </c>
      <c r="I114" s="300">
        <v>1.0</v>
      </c>
      <c r="J114" s="300">
        <v>1.0</v>
      </c>
      <c r="K114" s="300">
        <v>1.0</v>
      </c>
      <c r="L114" s="300">
        <v>1.0</v>
      </c>
      <c r="M114" s="300">
        <v>1.0</v>
      </c>
      <c r="N114" s="300">
        <v>8.0</v>
      </c>
      <c r="O114" s="300" t="s">
        <v>787</v>
      </c>
      <c r="P114" s="300">
        <v>6.0</v>
      </c>
    </row>
    <row r="115">
      <c r="A115">
        <f>IFERROR(__xludf.DUMMYFUNCTION("""COMPUTED_VALUE"""),9.0)</f>
        <v>9</v>
      </c>
      <c r="B115" s="406">
        <f>IFERROR(__xludf.DUMMYFUNCTION("""COMPUTED_VALUE"""),29128.0)</f>
        <v>29128</v>
      </c>
      <c r="C115" t="str">
        <f>IFERROR(__xludf.DUMMYFUNCTION("""COMPUTED_VALUE"""),"VELASQUEZ JARAMILLO, MARIA")</f>
        <v>VELASQUEZ JARAMILLO, MARIA</v>
      </c>
      <c r="D115" t="str">
        <f>IFERROR(__xludf.DUMMYFUNCTION("""COMPUTED_VALUE"""),"English 9")</f>
        <v>English 9</v>
      </c>
      <c r="E115" s="3">
        <f>IFERROR(__xludf.DUMMYFUNCTION("""COMPUTED_VALUE"""),2.0)</f>
        <v>2</v>
      </c>
      <c r="F115" s="300">
        <v>1.0</v>
      </c>
      <c r="G115" s="300">
        <v>1.0</v>
      </c>
      <c r="H115" s="300">
        <v>1.0</v>
      </c>
      <c r="I115" s="300">
        <v>1.0</v>
      </c>
      <c r="J115" s="300">
        <v>1.0</v>
      </c>
      <c r="K115" s="300">
        <v>1.0</v>
      </c>
      <c r="L115" s="300">
        <v>1.0</v>
      </c>
      <c r="M115" s="300">
        <v>1.0</v>
      </c>
      <c r="N115" s="300">
        <v>8.0</v>
      </c>
      <c r="O115" s="300" t="s">
        <v>785</v>
      </c>
      <c r="P115" s="300">
        <v>6.0</v>
      </c>
    </row>
    <row r="116">
      <c r="A116">
        <f>IFERROR(__xludf.DUMMYFUNCTION("""COMPUTED_VALUE"""),9.0)</f>
        <v>9</v>
      </c>
      <c r="B116" s="406">
        <f>IFERROR(__xludf.DUMMYFUNCTION("""COMPUTED_VALUE"""),29049.0)</f>
        <v>29049</v>
      </c>
      <c r="C116" t="str">
        <f>IFERROR(__xludf.DUMMYFUNCTION("""COMPUTED_VALUE"""),"HINESTROSA SIERRA, MIGUEL")</f>
        <v>HINESTROSA SIERRA, MIGUEL</v>
      </c>
      <c r="D116" t="str">
        <f>IFERROR(__xludf.DUMMYFUNCTION("""COMPUTED_VALUE"""),"English 9")</f>
        <v>English 9</v>
      </c>
      <c r="E116" s="3">
        <f>IFERROR(__xludf.DUMMYFUNCTION("""COMPUTED_VALUE"""),8.0)</f>
        <v>8</v>
      </c>
      <c r="F116" s="300">
        <v>1.0</v>
      </c>
      <c r="G116" s="300">
        <v>1.0</v>
      </c>
      <c r="H116" s="300">
        <v>1.0</v>
      </c>
      <c r="I116" s="300">
        <v>1.0</v>
      </c>
      <c r="J116" s="300">
        <v>1.0</v>
      </c>
      <c r="K116" s="300">
        <v>1.0</v>
      </c>
      <c r="L116" s="300">
        <v>1.0</v>
      </c>
      <c r="M116" s="300">
        <v>1.0</v>
      </c>
      <c r="N116" s="300">
        <v>8.0</v>
      </c>
      <c r="O116" s="300" t="s">
        <v>782</v>
      </c>
      <c r="P116" s="300">
        <v>6.0</v>
      </c>
    </row>
    <row r="117">
      <c r="A117">
        <f>IFERROR(__xludf.DUMMYFUNCTION("""COMPUTED_VALUE"""),9.0)</f>
        <v>9</v>
      </c>
      <c r="B117" s="406">
        <f>IFERROR(__xludf.DUMMYFUNCTION("""COMPUTED_VALUE"""),29118.0)</f>
        <v>29118</v>
      </c>
      <c r="C117" t="str">
        <f>IFERROR(__xludf.DUMMYFUNCTION("""COMPUTED_VALUE"""),"TRUJILLO RUIZ, SAMUEL")</f>
        <v>TRUJILLO RUIZ, SAMUEL</v>
      </c>
      <c r="D117" t="str">
        <f>IFERROR(__xludf.DUMMYFUNCTION("""COMPUTED_VALUE"""),"English 9")</f>
        <v>English 9</v>
      </c>
      <c r="E117" s="3">
        <f>IFERROR(__xludf.DUMMYFUNCTION("""COMPUTED_VALUE"""),7.0)</f>
        <v>7</v>
      </c>
      <c r="F117" s="300">
        <v>1.0</v>
      </c>
      <c r="G117" s="300">
        <v>1.0</v>
      </c>
      <c r="H117" s="300">
        <v>1.0</v>
      </c>
      <c r="I117" s="300">
        <v>1.0</v>
      </c>
      <c r="J117" s="300">
        <v>1.0</v>
      </c>
      <c r="K117" s="300">
        <v>1.0</v>
      </c>
      <c r="L117" s="300">
        <v>1.0</v>
      </c>
      <c r="M117" s="300">
        <v>1.0</v>
      </c>
      <c r="N117" s="300">
        <v>8.0</v>
      </c>
      <c r="O117" s="300" t="s">
        <v>786</v>
      </c>
      <c r="P117" s="300">
        <v>6.0</v>
      </c>
    </row>
    <row r="118">
      <c r="A118">
        <f>IFERROR(__xludf.DUMMYFUNCTION("""COMPUTED_VALUE"""),9.0)</f>
        <v>9</v>
      </c>
      <c r="B118" s="406">
        <f>IFERROR(__xludf.DUMMYFUNCTION("""COMPUTED_VALUE"""),29096.0)</f>
        <v>29096</v>
      </c>
      <c r="C118" t="str">
        <f>IFERROR(__xludf.DUMMYFUNCTION("""COMPUTED_VALUE"""),"RAMIREZ PELAEZ, ANTONIA")</f>
        <v>RAMIREZ PELAEZ, ANTONIA</v>
      </c>
      <c r="D118" t="str">
        <f>IFERROR(__xludf.DUMMYFUNCTION("""COMPUTED_VALUE"""),"English 9")</f>
        <v>English 9</v>
      </c>
      <c r="E118" s="3">
        <f>IFERROR(__xludf.DUMMYFUNCTION("""COMPUTED_VALUE"""),6.0)</f>
        <v>6</v>
      </c>
      <c r="F118" s="300">
        <v>1.0</v>
      </c>
      <c r="G118" s="300">
        <v>1.0</v>
      </c>
      <c r="H118" s="300">
        <v>1.0</v>
      </c>
      <c r="I118" s="300">
        <v>1.0</v>
      </c>
      <c r="J118" s="300">
        <v>1.0</v>
      </c>
      <c r="K118" s="300">
        <v>1.0</v>
      </c>
      <c r="L118" s="300">
        <v>1.0</v>
      </c>
      <c r="M118" s="300">
        <v>1.0</v>
      </c>
      <c r="N118" s="300">
        <v>8.0</v>
      </c>
      <c r="O118" s="300" t="s">
        <v>783</v>
      </c>
      <c r="P118" s="300">
        <v>6.0</v>
      </c>
    </row>
    <row r="119">
      <c r="A119">
        <f>IFERROR(__xludf.DUMMYFUNCTION("""COMPUTED_VALUE"""),9.0)</f>
        <v>9</v>
      </c>
      <c r="B119" s="406">
        <f>IFERROR(__xludf.DUMMYFUNCTION("""COMPUTED_VALUE"""),29119.0)</f>
        <v>29119</v>
      </c>
      <c r="C119" t="str">
        <f>IFERROR(__xludf.DUMMYFUNCTION("""COMPUTED_VALUE"""),"TRUJILLO RUIZ, SARA")</f>
        <v>TRUJILLO RUIZ, SARA</v>
      </c>
      <c r="D119" t="str">
        <f>IFERROR(__xludf.DUMMYFUNCTION("""COMPUTED_VALUE"""),"English 9")</f>
        <v>English 9</v>
      </c>
      <c r="E119" s="3">
        <f>IFERROR(__xludf.DUMMYFUNCTION("""COMPUTED_VALUE"""),6.0)</f>
        <v>6</v>
      </c>
      <c r="F119" s="300">
        <v>1.0</v>
      </c>
      <c r="G119" s="300">
        <v>1.0</v>
      </c>
      <c r="H119" s="300">
        <v>1.0</v>
      </c>
      <c r="I119" s="300">
        <v>1.0</v>
      </c>
      <c r="J119" s="300">
        <v>1.0</v>
      </c>
      <c r="K119" s="300">
        <v>1.0</v>
      </c>
      <c r="L119" s="300">
        <v>1.0</v>
      </c>
      <c r="M119" s="300">
        <v>1.0</v>
      </c>
      <c r="N119" s="300">
        <v>8.0</v>
      </c>
      <c r="O119" s="300" t="s">
        <v>783</v>
      </c>
      <c r="P119" s="300">
        <v>6.0</v>
      </c>
    </row>
    <row r="120">
      <c r="A120">
        <f>IFERROR(__xludf.DUMMYFUNCTION("""COMPUTED_VALUE"""),9.0)</f>
        <v>9</v>
      </c>
      <c r="B120" s="406">
        <f>IFERROR(__xludf.DUMMYFUNCTION("""COMPUTED_VALUE"""),29097.0)</f>
        <v>29097</v>
      </c>
      <c r="C120" t="str">
        <f>IFERROR(__xludf.DUMMYFUNCTION("""COMPUTED_VALUE"""),"RAMIREZ PELAEZ, ELENA")</f>
        <v>RAMIREZ PELAEZ, ELENA</v>
      </c>
      <c r="D120" t="str">
        <f>IFERROR(__xludf.DUMMYFUNCTION("""COMPUTED_VALUE"""),"English 9")</f>
        <v>English 9</v>
      </c>
      <c r="E120" s="3">
        <f>IFERROR(__xludf.DUMMYFUNCTION("""COMPUTED_VALUE"""),6.0)</f>
        <v>6</v>
      </c>
      <c r="F120" s="300">
        <v>1.0</v>
      </c>
      <c r="G120" s="300">
        <v>1.0</v>
      </c>
      <c r="H120" s="300">
        <v>1.0</v>
      </c>
      <c r="I120" s="300">
        <v>1.0</v>
      </c>
      <c r="J120" s="300">
        <v>1.0</v>
      </c>
      <c r="K120" s="300">
        <v>1.0</v>
      </c>
      <c r="L120" s="300">
        <v>1.0</v>
      </c>
      <c r="M120" s="300">
        <v>1.0</v>
      </c>
      <c r="N120" s="300">
        <v>8.0</v>
      </c>
      <c r="O120" s="300" t="s">
        <v>783</v>
      </c>
      <c r="P120" s="300">
        <v>6.0</v>
      </c>
    </row>
    <row r="121">
      <c r="A121">
        <f>IFERROR(__xludf.DUMMYFUNCTION("""COMPUTED_VALUE"""),9.0)</f>
        <v>9</v>
      </c>
      <c r="B121" s="406">
        <f>IFERROR(__xludf.DUMMYFUNCTION("""COMPUTED_VALUE"""),29169.0)</f>
        <v>29169</v>
      </c>
      <c r="C121" t="str">
        <f>IFERROR(__xludf.DUMMYFUNCTION("""COMPUTED_VALUE"""),"REPETTO LARROSA, FAUSTINO")</f>
        <v>REPETTO LARROSA, FAUSTINO</v>
      </c>
      <c r="D121" t="str">
        <f>IFERROR(__xludf.DUMMYFUNCTION("""COMPUTED_VALUE"""),"English 9")</f>
        <v>English 9</v>
      </c>
      <c r="E121" s="3">
        <f>IFERROR(__xludf.DUMMYFUNCTION("""COMPUTED_VALUE"""),7.0)</f>
        <v>7</v>
      </c>
      <c r="F121" s="300">
        <v>1.0</v>
      </c>
      <c r="G121" s="300">
        <v>1.0</v>
      </c>
      <c r="H121" s="300">
        <v>1.0</v>
      </c>
      <c r="I121" s="300">
        <v>1.0</v>
      </c>
      <c r="J121" s="300">
        <v>1.0</v>
      </c>
      <c r="K121" s="300">
        <v>1.0</v>
      </c>
      <c r="L121" s="300">
        <v>1.0</v>
      </c>
      <c r="M121" s="300">
        <v>1.0</v>
      </c>
      <c r="N121" s="300">
        <v>8.0</v>
      </c>
      <c r="O121" s="300" t="s">
        <v>786</v>
      </c>
      <c r="P121" s="300">
        <v>6.0</v>
      </c>
    </row>
    <row r="122">
      <c r="A122">
        <f>IFERROR(__xludf.DUMMYFUNCTION("""COMPUTED_VALUE"""),9.0)</f>
        <v>9</v>
      </c>
      <c r="B122" s="406">
        <f>IFERROR(__xludf.DUMMYFUNCTION("""COMPUTED_VALUE"""),29156.0)</f>
        <v>29156</v>
      </c>
      <c r="C122" t="str">
        <f>IFERROR(__xludf.DUMMYFUNCTION("""COMPUTED_VALUE"""),"FERNANDEZ CALDERON, TAMARA")</f>
        <v>FERNANDEZ CALDERON, TAMARA</v>
      </c>
      <c r="D122" t="str">
        <f>IFERROR(__xludf.DUMMYFUNCTION("""COMPUTED_VALUE"""),"English 9")</f>
        <v>English 9</v>
      </c>
      <c r="E122" s="3">
        <f>IFERROR(__xludf.DUMMYFUNCTION("""COMPUTED_VALUE"""),7.0)</f>
        <v>7</v>
      </c>
      <c r="F122" s="300">
        <v>1.0</v>
      </c>
      <c r="G122" s="300">
        <v>1.0</v>
      </c>
      <c r="H122" s="300">
        <v>1.0</v>
      </c>
      <c r="I122" s="300">
        <v>1.0</v>
      </c>
      <c r="J122" s="300">
        <v>1.0</v>
      </c>
      <c r="K122" s="300">
        <v>1.0</v>
      </c>
      <c r="L122" s="300">
        <v>1.0</v>
      </c>
      <c r="M122" s="300">
        <v>1.0</v>
      </c>
      <c r="N122" s="300">
        <v>8.0</v>
      </c>
      <c r="O122" s="300" t="s">
        <v>786</v>
      </c>
      <c r="P122" s="300">
        <v>6.0</v>
      </c>
    </row>
    <row r="123">
      <c r="A123">
        <f>IFERROR(__xludf.DUMMYFUNCTION("""COMPUTED_VALUE"""),9.0)</f>
        <v>9</v>
      </c>
      <c r="B123" s="406">
        <f>IFERROR(__xludf.DUMMYFUNCTION("""COMPUTED_VALUE"""),29035.0)</f>
        <v>29035</v>
      </c>
      <c r="C123" t="str">
        <f>IFERROR(__xludf.DUMMYFUNCTION("""COMPUTED_VALUE"""),"DURAN CALAD, MIGUEL")</f>
        <v>DURAN CALAD, MIGUEL</v>
      </c>
      <c r="D123" t="str">
        <f>IFERROR(__xludf.DUMMYFUNCTION("""COMPUTED_VALUE"""),"English 9")</f>
        <v>English 9</v>
      </c>
      <c r="E123" s="3">
        <f>IFERROR(__xludf.DUMMYFUNCTION("""COMPUTED_VALUE"""),1.0)</f>
        <v>1</v>
      </c>
      <c r="F123" s="300">
        <v>1.0</v>
      </c>
      <c r="G123" s="300">
        <v>1.0</v>
      </c>
      <c r="H123" s="300">
        <v>1.0</v>
      </c>
      <c r="I123" s="300">
        <v>1.0</v>
      </c>
      <c r="J123" s="300">
        <v>1.0</v>
      </c>
      <c r="K123" s="300">
        <v>1.0</v>
      </c>
      <c r="L123" s="300">
        <v>1.0</v>
      </c>
      <c r="M123" s="300">
        <v>1.0</v>
      </c>
      <c r="N123" s="300">
        <v>8.0</v>
      </c>
      <c r="O123" s="300" t="s">
        <v>784</v>
      </c>
      <c r="P123" s="300">
        <v>6.0</v>
      </c>
    </row>
    <row r="124">
      <c r="A124">
        <f>IFERROR(__xludf.DUMMYFUNCTION("""COMPUTED_VALUE"""),9.0)</f>
        <v>9</v>
      </c>
      <c r="B124" s="406">
        <f>IFERROR(__xludf.DUMMYFUNCTION("""COMPUTED_VALUE"""),29028.0)</f>
        <v>29028</v>
      </c>
      <c r="C124" t="str">
        <f>IFERROR(__xludf.DUMMYFUNCTION("""COMPUTED_VALUE"""),"CARVAJAL ACOSTA, MARTIN")</f>
        <v>CARVAJAL ACOSTA, MARTIN</v>
      </c>
      <c r="D124" t="str">
        <f>IFERROR(__xludf.DUMMYFUNCTION("""COMPUTED_VALUE"""),"English 9")</f>
        <v>English 9</v>
      </c>
      <c r="E124" s="3">
        <f>IFERROR(__xludf.DUMMYFUNCTION("""COMPUTED_VALUE"""),7.0)</f>
        <v>7</v>
      </c>
      <c r="F124" s="300">
        <v>1.0</v>
      </c>
      <c r="G124" s="300">
        <v>1.0</v>
      </c>
      <c r="H124" s="300">
        <v>1.0</v>
      </c>
      <c r="I124" s="300">
        <v>1.0</v>
      </c>
      <c r="J124" s="300">
        <v>1.0</v>
      </c>
      <c r="K124" s="300">
        <v>1.0</v>
      </c>
      <c r="L124" s="300">
        <v>1.0</v>
      </c>
      <c r="M124" s="300">
        <v>1.0</v>
      </c>
      <c r="N124" s="300">
        <v>8.0</v>
      </c>
      <c r="O124" s="300" t="s">
        <v>786</v>
      </c>
      <c r="P124" s="300">
        <v>6.0</v>
      </c>
    </row>
    <row r="125">
      <c r="A125">
        <f>IFERROR(__xludf.DUMMYFUNCTION("""COMPUTED_VALUE"""),9.0)</f>
        <v>9</v>
      </c>
      <c r="B125" s="406">
        <f>IFERROR(__xludf.DUMMYFUNCTION("""COMPUTED_VALUE"""),29110.0)</f>
        <v>29110</v>
      </c>
      <c r="C125" t="str">
        <f>IFERROR(__xludf.DUMMYFUNCTION("""COMPUTED_VALUE"""),"SOSA ECHAVARRIA, EMILIO")</f>
        <v>SOSA ECHAVARRIA, EMILIO</v>
      </c>
      <c r="D125" t="str">
        <f>IFERROR(__xludf.DUMMYFUNCTION("""COMPUTED_VALUE"""),"English 9")</f>
        <v>English 9</v>
      </c>
      <c r="E125" s="3">
        <f>IFERROR(__xludf.DUMMYFUNCTION("""COMPUTED_VALUE"""),5.0)</f>
        <v>5</v>
      </c>
      <c r="F125" s="300">
        <v>1.0</v>
      </c>
      <c r="G125" s="300">
        <v>1.0</v>
      </c>
      <c r="H125" s="300">
        <v>1.0</v>
      </c>
      <c r="I125" s="300">
        <v>1.0</v>
      </c>
      <c r="J125" s="300">
        <v>1.0</v>
      </c>
      <c r="K125" s="300">
        <v>1.0</v>
      </c>
      <c r="L125" s="300">
        <v>1.0</v>
      </c>
      <c r="M125" s="300">
        <v>1.0</v>
      </c>
      <c r="N125" s="300">
        <v>8.0</v>
      </c>
      <c r="O125" s="300" t="s">
        <v>787</v>
      </c>
      <c r="P125" s="300">
        <v>6.0</v>
      </c>
    </row>
    <row r="126">
      <c r="A126">
        <f>IFERROR(__xludf.DUMMYFUNCTION("""COMPUTED_VALUE"""),9.0)</f>
        <v>9</v>
      </c>
      <c r="B126" s="406">
        <f>IFERROR(__xludf.DUMMYFUNCTION("""COMPUTED_VALUE"""),28144.0)</f>
        <v>28144</v>
      </c>
      <c r="C126" t="str">
        <f>IFERROR(__xludf.DUMMYFUNCTION("""COMPUTED_VALUE"""),"JIMENEZ PATIÑO, EMILIO")</f>
        <v>JIMENEZ PATIÑO, EMILIO</v>
      </c>
      <c r="D126" t="str">
        <f>IFERROR(__xludf.DUMMYFUNCTION("""COMPUTED_VALUE"""),"English 9")</f>
        <v>English 9</v>
      </c>
      <c r="E126" s="3">
        <f>IFERROR(__xludf.DUMMYFUNCTION("""COMPUTED_VALUE"""),5.0)</f>
        <v>5</v>
      </c>
      <c r="F126" s="300">
        <v>1.0</v>
      </c>
      <c r="G126" s="300">
        <v>1.0</v>
      </c>
      <c r="H126" s="300">
        <v>1.0</v>
      </c>
      <c r="I126" s="300">
        <v>1.0</v>
      </c>
      <c r="J126" s="300">
        <v>1.0</v>
      </c>
      <c r="K126" s="300">
        <v>1.0</v>
      </c>
      <c r="L126" s="300">
        <v>1.0</v>
      </c>
      <c r="M126" s="300">
        <v>1.0</v>
      </c>
      <c r="N126" s="300">
        <v>8.0</v>
      </c>
      <c r="O126" s="300" t="s">
        <v>787</v>
      </c>
      <c r="P126" s="300">
        <v>6.0</v>
      </c>
    </row>
    <row r="127">
      <c r="A127">
        <f>IFERROR(__xludf.DUMMYFUNCTION("""COMPUTED_VALUE"""),9.0)</f>
        <v>9</v>
      </c>
      <c r="B127" s="406">
        <f>IFERROR(__xludf.DUMMYFUNCTION("""COMPUTED_VALUE"""),29126.0)</f>
        <v>29126</v>
      </c>
      <c r="C127" t="str">
        <f>IFERROR(__xludf.DUMMYFUNCTION("""COMPUTED_VALUE"""),"VASQUEZ ANGEL, JUANITA")</f>
        <v>VASQUEZ ANGEL, JUANITA</v>
      </c>
      <c r="D127" t="str">
        <f>IFERROR(__xludf.DUMMYFUNCTION("""COMPUTED_VALUE"""),"English 9")</f>
        <v>English 9</v>
      </c>
      <c r="E127" s="3">
        <f>IFERROR(__xludf.DUMMYFUNCTION("""COMPUTED_VALUE"""),1.0)</f>
        <v>1</v>
      </c>
      <c r="F127" s="300">
        <v>1.0</v>
      </c>
      <c r="G127" s="300">
        <v>1.0</v>
      </c>
      <c r="H127" s="300">
        <v>1.0</v>
      </c>
      <c r="I127" s="300">
        <v>1.0</v>
      </c>
      <c r="J127" s="300">
        <v>1.0</v>
      </c>
      <c r="K127" s="300">
        <v>1.0</v>
      </c>
      <c r="L127" s="300">
        <v>1.0</v>
      </c>
      <c r="M127" s="300">
        <v>1.0</v>
      </c>
      <c r="N127" s="300">
        <v>8.0</v>
      </c>
      <c r="O127" s="300" t="s">
        <v>784</v>
      </c>
      <c r="P127" s="300">
        <v>6.0</v>
      </c>
    </row>
    <row r="128">
      <c r="A128">
        <f>IFERROR(__xludf.DUMMYFUNCTION("""COMPUTED_VALUE"""),9.0)</f>
        <v>9</v>
      </c>
      <c r="B128" s="406">
        <f>IFERROR(__xludf.DUMMYFUNCTION("""COMPUTED_VALUE"""),29098.0)</f>
        <v>29098</v>
      </c>
      <c r="C128" t="str">
        <f>IFERROR(__xludf.DUMMYFUNCTION("""COMPUTED_VALUE"""),"RESTREPO ESCOBAR, ISABELA")</f>
        <v>RESTREPO ESCOBAR, ISABELA</v>
      </c>
      <c r="D128" t="str">
        <f>IFERROR(__xludf.DUMMYFUNCTION("""COMPUTED_VALUE"""),"English 9")</f>
        <v>English 9</v>
      </c>
      <c r="E128" s="3">
        <f>IFERROR(__xludf.DUMMYFUNCTION("""COMPUTED_VALUE"""),6.0)</f>
        <v>6</v>
      </c>
      <c r="F128" s="300">
        <v>1.0</v>
      </c>
      <c r="G128" s="300">
        <v>1.0</v>
      </c>
      <c r="H128" s="300">
        <v>1.0</v>
      </c>
      <c r="I128" s="300">
        <v>1.0</v>
      </c>
      <c r="J128" s="300">
        <v>1.0</v>
      </c>
      <c r="K128" s="300">
        <v>1.0</v>
      </c>
      <c r="L128" s="300">
        <v>1.0</v>
      </c>
      <c r="M128" s="300">
        <v>1.0</v>
      </c>
      <c r="N128" s="300">
        <v>8.0</v>
      </c>
      <c r="O128" s="300" t="s">
        <v>783</v>
      </c>
      <c r="P128" s="300">
        <v>6.0</v>
      </c>
    </row>
    <row r="129">
      <c r="A129">
        <f>IFERROR(__xludf.DUMMYFUNCTION("""COMPUTED_VALUE"""),9.0)</f>
        <v>9</v>
      </c>
      <c r="B129" s="406">
        <f>IFERROR(__xludf.DUMMYFUNCTION("""COMPUTED_VALUE"""),29083.0)</f>
        <v>29083</v>
      </c>
      <c r="C129" t="str">
        <f>IFERROR(__xludf.DUMMYFUNCTION("""COMPUTED_VALUE"""),"NAVARRO ZULUAGA, SOFIA")</f>
        <v>NAVARRO ZULUAGA, SOFIA</v>
      </c>
      <c r="D129" t="str">
        <f>IFERROR(__xludf.DUMMYFUNCTION("""COMPUTED_VALUE"""),"English 9")</f>
        <v>English 9</v>
      </c>
      <c r="E129" s="3">
        <f>IFERROR(__xludf.DUMMYFUNCTION("""COMPUTED_VALUE"""),1.0)</f>
        <v>1</v>
      </c>
      <c r="F129" s="300">
        <v>1.0</v>
      </c>
      <c r="G129" s="300">
        <v>1.0</v>
      </c>
      <c r="H129" s="300">
        <v>1.0</v>
      </c>
      <c r="I129" s="300">
        <v>1.0</v>
      </c>
      <c r="J129" s="300">
        <v>1.0</v>
      </c>
      <c r="K129" s="300">
        <v>1.0</v>
      </c>
      <c r="L129" s="300">
        <v>1.0</v>
      </c>
      <c r="M129" s="300">
        <v>1.0</v>
      </c>
      <c r="N129" s="300">
        <v>8.0</v>
      </c>
      <c r="O129" s="300" t="s">
        <v>784</v>
      </c>
      <c r="P129" s="300">
        <v>6.0</v>
      </c>
    </row>
    <row r="130">
      <c r="A130">
        <f>IFERROR(__xludf.DUMMYFUNCTION("""COMPUTED_VALUE"""),9.0)</f>
        <v>9</v>
      </c>
      <c r="B130" s="406">
        <f>IFERROR(__xludf.DUMMYFUNCTION("""COMPUTED_VALUE"""),29023.0)</f>
        <v>29023</v>
      </c>
      <c r="C130" t="str">
        <f>IFERROR(__xludf.DUMMYFUNCTION("""COMPUTED_VALUE"""),"BOTERO DEL CORRAL, EMILIANA")</f>
        <v>BOTERO DEL CORRAL, EMILIANA</v>
      </c>
      <c r="D130" t="str">
        <f>IFERROR(__xludf.DUMMYFUNCTION("""COMPUTED_VALUE"""),"English 9")</f>
        <v>English 9</v>
      </c>
      <c r="E130" s="3">
        <f>IFERROR(__xludf.DUMMYFUNCTION("""COMPUTED_VALUE"""),5.0)</f>
        <v>5</v>
      </c>
      <c r="F130" s="300">
        <v>1.0</v>
      </c>
      <c r="G130" s="300">
        <v>1.0</v>
      </c>
      <c r="H130" s="300">
        <v>1.0</v>
      </c>
      <c r="I130" s="300">
        <v>1.0</v>
      </c>
      <c r="J130" s="300">
        <v>1.0</v>
      </c>
      <c r="K130" s="300">
        <v>1.0</v>
      </c>
      <c r="L130" s="300">
        <v>1.0</v>
      </c>
      <c r="M130" s="300">
        <v>1.0</v>
      </c>
      <c r="N130" s="300">
        <v>8.0</v>
      </c>
      <c r="O130" s="300" t="s">
        <v>787</v>
      </c>
      <c r="P130" s="300">
        <v>6.0</v>
      </c>
    </row>
    <row r="131">
      <c r="A131">
        <f>IFERROR(__xludf.DUMMYFUNCTION("""COMPUTED_VALUE"""),10.0)</f>
        <v>10</v>
      </c>
      <c r="B131" s="406">
        <f>IFERROR(__xludf.DUMMYFUNCTION("""COMPUTED_VALUE"""),28042.0)</f>
        <v>28042</v>
      </c>
      <c r="C131" t="str">
        <f>IFERROR(__xludf.DUMMYFUNCTION("""COMPUTED_VALUE"""),"GUERRA MARTINEZ, REBECCA")</f>
        <v>GUERRA MARTINEZ, REBECCA</v>
      </c>
      <c r="D131" t="str">
        <f>IFERROR(__xludf.DUMMYFUNCTION("""COMPUTED_VALUE"""),"AP Seminar")</f>
        <v>AP Seminar</v>
      </c>
      <c r="E131" s="3">
        <f>IFERROR(__xludf.DUMMYFUNCTION("""COMPUTED_VALUE"""),1.0)</f>
        <v>1</v>
      </c>
      <c r="F131" s="300">
        <v>1.0</v>
      </c>
      <c r="G131" s="300">
        <v>1.0</v>
      </c>
      <c r="H131" s="300">
        <v>1.0</v>
      </c>
      <c r="I131" s="300">
        <v>1.0</v>
      </c>
      <c r="J131" s="300">
        <v>1.0</v>
      </c>
      <c r="K131" s="300">
        <v>1.0</v>
      </c>
      <c r="L131" s="300">
        <v>1.0</v>
      </c>
      <c r="M131" s="300">
        <v>1.0</v>
      </c>
      <c r="N131" s="300">
        <v>8.0</v>
      </c>
      <c r="O131" s="300" t="s">
        <v>788</v>
      </c>
      <c r="P131" s="300">
        <v>3.0</v>
      </c>
    </row>
    <row r="132">
      <c r="A132">
        <f>IFERROR(__xludf.DUMMYFUNCTION("""COMPUTED_VALUE"""),10.0)</f>
        <v>10</v>
      </c>
      <c r="B132" s="406">
        <f>IFERROR(__xludf.DUMMYFUNCTION("""COMPUTED_VALUE"""),28116.0)</f>
        <v>28116</v>
      </c>
      <c r="C132" t="str">
        <f>IFERROR(__xludf.DUMMYFUNCTION("""COMPUTED_VALUE"""),"VELEZ ZAPATA, SARA")</f>
        <v>VELEZ ZAPATA, SARA</v>
      </c>
      <c r="D132" t="str">
        <f>IFERROR(__xludf.DUMMYFUNCTION("""COMPUTED_VALUE"""),"AP Seminar")</f>
        <v>AP Seminar</v>
      </c>
      <c r="E132" s="3">
        <f>IFERROR(__xludf.DUMMYFUNCTION("""COMPUTED_VALUE"""),6.0)</f>
        <v>6</v>
      </c>
      <c r="F132" s="300">
        <v>1.0</v>
      </c>
      <c r="G132" s="300">
        <v>1.0</v>
      </c>
      <c r="H132" s="300">
        <v>1.0</v>
      </c>
      <c r="I132" s="300">
        <v>1.0</v>
      </c>
      <c r="J132" s="300">
        <v>1.0</v>
      </c>
      <c r="K132" s="300">
        <v>1.0</v>
      </c>
      <c r="L132" s="300">
        <v>1.0</v>
      </c>
      <c r="M132" s="300">
        <v>1.0</v>
      </c>
      <c r="N132" s="300">
        <v>8.0</v>
      </c>
      <c r="O132" s="300" t="s">
        <v>789</v>
      </c>
      <c r="P132" s="300">
        <v>3.0</v>
      </c>
    </row>
    <row r="133">
      <c r="A133">
        <f>IFERROR(__xludf.DUMMYFUNCTION("""COMPUTED_VALUE"""),10.0)</f>
        <v>10</v>
      </c>
      <c r="B133" s="406">
        <f>IFERROR(__xludf.DUMMYFUNCTION("""COMPUTED_VALUE"""),28013.0)</f>
        <v>28013</v>
      </c>
      <c r="C133" t="str">
        <f>IFERROR(__xludf.DUMMYFUNCTION("""COMPUTED_VALUE"""),"BERDUGO RESTREPO, ROSARIO")</f>
        <v>BERDUGO RESTREPO, ROSARIO</v>
      </c>
      <c r="D133" t="str">
        <f>IFERROR(__xludf.DUMMYFUNCTION("""COMPUTED_VALUE"""),"English 10")</f>
        <v>English 10</v>
      </c>
      <c r="E133" s="3">
        <f>IFERROR(__xludf.DUMMYFUNCTION("""COMPUTED_VALUE"""),5.0)</f>
        <v>5</v>
      </c>
      <c r="F133" s="300">
        <v>1.0</v>
      </c>
      <c r="G133" s="300">
        <v>1.0</v>
      </c>
      <c r="H133" s="300">
        <v>1.0</v>
      </c>
      <c r="I133" s="300">
        <v>1.0</v>
      </c>
      <c r="J133" s="300">
        <v>1.0</v>
      </c>
      <c r="K133" s="300">
        <v>1.0</v>
      </c>
      <c r="L133" s="300">
        <v>1.0</v>
      </c>
      <c r="M133" s="300">
        <v>1.0</v>
      </c>
      <c r="N133" s="300">
        <v>8.0</v>
      </c>
      <c r="O133" s="300" t="s">
        <v>790</v>
      </c>
      <c r="P133" s="300">
        <v>3.0</v>
      </c>
    </row>
    <row r="134">
      <c r="A134">
        <f>IFERROR(__xludf.DUMMYFUNCTION("""COMPUTED_VALUE"""),10.0)</f>
        <v>10</v>
      </c>
      <c r="B134" s="406">
        <f>IFERROR(__xludf.DUMMYFUNCTION("""COMPUTED_VALUE"""),28045.0)</f>
        <v>28045</v>
      </c>
      <c r="C134" t="str">
        <f>IFERROR(__xludf.DUMMYFUNCTION("""COMPUTED_VALUE"""),"HINESTROZA ESCOBAR, LUCIANA")</f>
        <v>HINESTROZA ESCOBAR, LUCIANA</v>
      </c>
      <c r="D134" t="str">
        <f>IFERROR(__xludf.DUMMYFUNCTION("""COMPUTED_VALUE"""),"English 10")</f>
        <v>English 10</v>
      </c>
      <c r="E134" s="3">
        <f>IFERROR(__xludf.DUMMYFUNCTION("""COMPUTED_VALUE"""),5.0)</f>
        <v>5</v>
      </c>
      <c r="F134" s="300">
        <v>1.0</v>
      </c>
      <c r="G134" s="300">
        <v>1.0</v>
      </c>
      <c r="H134" s="300">
        <v>1.0</v>
      </c>
      <c r="I134" s="300">
        <v>1.0</v>
      </c>
      <c r="J134" s="300">
        <v>1.0</v>
      </c>
      <c r="K134" s="300">
        <v>1.0</v>
      </c>
      <c r="L134" s="300">
        <v>1.0</v>
      </c>
      <c r="M134" s="300">
        <v>1.0</v>
      </c>
      <c r="N134" s="300">
        <v>8.0</v>
      </c>
      <c r="O134" s="300" t="s">
        <v>790</v>
      </c>
      <c r="P134" s="300">
        <v>3.0</v>
      </c>
    </row>
    <row r="135">
      <c r="A135">
        <f>IFERROR(__xludf.DUMMYFUNCTION("""COMPUTED_VALUE"""),10.0)</f>
        <v>10</v>
      </c>
      <c r="B135" s="406">
        <f>IFERROR(__xludf.DUMMYFUNCTION("""COMPUTED_VALUE"""),28022.0)</f>
        <v>28022</v>
      </c>
      <c r="C135" t="str">
        <f>IFERROR(__xludf.DUMMYFUNCTION("""COMPUTED_VALUE"""),"CARVAJAL BOTERO, SIMON")</f>
        <v>CARVAJAL BOTERO, SIMON</v>
      </c>
      <c r="D135" t="str">
        <f>IFERROR(__xludf.DUMMYFUNCTION("""COMPUTED_VALUE"""),"AP Seminar")</f>
        <v>AP Seminar</v>
      </c>
      <c r="E135" s="3">
        <f>IFERROR(__xludf.DUMMYFUNCTION("""COMPUTED_VALUE"""),5.0)</f>
        <v>5</v>
      </c>
      <c r="F135" s="300">
        <v>1.0</v>
      </c>
      <c r="G135" s="300">
        <v>1.0</v>
      </c>
      <c r="H135" s="300">
        <v>1.0</v>
      </c>
      <c r="I135" s="300">
        <v>1.0</v>
      </c>
      <c r="J135" s="300">
        <v>1.0</v>
      </c>
      <c r="K135" s="300">
        <v>1.0</v>
      </c>
      <c r="L135" s="300">
        <v>1.0</v>
      </c>
      <c r="M135" s="300">
        <v>1.0</v>
      </c>
      <c r="N135" s="300">
        <v>8.0</v>
      </c>
      <c r="O135" s="300" t="s">
        <v>791</v>
      </c>
      <c r="P135" s="300">
        <v>3.0</v>
      </c>
    </row>
    <row r="136">
      <c r="A136">
        <f>IFERROR(__xludf.DUMMYFUNCTION("""COMPUTED_VALUE"""),10.0)</f>
        <v>10</v>
      </c>
      <c r="B136" s="406">
        <f>IFERROR(__xludf.DUMMYFUNCTION("""COMPUTED_VALUE"""),28166.0)</f>
        <v>28166</v>
      </c>
      <c r="C136" t="str">
        <f>IFERROR(__xludf.DUMMYFUNCTION("""COMPUTED_VALUE"""),"VELEZ RAMIREZ, MIGUEL")</f>
        <v>VELEZ RAMIREZ, MIGUEL</v>
      </c>
      <c r="D136" t="str">
        <f>IFERROR(__xludf.DUMMYFUNCTION("""COMPUTED_VALUE"""),"English 10")</f>
        <v>English 10</v>
      </c>
      <c r="E136" s="3">
        <f>IFERROR(__xludf.DUMMYFUNCTION("""COMPUTED_VALUE"""),2.0)</f>
        <v>2</v>
      </c>
      <c r="F136" s="300">
        <v>1.0</v>
      </c>
      <c r="G136" s="300">
        <v>1.0</v>
      </c>
      <c r="H136" s="300">
        <v>1.0</v>
      </c>
      <c r="I136" s="300">
        <v>1.0</v>
      </c>
      <c r="J136" s="300">
        <v>1.0</v>
      </c>
      <c r="K136" s="300">
        <v>1.0</v>
      </c>
      <c r="L136" s="300">
        <v>1.0</v>
      </c>
      <c r="M136" s="300">
        <v>1.0</v>
      </c>
      <c r="N136" s="300">
        <v>8.0</v>
      </c>
      <c r="O136" s="300" t="s">
        <v>792</v>
      </c>
      <c r="P136" s="300">
        <v>3.0</v>
      </c>
    </row>
    <row r="137">
      <c r="A137">
        <f>IFERROR(__xludf.DUMMYFUNCTION("""COMPUTED_VALUE"""),10.0)</f>
        <v>10</v>
      </c>
      <c r="B137" s="406">
        <f>IFERROR(__xludf.DUMMYFUNCTION("""COMPUTED_VALUE"""),28083.0)</f>
        <v>28083</v>
      </c>
      <c r="C137" t="str">
        <f>IFERROR(__xludf.DUMMYFUNCTION("""COMPUTED_VALUE"""),"PENAGOS VELEZ, EMILIO")</f>
        <v>PENAGOS VELEZ, EMILIO</v>
      </c>
      <c r="D137" t="str">
        <f>IFERROR(__xludf.DUMMYFUNCTION("""COMPUTED_VALUE"""),"AP Seminar")</f>
        <v>AP Seminar</v>
      </c>
      <c r="E137" s="3">
        <f>IFERROR(__xludf.DUMMYFUNCTION("""COMPUTED_VALUE"""),1.0)</f>
        <v>1</v>
      </c>
      <c r="F137" s="300">
        <v>1.0</v>
      </c>
      <c r="G137" s="300">
        <v>1.0</v>
      </c>
      <c r="H137" s="300">
        <v>1.0</v>
      </c>
      <c r="I137" s="300">
        <v>1.0</v>
      </c>
      <c r="J137" s="300">
        <v>1.0</v>
      </c>
      <c r="K137" s="300">
        <v>1.0</v>
      </c>
      <c r="L137" s="300">
        <v>1.0</v>
      </c>
      <c r="M137" s="300">
        <v>1.0</v>
      </c>
      <c r="N137" s="300">
        <v>8.0</v>
      </c>
      <c r="O137" s="300" t="s">
        <v>788</v>
      </c>
      <c r="P137" s="300">
        <v>3.0</v>
      </c>
    </row>
    <row r="138">
      <c r="A138">
        <f>IFERROR(__xludf.DUMMYFUNCTION("""COMPUTED_VALUE"""),10.0)</f>
        <v>10</v>
      </c>
      <c r="B138" s="406">
        <f>IFERROR(__xludf.DUMMYFUNCTION("""COMPUTED_VALUE"""),28105.0)</f>
        <v>28105</v>
      </c>
      <c r="C138" t="str">
        <f>IFERROR(__xludf.DUMMYFUNCTION("""COMPUTED_VALUE"""),"TABARES MORENO, LUCAS")</f>
        <v>TABARES MORENO, LUCAS</v>
      </c>
      <c r="D138" t="str">
        <f>IFERROR(__xludf.DUMMYFUNCTION("""COMPUTED_VALUE"""),"AP Seminar")</f>
        <v>AP Seminar</v>
      </c>
      <c r="E138" s="3">
        <f>IFERROR(__xludf.DUMMYFUNCTION("""COMPUTED_VALUE"""),5.0)</f>
        <v>5</v>
      </c>
      <c r="F138" s="300">
        <v>1.0</v>
      </c>
      <c r="G138" s="300">
        <v>1.0</v>
      </c>
      <c r="H138" s="300">
        <v>1.0</v>
      </c>
      <c r="I138" s="300">
        <v>1.0</v>
      </c>
      <c r="J138" s="300">
        <v>1.0</v>
      </c>
      <c r="K138" s="300">
        <v>1.0</v>
      </c>
      <c r="L138" s="300">
        <v>1.0</v>
      </c>
      <c r="M138" s="300">
        <v>1.0</v>
      </c>
      <c r="N138" s="300">
        <v>8.0</v>
      </c>
      <c r="O138" s="300" t="s">
        <v>791</v>
      </c>
      <c r="P138" s="300">
        <v>3.0</v>
      </c>
    </row>
    <row r="139">
      <c r="A139">
        <f>IFERROR(__xludf.DUMMYFUNCTION("""COMPUTED_VALUE"""),10.0)</f>
        <v>10</v>
      </c>
      <c r="B139" s="406">
        <f>IFERROR(__xludf.DUMMYFUNCTION("""COMPUTED_VALUE"""),28017.0)</f>
        <v>28017</v>
      </c>
      <c r="C139" t="str">
        <f>IFERROR(__xludf.DUMMYFUNCTION("""COMPUTED_VALUE"""),"BUHOFER DUQUE, ANDREAS EMILIO")</f>
        <v>BUHOFER DUQUE, ANDREAS EMILIO</v>
      </c>
      <c r="D139" t="str">
        <f>IFERROR(__xludf.DUMMYFUNCTION("""COMPUTED_VALUE"""),"English 10")</f>
        <v>English 10</v>
      </c>
      <c r="E139" s="3">
        <f>IFERROR(__xludf.DUMMYFUNCTION("""COMPUTED_VALUE"""),2.0)</f>
        <v>2</v>
      </c>
      <c r="F139" s="300">
        <v>1.0</v>
      </c>
      <c r="G139" s="300">
        <v>1.0</v>
      </c>
      <c r="H139" s="300">
        <v>1.0</v>
      </c>
      <c r="I139" s="300">
        <v>1.0</v>
      </c>
      <c r="J139" s="300">
        <v>1.0</v>
      </c>
      <c r="K139" s="300">
        <v>1.0</v>
      </c>
      <c r="L139" s="300">
        <v>1.0</v>
      </c>
      <c r="M139" s="300">
        <v>1.0</v>
      </c>
      <c r="N139" s="300">
        <v>8.0</v>
      </c>
      <c r="O139" s="300" t="s">
        <v>792</v>
      </c>
      <c r="P139" s="300">
        <v>3.0</v>
      </c>
    </row>
    <row r="140">
      <c r="A140">
        <f>IFERROR(__xludf.DUMMYFUNCTION("""COMPUTED_VALUE"""),10.0)</f>
        <v>10</v>
      </c>
      <c r="B140" s="406">
        <f>IFERROR(__xludf.DUMMYFUNCTION("""COMPUTED_VALUE"""),28056.0)</f>
        <v>28056</v>
      </c>
      <c r="C140" t="str">
        <f>IFERROR(__xludf.DUMMYFUNCTION("""COMPUTED_VALUE"""),"LOPEZ RODRIGUEZ, MAR")</f>
        <v>LOPEZ RODRIGUEZ, MAR</v>
      </c>
      <c r="D140" t="str">
        <f>IFERROR(__xludf.DUMMYFUNCTION("""COMPUTED_VALUE"""),"English 10")</f>
        <v>English 10</v>
      </c>
      <c r="E140" s="3">
        <f>IFERROR(__xludf.DUMMYFUNCTION("""COMPUTED_VALUE"""),5.0)</f>
        <v>5</v>
      </c>
      <c r="F140" s="300">
        <v>1.0</v>
      </c>
      <c r="G140" s="300">
        <v>1.0</v>
      </c>
      <c r="H140" s="300">
        <v>1.0</v>
      </c>
      <c r="I140" s="300">
        <v>1.0</v>
      </c>
      <c r="J140" s="300">
        <v>1.0</v>
      </c>
      <c r="K140" s="300">
        <v>1.0</v>
      </c>
      <c r="L140" s="300">
        <v>1.0</v>
      </c>
      <c r="M140" s="300">
        <v>1.0</v>
      </c>
      <c r="N140" s="300">
        <v>8.0</v>
      </c>
      <c r="O140" s="300" t="s">
        <v>790</v>
      </c>
      <c r="P140" s="300">
        <v>3.0</v>
      </c>
    </row>
    <row r="141">
      <c r="A141">
        <f>IFERROR(__xludf.DUMMYFUNCTION("""COMPUTED_VALUE"""),10.0)</f>
        <v>10</v>
      </c>
      <c r="B141" s="406">
        <f>IFERROR(__xludf.DUMMYFUNCTION("""COMPUTED_VALUE"""),27041.0)</f>
        <v>27041</v>
      </c>
      <c r="C141" t="str">
        <f>IFERROR(__xludf.DUMMYFUNCTION("""COMPUTED_VALUE"""),"GALVEZ ATEHORTUA, JUANITA")</f>
        <v>GALVEZ ATEHORTUA, JUANITA</v>
      </c>
      <c r="D141" t="str">
        <f>IFERROR(__xludf.DUMMYFUNCTION("""COMPUTED_VALUE"""),"AP Seminar")</f>
        <v>AP Seminar</v>
      </c>
      <c r="E141" s="3">
        <f>IFERROR(__xludf.DUMMYFUNCTION("""COMPUTED_VALUE"""),1.0)</f>
        <v>1</v>
      </c>
      <c r="F141" s="300">
        <v>1.0</v>
      </c>
      <c r="G141" s="300">
        <v>1.0</v>
      </c>
      <c r="H141" s="300">
        <v>1.0</v>
      </c>
      <c r="I141" s="300">
        <v>1.0</v>
      </c>
      <c r="J141" s="300">
        <v>1.0</v>
      </c>
      <c r="K141" s="300">
        <v>1.0</v>
      </c>
      <c r="L141" s="300">
        <v>1.0</v>
      </c>
      <c r="M141" s="300">
        <v>1.0</v>
      </c>
      <c r="N141" s="300">
        <v>8.0</v>
      </c>
      <c r="O141" s="300" t="s">
        <v>788</v>
      </c>
      <c r="P141" s="300">
        <v>3.0</v>
      </c>
    </row>
    <row r="142">
      <c r="A142">
        <f>IFERROR(__xludf.DUMMYFUNCTION("""COMPUTED_VALUE"""),10.0)</f>
        <v>10</v>
      </c>
      <c r="B142" s="406">
        <f>IFERROR(__xludf.DUMMYFUNCTION("""COMPUTED_VALUE"""),28058.0)</f>
        <v>28058</v>
      </c>
      <c r="C142" t="str">
        <f>IFERROR(__xludf.DUMMYFUNCTION("""COMPUTED_VALUE"""),"MARULANDA VARGAS, ELISA")</f>
        <v>MARULANDA VARGAS, ELISA</v>
      </c>
      <c r="D142" t="str">
        <f>IFERROR(__xludf.DUMMYFUNCTION("""COMPUTED_VALUE"""),"AP Seminar")</f>
        <v>AP Seminar</v>
      </c>
      <c r="E142" s="3">
        <f>IFERROR(__xludf.DUMMYFUNCTION("""COMPUTED_VALUE"""),1.0)</f>
        <v>1</v>
      </c>
      <c r="F142" s="300">
        <v>1.0</v>
      </c>
      <c r="G142" s="300">
        <v>1.0</v>
      </c>
      <c r="H142" s="300">
        <v>1.0</v>
      </c>
      <c r="I142" s="300">
        <v>1.0</v>
      </c>
      <c r="J142" s="300">
        <v>1.0</v>
      </c>
      <c r="K142" s="300">
        <v>1.0</v>
      </c>
      <c r="L142" s="300">
        <v>1.0</v>
      </c>
      <c r="M142" s="300">
        <v>1.0</v>
      </c>
      <c r="N142" s="300">
        <v>8.0</v>
      </c>
      <c r="O142" s="300" t="s">
        <v>788</v>
      </c>
      <c r="P142" s="300">
        <v>3.0</v>
      </c>
    </row>
    <row r="143">
      <c r="A143">
        <f>IFERROR(__xludf.DUMMYFUNCTION("""COMPUTED_VALUE"""),10.0)</f>
        <v>10</v>
      </c>
      <c r="B143" s="406">
        <f>IFERROR(__xludf.DUMMYFUNCTION("""COMPUTED_VALUE"""),28043.0)</f>
        <v>28043</v>
      </c>
      <c r="C143" t="str">
        <f>IFERROR(__xludf.DUMMYFUNCTION("""COMPUTED_VALUE"""),"GUTIERREZ ABUCHAR, TOMAS")</f>
        <v>GUTIERREZ ABUCHAR, TOMAS</v>
      </c>
      <c r="D143" t="str">
        <f>IFERROR(__xludf.DUMMYFUNCTION("""COMPUTED_VALUE"""),"AP Seminar")</f>
        <v>AP Seminar</v>
      </c>
      <c r="E143" s="3">
        <f>IFERROR(__xludf.DUMMYFUNCTION("""COMPUTED_VALUE"""),1.0)</f>
        <v>1</v>
      </c>
      <c r="F143" s="300">
        <v>1.0</v>
      </c>
      <c r="G143" s="300">
        <v>1.0</v>
      </c>
      <c r="H143" s="300">
        <v>1.0</v>
      </c>
      <c r="I143" s="300">
        <v>1.0</v>
      </c>
      <c r="J143" s="300">
        <v>1.0</v>
      </c>
      <c r="K143" s="300">
        <v>1.0</v>
      </c>
      <c r="L143" s="300">
        <v>1.0</v>
      </c>
      <c r="M143" s="300">
        <v>1.0</v>
      </c>
      <c r="N143" s="300">
        <v>8.0</v>
      </c>
      <c r="O143" s="300" t="s">
        <v>788</v>
      </c>
      <c r="P143" s="300">
        <v>3.0</v>
      </c>
    </row>
    <row r="144">
      <c r="A144">
        <f>IFERROR(__xludf.DUMMYFUNCTION("""COMPUTED_VALUE"""),10.0)</f>
        <v>10</v>
      </c>
      <c r="B144" s="406">
        <f>IFERROR(__xludf.DUMMYFUNCTION("""COMPUTED_VALUE"""),28113.0)</f>
        <v>28113</v>
      </c>
      <c r="C144" t="str">
        <f>IFERROR(__xludf.DUMMYFUNCTION("""COMPUTED_VALUE"""),"VELEZ COCK, ELISA")</f>
        <v>VELEZ COCK, ELISA</v>
      </c>
      <c r="D144" t="str">
        <f>IFERROR(__xludf.DUMMYFUNCTION("""COMPUTED_VALUE"""),"English 10")</f>
        <v>English 10</v>
      </c>
      <c r="E144" s="3">
        <f>IFERROR(__xludf.DUMMYFUNCTION("""COMPUTED_VALUE"""),2.0)</f>
        <v>2</v>
      </c>
      <c r="F144" s="300">
        <v>1.0</v>
      </c>
      <c r="G144" s="300">
        <v>1.0</v>
      </c>
      <c r="H144" s="300">
        <v>1.0</v>
      </c>
      <c r="I144" s="300">
        <v>1.0</v>
      </c>
      <c r="J144" s="300">
        <v>1.0</v>
      </c>
      <c r="K144" s="300">
        <v>1.0</v>
      </c>
      <c r="L144" s="300">
        <v>1.0</v>
      </c>
      <c r="M144" s="300">
        <v>1.0</v>
      </c>
      <c r="N144" s="300">
        <v>8.0</v>
      </c>
      <c r="O144" s="300" t="s">
        <v>792</v>
      </c>
      <c r="P144" s="300">
        <v>3.0</v>
      </c>
    </row>
    <row r="145">
      <c r="A145">
        <f>IFERROR(__xludf.DUMMYFUNCTION("""COMPUTED_VALUE"""),10.0)</f>
        <v>10</v>
      </c>
      <c r="B145" s="406">
        <f>IFERROR(__xludf.DUMMYFUNCTION("""COMPUTED_VALUE"""),28157.0)</f>
        <v>28157</v>
      </c>
      <c r="C145" t="str">
        <f>IFERROR(__xludf.DUMMYFUNCTION("""COMPUTED_VALUE"""),"ORTEGA OCHOA, FEDERICO")</f>
        <v>ORTEGA OCHOA, FEDERICO</v>
      </c>
      <c r="D145" t="str">
        <f>IFERROR(__xludf.DUMMYFUNCTION("""COMPUTED_VALUE"""),"English 10")</f>
        <v>English 10</v>
      </c>
      <c r="E145" s="3">
        <f>IFERROR(__xludf.DUMMYFUNCTION("""COMPUTED_VALUE"""),8.0)</f>
        <v>8</v>
      </c>
      <c r="F145" s="300">
        <v>1.0</v>
      </c>
      <c r="G145" s="300">
        <v>1.0</v>
      </c>
      <c r="H145" s="300">
        <v>1.0</v>
      </c>
      <c r="I145" s="300">
        <v>1.0</v>
      </c>
      <c r="J145" s="300">
        <v>1.0</v>
      </c>
      <c r="K145" s="300">
        <v>1.0</v>
      </c>
      <c r="L145" s="300">
        <v>1.0</v>
      </c>
      <c r="M145" s="300">
        <v>1.0</v>
      </c>
      <c r="N145" s="300">
        <v>8.0</v>
      </c>
      <c r="O145" s="300" t="s">
        <v>793</v>
      </c>
      <c r="P145" s="300">
        <v>3.0</v>
      </c>
    </row>
    <row r="146">
      <c r="A146">
        <f>IFERROR(__xludf.DUMMYFUNCTION("""COMPUTED_VALUE"""),10.0)</f>
        <v>10</v>
      </c>
      <c r="B146" s="406">
        <f>IFERROR(__xludf.DUMMYFUNCTION("""COMPUTED_VALUE"""),28098.0)</f>
        <v>28098</v>
      </c>
      <c r="C146" t="str">
        <f>IFERROR(__xludf.DUMMYFUNCTION("""COMPUTED_VALUE"""),"ROBLEDO LLANO, MAXIMILIANO")</f>
        <v>ROBLEDO LLANO, MAXIMILIANO</v>
      </c>
      <c r="D146" t="str">
        <f>IFERROR(__xludf.DUMMYFUNCTION("""COMPUTED_VALUE"""),"English 10")</f>
        <v>English 10</v>
      </c>
      <c r="E146" s="3">
        <f>IFERROR(__xludf.DUMMYFUNCTION("""COMPUTED_VALUE"""),2.0)</f>
        <v>2</v>
      </c>
      <c r="F146" s="300">
        <v>1.0</v>
      </c>
      <c r="G146" s="300">
        <v>1.0</v>
      </c>
      <c r="H146" s="300">
        <v>1.0</v>
      </c>
      <c r="I146" s="300">
        <v>1.0</v>
      </c>
      <c r="J146" s="300">
        <v>1.0</v>
      </c>
      <c r="K146" s="300">
        <v>1.0</v>
      </c>
      <c r="L146" s="300">
        <v>1.0</v>
      </c>
      <c r="M146" s="300">
        <v>1.0</v>
      </c>
      <c r="N146" s="300">
        <v>8.0</v>
      </c>
      <c r="O146" s="300" t="s">
        <v>792</v>
      </c>
      <c r="P146" s="300">
        <v>3.0</v>
      </c>
    </row>
    <row r="147">
      <c r="A147">
        <f>IFERROR(__xludf.DUMMYFUNCTION("""COMPUTED_VALUE"""),10.0)</f>
        <v>10</v>
      </c>
      <c r="B147" s="406">
        <f>IFERROR(__xludf.DUMMYFUNCTION("""COMPUTED_VALUE"""),28117.0)</f>
        <v>28117</v>
      </c>
      <c r="C147" t="str">
        <f>IFERROR(__xludf.DUMMYFUNCTION("""COMPUTED_VALUE"""),"VILLEGAS BOTERO, MARIANA")</f>
        <v>VILLEGAS BOTERO, MARIANA</v>
      </c>
      <c r="D147" t="str">
        <f>IFERROR(__xludf.DUMMYFUNCTION("""COMPUTED_VALUE"""),"AP Seminar")</f>
        <v>AP Seminar</v>
      </c>
      <c r="E147" s="3">
        <f>IFERROR(__xludf.DUMMYFUNCTION("""COMPUTED_VALUE"""),5.0)</f>
        <v>5</v>
      </c>
      <c r="F147" s="300">
        <v>1.0</v>
      </c>
      <c r="G147" s="300">
        <v>1.0</v>
      </c>
      <c r="H147" s="300">
        <v>1.0</v>
      </c>
      <c r="I147" s="300">
        <v>1.0</v>
      </c>
      <c r="J147" s="300">
        <v>1.0</v>
      </c>
      <c r="K147" s="300">
        <v>1.0</v>
      </c>
      <c r="L147" s="300">
        <v>1.0</v>
      </c>
      <c r="M147" s="300">
        <v>1.0</v>
      </c>
      <c r="N147" s="300">
        <v>8.0</v>
      </c>
      <c r="O147" s="300" t="s">
        <v>791</v>
      </c>
      <c r="P147" s="300">
        <v>3.0</v>
      </c>
    </row>
    <row r="148">
      <c r="A148">
        <f>IFERROR(__xludf.DUMMYFUNCTION("""COMPUTED_VALUE"""),10.0)</f>
        <v>10</v>
      </c>
      <c r="B148" s="406">
        <f>IFERROR(__xludf.DUMMYFUNCTION("""COMPUTED_VALUE"""),28100.0)</f>
        <v>28100</v>
      </c>
      <c r="C148" t="str">
        <f>IFERROR(__xludf.DUMMYFUNCTION("""COMPUTED_VALUE"""),"RODRIGUEZ SALDARRIAGA, SOFIA")</f>
        <v>RODRIGUEZ SALDARRIAGA, SOFIA</v>
      </c>
      <c r="D148" t="str">
        <f>IFERROR(__xludf.DUMMYFUNCTION("""COMPUTED_VALUE"""),"AP Seminar")</f>
        <v>AP Seminar</v>
      </c>
      <c r="E148" s="3">
        <f>IFERROR(__xludf.DUMMYFUNCTION("""COMPUTED_VALUE"""),1.0)</f>
        <v>1</v>
      </c>
      <c r="F148" s="300">
        <v>1.0</v>
      </c>
      <c r="G148" s="300">
        <v>1.0</v>
      </c>
      <c r="H148" s="300">
        <v>1.0</v>
      </c>
      <c r="I148" s="300">
        <v>1.0</v>
      </c>
      <c r="J148" s="300">
        <v>1.0</v>
      </c>
      <c r="K148" s="300">
        <v>1.0</v>
      </c>
      <c r="L148" s="300">
        <v>1.0</v>
      </c>
      <c r="M148" s="300">
        <v>1.0</v>
      </c>
      <c r="N148" s="300">
        <v>8.0</v>
      </c>
      <c r="O148" s="300" t="s">
        <v>788</v>
      </c>
      <c r="P148" s="300">
        <v>3.0</v>
      </c>
    </row>
    <row r="149">
      <c r="A149">
        <f>IFERROR(__xludf.DUMMYFUNCTION("""COMPUTED_VALUE"""),10.0)</f>
        <v>10</v>
      </c>
      <c r="B149" s="406">
        <f>IFERROR(__xludf.DUMMYFUNCTION("""COMPUTED_VALUE"""),28097.0)</f>
        <v>28097</v>
      </c>
      <c r="C149" t="str">
        <f>IFERROR(__xludf.DUMMYFUNCTION("""COMPUTED_VALUE"""),"RINCON URIBE, CAMILA")</f>
        <v>RINCON URIBE, CAMILA</v>
      </c>
      <c r="D149" t="str">
        <f>IFERROR(__xludf.DUMMYFUNCTION("""COMPUTED_VALUE"""),"AP Seminar")</f>
        <v>AP Seminar</v>
      </c>
      <c r="E149" s="3">
        <f>IFERROR(__xludf.DUMMYFUNCTION("""COMPUTED_VALUE"""),5.0)</f>
        <v>5</v>
      </c>
      <c r="F149" s="300">
        <v>1.0</v>
      </c>
      <c r="G149" s="300">
        <v>1.0</v>
      </c>
      <c r="H149" s="300">
        <v>1.0</v>
      </c>
      <c r="I149" s="300">
        <v>1.0</v>
      </c>
      <c r="J149" s="300">
        <v>1.0</v>
      </c>
      <c r="K149" s="300">
        <v>1.0</v>
      </c>
      <c r="L149" s="300">
        <v>1.0</v>
      </c>
      <c r="M149" s="300">
        <v>1.0</v>
      </c>
      <c r="N149" s="300">
        <v>8.0</v>
      </c>
      <c r="O149" s="300" t="s">
        <v>791</v>
      </c>
      <c r="P149" s="300">
        <v>3.0</v>
      </c>
    </row>
    <row r="150">
      <c r="A150">
        <f>IFERROR(__xludf.DUMMYFUNCTION("""COMPUTED_VALUE"""),10.0)</f>
        <v>10</v>
      </c>
      <c r="B150" s="406">
        <f>IFERROR(__xludf.DUMMYFUNCTION("""COMPUTED_VALUE"""),28053.0)</f>
        <v>28053</v>
      </c>
      <c r="C150" t="str">
        <f>IFERROR(__xludf.DUMMYFUNCTION("""COMPUTED_VALUE"""),"LOPERA VILLA, ELENA")</f>
        <v>LOPERA VILLA, ELENA</v>
      </c>
      <c r="D150" t="str">
        <f>IFERROR(__xludf.DUMMYFUNCTION("""COMPUTED_VALUE"""),"AP Seminar")</f>
        <v>AP Seminar</v>
      </c>
      <c r="E150" s="3">
        <f>IFERROR(__xludf.DUMMYFUNCTION("""COMPUTED_VALUE"""),6.0)</f>
        <v>6</v>
      </c>
      <c r="F150" s="300">
        <v>1.0</v>
      </c>
      <c r="G150" s="300">
        <v>1.0</v>
      </c>
      <c r="H150" s="300">
        <v>1.0</v>
      </c>
      <c r="I150" s="300">
        <v>1.0</v>
      </c>
      <c r="J150" s="300">
        <v>1.0</v>
      </c>
      <c r="K150" s="300">
        <v>1.0</v>
      </c>
      <c r="L150" s="300">
        <v>1.0</v>
      </c>
      <c r="M150" s="300">
        <v>1.0</v>
      </c>
      <c r="N150" s="300">
        <v>8.0</v>
      </c>
      <c r="O150" s="300" t="s">
        <v>789</v>
      </c>
      <c r="P150" s="300">
        <v>3.0</v>
      </c>
    </row>
    <row r="151">
      <c r="A151">
        <f>IFERROR(__xludf.DUMMYFUNCTION("""COMPUTED_VALUE"""),10.0)</f>
        <v>10</v>
      </c>
      <c r="B151" s="406">
        <f>IFERROR(__xludf.DUMMYFUNCTION("""COMPUTED_VALUE"""),28090.0)</f>
        <v>28090</v>
      </c>
      <c r="C151" t="str">
        <f>IFERROR(__xludf.DUMMYFUNCTION("""COMPUTED_VALUE"""),"REINOSO TRUJILLO, TOMAS")</f>
        <v>REINOSO TRUJILLO, TOMAS</v>
      </c>
      <c r="D151" t="str">
        <f>IFERROR(__xludf.DUMMYFUNCTION("""COMPUTED_VALUE"""),"AP Seminar")</f>
        <v>AP Seminar</v>
      </c>
      <c r="E151" s="3">
        <f>IFERROR(__xludf.DUMMYFUNCTION("""COMPUTED_VALUE"""),6.0)</f>
        <v>6</v>
      </c>
      <c r="F151" s="300">
        <v>1.0</v>
      </c>
      <c r="G151" s="300">
        <v>1.0</v>
      </c>
      <c r="H151" s="300">
        <v>1.0</v>
      </c>
      <c r="I151" s="300">
        <v>1.0</v>
      </c>
      <c r="J151" s="300">
        <v>1.0</v>
      </c>
      <c r="K151" s="300">
        <v>1.0</v>
      </c>
      <c r="L151" s="300">
        <v>1.0</v>
      </c>
      <c r="M151" s="300">
        <v>1.0</v>
      </c>
      <c r="N151" s="300">
        <v>8.0</v>
      </c>
      <c r="O151" s="300" t="s">
        <v>789</v>
      </c>
      <c r="P151" s="300">
        <v>3.0</v>
      </c>
    </row>
    <row r="152">
      <c r="A152">
        <f>IFERROR(__xludf.DUMMYFUNCTION("""COMPUTED_VALUE"""),10.0)</f>
        <v>10</v>
      </c>
      <c r="B152" s="406">
        <f>IFERROR(__xludf.DUMMYFUNCTION("""COMPUTED_VALUE"""),28050.0)</f>
        <v>28050</v>
      </c>
      <c r="C152" t="str">
        <f>IFERROR(__xludf.DUMMYFUNCTION("""COMPUTED_VALUE"""),"JARAMILLO FERNANDEZ, EMILIO")</f>
        <v>JARAMILLO FERNANDEZ, EMILIO</v>
      </c>
      <c r="D152" t="str">
        <f>IFERROR(__xludf.DUMMYFUNCTION("""COMPUTED_VALUE"""),"AP Seminar")</f>
        <v>AP Seminar</v>
      </c>
      <c r="E152" s="3">
        <f>IFERROR(__xludf.DUMMYFUNCTION("""COMPUTED_VALUE"""),1.0)</f>
        <v>1</v>
      </c>
      <c r="F152" s="300">
        <v>1.0</v>
      </c>
      <c r="G152" s="300">
        <v>1.0</v>
      </c>
      <c r="H152" s="300">
        <v>1.0</v>
      </c>
      <c r="I152" s="300">
        <v>1.0</v>
      </c>
      <c r="J152" s="300">
        <v>1.0</v>
      </c>
      <c r="K152" s="300">
        <v>1.0</v>
      </c>
      <c r="L152" s="300">
        <v>1.0</v>
      </c>
      <c r="M152" s="300">
        <v>1.0</v>
      </c>
      <c r="N152" s="300">
        <v>8.0</v>
      </c>
      <c r="O152" s="300" t="s">
        <v>788</v>
      </c>
      <c r="P152" s="300">
        <v>3.0</v>
      </c>
    </row>
    <row r="153">
      <c r="A153">
        <f>IFERROR(__xludf.DUMMYFUNCTION("""COMPUTED_VALUE"""),10.0)</f>
        <v>10</v>
      </c>
      <c r="B153" s="406">
        <f>IFERROR(__xludf.DUMMYFUNCTION("""COMPUTED_VALUE"""),28031.0)</f>
        <v>28031</v>
      </c>
      <c r="C153" t="str">
        <f>IFERROR(__xludf.DUMMYFUNCTION("""COMPUTED_VALUE"""),"GALLEGO CUARTAS, NICOLAS")</f>
        <v>GALLEGO CUARTAS, NICOLAS</v>
      </c>
      <c r="D153" t="str">
        <f>IFERROR(__xludf.DUMMYFUNCTION("""COMPUTED_VALUE"""),"English 10")</f>
        <v>English 10</v>
      </c>
      <c r="E153" s="3">
        <f>IFERROR(__xludf.DUMMYFUNCTION("""COMPUTED_VALUE"""),2.0)</f>
        <v>2</v>
      </c>
      <c r="F153" s="300">
        <v>1.0</v>
      </c>
      <c r="G153" s="300">
        <v>1.0</v>
      </c>
      <c r="H153" s="300">
        <v>1.0</v>
      </c>
      <c r="I153" s="300">
        <v>1.0</v>
      </c>
      <c r="J153" s="300">
        <v>1.0</v>
      </c>
      <c r="K153" s="300">
        <v>1.0</v>
      </c>
      <c r="L153" s="300">
        <v>1.0</v>
      </c>
      <c r="M153" s="300">
        <v>1.0</v>
      </c>
      <c r="N153" s="300">
        <v>8.0</v>
      </c>
      <c r="O153" s="300" t="s">
        <v>792</v>
      </c>
      <c r="P153" s="300">
        <v>3.0</v>
      </c>
    </row>
    <row r="154">
      <c r="A154">
        <f>IFERROR(__xludf.DUMMYFUNCTION("""COMPUTED_VALUE"""),10.0)</f>
        <v>10</v>
      </c>
      <c r="B154" s="406">
        <f>IFERROR(__xludf.DUMMYFUNCTION("""COMPUTED_VALUE"""),28162.0)</f>
        <v>28162</v>
      </c>
      <c r="C154" t="str">
        <f>IFERROR(__xludf.DUMMYFUNCTION("""COMPUTED_VALUE"""),"OSPINA BENEDETI, AGUSTIN")</f>
        <v>OSPINA BENEDETI, AGUSTIN</v>
      </c>
      <c r="D154" t="str">
        <f>IFERROR(__xludf.DUMMYFUNCTION("""COMPUTED_VALUE"""),"English 10")</f>
        <v>English 10</v>
      </c>
      <c r="E154" s="3">
        <f>IFERROR(__xludf.DUMMYFUNCTION("""COMPUTED_VALUE"""),8.0)</f>
        <v>8</v>
      </c>
      <c r="F154" s="300">
        <v>1.0</v>
      </c>
      <c r="G154" s="300">
        <v>1.0</v>
      </c>
      <c r="H154" s="300">
        <v>1.0</v>
      </c>
      <c r="I154" s="300">
        <v>1.0</v>
      </c>
      <c r="J154" s="300">
        <v>1.0</v>
      </c>
      <c r="K154" s="300">
        <v>1.0</v>
      </c>
      <c r="L154" s="300">
        <v>1.0</v>
      </c>
      <c r="M154" s="300">
        <v>1.0</v>
      </c>
      <c r="N154" s="300">
        <v>8.0</v>
      </c>
      <c r="O154" s="300" t="s">
        <v>793</v>
      </c>
      <c r="P154" s="300">
        <v>3.0</v>
      </c>
    </row>
    <row r="155">
      <c r="A155">
        <f>IFERROR(__xludf.DUMMYFUNCTION("""COMPUTED_VALUE"""),10.0)</f>
        <v>10</v>
      </c>
      <c r="B155" s="406">
        <f>IFERROR(__xludf.DUMMYFUNCTION("""COMPUTED_VALUE"""),28121.0)</f>
        <v>28121</v>
      </c>
      <c r="C155" t="str">
        <f>IFERROR(__xludf.DUMMYFUNCTION("""COMPUTED_VALUE"""),"MC LEAN HIDRON, LUCAS")</f>
        <v>MC LEAN HIDRON, LUCAS</v>
      </c>
      <c r="D155" t="str">
        <f>IFERROR(__xludf.DUMMYFUNCTION("""COMPUTED_VALUE"""),"AP Seminar")</f>
        <v>AP Seminar</v>
      </c>
      <c r="E155" s="3">
        <f>IFERROR(__xludf.DUMMYFUNCTION("""COMPUTED_VALUE"""),1.0)</f>
        <v>1</v>
      </c>
      <c r="F155" s="300">
        <v>1.0</v>
      </c>
      <c r="G155" s="300">
        <v>1.0</v>
      </c>
      <c r="H155" s="300">
        <v>1.0</v>
      </c>
      <c r="I155" s="300">
        <v>1.0</v>
      </c>
      <c r="J155" s="300">
        <v>1.0</v>
      </c>
      <c r="K155" s="300">
        <v>1.0</v>
      </c>
      <c r="L155" s="300">
        <v>1.0</v>
      </c>
      <c r="M155" s="300">
        <v>1.0</v>
      </c>
      <c r="N155" s="300">
        <v>8.0</v>
      </c>
      <c r="O155" s="300" t="s">
        <v>788</v>
      </c>
      <c r="P155" s="300">
        <v>3.0</v>
      </c>
    </row>
    <row r="156">
      <c r="A156">
        <f>IFERROR(__xludf.DUMMYFUNCTION("""COMPUTED_VALUE"""),10.0)</f>
        <v>10</v>
      </c>
      <c r="B156" s="406">
        <f>IFERROR(__xludf.DUMMYFUNCTION("""COMPUTED_VALUE"""),28016.0)</f>
        <v>28016</v>
      </c>
      <c r="C156" t="str">
        <f>IFERROR(__xludf.DUMMYFUNCTION("""COMPUTED_VALUE"""),"BOTERO CASTAÑEDA, CARMEN")</f>
        <v>BOTERO CASTAÑEDA, CARMEN</v>
      </c>
      <c r="D156" t="str">
        <f>IFERROR(__xludf.DUMMYFUNCTION("""COMPUTED_VALUE"""),"AP Seminar")</f>
        <v>AP Seminar</v>
      </c>
      <c r="E156" s="3">
        <f>IFERROR(__xludf.DUMMYFUNCTION("""COMPUTED_VALUE"""),5.0)</f>
        <v>5</v>
      </c>
      <c r="F156" s="300">
        <v>1.0</v>
      </c>
      <c r="G156" s="300">
        <v>1.0</v>
      </c>
      <c r="H156" s="300">
        <v>1.0</v>
      </c>
      <c r="I156" s="300">
        <v>1.0</v>
      </c>
      <c r="J156" s="300">
        <v>1.0</v>
      </c>
      <c r="K156" s="300">
        <v>1.0</v>
      </c>
      <c r="L156" s="300">
        <v>1.0</v>
      </c>
      <c r="M156" s="300">
        <v>1.0</v>
      </c>
      <c r="N156" s="300">
        <v>8.0</v>
      </c>
      <c r="O156" s="300" t="s">
        <v>791</v>
      </c>
      <c r="P156" s="300">
        <v>3.0</v>
      </c>
    </row>
    <row r="157">
      <c r="A157">
        <f>IFERROR(__xludf.DUMMYFUNCTION("""COMPUTED_VALUE"""),10.0)</f>
        <v>10</v>
      </c>
      <c r="B157" s="406">
        <f>IFERROR(__xludf.DUMMYFUNCTION("""COMPUTED_VALUE"""),28170.0)</f>
        <v>28170</v>
      </c>
      <c r="C157" t="str">
        <f>IFERROR(__xludf.DUMMYFUNCTION("""COMPUTED_VALUE"""),"GOMEZ AMADOR, EMMA")</f>
        <v>GOMEZ AMADOR, EMMA</v>
      </c>
      <c r="D157" t="str">
        <f>IFERROR(__xludf.DUMMYFUNCTION("""COMPUTED_VALUE"""),"AP Seminar")</f>
        <v>AP Seminar</v>
      </c>
      <c r="E157" s="3">
        <f>IFERROR(__xludf.DUMMYFUNCTION("""COMPUTED_VALUE"""),6.0)</f>
        <v>6</v>
      </c>
      <c r="F157" s="300">
        <v>1.0</v>
      </c>
      <c r="G157" s="300">
        <v>1.0</v>
      </c>
      <c r="H157" s="300">
        <v>1.0</v>
      </c>
      <c r="I157" s="300">
        <v>1.0</v>
      </c>
      <c r="J157" s="300">
        <v>1.0</v>
      </c>
      <c r="K157" s="300">
        <v>1.0</v>
      </c>
      <c r="L157" s="300">
        <v>1.0</v>
      </c>
      <c r="M157" s="300">
        <v>1.0</v>
      </c>
      <c r="N157" s="300">
        <v>8.0</v>
      </c>
      <c r="O157" s="300" t="s">
        <v>789</v>
      </c>
      <c r="P157" s="300">
        <v>3.0</v>
      </c>
    </row>
    <row r="158">
      <c r="A158">
        <f>IFERROR(__xludf.DUMMYFUNCTION("""COMPUTED_VALUE"""),10.0)</f>
        <v>10</v>
      </c>
      <c r="B158" s="406">
        <f>IFERROR(__xludf.DUMMYFUNCTION("""COMPUTED_VALUE"""),28054.0)</f>
        <v>28054</v>
      </c>
      <c r="C158" t="str">
        <f>IFERROR(__xludf.DUMMYFUNCTION("""COMPUTED_VALUE"""),"LOPEZ ESCOBAR, CLEMENTE")</f>
        <v>LOPEZ ESCOBAR, CLEMENTE</v>
      </c>
      <c r="D158" t="str">
        <f>IFERROR(__xludf.DUMMYFUNCTION("""COMPUTED_VALUE"""),"AP Seminar")</f>
        <v>AP Seminar</v>
      </c>
      <c r="E158" s="3">
        <f>IFERROR(__xludf.DUMMYFUNCTION("""COMPUTED_VALUE"""),5.0)</f>
        <v>5</v>
      </c>
      <c r="F158" s="300">
        <v>1.0</v>
      </c>
      <c r="G158" s="300">
        <v>1.0</v>
      </c>
      <c r="H158" s="300">
        <v>1.0</v>
      </c>
      <c r="I158" s="300">
        <v>1.0</v>
      </c>
      <c r="J158" s="300">
        <v>1.0</v>
      </c>
      <c r="K158" s="300">
        <v>1.0</v>
      </c>
      <c r="L158" s="300">
        <v>1.0</v>
      </c>
      <c r="M158" s="300">
        <v>1.0</v>
      </c>
      <c r="N158" s="300">
        <v>8.0</v>
      </c>
      <c r="O158" s="300" t="s">
        <v>791</v>
      </c>
      <c r="P158" s="300">
        <v>3.0</v>
      </c>
    </row>
    <row r="159">
      <c r="A159">
        <f>IFERROR(__xludf.DUMMYFUNCTION("""COMPUTED_VALUE"""),10.0)</f>
        <v>10</v>
      </c>
      <c r="B159" s="406">
        <f>IFERROR(__xludf.DUMMYFUNCTION("""COMPUTED_VALUE"""),28003.0)</f>
        <v>28003</v>
      </c>
      <c r="C159" t="str">
        <f>IFERROR(__xludf.DUMMYFUNCTION("""COMPUTED_VALUE"""),"ARANGO DUQUE, TOMAS")</f>
        <v>ARANGO DUQUE, TOMAS</v>
      </c>
      <c r="D159" t="str">
        <f>IFERROR(__xludf.DUMMYFUNCTION("""COMPUTED_VALUE"""),"AP Seminar")</f>
        <v>AP Seminar</v>
      </c>
      <c r="E159" s="3">
        <f>IFERROR(__xludf.DUMMYFUNCTION("""COMPUTED_VALUE"""),5.0)</f>
        <v>5</v>
      </c>
      <c r="F159" s="300">
        <v>1.0</v>
      </c>
      <c r="G159" s="300">
        <v>1.0</v>
      </c>
      <c r="H159" s="300">
        <v>1.0</v>
      </c>
      <c r="I159" s="300">
        <v>1.0</v>
      </c>
      <c r="J159" s="300">
        <v>1.0</v>
      </c>
      <c r="K159" s="300">
        <v>1.0</v>
      </c>
      <c r="L159" s="300">
        <v>1.0</v>
      </c>
      <c r="M159" s="300">
        <v>1.0</v>
      </c>
      <c r="N159" s="300">
        <v>8.0</v>
      </c>
      <c r="O159" s="300" t="s">
        <v>791</v>
      </c>
      <c r="P159" s="300">
        <v>3.0</v>
      </c>
    </row>
    <row r="160">
      <c r="A160">
        <f>IFERROR(__xludf.DUMMYFUNCTION("""COMPUTED_VALUE"""),10.0)</f>
        <v>10</v>
      </c>
      <c r="B160" s="406">
        <f>IFERROR(__xludf.DUMMYFUNCTION("""COMPUTED_VALUE"""),28103.0)</f>
        <v>28103</v>
      </c>
      <c r="C160" t="str">
        <f>IFERROR(__xludf.DUMMYFUNCTION("""COMPUTED_VALUE"""),"SANIN VELASQUEZ, ISRAEL")</f>
        <v>SANIN VELASQUEZ, ISRAEL</v>
      </c>
      <c r="D160" t="str">
        <f>IFERROR(__xludf.DUMMYFUNCTION("""COMPUTED_VALUE"""),"AP Seminar")</f>
        <v>AP Seminar</v>
      </c>
      <c r="E160" s="3">
        <f>IFERROR(__xludf.DUMMYFUNCTION("""COMPUTED_VALUE"""),5.0)</f>
        <v>5</v>
      </c>
      <c r="F160" s="300">
        <v>1.0</v>
      </c>
      <c r="G160" s="300">
        <v>1.0</v>
      </c>
      <c r="H160" s="300">
        <v>1.0</v>
      </c>
      <c r="I160" s="300">
        <v>1.0</v>
      </c>
      <c r="J160" s="300">
        <v>1.0</v>
      </c>
      <c r="K160" s="300">
        <v>1.0</v>
      </c>
      <c r="L160" s="300">
        <v>1.0</v>
      </c>
      <c r="M160" s="300">
        <v>1.0</v>
      </c>
      <c r="N160" s="300">
        <v>8.0</v>
      </c>
      <c r="O160" s="300" t="s">
        <v>791</v>
      </c>
      <c r="P160" s="300">
        <v>3.0</v>
      </c>
    </row>
    <row r="161">
      <c r="A161">
        <f>IFERROR(__xludf.DUMMYFUNCTION("""COMPUTED_VALUE"""),10.0)</f>
        <v>10</v>
      </c>
      <c r="B161" s="406">
        <f>IFERROR(__xludf.DUMMYFUNCTION("""COMPUTED_VALUE"""),28163.0)</f>
        <v>28163</v>
      </c>
      <c r="C161" t="str">
        <f>IFERROR(__xludf.DUMMYFUNCTION("""COMPUTED_VALUE"""),"GARCIA VALENCIA, EMILIO")</f>
        <v>GARCIA VALENCIA, EMILIO</v>
      </c>
      <c r="D161" t="str">
        <f>IFERROR(__xludf.DUMMYFUNCTION("""COMPUTED_VALUE"""),"English 10")</f>
        <v>English 10</v>
      </c>
      <c r="E161" s="3">
        <f>IFERROR(__xludf.DUMMYFUNCTION("""COMPUTED_VALUE"""),2.0)</f>
        <v>2</v>
      </c>
      <c r="F161" s="300">
        <v>1.0</v>
      </c>
      <c r="G161" s="300">
        <v>1.0</v>
      </c>
      <c r="H161" s="300">
        <v>1.0</v>
      </c>
      <c r="I161" s="300">
        <v>1.0</v>
      </c>
      <c r="J161" s="300">
        <v>1.0</v>
      </c>
      <c r="K161" s="300">
        <v>1.0</v>
      </c>
      <c r="L161" s="300">
        <v>1.0</v>
      </c>
      <c r="M161" s="300">
        <v>1.0</v>
      </c>
      <c r="N161" s="300">
        <v>8.0</v>
      </c>
      <c r="O161" s="300" t="s">
        <v>792</v>
      </c>
      <c r="P161" s="300">
        <v>3.0</v>
      </c>
    </row>
    <row r="162">
      <c r="A162">
        <f>IFERROR(__xludf.DUMMYFUNCTION("""COMPUTED_VALUE"""),10.0)</f>
        <v>10</v>
      </c>
      <c r="B162" s="406">
        <f>IFERROR(__xludf.DUMMYFUNCTION("""COMPUTED_VALUE"""),28074.0)</f>
        <v>28074</v>
      </c>
      <c r="C162" t="str">
        <f>IFERROR(__xludf.DUMMYFUNCTION("""COMPUTED_VALUE"""),"NAVARRO VILLA, JUAN MARTIN")</f>
        <v>NAVARRO VILLA, JUAN MARTIN</v>
      </c>
      <c r="D162" t="str">
        <f>IFERROR(__xludf.DUMMYFUNCTION("""COMPUTED_VALUE"""),"English 10")</f>
        <v>English 10</v>
      </c>
      <c r="E162" s="3">
        <f>IFERROR(__xludf.DUMMYFUNCTION("""COMPUTED_VALUE"""),5.0)</f>
        <v>5</v>
      </c>
      <c r="F162" s="300">
        <v>1.0</v>
      </c>
      <c r="G162" s="300">
        <v>1.0</v>
      </c>
      <c r="H162" s="300">
        <v>1.0</v>
      </c>
      <c r="I162" s="300">
        <v>1.0</v>
      </c>
      <c r="J162" s="300">
        <v>1.0</v>
      </c>
      <c r="K162" s="300">
        <v>1.0</v>
      </c>
      <c r="L162" s="300">
        <v>1.0</v>
      </c>
      <c r="M162" s="300">
        <v>1.0</v>
      </c>
      <c r="N162" s="300">
        <v>8.0</v>
      </c>
      <c r="O162" s="300" t="s">
        <v>790</v>
      </c>
      <c r="P162" s="300">
        <v>3.0</v>
      </c>
    </row>
    <row r="163">
      <c r="A163">
        <f>IFERROR(__xludf.DUMMYFUNCTION("""COMPUTED_VALUE"""),10.0)</f>
        <v>10</v>
      </c>
      <c r="B163" s="406">
        <f>IFERROR(__xludf.DUMMYFUNCTION("""COMPUTED_VALUE"""),28173.0)</f>
        <v>28173</v>
      </c>
      <c r="C163" t="str">
        <f>IFERROR(__xludf.DUMMYFUNCTION("""COMPUTED_VALUE"""),"RUIZ RAMIREZ, JACOBO")</f>
        <v>RUIZ RAMIREZ, JACOBO</v>
      </c>
      <c r="D163" t="str">
        <f>IFERROR(__xludf.DUMMYFUNCTION("""COMPUTED_VALUE"""),"English 10")</f>
        <v>English 10</v>
      </c>
      <c r="E163" s="3">
        <f>IFERROR(__xludf.DUMMYFUNCTION("""COMPUTED_VALUE"""),2.0)</f>
        <v>2</v>
      </c>
      <c r="F163" s="300">
        <v>1.0</v>
      </c>
      <c r="G163" s="300">
        <v>1.0</v>
      </c>
      <c r="H163" s="300">
        <v>1.0</v>
      </c>
      <c r="I163" s="300">
        <v>1.0</v>
      </c>
      <c r="J163" s="300">
        <v>1.0</v>
      </c>
      <c r="K163" s="300">
        <v>1.0</v>
      </c>
      <c r="L163" s="300">
        <v>1.0</v>
      </c>
      <c r="M163" s="300">
        <v>1.0</v>
      </c>
      <c r="N163" s="300">
        <v>8.0</v>
      </c>
      <c r="O163" s="300" t="s">
        <v>792</v>
      </c>
      <c r="P163" s="300">
        <v>3.0</v>
      </c>
    </row>
    <row r="164">
      <c r="A164">
        <f>IFERROR(__xludf.DUMMYFUNCTION("""COMPUTED_VALUE"""),10.0)</f>
        <v>10</v>
      </c>
      <c r="B164" s="406">
        <f>IFERROR(__xludf.DUMMYFUNCTION("""COMPUTED_VALUE"""),28159.0)</f>
        <v>28159</v>
      </c>
      <c r="C164" t="str">
        <f>IFERROR(__xludf.DUMMYFUNCTION("""COMPUTED_VALUE"""),"OROZCO RINCON, JUAN SEBASTIAN")</f>
        <v>OROZCO RINCON, JUAN SEBASTIAN</v>
      </c>
      <c r="D164" t="str">
        <f>IFERROR(__xludf.DUMMYFUNCTION("""COMPUTED_VALUE"""),"AP Seminar")</f>
        <v>AP Seminar</v>
      </c>
      <c r="E164" s="3">
        <f>IFERROR(__xludf.DUMMYFUNCTION("""COMPUTED_VALUE"""),1.0)</f>
        <v>1</v>
      </c>
      <c r="F164" s="300">
        <v>1.0</v>
      </c>
      <c r="G164" s="300">
        <v>1.0</v>
      </c>
      <c r="H164" s="300">
        <v>1.0</v>
      </c>
      <c r="I164" s="300">
        <v>1.0</v>
      </c>
      <c r="J164" s="300">
        <v>1.0</v>
      </c>
      <c r="K164" s="300">
        <v>1.0</v>
      </c>
      <c r="L164" s="300">
        <v>1.0</v>
      </c>
      <c r="M164" s="300">
        <v>1.0</v>
      </c>
      <c r="N164" s="300">
        <v>8.0</v>
      </c>
      <c r="O164" s="300" t="s">
        <v>788</v>
      </c>
      <c r="P164" s="300">
        <v>3.0</v>
      </c>
    </row>
    <row r="165">
      <c r="A165">
        <f>IFERROR(__xludf.DUMMYFUNCTION("""COMPUTED_VALUE"""),10.0)</f>
        <v>10</v>
      </c>
      <c r="B165" s="406">
        <f>IFERROR(__xludf.DUMMYFUNCTION("""COMPUTED_VALUE"""),28063.0)</f>
        <v>28063</v>
      </c>
      <c r="C165" t="str">
        <f>IFERROR(__xludf.DUMMYFUNCTION("""COMPUTED_VALUE"""),"MEJIA GONZALEZ, ISMAEL IGNACIO")</f>
        <v>MEJIA GONZALEZ, ISMAEL IGNACIO</v>
      </c>
      <c r="D165" t="str">
        <f>IFERROR(__xludf.DUMMYFUNCTION("""COMPUTED_VALUE"""),"AP Seminar")</f>
        <v>AP Seminar</v>
      </c>
      <c r="E165" s="3">
        <f>IFERROR(__xludf.DUMMYFUNCTION("""COMPUTED_VALUE"""),5.0)</f>
        <v>5</v>
      </c>
      <c r="F165" s="300">
        <v>1.0</v>
      </c>
      <c r="G165" s="300">
        <v>1.0</v>
      </c>
      <c r="H165" s="300">
        <v>1.0</v>
      </c>
      <c r="I165" s="300">
        <v>1.0</v>
      </c>
      <c r="J165" s="300">
        <v>1.0</v>
      </c>
      <c r="K165" s="300">
        <v>1.0</v>
      </c>
      <c r="L165" s="300">
        <v>1.0</v>
      </c>
      <c r="M165" s="300">
        <v>1.0</v>
      </c>
      <c r="N165" s="300">
        <v>8.0</v>
      </c>
      <c r="O165" s="300" t="s">
        <v>791</v>
      </c>
      <c r="P165" s="300">
        <v>3.0</v>
      </c>
    </row>
    <row r="166">
      <c r="A166">
        <f>IFERROR(__xludf.DUMMYFUNCTION("""COMPUTED_VALUE"""),10.0)</f>
        <v>10</v>
      </c>
      <c r="B166" s="406">
        <f>IFERROR(__xludf.DUMMYFUNCTION("""COMPUTED_VALUE"""),28155.0)</f>
        <v>28155</v>
      </c>
      <c r="C166" t="str">
        <f>IFERROR(__xludf.DUMMYFUNCTION("""COMPUTED_VALUE"""),"URIBE CERON, MANUELA")</f>
        <v>URIBE CERON, MANUELA</v>
      </c>
      <c r="D166" t="str">
        <f>IFERROR(__xludf.DUMMYFUNCTION("""COMPUTED_VALUE"""),"AP Seminar")</f>
        <v>AP Seminar</v>
      </c>
      <c r="E166" s="3">
        <f>IFERROR(__xludf.DUMMYFUNCTION("""COMPUTED_VALUE"""),6.0)</f>
        <v>6</v>
      </c>
      <c r="F166" s="300">
        <v>1.0</v>
      </c>
      <c r="G166" s="300">
        <v>1.0</v>
      </c>
      <c r="H166" s="300">
        <v>1.0</v>
      </c>
      <c r="I166" s="300">
        <v>1.0</v>
      </c>
      <c r="J166" s="300">
        <v>1.0</v>
      </c>
      <c r="K166" s="300">
        <v>1.0</v>
      </c>
      <c r="L166" s="300">
        <v>1.0</v>
      </c>
      <c r="M166" s="300">
        <v>1.0</v>
      </c>
      <c r="N166" s="300">
        <v>8.0</v>
      </c>
      <c r="O166" s="300" t="s">
        <v>789</v>
      </c>
      <c r="P166" s="300">
        <v>3.0</v>
      </c>
    </row>
    <row r="167">
      <c r="A167">
        <f>IFERROR(__xludf.DUMMYFUNCTION("""COMPUTED_VALUE"""),10.0)</f>
        <v>10</v>
      </c>
      <c r="B167" s="406">
        <f>IFERROR(__xludf.DUMMYFUNCTION("""COMPUTED_VALUE"""),28109.0)</f>
        <v>28109</v>
      </c>
      <c r="C167" t="str">
        <f>IFERROR(__xludf.DUMMYFUNCTION("""COMPUTED_VALUE"""),"TRUJILLO VELEZ, MARIANA")</f>
        <v>TRUJILLO VELEZ, MARIANA</v>
      </c>
      <c r="D167" t="str">
        <f>IFERROR(__xludf.DUMMYFUNCTION("""COMPUTED_VALUE"""),"English 10")</f>
        <v>English 10</v>
      </c>
      <c r="E167" s="3">
        <f>IFERROR(__xludf.DUMMYFUNCTION("""COMPUTED_VALUE"""),5.0)</f>
        <v>5</v>
      </c>
      <c r="F167" s="300">
        <v>1.0</v>
      </c>
      <c r="G167" s="300">
        <v>1.0</v>
      </c>
      <c r="H167" s="300">
        <v>1.0</v>
      </c>
      <c r="I167" s="300">
        <v>1.0</v>
      </c>
      <c r="J167" s="300">
        <v>1.0</v>
      </c>
      <c r="K167" s="300">
        <v>1.0</v>
      </c>
      <c r="L167" s="300">
        <v>1.0</v>
      </c>
      <c r="M167" s="300">
        <v>1.0</v>
      </c>
      <c r="N167" s="300">
        <v>8.0</v>
      </c>
      <c r="O167" s="300" t="s">
        <v>790</v>
      </c>
      <c r="P167" s="300">
        <v>3.0</v>
      </c>
    </row>
    <row r="168">
      <c r="A168">
        <f>IFERROR(__xludf.DUMMYFUNCTION("""COMPUTED_VALUE"""),10.0)</f>
        <v>10</v>
      </c>
      <c r="B168" s="406">
        <f>IFERROR(__xludf.DUMMYFUNCTION("""COMPUTED_VALUE"""),28108.0)</f>
        <v>28108</v>
      </c>
      <c r="C168" t="str">
        <f>IFERROR(__xludf.DUMMYFUNCTION("""COMPUTED_VALUE"""),"TRUJILLO SOTO, SUSANA")</f>
        <v>TRUJILLO SOTO, SUSANA</v>
      </c>
      <c r="D168" t="str">
        <f>IFERROR(__xludf.DUMMYFUNCTION("""COMPUTED_VALUE"""),"English 10")</f>
        <v>English 10</v>
      </c>
      <c r="E168" s="3">
        <f>IFERROR(__xludf.DUMMYFUNCTION("""COMPUTED_VALUE"""),8.0)</f>
        <v>8</v>
      </c>
      <c r="F168" s="300">
        <v>1.0</v>
      </c>
      <c r="G168" s="300">
        <v>1.0</v>
      </c>
      <c r="H168" s="300">
        <v>1.0</v>
      </c>
      <c r="I168" s="300">
        <v>1.0</v>
      </c>
      <c r="J168" s="300">
        <v>1.0</v>
      </c>
      <c r="K168" s="300">
        <v>1.0</v>
      </c>
      <c r="L168" s="300">
        <v>1.0</v>
      </c>
      <c r="M168" s="300">
        <v>1.0</v>
      </c>
      <c r="N168" s="300">
        <v>8.0</v>
      </c>
      <c r="O168" s="300" t="s">
        <v>793</v>
      </c>
      <c r="P168" s="300">
        <v>3.0</v>
      </c>
    </row>
    <row r="169">
      <c r="A169">
        <f>IFERROR(__xludf.DUMMYFUNCTION("""COMPUTED_VALUE"""),10.0)</f>
        <v>10</v>
      </c>
      <c r="B169" s="406">
        <f>IFERROR(__xludf.DUMMYFUNCTION("""COMPUTED_VALUE"""),27094.0)</f>
        <v>27094</v>
      </c>
      <c r="C169" t="str">
        <f>IFERROR(__xludf.DUMMYFUNCTION("""COMPUTED_VALUE"""),"RAMIREZ CORREA, TOMAS")</f>
        <v>RAMIREZ CORREA, TOMAS</v>
      </c>
      <c r="D169" t="str">
        <f>IFERROR(__xludf.DUMMYFUNCTION("""COMPUTED_VALUE"""),"English 10")</f>
        <v>English 10</v>
      </c>
      <c r="E169" s="3">
        <f>IFERROR(__xludf.DUMMYFUNCTION("""COMPUTED_VALUE"""),8.0)</f>
        <v>8</v>
      </c>
      <c r="F169" s="300">
        <v>1.0</v>
      </c>
      <c r="G169" s="300">
        <v>1.0</v>
      </c>
      <c r="H169" s="300">
        <v>1.0</v>
      </c>
      <c r="I169" s="300">
        <v>1.0</v>
      </c>
      <c r="J169" s="300">
        <v>1.0</v>
      </c>
      <c r="K169" s="300">
        <v>1.0</v>
      </c>
      <c r="L169" s="300">
        <v>1.0</v>
      </c>
      <c r="M169" s="300">
        <v>1.0</v>
      </c>
      <c r="N169" s="300">
        <v>8.0</v>
      </c>
      <c r="O169" s="300" t="s">
        <v>793</v>
      </c>
      <c r="P169" s="300">
        <v>3.0</v>
      </c>
    </row>
    <row r="170">
      <c r="A170">
        <f>IFERROR(__xludf.DUMMYFUNCTION("""COMPUTED_VALUE"""),10.0)</f>
        <v>10</v>
      </c>
      <c r="B170" s="406">
        <f>IFERROR(__xludf.DUMMYFUNCTION("""COMPUTED_VALUE"""),28171.0)</f>
        <v>28171</v>
      </c>
      <c r="C170" t="str">
        <f>IFERROR(__xludf.DUMMYFUNCTION("""COMPUTED_VALUE"""),"DE MUNCK MORTIER, JULIE")</f>
        <v>DE MUNCK MORTIER, JULIE</v>
      </c>
      <c r="D170" t="str">
        <f>IFERROR(__xludf.DUMMYFUNCTION("""COMPUTED_VALUE"""),"English 10")</f>
        <v>English 10</v>
      </c>
      <c r="E170" s="3">
        <f>IFERROR(__xludf.DUMMYFUNCTION("""COMPUTED_VALUE"""),5.0)</f>
        <v>5</v>
      </c>
      <c r="F170" s="300">
        <v>1.0</v>
      </c>
      <c r="G170" s="300">
        <v>1.0</v>
      </c>
      <c r="H170" s="300">
        <v>1.0</v>
      </c>
      <c r="I170" s="300">
        <v>1.0</v>
      </c>
      <c r="J170" s="300">
        <v>1.0</v>
      </c>
      <c r="K170" s="300">
        <v>1.0</v>
      </c>
      <c r="L170" s="300">
        <v>1.0</v>
      </c>
      <c r="M170" s="300">
        <v>1.0</v>
      </c>
      <c r="N170" s="300">
        <v>8.0</v>
      </c>
      <c r="O170" s="300" t="s">
        <v>790</v>
      </c>
      <c r="P170" s="300">
        <v>3.0</v>
      </c>
    </row>
    <row r="171">
      <c r="A171">
        <f>IFERROR(__xludf.DUMMYFUNCTION("""COMPUTED_VALUE"""),10.0)</f>
        <v>10</v>
      </c>
      <c r="B171" s="406">
        <f>IFERROR(__xludf.DUMMYFUNCTION("""COMPUTED_VALUE"""),28174.0)</f>
        <v>28174</v>
      </c>
      <c r="C171" t="str">
        <f>IFERROR(__xludf.DUMMYFUNCTION("""COMPUTED_VALUE"""),"SANCHEZ HAVARD, VANESA FAITH")</f>
        <v>SANCHEZ HAVARD, VANESA FAITH</v>
      </c>
      <c r="D171" t="str">
        <f>IFERROR(__xludf.DUMMYFUNCTION("""COMPUTED_VALUE"""),"AP English Language")</f>
        <v>AP English Language</v>
      </c>
      <c r="E171" s="3">
        <f>IFERROR(__xludf.DUMMYFUNCTION("""COMPUTED_VALUE"""),7.0)</f>
        <v>7</v>
      </c>
      <c r="F171" s="300">
        <v>1.0</v>
      </c>
      <c r="G171" s="300">
        <v>1.0</v>
      </c>
      <c r="H171" s="300">
        <v>1.0</v>
      </c>
      <c r="I171" s="300">
        <v>1.0</v>
      </c>
      <c r="J171" s="300">
        <v>1.0</v>
      </c>
      <c r="K171" s="300">
        <v>1.0</v>
      </c>
      <c r="L171" s="300">
        <v>1.0</v>
      </c>
      <c r="M171" s="300">
        <v>1.0</v>
      </c>
      <c r="N171" s="300">
        <v>8.0</v>
      </c>
      <c r="O171" s="300" t="s">
        <v>794</v>
      </c>
      <c r="P171" s="300">
        <v>2.0</v>
      </c>
    </row>
    <row r="172">
      <c r="A172">
        <f>IFERROR(__xludf.DUMMYFUNCTION("""COMPUTED_VALUE"""),10.0)</f>
        <v>10</v>
      </c>
      <c r="B172" s="406">
        <f>IFERROR(__xludf.DUMMYFUNCTION("""COMPUTED_VALUE"""),28158.0)</f>
        <v>28158</v>
      </c>
      <c r="C172" t="str">
        <f>IFERROR(__xludf.DUMMYFUNCTION("""COMPUTED_VALUE"""),"ZARRUK BELTRAN, MARTIN")</f>
        <v>ZARRUK BELTRAN, MARTIN</v>
      </c>
      <c r="D172" t="str">
        <f>IFERROR(__xludf.DUMMYFUNCTION("""COMPUTED_VALUE"""),"AP Seminar")</f>
        <v>AP Seminar</v>
      </c>
      <c r="E172" s="3">
        <f>IFERROR(__xludf.DUMMYFUNCTION("""COMPUTED_VALUE"""),1.0)</f>
        <v>1</v>
      </c>
      <c r="F172" s="300">
        <v>1.0</v>
      </c>
      <c r="G172" s="300">
        <v>1.0</v>
      </c>
      <c r="H172" s="300">
        <v>1.0</v>
      </c>
      <c r="I172" s="300">
        <v>1.0</v>
      </c>
      <c r="J172" s="300">
        <v>1.0</v>
      </c>
      <c r="K172" s="300">
        <v>1.0</v>
      </c>
      <c r="L172" s="300">
        <v>1.0</v>
      </c>
      <c r="M172" s="300">
        <v>1.0</v>
      </c>
      <c r="N172" s="300">
        <v>8.0</v>
      </c>
      <c r="O172" s="300" t="s">
        <v>788</v>
      </c>
      <c r="P172" s="300">
        <v>3.0</v>
      </c>
    </row>
    <row r="173">
      <c r="A173">
        <f>IFERROR(__xludf.DUMMYFUNCTION("""COMPUTED_VALUE"""),10.0)</f>
        <v>10</v>
      </c>
      <c r="B173" s="406">
        <f>IFERROR(__xludf.DUMMYFUNCTION("""COMPUTED_VALUE"""),28140.0)</f>
        <v>28140</v>
      </c>
      <c r="C173" t="str">
        <f>IFERROR(__xludf.DUMMYFUNCTION("""COMPUTED_VALUE"""),"ARISTIZABAL VILLEGAS, EMILIO")</f>
        <v>ARISTIZABAL VILLEGAS, EMILIO</v>
      </c>
      <c r="D173" t="str">
        <f>IFERROR(__xludf.DUMMYFUNCTION("""COMPUTED_VALUE"""),"English 10")</f>
        <v>English 10</v>
      </c>
      <c r="E173" s="3">
        <f>IFERROR(__xludf.DUMMYFUNCTION("""COMPUTED_VALUE"""),2.0)</f>
        <v>2</v>
      </c>
      <c r="F173" s="300">
        <v>1.0</v>
      </c>
      <c r="G173" s="300">
        <v>1.0</v>
      </c>
      <c r="H173" s="300">
        <v>1.0</v>
      </c>
      <c r="I173" s="300">
        <v>1.0</v>
      </c>
      <c r="J173" s="300">
        <v>1.0</v>
      </c>
      <c r="K173" s="300">
        <v>1.0</v>
      </c>
      <c r="L173" s="300">
        <v>1.0</v>
      </c>
      <c r="M173" s="300">
        <v>1.0</v>
      </c>
      <c r="N173" s="300">
        <v>8.0</v>
      </c>
      <c r="O173" s="300" t="s">
        <v>792</v>
      </c>
      <c r="P173" s="300">
        <v>3.0</v>
      </c>
    </row>
    <row r="174">
      <c r="A174">
        <f>IFERROR(__xludf.DUMMYFUNCTION("""COMPUTED_VALUE"""),10.0)</f>
        <v>10</v>
      </c>
      <c r="B174" s="406">
        <f>IFERROR(__xludf.DUMMYFUNCTION("""COMPUTED_VALUE"""),28020.0)</f>
        <v>28020</v>
      </c>
      <c r="C174" t="str">
        <f>IFERROR(__xludf.DUMMYFUNCTION("""COMPUTED_VALUE"""),"CADAVID RESTREPO, ANTONIO")</f>
        <v>CADAVID RESTREPO, ANTONIO</v>
      </c>
      <c r="D174" t="str">
        <f>IFERROR(__xludf.DUMMYFUNCTION("""COMPUTED_VALUE"""),"English 10")</f>
        <v>English 10</v>
      </c>
      <c r="E174" s="3">
        <f>IFERROR(__xludf.DUMMYFUNCTION("""COMPUTED_VALUE"""),8.0)</f>
        <v>8</v>
      </c>
      <c r="F174" s="300">
        <v>1.0</v>
      </c>
      <c r="G174" s="300">
        <v>1.0</v>
      </c>
      <c r="H174" s="300">
        <v>1.0</v>
      </c>
      <c r="I174" s="300">
        <v>1.0</v>
      </c>
      <c r="J174" s="300">
        <v>1.0</v>
      </c>
      <c r="K174" s="300">
        <v>1.0</v>
      </c>
      <c r="L174" s="300">
        <v>1.0</v>
      </c>
      <c r="M174" s="300">
        <v>1.0</v>
      </c>
      <c r="N174" s="300">
        <v>8.0</v>
      </c>
      <c r="O174" s="300" t="s">
        <v>793</v>
      </c>
      <c r="P174" s="300">
        <v>3.0</v>
      </c>
    </row>
    <row r="175">
      <c r="A175">
        <f>IFERROR(__xludf.DUMMYFUNCTION("""COMPUTED_VALUE"""),10.0)</f>
        <v>10</v>
      </c>
      <c r="B175" s="406">
        <f>IFERROR(__xludf.DUMMYFUNCTION("""COMPUTED_VALUE"""),28095.0)</f>
        <v>28095</v>
      </c>
      <c r="C175" t="str">
        <f>IFERROR(__xludf.DUMMYFUNCTION("""COMPUTED_VALUE"""),"RESTREPO QUINTERO, ANTONIO")</f>
        <v>RESTREPO QUINTERO, ANTONIO</v>
      </c>
      <c r="D175" t="str">
        <f>IFERROR(__xludf.DUMMYFUNCTION("""COMPUTED_VALUE"""),"English 10")</f>
        <v>English 10</v>
      </c>
      <c r="E175" s="3">
        <f>IFERROR(__xludf.DUMMYFUNCTION("""COMPUTED_VALUE"""),5.0)</f>
        <v>5</v>
      </c>
      <c r="F175" s="300">
        <v>1.0</v>
      </c>
      <c r="G175" s="300">
        <v>1.0</v>
      </c>
      <c r="H175" s="300">
        <v>1.0</v>
      </c>
      <c r="I175" s="300">
        <v>1.0</v>
      </c>
      <c r="J175" s="300">
        <v>1.0</v>
      </c>
      <c r="K175" s="300">
        <v>1.0</v>
      </c>
      <c r="L175" s="300">
        <v>1.0</v>
      </c>
      <c r="M175" s="300">
        <v>1.0</v>
      </c>
      <c r="N175" s="300">
        <v>8.0</v>
      </c>
      <c r="O175" s="300" t="s">
        <v>790</v>
      </c>
      <c r="P175" s="300">
        <v>3.0</v>
      </c>
    </row>
    <row r="176">
      <c r="A176">
        <f>IFERROR(__xludf.DUMMYFUNCTION("""COMPUTED_VALUE"""),10.0)</f>
        <v>10</v>
      </c>
      <c r="B176" s="406">
        <f>IFERROR(__xludf.DUMMYFUNCTION("""COMPUTED_VALUE"""),28002.0)</f>
        <v>28002</v>
      </c>
      <c r="C176" t="str">
        <f>IFERROR(__xludf.DUMMYFUNCTION("""COMPUTED_VALUE"""),"ANGEL MESA, PEDRO")</f>
        <v>ANGEL MESA, PEDRO</v>
      </c>
      <c r="D176" t="str">
        <f>IFERROR(__xludf.DUMMYFUNCTION("""COMPUTED_VALUE"""),"English 10")</f>
        <v>English 10</v>
      </c>
      <c r="E176" s="3">
        <f>IFERROR(__xludf.DUMMYFUNCTION("""COMPUTED_VALUE"""),5.0)</f>
        <v>5</v>
      </c>
      <c r="F176" s="300">
        <v>1.0</v>
      </c>
      <c r="G176" s="300">
        <v>1.0</v>
      </c>
      <c r="H176" s="300">
        <v>1.0</v>
      </c>
      <c r="I176" s="300">
        <v>1.0</v>
      </c>
      <c r="J176" s="300">
        <v>1.0</v>
      </c>
      <c r="K176" s="300">
        <v>1.0</v>
      </c>
      <c r="L176" s="300">
        <v>1.0</v>
      </c>
      <c r="M176" s="300">
        <v>1.0</v>
      </c>
      <c r="N176" s="300">
        <v>8.0</v>
      </c>
      <c r="O176" s="300" t="s">
        <v>790</v>
      </c>
      <c r="P176" s="300">
        <v>3.0</v>
      </c>
    </row>
    <row r="177">
      <c r="A177">
        <f>IFERROR(__xludf.DUMMYFUNCTION("""COMPUTED_VALUE"""),10.0)</f>
        <v>10</v>
      </c>
      <c r="B177" s="406">
        <f>IFERROR(__xludf.DUMMYFUNCTION("""COMPUTED_VALUE"""),28052.0)</f>
        <v>28052</v>
      </c>
      <c r="C177" t="str">
        <f>IFERROR(__xludf.DUMMYFUNCTION("""COMPUTED_VALUE"""),"LONDOÑO VILLA, PEDRO")</f>
        <v>LONDOÑO VILLA, PEDRO</v>
      </c>
      <c r="D177" t="str">
        <f>IFERROR(__xludf.DUMMYFUNCTION("""COMPUTED_VALUE"""),"English 10")</f>
        <v>English 10</v>
      </c>
      <c r="E177" s="3">
        <f>IFERROR(__xludf.DUMMYFUNCTION("""COMPUTED_VALUE"""),2.0)</f>
        <v>2</v>
      </c>
      <c r="F177" s="300">
        <v>1.0</v>
      </c>
      <c r="G177" s="300">
        <v>1.0</v>
      </c>
      <c r="H177" s="300">
        <v>1.0</v>
      </c>
      <c r="I177" s="300">
        <v>1.0</v>
      </c>
      <c r="J177" s="300">
        <v>1.0</v>
      </c>
      <c r="K177" s="300">
        <v>1.0</v>
      </c>
      <c r="L177" s="300">
        <v>1.0</v>
      </c>
      <c r="M177" s="300">
        <v>1.0</v>
      </c>
      <c r="N177" s="300">
        <v>8.0</v>
      </c>
      <c r="O177" s="300" t="s">
        <v>792</v>
      </c>
      <c r="P177" s="300">
        <v>3.0</v>
      </c>
    </row>
    <row r="178">
      <c r="A178">
        <f>IFERROR(__xludf.DUMMYFUNCTION("""COMPUTED_VALUE"""),10.0)</f>
        <v>10</v>
      </c>
      <c r="B178" s="406">
        <f>IFERROR(__xludf.DUMMYFUNCTION("""COMPUTED_VALUE"""),28101.0)</f>
        <v>28101</v>
      </c>
      <c r="C178" t="str">
        <f>IFERROR(__xludf.DUMMYFUNCTION("""COMPUTED_VALUE"""),"ROJAS VELEZ, LUCIANA")</f>
        <v>ROJAS VELEZ, LUCIANA</v>
      </c>
      <c r="D178" t="str">
        <f>IFERROR(__xludf.DUMMYFUNCTION("""COMPUTED_VALUE"""),"English 10")</f>
        <v>English 10</v>
      </c>
      <c r="E178" s="3">
        <f>IFERROR(__xludf.DUMMYFUNCTION("""COMPUTED_VALUE"""),8.0)</f>
        <v>8</v>
      </c>
      <c r="F178" s="300">
        <v>1.0</v>
      </c>
      <c r="G178" s="300">
        <v>1.0</v>
      </c>
      <c r="H178" s="300">
        <v>1.0</v>
      </c>
      <c r="I178" s="300">
        <v>1.0</v>
      </c>
      <c r="J178" s="300">
        <v>1.0</v>
      </c>
      <c r="K178" s="300">
        <v>1.0</v>
      </c>
      <c r="L178" s="300">
        <v>1.0</v>
      </c>
      <c r="M178" s="300">
        <v>1.0</v>
      </c>
      <c r="N178" s="300">
        <v>8.0</v>
      </c>
      <c r="O178" s="300" t="s">
        <v>793</v>
      </c>
      <c r="P178" s="300">
        <v>3.0</v>
      </c>
    </row>
    <row r="179">
      <c r="A179">
        <f>IFERROR(__xludf.DUMMYFUNCTION("""COMPUTED_VALUE"""),10.0)</f>
        <v>10</v>
      </c>
      <c r="B179" s="406">
        <f>IFERROR(__xludf.DUMMYFUNCTION("""COMPUTED_VALUE"""),28061.0)</f>
        <v>28061</v>
      </c>
      <c r="C179" t="str">
        <f>IFERROR(__xludf.DUMMYFUNCTION("""COMPUTED_VALUE"""),"MEDINA NOREÑA, MANUELA")</f>
        <v>MEDINA NOREÑA, MANUELA</v>
      </c>
      <c r="D179" t="str">
        <f>IFERROR(__xludf.DUMMYFUNCTION("""COMPUTED_VALUE"""),"English 10")</f>
        <v>English 10</v>
      </c>
      <c r="E179" s="3">
        <f>IFERROR(__xludf.DUMMYFUNCTION("""COMPUTED_VALUE"""),2.0)</f>
        <v>2</v>
      </c>
      <c r="F179" s="300">
        <v>1.0</v>
      </c>
      <c r="G179" s="300">
        <v>1.0</v>
      </c>
      <c r="H179" s="300">
        <v>1.0</v>
      </c>
      <c r="I179" s="300">
        <v>1.0</v>
      </c>
      <c r="J179" s="300">
        <v>1.0</v>
      </c>
      <c r="K179" s="300">
        <v>1.0</v>
      </c>
      <c r="L179" s="300">
        <v>1.0</v>
      </c>
      <c r="M179" s="300">
        <v>1.0</v>
      </c>
      <c r="N179" s="300">
        <v>8.0</v>
      </c>
      <c r="O179" s="300" t="s">
        <v>792</v>
      </c>
      <c r="P179" s="300">
        <v>3.0</v>
      </c>
    </row>
    <row r="180">
      <c r="A180">
        <f>IFERROR(__xludf.DUMMYFUNCTION("""COMPUTED_VALUE"""),10.0)</f>
        <v>10</v>
      </c>
      <c r="B180" s="406">
        <f>IFERROR(__xludf.DUMMYFUNCTION("""COMPUTED_VALUE"""),28136.0)</f>
        <v>28136</v>
      </c>
      <c r="C180" t="str">
        <f>IFERROR(__xludf.DUMMYFUNCTION("""COMPUTED_VALUE"""),"SALAZAR ECHEVERRI, ELISA")</f>
        <v>SALAZAR ECHEVERRI, ELISA</v>
      </c>
      <c r="D180" t="str">
        <f>IFERROR(__xludf.DUMMYFUNCTION("""COMPUTED_VALUE"""),"AP Seminar")</f>
        <v>AP Seminar</v>
      </c>
      <c r="E180" s="3">
        <f>IFERROR(__xludf.DUMMYFUNCTION("""COMPUTED_VALUE"""),5.0)</f>
        <v>5</v>
      </c>
      <c r="F180" s="300">
        <v>1.0</v>
      </c>
      <c r="G180" s="300">
        <v>1.0</v>
      </c>
      <c r="H180" s="300">
        <v>1.0</v>
      </c>
      <c r="I180" s="300">
        <v>1.0</v>
      </c>
      <c r="J180" s="300">
        <v>1.0</v>
      </c>
      <c r="K180" s="300">
        <v>1.0</v>
      </c>
      <c r="L180" s="300">
        <v>1.0</v>
      </c>
      <c r="M180" s="300">
        <v>1.0</v>
      </c>
      <c r="N180" s="300">
        <v>8.0</v>
      </c>
      <c r="O180" s="300" t="s">
        <v>791</v>
      </c>
      <c r="P180" s="300">
        <v>3.0</v>
      </c>
    </row>
    <row r="181">
      <c r="A181">
        <f>IFERROR(__xludf.DUMMYFUNCTION("""COMPUTED_VALUE"""),10.0)</f>
        <v>10</v>
      </c>
      <c r="B181" s="406">
        <f>IFERROR(__xludf.DUMMYFUNCTION("""COMPUTED_VALUE"""),28010.0)</f>
        <v>28010</v>
      </c>
      <c r="C181" t="str">
        <f>IFERROR(__xludf.DUMMYFUNCTION("""COMPUTED_VALUE"""),"ATEHORTUA MORENO, SOFIA")</f>
        <v>ATEHORTUA MORENO, SOFIA</v>
      </c>
      <c r="D181" t="str">
        <f>IFERROR(__xludf.DUMMYFUNCTION("""COMPUTED_VALUE"""),"English 10")</f>
        <v>English 10</v>
      </c>
      <c r="E181" s="3">
        <f>IFERROR(__xludf.DUMMYFUNCTION("""COMPUTED_VALUE"""),5.0)</f>
        <v>5</v>
      </c>
      <c r="F181" s="300">
        <v>1.0</v>
      </c>
      <c r="G181" s="300">
        <v>1.0</v>
      </c>
      <c r="H181" s="300">
        <v>1.0</v>
      </c>
      <c r="I181" s="300">
        <v>1.0</v>
      </c>
      <c r="J181" s="300">
        <v>1.0</v>
      </c>
      <c r="K181" s="300">
        <v>1.0</v>
      </c>
      <c r="L181" s="300">
        <v>1.0</v>
      </c>
      <c r="M181" s="300">
        <v>1.0</v>
      </c>
      <c r="N181" s="300">
        <v>8.0</v>
      </c>
      <c r="O181" s="300" t="s">
        <v>790</v>
      </c>
      <c r="P181" s="300">
        <v>3.0</v>
      </c>
    </row>
    <row r="182">
      <c r="A182">
        <f>IFERROR(__xludf.DUMMYFUNCTION("""COMPUTED_VALUE"""),10.0)</f>
        <v>10</v>
      </c>
      <c r="B182" s="406">
        <f>IFERROR(__xludf.DUMMYFUNCTION("""COMPUTED_VALUE"""),28035.0)</f>
        <v>28035</v>
      </c>
      <c r="C182" t="str">
        <f>IFERROR(__xludf.DUMMYFUNCTION("""COMPUTED_VALUE"""),"GAVIRIA GONZALEZ, MARIA JOSE")</f>
        <v>GAVIRIA GONZALEZ, MARIA JOSE</v>
      </c>
      <c r="D182" t="str">
        <f>IFERROR(__xludf.DUMMYFUNCTION("""COMPUTED_VALUE"""),"AP Seminar")</f>
        <v>AP Seminar</v>
      </c>
      <c r="E182" s="3">
        <f>IFERROR(__xludf.DUMMYFUNCTION("""COMPUTED_VALUE"""),5.0)</f>
        <v>5</v>
      </c>
      <c r="F182" s="300">
        <v>1.0</v>
      </c>
      <c r="G182" s="300">
        <v>1.0</v>
      </c>
      <c r="H182" s="300">
        <v>1.0</v>
      </c>
      <c r="I182" s="300">
        <v>1.0</v>
      </c>
      <c r="J182" s="300">
        <v>1.0</v>
      </c>
      <c r="K182" s="300">
        <v>1.0</v>
      </c>
      <c r="L182" s="300">
        <v>1.0</v>
      </c>
      <c r="M182" s="300">
        <v>1.0</v>
      </c>
      <c r="N182" s="300">
        <v>8.0</v>
      </c>
      <c r="O182" s="300" t="s">
        <v>791</v>
      </c>
      <c r="P182" s="300">
        <v>3.0</v>
      </c>
    </row>
    <row r="183">
      <c r="A183">
        <f>IFERROR(__xludf.DUMMYFUNCTION("""COMPUTED_VALUE"""),10.0)</f>
        <v>10</v>
      </c>
      <c r="B183" s="406">
        <f>IFERROR(__xludf.DUMMYFUNCTION("""COMPUTED_VALUE"""),28027.0)</f>
        <v>28027</v>
      </c>
      <c r="C183" t="str">
        <f>IFERROR(__xludf.DUMMYFUNCTION("""COMPUTED_VALUE"""),"ESTRADA JIMENEZ, MARIA")</f>
        <v>ESTRADA JIMENEZ, MARIA</v>
      </c>
      <c r="D183" t="str">
        <f>IFERROR(__xludf.DUMMYFUNCTION("""COMPUTED_VALUE"""),"AP Seminar")</f>
        <v>AP Seminar</v>
      </c>
      <c r="E183" s="3">
        <f>IFERROR(__xludf.DUMMYFUNCTION("""COMPUTED_VALUE"""),5.0)</f>
        <v>5</v>
      </c>
      <c r="F183" s="300">
        <v>1.0</v>
      </c>
      <c r="G183" s="300">
        <v>1.0</v>
      </c>
      <c r="H183" s="300">
        <v>1.0</v>
      </c>
      <c r="I183" s="300">
        <v>1.0</v>
      </c>
      <c r="J183" s="300">
        <v>1.0</v>
      </c>
      <c r="K183" s="300">
        <v>1.0</v>
      </c>
      <c r="L183" s="300">
        <v>1.0</v>
      </c>
      <c r="M183" s="300">
        <v>1.0</v>
      </c>
      <c r="N183" s="300">
        <v>8.0</v>
      </c>
      <c r="O183" s="300" t="s">
        <v>791</v>
      </c>
      <c r="P183" s="300">
        <v>3.0</v>
      </c>
    </row>
    <row r="184">
      <c r="A184">
        <f>IFERROR(__xludf.DUMMYFUNCTION("""COMPUTED_VALUE"""),10.0)</f>
        <v>10</v>
      </c>
      <c r="B184" s="406">
        <f>IFERROR(__xludf.DUMMYFUNCTION("""COMPUTED_VALUE"""),27152.0)</f>
        <v>27152</v>
      </c>
      <c r="C184" t="str">
        <f>IFERROR(__xludf.DUMMYFUNCTION("""COMPUTED_VALUE"""),"GARCIA GONZALEZ, MARIA ANTONIA")</f>
        <v>GARCIA GONZALEZ, MARIA ANTONIA</v>
      </c>
      <c r="D184" t="str">
        <f>IFERROR(__xludf.DUMMYFUNCTION("""COMPUTED_VALUE"""),"English 10")</f>
        <v>English 10</v>
      </c>
      <c r="E184" s="3">
        <f>IFERROR(__xludf.DUMMYFUNCTION("""COMPUTED_VALUE"""),5.0)</f>
        <v>5</v>
      </c>
      <c r="F184" s="300">
        <v>1.0</v>
      </c>
      <c r="G184" s="300">
        <v>1.0</v>
      </c>
      <c r="H184" s="300">
        <v>1.0</v>
      </c>
      <c r="I184" s="300">
        <v>1.0</v>
      </c>
      <c r="J184" s="300">
        <v>1.0</v>
      </c>
      <c r="K184" s="300">
        <v>1.0</v>
      </c>
      <c r="L184" s="300">
        <v>1.0</v>
      </c>
      <c r="M184" s="300">
        <v>1.0</v>
      </c>
      <c r="N184" s="300">
        <v>8.0</v>
      </c>
      <c r="O184" s="300" t="s">
        <v>790</v>
      </c>
      <c r="P184" s="300">
        <v>3.0</v>
      </c>
    </row>
    <row r="185">
      <c r="A185">
        <f>IFERROR(__xludf.DUMMYFUNCTION("""COMPUTED_VALUE"""),10.0)</f>
        <v>10</v>
      </c>
      <c r="B185" s="406">
        <f>IFERROR(__xludf.DUMMYFUNCTION("""COMPUTED_VALUE"""),28026.0)</f>
        <v>28026</v>
      </c>
      <c r="C185" t="str">
        <f>IFERROR(__xludf.DUMMYFUNCTION("""COMPUTED_VALUE"""),"ESPINAL MONTOYA, JULIETA")</f>
        <v>ESPINAL MONTOYA, JULIETA</v>
      </c>
      <c r="D185" t="str">
        <f>IFERROR(__xludf.DUMMYFUNCTION("""COMPUTED_VALUE"""),"AP English Language")</f>
        <v>AP English Language</v>
      </c>
      <c r="E185" s="3">
        <f>IFERROR(__xludf.DUMMYFUNCTION("""COMPUTED_VALUE"""),3.0)</f>
        <v>3</v>
      </c>
      <c r="F185" s="300">
        <v>1.0</v>
      </c>
      <c r="G185" s="300">
        <v>1.0</v>
      </c>
      <c r="H185" s="300">
        <v>1.0</v>
      </c>
      <c r="I185" s="300">
        <v>1.0</v>
      </c>
      <c r="J185" s="300">
        <v>1.0</v>
      </c>
      <c r="K185" s="300">
        <v>1.0</v>
      </c>
      <c r="L185" s="300">
        <v>1.0</v>
      </c>
      <c r="M185" s="300">
        <v>1.0</v>
      </c>
      <c r="N185" s="300">
        <v>8.0</v>
      </c>
      <c r="O185" s="300" t="s">
        <v>795</v>
      </c>
      <c r="P185" s="300">
        <v>2.0</v>
      </c>
    </row>
    <row r="186">
      <c r="A186">
        <f>IFERROR(__xludf.DUMMYFUNCTION("""COMPUTED_VALUE"""),10.0)</f>
        <v>10</v>
      </c>
      <c r="B186" s="406">
        <f>IFERROR(__xludf.DUMMYFUNCTION("""COMPUTED_VALUE"""),28025.0)</f>
        <v>28025</v>
      </c>
      <c r="C186" t="str">
        <f>IFERROR(__xludf.DUMMYFUNCTION("""COMPUTED_VALUE"""),"ESCOBAR INFANTINO, SAMUEL")</f>
        <v>ESCOBAR INFANTINO, SAMUEL</v>
      </c>
      <c r="D186" t="str">
        <f>IFERROR(__xludf.DUMMYFUNCTION("""COMPUTED_VALUE"""),"AP Seminar")</f>
        <v>AP Seminar</v>
      </c>
      <c r="E186" s="3">
        <f>IFERROR(__xludf.DUMMYFUNCTION("""COMPUTED_VALUE"""),1.0)</f>
        <v>1</v>
      </c>
      <c r="F186" s="300">
        <v>1.0</v>
      </c>
      <c r="G186" s="300">
        <v>1.0</v>
      </c>
      <c r="H186" s="300">
        <v>1.0</v>
      </c>
      <c r="I186" s="300">
        <v>1.0</v>
      </c>
      <c r="J186" s="300">
        <v>1.0</v>
      </c>
      <c r="K186" s="300">
        <v>1.0</v>
      </c>
      <c r="L186" s="300">
        <v>1.0</v>
      </c>
      <c r="M186" s="300">
        <v>1.0</v>
      </c>
      <c r="N186" s="300">
        <v>8.0</v>
      </c>
      <c r="O186" s="300" t="s">
        <v>788</v>
      </c>
      <c r="P186" s="300">
        <v>3.0</v>
      </c>
    </row>
    <row r="187">
      <c r="A187">
        <f>IFERROR(__xludf.DUMMYFUNCTION("""COMPUTED_VALUE"""),10.0)</f>
        <v>10</v>
      </c>
      <c r="B187" s="406">
        <f>IFERROR(__xludf.DUMMYFUNCTION("""COMPUTED_VALUE"""),27100.0)</f>
        <v>27100</v>
      </c>
      <c r="C187" t="str">
        <f>IFERROR(__xludf.DUMMYFUNCTION("""COMPUTED_VALUE"""),"ROJAS SANCHEZ, SUSANA")</f>
        <v>ROJAS SANCHEZ, SUSANA</v>
      </c>
      <c r="D187" t="str">
        <f>IFERROR(__xludf.DUMMYFUNCTION("""COMPUTED_VALUE"""),"AP Seminar")</f>
        <v>AP Seminar</v>
      </c>
      <c r="E187" s="3">
        <f>IFERROR(__xludf.DUMMYFUNCTION("""COMPUTED_VALUE"""),5.0)</f>
        <v>5</v>
      </c>
      <c r="F187" s="300">
        <v>1.0</v>
      </c>
      <c r="G187" s="300">
        <v>1.0</v>
      </c>
      <c r="H187" s="300">
        <v>1.0</v>
      </c>
      <c r="I187" s="300">
        <v>1.0</v>
      </c>
      <c r="J187" s="300">
        <v>1.0</v>
      </c>
      <c r="K187" s="300">
        <v>1.0</v>
      </c>
      <c r="L187" s="300">
        <v>1.0</v>
      </c>
      <c r="M187" s="300">
        <v>1.0</v>
      </c>
      <c r="N187" s="300">
        <v>8.0</v>
      </c>
      <c r="O187" s="300" t="s">
        <v>791</v>
      </c>
      <c r="P187" s="300">
        <v>3.0</v>
      </c>
    </row>
    <row r="188">
      <c r="A188">
        <f>IFERROR(__xludf.DUMMYFUNCTION("""COMPUTED_VALUE"""),10.0)</f>
        <v>10</v>
      </c>
      <c r="B188" s="406">
        <f>IFERROR(__xludf.DUMMYFUNCTION("""COMPUTED_VALUE"""),28139.0)</f>
        <v>28139</v>
      </c>
      <c r="C188" t="str">
        <f>IFERROR(__xludf.DUMMYFUNCTION("""COMPUTED_VALUE"""),"BERNAL ESTRADA, MATIAS")</f>
        <v>BERNAL ESTRADA, MATIAS</v>
      </c>
      <c r="D188" t="str">
        <f>IFERROR(__xludf.DUMMYFUNCTION("""COMPUTED_VALUE"""),"English 10")</f>
        <v>English 10</v>
      </c>
      <c r="E188" s="3">
        <f>IFERROR(__xludf.DUMMYFUNCTION("""COMPUTED_VALUE"""),8.0)</f>
        <v>8</v>
      </c>
      <c r="F188" s="300">
        <v>1.0</v>
      </c>
      <c r="G188" s="300">
        <v>1.0</v>
      </c>
      <c r="H188" s="300">
        <v>1.0</v>
      </c>
      <c r="I188" s="300">
        <v>1.0</v>
      </c>
      <c r="J188" s="300">
        <v>1.0</v>
      </c>
      <c r="K188" s="300">
        <v>1.0</v>
      </c>
      <c r="L188" s="300">
        <v>1.0</v>
      </c>
      <c r="M188" s="300">
        <v>1.0</v>
      </c>
      <c r="N188" s="300">
        <v>8.0</v>
      </c>
      <c r="O188" s="300" t="s">
        <v>793</v>
      </c>
      <c r="P188" s="300">
        <v>3.0</v>
      </c>
    </row>
    <row r="189">
      <c r="A189">
        <f>IFERROR(__xludf.DUMMYFUNCTION("""COMPUTED_VALUE"""),10.0)</f>
        <v>10</v>
      </c>
      <c r="B189" s="406">
        <f>IFERROR(__xludf.DUMMYFUNCTION("""COMPUTED_VALUE"""),28048.0)</f>
        <v>28048</v>
      </c>
      <c r="C189" t="str">
        <f>IFERROR(__xludf.DUMMYFUNCTION("""COMPUTED_VALUE"""),"ISAZA VELASQUEZ, EMILIANA")</f>
        <v>ISAZA VELASQUEZ, EMILIANA</v>
      </c>
      <c r="D189" t="str">
        <f>IFERROR(__xludf.DUMMYFUNCTION("""COMPUTED_VALUE"""),"AP Seminar")</f>
        <v>AP Seminar</v>
      </c>
      <c r="E189" s="3">
        <f>IFERROR(__xludf.DUMMYFUNCTION("""COMPUTED_VALUE"""),1.0)</f>
        <v>1</v>
      </c>
      <c r="F189" s="300">
        <v>1.0</v>
      </c>
      <c r="G189" s="300">
        <v>1.0</v>
      </c>
      <c r="H189" s="300">
        <v>1.0</v>
      </c>
      <c r="I189" s="300">
        <v>1.0</v>
      </c>
      <c r="J189" s="300">
        <v>1.0</v>
      </c>
      <c r="K189" s="300">
        <v>1.0</v>
      </c>
      <c r="L189" s="300">
        <v>1.0</v>
      </c>
      <c r="M189" s="300">
        <v>1.0</v>
      </c>
      <c r="N189" s="300">
        <v>8.0</v>
      </c>
      <c r="O189" s="300" t="s">
        <v>788</v>
      </c>
      <c r="P189" s="300">
        <v>3.0</v>
      </c>
    </row>
    <row r="190">
      <c r="A190">
        <f>IFERROR(__xludf.DUMMYFUNCTION("""COMPUTED_VALUE"""),10.0)</f>
        <v>10</v>
      </c>
      <c r="B190" s="406">
        <f>IFERROR(__xludf.DUMMYFUNCTION("""COMPUTED_VALUE"""),27024.0)</f>
        <v>27024</v>
      </c>
      <c r="C190" t="str">
        <f>IFERROR(__xludf.DUMMYFUNCTION("""COMPUTED_VALUE"""),"CASTRO CASTAÑEDA, CYAN")</f>
        <v>CASTRO CASTAÑEDA, CYAN</v>
      </c>
      <c r="D190" t="str">
        <f>IFERROR(__xludf.DUMMYFUNCTION("""COMPUTED_VALUE"""),"English 10")</f>
        <v>English 10</v>
      </c>
      <c r="E190" s="3">
        <f>IFERROR(__xludf.DUMMYFUNCTION("""COMPUTED_VALUE"""),8.0)</f>
        <v>8</v>
      </c>
      <c r="F190" s="300">
        <v>1.0</v>
      </c>
      <c r="G190" s="300">
        <v>1.0</v>
      </c>
      <c r="H190" s="300">
        <v>1.0</v>
      </c>
      <c r="I190" s="300">
        <v>1.0</v>
      </c>
      <c r="J190" s="300">
        <v>1.0</v>
      </c>
      <c r="K190" s="300">
        <v>1.0</v>
      </c>
      <c r="L190" s="300">
        <v>1.0</v>
      </c>
      <c r="M190" s="300">
        <v>1.0</v>
      </c>
      <c r="N190" s="300">
        <v>8.0</v>
      </c>
      <c r="O190" s="300" t="s">
        <v>793</v>
      </c>
      <c r="P190" s="300">
        <v>3.0</v>
      </c>
    </row>
    <row r="191">
      <c r="A191">
        <f>IFERROR(__xludf.DUMMYFUNCTION("""COMPUTED_VALUE"""),10.0)</f>
        <v>10</v>
      </c>
      <c r="B191" s="406">
        <f>IFERROR(__xludf.DUMMYFUNCTION("""COMPUTED_VALUE"""),28044.0)</f>
        <v>28044</v>
      </c>
      <c r="C191" t="str">
        <f>IFERROR(__xludf.DUMMYFUNCTION("""COMPUTED_VALUE"""),"GUTIERREZ OCAMPO, VALENTINA")</f>
        <v>GUTIERREZ OCAMPO, VALENTINA</v>
      </c>
      <c r="D191" t="str">
        <f>IFERROR(__xludf.DUMMYFUNCTION("""COMPUTED_VALUE"""),"AP Seminar")</f>
        <v>AP Seminar</v>
      </c>
      <c r="E191" s="3">
        <f>IFERROR(__xludf.DUMMYFUNCTION("""COMPUTED_VALUE"""),6.0)</f>
        <v>6</v>
      </c>
      <c r="F191" s="300">
        <v>1.0</v>
      </c>
      <c r="G191" s="300">
        <v>1.0</v>
      </c>
      <c r="H191" s="300">
        <v>1.0</v>
      </c>
      <c r="I191" s="300">
        <v>1.0</v>
      </c>
      <c r="J191" s="300">
        <v>1.0</v>
      </c>
      <c r="K191" s="300">
        <v>1.0</v>
      </c>
      <c r="L191" s="300">
        <v>1.0</v>
      </c>
      <c r="M191" s="300">
        <v>1.0</v>
      </c>
      <c r="N191" s="300">
        <v>8.0</v>
      </c>
      <c r="O191" s="300" t="s">
        <v>789</v>
      </c>
      <c r="P191" s="300">
        <v>3.0</v>
      </c>
    </row>
    <row r="192">
      <c r="A192">
        <f>IFERROR(__xludf.DUMMYFUNCTION("""COMPUTED_VALUE"""),10.0)</f>
        <v>10</v>
      </c>
      <c r="B192" s="406">
        <f>IFERROR(__xludf.DUMMYFUNCTION("""COMPUTED_VALUE"""),27058.0)</f>
        <v>27058</v>
      </c>
      <c r="C192" t="str">
        <f>IFERROR(__xludf.DUMMYFUNCTION("""COMPUTED_VALUE"""),"LOPEZ MEJIA, MIGUEL")</f>
        <v>LOPEZ MEJIA, MIGUEL</v>
      </c>
      <c r="D192" t="str">
        <f>IFERROR(__xludf.DUMMYFUNCTION("""COMPUTED_VALUE"""),"English 10")</f>
        <v>English 10</v>
      </c>
      <c r="E192" s="3">
        <f>IFERROR(__xludf.DUMMYFUNCTION("""COMPUTED_VALUE"""),8.0)</f>
        <v>8</v>
      </c>
      <c r="F192" s="300">
        <v>1.0</v>
      </c>
      <c r="G192" s="300">
        <v>1.0</v>
      </c>
      <c r="H192" s="300">
        <v>1.0</v>
      </c>
      <c r="I192" s="300">
        <v>1.0</v>
      </c>
      <c r="J192" s="300">
        <v>1.0</v>
      </c>
      <c r="K192" s="300">
        <v>1.0</v>
      </c>
      <c r="L192" s="300">
        <v>1.0</v>
      </c>
      <c r="M192" s="300">
        <v>1.0</v>
      </c>
      <c r="N192" s="300">
        <v>8.0</v>
      </c>
      <c r="O192" s="300" t="s">
        <v>793</v>
      </c>
      <c r="P192" s="300">
        <v>3.0</v>
      </c>
    </row>
    <row r="193">
      <c r="A193">
        <f>IFERROR(__xludf.DUMMYFUNCTION("""COMPUTED_VALUE"""),10.0)</f>
        <v>10</v>
      </c>
      <c r="B193" s="406">
        <f>IFERROR(__xludf.DUMMYFUNCTION("""COMPUTED_VALUE"""),28038.0)</f>
        <v>28038</v>
      </c>
      <c r="C193" t="str">
        <f>IFERROR(__xludf.DUMMYFUNCTION("""COMPUTED_VALUE"""),"GOMEZ TORRES, MARIA")</f>
        <v>GOMEZ TORRES, MARIA</v>
      </c>
      <c r="D193" t="str">
        <f>IFERROR(__xludf.DUMMYFUNCTION("""COMPUTED_VALUE"""),"English 10")</f>
        <v>English 10</v>
      </c>
      <c r="E193" s="3">
        <f>IFERROR(__xludf.DUMMYFUNCTION("""COMPUTED_VALUE"""),2.0)</f>
        <v>2</v>
      </c>
      <c r="F193" s="300">
        <v>1.0</v>
      </c>
      <c r="G193" s="300">
        <v>1.0</v>
      </c>
      <c r="H193" s="300">
        <v>1.0</v>
      </c>
      <c r="I193" s="300">
        <v>1.0</v>
      </c>
      <c r="J193" s="300">
        <v>1.0</v>
      </c>
      <c r="K193" s="300">
        <v>1.0</v>
      </c>
      <c r="L193" s="300">
        <v>1.0</v>
      </c>
      <c r="M193" s="300">
        <v>1.0</v>
      </c>
      <c r="N193" s="300">
        <v>8.0</v>
      </c>
      <c r="O193" s="300" t="s">
        <v>792</v>
      </c>
      <c r="P193" s="300">
        <v>3.0</v>
      </c>
    </row>
    <row r="194">
      <c r="A194">
        <f>IFERROR(__xludf.DUMMYFUNCTION("""COMPUTED_VALUE"""),10.0)</f>
        <v>10</v>
      </c>
      <c r="B194" s="406">
        <f>IFERROR(__xludf.DUMMYFUNCTION("""COMPUTED_VALUE"""),28094.0)</f>
        <v>28094</v>
      </c>
      <c r="C194" t="str">
        <f>IFERROR(__xludf.DUMMYFUNCTION("""COMPUTED_VALUE"""),"RESTREPO OCHOA, PASCUAL")</f>
        <v>RESTREPO OCHOA, PASCUAL</v>
      </c>
      <c r="D194" t="str">
        <f>IFERROR(__xludf.DUMMYFUNCTION("""COMPUTED_VALUE"""),"English 10")</f>
        <v>English 10</v>
      </c>
      <c r="E194" s="3">
        <f>IFERROR(__xludf.DUMMYFUNCTION("""COMPUTED_VALUE"""),5.0)</f>
        <v>5</v>
      </c>
      <c r="F194" s="300">
        <v>1.0</v>
      </c>
      <c r="G194" s="300">
        <v>1.0</v>
      </c>
      <c r="H194" s="300">
        <v>1.0</v>
      </c>
      <c r="I194" s="300">
        <v>1.0</v>
      </c>
      <c r="J194" s="300">
        <v>1.0</v>
      </c>
      <c r="K194" s="300">
        <v>1.0</v>
      </c>
      <c r="L194" s="300">
        <v>1.0</v>
      </c>
      <c r="M194" s="300">
        <v>1.0</v>
      </c>
      <c r="N194" s="300">
        <v>8.0</v>
      </c>
      <c r="O194" s="300" t="s">
        <v>790</v>
      </c>
      <c r="P194" s="300">
        <v>3.0</v>
      </c>
    </row>
    <row r="195">
      <c r="A195">
        <f>IFERROR(__xludf.DUMMYFUNCTION("""COMPUTED_VALUE"""),10.0)</f>
        <v>10</v>
      </c>
      <c r="B195" s="406">
        <f>IFERROR(__xludf.DUMMYFUNCTION("""COMPUTED_VALUE"""),28041.0)</f>
        <v>28041</v>
      </c>
      <c r="C195" t="str">
        <f>IFERROR(__xludf.DUMMYFUNCTION("""COMPUTED_VALUE"""),"GONZALEZ MIRA, MATIAS")</f>
        <v>GONZALEZ MIRA, MATIAS</v>
      </c>
      <c r="D195" t="str">
        <f>IFERROR(__xludf.DUMMYFUNCTION("""COMPUTED_VALUE"""),"English 10")</f>
        <v>English 10</v>
      </c>
      <c r="E195" s="3">
        <f>IFERROR(__xludf.DUMMYFUNCTION("""COMPUTED_VALUE"""),8.0)</f>
        <v>8</v>
      </c>
      <c r="F195" s="300">
        <v>1.0</v>
      </c>
      <c r="G195" s="300">
        <v>1.0</v>
      </c>
      <c r="H195" s="300">
        <v>1.0</v>
      </c>
      <c r="I195" s="300">
        <v>1.0</v>
      </c>
      <c r="J195" s="300">
        <v>1.0</v>
      </c>
      <c r="K195" s="300">
        <v>1.0</v>
      </c>
      <c r="L195" s="300">
        <v>1.0</v>
      </c>
      <c r="M195" s="300">
        <v>1.0</v>
      </c>
      <c r="N195" s="300">
        <v>8.0</v>
      </c>
      <c r="O195" s="300" t="s">
        <v>793</v>
      </c>
      <c r="P195" s="300">
        <v>3.0</v>
      </c>
    </row>
    <row r="196">
      <c r="A196">
        <f>IFERROR(__xludf.DUMMYFUNCTION("""COMPUTED_VALUE"""),10.0)</f>
        <v>10</v>
      </c>
      <c r="B196" s="406">
        <f>IFERROR(__xludf.DUMMYFUNCTION("""COMPUTED_VALUE"""),28112.0)</f>
        <v>28112</v>
      </c>
      <c r="C196" t="str">
        <f>IFERROR(__xludf.DUMMYFUNCTION("""COMPUTED_VALUE"""),"VELASQUEZ OCHOA, MIGUEL")</f>
        <v>VELASQUEZ OCHOA, MIGUEL</v>
      </c>
      <c r="D196" t="str">
        <f>IFERROR(__xludf.DUMMYFUNCTION("""COMPUTED_VALUE"""),"AP Seminar")</f>
        <v>AP Seminar</v>
      </c>
      <c r="E196" s="3">
        <f>IFERROR(__xludf.DUMMYFUNCTION("""COMPUTED_VALUE"""),1.0)</f>
        <v>1</v>
      </c>
      <c r="F196" s="300">
        <v>1.0</v>
      </c>
      <c r="G196" s="300">
        <v>1.0</v>
      </c>
      <c r="H196" s="300">
        <v>1.0</v>
      </c>
      <c r="I196" s="300">
        <v>1.0</v>
      </c>
      <c r="J196" s="300">
        <v>1.0</v>
      </c>
      <c r="K196" s="300">
        <v>1.0</v>
      </c>
      <c r="L196" s="300">
        <v>1.0</v>
      </c>
      <c r="M196" s="300">
        <v>1.0</v>
      </c>
      <c r="N196" s="300">
        <v>8.0</v>
      </c>
      <c r="O196" s="300" t="s">
        <v>788</v>
      </c>
      <c r="P196" s="300">
        <v>3.0</v>
      </c>
    </row>
    <row r="197">
      <c r="A197">
        <f>IFERROR(__xludf.DUMMYFUNCTION("""COMPUTED_VALUE"""),10.0)</f>
        <v>10</v>
      </c>
      <c r="B197" s="406">
        <f>IFERROR(__xludf.DUMMYFUNCTION("""COMPUTED_VALUE"""),28156.0)</f>
        <v>28156</v>
      </c>
      <c r="C197" t="str">
        <f>IFERROR(__xludf.DUMMYFUNCTION("""COMPUTED_VALUE"""),"URIBE CERON, SIMON")</f>
        <v>URIBE CERON, SIMON</v>
      </c>
      <c r="D197" t="str">
        <f>IFERROR(__xludf.DUMMYFUNCTION("""COMPUTED_VALUE"""),"AP Seminar")</f>
        <v>AP Seminar</v>
      </c>
      <c r="E197" s="3">
        <f>IFERROR(__xludf.DUMMYFUNCTION("""COMPUTED_VALUE"""),5.0)</f>
        <v>5</v>
      </c>
      <c r="F197" s="300">
        <v>1.0</v>
      </c>
      <c r="G197" s="300">
        <v>1.0</v>
      </c>
      <c r="H197" s="300">
        <v>1.0</v>
      </c>
      <c r="I197" s="300">
        <v>1.0</v>
      </c>
      <c r="J197" s="300">
        <v>1.0</v>
      </c>
      <c r="K197" s="300">
        <v>1.0</v>
      </c>
      <c r="L197" s="300">
        <v>1.0</v>
      </c>
      <c r="M197" s="300">
        <v>1.0</v>
      </c>
      <c r="N197" s="300">
        <v>8.0</v>
      </c>
      <c r="O197" s="300" t="s">
        <v>791</v>
      </c>
      <c r="P197" s="300">
        <v>3.0</v>
      </c>
    </row>
    <row r="198">
      <c r="A198">
        <f>IFERROR(__xludf.DUMMYFUNCTION("""COMPUTED_VALUE"""),10.0)</f>
        <v>10</v>
      </c>
      <c r="B198" s="406">
        <f>IFERROR(__xludf.DUMMYFUNCTION("""COMPUTED_VALUE"""),27009.0)</f>
        <v>27009</v>
      </c>
      <c r="C198" t="str">
        <f>IFERROR(__xludf.DUMMYFUNCTION("""COMPUTED_VALUE"""),"ARBELAEZ VELASQUEZ, ANTONIO")</f>
        <v>ARBELAEZ VELASQUEZ, ANTONIO</v>
      </c>
      <c r="D198" t="str">
        <f>IFERROR(__xludf.DUMMYFUNCTION("""COMPUTED_VALUE"""),"English 10")</f>
        <v>English 10</v>
      </c>
      <c r="E198" s="3">
        <f>IFERROR(__xludf.DUMMYFUNCTION("""COMPUTED_VALUE"""),5.0)</f>
        <v>5</v>
      </c>
      <c r="F198" s="300">
        <v>1.0</v>
      </c>
      <c r="G198" s="300">
        <v>1.0</v>
      </c>
      <c r="H198" s="300">
        <v>1.0</v>
      </c>
      <c r="I198" s="300">
        <v>1.0</v>
      </c>
      <c r="J198" s="300">
        <v>1.0</v>
      </c>
      <c r="K198" s="300">
        <v>1.0</v>
      </c>
      <c r="L198" s="300">
        <v>1.0</v>
      </c>
      <c r="M198" s="300">
        <v>1.0</v>
      </c>
      <c r="N198" s="300">
        <v>8.0</v>
      </c>
      <c r="O198" s="300" t="s">
        <v>790</v>
      </c>
      <c r="P198" s="300">
        <v>3.0</v>
      </c>
    </row>
    <row r="199">
      <c r="A199">
        <f>IFERROR(__xludf.DUMMYFUNCTION("""COMPUTED_VALUE"""),10.0)</f>
        <v>10</v>
      </c>
      <c r="B199" s="406">
        <f>IFERROR(__xludf.DUMMYFUNCTION("""COMPUTED_VALUE"""),28079.0)</f>
        <v>28079</v>
      </c>
      <c r="C199" t="str">
        <f>IFERROR(__xludf.DUMMYFUNCTION("""COMPUTED_VALUE"""),"OSPINA RESTREPO, INES")</f>
        <v>OSPINA RESTREPO, INES</v>
      </c>
      <c r="D199" t="str">
        <f>IFERROR(__xludf.DUMMYFUNCTION("""COMPUTED_VALUE"""),"AP Seminar")</f>
        <v>AP Seminar</v>
      </c>
      <c r="E199" s="3">
        <f>IFERROR(__xludf.DUMMYFUNCTION("""COMPUTED_VALUE"""),1.0)</f>
        <v>1</v>
      </c>
      <c r="F199" s="300">
        <v>1.0</v>
      </c>
      <c r="G199" s="300">
        <v>1.0</v>
      </c>
      <c r="H199" s="300">
        <v>1.0</v>
      </c>
      <c r="I199" s="300">
        <v>1.0</v>
      </c>
      <c r="J199" s="300">
        <v>1.0</v>
      </c>
      <c r="K199" s="300">
        <v>1.0</v>
      </c>
      <c r="L199" s="300">
        <v>1.0</v>
      </c>
      <c r="M199" s="300">
        <v>1.0</v>
      </c>
      <c r="N199" s="300">
        <v>8.0</v>
      </c>
      <c r="O199" s="300" t="s">
        <v>788</v>
      </c>
      <c r="P199" s="300">
        <v>3.0</v>
      </c>
    </row>
    <row r="200">
      <c r="A200">
        <f>IFERROR(__xludf.DUMMYFUNCTION("""COMPUTED_VALUE"""),10.0)</f>
        <v>10</v>
      </c>
      <c r="B200" s="406">
        <f>IFERROR(__xludf.DUMMYFUNCTION("""COMPUTED_VALUE"""),28062.0)</f>
        <v>28062</v>
      </c>
      <c r="C200" t="str">
        <f>IFERROR(__xludf.DUMMYFUNCTION("""COMPUTED_VALUE"""),"MEJIA DUQUE, JERONIMO")</f>
        <v>MEJIA DUQUE, JERONIMO</v>
      </c>
      <c r="D200" t="str">
        <f>IFERROR(__xludf.DUMMYFUNCTION("""COMPUTED_VALUE"""),"AP Seminar")</f>
        <v>AP Seminar</v>
      </c>
      <c r="E200" s="3">
        <f>IFERROR(__xludf.DUMMYFUNCTION("""COMPUTED_VALUE"""),6.0)</f>
        <v>6</v>
      </c>
      <c r="F200" s="300">
        <v>1.0</v>
      </c>
      <c r="G200" s="300">
        <v>1.0</v>
      </c>
      <c r="H200" s="300">
        <v>1.0</v>
      </c>
      <c r="I200" s="300">
        <v>1.0</v>
      </c>
      <c r="J200" s="300">
        <v>1.0</v>
      </c>
      <c r="K200" s="300">
        <v>1.0</v>
      </c>
      <c r="L200" s="300">
        <v>1.0</v>
      </c>
      <c r="M200" s="300">
        <v>1.0</v>
      </c>
      <c r="N200" s="300">
        <v>8.0</v>
      </c>
      <c r="O200" s="300" t="s">
        <v>789</v>
      </c>
      <c r="P200" s="300">
        <v>3.0</v>
      </c>
    </row>
    <row r="201">
      <c r="A201">
        <f>IFERROR(__xludf.DUMMYFUNCTION("""COMPUTED_VALUE"""),10.0)</f>
        <v>10</v>
      </c>
      <c r="B201" s="406">
        <f>IFERROR(__xludf.DUMMYFUNCTION("""COMPUTED_VALUE"""),28118.0)</f>
        <v>28118</v>
      </c>
      <c r="C201" t="str">
        <f>IFERROR(__xludf.DUMMYFUNCTION("""COMPUTED_VALUE"""),"VILLEGAS LONDOÑO, VIOLETA")</f>
        <v>VILLEGAS LONDOÑO, VIOLETA</v>
      </c>
      <c r="D201" t="str">
        <f>IFERROR(__xludf.DUMMYFUNCTION("""COMPUTED_VALUE"""),"AP Seminar")</f>
        <v>AP Seminar</v>
      </c>
      <c r="E201" s="3">
        <f>IFERROR(__xludf.DUMMYFUNCTION("""COMPUTED_VALUE"""),1.0)</f>
        <v>1</v>
      </c>
      <c r="F201" s="300">
        <v>1.0</v>
      </c>
      <c r="G201" s="300">
        <v>1.0</v>
      </c>
      <c r="H201" s="300">
        <v>1.0</v>
      </c>
      <c r="I201" s="300">
        <v>1.0</v>
      </c>
      <c r="J201" s="300">
        <v>1.0</v>
      </c>
      <c r="K201" s="300">
        <v>1.0</v>
      </c>
      <c r="L201" s="300">
        <v>1.0</v>
      </c>
      <c r="M201" s="300">
        <v>1.0</v>
      </c>
      <c r="N201" s="300">
        <v>8.0</v>
      </c>
      <c r="O201" s="300" t="s">
        <v>788</v>
      </c>
      <c r="P201" s="300">
        <v>3.0</v>
      </c>
    </row>
    <row r="202">
      <c r="A202">
        <f>IFERROR(__xludf.DUMMYFUNCTION("""COMPUTED_VALUE"""),10.0)</f>
        <v>10</v>
      </c>
      <c r="B202" s="406">
        <f>IFERROR(__xludf.DUMMYFUNCTION("""COMPUTED_VALUE"""),28030.0)</f>
        <v>28030</v>
      </c>
      <c r="C202" t="str">
        <f>IFERROR(__xludf.DUMMYFUNCTION("""COMPUTED_VALUE"""),"FRANCO USUGA, MARIA JOSE")</f>
        <v>FRANCO USUGA, MARIA JOSE</v>
      </c>
      <c r="D202" t="str">
        <f>IFERROR(__xludf.DUMMYFUNCTION("""COMPUTED_VALUE"""),"AP Seminar")</f>
        <v>AP Seminar</v>
      </c>
      <c r="E202" s="3">
        <f>IFERROR(__xludf.DUMMYFUNCTION("""COMPUTED_VALUE"""),5.0)</f>
        <v>5</v>
      </c>
      <c r="F202" s="300">
        <v>1.0</v>
      </c>
      <c r="G202" s="300">
        <v>1.0</v>
      </c>
      <c r="H202" s="300">
        <v>1.0</v>
      </c>
      <c r="I202" s="300">
        <v>1.0</v>
      </c>
      <c r="J202" s="300">
        <v>1.0</v>
      </c>
      <c r="K202" s="300">
        <v>1.0</v>
      </c>
      <c r="L202" s="300">
        <v>1.0</v>
      </c>
      <c r="M202" s="300">
        <v>1.0</v>
      </c>
      <c r="N202" s="300">
        <v>8.0</v>
      </c>
      <c r="O202" s="300" t="s">
        <v>791</v>
      </c>
      <c r="P202" s="300">
        <v>3.0</v>
      </c>
    </row>
    <row r="203">
      <c r="A203">
        <f>IFERROR(__xludf.DUMMYFUNCTION("""COMPUTED_VALUE"""),10.0)</f>
        <v>10</v>
      </c>
      <c r="B203" s="406">
        <f>IFERROR(__xludf.DUMMYFUNCTION("""COMPUTED_VALUE"""),28107.0)</f>
        <v>28107</v>
      </c>
      <c r="C203" t="str">
        <f>IFERROR(__xludf.DUMMYFUNCTION("""COMPUTED_VALUE"""),"TORO PEREZ, AMALIA")</f>
        <v>TORO PEREZ, AMALIA</v>
      </c>
      <c r="D203" t="str">
        <f>IFERROR(__xludf.DUMMYFUNCTION("""COMPUTED_VALUE"""),"English 10")</f>
        <v>English 10</v>
      </c>
      <c r="E203" s="3">
        <f>IFERROR(__xludf.DUMMYFUNCTION("""COMPUTED_VALUE"""),8.0)</f>
        <v>8</v>
      </c>
      <c r="F203" s="300">
        <v>1.0</v>
      </c>
      <c r="G203" s="300">
        <v>1.0</v>
      </c>
      <c r="H203" s="300">
        <v>1.0</v>
      </c>
      <c r="I203" s="300">
        <v>1.0</v>
      </c>
      <c r="J203" s="300">
        <v>1.0</v>
      </c>
      <c r="K203" s="300">
        <v>1.0</v>
      </c>
      <c r="L203" s="300">
        <v>1.0</v>
      </c>
      <c r="M203" s="300">
        <v>1.0</v>
      </c>
      <c r="N203" s="300">
        <v>8.0</v>
      </c>
      <c r="O203" s="300" t="s">
        <v>793</v>
      </c>
      <c r="P203" s="300">
        <v>3.0</v>
      </c>
    </row>
    <row r="204">
      <c r="A204">
        <f>IFERROR(__xludf.DUMMYFUNCTION("""COMPUTED_VALUE"""),10.0)</f>
        <v>10</v>
      </c>
      <c r="B204" s="406">
        <f>IFERROR(__xludf.DUMMYFUNCTION("""COMPUTED_VALUE"""),27057.0)</f>
        <v>27057</v>
      </c>
      <c r="C204" t="str">
        <f>IFERROR(__xludf.DUMMYFUNCTION("""COMPUTED_VALUE"""),"LAVERDE GIRALDO, MAXIMILIANO")</f>
        <v>LAVERDE GIRALDO, MAXIMILIANO</v>
      </c>
      <c r="D204" t="str">
        <f>IFERROR(__xludf.DUMMYFUNCTION("""COMPUTED_VALUE"""),"AP Seminar")</f>
        <v>AP Seminar</v>
      </c>
      <c r="E204" s="3">
        <f>IFERROR(__xludf.DUMMYFUNCTION("""COMPUTED_VALUE"""),5.0)</f>
        <v>5</v>
      </c>
      <c r="F204" s="300">
        <v>1.0</v>
      </c>
      <c r="G204" s="300">
        <v>1.0</v>
      </c>
      <c r="H204" s="300">
        <v>1.0</v>
      </c>
      <c r="I204" s="300">
        <v>1.0</v>
      </c>
      <c r="J204" s="300">
        <v>1.0</v>
      </c>
      <c r="K204" s="300">
        <v>1.0</v>
      </c>
      <c r="L204" s="300">
        <v>1.0</v>
      </c>
      <c r="M204" s="300">
        <v>1.0</v>
      </c>
      <c r="N204" s="300">
        <v>8.0</v>
      </c>
      <c r="O204" s="300" t="s">
        <v>791</v>
      </c>
      <c r="P204" s="300">
        <v>3.0</v>
      </c>
    </row>
    <row r="205">
      <c r="A205">
        <f>IFERROR(__xludf.DUMMYFUNCTION("""COMPUTED_VALUE"""),10.0)</f>
        <v>10</v>
      </c>
      <c r="B205" s="406">
        <f>IFERROR(__xludf.DUMMYFUNCTION("""COMPUTED_VALUE"""),28169.0)</f>
        <v>28169</v>
      </c>
      <c r="C205" t="str">
        <f>IFERROR(__xludf.DUMMYFUNCTION("""COMPUTED_VALUE"""),"BOTERO SPERA, ROSA")</f>
        <v>BOTERO SPERA, ROSA</v>
      </c>
      <c r="D205" t="str">
        <f>IFERROR(__xludf.DUMMYFUNCTION("""COMPUTED_VALUE"""),"AP Seminar")</f>
        <v>AP Seminar</v>
      </c>
      <c r="E205" s="3">
        <f>IFERROR(__xludf.DUMMYFUNCTION("""COMPUTED_VALUE"""),5.0)</f>
        <v>5</v>
      </c>
      <c r="F205" s="300">
        <v>1.0</v>
      </c>
      <c r="G205" s="300">
        <v>1.0</v>
      </c>
      <c r="H205" s="300">
        <v>1.0</v>
      </c>
      <c r="I205" s="300">
        <v>1.0</v>
      </c>
      <c r="J205" s="300">
        <v>1.0</v>
      </c>
      <c r="K205" s="300">
        <v>1.0</v>
      </c>
      <c r="L205" s="300">
        <v>1.0</v>
      </c>
      <c r="M205" s="300">
        <v>1.0</v>
      </c>
      <c r="N205" s="300">
        <v>8.0</v>
      </c>
      <c r="O205" s="300" t="s">
        <v>791</v>
      </c>
      <c r="P205" s="300">
        <v>3.0</v>
      </c>
    </row>
    <row r="206">
      <c r="A206">
        <f>IFERROR(__xludf.DUMMYFUNCTION("""COMPUTED_VALUE"""),10.0)</f>
        <v>10</v>
      </c>
      <c r="B206" s="406">
        <f>IFERROR(__xludf.DUMMYFUNCTION("""COMPUTED_VALUE"""),28015.0)</f>
        <v>28015</v>
      </c>
      <c r="C206" t="str">
        <f>IFERROR(__xludf.DUMMYFUNCTION("""COMPUTED_VALUE"""),"BOTERO BOTERO, EULALIA")</f>
        <v>BOTERO BOTERO, EULALIA</v>
      </c>
      <c r="D206" t="str">
        <f>IFERROR(__xludf.DUMMYFUNCTION("""COMPUTED_VALUE"""),"English 10")</f>
        <v>English 10</v>
      </c>
      <c r="E206" s="3">
        <f>IFERROR(__xludf.DUMMYFUNCTION("""COMPUTED_VALUE"""),8.0)</f>
        <v>8</v>
      </c>
      <c r="F206" s="300">
        <v>1.0</v>
      </c>
      <c r="G206" s="300">
        <v>1.0</v>
      </c>
      <c r="H206" s="300">
        <v>1.0</v>
      </c>
      <c r="I206" s="300">
        <v>1.0</v>
      </c>
      <c r="J206" s="300">
        <v>1.0</v>
      </c>
      <c r="K206" s="300">
        <v>1.0</v>
      </c>
      <c r="L206" s="300">
        <v>1.0</v>
      </c>
      <c r="M206" s="300">
        <v>1.0</v>
      </c>
      <c r="N206" s="300">
        <v>8.0</v>
      </c>
      <c r="O206" s="300" t="s">
        <v>793</v>
      </c>
      <c r="P206" s="300">
        <v>3.0</v>
      </c>
    </row>
    <row r="207">
      <c r="A207">
        <f>IFERROR(__xludf.DUMMYFUNCTION("""COMPUTED_VALUE"""),10.0)</f>
        <v>10</v>
      </c>
      <c r="B207" s="406">
        <f>IFERROR(__xludf.DUMMYFUNCTION("""COMPUTED_VALUE"""),28057.0)</f>
        <v>28057</v>
      </c>
      <c r="C207" t="str">
        <f>IFERROR(__xludf.DUMMYFUNCTION("""COMPUTED_VALUE"""),"MARTINEZ AGUILAR, AMELIA")</f>
        <v>MARTINEZ AGUILAR, AMELIA</v>
      </c>
      <c r="D207" t="str">
        <f>IFERROR(__xludf.DUMMYFUNCTION("""COMPUTED_VALUE"""),"AP Seminar")</f>
        <v>AP Seminar</v>
      </c>
      <c r="E207" s="3">
        <f>IFERROR(__xludf.DUMMYFUNCTION("""COMPUTED_VALUE"""),6.0)</f>
        <v>6</v>
      </c>
      <c r="F207" s="300">
        <v>1.0</v>
      </c>
      <c r="G207" s="300">
        <v>1.0</v>
      </c>
      <c r="H207" s="300">
        <v>1.0</v>
      </c>
      <c r="I207" s="300">
        <v>1.0</v>
      </c>
      <c r="J207" s="300">
        <v>1.0</v>
      </c>
      <c r="K207" s="300">
        <v>1.0</v>
      </c>
      <c r="L207" s="300">
        <v>1.0</v>
      </c>
      <c r="M207" s="300">
        <v>1.0</v>
      </c>
      <c r="N207" s="300">
        <v>8.0</v>
      </c>
      <c r="O207" s="300" t="s">
        <v>789</v>
      </c>
      <c r="P207" s="300">
        <v>3.0</v>
      </c>
    </row>
    <row r="208">
      <c r="A208">
        <f>IFERROR(__xludf.DUMMYFUNCTION("""COMPUTED_VALUE"""),10.0)</f>
        <v>10</v>
      </c>
      <c r="B208" s="406">
        <f>IFERROR(__xludf.DUMMYFUNCTION("""COMPUTED_VALUE"""),28135.0)</f>
        <v>28135</v>
      </c>
      <c r="C208" t="str">
        <f>IFERROR(__xludf.DUMMYFUNCTION("""COMPUTED_VALUE"""),"VELEZ RESTREPO, EMILIA")</f>
        <v>VELEZ RESTREPO, EMILIA</v>
      </c>
      <c r="D208" t="str">
        <f>IFERROR(__xludf.DUMMYFUNCTION("""COMPUTED_VALUE"""),"AP Seminar")</f>
        <v>AP Seminar</v>
      </c>
      <c r="E208" s="3">
        <f>IFERROR(__xludf.DUMMYFUNCTION("""COMPUTED_VALUE"""),6.0)</f>
        <v>6</v>
      </c>
      <c r="F208" s="300">
        <v>1.0</v>
      </c>
      <c r="G208" s="300">
        <v>1.0</v>
      </c>
      <c r="H208" s="300">
        <v>1.0</v>
      </c>
      <c r="I208" s="300">
        <v>1.0</v>
      </c>
      <c r="J208" s="300">
        <v>1.0</v>
      </c>
      <c r="K208" s="300">
        <v>1.0</v>
      </c>
      <c r="L208" s="300">
        <v>1.0</v>
      </c>
      <c r="M208" s="300">
        <v>1.0</v>
      </c>
      <c r="N208" s="300">
        <v>8.0</v>
      </c>
      <c r="O208" s="300" t="s">
        <v>789</v>
      </c>
      <c r="P208" s="300">
        <v>3.0</v>
      </c>
    </row>
    <row r="209">
      <c r="A209">
        <f>IFERROR(__xludf.DUMMYFUNCTION("""COMPUTED_VALUE"""),10.0)</f>
        <v>10</v>
      </c>
      <c r="B209" s="406">
        <f>IFERROR(__xludf.DUMMYFUNCTION("""COMPUTED_VALUE"""),28137.0)</f>
        <v>28137</v>
      </c>
      <c r="C209" t="str">
        <f>IFERROR(__xludf.DUMMYFUNCTION("""COMPUTED_VALUE"""),"JARAMILLO PEÑA, PAULA ANDREA")</f>
        <v>JARAMILLO PEÑA, PAULA ANDREA</v>
      </c>
      <c r="D209" t="str">
        <f>IFERROR(__xludf.DUMMYFUNCTION("""COMPUTED_VALUE"""),"English 10")</f>
        <v>English 10</v>
      </c>
      <c r="E209" s="3">
        <f>IFERROR(__xludf.DUMMYFUNCTION("""COMPUTED_VALUE"""),5.0)</f>
        <v>5</v>
      </c>
      <c r="F209" s="300">
        <v>1.0</v>
      </c>
      <c r="G209" s="300">
        <v>1.0</v>
      </c>
      <c r="H209" s="300">
        <v>1.0</v>
      </c>
      <c r="I209" s="300">
        <v>1.0</v>
      </c>
      <c r="J209" s="300">
        <v>1.0</v>
      </c>
      <c r="K209" s="300">
        <v>1.0</v>
      </c>
      <c r="L209" s="300">
        <v>1.0</v>
      </c>
      <c r="M209" s="300">
        <v>1.0</v>
      </c>
      <c r="N209" s="300">
        <v>8.0</v>
      </c>
      <c r="O209" s="300" t="s">
        <v>790</v>
      </c>
      <c r="P209" s="300">
        <v>3.0</v>
      </c>
    </row>
    <row r="210">
      <c r="A210">
        <f>IFERROR(__xludf.DUMMYFUNCTION("""COMPUTED_VALUE"""),10.0)</f>
        <v>10</v>
      </c>
      <c r="B210" s="406">
        <f>IFERROR(__xludf.DUMMYFUNCTION("""COMPUTED_VALUE"""),28028.0)</f>
        <v>28028</v>
      </c>
      <c r="C210" t="str">
        <f>IFERROR(__xludf.DUMMYFUNCTION("""COMPUTED_VALUE"""),"FERRER ESCOBAR, JUAN MARTIN")</f>
        <v>FERRER ESCOBAR, JUAN MARTIN</v>
      </c>
      <c r="D210" t="str">
        <f>IFERROR(__xludf.DUMMYFUNCTION("""COMPUTED_VALUE"""),"AP Seminar")</f>
        <v>AP Seminar</v>
      </c>
      <c r="E210" s="3">
        <f>IFERROR(__xludf.DUMMYFUNCTION("""COMPUTED_VALUE"""),6.0)</f>
        <v>6</v>
      </c>
      <c r="F210" s="300">
        <v>1.0</v>
      </c>
      <c r="G210" s="300">
        <v>1.0</v>
      </c>
      <c r="H210" s="300">
        <v>1.0</v>
      </c>
      <c r="I210" s="300">
        <v>1.0</v>
      </c>
      <c r="J210" s="300">
        <v>1.0</v>
      </c>
      <c r="K210" s="300">
        <v>1.0</v>
      </c>
      <c r="L210" s="300">
        <v>1.0</v>
      </c>
      <c r="M210" s="300">
        <v>1.0</v>
      </c>
      <c r="N210" s="300">
        <v>8.0</v>
      </c>
      <c r="O210" s="300" t="s">
        <v>789</v>
      </c>
      <c r="P210" s="300">
        <v>3.0</v>
      </c>
    </row>
    <row r="211">
      <c r="A211">
        <f>IFERROR(__xludf.DUMMYFUNCTION("""COMPUTED_VALUE"""),10.0)</f>
        <v>10</v>
      </c>
      <c r="B211" s="406">
        <f>IFERROR(__xludf.DUMMYFUNCTION("""COMPUTED_VALUE"""),28014.0)</f>
        <v>28014</v>
      </c>
      <c r="C211" t="str">
        <f>IFERROR(__xludf.DUMMYFUNCTION("""COMPUTED_VALUE"""),"BETANCUR VILLEGAS, MIGUEL")</f>
        <v>BETANCUR VILLEGAS, MIGUEL</v>
      </c>
      <c r="D211" t="str">
        <f>IFERROR(__xludf.DUMMYFUNCTION("""COMPUTED_VALUE"""),"English 10")</f>
        <v>English 10</v>
      </c>
      <c r="E211" s="3">
        <f>IFERROR(__xludf.DUMMYFUNCTION("""COMPUTED_VALUE"""),2.0)</f>
        <v>2</v>
      </c>
      <c r="F211" s="300">
        <v>1.0</v>
      </c>
      <c r="G211" s="300">
        <v>1.0</v>
      </c>
      <c r="H211" s="300">
        <v>1.0</v>
      </c>
      <c r="I211" s="300">
        <v>1.0</v>
      </c>
      <c r="J211" s="300">
        <v>1.0</v>
      </c>
      <c r="K211" s="300">
        <v>1.0</v>
      </c>
      <c r="L211" s="300">
        <v>1.0</v>
      </c>
      <c r="M211" s="300">
        <v>1.0</v>
      </c>
      <c r="N211" s="300">
        <v>8.0</v>
      </c>
      <c r="O211" s="300" t="s">
        <v>792</v>
      </c>
      <c r="P211" s="300">
        <v>3.0</v>
      </c>
    </row>
    <row r="212">
      <c r="A212">
        <f>IFERROR(__xludf.DUMMYFUNCTION("""COMPUTED_VALUE"""),10.0)</f>
        <v>10</v>
      </c>
      <c r="B212" s="406">
        <f>IFERROR(__xludf.DUMMYFUNCTION("""COMPUTED_VALUE"""),28075.0)</f>
        <v>28075</v>
      </c>
      <c r="C212" t="str">
        <f>IFERROR(__xludf.DUMMYFUNCTION("""COMPUTED_VALUE"""),"OCHOA HURTADO, ELENA")</f>
        <v>OCHOA HURTADO, ELENA</v>
      </c>
      <c r="D212" t="str">
        <f>IFERROR(__xludf.DUMMYFUNCTION("""COMPUTED_VALUE"""),"English 10")</f>
        <v>English 10</v>
      </c>
      <c r="E212" s="3">
        <f>IFERROR(__xludf.DUMMYFUNCTION("""COMPUTED_VALUE"""),8.0)</f>
        <v>8</v>
      </c>
      <c r="F212" s="300">
        <v>1.0</v>
      </c>
      <c r="G212" s="300">
        <v>1.0</v>
      </c>
      <c r="H212" s="300">
        <v>1.0</v>
      </c>
      <c r="I212" s="300">
        <v>1.0</v>
      </c>
      <c r="J212" s="300">
        <v>1.0</v>
      </c>
      <c r="K212" s="300">
        <v>1.0</v>
      </c>
      <c r="L212" s="300">
        <v>1.0</v>
      </c>
      <c r="M212" s="300">
        <v>1.0</v>
      </c>
      <c r="N212" s="300">
        <v>8.0</v>
      </c>
      <c r="O212" s="300" t="s">
        <v>793</v>
      </c>
      <c r="P212" s="300">
        <v>3.0</v>
      </c>
    </row>
    <row r="213">
      <c r="A213">
        <f>IFERROR(__xludf.DUMMYFUNCTION("""COMPUTED_VALUE"""),10.0)</f>
        <v>10</v>
      </c>
      <c r="B213" s="406">
        <f>IFERROR(__xludf.DUMMYFUNCTION("""COMPUTED_VALUE"""),28165.0)</f>
        <v>28165</v>
      </c>
      <c r="C213" t="str">
        <f>IFERROR(__xludf.DUMMYFUNCTION("""COMPUTED_VALUE"""),"ARANA CARREÑO, MARIA ANTONIA")</f>
        <v>ARANA CARREÑO, MARIA ANTONIA</v>
      </c>
      <c r="D213" t="str">
        <f>IFERROR(__xludf.DUMMYFUNCTION("""COMPUTED_VALUE"""),"English 10")</f>
        <v>English 10</v>
      </c>
      <c r="E213" s="3">
        <f>IFERROR(__xludf.DUMMYFUNCTION("""COMPUTED_VALUE"""),5.0)</f>
        <v>5</v>
      </c>
      <c r="F213" s="300">
        <v>1.0</v>
      </c>
      <c r="G213" s="300">
        <v>1.0</v>
      </c>
      <c r="H213" s="300">
        <v>1.0</v>
      </c>
      <c r="I213" s="300">
        <v>1.0</v>
      </c>
      <c r="J213" s="300">
        <v>1.0</v>
      </c>
      <c r="K213" s="300">
        <v>1.0</v>
      </c>
      <c r="L213" s="300">
        <v>1.0</v>
      </c>
      <c r="M213" s="300">
        <v>1.0</v>
      </c>
      <c r="N213" s="300">
        <v>8.0</v>
      </c>
      <c r="O213" s="300" t="s">
        <v>790</v>
      </c>
      <c r="P213" s="300">
        <v>3.0</v>
      </c>
    </row>
    <row r="214">
      <c r="A214">
        <f>IFERROR(__xludf.DUMMYFUNCTION("""COMPUTED_VALUE"""),10.0)</f>
        <v>10</v>
      </c>
      <c r="B214" s="406">
        <f>IFERROR(__xludf.DUMMYFUNCTION("""COMPUTED_VALUE"""),28142.0)</f>
        <v>28142</v>
      </c>
      <c r="C214" t="str">
        <f>IFERROR(__xludf.DUMMYFUNCTION("""COMPUTED_VALUE"""),"BOTERO BETANCOURT, NICOLAS")</f>
        <v>BOTERO BETANCOURT, NICOLAS</v>
      </c>
      <c r="D214" t="str">
        <f>IFERROR(__xludf.DUMMYFUNCTION("""COMPUTED_VALUE"""),"English 10")</f>
        <v>English 10</v>
      </c>
      <c r="E214" s="3">
        <f>IFERROR(__xludf.DUMMYFUNCTION("""COMPUTED_VALUE"""),2.0)</f>
        <v>2</v>
      </c>
      <c r="F214" s="300">
        <v>1.0</v>
      </c>
      <c r="G214" s="300">
        <v>1.0</v>
      </c>
      <c r="H214" s="300">
        <v>1.0</v>
      </c>
      <c r="I214" s="300">
        <v>1.0</v>
      </c>
      <c r="J214" s="300">
        <v>1.0</v>
      </c>
      <c r="K214" s="300">
        <v>1.0</v>
      </c>
      <c r="L214" s="300">
        <v>1.0</v>
      </c>
      <c r="M214" s="300">
        <v>1.0</v>
      </c>
      <c r="N214" s="300">
        <v>8.0</v>
      </c>
      <c r="O214" s="300" t="s">
        <v>792</v>
      </c>
      <c r="P214" s="300">
        <v>3.0</v>
      </c>
    </row>
    <row r="215">
      <c r="A215">
        <f>IFERROR(__xludf.DUMMYFUNCTION("""COMPUTED_VALUE"""),10.0)</f>
        <v>10</v>
      </c>
      <c r="B215" s="406">
        <f>IFERROR(__xludf.DUMMYFUNCTION("""COMPUTED_VALUE"""),27008.0)</f>
        <v>27008</v>
      </c>
      <c r="C215" t="str">
        <f>IFERROR(__xludf.DUMMYFUNCTION("""COMPUTED_VALUE"""),"ARBELAEZ VELASQUEZ, AGUSTIN")</f>
        <v>ARBELAEZ VELASQUEZ, AGUSTIN</v>
      </c>
      <c r="D215" t="str">
        <f>IFERROR(__xludf.DUMMYFUNCTION("""COMPUTED_VALUE"""),"English 10")</f>
        <v>English 10</v>
      </c>
      <c r="E215" s="3">
        <f>IFERROR(__xludf.DUMMYFUNCTION("""COMPUTED_VALUE"""),5.0)</f>
        <v>5</v>
      </c>
      <c r="F215" s="300">
        <v>1.0</v>
      </c>
      <c r="G215" s="300">
        <v>1.0</v>
      </c>
      <c r="H215" s="300">
        <v>1.0</v>
      </c>
      <c r="I215" s="300">
        <v>1.0</v>
      </c>
      <c r="J215" s="300">
        <v>1.0</v>
      </c>
      <c r="K215" s="300">
        <v>1.0</v>
      </c>
      <c r="L215" s="300">
        <v>1.0</v>
      </c>
      <c r="M215" s="300">
        <v>1.0</v>
      </c>
      <c r="N215" s="300">
        <v>8.0</v>
      </c>
      <c r="O215" s="300" t="s">
        <v>790</v>
      </c>
      <c r="P215" s="300">
        <v>3.0</v>
      </c>
    </row>
    <row r="216">
      <c r="A216">
        <f>IFERROR(__xludf.DUMMYFUNCTION("""COMPUTED_VALUE"""),10.0)</f>
        <v>10</v>
      </c>
      <c r="B216" s="406">
        <f>IFERROR(__xludf.DUMMYFUNCTION("""COMPUTED_VALUE"""),28161.0)</f>
        <v>28161</v>
      </c>
      <c r="C216" t="str">
        <f>IFERROR(__xludf.DUMMYFUNCTION("""COMPUTED_VALUE"""),"GAVIRIA GOMEZ, JUAN ANDRES")</f>
        <v>GAVIRIA GOMEZ, JUAN ANDRES</v>
      </c>
      <c r="D216" t="str">
        <f>IFERROR(__xludf.DUMMYFUNCTION("""COMPUTED_VALUE"""),"AP Seminar")</f>
        <v>AP Seminar</v>
      </c>
      <c r="E216" s="3">
        <f>IFERROR(__xludf.DUMMYFUNCTION("""COMPUTED_VALUE"""),5.0)</f>
        <v>5</v>
      </c>
      <c r="F216" s="300">
        <v>1.0</v>
      </c>
      <c r="G216" s="300">
        <v>1.0</v>
      </c>
      <c r="H216" s="300">
        <v>1.0</v>
      </c>
      <c r="I216" s="300">
        <v>1.0</v>
      </c>
      <c r="J216" s="300">
        <v>1.0</v>
      </c>
      <c r="K216" s="300">
        <v>1.0</v>
      </c>
      <c r="L216" s="300">
        <v>1.0</v>
      </c>
      <c r="M216" s="300">
        <v>1.0</v>
      </c>
      <c r="N216" s="300">
        <v>8.0</v>
      </c>
      <c r="O216" s="300" t="s">
        <v>791</v>
      </c>
      <c r="P216" s="300">
        <v>3.0</v>
      </c>
    </row>
    <row r="217">
      <c r="A217">
        <f>IFERROR(__xludf.DUMMYFUNCTION("""COMPUTED_VALUE"""),10.0)</f>
        <v>10</v>
      </c>
      <c r="B217" s="406">
        <f>IFERROR(__xludf.DUMMYFUNCTION("""COMPUTED_VALUE"""),28040.0)</f>
        <v>28040</v>
      </c>
      <c r="C217" t="str">
        <f>IFERROR(__xludf.DUMMYFUNCTION("""COMPUTED_VALUE"""),"GONZALEZ MARIN, MANUELA")</f>
        <v>GONZALEZ MARIN, MANUELA</v>
      </c>
      <c r="D217" t="str">
        <f>IFERROR(__xludf.DUMMYFUNCTION("""COMPUTED_VALUE"""),"AP Seminar")</f>
        <v>AP Seminar</v>
      </c>
      <c r="E217" s="3">
        <f>IFERROR(__xludf.DUMMYFUNCTION("""COMPUTED_VALUE"""),6.0)</f>
        <v>6</v>
      </c>
      <c r="F217" s="300">
        <v>1.0</v>
      </c>
      <c r="G217" s="300">
        <v>1.0</v>
      </c>
      <c r="H217" s="300">
        <v>1.0</v>
      </c>
      <c r="I217" s="300">
        <v>1.0</v>
      </c>
      <c r="J217" s="300">
        <v>1.0</v>
      </c>
      <c r="K217" s="300">
        <v>1.0</v>
      </c>
      <c r="L217" s="300">
        <v>1.0</v>
      </c>
      <c r="M217" s="300">
        <v>1.0</v>
      </c>
      <c r="N217" s="300">
        <v>8.0</v>
      </c>
      <c r="O217" s="300" t="s">
        <v>789</v>
      </c>
      <c r="P217" s="300">
        <v>3.0</v>
      </c>
    </row>
    <row r="218">
      <c r="A218">
        <f>IFERROR(__xludf.DUMMYFUNCTION("""COMPUTED_VALUE"""),10.0)</f>
        <v>10</v>
      </c>
      <c r="B218" s="406">
        <f>IFERROR(__xludf.DUMMYFUNCTION("""COMPUTED_VALUE"""),28007.0)</f>
        <v>28007</v>
      </c>
      <c r="C218" t="str">
        <f>IFERROR(__xludf.DUMMYFUNCTION("""COMPUTED_VALUE"""),"ARISTIZABAL SALAZAR, MIGUEL")</f>
        <v>ARISTIZABAL SALAZAR, MIGUEL</v>
      </c>
      <c r="D218" t="str">
        <f>IFERROR(__xludf.DUMMYFUNCTION("""COMPUTED_VALUE"""),"English 10")</f>
        <v>English 10</v>
      </c>
      <c r="E218" s="3">
        <f>IFERROR(__xludf.DUMMYFUNCTION("""COMPUTED_VALUE"""),8.0)</f>
        <v>8</v>
      </c>
      <c r="F218" s="300">
        <v>1.0</v>
      </c>
      <c r="G218" s="300">
        <v>1.0</v>
      </c>
      <c r="H218" s="300">
        <v>1.0</v>
      </c>
      <c r="I218" s="300">
        <v>1.0</v>
      </c>
      <c r="J218" s="300">
        <v>1.0</v>
      </c>
      <c r="K218" s="300">
        <v>1.0</v>
      </c>
      <c r="L218" s="300">
        <v>1.0</v>
      </c>
      <c r="M218" s="300">
        <v>1.0</v>
      </c>
      <c r="N218" s="300">
        <v>8.0</v>
      </c>
      <c r="O218" s="300" t="s">
        <v>793</v>
      </c>
      <c r="P218" s="300">
        <v>3.0</v>
      </c>
    </row>
    <row r="219">
      <c r="A219">
        <f>IFERROR(__xludf.DUMMYFUNCTION("""COMPUTED_VALUE"""),10.0)</f>
        <v>10</v>
      </c>
      <c r="B219" s="406">
        <f>IFERROR(__xludf.DUMMYFUNCTION("""COMPUTED_VALUE"""),28047.0)</f>
        <v>28047</v>
      </c>
      <c r="C219" t="str">
        <f>IFERROR(__xludf.DUMMYFUNCTION("""COMPUTED_VALUE"""),"ISAZA BETANCUR, CRISTOBAL")</f>
        <v>ISAZA BETANCUR, CRISTOBAL</v>
      </c>
      <c r="D219" t="str">
        <f>IFERROR(__xludf.DUMMYFUNCTION("""COMPUTED_VALUE"""),"AP Seminar")</f>
        <v>AP Seminar</v>
      </c>
      <c r="E219" s="3">
        <f>IFERROR(__xludf.DUMMYFUNCTION("""COMPUTED_VALUE"""),6.0)</f>
        <v>6</v>
      </c>
      <c r="F219" s="300">
        <v>1.0</v>
      </c>
      <c r="G219" s="300">
        <v>1.0</v>
      </c>
      <c r="H219" s="300">
        <v>1.0</v>
      </c>
      <c r="I219" s="300">
        <v>1.0</v>
      </c>
      <c r="J219" s="300">
        <v>1.0</v>
      </c>
      <c r="K219" s="300">
        <v>1.0</v>
      </c>
      <c r="L219" s="300">
        <v>1.0</v>
      </c>
      <c r="M219" s="300">
        <v>1.0</v>
      </c>
      <c r="N219" s="300">
        <v>8.0</v>
      </c>
      <c r="O219" s="300" t="s">
        <v>789</v>
      </c>
      <c r="P219" s="300">
        <v>3.0</v>
      </c>
    </row>
    <row r="220">
      <c r="A220">
        <f>IFERROR(__xludf.DUMMYFUNCTION("""COMPUTED_VALUE"""),10.0)</f>
        <v>10</v>
      </c>
      <c r="B220" s="406">
        <f>IFERROR(__xludf.DUMMYFUNCTION("""COMPUTED_VALUE"""),28111.0)</f>
        <v>28111</v>
      </c>
      <c r="C220" t="str">
        <f>IFERROR(__xludf.DUMMYFUNCTION("""COMPUTED_VALUE"""),"GARCES RIVERA, MATHIAS")</f>
        <v>GARCES RIVERA, MATHIAS</v>
      </c>
      <c r="D220" t="str">
        <f>IFERROR(__xludf.DUMMYFUNCTION("""COMPUTED_VALUE"""),"AP Seminar")</f>
        <v>AP Seminar</v>
      </c>
      <c r="E220" s="3">
        <f>IFERROR(__xludf.DUMMYFUNCTION("""COMPUTED_VALUE"""),6.0)</f>
        <v>6</v>
      </c>
      <c r="F220" s="300">
        <v>1.0</v>
      </c>
      <c r="G220" s="300">
        <v>1.0</v>
      </c>
      <c r="H220" s="300">
        <v>1.0</v>
      </c>
      <c r="I220" s="300">
        <v>1.0</v>
      </c>
      <c r="J220" s="300">
        <v>1.0</v>
      </c>
      <c r="K220" s="300">
        <v>1.0</v>
      </c>
      <c r="L220" s="300">
        <v>1.0</v>
      </c>
      <c r="M220" s="300">
        <v>1.0</v>
      </c>
      <c r="N220" s="300">
        <v>8.0</v>
      </c>
      <c r="O220" s="300" t="s">
        <v>789</v>
      </c>
      <c r="P220" s="300">
        <v>3.0</v>
      </c>
    </row>
    <row r="221">
      <c r="A221">
        <f>IFERROR(__xludf.DUMMYFUNCTION("""COMPUTED_VALUE"""),10.0)</f>
        <v>10</v>
      </c>
      <c r="B221" s="406">
        <f>IFERROR(__xludf.DUMMYFUNCTION("""COMPUTED_VALUE"""),28011.0)</f>
        <v>28011</v>
      </c>
      <c r="C221" t="str">
        <f>IFERROR(__xludf.DUMMYFUNCTION("""COMPUTED_VALUE"""),"BAQUERO GARCIA, PASCUAL")</f>
        <v>BAQUERO GARCIA, PASCUAL</v>
      </c>
      <c r="D221" t="str">
        <f>IFERROR(__xludf.DUMMYFUNCTION("""COMPUTED_VALUE"""),"AP Seminar")</f>
        <v>AP Seminar</v>
      </c>
      <c r="E221" s="3">
        <f>IFERROR(__xludf.DUMMYFUNCTION("""COMPUTED_VALUE"""),1.0)</f>
        <v>1</v>
      </c>
      <c r="F221" s="300">
        <v>1.0</v>
      </c>
      <c r="G221" s="300">
        <v>1.0</v>
      </c>
      <c r="H221" s="300">
        <v>1.0</v>
      </c>
      <c r="I221" s="300">
        <v>1.0</v>
      </c>
      <c r="J221" s="300">
        <v>1.0</v>
      </c>
      <c r="K221" s="300">
        <v>1.0</v>
      </c>
      <c r="L221" s="300">
        <v>1.0</v>
      </c>
      <c r="M221" s="300">
        <v>1.0</v>
      </c>
      <c r="N221" s="300">
        <v>8.0</v>
      </c>
      <c r="O221" s="300" t="s">
        <v>788</v>
      </c>
      <c r="P221" s="300">
        <v>3.0</v>
      </c>
    </row>
    <row r="222">
      <c r="A222">
        <f>IFERROR(__xludf.DUMMYFUNCTION("""COMPUTED_VALUE"""),10.0)</f>
        <v>10</v>
      </c>
      <c r="B222" s="406">
        <f>IFERROR(__xludf.DUMMYFUNCTION("""COMPUTED_VALUE"""),28115.0)</f>
        <v>28115</v>
      </c>
      <c r="C222" t="str">
        <f>IFERROR(__xludf.DUMMYFUNCTION("""COMPUTED_VALUE"""),"VELEZ ECHAVARRIA, AMELIA")</f>
        <v>VELEZ ECHAVARRIA, AMELIA</v>
      </c>
      <c r="D222" t="str">
        <f>IFERROR(__xludf.DUMMYFUNCTION("""COMPUTED_VALUE"""),"AP Seminar")</f>
        <v>AP Seminar</v>
      </c>
      <c r="E222" s="3">
        <f>IFERROR(__xludf.DUMMYFUNCTION("""COMPUTED_VALUE"""),5.0)</f>
        <v>5</v>
      </c>
      <c r="F222" s="300">
        <v>1.0</v>
      </c>
      <c r="G222" s="300">
        <v>1.0</v>
      </c>
      <c r="H222" s="300">
        <v>1.0</v>
      </c>
      <c r="I222" s="300">
        <v>1.0</v>
      </c>
      <c r="J222" s="300">
        <v>1.0</v>
      </c>
      <c r="K222" s="300">
        <v>1.0</v>
      </c>
      <c r="L222" s="300">
        <v>1.0</v>
      </c>
      <c r="M222" s="300">
        <v>1.0</v>
      </c>
      <c r="N222" s="300">
        <v>8.0</v>
      </c>
      <c r="O222" s="300" t="s">
        <v>791</v>
      </c>
      <c r="P222" s="300">
        <v>3.0</v>
      </c>
    </row>
    <row r="223">
      <c r="A223">
        <f>IFERROR(__xludf.DUMMYFUNCTION("""COMPUTED_VALUE"""),10.0)</f>
        <v>10</v>
      </c>
      <c r="B223" s="406">
        <f>IFERROR(__xludf.DUMMYFUNCTION("""COMPUTED_VALUE"""),28106.0)</f>
        <v>28106</v>
      </c>
      <c r="C223" t="str">
        <f>IFERROR(__xludf.DUMMYFUNCTION("""COMPUTED_VALUE"""),"TOBON PEÑALOZA, PEDRO")</f>
        <v>TOBON PEÑALOZA, PEDRO</v>
      </c>
      <c r="D223" t="str">
        <f>IFERROR(__xludf.DUMMYFUNCTION("""COMPUTED_VALUE"""),"AP Seminar")</f>
        <v>AP Seminar</v>
      </c>
      <c r="E223" s="3">
        <f>IFERROR(__xludf.DUMMYFUNCTION("""COMPUTED_VALUE"""),1.0)</f>
        <v>1</v>
      </c>
      <c r="F223" s="300">
        <v>1.0</v>
      </c>
      <c r="G223" s="300">
        <v>1.0</v>
      </c>
      <c r="H223" s="300">
        <v>1.0</v>
      </c>
      <c r="I223" s="300">
        <v>1.0</v>
      </c>
      <c r="J223" s="300">
        <v>1.0</v>
      </c>
      <c r="K223" s="300">
        <v>1.0</v>
      </c>
      <c r="L223" s="300">
        <v>1.0</v>
      </c>
      <c r="M223" s="300">
        <v>1.0</v>
      </c>
      <c r="N223" s="300">
        <v>8.0</v>
      </c>
      <c r="O223" s="300" t="s">
        <v>788</v>
      </c>
      <c r="P223" s="300">
        <v>3.0</v>
      </c>
    </row>
    <row r="224">
      <c r="A224">
        <f>IFERROR(__xludf.DUMMYFUNCTION("""COMPUTED_VALUE"""),10.0)</f>
        <v>10</v>
      </c>
      <c r="B224" s="406">
        <f>IFERROR(__xludf.DUMMYFUNCTION("""COMPUTED_VALUE"""),28004.0)</f>
        <v>28004</v>
      </c>
      <c r="C224" t="str">
        <f>IFERROR(__xludf.DUMMYFUNCTION("""COMPUTED_VALUE"""),"ARANGO FERNANDEZ, AGUSTIN")</f>
        <v>ARANGO FERNANDEZ, AGUSTIN</v>
      </c>
      <c r="D224" t="str">
        <f>IFERROR(__xludf.DUMMYFUNCTION("""COMPUTED_VALUE"""),"English 10")</f>
        <v>English 10</v>
      </c>
      <c r="E224" s="3">
        <f>IFERROR(__xludf.DUMMYFUNCTION("""COMPUTED_VALUE"""),8.0)</f>
        <v>8</v>
      </c>
      <c r="F224" s="300">
        <v>1.0</v>
      </c>
      <c r="G224" s="300">
        <v>1.0</v>
      </c>
      <c r="H224" s="300">
        <v>1.0</v>
      </c>
      <c r="I224" s="300">
        <v>1.0</v>
      </c>
      <c r="J224" s="300">
        <v>1.0</v>
      </c>
      <c r="K224" s="300">
        <v>1.0</v>
      </c>
      <c r="L224" s="300">
        <v>1.0</v>
      </c>
      <c r="M224" s="300">
        <v>1.0</v>
      </c>
      <c r="N224" s="300">
        <v>8.0</v>
      </c>
      <c r="O224" s="300" t="s">
        <v>793</v>
      </c>
      <c r="P224" s="300">
        <v>3.0</v>
      </c>
    </row>
    <row r="225">
      <c r="A225">
        <f>IFERROR(__xludf.DUMMYFUNCTION("""COMPUTED_VALUE"""),10.0)</f>
        <v>10</v>
      </c>
      <c r="B225" s="406">
        <f>IFERROR(__xludf.DUMMYFUNCTION("""COMPUTED_VALUE"""),28001.0)</f>
        <v>28001</v>
      </c>
      <c r="C225" t="str">
        <f>IFERROR(__xludf.DUMMYFUNCTION("""COMPUTED_VALUE"""),"ABAD OLARTE, LUCIA")</f>
        <v>ABAD OLARTE, LUCIA</v>
      </c>
      <c r="D225" t="str">
        <f>IFERROR(__xludf.DUMMYFUNCTION("""COMPUTED_VALUE"""),"English 10")</f>
        <v>English 10</v>
      </c>
      <c r="E225" s="3">
        <f>IFERROR(__xludf.DUMMYFUNCTION("""COMPUTED_VALUE"""),8.0)</f>
        <v>8</v>
      </c>
      <c r="F225" s="300">
        <v>1.0</v>
      </c>
      <c r="G225" s="300">
        <v>1.0</v>
      </c>
      <c r="H225" s="300">
        <v>1.0</v>
      </c>
      <c r="I225" s="300">
        <v>1.0</v>
      </c>
      <c r="J225" s="300">
        <v>1.0</v>
      </c>
      <c r="K225" s="300">
        <v>1.0</v>
      </c>
      <c r="L225" s="300">
        <v>1.0</v>
      </c>
      <c r="M225" s="300">
        <v>1.0</v>
      </c>
      <c r="N225" s="300">
        <v>8.0</v>
      </c>
      <c r="O225" s="300" t="s">
        <v>793</v>
      </c>
      <c r="P225" s="300">
        <v>3.0</v>
      </c>
    </row>
    <row r="226">
      <c r="A226">
        <f>IFERROR(__xludf.DUMMYFUNCTION("""COMPUTED_VALUE"""),10.0)</f>
        <v>10</v>
      </c>
      <c r="B226" s="406">
        <f>IFERROR(__xludf.DUMMYFUNCTION("""COMPUTED_VALUE"""),28055.0)</f>
        <v>28055</v>
      </c>
      <c r="C226" t="str">
        <f>IFERROR(__xludf.DUMMYFUNCTION("""COMPUTED_VALUE"""),"JARAMILLO OCHOA, LUCIANA")</f>
        <v>JARAMILLO OCHOA, LUCIANA</v>
      </c>
      <c r="D226" t="str">
        <f>IFERROR(__xludf.DUMMYFUNCTION("""COMPUTED_VALUE"""),"English 10")</f>
        <v>English 10</v>
      </c>
      <c r="E226" s="3">
        <f>IFERROR(__xludf.DUMMYFUNCTION("""COMPUTED_VALUE"""),5.0)</f>
        <v>5</v>
      </c>
      <c r="F226" s="300">
        <v>1.0</v>
      </c>
      <c r="G226" s="300">
        <v>1.0</v>
      </c>
      <c r="H226" s="300">
        <v>1.0</v>
      </c>
      <c r="I226" s="300">
        <v>1.0</v>
      </c>
      <c r="J226" s="300">
        <v>1.0</v>
      </c>
      <c r="K226" s="300">
        <v>1.0</v>
      </c>
      <c r="L226" s="300">
        <v>1.0</v>
      </c>
      <c r="M226" s="300">
        <v>1.0</v>
      </c>
      <c r="N226" s="300">
        <v>8.0</v>
      </c>
      <c r="O226" s="300" t="s">
        <v>790</v>
      </c>
      <c r="P226" s="300">
        <v>3.0</v>
      </c>
    </row>
    <row r="227">
      <c r="A227">
        <f>IFERROR(__xludf.DUMMYFUNCTION("""COMPUTED_VALUE"""),10.0)</f>
        <v>10</v>
      </c>
      <c r="B227" s="406">
        <f>IFERROR(__xludf.DUMMYFUNCTION("""COMPUTED_VALUE"""),28009.0)</f>
        <v>28009</v>
      </c>
      <c r="C227" t="str">
        <f>IFERROR(__xludf.DUMMYFUNCTION("""COMPUTED_VALUE"""),"ARISTIZABAL ZULUAGA, MATILDE")</f>
        <v>ARISTIZABAL ZULUAGA, MATILDE</v>
      </c>
      <c r="D227" t="str">
        <f>IFERROR(__xludf.DUMMYFUNCTION("""COMPUTED_VALUE"""),"English 10")</f>
        <v>English 10</v>
      </c>
      <c r="E227" s="3">
        <f>IFERROR(__xludf.DUMMYFUNCTION("""COMPUTED_VALUE"""),8.0)</f>
        <v>8</v>
      </c>
      <c r="F227" s="300">
        <v>1.0</v>
      </c>
      <c r="G227" s="300">
        <v>1.0</v>
      </c>
      <c r="H227" s="300">
        <v>1.0</v>
      </c>
      <c r="I227" s="300">
        <v>1.0</v>
      </c>
      <c r="J227" s="300">
        <v>1.0</v>
      </c>
      <c r="K227" s="300">
        <v>1.0</v>
      </c>
      <c r="L227" s="300">
        <v>1.0</v>
      </c>
      <c r="M227" s="300">
        <v>1.0</v>
      </c>
      <c r="N227" s="300">
        <v>8.0</v>
      </c>
      <c r="O227" s="300" t="s">
        <v>793</v>
      </c>
      <c r="P227" s="300">
        <v>3.0</v>
      </c>
    </row>
    <row r="228">
      <c r="A228">
        <f>IFERROR(__xludf.DUMMYFUNCTION("""COMPUTED_VALUE"""),10.0)</f>
        <v>10</v>
      </c>
      <c r="B228" s="406">
        <f>IFERROR(__xludf.DUMMYFUNCTION("""COMPUTED_VALUE"""),28089.0)</f>
        <v>28089</v>
      </c>
      <c r="C228" t="str">
        <f>IFERROR(__xludf.DUMMYFUNCTION("""COMPUTED_VALUE"""),"RAMIREZ OSORIO, ELENA")</f>
        <v>RAMIREZ OSORIO, ELENA</v>
      </c>
      <c r="D228" t="str">
        <f>IFERROR(__xludf.DUMMYFUNCTION("""COMPUTED_VALUE"""),"English 10")</f>
        <v>English 10</v>
      </c>
      <c r="E228" s="3">
        <f>IFERROR(__xludf.DUMMYFUNCTION("""COMPUTED_VALUE"""),5.0)</f>
        <v>5</v>
      </c>
      <c r="F228" s="300">
        <v>1.0</v>
      </c>
      <c r="G228" s="300">
        <v>1.0</v>
      </c>
      <c r="H228" s="300">
        <v>1.0</v>
      </c>
      <c r="I228" s="300">
        <v>1.0</v>
      </c>
      <c r="J228" s="300">
        <v>1.0</v>
      </c>
      <c r="K228" s="300">
        <v>1.0</v>
      </c>
      <c r="L228" s="300">
        <v>1.0</v>
      </c>
      <c r="M228" s="300">
        <v>1.0</v>
      </c>
      <c r="N228" s="300">
        <v>8.0</v>
      </c>
      <c r="O228" s="300" t="s">
        <v>790</v>
      </c>
      <c r="P228" s="300">
        <v>3.0</v>
      </c>
    </row>
    <row r="229">
      <c r="A229">
        <f>IFERROR(__xludf.DUMMYFUNCTION("""COMPUTED_VALUE"""),10.0)</f>
        <v>10</v>
      </c>
      <c r="B229" s="406">
        <f>IFERROR(__xludf.DUMMYFUNCTION("""COMPUTED_VALUE"""),28072.0)</f>
        <v>28072</v>
      </c>
      <c r="C229" t="str">
        <f>IFERROR(__xludf.DUMMYFUNCTION("""COMPUTED_VALUE"""),"NAVARRO ISAZA, SOFIA")</f>
        <v>NAVARRO ISAZA, SOFIA</v>
      </c>
      <c r="D229" t="str">
        <f>IFERROR(__xludf.DUMMYFUNCTION("""COMPUTED_VALUE"""),"English 10")</f>
        <v>English 10</v>
      </c>
      <c r="E229" s="3">
        <f>IFERROR(__xludf.DUMMYFUNCTION("""COMPUTED_VALUE"""),2.0)</f>
        <v>2</v>
      </c>
      <c r="F229" s="300">
        <v>1.0</v>
      </c>
      <c r="G229" s="300">
        <v>1.0</v>
      </c>
      <c r="H229" s="300">
        <v>1.0</v>
      </c>
      <c r="I229" s="300">
        <v>1.0</v>
      </c>
      <c r="J229" s="300">
        <v>1.0</v>
      </c>
      <c r="K229" s="300">
        <v>1.0</v>
      </c>
      <c r="L229" s="300">
        <v>1.0</v>
      </c>
      <c r="M229" s="300">
        <v>1.0</v>
      </c>
      <c r="N229" s="300">
        <v>8.0</v>
      </c>
      <c r="O229" s="300" t="s">
        <v>792</v>
      </c>
      <c r="P229" s="300">
        <v>3.0</v>
      </c>
    </row>
    <row r="230">
      <c r="A230">
        <f>IFERROR(__xludf.DUMMYFUNCTION("""COMPUTED_VALUE"""),10.0)</f>
        <v>10</v>
      </c>
      <c r="B230" s="406">
        <f>IFERROR(__xludf.DUMMYFUNCTION("""COMPUTED_VALUE"""),28005.0)</f>
        <v>28005</v>
      </c>
      <c r="C230" t="str">
        <f>IFERROR(__xludf.DUMMYFUNCTION("""COMPUTED_VALUE"""),"ARBELAEZ RODADO, SILVIA")</f>
        <v>ARBELAEZ RODADO, SILVIA</v>
      </c>
      <c r="D230" t="str">
        <f>IFERROR(__xludf.DUMMYFUNCTION("""COMPUTED_VALUE"""),"AP Seminar")</f>
        <v>AP Seminar</v>
      </c>
      <c r="E230" s="3">
        <f>IFERROR(__xludf.DUMMYFUNCTION("""COMPUTED_VALUE"""),1.0)</f>
        <v>1</v>
      </c>
      <c r="F230" s="300">
        <v>1.0</v>
      </c>
      <c r="G230" s="300">
        <v>1.0</v>
      </c>
      <c r="H230" s="300">
        <v>1.0</v>
      </c>
      <c r="I230" s="300">
        <v>1.0</v>
      </c>
      <c r="J230" s="300">
        <v>1.0</v>
      </c>
      <c r="K230" s="300">
        <v>1.0</v>
      </c>
      <c r="L230" s="300">
        <v>1.0</v>
      </c>
      <c r="M230" s="300">
        <v>1.0</v>
      </c>
      <c r="N230" s="300">
        <v>8.0</v>
      </c>
      <c r="O230" s="300" t="s">
        <v>788</v>
      </c>
      <c r="P230" s="300">
        <v>3.0</v>
      </c>
    </row>
    <row r="231">
      <c r="A231">
        <f>IFERROR(__xludf.DUMMYFUNCTION("""COMPUTED_VALUE"""),10.0)</f>
        <v>10</v>
      </c>
      <c r="B231" s="406">
        <f>IFERROR(__xludf.DUMMYFUNCTION("""COMPUTED_VALUE"""),28051.0)</f>
        <v>28051</v>
      </c>
      <c r="C231" t="str">
        <f>IFERROR(__xludf.DUMMYFUNCTION("""COMPUTED_VALUE"""),"JIMENEZ ESCOBAR, MARIANA")</f>
        <v>JIMENEZ ESCOBAR, MARIANA</v>
      </c>
      <c r="D231" t="str">
        <f>IFERROR(__xludf.DUMMYFUNCTION("""COMPUTED_VALUE"""),"English 10")</f>
        <v>English 10</v>
      </c>
      <c r="E231" s="3">
        <f>IFERROR(__xludf.DUMMYFUNCTION("""COMPUTED_VALUE"""),5.0)</f>
        <v>5</v>
      </c>
      <c r="F231" s="300">
        <v>1.0</v>
      </c>
      <c r="G231" s="300">
        <v>1.0</v>
      </c>
      <c r="H231" s="300">
        <v>1.0</v>
      </c>
      <c r="I231" s="300">
        <v>1.0</v>
      </c>
      <c r="J231" s="300">
        <v>1.0</v>
      </c>
      <c r="K231" s="300">
        <v>1.0</v>
      </c>
      <c r="L231" s="300">
        <v>1.0</v>
      </c>
      <c r="M231" s="300">
        <v>1.0</v>
      </c>
      <c r="N231" s="300">
        <v>8.0</v>
      </c>
      <c r="O231" s="300" t="s">
        <v>790</v>
      </c>
      <c r="P231" s="300">
        <v>3.0</v>
      </c>
    </row>
    <row r="232">
      <c r="A232">
        <f>IFERROR(__xludf.DUMMYFUNCTION("""COMPUTED_VALUE"""),10.0)</f>
        <v>10</v>
      </c>
      <c r="B232" s="406">
        <f>IFERROR(__xludf.DUMMYFUNCTION("""COMPUTED_VALUE"""),27007.0)</f>
        <v>27007</v>
      </c>
      <c r="C232" t="str">
        <f>IFERROR(__xludf.DUMMYFUNCTION("""COMPUTED_VALUE"""),"ARANGO VELEZ, MATEO")</f>
        <v>ARANGO VELEZ, MATEO</v>
      </c>
      <c r="D232" t="str">
        <f>IFERROR(__xludf.DUMMYFUNCTION("""COMPUTED_VALUE"""),"English 10")</f>
        <v>English 10</v>
      </c>
      <c r="E232" s="3">
        <f>IFERROR(__xludf.DUMMYFUNCTION("""COMPUTED_VALUE"""),2.0)</f>
        <v>2</v>
      </c>
      <c r="F232" s="300">
        <v>1.0</v>
      </c>
      <c r="G232" s="300">
        <v>1.0</v>
      </c>
      <c r="H232" s="300">
        <v>1.0</v>
      </c>
      <c r="I232" s="300">
        <v>1.0</v>
      </c>
      <c r="J232" s="300">
        <v>1.0</v>
      </c>
      <c r="K232" s="300">
        <v>1.0</v>
      </c>
      <c r="L232" s="300">
        <v>1.0</v>
      </c>
      <c r="M232" s="300">
        <v>1.0</v>
      </c>
      <c r="N232" s="300">
        <v>8.0</v>
      </c>
      <c r="O232" s="300" t="s">
        <v>792</v>
      </c>
      <c r="P232" s="300">
        <v>3.0</v>
      </c>
    </row>
    <row r="233">
      <c r="A233">
        <f>IFERROR(__xludf.DUMMYFUNCTION("""COMPUTED_VALUE"""),10.0)</f>
        <v>10</v>
      </c>
      <c r="B233" s="406">
        <f>IFERROR(__xludf.DUMMYFUNCTION("""COMPUTED_VALUE"""),28102.0)</f>
        <v>28102</v>
      </c>
      <c r="C233" t="str">
        <f>IFERROR(__xludf.DUMMYFUNCTION("""COMPUTED_VALUE"""),"SALAZAR BOTERO, GABRIELA")</f>
        <v>SALAZAR BOTERO, GABRIELA</v>
      </c>
      <c r="D233" t="str">
        <f>IFERROR(__xludf.DUMMYFUNCTION("""COMPUTED_VALUE"""),"English 10")</f>
        <v>English 10</v>
      </c>
      <c r="E233" s="3">
        <f>IFERROR(__xludf.DUMMYFUNCTION("""COMPUTED_VALUE"""),5.0)</f>
        <v>5</v>
      </c>
      <c r="F233" s="300">
        <v>1.0</v>
      </c>
      <c r="G233" s="300">
        <v>1.0</v>
      </c>
      <c r="H233" s="300">
        <v>1.0</v>
      </c>
      <c r="I233" s="300">
        <v>1.0</v>
      </c>
      <c r="J233" s="300">
        <v>1.0</v>
      </c>
      <c r="K233" s="300">
        <v>1.0</v>
      </c>
      <c r="L233" s="300">
        <v>1.0</v>
      </c>
      <c r="M233" s="300">
        <v>1.0</v>
      </c>
      <c r="N233" s="300">
        <v>8.0</v>
      </c>
      <c r="O233" s="300" t="s">
        <v>790</v>
      </c>
      <c r="P233" s="300">
        <v>3.0</v>
      </c>
    </row>
    <row r="234">
      <c r="A234">
        <f>IFERROR(__xludf.DUMMYFUNCTION("""COMPUTED_VALUE"""),10.0)</f>
        <v>10</v>
      </c>
      <c r="B234" s="406">
        <f>IFERROR(__xludf.DUMMYFUNCTION("""COMPUTED_VALUE"""),28104.0)</f>
        <v>28104</v>
      </c>
      <c r="C234" t="str">
        <f>IFERROR(__xludf.DUMMYFUNCTION("""COMPUTED_VALUE"""),"SERRANO SERRANO, SIMON")</f>
        <v>SERRANO SERRANO, SIMON</v>
      </c>
      <c r="D234" t="str">
        <f>IFERROR(__xludf.DUMMYFUNCTION("""COMPUTED_VALUE"""),"English 10")</f>
        <v>English 10</v>
      </c>
      <c r="E234" s="3">
        <f>IFERROR(__xludf.DUMMYFUNCTION("""COMPUTED_VALUE"""),8.0)</f>
        <v>8</v>
      </c>
      <c r="F234" s="300">
        <v>1.0</v>
      </c>
      <c r="G234" s="300">
        <v>1.0</v>
      </c>
      <c r="H234" s="300">
        <v>1.0</v>
      </c>
      <c r="I234" s="300">
        <v>1.0</v>
      </c>
      <c r="J234" s="300">
        <v>1.0</v>
      </c>
      <c r="K234" s="300">
        <v>1.0</v>
      </c>
      <c r="L234" s="300">
        <v>1.0</v>
      </c>
      <c r="M234" s="300">
        <v>1.0</v>
      </c>
      <c r="N234" s="300">
        <v>8.0</v>
      </c>
      <c r="O234" s="300" t="s">
        <v>793</v>
      </c>
      <c r="P234" s="300">
        <v>3.0</v>
      </c>
    </row>
    <row r="235">
      <c r="A235">
        <f>IFERROR(__xludf.DUMMYFUNCTION("""COMPUTED_VALUE"""),10.0)</f>
        <v>10</v>
      </c>
      <c r="B235" s="406">
        <f>IFERROR(__xludf.DUMMYFUNCTION("""COMPUTED_VALUE"""),28008.0)</f>
        <v>28008</v>
      </c>
      <c r="C235" t="str">
        <f>IFERROR(__xludf.DUMMYFUNCTION("""COMPUTED_VALUE"""),"ARISTIZABAL TOBON, MATIAS")</f>
        <v>ARISTIZABAL TOBON, MATIAS</v>
      </c>
      <c r="D235" t="str">
        <f>IFERROR(__xludf.DUMMYFUNCTION("""COMPUTED_VALUE"""),"AP Seminar")</f>
        <v>AP Seminar</v>
      </c>
      <c r="E235" s="3">
        <f>IFERROR(__xludf.DUMMYFUNCTION("""COMPUTED_VALUE"""),1.0)</f>
        <v>1</v>
      </c>
      <c r="F235" s="300">
        <v>1.0</v>
      </c>
      <c r="G235" s="300">
        <v>1.0</v>
      </c>
      <c r="H235" s="300">
        <v>1.0</v>
      </c>
      <c r="I235" s="300">
        <v>1.0</v>
      </c>
      <c r="J235" s="300">
        <v>1.0</v>
      </c>
      <c r="K235" s="300">
        <v>1.0</v>
      </c>
      <c r="L235" s="300">
        <v>1.0</v>
      </c>
      <c r="M235" s="300">
        <v>1.0</v>
      </c>
      <c r="N235" s="300">
        <v>8.0</v>
      </c>
      <c r="O235" s="300" t="s">
        <v>788</v>
      </c>
      <c r="P235" s="300">
        <v>3.0</v>
      </c>
    </row>
    <row r="236">
      <c r="A236">
        <f>IFERROR(__xludf.DUMMYFUNCTION("""COMPUTED_VALUE"""),10.0)</f>
        <v>10</v>
      </c>
      <c r="B236" s="406">
        <f>IFERROR(__xludf.DUMMYFUNCTION("""COMPUTED_VALUE"""),28065.0)</f>
        <v>28065</v>
      </c>
      <c r="C236" t="str">
        <f>IFERROR(__xludf.DUMMYFUNCTION("""COMPUTED_VALUE"""),"MEJIA MEJIA, TOMAS")</f>
        <v>MEJIA MEJIA, TOMAS</v>
      </c>
      <c r="D236" t="str">
        <f>IFERROR(__xludf.DUMMYFUNCTION("""COMPUTED_VALUE"""),"English 10")</f>
        <v>English 10</v>
      </c>
      <c r="E236" s="3">
        <f>IFERROR(__xludf.DUMMYFUNCTION("""COMPUTED_VALUE"""),2.0)</f>
        <v>2</v>
      </c>
      <c r="F236" s="300">
        <v>1.0</v>
      </c>
      <c r="G236" s="300">
        <v>1.0</v>
      </c>
      <c r="H236" s="300">
        <v>1.0</v>
      </c>
      <c r="I236" s="300">
        <v>1.0</v>
      </c>
      <c r="J236" s="300">
        <v>1.0</v>
      </c>
      <c r="K236" s="300">
        <v>1.0</v>
      </c>
      <c r="L236" s="300">
        <v>1.0</v>
      </c>
      <c r="M236" s="300">
        <v>1.0</v>
      </c>
      <c r="N236" s="300">
        <v>8.0</v>
      </c>
      <c r="O236" s="300" t="s">
        <v>792</v>
      </c>
      <c r="P236" s="300">
        <v>3.0</v>
      </c>
    </row>
    <row r="237">
      <c r="A237">
        <f>IFERROR(__xludf.DUMMYFUNCTION("""COMPUTED_VALUE"""),10.0)</f>
        <v>10</v>
      </c>
      <c r="B237" s="406">
        <f>IFERROR(__xludf.DUMMYFUNCTION("""COMPUTED_VALUE"""),28073.0)</f>
        <v>28073</v>
      </c>
      <c r="C237" t="str">
        <f>IFERROR(__xludf.DUMMYFUNCTION("""COMPUTED_VALUE"""),"NAVARRO RAMIREZ, MARIA")</f>
        <v>NAVARRO RAMIREZ, MARIA</v>
      </c>
      <c r="D237" t="str">
        <f>IFERROR(__xludf.DUMMYFUNCTION("""COMPUTED_VALUE"""),"AP Seminar")</f>
        <v>AP Seminar</v>
      </c>
      <c r="E237" s="3">
        <f>IFERROR(__xludf.DUMMYFUNCTION("""COMPUTED_VALUE"""),6.0)</f>
        <v>6</v>
      </c>
      <c r="F237" s="300">
        <v>1.0</v>
      </c>
      <c r="G237" s="300">
        <v>1.0</v>
      </c>
      <c r="H237" s="300">
        <v>1.0</v>
      </c>
      <c r="I237" s="300">
        <v>1.0</v>
      </c>
      <c r="J237" s="300">
        <v>1.0</v>
      </c>
      <c r="K237" s="300">
        <v>1.0</v>
      </c>
      <c r="L237" s="300">
        <v>1.0</v>
      </c>
      <c r="M237" s="300">
        <v>1.0</v>
      </c>
      <c r="N237" s="300">
        <v>8.0</v>
      </c>
      <c r="O237" s="300" t="s">
        <v>789</v>
      </c>
      <c r="P237" s="300">
        <v>3.0</v>
      </c>
    </row>
    <row r="238">
      <c r="A238">
        <f>IFERROR(__xludf.DUMMYFUNCTION("""COMPUTED_VALUE"""),10.0)</f>
        <v>10</v>
      </c>
      <c r="B238" s="406">
        <f>IFERROR(__xludf.DUMMYFUNCTION("""COMPUTED_VALUE"""),28081.0)</f>
        <v>28081</v>
      </c>
      <c r="C238" t="str">
        <f>IFERROR(__xludf.DUMMYFUNCTION("""COMPUTED_VALUE"""),"PALACIO RUIZ, LUCAS")</f>
        <v>PALACIO RUIZ, LUCAS</v>
      </c>
      <c r="D238" t="str">
        <f>IFERROR(__xludf.DUMMYFUNCTION("""COMPUTED_VALUE"""),"AP Seminar")</f>
        <v>AP Seminar</v>
      </c>
      <c r="E238" s="3">
        <f>IFERROR(__xludf.DUMMYFUNCTION("""COMPUTED_VALUE"""),6.0)</f>
        <v>6</v>
      </c>
      <c r="F238" s="300">
        <v>1.0</v>
      </c>
      <c r="G238" s="300">
        <v>1.0</v>
      </c>
      <c r="H238" s="300">
        <v>1.0</v>
      </c>
      <c r="I238" s="300">
        <v>1.0</v>
      </c>
      <c r="J238" s="300">
        <v>1.0</v>
      </c>
      <c r="K238" s="300">
        <v>1.0</v>
      </c>
      <c r="L238" s="300">
        <v>1.0</v>
      </c>
      <c r="M238" s="300">
        <v>1.0</v>
      </c>
      <c r="N238" s="300">
        <v>8.0</v>
      </c>
      <c r="O238" s="300" t="s">
        <v>789</v>
      </c>
      <c r="P238" s="300">
        <v>3.0</v>
      </c>
    </row>
    <row r="239">
      <c r="A239">
        <f>IFERROR(__xludf.DUMMYFUNCTION("""COMPUTED_VALUE"""),10.0)</f>
        <v>10</v>
      </c>
      <c r="B239" s="406">
        <f>IFERROR(__xludf.DUMMYFUNCTION("""COMPUTED_VALUE"""),28039.0)</f>
        <v>28039</v>
      </c>
      <c r="C239" t="str">
        <f>IFERROR(__xludf.DUMMYFUNCTION("""COMPUTED_VALUE"""),"GONZALEZ LOPEZ, ISABEL")</f>
        <v>GONZALEZ LOPEZ, ISABEL</v>
      </c>
      <c r="D239" t="str">
        <f>IFERROR(__xludf.DUMMYFUNCTION("""COMPUTED_VALUE"""),"AP Seminar")</f>
        <v>AP Seminar</v>
      </c>
      <c r="E239" s="3">
        <f>IFERROR(__xludf.DUMMYFUNCTION("""COMPUTED_VALUE"""),6.0)</f>
        <v>6</v>
      </c>
      <c r="F239" s="300">
        <v>1.0</v>
      </c>
      <c r="G239" s="300">
        <v>1.0</v>
      </c>
      <c r="H239" s="300">
        <v>1.0</v>
      </c>
      <c r="I239" s="300">
        <v>1.0</v>
      </c>
      <c r="J239" s="300">
        <v>1.0</v>
      </c>
      <c r="K239" s="300">
        <v>1.0</v>
      </c>
      <c r="L239" s="300">
        <v>1.0</v>
      </c>
      <c r="M239" s="300">
        <v>1.0</v>
      </c>
      <c r="N239" s="300">
        <v>8.0</v>
      </c>
      <c r="O239" s="300" t="s">
        <v>789</v>
      </c>
      <c r="P239" s="300">
        <v>3.0</v>
      </c>
    </row>
    <row r="240">
      <c r="A240">
        <f>IFERROR(__xludf.DUMMYFUNCTION("""COMPUTED_VALUE"""),10.0)</f>
        <v>10</v>
      </c>
      <c r="B240" s="406">
        <f>IFERROR(__xludf.DUMMYFUNCTION("""COMPUTED_VALUE"""),28147.0)</f>
        <v>28147</v>
      </c>
      <c r="C240" t="str">
        <f>IFERROR(__xludf.DUMMYFUNCTION("""COMPUTED_VALUE"""),"OSPINA STERLING, DULCE MARIA")</f>
        <v>OSPINA STERLING, DULCE MARIA</v>
      </c>
      <c r="D240" t="str">
        <f>IFERROR(__xludf.DUMMYFUNCTION("""COMPUTED_VALUE"""),"English 10")</f>
        <v>English 10</v>
      </c>
      <c r="E240" s="3">
        <f>IFERROR(__xludf.DUMMYFUNCTION("""COMPUTED_VALUE"""),8.0)</f>
        <v>8</v>
      </c>
      <c r="F240" s="300">
        <v>1.0</v>
      </c>
      <c r="G240" s="300">
        <v>1.0</v>
      </c>
      <c r="H240" s="300">
        <v>1.0</v>
      </c>
      <c r="I240" s="300">
        <v>1.0</v>
      </c>
      <c r="J240" s="300">
        <v>1.0</v>
      </c>
      <c r="K240" s="300">
        <v>1.0</v>
      </c>
      <c r="L240" s="300">
        <v>1.0</v>
      </c>
      <c r="M240" s="300">
        <v>1.0</v>
      </c>
      <c r="N240" s="300">
        <v>8.0</v>
      </c>
      <c r="O240" s="300" t="s">
        <v>793</v>
      </c>
      <c r="P240" s="300">
        <v>3.0</v>
      </c>
    </row>
    <row r="241">
      <c r="A241">
        <f>IFERROR(__xludf.DUMMYFUNCTION("""COMPUTED_VALUE"""),10.0)</f>
        <v>10</v>
      </c>
      <c r="B241" s="406">
        <f>IFERROR(__xludf.DUMMYFUNCTION("""COMPUTED_VALUE"""),28088.0)</f>
        <v>28088</v>
      </c>
      <c r="C241" t="str">
        <f>IFERROR(__xludf.DUMMYFUNCTION("""COMPUTED_VALUE"""),"QUINTERO VARGAS, ALICIA")</f>
        <v>QUINTERO VARGAS, ALICIA</v>
      </c>
      <c r="D241" t="str">
        <f>IFERROR(__xludf.DUMMYFUNCTION("""COMPUTED_VALUE"""),"AP Seminar")</f>
        <v>AP Seminar</v>
      </c>
      <c r="E241" s="3">
        <f>IFERROR(__xludf.DUMMYFUNCTION("""COMPUTED_VALUE"""),1.0)</f>
        <v>1</v>
      </c>
      <c r="F241" s="300">
        <v>1.0</v>
      </c>
      <c r="G241" s="300">
        <v>1.0</v>
      </c>
      <c r="H241" s="300">
        <v>1.0</v>
      </c>
      <c r="I241" s="300">
        <v>1.0</v>
      </c>
      <c r="J241" s="300">
        <v>1.0</v>
      </c>
      <c r="K241" s="300">
        <v>1.0</v>
      </c>
      <c r="L241" s="300">
        <v>1.0</v>
      </c>
      <c r="M241" s="300">
        <v>1.0</v>
      </c>
      <c r="N241" s="300">
        <v>8.0</v>
      </c>
      <c r="O241" s="300" t="s">
        <v>788</v>
      </c>
      <c r="P241" s="300">
        <v>3.0</v>
      </c>
    </row>
    <row r="242">
      <c r="A242">
        <f>IFERROR(__xludf.DUMMYFUNCTION("""COMPUTED_VALUE"""),10.0)</f>
        <v>10</v>
      </c>
      <c r="B242" s="406">
        <f>IFERROR(__xludf.DUMMYFUNCTION("""COMPUTED_VALUE"""),28029.0)</f>
        <v>28029</v>
      </c>
      <c r="C242" t="str">
        <f>IFERROR(__xludf.DUMMYFUNCTION("""COMPUTED_VALUE"""),"FORERO MEJIA, EMILIO")</f>
        <v>FORERO MEJIA, EMILIO</v>
      </c>
      <c r="D242" t="str">
        <f>IFERROR(__xludf.DUMMYFUNCTION("""COMPUTED_VALUE"""),"English 10")</f>
        <v>English 10</v>
      </c>
      <c r="E242" s="3">
        <f>IFERROR(__xludf.DUMMYFUNCTION("""COMPUTED_VALUE"""),2.0)</f>
        <v>2</v>
      </c>
      <c r="F242" s="300">
        <v>1.0</v>
      </c>
      <c r="G242" s="300">
        <v>1.0</v>
      </c>
      <c r="H242" s="300">
        <v>1.0</v>
      </c>
      <c r="I242" s="300">
        <v>1.0</v>
      </c>
      <c r="J242" s="300">
        <v>1.0</v>
      </c>
      <c r="K242" s="300">
        <v>1.0</v>
      </c>
      <c r="L242" s="300">
        <v>1.0</v>
      </c>
      <c r="M242" s="300">
        <v>1.0</v>
      </c>
      <c r="N242" s="300">
        <v>8.0</v>
      </c>
      <c r="O242" s="300" t="s">
        <v>792</v>
      </c>
      <c r="P242" s="300">
        <v>3.0</v>
      </c>
    </row>
    <row r="243">
      <c r="A243">
        <f>IFERROR(__xludf.DUMMYFUNCTION("""COMPUTED_VALUE"""),10.0)</f>
        <v>10</v>
      </c>
      <c r="B243" s="406">
        <f>IFERROR(__xludf.DUMMYFUNCTION("""COMPUTED_VALUE"""),28084.0)</f>
        <v>28084</v>
      </c>
      <c r="C243" t="str">
        <f>IFERROR(__xludf.DUMMYFUNCTION("""COMPUTED_VALUE"""),"PINEDA ARANGO, JERONIMO")</f>
        <v>PINEDA ARANGO, JERONIMO</v>
      </c>
      <c r="D243" t="str">
        <f>IFERROR(__xludf.DUMMYFUNCTION("""COMPUTED_VALUE"""),"AP Seminar")</f>
        <v>AP Seminar</v>
      </c>
      <c r="E243" s="3">
        <f>IFERROR(__xludf.DUMMYFUNCTION("""COMPUTED_VALUE"""),6.0)</f>
        <v>6</v>
      </c>
      <c r="F243" s="300">
        <v>1.0</v>
      </c>
      <c r="G243" s="300">
        <v>1.0</v>
      </c>
      <c r="H243" s="300">
        <v>1.0</v>
      </c>
      <c r="I243" s="300">
        <v>1.0</v>
      </c>
      <c r="J243" s="300">
        <v>1.0</v>
      </c>
      <c r="K243" s="300">
        <v>1.0</v>
      </c>
      <c r="L243" s="300">
        <v>1.0</v>
      </c>
      <c r="M243" s="300">
        <v>1.0</v>
      </c>
      <c r="N243" s="300">
        <v>8.0</v>
      </c>
      <c r="O243" s="300" t="s">
        <v>789</v>
      </c>
      <c r="P243" s="300">
        <v>3.0</v>
      </c>
    </row>
    <row r="244">
      <c r="A244">
        <f>IFERROR(__xludf.DUMMYFUNCTION("""COMPUTED_VALUE"""),10.0)</f>
        <v>10</v>
      </c>
      <c r="B244" s="406">
        <f>IFERROR(__xludf.DUMMYFUNCTION("""COMPUTED_VALUE"""),28114.0)</f>
        <v>28114</v>
      </c>
      <c r="C244" t="str">
        <f>IFERROR(__xludf.DUMMYFUNCTION("""COMPUTED_VALUE"""),"VELEZ CORREA, SAMUEL")</f>
        <v>VELEZ CORREA, SAMUEL</v>
      </c>
      <c r="D244" t="str">
        <f>IFERROR(__xludf.DUMMYFUNCTION("""COMPUTED_VALUE"""),"AP Seminar")</f>
        <v>AP Seminar</v>
      </c>
      <c r="E244" s="3">
        <f>IFERROR(__xludf.DUMMYFUNCTION("""COMPUTED_VALUE"""),6.0)</f>
        <v>6</v>
      </c>
      <c r="F244" s="300">
        <v>1.0</v>
      </c>
      <c r="G244" s="300">
        <v>1.0</v>
      </c>
      <c r="H244" s="300">
        <v>1.0</v>
      </c>
      <c r="I244" s="300">
        <v>1.0</v>
      </c>
      <c r="J244" s="300">
        <v>1.0</v>
      </c>
      <c r="K244" s="300">
        <v>1.0</v>
      </c>
      <c r="L244" s="300">
        <v>1.0</v>
      </c>
      <c r="M244" s="300">
        <v>1.0</v>
      </c>
      <c r="N244" s="300">
        <v>8.0</v>
      </c>
      <c r="O244" s="300" t="s">
        <v>789</v>
      </c>
      <c r="P244" s="300">
        <v>3.0</v>
      </c>
    </row>
    <row r="245">
      <c r="A245">
        <f>IFERROR(__xludf.DUMMYFUNCTION("""COMPUTED_VALUE"""),10.0)</f>
        <v>10</v>
      </c>
      <c r="B245" s="406">
        <f>IFERROR(__xludf.DUMMYFUNCTION("""COMPUTED_VALUE"""),28064.0)</f>
        <v>28064</v>
      </c>
      <c r="C245" t="str">
        <f>IFERROR(__xludf.DUMMYFUNCTION("""COMPUTED_VALUE"""),"MEJIA MANTILLA, TOMAS")</f>
        <v>MEJIA MANTILLA, TOMAS</v>
      </c>
      <c r="D245" t="str">
        <f>IFERROR(__xludf.DUMMYFUNCTION("""COMPUTED_VALUE"""),"English 10")</f>
        <v>English 10</v>
      </c>
      <c r="E245" s="3">
        <f>IFERROR(__xludf.DUMMYFUNCTION("""COMPUTED_VALUE"""),2.0)</f>
        <v>2</v>
      </c>
      <c r="F245" s="300">
        <v>1.0</v>
      </c>
      <c r="G245" s="300">
        <v>1.0</v>
      </c>
      <c r="H245" s="300">
        <v>1.0</v>
      </c>
      <c r="I245" s="300">
        <v>1.0</v>
      </c>
      <c r="J245" s="300">
        <v>1.0</v>
      </c>
      <c r="K245" s="300">
        <v>1.0</v>
      </c>
      <c r="L245" s="300">
        <v>1.0</v>
      </c>
      <c r="M245" s="300">
        <v>1.0</v>
      </c>
      <c r="N245" s="300">
        <v>8.0</v>
      </c>
      <c r="O245" s="300" t="s">
        <v>792</v>
      </c>
      <c r="P245" s="300">
        <v>3.0</v>
      </c>
    </row>
    <row r="246">
      <c r="A246">
        <f>IFERROR(__xludf.DUMMYFUNCTION("""COMPUTED_VALUE"""),10.0)</f>
        <v>10</v>
      </c>
      <c r="B246" s="406">
        <f>IFERROR(__xludf.DUMMYFUNCTION("""COMPUTED_VALUE"""),28036.0)</f>
        <v>28036</v>
      </c>
      <c r="C246" t="str">
        <f>IFERROR(__xludf.DUMMYFUNCTION("""COMPUTED_VALUE"""),"GOMEZ LINCE, NICOLAS")</f>
        <v>GOMEZ LINCE, NICOLAS</v>
      </c>
      <c r="D246" t="str">
        <f>IFERROR(__xludf.DUMMYFUNCTION("""COMPUTED_VALUE"""),"English 10")</f>
        <v>English 10</v>
      </c>
      <c r="E246" s="3">
        <f>IFERROR(__xludf.DUMMYFUNCTION("""COMPUTED_VALUE"""),8.0)</f>
        <v>8</v>
      </c>
      <c r="F246" s="300">
        <v>1.0</v>
      </c>
      <c r="G246" s="300">
        <v>1.0</v>
      </c>
      <c r="H246" s="300">
        <v>1.0</v>
      </c>
      <c r="I246" s="300">
        <v>1.0</v>
      </c>
      <c r="J246" s="300">
        <v>1.0</v>
      </c>
      <c r="K246" s="300">
        <v>1.0</v>
      </c>
      <c r="L246" s="300">
        <v>1.0</v>
      </c>
      <c r="M246" s="300">
        <v>1.0</v>
      </c>
      <c r="N246" s="300">
        <v>8.0</v>
      </c>
      <c r="O246" s="300" t="s">
        <v>793</v>
      </c>
      <c r="P246" s="300">
        <v>3.0</v>
      </c>
    </row>
    <row r="247">
      <c r="A247">
        <f>IFERROR(__xludf.DUMMYFUNCTION("""COMPUTED_VALUE"""),10.0)</f>
        <v>10</v>
      </c>
      <c r="B247" s="406">
        <f>IFERROR(__xludf.DUMMYFUNCTION("""COMPUTED_VALUE"""),28076.0)</f>
        <v>28076</v>
      </c>
      <c r="C247" t="str">
        <f>IFERROR(__xludf.DUMMYFUNCTION("""COMPUTED_VALUE"""),"OLAYA CARDENAS, CAMILA")</f>
        <v>OLAYA CARDENAS, CAMILA</v>
      </c>
      <c r="D247" t="str">
        <f>IFERROR(__xludf.DUMMYFUNCTION("""COMPUTED_VALUE"""),"AP Seminar")</f>
        <v>AP Seminar</v>
      </c>
      <c r="E247" s="3">
        <f>IFERROR(__xludf.DUMMYFUNCTION("""COMPUTED_VALUE"""),5.0)</f>
        <v>5</v>
      </c>
      <c r="F247" s="300">
        <v>1.0</v>
      </c>
      <c r="G247" s="300">
        <v>1.0</v>
      </c>
      <c r="H247" s="300">
        <v>1.0</v>
      </c>
      <c r="I247" s="300">
        <v>1.0</v>
      </c>
      <c r="J247" s="300">
        <v>1.0</v>
      </c>
      <c r="K247" s="300">
        <v>1.0</v>
      </c>
      <c r="L247" s="300">
        <v>1.0</v>
      </c>
      <c r="M247" s="300">
        <v>1.0</v>
      </c>
      <c r="N247" s="300">
        <v>8.0</v>
      </c>
      <c r="O247" s="300" t="s">
        <v>791</v>
      </c>
      <c r="P247" s="300">
        <v>3.0</v>
      </c>
    </row>
    <row r="248">
      <c r="A248">
        <f>IFERROR(__xludf.DUMMYFUNCTION("""COMPUTED_VALUE"""),10.0)</f>
        <v>10</v>
      </c>
      <c r="B248" s="406">
        <f>IFERROR(__xludf.DUMMYFUNCTION("""COMPUTED_VALUE"""),28164.0)</f>
        <v>28164</v>
      </c>
      <c r="C248" s="406" t="str">
        <f>IFERROR(__xludf.DUMMYFUNCTION("""COMPUTED_VALUE"""),"WOODWORTH, MIA ISABELLA")</f>
        <v>WOODWORTH, MIA ISABELLA</v>
      </c>
      <c r="D248" t="str">
        <f>IFERROR(__xludf.DUMMYFUNCTION("""COMPUTED_VALUE"""),"English 10")</f>
        <v>English 10</v>
      </c>
      <c r="E248" s="3">
        <f>IFERROR(__xludf.DUMMYFUNCTION("""COMPUTED_VALUE"""),5.0)</f>
        <v>5</v>
      </c>
      <c r="F248" s="300">
        <v>1.0</v>
      </c>
      <c r="G248" s="300">
        <v>1.0</v>
      </c>
      <c r="H248" s="300">
        <v>1.0</v>
      </c>
      <c r="I248" s="300">
        <v>1.0</v>
      </c>
      <c r="J248" s="300">
        <v>1.0</v>
      </c>
      <c r="K248" s="300">
        <v>1.0</v>
      </c>
      <c r="L248" s="300">
        <v>1.0</v>
      </c>
      <c r="M248" s="300">
        <v>1.0</v>
      </c>
      <c r="N248" s="300">
        <v>8.0</v>
      </c>
      <c r="O248" s="300" t="s">
        <v>790</v>
      </c>
      <c r="P248" s="300">
        <v>3.0</v>
      </c>
    </row>
    <row r="249">
      <c r="A249">
        <f>IFERROR(__xludf.DUMMYFUNCTION("""COMPUTED_VALUE"""),10.0)</f>
        <v>10</v>
      </c>
      <c r="B249" s="406">
        <f>IFERROR(__xludf.DUMMYFUNCTION("""COMPUTED_VALUE"""),27088.0)</f>
        <v>27088</v>
      </c>
      <c r="C249" t="str">
        <f>IFERROR(__xludf.DUMMYFUNCTION("""COMPUTED_VALUE"""),"PEREZ JARAMILLO, AGUSTIN")</f>
        <v>PEREZ JARAMILLO, AGUSTIN</v>
      </c>
      <c r="D249" t="str">
        <f>IFERROR(__xludf.DUMMYFUNCTION("""COMPUTED_VALUE"""),"AP Seminar")</f>
        <v>AP Seminar</v>
      </c>
      <c r="E249" s="3">
        <f>IFERROR(__xludf.DUMMYFUNCTION("""COMPUTED_VALUE"""),6.0)</f>
        <v>6</v>
      </c>
      <c r="F249" s="300">
        <v>1.0</v>
      </c>
      <c r="G249" s="300">
        <v>1.0</v>
      </c>
      <c r="H249" s="300">
        <v>1.0</v>
      </c>
      <c r="I249" s="300">
        <v>1.0</v>
      </c>
      <c r="J249" s="300">
        <v>1.0</v>
      </c>
      <c r="K249" s="300">
        <v>1.0</v>
      </c>
      <c r="L249" s="300">
        <v>1.0</v>
      </c>
      <c r="M249" s="300">
        <v>1.0</v>
      </c>
      <c r="N249" s="300">
        <v>8.0</v>
      </c>
      <c r="O249" s="300" t="s">
        <v>789</v>
      </c>
      <c r="P249" s="300">
        <v>3.0</v>
      </c>
    </row>
    <row r="250">
      <c r="A250">
        <f>IFERROR(__xludf.DUMMYFUNCTION("""COMPUTED_VALUE"""),10.0)</f>
        <v>10</v>
      </c>
      <c r="B250" s="406">
        <f>IFERROR(__xludf.DUMMYFUNCTION("""COMPUTED_VALUE"""),28060.0)</f>
        <v>28060</v>
      </c>
      <c r="C250" t="str">
        <f>IFERROR(__xludf.DUMMYFUNCTION("""COMPUTED_VALUE"""),"MEDINA LONDOÑO, PABLO")</f>
        <v>MEDINA LONDOÑO, PABLO</v>
      </c>
      <c r="D250" t="str">
        <f>IFERROR(__xludf.DUMMYFUNCTION("""COMPUTED_VALUE"""),"English 10")</f>
        <v>English 10</v>
      </c>
      <c r="E250" s="3">
        <f>IFERROR(__xludf.DUMMYFUNCTION("""COMPUTED_VALUE"""),2.0)</f>
        <v>2</v>
      </c>
      <c r="F250" s="300">
        <v>1.0</v>
      </c>
      <c r="G250" s="300">
        <v>1.0</v>
      </c>
      <c r="H250" s="300">
        <v>1.0</v>
      </c>
      <c r="I250" s="300">
        <v>1.0</v>
      </c>
      <c r="J250" s="300">
        <v>1.0</v>
      </c>
      <c r="K250" s="300">
        <v>1.0</v>
      </c>
      <c r="L250" s="300">
        <v>1.0</v>
      </c>
      <c r="M250" s="300">
        <v>1.0</v>
      </c>
      <c r="N250" s="300">
        <v>8.0</v>
      </c>
      <c r="O250" s="300" t="s">
        <v>792</v>
      </c>
      <c r="P250" s="300">
        <v>3.0</v>
      </c>
    </row>
    <row r="251">
      <c r="A251">
        <f>IFERROR(__xludf.DUMMYFUNCTION("""COMPUTED_VALUE"""),10.0)</f>
        <v>10</v>
      </c>
      <c r="B251" s="406">
        <f>IFERROR(__xludf.DUMMYFUNCTION("""COMPUTED_VALUE"""),28034.0)</f>
        <v>28034</v>
      </c>
      <c r="C251" t="str">
        <f>IFERROR(__xludf.DUMMYFUNCTION("""COMPUTED_VALUE"""),"GARCIA ISAZA, TOMAS")</f>
        <v>GARCIA ISAZA, TOMAS</v>
      </c>
      <c r="D251" t="str">
        <f>IFERROR(__xludf.DUMMYFUNCTION("""COMPUTED_VALUE"""),"English 10")</f>
        <v>English 10</v>
      </c>
      <c r="E251" s="3">
        <f>IFERROR(__xludf.DUMMYFUNCTION("""COMPUTED_VALUE"""),2.0)</f>
        <v>2</v>
      </c>
      <c r="F251" s="300">
        <v>1.0</v>
      </c>
      <c r="G251" s="300">
        <v>1.0</v>
      </c>
      <c r="H251" s="300">
        <v>1.0</v>
      </c>
      <c r="I251" s="300">
        <v>1.0</v>
      </c>
      <c r="J251" s="300">
        <v>1.0</v>
      </c>
      <c r="K251" s="300">
        <v>1.0</v>
      </c>
      <c r="L251" s="300">
        <v>1.0</v>
      </c>
      <c r="M251" s="300">
        <v>1.0</v>
      </c>
      <c r="N251" s="300">
        <v>8.0</v>
      </c>
      <c r="O251" s="300" t="s">
        <v>792</v>
      </c>
      <c r="P251" s="300">
        <v>3.0</v>
      </c>
    </row>
    <row r="252">
      <c r="A252">
        <f>IFERROR(__xludf.DUMMYFUNCTION("""COMPUTED_VALUE"""),10.0)</f>
        <v>10</v>
      </c>
      <c r="B252" s="406">
        <f>IFERROR(__xludf.DUMMYFUNCTION("""COMPUTED_VALUE"""),28049.0)</f>
        <v>28049</v>
      </c>
      <c r="C252" t="str">
        <f>IFERROR(__xludf.DUMMYFUNCTION("""COMPUTED_VALUE"""),"JARAMILLO ARANGO, ELENA")</f>
        <v>JARAMILLO ARANGO, ELENA</v>
      </c>
      <c r="D252" t="str">
        <f>IFERROR(__xludf.DUMMYFUNCTION("""COMPUTED_VALUE"""),"AP Seminar")</f>
        <v>AP Seminar</v>
      </c>
      <c r="E252" s="3">
        <f>IFERROR(__xludf.DUMMYFUNCTION("""COMPUTED_VALUE"""),5.0)</f>
        <v>5</v>
      </c>
      <c r="F252" s="300">
        <v>1.0</v>
      </c>
      <c r="G252" s="300">
        <v>1.0</v>
      </c>
      <c r="H252" s="300">
        <v>1.0</v>
      </c>
      <c r="I252" s="300">
        <v>1.0</v>
      </c>
      <c r="J252" s="300">
        <v>1.0</v>
      </c>
      <c r="K252" s="300">
        <v>1.0</v>
      </c>
      <c r="L252" s="300">
        <v>1.0</v>
      </c>
      <c r="M252" s="300">
        <v>1.0</v>
      </c>
      <c r="N252" s="300">
        <v>8.0</v>
      </c>
      <c r="O252" s="300" t="s">
        <v>791</v>
      </c>
      <c r="P252" s="300">
        <v>3.0</v>
      </c>
    </row>
    <row r="253">
      <c r="A253">
        <f>IFERROR(__xludf.DUMMYFUNCTION("""COMPUTED_VALUE"""),10.0)</f>
        <v>10</v>
      </c>
      <c r="B253" s="406">
        <f>IFERROR(__xludf.DUMMYFUNCTION("""COMPUTED_VALUE"""),28024.0)</f>
        <v>28024</v>
      </c>
      <c r="C253" t="str">
        <f>IFERROR(__xludf.DUMMYFUNCTION("""COMPUTED_VALUE"""),"ESCOBAR CASTAÑO, NICOLAS")</f>
        <v>ESCOBAR CASTAÑO, NICOLAS</v>
      </c>
      <c r="D253" t="str">
        <f>IFERROR(__xludf.DUMMYFUNCTION("""COMPUTED_VALUE"""),"English 10")</f>
        <v>English 10</v>
      </c>
      <c r="E253" s="3">
        <f>IFERROR(__xludf.DUMMYFUNCTION("""COMPUTED_VALUE"""),2.0)</f>
        <v>2</v>
      </c>
      <c r="F253" s="300">
        <v>1.0</v>
      </c>
      <c r="G253" s="300">
        <v>1.0</v>
      </c>
      <c r="H253" s="300">
        <v>1.0</v>
      </c>
      <c r="I253" s="300">
        <v>1.0</v>
      </c>
      <c r="J253" s="300">
        <v>1.0</v>
      </c>
      <c r="K253" s="300">
        <v>1.0</v>
      </c>
      <c r="L253" s="300">
        <v>1.0</v>
      </c>
      <c r="M253" s="300">
        <v>1.0</v>
      </c>
      <c r="N253" s="300">
        <v>8.0</v>
      </c>
      <c r="O253" s="300" t="s">
        <v>792</v>
      </c>
      <c r="P253" s="300">
        <v>3.0</v>
      </c>
    </row>
    <row r="254">
      <c r="A254">
        <f>IFERROR(__xludf.DUMMYFUNCTION("""COMPUTED_VALUE"""),10.0)</f>
        <v>10</v>
      </c>
      <c r="B254" s="406">
        <f>IFERROR(__xludf.DUMMYFUNCTION("""COMPUTED_VALUE"""),28093.0)</f>
        <v>28093</v>
      </c>
      <c r="C254" t="str">
        <f>IFERROR(__xludf.DUMMYFUNCTION("""COMPUTED_VALUE"""),"RESTREPO ELEJALDE, LUCIANO")</f>
        <v>RESTREPO ELEJALDE, LUCIANO</v>
      </c>
      <c r="D254" t="str">
        <f>IFERROR(__xludf.DUMMYFUNCTION("""COMPUTED_VALUE"""),"AP Seminar")</f>
        <v>AP Seminar</v>
      </c>
      <c r="E254" s="3">
        <f>IFERROR(__xludf.DUMMYFUNCTION("""COMPUTED_VALUE"""),1.0)</f>
        <v>1</v>
      </c>
      <c r="F254" s="300">
        <v>1.0</v>
      </c>
      <c r="G254" s="300">
        <v>1.0</v>
      </c>
      <c r="H254" s="300">
        <v>1.0</v>
      </c>
      <c r="I254" s="300">
        <v>1.0</v>
      </c>
      <c r="J254" s="300">
        <v>1.0</v>
      </c>
      <c r="K254" s="300">
        <v>1.0</v>
      </c>
      <c r="L254" s="300">
        <v>1.0</v>
      </c>
      <c r="M254" s="300">
        <v>1.0</v>
      </c>
      <c r="N254" s="300">
        <v>8.0</v>
      </c>
      <c r="O254" s="300" t="s">
        <v>788</v>
      </c>
      <c r="P254" s="300">
        <v>3.0</v>
      </c>
    </row>
    <row r="255">
      <c r="A255">
        <f>IFERROR(__xludf.DUMMYFUNCTION("""COMPUTED_VALUE"""),10.0)</f>
        <v>10</v>
      </c>
      <c r="B255" s="406">
        <f>IFERROR(__xludf.DUMMYFUNCTION("""COMPUTED_VALUE"""),28070.0)</f>
        <v>28070</v>
      </c>
      <c r="C255" t="str">
        <f>IFERROR(__xludf.DUMMYFUNCTION("""COMPUTED_VALUE"""),"MORENO RESTREPO, MARTIN")</f>
        <v>MORENO RESTREPO, MARTIN</v>
      </c>
      <c r="D255" t="str">
        <f>IFERROR(__xludf.DUMMYFUNCTION("""COMPUTED_VALUE"""),"English 10")</f>
        <v>English 10</v>
      </c>
      <c r="E255" s="3">
        <f>IFERROR(__xludf.DUMMYFUNCTION("""COMPUTED_VALUE"""),5.0)</f>
        <v>5</v>
      </c>
      <c r="F255" s="300">
        <v>1.0</v>
      </c>
      <c r="G255" s="300">
        <v>1.0</v>
      </c>
      <c r="H255" s="300">
        <v>1.0</v>
      </c>
      <c r="I255" s="300">
        <v>1.0</v>
      </c>
      <c r="J255" s="300">
        <v>1.0</v>
      </c>
      <c r="K255" s="300">
        <v>1.0</v>
      </c>
      <c r="L255" s="300">
        <v>1.0</v>
      </c>
      <c r="M255" s="300">
        <v>1.0</v>
      </c>
      <c r="N255" s="300">
        <v>8.0</v>
      </c>
      <c r="O255" s="300" t="s">
        <v>790</v>
      </c>
      <c r="P255" s="300">
        <v>3.0</v>
      </c>
    </row>
    <row r="256">
      <c r="A256">
        <f>IFERROR(__xludf.DUMMYFUNCTION("""COMPUTED_VALUE"""),10.0)</f>
        <v>10</v>
      </c>
      <c r="B256" s="406">
        <f>IFERROR(__xludf.DUMMYFUNCTION("""COMPUTED_VALUE"""),28110.0)</f>
        <v>28110</v>
      </c>
      <c r="C256" t="str">
        <f>IFERROR(__xludf.DUMMYFUNCTION("""COMPUTED_VALUE"""),"VARGAS URIBE, LORENZO")</f>
        <v>VARGAS URIBE, LORENZO</v>
      </c>
      <c r="D256" t="str">
        <f>IFERROR(__xludf.DUMMYFUNCTION("""COMPUTED_VALUE"""),"AP Seminar")</f>
        <v>AP Seminar</v>
      </c>
      <c r="E256" s="3">
        <f>IFERROR(__xludf.DUMMYFUNCTION("""COMPUTED_VALUE"""),1.0)</f>
        <v>1</v>
      </c>
      <c r="F256" s="300">
        <v>1.0</v>
      </c>
      <c r="G256" s="300">
        <v>1.0</v>
      </c>
      <c r="H256" s="300">
        <v>1.0</v>
      </c>
      <c r="I256" s="300">
        <v>1.0</v>
      </c>
      <c r="J256" s="300">
        <v>1.0</v>
      </c>
      <c r="K256" s="300">
        <v>1.0</v>
      </c>
      <c r="L256" s="300">
        <v>1.0</v>
      </c>
      <c r="M256" s="300">
        <v>1.0</v>
      </c>
      <c r="N256" s="300">
        <v>8.0</v>
      </c>
      <c r="O256" s="300" t="s">
        <v>788</v>
      </c>
      <c r="P256" s="300">
        <v>3.0</v>
      </c>
    </row>
    <row r="257">
      <c r="A257">
        <f>IFERROR(__xludf.DUMMYFUNCTION("""COMPUTED_VALUE"""),10.0)</f>
        <v>10</v>
      </c>
      <c r="B257" s="406">
        <f>IFERROR(__xludf.DUMMYFUNCTION("""COMPUTED_VALUE"""),28066.0)</f>
        <v>28066</v>
      </c>
      <c r="C257" t="str">
        <f>IFERROR(__xludf.DUMMYFUNCTION("""COMPUTED_VALUE"""),"MEJIA VELEZ, CANDELARIA")</f>
        <v>MEJIA VELEZ, CANDELARIA</v>
      </c>
      <c r="D257" t="str">
        <f>IFERROR(__xludf.DUMMYFUNCTION("""COMPUTED_VALUE"""),"English 10")</f>
        <v>English 10</v>
      </c>
      <c r="E257" s="3">
        <f>IFERROR(__xludf.DUMMYFUNCTION("""COMPUTED_VALUE"""),8.0)</f>
        <v>8</v>
      </c>
      <c r="F257" s="300">
        <v>1.0</v>
      </c>
      <c r="G257" s="300">
        <v>1.0</v>
      </c>
      <c r="H257" s="300">
        <v>1.0</v>
      </c>
      <c r="I257" s="300">
        <v>1.0</v>
      </c>
      <c r="J257" s="300">
        <v>1.0</v>
      </c>
      <c r="K257" s="300">
        <v>1.0</v>
      </c>
      <c r="L257" s="300">
        <v>1.0</v>
      </c>
      <c r="M257" s="300">
        <v>1.0</v>
      </c>
      <c r="N257" s="300">
        <v>8.0</v>
      </c>
      <c r="O257" s="300" t="s">
        <v>793</v>
      </c>
      <c r="P257" s="300">
        <v>3.0</v>
      </c>
    </row>
    <row r="258">
      <c r="A258">
        <f>IFERROR(__xludf.DUMMYFUNCTION("""COMPUTED_VALUE"""),10.0)</f>
        <v>10</v>
      </c>
      <c r="B258" s="406">
        <f>IFERROR(__xludf.DUMMYFUNCTION("""COMPUTED_VALUE"""),28071.0)</f>
        <v>28071</v>
      </c>
      <c r="C258" t="str">
        <f>IFERROR(__xludf.DUMMYFUNCTION("""COMPUTED_VALUE"""),"NARANJO PINO, MARTIN")</f>
        <v>NARANJO PINO, MARTIN</v>
      </c>
      <c r="D258" t="str">
        <f>IFERROR(__xludf.DUMMYFUNCTION("""COMPUTED_VALUE"""),"AP Seminar")</f>
        <v>AP Seminar</v>
      </c>
      <c r="E258" s="3">
        <f>IFERROR(__xludf.DUMMYFUNCTION("""COMPUTED_VALUE"""),1.0)</f>
        <v>1</v>
      </c>
      <c r="F258" s="300">
        <v>1.0</v>
      </c>
      <c r="G258" s="300">
        <v>1.0</v>
      </c>
      <c r="H258" s="300">
        <v>1.0</v>
      </c>
      <c r="I258" s="300">
        <v>1.0</v>
      </c>
      <c r="J258" s="300">
        <v>1.0</v>
      </c>
      <c r="K258" s="300">
        <v>1.0</v>
      </c>
      <c r="L258" s="300">
        <v>1.0</v>
      </c>
      <c r="M258" s="300">
        <v>1.0</v>
      </c>
      <c r="N258" s="300">
        <v>8.0</v>
      </c>
      <c r="O258" s="300" t="s">
        <v>788</v>
      </c>
      <c r="P258" s="300">
        <v>3.0</v>
      </c>
    </row>
    <row r="259">
      <c r="A259">
        <f>IFERROR(__xludf.DUMMYFUNCTION("""COMPUTED_VALUE"""),10.0)</f>
        <v>10</v>
      </c>
      <c r="B259" s="406">
        <f>IFERROR(__xludf.DUMMYFUNCTION("""COMPUTED_VALUE"""),28168.0)</f>
        <v>28168</v>
      </c>
      <c r="C259" t="str">
        <f>IFERROR(__xludf.DUMMYFUNCTION("""COMPUTED_VALUE"""),"KEILON GRAHAM")</f>
        <v>KEILON GRAHAM</v>
      </c>
      <c r="D259" t="str">
        <f>IFERROR(__xludf.DUMMYFUNCTION("""COMPUTED_VALUE"""),"English 10")</f>
        <v>English 10</v>
      </c>
      <c r="E259" s="3">
        <f>IFERROR(__xludf.DUMMYFUNCTION("""COMPUTED_VALUE"""),5.0)</f>
        <v>5</v>
      </c>
      <c r="F259" s="300">
        <v>1.0</v>
      </c>
      <c r="G259" s="300">
        <v>1.0</v>
      </c>
      <c r="H259" s="300">
        <v>1.0</v>
      </c>
      <c r="I259" s="300">
        <v>1.0</v>
      </c>
      <c r="J259" s="300">
        <v>1.0</v>
      </c>
      <c r="K259" s="300">
        <v>1.0</v>
      </c>
      <c r="L259" s="300">
        <v>1.0</v>
      </c>
      <c r="M259" s="300">
        <v>1.0</v>
      </c>
      <c r="N259" s="300">
        <v>8.0</v>
      </c>
      <c r="O259" s="300" t="s">
        <v>790</v>
      </c>
      <c r="P259" s="300">
        <v>3.0</v>
      </c>
    </row>
    <row r="260">
      <c r="A260">
        <f>IFERROR(__xludf.DUMMYFUNCTION("""COMPUTED_VALUE"""),11.0)</f>
        <v>11</v>
      </c>
      <c r="B260" s="406">
        <f>IFERROR(__xludf.DUMMYFUNCTION("""COMPUTED_VALUE"""),27118.0)</f>
        <v>27118</v>
      </c>
      <c r="C260" t="str">
        <f>IFERROR(__xludf.DUMMYFUNCTION("""COMPUTED_VALUE"""),"URIBE SIERRA, SOFIA")</f>
        <v>URIBE SIERRA, SOFIA</v>
      </c>
      <c r="D260" t="str">
        <f>IFERROR(__xludf.DUMMYFUNCTION("""COMPUTED_VALUE"""),"AP English Language")</f>
        <v>AP English Language</v>
      </c>
      <c r="E260" s="3">
        <f>IFERROR(__xludf.DUMMYFUNCTION("""COMPUTED_VALUE"""),3.0)</f>
        <v>3</v>
      </c>
      <c r="F260" s="300">
        <v>1.0</v>
      </c>
      <c r="G260" s="300">
        <v>1.0</v>
      </c>
      <c r="H260" s="300">
        <v>1.0</v>
      </c>
      <c r="I260" s="300">
        <v>1.0</v>
      </c>
      <c r="J260" s="300">
        <v>1.0</v>
      </c>
      <c r="K260" s="300">
        <v>1.0</v>
      </c>
      <c r="L260" s="300">
        <v>1.0</v>
      </c>
      <c r="M260" s="300">
        <v>1.0</v>
      </c>
      <c r="N260" s="300">
        <v>8.0</v>
      </c>
      <c r="O260" s="300" t="s">
        <v>795</v>
      </c>
      <c r="P260" s="300">
        <v>2.0</v>
      </c>
    </row>
    <row r="261">
      <c r="A261">
        <f>IFERROR(__xludf.DUMMYFUNCTION("""COMPUTED_VALUE"""),11.0)</f>
        <v>11</v>
      </c>
      <c r="B261" s="406">
        <f>IFERROR(__xludf.DUMMYFUNCTION("""COMPUTED_VALUE"""),27039.0)</f>
        <v>27039</v>
      </c>
      <c r="C261" t="str">
        <f>IFERROR(__xludf.DUMMYFUNCTION("""COMPUTED_VALUE"""),"GALLEGO LOPEZ, SUSSANA")</f>
        <v>GALLEGO LOPEZ, SUSSANA</v>
      </c>
      <c r="D261" t="str">
        <f>IFERROR(__xludf.DUMMYFUNCTION("""COMPUTED_VALUE"""),"AP English Literature")</f>
        <v>AP English Literature</v>
      </c>
      <c r="E261" s="3">
        <f>IFERROR(__xludf.DUMMYFUNCTION("""COMPUTED_VALUE"""),4.0)</f>
        <v>4</v>
      </c>
      <c r="F261" s="300">
        <v>1.0</v>
      </c>
      <c r="G261" s="300">
        <v>1.0</v>
      </c>
      <c r="H261" s="300">
        <v>1.0</v>
      </c>
      <c r="I261" s="300">
        <v>1.0</v>
      </c>
      <c r="J261" s="300">
        <v>1.0</v>
      </c>
      <c r="K261" s="300">
        <v>1.0</v>
      </c>
      <c r="L261" s="300">
        <v>1.0</v>
      </c>
      <c r="M261" s="300">
        <v>1.0</v>
      </c>
      <c r="N261" s="300">
        <v>8.0</v>
      </c>
      <c r="O261" s="300" t="s">
        <v>796</v>
      </c>
      <c r="P261" s="300">
        <v>1.0</v>
      </c>
    </row>
    <row r="262">
      <c r="A262">
        <f>IFERROR(__xludf.DUMMYFUNCTION("""COMPUTED_VALUE"""),11.0)</f>
        <v>11</v>
      </c>
      <c r="B262" s="406">
        <f>IFERROR(__xludf.DUMMYFUNCTION("""COMPUTED_VALUE"""),27171.0)</f>
        <v>27171</v>
      </c>
      <c r="C262" t="str">
        <f>IFERROR(__xludf.DUMMYFUNCTION("""COMPUTED_VALUE"""),"BEDOYA PARRA, LAURA")</f>
        <v>BEDOYA PARRA, LAURA</v>
      </c>
      <c r="D262" t="str">
        <f>IFERROR(__xludf.DUMMYFUNCTION("""COMPUTED_VALUE"""),"Art of Fiction Intermediate Level")</f>
        <v>Art of Fiction Intermediate Level</v>
      </c>
      <c r="E262" s="3">
        <f>IFERROR(__xludf.DUMMYFUNCTION("""COMPUTED_VALUE"""),6.0)</f>
        <v>6</v>
      </c>
      <c r="F262" s="300">
        <v>1.0</v>
      </c>
      <c r="G262" s="300">
        <v>1.0</v>
      </c>
      <c r="H262" s="300">
        <v>1.0</v>
      </c>
      <c r="I262" s="300">
        <v>1.0</v>
      </c>
      <c r="J262" s="300">
        <v>1.0</v>
      </c>
      <c r="K262" s="300">
        <v>1.0</v>
      </c>
      <c r="L262" s="300">
        <v>1.0</v>
      </c>
      <c r="M262" s="300">
        <v>1.0</v>
      </c>
      <c r="N262" s="300">
        <v>8.0</v>
      </c>
      <c r="O262" s="300" t="s">
        <v>797</v>
      </c>
      <c r="P262" s="300">
        <v>3.0</v>
      </c>
    </row>
    <row r="263">
      <c r="A263">
        <f>IFERROR(__xludf.DUMMYFUNCTION("""COMPUTED_VALUE"""),11.0)</f>
        <v>11</v>
      </c>
      <c r="B263" s="406">
        <f>IFERROR(__xludf.DUMMYFUNCTION("""COMPUTED_VALUE"""),27146.0)</f>
        <v>27146</v>
      </c>
      <c r="C263" t="str">
        <f>IFERROR(__xludf.DUMMYFUNCTION("""COMPUTED_VALUE"""),"MORALES BAYONA, AMELIA")</f>
        <v>MORALES BAYONA, AMELIA</v>
      </c>
      <c r="D263" t="str">
        <f>IFERROR(__xludf.DUMMYFUNCTION("""COMPUTED_VALUE"""),"Journalism Higher Level")</f>
        <v>Journalism Higher Level</v>
      </c>
      <c r="E263" s="3">
        <f>IFERROR(__xludf.DUMMYFUNCTION("""COMPUTED_VALUE"""),3.0)</f>
        <v>3</v>
      </c>
      <c r="F263" s="300">
        <v>1.0</v>
      </c>
      <c r="G263" s="300">
        <v>1.0</v>
      </c>
      <c r="H263" s="300">
        <v>1.0</v>
      </c>
      <c r="I263" s="300">
        <v>1.0</v>
      </c>
      <c r="J263" s="300">
        <v>1.0</v>
      </c>
      <c r="K263" s="300">
        <v>1.0</v>
      </c>
      <c r="L263" s="300">
        <v>1.0</v>
      </c>
      <c r="M263" s="300">
        <v>1.0</v>
      </c>
      <c r="N263" s="300">
        <v>8.0</v>
      </c>
      <c r="O263" s="300" t="s">
        <v>798</v>
      </c>
      <c r="P263" s="300">
        <v>3.0</v>
      </c>
    </row>
    <row r="264">
      <c r="A264">
        <f>IFERROR(__xludf.DUMMYFUNCTION("""COMPUTED_VALUE"""),11.0)</f>
        <v>11</v>
      </c>
      <c r="B264" s="406">
        <f>IFERROR(__xludf.DUMMYFUNCTION("""COMPUTED_VALUE"""),27073.0)</f>
        <v>27073</v>
      </c>
      <c r="C264" t="str">
        <f>IFERROR(__xludf.DUMMYFUNCTION("""COMPUTED_VALUE"""),"MONTES LOPEZ, SOFIA")</f>
        <v>MONTES LOPEZ, SOFIA</v>
      </c>
      <c r="D264" t="str">
        <f>IFERROR(__xludf.DUMMYFUNCTION("""COMPUTED_VALUE"""),"AP English Language")</f>
        <v>AP English Language</v>
      </c>
      <c r="E264" s="3">
        <f>IFERROR(__xludf.DUMMYFUNCTION("""COMPUTED_VALUE"""),3.0)</f>
        <v>3</v>
      </c>
      <c r="F264" s="300">
        <v>1.0</v>
      </c>
      <c r="G264" s="300">
        <v>1.0</v>
      </c>
      <c r="H264" s="300">
        <v>1.0</v>
      </c>
      <c r="I264" s="300">
        <v>1.0</v>
      </c>
      <c r="J264" s="300">
        <v>1.0</v>
      </c>
      <c r="K264" s="300">
        <v>1.0</v>
      </c>
      <c r="L264" s="300">
        <v>1.0</v>
      </c>
      <c r="M264" s="300">
        <v>1.0</v>
      </c>
      <c r="N264" s="300">
        <v>8.0</v>
      </c>
      <c r="O264" s="300" t="s">
        <v>795</v>
      </c>
      <c r="P264" s="300">
        <v>2.0</v>
      </c>
    </row>
    <row r="265">
      <c r="A265">
        <f>IFERROR(__xludf.DUMMYFUNCTION("""COMPUTED_VALUE"""),11.0)</f>
        <v>11</v>
      </c>
      <c r="B265" s="406">
        <f>IFERROR(__xludf.DUMMYFUNCTION("""COMPUTED_VALUE"""),27139.0)</f>
        <v>27139</v>
      </c>
      <c r="C265" t="str">
        <f>IFERROR(__xludf.DUMMYFUNCTION("""COMPUTED_VALUE"""),"OCAMPO CEBALLOS, JULIA")</f>
        <v>OCAMPO CEBALLOS, JULIA</v>
      </c>
      <c r="D265" t="str">
        <f>IFERROR(__xludf.DUMMYFUNCTION("""COMPUTED_VALUE"""),"AP English Language")</f>
        <v>AP English Language</v>
      </c>
      <c r="E265" s="3">
        <f>IFERROR(__xludf.DUMMYFUNCTION("""COMPUTED_VALUE"""),7.0)</f>
        <v>7</v>
      </c>
      <c r="F265" s="300">
        <v>1.0</v>
      </c>
      <c r="G265" s="300">
        <v>1.0</v>
      </c>
      <c r="H265" s="300">
        <v>1.0</v>
      </c>
      <c r="I265" s="300">
        <v>1.0</v>
      </c>
      <c r="J265" s="300">
        <v>1.0</v>
      </c>
      <c r="K265" s="300">
        <v>1.0</v>
      </c>
      <c r="L265" s="300">
        <v>1.0</v>
      </c>
      <c r="M265" s="300">
        <v>1.0</v>
      </c>
      <c r="N265" s="300">
        <v>8.0</v>
      </c>
      <c r="O265" s="300" t="s">
        <v>794</v>
      </c>
      <c r="P265" s="300">
        <v>2.0</v>
      </c>
    </row>
    <row r="266">
      <c r="A266">
        <f>IFERROR(__xludf.DUMMYFUNCTION("""COMPUTED_VALUE"""),11.0)</f>
        <v>11</v>
      </c>
      <c r="B266" s="406">
        <f>IFERROR(__xludf.DUMMYFUNCTION("""COMPUTED_VALUE"""),27020.0)</f>
        <v>27020</v>
      </c>
      <c r="C266" t="str">
        <f>IFERROR(__xludf.DUMMYFUNCTION("""COMPUTED_VALUE"""),"BOTERO LAVERDE, MARTINA")</f>
        <v>BOTERO LAVERDE, MARTINA</v>
      </c>
      <c r="D266" t="str">
        <f>IFERROR(__xludf.DUMMYFUNCTION("""COMPUTED_VALUE"""),"Art of Fiction Intermediate Level")</f>
        <v>Art of Fiction Intermediate Level</v>
      </c>
      <c r="E266" s="3">
        <f>IFERROR(__xludf.DUMMYFUNCTION("""COMPUTED_VALUE"""),6.0)</f>
        <v>6</v>
      </c>
      <c r="F266" s="300">
        <v>1.0</v>
      </c>
      <c r="G266" s="300">
        <v>1.0</v>
      </c>
      <c r="H266" s="300">
        <v>1.0</v>
      </c>
      <c r="I266" s="300">
        <v>1.0</v>
      </c>
      <c r="J266" s="300">
        <v>1.0</v>
      </c>
      <c r="K266" s="300">
        <v>1.0</v>
      </c>
      <c r="L266" s="300">
        <v>1.0</v>
      </c>
      <c r="M266" s="300">
        <v>1.0</v>
      </c>
      <c r="N266" s="300">
        <v>8.0</v>
      </c>
      <c r="O266" s="300" t="s">
        <v>797</v>
      </c>
      <c r="P266" s="300">
        <v>3.0</v>
      </c>
    </row>
    <row r="267">
      <c r="A267">
        <f>IFERROR(__xludf.DUMMYFUNCTION("""COMPUTED_VALUE"""),11.0)</f>
        <v>11</v>
      </c>
      <c r="B267" s="406">
        <f>IFERROR(__xludf.DUMMYFUNCTION("""COMPUTED_VALUE"""),27059.0)</f>
        <v>27059</v>
      </c>
      <c r="C267" t="str">
        <f>IFERROR(__xludf.DUMMYFUNCTION("""COMPUTED_VALUE"""),"LOPEZ VELEZ, PAULINA")</f>
        <v>LOPEZ VELEZ, PAULINA</v>
      </c>
      <c r="D267" t="str">
        <f>IFERROR(__xludf.DUMMYFUNCTION("""COMPUTED_VALUE"""),"AP English Language")</f>
        <v>AP English Language</v>
      </c>
      <c r="E267" s="3">
        <f>IFERROR(__xludf.DUMMYFUNCTION("""COMPUTED_VALUE"""),3.0)</f>
        <v>3</v>
      </c>
      <c r="F267" s="300">
        <v>1.0</v>
      </c>
      <c r="G267" s="300">
        <v>1.0</v>
      </c>
      <c r="H267" s="300">
        <v>1.0</v>
      </c>
      <c r="I267" s="300">
        <v>1.0</v>
      </c>
      <c r="J267" s="300">
        <v>1.0</v>
      </c>
      <c r="K267" s="300">
        <v>1.0</v>
      </c>
      <c r="L267" s="300">
        <v>1.0</v>
      </c>
      <c r="M267" s="300">
        <v>1.0</v>
      </c>
      <c r="N267" s="300">
        <v>8.0</v>
      </c>
      <c r="O267" s="300" t="s">
        <v>795</v>
      </c>
      <c r="P267" s="300">
        <v>2.0</v>
      </c>
    </row>
    <row r="268">
      <c r="A268">
        <f>IFERROR(__xludf.DUMMYFUNCTION("""COMPUTED_VALUE"""),11.0)</f>
        <v>11</v>
      </c>
      <c r="B268" s="406">
        <f>IFERROR(__xludf.DUMMYFUNCTION("""COMPUTED_VALUE"""),27051.0)</f>
        <v>27051</v>
      </c>
      <c r="C268" t="str">
        <f>IFERROR(__xludf.DUMMYFUNCTION("""COMPUTED_VALUE"""),"ISAZA GOMEZ, ELISA")</f>
        <v>ISAZA GOMEZ, ELISA</v>
      </c>
      <c r="D268" t="str">
        <f>IFERROR(__xludf.DUMMYFUNCTION("""COMPUTED_VALUE"""),"Art of Fiction Intermediate Level")</f>
        <v>Art of Fiction Intermediate Level</v>
      </c>
      <c r="E268" s="3">
        <f>IFERROR(__xludf.DUMMYFUNCTION("""COMPUTED_VALUE"""),6.0)</f>
        <v>6</v>
      </c>
      <c r="F268" s="300">
        <v>1.0</v>
      </c>
      <c r="G268" s="300">
        <v>1.0</v>
      </c>
      <c r="H268" s="300">
        <v>1.0</v>
      </c>
      <c r="I268" s="300">
        <v>1.0</v>
      </c>
      <c r="J268" s="300">
        <v>1.0</v>
      </c>
      <c r="K268" s="300">
        <v>1.0</v>
      </c>
      <c r="L268" s="300">
        <v>1.0</v>
      </c>
      <c r="M268" s="300">
        <v>1.0</v>
      </c>
      <c r="N268" s="300">
        <v>8.0</v>
      </c>
      <c r="O268" s="300" t="s">
        <v>797</v>
      </c>
      <c r="P268" s="300">
        <v>3.0</v>
      </c>
    </row>
    <row r="269">
      <c r="A269">
        <f>IFERROR(__xludf.DUMMYFUNCTION("""COMPUTED_VALUE"""),11.0)</f>
        <v>11</v>
      </c>
      <c r="B269" s="406">
        <f>IFERROR(__xludf.DUMMYFUNCTION("""COMPUTED_VALUE"""),27119.0)</f>
        <v>27119</v>
      </c>
      <c r="C269" t="str">
        <f>IFERROR(__xludf.DUMMYFUNCTION("""COMPUTED_VALUE"""),"VALENCIA RODRIGUEZ, EMILIA")</f>
        <v>VALENCIA RODRIGUEZ, EMILIA</v>
      </c>
      <c r="D269" t="str">
        <f>IFERROR(__xludf.DUMMYFUNCTION("""COMPUTED_VALUE"""),"Art of Fiction Intermediate Level")</f>
        <v>Art of Fiction Intermediate Level</v>
      </c>
      <c r="E269" s="3">
        <f>IFERROR(__xludf.DUMMYFUNCTION("""COMPUTED_VALUE"""),1.0)</f>
        <v>1</v>
      </c>
      <c r="F269" s="300">
        <v>1.0</v>
      </c>
      <c r="G269" s="300">
        <v>1.0</v>
      </c>
      <c r="H269" s="300">
        <v>1.0</v>
      </c>
      <c r="I269" s="300">
        <v>1.0</v>
      </c>
      <c r="J269" s="300">
        <v>1.0</v>
      </c>
      <c r="K269" s="300">
        <v>1.0</v>
      </c>
      <c r="L269" s="300">
        <v>1.0</v>
      </c>
      <c r="M269" s="300">
        <v>1.0</v>
      </c>
      <c r="N269" s="300">
        <v>8.0</v>
      </c>
      <c r="O269" s="300" t="s">
        <v>799</v>
      </c>
      <c r="P269" s="300">
        <v>3.0</v>
      </c>
    </row>
    <row r="270">
      <c r="A270">
        <f>IFERROR(__xludf.DUMMYFUNCTION("""COMPUTED_VALUE"""),11.0)</f>
        <v>11</v>
      </c>
      <c r="B270" s="406">
        <f>IFERROR(__xludf.DUMMYFUNCTION("""COMPUTED_VALUE"""),27074.0)</f>
        <v>27074</v>
      </c>
      <c r="C270" t="str">
        <f>IFERROR(__xludf.DUMMYFUNCTION("""COMPUTED_VALUE"""),"MONTORSI GOMEZ, LUCIA")</f>
        <v>MONTORSI GOMEZ, LUCIA</v>
      </c>
      <c r="D270" t="str">
        <f>IFERROR(__xludf.DUMMYFUNCTION("""COMPUTED_VALUE"""),"Art of Fiction Intermediate Level")</f>
        <v>Art of Fiction Intermediate Level</v>
      </c>
      <c r="E270" s="3">
        <f>IFERROR(__xludf.DUMMYFUNCTION("""COMPUTED_VALUE"""),6.0)</f>
        <v>6</v>
      </c>
      <c r="F270" s="300">
        <v>1.0</v>
      </c>
      <c r="G270" s="300">
        <v>1.0</v>
      </c>
      <c r="H270" s="300">
        <v>1.0</v>
      </c>
      <c r="I270" s="300">
        <v>1.0</v>
      </c>
      <c r="J270" s="300">
        <v>1.0</v>
      </c>
      <c r="K270" s="300">
        <v>1.0</v>
      </c>
      <c r="L270" s="300">
        <v>1.0</v>
      </c>
      <c r="M270" s="300">
        <v>1.0</v>
      </c>
      <c r="N270" s="300">
        <v>8.0</v>
      </c>
      <c r="O270" s="300" t="s">
        <v>797</v>
      </c>
      <c r="P270" s="300">
        <v>3.0</v>
      </c>
    </row>
    <row r="271">
      <c r="A271">
        <f>IFERROR(__xludf.DUMMYFUNCTION("""COMPUTED_VALUE"""),11.0)</f>
        <v>11</v>
      </c>
      <c r="B271" s="406">
        <f>IFERROR(__xludf.DUMMYFUNCTION("""COMPUTED_VALUE"""),27124.0)</f>
        <v>27124</v>
      </c>
      <c r="C271" t="str">
        <f>IFERROR(__xludf.DUMMYFUNCTION("""COMPUTED_VALUE"""),"VELEZ RAMIREZ, JULIETA")</f>
        <v>VELEZ RAMIREZ, JULIETA</v>
      </c>
      <c r="D271" t="str">
        <f>IFERROR(__xludf.DUMMYFUNCTION("""COMPUTED_VALUE"""),"AP English Language")</f>
        <v>AP English Language</v>
      </c>
      <c r="E271" s="3">
        <f>IFERROR(__xludf.DUMMYFUNCTION("""COMPUTED_VALUE"""),3.0)</f>
        <v>3</v>
      </c>
      <c r="F271" s="300">
        <v>1.0</v>
      </c>
      <c r="G271" s="300">
        <v>1.0</v>
      </c>
      <c r="H271" s="300">
        <v>1.0</v>
      </c>
      <c r="I271" s="300">
        <v>1.0</v>
      </c>
      <c r="J271" s="300">
        <v>1.0</v>
      </c>
      <c r="K271" s="300">
        <v>1.0</v>
      </c>
      <c r="L271" s="300">
        <v>1.0</v>
      </c>
      <c r="M271" s="300">
        <v>1.0</v>
      </c>
      <c r="N271" s="300">
        <v>8.0</v>
      </c>
      <c r="O271" s="300" t="s">
        <v>795</v>
      </c>
      <c r="P271" s="300">
        <v>2.0</v>
      </c>
    </row>
    <row r="272">
      <c r="A272">
        <f>IFERROR(__xludf.DUMMYFUNCTION("""COMPUTED_VALUE"""),11.0)</f>
        <v>11</v>
      </c>
      <c r="B272" s="406">
        <f>IFERROR(__xludf.DUMMYFUNCTION("""COMPUTED_VALUE"""),27095.0)</f>
        <v>27095</v>
      </c>
      <c r="C272" t="str">
        <f>IFERROR(__xludf.DUMMYFUNCTION("""COMPUTED_VALUE"""),"RESTREPO BECERRA, ALINA")</f>
        <v>RESTREPO BECERRA, ALINA</v>
      </c>
      <c r="D272" t="str">
        <f>IFERROR(__xludf.DUMMYFUNCTION("""COMPUTED_VALUE"""),"Journalism Intermediate Level")</f>
        <v>Journalism Intermediate Level</v>
      </c>
      <c r="E272" s="3">
        <f>IFERROR(__xludf.DUMMYFUNCTION("""COMPUTED_VALUE"""),3.0)</f>
        <v>3</v>
      </c>
      <c r="F272" s="300">
        <v>1.0</v>
      </c>
      <c r="G272" s="300">
        <v>1.0</v>
      </c>
      <c r="H272" s="300">
        <v>1.0</v>
      </c>
      <c r="I272" s="300">
        <v>1.0</v>
      </c>
      <c r="J272" s="300">
        <v>1.0</v>
      </c>
      <c r="K272" s="300">
        <v>1.0</v>
      </c>
      <c r="L272" s="300">
        <v>1.0</v>
      </c>
      <c r="M272" s="300">
        <v>1.0</v>
      </c>
      <c r="N272" s="300">
        <v>8.0</v>
      </c>
      <c r="O272" s="300" t="s">
        <v>800</v>
      </c>
      <c r="P272" s="300">
        <v>2.0</v>
      </c>
    </row>
    <row r="273">
      <c r="A273">
        <f>IFERROR(__xludf.DUMMYFUNCTION("""COMPUTED_VALUE"""),11.0)</f>
        <v>11</v>
      </c>
      <c r="B273" s="406">
        <f>IFERROR(__xludf.DUMMYFUNCTION("""COMPUTED_VALUE"""),27080.0)</f>
        <v>27080</v>
      </c>
      <c r="C273" t="str">
        <f>IFERROR(__xludf.DUMMYFUNCTION("""COMPUTED_VALUE"""),"OSORIO GAVIRIA, MARIA CLARA")</f>
        <v>OSORIO GAVIRIA, MARIA CLARA</v>
      </c>
      <c r="D273" t="str">
        <f>IFERROR(__xludf.DUMMYFUNCTION("""COMPUTED_VALUE"""),"Art of Fiction Higher Level")</f>
        <v>Art of Fiction Higher Level</v>
      </c>
      <c r="E273" s="3">
        <f>IFERROR(__xludf.DUMMYFUNCTION("""COMPUTED_VALUE"""),1.0)</f>
        <v>1</v>
      </c>
      <c r="F273" s="300">
        <v>1.0</v>
      </c>
      <c r="G273" s="300">
        <v>1.0</v>
      </c>
      <c r="H273" s="300">
        <v>1.0</v>
      </c>
      <c r="I273" s="300">
        <v>1.0</v>
      </c>
      <c r="J273" s="300">
        <v>1.0</v>
      </c>
      <c r="K273" s="300">
        <v>1.0</v>
      </c>
      <c r="L273" s="300">
        <v>1.0</v>
      </c>
      <c r="M273" s="300">
        <v>1.0</v>
      </c>
      <c r="N273" s="300">
        <v>8.0</v>
      </c>
      <c r="O273" s="300" t="s">
        <v>801</v>
      </c>
      <c r="P273" s="300">
        <v>3.0</v>
      </c>
    </row>
    <row r="274">
      <c r="A274">
        <f>IFERROR(__xludf.DUMMYFUNCTION("""COMPUTED_VALUE"""),11.0)</f>
        <v>11</v>
      </c>
      <c r="B274" s="406">
        <f>IFERROR(__xludf.DUMMYFUNCTION("""COMPUTED_VALUE"""),27140.0)</f>
        <v>27140</v>
      </c>
      <c r="C274" t="str">
        <f>IFERROR(__xludf.DUMMYFUNCTION("""COMPUTED_VALUE"""),"CORREA URIBE, PABLO")</f>
        <v>CORREA URIBE, PABLO</v>
      </c>
      <c r="D274" t="str">
        <f>IFERROR(__xludf.DUMMYFUNCTION("""COMPUTED_VALUE"""),"Journalism Intermediate Level")</f>
        <v>Journalism Intermediate Level</v>
      </c>
      <c r="E274" s="3">
        <f>IFERROR(__xludf.DUMMYFUNCTION("""COMPUTED_VALUE"""),2.0)</f>
        <v>2</v>
      </c>
      <c r="F274" s="300">
        <v>1.0</v>
      </c>
      <c r="G274" s="300">
        <v>1.0</v>
      </c>
      <c r="H274" s="300">
        <v>1.0</v>
      </c>
      <c r="I274" s="300">
        <v>1.0</v>
      </c>
      <c r="J274" s="300">
        <v>1.0</v>
      </c>
      <c r="K274" s="300">
        <v>1.0</v>
      </c>
      <c r="L274" s="300">
        <v>1.0</v>
      </c>
      <c r="M274" s="300">
        <v>1.0</v>
      </c>
      <c r="N274" s="300">
        <v>8.0</v>
      </c>
      <c r="O274" s="300" t="s">
        <v>802</v>
      </c>
      <c r="P274" s="300">
        <v>2.0</v>
      </c>
    </row>
    <row r="275">
      <c r="A275">
        <f>IFERROR(__xludf.DUMMYFUNCTION("""COMPUTED_VALUE"""),11.0)</f>
        <v>11</v>
      </c>
      <c r="B275" s="406">
        <f>IFERROR(__xludf.DUMMYFUNCTION("""COMPUTED_VALUE"""),27106.0)</f>
        <v>27106</v>
      </c>
      <c r="C275" t="str">
        <f>IFERROR(__xludf.DUMMYFUNCTION("""COMPUTED_VALUE"""),"SANCHEZ HURTADO, CRISTOBAL")</f>
        <v>SANCHEZ HURTADO, CRISTOBAL</v>
      </c>
      <c r="D275" t="str">
        <f>IFERROR(__xludf.DUMMYFUNCTION("""COMPUTED_VALUE"""),"Journalism Intermediate Level")</f>
        <v>Journalism Intermediate Level</v>
      </c>
      <c r="E275" s="3">
        <f>IFERROR(__xludf.DUMMYFUNCTION("""COMPUTED_VALUE"""),2.0)</f>
        <v>2</v>
      </c>
      <c r="F275" s="300">
        <v>1.0</v>
      </c>
      <c r="G275" s="300">
        <v>1.0</v>
      </c>
      <c r="H275" s="300">
        <v>1.0</v>
      </c>
      <c r="I275" s="300">
        <v>1.0</v>
      </c>
      <c r="J275" s="300">
        <v>1.0</v>
      </c>
      <c r="K275" s="300">
        <v>1.0</v>
      </c>
      <c r="L275" s="300">
        <v>1.0</v>
      </c>
      <c r="M275" s="300">
        <v>1.0</v>
      </c>
      <c r="N275" s="300">
        <v>8.0</v>
      </c>
      <c r="O275" s="300" t="s">
        <v>802</v>
      </c>
      <c r="P275" s="300">
        <v>2.0</v>
      </c>
    </row>
    <row r="276">
      <c r="A276">
        <f>IFERROR(__xludf.DUMMYFUNCTION("""COMPUTED_VALUE"""),11.0)</f>
        <v>11</v>
      </c>
      <c r="B276" s="406">
        <f>IFERROR(__xludf.DUMMYFUNCTION("""COMPUTED_VALUE"""),27002.0)</f>
        <v>27002</v>
      </c>
      <c r="C276" t="str">
        <f>IFERROR(__xludf.DUMMYFUNCTION("""COMPUTED_VALUE"""),"AGUDELO LUJAN, ARIANA")</f>
        <v>AGUDELO LUJAN, ARIANA</v>
      </c>
      <c r="D276" t="str">
        <f>IFERROR(__xludf.DUMMYFUNCTION("""COMPUTED_VALUE"""),"AP English Language")</f>
        <v>AP English Language</v>
      </c>
      <c r="E276" s="3">
        <f>IFERROR(__xludf.DUMMYFUNCTION("""COMPUTED_VALUE"""),3.0)</f>
        <v>3</v>
      </c>
      <c r="F276" s="300">
        <v>1.0</v>
      </c>
      <c r="G276" s="300">
        <v>1.0</v>
      </c>
      <c r="H276" s="300">
        <v>1.0</v>
      </c>
      <c r="I276" s="300">
        <v>1.0</v>
      </c>
      <c r="J276" s="300">
        <v>1.0</v>
      </c>
      <c r="K276" s="300">
        <v>1.0</v>
      </c>
      <c r="L276" s="300">
        <v>1.0</v>
      </c>
      <c r="M276" s="300">
        <v>1.0</v>
      </c>
      <c r="N276" s="300">
        <v>8.0</v>
      </c>
      <c r="O276" s="300" t="s">
        <v>795</v>
      </c>
      <c r="P276" s="300">
        <v>2.0</v>
      </c>
    </row>
    <row r="277">
      <c r="A277">
        <f>IFERROR(__xludf.DUMMYFUNCTION("""COMPUTED_VALUE"""),11.0)</f>
        <v>11</v>
      </c>
      <c r="B277" s="406">
        <f>IFERROR(__xludf.DUMMYFUNCTION("""COMPUTED_VALUE"""),27001.0)</f>
        <v>27001</v>
      </c>
      <c r="C277" t="str">
        <f>IFERROR(__xludf.DUMMYFUNCTION("""COMPUTED_VALUE"""),"ACOSTA VILLA, LUCIANO")</f>
        <v>ACOSTA VILLA, LUCIANO</v>
      </c>
      <c r="D277" t="str">
        <f>IFERROR(__xludf.DUMMYFUNCTION("""COMPUTED_VALUE"""),"Art of Fiction Intermediate Level")</f>
        <v>Art of Fiction Intermediate Level</v>
      </c>
      <c r="E277" s="3">
        <f>IFERROR(__xludf.DUMMYFUNCTION("""COMPUTED_VALUE"""),4.0)</f>
        <v>4</v>
      </c>
      <c r="F277" s="300">
        <v>1.0</v>
      </c>
      <c r="G277" s="300">
        <v>1.0</v>
      </c>
      <c r="H277" s="300">
        <v>1.0</v>
      </c>
      <c r="I277" s="300">
        <v>1.0</v>
      </c>
      <c r="J277" s="300">
        <v>1.0</v>
      </c>
      <c r="K277" s="300">
        <v>1.0</v>
      </c>
      <c r="L277" s="300">
        <v>1.0</v>
      </c>
      <c r="M277" s="300">
        <v>1.0</v>
      </c>
      <c r="N277" s="300">
        <v>8.0</v>
      </c>
      <c r="O277" s="300" t="s">
        <v>803</v>
      </c>
      <c r="P277" s="300">
        <v>3.0</v>
      </c>
    </row>
    <row r="278">
      <c r="A278">
        <f>IFERROR(__xludf.DUMMYFUNCTION("""COMPUTED_VALUE"""),11.0)</f>
        <v>11</v>
      </c>
      <c r="B278" s="406">
        <f>IFERROR(__xludf.DUMMYFUNCTION("""COMPUTED_VALUE"""),26040.0)</f>
        <v>26040</v>
      </c>
      <c r="C278" t="str">
        <f>IFERROR(__xludf.DUMMYFUNCTION("""COMPUTED_VALUE"""),"GOMEZ VASQUEZ, MATIAS")</f>
        <v>GOMEZ VASQUEZ, MATIAS</v>
      </c>
      <c r="D278" t="str">
        <f>IFERROR(__xludf.DUMMYFUNCTION("""COMPUTED_VALUE"""),"Journalism Intermediate Level")</f>
        <v>Journalism Intermediate Level</v>
      </c>
      <c r="E278" s="3">
        <f>IFERROR(__xludf.DUMMYFUNCTION("""COMPUTED_VALUE"""),3.0)</f>
        <v>3</v>
      </c>
      <c r="F278" s="300">
        <v>1.0</v>
      </c>
      <c r="G278" s="300">
        <v>1.0</v>
      </c>
      <c r="H278" s="300">
        <v>1.0</v>
      </c>
      <c r="I278" s="300">
        <v>1.0</v>
      </c>
      <c r="J278" s="300">
        <v>1.0</v>
      </c>
      <c r="K278" s="300">
        <v>1.0</v>
      </c>
      <c r="L278" s="300">
        <v>1.0</v>
      </c>
      <c r="M278" s="300">
        <v>1.0</v>
      </c>
      <c r="N278" s="300">
        <v>8.0</v>
      </c>
      <c r="O278" s="300" t="s">
        <v>800</v>
      </c>
      <c r="P278" s="300">
        <v>2.0</v>
      </c>
    </row>
    <row r="279">
      <c r="A279">
        <f>IFERROR(__xludf.DUMMYFUNCTION("""COMPUTED_VALUE"""),11.0)</f>
        <v>11</v>
      </c>
      <c r="B279" s="406">
        <f>IFERROR(__xludf.DUMMYFUNCTION("""COMPUTED_VALUE"""),27086.0)</f>
        <v>27086</v>
      </c>
      <c r="C279" t="str">
        <f>IFERROR(__xludf.DUMMYFUNCTION("""COMPUTED_VALUE"""),"PEREZ ECHAVARRIA, TOMAS")</f>
        <v>PEREZ ECHAVARRIA, TOMAS</v>
      </c>
      <c r="D279" t="str">
        <f>IFERROR(__xludf.DUMMYFUNCTION("""COMPUTED_VALUE"""),"Art of Fiction Intermediate Level")</f>
        <v>Art of Fiction Intermediate Level</v>
      </c>
      <c r="E279" s="3">
        <f>IFERROR(__xludf.DUMMYFUNCTION("""COMPUTED_VALUE"""),1.0)</f>
        <v>1</v>
      </c>
      <c r="F279" s="300">
        <v>1.0</v>
      </c>
      <c r="G279" s="300">
        <v>1.0</v>
      </c>
      <c r="H279" s="300">
        <v>1.0</v>
      </c>
      <c r="I279" s="300">
        <v>1.0</v>
      </c>
      <c r="J279" s="300">
        <v>1.0</v>
      </c>
      <c r="K279" s="300">
        <v>1.0</v>
      </c>
      <c r="L279" s="300">
        <v>1.0</v>
      </c>
      <c r="M279" s="300">
        <v>1.0</v>
      </c>
      <c r="N279" s="300">
        <v>8.0</v>
      </c>
      <c r="O279" s="300" t="s">
        <v>799</v>
      </c>
      <c r="P279" s="300">
        <v>3.0</v>
      </c>
    </row>
    <row r="280">
      <c r="A280">
        <f>IFERROR(__xludf.DUMMYFUNCTION("""COMPUTED_VALUE"""),11.0)</f>
        <v>11</v>
      </c>
      <c r="B280" s="406">
        <f>IFERROR(__xludf.DUMMYFUNCTION("""COMPUTED_VALUE"""),27060.0)</f>
        <v>27060</v>
      </c>
      <c r="C280" t="str">
        <f>IFERROR(__xludf.DUMMYFUNCTION("""COMPUTED_VALUE"""),"MALDONADO SALDARRIAGA, ALEJANDRO")</f>
        <v>MALDONADO SALDARRIAGA, ALEJANDRO</v>
      </c>
      <c r="D280" t="str">
        <f>IFERROR(__xludf.DUMMYFUNCTION("""COMPUTED_VALUE"""),"Art of Fiction Intermediate Level")</f>
        <v>Art of Fiction Intermediate Level</v>
      </c>
      <c r="E280" s="3">
        <f>IFERROR(__xludf.DUMMYFUNCTION("""COMPUTED_VALUE"""),1.0)</f>
        <v>1</v>
      </c>
      <c r="F280" s="300">
        <v>1.0</v>
      </c>
      <c r="G280" s="300">
        <v>1.0</v>
      </c>
      <c r="H280" s="300">
        <v>1.0</v>
      </c>
      <c r="I280" s="300">
        <v>1.0</v>
      </c>
      <c r="J280" s="300">
        <v>1.0</v>
      </c>
      <c r="K280" s="300">
        <v>1.0</v>
      </c>
      <c r="L280" s="300">
        <v>1.0</v>
      </c>
      <c r="M280" s="300">
        <v>1.0</v>
      </c>
      <c r="N280" s="300">
        <v>8.0</v>
      </c>
      <c r="O280" s="300" t="s">
        <v>799</v>
      </c>
      <c r="P280" s="300">
        <v>3.0</v>
      </c>
    </row>
    <row r="281">
      <c r="A281">
        <f>IFERROR(__xludf.DUMMYFUNCTION("""COMPUTED_VALUE"""),11.0)</f>
        <v>11</v>
      </c>
      <c r="B281" s="406">
        <f>IFERROR(__xludf.DUMMYFUNCTION("""COMPUTED_VALUE"""),27043.0)</f>
        <v>27043</v>
      </c>
      <c r="C281" t="str">
        <f>IFERROR(__xludf.DUMMYFUNCTION("""COMPUTED_VALUE"""),"GAVIRIA ISAZA, TOMAS")</f>
        <v>GAVIRIA ISAZA, TOMAS</v>
      </c>
      <c r="D281" t="str">
        <f>IFERROR(__xludf.DUMMYFUNCTION("""COMPUTED_VALUE"""),"Journalism Intermediate Level")</f>
        <v>Journalism Intermediate Level</v>
      </c>
      <c r="E281" s="3">
        <f>IFERROR(__xludf.DUMMYFUNCTION("""COMPUTED_VALUE"""),2.0)</f>
        <v>2</v>
      </c>
      <c r="F281" s="300">
        <v>1.0</v>
      </c>
      <c r="G281" s="300">
        <v>1.0</v>
      </c>
      <c r="H281" s="300">
        <v>1.0</v>
      </c>
      <c r="I281" s="300">
        <v>1.0</v>
      </c>
      <c r="J281" s="300">
        <v>1.0</v>
      </c>
      <c r="K281" s="300">
        <v>1.0</v>
      </c>
      <c r="L281" s="300">
        <v>1.0</v>
      </c>
      <c r="M281" s="300">
        <v>1.0</v>
      </c>
      <c r="N281" s="300">
        <v>8.0</v>
      </c>
      <c r="O281" s="300" t="s">
        <v>802</v>
      </c>
      <c r="P281" s="300">
        <v>2.0</v>
      </c>
    </row>
    <row r="282">
      <c r="A282">
        <f>IFERROR(__xludf.DUMMYFUNCTION("""COMPUTED_VALUE"""),11.0)</f>
        <v>11</v>
      </c>
      <c r="B282" s="406">
        <f>IFERROR(__xludf.DUMMYFUNCTION("""COMPUTED_VALUE"""),27050.0)</f>
        <v>27050</v>
      </c>
      <c r="C282" t="str">
        <f>IFERROR(__xludf.DUMMYFUNCTION("""COMPUTED_VALUE"""),"HURTADO ARISTIZABAL, PAULINA")</f>
        <v>HURTADO ARISTIZABAL, PAULINA</v>
      </c>
      <c r="D282" t="str">
        <f>IFERROR(__xludf.DUMMYFUNCTION("""COMPUTED_VALUE"""),"Art of Fiction Intermediate Level")</f>
        <v>Art of Fiction Intermediate Level</v>
      </c>
      <c r="E282" s="3">
        <f>IFERROR(__xludf.DUMMYFUNCTION("""COMPUTED_VALUE"""),6.0)</f>
        <v>6</v>
      </c>
      <c r="F282" s="300">
        <v>1.0</v>
      </c>
      <c r="G282" s="300">
        <v>1.0</v>
      </c>
      <c r="H282" s="300">
        <v>1.0</v>
      </c>
      <c r="I282" s="300">
        <v>1.0</v>
      </c>
      <c r="J282" s="300">
        <v>1.0</v>
      </c>
      <c r="K282" s="300">
        <v>1.0</v>
      </c>
      <c r="L282" s="300">
        <v>1.0</v>
      </c>
      <c r="M282" s="300">
        <v>1.0</v>
      </c>
      <c r="N282" s="300">
        <v>8.0</v>
      </c>
      <c r="O282" s="300" t="s">
        <v>797</v>
      </c>
      <c r="P282" s="300">
        <v>3.0</v>
      </c>
    </row>
    <row r="283">
      <c r="A283">
        <f>IFERROR(__xludf.DUMMYFUNCTION("""COMPUTED_VALUE"""),11.0)</f>
        <v>11</v>
      </c>
      <c r="B283" s="406">
        <f>IFERROR(__xludf.DUMMYFUNCTION("""COMPUTED_VALUE"""),27038.0)</f>
        <v>27038</v>
      </c>
      <c r="C283" t="str">
        <f>IFERROR(__xludf.DUMMYFUNCTION("""COMPUTED_VALUE"""),"GALLEGO CUARTAS, FELIPE")</f>
        <v>GALLEGO CUARTAS, FELIPE</v>
      </c>
      <c r="D283" t="str">
        <f>IFERROR(__xludf.DUMMYFUNCTION("""COMPUTED_VALUE"""),"Art of Fiction Intermediate Level")</f>
        <v>Art of Fiction Intermediate Level</v>
      </c>
      <c r="E283" s="3">
        <f>IFERROR(__xludf.DUMMYFUNCTION("""COMPUTED_VALUE"""),1.0)</f>
        <v>1</v>
      </c>
      <c r="F283" s="300">
        <v>1.0</v>
      </c>
      <c r="G283" s="300">
        <v>1.0</v>
      </c>
      <c r="H283" s="300">
        <v>1.0</v>
      </c>
      <c r="I283" s="300">
        <v>1.0</v>
      </c>
      <c r="J283" s="300">
        <v>1.0</v>
      </c>
      <c r="K283" s="300">
        <v>1.0</v>
      </c>
      <c r="L283" s="300">
        <v>1.0</v>
      </c>
      <c r="M283" s="300">
        <v>1.0</v>
      </c>
      <c r="N283" s="300">
        <v>8.0</v>
      </c>
      <c r="O283" s="300" t="s">
        <v>799</v>
      </c>
      <c r="P283" s="300">
        <v>3.0</v>
      </c>
    </row>
    <row r="284">
      <c r="A284">
        <f>IFERROR(__xludf.DUMMYFUNCTION("""COMPUTED_VALUE"""),11.0)</f>
        <v>11</v>
      </c>
      <c r="B284" s="406">
        <f>IFERROR(__xludf.DUMMYFUNCTION("""COMPUTED_VALUE"""),27078.0)</f>
        <v>27078</v>
      </c>
      <c r="C284" t="str">
        <f>IFERROR(__xludf.DUMMYFUNCTION("""COMPUTED_VALUE"""),"ORSINI COCK, TOMMASO MARIA")</f>
        <v>ORSINI COCK, TOMMASO MARIA</v>
      </c>
      <c r="D284" t="str">
        <f>IFERROR(__xludf.DUMMYFUNCTION("""COMPUTED_VALUE"""),"Journalism Intermediate Level")</f>
        <v>Journalism Intermediate Level</v>
      </c>
      <c r="E284" s="3">
        <f>IFERROR(__xludf.DUMMYFUNCTION("""COMPUTED_VALUE"""),3.0)</f>
        <v>3</v>
      </c>
      <c r="F284" s="300">
        <v>1.0</v>
      </c>
      <c r="G284" s="300">
        <v>1.0</v>
      </c>
      <c r="H284" s="300">
        <v>1.0</v>
      </c>
      <c r="I284" s="300">
        <v>1.0</v>
      </c>
      <c r="J284" s="300">
        <v>1.0</v>
      </c>
      <c r="K284" s="300">
        <v>1.0</v>
      </c>
      <c r="L284" s="300">
        <v>1.0</v>
      </c>
      <c r="M284" s="300">
        <v>1.0</v>
      </c>
      <c r="N284" s="300">
        <v>8.0</v>
      </c>
      <c r="O284" s="300" t="s">
        <v>800</v>
      </c>
      <c r="P284" s="300">
        <v>2.0</v>
      </c>
    </row>
    <row r="285">
      <c r="A285">
        <f>IFERROR(__xludf.DUMMYFUNCTION("""COMPUTED_VALUE"""),11.0)</f>
        <v>11</v>
      </c>
      <c r="B285" s="406">
        <f>IFERROR(__xludf.DUMMYFUNCTION("""COMPUTED_VALUE"""),26023.0)</f>
        <v>26023</v>
      </c>
      <c r="C285" t="str">
        <f>IFERROR(__xludf.DUMMYFUNCTION("""COMPUTED_VALUE"""),"CORREA VELEZ, ALEJANDRO")</f>
        <v>CORREA VELEZ, ALEJANDRO</v>
      </c>
      <c r="D285" t="str">
        <f>IFERROR(__xludf.DUMMYFUNCTION("""COMPUTED_VALUE"""),"Art of Fiction Higher Level")</f>
        <v>Art of Fiction Higher Level</v>
      </c>
      <c r="E285" s="3">
        <f>IFERROR(__xludf.DUMMYFUNCTION("""COMPUTED_VALUE"""),1.0)</f>
        <v>1</v>
      </c>
      <c r="F285" s="300">
        <v>1.0</v>
      </c>
      <c r="G285" s="300">
        <v>1.0</v>
      </c>
      <c r="H285" s="300">
        <v>1.0</v>
      </c>
      <c r="I285" s="300">
        <v>1.0</v>
      </c>
      <c r="J285" s="300">
        <v>1.0</v>
      </c>
      <c r="K285" s="300">
        <v>1.0</v>
      </c>
      <c r="L285" s="300">
        <v>1.0</v>
      </c>
      <c r="M285" s="300">
        <v>1.0</v>
      </c>
      <c r="N285" s="300">
        <v>8.0</v>
      </c>
      <c r="O285" s="300" t="s">
        <v>801</v>
      </c>
      <c r="P285" s="300">
        <v>3.0</v>
      </c>
    </row>
    <row r="286">
      <c r="A286">
        <f>IFERROR(__xludf.DUMMYFUNCTION("""COMPUTED_VALUE"""),11.0)</f>
        <v>11</v>
      </c>
      <c r="B286" s="406">
        <f>IFERROR(__xludf.DUMMYFUNCTION("""COMPUTED_VALUE"""),27012.0)</f>
        <v>27012</v>
      </c>
      <c r="C286" t="str">
        <f>IFERROR(__xludf.DUMMYFUNCTION("""COMPUTED_VALUE"""),"ATEHORTUA MORENO, TOMAS")</f>
        <v>ATEHORTUA MORENO, TOMAS</v>
      </c>
      <c r="D286" t="str">
        <f>IFERROR(__xludf.DUMMYFUNCTION("""COMPUTED_VALUE"""),"Art of Fiction Higher Level")</f>
        <v>Art of Fiction Higher Level</v>
      </c>
      <c r="E286" s="3">
        <f>IFERROR(__xludf.DUMMYFUNCTION("""COMPUTED_VALUE"""),8.0)</f>
        <v>8</v>
      </c>
      <c r="F286" s="300">
        <v>1.0</v>
      </c>
      <c r="G286" s="300">
        <v>1.0</v>
      </c>
      <c r="H286" s="300">
        <v>1.0</v>
      </c>
      <c r="I286" s="300">
        <v>1.0</v>
      </c>
      <c r="J286" s="300">
        <v>1.0</v>
      </c>
      <c r="K286" s="300">
        <v>1.0</v>
      </c>
      <c r="L286" s="300">
        <v>1.0</v>
      </c>
      <c r="M286" s="300">
        <v>1.0</v>
      </c>
      <c r="N286" s="300">
        <v>8.0</v>
      </c>
      <c r="O286" s="300" t="s">
        <v>804</v>
      </c>
      <c r="P286" s="300">
        <v>3.0</v>
      </c>
    </row>
    <row r="287">
      <c r="A287">
        <f>IFERROR(__xludf.DUMMYFUNCTION("""COMPUTED_VALUE"""),11.0)</f>
        <v>11</v>
      </c>
      <c r="B287" s="406">
        <f>IFERROR(__xludf.DUMMYFUNCTION("""COMPUTED_VALUE"""),28120.0)</f>
        <v>28120</v>
      </c>
      <c r="C287" t="str">
        <f>IFERROR(__xludf.DUMMYFUNCTION("""COMPUTED_VALUE"""),"SALCEDO PERICO, JUAN MARTIN")</f>
        <v>SALCEDO PERICO, JUAN MARTIN</v>
      </c>
      <c r="D287" t="str">
        <f>IFERROR(__xludf.DUMMYFUNCTION("""COMPUTED_VALUE"""),"Art of Fiction Intermediate Level")</f>
        <v>Art of Fiction Intermediate Level</v>
      </c>
      <c r="E287" s="3">
        <f>IFERROR(__xludf.DUMMYFUNCTION("""COMPUTED_VALUE"""),6.0)</f>
        <v>6</v>
      </c>
      <c r="F287" s="300">
        <v>1.0</v>
      </c>
      <c r="G287" s="300">
        <v>1.0</v>
      </c>
      <c r="H287" s="300">
        <v>1.0</v>
      </c>
      <c r="I287" s="300">
        <v>1.0</v>
      </c>
      <c r="J287" s="300">
        <v>1.0</v>
      </c>
      <c r="K287" s="300">
        <v>1.0</v>
      </c>
      <c r="L287" s="300">
        <v>1.0</v>
      </c>
      <c r="M287" s="300">
        <v>1.0</v>
      </c>
      <c r="N287" s="300">
        <v>8.0</v>
      </c>
      <c r="O287" s="300" t="s">
        <v>797</v>
      </c>
      <c r="P287" s="300">
        <v>3.0</v>
      </c>
    </row>
    <row r="288">
      <c r="A288">
        <f>IFERROR(__xludf.DUMMYFUNCTION("""COMPUTED_VALUE"""),11.0)</f>
        <v>11</v>
      </c>
      <c r="B288" s="406">
        <f>IFERROR(__xludf.DUMMYFUNCTION("""COMPUTED_VALUE"""),27089.0)</f>
        <v>27089</v>
      </c>
      <c r="C288" t="str">
        <f>IFERROR(__xludf.DUMMYFUNCTION("""COMPUTED_VALUE"""),"PEREZ VELEZ, JERONIMO")</f>
        <v>PEREZ VELEZ, JERONIMO</v>
      </c>
      <c r="D288" t="str">
        <f>IFERROR(__xludf.DUMMYFUNCTION("""COMPUTED_VALUE"""),"AP English Language")</f>
        <v>AP English Language</v>
      </c>
      <c r="E288" s="3">
        <f>IFERROR(__xludf.DUMMYFUNCTION("""COMPUTED_VALUE"""),7.0)</f>
        <v>7</v>
      </c>
      <c r="F288" s="300">
        <v>1.0</v>
      </c>
      <c r="G288" s="300">
        <v>1.0</v>
      </c>
      <c r="H288" s="300">
        <v>1.0</v>
      </c>
      <c r="I288" s="300">
        <v>1.0</v>
      </c>
      <c r="J288" s="300">
        <v>1.0</v>
      </c>
      <c r="K288" s="300">
        <v>1.0</v>
      </c>
      <c r="L288" s="300">
        <v>1.0</v>
      </c>
      <c r="M288" s="300">
        <v>1.0</v>
      </c>
      <c r="N288" s="300">
        <v>8.0</v>
      </c>
      <c r="O288" s="300" t="s">
        <v>794</v>
      </c>
      <c r="P288" s="300">
        <v>2.0</v>
      </c>
    </row>
    <row r="289">
      <c r="A289">
        <f>IFERROR(__xludf.DUMMYFUNCTION("""COMPUTED_VALUE"""),11.0)</f>
        <v>11</v>
      </c>
      <c r="B289" s="406">
        <f>IFERROR(__xludf.DUMMYFUNCTION("""COMPUTED_VALUE"""),27142.0)</f>
        <v>27142</v>
      </c>
      <c r="C289" t="str">
        <f>IFERROR(__xludf.DUMMYFUNCTION("""COMPUTED_VALUE"""),"ECHAVARRIA OCHOA, MARIANA")</f>
        <v>ECHAVARRIA OCHOA, MARIANA</v>
      </c>
      <c r="D289" t="str">
        <f>IFERROR(__xludf.DUMMYFUNCTION("""COMPUTED_VALUE"""),"AP English Language")</f>
        <v>AP English Language</v>
      </c>
      <c r="E289" s="3">
        <f>IFERROR(__xludf.DUMMYFUNCTION("""COMPUTED_VALUE"""),7.0)</f>
        <v>7</v>
      </c>
      <c r="F289" s="300">
        <v>1.0</v>
      </c>
      <c r="G289" s="300">
        <v>1.0</v>
      </c>
      <c r="H289" s="300">
        <v>1.0</v>
      </c>
      <c r="I289" s="300">
        <v>1.0</v>
      </c>
      <c r="J289" s="300">
        <v>1.0</v>
      </c>
      <c r="K289" s="300">
        <v>1.0</v>
      </c>
      <c r="L289" s="300">
        <v>1.0</v>
      </c>
      <c r="M289" s="300">
        <v>1.0</v>
      </c>
      <c r="N289" s="300">
        <v>8.0</v>
      </c>
      <c r="O289" s="300" t="s">
        <v>794</v>
      </c>
      <c r="P289" s="300">
        <v>2.0</v>
      </c>
    </row>
    <row r="290">
      <c r="A290">
        <f>IFERROR(__xludf.DUMMYFUNCTION("""COMPUTED_VALUE"""),11.0)</f>
        <v>11</v>
      </c>
      <c r="B290" s="406">
        <f>IFERROR(__xludf.DUMMYFUNCTION("""COMPUTED_VALUE"""),27044.0)</f>
        <v>27044</v>
      </c>
      <c r="C290" t="str">
        <f>IFERROR(__xludf.DUMMYFUNCTION("""COMPUTED_VALUE"""),"GOMEZ GOMEZ, EMILIO")</f>
        <v>GOMEZ GOMEZ, EMILIO</v>
      </c>
      <c r="D290" t="str">
        <f>IFERROR(__xludf.DUMMYFUNCTION("""COMPUTED_VALUE"""),"Art of Fiction Intermediate Level")</f>
        <v>Art of Fiction Intermediate Level</v>
      </c>
      <c r="E290" s="3">
        <f>IFERROR(__xludf.DUMMYFUNCTION("""COMPUTED_VALUE"""),6.0)</f>
        <v>6</v>
      </c>
      <c r="F290" s="300">
        <v>1.0</v>
      </c>
      <c r="G290" s="300">
        <v>1.0</v>
      </c>
      <c r="H290" s="300">
        <v>1.0</v>
      </c>
      <c r="I290" s="300">
        <v>1.0</v>
      </c>
      <c r="J290" s="300">
        <v>1.0</v>
      </c>
      <c r="K290" s="300">
        <v>1.0</v>
      </c>
      <c r="L290" s="300">
        <v>1.0</v>
      </c>
      <c r="M290" s="300">
        <v>1.0</v>
      </c>
      <c r="N290" s="300">
        <v>8.0</v>
      </c>
      <c r="O290" s="300" t="s">
        <v>797</v>
      </c>
      <c r="P290" s="300">
        <v>3.0</v>
      </c>
    </row>
    <row r="291">
      <c r="A291">
        <f>IFERROR(__xludf.DUMMYFUNCTION("""COMPUTED_VALUE"""),11.0)</f>
        <v>11</v>
      </c>
      <c r="B291" s="406">
        <f>IFERROR(__xludf.DUMMYFUNCTION("""COMPUTED_VALUE"""),27029.0)</f>
        <v>27029</v>
      </c>
      <c r="C291" t="str">
        <f>IFERROR(__xludf.DUMMYFUNCTION("""COMPUTED_VALUE"""),"DUQUE OCHOA, MARIANA")</f>
        <v>DUQUE OCHOA, MARIANA</v>
      </c>
      <c r="D291" t="str">
        <f>IFERROR(__xludf.DUMMYFUNCTION("""COMPUTED_VALUE"""),"Journalism Intermediate Level")</f>
        <v>Journalism Intermediate Level</v>
      </c>
      <c r="E291" s="3">
        <f>IFERROR(__xludf.DUMMYFUNCTION("""COMPUTED_VALUE"""),3.0)</f>
        <v>3</v>
      </c>
      <c r="F291" s="300">
        <v>1.0</v>
      </c>
      <c r="G291" s="300">
        <v>1.0</v>
      </c>
      <c r="H291" s="300">
        <v>1.0</v>
      </c>
      <c r="I291" s="300">
        <v>1.0</v>
      </c>
      <c r="J291" s="300">
        <v>1.0</v>
      </c>
      <c r="K291" s="300">
        <v>1.0</v>
      </c>
      <c r="L291" s="300">
        <v>1.0</v>
      </c>
      <c r="M291" s="300">
        <v>1.0</v>
      </c>
      <c r="N291" s="300">
        <v>8.0</v>
      </c>
      <c r="O291" s="300" t="s">
        <v>800</v>
      </c>
      <c r="P291" s="300">
        <v>2.0</v>
      </c>
    </row>
    <row r="292">
      <c r="A292">
        <f>IFERROR(__xludf.DUMMYFUNCTION("""COMPUTED_VALUE"""),11.0)</f>
        <v>11</v>
      </c>
      <c r="B292" s="406">
        <f>IFERROR(__xludf.DUMMYFUNCTION("""COMPUTED_VALUE"""),27036.0)</f>
        <v>27036</v>
      </c>
      <c r="C292" t="str">
        <f>IFERROR(__xludf.DUMMYFUNCTION("""COMPUTED_VALUE"""),"FERNANDEZ DUQUE, BENJAMIN")</f>
        <v>FERNANDEZ DUQUE, BENJAMIN</v>
      </c>
      <c r="D292" t="str">
        <f>IFERROR(__xludf.DUMMYFUNCTION("""COMPUTED_VALUE"""),"Journalism Intermediate Level")</f>
        <v>Journalism Intermediate Level</v>
      </c>
      <c r="E292" s="3">
        <f>IFERROR(__xludf.DUMMYFUNCTION("""COMPUTED_VALUE"""),3.0)</f>
        <v>3</v>
      </c>
      <c r="F292" s="300">
        <v>1.0</v>
      </c>
      <c r="G292" s="300">
        <v>1.0</v>
      </c>
      <c r="H292" s="300">
        <v>1.0</v>
      </c>
      <c r="I292" s="300">
        <v>1.0</v>
      </c>
      <c r="J292" s="300">
        <v>1.0</v>
      </c>
      <c r="K292" s="300">
        <v>1.0</v>
      </c>
      <c r="L292" s="300">
        <v>1.0</v>
      </c>
      <c r="M292" s="300">
        <v>1.0</v>
      </c>
      <c r="N292" s="300">
        <v>8.0</v>
      </c>
      <c r="O292" s="300" t="s">
        <v>800</v>
      </c>
      <c r="P292" s="300">
        <v>2.0</v>
      </c>
    </row>
    <row r="293">
      <c r="A293">
        <f>IFERROR(__xludf.DUMMYFUNCTION("""COMPUTED_VALUE"""),11.0)</f>
        <v>11</v>
      </c>
      <c r="B293" s="406">
        <f>IFERROR(__xludf.DUMMYFUNCTION("""COMPUTED_VALUE"""),27076.0)</f>
        <v>27076</v>
      </c>
      <c r="C293" t="str">
        <f>IFERROR(__xludf.DUMMYFUNCTION("""COMPUTED_VALUE"""),"MORA SERANI, LAURA")</f>
        <v>MORA SERANI, LAURA</v>
      </c>
      <c r="D293" t="str">
        <f>IFERROR(__xludf.DUMMYFUNCTION("""COMPUTED_VALUE"""),"Art of Fiction Intermediate Level")</f>
        <v>Art of Fiction Intermediate Level</v>
      </c>
      <c r="E293" s="3">
        <f>IFERROR(__xludf.DUMMYFUNCTION("""COMPUTED_VALUE"""),6.0)</f>
        <v>6</v>
      </c>
      <c r="F293" s="300">
        <v>1.0</v>
      </c>
      <c r="G293" s="300">
        <v>1.0</v>
      </c>
      <c r="H293" s="300">
        <v>1.0</v>
      </c>
      <c r="I293" s="300">
        <v>1.0</v>
      </c>
      <c r="J293" s="300">
        <v>1.0</v>
      </c>
      <c r="K293" s="300">
        <v>1.0</v>
      </c>
      <c r="L293" s="300">
        <v>1.0</v>
      </c>
      <c r="M293" s="300">
        <v>1.0</v>
      </c>
      <c r="N293" s="300">
        <v>8.0</v>
      </c>
      <c r="O293" s="300" t="s">
        <v>797</v>
      </c>
      <c r="P293" s="300">
        <v>3.0</v>
      </c>
    </row>
    <row r="294">
      <c r="A294">
        <f>IFERROR(__xludf.DUMMYFUNCTION("""COMPUTED_VALUE"""),11.0)</f>
        <v>11</v>
      </c>
      <c r="B294" s="406">
        <f>IFERROR(__xludf.DUMMYFUNCTION("""COMPUTED_VALUE"""),26024.0)</f>
        <v>26024</v>
      </c>
      <c r="C294" t="str">
        <f>IFERROR(__xludf.DUMMYFUNCTION("""COMPUTED_VALUE"""),"DIAZ RIVERA, TOMAS")</f>
        <v>DIAZ RIVERA, TOMAS</v>
      </c>
      <c r="D294" t="str">
        <f>IFERROR(__xludf.DUMMYFUNCTION("""COMPUTED_VALUE"""),"Art of Fiction Intermediate Level")</f>
        <v>Art of Fiction Intermediate Level</v>
      </c>
      <c r="E294" s="3">
        <f>IFERROR(__xludf.DUMMYFUNCTION("""COMPUTED_VALUE"""),1.0)</f>
        <v>1</v>
      </c>
      <c r="F294" s="300">
        <v>1.0</v>
      </c>
      <c r="G294" s="300">
        <v>1.0</v>
      </c>
      <c r="H294" s="300">
        <v>1.0</v>
      </c>
      <c r="I294" s="300">
        <v>1.0</v>
      </c>
      <c r="J294" s="300">
        <v>1.0</v>
      </c>
      <c r="K294" s="300">
        <v>1.0</v>
      </c>
      <c r="L294" s="300">
        <v>1.0</v>
      </c>
      <c r="M294" s="300">
        <v>1.0</v>
      </c>
      <c r="N294" s="300">
        <v>8.0</v>
      </c>
      <c r="O294" s="300" t="s">
        <v>799</v>
      </c>
      <c r="P294" s="300">
        <v>3.0</v>
      </c>
    </row>
    <row r="295">
      <c r="A295">
        <f>IFERROR(__xludf.DUMMYFUNCTION("""COMPUTED_VALUE"""),11.0)</f>
        <v>11</v>
      </c>
      <c r="B295" s="406">
        <f>IFERROR(__xludf.DUMMYFUNCTION("""COMPUTED_VALUE"""),27067.0)</f>
        <v>27067</v>
      </c>
      <c r="C295" t="str">
        <f>IFERROR(__xludf.DUMMYFUNCTION("""COMPUTED_VALUE"""),"MENDIVELSO JARAMILLO, SAMUEL")</f>
        <v>MENDIVELSO JARAMILLO, SAMUEL</v>
      </c>
      <c r="D295" t="str">
        <f>IFERROR(__xludf.DUMMYFUNCTION("""COMPUTED_VALUE"""),"Journalism Higher Level")</f>
        <v>Journalism Higher Level</v>
      </c>
      <c r="E295" s="3">
        <f>IFERROR(__xludf.DUMMYFUNCTION("""COMPUTED_VALUE"""),7.0)</f>
        <v>7</v>
      </c>
      <c r="F295" s="300">
        <v>1.0</v>
      </c>
      <c r="G295" s="300">
        <v>1.0</v>
      </c>
      <c r="H295" s="300">
        <v>1.0</v>
      </c>
      <c r="I295" s="300">
        <v>1.0</v>
      </c>
      <c r="J295" s="300">
        <v>1.0</v>
      </c>
      <c r="K295" s="300">
        <v>1.0</v>
      </c>
      <c r="L295" s="300">
        <v>1.0</v>
      </c>
      <c r="M295" s="300">
        <v>1.0</v>
      </c>
      <c r="N295" s="300">
        <v>8.0</v>
      </c>
      <c r="O295" s="300" t="s">
        <v>805</v>
      </c>
      <c r="P295" s="300">
        <v>3.0</v>
      </c>
    </row>
    <row r="296">
      <c r="A296">
        <f>IFERROR(__xludf.DUMMYFUNCTION("""COMPUTED_VALUE"""),11.0)</f>
        <v>11</v>
      </c>
      <c r="B296" s="406">
        <f>IFERROR(__xludf.DUMMYFUNCTION("""COMPUTED_VALUE"""),27048.0)</f>
        <v>27048</v>
      </c>
      <c r="C296" t="str">
        <f>IFERROR(__xludf.DUMMYFUNCTION("""COMPUTED_VALUE"""),"HARRY DURAN, MANUELA")</f>
        <v>HARRY DURAN, MANUELA</v>
      </c>
      <c r="D296" t="str">
        <f>IFERROR(__xludf.DUMMYFUNCTION("""COMPUTED_VALUE"""),"Art of Fiction Intermediate Level")</f>
        <v>Art of Fiction Intermediate Level</v>
      </c>
      <c r="E296" s="3">
        <f>IFERROR(__xludf.DUMMYFUNCTION("""COMPUTED_VALUE"""),6.0)</f>
        <v>6</v>
      </c>
      <c r="F296" s="300">
        <v>1.0</v>
      </c>
      <c r="G296" s="300">
        <v>1.0</v>
      </c>
      <c r="H296" s="300">
        <v>1.0</v>
      </c>
      <c r="I296" s="300">
        <v>1.0</v>
      </c>
      <c r="J296" s="300">
        <v>1.0</v>
      </c>
      <c r="K296" s="300">
        <v>1.0</v>
      </c>
      <c r="L296" s="300">
        <v>1.0</v>
      </c>
      <c r="M296" s="300">
        <v>1.0</v>
      </c>
      <c r="N296" s="300">
        <v>8.0</v>
      </c>
      <c r="O296" s="300" t="s">
        <v>797</v>
      </c>
      <c r="P296" s="300">
        <v>3.0</v>
      </c>
    </row>
    <row r="297">
      <c r="A297">
        <f>IFERROR(__xludf.DUMMYFUNCTION("""COMPUTED_VALUE"""),11.0)</f>
        <v>11</v>
      </c>
      <c r="B297" s="406">
        <f>IFERROR(__xludf.DUMMYFUNCTION("""COMPUTED_VALUE"""),27132.0)</f>
        <v>27132</v>
      </c>
      <c r="C297" t="str">
        <f>IFERROR(__xludf.DUMMYFUNCTION("""COMPUTED_VALUE"""),"BARRERA GUZMAN, DANIELA")</f>
        <v>BARRERA GUZMAN, DANIELA</v>
      </c>
      <c r="D297" t="str">
        <f>IFERROR(__xludf.DUMMYFUNCTION("""COMPUTED_VALUE"""),"Art of Fiction Intermediate Level")</f>
        <v>Art of Fiction Intermediate Level</v>
      </c>
      <c r="E297" s="3">
        <f>IFERROR(__xludf.DUMMYFUNCTION("""COMPUTED_VALUE"""),1.0)</f>
        <v>1</v>
      </c>
      <c r="F297" s="300">
        <v>1.0</v>
      </c>
      <c r="G297" s="300">
        <v>1.0</v>
      </c>
      <c r="H297" s="300">
        <v>1.0</v>
      </c>
      <c r="I297" s="300">
        <v>1.0</v>
      </c>
      <c r="J297" s="300">
        <v>1.0</v>
      </c>
      <c r="K297" s="300">
        <v>1.0</v>
      </c>
      <c r="L297" s="300">
        <v>1.0</v>
      </c>
      <c r="M297" s="300">
        <v>1.0</v>
      </c>
      <c r="N297" s="300">
        <v>8.0</v>
      </c>
      <c r="O297" s="300" t="s">
        <v>799</v>
      </c>
      <c r="P297" s="300">
        <v>3.0</v>
      </c>
    </row>
    <row r="298">
      <c r="A298">
        <f>IFERROR(__xludf.DUMMYFUNCTION("""COMPUTED_VALUE"""),11.0)</f>
        <v>11</v>
      </c>
      <c r="B298" s="406">
        <f>IFERROR(__xludf.DUMMYFUNCTION("""COMPUTED_VALUE"""),27107.0)</f>
        <v>27107</v>
      </c>
      <c r="C298" t="str">
        <f>IFERROR(__xludf.DUMMYFUNCTION("""COMPUTED_VALUE"""),"SANIN VELASQUEZ, MONTSERRAT")</f>
        <v>SANIN VELASQUEZ, MONTSERRAT</v>
      </c>
      <c r="D298" t="str">
        <f>IFERROR(__xludf.DUMMYFUNCTION("""COMPUTED_VALUE"""),"Art of Fiction Higher Level")</f>
        <v>Art of Fiction Higher Level</v>
      </c>
      <c r="E298" s="3">
        <f>IFERROR(__xludf.DUMMYFUNCTION("""COMPUTED_VALUE"""),1.0)</f>
        <v>1</v>
      </c>
      <c r="F298" s="300">
        <v>1.0</v>
      </c>
      <c r="G298" s="300">
        <v>1.0</v>
      </c>
      <c r="H298" s="300">
        <v>1.0</v>
      </c>
      <c r="I298" s="300">
        <v>1.0</v>
      </c>
      <c r="J298" s="300">
        <v>1.0</v>
      </c>
      <c r="K298" s="300">
        <v>1.0</v>
      </c>
      <c r="L298" s="300">
        <v>1.0</v>
      </c>
      <c r="M298" s="300">
        <v>1.0</v>
      </c>
      <c r="N298" s="300">
        <v>8.0</v>
      </c>
      <c r="O298" s="300" t="s">
        <v>801</v>
      </c>
      <c r="P298" s="300">
        <v>3.0</v>
      </c>
    </row>
    <row r="299">
      <c r="A299">
        <f>IFERROR(__xludf.DUMMYFUNCTION("""COMPUTED_VALUE"""),11.0)</f>
        <v>11</v>
      </c>
      <c r="B299" s="406">
        <f>IFERROR(__xludf.DUMMYFUNCTION("""COMPUTED_VALUE"""),27134.0)</f>
        <v>27134</v>
      </c>
      <c r="C299" t="str">
        <f>IFERROR(__xludf.DUMMYFUNCTION("""COMPUTED_VALUE"""),"MONTOYA JARAMILLO, TOMAS")</f>
        <v>MONTOYA JARAMILLO, TOMAS</v>
      </c>
      <c r="D299" t="str">
        <f>IFERROR(__xludf.DUMMYFUNCTION("""COMPUTED_VALUE"""),"Art of Fiction Intermediate Level")</f>
        <v>Art of Fiction Intermediate Level</v>
      </c>
      <c r="E299" s="3">
        <f>IFERROR(__xludf.DUMMYFUNCTION("""COMPUTED_VALUE"""),4.0)</f>
        <v>4</v>
      </c>
      <c r="F299" s="300">
        <v>1.0</v>
      </c>
      <c r="G299" s="300">
        <v>1.0</v>
      </c>
      <c r="H299" s="300">
        <v>1.0</v>
      </c>
      <c r="I299" s="300">
        <v>1.0</v>
      </c>
      <c r="J299" s="300">
        <v>1.0</v>
      </c>
      <c r="K299" s="300">
        <v>1.0</v>
      </c>
      <c r="L299" s="300">
        <v>1.0</v>
      </c>
      <c r="M299" s="300">
        <v>1.0</v>
      </c>
      <c r="N299" s="300">
        <v>8.0</v>
      </c>
      <c r="O299" s="300" t="s">
        <v>803</v>
      </c>
      <c r="P299" s="300">
        <v>3.0</v>
      </c>
    </row>
    <row r="300">
      <c r="A300">
        <f>IFERROR(__xludf.DUMMYFUNCTION("""COMPUTED_VALUE"""),11.0)</f>
        <v>11</v>
      </c>
      <c r="B300" s="406">
        <f>IFERROR(__xludf.DUMMYFUNCTION("""COMPUTED_VALUE"""),27126.0)</f>
        <v>27126</v>
      </c>
      <c r="C300" t="str">
        <f>IFERROR(__xludf.DUMMYFUNCTION("""COMPUTED_VALUE"""),"YACAMAN RESTREPO, PEDRO")</f>
        <v>YACAMAN RESTREPO, PEDRO</v>
      </c>
      <c r="D300" t="str">
        <f>IFERROR(__xludf.DUMMYFUNCTION("""COMPUTED_VALUE"""),"Art of Fiction Intermediate Level")</f>
        <v>Art of Fiction Intermediate Level</v>
      </c>
      <c r="E300" s="3">
        <f>IFERROR(__xludf.DUMMYFUNCTION("""COMPUTED_VALUE"""),6.0)</f>
        <v>6</v>
      </c>
      <c r="F300" s="300">
        <v>1.0</v>
      </c>
      <c r="G300" s="300">
        <v>1.0</v>
      </c>
      <c r="H300" s="300">
        <v>1.0</v>
      </c>
      <c r="I300" s="300">
        <v>1.0</v>
      </c>
      <c r="J300" s="300">
        <v>1.0</v>
      </c>
      <c r="K300" s="300">
        <v>1.0</v>
      </c>
      <c r="L300" s="300">
        <v>1.0</v>
      </c>
      <c r="M300" s="300">
        <v>1.0</v>
      </c>
      <c r="N300" s="300">
        <v>8.0</v>
      </c>
      <c r="O300" s="300" t="s">
        <v>797</v>
      </c>
      <c r="P300" s="300">
        <v>3.0</v>
      </c>
    </row>
    <row r="301">
      <c r="A301">
        <f>IFERROR(__xludf.DUMMYFUNCTION("""COMPUTED_VALUE"""),11.0)</f>
        <v>11</v>
      </c>
      <c r="B301" s="406">
        <f>IFERROR(__xludf.DUMMYFUNCTION("""COMPUTED_VALUE"""),27114.0)</f>
        <v>27114</v>
      </c>
      <c r="C301" t="str">
        <f>IFERROR(__xludf.DUMMYFUNCTION("""COMPUTED_VALUE"""),"TORO PEREZ, CRISTOBAL")</f>
        <v>TORO PEREZ, CRISTOBAL</v>
      </c>
      <c r="D301" t="str">
        <f>IFERROR(__xludf.DUMMYFUNCTION("""COMPUTED_VALUE"""),"Art of Fiction Intermediate Level")</f>
        <v>Art of Fiction Intermediate Level</v>
      </c>
      <c r="E301" s="3">
        <f>IFERROR(__xludf.DUMMYFUNCTION("""COMPUTED_VALUE"""),4.0)</f>
        <v>4</v>
      </c>
      <c r="F301" s="300">
        <v>1.0</v>
      </c>
      <c r="G301" s="300">
        <v>1.0</v>
      </c>
      <c r="H301" s="300">
        <v>1.0</v>
      </c>
      <c r="I301" s="300">
        <v>1.0</v>
      </c>
      <c r="J301" s="300">
        <v>1.0</v>
      </c>
      <c r="K301" s="300">
        <v>1.0</v>
      </c>
      <c r="L301" s="300">
        <v>1.0</v>
      </c>
      <c r="M301" s="300">
        <v>1.0</v>
      </c>
      <c r="N301" s="300">
        <v>8.0</v>
      </c>
      <c r="O301" s="300" t="s">
        <v>803</v>
      </c>
      <c r="P301" s="300">
        <v>3.0</v>
      </c>
    </row>
    <row r="302">
      <c r="A302">
        <f>IFERROR(__xludf.DUMMYFUNCTION("""COMPUTED_VALUE"""),11.0)</f>
        <v>11</v>
      </c>
      <c r="B302" s="406">
        <f>IFERROR(__xludf.DUMMYFUNCTION("""COMPUTED_VALUE"""),26106.0)</f>
        <v>26106</v>
      </c>
      <c r="C302" t="str">
        <f>IFERROR(__xludf.DUMMYFUNCTION("""COMPUTED_VALUE"""),"ROMERO LOPERA, JUAN SEBASTIAN")</f>
        <v>ROMERO LOPERA, JUAN SEBASTIAN</v>
      </c>
      <c r="D302" t="str">
        <f>IFERROR(__xludf.DUMMYFUNCTION("""COMPUTED_VALUE"""),"Art of Fiction Intermediate Level")</f>
        <v>Art of Fiction Intermediate Level</v>
      </c>
      <c r="E302" s="3">
        <f>IFERROR(__xludf.DUMMYFUNCTION("""COMPUTED_VALUE"""),4.0)</f>
        <v>4</v>
      </c>
      <c r="F302" s="300">
        <v>1.0</v>
      </c>
      <c r="G302" s="300">
        <v>1.0</v>
      </c>
      <c r="H302" s="300">
        <v>1.0</v>
      </c>
      <c r="I302" s="300">
        <v>1.0</v>
      </c>
      <c r="J302" s="300">
        <v>1.0</v>
      </c>
      <c r="K302" s="300">
        <v>1.0</v>
      </c>
      <c r="L302" s="300">
        <v>1.0</v>
      </c>
      <c r="M302" s="300">
        <v>1.0</v>
      </c>
      <c r="N302" s="300">
        <v>8.0</v>
      </c>
      <c r="O302" s="300" t="s">
        <v>803</v>
      </c>
      <c r="P302" s="300">
        <v>3.0</v>
      </c>
    </row>
    <row r="303">
      <c r="A303">
        <f>IFERROR(__xludf.DUMMYFUNCTION("""COMPUTED_VALUE"""),11.0)</f>
        <v>11</v>
      </c>
      <c r="B303" s="406">
        <f>IFERROR(__xludf.DUMMYFUNCTION("""COMPUTED_VALUE"""),27014.0)</f>
        <v>27014</v>
      </c>
      <c r="C303" t="str">
        <f>IFERROR(__xludf.DUMMYFUNCTION("""COMPUTED_VALUE"""),"BEDOYA JIMENEZ, NICOLAS")</f>
        <v>BEDOYA JIMENEZ, NICOLAS</v>
      </c>
      <c r="D303" t="str">
        <f>IFERROR(__xludf.DUMMYFUNCTION("""COMPUTED_VALUE"""),"AP English Language")</f>
        <v>AP English Language</v>
      </c>
      <c r="E303" s="3">
        <f>IFERROR(__xludf.DUMMYFUNCTION("""COMPUTED_VALUE"""),3.0)</f>
        <v>3</v>
      </c>
      <c r="F303" s="300">
        <v>1.0</v>
      </c>
      <c r="G303" s="300">
        <v>1.0</v>
      </c>
      <c r="H303" s="300">
        <v>1.0</v>
      </c>
      <c r="I303" s="300">
        <v>1.0</v>
      </c>
      <c r="J303" s="300">
        <v>1.0</v>
      </c>
      <c r="K303" s="300">
        <v>1.0</v>
      </c>
      <c r="L303" s="300">
        <v>1.0</v>
      </c>
      <c r="M303" s="300">
        <v>1.0</v>
      </c>
      <c r="N303" s="300">
        <v>8.0</v>
      </c>
      <c r="O303" s="300" t="s">
        <v>795</v>
      </c>
      <c r="P303" s="300">
        <v>2.0</v>
      </c>
    </row>
    <row r="304">
      <c r="A304">
        <f>IFERROR(__xludf.DUMMYFUNCTION("""COMPUTED_VALUE"""),11.0)</f>
        <v>11</v>
      </c>
      <c r="B304" s="406">
        <f>IFERROR(__xludf.DUMMYFUNCTION("""COMPUTED_VALUE"""),27160.0)</f>
        <v>27160</v>
      </c>
      <c r="C304" t="str">
        <f>IFERROR(__xludf.DUMMYFUNCTION("""COMPUTED_VALUE"""),"SUDETTI, ISABELLA")</f>
        <v>SUDETTI, ISABELLA</v>
      </c>
      <c r="D304" t="str">
        <f>IFERROR(__xludf.DUMMYFUNCTION("""COMPUTED_VALUE"""),"Journalism Higher Level")</f>
        <v>Journalism Higher Level</v>
      </c>
      <c r="E304" s="3">
        <f>IFERROR(__xludf.DUMMYFUNCTION("""COMPUTED_VALUE"""),7.0)</f>
        <v>7</v>
      </c>
      <c r="F304" s="300">
        <v>1.0</v>
      </c>
      <c r="G304" s="300">
        <v>1.0</v>
      </c>
      <c r="H304" s="300">
        <v>1.0</v>
      </c>
      <c r="I304" s="300">
        <v>1.0</v>
      </c>
      <c r="J304" s="300">
        <v>1.0</v>
      </c>
      <c r="K304" s="300">
        <v>1.0</v>
      </c>
      <c r="L304" s="300">
        <v>1.0</v>
      </c>
      <c r="M304" s="300">
        <v>1.0</v>
      </c>
      <c r="N304" s="300">
        <v>8.0</v>
      </c>
      <c r="O304" s="300" t="s">
        <v>805</v>
      </c>
      <c r="P304" s="300">
        <v>3.0</v>
      </c>
    </row>
    <row r="305">
      <c r="A305">
        <f>IFERROR(__xludf.DUMMYFUNCTION("""COMPUTED_VALUE"""),11.0)</f>
        <v>11</v>
      </c>
      <c r="B305" s="406">
        <f>IFERROR(__xludf.DUMMYFUNCTION("""COMPUTED_VALUE"""),27030.0)</f>
        <v>27030</v>
      </c>
      <c r="C305" t="str">
        <f>IFERROR(__xludf.DUMMYFUNCTION("""COMPUTED_VALUE"""),"DURAN CALAD, PABLO")</f>
        <v>DURAN CALAD, PABLO</v>
      </c>
      <c r="D305" t="str">
        <f>IFERROR(__xludf.DUMMYFUNCTION("""COMPUTED_VALUE"""),"Art of Fiction Intermediate Level")</f>
        <v>Art of Fiction Intermediate Level</v>
      </c>
      <c r="E305" s="3">
        <f>IFERROR(__xludf.DUMMYFUNCTION("""COMPUTED_VALUE"""),4.0)</f>
        <v>4</v>
      </c>
      <c r="F305" s="300">
        <v>1.0</v>
      </c>
      <c r="G305" s="300">
        <v>1.0</v>
      </c>
      <c r="H305" s="300">
        <v>1.0</v>
      </c>
      <c r="I305" s="300">
        <v>1.0</v>
      </c>
      <c r="J305" s="300">
        <v>1.0</v>
      </c>
      <c r="K305" s="300">
        <v>1.0</v>
      </c>
      <c r="L305" s="300">
        <v>1.0</v>
      </c>
      <c r="M305" s="300">
        <v>1.0</v>
      </c>
      <c r="N305" s="300">
        <v>8.0</v>
      </c>
      <c r="O305" s="300" t="s">
        <v>803</v>
      </c>
      <c r="P305" s="300">
        <v>3.0</v>
      </c>
    </row>
    <row r="306">
      <c r="A306">
        <f>IFERROR(__xludf.DUMMYFUNCTION("""COMPUTED_VALUE"""),11.0)</f>
        <v>11</v>
      </c>
      <c r="B306" s="406">
        <f>IFERROR(__xludf.DUMMYFUNCTION("""COMPUTED_VALUE"""),27023.0)</f>
        <v>27023</v>
      </c>
      <c r="C306" t="str">
        <f>IFERROR(__xludf.DUMMYFUNCTION("""COMPUTED_VALUE"""),"CASTAÑO VASQUEZ, DANIEL")</f>
        <v>CASTAÑO VASQUEZ, DANIEL</v>
      </c>
      <c r="D306" t="str">
        <f>IFERROR(__xludf.DUMMYFUNCTION("""COMPUTED_VALUE"""),"Art of Fiction Higher Level")</f>
        <v>Art of Fiction Higher Level</v>
      </c>
      <c r="E306" s="3">
        <f>IFERROR(__xludf.DUMMYFUNCTION("""COMPUTED_VALUE"""),8.0)</f>
        <v>8</v>
      </c>
      <c r="F306" s="300">
        <v>1.0</v>
      </c>
      <c r="G306" s="300">
        <v>1.0</v>
      </c>
      <c r="H306" s="300">
        <v>1.0</v>
      </c>
      <c r="I306" s="300">
        <v>1.0</v>
      </c>
      <c r="J306" s="300">
        <v>1.0</v>
      </c>
      <c r="K306" s="300">
        <v>1.0</v>
      </c>
      <c r="L306" s="300">
        <v>1.0</v>
      </c>
      <c r="M306" s="300">
        <v>1.0</v>
      </c>
      <c r="N306" s="300">
        <v>8.0</v>
      </c>
      <c r="O306" s="300" t="s">
        <v>804</v>
      </c>
      <c r="P306" s="300">
        <v>3.0</v>
      </c>
    </row>
    <row r="307">
      <c r="A307">
        <f>IFERROR(__xludf.DUMMYFUNCTION("""COMPUTED_VALUE"""),11.0)</f>
        <v>11</v>
      </c>
      <c r="B307" s="406">
        <f>IFERROR(__xludf.DUMMYFUNCTION("""COMPUTED_VALUE"""),27138.0)</f>
        <v>27138</v>
      </c>
      <c r="C307" t="str">
        <f>IFERROR(__xludf.DUMMYFUNCTION("""COMPUTED_VALUE"""),"ALMEIDA CARMONA, LUISA MARIA")</f>
        <v>ALMEIDA CARMONA, LUISA MARIA</v>
      </c>
      <c r="D307" t="str">
        <f>IFERROR(__xludf.DUMMYFUNCTION("""COMPUTED_VALUE"""),"Journalism Intermediate Level")</f>
        <v>Journalism Intermediate Level</v>
      </c>
      <c r="E307" s="3">
        <f>IFERROR(__xludf.DUMMYFUNCTION("""COMPUTED_VALUE"""),2.0)</f>
        <v>2</v>
      </c>
      <c r="F307" s="300">
        <v>1.0</v>
      </c>
      <c r="G307" s="300">
        <v>1.0</v>
      </c>
      <c r="H307" s="300">
        <v>1.0</v>
      </c>
      <c r="I307" s="300">
        <v>1.0</v>
      </c>
      <c r="J307" s="300">
        <v>1.0</v>
      </c>
      <c r="K307" s="300">
        <v>1.0</v>
      </c>
      <c r="L307" s="300">
        <v>1.0</v>
      </c>
      <c r="M307" s="300">
        <v>1.0</v>
      </c>
      <c r="N307" s="300">
        <v>8.0</v>
      </c>
      <c r="O307" s="300" t="s">
        <v>802</v>
      </c>
      <c r="P307" s="300">
        <v>2.0</v>
      </c>
    </row>
    <row r="308">
      <c r="A308">
        <f>IFERROR(__xludf.DUMMYFUNCTION("""COMPUTED_VALUE"""),11.0)</f>
        <v>11</v>
      </c>
      <c r="B308" s="406">
        <f>IFERROR(__xludf.DUMMYFUNCTION("""COMPUTED_VALUE"""),27091.0)</f>
        <v>27091</v>
      </c>
      <c r="C308" t="str">
        <f>IFERROR(__xludf.DUMMYFUNCTION("""COMPUTED_VALUE"""),"PUERTA PAZ, DAVID")</f>
        <v>PUERTA PAZ, DAVID</v>
      </c>
      <c r="D308" t="str">
        <f>IFERROR(__xludf.DUMMYFUNCTION("""COMPUTED_VALUE"""),"AP English Language")</f>
        <v>AP English Language</v>
      </c>
      <c r="E308" s="3">
        <f>IFERROR(__xludf.DUMMYFUNCTION("""COMPUTED_VALUE"""),7.0)</f>
        <v>7</v>
      </c>
      <c r="F308" s="300">
        <v>1.0</v>
      </c>
      <c r="G308" s="300">
        <v>1.0</v>
      </c>
      <c r="H308" s="300">
        <v>1.0</v>
      </c>
      <c r="I308" s="300">
        <v>1.0</v>
      </c>
      <c r="J308" s="300">
        <v>1.0</v>
      </c>
      <c r="K308" s="300">
        <v>1.0</v>
      </c>
      <c r="L308" s="300">
        <v>1.0</v>
      </c>
      <c r="M308" s="300">
        <v>1.0</v>
      </c>
      <c r="N308" s="300">
        <v>8.0</v>
      </c>
      <c r="O308" s="300" t="s">
        <v>794</v>
      </c>
      <c r="P308" s="300">
        <v>2.0</v>
      </c>
    </row>
    <row r="309">
      <c r="A309">
        <f>IFERROR(__xludf.DUMMYFUNCTION("""COMPUTED_VALUE"""),11.0)</f>
        <v>11</v>
      </c>
      <c r="B309" s="406">
        <f>IFERROR(__xludf.DUMMYFUNCTION("""COMPUTED_VALUE"""),27063.0)</f>
        <v>27063</v>
      </c>
      <c r="C309" t="str">
        <f>IFERROR(__xludf.DUMMYFUNCTION("""COMPUTED_VALUE"""),"MARTINEZ AGUILAR, ALICIA")</f>
        <v>MARTINEZ AGUILAR, ALICIA</v>
      </c>
      <c r="D309" t="str">
        <f>IFERROR(__xludf.DUMMYFUNCTION("""COMPUTED_VALUE"""),"Art of Fiction Intermediate Level")</f>
        <v>Art of Fiction Intermediate Level</v>
      </c>
      <c r="E309" s="3">
        <f>IFERROR(__xludf.DUMMYFUNCTION("""COMPUTED_VALUE"""),4.0)</f>
        <v>4</v>
      </c>
      <c r="F309" s="300">
        <v>1.0</v>
      </c>
      <c r="G309" s="300">
        <v>1.0</v>
      </c>
      <c r="H309" s="300">
        <v>1.0</v>
      </c>
      <c r="I309" s="300">
        <v>1.0</v>
      </c>
      <c r="J309" s="300">
        <v>1.0</v>
      </c>
      <c r="K309" s="300">
        <v>1.0</v>
      </c>
      <c r="L309" s="300">
        <v>1.0</v>
      </c>
      <c r="M309" s="300">
        <v>1.0</v>
      </c>
      <c r="N309" s="300">
        <v>8.0</v>
      </c>
      <c r="O309" s="300" t="s">
        <v>803</v>
      </c>
      <c r="P309" s="300">
        <v>3.0</v>
      </c>
    </row>
    <row r="310">
      <c r="A310">
        <f>IFERROR(__xludf.DUMMYFUNCTION("""COMPUTED_VALUE"""),11.0)</f>
        <v>11</v>
      </c>
      <c r="B310" s="406">
        <f>IFERROR(__xludf.DUMMYFUNCTION("""COMPUTED_VALUE"""),27147.0)</f>
        <v>27147</v>
      </c>
      <c r="C310" t="str">
        <f>IFERROR(__xludf.DUMMYFUNCTION("""COMPUTED_VALUE"""),"MESA FLOREZ, SALOMON")</f>
        <v>MESA FLOREZ, SALOMON</v>
      </c>
      <c r="D310" t="str">
        <f>IFERROR(__xludf.DUMMYFUNCTION("""COMPUTED_VALUE"""),"Journalism Higher Level")</f>
        <v>Journalism Higher Level</v>
      </c>
      <c r="E310" s="3">
        <f>IFERROR(__xludf.DUMMYFUNCTION("""COMPUTED_VALUE"""),8.0)</f>
        <v>8</v>
      </c>
      <c r="F310" s="300">
        <v>1.0</v>
      </c>
      <c r="G310" s="300">
        <v>1.0</v>
      </c>
      <c r="H310" s="300">
        <v>1.0</v>
      </c>
      <c r="I310" s="300">
        <v>1.0</v>
      </c>
      <c r="J310" s="300">
        <v>1.0</v>
      </c>
      <c r="K310" s="300">
        <v>1.0</v>
      </c>
      <c r="L310" s="300">
        <v>1.0</v>
      </c>
      <c r="M310" s="300">
        <v>1.0</v>
      </c>
      <c r="N310" s="300">
        <v>8.0</v>
      </c>
      <c r="O310" s="300" t="s">
        <v>806</v>
      </c>
      <c r="P310" s="300">
        <v>3.0</v>
      </c>
    </row>
    <row r="311">
      <c r="A311">
        <f>IFERROR(__xludf.DUMMYFUNCTION("""COMPUTED_VALUE"""),11.0)</f>
        <v>11</v>
      </c>
      <c r="B311" s="406">
        <f>IFERROR(__xludf.DUMMYFUNCTION("""COMPUTED_VALUE"""),27129.0)</f>
        <v>27129</v>
      </c>
      <c r="C311" t="str">
        <f>IFERROR(__xludf.DUMMYFUNCTION("""COMPUTED_VALUE"""),"VALLEJO HOYOS, MIGUEL")</f>
        <v>VALLEJO HOYOS, MIGUEL</v>
      </c>
      <c r="D311" t="str">
        <f>IFERROR(__xludf.DUMMYFUNCTION("""COMPUTED_VALUE"""),"Art of Fiction Intermediate Level")</f>
        <v>Art of Fiction Intermediate Level</v>
      </c>
      <c r="E311" s="3">
        <f>IFERROR(__xludf.DUMMYFUNCTION("""COMPUTED_VALUE"""),1.0)</f>
        <v>1</v>
      </c>
      <c r="F311" s="300">
        <v>1.0</v>
      </c>
      <c r="G311" s="300">
        <v>1.0</v>
      </c>
      <c r="H311" s="300">
        <v>1.0</v>
      </c>
      <c r="I311" s="300">
        <v>1.0</v>
      </c>
      <c r="J311" s="300">
        <v>1.0</v>
      </c>
      <c r="K311" s="300">
        <v>1.0</v>
      </c>
      <c r="L311" s="300">
        <v>1.0</v>
      </c>
      <c r="M311" s="300">
        <v>1.0</v>
      </c>
      <c r="N311" s="300">
        <v>8.0</v>
      </c>
      <c r="O311" s="300" t="s">
        <v>799</v>
      </c>
      <c r="P311" s="300">
        <v>3.0</v>
      </c>
    </row>
    <row r="312">
      <c r="A312">
        <f>IFERROR(__xludf.DUMMYFUNCTION("""COMPUTED_VALUE"""),11.0)</f>
        <v>11</v>
      </c>
      <c r="B312" s="406">
        <f>IFERROR(__xludf.DUMMYFUNCTION("""COMPUTED_VALUE"""),27015.0)</f>
        <v>27015</v>
      </c>
      <c r="C312" t="str">
        <f>IFERROR(__xludf.DUMMYFUNCTION("""COMPUTED_VALUE"""),"BERNAL OCHOA, MARIANA")</f>
        <v>BERNAL OCHOA, MARIANA</v>
      </c>
      <c r="D312" t="str">
        <f>IFERROR(__xludf.DUMMYFUNCTION("""COMPUTED_VALUE"""),"Art of Fiction Intermediate Level")</f>
        <v>Art of Fiction Intermediate Level</v>
      </c>
      <c r="E312" s="3">
        <f>IFERROR(__xludf.DUMMYFUNCTION("""COMPUTED_VALUE"""),1.0)</f>
        <v>1</v>
      </c>
      <c r="F312" s="300">
        <v>1.0</v>
      </c>
      <c r="G312" s="300">
        <v>1.0</v>
      </c>
      <c r="H312" s="300">
        <v>1.0</v>
      </c>
      <c r="I312" s="300">
        <v>1.0</v>
      </c>
      <c r="J312" s="300">
        <v>1.0</v>
      </c>
      <c r="K312" s="300">
        <v>1.0</v>
      </c>
      <c r="L312" s="300">
        <v>1.0</v>
      </c>
      <c r="M312" s="300">
        <v>1.0</v>
      </c>
      <c r="N312" s="300">
        <v>8.0</v>
      </c>
      <c r="O312" s="300" t="s">
        <v>799</v>
      </c>
      <c r="P312" s="300">
        <v>3.0</v>
      </c>
    </row>
    <row r="313">
      <c r="A313">
        <f>IFERROR(__xludf.DUMMYFUNCTION("""COMPUTED_VALUE"""),11.0)</f>
        <v>11</v>
      </c>
      <c r="B313" s="406">
        <f>IFERROR(__xludf.DUMMYFUNCTION("""COMPUTED_VALUE"""),27104.0)</f>
        <v>27104</v>
      </c>
      <c r="C313" t="str">
        <f>IFERROR(__xludf.DUMMYFUNCTION("""COMPUTED_VALUE"""),"SANCHEZ GONZALEZ, JUANITA")</f>
        <v>SANCHEZ GONZALEZ, JUANITA</v>
      </c>
      <c r="D313" t="str">
        <f>IFERROR(__xludf.DUMMYFUNCTION("""COMPUTED_VALUE"""),"AP English Language")</f>
        <v>AP English Language</v>
      </c>
      <c r="E313" s="3">
        <f>IFERROR(__xludf.DUMMYFUNCTION("""COMPUTED_VALUE"""),7.0)</f>
        <v>7</v>
      </c>
      <c r="F313" s="300">
        <v>1.0</v>
      </c>
      <c r="G313" s="300">
        <v>1.0</v>
      </c>
      <c r="H313" s="300">
        <v>1.0</v>
      </c>
      <c r="I313" s="300">
        <v>1.0</v>
      </c>
      <c r="J313" s="300">
        <v>1.0</v>
      </c>
      <c r="K313" s="300">
        <v>1.0</v>
      </c>
      <c r="L313" s="300">
        <v>1.0</v>
      </c>
      <c r="M313" s="300">
        <v>1.0</v>
      </c>
      <c r="N313" s="300">
        <v>8.0</v>
      </c>
      <c r="O313" s="300" t="s">
        <v>794</v>
      </c>
      <c r="P313" s="300">
        <v>2.0</v>
      </c>
    </row>
    <row r="314">
      <c r="A314">
        <f>IFERROR(__xludf.DUMMYFUNCTION("""COMPUTED_VALUE"""),11.0)</f>
        <v>11</v>
      </c>
      <c r="B314" s="406">
        <f>IFERROR(__xludf.DUMMYFUNCTION("""COMPUTED_VALUE"""),27130.0)</f>
        <v>27130</v>
      </c>
      <c r="C314" t="str">
        <f>IFERROR(__xludf.DUMMYFUNCTION("""COMPUTED_VALUE"""),"EASTMAN BETANCUR, VIOLETA")</f>
        <v>EASTMAN BETANCUR, VIOLETA</v>
      </c>
      <c r="D314" t="str">
        <f>IFERROR(__xludf.DUMMYFUNCTION("""COMPUTED_VALUE"""),"Journalism Intermediate Level")</f>
        <v>Journalism Intermediate Level</v>
      </c>
      <c r="E314" s="3">
        <f>IFERROR(__xludf.DUMMYFUNCTION("""COMPUTED_VALUE"""),2.0)</f>
        <v>2</v>
      </c>
      <c r="F314" s="300">
        <v>1.0</v>
      </c>
      <c r="G314" s="300">
        <v>1.0</v>
      </c>
      <c r="H314" s="300">
        <v>1.0</v>
      </c>
      <c r="I314" s="300">
        <v>1.0</v>
      </c>
      <c r="J314" s="300">
        <v>1.0</v>
      </c>
      <c r="K314" s="300">
        <v>1.0</v>
      </c>
      <c r="L314" s="300">
        <v>1.0</v>
      </c>
      <c r="M314" s="300">
        <v>1.0</v>
      </c>
      <c r="N314" s="300">
        <v>8.0</v>
      </c>
      <c r="O314" s="300" t="s">
        <v>802</v>
      </c>
      <c r="P314" s="300">
        <v>2.0</v>
      </c>
    </row>
    <row r="315">
      <c r="A315">
        <f>IFERROR(__xludf.DUMMYFUNCTION("""COMPUTED_VALUE"""),11.0)</f>
        <v>11</v>
      </c>
      <c r="B315" s="406">
        <f>IFERROR(__xludf.DUMMYFUNCTION("""COMPUTED_VALUE"""),27096.0)</f>
        <v>27096</v>
      </c>
      <c r="C315" t="str">
        <f>IFERROR(__xludf.DUMMYFUNCTION("""COMPUTED_VALUE"""),"RICO SALDARRIAGA, MARTINA")</f>
        <v>RICO SALDARRIAGA, MARTINA</v>
      </c>
      <c r="D315" t="str">
        <f>IFERROR(__xludf.DUMMYFUNCTION("""COMPUTED_VALUE"""),"AP English Language")</f>
        <v>AP English Language</v>
      </c>
      <c r="E315" s="3">
        <f>IFERROR(__xludf.DUMMYFUNCTION("""COMPUTED_VALUE"""),7.0)</f>
        <v>7</v>
      </c>
      <c r="F315" s="300">
        <v>1.0</v>
      </c>
      <c r="G315" s="300">
        <v>1.0</v>
      </c>
      <c r="H315" s="300">
        <v>1.0</v>
      </c>
      <c r="I315" s="300">
        <v>1.0</v>
      </c>
      <c r="J315" s="300">
        <v>1.0</v>
      </c>
      <c r="K315" s="300">
        <v>1.0</v>
      </c>
      <c r="L315" s="300">
        <v>1.0</v>
      </c>
      <c r="M315" s="300">
        <v>1.0</v>
      </c>
      <c r="N315" s="300">
        <v>8.0</v>
      </c>
      <c r="O315" s="300" t="s">
        <v>794</v>
      </c>
      <c r="P315" s="300">
        <v>2.0</v>
      </c>
    </row>
    <row r="316">
      <c r="A316">
        <f>IFERROR(__xludf.DUMMYFUNCTION("""COMPUTED_VALUE"""),11.0)</f>
        <v>11</v>
      </c>
      <c r="B316" s="406">
        <f>IFERROR(__xludf.DUMMYFUNCTION("""COMPUTED_VALUE"""),27131.0)</f>
        <v>27131</v>
      </c>
      <c r="C316" t="str">
        <f>IFERROR(__xludf.DUMMYFUNCTION("""COMPUTED_VALUE"""),"BARRERA GUZMAN, CAMILA")</f>
        <v>BARRERA GUZMAN, CAMILA</v>
      </c>
      <c r="D316" t="str">
        <f>IFERROR(__xludf.DUMMYFUNCTION("""COMPUTED_VALUE"""),"Art of Fiction Intermediate Level")</f>
        <v>Art of Fiction Intermediate Level</v>
      </c>
      <c r="E316" s="3">
        <f>IFERROR(__xludf.DUMMYFUNCTION("""COMPUTED_VALUE"""),6.0)</f>
        <v>6</v>
      </c>
      <c r="F316" s="300">
        <v>1.0</v>
      </c>
      <c r="G316" s="300">
        <v>1.0</v>
      </c>
      <c r="H316" s="300">
        <v>1.0</v>
      </c>
      <c r="I316" s="300">
        <v>1.0</v>
      </c>
      <c r="J316" s="300">
        <v>1.0</v>
      </c>
      <c r="K316" s="300">
        <v>1.0</v>
      </c>
      <c r="L316" s="300">
        <v>1.0</v>
      </c>
      <c r="M316" s="300">
        <v>1.0</v>
      </c>
      <c r="N316" s="300">
        <v>8.0</v>
      </c>
      <c r="O316" s="300" t="s">
        <v>797</v>
      </c>
      <c r="P316" s="300">
        <v>3.0</v>
      </c>
    </row>
    <row r="317">
      <c r="A317">
        <f>IFERROR(__xludf.DUMMYFUNCTION("""COMPUTED_VALUE"""),11.0)</f>
        <v>11</v>
      </c>
      <c r="B317" s="406">
        <f>IFERROR(__xludf.DUMMYFUNCTION("""COMPUTED_VALUE"""),27068.0)</f>
        <v>27068</v>
      </c>
      <c r="C317" t="str">
        <f>IFERROR(__xludf.DUMMYFUNCTION("""COMPUTED_VALUE"""),"MESA ACOSTA, ESTEBAN")</f>
        <v>MESA ACOSTA, ESTEBAN</v>
      </c>
      <c r="D317" t="str">
        <f>IFERROR(__xludf.DUMMYFUNCTION("""COMPUTED_VALUE"""),"AP English Language")</f>
        <v>AP English Language</v>
      </c>
      <c r="E317" s="3">
        <f>IFERROR(__xludf.DUMMYFUNCTION("""COMPUTED_VALUE"""),7.0)</f>
        <v>7</v>
      </c>
      <c r="F317" s="300">
        <v>1.0</v>
      </c>
      <c r="G317" s="300">
        <v>1.0</v>
      </c>
      <c r="H317" s="300">
        <v>1.0</v>
      </c>
      <c r="I317" s="300">
        <v>1.0</v>
      </c>
      <c r="J317" s="300">
        <v>1.0</v>
      </c>
      <c r="K317" s="300">
        <v>1.0</v>
      </c>
      <c r="L317" s="300">
        <v>1.0</v>
      </c>
      <c r="M317" s="300">
        <v>1.0</v>
      </c>
      <c r="N317" s="300">
        <v>8.0</v>
      </c>
      <c r="O317" s="300" t="s">
        <v>794</v>
      </c>
      <c r="P317" s="300">
        <v>2.0</v>
      </c>
    </row>
    <row r="318">
      <c r="A318">
        <f>IFERROR(__xludf.DUMMYFUNCTION("""COMPUTED_VALUE"""),11.0)</f>
        <v>11</v>
      </c>
      <c r="B318" s="406">
        <f>IFERROR(__xludf.DUMMYFUNCTION("""COMPUTED_VALUE"""),27127.0)</f>
        <v>27127</v>
      </c>
      <c r="C318" t="str">
        <f>IFERROR(__xludf.DUMMYFUNCTION("""COMPUTED_VALUE"""),"YUSTY MOSQUERA, MATEO")</f>
        <v>YUSTY MOSQUERA, MATEO</v>
      </c>
      <c r="D318" t="str">
        <f>IFERROR(__xludf.DUMMYFUNCTION("""COMPUTED_VALUE"""),"AP English Language")</f>
        <v>AP English Language</v>
      </c>
      <c r="E318" s="3">
        <f>IFERROR(__xludf.DUMMYFUNCTION("""COMPUTED_VALUE"""),3.0)</f>
        <v>3</v>
      </c>
      <c r="F318" s="300">
        <v>1.0</v>
      </c>
      <c r="G318" s="300">
        <v>1.0</v>
      </c>
      <c r="H318" s="300">
        <v>1.0</v>
      </c>
      <c r="I318" s="300">
        <v>1.0</v>
      </c>
      <c r="J318" s="300">
        <v>1.0</v>
      </c>
      <c r="K318" s="300">
        <v>1.0</v>
      </c>
      <c r="L318" s="300">
        <v>1.0</v>
      </c>
      <c r="M318" s="300">
        <v>1.0</v>
      </c>
      <c r="N318" s="300">
        <v>8.0</v>
      </c>
      <c r="O318" s="300" t="s">
        <v>795</v>
      </c>
      <c r="P318" s="300">
        <v>2.0</v>
      </c>
    </row>
    <row r="319">
      <c r="A319">
        <f>IFERROR(__xludf.DUMMYFUNCTION("""COMPUTED_VALUE"""),11.0)</f>
        <v>11</v>
      </c>
      <c r="B319" s="406">
        <f>IFERROR(__xludf.DUMMYFUNCTION("""COMPUTED_VALUE"""),27172.0)</f>
        <v>27172</v>
      </c>
      <c r="C319" t="str">
        <f>IFERROR(__xludf.DUMMYFUNCTION("""COMPUTED_VALUE"""),"PASCUAL CUMELLAS, IGNACIO")</f>
        <v>PASCUAL CUMELLAS, IGNACIO</v>
      </c>
      <c r="D319" t="str">
        <f>IFERROR(__xludf.DUMMYFUNCTION("""COMPUTED_VALUE"""),"AP Seminar")</f>
        <v>AP Seminar</v>
      </c>
      <c r="E319" s="3">
        <f>IFERROR(__xludf.DUMMYFUNCTION("""COMPUTED_VALUE"""),5.0)</f>
        <v>5</v>
      </c>
      <c r="F319" s="300">
        <v>1.0</v>
      </c>
      <c r="G319" s="300">
        <v>1.0</v>
      </c>
      <c r="H319" s="300">
        <v>1.0</v>
      </c>
      <c r="I319" s="300">
        <v>1.0</v>
      </c>
      <c r="J319" s="300">
        <v>1.0</v>
      </c>
      <c r="K319" s="300">
        <v>1.0</v>
      </c>
      <c r="L319" s="300">
        <v>1.0</v>
      </c>
      <c r="M319" s="300">
        <v>1.0</v>
      </c>
      <c r="N319" s="300">
        <v>8.0</v>
      </c>
      <c r="O319" s="300" t="s">
        <v>791</v>
      </c>
      <c r="P319" s="300">
        <v>3.0</v>
      </c>
    </row>
    <row r="320">
      <c r="A320">
        <f>IFERROR(__xludf.DUMMYFUNCTION("""COMPUTED_VALUE"""),11.0)</f>
        <v>11</v>
      </c>
      <c r="B320" s="406">
        <f>IFERROR(__xludf.DUMMYFUNCTION("""COMPUTED_VALUE"""),27018.0)</f>
        <v>27018</v>
      </c>
      <c r="C320" t="str">
        <f>IFERROR(__xludf.DUMMYFUNCTION("""COMPUTED_VALUE"""),"BEYER VELEZ, JACOBO")</f>
        <v>BEYER VELEZ, JACOBO</v>
      </c>
      <c r="D320" t="str">
        <f>IFERROR(__xludf.DUMMYFUNCTION("""COMPUTED_VALUE"""),"Journalism Higher Level")</f>
        <v>Journalism Higher Level</v>
      </c>
      <c r="E320" s="3">
        <f>IFERROR(__xludf.DUMMYFUNCTION("""COMPUTED_VALUE"""),8.0)</f>
        <v>8</v>
      </c>
      <c r="F320" s="300">
        <v>1.0</v>
      </c>
      <c r="G320" s="300">
        <v>1.0</v>
      </c>
      <c r="H320" s="300">
        <v>1.0</v>
      </c>
      <c r="I320" s="300">
        <v>1.0</v>
      </c>
      <c r="J320" s="300">
        <v>1.0</v>
      </c>
      <c r="K320" s="300">
        <v>1.0</v>
      </c>
      <c r="L320" s="300">
        <v>1.0</v>
      </c>
      <c r="M320" s="300">
        <v>1.0</v>
      </c>
      <c r="N320" s="300">
        <v>8.0</v>
      </c>
      <c r="O320" s="300" t="s">
        <v>806</v>
      </c>
      <c r="P320" s="300">
        <v>3.0</v>
      </c>
    </row>
    <row r="321">
      <c r="A321">
        <f>IFERROR(__xludf.DUMMYFUNCTION("""COMPUTED_VALUE"""),11.0)</f>
        <v>11</v>
      </c>
      <c r="B321" s="406">
        <f>IFERROR(__xludf.DUMMYFUNCTION("""COMPUTED_VALUE"""),27017.0)</f>
        <v>27017</v>
      </c>
      <c r="C321" t="str">
        <f>IFERROR(__xludf.DUMMYFUNCTION("""COMPUTED_VALUE"""),"BETANCUR ROBLEDO, ELISA")</f>
        <v>BETANCUR ROBLEDO, ELISA</v>
      </c>
      <c r="D321" t="str">
        <f>IFERROR(__xludf.DUMMYFUNCTION("""COMPUTED_VALUE"""),"Journalism Intermediate Level")</f>
        <v>Journalism Intermediate Level</v>
      </c>
      <c r="E321" s="3">
        <f>IFERROR(__xludf.DUMMYFUNCTION("""COMPUTED_VALUE"""),2.0)</f>
        <v>2</v>
      </c>
      <c r="F321" s="300">
        <v>1.0</v>
      </c>
      <c r="G321" s="300">
        <v>1.0</v>
      </c>
      <c r="H321" s="300">
        <v>1.0</v>
      </c>
      <c r="I321" s="300">
        <v>1.0</v>
      </c>
      <c r="J321" s="300">
        <v>1.0</v>
      </c>
      <c r="K321" s="300">
        <v>1.0</v>
      </c>
      <c r="L321" s="300">
        <v>1.0</v>
      </c>
      <c r="M321" s="300">
        <v>1.0</v>
      </c>
      <c r="N321" s="300">
        <v>8.0</v>
      </c>
      <c r="O321" s="300" t="s">
        <v>802</v>
      </c>
      <c r="P321" s="300">
        <v>2.0</v>
      </c>
    </row>
    <row r="322">
      <c r="A322">
        <f>IFERROR(__xludf.DUMMYFUNCTION("""COMPUTED_VALUE"""),11.0)</f>
        <v>11</v>
      </c>
      <c r="B322" s="406">
        <f>IFERROR(__xludf.DUMMYFUNCTION("""COMPUTED_VALUE"""),27113.0)</f>
        <v>27113</v>
      </c>
      <c r="C322" t="str">
        <f>IFERROR(__xludf.DUMMYFUNCTION("""COMPUTED_VALUE"""),"TORO LOPERA, VIOLETA")</f>
        <v>TORO LOPERA, VIOLETA</v>
      </c>
      <c r="D322" t="str">
        <f>IFERROR(__xludf.DUMMYFUNCTION("""COMPUTED_VALUE"""),"Art of Fiction Intermediate Level")</f>
        <v>Art of Fiction Intermediate Level</v>
      </c>
      <c r="E322" s="3">
        <f>IFERROR(__xludf.DUMMYFUNCTION("""COMPUTED_VALUE"""),4.0)</f>
        <v>4</v>
      </c>
      <c r="F322" s="300">
        <v>1.0</v>
      </c>
      <c r="G322" s="300">
        <v>1.0</v>
      </c>
      <c r="H322" s="300">
        <v>1.0</v>
      </c>
      <c r="I322" s="300">
        <v>1.0</v>
      </c>
      <c r="J322" s="300">
        <v>1.0</v>
      </c>
      <c r="K322" s="300">
        <v>1.0</v>
      </c>
      <c r="L322" s="300">
        <v>1.0</v>
      </c>
      <c r="M322" s="300">
        <v>1.0</v>
      </c>
      <c r="N322" s="300">
        <v>8.0</v>
      </c>
      <c r="O322" s="300" t="s">
        <v>803</v>
      </c>
      <c r="P322" s="300">
        <v>3.0</v>
      </c>
    </row>
    <row r="323">
      <c r="A323">
        <f>IFERROR(__xludf.DUMMYFUNCTION("""COMPUTED_VALUE"""),11.0)</f>
        <v>11</v>
      </c>
      <c r="B323" s="406">
        <f>IFERROR(__xludf.DUMMYFUNCTION("""COMPUTED_VALUE"""),27042.0)</f>
        <v>27042</v>
      </c>
      <c r="C323" t="str">
        <f>IFERROR(__xludf.DUMMYFUNCTION("""COMPUTED_VALUE"""),"BONILLA NAVARRO, SOFIA")</f>
        <v>BONILLA NAVARRO, SOFIA</v>
      </c>
      <c r="D323" t="str">
        <f>IFERROR(__xludf.DUMMYFUNCTION("""COMPUTED_VALUE"""),"Art of Fiction Intermediate Level")</f>
        <v>Art of Fiction Intermediate Level</v>
      </c>
      <c r="E323" s="3">
        <f>IFERROR(__xludf.DUMMYFUNCTION("""COMPUTED_VALUE"""),1.0)</f>
        <v>1</v>
      </c>
      <c r="F323" s="300">
        <v>1.0</v>
      </c>
      <c r="G323" s="300">
        <v>1.0</v>
      </c>
      <c r="H323" s="300">
        <v>1.0</v>
      </c>
      <c r="I323" s="300">
        <v>1.0</v>
      </c>
      <c r="J323" s="300">
        <v>1.0</v>
      </c>
      <c r="K323" s="300">
        <v>1.0</v>
      </c>
      <c r="L323" s="300">
        <v>1.0</v>
      </c>
      <c r="M323" s="300">
        <v>1.0</v>
      </c>
      <c r="N323" s="300">
        <v>8.0</v>
      </c>
      <c r="O323" s="300" t="s">
        <v>799</v>
      </c>
      <c r="P323" s="300">
        <v>3.0</v>
      </c>
    </row>
    <row r="324">
      <c r="A324">
        <f>IFERROR(__xludf.DUMMYFUNCTION("""COMPUTED_VALUE"""),11.0)</f>
        <v>11</v>
      </c>
      <c r="B324" s="406">
        <f>IFERROR(__xludf.DUMMYFUNCTION("""COMPUTED_VALUE"""),27105.0)</f>
        <v>27105</v>
      </c>
      <c r="C324" t="str">
        <f>IFERROR(__xludf.DUMMYFUNCTION("""COMPUTED_VALUE"""),"SANCHEZ GONZALEZ, SARA")</f>
        <v>SANCHEZ GONZALEZ, SARA</v>
      </c>
      <c r="D324" t="str">
        <f>IFERROR(__xludf.DUMMYFUNCTION("""COMPUTED_VALUE"""),"AP English Language")</f>
        <v>AP English Language</v>
      </c>
      <c r="E324" s="3">
        <f>IFERROR(__xludf.DUMMYFUNCTION("""COMPUTED_VALUE"""),7.0)</f>
        <v>7</v>
      </c>
      <c r="F324" s="300">
        <v>1.0</v>
      </c>
      <c r="G324" s="300">
        <v>1.0</v>
      </c>
      <c r="H324" s="300">
        <v>1.0</v>
      </c>
      <c r="I324" s="300">
        <v>1.0</v>
      </c>
      <c r="J324" s="300">
        <v>1.0</v>
      </c>
      <c r="K324" s="300">
        <v>1.0</v>
      </c>
      <c r="L324" s="300">
        <v>1.0</v>
      </c>
      <c r="M324" s="300">
        <v>1.0</v>
      </c>
      <c r="N324" s="300">
        <v>8.0</v>
      </c>
      <c r="O324" s="300" t="s">
        <v>794</v>
      </c>
      <c r="P324" s="300">
        <v>2.0</v>
      </c>
    </row>
    <row r="325">
      <c r="A325">
        <f>IFERROR(__xludf.DUMMYFUNCTION("""COMPUTED_VALUE"""),11.0)</f>
        <v>11</v>
      </c>
      <c r="B325" s="406">
        <f>IFERROR(__xludf.DUMMYFUNCTION("""COMPUTED_VALUE"""),27035.0)</f>
        <v>27035</v>
      </c>
      <c r="C325" t="str">
        <f>IFERROR(__xludf.DUMMYFUNCTION("""COMPUTED_VALUE"""),"FERNANDEZ CALDERON, PABLO")</f>
        <v>FERNANDEZ CALDERON, PABLO</v>
      </c>
      <c r="D325" t="str">
        <f>IFERROR(__xludf.DUMMYFUNCTION("""COMPUTED_VALUE"""),"AP English Language")</f>
        <v>AP English Language</v>
      </c>
      <c r="E325" s="3">
        <f>IFERROR(__xludf.DUMMYFUNCTION("""COMPUTED_VALUE"""),7.0)</f>
        <v>7</v>
      </c>
      <c r="F325" s="300">
        <v>1.0</v>
      </c>
      <c r="G325" s="300">
        <v>1.0</v>
      </c>
      <c r="H325" s="300">
        <v>1.0</v>
      </c>
      <c r="I325" s="300">
        <v>1.0</v>
      </c>
      <c r="J325" s="300">
        <v>1.0</v>
      </c>
      <c r="K325" s="300">
        <v>1.0</v>
      </c>
      <c r="L325" s="300">
        <v>1.0</v>
      </c>
      <c r="M325" s="300">
        <v>1.0</v>
      </c>
      <c r="N325" s="300">
        <v>8.0</v>
      </c>
      <c r="O325" s="300" t="s">
        <v>794</v>
      </c>
      <c r="P325" s="300">
        <v>2.0</v>
      </c>
    </row>
    <row r="326">
      <c r="A326">
        <f>IFERROR(__xludf.DUMMYFUNCTION("""COMPUTED_VALUE"""),11.0)</f>
        <v>11</v>
      </c>
      <c r="B326" s="406">
        <f>IFERROR(__xludf.DUMMYFUNCTION("""COMPUTED_VALUE"""),27085.0)</f>
        <v>27085</v>
      </c>
      <c r="C326" t="str">
        <f>IFERROR(__xludf.DUMMYFUNCTION("""COMPUTED_VALUE"""),"PEREZ ALVARADO, EMILIO")</f>
        <v>PEREZ ALVARADO, EMILIO</v>
      </c>
      <c r="D326" t="str">
        <f>IFERROR(__xludf.DUMMYFUNCTION("""COMPUTED_VALUE"""),"AP English Language")</f>
        <v>AP English Language</v>
      </c>
      <c r="E326" s="3">
        <f>IFERROR(__xludf.DUMMYFUNCTION("""COMPUTED_VALUE"""),7.0)</f>
        <v>7</v>
      </c>
      <c r="F326" s="300">
        <v>1.0</v>
      </c>
      <c r="G326" s="300">
        <v>1.0</v>
      </c>
      <c r="H326" s="300">
        <v>1.0</v>
      </c>
      <c r="I326" s="300">
        <v>1.0</v>
      </c>
      <c r="J326" s="300">
        <v>1.0</v>
      </c>
      <c r="K326" s="300">
        <v>1.0</v>
      </c>
      <c r="L326" s="300">
        <v>1.0</v>
      </c>
      <c r="M326" s="300">
        <v>1.0</v>
      </c>
      <c r="N326" s="300">
        <v>8.0</v>
      </c>
      <c r="O326" s="300" t="s">
        <v>794</v>
      </c>
      <c r="P326" s="300">
        <v>2.0</v>
      </c>
    </row>
    <row r="327">
      <c r="A327">
        <f>IFERROR(__xludf.DUMMYFUNCTION("""COMPUTED_VALUE"""),11.0)</f>
        <v>11</v>
      </c>
      <c r="B327" s="406">
        <f>IFERROR(__xludf.DUMMYFUNCTION("""COMPUTED_VALUE"""),27054.0)</f>
        <v>27054</v>
      </c>
      <c r="C327" t="str">
        <f>IFERROR(__xludf.DUMMYFUNCTION("""COMPUTED_VALUE"""),"JARAMILLO PELAEZ, VIOLETA")</f>
        <v>JARAMILLO PELAEZ, VIOLETA</v>
      </c>
      <c r="D327" t="str">
        <f>IFERROR(__xludf.DUMMYFUNCTION("""COMPUTED_VALUE"""),"Art of Fiction Intermediate Level")</f>
        <v>Art of Fiction Intermediate Level</v>
      </c>
      <c r="E327" s="3">
        <f>IFERROR(__xludf.DUMMYFUNCTION("""COMPUTED_VALUE"""),1.0)</f>
        <v>1</v>
      </c>
      <c r="F327" s="300">
        <v>1.0</v>
      </c>
      <c r="G327" s="300">
        <v>1.0</v>
      </c>
      <c r="H327" s="300">
        <v>1.0</v>
      </c>
      <c r="I327" s="300">
        <v>1.0</v>
      </c>
      <c r="J327" s="300">
        <v>1.0</v>
      </c>
      <c r="K327" s="300">
        <v>1.0</v>
      </c>
      <c r="L327" s="300">
        <v>1.0</v>
      </c>
      <c r="M327" s="300">
        <v>1.0</v>
      </c>
      <c r="N327" s="300">
        <v>8.0</v>
      </c>
      <c r="O327" s="300" t="s">
        <v>799</v>
      </c>
      <c r="P327" s="300">
        <v>3.0</v>
      </c>
    </row>
    <row r="328">
      <c r="A328">
        <f>IFERROR(__xludf.DUMMYFUNCTION("""COMPUTED_VALUE"""),11.0)</f>
        <v>11</v>
      </c>
      <c r="B328" s="406">
        <f>IFERROR(__xludf.DUMMYFUNCTION("""COMPUTED_VALUE"""),27053.0)</f>
        <v>27053</v>
      </c>
      <c r="C328" t="str">
        <f>IFERROR(__xludf.DUMMYFUNCTION("""COMPUTED_VALUE"""),"JARAMILLO PELAEZ, MARTINA")</f>
        <v>JARAMILLO PELAEZ, MARTINA</v>
      </c>
      <c r="D328" t="str">
        <f>IFERROR(__xludf.DUMMYFUNCTION("""COMPUTED_VALUE"""),"Art of Fiction Intermediate Level")</f>
        <v>Art of Fiction Intermediate Level</v>
      </c>
      <c r="E328" s="3">
        <f>IFERROR(__xludf.DUMMYFUNCTION("""COMPUTED_VALUE"""),6.0)</f>
        <v>6</v>
      </c>
      <c r="F328" s="300">
        <v>1.0</v>
      </c>
      <c r="G328" s="300">
        <v>1.0</v>
      </c>
      <c r="H328" s="300">
        <v>1.0</v>
      </c>
      <c r="I328" s="300">
        <v>1.0</v>
      </c>
      <c r="J328" s="300">
        <v>1.0</v>
      </c>
      <c r="K328" s="300">
        <v>1.0</v>
      </c>
      <c r="L328" s="300">
        <v>1.0</v>
      </c>
      <c r="M328" s="300">
        <v>1.0</v>
      </c>
      <c r="N328" s="300">
        <v>8.0</v>
      </c>
      <c r="O328" s="300" t="s">
        <v>797</v>
      </c>
      <c r="P328" s="300">
        <v>3.0</v>
      </c>
    </row>
    <row r="329">
      <c r="A329">
        <f>IFERROR(__xludf.DUMMYFUNCTION("""COMPUTED_VALUE"""),11.0)</f>
        <v>11</v>
      </c>
      <c r="B329" s="406">
        <f>IFERROR(__xludf.DUMMYFUNCTION("""COMPUTED_VALUE"""),26012.0)</f>
        <v>26012</v>
      </c>
      <c r="C329" t="str">
        <f>IFERROR(__xludf.DUMMYFUNCTION("""COMPUTED_VALUE"""),"BAENA GIRALDO, AGUSTIN")</f>
        <v>BAENA GIRALDO, AGUSTIN</v>
      </c>
      <c r="D329" t="str">
        <f>IFERROR(__xludf.DUMMYFUNCTION("""COMPUTED_VALUE"""),"Art of Fiction Higher Level")</f>
        <v>Art of Fiction Higher Level</v>
      </c>
      <c r="E329" s="3">
        <f>IFERROR(__xludf.DUMMYFUNCTION("""COMPUTED_VALUE"""),8.0)</f>
        <v>8</v>
      </c>
      <c r="F329" s="300">
        <v>1.0</v>
      </c>
      <c r="G329" s="300">
        <v>1.0</v>
      </c>
      <c r="H329" s="300">
        <v>1.0</v>
      </c>
      <c r="I329" s="300">
        <v>1.0</v>
      </c>
      <c r="J329" s="300">
        <v>1.0</v>
      </c>
      <c r="K329" s="300">
        <v>1.0</v>
      </c>
      <c r="L329" s="300">
        <v>1.0</v>
      </c>
      <c r="M329" s="300">
        <v>1.0</v>
      </c>
      <c r="N329" s="300">
        <v>8.0</v>
      </c>
      <c r="O329" s="300" t="s">
        <v>804</v>
      </c>
      <c r="P329" s="300">
        <v>3.0</v>
      </c>
    </row>
    <row r="330">
      <c r="A330">
        <f>IFERROR(__xludf.DUMMYFUNCTION("""COMPUTED_VALUE"""),11.0)</f>
        <v>11</v>
      </c>
      <c r="B330" s="406">
        <f>IFERROR(__xludf.DUMMYFUNCTION("""COMPUTED_VALUE"""),27022.0)</f>
        <v>27022</v>
      </c>
      <c r="C330" t="str">
        <f>IFERROR(__xludf.DUMMYFUNCTION("""COMPUTED_VALUE"""),"CARDONA GIRALDO, MATHIAS")</f>
        <v>CARDONA GIRALDO, MATHIAS</v>
      </c>
      <c r="D330" t="str">
        <f>IFERROR(__xludf.DUMMYFUNCTION("""COMPUTED_VALUE"""),"Journalism Intermediate Level")</f>
        <v>Journalism Intermediate Level</v>
      </c>
      <c r="E330" s="3">
        <f>IFERROR(__xludf.DUMMYFUNCTION("""COMPUTED_VALUE"""),3.0)</f>
        <v>3</v>
      </c>
      <c r="F330" s="300">
        <v>1.0</v>
      </c>
      <c r="G330" s="300">
        <v>1.0</v>
      </c>
      <c r="H330" s="300">
        <v>1.0</v>
      </c>
      <c r="I330" s="300">
        <v>1.0</v>
      </c>
      <c r="J330" s="300">
        <v>1.0</v>
      </c>
      <c r="K330" s="300">
        <v>1.0</v>
      </c>
      <c r="L330" s="300">
        <v>1.0</v>
      </c>
      <c r="M330" s="300">
        <v>1.0</v>
      </c>
      <c r="N330" s="300">
        <v>8.0</v>
      </c>
      <c r="O330" s="300" t="s">
        <v>800</v>
      </c>
      <c r="P330" s="300">
        <v>2.0</v>
      </c>
    </row>
    <row r="331">
      <c r="A331">
        <f>IFERROR(__xludf.DUMMYFUNCTION("""COMPUTED_VALUE"""),11.0)</f>
        <v>11</v>
      </c>
      <c r="B331" s="406">
        <f>IFERROR(__xludf.DUMMYFUNCTION("""COMPUTED_VALUE"""),27071.0)</f>
        <v>27071</v>
      </c>
      <c r="C331" t="str">
        <f>IFERROR(__xludf.DUMMYFUNCTION("""COMPUTED_VALUE"""),"MONSALVE LOPERA, FEDERICO")</f>
        <v>MONSALVE LOPERA, FEDERICO</v>
      </c>
      <c r="D331" t="str">
        <f>IFERROR(__xludf.DUMMYFUNCTION("""COMPUTED_VALUE"""),"Journalism Intermediate Level")</f>
        <v>Journalism Intermediate Level</v>
      </c>
      <c r="E331" s="3">
        <f>IFERROR(__xludf.DUMMYFUNCTION("""COMPUTED_VALUE"""),2.0)</f>
        <v>2</v>
      </c>
      <c r="F331" s="300">
        <v>1.0</v>
      </c>
      <c r="G331" s="300">
        <v>1.0</v>
      </c>
      <c r="H331" s="300">
        <v>1.0</v>
      </c>
      <c r="I331" s="300">
        <v>1.0</v>
      </c>
      <c r="J331" s="300">
        <v>1.0</v>
      </c>
      <c r="K331" s="300">
        <v>1.0</v>
      </c>
      <c r="L331" s="300">
        <v>1.0</v>
      </c>
      <c r="M331" s="300">
        <v>1.0</v>
      </c>
      <c r="N331" s="300">
        <v>8.0</v>
      </c>
      <c r="O331" s="300" t="s">
        <v>802</v>
      </c>
      <c r="P331" s="300">
        <v>2.0</v>
      </c>
    </row>
    <row r="332">
      <c r="A332">
        <f>IFERROR(__xludf.DUMMYFUNCTION("""COMPUTED_VALUE"""),11.0)</f>
        <v>11</v>
      </c>
      <c r="B332" s="406">
        <f>IFERROR(__xludf.DUMMYFUNCTION("""COMPUTED_VALUE"""),27006.0)</f>
        <v>27006</v>
      </c>
      <c r="C332" t="str">
        <f>IFERROR(__xludf.DUMMYFUNCTION("""COMPUTED_VALUE"""),"ARANGO RUBIO, MIGUEL")</f>
        <v>ARANGO RUBIO, MIGUEL</v>
      </c>
      <c r="D332" t="str">
        <f>IFERROR(__xludf.DUMMYFUNCTION("""COMPUTED_VALUE"""),"Journalism Intermediate Level")</f>
        <v>Journalism Intermediate Level</v>
      </c>
      <c r="E332" s="3">
        <f>IFERROR(__xludf.DUMMYFUNCTION("""COMPUTED_VALUE"""),3.0)</f>
        <v>3</v>
      </c>
      <c r="F332" s="300">
        <v>1.0</v>
      </c>
      <c r="G332" s="300">
        <v>1.0</v>
      </c>
      <c r="H332" s="300">
        <v>1.0</v>
      </c>
      <c r="I332" s="300">
        <v>1.0</v>
      </c>
      <c r="J332" s="300">
        <v>1.0</v>
      </c>
      <c r="K332" s="300">
        <v>1.0</v>
      </c>
      <c r="L332" s="300">
        <v>1.0</v>
      </c>
      <c r="M332" s="300">
        <v>1.0</v>
      </c>
      <c r="N332" s="300">
        <v>8.0</v>
      </c>
      <c r="O332" s="300" t="s">
        <v>800</v>
      </c>
      <c r="P332" s="300">
        <v>2.0</v>
      </c>
    </row>
    <row r="333">
      <c r="A333">
        <f>IFERROR(__xludf.DUMMYFUNCTION("""COMPUTED_VALUE"""),11.0)</f>
        <v>11</v>
      </c>
      <c r="B333" s="406">
        <f>IFERROR(__xludf.DUMMYFUNCTION("""COMPUTED_VALUE"""),27101.0)</f>
        <v>27101</v>
      </c>
      <c r="C333" t="str">
        <f>IFERROR(__xludf.DUMMYFUNCTION("""COMPUTED_VALUE"""),"RUIZ ROLDAN, PABLO")</f>
        <v>RUIZ ROLDAN, PABLO</v>
      </c>
      <c r="D333" t="str">
        <f>IFERROR(__xludf.DUMMYFUNCTION("""COMPUTED_VALUE"""),"Journalism Intermediate Level")</f>
        <v>Journalism Intermediate Level</v>
      </c>
      <c r="E333" s="3">
        <f>IFERROR(__xludf.DUMMYFUNCTION("""COMPUTED_VALUE"""),2.0)</f>
        <v>2</v>
      </c>
      <c r="F333" s="300">
        <v>1.0</v>
      </c>
      <c r="G333" s="300">
        <v>1.0</v>
      </c>
      <c r="H333" s="300">
        <v>1.0</v>
      </c>
      <c r="I333" s="300">
        <v>1.0</v>
      </c>
      <c r="J333" s="300">
        <v>1.0</v>
      </c>
      <c r="K333" s="300">
        <v>1.0</v>
      </c>
      <c r="L333" s="300">
        <v>1.0</v>
      </c>
      <c r="M333" s="300">
        <v>1.0</v>
      </c>
      <c r="N333" s="300">
        <v>8.0</v>
      </c>
      <c r="O333" s="300" t="s">
        <v>802</v>
      </c>
      <c r="P333" s="300">
        <v>2.0</v>
      </c>
    </row>
    <row r="334">
      <c r="A334">
        <f>IFERROR(__xludf.DUMMYFUNCTION("""COMPUTED_VALUE"""),11.0)</f>
        <v>11</v>
      </c>
      <c r="B334" s="406">
        <f>IFERROR(__xludf.DUMMYFUNCTION("""COMPUTED_VALUE"""),27046.0)</f>
        <v>27046</v>
      </c>
      <c r="C334" t="str">
        <f>IFERROR(__xludf.DUMMYFUNCTION("""COMPUTED_VALUE"""),"GOMEZ TRUJILLO, MIGUEL")</f>
        <v>GOMEZ TRUJILLO, MIGUEL</v>
      </c>
      <c r="D334" t="str">
        <f>IFERROR(__xludf.DUMMYFUNCTION("""COMPUTED_VALUE"""),"Journalism Intermediate Level")</f>
        <v>Journalism Intermediate Level</v>
      </c>
      <c r="E334" s="3">
        <f>IFERROR(__xludf.DUMMYFUNCTION("""COMPUTED_VALUE"""),2.0)</f>
        <v>2</v>
      </c>
      <c r="F334" s="300">
        <v>1.0</v>
      </c>
      <c r="G334" s="300">
        <v>1.0</v>
      </c>
      <c r="H334" s="300">
        <v>1.0</v>
      </c>
      <c r="I334" s="300">
        <v>1.0</v>
      </c>
      <c r="J334" s="300">
        <v>1.0</v>
      </c>
      <c r="K334" s="300">
        <v>1.0</v>
      </c>
      <c r="L334" s="300">
        <v>1.0</v>
      </c>
      <c r="M334" s="300">
        <v>1.0</v>
      </c>
      <c r="N334" s="300">
        <v>8.0</v>
      </c>
      <c r="O334" s="300" t="s">
        <v>802</v>
      </c>
      <c r="P334" s="300">
        <v>2.0</v>
      </c>
    </row>
    <row r="335">
      <c r="A335">
        <f>IFERROR(__xludf.DUMMYFUNCTION("""COMPUTED_VALUE"""),11.0)</f>
        <v>11</v>
      </c>
      <c r="B335" s="406">
        <f>IFERROR(__xludf.DUMMYFUNCTION("""COMPUTED_VALUE"""),27151.0)</f>
        <v>27151</v>
      </c>
      <c r="C335" t="str">
        <f>IFERROR(__xludf.DUMMYFUNCTION("""COMPUTED_VALUE"""),"RANNI, FABRIZIO")</f>
        <v>RANNI, FABRIZIO</v>
      </c>
      <c r="D335" t="str">
        <f>IFERROR(__xludf.DUMMYFUNCTION("""COMPUTED_VALUE"""),"Art of Fiction Intermediate Level")</f>
        <v>Art of Fiction Intermediate Level</v>
      </c>
      <c r="E335" s="3">
        <f>IFERROR(__xludf.DUMMYFUNCTION("""COMPUTED_VALUE"""),4.0)</f>
        <v>4</v>
      </c>
      <c r="F335" s="300">
        <v>1.0</v>
      </c>
      <c r="G335" s="300">
        <v>1.0</v>
      </c>
      <c r="H335" s="300">
        <v>1.0</v>
      </c>
      <c r="I335" s="300">
        <v>1.0</v>
      </c>
      <c r="J335" s="300">
        <v>1.0</v>
      </c>
      <c r="K335" s="300">
        <v>1.0</v>
      </c>
      <c r="L335" s="300">
        <v>1.0</v>
      </c>
      <c r="M335" s="300">
        <v>1.0</v>
      </c>
      <c r="N335" s="300">
        <v>8.0</v>
      </c>
      <c r="O335" s="300" t="s">
        <v>803</v>
      </c>
      <c r="P335" s="300">
        <v>3.0</v>
      </c>
    </row>
    <row r="336">
      <c r="A336">
        <f>IFERROR(__xludf.DUMMYFUNCTION("""COMPUTED_VALUE"""),11.0)</f>
        <v>11</v>
      </c>
      <c r="B336" s="406">
        <f>IFERROR(__xludf.DUMMYFUNCTION("""COMPUTED_VALUE"""),27081.0)</f>
        <v>27081</v>
      </c>
      <c r="C336" t="str">
        <f>IFERROR(__xludf.DUMMYFUNCTION("""COMPUTED_VALUE"""),"OSPINA ESCOBAR, GABRIEL")</f>
        <v>OSPINA ESCOBAR, GABRIEL</v>
      </c>
      <c r="D336" t="str">
        <f>IFERROR(__xludf.DUMMYFUNCTION("""COMPUTED_VALUE"""),"AP English Language")</f>
        <v>AP English Language</v>
      </c>
      <c r="E336" s="3">
        <f>IFERROR(__xludf.DUMMYFUNCTION("""COMPUTED_VALUE"""),7.0)</f>
        <v>7</v>
      </c>
      <c r="F336" s="300">
        <v>1.0</v>
      </c>
      <c r="G336" s="300">
        <v>1.0</v>
      </c>
      <c r="H336" s="300">
        <v>1.0</v>
      </c>
      <c r="I336" s="300">
        <v>1.0</v>
      </c>
      <c r="J336" s="300">
        <v>1.0</v>
      </c>
      <c r="K336" s="300">
        <v>1.0</v>
      </c>
      <c r="L336" s="300">
        <v>1.0</v>
      </c>
      <c r="M336" s="300">
        <v>1.0</v>
      </c>
      <c r="N336" s="300">
        <v>8.0</v>
      </c>
      <c r="O336" s="300" t="s">
        <v>794</v>
      </c>
      <c r="P336" s="300">
        <v>2.0</v>
      </c>
    </row>
    <row r="337">
      <c r="A337">
        <f>IFERROR(__xludf.DUMMYFUNCTION("""COMPUTED_VALUE"""),11.0)</f>
        <v>11</v>
      </c>
      <c r="B337" s="406">
        <f>IFERROR(__xludf.DUMMYFUNCTION("""COMPUTED_VALUE"""),26154.0)</f>
        <v>26154</v>
      </c>
      <c r="C337" t="str">
        <f>IFERROR(__xludf.DUMMYFUNCTION("""COMPUTED_VALUE"""),"GARRIDO TAMAYO, NICOLAS")</f>
        <v>GARRIDO TAMAYO, NICOLAS</v>
      </c>
      <c r="D337" t="str">
        <f>IFERROR(__xludf.DUMMYFUNCTION("""COMPUTED_VALUE"""),"Art of Fiction Intermediate Level")</f>
        <v>Art of Fiction Intermediate Level</v>
      </c>
      <c r="E337" s="3">
        <f>IFERROR(__xludf.DUMMYFUNCTION("""COMPUTED_VALUE"""),1.0)</f>
        <v>1</v>
      </c>
      <c r="F337" s="300">
        <v>1.0</v>
      </c>
      <c r="G337" s="300">
        <v>1.0</v>
      </c>
      <c r="H337" s="300">
        <v>1.0</v>
      </c>
      <c r="I337" s="300">
        <v>1.0</v>
      </c>
      <c r="J337" s="300">
        <v>1.0</v>
      </c>
      <c r="K337" s="300">
        <v>1.0</v>
      </c>
      <c r="L337" s="300">
        <v>1.0</v>
      </c>
      <c r="M337" s="300">
        <v>1.0</v>
      </c>
      <c r="N337" s="300">
        <v>8.0</v>
      </c>
      <c r="O337" s="300" t="s">
        <v>799</v>
      </c>
      <c r="P337" s="300">
        <v>3.0</v>
      </c>
    </row>
    <row r="338">
      <c r="A338">
        <f>IFERROR(__xludf.DUMMYFUNCTION("""COMPUTED_VALUE"""),11.0)</f>
        <v>11</v>
      </c>
      <c r="B338" s="406">
        <f>IFERROR(__xludf.DUMMYFUNCTION("""COMPUTED_VALUE"""),27040.0)</f>
        <v>27040</v>
      </c>
      <c r="C338" t="str">
        <f>IFERROR(__xludf.DUMMYFUNCTION("""COMPUTED_VALUE"""),"GALLON MUÑOZ, VIOLETA")</f>
        <v>GALLON MUÑOZ, VIOLETA</v>
      </c>
      <c r="D338" t="str">
        <f>IFERROR(__xludf.DUMMYFUNCTION("""COMPUTED_VALUE"""),"Journalism Intermediate Level")</f>
        <v>Journalism Intermediate Level</v>
      </c>
      <c r="E338" s="3">
        <f>IFERROR(__xludf.DUMMYFUNCTION("""COMPUTED_VALUE"""),2.0)</f>
        <v>2</v>
      </c>
      <c r="F338" s="300">
        <v>1.0</v>
      </c>
      <c r="G338" s="300">
        <v>1.0</v>
      </c>
      <c r="H338" s="300">
        <v>1.0</v>
      </c>
      <c r="I338" s="300">
        <v>1.0</v>
      </c>
      <c r="J338" s="300">
        <v>1.0</v>
      </c>
      <c r="K338" s="300">
        <v>1.0</v>
      </c>
      <c r="L338" s="300">
        <v>1.0</v>
      </c>
      <c r="M338" s="300">
        <v>1.0</v>
      </c>
      <c r="N338" s="300">
        <v>8.0</v>
      </c>
      <c r="O338" s="300" t="s">
        <v>802</v>
      </c>
      <c r="P338" s="300">
        <v>2.0</v>
      </c>
    </row>
    <row r="339">
      <c r="A339">
        <f>IFERROR(__xludf.DUMMYFUNCTION("""COMPUTED_VALUE"""),11.0)</f>
        <v>11</v>
      </c>
      <c r="B339" s="406">
        <f>IFERROR(__xludf.DUMMYFUNCTION("""COMPUTED_VALUE"""),27093.0)</f>
        <v>27093</v>
      </c>
      <c r="C339" t="str">
        <f>IFERROR(__xludf.DUMMYFUNCTION("""COMPUTED_VALUE"""),"RADA ECHANDIA, CAMILA")</f>
        <v>RADA ECHANDIA, CAMILA</v>
      </c>
      <c r="D339" t="str">
        <f>IFERROR(__xludf.DUMMYFUNCTION("""COMPUTED_VALUE"""),"Journalism Intermediate Level")</f>
        <v>Journalism Intermediate Level</v>
      </c>
      <c r="E339" s="3">
        <f>IFERROR(__xludf.DUMMYFUNCTION("""COMPUTED_VALUE"""),3.0)</f>
        <v>3</v>
      </c>
      <c r="F339" s="300">
        <v>1.0</v>
      </c>
      <c r="G339" s="300">
        <v>1.0</v>
      </c>
      <c r="H339" s="300">
        <v>1.0</v>
      </c>
      <c r="I339" s="300">
        <v>1.0</v>
      </c>
      <c r="J339" s="300">
        <v>1.0</v>
      </c>
      <c r="K339" s="300">
        <v>1.0</v>
      </c>
      <c r="L339" s="300">
        <v>1.0</v>
      </c>
      <c r="M339" s="300">
        <v>1.0</v>
      </c>
      <c r="N339" s="300">
        <v>8.0</v>
      </c>
      <c r="O339" s="300" t="s">
        <v>800</v>
      </c>
      <c r="P339" s="300">
        <v>2.0</v>
      </c>
    </row>
    <row r="340">
      <c r="A340">
        <f>IFERROR(__xludf.DUMMYFUNCTION("""COMPUTED_VALUE"""),11.0)</f>
        <v>11</v>
      </c>
      <c r="B340" s="406">
        <f>IFERROR(__xludf.DUMMYFUNCTION("""COMPUTED_VALUE"""),27112.0)</f>
        <v>27112</v>
      </c>
      <c r="C340" t="str">
        <f>IFERROR(__xludf.DUMMYFUNCTION("""COMPUTED_VALUE"""),"TOBON RESTREPO, NICOLAS")</f>
        <v>TOBON RESTREPO, NICOLAS</v>
      </c>
      <c r="D340" t="str">
        <f>IFERROR(__xludf.DUMMYFUNCTION("""COMPUTED_VALUE"""),"Art of Fiction Intermediate Level")</f>
        <v>Art of Fiction Intermediate Level</v>
      </c>
      <c r="E340" s="3">
        <f>IFERROR(__xludf.DUMMYFUNCTION("""COMPUTED_VALUE"""),4.0)</f>
        <v>4</v>
      </c>
      <c r="F340" s="300">
        <v>1.0</v>
      </c>
      <c r="G340" s="300">
        <v>1.0</v>
      </c>
      <c r="H340" s="300">
        <v>1.0</v>
      </c>
      <c r="I340" s="300">
        <v>1.0</v>
      </c>
      <c r="J340" s="300">
        <v>1.0</v>
      </c>
      <c r="K340" s="300">
        <v>1.0</v>
      </c>
      <c r="L340" s="300">
        <v>1.0</v>
      </c>
      <c r="M340" s="300">
        <v>1.0</v>
      </c>
      <c r="N340" s="300">
        <v>8.0</v>
      </c>
      <c r="O340" s="300" t="s">
        <v>803</v>
      </c>
      <c r="P340" s="300">
        <v>3.0</v>
      </c>
    </row>
    <row r="341">
      <c r="A341">
        <f>IFERROR(__xludf.DUMMYFUNCTION("""COMPUTED_VALUE"""),11.0)</f>
        <v>11</v>
      </c>
      <c r="B341" s="406">
        <f>IFERROR(__xludf.DUMMYFUNCTION("""COMPUTED_VALUE"""),27083.0)</f>
        <v>27083</v>
      </c>
      <c r="C341" t="str">
        <f>IFERROR(__xludf.DUMMYFUNCTION("""COMPUTED_VALUE"""),"PALACIO RUIZ, MATIAS")</f>
        <v>PALACIO RUIZ, MATIAS</v>
      </c>
      <c r="D341" t="str">
        <f>IFERROR(__xludf.DUMMYFUNCTION("""COMPUTED_VALUE"""),"Art of Fiction Intermediate Level")</f>
        <v>Art of Fiction Intermediate Level</v>
      </c>
      <c r="E341" s="3">
        <f>IFERROR(__xludf.DUMMYFUNCTION("""COMPUTED_VALUE"""),4.0)</f>
        <v>4</v>
      </c>
      <c r="F341" s="300">
        <v>1.0</v>
      </c>
      <c r="G341" s="300">
        <v>1.0</v>
      </c>
      <c r="H341" s="300">
        <v>1.0</v>
      </c>
      <c r="I341" s="300">
        <v>1.0</v>
      </c>
      <c r="J341" s="300">
        <v>1.0</v>
      </c>
      <c r="K341" s="300">
        <v>1.0</v>
      </c>
      <c r="L341" s="300">
        <v>1.0</v>
      </c>
      <c r="M341" s="300">
        <v>1.0</v>
      </c>
      <c r="N341" s="300">
        <v>8.0</v>
      </c>
      <c r="O341" s="300" t="s">
        <v>803</v>
      </c>
      <c r="P341" s="300">
        <v>3.0</v>
      </c>
    </row>
    <row r="342">
      <c r="A342">
        <f>IFERROR(__xludf.DUMMYFUNCTION("""COMPUTED_VALUE"""),11.0)</f>
        <v>11</v>
      </c>
      <c r="B342" s="406">
        <f>IFERROR(__xludf.DUMMYFUNCTION("""COMPUTED_VALUE"""),26041.0)</f>
        <v>26041</v>
      </c>
      <c r="C342" t="str">
        <f>IFERROR(__xludf.DUMMYFUNCTION("""COMPUTED_VALUE"""),"GOMEZ VASQUEZ, SOFIA")</f>
        <v>GOMEZ VASQUEZ, SOFIA</v>
      </c>
      <c r="D342" t="str">
        <f>IFERROR(__xludf.DUMMYFUNCTION("""COMPUTED_VALUE"""),"Journalism Intermediate Level")</f>
        <v>Journalism Intermediate Level</v>
      </c>
      <c r="E342" s="3">
        <f>IFERROR(__xludf.DUMMYFUNCTION("""COMPUTED_VALUE"""),2.0)</f>
        <v>2</v>
      </c>
      <c r="F342" s="300">
        <v>1.0</v>
      </c>
      <c r="G342" s="300">
        <v>1.0</v>
      </c>
      <c r="H342" s="300">
        <v>1.0</v>
      </c>
      <c r="I342" s="300">
        <v>1.0</v>
      </c>
      <c r="J342" s="300">
        <v>1.0</v>
      </c>
      <c r="K342" s="300">
        <v>1.0</v>
      </c>
      <c r="L342" s="300">
        <v>1.0</v>
      </c>
      <c r="M342" s="300">
        <v>1.0</v>
      </c>
      <c r="N342" s="300">
        <v>8.0</v>
      </c>
      <c r="O342" s="300" t="s">
        <v>802</v>
      </c>
      <c r="P342" s="300">
        <v>2.0</v>
      </c>
    </row>
    <row r="343">
      <c r="A343">
        <f>IFERROR(__xludf.DUMMYFUNCTION("""COMPUTED_VALUE"""),11.0)</f>
        <v>11</v>
      </c>
      <c r="B343" s="406">
        <f>IFERROR(__xludf.DUMMYFUNCTION("""COMPUTED_VALUE"""),27092.0)</f>
        <v>27092</v>
      </c>
      <c r="C343" t="str">
        <f>IFERROR(__xludf.DUMMYFUNCTION("""COMPUTED_VALUE"""),"PULGARIN HUERTAS, ELOISA")</f>
        <v>PULGARIN HUERTAS, ELOISA</v>
      </c>
      <c r="D343" t="str">
        <f>IFERROR(__xludf.DUMMYFUNCTION("""COMPUTED_VALUE"""),"Art of Fiction Intermediate Level")</f>
        <v>Art of Fiction Intermediate Level</v>
      </c>
      <c r="E343" s="3">
        <f>IFERROR(__xludf.DUMMYFUNCTION("""COMPUTED_VALUE"""),6.0)</f>
        <v>6</v>
      </c>
      <c r="F343" s="300">
        <v>1.0</v>
      </c>
      <c r="G343" s="300">
        <v>1.0</v>
      </c>
      <c r="H343" s="300">
        <v>1.0</v>
      </c>
      <c r="I343" s="300">
        <v>1.0</v>
      </c>
      <c r="J343" s="300">
        <v>1.0</v>
      </c>
      <c r="K343" s="300">
        <v>1.0</v>
      </c>
      <c r="L343" s="300">
        <v>1.0</v>
      </c>
      <c r="M343" s="300">
        <v>1.0</v>
      </c>
      <c r="N343" s="300">
        <v>8.0</v>
      </c>
      <c r="O343" s="300" t="s">
        <v>797</v>
      </c>
      <c r="P343" s="300">
        <v>3.0</v>
      </c>
    </row>
    <row r="344">
      <c r="A344">
        <f>IFERROR(__xludf.DUMMYFUNCTION("""COMPUTED_VALUE"""),11.0)</f>
        <v>11</v>
      </c>
      <c r="B344" s="406">
        <f>IFERROR(__xludf.DUMMYFUNCTION("""COMPUTED_VALUE"""),27055.0)</f>
        <v>27055</v>
      </c>
      <c r="C344" t="str">
        <f>IFERROR(__xludf.DUMMYFUNCTION("""COMPUTED_VALUE"""),"JARAMILLO URIBE, EMILIANO")</f>
        <v>JARAMILLO URIBE, EMILIANO</v>
      </c>
      <c r="D344" t="str">
        <f>IFERROR(__xludf.DUMMYFUNCTION("""COMPUTED_VALUE"""),"Art of Fiction Intermediate Level")</f>
        <v>Art of Fiction Intermediate Level</v>
      </c>
      <c r="E344" s="3">
        <f>IFERROR(__xludf.DUMMYFUNCTION("""COMPUTED_VALUE"""),4.0)</f>
        <v>4</v>
      </c>
      <c r="F344" s="300">
        <v>1.0</v>
      </c>
      <c r="G344" s="300">
        <v>1.0</v>
      </c>
      <c r="H344" s="300">
        <v>1.0</v>
      </c>
      <c r="I344" s="300">
        <v>1.0</v>
      </c>
      <c r="J344" s="300">
        <v>1.0</v>
      </c>
      <c r="K344" s="300">
        <v>1.0</v>
      </c>
      <c r="L344" s="300">
        <v>1.0</v>
      </c>
      <c r="M344" s="300">
        <v>1.0</v>
      </c>
      <c r="N344" s="300">
        <v>8.0</v>
      </c>
      <c r="O344" s="300" t="s">
        <v>803</v>
      </c>
      <c r="P344" s="300">
        <v>3.0</v>
      </c>
    </row>
    <row r="345">
      <c r="A345">
        <f>IFERROR(__xludf.DUMMYFUNCTION("""COMPUTED_VALUE"""),11.0)</f>
        <v>11</v>
      </c>
      <c r="B345">
        <f>IFERROR(__xludf.DUMMYFUNCTION("""COMPUTED_VALUE"""),27162.0)</f>
        <v>27162</v>
      </c>
      <c r="C345" t="str">
        <f>IFERROR(__xludf.DUMMYFUNCTION("""COMPUTED_VALUE"""),"SUTTON ROITER, JACQUES")</f>
        <v>SUTTON ROITER, JACQUES</v>
      </c>
      <c r="D345" t="str">
        <f>IFERROR(__xludf.DUMMYFUNCTION("""COMPUTED_VALUE"""),"Journalism Intermediate Level")</f>
        <v>Journalism Intermediate Level</v>
      </c>
      <c r="E345" s="3">
        <f>IFERROR(__xludf.DUMMYFUNCTION("""COMPUTED_VALUE"""),2.0)</f>
        <v>2</v>
      </c>
      <c r="F345" s="300">
        <v>1.0</v>
      </c>
      <c r="G345" s="300">
        <v>1.0</v>
      </c>
      <c r="H345" s="300">
        <v>1.0</v>
      </c>
      <c r="I345" s="300">
        <v>1.0</v>
      </c>
      <c r="J345" s="300">
        <v>1.0</v>
      </c>
      <c r="K345" s="300">
        <v>1.0</v>
      </c>
      <c r="L345" s="300">
        <v>1.0</v>
      </c>
      <c r="M345" s="300">
        <v>1.0</v>
      </c>
      <c r="N345" s="300">
        <v>8.0</v>
      </c>
      <c r="O345" s="300" t="s">
        <v>802</v>
      </c>
      <c r="P345" s="300">
        <v>2.0</v>
      </c>
    </row>
    <row r="346">
      <c r="A346">
        <f>IFERROR(__xludf.DUMMYFUNCTION("""COMPUTED_VALUE"""),11.0)</f>
        <v>11</v>
      </c>
      <c r="B346">
        <f>IFERROR(__xludf.DUMMYFUNCTION("""COMPUTED_VALUE"""),27090.0)</f>
        <v>27090</v>
      </c>
      <c r="C346" t="str">
        <f>IFERROR(__xludf.DUMMYFUNCTION("""COMPUTED_VALUE"""),"PERTUZ MUNERA, LUCIANA")</f>
        <v>PERTUZ MUNERA, LUCIANA</v>
      </c>
      <c r="D346" t="str">
        <f>IFERROR(__xludf.DUMMYFUNCTION("""COMPUTED_VALUE"""),"Art of Fiction Intermediate Level")</f>
        <v>Art of Fiction Intermediate Level</v>
      </c>
      <c r="E346" s="3">
        <f>IFERROR(__xludf.DUMMYFUNCTION("""COMPUTED_VALUE"""),1.0)</f>
        <v>1</v>
      </c>
      <c r="F346" s="300">
        <v>1.0</v>
      </c>
      <c r="G346" s="300">
        <v>1.0</v>
      </c>
      <c r="H346" s="300">
        <v>1.0</v>
      </c>
      <c r="I346" s="300">
        <v>1.0</v>
      </c>
      <c r="J346" s="300">
        <v>1.0</v>
      </c>
      <c r="K346" s="300">
        <v>1.0</v>
      </c>
      <c r="L346" s="300">
        <v>1.0</v>
      </c>
      <c r="M346" s="300">
        <v>1.0</v>
      </c>
      <c r="N346" s="300">
        <v>8.0</v>
      </c>
      <c r="O346" s="300" t="s">
        <v>799</v>
      </c>
      <c r="P346" s="300">
        <v>3.0</v>
      </c>
    </row>
    <row r="347">
      <c r="A347">
        <f>IFERROR(__xludf.DUMMYFUNCTION("""COMPUTED_VALUE"""),11.0)</f>
        <v>11</v>
      </c>
      <c r="B347">
        <f>IFERROR(__xludf.DUMMYFUNCTION("""COMPUTED_VALUE"""),27120.0)</f>
        <v>27120</v>
      </c>
      <c r="C347" t="str">
        <f>IFERROR(__xludf.DUMMYFUNCTION("""COMPUTED_VALUE"""),"VARGAS ARBOLEDA, AMALIA")</f>
        <v>VARGAS ARBOLEDA, AMALIA</v>
      </c>
      <c r="D347" t="str">
        <f>IFERROR(__xludf.DUMMYFUNCTION("""COMPUTED_VALUE"""),"Journalism Intermediate Level")</f>
        <v>Journalism Intermediate Level</v>
      </c>
      <c r="E347" s="3">
        <f>IFERROR(__xludf.DUMMYFUNCTION("""COMPUTED_VALUE"""),3.0)</f>
        <v>3</v>
      </c>
      <c r="F347" s="300">
        <v>1.0</v>
      </c>
      <c r="G347" s="300">
        <v>1.0</v>
      </c>
      <c r="H347" s="300">
        <v>1.0</v>
      </c>
      <c r="I347" s="300">
        <v>1.0</v>
      </c>
      <c r="J347" s="300">
        <v>1.0</v>
      </c>
      <c r="K347" s="300">
        <v>1.0</v>
      </c>
      <c r="L347" s="300">
        <v>1.0</v>
      </c>
      <c r="M347" s="300">
        <v>1.0</v>
      </c>
      <c r="N347" s="300">
        <v>8.0</v>
      </c>
      <c r="O347" s="300" t="s">
        <v>800</v>
      </c>
      <c r="P347" s="300">
        <v>2.0</v>
      </c>
    </row>
    <row r="348">
      <c r="A348">
        <f>IFERROR(__xludf.DUMMYFUNCTION("""COMPUTED_VALUE"""),11.0)</f>
        <v>11</v>
      </c>
      <c r="B348">
        <f>IFERROR(__xludf.DUMMYFUNCTION("""COMPUTED_VALUE"""),27103.0)</f>
        <v>27103</v>
      </c>
      <c r="C348" t="str">
        <f>IFERROR(__xludf.DUMMYFUNCTION("""COMPUTED_VALUE"""),"SANCHEZ DIAZ, TOMAS")</f>
        <v>SANCHEZ DIAZ, TOMAS</v>
      </c>
      <c r="D348" t="str">
        <f>IFERROR(__xludf.DUMMYFUNCTION("""COMPUTED_VALUE"""),"Journalism Intermediate Level")</f>
        <v>Journalism Intermediate Level</v>
      </c>
      <c r="E348" s="3">
        <f>IFERROR(__xludf.DUMMYFUNCTION("""COMPUTED_VALUE"""),3.0)</f>
        <v>3</v>
      </c>
      <c r="F348" s="300">
        <v>1.0</v>
      </c>
      <c r="G348" s="300">
        <v>1.0</v>
      </c>
      <c r="H348" s="300">
        <v>1.0</v>
      </c>
      <c r="I348" s="300">
        <v>1.0</v>
      </c>
      <c r="J348" s="300">
        <v>1.0</v>
      </c>
      <c r="K348" s="300">
        <v>1.0</v>
      </c>
      <c r="L348" s="300">
        <v>1.0</v>
      </c>
      <c r="M348" s="300">
        <v>1.0</v>
      </c>
      <c r="N348" s="300">
        <v>8.0</v>
      </c>
      <c r="O348" s="300" t="s">
        <v>800</v>
      </c>
      <c r="P348" s="300">
        <v>2.0</v>
      </c>
    </row>
    <row r="349">
      <c r="A349">
        <f>IFERROR(__xludf.DUMMYFUNCTION("""COMPUTED_VALUE"""),11.0)</f>
        <v>11</v>
      </c>
      <c r="B349">
        <f>IFERROR(__xludf.DUMMYFUNCTION("""COMPUTED_VALUE"""),27003.0)</f>
        <v>27003</v>
      </c>
      <c r="C349" t="str">
        <f>IFERROR(__xludf.DUMMYFUNCTION("""COMPUTED_VALUE"""),"ANGEL GIRALDO, DANIELA")</f>
        <v>ANGEL GIRALDO, DANIELA</v>
      </c>
      <c r="D349" t="str">
        <f>IFERROR(__xludf.DUMMYFUNCTION("""COMPUTED_VALUE"""),"Art of Fiction Intermediate Level")</f>
        <v>Art of Fiction Intermediate Level</v>
      </c>
      <c r="E349" s="3">
        <f>IFERROR(__xludf.DUMMYFUNCTION("""COMPUTED_VALUE"""),6.0)</f>
        <v>6</v>
      </c>
      <c r="F349" s="300">
        <v>1.0</v>
      </c>
      <c r="G349" s="300">
        <v>1.0</v>
      </c>
      <c r="H349" s="300">
        <v>1.0</v>
      </c>
      <c r="I349" s="300">
        <v>1.0</v>
      </c>
      <c r="J349" s="300">
        <v>1.0</v>
      </c>
      <c r="K349" s="300">
        <v>1.0</v>
      </c>
      <c r="L349" s="300">
        <v>1.0</v>
      </c>
      <c r="M349" s="300">
        <v>1.0</v>
      </c>
      <c r="N349" s="300">
        <v>8.0</v>
      </c>
      <c r="O349" s="300" t="s">
        <v>797</v>
      </c>
      <c r="P349" s="300">
        <v>3.0</v>
      </c>
    </row>
    <row r="350">
      <c r="A350">
        <f>IFERROR(__xludf.DUMMYFUNCTION("""COMPUTED_VALUE"""),11.0)</f>
        <v>11</v>
      </c>
      <c r="B350">
        <f>IFERROR(__xludf.DUMMYFUNCTION("""COMPUTED_VALUE"""),27061.0)</f>
        <v>27061</v>
      </c>
      <c r="C350" t="str">
        <f>IFERROR(__xludf.DUMMYFUNCTION("""COMPUTED_VALUE"""),"MANTILLA LONDOÑO, EMILIO")</f>
        <v>MANTILLA LONDOÑO, EMILIO</v>
      </c>
      <c r="D350" t="str">
        <f>IFERROR(__xludf.DUMMYFUNCTION("""COMPUTED_VALUE"""),"Journalism Intermediate Level")</f>
        <v>Journalism Intermediate Level</v>
      </c>
      <c r="E350" s="3">
        <f>IFERROR(__xludf.DUMMYFUNCTION("""COMPUTED_VALUE"""),2.0)</f>
        <v>2</v>
      </c>
      <c r="F350" s="300">
        <v>1.0</v>
      </c>
      <c r="G350" s="300">
        <v>1.0</v>
      </c>
      <c r="H350" s="300">
        <v>1.0</v>
      </c>
      <c r="I350" s="300">
        <v>1.0</v>
      </c>
      <c r="J350" s="300">
        <v>1.0</v>
      </c>
      <c r="K350" s="300">
        <v>1.0</v>
      </c>
      <c r="L350" s="300">
        <v>1.0</v>
      </c>
      <c r="M350" s="300">
        <v>1.0</v>
      </c>
      <c r="N350" s="300">
        <v>8.0</v>
      </c>
      <c r="O350" s="300" t="s">
        <v>802</v>
      </c>
      <c r="P350" s="300">
        <v>2.0</v>
      </c>
    </row>
    <row r="351">
      <c r="A351">
        <f>IFERROR(__xludf.DUMMYFUNCTION("""COMPUTED_VALUE"""),11.0)</f>
        <v>11</v>
      </c>
      <c r="B351">
        <f>IFERROR(__xludf.DUMMYFUNCTION("""COMPUTED_VALUE"""),27028.0)</f>
        <v>27028</v>
      </c>
      <c r="C351" t="str">
        <f>IFERROR(__xludf.DUMMYFUNCTION("""COMPUTED_VALUE"""),"DUQUE LUENGAS, CAROLINA")</f>
        <v>DUQUE LUENGAS, CAROLINA</v>
      </c>
      <c r="D351" t="str">
        <f>IFERROR(__xludf.DUMMYFUNCTION("""COMPUTED_VALUE"""),"Journalism Intermediate Level")</f>
        <v>Journalism Intermediate Level</v>
      </c>
      <c r="E351" s="3">
        <f>IFERROR(__xludf.DUMMYFUNCTION("""COMPUTED_VALUE"""),3.0)</f>
        <v>3</v>
      </c>
      <c r="F351" s="300">
        <v>1.0</v>
      </c>
      <c r="G351" s="300">
        <v>1.0</v>
      </c>
      <c r="H351" s="300">
        <v>1.0</v>
      </c>
      <c r="I351" s="300">
        <v>1.0</v>
      </c>
      <c r="J351" s="300">
        <v>1.0</v>
      </c>
      <c r="K351" s="300">
        <v>1.0</v>
      </c>
      <c r="L351" s="300">
        <v>1.0</v>
      </c>
      <c r="M351" s="300">
        <v>1.0</v>
      </c>
      <c r="N351" s="300">
        <v>8.0</v>
      </c>
      <c r="O351" s="300" t="s">
        <v>800</v>
      </c>
      <c r="P351" s="300">
        <v>2.0</v>
      </c>
    </row>
    <row r="352">
      <c r="A352">
        <f>IFERROR(__xludf.DUMMYFUNCTION("""COMPUTED_VALUE"""),11.0)</f>
        <v>11</v>
      </c>
      <c r="B352">
        <f>IFERROR(__xludf.DUMMYFUNCTION("""COMPUTED_VALUE"""),27097.0)</f>
        <v>27097</v>
      </c>
      <c r="C352" t="str">
        <f>IFERROR(__xludf.DUMMYFUNCTION("""COMPUTED_VALUE"""),"ROBLEDO BETANCOURTH, JUAN FELIPE")</f>
        <v>ROBLEDO BETANCOURTH, JUAN FELIPE</v>
      </c>
      <c r="D352" t="str">
        <f>IFERROR(__xludf.DUMMYFUNCTION("""COMPUTED_VALUE"""),"AP English Language")</f>
        <v>AP English Language</v>
      </c>
      <c r="E352" s="3">
        <f>IFERROR(__xludf.DUMMYFUNCTION("""COMPUTED_VALUE"""),3.0)</f>
        <v>3</v>
      </c>
      <c r="F352" s="300">
        <v>1.0</v>
      </c>
      <c r="G352" s="300">
        <v>1.0</v>
      </c>
      <c r="H352" s="300">
        <v>1.0</v>
      </c>
      <c r="I352" s="300">
        <v>1.0</v>
      </c>
      <c r="J352" s="300">
        <v>1.0</v>
      </c>
      <c r="K352" s="300">
        <v>1.0</v>
      </c>
      <c r="L352" s="300">
        <v>1.0</v>
      </c>
      <c r="M352" s="300">
        <v>1.0</v>
      </c>
      <c r="N352" s="300">
        <v>8.0</v>
      </c>
      <c r="O352" s="300" t="s">
        <v>795</v>
      </c>
      <c r="P352" s="300">
        <v>2.0</v>
      </c>
    </row>
    <row r="353">
      <c r="A353">
        <f>IFERROR(__xludf.DUMMYFUNCTION("""COMPUTED_VALUE"""),11.0)</f>
        <v>11</v>
      </c>
      <c r="B353">
        <f>IFERROR(__xludf.DUMMYFUNCTION("""COMPUTED_VALUE"""),27116.0)</f>
        <v>27116</v>
      </c>
      <c r="C353" t="str">
        <f>IFERROR(__xludf.DUMMYFUNCTION("""COMPUTED_VALUE"""),"TRUJILLO CHICA, MANUELA")</f>
        <v>TRUJILLO CHICA, MANUELA</v>
      </c>
      <c r="D353" t="str">
        <f>IFERROR(__xludf.DUMMYFUNCTION("""COMPUTED_VALUE"""),"Art of Fiction Intermediate Level")</f>
        <v>Art of Fiction Intermediate Level</v>
      </c>
      <c r="E353" s="3">
        <f>IFERROR(__xludf.DUMMYFUNCTION("""COMPUTED_VALUE"""),4.0)</f>
        <v>4</v>
      </c>
      <c r="F353" s="300">
        <v>1.0</v>
      </c>
      <c r="G353" s="300">
        <v>1.0</v>
      </c>
      <c r="H353" s="300">
        <v>1.0</v>
      </c>
      <c r="I353" s="300">
        <v>1.0</v>
      </c>
      <c r="J353" s="300">
        <v>1.0</v>
      </c>
      <c r="K353" s="300">
        <v>1.0</v>
      </c>
      <c r="L353" s="300">
        <v>1.0</v>
      </c>
      <c r="M353" s="300">
        <v>1.0</v>
      </c>
      <c r="N353" s="300">
        <v>8.0</v>
      </c>
      <c r="O353" s="300" t="s">
        <v>803</v>
      </c>
      <c r="P353" s="300">
        <v>3.0</v>
      </c>
    </row>
    <row r="354">
      <c r="A354">
        <f>IFERROR(__xludf.DUMMYFUNCTION("""COMPUTED_VALUE"""),11.0)</f>
        <v>11</v>
      </c>
      <c r="B354">
        <f>IFERROR(__xludf.DUMMYFUNCTION("""COMPUTED_VALUE"""),27019.0)</f>
        <v>27019</v>
      </c>
      <c r="C354" t="str">
        <f>IFERROR(__xludf.DUMMYFUNCTION("""COMPUTED_VALUE"""),"BOTERO ESCOBAR, PEDRO")</f>
        <v>BOTERO ESCOBAR, PEDRO</v>
      </c>
      <c r="D354" t="str">
        <f>IFERROR(__xludf.DUMMYFUNCTION("""COMPUTED_VALUE"""),"Journalism Intermediate Level")</f>
        <v>Journalism Intermediate Level</v>
      </c>
      <c r="E354" s="3">
        <f>IFERROR(__xludf.DUMMYFUNCTION("""COMPUTED_VALUE"""),2.0)</f>
        <v>2</v>
      </c>
      <c r="F354" s="300">
        <v>1.0</v>
      </c>
      <c r="G354" s="300">
        <v>1.0</v>
      </c>
      <c r="H354" s="300">
        <v>1.0</v>
      </c>
      <c r="I354" s="300">
        <v>1.0</v>
      </c>
      <c r="J354" s="300">
        <v>1.0</v>
      </c>
      <c r="K354" s="300">
        <v>1.0</v>
      </c>
      <c r="L354" s="300">
        <v>1.0</v>
      </c>
      <c r="M354" s="300">
        <v>1.0</v>
      </c>
      <c r="N354" s="300">
        <v>8.0</v>
      </c>
      <c r="O354" s="300" t="s">
        <v>802</v>
      </c>
      <c r="P354" s="300">
        <v>2.0</v>
      </c>
    </row>
    <row r="355">
      <c r="A355">
        <f>IFERROR(__xludf.DUMMYFUNCTION("""COMPUTED_VALUE"""),11.0)</f>
        <v>11</v>
      </c>
      <c r="B355">
        <f>IFERROR(__xludf.DUMMYFUNCTION("""COMPUTED_VALUE"""),27052.0)</f>
        <v>27052</v>
      </c>
      <c r="C355" t="str">
        <f>IFERROR(__xludf.DUMMYFUNCTION("""COMPUTED_VALUE"""),"JARAMILLO CADAVID, GABRIEL")</f>
        <v>JARAMILLO CADAVID, GABRIEL</v>
      </c>
      <c r="D355" t="str">
        <f>IFERROR(__xludf.DUMMYFUNCTION("""COMPUTED_VALUE"""),"Journalism Intermediate Level")</f>
        <v>Journalism Intermediate Level</v>
      </c>
      <c r="E355" s="3">
        <f>IFERROR(__xludf.DUMMYFUNCTION("""COMPUTED_VALUE"""),3.0)</f>
        <v>3</v>
      </c>
      <c r="F355" s="300">
        <v>1.0</v>
      </c>
      <c r="G355" s="300">
        <v>1.0</v>
      </c>
      <c r="H355" s="300">
        <v>1.0</v>
      </c>
      <c r="I355" s="300">
        <v>1.0</v>
      </c>
      <c r="J355" s="300">
        <v>1.0</v>
      </c>
      <c r="K355" s="300">
        <v>1.0</v>
      </c>
      <c r="L355" s="300">
        <v>1.0</v>
      </c>
      <c r="M355" s="300">
        <v>1.0</v>
      </c>
      <c r="N355" s="300">
        <v>8.0</v>
      </c>
      <c r="O355" s="300" t="s">
        <v>800</v>
      </c>
      <c r="P355" s="300">
        <v>2.0</v>
      </c>
    </row>
    <row r="356">
      <c r="A356">
        <f>IFERROR(__xludf.DUMMYFUNCTION("""COMPUTED_VALUE"""),11.0)</f>
        <v>11</v>
      </c>
      <c r="B356">
        <f>IFERROR(__xludf.DUMMYFUNCTION("""COMPUTED_VALUE"""),27027.0)</f>
        <v>27027</v>
      </c>
      <c r="C356" t="str">
        <f>IFERROR(__xludf.DUMMYFUNCTION("""COMPUTED_VALUE"""),"DUQUE LOTERO, GREGORIO")</f>
        <v>DUQUE LOTERO, GREGORIO</v>
      </c>
      <c r="D356" t="str">
        <f>IFERROR(__xludf.DUMMYFUNCTION("""COMPUTED_VALUE"""),"Art of Fiction Intermediate Level")</f>
        <v>Art of Fiction Intermediate Level</v>
      </c>
      <c r="E356" s="3">
        <f>IFERROR(__xludf.DUMMYFUNCTION("""COMPUTED_VALUE"""),6.0)</f>
        <v>6</v>
      </c>
      <c r="F356" s="300">
        <v>1.0</v>
      </c>
      <c r="G356" s="300">
        <v>1.0</v>
      </c>
      <c r="H356" s="300">
        <v>1.0</v>
      </c>
      <c r="I356" s="300">
        <v>1.0</v>
      </c>
      <c r="J356" s="300">
        <v>1.0</v>
      </c>
      <c r="K356" s="300">
        <v>1.0</v>
      </c>
      <c r="L356" s="300">
        <v>1.0</v>
      </c>
      <c r="M356" s="300">
        <v>1.0</v>
      </c>
      <c r="N356" s="300">
        <v>8.0</v>
      </c>
      <c r="O356" s="300" t="s">
        <v>797</v>
      </c>
      <c r="P356" s="300">
        <v>3.0</v>
      </c>
    </row>
    <row r="357">
      <c r="A357">
        <f>IFERROR(__xludf.DUMMYFUNCTION("""COMPUTED_VALUE"""),11.0)</f>
        <v>11</v>
      </c>
      <c r="B357">
        <f>IFERROR(__xludf.DUMMYFUNCTION("""COMPUTED_VALUE"""),27110.0)</f>
        <v>27110</v>
      </c>
      <c r="C357" t="str">
        <f>IFERROR(__xludf.DUMMYFUNCTION("""COMPUTED_VALUE"""),"TABARES MORENO, PABLO ANDRES")</f>
        <v>TABARES MORENO, PABLO ANDRES</v>
      </c>
      <c r="D357" t="str">
        <f>IFERROR(__xludf.DUMMYFUNCTION("""COMPUTED_VALUE"""),"Art of Fiction Intermediate Level")</f>
        <v>Art of Fiction Intermediate Level</v>
      </c>
      <c r="E357" s="3">
        <f>IFERROR(__xludf.DUMMYFUNCTION("""COMPUTED_VALUE"""),6.0)</f>
        <v>6</v>
      </c>
      <c r="F357" s="300">
        <v>1.0</v>
      </c>
      <c r="G357" s="300">
        <v>1.0</v>
      </c>
      <c r="H357" s="300">
        <v>1.0</v>
      </c>
      <c r="I357" s="300">
        <v>1.0</v>
      </c>
      <c r="J357" s="300">
        <v>1.0</v>
      </c>
      <c r="K357" s="300">
        <v>1.0</v>
      </c>
      <c r="L357" s="300">
        <v>1.0</v>
      </c>
      <c r="M357" s="300">
        <v>1.0</v>
      </c>
      <c r="N357" s="300">
        <v>8.0</v>
      </c>
      <c r="O357" s="300" t="s">
        <v>797</v>
      </c>
      <c r="P357" s="300">
        <v>3.0</v>
      </c>
    </row>
    <row r="358">
      <c r="A358">
        <f>IFERROR(__xludf.DUMMYFUNCTION("""COMPUTED_VALUE"""),11.0)</f>
        <v>11</v>
      </c>
      <c r="B358">
        <f>IFERROR(__xludf.DUMMYFUNCTION("""COMPUTED_VALUE"""),27026.0)</f>
        <v>27026</v>
      </c>
      <c r="C358" t="str">
        <f>IFERROR(__xludf.DUMMYFUNCTION("""COMPUTED_VALUE"""),"CORREA MEJIA, AMALIA")</f>
        <v>CORREA MEJIA, AMALIA</v>
      </c>
      <c r="D358" t="str">
        <f>IFERROR(__xludf.DUMMYFUNCTION("""COMPUTED_VALUE"""),"Art of Fiction Intermediate Level")</f>
        <v>Art of Fiction Intermediate Level</v>
      </c>
      <c r="E358" s="3">
        <f>IFERROR(__xludf.DUMMYFUNCTION("""COMPUTED_VALUE"""),4.0)</f>
        <v>4</v>
      </c>
      <c r="F358" s="300">
        <v>1.0</v>
      </c>
      <c r="G358" s="300">
        <v>1.0</v>
      </c>
      <c r="H358" s="300">
        <v>1.0</v>
      </c>
      <c r="I358" s="300">
        <v>1.0</v>
      </c>
      <c r="J358" s="300">
        <v>1.0</v>
      </c>
      <c r="K358" s="300">
        <v>1.0</v>
      </c>
      <c r="L358" s="300">
        <v>1.0</v>
      </c>
      <c r="M358" s="300">
        <v>1.0</v>
      </c>
      <c r="N358" s="300">
        <v>8.0</v>
      </c>
      <c r="O358" s="300" t="s">
        <v>803</v>
      </c>
      <c r="P358" s="300">
        <v>3.0</v>
      </c>
    </row>
    <row r="359">
      <c r="A359">
        <f>IFERROR(__xludf.DUMMYFUNCTION("""COMPUTED_VALUE"""),11.0)</f>
        <v>11</v>
      </c>
      <c r="B359">
        <f>IFERROR(__xludf.DUMMYFUNCTION("""COMPUTED_VALUE"""),27079.0)</f>
        <v>27079</v>
      </c>
      <c r="C359" t="str">
        <f>IFERROR(__xludf.DUMMYFUNCTION("""COMPUTED_VALUE"""),"ORTEGA TOBON, ESTEBAN")</f>
        <v>ORTEGA TOBON, ESTEBAN</v>
      </c>
      <c r="D359" t="str">
        <f>IFERROR(__xludf.DUMMYFUNCTION("""COMPUTED_VALUE"""),"AP English Language")</f>
        <v>AP English Language</v>
      </c>
      <c r="E359" s="3">
        <f>IFERROR(__xludf.DUMMYFUNCTION("""COMPUTED_VALUE"""),7.0)</f>
        <v>7</v>
      </c>
      <c r="F359" s="300">
        <v>1.0</v>
      </c>
      <c r="G359" s="300">
        <v>1.0</v>
      </c>
      <c r="H359" s="300">
        <v>1.0</v>
      </c>
      <c r="I359" s="300">
        <v>1.0</v>
      </c>
      <c r="J359" s="300">
        <v>1.0</v>
      </c>
      <c r="K359" s="300">
        <v>1.0</v>
      </c>
      <c r="L359" s="300">
        <v>1.0</v>
      </c>
      <c r="M359" s="300">
        <v>1.0</v>
      </c>
      <c r="N359" s="300">
        <v>8.0</v>
      </c>
      <c r="O359" s="300" t="s">
        <v>794</v>
      </c>
      <c r="P359" s="300">
        <v>2.0</v>
      </c>
    </row>
    <row r="360">
      <c r="A360">
        <f>IFERROR(__xludf.DUMMYFUNCTION("""COMPUTED_VALUE"""),11.0)</f>
        <v>11</v>
      </c>
      <c r="B360">
        <f>IFERROR(__xludf.DUMMYFUNCTION("""COMPUTED_VALUE"""),27032.0)</f>
        <v>27032</v>
      </c>
      <c r="C360" t="str">
        <f>IFERROR(__xludf.DUMMYFUNCTION("""COMPUTED_VALUE"""),"ECHEVERRI ZAPATA, MATIAS")</f>
        <v>ECHEVERRI ZAPATA, MATIAS</v>
      </c>
      <c r="D360" t="str">
        <f>IFERROR(__xludf.DUMMYFUNCTION("""COMPUTED_VALUE"""),"AP English Language")</f>
        <v>AP English Language</v>
      </c>
      <c r="E360" s="3">
        <f>IFERROR(__xludf.DUMMYFUNCTION("""COMPUTED_VALUE"""),7.0)</f>
        <v>7</v>
      </c>
      <c r="F360" s="300">
        <v>1.0</v>
      </c>
      <c r="G360" s="300">
        <v>1.0</v>
      </c>
      <c r="H360" s="300">
        <v>1.0</v>
      </c>
      <c r="I360" s="300">
        <v>1.0</v>
      </c>
      <c r="J360" s="300">
        <v>1.0</v>
      </c>
      <c r="K360" s="300">
        <v>1.0</v>
      </c>
      <c r="L360" s="300">
        <v>1.0</v>
      </c>
      <c r="M360" s="300">
        <v>1.0</v>
      </c>
      <c r="N360" s="300">
        <v>8.0</v>
      </c>
      <c r="O360" s="300" t="s">
        <v>794</v>
      </c>
      <c r="P360" s="300">
        <v>2.0</v>
      </c>
    </row>
    <row r="361">
      <c r="A361">
        <f>IFERROR(__xludf.DUMMYFUNCTION("""COMPUTED_VALUE"""),11.0)</f>
        <v>11</v>
      </c>
      <c r="B361">
        <f>IFERROR(__xludf.DUMMYFUNCTION("""COMPUTED_VALUE"""),27174.0)</f>
        <v>27174</v>
      </c>
      <c r="C361" t="str">
        <f>IFERROR(__xludf.DUMMYFUNCTION("""COMPUTED_VALUE"""),"GAITAN, LUCIA")</f>
        <v>GAITAN, LUCIA</v>
      </c>
      <c r="D361" t="str">
        <f>IFERROR(__xludf.DUMMYFUNCTION("""COMPUTED_VALUE"""),"AP English Literature")</f>
        <v>AP English Literature</v>
      </c>
      <c r="E361" s="3">
        <f>IFERROR(__xludf.DUMMYFUNCTION("""COMPUTED_VALUE"""),4.0)</f>
        <v>4</v>
      </c>
      <c r="F361" s="300">
        <v>1.0</v>
      </c>
      <c r="G361" s="300">
        <v>1.0</v>
      </c>
      <c r="H361" s="300">
        <v>1.0</v>
      </c>
      <c r="I361" s="300">
        <v>1.0</v>
      </c>
      <c r="J361" s="300">
        <v>1.0</v>
      </c>
      <c r="K361" s="300">
        <v>1.0</v>
      </c>
      <c r="L361" s="300">
        <v>1.0</v>
      </c>
      <c r="M361" s="300">
        <v>1.0</v>
      </c>
      <c r="N361" s="300">
        <v>8.0</v>
      </c>
      <c r="O361" s="300" t="s">
        <v>796</v>
      </c>
      <c r="P361" s="300">
        <v>1.0</v>
      </c>
    </row>
    <row r="362">
      <c r="A362">
        <f>IFERROR(__xludf.DUMMYFUNCTION("""COMPUTED_VALUE"""),11.0)</f>
        <v>11</v>
      </c>
      <c r="B362">
        <f>IFERROR(__xludf.DUMMYFUNCTION("""COMPUTED_VALUE"""),27108.0)</f>
        <v>27108</v>
      </c>
      <c r="C362" t="str">
        <f>IFERROR(__xludf.DUMMYFUNCTION("""COMPUTED_VALUE"""),"SANTAMARIA VILLA, MARCO")</f>
        <v>SANTAMARIA VILLA, MARCO</v>
      </c>
      <c r="D362" t="str">
        <f>IFERROR(__xludf.DUMMYFUNCTION("""COMPUTED_VALUE"""),"Art of Fiction Intermediate Level")</f>
        <v>Art of Fiction Intermediate Level</v>
      </c>
      <c r="E362" s="3">
        <f>IFERROR(__xludf.DUMMYFUNCTION("""COMPUTED_VALUE"""),4.0)</f>
        <v>4</v>
      </c>
      <c r="F362" s="300">
        <v>1.0</v>
      </c>
      <c r="G362" s="300">
        <v>1.0</v>
      </c>
      <c r="H362" s="300">
        <v>1.0</v>
      </c>
      <c r="I362" s="300">
        <v>1.0</v>
      </c>
      <c r="J362" s="300">
        <v>1.0</v>
      </c>
      <c r="K362" s="300">
        <v>1.0</v>
      </c>
      <c r="L362" s="300">
        <v>1.0</v>
      </c>
      <c r="M362" s="300">
        <v>1.0</v>
      </c>
      <c r="N362" s="300">
        <v>8.0</v>
      </c>
      <c r="O362" s="300" t="s">
        <v>803</v>
      </c>
      <c r="P362" s="300">
        <v>3.0</v>
      </c>
    </row>
    <row r="363">
      <c r="A363">
        <f>IFERROR(__xludf.DUMMYFUNCTION("""COMPUTED_VALUE"""),11.0)</f>
        <v>11</v>
      </c>
      <c r="B363">
        <f>IFERROR(__xludf.DUMMYFUNCTION("""COMPUTED_VALUE"""),27010.0)</f>
        <v>27010</v>
      </c>
      <c r="C363" t="str">
        <f>IFERROR(__xludf.DUMMYFUNCTION("""COMPUTED_VALUE"""),"ARRUBLA OSPINA, MANOLO")</f>
        <v>ARRUBLA OSPINA, MANOLO</v>
      </c>
      <c r="D363" t="str">
        <f>IFERROR(__xludf.DUMMYFUNCTION("""COMPUTED_VALUE"""),"Art of Fiction Intermediate Level")</f>
        <v>Art of Fiction Intermediate Level</v>
      </c>
      <c r="E363" s="3">
        <f>IFERROR(__xludf.DUMMYFUNCTION("""COMPUTED_VALUE"""),6.0)</f>
        <v>6</v>
      </c>
      <c r="F363" s="300">
        <v>1.0</v>
      </c>
      <c r="G363" s="300">
        <v>1.0</v>
      </c>
      <c r="H363" s="300">
        <v>1.0</v>
      </c>
      <c r="I363" s="300">
        <v>1.0</v>
      </c>
      <c r="J363" s="300">
        <v>1.0</v>
      </c>
      <c r="K363" s="300">
        <v>1.0</v>
      </c>
      <c r="L363" s="300">
        <v>1.0</v>
      </c>
      <c r="M363" s="300">
        <v>1.0</v>
      </c>
      <c r="N363" s="300">
        <v>8.0</v>
      </c>
      <c r="O363" s="300" t="s">
        <v>797</v>
      </c>
      <c r="P363" s="300">
        <v>3.0</v>
      </c>
    </row>
    <row r="364">
      <c r="A364">
        <f>IFERROR(__xludf.DUMMYFUNCTION("""COMPUTED_VALUE"""),11.0)</f>
        <v>11</v>
      </c>
      <c r="B364">
        <f>IFERROR(__xludf.DUMMYFUNCTION("""COMPUTED_VALUE"""),27163.0)</f>
        <v>27163</v>
      </c>
      <c r="C364" t="str">
        <f>IFERROR(__xludf.DUMMYFUNCTION("""COMPUTED_VALUE"""),"NIEHAUS TRUJILLO, ARIANNA DE LOS ANGELES")</f>
        <v>NIEHAUS TRUJILLO, ARIANNA DE LOS ANGELES</v>
      </c>
      <c r="D364" t="str">
        <f>IFERROR(__xludf.DUMMYFUNCTION("""COMPUTED_VALUE"""),"Journalism Higher Level")</f>
        <v>Journalism Higher Level</v>
      </c>
      <c r="E364" s="3">
        <f>IFERROR(__xludf.DUMMYFUNCTION("""COMPUTED_VALUE"""),7.0)</f>
        <v>7</v>
      </c>
      <c r="F364" s="300">
        <v>1.0</v>
      </c>
      <c r="G364" s="300">
        <v>1.0</v>
      </c>
      <c r="H364" s="300">
        <v>1.0</v>
      </c>
      <c r="I364" s="300">
        <v>1.0</v>
      </c>
      <c r="J364" s="300">
        <v>1.0</v>
      </c>
      <c r="K364" s="300">
        <v>1.0</v>
      </c>
      <c r="L364" s="300">
        <v>1.0</v>
      </c>
      <c r="M364" s="300">
        <v>1.0</v>
      </c>
      <c r="N364" s="300">
        <v>8.0</v>
      </c>
      <c r="O364" s="300" t="s">
        <v>805</v>
      </c>
      <c r="P364" s="300">
        <v>3.0</v>
      </c>
    </row>
    <row r="365">
      <c r="A365">
        <f>IFERROR(__xludf.DUMMYFUNCTION("""COMPUTED_VALUE"""),11.0)</f>
        <v>11</v>
      </c>
      <c r="B365">
        <f>IFERROR(__xludf.DUMMYFUNCTION("""COMPUTED_VALUE"""),27141.0)</f>
        <v>27141</v>
      </c>
      <c r="C365" t="str">
        <f>IFERROR(__xludf.DUMMYFUNCTION("""COMPUTED_VALUE"""),"MEJIA RESTREPO, PABLO")</f>
        <v>MEJIA RESTREPO, PABLO</v>
      </c>
      <c r="D365" t="str">
        <f>IFERROR(__xludf.DUMMYFUNCTION("""COMPUTED_VALUE"""),"Art of Fiction Intermediate Level")</f>
        <v>Art of Fiction Intermediate Level</v>
      </c>
      <c r="E365" s="3">
        <f>IFERROR(__xludf.DUMMYFUNCTION("""COMPUTED_VALUE"""),6.0)</f>
        <v>6</v>
      </c>
      <c r="F365" s="300">
        <v>1.0</v>
      </c>
      <c r="G365" s="300">
        <v>1.0</v>
      </c>
      <c r="H365" s="300">
        <v>1.0</v>
      </c>
      <c r="I365" s="300">
        <v>1.0</v>
      </c>
      <c r="J365" s="300">
        <v>1.0</v>
      </c>
      <c r="K365" s="300">
        <v>1.0</v>
      </c>
      <c r="L365" s="300">
        <v>1.0</v>
      </c>
      <c r="M365" s="300">
        <v>1.0</v>
      </c>
      <c r="N365" s="300">
        <v>8.0</v>
      </c>
      <c r="O365" s="300" t="s">
        <v>797</v>
      </c>
      <c r="P365" s="300">
        <v>3.0</v>
      </c>
    </row>
    <row r="366">
      <c r="A366">
        <f>IFERROR(__xludf.DUMMYFUNCTION("""COMPUTED_VALUE"""),11.0)</f>
        <v>11</v>
      </c>
      <c r="B366">
        <f>IFERROR(__xludf.DUMMYFUNCTION("""COMPUTED_VALUE"""),27025.0)</f>
        <v>27025</v>
      </c>
      <c r="C366" t="str">
        <f>IFERROR(__xludf.DUMMYFUNCTION("""COMPUTED_VALUE"""),"COCK HENAO, MATIAS")</f>
        <v>COCK HENAO, MATIAS</v>
      </c>
      <c r="D366" t="str">
        <f>IFERROR(__xludf.DUMMYFUNCTION("""COMPUTED_VALUE"""),"Art of Fiction Intermediate Level")</f>
        <v>Art of Fiction Intermediate Level</v>
      </c>
      <c r="E366" s="3">
        <f>IFERROR(__xludf.DUMMYFUNCTION("""COMPUTED_VALUE"""),1.0)</f>
        <v>1</v>
      </c>
      <c r="F366" s="300">
        <v>1.0</v>
      </c>
      <c r="G366" s="300">
        <v>1.0</v>
      </c>
      <c r="H366" s="300">
        <v>1.0</v>
      </c>
      <c r="I366" s="300">
        <v>1.0</v>
      </c>
      <c r="J366" s="300">
        <v>1.0</v>
      </c>
      <c r="K366" s="300">
        <v>1.0</v>
      </c>
      <c r="L366" s="300">
        <v>1.0</v>
      </c>
      <c r="M366" s="300">
        <v>1.0</v>
      </c>
      <c r="N366" s="300">
        <v>8.0</v>
      </c>
      <c r="O366" s="300" t="s">
        <v>799</v>
      </c>
      <c r="P366" s="300">
        <v>3.0</v>
      </c>
    </row>
    <row r="367">
      <c r="A367">
        <f>IFERROR(__xludf.DUMMYFUNCTION("""COMPUTED_VALUE"""),11.0)</f>
        <v>11</v>
      </c>
      <c r="B367">
        <f>IFERROR(__xludf.DUMMYFUNCTION("""COMPUTED_VALUE"""),26009.0)</f>
        <v>26009</v>
      </c>
      <c r="C367" t="str">
        <f>IFERROR(__xludf.DUMMYFUNCTION("""COMPUTED_VALUE"""),"ARANGO NAVARRO, PEDRO")</f>
        <v>ARANGO NAVARRO, PEDRO</v>
      </c>
      <c r="D367" t="str">
        <f>IFERROR(__xludf.DUMMYFUNCTION("""COMPUTED_VALUE"""),"Art of Fiction Intermediate Level")</f>
        <v>Art of Fiction Intermediate Level</v>
      </c>
      <c r="E367" s="3">
        <f>IFERROR(__xludf.DUMMYFUNCTION("""COMPUTED_VALUE"""),6.0)</f>
        <v>6</v>
      </c>
      <c r="F367" s="300">
        <v>1.0</v>
      </c>
      <c r="G367" s="300">
        <v>1.0</v>
      </c>
      <c r="H367" s="300">
        <v>1.0</v>
      </c>
      <c r="I367" s="300">
        <v>1.0</v>
      </c>
      <c r="J367" s="300">
        <v>1.0</v>
      </c>
      <c r="K367" s="300">
        <v>1.0</v>
      </c>
      <c r="L367" s="300">
        <v>1.0</v>
      </c>
      <c r="M367" s="300">
        <v>1.0</v>
      </c>
      <c r="N367" s="300">
        <v>8.0</v>
      </c>
      <c r="O367" s="300" t="s">
        <v>797</v>
      </c>
      <c r="P367" s="300">
        <v>3.0</v>
      </c>
    </row>
    <row r="368">
      <c r="A368">
        <f>IFERROR(__xludf.DUMMYFUNCTION("""COMPUTED_VALUE"""),11.0)</f>
        <v>11</v>
      </c>
      <c r="B368">
        <f>IFERROR(__xludf.DUMMYFUNCTION("""COMPUTED_VALUE"""),27077.0)</f>
        <v>27077</v>
      </c>
      <c r="C368" t="str">
        <f>IFERROR(__xludf.DUMMYFUNCTION("""COMPUTED_VALUE"""),"MORENO MUNERA, MATILDA")</f>
        <v>MORENO MUNERA, MATILDA</v>
      </c>
      <c r="D368" t="str">
        <f>IFERROR(__xludf.DUMMYFUNCTION("""COMPUTED_VALUE"""),"Art of Fiction Intermediate Level")</f>
        <v>Art of Fiction Intermediate Level</v>
      </c>
      <c r="E368" s="3">
        <f>IFERROR(__xludf.DUMMYFUNCTION("""COMPUTED_VALUE"""),1.0)</f>
        <v>1</v>
      </c>
      <c r="F368" s="300">
        <v>1.0</v>
      </c>
      <c r="G368" s="300">
        <v>1.0</v>
      </c>
      <c r="H368" s="300">
        <v>1.0</v>
      </c>
      <c r="I368" s="300">
        <v>1.0</v>
      </c>
      <c r="J368" s="300">
        <v>1.0</v>
      </c>
      <c r="K368" s="300">
        <v>1.0</v>
      </c>
      <c r="L368" s="300">
        <v>1.0</v>
      </c>
      <c r="M368" s="300">
        <v>1.0</v>
      </c>
      <c r="N368" s="300">
        <v>8.0</v>
      </c>
      <c r="O368" s="300" t="s">
        <v>799</v>
      </c>
      <c r="P368" s="300">
        <v>3.0</v>
      </c>
    </row>
    <row r="369">
      <c r="A369">
        <f>IFERROR(__xludf.DUMMYFUNCTION("""COMPUTED_VALUE"""),11.0)</f>
        <v>11</v>
      </c>
      <c r="B369">
        <f>IFERROR(__xludf.DUMMYFUNCTION("""COMPUTED_VALUE"""),27098.0)</f>
        <v>27098</v>
      </c>
      <c r="C369" t="str">
        <f>IFERROR(__xludf.DUMMYFUNCTION("""COMPUTED_VALUE"""),"ROJAS LOPEZ, EMILIANA")</f>
        <v>ROJAS LOPEZ, EMILIANA</v>
      </c>
      <c r="D369" t="str">
        <f>IFERROR(__xludf.DUMMYFUNCTION("""COMPUTED_VALUE"""),"Journalism Higher Level")</f>
        <v>Journalism Higher Level</v>
      </c>
      <c r="E369" s="3">
        <f>IFERROR(__xludf.DUMMYFUNCTION("""COMPUTED_VALUE"""),8.0)</f>
        <v>8</v>
      </c>
      <c r="F369" s="300">
        <v>1.0</v>
      </c>
      <c r="G369" s="300">
        <v>1.0</v>
      </c>
      <c r="H369" s="300">
        <v>1.0</v>
      </c>
      <c r="I369" s="300">
        <v>1.0</v>
      </c>
      <c r="J369" s="300">
        <v>1.0</v>
      </c>
      <c r="K369" s="300">
        <v>1.0</v>
      </c>
      <c r="L369" s="300">
        <v>1.0</v>
      </c>
      <c r="M369" s="300">
        <v>1.0</v>
      </c>
      <c r="N369" s="300">
        <v>8.0</v>
      </c>
      <c r="O369" s="300" t="s">
        <v>806</v>
      </c>
      <c r="P369" s="300">
        <v>3.0</v>
      </c>
    </row>
    <row r="370">
      <c r="A370">
        <f>IFERROR(__xludf.DUMMYFUNCTION("""COMPUTED_VALUE"""),11.0)</f>
        <v>11</v>
      </c>
      <c r="B370">
        <f>IFERROR(__xludf.DUMMYFUNCTION("""COMPUTED_VALUE"""),27049.0)</f>
        <v>27049</v>
      </c>
      <c r="C370" t="str">
        <f>IFERROR(__xludf.DUMMYFUNCTION("""COMPUTED_VALUE"""),"HENAO RESTREPO, ELENA")</f>
        <v>HENAO RESTREPO, ELENA</v>
      </c>
      <c r="D370" t="str">
        <f>IFERROR(__xludf.DUMMYFUNCTION("""COMPUTED_VALUE"""),"Art of Fiction Intermediate Level")</f>
        <v>Art of Fiction Intermediate Level</v>
      </c>
      <c r="E370" s="3">
        <f>IFERROR(__xludf.DUMMYFUNCTION("""COMPUTED_VALUE"""),4.0)</f>
        <v>4</v>
      </c>
      <c r="F370" s="300">
        <v>1.0</v>
      </c>
      <c r="G370" s="300">
        <v>1.0</v>
      </c>
      <c r="H370" s="300">
        <v>1.0</v>
      </c>
      <c r="I370" s="300">
        <v>1.0</v>
      </c>
      <c r="J370" s="300">
        <v>1.0</v>
      </c>
      <c r="K370" s="300">
        <v>1.0</v>
      </c>
      <c r="L370" s="300">
        <v>1.0</v>
      </c>
      <c r="M370" s="300">
        <v>1.0</v>
      </c>
      <c r="N370" s="300">
        <v>8.0</v>
      </c>
      <c r="O370" s="300" t="s">
        <v>803</v>
      </c>
      <c r="P370" s="300">
        <v>3.0</v>
      </c>
    </row>
    <row r="371">
      <c r="A371">
        <f>IFERROR(__xludf.DUMMYFUNCTION("""COMPUTED_VALUE"""),11.0)</f>
        <v>11</v>
      </c>
      <c r="B371">
        <f>IFERROR(__xludf.DUMMYFUNCTION("""COMPUTED_VALUE"""),27066.0)</f>
        <v>27066</v>
      </c>
      <c r="C371" t="str">
        <f>IFERROR(__xludf.DUMMYFUNCTION("""COMPUTED_VALUE"""),"MEJIA URIBE, DANIEL")</f>
        <v>MEJIA URIBE, DANIEL</v>
      </c>
      <c r="D371" t="str">
        <f>IFERROR(__xludf.DUMMYFUNCTION("""COMPUTED_VALUE"""),"Journalism Higher Level")</f>
        <v>Journalism Higher Level</v>
      </c>
      <c r="E371" s="3">
        <f>IFERROR(__xludf.DUMMYFUNCTION("""COMPUTED_VALUE"""),3.0)</f>
        <v>3</v>
      </c>
      <c r="F371" s="300">
        <v>1.0</v>
      </c>
      <c r="G371" s="300">
        <v>1.0</v>
      </c>
      <c r="H371" s="300">
        <v>1.0</v>
      </c>
      <c r="I371" s="300">
        <v>1.0</v>
      </c>
      <c r="J371" s="300">
        <v>1.0</v>
      </c>
      <c r="K371" s="300">
        <v>1.0</v>
      </c>
      <c r="L371" s="300">
        <v>1.0</v>
      </c>
      <c r="M371" s="300">
        <v>1.0</v>
      </c>
      <c r="N371" s="300">
        <v>8.0</v>
      </c>
      <c r="O371" s="300" t="s">
        <v>798</v>
      </c>
      <c r="P371" s="300">
        <v>3.0</v>
      </c>
    </row>
    <row r="372">
      <c r="A372">
        <f>IFERROR(__xludf.DUMMYFUNCTION("""COMPUTED_VALUE"""),11.0)</f>
        <v>11</v>
      </c>
      <c r="B372">
        <f>IFERROR(__xludf.DUMMYFUNCTION("""COMPUTED_VALUE"""),27123.0)</f>
        <v>27123</v>
      </c>
      <c r="C372" t="str">
        <f>IFERROR(__xludf.DUMMYFUNCTION("""COMPUTED_VALUE"""),"VELEZ PODESTA, SIMON")</f>
        <v>VELEZ PODESTA, SIMON</v>
      </c>
      <c r="D372" t="str">
        <f>IFERROR(__xludf.DUMMYFUNCTION("""COMPUTED_VALUE"""),"Art of Fiction Intermediate Level")</f>
        <v>Art of Fiction Intermediate Level</v>
      </c>
      <c r="E372" s="3">
        <f>IFERROR(__xludf.DUMMYFUNCTION("""COMPUTED_VALUE"""),4.0)</f>
        <v>4</v>
      </c>
      <c r="F372" s="300">
        <v>1.0</v>
      </c>
      <c r="G372" s="300">
        <v>1.0</v>
      </c>
      <c r="H372" s="300">
        <v>1.0</v>
      </c>
      <c r="I372" s="300">
        <v>1.0</v>
      </c>
      <c r="J372" s="300">
        <v>1.0</v>
      </c>
      <c r="K372" s="300">
        <v>1.0</v>
      </c>
      <c r="L372" s="300">
        <v>1.0</v>
      </c>
      <c r="M372" s="300">
        <v>1.0</v>
      </c>
      <c r="N372" s="300">
        <v>8.0</v>
      </c>
      <c r="O372" s="300" t="s">
        <v>803</v>
      </c>
      <c r="P372" s="300">
        <v>3.0</v>
      </c>
    </row>
    <row r="373">
      <c r="A373">
        <f>IFERROR(__xludf.DUMMYFUNCTION("""COMPUTED_VALUE"""),11.0)</f>
        <v>11</v>
      </c>
      <c r="B373">
        <f>IFERROR(__xludf.DUMMYFUNCTION("""COMPUTED_VALUE"""),27109.0)</f>
        <v>27109</v>
      </c>
      <c r="C373" t="str">
        <f>IFERROR(__xludf.DUMMYFUNCTION("""COMPUTED_VALUE"""),"SIERRA TIRADO, PEDRO")</f>
        <v>SIERRA TIRADO, PEDRO</v>
      </c>
      <c r="D373" t="str">
        <f>IFERROR(__xludf.DUMMYFUNCTION("""COMPUTED_VALUE"""),"Art of Fiction Higher Level")</f>
        <v>Art of Fiction Higher Level</v>
      </c>
      <c r="E373" s="3">
        <f>IFERROR(__xludf.DUMMYFUNCTION("""COMPUTED_VALUE"""),8.0)</f>
        <v>8</v>
      </c>
      <c r="F373" s="300">
        <v>1.0</v>
      </c>
      <c r="G373" s="300">
        <v>1.0</v>
      </c>
      <c r="H373" s="300">
        <v>1.0</v>
      </c>
      <c r="I373" s="300">
        <v>1.0</v>
      </c>
      <c r="J373" s="300">
        <v>1.0</v>
      </c>
      <c r="K373" s="300">
        <v>1.0</v>
      </c>
      <c r="L373" s="300">
        <v>1.0</v>
      </c>
      <c r="M373" s="300">
        <v>1.0</v>
      </c>
      <c r="N373" s="300">
        <v>8.0</v>
      </c>
      <c r="O373" s="300" t="s">
        <v>804</v>
      </c>
      <c r="P373" s="300">
        <v>3.0</v>
      </c>
    </row>
    <row r="374">
      <c r="A374">
        <f>IFERROR(__xludf.DUMMYFUNCTION("""COMPUTED_VALUE"""),11.0)</f>
        <v>11</v>
      </c>
      <c r="B374">
        <f>IFERROR(__xludf.DUMMYFUNCTION("""COMPUTED_VALUE"""),27005.0)</f>
        <v>27005</v>
      </c>
      <c r="C374" t="str">
        <f>IFERROR(__xludf.DUMMYFUNCTION("""COMPUTED_VALUE"""),"ANGEL MESA, EMILIO")</f>
        <v>ANGEL MESA, EMILIO</v>
      </c>
      <c r="D374" t="str">
        <f>IFERROR(__xludf.DUMMYFUNCTION("""COMPUTED_VALUE"""),"AP English Language")</f>
        <v>AP English Language</v>
      </c>
      <c r="E374" s="3">
        <f>IFERROR(__xludf.DUMMYFUNCTION("""COMPUTED_VALUE"""),3.0)</f>
        <v>3</v>
      </c>
      <c r="F374" s="300">
        <v>1.0</v>
      </c>
      <c r="G374" s="300">
        <v>1.0</v>
      </c>
      <c r="H374" s="300">
        <v>1.0</v>
      </c>
      <c r="I374" s="300">
        <v>1.0</v>
      </c>
      <c r="J374" s="300">
        <v>1.0</v>
      </c>
      <c r="K374" s="300">
        <v>1.0</v>
      </c>
      <c r="L374" s="300">
        <v>1.0</v>
      </c>
      <c r="M374" s="300">
        <v>1.0</v>
      </c>
      <c r="N374" s="300">
        <v>8.0</v>
      </c>
      <c r="O374" s="300" t="s">
        <v>795</v>
      </c>
      <c r="P374" s="300">
        <v>2.0</v>
      </c>
    </row>
    <row r="375">
      <c r="A375">
        <f>IFERROR(__xludf.DUMMYFUNCTION("""COMPUTED_VALUE"""),11.0)</f>
        <v>11</v>
      </c>
      <c r="B375">
        <f>IFERROR(__xludf.DUMMYFUNCTION("""COMPUTED_VALUE"""),27111.0)</f>
        <v>27111</v>
      </c>
      <c r="C375" t="str">
        <f>IFERROR(__xludf.DUMMYFUNCTION("""COMPUTED_VALUE"""),"TOBON PEÑALOZA, MARTIN")</f>
        <v>TOBON PEÑALOZA, MARTIN</v>
      </c>
      <c r="D375" t="str">
        <f>IFERROR(__xludf.DUMMYFUNCTION("""COMPUTED_VALUE"""),"Journalism Intermediate Level")</f>
        <v>Journalism Intermediate Level</v>
      </c>
      <c r="E375" s="3">
        <f>IFERROR(__xludf.DUMMYFUNCTION("""COMPUTED_VALUE"""),3.0)</f>
        <v>3</v>
      </c>
      <c r="F375" s="300">
        <v>1.0</v>
      </c>
      <c r="G375" s="300">
        <v>1.0</v>
      </c>
      <c r="H375" s="300">
        <v>1.0</v>
      </c>
      <c r="I375" s="300">
        <v>1.0</v>
      </c>
      <c r="J375" s="300">
        <v>1.0</v>
      </c>
      <c r="K375" s="300">
        <v>1.0</v>
      </c>
      <c r="L375" s="300">
        <v>1.0</v>
      </c>
      <c r="M375" s="300">
        <v>1.0</v>
      </c>
      <c r="N375" s="300">
        <v>8.0</v>
      </c>
      <c r="O375" s="300" t="s">
        <v>800</v>
      </c>
      <c r="P375" s="300">
        <v>2.0</v>
      </c>
    </row>
    <row r="376">
      <c r="A376">
        <f>IFERROR(__xludf.DUMMYFUNCTION("""COMPUTED_VALUE"""),11.0)</f>
        <v>11</v>
      </c>
      <c r="B376">
        <f>IFERROR(__xludf.DUMMYFUNCTION("""COMPUTED_VALUE"""),27164.0)</f>
        <v>27164</v>
      </c>
      <c r="C376" t="str">
        <f>IFERROR(__xludf.DUMMYFUNCTION("""COMPUTED_VALUE"""),"JARAMILLO URIBE, MAR")</f>
        <v>JARAMILLO URIBE, MAR</v>
      </c>
      <c r="D376" t="str">
        <f>IFERROR(__xludf.DUMMYFUNCTION("""COMPUTED_VALUE"""),"Art of Fiction Higher Level")</f>
        <v>Art of Fiction Higher Level</v>
      </c>
      <c r="E376" s="3">
        <f>IFERROR(__xludf.DUMMYFUNCTION("""COMPUTED_VALUE"""),7.0)</f>
        <v>7</v>
      </c>
      <c r="F376" s="300">
        <v>1.0</v>
      </c>
      <c r="G376" s="300">
        <v>1.0</v>
      </c>
      <c r="H376" s="300">
        <v>1.0</v>
      </c>
      <c r="I376" s="300">
        <v>1.0</v>
      </c>
      <c r="J376" s="300">
        <v>1.0</v>
      </c>
      <c r="K376" s="300">
        <v>1.0</v>
      </c>
      <c r="L376" s="300">
        <v>1.0</v>
      </c>
      <c r="M376" s="300">
        <v>1.0</v>
      </c>
      <c r="N376" s="300">
        <v>8.0</v>
      </c>
      <c r="O376" s="300" t="s">
        <v>807</v>
      </c>
      <c r="P376" s="300">
        <v>3.0</v>
      </c>
    </row>
    <row r="377">
      <c r="A377">
        <f>IFERROR(__xludf.DUMMYFUNCTION("""COMPUTED_VALUE"""),11.0)</f>
        <v>11</v>
      </c>
      <c r="B377">
        <f>IFERROR(__xludf.DUMMYFUNCTION("""COMPUTED_VALUE"""),27037.0)</f>
        <v>27037</v>
      </c>
      <c r="C377" t="str">
        <f>IFERROR(__xludf.DUMMYFUNCTION("""COMPUTED_VALUE"""),"GALEANO SALAZAR, SARA")</f>
        <v>GALEANO SALAZAR, SARA</v>
      </c>
      <c r="D377" t="str">
        <f>IFERROR(__xludf.DUMMYFUNCTION("""COMPUTED_VALUE"""),"Journalism Higher Level")</f>
        <v>Journalism Higher Level</v>
      </c>
      <c r="E377" s="3">
        <f>IFERROR(__xludf.DUMMYFUNCTION("""COMPUTED_VALUE"""),7.0)</f>
        <v>7</v>
      </c>
      <c r="F377" s="300">
        <v>1.0</v>
      </c>
      <c r="G377" s="300">
        <v>1.0</v>
      </c>
      <c r="H377" s="300">
        <v>1.0</v>
      </c>
      <c r="I377" s="300">
        <v>1.0</v>
      </c>
      <c r="J377" s="300">
        <v>1.0</v>
      </c>
      <c r="K377" s="300">
        <v>1.0</v>
      </c>
      <c r="L377" s="300">
        <v>1.0</v>
      </c>
      <c r="M377" s="300">
        <v>1.0</v>
      </c>
      <c r="N377" s="300">
        <v>8.0</v>
      </c>
      <c r="O377" s="300" t="s">
        <v>805</v>
      </c>
      <c r="P377" s="300">
        <v>3.0</v>
      </c>
    </row>
    <row r="378">
      <c r="A378">
        <f>IFERROR(__xludf.DUMMYFUNCTION("""COMPUTED_VALUE"""),12.0)</f>
        <v>12</v>
      </c>
      <c r="B378">
        <f>IFERROR(__xludf.DUMMYFUNCTION("""COMPUTED_VALUE"""),25084.0)</f>
        <v>25084</v>
      </c>
      <c r="C378" t="str">
        <f>IFERROR(__xludf.DUMMYFUNCTION("""COMPUTED_VALUE"""),"PELAEZ KLINKERT, ALICIA")</f>
        <v>PELAEZ KLINKERT, ALICIA</v>
      </c>
      <c r="D378" t="str">
        <f>IFERROR(__xludf.DUMMYFUNCTION("""COMPUTED_VALUE"""),"Art of Fiction Higher Level")</f>
        <v>Art of Fiction Higher Level</v>
      </c>
      <c r="E378" s="3">
        <f>IFERROR(__xludf.DUMMYFUNCTION("""COMPUTED_VALUE"""),8.0)</f>
        <v>8</v>
      </c>
      <c r="F378" s="300">
        <v>1.0</v>
      </c>
      <c r="G378" s="300">
        <v>1.0</v>
      </c>
      <c r="H378" s="300">
        <v>1.0</v>
      </c>
      <c r="I378" s="300">
        <v>1.0</v>
      </c>
      <c r="J378" s="300">
        <v>1.0</v>
      </c>
      <c r="K378" s="300">
        <v>1.0</v>
      </c>
      <c r="L378" s="300">
        <v>1.0</v>
      </c>
      <c r="M378" s="300">
        <v>1.0</v>
      </c>
      <c r="N378" s="300">
        <v>8.0</v>
      </c>
      <c r="O378" s="300" t="s">
        <v>804</v>
      </c>
      <c r="P378" s="300">
        <v>3.0</v>
      </c>
    </row>
    <row r="379">
      <c r="A379">
        <f>IFERROR(__xludf.DUMMYFUNCTION("""COMPUTED_VALUE"""),12.0)</f>
        <v>12</v>
      </c>
      <c r="B379">
        <f>IFERROR(__xludf.DUMMYFUNCTION("""COMPUTED_VALUE"""),26105.0)</f>
        <v>26105</v>
      </c>
      <c r="C379" t="str">
        <f>IFERROR(__xludf.DUMMYFUNCTION("""COMPUTED_VALUE"""),"ROJAS LONDOÑO, SARA")</f>
        <v>ROJAS LONDOÑO, SARA</v>
      </c>
      <c r="D379" t="str">
        <f>IFERROR(__xludf.DUMMYFUNCTION("""COMPUTED_VALUE"""),"Art of Fiction Higher Level")</f>
        <v>Art of Fiction Higher Level</v>
      </c>
      <c r="E379" s="3">
        <f>IFERROR(__xludf.DUMMYFUNCTION("""COMPUTED_VALUE"""),1.0)</f>
        <v>1</v>
      </c>
      <c r="F379" s="300">
        <v>1.0</v>
      </c>
      <c r="G379" s="300">
        <v>1.0</v>
      </c>
      <c r="H379" s="300">
        <v>1.0</v>
      </c>
      <c r="I379" s="300">
        <v>1.0</v>
      </c>
      <c r="J379" s="300">
        <v>1.0</v>
      </c>
      <c r="K379" s="300">
        <v>1.0</v>
      </c>
      <c r="L379" s="300">
        <v>1.0</v>
      </c>
      <c r="M379" s="300">
        <v>1.0</v>
      </c>
      <c r="N379" s="300">
        <v>8.0</v>
      </c>
      <c r="O379" s="300" t="s">
        <v>801</v>
      </c>
      <c r="P379" s="300">
        <v>3.0</v>
      </c>
    </row>
    <row r="380">
      <c r="A380">
        <f>IFERROR(__xludf.DUMMYFUNCTION("""COMPUTED_VALUE"""),12.0)</f>
        <v>12</v>
      </c>
      <c r="B380">
        <f>IFERROR(__xludf.DUMMYFUNCTION("""COMPUTED_VALUE"""),26046.0)</f>
        <v>26046</v>
      </c>
      <c r="C380" t="str">
        <f>IFERROR(__xludf.DUMMYFUNCTION("""COMPUTED_VALUE"""),"HENAO GARZON, NICOLAS")</f>
        <v>HENAO GARZON, NICOLAS</v>
      </c>
      <c r="D380" t="str">
        <f>IFERROR(__xludf.DUMMYFUNCTION("""COMPUTED_VALUE"""),"Art of Fiction Higher Level")</f>
        <v>Art of Fiction Higher Level</v>
      </c>
      <c r="E380" s="3">
        <f>IFERROR(__xludf.DUMMYFUNCTION("""COMPUTED_VALUE"""),7.0)</f>
        <v>7</v>
      </c>
      <c r="F380" s="300">
        <v>1.0</v>
      </c>
      <c r="G380" s="300">
        <v>1.0</v>
      </c>
      <c r="H380" s="300">
        <v>1.0</v>
      </c>
      <c r="I380" s="300">
        <v>1.0</v>
      </c>
      <c r="J380" s="300">
        <v>1.0</v>
      </c>
      <c r="K380" s="300">
        <v>1.0</v>
      </c>
      <c r="L380" s="300">
        <v>1.0</v>
      </c>
      <c r="M380" s="300">
        <v>1.0</v>
      </c>
      <c r="N380" s="300">
        <v>8.0</v>
      </c>
      <c r="O380" s="300" t="s">
        <v>807</v>
      </c>
      <c r="P380" s="300">
        <v>3.0</v>
      </c>
    </row>
    <row r="381">
      <c r="A381">
        <f>IFERROR(__xludf.DUMMYFUNCTION("""COMPUTED_VALUE"""),12.0)</f>
        <v>12</v>
      </c>
      <c r="B381">
        <f>IFERROR(__xludf.DUMMYFUNCTION("""COMPUTED_VALUE"""),26165.0)</f>
        <v>26165</v>
      </c>
      <c r="C381" t="str">
        <f>IFERROR(__xludf.DUMMYFUNCTION("""COMPUTED_VALUE"""),"BURKHALTER, ISAAC STEPHEN")</f>
        <v>BURKHALTER, ISAAC STEPHEN</v>
      </c>
      <c r="D381" t="str">
        <f>IFERROR(__xludf.DUMMYFUNCTION("""COMPUTED_VALUE"""),"Art of Fiction Higher Level")</f>
        <v>Art of Fiction Higher Level</v>
      </c>
      <c r="E381" s="3">
        <f>IFERROR(__xludf.DUMMYFUNCTION("""COMPUTED_VALUE"""),7.0)</f>
        <v>7</v>
      </c>
      <c r="F381" s="300">
        <v>1.0</v>
      </c>
      <c r="G381" s="300">
        <v>1.0</v>
      </c>
      <c r="H381" s="300">
        <v>1.0</v>
      </c>
      <c r="I381" s="300">
        <v>1.0</v>
      </c>
      <c r="J381" s="300">
        <v>1.0</v>
      </c>
      <c r="K381" s="300">
        <v>1.0</v>
      </c>
      <c r="L381" s="300">
        <v>1.0</v>
      </c>
      <c r="M381" s="300">
        <v>1.0</v>
      </c>
      <c r="N381" s="300">
        <v>8.0</v>
      </c>
      <c r="O381" s="300" t="s">
        <v>807</v>
      </c>
      <c r="P381" s="300">
        <v>3.0</v>
      </c>
    </row>
    <row r="382">
      <c r="A382">
        <f>IFERROR(__xludf.DUMMYFUNCTION("""COMPUTED_VALUE"""),12.0)</f>
        <v>12</v>
      </c>
      <c r="B382">
        <f>IFERROR(__xludf.DUMMYFUNCTION("""COMPUTED_VALUE"""),26120.0)</f>
        <v>26120</v>
      </c>
      <c r="C382" t="str">
        <f>IFERROR(__xludf.DUMMYFUNCTION("""COMPUTED_VALUE"""),"VERGARA ROZO, JERONIMO")</f>
        <v>VERGARA ROZO, JERONIMO</v>
      </c>
      <c r="D382" t="str">
        <f>IFERROR(__xludf.DUMMYFUNCTION("""COMPUTED_VALUE"""),"Art of Fiction Higher Level")</f>
        <v>Art of Fiction Higher Level</v>
      </c>
      <c r="E382" s="3">
        <f>IFERROR(__xludf.DUMMYFUNCTION("""COMPUTED_VALUE"""),7.0)</f>
        <v>7</v>
      </c>
      <c r="F382" s="300">
        <v>1.0</v>
      </c>
      <c r="G382" s="300">
        <v>1.0</v>
      </c>
      <c r="H382" s="300">
        <v>1.0</v>
      </c>
      <c r="I382" s="300">
        <v>1.0</v>
      </c>
      <c r="J382" s="300">
        <v>1.0</v>
      </c>
      <c r="K382" s="300">
        <v>1.0</v>
      </c>
      <c r="L382" s="300">
        <v>1.0</v>
      </c>
      <c r="M382" s="300">
        <v>1.0</v>
      </c>
      <c r="N382" s="300">
        <v>8.0</v>
      </c>
      <c r="O382" s="300" t="s">
        <v>807</v>
      </c>
      <c r="P382" s="300">
        <v>3.0</v>
      </c>
    </row>
    <row r="383">
      <c r="A383">
        <f>IFERROR(__xludf.DUMMYFUNCTION("""COMPUTED_VALUE"""),12.0)</f>
        <v>12</v>
      </c>
      <c r="B383">
        <f>IFERROR(__xludf.DUMMYFUNCTION("""COMPUTED_VALUE"""),26130.0)</f>
        <v>26130</v>
      </c>
      <c r="C383" t="str">
        <f>IFERROR(__xludf.DUMMYFUNCTION("""COMPUTED_VALUE"""),"IBAÑEZ MONTOYA, DANIEL")</f>
        <v>IBAÑEZ MONTOYA, DANIEL</v>
      </c>
      <c r="D383" t="str">
        <f>IFERROR(__xludf.DUMMYFUNCTION("""COMPUTED_VALUE"""),"Art of Fiction Higher Level")</f>
        <v>Art of Fiction Higher Level</v>
      </c>
      <c r="E383" s="3">
        <f>IFERROR(__xludf.DUMMYFUNCTION("""COMPUTED_VALUE"""),8.0)</f>
        <v>8</v>
      </c>
      <c r="F383" s="300">
        <v>1.0</v>
      </c>
      <c r="G383" s="300">
        <v>1.0</v>
      </c>
      <c r="H383" s="300">
        <v>1.0</v>
      </c>
      <c r="I383" s="300">
        <v>1.0</v>
      </c>
      <c r="J383" s="300">
        <v>1.0</v>
      </c>
      <c r="K383" s="300">
        <v>1.0</v>
      </c>
      <c r="L383" s="300">
        <v>1.0</v>
      </c>
      <c r="M383" s="300">
        <v>1.0</v>
      </c>
      <c r="N383" s="300">
        <v>8.0</v>
      </c>
      <c r="O383" s="300" t="s">
        <v>804</v>
      </c>
      <c r="P383" s="300">
        <v>3.0</v>
      </c>
    </row>
    <row r="384">
      <c r="A384">
        <f>IFERROR(__xludf.DUMMYFUNCTION("""COMPUTED_VALUE"""),12.0)</f>
        <v>12</v>
      </c>
      <c r="B384">
        <f>IFERROR(__xludf.DUMMYFUNCTION("""COMPUTED_VALUE"""),26117.0)</f>
        <v>26117</v>
      </c>
      <c r="C384" t="str">
        <f>IFERROR(__xludf.DUMMYFUNCTION("""COMPUTED_VALUE"""),"VELEZ RESTREPO, LUCAS")</f>
        <v>VELEZ RESTREPO, LUCAS</v>
      </c>
      <c r="D384" t="str">
        <f>IFERROR(__xludf.DUMMYFUNCTION("""COMPUTED_VALUE"""),"AP English Literature")</f>
        <v>AP English Literature</v>
      </c>
      <c r="E384" s="3">
        <f>IFERROR(__xludf.DUMMYFUNCTION("""COMPUTED_VALUE"""),4.0)</f>
        <v>4</v>
      </c>
      <c r="F384" s="300">
        <v>1.0</v>
      </c>
      <c r="G384" s="300">
        <v>1.0</v>
      </c>
      <c r="H384" s="300">
        <v>1.0</v>
      </c>
      <c r="I384" s="300">
        <v>1.0</v>
      </c>
      <c r="J384" s="300">
        <v>1.0</v>
      </c>
      <c r="K384" s="300">
        <v>1.0</v>
      </c>
      <c r="L384" s="300">
        <v>1.0</v>
      </c>
      <c r="M384" s="300">
        <v>1.0</v>
      </c>
      <c r="N384" s="300">
        <v>8.0</v>
      </c>
      <c r="O384" s="300" t="s">
        <v>796</v>
      </c>
      <c r="P384" s="300">
        <v>1.0</v>
      </c>
    </row>
    <row r="385">
      <c r="A385">
        <f>IFERROR(__xludf.DUMMYFUNCTION("""COMPUTED_VALUE"""),12.0)</f>
        <v>12</v>
      </c>
      <c r="B385">
        <f>IFERROR(__xludf.DUMMYFUNCTION("""COMPUTED_VALUE"""),26168.0)</f>
        <v>26168</v>
      </c>
      <c r="C385" t="str">
        <f>IFERROR(__xludf.DUMMYFUNCTION("""COMPUTED_VALUE"""),"NARANJO ARANA, LETICIA")</f>
        <v>NARANJO ARANA, LETICIA</v>
      </c>
      <c r="D385" t="str">
        <f>IFERROR(__xludf.DUMMYFUNCTION("""COMPUTED_VALUE"""),"Art of Fiction Higher Level")</f>
        <v>Art of Fiction Higher Level</v>
      </c>
      <c r="E385" s="3">
        <f>IFERROR(__xludf.DUMMYFUNCTION("""COMPUTED_VALUE"""),7.0)</f>
        <v>7</v>
      </c>
      <c r="F385" s="300">
        <v>1.0</v>
      </c>
      <c r="G385" s="300">
        <v>1.0</v>
      </c>
      <c r="H385" s="300">
        <v>1.0</v>
      </c>
      <c r="I385" s="300">
        <v>1.0</v>
      </c>
      <c r="J385" s="300">
        <v>1.0</v>
      </c>
      <c r="K385" s="300">
        <v>1.0</v>
      </c>
      <c r="L385" s="300">
        <v>1.0</v>
      </c>
      <c r="M385" s="300">
        <v>1.0</v>
      </c>
      <c r="N385" s="300">
        <v>8.0</v>
      </c>
      <c r="O385" s="300" t="s">
        <v>807</v>
      </c>
      <c r="P385" s="300">
        <v>3.0</v>
      </c>
    </row>
    <row r="386">
      <c r="A386">
        <f>IFERROR(__xludf.DUMMYFUNCTION("""COMPUTED_VALUE"""),12.0)</f>
        <v>12</v>
      </c>
      <c r="B386">
        <f>IFERROR(__xludf.DUMMYFUNCTION("""COMPUTED_VALUE"""),26156.0)</f>
        <v>26156</v>
      </c>
      <c r="C386" t="str">
        <f>IFERROR(__xludf.DUMMYFUNCTION("""COMPUTED_VALUE"""),"CORTES CARDONA, MARIANA")</f>
        <v>CORTES CARDONA, MARIANA</v>
      </c>
      <c r="D386" t="str">
        <f>IFERROR(__xludf.DUMMYFUNCTION("""COMPUTED_VALUE"""),"Journalism Higher Level")</f>
        <v>Journalism Higher Level</v>
      </c>
      <c r="E386" s="3">
        <f>IFERROR(__xludf.DUMMYFUNCTION("""COMPUTED_VALUE"""),7.0)</f>
        <v>7</v>
      </c>
      <c r="F386" s="300">
        <v>1.0</v>
      </c>
      <c r="G386" s="300">
        <v>1.0</v>
      </c>
      <c r="H386" s="300">
        <v>1.0</v>
      </c>
      <c r="I386" s="300">
        <v>1.0</v>
      </c>
      <c r="J386" s="300">
        <v>1.0</v>
      </c>
      <c r="K386" s="300">
        <v>1.0</v>
      </c>
      <c r="L386" s="300">
        <v>1.0</v>
      </c>
      <c r="M386" s="300">
        <v>1.0</v>
      </c>
      <c r="N386" s="300">
        <v>8.0</v>
      </c>
      <c r="O386" s="300" t="s">
        <v>805</v>
      </c>
      <c r="P386" s="300">
        <v>3.0</v>
      </c>
    </row>
    <row r="387">
      <c r="A387">
        <f>IFERROR(__xludf.DUMMYFUNCTION("""COMPUTED_VALUE"""),12.0)</f>
        <v>12</v>
      </c>
      <c r="B387">
        <f>IFERROR(__xludf.DUMMYFUNCTION("""COMPUTED_VALUE"""),26127.0)</f>
        <v>26127</v>
      </c>
      <c r="C387" t="str">
        <f>IFERROR(__xludf.DUMMYFUNCTION("""COMPUTED_VALUE"""),"ZULOAGA AYUB, CAMILA")</f>
        <v>ZULOAGA AYUB, CAMILA</v>
      </c>
      <c r="D387" t="str">
        <f>IFERROR(__xludf.DUMMYFUNCTION("""COMPUTED_VALUE"""),"Art of Fiction Higher Level")</f>
        <v>Art of Fiction Higher Level</v>
      </c>
      <c r="E387" s="3">
        <f>IFERROR(__xludf.DUMMYFUNCTION("""COMPUTED_VALUE"""),8.0)</f>
        <v>8</v>
      </c>
      <c r="F387" s="300">
        <v>1.0</v>
      </c>
      <c r="G387" s="300">
        <v>1.0</v>
      </c>
      <c r="H387" s="300">
        <v>1.0</v>
      </c>
      <c r="I387" s="300">
        <v>1.0</v>
      </c>
      <c r="J387" s="300">
        <v>1.0</v>
      </c>
      <c r="K387" s="300">
        <v>1.0</v>
      </c>
      <c r="L387" s="300">
        <v>1.0</v>
      </c>
      <c r="M387" s="300">
        <v>1.0</v>
      </c>
      <c r="N387" s="300">
        <v>8.0</v>
      </c>
      <c r="O387" s="300" t="s">
        <v>804</v>
      </c>
      <c r="P387" s="300">
        <v>3.0</v>
      </c>
    </row>
    <row r="388">
      <c r="A388">
        <f>IFERROR(__xludf.DUMMYFUNCTION("""COMPUTED_VALUE"""),12.0)</f>
        <v>12</v>
      </c>
      <c r="B388">
        <f>IFERROR(__xludf.DUMMYFUNCTION("""COMPUTED_VALUE"""),26099.0)</f>
        <v>26099</v>
      </c>
      <c r="C388" t="str">
        <f>IFERROR(__xludf.DUMMYFUNCTION("""COMPUTED_VALUE"""),"RESTREPO RESTREPO, MAXIMILIANO")</f>
        <v>RESTREPO RESTREPO, MAXIMILIANO</v>
      </c>
      <c r="D388" t="str">
        <f>IFERROR(__xludf.DUMMYFUNCTION("""COMPUTED_VALUE"""),"Art of Fiction Higher Level")</f>
        <v>Art of Fiction Higher Level</v>
      </c>
      <c r="E388" s="3">
        <f>IFERROR(__xludf.DUMMYFUNCTION("""COMPUTED_VALUE"""),1.0)</f>
        <v>1</v>
      </c>
      <c r="F388" s="300">
        <v>1.0</v>
      </c>
      <c r="G388" s="300">
        <v>1.0</v>
      </c>
      <c r="H388" s="300">
        <v>1.0</v>
      </c>
      <c r="I388" s="300">
        <v>1.0</v>
      </c>
      <c r="J388" s="300">
        <v>1.0</v>
      </c>
      <c r="K388" s="300">
        <v>1.0</v>
      </c>
      <c r="L388" s="300">
        <v>1.0</v>
      </c>
      <c r="M388" s="300">
        <v>1.0</v>
      </c>
      <c r="N388" s="300">
        <v>8.0</v>
      </c>
      <c r="O388" s="300" t="s">
        <v>801</v>
      </c>
      <c r="P388" s="300">
        <v>3.0</v>
      </c>
    </row>
    <row r="389">
      <c r="A389">
        <f>IFERROR(__xludf.DUMMYFUNCTION("""COMPUTED_VALUE"""),12.0)</f>
        <v>12</v>
      </c>
      <c r="B389">
        <f>IFERROR(__xludf.DUMMYFUNCTION("""COMPUTED_VALUE"""),26043.0)</f>
        <v>26043</v>
      </c>
      <c r="C389" t="str">
        <f>IFERROR(__xludf.DUMMYFUNCTION("""COMPUTED_VALUE"""),"GONZALEZ MARIN, MATIAS")</f>
        <v>GONZALEZ MARIN, MATIAS</v>
      </c>
      <c r="D389" t="str">
        <f>IFERROR(__xludf.DUMMYFUNCTION("""COMPUTED_VALUE"""),"Art of Fiction Higher Level")</f>
        <v>Art of Fiction Higher Level</v>
      </c>
      <c r="E389" s="3">
        <f>IFERROR(__xludf.DUMMYFUNCTION("""COMPUTED_VALUE"""),1.0)</f>
        <v>1</v>
      </c>
      <c r="F389" s="300">
        <v>1.0</v>
      </c>
      <c r="G389" s="300">
        <v>1.0</v>
      </c>
      <c r="H389" s="300">
        <v>1.0</v>
      </c>
      <c r="I389" s="300">
        <v>1.0</v>
      </c>
      <c r="J389" s="300">
        <v>1.0</v>
      </c>
      <c r="K389" s="300">
        <v>1.0</v>
      </c>
      <c r="L389" s="300">
        <v>1.0</v>
      </c>
      <c r="M389" s="300">
        <v>1.0</v>
      </c>
      <c r="N389" s="300">
        <v>8.0</v>
      </c>
      <c r="O389" s="300" t="s">
        <v>801</v>
      </c>
      <c r="P389" s="300">
        <v>3.0</v>
      </c>
    </row>
    <row r="390">
      <c r="A390">
        <f>IFERROR(__xludf.DUMMYFUNCTION("""COMPUTED_VALUE"""),12.0)</f>
        <v>12</v>
      </c>
      <c r="B390">
        <f>IFERROR(__xludf.DUMMYFUNCTION("""COMPUTED_VALUE"""),26081.0)</f>
        <v>26081</v>
      </c>
      <c r="C390" t="str">
        <f>IFERROR(__xludf.DUMMYFUNCTION("""COMPUTED_VALUE"""),"OLAYA CARDENAS, SAMUEL")</f>
        <v>OLAYA CARDENAS, SAMUEL</v>
      </c>
      <c r="D390" t="str">
        <f>IFERROR(__xludf.DUMMYFUNCTION("""COMPUTED_VALUE"""),"Art of Fiction Higher Level")</f>
        <v>Art of Fiction Higher Level</v>
      </c>
      <c r="E390" s="3">
        <f>IFERROR(__xludf.DUMMYFUNCTION("""COMPUTED_VALUE"""),8.0)</f>
        <v>8</v>
      </c>
      <c r="F390" s="300">
        <v>1.0</v>
      </c>
      <c r="G390" s="300">
        <v>1.0</v>
      </c>
      <c r="H390" s="300">
        <v>1.0</v>
      </c>
      <c r="I390" s="300">
        <v>1.0</v>
      </c>
      <c r="J390" s="300">
        <v>1.0</v>
      </c>
      <c r="K390" s="300">
        <v>1.0</v>
      </c>
      <c r="L390" s="300">
        <v>1.0</v>
      </c>
      <c r="M390" s="300">
        <v>1.0</v>
      </c>
      <c r="N390" s="300">
        <v>8.0</v>
      </c>
      <c r="O390" s="300" t="s">
        <v>804</v>
      </c>
      <c r="P390" s="300">
        <v>3.0</v>
      </c>
    </row>
    <row r="391">
      <c r="A391">
        <f>IFERROR(__xludf.DUMMYFUNCTION("""COMPUTED_VALUE"""),12.0)</f>
        <v>12</v>
      </c>
      <c r="B391">
        <f>IFERROR(__xludf.DUMMYFUNCTION("""COMPUTED_VALUE"""),26115.0)</f>
        <v>26115</v>
      </c>
      <c r="C391" t="str">
        <f>IFERROR(__xludf.DUMMYFUNCTION("""COMPUTED_VALUE"""),"VELASQUEZ URIBE, JOSE MANUEL")</f>
        <v>VELASQUEZ URIBE, JOSE MANUEL</v>
      </c>
      <c r="D391" t="str">
        <f>IFERROR(__xludf.DUMMYFUNCTION("""COMPUTED_VALUE"""),"Journalism Higher Level")</f>
        <v>Journalism Higher Level</v>
      </c>
      <c r="E391" s="3">
        <f>IFERROR(__xludf.DUMMYFUNCTION("""COMPUTED_VALUE"""),7.0)</f>
        <v>7</v>
      </c>
      <c r="F391" s="300">
        <v>1.0</v>
      </c>
      <c r="G391" s="300">
        <v>1.0</v>
      </c>
      <c r="H391" s="300">
        <v>1.0</v>
      </c>
      <c r="I391" s="300">
        <v>1.0</v>
      </c>
      <c r="J391" s="300">
        <v>1.0</v>
      </c>
      <c r="K391" s="300">
        <v>1.0</v>
      </c>
      <c r="L391" s="300">
        <v>1.0</v>
      </c>
      <c r="M391" s="300">
        <v>1.0</v>
      </c>
      <c r="N391" s="300">
        <v>8.0</v>
      </c>
      <c r="O391" s="300" t="s">
        <v>805</v>
      </c>
      <c r="P391" s="300">
        <v>3.0</v>
      </c>
    </row>
    <row r="392">
      <c r="A392">
        <f>IFERROR(__xludf.DUMMYFUNCTION("""COMPUTED_VALUE"""),12.0)</f>
        <v>12</v>
      </c>
      <c r="B392">
        <f>IFERROR(__xludf.DUMMYFUNCTION("""COMPUTED_VALUE"""),26069.0)</f>
        <v>26069</v>
      </c>
      <c r="C392" t="str">
        <f>IFERROR(__xludf.DUMMYFUNCTION("""COMPUTED_VALUE"""),"MANTILLA DURANGO, VALERIA")</f>
        <v>MANTILLA DURANGO, VALERIA</v>
      </c>
      <c r="D392" t="str">
        <f>IFERROR(__xludf.DUMMYFUNCTION("""COMPUTED_VALUE"""),"AP English Language")</f>
        <v>AP English Language</v>
      </c>
      <c r="E392" s="3">
        <f>IFERROR(__xludf.DUMMYFUNCTION("""COMPUTED_VALUE"""),3.0)</f>
        <v>3</v>
      </c>
      <c r="F392" s="300">
        <v>1.0</v>
      </c>
      <c r="G392" s="300">
        <v>1.0</v>
      </c>
      <c r="H392" s="300">
        <v>1.0</v>
      </c>
      <c r="I392" s="300">
        <v>1.0</v>
      </c>
      <c r="J392" s="300">
        <v>1.0</v>
      </c>
      <c r="K392" s="300">
        <v>1.0</v>
      </c>
      <c r="L392" s="300">
        <v>1.0</v>
      </c>
      <c r="M392" s="300">
        <v>1.0</v>
      </c>
      <c r="N392" s="300">
        <v>8.0</v>
      </c>
      <c r="O392" s="300" t="s">
        <v>795</v>
      </c>
      <c r="P392" s="300">
        <v>2.0</v>
      </c>
    </row>
    <row r="393">
      <c r="A393">
        <f>IFERROR(__xludf.DUMMYFUNCTION("""COMPUTED_VALUE"""),12.0)</f>
        <v>12</v>
      </c>
      <c r="B393">
        <f>IFERROR(__xludf.DUMMYFUNCTION("""COMPUTED_VALUE"""),26103.0)</f>
        <v>26103</v>
      </c>
      <c r="C393" t="str">
        <f>IFERROR(__xludf.DUMMYFUNCTION("""COMPUTED_VALUE"""),"RODRIGUEZ OSORIO, JERONIMO")</f>
        <v>RODRIGUEZ OSORIO, JERONIMO</v>
      </c>
      <c r="D393" t="str">
        <f>IFERROR(__xludf.DUMMYFUNCTION("""COMPUTED_VALUE"""),"Art of Fiction Higher Level")</f>
        <v>Art of Fiction Higher Level</v>
      </c>
      <c r="E393" s="3">
        <f>IFERROR(__xludf.DUMMYFUNCTION("""COMPUTED_VALUE"""),1.0)</f>
        <v>1</v>
      </c>
      <c r="F393" s="300">
        <v>1.0</v>
      </c>
      <c r="G393" s="300">
        <v>1.0</v>
      </c>
      <c r="H393" s="300">
        <v>1.0</v>
      </c>
      <c r="I393" s="300">
        <v>1.0</v>
      </c>
      <c r="J393" s="300">
        <v>1.0</v>
      </c>
      <c r="K393" s="300">
        <v>1.0</v>
      </c>
      <c r="L393" s="300">
        <v>1.0</v>
      </c>
      <c r="M393" s="300">
        <v>1.0</v>
      </c>
      <c r="N393" s="300">
        <v>8.0</v>
      </c>
      <c r="O393" s="300" t="s">
        <v>801</v>
      </c>
      <c r="P393" s="300">
        <v>3.0</v>
      </c>
    </row>
    <row r="394">
      <c r="A394">
        <f>IFERROR(__xludf.DUMMYFUNCTION("""COMPUTED_VALUE"""),12.0)</f>
        <v>12</v>
      </c>
      <c r="B394">
        <f>IFERROR(__xludf.DUMMYFUNCTION("""COMPUTED_VALUE"""),26163.0)</f>
        <v>26163</v>
      </c>
      <c r="C394" t="str">
        <f>IFERROR(__xludf.DUMMYFUNCTION("""COMPUTED_VALUE"""),"SALAS VELEZ, AMELIA")</f>
        <v>SALAS VELEZ, AMELIA</v>
      </c>
      <c r="D394" t="str">
        <f>IFERROR(__xludf.DUMMYFUNCTION("""COMPUTED_VALUE"""),"AP English Literature")</f>
        <v>AP English Literature</v>
      </c>
      <c r="E394" s="3">
        <f>IFERROR(__xludf.DUMMYFUNCTION("""COMPUTED_VALUE"""),4.0)</f>
        <v>4</v>
      </c>
      <c r="F394" s="300">
        <v>1.0</v>
      </c>
      <c r="G394" s="300">
        <v>1.0</v>
      </c>
      <c r="H394" s="300">
        <v>1.0</v>
      </c>
      <c r="I394" s="300">
        <v>1.0</v>
      </c>
      <c r="J394" s="300">
        <v>1.0</v>
      </c>
      <c r="K394" s="300">
        <v>1.0</v>
      </c>
      <c r="L394" s="300">
        <v>1.0</v>
      </c>
      <c r="M394" s="300">
        <v>1.0</v>
      </c>
      <c r="N394" s="300">
        <v>8.0</v>
      </c>
      <c r="O394" s="300" t="s">
        <v>796</v>
      </c>
      <c r="P394" s="300">
        <v>1.0</v>
      </c>
    </row>
    <row r="395">
      <c r="A395">
        <f>IFERROR(__xludf.DUMMYFUNCTION("""COMPUTED_VALUE"""),12.0)</f>
        <v>12</v>
      </c>
      <c r="B395">
        <f>IFERROR(__xludf.DUMMYFUNCTION("""COMPUTED_VALUE"""),26118.0)</f>
        <v>26118</v>
      </c>
      <c r="C395" t="str">
        <f>IFERROR(__xludf.DUMMYFUNCTION("""COMPUTED_VALUE"""),"VELEZ ZAPATA, MANUELA")</f>
        <v>VELEZ ZAPATA, MANUELA</v>
      </c>
      <c r="D395" t="str">
        <f>IFERROR(__xludf.DUMMYFUNCTION("""COMPUTED_VALUE"""),"Art of Fiction Higher Level")</f>
        <v>Art of Fiction Higher Level</v>
      </c>
      <c r="E395" s="3">
        <f>IFERROR(__xludf.DUMMYFUNCTION("""COMPUTED_VALUE"""),8.0)</f>
        <v>8</v>
      </c>
      <c r="F395" s="300">
        <v>1.0</v>
      </c>
      <c r="G395" s="300">
        <v>1.0</v>
      </c>
      <c r="H395" s="300">
        <v>1.0</v>
      </c>
      <c r="I395" s="300">
        <v>1.0</v>
      </c>
      <c r="J395" s="300">
        <v>1.0</v>
      </c>
      <c r="K395" s="300">
        <v>1.0</v>
      </c>
      <c r="L395" s="300">
        <v>1.0</v>
      </c>
      <c r="M395" s="300">
        <v>1.0</v>
      </c>
      <c r="N395" s="300">
        <v>8.0</v>
      </c>
      <c r="O395" s="300" t="s">
        <v>804</v>
      </c>
      <c r="P395" s="300">
        <v>3.0</v>
      </c>
    </row>
    <row r="396">
      <c r="A396">
        <f>IFERROR(__xludf.DUMMYFUNCTION("""COMPUTED_VALUE"""),12.0)</f>
        <v>12</v>
      </c>
      <c r="B396">
        <f>IFERROR(__xludf.DUMMYFUNCTION("""COMPUTED_VALUE"""),26112.0)</f>
        <v>26112</v>
      </c>
      <c r="C396" t="str">
        <f>IFERROR(__xludf.DUMMYFUNCTION("""COMPUTED_VALUE"""),"URIBE FERNANDEZ, ANDRES")</f>
        <v>URIBE FERNANDEZ, ANDRES</v>
      </c>
      <c r="D396" t="str">
        <f>IFERROR(__xludf.DUMMYFUNCTION("""COMPUTED_VALUE"""),"Journalism Higher Level")</f>
        <v>Journalism Higher Level</v>
      </c>
      <c r="E396" s="3">
        <f>IFERROR(__xludf.DUMMYFUNCTION("""COMPUTED_VALUE"""),7.0)</f>
        <v>7</v>
      </c>
      <c r="F396" s="300">
        <v>1.0</v>
      </c>
      <c r="G396" s="300">
        <v>1.0</v>
      </c>
      <c r="H396" s="300">
        <v>1.0</v>
      </c>
      <c r="I396" s="300">
        <v>1.0</v>
      </c>
      <c r="J396" s="300">
        <v>1.0</v>
      </c>
      <c r="K396" s="300">
        <v>1.0</v>
      </c>
      <c r="L396" s="300">
        <v>1.0</v>
      </c>
      <c r="M396" s="300">
        <v>1.0</v>
      </c>
      <c r="N396" s="300">
        <v>8.0</v>
      </c>
      <c r="O396" s="300" t="s">
        <v>805</v>
      </c>
      <c r="P396" s="300">
        <v>3.0</v>
      </c>
    </row>
    <row r="397">
      <c r="A397">
        <f>IFERROR(__xludf.DUMMYFUNCTION("""COMPUTED_VALUE"""),12.0)</f>
        <v>12</v>
      </c>
      <c r="B397">
        <f>IFERROR(__xludf.DUMMYFUNCTION("""COMPUTED_VALUE"""),26006.0)</f>
        <v>26006</v>
      </c>
      <c r="C397" t="str">
        <f>IFERROR(__xludf.DUMMYFUNCTION("""COMPUTED_VALUE"""),"AMAR JARAMILLO, NICHOLAS")</f>
        <v>AMAR JARAMILLO, NICHOLAS</v>
      </c>
      <c r="D397" t="str">
        <f>IFERROR(__xludf.DUMMYFUNCTION("""COMPUTED_VALUE"""),"Art of Fiction Higher Level")</f>
        <v>Art of Fiction Higher Level</v>
      </c>
      <c r="E397" s="3">
        <f>IFERROR(__xludf.DUMMYFUNCTION("""COMPUTED_VALUE"""),7.0)</f>
        <v>7</v>
      </c>
      <c r="F397" s="300">
        <v>1.0</v>
      </c>
      <c r="G397" s="300">
        <v>1.0</v>
      </c>
      <c r="H397" s="300">
        <v>1.0</v>
      </c>
      <c r="I397" s="300">
        <v>1.0</v>
      </c>
      <c r="J397" s="300">
        <v>1.0</v>
      </c>
      <c r="K397" s="300">
        <v>1.0</v>
      </c>
      <c r="L397" s="300">
        <v>1.0</v>
      </c>
      <c r="M397" s="300">
        <v>1.0</v>
      </c>
      <c r="N397" s="300">
        <v>8.0</v>
      </c>
      <c r="O397" s="300" t="s">
        <v>807</v>
      </c>
      <c r="P397" s="300">
        <v>3.0</v>
      </c>
    </row>
    <row r="398">
      <c r="A398">
        <f>IFERROR(__xludf.DUMMYFUNCTION("""COMPUTED_VALUE"""),12.0)</f>
        <v>12</v>
      </c>
      <c r="B398">
        <f>IFERROR(__xludf.DUMMYFUNCTION("""COMPUTED_VALUE"""),26034.0)</f>
        <v>26034</v>
      </c>
      <c r="C398" t="str">
        <f>IFERROR(__xludf.DUMMYFUNCTION("""COMPUTED_VALUE"""),"GARCIA CORREA, MARIA CLARA")</f>
        <v>GARCIA CORREA, MARIA CLARA</v>
      </c>
      <c r="D398" t="str">
        <f>IFERROR(__xludf.DUMMYFUNCTION("""COMPUTED_VALUE"""),"Journalism Higher Level")</f>
        <v>Journalism Higher Level</v>
      </c>
      <c r="E398" s="3">
        <f>IFERROR(__xludf.DUMMYFUNCTION("""COMPUTED_VALUE"""),8.0)</f>
        <v>8</v>
      </c>
      <c r="F398" s="300">
        <v>1.0</v>
      </c>
      <c r="G398" s="300">
        <v>1.0</v>
      </c>
      <c r="H398" s="300">
        <v>1.0</v>
      </c>
      <c r="I398" s="300">
        <v>1.0</v>
      </c>
      <c r="J398" s="300">
        <v>1.0</v>
      </c>
      <c r="K398" s="300">
        <v>1.0</v>
      </c>
      <c r="L398" s="300">
        <v>1.0</v>
      </c>
      <c r="M398" s="300">
        <v>1.0</v>
      </c>
      <c r="N398" s="300">
        <v>8.0</v>
      </c>
      <c r="O398" s="300" t="s">
        <v>806</v>
      </c>
      <c r="P398" s="300">
        <v>3.0</v>
      </c>
    </row>
    <row r="399">
      <c r="A399">
        <f>IFERROR(__xludf.DUMMYFUNCTION("""COMPUTED_VALUE"""),12.0)</f>
        <v>12</v>
      </c>
      <c r="B399">
        <f>IFERROR(__xludf.DUMMYFUNCTION("""COMPUTED_VALUE"""),26028.0)</f>
        <v>26028</v>
      </c>
      <c r="C399" t="str">
        <f>IFERROR(__xludf.DUMMYFUNCTION("""COMPUTED_VALUE"""),"ESCOBAR BURGOS, SANTIAGO")</f>
        <v>ESCOBAR BURGOS, SANTIAGO</v>
      </c>
      <c r="D399" t="str">
        <f>IFERROR(__xludf.DUMMYFUNCTION("""COMPUTED_VALUE"""),"AP English Language")</f>
        <v>AP English Language</v>
      </c>
      <c r="E399" s="3">
        <f>IFERROR(__xludf.DUMMYFUNCTION("""COMPUTED_VALUE"""),7.0)</f>
        <v>7</v>
      </c>
      <c r="F399" s="300">
        <v>1.0</v>
      </c>
      <c r="G399" s="300">
        <v>1.0</v>
      </c>
      <c r="H399" s="300">
        <v>1.0</v>
      </c>
      <c r="I399" s="300">
        <v>1.0</v>
      </c>
      <c r="J399" s="300">
        <v>1.0</v>
      </c>
      <c r="K399" s="300">
        <v>1.0</v>
      </c>
      <c r="L399" s="300">
        <v>1.0</v>
      </c>
      <c r="M399" s="300">
        <v>1.0</v>
      </c>
      <c r="N399" s="300">
        <v>8.0</v>
      </c>
      <c r="O399" s="300" t="s">
        <v>794</v>
      </c>
      <c r="P399" s="300">
        <v>2.0</v>
      </c>
    </row>
    <row r="400">
      <c r="A400">
        <f>IFERROR(__xludf.DUMMYFUNCTION("""COMPUTED_VALUE"""),12.0)</f>
        <v>12</v>
      </c>
      <c r="B400">
        <f>IFERROR(__xludf.DUMMYFUNCTION("""COMPUTED_VALUE"""),26049.0)</f>
        <v>26049</v>
      </c>
      <c r="C400" t="str">
        <f>IFERROR(__xludf.DUMMYFUNCTION("""COMPUTED_VALUE"""),"HERRERA GOMEZ, MIGUEL")</f>
        <v>HERRERA GOMEZ, MIGUEL</v>
      </c>
      <c r="D400" t="str">
        <f>IFERROR(__xludf.DUMMYFUNCTION("""COMPUTED_VALUE"""),"AP English Language")</f>
        <v>AP English Language</v>
      </c>
      <c r="E400" s="3">
        <f>IFERROR(__xludf.DUMMYFUNCTION("""COMPUTED_VALUE"""),7.0)</f>
        <v>7</v>
      </c>
      <c r="F400" s="300">
        <v>1.0</v>
      </c>
      <c r="G400" s="300">
        <v>1.0</v>
      </c>
      <c r="H400" s="300">
        <v>1.0</v>
      </c>
      <c r="I400" s="300">
        <v>1.0</v>
      </c>
      <c r="J400" s="300">
        <v>1.0</v>
      </c>
      <c r="K400" s="300">
        <v>1.0</v>
      </c>
      <c r="L400" s="300">
        <v>1.0</v>
      </c>
      <c r="M400" s="300">
        <v>1.0</v>
      </c>
      <c r="N400" s="300">
        <v>8.0</v>
      </c>
      <c r="O400" s="300" t="s">
        <v>794</v>
      </c>
      <c r="P400" s="300">
        <v>2.0</v>
      </c>
    </row>
    <row r="401">
      <c r="A401">
        <f>IFERROR(__xludf.DUMMYFUNCTION("""COMPUTED_VALUE"""),12.0)</f>
        <v>12</v>
      </c>
      <c r="B401">
        <f>IFERROR(__xludf.DUMMYFUNCTION("""COMPUTED_VALUE"""),26044.0)</f>
        <v>26044</v>
      </c>
      <c r="C401" t="str">
        <f>IFERROR(__xludf.DUMMYFUNCTION("""COMPUTED_VALUE"""),"GONZALEZ NAVARRO, MIGUEL")</f>
        <v>GONZALEZ NAVARRO, MIGUEL</v>
      </c>
      <c r="D401" t="str">
        <f>IFERROR(__xludf.DUMMYFUNCTION("""COMPUTED_VALUE"""),"Journalism Higher Level")</f>
        <v>Journalism Higher Level</v>
      </c>
      <c r="E401" s="3">
        <f>IFERROR(__xludf.DUMMYFUNCTION("""COMPUTED_VALUE"""),3.0)</f>
        <v>3</v>
      </c>
      <c r="F401" s="300">
        <v>1.0</v>
      </c>
      <c r="G401" s="300">
        <v>1.0</v>
      </c>
      <c r="H401" s="300">
        <v>1.0</v>
      </c>
      <c r="I401" s="300">
        <v>1.0</v>
      </c>
      <c r="J401" s="300">
        <v>1.0</v>
      </c>
      <c r="K401" s="300">
        <v>1.0</v>
      </c>
      <c r="L401" s="300">
        <v>1.0</v>
      </c>
      <c r="M401" s="300">
        <v>1.0</v>
      </c>
      <c r="N401" s="300">
        <v>8.0</v>
      </c>
      <c r="O401" s="300" t="s">
        <v>798</v>
      </c>
      <c r="P401" s="300">
        <v>3.0</v>
      </c>
    </row>
    <row r="402">
      <c r="A402">
        <f>IFERROR(__xludf.DUMMYFUNCTION("""COMPUTED_VALUE"""),12.0)</f>
        <v>12</v>
      </c>
      <c r="B402">
        <f>IFERROR(__xludf.DUMMYFUNCTION("""COMPUTED_VALUE"""),26056.0)</f>
        <v>26056</v>
      </c>
      <c r="C402" t="str">
        <f>IFERROR(__xludf.DUMMYFUNCTION("""COMPUTED_VALUE"""),"ISAZA VELASQUEZ, SALOME")</f>
        <v>ISAZA VELASQUEZ, SALOME</v>
      </c>
      <c r="D402" t="str">
        <f>IFERROR(__xludf.DUMMYFUNCTION("""COMPUTED_VALUE"""),"Art of Fiction Higher Level")</f>
        <v>Art of Fiction Higher Level</v>
      </c>
      <c r="E402" s="3">
        <f>IFERROR(__xludf.DUMMYFUNCTION("""COMPUTED_VALUE"""),7.0)</f>
        <v>7</v>
      </c>
      <c r="F402" s="300">
        <v>1.0</v>
      </c>
      <c r="G402" s="300">
        <v>1.0</v>
      </c>
      <c r="H402" s="300">
        <v>1.0</v>
      </c>
      <c r="I402" s="300">
        <v>1.0</v>
      </c>
      <c r="J402" s="300">
        <v>1.0</v>
      </c>
      <c r="K402" s="300">
        <v>1.0</v>
      </c>
      <c r="L402" s="300">
        <v>1.0</v>
      </c>
      <c r="M402" s="300">
        <v>1.0</v>
      </c>
      <c r="N402" s="300">
        <v>8.0</v>
      </c>
      <c r="O402" s="300" t="s">
        <v>807</v>
      </c>
      <c r="P402" s="300">
        <v>3.0</v>
      </c>
    </row>
    <row r="403">
      <c r="A403">
        <f>IFERROR(__xludf.DUMMYFUNCTION("""COMPUTED_VALUE"""),12.0)</f>
        <v>12</v>
      </c>
      <c r="B403">
        <f>IFERROR(__xludf.DUMMYFUNCTION("""COMPUTED_VALUE"""),26001.0)</f>
        <v>26001</v>
      </c>
      <c r="C403" t="str">
        <f>IFERROR(__xludf.DUMMYFUNCTION("""COMPUTED_VALUE"""),"AARON VASQUEZ, MARIA DEL MAR")</f>
        <v>AARON VASQUEZ, MARIA DEL MAR</v>
      </c>
      <c r="D403" t="str">
        <f>IFERROR(__xludf.DUMMYFUNCTION("""COMPUTED_VALUE"""),"Journalism Higher Level")</f>
        <v>Journalism Higher Level</v>
      </c>
      <c r="E403" s="3">
        <f>IFERROR(__xludf.DUMMYFUNCTION("""COMPUTED_VALUE"""),8.0)</f>
        <v>8</v>
      </c>
      <c r="F403" s="300">
        <v>1.0</v>
      </c>
      <c r="G403" s="300">
        <v>1.0</v>
      </c>
      <c r="H403" s="300">
        <v>1.0</v>
      </c>
      <c r="I403" s="300">
        <v>1.0</v>
      </c>
      <c r="J403" s="300">
        <v>1.0</v>
      </c>
      <c r="K403" s="300">
        <v>1.0</v>
      </c>
      <c r="L403" s="300">
        <v>1.0</v>
      </c>
      <c r="M403" s="300">
        <v>1.0</v>
      </c>
      <c r="N403" s="300">
        <v>8.0</v>
      </c>
      <c r="O403" s="300" t="s">
        <v>806</v>
      </c>
      <c r="P403" s="300">
        <v>3.0</v>
      </c>
    </row>
    <row r="404">
      <c r="A404">
        <f>IFERROR(__xludf.DUMMYFUNCTION("""COMPUTED_VALUE"""),12.0)</f>
        <v>12</v>
      </c>
      <c r="B404">
        <f>IFERROR(__xludf.DUMMYFUNCTION("""COMPUTED_VALUE"""),26038.0)</f>
        <v>26038</v>
      </c>
      <c r="C404" t="str">
        <f>IFERROR(__xludf.DUMMYFUNCTION("""COMPUTED_VALUE"""),"GOMEZ LALINDE, SARA")</f>
        <v>GOMEZ LALINDE, SARA</v>
      </c>
      <c r="D404" t="str">
        <f>IFERROR(__xludf.DUMMYFUNCTION("""COMPUTED_VALUE"""),"Journalism Higher Level")</f>
        <v>Journalism Higher Level</v>
      </c>
      <c r="E404" s="3">
        <f>IFERROR(__xludf.DUMMYFUNCTION("""COMPUTED_VALUE"""),3.0)</f>
        <v>3</v>
      </c>
      <c r="F404" s="300">
        <v>1.0</v>
      </c>
      <c r="G404" s="300">
        <v>1.0</v>
      </c>
      <c r="H404" s="300">
        <v>1.0</v>
      </c>
      <c r="I404" s="300">
        <v>1.0</v>
      </c>
      <c r="J404" s="300">
        <v>1.0</v>
      </c>
      <c r="K404" s="300">
        <v>1.0</v>
      </c>
      <c r="L404" s="300">
        <v>1.0</v>
      </c>
      <c r="M404" s="300">
        <v>1.0</v>
      </c>
      <c r="N404" s="300">
        <v>8.0</v>
      </c>
      <c r="O404" s="300" t="s">
        <v>798</v>
      </c>
      <c r="P404" s="300">
        <v>3.0</v>
      </c>
    </row>
    <row r="405">
      <c r="A405">
        <f>IFERROR(__xludf.DUMMYFUNCTION("""COMPUTED_VALUE"""),12.0)</f>
        <v>12</v>
      </c>
      <c r="B405">
        <f>IFERROR(__xludf.DUMMYFUNCTION("""COMPUTED_VALUE"""),26088.0)</f>
        <v>26088</v>
      </c>
      <c r="C405" t="str">
        <f>IFERROR(__xludf.DUMMYFUNCTION("""COMPUTED_VALUE"""),"PEREZ ECHAVARRIA, SAMUEL")</f>
        <v>PEREZ ECHAVARRIA, SAMUEL</v>
      </c>
      <c r="D405" t="str">
        <f>IFERROR(__xludf.DUMMYFUNCTION("""COMPUTED_VALUE"""),"Journalism Higher Level")</f>
        <v>Journalism Higher Level</v>
      </c>
      <c r="E405" s="3">
        <f>IFERROR(__xludf.DUMMYFUNCTION("""COMPUTED_VALUE"""),7.0)</f>
        <v>7</v>
      </c>
      <c r="F405" s="300">
        <v>1.0</v>
      </c>
      <c r="G405" s="300">
        <v>1.0</v>
      </c>
      <c r="H405" s="300">
        <v>1.0</v>
      </c>
      <c r="I405" s="300">
        <v>1.0</v>
      </c>
      <c r="J405" s="300">
        <v>1.0</v>
      </c>
      <c r="K405" s="300">
        <v>1.0</v>
      </c>
      <c r="L405" s="300">
        <v>1.0</v>
      </c>
      <c r="M405" s="300">
        <v>1.0</v>
      </c>
      <c r="N405" s="300">
        <v>8.0</v>
      </c>
      <c r="O405" s="300" t="s">
        <v>805</v>
      </c>
      <c r="P405" s="300">
        <v>3.0</v>
      </c>
    </row>
    <row r="406">
      <c r="A406">
        <f>IFERROR(__xludf.DUMMYFUNCTION("""COMPUTED_VALUE"""),12.0)</f>
        <v>12</v>
      </c>
      <c r="B406">
        <f>IFERROR(__xludf.DUMMYFUNCTION("""COMPUTED_VALUE"""),26010.0)</f>
        <v>26010</v>
      </c>
      <c r="C406" t="str">
        <f>IFERROR(__xludf.DUMMYFUNCTION("""COMPUTED_VALUE"""),"ARISTIZABAL BOLIVAR, JUAN JOSE")</f>
        <v>ARISTIZABAL BOLIVAR, JUAN JOSE</v>
      </c>
      <c r="D406" t="str">
        <f>IFERROR(__xludf.DUMMYFUNCTION("""COMPUTED_VALUE"""),"Journalism Higher Level")</f>
        <v>Journalism Higher Level</v>
      </c>
      <c r="E406" s="3">
        <f>IFERROR(__xludf.DUMMYFUNCTION("""COMPUTED_VALUE"""),7.0)</f>
        <v>7</v>
      </c>
      <c r="F406" s="300">
        <v>1.0</v>
      </c>
      <c r="G406" s="300">
        <v>1.0</v>
      </c>
      <c r="H406" s="300">
        <v>1.0</v>
      </c>
      <c r="I406" s="300">
        <v>1.0</v>
      </c>
      <c r="J406" s="300">
        <v>1.0</v>
      </c>
      <c r="K406" s="300">
        <v>1.0</v>
      </c>
      <c r="L406" s="300">
        <v>1.0</v>
      </c>
      <c r="M406" s="300">
        <v>1.0</v>
      </c>
      <c r="N406" s="300">
        <v>8.0</v>
      </c>
      <c r="O406" s="300" t="s">
        <v>805</v>
      </c>
      <c r="P406" s="300">
        <v>3.0</v>
      </c>
    </row>
    <row r="407">
      <c r="A407">
        <f>IFERROR(__xludf.DUMMYFUNCTION("""COMPUTED_VALUE"""),12.0)</f>
        <v>12</v>
      </c>
      <c r="B407">
        <f>IFERROR(__xludf.DUMMYFUNCTION("""COMPUTED_VALUE"""),26077.0)</f>
        <v>26077</v>
      </c>
      <c r="C407" t="str">
        <f>IFERROR(__xludf.DUMMYFUNCTION("""COMPUTED_VALUE"""),"MORENO RESTREPO, PEDRO JUAN")</f>
        <v>MORENO RESTREPO, PEDRO JUAN</v>
      </c>
      <c r="D407" t="str">
        <f>IFERROR(__xludf.DUMMYFUNCTION("""COMPUTED_VALUE"""),"Art of Fiction Higher Level")</f>
        <v>Art of Fiction Higher Level</v>
      </c>
      <c r="E407" s="3">
        <f>IFERROR(__xludf.DUMMYFUNCTION("""COMPUTED_VALUE"""),1.0)</f>
        <v>1</v>
      </c>
      <c r="F407" s="300">
        <v>1.0</v>
      </c>
      <c r="G407" s="300">
        <v>1.0</v>
      </c>
      <c r="H407" s="300">
        <v>1.0</v>
      </c>
      <c r="I407" s="300">
        <v>1.0</v>
      </c>
      <c r="J407" s="300">
        <v>1.0</v>
      </c>
      <c r="K407" s="300">
        <v>1.0</v>
      </c>
      <c r="L407" s="300">
        <v>1.0</v>
      </c>
      <c r="M407" s="300">
        <v>1.0</v>
      </c>
      <c r="N407" s="300">
        <v>8.0</v>
      </c>
      <c r="O407" s="300" t="s">
        <v>801</v>
      </c>
      <c r="P407" s="300">
        <v>3.0</v>
      </c>
    </row>
    <row r="408">
      <c r="A408">
        <f>IFERROR(__xludf.DUMMYFUNCTION("""COMPUTED_VALUE"""),12.0)</f>
        <v>12</v>
      </c>
      <c r="B408">
        <f>IFERROR(__xludf.DUMMYFUNCTION("""COMPUTED_VALUE"""),26005.0)</f>
        <v>26005</v>
      </c>
      <c r="C408" t="str">
        <f>IFERROR(__xludf.DUMMYFUNCTION("""COMPUTED_VALUE"""),"ALVAREZ MOLINA, SOFIA")</f>
        <v>ALVAREZ MOLINA, SOFIA</v>
      </c>
      <c r="D408" t="str">
        <f>IFERROR(__xludf.DUMMYFUNCTION("""COMPUTED_VALUE"""),"Art of Fiction Higher Level")</f>
        <v>Art of Fiction Higher Level</v>
      </c>
      <c r="E408" s="3">
        <f>IFERROR(__xludf.DUMMYFUNCTION("""COMPUTED_VALUE"""),1.0)</f>
        <v>1</v>
      </c>
      <c r="F408" s="300">
        <v>1.0</v>
      </c>
      <c r="G408" s="300">
        <v>1.0</v>
      </c>
      <c r="H408" s="300">
        <v>1.0</v>
      </c>
      <c r="I408" s="300">
        <v>1.0</v>
      </c>
      <c r="J408" s="300">
        <v>1.0</v>
      </c>
      <c r="K408" s="300">
        <v>1.0</v>
      </c>
      <c r="L408" s="300">
        <v>1.0</v>
      </c>
      <c r="M408" s="300">
        <v>1.0</v>
      </c>
      <c r="N408" s="300">
        <v>8.0</v>
      </c>
      <c r="O408" s="300" t="s">
        <v>801</v>
      </c>
      <c r="P408" s="300">
        <v>3.0</v>
      </c>
    </row>
    <row r="409">
      <c r="A409">
        <f>IFERROR(__xludf.DUMMYFUNCTION("""COMPUTED_VALUE"""),12.0)</f>
        <v>12</v>
      </c>
      <c r="B409">
        <f>IFERROR(__xludf.DUMMYFUNCTION("""COMPUTED_VALUE"""),26124.0)</f>
        <v>26124</v>
      </c>
      <c r="C409" t="str">
        <f>IFERROR(__xludf.DUMMYFUNCTION("""COMPUTED_VALUE"""),"YEPES EUSSE, MATIAS")</f>
        <v>YEPES EUSSE, MATIAS</v>
      </c>
      <c r="D409" t="str">
        <f>IFERROR(__xludf.DUMMYFUNCTION("""COMPUTED_VALUE"""),"Art of Fiction Higher Level")</f>
        <v>Art of Fiction Higher Level</v>
      </c>
      <c r="E409" s="3">
        <f>IFERROR(__xludf.DUMMYFUNCTION("""COMPUTED_VALUE"""),7.0)</f>
        <v>7</v>
      </c>
      <c r="F409" s="300">
        <v>1.0</v>
      </c>
      <c r="G409" s="300">
        <v>1.0</v>
      </c>
      <c r="H409" s="300">
        <v>1.0</v>
      </c>
      <c r="I409" s="300">
        <v>1.0</v>
      </c>
      <c r="J409" s="300">
        <v>1.0</v>
      </c>
      <c r="K409" s="300">
        <v>1.0</v>
      </c>
      <c r="L409" s="300">
        <v>1.0</v>
      </c>
      <c r="M409" s="300">
        <v>1.0</v>
      </c>
      <c r="N409" s="300">
        <v>8.0</v>
      </c>
      <c r="O409" s="300" t="s">
        <v>807</v>
      </c>
      <c r="P409" s="300">
        <v>3.0</v>
      </c>
    </row>
    <row r="410">
      <c r="A410">
        <f>IFERROR(__xludf.DUMMYFUNCTION("""COMPUTED_VALUE"""),12.0)</f>
        <v>12</v>
      </c>
      <c r="B410">
        <f>IFERROR(__xludf.DUMMYFUNCTION("""COMPUTED_VALUE"""),26020.0)</f>
        <v>26020</v>
      </c>
      <c r="C410" t="str">
        <f>IFERROR(__xludf.DUMMYFUNCTION("""COMPUTED_VALUE"""),"CALDWELL VALLEJO, JACK")</f>
        <v>CALDWELL VALLEJO, JACK</v>
      </c>
      <c r="D410" t="str">
        <f>IFERROR(__xludf.DUMMYFUNCTION("""COMPUTED_VALUE"""),"Journalism Higher Level")</f>
        <v>Journalism Higher Level</v>
      </c>
      <c r="E410" s="3">
        <f>IFERROR(__xludf.DUMMYFUNCTION("""COMPUTED_VALUE"""),8.0)</f>
        <v>8</v>
      </c>
      <c r="F410" s="300">
        <v>1.0</v>
      </c>
      <c r="G410" s="300">
        <v>1.0</v>
      </c>
      <c r="H410" s="300">
        <v>1.0</v>
      </c>
      <c r="I410" s="300">
        <v>1.0</v>
      </c>
      <c r="J410" s="300">
        <v>1.0</v>
      </c>
      <c r="K410" s="300">
        <v>1.0</v>
      </c>
      <c r="L410" s="300">
        <v>1.0</v>
      </c>
      <c r="M410" s="300">
        <v>1.0</v>
      </c>
      <c r="N410" s="300">
        <v>8.0</v>
      </c>
      <c r="O410" s="300" t="s">
        <v>806</v>
      </c>
      <c r="P410" s="300">
        <v>3.0</v>
      </c>
    </row>
    <row r="411">
      <c r="A411">
        <f>IFERROR(__xludf.DUMMYFUNCTION("""COMPUTED_VALUE"""),12.0)</f>
        <v>12</v>
      </c>
      <c r="B411">
        <f>IFERROR(__xludf.DUMMYFUNCTION("""COMPUTED_VALUE"""),26068.0)</f>
        <v>26068</v>
      </c>
      <c r="C411" t="str">
        <f>IFERROR(__xludf.DUMMYFUNCTION("""COMPUTED_VALUE"""),"LOPEZ RODRIGUEZ, SARA")</f>
        <v>LOPEZ RODRIGUEZ, SARA</v>
      </c>
      <c r="D411" t="str">
        <f>IFERROR(__xludf.DUMMYFUNCTION("""COMPUTED_VALUE"""),"Art of Fiction Higher Level")</f>
        <v>Art of Fiction Higher Level</v>
      </c>
      <c r="E411" s="3">
        <f>IFERROR(__xludf.DUMMYFUNCTION("""COMPUTED_VALUE"""),1.0)</f>
        <v>1</v>
      </c>
      <c r="F411" s="300">
        <v>1.0</v>
      </c>
      <c r="G411" s="300">
        <v>1.0</v>
      </c>
      <c r="H411" s="300">
        <v>1.0</v>
      </c>
      <c r="I411" s="300">
        <v>1.0</v>
      </c>
      <c r="J411" s="300">
        <v>1.0</v>
      </c>
      <c r="K411" s="300">
        <v>1.0</v>
      </c>
      <c r="L411" s="300">
        <v>1.0</v>
      </c>
      <c r="M411" s="300">
        <v>1.0</v>
      </c>
      <c r="N411" s="300">
        <v>8.0</v>
      </c>
      <c r="O411" s="300" t="s">
        <v>801</v>
      </c>
      <c r="P411" s="300">
        <v>3.0</v>
      </c>
    </row>
    <row r="412">
      <c r="A412">
        <f>IFERROR(__xludf.DUMMYFUNCTION("""COMPUTED_VALUE"""),12.0)</f>
        <v>12</v>
      </c>
      <c r="B412">
        <f>IFERROR(__xludf.DUMMYFUNCTION("""COMPUTED_VALUE"""),26013.0)</f>
        <v>26013</v>
      </c>
      <c r="C412" t="str">
        <f>IFERROR(__xludf.DUMMYFUNCTION("""COMPUTED_VALUE"""),"BAQUERO GARCIA, ALICIA")</f>
        <v>BAQUERO GARCIA, ALICIA</v>
      </c>
      <c r="D412" t="str">
        <f>IFERROR(__xludf.DUMMYFUNCTION("""COMPUTED_VALUE"""),"Journalism Higher Level")</f>
        <v>Journalism Higher Level</v>
      </c>
      <c r="E412" s="3">
        <f>IFERROR(__xludf.DUMMYFUNCTION("""COMPUTED_VALUE"""),8.0)</f>
        <v>8</v>
      </c>
      <c r="F412" s="300">
        <v>1.0</v>
      </c>
      <c r="G412" s="300">
        <v>1.0</v>
      </c>
      <c r="H412" s="300">
        <v>1.0</v>
      </c>
      <c r="I412" s="300">
        <v>1.0</v>
      </c>
      <c r="J412" s="300">
        <v>1.0</v>
      </c>
      <c r="K412" s="300">
        <v>1.0</v>
      </c>
      <c r="L412" s="300">
        <v>1.0</v>
      </c>
      <c r="M412" s="300">
        <v>1.0</v>
      </c>
      <c r="N412" s="300">
        <v>8.0</v>
      </c>
      <c r="O412" s="300" t="s">
        <v>806</v>
      </c>
      <c r="P412" s="300">
        <v>3.0</v>
      </c>
    </row>
    <row r="413">
      <c r="A413">
        <f>IFERROR(__xludf.DUMMYFUNCTION("""COMPUTED_VALUE"""),12.0)</f>
        <v>12</v>
      </c>
      <c r="B413">
        <f>IFERROR(__xludf.DUMMYFUNCTION("""COMPUTED_VALUE"""),26159.0)</f>
        <v>26159</v>
      </c>
      <c r="C413" t="str">
        <f>IFERROR(__xludf.DUMMYFUNCTION("""COMPUTED_VALUE"""),"PETTERSSON VANEGAS, ANNIKA")</f>
        <v>PETTERSSON VANEGAS, ANNIKA</v>
      </c>
      <c r="D413" t="str">
        <f>IFERROR(__xludf.DUMMYFUNCTION("""COMPUTED_VALUE"""),"Art of Fiction Higher Level")</f>
        <v>Art of Fiction Higher Level</v>
      </c>
      <c r="E413" s="3">
        <f>IFERROR(__xludf.DUMMYFUNCTION("""COMPUTED_VALUE"""),1.0)</f>
        <v>1</v>
      </c>
      <c r="F413" s="300">
        <v>1.0</v>
      </c>
      <c r="G413" s="300">
        <v>1.0</v>
      </c>
      <c r="H413" s="300">
        <v>1.0</v>
      </c>
      <c r="I413" s="300">
        <v>1.0</v>
      </c>
      <c r="J413" s="300">
        <v>1.0</v>
      </c>
      <c r="K413" s="300">
        <v>1.0</v>
      </c>
      <c r="L413" s="300">
        <v>1.0</v>
      </c>
      <c r="M413" s="300">
        <v>1.0</v>
      </c>
      <c r="N413" s="300">
        <v>8.0</v>
      </c>
      <c r="O413" s="300" t="s">
        <v>801</v>
      </c>
      <c r="P413" s="300">
        <v>3.0</v>
      </c>
    </row>
    <row r="414">
      <c r="A414">
        <f>IFERROR(__xludf.DUMMYFUNCTION("""COMPUTED_VALUE"""),12.0)</f>
        <v>12</v>
      </c>
      <c r="B414">
        <f>IFERROR(__xludf.DUMMYFUNCTION("""COMPUTED_VALUE"""),26050.0)</f>
        <v>26050</v>
      </c>
      <c r="C414" t="str">
        <f>IFERROR(__xludf.DUMMYFUNCTION("""COMPUTED_VALUE"""),"HERRERA LONDOÑO, MANUELA")</f>
        <v>HERRERA LONDOÑO, MANUELA</v>
      </c>
      <c r="D414" t="str">
        <f>IFERROR(__xludf.DUMMYFUNCTION("""COMPUTED_VALUE"""),"Art of Fiction Higher Level")</f>
        <v>Art of Fiction Higher Level</v>
      </c>
      <c r="E414" s="3">
        <f>IFERROR(__xludf.DUMMYFUNCTION("""COMPUTED_VALUE"""),7.0)</f>
        <v>7</v>
      </c>
      <c r="F414" s="300">
        <v>1.0</v>
      </c>
      <c r="G414" s="300">
        <v>1.0</v>
      </c>
      <c r="H414" s="300">
        <v>1.0</v>
      </c>
      <c r="I414" s="300">
        <v>1.0</v>
      </c>
      <c r="J414" s="300">
        <v>1.0</v>
      </c>
      <c r="K414" s="300">
        <v>1.0</v>
      </c>
      <c r="L414" s="300">
        <v>1.0</v>
      </c>
      <c r="M414" s="300">
        <v>1.0</v>
      </c>
      <c r="N414" s="300">
        <v>8.0</v>
      </c>
      <c r="O414" s="300" t="s">
        <v>807</v>
      </c>
      <c r="P414" s="300">
        <v>3.0</v>
      </c>
    </row>
    <row r="415">
      <c r="A415">
        <f>IFERROR(__xludf.DUMMYFUNCTION("""COMPUTED_VALUE"""),12.0)</f>
        <v>12</v>
      </c>
      <c r="B415">
        <f>IFERROR(__xludf.DUMMYFUNCTION("""COMPUTED_VALUE"""),26054.0)</f>
        <v>26054</v>
      </c>
      <c r="C415" t="str">
        <f>IFERROR(__xludf.DUMMYFUNCTION("""COMPUTED_VALUE"""),"HOYOS GOMEZ, LUCIANA")</f>
        <v>HOYOS GOMEZ, LUCIANA</v>
      </c>
      <c r="D415" t="str">
        <f>IFERROR(__xludf.DUMMYFUNCTION("""COMPUTED_VALUE"""),"Journalism Higher Level")</f>
        <v>Journalism Higher Level</v>
      </c>
      <c r="E415" s="3">
        <f>IFERROR(__xludf.DUMMYFUNCTION("""COMPUTED_VALUE"""),7.0)</f>
        <v>7</v>
      </c>
      <c r="F415" s="300">
        <v>1.0</v>
      </c>
      <c r="G415" s="300">
        <v>1.0</v>
      </c>
      <c r="H415" s="300">
        <v>1.0</v>
      </c>
      <c r="I415" s="300">
        <v>1.0</v>
      </c>
      <c r="J415" s="300">
        <v>1.0</v>
      </c>
      <c r="K415" s="300">
        <v>1.0</v>
      </c>
      <c r="L415" s="300">
        <v>1.0</v>
      </c>
      <c r="M415" s="300">
        <v>1.0</v>
      </c>
      <c r="N415" s="300">
        <v>8.0</v>
      </c>
      <c r="O415" s="300" t="s">
        <v>805</v>
      </c>
      <c r="P415" s="300">
        <v>3.0</v>
      </c>
    </row>
    <row r="416">
      <c r="A416">
        <f>IFERROR(__xludf.DUMMYFUNCTION("""COMPUTED_VALUE"""),12.0)</f>
        <v>12</v>
      </c>
      <c r="B416">
        <f>IFERROR(__xludf.DUMMYFUNCTION("""COMPUTED_VALUE"""),26098.0)</f>
        <v>26098</v>
      </c>
      <c r="C416" t="str">
        <f>IFERROR(__xludf.DUMMYFUNCTION("""COMPUTED_VALUE"""),"RESTREPO OCHOA, EMMA")</f>
        <v>RESTREPO OCHOA, EMMA</v>
      </c>
      <c r="D416" t="str">
        <f>IFERROR(__xludf.DUMMYFUNCTION("""COMPUTED_VALUE"""),"Journalism Higher Level")</f>
        <v>Journalism Higher Level</v>
      </c>
      <c r="E416" s="3">
        <f>IFERROR(__xludf.DUMMYFUNCTION("""COMPUTED_VALUE"""),7.0)</f>
        <v>7</v>
      </c>
      <c r="F416" s="300">
        <v>1.0</v>
      </c>
      <c r="G416" s="300">
        <v>1.0</v>
      </c>
      <c r="H416" s="300">
        <v>1.0</v>
      </c>
      <c r="I416" s="300">
        <v>1.0</v>
      </c>
      <c r="J416" s="300">
        <v>1.0</v>
      </c>
      <c r="K416" s="300">
        <v>1.0</v>
      </c>
      <c r="L416" s="300">
        <v>1.0</v>
      </c>
      <c r="M416" s="300">
        <v>1.0</v>
      </c>
      <c r="N416" s="300">
        <v>8.0</v>
      </c>
      <c r="O416" s="300" t="s">
        <v>805</v>
      </c>
      <c r="P416" s="300">
        <v>3.0</v>
      </c>
    </row>
    <row r="417">
      <c r="A417">
        <f>IFERROR(__xludf.DUMMYFUNCTION("""COMPUTED_VALUE"""),12.0)</f>
        <v>12</v>
      </c>
      <c r="B417">
        <f>IFERROR(__xludf.DUMMYFUNCTION("""COMPUTED_VALUE"""),26084.0)</f>
        <v>26084</v>
      </c>
      <c r="C417" t="str">
        <f>IFERROR(__xludf.DUMMYFUNCTION("""COMPUTED_VALUE"""),"OSPINA RUIZ, PAULINA")</f>
        <v>OSPINA RUIZ, PAULINA</v>
      </c>
      <c r="D417" t="str">
        <f>IFERROR(__xludf.DUMMYFUNCTION("""COMPUTED_VALUE"""),"Journalism Higher Level")</f>
        <v>Journalism Higher Level</v>
      </c>
      <c r="E417" s="3">
        <f>IFERROR(__xludf.DUMMYFUNCTION("""COMPUTED_VALUE"""),7.0)</f>
        <v>7</v>
      </c>
      <c r="F417" s="300">
        <v>1.0</v>
      </c>
      <c r="G417" s="300">
        <v>1.0</v>
      </c>
      <c r="H417" s="300">
        <v>1.0</v>
      </c>
      <c r="I417" s="300">
        <v>1.0</v>
      </c>
      <c r="J417" s="300">
        <v>1.0</v>
      </c>
      <c r="K417" s="300">
        <v>1.0</v>
      </c>
      <c r="L417" s="300">
        <v>1.0</v>
      </c>
      <c r="M417" s="300">
        <v>1.0</v>
      </c>
      <c r="N417" s="300">
        <v>8.0</v>
      </c>
      <c r="O417" s="300" t="s">
        <v>805</v>
      </c>
      <c r="P417" s="300">
        <v>3.0</v>
      </c>
    </row>
    <row r="418">
      <c r="A418">
        <f>IFERROR(__xludf.DUMMYFUNCTION("""COMPUTED_VALUE"""),12.0)</f>
        <v>12</v>
      </c>
      <c r="B418">
        <f>IFERROR(__xludf.DUMMYFUNCTION("""COMPUTED_VALUE"""),26004.0)</f>
        <v>26004</v>
      </c>
      <c r="C418" t="str">
        <f>IFERROR(__xludf.DUMMYFUNCTION("""COMPUTED_VALUE"""),"ALVAREZ GOMEZ, EMILIANA")</f>
        <v>ALVAREZ GOMEZ, EMILIANA</v>
      </c>
      <c r="D418" t="str">
        <f>IFERROR(__xludf.DUMMYFUNCTION("""COMPUTED_VALUE"""),"Journalism Higher Level")</f>
        <v>Journalism Higher Level</v>
      </c>
      <c r="E418" s="3">
        <f>IFERROR(__xludf.DUMMYFUNCTION("""COMPUTED_VALUE"""),7.0)</f>
        <v>7</v>
      </c>
      <c r="F418" s="300">
        <v>1.0</v>
      </c>
      <c r="G418" s="300">
        <v>1.0</v>
      </c>
      <c r="H418" s="300">
        <v>1.0</v>
      </c>
      <c r="I418" s="300">
        <v>1.0</v>
      </c>
      <c r="J418" s="300">
        <v>1.0</v>
      </c>
      <c r="K418" s="300">
        <v>1.0</v>
      </c>
      <c r="L418" s="300">
        <v>1.0</v>
      </c>
      <c r="M418" s="300">
        <v>1.0</v>
      </c>
      <c r="N418" s="300">
        <v>8.0</v>
      </c>
      <c r="O418" s="300" t="s">
        <v>805</v>
      </c>
      <c r="P418" s="300">
        <v>3.0</v>
      </c>
    </row>
    <row r="419">
      <c r="A419">
        <f>IFERROR(__xludf.DUMMYFUNCTION("""COMPUTED_VALUE"""),12.0)</f>
        <v>12</v>
      </c>
      <c r="B419">
        <f>IFERROR(__xludf.DUMMYFUNCTION("""COMPUTED_VALUE"""),26085.0)</f>
        <v>26085</v>
      </c>
      <c r="C419" t="str">
        <f>IFERROR(__xludf.DUMMYFUNCTION("""COMPUTED_VALUE"""),"PALACIO RAMIREZ, SUSANA")</f>
        <v>PALACIO RAMIREZ, SUSANA</v>
      </c>
      <c r="D419" t="str">
        <f>IFERROR(__xludf.DUMMYFUNCTION("""COMPUTED_VALUE"""),"Art of Fiction Higher Level")</f>
        <v>Art of Fiction Higher Level</v>
      </c>
      <c r="E419" s="3">
        <f>IFERROR(__xludf.DUMMYFUNCTION("""COMPUTED_VALUE"""),7.0)</f>
        <v>7</v>
      </c>
      <c r="F419" s="300">
        <v>1.0</v>
      </c>
      <c r="G419" s="300">
        <v>1.0</v>
      </c>
      <c r="H419" s="300">
        <v>1.0</v>
      </c>
      <c r="I419" s="300">
        <v>1.0</v>
      </c>
      <c r="J419" s="300">
        <v>1.0</v>
      </c>
      <c r="K419" s="300">
        <v>1.0</v>
      </c>
      <c r="L419" s="300">
        <v>1.0</v>
      </c>
      <c r="M419" s="300">
        <v>1.0</v>
      </c>
      <c r="N419" s="300">
        <v>8.0</v>
      </c>
      <c r="O419" s="300" t="s">
        <v>807</v>
      </c>
      <c r="P419" s="300">
        <v>3.0</v>
      </c>
    </row>
    <row r="420">
      <c r="A420">
        <f>IFERROR(__xludf.DUMMYFUNCTION("""COMPUTED_VALUE"""),12.0)</f>
        <v>12</v>
      </c>
      <c r="B420">
        <f>IFERROR(__xludf.DUMMYFUNCTION("""COMPUTED_VALUE"""),26074.0)</f>
        <v>26074</v>
      </c>
      <c r="C420" t="str">
        <f>IFERROR(__xludf.DUMMYFUNCTION("""COMPUTED_VALUE"""),"MESA GIRALDO, MARIA JOSE")</f>
        <v>MESA GIRALDO, MARIA JOSE</v>
      </c>
      <c r="D420" t="str">
        <f>IFERROR(__xludf.DUMMYFUNCTION("""COMPUTED_VALUE"""),"Art of Fiction Higher Level")</f>
        <v>Art of Fiction Higher Level</v>
      </c>
      <c r="E420" s="3">
        <f>IFERROR(__xludf.DUMMYFUNCTION("""COMPUTED_VALUE"""),7.0)</f>
        <v>7</v>
      </c>
      <c r="F420" s="300">
        <v>1.0</v>
      </c>
      <c r="G420" s="300">
        <v>1.0</v>
      </c>
      <c r="H420" s="300">
        <v>1.0</v>
      </c>
      <c r="I420" s="300">
        <v>1.0</v>
      </c>
      <c r="J420" s="300">
        <v>1.0</v>
      </c>
      <c r="K420" s="300">
        <v>1.0</v>
      </c>
      <c r="L420" s="300">
        <v>1.0</v>
      </c>
      <c r="M420" s="300">
        <v>1.0</v>
      </c>
      <c r="N420" s="300">
        <v>8.0</v>
      </c>
      <c r="O420" s="300" t="s">
        <v>807</v>
      </c>
      <c r="P420" s="300">
        <v>3.0</v>
      </c>
    </row>
    <row r="421">
      <c r="A421">
        <f>IFERROR(__xludf.DUMMYFUNCTION("""COMPUTED_VALUE"""),12.0)</f>
        <v>12</v>
      </c>
      <c r="B421">
        <f>IFERROR(__xludf.DUMMYFUNCTION("""COMPUTED_VALUE"""),26146.0)</f>
        <v>26146</v>
      </c>
      <c r="C421" t="str">
        <f>IFERROR(__xludf.DUMMYFUNCTION("""COMPUTED_VALUE"""),"MOLINA CASAS, MARIA DEL MAR")</f>
        <v>MOLINA CASAS, MARIA DEL MAR</v>
      </c>
      <c r="D421" t="str">
        <f>IFERROR(__xludf.DUMMYFUNCTION("""COMPUTED_VALUE"""),"Art of Fiction Higher Level")</f>
        <v>Art of Fiction Higher Level</v>
      </c>
      <c r="E421" s="3">
        <f>IFERROR(__xludf.DUMMYFUNCTION("""COMPUTED_VALUE"""),1.0)</f>
        <v>1</v>
      </c>
      <c r="F421" s="300">
        <v>1.0</v>
      </c>
      <c r="G421" s="300">
        <v>1.0</v>
      </c>
      <c r="H421" s="300">
        <v>1.0</v>
      </c>
      <c r="I421" s="300">
        <v>1.0</v>
      </c>
      <c r="J421" s="300">
        <v>1.0</v>
      </c>
      <c r="K421" s="300">
        <v>1.0</v>
      </c>
      <c r="L421" s="300">
        <v>1.0</v>
      </c>
      <c r="M421" s="300">
        <v>1.0</v>
      </c>
      <c r="N421" s="300">
        <v>8.0</v>
      </c>
      <c r="O421" s="300" t="s">
        <v>801</v>
      </c>
      <c r="P421" s="300">
        <v>3.0</v>
      </c>
    </row>
    <row r="422">
      <c r="A422">
        <f>IFERROR(__xludf.DUMMYFUNCTION("""COMPUTED_VALUE"""),12.0)</f>
        <v>12</v>
      </c>
      <c r="B422">
        <f>IFERROR(__xludf.DUMMYFUNCTION("""COMPUTED_VALUE"""),26029.0)</f>
        <v>26029</v>
      </c>
      <c r="C422" t="str">
        <f>IFERROR(__xludf.DUMMYFUNCTION("""COMPUTED_VALUE"""),"FAJARDO YEPES, ELISA")</f>
        <v>FAJARDO YEPES, ELISA</v>
      </c>
      <c r="D422" t="str">
        <f>IFERROR(__xludf.DUMMYFUNCTION("""COMPUTED_VALUE"""),"Art of Fiction Higher Level")</f>
        <v>Art of Fiction Higher Level</v>
      </c>
      <c r="E422" s="3">
        <f>IFERROR(__xludf.DUMMYFUNCTION("""COMPUTED_VALUE"""),8.0)</f>
        <v>8</v>
      </c>
      <c r="F422" s="300">
        <v>1.0</v>
      </c>
      <c r="G422" s="300">
        <v>1.0</v>
      </c>
      <c r="H422" s="300">
        <v>1.0</v>
      </c>
      <c r="I422" s="300">
        <v>1.0</v>
      </c>
      <c r="J422" s="300">
        <v>1.0</v>
      </c>
      <c r="K422" s="300">
        <v>1.0</v>
      </c>
      <c r="L422" s="300">
        <v>1.0</v>
      </c>
      <c r="M422" s="300">
        <v>1.0</v>
      </c>
      <c r="N422" s="300">
        <v>8.0</v>
      </c>
      <c r="O422" s="300" t="s">
        <v>804</v>
      </c>
      <c r="P422" s="300">
        <v>3.0</v>
      </c>
    </row>
    <row r="423">
      <c r="A423">
        <f>IFERROR(__xludf.DUMMYFUNCTION("""COMPUTED_VALUE"""),12.0)</f>
        <v>12</v>
      </c>
      <c r="B423">
        <f>IFERROR(__xludf.DUMMYFUNCTION("""COMPUTED_VALUE"""),26092.0)</f>
        <v>26092</v>
      </c>
      <c r="C423" t="str">
        <f>IFERROR(__xludf.DUMMYFUNCTION("""COMPUTED_VALUE"""),"PLATA BOLAÑOS, SOFIA")</f>
        <v>PLATA BOLAÑOS, SOFIA</v>
      </c>
      <c r="D423" t="str">
        <f>IFERROR(__xludf.DUMMYFUNCTION("""COMPUTED_VALUE"""),"Art of Fiction Higher Level")</f>
        <v>Art of Fiction Higher Level</v>
      </c>
      <c r="E423" s="3">
        <f>IFERROR(__xludf.DUMMYFUNCTION("""COMPUTED_VALUE"""),1.0)</f>
        <v>1</v>
      </c>
      <c r="F423" s="300">
        <v>1.0</v>
      </c>
      <c r="G423" s="300">
        <v>1.0</v>
      </c>
      <c r="H423" s="300">
        <v>1.0</v>
      </c>
      <c r="I423" s="300">
        <v>1.0</v>
      </c>
      <c r="J423" s="300">
        <v>1.0</v>
      </c>
      <c r="K423" s="300">
        <v>1.0</v>
      </c>
      <c r="L423" s="300">
        <v>1.0</v>
      </c>
      <c r="M423" s="300">
        <v>1.0</v>
      </c>
      <c r="N423" s="300">
        <v>8.0</v>
      </c>
      <c r="O423" s="300" t="s">
        <v>801</v>
      </c>
      <c r="P423" s="300">
        <v>3.0</v>
      </c>
    </row>
    <row r="424">
      <c r="A424">
        <f>IFERROR(__xludf.DUMMYFUNCTION("""COMPUTED_VALUE"""),12.0)</f>
        <v>12</v>
      </c>
      <c r="B424">
        <f>IFERROR(__xludf.DUMMYFUNCTION("""COMPUTED_VALUE"""),26136.0)</f>
        <v>26136</v>
      </c>
      <c r="C424" t="str">
        <f>IFERROR(__xludf.DUMMYFUNCTION("""COMPUTED_VALUE"""),"VASQUEZ MUÑOZ, MANUELA")</f>
        <v>VASQUEZ MUÑOZ, MANUELA</v>
      </c>
      <c r="D424" t="str">
        <f>IFERROR(__xludf.DUMMYFUNCTION("""COMPUTED_VALUE"""),"Journalism Higher Level")</f>
        <v>Journalism Higher Level</v>
      </c>
      <c r="E424" s="3">
        <f>IFERROR(__xludf.DUMMYFUNCTION("""COMPUTED_VALUE"""),8.0)</f>
        <v>8</v>
      </c>
      <c r="F424" s="300">
        <v>1.0</v>
      </c>
      <c r="G424" s="300">
        <v>1.0</v>
      </c>
      <c r="H424" s="300">
        <v>1.0</v>
      </c>
      <c r="I424" s="300">
        <v>1.0</v>
      </c>
      <c r="J424" s="300">
        <v>1.0</v>
      </c>
      <c r="K424" s="300">
        <v>1.0</v>
      </c>
      <c r="L424" s="300">
        <v>1.0</v>
      </c>
      <c r="M424" s="300">
        <v>1.0</v>
      </c>
      <c r="N424" s="300">
        <v>8.0</v>
      </c>
      <c r="O424" s="300" t="s">
        <v>806</v>
      </c>
      <c r="P424" s="300">
        <v>3.0</v>
      </c>
    </row>
    <row r="425">
      <c r="A425">
        <f>IFERROR(__xludf.DUMMYFUNCTION("""COMPUTED_VALUE"""),12.0)</f>
        <v>12</v>
      </c>
      <c r="B425">
        <f>IFERROR(__xludf.DUMMYFUNCTION("""COMPUTED_VALUE"""),26170.0)</f>
        <v>26170</v>
      </c>
      <c r="C425" t="str">
        <f>IFERROR(__xludf.DUMMYFUNCTION("""COMPUTED_VALUE"""),"BOTERO SPERA, EMMA")</f>
        <v>BOTERO SPERA, EMMA</v>
      </c>
      <c r="D425" t="str">
        <f>IFERROR(__xludf.DUMMYFUNCTION("""COMPUTED_VALUE"""),"Art of Fiction Higher Level")</f>
        <v>Art of Fiction Higher Level</v>
      </c>
      <c r="E425" s="3">
        <f>IFERROR(__xludf.DUMMYFUNCTION("""COMPUTED_VALUE"""),7.0)</f>
        <v>7</v>
      </c>
      <c r="F425" s="300">
        <v>1.0</v>
      </c>
      <c r="G425" s="300">
        <v>1.0</v>
      </c>
      <c r="H425" s="300">
        <v>1.0</v>
      </c>
      <c r="I425" s="300">
        <v>1.0</v>
      </c>
      <c r="J425" s="300">
        <v>1.0</v>
      </c>
      <c r="K425" s="300">
        <v>1.0</v>
      </c>
      <c r="L425" s="300">
        <v>1.0</v>
      </c>
      <c r="M425" s="300">
        <v>1.0</v>
      </c>
      <c r="N425" s="300">
        <v>8.0</v>
      </c>
      <c r="O425" s="300" t="s">
        <v>807</v>
      </c>
      <c r="P425" s="300">
        <v>3.0</v>
      </c>
    </row>
    <row r="426">
      <c r="A426">
        <f>IFERROR(__xludf.DUMMYFUNCTION("""COMPUTED_VALUE"""),12.0)</f>
        <v>12</v>
      </c>
      <c r="B426">
        <f>IFERROR(__xludf.DUMMYFUNCTION("""COMPUTED_VALUE"""),26093.0)</f>
        <v>26093</v>
      </c>
      <c r="C426" t="str">
        <f>IFERROR(__xludf.DUMMYFUNCTION("""COMPUTED_VALUE"""),"PUERTA PAZ, JUANITA")</f>
        <v>PUERTA PAZ, JUANITA</v>
      </c>
      <c r="D426" t="str">
        <f>IFERROR(__xludf.DUMMYFUNCTION("""COMPUTED_VALUE"""),"AP English Literature")</f>
        <v>AP English Literature</v>
      </c>
      <c r="E426" s="3">
        <f>IFERROR(__xludf.DUMMYFUNCTION("""COMPUTED_VALUE"""),4.0)</f>
        <v>4</v>
      </c>
      <c r="F426" s="300">
        <v>1.0</v>
      </c>
      <c r="G426" s="300">
        <v>1.0</v>
      </c>
      <c r="H426" s="300">
        <v>1.0</v>
      </c>
      <c r="I426" s="300">
        <v>1.0</v>
      </c>
      <c r="J426" s="300">
        <v>1.0</v>
      </c>
      <c r="K426" s="300">
        <v>1.0</v>
      </c>
      <c r="L426" s="300">
        <v>1.0</v>
      </c>
      <c r="M426" s="300">
        <v>1.0</v>
      </c>
      <c r="N426" s="300">
        <v>8.0</v>
      </c>
      <c r="O426" s="300" t="s">
        <v>796</v>
      </c>
      <c r="P426" s="300">
        <v>1.0</v>
      </c>
    </row>
    <row r="427">
      <c r="A427">
        <f>IFERROR(__xludf.DUMMYFUNCTION("""COMPUTED_VALUE"""),12.0)</f>
        <v>12</v>
      </c>
      <c r="B427">
        <f>IFERROR(__xludf.DUMMYFUNCTION("""COMPUTED_VALUE"""),26055.0)</f>
        <v>26055</v>
      </c>
      <c r="C427" t="str">
        <f>IFERROR(__xludf.DUMMYFUNCTION("""COMPUTED_VALUE"""),"ISAZA CADAVID, RAQUEL")</f>
        <v>ISAZA CADAVID, RAQUEL</v>
      </c>
      <c r="D427" t="str">
        <f>IFERROR(__xludf.DUMMYFUNCTION("""COMPUTED_VALUE"""),"Journalism Higher Level")</f>
        <v>Journalism Higher Level</v>
      </c>
      <c r="E427" s="3">
        <f>IFERROR(__xludf.DUMMYFUNCTION("""COMPUTED_VALUE"""),3.0)</f>
        <v>3</v>
      </c>
      <c r="F427" s="300">
        <v>1.0</v>
      </c>
      <c r="G427" s="300">
        <v>1.0</v>
      </c>
      <c r="H427" s="300">
        <v>1.0</v>
      </c>
      <c r="I427" s="300">
        <v>1.0</v>
      </c>
      <c r="J427" s="300">
        <v>1.0</v>
      </c>
      <c r="K427" s="300">
        <v>1.0</v>
      </c>
      <c r="L427" s="300">
        <v>1.0</v>
      </c>
      <c r="M427" s="300">
        <v>1.0</v>
      </c>
      <c r="N427" s="300">
        <v>8.0</v>
      </c>
      <c r="O427" s="300" t="s">
        <v>798</v>
      </c>
      <c r="P427" s="300">
        <v>3.0</v>
      </c>
    </row>
    <row r="428">
      <c r="A428">
        <f>IFERROR(__xludf.DUMMYFUNCTION("""COMPUTED_VALUE"""),12.0)</f>
        <v>12</v>
      </c>
      <c r="B428">
        <f>IFERROR(__xludf.DUMMYFUNCTION("""COMPUTED_VALUE"""),26060.0)</f>
        <v>26060</v>
      </c>
      <c r="C428" t="str">
        <f>IFERROR(__xludf.DUMMYFUNCTION("""COMPUTED_VALUE"""),"JARAMILLO OSPINA, ANTONIA")</f>
        <v>JARAMILLO OSPINA, ANTONIA</v>
      </c>
      <c r="D428" t="str">
        <f>IFERROR(__xludf.DUMMYFUNCTION("""COMPUTED_VALUE"""),"Art of Fiction Higher Level")</f>
        <v>Art of Fiction Higher Level</v>
      </c>
      <c r="E428" s="3">
        <f>IFERROR(__xludf.DUMMYFUNCTION("""COMPUTED_VALUE"""),7.0)</f>
        <v>7</v>
      </c>
      <c r="F428" s="300">
        <v>1.0</v>
      </c>
      <c r="G428" s="300">
        <v>1.0</v>
      </c>
      <c r="H428" s="300">
        <v>1.0</v>
      </c>
      <c r="I428" s="300">
        <v>1.0</v>
      </c>
      <c r="J428" s="300">
        <v>1.0</v>
      </c>
      <c r="K428" s="300">
        <v>1.0</v>
      </c>
      <c r="L428" s="300">
        <v>1.0</v>
      </c>
      <c r="M428" s="300">
        <v>1.0</v>
      </c>
      <c r="N428" s="300">
        <v>8.0</v>
      </c>
      <c r="O428" s="300" t="s">
        <v>807</v>
      </c>
      <c r="P428" s="300">
        <v>3.0</v>
      </c>
    </row>
    <row r="429">
      <c r="A429">
        <f>IFERROR(__xludf.DUMMYFUNCTION("""COMPUTED_VALUE"""),12.0)</f>
        <v>12</v>
      </c>
      <c r="B429">
        <f>IFERROR(__xludf.DUMMYFUNCTION("""COMPUTED_VALUE"""),26134.0)</f>
        <v>26134</v>
      </c>
      <c r="C429" t="str">
        <f>IFERROR(__xludf.DUMMYFUNCTION("""COMPUTED_VALUE"""),"BOHORQUEZ GOMEZ, GABRIELA")</f>
        <v>BOHORQUEZ GOMEZ, GABRIELA</v>
      </c>
      <c r="D429" t="str">
        <f>IFERROR(__xludf.DUMMYFUNCTION("""COMPUTED_VALUE"""),"AP English Literature")</f>
        <v>AP English Literature</v>
      </c>
      <c r="E429" s="3">
        <f>IFERROR(__xludf.DUMMYFUNCTION("""COMPUTED_VALUE"""),4.0)</f>
        <v>4</v>
      </c>
      <c r="F429" s="300">
        <v>1.0</v>
      </c>
      <c r="G429" s="300">
        <v>1.0</v>
      </c>
      <c r="H429" s="300">
        <v>1.0</v>
      </c>
      <c r="I429" s="300">
        <v>1.0</v>
      </c>
      <c r="J429" s="300">
        <v>1.0</v>
      </c>
      <c r="K429" s="300">
        <v>1.0</v>
      </c>
      <c r="L429" s="300">
        <v>1.0</v>
      </c>
      <c r="M429" s="300">
        <v>1.0</v>
      </c>
      <c r="N429" s="300">
        <v>8.0</v>
      </c>
      <c r="O429" s="300" t="s">
        <v>796</v>
      </c>
      <c r="P429" s="300">
        <v>1.0</v>
      </c>
    </row>
    <row r="430">
      <c r="A430">
        <f>IFERROR(__xludf.DUMMYFUNCTION("""COMPUTED_VALUE"""),12.0)</f>
        <v>12</v>
      </c>
      <c r="B430">
        <f>IFERROR(__xludf.DUMMYFUNCTION("""COMPUTED_VALUE"""),26143.0)</f>
        <v>26143</v>
      </c>
      <c r="C430" t="str">
        <f>IFERROR(__xludf.DUMMYFUNCTION("""COMPUTED_VALUE"""),"BEDOYA JIMENEZ, SEBASTIAN")</f>
        <v>BEDOYA JIMENEZ, SEBASTIAN</v>
      </c>
      <c r="D430" t="str">
        <f>IFERROR(__xludf.DUMMYFUNCTION("""COMPUTED_VALUE"""),"Art of Fiction Higher Level")</f>
        <v>Art of Fiction Higher Level</v>
      </c>
      <c r="E430" s="3">
        <f>IFERROR(__xludf.DUMMYFUNCTION("""COMPUTED_VALUE"""),8.0)</f>
        <v>8</v>
      </c>
      <c r="F430" s="300">
        <v>1.0</v>
      </c>
      <c r="G430" s="300">
        <v>1.0</v>
      </c>
      <c r="H430" s="300">
        <v>1.0</v>
      </c>
      <c r="I430" s="300">
        <v>1.0</v>
      </c>
      <c r="J430" s="300">
        <v>1.0</v>
      </c>
      <c r="K430" s="300">
        <v>1.0</v>
      </c>
      <c r="L430" s="300">
        <v>1.0</v>
      </c>
      <c r="M430" s="300">
        <v>1.0</v>
      </c>
      <c r="N430" s="300">
        <v>8.0</v>
      </c>
      <c r="O430" s="300" t="s">
        <v>804</v>
      </c>
      <c r="P430" s="300">
        <v>3.0</v>
      </c>
    </row>
    <row r="431">
      <c r="A431">
        <f>IFERROR(__xludf.DUMMYFUNCTION("""COMPUTED_VALUE"""),12.0)</f>
        <v>12</v>
      </c>
      <c r="B431">
        <f>IFERROR(__xludf.DUMMYFUNCTION("""COMPUTED_VALUE"""),26063.0)</f>
        <v>26063</v>
      </c>
      <c r="C431" t="str">
        <f>IFERROR(__xludf.DUMMYFUNCTION("""COMPUTED_VALUE"""),"KIM LEE, SAE-YOUNG PABLO")</f>
        <v>KIM LEE, SAE-YOUNG PABLO</v>
      </c>
      <c r="D431" t="str">
        <f>IFERROR(__xludf.DUMMYFUNCTION("""COMPUTED_VALUE"""),"Art of Fiction Higher Level")</f>
        <v>Art of Fiction Higher Level</v>
      </c>
      <c r="E431" s="3">
        <f>IFERROR(__xludf.DUMMYFUNCTION("""COMPUTED_VALUE"""),7.0)</f>
        <v>7</v>
      </c>
      <c r="F431" s="300">
        <v>1.0</v>
      </c>
      <c r="G431" s="300">
        <v>1.0</v>
      </c>
      <c r="H431" s="300">
        <v>1.0</v>
      </c>
      <c r="I431" s="300">
        <v>1.0</v>
      </c>
      <c r="J431" s="300">
        <v>1.0</v>
      </c>
      <c r="K431" s="300">
        <v>1.0</v>
      </c>
      <c r="L431" s="300">
        <v>1.0</v>
      </c>
      <c r="M431" s="300">
        <v>1.0</v>
      </c>
      <c r="N431" s="300">
        <v>8.0</v>
      </c>
      <c r="O431" s="300" t="s">
        <v>807</v>
      </c>
      <c r="P431" s="300">
        <v>3.0</v>
      </c>
    </row>
    <row r="432">
      <c r="A432">
        <f>IFERROR(__xludf.DUMMYFUNCTION("""COMPUTED_VALUE"""),12.0)</f>
        <v>12</v>
      </c>
      <c r="B432">
        <f>IFERROR(__xludf.DUMMYFUNCTION("""COMPUTED_VALUE"""),26018.0)</f>
        <v>26018</v>
      </c>
      <c r="C432" t="str">
        <f>IFERROR(__xludf.DUMMYFUNCTION("""COMPUTED_VALUE"""),"BOTERO TOQUICA, REBECA")</f>
        <v>BOTERO TOQUICA, REBECA</v>
      </c>
      <c r="D432" t="str">
        <f>IFERROR(__xludf.DUMMYFUNCTION("""COMPUTED_VALUE"""),"Art of Fiction Higher Level")</f>
        <v>Art of Fiction Higher Level</v>
      </c>
      <c r="E432" s="3">
        <f>IFERROR(__xludf.DUMMYFUNCTION("""COMPUTED_VALUE"""),7.0)</f>
        <v>7</v>
      </c>
      <c r="F432" s="300">
        <v>1.0</v>
      </c>
      <c r="G432" s="300">
        <v>1.0</v>
      </c>
      <c r="H432" s="300">
        <v>1.0</v>
      </c>
      <c r="I432" s="300">
        <v>1.0</v>
      </c>
      <c r="J432" s="300">
        <v>1.0</v>
      </c>
      <c r="K432" s="300">
        <v>1.0</v>
      </c>
      <c r="L432" s="300">
        <v>1.0</v>
      </c>
      <c r="M432" s="300">
        <v>1.0</v>
      </c>
      <c r="N432" s="300">
        <v>8.0</v>
      </c>
      <c r="O432" s="300" t="s">
        <v>807</v>
      </c>
      <c r="P432" s="300">
        <v>3.0</v>
      </c>
    </row>
    <row r="433">
      <c r="A433">
        <f>IFERROR(__xludf.DUMMYFUNCTION("""COMPUTED_VALUE"""),12.0)</f>
        <v>12</v>
      </c>
      <c r="B433">
        <f>IFERROR(__xludf.DUMMYFUNCTION("""COMPUTED_VALUE"""),26087.0)</f>
        <v>26087</v>
      </c>
      <c r="C433" t="str">
        <f>IFERROR(__xludf.DUMMYFUNCTION("""COMPUTED_VALUE"""),"PELAEZ BORDA, ELIAS")</f>
        <v>PELAEZ BORDA, ELIAS</v>
      </c>
      <c r="D433" t="str">
        <f>IFERROR(__xludf.DUMMYFUNCTION("""COMPUTED_VALUE"""),"Journalism Higher Level")</f>
        <v>Journalism Higher Level</v>
      </c>
      <c r="E433" s="3">
        <f>IFERROR(__xludf.DUMMYFUNCTION("""COMPUTED_VALUE"""),3.0)</f>
        <v>3</v>
      </c>
      <c r="F433" s="300">
        <v>1.0</v>
      </c>
      <c r="G433" s="300">
        <v>1.0</v>
      </c>
      <c r="H433" s="300">
        <v>1.0</v>
      </c>
      <c r="I433" s="300">
        <v>1.0</v>
      </c>
      <c r="J433" s="300">
        <v>1.0</v>
      </c>
      <c r="K433" s="300">
        <v>1.0</v>
      </c>
      <c r="L433" s="300">
        <v>1.0</v>
      </c>
      <c r="M433" s="300">
        <v>1.0</v>
      </c>
      <c r="N433" s="300">
        <v>8.0</v>
      </c>
      <c r="O433" s="300" t="s">
        <v>798</v>
      </c>
      <c r="P433" s="300">
        <v>3.0</v>
      </c>
    </row>
    <row r="434">
      <c r="A434">
        <f>IFERROR(__xludf.DUMMYFUNCTION("""COMPUTED_VALUE"""),12.0)</f>
        <v>12</v>
      </c>
      <c r="B434">
        <f>IFERROR(__xludf.DUMMYFUNCTION("""COMPUTED_VALUE"""),26065.0)</f>
        <v>26065</v>
      </c>
      <c r="C434" t="str">
        <f>IFERROR(__xludf.DUMMYFUNCTION("""COMPUTED_VALUE"""),"LONDOÑO CONGOTE, SANTIAGO")</f>
        <v>LONDOÑO CONGOTE, SANTIAGO</v>
      </c>
      <c r="D434" t="str">
        <f>IFERROR(__xludf.DUMMYFUNCTION("""COMPUTED_VALUE"""),"AP English Literature")</f>
        <v>AP English Literature</v>
      </c>
      <c r="E434" s="3">
        <f>IFERROR(__xludf.DUMMYFUNCTION("""COMPUTED_VALUE"""),4.0)</f>
        <v>4</v>
      </c>
      <c r="F434" s="300">
        <v>1.0</v>
      </c>
      <c r="G434" s="300">
        <v>1.0</v>
      </c>
      <c r="H434" s="300">
        <v>1.0</v>
      </c>
      <c r="I434" s="300">
        <v>1.0</v>
      </c>
      <c r="J434" s="300">
        <v>1.0</v>
      </c>
      <c r="K434" s="300">
        <v>1.0</v>
      </c>
      <c r="L434" s="300">
        <v>1.0</v>
      </c>
      <c r="M434" s="300">
        <v>1.0</v>
      </c>
      <c r="N434" s="300">
        <v>8.0</v>
      </c>
      <c r="O434" s="300" t="s">
        <v>796</v>
      </c>
      <c r="P434" s="300">
        <v>1.0</v>
      </c>
    </row>
    <row r="435">
      <c r="A435">
        <f>IFERROR(__xludf.DUMMYFUNCTION("""COMPUTED_VALUE"""),12.0)</f>
        <v>12</v>
      </c>
      <c r="B435">
        <f>IFERROR(__xludf.DUMMYFUNCTION("""COMPUTED_VALUE"""),26150.0)</f>
        <v>26150</v>
      </c>
      <c r="C435" t="str">
        <f>IFERROR(__xludf.DUMMYFUNCTION("""COMPUTED_VALUE"""),"MOLANO MESA, CANDELARIA")</f>
        <v>MOLANO MESA, CANDELARIA</v>
      </c>
      <c r="D435" t="str">
        <f>IFERROR(__xludf.DUMMYFUNCTION("""COMPUTED_VALUE"""),"Journalism Higher Level")</f>
        <v>Journalism Higher Level</v>
      </c>
      <c r="E435" s="3">
        <f>IFERROR(__xludf.DUMMYFUNCTION("""COMPUTED_VALUE"""),7.0)</f>
        <v>7</v>
      </c>
      <c r="F435" s="300">
        <v>1.0</v>
      </c>
      <c r="G435" s="300">
        <v>1.0</v>
      </c>
      <c r="H435" s="300">
        <v>1.0</v>
      </c>
      <c r="I435" s="300">
        <v>1.0</v>
      </c>
      <c r="J435" s="300">
        <v>1.0</v>
      </c>
      <c r="K435" s="300">
        <v>1.0</v>
      </c>
      <c r="L435" s="300">
        <v>1.0</v>
      </c>
      <c r="M435" s="300">
        <v>1.0</v>
      </c>
      <c r="N435" s="300">
        <v>8.0</v>
      </c>
      <c r="O435" s="300" t="s">
        <v>805</v>
      </c>
      <c r="P435" s="300">
        <v>3.0</v>
      </c>
    </row>
    <row r="436">
      <c r="A436">
        <f>IFERROR(__xludf.DUMMYFUNCTION("""COMPUTED_VALUE"""),12.0)</f>
        <v>12</v>
      </c>
      <c r="B436">
        <f>IFERROR(__xludf.DUMMYFUNCTION("""COMPUTED_VALUE"""),26061.0)</f>
        <v>26061</v>
      </c>
      <c r="C436" t="str">
        <f>IFERROR(__xludf.DUMMYFUNCTION("""COMPUTED_VALUE"""),"JARAMILLO RUIZ, BENJAMIN")</f>
        <v>JARAMILLO RUIZ, BENJAMIN</v>
      </c>
      <c r="D436" t="str">
        <f>IFERROR(__xludf.DUMMYFUNCTION("""COMPUTED_VALUE"""),"Art of Fiction Higher Level")</f>
        <v>Art of Fiction Higher Level</v>
      </c>
      <c r="E436" s="3">
        <f>IFERROR(__xludf.DUMMYFUNCTION("""COMPUTED_VALUE"""),8.0)</f>
        <v>8</v>
      </c>
      <c r="F436" s="300">
        <v>1.0</v>
      </c>
      <c r="G436" s="300">
        <v>1.0</v>
      </c>
      <c r="H436" s="300">
        <v>1.0</v>
      </c>
      <c r="I436" s="300">
        <v>1.0</v>
      </c>
      <c r="J436" s="300">
        <v>1.0</v>
      </c>
      <c r="K436" s="300">
        <v>1.0</v>
      </c>
      <c r="L436" s="300">
        <v>1.0</v>
      </c>
      <c r="M436" s="300">
        <v>1.0</v>
      </c>
      <c r="N436" s="300">
        <v>8.0</v>
      </c>
      <c r="O436" s="300" t="s">
        <v>804</v>
      </c>
      <c r="P436" s="300">
        <v>3.0</v>
      </c>
    </row>
    <row r="437">
      <c r="A437">
        <f>IFERROR(__xludf.DUMMYFUNCTION("""COMPUTED_VALUE"""),12.0)</f>
        <v>12</v>
      </c>
      <c r="B437">
        <f>IFERROR(__xludf.DUMMYFUNCTION("""COMPUTED_VALUE"""),26157.0)</f>
        <v>26157</v>
      </c>
      <c r="C437" t="str">
        <f>IFERROR(__xludf.DUMMYFUNCTION("""COMPUTED_VALUE"""),"CARVAJAL PEREZ, JERONIMO")</f>
        <v>CARVAJAL PEREZ, JERONIMO</v>
      </c>
      <c r="D437" t="str">
        <f>IFERROR(__xludf.DUMMYFUNCTION("""COMPUTED_VALUE"""),"Art of Fiction Higher Level")</f>
        <v>Art of Fiction Higher Level</v>
      </c>
      <c r="E437" s="3">
        <f>IFERROR(__xludf.DUMMYFUNCTION("""COMPUTED_VALUE"""),7.0)</f>
        <v>7</v>
      </c>
      <c r="F437" s="300">
        <v>1.0</v>
      </c>
      <c r="G437" s="300">
        <v>1.0</v>
      </c>
      <c r="H437" s="300">
        <v>1.0</v>
      </c>
      <c r="I437" s="300">
        <v>1.0</v>
      </c>
      <c r="J437" s="300">
        <v>1.0</v>
      </c>
      <c r="K437" s="300">
        <v>1.0</v>
      </c>
      <c r="L437" s="300">
        <v>1.0</v>
      </c>
      <c r="M437" s="300">
        <v>1.0</v>
      </c>
      <c r="N437" s="300">
        <v>8.0</v>
      </c>
      <c r="O437" s="300" t="s">
        <v>807</v>
      </c>
      <c r="P437" s="300">
        <v>3.0</v>
      </c>
    </row>
    <row r="438">
      <c r="A438">
        <f>IFERROR(__xludf.DUMMYFUNCTION("""COMPUTED_VALUE"""),12.0)</f>
        <v>12</v>
      </c>
      <c r="B438">
        <f>IFERROR(__xludf.DUMMYFUNCTION("""COMPUTED_VALUE"""),26062.0)</f>
        <v>26062</v>
      </c>
      <c r="C438" t="str">
        <f>IFERROR(__xludf.DUMMYFUNCTION("""COMPUTED_VALUE"""),"JIMENEZ ESCOBAR, NICOLAS")</f>
        <v>JIMENEZ ESCOBAR, NICOLAS</v>
      </c>
      <c r="D438" t="str">
        <f>IFERROR(__xludf.DUMMYFUNCTION("""COMPUTED_VALUE"""),"Art of Fiction Higher Level")</f>
        <v>Art of Fiction Higher Level</v>
      </c>
      <c r="E438" s="3">
        <f>IFERROR(__xludf.DUMMYFUNCTION("""COMPUTED_VALUE"""),8.0)</f>
        <v>8</v>
      </c>
      <c r="F438" s="300">
        <v>1.0</v>
      </c>
      <c r="G438" s="300">
        <v>1.0</v>
      </c>
      <c r="H438" s="300">
        <v>1.0</v>
      </c>
      <c r="I438" s="300">
        <v>1.0</v>
      </c>
      <c r="J438" s="300">
        <v>1.0</v>
      </c>
      <c r="K438" s="300">
        <v>1.0</v>
      </c>
      <c r="L438" s="300">
        <v>1.0</v>
      </c>
      <c r="M438" s="300">
        <v>1.0</v>
      </c>
      <c r="N438" s="300">
        <v>8.0</v>
      </c>
      <c r="O438" s="300" t="s">
        <v>804</v>
      </c>
      <c r="P438" s="300">
        <v>3.0</v>
      </c>
    </row>
    <row r="439">
      <c r="A439">
        <f>IFERROR(__xludf.DUMMYFUNCTION("""COMPUTED_VALUE"""),12.0)</f>
        <v>12</v>
      </c>
      <c r="B439">
        <f>IFERROR(__xludf.DUMMYFUNCTION("""COMPUTED_VALUE"""),26096.0)</f>
        <v>26096</v>
      </c>
      <c r="C439" t="str">
        <f>IFERROR(__xludf.DUMMYFUNCTION("""COMPUTED_VALUE"""),"RAMOS TRUJILLO, MARIA JOSE")</f>
        <v>RAMOS TRUJILLO, MARIA JOSE</v>
      </c>
      <c r="D439" t="str">
        <f>IFERROR(__xludf.DUMMYFUNCTION("""COMPUTED_VALUE"""),"Art of Fiction Higher Level")</f>
        <v>Art of Fiction Higher Level</v>
      </c>
      <c r="E439" s="3">
        <f>IFERROR(__xludf.DUMMYFUNCTION("""COMPUTED_VALUE"""),1.0)</f>
        <v>1</v>
      </c>
      <c r="F439" s="300">
        <v>1.0</v>
      </c>
      <c r="G439" s="300">
        <v>1.0</v>
      </c>
      <c r="H439" s="300">
        <v>1.0</v>
      </c>
      <c r="I439" s="300">
        <v>1.0</v>
      </c>
      <c r="J439" s="300">
        <v>1.0</v>
      </c>
      <c r="K439" s="300">
        <v>1.0</v>
      </c>
      <c r="L439" s="300">
        <v>1.0</v>
      </c>
      <c r="M439" s="300">
        <v>1.0</v>
      </c>
      <c r="N439" s="300">
        <v>8.0</v>
      </c>
      <c r="O439" s="300" t="s">
        <v>801</v>
      </c>
      <c r="P439" s="300">
        <v>3.0</v>
      </c>
    </row>
    <row r="440">
      <c r="A440">
        <f>IFERROR(__xludf.DUMMYFUNCTION("""COMPUTED_VALUE"""),12.0)</f>
        <v>12</v>
      </c>
      <c r="B440">
        <f>IFERROR(__xludf.DUMMYFUNCTION("""COMPUTED_VALUE"""),26045.0)</f>
        <v>26045</v>
      </c>
      <c r="C440" t="str">
        <f>IFERROR(__xludf.DUMMYFUNCTION("""COMPUTED_VALUE"""),"GRISALES PINEDA, JULIANA")</f>
        <v>GRISALES PINEDA, JULIANA</v>
      </c>
      <c r="D440" t="str">
        <f>IFERROR(__xludf.DUMMYFUNCTION("""COMPUTED_VALUE"""),"Art of Fiction Higher Level")</f>
        <v>Art of Fiction Higher Level</v>
      </c>
      <c r="E440" s="3">
        <f>IFERROR(__xludf.DUMMYFUNCTION("""COMPUTED_VALUE"""),7.0)</f>
        <v>7</v>
      </c>
      <c r="F440" s="300">
        <v>1.0</v>
      </c>
      <c r="G440" s="300">
        <v>1.0</v>
      </c>
      <c r="H440" s="300">
        <v>1.0</v>
      </c>
      <c r="I440" s="300">
        <v>1.0</v>
      </c>
      <c r="J440" s="300">
        <v>1.0</v>
      </c>
      <c r="K440" s="300">
        <v>1.0</v>
      </c>
      <c r="L440" s="300">
        <v>1.0</v>
      </c>
      <c r="M440" s="300">
        <v>1.0</v>
      </c>
      <c r="N440" s="300">
        <v>8.0</v>
      </c>
      <c r="O440" s="300" t="s">
        <v>807</v>
      </c>
      <c r="P440" s="300">
        <v>3.0</v>
      </c>
    </row>
    <row r="441">
      <c r="A441">
        <f>IFERROR(__xludf.DUMMYFUNCTION("""COMPUTED_VALUE"""),12.0)</f>
        <v>12</v>
      </c>
      <c r="B441">
        <f>IFERROR(__xludf.DUMMYFUNCTION("""COMPUTED_VALUE"""),26126.0)</f>
        <v>26126</v>
      </c>
      <c r="C441" t="str">
        <f>IFERROR(__xludf.DUMMYFUNCTION("""COMPUTED_VALUE"""),"ZAPATA SALDARRIAGA, TOMAS")</f>
        <v>ZAPATA SALDARRIAGA, TOMAS</v>
      </c>
      <c r="D441" t="str">
        <f>IFERROR(__xludf.DUMMYFUNCTION("""COMPUTED_VALUE"""),"Art of Fiction Higher Level")</f>
        <v>Art of Fiction Higher Level</v>
      </c>
      <c r="E441" s="3">
        <f>IFERROR(__xludf.DUMMYFUNCTION("""COMPUTED_VALUE"""),8.0)</f>
        <v>8</v>
      </c>
      <c r="F441" s="300">
        <v>1.0</v>
      </c>
      <c r="G441" s="300">
        <v>1.0</v>
      </c>
      <c r="H441" s="300">
        <v>1.0</v>
      </c>
      <c r="I441" s="300">
        <v>1.0</v>
      </c>
      <c r="J441" s="300">
        <v>1.0</v>
      </c>
      <c r="K441" s="300">
        <v>1.0</v>
      </c>
      <c r="L441" s="300">
        <v>1.0</v>
      </c>
      <c r="M441" s="300">
        <v>1.0</v>
      </c>
      <c r="N441" s="300">
        <v>8.0</v>
      </c>
      <c r="O441" s="300" t="s">
        <v>804</v>
      </c>
      <c r="P441" s="300">
        <v>3.0</v>
      </c>
    </row>
    <row r="442">
      <c r="A442">
        <f>IFERROR(__xludf.DUMMYFUNCTION("""COMPUTED_VALUE"""),12.0)</f>
        <v>12</v>
      </c>
      <c r="B442">
        <f>IFERROR(__xludf.DUMMYFUNCTION("""COMPUTED_VALUE"""),26151.0)</f>
        <v>26151</v>
      </c>
      <c r="C442" t="str">
        <f>IFERROR(__xludf.DUMMYFUNCTION("""COMPUTED_VALUE"""),"CADAVID ECHAVARRIA, SUSANA")</f>
        <v>CADAVID ECHAVARRIA, SUSANA</v>
      </c>
      <c r="D442" t="str">
        <f>IFERROR(__xludf.DUMMYFUNCTION("""COMPUTED_VALUE"""),"Journalism Higher Level")</f>
        <v>Journalism Higher Level</v>
      </c>
      <c r="E442" s="3">
        <f>IFERROR(__xludf.DUMMYFUNCTION("""COMPUTED_VALUE"""),7.0)</f>
        <v>7</v>
      </c>
      <c r="F442" s="300">
        <v>1.0</v>
      </c>
      <c r="G442" s="300">
        <v>1.0</v>
      </c>
      <c r="H442" s="300">
        <v>1.0</v>
      </c>
      <c r="I442" s="300">
        <v>1.0</v>
      </c>
      <c r="J442" s="300">
        <v>1.0</v>
      </c>
      <c r="K442" s="300">
        <v>1.0</v>
      </c>
      <c r="L442" s="300">
        <v>1.0</v>
      </c>
      <c r="M442" s="300">
        <v>1.0</v>
      </c>
      <c r="N442" s="300">
        <v>8.0</v>
      </c>
      <c r="O442" s="300" t="s">
        <v>805</v>
      </c>
      <c r="P442" s="300">
        <v>3.0</v>
      </c>
    </row>
    <row r="443">
      <c r="A443">
        <f>IFERROR(__xludf.DUMMYFUNCTION("""COMPUTED_VALUE"""),12.0)</f>
        <v>12</v>
      </c>
      <c r="B443">
        <f>IFERROR(__xludf.DUMMYFUNCTION("""COMPUTED_VALUE"""),26175.0)</f>
        <v>26175</v>
      </c>
      <c r="C443" t="str">
        <f>IFERROR(__xludf.DUMMYFUNCTION("""COMPUTED_VALUE"""),"GRULLON SANTOS, DIEGO")</f>
        <v>GRULLON SANTOS, DIEGO</v>
      </c>
      <c r="D443" t="str">
        <f>IFERROR(__xludf.DUMMYFUNCTION("""COMPUTED_VALUE"""),"Art of Fiction Higher Level")</f>
        <v>Art of Fiction Higher Level</v>
      </c>
      <c r="E443" s="3">
        <f>IFERROR(__xludf.DUMMYFUNCTION("""COMPUTED_VALUE"""),1.0)</f>
        <v>1</v>
      </c>
      <c r="F443" s="300">
        <v>1.0</v>
      </c>
      <c r="G443" s="300">
        <v>1.0</v>
      </c>
      <c r="H443" s="300">
        <v>1.0</v>
      </c>
      <c r="I443" s="300">
        <v>1.0</v>
      </c>
      <c r="J443" s="300">
        <v>1.0</v>
      </c>
      <c r="K443" s="300">
        <v>1.0</v>
      </c>
      <c r="L443" s="300">
        <v>1.0</v>
      </c>
      <c r="M443" s="300">
        <v>1.0</v>
      </c>
      <c r="N443" s="300">
        <v>8.0</v>
      </c>
      <c r="O443" s="300" t="s">
        <v>801</v>
      </c>
      <c r="P443" s="300">
        <v>3.0</v>
      </c>
    </row>
    <row r="444">
      <c r="A444">
        <f>IFERROR(__xludf.DUMMYFUNCTION("""COMPUTED_VALUE"""),12.0)</f>
        <v>12</v>
      </c>
      <c r="B444">
        <f>IFERROR(__xludf.DUMMYFUNCTION("""COMPUTED_VALUE"""),26164.0)</f>
        <v>26164</v>
      </c>
      <c r="C444" t="str">
        <f>IFERROR(__xludf.DUMMYFUNCTION("""COMPUTED_VALUE"""),"HARRIS, ROWEN IAN")</f>
        <v>HARRIS, ROWEN IAN</v>
      </c>
      <c r="D444" t="str">
        <f>IFERROR(__xludf.DUMMYFUNCTION("""COMPUTED_VALUE"""),"Art of Fiction Higher Level")</f>
        <v>Art of Fiction Higher Level</v>
      </c>
      <c r="E444" s="3">
        <f>IFERROR(__xludf.DUMMYFUNCTION("""COMPUTED_VALUE"""),8.0)</f>
        <v>8</v>
      </c>
      <c r="F444" s="300">
        <v>1.0</v>
      </c>
      <c r="G444" s="300">
        <v>1.0</v>
      </c>
      <c r="H444" s="300">
        <v>1.0</v>
      </c>
      <c r="I444" s="300">
        <v>1.0</v>
      </c>
      <c r="J444" s="300">
        <v>1.0</v>
      </c>
      <c r="K444" s="300">
        <v>1.0</v>
      </c>
      <c r="L444" s="300">
        <v>1.0</v>
      </c>
      <c r="M444" s="300">
        <v>1.0</v>
      </c>
      <c r="N444" s="300">
        <v>8.0</v>
      </c>
      <c r="O444" s="300" t="s">
        <v>804</v>
      </c>
      <c r="P444" s="300">
        <v>3.0</v>
      </c>
    </row>
    <row r="445">
      <c r="A445">
        <f>IFERROR(__xludf.DUMMYFUNCTION("""COMPUTED_VALUE"""),12.0)</f>
        <v>12</v>
      </c>
      <c r="B445">
        <f>IFERROR(__xludf.DUMMYFUNCTION("""COMPUTED_VALUE"""),26016.0)</f>
        <v>26016</v>
      </c>
      <c r="C445" t="str">
        <f>IFERROR(__xludf.DUMMYFUNCTION("""COMPUTED_VALUE"""),"BETANCUR VILLEGAS, SOFIA")</f>
        <v>BETANCUR VILLEGAS, SOFIA</v>
      </c>
      <c r="D445" t="str">
        <f>IFERROR(__xludf.DUMMYFUNCTION("""COMPUTED_VALUE"""),"Art of Fiction Higher Level")</f>
        <v>Art of Fiction Higher Level</v>
      </c>
      <c r="E445" s="3">
        <f>IFERROR(__xludf.DUMMYFUNCTION("""COMPUTED_VALUE"""),7.0)</f>
        <v>7</v>
      </c>
      <c r="F445" s="300">
        <v>1.0</v>
      </c>
      <c r="G445" s="300">
        <v>1.0</v>
      </c>
      <c r="H445" s="300">
        <v>1.0</v>
      </c>
      <c r="I445" s="300">
        <v>1.0</v>
      </c>
      <c r="J445" s="300">
        <v>1.0</v>
      </c>
      <c r="K445" s="300">
        <v>1.0</v>
      </c>
      <c r="L445" s="300">
        <v>1.0</v>
      </c>
      <c r="M445" s="300">
        <v>1.0</v>
      </c>
      <c r="N445" s="300">
        <v>8.0</v>
      </c>
      <c r="O445" s="300" t="s">
        <v>807</v>
      </c>
      <c r="P445" s="300">
        <v>3.0</v>
      </c>
    </row>
    <row r="446">
      <c r="A446">
        <f>IFERROR(__xludf.DUMMYFUNCTION("""COMPUTED_VALUE"""),12.0)</f>
        <v>12</v>
      </c>
      <c r="B446">
        <f>IFERROR(__xludf.DUMMYFUNCTION("""COMPUTED_VALUE"""),26057.0)</f>
        <v>26057</v>
      </c>
      <c r="C446" t="str">
        <f>IFERROR(__xludf.DUMMYFUNCTION("""COMPUTED_VALUE"""),"JARAMILLO ARANGO, AMALIA")</f>
        <v>JARAMILLO ARANGO, AMALIA</v>
      </c>
      <c r="D446" t="str">
        <f>IFERROR(__xludf.DUMMYFUNCTION("""COMPUTED_VALUE"""),"Art of Fiction Higher Level")</f>
        <v>Art of Fiction Higher Level</v>
      </c>
      <c r="E446" s="3">
        <f>IFERROR(__xludf.DUMMYFUNCTION("""COMPUTED_VALUE"""),8.0)</f>
        <v>8</v>
      </c>
      <c r="F446" s="300">
        <v>1.0</v>
      </c>
      <c r="G446" s="300">
        <v>1.0</v>
      </c>
      <c r="H446" s="300">
        <v>1.0</v>
      </c>
      <c r="I446" s="300">
        <v>1.0</v>
      </c>
      <c r="J446" s="300">
        <v>1.0</v>
      </c>
      <c r="K446" s="300">
        <v>1.0</v>
      </c>
      <c r="L446" s="300">
        <v>1.0</v>
      </c>
      <c r="M446" s="300">
        <v>1.0</v>
      </c>
      <c r="N446" s="300">
        <v>8.0</v>
      </c>
      <c r="O446" s="300" t="s">
        <v>804</v>
      </c>
      <c r="P446" s="300">
        <v>3.0</v>
      </c>
    </row>
    <row r="447">
      <c r="A447">
        <f>IFERROR(__xludf.DUMMYFUNCTION("""COMPUTED_VALUE"""),12.0)</f>
        <v>12</v>
      </c>
      <c r="B447">
        <f>IFERROR(__xludf.DUMMYFUNCTION("""COMPUTED_VALUE"""),26059.0)</f>
        <v>26059</v>
      </c>
      <c r="C447" t="str">
        <f>IFERROR(__xludf.DUMMYFUNCTION("""COMPUTED_VALUE"""),"JARAMILLO NARANJO, SARA")</f>
        <v>JARAMILLO NARANJO, SARA</v>
      </c>
      <c r="D447" t="str">
        <f>IFERROR(__xludf.DUMMYFUNCTION("""COMPUTED_VALUE"""),"Art of Fiction Higher Level")</f>
        <v>Art of Fiction Higher Level</v>
      </c>
      <c r="E447" s="3">
        <f>IFERROR(__xludf.DUMMYFUNCTION("""COMPUTED_VALUE"""),7.0)</f>
        <v>7</v>
      </c>
      <c r="F447" s="300">
        <v>1.0</v>
      </c>
      <c r="G447" s="300">
        <v>1.0</v>
      </c>
      <c r="H447" s="300">
        <v>1.0</v>
      </c>
      <c r="I447" s="300">
        <v>1.0</v>
      </c>
      <c r="J447" s="300">
        <v>1.0</v>
      </c>
      <c r="K447" s="300">
        <v>1.0</v>
      </c>
      <c r="L447" s="300">
        <v>1.0</v>
      </c>
      <c r="M447" s="300">
        <v>1.0</v>
      </c>
      <c r="N447" s="300">
        <v>8.0</v>
      </c>
      <c r="O447" s="300" t="s">
        <v>807</v>
      </c>
      <c r="P447" s="300">
        <v>3.0</v>
      </c>
    </row>
    <row r="448">
      <c r="A448">
        <f>IFERROR(__xludf.DUMMYFUNCTION("""COMPUTED_VALUE"""),12.0)</f>
        <v>12</v>
      </c>
      <c r="B448">
        <f>IFERROR(__xludf.DUMMYFUNCTION("""COMPUTED_VALUE"""),26094.0)</f>
        <v>26094</v>
      </c>
      <c r="C448" t="str">
        <f>IFERROR(__xludf.DUMMYFUNCTION("""COMPUTED_VALUE"""),"PULGARIN HUERTAS, AMELIA")</f>
        <v>PULGARIN HUERTAS, AMELIA</v>
      </c>
      <c r="D448" t="str">
        <f>IFERROR(__xludf.DUMMYFUNCTION("""COMPUTED_VALUE"""),"Art of Fiction Higher Level")</f>
        <v>Art of Fiction Higher Level</v>
      </c>
      <c r="E448" s="3">
        <f>IFERROR(__xludf.DUMMYFUNCTION("""COMPUTED_VALUE"""),8.0)</f>
        <v>8</v>
      </c>
      <c r="F448" s="300">
        <v>1.0</v>
      </c>
      <c r="G448" s="300">
        <v>1.0</v>
      </c>
      <c r="H448" s="300">
        <v>1.0</v>
      </c>
      <c r="I448" s="300">
        <v>1.0</v>
      </c>
      <c r="J448" s="300">
        <v>1.0</v>
      </c>
      <c r="K448" s="300">
        <v>1.0</v>
      </c>
      <c r="L448" s="300">
        <v>1.0</v>
      </c>
      <c r="M448" s="300">
        <v>1.0</v>
      </c>
      <c r="N448" s="300">
        <v>8.0</v>
      </c>
      <c r="O448" s="300" t="s">
        <v>804</v>
      </c>
      <c r="P448" s="300">
        <v>3.0</v>
      </c>
    </row>
    <row r="449">
      <c r="A449">
        <f>IFERROR(__xludf.DUMMYFUNCTION("""COMPUTED_VALUE"""),12.0)</f>
        <v>12</v>
      </c>
      <c r="B449">
        <f>IFERROR(__xludf.DUMMYFUNCTION("""COMPUTED_VALUE"""),26007.0)</f>
        <v>26007</v>
      </c>
      <c r="C449" t="str">
        <f>IFERROR(__xludf.DUMMYFUNCTION("""COMPUTED_VALUE"""),"ARANGO ESCOBAR, JULIANA")</f>
        <v>ARANGO ESCOBAR, JULIANA</v>
      </c>
      <c r="D449" t="str">
        <f>IFERROR(__xludf.DUMMYFUNCTION("""COMPUTED_VALUE"""),"AP English Literature")</f>
        <v>AP English Literature</v>
      </c>
      <c r="E449" s="3">
        <f>IFERROR(__xludf.DUMMYFUNCTION("""COMPUTED_VALUE"""),4.0)</f>
        <v>4</v>
      </c>
      <c r="F449" s="300">
        <v>1.0</v>
      </c>
      <c r="G449" s="300">
        <v>1.0</v>
      </c>
      <c r="H449" s="300">
        <v>1.0</v>
      </c>
      <c r="I449" s="300">
        <v>1.0</v>
      </c>
      <c r="J449" s="300">
        <v>1.0</v>
      </c>
      <c r="K449" s="300">
        <v>1.0</v>
      </c>
      <c r="L449" s="300">
        <v>1.0</v>
      </c>
      <c r="M449" s="300">
        <v>1.0</v>
      </c>
      <c r="N449" s="300">
        <v>8.0</v>
      </c>
      <c r="O449" s="300" t="s">
        <v>796</v>
      </c>
      <c r="P449" s="300">
        <v>1.0</v>
      </c>
    </row>
    <row r="450">
      <c r="A450">
        <f>IFERROR(__xludf.DUMMYFUNCTION("""COMPUTED_VALUE"""),12.0)</f>
        <v>12</v>
      </c>
      <c r="B450">
        <f>IFERROR(__xludf.DUMMYFUNCTION("""COMPUTED_VALUE"""),26176.0)</f>
        <v>26176</v>
      </c>
      <c r="C450" t="str">
        <f>IFERROR(__xludf.DUMMYFUNCTION("""COMPUTED_VALUE"""),"FORTICH ANGULO, SERGIO")</f>
        <v>FORTICH ANGULO, SERGIO</v>
      </c>
      <c r="D450" t="str">
        <f>IFERROR(__xludf.DUMMYFUNCTION("""COMPUTED_VALUE"""),"Journalism Higher Level")</f>
        <v>Journalism Higher Level</v>
      </c>
      <c r="E450" s="3">
        <f>IFERROR(__xludf.DUMMYFUNCTION("""COMPUTED_VALUE"""),7.0)</f>
        <v>7</v>
      </c>
      <c r="F450" s="300">
        <v>1.0</v>
      </c>
      <c r="G450" s="300">
        <v>1.0</v>
      </c>
      <c r="H450" s="300">
        <v>1.0</v>
      </c>
      <c r="I450" s="300">
        <v>1.0</v>
      </c>
      <c r="J450" s="300">
        <v>1.0</v>
      </c>
      <c r="K450" s="300">
        <v>1.0</v>
      </c>
      <c r="L450" s="300">
        <v>1.0</v>
      </c>
      <c r="M450" s="300">
        <v>1.0</v>
      </c>
      <c r="N450" s="300">
        <v>8.0</v>
      </c>
      <c r="O450" s="300" t="s">
        <v>805</v>
      </c>
      <c r="P450" s="300">
        <v>3.0</v>
      </c>
    </row>
    <row r="451">
      <c r="A451">
        <f>IFERROR(__xludf.DUMMYFUNCTION("""COMPUTED_VALUE"""),12.0)</f>
        <v>12</v>
      </c>
      <c r="B451">
        <f>IFERROR(__xludf.DUMMYFUNCTION("""COMPUTED_VALUE"""),26070.0)</f>
        <v>26070</v>
      </c>
      <c r="C451" t="str">
        <f>IFERROR(__xludf.DUMMYFUNCTION("""COMPUTED_VALUE"""),"MEJIA MEJIA, LUCAS")</f>
        <v>MEJIA MEJIA, LUCAS</v>
      </c>
      <c r="D451" t="str">
        <f>IFERROR(__xludf.DUMMYFUNCTION("""COMPUTED_VALUE"""),"Journalism Higher Level")</f>
        <v>Journalism Higher Level</v>
      </c>
      <c r="E451" s="3">
        <f>IFERROR(__xludf.DUMMYFUNCTION("""COMPUTED_VALUE"""),7.0)</f>
        <v>7</v>
      </c>
      <c r="F451" s="300">
        <v>1.0</v>
      </c>
      <c r="G451" s="300">
        <v>1.0</v>
      </c>
      <c r="H451" s="300">
        <v>1.0</v>
      </c>
      <c r="I451" s="300">
        <v>1.0</v>
      </c>
      <c r="J451" s="300">
        <v>1.0</v>
      </c>
      <c r="K451" s="300">
        <v>1.0</v>
      </c>
      <c r="L451" s="300">
        <v>1.0</v>
      </c>
      <c r="M451" s="300">
        <v>1.0</v>
      </c>
      <c r="N451" s="300">
        <v>8.0</v>
      </c>
      <c r="O451" s="300" t="s">
        <v>805</v>
      </c>
      <c r="P451" s="300">
        <v>3.0</v>
      </c>
    </row>
    <row r="452">
      <c r="A452">
        <f>IFERROR(__xludf.DUMMYFUNCTION("""COMPUTED_VALUE"""),12.0)</f>
        <v>12</v>
      </c>
      <c r="B452">
        <f>IFERROR(__xludf.DUMMYFUNCTION("""COMPUTED_VALUE"""),26052.0)</f>
        <v>26052</v>
      </c>
      <c r="C452" t="str">
        <f>IFERROR(__xludf.DUMMYFUNCTION("""COMPUTED_VALUE"""),"HINESTROSA SIERRA, AMALIA")</f>
        <v>HINESTROSA SIERRA, AMALIA</v>
      </c>
      <c r="D452" t="str">
        <f>IFERROR(__xludf.DUMMYFUNCTION("""COMPUTED_VALUE"""),"Journalism Higher Level")</f>
        <v>Journalism Higher Level</v>
      </c>
      <c r="E452" s="3">
        <f>IFERROR(__xludf.DUMMYFUNCTION("""COMPUTED_VALUE"""),8.0)</f>
        <v>8</v>
      </c>
      <c r="F452" s="300">
        <v>1.0</v>
      </c>
      <c r="G452" s="300">
        <v>1.0</v>
      </c>
      <c r="H452" s="300">
        <v>1.0</v>
      </c>
      <c r="I452" s="300">
        <v>1.0</v>
      </c>
      <c r="J452" s="300">
        <v>1.0</v>
      </c>
      <c r="K452" s="300">
        <v>1.0</v>
      </c>
      <c r="L452" s="300">
        <v>1.0</v>
      </c>
      <c r="M452" s="300">
        <v>1.0</v>
      </c>
      <c r="N452" s="300">
        <v>8.0</v>
      </c>
      <c r="O452" s="300" t="s">
        <v>806</v>
      </c>
      <c r="P452" s="300">
        <v>3.0</v>
      </c>
    </row>
    <row r="453">
      <c r="A453">
        <f>IFERROR(__xludf.DUMMYFUNCTION("""COMPUTED_VALUE"""),12.0)</f>
        <v>12</v>
      </c>
      <c r="B453">
        <f>IFERROR(__xludf.DUMMYFUNCTION("""COMPUTED_VALUE"""),26123.0)</f>
        <v>26123</v>
      </c>
      <c r="C453" t="str">
        <f>IFERROR(__xludf.DUMMYFUNCTION("""COMPUTED_VALUE"""),"WOLFF RAMIREZ, MARIA")</f>
        <v>WOLFF RAMIREZ, MARIA</v>
      </c>
      <c r="D453" t="str">
        <f>IFERROR(__xludf.DUMMYFUNCTION("""COMPUTED_VALUE"""),"Art of Fiction Higher Level")</f>
        <v>Art of Fiction Higher Level</v>
      </c>
      <c r="E453" s="3">
        <f>IFERROR(__xludf.DUMMYFUNCTION("""COMPUTED_VALUE"""),8.0)</f>
        <v>8</v>
      </c>
      <c r="F453" s="300">
        <v>1.0</v>
      </c>
      <c r="G453" s="300">
        <v>1.0</v>
      </c>
      <c r="H453" s="300">
        <v>1.0</v>
      </c>
      <c r="I453" s="300">
        <v>1.0</v>
      </c>
      <c r="J453" s="300">
        <v>1.0</v>
      </c>
      <c r="K453" s="300">
        <v>1.0</v>
      </c>
      <c r="L453" s="300">
        <v>1.0</v>
      </c>
      <c r="M453" s="300">
        <v>1.0</v>
      </c>
      <c r="N453" s="300">
        <v>8.0</v>
      </c>
      <c r="O453" s="300" t="s">
        <v>804</v>
      </c>
      <c r="P453" s="300">
        <v>3.0</v>
      </c>
    </row>
    <row r="454">
      <c r="A454">
        <f>IFERROR(__xludf.DUMMYFUNCTION("""COMPUTED_VALUE"""),12.0)</f>
        <v>12</v>
      </c>
      <c r="B454">
        <f>IFERROR(__xludf.DUMMYFUNCTION("""COMPUTED_VALUE"""),26042.0)</f>
        <v>26042</v>
      </c>
      <c r="C454" t="str">
        <f>IFERROR(__xludf.DUMMYFUNCTION("""COMPUTED_VALUE"""),"GOMEZ VELEZ, MIGUEL")</f>
        <v>GOMEZ VELEZ, MIGUEL</v>
      </c>
      <c r="D454" t="str">
        <f>IFERROR(__xludf.DUMMYFUNCTION("""COMPUTED_VALUE"""),"Journalism Higher Level")</f>
        <v>Journalism Higher Level</v>
      </c>
      <c r="E454" s="3">
        <f>IFERROR(__xludf.DUMMYFUNCTION("""COMPUTED_VALUE"""),7.0)</f>
        <v>7</v>
      </c>
      <c r="F454" s="300">
        <v>1.0</v>
      </c>
      <c r="G454" s="300">
        <v>1.0</v>
      </c>
      <c r="H454" s="300">
        <v>1.0</v>
      </c>
      <c r="I454" s="300">
        <v>1.0</v>
      </c>
      <c r="J454" s="300">
        <v>1.0</v>
      </c>
      <c r="K454" s="300">
        <v>1.0</v>
      </c>
      <c r="L454" s="300">
        <v>1.0</v>
      </c>
      <c r="M454" s="300">
        <v>1.0</v>
      </c>
      <c r="N454" s="300">
        <v>8.0</v>
      </c>
      <c r="O454" s="300" t="s">
        <v>805</v>
      </c>
      <c r="P454" s="300">
        <v>3.0</v>
      </c>
    </row>
    <row r="455">
      <c r="A455">
        <f>IFERROR(__xludf.DUMMYFUNCTION("""COMPUTED_VALUE"""),12.0)</f>
        <v>12</v>
      </c>
      <c r="B455">
        <f>IFERROR(__xludf.DUMMYFUNCTION("""COMPUTED_VALUE"""),26116.0)</f>
        <v>26116</v>
      </c>
      <c r="C455" t="str">
        <f>IFERROR(__xludf.DUMMYFUNCTION("""COMPUTED_VALUE"""),"VELEZ FERRER, AGUSTIN")</f>
        <v>VELEZ FERRER, AGUSTIN</v>
      </c>
      <c r="D455" t="str">
        <f>IFERROR(__xludf.DUMMYFUNCTION("""COMPUTED_VALUE"""),"Art of Fiction Higher Level")</f>
        <v>Art of Fiction Higher Level</v>
      </c>
      <c r="E455" s="3">
        <f>IFERROR(__xludf.DUMMYFUNCTION("""COMPUTED_VALUE"""),8.0)</f>
        <v>8</v>
      </c>
      <c r="F455" s="300">
        <v>1.0</v>
      </c>
      <c r="G455" s="300">
        <v>1.0</v>
      </c>
      <c r="H455" s="300">
        <v>1.0</v>
      </c>
      <c r="I455" s="300">
        <v>1.0</v>
      </c>
      <c r="J455" s="300">
        <v>1.0</v>
      </c>
      <c r="K455" s="300">
        <v>1.0</v>
      </c>
      <c r="L455" s="300">
        <v>1.0</v>
      </c>
      <c r="M455" s="300">
        <v>1.0</v>
      </c>
      <c r="N455" s="300">
        <v>8.0</v>
      </c>
      <c r="O455" s="300" t="s">
        <v>804</v>
      </c>
      <c r="P455" s="300">
        <v>3.0</v>
      </c>
    </row>
    <row r="456">
      <c r="A456">
        <f>IFERROR(__xludf.DUMMYFUNCTION("""COMPUTED_VALUE"""),12.0)</f>
        <v>12</v>
      </c>
      <c r="B456">
        <f>IFERROR(__xludf.DUMMYFUNCTION("""COMPUTED_VALUE"""),26039.0)</f>
        <v>26039</v>
      </c>
      <c r="C456" t="str">
        <f>IFERROR(__xludf.DUMMYFUNCTION("""COMPUTED_VALUE"""),"GOMEZ LINCE, MARIA")</f>
        <v>GOMEZ LINCE, MARIA</v>
      </c>
      <c r="D456" t="str">
        <f>IFERROR(__xludf.DUMMYFUNCTION("""COMPUTED_VALUE"""),"Journalism Higher Level")</f>
        <v>Journalism Higher Level</v>
      </c>
      <c r="E456" s="3">
        <f>IFERROR(__xludf.DUMMYFUNCTION("""COMPUTED_VALUE"""),3.0)</f>
        <v>3</v>
      </c>
      <c r="F456" s="300">
        <v>1.0</v>
      </c>
      <c r="G456" s="300">
        <v>1.0</v>
      </c>
      <c r="H456" s="300">
        <v>1.0</v>
      </c>
      <c r="I456" s="300">
        <v>1.0</v>
      </c>
      <c r="J456" s="300">
        <v>1.0</v>
      </c>
      <c r="K456" s="300">
        <v>1.0</v>
      </c>
      <c r="L456" s="300">
        <v>1.0</v>
      </c>
      <c r="M456" s="300">
        <v>1.0</v>
      </c>
      <c r="N456" s="300">
        <v>8.0</v>
      </c>
      <c r="O456" s="300" t="s">
        <v>798</v>
      </c>
      <c r="P456" s="300">
        <v>3.0</v>
      </c>
    </row>
    <row r="457">
      <c r="A457">
        <f>IFERROR(__xludf.DUMMYFUNCTION("""COMPUTED_VALUE"""),12.0)</f>
        <v>12</v>
      </c>
      <c r="B457">
        <f>IFERROR(__xludf.DUMMYFUNCTION("""COMPUTED_VALUE"""),26030.0)</f>
        <v>26030</v>
      </c>
      <c r="C457" t="str">
        <f>IFERROR(__xludf.DUMMYFUNCTION("""COMPUTED_VALUE"""),"FERNANDEZ DUQUE, CANDELARIA")</f>
        <v>FERNANDEZ DUQUE, CANDELARIA</v>
      </c>
      <c r="D457" t="str">
        <f>IFERROR(__xludf.DUMMYFUNCTION("""COMPUTED_VALUE"""),"Journalism Higher Level")</f>
        <v>Journalism Higher Level</v>
      </c>
      <c r="E457" s="3">
        <f>IFERROR(__xludf.DUMMYFUNCTION("""COMPUTED_VALUE"""),3.0)</f>
        <v>3</v>
      </c>
      <c r="F457" s="300">
        <v>1.0</v>
      </c>
      <c r="G457" s="300">
        <v>1.0</v>
      </c>
      <c r="H457" s="300">
        <v>1.0</v>
      </c>
      <c r="I457" s="300">
        <v>1.0</v>
      </c>
      <c r="J457" s="300">
        <v>1.0</v>
      </c>
      <c r="K457" s="300">
        <v>1.0</v>
      </c>
      <c r="L457" s="300">
        <v>1.0</v>
      </c>
      <c r="M457" s="300">
        <v>1.0</v>
      </c>
      <c r="N457" s="300">
        <v>8.0</v>
      </c>
      <c r="O457" s="300" t="s">
        <v>798</v>
      </c>
      <c r="P457" s="300">
        <v>3.0</v>
      </c>
    </row>
    <row r="458">
      <c r="A458">
        <f>IFERROR(__xludf.DUMMYFUNCTION("""COMPUTED_VALUE"""),12.0)</f>
        <v>12</v>
      </c>
      <c r="B458">
        <f>IFERROR(__xludf.DUMMYFUNCTION("""COMPUTED_VALUE"""),26003.0)</f>
        <v>26003</v>
      </c>
      <c r="C458" t="str">
        <f>IFERROR(__xludf.DUMMYFUNCTION("""COMPUTED_VALUE"""),"AGUDELO ECHEVERRI, MATIAS")</f>
        <v>AGUDELO ECHEVERRI, MATIAS</v>
      </c>
      <c r="D458" t="str">
        <f>IFERROR(__xludf.DUMMYFUNCTION("""COMPUTED_VALUE"""),"Art of Fiction Higher Level")</f>
        <v>Art of Fiction Higher Level</v>
      </c>
      <c r="E458" s="3">
        <f>IFERROR(__xludf.DUMMYFUNCTION("""COMPUTED_VALUE"""),1.0)</f>
        <v>1</v>
      </c>
      <c r="F458" s="300">
        <v>1.0</v>
      </c>
      <c r="G458" s="300">
        <v>1.0</v>
      </c>
      <c r="H458" s="300">
        <v>1.0</v>
      </c>
      <c r="I458" s="300">
        <v>1.0</v>
      </c>
      <c r="J458" s="300">
        <v>1.0</v>
      </c>
      <c r="K458" s="300">
        <v>1.0</v>
      </c>
      <c r="L458" s="300">
        <v>1.0</v>
      </c>
      <c r="M458" s="300">
        <v>1.0</v>
      </c>
      <c r="N458" s="300">
        <v>8.0</v>
      </c>
      <c r="O458" s="300" t="s">
        <v>801</v>
      </c>
      <c r="P458" s="300">
        <v>3.0</v>
      </c>
    </row>
    <row r="459">
      <c r="A459">
        <f>IFERROR(__xludf.DUMMYFUNCTION("""COMPUTED_VALUE"""),12.0)</f>
        <v>12</v>
      </c>
      <c r="B459" s="406">
        <f>IFERROR(__xludf.DUMMYFUNCTION("""COMPUTED_VALUE"""),26053.0)</f>
        <v>26053</v>
      </c>
      <c r="C459" t="str">
        <f>IFERROR(__xludf.DUMMYFUNCTION("""COMPUTED_VALUE"""),"HODEK RESTREPO, MIA")</f>
        <v>HODEK RESTREPO, MIA</v>
      </c>
      <c r="D459" t="str">
        <f>IFERROR(__xludf.DUMMYFUNCTION("""COMPUTED_VALUE"""),"Journalism Higher Level")</f>
        <v>Journalism Higher Level</v>
      </c>
      <c r="E459" s="3">
        <f>IFERROR(__xludf.DUMMYFUNCTION("""COMPUTED_VALUE"""),8.0)</f>
        <v>8</v>
      </c>
      <c r="F459" s="300">
        <v>1.0</v>
      </c>
      <c r="G459" s="300">
        <v>1.0</v>
      </c>
      <c r="H459" s="300">
        <v>1.0</v>
      </c>
      <c r="I459" s="300">
        <v>1.0</v>
      </c>
      <c r="J459" s="300">
        <v>1.0</v>
      </c>
      <c r="K459" s="300">
        <v>1.0</v>
      </c>
      <c r="L459" s="300">
        <v>1.0</v>
      </c>
      <c r="M459" s="300">
        <v>1.0</v>
      </c>
      <c r="N459" s="300">
        <v>8.0</v>
      </c>
      <c r="O459" s="300" t="s">
        <v>806</v>
      </c>
      <c r="P459" s="300">
        <v>3.0</v>
      </c>
    </row>
    <row r="460">
      <c r="A460">
        <f>IFERROR(__xludf.DUMMYFUNCTION("""COMPUTED_VALUE"""),12.0)</f>
        <v>12</v>
      </c>
      <c r="B460">
        <f>IFERROR(__xludf.DUMMYFUNCTION("""COMPUTED_VALUE"""),26021.0)</f>
        <v>26021</v>
      </c>
      <c r="C460" t="str">
        <f>IFERROR(__xludf.DUMMYFUNCTION("""COMPUTED_VALUE"""),"CARDONA OCHOA, CAMILA")</f>
        <v>CARDONA OCHOA, CAMILA</v>
      </c>
      <c r="D460" t="str">
        <f>IFERROR(__xludf.DUMMYFUNCTION("""COMPUTED_VALUE"""),"Journalism Higher Level")</f>
        <v>Journalism Higher Level</v>
      </c>
      <c r="E460" s="3">
        <f>IFERROR(__xludf.DUMMYFUNCTION("""COMPUTED_VALUE"""),7.0)</f>
        <v>7</v>
      </c>
      <c r="F460" s="300">
        <v>1.0</v>
      </c>
      <c r="G460" s="300">
        <v>1.0</v>
      </c>
      <c r="H460" s="300">
        <v>1.0</v>
      </c>
      <c r="I460" s="300">
        <v>1.0</v>
      </c>
      <c r="J460" s="300">
        <v>1.0</v>
      </c>
      <c r="K460" s="300">
        <v>1.0</v>
      </c>
      <c r="L460" s="300">
        <v>1.0</v>
      </c>
      <c r="M460" s="300">
        <v>1.0</v>
      </c>
      <c r="N460" s="300">
        <v>8.0</v>
      </c>
      <c r="O460" s="300" t="s">
        <v>805</v>
      </c>
      <c r="P460" s="300">
        <v>3.0</v>
      </c>
    </row>
    <row r="461">
      <c r="A461">
        <f>IFERROR(__xludf.DUMMYFUNCTION("""COMPUTED_VALUE"""),12.0)</f>
        <v>12</v>
      </c>
      <c r="B461">
        <f>IFERROR(__xludf.DUMMYFUNCTION("""COMPUTED_VALUE"""),26089.0)</f>
        <v>26089</v>
      </c>
      <c r="C461" t="str">
        <f>IFERROR(__xludf.DUMMYFUNCTION("""COMPUTED_VALUE"""),"PEREZ YEPES, EMILIANO")</f>
        <v>PEREZ YEPES, EMILIANO</v>
      </c>
      <c r="D461" t="str">
        <f>IFERROR(__xludf.DUMMYFUNCTION("""COMPUTED_VALUE"""),"Journalism Higher Level")</f>
        <v>Journalism Higher Level</v>
      </c>
      <c r="E461" s="3">
        <f>IFERROR(__xludf.DUMMYFUNCTION("""COMPUTED_VALUE"""),3.0)</f>
        <v>3</v>
      </c>
      <c r="F461" s="300">
        <v>1.0</v>
      </c>
      <c r="G461" s="300">
        <v>1.0</v>
      </c>
      <c r="H461" s="300">
        <v>1.0</v>
      </c>
      <c r="I461" s="300">
        <v>1.0</v>
      </c>
      <c r="J461" s="300">
        <v>1.0</v>
      </c>
      <c r="K461" s="300">
        <v>1.0</v>
      </c>
      <c r="L461" s="300">
        <v>1.0</v>
      </c>
      <c r="M461" s="300">
        <v>1.0</v>
      </c>
      <c r="N461" s="300">
        <v>8.0</v>
      </c>
      <c r="O461" s="300" t="s">
        <v>798</v>
      </c>
      <c r="P461" s="300">
        <v>3.0</v>
      </c>
    </row>
    <row r="462">
      <c r="A462">
        <f>IFERROR(__xludf.DUMMYFUNCTION("""COMPUTED_VALUE"""),12.0)</f>
        <v>12</v>
      </c>
      <c r="B462">
        <f>IFERROR(__xludf.DUMMYFUNCTION("""COMPUTED_VALUE"""),26035.0)</f>
        <v>26035</v>
      </c>
      <c r="C462" t="str">
        <f>IFERROR(__xludf.DUMMYFUNCTION("""COMPUTED_VALUE"""),"GAVIRIA GONZALEZ, MATIAS")</f>
        <v>GAVIRIA GONZALEZ, MATIAS</v>
      </c>
      <c r="D462" t="str">
        <f>IFERROR(__xludf.DUMMYFUNCTION("""COMPUTED_VALUE"""),"Art of Fiction Higher Level")</f>
        <v>Art of Fiction Higher Level</v>
      </c>
      <c r="E462" s="3">
        <f>IFERROR(__xludf.DUMMYFUNCTION("""COMPUTED_VALUE"""),1.0)</f>
        <v>1</v>
      </c>
      <c r="F462" s="300">
        <v>1.0</v>
      </c>
      <c r="G462" s="300">
        <v>1.0</v>
      </c>
      <c r="H462" s="300">
        <v>1.0</v>
      </c>
      <c r="I462" s="300">
        <v>1.0</v>
      </c>
      <c r="J462" s="300">
        <v>1.0</v>
      </c>
      <c r="K462" s="300">
        <v>1.0</v>
      </c>
      <c r="L462" s="300">
        <v>1.0</v>
      </c>
      <c r="M462" s="300">
        <v>1.0</v>
      </c>
      <c r="N462" s="300">
        <v>8.0</v>
      </c>
      <c r="O462" s="300" t="s">
        <v>801</v>
      </c>
      <c r="P462" s="300">
        <v>3.0</v>
      </c>
    </row>
    <row r="463">
      <c r="A463">
        <f>IFERROR(__xludf.DUMMYFUNCTION("""COMPUTED_VALUE"""),12.0)</f>
        <v>12</v>
      </c>
      <c r="B463">
        <f>IFERROR(__xludf.DUMMYFUNCTION("""COMPUTED_VALUE"""),26171.0)</f>
        <v>26171</v>
      </c>
      <c r="C463" t="str">
        <f>IFERROR(__xludf.DUMMYFUNCTION("""COMPUTED_VALUE"""),"GOMEZ AMADOR, MATIAS")</f>
        <v>GOMEZ AMADOR, MATIAS</v>
      </c>
      <c r="D463" t="str">
        <f>IFERROR(__xludf.DUMMYFUNCTION("""COMPUTED_VALUE"""),"Art of Fiction Higher Level")</f>
        <v>Art of Fiction Higher Level</v>
      </c>
      <c r="E463" s="3">
        <f>IFERROR(__xludf.DUMMYFUNCTION("""COMPUTED_VALUE"""),7.0)</f>
        <v>7</v>
      </c>
      <c r="F463" s="300">
        <v>1.0</v>
      </c>
      <c r="G463" s="300">
        <v>1.0</v>
      </c>
      <c r="H463" s="300">
        <v>1.0</v>
      </c>
      <c r="I463" s="300">
        <v>1.0</v>
      </c>
      <c r="J463" s="300">
        <v>1.0</v>
      </c>
      <c r="K463" s="300">
        <v>1.0</v>
      </c>
      <c r="L463" s="300">
        <v>1.0</v>
      </c>
      <c r="M463" s="300">
        <v>1.0</v>
      </c>
      <c r="N463" s="300">
        <v>8.0</v>
      </c>
      <c r="O463" s="300" t="s">
        <v>807</v>
      </c>
      <c r="P463" s="300">
        <v>3.0</v>
      </c>
    </row>
    <row r="464">
      <c r="A464">
        <f>IFERROR(__xludf.DUMMYFUNCTION("""COMPUTED_VALUE"""),12.0)</f>
        <v>12</v>
      </c>
      <c r="B464">
        <f>IFERROR(__xludf.DUMMYFUNCTION("""COMPUTED_VALUE"""),26066.0)</f>
        <v>26066</v>
      </c>
      <c r="C464" t="str">
        <f>IFERROR(__xludf.DUMMYFUNCTION("""COMPUTED_VALUE"""),"LONDOÑO CUARTAS, MANUEL")</f>
        <v>LONDOÑO CUARTAS, MANUEL</v>
      </c>
      <c r="D464" t="str">
        <f>IFERROR(__xludf.DUMMYFUNCTION("""COMPUTED_VALUE"""),"Journalism Higher Level")</f>
        <v>Journalism Higher Level</v>
      </c>
      <c r="E464" s="3">
        <f>IFERROR(__xludf.DUMMYFUNCTION("""COMPUTED_VALUE"""),3.0)</f>
        <v>3</v>
      </c>
      <c r="F464" s="300">
        <v>1.0</v>
      </c>
      <c r="G464" s="300">
        <v>1.0</v>
      </c>
      <c r="H464" s="300">
        <v>1.0</v>
      </c>
      <c r="I464" s="300">
        <v>1.0</v>
      </c>
      <c r="J464" s="300">
        <v>1.0</v>
      </c>
      <c r="K464" s="300">
        <v>1.0</v>
      </c>
      <c r="L464" s="300">
        <v>1.0</v>
      </c>
      <c r="M464" s="300">
        <v>1.0</v>
      </c>
      <c r="N464" s="300">
        <v>8.0</v>
      </c>
      <c r="O464" s="300" t="s">
        <v>798</v>
      </c>
      <c r="P464" s="300">
        <v>3.0</v>
      </c>
    </row>
    <row r="465">
      <c r="A465">
        <f>IFERROR(__xludf.DUMMYFUNCTION("""COMPUTED_VALUE"""),12.0)</f>
        <v>12</v>
      </c>
      <c r="B465">
        <f>IFERROR(__xludf.DUMMYFUNCTION("""COMPUTED_VALUE"""),26101.0)</f>
        <v>26101</v>
      </c>
      <c r="C465" t="str">
        <f>IFERROR(__xludf.DUMMYFUNCTION("""COMPUTED_VALUE"""),"ROBLES RESTREPO, MANOLO")</f>
        <v>ROBLES RESTREPO, MANOLO</v>
      </c>
      <c r="D465" t="str">
        <f>IFERROR(__xludf.DUMMYFUNCTION("""COMPUTED_VALUE"""),"Journalism Higher Level")</f>
        <v>Journalism Higher Level</v>
      </c>
      <c r="E465" s="3">
        <f>IFERROR(__xludf.DUMMYFUNCTION("""COMPUTED_VALUE"""),7.0)</f>
        <v>7</v>
      </c>
      <c r="F465" s="300">
        <v>1.0</v>
      </c>
      <c r="G465" s="300">
        <v>1.0</v>
      </c>
      <c r="H465" s="300">
        <v>1.0</v>
      </c>
      <c r="I465" s="300">
        <v>1.0</v>
      </c>
      <c r="J465" s="300">
        <v>1.0</v>
      </c>
      <c r="K465" s="300">
        <v>1.0</v>
      </c>
      <c r="L465" s="300">
        <v>1.0</v>
      </c>
      <c r="M465" s="300">
        <v>1.0</v>
      </c>
      <c r="N465" s="300">
        <v>8.0</v>
      </c>
      <c r="O465" s="300" t="s">
        <v>805</v>
      </c>
      <c r="P465" s="300">
        <v>3.0</v>
      </c>
    </row>
    <row r="466">
      <c r="A466">
        <f>IFERROR(__xludf.DUMMYFUNCTION("""COMPUTED_VALUE"""),12.0)</f>
        <v>12</v>
      </c>
      <c r="B466">
        <f>IFERROR(__xludf.DUMMYFUNCTION("""COMPUTED_VALUE"""),26008.0)</f>
        <v>26008</v>
      </c>
      <c r="C466" t="str">
        <f>IFERROR(__xludf.DUMMYFUNCTION("""COMPUTED_VALUE"""),"ARANGO FERNANDEZ, JUAN")</f>
        <v>ARANGO FERNANDEZ, JUAN</v>
      </c>
      <c r="D466" t="str">
        <f>IFERROR(__xludf.DUMMYFUNCTION("""COMPUTED_VALUE"""),"Journalism Higher Level")</f>
        <v>Journalism Higher Level</v>
      </c>
      <c r="E466" s="3">
        <f>IFERROR(__xludf.DUMMYFUNCTION("""COMPUTED_VALUE"""),8.0)</f>
        <v>8</v>
      </c>
      <c r="F466" s="300">
        <v>1.0</v>
      </c>
      <c r="G466" s="300">
        <v>1.0</v>
      </c>
      <c r="H466" s="300">
        <v>1.0</v>
      </c>
      <c r="I466" s="300">
        <v>1.0</v>
      </c>
      <c r="J466" s="300">
        <v>1.0</v>
      </c>
      <c r="K466" s="300">
        <v>1.0</v>
      </c>
      <c r="L466" s="300">
        <v>1.0</v>
      </c>
      <c r="M466" s="300">
        <v>1.0</v>
      </c>
      <c r="N466" s="300">
        <v>8.0</v>
      </c>
      <c r="O466" s="300" t="s">
        <v>806</v>
      </c>
      <c r="P466" s="300">
        <v>3.0</v>
      </c>
    </row>
    <row r="467">
      <c r="A467">
        <f>IFERROR(__xludf.DUMMYFUNCTION("""COMPUTED_VALUE"""),12.0)</f>
        <v>12</v>
      </c>
      <c r="B467">
        <f>IFERROR(__xludf.DUMMYFUNCTION("""COMPUTED_VALUE"""),26011.0)</f>
        <v>26011</v>
      </c>
      <c r="C467" t="str">
        <f>IFERROR(__xludf.DUMMYFUNCTION("""COMPUTED_VALUE"""),"ARROYAVE RESTREPO, CAMILO")</f>
        <v>ARROYAVE RESTREPO, CAMILO</v>
      </c>
      <c r="D467" t="str">
        <f>IFERROR(__xludf.DUMMYFUNCTION("""COMPUTED_VALUE"""),"Journalism Higher Level")</f>
        <v>Journalism Higher Level</v>
      </c>
      <c r="E467" s="3">
        <f>IFERROR(__xludf.DUMMYFUNCTION("""COMPUTED_VALUE"""),3.0)</f>
        <v>3</v>
      </c>
      <c r="F467" s="300">
        <v>1.0</v>
      </c>
      <c r="G467" s="300">
        <v>1.0</v>
      </c>
      <c r="H467" s="300">
        <v>1.0</v>
      </c>
      <c r="I467" s="300">
        <v>1.0</v>
      </c>
      <c r="J467" s="300">
        <v>1.0</v>
      </c>
      <c r="K467" s="300">
        <v>1.0</v>
      </c>
      <c r="L467" s="300">
        <v>1.0</v>
      </c>
      <c r="M467" s="300">
        <v>1.0</v>
      </c>
      <c r="N467" s="300">
        <v>8.0</v>
      </c>
      <c r="O467" s="300" t="s">
        <v>798</v>
      </c>
      <c r="P467" s="300">
        <v>3.0</v>
      </c>
    </row>
    <row r="468">
      <c r="A468">
        <f>IFERROR(__xludf.DUMMYFUNCTION("""COMPUTED_VALUE"""),12.0)</f>
        <v>12</v>
      </c>
      <c r="B468">
        <f>IFERROR(__xludf.DUMMYFUNCTION("""COMPUTED_VALUE"""),26086.0)</f>
        <v>26086</v>
      </c>
      <c r="C468" t="str">
        <f>IFERROR(__xludf.DUMMYFUNCTION("""COMPUTED_VALUE"""),"PALACIO SALAZAR, TOMAS")</f>
        <v>PALACIO SALAZAR, TOMAS</v>
      </c>
      <c r="D468" t="str">
        <f>IFERROR(__xludf.DUMMYFUNCTION("""COMPUTED_VALUE"""),"Journalism Higher Level")</f>
        <v>Journalism Higher Level</v>
      </c>
      <c r="E468" s="3">
        <f>IFERROR(__xludf.DUMMYFUNCTION("""COMPUTED_VALUE"""),8.0)</f>
        <v>8</v>
      </c>
      <c r="F468" s="300">
        <v>1.0</v>
      </c>
      <c r="G468" s="300">
        <v>1.0</v>
      </c>
      <c r="H468" s="300">
        <v>1.0</v>
      </c>
      <c r="I468" s="300">
        <v>1.0</v>
      </c>
      <c r="J468" s="300">
        <v>1.0</v>
      </c>
      <c r="K468" s="300">
        <v>1.0</v>
      </c>
      <c r="L468" s="300">
        <v>1.0</v>
      </c>
      <c r="M468" s="300">
        <v>1.0</v>
      </c>
      <c r="N468" s="300">
        <v>8.0</v>
      </c>
      <c r="O468" s="300" t="s">
        <v>806</v>
      </c>
      <c r="P468" s="300">
        <v>3.0</v>
      </c>
    </row>
    <row r="469">
      <c r="A469">
        <f>IFERROR(__xludf.DUMMYFUNCTION("""COMPUTED_VALUE"""),12.0)</f>
        <v>12</v>
      </c>
      <c r="B469">
        <f>IFERROR(__xludf.DUMMYFUNCTION("""COMPUTED_VALUE"""),25060.0)</f>
        <v>25060</v>
      </c>
      <c r="C469" t="str">
        <f>IFERROR(__xludf.DUMMYFUNCTION("""COMPUTED_VALUE"""),"LOPEZ MEJIA, SAMUEL")</f>
        <v>LOPEZ MEJIA, SAMUEL</v>
      </c>
      <c r="D469" t="str">
        <f>IFERROR(__xludf.DUMMYFUNCTION("""COMPUTED_VALUE"""),"Journalism Higher Level")</f>
        <v>Journalism Higher Level</v>
      </c>
      <c r="E469" s="3">
        <f>IFERROR(__xludf.DUMMYFUNCTION("""COMPUTED_VALUE"""),3.0)</f>
        <v>3</v>
      </c>
      <c r="F469" s="300">
        <v>1.0</v>
      </c>
      <c r="G469" s="300">
        <v>1.0</v>
      </c>
      <c r="H469" s="300">
        <v>1.0</v>
      </c>
      <c r="I469" s="300">
        <v>1.0</v>
      </c>
      <c r="J469" s="300">
        <v>1.0</v>
      </c>
      <c r="K469" s="300">
        <v>1.0</v>
      </c>
      <c r="L469" s="300">
        <v>1.0</v>
      </c>
      <c r="M469" s="300">
        <v>1.0</v>
      </c>
      <c r="N469" s="300">
        <v>8.0</v>
      </c>
      <c r="O469" s="300" t="s">
        <v>798</v>
      </c>
      <c r="P469" s="300">
        <v>3.0</v>
      </c>
    </row>
    <row r="470">
      <c r="A470">
        <f>IFERROR(__xludf.DUMMYFUNCTION("""COMPUTED_VALUE"""),12.0)</f>
        <v>12</v>
      </c>
      <c r="B470">
        <f>IFERROR(__xludf.DUMMYFUNCTION("""COMPUTED_VALUE"""),26058.0)</f>
        <v>26058</v>
      </c>
      <c r="C470" t="str">
        <f>IFERROR(__xludf.DUMMYFUNCTION("""COMPUTED_VALUE"""),"JARAMILLO FERNANDEZ, JULIAN")</f>
        <v>JARAMILLO FERNANDEZ, JULIAN</v>
      </c>
      <c r="D470" t="str">
        <f>IFERROR(__xludf.DUMMYFUNCTION("""COMPUTED_VALUE"""),"Art of Fiction Higher Level")</f>
        <v>Art of Fiction Higher Level</v>
      </c>
      <c r="E470" s="3">
        <f>IFERROR(__xludf.DUMMYFUNCTION("""COMPUTED_VALUE"""),7.0)</f>
        <v>7</v>
      </c>
      <c r="F470" s="300">
        <v>1.0</v>
      </c>
      <c r="G470" s="300">
        <v>1.0</v>
      </c>
      <c r="H470" s="300">
        <v>1.0</v>
      </c>
      <c r="I470" s="300">
        <v>1.0</v>
      </c>
      <c r="J470" s="300">
        <v>1.0</v>
      </c>
      <c r="K470" s="300">
        <v>1.0</v>
      </c>
      <c r="L470" s="300">
        <v>1.0</v>
      </c>
      <c r="M470" s="300">
        <v>1.0</v>
      </c>
      <c r="N470" s="300">
        <v>8.0</v>
      </c>
      <c r="O470" s="300" t="s">
        <v>807</v>
      </c>
      <c r="P470" s="300">
        <v>3.0</v>
      </c>
    </row>
    <row r="471">
      <c r="A471">
        <f>IFERROR(__xludf.DUMMYFUNCTION("""COMPUTED_VALUE"""),12.0)</f>
        <v>12</v>
      </c>
      <c r="B471">
        <f>IFERROR(__xludf.DUMMYFUNCTION("""COMPUTED_VALUE"""),26121.0)</f>
        <v>26121</v>
      </c>
      <c r="C471" t="str">
        <f>IFERROR(__xludf.DUMMYFUNCTION("""COMPUTED_VALUE"""),"VILLA MORENO, VICENTE")</f>
        <v>VILLA MORENO, VICENTE</v>
      </c>
      <c r="D471" t="str">
        <f>IFERROR(__xludf.DUMMYFUNCTION("""COMPUTED_VALUE"""),"Art of Fiction Higher Level")</f>
        <v>Art of Fiction Higher Level</v>
      </c>
      <c r="E471" s="3">
        <f>IFERROR(__xludf.DUMMYFUNCTION("""COMPUTED_VALUE"""),1.0)</f>
        <v>1</v>
      </c>
      <c r="F471" s="300">
        <v>1.0</v>
      </c>
      <c r="G471" s="300">
        <v>1.0</v>
      </c>
      <c r="H471" s="300">
        <v>1.0</v>
      </c>
      <c r="I471" s="300">
        <v>1.0</v>
      </c>
      <c r="J471" s="300">
        <v>1.0</v>
      </c>
      <c r="K471" s="300">
        <v>1.0</v>
      </c>
      <c r="L471" s="300">
        <v>1.0</v>
      </c>
      <c r="M471" s="300">
        <v>1.0</v>
      </c>
      <c r="N471" s="300">
        <v>8.0</v>
      </c>
      <c r="O471" s="300" t="s">
        <v>801</v>
      </c>
      <c r="P471" s="300">
        <v>3.0</v>
      </c>
    </row>
    <row r="472">
      <c r="A472">
        <f>IFERROR(__xludf.DUMMYFUNCTION("""COMPUTED_VALUE"""),12.0)</f>
        <v>12</v>
      </c>
      <c r="B472">
        <f>IFERROR(__xludf.DUMMYFUNCTION("""COMPUTED_VALUE"""),26025.0)</f>
        <v>26025</v>
      </c>
      <c r="C472" t="str">
        <f>IFERROR(__xludf.DUMMYFUNCTION("""COMPUTED_VALUE"""),"DIEZ RENDON, MARIA ANTONIA")</f>
        <v>DIEZ RENDON, MARIA ANTONIA</v>
      </c>
      <c r="D472" t="str">
        <f>IFERROR(__xludf.DUMMYFUNCTION("""COMPUTED_VALUE"""),"Art of Fiction Higher Level")</f>
        <v>Art of Fiction Higher Level</v>
      </c>
      <c r="E472" s="3">
        <f>IFERROR(__xludf.DUMMYFUNCTION("""COMPUTED_VALUE"""),1.0)</f>
        <v>1</v>
      </c>
      <c r="F472" s="300">
        <v>1.0</v>
      </c>
      <c r="G472" s="300">
        <v>1.0</v>
      </c>
      <c r="H472" s="300">
        <v>1.0</v>
      </c>
      <c r="I472" s="300">
        <v>1.0</v>
      </c>
      <c r="J472" s="300">
        <v>1.0</v>
      </c>
      <c r="K472" s="300">
        <v>1.0</v>
      </c>
      <c r="L472" s="300">
        <v>1.0</v>
      </c>
      <c r="M472" s="300">
        <v>1.0</v>
      </c>
      <c r="N472" s="300">
        <v>8.0</v>
      </c>
      <c r="O472" s="300" t="s">
        <v>801</v>
      </c>
      <c r="P472" s="300">
        <v>3.0</v>
      </c>
    </row>
    <row r="473">
      <c r="A473">
        <f>IFERROR(__xludf.DUMMYFUNCTION("""COMPUTED_VALUE"""),12.0)</f>
        <v>12</v>
      </c>
      <c r="B473">
        <f>IFERROR(__xludf.DUMMYFUNCTION("""COMPUTED_VALUE"""),26014.0)</f>
        <v>26014</v>
      </c>
      <c r="C473" t="str">
        <f>IFERROR(__xludf.DUMMYFUNCTION("""COMPUTED_VALUE"""),"BARRIENTOS BUSTAMANTE, VALENTINA")</f>
        <v>BARRIENTOS BUSTAMANTE, VALENTINA</v>
      </c>
      <c r="D473" t="str">
        <f>IFERROR(__xludf.DUMMYFUNCTION("""COMPUTED_VALUE"""),"Journalism Higher Level")</f>
        <v>Journalism Higher Level</v>
      </c>
      <c r="E473" s="3">
        <f>IFERROR(__xludf.DUMMYFUNCTION("""COMPUTED_VALUE"""),3.0)</f>
        <v>3</v>
      </c>
      <c r="F473" s="300">
        <v>1.0</v>
      </c>
      <c r="G473" s="300">
        <v>1.0</v>
      </c>
      <c r="H473" s="300">
        <v>1.0</v>
      </c>
      <c r="I473" s="300">
        <v>1.0</v>
      </c>
      <c r="J473" s="300">
        <v>1.0</v>
      </c>
      <c r="K473" s="300">
        <v>1.0</v>
      </c>
      <c r="L473" s="300">
        <v>1.0</v>
      </c>
      <c r="M473" s="300">
        <v>1.0</v>
      </c>
      <c r="N473" s="300">
        <v>8.0</v>
      </c>
      <c r="O473" s="300" t="s">
        <v>798</v>
      </c>
      <c r="P473" s="300">
        <v>3.0</v>
      </c>
    </row>
    <row r="474">
      <c r="A474">
        <f>IFERROR(__xludf.DUMMYFUNCTION("""COMPUTED_VALUE"""),12.0)</f>
        <v>12</v>
      </c>
      <c r="B474">
        <f>IFERROR(__xludf.DUMMYFUNCTION("""COMPUTED_VALUE"""),26071.0)</f>
        <v>26071</v>
      </c>
      <c r="C474" t="str">
        <f>IFERROR(__xludf.DUMMYFUNCTION("""COMPUTED_VALUE"""),"MENA TELLEZ, TOMAS FELIPE")</f>
        <v>MENA TELLEZ, TOMAS FELIPE</v>
      </c>
      <c r="D474" t="str">
        <f>IFERROR(__xludf.DUMMYFUNCTION("""COMPUTED_VALUE"""),"Art of Fiction Higher Level")</f>
        <v>Art of Fiction Higher Level</v>
      </c>
      <c r="E474" s="3">
        <f>IFERROR(__xludf.DUMMYFUNCTION("""COMPUTED_VALUE"""),8.0)</f>
        <v>8</v>
      </c>
      <c r="F474" s="300">
        <v>1.0</v>
      </c>
      <c r="G474" s="300">
        <v>1.0</v>
      </c>
      <c r="H474" s="300">
        <v>1.0</v>
      </c>
      <c r="I474" s="300">
        <v>1.0</v>
      </c>
      <c r="J474" s="300">
        <v>1.0</v>
      </c>
      <c r="K474" s="300">
        <v>1.0</v>
      </c>
      <c r="L474" s="300">
        <v>1.0</v>
      </c>
      <c r="M474" s="300">
        <v>1.0</v>
      </c>
      <c r="N474" s="300">
        <v>8.0</v>
      </c>
      <c r="O474" s="300" t="s">
        <v>804</v>
      </c>
      <c r="P474" s="300">
        <v>3.0</v>
      </c>
    </row>
    <row r="475">
      <c r="A475">
        <f>IFERROR(__xludf.DUMMYFUNCTION("""COMPUTED_VALUE"""),12.0)</f>
        <v>12</v>
      </c>
      <c r="B475">
        <f>IFERROR(__xludf.DUMMYFUNCTION("""COMPUTED_VALUE"""),26108.0)</f>
        <v>26108</v>
      </c>
      <c r="C475" t="str">
        <f>IFERROR(__xludf.DUMMYFUNCTION("""COMPUTED_VALUE"""),"THIRIEZ VILLA, SOFIA")</f>
        <v>THIRIEZ VILLA, SOFIA</v>
      </c>
      <c r="D475" t="str">
        <f>IFERROR(__xludf.DUMMYFUNCTION("""COMPUTED_VALUE"""),"Journalism Higher Level")</f>
        <v>Journalism Higher Level</v>
      </c>
      <c r="E475" s="3">
        <f>IFERROR(__xludf.DUMMYFUNCTION("""COMPUTED_VALUE"""),3.0)</f>
        <v>3</v>
      </c>
      <c r="F475" s="300">
        <v>1.0</v>
      </c>
      <c r="G475" s="300">
        <v>1.0</v>
      </c>
      <c r="H475" s="300">
        <v>1.0</v>
      </c>
      <c r="I475" s="300">
        <v>1.0</v>
      </c>
      <c r="J475" s="300">
        <v>1.0</v>
      </c>
      <c r="K475" s="300">
        <v>1.0</v>
      </c>
      <c r="L475" s="300">
        <v>1.0</v>
      </c>
      <c r="M475" s="300">
        <v>1.0</v>
      </c>
      <c r="N475" s="300">
        <v>8.0</v>
      </c>
      <c r="O475" s="300" t="s">
        <v>798</v>
      </c>
      <c r="P475" s="300">
        <v>3.0</v>
      </c>
    </row>
    <row r="476">
      <c r="A476">
        <f>IFERROR(__xludf.DUMMYFUNCTION("""COMPUTED_VALUE"""),12.0)</f>
        <v>12</v>
      </c>
      <c r="B476">
        <f>IFERROR(__xludf.DUMMYFUNCTION("""COMPUTED_VALUE"""),26082.0)</f>
        <v>26082</v>
      </c>
      <c r="C476" t="str">
        <f>IFERROR(__xludf.DUMMYFUNCTION("""COMPUTED_VALUE"""),"OREJUELA GAVIRIA, MATILDA")</f>
        <v>OREJUELA GAVIRIA, MATILDA</v>
      </c>
      <c r="D476" t="str">
        <f>IFERROR(__xludf.DUMMYFUNCTION("""COMPUTED_VALUE"""),"Journalism Higher Level")</f>
        <v>Journalism Higher Level</v>
      </c>
      <c r="E476" s="3">
        <f>IFERROR(__xludf.DUMMYFUNCTION("""COMPUTED_VALUE"""),3.0)</f>
        <v>3</v>
      </c>
      <c r="F476" s="300">
        <v>1.0</v>
      </c>
      <c r="G476" s="300">
        <v>1.0</v>
      </c>
      <c r="H476" s="300">
        <v>1.0</v>
      </c>
      <c r="I476" s="300">
        <v>1.0</v>
      </c>
      <c r="J476" s="300">
        <v>1.0</v>
      </c>
      <c r="K476" s="300">
        <v>1.0</v>
      </c>
      <c r="L476" s="300">
        <v>1.0</v>
      </c>
      <c r="M476" s="300">
        <v>1.0</v>
      </c>
      <c r="N476" s="300">
        <v>8.0</v>
      </c>
      <c r="O476" s="300" t="s">
        <v>798</v>
      </c>
      <c r="P476" s="300">
        <v>3.0</v>
      </c>
    </row>
    <row r="477">
      <c r="A477">
        <f>IFERROR(__xludf.DUMMYFUNCTION("""COMPUTED_VALUE"""),12.0)</f>
        <v>12</v>
      </c>
      <c r="B477">
        <f>IFERROR(__xludf.DUMMYFUNCTION("""COMPUTED_VALUE"""),26073.0)</f>
        <v>26073</v>
      </c>
      <c r="C477" t="str">
        <f>IFERROR(__xludf.DUMMYFUNCTION("""COMPUTED_VALUE"""),"MESA ARISTIZABAL, SARA")</f>
        <v>MESA ARISTIZABAL, SARA</v>
      </c>
      <c r="D477" t="str">
        <f>IFERROR(__xludf.DUMMYFUNCTION("""COMPUTED_VALUE"""),"Journalism Higher Level")</f>
        <v>Journalism Higher Level</v>
      </c>
      <c r="E477" s="3">
        <f>IFERROR(__xludf.DUMMYFUNCTION("""COMPUTED_VALUE"""),3.0)</f>
        <v>3</v>
      </c>
      <c r="F477" s="300">
        <v>1.0</v>
      </c>
      <c r="G477" s="300">
        <v>1.0</v>
      </c>
      <c r="H477" s="300">
        <v>1.0</v>
      </c>
      <c r="I477" s="300">
        <v>1.0</v>
      </c>
      <c r="J477" s="300">
        <v>1.0</v>
      </c>
      <c r="K477" s="300">
        <v>1.0</v>
      </c>
      <c r="L477" s="300">
        <v>1.0</v>
      </c>
      <c r="M477" s="300">
        <v>1.0</v>
      </c>
      <c r="N477" s="300">
        <v>8.0</v>
      </c>
      <c r="O477" s="300" t="s">
        <v>798</v>
      </c>
      <c r="P477" s="300">
        <v>3.0</v>
      </c>
    </row>
    <row r="478">
      <c r="A478">
        <f>IFERROR(__xludf.DUMMYFUNCTION("""COMPUTED_VALUE"""),12.0)</f>
        <v>12</v>
      </c>
      <c r="B478">
        <f>IFERROR(__xludf.DUMMYFUNCTION("""COMPUTED_VALUE"""),26026.0)</f>
        <v>26026</v>
      </c>
      <c r="C478" t="str">
        <f>IFERROR(__xludf.DUMMYFUNCTION("""COMPUTED_VALUE"""),"ECHAVARRIA JARAMILLO, VICENTE")</f>
        <v>ECHAVARRIA JARAMILLO, VICENTE</v>
      </c>
      <c r="D478" t="str">
        <f>IFERROR(__xludf.DUMMYFUNCTION("""COMPUTED_VALUE"""),"Journalism Higher Level")</f>
        <v>Journalism Higher Level</v>
      </c>
      <c r="E478" s="3">
        <f>IFERROR(__xludf.DUMMYFUNCTION("""COMPUTED_VALUE"""),7.0)</f>
        <v>7</v>
      </c>
      <c r="F478" s="300">
        <v>1.0</v>
      </c>
      <c r="G478" s="300">
        <v>1.0</v>
      </c>
      <c r="H478" s="300">
        <v>1.0</v>
      </c>
      <c r="I478" s="300">
        <v>1.0</v>
      </c>
      <c r="J478" s="300">
        <v>1.0</v>
      </c>
      <c r="K478" s="300">
        <v>1.0</v>
      </c>
      <c r="L478" s="300">
        <v>1.0</v>
      </c>
      <c r="M478" s="300">
        <v>1.0</v>
      </c>
      <c r="N478" s="300">
        <v>8.0</v>
      </c>
      <c r="O478" s="300" t="s">
        <v>805</v>
      </c>
      <c r="P478" s="300">
        <v>3.0</v>
      </c>
    </row>
    <row r="479">
      <c r="A479">
        <f>IFERROR(__xludf.DUMMYFUNCTION("""COMPUTED_VALUE"""),12.0)</f>
        <v>12</v>
      </c>
      <c r="B479">
        <f>IFERROR(__xludf.DUMMYFUNCTION("""COMPUTED_VALUE"""),25008.0)</f>
        <v>25008</v>
      </c>
      <c r="C479" t="str">
        <f>IFERROR(__xludf.DUMMYFUNCTION("""COMPUTED_VALUE"""),"ARANGO CASTRO, IVAN SANTIAGO")</f>
        <v>ARANGO CASTRO, IVAN SANTIAGO</v>
      </c>
      <c r="D479" t="str">
        <f>IFERROR(__xludf.DUMMYFUNCTION("""COMPUTED_VALUE"""),"Journalism Higher Level")</f>
        <v>Journalism Higher Level</v>
      </c>
      <c r="E479" s="3">
        <f>IFERROR(__xludf.DUMMYFUNCTION("""COMPUTED_VALUE"""),7.0)</f>
        <v>7</v>
      </c>
      <c r="F479" s="300">
        <v>1.0</v>
      </c>
      <c r="G479" s="300">
        <v>1.0</v>
      </c>
      <c r="H479" s="300">
        <v>1.0</v>
      </c>
      <c r="I479" s="300">
        <v>1.0</v>
      </c>
      <c r="J479" s="300">
        <v>1.0</v>
      </c>
      <c r="K479" s="300">
        <v>1.0</v>
      </c>
      <c r="L479" s="300">
        <v>1.0</v>
      </c>
      <c r="M479" s="300">
        <v>1.0</v>
      </c>
      <c r="N479" s="300">
        <v>8.0</v>
      </c>
      <c r="O479" s="300" t="s">
        <v>805</v>
      </c>
      <c r="P479" s="300">
        <v>3.0</v>
      </c>
    </row>
    <row r="480">
      <c r="A480">
        <f>IFERROR(__xludf.DUMMYFUNCTION("""COMPUTED_VALUE"""),12.0)</f>
        <v>12</v>
      </c>
      <c r="B480">
        <f>IFERROR(__xludf.DUMMYFUNCTION("""COMPUTED_VALUE"""),26079.0)</f>
        <v>26079</v>
      </c>
      <c r="C480" t="str">
        <f>IFERROR(__xludf.DUMMYFUNCTION("""COMPUTED_VALUE"""),"OCHOA PODESTA, CAMILA")</f>
        <v>OCHOA PODESTA, CAMILA</v>
      </c>
      <c r="D480" t="str">
        <f>IFERROR(__xludf.DUMMYFUNCTION("""COMPUTED_VALUE"""),"Art of Fiction Higher Level")</f>
        <v>Art of Fiction Higher Level</v>
      </c>
      <c r="E480" s="3">
        <f>IFERROR(__xludf.DUMMYFUNCTION("""COMPUTED_VALUE"""),1.0)</f>
        <v>1</v>
      </c>
      <c r="F480" s="300">
        <v>1.0</v>
      </c>
      <c r="G480" s="300">
        <v>1.0</v>
      </c>
      <c r="H480" s="300">
        <v>1.0</v>
      </c>
      <c r="I480" s="300">
        <v>1.0</v>
      </c>
      <c r="J480" s="300">
        <v>1.0</v>
      </c>
      <c r="K480" s="300">
        <v>1.0</v>
      </c>
      <c r="L480" s="300">
        <v>1.0</v>
      </c>
      <c r="M480" s="300">
        <v>1.0</v>
      </c>
      <c r="N480" s="300">
        <v>8.0</v>
      </c>
      <c r="O480" s="300" t="s">
        <v>801</v>
      </c>
      <c r="P480" s="300">
        <v>3.0</v>
      </c>
    </row>
    <row r="481">
      <c r="A481">
        <f>IFERROR(__xludf.DUMMYFUNCTION("""COMPUTED_VALUE"""),12.0)</f>
        <v>12</v>
      </c>
      <c r="B481">
        <f>IFERROR(__xludf.DUMMYFUNCTION("""COMPUTED_VALUE"""),26051.0)</f>
        <v>26051</v>
      </c>
      <c r="C481" t="str">
        <f>IFERROR(__xludf.DUMMYFUNCTION("""COMPUTED_VALUE"""),"HINESTROZA ESCOBAR, IRENE")</f>
        <v>HINESTROZA ESCOBAR, IRENE</v>
      </c>
      <c r="D481" t="str">
        <f>IFERROR(__xludf.DUMMYFUNCTION("""COMPUTED_VALUE"""),"Journalism Higher Level")</f>
        <v>Journalism Higher Level</v>
      </c>
      <c r="E481" s="3">
        <f>IFERROR(__xludf.DUMMYFUNCTION("""COMPUTED_VALUE"""),8.0)</f>
        <v>8</v>
      </c>
      <c r="F481" s="300">
        <v>1.0</v>
      </c>
      <c r="G481" s="300">
        <v>1.0</v>
      </c>
      <c r="H481" s="300">
        <v>1.0</v>
      </c>
      <c r="I481" s="300">
        <v>1.0</v>
      </c>
      <c r="J481" s="300">
        <v>1.0</v>
      </c>
      <c r="K481" s="300">
        <v>1.0</v>
      </c>
      <c r="L481" s="300">
        <v>1.0</v>
      </c>
      <c r="M481" s="300">
        <v>1.0</v>
      </c>
      <c r="N481" s="300">
        <v>8.0</v>
      </c>
      <c r="O481" s="300" t="s">
        <v>806</v>
      </c>
      <c r="P481" s="300">
        <v>3.0</v>
      </c>
    </row>
    <row r="482">
      <c r="A482">
        <f>IFERROR(__xludf.DUMMYFUNCTION("""COMPUTED_VALUE"""),12.0)</f>
        <v>12</v>
      </c>
      <c r="B482">
        <f>IFERROR(__xludf.DUMMYFUNCTION("""COMPUTED_VALUE"""),26036.0)</f>
        <v>26036</v>
      </c>
      <c r="C482" t="str">
        <f>IFERROR(__xludf.DUMMYFUNCTION("""COMPUTED_VALUE"""),"GAVIRIA LONDOÑO, ALEJANDRO")</f>
        <v>GAVIRIA LONDOÑO, ALEJANDRO</v>
      </c>
      <c r="D482" t="str">
        <f>IFERROR(__xludf.DUMMYFUNCTION("""COMPUTED_VALUE"""),"Journalism Higher Level")</f>
        <v>Journalism Higher Level</v>
      </c>
      <c r="E482" s="3">
        <f>IFERROR(__xludf.DUMMYFUNCTION("""COMPUTED_VALUE"""),8.0)</f>
        <v>8</v>
      </c>
      <c r="F482" s="300">
        <v>1.0</v>
      </c>
      <c r="G482" s="300">
        <v>1.0</v>
      </c>
      <c r="H482" s="300">
        <v>1.0</v>
      </c>
      <c r="I482" s="300">
        <v>1.0</v>
      </c>
      <c r="J482" s="300">
        <v>1.0</v>
      </c>
      <c r="K482" s="300">
        <v>1.0</v>
      </c>
      <c r="L482" s="300">
        <v>1.0</v>
      </c>
      <c r="M482" s="300">
        <v>1.0</v>
      </c>
      <c r="N482" s="300">
        <v>8.0</v>
      </c>
      <c r="O482" s="300" t="s">
        <v>806</v>
      </c>
      <c r="P482" s="300">
        <v>3.0</v>
      </c>
    </row>
    <row r="483">
      <c r="A483">
        <f>IFERROR(__xludf.DUMMYFUNCTION("""COMPUTED_VALUE"""),12.0)</f>
        <v>12</v>
      </c>
      <c r="B483" s="406">
        <f>IFERROR(__xludf.DUMMYFUNCTION("""COMPUTED_VALUE"""),26100.0)</f>
        <v>26100</v>
      </c>
      <c r="C483" t="str">
        <f>IFERROR(__xludf.DUMMYFUNCTION("""COMPUTED_VALUE"""),"RESTREPO TORO, LUCIANO")</f>
        <v>RESTREPO TORO, LUCIANO</v>
      </c>
      <c r="D483" t="str">
        <f>IFERROR(__xludf.DUMMYFUNCTION("""COMPUTED_VALUE"""),"Journalism Higher Level")</f>
        <v>Journalism Higher Level</v>
      </c>
      <c r="E483" s="3">
        <f>IFERROR(__xludf.DUMMYFUNCTION("""COMPUTED_VALUE"""),3.0)</f>
        <v>3</v>
      </c>
      <c r="F483" s="300">
        <v>1.0</v>
      </c>
      <c r="G483" s="300">
        <v>1.0</v>
      </c>
      <c r="H483" s="300">
        <v>1.0</v>
      </c>
      <c r="I483" s="300">
        <v>1.0</v>
      </c>
      <c r="J483" s="300">
        <v>1.0</v>
      </c>
      <c r="K483" s="300">
        <v>1.0</v>
      </c>
      <c r="L483" s="300">
        <v>1.0</v>
      </c>
      <c r="M483" s="300">
        <v>1.0</v>
      </c>
      <c r="N483" s="300">
        <v>8.0</v>
      </c>
      <c r="O483" s="300" t="s">
        <v>798</v>
      </c>
      <c r="P483" s="300">
        <v>3.0</v>
      </c>
    </row>
    <row r="484">
      <c r="A484">
        <f>IFERROR(__xludf.DUMMYFUNCTION("""COMPUTED_VALUE"""),12.0)</f>
        <v>12</v>
      </c>
      <c r="B484">
        <f>IFERROR(__xludf.DUMMYFUNCTION("""COMPUTED_VALUE"""),26122.0)</f>
        <v>26122</v>
      </c>
      <c r="C484" t="str">
        <f>IFERROR(__xludf.DUMMYFUNCTION("""COMPUTED_VALUE"""),"VILLEGAS PELAEZ, CRISTOBAL")</f>
        <v>VILLEGAS PELAEZ, CRISTOBAL</v>
      </c>
      <c r="D484" t="str">
        <f>IFERROR(__xludf.DUMMYFUNCTION("""COMPUTED_VALUE"""),"Journalism Higher Level")</f>
        <v>Journalism Higher Level</v>
      </c>
      <c r="E484" s="3">
        <f>IFERROR(__xludf.DUMMYFUNCTION("""COMPUTED_VALUE"""),3.0)</f>
        <v>3</v>
      </c>
      <c r="F484" s="300">
        <v>1.0</v>
      </c>
      <c r="G484" s="300">
        <v>1.0</v>
      </c>
      <c r="H484" s="300">
        <v>1.0</v>
      </c>
      <c r="I484" s="300">
        <v>1.0</v>
      </c>
      <c r="J484" s="300">
        <v>1.0</v>
      </c>
      <c r="K484" s="300">
        <v>1.0</v>
      </c>
      <c r="L484" s="300">
        <v>1.0</v>
      </c>
      <c r="M484" s="300">
        <v>1.0</v>
      </c>
      <c r="N484" s="300">
        <v>8.0</v>
      </c>
      <c r="O484" s="300" t="s">
        <v>798</v>
      </c>
      <c r="P484" s="300">
        <v>3.0</v>
      </c>
    </row>
    <row r="485">
      <c r="A485">
        <f>IFERROR(__xludf.DUMMYFUNCTION("""COMPUTED_VALUE"""),12.0)</f>
        <v>12</v>
      </c>
      <c r="B485">
        <f>IFERROR(__xludf.DUMMYFUNCTION("""COMPUTED_VALUE"""),26142.0)</f>
        <v>26142</v>
      </c>
      <c r="C485" t="str">
        <f>IFERROR(__xludf.DUMMYFUNCTION("""COMPUTED_VALUE"""),"BERNAL ESTRADA, JERONIMO")</f>
        <v>BERNAL ESTRADA, JERONIMO</v>
      </c>
      <c r="D485" t="str">
        <f>IFERROR(__xludf.DUMMYFUNCTION("""COMPUTED_VALUE"""),"Journalism Higher Level")</f>
        <v>Journalism Higher Level</v>
      </c>
      <c r="E485" s="3">
        <f>IFERROR(__xludf.DUMMYFUNCTION("""COMPUTED_VALUE"""),7.0)</f>
        <v>7</v>
      </c>
      <c r="F485" s="300">
        <v>1.0</v>
      </c>
      <c r="G485" s="300">
        <v>1.0</v>
      </c>
      <c r="H485" s="300">
        <v>1.0</v>
      </c>
      <c r="I485" s="300">
        <v>1.0</v>
      </c>
      <c r="J485" s="300">
        <v>1.0</v>
      </c>
      <c r="K485" s="300">
        <v>1.0</v>
      </c>
      <c r="L485" s="300">
        <v>1.0</v>
      </c>
      <c r="M485" s="300">
        <v>1.0</v>
      </c>
      <c r="N485" s="300">
        <v>8.0</v>
      </c>
      <c r="O485" s="300" t="s">
        <v>805</v>
      </c>
      <c r="P485" s="300">
        <v>3.0</v>
      </c>
    </row>
    <row r="486">
      <c r="A486">
        <f>IFERROR(__xludf.DUMMYFUNCTION("""COMPUTED_VALUE"""),12.0)</f>
        <v>12</v>
      </c>
      <c r="B486">
        <f>IFERROR(__xludf.DUMMYFUNCTION("""COMPUTED_VALUE"""),26090.0)</f>
        <v>26090</v>
      </c>
      <c r="C486" t="str">
        <f>IFERROR(__xludf.DUMMYFUNCTION("""COMPUTED_VALUE"""),"PETTIT PELAEZ, JUANITA")</f>
        <v>PETTIT PELAEZ, JUANITA</v>
      </c>
      <c r="D486" t="str">
        <f>IFERROR(__xludf.DUMMYFUNCTION("""COMPUTED_VALUE"""),"Art of Fiction Higher Level")</f>
        <v>Art of Fiction Higher Level</v>
      </c>
      <c r="E486" s="3">
        <f>IFERROR(__xludf.DUMMYFUNCTION("""COMPUTED_VALUE"""),8.0)</f>
        <v>8</v>
      </c>
      <c r="F486" s="300">
        <v>1.0</v>
      </c>
      <c r="G486" s="300">
        <v>1.0</v>
      </c>
      <c r="H486" s="300">
        <v>1.0</v>
      </c>
      <c r="I486" s="300">
        <v>1.0</v>
      </c>
      <c r="J486" s="300">
        <v>1.0</v>
      </c>
      <c r="K486" s="300">
        <v>1.0</v>
      </c>
      <c r="L486" s="300">
        <v>1.0</v>
      </c>
      <c r="M486" s="300">
        <v>1.0</v>
      </c>
      <c r="N486" s="300">
        <v>8.0</v>
      </c>
      <c r="O486" s="300" t="s">
        <v>804</v>
      </c>
      <c r="P486" s="300">
        <v>3.0</v>
      </c>
    </row>
    <row r="487">
      <c r="A487">
        <f>IFERROR(__xludf.DUMMYFUNCTION("""COMPUTED_VALUE"""),12.0)</f>
        <v>12</v>
      </c>
      <c r="B487">
        <f>IFERROR(__xludf.DUMMYFUNCTION("""COMPUTED_VALUE"""),26132.0)</f>
        <v>26132</v>
      </c>
      <c r="C487" t="str">
        <f>IFERROR(__xludf.DUMMYFUNCTION("""COMPUTED_VALUE"""),"OLIVEIRA CASTAÑO, MIRANDA")</f>
        <v>OLIVEIRA CASTAÑO, MIRANDA</v>
      </c>
      <c r="D487" t="str">
        <f>IFERROR(__xludf.DUMMYFUNCTION("""COMPUTED_VALUE"""),"Journalism Higher Level")</f>
        <v>Journalism Higher Level</v>
      </c>
      <c r="E487" s="3">
        <f>IFERROR(__xludf.DUMMYFUNCTION("""COMPUTED_VALUE"""),8.0)</f>
        <v>8</v>
      </c>
      <c r="F487" s="300">
        <v>1.0</v>
      </c>
      <c r="G487" s="300">
        <v>1.0</v>
      </c>
      <c r="H487" s="300">
        <v>1.0</v>
      </c>
      <c r="I487" s="300">
        <v>1.0</v>
      </c>
      <c r="J487" s="300">
        <v>1.0</v>
      </c>
      <c r="K487" s="300">
        <v>1.0</v>
      </c>
      <c r="L487" s="300">
        <v>1.0</v>
      </c>
      <c r="M487" s="300">
        <v>1.0</v>
      </c>
      <c r="N487" s="300">
        <v>8.0</v>
      </c>
      <c r="O487" s="300" t="s">
        <v>806</v>
      </c>
      <c r="P487" s="300">
        <v>3.0</v>
      </c>
    </row>
    <row r="488">
      <c r="A488">
        <f>IFERROR(__xludf.DUMMYFUNCTION("""COMPUTED_VALUE"""),12.0)</f>
        <v>12</v>
      </c>
      <c r="B488">
        <f>IFERROR(__xludf.DUMMYFUNCTION("""COMPUTED_VALUE"""),26109.0)</f>
        <v>26109</v>
      </c>
      <c r="C488" t="str">
        <f>IFERROR(__xludf.DUMMYFUNCTION("""COMPUTED_VALUE"""),"TORRES GAVIRIA, MARIANA")</f>
        <v>TORRES GAVIRIA, MARIANA</v>
      </c>
      <c r="D488" t="str">
        <f>IFERROR(__xludf.DUMMYFUNCTION("""COMPUTED_VALUE"""),"Journalism Higher Level")</f>
        <v>Journalism Higher Level</v>
      </c>
      <c r="E488" s="3">
        <f>IFERROR(__xludf.DUMMYFUNCTION("""COMPUTED_VALUE"""),8.0)</f>
        <v>8</v>
      </c>
      <c r="F488" s="300">
        <v>1.0</v>
      </c>
      <c r="G488" s="300">
        <v>1.0</v>
      </c>
      <c r="H488" s="300">
        <v>1.0</v>
      </c>
      <c r="I488" s="300">
        <v>1.0</v>
      </c>
      <c r="J488" s="300">
        <v>1.0</v>
      </c>
      <c r="K488" s="300">
        <v>1.0</v>
      </c>
      <c r="L488" s="300">
        <v>1.0</v>
      </c>
      <c r="M488" s="300">
        <v>1.0</v>
      </c>
      <c r="N488" s="300">
        <v>8.0</v>
      </c>
      <c r="O488" s="300" t="s">
        <v>806</v>
      </c>
      <c r="P488" s="300">
        <v>3.0</v>
      </c>
    </row>
    <row r="489">
      <c r="A489">
        <f>IFERROR(__xludf.DUMMYFUNCTION("""COMPUTED_VALUE"""),12.0)</f>
        <v>12</v>
      </c>
      <c r="B489">
        <f>IFERROR(__xludf.DUMMYFUNCTION("""COMPUTED_VALUE"""),26027.0)</f>
        <v>26027</v>
      </c>
      <c r="C489" t="str">
        <f>IFERROR(__xludf.DUMMYFUNCTION("""COMPUTED_VALUE"""),"ESCANDON LIBOS, MARIA")</f>
        <v>ESCANDON LIBOS, MARIA</v>
      </c>
      <c r="D489" t="str">
        <f>IFERROR(__xludf.DUMMYFUNCTION("""COMPUTED_VALUE"""),"Journalism Higher Level")</f>
        <v>Journalism Higher Level</v>
      </c>
      <c r="E489" s="3">
        <f>IFERROR(__xludf.DUMMYFUNCTION("""COMPUTED_VALUE"""),8.0)</f>
        <v>8</v>
      </c>
      <c r="F489" s="300">
        <v>1.0</v>
      </c>
      <c r="G489" s="300">
        <v>1.0</v>
      </c>
      <c r="H489" s="300">
        <v>1.0</v>
      </c>
      <c r="I489" s="300">
        <v>1.0</v>
      </c>
      <c r="J489" s="300">
        <v>1.0</v>
      </c>
      <c r="K489" s="300">
        <v>1.0</v>
      </c>
      <c r="L489" s="300">
        <v>1.0</v>
      </c>
      <c r="M489" s="300">
        <v>1.0</v>
      </c>
      <c r="N489" s="300">
        <v>8.0</v>
      </c>
      <c r="O489" s="300" t="s">
        <v>806</v>
      </c>
      <c r="P489" s="300">
        <v>3.0</v>
      </c>
    </row>
    <row r="490">
      <c r="A490">
        <f>IFERROR(__xludf.DUMMYFUNCTION("""COMPUTED_VALUE"""),12.0)</f>
        <v>12</v>
      </c>
      <c r="B490">
        <f>IFERROR(__xludf.DUMMYFUNCTION("""COMPUTED_VALUE"""),26019.0)</f>
        <v>26019</v>
      </c>
      <c r="C490" t="str">
        <f>IFERROR(__xludf.DUMMYFUNCTION("""COMPUTED_VALUE"""),"CADAVID VELASQUEZ, MARTIN")</f>
        <v>CADAVID VELASQUEZ, MARTIN</v>
      </c>
      <c r="D490" t="str">
        <f>IFERROR(__xludf.DUMMYFUNCTION("""COMPUTED_VALUE"""),"Art of Fiction Higher Level")</f>
        <v>Art of Fiction Higher Level</v>
      </c>
      <c r="E490" s="3">
        <f>IFERROR(__xludf.DUMMYFUNCTION("""COMPUTED_VALUE"""),8.0)</f>
        <v>8</v>
      </c>
      <c r="F490" s="300">
        <v>1.0</v>
      </c>
      <c r="G490" s="300">
        <v>1.0</v>
      </c>
      <c r="H490" s="300">
        <v>1.0</v>
      </c>
      <c r="I490" s="300">
        <v>1.0</v>
      </c>
      <c r="J490" s="300">
        <v>1.0</v>
      </c>
      <c r="K490" s="300">
        <v>1.0</v>
      </c>
      <c r="L490" s="300">
        <v>1.0</v>
      </c>
      <c r="M490" s="300">
        <v>1.0</v>
      </c>
      <c r="N490" s="300">
        <v>8.0</v>
      </c>
      <c r="O490" s="300" t="s">
        <v>804</v>
      </c>
      <c r="P490" s="300">
        <v>3.0</v>
      </c>
    </row>
    <row r="491">
      <c r="A491">
        <f>IFERROR(__xludf.DUMMYFUNCTION("""COMPUTED_VALUE"""),12.0)</f>
        <v>12</v>
      </c>
      <c r="B491">
        <f>IFERROR(__xludf.DUMMYFUNCTION("""COMPUTED_VALUE"""),26031.0)</f>
        <v>26031</v>
      </c>
      <c r="C491" t="str">
        <f>IFERROR(__xludf.DUMMYFUNCTION("""COMPUTED_VALUE"""),"FRANCO GOMEZ, DANIEL")</f>
        <v>FRANCO GOMEZ, DANIEL</v>
      </c>
      <c r="D491" t="str">
        <f>IFERROR(__xludf.DUMMYFUNCTION("""COMPUTED_VALUE"""),"Art of Fiction Higher Level")</f>
        <v>Art of Fiction Higher Level</v>
      </c>
      <c r="E491" s="3">
        <f>IFERROR(__xludf.DUMMYFUNCTION("""COMPUTED_VALUE"""),7.0)</f>
        <v>7</v>
      </c>
      <c r="F491" s="300">
        <v>1.0</v>
      </c>
      <c r="G491" s="300">
        <v>1.0</v>
      </c>
      <c r="H491" s="300">
        <v>1.0</v>
      </c>
      <c r="I491" s="300">
        <v>1.0</v>
      </c>
      <c r="J491" s="300">
        <v>1.0</v>
      </c>
      <c r="K491" s="300">
        <v>1.0</v>
      </c>
      <c r="L491" s="300">
        <v>1.0</v>
      </c>
      <c r="M491" s="300">
        <v>1.0</v>
      </c>
      <c r="N491" s="300">
        <v>8.0</v>
      </c>
      <c r="O491" s="300" t="s">
        <v>807</v>
      </c>
      <c r="P491" s="300">
        <v>3.0</v>
      </c>
    </row>
    <row r="492">
      <c r="A492">
        <f>IFERROR(__xludf.DUMMYFUNCTION("""COMPUTED_VALUE"""),12.0)</f>
        <v>12</v>
      </c>
      <c r="B492">
        <f>IFERROR(__xludf.DUMMYFUNCTION("""COMPUTED_VALUE"""),26047.0)</f>
        <v>26047</v>
      </c>
      <c r="C492" t="str">
        <f>IFERROR(__xludf.DUMMYFUNCTION("""COMPUTED_VALUE"""),"HENAO ISAZA, LUCIANO")</f>
        <v>HENAO ISAZA, LUCIANO</v>
      </c>
      <c r="D492" t="str">
        <f>IFERROR(__xludf.DUMMYFUNCTION("""COMPUTED_VALUE"""),"Journalism Higher Level")</f>
        <v>Journalism Higher Level</v>
      </c>
      <c r="E492" s="3">
        <f>IFERROR(__xludf.DUMMYFUNCTION("""COMPUTED_VALUE"""),8.0)</f>
        <v>8</v>
      </c>
      <c r="F492" s="300">
        <v>1.0</v>
      </c>
      <c r="G492" s="300">
        <v>1.0</v>
      </c>
      <c r="H492" s="300">
        <v>1.0</v>
      </c>
      <c r="I492" s="300">
        <v>1.0</v>
      </c>
      <c r="J492" s="300">
        <v>1.0</v>
      </c>
      <c r="K492" s="300">
        <v>1.0</v>
      </c>
      <c r="L492" s="300">
        <v>1.0</v>
      </c>
      <c r="M492" s="300">
        <v>1.0</v>
      </c>
      <c r="N492" s="300">
        <v>8.0</v>
      </c>
      <c r="O492" s="300" t="s">
        <v>806</v>
      </c>
      <c r="P492" s="300">
        <v>3.0</v>
      </c>
    </row>
    <row r="493">
      <c r="A493">
        <f>IFERROR(__xludf.DUMMYFUNCTION("""COMPUTED_VALUE"""),12.0)</f>
        <v>12</v>
      </c>
      <c r="B493">
        <f>IFERROR(__xludf.DUMMYFUNCTION("""COMPUTED_VALUE"""),26095.0)</f>
        <v>26095</v>
      </c>
      <c r="C493" t="str">
        <f>IFERROR(__xludf.DUMMYFUNCTION("""COMPUTED_VALUE"""),"RAMIREZ PELAEZ, LUCIANA")</f>
        <v>RAMIREZ PELAEZ, LUCIANA</v>
      </c>
      <c r="D493" t="str">
        <f>IFERROR(__xludf.DUMMYFUNCTION("""COMPUTED_VALUE"""),"Art of Fiction Higher Level")</f>
        <v>Art of Fiction Higher Level</v>
      </c>
      <c r="E493" s="3">
        <f>IFERROR(__xludf.DUMMYFUNCTION("""COMPUTED_VALUE"""),8.0)</f>
        <v>8</v>
      </c>
      <c r="F493" s="300">
        <v>1.0</v>
      </c>
      <c r="G493" s="300">
        <v>1.0</v>
      </c>
      <c r="H493" s="300">
        <v>1.0</v>
      </c>
      <c r="I493" s="300">
        <v>1.0</v>
      </c>
      <c r="J493" s="300">
        <v>1.0</v>
      </c>
      <c r="K493" s="300">
        <v>1.0</v>
      </c>
      <c r="L493" s="300">
        <v>1.0</v>
      </c>
      <c r="M493" s="300">
        <v>1.0</v>
      </c>
      <c r="N493" s="300">
        <v>8.0</v>
      </c>
      <c r="O493" s="300" t="s">
        <v>804</v>
      </c>
      <c r="P493" s="300">
        <v>3.0</v>
      </c>
    </row>
    <row r="494">
      <c r="A494">
        <f>IFERROR(__xludf.DUMMYFUNCTION("""COMPUTED_VALUE"""),12.0)</f>
        <v>12</v>
      </c>
      <c r="B494">
        <f>IFERROR(__xludf.DUMMYFUNCTION("""COMPUTED_VALUE"""),26032.0)</f>
        <v>26032</v>
      </c>
      <c r="C494" t="str">
        <f>IFERROR(__xludf.DUMMYFUNCTION("""COMPUTED_VALUE"""),"FRANCO SALDARRIAGA, EDUARDO")</f>
        <v>FRANCO SALDARRIAGA, EDUARDO</v>
      </c>
      <c r="D494" t="str">
        <f>IFERROR(__xludf.DUMMYFUNCTION("""COMPUTED_VALUE"""),"Art of Fiction Higher Level")</f>
        <v>Art of Fiction Higher Level</v>
      </c>
      <c r="E494" s="3">
        <f>IFERROR(__xludf.DUMMYFUNCTION("""COMPUTED_VALUE"""),1.0)</f>
        <v>1</v>
      </c>
      <c r="F494" s="300">
        <v>1.0</v>
      </c>
      <c r="G494" s="300">
        <v>1.0</v>
      </c>
      <c r="H494" s="300">
        <v>1.0</v>
      </c>
      <c r="I494" s="300">
        <v>1.0</v>
      </c>
      <c r="J494" s="300">
        <v>1.0</v>
      </c>
      <c r="K494" s="300">
        <v>1.0</v>
      </c>
      <c r="L494" s="300">
        <v>1.0</v>
      </c>
      <c r="M494" s="300">
        <v>1.0</v>
      </c>
      <c r="N494" s="300">
        <v>8.0</v>
      </c>
      <c r="O494" s="300" t="s">
        <v>801</v>
      </c>
      <c r="P494" s="300">
        <v>3.0</v>
      </c>
    </row>
    <row r="495">
      <c r="A495">
        <f>IFERROR(__xludf.DUMMYFUNCTION("""COMPUTED_VALUE"""),12.0)</f>
        <v>12</v>
      </c>
      <c r="B495">
        <f>IFERROR(__xludf.DUMMYFUNCTION("""COMPUTED_VALUE"""),26072.0)</f>
        <v>26072</v>
      </c>
      <c r="C495" t="str">
        <f>IFERROR(__xludf.DUMMYFUNCTION("""COMPUTED_VALUE"""),"MERINO VALENCIA, CAMILO")</f>
        <v>MERINO VALENCIA, CAMILO</v>
      </c>
      <c r="D495" t="str">
        <f>IFERROR(__xludf.DUMMYFUNCTION("""COMPUTED_VALUE"""),"Art of Fiction Higher Level")</f>
        <v>Art of Fiction Higher Level</v>
      </c>
      <c r="E495" s="3">
        <f>IFERROR(__xludf.DUMMYFUNCTION("""COMPUTED_VALUE"""),8.0)</f>
        <v>8</v>
      </c>
      <c r="F495" s="300">
        <v>1.0</v>
      </c>
      <c r="G495" s="300">
        <v>1.0</v>
      </c>
      <c r="H495" s="300">
        <v>1.0</v>
      </c>
      <c r="I495" s="300">
        <v>1.0</v>
      </c>
      <c r="J495" s="300">
        <v>1.0</v>
      </c>
      <c r="K495" s="300">
        <v>1.0</v>
      </c>
      <c r="L495" s="300">
        <v>1.0</v>
      </c>
      <c r="M495" s="300">
        <v>1.0</v>
      </c>
      <c r="N495" s="300">
        <v>8.0</v>
      </c>
      <c r="O495" s="300" t="s">
        <v>804</v>
      </c>
      <c r="P495" s="300">
        <v>3.0</v>
      </c>
    </row>
    <row r="496">
      <c r="A496">
        <f>IFERROR(__xludf.DUMMYFUNCTION("""COMPUTED_VALUE"""),12.0)</f>
        <v>12</v>
      </c>
      <c r="B496">
        <f>IFERROR(__xludf.DUMMYFUNCTION("""COMPUTED_VALUE"""),26139.0)</f>
        <v>26139</v>
      </c>
      <c r="C496" t="str">
        <f>IFERROR(__xludf.DUMMYFUNCTION("""COMPUTED_VALUE"""),"POSADA VILLALOBOS, VERONICA")</f>
        <v>POSADA VILLALOBOS, VERONICA</v>
      </c>
      <c r="D496" t="str">
        <f>IFERROR(__xludf.DUMMYFUNCTION("""COMPUTED_VALUE"""),"AP English Literature")</f>
        <v>AP English Literature</v>
      </c>
      <c r="E496" s="3">
        <f>IFERROR(__xludf.DUMMYFUNCTION("""COMPUTED_VALUE"""),4.0)</f>
        <v>4</v>
      </c>
      <c r="F496" s="300">
        <v>1.0</v>
      </c>
      <c r="G496" s="300">
        <v>1.0</v>
      </c>
      <c r="H496" s="300">
        <v>1.0</v>
      </c>
      <c r="I496" s="300">
        <v>1.0</v>
      </c>
      <c r="J496" s="300">
        <v>1.0</v>
      </c>
      <c r="K496" s="300">
        <v>1.0</v>
      </c>
      <c r="L496" s="300">
        <v>1.0</v>
      </c>
      <c r="M496" s="300">
        <v>1.0</v>
      </c>
      <c r="N496" s="300">
        <v>8.0</v>
      </c>
      <c r="O496" s="300" t="s">
        <v>796</v>
      </c>
      <c r="P496" s="300">
        <v>1.0</v>
      </c>
    </row>
    <row r="497">
      <c r="A497">
        <f>IFERROR(__xludf.DUMMYFUNCTION("""COMPUTED_VALUE"""),12.0)</f>
        <v>12</v>
      </c>
      <c r="B497" s="406">
        <f>IFERROR(__xludf.DUMMYFUNCTION("""COMPUTED_VALUE"""),26129.0)</f>
        <v>26129</v>
      </c>
      <c r="C497" t="str">
        <f>IFERROR(__xludf.DUMMYFUNCTION("""COMPUTED_VALUE"""),"CALLE BUITRAGO, MARTIN")</f>
        <v>CALLE BUITRAGO, MARTIN</v>
      </c>
      <c r="D497" t="str">
        <f>IFERROR(__xludf.DUMMYFUNCTION("""COMPUTED_VALUE"""),"Art of Fiction Higher Level")</f>
        <v>Art of Fiction Higher Level</v>
      </c>
      <c r="E497" s="3">
        <f>IFERROR(__xludf.DUMMYFUNCTION("""COMPUTED_VALUE"""),7.0)</f>
        <v>7</v>
      </c>
      <c r="F497" s="300">
        <v>1.0</v>
      </c>
      <c r="G497" s="300">
        <v>1.0</v>
      </c>
      <c r="H497" s="300">
        <v>1.0</v>
      </c>
      <c r="I497" s="300">
        <v>1.0</v>
      </c>
      <c r="J497" s="300">
        <v>1.0</v>
      </c>
      <c r="K497" s="300">
        <v>1.0</v>
      </c>
      <c r="L497" s="300">
        <v>1.0</v>
      </c>
      <c r="M497" s="300">
        <v>1.0</v>
      </c>
      <c r="N497" s="300">
        <v>8.0</v>
      </c>
      <c r="O497" s="300" t="s">
        <v>807</v>
      </c>
      <c r="P497" s="300">
        <v>3.0</v>
      </c>
    </row>
    <row r="498">
      <c r="A498">
        <f>IFERROR(__xludf.DUMMYFUNCTION("""COMPUTED_VALUE"""),12.0)</f>
        <v>12</v>
      </c>
      <c r="B498">
        <f>IFERROR(__xludf.DUMMYFUNCTION("""COMPUTED_VALUE"""),26125.0)</f>
        <v>26125</v>
      </c>
      <c r="C498" t="str">
        <f>IFERROR(__xludf.DUMMYFUNCTION("""COMPUTED_VALUE"""),"YEPES RAMIREZ, MARTIN")</f>
        <v>YEPES RAMIREZ, MARTIN</v>
      </c>
      <c r="D498" t="str">
        <f>IFERROR(__xludf.DUMMYFUNCTION("""COMPUTED_VALUE"""),"Art of Fiction Higher Level")</f>
        <v>Art of Fiction Higher Level</v>
      </c>
      <c r="E498" s="3">
        <f>IFERROR(__xludf.DUMMYFUNCTION("""COMPUTED_VALUE"""),1.0)</f>
        <v>1</v>
      </c>
      <c r="F498" s="300">
        <v>1.0</v>
      </c>
      <c r="G498" s="300">
        <v>1.0</v>
      </c>
      <c r="H498" s="300">
        <v>1.0</v>
      </c>
      <c r="I498" s="300">
        <v>1.0</v>
      </c>
      <c r="J498" s="300">
        <v>1.0</v>
      </c>
      <c r="K498" s="300">
        <v>1.0</v>
      </c>
      <c r="L498" s="300">
        <v>1.0</v>
      </c>
      <c r="M498" s="300">
        <v>1.0</v>
      </c>
      <c r="N498" s="300">
        <v>8.0</v>
      </c>
      <c r="O498" s="300" t="s">
        <v>801</v>
      </c>
      <c r="P498" s="300">
        <v>3.0</v>
      </c>
    </row>
    <row r="499">
      <c r="A499">
        <f>IFERROR(__xludf.DUMMYFUNCTION("""COMPUTED_VALUE"""),12.0)</f>
        <v>12</v>
      </c>
      <c r="B499">
        <f>IFERROR(__xludf.DUMMYFUNCTION("""COMPUTED_VALUE"""),25039.0)</f>
        <v>25039</v>
      </c>
      <c r="C499" t="str">
        <f>IFERROR(__xludf.DUMMYFUNCTION("""COMPUTED_VALUE"""),"GARZA PATIÑO, MARCO")</f>
        <v>GARZA PATIÑO, MARCO</v>
      </c>
      <c r="D499" t="str">
        <f>IFERROR(__xludf.DUMMYFUNCTION("""COMPUTED_VALUE"""),"Art of Fiction Higher Level")</f>
        <v>Art of Fiction Higher Level</v>
      </c>
      <c r="E499" s="3">
        <f>IFERROR(__xludf.DUMMYFUNCTION("""COMPUTED_VALUE"""),7.0)</f>
        <v>7</v>
      </c>
      <c r="F499" s="300">
        <v>1.0</v>
      </c>
      <c r="G499" s="300">
        <v>1.0</v>
      </c>
      <c r="H499" s="300">
        <v>1.0</v>
      </c>
      <c r="I499" s="300">
        <v>1.0</v>
      </c>
      <c r="J499" s="300">
        <v>1.0</v>
      </c>
      <c r="K499" s="300">
        <v>1.0</v>
      </c>
      <c r="L499" s="300">
        <v>1.0</v>
      </c>
      <c r="M499" s="300">
        <v>1.0</v>
      </c>
      <c r="N499" s="300">
        <v>8.0</v>
      </c>
      <c r="O499" s="300" t="s">
        <v>807</v>
      </c>
      <c r="P499" s="300">
        <v>3.0</v>
      </c>
    </row>
    <row r="500">
      <c r="A500">
        <f>IFERROR(__xludf.DUMMYFUNCTION("""COMPUTED_VALUE"""),12.0)</f>
        <v>12</v>
      </c>
      <c r="B500">
        <f>IFERROR(__xludf.DUMMYFUNCTION("""COMPUTED_VALUE"""),26133.0)</f>
        <v>26133</v>
      </c>
      <c r="C500" t="str">
        <f>IFERROR(__xludf.DUMMYFUNCTION("""COMPUTED_VALUE"""),"SUAREZ MARTINEZ, PABLO")</f>
        <v>SUAREZ MARTINEZ, PABLO</v>
      </c>
      <c r="D500" t="str">
        <f>IFERROR(__xludf.DUMMYFUNCTION("""COMPUTED_VALUE"""),"Art of Fiction Higher Level")</f>
        <v>Art of Fiction Higher Level</v>
      </c>
      <c r="E500" s="3">
        <f>IFERROR(__xludf.DUMMYFUNCTION("""COMPUTED_VALUE"""),1.0)</f>
        <v>1</v>
      </c>
      <c r="F500" s="300">
        <v>1.0</v>
      </c>
      <c r="G500" s="300">
        <v>1.0</v>
      </c>
      <c r="H500" s="300">
        <v>1.0</v>
      </c>
      <c r="I500" s="300">
        <v>1.0</v>
      </c>
      <c r="J500" s="300">
        <v>1.0</v>
      </c>
      <c r="K500" s="300">
        <v>1.0</v>
      </c>
      <c r="L500" s="300">
        <v>1.0</v>
      </c>
      <c r="M500" s="300">
        <v>1.0</v>
      </c>
      <c r="N500" s="300">
        <v>8.0</v>
      </c>
      <c r="O500" s="300" t="s">
        <v>801</v>
      </c>
      <c r="P500" s="300">
        <v>3.0</v>
      </c>
    </row>
    <row r="501">
      <c r="A501">
        <f>IFERROR(__xludf.DUMMYFUNCTION("""COMPUTED_VALUE"""),12.0)</f>
        <v>12</v>
      </c>
      <c r="B501">
        <f>IFERROR(__xludf.DUMMYFUNCTION("""COMPUTED_VALUE"""),26110.0)</f>
        <v>26110</v>
      </c>
      <c r="C501" t="str">
        <f>IFERROR(__xludf.DUMMYFUNCTION("""COMPUTED_VALUE"""),"URIBE CORREA, VICENTE")</f>
        <v>URIBE CORREA, VICENTE</v>
      </c>
      <c r="D501" t="str">
        <f>IFERROR(__xludf.DUMMYFUNCTION("""COMPUTED_VALUE"""),"Art of Fiction Higher Level")</f>
        <v>Art of Fiction Higher Level</v>
      </c>
      <c r="E501" s="3">
        <f>IFERROR(__xludf.DUMMYFUNCTION("""COMPUTED_VALUE"""),1.0)</f>
        <v>1</v>
      </c>
      <c r="F501" s="300">
        <v>1.0</v>
      </c>
      <c r="G501" s="300">
        <v>1.0</v>
      </c>
      <c r="H501" s="300">
        <v>1.0</v>
      </c>
      <c r="I501" s="300">
        <v>1.0</v>
      </c>
      <c r="J501" s="300">
        <v>1.0</v>
      </c>
      <c r="K501" s="300">
        <v>1.0</v>
      </c>
      <c r="L501" s="300">
        <v>1.0</v>
      </c>
      <c r="M501" s="300">
        <v>1.0</v>
      </c>
      <c r="N501" s="300">
        <v>8.0</v>
      </c>
      <c r="O501" s="300" t="s">
        <v>801</v>
      </c>
      <c r="P501" s="300">
        <v>3.0</v>
      </c>
    </row>
    <row r="502">
      <c r="A502">
        <f>IFERROR(__xludf.DUMMYFUNCTION("""COMPUTED_VALUE"""),12.0)</f>
        <v>12</v>
      </c>
      <c r="B502">
        <f>IFERROR(__xludf.DUMMYFUNCTION("""COMPUTED_VALUE"""),26022.0)</f>
        <v>26022</v>
      </c>
      <c r="C502" t="str">
        <f>IFERROR(__xludf.DUMMYFUNCTION("""COMPUTED_VALUE"""),"CAROLI ABAD, MASSIMILIANO")</f>
        <v>CAROLI ABAD, MASSIMILIANO</v>
      </c>
      <c r="D502" t="str">
        <f>IFERROR(__xludf.DUMMYFUNCTION("""COMPUTED_VALUE"""),"Journalism Higher Level")</f>
        <v>Journalism Higher Level</v>
      </c>
      <c r="E502" s="3">
        <f>IFERROR(__xludf.DUMMYFUNCTION("""COMPUTED_VALUE"""),3.0)</f>
        <v>3</v>
      </c>
      <c r="F502" s="300">
        <v>1.0</v>
      </c>
      <c r="G502" s="300">
        <v>1.0</v>
      </c>
      <c r="H502" s="300">
        <v>1.0</v>
      </c>
      <c r="I502" s="300">
        <v>1.0</v>
      </c>
      <c r="J502" s="300">
        <v>1.0</v>
      </c>
      <c r="K502" s="300">
        <v>1.0</v>
      </c>
      <c r="L502" s="300">
        <v>1.0</v>
      </c>
      <c r="M502" s="300">
        <v>1.0</v>
      </c>
      <c r="N502" s="300">
        <v>8.0</v>
      </c>
      <c r="O502" s="300" t="s">
        <v>798</v>
      </c>
      <c r="P502" s="300">
        <v>3.0</v>
      </c>
    </row>
    <row r="503">
      <c r="A503">
        <f>IFERROR(__xludf.DUMMYFUNCTION("""COMPUTED_VALUE"""),12.0)</f>
        <v>12</v>
      </c>
      <c r="B503">
        <f>IFERROR(__xludf.DUMMYFUNCTION("""COMPUTED_VALUE"""),26102.0)</f>
        <v>26102</v>
      </c>
      <c r="C503" t="str">
        <f>IFERROR(__xludf.DUMMYFUNCTION("""COMPUTED_VALUE"""),"RODRIGUEZ NAVARRO, MIGUEL")</f>
        <v>RODRIGUEZ NAVARRO, MIGUEL</v>
      </c>
      <c r="D503" t="str">
        <f>IFERROR(__xludf.DUMMYFUNCTION("""COMPUTED_VALUE"""),"Journalism Higher Level")</f>
        <v>Journalism Higher Level</v>
      </c>
      <c r="E503" s="3">
        <f>IFERROR(__xludf.DUMMYFUNCTION("""COMPUTED_VALUE"""),8.0)</f>
        <v>8</v>
      </c>
      <c r="F503" s="300">
        <v>1.0</v>
      </c>
      <c r="G503" s="300">
        <v>1.0</v>
      </c>
      <c r="H503" s="300">
        <v>1.0</v>
      </c>
      <c r="I503" s="300">
        <v>1.0</v>
      </c>
      <c r="J503" s="300">
        <v>1.0</v>
      </c>
      <c r="K503" s="300">
        <v>1.0</v>
      </c>
      <c r="L503" s="300">
        <v>1.0</v>
      </c>
      <c r="M503" s="300">
        <v>1.0</v>
      </c>
      <c r="N503" s="300">
        <v>8.0</v>
      </c>
      <c r="O503" s="300" t="s">
        <v>806</v>
      </c>
      <c r="P503" s="300">
        <v>3.0</v>
      </c>
    </row>
    <row r="504">
      <c r="A504">
        <f>IFERROR(__xludf.DUMMYFUNCTION("""COMPUTED_VALUE"""),12.0)</f>
        <v>12</v>
      </c>
      <c r="B504">
        <f>IFERROR(__xludf.DUMMYFUNCTION("""COMPUTED_VALUE"""),26107.0)</f>
        <v>26107</v>
      </c>
      <c r="C504" t="str">
        <f>IFERROR(__xludf.DUMMYFUNCTION("""COMPUTED_VALUE"""),"SUAREZ PEREZ ROSARIO")</f>
        <v>SUAREZ PEREZ ROSARIO</v>
      </c>
      <c r="D504" t="str">
        <f>IFERROR(__xludf.DUMMYFUNCTION("""COMPUTED_VALUE"""),"Art of Fiction Higher Level")</f>
        <v>Art of Fiction Higher Level</v>
      </c>
      <c r="E504" s="3">
        <f>IFERROR(__xludf.DUMMYFUNCTION("""COMPUTED_VALUE"""),1.0)</f>
        <v>1</v>
      </c>
      <c r="F504" s="300">
        <v>1.0</v>
      </c>
      <c r="G504" s="300">
        <v>1.0</v>
      </c>
      <c r="H504" s="300">
        <v>1.0</v>
      </c>
      <c r="I504" s="300">
        <v>1.0</v>
      </c>
      <c r="J504" s="300">
        <v>1.0</v>
      </c>
      <c r="K504" s="300">
        <v>1.0</v>
      </c>
      <c r="L504" s="300">
        <v>1.0</v>
      </c>
      <c r="M504" s="300">
        <v>1.0</v>
      </c>
      <c r="N504" s="300">
        <v>8.0</v>
      </c>
      <c r="O504" s="300" t="s">
        <v>801</v>
      </c>
      <c r="P504" s="300">
        <v>3.0</v>
      </c>
    </row>
    <row r="505">
      <c r="A505">
        <f>IFERROR(__xludf.DUMMYFUNCTION("""COMPUTED_VALUE"""),11.0)</f>
        <v>11</v>
      </c>
      <c r="B505">
        <f>IFERROR(__xludf.DUMMYFUNCTION("""COMPUTED_VALUE"""),27148.0)</f>
        <v>27148</v>
      </c>
      <c r="C505" t="str">
        <f>IFERROR(__xludf.DUMMYFUNCTION("""COMPUTED_VALUE"""),"TALUKDAR, JIGYASHA")</f>
        <v>TALUKDAR, JIGYASHA</v>
      </c>
      <c r="D505" t="str">
        <f>IFERROR(__xludf.DUMMYFUNCTION("""COMPUTED_VALUE"""),"Art of Fiction Higher Level")</f>
        <v>Art of Fiction Higher Level</v>
      </c>
      <c r="E505" s="3">
        <f>IFERROR(__xludf.DUMMYFUNCTION("""COMPUTED_VALUE"""),8.0)</f>
        <v>8</v>
      </c>
      <c r="F505" s="300">
        <v>1.0</v>
      </c>
      <c r="G505" s="300">
        <v>1.0</v>
      </c>
      <c r="H505" s="300">
        <v>1.0</v>
      </c>
      <c r="I505" s="300">
        <v>1.0</v>
      </c>
      <c r="J505" s="300">
        <v>1.0</v>
      </c>
      <c r="K505" s="300">
        <v>1.0</v>
      </c>
      <c r="L505" s="300">
        <v>1.0</v>
      </c>
      <c r="M505" s="300">
        <v>1.0</v>
      </c>
      <c r="N505" s="300">
        <v>8.0</v>
      </c>
      <c r="O505" s="300" t="s">
        <v>804</v>
      </c>
      <c r="P505" s="300">
        <v>3.0</v>
      </c>
    </row>
    <row r="506">
      <c r="A506">
        <f>IFERROR(__xludf.DUMMYFUNCTION("""COMPUTED_VALUE"""),11.0)</f>
        <v>11</v>
      </c>
      <c r="B506">
        <f>IFERROR(__xludf.DUMMYFUNCTION("""COMPUTED_VALUE"""),27180.0)</f>
        <v>27180</v>
      </c>
      <c r="C506" t="str">
        <f>IFERROR(__xludf.DUMMYFUNCTION("""COMPUTED_VALUE"""),"CANDELA SÁNCHEZ, LORENZO")</f>
        <v>CANDELA SÁNCHEZ, LORENZO</v>
      </c>
      <c r="D506" t="str">
        <f>IFERROR(__xludf.DUMMYFUNCTION("""COMPUTED_VALUE"""),"AP English Language")</f>
        <v>AP English Language</v>
      </c>
      <c r="E506" s="3">
        <f>IFERROR(__xludf.DUMMYFUNCTION("""COMPUTED_VALUE"""),7.0)</f>
        <v>7</v>
      </c>
      <c r="F506" s="300">
        <v>1.0</v>
      </c>
      <c r="G506" s="300">
        <v>1.0</v>
      </c>
      <c r="H506" s="300">
        <v>1.0</v>
      </c>
      <c r="I506" s="300">
        <v>1.0</v>
      </c>
      <c r="J506" s="300">
        <v>1.0</v>
      </c>
      <c r="K506" s="300">
        <v>1.0</v>
      </c>
      <c r="L506" s="300">
        <v>1.0</v>
      </c>
      <c r="M506" s="300">
        <v>1.0</v>
      </c>
      <c r="N506" s="300">
        <v>8.0</v>
      </c>
      <c r="O506" s="300" t="s">
        <v>794</v>
      </c>
      <c r="P506" s="300">
        <v>2.0</v>
      </c>
    </row>
    <row r="507">
      <c r="A507">
        <f>IFERROR(__xludf.DUMMYFUNCTION("""COMPUTED_VALUE"""),11.0)</f>
        <v>11</v>
      </c>
      <c r="B507" s="406">
        <f>IFERROR(__xludf.DUMMYFUNCTION("""COMPUTED_VALUE"""),27183.0)</f>
        <v>27183</v>
      </c>
      <c r="C507" s="406" t="str">
        <f>IFERROR(__xludf.DUMMYFUNCTION("""COMPUTED_VALUE"""),"JOORIS-ANCION, ALEXANDRE")</f>
        <v>JOORIS-ANCION, ALEXANDRE</v>
      </c>
      <c r="D507" t="str">
        <f>IFERROR(__xludf.DUMMYFUNCTION("""COMPUTED_VALUE"""),"Journalism Intermediate Level")</f>
        <v>Journalism Intermediate Level</v>
      </c>
      <c r="E507" s="3">
        <f>IFERROR(__xludf.DUMMYFUNCTION("""COMPUTED_VALUE"""),2.0)</f>
        <v>2</v>
      </c>
      <c r="F507" s="300">
        <v>1.0</v>
      </c>
      <c r="G507" s="300">
        <v>1.0</v>
      </c>
      <c r="H507" s="300">
        <v>1.0</v>
      </c>
      <c r="I507" s="300">
        <v>1.0</v>
      </c>
      <c r="J507" s="300">
        <v>1.0</v>
      </c>
      <c r="K507" s="300">
        <v>1.0</v>
      </c>
      <c r="L507" s="300">
        <v>1.0</v>
      </c>
      <c r="M507" s="300">
        <v>1.0</v>
      </c>
      <c r="N507" s="300">
        <v>8.0</v>
      </c>
      <c r="O507" s="300" t="s">
        <v>802</v>
      </c>
      <c r="P507" s="300">
        <v>2.0</v>
      </c>
    </row>
    <row r="508">
      <c r="A508">
        <f>IFERROR(__xludf.DUMMYFUNCTION("""COMPUTED_VALUE"""),10.0)</f>
        <v>10</v>
      </c>
      <c r="B508">
        <f>IFERROR(__xludf.DUMMYFUNCTION("""COMPUTED_VALUE"""),28176.0)</f>
        <v>28176</v>
      </c>
      <c r="C508" s="406" t="str">
        <f>IFERROR(__xludf.DUMMYFUNCTION("""COMPUTED_VALUE"""),"SILVA MONTOYA, SEBASTIÁN")</f>
        <v>SILVA MONTOYA, SEBASTIÁN</v>
      </c>
      <c r="D508" t="str">
        <f>IFERROR(__xludf.DUMMYFUNCTION("""COMPUTED_VALUE"""),"English 10")</f>
        <v>English 10</v>
      </c>
      <c r="E508" s="3">
        <f>IFERROR(__xludf.DUMMYFUNCTION("""COMPUTED_VALUE"""),2.0)</f>
        <v>2</v>
      </c>
      <c r="F508" s="300">
        <v>1.0</v>
      </c>
      <c r="G508" s="300">
        <v>1.0</v>
      </c>
      <c r="H508" s="300">
        <v>1.0</v>
      </c>
      <c r="I508" s="300">
        <v>1.0</v>
      </c>
      <c r="J508" s="300">
        <v>1.0</v>
      </c>
      <c r="K508" s="300">
        <v>1.0</v>
      </c>
      <c r="L508" s="300">
        <v>1.0</v>
      </c>
      <c r="M508" s="300">
        <v>1.0</v>
      </c>
      <c r="N508" s="300">
        <v>8.0</v>
      </c>
      <c r="O508" s="300" t="s">
        <v>792</v>
      </c>
      <c r="P508" s="300">
        <v>3.0</v>
      </c>
    </row>
    <row r="509">
      <c r="A509">
        <f>IFERROR(__xludf.DUMMYFUNCTION("""COMPUTED_VALUE"""),9.0)</f>
        <v>9</v>
      </c>
      <c r="B509">
        <f>IFERROR(__xludf.DUMMYFUNCTION("""COMPUTED_VALUE"""),29173.0)</f>
        <v>29173</v>
      </c>
      <c r="C509" s="406" t="str">
        <f>IFERROR(__xludf.DUMMYFUNCTION("""COMPUTED_VALUE"""),"GRACIANO VÉLEZ, MARÍA DE LOS ÁNGELES")</f>
        <v>GRACIANO VÉLEZ, MARÍA DE LOS ÁNGELES</v>
      </c>
      <c r="D509" t="str">
        <f>IFERROR(__xludf.DUMMYFUNCTION("""COMPUTED_VALUE"""),"English 9")</f>
        <v>English 9</v>
      </c>
      <c r="E509" s="3">
        <f>IFERROR(__xludf.DUMMYFUNCTION("""COMPUTED_VALUE"""),6.0)</f>
        <v>6</v>
      </c>
      <c r="F509" s="300">
        <v>1.0</v>
      </c>
      <c r="G509" s="300">
        <v>1.0</v>
      </c>
      <c r="H509" s="300">
        <v>1.0</v>
      </c>
      <c r="I509" s="300">
        <v>1.0</v>
      </c>
      <c r="J509" s="300">
        <v>1.0</v>
      </c>
      <c r="K509" s="300">
        <v>1.0</v>
      </c>
      <c r="L509" s="300">
        <v>1.0</v>
      </c>
      <c r="M509" s="300">
        <v>1.0</v>
      </c>
      <c r="N509" s="300">
        <v>8.0</v>
      </c>
      <c r="O509" s="300" t="s">
        <v>783</v>
      </c>
      <c r="P509" s="300">
        <v>6.0</v>
      </c>
    </row>
    <row r="510">
      <c r="A510">
        <f>IFERROR(__xludf.DUMMYFUNCTION("""COMPUTED_VALUE"""),9.0)</f>
        <v>9</v>
      </c>
      <c r="B510">
        <f>IFERROR(__xludf.DUMMYFUNCTION("""COMPUTED_VALUE"""),29174.0)</f>
        <v>29174</v>
      </c>
      <c r="C510" s="406" t="str">
        <f>IFERROR(__xludf.DUMMYFUNCTION("""COMPUTED_VALUE"""),"CANDELA SÁNCHEZ, EVA")</f>
        <v>CANDELA SÁNCHEZ, EVA</v>
      </c>
      <c r="D510" t="str">
        <f>IFERROR(__xludf.DUMMYFUNCTION("""COMPUTED_VALUE"""),"English 9")</f>
        <v>English 9</v>
      </c>
      <c r="E510" s="3">
        <f>IFERROR(__xludf.DUMMYFUNCTION("""COMPUTED_VALUE"""),6.0)</f>
        <v>6</v>
      </c>
      <c r="F510" s="300">
        <v>1.0</v>
      </c>
      <c r="G510" s="300">
        <v>1.0</v>
      </c>
      <c r="H510" s="300">
        <v>1.0</v>
      </c>
      <c r="I510" s="300">
        <v>1.0</v>
      </c>
      <c r="J510" s="300">
        <v>1.0</v>
      </c>
      <c r="K510" s="300">
        <v>1.0</v>
      </c>
      <c r="L510" s="300">
        <v>1.0</v>
      </c>
      <c r="M510" s="300">
        <v>1.0</v>
      </c>
      <c r="N510" s="300">
        <v>8.0</v>
      </c>
      <c r="O510" s="300" t="s">
        <v>783</v>
      </c>
      <c r="P510" s="300">
        <v>6.0</v>
      </c>
    </row>
    <row r="511">
      <c r="A511">
        <f>IFERROR(__xludf.DUMMYFUNCTION("""COMPUTED_VALUE"""),11.0)</f>
        <v>11</v>
      </c>
      <c r="B511" s="406">
        <f>IFERROR(__xludf.DUMMYFUNCTION("""COMPUTED_VALUE"""),27179.0)</f>
        <v>27179</v>
      </c>
      <c r="C511" s="406" t="str">
        <f>IFERROR(__xludf.DUMMYFUNCTION("""COMPUTED_VALUE"""),"GRACIANO VÉLEZ, MARÍA DEL MAR")</f>
        <v>GRACIANO VÉLEZ, MARÍA DEL MAR</v>
      </c>
      <c r="D511" t="str">
        <f>IFERROR(__xludf.DUMMYFUNCTION("""COMPUTED_VALUE"""),"Journalism Intermediate Level")</f>
        <v>Journalism Intermediate Level</v>
      </c>
      <c r="E511" s="3">
        <f>IFERROR(__xludf.DUMMYFUNCTION("""COMPUTED_VALUE"""),2.0)</f>
        <v>2</v>
      </c>
      <c r="F511" s="300">
        <v>1.0</v>
      </c>
      <c r="G511" s="300">
        <v>1.0</v>
      </c>
      <c r="H511" s="300">
        <v>1.0</v>
      </c>
      <c r="I511" s="300">
        <v>1.0</v>
      </c>
      <c r="J511" s="300">
        <v>1.0</v>
      </c>
      <c r="K511" s="300">
        <v>1.0</v>
      </c>
      <c r="L511" s="300">
        <v>1.0</v>
      </c>
      <c r="M511" s="300">
        <v>1.0</v>
      </c>
      <c r="N511" s="300">
        <v>8.0</v>
      </c>
      <c r="O511" s="300" t="s">
        <v>802</v>
      </c>
      <c r="P511" s="300">
        <v>2.0</v>
      </c>
    </row>
    <row r="512">
      <c r="A512">
        <f>IFERROR(__xludf.DUMMYFUNCTION("""COMPUTED_VALUE"""),10.0)</f>
        <v>10</v>
      </c>
      <c r="B512" s="406">
        <f>IFERROR(__xludf.DUMMYFUNCTION("""COMPUTED_VALUE"""),28178.0)</f>
        <v>28178</v>
      </c>
      <c r="C512" s="406" t="str">
        <f>IFERROR(__xludf.DUMMYFUNCTION("""COMPUTED_VALUE"""),"CANOVA DOMINGUES, JOAO PEDRO")</f>
        <v>CANOVA DOMINGUES, JOAO PEDRO</v>
      </c>
      <c r="D512" t="str">
        <f>IFERROR(__xludf.DUMMYFUNCTION("""COMPUTED_VALUE"""),"AP English Language")</f>
        <v>AP English Language</v>
      </c>
      <c r="E512" s="3">
        <f>IFERROR(__xludf.DUMMYFUNCTION("""COMPUTED_VALUE"""),7.0)</f>
        <v>7</v>
      </c>
      <c r="F512" s="300">
        <v>1.0</v>
      </c>
      <c r="G512" s="300">
        <v>1.0</v>
      </c>
      <c r="H512" s="300">
        <v>1.0</v>
      </c>
      <c r="I512" s="300">
        <v>1.0</v>
      </c>
      <c r="J512" s="300">
        <v>1.0</v>
      </c>
      <c r="K512" s="300">
        <v>1.0</v>
      </c>
      <c r="L512" s="300">
        <v>1.0</v>
      </c>
      <c r="M512" s="300">
        <v>1.0</v>
      </c>
      <c r="N512" s="300">
        <v>8.0</v>
      </c>
      <c r="O512" s="300" t="s">
        <v>794</v>
      </c>
      <c r="P512" s="300">
        <v>2.0</v>
      </c>
    </row>
    <row r="513">
      <c r="A513">
        <f>IFERROR(__xludf.DUMMYFUNCTION("""COMPUTED_VALUE"""),10.0)</f>
        <v>10</v>
      </c>
      <c r="B513" s="406">
        <f>IFERROR(__xludf.DUMMYFUNCTION("""COMPUTED_VALUE"""),28177.0)</f>
        <v>28177</v>
      </c>
      <c r="C513" s="406" t="str">
        <f>IFERROR(__xludf.DUMMYFUNCTION("""COMPUTED_VALUE"""),"CUBILLOS GÓMEZ, ROBERTO")</f>
        <v>CUBILLOS GÓMEZ, ROBERTO</v>
      </c>
      <c r="D513" t="str">
        <f>IFERROR(__xludf.DUMMYFUNCTION("""COMPUTED_VALUE"""),"AP Seminar")</f>
        <v>AP Seminar</v>
      </c>
      <c r="E513" s="3">
        <f>IFERROR(__xludf.DUMMYFUNCTION("""COMPUTED_VALUE"""),6.0)</f>
        <v>6</v>
      </c>
      <c r="F513" s="300">
        <v>1.0</v>
      </c>
      <c r="G513" s="300">
        <v>1.0</v>
      </c>
      <c r="H513" s="300">
        <v>1.0</v>
      </c>
      <c r="I513" s="300">
        <v>1.0</v>
      </c>
      <c r="J513" s="300">
        <v>1.0</v>
      </c>
      <c r="K513" s="300">
        <v>1.0</v>
      </c>
      <c r="L513" s="300">
        <v>1.0</v>
      </c>
      <c r="M513" s="300">
        <v>1.0</v>
      </c>
      <c r="N513" s="300">
        <v>8.0</v>
      </c>
      <c r="O513" s="300" t="s">
        <v>789</v>
      </c>
      <c r="P513" s="300">
        <v>3.0</v>
      </c>
    </row>
    <row r="514">
      <c r="A514">
        <f>IFERROR(__xludf.DUMMYFUNCTION("""COMPUTED_VALUE"""),10.0)</f>
        <v>10</v>
      </c>
      <c r="B514" s="406">
        <f>IFERROR(__xludf.DUMMYFUNCTION("""COMPUTED_VALUE"""),28146.0)</f>
        <v>28146</v>
      </c>
      <c r="C514" s="406" t="str">
        <f>IFERROR(__xludf.DUMMYFUNCTION("""COMPUTED_VALUE"""),"MORA MORENO, MARÍA LUISA")</f>
        <v>MORA MORENO, MARÍA LUISA</v>
      </c>
      <c r="D514" t="str">
        <f>IFERROR(__xludf.DUMMYFUNCTION("""COMPUTED_VALUE"""),"AP English Language")</f>
        <v>AP English Language</v>
      </c>
      <c r="E514" s="3">
        <f>IFERROR(__xludf.DUMMYFUNCTION("""COMPUTED_VALUE"""),3.0)</f>
        <v>3</v>
      </c>
      <c r="F514" s="300">
        <v>1.0</v>
      </c>
      <c r="G514" s="300">
        <v>1.0</v>
      </c>
      <c r="H514" s="300">
        <v>1.0</v>
      </c>
      <c r="I514" s="300">
        <v>1.0</v>
      </c>
      <c r="J514" s="300">
        <v>1.0</v>
      </c>
      <c r="K514" s="300">
        <v>1.0</v>
      </c>
      <c r="L514" s="300">
        <v>1.0</v>
      </c>
      <c r="M514" s="300">
        <v>1.0</v>
      </c>
      <c r="N514" s="300">
        <v>8.0</v>
      </c>
      <c r="O514" s="300" t="s">
        <v>795</v>
      </c>
      <c r="P514" s="300">
        <v>2.0</v>
      </c>
    </row>
    <row r="515">
      <c r="A515">
        <f>IFERROR(__xludf.DUMMYFUNCTION("""COMPUTED_VALUE"""),10.0)</f>
        <v>10</v>
      </c>
      <c r="B515" s="406">
        <f>IFERROR(__xludf.DUMMYFUNCTION("""COMPUTED_VALUE"""),28175.0)</f>
        <v>28175</v>
      </c>
      <c r="C515" s="406" t="str">
        <f>IFERROR(__xludf.DUMMYFUNCTION("""COMPUTED_VALUE"""),"DELSOL, ANTOINE")</f>
        <v>DELSOL, ANTOINE</v>
      </c>
      <c r="D515" t="str">
        <f>IFERROR(__xludf.DUMMYFUNCTION("""COMPUTED_VALUE"""),"English 10")</f>
        <v>English 10</v>
      </c>
      <c r="E515" s="3">
        <f>IFERROR(__xludf.DUMMYFUNCTION("""COMPUTED_VALUE"""),5.0)</f>
        <v>5</v>
      </c>
      <c r="F515" s="300">
        <v>1.0</v>
      </c>
      <c r="G515" s="300">
        <v>1.0</v>
      </c>
      <c r="H515" s="300">
        <v>1.0</v>
      </c>
      <c r="I515" s="300">
        <v>1.0</v>
      </c>
      <c r="J515" s="300">
        <v>1.0</v>
      </c>
      <c r="K515" s="300">
        <v>1.0</v>
      </c>
      <c r="L515" s="300">
        <v>1.0</v>
      </c>
      <c r="M515" s="300">
        <v>1.0</v>
      </c>
      <c r="N515" s="300">
        <v>8.0</v>
      </c>
      <c r="O515" s="300" t="s">
        <v>790</v>
      </c>
      <c r="P515" s="300">
        <v>3.0</v>
      </c>
    </row>
    <row r="516">
      <c r="A516">
        <f>IFERROR(__xludf.DUMMYFUNCTION("""COMPUTED_VALUE"""),10.0)</f>
        <v>10</v>
      </c>
      <c r="B516" s="406">
        <f>IFERROR(__xludf.DUMMYFUNCTION("""COMPUTED_VALUE"""),100052.0)</f>
        <v>100052</v>
      </c>
      <c r="C516" s="406" t="str">
        <f>IFERROR(__xludf.DUMMYFUNCTION("""COMPUTED_VALUE"""),"ECHEVERRI SALAZAR CAMILA")</f>
        <v>ECHEVERRI SALAZAR CAMILA</v>
      </c>
      <c r="D516" t="str">
        <f>IFERROR(__xludf.DUMMYFUNCTION("""COMPUTED_VALUE"""),"AP Seminar")</f>
        <v>AP Seminar</v>
      </c>
      <c r="E516" s="3">
        <f>IFERROR(__xludf.DUMMYFUNCTION("""COMPUTED_VALUE"""),1.0)</f>
        <v>1</v>
      </c>
      <c r="F516" s="300">
        <v>1.0</v>
      </c>
      <c r="G516" s="300">
        <v>1.0</v>
      </c>
      <c r="H516" s="300">
        <v>1.0</v>
      </c>
      <c r="I516" s="300">
        <v>1.0</v>
      </c>
      <c r="J516" s="300">
        <v>1.0</v>
      </c>
      <c r="K516" s="300">
        <v>1.0</v>
      </c>
      <c r="L516" s="300">
        <v>1.0</v>
      </c>
      <c r="M516" s="300">
        <v>1.0</v>
      </c>
      <c r="N516" s="300">
        <v>8.0</v>
      </c>
      <c r="O516" s="300" t="s">
        <v>788</v>
      </c>
      <c r="P516" s="300">
        <v>3.0</v>
      </c>
    </row>
    <row r="517">
      <c r="A517">
        <f>IFERROR(__xludf.DUMMYFUNCTION("""COMPUTED_VALUE"""),10.0)</f>
        <v>10</v>
      </c>
      <c r="B517" s="406">
        <f>IFERROR(__xludf.DUMMYFUNCTION("""COMPUTED_VALUE"""),28180.0)</f>
        <v>28180</v>
      </c>
      <c r="C517" s="406" t="str">
        <f>IFERROR(__xludf.DUMMYFUNCTION("""COMPUTED_VALUE"""),"VÉLEZ GÓMEZ, MATIAS")</f>
        <v>VÉLEZ GÓMEZ, MATIAS</v>
      </c>
      <c r="D517" t="str">
        <f>IFERROR(__xludf.DUMMYFUNCTION("""COMPUTED_VALUE"""),"English 10")</f>
        <v>English 10</v>
      </c>
      <c r="E517" s="3">
        <f>IFERROR(__xludf.DUMMYFUNCTION("""COMPUTED_VALUE"""),5.0)</f>
        <v>5</v>
      </c>
      <c r="F517" s="300">
        <v>1.0</v>
      </c>
      <c r="G517" s="300">
        <v>1.0</v>
      </c>
      <c r="H517" s="300">
        <v>1.0</v>
      </c>
      <c r="I517" s="300">
        <v>1.0</v>
      </c>
      <c r="J517" s="300">
        <v>1.0</v>
      </c>
      <c r="K517" s="300">
        <v>1.0</v>
      </c>
      <c r="L517" s="300">
        <v>1.0</v>
      </c>
      <c r="M517" s="300">
        <v>1.0</v>
      </c>
      <c r="N517" s="300">
        <v>8.0</v>
      </c>
      <c r="O517" s="300" t="s">
        <v>790</v>
      </c>
      <c r="P517" s="300">
        <v>3.0</v>
      </c>
    </row>
    <row r="518">
      <c r="A518">
        <f>IFERROR(__xludf.DUMMYFUNCTION("""COMPUTED_VALUE"""),10.0)</f>
        <v>10</v>
      </c>
      <c r="B518" s="406">
        <f>IFERROR(__xludf.DUMMYFUNCTION("""COMPUTED_VALUE"""),28141.0)</f>
        <v>28141</v>
      </c>
      <c r="C518" s="406" t="str">
        <f>IFERROR(__xludf.DUMMYFUNCTION("""COMPUTED_VALUE"""),"GONZALEZ TRABOULSI SOFIA")</f>
        <v>GONZALEZ TRABOULSI SOFIA</v>
      </c>
      <c r="D518" t="str">
        <f>IFERROR(__xludf.DUMMYFUNCTION("""COMPUTED_VALUE"""),"AP Seminar")</f>
        <v>AP Seminar</v>
      </c>
      <c r="E518" s="3">
        <f>IFERROR(__xludf.DUMMYFUNCTION("""COMPUTED_VALUE"""),6.0)</f>
        <v>6</v>
      </c>
      <c r="F518" s="300">
        <v>1.0</v>
      </c>
      <c r="G518" s="300">
        <v>1.0</v>
      </c>
      <c r="H518" s="300">
        <v>1.0</v>
      </c>
      <c r="I518" s="300">
        <v>1.0</v>
      </c>
      <c r="J518" s="300">
        <v>1.0</v>
      </c>
      <c r="K518" s="300">
        <v>1.0</v>
      </c>
      <c r="L518" s="300">
        <v>1.0</v>
      </c>
      <c r="M518" s="300">
        <v>1.0</v>
      </c>
      <c r="N518" s="300">
        <v>8.0</v>
      </c>
      <c r="O518" s="300" t="s">
        <v>789</v>
      </c>
      <c r="P518" s="300">
        <v>3.0</v>
      </c>
    </row>
    <row r="519">
      <c r="A519">
        <f>IFERROR(__xludf.DUMMYFUNCTION("""COMPUTED_VALUE"""),10.0)</f>
        <v>10</v>
      </c>
      <c r="B519" s="406">
        <f>IFERROR(__xludf.DUMMYFUNCTION("""COMPUTED_VALUE"""),12345.0)</f>
        <v>12345</v>
      </c>
      <c r="C519" s="406" t="str">
        <f>IFERROR(__xludf.DUMMYFUNCTION("""COMPUTED_VALUE"""),"TRIVELIN JUAN IGNACIO")</f>
        <v>TRIVELIN JUAN IGNACIO</v>
      </c>
      <c r="D519" t="str">
        <f>IFERROR(__xludf.DUMMYFUNCTION("""COMPUTED_VALUE"""),"English 10")</f>
        <v>English 10</v>
      </c>
      <c r="E519" s="3">
        <f>IFERROR(__xludf.DUMMYFUNCTION("""COMPUTED_VALUE"""),2.0)</f>
        <v>2</v>
      </c>
      <c r="F519" s="300">
        <v>1.0</v>
      </c>
      <c r="G519" s="300">
        <v>1.0</v>
      </c>
      <c r="H519" s="300">
        <v>1.0</v>
      </c>
      <c r="I519" s="300">
        <v>1.0</v>
      </c>
      <c r="J519" s="300">
        <v>1.0</v>
      </c>
      <c r="K519" s="300">
        <v>1.0</v>
      </c>
      <c r="L519" s="300">
        <v>1.0</v>
      </c>
      <c r="M519" s="300">
        <v>1.0</v>
      </c>
      <c r="N519" s="300">
        <v>8.0</v>
      </c>
      <c r="O519" s="300" t="s">
        <v>792</v>
      </c>
      <c r="P519" s="300">
        <v>3.0</v>
      </c>
    </row>
    <row r="520">
      <c r="A520">
        <f>IFERROR(__xludf.DUMMYFUNCTION("""COMPUTED_VALUE"""),11.0)</f>
        <v>11</v>
      </c>
      <c r="B520" s="406">
        <f>IFERROR(__xludf.DUMMYFUNCTION("""COMPUTED_VALUE"""),27169.0)</f>
        <v>27169</v>
      </c>
      <c r="C520" s="406" t="str">
        <f>IFERROR(__xludf.DUMMYFUNCTION("""COMPUTED_VALUE"""),"RAMOS RODRIGUEZ, ELENA")</f>
        <v>RAMOS RODRIGUEZ, ELENA</v>
      </c>
      <c r="D520" t="str">
        <f>IFERROR(__xludf.DUMMYFUNCTION("""COMPUTED_VALUE"""),"Art of Fiction Intermediate Level")</f>
        <v>Art of Fiction Intermediate Level</v>
      </c>
      <c r="E520" s="3">
        <f>IFERROR(__xludf.DUMMYFUNCTION("""COMPUTED_VALUE"""),4.0)</f>
        <v>4</v>
      </c>
      <c r="F520" s="300">
        <v>1.0</v>
      </c>
      <c r="G520" s="300">
        <v>1.0</v>
      </c>
      <c r="H520" s="300">
        <v>1.0</v>
      </c>
      <c r="I520" s="300">
        <v>1.0</v>
      </c>
      <c r="J520" s="300">
        <v>1.0</v>
      </c>
      <c r="K520" s="300">
        <v>1.0</v>
      </c>
      <c r="L520" s="300">
        <v>1.0</v>
      </c>
      <c r="M520" s="300">
        <v>1.0</v>
      </c>
      <c r="N520" s="300">
        <v>8.0</v>
      </c>
      <c r="O520" s="300" t="s">
        <v>803</v>
      </c>
      <c r="P520" s="300">
        <v>3.0</v>
      </c>
    </row>
    <row r="521">
      <c r="A521">
        <f>IFERROR(__xludf.DUMMYFUNCTION("""COMPUTED_VALUE"""),9.0)</f>
        <v>9</v>
      </c>
      <c r="B521" s="406">
        <f>IFERROR(__xludf.DUMMYFUNCTION("""COMPUTED_VALUE"""),29070.0)</f>
        <v>29070</v>
      </c>
      <c r="C521" t="str">
        <f>IFERROR(__xludf.DUMMYFUNCTION("""COMPUTED_VALUE"""),"MANRIQUE CUESTA, ISABELLA")</f>
        <v>MANRIQUE CUESTA, ISABELLA</v>
      </c>
      <c r="D521" t="str">
        <f>IFERROR(__xludf.DUMMYFUNCTION("""COMPUTED_VALUE"""),"Spanish and Literature 9")</f>
        <v>Spanish and Literature 9</v>
      </c>
      <c r="E521" s="3">
        <f>IFERROR(__xludf.DUMMYFUNCTION("""COMPUTED_VALUE"""),7.0)</f>
        <v>7</v>
      </c>
      <c r="F521" s="300">
        <v>1.0</v>
      </c>
      <c r="G521" s="300">
        <v>1.0</v>
      </c>
      <c r="H521" s="300">
        <v>1.0</v>
      </c>
      <c r="I521" s="300">
        <v>1.0</v>
      </c>
      <c r="J521" s="300">
        <v>1.0</v>
      </c>
      <c r="K521" s="300">
        <v>1.0</v>
      </c>
      <c r="L521" s="300">
        <v>1.0</v>
      </c>
      <c r="M521" s="300">
        <v>1.0</v>
      </c>
      <c r="N521" s="300">
        <v>8.0</v>
      </c>
      <c r="O521" s="300" t="s">
        <v>808</v>
      </c>
      <c r="P521" s="300">
        <v>7.0</v>
      </c>
    </row>
    <row r="522">
      <c r="A522">
        <f>IFERROR(__xludf.DUMMYFUNCTION("""COMPUTED_VALUE"""),9.0)</f>
        <v>9</v>
      </c>
      <c r="B522" s="406">
        <f>IFERROR(__xludf.DUMMYFUNCTION("""COMPUTED_VALUE"""),29075.0)</f>
        <v>29075</v>
      </c>
      <c r="C522" t="str">
        <f>IFERROR(__xludf.DUMMYFUNCTION("""COMPUTED_VALUE"""),"MEJIA BUSTAMANTE, ANTONIA")</f>
        <v>MEJIA BUSTAMANTE, ANTONIA</v>
      </c>
      <c r="D522" t="str">
        <f>IFERROR(__xludf.DUMMYFUNCTION("""COMPUTED_VALUE"""),"Spanish and Literature 9")</f>
        <v>Spanish and Literature 9</v>
      </c>
      <c r="E522" s="3">
        <f>IFERROR(__xludf.DUMMYFUNCTION("""COMPUTED_VALUE"""),3.0)</f>
        <v>3</v>
      </c>
      <c r="F522" s="300">
        <v>1.0</v>
      </c>
      <c r="G522" s="300">
        <v>1.0</v>
      </c>
      <c r="H522" s="300">
        <v>1.0</v>
      </c>
      <c r="I522" s="300">
        <v>1.0</v>
      </c>
      <c r="J522" s="300">
        <v>1.0</v>
      </c>
      <c r="K522" s="300">
        <v>1.0</v>
      </c>
      <c r="L522" s="300">
        <v>1.0</v>
      </c>
      <c r="M522" s="300">
        <v>1.0</v>
      </c>
      <c r="N522" s="300">
        <v>8.0</v>
      </c>
      <c r="O522" s="300" t="s">
        <v>809</v>
      </c>
      <c r="P522" s="300">
        <v>7.0</v>
      </c>
    </row>
    <row r="523">
      <c r="A523">
        <f>IFERROR(__xludf.DUMMYFUNCTION("""COMPUTED_VALUE"""),9.0)</f>
        <v>9</v>
      </c>
      <c r="B523" s="406">
        <f>IFERROR(__xludf.DUMMYFUNCTION("""COMPUTED_VALUE"""),29149.0)</f>
        <v>29149</v>
      </c>
      <c r="C523" t="str">
        <f>IFERROR(__xludf.DUMMYFUNCTION("""COMPUTED_VALUE"""),"SALEMME GUTIERREZ, AMALIA")</f>
        <v>SALEMME GUTIERREZ, AMALIA</v>
      </c>
      <c r="D523" t="str">
        <f>IFERROR(__xludf.DUMMYFUNCTION("""COMPUTED_VALUE"""),"Spanish and Literature 9")</f>
        <v>Spanish and Literature 9</v>
      </c>
      <c r="E523" s="3">
        <f>IFERROR(__xludf.DUMMYFUNCTION("""COMPUTED_VALUE"""),8.0)</f>
        <v>8</v>
      </c>
      <c r="F523" s="300">
        <v>1.0</v>
      </c>
      <c r="G523" s="300">
        <v>1.0</v>
      </c>
      <c r="H523" s="300">
        <v>1.0</v>
      </c>
      <c r="I523" s="300">
        <v>1.0</v>
      </c>
      <c r="J523" s="300">
        <v>1.0</v>
      </c>
      <c r="K523" s="300">
        <v>1.0</v>
      </c>
      <c r="L523" s="300">
        <v>1.0</v>
      </c>
      <c r="M523" s="300">
        <v>1.0</v>
      </c>
      <c r="N523" s="300">
        <v>8.0</v>
      </c>
      <c r="O523" s="300" t="s">
        <v>810</v>
      </c>
      <c r="P523" s="300">
        <v>7.0</v>
      </c>
    </row>
    <row r="524">
      <c r="A524">
        <f>IFERROR(__xludf.DUMMYFUNCTION("""COMPUTED_VALUE"""),9.0)</f>
        <v>9</v>
      </c>
      <c r="B524" s="406">
        <f>IFERROR(__xludf.DUMMYFUNCTION("""COMPUTED_VALUE"""),29113.0)</f>
        <v>29113</v>
      </c>
      <c r="C524" t="str">
        <f>IFERROR(__xludf.DUMMYFUNCTION("""COMPUTED_VALUE"""),"THIRIEZ VILLA, EMMA")</f>
        <v>THIRIEZ VILLA, EMMA</v>
      </c>
      <c r="D524" t="str">
        <f>IFERROR(__xludf.DUMMYFUNCTION("""COMPUTED_VALUE"""),"Spanish and Literature 9")</f>
        <v>Spanish and Literature 9</v>
      </c>
      <c r="E524" s="3">
        <f>IFERROR(__xludf.DUMMYFUNCTION("""COMPUTED_VALUE"""),3.0)</f>
        <v>3</v>
      </c>
      <c r="F524" s="300">
        <v>1.0</v>
      </c>
      <c r="G524" s="300">
        <v>1.0</v>
      </c>
      <c r="H524" s="300">
        <v>1.0</v>
      </c>
      <c r="I524" s="300">
        <v>1.0</v>
      </c>
      <c r="J524" s="300">
        <v>1.0</v>
      </c>
      <c r="K524" s="300">
        <v>1.0</v>
      </c>
      <c r="L524" s="300">
        <v>1.0</v>
      </c>
      <c r="M524" s="300">
        <v>1.0</v>
      </c>
      <c r="N524" s="300">
        <v>8.0</v>
      </c>
      <c r="O524" s="300" t="s">
        <v>809</v>
      </c>
      <c r="P524" s="300">
        <v>7.0</v>
      </c>
    </row>
    <row r="525">
      <c r="A525">
        <f>IFERROR(__xludf.DUMMYFUNCTION("""COMPUTED_VALUE"""),9.0)</f>
        <v>9</v>
      </c>
      <c r="B525" s="406">
        <f>IFERROR(__xludf.DUMMYFUNCTION("""COMPUTED_VALUE"""),29131.0)</f>
        <v>29131</v>
      </c>
      <c r="C525" t="str">
        <f>IFERROR(__xludf.DUMMYFUNCTION("""COMPUTED_VALUE"""),"VILLEGAS HINCAPIE, CANDELARIA")</f>
        <v>VILLEGAS HINCAPIE, CANDELARIA</v>
      </c>
      <c r="D525" t="str">
        <f>IFERROR(__xludf.DUMMYFUNCTION("""COMPUTED_VALUE"""),"Spanish and Literature 9")</f>
        <v>Spanish and Literature 9</v>
      </c>
      <c r="E525" s="3">
        <f>IFERROR(__xludf.DUMMYFUNCTION("""COMPUTED_VALUE"""),6.0)</f>
        <v>6</v>
      </c>
      <c r="F525" s="300">
        <v>1.0</v>
      </c>
      <c r="G525" s="300">
        <v>1.0</v>
      </c>
      <c r="H525" s="300">
        <v>1.0</v>
      </c>
      <c r="I525" s="300">
        <v>1.0</v>
      </c>
      <c r="J525" s="300">
        <v>1.0</v>
      </c>
      <c r="K525" s="300">
        <v>1.0</v>
      </c>
      <c r="L525" s="300">
        <v>1.0</v>
      </c>
      <c r="M525" s="300">
        <v>1.0</v>
      </c>
      <c r="N525" s="300">
        <v>8.0</v>
      </c>
      <c r="O525" s="300" t="s">
        <v>811</v>
      </c>
      <c r="P525" s="300">
        <v>7.0</v>
      </c>
    </row>
    <row r="526">
      <c r="A526">
        <f>IFERROR(__xludf.DUMMYFUNCTION("""COMPUTED_VALUE"""),9.0)</f>
        <v>9</v>
      </c>
      <c r="B526" s="406">
        <f>IFERROR(__xludf.DUMMYFUNCTION("""COMPUTED_VALUE"""),29077.0)</f>
        <v>29077</v>
      </c>
      <c r="C526" t="str">
        <f>IFERROR(__xludf.DUMMYFUNCTION("""COMPUTED_VALUE"""),"MEJIA VILLEGAS, CANDELARIA")</f>
        <v>MEJIA VILLEGAS, CANDELARIA</v>
      </c>
      <c r="D526" t="str">
        <f>IFERROR(__xludf.DUMMYFUNCTION("""COMPUTED_VALUE"""),"Spanish and Literature 9")</f>
        <v>Spanish and Literature 9</v>
      </c>
      <c r="E526" s="3">
        <f>IFERROR(__xludf.DUMMYFUNCTION("""COMPUTED_VALUE"""),6.0)</f>
        <v>6</v>
      </c>
      <c r="F526" s="300">
        <v>1.0</v>
      </c>
      <c r="G526" s="300">
        <v>1.0</v>
      </c>
      <c r="H526" s="300">
        <v>1.0</v>
      </c>
      <c r="I526" s="300">
        <v>1.0</v>
      </c>
      <c r="J526" s="300">
        <v>1.0</v>
      </c>
      <c r="K526" s="300">
        <v>1.0</v>
      </c>
      <c r="L526" s="300">
        <v>1.0</v>
      </c>
      <c r="M526" s="300">
        <v>1.0</v>
      </c>
      <c r="N526" s="300">
        <v>8.0</v>
      </c>
      <c r="O526" s="300" t="s">
        <v>811</v>
      </c>
      <c r="P526" s="300">
        <v>7.0</v>
      </c>
    </row>
    <row r="527">
      <c r="A527">
        <f>IFERROR(__xludf.DUMMYFUNCTION("""COMPUTED_VALUE"""),9.0)</f>
        <v>9</v>
      </c>
      <c r="B527" s="406">
        <f>IFERROR(__xludf.DUMMYFUNCTION("""COMPUTED_VALUE"""),28006.0)</f>
        <v>28006</v>
      </c>
      <c r="C527" t="str">
        <f>IFERROR(__xludf.DUMMYFUNCTION("""COMPUTED_VALUE"""),"ARISTIZABAL ECHAVARRIA, CRISTOBAL")</f>
        <v>ARISTIZABAL ECHAVARRIA, CRISTOBAL</v>
      </c>
      <c r="D527" t="str">
        <f>IFERROR(__xludf.DUMMYFUNCTION("""COMPUTED_VALUE"""),"Spanish and Literature 9")</f>
        <v>Spanish and Literature 9</v>
      </c>
      <c r="E527" s="3">
        <f>IFERROR(__xludf.DUMMYFUNCTION("""COMPUTED_VALUE"""),5.0)</f>
        <v>5</v>
      </c>
      <c r="F527" s="300">
        <v>1.0</v>
      </c>
      <c r="G527" s="300">
        <v>1.0</v>
      </c>
      <c r="H527" s="300">
        <v>1.0</v>
      </c>
      <c r="I527" s="300">
        <v>1.0</v>
      </c>
      <c r="J527" s="300">
        <v>1.0</v>
      </c>
      <c r="K527" s="300">
        <v>1.0</v>
      </c>
      <c r="L527" s="300">
        <v>1.0</v>
      </c>
      <c r="M527" s="300">
        <v>1.0</v>
      </c>
      <c r="N527" s="300">
        <v>8.0</v>
      </c>
      <c r="O527" s="300" t="s">
        <v>812</v>
      </c>
      <c r="P527" s="300">
        <v>7.0</v>
      </c>
    </row>
    <row r="528">
      <c r="A528">
        <f>IFERROR(__xludf.DUMMYFUNCTION("""COMPUTED_VALUE"""),9.0)</f>
        <v>9</v>
      </c>
      <c r="B528" s="406">
        <f>IFERROR(__xludf.DUMMYFUNCTION("""COMPUTED_VALUE"""),29089.0)</f>
        <v>29089</v>
      </c>
      <c r="C528" t="str">
        <f>IFERROR(__xludf.DUMMYFUNCTION("""COMPUTED_VALUE"""),"PEREZ BEDOYA, ELENA")</f>
        <v>PEREZ BEDOYA, ELENA</v>
      </c>
      <c r="D528" t="str">
        <f>IFERROR(__xludf.DUMMYFUNCTION("""COMPUTED_VALUE"""),"Spanish and Literature 9")</f>
        <v>Spanish and Literature 9</v>
      </c>
      <c r="E528" s="3">
        <f>IFERROR(__xludf.DUMMYFUNCTION("""COMPUTED_VALUE"""),4.0)</f>
        <v>4</v>
      </c>
      <c r="F528" s="300">
        <v>1.0</v>
      </c>
      <c r="G528" s="300">
        <v>1.0</v>
      </c>
      <c r="H528" s="300">
        <v>1.0</v>
      </c>
      <c r="I528" s="300">
        <v>1.0</v>
      </c>
      <c r="J528" s="300">
        <v>1.0</v>
      </c>
      <c r="K528" s="300">
        <v>1.0</v>
      </c>
      <c r="L528" s="300">
        <v>1.0</v>
      </c>
      <c r="M528" s="300">
        <v>1.0</v>
      </c>
      <c r="N528" s="300">
        <v>8.0</v>
      </c>
      <c r="O528" s="300" t="s">
        <v>813</v>
      </c>
      <c r="P528" s="300">
        <v>7.0</v>
      </c>
    </row>
    <row r="529">
      <c r="A529">
        <f>IFERROR(__xludf.DUMMYFUNCTION("""COMPUTED_VALUE"""),9.0)</f>
        <v>9</v>
      </c>
      <c r="B529" s="406">
        <f>IFERROR(__xludf.DUMMYFUNCTION("""COMPUTED_VALUE"""),29048.0)</f>
        <v>29048</v>
      </c>
      <c r="C529" t="str">
        <f>IFERROR(__xludf.DUMMYFUNCTION("""COMPUTED_VALUE"""),"HENAO RESTREPO, ANTONIA")</f>
        <v>HENAO RESTREPO, ANTONIA</v>
      </c>
      <c r="D529" t="str">
        <f>IFERROR(__xludf.DUMMYFUNCTION("""COMPUTED_VALUE"""),"Spanish and Literature 9")</f>
        <v>Spanish and Literature 9</v>
      </c>
      <c r="E529" s="3">
        <f>IFERROR(__xludf.DUMMYFUNCTION("""COMPUTED_VALUE"""),4.0)</f>
        <v>4</v>
      </c>
      <c r="F529" s="300">
        <v>1.0</v>
      </c>
      <c r="G529" s="300">
        <v>1.0</v>
      </c>
      <c r="H529" s="300">
        <v>1.0</v>
      </c>
      <c r="I529" s="300">
        <v>1.0</v>
      </c>
      <c r="J529" s="300">
        <v>1.0</v>
      </c>
      <c r="K529" s="300">
        <v>1.0</v>
      </c>
      <c r="L529" s="300">
        <v>1.0</v>
      </c>
      <c r="M529" s="300">
        <v>1.0</v>
      </c>
      <c r="N529" s="300">
        <v>8.0</v>
      </c>
      <c r="O529" s="300" t="s">
        <v>813</v>
      </c>
      <c r="P529" s="300">
        <v>7.0</v>
      </c>
    </row>
    <row r="530">
      <c r="A530">
        <f>IFERROR(__xludf.DUMMYFUNCTION("""COMPUTED_VALUE"""),9.0)</f>
        <v>9</v>
      </c>
      <c r="B530" s="406">
        <f>IFERROR(__xludf.DUMMYFUNCTION("""COMPUTED_VALUE"""),29019.0)</f>
        <v>29019</v>
      </c>
      <c r="C530" t="str">
        <f>IFERROR(__xludf.DUMMYFUNCTION("""COMPUTED_VALUE"""),"BARRIENTOS ALVAREZ, ELISA")</f>
        <v>BARRIENTOS ALVAREZ, ELISA</v>
      </c>
      <c r="D530" t="str">
        <f>IFERROR(__xludf.DUMMYFUNCTION("""COMPUTED_VALUE"""),"Spanish and Literature 9")</f>
        <v>Spanish and Literature 9</v>
      </c>
      <c r="E530" s="3">
        <f>IFERROR(__xludf.DUMMYFUNCTION("""COMPUTED_VALUE"""),6.0)</f>
        <v>6</v>
      </c>
      <c r="F530" s="300">
        <v>1.0</v>
      </c>
      <c r="G530" s="300">
        <v>1.0</v>
      </c>
      <c r="H530" s="300">
        <v>1.0</v>
      </c>
      <c r="I530" s="300">
        <v>1.0</v>
      </c>
      <c r="J530" s="300">
        <v>1.0</v>
      </c>
      <c r="K530" s="300">
        <v>1.0</v>
      </c>
      <c r="L530" s="300">
        <v>1.0</v>
      </c>
      <c r="M530" s="300">
        <v>1.0</v>
      </c>
      <c r="N530" s="300">
        <v>8.0</v>
      </c>
      <c r="O530" s="300" t="s">
        <v>811</v>
      </c>
      <c r="P530" s="300">
        <v>7.0</v>
      </c>
    </row>
    <row r="531">
      <c r="A531">
        <f>IFERROR(__xludf.DUMMYFUNCTION("""COMPUTED_VALUE"""),9.0)</f>
        <v>9</v>
      </c>
      <c r="B531" s="406">
        <f>IFERROR(__xludf.DUMMYFUNCTION("""COMPUTED_VALUE"""),29079.0)</f>
        <v>29079</v>
      </c>
      <c r="C531" t="str">
        <f>IFERROR(__xludf.DUMMYFUNCTION("""COMPUTED_VALUE"""),"MISAS MESA, ALICIA")</f>
        <v>MISAS MESA, ALICIA</v>
      </c>
      <c r="D531" t="str">
        <f>IFERROR(__xludf.DUMMYFUNCTION("""COMPUTED_VALUE"""),"Spanish and Literature 9")</f>
        <v>Spanish and Literature 9</v>
      </c>
      <c r="E531" s="3">
        <f>IFERROR(__xludf.DUMMYFUNCTION("""COMPUTED_VALUE"""),4.0)</f>
        <v>4</v>
      </c>
      <c r="F531" s="300">
        <v>1.0</v>
      </c>
      <c r="G531" s="300">
        <v>1.0</v>
      </c>
      <c r="H531" s="300">
        <v>1.0</v>
      </c>
      <c r="I531" s="300">
        <v>1.0</v>
      </c>
      <c r="J531" s="300">
        <v>1.0</v>
      </c>
      <c r="K531" s="300">
        <v>1.0</v>
      </c>
      <c r="L531" s="300">
        <v>1.0</v>
      </c>
      <c r="M531" s="300">
        <v>1.0</v>
      </c>
      <c r="N531" s="300">
        <v>8.0</v>
      </c>
      <c r="O531" s="300" t="s">
        <v>813</v>
      </c>
      <c r="P531" s="300">
        <v>7.0</v>
      </c>
    </row>
    <row r="532">
      <c r="A532">
        <f>IFERROR(__xludf.DUMMYFUNCTION("""COMPUTED_VALUE"""),9.0)</f>
        <v>9</v>
      </c>
      <c r="B532" s="406">
        <f>IFERROR(__xludf.DUMMYFUNCTION("""COMPUTED_VALUE"""),29010.0)</f>
        <v>29010</v>
      </c>
      <c r="C532" t="str">
        <f>IFERROR(__xludf.DUMMYFUNCTION("""COMPUTED_VALUE"""),"ARANGO NAVARRO, MANUELA")</f>
        <v>ARANGO NAVARRO, MANUELA</v>
      </c>
      <c r="D532" t="str">
        <f>IFERROR(__xludf.DUMMYFUNCTION("""COMPUTED_VALUE"""),"Spanish and Literature 9")</f>
        <v>Spanish and Literature 9</v>
      </c>
      <c r="E532" s="3">
        <f>IFERROR(__xludf.DUMMYFUNCTION("""COMPUTED_VALUE"""),1.0)</f>
        <v>1</v>
      </c>
      <c r="F532" s="300">
        <v>1.0</v>
      </c>
      <c r="G532" s="300">
        <v>1.0</v>
      </c>
      <c r="H532" s="300">
        <v>1.0</v>
      </c>
      <c r="I532" s="300">
        <v>1.0</v>
      </c>
      <c r="J532" s="300">
        <v>1.0</v>
      </c>
      <c r="K532" s="300">
        <v>1.0</v>
      </c>
      <c r="L532" s="300">
        <v>1.0</v>
      </c>
      <c r="M532" s="300">
        <v>1.0</v>
      </c>
      <c r="N532" s="300">
        <v>8.0</v>
      </c>
      <c r="O532" s="300" t="s">
        <v>814</v>
      </c>
      <c r="P532" s="300">
        <v>7.0</v>
      </c>
    </row>
    <row r="533">
      <c r="A533">
        <f>IFERROR(__xludf.DUMMYFUNCTION("""COMPUTED_VALUE"""),9.0)</f>
        <v>9</v>
      </c>
      <c r="B533" s="406">
        <f>IFERROR(__xludf.DUMMYFUNCTION("""COMPUTED_VALUE"""),29074.0)</f>
        <v>29074</v>
      </c>
      <c r="C533" t="str">
        <f>IFERROR(__xludf.DUMMYFUNCTION("""COMPUTED_VALUE"""),"MEDINA JARAMILLO, ALICIA")</f>
        <v>MEDINA JARAMILLO, ALICIA</v>
      </c>
      <c r="D533" t="str">
        <f>IFERROR(__xludf.DUMMYFUNCTION("""COMPUTED_VALUE"""),"Spanish and Literature 9")</f>
        <v>Spanish and Literature 9</v>
      </c>
      <c r="E533" s="3">
        <f>IFERROR(__xludf.DUMMYFUNCTION("""COMPUTED_VALUE"""),4.0)</f>
        <v>4</v>
      </c>
      <c r="F533" s="300">
        <v>1.0</v>
      </c>
      <c r="G533" s="300">
        <v>1.0</v>
      </c>
      <c r="H533" s="300">
        <v>1.0</v>
      </c>
      <c r="I533" s="300">
        <v>1.0</v>
      </c>
      <c r="J533" s="300">
        <v>1.0</v>
      </c>
      <c r="K533" s="300">
        <v>1.0</v>
      </c>
      <c r="L533" s="300">
        <v>1.0</v>
      </c>
      <c r="M533" s="300">
        <v>1.0</v>
      </c>
      <c r="N533" s="300">
        <v>8.0</v>
      </c>
      <c r="O533" s="300" t="s">
        <v>813</v>
      </c>
      <c r="P533" s="300">
        <v>7.0</v>
      </c>
    </row>
    <row r="534">
      <c r="A534">
        <f>IFERROR(__xludf.DUMMYFUNCTION("""COMPUTED_VALUE"""),9.0)</f>
        <v>9</v>
      </c>
      <c r="B534" s="406">
        <f>IFERROR(__xludf.DUMMYFUNCTION("""COMPUTED_VALUE"""),29001.0)</f>
        <v>29001</v>
      </c>
      <c r="C534" t="str">
        <f>IFERROR(__xludf.DUMMYFUNCTION("""COMPUTED_VALUE"""),"ACEVEDO ARANGO, ROSARIO")</f>
        <v>ACEVEDO ARANGO, ROSARIO</v>
      </c>
      <c r="D534" t="str">
        <f>IFERROR(__xludf.DUMMYFUNCTION("""COMPUTED_VALUE"""),"Spanish and Literature 9")</f>
        <v>Spanish and Literature 9</v>
      </c>
      <c r="E534" s="3">
        <f>IFERROR(__xludf.DUMMYFUNCTION("""COMPUTED_VALUE"""),6.0)</f>
        <v>6</v>
      </c>
      <c r="F534" s="300">
        <v>1.0</v>
      </c>
      <c r="G534" s="300">
        <v>1.0</v>
      </c>
      <c r="H534" s="300">
        <v>1.0</v>
      </c>
      <c r="I534" s="300">
        <v>1.0</v>
      </c>
      <c r="J534" s="300">
        <v>1.0</v>
      </c>
      <c r="K534" s="300">
        <v>1.0</v>
      </c>
      <c r="L534" s="300">
        <v>1.0</v>
      </c>
      <c r="M534" s="300">
        <v>1.0</v>
      </c>
      <c r="N534" s="300">
        <v>8.0</v>
      </c>
      <c r="O534" s="300" t="s">
        <v>811</v>
      </c>
      <c r="P534" s="300">
        <v>7.0</v>
      </c>
    </row>
    <row r="535">
      <c r="A535">
        <f>IFERROR(__xludf.DUMMYFUNCTION("""COMPUTED_VALUE"""),9.0)</f>
        <v>9</v>
      </c>
      <c r="B535" s="406">
        <f>IFERROR(__xludf.DUMMYFUNCTION("""COMPUTED_VALUE"""),29043.0)</f>
        <v>29043</v>
      </c>
      <c r="C535" t="str">
        <f>IFERROR(__xludf.DUMMYFUNCTION("""COMPUTED_VALUE"""),"GOMEZ PASCHKE, VALERIA")</f>
        <v>GOMEZ PASCHKE, VALERIA</v>
      </c>
      <c r="D535" t="str">
        <f>IFERROR(__xludf.DUMMYFUNCTION("""COMPUTED_VALUE"""),"Spanish and Literature 9")</f>
        <v>Spanish and Literature 9</v>
      </c>
      <c r="E535" s="3">
        <f>IFERROR(__xludf.DUMMYFUNCTION("""COMPUTED_VALUE"""),3.0)</f>
        <v>3</v>
      </c>
      <c r="F535" s="300">
        <v>1.0</v>
      </c>
      <c r="G535" s="300">
        <v>1.0</v>
      </c>
      <c r="H535" s="300">
        <v>1.0</v>
      </c>
      <c r="I535" s="300">
        <v>1.0</v>
      </c>
      <c r="J535" s="300">
        <v>1.0</v>
      </c>
      <c r="K535" s="300">
        <v>1.0</v>
      </c>
      <c r="L535" s="300">
        <v>1.0</v>
      </c>
      <c r="M535" s="300">
        <v>1.0</v>
      </c>
      <c r="N535" s="300">
        <v>8.0</v>
      </c>
      <c r="O535" s="300" t="s">
        <v>809</v>
      </c>
      <c r="P535" s="300">
        <v>7.0</v>
      </c>
    </row>
    <row r="536">
      <c r="A536">
        <f>IFERROR(__xludf.DUMMYFUNCTION("""COMPUTED_VALUE"""),9.0)</f>
        <v>9</v>
      </c>
      <c r="B536" s="406">
        <f>IFERROR(__xludf.DUMMYFUNCTION("""COMPUTED_VALUE"""),29114.0)</f>
        <v>29114</v>
      </c>
      <c r="C536" t="str">
        <f>IFERROR(__xludf.DUMMYFUNCTION("""COMPUTED_VALUE"""),"THIRIEZ VILLA, MARIA")</f>
        <v>THIRIEZ VILLA, MARIA</v>
      </c>
      <c r="D536" t="str">
        <f>IFERROR(__xludf.DUMMYFUNCTION("""COMPUTED_VALUE"""),"Spanish and Literature 9")</f>
        <v>Spanish and Literature 9</v>
      </c>
      <c r="E536" s="3">
        <f>IFERROR(__xludf.DUMMYFUNCTION("""COMPUTED_VALUE"""),1.0)</f>
        <v>1</v>
      </c>
      <c r="F536" s="300">
        <v>1.0</v>
      </c>
      <c r="G536" s="300">
        <v>1.0</v>
      </c>
      <c r="H536" s="300">
        <v>1.0</v>
      </c>
      <c r="I536" s="300">
        <v>1.0</v>
      </c>
      <c r="J536" s="300">
        <v>1.0</v>
      </c>
      <c r="K536" s="300">
        <v>1.0</v>
      </c>
      <c r="L536" s="300">
        <v>1.0</v>
      </c>
      <c r="M536" s="300">
        <v>1.0</v>
      </c>
      <c r="N536" s="300">
        <v>8.0</v>
      </c>
      <c r="O536" s="300" t="s">
        <v>814</v>
      </c>
      <c r="P536" s="300">
        <v>7.0</v>
      </c>
    </row>
    <row r="537">
      <c r="A537">
        <f>IFERROR(__xludf.DUMMYFUNCTION("""COMPUTED_VALUE"""),9.0)</f>
        <v>9</v>
      </c>
      <c r="B537" s="406">
        <f>IFERROR(__xludf.DUMMYFUNCTION("""COMPUTED_VALUE"""),29091.0)</f>
        <v>29091</v>
      </c>
      <c r="C537" t="str">
        <f>IFERROR(__xludf.DUMMYFUNCTION("""COMPUTED_VALUE"""),"PLATA BOLAÑOS, CAMILA")</f>
        <v>PLATA BOLAÑOS, CAMILA</v>
      </c>
      <c r="D537" t="str">
        <f>IFERROR(__xludf.DUMMYFUNCTION("""COMPUTED_VALUE"""),"Spanish and Literature 9")</f>
        <v>Spanish and Literature 9</v>
      </c>
      <c r="E537" s="3">
        <f>IFERROR(__xludf.DUMMYFUNCTION("""COMPUTED_VALUE"""),1.0)</f>
        <v>1</v>
      </c>
      <c r="F537" s="300">
        <v>1.0</v>
      </c>
      <c r="G537" s="300">
        <v>1.0</v>
      </c>
      <c r="H537" s="300">
        <v>1.0</v>
      </c>
      <c r="I537" s="300">
        <v>1.0</v>
      </c>
      <c r="J537" s="300">
        <v>1.0</v>
      </c>
      <c r="K537" s="300">
        <v>1.0</v>
      </c>
      <c r="L537" s="300">
        <v>1.0</v>
      </c>
      <c r="M537" s="300">
        <v>1.0</v>
      </c>
      <c r="N537" s="300">
        <v>8.0</v>
      </c>
      <c r="O537" s="300" t="s">
        <v>814</v>
      </c>
      <c r="P537" s="300">
        <v>7.0</v>
      </c>
    </row>
    <row r="538">
      <c r="A538">
        <f>IFERROR(__xludf.DUMMYFUNCTION("""COMPUTED_VALUE"""),9.0)</f>
        <v>9</v>
      </c>
      <c r="B538" s="406">
        <f>IFERROR(__xludf.DUMMYFUNCTION("""COMPUTED_VALUE"""),29034.0)</f>
        <v>29034</v>
      </c>
      <c r="C538" t="str">
        <f>IFERROR(__xludf.DUMMYFUNCTION("""COMPUTED_VALUE"""),"DUQUE BONNETT, ELISA")</f>
        <v>DUQUE BONNETT, ELISA</v>
      </c>
      <c r="D538" t="str">
        <f>IFERROR(__xludf.DUMMYFUNCTION("""COMPUTED_VALUE"""),"Spanish and Literature 9")</f>
        <v>Spanish and Literature 9</v>
      </c>
      <c r="E538" s="3">
        <f>IFERROR(__xludf.DUMMYFUNCTION("""COMPUTED_VALUE"""),4.0)</f>
        <v>4</v>
      </c>
      <c r="F538" s="300">
        <v>1.0</v>
      </c>
      <c r="G538" s="300">
        <v>1.0</v>
      </c>
      <c r="H538" s="300">
        <v>1.0</v>
      </c>
      <c r="I538" s="300">
        <v>1.0</v>
      </c>
      <c r="J538" s="300">
        <v>1.0</v>
      </c>
      <c r="K538" s="300">
        <v>1.0</v>
      </c>
      <c r="L538" s="300">
        <v>1.0</v>
      </c>
      <c r="M538" s="300">
        <v>1.0</v>
      </c>
      <c r="N538" s="300">
        <v>8.0</v>
      </c>
      <c r="O538" s="300" t="s">
        <v>813</v>
      </c>
      <c r="P538" s="300">
        <v>7.0</v>
      </c>
    </row>
    <row r="539">
      <c r="A539">
        <f>IFERROR(__xludf.DUMMYFUNCTION("""COMPUTED_VALUE"""),9.0)</f>
        <v>9</v>
      </c>
      <c r="B539" s="406">
        <f>IFERROR(__xludf.DUMMYFUNCTION("""COMPUTED_VALUE"""),29080.0)</f>
        <v>29080</v>
      </c>
      <c r="C539" t="str">
        <f>IFERROR(__xludf.DUMMYFUNCTION("""COMPUTED_VALUE"""),"MONTES LOPEZ, MANUELA")</f>
        <v>MONTES LOPEZ, MANUELA</v>
      </c>
      <c r="D539" t="str">
        <f>IFERROR(__xludf.DUMMYFUNCTION("""COMPUTED_VALUE"""),"Spanish and Literature 9")</f>
        <v>Spanish and Literature 9</v>
      </c>
      <c r="E539" s="3">
        <f>IFERROR(__xludf.DUMMYFUNCTION("""COMPUTED_VALUE"""),4.0)</f>
        <v>4</v>
      </c>
      <c r="F539" s="300">
        <v>1.0</v>
      </c>
      <c r="G539" s="300">
        <v>1.0</v>
      </c>
      <c r="H539" s="300">
        <v>1.0</v>
      </c>
      <c r="I539" s="300">
        <v>1.0</v>
      </c>
      <c r="J539" s="300">
        <v>1.0</v>
      </c>
      <c r="K539" s="300">
        <v>1.0</v>
      </c>
      <c r="L539" s="300">
        <v>1.0</v>
      </c>
      <c r="M539" s="300">
        <v>1.0</v>
      </c>
      <c r="N539" s="300">
        <v>8.0</v>
      </c>
      <c r="O539" s="300" t="s">
        <v>813</v>
      </c>
      <c r="P539" s="300">
        <v>7.0</v>
      </c>
    </row>
    <row r="540">
      <c r="A540">
        <f>IFERROR(__xludf.DUMMYFUNCTION("""COMPUTED_VALUE"""),9.0)</f>
        <v>9</v>
      </c>
      <c r="B540" s="406">
        <f>IFERROR(__xludf.DUMMYFUNCTION("""COMPUTED_VALUE"""),29157.0)</f>
        <v>29157</v>
      </c>
      <c r="C540" t="str">
        <f>IFERROR(__xludf.DUMMYFUNCTION("""COMPUTED_VALUE"""),"PETTERSSON VANEGAS, DOMINIQUE")</f>
        <v>PETTERSSON VANEGAS, DOMINIQUE</v>
      </c>
      <c r="D540" t="str">
        <f>IFERROR(__xludf.DUMMYFUNCTION("""COMPUTED_VALUE"""),"Spanish and Literature 9")</f>
        <v>Spanish and Literature 9</v>
      </c>
      <c r="E540" s="3">
        <f>IFERROR(__xludf.DUMMYFUNCTION("""COMPUTED_VALUE"""),3.0)</f>
        <v>3</v>
      </c>
      <c r="F540" s="300">
        <v>1.0</v>
      </c>
      <c r="G540" s="300">
        <v>1.0</v>
      </c>
      <c r="H540" s="300">
        <v>1.0</v>
      </c>
      <c r="I540" s="300">
        <v>1.0</v>
      </c>
      <c r="J540" s="300">
        <v>1.0</v>
      </c>
      <c r="K540" s="300">
        <v>1.0</v>
      </c>
      <c r="L540" s="300">
        <v>1.0</v>
      </c>
      <c r="M540" s="300">
        <v>1.0</v>
      </c>
      <c r="N540" s="300">
        <v>8.0</v>
      </c>
      <c r="O540" s="300" t="s">
        <v>809</v>
      </c>
      <c r="P540" s="300">
        <v>7.0</v>
      </c>
    </row>
    <row r="541">
      <c r="A541">
        <f>IFERROR(__xludf.DUMMYFUNCTION("""COMPUTED_VALUE"""),9.0)</f>
        <v>9</v>
      </c>
      <c r="B541" s="406">
        <f>IFERROR(__xludf.DUMMYFUNCTION("""COMPUTED_VALUE"""),29111.0)</f>
        <v>29111</v>
      </c>
      <c r="C541" t="str">
        <f>IFERROR(__xludf.DUMMYFUNCTION("""COMPUTED_VALUE"""),"SOTO ANGEL, GABRIELA")</f>
        <v>SOTO ANGEL, GABRIELA</v>
      </c>
      <c r="D541" t="str">
        <f>IFERROR(__xludf.DUMMYFUNCTION("""COMPUTED_VALUE"""),"Spanish and Literature 9")</f>
        <v>Spanish and Literature 9</v>
      </c>
      <c r="E541" s="3">
        <f>IFERROR(__xludf.DUMMYFUNCTION("""COMPUTED_VALUE"""),7.0)</f>
        <v>7</v>
      </c>
      <c r="F541" s="300">
        <v>1.0</v>
      </c>
      <c r="G541" s="300">
        <v>1.0</v>
      </c>
      <c r="H541" s="300">
        <v>1.0</v>
      </c>
      <c r="I541" s="300">
        <v>1.0</v>
      </c>
      <c r="J541" s="300">
        <v>1.0</v>
      </c>
      <c r="K541" s="300">
        <v>1.0</v>
      </c>
      <c r="L541" s="300">
        <v>1.0</v>
      </c>
      <c r="M541" s="300">
        <v>1.0</v>
      </c>
      <c r="N541" s="300">
        <v>8.0</v>
      </c>
      <c r="O541" s="300" t="s">
        <v>808</v>
      </c>
      <c r="P541" s="300">
        <v>7.0</v>
      </c>
    </row>
    <row r="542">
      <c r="A542">
        <f>IFERROR(__xludf.DUMMYFUNCTION("""COMPUTED_VALUE"""),9.0)</f>
        <v>9</v>
      </c>
      <c r="B542" s="406">
        <f>IFERROR(__xludf.DUMMYFUNCTION("""COMPUTED_VALUE"""),29107.0)</f>
        <v>29107</v>
      </c>
      <c r="C542" t="str">
        <f>IFERROR(__xludf.DUMMYFUNCTION("""COMPUTED_VALUE"""),"SANIN JARAMILLO, PEDRO")</f>
        <v>SANIN JARAMILLO, PEDRO</v>
      </c>
      <c r="D542" t="str">
        <f>IFERROR(__xludf.DUMMYFUNCTION("""COMPUTED_VALUE"""),"Spanish and Literature 9")</f>
        <v>Spanish and Literature 9</v>
      </c>
      <c r="E542" s="3">
        <f>IFERROR(__xludf.DUMMYFUNCTION("""COMPUTED_VALUE"""),5.0)</f>
        <v>5</v>
      </c>
      <c r="F542" s="300">
        <v>1.0</v>
      </c>
      <c r="G542" s="300">
        <v>1.0</v>
      </c>
      <c r="H542" s="300">
        <v>1.0</v>
      </c>
      <c r="I542" s="300">
        <v>1.0</v>
      </c>
      <c r="J542" s="300">
        <v>1.0</v>
      </c>
      <c r="K542" s="300">
        <v>1.0</v>
      </c>
      <c r="L542" s="300">
        <v>1.0</v>
      </c>
      <c r="M542" s="300">
        <v>1.0</v>
      </c>
      <c r="N542" s="300">
        <v>8.0</v>
      </c>
      <c r="O542" s="300" t="s">
        <v>812</v>
      </c>
      <c r="P542" s="300">
        <v>7.0</v>
      </c>
    </row>
    <row r="543">
      <c r="A543">
        <f>IFERROR(__xludf.DUMMYFUNCTION("""COMPUTED_VALUE"""),9.0)</f>
        <v>9</v>
      </c>
      <c r="B543" s="406">
        <f>IFERROR(__xludf.DUMMYFUNCTION("""COMPUTED_VALUE"""),29066.0)</f>
        <v>29066</v>
      </c>
      <c r="C543" t="str">
        <f>IFERROR(__xludf.DUMMYFUNCTION("""COMPUTED_VALUE"""),"LONDOÑO JARAMILLO, MARTINA")</f>
        <v>LONDOÑO JARAMILLO, MARTINA</v>
      </c>
      <c r="D543" t="str">
        <f>IFERROR(__xludf.DUMMYFUNCTION("""COMPUTED_VALUE"""),"Spanish and Literature 9")</f>
        <v>Spanish and Literature 9</v>
      </c>
      <c r="E543" s="3">
        <f>IFERROR(__xludf.DUMMYFUNCTION("""COMPUTED_VALUE"""),4.0)</f>
        <v>4</v>
      </c>
      <c r="F543" s="300">
        <v>1.0</v>
      </c>
      <c r="G543" s="300">
        <v>1.0</v>
      </c>
      <c r="H543" s="300">
        <v>1.0</v>
      </c>
      <c r="I543" s="300">
        <v>1.0</v>
      </c>
      <c r="J543" s="300">
        <v>1.0</v>
      </c>
      <c r="K543" s="300">
        <v>1.0</v>
      </c>
      <c r="L543" s="300">
        <v>1.0</v>
      </c>
      <c r="M543" s="300">
        <v>1.0</v>
      </c>
      <c r="N543" s="300">
        <v>8.0</v>
      </c>
      <c r="O543" s="300" t="s">
        <v>813</v>
      </c>
      <c r="P543" s="300">
        <v>7.0</v>
      </c>
    </row>
    <row r="544">
      <c r="A544">
        <f>IFERROR(__xludf.DUMMYFUNCTION("""COMPUTED_VALUE"""),9.0)</f>
        <v>9</v>
      </c>
      <c r="B544" s="406">
        <f>IFERROR(__xludf.DUMMYFUNCTION("""COMPUTED_VALUE"""),29071.0)</f>
        <v>29071</v>
      </c>
      <c r="C544" t="str">
        <f>IFERROR(__xludf.DUMMYFUNCTION("""COMPUTED_VALUE"""),"MARQUEZ BARRERA, MIRANDA")</f>
        <v>MARQUEZ BARRERA, MIRANDA</v>
      </c>
      <c r="D544" t="str">
        <f>IFERROR(__xludf.DUMMYFUNCTION("""COMPUTED_VALUE"""),"Spanish and Literature 9")</f>
        <v>Spanish and Literature 9</v>
      </c>
      <c r="E544" s="3">
        <f>IFERROR(__xludf.DUMMYFUNCTION("""COMPUTED_VALUE"""),3.0)</f>
        <v>3</v>
      </c>
      <c r="F544" s="300">
        <v>1.0</v>
      </c>
      <c r="G544" s="300">
        <v>1.0</v>
      </c>
      <c r="H544" s="300">
        <v>1.0</v>
      </c>
      <c r="I544" s="300">
        <v>1.0</v>
      </c>
      <c r="J544" s="300">
        <v>1.0</v>
      </c>
      <c r="K544" s="300">
        <v>1.0</v>
      </c>
      <c r="L544" s="300">
        <v>1.0</v>
      </c>
      <c r="M544" s="300">
        <v>1.0</v>
      </c>
      <c r="N544" s="300">
        <v>8.0</v>
      </c>
      <c r="O544" s="300" t="s">
        <v>809</v>
      </c>
      <c r="P544" s="300">
        <v>7.0</v>
      </c>
    </row>
    <row r="545">
      <c r="A545">
        <f>IFERROR(__xludf.DUMMYFUNCTION("""COMPUTED_VALUE"""),9.0)</f>
        <v>9</v>
      </c>
      <c r="B545" s="406">
        <f>IFERROR(__xludf.DUMMYFUNCTION("""COMPUTED_VALUE"""),29008.0)</f>
        <v>29008</v>
      </c>
      <c r="C545" t="str">
        <f>IFERROR(__xludf.DUMMYFUNCTION("""COMPUTED_VALUE"""),"APA ECHAVARRIA, LORENZO")</f>
        <v>APA ECHAVARRIA, LORENZO</v>
      </c>
      <c r="D545" t="str">
        <f>IFERROR(__xludf.DUMMYFUNCTION("""COMPUTED_VALUE"""),"Spanish and Literature 9")</f>
        <v>Spanish and Literature 9</v>
      </c>
      <c r="E545" s="3">
        <f>IFERROR(__xludf.DUMMYFUNCTION("""COMPUTED_VALUE"""),4.0)</f>
        <v>4</v>
      </c>
      <c r="F545" s="300">
        <v>1.0</v>
      </c>
      <c r="G545" s="300">
        <v>1.0</v>
      </c>
      <c r="H545" s="300">
        <v>1.0</v>
      </c>
      <c r="I545" s="300">
        <v>1.0</v>
      </c>
      <c r="J545" s="300">
        <v>1.0</v>
      </c>
      <c r="K545" s="300">
        <v>1.0</v>
      </c>
      <c r="L545" s="300">
        <v>1.0</v>
      </c>
      <c r="M545" s="300">
        <v>1.0</v>
      </c>
      <c r="N545" s="300">
        <v>8.0</v>
      </c>
      <c r="O545" s="300" t="s">
        <v>813</v>
      </c>
      <c r="P545" s="300">
        <v>7.0</v>
      </c>
    </row>
    <row r="546">
      <c r="A546">
        <f>IFERROR(__xludf.DUMMYFUNCTION("""COMPUTED_VALUE"""),9.0)</f>
        <v>9</v>
      </c>
      <c r="B546" s="406">
        <f>IFERROR(__xludf.DUMMYFUNCTION("""COMPUTED_VALUE"""),29016.0)</f>
        <v>29016</v>
      </c>
      <c r="C546" t="str">
        <f>IFERROR(__xludf.DUMMYFUNCTION("""COMPUTED_VALUE"""),"ARROYAVE LONDOÑO, ELISA")</f>
        <v>ARROYAVE LONDOÑO, ELISA</v>
      </c>
      <c r="D546" t="str">
        <f>IFERROR(__xludf.DUMMYFUNCTION("""COMPUTED_VALUE"""),"Spanish and Literature 9")</f>
        <v>Spanish and Literature 9</v>
      </c>
      <c r="E546" s="3">
        <f>IFERROR(__xludf.DUMMYFUNCTION("""COMPUTED_VALUE"""),3.0)</f>
        <v>3</v>
      </c>
      <c r="F546" s="300">
        <v>1.0</v>
      </c>
      <c r="G546" s="300">
        <v>1.0</v>
      </c>
      <c r="H546" s="300">
        <v>1.0</v>
      </c>
      <c r="I546" s="300">
        <v>1.0</v>
      </c>
      <c r="J546" s="300">
        <v>1.0</v>
      </c>
      <c r="K546" s="300">
        <v>1.0</v>
      </c>
      <c r="L546" s="300">
        <v>1.0</v>
      </c>
      <c r="M546" s="300">
        <v>1.0</v>
      </c>
      <c r="N546" s="300">
        <v>8.0</v>
      </c>
      <c r="O546" s="300" t="s">
        <v>809</v>
      </c>
      <c r="P546" s="300">
        <v>7.0</v>
      </c>
    </row>
    <row r="547">
      <c r="A547">
        <f>IFERROR(__xludf.DUMMYFUNCTION("""COMPUTED_VALUE"""),9.0)</f>
        <v>9</v>
      </c>
      <c r="B547" s="406">
        <f>IFERROR(__xludf.DUMMYFUNCTION("""COMPUTED_VALUE"""),29053.0)</f>
        <v>29053</v>
      </c>
      <c r="C547" t="str">
        <f>IFERROR(__xludf.DUMMYFUNCTION("""COMPUTED_VALUE"""),"HURTADO FAJARDO, JUANITA")</f>
        <v>HURTADO FAJARDO, JUANITA</v>
      </c>
      <c r="D547" t="str">
        <f>IFERROR(__xludf.DUMMYFUNCTION("""COMPUTED_VALUE"""),"Spanish and Literature 9")</f>
        <v>Spanish and Literature 9</v>
      </c>
      <c r="E547" s="3">
        <f>IFERROR(__xludf.DUMMYFUNCTION("""COMPUTED_VALUE"""),6.0)</f>
        <v>6</v>
      </c>
      <c r="F547" s="300">
        <v>1.0</v>
      </c>
      <c r="G547" s="300">
        <v>1.0</v>
      </c>
      <c r="H547" s="300">
        <v>1.0</v>
      </c>
      <c r="I547" s="300">
        <v>1.0</v>
      </c>
      <c r="J547" s="300">
        <v>1.0</v>
      </c>
      <c r="K547" s="300">
        <v>1.0</v>
      </c>
      <c r="L547" s="300">
        <v>1.0</v>
      </c>
      <c r="M547" s="300">
        <v>1.0</v>
      </c>
      <c r="N547" s="300">
        <v>8.0</v>
      </c>
      <c r="O547" s="300" t="s">
        <v>811</v>
      </c>
      <c r="P547" s="300">
        <v>7.0</v>
      </c>
    </row>
    <row r="548">
      <c r="A548">
        <f>IFERROR(__xludf.DUMMYFUNCTION("""COMPUTED_VALUE"""),9.0)</f>
        <v>9</v>
      </c>
      <c r="B548" s="406">
        <f>IFERROR(__xludf.DUMMYFUNCTION("""COMPUTED_VALUE"""),29124.0)</f>
        <v>29124</v>
      </c>
      <c r="C548" t="str">
        <f>IFERROR(__xludf.DUMMYFUNCTION("""COMPUTED_VALUE"""),"VALLEJO HOYOS, JUAN")</f>
        <v>VALLEJO HOYOS, JUAN</v>
      </c>
      <c r="D548" t="str">
        <f>IFERROR(__xludf.DUMMYFUNCTION("""COMPUTED_VALUE"""),"Spanish and Literature 9")</f>
        <v>Spanish and Literature 9</v>
      </c>
      <c r="E548" s="3">
        <f>IFERROR(__xludf.DUMMYFUNCTION("""COMPUTED_VALUE"""),5.0)</f>
        <v>5</v>
      </c>
      <c r="F548" s="300">
        <v>1.0</v>
      </c>
      <c r="G548" s="300">
        <v>1.0</v>
      </c>
      <c r="H548" s="300">
        <v>1.0</v>
      </c>
      <c r="I548" s="300">
        <v>1.0</v>
      </c>
      <c r="J548" s="300">
        <v>1.0</v>
      </c>
      <c r="K548" s="300">
        <v>1.0</v>
      </c>
      <c r="L548" s="300">
        <v>1.0</v>
      </c>
      <c r="M548" s="300">
        <v>1.0</v>
      </c>
      <c r="N548" s="300">
        <v>8.0</v>
      </c>
      <c r="O548" s="300" t="s">
        <v>812</v>
      </c>
      <c r="P548" s="300">
        <v>7.0</v>
      </c>
    </row>
    <row r="549">
      <c r="A549">
        <f>IFERROR(__xludf.DUMMYFUNCTION("""COMPUTED_VALUE"""),9.0)</f>
        <v>9</v>
      </c>
      <c r="B549" s="406">
        <f>IFERROR(__xludf.DUMMYFUNCTION("""COMPUTED_VALUE"""),29135.0)</f>
        <v>29135</v>
      </c>
      <c r="C549" t="str">
        <f>IFERROR(__xludf.DUMMYFUNCTION("""COMPUTED_VALUE"""),"ECHAVARRIA MUÑOZ, NICOLAS")</f>
        <v>ECHAVARRIA MUÑOZ, NICOLAS</v>
      </c>
      <c r="D549" t="str">
        <f>IFERROR(__xludf.DUMMYFUNCTION("""COMPUTED_VALUE"""),"Spanish and Literature 9")</f>
        <v>Spanish and Literature 9</v>
      </c>
      <c r="E549" s="3">
        <f>IFERROR(__xludf.DUMMYFUNCTION("""COMPUTED_VALUE"""),8.0)</f>
        <v>8</v>
      </c>
      <c r="F549" s="300">
        <v>1.0</v>
      </c>
      <c r="G549" s="300">
        <v>1.0</v>
      </c>
      <c r="H549" s="300">
        <v>1.0</v>
      </c>
      <c r="I549" s="300">
        <v>1.0</v>
      </c>
      <c r="J549" s="300">
        <v>1.0</v>
      </c>
      <c r="K549" s="300">
        <v>1.0</v>
      </c>
      <c r="L549" s="300">
        <v>1.0</v>
      </c>
      <c r="M549" s="300">
        <v>1.0</v>
      </c>
      <c r="N549" s="300">
        <v>8.0</v>
      </c>
      <c r="O549" s="300" t="s">
        <v>810</v>
      </c>
      <c r="P549" s="300">
        <v>7.0</v>
      </c>
    </row>
    <row r="550">
      <c r="A550">
        <f>IFERROR(__xludf.DUMMYFUNCTION("""COMPUTED_VALUE"""),9.0)</f>
        <v>9</v>
      </c>
      <c r="B550" s="406">
        <f>IFERROR(__xludf.DUMMYFUNCTION("""COMPUTED_VALUE"""),29112.0)</f>
        <v>29112</v>
      </c>
      <c r="C550" t="str">
        <f>IFERROR(__xludf.DUMMYFUNCTION("""COMPUTED_VALUE"""),"SUAREZ MARTINEZ, ANA")</f>
        <v>SUAREZ MARTINEZ, ANA</v>
      </c>
      <c r="D550" t="str">
        <f>IFERROR(__xludf.DUMMYFUNCTION("""COMPUTED_VALUE"""),"Spanish and Literature 9")</f>
        <v>Spanish and Literature 9</v>
      </c>
      <c r="E550" s="3">
        <f>IFERROR(__xludf.DUMMYFUNCTION("""COMPUTED_VALUE"""),6.0)</f>
        <v>6</v>
      </c>
      <c r="F550" s="300">
        <v>1.0</v>
      </c>
      <c r="G550" s="300">
        <v>1.0</v>
      </c>
      <c r="H550" s="300">
        <v>1.0</v>
      </c>
      <c r="I550" s="300">
        <v>1.0</v>
      </c>
      <c r="J550" s="300">
        <v>1.0</v>
      </c>
      <c r="K550" s="300">
        <v>1.0</v>
      </c>
      <c r="L550" s="300">
        <v>1.0</v>
      </c>
      <c r="M550" s="300">
        <v>1.0</v>
      </c>
      <c r="N550" s="300">
        <v>8.0</v>
      </c>
      <c r="O550" s="300" t="s">
        <v>811</v>
      </c>
      <c r="P550" s="300">
        <v>7.0</v>
      </c>
    </row>
    <row r="551">
      <c r="A551">
        <f>IFERROR(__xludf.DUMMYFUNCTION("""COMPUTED_VALUE"""),9.0)</f>
        <v>9</v>
      </c>
      <c r="B551" s="406">
        <f>IFERROR(__xludf.DUMMYFUNCTION("""COMPUTED_VALUE"""),29022.0)</f>
        <v>29022</v>
      </c>
      <c r="C551" t="str">
        <f>IFERROR(__xludf.DUMMYFUNCTION("""COMPUTED_VALUE"""),"BETANCUR ROBLEDO, PEDRO")</f>
        <v>BETANCUR ROBLEDO, PEDRO</v>
      </c>
      <c r="D551" t="str">
        <f>IFERROR(__xludf.DUMMYFUNCTION("""COMPUTED_VALUE"""),"Spanish and Literature 9")</f>
        <v>Spanish and Literature 9</v>
      </c>
      <c r="E551" s="3">
        <f>IFERROR(__xludf.DUMMYFUNCTION("""COMPUTED_VALUE"""),6.0)</f>
        <v>6</v>
      </c>
      <c r="F551" s="300">
        <v>1.0</v>
      </c>
      <c r="G551" s="300">
        <v>1.0</v>
      </c>
      <c r="H551" s="300">
        <v>1.0</v>
      </c>
      <c r="I551" s="300">
        <v>1.0</v>
      </c>
      <c r="J551" s="300">
        <v>1.0</v>
      </c>
      <c r="K551" s="300">
        <v>1.0</v>
      </c>
      <c r="L551" s="300">
        <v>1.0</v>
      </c>
      <c r="M551" s="300">
        <v>1.0</v>
      </c>
      <c r="N551" s="300">
        <v>8.0</v>
      </c>
      <c r="O551" s="300" t="s">
        <v>811</v>
      </c>
      <c r="P551" s="300">
        <v>7.0</v>
      </c>
    </row>
    <row r="552">
      <c r="A552">
        <f>IFERROR(__xludf.DUMMYFUNCTION("""COMPUTED_VALUE"""),9.0)</f>
        <v>9</v>
      </c>
      <c r="B552" s="406">
        <f>IFERROR(__xludf.DUMMYFUNCTION("""COMPUTED_VALUE"""),29085.0)</f>
        <v>29085</v>
      </c>
      <c r="C552" t="str">
        <f>IFERROR(__xludf.DUMMYFUNCTION("""COMPUTED_VALUE"""),"OTALVARO ABAD, JUAN MARTIN")</f>
        <v>OTALVARO ABAD, JUAN MARTIN</v>
      </c>
      <c r="D552" t="str">
        <f>IFERROR(__xludf.DUMMYFUNCTION("""COMPUTED_VALUE"""),"Spanish and Literature 9")</f>
        <v>Spanish and Literature 9</v>
      </c>
      <c r="E552" s="3">
        <f>IFERROR(__xludf.DUMMYFUNCTION("""COMPUTED_VALUE"""),6.0)</f>
        <v>6</v>
      </c>
      <c r="F552" s="300">
        <v>1.0</v>
      </c>
      <c r="G552" s="300">
        <v>1.0</v>
      </c>
      <c r="H552" s="300">
        <v>1.0</v>
      </c>
      <c r="I552" s="300">
        <v>1.0</v>
      </c>
      <c r="J552" s="300">
        <v>1.0</v>
      </c>
      <c r="K552" s="300">
        <v>1.0</v>
      </c>
      <c r="L552" s="300">
        <v>1.0</v>
      </c>
      <c r="M552" s="300">
        <v>1.0</v>
      </c>
      <c r="N552" s="300">
        <v>8.0</v>
      </c>
      <c r="O552" s="300" t="s">
        <v>811</v>
      </c>
      <c r="P552" s="300">
        <v>7.0</v>
      </c>
    </row>
    <row r="553">
      <c r="A553">
        <f>IFERROR(__xludf.DUMMYFUNCTION("""COMPUTED_VALUE"""),9.0)</f>
        <v>9</v>
      </c>
      <c r="B553" s="406">
        <f>IFERROR(__xludf.DUMMYFUNCTION("""COMPUTED_VALUE"""),29081.0)</f>
        <v>29081</v>
      </c>
      <c r="C553" t="str">
        <f>IFERROR(__xludf.DUMMYFUNCTION("""COMPUTED_VALUE"""),"MORA JARAMILLO, ALICIA")</f>
        <v>MORA JARAMILLO, ALICIA</v>
      </c>
      <c r="D553" t="str">
        <f>IFERROR(__xludf.DUMMYFUNCTION("""COMPUTED_VALUE"""),"Spanish and Literature 9")</f>
        <v>Spanish and Literature 9</v>
      </c>
      <c r="E553" s="3">
        <f>IFERROR(__xludf.DUMMYFUNCTION("""COMPUTED_VALUE"""),8.0)</f>
        <v>8</v>
      </c>
      <c r="F553" s="300">
        <v>1.0</v>
      </c>
      <c r="G553" s="300">
        <v>1.0</v>
      </c>
      <c r="H553" s="300">
        <v>1.0</v>
      </c>
      <c r="I553" s="300">
        <v>1.0</v>
      </c>
      <c r="J553" s="300">
        <v>1.0</v>
      </c>
      <c r="K553" s="300">
        <v>1.0</v>
      </c>
      <c r="L553" s="300">
        <v>1.0</v>
      </c>
      <c r="M553" s="300">
        <v>1.0</v>
      </c>
      <c r="N553" s="300">
        <v>8.0</v>
      </c>
      <c r="O553" s="300" t="s">
        <v>810</v>
      </c>
      <c r="P553" s="300">
        <v>7.0</v>
      </c>
    </row>
    <row r="554">
      <c r="A554">
        <f>IFERROR(__xludf.DUMMYFUNCTION("""COMPUTED_VALUE"""),9.0)</f>
        <v>9</v>
      </c>
      <c r="B554" s="406">
        <f>IFERROR(__xludf.DUMMYFUNCTION("""COMPUTED_VALUE"""),29147.0)</f>
        <v>29147</v>
      </c>
      <c r="C554" t="str">
        <f>IFERROR(__xludf.DUMMYFUNCTION("""COMPUTED_VALUE"""),"JIMENO ARISTIZABAL, ISABELLA")</f>
        <v>JIMENO ARISTIZABAL, ISABELLA</v>
      </c>
      <c r="D554" t="str">
        <f>IFERROR(__xludf.DUMMYFUNCTION("""COMPUTED_VALUE"""),"Spanish and Literature 9")</f>
        <v>Spanish and Literature 9</v>
      </c>
      <c r="E554" s="3">
        <f>IFERROR(__xludf.DUMMYFUNCTION("""COMPUTED_VALUE"""),3.0)</f>
        <v>3</v>
      </c>
      <c r="F554" s="300">
        <v>1.0</v>
      </c>
      <c r="G554" s="300">
        <v>1.0</v>
      </c>
      <c r="H554" s="300">
        <v>1.0</v>
      </c>
      <c r="I554" s="300">
        <v>1.0</v>
      </c>
      <c r="J554" s="300">
        <v>1.0</v>
      </c>
      <c r="K554" s="300">
        <v>1.0</v>
      </c>
      <c r="L554" s="300">
        <v>1.0</v>
      </c>
      <c r="M554" s="300">
        <v>1.0</v>
      </c>
      <c r="N554" s="300">
        <v>8.0</v>
      </c>
      <c r="O554" s="300" t="s">
        <v>809</v>
      </c>
      <c r="P554" s="300">
        <v>7.0</v>
      </c>
    </row>
    <row r="555">
      <c r="A555">
        <f>IFERROR(__xludf.DUMMYFUNCTION("""COMPUTED_VALUE"""),9.0)</f>
        <v>9</v>
      </c>
      <c r="B555" s="406">
        <f>IFERROR(__xludf.DUMMYFUNCTION("""COMPUTED_VALUE"""),29007.0)</f>
        <v>29007</v>
      </c>
      <c r="C555" t="str">
        <f>IFERROR(__xludf.DUMMYFUNCTION("""COMPUTED_VALUE"""),"ALZATE GARCIA, LUCIANA")</f>
        <v>ALZATE GARCIA, LUCIANA</v>
      </c>
      <c r="D555" t="str">
        <f>IFERROR(__xludf.DUMMYFUNCTION("""COMPUTED_VALUE"""),"Spanish and Literature 9")</f>
        <v>Spanish and Literature 9</v>
      </c>
      <c r="E555" s="3">
        <f>IFERROR(__xludf.DUMMYFUNCTION("""COMPUTED_VALUE"""),8.0)</f>
        <v>8</v>
      </c>
      <c r="F555" s="300">
        <v>1.0</v>
      </c>
      <c r="G555" s="300">
        <v>1.0</v>
      </c>
      <c r="H555" s="300">
        <v>1.0</v>
      </c>
      <c r="I555" s="300">
        <v>1.0</v>
      </c>
      <c r="J555" s="300">
        <v>1.0</v>
      </c>
      <c r="K555" s="300">
        <v>1.0</v>
      </c>
      <c r="L555" s="300">
        <v>1.0</v>
      </c>
      <c r="M555" s="300">
        <v>1.0</v>
      </c>
      <c r="N555" s="300">
        <v>8.0</v>
      </c>
      <c r="O555" s="300" t="s">
        <v>810</v>
      </c>
      <c r="P555" s="300">
        <v>7.0</v>
      </c>
    </row>
    <row r="556">
      <c r="A556">
        <f>IFERROR(__xludf.DUMMYFUNCTION("""COMPUTED_VALUE"""),9.0)</f>
        <v>9</v>
      </c>
      <c r="B556" s="406">
        <f>IFERROR(__xludf.DUMMYFUNCTION("""COMPUTED_VALUE"""),29032.0)</f>
        <v>29032</v>
      </c>
      <c r="C556" t="str">
        <f>IFERROR(__xludf.DUMMYFUNCTION("""COMPUTED_VALUE"""),"CORTES SIERRA, TOMAS")</f>
        <v>CORTES SIERRA, TOMAS</v>
      </c>
      <c r="D556" t="str">
        <f>IFERROR(__xludf.DUMMYFUNCTION("""COMPUTED_VALUE"""),"Spanish and Literature 9")</f>
        <v>Spanish and Literature 9</v>
      </c>
      <c r="E556" s="3">
        <f>IFERROR(__xludf.DUMMYFUNCTION("""COMPUTED_VALUE"""),1.0)</f>
        <v>1</v>
      </c>
      <c r="F556" s="300">
        <v>1.0</v>
      </c>
      <c r="G556" s="300">
        <v>1.0</v>
      </c>
      <c r="H556" s="300">
        <v>1.0</v>
      </c>
      <c r="I556" s="300">
        <v>1.0</v>
      </c>
      <c r="J556" s="300">
        <v>1.0</v>
      </c>
      <c r="K556" s="300">
        <v>1.0</v>
      </c>
      <c r="L556" s="300">
        <v>1.0</v>
      </c>
      <c r="M556" s="300">
        <v>1.0</v>
      </c>
      <c r="N556" s="300">
        <v>8.0</v>
      </c>
      <c r="O556" s="300" t="s">
        <v>814</v>
      </c>
      <c r="P556" s="300">
        <v>7.0</v>
      </c>
    </row>
    <row r="557">
      <c r="A557">
        <f>IFERROR(__xludf.DUMMYFUNCTION("""COMPUTED_VALUE"""),9.0)</f>
        <v>9</v>
      </c>
      <c r="B557" s="406">
        <f>IFERROR(__xludf.DUMMYFUNCTION("""COMPUTED_VALUE"""),29076.0)</f>
        <v>29076</v>
      </c>
      <c r="C557" t="str">
        <f>IFERROR(__xludf.DUMMYFUNCTION("""COMPUTED_VALUE"""),"MEJIA MANTILLA, MATEO")</f>
        <v>MEJIA MANTILLA, MATEO</v>
      </c>
      <c r="D557" t="str">
        <f>IFERROR(__xludf.DUMMYFUNCTION("""COMPUTED_VALUE"""),"Spanish and Literature 9")</f>
        <v>Spanish and Literature 9</v>
      </c>
      <c r="E557" s="3">
        <f>IFERROR(__xludf.DUMMYFUNCTION("""COMPUTED_VALUE"""),7.0)</f>
        <v>7</v>
      </c>
      <c r="F557" s="300">
        <v>1.0</v>
      </c>
      <c r="G557" s="300">
        <v>1.0</v>
      </c>
      <c r="H557" s="300">
        <v>1.0</v>
      </c>
      <c r="I557" s="300">
        <v>1.0</v>
      </c>
      <c r="J557" s="300">
        <v>1.0</v>
      </c>
      <c r="K557" s="300">
        <v>1.0</v>
      </c>
      <c r="L557" s="300">
        <v>1.0</v>
      </c>
      <c r="M557" s="300">
        <v>1.0</v>
      </c>
      <c r="N557" s="300">
        <v>8.0</v>
      </c>
      <c r="O557" s="300" t="s">
        <v>808</v>
      </c>
      <c r="P557" s="300">
        <v>7.0</v>
      </c>
    </row>
    <row r="558">
      <c r="A558">
        <f>IFERROR(__xludf.DUMMYFUNCTION("""COMPUTED_VALUE"""),9.0)</f>
        <v>9</v>
      </c>
      <c r="B558" s="406">
        <f>IFERROR(__xludf.DUMMYFUNCTION("""COMPUTED_VALUE"""),29025.0)</f>
        <v>29025</v>
      </c>
      <c r="C558" t="str">
        <f>IFERROR(__xludf.DUMMYFUNCTION("""COMPUTED_VALUE"""),"CALLE BUITRAGO, ESTEBAN")</f>
        <v>CALLE BUITRAGO, ESTEBAN</v>
      </c>
      <c r="D558" t="str">
        <f>IFERROR(__xludf.DUMMYFUNCTION("""COMPUTED_VALUE"""),"Spanish and Literature 9")</f>
        <v>Spanish and Literature 9</v>
      </c>
      <c r="E558" s="3">
        <f>IFERROR(__xludf.DUMMYFUNCTION("""COMPUTED_VALUE"""),1.0)</f>
        <v>1</v>
      </c>
      <c r="F558" s="300">
        <v>1.0</v>
      </c>
      <c r="G558" s="300">
        <v>1.0</v>
      </c>
      <c r="H558" s="300">
        <v>1.0</v>
      </c>
      <c r="I558" s="300">
        <v>1.0</v>
      </c>
      <c r="J558" s="300">
        <v>1.0</v>
      </c>
      <c r="K558" s="300">
        <v>1.0</v>
      </c>
      <c r="L558" s="300">
        <v>1.0</v>
      </c>
      <c r="M558" s="300">
        <v>1.0</v>
      </c>
      <c r="N558" s="300">
        <v>8.0</v>
      </c>
      <c r="O558" s="300" t="s">
        <v>814</v>
      </c>
      <c r="P558" s="300">
        <v>7.0</v>
      </c>
    </row>
    <row r="559">
      <c r="A559">
        <f>IFERROR(__xludf.DUMMYFUNCTION("""COMPUTED_VALUE"""),9.0)</f>
        <v>9</v>
      </c>
      <c r="B559" s="406">
        <f>IFERROR(__xludf.DUMMYFUNCTION("""COMPUTED_VALUE"""),29038.0)</f>
        <v>29038</v>
      </c>
      <c r="C559" t="str">
        <f>IFERROR(__xludf.DUMMYFUNCTION("""COMPUTED_VALUE"""),"ESCOBAR MADRID, MAXIMILIANO")</f>
        <v>ESCOBAR MADRID, MAXIMILIANO</v>
      </c>
      <c r="D559" t="str">
        <f>IFERROR(__xludf.DUMMYFUNCTION("""COMPUTED_VALUE"""),"Spanish and Literature 9")</f>
        <v>Spanish and Literature 9</v>
      </c>
      <c r="E559" s="3">
        <f>IFERROR(__xludf.DUMMYFUNCTION("""COMPUTED_VALUE"""),4.0)</f>
        <v>4</v>
      </c>
      <c r="F559" s="300">
        <v>1.0</v>
      </c>
      <c r="G559" s="300">
        <v>1.0</v>
      </c>
      <c r="H559" s="300">
        <v>1.0</v>
      </c>
      <c r="I559" s="300">
        <v>1.0</v>
      </c>
      <c r="J559" s="300">
        <v>1.0</v>
      </c>
      <c r="K559" s="300">
        <v>1.0</v>
      </c>
      <c r="L559" s="300">
        <v>1.0</v>
      </c>
      <c r="M559" s="300">
        <v>1.0</v>
      </c>
      <c r="N559" s="300">
        <v>8.0</v>
      </c>
      <c r="O559" s="300" t="s">
        <v>813</v>
      </c>
      <c r="P559" s="300">
        <v>7.0</v>
      </c>
    </row>
    <row r="560">
      <c r="A560">
        <f>IFERROR(__xludf.DUMMYFUNCTION("""COMPUTED_VALUE"""),9.0)</f>
        <v>9</v>
      </c>
      <c r="B560" s="406">
        <f>IFERROR(__xludf.DUMMYFUNCTION("""COMPUTED_VALUE"""),28077.0)</f>
        <v>28077</v>
      </c>
      <c r="C560" t="str">
        <f>IFERROR(__xludf.DUMMYFUNCTION("""COMPUTED_VALUE"""),"OLIVEIRA CASTAÑO, MARIANA")</f>
        <v>OLIVEIRA CASTAÑO, MARIANA</v>
      </c>
      <c r="D560" t="str">
        <f>IFERROR(__xludf.DUMMYFUNCTION("""COMPUTED_VALUE"""),"Spanish and Literature 9")</f>
        <v>Spanish and Literature 9</v>
      </c>
      <c r="E560" s="3">
        <f>IFERROR(__xludf.DUMMYFUNCTION("""COMPUTED_VALUE"""),7.0)</f>
        <v>7</v>
      </c>
      <c r="F560" s="300">
        <v>1.0</v>
      </c>
      <c r="G560" s="300">
        <v>1.0</v>
      </c>
      <c r="H560" s="300">
        <v>1.0</v>
      </c>
      <c r="I560" s="300">
        <v>1.0</v>
      </c>
      <c r="J560" s="300">
        <v>1.0</v>
      </c>
      <c r="K560" s="300">
        <v>1.0</v>
      </c>
      <c r="L560" s="300">
        <v>1.0</v>
      </c>
      <c r="M560" s="300">
        <v>1.0</v>
      </c>
      <c r="N560" s="300">
        <v>8.0</v>
      </c>
      <c r="O560" s="300" t="s">
        <v>808</v>
      </c>
      <c r="P560" s="300">
        <v>7.0</v>
      </c>
    </row>
    <row r="561">
      <c r="A561">
        <f>IFERROR(__xludf.DUMMYFUNCTION("""COMPUTED_VALUE"""),9.0)</f>
        <v>9</v>
      </c>
      <c r="B561" s="406">
        <f>IFERROR(__xludf.DUMMYFUNCTION("""COMPUTED_VALUE"""),29041.0)</f>
        <v>29041</v>
      </c>
      <c r="C561" t="str">
        <f>IFERROR(__xludf.DUMMYFUNCTION("""COMPUTED_VALUE"""),"FAJARDO VILLA, LUCIANA")</f>
        <v>FAJARDO VILLA, LUCIANA</v>
      </c>
      <c r="D561" t="str">
        <f>IFERROR(__xludf.DUMMYFUNCTION("""COMPUTED_VALUE"""),"Spanish and Literature 9")</f>
        <v>Spanish and Literature 9</v>
      </c>
      <c r="E561" s="3">
        <f>IFERROR(__xludf.DUMMYFUNCTION("""COMPUTED_VALUE"""),6.0)</f>
        <v>6</v>
      </c>
      <c r="F561" s="300">
        <v>1.0</v>
      </c>
      <c r="G561" s="300">
        <v>1.0</v>
      </c>
      <c r="H561" s="300">
        <v>1.0</v>
      </c>
      <c r="I561" s="300">
        <v>1.0</v>
      </c>
      <c r="J561" s="300">
        <v>1.0</v>
      </c>
      <c r="K561" s="300">
        <v>1.0</v>
      </c>
      <c r="L561" s="300">
        <v>1.0</v>
      </c>
      <c r="M561" s="300">
        <v>1.0</v>
      </c>
      <c r="N561" s="300">
        <v>8.0</v>
      </c>
      <c r="O561" s="300" t="s">
        <v>811</v>
      </c>
      <c r="P561" s="300">
        <v>7.0</v>
      </c>
    </row>
    <row r="562">
      <c r="A562">
        <f>IFERROR(__xludf.DUMMYFUNCTION("""COMPUTED_VALUE"""),9.0)</f>
        <v>9</v>
      </c>
      <c r="B562" s="406">
        <f>IFERROR(__xludf.DUMMYFUNCTION("""COMPUTED_VALUE"""),29021.0)</f>
        <v>29021</v>
      </c>
      <c r="C562" t="str">
        <f>IFERROR(__xludf.DUMMYFUNCTION("""COMPUTED_VALUE"""),"BETANCOURT QUINTERO, SIMON")</f>
        <v>BETANCOURT QUINTERO, SIMON</v>
      </c>
      <c r="D562" t="str">
        <f>IFERROR(__xludf.DUMMYFUNCTION("""COMPUTED_VALUE"""),"Spanish and Literature 9")</f>
        <v>Spanish and Literature 9</v>
      </c>
      <c r="E562" s="3">
        <f>IFERROR(__xludf.DUMMYFUNCTION("""COMPUTED_VALUE"""),7.0)</f>
        <v>7</v>
      </c>
      <c r="F562" s="300">
        <v>1.0</v>
      </c>
      <c r="G562" s="300">
        <v>1.0</v>
      </c>
      <c r="H562" s="300">
        <v>1.0</v>
      </c>
      <c r="I562" s="300">
        <v>1.0</v>
      </c>
      <c r="J562" s="300">
        <v>1.0</v>
      </c>
      <c r="K562" s="300">
        <v>1.0</v>
      </c>
      <c r="L562" s="300">
        <v>1.0</v>
      </c>
      <c r="M562" s="300">
        <v>1.0</v>
      </c>
      <c r="N562" s="300">
        <v>8.0</v>
      </c>
      <c r="O562" s="300" t="s">
        <v>808</v>
      </c>
      <c r="P562" s="300">
        <v>7.0</v>
      </c>
    </row>
    <row r="563">
      <c r="A563">
        <f>IFERROR(__xludf.DUMMYFUNCTION("""COMPUTED_VALUE"""),9.0)</f>
        <v>9</v>
      </c>
      <c r="B563" s="406">
        <f>IFERROR(__xludf.DUMMYFUNCTION("""COMPUTED_VALUE"""),29029.0)</f>
        <v>29029</v>
      </c>
      <c r="C563" t="str">
        <f>IFERROR(__xludf.DUMMYFUNCTION("""COMPUTED_VALUE"""),"CHAVARRIAGA MESA, GREGORIO")</f>
        <v>CHAVARRIAGA MESA, GREGORIO</v>
      </c>
      <c r="D563" t="str">
        <f>IFERROR(__xludf.DUMMYFUNCTION("""COMPUTED_VALUE"""),"Spanish and Literature 9")</f>
        <v>Spanish and Literature 9</v>
      </c>
      <c r="E563" s="3">
        <f>IFERROR(__xludf.DUMMYFUNCTION("""COMPUTED_VALUE"""),5.0)</f>
        <v>5</v>
      </c>
      <c r="F563" s="300">
        <v>1.0</v>
      </c>
      <c r="G563" s="300">
        <v>1.0</v>
      </c>
      <c r="H563" s="300">
        <v>1.0</v>
      </c>
      <c r="I563" s="300">
        <v>1.0</v>
      </c>
      <c r="J563" s="300">
        <v>1.0</v>
      </c>
      <c r="K563" s="300">
        <v>1.0</v>
      </c>
      <c r="L563" s="300">
        <v>1.0</v>
      </c>
      <c r="M563" s="300">
        <v>1.0</v>
      </c>
      <c r="N563" s="300">
        <v>8.0</v>
      </c>
      <c r="O563" s="300" t="s">
        <v>812</v>
      </c>
      <c r="P563" s="300">
        <v>7.0</v>
      </c>
    </row>
    <row r="564">
      <c r="A564">
        <f>IFERROR(__xludf.DUMMYFUNCTION("""COMPUTED_VALUE"""),9.0)</f>
        <v>9</v>
      </c>
      <c r="B564" s="406">
        <f>IFERROR(__xludf.DUMMYFUNCTION("""COMPUTED_VALUE"""),29148.0)</f>
        <v>29148</v>
      </c>
      <c r="C564" t="str">
        <f>IFERROR(__xludf.DUMMYFUNCTION("""COMPUTED_VALUE"""),"OSORIO ARISTIZABAL, MATIAS")</f>
        <v>OSORIO ARISTIZABAL, MATIAS</v>
      </c>
      <c r="D564" t="str">
        <f>IFERROR(__xludf.DUMMYFUNCTION("""COMPUTED_VALUE"""),"Spanish and Literature 9")</f>
        <v>Spanish and Literature 9</v>
      </c>
      <c r="E564" s="3">
        <f>IFERROR(__xludf.DUMMYFUNCTION("""COMPUTED_VALUE"""),3.0)</f>
        <v>3</v>
      </c>
      <c r="F564" s="300">
        <v>1.0</v>
      </c>
      <c r="G564" s="300">
        <v>1.0</v>
      </c>
      <c r="H564" s="300">
        <v>1.0</v>
      </c>
      <c r="I564" s="300">
        <v>1.0</v>
      </c>
      <c r="J564" s="300">
        <v>1.0</v>
      </c>
      <c r="K564" s="300">
        <v>1.0</v>
      </c>
      <c r="L564" s="300">
        <v>1.0</v>
      </c>
      <c r="M564" s="300">
        <v>1.0</v>
      </c>
      <c r="N564" s="300">
        <v>8.0</v>
      </c>
      <c r="O564" s="300" t="s">
        <v>809</v>
      </c>
      <c r="P564" s="300">
        <v>7.0</v>
      </c>
    </row>
    <row r="565">
      <c r="A565">
        <f>IFERROR(__xludf.DUMMYFUNCTION("""COMPUTED_VALUE"""),9.0)</f>
        <v>9</v>
      </c>
      <c r="B565" s="406">
        <f>IFERROR(__xludf.DUMMYFUNCTION("""COMPUTED_VALUE"""),29170.0)</f>
        <v>29170</v>
      </c>
      <c r="C565" t="str">
        <f>IFERROR(__xludf.DUMMYFUNCTION("""COMPUTED_VALUE"""),"ALVAREZ CARDENAS, JUAN EMILIO")</f>
        <v>ALVAREZ CARDENAS, JUAN EMILIO</v>
      </c>
      <c r="D565" t="str">
        <f>IFERROR(__xludf.DUMMYFUNCTION("""COMPUTED_VALUE"""),"Spanish and Literature 9")</f>
        <v>Spanish and Literature 9</v>
      </c>
      <c r="E565" s="3">
        <f>IFERROR(__xludf.DUMMYFUNCTION("""COMPUTED_VALUE"""),7.0)</f>
        <v>7</v>
      </c>
      <c r="F565" s="300">
        <v>1.0</v>
      </c>
      <c r="G565" s="300">
        <v>1.0</v>
      </c>
      <c r="H565" s="300">
        <v>1.0</v>
      </c>
      <c r="I565" s="300">
        <v>1.0</v>
      </c>
      <c r="J565" s="300">
        <v>1.0</v>
      </c>
      <c r="K565" s="300">
        <v>1.0</v>
      </c>
      <c r="L565" s="300">
        <v>1.0</v>
      </c>
      <c r="M565" s="300">
        <v>1.0</v>
      </c>
      <c r="N565" s="300">
        <v>8.0</v>
      </c>
      <c r="O565" s="300" t="s">
        <v>808</v>
      </c>
      <c r="P565" s="300">
        <v>7.0</v>
      </c>
    </row>
    <row r="566">
      <c r="A566">
        <f>IFERROR(__xludf.DUMMYFUNCTION("""COMPUTED_VALUE"""),9.0)</f>
        <v>9</v>
      </c>
      <c r="B566" s="406">
        <f>IFERROR(__xludf.DUMMYFUNCTION("""COMPUTED_VALUE"""),29058.0)</f>
        <v>29058</v>
      </c>
      <c r="C566" t="str">
        <f>IFERROR(__xludf.DUMMYFUNCTION("""COMPUTED_VALUE"""),"JARAMILLO DONADO, AMELIA")</f>
        <v>JARAMILLO DONADO, AMELIA</v>
      </c>
      <c r="D566" t="str">
        <f>IFERROR(__xludf.DUMMYFUNCTION("""COMPUTED_VALUE"""),"Spanish and Literature 9")</f>
        <v>Spanish and Literature 9</v>
      </c>
      <c r="E566" s="3">
        <f>IFERROR(__xludf.DUMMYFUNCTION("""COMPUTED_VALUE"""),6.0)</f>
        <v>6</v>
      </c>
      <c r="F566" s="300">
        <v>1.0</v>
      </c>
      <c r="G566" s="300">
        <v>1.0</v>
      </c>
      <c r="H566" s="300">
        <v>1.0</v>
      </c>
      <c r="I566" s="300">
        <v>1.0</v>
      </c>
      <c r="J566" s="300">
        <v>1.0</v>
      </c>
      <c r="K566" s="300">
        <v>1.0</v>
      </c>
      <c r="L566" s="300">
        <v>1.0</v>
      </c>
      <c r="M566" s="300">
        <v>1.0</v>
      </c>
      <c r="N566" s="300">
        <v>8.0</v>
      </c>
      <c r="O566" s="300" t="s">
        <v>811</v>
      </c>
      <c r="P566" s="300">
        <v>7.0</v>
      </c>
    </row>
    <row r="567">
      <c r="A567">
        <f>IFERROR(__xludf.DUMMYFUNCTION("""COMPUTED_VALUE"""),9.0)</f>
        <v>9</v>
      </c>
      <c r="B567" s="406">
        <f>IFERROR(__xludf.DUMMYFUNCTION("""COMPUTED_VALUE"""),29072.0)</f>
        <v>29072</v>
      </c>
      <c r="C567" t="str">
        <f>IFERROR(__xludf.DUMMYFUNCTION("""COMPUTED_VALUE"""),"MARQUEZ RAHAL, PEDRO")</f>
        <v>MARQUEZ RAHAL, PEDRO</v>
      </c>
      <c r="D567" t="str">
        <f>IFERROR(__xludf.DUMMYFUNCTION("""COMPUTED_VALUE"""),"Spanish and Literature 9")</f>
        <v>Spanish and Literature 9</v>
      </c>
      <c r="E567" s="3">
        <f>IFERROR(__xludf.DUMMYFUNCTION("""COMPUTED_VALUE"""),5.0)</f>
        <v>5</v>
      </c>
      <c r="F567" s="300">
        <v>1.0</v>
      </c>
      <c r="G567" s="300">
        <v>1.0</v>
      </c>
      <c r="H567" s="300">
        <v>1.0</v>
      </c>
      <c r="I567" s="300">
        <v>1.0</v>
      </c>
      <c r="J567" s="300">
        <v>1.0</v>
      </c>
      <c r="K567" s="300">
        <v>1.0</v>
      </c>
      <c r="L567" s="300">
        <v>1.0</v>
      </c>
      <c r="M567" s="300">
        <v>1.0</v>
      </c>
      <c r="N567" s="300">
        <v>8.0</v>
      </c>
      <c r="O567" s="300" t="s">
        <v>812</v>
      </c>
      <c r="P567" s="300">
        <v>7.0</v>
      </c>
    </row>
    <row r="568">
      <c r="A568">
        <f>IFERROR(__xludf.DUMMYFUNCTION("""COMPUTED_VALUE"""),9.0)</f>
        <v>9</v>
      </c>
      <c r="B568" s="406">
        <f>IFERROR(__xludf.DUMMYFUNCTION("""COMPUTED_VALUE"""),29125.0)</f>
        <v>29125</v>
      </c>
      <c r="C568" t="str">
        <f>IFERROR(__xludf.DUMMYFUNCTION("""COMPUTED_VALUE"""),"VALLEJO LONDOÑO, TOMAS")</f>
        <v>VALLEJO LONDOÑO, TOMAS</v>
      </c>
      <c r="D568" t="str">
        <f>IFERROR(__xludf.DUMMYFUNCTION("""COMPUTED_VALUE"""),"Spanish and Literature 9")</f>
        <v>Spanish and Literature 9</v>
      </c>
      <c r="E568" s="3">
        <f>IFERROR(__xludf.DUMMYFUNCTION("""COMPUTED_VALUE"""),7.0)</f>
        <v>7</v>
      </c>
      <c r="F568" s="300">
        <v>1.0</v>
      </c>
      <c r="G568" s="300">
        <v>1.0</v>
      </c>
      <c r="H568" s="300">
        <v>1.0</v>
      </c>
      <c r="I568" s="300">
        <v>1.0</v>
      </c>
      <c r="J568" s="300">
        <v>1.0</v>
      </c>
      <c r="K568" s="300">
        <v>1.0</v>
      </c>
      <c r="L568" s="300">
        <v>1.0</v>
      </c>
      <c r="M568" s="300">
        <v>1.0</v>
      </c>
      <c r="N568" s="300">
        <v>8.0</v>
      </c>
      <c r="O568" s="300" t="s">
        <v>808</v>
      </c>
      <c r="P568" s="300">
        <v>7.0</v>
      </c>
    </row>
    <row r="569">
      <c r="A569">
        <f>IFERROR(__xludf.DUMMYFUNCTION("""COMPUTED_VALUE"""),9.0)</f>
        <v>9</v>
      </c>
      <c r="B569" s="406">
        <f>IFERROR(__xludf.DUMMYFUNCTION("""COMPUTED_VALUE"""),29045.0)</f>
        <v>29045</v>
      </c>
      <c r="C569" t="str">
        <f>IFERROR(__xludf.DUMMYFUNCTION("""COMPUTED_VALUE"""),"GOMEZ ZULUAGA, JUAN JOSE")</f>
        <v>GOMEZ ZULUAGA, JUAN JOSE</v>
      </c>
      <c r="D569" t="str">
        <f>IFERROR(__xludf.DUMMYFUNCTION("""COMPUTED_VALUE"""),"Spanish and Literature 9")</f>
        <v>Spanish and Literature 9</v>
      </c>
      <c r="E569" s="3">
        <f>IFERROR(__xludf.DUMMYFUNCTION("""COMPUTED_VALUE"""),3.0)</f>
        <v>3</v>
      </c>
      <c r="F569" s="300">
        <v>1.0</v>
      </c>
      <c r="G569" s="300">
        <v>1.0</v>
      </c>
      <c r="H569" s="300">
        <v>1.0</v>
      </c>
      <c r="I569" s="300">
        <v>1.0</v>
      </c>
      <c r="J569" s="300">
        <v>1.0</v>
      </c>
      <c r="K569" s="300">
        <v>1.0</v>
      </c>
      <c r="L569" s="300">
        <v>1.0</v>
      </c>
      <c r="M569" s="300">
        <v>1.0</v>
      </c>
      <c r="N569" s="300">
        <v>8.0</v>
      </c>
      <c r="O569" s="300" t="s">
        <v>809</v>
      </c>
      <c r="P569" s="300">
        <v>7.0</v>
      </c>
    </row>
    <row r="570">
      <c r="A570">
        <f>IFERROR(__xludf.DUMMYFUNCTION("""COMPUTED_VALUE"""),9.0)</f>
        <v>9</v>
      </c>
      <c r="B570" s="406">
        <f>IFERROR(__xludf.DUMMYFUNCTION("""COMPUTED_VALUE"""),28032.0)</f>
        <v>28032</v>
      </c>
      <c r="C570" t="str">
        <f>IFERROR(__xludf.DUMMYFUNCTION("""COMPUTED_VALUE"""),"GALLON TOBON, GERONIMO")</f>
        <v>GALLON TOBON, GERONIMO</v>
      </c>
      <c r="D570" t="str">
        <f>IFERROR(__xludf.DUMMYFUNCTION("""COMPUTED_VALUE"""),"Spanish and Literature 9")</f>
        <v>Spanish and Literature 9</v>
      </c>
      <c r="E570" s="3">
        <f>IFERROR(__xludf.DUMMYFUNCTION("""COMPUTED_VALUE"""),7.0)</f>
        <v>7</v>
      </c>
      <c r="F570" s="300">
        <v>1.0</v>
      </c>
      <c r="G570" s="300">
        <v>1.0</v>
      </c>
      <c r="H570" s="300">
        <v>1.0</v>
      </c>
      <c r="I570" s="300">
        <v>1.0</v>
      </c>
      <c r="J570" s="300">
        <v>1.0</v>
      </c>
      <c r="K570" s="300">
        <v>1.0</v>
      </c>
      <c r="L570" s="300">
        <v>1.0</v>
      </c>
      <c r="M570" s="300">
        <v>1.0</v>
      </c>
      <c r="N570" s="300">
        <v>8.0</v>
      </c>
      <c r="O570" s="300" t="s">
        <v>808</v>
      </c>
      <c r="P570" s="300">
        <v>7.0</v>
      </c>
    </row>
    <row r="571">
      <c r="A571">
        <f>IFERROR(__xludf.DUMMYFUNCTION("""COMPUTED_VALUE"""),9.0)</f>
        <v>9</v>
      </c>
      <c r="B571" s="406">
        <f>IFERROR(__xludf.DUMMYFUNCTION("""COMPUTED_VALUE"""),29012.0)</f>
        <v>29012</v>
      </c>
      <c r="C571" t="str">
        <f>IFERROR(__xludf.DUMMYFUNCTION("""COMPUTED_VALUE"""),"ARANGO VILLA, TOMAS")</f>
        <v>ARANGO VILLA, TOMAS</v>
      </c>
      <c r="D571" t="str">
        <f>IFERROR(__xludf.DUMMYFUNCTION("""COMPUTED_VALUE"""),"Spanish and Literature 9")</f>
        <v>Spanish and Literature 9</v>
      </c>
      <c r="E571" s="3">
        <f>IFERROR(__xludf.DUMMYFUNCTION("""COMPUTED_VALUE"""),5.0)</f>
        <v>5</v>
      </c>
      <c r="F571" s="300">
        <v>1.0</v>
      </c>
      <c r="G571" s="300">
        <v>1.0</v>
      </c>
      <c r="H571" s="300">
        <v>1.0</v>
      </c>
      <c r="I571" s="300">
        <v>1.0</v>
      </c>
      <c r="J571" s="300">
        <v>1.0</v>
      </c>
      <c r="K571" s="300">
        <v>1.0</v>
      </c>
      <c r="L571" s="300">
        <v>1.0</v>
      </c>
      <c r="M571" s="300">
        <v>1.0</v>
      </c>
      <c r="N571" s="300">
        <v>8.0</v>
      </c>
      <c r="O571" s="300" t="s">
        <v>812</v>
      </c>
      <c r="P571" s="300">
        <v>7.0</v>
      </c>
    </row>
    <row r="572">
      <c r="A572">
        <f>IFERROR(__xludf.DUMMYFUNCTION("""COMPUTED_VALUE"""),9.0)</f>
        <v>9</v>
      </c>
      <c r="B572" s="406">
        <f>IFERROR(__xludf.DUMMYFUNCTION("""COMPUTED_VALUE"""),29138.0)</f>
        <v>29138</v>
      </c>
      <c r="C572" t="str">
        <f>IFERROR(__xludf.DUMMYFUNCTION("""COMPUTED_VALUE"""),"ECHAVARRIA ROLDAN, TOMAS")</f>
        <v>ECHAVARRIA ROLDAN, TOMAS</v>
      </c>
      <c r="D572" t="str">
        <f>IFERROR(__xludf.DUMMYFUNCTION("""COMPUTED_VALUE"""),"Spanish and Literature 9")</f>
        <v>Spanish and Literature 9</v>
      </c>
      <c r="E572" s="3">
        <f>IFERROR(__xludf.DUMMYFUNCTION("""COMPUTED_VALUE"""),3.0)</f>
        <v>3</v>
      </c>
      <c r="F572" s="300">
        <v>1.0</v>
      </c>
      <c r="G572" s="300">
        <v>1.0</v>
      </c>
      <c r="H572" s="300">
        <v>1.0</v>
      </c>
      <c r="I572" s="300">
        <v>1.0</v>
      </c>
      <c r="J572" s="300">
        <v>1.0</v>
      </c>
      <c r="K572" s="300">
        <v>1.0</v>
      </c>
      <c r="L572" s="300">
        <v>1.0</v>
      </c>
      <c r="M572" s="300">
        <v>1.0</v>
      </c>
      <c r="N572" s="300">
        <v>8.0</v>
      </c>
      <c r="O572" s="300" t="s">
        <v>809</v>
      </c>
      <c r="P572" s="300">
        <v>7.0</v>
      </c>
    </row>
    <row r="573">
      <c r="A573">
        <f>IFERROR(__xludf.DUMMYFUNCTION("""COMPUTED_VALUE"""),9.0)</f>
        <v>9</v>
      </c>
      <c r="B573" s="406">
        <f>IFERROR(__xludf.DUMMYFUNCTION("""COMPUTED_VALUE"""),29003.0)</f>
        <v>29003</v>
      </c>
      <c r="C573" t="str">
        <f>IFERROR(__xludf.DUMMYFUNCTION("""COMPUTED_VALUE"""),"ACEVEDO OROZCO, MARIA CELESTE")</f>
        <v>ACEVEDO OROZCO, MARIA CELESTE</v>
      </c>
      <c r="D573" t="str">
        <f>IFERROR(__xludf.DUMMYFUNCTION("""COMPUTED_VALUE"""),"Spanish and Literature 9")</f>
        <v>Spanish and Literature 9</v>
      </c>
      <c r="E573" s="3">
        <f>IFERROR(__xludf.DUMMYFUNCTION("""COMPUTED_VALUE"""),7.0)</f>
        <v>7</v>
      </c>
      <c r="F573" s="300">
        <v>1.0</v>
      </c>
      <c r="G573" s="300">
        <v>1.0</v>
      </c>
      <c r="H573" s="300">
        <v>1.0</v>
      </c>
      <c r="I573" s="300">
        <v>1.0</v>
      </c>
      <c r="J573" s="300">
        <v>1.0</v>
      </c>
      <c r="K573" s="300">
        <v>1.0</v>
      </c>
      <c r="L573" s="300">
        <v>1.0</v>
      </c>
      <c r="M573" s="300">
        <v>1.0</v>
      </c>
      <c r="N573" s="300">
        <v>8.0</v>
      </c>
      <c r="O573" s="300" t="s">
        <v>808</v>
      </c>
      <c r="P573" s="300">
        <v>7.0</v>
      </c>
    </row>
    <row r="574">
      <c r="A574">
        <f>IFERROR(__xludf.DUMMYFUNCTION("""COMPUTED_VALUE"""),9.0)</f>
        <v>9</v>
      </c>
      <c r="B574" s="406">
        <f>IFERROR(__xludf.DUMMYFUNCTION("""COMPUTED_VALUE"""),29158.0)</f>
        <v>29158</v>
      </c>
      <c r="C574" t="str">
        <f>IFERROR(__xludf.DUMMYFUNCTION("""COMPUTED_VALUE"""),"NIEHAUS TRUJILLO, MICHELLE")</f>
        <v>NIEHAUS TRUJILLO, MICHELLE</v>
      </c>
      <c r="D574" t="str">
        <f>IFERROR(__xludf.DUMMYFUNCTION("""COMPUTED_VALUE"""),"Spanish and Literature 9")</f>
        <v>Spanish and Literature 9</v>
      </c>
      <c r="E574" s="3">
        <f>IFERROR(__xludf.DUMMYFUNCTION("""COMPUTED_VALUE"""),5.0)</f>
        <v>5</v>
      </c>
      <c r="F574" s="300">
        <v>1.0</v>
      </c>
      <c r="G574" s="300">
        <v>1.0</v>
      </c>
      <c r="H574" s="300">
        <v>1.0</v>
      </c>
      <c r="I574" s="300">
        <v>1.0</v>
      </c>
      <c r="J574" s="300">
        <v>1.0</v>
      </c>
      <c r="K574" s="300">
        <v>1.0</v>
      </c>
      <c r="L574" s="300">
        <v>1.0</v>
      </c>
      <c r="M574" s="300">
        <v>1.0</v>
      </c>
      <c r="N574" s="300">
        <v>8.0</v>
      </c>
      <c r="O574" s="300" t="s">
        <v>812</v>
      </c>
      <c r="P574" s="300">
        <v>7.0</v>
      </c>
    </row>
    <row r="575">
      <c r="A575">
        <f>IFERROR(__xludf.DUMMYFUNCTION("""COMPUTED_VALUE"""),9.0)</f>
        <v>9</v>
      </c>
      <c r="B575" s="406">
        <f>IFERROR(__xludf.DUMMYFUNCTION("""COMPUTED_VALUE"""),29088.0)</f>
        <v>29088</v>
      </c>
      <c r="C575" t="str">
        <f>IFERROR(__xludf.DUMMYFUNCTION("""COMPUTED_VALUE"""),"PEREZ ALVARADO, SARA")</f>
        <v>PEREZ ALVARADO, SARA</v>
      </c>
      <c r="D575" t="str">
        <f>IFERROR(__xludf.DUMMYFUNCTION("""COMPUTED_VALUE"""),"Spanish and Literature 9")</f>
        <v>Spanish and Literature 9</v>
      </c>
      <c r="E575" s="3">
        <f>IFERROR(__xludf.DUMMYFUNCTION("""COMPUTED_VALUE"""),8.0)</f>
        <v>8</v>
      </c>
      <c r="F575" s="300">
        <v>1.0</v>
      </c>
      <c r="G575" s="300">
        <v>1.0</v>
      </c>
      <c r="H575" s="300">
        <v>1.0</v>
      </c>
      <c r="I575" s="300">
        <v>1.0</v>
      </c>
      <c r="J575" s="300">
        <v>1.0</v>
      </c>
      <c r="K575" s="300">
        <v>1.0</v>
      </c>
      <c r="L575" s="300">
        <v>1.0</v>
      </c>
      <c r="M575" s="300">
        <v>1.0</v>
      </c>
      <c r="N575" s="300">
        <v>8.0</v>
      </c>
      <c r="O575" s="300" t="s">
        <v>810</v>
      </c>
      <c r="P575" s="300">
        <v>7.0</v>
      </c>
    </row>
    <row r="576">
      <c r="A576">
        <f>IFERROR(__xludf.DUMMYFUNCTION("""COMPUTED_VALUE"""),9.0)</f>
        <v>9</v>
      </c>
      <c r="B576" s="406">
        <f>IFERROR(__xludf.DUMMYFUNCTION("""COMPUTED_VALUE"""),29164.0)</f>
        <v>29164</v>
      </c>
      <c r="C576" t="str">
        <f>IFERROR(__xludf.DUMMYFUNCTION("""COMPUTED_VALUE"""),"CONCHA VELASCO, LORENZO")</f>
        <v>CONCHA VELASCO, LORENZO</v>
      </c>
      <c r="D576" t="str">
        <f>IFERROR(__xludf.DUMMYFUNCTION("""COMPUTED_VALUE"""),"Spanish and Literature 9")</f>
        <v>Spanish and Literature 9</v>
      </c>
      <c r="E576" s="3">
        <f>IFERROR(__xludf.DUMMYFUNCTION("""COMPUTED_VALUE"""),8.0)</f>
        <v>8</v>
      </c>
      <c r="F576" s="300">
        <v>1.0</v>
      </c>
      <c r="G576" s="300">
        <v>1.0</v>
      </c>
      <c r="H576" s="300">
        <v>1.0</v>
      </c>
      <c r="I576" s="300">
        <v>1.0</v>
      </c>
      <c r="J576" s="300">
        <v>1.0</v>
      </c>
      <c r="K576" s="300">
        <v>1.0</v>
      </c>
      <c r="L576" s="300">
        <v>1.0</v>
      </c>
      <c r="M576" s="300">
        <v>1.0</v>
      </c>
      <c r="N576" s="300">
        <v>8.0</v>
      </c>
      <c r="O576" s="300" t="s">
        <v>810</v>
      </c>
      <c r="P576" s="300">
        <v>7.0</v>
      </c>
    </row>
    <row r="577">
      <c r="A577">
        <f>IFERROR(__xludf.DUMMYFUNCTION("""COMPUTED_VALUE"""),9.0)</f>
        <v>9</v>
      </c>
      <c r="B577" s="406">
        <f>IFERROR(__xludf.DUMMYFUNCTION("""COMPUTED_VALUE"""),29011.0)</f>
        <v>29011</v>
      </c>
      <c r="C577" t="str">
        <f>IFERROR(__xludf.DUMMYFUNCTION("""COMPUTED_VALUE"""),"ARANGO RUBIO, ROSARIO")</f>
        <v>ARANGO RUBIO, ROSARIO</v>
      </c>
      <c r="D577" t="str">
        <f>IFERROR(__xludf.DUMMYFUNCTION("""COMPUTED_VALUE"""),"Spanish and Literature 9")</f>
        <v>Spanish and Literature 9</v>
      </c>
      <c r="E577" s="3">
        <f>IFERROR(__xludf.DUMMYFUNCTION("""COMPUTED_VALUE"""),8.0)</f>
        <v>8</v>
      </c>
      <c r="F577" s="300">
        <v>1.0</v>
      </c>
      <c r="G577" s="300">
        <v>1.0</v>
      </c>
      <c r="H577" s="300">
        <v>1.0</v>
      </c>
      <c r="I577" s="300">
        <v>1.0</v>
      </c>
      <c r="J577" s="300">
        <v>1.0</v>
      </c>
      <c r="K577" s="300">
        <v>1.0</v>
      </c>
      <c r="L577" s="300">
        <v>1.0</v>
      </c>
      <c r="M577" s="300">
        <v>1.0</v>
      </c>
      <c r="N577" s="300">
        <v>8.0</v>
      </c>
      <c r="O577" s="300" t="s">
        <v>810</v>
      </c>
      <c r="P577" s="300">
        <v>7.0</v>
      </c>
    </row>
    <row r="578">
      <c r="A578">
        <f>IFERROR(__xludf.DUMMYFUNCTION("""COMPUTED_VALUE"""),9.0)</f>
        <v>9</v>
      </c>
      <c r="B578" s="406">
        <f>IFERROR(__xludf.DUMMYFUNCTION("""COMPUTED_VALUE"""),29161.0)</f>
        <v>29161</v>
      </c>
      <c r="C578" t="str">
        <f>IFERROR(__xludf.DUMMYFUNCTION("""COMPUTED_VALUE"""),"BURKHALTER, ESPERANZA JOY")</f>
        <v>BURKHALTER, ESPERANZA JOY</v>
      </c>
      <c r="D578" t="str">
        <f>IFERROR(__xludf.DUMMYFUNCTION("""COMPUTED_VALUE"""),"Spanish as a Foreing Language")</f>
        <v>Spanish as a Foreing Language</v>
      </c>
      <c r="E578" s="3">
        <f>IFERROR(__xludf.DUMMYFUNCTION("""COMPUTED_VALUE"""),8.0)</f>
        <v>8</v>
      </c>
      <c r="F578" s="300">
        <v>1.0</v>
      </c>
      <c r="G578" s="300">
        <v>1.0</v>
      </c>
      <c r="H578" s="300">
        <v>1.0</v>
      </c>
      <c r="I578" s="300">
        <v>1.0</v>
      </c>
      <c r="J578" s="300">
        <v>1.0</v>
      </c>
      <c r="K578" s="300">
        <v>1.0</v>
      </c>
      <c r="L578" s="300">
        <v>1.0</v>
      </c>
      <c r="M578" s="300">
        <v>1.0</v>
      </c>
      <c r="N578" s="300">
        <v>8.0</v>
      </c>
      <c r="O578" s="300" t="s">
        <v>815</v>
      </c>
      <c r="P578" s="300">
        <v>1.0</v>
      </c>
    </row>
    <row r="579">
      <c r="A579">
        <f>IFERROR(__xludf.DUMMYFUNCTION("""COMPUTED_VALUE"""),9.0)</f>
        <v>9</v>
      </c>
      <c r="B579" s="406">
        <f>IFERROR(__xludf.DUMMYFUNCTION("""COMPUTED_VALUE"""),29103.0)</f>
        <v>29103</v>
      </c>
      <c r="C579" t="str">
        <f>IFERROR(__xludf.DUMMYFUNCTION("""COMPUTED_VALUE"""),"SALAZAR ECHEVERRI, ANTONIA")</f>
        <v>SALAZAR ECHEVERRI, ANTONIA</v>
      </c>
      <c r="D579" t="str">
        <f>IFERROR(__xludf.DUMMYFUNCTION("""COMPUTED_VALUE"""),"Spanish and Literature 9")</f>
        <v>Spanish and Literature 9</v>
      </c>
      <c r="E579" s="3">
        <f>IFERROR(__xludf.DUMMYFUNCTION("""COMPUTED_VALUE"""),6.0)</f>
        <v>6</v>
      </c>
      <c r="F579" s="300">
        <v>1.0</v>
      </c>
      <c r="G579" s="300">
        <v>1.0</v>
      </c>
      <c r="H579" s="300">
        <v>1.0</v>
      </c>
      <c r="I579" s="300">
        <v>1.0</v>
      </c>
      <c r="J579" s="300">
        <v>1.0</v>
      </c>
      <c r="K579" s="300">
        <v>1.0</v>
      </c>
      <c r="L579" s="300">
        <v>1.0</v>
      </c>
      <c r="M579" s="300">
        <v>1.0</v>
      </c>
      <c r="N579" s="300">
        <v>8.0</v>
      </c>
      <c r="O579" s="300" t="s">
        <v>811</v>
      </c>
      <c r="P579" s="300">
        <v>7.0</v>
      </c>
    </row>
    <row r="580">
      <c r="A580">
        <f>IFERROR(__xludf.DUMMYFUNCTION("""COMPUTED_VALUE"""),9.0)</f>
        <v>9</v>
      </c>
      <c r="B580" s="406">
        <f>IFERROR(__xludf.DUMMYFUNCTION("""COMPUTED_VALUE"""),29004.0)</f>
        <v>29004</v>
      </c>
      <c r="C580" t="str">
        <f>IFERROR(__xludf.DUMMYFUNCTION("""COMPUTED_VALUE"""),"AGUIRRE ARANGO, DAVID")</f>
        <v>AGUIRRE ARANGO, DAVID</v>
      </c>
      <c r="D580" t="str">
        <f>IFERROR(__xludf.DUMMYFUNCTION("""COMPUTED_VALUE"""),"Spanish and Literature 9")</f>
        <v>Spanish and Literature 9</v>
      </c>
      <c r="E580" s="3">
        <f>IFERROR(__xludf.DUMMYFUNCTION("""COMPUTED_VALUE"""),6.0)</f>
        <v>6</v>
      </c>
      <c r="F580" s="300">
        <v>1.0</v>
      </c>
      <c r="G580" s="300">
        <v>1.0</v>
      </c>
      <c r="H580" s="300">
        <v>1.0</v>
      </c>
      <c r="I580" s="300">
        <v>1.0</v>
      </c>
      <c r="J580" s="300">
        <v>1.0</v>
      </c>
      <c r="K580" s="300">
        <v>1.0</v>
      </c>
      <c r="L580" s="300">
        <v>1.0</v>
      </c>
      <c r="M580" s="300">
        <v>1.0</v>
      </c>
      <c r="N580" s="300">
        <v>8.0</v>
      </c>
      <c r="O580" s="300" t="s">
        <v>811</v>
      </c>
      <c r="P580" s="300">
        <v>7.0</v>
      </c>
    </row>
    <row r="581">
      <c r="A581">
        <f>IFERROR(__xludf.DUMMYFUNCTION("""COMPUTED_VALUE"""),9.0)</f>
        <v>9</v>
      </c>
      <c r="B581" s="406">
        <f>IFERROR(__xludf.DUMMYFUNCTION("""COMPUTED_VALUE"""),29015.0)</f>
        <v>29015</v>
      </c>
      <c r="C581" t="str">
        <f>IFERROR(__xludf.DUMMYFUNCTION("""COMPUTED_VALUE"""),"ARISTIZABAL URIBE, MATIAS")</f>
        <v>ARISTIZABAL URIBE, MATIAS</v>
      </c>
      <c r="D581" t="str">
        <f>IFERROR(__xludf.DUMMYFUNCTION("""COMPUTED_VALUE"""),"Spanish and Literature 9")</f>
        <v>Spanish and Literature 9</v>
      </c>
      <c r="E581" s="3">
        <f>IFERROR(__xludf.DUMMYFUNCTION("""COMPUTED_VALUE"""),7.0)</f>
        <v>7</v>
      </c>
      <c r="F581" s="300">
        <v>1.0</v>
      </c>
      <c r="G581" s="300">
        <v>1.0</v>
      </c>
      <c r="H581" s="300">
        <v>1.0</v>
      </c>
      <c r="I581" s="300">
        <v>1.0</v>
      </c>
      <c r="J581" s="300">
        <v>1.0</v>
      </c>
      <c r="K581" s="300">
        <v>1.0</v>
      </c>
      <c r="L581" s="300">
        <v>1.0</v>
      </c>
      <c r="M581" s="300">
        <v>1.0</v>
      </c>
      <c r="N581" s="300">
        <v>8.0</v>
      </c>
      <c r="O581" s="300" t="s">
        <v>808</v>
      </c>
      <c r="P581" s="300">
        <v>7.0</v>
      </c>
    </row>
    <row r="582">
      <c r="A582">
        <f>IFERROR(__xludf.DUMMYFUNCTION("""COMPUTED_VALUE"""),9.0)</f>
        <v>9</v>
      </c>
      <c r="B582" s="406">
        <f>IFERROR(__xludf.DUMMYFUNCTION("""COMPUTED_VALUE"""),29052.0)</f>
        <v>29052</v>
      </c>
      <c r="C582" t="str">
        <f>IFERROR(__xludf.DUMMYFUNCTION("""COMPUTED_VALUE"""),"HURTADO ARISTIZABAL, CAMILA")</f>
        <v>HURTADO ARISTIZABAL, CAMILA</v>
      </c>
      <c r="D582" t="str">
        <f>IFERROR(__xludf.DUMMYFUNCTION("""COMPUTED_VALUE"""),"Spanish and Literature 9")</f>
        <v>Spanish and Literature 9</v>
      </c>
      <c r="E582" s="3">
        <f>IFERROR(__xludf.DUMMYFUNCTION("""COMPUTED_VALUE"""),4.0)</f>
        <v>4</v>
      </c>
      <c r="F582" s="300">
        <v>1.0</v>
      </c>
      <c r="G582" s="300">
        <v>1.0</v>
      </c>
      <c r="H582" s="300">
        <v>1.0</v>
      </c>
      <c r="I582" s="300">
        <v>1.0</v>
      </c>
      <c r="J582" s="300">
        <v>1.0</v>
      </c>
      <c r="K582" s="300">
        <v>1.0</v>
      </c>
      <c r="L582" s="300">
        <v>1.0</v>
      </c>
      <c r="M582" s="300">
        <v>1.0</v>
      </c>
      <c r="N582" s="300">
        <v>8.0</v>
      </c>
      <c r="O582" s="300" t="s">
        <v>813</v>
      </c>
      <c r="P582" s="300">
        <v>7.0</v>
      </c>
    </row>
    <row r="583">
      <c r="A583">
        <f>IFERROR(__xludf.DUMMYFUNCTION("""COMPUTED_VALUE"""),9.0)</f>
        <v>9</v>
      </c>
      <c r="B583" s="406">
        <f>IFERROR(__xludf.DUMMYFUNCTION("""COMPUTED_VALUE"""),29056.0)</f>
        <v>29056</v>
      </c>
      <c r="C583" t="str">
        <f>IFERROR(__xludf.DUMMYFUNCTION("""COMPUTED_VALUE"""),"JAILLIER PINZON, MAXIMILIANO")</f>
        <v>JAILLIER PINZON, MAXIMILIANO</v>
      </c>
      <c r="D583" t="str">
        <f>IFERROR(__xludf.DUMMYFUNCTION("""COMPUTED_VALUE"""),"Spanish and Literature 9")</f>
        <v>Spanish and Literature 9</v>
      </c>
      <c r="E583" s="3">
        <f>IFERROR(__xludf.DUMMYFUNCTION("""COMPUTED_VALUE"""),1.0)</f>
        <v>1</v>
      </c>
      <c r="F583" s="300">
        <v>1.0</v>
      </c>
      <c r="G583" s="300">
        <v>1.0</v>
      </c>
      <c r="H583" s="300">
        <v>1.0</v>
      </c>
      <c r="I583" s="300">
        <v>1.0</v>
      </c>
      <c r="J583" s="300">
        <v>1.0</v>
      </c>
      <c r="K583" s="300">
        <v>1.0</v>
      </c>
      <c r="L583" s="300">
        <v>1.0</v>
      </c>
      <c r="M583" s="300">
        <v>1.0</v>
      </c>
      <c r="N583" s="300">
        <v>8.0</v>
      </c>
      <c r="O583" s="300" t="s">
        <v>814</v>
      </c>
      <c r="P583" s="300">
        <v>7.0</v>
      </c>
    </row>
    <row r="584">
      <c r="A584">
        <f>IFERROR(__xludf.DUMMYFUNCTION("""COMPUTED_VALUE"""),9.0)</f>
        <v>9</v>
      </c>
      <c r="B584" s="406">
        <f>IFERROR(__xludf.DUMMYFUNCTION("""COMPUTED_VALUE"""),29073.0)</f>
        <v>29073</v>
      </c>
      <c r="C584" t="str">
        <f>IFERROR(__xludf.DUMMYFUNCTION("""COMPUTED_VALUE"""),"MARRERO MARTA, ALINA")</f>
        <v>MARRERO MARTA, ALINA</v>
      </c>
      <c r="D584" t="str">
        <f>IFERROR(__xludf.DUMMYFUNCTION("""COMPUTED_VALUE"""),"Spanish and Literature 9")</f>
        <v>Spanish and Literature 9</v>
      </c>
      <c r="E584" s="3">
        <f>IFERROR(__xludf.DUMMYFUNCTION("""COMPUTED_VALUE"""),3.0)</f>
        <v>3</v>
      </c>
      <c r="F584" s="300">
        <v>1.0</v>
      </c>
      <c r="G584" s="300">
        <v>1.0</v>
      </c>
      <c r="H584" s="300">
        <v>1.0</v>
      </c>
      <c r="I584" s="300">
        <v>1.0</v>
      </c>
      <c r="J584" s="300">
        <v>1.0</v>
      </c>
      <c r="K584" s="300">
        <v>1.0</v>
      </c>
      <c r="L584" s="300">
        <v>1.0</v>
      </c>
      <c r="M584" s="300">
        <v>1.0</v>
      </c>
      <c r="N584" s="300">
        <v>8.0</v>
      </c>
      <c r="O584" s="300" t="s">
        <v>809</v>
      </c>
      <c r="P584" s="300">
        <v>7.0</v>
      </c>
    </row>
    <row r="585">
      <c r="A585">
        <f>IFERROR(__xludf.DUMMYFUNCTION("""COMPUTED_VALUE"""),9.0)</f>
        <v>9</v>
      </c>
      <c r="B585" s="406">
        <f>IFERROR(__xludf.DUMMYFUNCTION("""COMPUTED_VALUE"""),29065.0)</f>
        <v>29065</v>
      </c>
      <c r="C585" t="str">
        <f>IFERROR(__xludf.DUMMYFUNCTION("""COMPUTED_VALUE"""),"LONDOÑO CUARTAS, TOMAS")</f>
        <v>LONDOÑO CUARTAS, TOMAS</v>
      </c>
      <c r="D585" t="str">
        <f>IFERROR(__xludf.DUMMYFUNCTION("""COMPUTED_VALUE"""),"Spanish and Literature 9")</f>
        <v>Spanish and Literature 9</v>
      </c>
      <c r="E585" s="3">
        <f>IFERROR(__xludf.DUMMYFUNCTION("""COMPUTED_VALUE"""),8.0)</f>
        <v>8</v>
      </c>
      <c r="F585" s="300">
        <v>1.0</v>
      </c>
      <c r="G585" s="300">
        <v>1.0</v>
      </c>
      <c r="H585" s="300">
        <v>1.0</v>
      </c>
      <c r="I585" s="300">
        <v>1.0</v>
      </c>
      <c r="J585" s="300">
        <v>1.0</v>
      </c>
      <c r="K585" s="300">
        <v>1.0</v>
      </c>
      <c r="L585" s="300">
        <v>1.0</v>
      </c>
      <c r="M585" s="300">
        <v>1.0</v>
      </c>
      <c r="N585" s="300">
        <v>8.0</v>
      </c>
      <c r="O585" s="300" t="s">
        <v>810</v>
      </c>
      <c r="P585" s="300">
        <v>7.0</v>
      </c>
    </row>
    <row r="586">
      <c r="A586">
        <f>IFERROR(__xludf.DUMMYFUNCTION("""COMPUTED_VALUE"""),9.0)</f>
        <v>9</v>
      </c>
      <c r="B586" s="406">
        <f>IFERROR(__xludf.DUMMYFUNCTION("""COMPUTED_VALUE"""),29101.0)</f>
        <v>29101</v>
      </c>
      <c r="C586" t="str">
        <f>IFERROR(__xludf.DUMMYFUNCTION("""COMPUTED_VALUE"""),"ROBLES MARTINEZ, MARIA")</f>
        <v>ROBLES MARTINEZ, MARIA</v>
      </c>
      <c r="D586" t="str">
        <f>IFERROR(__xludf.DUMMYFUNCTION("""COMPUTED_VALUE"""),"Spanish and Literature 9")</f>
        <v>Spanish and Literature 9</v>
      </c>
      <c r="E586" s="3">
        <f>IFERROR(__xludf.DUMMYFUNCTION("""COMPUTED_VALUE"""),7.0)</f>
        <v>7</v>
      </c>
      <c r="F586" s="300">
        <v>1.0</v>
      </c>
      <c r="G586" s="300">
        <v>1.0</v>
      </c>
      <c r="H586" s="300">
        <v>1.0</v>
      </c>
      <c r="I586" s="300">
        <v>1.0</v>
      </c>
      <c r="J586" s="300">
        <v>1.0</v>
      </c>
      <c r="K586" s="300">
        <v>1.0</v>
      </c>
      <c r="L586" s="300">
        <v>1.0</v>
      </c>
      <c r="M586" s="300">
        <v>1.0</v>
      </c>
      <c r="N586" s="300">
        <v>8.0</v>
      </c>
      <c r="O586" s="300" t="s">
        <v>808</v>
      </c>
      <c r="P586" s="300">
        <v>7.0</v>
      </c>
    </row>
    <row r="587">
      <c r="A587">
        <f>IFERROR(__xludf.DUMMYFUNCTION("""COMPUTED_VALUE"""),9.0)</f>
        <v>9</v>
      </c>
      <c r="B587" s="406">
        <f>IFERROR(__xludf.DUMMYFUNCTION("""COMPUTED_VALUE"""),29036.0)</f>
        <v>29036</v>
      </c>
      <c r="C587" t="str">
        <f>IFERROR(__xludf.DUMMYFUNCTION("""COMPUTED_VALUE"""),"ECHEVERRI ESCOBAR, RODRIGO")</f>
        <v>ECHEVERRI ESCOBAR, RODRIGO</v>
      </c>
      <c r="D587" t="str">
        <f>IFERROR(__xludf.DUMMYFUNCTION("""COMPUTED_VALUE"""),"Spanish and Literature 9")</f>
        <v>Spanish and Literature 9</v>
      </c>
      <c r="E587" s="3">
        <f>IFERROR(__xludf.DUMMYFUNCTION("""COMPUTED_VALUE"""),8.0)</f>
        <v>8</v>
      </c>
      <c r="F587" s="300">
        <v>1.0</v>
      </c>
      <c r="G587" s="300">
        <v>1.0</v>
      </c>
      <c r="H587" s="300">
        <v>1.0</v>
      </c>
      <c r="I587" s="300">
        <v>1.0</v>
      </c>
      <c r="J587" s="300">
        <v>1.0</v>
      </c>
      <c r="K587" s="300">
        <v>1.0</v>
      </c>
      <c r="L587" s="300">
        <v>1.0</v>
      </c>
      <c r="M587" s="300">
        <v>1.0</v>
      </c>
      <c r="N587" s="300">
        <v>8.0</v>
      </c>
      <c r="O587" s="300" t="s">
        <v>810</v>
      </c>
      <c r="P587" s="300">
        <v>7.0</v>
      </c>
    </row>
    <row r="588">
      <c r="A588">
        <f>IFERROR(__xludf.DUMMYFUNCTION("""COMPUTED_VALUE"""),9.0)</f>
        <v>9</v>
      </c>
      <c r="B588" s="406">
        <f>IFERROR(__xludf.DUMMYFUNCTION("""COMPUTED_VALUE"""),29106.0)</f>
        <v>29106</v>
      </c>
      <c r="C588" t="str">
        <f>IFERROR(__xludf.DUMMYFUNCTION("""COMPUTED_VALUE"""),"SANCHEZ DIAZ, SIMON")</f>
        <v>SANCHEZ DIAZ, SIMON</v>
      </c>
      <c r="D588" t="str">
        <f>IFERROR(__xludf.DUMMYFUNCTION("""COMPUTED_VALUE"""),"Spanish and Literature 9")</f>
        <v>Spanish and Literature 9</v>
      </c>
      <c r="E588" s="3">
        <f>IFERROR(__xludf.DUMMYFUNCTION("""COMPUTED_VALUE"""),5.0)</f>
        <v>5</v>
      </c>
      <c r="F588" s="300">
        <v>1.0</v>
      </c>
      <c r="G588" s="300">
        <v>1.0</v>
      </c>
      <c r="H588" s="300">
        <v>1.0</v>
      </c>
      <c r="I588" s="300">
        <v>1.0</v>
      </c>
      <c r="J588" s="300">
        <v>1.0</v>
      </c>
      <c r="K588" s="300">
        <v>1.0</v>
      </c>
      <c r="L588" s="300">
        <v>1.0</v>
      </c>
      <c r="M588" s="300">
        <v>1.0</v>
      </c>
      <c r="N588" s="300">
        <v>8.0</v>
      </c>
      <c r="O588" s="300" t="s">
        <v>812</v>
      </c>
      <c r="P588" s="300">
        <v>7.0</v>
      </c>
    </row>
    <row r="589">
      <c r="A589">
        <f>IFERROR(__xludf.DUMMYFUNCTION("""COMPUTED_VALUE"""),9.0)</f>
        <v>9</v>
      </c>
      <c r="B589" s="406">
        <f>IFERROR(__xludf.DUMMYFUNCTION("""COMPUTED_VALUE"""),29067.0)</f>
        <v>29067</v>
      </c>
      <c r="C589" t="str">
        <f>IFERROR(__xludf.DUMMYFUNCTION("""COMPUTED_VALUE"""),"LOPEZ ESCOBAR, VALENTIN")</f>
        <v>LOPEZ ESCOBAR, VALENTIN</v>
      </c>
      <c r="D589" t="str">
        <f>IFERROR(__xludf.DUMMYFUNCTION("""COMPUTED_VALUE"""),"Spanish and Literature 9")</f>
        <v>Spanish and Literature 9</v>
      </c>
      <c r="E589" s="3">
        <f>IFERROR(__xludf.DUMMYFUNCTION("""COMPUTED_VALUE"""),8.0)</f>
        <v>8</v>
      </c>
      <c r="F589" s="300">
        <v>1.0</v>
      </c>
      <c r="G589" s="300">
        <v>1.0</v>
      </c>
      <c r="H589" s="300">
        <v>1.0</v>
      </c>
      <c r="I589" s="300">
        <v>1.0</v>
      </c>
      <c r="J589" s="300">
        <v>1.0</v>
      </c>
      <c r="K589" s="300">
        <v>1.0</v>
      </c>
      <c r="L589" s="300">
        <v>1.0</v>
      </c>
      <c r="M589" s="300">
        <v>1.0</v>
      </c>
      <c r="N589" s="300">
        <v>8.0</v>
      </c>
      <c r="O589" s="300" t="s">
        <v>810</v>
      </c>
      <c r="P589" s="300">
        <v>7.0</v>
      </c>
    </row>
    <row r="590">
      <c r="A590">
        <f>IFERROR(__xludf.DUMMYFUNCTION("""COMPUTED_VALUE"""),9.0)</f>
        <v>9</v>
      </c>
      <c r="B590" s="406">
        <f>IFERROR(__xludf.DUMMYFUNCTION("""COMPUTED_VALUE"""),28023.0)</f>
        <v>28023</v>
      </c>
      <c r="C590" t="str">
        <f>IFERROR(__xludf.DUMMYFUNCTION("""COMPUTED_VALUE"""),"CLAVIJO GIRALDO, LORENZO")</f>
        <v>CLAVIJO GIRALDO, LORENZO</v>
      </c>
      <c r="D590" t="str">
        <f>IFERROR(__xludf.DUMMYFUNCTION("""COMPUTED_VALUE"""),"Spanish and Literature 9")</f>
        <v>Spanish and Literature 9</v>
      </c>
      <c r="E590" s="3">
        <f>IFERROR(__xludf.DUMMYFUNCTION("""COMPUTED_VALUE"""),6.0)</f>
        <v>6</v>
      </c>
      <c r="F590" s="300">
        <v>1.0</v>
      </c>
      <c r="G590" s="300">
        <v>1.0</v>
      </c>
      <c r="H590" s="300">
        <v>1.0</v>
      </c>
      <c r="I590" s="300">
        <v>1.0</v>
      </c>
      <c r="J590" s="300">
        <v>1.0</v>
      </c>
      <c r="K590" s="300">
        <v>1.0</v>
      </c>
      <c r="L590" s="300">
        <v>1.0</v>
      </c>
      <c r="M590" s="300">
        <v>1.0</v>
      </c>
      <c r="N590" s="300">
        <v>8.0</v>
      </c>
      <c r="O590" s="300" t="s">
        <v>811</v>
      </c>
      <c r="P590" s="300">
        <v>7.0</v>
      </c>
    </row>
    <row r="591">
      <c r="A591">
        <f>IFERROR(__xludf.DUMMYFUNCTION("""COMPUTED_VALUE"""),9.0)</f>
        <v>9</v>
      </c>
      <c r="B591" s="406">
        <f>IFERROR(__xludf.DUMMYFUNCTION("""COMPUTED_VALUE"""),29145.0)</f>
        <v>29145</v>
      </c>
      <c r="C591" t="str">
        <f>IFERROR(__xludf.DUMMYFUNCTION("""COMPUTED_VALUE"""),"VELASQUEZ GUTIERREZ, SAMUEL")</f>
        <v>VELASQUEZ GUTIERREZ, SAMUEL</v>
      </c>
      <c r="D591" t="str">
        <f>IFERROR(__xludf.DUMMYFUNCTION("""COMPUTED_VALUE"""),"Spanish and Literature 9")</f>
        <v>Spanish and Literature 9</v>
      </c>
      <c r="E591" s="3">
        <f>IFERROR(__xludf.DUMMYFUNCTION("""COMPUTED_VALUE"""),3.0)</f>
        <v>3</v>
      </c>
      <c r="F591" s="300">
        <v>1.0</v>
      </c>
      <c r="G591" s="300">
        <v>1.0</v>
      </c>
      <c r="H591" s="300">
        <v>1.0</v>
      </c>
      <c r="I591" s="300">
        <v>1.0</v>
      </c>
      <c r="J591" s="300">
        <v>1.0</v>
      </c>
      <c r="K591" s="300">
        <v>1.0</v>
      </c>
      <c r="L591" s="300">
        <v>1.0</v>
      </c>
      <c r="M591" s="300">
        <v>1.0</v>
      </c>
      <c r="N591" s="300">
        <v>8.0</v>
      </c>
      <c r="O591" s="300" t="s">
        <v>809</v>
      </c>
      <c r="P591" s="300">
        <v>7.0</v>
      </c>
    </row>
    <row r="592">
      <c r="A592">
        <f>IFERROR(__xludf.DUMMYFUNCTION("""COMPUTED_VALUE"""),9.0)</f>
        <v>9</v>
      </c>
      <c r="B592" s="406">
        <f>IFERROR(__xludf.DUMMYFUNCTION("""COMPUTED_VALUE"""),29061.0)</f>
        <v>29061</v>
      </c>
      <c r="C592" t="str">
        <f>IFERROR(__xludf.DUMMYFUNCTION("""COMPUTED_VALUE"""),"JARAMILLO OSPINA, MANUEL")</f>
        <v>JARAMILLO OSPINA, MANUEL</v>
      </c>
      <c r="D592" t="str">
        <f>IFERROR(__xludf.DUMMYFUNCTION("""COMPUTED_VALUE"""),"Spanish and Literature 9")</f>
        <v>Spanish and Literature 9</v>
      </c>
      <c r="E592" s="3">
        <f>IFERROR(__xludf.DUMMYFUNCTION("""COMPUTED_VALUE"""),5.0)</f>
        <v>5</v>
      </c>
      <c r="F592" s="300">
        <v>1.0</v>
      </c>
      <c r="G592" s="300">
        <v>1.0</v>
      </c>
      <c r="H592" s="300">
        <v>1.0</v>
      </c>
      <c r="I592" s="300">
        <v>1.0</v>
      </c>
      <c r="J592" s="300">
        <v>1.0</v>
      </c>
      <c r="K592" s="300">
        <v>1.0</v>
      </c>
      <c r="L592" s="300">
        <v>1.0</v>
      </c>
      <c r="M592" s="300">
        <v>1.0</v>
      </c>
      <c r="N592" s="300">
        <v>8.0</v>
      </c>
      <c r="O592" s="300" t="s">
        <v>812</v>
      </c>
      <c r="P592" s="300">
        <v>7.0</v>
      </c>
    </row>
    <row r="593">
      <c r="A593">
        <f>IFERROR(__xludf.DUMMYFUNCTION("""COMPUTED_VALUE"""),9.0)</f>
        <v>9</v>
      </c>
      <c r="B593" s="406">
        <f>IFERROR(__xludf.DUMMYFUNCTION("""COMPUTED_VALUE"""),29046.0)</f>
        <v>29046</v>
      </c>
      <c r="C593" t="str">
        <f>IFERROR(__xludf.DUMMYFUNCTION("""COMPUTED_VALUE"""),"GONZALEZ LOPEZ, SAMUEL")</f>
        <v>GONZALEZ LOPEZ, SAMUEL</v>
      </c>
      <c r="D593" t="str">
        <f>IFERROR(__xludf.DUMMYFUNCTION("""COMPUTED_VALUE"""),"Spanish and Literature 9")</f>
        <v>Spanish and Literature 9</v>
      </c>
      <c r="E593" s="3">
        <f>IFERROR(__xludf.DUMMYFUNCTION("""COMPUTED_VALUE"""),1.0)</f>
        <v>1</v>
      </c>
      <c r="F593" s="300">
        <v>1.0</v>
      </c>
      <c r="G593" s="300">
        <v>1.0</v>
      </c>
      <c r="H593" s="300">
        <v>1.0</v>
      </c>
      <c r="I593" s="300">
        <v>1.0</v>
      </c>
      <c r="J593" s="300">
        <v>1.0</v>
      </c>
      <c r="K593" s="300">
        <v>1.0</v>
      </c>
      <c r="L593" s="300">
        <v>1.0</v>
      </c>
      <c r="M593" s="300">
        <v>1.0</v>
      </c>
      <c r="N593" s="300">
        <v>8.0</v>
      </c>
      <c r="O593" s="300" t="s">
        <v>814</v>
      </c>
      <c r="P593" s="300">
        <v>7.0</v>
      </c>
    </row>
    <row r="594">
      <c r="A594">
        <f>IFERROR(__xludf.DUMMYFUNCTION("""COMPUTED_VALUE"""),9.0)</f>
        <v>9</v>
      </c>
      <c r="B594" s="406">
        <f>IFERROR(__xludf.DUMMYFUNCTION("""COMPUTED_VALUE"""),29143.0)</f>
        <v>29143</v>
      </c>
      <c r="C594" t="str">
        <f>IFERROR(__xludf.DUMMYFUNCTION("""COMPUTED_VALUE"""),"MOLANO MESA, CARMEN")</f>
        <v>MOLANO MESA, CARMEN</v>
      </c>
      <c r="D594" t="str">
        <f>IFERROR(__xludf.DUMMYFUNCTION("""COMPUTED_VALUE"""),"Spanish and Literature 9")</f>
        <v>Spanish and Literature 9</v>
      </c>
      <c r="E594" s="3">
        <f>IFERROR(__xludf.DUMMYFUNCTION("""COMPUTED_VALUE"""),6.0)</f>
        <v>6</v>
      </c>
      <c r="F594" s="300">
        <v>1.0</v>
      </c>
      <c r="G594" s="300">
        <v>1.0</v>
      </c>
      <c r="H594" s="300">
        <v>1.0</v>
      </c>
      <c r="I594" s="300">
        <v>1.0</v>
      </c>
      <c r="J594" s="300">
        <v>1.0</v>
      </c>
      <c r="K594" s="300">
        <v>1.0</v>
      </c>
      <c r="L594" s="300">
        <v>1.0</v>
      </c>
      <c r="M594" s="300">
        <v>1.0</v>
      </c>
      <c r="N594" s="300">
        <v>8.0</v>
      </c>
      <c r="O594" s="300" t="s">
        <v>811</v>
      </c>
      <c r="P594" s="300">
        <v>7.0</v>
      </c>
    </row>
    <row r="595">
      <c r="A595">
        <f>IFERROR(__xludf.DUMMYFUNCTION("""COMPUTED_VALUE"""),9.0)</f>
        <v>9</v>
      </c>
      <c r="B595" s="406">
        <f>IFERROR(__xludf.DUMMYFUNCTION("""COMPUTED_VALUE"""),29109.0)</f>
        <v>29109</v>
      </c>
      <c r="C595" t="str">
        <f>IFERROR(__xludf.DUMMYFUNCTION("""COMPUTED_VALUE"""),"SERANI ANGEL, LUCIANA")</f>
        <v>SERANI ANGEL, LUCIANA</v>
      </c>
      <c r="D595" t="str">
        <f>IFERROR(__xludf.DUMMYFUNCTION("""COMPUTED_VALUE"""),"Spanish and Literature 9")</f>
        <v>Spanish and Literature 9</v>
      </c>
      <c r="E595" s="3">
        <f>IFERROR(__xludf.DUMMYFUNCTION("""COMPUTED_VALUE"""),1.0)</f>
        <v>1</v>
      </c>
      <c r="F595" s="300">
        <v>1.0</v>
      </c>
      <c r="G595" s="300">
        <v>1.0</v>
      </c>
      <c r="H595" s="300">
        <v>1.0</v>
      </c>
      <c r="I595" s="300">
        <v>1.0</v>
      </c>
      <c r="J595" s="300">
        <v>1.0</v>
      </c>
      <c r="K595" s="300">
        <v>1.0</v>
      </c>
      <c r="L595" s="300">
        <v>1.0</v>
      </c>
      <c r="M595" s="300">
        <v>1.0</v>
      </c>
      <c r="N595" s="300">
        <v>8.0</v>
      </c>
      <c r="O595" s="300" t="s">
        <v>814</v>
      </c>
      <c r="P595" s="300">
        <v>7.0</v>
      </c>
    </row>
    <row r="596">
      <c r="A596">
        <f>IFERROR(__xludf.DUMMYFUNCTION("""COMPUTED_VALUE"""),9.0)</f>
        <v>9</v>
      </c>
      <c r="B596" s="406">
        <f>IFERROR(__xludf.DUMMYFUNCTION("""COMPUTED_VALUE"""),29037.0)</f>
        <v>29037</v>
      </c>
      <c r="C596" t="str">
        <f>IFERROR(__xludf.DUMMYFUNCTION("""COMPUTED_VALUE"""),"ESCOBAR INFANTINO, RAQUEL")</f>
        <v>ESCOBAR INFANTINO, RAQUEL</v>
      </c>
      <c r="D596" t="str">
        <f>IFERROR(__xludf.DUMMYFUNCTION("""COMPUTED_VALUE"""),"Spanish and Literature 9")</f>
        <v>Spanish and Literature 9</v>
      </c>
      <c r="E596" s="3">
        <f>IFERROR(__xludf.DUMMYFUNCTION("""COMPUTED_VALUE"""),8.0)</f>
        <v>8</v>
      </c>
      <c r="F596" s="300">
        <v>1.0</v>
      </c>
      <c r="G596" s="300">
        <v>1.0</v>
      </c>
      <c r="H596" s="300">
        <v>1.0</v>
      </c>
      <c r="I596" s="300">
        <v>1.0</v>
      </c>
      <c r="J596" s="300">
        <v>1.0</v>
      </c>
      <c r="K596" s="300">
        <v>1.0</v>
      </c>
      <c r="L596" s="300">
        <v>1.0</v>
      </c>
      <c r="M596" s="300">
        <v>1.0</v>
      </c>
      <c r="N596" s="300">
        <v>8.0</v>
      </c>
      <c r="O596" s="300" t="s">
        <v>810</v>
      </c>
      <c r="P596" s="300">
        <v>7.0</v>
      </c>
    </row>
    <row r="597">
      <c r="A597">
        <f>IFERROR(__xludf.DUMMYFUNCTION("""COMPUTED_VALUE"""),9.0)</f>
        <v>9</v>
      </c>
      <c r="B597" s="406">
        <f>IFERROR(__xludf.DUMMYFUNCTION("""COMPUTED_VALUE"""),29159.0)</f>
        <v>29159</v>
      </c>
      <c r="C597" t="str">
        <f>IFERROR(__xludf.DUMMYFUNCTION("""COMPUTED_VALUE"""),"PACHECO GARCIA, MARIANA")</f>
        <v>PACHECO GARCIA, MARIANA</v>
      </c>
      <c r="D597" t="str">
        <f>IFERROR(__xludf.DUMMYFUNCTION("""COMPUTED_VALUE"""),"Spanish and Literature 9")</f>
        <v>Spanish and Literature 9</v>
      </c>
      <c r="E597" s="3">
        <f>IFERROR(__xludf.DUMMYFUNCTION("""COMPUTED_VALUE"""),5.0)</f>
        <v>5</v>
      </c>
      <c r="F597" s="300">
        <v>1.0</v>
      </c>
      <c r="G597" s="300">
        <v>1.0</v>
      </c>
      <c r="H597" s="300">
        <v>1.0</v>
      </c>
      <c r="I597" s="300">
        <v>1.0</v>
      </c>
      <c r="J597" s="300">
        <v>1.0</v>
      </c>
      <c r="K597" s="300">
        <v>1.0</v>
      </c>
      <c r="L597" s="300">
        <v>1.0</v>
      </c>
      <c r="M597" s="300">
        <v>1.0</v>
      </c>
      <c r="N597" s="300">
        <v>8.0</v>
      </c>
      <c r="O597" s="300" t="s">
        <v>812</v>
      </c>
      <c r="P597" s="300">
        <v>7.0</v>
      </c>
    </row>
    <row r="598">
      <c r="A598">
        <f>IFERROR(__xludf.DUMMYFUNCTION("""COMPUTED_VALUE"""),9.0)</f>
        <v>9</v>
      </c>
      <c r="B598" s="406">
        <f>IFERROR(__xludf.DUMMYFUNCTION("""COMPUTED_VALUE"""),29142.0)</f>
        <v>29142</v>
      </c>
      <c r="C598" t="str">
        <f>IFERROR(__xludf.DUMMYFUNCTION("""COMPUTED_VALUE"""),"TOBON CARMONA, JACOBO")</f>
        <v>TOBON CARMONA, JACOBO</v>
      </c>
      <c r="D598" t="str">
        <f>IFERROR(__xludf.DUMMYFUNCTION("""COMPUTED_VALUE"""),"Spanish and Literature 9")</f>
        <v>Spanish and Literature 9</v>
      </c>
      <c r="E598" s="3">
        <f>IFERROR(__xludf.DUMMYFUNCTION("""COMPUTED_VALUE"""),6.0)</f>
        <v>6</v>
      </c>
      <c r="F598" s="300">
        <v>1.0</v>
      </c>
      <c r="G598" s="300">
        <v>1.0</v>
      </c>
      <c r="H598" s="300">
        <v>1.0</v>
      </c>
      <c r="I598" s="300">
        <v>1.0</v>
      </c>
      <c r="J598" s="300">
        <v>1.0</v>
      </c>
      <c r="K598" s="300">
        <v>1.0</v>
      </c>
      <c r="L598" s="300">
        <v>1.0</v>
      </c>
      <c r="M598" s="300">
        <v>1.0</v>
      </c>
      <c r="N598" s="300">
        <v>8.0</v>
      </c>
      <c r="O598" s="300" t="s">
        <v>811</v>
      </c>
      <c r="P598" s="300">
        <v>7.0</v>
      </c>
    </row>
    <row r="599">
      <c r="A599">
        <f>IFERROR(__xludf.DUMMYFUNCTION("""COMPUTED_VALUE"""),9.0)</f>
        <v>9</v>
      </c>
      <c r="B599" s="406">
        <f>IFERROR(__xludf.DUMMYFUNCTION("""COMPUTED_VALUE"""),29132.0)</f>
        <v>29132</v>
      </c>
      <c r="C599" t="str">
        <f>IFERROR(__xludf.DUMMYFUNCTION("""COMPUTED_VALUE"""),"VILLEGAS MEJIA, SIMON")</f>
        <v>VILLEGAS MEJIA, SIMON</v>
      </c>
      <c r="D599" t="str">
        <f>IFERROR(__xludf.DUMMYFUNCTION("""COMPUTED_VALUE"""),"Spanish and Literature 9")</f>
        <v>Spanish and Literature 9</v>
      </c>
      <c r="E599" s="3">
        <f>IFERROR(__xludf.DUMMYFUNCTION("""COMPUTED_VALUE"""),1.0)</f>
        <v>1</v>
      </c>
      <c r="F599" s="300">
        <v>1.0</v>
      </c>
      <c r="G599" s="300">
        <v>1.0</v>
      </c>
      <c r="H599" s="300">
        <v>1.0</v>
      </c>
      <c r="I599" s="300">
        <v>1.0</v>
      </c>
      <c r="J599" s="300">
        <v>1.0</v>
      </c>
      <c r="K599" s="300">
        <v>1.0</v>
      </c>
      <c r="L599" s="300">
        <v>1.0</v>
      </c>
      <c r="M599" s="300">
        <v>1.0</v>
      </c>
      <c r="N599" s="300">
        <v>8.0</v>
      </c>
      <c r="O599" s="300" t="s">
        <v>814</v>
      </c>
      <c r="P599" s="300">
        <v>7.0</v>
      </c>
    </row>
    <row r="600">
      <c r="A600">
        <f>IFERROR(__xludf.DUMMYFUNCTION("""COMPUTED_VALUE"""),9.0)</f>
        <v>9</v>
      </c>
      <c r="B600" s="406">
        <f>IFERROR(__xludf.DUMMYFUNCTION("""COMPUTED_VALUE"""),29027.0)</f>
        <v>29027</v>
      </c>
      <c r="C600" t="str">
        <f>IFERROR(__xludf.DUMMYFUNCTION("""COMPUTED_VALUE"""),"CARDONA VELEZ, MATIAS")</f>
        <v>CARDONA VELEZ, MATIAS</v>
      </c>
      <c r="D600" t="str">
        <f>IFERROR(__xludf.DUMMYFUNCTION("""COMPUTED_VALUE"""),"Spanish and Literature 9")</f>
        <v>Spanish and Literature 9</v>
      </c>
      <c r="E600" s="3">
        <f>IFERROR(__xludf.DUMMYFUNCTION("""COMPUTED_VALUE"""),1.0)</f>
        <v>1</v>
      </c>
      <c r="F600" s="300">
        <v>1.0</v>
      </c>
      <c r="G600" s="300">
        <v>1.0</v>
      </c>
      <c r="H600" s="300">
        <v>1.0</v>
      </c>
      <c r="I600" s="300">
        <v>1.0</v>
      </c>
      <c r="J600" s="300">
        <v>1.0</v>
      </c>
      <c r="K600" s="300">
        <v>1.0</v>
      </c>
      <c r="L600" s="300">
        <v>1.0</v>
      </c>
      <c r="M600" s="300">
        <v>1.0</v>
      </c>
      <c r="N600" s="300">
        <v>8.0</v>
      </c>
      <c r="O600" s="300" t="s">
        <v>814</v>
      </c>
      <c r="P600" s="300">
        <v>7.0</v>
      </c>
    </row>
    <row r="601">
      <c r="A601">
        <f>IFERROR(__xludf.DUMMYFUNCTION("""COMPUTED_VALUE"""),9.0)</f>
        <v>9</v>
      </c>
      <c r="B601" s="406">
        <f>IFERROR(__xludf.DUMMYFUNCTION("""COMPUTED_VALUE"""),29024.0)</f>
        <v>29024</v>
      </c>
      <c r="C601" t="str">
        <f>IFERROR(__xludf.DUMMYFUNCTION("""COMPUTED_VALUE"""),"CADAVID RESTREPO, LUIS FERNANDO")</f>
        <v>CADAVID RESTREPO, LUIS FERNANDO</v>
      </c>
      <c r="D601" t="str">
        <f>IFERROR(__xludf.DUMMYFUNCTION("""COMPUTED_VALUE"""),"Spanish and Literature 9")</f>
        <v>Spanish and Literature 9</v>
      </c>
      <c r="E601" s="3">
        <f>IFERROR(__xludf.DUMMYFUNCTION("""COMPUTED_VALUE"""),6.0)</f>
        <v>6</v>
      </c>
      <c r="F601" s="300">
        <v>1.0</v>
      </c>
      <c r="G601" s="300">
        <v>1.0</v>
      </c>
      <c r="H601" s="300">
        <v>1.0</v>
      </c>
      <c r="I601" s="300">
        <v>1.0</v>
      </c>
      <c r="J601" s="300">
        <v>1.0</v>
      </c>
      <c r="K601" s="300">
        <v>1.0</v>
      </c>
      <c r="L601" s="300">
        <v>1.0</v>
      </c>
      <c r="M601" s="300">
        <v>1.0</v>
      </c>
      <c r="N601" s="300">
        <v>8.0</v>
      </c>
      <c r="O601" s="300" t="s">
        <v>811</v>
      </c>
      <c r="P601" s="300">
        <v>7.0</v>
      </c>
    </row>
    <row r="602">
      <c r="A602">
        <f>IFERROR(__xludf.DUMMYFUNCTION("""COMPUTED_VALUE"""),9.0)</f>
        <v>9</v>
      </c>
      <c r="B602" s="406">
        <f>IFERROR(__xludf.DUMMYFUNCTION("""COMPUTED_VALUE"""),29042.0)</f>
        <v>29042</v>
      </c>
      <c r="C602" t="str">
        <f>IFERROR(__xludf.DUMMYFUNCTION("""COMPUTED_VALUE"""),"GOMEZ MIRA, GREGORIO")</f>
        <v>GOMEZ MIRA, GREGORIO</v>
      </c>
      <c r="D602" t="str">
        <f>IFERROR(__xludf.DUMMYFUNCTION("""COMPUTED_VALUE"""),"Spanish and Literature 9")</f>
        <v>Spanish and Literature 9</v>
      </c>
      <c r="E602" s="3">
        <f>IFERROR(__xludf.DUMMYFUNCTION("""COMPUTED_VALUE"""),1.0)</f>
        <v>1</v>
      </c>
      <c r="F602" s="300">
        <v>1.0</v>
      </c>
      <c r="G602" s="300">
        <v>1.0</v>
      </c>
      <c r="H602" s="300">
        <v>1.0</v>
      </c>
      <c r="I602" s="300">
        <v>1.0</v>
      </c>
      <c r="J602" s="300">
        <v>1.0</v>
      </c>
      <c r="K602" s="300">
        <v>1.0</v>
      </c>
      <c r="L602" s="300">
        <v>1.0</v>
      </c>
      <c r="M602" s="300">
        <v>1.0</v>
      </c>
      <c r="N602" s="300">
        <v>8.0</v>
      </c>
      <c r="O602" s="300" t="s">
        <v>814</v>
      </c>
      <c r="P602" s="300">
        <v>7.0</v>
      </c>
    </row>
    <row r="603">
      <c r="A603">
        <f>IFERROR(__xludf.DUMMYFUNCTION("""COMPUTED_VALUE"""),9.0)</f>
        <v>9</v>
      </c>
      <c r="B603" s="406">
        <f>IFERROR(__xludf.DUMMYFUNCTION("""COMPUTED_VALUE"""),29120.0)</f>
        <v>29120</v>
      </c>
      <c r="C603" t="str">
        <f>IFERROR(__xludf.DUMMYFUNCTION("""COMPUTED_VALUE"""),"URIBE JARAMILLO, PEDRO JUAN")</f>
        <v>URIBE JARAMILLO, PEDRO JUAN</v>
      </c>
      <c r="D603" t="str">
        <f>IFERROR(__xludf.DUMMYFUNCTION("""COMPUTED_VALUE"""),"Spanish and Literature 9")</f>
        <v>Spanish and Literature 9</v>
      </c>
      <c r="E603" s="3">
        <f>IFERROR(__xludf.DUMMYFUNCTION("""COMPUTED_VALUE"""),8.0)</f>
        <v>8</v>
      </c>
      <c r="F603" s="300">
        <v>1.0</v>
      </c>
      <c r="G603" s="300">
        <v>1.0</v>
      </c>
      <c r="H603" s="300">
        <v>1.0</v>
      </c>
      <c r="I603" s="300">
        <v>1.0</v>
      </c>
      <c r="J603" s="300">
        <v>1.0</v>
      </c>
      <c r="K603" s="300">
        <v>1.0</v>
      </c>
      <c r="L603" s="300">
        <v>1.0</v>
      </c>
      <c r="M603" s="300">
        <v>1.0</v>
      </c>
      <c r="N603" s="300">
        <v>8.0</v>
      </c>
      <c r="O603" s="300" t="s">
        <v>810</v>
      </c>
      <c r="P603" s="300">
        <v>7.0</v>
      </c>
    </row>
    <row r="604">
      <c r="A604">
        <f>IFERROR(__xludf.DUMMYFUNCTION("""COMPUTED_VALUE"""),9.0)</f>
        <v>9</v>
      </c>
      <c r="B604" s="406">
        <f>IFERROR(__xludf.DUMMYFUNCTION("""COMPUTED_VALUE"""),29040.0)</f>
        <v>29040</v>
      </c>
      <c r="C604" t="str">
        <f>IFERROR(__xludf.DUMMYFUNCTION("""COMPUTED_VALUE"""),"ESTRADA ZAPATA, MARTIN")</f>
        <v>ESTRADA ZAPATA, MARTIN</v>
      </c>
      <c r="D604" t="str">
        <f>IFERROR(__xludf.DUMMYFUNCTION("""COMPUTED_VALUE"""),"Spanish and Literature 9")</f>
        <v>Spanish and Literature 9</v>
      </c>
      <c r="E604" s="3">
        <f>IFERROR(__xludf.DUMMYFUNCTION("""COMPUTED_VALUE"""),5.0)</f>
        <v>5</v>
      </c>
      <c r="F604" s="300">
        <v>1.0</v>
      </c>
      <c r="G604" s="300">
        <v>1.0</v>
      </c>
      <c r="H604" s="300">
        <v>1.0</v>
      </c>
      <c r="I604" s="300">
        <v>1.0</v>
      </c>
      <c r="J604" s="300">
        <v>1.0</v>
      </c>
      <c r="K604" s="300">
        <v>1.0</v>
      </c>
      <c r="L604" s="300">
        <v>1.0</v>
      </c>
      <c r="M604" s="300">
        <v>1.0</v>
      </c>
      <c r="N604" s="300">
        <v>8.0</v>
      </c>
      <c r="O604" s="300" t="s">
        <v>812</v>
      </c>
      <c r="P604" s="300">
        <v>7.0</v>
      </c>
    </row>
    <row r="605">
      <c r="A605">
        <f>IFERROR(__xludf.DUMMYFUNCTION("""COMPUTED_VALUE"""),9.0)</f>
        <v>9</v>
      </c>
      <c r="B605" s="406">
        <f>IFERROR(__xludf.DUMMYFUNCTION("""COMPUTED_VALUE"""),29057.0)</f>
        <v>29057</v>
      </c>
      <c r="C605" t="str">
        <f>IFERROR(__xludf.DUMMYFUNCTION("""COMPUTED_VALUE"""),"JALLER TRUJILLO, KAMEL")</f>
        <v>JALLER TRUJILLO, KAMEL</v>
      </c>
      <c r="D605" t="str">
        <f>IFERROR(__xludf.DUMMYFUNCTION("""COMPUTED_VALUE"""),"Spanish and Literature 9")</f>
        <v>Spanish and Literature 9</v>
      </c>
      <c r="E605" s="3">
        <f>IFERROR(__xludf.DUMMYFUNCTION("""COMPUTED_VALUE"""),7.0)</f>
        <v>7</v>
      </c>
      <c r="F605" s="300">
        <v>1.0</v>
      </c>
      <c r="G605" s="300">
        <v>1.0</v>
      </c>
      <c r="H605" s="300">
        <v>1.0</v>
      </c>
      <c r="I605" s="300">
        <v>1.0</v>
      </c>
      <c r="J605" s="300">
        <v>1.0</v>
      </c>
      <c r="K605" s="300">
        <v>1.0</v>
      </c>
      <c r="L605" s="300">
        <v>1.0</v>
      </c>
      <c r="M605" s="300">
        <v>1.0</v>
      </c>
      <c r="N605" s="300">
        <v>8.0</v>
      </c>
      <c r="O605" s="300" t="s">
        <v>808</v>
      </c>
      <c r="P605" s="300">
        <v>7.0</v>
      </c>
    </row>
    <row r="606">
      <c r="A606">
        <f>IFERROR(__xludf.DUMMYFUNCTION("""COMPUTED_VALUE"""),9.0)</f>
        <v>9</v>
      </c>
      <c r="B606" s="406">
        <f>IFERROR(__xludf.DUMMYFUNCTION("""COMPUTED_VALUE"""),29092.0)</f>
        <v>29092</v>
      </c>
      <c r="C606" t="str">
        <f>IFERROR(__xludf.DUMMYFUNCTION("""COMPUTED_VALUE"""),"TURIZZO BORRERO, CAMILO ANDRES")</f>
        <v>TURIZZO BORRERO, CAMILO ANDRES</v>
      </c>
      <c r="D606" t="str">
        <f>IFERROR(__xludf.DUMMYFUNCTION("""COMPUTED_VALUE"""),"Spanish and Literature 9")</f>
        <v>Spanish and Literature 9</v>
      </c>
      <c r="E606" s="3">
        <f>IFERROR(__xludf.DUMMYFUNCTION("""COMPUTED_VALUE"""),3.0)</f>
        <v>3</v>
      </c>
      <c r="F606" s="300">
        <v>1.0</v>
      </c>
      <c r="G606" s="300">
        <v>1.0</v>
      </c>
      <c r="H606" s="300">
        <v>1.0</v>
      </c>
      <c r="I606" s="300">
        <v>1.0</v>
      </c>
      <c r="J606" s="300">
        <v>1.0</v>
      </c>
      <c r="K606" s="300">
        <v>1.0</v>
      </c>
      <c r="L606" s="300">
        <v>1.0</v>
      </c>
      <c r="M606" s="300">
        <v>1.0</v>
      </c>
      <c r="N606" s="300">
        <v>8.0</v>
      </c>
      <c r="O606" s="300" t="s">
        <v>809</v>
      </c>
      <c r="P606" s="300">
        <v>7.0</v>
      </c>
    </row>
    <row r="607">
      <c r="A607">
        <f>IFERROR(__xludf.DUMMYFUNCTION("""COMPUTED_VALUE"""),9.0)</f>
        <v>9</v>
      </c>
      <c r="B607" s="406">
        <f>IFERROR(__xludf.DUMMYFUNCTION("""COMPUTED_VALUE"""),29129.0)</f>
        <v>29129</v>
      </c>
      <c r="C607" t="str">
        <f>IFERROR(__xludf.DUMMYFUNCTION("""COMPUTED_VALUE"""),"VELEZ RESTREPO, SIMON")</f>
        <v>VELEZ RESTREPO, SIMON</v>
      </c>
      <c r="D607" t="str">
        <f>IFERROR(__xludf.DUMMYFUNCTION("""COMPUTED_VALUE"""),"Spanish and Literature 9")</f>
        <v>Spanish and Literature 9</v>
      </c>
      <c r="E607" s="3">
        <f>IFERROR(__xludf.DUMMYFUNCTION("""COMPUTED_VALUE"""),5.0)</f>
        <v>5</v>
      </c>
      <c r="F607" s="300">
        <v>1.0</v>
      </c>
      <c r="G607" s="300">
        <v>1.0</v>
      </c>
      <c r="H607" s="300">
        <v>1.0</v>
      </c>
      <c r="I607" s="300">
        <v>1.0</v>
      </c>
      <c r="J607" s="300">
        <v>1.0</v>
      </c>
      <c r="K607" s="300">
        <v>1.0</v>
      </c>
      <c r="L607" s="300">
        <v>1.0</v>
      </c>
      <c r="M607" s="300">
        <v>1.0</v>
      </c>
      <c r="N607" s="300">
        <v>8.0</v>
      </c>
      <c r="O607" s="300" t="s">
        <v>812</v>
      </c>
      <c r="P607" s="300">
        <v>7.0</v>
      </c>
    </row>
    <row r="608">
      <c r="A608">
        <f>IFERROR(__xludf.DUMMYFUNCTION("""COMPUTED_VALUE"""),9.0)</f>
        <v>9</v>
      </c>
      <c r="B608" s="406">
        <f>IFERROR(__xludf.DUMMYFUNCTION("""COMPUTED_VALUE"""),29002.0)</f>
        <v>29002</v>
      </c>
      <c r="C608" t="str">
        <f>IFERROR(__xludf.DUMMYFUNCTION("""COMPUTED_VALUE"""),"ACEVEDO OCHOA, MARIA DEL MAR")</f>
        <v>ACEVEDO OCHOA, MARIA DEL MAR</v>
      </c>
      <c r="D608" t="str">
        <f>IFERROR(__xludf.DUMMYFUNCTION("""COMPUTED_VALUE"""),"Spanish and Literature 9")</f>
        <v>Spanish and Literature 9</v>
      </c>
      <c r="E608" s="3">
        <f>IFERROR(__xludf.DUMMYFUNCTION("""COMPUTED_VALUE"""),7.0)</f>
        <v>7</v>
      </c>
      <c r="F608" s="300">
        <v>1.0</v>
      </c>
      <c r="G608" s="300">
        <v>1.0</v>
      </c>
      <c r="H608" s="300">
        <v>1.0</v>
      </c>
      <c r="I608" s="300">
        <v>1.0</v>
      </c>
      <c r="J608" s="300">
        <v>1.0</v>
      </c>
      <c r="K608" s="300">
        <v>1.0</v>
      </c>
      <c r="L608" s="300">
        <v>1.0</v>
      </c>
      <c r="M608" s="300">
        <v>1.0</v>
      </c>
      <c r="N608" s="300">
        <v>8.0</v>
      </c>
      <c r="O608" s="300" t="s">
        <v>808</v>
      </c>
      <c r="P608" s="300">
        <v>7.0</v>
      </c>
    </row>
    <row r="609">
      <c r="A609">
        <f>IFERROR(__xludf.DUMMYFUNCTION("""COMPUTED_VALUE"""),9.0)</f>
        <v>9</v>
      </c>
      <c r="B609" s="406">
        <f>IFERROR(__xludf.DUMMYFUNCTION("""COMPUTED_VALUE"""),29099.0)</f>
        <v>29099</v>
      </c>
      <c r="C609" t="str">
        <f>IFERROR(__xludf.DUMMYFUNCTION("""COMPUTED_VALUE"""),"RESTREPO RESTREPO, MATIAS")</f>
        <v>RESTREPO RESTREPO, MATIAS</v>
      </c>
      <c r="D609" t="str">
        <f>IFERROR(__xludf.DUMMYFUNCTION("""COMPUTED_VALUE"""),"Spanish and Literature 9")</f>
        <v>Spanish and Literature 9</v>
      </c>
      <c r="E609" s="3">
        <f>IFERROR(__xludf.DUMMYFUNCTION("""COMPUTED_VALUE"""),3.0)</f>
        <v>3</v>
      </c>
      <c r="F609" s="300">
        <v>1.0</v>
      </c>
      <c r="G609" s="300">
        <v>1.0</v>
      </c>
      <c r="H609" s="300">
        <v>1.0</v>
      </c>
      <c r="I609" s="300">
        <v>1.0</v>
      </c>
      <c r="J609" s="300">
        <v>1.0</v>
      </c>
      <c r="K609" s="300">
        <v>1.0</v>
      </c>
      <c r="L609" s="300">
        <v>1.0</v>
      </c>
      <c r="M609" s="300">
        <v>1.0</v>
      </c>
      <c r="N609" s="300">
        <v>8.0</v>
      </c>
      <c r="O609" s="300" t="s">
        <v>809</v>
      </c>
      <c r="P609" s="300">
        <v>7.0</v>
      </c>
    </row>
    <row r="610">
      <c r="A610">
        <f>IFERROR(__xludf.DUMMYFUNCTION("""COMPUTED_VALUE"""),9.0)</f>
        <v>9</v>
      </c>
      <c r="B610" s="406">
        <f>IFERROR(__xludf.DUMMYFUNCTION("""COMPUTED_VALUE"""),29087.0)</f>
        <v>29087</v>
      </c>
      <c r="C610" t="str">
        <f>IFERROR(__xludf.DUMMYFUNCTION("""COMPUTED_VALUE"""),"PALACIO BOTERO, MATIAS")</f>
        <v>PALACIO BOTERO, MATIAS</v>
      </c>
      <c r="D610" t="str">
        <f>IFERROR(__xludf.DUMMYFUNCTION("""COMPUTED_VALUE"""),"Spanish and Literature 9")</f>
        <v>Spanish and Literature 9</v>
      </c>
      <c r="E610" s="3">
        <f>IFERROR(__xludf.DUMMYFUNCTION("""COMPUTED_VALUE"""),4.0)</f>
        <v>4</v>
      </c>
      <c r="F610" s="300">
        <v>1.0</v>
      </c>
      <c r="G610" s="300">
        <v>1.0</v>
      </c>
      <c r="H610" s="300">
        <v>1.0</v>
      </c>
      <c r="I610" s="300">
        <v>1.0</v>
      </c>
      <c r="J610" s="300">
        <v>1.0</v>
      </c>
      <c r="K610" s="300">
        <v>1.0</v>
      </c>
      <c r="L610" s="300">
        <v>1.0</v>
      </c>
      <c r="M610" s="300">
        <v>1.0</v>
      </c>
      <c r="N610" s="300">
        <v>8.0</v>
      </c>
      <c r="O610" s="300" t="s">
        <v>813</v>
      </c>
      <c r="P610" s="300">
        <v>7.0</v>
      </c>
    </row>
    <row r="611">
      <c r="A611">
        <f>IFERROR(__xludf.DUMMYFUNCTION("""COMPUTED_VALUE"""),9.0)</f>
        <v>9</v>
      </c>
      <c r="B611" s="406">
        <f>IFERROR(__xludf.DUMMYFUNCTION("""COMPUTED_VALUE"""),28087.0)</f>
        <v>28087</v>
      </c>
      <c r="C611" t="str">
        <f>IFERROR(__xludf.DUMMYFUNCTION("""COMPUTED_VALUE"""),"QUINTERO HENAO, MATEO")</f>
        <v>QUINTERO HENAO, MATEO</v>
      </c>
      <c r="D611" t="str">
        <f>IFERROR(__xludf.DUMMYFUNCTION("""COMPUTED_VALUE"""),"Spanish and Literature 9")</f>
        <v>Spanish and Literature 9</v>
      </c>
      <c r="E611" s="3">
        <f>IFERROR(__xludf.DUMMYFUNCTION("""COMPUTED_VALUE"""),8.0)</f>
        <v>8</v>
      </c>
      <c r="F611" s="300">
        <v>1.0</v>
      </c>
      <c r="G611" s="300">
        <v>1.0</v>
      </c>
      <c r="H611" s="300">
        <v>1.0</v>
      </c>
      <c r="I611" s="300">
        <v>1.0</v>
      </c>
      <c r="J611" s="300">
        <v>1.0</v>
      </c>
      <c r="K611" s="300">
        <v>1.0</v>
      </c>
      <c r="L611" s="300">
        <v>1.0</v>
      </c>
      <c r="M611" s="300">
        <v>1.0</v>
      </c>
      <c r="N611" s="300">
        <v>8.0</v>
      </c>
      <c r="O611" s="300" t="s">
        <v>810</v>
      </c>
      <c r="P611" s="300">
        <v>7.0</v>
      </c>
    </row>
    <row r="612">
      <c r="A612">
        <f>IFERROR(__xludf.DUMMYFUNCTION("""COMPUTED_VALUE"""),9.0)</f>
        <v>9</v>
      </c>
      <c r="B612" s="406">
        <f>IFERROR(__xludf.DUMMYFUNCTION("""COMPUTED_VALUE"""),29133.0)</f>
        <v>29133</v>
      </c>
      <c r="C612" t="str">
        <f>IFERROR(__xludf.DUMMYFUNCTION("""COMPUTED_VALUE"""),"ZAPATA URIBE, RAFAEL")</f>
        <v>ZAPATA URIBE, RAFAEL</v>
      </c>
      <c r="D612" t="str">
        <f>IFERROR(__xludf.DUMMYFUNCTION("""COMPUTED_VALUE"""),"Spanish and Literature 9")</f>
        <v>Spanish and Literature 9</v>
      </c>
      <c r="E612" s="3">
        <f>IFERROR(__xludf.DUMMYFUNCTION("""COMPUTED_VALUE"""),1.0)</f>
        <v>1</v>
      </c>
      <c r="F612" s="300">
        <v>1.0</v>
      </c>
      <c r="G612" s="300">
        <v>1.0</v>
      </c>
      <c r="H612" s="300">
        <v>1.0</v>
      </c>
      <c r="I612" s="300">
        <v>1.0</v>
      </c>
      <c r="J612" s="300">
        <v>1.0</v>
      </c>
      <c r="K612" s="300">
        <v>1.0</v>
      </c>
      <c r="L612" s="300">
        <v>1.0</v>
      </c>
      <c r="M612" s="300">
        <v>1.0</v>
      </c>
      <c r="N612" s="300">
        <v>8.0</v>
      </c>
      <c r="O612" s="300" t="s">
        <v>814</v>
      </c>
      <c r="P612" s="300">
        <v>7.0</v>
      </c>
    </row>
    <row r="613">
      <c r="A613">
        <f>IFERROR(__xludf.DUMMYFUNCTION("""COMPUTED_VALUE"""),9.0)</f>
        <v>9</v>
      </c>
      <c r="B613" s="406">
        <f>IFERROR(__xludf.DUMMYFUNCTION("""COMPUTED_VALUE"""),29059.0)</f>
        <v>29059</v>
      </c>
      <c r="C613" t="str">
        <f>IFERROR(__xludf.DUMMYFUNCTION("""COMPUTED_VALUE"""),"JARAMILLO GONZALEZ, PASCUAL")</f>
        <v>JARAMILLO GONZALEZ, PASCUAL</v>
      </c>
      <c r="D613" t="str">
        <f>IFERROR(__xludf.DUMMYFUNCTION("""COMPUTED_VALUE"""),"Spanish and Literature 9")</f>
        <v>Spanish and Literature 9</v>
      </c>
      <c r="E613" s="3">
        <f>IFERROR(__xludf.DUMMYFUNCTION("""COMPUTED_VALUE"""),4.0)</f>
        <v>4</v>
      </c>
      <c r="F613" s="300">
        <v>1.0</v>
      </c>
      <c r="G613" s="300">
        <v>1.0</v>
      </c>
      <c r="H613" s="300">
        <v>1.0</v>
      </c>
      <c r="I613" s="300">
        <v>1.0</v>
      </c>
      <c r="J613" s="300">
        <v>1.0</v>
      </c>
      <c r="K613" s="300">
        <v>1.0</v>
      </c>
      <c r="L613" s="300">
        <v>1.0</v>
      </c>
      <c r="M613" s="300">
        <v>1.0</v>
      </c>
      <c r="N613" s="300">
        <v>8.0</v>
      </c>
      <c r="O613" s="300" t="s">
        <v>813</v>
      </c>
      <c r="P613" s="300">
        <v>7.0</v>
      </c>
    </row>
    <row r="614">
      <c r="A614">
        <f>IFERROR(__xludf.DUMMYFUNCTION("""COMPUTED_VALUE"""),9.0)</f>
        <v>9</v>
      </c>
      <c r="B614" s="406">
        <f>IFERROR(__xludf.DUMMYFUNCTION("""COMPUTED_VALUE"""),29050.0)</f>
        <v>29050</v>
      </c>
      <c r="C614" t="str">
        <f>IFERROR(__xludf.DUMMYFUNCTION("""COMPUTED_VALUE"""),"HINESTROSA SIERRA, PEDRO")</f>
        <v>HINESTROSA SIERRA, PEDRO</v>
      </c>
      <c r="D614" t="str">
        <f>IFERROR(__xludf.DUMMYFUNCTION("""COMPUTED_VALUE"""),"Spanish and Literature 9")</f>
        <v>Spanish and Literature 9</v>
      </c>
      <c r="E614" s="3">
        <f>IFERROR(__xludf.DUMMYFUNCTION("""COMPUTED_VALUE"""),8.0)</f>
        <v>8</v>
      </c>
      <c r="F614" s="300">
        <v>1.0</v>
      </c>
      <c r="G614" s="300">
        <v>1.0</v>
      </c>
      <c r="H614" s="300">
        <v>1.0</v>
      </c>
      <c r="I614" s="300">
        <v>1.0</v>
      </c>
      <c r="J614" s="300">
        <v>1.0</v>
      </c>
      <c r="K614" s="300">
        <v>1.0</v>
      </c>
      <c r="L614" s="300">
        <v>1.0</v>
      </c>
      <c r="M614" s="300">
        <v>1.0</v>
      </c>
      <c r="N614" s="300">
        <v>8.0</v>
      </c>
      <c r="O614" s="300" t="s">
        <v>810</v>
      </c>
      <c r="P614" s="300">
        <v>7.0</v>
      </c>
    </row>
    <row r="615">
      <c r="A615">
        <f>IFERROR(__xludf.DUMMYFUNCTION("""COMPUTED_VALUE"""),9.0)</f>
        <v>9</v>
      </c>
      <c r="B615" s="406">
        <f>IFERROR(__xludf.DUMMYFUNCTION("""COMPUTED_VALUE"""),29068.0)</f>
        <v>29068</v>
      </c>
      <c r="C615" t="str">
        <f>IFERROR(__xludf.DUMMYFUNCTION("""COMPUTED_VALUE"""),"LOPEZ JAIMES, VICENTE")</f>
        <v>LOPEZ JAIMES, VICENTE</v>
      </c>
      <c r="D615" t="str">
        <f>IFERROR(__xludf.DUMMYFUNCTION("""COMPUTED_VALUE"""),"Spanish and Literature 9")</f>
        <v>Spanish and Literature 9</v>
      </c>
      <c r="E615" s="3">
        <f>IFERROR(__xludf.DUMMYFUNCTION("""COMPUTED_VALUE"""),7.0)</f>
        <v>7</v>
      </c>
      <c r="F615" s="300">
        <v>1.0</v>
      </c>
      <c r="G615" s="300">
        <v>1.0</v>
      </c>
      <c r="H615" s="300">
        <v>1.0</v>
      </c>
      <c r="I615" s="300">
        <v>1.0</v>
      </c>
      <c r="J615" s="300">
        <v>1.0</v>
      </c>
      <c r="K615" s="300">
        <v>1.0</v>
      </c>
      <c r="L615" s="300">
        <v>1.0</v>
      </c>
      <c r="M615" s="300">
        <v>1.0</v>
      </c>
      <c r="N615" s="300">
        <v>8.0</v>
      </c>
      <c r="O615" s="300" t="s">
        <v>808</v>
      </c>
      <c r="P615" s="300">
        <v>7.0</v>
      </c>
    </row>
    <row r="616">
      <c r="A616">
        <f>IFERROR(__xludf.DUMMYFUNCTION("""COMPUTED_VALUE"""),9.0)</f>
        <v>9</v>
      </c>
      <c r="B616" s="406">
        <f>IFERROR(__xludf.DUMMYFUNCTION("""COMPUTED_VALUE"""),29136.0)</f>
        <v>29136</v>
      </c>
      <c r="C616" t="str">
        <f>IFERROR(__xludf.DUMMYFUNCTION("""COMPUTED_VALUE"""),"CHOPRA, HARSHUL")</f>
        <v>CHOPRA, HARSHUL</v>
      </c>
      <c r="D616" t="str">
        <f>IFERROR(__xludf.DUMMYFUNCTION("""COMPUTED_VALUE"""),"Spanish and Literature 9")</f>
        <v>Spanish and Literature 9</v>
      </c>
      <c r="E616" s="3">
        <f>IFERROR(__xludf.DUMMYFUNCTION("""COMPUTED_VALUE"""),7.0)</f>
        <v>7</v>
      </c>
      <c r="F616" s="300">
        <v>1.0</v>
      </c>
      <c r="G616" s="300">
        <v>1.0</v>
      </c>
      <c r="H616" s="300">
        <v>1.0</v>
      </c>
      <c r="I616" s="300">
        <v>1.0</v>
      </c>
      <c r="J616" s="300">
        <v>1.0</v>
      </c>
      <c r="K616" s="300">
        <v>1.0</v>
      </c>
      <c r="L616" s="300">
        <v>1.0</v>
      </c>
      <c r="M616" s="300">
        <v>1.0</v>
      </c>
      <c r="N616" s="300">
        <v>8.0</v>
      </c>
      <c r="O616" s="300" t="s">
        <v>808</v>
      </c>
      <c r="P616" s="300">
        <v>7.0</v>
      </c>
    </row>
    <row r="617">
      <c r="A617">
        <f>IFERROR(__xludf.DUMMYFUNCTION("""COMPUTED_VALUE"""),9.0)</f>
        <v>9</v>
      </c>
      <c r="B617" s="406">
        <f>IFERROR(__xludf.DUMMYFUNCTION("""COMPUTED_VALUE"""),28160.0)</f>
        <v>28160</v>
      </c>
      <c r="C617" t="str">
        <f>IFERROR(__xludf.DUMMYFUNCTION("""COMPUTED_VALUE"""),"ROJAS REYES, JERONIMO")</f>
        <v>ROJAS REYES, JERONIMO</v>
      </c>
      <c r="D617" t="str">
        <f>IFERROR(__xludf.DUMMYFUNCTION("""COMPUTED_VALUE"""),"Spanish and Literature 9")</f>
        <v>Spanish and Literature 9</v>
      </c>
      <c r="E617" s="3">
        <f>IFERROR(__xludf.DUMMYFUNCTION("""COMPUTED_VALUE"""),3.0)</f>
        <v>3</v>
      </c>
      <c r="F617" s="300">
        <v>1.0</v>
      </c>
      <c r="G617" s="300">
        <v>1.0</v>
      </c>
      <c r="H617" s="300">
        <v>1.0</v>
      </c>
      <c r="I617" s="300">
        <v>1.0</v>
      </c>
      <c r="J617" s="300">
        <v>1.0</v>
      </c>
      <c r="K617" s="300">
        <v>1.0</v>
      </c>
      <c r="L617" s="300">
        <v>1.0</v>
      </c>
      <c r="M617" s="300">
        <v>1.0</v>
      </c>
      <c r="N617" s="300">
        <v>8.0</v>
      </c>
      <c r="O617" s="300" t="s">
        <v>809</v>
      </c>
      <c r="P617" s="300">
        <v>7.0</v>
      </c>
    </row>
    <row r="618">
      <c r="A618">
        <f>IFERROR(__xludf.DUMMYFUNCTION("""COMPUTED_VALUE"""),9.0)</f>
        <v>9</v>
      </c>
      <c r="B618" s="406">
        <f>IFERROR(__xludf.DUMMYFUNCTION("""COMPUTED_VALUE"""),28046.0)</f>
        <v>28046</v>
      </c>
      <c r="C618" t="str">
        <f>IFERROR(__xludf.DUMMYFUNCTION("""COMPUTED_VALUE"""),"HOYOS SARAVIA, TOMAS")</f>
        <v>HOYOS SARAVIA, TOMAS</v>
      </c>
      <c r="D618" t="str">
        <f>IFERROR(__xludf.DUMMYFUNCTION("""COMPUTED_VALUE"""),"Spanish and Literature 9")</f>
        <v>Spanish and Literature 9</v>
      </c>
      <c r="E618" s="3">
        <f>IFERROR(__xludf.DUMMYFUNCTION("""COMPUTED_VALUE"""),1.0)</f>
        <v>1</v>
      </c>
      <c r="F618" s="300">
        <v>1.0</v>
      </c>
      <c r="G618" s="300">
        <v>1.0</v>
      </c>
      <c r="H618" s="300">
        <v>1.0</v>
      </c>
      <c r="I618" s="300">
        <v>1.0</v>
      </c>
      <c r="J618" s="300">
        <v>1.0</v>
      </c>
      <c r="K618" s="300">
        <v>1.0</v>
      </c>
      <c r="L618" s="300">
        <v>1.0</v>
      </c>
      <c r="M618" s="300">
        <v>1.0</v>
      </c>
      <c r="N618" s="300">
        <v>8.0</v>
      </c>
      <c r="O618" s="300" t="s">
        <v>814</v>
      </c>
      <c r="P618" s="300">
        <v>7.0</v>
      </c>
    </row>
    <row r="619">
      <c r="A619">
        <f>IFERROR(__xludf.DUMMYFUNCTION("""COMPUTED_VALUE"""),9.0)</f>
        <v>9</v>
      </c>
      <c r="B619" s="406">
        <f>IFERROR(__xludf.DUMMYFUNCTION("""COMPUTED_VALUE"""),29039.0)</f>
        <v>29039</v>
      </c>
      <c r="C619" t="str">
        <f>IFERROR(__xludf.DUMMYFUNCTION("""COMPUTED_VALUE"""),"ESPINOSA ABAD, GREGORIO")</f>
        <v>ESPINOSA ABAD, GREGORIO</v>
      </c>
      <c r="D619" t="str">
        <f>IFERROR(__xludf.DUMMYFUNCTION("""COMPUTED_VALUE"""),"Spanish and Literature 9")</f>
        <v>Spanish and Literature 9</v>
      </c>
      <c r="E619" s="3">
        <f>IFERROR(__xludf.DUMMYFUNCTION("""COMPUTED_VALUE"""),7.0)</f>
        <v>7</v>
      </c>
      <c r="F619" s="300">
        <v>1.0</v>
      </c>
      <c r="G619" s="300">
        <v>1.0</v>
      </c>
      <c r="H619" s="300">
        <v>1.0</v>
      </c>
      <c r="I619" s="300">
        <v>1.0</v>
      </c>
      <c r="J619" s="300">
        <v>1.0</v>
      </c>
      <c r="K619" s="300">
        <v>1.0</v>
      </c>
      <c r="L619" s="300">
        <v>1.0</v>
      </c>
      <c r="M619" s="300">
        <v>1.0</v>
      </c>
      <c r="N619" s="300">
        <v>8.0</v>
      </c>
      <c r="O619" s="300" t="s">
        <v>808</v>
      </c>
      <c r="P619" s="300">
        <v>7.0</v>
      </c>
    </row>
    <row r="620">
      <c r="A620">
        <f>IFERROR(__xludf.DUMMYFUNCTION("""COMPUTED_VALUE"""),9.0)</f>
        <v>9</v>
      </c>
      <c r="B620" s="406">
        <f>IFERROR(__xludf.DUMMYFUNCTION("""COMPUTED_VALUE"""),29116.0)</f>
        <v>29116</v>
      </c>
      <c r="C620" t="str">
        <f>IFERROR(__xludf.DUMMYFUNCTION("""COMPUTED_VALUE"""),"TOBAR MEJIA, CAMILO")</f>
        <v>TOBAR MEJIA, CAMILO</v>
      </c>
      <c r="D620" t="str">
        <f>IFERROR(__xludf.DUMMYFUNCTION("""COMPUTED_VALUE"""),"Spanish and Literature 9")</f>
        <v>Spanish and Literature 9</v>
      </c>
      <c r="E620" s="3">
        <f>IFERROR(__xludf.DUMMYFUNCTION("""COMPUTED_VALUE"""),4.0)</f>
        <v>4</v>
      </c>
      <c r="F620" s="300">
        <v>1.0</v>
      </c>
      <c r="G620" s="300">
        <v>1.0</v>
      </c>
      <c r="H620" s="300">
        <v>1.0</v>
      </c>
      <c r="I620" s="300">
        <v>1.0</v>
      </c>
      <c r="J620" s="300">
        <v>1.0</v>
      </c>
      <c r="K620" s="300">
        <v>1.0</v>
      </c>
      <c r="L620" s="300">
        <v>1.0</v>
      </c>
      <c r="M620" s="300">
        <v>1.0</v>
      </c>
      <c r="N620" s="300">
        <v>8.0</v>
      </c>
      <c r="O620" s="300" t="s">
        <v>813</v>
      </c>
      <c r="P620" s="300">
        <v>7.0</v>
      </c>
    </row>
    <row r="621">
      <c r="A621">
        <f>IFERROR(__xludf.DUMMYFUNCTION("""COMPUTED_VALUE"""),9.0)</f>
        <v>9</v>
      </c>
      <c r="B621" s="406">
        <f>IFERROR(__xludf.DUMMYFUNCTION("""COMPUTED_VALUE"""),29137.0)</f>
        <v>29137</v>
      </c>
      <c r="C621" t="str">
        <f>IFERROR(__xludf.DUMMYFUNCTION("""COMPUTED_VALUE"""),"OLARTE JARAMILLO, EMILIO")</f>
        <v>OLARTE JARAMILLO, EMILIO</v>
      </c>
      <c r="D621" t="str">
        <f>IFERROR(__xludf.DUMMYFUNCTION("""COMPUTED_VALUE"""),"Spanish and Literature 9")</f>
        <v>Spanish and Literature 9</v>
      </c>
      <c r="E621" s="3">
        <f>IFERROR(__xludf.DUMMYFUNCTION("""COMPUTED_VALUE"""),1.0)</f>
        <v>1</v>
      </c>
      <c r="F621" s="300">
        <v>1.0</v>
      </c>
      <c r="G621" s="300">
        <v>1.0</v>
      </c>
      <c r="H621" s="300">
        <v>1.0</v>
      </c>
      <c r="I621" s="300">
        <v>1.0</v>
      </c>
      <c r="J621" s="300">
        <v>1.0</v>
      </c>
      <c r="K621" s="300">
        <v>1.0</v>
      </c>
      <c r="L621" s="300">
        <v>1.0</v>
      </c>
      <c r="M621" s="300">
        <v>1.0</v>
      </c>
      <c r="N621" s="300">
        <v>8.0</v>
      </c>
      <c r="O621" s="300" t="s">
        <v>814</v>
      </c>
      <c r="P621" s="300">
        <v>7.0</v>
      </c>
    </row>
    <row r="622">
      <c r="A622">
        <f>IFERROR(__xludf.DUMMYFUNCTION("""COMPUTED_VALUE"""),9.0)</f>
        <v>9</v>
      </c>
      <c r="B622" s="406">
        <f>IFERROR(__xludf.DUMMYFUNCTION("""COMPUTED_VALUE"""),29172.0)</f>
        <v>29172</v>
      </c>
      <c r="C622" t="str">
        <f>IFERROR(__xludf.DUMMYFUNCTION("""COMPUTED_VALUE"""),"CESPEDES GARCIA, PABLO")</f>
        <v>CESPEDES GARCIA, PABLO</v>
      </c>
      <c r="D622" t="str">
        <f>IFERROR(__xludf.DUMMYFUNCTION("""COMPUTED_VALUE"""),"Spanish and Literature 9")</f>
        <v>Spanish and Literature 9</v>
      </c>
      <c r="E622" s="3">
        <f>IFERROR(__xludf.DUMMYFUNCTION("""COMPUTED_VALUE"""),8.0)</f>
        <v>8</v>
      </c>
      <c r="F622" s="300">
        <v>1.0</v>
      </c>
      <c r="G622" s="300">
        <v>1.0</v>
      </c>
      <c r="H622" s="300">
        <v>1.0</v>
      </c>
      <c r="I622" s="300">
        <v>1.0</v>
      </c>
      <c r="J622" s="300">
        <v>1.0</v>
      </c>
      <c r="K622" s="300">
        <v>1.0</v>
      </c>
      <c r="L622" s="300">
        <v>1.0</v>
      </c>
      <c r="M622" s="300">
        <v>1.0</v>
      </c>
      <c r="N622" s="300">
        <v>8.0</v>
      </c>
      <c r="O622" s="300" t="s">
        <v>810</v>
      </c>
      <c r="P622" s="300">
        <v>7.0</v>
      </c>
    </row>
    <row r="623">
      <c r="A623">
        <f>IFERROR(__xludf.DUMMYFUNCTION("""COMPUTED_VALUE"""),9.0)</f>
        <v>9</v>
      </c>
      <c r="B623" s="406">
        <f>IFERROR(__xludf.DUMMYFUNCTION("""COMPUTED_VALUE"""),29020.0)</f>
        <v>29020</v>
      </c>
      <c r="C623" t="str">
        <f>IFERROR(__xludf.DUMMYFUNCTION("""COMPUTED_VALUE"""),"BETANCOURT QUINTERO, LUCAS")</f>
        <v>BETANCOURT QUINTERO, LUCAS</v>
      </c>
      <c r="D623" t="str">
        <f>IFERROR(__xludf.DUMMYFUNCTION("""COMPUTED_VALUE"""),"Spanish and Literature 9")</f>
        <v>Spanish and Literature 9</v>
      </c>
      <c r="E623" s="3">
        <f>IFERROR(__xludf.DUMMYFUNCTION("""COMPUTED_VALUE"""),5.0)</f>
        <v>5</v>
      </c>
      <c r="F623" s="300">
        <v>1.0</v>
      </c>
      <c r="G623" s="300">
        <v>1.0</v>
      </c>
      <c r="H623" s="300">
        <v>1.0</v>
      </c>
      <c r="I623" s="300">
        <v>1.0</v>
      </c>
      <c r="J623" s="300">
        <v>1.0</v>
      </c>
      <c r="K623" s="300">
        <v>1.0</v>
      </c>
      <c r="L623" s="300">
        <v>1.0</v>
      </c>
      <c r="M623" s="300">
        <v>1.0</v>
      </c>
      <c r="N623" s="300">
        <v>8.0</v>
      </c>
      <c r="O623" s="300" t="s">
        <v>812</v>
      </c>
      <c r="P623" s="300">
        <v>7.0</v>
      </c>
    </row>
    <row r="624">
      <c r="A624">
        <f>IFERROR(__xludf.DUMMYFUNCTION("""COMPUTED_VALUE"""),9.0)</f>
        <v>9</v>
      </c>
      <c r="B624" s="406">
        <f>IFERROR(__xludf.DUMMYFUNCTION("""COMPUTED_VALUE"""),29069.0)</f>
        <v>29069</v>
      </c>
      <c r="C624" t="str">
        <f>IFERROR(__xludf.DUMMYFUNCTION("""COMPUTED_VALUE"""),"LUNA ALZATE, AMALIA")</f>
        <v>LUNA ALZATE, AMALIA</v>
      </c>
      <c r="D624" t="str">
        <f>IFERROR(__xludf.DUMMYFUNCTION("""COMPUTED_VALUE"""),"Spanish and Literature 9")</f>
        <v>Spanish and Literature 9</v>
      </c>
      <c r="E624" s="3">
        <f>IFERROR(__xludf.DUMMYFUNCTION("""COMPUTED_VALUE"""),8.0)</f>
        <v>8</v>
      </c>
      <c r="F624" s="300">
        <v>1.0</v>
      </c>
      <c r="G624" s="300">
        <v>1.0</v>
      </c>
      <c r="H624" s="300">
        <v>1.0</v>
      </c>
      <c r="I624" s="300">
        <v>1.0</v>
      </c>
      <c r="J624" s="300">
        <v>1.0</v>
      </c>
      <c r="K624" s="300">
        <v>1.0</v>
      </c>
      <c r="L624" s="300">
        <v>1.0</v>
      </c>
      <c r="M624" s="300">
        <v>1.0</v>
      </c>
      <c r="N624" s="300">
        <v>8.0</v>
      </c>
      <c r="O624" s="300" t="s">
        <v>810</v>
      </c>
      <c r="P624" s="300">
        <v>7.0</v>
      </c>
    </row>
    <row r="625">
      <c r="A625">
        <f>IFERROR(__xludf.DUMMYFUNCTION("""COMPUTED_VALUE"""),9.0)</f>
        <v>9</v>
      </c>
      <c r="B625" s="406">
        <f>IFERROR(__xludf.DUMMYFUNCTION("""COMPUTED_VALUE"""),29160.0)</f>
        <v>29160</v>
      </c>
      <c r="C625" t="str">
        <f>IFERROR(__xludf.DUMMYFUNCTION("""COMPUTED_VALUE"""),"BARRIOS CASTILLO, NICOLAS GUILLERMO")</f>
        <v>BARRIOS CASTILLO, NICOLAS GUILLERMO</v>
      </c>
      <c r="D625" t="str">
        <f>IFERROR(__xludf.DUMMYFUNCTION("""COMPUTED_VALUE"""),"Spanish and Literature 9")</f>
        <v>Spanish and Literature 9</v>
      </c>
      <c r="E625" s="3">
        <f>IFERROR(__xludf.DUMMYFUNCTION("""COMPUTED_VALUE"""),4.0)</f>
        <v>4</v>
      </c>
      <c r="F625" s="300">
        <v>1.0</v>
      </c>
      <c r="G625" s="300">
        <v>1.0</v>
      </c>
      <c r="H625" s="300">
        <v>1.0</v>
      </c>
      <c r="I625" s="300">
        <v>1.0</v>
      </c>
      <c r="J625" s="300">
        <v>1.0</v>
      </c>
      <c r="K625" s="300">
        <v>1.0</v>
      </c>
      <c r="L625" s="300">
        <v>1.0</v>
      </c>
      <c r="M625" s="300">
        <v>1.0</v>
      </c>
      <c r="N625" s="300">
        <v>8.0</v>
      </c>
      <c r="O625" s="300" t="s">
        <v>813</v>
      </c>
      <c r="P625" s="300">
        <v>7.0</v>
      </c>
    </row>
    <row r="626">
      <c r="A626">
        <f>IFERROR(__xludf.DUMMYFUNCTION("""COMPUTED_VALUE"""),9.0)</f>
        <v>9</v>
      </c>
      <c r="B626" s="406">
        <f>IFERROR(__xludf.DUMMYFUNCTION("""COMPUTED_VALUE"""),29155.0)</f>
        <v>29155</v>
      </c>
      <c r="C626" t="str">
        <f>IFERROR(__xludf.DUMMYFUNCTION("""COMPUTED_VALUE"""),"FERNANDEZ CALDERON, HANNA")</f>
        <v>FERNANDEZ CALDERON, HANNA</v>
      </c>
      <c r="D626" t="str">
        <f>IFERROR(__xludf.DUMMYFUNCTION("""COMPUTED_VALUE"""),"Spanish and Literature 9")</f>
        <v>Spanish and Literature 9</v>
      </c>
      <c r="E626" s="3">
        <f>IFERROR(__xludf.DUMMYFUNCTION("""COMPUTED_VALUE"""),6.0)</f>
        <v>6</v>
      </c>
      <c r="F626" s="300">
        <v>1.0</v>
      </c>
      <c r="G626" s="300">
        <v>1.0</v>
      </c>
      <c r="H626" s="300">
        <v>1.0</v>
      </c>
      <c r="I626" s="300">
        <v>1.0</v>
      </c>
      <c r="J626" s="300">
        <v>1.0</v>
      </c>
      <c r="K626" s="300">
        <v>1.0</v>
      </c>
      <c r="L626" s="300">
        <v>1.0</v>
      </c>
      <c r="M626" s="300">
        <v>1.0</v>
      </c>
      <c r="N626" s="300">
        <v>8.0</v>
      </c>
      <c r="O626" s="300" t="s">
        <v>811</v>
      </c>
      <c r="P626" s="300">
        <v>7.0</v>
      </c>
    </row>
    <row r="627">
      <c r="A627">
        <f>IFERROR(__xludf.DUMMYFUNCTION("""COMPUTED_VALUE"""),9.0)</f>
        <v>9</v>
      </c>
      <c r="B627" s="406">
        <f>IFERROR(__xludf.DUMMYFUNCTION("""COMPUTED_VALUE"""),29153.0)</f>
        <v>29153</v>
      </c>
      <c r="C627" t="str">
        <f>IFERROR(__xludf.DUMMYFUNCTION("""COMPUTED_VALUE"""),"MISERENDINO MUÑOZ, GABRIEL")</f>
        <v>MISERENDINO MUÑOZ, GABRIEL</v>
      </c>
      <c r="D627" t="str">
        <f>IFERROR(__xludf.DUMMYFUNCTION("""COMPUTED_VALUE"""),"Spanish and Literature 9")</f>
        <v>Spanish and Literature 9</v>
      </c>
      <c r="E627" s="3">
        <f>IFERROR(__xludf.DUMMYFUNCTION("""COMPUTED_VALUE"""),4.0)</f>
        <v>4</v>
      </c>
      <c r="F627" s="300">
        <v>1.0</v>
      </c>
      <c r="G627" s="300">
        <v>1.0</v>
      </c>
      <c r="H627" s="300">
        <v>1.0</v>
      </c>
      <c r="I627" s="300">
        <v>1.0</v>
      </c>
      <c r="J627" s="300">
        <v>1.0</v>
      </c>
      <c r="K627" s="300">
        <v>1.0</v>
      </c>
      <c r="L627" s="300">
        <v>1.0</v>
      </c>
      <c r="M627" s="300">
        <v>1.0</v>
      </c>
      <c r="N627" s="300">
        <v>8.0</v>
      </c>
      <c r="O627" s="300" t="s">
        <v>813</v>
      </c>
      <c r="P627" s="300">
        <v>7.0</v>
      </c>
    </row>
    <row r="628">
      <c r="A628">
        <f>IFERROR(__xludf.DUMMYFUNCTION("""COMPUTED_VALUE"""),9.0)</f>
        <v>9</v>
      </c>
      <c r="B628" s="406">
        <f>IFERROR(__xludf.DUMMYFUNCTION("""COMPUTED_VALUE"""),29030.0)</f>
        <v>29030</v>
      </c>
      <c r="C628" t="str">
        <f>IFERROR(__xludf.DUMMYFUNCTION("""COMPUTED_VALUE"""),"COCK ECHEVERRI, JULIETA")</f>
        <v>COCK ECHEVERRI, JULIETA</v>
      </c>
      <c r="D628" t="str">
        <f>IFERROR(__xludf.DUMMYFUNCTION("""COMPUTED_VALUE"""),"Spanish and Literature 9")</f>
        <v>Spanish and Literature 9</v>
      </c>
      <c r="E628" s="3">
        <f>IFERROR(__xludf.DUMMYFUNCTION("""COMPUTED_VALUE"""),8.0)</f>
        <v>8</v>
      </c>
      <c r="F628" s="300">
        <v>1.0</v>
      </c>
      <c r="G628" s="300">
        <v>1.0</v>
      </c>
      <c r="H628" s="300">
        <v>1.0</v>
      </c>
      <c r="I628" s="300">
        <v>1.0</v>
      </c>
      <c r="J628" s="300">
        <v>1.0</v>
      </c>
      <c r="K628" s="300">
        <v>1.0</v>
      </c>
      <c r="L628" s="300">
        <v>1.0</v>
      </c>
      <c r="M628" s="300">
        <v>1.0</v>
      </c>
      <c r="N628" s="300">
        <v>8.0</v>
      </c>
      <c r="O628" s="300" t="s">
        <v>810</v>
      </c>
      <c r="P628" s="300">
        <v>7.0</v>
      </c>
    </row>
    <row r="629">
      <c r="A629">
        <f>IFERROR(__xludf.DUMMYFUNCTION("""COMPUTED_VALUE"""),9.0)</f>
        <v>9</v>
      </c>
      <c r="B629" s="406">
        <f>IFERROR(__xludf.DUMMYFUNCTION("""COMPUTED_VALUE"""),29108.0)</f>
        <v>29108</v>
      </c>
      <c r="C629" t="str">
        <f>IFERROR(__xludf.DUMMYFUNCTION("""COMPUTED_VALUE"""),"SCHOBER OCAMPO, DANIEL")</f>
        <v>SCHOBER OCAMPO, DANIEL</v>
      </c>
      <c r="D629" t="str">
        <f>IFERROR(__xludf.DUMMYFUNCTION("""COMPUTED_VALUE"""),"Spanish and Literature 9")</f>
        <v>Spanish and Literature 9</v>
      </c>
      <c r="E629" s="3">
        <f>IFERROR(__xludf.DUMMYFUNCTION("""COMPUTED_VALUE"""),4.0)</f>
        <v>4</v>
      </c>
      <c r="F629" s="300">
        <v>1.0</v>
      </c>
      <c r="G629" s="300">
        <v>1.0</v>
      </c>
      <c r="H629" s="300">
        <v>1.0</v>
      </c>
      <c r="I629" s="300">
        <v>1.0</v>
      </c>
      <c r="J629" s="300">
        <v>1.0</v>
      </c>
      <c r="K629" s="300">
        <v>1.0</v>
      </c>
      <c r="L629" s="300">
        <v>1.0</v>
      </c>
      <c r="M629" s="300">
        <v>1.0</v>
      </c>
      <c r="N629" s="300">
        <v>8.0</v>
      </c>
      <c r="O629" s="300" t="s">
        <v>813</v>
      </c>
      <c r="P629" s="300">
        <v>7.0</v>
      </c>
    </row>
    <row r="630">
      <c r="A630">
        <f>IFERROR(__xludf.DUMMYFUNCTION("""COMPUTED_VALUE"""),9.0)</f>
        <v>9</v>
      </c>
      <c r="B630" s="406">
        <f>IFERROR(__xludf.DUMMYFUNCTION("""COMPUTED_VALUE"""),29062.0)</f>
        <v>29062</v>
      </c>
      <c r="C630" t="str">
        <f>IFERROR(__xludf.DUMMYFUNCTION("""COMPUTED_VALUE"""),"KIM LEE, SAE YOON LUCAS")</f>
        <v>KIM LEE, SAE YOON LUCAS</v>
      </c>
      <c r="D630" t="str">
        <f>IFERROR(__xludf.DUMMYFUNCTION("""COMPUTED_VALUE"""),"Spanish and Literature 9")</f>
        <v>Spanish and Literature 9</v>
      </c>
      <c r="E630" s="3">
        <f>IFERROR(__xludf.DUMMYFUNCTION("""COMPUTED_VALUE"""),5.0)</f>
        <v>5</v>
      </c>
      <c r="F630" s="300">
        <v>1.0</v>
      </c>
      <c r="G630" s="300">
        <v>1.0</v>
      </c>
      <c r="H630" s="300">
        <v>1.0</v>
      </c>
      <c r="I630" s="300">
        <v>1.0</v>
      </c>
      <c r="J630" s="300">
        <v>1.0</v>
      </c>
      <c r="K630" s="300">
        <v>1.0</v>
      </c>
      <c r="L630" s="300">
        <v>1.0</v>
      </c>
      <c r="M630" s="300">
        <v>1.0</v>
      </c>
      <c r="N630" s="300">
        <v>8.0</v>
      </c>
      <c r="O630" s="300" t="s">
        <v>812</v>
      </c>
      <c r="P630" s="300">
        <v>7.0</v>
      </c>
    </row>
    <row r="631">
      <c r="A631">
        <f>IFERROR(__xludf.DUMMYFUNCTION("""COMPUTED_VALUE"""),9.0)</f>
        <v>9</v>
      </c>
      <c r="B631" s="406">
        <f>IFERROR(__xludf.DUMMYFUNCTION("""COMPUTED_VALUE"""),29115.0)</f>
        <v>29115</v>
      </c>
      <c r="C631" t="str">
        <f>IFERROR(__xludf.DUMMYFUNCTION("""COMPUTED_VALUE"""),"TIRADO SANIN, ELENA")</f>
        <v>TIRADO SANIN, ELENA</v>
      </c>
      <c r="D631" t="str">
        <f>IFERROR(__xludf.DUMMYFUNCTION("""COMPUTED_VALUE"""),"Spanish and Literature 9")</f>
        <v>Spanish and Literature 9</v>
      </c>
      <c r="E631" s="3">
        <f>IFERROR(__xludf.DUMMYFUNCTION("""COMPUTED_VALUE"""),8.0)</f>
        <v>8</v>
      </c>
      <c r="F631" s="300">
        <v>1.0</v>
      </c>
      <c r="G631" s="300">
        <v>1.0</v>
      </c>
      <c r="H631" s="300">
        <v>1.0</v>
      </c>
      <c r="I631" s="300">
        <v>1.0</v>
      </c>
      <c r="J631" s="300">
        <v>1.0</v>
      </c>
      <c r="K631" s="300">
        <v>1.0</v>
      </c>
      <c r="L631" s="300">
        <v>1.0</v>
      </c>
      <c r="M631" s="300">
        <v>1.0</v>
      </c>
      <c r="N631" s="300">
        <v>8.0</v>
      </c>
      <c r="O631" s="300" t="s">
        <v>810</v>
      </c>
      <c r="P631" s="300">
        <v>7.0</v>
      </c>
    </row>
    <row r="632">
      <c r="A632">
        <f>IFERROR(__xludf.DUMMYFUNCTION("""COMPUTED_VALUE"""),9.0)</f>
        <v>9</v>
      </c>
      <c r="B632" s="406">
        <f>IFERROR(__xludf.DUMMYFUNCTION("""COMPUTED_VALUE"""),29018.0)</f>
        <v>29018</v>
      </c>
      <c r="C632" t="str">
        <f>IFERROR(__xludf.DUMMYFUNCTION("""COMPUTED_VALUE"""),"BAENA GIRALDO, VIOLETA")</f>
        <v>BAENA GIRALDO, VIOLETA</v>
      </c>
      <c r="D632" t="str">
        <f>IFERROR(__xludf.DUMMYFUNCTION("""COMPUTED_VALUE"""),"Spanish and Literature 9")</f>
        <v>Spanish and Literature 9</v>
      </c>
      <c r="E632" s="3">
        <f>IFERROR(__xludf.DUMMYFUNCTION("""COMPUTED_VALUE"""),7.0)</f>
        <v>7</v>
      </c>
      <c r="F632" s="300">
        <v>1.0</v>
      </c>
      <c r="G632" s="300">
        <v>1.0</v>
      </c>
      <c r="H632" s="300">
        <v>1.0</v>
      </c>
      <c r="I632" s="300">
        <v>1.0</v>
      </c>
      <c r="J632" s="300">
        <v>1.0</v>
      </c>
      <c r="K632" s="300">
        <v>1.0</v>
      </c>
      <c r="L632" s="300">
        <v>1.0</v>
      </c>
      <c r="M632" s="300">
        <v>1.0</v>
      </c>
      <c r="N632" s="300">
        <v>8.0</v>
      </c>
      <c r="O632" s="300" t="s">
        <v>808</v>
      </c>
      <c r="P632" s="300">
        <v>7.0</v>
      </c>
    </row>
    <row r="633">
      <c r="A633">
        <f>IFERROR(__xludf.DUMMYFUNCTION("""COMPUTED_VALUE"""),9.0)</f>
        <v>9</v>
      </c>
      <c r="B633" s="406">
        <f>IFERROR(__xludf.DUMMYFUNCTION("""COMPUTED_VALUE"""),29122.0)</f>
        <v>29122</v>
      </c>
      <c r="C633" t="str">
        <f>IFERROR(__xludf.DUMMYFUNCTION("""COMPUTED_VALUE"""),"URIBE RODRIGUEZ, MARIA LUISA")</f>
        <v>URIBE RODRIGUEZ, MARIA LUISA</v>
      </c>
      <c r="D633" t="str">
        <f>IFERROR(__xludf.DUMMYFUNCTION("""COMPUTED_VALUE"""),"Spanish and Literature 9")</f>
        <v>Spanish and Literature 9</v>
      </c>
      <c r="E633" s="3">
        <f>IFERROR(__xludf.DUMMYFUNCTION("""COMPUTED_VALUE"""),4.0)</f>
        <v>4</v>
      </c>
      <c r="F633" s="300">
        <v>1.0</v>
      </c>
      <c r="G633" s="300">
        <v>1.0</v>
      </c>
      <c r="H633" s="300">
        <v>1.0</v>
      </c>
      <c r="I633" s="300">
        <v>1.0</v>
      </c>
      <c r="J633" s="300">
        <v>1.0</v>
      </c>
      <c r="K633" s="300">
        <v>1.0</v>
      </c>
      <c r="L633" s="300">
        <v>1.0</v>
      </c>
      <c r="M633" s="300">
        <v>1.0</v>
      </c>
      <c r="N633" s="300">
        <v>8.0</v>
      </c>
      <c r="O633" s="300" t="s">
        <v>813</v>
      </c>
      <c r="P633" s="300">
        <v>7.0</v>
      </c>
    </row>
    <row r="634">
      <c r="A634">
        <f>IFERROR(__xludf.DUMMYFUNCTION("""COMPUTED_VALUE"""),9.0)</f>
        <v>9</v>
      </c>
      <c r="B634" s="406">
        <f>IFERROR(__xludf.DUMMYFUNCTION("""COMPUTED_VALUE"""),29128.0)</f>
        <v>29128</v>
      </c>
      <c r="C634" t="str">
        <f>IFERROR(__xludf.DUMMYFUNCTION("""COMPUTED_VALUE"""),"VELASQUEZ JARAMILLO, MARIA")</f>
        <v>VELASQUEZ JARAMILLO, MARIA</v>
      </c>
      <c r="D634" t="str">
        <f>IFERROR(__xludf.DUMMYFUNCTION("""COMPUTED_VALUE"""),"Spanish and Literature 9")</f>
        <v>Spanish and Literature 9</v>
      </c>
      <c r="E634" s="3">
        <f>IFERROR(__xludf.DUMMYFUNCTION("""COMPUTED_VALUE"""),3.0)</f>
        <v>3</v>
      </c>
      <c r="F634" s="300">
        <v>1.0</v>
      </c>
      <c r="G634" s="300">
        <v>1.0</v>
      </c>
      <c r="H634" s="300">
        <v>1.0</v>
      </c>
      <c r="I634" s="300">
        <v>1.0</v>
      </c>
      <c r="J634" s="300">
        <v>1.0</v>
      </c>
      <c r="K634" s="300">
        <v>1.0</v>
      </c>
      <c r="L634" s="300">
        <v>1.0</v>
      </c>
      <c r="M634" s="300">
        <v>1.0</v>
      </c>
      <c r="N634" s="300">
        <v>8.0</v>
      </c>
      <c r="O634" s="300" t="s">
        <v>809</v>
      </c>
      <c r="P634" s="300">
        <v>7.0</v>
      </c>
    </row>
    <row r="635">
      <c r="A635">
        <f>IFERROR(__xludf.DUMMYFUNCTION("""COMPUTED_VALUE"""),9.0)</f>
        <v>9</v>
      </c>
      <c r="B635" s="406">
        <f>IFERROR(__xludf.DUMMYFUNCTION("""COMPUTED_VALUE"""),29049.0)</f>
        <v>29049</v>
      </c>
      <c r="C635" t="str">
        <f>IFERROR(__xludf.DUMMYFUNCTION("""COMPUTED_VALUE"""),"HINESTROSA SIERRA, MIGUEL")</f>
        <v>HINESTROSA SIERRA, MIGUEL</v>
      </c>
      <c r="D635" t="str">
        <f>IFERROR(__xludf.DUMMYFUNCTION("""COMPUTED_VALUE"""),"Spanish and Literature 9")</f>
        <v>Spanish and Literature 9</v>
      </c>
      <c r="E635" s="3">
        <f>IFERROR(__xludf.DUMMYFUNCTION("""COMPUTED_VALUE"""),1.0)</f>
        <v>1</v>
      </c>
      <c r="F635" s="300">
        <v>1.0</v>
      </c>
      <c r="G635" s="300">
        <v>1.0</v>
      </c>
      <c r="H635" s="300">
        <v>1.0</v>
      </c>
      <c r="I635" s="300">
        <v>1.0</v>
      </c>
      <c r="J635" s="300">
        <v>1.0</v>
      </c>
      <c r="K635" s="300">
        <v>1.0</v>
      </c>
      <c r="L635" s="300">
        <v>1.0</v>
      </c>
      <c r="M635" s="300">
        <v>1.0</v>
      </c>
      <c r="N635" s="300">
        <v>8.0</v>
      </c>
      <c r="O635" s="300" t="s">
        <v>814</v>
      </c>
      <c r="P635" s="300">
        <v>7.0</v>
      </c>
    </row>
    <row r="636">
      <c r="A636">
        <f>IFERROR(__xludf.DUMMYFUNCTION("""COMPUTED_VALUE"""),9.0)</f>
        <v>9</v>
      </c>
      <c r="B636" s="406">
        <f>IFERROR(__xludf.DUMMYFUNCTION("""COMPUTED_VALUE"""),29118.0)</f>
        <v>29118</v>
      </c>
      <c r="C636" t="str">
        <f>IFERROR(__xludf.DUMMYFUNCTION("""COMPUTED_VALUE"""),"TRUJILLO RUIZ, SAMUEL")</f>
        <v>TRUJILLO RUIZ, SAMUEL</v>
      </c>
      <c r="D636" t="str">
        <f>IFERROR(__xludf.DUMMYFUNCTION("""COMPUTED_VALUE"""),"Spanish and Literature 9")</f>
        <v>Spanish and Literature 9</v>
      </c>
      <c r="E636" s="3">
        <f>IFERROR(__xludf.DUMMYFUNCTION("""COMPUTED_VALUE"""),1.0)</f>
        <v>1</v>
      </c>
      <c r="F636" s="300">
        <v>1.0</v>
      </c>
      <c r="G636" s="300">
        <v>1.0</v>
      </c>
      <c r="H636" s="300">
        <v>1.0</v>
      </c>
      <c r="I636" s="300">
        <v>1.0</v>
      </c>
      <c r="J636" s="300">
        <v>1.0</v>
      </c>
      <c r="K636" s="300">
        <v>1.0</v>
      </c>
      <c r="L636" s="300">
        <v>1.0</v>
      </c>
      <c r="M636" s="300">
        <v>1.0</v>
      </c>
      <c r="N636" s="300">
        <v>8.0</v>
      </c>
      <c r="O636" s="300" t="s">
        <v>814</v>
      </c>
      <c r="P636" s="300">
        <v>7.0</v>
      </c>
    </row>
    <row r="637">
      <c r="A637">
        <f>IFERROR(__xludf.DUMMYFUNCTION("""COMPUTED_VALUE"""),9.0)</f>
        <v>9</v>
      </c>
      <c r="B637" s="406">
        <f>IFERROR(__xludf.DUMMYFUNCTION("""COMPUTED_VALUE"""),29096.0)</f>
        <v>29096</v>
      </c>
      <c r="C637" t="str">
        <f>IFERROR(__xludf.DUMMYFUNCTION("""COMPUTED_VALUE"""),"RAMIREZ PELAEZ, ANTONIA")</f>
        <v>RAMIREZ PELAEZ, ANTONIA</v>
      </c>
      <c r="D637" t="str">
        <f>IFERROR(__xludf.DUMMYFUNCTION("""COMPUTED_VALUE"""),"Spanish and Literature 9")</f>
        <v>Spanish and Literature 9</v>
      </c>
      <c r="E637" s="3">
        <f>IFERROR(__xludf.DUMMYFUNCTION("""COMPUTED_VALUE"""),5.0)</f>
        <v>5</v>
      </c>
      <c r="F637" s="300">
        <v>1.0</v>
      </c>
      <c r="G637" s="300">
        <v>1.0</v>
      </c>
      <c r="H637" s="300">
        <v>1.0</v>
      </c>
      <c r="I637" s="300">
        <v>1.0</v>
      </c>
      <c r="J637" s="300">
        <v>1.0</v>
      </c>
      <c r="K637" s="300">
        <v>1.0</v>
      </c>
      <c r="L637" s="300">
        <v>1.0</v>
      </c>
      <c r="M637" s="300">
        <v>1.0</v>
      </c>
      <c r="N637" s="300">
        <v>8.0</v>
      </c>
      <c r="O637" s="300" t="s">
        <v>812</v>
      </c>
      <c r="P637" s="300">
        <v>7.0</v>
      </c>
    </row>
    <row r="638">
      <c r="A638">
        <f>IFERROR(__xludf.DUMMYFUNCTION("""COMPUTED_VALUE"""),9.0)</f>
        <v>9</v>
      </c>
      <c r="B638" s="406">
        <f>IFERROR(__xludf.DUMMYFUNCTION("""COMPUTED_VALUE"""),29119.0)</f>
        <v>29119</v>
      </c>
      <c r="C638" t="str">
        <f>IFERROR(__xludf.DUMMYFUNCTION("""COMPUTED_VALUE"""),"TRUJILLO RUIZ, SARA")</f>
        <v>TRUJILLO RUIZ, SARA</v>
      </c>
      <c r="D638" t="str">
        <f>IFERROR(__xludf.DUMMYFUNCTION("""COMPUTED_VALUE"""),"Spanish and Literature 9")</f>
        <v>Spanish and Literature 9</v>
      </c>
      <c r="E638" s="3">
        <f>IFERROR(__xludf.DUMMYFUNCTION("""COMPUTED_VALUE"""),8.0)</f>
        <v>8</v>
      </c>
      <c r="F638" s="300">
        <v>1.0</v>
      </c>
      <c r="G638" s="300">
        <v>1.0</v>
      </c>
      <c r="H638" s="300">
        <v>1.0</v>
      </c>
      <c r="I638" s="300">
        <v>1.0</v>
      </c>
      <c r="J638" s="300">
        <v>1.0</v>
      </c>
      <c r="K638" s="300">
        <v>1.0</v>
      </c>
      <c r="L638" s="300">
        <v>1.0</v>
      </c>
      <c r="M638" s="300">
        <v>1.0</v>
      </c>
      <c r="N638" s="300">
        <v>8.0</v>
      </c>
      <c r="O638" s="300" t="s">
        <v>810</v>
      </c>
      <c r="P638" s="300">
        <v>7.0</v>
      </c>
    </row>
    <row r="639">
      <c r="A639">
        <f>IFERROR(__xludf.DUMMYFUNCTION("""COMPUTED_VALUE"""),9.0)</f>
        <v>9</v>
      </c>
      <c r="B639" s="406">
        <f>IFERROR(__xludf.DUMMYFUNCTION("""COMPUTED_VALUE"""),29097.0)</f>
        <v>29097</v>
      </c>
      <c r="C639" t="str">
        <f>IFERROR(__xludf.DUMMYFUNCTION("""COMPUTED_VALUE"""),"RAMIREZ PELAEZ, ELENA")</f>
        <v>RAMIREZ PELAEZ, ELENA</v>
      </c>
      <c r="D639" t="str">
        <f>IFERROR(__xludf.DUMMYFUNCTION("""COMPUTED_VALUE"""),"Spanish and Literature 9")</f>
        <v>Spanish and Literature 9</v>
      </c>
      <c r="E639" s="3">
        <f>IFERROR(__xludf.DUMMYFUNCTION("""COMPUTED_VALUE"""),4.0)</f>
        <v>4</v>
      </c>
      <c r="F639" s="300">
        <v>1.0</v>
      </c>
      <c r="G639" s="300">
        <v>1.0</v>
      </c>
      <c r="H639" s="300">
        <v>1.0</v>
      </c>
      <c r="I639" s="300">
        <v>1.0</v>
      </c>
      <c r="J639" s="300">
        <v>1.0</v>
      </c>
      <c r="K639" s="300">
        <v>1.0</v>
      </c>
      <c r="L639" s="300">
        <v>1.0</v>
      </c>
      <c r="M639" s="300">
        <v>1.0</v>
      </c>
      <c r="N639" s="300">
        <v>8.0</v>
      </c>
      <c r="O639" s="300" t="s">
        <v>813</v>
      </c>
      <c r="P639" s="300">
        <v>7.0</v>
      </c>
    </row>
    <row r="640">
      <c r="A640">
        <f>IFERROR(__xludf.DUMMYFUNCTION("""COMPUTED_VALUE"""),9.0)</f>
        <v>9</v>
      </c>
      <c r="B640" s="406">
        <f>IFERROR(__xludf.DUMMYFUNCTION("""COMPUTED_VALUE"""),29169.0)</f>
        <v>29169</v>
      </c>
      <c r="C640" t="str">
        <f>IFERROR(__xludf.DUMMYFUNCTION("""COMPUTED_VALUE"""),"REPETTO LARROSA, FAUSTINO")</f>
        <v>REPETTO LARROSA, FAUSTINO</v>
      </c>
      <c r="D640" t="str">
        <f>IFERROR(__xludf.DUMMYFUNCTION("""COMPUTED_VALUE"""),"Spanish and Literature 9")</f>
        <v>Spanish and Literature 9</v>
      </c>
      <c r="E640" s="3">
        <f>IFERROR(__xludf.DUMMYFUNCTION("""COMPUTED_VALUE"""),6.0)</f>
        <v>6</v>
      </c>
      <c r="F640" s="300">
        <v>1.0</v>
      </c>
      <c r="G640" s="300">
        <v>1.0</v>
      </c>
      <c r="H640" s="300">
        <v>1.0</v>
      </c>
      <c r="I640" s="300">
        <v>1.0</v>
      </c>
      <c r="J640" s="300">
        <v>1.0</v>
      </c>
      <c r="K640" s="300">
        <v>1.0</v>
      </c>
      <c r="L640" s="300">
        <v>1.0</v>
      </c>
      <c r="M640" s="300">
        <v>1.0</v>
      </c>
      <c r="N640" s="300">
        <v>8.0</v>
      </c>
      <c r="O640" s="300" t="s">
        <v>811</v>
      </c>
      <c r="P640" s="300">
        <v>7.0</v>
      </c>
    </row>
    <row r="641">
      <c r="A641">
        <f>IFERROR(__xludf.DUMMYFUNCTION("""COMPUTED_VALUE"""),9.0)</f>
        <v>9</v>
      </c>
      <c r="B641" s="406">
        <f>IFERROR(__xludf.DUMMYFUNCTION("""COMPUTED_VALUE"""),29156.0)</f>
        <v>29156</v>
      </c>
      <c r="C641" t="str">
        <f>IFERROR(__xludf.DUMMYFUNCTION("""COMPUTED_VALUE"""),"FERNANDEZ CALDERON, TAMARA")</f>
        <v>FERNANDEZ CALDERON, TAMARA</v>
      </c>
      <c r="D641" t="str">
        <f>IFERROR(__xludf.DUMMYFUNCTION("""COMPUTED_VALUE"""),"Spanish and Literature 9")</f>
        <v>Spanish and Literature 9</v>
      </c>
      <c r="E641" s="3">
        <f>IFERROR(__xludf.DUMMYFUNCTION("""COMPUTED_VALUE"""),5.0)</f>
        <v>5</v>
      </c>
      <c r="F641" s="300">
        <v>1.0</v>
      </c>
      <c r="G641" s="300">
        <v>1.0</v>
      </c>
      <c r="H641" s="300">
        <v>1.0</v>
      </c>
      <c r="I641" s="300">
        <v>1.0</v>
      </c>
      <c r="J641" s="300">
        <v>1.0</v>
      </c>
      <c r="K641" s="300">
        <v>1.0</v>
      </c>
      <c r="L641" s="300">
        <v>1.0</v>
      </c>
      <c r="M641" s="300">
        <v>1.0</v>
      </c>
      <c r="N641" s="300">
        <v>8.0</v>
      </c>
      <c r="O641" s="300" t="s">
        <v>812</v>
      </c>
      <c r="P641" s="300">
        <v>7.0</v>
      </c>
    </row>
    <row r="642">
      <c r="A642">
        <f>IFERROR(__xludf.DUMMYFUNCTION("""COMPUTED_VALUE"""),9.0)</f>
        <v>9</v>
      </c>
      <c r="B642" s="406">
        <f>IFERROR(__xludf.DUMMYFUNCTION("""COMPUTED_VALUE"""),29035.0)</f>
        <v>29035</v>
      </c>
      <c r="C642" t="str">
        <f>IFERROR(__xludf.DUMMYFUNCTION("""COMPUTED_VALUE"""),"DURAN CALAD, MIGUEL")</f>
        <v>DURAN CALAD, MIGUEL</v>
      </c>
      <c r="D642" t="str">
        <f>IFERROR(__xludf.DUMMYFUNCTION("""COMPUTED_VALUE"""),"Spanish and Literature 9")</f>
        <v>Spanish and Literature 9</v>
      </c>
      <c r="E642" s="3">
        <f>IFERROR(__xludf.DUMMYFUNCTION("""COMPUTED_VALUE"""),3.0)</f>
        <v>3</v>
      </c>
      <c r="F642" s="300">
        <v>1.0</v>
      </c>
      <c r="G642" s="300">
        <v>1.0</v>
      </c>
      <c r="H642" s="300">
        <v>1.0</v>
      </c>
      <c r="I642" s="300">
        <v>1.0</v>
      </c>
      <c r="J642" s="300">
        <v>1.0</v>
      </c>
      <c r="K642" s="300">
        <v>1.0</v>
      </c>
      <c r="L642" s="300">
        <v>1.0</v>
      </c>
      <c r="M642" s="300">
        <v>1.0</v>
      </c>
      <c r="N642" s="300">
        <v>8.0</v>
      </c>
      <c r="O642" s="300" t="s">
        <v>809</v>
      </c>
      <c r="P642" s="300">
        <v>7.0</v>
      </c>
    </row>
    <row r="643">
      <c r="A643">
        <f>IFERROR(__xludf.DUMMYFUNCTION("""COMPUTED_VALUE"""),9.0)</f>
        <v>9</v>
      </c>
      <c r="B643" s="406">
        <f>IFERROR(__xludf.DUMMYFUNCTION("""COMPUTED_VALUE"""),29028.0)</f>
        <v>29028</v>
      </c>
      <c r="C643" t="str">
        <f>IFERROR(__xludf.DUMMYFUNCTION("""COMPUTED_VALUE"""),"CARVAJAL ACOSTA, MARTIN")</f>
        <v>CARVAJAL ACOSTA, MARTIN</v>
      </c>
      <c r="D643" t="str">
        <f>IFERROR(__xludf.DUMMYFUNCTION("""COMPUTED_VALUE"""),"Spanish and Literature 9")</f>
        <v>Spanish and Literature 9</v>
      </c>
      <c r="E643" s="3">
        <f>IFERROR(__xludf.DUMMYFUNCTION("""COMPUTED_VALUE"""),1.0)</f>
        <v>1</v>
      </c>
      <c r="F643" s="300">
        <v>1.0</v>
      </c>
      <c r="G643" s="300">
        <v>1.0</v>
      </c>
      <c r="H643" s="300">
        <v>1.0</v>
      </c>
      <c r="I643" s="300">
        <v>1.0</v>
      </c>
      <c r="J643" s="300">
        <v>1.0</v>
      </c>
      <c r="K643" s="300">
        <v>1.0</v>
      </c>
      <c r="L643" s="300">
        <v>1.0</v>
      </c>
      <c r="M643" s="300">
        <v>1.0</v>
      </c>
      <c r="N643" s="300">
        <v>8.0</v>
      </c>
      <c r="O643" s="300" t="s">
        <v>814</v>
      </c>
      <c r="P643" s="300">
        <v>7.0</v>
      </c>
    </row>
    <row r="644">
      <c r="A644">
        <f>IFERROR(__xludf.DUMMYFUNCTION("""COMPUTED_VALUE"""),9.0)</f>
        <v>9</v>
      </c>
      <c r="B644" s="406">
        <f>IFERROR(__xludf.DUMMYFUNCTION("""COMPUTED_VALUE"""),29110.0)</f>
        <v>29110</v>
      </c>
      <c r="C644" t="str">
        <f>IFERROR(__xludf.DUMMYFUNCTION("""COMPUTED_VALUE"""),"SOSA ECHAVARRIA, EMILIO")</f>
        <v>SOSA ECHAVARRIA, EMILIO</v>
      </c>
      <c r="D644" t="str">
        <f>IFERROR(__xludf.DUMMYFUNCTION("""COMPUTED_VALUE"""),"Spanish and Literature 9")</f>
        <v>Spanish and Literature 9</v>
      </c>
      <c r="E644" s="3">
        <f>IFERROR(__xludf.DUMMYFUNCTION("""COMPUTED_VALUE"""),7.0)</f>
        <v>7</v>
      </c>
      <c r="F644" s="300">
        <v>1.0</v>
      </c>
      <c r="G644" s="300">
        <v>1.0</v>
      </c>
      <c r="H644" s="300">
        <v>1.0</v>
      </c>
      <c r="I644" s="300">
        <v>1.0</v>
      </c>
      <c r="J644" s="300">
        <v>1.0</v>
      </c>
      <c r="K644" s="300">
        <v>1.0</v>
      </c>
      <c r="L644" s="300">
        <v>1.0</v>
      </c>
      <c r="M644" s="300">
        <v>1.0</v>
      </c>
      <c r="N644" s="300">
        <v>8.0</v>
      </c>
      <c r="O644" s="300" t="s">
        <v>808</v>
      </c>
      <c r="P644" s="300">
        <v>7.0</v>
      </c>
    </row>
    <row r="645">
      <c r="A645">
        <f>IFERROR(__xludf.DUMMYFUNCTION("""COMPUTED_VALUE"""),9.0)</f>
        <v>9</v>
      </c>
      <c r="B645" s="406">
        <f>IFERROR(__xludf.DUMMYFUNCTION("""COMPUTED_VALUE"""),28144.0)</f>
        <v>28144</v>
      </c>
      <c r="C645" t="str">
        <f>IFERROR(__xludf.DUMMYFUNCTION("""COMPUTED_VALUE"""),"JIMENEZ PATIÑO, EMILIO")</f>
        <v>JIMENEZ PATIÑO, EMILIO</v>
      </c>
      <c r="D645" t="str">
        <f>IFERROR(__xludf.DUMMYFUNCTION("""COMPUTED_VALUE"""),"Spanish and Literature 9")</f>
        <v>Spanish and Literature 9</v>
      </c>
      <c r="E645" s="3">
        <f>IFERROR(__xludf.DUMMYFUNCTION("""COMPUTED_VALUE"""),4.0)</f>
        <v>4</v>
      </c>
      <c r="F645" s="300">
        <v>1.0</v>
      </c>
      <c r="G645" s="300">
        <v>1.0</v>
      </c>
      <c r="H645" s="300">
        <v>1.0</v>
      </c>
      <c r="I645" s="300">
        <v>1.0</v>
      </c>
      <c r="J645" s="300">
        <v>1.0</v>
      </c>
      <c r="K645" s="300">
        <v>1.0</v>
      </c>
      <c r="L645" s="300">
        <v>1.0</v>
      </c>
      <c r="M645" s="300">
        <v>1.0</v>
      </c>
      <c r="N645" s="300">
        <v>8.0</v>
      </c>
      <c r="O645" s="300" t="s">
        <v>813</v>
      </c>
      <c r="P645" s="300">
        <v>7.0</v>
      </c>
    </row>
    <row r="646">
      <c r="A646">
        <f>IFERROR(__xludf.DUMMYFUNCTION("""COMPUTED_VALUE"""),9.0)</f>
        <v>9</v>
      </c>
      <c r="B646" s="406">
        <f>IFERROR(__xludf.DUMMYFUNCTION("""COMPUTED_VALUE"""),29126.0)</f>
        <v>29126</v>
      </c>
      <c r="C646" t="str">
        <f>IFERROR(__xludf.DUMMYFUNCTION("""COMPUTED_VALUE"""),"VASQUEZ ANGEL, JUANITA")</f>
        <v>VASQUEZ ANGEL, JUANITA</v>
      </c>
      <c r="D646" t="str">
        <f>IFERROR(__xludf.DUMMYFUNCTION("""COMPUTED_VALUE"""),"Spanish and Literature 9")</f>
        <v>Spanish and Literature 9</v>
      </c>
      <c r="E646" s="3">
        <f>IFERROR(__xludf.DUMMYFUNCTION("""COMPUTED_VALUE"""),8.0)</f>
        <v>8</v>
      </c>
      <c r="F646" s="300">
        <v>1.0</v>
      </c>
      <c r="G646" s="300">
        <v>1.0</v>
      </c>
      <c r="H646" s="300">
        <v>1.0</v>
      </c>
      <c r="I646" s="300">
        <v>1.0</v>
      </c>
      <c r="J646" s="300">
        <v>1.0</v>
      </c>
      <c r="K646" s="300">
        <v>1.0</v>
      </c>
      <c r="L646" s="300">
        <v>1.0</v>
      </c>
      <c r="M646" s="300">
        <v>1.0</v>
      </c>
      <c r="N646" s="300">
        <v>8.0</v>
      </c>
      <c r="O646" s="300" t="s">
        <v>810</v>
      </c>
      <c r="P646" s="300">
        <v>7.0</v>
      </c>
    </row>
    <row r="647">
      <c r="A647">
        <f>IFERROR(__xludf.DUMMYFUNCTION("""COMPUTED_VALUE"""),9.0)</f>
        <v>9</v>
      </c>
      <c r="B647" s="406">
        <f>IFERROR(__xludf.DUMMYFUNCTION("""COMPUTED_VALUE"""),29098.0)</f>
        <v>29098</v>
      </c>
      <c r="C647" t="str">
        <f>IFERROR(__xludf.DUMMYFUNCTION("""COMPUTED_VALUE"""),"RESTREPO ESCOBAR, ISABELA")</f>
        <v>RESTREPO ESCOBAR, ISABELA</v>
      </c>
      <c r="D647" t="str">
        <f>IFERROR(__xludf.DUMMYFUNCTION("""COMPUTED_VALUE"""),"Spanish and Literature 9")</f>
        <v>Spanish and Literature 9</v>
      </c>
      <c r="E647" s="3">
        <f>IFERROR(__xludf.DUMMYFUNCTION("""COMPUTED_VALUE"""),4.0)</f>
        <v>4</v>
      </c>
      <c r="F647" s="300">
        <v>1.0</v>
      </c>
      <c r="G647" s="300">
        <v>1.0</v>
      </c>
      <c r="H647" s="300">
        <v>1.0</v>
      </c>
      <c r="I647" s="300">
        <v>1.0</v>
      </c>
      <c r="J647" s="300">
        <v>1.0</v>
      </c>
      <c r="K647" s="300">
        <v>1.0</v>
      </c>
      <c r="L647" s="300">
        <v>1.0</v>
      </c>
      <c r="M647" s="300">
        <v>1.0</v>
      </c>
      <c r="N647" s="300">
        <v>8.0</v>
      </c>
      <c r="O647" s="300" t="s">
        <v>813</v>
      </c>
      <c r="P647" s="300">
        <v>7.0</v>
      </c>
    </row>
    <row r="648">
      <c r="A648">
        <f>IFERROR(__xludf.DUMMYFUNCTION("""COMPUTED_VALUE"""),9.0)</f>
        <v>9</v>
      </c>
      <c r="B648" s="406">
        <f>IFERROR(__xludf.DUMMYFUNCTION("""COMPUTED_VALUE"""),29083.0)</f>
        <v>29083</v>
      </c>
      <c r="C648" t="str">
        <f>IFERROR(__xludf.DUMMYFUNCTION("""COMPUTED_VALUE"""),"NAVARRO ZULUAGA, SOFIA")</f>
        <v>NAVARRO ZULUAGA, SOFIA</v>
      </c>
      <c r="D648" t="str">
        <f>IFERROR(__xludf.DUMMYFUNCTION("""COMPUTED_VALUE"""),"Spanish and Literature 9")</f>
        <v>Spanish and Literature 9</v>
      </c>
      <c r="E648" s="3">
        <f>IFERROR(__xludf.DUMMYFUNCTION("""COMPUTED_VALUE"""),4.0)</f>
        <v>4</v>
      </c>
      <c r="F648" s="300">
        <v>1.0</v>
      </c>
      <c r="G648" s="300">
        <v>1.0</v>
      </c>
      <c r="H648" s="300">
        <v>1.0</v>
      </c>
      <c r="I648" s="300">
        <v>1.0</v>
      </c>
      <c r="J648" s="300">
        <v>1.0</v>
      </c>
      <c r="K648" s="300">
        <v>1.0</v>
      </c>
      <c r="L648" s="300">
        <v>1.0</v>
      </c>
      <c r="M648" s="300">
        <v>1.0</v>
      </c>
      <c r="N648" s="300">
        <v>8.0</v>
      </c>
      <c r="O648" s="300" t="s">
        <v>813</v>
      </c>
      <c r="P648" s="300">
        <v>7.0</v>
      </c>
    </row>
    <row r="649">
      <c r="A649">
        <f>IFERROR(__xludf.DUMMYFUNCTION("""COMPUTED_VALUE"""),9.0)</f>
        <v>9</v>
      </c>
      <c r="B649" s="406">
        <f>IFERROR(__xludf.DUMMYFUNCTION("""COMPUTED_VALUE"""),29023.0)</f>
        <v>29023</v>
      </c>
      <c r="C649" t="str">
        <f>IFERROR(__xludf.DUMMYFUNCTION("""COMPUTED_VALUE"""),"BOTERO DEL CORRAL, EMILIANA")</f>
        <v>BOTERO DEL CORRAL, EMILIANA</v>
      </c>
      <c r="D649" t="str">
        <f>IFERROR(__xludf.DUMMYFUNCTION("""COMPUTED_VALUE"""),"Spanish and Literature 9")</f>
        <v>Spanish and Literature 9</v>
      </c>
      <c r="E649" s="3">
        <f>IFERROR(__xludf.DUMMYFUNCTION("""COMPUTED_VALUE"""),6.0)</f>
        <v>6</v>
      </c>
      <c r="F649" s="300">
        <v>1.0</v>
      </c>
      <c r="G649" s="300">
        <v>1.0</v>
      </c>
      <c r="H649" s="300">
        <v>1.0</v>
      </c>
      <c r="I649" s="300">
        <v>1.0</v>
      </c>
      <c r="J649" s="300">
        <v>1.0</v>
      </c>
      <c r="K649" s="300">
        <v>1.0</v>
      </c>
      <c r="L649" s="300">
        <v>1.0</v>
      </c>
      <c r="M649" s="300">
        <v>1.0</v>
      </c>
      <c r="N649" s="300">
        <v>8.0</v>
      </c>
      <c r="O649" s="300" t="s">
        <v>811</v>
      </c>
      <c r="P649" s="300">
        <v>7.0</v>
      </c>
    </row>
    <row r="650">
      <c r="A650">
        <f>IFERROR(__xludf.DUMMYFUNCTION("""COMPUTED_VALUE"""),10.0)</f>
        <v>10</v>
      </c>
      <c r="B650" s="406">
        <f>IFERROR(__xludf.DUMMYFUNCTION("""COMPUTED_VALUE"""),28042.0)</f>
        <v>28042</v>
      </c>
      <c r="C650" t="str">
        <f>IFERROR(__xludf.DUMMYFUNCTION("""COMPUTED_VALUE"""),"GUERRA MARTINEZ, REBECCA")</f>
        <v>GUERRA MARTINEZ, REBECCA</v>
      </c>
      <c r="D650" t="str">
        <f>IFERROR(__xludf.DUMMYFUNCTION("""COMPUTED_VALUE"""),"AP Spanish Language and Culture")</f>
        <v>AP Spanish Language and Culture</v>
      </c>
      <c r="E650" s="3">
        <f>IFERROR(__xludf.DUMMYFUNCTION("""COMPUTED_VALUE"""),6.0)</f>
        <v>6</v>
      </c>
      <c r="F650" s="300">
        <v>1.0</v>
      </c>
      <c r="G650" s="300">
        <v>1.0</v>
      </c>
      <c r="H650" s="300">
        <v>1.0</v>
      </c>
      <c r="I650" s="300">
        <v>1.0</v>
      </c>
      <c r="J650" s="300">
        <v>1.0</v>
      </c>
      <c r="K650" s="300">
        <v>1.0</v>
      </c>
      <c r="L650" s="300">
        <v>1.0</v>
      </c>
      <c r="M650" s="300">
        <v>1.0</v>
      </c>
      <c r="N650" s="300">
        <v>8.0</v>
      </c>
      <c r="O650" s="300" t="s">
        <v>816</v>
      </c>
      <c r="P650" s="300">
        <v>7.0</v>
      </c>
    </row>
    <row r="651">
      <c r="A651">
        <f>IFERROR(__xludf.DUMMYFUNCTION("""COMPUTED_VALUE"""),10.0)</f>
        <v>10</v>
      </c>
      <c r="B651" s="406">
        <f>IFERROR(__xludf.DUMMYFUNCTION("""COMPUTED_VALUE"""),28116.0)</f>
        <v>28116</v>
      </c>
      <c r="C651" t="str">
        <f>IFERROR(__xludf.DUMMYFUNCTION("""COMPUTED_VALUE"""),"VELEZ ZAPATA, SARA")</f>
        <v>VELEZ ZAPATA, SARA</v>
      </c>
      <c r="D651" t="str">
        <f>IFERROR(__xludf.DUMMYFUNCTION("""COMPUTED_VALUE"""),"AP Spanish Language and Culture")</f>
        <v>AP Spanish Language and Culture</v>
      </c>
      <c r="E651" s="3">
        <f>IFERROR(__xludf.DUMMYFUNCTION("""COMPUTED_VALUE"""),4.0)</f>
        <v>4</v>
      </c>
      <c r="F651" s="300">
        <v>1.0</v>
      </c>
      <c r="G651" s="300">
        <v>1.0</v>
      </c>
      <c r="H651" s="300">
        <v>1.0</v>
      </c>
      <c r="I651" s="300">
        <v>1.0</v>
      </c>
      <c r="J651" s="300">
        <v>1.0</v>
      </c>
      <c r="K651" s="300">
        <v>1.0</v>
      </c>
      <c r="L651" s="300">
        <v>1.0</v>
      </c>
      <c r="M651" s="300">
        <v>1.0</v>
      </c>
      <c r="N651" s="300">
        <v>8.0</v>
      </c>
      <c r="O651" s="300" t="s">
        <v>817</v>
      </c>
      <c r="P651" s="300">
        <v>7.0</v>
      </c>
    </row>
    <row r="652">
      <c r="A652">
        <f>IFERROR(__xludf.DUMMYFUNCTION("""COMPUTED_VALUE"""),10.0)</f>
        <v>10</v>
      </c>
      <c r="B652" s="406">
        <f>IFERROR(__xludf.DUMMYFUNCTION("""COMPUTED_VALUE"""),28013.0)</f>
        <v>28013</v>
      </c>
      <c r="C652" t="str">
        <f>IFERROR(__xludf.DUMMYFUNCTION("""COMPUTED_VALUE"""),"BERDUGO RESTREPO, ROSARIO")</f>
        <v>BERDUGO RESTREPO, ROSARIO</v>
      </c>
      <c r="D652" t="str">
        <f>IFERROR(__xludf.DUMMYFUNCTION("""COMPUTED_VALUE"""),"AP Spanish Language and Culture")</f>
        <v>AP Spanish Language and Culture</v>
      </c>
      <c r="E652" s="3">
        <f>IFERROR(__xludf.DUMMYFUNCTION("""COMPUTED_VALUE"""),6.0)</f>
        <v>6</v>
      </c>
      <c r="F652" s="300">
        <v>1.0</v>
      </c>
      <c r="G652" s="300">
        <v>1.0</v>
      </c>
      <c r="H652" s="300">
        <v>1.0</v>
      </c>
      <c r="I652" s="300">
        <v>1.0</v>
      </c>
      <c r="J652" s="300">
        <v>1.0</v>
      </c>
      <c r="K652" s="300">
        <v>1.0</v>
      </c>
      <c r="L652" s="300">
        <v>1.0</v>
      </c>
      <c r="M652" s="300">
        <v>1.0</v>
      </c>
      <c r="N652" s="300">
        <v>8.0</v>
      </c>
      <c r="O652" s="300" t="s">
        <v>816</v>
      </c>
      <c r="P652" s="300">
        <v>7.0</v>
      </c>
    </row>
    <row r="653">
      <c r="A653">
        <f>IFERROR(__xludf.DUMMYFUNCTION("""COMPUTED_VALUE"""),10.0)</f>
        <v>10</v>
      </c>
      <c r="B653" s="406">
        <f>IFERROR(__xludf.DUMMYFUNCTION("""COMPUTED_VALUE"""),28045.0)</f>
        <v>28045</v>
      </c>
      <c r="C653" t="str">
        <f>IFERROR(__xludf.DUMMYFUNCTION("""COMPUTED_VALUE"""),"HINESTROZA ESCOBAR, LUCIANA")</f>
        <v>HINESTROZA ESCOBAR, LUCIANA</v>
      </c>
      <c r="D653" t="str">
        <f>IFERROR(__xludf.DUMMYFUNCTION("""COMPUTED_VALUE"""),"AP Spanish Language and Culture")</f>
        <v>AP Spanish Language and Culture</v>
      </c>
      <c r="E653" s="3">
        <f>IFERROR(__xludf.DUMMYFUNCTION("""COMPUTED_VALUE"""),8.0)</f>
        <v>8</v>
      </c>
      <c r="F653" s="300">
        <v>1.0</v>
      </c>
      <c r="G653" s="300">
        <v>1.0</v>
      </c>
      <c r="H653" s="300">
        <v>1.0</v>
      </c>
      <c r="I653" s="300">
        <v>1.0</v>
      </c>
      <c r="J653" s="300">
        <v>1.0</v>
      </c>
      <c r="K653" s="300">
        <v>1.0</v>
      </c>
      <c r="L653" s="300">
        <v>1.0</v>
      </c>
      <c r="M653" s="300">
        <v>1.0</v>
      </c>
      <c r="N653" s="300">
        <v>8.0</v>
      </c>
      <c r="O653" s="300" t="s">
        <v>818</v>
      </c>
      <c r="P653" s="300">
        <v>7.0</v>
      </c>
    </row>
    <row r="654">
      <c r="A654">
        <f>IFERROR(__xludf.DUMMYFUNCTION("""COMPUTED_VALUE"""),10.0)</f>
        <v>10</v>
      </c>
      <c r="B654" s="406">
        <f>IFERROR(__xludf.DUMMYFUNCTION("""COMPUTED_VALUE"""),28022.0)</f>
        <v>28022</v>
      </c>
      <c r="C654" t="str">
        <f>IFERROR(__xludf.DUMMYFUNCTION("""COMPUTED_VALUE"""),"CARVAJAL BOTERO, SIMON")</f>
        <v>CARVAJAL BOTERO, SIMON</v>
      </c>
      <c r="D654" t="str">
        <f>IFERROR(__xludf.DUMMYFUNCTION("""COMPUTED_VALUE"""),"AP Spanish Language and Culture")</f>
        <v>AP Spanish Language and Culture</v>
      </c>
      <c r="E654" s="3">
        <f>IFERROR(__xludf.DUMMYFUNCTION("""COMPUTED_VALUE"""),6.0)</f>
        <v>6</v>
      </c>
      <c r="F654" s="300">
        <v>1.0</v>
      </c>
      <c r="G654" s="300">
        <v>1.0</v>
      </c>
      <c r="H654" s="300">
        <v>1.0</v>
      </c>
      <c r="I654" s="300">
        <v>1.0</v>
      </c>
      <c r="J654" s="300">
        <v>1.0</v>
      </c>
      <c r="K654" s="300">
        <v>1.0</v>
      </c>
      <c r="L654" s="300">
        <v>1.0</v>
      </c>
      <c r="M654" s="300">
        <v>1.0</v>
      </c>
      <c r="N654" s="300">
        <v>8.0</v>
      </c>
      <c r="O654" s="300" t="s">
        <v>816</v>
      </c>
      <c r="P654" s="300">
        <v>7.0</v>
      </c>
    </row>
    <row r="655">
      <c r="A655">
        <f>IFERROR(__xludf.DUMMYFUNCTION("""COMPUTED_VALUE"""),10.0)</f>
        <v>10</v>
      </c>
      <c r="B655" s="406">
        <f>IFERROR(__xludf.DUMMYFUNCTION("""COMPUTED_VALUE"""),28166.0)</f>
        <v>28166</v>
      </c>
      <c r="C655" t="str">
        <f>IFERROR(__xludf.DUMMYFUNCTION("""COMPUTED_VALUE"""),"VELEZ RAMIREZ, MIGUEL")</f>
        <v>VELEZ RAMIREZ, MIGUEL</v>
      </c>
      <c r="D655" t="str">
        <f>IFERROR(__xludf.DUMMYFUNCTION("""COMPUTED_VALUE"""),"AP Spanish Language and Culture")</f>
        <v>AP Spanish Language and Culture</v>
      </c>
      <c r="E655" s="3">
        <f>IFERROR(__xludf.DUMMYFUNCTION("""COMPUTED_VALUE"""),4.0)</f>
        <v>4</v>
      </c>
      <c r="F655" s="300">
        <v>1.0</v>
      </c>
      <c r="G655" s="300">
        <v>1.0</v>
      </c>
      <c r="H655" s="300">
        <v>1.0</v>
      </c>
      <c r="I655" s="300">
        <v>1.0</v>
      </c>
      <c r="J655" s="300">
        <v>1.0</v>
      </c>
      <c r="K655" s="300">
        <v>1.0</v>
      </c>
      <c r="L655" s="300">
        <v>1.0</v>
      </c>
      <c r="M655" s="300">
        <v>1.0</v>
      </c>
      <c r="N655" s="300">
        <v>8.0</v>
      </c>
      <c r="O655" s="300" t="s">
        <v>817</v>
      </c>
      <c r="P655" s="300">
        <v>7.0</v>
      </c>
    </row>
    <row r="656">
      <c r="A656">
        <f>IFERROR(__xludf.DUMMYFUNCTION("""COMPUTED_VALUE"""),10.0)</f>
        <v>10</v>
      </c>
      <c r="B656" s="406">
        <f>IFERROR(__xludf.DUMMYFUNCTION("""COMPUTED_VALUE"""),28083.0)</f>
        <v>28083</v>
      </c>
      <c r="C656" t="str">
        <f>IFERROR(__xludf.DUMMYFUNCTION("""COMPUTED_VALUE"""),"PENAGOS VELEZ, EMILIO")</f>
        <v>PENAGOS VELEZ, EMILIO</v>
      </c>
      <c r="D656" t="str">
        <f>IFERROR(__xludf.DUMMYFUNCTION("""COMPUTED_VALUE"""),"AP Spanish Language and Culture")</f>
        <v>AP Spanish Language and Culture</v>
      </c>
      <c r="E656" s="3">
        <f>IFERROR(__xludf.DUMMYFUNCTION("""COMPUTED_VALUE"""),5.0)</f>
        <v>5</v>
      </c>
      <c r="F656" s="300">
        <v>1.0</v>
      </c>
      <c r="G656" s="300">
        <v>1.0</v>
      </c>
      <c r="H656" s="300">
        <v>1.0</v>
      </c>
      <c r="I656" s="300">
        <v>1.0</v>
      </c>
      <c r="J656" s="300">
        <v>1.0</v>
      </c>
      <c r="K656" s="300">
        <v>1.0</v>
      </c>
      <c r="L656" s="300">
        <v>1.0</v>
      </c>
      <c r="M656" s="300">
        <v>1.0</v>
      </c>
      <c r="N656" s="300">
        <v>8.0</v>
      </c>
      <c r="O656" s="300" t="s">
        <v>819</v>
      </c>
      <c r="P656" s="300">
        <v>7.0</v>
      </c>
    </row>
    <row r="657">
      <c r="A657">
        <f>IFERROR(__xludf.DUMMYFUNCTION("""COMPUTED_VALUE"""),10.0)</f>
        <v>10</v>
      </c>
      <c r="B657" s="406">
        <f>IFERROR(__xludf.DUMMYFUNCTION("""COMPUTED_VALUE"""),28105.0)</f>
        <v>28105</v>
      </c>
      <c r="C657" t="str">
        <f>IFERROR(__xludf.DUMMYFUNCTION("""COMPUTED_VALUE"""),"TABARES MORENO, LUCAS")</f>
        <v>TABARES MORENO, LUCAS</v>
      </c>
      <c r="D657" t="str">
        <f>IFERROR(__xludf.DUMMYFUNCTION("""COMPUTED_VALUE"""),"AP Spanish Language and Culture")</f>
        <v>AP Spanish Language and Culture</v>
      </c>
      <c r="E657" s="3">
        <f>IFERROR(__xludf.DUMMYFUNCTION("""COMPUTED_VALUE"""),8.0)</f>
        <v>8</v>
      </c>
      <c r="F657" s="300">
        <v>1.0</v>
      </c>
      <c r="G657" s="300">
        <v>1.0</v>
      </c>
      <c r="H657" s="300">
        <v>1.0</v>
      </c>
      <c r="I657" s="300">
        <v>1.0</v>
      </c>
      <c r="J657" s="300">
        <v>1.0</v>
      </c>
      <c r="K657" s="300">
        <v>1.0</v>
      </c>
      <c r="L657" s="300">
        <v>1.0</v>
      </c>
      <c r="M657" s="300">
        <v>1.0</v>
      </c>
      <c r="N657" s="300">
        <v>8.0</v>
      </c>
      <c r="O657" s="300" t="s">
        <v>818</v>
      </c>
      <c r="P657" s="300">
        <v>7.0</v>
      </c>
    </row>
    <row r="658">
      <c r="A658">
        <f>IFERROR(__xludf.DUMMYFUNCTION("""COMPUTED_VALUE"""),10.0)</f>
        <v>10</v>
      </c>
      <c r="B658" s="406">
        <f>IFERROR(__xludf.DUMMYFUNCTION("""COMPUTED_VALUE"""),28017.0)</f>
        <v>28017</v>
      </c>
      <c r="C658" t="str">
        <f>IFERROR(__xludf.DUMMYFUNCTION("""COMPUTED_VALUE"""),"BUHOFER DUQUE, ANDREAS EMILIO")</f>
        <v>BUHOFER DUQUE, ANDREAS EMILIO</v>
      </c>
      <c r="D658" t="str">
        <f>IFERROR(__xludf.DUMMYFUNCTION("""COMPUTED_VALUE"""),"AP Spanish Language and Culture")</f>
        <v>AP Spanish Language and Culture</v>
      </c>
      <c r="E658" s="3">
        <f>IFERROR(__xludf.DUMMYFUNCTION("""COMPUTED_VALUE"""),3.0)</f>
        <v>3</v>
      </c>
      <c r="F658" s="300">
        <v>1.0</v>
      </c>
      <c r="G658" s="300">
        <v>1.0</v>
      </c>
      <c r="H658" s="300">
        <v>1.0</v>
      </c>
      <c r="I658" s="300">
        <v>1.0</v>
      </c>
      <c r="J658" s="300">
        <v>1.0</v>
      </c>
      <c r="K658" s="300">
        <v>1.0</v>
      </c>
      <c r="L658" s="300">
        <v>1.0</v>
      </c>
      <c r="M658" s="300">
        <v>1.0</v>
      </c>
      <c r="N658" s="300">
        <v>8.0</v>
      </c>
      <c r="O658" s="300" t="s">
        <v>820</v>
      </c>
      <c r="P658" s="300">
        <v>7.0</v>
      </c>
    </row>
    <row r="659">
      <c r="A659">
        <f>IFERROR(__xludf.DUMMYFUNCTION("""COMPUTED_VALUE"""),10.0)</f>
        <v>10</v>
      </c>
      <c r="B659" s="406">
        <f>IFERROR(__xludf.DUMMYFUNCTION("""COMPUTED_VALUE"""),28056.0)</f>
        <v>28056</v>
      </c>
      <c r="C659" t="str">
        <f>IFERROR(__xludf.DUMMYFUNCTION("""COMPUTED_VALUE"""),"LOPEZ RODRIGUEZ, MAR")</f>
        <v>LOPEZ RODRIGUEZ, MAR</v>
      </c>
      <c r="D659" t="str">
        <f>IFERROR(__xludf.DUMMYFUNCTION("""COMPUTED_VALUE"""),"AP Spanish Language and Culture")</f>
        <v>AP Spanish Language and Culture</v>
      </c>
      <c r="E659" s="3">
        <f>IFERROR(__xludf.DUMMYFUNCTION("""COMPUTED_VALUE"""),4.0)</f>
        <v>4</v>
      </c>
      <c r="F659" s="300">
        <v>1.0</v>
      </c>
      <c r="G659" s="300">
        <v>1.0</v>
      </c>
      <c r="H659" s="300">
        <v>1.0</v>
      </c>
      <c r="I659" s="300">
        <v>1.0</v>
      </c>
      <c r="J659" s="300">
        <v>1.0</v>
      </c>
      <c r="K659" s="300">
        <v>1.0</v>
      </c>
      <c r="L659" s="300">
        <v>1.0</v>
      </c>
      <c r="M659" s="300">
        <v>1.0</v>
      </c>
      <c r="N659" s="300">
        <v>8.0</v>
      </c>
      <c r="O659" s="300" t="s">
        <v>817</v>
      </c>
      <c r="P659" s="300">
        <v>7.0</v>
      </c>
    </row>
    <row r="660">
      <c r="A660">
        <f>IFERROR(__xludf.DUMMYFUNCTION("""COMPUTED_VALUE"""),10.0)</f>
        <v>10</v>
      </c>
      <c r="B660" s="406">
        <f>IFERROR(__xludf.DUMMYFUNCTION("""COMPUTED_VALUE"""),27041.0)</f>
        <v>27041</v>
      </c>
      <c r="C660" t="str">
        <f>IFERROR(__xludf.DUMMYFUNCTION("""COMPUTED_VALUE"""),"GALVEZ ATEHORTUA, JUANITA")</f>
        <v>GALVEZ ATEHORTUA, JUANITA</v>
      </c>
      <c r="D660" t="str">
        <f>IFERROR(__xludf.DUMMYFUNCTION("""COMPUTED_VALUE"""),"AP Spanish Language and Culture")</f>
        <v>AP Spanish Language and Culture</v>
      </c>
      <c r="E660" s="3">
        <f>IFERROR(__xludf.DUMMYFUNCTION("""COMPUTED_VALUE"""),6.0)</f>
        <v>6</v>
      </c>
      <c r="F660" s="300">
        <v>1.0</v>
      </c>
      <c r="G660" s="300">
        <v>1.0</v>
      </c>
      <c r="H660" s="300">
        <v>1.0</v>
      </c>
      <c r="I660" s="300">
        <v>1.0</v>
      </c>
      <c r="J660" s="300">
        <v>1.0</v>
      </c>
      <c r="K660" s="300">
        <v>1.0</v>
      </c>
      <c r="L660" s="300">
        <v>1.0</v>
      </c>
      <c r="M660" s="300">
        <v>1.0</v>
      </c>
      <c r="N660" s="300">
        <v>8.0</v>
      </c>
      <c r="O660" s="300" t="s">
        <v>816</v>
      </c>
      <c r="P660" s="300">
        <v>7.0</v>
      </c>
    </row>
    <row r="661">
      <c r="A661">
        <f>IFERROR(__xludf.DUMMYFUNCTION("""COMPUTED_VALUE"""),10.0)</f>
        <v>10</v>
      </c>
      <c r="B661" s="406">
        <f>IFERROR(__xludf.DUMMYFUNCTION("""COMPUTED_VALUE"""),28058.0)</f>
        <v>28058</v>
      </c>
      <c r="C661" t="str">
        <f>IFERROR(__xludf.DUMMYFUNCTION("""COMPUTED_VALUE"""),"MARULANDA VARGAS, ELISA")</f>
        <v>MARULANDA VARGAS, ELISA</v>
      </c>
      <c r="D661" t="str">
        <f>IFERROR(__xludf.DUMMYFUNCTION("""COMPUTED_VALUE"""),"AP Spanish Language and Culture")</f>
        <v>AP Spanish Language and Culture</v>
      </c>
      <c r="E661" s="3">
        <f>IFERROR(__xludf.DUMMYFUNCTION("""COMPUTED_VALUE"""),4.0)</f>
        <v>4</v>
      </c>
      <c r="F661" s="300">
        <v>1.0</v>
      </c>
      <c r="G661" s="300">
        <v>1.0</v>
      </c>
      <c r="H661" s="300">
        <v>1.0</v>
      </c>
      <c r="I661" s="300">
        <v>1.0</v>
      </c>
      <c r="J661" s="300">
        <v>1.0</v>
      </c>
      <c r="K661" s="300">
        <v>1.0</v>
      </c>
      <c r="L661" s="300">
        <v>1.0</v>
      </c>
      <c r="M661" s="300">
        <v>1.0</v>
      </c>
      <c r="N661" s="300">
        <v>8.0</v>
      </c>
      <c r="O661" s="300" t="s">
        <v>817</v>
      </c>
      <c r="P661" s="300">
        <v>7.0</v>
      </c>
    </row>
    <row r="662">
      <c r="A662">
        <f>IFERROR(__xludf.DUMMYFUNCTION("""COMPUTED_VALUE"""),10.0)</f>
        <v>10</v>
      </c>
      <c r="B662" s="406">
        <f>IFERROR(__xludf.DUMMYFUNCTION("""COMPUTED_VALUE"""),28043.0)</f>
        <v>28043</v>
      </c>
      <c r="C662" t="str">
        <f>IFERROR(__xludf.DUMMYFUNCTION("""COMPUTED_VALUE"""),"GUTIERREZ ABUCHAR, TOMAS")</f>
        <v>GUTIERREZ ABUCHAR, TOMAS</v>
      </c>
      <c r="D662" t="str">
        <f>IFERROR(__xludf.DUMMYFUNCTION("""COMPUTED_VALUE"""),"AP Spanish Language and Culture")</f>
        <v>AP Spanish Language and Culture</v>
      </c>
      <c r="E662" s="3">
        <f>IFERROR(__xludf.DUMMYFUNCTION("""COMPUTED_VALUE"""),7.0)</f>
        <v>7</v>
      </c>
      <c r="F662" s="300">
        <v>1.0</v>
      </c>
      <c r="G662" s="300">
        <v>1.0</v>
      </c>
      <c r="H662" s="300">
        <v>1.0</v>
      </c>
      <c r="I662" s="300">
        <v>1.0</v>
      </c>
      <c r="J662" s="300">
        <v>1.0</v>
      </c>
      <c r="K662" s="300">
        <v>1.0</v>
      </c>
      <c r="L662" s="300">
        <v>1.0</v>
      </c>
      <c r="M662" s="300">
        <v>1.0</v>
      </c>
      <c r="N662" s="300">
        <v>8.0</v>
      </c>
      <c r="O662" s="300" t="s">
        <v>821</v>
      </c>
      <c r="P662" s="300">
        <v>7.0</v>
      </c>
    </row>
    <row r="663">
      <c r="A663">
        <f>IFERROR(__xludf.DUMMYFUNCTION("""COMPUTED_VALUE"""),10.0)</f>
        <v>10</v>
      </c>
      <c r="B663" s="406">
        <f>IFERROR(__xludf.DUMMYFUNCTION("""COMPUTED_VALUE"""),28113.0)</f>
        <v>28113</v>
      </c>
      <c r="C663" t="str">
        <f>IFERROR(__xludf.DUMMYFUNCTION("""COMPUTED_VALUE"""),"VELEZ COCK, ELISA")</f>
        <v>VELEZ COCK, ELISA</v>
      </c>
      <c r="D663" t="str">
        <f>IFERROR(__xludf.DUMMYFUNCTION("""COMPUTED_VALUE"""),"AP Spanish Language and Culture")</f>
        <v>AP Spanish Language and Culture</v>
      </c>
      <c r="E663" s="3">
        <f>IFERROR(__xludf.DUMMYFUNCTION("""COMPUTED_VALUE"""),6.0)</f>
        <v>6</v>
      </c>
      <c r="F663" s="300">
        <v>1.0</v>
      </c>
      <c r="G663" s="300">
        <v>1.0</v>
      </c>
      <c r="H663" s="300">
        <v>1.0</v>
      </c>
      <c r="I663" s="300">
        <v>1.0</v>
      </c>
      <c r="J663" s="300">
        <v>1.0</v>
      </c>
      <c r="K663" s="300">
        <v>1.0</v>
      </c>
      <c r="L663" s="300">
        <v>1.0</v>
      </c>
      <c r="M663" s="300">
        <v>1.0</v>
      </c>
      <c r="N663" s="300">
        <v>8.0</v>
      </c>
      <c r="O663" s="300" t="s">
        <v>816</v>
      </c>
      <c r="P663" s="300">
        <v>7.0</v>
      </c>
    </row>
    <row r="664">
      <c r="A664">
        <f>IFERROR(__xludf.DUMMYFUNCTION("""COMPUTED_VALUE"""),10.0)</f>
        <v>10</v>
      </c>
      <c r="B664" s="406">
        <f>IFERROR(__xludf.DUMMYFUNCTION("""COMPUTED_VALUE"""),28157.0)</f>
        <v>28157</v>
      </c>
      <c r="C664" t="str">
        <f>IFERROR(__xludf.DUMMYFUNCTION("""COMPUTED_VALUE"""),"ORTEGA OCHOA, FEDERICO")</f>
        <v>ORTEGA OCHOA, FEDERICO</v>
      </c>
      <c r="D664" t="str">
        <f>IFERROR(__xludf.DUMMYFUNCTION("""COMPUTED_VALUE"""),"AP Spanish Language and Culture")</f>
        <v>AP Spanish Language and Culture</v>
      </c>
      <c r="E664" s="3">
        <f>IFERROR(__xludf.DUMMYFUNCTION("""COMPUTED_VALUE"""),7.0)</f>
        <v>7</v>
      </c>
      <c r="F664" s="300">
        <v>1.0</v>
      </c>
      <c r="G664" s="300">
        <v>1.0</v>
      </c>
      <c r="H664" s="300">
        <v>1.0</v>
      </c>
      <c r="I664" s="300">
        <v>1.0</v>
      </c>
      <c r="J664" s="300">
        <v>1.0</v>
      </c>
      <c r="K664" s="300">
        <v>1.0</v>
      </c>
      <c r="L664" s="300">
        <v>1.0</v>
      </c>
      <c r="M664" s="300">
        <v>1.0</v>
      </c>
      <c r="N664" s="300">
        <v>8.0</v>
      </c>
      <c r="O664" s="300" t="s">
        <v>821</v>
      </c>
      <c r="P664" s="300">
        <v>7.0</v>
      </c>
    </row>
    <row r="665">
      <c r="A665">
        <f>IFERROR(__xludf.DUMMYFUNCTION("""COMPUTED_VALUE"""),10.0)</f>
        <v>10</v>
      </c>
      <c r="B665" s="406">
        <f>IFERROR(__xludf.DUMMYFUNCTION("""COMPUTED_VALUE"""),28098.0)</f>
        <v>28098</v>
      </c>
      <c r="C665" t="str">
        <f>IFERROR(__xludf.DUMMYFUNCTION("""COMPUTED_VALUE"""),"ROBLEDO LLANO, MAXIMILIANO")</f>
        <v>ROBLEDO LLANO, MAXIMILIANO</v>
      </c>
      <c r="D665" t="str">
        <f>IFERROR(__xludf.DUMMYFUNCTION("""COMPUTED_VALUE"""),"AP Spanish Language and Culture")</f>
        <v>AP Spanish Language and Culture</v>
      </c>
      <c r="E665" s="3">
        <f>IFERROR(__xludf.DUMMYFUNCTION("""COMPUTED_VALUE"""),8.0)</f>
        <v>8</v>
      </c>
      <c r="F665" s="300">
        <v>1.0</v>
      </c>
      <c r="G665" s="300">
        <v>1.0</v>
      </c>
      <c r="H665" s="300">
        <v>1.0</v>
      </c>
      <c r="I665" s="300">
        <v>1.0</v>
      </c>
      <c r="J665" s="300">
        <v>1.0</v>
      </c>
      <c r="K665" s="300">
        <v>1.0</v>
      </c>
      <c r="L665" s="300">
        <v>1.0</v>
      </c>
      <c r="M665" s="300">
        <v>1.0</v>
      </c>
      <c r="N665" s="300">
        <v>8.0</v>
      </c>
      <c r="O665" s="300" t="s">
        <v>818</v>
      </c>
      <c r="P665" s="300">
        <v>7.0</v>
      </c>
    </row>
    <row r="666">
      <c r="A666">
        <f>IFERROR(__xludf.DUMMYFUNCTION("""COMPUTED_VALUE"""),10.0)</f>
        <v>10</v>
      </c>
      <c r="B666" s="406">
        <f>IFERROR(__xludf.DUMMYFUNCTION("""COMPUTED_VALUE"""),28117.0)</f>
        <v>28117</v>
      </c>
      <c r="C666" t="str">
        <f>IFERROR(__xludf.DUMMYFUNCTION("""COMPUTED_VALUE"""),"VILLEGAS BOTERO, MARIANA")</f>
        <v>VILLEGAS BOTERO, MARIANA</v>
      </c>
      <c r="D666" t="str">
        <f>IFERROR(__xludf.DUMMYFUNCTION("""COMPUTED_VALUE"""),"AP Spanish Language and Culture")</f>
        <v>AP Spanish Language and Culture</v>
      </c>
      <c r="E666" s="3">
        <f>IFERROR(__xludf.DUMMYFUNCTION("""COMPUTED_VALUE"""),1.0)</f>
        <v>1</v>
      </c>
      <c r="F666" s="300">
        <v>1.0</v>
      </c>
      <c r="G666" s="300">
        <v>1.0</v>
      </c>
      <c r="H666" s="300">
        <v>1.0</v>
      </c>
      <c r="I666" s="300">
        <v>1.0</v>
      </c>
      <c r="J666" s="300">
        <v>1.0</v>
      </c>
      <c r="K666" s="300">
        <v>1.0</v>
      </c>
      <c r="L666" s="300">
        <v>1.0</v>
      </c>
      <c r="M666" s="300">
        <v>1.0</v>
      </c>
      <c r="N666" s="300">
        <v>8.0</v>
      </c>
      <c r="O666" s="300" t="s">
        <v>822</v>
      </c>
      <c r="P666" s="300">
        <v>7.0</v>
      </c>
    </row>
    <row r="667">
      <c r="A667">
        <f>IFERROR(__xludf.DUMMYFUNCTION("""COMPUTED_VALUE"""),10.0)</f>
        <v>10</v>
      </c>
      <c r="B667" s="406">
        <f>IFERROR(__xludf.DUMMYFUNCTION("""COMPUTED_VALUE"""),28100.0)</f>
        <v>28100</v>
      </c>
      <c r="C667" t="str">
        <f>IFERROR(__xludf.DUMMYFUNCTION("""COMPUTED_VALUE"""),"RODRIGUEZ SALDARRIAGA, SOFIA")</f>
        <v>RODRIGUEZ SALDARRIAGA, SOFIA</v>
      </c>
      <c r="D667" t="str">
        <f>IFERROR(__xludf.DUMMYFUNCTION("""COMPUTED_VALUE"""),"AP Spanish Language and Culture")</f>
        <v>AP Spanish Language and Culture</v>
      </c>
      <c r="E667" s="3">
        <f>IFERROR(__xludf.DUMMYFUNCTION("""COMPUTED_VALUE"""),3.0)</f>
        <v>3</v>
      </c>
      <c r="F667" s="300">
        <v>1.0</v>
      </c>
      <c r="G667" s="300">
        <v>1.0</v>
      </c>
      <c r="H667" s="300">
        <v>1.0</v>
      </c>
      <c r="I667" s="300">
        <v>1.0</v>
      </c>
      <c r="J667" s="300">
        <v>1.0</v>
      </c>
      <c r="K667" s="300">
        <v>1.0</v>
      </c>
      <c r="L667" s="300">
        <v>1.0</v>
      </c>
      <c r="M667" s="300">
        <v>1.0</v>
      </c>
      <c r="N667" s="300">
        <v>8.0</v>
      </c>
      <c r="O667" s="300" t="s">
        <v>820</v>
      </c>
      <c r="P667" s="300">
        <v>7.0</v>
      </c>
    </row>
    <row r="668">
      <c r="A668">
        <f>IFERROR(__xludf.DUMMYFUNCTION("""COMPUTED_VALUE"""),10.0)</f>
        <v>10</v>
      </c>
      <c r="B668" s="406">
        <f>IFERROR(__xludf.DUMMYFUNCTION("""COMPUTED_VALUE"""),28097.0)</f>
        <v>28097</v>
      </c>
      <c r="C668" t="str">
        <f>IFERROR(__xludf.DUMMYFUNCTION("""COMPUTED_VALUE"""),"RINCON URIBE, CAMILA")</f>
        <v>RINCON URIBE, CAMILA</v>
      </c>
      <c r="D668" t="str">
        <f>IFERROR(__xludf.DUMMYFUNCTION("""COMPUTED_VALUE"""),"AP Spanish Language and Culture")</f>
        <v>AP Spanish Language and Culture</v>
      </c>
      <c r="E668" s="3">
        <f>IFERROR(__xludf.DUMMYFUNCTION("""COMPUTED_VALUE"""),3.0)</f>
        <v>3</v>
      </c>
      <c r="F668" s="300">
        <v>1.0</v>
      </c>
      <c r="G668" s="300">
        <v>1.0</v>
      </c>
      <c r="H668" s="300">
        <v>1.0</v>
      </c>
      <c r="I668" s="300">
        <v>1.0</v>
      </c>
      <c r="J668" s="300">
        <v>1.0</v>
      </c>
      <c r="K668" s="300">
        <v>1.0</v>
      </c>
      <c r="L668" s="300">
        <v>1.0</v>
      </c>
      <c r="M668" s="300">
        <v>1.0</v>
      </c>
      <c r="N668" s="300">
        <v>8.0</v>
      </c>
      <c r="O668" s="300" t="s">
        <v>820</v>
      </c>
      <c r="P668" s="300">
        <v>7.0</v>
      </c>
    </row>
    <row r="669">
      <c r="A669">
        <f>IFERROR(__xludf.DUMMYFUNCTION("""COMPUTED_VALUE"""),10.0)</f>
        <v>10</v>
      </c>
      <c r="B669" s="406">
        <f>IFERROR(__xludf.DUMMYFUNCTION("""COMPUTED_VALUE"""),28053.0)</f>
        <v>28053</v>
      </c>
      <c r="C669" t="str">
        <f>IFERROR(__xludf.DUMMYFUNCTION("""COMPUTED_VALUE"""),"LOPERA VILLA, ELENA")</f>
        <v>LOPERA VILLA, ELENA</v>
      </c>
      <c r="D669" t="str">
        <f>IFERROR(__xludf.DUMMYFUNCTION("""COMPUTED_VALUE"""),"AP Spanish Language and Culture")</f>
        <v>AP Spanish Language and Culture</v>
      </c>
      <c r="E669" s="3">
        <f>IFERROR(__xludf.DUMMYFUNCTION("""COMPUTED_VALUE"""),8.0)</f>
        <v>8</v>
      </c>
      <c r="F669" s="300">
        <v>1.0</v>
      </c>
      <c r="G669" s="300">
        <v>1.0</v>
      </c>
      <c r="H669" s="300">
        <v>1.0</v>
      </c>
      <c r="I669" s="300">
        <v>1.0</v>
      </c>
      <c r="J669" s="300">
        <v>1.0</v>
      </c>
      <c r="K669" s="300">
        <v>1.0</v>
      </c>
      <c r="L669" s="300">
        <v>1.0</v>
      </c>
      <c r="M669" s="300">
        <v>1.0</v>
      </c>
      <c r="N669" s="300">
        <v>8.0</v>
      </c>
      <c r="O669" s="300" t="s">
        <v>818</v>
      </c>
      <c r="P669" s="300">
        <v>7.0</v>
      </c>
    </row>
    <row r="670">
      <c r="A670">
        <f>IFERROR(__xludf.DUMMYFUNCTION("""COMPUTED_VALUE"""),10.0)</f>
        <v>10</v>
      </c>
      <c r="B670" s="406">
        <f>IFERROR(__xludf.DUMMYFUNCTION("""COMPUTED_VALUE"""),28090.0)</f>
        <v>28090</v>
      </c>
      <c r="C670" t="str">
        <f>IFERROR(__xludf.DUMMYFUNCTION("""COMPUTED_VALUE"""),"REINOSO TRUJILLO, TOMAS")</f>
        <v>REINOSO TRUJILLO, TOMAS</v>
      </c>
      <c r="D670" t="str">
        <f>IFERROR(__xludf.DUMMYFUNCTION("""COMPUTED_VALUE"""),"Spanish Film, Art, and Literature")</f>
        <v>Spanish Film, Art, and Literature</v>
      </c>
      <c r="E670" s="3">
        <f>IFERROR(__xludf.DUMMYFUNCTION("""COMPUTED_VALUE"""),5.0)</f>
        <v>5</v>
      </c>
      <c r="F670" s="300">
        <v>1.0</v>
      </c>
      <c r="G670" s="300">
        <v>1.0</v>
      </c>
      <c r="H670" s="300">
        <v>1.0</v>
      </c>
      <c r="I670" s="300">
        <v>1.0</v>
      </c>
      <c r="J670" s="300">
        <v>1.0</v>
      </c>
      <c r="K670" s="300">
        <v>1.0</v>
      </c>
      <c r="L670" s="300">
        <v>1.0</v>
      </c>
      <c r="M670" s="300">
        <v>1.0</v>
      </c>
      <c r="N670" s="300">
        <v>8.0</v>
      </c>
      <c r="O670" s="300" t="s">
        <v>823</v>
      </c>
      <c r="P670" s="300">
        <v>2.0</v>
      </c>
    </row>
    <row r="671">
      <c r="A671">
        <f>IFERROR(__xludf.DUMMYFUNCTION("""COMPUTED_VALUE"""),10.0)</f>
        <v>10</v>
      </c>
      <c r="B671" s="406">
        <f>IFERROR(__xludf.DUMMYFUNCTION("""COMPUTED_VALUE"""),28050.0)</f>
        <v>28050</v>
      </c>
      <c r="C671" t="str">
        <f>IFERROR(__xludf.DUMMYFUNCTION("""COMPUTED_VALUE"""),"JARAMILLO FERNANDEZ, EMILIO")</f>
        <v>JARAMILLO FERNANDEZ, EMILIO</v>
      </c>
      <c r="D671" t="str">
        <f>IFERROR(__xludf.DUMMYFUNCTION("""COMPUTED_VALUE"""),"AP Spanish Language and Culture")</f>
        <v>AP Spanish Language and Culture</v>
      </c>
      <c r="E671" s="3">
        <f>IFERROR(__xludf.DUMMYFUNCTION("""COMPUTED_VALUE"""),4.0)</f>
        <v>4</v>
      </c>
      <c r="F671" s="300">
        <v>1.0</v>
      </c>
      <c r="G671" s="300">
        <v>1.0</v>
      </c>
      <c r="H671" s="300">
        <v>1.0</v>
      </c>
      <c r="I671" s="300">
        <v>1.0</v>
      </c>
      <c r="J671" s="300">
        <v>1.0</v>
      </c>
      <c r="K671" s="300">
        <v>1.0</v>
      </c>
      <c r="L671" s="300">
        <v>1.0</v>
      </c>
      <c r="M671" s="300">
        <v>1.0</v>
      </c>
      <c r="N671" s="300">
        <v>8.0</v>
      </c>
      <c r="O671" s="300" t="s">
        <v>817</v>
      </c>
      <c r="P671" s="300">
        <v>7.0</v>
      </c>
    </row>
    <row r="672">
      <c r="A672">
        <f>IFERROR(__xludf.DUMMYFUNCTION("""COMPUTED_VALUE"""),10.0)</f>
        <v>10</v>
      </c>
      <c r="B672" s="406">
        <f>IFERROR(__xludf.DUMMYFUNCTION("""COMPUTED_VALUE"""),28031.0)</f>
        <v>28031</v>
      </c>
      <c r="C672" t="str">
        <f>IFERROR(__xludf.DUMMYFUNCTION("""COMPUTED_VALUE"""),"GALLEGO CUARTAS, NICOLAS")</f>
        <v>GALLEGO CUARTAS, NICOLAS</v>
      </c>
      <c r="D672" t="str">
        <f>IFERROR(__xludf.DUMMYFUNCTION("""COMPUTED_VALUE"""),"AP Spanish Language and Culture")</f>
        <v>AP Spanish Language and Culture</v>
      </c>
      <c r="E672" s="3">
        <f>IFERROR(__xludf.DUMMYFUNCTION("""COMPUTED_VALUE"""),1.0)</f>
        <v>1</v>
      </c>
      <c r="F672" s="300">
        <v>1.0</v>
      </c>
      <c r="G672" s="300">
        <v>1.0</v>
      </c>
      <c r="H672" s="300">
        <v>1.0</v>
      </c>
      <c r="I672" s="300">
        <v>1.0</v>
      </c>
      <c r="J672" s="300">
        <v>1.0</v>
      </c>
      <c r="K672" s="300">
        <v>1.0</v>
      </c>
      <c r="L672" s="300">
        <v>1.0</v>
      </c>
      <c r="M672" s="300">
        <v>1.0</v>
      </c>
      <c r="N672" s="300">
        <v>8.0</v>
      </c>
      <c r="O672" s="300" t="s">
        <v>822</v>
      </c>
      <c r="P672" s="300">
        <v>7.0</v>
      </c>
    </row>
    <row r="673">
      <c r="A673">
        <f>IFERROR(__xludf.DUMMYFUNCTION("""COMPUTED_VALUE"""),10.0)</f>
        <v>10</v>
      </c>
      <c r="B673" s="406">
        <f>IFERROR(__xludf.DUMMYFUNCTION("""COMPUTED_VALUE"""),28162.0)</f>
        <v>28162</v>
      </c>
      <c r="C673" t="str">
        <f>IFERROR(__xludf.DUMMYFUNCTION("""COMPUTED_VALUE"""),"OSPINA BENEDETI, AGUSTIN")</f>
        <v>OSPINA BENEDETI, AGUSTIN</v>
      </c>
      <c r="D673" t="str">
        <f>IFERROR(__xludf.DUMMYFUNCTION("""COMPUTED_VALUE"""),"AP Spanish Language and Culture")</f>
        <v>AP Spanish Language and Culture</v>
      </c>
      <c r="E673" s="3">
        <f>IFERROR(__xludf.DUMMYFUNCTION("""COMPUTED_VALUE"""),3.0)</f>
        <v>3</v>
      </c>
      <c r="F673" s="300">
        <v>1.0</v>
      </c>
      <c r="G673" s="300">
        <v>1.0</v>
      </c>
      <c r="H673" s="300">
        <v>1.0</v>
      </c>
      <c r="I673" s="300">
        <v>1.0</v>
      </c>
      <c r="J673" s="300">
        <v>1.0</v>
      </c>
      <c r="K673" s="300">
        <v>1.0</v>
      </c>
      <c r="L673" s="300">
        <v>1.0</v>
      </c>
      <c r="M673" s="300">
        <v>1.0</v>
      </c>
      <c r="N673" s="300">
        <v>8.0</v>
      </c>
      <c r="O673" s="300" t="s">
        <v>820</v>
      </c>
      <c r="P673" s="300">
        <v>7.0</v>
      </c>
    </row>
    <row r="674">
      <c r="A674">
        <f>IFERROR(__xludf.DUMMYFUNCTION("""COMPUTED_VALUE"""),10.0)</f>
        <v>10</v>
      </c>
      <c r="B674" s="406">
        <f>IFERROR(__xludf.DUMMYFUNCTION("""COMPUTED_VALUE"""),28121.0)</f>
        <v>28121</v>
      </c>
      <c r="C674" t="str">
        <f>IFERROR(__xludf.DUMMYFUNCTION("""COMPUTED_VALUE"""),"MC LEAN HIDRON, LUCAS")</f>
        <v>MC LEAN HIDRON, LUCAS</v>
      </c>
      <c r="D674" t="str">
        <f>IFERROR(__xludf.DUMMYFUNCTION("""COMPUTED_VALUE"""),"AP Spanish Language and Culture")</f>
        <v>AP Spanish Language and Culture</v>
      </c>
      <c r="E674" s="3">
        <f>IFERROR(__xludf.DUMMYFUNCTION("""COMPUTED_VALUE"""),8.0)</f>
        <v>8</v>
      </c>
      <c r="F674" s="300">
        <v>1.0</v>
      </c>
      <c r="G674" s="300">
        <v>1.0</v>
      </c>
      <c r="H674" s="300">
        <v>1.0</v>
      </c>
      <c r="I674" s="300">
        <v>1.0</v>
      </c>
      <c r="J674" s="300">
        <v>1.0</v>
      </c>
      <c r="K674" s="300">
        <v>1.0</v>
      </c>
      <c r="L674" s="300">
        <v>1.0</v>
      </c>
      <c r="M674" s="300">
        <v>1.0</v>
      </c>
      <c r="N674" s="300">
        <v>8.0</v>
      </c>
      <c r="O674" s="300" t="s">
        <v>818</v>
      </c>
      <c r="P674" s="300">
        <v>7.0</v>
      </c>
    </row>
    <row r="675">
      <c r="A675">
        <f>IFERROR(__xludf.DUMMYFUNCTION("""COMPUTED_VALUE"""),10.0)</f>
        <v>10</v>
      </c>
      <c r="B675" s="406">
        <f>IFERROR(__xludf.DUMMYFUNCTION("""COMPUTED_VALUE"""),28016.0)</f>
        <v>28016</v>
      </c>
      <c r="C675" t="str">
        <f>IFERROR(__xludf.DUMMYFUNCTION("""COMPUTED_VALUE"""),"BOTERO CASTAÑEDA, CARMEN")</f>
        <v>BOTERO CASTAÑEDA, CARMEN</v>
      </c>
      <c r="D675" t="str">
        <f>IFERROR(__xludf.DUMMYFUNCTION("""COMPUTED_VALUE"""),"AP Spanish Language and Culture")</f>
        <v>AP Spanish Language and Culture</v>
      </c>
      <c r="E675" s="3">
        <f>IFERROR(__xludf.DUMMYFUNCTION("""COMPUTED_VALUE"""),3.0)</f>
        <v>3</v>
      </c>
      <c r="F675" s="300">
        <v>1.0</v>
      </c>
      <c r="G675" s="300">
        <v>1.0</v>
      </c>
      <c r="H675" s="300">
        <v>1.0</v>
      </c>
      <c r="I675" s="300">
        <v>1.0</v>
      </c>
      <c r="J675" s="300">
        <v>1.0</v>
      </c>
      <c r="K675" s="300">
        <v>1.0</v>
      </c>
      <c r="L675" s="300">
        <v>1.0</v>
      </c>
      <c r="M675" s="300">
        <v>1.0</v>
      </c>
      <c r="N675" s="300">
        <v>8.0</v>
      </c>
      <c r="O675" s="300" t="s">
        <v>820</v>
      </c>
      <c r="P675" s="300">
        <v>7.0</v>
      </c>
    </row>
    <row r="676">
      <c r="A676">
        <f>IFERROR(__xludf.DUMMYFUNCTION("""COMPUTED_VALUE"""),10.0)</f>
        <v>10</v>
      </c>
      <c r="B676" s="406">
        <f>IFERROR(__xludf.DUMMYFUNCTION("""COMPUTED_VALUE"""),28170.0)</f>
        <v>28170</v>
      </c>
      <c r="C676" t="str">
        <f>IFERROR(__xludf.DUMMYFUNCTION("""COMPUTED_VALUE"""),"GOMEZ AMADOR, EMMA")</f>
        <v>GOMEZ AMADOR, EMMA</v>
      </c>
      <c r="D676" t="str">
        <f>IFERROR(__xludf.DUMMYFUNCTION("""COMPUTED_VALUE"""),"AP Spanish Language and Culture")</f>
        <v>AP Spanish Language and Culture</v>
      </c>
      <c r="E676" s="3">
        <f>IFERROR(__xludf.DUMMYFUNCTION("""COMPUTED_VALUE"""),4.0)</f>
        <v>4</v>
      </c>
      <c r="F676" s="300">
        <v>1.0</v>
      </c>
      <c r="G676" s="300">
        <v>1.0</v>
      </c>
      <c r="H676" s="300">
        <v>1.0</v>
      </c>
      <c r="I676" s="300">
        <v>1.0</v>
      </c>
      <c r="J676" s="300">
        <v>1.0</v>
      </c>
      <c r="K676" s="300">
        <v>1.0</v>
      </c>
      <c r="L676" s="300">
        <v>1.0</v>
      </c>
      <c r="M676" s="300">
        <v>1.0</v>
      </c>
      <c r="N676" s="300">
        <v>8.0</v>
      </c>
      <c r="O676" s="300" t="s">
        <v>817</v>
      </c>
      <c r="P676" s="300">
        <v>7.0</v>
      </c>
    </row>
    <row r="677">
      <c r="A677">
        <f>IFERROR(__xludf.DUMMYFUNCTION("""COMPUTED_VALUE"""),10.0)</f>
        <v>10</v>
      </c>
      <c r="B677" s="406">
        <f>IFERROR(__xludf.DUMMYFUNCTION("""COMPUTED_VALUE"""),28054.0)</f>
        <v>28054</v>
      </c>
      <c r="C677" t="str">
        <f>IFERROR(__xludf.DUMMYFUNCTION("""COMPUTED_VALUE"""),"LOPEZ ESCOBAR, CLEMENTE")</f>
        <v>LOPEZ ESCOBAR, CLEMENTE</v>
      </c>
      <c r="D677" t="str">
        <f>IFERROR(__xludf.DUMMYFUNCTION("""COMPUTED_VALUE"""),"AP Spanish Language and Culture")</f>
        <v>AP Spanish Language and Culture</v>
      </c>
      <c r="E677" s="3">
        <f>IFERROR(__xludf.DUMMYFUNCTION("""COMPUTED_VALUE"""),7.0)</f>
        <v>7</v>
      </c>
      <c r="F677" s="300">
        <v>1.0</v>
      </c>
      <c r="G677" s="300">
        <v>1.0</v>
      </c>
      <c r="H677" s="300">
        <v>1.0</v>
      </c>
      <c r="I677" s="300">
        <v>1.0</v>
      </c>
      <c r="J677" s="300">
        <v>1.0</v>
      </c>
      <c r="K677" s="300">
        <v>1.0</v>
      </c>
      <c r="L677" s="300">
        <v>1.0</v>
      </c>
      <c r="M677" s="300">
        <v>1.0</v>
      </c>
      <c r="N677" s="300">
        <v>8.0</v>
      </c>
      <c r="O677" s="300" t="s">
        <v>821</v>
      </c>
      <c r="P677" s="300">
        <v>7.0</v>
      </c>
    </row>
    <row r="678">
      <c r="A678">
        <f>IFERROR(__xludf.DUMMYFUNCTION("""COMPUTED_VALUE"""),10.0)</f>
        <v>10</v>
      </c>
      <c r="B678" s="406">
        <f>IFERROR(__xludf.DUMMYFUNCTION("""COMPUTED_VALUE"""),28003.0)</f>
        <v>28003</v>
      </c>
      <c r="C678" t="str">
        <f>IFERROR(__xludf.DUMMYFUNCTION("""COMPUTED_VALUE"""),"ARANGO DUQUE, TOMAS")</f>
        <v>ARANGO DUQUE, TOMAS</v>
      </c>
      <c r="D678" t="str">
        <f>IFERROR(__xludf.DUMMYFUNCTION("""COMPUTED_VALUE"""),"AP Spanish Language and Culture")</f>
        <v>AP Spanish Language and Culture</v>
      </c>
      <c r="E678" s="3">
        <f>IFERROR(__xludf.DUMMYFUNCTION("""COMPUTED_VALUE"""),8.0)</f>
        <v>8</v>
      </c>
      <c r="F678" s="300">
        <v>1.0</v>
      </c>
      <c r="G678" s="300">
        <v>1.0</v>
      </c>
      <c r="H678" s="300">
        <v>1.0</v>
      </c>
      <c r="I678" s="300">
        <v>1.0</v>
      </c>
      <c r="J678" s="300">
        <v>1.0</v>
      </c>
      <c r="K678" s="300">
        <v>1.0</v>
      </c>
      <c r="L678" s="300">
        <v>1.0</v>
      </c>
      <c r="M678" s="300">
        <v>1.0</v>
      </c>
      <c r="N678" s="300">
        <v>8.0</v>
      </c>
      <c r="O678" s="300" t="s">
        <v>818</v>
      </c>
      <c r="P678" s="300">
        <v>7.0</v>
      </c>
    </row>
    <row r="679">
      <c r="A679">
        <f>IFERROR(__xludf.DUMMYFUNCTION("""COMPUTED_VALUE"""),10.0)</f>
        <v>10</v>
      </c>
      <c r="B679" s="406">
        <f>IFERROR(__xludf.DUMMYFUNCTION("""COMPUTED_VALUE"""),28103.0)</f>
        <v>28103</v>
      </c>
      <c r="C679" t="str">
        <f>IFERROR(__xludf.DUMMYFUNCTION("""COMPUTED_VALUE"""),"SANIN VELASQUEZ, ISRAEL")</f>
        <v>SANIN VELASQUEZ, ISRAEL</v>
      </c>
      <c r="D679" t="str">
        <f>IFERROR(__xludf.DUMMYFUNCTION("""COMPUTED_VALUE"""),"AP Spanish Language and Culture")</f>
        <v>AP Spanish Language and Culture</v>
      </c>
      <c r="E679" s="3">
        <f>IFERROR(__xludf.DUMMYFUNCTION("""COMPUTED_VALUE"""),3.0)</f>
        <v>3</v>
      </c>
      <c r="F679" s="300">
        <v>1.0</v>
      </c>
      <c r="G679" s="300">
        <v>1.0</v>
      </c>
      <c r="H679" s="300">
        <v>1.0</v>
      </c>
      <c r="I679" s="300">
        <v>1.0</v>
      </c>
      <c r="J679" s="300">
        <v>1.0</v>
      </c>
      <c r="K679" s="300">
        <v>1.0</v>
      </c>
      <c r="L679" s="300">
        <v>1.0</v>
      </c>
      <c r="M679" s="300">
        <v>1.0</v>
      </c>
      <c r="N679" s="300">
        <v>8.0</v>
      </c>
      <c r="O679" s="300" t="s">
        <v>820</v>
      </c>
      <c r="P679" s="300">
        <v>7.0</v>
      </c>
    </row>
    <row r="680">
      <c r="A680">
        <f>IFERROR(__xludf.DUMMYFUNCTION("""COMPUTED_VALUE"""),10.0)</f>
        <v>10</v>
      </c>
      <c r="B680" s="406">
        <f>IFERROR(__xludf.DUMMYFUNCTION("""COMPUTED_VALUE"""),28163.0)</f>
        <v>28163</v>
      </c>
      <c r="C680" t="str">
        <f>IFERROR(__xludf.DUMMYFUNCTION("""COMPUTED_VALUE"""),"GARCIA VALENCIA, EMILIO")</f>
        <v>GARCIA VALENCIA, EMILIO</v>
      </c>
      <c r="D680" t="str">
        <f>IFERROR(__xludf.DUMMYFUNCTION("""COMPUTED_VALUE"""),"AP Spanish Language and Culture")</f>
        <v>AP Spanish Language and Culture</v>
      </c>
      <c r="E680" s="3">
        <f>IFERROR(__xludf.DUMMYFUNCTION("""COMPUTED_VALUE"""),7.0)</f>
        <v>7</v>
      </c>
      <c r="F680" s="300">
        <v>1.0</v>
      </c>
      <c r="G680" s="300">
        <v>1.0</v>
      </c>
      <c r="H680" s="300">
        <v>1.0</v>
      </c>
      <c r="I680" s="300">
        <v>1.0</v>
      </c>
      <c r="J680" s="300">
        <v>1.0</v>
      </c>
      <c r="K680" s="300">
        <v>1.0</v>
      </c>
      <c r="L680" s="300">
        <v>1.0</v>
      </c>
      <c r="M680" s="300">
        <v>1.0</v>
      </c>
      <c r="N680" s="300">
        <v>8.0</v>
      </c>
      <c r="O680" s="300" t="s">
        <v>821</v>
      </c>
      <c r="P680" s="300">
        <v>7.0</v>
      </c>
    </row>
    <row r="681">
      <c r="A681">
        <f>IFERROR(__xludf.DUMMYFUNCTION("""COMPUTED_VALUE"""),10.0)</f>
        <v>10</v>
      </c>
      <c r="B681" s="406">
        <f>IFERROR(__xludf.DUMMYFUNCTION("""COMPUTED_VALUE"""),28074.0)</f>
        <v>28074</v>
      </c>
      <c r="C681" t="str">
        <f>IFERROR(__xludf.DUMMYFUNCTION("""COMPUTED_VALUE"""),"NAVARRO VILLA, JUAN MARTIN")</f>
        <v>NAVARRO VILLA, JUAN MARTIN</v>
      </c>
      <c r="D681" t="str">
        <f>IFERROR(__xludf.DUMMYFUNCTION("""COMPUTED_VALUE"""),"AP Spanish Language and Culture")</f>
        <v>AP Spanish Language and Culture</v>
      </c>
      <c r="E681" s="3">
        <f>IFERROR(__xludf.DUMMYFUNCTION("""COMPUTED_VALUE"""),4.0)</f>
        <v>4</v>
      </c>
      <c r="F681" s="300">
        <v>1.0</v>
      </c>
      <c r="G681" s="300">
        <v>1.0</v>
      </c>
      <c r="H681" s="300">
        <v>1.0</v>
      </c>
      <c r="I681" s="300">
        <v>1.0</v>
      </c>
      <c r="J681" s="300">
        <v>1.0</v>
      </c>
      <c r="K681" s="300">
        <v>1.0</v>
      </c>
      <c r="L681" s="300">
        <v>1.0</v>
      </c>
      <c r="M681" s="300">
        <v>1.0</v>
      </c>
      <c r="N681" s="300">
        <v>8.0</v>
      </c>
      <c r="O681" s="300" t="s">
        <v>817</v>
      </c>
      <c r="P681" s="300">
        <v>7.0</v>
      </c>
    </row>
    <row r="682">
      <c r="A682">
        <f>IFERROR(__xludf.DUMMYFUNCTION("""COMPUTED_VALUE"""),10.0)</f>
        <v>10</v>
      </c>
      <c r="B682" s="406">
        <f>IFERROR(__xludf.DUMMYFUNCTION("""COMPUTED_VALUE"""),28173.0)</f>
        <v>28173</v>
      </c>
      <c r="C682" t="str">
        <f>IFERROR(__xludf.DUMMYFUNCTION("""COMPUTED_VALUE"""),"RUIZ RAMIREZ, JACOBO")</f>
        <v>RUIZ RAMIREZ, JACOBO</v>
      </c>
      <c r="D682" t="str">
        <f>IFERROR(__xludf.DUMMYFUNCTION("""COMPUTED_VALUE"""),"AP Spanish Language and Culture")</f>
        <v>AP Spanish Language and Culture</v>
      </c>
      <c r="E682" s="3">
        <f>IFERROR(__xludf.DUMMYFUNCTION("""COMPUTED_VALUE"""),1.0)</f>
        <v>1</v>
      </c>
      <c r="F682" s="300">
        <v>1.0</v>
      </c>
      <c r="G682" s="300">
        <v>1.0</v>
      </c>
      <c r="H682" s="300">
        <v>1.0</v>
      </c>
      <c r="I682" s="300">
        <v>1.0</v>
      </c>
      <c r="J682" s="300">
        <v>1.0</v>
      </c>
      <c r="K682" s="300">
        <v>1.0</v>
      </c>
      <c r="L682" s="300">
        <v>1.0</v>
      </c>
      <c r="M682" s="300">
        <v>1.0</v>
      </c>
      <c r="N682" s="300">
        <v>8.0</v>
      </c>
      <c r="O682" s="300" t="s">
        <v>822</v>
      </c>
      <c r="P682" s="300">
        <v>7.0</v>
      </c>
    </row>
    <row r="683">
      <c r="A683">
        <f>IFERROR(__xludf.DUMMYFUNCTION("""COMPUTED_VALUE"""),10.0)</f>
        <v>10</v>
      </c>
      <c r="B683" s="406">
        <f>IFERROR(__xludf.DUMMYFUNCTION("""COMPUTED_VALUE"""),28159.0)</f>
        <v>28159</v>
      </c>
      <c r="C683" t="str">
        <f>IFERROR(__xludf.DUMMYFUNCTION("""COMPUTED_VALUE"""),"OROZCO RINCON, JUAN SEBASTIAN")</f>
        <v>OROZCO RINCON, JUAN SEBASTIAN</v>
      </c>
      <c r="D683" t="str">
        <f>IFERROR(__xludf.DUMMYFUNCTION("""COMPUTED_VALUE"""),"AP Spanish Language and Culture")</f>
        <v>AP Spanish Language and Culture</v>
      </c>
      <c r="E683" s="3">
        <f>IFERROR(__xludf.DUMMYFUNCTION("""COMPUTED_VALUE"""),6.0)</f>
        <v>6</v>
      </c>
      <c r="F683" s="300">
        <v>1.0</v>
      </c>
      <c r="G683" s="300">
        <v>1.0</v>
      </c>
      <c r="H683" s="300">
        <v>1.0</v>
      </c>
      <c r="I683" s="300">
        <v>1.0</v>
      </c>
      <c r="J683" s="300">
        <v>1.0</v>
      </c>
      <c r="K683" s="300">
        <v>1.0</v>
      </c>
      <c r="L683" s="300">
        <v>1.0</v>
      </c>
      <c r="M683" s="300">
        <v>1.0</v>
      </c>
      <c r="N683" s="300">
        <v>8.0</v>
      </c>
      <c r="O683" s="300" t="s">
        <v>816</v>
      </c>
      <c r="P683" s="300">
        <v>7.0</v>
      </c>
    </row>
    <row r="684">
      <c r="A684">
        <f>IFERROR(__xludf.DUMMYFUNCTION("""COMPUTED_VALUE"""),10.0)</f>
        <v>10</v>
      </c>
      <c r="B684" s="406">
        <f>IFERROR(__xludf.DUMMYFUNCTION("""COMPUTED_VALUE"""),28063.0)</f>
        <v>28063</v>
      </c>
      <c r="C684" t="str">
        <f>IFERROR(__xludf.DUMMYFUNCTION("""COMPUTED_VALUE"""),"MEJIA GONZALEZ, ISMAEL IGNACIO")</f>
        <v>MEJIA GONZALEZ, ISMAEL IGNACIO</v>
      </c>
      <c r="D684" t="str">
        <f>IFERROR(__xludf.DUMMYFUNCTION("""COMPUTED_VALUE"""),"AP Spanish Language and Culture")</f>
        <v>AP Spanish Language and Culture</v>
      </c>
      <c r="E684" s="3">
        <f>IFERROR(__xludf.DUMMYFUNCTION("""COMPUTED_VALUE"""),6.0)</f>
        <v>6</v>
      </c>
      <c r="F684" s="300">
        <v>1.0</v>
      </c>
      <c r="G684" s="300">
        <v>1.0</v>
      </c>
      <c r="H684" s="300">
        <v>1.0</v>
      </c>
      <c r="I684" s="300">
        <v>1.0</v>
      </c>
      <c r="J684" s="300">
        <v>1.0</v>
      </c>
      <c r="K684" s="300">
        <v>1.0</v>
      </c>
      <c r="L684" s="300">
        <v>1.0</v>
      </c>
      <c r="M684" s="300">
        <v>1.0</v>
      </c>
      <c r="N684" s="300">
        <v>8.0</v>
      </c>
      <c r="O684" s="300" t="s">
        <v>816</v>
      </c>
      <c r="P684" s="300">
        <v>7.0</v>
      </c>
    </row>
    <row r="685">
      <c r="A685">
        <f>IFERROR(__xludf.DUMMYFUNCTION("""COMPUTED_VALUE"""),10.0)</f>
        <v>10</v>
      </c>
      <c r="B685" s="406">
        <f>IFERROR(__xludf.DUMMYFUNCTION("""COMPUTED_VALUE"""),28155.0)</f>
        <v>28155</v>
      </c>
      <c r="C685" t="str">
        <f>IFERROR(__xludf.DUMMYFUNCTION("""COMPUTED_VALUE"""),"URIBE CERON, MANUELA")</f>
        <v>URIBE CERON, MANUELA</v>
      </c>
      <c r="D685" t="str">
        <f>IFERROR(__xludf.DUMMYFUNCTION("""COMPUTED_VALUE"""),"AP Spanish Language and Culture")</f>
        <v>AP Spanish Language and Culture</v>
      </c>
      <c r="E685" s="3">
        <f>IFERROR(__xludf.DUMMYFUNCTION("""COMPUTED_VALUE"""),8.0)</f>
        <v>8</v>
      </c>
      <c r="F685" s="300">
        <v>1.0</v>
      </c>
      <c r="G685" s="300">
        <v>1.0</v>
      </c>
      <c r="H685" s="300">
        <v>1.0</v>
      </c>
      <c r="I685" s="300">
        <v>1.0</v>
      </c>
      <c r="J685" s="300">
        <v>1.0</v>
      </c>
      <c r="K685" s="300">
        <v>1.0</v>
      </c>
      <c r="L685" s="300">
        <v>1.0</v>
      </c>
      <c r="M685" s="300">
        <v>1.0</v>
      </c>
      <c r="N685" s="300">
        <v>8.0</v>
      </c>
      <c r="O685" s="300" t="s">
        <v>818</v>
      </c>
      <c r="P685" s="300">
        <v>7.0</v>
      </c>
    </row>
    <row r="686">
      <c r="A686">
        <f>IFERROR(__xludf.DUMMYFUNCTION("""COMPUTED_VALUE"""),10.0)</f>
        <v>10</v>
      </c>
      <c r="B686" s="406">
        <f>IFERROR(__xludf.DUMMYFUNCTION("""COMPUTED_VALUE"""),28109.0)</f>
        <v>28109</v>
      </c>
      <c r="C686" t="str">
        <f>IFERROR(__xludf.DUMMYFUNCTION("""COMPUTED_VALUE"""),"TRUJILLO VELEZ, MARIANA")</f>
        <v>TRUJILLO VELEZ, MARIANA</v>
      </c>
      <c r="D686" t="str">
        <f>IFERROR(__xludf.DUMMYFUNCTION("""COMPUTED_VALUE"""),"AP Spanish Language and Culture")</f>
        <v>AP Spanish Language and Culture</v>
      </c>
      <c r="E686" s="3">
        <f>IFERROR(__xludf.DUMMYFUNCTION("""COMPUTED_VALUE"""),6.0)</f>
        <v>6</v>
      </c>
      <c r="F686" s="300">
        <v>1.0</v>
      </c>
      <c r="G686" s="300">
        <v>1.0</v>
      </c>
      <c r="H686" s="300">
        <v>1.0</v>
      </c>
      <c r="I686" s="300">
        <v>1.0</v>
      </c>
      <c r="J686" s="300">
        <v>1.0</v>
      </c>
      <c r="K686" s="300">
        <v>1.0</v>
      </c>
      <c r="L686" s="300">
        <v>1.0</v>
      </c>
      <c r="M686" s="300">
        <v>1.0</v>
      </c>
      <c r="N686" s="300">
        <v>8.0</v>
      </c>
      <c r="O686" s="300" t="s">
        <v>816</v>
      </c>
      <c r="P686" s="300">
        <v>7.0</v>
      </c>
    </row>
    <row r="687">
      <c r="A687">
        <f>IFERROR(__xludf.DUMMYFUNCTION("""COMPUTED_VALUE"""),10.0)</f>
        <v>10</v>
      </c>
      <c r="B687" s="406">
        <f>IFERROR(__xludf.DUMMYFUNCTION("""COMPUTED_VALUE"""),28108.0)</f>
        <v>28108</v>
      </c>
      <c r="C687" t="str">
        <f>IFERROR(__xludf.DUMMYFUNCTION("""COMPUTED_VALUE"""),"TRUJILLO SOTO, SUSANA")</f>
        <v>TRUJILLO SOTO, SUSANA</v>
      </c>
      <c r="D687" t="str">
        <f>IFERROR(__xludf.DUMMYFUNCTION("""COMPUTED_VALUE"""),"AP Spanish Language and Culture")</f>
        <v>AP Spanish Language and Culture</v>
      </c>
      <c r="E687" s="3">
        <f>IFERROR(__xludf.DUMMYFUNCTION("""COMPUTED_VALUE"""),1.0)</f>
        <v>1</v>
      </c>
      <c r="F687" s="300">
        <v>1.0</v>
      </c>
      <c r="G687" s="300">
        <v>1.0</v>
      </c>
      <c r="H687" s="300">
        <v>1.0</v>
      </c>
      <c r="I687" s="300">
        <v>1.0</v>
      </c>
      <c r="J687" s="300">
        <v>1.0</v>
      </c>
      <c r="K687" s="300">
        <v>1.0</v>
      </c>
      <c r="L687" s="300">
        <v>1.0</v>
      </c>
      <c r="M687" s="300">
        <v>1.0</v>
      </c>
      <c r="N687" s="300">
        <v>8.0</v>
      </c>
      <c r="O687" s="300" t="s">
        <v>822</v>
      </c>
      <c r="P687" s="300">
        <v>7.0</v>
      </c>
    </row>
    <row r="688">
      <c r="A688">
        <f>IFERROR(__xludf.DUMMYFUNCTION("""COMPUTED_VALUE"""),10.0)</f>
        <v>10</v>
      </c>
      <c r="B688" s="406">
        <f>IFERROR(__xludf.DUMMYFUNCTION("""COMPUTED_VALUE"""),27094.0)</f>
        <v>27094</v>
      </c>
      <c r="C688" t="str">
        <f>IFERROR(__xludf.DUMMYFUNCTION("""COMPUTED_VALUE"""),"RAMIREZ CORREA, TOMAS")</f>
        <v>RAMIREZ CORREA, TOMAS</v>
      </c>
      <c r="D688" t="str">
        <f>IFERROR(__xludf.DUMMYFUNCTION("""COMPUTED_VALUE"""),"AP Spanish Language and Culture")</f>
        <v>AP Spanish Language and Culture</v>
      </c>
      <c r="E688" s="3">
        <f>IFERROR(__xludf.DUMMYFUNCTION("""COMPUTED_VALUE"""),5.0)</f>
        <v>5</v>
      </c>
      <c r="F688" s="300">
        <v>1.0</v>
      </c>
      <c r="G688" s="300">
        <v>1.0</v>
      </c>
      <c r="H688" s="300">
        <v>1.0</v>
      </c>
      <c r="I688" s="300">
        <v>1.0</v>
      </c>
      <c r="J688" s="300">
        <v>1.0</v>
      </c>
      <c r="K688" s="300">
        <v>1.0</v>
      </c>
      <c r="L688" s="300">
        <v>1.0</v>
      </c>
      <c r="M688" s="300">
        <v>1.0</v>
      </c>
      <c r="N688" s="300">
        <v>8.0</v>
      </c>
      <c r="O688" s="300" t="s">
        <v>819</v>
      </c>
      <c r="P688" s="300">
        <v>7.0</v>
      </c>
    </row>
    <row r="689">
      <c r="A689">
        <f>IFERROR(__xludf.DUMMYFUNCTION("""COMPUTED_VALUE"""),10.0)</f>
        <v>10</v>
      </c>
      <c r="B689" s="406">
        <f>IFERROR(__xludf.DUMMYFUNCTION("""COMPUTED_VALUE"""),28171.0)</f>
        <v>28171</v>
      </c>
      <c r="C689" t="str">
        <f>IFERROR(__xludf.DUMMYFUNCTION("""COMPUTED_VALUE"""),"DE MUNCK MORTIER, JULIE")</f>
        <v>DE MUNCK MORTIER, JULIE</v>
      </c>
      <c r="D689" t="str">
        <f>IFERROR(__xludf.DUMMYFUNCTION("""COMPUTED_VALUE"""),"AP Spanish Language and Culture")</f>
        <v>AP Spanish Language and Culture</v>
      </c>
      <c r="E689" s="3">
        <f>IFERROR(__xludf.DUMMYFUNCTION("""COMPUTED_VALUE"""),6.0)</f>
        <v>6</v>
      </c>
      <c r="F689" s="300">
        <v>1.0</v>
      </c>
      <c r="G689" s="300">
        <v>1.0</v>
      </c>
      <c r="H689" s="300">
        <v>1.0</v>
      </c>
      <c r="I689" s="300">
        <v>1.0</v>
      </c>
      <c r="J689" s="300">
        <v>1.0</v>
      </c>
      <c r="K689" s="300">
        <v>1.0</v>
      </c>
      <c r="L689" s="300">
        <v>1.0</v>
      </c>
      <c r="M689" s="300">
        <v>1.0</v>
      </c>
      <c r="N689" s="300">
        <v>8.0</v>
      </c>
      <c r="O689" s="300" t="s">
        <v>816</v>
      </c>
      <c r="P689" s="300">
        <v>7.0</v>
      </c>
    </row>
    <row r="690">
      <c r="A690">
        <f>IFERROR(__xludf.DUMMYFUNCTION("""COMPUTED_VALUE"""),10.0)</f>
        <v>10</v>
      </c>
      <c r="B690" s="406">
        <f>IFERROR(__xludf.DUMMYFUNCTION("""COMPUTED_VALUE"""),28174.0)</f>
        <v>28174</v>
      </c>
      <c r="C690" t="str">
        <f>IFERROR(__xludf.DUMMYFUNCTION("""COMPUTED_VALUE"""),"SANCHEZ HAVARD, VANESA FAITH")</f>
        <v>SANCHEZ HAVARD, VANESA FAITH</v>
      </c>
      <c r="D690" t="str">
        <f>IFERROR(__xludf.DUMMYFUNCTION("""COMPUTED_VALUE"""),"Spanish as a Foreing Language")</f>
        <v>Spanish as a Foreing Language</v>
      </c>
      <c r="E690" s="3">
        <f>IFERROR(__xludf.DUMMYFUNCTION("""COMPUTED_VALUE"""),8.0)</f>
        <v>8</v>
      </c>
      <c r="F690" s="300">
        <v>1.0</v>
      </c>
      <c r="G690" s="300">
        <v>1.0</v>
      </c>
      <c r="H690" s="300">
        <v>1.0</v>
      </c>
      <c r="I690" s="300">
        <v>1.0</v>
      </c>
      <c r="J690" s="300">
        <v>1.0</v>
      </c>
      <c r="K690" s="300">
        <v>1.0</v>
      </c>
      <c r="L690" s="300">
        <v>1.0</v>
      </c>
      <c r="M690" s="300">
        <v>1.0</v>
      </c>
      <c r="N690" s="300">
        <v>8.0</v>
      </c>
      <c r="O690" s="300" t="s">
        <v>815</v>
      </c>
      <c r="P690" s="300">
        <v>1.0</v>
      </c>
    </row>
    <row r="691">
      <c r="A691">
        <f>IFERROR(__xludf.DUMMYFUNCTION("""COMPUTED_VALUE"""),10.0)</f>
        <v>10</v>
      </c>
      <c r="B691" s="406">
        <f>IFERROR(__xludf.DUMMYFUNCTION("""COMPUTED_VALUE"""),28158.0)</f>
        <v>28158</v>
      </c>
      <c r="C691" t="str">
        <f>IFERROR(__xludf.DUMMYFUNCTION("""COMPUTED_VALUE"""),"ZARRUK BELTRAN, MARTIN")</f>
        <v>ZARRUK BELTRAN, MARTIN</v>
      </c>
      <c r="D691" t="str">
        <f>IFERROR(__xludf.DUMMYFUNCTION("""COMPUTED_VALUE"""),"AP Spanish Language and Culture")</f>
        <v>AP Spanish Language and Culture</v>
      </c>
      <c r="E691" s="3">
        <f>IFERROR(__xludf.DUMMYFUNCTION("""COMPUTED_VALUE"""),6.0)</f>
        <v>6</v>
      </c>
      <c r="F691" s="300">
        <v>1.0</v>
      </c>
      <c r="G691" s="300">
        <v>1.0</v>
      </c>
      <c r="H691" s="300">
        <v>1.0</v>
      </c>
      <c r="I691" s="300">
        <v>1.0</v>
      </c>
      <c r="J691" s="300">
        <v>1.0</v>
      </c>
      <c r="K691" s="300">
        <v>1.0</v>
      </c>
      <c r="L691" s="300">
        <v>1.0</v>
      </c>
      <c r="M691" s="300">
        <v>1.0</v>
      </c>
      <c r="N691" s="300">
        <v>8.0</v>
      </c>
      <c r="O691" s="300" t="s">
        <v>816</v>
      </c>
      <c r="P691" s="300">
        <v>7.0</v>
      </c>
    </row>
    <row r="692">
      <c r="A692">
        <f>IFERROR(__xludf.DUMMYFUNCTION("""COMPUTED_VALUE"""),10.0)</f>
        <v>10</v>
      </c>
      <c r="B692" s="406">
        <f>IFERROR(__xludf.DUMMYFUNCTION("""COMPUTED_VALUE"""),28140.0)</f>
        <v>28140</v>
      </c>
      <c r="C692" t="str">
        <f>IFERROR(__xludf.DUMMYFUNCTION("""COMPUTED_VALUE"""),"ARISTIZABAL VILLEGAS, EMILIO")</f>
        <v>ARISTIZABAL VILLEGAS, EMILIO</v>
      </c>
      <c r="D692" t="str">
        <f>IFERROR(__xludf.DUMMYFUNCTION("""COMPUTED_VALUE"""),"AP Spanish Language and Culture")</f>
        <v>AP Spanish Language and Culture</v>
      </c>
      <c r="E692" s="3">
        <f>IFERROR(__xludf.DUMMYFUNCTION("""COMPUTED_VALUE"""),8.0)</f>
        <v>8</v>
      </c>
      <c r="F692" s="300">
        <v>1.0</v>
      </c>
      <c r="G692" s="300">
        <v>1.0</v>
      </c>
      <c r="H692" s="300">
        <v>1.0</v>
      </c>
      <c r="I692" s="300">
        <v>1.0</v>
      </c>
      <c r="J692" s="300">
        <v>1.0</v>
      </c>
      <c r="K692" s="300">
        <v>1.0</v>
      </c>
      <c r="L692" s="300">
        <v>1.0</v>
      </c>
      <c r="M692" s="300">
        <v>1.0</v>
      </c>
      <c r="N692" s="300">
        <v>8.0</v>
      </c>
      <c r="O692" s="300" t="s">
        <v>818</v>
      </c>
      <c r="P692" s="300">
        <v>7.0</v>
      </c>
    </row>
    <row r="693">
      <c r="A693">
        <f>IFERROR(__xludf.DUMMYFUNCTION("""COMPUTED_VALUE"""),10.0)</f>
        <v>10</v>
      </c>
      <c r="B693" s="406">
        <f>IFERROR(__xludf.DUMMYFUNCTION("""COMPUTED_VALUE"""),28020.0)</f>
        <v>28020</v>
      </c>
      <c r="C693" t="str">
        <f>IFERROR(__xludf.DUMMYFUNCTION("""COMPUTED_VALUE"""),"CADAVID RESTREPO, ANTONIO")</f>
        <v>CADAVID RESTREPO, ANTONIO</v>
      </c>
      <c r="D693" t="str">
        <f>IFERROR(__xludf.DUMMYFUNCTION("""COMPUTED_VALUE"""),"AP Spanish Language and Culture")</f>
        <v>AP Spanish Language and Culture</v>
      </c>
      <c r="E693" s="3">
        <f>IFERROR(__xludf.DUMMYFUNCTION("""COMPUTED_VALUE"""),5.0)</f>
        <v>5</v>
      </c>
      <c r="F693" s="300">
        <v>1.0</v>
      </c>
      <c r="G693" s="300">
        <v>1.0</v>
      </c>
      <c r="H693" s="300">
        <v>1.0</v>
      </c>
      <c r="I693" s="300">
        <v>1.0</v>
      </c>
      <c r="J693" s="300">
        <v>1.0</v>
      </c>
      <c r="K693" s="300">
        <v>1.0</v>
      </c>
      <c r="L693" s="300">
        <v>1.0</v>
      </c>
      <c r="M693" s="300">
        <v>1.0</v>
      </c>
      <c r="N693" s="300">
        <v>8.0</v>
      </c>
      <c r="O693" s="300" t="s">
        <v>819</v>
      </c>
      <c r="P693" s="300">
        <v>7.0</v>
      </c>
    </row>
    <row r="694">
      <c r="A694">
        <f>IFERROR(__xludf.DUMMYFUNCTION("""COMPUTED_VALUE"""),10.0)</f>
        <v>10</v>
      </c>
      <c r="B694" s="406">
        <f>IFERROR(__xludf.DUMMYFUNCTION("""COMPUTED_VALUE"""),28095.0)</f>
        <v>28095</v>
      </c>
      <c r="C694" t="str">
        <f>IFERROR(__xludf.DUMMYFUNCTION("""COMPUTED_VALUE"""),"RESTREPO QUINTERO, ANTONIO")</f>
        <v>RESTREPO QUINTERO, ANTONIO</v>
      </c>
      <c r="D694" t="str">
        <f>IFERROR(__xludf.DUMMYFUNCTION("""COMPUTED_VALUE"""),"AP Spanish Language and Culture")</f>
        <v>AP Spanish Language and Culture</v>
      </c>
      <c r="E694" s="3">
        <f>IFERROR(__xludf.DUMMYFUNCTION("""COMPUTED_VALUE"""),1.0)</f>
        <v>1</v>
      </c>
      <c r="F694" s="300">
        <v>1.0</v>
      </c>
      <c r="G694" s="300">
        <v>1.0</v>
      </c>
      <c r="H694" s="300">
        <v>1.0</v>
      </c>
      <c r="I694" s="300">
        <v>1.0</v>
      </c>
      <c r="J694" s="300">
        <v>1.0</v>
      </c>
      <c r="K694" s="300">
        <v>1.0</v>
      </c>
      <c r="L694" s="300">
        <v>1.0</v>
      </c>
      <c r="M694" s="300">
        <v>1.0</v>
      </c>
      <c r="N694" s="300">
        <v>8.0</v>
      </c>
      <c r="O694" s="300" t="s">
        <v>822</v>
      </c>
      <c r="P694" s="300">
        <v>7.0</v>
      </c>
    </row>
    <row r="695">
      <c r="A695">
        <f>IFERROR(__xludf.DUMMYFUNCTION("""COMPUTED_VALUE"""),10.0)</f>
        <v>10</v>
      </c>
      <c r="B695" s="406">
        <f>IFERROR(__xludf.DUMMYFUNCTION("""COMPUTED_VALUE"""),28002.0)</f>
        <v>28002</v>
      </c>
      <c r="C695" t="str">
        <f>IFERROR(__xludf.DUMMYFUNCTION("""COMPUTED_VALUE"""),"ANGEL MESA, PEDRO")</f>
        <v>ANGEL MESA, PEDRO</v>
      </c>
      <c r="D695" t="str">
        <f>IFERROR(__xludf.DUMMYFUNCTION("""COMPUTED_VALUE"""),"AP Spanish Language and Culture")</f>
        <v>AP Spanish Language and Culture</v>
      </c>
      <c r="E695" s="3">
        <f>IFERROR(__xludf.DUMMYFUNCTION("""COMPUTED_VALUE"""),1.0)</f>
        <v>1</v>
      </c>
      <c r="F695" s="300">
        <v>1.0</v>
      </c>
      <c r="G695" s="300">
        <v>1.0</v>
      </c>
      <c r="H695" s="300">
        <v>1.0</v>
      </c>
      <c r="I695" s="300">
        <v>1.0</v>
      </c>
      <c r="J695" s="300">
        <v>1.0</v>
      </c>
      <c r="K695" s="300">
        <v>1.0</v>
      </c>
      <c r="L695" s="300">
        <v>1.0</v>
      </c>
      <c r="M695" s="300">
        <v>1.0</v>
      </c>
      <c r="N695" s="300">
        <v>8.0</v>
      </c>
      <c r="O695" s="300" t="s">
        <v>822</v>
      </c>
      <c r="P695" s="300">
        <v>7.0</v>
      </c>
    </row>
    <row r="696">
      <c r="A696">
        <f>IFERROR(__xludf.DUMMYFUNCTION("""COMPUTED_VALUE"""),10.0)</f>
        <v>10</v>
      </c>
      <c r="B696" s="406">
        <f>IFERROR(__xludf.DUMMYFUNCTION("""COMPUTED_VALUE"""),28052.0)</f>
        <v>28052</v>
      </c>
      <c r="C696" t="str">
        <f>IFERROR(__xludf.DUMMYFUNCTION("""COMPUTED_VALUE"""),"LONDOÑO VILLA, PEDRO")</f>
        <v>LONDOÑO VILLA, PEDRO</v>
      </c>
      <c r="D696" t="str">
        <f>IFERROR(__xludf.DUMMYFUNCTION("""COMPUTED_VALUE"""),"AP Spanish Language and Culture")</f>
        <v>AP Spanish Language and Culture</v>
      </c>
      <c r="E696" s="3">
        <f>IFERROR(__xludf.DUMMYFUNCTION("""COMPUTED_VALUE"""),4.0)</f>
        <v>4</v>
      </c>
      <c r="F696" s="300">
        <v>1.0</v>
      </c>
      <c r="G696" s="300">
        <v>1.0</v>
      </c>
      <c r="H696" s="300">
        <v>1.0</v>
      </c>
      <c r="I696" s="300">
        <v>1.0</v>
      </c>
      <c r="J696" s="300">
        <v>1.0</v>
      </c>
      <c r="K696" s="300">
        <v>1.0</v>
      </c>
      <c r="L696" s="300">
        <v>1.0</v>
      </c>
      <c r="M696" s="300">
        <v>1.0</v>
      </c>
      <c r="N696" s="300">
        <v>8.0</v>
      </c>
      <c r="O696" s="300" t="s">
        <v>817</v>
      </c>
      <c r="P696" s="300">
        <v>7.0</v>
      </c>
    </row>
    <row r="697">
      <c r="A697">
        <f>IFERROR(__xludf.DUMMYFUNCTION("""COMPUTED_VALUE"""),10.0)</f>
        <v>10</v>
      </c>
      <c r="B697" s="406">
        <f>IFERROR(__xludf.DUMMYFUNCTION("""COMPUTED_VALUE"""),28101.0)</f>
        <v>28101</v>
      </c>
      <c r="C697" t="str">
        <f>IFERROR(__xludf.DUMMYFUNCTION("""COMPUTED_VALUE"""),"ROJAS VELEZ, LUCIANA")</f>
        <v>ROJAS VELEZ, LUCIANA</v>
      </c>
      <c r="D697" t="str">
        <f>IFERROR(__xludf.DUMMYFUNCTION("""COMPUTED_VALUE"""),"AP Spanish Language and Culture")</f>
        <v>AP Spanish Language and Culture</v>
      </c>
      <c r="E697" s="3">
        <f>IFERROR(__xludf.DUMMYFUNCTION("""COMPUTED_VALUE"""),3.0)</f>
        <v>3</v>
      </c>
      <c r="F697" s="300">
        <v>1.0</v>
      </c>
      <c r="G697" s="300">
        <v>1.0</v>
      </c>
      <c r="H697" s="300">
        <v>1.0</v>
      </c>
      <c r="I697" s="300">
        <v>1.0</v>
      </c>
      <c r="J697" s="300">
        <v>1.0</v>
      </c>
      <c r="K697" s="300">
        <v>1.0</v>
      </c>
      <c r="L697" s="300">
        <v>1.0</v>
      </c>
      <c r="M697" s="300">
        <v>1.0</v>
      </c>
      <c r="N697" s="300">
        <v>8.0</v>
      </c>
      <c r="O697" s="300" t="s">
        <v>820</v>
      </c>
      <c r="P697" s="300">
        <v>7.0</v>
      </c>
    </row>
    <row r="698">
      <c r="A698">
        <f>IFERROR(__xludf.DUMMYFUNCTION("""COMPUTED_VALUE"""),10.0)</f>
        <v>10</v>
      </c>
      <c r="B698" s="406">
        <f>IFERROR(__xludf.DUMMYFUNCTION("""COMPUTED_VALUE"""),28061.0)</f>
        <v>28061</v>
      </c>
      <c r="C698" t="str">
        <f>IFERROR(__xludf.DUMMYFUNCTION("""COMPUTED_VALUE"""),"MEDINA NOREÑA, MANUELA")</f>
        <v>MEDINA NOREÑA, MANUELA</v>
      </c>
      <c r="D698" t="str">
        <f>IFERROR(__xludf.DUMMYFUNCTION("""COMPUTED_VALUE"""),"AP Spanish Language and Culture")</f>
        <v>AP Spanish Language and Culture</v>
      </c>
      <c r="E698" s="3">
        <f>IFERROR(__xludf.DUMMYFUNCTION("""COMPUTED_VALUE"""),4.0)</f>
        <v>4</v>
      </c>
      <c r="F698" s="300">
        <v>1.0</v>
      </c>
      <c r="G698" s="300">
        <v>1.0</v>
      </c>
      <c r="H698" s="300">
        <v>1.0</v>
      </c>
      <c r="I698" s="300">
        <v>1.0</v>
      </c>
      <c r="J698" s="300">
        <v>1.0</v>
      </c>
      <c r="K698" s="300">
        <v>1.0</v>
      </c>
      <c r="L698" s="300">
        <v>1.0</v>
      </c>
      <c r="M698" s="300">
        <v>1.0</v>
      </c>
      <c r="N698" s="300">
        <v>8.0</v>
      </c>
      <c r="O698" s="300" t="s">
        <v>817</v>
      </c>
      <c r="P698" s="300">
        <v>7.0</v>
      </c>
    </row>
    <row r="699">
      <c r="A699">
        <f>IFERROR(__xludf.DUMMYFUNCTION("""COMPUTED_VALUE"""),10.0)</f>
        <v>10</v>
      </c>
      <c r="B699" s="406">
        <f>IFERROR(__xludf.DUMMYFUNCTION("""COMPUTED_VALUE"""),28136.0)</f>
        <v>28136</v>
      </c>
      <c r="C699" t="str">
        <f>IFERROR(__xludf.DUMMYFUNCTION("""COMPUTED_VALUE"""),"SALAZAR ECHEVERRI, ELISA")</f>
        <v>SALAZAR ECHEVERRI, ELISA</v>
      </c>
      <c r="D699" t="str">
        <f>IFERROR(__xludf.DUMMYFUNCTION("""COMPUTED_VALUE"""),"AP Spanish Language and Culture")</f>
        <v>AP Spanish Language and Culture</v>
      </c>
      <c r="E699" s="3">
        <f>IFERROR(__xludf.DUMMYFUNCTION("""COMPUTED_VALUE"""),8.0)</f>
        <v>8</v>
      </c>
      <c r="F699" s="300">
        <v>1.0</v>
      </c>
      <c r="G699" s="300">
        <v>1.0</v>
      </c>
      <c r="H699" s="300">
        <v>1.0</v>
      </c>
      <c r="I699" s="300">
        <v>1.0</v>
      </c>
      <c r="J699" s="300">
        <v>1.0</v>
      </c>
      <c r="K699" s="300">
        <v>1.0</v>
      </c>
      <c r="L699" s="300">
        <v>1.0</v>
      </c>
      <c r="M699" s="300">
        <v>1.0</v>
      </c>
      <c r="N699" s="300">
        <v>8.0</v>
      </c>
      <c r="O699" s="300" t="s">
        <v>818</v>
      </c>
      <c r="P699" s="300">
        <v>7.0</v>
      </c>
    </row>
    <row r="700">
      <c r="A700">
        <f>IFERROR(__xludf.DUMMYFUNCTION("""COMPUTED_VALUE"""),10.0)</f>
        <v>10</v>
      </c>
      <c r="B700" s="406">
        <f>IFERROR(__xludf.DUMMYFUNCTION("""COMPUTED_VALUE"""),28010.0)</f>
        <v>28010</v>
      </c>
      <c r="C700" t="str">
        <f>IFERROR(__xludf.DUMMYFUNCTION("""COMPUTED_VALUE"""),"ATEHORTUA MORENO, SOFIA")</f>
        <v>ATEHORTUA MORENO, SOFIA</v>
      </c>
      <c r="D700" t="str">
        <f>IFERROR(__xludf.DUMMYFUNCTION("""COMPUTED_VALUE"""),"AP Spanish Language and Culture")</f>
        <v>AP Spanish Language and Culture</v>
      </c>
      <c r="E700" s="3">
        <f>IFERROR(__xludf.DUMMYFUNCTION("""COMPUTED_VALUE"""),8.0)</f>
        <v>8</v>
      </c>
      <c r="F700" s="300">
        <v>1.0</v>
      </c>
      <c r="G700" s="300">
        <v>1.0</v>
      </c>
      <c r="H700" s="300">
        <v>1.0</v>
      </c>
      <c r="I700" s="300">
        <v>1.0</v>
      </c>
      <c r="J700" s="300">
        <v>1.0</v>
      </c>
      <c r="K700" s="300">
        <v>1.0</v>
      </c>
      <c r="L700" s="300">
        <v>1.0</v>
      </c>
      <c r="M700" s="300">
        <v>1.0</v>
      </c>
      <c r="N700" s="300">
        <v>8.0</v>
      </c>
      <c r="O700" s="300" t="s">
        <v>818</v>
      </c>
      <c r="P700" s="300">
        <v>7.0</v>
      </c>
    </row>
    <row r="701">
      <c r="A701">
        <f>IFERROR(__xludf.DUMMYFUNCTION("""COMPUTED_VALUE"""),10.0)</f>
        <v>10</v>
      </c>
      <c r="B701" s="406">
        <f>IFERROR(__xludf.DUMMYFUNCTION("""COMPUTED_VALUE"""),28035.0)</f>
        <v>28035</v>
      </c>
      <c r="C701" t="str">
        <f>IFERROR(__xludf.DUMMYFUNCTION("""COMPUTED_VALUE"""),"GAVIRIA GONZALEZ, MARIA JOSE")</f>
        <v>GAVIRIA GONZALEZ, MARIA JOSE</v>
      </c>
      <c r="D701" t="str">
        <f>IFERROR(__xludf.DUMMYFUNCTION("""COMPUTED_VALUE"""),"AP Spanish Language and Culture")</f>
        <v>AP Spanish Language and Culture</v>
      </c>
      <c r="E701" s="3">
        <f>IFERROR(__xludf.DUMMYFUNCTION("""COMPUTED_VALUE"""),8.0)</f>
        <v>8</v>
      </c>
      <c r="F701" s="300">
        <v>1.0</v>
      </c>
      <c r="G701" s="300">
        <v>1.0</v>
      </c>
      <c r="H701" s="300">
        <v>1.0</v>
      </c>
      <c r="I701" s="300">
        <v>1.0</v>
      </c>
      <c r="J701" s="300">
        <v>1.0</v>
      </c>
      <c r="K701" s="300">
        <v>1.0</v>
      </c>
      <c r="L701" s="300">
        <v>1.0</v>
      </c>
      <c r="M701" s="300">
        <v>1.0</v>
      </c>
      <c r="N701" s="300">
        <v>8.0</v>
      </c>
      <c r="O701" s="300" t="s">
        <v>818</v>
      </c>
      <c r="P701" s="300">
        <v>7.0</v>
      </c>
    </row>
    <row r="702">
      <c r="A702">
        <f>IFERROR(__xludf.DUMMYFUNCTION("""COMPUTED_VALUE"""),10.0)</f>
        <v>10</v>
      </c>
      <c r="B702" s="406">
        <f>IFERROR(__xludf.DUMMYFUNCTION("""COMPUTED_VALUE"""),28027.0)</f>
        <v>28027</v>
      </c>
      <c r="C702" t="str">
        <f>IFERROR(__xludf.DUMMYFUNCTION("""COMPUTED_VALUE"""),"ESTRADA JIMENEZ, MARIA")</f>
        <v>ESTRADA JIMENEZ, MARIA</v>
      </c>
      <c r="D702" t="str">
        <f>IFERROR(__xludf.DUMMYFUNCTION("""COMPUTED_VALUE"""),"AP Spanish Language and Culture")</f>
        <v>AP Spanish Language and Culture</v>
      </c>
      <c r="E702" s="3">
        <f>IFERROR(__xludf.DUMMYFUNCTION("""COMPUTED_VALUE"""),8.0)</f>
        <v>8</v>
      </c>
      <c r="F702" s="300">
        <v>1.0</v>
      </c>
      <c r="G702" s="300">
        <v>1.0</v>
      </c>
      <c r="H702" s="300">
        <v>1.0</v>
      </c>
      <c r="I702" s="300">
        <v>1.0</v>
      </c>
      <c r="J702" s="300">
        <v>1.0</v>
      </c>
      <c r="K702" s="300">
        <v>1.0</v>
      </c>
      <c r="L702" s="300">
        <v>1.0</v>
      </c>
      <c r="M702" s="300">
        <v>1.0</v>
      </c>
      <c r="N702" s="300">
        <v>8.0</v>
      </c>
      <c r="O702" s="300" t="s">
        <v>818</v>
      </c>
      <c r="P702" s="300">
        <v>7.0</v>
      </c>
    </row>
    <row r="703">
      <c r="A703">
        <f>IFERROR(__xludf.DUMMYFUNCTION("""COMPUTED_VALUE"""),10.0)</f>
        <v>10</v>
      </c>
      <c r="B703" s="406">
        <f>IFERROR(__xludf.DUMMYFUNCTION("""COMPUTED_VALUE"""),27152.0)</f>
        <v>27152</v>
      </c>
      <c r="C703" t="str">
        <f>IFERROR(__xludf.DUMMYFUNCTION("""COMPUTED_VALUE"""),"GARCIA GONZALEZ, MARIA ANTONIA")</f>
        <v>GARCIA GONZALEZ, MARIA ANTONIA</v>
      </c>
      <c r="D703" t="str">
        <f>IFERROR(__xludf.DUMMYFUNCTION("""COMPUTED_VALUE"""),"AP Spanish Language and Culture")</f>
        <v>AP Spanish Language and Culture</v>
      </c>
      <c r="E703" s="3">
        <f>IFERROR(__xludf.DUMMYFUNCTION("""COMPUTED_VALUE"""),7.0)</f>
        <v>7</v>
      </c>
      <c r="F703" s="300">
        <v>1.0</v>
      </c>
      <c r="G703" s="300">
        <v>1.0</v>
      </c>
      <c r="H703" s="300">
        <v>1.0</v>
      </c>
      <c r="I703" s="300">
        <v>1.0</v>
      </c>
      <c r="J703" s="300">
        <v>1.0</v>
      </c>
      <c r="K703" s="300">
        <v>1.0</v>
      </c>
      <c r="L703" s="300">
        <v>1.0</v>
      </c>
      <c r="M703" s="300">
        <v>1.0</v>
      </c>
      <c r="N703" s="300">
        <v>8.0</v>
      </c>
      <c r="O703" s="300" t="s">
        <v>821</v>
      </c>
      <c r="P703" s="300">
        <v>7.0</v>
      </c>
    </row>
    <row r="704">
      <c r="A704">
        <f>IFERROR(__xludf.DUMMYFUNCTION("""COMPUTED_VALUE"""),10.0)</f>
        <v>10</v>
      </c>
      <c r="B704" s="406">
        <f>IFERROR(__xludf.DUMMYFUNCTION("""COMPUTED_VALUE"""),28026.0)</f>
        <v>28026</v>
      </c>
      <c r="C704" t="str">
        <f>IFERROR(__xludf.DUMMYFUNCTION("""COMPUTED_VALUE"""),"ESPINAL MONTOYA, JULIETA")</f>
        <v>ESPINAL MONTOYA, JULIETA</v>
      </c>
      <c r="D704" t="str">
        <f>IFERROR(__xludf.DUMMYFUNCTION("""COMPUTED_VALUE"""),"AP Spanish Language and Culture")</f>
        <v>AP Spanish Language and Culture</v>
      </c>
      <c r="E704" s="3">
        <f>IFERROR(__xludf.DUMMYFUNCTION("""COMPUTED_VALUE"""),5.0)</f>
        <v>5</v>
      </c>
      <c r="F704" s="300">
        <v>1.0</v>
      </c>
      <c r="G704" s="300">
        <v>1.0</v>
      </c>
      <c r="H704" s="300">
        <v>1.0</v>
      </c>
      <c r="I704" s="300">
        <v>1.0</v>
      </c>
      <c r="J704" s="300">
        <v>1.0</v>
      </c>
      <c r="K704" s="300">
        <v>1.0</v>
      </c>
      <c r="L704" s="300">
        <v>1.0</v>
      </c>
      <c r="M704" s="300">
        <v>1.0</v>
      </c>
      <c r="N704" s="300">
        <v>8.0</v>
      </c>
      <c r="O704" s="300" t="s">
        <v>819</v>
      </c>
      <c r="P704" s="300">
        <v>7.0</v>
      </c>
    </row>
    <row r="705">
      <c r="A705">
        <f>IFERROR(__xludf.DUMMYFUNCTION("""COMPUTED_VALUE"""),10.0)</f>
        <v>10</v>
      </c>
      <c r="B705" s="406">
        <f>IFERROR(__xludf.DUMMYFUNCTION("""COMPUTED_VALUE"""),28025.0)</f>
        <v>28025</v>
      </c>
      <c r="C705" t="str">
        <f>IFERROR(__xludf.DUMMYFUNCTION("""COMPUTED_VALUE"""),"ESCOBAR INFANTINO, SAMUEL")</f>
        <v>ESCOBAR INFANTINO, SAMUEL</v>
      </c>
      <c r="D705" t="str">
        <f>IFERROR(__xludf.DUMMYFUNCTION("""COMPUTED_VALUE"""),"AP Spanish Language and Culture")</f>
        <v>AP Spanish Language and Culture</v>
      </c>
      <c r="E705" s="3">
        <f>IFERROR(__xludf.DUMMYFUNCTION("""COMPUTED_VALUE"""),5.0)</f>
        <v>5</v>
      </c>
      <c r="F705" s="300">
        <v>1.0</v>
      </c>
      <c r="G705" s="300">
        <v>1.0</v>
      </c>
      <c r="H705" s="300">
        <v>1.0</v>
      </c>
      <c r="I705" s="300">
        <v>1.0</v>
      </c>
      <c r="J705" s="300">
        <v>1.0</v>
      </c>
      <c r="K705" s="300">
        <v>1.0</v>
      </c>
      <c r="L705" s="300">
        <v>1.0</v>
      </c>
      <c r="M705" s="300">
        <v>1.0</v>
      </c>
      <c r="N705" s="300">
        <v>8.0</v>
      </c>
      <c r="O705" s="300" t="s">
        <v>819</v>
      </c>
      <c r="P705" s="300">
        <v>7.0</v>
      </c>
    </row>
    <row r="706">
      <c r="A706">
        <f>IFERROR(__xludf.DUMMYFUNCTION("""COMPUTED_VALUE"""),10.0)</f>
        <v>10</v>
      </c>
      <c r="B706" s="406">
        <f>IFERROR(__xludf.DUMMYFUNCTION("""COMPUTED_VALUE"""),27100.0)</f>
        <v>27100</v>
      </c>
      <c r="C706" t="str">
        <f>IFERROR(__xludf.DUMMYFUNCTION("""COMPUTED_VALUE"""),"ROJAS SANCHEZ, SUSANA")</f>
        <v>ROJAS SANCHEZ, SUSANA</v>
      </c>
      <c r="D706" t="str">
        <f>IFERROR(__xludf.DUMMYFUNCTION("""COMPUTED_VALUE"""),"AP Spanish Language and Culture")</f>
        <v>AP Spanish Language and Culture</v>
      </c>
      <c r="E706" s="3">
        <f>IFERROR(__xludf.DUMMYFUNCTION("""COMPUTED_VALUE"""),8.0)</f>
        <v>8</v>
      </c>
      <c r="F706" s="300">
        <v>1.0</v>
      </c>
      <c r="G706" s="300">
        <v>1.0</v>
      </c>
      <c r="H706" s="300">
        <v>1.0</v>
      </c>
      <c r="I706" s="300">
        <v>1.0</v>
      </c>
      <c r="J706" s="300">
        <v>1.0</v>
      </c>
      <c r="K706" s="300">
        <v>1.0</v>
      </c>
      <c r="L706" s="300">
        <v>1.0</v>
      </c>
      <c r="M706" s="300">
        <v>1.0</v>
      </c>
      <c r="N706" s="300">
        <v>8.0</v>
      </c>
      <c r="O706" s="300" t="s">
        <v>818</v>
      </c>
      <c r="P706" s="300">
        <v>7.0</v>
      </c>
    </row>
    <row r="707">
      <c r="A707">
        <f>IFERROR(__xludf.DUMMYFUNCTION("""COMPUTED_VALUE"""),10.0)</f>
        <v>10</v>
      </c>
      <c r="B707" s="406">
        <f>IFERROR(__xludf.DUMMYFUNCTION("""COMPUTED_VALUE"""),28139.0)</f>
        <v>28139</v>
      </c>
      <c r="C707" t="str">
        <f>IFERROR(__xludf.DUMMYFUNCTION("""COMPUTED_VALUE"""),"BERNAL ESTRADA, MATIAS")</f>
        <v>BERNAL ESTRADA, MATIAS</v>
      </c>
      <c r="D707" t="str">
        <f>IFERROR(__xludf.DUMMYFUNCTION("""COMPUTED_VALUE"""),"AP Spanish Language and Culture")</f>
        <v>AP Spanish Language and Culture</v>
      </c>
      <c r="E707" s="3">
        <f>IFERROR(__xludf.DUMMYFUNCTION("""COMPUTED_VALUE"""),4.0)</f>
        <v>4</v>
      </c>
      <c r="F707" s="300">
        <v>1.0</v>
      </c>
      <c r="G707" s="300">
        <v>1.0</v>
      </c>
      <c r="H707" s="300">
        <v>1.0</v>
      </c>
      <c r="I707" s="300">
        <v>1.0</v>
      </c>
      <c r="J707" s="300">
        <v>1.0</v>
      </c>
      <c r="K707" s="300">
        <v>1.0</v>
      </c>
      <c r="L707" s="300">
        <v>1.0</v>
      </c>
      <c r="M707" s="300">
        <v>1.0</v>
      </c>
      <c r="N707" s="300">
        <v>8.0</v>
      </c>
      <c r="O707" s="300" t="s">
        <v>817</v>
      </c>
      <c r="P707" s="300">
        <v>7.0</v>
      </c>
    </row>
    <row r="708">
      <c r="A708">
        <f>IFERROR(__xludf.DUMMYFUNCTION("""COMPUTED_VALUE"""),10.0)</f>
        <v>10</v>
      </c>
      <c r="B708" s="406">
        <f>IFERROR(__xludf.DUMMYFUNCTION("""COMPUTED_VALUE"""),28048.0)</f>
        <v>28048</v>
      </c>
      <c r="C708" t="str">
        <f>IFERROR(__xludf.DUMMYFUNCTION("""COMPUTED_VALUE"""),"ISAZA VELASQUEZ, EMILIANA")</f>
        <v>ISAZA VELASQUEZ, EMILIANA</v>
      </c>
      <c r="D708" t="str">
        <f>IFERROR(__xludf.DUMMYFUNCTION("""COMPUTED_VALUE"""),"AP Spanish Language and Culture")</f>
        <v>AP Spanish Language and Culture</v>
      </c>
      <c r="E708" s="3">
        <f>IFERROR(__xludf.DUMMYFUNCTION("""COMPUTED_VALUE"""),6.0)</f>
        <v>6</v>
      </c>
      <c r="F708" s="300">
        <v>1.0</v>
      </c>
      <c r="G708" s="300">
        <v>1.0</v>
      </c>
      <c r="H708" s="300">
        <v>1.0</v>
      </c>
      <c r="I708" s="300">
        <v>1.0</v>
      </c>
      <c r="J708" s="300">
        <v>1.0</v>
      </c>
      <c r="K708" s="300">
        <v>1.0</v>
      </c>
      <c r="L708" s="300">
        <v>1.0</v>
      </c>
      <c r="M708" s="300">
        <v>1.0</v>
      </c>
      <c r="N708" s="300">
        <v>8.0</v>
      </c>
      <c r="O708" s="300" t="s">
        <v>816</v>
      </c>
      <c r="P708" s="300">
        <v>7.0</v>
      </c>
    </row>
    <row r="709">
      <c r="A709">
        <f>IFERROR(__xludf.DUMMYFUNCTION("""COMPUTED_VALUE"""),10.0)</f>
        <v>10</v>
      </c>
      <c r="B709" s="406">
        <f>IFERROR(__xludf.DUMMYFUNCTION("""COMPUTED_VALUE"""),27024.0)</f>
        <v>27024</v>
      </c>
      <c r="C709" t="str">
        <f>IFERROR(__xludf.DUMMYFUNCTION("""COMPUTED_VALUE"""),"CASTRO CASTAÑEDA, CYAN")</f>
        <v>CASTRO CASTAÑEDA, CYAN</v>
      </c>
      <c r="D709" t="str">
        <f>IFERROR(__xludf.DUMMYFUNCTION("""COMPUTED_VALUE"""),"AP Spanish Language and Culture")</f>
        <v>AP Spanish Language and Culture</v>
      </c>
      <c r="E709" s="3">
        <f>IFERROR(__xludf.DUMMYFUNCTION("""COMPUTED_VALUE"""),7.0)</f>
        <v>7</v>
      </c>
      <c r="F709" s="300">
        <v>1.0</v>
      </c>
      <c r="G709" s="300">
        <v>1.0</v>
      </c>
      <c r="H709" s="300">
        <v>1.0</v>
      </c>
      <c r="I709" s="300">
        <v>1.0</v>
      </c>
      <c r="J709" s="300">
        <v>1.0</v>
      </c>
      <c r="K709" s="300">
        <v>1.0</v>
      </c>
      <c r="L709" s="300">
        <v>1.0</v>
      </c>
      <c r="M709" s="300">
        <v>1.0</v>
      </c>
      <c r="N709" s="300">
        <v>8.0</v>
      </c>
      <c r="O709" s="300" t="s">
        <v>821</v>
      </c>
      <c r="P709" s="300">
        <v>7.0</v>
      </c>
    </row>
    <row r="710">
      <c r="A710">
        <f>IFERROR(__xludf.DUMMYFUNCTION("""COMPUTED_VALUE"""),10.0)</f>
        <v>10</v>
      </c>
      <c r="B710" s="406">
        <f>IFERROR(__xludf.DUMMYFUNCTION("""COMPUTED_VALUE"""),28044.0)</f>
        <v>28044</v>
      </c>
      <c r="C710" t="str">
        <f>IFERROR(__xludf.DUMMYFUNCTION("""COMPUTED_VALUE"""),"GUTIERREZ OCAMPO, VALENTINA")</f>
        <v>GUTIERREZ OCAMPO, VALENTINA</v>
      </c>
      <c r="D710" t="str">
        <f>IFERROR(__xludf.DUMMYFUNCTION("""COMPUTED_VALUE"""),"AP Spanish Language and Culture")</f>
        <v>AP Spanish Language and Culture</v>
      </c>
      <c r="E710" s="3">
        <f>IFERROR(__xludf.DUMMYFUNCTION("""COMPUTED_VALUE"""),4.0)</f>
        <v>4</v>
      </c>
      <c r="F710" s="300">
        <v>1.0</v>
      </c>
      <c r="G710" s="300">
        <v>1.0</v>
      </c>
      <c r="H710" s="300">
        <v>1.0</v>
      </c>
      <c r="I710" s="300">
        <v>1.0</v>
      </c>
      <c r="J710" s="300">
        <v>1.0</v>
      </c>
      <c r="K710" s="300">
        <v>1.0</v>
      </c>
      <c r="L710" s="300">
        <v>1.0</v>
      </c>
      <c r="M710" s="300">
        <v>1.0</v>
      </c>
      <c r="N710" s="300">
        <v>8.0</v>
      </c>
      <c r="O710" s="300" t="s">
        <v>817</v>
      </c>
      <c r="P710" s="300">
        <v>7.0</v>
      </c>
    </row>
    <row r="711">
      <c r="A711">
        <f>IFERROR(__xludf.DUMMYFUNCTION("""COMPUTED_VALUE"""),10.0)</f>
        <v>10</v>
      </c>
      <c r="B711" s="406">
        <f>IFERROR(__xludf.DUMMYFUNCTION("""COMPUTED_VALUE"""),27058.0)</f>
        <v>27058</v>
      </c>
      <c r="C711" t="str">
        <f>IFERROR(__xludf.DUMMYFUNCTION("""COMPUTED_VALUE"""),"LOPEZ MEJIA, MIGUEL")</f>
        <v>LOPEZ MEJIA, MIGUEL</v>
      </c>
      <c r="D711" t="str">
        <f>IFERROR(__xludf.DUMMYFUNCTION("""COMPUTED_VALUE"""),"Spanish Film, Art, and Literature")</f>
        <v>Spanish Film, Art, and Literature</v>
      </c>
      <c r="E711" s="3">
        <f>IFERROR(__xludf.DUMMYFUNCTION("""COMPUTED_VALUE"""),5.0)</f>
        <v>5</v>
      </c>
      <c r="F711" s="300">
        <v>1.0</v>
      </c>
      <c r="G711" s="300">
        <v>1.0</v>
      </c>
      <c r="H711" s="300">
        <v>1.0</v>
      </c>
      <c r="I711" s="300">
        <v>1.0</v>
      </c>
      <c r="J711" s="300">
        <v>1.0</v>
      </c>
      <c r="K711" s="300">
        <v>1.0</v>
      </c>
      <c r="L711" s="300">
        <v>1.0</v>
      </c>
      <c r="M711" s="300">
        <v>1.0</v>
      </c>
      <c r="N711" s="300">
        <v>8.0</v>
      </c>
      <c r="O711" s="300" t="s">
        <v>823</v>
      </c>
      <c r="P711" s="300">
        <v>2.0</v>
      </c>
    </row>
    <row r="712">
      <c r="A712">
        <f>IFERROR(__xludf.DUMMYFUNCTION("""COMPUTED_VALUE"""),10.0)</f>
        <v>10</v>
      </c>
      <c r="B712" s="406">
        <f>IFERROR(__xludf.DUMMYFUNCTION("""COMPUTED_VALUE"""),28038.0)</f>
        <v>28038</v>
      </c>
      <c r="C712" t="str">
        <f>IFERROR(__xludf.DUMMYFUNCTION("""COMPUTED_VALUE"""),"GOMEZ TORRES, MARIA")</f>
        <v>GOMEZ TORRES, MARIA</v>
      </c>
      <c r="D712" t="str">
        <f>IFERROR(__xludf.DUMMYFUNCTION("""COMPUTED_VALUE"""),"AP Spanish Language and Culture")</f>
        <v>AP Spanish Language and Culture</v>
      </c>
      <c r="E712" s="3">
        <f>IFERROR(__xludf.DUMMYFUNCTION("""COMPUTED_VALUE"""),3.0)</f>
        <v>3</v>
      </c>
      <c r="F712" s="300">
        <v>1.0</v>
      </c>
      <c r="G712" s="300">
        <v>1.0</v>
      </c>
      <c r="H712" s="300">
        <v>1.0</v>
      </c>
      <c r="I712" s="300">
        <v>1.0</v>
      </c>
      <c r="J712" s="300">
        <v>1.0</v>
      </c>
      <c r="K712" s="300">
        <v>1.0</v>
      </c>
      <c r="L712" s="300">
        <v>1.0</v>
      </c>
      <c r="M712" s="300">
        <v>1.0</v>
      </c>
      <c r="N712" s="300">
        <v>8.0</v>
      </c>
      <c r="O712" s="300" t="s">
        <v>820</v>
      </c>
      <c r="P712" s="300">
        <v>7.0</v>
      </c>
    </row>
    <row r="713">
      <c r="A713">
        <f>IFERROR(__xludf.DUMMYFUNCTION("""COMPUTED_VALUE"""),10.0)</f>
        <v>10</v>
      </c>
      <c r="B713" s="406">
        <f>IFERROR(__xludf.DUMMYFUNCTION("""COMPUTED_VALUE"""),28094.0)</f>
        <v>28094</v>
      </c>
      <c r="C713" t="str">
        <f>IFERROR(__xludf.DUMMYFUNCTION("""COMPUTED_VALUE"""),"RESTREPO OCHOA, PASCUAL")</f>
        <v>RESTREPO OCHOA, PASCUAL</v>
      </c>
      <c r="D713" t="str">
        <f>IFERROR(__xludf.DUMMYFUNCTION("""COMPUTED_VALUE"""),"AP Spanish Language and Culture")</f>
        <v>AP Spanish Language and Culture</v>
      </c>
      <c r="E713" s="3">
        <f>IFERROR(__xludf.DUMMYFUNCTION("""COMPUTED_VALUE"""),1.0)</f>
        <v>1</v>
      </c>
      <c r="F713" s="300">
        <v>1.0</v>
      </c>
      <c r="G713" s="300">
        <v>1.0</v>
      </c>
      <c r="H713" s="300">
        <v>1.0</v>
      </c>
      <c r="I713" s="300">
        <v>1.0</v>
      </c>
      <c r="J713" s="300">
        <v>1.0</v>
      </c>
      <c r="K713" s="300">
        <v>1.0</v>
      </c>
      <c r="L713" s="300">
        <v>1.0</v>
      </c>
      <c r="M713" s="300">
        <v>1.0</v>
      </c>
      <c r="N713" s="300">
        <v>8.0</v>
      </c>
      <c r="O713" s="300" t="s">
        <v>822</v>
      </c>
      <c r="P713" s="300">
        <v>7.0</v>
      </c>
    </row>
    <row r="714">
      <c r="A714">
        <f>IFERROR(__xludf.DUMMYFUNCTION("""COMPUTED_VALUE"""),10.0)</f>
        <v>10</v>
      </c>
      <c r="B714" s="406">
        <f>IFERROR(__xludf.DUMMYFUNCTION("""COMPUTED_VALUE"""),28041.0)</f>
        <v>28041</v>
      </c>
      <c r="C714" t="str">
        <f>IFERROR(__xludf.DUMMYFUNCTION("""COMPUTED_VALUE"""),"GONZALEZ MIRA, MATIAS")</f>
        <v>GONZALEZ MIRA, MATIAS</v>
      </c>
      <c r="D714" t="str">
        <f>IFERROR(__xludf.DUMMYFUNCTION("""COMPUTED_VALUE"""),"AP Spanish Language and Culture")</f>
        <v>AP Spanish Language and Culture</v>
      </c>
      <c r="E714" s="3">
        <f>IFERROR(__xludf.DUMMYFUNCTION("""COMPUTED_VALUE"""),4.0)</f>
        <v>4</v>
      </c>
      <c r="F714" s="300">
        <v>1.0</v>
      </c>
      <c r="G714" s="300">
        <v>1.0</v>
      </c>
      <c r="H714" s="300">
        <v>1.0</v>
      </c>
      <c r="I714" s="300">
        <v>1.0</v>
      </c>
      <c r="J714" s="300">
        <v>1.0</v>
      </c>
      <c r="K714" s="300">
        <v>1.0</v>
      </c>
      <c r="L714" s="300">
        <v>1.0</v>
      </c>
      <c r="M714" s="300">
        <v>1.0</v>
      </c>
      <c r="N714" s="300">
        <v>8.0</v>
      </c>
      <c r="O714" s="300" t="s">
        <v>817</v>
      </c>
      <c r="P714" s="300">
        <v>7.0</v>
      </c>
    </row>
    <row r="715">
      <c r="A715">
        <f>IFERROR(__xludf.DUMMYFUNCTION("""COMPUTED_VALUE"""),10.0)</f>
        <v>10</v>
      </c>
      <c r="B715" s="406">
        <f>IFERROR(__xludf.DUMMYFUNCTION("""COMPUTED_VALUE"""),28112.0)</f>
        <v>28112</v>
      </c>
      <c r="C715" t="str">
        <f>IFERROR(__xludf.DUMMYFUNCTION("""COMPUTED_VALUE"""),"VELASQUEZ OCHOA, MIGUEL")</f>
        <v>VELASQUEZ OCHOA, MIGUEL</v>
      </c>
      <c r="D715" t="str">
        <f>IFERROR(__xludf.DUMMYFUNCTION("""COMPUTED_VALUE"""),"AP Spanish Language and Culture")</f>
        <v>AP Spanish Language and Culture</v>
      </c>
      <c r="E715" s="3">
        <f>IFERROR(__xludf.DUMMYFUNCTION("""COMPUTED_VALUE"""),7.0)</f>
        <v>7</v>
      </c>
      <c r="F715" s="300">
        <v>1.0</v>
      </c>
      <c r="G715" s="300">
        <v>1.0</v>
      </c>
      <c r="H715" s="300">
        <v>1.0</v>
      </c>
      <c r="I715" s="300">
        <v>1.0</v>
      </c>
      <c r="J715" s="300">
        <v>1.0</v>
      </c>
      <c r="K715" s="300">
        <v>1.0</v>
      </c>
      <c r="L715" s="300">
        <v>1.0</v>
      </c>
      <c r="M715" s="300">
        <v>1.0</v>
      </c>
      <c r="N715" s="300">
        <v>8.0</v>
      </c>
      <c r="O715" s="300" t="s">
        <v>821</v>
      </c>
      <c r="P715" s="300">
        <v>7.0</v>
      </c>
    </row>
    <row r="716">
      <c r="A716">
        <f>IFERROR(__xludf.DUMMYFUNCTION("""COMPUTED_VALUE"""),10.0)</f>
        <v>10</v>
      </c>
      <c r="B716" s="406">
        <f>IFERROR(__xludf.DUMMYFUNCTION("""COMPUTED_VALUE"""),28156.0)</f>
        <v>28156</v>
      </c>
      <c r="C716" t="str">
        <f>IFERROR(__xludf.DUMMYFUNCTION("""COMPUTED_VALUE"""),"URIBE CERON, SIMON")</f>
        <v>URIBE CERON, SIMON</v>
      </c>
      <c r="D716" t="str">
        <f>IFERROR(__xludf.DUMMYFUNCTION("""COMPUTED_VALUE"""),"AP Spanish Language and Culture")</f>
        <v>AP Spanish Language and Culture</v>
      </c>
      <c r="E716" s="3">
        <f>IFERROR(__xludf.DUMMYFUNCTION("""COMPUTED_VALUE"""),3.0)</f>
        <v>3</v>
      </c>
      <c r="F716" s="300">
        <v>1.0</v>
      </c>
      <c r="G716" s="300">
        <v>1.0</v>
      </c>
      <c r="H716" s="300">
        <v>1.0</v>
      </c>
      <c r="I716" s="300">
        <v>1.0</v>
      </c>
      <c r="J716" s="300">
        <v>1.0</v>
      </c>
      <c r="K716" s="300">
        <v>1.0</v>
      </c>
      <c r="L716" s="300">
        <v>1.0</v>
      </c>
      <c r="M716" s="300">
        <v>1.0</v>
      </c>
      <c r="N716" s="300">
        <v>8.0</v>
      </c>
      <c r="O716" s="300" t="s">
        <v>820</v>
      </c>
      <c r="P716" s="300">
        <v>7.0</v>
      </c>
    </row>
    <row r="717">
      <c r="A717">
        <f>IFERROR(__xludf.DUMMYFUNCTION("""COMPUTED_VALUE"""),10.0)</f>
        <v>10</v>
      </c>
      <c r="B717" s="406">
        <f>IFERROR(__xludf.DUMMYFUNCTION("""COMPUTED_VALUE"""),27009.0)</f>
        <v>27009</v>
      </c>
      <c r="C717" t="str">
        <f>IFERROR(__xludf.DUMMYFUNCTION("""COMPUTED_VALUE"""),"ARBELAEZ VELASQUEZ, ANTONIO")</f>
        <v>ARBELAEZ VELASQUEZ, ANTONIO</v>
      </c>
      <c r="D717" t="str">
        <f>IFERROR(__xludf.DUMMYFUNCTION("""COMPUTED_VALUE"""),"AP Spanish Language and Culture")</f>
        <v>AP Spanish Language and Culture</v>
      </c>
      <c r="E717" s="3">
        <f>IFERROR(__xludf.DUMMYFUNCTION("""COMPUTED_VALUE"""),1.0)</f>
        <v>1</v>
      </c>
      <c r="F717" s="300">
        <v>1.0</v>
      </c>
      <c r="G717" s="300">
        <v>1.0</v>
      </c>
      <c r="H717" s="300">
        <v>1.0</v>
      </c>
      <c r="I717" s="300">
        <v>1.0</v>
      </c>
      <c r="J717" s="300">
        <v>1.0</v>
      </c>
      <c r="K717" s="300">
        <v>1.0</v>
      </c>
      <c r="L717" s="300">
        <v>1.0</v>
      </c>
      <c r="M717" s="300">
        <v>1.0</v>
      </c>
      <c r="N717" s="300">
        <v>8.0</v>
      </c>
      <c r="O717" s="300" t="s">
        <v>822</v>
      </c>
      <c r="P717" s="300">
        <v>7.0</v>
      </c>
    </row>
    <row r="718">
      <c r="A718">
        <f>IFERROR(__xludf.DUMMYFUNCTION("""COMPUTED_VALUE"""),10.0)</f>
        <v>10</v>
      </c>
      <c r="B718" s="406">
        <f>IFERROR(__xludf.DUMMYFUNCTION("""COMPUTED_VALUE"""),28079.0)</f>
        <v>28079</v>
      </c>
      <c r="C718" t="str">
        <f>IFERROR(__xludf.DUMMYFUNCTION("""COMPUTED_VALUE"""),"OSPINA RESTREPO, INES")</f>
        <v>OSPINA RESTREPO, INES</v>
      </c>
      <c r="D718" t="str">
        <f>IFERROR(__xludf.DUMMYFUNCTION("""COMPUTED_VALUE"""),"AP Spanish Language and Culture")</f>
        <v>AP Spanish Language and Culture</v>
      </c>
      <c r="E718" s="3">
        <f>IFERROR(__xludf.DUMMYFUNCTION("""COMPUTED_VALUE"""),6.0)</f>
        <v>6</v>
      </c>
      <c r="F718" s="300">
        <v>1.0</v>
      </c>
      <c r="G718" s="300">
        <v>1.0</v>
      </c>
      <c r="H718" s="300">
        <v>1.0</v>
      </c>
      <c r="I718" s="300">
        <v>1.0</v>
      </c>
      <c r="J718" s="300">
        <v>1.0</v>
      </c>
      <c r="K718" s="300">
        <v>1.0</v>
      </c>
      <c r="L718" s="300">
        <v>1.0</v>
      </c>
      <c r="M718" s="300">
        <v>1.0</v>
      </c>
      <c r="N718" s="300">
        <v>8.0</v>
      </c>
      <c r="O718" s="300" t="s">
        <v>816</v>
      </c>
      <c r="P718" s="300">
        <v>7.0</v>
      </c>
    </row>
    <row r="719">
      <c r="A719">
        <f>IFERROR(__xludf.DUMMYFUNCTION("""COMPUTED_VALUE"""),10.0)</f>
        <v>10</v>
      </c>
      <c r="B719" s="406">
        <f>IFERROR(__xludf.DUMMYFUNCTION("""COMPUTED_VALUE"""),28062.0)</f>
        <v>28062</v>
      </c>
      <c r="C719" t="str">
        <f>IFERROR(__xludf.DUMMYFUNCTION("""COMPUTED_VALUE"""),"MEJIA DUQUE, JERONIMO")</f>
        <v>MEJIA DUQUE, JERONIMO</v>
      </c>
      <c r="D719" t="str">
        <f>IFERROR(__xludf.DUMMYFUNCTION("""COMPUTED_VALUE"""),"AP Spanish Language and Culture")</f>
        <v>AP Spanish Language and Culture</v>
      </c>
      <c r="E719" s="3">
        <f>IFERROR(__xludf.DUMMYFUNCTION("""COMPUTED_VALUE"""),4.0)</f>
        <v>4</v>
      </c>
      <c r="F719" s="300">
        <v>1.0</v>
      </c>
      <c r="G719" s="300">
        <v>1.0</v>
      </c>
      <c r="H719" s="300">
        <v>1.0</v>
      </c>
      <c r="I719" s="300">
        <v>1.0</v>
      </c>
      <c r="J719" s="300">
        <v>1.0</v>
      </c>
      <c r="K719" s="300">
        <v>1.0</v>
      </c>
      <c r="L719" s="300">
        <v>1.0</v>
      </c>
      <c r="M719" s="300">
        <v>1.0</v>
      </c>
      <c r="N719" s="300">
        <v>8.0</v>
      </c>
      <c r="O719" s="300" t="s">
        <v>817</v>
      </c>
      <c r="P719" s="300">
        <v>7.0</v>
      </c>
    </row>
    <row r="720">
      <c r="A720">
        <f>IFERROR(__xludf.DUMMYFUNCTION("""COMPUTED_VALUE"""),10.0)</f>
        <v>10</v>
      </c>
      <c r="B720" s="406">
        <f>IFERROR(__xludf.DUMMYFUNCTION("""COMPUTED_VALUE"""),28118.0)</f>
        <v>28118</v>
      </c>
      <c r="C720" t="str">
        <f>IFERROR(__xludf.DUMMYFUNCTION("""COMPUTED_VALUE"""),"VILLEGAS LONDOÑO, VIOLETA")</f>
        <v>VILLEGAS LONDOÑO, VIOLETA</v>
      </c>
      <c r="D720" t="str">
        <f>IFERROR(__xludf.DUMMYFUNCTION("""COMPUTED_VALUE"""),"AP Spanish Language and Culture")</f>
        <v>AP Spanish Language and Culture</v>
      </c>
      <c r="E720" s="3">
        <f>IFERROR(__xludf.DUMMYFUNCTION("""COMPUTED_VALUE"""),7.0)</f>
        <v>7</v>
      </c>
      <c r="F720" s="300">
        <v>1.0</v>
      </c>
      <c r="G720" s="300">
        <v>1.0</v>
      </c>
      <c r="H720" s="300">
        <v>1.0</v>
      </c>
      <c r="I720" s="300">
        <v>1.0</v>
      </c>
      <c r="J720" s="300">
        <v>1.0</v>
      </c>
      <c r="K720" s="300">
        <v>1.0</v>
      </c>
      <c r="L720" s="300">
        <v>1.0</v>
      </c>
      <c r="M720" s="300">
        <v>1.0</v>
      </c>
      <c r="N720" s="300">
        <v>8.0</v>
      </c>
      <c r="O720" s="300" t="s">
        <v>821</v>
      </c>
      <c r="P720" s="300">
        <v>7.0</v>
      </c>
    </row>
    <row r="721">
      <c r="A721">
        <f>IFERROR(__xludf.DUMMYFUNCTION("""COMPUTED_VALUE"""),10.0)</f>
        <v>10</v>
      </c>
      <c r="B721" s="406">
        <f>IFERROR(__xludf.DUMMYFUNCTION("""COMPUTED_VALUE"""),28030.0)</f>
        <v>28030</v>
      </c>
      <c r="C721" t="str">
        <f>IFERROR(__xludf.DUMMYFUNCTION("""COMPUTED_VALUE"""),"FRANCO USUGA, MARIA JOSE")</f>
        <v>FRANCO USUGA, MARIA JOSE</v>
      </c>
      <c r="D721" t="str">
        <f>IFERROR(__xludf.DUMMYFUNCTION("""COMPUTED_VALUE"""),"AP Spanish Language and Culture")</f>
        <v>AP Spanish Language and Culture</v>
      </c>
      <c r="E721" s="3">
        <f>IFERROR(__xludf.DUMMYFUNCTION("""COMPUTED_VALUE"""),7.0)</f>
        <v>7</v>
      </c>
      <c r="F721" s="300">
        <v>1.0</v>
      </c>
      <c r="G721" s="300">
        <v>1.0</v>
      </c>
      <c r="H721" s="300">
        <v>1.0</v>
      </c>
      <c r="I721" s="300">
        <v>1.0</v>
      </c>
      <c r="J721" s="300">
        <v>1.0</v>
      </c>
      <c r="K721" s="300">
        <v>1.0</v>
      </c>
      <c r="L721" s="300">
        <v>1.0</v>
      </c>
      <c r="M721" s="300">
        <v>1.0</v>
      </c>
      <c r="N721" s="300">
        <v>8.0</v>
      </c>
      <c r="O721" s="300" t="s">
        <v>821</v>
      </c>
      <c r="P721" s="300">
        <v>7.0</v>
      </c>
    </row>
    <row r="722">
      <c r="A722">
        <f>IFERROR(__xludf.DUMMYFUNCTION("""COMPUTED_VALUE"""),10.0)</f>
        <v>10</v>
      </c>
      <c r="B722" s="406">
        <f>IFERROR(__xludf.DUMMYFUNCTION("""COMPUTED_VALUE"""),28107.0)</f>
        <v>28107</v>
      </c>
      <c r="C722" t="str">
        <f>IFERROR(__xludf.DUMMYFUNCTION("""COMPUTED_VALUE"""),"TORO PEREZ, AMALIA")</f>
        <v>TORO PEREZ, AMALIA</v>
      </c>
      <c r="D722" t="str">
        <f>IFERROR(__xludf.DUMMYFUNCTION("""COMPUTED_VALUE"""),"Spanish Film, Art, and Literature")</f>
        <v>Spanish Film, Art, and Literature</v>
      </c>
      <c r="E722" s="3">
        <f>IFERROR(__xludf.DUMMYFUNCTION("""COMPUTED_VALUE"""),5.0)</f>
        <v>5</v>
      </c>
      <c r="F722" s="300">
        <v>1.0</v>
      </c>
      <c r="G722" s="300">
        <v>1.0</v>
      </c>
      <c r="H722" s="300">
        <v>1.0</v>
      </c>
      <c r="I722" s="300">
        <v>1.0</v>
      </c>
      <c r="J722" s="300">
        <v>1.0</v>
      </c>
      <c r="K722" s="300">
        <v>1.0</v>
      </c>
      <c r="L722" s="300">
        <v>1.0</v>
      </c>
      <c r="M722" s="300">
        <v>1.0</v>
      </c>
      <c r="N722" s="300">
        <v>8.0</v>
      </c>
      <c r="O722" s="300" t="s">
        <v>823</v>
      </c>
      <c r="P722" s="300">
        <v>2.0</v>
      </c>
    </row>
    <row r="723">
      <c r="A723">
        <f>IFERROR(__xludf.DUMMYFUNCTION("""COMPUTED_VALUE"""),10.0)</f>
        <v>10</v>
      </c>
      <c r="B723" s="406">
        <f>IFERROR(__xludf.DUMMYFUNCTION("""COMPUTED_VALUE"""),27057.0)</f>
        <v>27057</v>
      </c>
      <c r="C723" t="str">
        <f>IFERROR(__xludf.DUMMYFUNCTION("""COMPUTED_VALUE"""),"LAVERDE GIRALDO, MAXIMILIANO")</f>
        <v>LAVERDE GIRALDO, MAXIMILIANO</v>
      </c>
      <c r="D723" t="str">
        <f>IFERROR(__xludf.DUMMYFUNCTION("""COMPUTED_VALUE"""),"AP Spanish Language and Culture")</f>
        <v>AP Spanish Language and Culture</v>
      </c>
      <c r="E723" s="3">
        <f>IFERROR(__xludf.DUMMYFUNCTION("""COMPUTED_VALUE"""),7.0)</f>
        <v>7</v>
      </c>
      <c r="F723" s="300">
        <v>1.0</v>
      </c>
      <c r="G723" s="300">
        <v>1.0</v>
      </c>
      <c r="H723" s="300">
        <v>1.0</v>
      </c>
      <c r="I723" s="300">
        <v>1.0</v>
      </c>
      <c r="J723" s="300">
        <v>1.0</v>
      </c>
      <c r="K723" s="300">
        <v>1.0</v>
      </c>
      <c r="L723" s="300">
        <v>1.0</v>
      </c>
      <c r="M723" s="300">
        <v>1.0</v>
      </c>
      <c r="N723" s="300">
        <v>8.0</v>
      </c>
      <c r="O723" s="300" t="s">
        <v>821</v>
      </c>
      <c r="P723" s="300">
        <v>7.0</v>
      </c>
    </row>
    <row r="724">
      <c r="A724">
        <f>IFERROR(__xludf.DUMMYFUNCTION("""COMPUTED_VALUE"""),10.0)</f>
        <v>10</v>
      </c>
      <c r="B724" s="406">
        <f>IFERROR(__xludf.DUMMYFUNCTION("""COMPUTED_VALUE"""),28169.0)</f>
        <v>28169</v>
      </c>
      <c r="C724" t="str">
        <f>IFERROR(__xludf.DUMMYFUNCTION("""COMPUTED_VALUE"""),"BOTERO SPERA, ROSA")</f>
        <v>BOTERO SPERA, ROSA</v>
      </c>
      <c r="D724" t="str">
        <f>IFERROR(__xludf.DUMMYFUNCTION("""COMPUTED_VALUE"""),"AP Spanish Language and Culture")</f>
        <v>AP Spanish Language and Culture</v>
      </c>
      <c r="E724" s="3">
        <f>IFERROR(__xludf.DUMMYFUNCTION("""COMPUTED_VALUE"""),3.0)</f>
        <v>3</v>
      </c>
      <c r="F724" s="300">
        <v>1.0</v>
      </c>
      <c r="G724" s="300">
        <v>1.0</v>
      </c>
      <c r="H724" s="300">
        <v>1.0</v>
      </c>
      <c r="I724" s="300">
        <v>1.0</v>
      </c>
      <c r="J724" s="300">
        <v>1.0</v>
      </c>
      <c r="K724" s="300">
        <v>1.0</v>
      </c>
      <c r="L724" s="300">
        <v>1.0</v>
      </c>
      <c r="M724" s="300">
        <v>1.0</v>
      </c>
      <c r="N724" s="300">
        <v>8.0</v>
      </c>
      <c r="O724" s="300" t="s">
        <v>820</v>
      </c>
      <c r="P724" s="300">
        <v>7.0</v>
      </c>
    </row>
    <row r="725">
      <c r="A725">
        <f>IFERROR(__xludf.DUMMYFUNCTION("""COMPUTED_VALUE"""),10.0)</f>
        <v>10</v>
      </c>
      <c r="B725" s="406">
        <f>IFERROR(__xludf.DUMMYFUNCTION("""COMPUTED_VALUE"""),28015.0)</f>
        <v>28015</v>
      </c>
      <c r="C725" t="str">
        <f>IFERROR(__xludf.DUMMYFUNCTION("""COMPUTED_VALUE"""),"BOTERO BOTERO, EULALIA")</f>
        <v>BOTERO BOTERO, EULALIA</v>
      </c>
      <c r="D725" t="str">
        <f>IFERROR(__xludf.DUMMYFUNCTION("""COMPUTED_VALUE"""),"AP Spanish Language and Culture")</f>
        <v>AP Spanish Language and Culture</v>
      </c>
      <c r="E725" s="3">
        <f>IFERROR(__xludf.DUMMYFUNCTION("""COMPUTED_VALUE"""),6.0)</f>
        <v>6</v>
      </c>
      <c r="F725" s="300">
        <v>1.0</v>
      </c>
      <c r="G725" s="300">
        <v>1.0</v>
      </c>
      <c r="H725" s="300">
        <v>1.0</v>
      </c>
      <c r="I725" s="300">
        <v>1.0</v>
      </c>
      <c r="J725" s="300">
        <v>1.0</v>
      </c>
      <c r="K725" s="300">
        <v>1.0</v>
      </c>
      <c r="L725" s="300">
        <v>1.0</v>
      </c>
      <c r="M725" s="300">
        <v>1.0</v>
      </c>
      <c r="N725" s="300">
        <v>8.0</v>
      </c>
      <c r="O725" s="300" t="s">
        <v>816</v>
      </c>
      <c r="P725" s="300">
        <v>7.0</v>
      </c>
    </row>
    <row r="726">
      <c r="A726">
        <f>IFERROR(__xludf.DUMMYFUNCTION("""COMPUTED_VALUE"""),10.0)</f>
        <v>10</v>
      </c>
      <c r="B726" s="406">
        <f>IFERROR(__xludf.DUMMYFUNCTION("""COMPUTED_VALUE"""),28057.0)</f>
        <v>28057</v>
      </c>
      <c r="C726" t="str">
        <f>IFERROR(__xludf.DUMMYFUNCTION("""COMPUTED_VALUE"""),"MARTINEZ AGUILAR, AMELIA")</f>
        <v>MARTINEZ AGUILAR, AMELIA</v>
      </c>
      <c r="D726" t="str">
        <f>IFERROR(__xludf.DUMMYFUNCTION("""COMPUTED_VALUE"""),"AP Spanish Language and Culture")</f>
        <v>AP Spanish Language and Culture</v>
      </c>
      <c r="E726" s="3">
        <f>IFERROR(__xludf.DUMMYFUNCTION("""COMPUTED_VALUE"""),3.0)</f>
        <v>3</v>
      </c>
      <c r="F726" s="300">
        <v>1.0</v>
      </c>
      <c r="G726" s="300">
        <v>1.0</v>
      </c>
      <c r="H726" s="300">
        <v>1.0</v>
      </c>
      <c r="I726" s="300">
        <v>1.0</v>
      </c>
      <c r="J726" s="300">
        <v>1.0</v>
      </c>
      <c r="K726" s="300">
        <v>1.0</v>
      </c>
      <c r="L726" s="300">
        <v>1.0</v>
      </c>
      <c r="M726" s="300">
        <v>1.0</v>
      </c>
      <c r="N726" s="300">
        <v>8.0</v>
      </c>
      <c r="O726" s="300" t="s">
        <v>820</v>
      </c>
      <c r="P726" s="300">
        <v>7.0</v>
      </c>
    </row>
    <row r="727">
      <c r="A727">
        <f>IFERROR(__xludf.DUMMYFUNCTION("""COMPUTED_VALUE"""),10.0)</f>
        <v>10</v>
      </c>
      <c r="B727" s="406">
        <f>IFERROR(__xludf.DUMMYFUNCTION("""COMPUTED_VALUE"""),28135.0)</f>
        <v>28135</v>
      </c>
      <c r="C727" t="str">
        <f>IFERROR(__xludf.DUMMYFUNCTION("""COMPUTED_VALUE"""),"VELEZ RESTREPO, EMILIA")</f>
        <v>VELEZ RESTREPO, EMILIA</v>
      </c>
      <c r="D727" t="str">
        <f>IFERROR(__xludf.DUMMYFUNCTION("""COMPUTED_VALUE"""),"AP Spanish Language and Culture")</f>
        <v>AP Spanish Language and Culture</v>
      </c>
      <c r="E727" s="3">
        <f>IFERROR(__xludf.DUMMYFUNCTION("""COMPUTED_VALUE"""),3.0)</f>
        <v>3</v>
      </c>
      <c r="F727" s="300">
        <v>1.0</v>
      </c>
      <c r="G727" s="300">
        <v>1.0</v>
      </c>
      <c r="H727" s="300">
        <v>1.0</v>
      </c>
      <c r="I727" s="300">
        <v>1.0</v>
      </c>
      <c r="J727" s="300">
        <v>1.0</v>
      </c>
      <c r="K727" s="300">
        <v>1.0</v>
      </c>
      <c r="L727" s="300">
        <v>1.0</v>
      </c>
      <c r="M727" s="300">
        <v>1.0</v>
      </c>
      <c r="N727" s="300">
        <v>8.0</v>
      </c>
      <c r="O727" s="300" t="s">
        <v>820</v>
      </c>
      <c r="P727" s="300">
        <v>7.0</v>
      </c>
    </row>
    <row r="728">
      <c r="A728">
        <f>IFERROR(__xludf.DUMMYFUNCTION("""COMPUTED_VALUE"""),10.0)</f>
        <v>10</v>
      </c>
      <c r="B728" s="406">
        <f>IFERROR(__xludf.DUMMYFUNCTION("""COMPUTED_VALUE"""),28137.0)</f>
        <v>28137</v>
      </c>
      <c r="C728" t="str">
        <f>IFERROR(__xludf.DUMMYFUNCTION("""COMPUTED_VALUE"""),"JARAMILLO PEÑA, PAULA ANDREA")</f>
        <v>JARAMILLO PEÑA, PAULA ANDREA</v>
      </c>
      <c r="D728" t="str">
        <f>IFERROR(__xludf.DUMMYFUNCTION("""COMPUTED_VALUE"""),"AP Spanish Language and Culture")</f>
        <v>AP Spanish Language and Culture</v>
      </c>
      <c r="E728" s="3">
        <f>IFERROR(__xludf.DUMMYFUNCTION("""COMPUTED_VALUE"""),7.0)</f>
        <v>7</v>
      </c>
      <c r="F728" s="300">
        <v>1.0</v>
      </c>
      <c r="G728" s="300">
        <v>1.0</v>
      </c>
      <c r="H728" s="300">
        <v>1.0</v>
      </c>
      <c r="I728" s="300">
        <v>1.0</v>
      </c>
      <c r="J728" s="300">
        <v>1.0</v>
      </c>
      <c r="K728" s="300">
        <v>1.0</v>
      </c>
      <c r="L728" s="300">
        <v>1.0</v>
      </c>
      <c r="M728" s="300">
        <v>1.0</v>
      </c>
      <c r="N728" s="300">
        <v>8.0</v>
      </c>
      <c r="O728" s="300" t="s">
        <v>821</v>
      </c>
      <c r="P728" s="300">
        <v>7.0</v>
      </c>
    </row>
    <row r="729">
      <c r="A729">
        <f>IFERROR(__xludf.DUMMYFUNCTION("""COMPUTED_VALUE"""),10.0)</f>
        <v>10</v>
      </c>
      <c r="B729" s="406">
        <f>IFERROR(__xludf.DUMMYFUNCTION("""COMPUTED_VALUE"""),28028.0)</f>
        <v>28028</v>
      </c>
      <c r="C729" t="str">
        <f>IFERROR(__xludf.DUMMYFUNCTION("""COMPUTED_VALUE"""),"FERRER ESCOBAR, JUAN MARTIN")</f>
        <v>FERRER ESCOBAR, JUAN MARTIN</v>
      </c>
      <c r="D729" t="str">
        <f>IFERROR(__xludf.DUMMYFUNCTION("""COMPUTED_VALUE"""),"AP Spanish Language and Culture")</f>
        <v>AP Spanish Language and Culture</v>
      </c>
      <c r="E729" s="3">
        <f>IFERROR(__xludf.DUMMYFUNCTION("""COMPUTED_VALUE"""),5.0)</f>
        <v>5</v>
      </c>
      <c r="F729" s="300">
        <v>1.0</v>
      </c>
      <c r="G729" s="300">
        <v>1.0</v>
      </c>
      <c r="H729" s="300">
        <v>1.0</v>
      </c>
      <c r="I729" s="300">
        <v>1.0</v>
      </c>
      <c r="J729" s="300">
        <v>1.0</v>
      </c>
      <c r="K729" s="300">
        <v>1.0</v>
      </c>
      <c r="L729" s="300">
        <v>1.0</v>
      </c>
      <c r="M729" s="300">
        <v>1.0</v>
      </c>
      <c r="N729" s="300">
        <v>8.0</v>
      </c>
      <c r="O729" s="300" t="s">
        <v>819</v>
      </c>
      <c r="P729" s="300">
        <v>7.0</v>
      </c>
    </row>
    <row r="730">
      <c r="A730">
        <f>IFERROR(__xludf.DUMMYFUNCTION("""COMPUTED_VALUE"""),10.0)</f>
        <v>10</v>
      </c>
      <c r="B730" s="406">
        <f>IFERROR(__xludf.DUMMYFUNCTION("""COMPUTED_VALUE"""),28014.0)</f>
        <v>28014</v>
      </c>
      <c r="C730" t="str">
        <f>IFERROR(__xludf.DUMMYFUNCTION("""COMPUTED_VALUE"""),"BETANCUR VILLEGAS, MIGUEL")</f>
        <v>BETANCUR VILLEGAS, MIGUEL</v>
      </c>
      <c r="D730" t="str">
        <f>IFERROR(__xludf.DUMMYFUNCTION("""COMPUTED_VALUE"""),"AP Spanish Language and Culture")</f>
        <v>AP Spanish Language and Culture</v>
      </c>
      <c r="E730" s="3">
        <f>IFERROR(__xludf.DUMMYFUNCTION("""COMPUTED_VALUE"""),5.0)</f>
        <v>5</v>
      </c>
      <c r="F730" s="300">
        <v>1.0</v>
      </c>
      <c r="G730" s="300">
        <v>1.0</v>
      </c>
      <c r="H730" s="300">
        <v>1.0</v>
      </c>
      <c r="I730" s="300">
        <v>1.0</v>
      </c>
      <c r="J730" s="300">
        <v>1.0</v>
      </c>
      <c r="K730" s="300">
        <v>1.0</v>
      </c>
      <c r="L730" s="300">
        <v>1.0</v>
      </c>
      <c r="M730" s="300">
        <v>1.0</v>
      </c>
      <c r="N730" s="300">
        <v>8.0</v>
      </c>
      <c r="O730" s="300" t="s">
        <v>819</v>
      </c>
      <c r="P730" s="300">
        <v>7.0</v>
      </c>
    </row>
    <row r="731">
      <c r="A731">
        <f>IFERROR(__xludf.DUMMYFUNCTION("""COMPUTED_VALUE"""),10.0)</f>
        <v>10</v>
      </c>
      <c r="B731" s="406">
        <f>IFERROR(__xludf.DUMMYFUNCTION("""COMPUTED_VALUE"""),28075.0)</f>
        <v>28075</v>
      </c>
      <c r="C731" t="str">
        <f>IFERROR(__xludf.DUMMYFUNCTION("""COMPUTED_VALUE"""),"OCHOA HURTADO, ELENA")</f>
        <v>OCHOA HURTADO, ELENA</v>
      </c>
      <c r="D731" t="str">
        <f>IFERROR(__xludf.DUMMYFUNCTION("""COMPUTED_VALUE"""),"AP Spanish Language and Culture")</f>
        <v>AP Spanish Language and Culture</v>
      </c>
      <c r="E731" s="3">
        <f>IFERROR(__xludf.DUMMYFUNCTION("""COMPUTED_VALUE"""),4.0)</f>
        <v>4</v>
      </c>
      <c r="F731" s="300">
        <v>1.0</v>
      </c>
      <c r="G731" s="300">
        <v>1.0</v>
      </c>
      <c r="H731" s="300">
        <v>1.0</v>
      </c>
      <c r="I731" s="300">
        <v>1.0</v>
      </c>
      <c r="J731" s="300">
        <v>1.0</v>
      </c>
      <c r="K731" s="300">
        <v>1.0</v>
      </c>
      <c r="L731" s="300">
        <v>1.0</v>
      </c>
      <c r="M731" s="300">
        <v>1.0</v>
      </c>
      <c r="N731" s="300">
        <v>8.0</v>
      </c>
      <c r="O731" s="300" t="s">
        <v>817</v>
      </c>
      <c r="P731" s="300">
        <v>7.0</v>
      </c>
    </row>
    <row r="732">
      <c r="A732">
        <f>IFERROR(__xludf.DUMMYFUNCTION("""COMPUTED_VALUE"""),10.0)</f>
        <v>10</v>
      </c>
      <c r="B732" s="406">
        <f>IFERROR(__xludf.DUMMYFUNCTION("""COMPUTED_VALUE"""),28165.0)</f>
        <v>28165</v>
      </c>
      <c r="C732" t="str">
        <f>IFERROR(__xludf.DUMMYFUNCTION("""COMPUTED_VALUE"""),"ARANA CARREÑO, MARIA ANTONIA")</f>
        <v>ARANA CARREÑO, MARIA ANTONIA</v>
      </c>
      <c r="D732" t="str">
        <f>IFERROR(__xludf.DUMMYFUNCTION("""COMPUTED_VALUE"""),"AP Spanish Language and Culture")</f>
        <v>AP Spanish Language and Culture</v>
      </c>
      <c r="E732" s="3">
        <f>IFERROR(__xludf.DUMMYFUNCTION("""COMPUTED_VALUE"""),3.0)</f>
        <v>3</v>
      </c>
      <c r="F732" s="300">
        <v>1.0</v>
      </c>
      <c r="G732" s="300">
        <v>1.0</v>
      </c>
      <c r="H732" s="300">
        <v>1.0</v>
      </c>
      <c r="I732" s="300">
        <v>1.0</v>
      </c>
      <c r="J732" s="300">
        <v>1.0</v>
      </c>
      <c r="K732" s="300">
        <v>1.0</v>
      </c>
      <c r="L732" s="300">
        <v>1.0</v>
      </c>
      <c r="M732" s="300">
        <v>1.0</v>
      </c>
      <c r="N732" s="300">
        <v>8.0</v>
      </c>
      <c r="O732" s="300" t="s">
        <v>820</v>
      </c>
      <c r="P732" s="300">
        <v>7.0</v>
      </c>
    </row>
    <row r="733">
      <c r="A733">
        <f>IFERROR(__xludf.DUMMYFUNCTION("""COMPUTED_VALUE"""),10.0)</f>
        <v>10</v>
      </c>
      <c r="B733" s="406">
        <f>IFERROR(__xludf.DUMMYFUNCTION("""COMPUTED_VALUE"""),28142.0)</f>
        <v>28142</v>
      </c>
      <c r="C733" t="str">
        <f>IFERROR(__xludf.DUMMYFUNCTION("""COMPUTED_VALUE"""),"BOTERO BETANCOURT, NICOLAS")</f>
        <v>BOTERO BETANCOURT, NICOLAS</v>
      </c>
      <c r="D733" t="str">
        <f>IFERROR(__xludf.DUMMYFUNCTION("""COMPUTED_VALUE"""),"AP Spanish Language and Culture")</f>
        <v>AP Spanish Language and Culture</v>
      </c>
      <c r="E733" s="3">
        <f>IFERROR(__xludf.DUMMYFUNCTION("""COMPUTED_VALUE"""),1.0)</f>
        <v>1</v>
      </c>
      <c r="F733" s="300">
        <v>1.0</v>
      </c>
      <c r="G733" s="300">
        <v>1.0</v>
      </c>
      <c r="H733" s="300">
        <v>1.0</v>
      </c>
      <c r="I733" s="300">
        <v>1.0</v>
      </c>
      <c r="J733" s="300">
        <v>1.0</v>
      </c>
      <c r="K733" s="300">
        <v>1.0</v>
      </c>
      <c r="L733" s="300">
        <v>1.0</v>
      </c>
      <c r="M733" s="300">
        <v>1.0</v>
      </c>
      <c r="N733" s="300">
        <v>8.0</v>
      </c>
      <c r="O733" s="300" t="s">
        <v>822</v>
      </c>
      <c r="P733" s="300">
        <v>7.0</v>
      </c>
    </row>
    <row r="734">
      <c r="A734">
        <f>IFERROR(__xludf.DUMMYFUNCTION("""COMPUTED_VALUE"""),10.0)</f>
        <v>10</v>
      </c>
      <c r="B734" s="406">
        <f>IFERROR(__xludf.DUMMYFUNCTION("""COMPUTED_VALUE"""),27008.0)</f>
        <v>27008</v>
      </c>
      <c r="C734" t="str">
        <f>IFERROR(__xludf.DUMMYFUNCTION("""COMPUTED_VALUE"""),"ARBELAEZ VELASQUEZ, AGUSTIN")</f>
        <v>ARBELAEZ VELASQUEZ, AGUSTIN</v>
      </c>
      <c r="D734" t="str">
        <f>IFERROR(__xludf.DUMMYFUNCTION("""COMPUTED_VALUE"""),"AP Spanish Language and Culture")</f>
        <v>AP Spanish Language and Culture</v>
      </c>
      <c r="E734" s="3">
        <f>IFERROR(__xludf.DUMMYFUNCTION("""COMPUTED_VALUE"""),4.0)</f>
        <v>4</v>
      </c>
      <c r="F734" s="300">
        <v>1.0</v>
      </c>
      <c r="G734" s="300">
        <v>1.0</v>
      </c>
      <c r="H734" s="300">
        <v>1.0</v>
      </c>
      <c r="I734" s="300">
        <v>1.0</v>
      </c>
      <c r="J734" s="300">
        <v>1.0</v>
      </c>
      <c r="K734" s="300">
        <v>1.0</v>
      </c>
      <c r="L734" s="300">
        <v>1.0</v>
      </c>
      <c r="M734" s="300">
        <v>1.0</v>
      </c>
      <c r="N734" s="300">
        <v>8.0</v>
      </c>
      <c r="O734" s="300" t="s">
        <v>817</v>
      </c>
      <c r="P734" s="300">
        <v>7.0</v>
      </c>
    </row>
    <row r="735">
      <c r="A735">
        <f>IFERROR(__xludf.DUMMYFUNCTION("""COMPUTED_VALUE"""),10.0)</f>
        <v>10</v>
      </c>
      <c r="B735" s="406">
        <f>IFERROR(__xludf.DUMMYFUNCTION("""COMPUTED_VALUE"""),28161.0)</f>
        <v>28161</v>
      </c>
      <c r="C735" t="str">
        <f>IFERROR(__xludf.DUMMYFUNCTION("""COMPUTED_VALUE"""),"GAVIRIA GOMEZ, JUAN ANDRES")</f>
        <v>GAVIRIA GOMEZ, JUAN ANDRES</v>
      </c>
      <c r="D735" t="str">
        <f>IFERROR(__xludf.DUMMYFUNCTION("""COMPUTED_VALUE"""),"AP Spanish Language and Culture")</f>
        <v>AP Spanish Language and Culture</v>
      </c>
      <c r="E735" s="3">
        <f>IFERROR(__xludf.DUMMYFUNCTION("""COMPUTED_VALUE"""),3.0)</f>
        <v>3</v>
      </c>
      <c r="F735" s="300">
        <v>1.0</v>
      </c>
      <c r="G735" s="300">
        <v>1.0</v>
      </c>
      <c r="H735" s="300">
        <v>1.0</v>
      </c>
      <c r="I735" s="300">
        <v>1.0</v>
      </c>
      <c r="J735" s="300">
        <v>1.0</v>
      </c>
      <c r="K735" s="300">
        <v>1.0</v>
      </c>
      <c r="L735" s="300">
        <v>1.0</v>
      </c>
      <c r="M735" s="300">
        <v>1.0</v>
      </c>
      <c r="N735" s="300">
        <v>8.0</v>
      </c>
      <c r="O735" s="300" t="s">
        <v>820</v>
      </c>
      <c r="P735" s="300">
        <v>7.0</v>
      </c>
    </row>
    <row r="736">
      <c r="A736">
        <f>IFERROR(__xludf.DUMMYFUNCTION("""COMPUTED_VALUE"""),10.0)</f>
        <v>10</v>
      </c>
      <c r="B736" s="406">
        <f>IFERROR(__xludf.DUMMYFUNCTION("""COMPUTED_VALUE"""),28040.0)</f>
        <v>28040</v>
      </c>
      <c r="C736" t="str">
        <f>IFERROR(__xludf.DUMMYFUNCTION("""COMPUTED_VALUE"""),"GONZALEZ MARIN, MANUELA")</f>
        <v>GONZALEZ MARIN, MANUELA</v>
      </c>
      <c r="D736" t="str">
        <f>IFERROR(__xludf.DUMMYFUNCTION("""COMPUTED_VALUE"""),"AP Spanish Language and Culture")</f>
        <v>AP Spanish Language and Culture</v>
      </c>
      <c r="E736" s="3">
        <f>IFERROR(__xludf.DUMMYFUNCTION("""COMPUTED_VALUE"""),7.0)</f>
        <v>7</v>
      </c>
      <c r="F736" s="300">
        <v>1.0</v>
      </c>
      <c r="G736" s="300">
        <v>1.0</v>
      </c>
      <c r="H736" s="300">
        <v>1.0</v>
      </c>
      <c r="I736" s="300">
        <v>1.0</v>
      </c>
      <c r="J736" s="300">
        <v>1.0</v>
      </c>
      <c r="K736" s="300">
        <v>1.0</v>
      </c>
      <c r="L736" s="300">
        <v>1.0</v>
      </c>
      <c r="M736" s="300">
        <v>1.0</v>
      </c>
      <c r="N736" s="300">
        <v>8.0</v>
      </c>
      <c r="O736" s="300" t="s">
        <v>821</v>
      </c>
      <c r="P736" s="300">
        <v>7.0</v>
      </c>
    </row>
    <row r="737">
      <c r="A737">
        <f>IFERROR(__xludf.DUMMYFUNCTION("""COMPUTED_VALUE"""),10.0)</f>
        <v>10</v>
      </c>
      <c r="B737" s="406">
        <f>IFERROR(__xludf.DUMMYFUNCTION("""COMPUTED_VALUE"""),28007.0)</f>
        <v>28007</v>
      </c>
      <c r="C737" t="str">
        <f>IFERROR(__xludf.DUMMYFUNCTION("""COMPUTED_VALUE"""),"ARISTIZABAL SALAZAR, MIGUEL")</f>
        <v>ARISTIZABAL SALAZAR, MIGUEL</v>
      </c>
      <c r="D737" t="str">
        <f>IFERROR(__xludf.DUMMYFUNCTION("""COMPUTED_VALUE"""),"AP Spanish Language and Culture")</f>
        <v>AP Spanish Language and Culture</v>
      </c>
      <c r="E737" s="3">
        <f>IFERROR(__xludf.DUMMYFUNCTION("""COMPUTED_VALUE"""),4.0)</f>
        <v>4</v>
      </c>
      <c r="F737" s="300">
        <v>1.0</v>
      </c>
      <c r="G737" s="300">
        <v>1.0</v>
      </c>
      <c r="H737" s="300">
        <v>1.0</v>
      </c>
      <c r="I737" s="300">
        <v>1.0</v>
      </c>
      <c r="J737" s="300">
        <v>1.0</v>
      </c>
      <c r="K737" s="300">
        <v>1.0</v>
      </c>
      <c r="L737" s="300">
        <v>1.0</v>
      </c>
      <c r="M737" s="300">
        <v>1.0</v>
      </c>
      <c r="N737" s="300">
        <v>8.0</v>
      </c>
      <c r="O737" s="300" t="s">
        <v>817</v>
      </c>
      <c r="P737" s="300">
        <v>7.0</v>
      </c>
    </row>
    <row r="738">
      <c r="A738">
        <f>IFERROR(__xludf.DUMMYFUNCTION("""COMPUTED_VALUE"""),10.0)</f>
        <v>10</v>
      </c>
      <c r="B738" s="406">
        <f>IFERROR(__xludf.DUMMYFUNCTION("""COMPUTED_VALUE"""),28047.0)</f>
        <v>28047</v>
      </c>
      <c r="C738" t="str">
        <f>IFERROR(__xludf.DUMMYFUNCTION("""COMPUTED_VALUE"""),"ISAZA BETANCUR, CRISTOBAL")</f>
        <v>ISAZA BETANCUR, CRISTOBAL</v>
      </c>
      <c r="D738" t="str">
        <f>IFERROR(__xludf.DUMMYFUNCTION("""COMPUTED_VALUE"""),"AP Spanish Language and Culture")</f>
        <v>AP Spanish Language and Culture</v>
      </c>
      <c r="E738" s="3">
        <f>IFERROR(__xludf.DUMMYFUNCTION("""COMPUTED_VALUE"""),7.0)</f>
        <v>7</v>
      </c>
      <c r="F738" s="300">
        <v>1.0</v>
      </c>
      <c r="G738" s="300">
        <v>1.0</v>
      </c>
      <c r="H738" s="300">
        <v>1.0</v>
      </c>
      <c r="I738" s="300">
        <v>1.0</v>
      </c>
      <c r="J738" s="300">
        <v>1.0</v>
      </c>
      <c r="K738" s="300">
        <v>1.0</v>
      </c>
      <c r="L738" s="300">
        <v>1.0</v>
      </c>
      <c r="M738" s="300">
        <v>1.0</v>
      </c>
      <c r="N738" s="300">
        <v>8.0</v>
      </c>
      <c r="O738" s="300" t="s">
        <v>821</v>
      </c>
      <c r="P738" s="300">
        <v>7.0</v>
      </c>
    </row>
    <row r="739">
      <c r="A739">
        <f>IFERROR(__xludf.DUMMYFUNCTION("""COMPUTED_VALUE"""),10.0)</f>
        <v>10</v>
      </c>
      <c r="B739" s="406">
        <f>IFERROR(__xludf.DUMMYFUNCTION("""COMPUTED_VALUE"""),28111.0)</f>
        <v>28111</v>
      </c>
      <c r="C739" t="str">
        <f>IFERROR(__xludf.DUMMYFUNCTION("""COMPUTED_VALUE"""),"GARCES RIVERA, MATHIAS")</f>
        <v>GARCES RIVERA, MATHIAS</v>
      </c>
      <c r="D739" t="str">
        <f>IFERROR(__xludf.DUMMYFUNCTION("""COMPUTED_VALUE"""),"AP Spanish Language and Culture")</f>
        <v>AP Spanish Language and Culture</v>
      </c>
      <c r="E739" s="3">
        <f>IFERROR(__xludf.DUMMYFUNCTION("""COMPUTED_VALUE"""),1.0)</f>
        <v>1</v>
      </c>
      <c r="F739" s="300">
        <v>1.0</v>
      </c>
      <c r="G739" s="300">
        <v>1.0</v>
      </c>
      <c r="H739" s="300">
        <v>1.0</v>
      </c>
      <c r="I739" s="300">
        <v>1.0</v>
      </c>
      <c r="J739" s="300">
        <v>1.0</v>
      </c>
      <c r="K739" s="300">
        <v>1.0</v>
      </c>
      <c r="L739" s="300">
        <v>1.0</v>
      </c>
      <c r="M739" s="300">
        <v>1.0</v>
      </c>
      <c r="N739" s="300">
        <v>8.0</v>
      </c>
      <c r="O739" s="300" t="s">
        <v>822</v>
      </c>
      <c r="P739" s="300">
        <v>7.0</v>
      </c>
    </row>
    <row r="740">
      <c r="A740">
        <f>IFERROR(__xludf.DUMMYFUNCTION("""COMPUTED_VALUE"""),10.0)</f>
        <v>10</v>
      </c>
      <c r="B740" s="406">
        <f>IFERROR(__xludf.DUMMYFUNCTION("""COMPUTED_VALUE"""),28011.0)</f>
        <v>28011</v>
      </c>
      <c r="C740" t="str">
        <f>IFERROR(__xludf.DUMMYFUNCTION("""COMPUTED_VALUE"""),"BAQUERO GARCIA, PASCUAL")</f>
        <v>BAQUERO GARCIA, PASCUAL</v>
      </c>
      <c r="D740" t="str">
        <f>IFERROR(__xludf.DUMMYFUNCTION("""COMPUTED_VALUE"""),"AP Spanish Language and Culture")</f>
        <v>AP Spanish Language and Culture</v>
      </c>
      <c r="E740" s="3">
        <f>IFERROR(__xludf.DUMMYFUNCTION("""COMPUTED_VALUE"""),5.0)</f>
        <v>5</v>
      </c>
      <c r="F740" s="300">
        <v>1.0</v>
      </c>
      <c r="G740" s="300">
        <v>1.0</v>
      </c>
      <c r="H740" s="300">
        <v>1.0</v>
      </c>
      <c r="I740" s="300">
        <v>1.0</v>
      </c>
      <c r="J740" s="300">
        <v>1.0</v>
      </c>
      <c r="K740" s="300">
        <v>1.0</v>
      </c>
      <c r="L740" s="300">
        <v>1.0</v>
      </c>
      <c r="M740" s="300">
        <v>1.0</v>
      </c>
      <c r="N740" s="300">
        <v>8.0</v>
      </c>
      <c r="O740" s="300" t="s">
        <v>819</v>
      </c>
      <c r="P740" s="300">
        <v>7.0</v>
      </c>
    </row>
    <row r="741">
      <c r="A741">
        <f>IFERROR(__xludf.DUMMYFUNCTION("""COMPUTED_VALUE"""),10.0)</f>
        <v>10</v>
      </c>
      <c r="B741" s="406">
        <f>IFERROR(__xludf.DUMMYFUNCTION("""COMPUTED_VALUE"""),28115.0)</f>
        <v>28115</v>
      </c>
      <c r="C741" t="str">
        <f>IFERROR(__xludf.DUMMYFUNCTION("""COMPUTED_VALUE"""),"VELEZ ECHAVARRIA, AMELIA")</f>
        <v>VELEZ ECHAVARRIA, AMELIA</v>
      </c>
      <c r="D741" t="str">
        <f>IFERROR(__xludf.DUMMYFUNCTION("""COMPUTED_VALUE"""),"AP Spanish Language and Culture")</f>
        <v>AP Spanish Language and Culture</v>
      </c>
      <c r="E741" s="3">
        <f>IFERROR(__xludf.DUMMYFUNCTION("""COMPUTED_VALUE"""),6.0)</f>
        <v>6</v>
      </c>
      <c r="F741" s="300">
        <v>1.0</v>
      </c>
      <c r="G741" s="300">
        <v>1.0</v>
      </c>
      <c r="H741" s="300">
        <v>1.0</v>
      </c>
      <c r="I741" s="300">
        <v>1.0</v>
      </c>
      <c r="J741" s="300">
        <v>1.0</v>
      </c>
      <c r="K741" s="300">
        <v>1.0</v>
      </c>
      <c r="L741" s="300">
        <v>1.0</v>
      </c>
      <c r="M741" s="300">
        <v>1.0</v>
      </c>
      <c r="N741" s="300">
        <v>8.0</v>
      </c>
      <c r="O741" s="300" t="s">
        <v>816</v>
      </c>
      <c r="P741" s="300">
        <v>7.0</v>
      </c>
    </row>
    <row r="742">
      <c r="A742">
        <f>IFERROR(__xludf.DUMMYFUNCTION("""COMPUTED_VALUE"""),10.0)</f>
        <v>10</v>
      </c>
      <c r="B742" s="406">
        <f>IFERROR(__xludf.DUMMYFUNCTION("""COMPUTED_VALUE"""),28106.0)</f>
        <v>28106</v>
      </c>
      <c r="C742" t="str">
        <f>IFERROR(__xludf.DUMMYFUNCTION("""COMPUTED_VALUE"""),"TOBON PEÑALOZA, PEDRO")</f>
        <v>TOBON PEÑALOZA, PEDRO</v>
      </c>
      <c r="D742" t="str">
        <f>IFERROR(__xludf.DUMMYFUNCTION("""COMPUTED_VALUE"""),"AP Spanish Language and Culture")</f>
        <v>AP Spanish Language and Culture</v>
      </c>
      <c r="E742" s="3">
        <f>IFERROR(__xludf.DUMMYFUNCTION("""COMPUTED_VALUE"""),5.0)</f>
        <v>5</v>
      </c>
      <c r="F742" s="300">
        <v>1.0</v>
      </c>
      <c r="G742" s="300">
        <v>1.0</v>
      </c>
      <c r="H742" s="300">
        <v>1.0</v>
      </c>
      <c r="I742" s="300">
        <v>1.0</v>
      </c>
      <c r="J742" s="300">
        <v>1.0</v>
      </c>
      <c r="K742" s="300">
        <v>1.0</v>
      </c>
      <c r="L742" s="300">
        <v>1.0</v>
      </c>
      <c r="M742" s="300">
        <v>1.0</v>
      </c>
      <c r="N742" s="300">
        <v>8.0</v>
      </c>
      <c r="O742" s="300" t="s">
        <v>819</v>
      </c>
      <c r="P742" s="300">
        <v>7.0</v>
      </c>
    </row>
    <row r="743">
      <c r="A743">
        <f>IFERROR(__xludf.DUMMYFUNCTION("""COMPUTED_VALUE"""),10.0)</f>
        <v>10</v>
      </c>
      <c r="B743" s="406">
        <f>IFERROR(__xludf.DUMMYFUNCTION("""COMPUTED_VALUE"""),28004.0)</f>
        <v>28004</v>
      </c>
      <c r="C743" t="str">
        <f>IFERROR(__xludf.DUMMYFUNCTION("""COMPUTED_VALUE"""),"ARANGO FERNANDEZ, AGUSTIN")</f>
        <v>ARANGO FERNANDEZ, AGUSTIN</v>
      </c>
      <c r="D743" t="str">
        <f>IFERROR(__xludf.DUMMYFUNCTION("""COMPUTED_VALUE"""),"AP Spanish Language and Culture")</f>
        <v>AP Spanish Language and Culture</v>
      </c>
      <c r="E743" s="3">
        <f>IFERROR(__xludf.DUMMYFUNCTION("""COMPUTED_VALUE"""),1.0)</f>
        <v>1</v>
      </c>
      <c r="F743" s="300">
        <v>1.0</v>
      </c>
      <c r="G743" s="300">
        <v>1.0</v>
      </c>
      <c r="H743" s="300">
        <v>1.0</v>
      </c>
      <c r="I743" s="300">
        <v>1.0</v>
      </c>
      <c r="J743" s="300">
        <v>1.0</v>
      </c>
      <c r="K743" s="300">
        <v>1.0</v>
      </c>
      <c r="L743" s="300">
        <v>1.0</v>
      </c>
      <c r="M743" s="300">
        <v>1.0</v>
      </c>
      <c r="N743" s="300">
        <v>8.0</v>
      </c>
      <c r="O743" s="300" t="s">
        <v>822</v>
      </c>
      <c r="P743" s="300">
        <v>7.0</v>
      </c>
    </row>
    <row r="744">
      <c r="A744">
        <f>IFERROR(__xludf.DUMMYFUNCTION("""COMPUTED_VALUE"""),10.0)</f>
        <v>10</v>
      </c>
      <c r="B744" s="406">
        <f>IFERROR(__xludf.DUMMYFUNCTION("""COMPUTED_VALUE"""),28001.0)</f>
        <v>28001</v>
      </c>
      <c r="C744" t="str">
        <f>IFERROR(__xludf.DUMMYFUNCTION("""COMPUTED_VALUE"""),"ABAD OLARTE, LUCIA")</f>
        <v>ABAD OLARTE, LUCIA</v>
      </c>
      <c r="D744" t="str">
        <f>IFERROR(__xludf.DUMMYFUNCTION("""COMPUTED_VALUE"""),"AP Spanish Language and Culture")</f>
        <v>AP Spanish Language and Culture</v>
      </c>
      <c r="E744" s="3">
        <f>IFERROR(__xludf.DUMMYFUNCTION("""COMPUTED_VALUE"""),5.0)</f>
        <v>5</v>
      </c>
      <c r="F744" s="300">
        <v>1.0</v>
      </c>
      <c r="G744" s="300">
        <v>1.0</v>
      </c>
      <c r="H744" s="300">
        <v>1.0</v>
      </c>
      <c r="I744" s="300">
        <v>1.0</v>
      </c>
      <c r="J744" s="300">
        <v>1.0</v>
      </c>
      <c r="K744" s="300">
        <v>1.0</v>
      </c>
      <c r="L744" s="300">
        <v>1.0</v>
      </c>
      <c r="M744" s="300">
        <v>1.0</v>
      </c>
      <c r="N744" s="300">
        <v>8.0</v>
      </c>
      <c r="O744" s="300" t="s">
        <v>819</v>
      </c>
      <c r="P744" s="300">
        <v>7.0</v>
      </c>
    </row>
    <row r="745">
      <c r="A745">
        <f>IFERROR(__xludf.DUMMYFUNCTION("""COMPUTED_VALUE"""),10.0)</f>
        <v>10</v>
      </c>
      <c r="B745" s="406">
        <f>IFERROR(__xludf.DUMMYFUNCTION("""COMPUTED_VALUE"""),28055.0)</f>
        <v>28055</v>
      </c>
      <c r="C745" t="str">
        <f>IFERROR(__xludf.DUMMYFUNCTION("""COMPUTED_VALUE"""),"JARAMILLO OCHOA, LUCIANA")</f>
        <v>JARAMILLO OCHOA, LUCIANA</v>
      </c>
      <c r="D745" t="str">
        <f>IFERROR(__xludf.DUMMYFUNCTION("""COMPUTED_VALUE"""),"AP Spanish Language and Culture")</f>
        <v>AP Spanish Language and Culture</v>
      </c>
      <c r="E745" s="3">
        <f>IFERROR(__xludf.DUMMYFUNCTION("""COMPUTED_VALUE"""),6.0)</f>
        <v>6</v>
      </c>
      <c r="F745" s="300">
        <v>1.0</v>
      </c>
      <c r="G745" s="300">
        <v>1.0</v>
      </c>
      <c r="H745" s="300">
        <v>1.0</v>
      </c>
      <c r="I745" s="300">
        <v>1.0</v>
      </c>
      <c r="J745" s="300">
        <v>1.0</v>
      </c>
      <c r="K745" s="300">
        <v>1.0</v>
      </c>
      <c r="L745" s="300">
        <v>1.0</v>
      </c>
      <c r="M745" s="300">
        <v>1.0</v>
      </c>
      <c r="N745" s="300">
        <v>8.0</v>
      </c>
      <c r="O745" s="300" t="s">
        <v>816</v>
      </c>
      <c r="P745" s="300">
        <v>7.0</v>
      </c>
    </row>
    <row r="746">
      <c r="A746">
        <f>IFERROR(__xludf.DUMMYFUNCTION("""COMPUTED_VALUE"""),10.0)</f>
        <v>10</v>
      </c>
      <c r="B746" s="406">
        <f>IFERROR(__xludf.DUMMYFUNCTION("""COMPUTED_VALUE"""),28009.0)</f>
        <v>28009</v>
      </c>
      <c r="C746" t="str">
        <f>IFERROR(__xludf.DUMMYFUNCTION("""COMPUTED_VALUE"""),"ARISTIZABAL ZULUAGA, MATILDE")</f>
        <v>ARISTIZABAL ZULUAGA, MATILDE</v>
      </c>
      <c r="D746" t="str">
        <f>IFERROR(__xludf.DUMMYFUNCTION("""COMPUTED_VALUE"""),"AP Spanish Language and Culture")</f>
        <v>AP Spanish Language and Culture</v>
      </c>
      <c r="E746" s="3">
        <f>IFERROR(__xludf.DUMMYFUNCTION("""COMPUTED_VALUE"""),3.0)</f>
        <v>3</v>
      </c>
      <c r="F746" s="300">
        <v>1.0</v>
      </c>
      <c r="G746" s="300">
        <v>1.0</v>
      </c>
      <c r="H746" s="300">
        <v>1.0</v>
      </c>
      <c r="I746" s="300">
        <v>1.0</v>
      </c>
      <c r="J746" s="300">
        <v>1.0</v>
      </c>
      <c r="K746" s="300">
        <v>1.0</v>
      </c>
      <c r="L746" s="300">
        <v>1.0</v>
      </c>
      <c r="M746" s="300">
        <v>1.0</v>
      </c>
      <c r="N746" s="300">
        <v>8.0</v>
      </c>
      <c r="O746" s="300" t="s">
        <v>820</v>
      </c>
      <c r="P746" s="300">
        <v>7.0</v>
      </c>
    </row>
    <row r="747">
      <c r="A747">
        <f>IFERROR(__xludf.DUMMYFUNCTION("""COMPUTED_VALUE"""),10.0)</f>
        <v>10</v>
      </c>
      <c r="B747" s="406">
        <f>IFERROR(__xludf.DUMMYFUNCTION("""COMPUTED_VALUE"""),28089.0)</f>
        <v>28089</v>
      </c>
      <c r="C747" t="str">
        <f>IFERROR(__xludf.DUMMYFUNCTION("""COMPUTED_VALUE"""),"RAMIREZ OSORIO, ELENA")</f>
        <v>RAMIREZ OSORIO, ELENA</v>
      </c>
      <c r="D747" t="str">
        <f>IFERROR(__xludf.DUMMYFUNCTION("""COMPUTED_VALUE"""),"AP Spanish Language and Culture")</f>
        <v>AP Spanish Language and Culture</v>
      </c>
      <c r="E747" s="3">
        <f>IFERROR(__xludf.DUMMYFUNCTION("""COMPUTED_VALUE"""),3.0)</f>
        <v>3</v>
      </c>
      <c r="F747" s="300">
        <v>1.0</v>
      </c>
      <c r="G747" s="300">
        <v>1.0</v>
      </c>
      <c r="H747" s="300">
        <v>1.0</v>
      </c>
      <c r="I747" s="300">
        <v>1.0</v>
      </c>
      <c r="J747" s="300">
        <v>1.0</v>
      </c>
      <c r="K747" s="300">
        <v>1.0</v>
      </c>
      <c r="L747" s="300">
        <v>1.0</v>
      </c>
      <c r="M747" s="300">
        <v>1.0</v>
      </c>
      <c r="N747" s="300">
        <v>8.0</v>
      </c>
      <c r="O747" s="300" t="s">
        <v>820</v>
      </c>
      <c r="P747" s="300">
        <v>7.0</v>
      </c>
    </row>
    <row r="748">
      <c r="A748">
        <f>IFERROR(__xludf.DUMMYFUNCTION("""COMPUTED_VALUE"""),10.0)</f>
        <v>10</v>
      </c>
      <c r="B748" s="406">
        <f>IFERROR(__xludf.DUMMYFUNCTION("""COMPUTED_VALUE"""),28072.0)</f>
        <v>28072</v>
      </c>
      <c r="C748" t="str">
        <f>IFERROR(__xludf.DUMMYFUNCTION("""COMPUTED_VALUE"""),"NAVARRO ISAZA, SOFIA")</f>
        <v>NAVARRO ISAZA, SOFIA</v>
      </c>
      <c r="D748" t="str">
        <f>IFERROR(__xludf.DUMMYFUNCTION("""COMPUTED_VALUE"""),"AP Spanish Language and Culture")</f>
        <v>AP Spanish Language and Culture</v>
      </c>
      <c r="E748" s="3">
        <f>IFERROR(__xludf.DUMMYFUNCTION("""COMPUTED_VALUE"""),8.0)</f>
        <v>8</v>
      </c>
      <c r="F748" s="300">
        <v>1.0</v>
      </c>
      <c r="G748" s="300">
        <v>1.0</v>
      </c>
      <c r="H748" s="300">
        <v>1.0</v>
      </c>
      <c r="I748" s="300">
        <v>1.0</v>
      </c>
      <c r="J748" s="300">
        <v>1.0</v>
      </c>
      <c r="K748" s="300">
        <v>1.0</v>
      </c>
      <c r="L748" s="300">
        <v>1.0</v>
      </c>
      <c r="M748" s="300">
        <v>1.0</v>
      </c>
      <c r="N748" s="300">
        <v>8.0</v>
      </c>
      <c r="O748" s="300" t="s">
        <v>818</v>
      </c>
      <c r="P748" s="300">
        <v>7.0</v>
      </c>
    </row>
    <row r="749">
      <c r="A749">
        <f>IFERROR(__xludf.DUMMYFUNCTION("""COMPUTED_VALUE"""),10.0)</f>
        <v>10</v>
      </c>
      <c r="B749" s="406">
        <f>IFERROR(__xludf.DUMMYFUNCTION("""COMPUTED_VALUE"""),28005.0)</f>
        <v>28005</v>
      </c>
      <c r="C749" t="str">
        <f>IFERROR(__xludf.DUMMYFUNCTION("""COMPUTED_VALUE"""),"ARBELAEZ RODADO, SILVIA")</f>
        <v>ARBELAEZ RODADO, SILVIA</v>
      </c>
      <c r="D749" t="str">
        <f>IFERROR(__xludf.DUMMYFUNCTION("""COMPUTED_VALUE"""),"AP Spanish Language and Culture")</f>
        <v>AP Spanish Language and Culture</v>
      </c>
      <c r="E749" s="3">
        <f>IFERROR(__xludf.DUMMYFUNCTION("""COMPUTED_VALUE"""),5.0)</f>
        <v>5</v>
      </c>
      <c r="F749" s="300">
        <v>1.0</v>
      </c>
      <c r="G749" s="300">
        <v>1.0</v>
      </c>
      <c r="H749" s="300">
        <v>1.0</v>
      </c>
      <c r="I749" s="300">
        <v>1.0</v>
      </c>
      <c r="J749" s="300">
        <v>1.0</v>
      </c>
      <c r="K749" s="300">
        <v>1.0</v>
      </c>
      <c r="L749" s="300">
        <v>1.0</v>
      </c>
      <c r="M749" s="300">
        <v>1.0</v>
      </c>
      <c r="N749" s="300">
        <v>8.0</v>
      </c>
      <c r="O749" s="300" t="s">
        <v>819</v>
      </c>
      <c r="P749" s="300">
        <v>7.0</v>
      </c>
    </row>
    <row r="750">
      <c r="A750">
        <f>IFERROR(__xludf.DUMMYFUNCTION("""COMPUTED_VALUE"""),10.0)</f>
        <v>10</v>
      </c>
      <c r="B750" s="406">
        <f>IFERROR(__xludf.DUMMYFUNCTION("""COMPUTED_VALUE"""),28051.0)</f>
        <v>28051</v>
      </c>
      <c r="C750" t="str">
        <f>IFERROR(__xludf.DUMMYFUNCTION("""COMPUTED_VALUE"""),"JIMENEZ ESCOBAR, MARIANA")</f>
        <v>JIMENEZ ESCOBAR, MARIANA</v>
      </c>
      <c r="D750" t="str">
        <f>IFERROR(__xludf.DUMMYFUNCTION("""COMPUTED_VALUE"""),"AP Spanish Language and Culture")</f>
        <v>AP Spanish Language and Culture</v>
      </c>
      <c r="E750" s="3">
        <f>IFERROR(__xludf.DUMMYFUNCTION("""COMPUTED_VALUE"""),6.0)</f>
        <v>6</v>
      </c>
      <c r="F750" s="300">
        <v>1.0</v>
      </c>
      <c r="G750" s="300">
        <v>1.0</v>
      </c>
      <c r="H750" s="300">
        <v>1.0</v>
      </c>
      <c r="I750" s="300">
        <v>1.0</v>
      </c>
      <c r="J750" s="300">
        <v>1.0</v>
      </c>
      <c r="K750" s="300">
        <v>1.0</v>
      </c>
      <c r="L750" s="300">
        <v>1.0</v>
      </c>
      <c r="M750" s="300">
        <v>1.0</v>
      </c>
      <c r="N750" s="300">
        <v>8.0</v>
      </c>
      <c r="O750" s="300" t="s">
        <v>816</v>
      </c>
      <c r="P750" s="300">
        <v>7.0</v>
      </c>
    </row>
    <row r="751">
      <c r="A751">
        <f>IFERROR(__xludf.DUMMYFUNCTION("""COMPUTED_VALUE"""),10.0)</f>
        <v>10</v>
      </c>
      <c r="B751" s="406">
        <f>IFERROR(__xludf.DUMMYFUNCTION("""COMPUTED_VALUE"""),27007.0)</f>
        <v>27007</v>
      </c>
      <c r="C751" t="str">
        <f>IFERROR(__xludf.DUMMYFUNCTION("""COMPUTED_VALUE"""),"ARANGO VELEZ, MATEO")</f>
        <v>ARANGO VELEZ, MATEO</v>
      </c>
      <c r="D751" t="str">
        <f>IFERROR(__xludf.DUMMYFUNCTION("""COMPUTED_VALUE"""),"AP Spanish Language and Culture")</f>
        <v>AP Spanish Language and Culture</v>
      </c>
      <c r="E751" s="3">
        <f>IFERROR(__xludf.DUMMYFUNCTION("""COMPUTED_VALUE"""),3.0)</f>
        <v>3</v>
      </c>
      <c r="F751" s="300">
        <v>1.0</v>
      </c>
      <c r="G751" s="300">
        <v>1.0</v>
      </c>
      <c r="H751" s="300">
        <v>1.0</v>
      </c>
      <c r="I751" s="300">
        <v>1.0</v>
      </c>
      <c r="J751" s="300">
        <v>1.0</v>
      </c>
      <c r="K751" s="300">
        <v>1.0</v>
      </c>
      <c r="L751" s="300">
        <v>1.0</v>
      </c>
      <c r="M751" s="300">
        <v>1.0</v>
      </c>
      <c r="N751" s="300">
        <v>8.0</v>
      </c>
      <c r="O751" s="300" t="s">
        <v>820</v>
      </c>
      <c r="P751" s="300">
        <v>7.0</v>
      </c>
    </row>
    <row r="752">
      <c r="A752">
        <f>IFERROR(__xludf.DUMMYFUNCTION("""COMPUTED_VALUE"""),10.0)</f>
        <v>10</v>
      </c>
      <c r="B752" s="406">
        <f>IFERROR(__xludf.DUMMYFUNCTION("""COMPUTED_VALUE"""),28102.0)</f>
        <v>28102</v>
      </c>
      <c r="C752" t="str">
        <f>IFERROR(__xludf.DUMMYFUNCTION("""COMPUTED_VALUE"""),"SALAZAR BOTERO, GABRIELA")</f>
        <v>SALAZAR BOTERO, GABRIELA</v>
      </c>
      <c r="D752" t="str">
        <f>IFERROR(__xludf.DUMMYFUNCTION("""COMPUTED_VALUE"""),"AP Spanish Language and Culture")</f>
        <v>AP Spanish Language and Culture</v>
      </c>
      <c r="E752" s="3">
        <f>IFERROR(__xludf.DUMMYFUNCTION("""COMPUTED_VALUE"""),7.0)</f>
        <v>7</v>
      </c>
      <c r="F752" s="300">
        <v>1.0</v>
      </c>
      <c r="G752" s="300">
        <v>1.0</v>
      </c>
      <c r="H752" s="300">
        <v>1.0</v>
      </c>
      <c r="I752" s="300">
        <v>1.0</v>
      </c>
      <c r="J752" s="300">
        <v>1.0</v>
      </c>
      <c r="K752" s="300">
        <v>1.0</v>
      </c>
      <c r="L752" s="300">
        <v>1.0</v>
      </c>
      <c r="M752" s="300">
        <v>1.0</v>
      </c>
      <c r="N752" s="300">
        <v>8.0</v>
      </c>
      <c r="O752" s="300" t="s">
        <v>821</v>
      </c>
      <c r="P752" s="300">
        <v>7.0</v>
      </c>
    </row>
    <row r="753">
      <c r="A753">
        <f>IFERROR(__xludf.DUMMYFUNCTION("""COMPUTED_VALUE"""),10.0)</f>
        <v>10</v>
      </c>
      <c r="B753" s="406">
        <f>IFERROR(__xludf.DUMMYFUNCTION("""COMPUTED_VALUE"""),28104.0)</f>
        <v>28104</v>
      </c>
      <c r="C753" t="str">
        <f>IFERROR(__xludf.DUMMYFUNCTION("""COMPUTED_VALUE"""),"SERRANO SERRANO, SIMON")</f>
        <v>SERRANO SERRANO, SIMON</v>
      </c>
      <c r="D753" t="str">
        <f>IFERROR(__xludf.DUMMYFUNCTION("""COMPUTED_VALUE"""),"AP Spanish Language and Culture")</f>
        <v>AP Spanish Language and Culture</v>
      </c>
      <c r="E753" s="3">
        <f>IFERROR(__xludf.DUMMYFUNCTION("""COMPUTED_VALUE"""),6.0)</f>
        <v>6</v>
      </c>
      <c r="F753" s="300">
        <v>1.0</v>
      </c>
      <c r="G753" s="300">
        <v>1.0</v>
      </c>
      <c r="H753" s="300">
        <v>1.0</v>
      </c>
      <c r="I753" s="300">
        <v>1.0</v>
      </c>
      <c r="J753" s="300">
        <v>1.0</v>
      </c>
      <c r="K753" s="300">
        <v>1.0</v>
      </c>
      <c r="L753" s="300">
        <v>1.0</v>
      </c>
      <c r="M753" s="300">
        <v>1.0</v>
      </c>
      <c r="N753" s="300">
        <v>8.0</v>
      </c>
      <c r="O753" s="300" t="s">
        <v>816</v>
      </c>
      <c r="P753" s="300">
        <v>7.0</v>
      </c>
    </row>
    <row r="754">
      <c r="A754">
        <f>IFERROR(__xludf.DUMMYFUNCTION("""COMPUTED_VALUE"""),10.0)</f>
        <v>10</v>
      </c>
      <c r="B754" s="406">
        <f>IFERROR(__xludf.DUMMYFUNCTION("""COMPUTED_VALUE"""),28008.0)</f>
        <v>28008</v>
      </c>
      <c r="C754" t="str">
        <f>IFERROR(__xludf.DUMMYFUNCTION("""COMPUTED_VALUE"""),"ARISTIZABAL TOBON, MATIAS")</f>
        <v>ARISTIZABAL TOBON, MATIAS</v>
      </c>
      <c r="D754" t="str">
        <f>IFERROR(__xludf.DUMMYFUNCTION("""COMPUTED_VALUE"""),"AP Spanish Language and Culture")</f>
        <v>AP Spanish Language and Culture</v>
      </c>
      <c r="E754" s="3">
        <f>IFERROR(__xludf.DUMMYFUNCTION("""COMPUTED_VALUE"""),8.0)</f>
        <v>8</v>
      </c>
      <c r="F754" s="300">
        <v>1.0</v>
      </c>
      <c r="G754" s="300">
        <v>1.0</v>
      </c>
      <c r="H754" s="300">
        <v>1.0</v>
      </c>
      <c r="I754" s="300">
        <v>1.0</v>
      </c>
      <c r="J754" s="300">
        <v>1.0</v>
      </c>
      <c r="K754" s="300">
        <v>1.0</v>
      </c>
      <c r="L754" s="300">
        <v>1.0</v>
      </c>
      <c r="M754" s="300">
        <v>1.0</v>
      </c>
      <c r="N754" s="300">
        <v>8.0</v>
      </c>
      <c r="O754" s="300" t="s">
        <v>818</v>
      </c>
      <c r="P754" s="300">
        <v>7.0</v>
      </c>
    </row>
    <row r="755">
      <c r="A755">
        <f>IFERROR(__xludf.DUMMYFUNCTION("""COMPUTED_VALUE"""),10.0)</f>
        <v>10</v>
      </c>
      <c r="B755" s="406">
        <f>IFERROR(__xludf.DUMMYFUNCTION("""COMPUTED_VALUE"""),28065.0)</f>
        <v>28065</v>
      </c>
      <c r="C755" t="str">
        <f>IFERROR(__xludf.DUMMYFUNCTION("""COMPUTED_VALUE"""),"MEJIA MEJIA, TOMAS")</f>
        <v>MEJIA MEJIA, TOMAS</v>
      </c>
      <c r="D755" t="str">
        <f>IFERROR(__xludf.DUMMYFUNCTION("""COMPUTED_VALUE"""),"AP Spanish Language and Culture")</f>
        <v>AP Spanish Language and Culture</v>
      </c>
      <c r="E755" s="3">
        <f>IFERROR(__xludf.DUMMYFUNCTION("""COMPUTED_VALUE"""),1.0)</f>
        <v>1</v>
      </c>
      <c r="F755" s="300">
        <v>1.0</v>
      </c>
      <c r="G755" s="300">
        <v>1.0</v>
      </c>
      <c r="H755" s="300">
        <v>1.0</v>
      </c>
      <c r="I755" s="300">
        <v>1.0</v>
      </c>
      <c r="J755" s="300">
        <v>1.0</v>
      </c>
      <c r="K755" s="300">
        <v>1.0</v>
      </c>
      <c r="L755" s="300">
        <v>1.0</v>
      </c>
      <c r="M755" s="300">
        <v>1.0</v>
      </c>
      <c r="N755" s="300">
        <v>8.0</v>
      </c>
      <c r="O755" s="300" t="s">
        <v>822</v>
      </c>
      <c r="P755" s="300">
        <v>7.0</v>
      </c>
    </row>
    <row r="756">
      <c r="A756">
        <f>IFERROR(__xludf.DUMMYFUNCTION("""COMPUTED_VALUE"""),10.0)</f>
        <v>10</v>
      </c>
      <c r="B756" s="406">
        <f>IFERROR(__xludf.DUMMYFUNCTION("""COMPUTED_VALUE"""),28073.0)</f>
        <v>28073</v>
      </c>
      <c r="C756" t="str">
        <f>IFERROR(__xludf.DUMMYFUNCTION("""COMPUTED_VALUE"""),"NAVARRO RAMIREZ, MARIA")</f>
        <v>NAVARRO RAMIREZ, MARIA</v>
      </c>
      <c r="D756" t="str">
        <f>IFERROR(__xludf.DUMMYFUNCTION("""COMPUTED_VALUE"""),"AP Spanish Language and Culture")</f>
        <v>AP Spanish Language and Culture</v>
      </c>
      <c r="E756" s="3">
        <f>IFERROR(__xludf.DUMMYFUNCTION("""COMPUTED_VALUE"""),8.0)</f>
        <v>8</v>
      </c>
      <c r="F756" s="300">
        <v>1.0</v>
      </c>
      <c r="G756" s="300">
        <v>1.0</v>
      </c>
      <c r="H756" s="300">
        <v>1.0</v>
      </c>
      <c r="I756" s="300">
        <v>1.0</v>
      </c>
      <c r="J756" s="300">
        <v>1.0</v>
      </c>
      <c r="K756" s="300">
        <v>1.0</v>
      </c>
      <c r="L756" s="300">
        <v>1.0</v>
      </c>
      <c r="M756" s="300">
        <v>1.0</v>
      </c>
      <c r="N756" s="300">
        <v>8.0</v>
      </c>
      <c r="O756" s="300" t="s">
        <v>818</v>
      </c>
      <c r="P756" s="300">
        <v>7.0</v>
      </c>
    </row>
    <row r="757">
      <c r="A757">
        <f>IFERROR(__xludf.DUMMYFUNCTION("""COMPUTED_VALUE"""),10.0)</f>
        <v>10</v>
      </c>
      <c r="B757" s="406">
        <f>IFERROR(__xludf.DUMMYFUNCTION("""COMPUTED_VALUE"""),28081.0)</f>
        <v>28081</v>
      </c>
      <c r="C757" t="str">
        <f>IFERROR(__xludf.DUMMYFUNCTION("""COMPUTED_VALUE"""),"PALACIO RUIZ, LUCAS")</f>
        <v>PALACIO RUIZ, LUCAS</v>
      </c>
      <c r="D757" t="str">
        <f>IFERROR(__xludf.DUMMYFUNCTION("""COMPUTED_VALUE"""),"AP Spanish Language and Culture")</f>
        <v>AP Spanish Language and Culture</v>
      </c>
      <c r="E757" s="3">
        <f>IFERROR(__xludf.DUMMYFUNCTION("""COMPUTED_VALUE"""),5.0)</f>
        <v>5</v>
      </c>
      <c r="F757" s="300">
        <v>1.0</v>
      </c>
      <c r="G757" s="300">
        <v>1.0</v>
      </c>
      <c r="H757" s="300">
        <v>1.0</v>
      </c>
      <c r="I757" s="300">
        <v>1.0</v>
      </c>
      <c r="J757" s="300">
        <v>1.0</v>
      </c>
      <c r="K757" s="300">
        <v>1.0</v>
      </c>
      <c r="L757" s="300">
        <v>1.0</v>
      </c>
      <c r="M757" s="300">
        <v>1.0</v>
      </c>
      <c r="N757" s="300">
        <v>8.0</v>
      </c>
      <c r="O757" s="300" t="s">
        <v>819</v>
      </c>
      <c r="P757" s="300">
        <v>7.0</v>
      </c>
    </row>
    <row r="758">
      <c r="A758">
        <f>IFERROR(__xludf.DUMMYFUNCTION("""COMPUTED_VALUE"""),10.0)</f>
        <v>10</v>
      </c>
      <c r="B758" s="406">
        <f>IFERROR(__xludf.DUMMYFUNCTION("""COMPUTED_VALUE"""),28039.0)</f>
        <v>28039</v>
      </c>
      <c r="C758" t="str">
        <f>IFERROR(__xludf.DUMMYFUNCTION("""COMPUTED_VALUE"""),"GONZALEZ LOPEZ, ISABEL")</f>
        <v>GONZALEZ LOPEZ, ISABEL</v>
      </c>
      <c r="D758" t="str">
        <f>IFERROR(__xludf.DUMMYFUNCTION("""COMPUTED_VALUE"""),"AP Spanish Language and Culture")</f>
        <v>AP Spanish Language and Culture</v>
      </c>
      <c r="E758" s="3">
        <f>IFERROR(__xludf.DUMMYFUNCTION("""COMPUTED_VALUE"""),8.0)</f>
        <v>8</v>
      </c>
      <c r="F758" s="300">
        <v>1.0</v>
      </c>
      <c r="G758" s="300">
        <v>1.0</v>
      </c>
      <c r="H758" s="300">
        <v>1.0</v>
      </c>
      <c r="I758" s="300">
        <v>1.0</v>
      </c>
      <c r="J758" s="300">
        <v>1.0</v>
      </c>
      <c r="K758" s="300">
        <v>1.0</v>
      </c>
      <c r="L758" s="300">
        <v>1.0</v>
      </c>
      <c r="M758" s="300">
        <v>1.0</v>
      </c>
      <c r="N758" s="300">
        <v>8.0</v>
      </c>
      <c r="O758" s="300" t="s">
        <v>818</v>
      </c>
      <c r="P758" s="300">
        <v>7.0</v>
      </c>
    </row>
    <row r="759">
      <c r="A759">
        <f>IFERROR(__xludf.DUMMYFUNCTION("""COMPUTED_VALUE"""),10.0)</f>
        <v>10</v>
      </c>
      <c r="B759" s="406">
        <f>IFERROR(__xludf.DUMMYFUNCTION("""COMPUTED_VALUE"""),28147.0)</f>
        <v>28147</v>
      </c>
      <c r="C759" t="str">
        <f>IFERROR(__xludf.DUMMYFUNCTION("""COMPUTED_VALUE"""),"OSPINA STERLING, DULCE MARIA")</f>
        <v>OSPINA STERLING, DULCE MARIA</v>
      </c>
      <c r="D759" t="str">
        <f>IFERROR(__xludf.DUMMYFUNCTION("""COMPUTED_VALUE"""),"AP Spanish Language and Culture")</f>
        <v>AP Spanish Language and Culture</v>
      </c>
      <c r="E759" s="3">
        <f>IFERROR(__xludf.DUMMYFUNCTION("""COMPUTED_VALUE"""),6.0)</f>
        <v>6</v>
      </c>
      <c r="F759" s="300">
        <v>1.0</v>
      </c>
      <c r="G759" s="300">
        <v>1.0</v>
      </c>
      <c r="H759" s="300">
        <v>1.0</v>
      </c>
      <c r="I759" s="300">
        <v>1.0</v>
      </c>
      <c r="J759" s="300">
        <v>1.0</v>
      </c>
      <c r="K759" s="300">
        <v>1.0</v>
      </c>
      <c r="L759" s="300">
        <v>1.0</v>
      </c>
      <c r="M759" s="300">
        <v>1.0</v>
      </c>
      <c r="N759" s="300">
        <v>8.0</v>
      </c>
      <c r="O759" s="300" t="s">
        <v>816</v>
      </c>
      <c r="P759" s="300">
        <v>7.0</v>
      </c>
    </row>
    <row r="760">
      <c r="A760">
        <f>IFERROR(__xludf.DUMMYFUNCTION("""COMPUTED_VALUE"""),10.0)</f>
        <v>10</v>
      </c>
      <c r="B760" s="406">
        <f>IFERROR(__xludf.DUMMYFUNCTION("""COMPUTED_VALUE"""),28088.0)</f>
        <v>28088</v>
      </c>
      <c r="C760" t="str">
        <f>IFERROR(__xludf.DUMMYFUNCTION("""COMPUTED_VALUE"""),"QUINTERO VARGAS, ALICIA")</f>
        <v>QUINTERO VARGAS, ALICIA</v>
      </c>
      <c r="D760" t="str">
        <f>IFERROR(__xludf.DUMMYFUNCTION("""COMPUTED_VALUE"""),"AP Spanish Language and Culture")</f>
        <v>AP Spanish Language and Culture</v>
      </c>
      <c r="E760" s="3">
        <f>IFERROR(__xludf.DUMMYFUNCTION("""COMPUTED_VALUE"""),6.0)</f>
        <v>6</v>
      </c>
      <c r="F760" s="300">
        <v>1.0</v>
      </c>
      <c r="G760" s="300">
        <v>1.0</v>
      </c>
      <c r="H760" s="300">
        <v>1.0</v>
      </c>
      <c r="I760" s="300">
        <v>1.0</v>
      </c>
      <c r="J760" s="300">
        <v>1.0</v>
      </c>
      <c r="K760" s="300">
        <v>1.0</v>
      </c>
      <c r="L760" s="300">
        <v>1.0</v>
      </c>
      <c r="M760" s="300">
        <v>1.0</v>
      </c>
      <c r="N760" s="300">
        <v>8.0</v>
      </c>
      <c r="O760" s="300" t="s">
        <v>816</v>
      </c>
      <c r="P760" s="300">
        <v>7.0</v>
      </c>
    </row>
    <row r="761">
      <c r="A761">
        <f>IFERROR(__xludf.DUMMYFUNCTION("""COMPUTED_VALUE"""),10.0)</f>
        <v>10</v>
      </c>
      <c r="B761" s="406">
        <f>IFERROR(__xludf.DUMMYFUNCTION("""COMPUTED_VALUE"""),28029.0)</f>
        <v>28029</v>
      </c>
      <c r="C761" t="str">
        <f>IFERROR(__xludf.DUMMYFUNCTION("""COMPUTED_VALUE"""),"FORERO MEJIA, EMILIO")</f>
        <v>FORERO MEJIA, EMILIO</v>
      </c>
      <c r="D761" t="str">
        <f>IFERROR(__xludf.DUMMYFUNCTION("""COMPUTED_VALUE"""),"AP Spanish Language and Culture")</f>
        <v>AP Spanish Language and Culture</v>
      </c>
      <c r="E761" s="3">
        <f>IFERROR(__xludf.DUMMYFUNCTION("""COMPUTED_VALUE"""),1.0)</f>
        <v>1</v>
      </c>
      <c r="F761" s="300">
        <v>1.0</v>
      </c>
      <c r="G761" s="300">
        <v>1.0</v>
      </c>
      <c r="H761" s="300">
        <v>1.0</v>
      </c>
      <c r="I761" s="300">
        <v>1.0</v>
      </c>
      <c r="J761" s="300">
        <v>1.0</v>
      </c>
      <c r="K761" s="300">
        <v>1.0</v>
      </c>
      <c r="L761" s="300">
        <v>1.0</v>
      </c>
      <c r="M761" s="300">
        <v>1.0</v>
      </c>
      <c r="N761" s="300">
        <v>8.0</v>
      </c>
      <c r="O761" s="300" t="s">
        <v>822</v>
      </c>
      <c r="P761" s="300">
        <v>7.0</v>
      </c>
    </row>
    <row r="762">
      <c r="A762">
        <f>IFERROR(__xludf.DUMMYFUNCTION("""COMPUTED_VALUE"""),10.0)</f>
        <v>10</v>
      </c>
      <c r="B762" s="406">
        <f>IFERROR(__xludf.DUMMYFUNCTION("""COMPUTED_VALUE"""),28084.0)</f>
        <v>28084</v>
      </c>
      <c r="C762" t="str">
        <f>IFERROR(__xludf.DUMMYFUNCTION("""COMPUTED_VALUE"""),"PINEDA ARANGO, JERONIMO")</f>
        <v>PINEDA ARANGO, JERONIMO</v>
      </c>
      <c r="D762" t="str">
        <f>IFERROR(__xludf.DUMMYFUNCTION("""COMPUTED_VALUE"""),"Spanish Film, Art, and Literature")</f>
        <v>Spanish Film, Art, and Literature</v>
      </c>
      <c r="E762" s="3">
        <f>IFERROR(__xludf.DUMMYFUNCTION("""COMPUTED_VALUE"""),5.0)</f>
        <v>5</v>
      </c>
      <c r="F762" s="300">
        <v>1.0</v>
      </c>
      <c r="G762" s="300">
        <v>1.0</v>
      </c>
      <c r="H762" s="300">
        <v>1.0</v>
      </c>
      <c r="I762" s="300">
        <v>1.0</v>
      </c>
      <c r="J762" s="300">
        <v>1.0</v>
      </c>
      <c r="K762" s="300">
        <v>1.0</v>
      </c>
      <c r="L762" s="300">
        <v>1.0</v>
      </c>
      <c r="M762" s="300">
        <v>1.0</v>
      </c>
      <c r="N762" s="300">
        <v>8.0</v>
      </c>
      <c r="O762" s="300" t="s">
        <v>823</v>
      </c>
      <c r="P762" s="300">
        <v>2.0</v>
      </c>
    </row>
    <row r="763">
      <c r="A763">
        <f>IFERROR(__xludf.DUMMYFUNCTION("""COMPUTED_VALUE"""),10.0)</f>
        <v>10</v>
      </c>
      <c r="B763" s="406">
        <f>IFERROR(__xludf.DUMMYFUNCTION("""COMPUTED_VALUE"""),28114.0)</f>
        <v>28114</v>
      </c>
      <c r="C763" t="str">
        <f>IFERROR(__xludf.DUMMYFUNCTION("""COMPUTED_VALUE"""),"VELEZ CORREA, SAMUEL")</f>
        <v>VELEZ CORREA, SAMUEL</v>
      </c>
      <c r="D763" t="str">
        <f>IFERROR(__xludf.DUMMYFUNCTION("""COMPUTED_VALUE"""),"AP Spanish Language and Culture")</f>
        <v>AP Spanish Language and Culture</v>
      </c>
      <c r="E763" s="3">
        <f>IFERROR(__xludf.DUMMYFUNCTION("""COMPUTED_VALUE"""),5.0)</f>
        <v>5</v>
      </c>
      <c r="F763" s="300">
        <v>1.0</v>
      </c>
      <c r="G763" s="300">
        <v>1.0</v>
      </c>
      <c r="H763" s="300">
        <v>1.0</v>
      </c>
      <c r="I763" s="300">
        <v>1.0</v>
      </c>
      <c r="J763" s="300">
        <v>1.0</v>
      </c>
      <c r="K763" s="300">
        <v>1.0</v>
      </c>
      <c r="L763" s="300">
        <v>1.0</v>
      </c>
      <c r="M763" s="300">
        <v>1.0</v>
      </c>
      <c r="N763" s="300">
        <v>8.0</v>
      </c>
      <c r="O763" s="300" t="s">
        <v>819</v>
      </c>
      <c r="P763" s="300">
        <v>7.0</v>
      </c>
    </row>
    <row r="764">
      <c r="A764">
        <f>IFERROR(__xludf.DUMMYFUNCTION("""COMPUTED_VALUE"""),10.0)</f>
        <v>10</v>
      </c>
      <c r="B764" s="406">
        <f>IFERROR(__xludf.DUMMYFUNCTION("""COMPUTED_VALUE"""),28064.0)</f>
        <v>28064</v>
      </c>
      <c r="C764" t="str">
        <f>IFERROR(__xludf.DUMMYFUNCTION("""COMPUTED_VALUE"""),"MEJIA MANTILLA, TOMAS")</f>
        <v>MEJIA MANTILLA, TOMAS</v>
      </c>
      <c r="D764" t="str">
        <f>IFERROR(__xludf.DUMMYFUNCTION("""COMPUTED_VALUE"""),"AP Spanish Language and Culture")</f>
        <v>AP Spanish Language and Culture</v>
      </c>
      <c r="E764" s="3">
        <f>IFERROR(__xludf.DUMMYFUNCTION("""COMPUTED_VALUE"""),7.0)</f>
        <v>7</v>
      </c>
      <c r="F764" s="300">
        <v>1.0</v>
      </c>
      <c r="G764" s="300">
        <v>1.0</v>
      </c>
      <c r="H764" s="300">
        <v>1.0</v>
      </c>
      <c r="I764" s="300">
        <v>1.0</v>
      </c>
      <c r="J764" s="300">
        <v>1.0</v>
      </c>
      <c r="K764" s="300">
        <v>1.0</v>
      </c>
      <c r="L764" s="300">
        <v>1.0</v>
      </c>
      <c r="M764" s="300">
        <v>1.0</v>
      </c>
      <c r="N764" s="300">
        <v>8.0</v>
      </c>
      <c r="O764" s="300" t="s">
        <v>821</v>
      </c>
      <c r="P764" s="300">
        <v>7.0</v>
      </c>
    </row>
    <row r="765">
      <c r="A765">
        <f>IFERROR(__xludf.DUMMYFUNCTION("""COMPUTED_VALUE"""),10.0)</f>
        <v>10</v>
      </c>
      <c r="B765" s="406">
        <f>IFERROR(__xludf.DUMMYFUNCTION("""COMPUTED_VALUE"""),28036.0)</f>
        <v>28036</v>
      </c>
      <c r="C765" t="str">
        <f>IFERROR(__xludf.DUMMYFUNCTION("""COMPUTED_VALUE"""),"GOMEZ LINCE, NICOLAS")</f>
        <v>GOMEZ LINCE, NICOLAS</v>
      </c>
      <c r="D765" t="str">
        <f>IFERROR(__xludf.DUMMYFUNCTION("""COMPUTED_VALUE"""),"AP Spanish Language and Culture")</f>
        <v>AP Spanish Language and Culture</v>
      </c>
      <c r="E765" s="3">
        <f>IFERROR(__xludf.DUMMYFUNCTION("""COMPUTED_VALUE"""),5.0)</f>
        <v>5</v>
      </c>
      <c r="F765" s="300">
        <v>1.0</v>
      </c>
      <c r="G765" s="300">
        <v>1.0</v>
      </c>
      <c r="H765" s="300">
        <v>1.0</v>
      </c>
      <c r="I765" s="300">
        <v>1.0</v>
      </c>
      <c r="J765" s="300">
        <v>1.0</v>
      </c>
      <c r="K765" s="300">
        <v>1.0</v>
      </c>
      <c r="L765" s="300">
        <v>1.0</v>
      </c>
      <c r="M765" s="300">
        <v>1.0</v>
      </c>
      <c r="N765" s="300">
        <v>8.0</v>
      </c>
      <c r="O765" s="300" t="s">
        <v>819</v>
      </c>
      <c r="P765" s="300">
        <v>7.0</v>
      </c>
    </row>
    <row r="766">
      <c r="A766">
        <f>IFERROR(__xludf.DUMMYFUNCTION("""COMPUTED_VALUE"""),10.0)</f>
        <v>10</v>
      </c>
      <c r="B766" s="406">
        <f>IFERROR(__xludf.DUMMYFUNCTION("""COMPUTED_VALUE"""),28076.0)</f>
        <v>28076</v>
      </c>
      <c r="C766" t="str">
        <f>IFERROR(__xludf.DUMMYFUNCTION("""COMPUTED_VALUE"""),"OLAYA CARDENAS, CAMILA")</f>
        <v>OLAYA CARDENAS, CAMILA</v>
      </c>
      <c r="D766" t="str">
        <f>IFERROR(__xludf.DUMMYFUNCTION("""COMPUTED_VALUE"""),"AP Spanish Language and Culture")</f>
        <v>AP Spanish Language and Culture</v>
      </c>
      <c r="E766" s="3">
        <f>IFERROR(__xludf.DUMMYFUNCTION("""COMPUTED_VALUE"""),1.0)</f>
        <v>1</v>
      </c>
      <c r="F766" s="300">
        <v>1.0</v>
      </c>
      <c r="G766" s="300">
        <v>1.0</v>
      </c>
      <c r="H766" s="300">
        <v>1.0</v>
      </c>
      <c r="I766" s="300">
        <v>1.0</v>
      </c>
      <c r="J766" s="300">
        <v>1.0</v>
      </c>
      <c r="K766" s="300">
        <v>1.0</v>
      </c>
      <c r="L766" s="300">
        <v>1.0</v>
      </c>
      <c r="M766" s="300">
        <v>1.0</v>
      </c>
      <c r="N766" s="300">
        <v>8.0</v>
      </c>
      <c r="O766" s="300" t="s">
        <v>822</v>
      </c>
      <c r="P766" s="300">
        <v>7.0</v>
      </c>
    </row>
    <row r="767">
      <c r="A767">
        <f>IFERROR(__xludf.DUMMYFUNCTION("""COMPUTED_VALUE"""),10.0)</f>
        <v>10</v>
      </c>
      <c r="B767" s="406">
        <f>IFERROR(__xludf.DUMMYFUNCTION("""COMPUTED_VALUE"""),28164.0)</f>
        <v>28164</v>
      </c>
      <c r="C767" s="406" t="str">
        <f>IFERROR(__xludf.DUMMYFUNCTION("""COMPUTED_VALUE"""),"WOODWORTH, MIA ISABELLA")</f>
        <v>WOODWORTH, MIA ISABELLA</v>
      </c>
      <c r="D767" t="str">
        <f>IFERROR(__xludf.DUMMYFUNCTION("""COMPUTED_VALUE"""),"AP Spanish Language and Culture")</f>
        <v>AP Spanish Language and Culture</v>
      </c>
      <c r="E767" s="3">
        <f>IFERROR(__xludf.DUMMYFUNCTION("""COMPUTED_VALUE"""),3.0)</f>
        <v>3</v>
      </c>
      <c r="F767" s="300">
        <v>1.0</v>
      </c>
      <c r="G767" s="300">
        <v>1.0</v>
      </c>
      <c r="H767" s="300">
        <v>1.0</v>
      </c>
      <c r="I767" s="300">
        <v>1.0</v>
      </c>
      <c r="J767" s="300">
        <v>1.0</v>
      </c>
      <c r="K767" s="300">
        <v>1.0</v>
      </c>
      <c r="L767" s="300">
        <v>1.0</v>
      </c>
      <c r="M767" s="300">
        <v>1.0</v>
      </c>
      <c r="N767" s="300">
        <v>8.0</v>
      </c>
      <c r="O767" s="300" t="s">
        <v>820</v>
      </c>
      <c r="P767" s="300">
        <v>7.0</v>
      </c>
    </row>
    <row r="768">
      <c r="A768">
        <f>IFERROR(__xludf.DUMMYFUNCTION("""COMPUTED_VALUE"""),10.0)</f>
        <v>10</v>
      </c>
      <c r="B768" s="406">
        <f>IFERROR(__xludf.DUMMYFUNCTION("""COMPUTED_VALUE"""),27088.0)</f>
        <v>27088</v>
      </c>
      <c r="C768" t="str">
        <f>IFERROR(__xludf.DUMMYFUNCTION("""COMPUTED_VALUE"""),"PEREZ JARAMILLO, AGUSTIN")</f>
        <v>PEREZ JARAMILLO, AGUSTIN</v>
      </c>
      <c r="D768" t="str">
        <f>IFERROR(__xludf.DUMMYFUNCTION("""COMPUTED_VALUE"""),"Spanish Film, Art, and Literature")</f>
        <v>Spanish Film, Art, and Literature</v>
      </c>
      <c r="E768" s="3">
        <f>IFERROR(__xludf.DUMMYFUNCTION("""COMPUTED_VALUE"""),5.0)</f>
        <v>5</v>
      </c>
      <c r="F768" s="300">
        <v>1.0</v>
      </c>
      <c r="G768" s="300">
        <v>1.0</v>
      </c>
      <c r="H768" s="300">
        <v>1.0</v>
      </c>
      <c r="I768" s="300">
        <v>1.0</v>
      </c>
      <c r="J768" s="300">
        <v>1.0</v>
      </c>
      <c r="K768" s="300">
        <v>1.0</v>
      </c>
      <c r="L768" s="300">
        <v>1.0</v>
      </c>
      <c r="M768" s="300">
        <v>1.0</v>
      </c>
      <c r="N768" s="300">
        <v>8.0</v>
      </c>
      <c r="O768" s="300" t="s">
        <v>823</v>
      </c>
      <c r="P768" s="300">
        <v>2.0</v>
      </c>
    </row>
    <row r="769">
      <c r="A769">
        <f>IFERROR(__xludf.DUMMYFUNCTION("""COMPUTED_VALUE"""),10.0)</f>
        <v>10</v>
      </c>
      <c r="B769" s="406">
        <f>IFERROR(__xludf.DUMMYFUNCTION("""COMPUTED_VALUE"""),28060.0)</f>
        <v>28060</v>
      </c>
      <c r="C769" t="str">
        <f>IFERROR(__xludf.DUMMYFUNCTION("""COMPUTED_VALUE"""),"MEDINA LONDOÑO, PABLO")</f>
        <v>MEDINA LONDOÑO, PABLO</v>
      </c>
      <c r="D769" t="str">
        <f>IFERROR(__xludf.DUMMYFUNCTION("""COMPUTED_VALUE"""),"AP Spanish Language and Culture")</f>
        <v>AP Spanish Language and Culture</v>
      </c>
      <c r="E769" s="3">
        <f>IFERROR(__xludf.DUMMYFUNCTION("""COMPUTED_VALUE"""),1.0)</f>
        <v>1</v>
      </c>
      <c r="F769" s="300">
        <v>1.0</v>
      </c>
      <c r="G769" s="300">
        <v>1.0</v>
      </c>
      <c r="H769" s="300">
        <v>1.0</v>
      </c>
      <c r="I769" s="300">
        <v>1.0</v>
      </c>
      <c r="J769" s="300">
        <v>1.0</v>
      </c>
      <c r="K769" s="300">
        <v>1.0</v>
      </c>
      <c r="L769" s="300">
        <v>1.0</v>
      </c>
      <c r="M769" s="300">
        <v>1.0</v>
      </c>
      <c r="N769" s="300">
        <v>8.0</v>
      </c>
      <c r="O769" s="300" t="s">
        <v>822</v>
      </c>
      <c r="P769" s="300">
        <v>7.0</v>
      </c>
    </row>
    <row r="770">
      <c r="A770">
        <f>IFERROR(__xludf.DUMMYFUNCTION("""COMPUTED_VALUE"""),10.0)</f>
        <v>10</v>
      </c>
      <c r="B770" s="406">
        <f>IFERROR(__xludf.DUMMYFUNCTION("""COMPUTED_VALUE"""),28034.0)</f>
        <v>28034</v>
      </c>
      <c r="C770" t="str">
        <f>IFERROR(__xludf.DUMMYFUNCTION("""COMPUTED_VALUE"""),"GARCIA ISAZA, TOMAS")</f>
        <v>GARCIA ISAZA, TOMAS</v>
      </c>
      <c r="D770" t="str">
        <f>IFERROR(__xludf.DUMMYFUNCTION("""COMPUTED_VALUE"""),"AP Spanish Language and Culture")</f>
        <v>AP Spanish Language and Culture</v>
      </c>
      <c r="E770" s="3">
        <f>IFERROR(__xludf.DUMMYFUNCTION("""COMPUTED_VALUE"""),3.0)</f>
        <v>3</v>
      </c>
      <c r="F770" s="300">
        <v>1.0</v>
      </c>
      <c r="G770" s="300">
        <v>1.0</v>
      </c>
      <c r="H770" s="300">
        <v>1.0</v>
      </c>
      <c r="I770" s="300">
        <v>1.0</v>
      </c>
      <c r="J770" s="300">
        <v>1.0</v>
      </c>
      <c r="K770" s="300">
        <v>1.0</v>
      </c>
      <c r="L770" s="300">
        <v>1.0</v>
      </c>
      <c r="M770" s="300">
        <v>1.0</v>
      </c>
      <c r="N770" s="300">
        <v>8.0</v>
      </c>
      <c r="O770" s="300" t="s">
        <v>820</v>
      </c>
      <c r="P770" s="300">
        <v>7.0</v>
      </c>
    </row>
    <row r="771">
      <c r="A771">
        <f>IFERROR(__xludf.DUMMYFUNCTION("""COMPUTED_VALUE"""),10.0)</f>
        <v>10</v>
      </c>
      <c r="B771" s="406">
        <f>IFERROR(__xludf.DUMMYFUNCTION("""COMPUTED_VALUE"""),28049.0)</f>
        <v>28049</v>
      </c>
      <c r="C771" t="str">
        <f>IFERROR(__xludf.DUMMYFUNCTION("""COMPUTED_VALUE"""),"JARAMILLO ARANGO, ELENA")</f>
        <v>JARAMILLO ARANGO, ELENA</v>
      </c>
      <c r="D771" t="str">
        <f>IFERROR(__xludf.DUMMYFUNCTION("""COMPUTED_VALUE"""),"AP Spanish Language and Culture")</f>
        <v>AP Spanish Language and Culture</v>
      </c>
      <c r="E771" s="3">
        <f>IFERROR(__xludf.DUMMYFUNCTION("""COMPUTED_VALUE"""),8.0)</f>
        <v>8</v>
      </c>
      <c r="F771" s="300">
        <v>1.0</v>
      </c>
      <c r="G771" s="300">
        <v>1.0</v>
      </c>
      <c r="H771" s="300">
        <v>1.0</v>
      </c>
      <c r="I771" s="300">
        <v>1.0</v>
      </c>
      <c r="J771" s="300">
        <v>1.0</v>
      </c>
      <c r="K771" s="300">
        <v>1.0</v>
      </c>
      <c r="L771" s="300">
        <v>1.0</v>
      </c>
      <c r="M771" s="300">
        <v>1.0</v>
      </c>
      <c r="N771" s="300">
        <v>8.0</v>
      </c>
      <c r="O771" s="300" t="s">
        <v>818</v>
      </c>
      <c r="P771" s="300">
        <v>7.0</v>
      </c>
    </row>
    <row r="772">
      <c r="A772">
        <f>IFERROR(__xludf.DUMMYFUNCTION("""COMPUTED_VALUE"""),10.0)</f>
        <v>10</v>
      </c>
      <c r="B772" s="406">
        <f>IFERROR(__xludf.DUMMYFUNCTION("""COMPUTED_VALUE"""),28024.0)</f>
        <v>28024</v>
      </c>
      <c r="C772" t="str">
        <f>IFERROR(__xludf.DUMMYFUNCTION("""COMPUTED_VALUE"""),"ESCOBAR CASTAÑO, NICOLAS")</f>
        <v>ESCOBAR CASTAÑO, NICOLAS</v>
      </c>
      <c r="D772" t="str">
        <f>IFERROR(__xludf.DUMMYFUNCTION("""COMPUTED_VALUE"""),"AP Spanish Language and Culture")</f>
        <v>AP Spanish Language and Culture</v>
      </c>
      <c r="E772" s="3">
        <f>IFERROR(__xludf.DUMMYFUNCTION("""COMPUTED_VALUE"""),7.0)</f>
        <v>7</v>
      </c>
      <c r="F772" s="300">
        <v>1.0</v>
      </c>
      <c r="G772" s="300">
        <v>1.0</v>
      </c>
      <c r="H772" s="300">
        <v>1.0</v>
      </c>
      <c r="I772" s="300">
        <v>1.0</v>
      </c>
      <c r="J772" s="300">
        <v>1.0</v>
      </c>
      <c r="K772" s="300">
        <v>1.0</v>
      </c>
      <c r="L772" s="300">
        <v>1.0</v>
      </c>
      <c r="M772" s="300">
        <v>1.0</v>
      </c>
      <c r="N772" s="300">
        <v>8.0</v>
      </c>
      <c r="O772" s="300" t="s">
        <v>821</v>
      </c>
      <c r="P772" s="300">
        <v>7.0</v>
      </c>
    </row>
    <row r="773">
      <c r="A773">
        <f>IFERROR(__xludf.DUMMYFUNCTION("""COMPUTED_VALUE"""),10.0)</f>
        <v>10</v>
      </c>
      <c r="B773" s="406">
        <f>IFERROR(__xludf.DUMMYFUNCTION("""COMPUTED_VALUE"""),28093.0)</f>
        <v>28093</v>
      </c>
      <c r="C773" t="str">
        <f>IFERROR(__xludf.DUMMYFUNCTION("""COMPUTED_VALUE"""),"RESTREPO ELEJALDE, LUCIANO")</f>
        <v>RESTREPO ELEJALDE, LUCIANO</v>
      </c>
      <c r="D773" t="str">
        <f>IFERROR(__xludf.DUMMYFUNCTION("""COMPUTED_VALUE"""),"Spanish Film, Art, and Literature")</f>
        <v>Spanish Film, Art, and Literature</v>
      </c>
      <c r="E773" s="3">
        <f>IFERROR(__xludf.DUMMYFUNCTION("""COMPUTED_VALUE"""),8.0)</f>
        <v>8</v>
      </c>
      <c r="F773" s="300">
        <v>1.0</v>
      </c>
      <c r="G773" s="300">
        <v>1.0</v>
      </c>
      <c r="H773" s="300">
        <v>1.0</v>
      </c>
      <c r="I773" s="300">
        <v>1.0</v>
      </c>
      <c r="J773" s="300">
        <v>1.0</v>
      </c>
      <c r="K773" s="300">
        <v>1.0</v>
      </c>
      <c r="L773" s="300">
        <v>1.0</v>
      </c>
      <c r="M773" s="300">
        <v>1.0</v>
      </c>
      <c r="N773" s="300">
        <v>8.0</v>
      </c>
      <c r="O773" s="300" t="s">
        <v>824</v>
      </c>
      <c r="P773" s="300">
        <v>2.0</v>
      </c>
    </row>
    <row r="774">
      <c r="A774">
        <f>IFERROR(__xludf.DUMMYFUNCTION("""COMPUTED_VALUE"""),10.0)</f>
        <v>10</v>
      </c>
      <c r="B774" s="406">
        <f>IFERROR(__xludf.DUMMYFUNCTION("""COMPUTED_VALUE"""),28070.0)</f>
        <v>28070</v>
      </c>
      <c r="C774" t="str">
        <f>IFERROR(__xludf.DUMMYFUNCTION("""COMPUTED_VALUE"""),"MORENO RESTREPO, MARTIN")</f>
        <v>MORENO RESTREPO, MARTIN</v>
      </c>
      <c r="D774" t="str">
        <f>IFERROR(__xludf.DUMMYFUNCTION("""COMPUTED_VALUE"""),"AP Spanish Language and Culture")</f>
        <v>AP Spanish Language and Culture</v>
      </c>
      <c r="E774" s="3">
        <f>IFERROR(__xludf.DUMMYFUNCTION("""COMPUTED_VALUE"""),8.0)</f>
        <v>8</v>
      </c>
      <c r="F774" s="300">
        <v>1.0</v>
      </c>
      <c r="G774" s="300">
        <v>1.0</v>
      </c>
      <c r="H774" s="300">
        <v>1.0</v>
      </c>
      <c r="I774" s="300">
        <v>1.0</v>
      </c>
      <c r="J774" s="300">
        <v>1.0</v>
      </c>
      <c r="K774" s="300">
        <v>1.0</v>
      </c>
      <c r="L774" s="300">
        <v>1.0</v>
      </c>
      <c r="M774" s="300">
        <v>1.0</v>
      </c>
      <c r="N774" s="300">
        <v>8.0</v>
      </c>
      <c r="O774" s="300" t="s">
        <v>818</v>
      </c>
      <c r="P774" s="300">
        <v>7.0</v>
      </c>
    </row>
    <row r="775">
      <c r="A775">
        <f>IFERROR(__xludf.DUMMYFUNCTION("""COMPUTED_VALUE"""),10.0)</f>
        <v>10</v>
      </c>
      <c r="B775" s="406">
        <f>IFERROR(__xludf.DUMMYFUNCTION("""COMPUTED_VALUE"""),28110.0)</f>
        <v>28110</v>
      </c>
      <c r="C775" t="str">
        <f>IFERROR(__xludf.DUMMYFUNCTION("""COMPUTED_VALUE"""),"VARGAS URIBE, LORENZO")</f>
        <v>VARGAS URIBE, LORENZO</v>
      </c>
      <c r="D775" t="str">
        <f>IFERROR(__xludf.DUMMYFUNCTION("""COMPUTED_VALUE"""),"AP Spanish Language and Culture")</f>
        <v>AP Spanish Language and Culture</v>
      </c>
      <c r="E775" s="3">
        <f>IFERROR(__xludf.DUMMYFUNCTION("""COMPUTED_VALUE"""),7.0)</f>
        <v>7</v>
      </c>
      <c r="F775" s="300">
        <v>1.0</v>
      </c>
      <c r="G775" s="300">
        <v>1.0</v>
      </c>
      <c r="H775" s="300">
        <v>1.0</v>
      </c>
      <c r="I775" s="300">
        <v>1.0</v>
      </c>
      <c r="J775" s="300">
        <v>1.0</v>
      </c>
      <c r="K775" s="300">
        <v>1.0</v>
      </c>
      <c r="L775" s="300">
        <v>1.0</v>
      </c>
      <c r="M775" s="300">
        <v>1.0</v>
      </c>
      <c r="N775" s="300">
        <v>8.0</v>
      </c>
      <c r="O775" s="300" t="s">
        <v>821</v>
      </c>
      <c r="P775" s="300">
        <v>7.0</v>
      </c>
    </row>
    <row r="776">
      <c r="A776">
        <f>IFERROR(__xludf.DUMMYFUNCTION("""COMPUTED_VALUE"""),10.0)</f>
        <v>10</v>
      </c>
      <c r="B776" s="406">
        <f>IFERROR(__xludf.DUMMYFUNCTION("""COMPUTED_VALUE"""),28066.0)</f>
        <v>28066</v>
      </c>
      <c r="C776" t="str">
        <f>IFERROR(__xludf.DUMMYFUNCTION("""COMPUTED_VALUE"""),"MEJIA VELEZ, CANDELARIA")</f>
        <v>MEJIA VELEZ, CANDELARIA</v>
      </c>
      <c r="D776" t="str">
        <f>IFERROR(__xludf.DUMMYFUNCTION("""COMPUTED_VALUE"""),"AP Spanish Language and Culture")</f>
        <v>AP Spanish Language and Culture</v>
      </c>
      <c r="E776" s="3">
        <f>IFERROR(__xludf.DUMMYFUNCTION("""COMPUTED_VALUE"""),5.0)</f>
        <v>5</v>
      </c>
      <c r="F776" s="300">
        <v>1.0</v>
      </c>
      <c r="G776" s="300">
        <v>1.0</v>
      </c>
      <c r="H776" s="300">
        <v>1.0</v>
      </c>
      <c r="I776" s="300">
        <v>1.0</v>
      </c>
      <c r="J776" s="300">
        <v>1.0</v>
      </c>
      <c r="K776" s="300">
        <v>1.0</v>
      </c>
      <c r="L776" s="300">
        <v>1.0</v>
      </c>
      <c r="M776" s="300">
        <v>1.0</v>
      </c>
      <c r="N776" s="300">
        <v>8.0</v>
      </c>
      <c r="O776" s="300" t="s">
        <v>819</v>
      </c>
      <c r="P776" s="300">
        <v>7.0</v>
      </c>
    </row>
    <row r="777">
      <c r="A777">
        <f>IFERROR(__xludf.DUMMYFUNCTION("""COMPUTED_VALUE"""),10.0)</f>
        <v>10</v>
      </c>
      <c r="B777" s="406">
        <f>IFERROR(__xludf.DUMMYFUNCTION("""COMPUTED_VALUE"""),28071.0)</f>
        <v>28071</v>
      </c>
      <c r="C777" t="str">
        <f>IFERROR(__xludf.DUMMYFUNCTION("""COMPUTED_VALUE"""),"NARANJO PINO, MARTIN")</f>
        <v>NARANJO PINO, MARTIN</v>
      </c>
      <c r="D777" t="str">
        <f>IFERROR(__xludf.DUMMYFUNCTION("""COMPUTED_VALUE"""),"AP Spanish Language and Culture")</f>
        <v>AP Spanish Language and Culture</v>
      </c>
      <c r="E777" s="3">
        <f>IFERROR(__xludf.DUMMYFUNCTION("""COMPUTED_VALUE"""),6.0)</f>
        <v>6</v>
      </c>
      <c r="F777" s="300">
        <v>1.0</v>
      </c>
      <c r="G777" s="300">
        <v>1.0</v>
      </c>
      <c r="H777" s="300">
        <v>1.0</v>
      </c>
      <c r="I777" s="300">
        <v>1.0</v>
      </c>
      <c r="J777" s="300">
        <v>1.0</v>
      </c>
      <c r="K777" s="300">
        <v>1.0</v>
      </c>
      <c r="L777" s="300">
        <v>1.0</v>
      </c>
      <c r="M777" s="300">
        <v>1.0</v>
      </c>
      <c r="N777" s="300">
        <v>8.0</v>
      </c>
      <c r="O777" s="300" t="s">
        <v>816</v>
      </c>
      <c r="P777" s="300">
        <v>7.0</v>
      </c>
    </row>
    <row r="778">
      <c r="A778">
        <f>IFERROR(__xludf.DUMMYFUNCTION("""COMPUTED_VALUE"""),10.0)</f>
        <v>10</v>
      </c>
      <c r="B778" s="406">
        <f>IFERROR(__xludf.DUMMYFUNCTION("""COMPUTED_VALUE"""),28168.0)</f>
        <v>28168</v>
      </c>
      <c r="C778" t="str">
        <f>IFERROR(__xludf.DUMMYFUNCTION("""COMPUTED_VALUE"""),"KEILON GRAHAM")</f>
        <v>KEILON GRAHAM</v>
      </c>
      <c r="D778" t="str">
        <f>IFERROR(__xludf.DUMMYFUNCTION("""COMPUTED_VALUE"""),"Spanish as a Foreing Language")</f>
        <v>Spanish as a Foreing Language</v>
      </c>
      <c r="E778" s="3">
        <f>IFERROR(__xludf.DUMMYFUNCTION("""COMPUTED_VALUE"""),8.0)</f>
        <v>8</v>
      </c>
      <c r="F778" s="300">
        <v>1.0</v>
      </c>
      <c r="G778" s="300">
        <v>1.0</v>
      </c>
      <c r="H778" s="300">
        <v>1.0</v>
      </c>
      <c r="I778" s="300">
        <v>1.0</v>
      </c>
      <c r="J778" s="300">
        <v>1.0</v>
      </c>
      <c r="K778" s="300">
        <v>1.0</v>
      </c>
      <c r="L778" s="300">
        <v>1.0</v>
      </c>
      <c r="M778" s="300">
        <v>1.0</v>
      </c>
      <c r="N778" s="300">
        <v>8.0</v>
      </c>
      <c r="O778" s="300" t="s">
        <v>815</v>
      </c>
      <c r="P778" s="300">
        <v>1.0</v>
      </c>
    </row>
    <row r="779">
      <c r="A779">
        <f>IFERROR(__xludf.DUMMYFUNCTION("""COMPUTED_VALUE"""),11.0)</f>
        <v>11</v>
      </c>
      <c r="B779" s="406">
        <f>IFERROR(__xludf.DUMMYFUNCTION("""COMPUTED_VALUE"""),27118.0)</f>
        <v>27118</v>
      </c>
      <c r="C779" t="str">
        <f>IFERROR(__xludf.DUMMYFUNCTION("""COMPUTED_VALUE"""),"URIBE SIERRA, SOFIA")</f>
        <v>URIBE SIERRA, SOFIA</v>
      </c>
      <c r="D779" t="str">
        <f>IFERROR(__xludf.DUMMYFUNCTION("""COMPUTED_VALUE"""),"Spanish Film, Art, and Literature")</f>
        <v>Spanish Film, Art, and Literature</v>
      </c>
      <c r="E779" s="3">
        <f>IFERROR(__xludf.DUMMYFUNCTION("""COMPUTED_VALUE"""),5.0)</f>
        <v>5</v>
      </c>
      <c r="F779" s="300">
        <v>1.0</v>
      </c>
      <c r="G779" s="300">
        <v>1.0</v>
      </c>
      <c r="H779" s="300">
        <v>1.0</v>
      </c>
      <c r="I779" s="300">
        <v>1.0</v>
      </c>
      <c r="J779" s="300">
        <v>1.0</v>
      </c>
      <c r="K779" s="300">
        <v>1.0</v>
      </c>
      <c r="L779" s="300">
        <v>1.0</v>
      </c>
      <c r="M779" s="300">
        <v>1.0</v>
      </c>
      <c r="N779" s="300">
        <v>8.0</v>
      </c>
      <c r="O779" s="300" t="s">
        <v>823</v>
      </c>
      <c r="P779" s="300">
        <v>2.0</v>
      </c>
    </row>
    <row r="780">
      <c r="A780">
        <f>IFERROR(__xludf.DUMMYFUNCTION("""COMPUTED_VALUE"""),11.0)</f>
        <v>11</v>
      </c>
      <c r="B780" s="406">
        <f>IFERROR(__xludf.DUMMYFUNCTION("""COMPUTED_VALUE"""),27039.0)</f>
        <v>27039</v>
      </c>
      <c r="C780" t="str">
        <f>IFERROR(__xludf.DUMMYFUNCTION("""COMPUTED_VALUE"""),"GALLEGO LOPEZ, SUSSANA")</f>
        <v>GALLEGO LOPEZ, SUSSANA</v>
      </c>
      <c r="D780" t="str">
        <f>IFERROR(__xludf.DUMMYFUNCTION("""COMPUTED_VALUE"""),"Spanish Film, Art, and Literature")</f>
        <v>Spanish Film, Art, and Literature</v>
      </c>
      <c r="E780" s="3">
        <f>IFERROR(__xludf.DUMMYFUNCTION("""COMPUTED_VALUE"""),8.0)</f>
        <v>8</v>
      </c>
      <c r="F780" s="300">
        <v>1.0</v>
      </c>
      <c r="G780" s="300">
        <v>1.0</v>
      </c>
      <c r="H780" s="300">
        <v>1.0</v>
      </c>
      <c r="I780" s="300">
        <v>1.0</v>
      </c>
      <c r="J780" s="300">
        <v>1.0</v>
      </c>
      <c r="K780" s="300">
        <v>1.0</v>
      </c>
      <c r="L780" s="300">
        <v>1.0</v>
      </c>
      <c r="M780" s="300">
        <v>1.0</v>
      </c>
      <c r="N780" s="300">
        <v>8.0</v>
      </c>
      <c r="O780" s="300" t="s">
        <v>824</v>
      </c>
      <c r="P780" s="300">
        <v>2.0</v>
      </c>
    </row>
    <row r="781">
      <c r="A781">
        <f>IFERROR(__xludf.DUMMYFUNCTION("""COMPUTED_VALUE"""),11.0)</f>
        <v>11</v>
      </c>
      <c r="B781" s="406">
        <f>IFERROR(__xludf.DUMMYFUNCTION("""COMPUTED_VALUE"""),27171.0)</f>
        <v>27171</v>
      </c>
      <c r="C781" t="str">
        <f>IFERROR(__xludf.DUMMYFUNCTION("""COMPUTED_VALUE"""),"BEDOYA PARRA, LAURA")</f>
        <v>BEDOYA PARRA, LAURA</v>
      </c>
      <c r="D781" t="str">
        <f>IFERROR(__xludf.DUMMYFUNCTION("""COMPUTED_VALUE"""),"Spanish Film, Art, and Literature")</f>
        <v>Spanish Film, Art, and Literature</v>
      </c>
      <c r="E781" s="3">
        <f>IFERROR(__xludf.DUMMYFUNCTION("""COMPUTED_VALUE"""),8.0)</f>
        <v>8</v>
      </c>
      <c r="F781" s="300">
        <v>1.0</v>
      </c>
      <c r="G781" s="300">
        <v>1.0</v>
      </c>
      <c r="H781" s="300">
        <v>1.0</v>
      </c>
      <c r="I781" s="300">
        <v>1.0</v>
      </c>
      <c r="J781" s="300">
        <v>1.0</v>
      </c>
      <c r="K781" s="300">
        <v>1.0</v>
      </c>
      <c r="L781" s="300">
        <v>1.0</v>
      </c>
      <c r="M781" s="300">
        <v>1.0</v>
      </c>
      <c r="N781" s="300">
        <v>8.0</v>
      </c>
      <c r="O781" s="300" t="s">
        <v>824</v>
      </c>
      <c r="P781" s="300">
        <v>2.0</v>
      </c>
    </row>
    <row r="782">
      <c r="A782">
        <f>IFERROR(__xludf.DUMMYFUNCTION("""COMPUTED_VALUE"""),11.0)</f>
        <v>11</v>
      </c>
      <c r="B782" s="406">
        <f>IFERROR(__xludf.DUMMYFUNCTION("""COMPUTED_VALUE"""),27146.0)</f>
        <v>27146</v>
      </c>
      <c r="C782" t="str">
        <f>IFERROR(__xludf.DUMMYFUNCTION("""COMPUTED_VALUE"""),"MORALES BAYONA, AMELIA")</f>
        <v>MORALES BAYONA, AMELIA</v>
      </c>
      <c r="D782" t="str">
        <f>IFERROR(__xludf.DUMMYFUNCTION("""COMPUTED_VALUE"""),"AP Spanish Literature and Culture")</f>
        <v>AP Spanish Literature and Culture</v>
      </c>
      <c r="E782" s="3">
        <f>IFERROR(__xludf.DUMMYFUNCTION("""COMPUTED_VALUE"""),8.0)</f>
        <v>8</v>
      </c>
      <c r="F782" s="300">
        <v>1.0</v>
      </c>
      <c r="G782" s="300">
        <v>1.0</v>
      </c>
      <c r="H782" s="300">
        <v>1.0</v>
      </c>
      <c r="I782" s="300">
        <v>1.0</v>
      </c>
      <c r="J782" s="300">
        <v>1.0</v>
      </c>
      <c r="K782" s="300">
        <v>1.0</v>
      </c>
      <c r="L782" s="300">
        <v>1.0</v>
      </c>
      <c r="M782" s="300">
        <v>1.0</v>
      </c>
      <c r="N782" s="300">
        <v>8.0</v>
      </c>
      <c r="O782" s="300" t="s">
        <v>825</v>
      </c>
      <c r="P782" s="300">
        <v>1.0</v>
      </c>
    </row>
    <row r="783">
      <c r="A783">
        <f>IFERROR(__xludf.DUMMYFUNCTION("""COMPUTED_VALUE"""),11.0)</f>
        <v>11</v>
      </c>
      <c r="B783" s="406">
        <f>IFERROR(__xludf.DUMMYFUNCTION("""COMPUTED_VALUE"""),27073.0)</f>
        <v>27073</v>
      </c>
      <c r="C783" t="str">
        <f>IFERROR(__xludf.DUMMYFUNCTION("""COMPUTED_VALUE"""),"MONTES LOPEZ, SOFIA")</f>
        <v>MONTES LOPEZ, SOFIA</v>
      </c>
      <c r="D783" t="str">
        <f>IFERROR(__xludf.DUMMYFUNCTION("""COMPUTED_VALUE"""),"Spanish Film, Art, and Literature")</f>
        <v>Spanish Film, Art, and Literature</v>
      </c>
      <c r="E783" s="3">
        <f>IFERROR(__xludf.DUMMYFUNCTION("""COMPUTED_VALUE"""),8.0)</f>
        <v>8</v>
      </c>
      <c r="F783" s="300">
        <v>1.0</v>
      </c>
      <c r="G783" s="300">
        <v>1.0</v>
      </c>
      <c r="H783" s="300">
        <v>1.0</v>
      </c>
      <c r="I783" s="300">
        <v>1.0</v>
      </c>
      <c r="J783" s="300">
        <v>1.0</v>
      </c>
      <c r="K783" s="300">
        <v>1.0</v>
      </c>
      <c r="L783" s="300">
        <v>1.0</v>
      </c>
      <c r="M783" s="300">
        <v>1.0</v>
      </c>
      <c r="N783" s="300">
        <v>8.0</v>
      </c>
      <c r="O783" s="300" t="s">
        <v>824</v>
      </c>
      <c r="P783" s="300">
        <v>2.0</v>
      </c>
    </row>
    <row r="784">
      <c r="A784">
        <f>IFERROR(__xludf.DUMMYFUNCTION("""COMPUTED_VALUE"""),11.0)</f>
        <v>11</v>
      </c>
      <c r="B784" s="406">
        <f>IFERROR(__xludf.DUMMYFUNCTION("""COMPUTED_VALUE"""),27139.0)</f>
        <v>27139</v>
      </c>
      <c r="C784" t="str">
        <f>IFERROR(__xludf.DUMMYFUNCTION("""COMPUTED_VALUE"""),"OCAMPO CEBALLOS, JULIA")</f>
        <v>OCAMPO CEBALLOS, JULIA</v>
      </c>
      <c r="D784" t="str">
        <f>IFERROR(__xludf.DUMMYFUNCTION("""COMPUTED_VALUE"""),"Spanish and Literature 11")</f>
        <v>Spanish and Literature 11</v>
      </c>
      <c r="E784" s="3">
        <f>IFERROR(__xludf.DUMMYFUNCTION("""COMPUTED_VALUE"""),6.0)</f>
        <v>6</v>
      </c>
      <c r="F784" s="300">
        <v>1.0</v>
      </c>
      <c r="G784" s="300">
        <v>1.0</v>
      </c>
      <c r="H784" s="300">
        <v>1.0</v>
      </c>
      <c r="I784" s="300">
        <v>1.0</v>
      </c>
      <c r="J784" s="300">
        <v>1.0</v>
      </c>
      <c r="K784" s="300">
        <v>1.0</v>
      </c>
      <c r="L784" s="300">
        <v>1.0</v>
      </c>
      <c r="M784" s="300">
        <v>1.0</v>
      </c>
      <c r="N784" s="300">
        <v>8.0</v>
      </c>
      <c r="O784" s="300" t="s">
        <v>826</v>
      </c>
      <c r="P784" s="300">
        <v>5.0</v>
      </c>
    </row>
    <row r="785">
      <c r="A785">
        <f>IFERROR(__xludf.DUMMYFUNCTION("""COMPUTED_VALUE"""),11.0)</f>
        <v>11</v>
      </c>
      <c r="B785" s="406">
        <f>IFERROR(__xludf.DUMMYFUNCTION("""COMPUTED_VALUE"""),27020.0)</f>
        <v>27020</v>
      </c>
      <c r="C785" t="str">
        <f>IFERROR(__xludf.DUMMYFUNCTION("""COMPUTED_VALUE"""),"BOTERO LAVERDE, MARTINA")</f>
        <v>BOTERO LAVERDE, MARTINA</v>
      </c>
      <c r="D785" t="str">
        <f>IFERROR(__xludf.DUMMYFUNCTION("""COMPUTED_VALUE"""),"Spanish and Literature 11")</f>
        <v>Spanish and Literature 11</v>
      </c>
      <c r="E785" s="3">
        <f>IFERROR(__xludf.DUMMYFUNCTION("""COMPUTED_VALUE"""),1.0)</f>
        <v>1</v>
      </c>
      <c r="F785" s="300">
        <v>1.0</v>
      </c>
      <c r="G785" s="300">
        <v>1.0</v>
      </c>
      <c r="H785" s="300">
        <v>1.0</v>
      </c>
      <c r="I785" s="300">
        <v>1.0</v>
      </c>
      <c r="J785" s="300">
        <v>1.0</v>
      </c>
      <c r="K785" s="300">
        <v>1.0</v>
      </c>
      <c r="L785" s="300">
        <v>1.0</v>
      </c>
      <c r="M785" s="300">
        <v>1.0</v>
      </c>
      <c r="N785" s="300">
        <v>8.0</v>
      </c>
      <c r="O785" s="300" t="s">
        <v>827</v>
      </c>
      <c r="P785" s="300">
        <v>5.0</v>
      </c>
    </row>
    <row r="786">
      <c r="A786">
        <f>IFERROR(__xludf.DUMMYFUNCTION("""COMPUTED_VALUE"""),11.0)</f>
        <v>11</v>
      </c>
      <c r="B786" s="406">
        <f>IFERROR(__xludf.DUMMYFUNCTION("""COMPUTED_VALUE"""),27059.0)</f>
        <v>27059</v>
      </c>
      <c r="C786" t="str">
        <f>IFERROR(__xludf.DUMMYFUNCTION("""COMPUTED_VALUE"""),"LOPEZ VELEZ, PAULINA")</f>
        <v>LOPEZ VELEZ, PAULINA</v>
      </c>
      <c r="D786" t="str">
        <f>IFERROR(__xludf.DUMMYFUNCTION("""COMPUTED_VALUE"""),"AP Spanish Literature and Culture")</f>
        <v>AP Spanish Literature and Culture</v>
      </c>
      <c r="E786" s="3">
        <f>IFERROR(__xludf.DUMMYFUNCTION("""COMPUTED_VALUE"""),8.0)</f>
        <v>8</v>
      </c>
      <c r="F786" s="300">
        <v>1.0</v>
      </c>
      <c r="G786" s="300">
        <v>1.0</v>
      </c>
      <c r="H786" s="300">
        <v>1.0</v>
      </c>
      <c r="I786" s="300">
        <v>1.0</v>
      </c>
      <c r="J786" s="300">
        <v>1.0</v>
      </c>
      <c r="K786" s="300">
        <v>1.0</v>
      </c>
      <c r="L786" s="300">
        <v>1.0</v>
      </c>
      <c r="M786" s="300">
        <v>1.0</v>
      </c>
      <c r="N786" s="300">
        <v>8.0</v>
      </c>
      <c r="O786" s="300" t="s">
        <v>825</v>
      </c>
      <c r="P786" s="300">
        <v>1.0</v>
      </c>
    </row>
    <row r="787">
      <c r="A787">
        <f>IFERROR(__xludf.DUMMYFUNCTION("""COMPUTED_VALUE"""),11.0)</f>
        <v>11</v>
      </c>
      <c r="B787" s="406">
        <f>IFERROR(__xludf.DUMMYFUNCTION("""COMPUTED_VALUE"""),27051.0)</f>
        <v>27051</v>
      </c>
      <c r="C787" t="str">
        <f>IFERROR(__xludf.DUMMYFUNCTION("""COMPUTED_VALUE"""),"ISAZA GOMEZ, ELISA")</f>
        <v>ISAZA GOMEZ, ELISA</v>
      </c>
      <c r="D787" t="str">
        <f>IFERROR(__xludf.DUMMYFUNCTION("""COMPUTED_VALUE"""),"Spanish and Literature 11")</f>
        <v>Spanish and Literature 11</v>
      </c>
      <c r="E787" s="3">
        <f>IFERROR(__xludf.DUMMYFUNCTION("""COMPUTED_VALUE"""),3.0)</f>
        <v>3</v>
      </c>
      <c r="F787" s="300">
        <v>1.0</v>
      </c>
      <c r="G787" s="300">
        <v>1.0</v>
      </c>
      <c r="H787" s="300">
        <v>1.0</v>
      </c>
      <c r="I787" s="300">
        <v>1.0</v>
      </c>
      <c r="J787" s="300">
        <v>1.0</v>
      </c>
      <c r="K787" s="300">
        <v>1.0</v>
      </c>
      <c r="L787" s="300">
        <v>1.0</v>
      </c>
      <c r="M787" s="300">
        <v>1.0</v>
      </c>
      <c r="N787" s="300">
        <v>8.0</v>
      </c>
      <c r="O787" s="300" t="s">
        <v>828</v>
      </c>
      <c r="P787" s="300">
        <v>5.0</v>
      </c>
    </row>
    <row r="788">
      <c r="A788">
        <f>IFERROR(__xludf.DUMMYFUNCTION("""COMPUTED_VALUE"""),11.0)</f>
        <v>11</v>
      </c>
      <c r="B788" s="406">
        <f>IFERROR(__xludf.DUMMYFUNCTION("""COMPUTED_VALUE"""),27119.0)</f>
        <v>27119</v>
      </c>
      <c r="C788" t="str">
        <f>IFERROR(__xludf.DUMMYFUNCTION("""COMPUTED_VALUE"""),"VALENCIA RODRIGUEZ, EMILIA")</f>
        <v>VALENCIA RODRIGUEZ, EMILIA</v>
      </c>
      <c r="D788" t="str">
        <f>IFERROR(__xludf.DUMMYFUNCTION("""COMPUTED_VALUE"""),"Spanish and Literature 11")</f>
        <v>Spanish and Literature 11</v>
      </c>
      <c r="E788" s="3">
        <f>IFERROR(__xludf.DUMMYFUNCTION("""COMPUTED_VALUE"""),3.0)</f>
        <v>3</v>
      </c>
      <c r="F788" s="300">
        <v>1.0</v>
      </c>
      <c r="G788" s="300">
        <v>1.0</v>
      </c>
      <c r="H788" s="300">
        <v>1.0</v>
      </c>
      <c r="I788" s="300">
        <v>1.0</v>
      </c>
      <c r="J788" s="300">
        <v>1.0</v>
      </c>
      <c r="K788" s="300">
        <v>1.0</v>
      </c>
      <c r="L788" s="300">
        <v>1.0</v>
      </c>
      <c r="M788" s="300">
        <v>1.0</v>
      </c>
      <c r="N788" s="300">
        <v>8.0</v>
      </c>
      <c r="O788" s="300" t="s">
        <v>828</v>
      </c>
      <c r="P788" s="300">
        <v>5.0</v>
      </c>
    </row>
    <row r="789">
      <c r="A789">
        <f>IFERROR(__xludf.DUMMYFUNCTION("""COMPUTED_VALUE"""),11.0)</f>
        <v>11</v>
      </c>
      <c r="B789" s="406">
        <f>IFERROR(__xludf.DUMMYFUNCTION("""COMPUTED_VALUE"""),27074.0)</f>
        <v>27074</v>
      </c>
      <c r="C789" t="str">
        <f>IFERROR(__xludf.DUMMYFUNCTION("""COMPUTED_VALUE"""),"MONTORSI GOMEZ, LUCIA")</f>
        <v>MONTORSI GOMEZ, LUCIA</v>
      </c>
      <c r="D789" t="str">
        <f>IFERROR(__xludf.DUMMYFUNCTION("""COMPUTED_VALUE"""),"Spanish and Literature 11")</f>
        <v>Spanish and Literature 11</v>
      </c>
      <c r="E789" s="3">
        <f>IFERROR(__xludf.DUMMYFUNCTION("""COMPUTED_VALUE"""),3.0)</f>
        <v>3</v>
      </c>
      <c r="F789" s="300">
        <v>1.0</v>
      </c>
      <c r="G789" s="300">
        <v>1.0</v>
      </c>
      <c r="H789" s="300">
        <v>1.0</v>
      </c>
      <c r="I789" s="300">
        <v>1.0</v>
      </c>
      <c r="J789" s="300">
        <v>1.0</v>
      </c>
      <c r="K789" s="300">
        <v>1.0</v>
      </c>
      <c r="L789" s="300">
        <v>1.0</v>
      </c>
      <c r="M789" s="300">
        <v>1.0</v>
      </c>
      <c r="N789" s="300">
        <v>8.0</v>
      </c>
      <c r="O789" s="300" t="s">
        <v>828</v>
      </c>
      <c r="P789" s="300">
        <v>5.0</v>
      </c>
    </row>
    <row r="790">
      <c r="A790">
        <f>IFERROR(__xludf.DUMMYFUNCTION("""COMPUTED_VALUE"""),11.0)</f>
        <v>11</v>
      </c>
      <c r="B790" s="406">
        <f>IFERROR(__xludf.DUMMYFUNCTION("""COMPUTED_VALUE"""),27124.0)</f>
        <v>27124</v>
      </c>
      <c r="C790" t="str">
        <f>IFERROR(__xludf.DUMMYFUNCTION("""COMPUTED_VALUE"""),"VELEZ RAMIREZ, JULIETA")</f>
        <v>VELEZ RAMIREZ, JULIETA</v>
      </c>
      <c r="D790" t="str">
        <f>IFERROR(__xludf.DUMMYFUNCTION("""COMPUTED_VALUE"""),"Spanish Film, Art, and Literature")</f>
        <v>Spanish Film, Art, and Literature</v>
      </c>
      <c r="E790" s="3">
        <f>IFERROR(__xludf.DUMMYFUNCTION("""COMPUTED_VALUE"""),8.0)</f>
        <v>8</v>
      </c>
      <c r="F790" s="300">
        <v>1.0</v>
      </c>
      <c r="G790" s="300">
        <v>1.0</v>
      </c>
      <c r="H790" s="300">
        <v>1.0</v>
      </c>
      <c r="I790" s="300">
        <v>1.0</v>
      </c>
      <c r="J790" s="300">
        <v>1.0</v>
      </c>
      <c r="K790" s="300">
        <v>1.0</v>
      </c>
      <c r="L790" s="300">
        <v>1.0</v>
      </c>
      <c r="M790" s="300">
        <v>1.0</v>
      </c>
      <c r="N790" s="300">
        <v>8.0</v>
      </c>
      <c r="O790" s="300" t="s">
        <v>824</v>
      </c>
      <c r="P790" s="300">
        <v>2.0</v>
      </c>
    </row>
    <row r="791">
      <c r="A791">
        <f>IFERROR(__xludf.DUMMYFUNCTION("""COMPUTED_VALUE"""),11.0)</f>
        <v>11</v>
      </c>
      <c r="B791" s="406">
        <f>IFERROR(__xludf.DUMMYFUNCTION("""COMPUTED_VALUE"""),27095.0)</f>
        <v>27095</v>
      </c>
      <c r="C791" t="str">
        <f>IFERROR(__xludf.DUMMYFUNCTION("""COMPUTED_VALUE"""),"RESTREPO BECERRA, ALINA")</f>
        <v>RESTREPO BECERRA, ALINA</v>
      </c>
      <c r="D791" t="str">
        <f>IFERROR(__xludf.DUMMYFUNCTION("""COMPUTED_VALUE"""),"Spanish and Literature 11")</f>
        <v>Spanish and Literature 11</v>
      </c>
      <c r="E791" s="3">
        <f>IFERROR(__xludf.DUMMYFUNCTION("""COMPUTED_VALUE"""),6.0)</f>
        <v>6</v>
      </c>
      <c r="F791" s="300">
        <v>1.0</v>
      </c>
      <c r="G791" s="300">
        <v>1.0</v>
      </c>
      <c r="H791" s="300">
        <v>1.0</v>
      </c>
      <c r="I791" s="300">
        <v>1.0</v>
      </c>
      <c r="J791" s="300">
        <v>1.0</v>
      </c>
      <c r="K791" s="300">
        <v>1.0</v>
      </c>
      <c r="L791" s="300">
        <v>1.0</v>
      </c>
      <c r="M791" s="300">
        <v>1.0</v>
      </c>
      <c r="N791" s="300">
        <v>8.0</v>
      </c>
      <c r="O791" s="300" t="s">
        <v>826</v>
      </c>
      <c r="P791" s="300">
        <v>5.0</v>
      </c>
    </row>
    <row r="792">
      <c r="A792">
        <f>IFERROR(__xludf.DUMMYFUNCTION("""COMPUTED_VALUE"""),11.0)</f>
        <v>11</v>
      </c>
      <c r="B792" s="406">
        <f>IFERROR(__xludf.DUMMYFUNCTION("""COMPUTED_VALUE"""),27080.0)</f>
        <v>27080</v>
      </c>
      <c r="C792" t="str">
        <f>IFERROR(__xludf.DUMMYFUNCTION("""COMPUTED_VALUE"""),"OSORIO GAVIRIA, MARIA CLARA")</f>
        <v>OSORIO GAVIRIA, MARIA CLARA</v>
      </c>
      <c r="D792" t="str">
        <f>IFERROR(__xludf.DUMMYFUNCTION("""COMPUTED_VALUE"""),"Spanish Film, Art, and Literature")</f>
        <v>Spanish Film, Art, and Literature</v>
      </c>
      <c r="E792" s="3">
        <f>IFERROR(__xludf.DUMMYFUNCTION("""COMPUTED_VALUE"""),8.0)</f>
        <v>8</v>
      </c>
      <c r="F792" s="300">
        <v>1.0</v>
      </c>
      <c r="G792" s="300">
        <v>1.0</v>
      </c>
      <c r="H792" s="300">
        <v>1.0</v>
      </c>
      <c r="I792" s="300">
        <v>1.0</v>
      </c>
      <c r="J792" s="300">
        <v>1.0</v>
      </c>
      <c r="K792" s="300">
        <v>1.0</v>
      </c>
      <c r="L792" s="300">
        <v>1.0</v>
      </c>
      <c r="M792" s="300">
        <v>1.0</v>
      </c>
      <c r="N792" s="300">
        <v>8.0</v>
      </c>
      <c r="O792" s="300" t="s">
        <v>824</v>
      </c>
      <c r="P792" s="300">
        <v>2.0</v>
      </c>
    </row>
    <row r="793">
      <c r="A793">
        <f>IFERROR(__xludf.DUMMYFUNCTION("""COMPUTED_VALUE"""),11.0)</f>
        <v>11</v>
      </c>
      <c r="B793" s="406">
        <f>IFERROR(__xludf.DUMMYFUNCTION("""COMPUTED_VALUE"""),27140.0)</f>
        <v>27140</v>
      </c>
      <c r="C793" t="str">
        <f>IFERROR(__xludf.DUMMYFUNCTION("""COMPUTED_VALUE"""),"CORREA URIBE, PABLO")</f>
        <v>CORREA URIBE, PABLO</v>
      </c>
      <c r="D793" t="str">
        <f>IFERROR(__xludf.DUMMYFUNCTION("""COMPUTED_VALUE"""),"Spanish and Literature 11")</f>
        <v>Spanish and Literature 11</v>
      </c>
      <c r="E793" s="3">
        <f>IFERROR(__xludf.DUMMYFUNCTION("""COMPUTED_VALUE"""),4.0)</f>
        <v>4</v>
      </c>
      <c r="F793" s="300">
        <v>1.0</v>
      </c>
      <c r="G793" s="300">
        <v>1.0</v>
      </c>
      <c r="H793" s="300">
        <v>1.0</v>
      </c>
      <c r="I793" s="300">
        <v>1.0</v>
      </c>
      <c r="J793" s="300">
        <v>1.0</v>
      </c>
      <c r="K793" s="300">
        <v>1.0</v>
      </c>
      <c r="L793" s="300">
        <v>1.0</v>
      </c>
      <c r="M793" s="300">
        <v>1.0</v>
      </c>
      <c r="N793" s="300">
        <v>8.0</v>
      </c>
      <c r="O793" s="300" t="s">
        <v>829</v>
      </c>
      <c r="P793" s="300">
        <v>5.0</v>
      </c>
    </row>
    <row r="794">
      <c r="A794">
        <f>IFERROR(__xludf.DUMMYFUNCTION("""COMPUTED_VALUE"""),11.0)</f>
        <v>11</v>
      </c>
      <c r="B794" s="406">
        <f>IFERROR(__xludf.DUMMYFUNCTION("""COMPUTED_VALUE"""),27106.0)</f>
        <v>27106</v>
      </c>
      <c r="C794" t="str">
        <f>IFERROR(__xludf.DUMMYFUNCTION("""COMPUTED_VALUE"""),"SANCHEZ HURTADO, CRISTOBAL")</f>
        <v>SANCHEZ HURTADO, CRISTOBAL</v>
      </c>
      <c r="D794" t="str">
        <f>IFERROR(__xludf.DUMMYFUNCTION("""COMPUTED_VALUE"""),"Spanish and Literature 11")</f>
        <v>Spanish and Literature 11</v>
      </c>
      <c r="E794" s="3">
        <f>IFERROR(__xludf.DUMMYFUNCTION("""COMPUTED_VALUE"""),1.0)</f>
        <v>1</v>
      </c>
      <c r="F794" s="300">
        <v>1.0</v>
      </c>
      <c r="G794" s="300">
        <v>1.0</v>
      </c>
      <c r="H794" s="300">
        <v>1.0</v>
      </c>
      <c r="I794" s="300">
        <v>1.0</v>
      </c>
      <c r="J794" s="300">
        <v>1.0</v>
      </c>
      <c r="K794" s="300">
        <v>1.0</v>
      </c>
      <c r="L794" s="300">
        <v>1.0</v>
      </c>
      <c r="M794" s="300">
        <v>1.0</v>
      </c>
      <c r="N794" s="300">
        <v>8.0</v>
      </c>
      <c r="O794" s="300" t="s">
        <v>827</v>
      </c>
      <c r="P794" s="300">
        <v>5.0</v>
      </c>
    </row>
    <row r="795">
      <c r="A795">
        <f>IFERROR(__xludf.DUMMYFUNCTION("""COMPUTED_VALUE"""),11.0)</f>
        <v>11</v>
      </c>
      <c r="B795" s="406">
        <f>IFERROR(__xludf.DUMMYFUNCTION("""COMPUTED_VALUE"""),27002.0)</f>
        <v>27002</v>
      </c>
      <c r="C795" t="str">
        <f>IFERROR(__xludf.DUMMYFUNCTION("""COMPUTED_VALUE"""),"AGUDELO LUJAN, ARIANA")</f>
        <v>AGUDELO LUJAN, ARIANA</v>
      </c>
      <c r="D795" t="str">
        <f>IFERROR(__xludf.DUMMYFUNCTION("""COMPUTED_VALUE"""),"Spanish and Literature 11")</f>
        <v>Spanish and Literature 11</v>
      </c>
      <c r="E795" s="3">
        <f>IFERROR(__xludf.DUMMYFUNCTION("""COMPUTED_VALUE"""),4.0)</f>
        <v>4</v>
      </c>
      <c r="F795" s="300">
        <v>1.0</v>
      </c>
      <c r="G795" s="300">
        <v>1.0</v>
      </c>
      <c r="H795" s="300">
        <v>1.0</v>
      </c>
      <c r="I795" s="300">
        <v>1.0</v>
      </c>
      <c r="J795" s="300">
        <v>1.0</v>
      </c>
      <c r="K795" s="300">
        <v>1.0</v>
      </c>
      <c r="L795" s="300">
        <v>1.0</v>
      </c>
      <c r="M795" s="300">
        <v>1.0</v>
      </c>
      <c r="N795" s="300">
        <v>8.0</v>
      </c>
      <c r="O795" s="300" t="s">
        <v>829</v>
      </c>
      <c r="P795" s="300">
        <v>5.0</v>
      </c>
    </row>
    <row r="796">
      <c r="A796">
        <f>IFERROR(__xludf.DUMMYFUNCTION("""COMPUTED_VALUE"""),11.0)</f>
        <v>11</v>
      </c>
      <c r="B796" s="406">
        <f>IFERROR(__xludf.DUMMYFUNCTION("""COMPUTED_VALUE"""),27001.0)</f>
        <v>27001</v>
      </c>
      <c r="C796" t="str">
        <f>IFERROR(__xludf.DUMMYFUNCTION("""COMPUTED_VALUE"""),"ACOSTA VILLA, LUCIANO")</f>
        <v>ACOSTA VILLA, LUCIANO</v>
      </c>
      <c r="D796" t="str">
        <f>IFERROR(__xludf.DUMMYFUNCTION("""COMPUTED_VALUE"""),"Spanish and Literature 11")</f>
        <v>Spanish and Literature 11</v>
      </c>
      <c r="E796" s="3">
        <f>IFERROR(__xludf.DUMMYFUNCTION("""COMPUTED_VALUE"""),3.0)</f>
        <v>3</v>
      </c>
      <c r="F796" s="300">
        <v>1.0</v>
      </c>
      <c r="G796" s="300">
        <v>1.0</v>
      </c>
      <c r="H796" s="300">
        <v>1.0</v>
      </c>
      <c r="I796" s="300">
        <v>1.0</v>
      </c>
      <c r="J796" s="300">
        <v>1.0</v>
      </c>
      <c r="K796" s="300">
        <v>1.0</v>
      </c>
      <c r="L796" s="300">
        <v>1.0</v>
      </c>
      <c r="M796" s="300">
        <v>1.0</v>
      </c>
      <c r="N796" s="300">
        <v>8.0</v>
      </c>
      <c r="O796" s="300" t="s">
        <v>828</v>
      </c>
      <c r="P796" s="300">
        <v>5.0</v>
      </c>
    </row>
    <row r="797">
      <c r="A797">
        <f>IFERROR(__xludf.DUMMYFUNCTION("""COMPUTED_VALUE"""),11.0)</f>
        <v>11</v>
      </c>
      <c r="B797" s="406">
        <f>IFERROR(__xludf.DUMMYFUNCTION("""COMPUTED_VALUE"""),26040.0)</f>
        <v>26040</v>
      </c>
      <c r="C797" t="str">
        <f>IFERROR(__xludf.DUMMYFUNCTION("""COMPUTED_VALUE"""),"GOMEZ VASQUEZ, MATIAS")</f>
        <v>GOMEZ VASQUEZ, MATIAS</v>
      </c>
      <c r="D797" t="str">
        <f>IFERROR(__xludf.DUMMYFUNCTION("""COMPUTED_VALUE"""),"Spanish and Literature 11")</f>
        <v>Spanish and Literature 11</v>
      </c>
      <c r="E797" s="3">
        <f>IFERROR(__xludf.DUMMYFUNCTION("""COMPUTED_VALUE"""),1.0)</f>
        <v>1</v>
      </c>
      <c r="F797" s="300">
        <v>1.0</v>
      </c>
      <c r="G797" s="300">
        <v>1.0</v>
      </c>
      <c r="H797" s="300">
        <v>1.0</v>
      </c>
      <c r="I797" s="300">
        <v>1.0</v>
      </c>
      <c r="J797" s="300">
        <v>1.0</v>
      </c>
      <c r="K797" s="300">
        <v>1.0</v>
      </c>
      <c r="L797" s="300">
        <v>1.0</v>
      </c>
      <c r="M797" s="300">
        <v>1.0</v>
      </c>
      <c r="N797" s="300">
        <v>8.0</v>
      </c>
      <c r="O797" s="300" t="s">
        <v>827</v>
      </c>
      <c r="P797" s="300">
        <v>5.0</v>
      </c>
    </row>
    <row r="798">
      <c r="A798">
        <f>IFERROR(__xludf.DUMMYFUNCTION("""COMPUTED_VALUE"""),11.0)</f>
        <v>11</v>
      </c>
      <c r="B798" s="406">
        <f>IFERROR(__xludf.DUMMYFUNCTION("""COMPUTED_VALUE"""),27086.0)</f>
        <v>27086</v>
      </c>
      <c r="C798" t="str">
        <f>IFERROR(__xludf.DUMMYFUNCTION("""COMPUTED_VALUE"""),"PEREZ ECHAVARRIA, TOMAS")</f>
        <v>PEREZ ECHAVARRIA, TOMAS</v>
      </c>
      <c r="D798" t="str">
        <f>IFERROR(__xludf.DUMMYFUNCTION("""COMPUTED_VALUE"""),"Spanish and Literature 11")</f>
        <v>Spanish and Literature 11</v>
      </c>
      <c r="E798" s="3">
        <f>IFERROR(__xludf.DUMMYFUNCTION("""COMPUTED_VALUE"""),3.0)</f>
        <v>3</v>
      </c>
      <c r="F798" s="300">
        <v>1.0</v>
      </c>
      <c r="G798" s="300">
        <v>1.0</v>
      </c>
      <c r="H798" s="300">
        <v>1.0</v>
      </c>
      <c r="I798" s="300">
        <v>1.0</v>
      </c>
      <c r="J798" s="300">
        <v>1.0</v>
      </c>
      <c r="K798" s="300">
        <v>1.0</v>
      </c>
      <c r="L798" s="300">
        <v>1.0</v>
      </c>
      <c r="M798" s="300">
        <v>1.0</v>
      </c>
      <c r="N798" s="300">
        <v>8.0</v>
      </c>
      <c r="O798" s="300" t="s">
        <v>828</v>
      </c>
      <c r="P798" s="300">
        <v>5.0</v>
      </c>
    </row>
    <row r="799">
      <c r="A799">
        <f>IFERROR(__xludf.DUMMYFUNCTION("""COMPUTED_VALUE"""),11.0)</f>
        <v>11</v>
      </c>
      <c r="B799" s="406">
        <f>IFERROR(__xludf.DUMMYFUNCTION("""COMPUTED_VALUE"""),27060.0)</f>
        <v>27060</v>
      </c>
      <c r="C799" t="str">
        <f>IFERROR(__xludf.DUMMYFUNCTION("""COMPUTED_VALUE"""),"MALDONADO SALDARRIAGA, ALEJANDRO")</f>
        <v>MALDONADO SALDARRIAGA, ALEJANDRO</v>
      </c>
      <c r="D799" t="str">
        <f>IFERROR(__xludf.DUMMYFUNCTION("""COMPUTED_VALUE"""),"Spanish and Literature 11")</f>
        <v>Spanish and Literature 11</v>
      </c>
      <c r="E799" s="3">
        <f>IFERROR(__xludf.DUMMYFUNCTION("""COMPUTED_VALUE"""),4.0)</f>
        <v>4</v>
      </c>
      <c r="F799" s="300">
        <v>1.0</v>
      </c>
      <c r="G799" s="300">
        <v>1.0</v>
      </c>
      <c r="H799" s="300">
        <v>1.0</v>
      </c>
      <c r="I799" s="300">
        <v>1.0</v>
      </c>
      <c r="J799" s="300">
        <v>1.0</v>
      </c>
      <c r="K799" s="300">
        <v>1.0</v>
      </c>
      <c r="L799" s="300">
        <v>1.0</v>
      </c>
      <c r="M799" s="300">
        <v>1.0</v>
      </c>
      <c r="N799" s="300">
        <v>8.0</v>
      </c>
      <c r="O799" s="300" t="s">
        <v>829</v>
      </c>
      <c r="P799" s="300">
        <v>5.0</v>
      </c>
    </row>
    <row r="800">
      <c r="A800">
        <f>IFERROR(__xludf.DUMMYFUNCTION("""COMPUTED_VALUE"""),11.0)</f>
        <v>11</v>
      </c>
      <c r="B800" s="406">
        <f>IFERROR(__xludf.DUMMYFUNCTION("""COMPUTED_VALUE"""),27043.0)</f>
        <v>27043</v>
      </c>
      <c r="C800" t="str">
        <f>IFERROR(__xludf.DUMMYFUNCTION("""COMPUTED_VALUE"""),"GAVIRIA ISAZA, TOMAS")</f>
        <v>GAVIRIA ISAZA, TOMAS</v>
      </c>
      <c r="D800" t="str">
        <f>IFERROR(__xludf.DUMMYFUNCTION("""COMPUTED_VALUE"""),"Spanish and Literature 11")</f>
        <v>Spanish and Literature 11</v>
      </c>
      <c r="E800" s="3">
        <f>IFERROR(__xludf.DUMMYFUNCTION("""COMPUTED_VALUE"""),5.0)</f>
        <v>5</v>
      </c>
      <c r="F800" s="300">
        <v>1.0</v>
      </c>
      <c r="G800" s="300">
        <v>1.0</v>
      </c>
      <c r="H800" s="300">
        <v>1.0</v>
      </c>
      <c r="I800" s="300">
        <v>1.0</v>
      </c>
      <c r="J800" s="300">
        <v>1.0</v>
      </c>
      <c r="K800" s="300">
        <v>1.0</v>
      </c>
      <c r="L800" s="300">
        <v>1.0</v>
      </c>
      <c r="M800" s="300">
        <v>1.0</v>
      </c>
      <c r="N800" s="300">
        <v>8.0</v>
      </c>
      <c r="O800" s="300" t="s">
        <v>830</v>
      </c>
      <c r="P800" s="300">
        <v>5.0</v>
      </c>
    </row>
    <row r="801">
      <c r="A801">
        <f>IFERROR(__xludf.DUMMYFUNCTION("""COMPUTED_VALUE"""),11.0)</f>
        <v>11</v>
      </c>
      <c r="B801" s="406">
        <f>IFERROR(__xludf.DUMMYFUNCTION("""COMPUTED_VALUE"""),27050.0)</f>
        <v>27050</v>
      </c>
      <c r="C801" t="str">
        <f>IFERROR(__xludf.DUMMYFUNCTION("""COMPUTED_VALUE"""),"HURTADO ARISTIZABAL, PAULINA")</f>
        <v>HURTADO ARISTIZABAL, PAULINA</v>
      </c>
      <c r="D801" t="str">
        <f>IFERROR(__xludf.DUMMYFUNCTION("""COMPUTED_VALUE"""),"Spanish and Literature 11")</f>
        <v>Spanish and Literature 11</v>
      </c>
      <c r="E801" s="3">
        <f>IFERROR(__xludf.DUMMYFUNCTION("""COMPUTED_VALUE"""),1.0)</f>
        <v>1</v>
      </c>
      <c r="F801" s="300">
        <v>1.0</v>
      </c>
      <c r="G801" s="300">
        <v>1.0</v>
      </c>
      <c r="H801" s="300">
        <v>1.0</v>
      </c>
      <c r="I801" s="300">
        <v>1.0</v>
      </c>
      <c r="J801" s="300">
        <v>1.0</v>
      </c>
      <c r="K801" s="300">
        <v>1.0</v>
      </c>
      <c r="L801" s="300">
        <v>1.0</v>
      </c>
      <c r="M801" s="300">
        <v>1.0</v>
      </c>
      <c r="N801" s="300">
        <v>8.0</v>
      </c>
      <c r="O801" s="300" t="s">
        <v>827</v>
      </c>
      <c r="P801" s="300">
        <v>5.0</v>
      </c>
    </row>
    <row r="802">
      <c r="A802">
        <f>IFERROR(__xludf.DUMMYFUNCTION("""COMPUTED_VALUE"""),11.0)</f>
        <v>11</v>
      </c>
      <c r="B802" s="406">
        <f>IFERROR(__xludf.DUMMYFUNCTION("""COMPUTED_VALUE"""),27038.0)</f>
        <v>27038</v>
      </c>
      <c r="C802" t="str">
        <f>IFERROR(__xludf.DUMMYFUNCTION("""COMPUTED_VALUE"""),"GALLEGO CUARTAS, FELIPE")</f>
        <v>GALLEGO CUARTAS, FELIPE</v>
      </c>
      <c r="D802" t="str">
        <f>IFERROR(__xludf.DUMMYFUNCTION("""COMPUTED_VALUE"""),"Spanish and Literature 11")</f>
        <v>Spanish and Literature 11</v>
      </c>
      <c r="E802" s="3">
        <f>IFERROR(__xludf.DUMMYFUNCTION("""COMPUTED_VALUE"""),6.0)</f>
        <v>6</v>
      </c>
      <c r="F802" s="300">
        <v>1.0</v>
      </c>
      <c r="G802" s="300">
        <v>1.0</v>
      </c>
      <c r="H802" s="300">
        <v>1.0</v>
      </c>
      <c r="I802" s="300">
        <v>1.0</v>
      </c>
      <c r="J802" s="300">
        <v>1.0</v>
      </c>
      <c r="K802" s="300">
        <v>1.0</v>
      </c>
      <c r="L802" s="300">
        <v>1.0</v>
      </c>
      <c r="M802" s="300">
        <v>1.0</v>
      </c>
      <c r="N802" s="300">
        <v>8.0</v>
      </c>
      <c r="O802" s="300" t="s">
        <v>826</v>
      </c>
      <c r="P802" s="300">
        <v>5.0</v>
      </c>
    </row>
    <row r="803">
      <c r="A803">
        <f>IFERROR(__xludf.DUMMYFUNCTION("""COMPUTED_VALUE"""),11.0)</f>
        <v>11</v>
      </c>
      <c r="B803" s="406">
        <f>IFERROR(__xludf.DUMMYFUNCTION("""COMPUTED_VALUE"""),27078.0)</f>
        <v>27078</v>
      </c>
      <c r="C803" t="str">
        <f>IFERROR(__xludf.DUMMYFUNCTION("""COMPUTED_VALUE"""),"ORSINI COCK, TOMMASO MARIA")</f>
        <v>ORSINI COCK, TOMMASO MARIA</v>
      </c>
      <c r="D803" t="str">
        <f>IFERROR(__xludf.DUMMYFUNCTION("""COMPUTED_VALUE"""),"Spanish and Literature 11")</f>
        <v>Spanish and Literature 11</v>
      </c>
      <c r="E803" s="3">
        <f>IFERROR(__xludf.DUMMYFUNCTION("""COMPUTED_VALUE"""),5.0)</f>
        <v>5</v>
      </c>
      <c r="F803" s="300">
        <v>1.0</v>
      </c>
      <c r="G803" s="300">
        <v>1.0</v>
      </c>
      <c r="H803" s="300">
        <v>1.0</v>
      </c>
      <c r="I803" s="300">
        <v>1.0</v>
      </c>
      <c r="J803" s="300">
        <v>1.0</v>
      </c>
      <c r="K803" s="300">
        <v>1.0</v>
      </c>
      <c r="L803" s="300">
        <v>1.0</v>
      </c>
      <c r="M803" s="300">
        <v>1.0</v>
      </c>
      <c r="N803" s="300">
        <v>8.0</v>
      </c>
      <c r="O803" s="300" t="s">
        <v>830</v>
      </c>
      <c r="P803" s="300">
        <v>5.0</v>
      </c>
    </row>
    <row r="804">
      <c r="A804">
        <f>IFERROR(__xludf.DUMMYFUNCTION("""COMPUTED_VALUE"""),11.0)</f>
        <v>11</v>
      </c>
      <c r="B804" s="406">
        <f>IFERROR(__xludf.DUMMYFUNCTION("""COMPUTED_VALUE"""),26023.0)</f>
        <v>26023</v>
      </c>
      <c r="C804" t="str">
        <f>IFERROR(__xludf.DUMMYFUNCTION("""COMPUTED_VALUE"""),"CORREA VELEZ, ALEJANDRO")</f>
        <v>CORREA VELEZ, ALEJANDRO</v>
      </c>
      <c r="D804" t="str">
        <f>IFERROR(__xludf.DUMMYFUNCTION("""COMPUTED_VALUE"""),"Spanish and Literature 11")</f>
        <v>Spanish and Literature 11</v>
      </c>
      <c r="E804" s="3">
        <f>IFERROR(__xludf.DUMMYFUNCTION("""COMPUTED_VALUE"""),4.0)</f>
        <v>4</v>
      </c>
      <c r="F804" s="300">
        <v>1.0</v>
      </c>
      <c r="G804" s="300">
        <v>1.0</v>
      </c>
      <c r="H804" s="300">
        <v>1.0</v>
      </c>
      <c r="I804" s="300">
        <v>1.0</v>
      </c>
      <c r="J804" s="300">
        <v>1.0</v>
      </c>
      <c r="K804" s="300">
        <v>1.0</v>
      </c>
      <c r="L804" s="300">
        <v>1.0</v>
      </c>
      <c r="M804" s="300">
        <v>1.0</v>
      </c>
      <c r="N804" s="300">
        <v>8.0</v>
      </c>
      <c r="O804" s="300" t="s">
        <v>829</v>
      </c>
      <c r="P804" s="300">
        <v>5.0</v>
      </c>
    </row>
    <row r="805">
      <c r="A805">
        <f>IFERROR(__xludf.DUMMYFUNCTION("""COMPUTED_VALUE"""),11.0)</f>
        <v>11</v>
      </c>
      <c r="B805" s="406">
        <f>IFERROR(__xludf.DUMMYFUNCTION("""COMPUTED_VALUE"""),27012.0)</f>
        <v>27012</v>
      </c>
      <c r="C805" t="str">
        <f>IFERROR(__xludf.DUMMYFUNCTION("""COMPUTED_VALUE"""),"ATEHORTUA MORENO, TOMAS")</f>
        <v>ATEHORTUA MORENO, TOMAS</v>
      </c>
      <c r="D805" t="str">
        <f>IFERROR(__xludf.DUMMYFUNCTION("""COMPUTED_VALUE"""),"Spanish and Literature 11")</f>
        <v>Spanish and Literature 11</v>
      </c>
      <c r="E805" s="3">
        <f>IFERROR(__xludf.DUMMYFUNCTION("""COMPUTED_VALUE"""),4.0)</f>
        <v>4</v>
      </c>
      <c r="F805" s="300">
        <v>1.0</v>
      </c>
      <c r="G805" s="300">
        <v>1.0</v>
      </c>
      <c r="H805" s="300">
        <v>1.0</v>
      </c>
      <c r="I805" s="300">
        <v>1.0</v>
      </c>
      <c r="J805" s="300">
        <v>1.0</v>
      </c>
      <c r="K805" s="300">
        <v>1.0</v>
      </c>
      <c r="L805" s="300">
        <v>1.0</v>
      </c>
      <c r="M805" s="300">
        <v>1.0</v>
      </c>
      <c r="N805" s="300">
        <v>8.0</v>
      </c>
      <c r="O805" s="300" t="s">
        <v>829</v>
      </c>
      <c r="P805" s="300">
        <v>5.0</v>
      </c>
    </row>
    <row r="806">
      <c r="A806">
        <f>IFERROR(__xludf.DUMMYFUNCTION("""COMPUTED_VALUE"""),11.0)</f>
        <v>11</v>
      </c>
      <c r="B806" s="406">
        <f>IFERROR(__xludf.DUMMYFUNCTION("""COMPUTED_VALUE"""),28120.0)</f>
        <v>28120</v>
      </c>
      <c r="C806" t="str">
        <f>IFERROR(__xludf.DUMMYFUNCTION("""COMPUTED_VALUE"""),"SALCEDO PERICO, JUAN MARTIN")</f>
        <v>SALCEDO PERICO, JUAN MARTIN</v>
      </c>
      <c r="D806" t="str">
        <f>IFERROR(__xludf.DUMMYFUNCTION("""COMPUTED_VALUE"""),"Spanish and Literature 11")</f>
        <v>Spanish and Literature 11</v>
      </c>
      <c r="E806" s="3">
        <f>IFERROR(__xludf.DUMMYFUNCTION("""COMPUTED_VALUE"""),1.0)</f>
        <v>1</v>
      </c>
      <c r="F806" s="300">
        <v>1.0</v>
      </c>
      <c r="G806" s="300">
        <v>1.0</v>
      </c>
      <c r="H806" s="300">
        <v>1.0</v>
      </c>
      <c r="I806" s="300">
        <v>1.0</v>
      </c>
      <c r="J806" s="300">
        <v>1.0</v>
      </c>
      <c r="K806" s="300">
        <v>1.0</v>
      </c>
      <c r="L806" s="300">
        <v>1.0</v>
      </c>
      <c r="M806" s="300">
        <v>1.0</v>
      </c>
      <c r="N806" s="300">
        <v>8.0</v>
      </c>
      <c r="O806" s="300" t="s">
        <v>827</v>
      </c>
      <c r="P806" s="300">
        <v>5.0</v>
      </c>
    </row>
    <row r="807">
      <c r="A807">
        <f>IFERROR(__xludf.DUMMYFUNCTION("""COMPUTED_VALUE"""),11.0)</f>
        <v>11</v>
      </c>
      <c r="B807" s="406">
        <f>IFERROR(__xludf.DUMMYFUNCTION("""COMPUTED_VALUE"""),27089.0)</f>
        <v>27089</v>
      </c>
      <c r="C807" t="str">
        <f>IFERROR(__xludf.DUMMYFUNCTION("""COMPUTED_VALUE"""),"PEREZ VELEZ, JERONIMO")</f>
        <v>PEREZ VELEZ, JERONIMO</v>
      </c>
      <c r="D807" t="str">
        <f>IFERROR(__xludf.DUMMYFUNCTION("""COMPUTED_VALUE"""),"Spanish and Literature 11")</f>
        <v>Spanish and Literature 11</v>
      </c>
      <c r="E807" s="3">
        <f>IFERROR(__xludf.DUMMYFUNCTION("""COMPUTED_VALUE"""),4.0)</f>
        <v>4</v>
      </c>
      <c r="F807" s="300">
        <v>1.0</v>
      </c>
      <c r="G807" s="300">
        <v>1.0</v>
      </c>
      <c r="H807" s="300">
        <v>1.0</v>
      </c>
      <c r="I807" s="300">
        <v>1.0</v>
      </c>
      <c r="J807" s="300">
        <v>1.0</v>
      </c>
      <c r="K807" s="300">
        <v>1.0</v>
      </c>
      <c r="L807" s="300">
        <v>1.0</v>
      </c>
      <c r="M807" s="300">
        <v>1.0</v>
      </c>
      <c r="N807" s="300">
        <v>8.0</v>
      </c>
      <c r="O807" s="300" t="s">
        <v>829</v>
      </c>
      <c r="P807" s="300">
        <v>5.0</v>
      </c>
    </row>
    <row r="808">
      <c r="A808">
        <f>IFERROR(__xludf.DUMMYFUNCTION("""COMPUTED_VALUE"""),11.0)</f>
        <v>11</v>
      </c>
      <c r="B808" s="406">
        <f>IFERROR(__xludf.DUMMYFUNCTION("""COMPUTED_VALUE"""),27142.0)</f>
        <v>27142</v>
      </c>
      <c r="C808" t="str">
        <f>IFERROR(__xludf.DUMMYFUNCTION("""COMPUTED_VALUE"""),"ECHAVARRIA OCHOA, MARIANA")</f>
        <v>ECHAVARRIA OCHOA, MARIANA</v>
      </c>
      <c r="D808" t="str">
        <f>IFERROR(__xludf.DUMMYFUNCTION("""COMPUTED_VALUE"""),"Spanish and Literature 11")</f>
        <v>Spanish and Literature 11</v>
      </c>
      <c r="E808" s="3">
        <f>IFERROR(__xludf.DUMMYFUNCTION("""COMPUTED_VALUE"""),6.0)</f>
        <v>6</v>
      </c>
      <c r="F808" s="300">
        <v>1.0</v>
      </c>
      <c r="G808" s="300">
        <v>1.0</v>
      </c>
      <c r="H808" s="300">
        <v>1.0</v>
      </c>
      <c r="I808" s="300">
        <v>1.0</v>
      </c>
      <c r="J808" s="300">
        <v>1.0</v>
      </c>
      <c r="K808" s="300">
        <v>1.0</v>
      </c>
      <c r="L808" s="300">
        <v>1.0</v>
      </c>
      <c r="M808" s="300">
        <v>1.0</v>
      </c>
      <c r="N808" s="300">
        <v>8.0</v>
      </c>
      <c r="O808" s="300" t="s">
        <v>826</v>
      </c>
      <c r="P808" s="300">
        <v>5.0</v>
      </c>
    </row>
    <row r="809">
      <c r="A809">
        <f>IFERROR(__xludf.DUMMYFUNCTION("""COMPUTED_VALUE"""),11.0)</f>
        <v>11</v>
      </c>
      <c r="B809" s="406">
        <f>IFERROR(__xludf.DUMMYFUNCTION("""COMPUTED_VALUE"""),27044.0)</f>
        <v>27044</v>
      </c>
      <c r="C809" t="str">
        <f>IFERROR(__xludf.DUMMYFUNCTION("""COMPUTED_VALUE"""),"GOMEZ GOMEZ, EMILIO")</f>
        <v>GOMEZ GOMEZ, EMILIO</v>
      </c>
      <c r="D809" t="str">
        <f>IFERROR(__xludf.DUMMYFUNCTION("""COMPUTED_VALUE"""),"Spanish and Literature 11")</f>
        <v>Spanish and Literature 11</v>
      </c>
      <c r="E809" s="3">
        <f>IFERROR(__xludf.DUMMYFUNCTION("""COMPUTED_VALUE"""),3.0)</f>
        <v>3</v>
      </c>
      <c r="F809" s="300">
        <v>1.0</v>
      </c>
      <c r="G809" s="300">
        <v>1.0</v>
      </c>
      <c r="H809" s="300">
        <v>1.0</v>
      </c>
      <c r="I809" s="300">
        <v>1.0</v>
      </c>
      <c r="J809" s="300">
        <v>1.0</v>
      </c>
      <c r="K809" s="300">
        <v>1.0</v>
      </c>
      <c r="L809" s="300">
        <v>1.0</v>
      </c>
      <c r="M809" s="300">
        <v>1.0</v>
      </c>
      <c r="N809" s="300">
        <v>8.0</v>
      </c>
      <c r="O809" s="300" t="s">
        <v>828</v>
      </c>
      <c r="P809" s="300">
        <v>5.0</v>
      </c>
    </row>
    <row r="810">
      <c r="A810">
        <f>IFERROR(__xludf.DUMMYFUNCTION("""COMPUTED_VALUE"""),11.0)</f>
        <v>11</v>
      </c>
      <c r="B810" s="406">
        <f>IFERROR(__xludf.DUMMYFUNCTION("""COMPUTED_VALUE"""),27029.0)</f>
        <v>27029</v>
      </c>
      <c r="C810" t="str">
        <f>IFERROR(__xludf.DUMMYFUNCTION("""COMPUTED_VALUE"""),"DUQUE OCHOA, MARIANA")</f>
        <v>DUQUE OCHOA, MARIANA</v>
      </c>
      <c r="D810" t="str">
        <f>IFERROR(__xludf.DUMMYFUNCTION("""COMPUTED_VALUE"""),"Spanish and Literature 11")</f>
        <v>Spanish and Literature 11</v>
      </c>
      <c r="E810" s="3">
        <f>IFERROR(__xludf.DUMMYFUNCTION("""COMPUTED_VALUE"""),1.0)</f>
        <v>1</v>
      </c>
      <c r="F810" s="300">
        <v>1.0</v>
      </c>
      <c r="G810" s="300">
        <v>1.0</v>
      </c>
      <c r="H810" s="300">
        <v>1.0</v>
      </c>
      <c r="I810" s="300">
        <v>1.0</v>
      </c>
      <c r="J810" s="300">
        <v>1.0</v>
      </c>
      <c r="K810" s="300">
        <v>1.0</v>
      </c>
      <c r="L810" s="300">
        <v>1.0</v>
      </c>
      <c r="M810" s="300">
        <v>1.0</v>
      </c>
      <c r="N810" s="300">
        <v>8.0</v>
      </c>
      <c r="O810" s="300" t="s">
        <v>827</v>
      </c>
      <c r="P810" s="300">
        <v>5.0</v>
      </c>
    </row>
    <row r="811">
      <c r="A811">
        <f>IFERROR(__xludf.DUMMYFUNCTION("""COMPUTED_VALUE"""),11.0)</f>
        <v>11</v>
      </c>
      <c r="B811" s="406">
        <f>IFERROR(__xludf.DUMMYFUNCTION("""COMPUTED_VALUE"""),27036.0)</f>
        <v>27036</v>
      </c>
      <c r="C811" t="str">
        <f>IFERROR(__xludf.DUMMYFUNCTION("""COMPUTED_VALUE"""),"FERNANDEZ DUQUE, BENJAMIN")</f>
        <v>FERNANDEZ DUQUE, BENJAMIN</v>
      </c>
      <c r="D811" t="str">
        <f>IFERROR(__xludf.DUMMYFUNCTION("""COMPUTED_VALUE"""),"Spanish and Literature 11")</f>
        <v>Spanish and Literature 11</v>
      </c>
      <c r="E811" s="3">
        <f>IFERROR(__xludf.DUMMYFUNCTION("""COMPUTED_VALUE"""),1.0)</f>
        <v>1</v>
      </c>
      <c r="F811" s="300">
        <v>1.0</v>
      </c>
      <c r="G811" s="300">
        <v>1.0</v>
      </c>
      <c r="H811" s="300">
        <v>1.0</v>
      </c>
      <c r="I811" s="300">
        <v>1.0</v>
      </c>
      <c r="J811" s="300">
        <v>1.0</v>
      </c>
      <c r="K811" s="300">
        <v>1.0</v>
      </c>
      <c r="L811" s="300">
        <v>1.0</v>
      </c>
      <c r="M811" s="300">
        <v>1.0</v>
      </c>
      <c r="N811" s="300">
        <v>8.0</v>
      </c>
      <c r="O811" s="300" t="s">
        <v>827</v>
      </c>
      <c r="P811" s="300">
        <v>5.0</v>
      </c>
    </row>
    <row r="812">
      <c r="A812">
        <f>IFERROR(__xludf.DUMMYFUNCTION("""COMPUTED_VALUE"""),11.0)</f>
        <v>11</v>
      </c>
      <c r="B812" s="406">
        <f>IFERROR(__xludf.DUMMYFUNCTION("""COMPUTED_VALUE"""),27076.0)</f>
        <v>27076</v>
      </c>
      <c r="C812" t="str">
        <f>IFERROR(__xludf.DUMMYFUNCTION("""COMPUTED_VALUE"""),"MORA SERANI, LAURA")</f>
        <v>MORA SERANI, LAURA</v>
      </c>
      <c r="D812" t="str">
        <f>IFERROR(__xludf.DUMMYFUNCTION("""COMPUTED_VALUE"""),"Spanish and Literature 11")</f>
        <v>Spanish and Literature 11</v>
      </c>
      <c r="E812" s="3">
        <f>IFERROR(__xludf.DUMMYFUNCTION("""COMPUTED_VALUE"""),3.0)</f>
        <v>3</v>
      </c>
      <c r="F812" s="300">
        <v>1.0</v>
      </c>
      <c r="G812" s="300">
        <v>1.0</v>
      </c>
      <c r="H812" s="300">
        <v>1.0</v>
      </c>
      <c r="I812" s="300">
        <v>1.0</v>
      </c>
      <c r="J812" s="300">
        <v>1.0</v>
      </c>
      <c r="K812" s="300">
        <v>1.0</v>
      </c>
      <c r="L812" s="300">
        <v>1.0</v>
      </c>
      <c r="M812" s="300">
        <v>1.0</v>
      </c>
      <c r="N812" s="300">
        <v>8.0</v>
      </c>
      <c r="O812" s="300" t="s">
        <v>828</v>
      </c>
      <c r="P812" s="300">
        <v>5.0</v>
      </c>
    </row>
    <row r="813">
      <c r="A813">
        <f>IFERROR(__xludf.DUMMYFUNCTION("""COMPUTED_VALUE"""),11.0)</f>
        <v>11</v>
      </c>
      <c r="B813" s="406">
        <f>IFERROR(__xludf.DUMMYFUNCTION("""COMPUTED_VALUE"""),26024.0)</f>
        <v>26024</v>
      </c>
      <c r="C813" t="str">
        <f>IFERROR(__xludf.DUMMYFUNCTION("""COMPUTED_VALUE"""),"DIAZ RIVERA, TOMAS")</f>
        <v>DIAZ RIVERA, TOMAS</v>
      </c>
      <c r="D813" t="str">
        <f>IFERROR(__xludf.DUMMYFUNCTION("""COMPUTED_VALUE"""),"Spanish and Literature 11")</f>
        <v>Spanish and Literature 11</v>
      </c>
      <c r="E813" s="3">
        <f>IFERROR(__xludf.DUMMYFUNCTION("""COMPUTED_VALUE"""),4.0)</f>
        <v>4</v>
      </c>
      <c r="F813" s="300">
        <v>1.0</v>
      </c>
      <c r="G813" s="300">
        <v>1.0</v>
      </c>
      <c r="H813" s="300">
        <v>1.0</v>
      </c>
      <c r="I813" s="300">
        <v>1.0</v>
      </c>
      <c r="J813" s="300">
        <v>1.0</v>
      </c>
      <c r="K813" s="300">
        <v>1.0</v>
      </c>
      <c r="L813" s="300">
        <v>1.0</v>
      </c>
      <c r="M813" s="300">
        <v>1.0</v>
      </c>
      <c r="N813" s="300">
        <v>8.0</v>
      </c>
      <c r="O813" s="300" t="s">
        <v>829</v>
      </c>
      <c r="P813" s="300">
        <v>5.0</v>
      </c>
    </row>
    <row r="814">
      <c r="A814">
        <f>IFERROR(__xludf.DUMMYFUNCTION("""COMPUTED_VALUE"""),11.0)</f>
        <v>11</v>
      </c>
      <c r="B814" s="406">
        <f>IFERROR(__xludf.DUMMYFUNCTION("""COMPUTED_VALUE"""),27067.0)</f>
        <v>27067</v>
      </c>
      <c r="C814" t="str">
        <f>IFERROR(__xludf.DUMMYFUNCTION("""COMPUTED_VALUE"""),"MENDIVELSO JARAMILLO, SAMUEL")</f>
        <v>MENDIVELSO JARAMILLO, SAMUEL</v>
      </c>
      <c r="D814" t="str">
        <f>IFERROR(__xludf.DUMMYFUNCTION("""COMPUTED_VALUE"""),"Spanish Film, Art, and Literature")</f>
        <v>Spanish Film, Art, and Literature</v>
      </c>
      <c r="E814" s="3">
        <f>IFERROR(__xludf.DUMMYFUNCTION("""COMPUTED_VALUE"""),8.0)</f>
        <v>8</v>
      </c>
      <c r="F814" s="300">
        <v>1.0</v>
      </c>
      <c r="G814" s="300">
        <v>1.0</v>
      </c>
      <c r="H814" s="300">
        <v>1.0</v>
      </c>
      <c r="I814" s="300">
        <v>1.0</v>
      </c>
      <c r="J814" s="300">
        <v>1.0</v>
      </c>
      <c r="K814" s="300">
        <v>1.0</v>
      </c>
      <c r="L814" s="300">
        <v>1.0</v>
      </c>
      <c r="M814" s="300">
        <v>1.0</v>
      </c>
      <c r="N814" s="300">
        <v>8.0</v>
      </c>
      <c r="O814" s="300" t="s">
        <v>824</v>
      </c>
      <c r="P814" s="300">
        <v>2.0</v>
      </c>
    </row>
    <row r="815">
      <c r="A815">
        <f>IFERROR(__xludf.DUMMYFUNCTION("""COMPUTED_VALUE"""),11.0)</f>
        <v>11</v>
      </c>
      <c r="B815" s="406">
        <f>IFERROR(__xludf.DUMMYFUNCTION("""COMPUTED_VALUE"""),27048.0)</f>
        <v>27048</v>
      </c>
      <c r="C815" t="str">
        <f>IFERROR(__xludf.DUMMYFUNCTION("""COMPUTED_VALUE"""),"HARRY DURAN, MANUELA")</f>
        <v>HARRY DURAN, MANUELA</v>
      </c>
      <c r="D815" t="str">
        <f>IFERROR(__xludf.DUMMYFUNCTION("""COMPUTED_VALUE"""),"AP Spanish Literature and Culture")</f>
        <v>AP Spanish Literature and Culture</v>
      </c>
      <c r="E815" s="3">
        <f>IFERROR(__xludf.DUMMYFUNCTION("""COMPUTED_VALUE"""),8.0)</f>
        <v>8</v>
      </c>
      <c r="F815" s="300">
        <v>1.0</v>
      </c>
      <c r="G815" s="300">
        <v>1.0</v>
      </c>
      <c r="H815" s="300">
        <v>1.0</v>
      </c>
      <c r="I815" s="300">
        <v>1.0</v>
      </c>
      <c r="J815" s="300">
        <v>1.0</v>
      </c>
      <c r="K815" s="300">
        <v>1.0</v>
      </c>
      <c r="L815" s="300">
        <v>1.0</v>
      </c>
      <c r="M815" s="300">
        <v>1.0</v>
      </c>
      <c r="N815" s="300">
        <v>8.0</v>
      </c>
      <c r="O815" s="300" t="s">
        <v>825</v>
      </c>
      <c r="P815" s="300">
        <v>1.0</v>
      </c>
    </row>
    <row r="816">
      <c r="A816">
        <f>IFERROR(__xludf.DUMMYFUNCTION("""COMPUTED_VALUE"""),11.0)</f>
        <v>11</v>
      </c>
      <c r="B816" s="406">
        <f>IFERROR(__xludf.DUMMYFUNCTION("""COMPUTED_VALUE"""),27132.0)</f>
        <v>27132</v>
      </c>
      <c r="C816" t="str">
        <f>IFERROR(__xludf.DUMMYFUNCTION("""COMPUTED_VALUE"""),"BARRERA GUZMAN, DANIELA")</f>
        <v>BARRERA GUZMAN, DANIELA</v>
      </c>
      <c r="D816" t="str">
        <f>IFERROR(__xludf.DUMMYFUNCTION("""COMPUTED_VALUE"""),"Spanish and Literature 11")</f>
        <v>Spanish and Literature 11</v>
      </c>
      <c r="E816" s="3">
        <f>IFERROR(__xludf.DUMMYFUNCTION("""COMPUTED_VALUE"""),3.0)</f>
        <v>3</v>
      </c>
      <c r="F816" s="300">
        <v>1.0</v>
      </c>
      <c r="G816" s="300">
        <v>1.0</v>
      </c>
      <c r="H816" s="300">
        <v>1.0</v>
      </c>
      <c r="I816" s="300">
        <v>1.0</v>
      </c>
      <c r="J816" s="300">
        <v>1.0</v>
      </c>
      <c r="K816" s="300">
        <v>1.0</v>
      </c>
      <c r="L816" s="300">
        <v>1.0</v>
      </c>
      <c r="M816" s="300">
        <v>1.0</v>
      </c>
      <c r="N816" s="300">
        <v>8.0</v>
      </c>
      <c r="O816" s="300" t="s">
        <v>828</v>
      </c>
      <c r="P816" s="300">
        <v>5.0</v>
      </c>
    </row>
    <row r="817">
      <c r="A817">
        <f>IFERROR(__xludf.DUMMYFUNCTION("""COMPUTED_VALUE"""),11.0)</f>
        <v>11</v>
      </c>
      <c r="B817" s="406">
        <f>IFERROR(__xludf.DUMMYFUNCTION("""COMPUTED_VALUE"""),27107.0)</f>
        <v>27107</v>
      </c>
      <c r="C817" t="str">
        <f>IFERROR(__xludf.DUMMYFUNCTION("""COMPUTED_VALUE"""),"SANIN VELASQUEZ, MONTSERRAT")</f>
        <v>SANIN VELASQUEZ, MONTSERRAT</v>
      </c>
      <c r="D817" t="str">
        <f>IFERROR(__xludf.DUMMYFUNCTION("""COMPUTED_VALUE"""),"Spanish and Literature 11")</f>
        <v>Spanish and Literature 11</v>
      </c>
      <c r="E817" s="3">
        <f>IFERROR(__xludf.DUMMYFUNCTION("""COMPUTED_VALUE"""),6.0)</f>
        <v>6</v>
      </c>
      <c r="F817" s="300">
        <v>1.0</v>
      </c>
      <c r="G817" s="300">
        <v>1.0</v>
      </c>
      <c r="H817" s="300">
        <v>1.0</v>
      </c>
      <c r="I817" s="300">
        <v>1.0</v>
      </c>
      <c r="J817" s="300">
        <v>1.0</v>
      </c>
      <c r="K817" s="300">
        <v>1.0</v>
      </c>
      <c r="L817" s="300">
        <v>1.0</v>
      </c>
      <c r="M817" s="300">
        <v>1.0</v>
      </c>
      <c r="N817" s="300">
        <v>8.0</v>
      </c>
      <c r="O817" s="300" t="s">
        <v>826</v>
      </c>
      <c r="P817" s="300">
        <v>5.0</v>
      </c>
    </row>
    <row r="818">
      <c r="A818">
        <f>IFERROR(__xludf.DUMMYFUNCTION("""COMPUTED_VALUE"""),11.0)</f>
        <v>11</v>
      </c>
      <c r="B818" s="406">
        <f>IFERROR(__xludf.DUMMYFUNCTION("""COMPUTED_VALUE"""),27134.0)</f>
        <v>27134</v>
      </c>
      <c r="C818" t="str">
        <f>IFERROR(__xludf.DUMMYFUNCTION("""COMPUTED_VALUE"""),"MONTOYA JARAMILLO, TOMAS")</f>
        <v>MONTOYA JARAMILLO, TOMAS</v>
      </c>
      <c r="D818" t="str">
        <f>IFERROR(__xludf.DUMMYFUNCTION("""COMPUTED_VALUE"""),"AP Spanish Literature and Culture")</f>
        <v>AP Spanish Literature and Culture</v>
      </c>
      <c r="E818" s="3">
        <f>IFERROR(__xludf.DUMMYFUNCTION("""COMPUTED_VALUE"""),8.0)</f>
        <v>8</v>
      </c>
      <c r="F818" s="300">
        <v>1.0</v>
      </c>
      <c r="G818" s="300">
        <v>1.0</v>
      </c>
      <c r="H818" s="300">
        <v>1.0</v>
      </c>
      <c r="I818" s="300">
        <v>1.0</v>
      </c>
      <c r="J818" s="300">
        <v>1.0</v>
      </c>
      <c r="K818" s="300">
        <v>1.0</v>
      </c>
      <c r="L818" s="300">
        <v>1.0</v>
      </c>
      <c r="M818" s="300">
        <v>1.0</v>
      </c>
      <c r="N818" s="300">
        <v>8.0</v>
      </c>
      <c r="O818" s="300" t="s">
        <v>825</v>
      </c>
      <c r="P818" s="300">
        <v>1.0</v>
      </c>
    </row>
    <row r="819">
      <c r="A819">
        <f>IFERROR(__xludf.DUMMYFUNCTION("""COMPUTED_VALUE"""),11.0)</f>
        <v>11</v>
      </c>
      <c r="B819" s="406">
        <f>IFERROR(__xludf.DUMMYFUNCTION("""COMPUTED_VALUE"""),27126.0)</f>
        <v>27126</v>
      </c>
      <c r="C819" t="str">
        <f>IFERROR(__xludf.DUMMYFUNCTION("""COMPUTED_VALUE"""),"YACAMAN RESTREPO, PEDRO")</f>
        <v>YACAMAN RESTREPO, PEDRO</v>
      </c>
      <c r="D819" t="str">
        <f>IFERROR(__xludf.DUMMYFUNCTION("""COMPUTED_VALUE"""),"Spanish and Literature 11")</f>
        <v>Spanish and Literature 11</v>
      </c>
      <c r="E819" s="3">
        <f>IFERROR(__xludf.DUMMYFUNCTION("""COMPUTED_VALUE"""),4.0)</f>
        <v>4</v>
      </c>
      <c r="F819" s="300">
        <v>1.0</v>
      </c>
      <c r="G819" s="300">
        <v>1.0</v>
      </c>
      <c r="H819" s="300">
        <v>1.0</v>
      </c>
      <c r="I819" s="300">
        <v>1.0</v>
      </c>
      <c r="J819" s="300">
        <v>1.0</v>
      </c>
      <c r="K819" s="300">
        <v>1.0</v>
      </c>
      <c r="L819" s="300">
        <v>1.0</v>
      </c>
      <c r="M819" s="300">
        <v>1.0</v>
      </c>
      <c r="N819" s="300">
        <v>8.0</v>
      </c>
      <c r="O819" s="300" t="s">
        <v>829</v>
      </c>
      <c r="P819" s="300">
        <v>5.0</v>
      </c>
    </row>
    <row r="820">
      <c r="A820">
        <f>IFERROR(__xludf.DUMMYFUNCTION("""COMPUTED_VALUE"""),11.0)</f>
        <v>11</v>
      </c>
      <c r="B820" s="406">
        <f>IFERROR(__xludf.DUMMYFUNCTION("""COMPUTED_VALUE"""),27114.0)</f>
        <v>27114</v>
      </c>
      <c r="C820" t="str">
        <f>IFERROR(__xludf.DUMMYFUNCTION("""COMPUTED_VALUE"""),"TORO PEREZ, CRISTOBAL")</f>
        <v>TORO PEREZ, CRISTOBAL</v>
      </c>
      <c r="D820" t="str">
        <f>IFERROR(__xludf.DUMMYFUNCTION("""COMPUTED_VALUE"""),"AP Spanish Literature and Culture")</f>
        <v>AP Spanish Literature and Culture</v>
      </c>
      <c r="E820" s="3">
        <f>IFERROR(__xludf.DUMMYFUNCTION("""COMPUTED_VALUE"""),8.0)</f>
        <v>8</v>
      </c>
      <c r="F820" s="300">
        <v>1.0</v>
      </c>
      <c r="G820" s="300">
        <v>1.0</v>
      </c>
      <c r="H820" s="300">
        <v>1.0</v>
      </c>
      <c r="I820" s="300">
        <v>1.0</v>
      </c>
      <c r="J820" s="300">
        <v>1.0</v>
      </c>
      <c r="K820" s="300">
        <v>1.0</v>
      </c>
      <c r="L820" s="300">
        <v>1.0</v>
      </c>
      <c r="M820" s="300">
        <v>1.0</v>
      </c>
      <c r="N820" s="300">
        <v>8.0</v>
      </c>
      <c r="O820" s="300" t="s">
        <v>825</v>
      </c>
      <c r="P820" s="300">
        <v>1.0</v>
      </c>
    </row>
    <row r="821">
      <c r="A821">
        <f>IFERROR(__xludf.DUMMYFUNCTION("""COMPUTED_VALUE"""),11.0)</f>
        <v>11</v>
      </c>
      <c r="B821" s="406">
        <f>IFERROR(__xludf.DUMMYFUNCTION("""COMPUTED_VALUE"""),26106.0)</f>
        <v>26106</v>
      </c>
      <c r="C821" t="str">
        <f>IFERROR(__xludf.DUMMYFUNCTION("""COMPUTED_VALUE"""),"ROMERO LOPERA, JUAN SEBASTIAN")</f>
        <v>ROMERO LOPERA, JUAN SEBASTIAN</v>
      </c>
      <c r="D821" t="str">
        <f>IFERROR(__xludf.DUMMYFUNCTION("""COMPUTED_VALUE"""),"Spanish Film, Art, and Literature")</f>
        <v>Spanish Film, Art, and Literature</v>
      </c>
      <c r="E821" s="3">
        <f>IFERROR(__xludf.DUMMYFUNCTION("""COMPUTED_VALUE"""),5.0)</f>
        <v>5</v>
      </c>
      <c r="F821" s="300">
        <v>1.0</v>
      </c>
      <c r="G821" s="300">
        <v>1.0</v>
      </c>
      <c r="H821" s="300">
        <v>1.0</v>
      </c>
      <c r="I821" s="300">
        <v>1.0</v>
      </c>
      <c r="J821" s="300">
        <v>1.0</v>
      </c>
      <c r="K821" s="300">
        <v>1.0</v>
      </c>
      <c r="L821" s="300">
        <v>1.0</v>
      </c>
      <c r="M821" s="300">
        <v>1.0</v>
      </c>
      <c r="N821" s="300">
        <v>8.0</v>
      </c>
      <c r="O821" s="300" t="s">
        <v>823</v>
      </c>
      <c r="P821" s="300">
        <v>2.0</v>
      </c>
    </row>
    <row r="822">
      <c r="A822">
        <f>IFERROR(__xludf.DUMMYFUNCTION("""COMPUTED_VALUE"""),11.0)</f>
        <v>11</v>
      </c>
      <c r="B822" s="406">
        <f>IFERROR(__xludf.DUMMYFUNCTION("""COMPUTED_VALUE"""),27014.0)</f>
        <v>27014</v>
      </c>
      <c r="C822" t="str">
        <f>IFERROR(__xludf.DUMMYFUNCTION("""COMPUTED_VALUE"""),"BEDOYA JIMENEZ, NICOLAS")</f>
        <v>BEDOYA JIMENEZ, NICOLAS</v>
      </c>
      <c r="D822" t="str">
        <f>IFERROR(__xludf.DUMMYFUNCTION("""COMPUTED_VALUE"""),"Spanish and Literature 11")</f>
        <v>Spanish and Literature 11</v>
      </c>
      <c r="E822" s="3">
        <f>IFERROR(__xludf.DUMMYFUNCTION("""COMPUTED_VALUE"""),6.0)</f>
        <v>6</v>
      </c>
      <c r="F822" s="300">
        <v>1.0</v>
      </c>
      <c r="G822" s="300">
        <v>1.0</v>
      </c>
      <c r="H822" s="300">
        <v>1.0</v>
      </c>
      <c r="I822" s="300">
        <v>1.0</v>
      </c>
      <c r="J822" s="300">
        <v>1.0</v>
      </c>
      <c r="K822" s="300">
        <v>1.0</v>
      </c>
      <c r="L822" s="300">
        <v>1.0</v>
      </c>
      <c r="M822" s="300">
        <v>1.0</v>
      </c>
      <c r="N822" s="300">
        <v>8.0</v>
      </c>
      <c r="O822" s="300" t="s">
        <v>826</v>
      </c>
      <c r="P822" s="300">
        <v>5.0</v>
      </c>
    </row>
    <row r="823">
      <c r="A823">
        <f>IFERROR(__xludf.DUMMYFUNCTION("""COMPUTED_VALUE"""),11.0)</f>
        <v>11</v>
      </c>
      <c r="B823" s="406">
        <f>IFERROR(__xludf.DUMMYFUNCTION("""COMPUTED_VALUE"""),27160.0)</f>
        <v>27160</v>
      </c>
      <c r="C823" t="str">
        <f>IFERROR(__xludf.DUMMYFUNCTION("""COMPUTED_VALUE"""),"SUDETTI, ISABELLA")</f>
        <v>SUDETTI, ISABELLA</v>
      </c>
      <c r="D823" t="str">
        <f>IFERROR(__xludf.DUMMYFUNCTION("""COMPUTED_VALUE"""),"Spanish and Literature 11")</f>
        <v>Spanish and Literature 11</v>
      </c>
      <c r="E823" s="3">
        <f>IFERROR(__xludf.DUMMYFUNCTION("""COMPUTED_VALUE"""),6.0)</f>
        <v>6</v>
      </c>
      <c r="F823" s="300">
        <v>1.0</v>
      </c>
      <c r="G823" s="300">
        <v>1.0</v>
      </c>
      <c r="H823" s="300">
        <v>1.0</v>
      </c>
      <c r="I823" s="300">
        <v>1.0</v>
      </c>
      <c r="J823" s="300">
        <v>1.0</v>
      </c>
      <c r="K823" s="300">
        <v>1.0</v>
      </c>
      <c r="L823" s="300">
        <v>1.0</v>
      </c>
      <c r="M823" s="300">
        <v>1.0</v>
      </c>
      <c r="N823" s="300">
        <v>8.0</v>
      </c>
      <c r="O823" s="300" t="s">
        <v>826</v>
      </c>
      <c r="P823" s="300">
        <v>5.0</v>
      </c>
    </row>
    <row r="824">
      <c r="A824">
        <f>IFERROR(__xludf.DUMMYFUNCTION("""COMPUTED_VALUE"""),11.0)</f>
        <v>11</v>
      </c>
      <c r="B824" s="406">
        <f>IFERROR(__xludf.DUMMYFUNCTION("""COMPUTED_VALUE"""),27030.0)</f>
        <v>27030</v>
      </c>
      <c r="C824" t="str">
        <f>IFERROR(__xludf.DUMMYFUNCTION("""COMPUTED_VALUE"""),"DURAN CALAD, PABLO")</f>
        <v>DURAN CALAD, PABLO</v>
      </c>
      <c r="D824" t="str">
        <f>IFERROR(__xludf.DUMMYFUNCTION("""COMPUTED_VALUE"""),"Spanish and Literature 11")</f>
        <v>Spanish and Literature 11</v>
      </c>
      <c r="E824" s="3">
        <f>IFERROR(__xludf.DUMMYFUNCTION("""COMPUTED_VALUE"""),3.0)</f>
        <v>3</v>
      </c>
      <c r="F824" s="300">
        <v>1.0</v>
      </c>
      <c r="G824" s="300">
        <v>1.0</v>
      </c>
      <c r="H824" s="300">
        <v>1.0</v>
      </c>
      <c r="I824" s="300">
        <v>1.0</v>
      </c>
      <c r="J824" s="300">
        <v>1.0</v>
      </c>
      <c r="K824" s="300">
        <v>1.0</v>
      </c>
      <c r="L824" s="300">
        <v>1.0</v>
      </c>
      <c r="M824" s="300">
        <v>1.0</v>
      </c>
      <c r="N824" s="300">
        <v>8.0</v>
      </c>
      <c r="O824" s="300" t="s">
        <v>828</v>
      </c>
      <c r="P824" s="300">
        <v>5.0</v>
      </c>
    </row>
    <row r="825">
      <c r="A825">
        <f>IFERROR(__xludf.DUMMYFUNCTION("""COMPUTED_VALUE"""),11.0)</f>
        <v>11</v>
      </c>
      <c r="B825" s="406">
        <f>IFERROR(__xludf.DUMMYFUNCTION("""COMPUTED_VALUE"""),27023.0)</f>
        <v>27023</v>
      </c>
      <c r="C825" t="str">
        <f>IFERROR(__xludf.DUMMYFUNCTION("""COMPUTED_VALUE"""),"CASTAÑO VASQUEZ, DANIEL")</f>
        <v>CASTAÑO VASQUEZ, DANIEL</v>
      </c>
      <c r="D825" t="str">
        <f>IFERROR(__xludf.DUMMYFUNCTION("""COMPUTED_VALUE"""),"Spanish and Literature 11")</f>
        <v>Spanish and Literature 11</v>
      </c>
      <c r="E825" s="3">
        <f>IFERROR(__xludf.DUMMYFUNCTION("""COMPUTED_VALUE"""),5.0)</f>
        <v>5</v>
      </c>
      <c r="F825" s="300">
        <v>1.0</v>
      </c>
      <c r="G825" s="300">
        <v>1.0</v>
      </c>
      <c r="H825" s="300">
        <v>1.0</v>
      </c>
      <c r="I825" s="300">
        <v>1.0</v>
      </c>
      <c r="J825" s="300">
        <v>1.0</v>
      </c>
      <c r="K825" s="300">
        <v>1.0</v>
      </c>
      <c r="L825" s="300">
        <v>1.0</v>
      </c>
      <c r="M825" s="300">
        <v>1.0</v>
      </c>
      <c r="N825" s="300">
        <v>8.0</v>
      </c>
      <c r="O825" s="300" t="s">
        <v>830</v>
      </c>
      <c r="P825" s="300">
        <v>5.0</v>
      </c>
    </row>
    <row r="826">
      <c r="A826">
        <f>IFERROR(__xludf.DUMMYFUNCTION("""COMPUTED_VALUE"""),11.0)</f>
        <v>11</v>
      </c>
      <c r="B826" s="406">
        <f>IFERROR(__xludf.DUMMYFUNCTION("""COMPUTED_VALUE"""),27138.0)</f>
        <v>27138</v>
      </c>
      <c r="C826" t="str">
        <f>IFERROR(__xludf.DUMMYFUNCTION("""COMPUTED_VALUE"""),"ALMEIDA CARMONA, LUISA MARIA")</f>
        <v>ALMEIDA CARMONA, LUISA MARIA</v>
      </c>
      <c r="D826" t="str">
        <f>IFERROR(__xludf.DUMMYFUNCTION("""COMPUTED_VALUE"""),"Spanish Film, Art, and Literature")</f>
        <v>Spanish Film, Art, and Literature</v>
      </c>
      <c r="E826" s="3">
        <f>IFERROR(__xludf.DUMMYFUNCTION("""COMPUTED_VALUE"""),8.0)</f>
        <v>8</v>
      </c>
      <c r="F826" s="300">
        <v>1.0</v>
      </c>
      <c r="G826" s="300">
        <v>1.0</v>
      </c>
      <c r="H826" s="300">
        <v>1.0</v>
      </c>
      <c r="I826" s="300">
        <v>1.0</v>
      </c>
      <c r="J826" s="300">
        <v>1.0</v>
      </c>
      <c r="K826" s="300">
        <v>1.0</v>
      </c>
      <c r="L826" s="300">
        <v>1.0</v>
      </c>
      <c r="M826" s="300">
        <v>1.0</v>
      </c>
      <c r="N826" s="300">
        <v>8.0</v>
      </c>
      <c r="O826" s="300" t="s">
        <v>824</v>
      </c>
      <c r="P826" s="300">
        <v>2.0</v>
      </c>
    </row>
    <row r="827">
      <c r="A827">
        <f>IFERROR(__xludf.DUMMYFUNCTION("""COMPUTED_VALUE"""),11.0)</f>
        <v>11</v>
      </c>
      <c r="B827" s="406">
        <f>IFERROR(__xludf.DUMMYFUNCTION("""COMPUTED_VALUE"""),27091.0)</f>
        <v>27091</v>
      </c>
      <c r="C827" t="str">
        <f>IFERROR(__xludf.DUMMYFUNCTION("""COMPUTED_VALUE"""),"PUERTA PAZ, DAVID")</f>
        <v>PUERTA PAZ, DAVID</v>
      </c>
      <c r="D827" t="str">
        <f>IFERROR(__xludf.DUMMYFUNCTION("""COMPUTED_VALUE"""),"AP Spanish Literature and Culture")</f>
        <v>AP Spanish Literature and Culture</v>
      </c>
      <c r="E827" s="3">
        <f>IFERROR(__xludf.DUMMYFUNCTION("""COMPUTED_VALUE"""),8.0)</f>
        <v>8</v>
      </c>
      <c r="F827" s="300">
        <v>1.0</v>
      </c>
      <c r="G827" s="300">
        <v>1.0</v>
      </c>
      <c r="H827" s="300">
        <v>1.0</v>
      </c>
      <c r="I827" s="300">
        <v>1.0</v>
      </c>
      <c r="J827" s="300">
        <v>1.0</v>
      </c>
      <c r="K827" s="300">
        <v>1.0</v>
      </c>
      <c r="L827" s="300">
        <v>1.0</v>
      </c>
      <c r="M827" s="300">
        <v>1.0</v>
      </c>
      <c r="N827" s="300">
        <v>8.0</v>
      </c>
      <c r="O827" s="300" t="s">
        <v>825</v>
      </c>
      <c r="P827" s="300">
        <v>1.0</v>
      </c>
    </row>
    <row r="828">
      <c r="A828">
        <f>IFERROR(__xludf.DUMMYFUNCTION("""COMPUTED_VALUE"""),11.0)</f>
        <v>11</v>
      </c>
      <c r="B828" s="406">
        <f>IFERROR(__xludf.DUMMYFUNCTION("""COMPUTED_VALUE"""),27063.0)</f>
        <v>27063</v>
      </c>
      <c r="C828" t="str">
        <f>IFERROR(__xludf.DUMMYFUNCTION("""COMPUTED_VALUE"""),"MARTINEZ AGUILAR, ALICIA")</f>
        <v>MARTINEZ AGUILAR, ALICIA</v>
      </c>
      <c r="D828" t="str">
        <f>IFERROR(__xludf.DUMMYFUNCTION("""COMPUTED_VALUE"""),"Spanish and Literature 11")</f>
        <v>Spanish and Literature 11</v>
      </c>
      <c r="E828" s="3">
        <f>IFERROR(__xludf.DUMMYFUNCTION("""COMPUTED_VALUE"""),3.0)</f>
        <v>3</v>
      </c>
      <c r="F828" s="300">
        <v>1.0</v>
      </c>
      <c r="G828" s="300">
        <v>1.0</v>
      </c>
      <c r="H828" s="300">
        <v>1.0</v>
      </c>
      <c r="I828" s="300">
        <v>1.0</v>
      </c>
      <c r="J828" s="300">
        <v>1.0</v>
      </c>
      <c r="K828" s="300">
        <v>1.0</v>
      </c>
      <c r="L828" s="300">
        <v>1.0</v>
      </c>
      <c r="M828" s="300">
        <v>1.0</v>
      </c>
      <c r="N828" s="300">
        <v>8.0</v>
      </c>
      <c r="O828" s="300" t="s">
        <v>828</v>
      </c>
      <c r="P828" s="300">
        <v>5.0</v>
      </c>
    </row>
    <row r="829">
      <c r="A829">
        <f>IFERROR(__xludf.DUMMYFUNCTION("""COMPUTED_VALUE"""),11.0)</f>
        <v>11</v>
      </c>
      <c r="B829" s="406">
        <f>IFERROR(__xludf.DUMMYFUNCTION("""COMPUTED_VALUE"""),27147.0)</f>
        <v>27147</v>
      </c>
      <c r="C829" t="str">
        <f>IFERROR(__xludf.DUMMYFUNCTION("""COMPUTED_VALUE"""),"MESA FLOREZ, SALOMON")</f>
        <v>MESA FLOREZ, SALOMON</v>
      </c>
      <c r="D829" t="str">
        <f>IFERROR(__xludf.DUMMYFUNCTION("""COMPUTED_VALUE"""),"Spanish Film, Art, and Literature")</f>
        <v>Spanish Film, Art, and Literature</v>
      </c>
      <c r="E829" s="3">
        <f>IFERROR(__xludf.DUMMYFUNCTION("""COMPUTED_VALUE"""),5.0)</f>
        <v>5</v>
      </c>
      <c r="F829" s="300">
        <v>1.0</v>
      </c>
      <c r="G829" s="300">
        <v>1.0</v>
      </c>
      <c r="H829" s="300">
        <v>1.0</v>
      </c>
      <c r="I829" s="300">
        <v>1.0</v>
      </c>
      <c r="J829" s="300">
        <v>1.0</v>
      </c>
      <c r="K829" s="300">
        <v>1.0</v>
      </c>
      <c r="L829" s="300">
        <v>1.0</v>
      </c>
      <c r="M829" s="300">
        <v>1.0</v>
      </c>
      <c r="N829" s="300">
        <v>8.0</v>
      </c>
      <c r="O829" s="300" t="s">
        <v>823</v>
      </c>
      <c r="P829" s="300">
        <v>2.0</v>
      </c>
    </row>
    <row r="830">
      <c r="A830">
        <f>IFERROR(__xludf.DUMMYFUNCTION("""COMPUTED_VALUE"""),11.0)</f>
        <v>11</v>
      </c>
      <c r="B830" s="406">
        <f>IFERROR(__xludf.DUMMYFUNCTION("""COMPUTED_VALUE"""),27129.0)</f>
        <v>27129</v>
      </c>
      <c r="C830" t="str">
        <f>IFERROR(__xludf.DUMMYFUNCTION("""COMPUTED_VALUE"""),"VALLEJO HOYOS, MIGUEL")</f>
        <v>VALLEJO HOYOS, MIGUEL</v>
      </c>
      <c r="D830" t="str">
        <f>IFERROR(__xludf.DUMMYFUNCTION("""COMPUTED_VALUE"""),"Spanish and Literature 11")</f>
        <v>Spanish and Literature 11</v>
      </c>
      <c r="E830" s="3">
        <f>IFERROR(__xludf.DUMMYFUNCTION("""COMPUTED_VALUE"""),4.0)</f>
        <v>4</v>
      </c>
      <c r="F830" s="300">
        <v>1.0</v>
      </c>
      <c r="G830" s="300">
        <v>1.0</v>
      </c>
      <c r="H830" s="300">
        <v>1.0</v>
      </c>
      <c r="I830" s="300">
        <v>1.0</v>
      </c>
      <c r="J830" s="300">
        <v>1.0</v>
      </c>
      <c r="K830" s="300">
        <v>1.0</v>
      </c>
      <c r="L830" s="300">
        <v>1.0</v>
      </c>
      <c r="M830" s="300">
        <v>1.0</v>
      </c>
      <c r="N830" s="300">
        <v>8.0</v>
      </c>
      <c r="O830" s="300" t="s">
        <v>829</v>
      </c>
      <c r="P830" s="300">
        <v>5.0</v>
      </c>
    </row>
    <row r="831">
      <c r="A831">
        <f>IFERROR(__xludf.DUMMYFUNCTION("""COMPUTED_VALUE"""),11.0)</f>
        <v>11</v>
      </c>
      <c r="B831" s="406">
        <f>IFERROR(__xludf.DUMMYFUNCTION("""COMPUTED_VALUE"""),27015.0)</f>
        <v>27015</v>
      </c>
      <c r="C831" t="str">
        <f>IFERROR(__xludf.DUMMYFUNCTION("""COMPUTED_VALUE"""),"BERNAL OCHOA, MARIANA")</f>
        <v>BERNAL OCHOA, MARIANA</v>
      </c>
      <c r="D831" t="str">
        <f>IFERROR(__xludf.DUMMYFUNCTION("""COMPUTED_VALUE"""),"Spanish and Literature 11")</f>
        <v>Spanish and Literature 11</v>
      </c>
      <c r="E831" s="3">
        <f>IFERROR(__xludf.DUMMYFUNCTION("""COMPUTED_VALUE"""),6.0)</f>
        <v>6</v>
      </c>
      <c r="F831" s="300">
        <v>1.0</v>
      </c>
      <c r="G831" s="300">
        <v>1.0</v>
      </c>
      <c r="H831" s="300">
        <v>1.0</v>
      </c>
      <c r="I831" s="300">
        <v>1.0</v>
      </c>
      <c r="J831" s="300">
        <v>1.0</v>
      </c>
      <c r="K831" s="300">
        <v>1.0</v>
      </c>
      <c r="L831" s="300">
        <v>1.0</v>
      </c>
      <c r="M831" s="300">
        <v>1.0</v>
      </c>
      <c r="N831" s="300">
        <v>8.0</v>
      </c>
      <c r="O831" s="300" t="s">
        <v>826</v>
      </c>
      <c r="P831" s="300">
        <v>5.0</v>
      </c>
    </row>
    <row r="832">
      <c r="A832">
        <f>IFERROR(__xludf.DUMMYFUNCTION("""COMPUTED_VALUE"""),11.0)</f>
        <v>11</v>
      </c>
      <c r="B832" s="406">
        <f>IFERROR(__xludf.DUMMYFUNCTION("""COMPUTED_VALUE"""),27104.0)</f>
        <v>27104</v>
      </c>
      <c r="C832" t="str">
        <f>IFERROR(__xludf.DUMMYFUNCTION("""COMPUTED_VALUE"""),"SANCHEZ GONZALEZ, JUANITA")</f>
        <v>SANCHEZ GONZALEZ, JUANITA</v>
      </c>
      <c r="D832" t="str">
        <f>IFERROR(__xludf.DUMMYFUNCTION("""COMPUTED_VALUE"""),"Spanish and Literature 11")</f>
        <v>Spanish and Literature 11</v>
      </c>
      <c r="E832" s="3">
        <f>IFERROR(__xludf.DUMMYFUNCTION("""COMPUTED_VALUE"""),1.0)</f>
        <v>1</v>
      </c>
      <c r="F832" s="300">
        <v>1.0</v>
      </c>
      <c r="G832" s="300">
        <v>1.0</v>
      </c>
      <c r="H832" s="300">
        <v>1.0</v>
      </c>
      <c r="I832" s="300">
        <v>1.0</v>
      </c>
      <c r="J832" s="300">
        <v>1.0</v>
      </c>
      <c r="K832" s="300">
        <v>1.0</v>
      </c>
      <c r="L832" s="300">
        <v>1.0</v>
      </c>
      <c r="M832" s="300">
        <v>1.0</v>
      </c>
      <c r="N832" s="300">
        <v>8.0</v>
      </c>
      <c r="O832" s="300" t="s">
        <v>827</v>
      </c>
      <c r="P832" s="300">
        <v>5.0</v>
      </c>
    </row>
    <row r="833">
      <c r="A833">
        <f>IFERROR(__xludf.DUMMYFUNCTION("""COMPUTED_VALUE"""),11.0)</f>
        <v>11</v>
      </c>
      <c r="B833" s="406">
        <f>IFERROR(__xludf.DUMMYFUNCTION("""COMPUTED_VALUE"""),27130.0)</f>
        <v>27130</v>
      </c>
      <c r="C833" t="str">
        <f>IFERROR(__xludf.DUMMYFUNCTION("""COMPUTED_VALUE"""),"EASTMAN BETANCUR, VIOLETA")</f>
        <v>EASTMAN BETANCUR, VIOLETA</v>
      </c>
      <c r="D833" t="str">
        <f>IFERROR(__xludf.DUMMYFUNCTION("""COMPUTED_VALUE"""),"Spanish and Literature 11")</f>
        <v>Spanish and Literature 11</v>
      </c>
      <c r="E833" s="3">
        <f>IFERROR(__xludf.DUMMYFUNCTION("""COMPUTED_VALUE"""),1.0)</f>
        <v>1</v>
      </c>
      <c r="F833" s="300">
        <v>1.0</v>
      </c>
      <c r="G833" s="300">
        <v>1.0</v>
      </c>
      <c r="H833" s="300">
        <v>1.0</v>
      </c>
      <c r="I833" s="300">
        <v>1.0</v>
      </c>
      <c r="J833" s="300">
        <v>1.0</v>
      </c>
      <c r="K833" s="300">
        <v>1.0</v>
      </c>
      <c r="L833" s="300">
        <v>1.0</v>
      </c>
      <c r="M833" s="300">
        <v>1.0</v>
      </c>
      <c r="N833" s="300">
        <v>8.0</v>
      </c>
      <c r="O833" s="300" t="s">
        <v>827</v>
      </c>
      <c r="P833" s="300">
        <v>5.0</v>
      </c>
    </row>
    <row r="834">
      <c r="A834">
        <f>IFERROR(__xludf.DUMMYFUNCTION("""COMPUTED_VALUE"""),11.0)</f>
        <v>11</v>
      </c>
      <c r="B834" s="406">
        <f>IFERROR(__xludf.DUMMYFUNCTION("""COMPUTED_VALUE"""),27096.0)</f>
        <v>27096</v>
      </c>
      <c r="C834" t="str">
        <f>IFERROR(__xludf.DUMMYFUNCTION("""COMPUTED_VALUE"""),"RICO SALDARRIAGA, MARTINA")</f>
        <v>RICO SALDARRIAGA, MARTINA</v>
      </c>
      <c r="D834" t="str">
        <f>IFERROR(__xludf.DUMMYFUNCTION("""COMPUTED_VALUE"""),"Spanish Film, Art, and Literature")</f>
        <v>Spanish Film, Art, and Literature</v>
      </c>
      <c r="E834" s="3">
        <f>IFERROR(__xludf.DUMMYFUNCTION("""COMPUTED_VALUE"""),5.0)</f>
        <v>5</v>
      </c>
      <c r="F834" s="300">
        <v>1.0</v>
      </c>
      <c r="G834" s="300">
        <v>1.0</v>
      </c>
      <c r="H834" s="300">
        <v>1.0</v>
      </c>
      <c r="I834" s="300">
        <v>1.0</v>
      </c>
      <c r="J834" s="300">
        <v>1.0</v>
      </c>
      <c r="K834" s="300">
        <v>1.0</v>
      </c>
      <c r="L834" s="300">
        <v>1.0</v>
      </c>
      <c r="M834" s="300">
        <v>1.0</v>
      </c>
      <c r="N834" s="300">
        <v>8.0</v>
      </c>
      <c r="O834" s="300" t="s">
        <v>823</v>
      </c>
      <c r="P834" s="300">
        <v>2.0</v>
      </c>
    </row>
    <row r="835">
      <c r="A835">
        <f>IFERROR(__xludf.DUMMYFUNCTION("""COMPUTED_VALUE"""),11.0)</f>
        <v>11</v>
      </c>
      <c r="B835" s="406">
        <f>IFERROR(__xludf.DUMMYFUNCTION("""COMPUTED_VALUE"""),27131.0)</f>
        <v>27131</v>
      </c>
      <c r="C835" t="str">
        <f>IFERROR(__xludf.DUMMYFUNCTION("""COMPUTED_VALUE"""),"BARRERA GUZMAN, CAMILA")</f>
        <v>BARRERA GUZMAN, CAMILA</v>
      </c>
      <c r="D835" t="str">
        <f>IFERROR(__xludf.DUMMYFUNCTION("""COMPUTED_VALUE"""),"Spanish and Literature 11")</f>
        <v>Spanish and Literature 11</v>
      </c>
      <c r="E835" s="3">
        <f>IFERROR(__xludf.DUMMYFUNCTION("""COMPUTED_VALUE"""),4.0)</f>
        <v>4</v>
      </c>
      <c r="F835" s="300">
        <v>1.0</v>
      </c>
      <c r="G835" s="300">
        <v>1.0</v>
      </c>
      <c r="H835" s="300">
        <v>1.0</v>
      </c>
      <c r="I835" s="300">
        <v>1.0</v>
      </c>
      <c r="J835" s="300">
        <v>1.0</v>
      </c>
      <c r="K835" s="300">
        <v>1.0</v>
      </c>
      <c r="L835" s="300">
        <v>1.0</v>
      </c>
      <c r="M835" s="300">
        <v>1.0</v>
      </c>
      <c r="N835" s="300">
        <v>8.0</v>
      </c>
      <c r="O835" s="300" t="s">
        <v>829</v>
      </c>
      <c r="P835" s="300">
        <v>5.0</v>
      </c>
    </row>
    <row r="836">
      <c r="A836">
        <f>IFERROR(__xludf.DUMMYFUNCTION("""COMPUTED_VALUE"""),11.0)</f>
        <v>11</v>
      </c>
      <c r="B836" s="406">
        <f>IFERROR(__xludf.DUMMYFUNCTION("""COMPUTED_VALUE"""),27068.0)</f>
        <v>27068</v>
      </c>
      <c r="C836" t="str">
        <f>IFERROR(__xludf.DUMMYFUNCTION("""COMPUTED_VALUE"""),"MESA ACOSTA, ESTEBAN")</f>
        <v>MESA ACOSTA, ESTEBAN</v>
      </c>
      <c r="D836" t="str">
        <f>IFERROR(__xludf.DUMMYFUNCTION("""COMPUTED_VALUE"""),"Spanish and Literature 11")</f>
        <v>Spanish and Literature 11</v>
      </c>
      <c r="E836" s="3">
        <f>IFERROR(__xludf.DUMMYFUNCTION("""COMPUTED_VALUE"""),1.0)</f>
        <v>1</v>
      </c>
      <c r="F836" s="300">
        <v>1.0</v>
      </c>
      <c r="G836" s="300">
        <v>1.0</v>
      </c>
      <c r="H836" s="300">
        <v>1.0</v>
      </c>
      <c r="I836" s="300">
        <v>1.0</v>
      </c>
      <c r="J836" s="300">
        <v>1.0</v>
      </c>
      <c r="K836" s="300">
        <v>1.0</v>
      </c>
      <c r="L836" s="300">
        <v>1.0</v>
      </c>
      <c r="M836" s="300">
        <v>1.0</v>
      </c>
      <c r="N836" s="300">
        <v>8.0</v>
      </c>
      <c r="O836" s="300" t="s">
        <v>827</v>
      </c>
      <c r="P836" s="300">
        <v>5.0</v>
      </c>
    </row>
    <row r="837">
      <c r="A837">
        <f>IFERROR(__xludf.DUMMYFUNCTION("""COMPUTED_VALUE"""),11.0)</f>
        <v>11</v>
      </c>
      <c r="B837" s="406">
        <f>IFERROR(__xludf.DUMMYFUNCTION("""COMPUTED_VALUE"""),27127.0)</f>
        <v>27127</v>
      </c>
      <c r="C837" t="str">
        <f>IFERROR(__xludf.DUMMYFUNCTION("""COMPUTED_VALUE"""),"YUSTY MOSQUERA, MATEO")</f>
        <v>YUSTY MOSQUERA, MATEO</v>
      </c>
      <c r="D837" t="str">
        <f>IFERROR(__xludf.DUMMYFUNCTION("""COMPUTED_VALUE"""),"Spanish and Literature 11")</f>
        <v>Spanish and Literature 11</v>
      </c>
      <c r="E837" s="3">
        <f>IFERROR(__xludf.DUMMYFUNCTION("""COMPUTED_VALUE"""),6.0)</f>
        <v>6</v>
      </c>
      <c r="F837" s="300">
        <v>1.0</v>
      </c>
      <c r="G837" s="300">
        <v>1.0</v>
      </c>
      <c r="H837" s="300">
        <v>1.0</v>
      </c>
      <c r="I837" s="300">
        <v>1.0</v>
      </c>
      <c r="J837" s="300">
        <v>1.0</v>
      </c>
      <c r="K837" s="300">
        <v>1.0</v>
      </c>
      <c r="L837" s="300">
        <v>1.0</v>
      </c>
      <c r="M837" s="300">
        <v>1.0</v>
      </c>
      <c r="N837" s="300">
        <v>8.0</v>
      </c>
      <c r="O837" s="300" t="s">
        <v>826</v>
      </c>
      <c r="P837" s="300">
        <v>5.0</v>
      </c>
    </row>
    <row r="838">
      <c r="A838">
        <f>IFERROR(__xludf.DUMMYFUNCTION("""COMPUTED_VALUE"""),11.0)</f>
        <v>11</v>
      </c>
      <c r="B838" s="406">
        <f>IFERROR(__xludf.DUMMYFUNCTION("""COMPUTED_VALUE"""),27172.0)</f>
        <v>27172</v>
      </c>
      <c r="C838" t="str">
        <f>IFERROR(__xludf.DUMMYFUNCTION("""COMPUTED_VALUE"""),"PASCUAL CUMELLAS, IGNACIO")</f>
        <v>PASCUAL CUMELLAS, IGNACIO</v>
      </c>
      <c r="D838" t="str">
        <f>IFERROR(__xludf.DUMMYFUNCTION("""COMPUTED_VALUE"""),"Spanish Film, Art, and Literature")</f>
        <v>Spanish Film, Art, and Literature</v>
      </c>
      <c r="E838" s="3">
        <f>IFERROR(__xludf.DUMMYFUNCTION("""COMPUTED_VALUE"""),8.0)</f>
        <v>8</v>
      </c>
      <c r="F838" s="300">
        <v>1.0</v>
      </c>
      <c r="G838" s="300">
        <v>1.0</v>
      </c>
      <c r="H838" s="300">
        <v>1.0</v>
      </c>
      <c r="I838" s="300">
        <v>1.0</v>
      </c>
      <c r="J838" s="300">
        <v>1.0</v>
      </c>
      <c r="K838" s="300">
        <v>1.0</v>
      </c>
      <c r="L838" s="300">
        <v>1.0</v>
      </c>
      <c r="M838" s="300">
        <v>1.0</v>
      </c>
      <c r="N838" s="300">
        <v>8.0</v>
      </c>
      <c r="O838" s="300" t="s">
        <v>824</v>
      </c>
      <c r="P838" s="300">
        <v>2.0</v>
      </c>
    </row>
    <row r="839">
      <c r="A839">
        <f>IFERROR(__xludf.DUMMYFUNCTION("""COMPUTED_VALUE"""),11.0)</f>
        <v>11</v>
      </c>
      <c r="B839" s="406">
        <f>IFERROR(__xludf.DUMMYFUNCTION("""COMPUTED_VALUE"""),27018.0)</f>
        <v>27018</v>
      </c>
      <c r="C839" t="str">
        <f>IFERROR(__xludf.DUMMYFUNCTION("""COMPUTED_VALUE"""),"BEYER VELEZ, JACOBO")</f>
        <v>BEYER VELEZ, JACOBO</v>
      </c>
      <c r="D839" t="str">
        <f>IFERROR(__xludf.DUMMYFUNCTION("""COMPUTED_VALUE"""),"Spanish and Literature 11")</f>
        <v>Spanish and Literature 11</v>
      </c>
      <c r="E839" s="3">
        <f>IFERROR(__xludf.DUMMYFUNCTION("""COMPUTED_VALUE"""),1.0)</f>
        <v>1</v>
      </c>
      <c r="F839" s="300">
        <v>1.0</v>
      </c>
      <c r="G839" s="300">
        <v>1.0</v>
      </c>
      <c r="H839" s="300">
        <v>1.0</v>
      </c>
      <c r="I839" s="300">
        <v>1.0</v>
      </c>
      <c r="J839" s="300">
        <v>1.0</v>
      </c>
      <c r="K839" s="300">
        <v>1.0</v>
      </c>
      <c r="L839" s="300">
        <v>1.0</v>
      </c>
      <c r="M839" s="300">
        <v>1.0</v>
      </c>
      <c r="N839" s="300">
        <v>8.0</v>
      </c>
      <c r="O839" s="300" t="s">
        <v>827</v>
      </c>
      <c r="P839" s="300">
        <v>5.0</v>
      </c>
    </row>
    <row r="840">
      <c r="A840">
        <f>IFERROR(__xludf.DUMMYFUNCTION("""COMPUTED_VALUE"""),11.0)</f>
        <v>11</v>
      </c>
      <c r="B840" s="406">
        <f>IFERROR(__xludf.DUMMYFUNCTION("""COMPUTED_VALUE"""),27017.0)</f>
        <v>27017</v>
      </c>
      <c r="C840" t="str">
        <f>IFERROR(__xludf.DUMMYFUNCTION("""COMPUTED_VALUE"""),"BETANCUR ROBLEDO, ELISA")</f>
        <v>BETANCUR ROBLEDO, ELISA</v>
      </c>
      <c r="D840" t="str">
        <f>IFERROR(__xludf.DUMMYFUNCTION("""COMPUTED_VALUE"""),"Spanish Film, Art, and Literature")</f>
        <v>Spanish Film, Art, and Literature</v>
      </c>
      <c r="E840" s="3">
        <f>IFERROR(__xludf.DUMMYFUNCTION("""COMPUTED_VALUE"""),5.0)</f>
        <v>5</v>
      </c>
      <c r="F840" s="300">
        <v>1.0</v>
      </c>
      <c r="G840" s="300">
        <v>1.0</v>
      </c>
      <c r="H840" s="300">
        <v>1.0</v>
      </c>
      <c r="I840" s="300">
        <v>1.0</v>
      </c>
      <c r="J840" s="300">
        <v>1.0</v>
      </c>
      <c r="K840" s="300">
        <v>1.0</v>
      </c>
      <c r="L840" s="300">
        <v>1.0</v>
      </c>
      <c r="M840" s="300">
        <v>1.0</v>
      </c>
      <c r="N840" s="300">
        <v>8.0</v>
      </c>
      <c r="O840" s="300" t="s">
        <v>823</v>
      </c>
      <c r="P840" s="300">
        <v>2.0</v>
      </c>
    </row>
    <row r="841">
      <c r="A841">
        <f>IFERROR(__xludf.DUMMYFUNCTION("""COMPUTED_VALUE"""),11.0)</f>
        <v>11</v>
      </c>
      <c r="B841" s="406">
        <f>IFERROR(__xludf.DUMMYFUNCTION("""COMPUTED_VALUE"""),27113.0)</f>
        <v>27113</v>
      </c>
      <c r="C841" t="str">
        <f>IFERROR(__xludf.DUMMYFUNCTION("""COMPUTED_VALUE"""),"TORO LOPERA, VIOLETA")</f>
        <v>TORO LOPERA, VIOLETA</v>
      </c>
      <c r="D841" t="str">
        <f>IFERROR(__xludf.DUMMYFUNCTION("""COMPUTED_VALUE"""),"Spanish Film, Art, and Literature")</f>
        <v>Spanish Film, Art, and Literature</v>
      </c>
      <c r="E841" s="3">
        <f>IFERROR(__xludf.DUMMYFUNCTION("""COMPUTED_VALUE"""),5.0)</f>
        <v>5</v>
      </c>
      <c r="F841" s="300">
        <v>1.0</v>
      </c>
      <c r="G841" s="300">
        <v>1.0</v>
      </c>
      <c r="H841" s="300">
        <v>1.0</v>
      </c>
      <c r="I841" s="300">
        <v>1.0</v>
      </c>
      <c r="J841" s="300">
        <v>1.0</v>
      </c>
      <c r="K841" s="300">
        <v>1.0</v>
      </c>
      <c r="L841" s="300">
        <v>1.0</v>
      </c>
      <c r="M841" s="300">
        <v>1.0</v>
      </c>
      <c r="N841" s="300">
        <v>8.0</v>
      </c>
      <c r="O841" s="300" t="s">
        <v>823</v>
      </c>
      <c r="P841" s="300">
        <v>2.0</v>
      </c>
    </row>
    <row r="842">
      <c r="A842">
        <f>IFERROR(__xludf.DUMMYFUNCTION("""COMPUTED_VALUE"""),11.0)</f>
        <v>11</v>
      </c>
      <c r="B842" s="406">
        <f>IFERROR(__xludf.DUMMYFUNCTION("""COMPUTED_VALUE"""),27042.0)</f>
        <v>27042</v>
      </c>
      <c r="C842" t="str">
        <f>IFERROR(__xludf.DUMMYFUNCTION("""COMPUTED_VALUE"""),"BONILLA NAVARRO, SOFIA")</f>
        <v>BONILLA NAVARRO, SOFIA</v>
      </c>
      <c r="D842" t="str">
        <f>IFERROR(__xludf.DUMMYFUNCTION("""COMPUTED_VALUE"""),"Spanish and Literature 11")</f>
        <v>Spanish and Literature 11</v>
      </c>
      <c r="E842" s="3">
        <f>IFERROR(__xludf.DUMMYFUNCTION("""COMPUTED_VALUE"""),6.0)</f>
        <v>6</v>
      </c>
      <c r="F842" s="300">
        <v>1.0</v>
      </c>
      <c r="G842" s="300">
        <v>1.0</v>
      </c>
      <c r="H842" s="300">
        <v>1.0</v>
      </c>
      <c r="I842" s="300">
        <v>1.0</v>
      </c>
      <c r="J842" s="300">
        <v>1.0</v>
      </c>
      <c r="K842" s="300">
        <v>1.0</v>
      </c>
      <c r="L842" s="300">
        <v>1.0</v>
      </c>
      <c r="M842" s="300">
        <v>1.0</v>
      </c>
      <c r="N842" s="300">
        <v>8.0</v>
      </c>
      <c r="O842" s="300" t="s">
        <v>826</v>
      </c>
      <c r="P842" s="300">
        <v>5.0</v>
      </c>
    </row>
    <row r="843">
      <c r="A843">
        <f>IFERROR(__xludf.DUMMYFUNCTION("""COMPUTED_VALUE"""),11.0)</f>
        <v>11</v>
      </c>
      <c r="B843" s="406">
        <f>IFERROR(__xludf.DUMMYFUNCTION("""COMPUTED_VALUE"""),27105.0)</f>
        <v>27105</v>
      </c>
      <c r="C843" t="str">
        <f>IFERROR(__xludf.DUMMYFUNCTION("""COMPUTED_VALUE"""),"SANCHEZ GONZALEZ, SARA")</f>
        <v>SANCHEZ GONZALEZ, SARA</v>
      </c>
      <c r="D843" t="str">
        <f>IFERROR(__xludf.DUMMYFUNCTION("""COMPUTED_VALUE"""),"Spanish Film, Art, and Literature")</f>
        <v>Spanish Film, Art, and Literature</v>
      </c>
      <c r="E843" s="3">
        <f>IFERROR(__xludf.DUMMYFUNCTION("""COMPUTED_VALUE"""),5.0)</f>
        <v>5</v>
      </c>
      <c r="F843" s="300">
        <v>1.0</v>
      </c>
      <c r="G843" s="300">
        <v>1.0</v>
      </c>
      <c r="H843" s="300">
        <v>1.0</v>
      </c>
      <c r="I843" s="300">
        <v>1.0</v>
      </c>
      <c r="J843" s="300">
        <v>1.0</v>
      </c>
      <c r="K843" s="300">
        <v>1.0</v>
      </c>
      <c r="L843" s="300">
        <v>1.0</v>
      </c>
      <c r="M843" s="300">
        <v>1.0</v>
      </c>
      <c r="N843" s="300">
        <v>8.0</v>
      </c>
      <c r="O843" s="300" t="s">
        <v>823</v>
      </c>
      <c r="P843" s="300">
        <v>2.0</v>
      </c>
    </row>
    <row r="844">
      <c r="A844">
        <f>IFERROR(__xludf.DUMMYFUNCTION("""COMPUTED_VALUE"""),11.0)</f>
        <v>11</v>
      </c>
      <c r="B844" s="406">
        <f>IFERROR(__xludf.DUMMYFUNCTION("""COMPUTED_VALUE"""),27035.0)</f>
        <v>27035</v>
      </c>
      <c r="C844" t="str">
        <f>IFERROR(__xludf.DUMMYFUNCTION("""COMPUTED_VALUE"""),"FERNANDEZ CALDERON, PABLO")</f>
        <v>FERNANDEZ CALDERON, PABLO</v>
      </c>
      <c r="D844" t="str">
        <f>IFERROR(__xludf.DUMMYFUNCTION("""COMPUTED_VALUE"""),"Spanish and Literature 11")</f>
        <v>Spanish and Literature 11</v>
      </c>
      <c r="E844" s="3">
        <f>IFERROR(__xludf.DUMMYFUNCTION("""COMPUTED_VALUE"""),4.0)</f>
        <v>4</v>
      </c>
      <c r="F844" s="300">
        <v>1.0</v>
      </c>
      <c r="G844" s="300">
        <v>1.0</v>
      </c>
      <c r="H844" s="300">
        <v>1.0</v>
      </c>
      <c r="I844" s="300">
        <v>1.0</v>
      </c>
      <c r="J844" s="300">
        <v>1.0</v>
      </c>
      <c r="K844" s="300">
        <v>1.0</v>
      </c>
      <c r="L844" s="300">
        <v>1.0</v>
      </c>
      <c r="M844" s="300">
        <v>1.0</v>
      </c>
      <c r="N844" s="300">
        <v>8.0</v>
      </c>
      <c r="O844" s="300" t="s">
        <v>829</v>
      </c>
      <c r="P844" s="300">
        <v>5.0</v>
      </c>
    </row>
    <row r="845">
      <c r="A845">
        <f>IFERROR(__xludf.DUMMYFUNCTION("""COMPUTED_VALUE"""),11.0)</f>
        <v>11</v>
      </c>
      <c r="B845" s="406">
        <f>IFERROR(__xludf.DUMMYFUNCTION("""COMPUTED_VALUE"""),27085.0)</f>
        <v>27085</v>
      </c>
      <c r="C845" t="str">
        <f>IFERROR(__xludf.DUMMYFUNCTION("""COMPUTED_VALUE"""),"PEREZ ALVARADO, EMILIO")</f>
        <v>PEREZ ALVARADO, EMILIO</v>
      </c>
      <c r="D845" t="str">
        <f>IFERROR(__xludf.DUMMYFUNCTION("""COMPUTED_VALUE"""),"Spanish and Literature 11")</f>
        <v>Spanish and Literature 11</v>
      </c>
      <c r="E845" s="3">
        <f>IFERROR(__xludf.DUMMYFUNCTION("""COMPUTED_VALUE"""),4.0)</f>
        <v>4</v>
      </c>
      <c r="F845" s="300">
        <v>1.0</v>
      </c>
      <c r="G845" s="300">
        <v>1.0</v>
      </c>
      <c r="H845" s="300">
        <v>1.0</v>
      </c>
      <c r="I845" s="300">
        <v>1.0</v>
      </c>
      <c r="J845" s="300">
        <v>1.0</v>
      </c>
      <c r="K845" s="300">
        <v>1.0</v>
      </c>
      <c r="L845" s="300">
        <v>1.0</v>
      </c>
      <c r="M845" s="300">
        <v>1.0</v>
      </c>
      <c r="N845" s="300">
        <v>8.0</v>
      </c>
      <c r="O845" s="300" t="s">
        <v>829</v>
      </c>
      <c r="P845" s="300">
        <v>5.0</v>
      </c>
    </row>
    <row r="846">
      <c r="A846">
        <f>IFERROR(__xludf.DUMMYFUNCTION("""COMPUTED_VALUE"""),11.0)</f>
        <v>11</v>
      </c>
      <c r="B846" s="406">
        <f>IFERROR(__xludf.DUMMYFUNCTION("""COMPUTED_VALUE"""),27054.0)</f>
        <v>27054</v>
      </c>
      <c r="C846" t="str">
        <f>IFERROR(__xludf.DUMMYFUNCTION("""COMPUTED_VALUE"""),"JARAMILLO PELAEZ, VIOLETA")</f>
        <v>JARAMILLO PELAEZ, VIOLETA</v>
      </c>
      <c r="D846" t="str">
        <f>IFERROR(__xludf.DUMMYFUNCTION("""COMPUTED_VALUE"""),"Spanish and Literature 11")</f>
        <v>Spanish and Literature 11</v>
      </c>
      <c r="E846" s="3">
        <f>IFERROR(__xludf.DUMMYFUNCTION("""COMPUTED_VALUE"""),4.0)</f>
        <v>4</v>
      </c>
      <c r="F846" s="300">
        <v>1.0</v>
      </c>
      <c r="G846" s="300">
        <v>1.0</v>
      </c>
      <c r="H846" s="300">
        <v>1.0</v>
      </c>
      <c r="I846" s="300">
        <v>1.0</v>
      </c>
      <c r="J846" s="300">
        <v>1.0</v>
      </c>
      <c r="K846" s="300">
        <v>1.0</v>
      </c>
      <c r="L846" s="300">
        <v>1.0</v>
      </c>
      <c r="M846" s="300">
        <v>1.0</v>
      </c>
      <c r="N846" s="300">
        <v>8.0</v>
      </c>
      <c r="O846" s="300" t="s">
        <v>829</v>
      </c>
      <c r="P846" s="300">
        <v>5.0</v>
      </c>
    </row>
    <row r="847">
      <c r="A847">
        <f>IFERROR(__xludf.DUMMYFUNCTION("""COMPUTED_VALUE"""),11.0)</f>
        <v>11</v>
      </c>
      <c r="B847" s="406">
        <f>IFERROR(__xludf.DUMMYFUNCTION("""COMPUTED_VALUE"""),27053.0)</f>
        <v>27053</v>
      </c>
      <c r="C847" t="str">
        <f>IFERROR(__xludf.DUMMYFUNCTION("""COMPUTED_VALUE"""),"JARAMILLO PELAEZ, MARTINA")</f>
        <v>JARAMILLO PELAEZ, MARTINA</v>
      </c>
      <c r="D847" t="str">
        <f>IFERROR(__xludf.DUMMYFUNCTION("""COMPUTED_VALUE"""),"Spanish and Literature 11")</f>
        <v>Spanish and Literature 11</v>
      </c>
      <c r="E847" s="3">
        <f>IFERROR(__xludf.DUMMYFUNCTION("""COMPUTED_VALUE"""),4.0)</f>
        <v>4</v>
      </c>
      <c r="F847" s="300">
        <v>1.0</v>
      </c>
      <c r="G847" s="300">
        <v>1.0</v>
      </c>
      <c r="H847" s="300">
        <v>1.0</v>
      </c>
      <c r="I847" s="300">
        <v>1.0</v>
      </c>
      <c r="J847" s="300">
        <v>1.0</v>
      </c>
      <c r="K847" s="300">
        <v>1.0</v>
      </c>
      <c r="L847" s="300">
        <v>1.0</v>
      </c>
      <c r="M847" s="300">
        <v>1.0</v>
      </c>
      <c r="N847" s="300">
        <v>8.0</v>
      </c>
      <c r="O847" s="300" t="s">
        <v>829</v>
      </c>
      <c r="P847" s="300">
        <v>5.0</v>
      </c>
    </row>
    <row r="848">
      <c r="A848">
        <f>IFERROR(__xludf.DUMMYFUNCTION("""COMPUTED_VALUE"""),11.0)</f>
        <v>11</v>
      </c>
      <c r="B848" s="406">
        <f>IFERROR(__xludf.DUMMYFUNCTION("""COMPUTED_VALUE"""),26012.0)</f>
        <v>26012</v>
      </c>
      <c r="C848" t="str">
        <f>IFERROR(__xludf.DUMMYFUNCTION("""COMPUTED_VALUE"""),"BAENA GIRALDO, AGUSTIN")</f>
        <v>BAENA GIRALDO, AGUSTIN</v>
      </c>
      <c r="D848" t="str">
        <f>IFERROR(__xludf.DUMMYFUNCTION("""COMPUTED_VALUE"""),"Spanish and Literature 11")</f>
        <v>Spanish and Literature 11</v>
      </c>
      <c r="E848" s="3">
        <f>IFERROR(__xludf.DUMMYFUNCTION("""COMPUTED_VALUE"""),6.0)</f>
        <v>6</v>
      </c>
      <c r="F848" s="300">
        <v>1.0</v>
      </c>
      <c r="G848" s="300">
        <v>1.0</v>
      </c>
      <c r="H848" s="300">
        <v>1.0</v>
      </c>
      <c r="I848" s="300">
        <v>1.0</v>
      </c>
      <c r="J848" s="300">
        <v>1.0</v>
      </c>
      <c r="K848" s="300">
        <v>1.0</v>
      </c>
      <c r="L848" s="300">
        <v>1.0</v>
      </c>
      <c r="M848" s="300">
        <v>1.0</v>
      </c>
      <c r="N848" s="300">
        <v>8.0</v>
      </c>
      <c r="O848" s="300" t="s">
        <v>826</v>
      </c>
      <c r="P848" s="300">
        <v>5.0</v>
      </c>
    </row>
    <row r="849">
      <c r="A849">
        <f>IFERROR(__xludf.DUMMYFUNCTION("""COMPUTED_VALUE"""),11.0)</f>
        <v>11</v>
      </c>
      <c r="B849" s="406">
        <f>IFERROR(__xludf.DUMMYFUNCTION("""COMPUTED_VALUE"""),27022.0)</f>
        <v>27022</v>
      </c>
      <c r="C849" t="str">
        <f>IFERROR(__xludf.DUMMYFUNCTION("""COMPUTED_VALUE"""),"CARDONA GIRALDO, MATHIAS")</f>
        <v>CARDONA GIRALDO, MATHIAS</v>
      </c>
      <c r="D849" t="str">
        <f>IFERROR(__xludf.DUMMYFUNCTION("""COMPUTED_VALUE"""),"Spanish Film, Art, and Literature")</f>
        <v>Spanish Film, Art, and Literature</v>
      </c>
      <c r="E849" s="3">
        <f>IFERROR(__xludf.DUMMYFUNCTION("""COMPUTED_VALUE"""),8.0)</f>
        <v>8</v>
      </c>
      <c r="F849" s="300">
        <v>1.0</v>
      </c>
      <c r="G849" s="300">
        <v>1.0</v>
      </c>
      <c r="H849" s="300">
        <v>1.0</v>
      </c>
      <c r="I849" s="300">
        <v>1.0</v>
      </c>
      <c r="J849" s="300">
        <v>1.0</v>
      </c>
      <c r="K849" s="300">
        <v>1.0</v>
      </c>
      <c r="L849" s="300">
        <v>1.0</v>
      </c>
      <c r="M849" s="300">
        <v>1.0</v>
      </c>
      <c r="N849" s="300">
        <v>8.0</v>
      </c>
      <c r="O849" s="300" t="s">
        <v>824</v>
      </c>
      <c r="P849" s="300">
        <v>2.0</v>
      </c>
    </row>
    <row r="850">
      <c r="A850">
        <f>IFERROR(__xludf.DUMMYFUNCTION("""COMPUTED_VALUE"""),11.0)</f>
        <v>11</v>
      </c>
      <c r="B850" s="406">
        <f>IFERROR(__xludf.DUMMYFUNCTION("""COMPUTED_VALUE"""),27071.0)</f>
        <v>27071</v>
      </c>
      <c r="C850" t="str">
        <f>IFERROR(__xludf.DUMMYFUNCTION("""COMPUTED_VALUE"""),"MONSALVE LOPERA, FEDERICO")</f>
        <v>MONSALVE LOPERA, FEDERICO</v>
      </c>
      <c r="D850" t="str">
        <f>IFERROR(__xludf.DUMMYFUNCTION("""COMPUTED_VALUE"""),"AP Spanish Literature and Culture")</f>
        <v>AP Spanish Literature and Culture</v>
      </c>
      <c r="E850" s="3">
        <f>IFERROR(__xludf.DUMMYFUNCTION("""COMPUTED_VALUE"""),8.0)</f>
        <v>8</v>
      </c>
      <c r="F850" s="300">
        <v>1.0</v>
      </c>
      <c r="G850" s="300">
        <v>1.0</v>
      </c>
      <c r="H850" s="300">
        <v>1.0</v>
      </c>
      <c r="I850" s="300">
        <v>1.0</v>
      </c>
      <c r="J850" s="300">
        <v>1.0</v>
      </c>
      <c r="K850" s="300">
        <v>1.0</v>
      </c>
      <c r="L850" s="300">
        <v>1.0</v>
      </c>
      <c r="M850" s="300">
        <v>1.0</v>
      </c>
      <c r="N850" s="300">
        <v>8.0</v>
      </c>
      <c r="O850" s="300" t="s">
        <v>825</v>
      </c>
      <c r="P850" s="300">
        <v>1.0</v>
      </c>
    </row>
    <row r="851">
      <c r="A851">
        <f>IFERROR(__xludf.DUMMYFUNCTION("""COMPUTED_VALUE"""),11.0)</f>
        <v>11</v>
      </c>
      <c r="B851" s="406">
        <f>IFERROR(__xludf.DUMMYFUNCTION("""COMPUTED_VALUE"""),27006.0)</f>
        <v>27006</v>
      </c>
      <c r="C851" t="str">
        <f>IFERROR(__xludf.DUMMYFUNCTION("""COMPUTED_VALUE"""),"ARANGO RUBIO, MIGUEL")</f>
        <v>ARANGO RUBIO, MIGUEL</v>
      </c>
      <c r="D851" t="str">
        <f>IFERROR(__xludf.DUMMYFUNCTION("""COMPUTED_VALUE"""),"AP Spanish Literature and Culture")</f>
        <v>AP Spanish Literature and Culture</v>
      </c>
      <c r="E851" s="3">
        <f>IFERROR(__xludf.DUMMYFUNCTION("""COMPUTED_VALUE"""),8.0)</f>
        <v>8</v>
      </c>
      <c r="F851" s="300">
        <v>1.0</v>
      </c>
      <c r="G851" s="300">
        <v>1.0</v>
      </c>
      <c r="H851" s="300">
        <v>1.0</v>
      </c>
      <c r="I851" s="300">
        <v>1.0</v>
      </c>
      <c r="J851" s="300">
        <v>1.0</v>
      </c>
      <c r="K851" s="300">
        <v>1.0</v>
      </c>
      <c r="L851" s="300">
        <v>1.0</v>
      </c>
      <c r="M851" s="300">
        <v>1.0</v>
      </c>
      <c r="N851" s="300">
        <v>8.0</v>
      </c>
      <c r="O851" s="300" t="s">
        <v>825</v>
      </c>
      <c r="P851" s="300">
        <v>1.0</v>
      </c>
    </row>
    <row r="852">
      <c r="A852">
        <f>IFERROR(__xludf.DUMMYFUNCTION("""COMPUTED_VALUE"""),11.0)</f>
        <v>11</v>
      </c>
      <c r="B852" s="406">
        <f>IFERROR(__xludf.DUMMYFUNCTION("""COMPUTED_VALUE"""),27101.0)</f>
        <v>27101</v>
      </c>
      <c r="C852" t="str">
        <f>IFERROR(__xludf.DUMMYFUNCTION("""COMPUTED_VALUE"""),"RUIZ ROLDAN, PABLO")</f>
        <v>RUIZ ROLDAN, PABLO</v>
      </c>
      <c r="D852" t="str">
        <f>IFERROR(__xludf.DUMMYFUNCTION("""COMPUTED_VALUE"""),"Spanish and Literature 11")</f>
        <v>Spanish and Literature 11</v>
      </c>
      <c r="E852" s="3">
        <f>IFERROR(__xludf.DUMMYFUNCTION("""COMPUTED_VALUE"""),5.0)</f>
        <v>5</v>
      </c>
      <c r="F852" s="300">
        <v>1.0</v>
      </c>
      <c r="G852" s="300">
        <v>1.0</v>
      </c>
      <c r="H852" s="300">
        <v>1.0</v>
      </c>
      <c r="I852" s="300">
        <v>1.0</v>
      </c>
      <c r="J852" s="300">
        <v>1.0</v>
      </c>
      <c r="K852" s="300">
        <v>1.0</v>
      </c>
      <c r="L852" s="300">
        <v>1.0</v>
      </c>
      <c r="M852" s="300">
        <v>1.0</v>
      </c>
      <c r="N852" s="300">
        <v>8.0</v>
      </c>
      <c r="O852" s="300" t="s">
        <v>830</v>
      </c>
      <c r="P852" s="300">
        <v>5.0</v>
      </c>
    </row>
    <row r="853">
      <c r="A853">
        <f>IFERROR(__xludf.DUMMYFUNCTION("""COMPUTED_VALUE"""),11.0)</f>
        <v>11</v>
      </c>
      <c r="B853" s="406">
        <f>IFERROR(__xludf.DUMMYFUNCTION("""COMPUTED_VALUE"""),27046.0)</f>
        <v>27046</v>
      </c>
      <c r="C853" t="str">
        <f>IFERROR(__xludf.DUMMYFUNCTION("""COMPUTED_VALUE"""),"GOMEZ TRUJILLO, MIGUEL")</f>
        <v>GOMEZ TRUJILLO, MIGUEL</v>
      </c>
      <c r="D853" t="str">
        <f>IFERROR(__xludf.DUMMYFUNCTION("""COMPUTED_VALUE"""),"Spanish and Literature 11")</f>
        <v>Spanish and Literature 11</v>
      </c>
      <c r="E853" s="3">
        <f>IFERROR(__xludf.DUMMYFUNCTION("""COMPUTED_VALUE"""),6.0)</f>
        <v>6</v>
      </c>
      <c r="F853" s="300">
        <v>1.0</v>
      </c>
      <c r="G853" s="300">
        <v>1.0</v>
      </c>
      <c r="H853" s="300">
        <v>1.0</v>
      </c>
      <c r="I853" s="300">
        <v>1.0</v>
      </c>
      <c r="J853" s="300">
        <v>1.0</v>
      </c>
      <c r="K853" s="300">
        <v>1.0</v>
      </c>
      <c r="L853" s="300">
        <v>1.0</v>
      </c>
      <c r="M853" s="300">
        <v>1.0</v>
      </c>
      <c r="N853" s="300">
        <v>8.0</v>
      </c>
      <c r="O853" s="300" t="s">
        <v>826</v>
      </c>
      <c r="P853" s="300">
        <v>5.0</v>
      </c>
    </row>
    <row r="854">
      <c r="A854">
        <f>IFERROR(__xludf.DUMMYFUNCTION("""COMPUTED_VALUE"""),11.0)</f>
        <v>11</v>
      </c>
      <c r="B854" s="406">
        <f>IFERROR(__xludf.DUMMYFUNCTION("""COMPUTED_VALUE"""),27151.0)</f>
        <v>27151</v>
      </c>
      <c r="C854" t="str">
        <f>IFERROR(__xludf.DUMMYFUNCTION("""COMPUTED_VALUE"""),"RANNI, FABRIZIO")</f>
        <v>RANNI, FABRIZIO</v>
      </c>
      <c r="D854" t="str">
        <f>IFERROR(__xludf.DUMMYFUNCTION("""COMPUTED_VALUE"""),"Spanish and Literature 11")</f>
        <v>Spanish and Literature 11</v>
      </c>
      <c r="E854" s="3">
        <f>IFERROR(__xludf.DUMMYFUNCTION("""COMPUTED_VALUE"""),6.0)</f>
        <v>6</v>
      </c>
      <c r="F854" s="300">
        <v>1.0</v>
      </c>
      <c r="G854" s="300">
        <v>1.0</v>
      </c>
      <c r="H854" s="300">
        <v>1.0</v>
      </c>
      <c r="I854" s="300">
        <v>1.0</v>
      </c>
      <c r="J854" s="300">
        <v>1.0</v>
      </c>
      <c r="K854" s="300">
        <v>1.0</v>
      </c>
      <c r="L854" s="300">
        <v>1.0</v>
      </c>
      <c r="M854" s="300">
        <v>1.0</v>
      </c>
      <c r="N854" s="300">
        <v>8.0</v>
      </c>
      <c r="O854" s="300" t="s">
        <v>826</v>
      </c>
      <c r="P854" s="300">
        <v>5.0</v>
      </c>
    </row>
    <row r="855">
      <c r="A855">
        <f>IFERROR(__xludf.DUMMYFUNCTION("""COMPUTED_VALUE"""),11.0)</f>
        <v>11</v>
      </c>
      <c r="B855" s="406">
        <f>IFERROR(__xludf.DUMMYFUNCTION("""COMPUTED_VALUE"""),27081.0)</f>
        <v>27081</v>
      </c>
      <c r="C855" t="str">
        <f>IFERROR(__xludf.DUMMYFUNCTION("""COMPUTED_VALUE"""),"OSPINA ESCOBAR, GABRIEL")</f>
        <v>OSPINA ESCOBAR, GABRIEL</v>
      </c>
      <c r="D855" t="str">
        <f>IFERROR(__xludf.DUMMYFUNCTION("""COMPUTED_VALUE"""),"Spanish and Literature 11")</f>
        <v>Spanish and Literature 11</v>
      </c>
      <c r="E855" s="3">
        <f>IFERROR(__xludf.DUMMYFUNCTION("""COMPUTED_VALUE"""),3.0)</f>
        <v>3</v>
      </c>
      <c r="F855" s="300">
        <v>1.0</v>
      </c>
      <c r="G855" s="300">
        <v>1.0</v>
      </c>
      <c r="H855" s="300">
        <v>1.0</v>
      </c>
      <c r="I855" s="300">
        <v>1.0</v>
      </c>
      <c r="J855" s="300">
        <v>1.0</v>
      </c>
      <c r="K855" s="300">
        <v>1.0</v>
      </c>
      <c r="L855" s="300">
        <v>1.0</v>
      </c>
      <c r="M855" s="300">
        <v>1.0</v>
      </c>
      <c r="N855" s="300">
        <v>8.0</v>
      </c>
      <c r="O855" s="300" t="s">
        <v>828</v>
      </c>
      <c r="P855" s="300">
        <v>5.0</v>
      </c>
    </row>
    <row r="856">
      <c r="A856">
        <f>IFERROR(__xludf.DUMMYFUNCTION("""COMPUTED_VALUE"""),11.0)</f>
        <v>11</v>
      </c>
      <c r="B856" s="406">
        <f>IFERROR(__xludf.DUMMYFUNCTION("""COMPUTED_VALUE"""),26154.0)</f>
        <v>26154</v>
      </c>
      <c r="C856" t="str">
        <f>IFERROR(__xludf.DUMMYFUNCTION("""COMPUTED_VALUE"""),"GARRIDO TAMAYO, NICOLAS")</f>
        <v>GARRIDO TAMAYO, NICOLAS</v>
      </c>
      <c r="D856" t="str">
        <f>IFERROR(__xludf.DUMMYFUNCTION("""COMPUTED_VALUE"""),"Spanish and Literature 11")</f>
        <v>Spanish and Literature 11</v>
      </c>
      <c r="E856" s="3">
        <f>IFERROR(__xludf.DUMMYFUNCTION("""COMPUTED_VALUE"""),5.0)</f>
        <v>5</v>
      </c>
      <c r="F856" s="300">
        <v>1.0</v>
      </c>
      <c r="G856" s="300">
        <v>1.0</v>
      </c>
      <c r="H856" s="300">
        <v>1.0</v>
      </c>
      <c r="I856" s="300">
        <v>1.0</v>
      </c>
      <c r="J856" s="300">
        <v>1.0</v>
      </c>
      <c r="K856" s="300">
        <v>1.0</v>
      </c>
      <c r="L856" s="300">
        <v>1.0</v>
      </c>
      <c r="M856" s="300">
        <v>1.0</v>
      </c>
      <c r="N856" s="300">
        <v>8.0</v>
      </c>
      <c r="O856" s="300" t="s">
        <v>830</v>
      </c>
      <c r="P856" s="300">
        <v>5.0</v>
      </c>
    </row>
    <row r="857">
      <c r="A857">
        <f>IFERROR(__xludf.DUMMYFUNCTION("""COMPUTED_VALUE"""),11.0)</f>
        <v>11</v>
      </c>
      <c r="B857" s="406">
        <f>IFERROR(__xludf.DUMMYFUNCTION("""COMPUTED_VALUE"""),27040.0)</f>
        <v>27040</v>
      </c>
      <c r="C857" t="str">
        <f>IFERROR(__xludf.DUMMYFUNCTION("""COMPUTED_VALUE"""),"GALLON MUÑOZ, VIOLETA")</f>
        <v>GALLON MUÑOZ, VIOLETA</v>
      </c>
      <c r="D857" t="str">
        <f>IFERROR(__xludf.DUMMYFUNCTION("""COMPUTED_VALUE"""),"Spanish Film, Art, and Literature")</f>
        <v>Spanish Film, Art, and Literature</v>
      </c>
      <c r="E857" s="3">
        <f>IFERROR(__xludf.DUMMYFUNCTION("""COMPUTED_VALUE"""),8.0)</f>
        <v>8</v>
      </c>
      <c r="F857" s="300">
        <v>1.0</v>
      </c>
      <c r="G857" s="300">
        <v>1.0</v>
      </c>
      <c r="H857" s="300">
        <v>1.0</v>
      </c>
      <c r="I857" s="300">
        <v>1.0</v>
      </c>
      <c r="J857" s="300">
        <v>1.0</v>
      </c>
      <c r="K857" s="300">
        <v>1.0</v>
      </c>
      <c r="L857" s="300">
        <v>1.0</v>
      </c>
      <c r="M857" s="300">
        <v>1.0</v>
      </c>
      <c r="N857" s="300">
        <v>8.0</v>
      </c>
      <c r="O857" s="300" t="s">
        <v>824</v>
      </c>
      <c r="P857" s="300">
        <v>2.0</v>
      </c>
    </row>
    <row r="858">
      <c r="A858">
        <f>IFERROR(__xludf.DUMMYFUNCTION("""COMPUTED_VALUE"""),11.0)</f>
        <v>11</v>
      </c>
      <c r="B858" s="406">
        <f>IFERROR(__xludf.DUMMYFUNCTION("""COMPUTED_VALUE"""),27093.0)</f>
        <v>27093</v>
      </c>
      <c r="C858" t="str">
        <f>IFERROR(__xludf.DUMMYFUNCTION("""COMPUTED_VALUE"""),"RADA ECHANDIA, CAMILA")</f>
        <v>RADA ECHANDIA, CAMILA</v>
      </c>
      <c r="D858" t="str">
        <f>IFERROR(__xludf.DUMMYFUNCTION("""COMPUTED_VALUE"""),"Spanish Film, Art, and Literature")</f>
        <v>Spanish Film, Art, and Literature</v>
      </c>
      <c r="E858" s="3">
        <f>IFERROR(__xludf.DUMMYFUNCTION("""COMPUTED_VALUE"""),8.0)</f>
        <v>8</v>
      </c>
      <c r="F858" s="300">
        <v>1.0</v>
      </c>
      <c r="G858" s="300">
        <v>1.0</v>
      </c>
      <c r="H858" s="300">
        <v>1.0</v>
      </c>
      <c r="I858" s="300">
        <v>1.0</v>
      </c>
      <c r="J858" s="300">
        <v>1.0</v>
      </c>
      <c r="K858" s="300">
        <v>1.0</v>
      </c>
      <c r="L858" s="300">
        <v>1.0</v>
      </c>
      <c r="M858" s="300">
        <v>1.0</v>
      </c>
      <c r="N858" s="300">
        <v>8.0</v>
      </c>
      <c r="O858" s="300" t="s">
        <v>824</v>
      </c>
      <c r="P858" s="300">
        <v>2.0</v>
      </c>
    </row>
    <row r="859">
      <c r="A859">
        <f>IFERROR(__xludf.DUMMYFUNCTION("""COMPUTED_VALUE"""),11.0)</f>
        <v>11</v>
      </c>
      <c r="B859" s="406">
        <f>IFERROR(__xludf.DUMMYFUNCTION("""COMPUTED_VALUE"""),27112.0)</f>
        <v>27112</v>
      </c>
      <c r="C859" t="str">
        <f>IFERROR(__xludf.DUMMYFUNCTION("""COMPUTED_VALUE"""),"TOBON RESTREPO, NICOLAS")</f>
        <v>TOBON RESTREPO, NICOLAS</v>
      </c>
      <c r="D859" t="str">
        <f>IFERROR(__xludf.DUMMYFUNCTION("""COMPUTED_VALUE"""),"Spanish and Literature 11")</f>
        <v>Spanish and Literature 11</v>
      </c>
      <c r="E859" s="3">
        <f>IFERROR(__xludf.DUMMYFUNCTION("""COMPUTED_VALUE"""),1.0)</f>
        <v>1</v>
      </c>
      <c r="F859" s="300">
        <v>1.0</v>
      </c>
      <c r="G859" s="300">
        <v>1.0</v>
      </c>
      <c r="H859" s="300">
        <v>1.0</v>
      </c>
      <c r="I859" s="300">
        <v>1.0</v>
      </c>
      <c r="J859" s="300">
        <v>1.0</v>
      </c>
      <c r="K859" s="300">
        <v>1.0</v>
      </c>
      <c r="L859" s="300">
        <v>1.0</v>
      </c>
      <c r="M859" s="300">
        <v>1.0</v>
      </c>
      <c r="N859" s="300">
        <v>8.0</v>
      </c>
      <c r="O859" s="300" t="s">
        <v>827</v>
      </c>
      <c r="P859" s="300">
        <v>5.0</v>
      </c>
    </row>
    <row r="860">
      <c r="A860">
        <f>IFERROR(__xludf.DUMMYFUNCTION("""COMPUTED_VALUE"""),11.0)</f>
        <v>11</v>
      </c>
      <c r="B860" s="406">
        <f>IFERROR(__xludf.DUMMYFUNCTION("""COMPUTED_VALUE"""),27083.0)</f>
        <v>27083</v>
      </c>
      <c r="C860" t="str">
        <f>IFERROR(__xludf.DUMMYFUNCTION("""COMPUTED_VALUE"""),"PALACIO RUIZ, MATIAS")</f>
        <v>PALACIO RUIZ, MATIAS</v>
      </c>
      <c r="D860" t="str">
        <f>IFERROR(__xludf.DUMMYFUNCTION("""COMPUTED_VALUE"""),"Spanish and Literature 11")</f>
        <v>Spanish and Literature 11</v>
      </c>
      <c r="E860" s="3">
        <f>IFERROR(__xludf.DUMMYFUNCTION("""COMPUTED_VALUE"""),6.0)</f>
        <v>6</v>
      </c>
      <c r="F860" s="300">
        <v>1.0</v>
      </c>
      <c r="G860" s="300">
        <v>1.0</v>
      </c>
      <c r="H860" s="300">
        <v>1.0</v>
      </c>
      <c r="I860" s="300">
        <v>1.0</v>
      </c>
      <c r="J860" s="300">
        <v>1.0</v>
      </c>
      <c r="K860" s="300">
        <v>1.0</v>
      </c>
      <c r="L860" s="300">
        <v>1.0</v>
      </c>
      <c r="M860" s="300">
        <v>1.0</v>
      </c>
      <c r="N860" s="300">
        <v>8.0</v>
      </c>
      <c r="O860" s="300" t="s">
        <v>826</v>
      </c>
      <c r="P860" s="300">
        <v>5.0</v>
      </c>
    </row>
    <row r="861">
      <c r="A861">
        <f>IFERROR(__xludf.DUMMYFUNCTION("""COMPUTED_VALUE"""),11.0)</f>
        <v>11</v>
      </c>
      <c r="B861" s="406">
        <f>IFERROR(__xludf.DUMMYFUNCTION("""COMPUTED_VALUE"""),26041.0)</f>
        <v>26041</v>
      </c>
      <c r="C861" t="str">
        <f>IFERROR(__xludf.DUMMYFUNCTION("""COMPUTED_VALUE"""),"GOMEZ VASQUEZ, SOFIA")</f>
        <v>GOMEZ VASQUEZ, SOFIA</v>
      </c>
      <c r="D861" t="str">
        <f>IFERROR(__xludf.DUMMYFUNCTION("""COMPUTED_VALUE"""),"Spanish Film, Art, and Literature")</f>
        <v>Spanish Film, Art, and Literature</v>
      </c>
      <c r="E861" s="3">
        <f>IFERROR(__xludf.DUMMYFUNCTION("""COMPUTED_VALUE"""),5.0)</f>
        <v>5</v>
      </c>
      <c r="F861" s="300">
        <v>1.0</v>
      </c>
      <c r="G861" s="300">
        <v>1.0</v>
      </c>
      <c r="H861" s="300">
        <v>1.0</v>
      </c>
      <c r="I861" s="300">
        <v>1.0</v>
      </c>
      <c r="J861" s="300">
        <v>1.0</v>
      </c>
      <c r="K861" s="300">
        <v>1.0</v>
      </c>
      <c r="L861" s="300">
        <v>1.0</v>
      </c>
      <c r="M861" s="300">
        <v>1.0</v>
      </c>
      <c r="N861" s="300">
        <v>8.0</v>
      </c>
      <c r="O861" s="300" t="s">
        <v>823</v>
      </c>
      <c r="P861" s="300">
        <v>2.0</v>
      </c>
    </row>
    <row r="862">
      <c r="A862">
        <f>IFERROR(__xludf.DUMMYFUNCTION("""COMPUTED_VALUE"""),11.0)</f>
        <v>11</v>
      </c>
      <c r="B862" s="406">
        <f>IFERROR(__xludf.DUMMYFUNCTION("""COMPUTED_VALUE"""),27092.0)</f>
        <v>27092</v>
      </c>
      <c r="C862" t="str">
        <f>IFERROR(__xludf.DUMMYFUNCTION("""COMPUTED_VALUE"""),"PULGARIN HUERTAS, ELOISA")</f>
        <v>PULGARIN HUERTAS, ELOISA</v>
      </c>
      <c r="D862" t="str">
        <f>IFERROR(__xludf.DUMMYFUNCTION("""COMPUTED_VALUE"""),"Spanish Film, Art, and Literature")</f>
        <v>Spanish Film, Art, and Literature</v>
      </c>
      <c r="E862" s="3">
        <f>IFERROR(__xludf.DUMMYFUNCTION("""COMPUTED_VALUE"""),8.0)</f>
        <v>8</v>
      </c>
      <c r="F862" s="300">
        <v>1.0</v>
      </c>
      <c r="G862" s="300">
        <v>1.0</v>
      </c>
      <c r="H862" s="300">
        <v>1.0</v>
      </c>
      <c r="I862" s="300">
        <v>1.0</v>
      </c>
      <c r="J862" s="300">
        <v>1.0</v>
      </c>
      <c r="K862" s="300">
        <v>1.0</v>
      </c>
      <c r="L862" s="300">
        <v>1.0</v>
      </c>
      <c r="M862" s="300">
        <v>1.0</v>
      </c>
      <c r="N862" s="300">
        <v>8.0</v>
      </c>
      <c r="O862" s="300" t="s">
        <v>824</v>
      </c>
      <c r="P862" s="300">
        <v>2.0</v>
      </c>
    </row>
    <row r="863">
      <c r="A863">
        <f>IFERROR(__xludf.DUMMYFUNCTION("""COMPUTED_VALUE"""),11.0)</f>
        <v>11</v>
      </c>
      <c r="B863" s="406">
        <f>IFERROR(__xludf.DUMMYFUNCTION("""COMPUTED_VALUE"""),27055.0)</f>
        <v>27055</v>
      </c>
      <c r="C863" t="str">
        <f>IFERROR(__xludf.DUMMYFUNCTION("""COMPUTED_VALUE"""),"JARAMILLO URIBE, EMILIANO")</f>
        <v>JARAMILLO URIBE, EMILIANO</v>
      </c>
      <c r="D863" t="str">
        <f>IFERROR(__xludf.DUMMYFUNCTION("""COMPUTED_VALUE"""),"Spanish and Literature 11")</f>
        <v>Spanish and Literature 11</v>
      </c>
      <c r="E863" s="3">
        <f>IFERROR(__xludf.DUMMYFUNCTION("""COMPUTED_VALUE"""),5.0)</f>
        <v>5</v>
      </c>
      <c r="F863" s="300">
        <v>1.0</v>
      </c>
      <c r="G863" s="300">
        <v>1.0</v>
      </c>
      <c r="H863" s="300">
        <v>1.0</v>
      </c>
      <c r="I863" s="300">
        <v>1.0</v>
      </c>
      <c r="J863" s="300">
        <v>1.0</v>
      </c>
      <c r="K863" s="300">
        <v>1.0</v>
      </c>
      <c r="L863" s="300">
        <v>1.0</v>
      </c>
      <c r="M863" s="300">
        <v>1.0</v>
      </c>
      <c r="N863" s="300">
        <v>8.0</v>
      </c>
      <c r="O863" s="300" t="s">
        <v>830</v>
      </c>
      <c r="P863" s="300">
        <v>5.0</v>
      </c>
    </row>
    <row r="864">
      <c r="A864">
        <f>IFERROR(__xludf.DUMMYFUNCTION("""COMPUTED_VALUE"""),11.0)</f>
        <v>11</v>
      </c>
      <c r="B864">
        <f>IFERROR(__xludf.DUMMYFUNCTION("""COMPUTED_VALUE"""),27162.0)</f>
        <v>27162</v>
      </c>
      <c r="C864" t="str">
        <f>IFERROR(__xludf.DUMMYFUNCTION("""COMPUTED_VALUE"""),"SUTTON ROITER, JACQUES")</f>
        <v>SUTTON ROITER, JACQUES</v>
      </c>
      <c r="D864" t="str">
        <f>IFERROR(__xludf.DUMMYFUNCTION("""COMPUTED_VALUE"""),"Spanish and Literature 11")</f>
        <v>Spanish and Literature 11</v>
      </c>
      <c r="E864" s="3">
        <f>IFERROR(__xludf.DUMMYFUNCTION("""COMPUTED_VALUE"""),6.0)</f>
        <v>6</v>
      </c>
      <c r="F864" s="300">
        <v>1.0</v>
      </c>
      <c r="G864" s="300">
        <v>1.0</v>
      </c>
      <c r="H864" s="300">
        <v>1.0</v>
      </c>
      <c r="I864" s="300">
        <v>1.0</v>
      </c>
      <c r="J864" s="300">
        <v>1.0</v>
      </c>
      <c r="K864" s="300">
        <v>1.0</v>
      </c>
      <c r="L864" s="300">
        <v>1.0</v>
      </c>
      <c r="M864" s="300">
        <v>1.0</v>
      </c>
      <c r="N864" s="300">
        <v>8.0</v>
      </c>
      <c r="O864" s="300" t="s">
        <v>826</v>
      </c>
      <c r="P864" s="300">
        <v>5.0</v>
      </c>
    </row>
    <row r="865">
      <c r="A865">
        <f>IFERROR(__xludf.DUMMYFUNCTION("""COMPUTED_VALUE"""),11.0)</f>
        <v>11</v>
      </c>
      <c r="B865">
        <f>IFERROR(__xludf.DUMMYFUNCTION("""COMPUTED_VALUE"""),27090.0)</f>
        <v>27090</v>
      </c>
      <c r="C865" t="str">
        <f>IFERROR(__xludf.DUMMYFUNCTION("""COMPUTED_VALUE"""),"PERTUZ MUNERA, LUCIANA")</f>
        <v>PERTUZ MUNERA, LUCIANA</v>
      </c>
      <c r="D865" t="str">
        <f>IFERROR(__xludf.DUMMYFUNCTION("""COMPUTED_VALUE"""),"Spanish and Literature 11")</f>
        <v>Spanish and Literature 11</v>
      </c>
      <c r="E865" s="3">
        <f>IFERROR(__xludf.DUMMYFUNCTION("""COMPUTED_VALUE"""),3.0)</f>
        <v>3</v>
      </c>
      <c r="F865" s="300">
        <v>1.0</v>
      </c>
      <c r="G865" s="300">
        <v>1.0</v>
      </c>
      <c r="H865" s="300">
        <v>1.0</v>
      </c>
      <c r="I865" s="300">
        <v>1.0</v>
      </c>
      <c r="J865" s="300">
        <v>1.0</v>
      </c>
      <c r="K865" s="300">
        <v>1.0</v>
      </c>
      <c r="L865" s="300">
        <v>1.0</v>
      </c>
      <c r="M865" s="300">
        <v>1.0</v>
      </c>
      <c r="N865" s="300">
        <v>8.0</v>
      </c>
      <c r="O865" s="300" t="s">
        <v>828</v>
      </c>
      <c r="P865" s="300">
        <v>5.0</v>
      </c>
    </row>
    <row r="866">
      <c r="A866">
        <f>IFERROR(__xludf.DUMMYFUNCTION("""COMPUTED_VALUE"""),11.0)</f>
        <v>11</v>
      </c>
      <c r="B866">
        <f>IFERROR(__xludf.DUMMYFUNCTION("""COMPUTED_VALUE"""),27120.0)</f>
        <v>27120</v>
      </c>
      <c r="C866" t="str">
        <f>IFERROR(__xludf.DUMMYFUNCTION("""COMPUTED_VALUE"""),"VARGAS ARBOLEDA, AMALIA")</f>
        <v>VARGAS ARBOLEDA, AMALIA</v>
      </c>
      <c r="D866" t="str">
        <f>IFERROR(__xludf.DUMMYFUNCTION("""COMPUTED_VALUE"""),"Spanish Film, Art, and Literature")</f>
        <v>Spanish Film, Art, and Literature</v>
      </c>
      <c r="E866" s="3">
        <f>IFERROR(__xludf.DUMMYFUNCTION("""COMPUTED_VALUE"""),5.0)</f>
        <v>5</v>
      </c>
      <c r="F866" s="300">
        <v>1.0</v>
      </c>
      <c r="G866" s="300">
        <v>1.0</v>
      </c>
      <c r="H866" s="300">
        <v>1.0</v>
      </c>
      <c r="I866" s="300">
        <v>1.0</v>
      </c>
      <c r="J866" s="300">
        <v>1.0</v>
      </c>
      <c r="K866" s="300">
        <v>1.0</v>
      </c>
      <c r="L866" s="300">
        <v>1.0</v>
      </c>
      <c r="M866" s="300">
        <v>1.0</v>
      </c>
      <c r="N866" s="300">
        <v>8.0</v>
      </c>
      <c r="O866" s="300" t="s">
        <v>823</v>
      </c>
      <c r="P866" s="300">
        <v>2.0</v>
      </c>
    </row>
    <row r="867">
      <c r="A867">
        <f>IFERROR(__xludf.DUMMYFUNCTION("""COMPUTED_VALUE"""),11.0)</f>
        <v>11</v>
      </c>
      <c r="B867">
        <f>IFERROR(__xludf.DUMMYFUNCTION("""COMPUTED_VALUE"""),27103.0)</f>
        <v>27103</v>
      </c>
      <c r="C867" t="str">
        <f>IFERROR(__xludf.DUMMYFUNCTION("""COMPUTED_VALUE"""),"SANCHEZ DIAZ, TOMAS")</f>
        <v>SANCHEZ DIAZ, TOMAS</v>
      </c>
      <c r="D867" t="str">
        <f>IFERROR(__xludf.DUMMYFUNCTION("""COMPUTED_VALUE"""),"Spanish and Literature 11")</f>
        <v>Spanish and Literature 11</v>
      </c>
      <c r="E867" s="3">
        <f>IFERROR(__xludf.DUMMYFUNCTION("""COMPUTED_VALUE"""),5.0)</f>
        <v>5</v>
      </c>
      <c r="F867" s="300">
        <v>1.0</v>
      </c>
      <c r="G867" s="300">
        <v>1.0</v>
      </c>
      <c r="H867" s="300">
        <v>1.0</v>
      </c>
      <c r="I867" s="300">
        <v>1.0</v>
      </c>
      <c r="J867" s="300">
        <v>1.0</v>
      </c>
      <c r="K867" s="300">
        <v>1.0</v>
      </c>
      <c r="L867" s="300">
        <v>1.0</v>
      </c>
      <c r="M867" s="300">
        <v>1.0</v>
      </c>
      <c r="N867" s="300">
        <v>8.0</v>
      </c>
      <c r="O867" s="300" t="s">
        <v>830</v>
      </c>
      <c r="P867" s="300">
        <v>5.0</v>
      </c>
    </row>
    <row r="868">
      <c r="A868">
        <f>IFERROR(__xludf.DUMMYFUNCTION("""COMPUTED_VALUE"""),11.0)</f>
        <v>11</v>
      </c>
      <c r="B868">
        <f>IFERROR(__xludf.DUMMYFUNCTION("""COMPUTED_VALUE"""),27003.0)</f>
        <v>27003</v>
      </c>
      <c r="C868" t="str">
        <f>IFERROR(__xludf.DUMMYFUNCTION("""COMPUTED_VALUE"""),"ANGEL GIRALDO, DANIELA")</f>
        <v>ANGEL GIRALDO, DANIELA</v>
      </c>
      <c r="D868" t="str">
        <f>IFERROR(__xludf.DUMMYFUNCTION("""COMPUTED_VALUE"""),"Spanish and Literature 11")</f>
        <v>Spanish and Literature 11</v>
      </c>
      <c r="E868" s="3">
        <f>IFERROR(__xludf.DUMMYFUNCTION("""COMPUTED_VALUE"""),1.0)</f>
        <v>1</v>
      </c>
      <c r="F868" s="300">
        <v>1.0</v>
      </c>
      <c r="G868" s="300">
        <v>1.0</v>
      </c>
      <c r="H868" s="300">
        <v>1.0</v>
      </c>
      <c r="I868" s="300">
        <v>1.0</v>
      </c>
      <c r="J868" s="300">
        <v>1.0</v>
      </c>
      <c r="K868" s="300">
        <v>1.0</v>
      </c>
      <c r="L868" s="300">
        <v>1.0</v>
      </c>
      <c r="M868" s="300">
        <v>1.0</v>
      </c>
      <c r="N868" s="300">
        <v>8.0</v>
      </c>
      <c r="O868" s="300" t="s">
        <v>827</v>
      </c>
      <c r="P868" s="300">
        <v>5.0</v>
      </c>
    </row>
    <row r="869">
      <c r="A869">
        <f>IFERROR(__xludf.DUMMYFUNCTION("""COMPUTED_VALUE"""),11.0)</f>
        <v>11</v>
      </c>
      <c r="B869">
        <f>IFERROR(__xludf.DUMMYFUNCTION("""COMPUTED_VALUE"""),27061.0)</f>
        <v>27061</v>
      </c>
      <c r="C869" t="str">
        <f>IFERROR(__xludf.DUMMYFUNCTION("""COMPUTED_VALUE"""),"MANTILLA LONDOÑO, EMILIO")</f>
        <v>MANTILLA LONDOÑO, EMILIO</v>
      </c>
      <c r="D869" t="str">
        <f>IFERROR(__xludf.DUMMYFUNCTION("""COMPUTED_VALUE"""),"Spanish and Literature 11")</f>
        <v>Spanish and Literature 11</v>
      </c>
      <c r="E869" s="3">
        <f>IFERROR(__xludf.DUMMYFUNCTION("""COMPUTED_VALUE"""),3.0)</f>
        <v>3</v>
      </c>
      <c r="F869" s="300">
        <v>1.0</v>
      </c>
      <c r="G869" s="300">
        <v>1.0</v>
      </c>
      <c r="H869" s="300">
        <v>1.0</v>
      </c>
      <c r="I869" s="300">
        <v>1.0</v>
      </c>
      <c r="J869" s="300">
        <v>1.0</v>
      </c>
      <c r="K869" s="300">
        <v>1.0</v>
      </c>
      <c r="L869" s="300">
        <v>1.0</v>
      </c>
      <c r="M869" s="300">
        <v>1.0</v>
      </c>
      <c r="N869" s="300">
        <v>8.0</v>
      </c>
      <c r="O869" s="300" t="s">
        <v>828</v>
      </c>
      <c r="P869" s="300">
        <v>5.0</v>
      </c>
    </row>
    <row r="870">
      <c r="A870">
        <f>IFERROR(__xludf.DUMMYFUNCTION("""COMPUTED_VALUE"""),11.0)</f>
        <v>11</v>
      </c>
      <c r="B870">
        <f>IFERROR(__xludf.DUMMYFUNCTION("""COMPUTED_VALUE"""),27028.0)</f>
        <v>27028</v>
      </c>
      <c r="C870" t="str">
        <f>IFERROR(__xludf.DUMMYFUNCTION("""COMPUTED_VALUE"""),"DUQUE LUENGAS, CAROLINA")</f>
        <v>DUQUE LUENGAS, CAROLINA</v>
      </c>
      <c r="D870" t="str">
        <f>IFERROR(__xludf.DUMMYFUNCTION("""COMPUTED_VALUE"""),"Spanish and Literature 11")</f>
        <v>Spanish and Literature 11</v>
      </c>
      <c r="E870" s="3">
        <f>IFERROR(__xludf.DUMMYFUNCTION("""COMPUTED_VALUE"""),4.0)</f>
        <v>4</v>
      </c>
      <c r="F870" s="300">
        <v>1.0</v>
      </c>
      <c r="G870" s="300">
        <v>1.0</v>
      </c>
      <c r="H870" s="300">
        <v>1.0</v>
      </c>
      <c r="I870" s="300">
        <v>1.0</v>
      </c>
      <c r="J870" s="300">
        <v>1.0</v>
      </c>
      <c r="K870" s="300">
        <v>1.0</v>
      </c>
      <c r="L870" s="300">
        <v>1.0</v>
      </c>
      <c r="M870" s="300">
        <v>1.0</v>
      </c>
      <c r="N870" s="300">
        <v>8.0</v>
      </c>
      <c r="O870" s="300" t="s">
        <v>829</v>
      </c>
      <c r="P870" s="300">
        <v>5.0</v>
      </c>
    </row>
    <row r="871">
      <c r="A871">
        <f>IFERROR(__xludf.DUMMYFUNCTION("""COMPUTED_VALUE"""),11.0)</f>
        <v>11</v>
      </c>
      <c r="B871">
        <f>IFERROR(__xludf.DUMMYFUNCTION("""COMPUTED_VALUE"""),27097.0)</f>
        <v>27097</v>
      </c>
      <c r="C871" t="str">
        <f>IFERROR(__xludf.DUMMYFUNCTION("""COMPUTED_VALUE"""),"ROBLEDO BETANCOURTH, JUAN FELIPE")</f>
        <v>ROBLEDO BETANCOURTH, JUAN FELIPE</v>
      </c>
      <c r="D871" t="str">
        <f>IFERROR(__xludf.DUMMYFUNCTION("""COMPUTED_VALUE"""),"Spanish and Literature 11")</f>
        <v>Spanish and Literature 11</v>
      </c>
      <c r="E871" s="3">
        <f>IFERROR(__xludf.DUMMYFUNCTION("""COMPUTED_VALUE"""),1.0)</f>
        <v>1</v>
      </c>
      <c r="F871" s="300">
        <v>1.0</v>
      </c>
      <c r="G871" s="300">
        <v>1.0</v>
      </c>
      <c r="H871" s="300">
        <v>1.0</v>
      </c>
      <c r="I871" s="300">
        <v>1.0</v>
      </c>
      <c r="J871" s="300">
        <v>1.0</v>
      </c>
      <c r="K871" s="300">
        <v>1.0</v>
      </c>
      <c r="L871" s="300">
        <v>1.0</v>
      </c>
      <c r="M871" s="300">
        <v>1.0</v>
      </c>
      <c r="N871" s="300">
        <v>8.0</v>
      </c>
      <c r="O871" s="300" t="s">
        <v>827</v>
      </c>
      <c r="P871" s="300">
        <v>5.0</v>
      </c>
    </row>
    <row r="872">
      <c r="A872">
        <f>IFERROR(__xludf.DUMMYFUNCTION("""COMPUTED_VALUE"""),11.0)</f>
        <v>11</v>
      </c>
      <c r="B872">
        <f>IFERROR(__xludf.DUMMYFUNCTION("""COMPUTED_VALUE"""),27116.0)</f>
        <v>27116</v>
      </c>
      <c r="C872" t="str">
        <f>IFERROR(__xludf.DUMMYFUNCTION("""COMPUTED_VALUE"""),"TRUJILLO CHICA, MANUELA")</f>
        <v>TRUJILLO CHICA, MANUELA</v>
      </c>
      <c r="D872" t="str">
        <f>IFERROR(__xludf.DUMMYFUNCTION("""COMPUTED_VALUE"""),"Spanish Film, Art, and Literature")</f>
        <v>Spanish Film, Art, and Literature</v>
      </c>
      <c r="E872" s="3">
        <f>IFERROR(__xludf.DUMMYFUNCTION("""COMPUTED_VALUE"""),5.0)</f>
        <v>5</v>
      </c>
      <c r="F872" s="300">
        <v>1.0</v>
      </c>
      <c r="G872" s="300">
        <v>1.0</v>
      </c>
      <c r="H872" s="300">
        <v>1.0</v>
      </c>
      <c r="I872" s="300">
        <v>1.0</v>
      </c>
      <c r="J872" s="300">
        <v>1.0</v>
      </c>
      <c r="K872" s="300">
        <v>1.0</v>
      </c>
      <c r="L872" s="300">
        <v>1.0</v>
      </c>
      <c r="M872" s="300">
        <v>1.0</v>
      </c>
      <c r="N872" s="300">
        <v>8.0</v>
      </c>
      <c r="O872" s="300" t="s">
        <v>823</v>
      </c>
      <c r="P872" s="300">
        <v>2.0</v>
      </c>
    </row>
    <row r="873">
      <c r="A873">
        <f>IFERROR(__xludf.DUMMYFUNCTION("""COMPUTED_VALUE"""),11.0)</f>
        <v>11</v>
      </c>
      <c r="B873">
        <f>IFERROR(__xludf.DUMMYFUNCTION("""COMPUTED_VALUE"""),27019.0)</f>
        <v>27019</v>
      </c>
      <c r="C873" t="str">
        <f>IFERROR(__xludf.DUMMYFUNCTION("""COMPUTED_VALUE"""),"BOTERO ESCOBAR, PEDRO")</f>
        <v>BOTERO ESCOBAR, PEDRO</v>
      </c>
      <c r="D873" t="str">
        <f>IFERROR(__xludf.DUMMYFUNCTION("""COMPUTED_VALUE"""),"Spanish and Literature 11")</f>
        <v>Spanish and Literature 11</v>
      </c>
      <c r="E873" s="3">
        <f>IFERROR(__xludf.DUMMYFUNCTION("""COMPUTED_VALUE"""),5.0)</f>
        <v>5</v>
      </c>
      <c r="F873" s="300">
        <v>1.0</v>
      </c>
      <c r="G873" s="300">
        <v>1.0</v>
      </c>
      <c r="H873" s="300">
        <v>1.0</v>
      </c>
      <c r="I873" s="300">
        <v>1.0</v>
      </c>
      <c r="J873" s="300">
        <v>1.0</v>
      </c>
      <c r="K873" s="300">
        <v>1.0</v>
      </c>
      <c r="L873" s="300">
        <v>1.0</v>
      </c>
      <c r="M873" s="300">
        <v>1.0</v>
      </c>
      <c r="N873" s="300">
        <v>8.0</v>
      </c>
      <c r="O873" s="300" t="s">
        <v>830</v>
      </c>
      <c r="P873" s="300">
        <v>5.0</v>
      </c>
    </row>
    <row r="874">
      <c r="A874">
        <f>IFERROR(__xludf.DUMMYFUNCTION("""COMPUTED_VALUE"""),11.0)</f>
        <v>11</v>
      </c>
      <c r="B874">
        <f>IFERROR(__xludf.DUMMYFUNCTION("""COMPUTED_VALUE"""),27052.0)</f>
        <v>27052</v>
      </c>
      <c r="C874" t="str">
        <f>IFERROR(__xludf.DUMMYFUNCTION("""COMPUTED_VALUE"""),"JARAMILLO CADAVID, GABRIEL")</f>
        <v>JARAMILLO CADAVID, GABRIEL</v>
      </c>
      <c r="D874" t="str">
        <f>IFERROR(__xludf.DUMMYFUNCTION("""COMPUTED_VALUE"""),"Spanish and Literature 11")</f>
        <v>Spanish and Literature 11</v>
      </c>
      <c r="E874" s="3">
        <f>IFERROR(__xludf.DUMMYFUNCTION("""COMPUTED_VALUE"""),5.0)</f>
        <v>5</v>
      </c>
      <c r="F874" s="300">
        <v>1.0</v>
      </c>
      <c r="G874" s="300">
        <v>1.0</v>
      </c>
      <c r="H874" s="300">
        <v>1.0</v>
      </c>
      <c r="I874" s="300">
        <v>1.0</v>
      </c>
      <c r="J874" s="300">
        <v>1.0</v>
      </c>
      <c r="K874" s="300">
        <v>1.0</v>
      </c>
      <c r="L874" s="300">
        <v>1.0</v>
      </c>
      <c r="M874" s="300">
        <v>1.0</v>
      </c>
      <c r="N874" s="300">
        <v>8.0</v>
      </c>
      <c r="O874" s="300" t="s">
        <v>830</v>
      </c>
      <c r="P874" s="300">
        <v>5.0</v>
      </c>
    </row>
    <row r="875">
      <c r="A875">
        <f>IFERROR(__xludf.DUMMYFUNCTION("""COMPUTED_VALUE"""),11.0)</f>
        <v>11</v>
      </c>
      <c r="B875">
        <f>IFERROR(__xludf.DUMMYFUNCTION("""COMPUTED_VALUE"""),27027.0)</f>
        <v>27027</v>
      </c>
      <c r="C875" t="str">
        <f>IFERROR(__xludf.DUMMYFUNCTION("""COMPUTED_VALUE"""),"DUQUE LOTERO, GREGORIO")</f>
        <v>DUQUE LOTERO, GREGORIO</v>
      </c>
      <c r="D875" t="str">
        <f>IFERROR(__xludf.DUMMYFUNCTION("""COMPUTED_VALUE"""),"Spanish and Literature 11")</f>
        <v>Spanish and Literature 11</v>
      </c>
      <c r="E875" s="3">
        <f>IFERROR(__xludf.DUMMYFUNCTION("""COMPUTED_VALUE"""),5.0)</f>
        <v>5</v>
      </c>
      <c r="F875" s="300">
        <v>1.0</v>
      </c>
      <c r="G875" s="300">
        <v>1.0</v>
      </c>
      <c r="H875" s="300">
        <v>1.0</v>
      </c>
      <c r="I875" s="300">
        <v>1.0</v>
      </c>
      <c r="J875" s="300">
        <v>1.0</v>
      </c>
      <c r="K875" s="300">
        <v>1.0</v>
      </c>
      <c r="L875" s="300">
        <v>1.0</v>
      </c>
      <c r="M875" s="300">
        <v>1.0</v>
      </c>
      <c r="N875" s="300">
        <v>8.0</v>
      </c>
      <c r="O875" s="300" t="s">
        <v>830</v>
      </c>
      <c r="P875" s="300">
        <v>5.0</v>
      </c>
    </row>
    <row r="876">
      <c r="A876">
        <f>IFERROR(__xludf.DUMMYFUNCTION("""COMPUTED_VALUE"""),11.0)</f>
        <v>11</v>
      </c>
      <c r="B876">
        <f>IFERROR(__xludf.DUMMYFUNCTION("""COMPUTED_VALUE"""),27110.0)</f>
        <v>27110</v>
      </c>
      <c r="C876" t="str">
        <f>IFERROR(__xludf.DUMMYFUNCTION("""COMPUTED_VALUE"""),"TABARES MORENO, PABLO ANDRES")</f>
        <v>TABARES MORENO, PABLO ANDRES</v>
      </c>
      <c r="D876" t="str">
        <f>IFERROR(__xludf.DUMMYFUNCTION("""COMPUTED_VALUE"""),"Spanish and Literature 11")</f>
        <v>Spanish and Literature 11</v>
      </c>
      <c r="E876" s="3">
        <f>IFERROR(__xludf.DUMMYFUNCTION("""COMPUTED_VALUE"""),3.0)</f>
        <v>3</v>
      </c>
      <c r="F876" s="300">
        <v>1.0</v>
      </c>
      <c r="G876" s="300">
        <v>1.0</v>
      </c>
      <c r="H876" s="300">
        <v>1.0</v>
      </c>
      <c r="I876" s="300">
        <v>1.0</v>
      </c>
      <c r="J876" s="300">
        <v>1.0</v>
      </c>
      <c r="K876" s="300">
        <v>1.0</v>
      </c>
      <c r="L876" s="300">
        <v>1.0</v>
      </c>
      <c r="M876" s="300">
        <v>1.0</v>
      </c>
      <c r="N876" s="300">
        <v>8.0</v>
      </c>
      <c r="O876" s="300" t="s">
        <v>828</v>
      </c>
      <c r="P876" s="300">
        <v>5.0</v>
      </c>
    </row>
    <row r="877">
      <c r="A877">
        <f>IFERROR(__xludf.DUMMYFUNCTION("""COMPUTED_VALUE"""),11.0)</f>
        <v>11</v>
      </c>
      <c r="B877">
        <f>IFERROR(__xludf.DUMMYFUNCTION("""COMPUTED_VALUE"""),27026.0)</f>
        <v>27026</v>
      </c>
      <c r="C877" t="str">
        <f>IFERROR(__xludf.DUMMYFUNCTION("""COMPUTED_VALUE"""),"CORREA MEJIA, AMALIA")</f>
        <v>CORREA MEJIA, AMALIA</v>
      </c>
      <c r="D877" t="str">
        <f>IFERROR(__xludf.DUMMYFUNCTION("""COMPUTED_VALUE"""),"Spanish and Literature 11")</f>
        <v>Spanish and Literature 11</v>
      </c>
      <c r="E877" s="3">
        <f>IFERROR(__xludf.DUMMYFUNCTION("""COMPUTED_VALUE"""),6.0)</f>
        <v>6</v>
      </c>
      <c r="F877" s="300">
        <v>1.0</v>
      </c>
      <c r="G877" s="300">
        <v>1.0</v>
      </c>
      <c r="H877" s="300">
        <v>1.0</v>
      </c>
      <c r="I877" s="300">
        <v>1.0</v>
      </c>
      <c r="J877" s="300">
        <v>1.0</v>
      </c>
      <c r="K877" s="300">
        <v>1.0</v>
      </c>
      <c r="L877" s="300">
        <v>1.0</v>
      </c>
      <c r="M877" s="300">
        <v>1.0</v>
      </c>
      <c r="N877" s="300">
        <v>8.0</v>
      </c>
      <c r="O877" s="300" t="s">
        <v>826</v>
      </c>
      <c r="P877" s="300">
        <v>5.0</v>
      </c>
    </row>
    <row r="878">
      <c r="A878">
        <f>IFERROR(__xludf.DUMMYFUNCTION("""COMPUTED_VALUE"""),11.0)</f>
        <v>11</v>
      </c>
      <c r="B878">
        <f>IFERROR(__xludf.DUMMYFUNCTION("""COMPUTED_VALUE"""),27079.0)</f>
        <v>27079</v>
      </c>
      <c r="C878" t="str">
        <f>IFERROR(__xludf.DUMMYFUNCTION("""COMPUTED_VALUE"""),"ORTEGA TOBON, ESTEBAN")</f>
        <v>ORTEGA TOBON, ESTEBAN</v>
      </c>
      <c r="D878" t="str">
        <f>IFERROR(__xludf.DUMMYFUNCTION("""COMPUTED_VALUE"""),"Spanish and Literature 11")</f>
        <v>Spanish and Literature 11</v>
      </c>
      <c r="E878" s="3">
        <f>IFERROR(__xludf.DUMMYFUNCTION("""COMPUTED_VALUE"""),3.0)</f>
        <v>3</v>
      </c>
      <c r="F878" s="300">
        <v>1.0</v>
      </c>
      <c r="G878" s="300">
        <v>1.0</v>
      </c>
      <c r="H878" s="300">
        <v>1.0</v>
      </c>
      <c r="I878" s="300">
        <v>1.0</v>
      </c>
      <c r="J878" s="300">
        <v>1.0</v>
      </c>
      <c r="K878" s="300">
        <v>1.0</v>
      </c>
      <c r="L878" s="300">
        <v>1.0</v>
      </c>
      <c r="M878" s="300">
        <v>1.0</v>
      </c>
      <c r="N878" s="300">
        <v>8.0</v>
      </c>
      <c r="O878" s="300" t="s">
        <v>828</v>
      </c>
      <c r="P878" s="300">
        <v>5.0</v>
      </c>
    </row>
    <row r="879">
      <c r="A879">
        <f>IFERROR(__xludf.DUMMYFUNCTION("""COMPUTED_VALUE"""),11.0)</f>
        <v>11</v>
      </c>
      <c r="B879">
        <f>IFERROR(__xludf.DUMMYFUNCTION("""COMPUTED_VALUE"""),27032.0)</f>
        <v>27032</v>
      </c>
      <c r="C879" t="str">
        <f>IFERROR(__xludf.DUMMYFUNCTION("""COMPUTED_VALUE"""),"ECHEVERRI ZAPATA, MATIAS")</f>
        <v>ECHEVERRI ZAPATA, MATIAS</v>
      </c>
      <c r="D879" t="str">
        <f>IFERROR(__xludf.DUMMYFUNCTION("""COMPUTED_VALUE"""),"AP Spanish Literature and Culture")</f>
        <v>AP Spanish Literature and Culture</v>
      </c>
      <c r="E879" s="3">
        <f>IFERROR(__xludf.DUMMYFUNCTION("""COMPUTED_VALUE"""),8.0)</f>
        <v>8</v>
      </c>
      <c r="F879" s="300">
        <v>1.0</v>
      </c>
      <c r="G879" s="300">
        <v>1.0</v>
      </c>
      <c r="H879" s="300">
        <v>1.0</v>
      </c>
      <c r="I879" s="300">
        <v>1.0</v>
      </c>
      <c r="J879" s="300">
        <v>1.0</v>
      </c>
      <c r="K879" s="300">
        <v>1.0</v>
      </c>
      <c r="L879" s="300">
        <v>1.0</v>
      </c>
      <c r="M879" s="300">
        <v>1.0</v>
      </c>
      <c r="N879" s="300">
        <v>8.0</v>
      </c>
      <c r="O879" s="300" t="s">
        <v>825</v>
      </c>
      <c r="P879" s="300">
        <v>1.0</v>
      </c>
    </row>
    <row r="880">
      <c r="A880">
        <f>IFERROR(__xludf.DUMMYFUNCTION("""COMPUTED_VALUE"""),11.0)</f>
        <v>11</v>
      </c>
      <c r="B880">
        <f>IFERROR(__xludf.DUMMYFUNCTION("""COMPUTED_VALUE"""),27174.0)</f>
        <v>27174</v>
      </c>
      <c r="C880" t="str">
        <f>IFERROR(__xludf.DUMMYFUNCTION("""COMPUTED_VALUE"""),"GAITAN, LUCIA")</f>
        <v>GAITAN, LUCIA</v>
      </c>
      <c r="D880" t="str">
        <f>IFERROR(__xludf.DUMMYFUNCTION("""COMPUTED_VALUE"""),"Spanish Film, Art, and Literature")</f>
        <v>Spanish Film, Art, and Literature</v>
      </c>
      <c r="E880" s="3">
        <f>IFERROR(__xludf.DUMMYFUNCTION("""COMPUTED_VALUE"""),8.0)</f>
        <v>8</v>
      </c>
      <c r="F880" s="300">
        <v>1.0</v>
      </c>
      <c r="G880" s="300">
        <v>1.0</v>
      </c>
      <c r="H880" s="300">
        <v>1.0</v>
      </c>
      <c r="I880" s="300">
        <v>1.0</v>
      </c>
      <c r="J880" s="300">
        <v>1.0</v>
      </c>
      <c r="K880" s="300">
        <v>1.0</v>
      </c>
      <c r="L880" s="300">
        <v>1.0</v>
      </c>
      <c r="M880" s="300">
        <v>1.0</v>
      </c>
      <c r="N880" s="300">
        <v>8.0</v>
      </c>
      <c r="O880" s="300" t="s">
        <v>824</v>
      </c>
      <c r="P880" s="300">
        <v>2.0</v>
      </c>
    </row>
    <row r="881">
      <c r="A881">
        <f>IFERROR(__xludf.DUMMYFUNCTION("""COMPUTED_VALUE"""),11.0)</f>
        <v>11</v>
      </c>
      <c r="B881">
        <f>IFERROR(__xludf.DUMMYFUNCTION("""COMPUTED_VALUE"""),27108.0)</f>
        <v>27108</v>
      </c>
      <c r="C881" t="str">
        <f>IFERROR(__xludf.DUMMYFUNCTION("""COMPUTED_VALUE"""),"SANTAMARIA VILLA, MARCO")</f>
        <v>SANTAMARIA VILLA, MARCO</v>
      </c>
      <c r="D881" t="str">
        <f>IFERROR(__xludf.DUMMYFUNCTION("""COMPUTED_VALUE"""),"Spanish and Literature 11")</f>
        <v>Spanish and Literature 11</v>
      </c>
      <c r="E881" s="3">
        <f>IFERROR(__xludf.DUMMYFUNCTION("""COMPUTED_VALUE"""),3.0)</f>
        <v>3</v>
      </c>
      <c r="F881" s="300">
        <v>1.0</v>
      </c>
      <c r="G881" s="300">
        <v>1.0</v>
      </c>
      <c r="H881" s="300">
        <v>1.0</v>
      </c>
      <c r="I881" s="300">
        <v>1.0</v>
      </c>
      <c r="J881" s="300">
        <v>1.0</v>
      </c>
      <c r="K881" s="300">
        <v>1.0</v>
      </c>
      <c r="L881" s="300">
        <v>1.0</v>
      </c>
      <c r="M881" s="300">
        <v>1.0</v>
      </c>
      <c r="N881" s="300">
        <v>8.0</v>
      </c>
      <c r="O881" s="300" t="s">
        <v>828</v>
      </c>
      <c r="P881" s="300">
        <v>5.0</v>
      </c>
    </row>
    <row r="882">
      <c r="A882">
        <f>IFERROR(__xludf.DUMMYFUNCTION("""COMPUTED_VALUE"""),11.0)</f>
        <v>11</v>
      </c>
      <c r="B882">
        <f>IFERROR(__xludf.DUMMYFUNCTION("""COMPUTED_VALUE"""),27010.0)</f>
        <v>27010</v>
      </c>
      <c r="C882" t="str">
        <f>IFERROR(__xludf.DUMMYFUNCTION("""COMPUTED_VALUE"""),"ARRUBLA OSPINA, MANOLO")</f>
        <v>ARRUBLA OSPINA, MANOLO</v>
      </c>
      <c r="D882" t="str">
        <f>IFERROR(__xludf.DUMMYFUNCTION("""COMPUTED_VALUE"""),"Spanish and Literature 11")</f>
        <v>Spanish and Literature 11</v>
      </c>
      <c r="E882" s="3">
        <f>IFERROR(__xludf.DUMMYFUNCTION("""COMPUTED_VALUE"""),5.0)</f>
        <v>5</v>
      </c>
      <c r="F882" s="300">
        <v>1.0</v>
      </c>
      <c r="G882" s="300">
        <v>1.0</v>
      </c>
      <c r="H882" s="300">
        <v>1.0</v>
      </c>
      <c r="I882" s="300">
        <v>1.0</v>
      </c>
      <c r="J882" s="300">
        <v>1.0</v>
      </c>
      <c r="K882" s="300">
        <v>1.0</v>
      </c>
      <c r="L882" s="300">
        <v>1.0</v>
      </c>
      <c r="M882" s="300">
        <v>1.0</v>
      </c>
      <c r="N882" s="300">
        <v>8.0</v>
      </c>
      <c r="O882" s="300" t="s">
        <v>830</v>
      </c>
      <c r="P882" s="300">
        <v>5.0</v>
      </c>
    </row>
    <row r="883">
      <c r="A883">
        <f>IFERROR(__xludf.DUMMYFUNCTION("""COMPUTED_VALUE"""),11.0)</f>
        <v>11</v>
      </c>
      <c r="B883">
        <f>IFERROR(__xludf.DUMMYFUNCTION("""COMPUTED_VALUE"""),27163.0)</f>
        <v>27163</v>
      </c>
      <c r="C883" t="str">
        <f>IFERROR(__xludf.DUMMYFUNCTION("""COMPUTED_VALUE"""),"NIEHAUS TRUJILLO, ARIANNA DE LOS ANGELES")</f>
        <v>NIEHAUS TRUJILLO, ARIANNA DE LOS ANGELES</v>
      </c>
      <c r="D883" t="str">
        <f>IFERROR(__xludf.DUMMYFUNCTION("""COMPUTED_VALUE"""),"Spanish and Literature 11")</f>
        <v>Spanish and Literature 11</v>
      </c>
      <c r="E883" s="3">
        <f>IFERROR(__xludf.DUMMYFUNCTION("""COMPUTED_VALUE"""),3.0)</f>
        <v>3</v>
      </c>
      <c r="F883" s="300">
        <v>1.0</v>
      </c>
      <c r="G883" s="300">
        <v>1.0</v>
      </c>
      <c r="H883" s="300">
        <v>1.0</v>
      </c>
      <c r="I883" s="300">
        <v>1.0</v>
      </c>
      <c r="J883" s="300">
        <v>1.0</v>
      </c>
      <c r="K883" s="300">
        <v>1.0</v>
      </c>
      <c r="L883" s="300">
        <v>1.0</v>
      </c>
      <c r="M883" s="300">
        <v>1.0</v>
      </c>
      <c r="N883" s="300">
        <v>8.0</v>
      </c>
      <c r="O883" s="300" t="s">
        <v>828</v>
      </c>
      <c r="P883" s="300">
        <v>5.0</v>
      </c>
    </row>
    <row r="884">
      <c r="A884">
        <f>IFERROR(__xludf.DUMMYFUNCTION("""COMPUTED_VALUE"""),11.0)</f>
        <v>11</v>
      </c>
      <c r="B884">
        <f>IFERROR(__xludf.DUMMYFUNCTION("""COMPUTED_VALUE"""),27141.0)</f>
        <v>27141</v>
      </c>
      <c r="C884" t="str">
        <f>IFERROR(__xludf.DUMMYFUNCTION("""COMPUTED_VALUE"""),"MEJIA RESTREPO, PABLO")</f>
        <v>MEJIA RESTREPO, PABLO</v>
      </c>
      <c r="D884" t="str">
        <f>IFERROR(__xludf.DUMMYFUNCTION("""COMPUTED_VALUE"""),"Spanish and Literature 11")</f>
        <v>Spanish and Literature 11</v>
      </c>
      <c r="E884" s="3">
        <f>IFERROR(__xludf.DUMMYFUNCTION("""COMPUTED_VALUE"""),1.0)</f>
        <v>1</v>
      </c>
      <c r="F884" s="300">
        <v>1.0</v>
      </c>
      <c r="G884" s="300">
        <v>1.0</v>
      </c>
      <c r="H884" s="300">
        <v>1.0</v>
      </c>
      <c r="I884" s="300">
        <v>1.0</v>
      </c>
      <c r="J884" s="300">
        <v>1.0</v>
      </c>
      <c r="K884" s="300">
        <v>1.0</v>
      </c>
      <c r="L884" s="300">
        <v>1.0</v>
      </c>
      <c r="M884" s="300">
        <v>1.0</v>
      </c>
      <c r="N884" s="300">
        <v>8.0</v>
      </c>
      <c r="O884" s="300" t="s">
        <v>827</v>
      </c>
      <c r="P884" s="300">
        <v>5.0</v>
      </c>
    </row>
    <row r="885">
      <c r="A885">
        <f>IFERROR(__xludf.DUMMYFUNCTION("""COMPUTED_VALUE"""),11.0)</f>
        <v>11</v>
      </c>
      <c r="B885">
        <f>IFERROR(__xludf.DUMMYFUNCTION("""COMPUTED_VALUE"""),27025.0)</f>
        <v>27025</v>
      </c>
      <c r="C885" t="str">
        <f>IFERROR(__xludf.DUMMYFUNCTION("""COMPUTED_VALUE"""),"COCK HENAO, MATIAS")</f>
        <v>COCK HENAO, MATIAS</v>
      </c>
      <c r="D885" t="str">
        <f>IFERROR(__xludf.DUMMYFUNCTION("""COMPUTED_VALUE"""),"Spanish and Literature 11")</f>
        <v>Spanish and Literature 11</v>
      </c>
      <c r="E885" s="3">
        <f>IFERROR(__xludf.DUMMYFUNCTION("""COMPUTED_VALUE"""),6.0)</f>
        <v>6</v>
      </c>
      <c r="F885" s="300">
        <v>1.0</v>
      </c>
      <c r="G885" s="300">
        <v>1.0</v>
      </c>
      <c r="H885" s="300">
        <v>1.0</v>
      </c>
      <c r="I885" s="300">
        <v>1.0</v>
      </c>
      <c r="J885" s="300">
        <v>1.0</v>
      </c>
      <c r="K885" s="300">
        <v>1.0</v>
      </c>
      <c r="L885" s="300">
        <v>1.0</v>
      </c>
      <c r="M885" s="300">
        <v>1.0</v>
      </c>
      <c r="N885" s="300">
        <v>8.0</v>
      </c>
      <c r="O885" s="300" t="s">
        <v>826</v>
      </c>
      <c r="P885" s="300">
        <v>5.0</v>
      </c>
    </row>
    <row r="886">
      <c r="A886">
        <f>IFERROR(__xludf.DUMMYFUNCTION("""COMPUTED_VALUE"""),11.0)</f>
        <v>11</v>
      </c>
      <c r="B886">
        <f>IFERROR(__xludf.DUMMYFUNCTION("""COMPUTED_VALUE"""),26009.0)</f>
        <v>26009</v>
      </c>
      <c r="C886" t="str">
        <f>IFERROR(__xludf.DUMMYFUNCTION("""COMPUTED_VALUE"""),"ARANGO NAVARRO, PEDRO")</f>
        <v>ARANGO NAVARRO, PEDRO</v>
      </c>
      <c r="D886" t="str">
        <f>IFERROR(__xludf.DUMMYFUNCTION("""COMPUTED_VALUE"""),"Spanish and Literature 11")</f>
        <v>Spanish and Literature 11</v>
      </c>
      <c r="E886" s="3">
        <f>IFERROR(__xludf.DUMMYFUNCTION("""COMPUTED_VALUE"""),3.0)</f>
        <v>3</v>
      </c>
      <c r="F886" s="300">
        <v>1.0</v>
      </c>
      <c r="G886" s="300">
        <v>1.0</v>
      </c>
      <c r="H886" s="300">
        <v>1.0</v>
      </c>
      <c r="I886" s="300">
        <v>1.0</v>
      </c>
      <c r="J886" s="300">
        <v>1.0</v>
      </c>
      <c r="K886" s="300">
        <v>1.0</v>
      </c>
      <c r="L886" s="300">
        <v>1.0</v>
      </c>
      <c r="M886" s="300">
        <v>1.0</v>
      </c>
      <c r="N886" s="300">
        <v>8.0</v>
      </c>
      <c r="O886" s="300" t="s">
        <v>828</v>
      </c>
      <c r="P886" s="300">
        <v>5.0</v>
      </c>
    </row>
    <row r="887">
      <c r="A887">
        <f>IFERROR(__xludf.DUMMYFUNCTION("""COMPUTED_VALUE"""),11.0)</f>
        <v>11</v>
      </c>
      <c r="B887">
        <f>IFERROR(__xludf.DUMMYFUNCTION("""COMPUTED_VALUE"""),27077.0)</f>
        <v>27077</v>
      </c>
      <c r="C887" t="str">
        <f>IFERROR(__xludf.DUMMYFUNCTION("""COMPUTED_VALUE"""),"MORENO MUNERA, MATILDA")</f>
        <v>MORENO MUNERA, MATILDA</v>
      </c>
      <c r="D887" t="str">
        <f>IFERROR(__xludf.DUMMYFUNCTION("""COMPUTED_VALUE"""),"Spanish and Literature 11")</f>
        <v>Spanish and Literature 11</v>
      </c>
      <c r="E887" s="3">
        <f>IFERROR(__xludf.DUMMYFUNCTION("""COMPUTED_VALUE"""),3.0)</f>
        <v>3</v>
      </c>
      <c r="F887" s="300">
        <v>1.0</v>
      </c>
      <c r="G887" s="300">
        <v>1.0</v>
      </c>
      <c r="H887" s="300">
        <v>1.0</v>
      </c>
      <c r="I887" s="300">
        <v>1.0</v>
      </c>
      <c r="J887" s="300">
        <v>1.0</v>
      </c>
      <c r="K887" s="300">
        <v>1.0</v>
      </c>
      <c r="L887" s="300">
        <v>1.0</v>
      </c>
      <c r="M887" s="300">
        <v>1.0</v>
      </c>
      <c r="N887" s="300">
        <v>8.0</v>
      </c>
      <c r="O887" s="300" t="s">
        <v>828</v>
      </c>
      <c r="P887" s="300">
        <v>5.0</v>
      </c>
    </row>
    <row r="888">
      <c r="A888">
        <f>IFERROR(__xludf.DUMMYFUNCTION("""COMPUTED_VALUE"""),11.0)</f>
        <v>11</v>
      </c>
      <c r="B888">
        <f>IFERROR(__xludf.DUMMYFUNCTION("""COMPUTED_VALUE"""),27098.0)</f>
        <v>27098</v>
      </c>
      <c r="C888" t="str">
        <f>IFERROR(__xludf.DUMMYFUNCTION("""COMPUTED_VALUE"""),"ROJAS LOPEZ, EMILIANA")</f>
        <v>ROJAS LOPEZ, EMILIANA</v>
      </c>
      <c r="D888" t="str">
        <f>IFERROR(__xludf.DUMMYFUNCTION("""COMPUTED_VALUE"""),"Spanish and Literature 11")</f>
        <v>Spanish and Literature 11</v>
      </c>
      <c r="E888" s="3">
        <f>IFERROR(__xludf.DUMMYFUNCTION("""COMPUTED_VALUE"""),6.0)</f>
        <v>6</v>
      </c>
      <c r="F888" s="300">
        <v>1.0</v>
      </c>
      <c r="G888" s="300">
        <v>1.0</v>
      </c>
      <c r="H888" s="300">
        <v>1.0</v>
      </c>
      <c r="I888" s="300">
        <v>1.0</v>
      </c>
      <c r="J888" s="300">
        <v>1.0</v>
      </c>
      <c r="K888" s="300">
        <v>1.0</v>
      </c>
      <c r="L888" s="300">
        <v>1.0</v>
      </c>
      <c r="M888" s="300">
        <v>1.0</v>
      </c>
      <c r="N888" s="300">
        <v>8.0</v>
      </c>
      <c r="O888" s="300" t="s">
        <v>826</v>
      </c>
      <c r="P888" s="300">
        <v>5.0</v>
      </c>
    </row>
    <row r="889">
      <c r="A889">
        <f>IFERROR(__xludf.DUMMYFUNCTION("""COMPUTED_VALUE"""),11.0)</f>
        <v>11</v>
      </c>
      <c r="B889">
        <f>IFERROR(__xludf.DUMMYFUNCTION("""COMPUTED_VALUE"""),27049.0)</f>
        <v>27049</v>
      </c>
      <c r="C889" t="str">
        <f>IFERROR(__xludf.DUMMYFUNCTION("""COMPUTED_VALUE"""),"HENAO RESTREPO, ELENA")</f>
        <v>HENAO RESTREPO, ELENA</v>
      </c>
      <c r="D889" t="str">
        <f>IFERROR(__xludf.DUMMYFUNCTION("""COMPUTED_VALUE"""),"Spanish and Literature 11")</f>
        <v>Spanish and Literature 11</v>
      </c>
      <c r="E889" s="3">
        <f>IFERROR(__xludf.DUMMYFUNCTION("""COMPUTED_VALUE"""),1.0)</f>
        <v>1</v>
      </c>
      <c r="F889" s="300">
        <v>1.0</v>
      </c>
      <c r="G889" s="300">
        <v>1.0</v>
      </c>
      <c r="H889" s="300">
        <v>1.0</v>
      </c>
      <c r="I889" s="300">
        <v>1.0</v>
      </c>
      <c r="J889" s="300">
        <v>1.0</v>
      </c>
      <c r="K889" s="300">
        <v>1.0</v>
      </c>
      <c r="L889" s="300">
        <v>1.0</v>
      </c>
      <c r="M889" s="300">
        <v>1.0</v>
      </c>
      <c r="N889" s="300">
        <v>8.0</v>
      </c>
      <c r="O889" s="300" t="s">
        <v>827</v>
      </c>
      <c r="P889" s="300">
        <v>5.0</v>
      </c>
    </row>
    <row r="890">
      <c r="A890">
        <f>IFERROR(__xludf.DUMMYFUNCTION("""COMPUTED_VALUE"""),11.0)</f>
        <v>11</v>
      </c>
      <c r="B890">
        <f>IFERROR(__xludf.DUMMYFUNCTION("""COMPUTED_VALUE"""),27066.0)</f>
        <v>27066</v>
      </c>
      <c r="C890" t="str">
        <f>IFERROR(__xludf.DUMMYFUNCTION("""COMPUTED_VALUE"""),"MEJIA URIBE, DANIEL")</f>
        <v>MEJIA URIBE, DANIEL</v>
      </c>
      <c r="D890" t="str">
        <f>IFERROR(__xludf.DUMMYFUNCTION("""COMPUTED_VALUE"""),"Spanish and Literature 11")</f>
        <v>Spanish and Literature 11</v>
      </c>
      <c r="E890" s="3">
        <f>IFERROR(__xludf.DUMMYFUNCTION("""COMPUTED_VALUE"""),1.0)</f>
        <v>1</v>
      </c>
      <c r="F890" s="300">
        <v>1.0</v>
      </c>
      <c r="G890" s="300">
        <v>1.0</v>
      </c>
      <c r="H890" s="300">
        <v>1.0</v>
      </c>
      <c r="I890" s="300">
        <v>1.0</v>
      </c>
      <c r="J890" s="300">
        <v>1.0</v>
      </c>
      <c r="K890" s="300">
        <v>1.0</v>
      </c>
      <c r="L890" s="300">
        <v>1.0</v>
      </c>
      <c r="M890" s="300">
        <v>1.0</v>
      </c>
      <c r="N890" s="300">
        <v>8.0</v>
      </c>
      <c r="O890" s="300" t="s">
        <v>827</v>
      </c>
      <c r="P890" s="300">
        <v>5.0</v>
      </c>
    </row>
    <row r="891">
      <c r="A891">
        <f>IFERROR(__xludf.DUMMYFUNCTION("""COMPUTED_VALUE"""),11.0)</f>
        <v>11</v>
      </c>
      <c r="B891">
        <f>IFERROR(__xludf.DUMMYFUNCTION("""COMPUTED_VALUE"""),27123.0)</f>
        <v>27123</v>
      </c>
      <c r="C891" t="str">
        <f>IFERROR(__xludf.DUMMYFUNCTION("""COMPUTED_VALUE"""),"VELEZ PODESTA, SIMON")</f>
        <v>VELEZ PODESTA, SIMON</v>
      </c>
      <c r="D891" t="str">
        <f>IFERROR(__xludf.DUMMYFUNCTION("""COMPUTED_VALUE"""),"Spanish and Literature 11")</f>
        <v>Spanish and Literature 11</v>
      </c>
      <c r="E891" s="3">
        <f>IFERROR(__xludf.DUMMYFUNCTION("""COMPUTED_VALUE"""),5.0)</f>
        <v>5</v>
      </c>
      <c r="F891" s="300">
        <v>1.0</v>
      </c>
      <c r="G891" s="300">
        <v>1.0</v>
      </c>
      <c r="H891" s="300">
        <v>1.0</v>
      </c>
      <c r="I891" s="300">
        <v>1.0</v>
      </c>
      <c r="J891" s="300">
        <v>1.0</v>
      </c>
      <c r="K891" s="300">
        <v>1.0</v>
      </c>
      <c r="L891" s="300">
        <v>1.0</v>
      </c>
      <c r="M891" s="300">
        <v>1.0</v>
      </c>
      <c r="N891" s="300">
        <v>8.0</v>
      </c>
      <c r="O891" s="300" t="s">
        <v>830</v>
      </c>
      <c r="P891" s="300">
        <v>5.0</v>
      </c>
    </row>
    <row r="892">
      <c r="A892">
        <f>IFERROR(__xludf.DUMMYFUNCTION("""COMPUTED_VALUE"""),11.0)</f>
        <v>11</v>
      </c>
      <c r="B892">
        <f>IFERROR(__xludf.DUMMYFUNCTION("""COMPUTED_VALUE"""),27109.0)</f>
        <v>27109</v>
      </c>
      <c r="C892" t="str">
        <f>IFERROR(__xludf.DUMMYFUNCTION("""COMPUTED_VALUE"""),"SIERRA TIRADO, PEDRO")</f>
        <v>SIERRA TIRADO, PEDRO</v>
      </c>
      <c r="D892" t="str">
        <f>IFERROR(__xludf.DUMMYFUNCTION("""COMPUTED_VALUE"""),"Spanish and Literature 11")</f>
        <v>Spanish and Literature 11</v>
      </c>
      <c r="E892" s="3">
        <f>IFERROR(__xludf.DUMMYFUNCTION("""COMPUTED_VALUE"""),5.0)</f>
        <v>5</v>
      </c>
      <c r="F892" s="300">
        <v>1.0</v>
      </c>
      <c r="G892" s="300">
        <v>1.0</v>
      </c>
      <c r="H892" s="300">
        <v>1.0</v>
      </c>
      <c r="I892" s="300">
        <v>1.0</v>
      </c>
      <c r="J892" s="300">
        <v>1.0</v>
      </c>
      <c r="K892" s="300">
        <v>1.0</v>
      </c>
      <c r="L892" s="300">
        <v>1.0</v>
      </c>
      <c r="M892" s="300">
        <v>1.0</v>
      </c>
      <c r="N892" s="300">
        <v>8.0</v>
      </c>
      <c r="O892" s="300" t="s">
        <v>830</v>
      </c>
      <c r="P892" s="300">
        <v>5.0</v>
      </c>
    </row>
    <row r="893">
      <c r="A893">
        <f>IFERROR(__xludf.DUMMYFUNCTION("""COMPUTED_VALUE"""),11.0)</f>
        <v>11</v>
      </c>
      <c r="B893">
        <f>IFERROR(__xludf.DUMMYFUNCTION("""COMPUTED_VALUE"""),27005.0)</f>
        <v>27005</v>
      </c>
      <c r="C893" t="str">
        <f>IFERROR(__xludf.DUMMYFUNCTION("""COMPUTED_VALUE"""),"ANGEL MESA, EMILIO")</f>
        <v>ANGEL MESA, EMILIO</v>
      </c>
      <c r="D893" t="str">
        <f>IFERROR(__xludf.DUMMYFUNCTION("""COMPUTED_VALUE"""),"Spanish and Literature 11")</f>
        <v>Spanish and Literature 11</v>
      </c>
      <c r="E893" s="3">
        <f>IFERROR(__xludf.DUMMYFUNCTION("""COMPUTED_VALUE"""),6.0)</f>
        <v>6</v>
      </c>
      <c r="F893" s="300">
        <v>1.0</v>
      </c>
      <c r="G893" s="300">
        <v>1.0</v>
      </c>
      <c r="H893" s="300">
        <v>1.0</v>
      </c>
      <c r="I893" s="300">
        <v>1.0</v>
      </c>
      <c r="J893" s="300">
        <v>1.0</v>
      </c>
      <c r="K893" s="300">
        <v>1.0</v>
      </c>
      <c r="L893" s="300">
        <v>1.0</v>
      </c>
      <c r="M893" s="300">
        <v>1.0</v>
      </c>
      <c r="N893" s="300">
        <v>8.0</v>
      </c>
      <c r="O893" s="300" t="s">
        <v>826</v>
      </c>
      <c r="P893" s="300">
        <v>5.0</v>
      </c>
    </row>
    <row r="894">
      <c r="A894">
        <f>IFERROR(__xludf.DUMMYFUNCTION("""COMPUTED_VALUE"""),11.0)</f>
        <v>11</v>
      </c>
      <c r="B894">
        <f>IFERROR(__xludf.DUMMYFUNCTION("""COMPUTED_VALUE"""),27111.0)</f>
        <v>27111</v>
      </c>
      <c r="C894" t="str">
        <f>IFERROR(__xludf.DUMMYFUNCTION("""COMPUTED_VALUE"""),"TOBON PEÑALOZA, MARTIN")</f>
        <v>TOBON PEÑALOZA, MARTIN</v>
      </c>
      <c r="D894" t="str">
        <f>IFERROR(__xludf.DUMMYFUNCTION("""COMPUTED_VALUE"""),"Spanish and Literature 11")</f>
        <v>Spanish and Literature 11</v>
      </c>
      <c r="E894" s="3">
        <f>IFERROR(__xludf.DUMMYFUNCTION("""COMPUTED_VALUE"""),1.0)</f>
        <v>1</v>
      </c>
      <c r="F894" s="300">
        <v>1.0</v>
      </c>
      <c r="G894" s="300">
        <v>1.0</v>
      </c>
      <c r="H894" s="300">
        <v>1.0</v>
      </c>
      <c r="I894" s="300">
        <v>1.0</v>
      </c>
      <c r="J894" s="300">
        <v>1.0</v>
      </c>
      <c r="K894" s="300">
        <v>1.0</v>
      </c>
      <c r="L894" s="300">
        <v>1.0</v>
      </c>
      <c r="M894" s="300">
        <v>1.0</v>
      </c>
      <c r="N894" s="300">
        <v>8.0</v>
      </c>
      <c r="O894" s="300" t="s">
        <v>827</v>
      </c>
      <c r="P894" s="300">
        <v>5.0</v>
      </c>
    </row>
    <row r="895">
      <c r="A895">
        <f>IFERROR(__xludf.DUMMYFUNCTION("""COMPUTED_VALUE"""),11.0)</f>
        <v>11</v>
      </c>
      <c r="B895">
        <f>IFERROR(__xludf.DUMMYFUNCTION("""COMPUTED_VALUE"""),27164.0)</f>
        <v>27164</v>
      </c>
      <c r="C895" t="str">
        <f>IFERROR(__xludf.DUMMYFUNCTION("""COMPUTED_VALUE"""),"JARAMILLO URIBE, MAR")</f>
        <v>JARAMILLO URIBE, MAR</v>
      </c>
      <c r="D895" t="str">
        <f>IFERROR(__xludf.DUMMYFUNCTION("""COMPUTED_VALUE"""),"Spanish and Literature 11")</f>
        <v>Spanish and Literature 11</v>
      </c>
      <c r="E895" s="3">
        <f>IFERROR(__xludf.DUMMYFUNCTION("""COMPUTED_VALUE"""),1.0)</f>
        <v>1</v>
      </c>
      <c r="F895" s="300">
        <v>1.0</v>
      </c>
      <c r="G895" s="300">
        <v>1.0</v>
      </c>
      <c r="H895" s="300">
        <v>1.0</v>
      </c>
      <c r="I895" s="300">
        <v>1.0</v>
      </c>
      <c r="J895" s="300">
        <v>1.0</v>
      </c>
      <c r="K895" s="300">
        <v>1.0</v>
      </c>
      <c r="L895" s="300">
        <v>1.0</v>
      </c>
      <c r="M895" s="300">
        <v>1.0</v>
      </c>
      <c r="N895" s="300">
        <v>8.0</v>
      </c>
      <c r="O895" s="300" t="s">
        <v>827</v>
      </c>
      <c r="P895" s="300">
        <v>5.0</v>
      </c>
    </row>
    <row r="896">
      <c r="A896">
        <f>IFERROR(__xludf.DUMMYFUNCTION("""COMPUTED_VALUE"""),11.0)</f>
        <v>11</v>
      </c>
      <c r="B896">
        <f>IFERROR(__xludf.DUMMYFUNCTION("""COMPUTED_VALUE"""),27037.0)</f>
        <v>27037</v>
      </c>
      <c r="C896" t="str">
        <f>IFERROR(__xludf.DUMMYFUNCTION("""COMPUTED_VALUE"""),"GALEANO SALAZAR, SARA")</f>
        <v>GALEANO SALAZAR, SARA</v>
      </c>
      <c r="D896" t="str">
        <f>IFERROR(__xludf.DUMMYFUNCTION("""COMPUTED_VALUE"""),"Spanish and Literature 11")</f>
        <v>Spanish and Literature 11</v>
      </c>
      <c r="E896" s="3">
        <f>IFERROR(__xludf.DUMMYFUNCTION("""COMPUTED_VALUE"""),6.0)</f>
        <v>6</v>
      </c>
      <c r="F896" s="300">
        <v>1.0</v>
      </c>
      <c r="G896" s="300">
        <v>1.0</v>
      </c>
      <c r="H896" s="300">
        <v>1.0</v>
      </c>
      <c r="I896" s="300">
        <v>1.0</v>
      </c>
      <c r="J896" s="300">
        <v>1.0</v>
      </c>
      <c r="K896" s="300">
        <v>1.0</v>
      </c>
      <c r="L896" s="300">
        <v>1.0</v>
      </c>
      <c r="M896" s="300">
        <v>1.0</v>
      </c>
      <c r="N896" s="300">
        <v>8.0</v>
      </c>
      <c r="O896" s="300" t="s">
        <v>826</v>
      </c>
      <c r="P896" s="300">
        <v>5.0</v>
      </c>
    </row>
    <row r="897">
      <c r="A897">
        <f>IFERROR(__xludf.DUMMYFUNCTION("""COMPUTED_VALUE"""),12.0)</f>
        <v>12</v>
      </c>
      <c r="B897">
        <f>IFERROR(__xludf.DUMMYFUNCTION("""COMPUTED_VALUE"""),25084.0)</f>
        <v>25084</v>
      </c>
      <c r="C897" t="str">
        <f>IFERROR(__xludf.DUMMYFUNCTION("""COMPUTED_VALUE"""),"PELAEZ KLINKERT, ALICIA")</f>
        <v>PELAEZ KLINKERT, ALICIA</v>
      </c>
      <c r="D897" t="str">
        <f>IFERROR(__xludf.DUMMYFUNCTION("""COMPUTED_VALUE"""),"Spanish and Literature 12")</f>
        <v>Spanish and Literature 12</v>
      </c>
      <c r="E897" s="3">
        <f>IFERROR(__xludf.DUMMYFUNCTION("""COMPUTED_VALUE"""),2.0)</f>
        <v>2</v>
      </c>
      <c r="F897" s="300">
        <v>1.0</v>
      </c>
      <c r="G897" s="300">
        <v>1.0</v>
      </c>
      <c r="H897" s="300">
        <v>1.0</v>
      </c>
      <c r="I897" s="300">
        <v>1.0</v>
      </c>
      <c r="J897" s="300">
        <v>1.0</v>
      </c>
      <c r="K897" s="300">
        <v>1.0</v>
      </c>
      <c r="L897" s="300">
        <v>1.0</v>
      </c>
      <c r="M897" s="300">
        <v>1.0</v>
      </c>
      <c r="N897" s="300">
        <v>8.0</v>
      </c>
      <c r="O897" s="300" t="s">
        <v>831</v>
      </c>
      <c r="P897" s="300">
        <v>5.0</v>
      </c>
    </row>
    <row r="898">
      <c r="A898">
        <f>IFERROR(__xludf.DUMMYFUNCTION("""COMPUTED_VALUE"""),12.0)</f>
        <v>12</v>
      </c>
      <c r="B898">
        <f>IFERROR(__xludf.DUMMYFUNCTION("""COMPUTED_VALUE"""),26105.0)</f>
        <v>26105</v>
      </c>
      <c r="C898" t="str">
        <f>IFERROR(__xludf.DUMMYFUNCTION("""COMPUTED_VALUE"""),"ROJAS LONDOÑO, SARA")</f>
        <v>ROJAS LONDOÑO, SARA</v>
      </c>
      <c r="D898" t="str">
        <f>IFERROR(__xludf.DUMMYFUNCTION("""COMPUTED_VALUE"""),"Spanish and Literature 12")</f>
        <v>Spanish and Literature 12</v>
      </c>
      <c r="E898" s="3">
        <f>IFERROR(__xludf.DUMMYFUNCTION("""COMPUTED_VALUE"""),4.0)</f>
        <v>4</v>
      </c>
      <c r="F898" s="300">
        <v>1.0</v>
      </c>
      <c r="G898" s="300">
        <v>1.0</v>
      </c>
      <c r="H898" s="300">
        <v>1.0</v>
      </c>
      <c r="I898" s="300">
        <v>1.0</v>
      </c>
      <c r="J898" s="300">
        <v>1.0</v>
      </c>
      <c r="K898" s="300">
        <v>1.0</v>
      </c>
      <c r="L898" s="300">
        <v>1.0</v>
      </c>
      <c r="M898" s="300">
        <v>1.0</v>
      </c>
      <c r="N898" s="300">
        <v>8.0</v>
      </c>
      <c r="O898" s="300" t="s">
        <v>832</v>
      </c>
      <c r="P898" s="300">
        <v>5.0</v>
      </c>
    </row>
    <row r="899">
      <c r="A899">
        <f>IFERROR(__xludf.DUMMYFUNCTION("""COMPUTED_VALUE"""),12.0)</f>
        <v>12</v>
      </c>
      <c r="B899">
        <f>IFERROR(__xludf.DUMMYFUNCTION("""COMPUTED_VALUE"""),26046.0)</f>
        <v>26046</v>
      </c>
      <c r="C899" t="str">
        <f>IFERROR(__xludf.DUMMYFUNCTION("""COMPUTED_VALUE"""),"HENAO GARZON, NICOLAS")</f>
        <v>HENAO GARZON, NICOLAS</v>
      </c>
      <c r="D899" t="str">
        <f>IFERROR(__xludf.DUMMYFUNCTION("""COMPUTED_VALUE"""),"Spanish and Literature 12")</f>
        <v>Spanish and Literature 12</v>
      </c>
      <c r="E899" s="3">
        <f>IFERROR(__xludf.DUMMYFUNCTION("""COMPUTED_VALUE"""),2.0)</f>
        <v>2</v>
      </c>
      <c r="F899" s="300">
        <v>1.0</v>
      </c>
      <c r="G899" s="300">
        <v>1.0</v>
      </c>
      <c r="H899" s="300">
        <v>1.0</v>
      </c>
      <c r="I899" s="300">
        <v>1.0</v>
      </c>
      <c r="J899" s="300">
        <v>1.0</v>
      </c>
      <c r="K899" s="300">
        <v>1.0</v>
      </c>
      <c r="L899" s="300">
        <v>1.0</v>
      </c>
      <c r="M899" s="300">
        <v>1.0</v>
      </c>
      <c r="N899" s="300">
        <v>8.0</v>
      </c>
      <c r="O899" s="300" t="s">
        <v>831</v>
      </c>
      <c r="P899" s="300">
        <v>5.0</v>
      </c>
    </row>
    <row r="900">
      <c r="A900">
        <f>IFERROR(__xludf.DUMMYFUNCTION("""COMPUTED_VALUE"""),12.0)</f>
        <v>12</v>
      </c>
      <c r="B900">
        <f>IFERROR(__xludf.DUMMYFUNCTION("""COMPUTED_VALUE"""),26165.0)</f>
        <v>26165</v>
      </c>
      <c r="C900" t="str">
        <f>IFERROR(__xludf.DUMMYFUNCTION("""COMPUTED_VALUE"""),"BURKHALTER, ISAAC STEPHEN")</f>
        <v>BURKHALTER, ISAAC STEPHEN</v>
      </c>
      <c r="D900" t="str">
        <f>IFERROR(__xludf.DUMMYFUNCTION("""COMPUTED_VALUE"""),"Journalism Higher Level")</f>
        <v>Journalism Higher Level</v>
      </c>
      <c r="E900" s="3">
        <f>IFERROR(__xludf.DUMMYFUNCTION("""COMPUTED_VALUE"""),3.0)</f>
        <v>3</v>
      </c>
      <c r="F900" s="300">
        <v>1.0</v>
      </c>
      <c r="G900" s="300">
        <v>1.0</v>
      </c>
      <c r="H900" s="300">
        <v>1.0</v>
      </c>
      <c r="I900" s="300">
        <v>1.0</v>
      </c>
      <c r="J900" s="300">
        <v>1.0</v>
      </c>
      <c r="K900" s="300">
        <v>1.0</v>
      </c>
      <c r="L900" s="300">
        <v>1.0</v>
      </c>
      <c r="M900" s="300">
        <v>1.0</v>
      </c>
      <c r="N900" s="300">
        <v>8.0</v>
      </c>
      <c r="O900" s="300" t="s">
        <v>798</v>
      </c>
      <c r="P900" s="300">
        <v>3.0</v>
      </c>
    </row>
    <row r="901">
      <c r="A901">
        <f>IFERROR(__xludf.DUMMYFUNCTION("""COMPUTED_VALUE"""),12.0)</f>
        <v>12</v>
      </c>
      <c r="B901">
        <f>IFERROR(__xludf.DUMMYFUNCTION("""COMPUTED_VALUE"""),26120.0)</f>
        <v>26120</v>
      </c>
      <c r="C901" t="str">
        <f>IFERROR(__xludf.DUMMYFUNCTION("""COMPUTED_VALUE"""),"VERGARA ROZO, JERONIMO")</f>
        <v>VERGARA ROZO, JERONIMO</v>
      </c>
      <c r="D901" t="str">
        <f>IFERROR(__xludf.DUMMYFUNCTION("""COMPUTED_VALUE"""),"Spanish and Literature 12")</f>
        <v>Spanish and Literature 12</v>
      </c>
      <c r="E901" s="3">
        <f>IFERROR(__xludf.DUMMYFUNCTION("""COMPUTED_VALUE"""),4.0)</f>
        <v>4</v>
      </c>
      <c r="F901" s="300">
        <v>1.0</v>
      </c>
      <c r="G901" s="300">
        <v>1.0</v>
      </c>
      <c r="H901" s="300">
        <v>1.0</v>
      </c>
      <c r="I901" s="300">
        <v>1.0</v>
      </c>
      <c r="J901" s="300">
        <v>1.0</v>
      </c>
      <c r="K901" s="300">
        <v>1.0</v>
      </c>
      <c r="L901" s="300">
        <v>1.0</v>
      </c>
      <c r="M901" s="300">
        <v>1.0</v>
      </c>
      <c r="N901" s="300">
        <v>8.0</v>
      </c>
      <c r="O901" s="300" t="s">
        <v>832</v>
      </c>
      <c r="P901" s="300">
        <v>5.0</v>
      </c>
    </row>
    <row r="902">
      <c r="A902">
        <f>IFERROR(__xludf.DUMMYFUNCTION("""COMPUTED_VALUE"""),12.0)</f>
        <v>12</v>
      </c>
      <c r="B902">
        <f>IFERROR(__xludf.DUMMYFUNCTION("""COMPUTED_VALUE"""),26130.0)</f>
        <v>26130</v>
      </c>
      <c r="C902" t="str">
        <f>IFERROR(__xludf.DUMMYFUNCTION("""COMPUTED_VALUE"""),"IBAÑEZ MONTOYA, DANIEL")</f>
        <v>IBAÑEZ MONTOYA, DANIEL</v>
      </c>
      <c r="D902" t="str">
        <f>IFERROR(__xludf.DUMMYFUNCTION("""COMPUTED_VALUE"""),"Spanish and Literature 12")</f>
        <v>Spanish and Literature 12</v>
      </c>
      <c r="E902" s="3">
        <f>IFERROR(__xludf.DUMMYFUNCTION("""COMPUTED_VALUE"""),4.0)</f>
        <v>4</v>
      </c>
      <c r="F902" s="300">
        <v>1.0</v>
      </c>
      <c r="G902" s="300">
        <v>1.0</v>
      </c>
      <c r="H902" s="300">
        <v>1.0</v>
      </c>
      <c r="I902" s="300">
        <v>1.0</v>
      </c>
      <c r="J902" s="300">
        <v>1.0</v>
      </c>
      <c r="K902" s="300">
        <v>1.0</v>
      </c>
      <c r="L902" s="300">
        <v>1.0</v>
      </c>
      <c r="M902" s="300">
        <v>1.0</v>
      </c>
      <c r="N902" s="300">
        <v>8.0</v>
      </c>
      <c r="O902" s="300" t="s">
        <v>832</v>
      </c>
      <c r="P902" s="300">
        <v>5.0</v>
      </c>
    </row>
    <row r="903">
      <c r="A903">
        <f>IFERROR(__xludf.DUMMYFUNCTION("""COMPUTED_VALUE"""),12.0)</f>
        <v>12</v>
      </c>
      <c r="B903">
        <f>IFERROR(__xludf.DUMMYFUNCTION("""COMPUTED_VALUE"""),26117.0)</f>
        <v>26117</v>
      </c>
      <c r="C903" t="str">
        <f>IFERROR(__xludf.DUMMYFUNCTION("""COMPUTED_VALUE"""),"VELEZ RESTREPO, LUCAS")</f>
        <v>VELEZ RESTREPO, LUCAS</v>
      </c>
      <c r="D903" t="str">
        <f>IFERROR(__xludf.DUMMYFUNCTION("""COMPUTED_VALUE"""),"Spanish and Literature 12")</f>
        <v>Spanish and Literature 12</v>
      </c>
      <c r="E903" s="3">
        <f>IFERROR(__xludf.DUMMYFUNCTION("""COMPUTED_VALUE"""),7.0)</f>
        <v>7</v>
      </c>
      <c r="F903" s="300">
        <v>1.0</v>
      </c>
      <c r="G903" s="300">
        <v>1.0</v>
      </c>
      <c r="H903" s="300">
        <v>1.0</v>
      </c>
      <c r="I903" s="300">
        <v>1.0</v>
      </c>
      <c r="J903" s="300">
        <v>1.0</v>
      </c>
      <c r="K903" s="300">
        <v>1.0</v>
      </c>
      <c r="L903" s="300">
        <v>1.0</v>
      </c>
      <c r="M903" s="300">
        <v>1.0</v>
      </c>
      <c r="N903" s="300">
        <v>8.0</v>
      </c>
      <c r="O903" s="300" t="s">
        <v>833</v>
      </c>
      <c r="P903" s="300">
        <v>5.0</v>
      </c>
    </row>
    <row r="904">
      <c r="A904">
        <f>IFERROR(__xludf.DUMMYFUNCTION("""COMPUTED_VALUE"""),12.0)</f>
        <v>12</v>
      </c>
      <c r="B904">
        <f>IFERROR(__xludf.DUMMYFUNCTION("""COMPUTED_VALUE"""),26168.0)</f>
        <v>26168</v>
      </c>
      <c r="C904" t="str">
        <f>IFERROR(__xludf.DUMMYFUNCTION("""COMPUTED_VALUE"""),"NARANJO ARANA, LETICIA")</f>
        <v>NARANJO ARANA, LETICIA</v>
      </c>
      <c r="D904" t="str">
        <f>IFERROR(__xludf.DUMMYFUNCTION("""COMPUTED_VALUE"""),"Spanish and Literature 12")</f>
        <v>Spanish and Literature 12</v>
      </c>
      <c r="E904" s="3">
        <f>IFERROR(__xludf.DUMMYFUNCTION("""COMPUTED_VALUE"""),3.0)</f>
        <v>3</v>
      </c>
      <c r="F904" s="300">
        <v>1.0</v>
      </c>
      <c r="G904" s="300">
        <v>1.0</v>
      </c>
      <c r="H904" s="300">
        <v>1.0</v>
      </c>
      <c r="I904" s="300">
        <v>1.0</v>
      </c>
      <c r="J904" s="300">
        <v>1.0</v>
      </c>
      <c r="K904" s="300">
        <v>1.0</v>
      </c>
      <c r="L904" s="300">
        <v>1.0</v>
      </c>
      <c r="M904" s="300">
        <v>1.0</v>
      </c>
      <c r="N904" s="300">
        <v>8.0</v>
      </c>
      <c r="O904" s="300" t="s">
        <v>834</v>
      </c>
      <c r="P904" s="300">
        <v>5.0</v>
      </c>
    </row>
    <row r="905">
      <c r="A905">
        <f>IFERROR(__xludf.DUMMYFUNCTION("""COMPUTED_VALUE"""),12.0)</f>
        <v>12</v>
      </c>
      <c r="B905">
        <f>IFERROR(__xludf.DUMMYFUNCTION("""COMPUTED_VALUE"""),26156.0)</f>
        <v>26156</v>
      </c>
      <c r="C905" t="str">
        <f>IFERROR(__xludf.DUMMYFUNCTION("""COMPUTED_VALUE"""),"CORTES CARDONA, MARIANA")</f>
        <v>CORTES CARDONA, MARIANA</v>
      </c>
      <c r="D905" t="str">
        <f>IFERROR(__xludf.DUMMYFUNCTION("""COMPUTED_VALUE"""),"Spanish and Literature 12")</f>
        <v>Spanish and Literature 12</v>
      </c>
      <c r="E905" s="3">
        <f>IFERROR(__xludf.DUMMYFUNCTION("""COMPUTED_VALUE"""),2.0)</f>
        <v>2</v>
      </c>
      <c r="F905" s="300">
        <v>1.0</v>
      </c>
      <c r="G905" s="300">
        <v>1.0</v>
      </c>
      <c r="H905" s="300">
        <v>1.0</v>
      </c>
      <c r="I905" s="300">
        <v>1.0</v>
      </c>
      <c r="J905" s="300">
        <v>1.0</v>
      </c>
      <c r="K905" s="300">
        <v>1.0</v>
      </c>
      <c r="L905" s="300">
        <v>1.0</v>
      </c>
      <c r="M905" s="300">
        <v>1.0</v>
      </c>
      <c r="N905" s="300">
        <v>8.0</v>
      </c>
      <c r="O905" s="300" t="s">
        <v>831</v>
      </c>
      <c r="P905" s="300">
        <v>5.0</v>
      </c>
    </row>
    <row r="906">
      <c r="A906">
        <f>IFERROR(__xludf.DUMMYFUNCTION("""COMPUTED_VALUE"""),12.0)</f>
        <v>12</v>
      </c>
      <c r="B906">
        <f>IFERROR(__xludf.DUMMYFUNCTION("""COMPUTED_VALUE"""),26127.0)</f>
        <v>26127</v>
      </c>
      <c r="C906" t="str">
        <f>IFERROR(__xludf.DUMMYFUNCTION("""COMPUTED_VALUE"""),"ZULOAGA AYUB, CAMILA")</f>
        <v>ZULOAGA AYUB, CAMILA</v>
      </c>
      <c r="D906" t="str">
        <f>IFERROR(__xludf.DUMMYFUNCTION("""COMPUTED_VALUE"""),"Spanish and Literature 12")</f>
        <v>Spanish and Literature 12</v>
      </c>
      <c r="E906" s="3">
        <f>IFERROR(__xludf.DUMMYFUNCTION("""COMPUTED_VALUE"""),3.0)</f>
        <v>3</v>
      </c>
      <c r="F906" s="300">
        <v>1.0</v>
      </c>
      <c r="G906" s="300">
        <v>1.0</v>
      </c>
      <c r="H906" s="300">
        <v>1.0</v>
      </c>
      <c r="I906" s="300">
        <v>1.0</v>
      </c>
      <c r="J906" s="300">
        <v>1.0</v>
      </c>
      <c r="K906" s="300">
        <v>1.0</v>
      </c>
      <c r="L906" s="300">
        <v>1.0</v>
      </c>
      <c r="M906" s="300">
        <v>1.0</v>
      </c>
      <c r="N906" s="300">
        <v>8.0</v>
      </c>
      <c r="O906" s="300" t="s">
        <v>834</v>
      </c>
      <c r="P906" s="300">
        <v>5.0</v>
      </c>
    </row>
    <row r="907">
      <c r="A907">
        <f>IFERROR(__xludf.DUMMYFUNCTION("""COMPUTED_VALUE"""),12.0)</f>
        <v>12</v>
      </c>
      <c r="B907">
        <f>IFERROR(__xludf.DUMMYFUNCTION("""COMPUTED_VALUE"""),26099.0)</f>
        <v>26099</v>
      </c>
      <c r="C907" t="str">
        <f>IFERROR(__xludf.DUMMYFUNCTION("""COMPUTED_VALUE"""),"RESTREPO RESTREPO, MAXIMILIANO")</f>
        <v>RESTREPO RESTREPO, MAXIMILIANO</v>
      </c>
      <c r="D907" t="str">
        <f>IFERROR(__xludf.DUMMYFUNCTION("""COMPUTED_VALUE"""),"Spanish and Literature 12")</f>
        <v>Spanish and Literature 12</v>
      </c>
      <c r="E907" s="3">
        <f>IFERROR(__xludf.DUMMYFUNCTION("""COMPUTED_VALUE"""),3.0)</f>
        <v>3</v>
      </c>
      <c r="F907" s="300">
        <v>1.0</v>
      </c>
      <c r="G907" s="300">
        <v>1.0</v>
      </c>
      <c r="H907" s="300">
        <v>1.0</v>
      </c>
      <c r="I907" s="300">
        <v>1.0</v>
      </c>
      <c r="J907" s="300">
        <v>1.0</v>
      </c>
      <c r="K907" s="300">
        <v>1.0</v>
      </c>
      <c r="L907" s="300">
        <v>1.0</v>
      </c>
      <c r="M907" s="300">
        <v>1.0</v>
      </c>
      <c r="N907" s="300">
        <v>8.0</v>
      </c>
      <c r="O907" s="300" t="s">
        <v>834</v>
      </c>
      <c r="P907" s="300">
        <v>5.0</v>
      </c>
    </row>
    <row r="908">
      <c r="A908">
        <f>IFERROR(__xludf.DUMMYFUNCTION("""COMPUTED_VALUE"""),12.0)</f>
        <v>12</v>
      </c>
      <c r="B908">
        <f>IFERROR(__xludf.DUMMYFUNCTION("""COMPUTED_VALUE"""),26043.0)</f>
        <v>26043</v>
      </c>
      <c r="C908" t="str">
        <f>IFERROR(__xludf.DUMMYFUNCTION("""COMPUTED_VALUE"""),"GONZALEZ MARIN, MATIAS")</f>
        <v>GONZALEZ MARIN, MATIAS</v>
      </c>
      <c r="D908" t="str">
        <f>IFERROR(__xludf.DUMMYFUNCTION("""COMPUTED_VALUE"""),"Spanish and Literature 12")</f>
        <v>Spanish and Literature 12</v>
      </c>
      <c r="E908" s="3">
        <f>IFERROR(__xludf.DUMMYFUNCTION("""COMPUTED_VALUE"""),5.0)</f>
        <v>5</v>
      </c>
      <c r="F908" s="300">
        <v>1.0</v>
      </c>
      <c r="G908" s="300">
        <v>1.0</v>
      </c>
      <c r="H908" s="300">
        <v>1.0</v>
      </c>
      <c r="I908" s="300">
        <v>1.0</v>
      </c>
      <c r="J908" s="300">
        <v>1.0</v>
      </c>
      <c r="K908" s="300">
        <v>1.0</v>
      </c>
      <c r="L908" s="300">
        <v>1.0</v>
      </c>
      <c r="M908" s="300">
        <v>1.0</v>
      </c>
      <c r="N908" s="300">
        <v>8.0</v>
      </c>
      <c r="O908" s="300" t="s">
        <v>835</v>
      </c>
      <c r="P908" s="300">
        <v>5.0</v>
      </c>
    </row>
    <row r="909">
      <c r="A909">
        <f>IFERROR(__xludf.DUMMYFUNCTION("""COMPUTED_VALUE"""),12.0)</f>
        <v>12</v>
      </c>
      <c r="B909">
        <f>IFERROR(__xludf.DUMMYFUNCTION("""COMPUTED_VALUE"""),26081.0)</f>
        <v>26081</v>
      </c>
      <c r="C909" t="str">
        <f>IFERROR(__xludf.DUMMYFUNCTION("""COMPUTED_VALUE"""),"OLAYA CARDENAS, SAMUEL")</f>
        <v>OLAYA CARDENAS, SAMUEL</v>
      </c>
      <c r="D909" t="str">
        <f>IFERROR(__xludf.DUMMYFUNCTION("""COMPUTED_VALUE"""),"Spanish and Literature 12")</f>
        <v>Spanish and Literature 12</v>
      </c>
      <c r="E909" s="3">
        <f>IFERROR(__xludf.DUMMYFUNCTION("""COMPUTED_VALUE"""),7.0)</f>
        <v>7</v>
      </c>
      <c r="F909" s="300">
        <v>1.0</v>
      </c>
      <c r="G909" s="300">
        <v>1.0</v>
      </c>
      <c r="H909" s="300">
        <v>1.0</v>
      </c>
      <c r="I909" s="300">
        <v>1.0</v>
      </c>
      <c r="J909" s="300">
        <v>1.0</v>
      </c>
      <c r="K909" s="300">
        <v>1.0</v>
      </c>
      <c r="L909" s="300">
        <v>1.0</v>
      </c>
      <c r="M909" s="300">
        <v>1.0</v>
      </c>
      <c r="N909" s="300">
        <v>8.0</v>
      </c>
      <c r="O909" s="300" t="s">
        <v>833</v>
      </c>
      <c r="P909" s="300">
        <v>5.0</v>
      </c>
    </row>
    <row r="910">
      <c r="A910">
        <f>IFERROR(__xludf.DUMMYFUNCTION("""COMPUTED_VALUE"""),12.0)</f>
        <v>12</v>
      </c>
      <c r="B910">
        <f>IFERROR(__xludf.DUMMYFUNCTION("""COMPUTED_VALUE"""),26115.0)</f>
        <v>26115</v>
      </c>
      <c r="C910" t="str">
        <f>IFERROR(__xludf.DUMMYFUNCTION("""COMPUTED_VALUE"""),"VELASQUEZ URIBE, JOSE MANUEL")</f>
        <v>VELASQUEZ URIBE, JOSE MANUEL</v>
      </c>
      <c r="D910" t="str">
        <f>IFERROR(__xludf.DUMMYFUNCTION("""COMPUTED_VALUE"""),"Spanish and Literature 12")</f>
        <v>Spanish and Literature 12</v>
      </c>
      <c r="E910" s="3">
        <f>IFERROR(__xludf.DUMMYFUNCTION("""COMPUTED_VALUE"""),3.0)</f>
        <v>3</v>
      </c>
      <c r="F910" s="300">
        <v>1.0</v>
      </c>
      <c r="G910" s="300">
        <v>1.0</v>
      </c>
      <c r="H910" s="300">
        <v>1.0</v>
      </c>
      <c r="I910" s="300">
        <v>1.0</v>
      </c>
      <c r="J910" s="300">
        <v>1.0</v>
      </c>
      <c r="K910" s="300">
        <v>1.0</v>
      </c>
      <c r="L910" s="300">
        <v>1.0</v>
      </c>
      <c r="M910" s="300">
        <v>1.0</v>
      </c>
      <c r="N910" s="300">
        <v>8.0</v>
      </c>
      <c r="O910" s="300" t="s">
        <v>834</v>
      </c>
      <c r="P910" s="300">
        <v>5.0</v>
      </c>
    </row>
    <row r="911">
      <c r="A911">
        <f>IFERROR(__xludf.DUMMYFUNCTION("""COMPUTED_VALUE"""),12.0)</f>
        <v>12</v>
      </c>
      <c r="B911">
        <f>IFERROR(__xludf.DUMMYFUNCTION("""COMPUTED_VALUE"""),26069.0)</f>
        <v>26069</v>
      </c>
      <c r="C911" t="str">
        <f>IFERROR(__xludf.DUMMYFUNCTION("""COMPUTED_VALUE"""),"MANTILLA DURANGO, VALERIA")</f>
        <v>MANTILLA DURANGO, VALERIA</v>
      </c>
      <c r="D911" t="str">
        <f>IFERROR(__xludf.DUMMYFUNCTION("""COMPUTED_VALUE"""),"Spanish and Literature 12")</f>
        <v>Spanish and Literature 12</v>
      </c>
      <c r="E911" s="3">
        <f>IFERROR(__xludf.DUMMYFUNCTION("""COMPUTED_VALUE"""),2.0)</f>
        <v>2</v>
      </c>
      <c r="F911" s="300">
        <v>1.0</v>
      </c>
      <c r="G911" s="300">
        <v>1.0</v>
      </c>
      <c r="H911" s="300">
        <v>1.0</v>
      </c>
      <c r="I911" s="300">
        <v>1.0</v>
      </c>
      <c r="J911" s="300">
        <v>1.0</v>
      </c>
      <c r="K911" s="300">
        <v>1.0</v>
      </c>
      <c r="L911" s="300">
        <v>1.0</v>
      </c>
      <c r="M911" s="300">
        <v>1.0</v>
      </c>
      <c r="N911" s="300">
        <v>8.0</v>
      </c>
      <c r="O911" s="300" t="s">
        <v>831</v>
      </c>
      <c r="P911" s="300">
        <v>5.0</v>
      </c>
    </row>
    <row r="912">
      <c r="A912">
        <f>IFERROR(__xludf.DUMMYFUNCTION("""COMPUTED_VALUE"""),12.0)</f>
        <v>12</v>
      </c>
      <c r="B912">
        <f>IFERROR(__xludf.DUMMYFUNCTION("""COMPUTED_VALUE"""),26103.0)</f>
        <v>26103</v>
      </c>
      <c r="C912" t="str">
        <f>IFERROR(__xludf.DUMMYFUNCTION("""COMPUTED_VALUE"""),"RODRIGUEZ OSORIO, JERONIMO")</f>
        <v>RODRIGUEZ OSORIO, JERONIMO</v>
      </c>
      <c r="D912" t="str">
        <f>IFERROR(__xludf.DUMMYFUNCTION("""COMPUTED_VALUE"""),"Spanish and Literature 12")</f>
        <v>Spanish and Literature 12</v>
      </c>
      <c r="E912" s="3">
        <f>IFERROR(__xludf.DUMMYFUNCTION("""COMPUTED_VALUE"""),7.0)</f>
        <v>7</v>
      </c>
      <c r="F912" s="300">
        <v>1.0</v>
      </c>
      <c r="G912" s="300">
        <v>1.0</v>
      </c>
      <c r="H912" s="300">
        <v>1.0</v>
      </c>
      <c r="I912" s="300">
        <v>1.0</v>
      </c>
      <c r="J912" s="300">
        <v>1.0</v>
      </c>
      <c r="K912" s="300">
        <v>1.0</v>
      </c>
      <c r="L912" s="300">
        <v>1.0</v>
      </c>
      <c r="M912" s="300">
        <v>1.0</v>
      </c>
      <c r="N912" s="300">
        <v>8.0</v>
      </c>
      <c r="O912" s="300" t="s">
        <v>833</v>
      </c>
      <c r="P912" s="300">
        <v>5.0</v>
      </c>
    </row>
    <row r="913">
      <c r="A913">
        <f>IFERROR(__xludf.DUMMYFUNCTION("""COMPUTED_VALUE"""),12.0)</f>
        <v>12</v>
      </c>
      <c r="B913">
        <f>IFERROR(__xludf.DUMMYFUNCTION("""COMPUTED_VALUE"""),26163.0)</f>
        <v>26163</v>
      </c>
      <c r="C913" t="str">
        <f>IFERROR(__xludf.DUMMYFUNCTION("""COMPUTED_VALUE"""),"SALAS VELEZ, AMELIA")</f>
        <v>SALAS VELEZ, AMELIA</v>
      </c>
      <c r="D913" t="str">
        <f>IFERROR(__xludf.DUMMYFUNCTION("""COMPUTED_VALUE"""),"Spanish and Literature 12")</f>
        <v>Spanish and Literature 12</v>
      </c>
      <c r="E913" s="3">
        <f>IFERROR(__xludf.DUMMYFUNCTION("""COMPUTED_VALUE"""),5.0)</f>
        <v>5</v>
      </c>
      <c r="F913" s="300">
        <v>1.0</v>
      </c>
      <c r="G913" s="300">
        <v>1.0</v>
      </c>
      <c r="H913" s="300">
        <v>1.0</v>
      </c>
      <c r="I913" s="300">
        <v>1.0</v>
      </c>
      <c r="J913" s="300">
        <v>1.0</v>
      </c>
      <c r="K913" s="300">
        <v>1.0</v>
      </c>
      <c r="L913" s="300">
        <v>1.0</v>
      </c>
      <c r="M913" s="300">
        <v>1.0</v>
      </c>
      <c r="N913" s="300">
        <v>8.0</v>
      </c>
      <c r="O913" s="300" t="s">
        <v>835</v>
      </c>
      <c r="P913" s="300">
        <v>5.0</v>
      </c>
    </row>
    <row r="914">
      <c r="A914">
        <f>IFERROR(__xludf.DUMMYFUNCTION("""COMPUTED_VALUE"""),12.0)</f>
        <v>12</v>
      </c>
      <c r="B914">
        <f>IFERROR(__xludf.DUMMYFUNCTION("""COMPUTED_VALUE"""),26118.0)</f>
        <v>26118</v>
      </c>
      <c r="C914" t="str">
        <f>IFERROR(__xludf.DUMMYFUNCTION("""COMPUTED_VALUE"""),"VELEZ ZAPATA, MANUELA")</f>
        <v>VELEZ ZAPATA, MANUELA</v>
      </c>
      <c r="D914" t="str">
        <f>IFERROR(__xludf.DUMMYFUNCTION("""COMPUTED_VALUE"""),"Spanish and Literature 12")</f>
        <v>Spanish and Literature 12</v>
      </c>
      <c r="E914" s="3">
        <f>IFERROR(__xludf.DUMMYFUNCTION("""COMPUTED_VALUE"""),3.0)</f>
        <v>3</v>
      </c>
      <c r="F914" s="300">
        <v>1.0</v>
      </c>
      <c r="G914" s="300">
        <v>1.0</v>
      </c>
      <c r="H914" s="300">
        <v>1.0</v>
      </c>
      <c r="I914" s="300">
        <v>1.0</v>
      </c>
      <c r="J914" s="300">
        <v>1.0</v>
      </c>
      <c r="K914" s="300">
        <v>1.0</v>
      </c>
      <c r="L914" s="300">
        <v>1.0</v>
      </c>
      <c r="M914" s="300">
        <v>1.0</v>
      </c>
      <c r="N914" s="300">
        <v>8.0</v>
      </c>
      <c r="O914" s="300" t="s">
        <v>834</v>
      </c>
      <c r="P914" s="300">
        <v>5.0</v>
      </c>
    </row>
    <row r="915">
      <c r="A915">
        <f>IFERROR(__xludf.DUMMYFUNCTION("""COMPUTED_VALUE"""),12.0)</f>
        <v>12</v>
      </c>
      <c r="B915">
        <f>IFERROR(__xludf.DUMMYFUNCTION("""COMPUTED_VALUE"""),26112.0)</f>
        <v>26112</v>
      </c>
      <c r="C915" t="str">
        <f>IFERROR(__xludf.DUMMYFUNCTION("""COMPUTED_VALUE"""),"URIBE FERNANDEZ, ANDRES")</f>
        <v>URIBE FERNANDEZ, ANDRES</v>
      </c>
      <c r="D915" t="str">
        <f>IFERROR(__xludf.DUMMYFUNCTION("""COMPUTED_VALUE"""),"Spanish and Literature 12")</f>
        <v>Spanish and Literature 12</v>
      </c>
      <c r="E915" s="3">
        <f>IFERROR(__xludf.DUMMYFUNCTION("""COMPUTED_VALUE"""),5.0)</f>
        <v>5</v>
      </c>
      <c r="F915" s="300">
        <v>1.0</v>
      </c>
      <c r="G915" s="300">
        <v>1.0</v>
      </c>
      <c r="H915" s="300">
        <v>1.0</v>
      </c>
      <c r="I915" s="300">
        <v>1.0</v>
      </c>
      <c r="J915" s="300">
        <v>1.0</v>
      </c>
      <c r="K915" s="300">
        <v>1.0</v>
      </c>
      <c r="L915" s="300">
        <v>1.0</v>
      </c>
      <c r="M915" s="300">
        <v>1.0</v>
      </c>
      <c r="N915" s="300">
        <v>8.0</v>
      </c>
      <c r="O915" s="300" t="s">
        <v>835</v>
      </c>
      <c r="P915" s="300">
        <v>5.0</v>
      </c>
    </row>
    <row r="916">
      <c r="A916">
        <f>IFERROR(__xludf.DUMMYFUNCTION("""COMPUTED_VALUE"""),12.0)</f>
        <v>12</v>
      </c>
      <c r="B916">
        <f>IFERROR(__xludf.DUMMYFUNCTION("""COMPUTED_VALUE"""),26006.0)</f>
        <v>26006</v>
      </c>
      <c r="C916" t="str">
        <f>IFERROR(__xludf.DUMMYFUNCTION("""COMPUTED_VALUE"""),"AMAR JARAMILLO, NICHOLAS")</f>
        <v>AMAR JARAMILLO, NICHOLAS</v>
      </c>
      <c r="D916" t="str">
        <f>IFERROR(__xludf.DUMMYFUNCTION("""COMPUTED_VALUE"""),"Spanish and Literature 12")</f>
        <v>Spanish and Literature 12</v>
      </c>
      <c r="E916" s="3">
        <f>IFERROR(__xludf.DUMMYFUNCTION("""COMPUTED_VALUE"""),5.0)</f>
        <v>5</v>
      </c>
      <c r="F916" s="300">
        <v>1.0</v>
      </c>
      <c r="G916" s="300">
        <v>1.0</v>
      </c>
      <c r="H916" s="300">
        <v>1.0</v>
      </c>
      <c r="I916" s="300">
        <v>1.0</v>
      </c>
      <c r="J916" s="300">
        <v>1.0</v>
      </c>
      <c r="K916" s="300">
        <v>1.0</v>
      </c>
      <c r="L916" s="300">
        <v>1.0</v>
      </c>
      <c r="M916" s="300">
        <v>1.0</v>
      </c>
      <c r="N916" s="300">
        <v>8.0</v>
      </c>
      <c r="O916" s="300" t="s">
        <v>835</v>
      </c>
      <c r="P916" s="300">
        <v>5.0</v>
      </c>
    </row>
    <row r="917">
      <c r="A917">
        <f>IFERROR(__xludf.DUMMYFUNCTION("""COMPUTED_VALUE"""),12.0)</f>
        <v>12</v>
      </c>
      <c r="B917">
        <f>IFERROR(__xludf.DUMMYFUNCTION("""COMPUTED_VALUE"""),26034.0)</f>
        <v>26034</v>
      </c>
      <c r="C917" t="str">
        <f>IFERROR(__xludf.DUMMYFUNCTION("""COMPUTED_VALUE"""),"GARCIA CORREA, MARIA CLARA")</f>
        <v>GARCIA CORREA, MARIA CLARA</v>
      </c>
      <c r="D917" t="str">
        <f>IFERROR(__xludf.DUMMYFUNCTION("""COMPUTED_VALUE"""),"Spanish and Literature 12")</f>
        <v>Spanish and Literature 12</v>
      </c>
      <c r="E917" s="3">
        <f>IFERROR(__xludf.DUMMYFUNCTION("""COMPUTED_VALUE"""),7.0)</f>
        <v>7</v>
      </c>
      <c r="F917" s="300">
        <v>1.0</v>
      </c>
      <c r="G917" s="300">
        <v>1.0</v>
      </c>
      <c r="H917" s="300">
        <v>1.0</v>
      </c>
      <c r="I917" s="300">
        <v>1.0</v>
      </c>
      <c r="J917" s="300">
        <v>1.0</v>
      </c>
      <c r="K917" s="300">
        <v>1.0</v>
      </c>
      <c r="L917" s="300">
        <v>1.0</v>
      </c>
      <c r="M917" s="300">
        <v>1.0</v>
      </c>
      <c r="N917" s="300">
        <v>8.0</v>
      </c>
      <c r="O917" s="300" t="s">
        <v>833</v>
      </c>
      <c r="P917" s="300">
        <v>5.0</v>
      </c>
    </row>
    <row r="918">
      <c r="A918">
        <f>IFERROR(__xludf.DUMMYFUNCTION("""COMPUTED_VALUE"""),12.0)</f>
        <v>12</v>
      </c>
      <c r="B918">
        <f>IFERROR(__xludf.DUMMYFUNCTION("""COMPUTED_VALUE"""),26028.0)</f>
        <v>26028</v>
      </c>
      <c r="C918" t="str">
        <f>IFERROR(__xludf.DUMMYFUNCTION("""COMPUTED_VALUE"""),"ESCOBAR BURGOS, SANTIAGO")</f>
        <v>ESCOBAR BURGOS, SANTIAGO</v>
      </c>
      <c r="D918" t="str">
        <f>IFERROR(__xludf.DUMMYFUNCTION("""COMPUTED_VALUE"""),"Spanish and Literature 12")</f>
        <v>Spanish and Literature 12</v>
      </c>
      <c r="E918" s="3">
        <f>IFERROR(__xludf.DUMMYFUNCTION("""COMPUTED_VALUE"""),4.0)</f>
        <v>4</v>
      </c>
      <c r="F918" s="300">
        <v>1.0</v>
      </c>
      <c r="G918" s="300">
        <v>1.0</v>
      </c>
      <c r="H918" s="300">
        <v>1.0</v>
      </c>
      <c r="I918" s="300">
        <v>1.0</v>
      </c>
      <c r="J918" s="300">
        <v>1.0</v>
      </c>
      <c r="K918" s="300">
        <v>1.0</v>
      </c>
      <c r="L918" s="300">
        <v>1.0</v>
      </c>
      <c r="M918" s="300">
        <v>1.0</v>
      </c>
      <c r="N918" s="300">
        <v>8.0</v>
      </c>
      <c r="O918" s="300" t="s">
        <v>832</v>
      </c>
      <c r="P918" s="300">
        <v>5.0</v>
      </c>
    </row>
    <row r="919">
      <c r="A919">
        <f>IFERROR(__xludf.DUMMYFUNCTION("""COMPUTED_VALUE"""),12.0)</f>
        <v>12</v>
      </c>
      <c r="B919">
        <f>IFERROR(__xludf.DUMMYFUNCTION("""COMPUTED_VALUE"""),26049.0)</f>
        <v>26049</v>
      </c>
      <c r="C919" t="str">
        <f>IFERROR(__xludf.DUMMYFUNCTION("""COMPUTED_VALUE"""),"HERRERA GOMEZ, MIGUEL")</f>
        <v>HERRERA GOMEZ, MIGUEL</v>
      </c>
      <c r="D919" t="str">
        <f>IFERROR(__xludf.DUMMYFUNCTION("""COMPUTED_VALUE"""),"Spanish and Literature 12")</f>
        <v>Spanish and Literature 12</v>
      </c>
      <c r="E919" s="3">
        <f>IFERROR(__xludf.DUMMYFUNCTION("""COMPUTED_VALUE"""),2.0)</f>
        <v>2</v>
      </c>
      <c r="F919" s="300">
        <v>1.0</v>
      </c>
      <c r="G919" s="300">
        <v>1.0</v>
      </c>
      <c r="H919" s="300">
        <v>1.0</v>
      </c>
      <c r="I919" s="300">
        <v>1.0</v>
      </c>
      <c r="J919" s="300">
        <v>1.0</v>
      </c>
      <c r="K919" s="300">
        <v>1.0</v>
      </c>
      <c r="L919" s="300">
        <v>1.0</v>
      </c>
      <c r="M919" s="300">
        <v>1.0</v>
      </c>
      <c r="N919" s="300">
        <v>8.0</v>
      </c>
      <c r="O919" s="300" t="s">
        <v>831</v>
      </c>
      <c r="P919" s="300">
        <v>5.0</v>
      </c>
    </row>
    <row r="920">
      <c r="A920">
        <f>IFERROR(__xludf.DUMMYFUNCTION("""COMPUTED_VALUE"""),12.0)</f>
        <v>12</v>
      </c>
      <c r="B920">
        <f>IFERROR(__xludf.DUMMYFUNCTION("""COMPUTED_VALUE"""),26044.0)</f>
        <v>26044</v>
      </c>
      <c r="C920" t="str">
        <f>IFERROR(__xludf.DUMMYFUNCTION("""COMPUTED_VALUE"""),"GONZALEZ NAVARRO, MIGUEL")</f>
        <v>GONZALEZ NAVARRO, MIGUEL</v>
      </c>
      <c r="D920" t="str">
        <f>IFERROR(__xludf.DUMMYFUNCTION("""COMPUTED_VALUE"""),"Spanish and Literature 12")</f>
        <v>Spanish and Literature 12</v>
      </c>
      <c r="E920" s="3">
        <f>IFERROR(__xludf.DUMMYFUNCTION("""COMPUTED_VALUE"""),7.0)</f>
        <v>7</v>
      </c>
      <c r="F920" s="300">
        <v>1.0</v>
      </c>
      <c r="G920" s="300">
        <v>1.0</v>
      </c>
      <c r="H920" s="300">
        <v>1.0</v>
      </c>
      <c r="I920" s="300">
        <v>1.0</v>
      </c>
      <c r="J920" s="300">
        <v>1.0</v>
      </c>
      <c r="K920" s="300">
        <v>1.0</v>
      </c>
      <c r="L920" s="300">
        <v>1.0</v>
      </c>
      <c r="M920" s="300">
        <v>1.0</v>
      </c>
      <c r="N920" s="300">
        <v>8.0</v>
      </c>
      <c r="O920" s="300" t="s">
        <v>833</v>
      </c>
      <c r="P920" s="300">
        <v>5.0</v>
      </c>
    </row>
    <row r="921">
      <c r="A921">
        <f>IFERROR(__xludf.DUMMYFUNCTION("""COMPUTED_VALUE"""),12.0)</f>
        <v>12</v>
      </c>
      <c r="B921">
        <f>IFERROR(__xludf.DUMMYFUNCTION("""COMPUTED_VALUE"""),26056.0)</f>
        <v>26056</v>
      </c>
      <c r="C921" t="str">
        <f>IFERROR(__xludf.DUMMYFUNCTION("""COMPUTED_VALUE"""),"ISAZA VELASQUEZ, SALOME")</f>
        <v>ISAZA VELASQUEZ, SALOME</v>
      </c>
      <c r="D921" t="str">
        <f>IFERROR(__xludf.DUMMYFUNCTION("""COMPUTED_VALUE"""),"AP Spanish Literature and Culture")</f>
        <v>AP Spanish Literature and Culture</v>
      </c>
      <c r="E921" s="3">
        <f>IFERROR(__xludf.DUMMYFUNCTION("""COMPUTED_VALUE"""),8.0)</f>
        <v>8</v>
      </c>
      <c r="F921" s="300">
        <v>1.0</v>
      </c>
      <c r="G921" s="300">
        <v>1.0</v>
      </c>
      <c r="H921" s="300">
        <v>1.0</v>
      </c>
      <c r="I921" s="300">
        <v>1.0</v>
      </c>
      <c r="J921" s="300">
        <v>1.0</v>
      </c>
      <c r="K921" s="300">
        <v>1.0</v>
      </c>
      <c r="L921" s="300">
        <v>1.0</v>
      </c>
      <c r="M921" s="300">
        <v>1.0</v>
      </c>
      <c r="N921" s="300">
        <v>8.0</v>
      </c>
      <c r="O921" s="300" t="s">
        <v>825</v>
      </c>
      <c r="P921" s="300">
        <v>1.0</v>
      </c>
    </row>
    <row r="922">
      <c r="A922">
        <f>IFERROR(__xludf.DUMMYFUNCTION("""COMPUTED_VALUE"""),12.0)</f>
        <v>12</v>
      </c>
      <c r="B922">
        <f>IFERROR(__xludf.DUMMYFUNCTION("""COMPUTED_VALUE"""),26001.0)</f>
        <v>26001</v>
      </c>
      <c r="C922" t="str">
        <f>IFERROR(__xludf.DUMMYFUNCTION("""COMPUTED_VALUE"""),"AARON VASQUEZ, MARIA DEL MAR")</f>
        <v>AARON VASQUEZ, MARIA DEL MAR</v>
      </c>
      <c r="D922" t="str">
        <f>IFERROR(__xludf.DUMMYFUNCTION("""COMPUTED_VALUE"""),"Spanish and Literature 12")</f>
        <v>Spanish and Literature 12</v>
      </c>
      <c r="E922" s="3">
        <f>IFERROR(__xludf.DUMMYFUNCTION("""COMPUTED_VALUE"""),3.0)</f>
        <v>3</v>
      </c>
      <c r="F922" s="300">
        <v>1.0</v>
      </c>
      <c r="G922" s="300">
        <v>1.0</v>
      </c>
      <c r="H922" s="300">
        <v>1.0</v>
      </c>
      <c r="I922" s="300">
        <v>1.0</v>
      </c>
      <c r="J922" s="300">
        <v>1.0</v>
      </c>
      <c r="K922" s="300">
        <v>1.0</v>
      </c>
      <c r="L922" s="300">
        <v>1.0</v>
      </c>
      <c r="M922" s="300">
        <v>1.0</v>
      </c>
      <c r="N922" s="300">
        <v>8.0</v>
      </c>
      <c r="O922" s="300" t="s">
        <v>834</v>
      </c>
      <c r="P922" s="300">
        <v>5.0</v>
      </c>
    </row>
    <row r="923">
      <c r="A923">
        <f>IFERROR(__xludf.DUMMYFUNCTION("""COMPUTED_VALUE"""),12.0)</f>
        <v>12</v>
      </c>
      <c r="B923">
        <f>IFERROR(__xludf.DUMMYFUNCTION("""COMPUTED_VALUE"""),26038.0)</f>
        <v>26038</v>
      </c>
      <c r="C923" t="str">
        <f>IFERROR(__xludf.DUMMYFUNCTION("""COMPUTED_VALUE"""),"GOMEZ LALINDE, SARA")</f>
        <v>GOMEZ LALINDE, SARA</v>
      </c>
      <c r="D923" t="str">
        <f>IFERROR(__xludf.DUMMYFUNCTION("""COMPUTED_VALUE"""),"Spanish and Literature 12")</f>
        <v>Spanish and Literature 12</v>
      </c>
      <c r="E923" s="3">
        <f>IFERROR(__xludf.DUMMYFUNCTION("""COMPUTED_VALUE"""),7.0)</f>
        <v>7</v>
      </c>
      <c r="F923" s="300">
        <v>1.0</v>
      </c>
      <c r="G923" s="300">
        <v>1.0</v>
      </c>
      <c r="H923" s="300">
        <v>1.0</v>
      </c>
      <c r="I923" s="300">
        <v>1.0</v>
      </c>
      <c r="J923" s="300">
        <v>1.0</v>
      </c>
      <c r="K923" s="300">
        <v>1.0</v>
      </c>
      <c r="L923" s="300">
        <v>1.0</v>
      </c>
      <c r="M923" s="300">
        <v>1.0</v>
      </c>
      <c r="N923" s="300">
        <v>8.0</v>
      </c>
      <c r="O923" s="300" t="s">
        <v>833</v>
      </c>
      <c r="P923" s="300">
        <v>5.0</v>
      </c>
    </row>
    <row r="924">
      <c r="A924">
        <f>IFERROR(__xludf.DUMMYFUNCTION("""COMPUTED_VALUE"""),12.0)</f>
        <v>12</v>
      </c>
      <c r="B924">
        <f>IFERROR(__xludf.DUMMYFUNCTION("""COMPUTED_VALUE"""),26088.0)</f>
        <v>26088</v>
      </c>
      <c r="C924" t="str">
        <f>IFERROR(__xludf.DUMMYFUNCTION("""COMPUTED_VALUE"""),"PEREZ ECHAVARRIA, SAMUEL")</f>
        <v>PEREZ ECHAVARRIA, SAMUEL</v>
      </c>
      <c r="D924" t="str">
        <f>IFERROR(__xludf.DUMMYFUNCTION("""COMPUTED_VALUE"""),"Spanish and Literature 12")</f>
        <v>Spanish and Literature 12</v>
      </c>
      <c r="E924" s="3">
        <f>IFERROR(__xludf.DUMMYFUNCTION("""COMPUTED_VALUE"""),4.0)</f>
        <v>4</v>
      </c>
      <c r="F924" s="300">
        <v>1.0</v>
      </c>
      <c r="G924" s="300">
        <v>1.0</v>
      </c>
      <c r="H924" s="300">
        <v>1.0</v>
      </c>
      <c r="I924" s="300">
        <v>1.0</v>
      </c>
      <c r="J924" s="300">
        <v>1.0</v>
      </c>
      <c r="K924" s="300">
        <v>1.0</v>
      </c>
      <c r="L924" s="300">
        <v>1.0</v>
      </c>
      <c r="M924" s="300">
        <v>1.0</v>
      </c>
      <c r="N924" s="300">
        <v>8.0</v>
      </c>
      <c r="O924" s="300" t="s">
        <v>832</v>
      </c>
      <c r="P924" s="300">
        <v>5.0</v>
      </c>
    </row>
    <row r="925">
      <c r="A925">
        <f>IFERROR(__xludf.DUMMYFUNCTION("""COMPUTED_VALUE"""),12.0)</f>
        <v>12</v>
      </c>
      <c r="B925">
        <f>IFERROR(__xludf.DUMMYFUNCTION("""COMPUTED_VALUE"""),26010.0)</f>
        <v>26010</v>
      </c>
      <c r="C925" t="str">
        <f>IFERROR(__xludf.DUMMYFUNCTION("""COMPUTED_VALUE"""),"ARISTIZABAL BOLIVAR, JUAN JOSE")</f>
        <v>ARISTIZABAL BOLIVAR, JUAN JOSE</v>
      </c>
      <c r="D925" t="str">
        <f>IFERROR(__xludf.DUMMYFUNCTION("""COMPUTED_VALUE"""),"Spanish and Literature 12")</f>
        <v>Spanish and Literature 12</v>
      </c>
      <c r="E925" s="3">
        <f>IFERROR(__xludf.DUMMYFUNCTION("""COMPUTED_VALUE"""),5.0)</f>
        <v>5</v>
      </c>
      <c r="F925" s="300">
        <v>1.0</v>
      </c>
      <c r="G925" s="300">
        <v>1.0</v>
      </c>
      <c r="H925" s="300">
        <v>1.0</v>
      </c>
      <c r="I925" s="300">
        <v>1.0</v>
      </c>
      <c r="J925" s="300">
        <v>1.0</v>
      </c>
      <c r="K925" s="300">
        <v>1.0</v>
      </c>
      <c r="L925" s="300">
        <v>1.0</v>
      </c>
      <c r="M925" s="300">
        <v>1.0</v>
      </c>
      <c r="N925" s="300">
        <v>8.0</v>
      </c>
      <c r="O925" s="300" t="s">
        <v>835</v>
      </c>
      <c r="P925" s="300">
        <v>5.0</v>
      </c>
    </row>
    <row r="926">
      <c r="A926">
        <f>IFERROR(__xludf.DUMMYFUNCTION("""COMPUTED_VALUE"""),12.0)</f>
        <v>12</v>
      </c>
      <c r="B926">
        <f>IFERROR(__xludf.DUMMYFUNCTION("""COMPUTED_VALUE"""),26077.0)</f>
        <v>26077</v>
      </c>
      <c r="C926" t="str">
        <f>IFERROR(__xludf.DUMMYFUNCTION("""COMPUTED_VALUE"""),"MORENO RESTREPO, PEDRO JUAN")</f>
        <v>MORENO RESTREPO, PEDRO JUAN</v>
      </c>
      <c r="D926" t="str">
        <f>IFERROR(__xludf.DUMMYFUNCTION("""COMPUTED_VALUE"""),"Spanish and Literature 12")</f>
        <v>Spanish and Literature 12</v>
      </c>
      <c r="E926" s="3">
        <f>IFERROR(__xludf.DUMMYFUNCTION("""COMPUTED_VALUE"""),2.0)</f>
        <v>2</v>
      </c>
      <c r="F926" s="300">
        <v>1.0</v>
      </c>
      <c r="G926" s="300">
        <v>1.0</v>
      </c>
      <c r="H926" s="300">
        <v>1.0</v>
      </c>
      <c r="I926" s="300">
        <v>1.0</v>
      </c>
      <c r="J926" s="300">
        <v>1.0</v>
      </c>
      <c r="K926" s="300">
        <v>1.0</v>
      </c>
      <c r="L926" s="300">
        <v>1.0</v>
      </c>
      <c r="M926" s="300">
        <v>1.0</v>
      </c>
      <c r="N926" s="300">
        <v>8.0</v>
      </c>
      <c r="O926" s="300" t="s">
        <v>831</v>
      </c>
      <c r="P926" s="300">
        <v>5.0</v>
      </c>
    </row>
    <row r="927">
      <c r="A927">
        <f>IFERROR(__xludf.DUMMYFUNCTION("""COMPUTED_VALUE"""),12.0)</f>
        <v>12</v>
      </c>
      <c r="B927">
        <f>IFERROR(__xludf.DUMMYFUNCTION("""COMPUTED_VALUE"""),26005.0)</f>
        <v>26005</v>
      </c>
      <c r="C927" t="str">
        <f>IFERROR(__xludf.DUMMYFUNCTION("""COMPUTED_VALUE"""),"ALVAREZ MOLINA, SOFIA")</f>
        <v>ALVAREZ MOLINA, SOFIA</v>
      </c>
      <c r="D927" t="str">
        <f>IFERROR(__xludf.DUMMYFUNCTION("""COMPUTED_VALUE"""),"Spanish and Literature 12")</f>
        <v>Spanish and Literature 12</v>
      </c>
      <c r="E927" s="3">
        <f>IFERROR(__xludf.DUMMYFUNCTION("""COMPUTED_VALUE"""),7.0)</f>
        <v>7</v>
      </c>
      <c r="F927" s="300">
        <v>1.0</v>
      </c>
      <c r="G927" s="300">
        <v>1.0</v>
      </c>
      <c r="H927" s="300">
        <v>1.0</v>
      </c>
      <c r="I927" s="300">
        <v>1.0</v>
      </c>
      <c r="J927" s="300">
        <v>1.0</v>
      </c>
      <c r="K927" s="300">
        <v>1.0</v>
      </c>
      <c r="L927" s="300">
        <v>1.0</v>
      </c>
      <c r="M927" s="300">
        <v>1.0</v>
      </c>
      <c r="N927" s="300">
        <v>8.0</v>
      </c>
      <c r="O927" s="300" t="s">
        <v>833</v>
      </c>
      <c r="P927" s="300">
        <v>5.0</v>
      </c>
    </row>
    <row r="928">
      <c r="A928">
        <f>IFERROR(__xludf.DUMMYFUNCTION("""COMPUTED_VALUE"""),12.0)</f>
        <v>12</v>
      </c>
      <c r="B928">
        <f>IFERROR(__xludf.DUMMYFUNCTION("""COMPUTED_VALUE"""),26124.0)</f>
        <v>26124</v>
      </c>
      <c r="C928" t="str">
        <f>IFERROR(__xludf.DUMMYFUNCTION("""COMPUTED_VALUE"""),"YEPES EUSSE, MATIAS")</f>
        <v>YEPES EUSSE, MATIAS</v>
      </c>
      <c r="D928" t="str">
        <f>IFERROR(__xludf.DUMMYFUNCTION("""COMPUTED_VALUE"""),"Spanish and Literature 12")</f>
        <v>Spanish and Literature 12</v>
      </c>
      <c r="E928" s="3">
        <f>IFERROR(__xludf.DUMMYFUNCTION("""COMPUTED_VALUE"""),4.0)</f>
        <v>4</v>
      </c>
      <c r="F928" s="300">
        <v>1.0</v>
      </c>
      <c r="G928" s="300">
        <v>1.0</v>
      </c>
      <c r="H928" s="300">
        <v>1.0</v>
      </c>
      <c r="I928" s="300">
        <v>1.0</v>
      </c>
      <c r="J928" s="300">
        <v>1.0</v>
      </c>
      <c r="K928" s="300">
        <v>1.0</v>
      </c>
      <c r="L928" s="300">
        <v>1.0</v>
      </c>
      <c r="M928" s="300">
        <v>1.0</v>
      </c>
      <c r="N928" s="300">
        <v>8.0</v>
      </c>
      <c r="O928" s="300" t="s">
        <v>832</v>
      </c>
      <c r="P928" s="300">
        <v>5.0</v>
      </c>
    </row>
    <row r="929">
      <c r="A929">
        <f>IFERROR(__xludf.DUMMYFUNCTION("""COMPUTED_VALUE"""),12.0)</f>
        <v>12</v>
      </c>
      <c r="B929">
        <f>IFERROR(__xludf.DUMMYFUNCTION("""COMPUTED_VALUE"""),26020.0)</f>
        <v>26020</v>
      </c>
      <c r="C929" t="str">
        <f>IFERROR(__xludf.DUMMYFUNCTION("""COMPUTED_VALUE"""),"CALDWELL VALLEJO, JACK")</f>
        <v>CALDWELL VALLEJO, JACK</v>
      </c>
      <c r="D929" t="str">
        <f>IFERROR(__xludf.DUMMYFUNCTION("""COMPUTED_VALUE"""),"Spanish and Literature 12")</f>
        <v>Spanish and Literature 12</v>
      </c>
      <c r="E929" s="3">
        <f>IFERROR(__xludf.DUMMYFUNCTION("""COMPUTED_VALUE"""),4.0)</f>
        <v>4</v>
      </c>
      <c r="F929" s="300">
        <v>1.0</v>
      </c>
      <c r="G929" s="300">
        <v>1.0</v>
      </c>
      <c r="H929" s="300">
        <v>1.0</v>
      </c>
      <c r="I929" s="300">
        <v>1.0</v>
      </c>
      <c r="J929" s="300">
        <v>1.0</v>
      </c>
      <c r="K929" s="300">
        <v>1.0</v>
      </c>
      <c r="L929" s="300">
        <v>1.0</v>
      </c>
      <c r="M929" s="300">
        <v>1.0</v>
      </c>
      <c r="N929" s="300">
        <v>8.0</v>
      </c>
      <c r="O929" s="300" t="s">
        <v>832</v>
      </c>
      <c r="P929" s="300">
        <v>5.0</v>
      </c>
    </row>
    <row r="930">
      <c r="A930">
        <f>IFERROR(__xludf.DUMMYFUNCTION("""COMPUTED_VALUE"""),12.0)</f>
        <v>12</v>
      </c>
      <c r="B930">
        <f>IFERROR(__xludf.DUMMYFUNCTION("""COMPUTED_VALUE"""),26068.0)</f>
        <v>26068</v>
      </c>
      <c r="C930" t="str">
        <f>IFERROR(__xludf.DUMMYFUNCTION("""COMPUTED_VALUE"""),"LOPEZ RODRIGUEZ, SARA")</f>
        <v>LOPEZ RODRIGUEZ, SARA</v>
      </c>
      <c r="D930" t="str">
        <f>IFERROR(__xludf.DUMMYFUNCTION("""COMPUTED_VALUE"""),"Spanish and Literature 12")</f>
        <v>Spanish and Literature 12</v>
      </c>
      <c r="E930" s="3">
        <f>IFERROR(__xludf.DUMMYFUNCTION("""COMPUTED_VALUE"""),3.0)</f>
        <v>3</v>
      </c>
      <c r="F930" s="300">
        <v>1.0</v>
      </c>
      <c r="G930" s="300">
        <v>1.0</v>
      </c>
      <c r="H930" s="300">
        <v>1.0</v>
      </c>
      <c r="I930" s="300">
        <v>1.0</v>
      </c>
      <c r="J930" s="300">
        <v>1.0</v>
      </c>
      <c r="K930" s="300">
        <v>1.0</v>
      </c>
      <c r="L930" s="300">
        <v>1.0</v>
      </c>
      <c r="M930" s="300">
        <v>1.0</v>
      </c>
      <c r="N930" s="300">
        <v>8.0</v>
      </c>
      <c r="O930" s="300" t="s">
        <v>834</v>
      </c>
      <c r="P930" s="300">
        <v>5.0</v>
      </c>
    </row>
    <row r="931">
      <c r="A931">
        <f>IFERROR(__xludf.DUMMYFUNCTION("""COMPUTED_VALUE"""),12.0)</f>
        <v>12</v>
      </c>
      <c r="B931">
        <f>IFERROR(__xludf.DUMMYFUNCTION("""COMPUTED_VALUE"""),26013.0)</f>
        <v>26013</v>
      </c>
      <c r="C931" t="str">
        <f>IFERROR(__xludf.DUMMYFUNCTION("""COMPUTED_VALUE"""),"BAQUERO GARCIA, ALICIA")</f>
        <v>BAQUERO GARCIA, ALICIA</v>
      </c>
      <c r="D931" t="str">
        <f>IFERROR(__xludf.DUMMYFUNCTION("""COMPUTED_VALUE"""),"Spanish and Literature 12")</f>
        <v>Spanish and Literature 12</v>
      </c>
      <c r="E931" s="3">
        <f>IFERROR(__xludf.DUMMYFUNCTION("""COMPUTED_VALUE"""),2.0)</f>
        <v>2</v>
      </c>
      <c r="F931" s="300">
        <v>1.0</v>
      </c>
      <c r="G931" s="300">
        <v>1.0</v>
      </c>
      <c r="H931" s="300">
        <v>1.0</v>
      </c>
      <c r="I931" s="300">
        <v>1.0</v>
      </c>
      <c r="J931" s="300">
        <v>1.0</v>
      </c>
      <c r="K931" s="300">
        <v>1.0</v>
      </c>
      <c r="L931" s="300">
        <v>1.0</v>
      </c>
      <c r="M931" s="300">
        <v>1.0</v>
      </c>
      <c r="N931" s="300">
        <v>8.0</v>
      </c>
      <c r="O931" s="300" t="s">
        <v>831</v>
      </c>
      <c r="P931" s="300">
        <v>5.0</v>
      </c>
    </row>
    <row r="932">
      <c r="A932">
        <f>IFERROR(__xludf.DUMMYFUNCTION("""COMPUTED_VALUE"""),12.0)</f>
        <v>12</v>
      </c>
      <c r="B932">
        <f>IFERROR(__xludf.DUMMYFUNCTION("""COMPUTED_VALUE"""),26159.0)</f>
        <v>26159</v>
      </c>
      <c r="C932" t="str">
        <f>IFERROR(__xludf.DUMMYFUNCTION("""COMPUTED_VALUE"""),"PETTERSSON VANEGAS, ANNIKA")</f>
        <v>PETTERSSON VANEGAS, ANNIKA</v>
      </c>
      <c r="D932" t="str">
        <f>IFERROR(__xludf.DUMMYFUNCTION("""COMPUTED_VALUE"""),"Spanish and Literature 12")</f>
        <v>Spanish and Literature 12</v>
      </c>
      <c r="E932" s="3">
        <f>IFERROR(__xludf.DUMMYFUNCTION("""COMPUTED_VALUE"""),5.0)</f>
        <v>5</v>
      </c>
      <c r="F932" s="300">
        <v>1.0</v>
      </c>
      <c r="G932" s="300">
        <v>1.0</v>
      </c>
      <c r="H932" s="300">
        <v>1.0</v>
      </c>
      <c r="I932" s="300">
        <v>1.0</v>
      </c>
      <c r="J932" s="300">
        <v>1.0</v>
      </c>
      <c r="K932" s="300">
        <v>1.0</v>
      </c>
      <c r="L932" s="300">
        <v>1.0</v>
      </c>
      <c r="M932" s="300">
        <v>1.0</v>
      </c>
      <c r="N932" s="300">
        <v>8.0</v>
      </c>
      <c r="O932" s="300" t="s">
        <v>835</v>
      </c>
      <c r="P932" s="300">
        <v>5.0</v>
      </c>
    </row>
    <row r="933">
      <c r="A933">
        <f>IFERROR(__xludf.DUMMYFUNCTION("""COMPUTED_VALUE"""),12.0)</f>
        <v>12</v>
      </c>
      <c r="B933">
        <f>IFERROR(__xludf.DUMMYFUNCTION("""COMPUTED_VALUE"""),26050.0)</f>
        <v>26050</v>
      </c>
      <c r="C933" t="str">
        <f>IFERROR(__xludf.DUMMYFUNCTION("""COMPUTED_VALUE"""),"HERRERA LONDOÑO, MANUELA")</f>
        <v>HERRERA LONDOÑO, MANUELA</v>
      </c>
      <c r="D933" t="str">
        <f>IFERROR(__xludf.DUMMYFUNCTION("""COMPUTED_VALUE"""),"Spanish and Literature 12")</f>
        <v>Spanish and Literature 12</v>
      </c>
      <c r="E933" s="3">
        <f>IFERROR(__xludf.DUMMYFUNCTION("""COMPUTED_VALUE"""),5.0)</f>
        <v>5</v>
      </c>
      <c r="F933" s="300">
        <v>1.0</v>
      </c>
      <c r="G933" s="300">
        <v>1.0</v>
      </c>
      <c r="H933" s="300">
        <v>1.0</v>
      </c>
      <c r="I933" s="300">
        <v>1.0</v>
      </c>
      <c r="J933" s="300">
        <v>1.0</v>
      </c>
      <c r="K933" s="300">
        <v>1.0</v>
      </c>
      <c r="L933" s="300">
        <v>1.0</v>
      </c>
      <c r="M933" s="300">
        <v>1.0</v>
      </c>
      <c r="N933" s="300">
        <v>8.0</v>
      </c>
      <c r="O933" s="300" t="s">
        <v>835</v>
      </c>
      <c r="P933" s="300">
        <v>5.0</v>
      </c>
    </row>
    <row r="934">
      <c r="A934">
        <f>IFERROR(__xludf.DUMMYFUNCTION("""COMPUTED_VALUE"""),12.0)</f>
        <v>12</v>
      </c>
      <c r="B934">
        <f>IFERROR(__xludf.DUMMYFUNCTION("""COMPUTED_VALUE"""),26054.0)</f>
        <v>26054</v>
      </c>
      <c r="C934" t="str">
        <f>IFERROR(__xludf.DUMMYFUNCTION("""COMPUTED_VALUE"""),"HOYOS GOMEZ, LUCIANA")</f>
        <v>HOYOS GOMEZ, LUCIANA</v>
      </c>
      <c r="D934" t="str">
        <f>IFERROR(__xludf.DUMMYFUNCTION("""COMPUTED_VALUE"""),"AP Spanish Literature and Culture")</f>
        <v>AP Spanish Literature and Culture</v>
      </c>
      <c r="E934" s="3">
        <f>IFERROR(__xludf.DUMMYFUNCTION("""COMPUTED_VALUE"""),8.0)</f>
        <v>8</v>
      </c>
      <c r="F934" s="300">
        <v>1.0</v>
      </c>
      <c r="G934" s="300">
        <v>1.0</v>
      </c>
      <c r="H934" s="300">
        <v>1.0</v>
      </c>
      <c r="I934" s="300">
        <v>1.0</v>
      </c>
      <c r="J934" s="300">
        <v>1.0</v>
      </c>
      <c r="K934" s="300">
        <v>1.0</v>
      </c>
      <c r="L934" s="300">
        <v>1.0</v>
      </c>
      <c r="M934" s="300">
        <v>1.0</v>
      </c>
      <c r="N934" s="300">
        <v>8.0</v>
      </c>
      <c r="O934" s="300" t="s">
        <v>825</v>
      </c>
      <c r="P934" s="300">
        <v>1.0</v>
      </c>
    </row>
    <row r="935">
      <c r="A935">
        <f>IFERROR(__xludf.DUMMYFUNCTION("""COMPUTED_VALUE"""),12.0)</f>
        <v>12</v>
      </c>
      <c r="B935">
        <f>IFERROR(__xludf.DUMMYFUNCTION("""COMPUTED_VALUE"""),26098.0)</f>
        <v>26098</v>
      </c>
      <c r="C935" t="str">
        <f>IFERROR(__xludf.DUMMYFUNCTION("""COMPUTED_VALUE"""),"RESTREPO OCHOA, EMMA")</f>
        <v>RESTREPO OCHOA, EMMA</v>
      </c>
      <c r="D935" t="str">
        <f>IFERROR(__xludf.DUMMYFUNCTION("""COMPUTED_VALUE"""),"Spanish and Literature 12")</f>
        <v>Spanish and Literature 12</v>
      </c>
      <c r="E935" s="3">
        <f>IFERROR(__xludf.DUMMYFUNCTION("""COMPUTED_VALUE"""),3.0)</f>
        <v>3</v>
      </c>
      <c r="F935" s="300">
        <v>1.0</v>
      </c>
      <c r="G935" s="300">
        <v>1.0</v>
      </c>
      <c r="H935" s="300">
        <v>1.0</v>
      </c>
      <c r="I935" s="300">
        <v>1.0</v>
      </c>
      <c r="J935" s="300">
        <v>1.0</v>
      </c>
      <c r="K935" s="300">
        <v>1.0</v>
      </c>
      <c r="L935" s="300">
        <v>1.0</v>
      </c>
      <c r="M935" s="300">
        <v>1.0</v>
      </c>
      <c r="N935" s="300">
        <v>8.0</v>
      </c>
      <c r="O935" s="300" t="s">
        <v>834</v>
      </c>
      <c r="P935" s="300">
        <v>5.0</v>
      </c>
    </row>
    <row r="936">
      <c r="A936">
        <f>IFERROR(__xludf.DUMMYFUNCTION("""COMPUTED_VALUE"""),12.0)</f>
        <v>12</v>
      </c>
      <c r="B936">
        <f>IFERROR(__xludf.DUMMYFUNCTION("""COMPUTED_VALUE"""),26084.0)</f>
        <v>26084</v>
      </c>
      <c r="C936" t="str">
        <f>IFERROR(__xludf.DUMMYFUNCTION("""COMPUTED_VALUE"""),"OSPINA RUIZ, PAULINA")</f>
        <v>OSPINA RUIZ, PAULINA</v>
      </c>
      <c r="D936" t="str">
        <f>IFERROR(__xludf.DUMMYFUNCTION("""COMPUTED_VALUE"""),"AP Spanish Literature and Culture")</f>
        <v>AP Spanish Literature and Culture</v>
      </c>
      <c r="E936" s="3">
        <f>IFERROR(__xludf.DUMMYFUNCTION("""COMPUTED_VALUE"""),8.0)</f>
        <v>8</v>
      </c>
      <c r="F936" s="300">
        <v>1.0</v>
      </c>
      <c r="G936" s="300">
        <v>1.0</v>
      </c>
      <c r="H936" s="300">
        <v>1.0</v>
      </c>
      <c r="I936" s="300">
        <v>1.0</v>
      </c>
      <c r="J936" s="300">
        <v>1.0</v>
      </c>
      <c r="K936" s="300">
        <v>1.0</v>
      </c>
      <c r="L936" s="300">
        <v>1.0</v>
      </c>
      <c r="M936" s="300">
        <v>1.0</v>
      </c>
      <c r="N936" s="300">
        <v>8.0</v>
      </c>
      <c r="O936" s="300" t="s">
        <v>825</v>
      </c>
      <c r="P936" s="300">
        <v>1.0</v>
      </c>
    </row>
    <row r="937">
      <c r="A937">
        <f>IFERROR(__xludf.DUMMYFUNCTION("""COMPUTED_VALUE"""),12.0)</f>
        <v>12</v>
      </c>
      <c r="B937">
        <f>IFERROR(__xludf.DUMMYFUNCTION("""COMPUTED_VALUE"""),26004.0)</f>
        <v>26004</v>
      </c>
      <c r="C937" t="str">
        <f>IFERROR(__xludf.DUMMYFUNCTION("""COMPUTED_VALUE"""),"ALVAREZ GOMEZ, EMILIANA")</f>
        <v>ALVAREZ GOMEZ, EMILIANA</v>
      </c>
      <c r="D937" t="str">
        <f>IFERROR(__xludf.DUMMYFUNCTION("""COMPUTED_VALUE"""),"AP Spanish Literature and Culture")</f>
        <v>AP Spanish Literature and Culture</v>
      </c>
      <c r="E937" s="3">
        <f>IFERROR(__xludf.DUMMYFUNCTION("""COMPUTED_VALUE"""),8.0)</f>
        <v>8</v>
      </c>
      <c r="F937" s="300">
        <v>1.0</v>
      </c>
      <c r="G937" s="300">
        <v>1.0</v>
      </c>
      <c r="H937" s="300">
        <v>1.0</v>
      </c>
      <c r="I937" s="300">
        <v>1.0</v>
      </c>
      <c r="J937" s="300">
        <v>1.0</v>
      </c>
      <c r="K937" s="300">
        <v>1.0</v>
      </c>
      <c r="L937" s="300">
        <v>1.0</v>
      </c>
      <c r="M937" s="300">
        <v>1.0</v>
      </c>
      <c r="N937" s="300">
        <v>8.0</v>
      </c>
      <c r="O937" s="300" t="s">
        <v>825</v>
      </c>
      <c r="P937" s="300">
        <v>1.0</v>
      </c>
    </row>
    <row r="938">
      <c r="A938">
        <f>IFERROR(__xludf.DUMMYFUNCTION("""COMPUTED_VALUE"""),12.0)</f>
        <v>12</v>
      </c>
      <c r="B938">
        <f>IFERROR(__xludf.DUMMYFUNCTION("""COMPUTED_VALUE"""),26085.0)</f>
        <v>26085</v>
      </c>
      <c r="C938" t="str">
        <f>IFERROR(__xludf.DUMMYFUNCTION("""COMPUTED_VALUE"""),"PALACIO RAMIREZ, SUSANA")</f>
        <v>PALACIO RAMIREZ, SUSANA</v>
      </c>
      <c r="D938" t="str">
        <f>IFERROR(__xludf.DUMMYFUNCTION("""COMPUTED_VALUE"""),"AP Spanish Literature and Culture")</f>
        <v>AP Spanish Literature and Culture</v>
      </c>
      <c r="E938" s="3">
        <f>IFERROR(__xludf.DUMMYFUNCTION("""COMPUTED_VALUE"""),8.0)</f>
        <v>8</v>
      </c>
      <c r="F938" s="300">
        <v>1.0</v>
      </c>
      <c r="G938" s="300">
        <v>1.0</v>
      </c>
      <c r="H938" s="300">
        <v>1.0</v>
      </c>
      <c r="I938" s="300">
        <v>1.0</v>
      </c>
      <c r="J938" s="300">
        <v>1.0</v>
      </c>
      <c r="K938" s="300">
        <v>1.0</v>
      </c>
      <c r="L938" s="300">
        <v>1.0</v>
      </c>
      <c r="M938" s="300">
        <v>1.0</v>
      </c>
      <c r="N938" s="300">
        <v>8.0</v>
      </c>
      <c r="O938" s="300" t="s">
        <v>825</v>
      </c>
      <c r="P938" s="300">
        <v>1.0</v>
      </c>
    </row>
    <row r="939">
      <c r="A939">
        <f>IFERROR(__xludf.DUMMYFUNCTION("""COMPUTED_VALUE"""),12.0)</f>
        <v>12</v>
      </c>
      <c r="B939">
        <f>IFERROR(__xludf.DUMMYFUNCTION("""COMPUTED_VALUE"""),26074.0)</f>
        <v>26074</v>
      </c>
      <c r="C939" t="str">
        <f>IFERROR(__xludf.DUMMYFUNCTION("""COMPUTED_VALUE"""),"MESA GIRALDO, MARIA JOSE")</f>
        <v>MESA GIRALDO, MARIA JOSE</v>
      </c>
      <c r="D939" t="str">
        <f>IFERROR(__xludf.DUMMYFUNCTION("""COMPUTED_VALUE"""),"AP Spanish Literature and Culture")</f>
        <v>AP Spanish Literature and Culture</v>
      </c>
      <c r="E939" s="3">
        <f>IFERROR(__xludf.DUMMYFUNCTION("""COMPUTED_VALUE"""),8.0)</f>
        <v>8</v>
      </c>
      <c r="F939" s="300">
        <v>1.0</v>
      </c>
      <c r="G939" s="300">
        <v>1.0</v>
      </c>
      <c r="H939" s="300">
        <v>1.0</v>
      </c>
      <c r="I939" s="300">
        <v>1.0</v>
      </c>
      <c r="J939" s="300">
        <v>1.0</v>
      </c>
      <c r="K939" s="300">
        <v>1.0</v>
      </c>
      <c r="L939" s="300">
        <v>1.0</v>
      </c>
      <c r="M939" s="300">
        <v>1.0</v>
      </c>
      <c r="N939" s="300">
        <v>8.0</v>
      </c>
      <c r="O939" s="300" t="s">
        <v>825</v>
      </c>
      <c r="P939" s="300">
        <v>1.0</v>
      </c>
    </row>
    <row r="940">
      <c r="A940">
        <f>IFERROR(__xludf.DUMMYFUNCTION("""COMPUTED_VALUE"""),12.0)</f>
        <v>12</v>
      </c>
      <c r="B940">
        <f>IFERROR(__xludf.DUMMYFUNCTION("""COMPUTED_VALUE"""),26146.0)</f>
        <v>26146</v>
      </c>
      <c r="C940" t="str">
        <f>IFERROR(__xludf.DUMMYFUNCTION("""COMPUTED_VALUE"""),"MOLINA CASAS, MARIA DEL MAR")</f>
        <v>MOLINA CASAS, MARIA DEL MAR</v>
      </c>
      <c r="D940" t="str">
        <f>IFERROR(__xludf.DUMMYFUNCTION("""COMPUTED_VALUE"""),"Spanish and Literature 12")</f>
        <v>Spanish and Literature 12</v>
      </c>
      <c r="E940" s="3">
        <f>IFERROR(__xludf.DUMMYFUNCTION("""COMPUTED_VALUE"""),5.0)</f>
        <v>5</v>
      </c>
      <c r="F940" s="300">
        <v>1.0</v>
      </c>
      <c r="G940" s="300">
        <v>1.0</v>
      </c>
      <c r="H940" s="300">
        <v>1.0</v>
      </c>
      <c r="I940" s="300">
        <v>1.0</v>
      </c>
      <c r="J940" s="300">
        <v>1.0</v>
      </c>
      <c r="K940" s="300">
        <v>1.0</v>
      </c>
      <c r="L940" s="300">
        <v>1.0</v>
      </c>
      <c r="M940" s="300">
        <v>1.0</v>
      </c>
      <c r="N940" s="300">
        <v>8.0</v>
      </c>
      <c r="O940" s="300" t="s">
        <v>835</v>
      </c>
      <c r="P940" s="300">
        <v>5.0</v>
      </c>
    </row>
    <row r="941">
      <c r="A941">
        <f>IFERROR(__xludf.DUMMYFUNCTION("""COMPUTED_VALUE"""),12.0)</f>
        <v>12</v>
      </c>
      <c r="B941">
        <f>IFERROR(__xludf.DUMMYFUNCTION("""COMPUTED_VALUE"""),26029.0)</f>
        <v>26029</v>
      </c>
      <c r="C941" t="str">
        <f>IFERROR(__xludf.DUMMYFUNCTION("""COMPUTED_VALUE"""),"FAJARDO YEPES, ELISA")</f>
        <v>FAJARDO YEPES, ELISA</v>
      </c>
      <c r="D941" t="str">
        <f>IFERROR(__xludf.DUMMYFUNCTION("""COMPUTED_VALUE"""),"Spanish and Literature 12")</f>
        <v>Spanish and Literature 12</v>
      </c>
      <c r="E941" s="3">
        <f>IFERROR(__xludf.DUMMYFUNCTION("""COMPUTED_VALUE"""),3.0)</f>
        <v>3</v>
      </c>
      <c r="F941" s="300">
        <v>1.0</v>
      </c>
      <c r="G941" s="300">
        <v>1.0</v>
      </c>
      <c r="H941" s="300">
        <v>1.0</v>
      </c>
      <c r="I941" s="300">
        <v>1.0</v>
      </c>
      <c r="J941" s="300">
        <v>1.0</v>
      </c>
      <c r="K941" s="300">
        <v>1.0</v>
      </c>
      <c r="L941" s="300">
        <v>1.0</v>
      </c>
      <c r="M941" s="300">
        <v>1.0</v>
      </c>
      <c r="N941" s="300">
        <v>8.0</v>
      </c>
      <c r="O941" s="300" t="s">
        <v>834</v>
      </c>
      <c r="P941" s="300">
        <v>5.0</v>
      </c>
    </row>
    <row r="942">
      <c r="A942">
        <f>IFERROR(__xludf.DUMMYFUNCTION("""COMPUTED_VALUE"""),12.0)</f>
        <v>12</v>
      </c>
      <c r="B942">
        <f>IFERROR(__xludf.DUMMYFUNCTION("""COMPUTED_VALUE"""),26092.0)</f>
        <v>26092</v>
      </c>
      <c r="C942" t="str">
        <f>IFERROR(__xludf.DUMMYFUNCTION("""COMPUTED_VALUE"""),"PLATA BOLAÑOS, SOFIA")</f>
        <v>PLATA BOLAÑOS, SOFIA</v>
      </c>
      <c r="D942" t="str">
        <f>IFERROR(__xludf.DUMMYFUNCTION("""COMPUTED_VALUE"""),"Spanish and Literature 12")</f>
        <v>Spanish and Literature 12</v>
      </c>
      <c r="E942" s="3">
        <f>IFERROR(__xludf.DUMMYFUNCTION("""COMPUTED_VALUE"""),5.0)</f>
        <v>5</v>
      </c>
      <c r="F942" s="300">
        <v>1.0</v>
      </c>
      <c r="G942" s="300">
        <v>1.0</v>
      </c>
      <c r="H942" s="300">
        <v>1.0</v>
      </c>
      <c r="I942" s="300">
        <v>1.0</v>
      </c>
      <c r="J942" s="300">
        <v>1.0</v>
      </c>
      <c r="K942" s="300">
        <v>1.0</v>
      </c>
      <c r="L942" s="300">
        <v>1.0</v>
      </c>
      <c r="M942" s="300">
        <v>1.0</v>
      </c>
      <c r="N942" s="300">
        <v>8.0</v>
      </c>
      <c r="O942" s="300" t="s">
        <v>835</v>
      </c>
      <c r="P942" s="300">
        <v>5.0</v>
      </c>
    </row>
    <row r="943">
      <c r="A943">
        <f>IFERROR(__xludf.DUMMYFUNCTION("""COMPUTED_VALUE"""),12.0)</f>
        <v>12</v>
      </c>
      <c r="B943">
        <f>IFERROR(__xludf.DUMMYFUNCTION("""COMPUTED_VALUE"""),26136.0)</f>
        <v>26136</v>
      </c>
      <c r="C943" t="str">
        <f>IFERROR(__xludf.DUMMYFUNCTION("""COMPUTED_VALUE"""),"VASQUEZ MUÑOZ, MANUELA")</f>
        <v>VASQUEZ MUÑOZ, MANUELA</v>
      </c>
      <c r="D943" t="str">
        <f>IFERROR(__xludf.DUMMYFUNCTION("""COMPUTED_VALUE"""),"Spanish and Literature 12")</f>
        <v>Spanish and Literature 12</v>
      </c>
      <c r="E943" s="3">
        <f>IFERROR(__xludf.DUMMYFUNCTION("""COMPUTED_VALUE"""),7.0)</f>
        <v>7</v>
      </c>
      <c r="F943" s="300">
        <v>1.0</v>
      </c>
      <c r="G943" s="300">
        <v>1.0</v>
      </c>
      <c r="H943" s="300">
        <v>1.0</v>
      </c>
      <c r="I943" s="300">
        <v>1.0</v>
      </c>
      <c r="J943" s="300">
        <v>1.0</v>
      </c>
      <c r="K943" s="300">
        <v>1.0</v>
      </c>
      <c r="L943" s="300">
        <v>1.0</v>
      </c>
      <c r="M943" s="300">
        <v>1.0</v>
      </c>
      <c r="N943" s="300">
        <v>8.0</v>
      </c>
      <c r="O943" s="300" t="s">
        <v>833</v>
      </c>
      <c r="P943" s="300">
        <v>5.0</v>
      </c>
    </row>
    <row r="944">
      <c r="A944">
        <f>IFERROR(__xludf.DUMMYFUNCTION("""COMPUTED_VALUE"""),12.0)</f>
        <v>12</v>
      </c>
      <c r="B944">
        <f>IFERROR(__xludf.DUMMYFUNCTION("""COMPUTED_VALUE"""),26170.0)</f>
        <v>26170</v>
      </c>
      <c r="C944" t="str">
        <f>IFERROR(__xludf.DUMMYFUNCTION("""COMPUTED_VALUE"""),"BOTERO SPERA, EMMA")</f>
        <v>BOTERO SPERA, EMMA</v>
      </c>
      <c r="D944" t="str">
        <f>IFERROR(__xludf.DUMMYFUNCTION("""COMPUTED_VALUE"""),"Spanish and Literature 12")</f>
        <v>Spanish and Literature 12</v>
      </c>
      <c r="E944" s="3">
        <f>IFERROR(__xludf.DUMMYFUNCTION("""COMPUTED_VALUE"""),3.0)</f>
        <v>3</v>
      </c>
      <c r="F944" s="300">
        <v>1.0</v>
      </c>
      <c r="G944" s="300">
        <v>1.0</v>
      </c>
      <c r="H944" s="300">
        <v>1.0</v>
      </c>
      <c r="I944" s="300">
        <v>1.0</v>
      </c>
      <c r="J944" s="300">
        <v>1.0</v>
      </c>
      <c r="K944" s="300">
        <v>1.0</v>
      </c>
      <c r="L944" s="300">
        <v>1.0</v>
      </c>
      <c r="M944" s="300">
        <v>1.0</v>
      </c>
      <c r="N944" s="300">
        <v>8.0</v>
      </c>
      <c r="O944" s="300" t="s">
        <v>834</v>
      </c>
      <c r="P944" s="300">
        <v>5.0</v>
      </c>
    </row>
    <row r="945">
      <c r="A945">
        <f>IFERROR(__xludf.DUMMYFUNCTION("""COMPUTED_VALUE"""),12.0)</f>
        <v>12</v>
      </c>
      <c r="B945">
        <f>IFERROR(__xludf.DUMMYFUNCTION("""COMPUTED_VALUE"""),26093.0)</f>
        <v>26093</v>
      </c>
      <c r="C945" t="str">
        <f>IFERROR(__xludf.DUMMYFUNCTION("""COMPUTED_VALUE"""),"PUERTA PAZ, JUANITA")</f>
        <v>PUERTA PAZ, JUANITA</v>
      </c>
      <c r="D945" t="str">
        <f>IFERROR(__xludf.DUMMYFUNCTION("""COMPUTED_VALUE"""),"AP Spanish Literature and Culture")</f>
        <v>AP Spanish Literature and Culture</v>
      </c>
      <c r="E945" s="3">
        <f>IFERROR(__xludf.DUMMYFUNCTION("""COMPUTED_VALUE"""),8.0)</f>
        <v>8</v>
      </c>
      <c r="F945" s="300">
        <v>1.0</v>
      </c>
      <c r="G945" s="300">
        <v>1.0</v>
      </c>
      <c r="H945" s="300">
        <v>1.0</v>
      </c>
      <c r="I945" s="300">
        <v>1.0</v>
      </c>
      <c r="J945" s="300">
        <v>1.0</v>
      </c>
      <c r="K945" s="300">
        <v>1.0</v>
      </c>
      <c r="L945" s="300">
        <v>1.0</v>
      </c>
      <c r="M945" s="300">
        <v>1.0</v>
      </c>
      <c r="N945" s="300">
        <v>8.0</v>
      </c>
      <c r="O945" s="300" t="s">
        <v>825</v>
      </c>
      <c r="P945" s="300">
        <v>1.0</v>
      </c>
    </row>
    <row r="946">
      <c r="A946">
        <f>IFERROR(__xludf.DUMMYFUNCTION("""COMPUTED_VALUE"""),12.0)</f>
        <v>12</v>
      </c>
      <c r="B946">
        <f>IFERROR(__xludf.DUMMYFUNCTION("""COMPUTED_VALUE"""),26055.0)</f>
        <v>26055</v>
      </c>
      <c r="C946" t="str">
        <f>IFERROR(__xludf.DUMMYFUNCTION("""COMPUTED_VALUE"""),"ISAZA CADAVID, RAQUEL")</f>
        <v>ISAZA CADAVID, RAQUEL</v>
      </c>
      <c r="D946" t="str">
        <f>IFERROR(__xludf.DUMMYFUNCTION("""COMPUTED_VALUE"""),"Spanish and Literature 12")</f>
        <v>Spanish and Literature 12</v>
      </c>
      <c r="E946" s="3">
        <f>IFERROR(__xludf.DUMMYFUNCTION("""COMPUTED_VALUE"""),7.0)</f>
        <v>7</v>
      </c>
      <c r="F946" s="300">
        <v>1.0</v>
      </c>
      <c r="G946" s="300">
        <v>1.0</v>
      </c>
      <c r="H946" s="300">
        <v>1.0</v>
      </c>
      <c r="I946" s="300">
        <v>1.0</v>
      </c>
      <c r="J946" s="300">
        <v>1.0</v>
      </c>
      <c r="K946" s="300">
        <v>1.0</v>
      </c>
      <c r="L946" s="300">
        <v>1.0</v>
      </c>
      <c r="M946" s="300">
        <v>1.0</v>
      </c>
      <c r="N946" s="300">
        <v>8.0</v>
      </c>
      <c r="O946" s="300" t="s">
        <v>833</v>
      </c>
      <c r="P946" s="300">
        <v>5.0</v>
      </c>
    </row>
    <row r="947">
      <c r="A947">
        <f>IFERROR(__xludf.DUMMYFUNCTION("""COMPUTED_VALUE"""),12.0)</f>
        <v>12</v>
      </c>
      <c r="B947">
        <f>IFERROR(__xludf.DUMMYFUNCTION("""COMPUTED_VALUE"""),26060.0)</f>
        <v>26060</v>
      </c>
      <c r="C947" t="str">
        <f>IFERROR(__xludf.DUMMYFUNCTION("""COMPUTED_VALUE"""),"JARAMILLO OSPINA, ANTONIA")</f>
        <v>JARAMILLO OSPINA, ANTONIA</v>
      </c>
      <c r="D947" t="str">
        <f>IFERROR(__xludf.DUMMYFUNCTION("""COMPUTED_VALUE"""),"Spanish and Literature 12")</f>
        <v>Spanish and Literature 12</v>
      </c>
      <c r="E947" s="3">
        <f>IFERROR(__xludf.DUMMYFUNCTION("""COMPUTED_VALUE"""),3.0)</f>
        <v>3</v>
      </c>
      <c r="F947" s="300">
        <v>1.0</v>
      </c>
      <c r="G947" s="300">
        <v>1.0</v>
      </c>
      <c r="H947" s="300">
        <v>1.0</v>
      </c>
      <c r="I947" s="300">
        <v>1.0</v>
      </c>
      <c r="J947" s="300">
        <v>1.0</v>
      </c>
      <c r="K947" s="300">
        <v>1.0</v>
      </c>
      <c r="L947" s="300">
        <v>1.0</v>
      </c>
      <c r="M947" s="300">
        <v>1.0</v>
      </c>
      <c r="N947" s="300">
        <v>8.0</v>
      </c>
      <c r="O947" s="300" t="s">
        <v>834</v>
      </c>
      <c r="P947" s="300">
        <v>5.0</v>
      </c>
    </row>
    <row r="948">
      <c r="A948">
        <f>IFERROR(__xludf.DUMMYFUNCTION("""COMPUTED_VALUE"""),12.0)</f>
        <v>12</v>
      </c>
      <c r="B948">
        <f>IFERROR(__xludf.DUMMYFUNCTION("""COMPUTED_VALUE"""),26134.0)</f>
        <v>26134</v>
      </c>
      <c r="C948" t="str">
        <f>IFERROR(__xludf.DUMMYFUNCTION("""COMPUTED_VALUE"""),"BOHORQUEZ GOMEZ, GABRIELA")</f>
        <v>BOHORQUEZ GOMEZ, GABRIELA</v>
      </c>
      <c r="D948" t="str">
        <f>IFERROR(__xludf.DUMMYFUNCTION("""COMPUTED_VALUE"""),"Spanish and Literature 12")</f>
        <v>Spanish and Literature 12</v>
      </c>
      <c r="E948" s="3">
        <f>IFERROR(__xludf.DUMMYFUNCTION("""COMPUTED_VALUE"""),5.0)</f>
        <v>5</v>
      </c>
      <c r="F948" s="300">
        <v>1.0</v>
      </c>
      <c r="G948" s="300">
        <v>1.0</v>
      </c>
      <c r="H948" s="300">
        <v>1.0</v>
      </c>
      <c r="I948" s="300">
        <v>1.0</v>
      </c>
      <c r="J948" s="300">
        <v>1.0</v>
      </c>
      <c r="K948" s="300">
        <v>1.0</v>
      </c>
      <c r="L948" s="300">
        <v>1.0</v>
      </c>
      <c r="M948" s="300">
        <v>1.0</v>
      </c>
      <c r="N948" s="300">
        <v>8.0</v>
      </c>
      <c r="O948" s="300" t="s">
        <v>835</v>
      </c>
      <c r="P948" s="300">
        <v>5.0</v>
      </c>
    </row>
    <row r="949">
      <c r="A949">
        <f>IFERROR(__xludf.DUMMYFUNCTION("""COMPUTED_VALUE"""),12.0)</f>
        <v>12</v>
      </c>
      <c r="B949">
        <f>IFERROR(__xludf.DUMMYFUNCTION("""COMPUTED_VALUE"""),26143.0)</f>
        <v>26143</v>
      </c>
      <c r="C949" t="str">
        <f>IFERROR(__xludf.DUMMYFUNCTION("""COMPUTED_VALUE"""),"BEDOYA JIMENEZ, SEBASTIAN")</f>
        <v>BEDOYA JIMENEZ, SEBASTIAN</v>
      </c>
      <c r="D949" t="str">
        <f>IFERROR(__xludf.DUMMYFUNCTION("""COMPUTED_VALUE"""),"Spanish and Literature 12")</f>
        <v>Spanish and Literature 12</v>
      </c>
      <c r="E949" s="3">
        <f>IFERROR(__xludf.DUMMYFUNCTION("""COMPUTED_VALUE"""),3.0)</f>
        <v>3</v>
      </c>
      <c r="F949" s="300">
        <v>1.0</v>
      </c>
      <c r="G949" s="300">
        <v>1.0</v>
      </c>
      <c r="H949" s="300">
        <v>1.0</v>
      </c>
      <c r="I949" s="300">
        <v>1.0</v>
      </c>
      <c r="J949" s="300">
        <v>1.0</v>
      </c>
      <c r="K949" s="300">
        <v>1.0</v>
      </c>
      <c r="L949" s="300">
        <v>1.0</v>
      </c>
      <c r="M949" s="300">
        <v>1.0</v>
      </c>
      <c r="N949" s="300">
        <v>8.0</v>
      </c>
      <c r="O949" s="300" t="s">
        <v>834</v>
      </c>
      <c r="P949" s="300">
        <v>5.0</v>
      </c>
    </row>
    <row r="950">
      <c r="A950">
        <f>IFERROR(__xludf.DUMMYFUNCTION("""COMPUTED_VALUE"""),12.0)</f>
        <v>12</v>
      </c>
      <c r="B950">
        <f>IFERROR(__xludf.DUMMYFUNCTION("""COMPUTED_VALUE"""),26063.0)</f>
        <v>26063</v>
      </c>
      <c r="C950" t="str">
        <f>IFERROR(__xludf.DUMMYFUNCTION("""COMPUTED_VALUE"""),"KIM LEE, SAE-YOUNG PABLO")</f>
        <v>KIM LEE, SAE-YOUNG PABLO</v>
      </c>
      <c r="D950" t="str">
        <f>IFERROR(__xludf.DUMMYFUNCTION("""COMPUTED_VALUE"""),"Spanish and Literature 12")</f>
        <v>Spanish and Literature 12</v>
      </c>
      <c r="E950" s="3">
        <f>IFERROR(__xludf.DUMMYFUNCTION("""COMPUTED_VALUE"""),2.0)</f>
        <v>2</v>
      </c>
      <c r="F950" s="300">
        <v>1.0</v>
      </c>
      <c r="G950" s="300">
        <v>1.0</v>
      </c>
      <c r="H950" s="300">
        <v>1.0</v>
      </c>
      <c r="I950" s="300">
        <v>1.0</v>
      </c>
      <c r="J950" s="300">
        <v>1.0</v>
      </c>
      <c r="K950" s="300">
        <v>1.0</v>
      </c>
      <c r="L950" s="300">
        <v>1.0</v>
      </c>
      <c r="M950" s="300">
        <v>1.0</v>
      </c>
      <c r="N950" s="300">
        <v>8.0</v>
      </c>
      <c r="O950" s="300" t="s">
        <v>831</v>
      </c>
      <c r="P950" s="300">
        <v>5.0</v>
      </c>
    </row>
    <row r="951">
      <c r="A951">
        <f>IFERROR(__xludf.DUMMYFUNCTION("""COMPUTED_VALUE"""),12.0)</f>
        <v>12</v>
      </c>
      <c r="B951">
        <f>IFERROR(__xludf.DUMMYFUNCTION("""COMPUTED_VALUE"""),26018.0)</f>
        <v>26018</v>
      </c>
      <c r="C951" t="str">
        <f>IFERROR(__xludf.DUMMYFUNCTION("""COMPUTED_VALUE"""),"BOTERO TOQUICA, REBECA")</f>
        <v>BOTERO TOQUICA, REBECA</v>
      </c>
      <c r="D951" t="str">
        <f>IFERROR(__xludf.DUMMYFUNCTION("""COMPUTED_VALUE"""),"Spanish and Literature 12")</f>
        <v>Spanish and Literature 12</v>
      </c>
      <c r="E951" s="3">
        <f>IFERROR(__xludf.DUMMYFUNCTION("""COMPUTED_VALUE"""),4.0)</f>
        <v>4</v>
      </c>
      <c r="F951" s="300">
        <v>1.0</v>
      </c>
      <c r="G951" s="300">
        <v>1.0</v>
      </c>
      <c r="H951" s="300">
        <v>1.0</v>
      </c>
      <c r="I951" s="300">
        <v>1.0</v>
      </c>
      <c r="J951" s="300">
        <v>1.0</v>
      </c>
      <c r="K951" s="300">
        <v>1.0</v>
      </c>
      <c r="L951" s="300">
        <v>1.0</v>
      </c>
      <c r="M951" s="300">
        <v>1.0</v>
      </c>
      <c r="N951" s="300">
        <v>8.0</v>
      </c>
      <c r="O951" s="300" t="s">
        <v>832</v>
      </c>
      <c r="P951" s="300">
        <v>5.0</v>
      </c>
    </row>
    <row r="952">
      <c r="A952">
        <f>IFERROR(__xludf.DUMMYFUNCTION("""COMPUTED_VALUE"""),12.0)</f>
        <v>12</v>
      </c>
      <c r="B952">
        <f>IFERROR(__xludf.DUMMYFUNCTION("""COMPUTED_VALUE"""),26087.0)</f>
        <v>26087</v>
      </c>
      <c r="C952" t="str">
        <f>IFERROR(__xludf.DUMMYFUNCTION("""COMPUTED_VALUE"""),"PELAEZ BORDA, ELIAS")</f>
        <v>PELAEZ BORDA, ELIAS</v>
      </c>
      <c r="D952" t="str">
        <f>IFERROR(__xludf.DUMMYFUNCTION("""COMPUTED_VALUE"""),"Spanish and Literature 12")</f>
        <v>Spanish and Literature 12</v>
      </c>
      <c r="E952" s="3">
        <f>IFERROR(__xludf.DUMMYFUNCTION("""COMPUTED_VALUE"""),7.0)</f>
        <v>7</v>
      </c>
      <c r="F952" s="300">
        <v>1.0</v>
      </c>
      <c r="G952" s="300">
        <v>1.0</v>
      </c>
      <c r="H952" s="300">
        <v>1.0</v>
      </c>
      <c r="I952" s="300">
        <v>1.0</v>
      </c>
      <c r="J952" s="300">
        <v>1.0</v>
      </c>
      <c r="K952" s="300">
        <v>1.0</v>
      </c>
      <c r="L952" s="300">
        <v>1.0</v>
      </c>
      <c r="M952" s="300">
        <v>1.0</v>
      </c>
      <c r="N952" s="300">
        <v>8.0</v>
      </c>
      <c r="O952" s="300" t="s">
        <v>833</v>
      </c>
      <c r="P952" s="300">
        <v>5.0</v>
      </c>
    </row>
    <row r="953">
      <c r="A953">
        <f>IFERROR(__xludf.DUMMYFUNCTION("""COMPUTED_VALUE"""),12.0)</f>
        <v>12</v>
      </c>
      <c r="B953">
        <f>IFERROR(__xludf.DUMMYFUNCTION("""COMPUTED_VALUE"""),26065.0)</f>
        <v>26065</v>
      </c>
      <c r="C953" t="str">
        <f>IFERROR(__xludf.DUMMYFUNCTION("""COMPUTED_VALUE"""),"LONDOÑO CONGOTE, SANTIAGO")</f>
        <v>LONDOÑO CONGOTE, SANTIAGO</v>
      </c>
      <c r="D953" t="str">
        <f>IFERROR(__xludf.DUMMYFUNCTION("""COMPUTED_VALUE"""),"Spanish and Literature 12")</f>
        <v>Spanish and Literature 12</v>
      </c>
      <c r="E953" s="3">
        <f>IFERROR(__xludf.DUMMYFUNCTION("""COMPUTED_VALUE"""),5.0)</f>
        <v>5</v>
      </c>
      <c r="F953" s="300">
        <v>1.0</v>
      </c>
      <c r="G953" s="300">
        <v>1.0</v>
      </c>
      <c r="H953" s="300">
        <v>1.0</v>
      </c>
      <c r="I953" s="300">
        <v>1.0</v>
      </c>
      <c r="J953" s="300">
        <v>1.0</v>
      </c>
      <c r="K953" s="300">
        <v>1.0</v>
      </c>
      <c r="L953" s="300">
        <v>1.0</v>
      </c>
      <c r="M953" s="300">
        <v>1.0</v>
      </c>
      <c r="N953" s="300">
        <v>8.0</v>
      </c>
      <c r="O953" s="300" t="s">
        <v>835</v>
      </c>
      <c r="P953" s="300">
        <v>5.0</v>
      </c>
    </row>
    <row r="954">
      <c r="A954">
        <f>IFERROR(__xludf.DUMMYFUNCTION("""COMPUTED_VALUE"""),12.0)</f>
        <v>12</v>
      </c>
      <c r="B954">
        <f>IFERROR(__xludf.DUMMYFUNCTION("""COMPUTED_VALUE"""),26150.0)</f>
        <v>26150</v>
      </c>
      <c r="C954" t="str">
        <f>IFERROR(__xludf.DUMMYFUNCTION("""COMPUTED_VALUE"""),"MOLANO MESA, CANDELARIA")</f>
        <v>MOLANO MESA, CANDELARIA</v>
      </c>
      <c r="D954" t="str">
        <f>IFERROR(__xludf.DUMMYFUNCTION("""COMPUTED_VALUE"""),"AP Spanish Literature and Culture")</f>
        <v>AP Spanish Literature and Culture</v>
      </c>
      <c r="E954" s="3">
        <f>IFERROR(__xludf.DUMMYFUNCTION("""COMPUTED_VALUE"""),8.0)</f>
        <v>8</v>
      </c>
      <c r="F954" s="300">
        <v>1.0</v>
      </c>
      <c r="G954" s="300">
        <v>1.0</v>
      </c>
      <c r="H954" s="300">
        <v>1.0</v>
      </c>
      <c r="I954" s="300">
        <v>1.0</v>
      </c>
      <c r="J954" s="300">
        <v>1.0</v>
      </c>
      <c r="K954" s="300">
        <v>1.0</v>
      </c>
      <c r="L954" s="300">
        <v>1.0</v>
      </c>
      <c r="M954" s="300">
        <v>1.0</v>
      </c>
      <c r="N954" s="300">
        <v>8.0</v>
      </c>
      <c r="O954" s="300" t="s">
        <v>825</v>
      </c>
      <c r="P954" s="300">
        <v>1.0</v>
      </c>
    </row>
    <row r="955">
      <c r="A955">
        <f>IFERROR(__xludf.DUMMYFUNCTION("""COMPUTED_VALUE"""),12.0)</f>
        <v>12</v>
      </c>
      <c r="B955">
        <f>IFERROR(__xludf.DUMMYFUNCTION("""COMPUTED_VALUE"""),26061.0)</f>
        <v>26061</v>
      </c>
      <c r="C955" t="str">
        <f>IFERROR(__xludf.DUMMYFUNCTION("""COMPUTED_VALUE"""),"JARAMILLO RUIZ, BENJAMIN")</f>
        <v>JARAMILLO RUIZ, BENJAMIN</v>
      </c>
      <c r="D955" t="str">
        <f>IFERROR(__xludf.DUMMYFUNCTION("""COMPUTED_VALUE"""),"Spanish and Literature 12")</f>
        <v>Spanish and Literature 12</v>
      </c>
      <c r="E955" s="3">
        <f>IFERROR(__xludf.DUMMYFUNCTION("""COMPUTED_VALUE"""),4.0)</f>
        <v>4</v>
      </c>
      <c r="F955" s="300">
        <v>1.0</v>
      </c>
      <c r="G955" s="300">
        <v>1.0</v>
      </c>
      <c r="H955" s="300">
        <v>1.0</v>
      </c>
      <c r="I955" s="300">
        <v>1.0</v>
      </c>
      <c r="J955" s="300">
        <v>1.0</v>
      </c>
      <c r="K955" s="300">
        <v>1.0</v>
      </c>
      <c r="L955" s="300">
        <v>1.0</v>
      </c>
      <c r="M955" s="300">
        <v>1.0</v>
      </c>
      <c r="N955" s="300">
        <v>8.0</v>
      </c>
      <c r="O955" s="300" t="s">
        <v>832</v>
      </c>
      <c r="P955" s="300">
        <v>5.0</v>
      </c>
    </row>
    <row r="956">
      <c r="A956">
        <f>IFERROR(__xludf.DUMMYFUNCTION("""COMPUTED_VALUE"""),12.0)</f>
        <v>12</v>
      </c>
      <c r="B956">
        <f>IFERROR(__xludf.DUMMYFUNCTION("""COMPUTED_VALUE"""),26157.0)</f>
        <v>26157</v>
      </c>
      <c r="C956" t="str">
        <f>IFERROR(__xludf.DUMMYFUNCTION("""COMPUTED_VALUE"""),"CARVAJAL PEREZ, JERONIMO")</f>
        <v>CARVAJAL PEREZ, JERONIMO</v>
      </c>
      <c r="D956" t="str">
        <f>IFERROR(__xludf.DUMMYFUNCTION("""COMPUTED_VALUE"""),"Spanish and Literature 12")</f>
        <v>Spanish and Literature 12</v>
      </c>
      <c r="E956" s="3">
        <f>IFERROR(__xludf.DUMMYFUNCTION("""COMPUTED_VALUE"""),4.0)</f>
        <v>4</v>
      </c>
      <c r="F956" s="300">
        <v>1.0</v>
      </c>
      <c r="G956" s="300">
        <v>1.0</v>
      </c>
      <c r="H956" s="300">
        <v>1.0</v>
      </c>
      <c r="I956" s="300">
        <v>1.0</v>
      </c>
      <c r="J956" s="300">
        <v>1.0</v>
      </c>
      <c r="K956" s="300">
        <v>1.0</v>
      </c>
      <c r="L956" s="300">
        <v>1.0</v>
      </c>
      <c r="M956" s="300">
        <v>1.0</v>
      </c>
      <c r="N956" s="300">
        <v>8.0</v>
      </c>
      <c r="O956" s="300" t="s">
        <v>832</v>
      </c>
      <c r="P956" s="300">
        <v>5.0</v>
      </c>
    </row>
    <row r="957">
      <c r="A957">
        <f>IFERROR(__xludf.DUMMYFUNCTION("""COMPUTED_VALUE"""),12.0)</f>
        <v>12</v>
      </c>
      <c r="B957">
        <f>IFERROR(__xludf.DUMMYFUNCTION("""COMPUTED_VALUE"""),26062.0)</f>
        <v>26062</v>
      </c>
      <c r="C957" t="str">
        <f>IFERROR(__xludf.DUMMYFUNCTION("""COMPUTED_VALUE"""),"JIMENEZ ESCOBAR, NICOLAS")</f>
        <v>JIMENEZ ESCOBAR, NICOLAS</v>
      </c>
      <c r="D957" t="str">
        <f>IFERROR(__xludf.DUMMYFUNCTION("""COMPUTED_VALUE"""),"Spanish and Literature 12")</f>
        <v>Spanish and Literature 12</v>
      </c>
      <c r="E957" s="3">
        <f>IFERROR(__xludf.DUMMYFUNCTION("""COMPUTED_VALUE"""),2.0)</f>
        <v>2</v>
      </c>
      <c r="F957" s="300">
        <v>1.0</v>
      </c>
      <c r="G957" s="300">
        <v>1.0</v>
      </c>
      <c r="H957" s="300">
        <v>1.0</v>
      </c>
      <c r="I957" s="300">
        <v>1.0</v>
      </c>
      <c r="J957" s="300">
        <v>1.0</v>
      </c>
      <c r="K957" s="300">
        <v>1.0</v>
      </c>
      <c r="L957" s="300">
        <v>1.0</v>
      </c>
      <c r="M957" s="300">
        <v>1.0</v>
      </c>
      <c r="N957" s="300">
        <v>8.0</v>
      </c>
      <c r="O957" s="300" t="s">
        <v>831</v>
      </c>
      <c r="P957" s="300">
        <v>5.0</v>
      </c>
    </row>
    <row r="958">
      <c r="A958">
        <f>IFERROR(__xludf.DUMMYFUNCTION("""COMPUTED_VALUE"""),12.0)</f>
        <v>12</v>
      </c>
      <c r="B958">
        <f>IFERROR(__xludf.DUMMYFUNCTION("""COMPUTED_VALUE"""),26096.0)</f>
        <v>26096</v>
      </c>
      <c r="C958" t="str">
        <f>IFERROR(__xludf.DUMMYFUNCTION("""COMPUTED_VALUE"""),"RAMOS TRUJILLO, MARIA JOSE")</f>
        <v>RAMOS TRUJILLO, MARIA JOSE</v>
      </c>
      <c r="D958" t="str">
        <f>IFERROR(__xludf.DUMMYFUNCTION("""COMPUTED_VALUE"""),"Spanish and Literature 12")</f>
        <v>Spanish and Literature 12</v>
      </c>
      <c r="E958" s="3">
        <f>IFERROR(__xludf.DUMMYFUNCTION("""COMPUTED_VALUE"""),5.0)</f>
        <v>5</v>
      </c>
      <c r="F958" s="300">
        <v>1.0</v>
      </c>
      <c r="G958" s="300">
        <v>1.0</v>
      </c>
      <c r="H958" s="300">
        <v>1.0</v>
      </c>
      <c r="I958" s="300">
        <v>1.0</v>
      </c>
      <c r="J958" s="300">
        <v>1.0</v>
      </c>
      <c r="K958" s="300">
        <v>1.0</v>
      </c>
      <c r="L958" s="300">
        <v>1.0</v>
      </c>
      <c r="M958" s="300">
        <v>1.0</v>
      </c>
      <c r="N958" s="300">
        <v>8.0</v>
      </c>
      <c r="O958" s="300" t="s">
        <v>835</v>
      </c>
      <c r="P958" s="300">
        <v>5.0</v>
      </c>
    </row>
    <row r="959">
      <c r="A959">
        <f>IFERROR(__xludf.DUMMYFUNCTION("""COMPUTED_VALUE"""),12.0)</f>
        <v>12</v>
      </c>
      <c r="B959">
        <f>IFERROR(__xludf.DUMMYFUNCTION("""COMPUTED_VALUE"""),26045.0)</f>
        <v>26045</v>
      </c>
      <c r="C959" t="str">
        <f>IFERROR(__xludf.DUMMYFUNCTION("""COMPUTED_VALUE"""),"GRISALES PINEDA, JULIANA")</f>
        <v>GRISALES PINEDA, JULIANA</v>
      </c>
      <c r="D959" t="str">
        <f>IFERROR(__xludf.DUMMYFUNCTION("""COMPUTED_VALUE"""),"Spanish and Literature 12")</f>
        <v>Spanish and Literature 12</v>
      </c>
      <c r="E959" s="3">
        <f>IFERROR(__xludf.DUMMYFUNCTION("""COMPUTED_VALUE"""),3.0)</f>
        <v>3</v>
      </c>
      <c r="F959" s="300">
        <v>1.0</v>
      </c>
      <c r="G959" s="300">
        <v>1.0</v>
      </c>
      <c r="H959" s="300">
        <v>1.0</v>
      </c>
      <c r="I959" s="300">
        <v>1.0</v>
      </c>
      <c r="J959" s="300">
        <v>1.0</v>
      </c>
      <c r="K959" s="300">
        <v>1.0</v>
      </c>
      <c r="L959" s="300">
        <v>1.0</v>
      </c>
      <c r="M959" s="300">
        <v>1.0</v>
      </c>
      <c r="N959" s="300">
        <v>8.0</v>
      </c>
      <c r="O959" s="300" t="s">
        <v>834</v>
      </c>
      <c r="P959" s="300">
        <v>5.0</v>
      </c>
    </row>
    <row r="960">
      <c r="A960">
        <f>IFERROR(__xludf.DUMMYFUNCTION("""COMPUTED_VALUE"""),12.0)</f>
        <v>12</v>
      </c>
      <c r="B960">
        <f>IFERROR(__xludf.DUMMYFUNCTION("""COMPUTED_VALUE"""),26126.0)</f>
        <v>26126</v>
      </c>
      <c r="C960" t="str">
        <f>IFERROR(__xludf.DUMMYFUNCTION("""COMPUTED_VALUE"""),"ZAPATA SALDARRIAGA, TOMAS")</f>
        <v>ZAPATA SALDARRIAGA, TOMAS</v>
      </c>
      <c r="D960" t="str">
        <f>IFERROR(__xludf.DUMMYFUNCTION("""COMPUTED_VALUE"""),"Spanish and Literature 12")</f>
        <v>Spanish and Literature 12</v>
      </c>
      <c r="E960" s="3">
        <f>IFERROR(__xludf.DUMMYFUNCTION("""COMPUTED_VALUE"""),3.0)</f>
        <v>3</v>
      </c>
      <c r="F960" s="300">
        <v>1.0</v>
      </c>
      <c r="G960" s="300">
        <v>1.0</v>
      </c>
      <c r="H960" s="300">
        <v>1.0</v>
      </c>
      <c r="I960" s="300">
        <v>1.0</v>
      </c>
      <c r="J960" s="300">
        <v>1.0</v>
      </c>
      <c r="K960" s="300">
        <v>1.0</v>
      </c>
      <c r="L960" s="300">
        <v>1.0</v>
      </c>
      <c r="M960" s="300">
        <v>1.0</v>
      </c>
      <c r="N960" s="300">
        <v>8.0</v>
      </c>
      <c r="O960" s="300" t="s">
        <v>834</v>
      </c>
      <c r="P960" s="300">
        <v>5.0</v>
      </c>
    </row>
    <row r="961">
      <c r="A961">
        <f>IFERROR(__xludf.DUMMYFUNCTION("""COMPUTED_VALUE"""),12.0)</f>
        <v>12</v>
      </c>
      <c r="B961">
        <f>IFERROR(__xludf.DUMMYFUNCTION("""COMPUTED_VALUE"""),26151.0)</f>
        <v>26151</v>
      </c>
      <c r="C961" t="str">
        <f>IFERROR(__xludf.DUMMYFUNCTION("""COMPUTED_VALUE"""),"CADAVID ECHAVARRIA, SUSANA")</f>
        <v>CADAVID ECHAVARRIA, SUSANA</v>
      </c>
      <c r="D961" t="str">
        <f>IFERROR(__xludf.DUMMYFUNCTION("""COMPUTED_VALUE"""),"AP Spanish Literature and Culture")</f>
        <v>AP Spanish Literature and Culture</v>
      </c>
      <c r="E961" s="3">
        <f>IFERROR(__xludf.DUMMYFUNCTION("""COMPUTED_VALUE"""),8.0)</f>
        <v>8</v>
      </c>
      <c r="F961" s="300">
        <v>1.0</v>
      </c>
      <c r="G961" s="300">
        <v>1.0</v>
      </c>
      <c r="H961" s="300">
        <v>1.0</v>
      </c>
      <c r="I961" s="300">
        <v>1.0</v>
      </c>
      <c r="J961" s="300">
        <v>1.0</v>
      </c>
      <c r="K961" s="300">
        <v>1.0</v>
      </c>
      <c r="L961" s="300">
        <v>1.0</v>
      </c>
      <c r="M961" s="300">
        <v>1.0</v>
      </c>
      <c r="N961" s="300">
        <v>8.0</v>
      </c>
      <c r="O961" s="300" t="s">
        <v>825</v>
      </c>
      <c r="P961" s="300">
        <v>1.0</v>
      </c>
    </row>
    <row r="962">
      <c r="A962">
        <f>IFERROR(__xludf.DUMMYFUNCTION("""COMPUTED_VALUE"""),12.0)</f>
        <v>12</v>
      </c>
      <c r="B962">
        <f>IFERROR(__xludf.DUMMYFUNCTION("""COMPUTED_VALUE"""),26175.0)</f>
        <v>26175</v>
      </c>
      <c r="C962" t="str">
        <f>IFERROR(__xludf.DUMMYFUNCTION("""COMPUTED_VALUE"""),"GRULLON SANTOS, DIEGO")</f>
        <v>GRULLON SANTOS, DIEGO</v>
      </c>
      <c r="D962" t="str">
        <f>IFERROR(__xludf.DUMMYFUNCTION("""COMPUTED_VALUE"""),"Spanish and Literature 12")</f>
        <v>Spanish and Literature 12</v>
      </c>
      <c r="E962" s="3">
        <f>IFERROR(__xludf.DUMMYFUNCTION("""COMPUTED_VALUE"""),4.0)</f>
        <v>4</v>
      </c>
      <c r="F962" s="300">
        <v>1.0</v>
      </c>
      <c r="G962" s="300">
        <v>1.0</v>
      </c>
      <c r="H962" s="300">
        <v>1.0</v>
      </c>
      <c r="I962" s="300">
        <v>1.0</v>
      </c>
      <c r="J962" s="300">
        <v>1.0</v>
      </c>
      <c r="K962" s="300">
        <v>1.0</v>
      </c>
      <c r="L962" s="300">
        <v>1.0</v>
      </c>
      <c r="M962" s="300">
        <v>1.0</v>
      </c>
      <c r="N962" s="300">
        <v>8.0</v>
      </c>
      <c r="O962" s="300" t="s">
        <v>832</v>
      </c>
      <c r="P962" s="300">
        <v>5.0</v>
      </c>
    </row>
    <row r="963">
      <c r="A963">
        <f>IFERROR(__xludf.DUMMYFUNCTION("""COMPUTED_VALUE"""),12.0)</f>
        <v>12</v>
      </c>
      <c r="B963">
        <f>IFERROR(__xludf.DUMMYFUNCTION("""COMPUTED_VALUE"""),26164.0)</f>
        <v>26164</v>
      </c>
      <c r="C963" t="str">
        <f>IFERROR(__xludf.DUMMYFUNCTION("""COMPUTED_VALUE"""),"HARRIS, ROWEN IAN")</f>
        <v>HARRIS, ROWEN IAN</v>
      </c>
      <c r="D963" t="str">
        <f>IFERROR(__xludf.DUMMYFUNCTION("""COMPUTED_VALUE"""),"Journalism Higher Level")</f>
        <v>Journalism Higher Level</v>
      </c>
      <c r="E963" s="3">
        <f>IFERROR(__xludf.DUMMYFUNCTION("""COMPUTED_VALUE"""),3.0)</f>
        <v>3</v>
      </c>
      <c r="F963" s="300">
        <v>1.0</v>
      </c>
      <c r="G963" s="300">
        <v>1.0</v>
      </c>
      <c r="H963" s="300">
        <v>1.0</v>
      </c>
      <c r="I963" s="300">
        <v>1.0</v>
      </c>
      <c r="J963" s="300">
        <v>1.0</v>
      </c>
      <c r="K963" s="300">
        <v>1.0</v>
      </c>
      <c r="L963" s="300">
        <v>1.0</v>
      </c>
      <c r="M963" s="300">
        <v>1.0</v>
      </c>
      <c r="N963" s="300">
        <v>8.0</v>
      </c>
      <c r="O963" s="300" t="s">
        <v>798</v>
      </c>
      <c r="P963" s="300">
        <v>3.0</v>
      </c>
    </row>
    <row r="964">
      <c r="A964">
        <f>IFERROR(__xludf.DUMMYFUNCTION("""COMPUTED_VALUE"""),12.0)</f>
        <v>12</v>
      </c>
      <c r="B964">
        <f>IFERROR(__xludf.DUMMYFUNCTION("""COMPUTED_VALUE"""),26016.0)</f>
        <v>26016</v>
      </c>
      <c r="C964" t="str">
        <f>IFERROR(__xludf.DUMMYFUNCTION("""COMPUTED_VALUE"""),"BETANCUR VILLEGAS, SOFIA")</f>
        <v>BETANCUR VILLEGAS, SOFIA</v>
      </c>
      <c r="D964" t="str">
        <f>IFERROR(__xludf.DUMMYFUNCTION("""COMPUTED_VALUE"""),"Spanish and Literature 12")</f>
        <v>Spanish and Literature 12</v>
      </c>
      <c r="E964" s="3">
        <f>IFERROR(__xludf.DUMMYFUNCTION("""COMPUTED_VALUE"""),2.0)</f>
        <v>2</v>
      </c>
      <c r="F964" s="300">
        <v>1.0</v>
      </c>
      <c r="G964" s="300">
        <v>1.0</v>
      </c>
      <c r="H964" s="300">
        <v>1.0</v>
      </c>
      <c r="I964" s="300">
        <v>1.0</v>
      </c>
      <c r="J964" s="300">
        <v>1.0</v>
      </c>
      <c r="K964" s="300">
        <v>1.0</v>
      </c>
      <c r="L964" s="300">
        <v>1.0</v>
      </c>
      <c r="M964" s="300">
        <v>1.0</v>
      </c>
      <c r="N964" s="300">
        <v>8.0</v>
      </c>
      <c r="O964" s="300" t="s">
        <v>831</v>
      </c>
      <c r="P964" s="300">
        <v>5.0</v>
      </c>
    </row>
    <row r="965">
      <c r="A965">
        <f>IFERROR(__xludf.DUMMYFUNCTION("""COMPUTED_VALUE"""),12.0)</f>
        <v>12</v>
      </c>
      <c r="B965">
        <f>IFERROR(__xludf.DUMMYFUNCTION("""COMPUTED_VALUE"""),26057.0)</f>
        <v>26057</v>
      </c>
      <c r="C965" t="str">
        <f>IFERROR(__xludf.DUMMYFUNCTION("""COMPUTED_VALUE"""),"JARAMILLO ARANGO, AMALIA")</f>
        <v>JARAMILLO ARANGO, AMALIA</v>
      </c>
      <c r="D965" t="str">
        <f>IFERROR(__xludf.DUMMYFUNCTION("""COMPUTED_VALUE"""),"Spanish and Literature 12")</f>
        <v>Spanish and Literature 12</v>
      </c>
      <c r="E965" s="3">
        <f>IFERROR(__xludf.DUMMYFUNCTION("""COMPUTED_VALUE"""),5.0)</f>
        <v>5</v>
      </c>
      <c r="F965" s="300">
        <v>1.0</v>
      </c>
      <c r="G965" s="300">
        <v>1.0</v>
      </c>
      <c r="H965" s="300">
        <v>1.0</v>
      </c>
      <c r="I965" s="300">
        <v>1.0</v>
      </c>
      <c r="J965" s="300">
        <v>1.0</v>
      </c>
      <c r="K965" s="300">
        <v>1.0</v>
      </c>
      <c r="L965" s="300">
        <v>1.0</v>
      </c>
      <c r="M965" s="300">
        <v>1.0</v>
      </c>
      <c r="N965" s="300">
        <v>8.0</v>
      </c>
      <c r="O965" s="300" t="s">
        <v>835</v>
      </c>
      <c r="P965" s="300">
        <v>5.0</v>
      </c>
    </row>
    <row r="966">
      <c r="A966">
        <f>IFERROR(__xludf.DUMMYFUNCTION("""COMPUTED_VALUE"""),12.0)</f>
        <v>12</v>
      </c>
      <c r="B966">
        <f>IFERROR(__xludf.DUMMYFUNCTION("""COMPUTED_VALUE"""),26059.0)</f>
        <v>26059</v>
      </c>
      <c r="C966" t="str">
        <f>IFERROR(__xludf.DUMMYFUNCTION("""COMPUTED_VALUE"""),"JARAMILLO NARANJO, SARA")</f>
        <v>JARAMILLO NARANJO, SARA</v>
      </c>
      <c r="D966" t="str">
        <f>IFERROR(__xludf.DUMMYFUNCTION("""COMPUTED_VALUE"""),"Spanish and Literature 12")</f>
        <v>Spanish and Literature 12</v>
      </c>
      <c r="E966" s="3">
        <f>IFERROR(__xludf.DUMMYFUNCTION("""COMPUTED_VALUE"""),4.0)</f>
        <v>4</v>
      </c>
      <c r="F966" s="300">
        <v>1.0</v>
      </c>
      <c r="G966" s="300">
        <v>1.0</v>
      </c>
      <c r="H966" s="300">
        <v>1.0</v>
      </c>
      <c r="I966" s="300">
        <v>1.0</v>
      </c>
      <c r="J966" s="300">
        <v>1.0</v>
      </c>
      <c r="K966" s="300">
        <v>1.0</v>
      </c>
      <c r="L966" s="300">
        <v>1.0</v>
      </c>
      <c r="M966" s="300">
        <v>1.0</v>
      </c>
      <c r="N966" s="300">
        <v>8.0</v>
      </c>
      <c r="O966" s="300" t="s">
        <v>832</v>
      </c>
      <c r="P966" s="300">
        <v>5.0</v>
      </c>
    </row>
    <row r="967">
      <c r="A967">
        <f>IFERROR(__xludf.DUMMYFUNCTION("""COMPUTED_VALUE"""),12.0)</f>
        <v>12</v>
      </c>
      <c r="B967">
        <f>IFERROR(__xludf.DUMMYFUNCTION("""COMPUTED_VALUE"""),26094.0)</f>
        <v>26094</v>
      </c>
      <c r="C967" t="str">
        <f>IFERROR(__xludf.DUMMYFUNCTION("""COMPUTED_VALUE"""),"PULGARIN HUERTAS, AMELIA")</f>
        <v>PULGARIN HUERTAS, AMELIA</v>
      </c>
      <c r="D967" t="str">
        <f>IFERROR(__xludf.DUMMYFUNCTION("""COMPUTED_VALUE"""),"Spanish and Literature 12")</f>
        <v>Spanish and Literature 12</v>
      </c>
      <c r="E967" s="3">
        <f>IFERROR(__xludf.DUMMYFUNCTION("""COMPUTED_VALUE"""),7.0)</f>
        <v>7</v>
      </c>
      <c r="F967" s="300">
        <v>1.0</v>
      </c>
      <c r="G967" s="300">
        <v>1.0</v>
      </c>
      <c r="H967" s="300">
        <v>1.0</v>
      </c>
      <c r="I967" s="300">
        <v>1.0</v>
      </c>
      <c r="J967" s="300">
        <v>1.0</v>
      </c>
      <c r="K967" s="300">
        <v>1.0</v>
      </c>
      <c r="L967" s="300">
        <v>1.0</v>
      </c>
      <c r="M967" s="300">
        <v>1.0</v>
      </c>
      <c r="N967" s="300">
        <v>8.0</v>
      </c>
      <c r="O967" s="300" t="s">
        <v>833</v>
      </c>
      <c r="P967" s="300">
        <v>5.0</v>
      </c>
    </row>
    <row r="968">
      <c r="A968">
        <f>IFERROR(__xludf.DUMMYFUNCTION("""COMPUTED_VALUE"""),12.0)</f>
        <v>12</v>
      </c>
      <c r="B968">
        <f>IFERROR(__xludf.DUMMYFUNCTION("""COMPUTED_VALUE"""),26007.0)</f>
        <v>26007</v>
      </c>
      <c r="C968" t="str">
        <f>IFERROR(__xludf.DUMMYFUNCTION("""COMPUTED_VALUE"""),"ARANGO ESCOBAR, JULIANA")</f>
        <v>ARANGO ESCOBAR, JULIANA</v>
      </c>
      <c r="D968" t="str">
        <f>IFERROR(__xludf.DUMMYFUNCTION("""COMPUTED_VALUE"""),"Spanish and Literature 12")</f>
        <v>Spanish and Literature 12</v>
      </c>
      <c r="E968" s="3">
        <f>IFERROR(__xludf.DUMMYFUNCTION("""COMPUTED_VALUE"""),2.0)</f>
        <v>2</v>
      </c>
      <c r="F968" s="300">
        <v>1.0</v>
      </c>
      <c r="G968" s="300">
        <v>1.0</v>
      </c>
      <c r="H968" s="300">
        <v>1.0</v>
      </c>
      <c r="I968" s="300">
        <v>1.0</v>
      </c>
      <c r="J968" s="300">
        <v>1.0</v>
      </c>
      <c r="K968" s="300">
        <v>1.0</v>
      </c>
      <c r="L968" s="300">
        <v>1.0</v>
      </c>
      <c r="M968" s="300">
        <v>1.0</v>
      </c>
      <c r="N968" s="300">
        <v>8.0</v>
      </c>
      <c r="O968" s="300" t="s">
        <v>831</v>
      </c>
      <c r="P968" s="300">
        <v>5.0</v>
      </c>
    </row>
    <row r="969">
      <c r="A969">
        <f>IFERROR(__xludf.DUMMYFUNCTION("""COMPUTED_VALUE"""),12.0)</f>
        <v>12</v>
      </c>
      <c r="B969">
        <f>IFERROR(__xludf.DUMMYFUNCTION("""COMPUTED_VALUE"""),26176.0)</f>
        <v>26176</v>
      </c>
      <c r="C969" t="str">
        <f>IFERROR(__xludf.DUMMYFUNCTION("""COMPUTED_VALUE"""),"FORTICH ANGULO, SERGIO")</f>
        <v>FORTICH ANGULO, SERGIO</v>
      </c>
      <c r="D969" t="str">
        <f>IFERROR(__xludf.DUMMYFUNCTION("""COMPUTED_VALUE"""),"Spanish and Literature 12")</f>
        <v>Spanish and Literature 12</v>
      </c>
      <c r="E969" s="3">
        <f>IFERROR(__xludf.DUMMYFUNCTION("""COMPUTED_VALUE"""),3.0)</f>
        <v>3</v>
      </c>
      <c r="F969" s="300">
        <v>1.0</v>
      </c>
      <c r="G969" s="300">
        <v>1.0</v>
      </c>
      <c r="H969" s="300">
        <v>1.0</v>
      </c>
      <c r="I969" s="300">
        <v>1.0</v>
      </c>
      <c r="J969" s="300">
        <v>1.0</v>
      </c>
      <c r="K969" s="300">
        <v>1.0</v>
      </c>
      <c r="L969" s="300">
        <v>1.0</v>
      </c>
      <c r="M969" s="300">
        <v>1.0</v>
      </c>
      <c r="N969" s="300">
        <v>8.0</v>
      </c>
      <c r="O969" s="300" t="s">
        <v>834</v>
      </c>
      <c r="P969" s="300">
        <v>5.0</v>
      </c>
    </row>
    <row r="970">
      <c r="A970">
        <f>IFERROR(__xludf.DUMMYFUNCTION("""COMPUTED_VALUE"""),12.0)</f>
        <v>12</v>
      </c>
      <c r="B970">
        <f>IFERROR(__xludf.DUMMYFUNCTION("""COMPUTED_VALUE"""),26070.0)</f>
        <v>26070</v>
      </c>
      <c r="C970" t="str">
        <f>IFERROR(__xludf.DUMMYFUNCTION("""COMPUTED_VALUE"""),"MEJIA MEJIA, LUCAS")</f>
        <v>MEJIA MEJIA, LUCAS</v>
      </c>
      <c r="D970" t="str">
        <f>IFERROR(__xludf.DUMMYFUNCTION("""COMPUTED_VALUE"""),"Spanish and Literature 12")</f>
        <v>Spanish and Literature 12</v>
      </c>
      <c r="E970" s="3">
        <f>IFERROR(__xludf.DUMMYFUNCTION("""COMPUTED_VALUE"""),3.0)</f>
        <v>3</v>
      </c>
      <c r="F970" s="300">
        <v>1.0</v>
      </c>
      <c r="G970" s="300">
        <v>1.0</v>
      </c>
      <c r="H970" s="300">
        <v>1.0</v>
      </c>
      <c r="I970" s="300">
        <v>1.0</v>
      </c>
      <c r="J970" s="300">
        <v>1.0</v>
      </c>
      <c r="K970" s="300">
        <v>1.0</v>
      </c>
      <c r="L970" s="300">
        <v>1.0</v>
      </c>
      <c r="M970" s="300">
        <v>1.0</v>
      </c>
      <c r="N970" s="300">
        <v>8.0</v>
      </c>
      <c r="O970" s="300" t="s">
        <v>834</v>
      </c>
      <c r="P970" s="300">
        <v>5.0</v>
      </c>
    </row>
    <row r="971">
      <c r="A971">
        <f>IFERROR(__xludf.DUMMYFUNCTION("""COMPUTED_VALUE"""),12.0)</f>
        <v>12</v>
      </c>
      <c r="B971">
        <f>IFERROR(__xludf.DUMMYFUNCTION("""COMPUTED_VALUE"""),26052.0)</f>
        <v>26052</v>
      </c>
      <c r="C971" t="str">
        <f>IFERROR(__xludf.DUMMYFUNCTION("""COMPUTED_VALUE"""),"HINESTROSA SIERRA, AMALIA")</f>
        <v>HINESTROSA SIERRA, AMALIA</v>
      </c>
      <c r="D971" t="str">
        <f>IFERROR(__xludf.DUMMYFUNCTION("""COMPUTED_VALUE"""),"Spanish and Literature 12")</f>
        <v>Spanish and Literature 12</v>
      </c>
      <c r="E971" s="3">
        <f>IFERROR(__xludf.DUMMYFUNCTION("""COMPUTED_VALUE"""),5.0)</f>
        <v>5</v>
      </c>
      <c r="F971" s="300">
        <v>1.0</v>
      </c>
      <c r="G971" s="300">
        <v>1.0</v>
      </c>
      <c r="H971" s="300">
        <v>1.0</v>
      </c>
      <c r="I971" s="300">
        <v>1.0</v>
      </c>
      <c r="J971" s="300">
        <v>1.0</v>
      </c>
      <c r="K971" s="300">
        <v>1.0</v>
      </c>
      <c r="L971" s="300">
        <v>1.0</v>
      </c>
      <c r="M971" s="300">
        <v>1.0</v>
      </c>
      <c r="N971" s="300">
        <v>8.0</v>
      </c>
      <c r="O971" s="300" t="s">
        <v>835</v>
      </c>
      <c r="P971" s="300">
        <v>5.0</v>
      </c>
    </row>
    <row r="972">
      <c r="A972">
        <f>IFERROR(__xludf.DUMMYFUNCTION("""COMPUTED_VALUE"""),12.0)</f>
        <v>12</v>
      </c>
      <c r="B972">
        <f>IFERROR(__xludf.DUMMYFUNCTION("""COMPUTED_VALUE"""),26123.0)</f>
        <v>26123</v>
      </c>
      <c r="C972" t="str">
        <f>IFERROR(__xludf.DUMMYFUNCTION("""COMPUTED_VALUE"""),"WOLFF RAMIREZ, MARIA")</f>
        <v>WOLFF RAMIREZ, MARIA</v>
      </c>
      <c r="D972" t="str">
        <f>IFERROR(__xludf.DUMMYFUNCTION("""COMPUTED_VALUE"""),"Spanish and Literature 12")</f>
        <v>Spanish and Literature 12</v>
      </c>
      <c r="E972" s="3">
        <f>IFERROR(__xludf.DUMMYFUNCTION("""COMPUTED_VALUE"""),3.0)</f>
        <v>3</v>
      </c>
      <c r="F972" s="300">
        <v>1.0</v>
      </c>
      <c r="G972" s="300">
        <v>1.0</v>
      </c>
      <c r="H972" s="300">
        <v>1.0</v>
      </c>
      <c r="I972" s="300">
        <v>1.0</v>
      </c>
      <c r="J972" s="300">
        <v>1.0</v>
      </c>
      <c r="K972" s="300">
        <v>1.0</v>
      </c>
      <c r="L972" s="300">
        <v>1.0</v>
      </c>
      <c r="M972" s="300">
        <v>1.0</v>
      </c>
      <c r="N972" s="300">
        <v>8.0</v>
      </c>
      <c r="O972" s="300" t="s">
        <v>834</v>
      </c>
      <c r="P972" s="300">
        <v>5.0</v>
      </c>
    </row>
    <row r="973">
      <c r="A973">
        <f>IFERROR(__xludf.DUMMYFUNCTION("""COMPUTED_VALUE"""),12.0)</f>
        <v>12</v>
      </c>
      <c r="B973">
        <f>IFERROR(__xludf.DUMMYFUNCTION("""COMPUTED_VALUE"""),26042.0)</f>
        <v>26042</v>
      </c>
      <c r="C973" t="str">
        <f>IFERROR(__xludf.DUMMYFUNCTION("""COMPUTED_VALUE"""),"GOMEZ VELEZ, MIGUEL")</f>
        <v>GOMEZ VELEZ, MIGUEL</v>
      </c>
      <c r="D973" t="str">
        <f>IFERROR(__xludf.DUMMYFUNCTION("""COMPUTED_VALUE"""),"Spanish and Literature 12")</f>
        <v>Spanish and Literature 12</v>
      </c>
      <c r="E973" s="3">
        <f>IFERROR(__xludf.DUMMYFUNCTION("""COMPUTED_VALUE"""),5.0)</f>
        <v>5</v>
      </c>
      <c r="F973" s="300">
        <v>1.0</v>
      </c>
      <c r="G973" s="300">
        <v>1.0</v>
      </c>
      <c r="H973" s="300">
        <v>1.0</v>
      </c>
      <c r="I973" s="300">
        <v>1.0</v>
      </c>
      <c r="J973" s="300">
        <v>1.0</v>
      </c>
      <c r="K973" s="300">
        <v>1.0</v>
      </c>
      <c r="L973" s="300">
        <v>1.0</v>
      </c>
      <c r="M973" s="300">
        <v>1.0</v>
      </c>
      <c r="N973" s="300">
        <v>8.0</v>
      </c>
      <c r="O973" s="300" t="s">
        <v>835</v>
      </c>
      <c r="P973" s="300">
        <v>5.0</v>
      </c>
    </row>
    <row r="974">
      <c r="A974">
        <f>IFERROR(__xludf.DUMMYFUNCTION("""COMPUTED_VALUE"""),12.0)</f>
        <v>12</v>
      </c>
      <c r="B974">
        <f>IFERROR(__xludf.DUMMYFUNCTION("""COMPUTED_VALUE"""),26116.0)</f>
        <v>26116</v>
      </c>
      <c r="C974" t="str">
        <f>IFERROR(__xludf.DUMMYFUNCTION("""COMPUTED_VALUE"""),"VELEZ FERRER, AGUSTIN")</f>
        <v>VELEZ FERRER, AGUSTIN</v>
      </c>
      <c r="D974" t="str">
        <f>IFERROR(__xludf.DUMMYFUNCTION("""COMPUTED_VALUE"""),"Spanish and Literature 12")</f>
        <v>Spanish and Literature 12</v>
      </c>
      <c r="E974" s="3">
        <f>IFERROR(__xludf.DUMMYFUNCTION("""COMPUTED_VALUE"""),3.0)</f>
        <v>3</v>
      </c>
      <c r="F974" s="300">
        <v>1.0</v>
      </c>
      <c r="G974" s="300">
        <v>1.0</v>
      </c>
      <c r="H974" s="300">
        <v>1.0</v>
      </c>
      <c r="I974" s="300">
        <v>1.0</v>
      </c>
      <c r="J974" s="300">
        <v>1.0</v>
      </c>
      <c r="K974" s="300">
        <v>1.0</v>
      </c>
      <c r="L974" s="300">
        <v>1.0</v>
      </c>
      <c r="M974" s="300">
        <v>1.0</v>
      </c>
      <c r="N974" s="300">
        <v>8.0</v>
      </c>
      <c r="O974" s="300" t="s">
        <v>834</v>
      </c>
      <c r="P974" s="300">
        <v>5.0</v>
      </c>
    </row>
    <row r="975">
      <c r="A975">
        <f>IFERROR(__xludf.DUMMYFUNCTION("""COMPUTED_VALUE"""),12.0)</f>
        <v>12</v>
      </c>
      <c r="B975">
        <f>IFERROR(__xludf.DUMMYFUNCTION("""COMPUTED_VALUE"""),26039.0)</f>
        <v>26039</v>
      </c>
      <c r="C975" t="str">
        <f>IFERROR(__xludf.DUMMYFUNCTION("""COMPUTED_VALUE"""),"GOMEZ LINCE, MARIA")</f>
        <v>GOMEZ LINCE, MARIA</v>
      </c>
      <c r="D975" t="str">
        <f>IFERROR(__xludf.DUMMYFUNCTION("""COMPUTED_VALUE"""),"Spanish and Literature 12")</f>
        <v>Spanish and Literature 12</v>
      </c>
      <c r="E975" s="3">
        <f>IFERROR(__xludf.DUMMYFUNCTION("""COMPUTED_VALUE"""),7.0)</f>
        <v>7</v>
      </c>
      <c r="F975" s="300">
        <v>1.0</v>
      </c>
      <c r="G975" s="300">
        <v>1.0</v>
      </c>
      <c r="H975" s="300">
        <v>1.0</v>
      </c>
      <c r="I975" s="300">
        <v>1.0</v>
      </c>
      <c r="J975" s="300">
        <v>1.0</v>
      </c>
      <c r="K975" s="300">
        <v>1.0</v>
      </c>
      <c r="L975" s="300">
        <v>1.0</v>
      </c>
      <c r="M975" s="300">
        <v>1.0</v>
      </c>
      <c r="N975" s="300">
        <v>8.0</v>
      </c>
      <c r="O975" s="300" t="s">
        <v>833</v>
      </c>
      <c r="P975" s="300">
        <v>5.0</v>
      </c>
    </row>
    <row r="976">
      <c r="A976">
        <f>IFERROR(__xludf.DUMMYFUNCTION("""COMPUTED_VALUE"""),12.0)</f>
        <v>12</v>
      </c>
      <c r="B976">
        <f>IFERROR(__xludf.DUMMYFUNCTION("""COMPUTED_VALUE"""),26030.0)</f>
        <v>26030</v>
      </c>
      <c r="C976" t="str">
        <f>IFERROR(__xludf.DUMMYFUNCTION("""COMPUTED_VALUE"""),"FERNANDEZ DUQUE, CANDELARIA")</f>
        <v>FERNANDEZ DUQUE, CANDELARIA</v>
      </c>
      <c r="D976" t="str">
        <f>IFERROR(__xludf.DUMMYFUNCTION("""COMPUTED_VALUE"""),"Spanish and Literature 12")</f>
        <v>Spanish and Literature 12</v>
      </c>
      <c r="E976" s="3">
        <f>IFERROR(__xludf.DUMMYFUNCTION("""COMPUTED_VALUE"""),7.0)</f>
        <v>7</v>
      </c>
      <c r="F976" s="300">
        <v>1.0</v>
      </c>
      <c r="G976" s="300">
        <v>1.0</v>
      </c>
      <c r="H976" s="300">
        <v>1.0</v>
      </c>
      <c r="I976" s="300">
        <v>1.0</v>
      </c>
      <c r="J976" s="300">
        <v>1.0</v>
      </c>
      <c r="K976" s="300">
        <v>1.0</v>
      </c>
      <c r="L976" s="300">
        <v>1.0</v>
      </c>
      <c r="M976" s="300">
        <v>1.0</v>
      </c>
      <c r="N976" s="300">
        <v>8.0</v>
      </c>
      <c r="O976" s="300" t="s">
        <v>833</v>
      </c>
      <c r="P976" s="300">
        <v>5.0</v>
      </c>
    </row>
    <row r="977">
      <c r="A977">
        <f>IFERROR(__xludf.DUMMYFUNCTION("""COMPUTED_VALUE"""),12.0)</f>
        <v>12</v>
      </c>
      <c r="B977">
        <f>IFERROR(__xludf.DUMMYFUNCTION("""COMPUTED_VALUE"""),26003.0)</f>
        <v>26003</v>
      </c>
      <c r="C977" t="str">
        <f>IFERROR(__xludf.DUMMYFUNCTION("""COMPUTED_VALUE"""),"AGUDELO ECHEVERRI, MATIAS")</f>
        <v>AGUDELO ECHEVERRI, MATIAS</v>
      </c>
      <c r="D977" t="str">
        <f>IFERROR(__xludf.DUMMYFUNCTION("""COMPUTED_VALUE"""),"Spanish and Literature 12")</f>
        <v>Spanish and Literature 12</v>
      </c>
      <c r="E977" s="3">
        <f>IFERROR(__xludf.DUMMYFUNCTION("""COMPUTED_VALUE"""),5.0)</f>
        <v>5</v>
      </c>
      <c r="F977" s="300">
        <v>1.0</v>
      </c>
      <c r="G977" s="300">
        <v>1.0</v>
      </c>
      <c r="H977" s="300">
        <v>1.0</v>
      </c>
      <c r="I977" s="300">
        <v>1.0</v>
      </c>
      <c r="J977" s="300">
        <v>1.0</v>
      </c>
      <c r="K977" s="300">
        <v>1.0</v>
      </c>
      <c r="L977" s="300">
        <v>1.0</v>
      </c>
      <c r="M977" s="300">
        <v>1.0</v>
      </c>
      <c r="N977" s="300">
        <v>8.0</v>
      </c>
      <c r="O977" s="300" t="s">
        <v>835</v>
      </c>
      <c r="P977" s="300">
        <v>5.0</v>
      </c>
    </row>
    <row r="978">
      <c r="A978">
        <f>IFERROR(__xludf.DUMMYFUNCTION("""COMPUTED_VALUE"""),12.0)</f>
        <v>12</v>
      </c>
      <c r="B978" s="406">
        <f>IFERROR(__xludf.DUMMYFUNCTION("""COMPUTED_VALUE"""),26053.0)</f>
        <v>26053</v>
      </c>
      <c r="C978" t="str">
        <f>IFERROR(__xludf.DUMMYFUNCTION("""COMPUTED_VALUE"""),"HODEK RESTREPO, MIA")</f>
        <v>HODEK RESTREPO, MIA</v>
      </c>
      <c r="D978" t="str">
        <f>IFERROR(__xludf.DUMMYFUNCTION("""COMPUTED_VALUE"""),"Spanish and Literature 12")</f>
        <v>Spanish and Literature 12</v>
      </c>
      <c r="E978" s="3">
        <f>IFERROR(__xludf.DUMMYFUNCTION("""COMPUTED_VALUE"""),2.0)</f>
        <v>2</v>
      </c>
      <c r="F978" s="300">
        <v>1.0</v>
      </c>
      <c r="G978" s="300">
        <v>1.0</v>
      </c>
      <c r="H978" s="300">
        <v>1.0</v>
      </c>
      <c r="I978" s="300">
        <v>1.0</v>
      </c>
      <c r="J978" s="300">
        <v>1.0</v>
      </c>
      <c r="K978" s="300">
        <v>1.0</v>
      </c>
      <c r="L978" s="300">
        <v>1.0</v>
      </c>
      <c r="M978" s="300">
        <v>1.0</v>
      </c>
      <c r="N978" s="300">
        <v>8.0</v>
      </c>
      <c r="O978" s="300" t="s">
        <v>831</v>
      </c>
      <c r="P978" s="300">
        <v>5.0</v>
      </c>
    </row>
    <row r="979">
      <c r="A979">
        <f>IFERROR(__xludf.DUMMYFUNCTION("""COMPUTED_VALUE"""),12.0)</f>
        <v>12</v>
      </c>
      <c r="B979">
        <f>IFERROR(__xludf.DUMMYFUNCTION("""COMPUTED_VALUE"""),26021.0)</f>
        <v>26021</v>
      </c>
      <c r="C979" t="str">
        <f>IFERROR(__xludf.DUMMYFUNCTION("""COMPUTED_VALUE"""),"CARDONA OCHOA, CAMILA")</f>
        <v>CARDONA OCHOA, CAMILA</v>
      </c>
      <c r="D979" t="str">
        <f>IFERROR(__xludf.DUMMYFUNCTION("""COMPUTED_VALUE"""),"AP Spanish Literature and Culture")</f>
        <v>AP Spanish Literature and Culture</v>
      </c>
      <c r="E979" s="3">
        <f>IFERROR(__xludf.DUMMYFUNCTION("""COMPUTED_VALUE"""),8.0)</f>
        <v>8</v>
      </c>
      <c r="F979" s="300">
        <v>1.0</v>
      </c>
      <c r="G979" s="300">
        <v>1.0</v>
      </c>
      <c r="H979" s="300">
        <v>1.0</v>
      </c>
      <c r="I979" s="300">
        <v>1.0</v>
      </c>
      <c r="J979" s="300">
        <v>1.0</v>
      </c>
      <c r="K979" s="300">
        <v>1.0</v>
      </c>
      <c r="L979" s="300">
        <v>1.0</v>
      </c>
      <c r="M979" s="300">
        <v>1.0</v>
      </c>
      <c r="N979" s="300">
        <v>8.0</v>
      </c>
      <c r="O979" s="300" t="s">
        <v>825</v>
      </c>
      <c r="P979" s="300">
        <v>1.0</v>
      </c>
    </row>
    <row r="980">
      <c r="A980">
        <f>IFERROR(__xludf.DUMMYFUNCTION("""COMPUTED_VALUE"""),12.0)</f>
        <v>12</v>
      </c>
      <c r="B980">
        <f>IFERROR(__xludf.DUMMYFUNCTION("""COMPUTED_VALUE"""),26089.0)</f>
        <v>26089</v>
      </c>
      <c r="C980" t="str">
        <f>IFERROR(__xludf.DUMMYFUNCTION("""COMPUTED_VALUE"""),"PEREZ YEPES, EMILIANO")</f>
        <v>PEREZ YEPES, EMILIANO</v>
      </c>
      <c r="D980" t="str">
        <f>IFERROR(__xludf.DUMMYFUNCTION("""COMPUTED_VALUE"""),"Spanish and Literature 12")</f>
        <v>Spanish and Literature 12</v>
      </c>
      <c r="E980" s="3">
        <f>IFERROR(__xludf.DUMMYFUNCTION("""COMPUTED_VALUE"""),2.0)</f>
        <v>2</v>
      </c>
      <c r="F980" s="300">
        <v>1.0</v>
      </c>
      <c r="G980" s="300">
        <v>1.0</v>
      </c>
      <c r="H980" s="300">
        <v>1.0</v>
      </c>
      <c r="I980" s="300">
        <v>1.0</v>
      </c>
      <c r="J980" s="300">
        <v>1.0</v>
      </c>
      <c r="K980" s="300">
        <v>1.0</v>
      </c>
      <c r="L980" s="300">
        <v>1.0</v>
      </c>
      <c r="M980" s="300">
        <v>1.0</v>
      </c>
      <c r="N980" s="300">
        <v>8.0</v>
      </c>
      <c r="O980" s="300" t="s">
        <v>831</v>
      </c>
      <c r="P980" s="300">
        <v>5.0</v>
      </c>
    </row>
    <row r="981">
      <c r="A981">
        <f>IFERROR(__xludf.DUMMYFUNCTION("""COMPUTED_VALUE"""),12.0)</f>
        <v>12</v>
      </c>
      <c r="B981">
        <f>IFERROR(__xludf.DUMMYFUNCTION("""COMPUTED_VALUE"""),26035.0)</f>
        <v>26035</v>
      </c>
      <c r="C981" t="str">
        <f>IFERROR(__xludf.DUMMYFUNCTION("""COMPUTED_VALUE"""),"GAVIRIA GONZALEZ, MATIAS")</f>
        <v>GAVIRIA GONZALEZ, MATIAS</v>
      </c>
      <c r="D981" t="str">
        <f>IFERROR(__xludf.DUMMYFUNCTION("""COMPUTED_VALUE"""),"Spanish and Literature 12")</f>
        <v>Spanish and Literature 12</v>
      </c>
      <c r="E981" s="3">
        <f>IFERROR(__xludf.DUMMYFUNCTION("""COMPUTED_VALUE"""),4.0)</f>
        <v>4</v>
      </c>
      <c r="F981" s="300">
        <v>1.0</v>
      </c>
      <c r="G981" s="300">
        <v>1.0</v>
      </c>
      <c r="H981" s="300">
        <v>1.0</v>
      </c>
      <c r="I981" s="300">
        <v>1.0</v>
      </c>
      <c r="J981" s="300">
        <v>1.0</v>
      </c>
      <c r="K981" s="300">
        <v>1.0</v>
      </c>
      <c r="L981" s="300">
        <v>1.0</v>
      </c>
      <c r="M981" s="300">
        <v>1.0</v>
      </c>
      <c r="N981" s="300">
        <v>8.0</v>
      </c>
      <c r="O981" s="300" t="s">
        <v>832</v>
      </c>
      <c r="P981" s="300">
        <v>5.0</v>
      </c>
    </row>
    <row r="982">
      <c r="A982">
        <f>IFERROR(__xludf.DUMMYFUNCTION("""COMPUTED_VALUE"""),12.0)</f>
        <v>12</v>
      </c>
      <c r="B982">
        <f>IFERROR(__xludf.DUMMYFUNCTION("""COMPUTED_VALUE"""),26171.0)</f>
        <v>26171</v>
      </c>
      <c r="C982" t="str">
        <f>IFERROR(__xludf.DUMMYFUNCTION("""COMPUTED_VALUE"""),"GOMEZ AMADOR, MATIAS")</f>
        <v>GOMEZ AMADOR, MATIAS</v>
      </c>
      <c r="D982" t="str">
        <f>IFERROR(__xludf.DUMMYFUNCTION("""COMPUTED_VALUE"""),"Spanish and Literature 12")</f>
        <v>Spanish and Literature 12</v>
      </c>
      <c r="E982" s="3">
        <f>IFERROR(__xludf.DUMMYFUNCTION("""COMPUTED_VALUE"""),2.0)</f>
        <v>2</v>
      </c>
      <c r="F982" s="300">
        <v>1.0</v>
      </c>
      <c r="G982" s="300">
        <v>1.0</v>
      </c>
      <c r="H982" s="300">
        <v>1.0</v>
      </c>
      <c r="I982" s="300">
        <v>1.0</v>
      </c>
      <c r="J982" s="300">
        <v>1.0</v>
      </c>
      <c r="K982" s="300">
        <v>1.0</v>
      </c>
      <c r="L982" s="300">
        <v>1.0</v>
      </c>
      <c r="M982" s="300">
        <v>1.0</v>
      </c>
      <c r="N982" s="300">
        <v>8.0</v>
      </c>
      <c r="O982" s="300" t="s">
        <v>831</v>
      </c>
      <c r="P982" s="300">
        <v>5.0</v>
      </c>
    </row>
    <row r="983">
      <c r="A983">
        <f>IFERROR(__xludf.DUMMYFUNCTION("""COMPUTED_VALUE"""),12.0)</f>
        <v>12</v>
      </c>
      <c r="B983">
        <f>IFERROR(__xludf.DUMMYFUNCTION("""COMPUTED_VALUE"""),26066.0)</f>
        <v>26066</v>
      </c>
      <c r="C983" t="str">
        <f>IFERROR(__xludf.DUMMYFUNCTION("""COMPUTED_VALUE"""),"LONDOÑO CUARTAS, MANUEL")</f>
        <v>LONDOÑO CUARTAS, MANUEL</v>
      </c>
      <c r="D983" t="str">
        <f>IFERROR(__xludf.DUMMYFUNCTION("""COMPUTED_VALUE"""),"Spanish and Literature 12")</f>
        <v>Spanish and Literature 12</v>
      </c>
      <c r="E983" s="3">
        <f>IFERROR(__xludf.DUMMYFUNCTION("""COMPUTED_VALUE"""),2.0)</f>
        <v>2</v>
      </c>
      <c r="F983" s="300">
        <v>1.0</v>
      </c>
      <c r="G983" s="300">
        <v>1.0</v>
      </c>
      <c r="H983" s="300">
        <v>1.0</v>
      </c>
      <c r="I983" s="300">
        <v>1.0</v>
      </c>
      <c r="J983" s="300">
        <v>1.0</v>
      </c>
      <c r="K983" s="300">
        <v>1.0</v>
      </c>
      <c r="L983" s="300">
        <v>1.0</v>
      </c>
      <c r="M983" s="300">
        <v>1.0</v>
      </c>
      <c r="N983" s="300">
        <v>8.0</v>
      </c>
      <c r="O983" s="300" t="s">
        <v>831</v>
      </c>
      <c r="P983" s="300">
        <v>5.0</v>
      </c>
    </row>
    <row r="984">
      <c r="A984">
        <f>IFERROR(__xludf.DUMMYFUNCTION("""COMPUTED_VALUE"""),12.0)</f>
        <v>12</v>
      </c>
      <c r="B984">
        <f>IFERROR(__xludf.DUMMYFUNCTION("""COMPUTED_VALUE"""),26101.0)</f>
        <v>26101</v>
      </c>
      <c r="C984" t="str">
        <f>IFERROR(__xludf.DUMMYFUNCTION("""COMPUTED_VALUE"""),"ROBLES RESTREPO, MANOLO")</f>
        <v>ROBLES RESTREPO, MANOLO</v>
      </c>
      <c r="D984" t="str">
        <f>IFERROR(__xludf.DUMMYFUNCTION("""COMPUTED_VALUE"""),"Spanish and Literature 12")</f>
        <v>Spanish and Literature 12</v>
      </c>
      <c r="E984" s="3">
        <f>IFERROR(__xludf.DUMMYFUNCTION("""COMPUTED_VALUE"""),2.0)</f>
        <v>2</v>
      </c>
      <c r="F984" s="300">
        <v>1.0</v>
      </c>
      <c r="G984" s="300">
        <v>1.0</v>
      </c>
      <c r="H984" s="300">
        <v>1.0</v>
      </c>
      <c r="I984" s="300">
        <v>1.0</v>
      </c>
      <c r="J984" s="300">
        <v>1.0</v>
      </c>
      <c r="K984" s="300">
        <v>1.0</v>
      </c>
      <c r="L984" s="300">
        <v>1.0</v>
      </c>
      <c r="M984" s="300">
        <v>1.0</v>
      </c>
      <c r="N984" s="300">
        <v>8.0</v>
      </c>
      <c r="O984" s="300" t="s">
        <v>831</v>
      </c>
      <c r="P984" s="300">
        <v>5.0</v>
      </c>
    </row>
    <row r="985">
      <c r="A985">
        <f>IFERROR(__xludf.DUMMYFUNCTION("""COMPUTED_VALUE"""),12.0)</f>
        <v>12</v>
      </c>
      <c r="B985">
        <f>IFERROR(__xludf.DUMMYFUNCTION("""COMPUTED_VALUE"""),26008.0)</f>
        <v>26008</v>
      </c>
      <c r="C985" t="str">
        <f>IFERROR(__xludf.DUMMYFUNCTION("""COMPUTED_VALUE"""),"ARANGO FERNANDEZ, JUAN")</f>
        <v>ARANGO FERNANDEZ, JUAN</v>
      </c>
      <c r="D985" t="str">
        <f>IFERROR(__xludf.DUMMYFUNCTION("""COMPUTED_VALUE"""),"Spanish and Literature 12")</f>
        <v>Spanish and Literature 12</v>
      </c>
      <c r="E985" s="3">
        <f>IFERROR(__xludf.DUMMYFUNCTION("""COMPUTED_VALUE"""),5.0)</f>
        <v>5</v>
      </c>
      <c r="F985" s="300">
        <v>1.0</v>
      </c>
      <c r="G985" s="300">
        <v>1.0</v>
      </c>
      <c r="H985" s="300">
        <v>1.0</v>
      </c>
      <c r="I985" s="300">
        <v>1.0</v>
      </c>
      <c r="J985" s="300">
        <v>1.0</v>
      </c>
      <c r="K985" s="300">
        <v>1.0</v>
      </c>
      <c r="L985" s="300">
        <v>1.0</v>
      </c>
      <c r="M985" s="300">
        <v>1.0</v>
      </c>
      <c r="N985" s="300">
        <v>8.0</v>
      </c>
      <c r="O985" s="300" t="s">
        <v>835</v>
      </c>
      <c r="P985" s="300">
        <v>5.0</v>
      </c>
    </row>
    <row r="986">
      <c r="A986">
        <f>IFERROR(__xludf.DUMMYFUNCTION("""COMPUTED_VALUE"""),12.0)</f>
        <v>12</v>
      </c>
      <c r="B986">
        <f>IFERROR(__xludf.DUMMYFUNCTION("""COMPUTED_VALUE"""),26011.0)</f>
        <v>26011</v>
      </c>
      <c r="C986" t="str">
        <f>IFERROR(__xludf.DUMMYFUNCTION("""COMPUTED_VALUE"""),"ARROYAVE RESTREPO, CAMILO")</f>
        <v>ARROYAVE RESTREPO, CAMILO</v>
      </c>
      <c r="D986" t="str">
        <f>IFERROR(__xludf.DUMMYFUNCTION("""COMPUTED_VALUE"""),"Spanish and Literature 12")</f>
        <v>Spanish and Literature 12</v>
      </c>
      <c r="E986" s="3">
        <f>IFERROR(__xludf.DUMMYFUNCTION("""COMPUTED_VALUE"""),5.0)</f>
        <v>5</v>
      </c>
      <c r="F986" s="300">
        <v>1.0</v>
      </c>
      <c r="G986" s="300">
        <v>1.0</v>
      </c>
      <c r="H986" s="300">
        <v>1.0</v>
      </c>
      <c r="I986" s="300">
        <v>1.0</v>
      </c>
      <c r="J986" s="300">
        <v>1.0</v>
      </c>
      <c r="K986" s="300">
        <v>1.0</v>
      </c>
      <c r="L986" s="300">
        <v>1.0</v>
      </c>
      <c r="M986" s="300">
        <v>1.0</v>
      </c>
      <c r="N986" s="300">
        <v>8.0</v>
      </c>
      <c r="O986" s="300" t="s">
        <v>835</v>
      </c>
      <c r="P986" s="300">
        <v>5.0</v>
      </c>
    </row>
    <row r="987">
      <c r="A987">
        <f>IFERROR(__xludf.DUMMYFUNCTION("""COMPUTED_VALUE"""),12.0)</f>
        <v>12</v>
      </c>
      <c r="B987">
        <f>IFERROR(__xludf.DUMMYFUNCTION("""COMPUTED_VALUE"""),26086.0)</f>
        <v>26086</v>
      </c>
      <c r="C987" t="str">
        <f>IFERROR(__xludf.DUMMYFUNCTION("""COMPUTED_VALUE"""),"PALACIO SALAZAR, TOMAS")</f>
        <v>PALACIO SALAZAR, TOMAS</v>
      </c>
      <c r="D987" t="str">
        <f>IFERROR(__xludf.DUMMYFUNCTION("""COMPUTED_VALUE"""),"Spanish and Literature 12")</f>
        <v>Spanish and Literature 12</v>
      </c>
      <c r="E987" s="3">
        <f>IFERROR(__xludf.DUMMYFUNCTION("""COMPUTED_VALUE"""),5.0)</f>
        <v>5</v>
      </c>
      <c r="F987" s="300">
        <v>1.0</v>
      </c>
      <c r="G987" s="300">
        <v>1.0</v>
      </c>
      <c r="H987" s="300">
        <v>1.0</v>
      </c>
      <c r="I987" s="300">
        <v>1.0</v>
      </c>
      <c r="J987" s="300">
        <v>1.0</v>
      </c>
      <c r="K987" s="300">
        <v>1.0</v>
      </c>
      <c r="L987" s="300">
        <v>1.0</v>
      </c>
      <c r="M987" s="300">
        <v>1.0</v>
      </c>
      <c r="N987" s="300">
        <v>8.0</v>
      </c>
      <c r="O987" s="300" t="s">
        <v>835</v>
      </c>
      <c r="P987" s="300">
        <v>5.0</v>
      </c>
    </row>
    <row r="988">
      <c r="A988">
        <f>IFERROR(__xludf.DUMMYFUNCTION("""COMPUTED_VALUE"""),12.0)</f>
        <v>12</v>
      </c>
      <c r="B988">
        <f>IFERROR(__xludf.DUMMYFUNCTION("""COMPUTED_VALUE"""),25060.0)</f>
        <v>25060</v>
      </c>
      <c r="C988" t="str">
        <f>IFERROR(__xludf.DUMMYFUNCTION("""COMPUTED_VALUE"""),"LOPEZ MEJIA, SAMUEL")</f>
        <v>LOPEZ MEJIA, SAMUEL</v>
      </c>
      <c r="D988" t="str">
        <f>IFERROR(__xludf.DUMMYFUNCTION("""COMPUTED_VALUE"""),"Spanish and Literature 12")</f>
        <v>Spanish and Literature 12</v>
      </c>
      <c r="E988" s="3">
        <f>IFERROR(__xludf.DUMMYFUNCTION("""COMPUTED_VALUE"""),4.0)</f>
        <v>4</v>
      </c>
      <c r="F988" s="300">
        <v>1.0</v>
      </c>
      <c r="G988" s="300">
        <v>1.0</v>
      </c>
      <c r="H988" s="300">
        <v>1.0</v>
      </c>
      <c r="I988" s="300">
        <v>1.0</v>
      </c>
      <c r="J988" s="300">
        <v>1.0</v>
      </c>
      <c r="K988" s="300">
        <v>1.0</v>
      </c>
      <c r="L988" s="300">
        <v>1.0</v>
      </c>
      <c r="M988" s="300">
        <v>1.0</v>
      </c>
      <c r="N988" s="300">
        <v>8.0</v>
      </c>
      <c r="O988" s="300" t="s">
        <v>832</v>
      </c>
      <c r="P988" s="300">
        <v>5.0</v>
      </c>
    </row>
    <row r="989">
      <c r="A989">
        <f>IFERROR(__xludf.DUMMYFUNCTION("""COMPUTED_VALUE"""),12.0)</f>
        <v>12</v>
      </c>
      <c r="B989">
        <f>IFERROR(__xludf.DUMMYFUNCTION("""COMPUTED_VALUE"""),26058.0)</f>
        <v>26058</v>
      </c>
      <c r="C989" t="str">
        <f>IFERROR(__xludf.DUMMYFUNCTION("""COMPUTED_VALUE"""),"JARAMILLO FERNANDEZ, JULIAN")</f>
        <v>JARAMILLO FERNANDEZ, JULIAN</v>
      </c>
      <c r="D989" t="str">
        <f>IFERROR(__xludf.DUMMYFUNCTION("""COMPUTED_VALUE"""),"Spanish and Literature 12")</f>
        <v>Spanish and Literature 12</v>
      </c>
      <c r="E989" s="3">
        <f>IFERROR(__xludf.DUMMYFUNCTION("""COMPUTED_VALUE"""),5.0)</f>
        <v>5</v>
      </c>
      <c r="F989" s="300">
        <v>1.0</v>
      </c>
      <c r="G989" s="300">
        <v>1.0</v>
      </c>
      <c r="H989" s="300">
        <v>1.0</v>
      </c>
      <c r="I989" s="300">
        <v>1.0</v>
      </c>
      <c r="J989" s="300">
        <v>1.0</v>
      </c>
      <c r="K989" s="300">
        <v>1.0</v>
      </c>
      <c r="L989" s="300">
        <v>1.0</v>
      </c>
      <c r="M989" s="300">
        <v>1.0</v>
      </c>
      <c r="N989" s="300">
        <v>8.0</v>
      </c>
      <c r="O989" s="300" t="s">
        <v>835</v>
      </c>
      <c r="P989" s="300">
        <v>5.0</v>
      </c>
    </row>
    <row r="990">
      <c r="A990">
        <f>IFERROR(__xludf.DUMMYFUNCTION("""COMPUTED_VALUE"""),12.0)</f>
        <v>12</v>
      </c>
      <c r="B990">
        <f>IFERROR(__xludf.DUMMYFUNCTION("""COMPUTED_VALUE"""),26121.0)</f>
        <v>26121</v>
      </c>
      <c r="C990" t="str">
        <f>IFERROR(__xludf.DUMMYFUNCTION("""COMPUTED_VALUE"""),"VILLA MORENO, VICENTE")</f>
        <v>VILLA MORENO, VICENTE</v>
      </c>
      <c r="D990" t="str">
        <f>IFERROR(__xludf.DUMMYFUNCTION("""COMPUTED_VALUE"""),"Spanish and Literature 12")</f>
        <v>Spanish and Literature 12</v>
      </c>
      <c r="E990" s="3">
        <f>IFERROR(__xludf.DUMMYFUNCTION("""COMPUTED_VALUE"""),4.0)</f>
        <v>4</v>
      </c>
      <c r="F990" s="300">
        <v>1.0</v>
      </c>
      <c r="G990" s="300">
        <v>1.0</v>
      </c>
      <c r="H990" s="300">
        <v>1.0</v>
      </c>
      <c r="I990" s="300">
        <v>1.0</v>
      </c>
      <c r="J990" s="300">
        <v>1.0</v>
      </c>
      <c r="K990" s="300">
        <v>1.0</v>
      </c>
      <c r="L990" s="300">
        <v>1.0</v>
      </c>
      <c r="M990" s="300">
        <v>1.0</v>
      </c>
      <c r="N990" s="300">
        <v>8.0</v>
      </c>
      <c r="O990" s="300" t="s">
        <v>832</v>
      </c>
      <c r="P990" s="300">
        <v>5.0</v>
      </c>
    </row>
    <row r="991">
      <c r="A991">
        <f>IFERROR(__xludf.DUMMYFUNCTION("""COMPUTED_VALUE"""),12.0)</f>
        <v>12</v>
      </c>
      <c r="B991">
        <f>IFERROR(__xludf.DUMMYFUNCTION("""COMPUTED_VALUE"""),26025.0)</f>
        <v>26025</v>
      </c>
      <c r="C991" t="str">
        <f>IFERROR(__xludf.DUMMYFUNCTION("""COMPUTED_VALUE"""),"DIEZ RENDON, MARIA ANTONIA")</f>
        <v>DIEZ RENDON, MARIA ANTONIA</v>
      </c>
      <c r="D991" t="str">
        <f>IFERROR(__xludf.DUMMYFUNCTION("""COMPUTED_VALUE"""),"Spanish and Literature 12")</f>
        <v>Spanish and Literature 12</v>
      </c>
      <c r="E991" s="3">
        <f>IFERROR(__xludf.DUMMYFUNCTION("""COMPUTED_VALUE"""),2.0)</f>
        <v>2</v>
      </c>
      <c r="F991" s="300">
        <v>1.0</v>
      </c>
      <c r="G991" s="300">
        <v>1.0</v>
      </c>
      <c r="H991" s="300">
        <v>1.0</v>
      </c>
      <c r="I991" s="300">
        <v>1.0</v>
      </c>
      <c r="J991" s="300">
        <v>1.0</v>
      </c>
      <c r="K991" s="300">
        <v>1.0</v>
      </c>
      <c r="L991" s="300">
        <v>1.0</v>
      </c>
      <c r="M991" s="300">
        <v>1.0</v>
      </c>
      <c r="N991" s="300">
        <v>8.0</v>
      </c>
      <c r="O991" s="300" t="s">
        <v>831</v>
      </c>
      <c r="P991" s="300">
        <v>5.0</v>
      </c>
    </row>
    <row r="992">
      <c r="A992">
        <f>IFERROR(__xludf.DUMMYFUNCTION("""COMPUTED_VALUE"""),12.0)</f>
        <v>12</v>
      </c>
      <c r="B992">
        <f>IFERROR(__xludf.DUMMYFUNCTION("""COMPUTED_VALUE"""),26014.0)</f>
        <v>26014</v>
      </c>
      <c r="C992" t="str">
        <f>IFERROR(__xludf.DUMMYFUNCTION("""COMPUTED_VALUE"""),"BARRIENTOS BUSTAMANTE, VALENTINA")</f>
        <v>BARRIENTOS BUSTAMANTE, VALENTINA</v>
      </c>
      <c r="D992" t="str">
        <f>IFERROR(__xludf.DUMMYFUNCTION("""COMPUTED_VALUE"""),"AP Spanish Literature and Culture")</f>
        <v>AP Spanish Literature and Culture</v>
      </c>
      <c r="E992" s="3">
        <f>IFERROR(__xludf.DUMMYFUNCTION("""COMPUTED_VALUE"""),8.0)</f>
        <v>8</v>
      </c>
      <c r="F992" s="300">
        <v>1.0</v>
      </c>
      <c r="G992" s="300">
        <v>1.0</v>
      </c>
      <c r="H992" s="300">
        <v>1.0</v>
      </c>
      <c r="I992" s="300">
        <v>1.0</v>
      </c>
      <c r="J992" s="300">
        <v>1.0</v>
      </c>
      <c r="K992" s="300">
        <v>1.0</v>
      </c>
      <c r="L992" s="300">
        <v>1.0</v>
      </c>
      <c r="M992" s="300">
        <v>1.0</v>
      </c>
      <c r="N992" s="300">
        <v>8.0</v>
      </c>
      <c r="O992" s="300" t="s">
        <v>825</v>
      </c>
      <c r="P992" s="300">
        <v>1.0</v>
      </c>
    </row>
    <row r="993">
      <c r="A993">
        <f>IFERROR(__xludf.DUMMYFUNCTION("""COMPUTED_VALUE"""),12.0)</f>
        <v>12</v>
      </c>
      <c r="B993">
        <f>IFERROR(__xludf.DUMMYFUNCTION("""COMPUTED_VALUE"""),26071.0)</f>
        <v>26071</v>
      </c>
      <c r="C993" t="str">
        <f>IFERROR(__xludf.DUMMYFUNCTION("""COMPUTED_VALUE"""),"MENA TELLEZ, TOMAS FELIPE")</f>
        <v>MENA TELLEZ, TOMAS FELIPE</v>
      </c>
      <c r="D993" t="str">
        <f>IFERROR(__xludf.DUMMYFUNCTION("""COMPUTED_VALUE"""),"Spanish and Literature 12")</f>
        <v>Spanish and Literature 12</v>
      </c>
      <c r="E993" s="3">
        <f>IFERROR(__xludf.DUMMYFUNCTION("""COMPUTED_VALUE"""),3.0)</f>
        <v>3</v>
      </c>
      <c r="F993" s="300">
        <v>1.0</v>
      </c>
      <c r="G993" s="300">
        <v>1.0</v>
      </c>
      <c r="H993" s="300">
        <v>1.0</v>
      </c>
      <c r="I993" s="300">
        <v>1.0</v>
      </c>
      <c r="J993" s="300">
        <v>1.0</v>
      </c>
      <c r="K993" s="300">
        <v>1.0</v>
      </c>
      <c r="L993" s="300">
        <v>1.0</v>
      </c>
      <c r="M993" s="300">
        <v>1.0</v>
      </c>
      <c r="N993" s="300">
        <v>8.0</v>
      </c>
      <c r="O993" s="300" t="s">
        <v>834</v>
      </c>
      <c r="P993" s="300">
        <v>5.0</v>
      </c>
    </row>
    <row r="994">
      <c r="A994">
        <f>IFERROR(__xludf.DUMMYFUNCTION("""COMPUTED_VALUE"""),12.0)</f>
        <v>12</v>
      </c>
      <c r="B994">
        <f>IFERROR(__xludf.DUMMYFUNCTION("""COMPUTED_VALUE"""),26108.0)</f>
        <v>26108</v>
      </c>
      <c r="C994" t="str">
        <f>IFERROR(__xludf.DUMMYFUNCTION("""COMPUTED_VALUE"""),"THIRIEZ VILLA, SOFIA")</f>
        <v>THIRIEZ VILLA, SOFIA</v>
      </c>
      <c r="D994" t="str">
        <f>IFERROR(__xludf.DUMMYFUNCTION("""COMPUTED_VALUE"""),"Spanish and Literature 12")</f>
        <v>Spanish and Literature 12</v>
      </c>
      <c r="E994" s="3">
        <f>IFERROR(__xludf.DUMMYFUNCTION("""COMPUTED_VALUE"""),4.0)</f>
        <v>4</v>
      </c>
      <c r="F994" s="300">
        <v>1.0</v>
      </c>
      <c r="G994" s="300">
        <v>1.0</v>
      </c>
      <c r="H994" s="300">
        <v>1.0</v>
      </c>
      <c r="I994" s="300">
        <v>1.0</v>
      </c>
      <c r="J994" s="300">
        <v>1.0</v>
      </c>
      <c r="K994" s="300">
        <v>1.0</v>
      </c>
      <c r="L994" s="300">
        <v>1.0</v>
      </c>
      <c r="M994" s="300">
        <v>1.0</v>
      </c>
      <c r="N994" s="300">
        <v>8.0</v>
      </c>
      <c r="O994" s="300" t="s">
        <v>832</v>
      </c>
      <c r="P994" s="300">
        <v>5.0</v>
      </c>
    </row>
    <row r="995">
      <c r="A995">
        <f>IFERROR(__xludf.DUMMYFUNCTION("""COMPUTED_VALUE"""),12.0)</f>
        <v>12</v>
      </c>
      <c r="B995">
        <f>IFERROR(__xludf.DUMMYFUNCTION("""COMPUTED_VALUE"""),26082.0)</f>
        <v>26082</v>
      </c>
      <c r="C995" t="str">
        <f>IFERROR(__xludf.DUMMYFUNCTION("""COMPUTED_VALUE"""),"OREJUELA GAVIRIA, MATILDA")</f>
        <v>OREJUELA GAVIRIA, MATILDA</v>
      </c>
      <c r="D995" t="str">
        <f>IFERROR(__xludf.DUMMYFUNCTION("""COMPUTED_VALUE"""),"Spanish and Literature 12")</f>
        <v>Spanish and Literature 12</v>
      </c>
      <c r="E995" s="3">
        <f>IFERROR(__xludf.DUMMYFUNCTION("""COMPUTED_VALUE"""),4.0)</f>
        <v>4</v>
      </c>
      <c r="F995" s="300">
        <v>1.0</v>
      </c>
      <c r="G995" s="300">
        <v>1.0</v>
      </c>
      <c r="H995" s="300">
        <v>1.0</v>
      </c>
      <c r="I995" s="300">
        <v>1.0</v>
      </c>
      <c r="J995" s="300">
        <v>1.0</v>
      </c>
      <c r="K995" s="300">
        <v>1.0</v>
      </c>
      <c r="L995" s="300">
        <v>1.0</v>
      </c>
      <c r="M995" s="300">
        <v>1.0</v>
      </c>
      <c r="N995" s="300">
        <v>8.0</v>
      </c>
      <c r="O995" s="300" t="s">
        <v>832</v>
      </c>
      <c r="P995" s="300">
        <v>5.0</v>
      </c>
    </row>
    <row r="996">
      <c r="A996">
        <f>IFERROR(__xludf.DUMMYFUNCTION("""COMPUTED_VALUE"""),12.0)</f>
        <v>12</v>
      </c>
      <c r="B996">
        <f>IFERROR(__xludf.DUMMYFUNCTION("""COMPUTED_VALUE"""),26073.0)</f>
        <v>26073</v>
      </c>
      <c r="C996" t="str">
        <f>IFERROR(__xludf.DUMMYFUNCTION("""COMPUTED_VALUE"""),"MESA ARISTIZABAL, SARA")</f>
        <v>MESA ARISTIZABAL, SARA</v>
      </c>
      <c r="D996" t="str">
        <f>IFERROR(__xludf.DUMMYFUNCTION("""COMPUTED_VALUE"""),"Spanish and Literature 12")</f>
        <v>Spanish and Literature 12</v>
      </c>
      <c r="E996" s="3">
        <f>IFERROR(__xludf.DUMMYFUNCTION("""COMPUTED_VALUE"""),4.0)</f>
        <v>4</v>
      </c>
      <c r="F996" s="300">
        <v>1.0</v>
      </c>
      <c r="G996" s="300">
        <v>1.0</v>
      </c>
      <c r="H996" s="300">
        <v>1.0</v>
      </c>
      <c r="I996" s="300">
        <v>1.0</v>
      </c>
      <c r="J996" s="300">
        <v>1.0</v>
      </c>
      <c r="K996" s="300">
        <v>1.0</v>
      </c>
      <c r="L996" s="300">
        <v>1.0</v>
      </c>
      <c r="M996" s="300">
        <v>1.0</v>
      </c>
      <c r="N996" s="300">
        <v>8.0</v>
      </c>
      <c r="O996" s="300" t="s">
        <v>832</v>
      </c>
      <c r="P996" s="300">
        <v>5.0</v>
      </c>
    </row>
    <row r="997">
      <c r="A997">
        <f>IFERROR(__xludf.DUMMYFUNCTION("""COMPUTED_VALUE"""),12.0)</f>
        <v>12</v>
      </c>
      <c r="B997">
        <f>IFERROR(__xludf.DUMMYFUNCTION("""COMPUTED_VALUE"""),26026.0)</f>
        <v>26026</v>
      </c>
      <c r="C997" t="str">
        <f>IFERROR(__xludf.DUMMYFUNCTION("""COMPUTED_VALUE"""),"ECHAVARRIA JARAMILLO, VICENTE")</f>
        <v>ECHAVARRIA JARAMILLO, VICENTE</v>
      </c>
      <c r="D997" t="str">
        <f>IFERROR(__xludf.DUMMYFUNCTION("""COMPUTED_VALUE"""),"AP Spanish Literature and Culture")</f>
        <v>AP Spanish Literature and Culture</v>
      </c>
      <c r="E997" s="3">
        <f>IFERROR(__xludf.DUMMYFUNCTION("""COMPUTED_VALUE"""),8.0)</f>
        <v>8</v>
      </c>
      <c r="F997" s="300">
        <v>1.0</v>
      </c>
      <c r="G997" s="300">
        <v>1.0</v>
      </c>
      <c r="H997" s="300">
        <v>1.0</v>
      </c>
      <c r="I997" s="300">
        <v>1.0</v>
      </c>
      <c r="J997" s="300">
        <v>1.0</v>
      </c>
      <c r="K997" s="300">
        <v>1.0</v>
      </c>
      <c r="L997" s="300">
        <v>1.0</v>
      </c>
      <c r="M997" s="300">
        <v>1.0</v>
      </c>
      <c r="N997" s="300">
        <v>8.0</v>
      </c>
      <c r="O997" s="300" t="s">
        <v>825</v>
      </c>
      <c r="P997" s="300">
        <v>1.0</v>
      </c>
    </row>
    <row r="998">
      <c r="A998">
        <f>IFERROR(__xludf.DUMMYFUNCTION("""COMPUTED_VALUE"""),12.0)</f>
        <v>12</v>
      </c>
      <c r="B998">
        <f>IFERROR(__xludf.DUMMYFUNCTION("""COMPUTED_VALUE"""),25008.0)</f>
        <v>25008</v>
      </c>
      <c r="C998" t="str">
        <f>IFERROR(__xludf.DUMMYFUNCTION("""COMPUTED_VALUE"""),"ARANGO CASTRO, IVAN SANTIAGO")</f>
        <v>ARANGO CASTRO, IVAN SANTIAGO</v>
      </c>
      <c r="D998" t="str">
        <f>IFERROR(__xludf.DUMMYFUNCTION("""COMPUTED_VALUE"""),"Spanish and Literature 12")</f>
        <v>Spanish and Literature 12</v>
      </c>
      <c r="E998" s="3">
        <f>IFERROR(__xludf.DUMMYFUNCTION("""COMPUTED_VALUE"""),2.0)</f>
        <v>2</v>
      </c>
      <c r="F998" s="300">
        <v>1.0</v>
      </c>
      <c r="G998" s="300">
        <v>1.0</v>
      </c>
      <c r="H998" s="300">
        <v>1.0</v>
      </c>
      <c r="I998" s="300">
        <v>1.0</v>
      </c>
      <c r="J998" s="300">
        <v>1.0</v>
      </c>
      <c r="K998" s="300">
        <v>1.0</v>
      </c>
      <c r="L998" s="300">
        <v>1.0</v>
      </c>
      <c r="M998" s="300">
        <v>1.0</v>
      </c>
      <c r="N998" s="300">
        <v>8.0</v>
      </c>
      <c r="O998" s="300" t="s">
        <v>831</v>
      </c>
      <c r="P998" s="300">
        <v>5.0</v>
      </c>
    </row>
    <row r="999">
      <c r="A999">
        <f>IFERROR(__xludf.DUMMYFUNCTION("""COMPUTED_VALUE"""),12.0)</f>
        <v>12</v>
      </c>
      <c r="B999">
        <f>IFERROR(__xludf.DUMMYFUNCTION("""COMPUTED_VALUE"""),26079.0)</f>
        <v>26079</v>
      </c>
      <c r="C999" t="str">
        <f>IFERROR(__xludf.DUMMYFUNCTION("""COMPUTED_VALUE"""),"OCHOA PODESTA, CAMILA")</f>
        <v>OCHOA PODESTA, CAMILA</v>
      </c>
      <c r="D999" t="str">
        <f>IFERROR(__xludf.DUMMYFUNCTION("""COMPUTED_VALUE"""),"Spanish and Literature 12")</f>
        <v>Spanish and Literature 12</v>
      </c>
      <c r="E999" s="3">
        <f>IFERROR(__xludf.DUMMYFUNCTION("""COMPUTED_VALUE"""),5.0)</f>
        <v>5</v>
      </c>
      <c r="F999" s="300">
        <v>1.0</v>
      </c>
      <c r="G999" s="300">
        <v>1.0</v>
      </c>
      <c r="H999" s="300">
        <v>1.0</v>
      </c>
      <c r="I999" s="300">
        <v>1.0</v>
      </c>
      <c r="J999" s="300">
        <v>1.0</v>
      </c>
      <c r="K999" s="300">
        <v>1.0</v>
      </c>
      <c r="L999" s="300">
        <v>1.0</v>
      </c>
      <c r="M999" s="300">
        <v>1.0</v>
      </c>
      <c r="N999" s="300">
        <v>8.0</v>
      </c>
      <c r="O999" s="300" t="s">
        <v>835</v>
      </c>
      <c r="P999" s="300">
        <v>5.0</v>
      </c>
    </row>
    <row r="1000">
      <c r="A1000">
        <f>IFERROR(__xludf.DUMMYFUNCTION("""COMPUTED_VALUE"""),12.0)</f>
        <v>12</v>
      </c>
      <c r="B1000">
        <f>IFERROR(__xludf.DUMMYFUNCTION("""COMPUTED_VALUE"""),26051.0)</f>
        <v>26051</v>
      </c>
      <c r="C1000" t="str">
        <f>IFERROR(__xludf.DUMMYFUNCTION("""COMPUTED_VALUE"""),"HINESTROZA ESCOBAR, IRENE")</f>
        <v>HINESTROZA ESCOBAR, IRENE</v>
      </c>
      <c r="D1000" t="str">
        <f>IFERROR(__xludf.DUMMYFUNCTION("""COMPUTED_VALUE"""),"Spanish and Literature 12")</f>
        <v>Spanish and Literature 12</v>
      </c>
      <c r="E1000" s="3">
        <f>IFERROR(__xludf.DUMMYFUNCTION("""COMPUTED_VALUE"""),7.0)</f>
        <v>7</v>
      </c>
      <c r="F1000" s="300">
        <v>1.0</v>
      </c>
      <c r="G1000" s="300">
        <v>1.0</v>
      </c>
      <c r="H1000" s="300">
        <v>1.0</v>
      </c>
      <c r="I1000" s="300">
        <v>1.0</v>
      </c>
      <c r="J1000" s="300">
        <v>1.0</v>
      </c>
      <c r="K1000" s="300">
        <v>1.0</v>
      </c>
      <c r="L1000" s="300">
        <v>1.0</v>
      </c>
      <c r="M1000" s="300">
        <v>1.0</v>
      </c>
      <c r="N1000" s="300">
        <v>8.0</v>
      </c>
      <c r="O1000" s="300" t="s">
        <v>833</v>
      </c>
      <c r="P1000" s="300">
        <v>5.0</v>
      </c>
    </row>
    <row r="1001">
      <c r="A1001">
        <f>IFERROR(__xludf.DUMMYFUNCTION("""COMPUTED_VALUE"""),12.0)</f>
        <v>12</v>
      </c>
      <c r="B1001">
        <f>IFERROR(__xludf.DUMMYFUNCTION("""COMPUTED_VALUE"""),26036.0)</f>
        <v>26036</v>
      </c>
      <c r="C1001" t="str">
        <f>IFERROR(__xludf.DUMMYFUNCTION("""COMPUTED_VALUE"""),"GAVIRIA LONDOÑO, ALEJANDRO")</f>
        <v>GAVIRIA LONDOÑO, ALEJANDRO</v>
      </c>
      <c r="D1001" t="str">
        <f>IFERROR(__xludf.DUMMYFUNCTION("""COMPUTED_VALUE"""),"Spanish and Literature 12")</f>
        <v>Spanish and Literature 12</v>
      </c>
      <c r="E1001" s="3">
        <f>IFERROR(__xludf.DUMMYFUNCTION("""COMPUTED_VALUE"""),4.0)</f>
        <v>4</v>
      </c>
      <c r="F1001" s="300">
        <v>1.0</v>
      </c>
      <c r="G1001" s="300">
        <v>1.0</v>
      </c>
      <c r="H1001" s="300">
        <v>1.0</v>
      </c>
      <c r="I1001" s="300">
        <v>1.0</v>
      </c>
      <c r="J1001" s="300">
        <v>1.0</v>
      </c>
      <c r="K1001" s="300">
        <v>1.0</v>
      </c>
      <c r="L1001" s="300">
        <v>1.0</v>
      </c>
      <c r="M1001" s="300">
        <v>1.0</v>
      </c>
      <c r="N1001" s="300">
        <v>8.0</v>
      </c>
      <c r="O1001" s="300" t="s">
        <v>832</v>
      </c>
      <c r="P1001" s="300">
        <v>5.0</v>
      </c>
    </row>
    <row r="1002">
      <c r="A1002">
        <f>IFERROR(__xludf.DUMMYFUNCTION("""COMPUTED_VALUE"""),12.0)</f>
        <v>12</v>
      </c>
      <c r="B1002" s="406">
        <f>IFERROR(__xludf.DUMMYFUNCTION("""COMPUTED_VALUE"""),26100.0)</f>
        <v>26100</v>
      </c>
      <c r="C1002" t="str">
        <f>IFERROR(__xludf.DUMMYFUNCTION("""COMPUTED_VALUE"""),"RESTREPO TORO, LUCIANO")</f>
        <v>RESTREPO TORO, LUCIANO</v>
      </c>
      <c r="D1002" t="str">
        <f>IFERROR(__xludf.DUMMYFUNCTION("""COMPUTED_VALUE"""),"Spanish and Literature 12")</f>
        <v>Spanish and Literature 12</v>
      </c>
      <c r="E1002" s="3">
        <f>IFERROR(__xludf.DUMMYFUNCTION("""COMPUTED_VALUE"""),2.0)</f>
        <v>2</v>
      </c>
      <c r="F1002" s="300">
        <v>1.0</v>
      </c>
      <c r="G1002" s="300">
        <v>1.0</v>
      </c>
      <c r="H1002" s="300">
        <v>1.0</v>
      </c>
      <c r="I1002" s="300">
        <v>1.0</v>
      </c>
      <c r="J1002" s="300">
        <v>1.0</v>
      </c>
      <c r="K1002" s="300">
        <v>1.0</v>
      </c>
      <c r="L1002" s="300">
        <v>1.0</v>
      </c>
      <c r="M1002" s="300">
        <v>1.0</v>
      </c>
      <c r="N1002" s="300">
        <v>8.0</v>
      </c>
      <c r="O1002" s="300" t="s">
        <v>831</v>
      </c>
      <c r="P1002" s="300">
        <v>5.0</v>
      </c>
    </row>
    <row r="1003">
      <c r="A1003">
        <f>IFERROR(__xludf.DUMMYFUNCTION("""COMPUTED_VALUE"""),12.0)</f>
        <v>12</v>
      </c>
      <c r="B1003">
        <f>IFERROR(__xludf.DUMMYFUNCTION("""COMPUTED_VALUE"""),26122.0)</f>
        <v>26122</v>
      </c>
      <c r="C1003" t="str">
        <f>IFERROR(__xludf.DUMMYFUNCTION("""COMPUTED_VALUE"""),"VILLEGAS PELAEZ, CRISTOBAL")</f>
        <v>VILLEGAS PELAEZ, CRISTOBAL</v>
      </c>
      <c r="D1003" t="str">
        <f>IFERROR(__xludf.DUMMYFUNCTION("""COMPUTED_VALUE"""),"Spanish and Literature 12")</f>
        <v>Spanish and Literature 12</v>
      </c>
      <c r="E1003" s="3">
        <f>IFERROR(__xludf.DUMMYFUNCTION("""COMPUTED_VALUE"""),5.0)</f>
        <v>5</v>
      </c>
      <c r="F1003" s="300">
        <v>1.0</v>
      </c>
      <c r="G1003" s="300">
        <v>1.0</v>
      </c>
      <c r="H1003" s="300">
        <v>1.0</v>
      </c>
      <c r="I1003" s="300">
        <v>1.0</v>
      </c>
      <c r="J1003" s="300">
        <v>1.0</v>
      </c>
      <c r="K1003" s="300">
        <v>1.0</v>
      </c>
      <c r="L1003" s="300">
        <v>1.0</v>
      </c>
      <c r="M1003" s="300">
        <v>1.0</v>
      </c>
      <c r="N1003" s="300">
        <v>8.0</v>
      </c>
      <c r="O1003" s="300" t="s">
        <v>835</v>
      </c>
      <c r="P1003" s="300">
        <v>5.0</v>
      </c>
    </row>
    <row r="1004">
      <c r="A1004">
        <f>IFERROR(__xludf.DUMMYFUNCTION("""COMPUTED_VALUE"""),12.0)</f>
        <v>12</v>
      </c>
      <c r="B1004">
        <f>IFERROR(__xludf.DUMMYFUNCTION("""COMPUTED_VALUE"""),26142.0)</f>
        <v>26142</v>
      </c>
      <c r="C1004" t="str">
        <f>IFERROR(__xludf.DUMMYFUNCTION("""COMPUTED_VALUE"""),"BERNAL ESTRADA, JERONIMO")</f>
        <v>BERNAL ESTRADA, JERONIMO</v>
      </c>
      <c r="D1004" t="str">
        <f>IFERROR(__xludf.DUMMYFUNCTION("""COMPUTED_VALUE"""),"Spanish and Literature 12")</f>
        <v>Spanish and Literature 12</v>
      </c>
      <c r="E1004" s="3">
        <f>IFERROR(__xludf.DUMMYFUNCTION("""COMPUTED_VALUE"""),2.0)</f>
        <v>2</v>
      </c>
      <c r="F1004" s="300">
        <v>1.0</v>
      </c>
      <c r="G1004" s="300">
        <v>1.0</v>
      </c>
      <c r="H1004" s="300">
        <v>1.0</v>
      </c>
      <c r="I1004" s="300">
        <v>1.0</v>
      </c>
      <c r="J1004" s="300">
        <v>1.0</v>
      </c>
      <c r="K1004" s="300">
        <v>1.0</v>
      </c>
      <c r="L1004" s="300">
        <v>1.0</v>
      </c>
      <c r="M1004" s="300">
        <v>1.0</v>
      </c>
      <c r="N1004" s="300">
        <v>8.0</v>
      </c>
      <c r="O1004" s="300" t="s">
        <v>831</v>
      </c>
      <c r="P1004" s="300">
        <v>5.0</v>
      </c>
    </row>
    <row r="1005">
      <c r="A1005">
        <f>IFERROR(__xludf.DUMMYFUNCTION("""COMPUTED_VALUE"""),12.0)</f>
        <v>12</v>
      </c>
      <c r="B1005">
        <f>IFERROR(__xludf.DUMMYFUNCTION("""COMPUTED_VALUE"""),26090.0)</f>
        <v>26090</v>
      </c>
      <c r="C1005" t="str">
        <f>IFERROR(__xludf.DUMMYFUNCTION("""COMPUTED_VALUE"""),"PETTIT PELAEZ, JUANITA")</f>
        <v>PETTIT PELAEZ, JUANITA</v>
      </c>
      <c r="D1005" t="str">
        <f>IFERROR(__xludf.DUMMYFUNCTION("""COMPUTED_VALUE"""),"Spanish and Literature 12")</f>
        <v>Spanish and Literature 12</v>
      </c>
      <c r="E1005" s="3">
        <f>IFERROR(__xludf.DUMMYFUNCTION("""COMPUTED_VALUE"""),7.0)</f>
        <v>7</v>
      </c>
      <c r="F1005" s="300">
        <v>1.0</v>
      </c>
      <c r="G1005" s="300">
        <v>1.0</v>
      </c>
      <c r="H1005" s="300">
        <v>1.0</v>
      </c>
      <c r="I1005" s="300">
        <v>1.0</v>
      </c>
      <c r="J1005" s="300">
        <v>1.0</v>
      </c>
      <c r="K1005" s="300">
        <v>1.0</v>
      </c>
      <c r="L1005" s="300">
        <v>1.0</v>
      </c>
      <c r="M1005" s="300">
        <v>1.0</v>
      </c>
      <c r="N1005" s="300">
        <v>8.0</v>
      </c>
      <c r="O1005" s="300" t="s">
        <v>833</v>
      </c>
      <c r="P1005" s="300">
        <v>5.0</v>
      </c>
    </row>
    <row r="1006">
      <c r="A1006">
        <f>IFERROR(__xludf.DUMMYFUNCTION("""COMPUTED_VALUE"""),12.0)</f>
        <v>12</v>
      </c>
      <c r="B1006">
        <f>IFERROR(__xludf.DUMMYFUNCTION("""COMPUTED_VALUE"""),26132.0)</f>
        <v>26132</v>
      </c>
      <c r="C1006" t="str">
        <f>IFERROR(__xludf.DUMMYFUNCTION("""COMPUTED_VALUE"""),"OLIVEIRA CASTAÑO, MIRANDA")</f>
        <v>OLIVEIRA CASTAÑO, MIRANDA</v>
      </c>
      <c r="D1006" t="str">
        <f>IFERROR(__xludf.DUMMYFUNCTION("""COMPUTED_VALUE"""),"Spanish and Literature 12")</f>
        <v>Spanish and Literature 12</v>
      </c>
      <c r="E1006" s="3">
        <f>IFERROR(__xludf.DUMMYFUNCTION("""COMPUTED_VALUE"""),7.0)</f>
        <v>7</v>
      </c>
      <c r="F1006" s="300">
        <v>1.0</v>
      </c>
      <c r="G1006" s="300">
        <v>1.0</v>
      </c>
      <c r="H1006" s="300">
        <v>1.0</v>
      </c>
      <c r="I1006" s="300">
        <v>1.0</v>
      </c>
      <c r="J1006" s="300">
        <v>1.0</v>
      </c>
      <c r="K1006" s="300">
        <v>1.0</v>
      </c>
      <c r="L1006" s="300">
        <v>1.0</v>
      </c>
      <c r="M1006" s="300">
        <v>1.0</v>
      </c>
      <c r="N1006" s="300">
        <v>8.0</v>
      </c>
      <c r="O1006" s="300" t="s">
        <v>833</v>
      </c>
      <c r="P1006" s="300">
        <v>5.0</v>
      </c>
    </row>
    <row r="1007">
      <c r="A1007">
        <f>IFERROR(__xludf.DUMMYFUNCTION("""COMPUTED_VALUE"""),12.0)</f>
        <v>12</v>
      </c>
      <c r="B1007">
        <f>IFERROR(__xludf.DUMMYFUNCTION("""COMPUTED_VALUE"""),26109.0)</f>
        <v>26109</v>
      </c>
      <c r="C1007" t="str">
        <f>IFERROR(__xludf.DUMMYFUNCTION("""COMPUTED_VALUE"""),"TORRES GAVIRIA, MARIANA")</f>
        <v>TORRES GAVIRIA, MARIANA</v>
      </c>
      <c r="D1007" t="str">
        <f>IFERROR(__xludf.DUMMYFUNCTION("""COMPUTED_VALUE"""),"Spanish and Literature 12")</f>
        <v>Spanish and Literature 12</v>
      </c>
      <c r="E1007" s="3">
        <f>IFERROR(__xludf.DUMMYFUNCTION("""COMPUTED_VALUE"""),3.0)</f>
        <v>3</v>
      </c>
      <c r="F1007" s="300">
        <v>1.0</v>
      </c>
      <c r="G1007" s="300">
        <v>1.0</v>
      </c>
      <c r="H1007" s="300">
        <v>1.0</v>
      </c>
      <c r="I1007" s="300">
        <v>1.0</v>
      </c>
      <c r="J1007" s="300">
        <v>1.0</v>
      </c>
      <c r="K1007" s="300">
        <v>1.0</v>
      </c>
      <c r="L1007" s="300">
        <v>1.0</v>
      </c>
      <c r="M1007" s="300">
        <v>1.0</v>
      </c>
      <c r="N1007" s="300">
        <v>8.0</v>
      </c>
      <c r="O1007" s="300" t="s">
        <v>834</v>
      </c>
      <c r="P1007" s="300">
        <v>5.0</v>
      </c>
    </row>
    <row r="1008">
      <c r="A1008">
        <f>IFERROR(__xludf.DUMMYFUNCTION("""COMPUTED_VALUE"""),12.0)</f>
        <v>12</v>
      </c>
      <c r="B1008">
        <f>IFERROR(__xludf.DUMMYFUNCTION("""COMPUTED_VALUE"""),26027.0)</f>
        <v>26027</v>
      </c>
      <c r="C1008" t="str">
        <f>IFERROR(__xludf.DUMMYFUNCTION("""COMPUTED_VALUE"""),"ESCANDON LIBOS, MARIA")</f>
        <v>ESCANDON LIBOS, MARIA</v>
      </c>
      <c r="D1008" t="str">
        <f>IFERROR(__xludf.DUMMYFUNCTION("""COMPUTED_VALUE"""),"Spanish and Literature 12")</f>
        <v>Spanish and Literature 12</v>
      </c>
      <c r="E1008" s="3">
        <f>IFERROR(__xludf.DUMMYFUNCTION("""COMPUTED_VALUE"""),4.0)</f>
        <v>4</v>
      </c>
      <c r="F1008" s="300">
        <v>1.0</v>
      </c>
      <c r="G1008" s="300">
        <v>1.0</v>
      </c>
      <c r="H1008" s="300">
        <v>1.0</v>
      </c>
      <c r="I1008" s="300">
        <v>1.0</v>
      </c>
      <c r="J1008" s="300">
        <v>1.0</v>
      </c>
      <c r="K1008" s="300">
        <v>1.0</v>
      </c>
      <c r="L1008" s="300">
        <v>1.0</v>
      </c>
      <c r="M1008" s="300">
        <v>1.0</v>
      </c>
      <c r="N1008" s="300">
        <v>8.0</v>
      </c>
      <c r="O1008" s="300" t="s">
        <v>832</v>
      </c>
      <c r="P1008" s="300">
        <v>5.0</v>
      </c>
    </row>
    <row r="1009">
      <c r="A1009">
        <f>IFERROR(__xludf.DUMMYFUNCTION("""COMPUTED_VALUE"""),12.0)</f>
        <v>12</v>
      </c>
      <c r="B1009">
        <f>IFERROR(__xludf.DUMMYFUNCTION("""COMPUTED_VALUE"""),26019.0)</f>
        <v>26019</v>
      </c>
      <c r="C1009" t="str">
        <f>IFERROR(__xludf.DUMMYFUNCTION("""COMPUTED_VALUE"""),"CADAVID VELASQUEZ, MARTIN")</f>
        <v>CADAVID VELASQUEZ, MARTIN</v>
      </c>
      <c r="D1009" t="str">
        <f>IFERROR(__xludf.DUMMYFUNCTION("""COMPUTED_VALUE"""),"Spanish and Literature 12")</f>
        <v>Spanish and Literature 12</v>
      </c>
      <c r="E1009" s="3">
        <f>IFERROR(__xludf.DUMMYFUNCTION("""COMPUTED_VALUE"""),7.0)</f>
        <v>7</v>
      </c>
      <c r="F1009" s="300">
        <v>1.0</v>
      </c>
      <c r="G1009" s="300">
        <v>1.0</v>
      </c>
      <c r="H1009" s="300">
        <v>1.0</v>
      </c>
      <c r="I1009" s="300">
        <v>1.0</v>
      </c>
      <c r="J1009" s="300">
        <v>1.0</v>
      </c>
      <c r="K1009" s="300">
        <v>1.0</v>
      </c>
      <c r="L1009" s="300">
        <v>1.0</v>
      </c>
      <c r="M1009" s="300">
        <v>1.0</v>
      </c>
      <c r="N1009" s="300">
        <v>8.0</v>
      </c>
      <c r="O1009" s="300" t="s">
        <v>833</v>
      </c>
      <c r="P1009" s="300">
        <v>5.0</v>
      </c>
    </row>
    <row r="1010">
      <c r="A1010">
        <f>IFERROR(__xludf.DUMMYFUNCTION("""COMPUTED_VALUE"""),12.0)</f>
        <v>12</v>
      </c>
      <c r="B1010">
        <f>IFERROR(__xludf.DUMMYFUNCTION("""COMPUTED_VALUE"""),26031.0)</f>
        <v>26031</v>
      </c>
      <c r="C1010" t="str">
        <f>IFERROR(__xludf.DUMMYFUNCTION("""COMPUTED_VALUE"""),"FRANCO GOMEZ, DANIEL")</f>
        <v>FRANCO GOMEZ, DANIEL</v>
      </c>
      <c r="D1010" t="str">
        <f>IFERROR(__xludf.DUMMYFUNCTION("""COMPUTED_VALUE"""),"Spanish and Literature 12")</f>
        <v>Spanish and Literature 12</v>
      </c>
      <c r="E1010" s="3">
        <f>IFERROR(__xludf.DUMMYFUNCTION("""COMPUTED_VALUE"""),2.0)</f>
        <v>2</v>
      </c>
      <c r="F1010" s="300">
        <v>1.0</v>
      </c>
      <c r="G1010" s="300">
        <v>1.0</v>
      </c>
      <c r="H1010" s="300">
        <v>1.0</v>
      </c>
      <c r="I1010" s="300">
        <v>1.0</v>
      </c>
      <c r="J1010" s="300">
        <v>1.0</v>
      </c>
      <c r="K1010" s="300">
        <v>1.0</v>
      </c>
      <c r="L1010" s="300">
        <v>1.0</v>
      </c>
      <c r="M1010" s="300">
        <v>1.0</v>
      </c>
      <c r="N1010" s="300">
        <v>8.0</v>
      </c>
      <c r="O1010" s="300" t="s">
        <v>831</v>
      </c>
      <c r="P1010" s="300">
        <v>5.0</v>
      </c>
    </row>
    <row r="1011">
      <c r="A1011">
        <f>IFERROR(__xludf.DUMMYFUNCTION("""COMPUTED_VALUE"""),12.0)</f>
        <v>12</v>
      </c>
      <c r="B1011">
        <f>IFERROR(__xludf.DUMMYFUNCTION("""COMPUTED_VALUE"""),26047.0)</f>
        <v>26047</v>
      </c>
      <c r="C1011" t="str">
        <f>IFERROR(__xludf.DUMMYFUNCTION("""COMPUTED_VALUE"""),"HENAO ISAZA, LUCIANO")</f>
        <v>HENAO ISAZA, LUCIANO</v>
      </c>
      <c r="D1011" t="str">
        <f>IFERROR(__xludf.DUMMYFUNCTION("""COMPUTED_VALUE"""),"Spanish and Literature 12")</f>
        <v>Spanish and Literature 12</v>
      </c>
      <c r="E1011" s="3">
        <f>IFERROR(__xludf.DUMMYFUNCTION("""COMPUTED_VALUE"""),7.0)</f>
        <v>7</v>
      </c>
      <c r="F1011" s="300">
        <v>1.0</v>
      </c>
      <c r="G1011" s="300">
        <v>1.0</v>
      </c>
      <c r="H1011" s="300">
        <v>1.0</v>
      </c>
      <c r="I1011" s="300">
        <v>1.0</v>
      </c>
      <c r="J1011" s="300">
        <v>1.0</v>
      </c>
      <c r="K1011" s="300">
        <v>1.0</v>
      </c>
      <c r="L1011" s="300">
        <v>1.0</v>
      </c>
      <c r="M1011" s="300">
        <v>1.0</v>
      </c>
      <c r="N1011" s="300">
        <v>8.0</v>
      </c>
      <c r="O1011" s="300" t="s">
        <v>833</v>
      </c>
      <c r="P1011" s="300">
        <v>5.0</v>
      </c>
    </row>
    <row r="1012">
      <c r="A1012">
        <f>IFERROR(__xludf.DUMMYFUNCTION("""COMPUTED_VALUE"""),12.0)</f>
        <v>12</v>
      </c>
      <c r="B1012">
        <f>IFERROR(__xludf.DUMMYFUNCTION("""COMPUTED_VALUE"""),26095.0)</f>
        <v>26095</v>
      </c>
      <c r="C1012" t="str">
        <f>IFERROR(__xludf.DUMMYFUNCTION("""COMPUTED_VALUE"""),"RAMIREZ PELAEZ, LUCIANA")</f>
        <v>RAMIREZ PELAEZ, LUCIANA</v>
      </c>
      <c r="D1012" t="str">
        <f>IFERROR(__xludf.DUMMYFUNCTION("""COMPUTED_VALUE"""),"Spanish and Literature 12")</f>
        <v>Spanish and Literature 12</v>
      </c>
      <c r="E1012" s="3">
        <f>IFERROR(__xludf.DUMMYFUNCTION("""COMPUTED_VALUE"""),4.0)</f>
        <v>4</v>
      </c>
      <c r="F1012" s="300">
        <v>1.0</v>
      </c>
      <c r="G1012" s="300">
        <v>1.0</v>
      </c>
      <c r="H1012" s="300">
        <v>1.0</v>
      </c>
      <c r="I1012" s="300">
        <v>1.0</v>
      </c>
      <c r="J1012" s="300">
        <v>1.0</v>
      </c>
      <c r="K1012" s="300">
        <v>1.0</v>
      </c>
      <c r="L1012" s="300">
        <v>1.0</v>
      </c>
      <c r="M1012" s="300">
        <v>1.0</v>
      </c>
      <c r="N1012" s="300">
        <v>8.0</v>
      </c>
      <c r="O1012" s="300" t="s">
        <v>832</v>
      </c>
      <c r="P1012" s="300">
        <v>5.0</v>
      </c>
    </row>
    <row r="1013">
      <c r="A1013">
        <f>IFERROR(__xludf.DUMMYFUNCTION("""COMPUTED_VALUE"""),12.0)</f>
        <v>12</v>
      </c>
      <c r="B1013">
        <f>IFERROR(__xludf.DUMMYFUNCTION("""COMPUTED_VALUE"""),26032.0)</f>
        <v>26032</v>
      </c>
      <c r="C1013" t="str">
        <f>IFERROR(__xludf.DUMMYFUNCTION("""COMPUTED_VALUE"""),"FRANCO SALDARRIAGA, EDUARDO")</f>
        <v>FRANCO SALDARRIAGA, EDUARDO</v>
      </c>
      <c r="D1013" t="str">
        <f>IFERROR(__xludf.DUMMYFUNCTION("""COMPUTED_VALUE"""),"Spanish and Literature 12")</f>
        <v>Spanish and Literature 12</v>
      </c>
      <c r="E1013" s="3">
        <f>IFERROR(__xludf.DUMMYFUNCTION("""COMPUTED_VALUE"""),7.0)</f>
        <v>7</v>
      </c>
      <c r="F1013" s="300">
        <v>1.0</v>
      </c>
      <c r="G1013" s="300">
        <v>1.0</v>
      </c>
      <c r="H1013" s="300">
        <v>1.0</v>
      </c>
      <c r="I1013" s="300">
        <v>1.0</v>
      </c>
      <c r="J1013" s="300">
        <v>1.0</v>
      </c>
      <c r="K1013" s="300">
        <v>1.0</v>
      </c>
      <c r="L1013" s="300">
        <v>1.0</v>
      </c>
      <c r="M1013" s="300">
        <v>1.0</v>
      </c>
      <c r="N1013" s="300">
        <v>8.0</v>
      </c>
      <c r="O1013" s="300" t="s">
        <v>833</v>
      </c>
      <c r="P1013" s="300">
        <v>5.0</v>
      </c>
    </row>
    <row r="1014">
      <c r="A1014">
        <f>IFERROR(__xludf.DUMMYFUNCTION("""COMPUTED_VALUE"""),12.0)</f>
        <v>12</v>
      </c>
      <c r="B1014">
        <f>IFERROR(__xludf.DUMMYFUNCTION("""COMPUTED_VALUE"""),26072.0)</f>
        <v>26072</v>
      </c>
      <c r="C1014" t="str">
        <f>IFERROR(__xludf.DUMMYFUNCTION("""COMPUTED_VALUE"""),"MERINO VALENCIA, CAMILO")</f>
        <v>MERINO VALENCIA, CAMILO</v>
      </c>
      <c r="D1014" t="str">
        <f>IFERROR(__xludf.DUMMYFUNCTION("""COMPUTED_VALUE"""),"Spanish and Literature 12")</f>
        <v>Spanish and Literature 12</v>
      </c>
      <c r="E1014" s="3">
        <f>IFERROR(__xludf.DUMMYFUNCTION("""COMPUTED_VALUE"""),7.0)</f>
        <v>7</v>
      </c>
      <c r="F1014" s="300">
        <v>1.0</v>
      </c>
      <c r="G1014" s="300">
        <v>1.0</v>
      </c>
      <c r="H1014" s="300">
        <v>1.0</v>
      </c>
      <c r="I1014" s="300">
        <v>1.0</v>
      </c>
      <c r="J1014" s="300">
        <v>1.0</v>
      </c>
      <c r="K1014" s="300">
        <v>1.0</v>
      </c>
      <c r="L1014" s="300">
        <v>1.0</v>
      </c>
      <c r="M1014" s="300">
        <v>1.0</v>
      </c>
      <c r="N1014" s="300">
        <v>8.0</v>
      </c>
      <c r="O1014" s="300" t="s">
        <v>833</v>
      </c>
      <c r="P1014" s="300">
        <v>5.0</v>
      </c>
    </row>
    <row r="1015">
      <c r="A1015">
        <f>IFERROR(__xludf.DUMMYFUNCTION("""COMPUTED_VALUE"""),12.0)</f>
        <v>12</v>
      </c>
      <c r="B1015">
        <f>IFERROR(__xludf.DUMMYFUNCTION("""COMPUTED_VALUE"""),26139.0)</f>
        <v>26139</v>
      </c>
      <c r="C1015" t="str">
        <f>IFERROR(__xludf.DUMMYFUNCTION("""COMPUTED_VALUE"""),"POSADA VILLALOBOS, VERONICA")</f>
        <v>POSADA VILLALOBOS, VERONICA</v>
      </c>
      <c r="D1015" t="str">
        <f>IFERROR(__xludf.DUMMYFUNCTION("""COMPUTED_VALUE"""),"Spanish and Literature 12")</f>
        <v>Spanish and Literature 12</v>
      </c>
      <c r="E1015" s="3">
        <f>IFERROR(__xludf.DUMMYFUNCTION("""COMPUTED_VALUE"""),7.0)</f>
        <v>7</v>
      </c>
      <c r="F1015" s="300">
        <v>1.0</v>
      </c>
      <c r="G1015" s="300">
        <v>1.0</v>
      </c>
      <c r="H1015" s="300">
        <v>1.0</v>
      </c>
      <c r="I1015" s="300">
        <v>1.0</v>
      </c>
      <c r="J1015" s="300">
        <v>1.0</v>
      </c>
      <c r="K1015" s="300">
        <v>1.0</v>
      </c>
      <c r="L1015" s="300">
        <v>1.0</v>
      </c>
      <c r="M1015" s="300">
        <v>1.0</v>
      </c>
      <c r="N1015" s="300">
        <v>8.0</v>
      </c>
      <c r="O1015" s="300" t="s">
        <v>833</v>
      </c>
      <c r="P1015" s="300">
        <v>5.0</v>
      </c>
    </row>
    <row r="1016">
      <c r="A1016">
        <f>IFERROR(__xludf.DUMMYFUNCTION("""COMPUTED_VALUE"""),12.0)</f>
        <v>12</v>
      </c>
      <c r="B1016" s="406">
        <f>IFERROR(__xludf.DUMMYFUNCTION("""COMPUTED_VALUE"""),26129.0)</f>
        <v>26129</v>
      </c>
      <c r="C1016" t="str">
        <f>IFERROR(__xludf.DUMMYFUNCTION("""COMPUTED_VALUE"""),"CALLE BUITRAGO, MARTIN")</f>
        <v>CALLE BUITRAGO, MARTIN</v>
      </c>
      <c r="D1016" t="str">
        <f>IFERROR(__xludf.DUMMYFUNCTION("""COMPUTED_VALUE"""),"Spanish and Literature 12")</f>
        <v>Spanish and Literature 12</v>
      </c>
      <c r="E1016" s="3">
        <f>IFERROR(__xludf.DUMMYFUNCTION("""COMPUTED_VALUE"""),3.0)</f>
        <v>3</v>
      </c>
      <c r="F1016" s="300">
        <v>1.0</v>
      </c>
      <c r="G1016" s="300">
        <v>1.0</v>
      </c>
      <c r="H1016" s="300">
        <v>1.0</v>
      </c>
      <c r="I1016" s="300">
        <v>1.0</v>
      </c>
      <c r="J1016" s="300">
        <v>1.0</v>
      </c>
      <c r="K1016" s="300">
        <v>1.0</v>
      </c>
      <c r="L1016" s="300">
        <v>1.0</v>
      </c>
      <c r="M1016" s="300">
        <v>1.0</v>
      </c>
      <c r="N1016" s="300">
        <v>8.0</v>
      </c>
      <c r="O1016" s="300" t="s">
        <v>834</v>
      </c>
      <c r="P1016" s="300">
        <v>5.0</v>
      </c>
    </row>
    <row r="1017">
      <c r="A1017">
        <f>IFERROR(__xludf.DUMMYFUNCTION("""COMPUTED_VALUE"""),12.0)</f>
        <v>12</v>
      </c>
      <c r="B1017">
        <f>IFERROR(__xludf.DUMMYFUNCTION("""COMPUTED_VALUE"""),26125.0)</f>
        <v>26125</v>
      </c>
      <c r="C1017" t="str">
        <f>IFERROR(__xludf.DUMMYFUNCTION("""COMPUTED_VALUE"""),"YEPES RAMIREZ, MARTIN")</f>
        <v>YEPES RAMIREZ, MARTIN</v>
      </c>
      <c r="D1017" t="str">
        <f>IFERROR(__xludf.DUMMYFUNCTION("""COMPUTED_VALUE"""),"Spanish and Literature 12")</f>
        <v>Spanish and Literature 12</v>
      </c>
      <c r="E1017" s="3">
        <f>IFERROR(__xludf.DUMMYFUNCTION("""COMPUTED_VALUE"""),3.0)</f>
        <v>3</v>
      </c>
      <c r="F1017" s="300">
        <v>1.0</v>
      </c>
      <c r="G1017" s="300">
        <v>1.0</v>
      </c>
      <c r="H1017" s="300">
        <v>1.0</v>
      </c>
      <c r="I1017" s="300">
        <v>1.0</v>
      </c>
      <c r="J1017" s="300">
        <v>1.0</v>
      </c>
      <c r="K1017" s="300">
        <v>1.0</v>
      </c>
      <c r="L1017" s="300">
        <v>1.0</v>
      </c>
      <c r="M1017" s="300">
        <v>1.0</v>
      </c>
      <c r="N1017" s="300">
        <v>8.0</v>
      </c>
      <c r="O1017" s="300" t="s">
        <v>834</v>
      </c>
      <c r="P1017" s="300">
        <v>5.0</v>
      </c>
    </row>
    <row r="1018">
      <c r="A1018">
        <f>IFERROR(__xludf.DUMMYFUNCTION("""COMPUTED_VALUE"""),12.0)</f>
        <v>12</v>
      </c>
      <c r="B1018">
        <f>IFERROR(__xludf.DUMMYFUNCTION("""COMPUTED_VALUE"""),25039.0)</f>
        <v>25039</v>
      </c>
      <c r="C1018" t="str">
        <f>IFERROR(__xludf.DUMMYFUNCTION("""COMPUTED_VALUE"""),"GARZA PATIÑO, MARCO")</f>
        <v>GARZA PATIÑO, MARCO</v>
      </c>
      <c r="D1018" t="str">
        <f>IFERROR(__xludf.DUMMYFUNCTION("""COMPUTED_VALUE"""),"Spanish and Literature 12")</f>
        <v>Spanish and Literature 12</v>
      </c>
      <c r="E1018" s="3">
        <f>IFERROR(__xludf.DUMMYFUNCTION("""COMPUTED_VALUE"""),3.0)</f>
        <v>3</v>
      </c>
      <c r="F1018" s="300">
        <v>1.0</v>
      </c>
      <c r="G1018" s="300">
        <v>1.0</v>
      </c>
      <c r="H1018" s="300">
        <v>1.0</v>
      </c>
      <c r="I1018" s="300">
        <v>1.0</v>
      </c>
      <c r="J1018" s="300">
        <v>1.0</v>
      </c>
      <c r="K1018" s="300">
        <v>1.0</v>
      </c>
      <c r="L1018" s="300">
        <v>1.0</v>
      </c>
      <c r="M1018" s="300">
        <v>1.0</v>
      </c>
      <c r="N1018" s="300">
        <v>8.0</v>
      </c>
      <c r="O1018" s="300" t="s">
        <v>834</v>
      </c>
      <c r="P1018" s="300">
        <v>5.0</v>
      </c>
    </row>
    <row r="1019">
      <c r="A1019">
        <f>IFERROR(__xludf.DUMMYFUNCTION("""COMPUTED_VALUE"""),12.0)</f>
        <v>12</v>
      </c>
      <c r="B1019">
        <f>IFERROR(__xludf.DUMMYFUNCTION("""COMPUTED_VALUE"""),26133.0)</f>
        <v>26133</v>
      </c>
      <c r="C1019" t="str">
        <f>IFERROR(__xludf.DUMMYFUNCTION("""COMPUTED_VALUE"""),"SUAREZ MARTINEZ, PABLO")</f>
        <v>SUAREZ MARTINEZ, PABLO</v>
      </c>
      <c r="D1019" t="str">
        <f>IFERROR(__xludf.DUMMYFUNCTION("""COMPUTED_VALUE"""),"Spanish and Literature 12")</f>
        <v>Spanish and Literature 12</v>
      </c>
      <c r="E1019" s="3">
        <f>IFERROR(__xludf.DUMMYFUNCTION("""COMPUTED_VALUE"""),7.0)</f>
        <v>7</v>
      </c>
      <c r="F1019" s="300">
        <v>1.0</v>
      </c>
      <c r="G1019" s="300">
        <v>1.0</v>
      </c>
      <c r="H1019" s="300">
        <v>1.0</v>
      </c>
      <c r="I1019" s="300">
        <v>1.0</v>
      </c>
      <c r="J1019" s="300">
        <v>1.0</v>
      </c>
      <c r="K1019" s="300">
        <v>1.0</v>
      </c>
      <c r="L1019" s="300">
        <v>1.0</v>
      </c>
      <c r="M1019" s="300">
        <v>1.0</v>
      </c>
      <c r="N1019" s="300">
        <v>8.0</v>
      </c>
      <c r="O1019" s="300" t="s">
        <v>833</v>
      </c>
      <c r="P1019" s="300">
        <v>5.0</v>
      </c>
    </row>
    <row r="1020">
      <c r="A1020">
        <f>IFERROR(__xludf.DUMMYFUNCTION("""COMPUTED_VALUE"""),12.0)</f>
        <v>12</v>
      </c>
      <c r="B1020">
        <f>IFERROR(__xludf.DUMMYFUNCTION("""COMPUTED_VALUE"""),26110.0)</f>
        <v>26110</v>
      </c>
      <c r="C1020" t="str">
        <f>IFERROR(__xludf.DUMMYFUNCTION("""COMPUTED_VALUE"""),"URIBE CORREA, VICENTE")</f>
        <v>URIBE CORREA, VICENTE</v>
      </c>
      <c r="D1020" t="str">
        <f>IFERROR(__xludf.DUMMYFUNCTION("""COMPUTED_VALUE"""),"Spanish and Literature 12")</f>
        <v>Spanish and Literature 12</v>
      </c>
      <c r="E1020" s="3">
        <f>IFERROR(__xludf.DUMMYFUNCTION("""COMPUTED_VALUE"""),3.0)</f>
        <v>3</v>
      </c>
      <c r="F1020" s="300">
        <v>1.0</v>
      </c>
      <c r="G1020" s="300">
        <v>1.0</v>
      </c>
      <c r="H1020" s="300">
        <v>1.0</v>
      </c>
      <c r="I1020" s="300">
        <v>1.0</v>
      </c>
      <c r="J1020" s="300">
        <v>1.0</v>
      </c>
      <c r="K1020" s="300">
        <v>1.0</v>
      </c>
      <c r="L1020" s="300">
        <v>1.0</v>
      </c>
      <c r="M1020" s="300">
        <v>1.0</v>
      </c>
      <c r="N1020" s="300">
        <v>8.0</v>
      </c>
      <c r="O1020" s="300" t="s">
        <v>834</v>
      </c>
      <c r="P1020" s="300">
        <v>5.0</v>
      </c>
    </row>
    <row r="1021">
      <c r="A1021">
        <f>IFERROR(__xludf.DUMMYFUNCTION("""COMPUTED_VALUE"""),12.0)</f>
        <v>12</v>
      </c>
      <c r="B1021">
        <f>IFERROR(__xludf.DUMMYFUNCTION("""COMPUTED_VALUE"""),26022.0)</f>
        <v>26022</v>
      </c>
      <c r="C1021" t="str">
        <f>IFERROR(__xludf.DUMMYFUNCTION("""COMPUTED_VALUE"""),"CAROLI ABAD, MASSIMILIANO")</f>
        <v>CAROLI ABAD, MASSIMILIANO</v>
      </c>
      <c r="D1021" t="str">
        <f>IFERROR(__xludf.DUMMYFUNCTION("""COMPUTED_VALUE"""),"Spanish and Literature 12")</f>
        <v>Spanish and Literature 12</v>
      </c>
      <c r="E1021" s="3">
        <f>IFERROR(__xludf.DUMMYFUNCTION("""COMPUTED_VALUE"""),7.0)</f>
        <v>7</v>
      </c>
      <c r="F1021" s="300">
        <v>1.0</v>
      </c>
      <c r="G1021" s="300">
        <v>1.0</v>
      </c>
      <c r="H1021" s="300">
        <v>1.0</v>
      </c>
      <c r="I1021" s="300">
        <v>1.0</v>
      </c>
      <c r="J1021" s="300">
        <v>1.0</v>
      </c>
      <c r="K1021" s="300">
        <v>1.0</v>
      </c>
      <c r="L1021" s="300">
        <v>1.0</v>
      </c>
      <c r="M1021" s="300">
        <v>1.0</v>
      </c>
      <c r="N1021" s="300">
        <v>8.0</v>
      </c>
      <c r="O1021" s="300" t="s">
        <v>833</v>
      </c>
      <c r="P1021" s="300">
        <v>5.0</v>
      </c>
    </row>
    <row r="1022">
      <c r="A1022">
        <f>IFERROR(__xludf.DUMMYFUNCTION("""COMPUTED_VALUE"""),12.0)</f>
        <v>12</v>
      </c>
      <c r="B1022">
        <f>IFERROR(__xludf.DUMMYFUNCTION("""COMPUTED_VALUE"""),26102.0)</f>
        <v>26102</v>
      </c>
      <c r="C1022" t="str">
        <f>IFERROR(__xludf.DUMMYFUNCTION("""COMPUTED_VALUE"""),"RODRIGUEZ NAVARRO, MIGUEL")</f>
        <v>RODRIGUEZ NAVARRO, MIGUEL</v>
      </c>
      <c r="D1022" t="str">
        <f>IFERROR(__xludf.DUMMYFUNCTION("""COMPUTED_VALUE"""),"Spanish and Literature 12")</f>
        <v>Spanish and Literature 12</v>
      </c>
      <c r="E1022" s="3">
        <f>IFERROR(__xludf.DUMMYFUNCTION("""COMPUTED_VALUE"""),5.0)</f>
        <v>5</v>
      </c>
      <c r="F1022" s="300">
        <v>1.0</v>
      </c>
      <c r="G1022" s="300">
        <v>1.0</v>
      </c>
      <c r="H1022" s="300">
        <v>1.0</v>
      </c>
      <c r="I1022" s="300">
        <v>1.0</v>
      </c>
      <c r="J1022" s="300">
        <v>1.0</v>
      </c>
      <c r="K1022" s="300">
        <v>1.0</v>
      </c>
      <c r="L1022" s="300">
        <v>1.0</v>
      </c>
      <c r="M1022" s="300">
        <v>1.0</v>
      </c>
      <c r="N1022" s="300">
        <v>8.0</v>
      </c>
      <c r="O1022" s="300" t="s">
        <v>835</v>
      </c>
      <c r="P1022" s="300">
        <v>5.0</v>
      </c>
    </row>
    <row r="1023">
      <c r="A1023">
        <f>IFERROR(__xludf.DUMMYFUNCTION("""COMPUTED_VALUE"""),12.0)</f>
        <v>12</v>
      </c>
      <c r="B1023">
        <f>IFERROR(__xludf.DUMMYFUNCTION("""COMPUTED_VALUE"""),26107.0)</f>
        <v>26107</v>
      </c>
      <c r="C1023" t="str">
        <f>IFERROR(__xludf.DUMMYFUNCTION("""COMPUTED_VALUE"""),"SUAREZ PEREZ ROSARIO")</f>
        <v>SUAREZ PEREZ ROSARIO</v>
      </c>
      <c r="D1023" t="str">
        <f>IFERROR(__xludf.DUMMYFUNCTION("""COMPUTED_VALUE"""),"Spanish and Literature 12")</f>
        <v>Spanish and Literature 12</v>
      </c>
      <c r="E1023" s="3">
        <f>IFERROR(__xludf.DUMMYFUNCTION("""COMPUTED_VALUE"""),4.0)</f>
        <v>4</v>
      </c>
      <c r="F1023" s="300">
        <v>1.0</v>
      </c>
      <c r="G1023" s="300">
        <v>1.0</v>
      </c>
      <c r="H1023" s="300">
        <v>1.0</v>
      </c>
      <c r="I1023" s="300">
        <v>1.0</v>
      </c>
      <c r="J1023" s="300">
        <v>1.0</v>
      </c>
      <c r="K1023" s="300">
        <v>1.0</v>
      </c>
      <c r="L1023" s="300">
        <v>1.0</v>
      </c>
      <c r="M1023" s="300">
        <v>1.0</v>
      </c>
      <c r="N1023" s="300">
        <v>8.0</v>
      </c>
      <c r="O1023" s="300" t="s">
        <v>832</v>
      </c>
      <c r="P1023" s="300">
        <v>5.0</v>
      </c>
    </row>
    <row r="1024">
      <c r="A1024">
        <f>IFERROR(__xludf.DUMMYFUNCTION("""COMPUTED_VALUE"""),11.0)</f>
        <v>11</v>
      </c>
      <c r="B1024">
        <f>IFERROR(__xludf.DUMMYFUNCTION("""COMPUTED_VALUE"""),27148.0)</f>
        <v>27148</v>
      </c>
      <c r="C1024" t="str">
        <f>IFERROR(__xludf.DUMMYFUNCTION("""COMPUTED_VALUE"""),"TALUKDAR, JIGYASHA")</f>
        <v>TALUKDAR, JIGYASHA</v>
      </c>
      <c r="D1024" t="str">
        <f>IFERROR(__xludf.DUMMYFUNCTION("""COMPUTED_VALUE"""),"AP Computer Science Principles")</f>
        <v>AP Computer Science Principles</v>
      </c>
      <c r="E1024" s="3">
        <f>IFERROR(__xludf.DUMMYFUNCTION("""COMPUTED_VALUE"""),3.0)</f>
        <v>3</v>
      </c>
      <c r="F1024" s="300">
        <v>1.0</v>
      </c>
      <c r="G1024" s="300">
        <v>1.0</v>
      </c>
      <c r="H1024" s="300">
        <v>1.0</v>
      </c>
      <c r="I1024" s="300">
        <v>1.0</v>
      </c>
      <c r="J1024" s="300">
        <v>1.0</v>
      </c>
      <c r="K1024" s="300">
        <v>1.0</v>
      </c>
      <c r="L1024" s="300">
        <v>1.0</v>
      </c>
      <c r="M1024" s="300">
        <v>1.0</v>
      </c>
      <c r="N1024" s="300">
        <v>8.0</v>
      </c>
      <c r="O1024" s="300" t="s">
        <v>836</v>
      </c>
      <c r="P1024" s="300">
        <v>1.0</v>
      </c>
    </row>
    <row r="1025">
      <c r="A1025">
        <f>IFERROR(__xludf.DUMMYFUNCTION("""COMPUTED_VALUE"""),11.0)</f>
        <v>11</v>
      </c>
      <c r="B1025">
        <f>IFERROR(__xludf.DUMMYFUNCTION("""COMPUTED_VALUE"""),27180.0)</f>
        <v>27180</v>
      </c>
      <c r="C1025" t="str">
        <f>IFERROR(__xludf.DUMMYFUNCTION("""COMPUTED_VALUE"""),"CANDELA SÁNCHEZ, LORENZO")</f>
        <v>CANDELA SÁNCHEZ, LORENZO</v>
      </c>
      <c r="D1025" t="str">
        <f>IFERROR(__xludf.DUMMYFUNCTION("""COMPUTED_VALUE"""),"Spanish Film, Art, and Literature")</f>
        <v>Spanish Film, Art, and Literature</v>
      </c>
      <c r="E1025" s="3">
        <f>IFERROR(__xludf.DUMMYFUNCTION("""COMPUTED_VALUE"""),8.0)</f>
        <v>8</v>
      </c>
      <c r="F1025" s="300">
        <v>1.0</v>
      </c>
      <c r="G1025" s="300">
        <v>1.0</v>
      </c>
      <c r="H1025" s="300">
        <v>1.0</v>
      </c>
      <c r="I1025" s="300">
        <v>1.0</v>
      </c>
      <c r="J1025" s="300">
        <v>1.0</v>
      </c>
      <c r="K1025" s="300">
        <v>1.0</v>
      </c>
      <c r="L1025" s="300">
        <v>1.0</v>
      </c>
      <c r="M1025" s="300">
        <v>1.0</v>
      </c>
      <c r="N1025" s="300">
        <v>8.0</v>
      </c>
      <c r="O1025" s="300" t="s">
        <v>824</v>
      </c>
      <c r="P1025" s="300">
        <v>2.0</v>
      </c>
    </row>
    <row r="1026">
      <c r="A1026">
        <f>IFERROR(__xludf.DUMMYFUNCTION("""COMPUTED_VALUE"""),11.0)</f>
        <v>11</v>
      </c>
      <c r="B1026" s="406">
        <f>IFERROR(__xludf.DUMMYFUNCTION("""COMPUTED_VALUE"""),27183.0)</f>
        <v>27183</v>
      </c>
      <c r="C1026" s="406" t="str">
        <f>IFERROR(__xludf.DUMMYFUNCTION("""COMPUTED_VALUE"""),"JOORIS-ANCION, ALEXANDRE")</f>
        <v>JOORIS-ANCION, ALEXANDRE</v>
      </c>
      <c r="D1026" t="str">
        <f>IFERROR(__xludf.DUMMYFUNCTION("""COMPUTED_VALUE"""),"Spanish as a Foreing Language")</f>
        <v>Spanish as a Foreing Language</v>
      </c>
      <c r="E1026" s="3">
        <f>IFERROR(__xludf.DUMMYFUNCTION("""COMPUTED_VALUE"""),8.0)</f>
        <v>8</v>
      </c>
      <c r="F1026" s="300">
        <v>1.0</v>
      </c>
      <c r="G1026" s="300">
        <v>1.0</v>
      </c>
      <c r="H1026" s="300">
        <v>1.0</v>
      </c>
      <c r="I1026" s="300">
        <v>1.0</v>
      </c>
      <c r="J1026" s="300">
        <v>1.0</v>
      </c>
      <c r="K1026" s="300">
        <v>1.0</v>
      </c>
      <c r="L1026" s="300">
        <v>1.0</v>
      </c>
      <c r="M1026" s="300">
        <v>1.0</v>
      </c>
      <c r="N1026" s="300">
        <v>8.0</v>
      </c>
      <c r="O1026" s="300" t="s">
        <v>815</v>
      </c>
      <c r="P1026" s="300">
        <v>1.0</v>
      </c>
    </row>
    <row r="1027">
      <c r="A1027">
        <f>IFERROR(__xludf.DUMMYFUNCTION("""COMPUTED_VALUE"""),10.0)</f>
        <v>10</v>
      </c>
      <c r="B1027">
        <f>IFERROR(__xludf.DUMMYFUNCTION("""COMPUTED_VALUE"""),28176.0)</f>
        <v>28176</v>
      </c>
      <c r="C1027" s="406" t="str">
        <f>IFERROR(__xludf.DUMMYFUNCTION("""COMPUTED_VALUE"""),"SILVA MONTOYA, SEBASTIÁN")</f>
        <v>SILVA MONTOYA, SEBASTIÁN</v>
      </c>
      <c r="D1027" t="str">
        <f>IFERROR(__xludf.DUMMYFUNCTION("""COMPUTED_VALUE"""),"AP Spanish Language and Culture")</f>
        <v>AP Spanish Language and Culture</v>
      </c>
      <c r="E1027" s="3">
        <f>IFERROR(__xludf.DUMMYFUNCTION("""COMPUTED_VALUE"""),5.0)</f>
        <v>5</v>
      </c>
      <c r="F1027" s="300">
        <v>1.0</v>
      </c>
      <c r="G1027" s="300">
        <v>1.0</v>
      </c>
      <c r="H1027" s="300">
        <v>1.0</v>
      </c>
      <c r="I1027" s="300">
        <v>1.0</v>
      </c>
      <c r="J1027" s="300">
        <v>1.0</v>
      </c>
      <c r="K1027" s="300">
        <v>1.0</v>
      </c>
      <c r="L1027" s="300">
        <v>1.0</v>
      </c>
      <c r="M1027" s="300">
        <v>1.0</v>
      </c>
      <c r="N1027" s="300">
        <v>8.0</v>
      </c>
      <c r="O1027" s="300" t="s">
        <v>819</v>
      </c>
      <c r="P1027" s="300">
        <v>7.0</v>
      </c>
    </row>
    <row r="1028">
      <c r="A1028">
        <f>IFERROR(__xludf.DUMMYFUNCTION("""COMPUTED_VALUE"""),9.0)</f>
        <v>9</v>
      </c>
      <c r="B1028">
        <f>IFERROR(__xludf.DUMMYFUNCTION("""COMPUTED_VALUE"""),29173.0)</f>
        <v>29173</v>
      </c>
      <c r="C1028" s="406" t="str">
        <f>IFERROR(__xludf.DUMMYFUNCTION("""COMPUTED_VALUE"""),"GRACIANO VÉLEZ, MARÍA DE LOS ÁNGELES")</f>
        <v>GRACIANO VÉLEZ, MARÍA DE LOS ÁNGELES</v>
      </c>
      <c r="D1028" t="str">
        <f>IFERROR(__xludf.DUMMYFUNCTION("""COMPUTED_VALUE"""),"Spanish and Literature 9")</f>
        <v>Spanish and Literature 9</v>
      </c>
      <c r="E1028" s="3">
        <f>IFERROR(__xludf.DUMMYFUNCTION("""COMPUTED_VALUE"""),4.0)</f>
        <v>4</v>
      </c>
      <c r="F1028" s="300">
        <v>1.0</v>
      </c>
      <c r="G1028" s="300">
        <v>1.0</v>
      </c>
      <c r="H1028" s="300">
        <v>1.0</v>
      </c>
      <c r="I1028" s="300">
        <v>1.0</v>
      </c>
      <c r="J1028" s="300">
        <v>1.0</v>
      </c>
      <c r="K1028" s="300">
        <v>1.0</v>
      </c>
      <c r="L1028" s="300">
        <v>1.0</v>
      </c>
      <c r="M1028" s="300">
        <v>1.0</v>
      </c>
      <c r="N1028" s="300">
        <v>8.0</v>
      </c>
      <c r="O1028" s="300" t="s">
        <v>813</v>
      </c>
      <c r="P1028" s="300">
        <v>7.0</v>
      </c>
    </row>
    <row r="1029">
      <c r="A1029">
        <f>IFERROR(__xludf.DUMMYFUNCTION("""COMPUTED_VALUE"""),9.0)</f>
        <v>9</v>
      </c>
      <c r="B1029">
        <f>IFERROR(__xludf.DUMMYFUNCTION("""COMPUTED_VALUE"""),29174.0)</f>
        <v>29174</v>
      </c>
      <c r="C1029" s="406" t="str">
        <f>IFERROR(__xludf.DUMMYFUNCTION("""COMPUTED_VALUE"""),"CANDELA SÁNCHEZ, EVA")</f>
        <v>CANDELA SÁNCHEZ, EVA</v>
      </c>
      <c r="D1029" t="str">
        <f>IFERROR(__xludf.DUMMYFUNCTION("""COMPUTED_VALUE"""),"Spanish and Literature 9")</f>
        <v>Spanish and Literature 9</v>
      </c>
      <c r="E1029" s="3">
        <f>IFERROR(__xludf.DUMMYFUNCTION("""COMPUTED_VALUE"""),8.0)</f>
        <v>8</v>
      </c>
      <c r="F1029" s="300">
        <v>1.0</v>
      </c>
      <c r="G1029" s="300">
        <v>1.0</v>
      </c>
      <c r="H1029" s="300">
        <v>1.0</v>
      </c>
      <c r="I1029" s="300">
        <v>1.0</v>
      </c>
      <c r="J1029" s="300">
        <v>1.0</v>
      </c>
      <c r="K1029" s="300">
        <v>1.0</v>
      </c>
      <c r="L1029" s="300">
        <v>1.0</v>
      </c>
      <c r="M1029" s="300">
        <v>1.0</v>
      </c>
      <c r="N1029" s="300">
        <v>8.0</v>
      </c>
      <c r="O1029" s="300" t="s">
        <v>810</v>
      </c>
      <c r="P1029" s="300">
        <v>7.0</v>
      </c>
    </row>
    <row r="1030">
      <c r="A1030">
        <f>IFERROR(__xludf.DUMMYFUNCTION("""COMPUTED_VALUE"""),11.0)</f>
        <v>11</v>
      </c>
      <c r="B1030" s="406">
        <f>IFERROR(__xludf.DUMMYFUNCTION("""COMPUTED_VALUE"""),27179.0)</f>
        <v>27179</v>
      </c>
      <c r="C1030" s="406" t="str">
        <f>IFERROR(__xludf.DUMMYFUNCTION("""COMPUTED_VALUE"""),"GRACIANO VÉLEZ, MARÍA DEL MAR")</f>
        <v>GRACIANO VÉLEZ, MARÍA DEL MAR</v>
      </c>
      <c r="D1030" t="str">
        <f>IFERROR(__xludf.DUMMYFUNCTION("""COMPUTED_VALUE"""),"Spanish and Literature 11")</f>
        <v>Spanish and Literature 11</v>
      </c>
      <c r="E1030" s="3">
        <f>IFERROR(__xludf.DUMMYFUNCTION("""COMPUTED_VALUE"""),1.0)</f>
        <v>1</v>
      </c>
      <c r="F1030" s="300">
        <v>1.0</v>
      </c>
      <c r="G1030" s="300">
        <v>1.0</v>
      </c>
      <c r="H1030" s="300">
        <v>1.0</v>
      </c>
      <c r="I1030" s="300">
        <v>1.0</v>
      </c>
      <c r="J1030" s="300">
        <v>1.0</v>
      </c>
      <c r="K1030" s="300">
        <v>1.0</v>
      </c>
      <c r="L1030" s="300">
        <v>1.0</v>
      </c>
      <c r="M1030" s="300">
        <v>1.0</v>
      </c>
      <c r="N1030" s="300">
        <v>8.0</v>
      </c>
      <c r="O1030" s="300" t="s">
        <v>827</v>
      </c>
      <c r="P1030" s="300">
        <v>5.0</v>
      </c>
    </row>
    <row r="1031">
      <c r="A1031">
        <f>IFERROR(__xludf.DUMMYFUNCTION("""COMPUTED_VALUE"""),10.0)</f>
        <v>10</v>
      </c>
      <c r="B1031" s="406">
        <f>IFERROR(__xludf.DUMMYFUNCTION("""COMPUTED_VALUE"""),28178.0)</f>
        <v>28178</v>
      </c>
      <c r="C1031" s="406" t="str">
        <f>IFERROR(__xludf.DUMMYFUNCTION("""COMPUTED_VALUE"""),"CANOVA DOMINGUES, JOAO PEDRO")</f>
        <v>CANOVA DOMINGUES, JOAO PEDRO</v>
      </c>
      <c r="D1031" t="str">
        <f>IFERROR(__xludf.DUMMYFUNCTION("""COMPUTED_VALUE"""),"AP Spanish Language and Culture")</f>
        <v>AP Spanish Language and Culture</v>
      </c>
      <c r="E1031" s="3">
        <f>IFERROR(__xludf.DUMMYFUNCTION("""COMPUTED_VALUE"""),1.0)</f>
        <v>1</v>
      </c>
      <c r="F1031" s="300">
        <v>1.0</v>
      </c>
      <c r="G1031" s="300">
        <v>1.0</v>
      </c>
      <c r="H1031" s="300">
        <v>1.0</v>
      </c>
      <c r="I1031" s="300">
        <v>1.0</v>
      </c>
      <c r="J1031" s="300">
        <v>1.0</v>
      </c>
      <c r="K1031" s="300">
        <v>1.0</v>
      </c>
      <c r="L1031" s="300">
        <v>1.0</v>
      </c>
      <c r="M1031" s="300">
        <v>1.0</v>
      </c>
      <c r="N1031" s="300">
        <v>8.0</v>
      </c>
      <c r="O1031" s="300" t="s">
        <v>822</v>
      </c>
      <c r="P1031" s="300">
        <v>7.0</v>
      </c>
    </row>
    <row r="1032">
      <c r="A1032">
        <f>IFERROR(__xludf.DUMMYFUNCTION("""COMPUTED_VALUE"""),10.0)</f>
        <v>10</v>
      </c>
      <c r="B1032" s="406">
        <f>IFERROR(__xludf.DUMMYFUNCTION("""COMPUTED_VALUE"""),28177.0)</f>
        <v>28177</v>
      </c>
      <c r="C1032" s="406" t="str">
        <f>IFERROR(__xludf.DUMMYFUNCTION("""COMPUTED_VALUE"""),"CUBILLOS GÓMEZ, ROBERTO")</f>
        <v>CUBILLOS GÓMEZ, ROBERTO</v>
      </c>
      <c r="D1032" t="str">
        <f>IFERROR(__xludf.DUMMYFUNCTION("""COMPUTED_VALUE"""),"AP Spanish Language and Culture")</f>
        <v>AP Spanish Language and Culture</v>
      </c>
      <c r="E1032" s="3">
        <f>IFERROR(__xludf.DUMMYFUNCTION("""COMPUTED_VALUE"""),1.0)</f>
        <v>1</v>
      </c>
      <c r="F1032" s="300">
        <v>1.0</v>
      </c>
      <c r="G1032" s="300">
        <v>1.0</v>
      </c>
      <c r="H1032" s="300">
        <v>1.0</v>
      </c>
      <c r="I1032" s="300">
        <v>1.0</v>
      </c>
      <c r="J1032" s="300">
        <v>1.0</v>
      </c>
      <c r="K1032" s="300">
        <v>1.0</v>
      </c>
      <c r="L1032" s="300">
        <v>1.0</v>
      </c>
      <c r="M1032" s="300">
        <v>1.0</v>
      </c>
      <c r="N1032" s="300">
        <v>8.0</v>
      </c>
      <c r="O1032" s="300" t="s">
        <v>822</v>
      </c>
      <c r="P1032" s="300">
        <v>7.0</v>
      </c>
    </row>
    <row r="1033">
      <c r="A1033">
        <f>IFERROR(__xludf.DUMMYFUNCTION("""COMPUTED_VALUE"""),10.0)</f>
        <v>10</v>
      </c>
      <c r="B1033" s="406">
        <f>IFERROR(__xludf.DUMMYFUNCTION("""COMPUTED_VALUE"""),28146.0)</f>
        <v>28146</v>
      </c>
      <c r="C1033" s="406" t="str">
        <f>IFERROR(__xludf.DUMMYFUNCTION("""COMPUTED_VALUE"""),"MORA MORENO, MARÍA LUISA")</f>
        <v>MORA MORENO, MARÍA LUISA</v>
      </c>
      <c r="D1033" t="str">
        <f>IFERROR(__xludf.DUMMYFUNCTION("""COMPUTED_VALUE"""),"AP Spanish Language and Culture")</f>
        <v>AP Spanish Language and Culture</v>
      </c>
      <c r="E1033" s="3">
        <f>IFERROR(__xludf.DUMMYFUNCTION("""COMPUTED_VALUE"""),5.0)</f>
        <v>5</v>
      </c>
      <c r="F1033" s="300">
        <v>1.0</v>
      </c>
      <c r="G1033" s="300">
        <v>1.0</v>
      </c>
      <c r="H1033" s="300">
        <v>1.0</v>
      </c>
      <c r="I1033" s="300">
        <v>1.0</v>
      </c>
      <c r="J1033" s="300">
        <v>1.0</v>
      </c>
      <c r="K1033" s="300">
        <v>1.0</v>
      </c>
      <c r="L1033" s="300">
        <v>1.0</v>
      </c>
      <c r="M1033" s="300">
        <v>1.0</v>
      </c>
      <c r="N1033" s="300">
        <v>8.0</v>
      </c>
      <c r="O1033" s="300" t="s">
        <v>819</v>
      </c>
      <c r="P1033" s="300">
        <v>7.0</v>
      </c>
    </row>
    <row r="1034">
      <c r="A1034">
        <f>IFERROR(__xludf.DUMMYFUNCTION("""COMPUTED_VALUE"""),10.0)</f>
        <v>10</v>
      </c>
      <c r="B1034" s="406">
        <f>IFERROR(__xludf.DUMMYFUNCTION("""COMPUTED_VALUE"""),28175.0)</f>
        <v>28175</v>
      </c>
      <c r="C1034" s="406" t="str">
        <f>IFERROR(__xludf.DUMMYFUNCTION("""COMPUTED_VALUE"""),"DELSOL, ANTOINE")</f>
        <v>DELSOL, ANTOINE</v>
      </c>
      <c r="D1034" t="str">
        <f>IFERROR(__xludf.DUMMYFUNCTION("""COMPUTED_VALUE"""),"Spanish as a Foreing Language")</f>
        <v>Spanish as a Foreing Language</v>
      </c>
      <c r="E1034" s="3">
        <f>IFERROR(__xludf.DUMMYFUNCTION("""COMPUTED_VALUE"""),8.0)</f>
        <v>8</v>
      </c>
      <c r="F1034" s="300">
        <v>1.0</v>
      </c>
      <c r="G1034" s="300">
        <v>1.0</v>
      </c>
      <c r="H1034" s="300">
        <v>1.0</v>
      </c>
      <c r="I1034" s="300">
        <v>1.0</v>
      </c>
      <c r="J1034" s="300">
        <v>1.0</v>
      </c>
      <c r="K1034" s="300">
        <v>1.0</v>
      </c>
      <c r="L1034" s="300">
        <v>1.0</v>
      </c>
      <c r="M1034" s="300">
        <v>1.0</v>
      </c>
      <c r="N1034" s="300">
        <v>8.0</v>
      </c>
      <c r="O1034" s="300" t="s">
        <v>815</v>
      </c>
      <c r="P1034" s="300">
        <v>1.0</v>
      </c>
    </row>
    <row r="1035">
      <c r="A1035">
        <f>IFERROR(__xludf.DUMMYFUNCTION("""COMPUTED_VALUE"""),10.0)</f>
        <v>10</v>
      </c>
      <c r="B1035" s="406">
        <f>IFERROR(__xludf.DUMMYFUNCTION("""COMPUTED_VALUE"""),100052.0)</f>
        <v>100052</v>
      </c>
      <c r="C1035" s="406" t="str">
        <f>IFERROR(__xludf.DUMMYFUNCTION("""COMPUTED_VALUE"""),"ECHEVERRI SALAZAR CAMILA")</f>
        <v>ECHEVERRI SALAZAR CAMILA</v>
      </c>
      <c r="D1035" t="str">
        <f>IFERROR(__xludf.DUMMYFUNCTION("""COMPUTED_VALUE"""),"AP Spanish Language and Culture")</f>
        <v>AP Spanish Language and Culture</v>
      </c>
      <c r="E1035" s="3">
        <f>IFERROR(__xludf.DUMMYFUNCTION("""COMPUTED_VALUE"""),5.0)</f>
        <v>5</v>
      </c>
      <c r="F1035" s="300">
        <v>1.0</v>
      </c>
      <c r="G1035" s="300">
        <v>1.0</v>
      </c>
      <c r="H1035" s="300">
        <v>1.0</v>
      </c>
      <c r="I1035" s="300">
        <v>1.0</v>
      </c>
      <c r="J1035" s="300">
        <v>1.0</v>
      </c>
      <c r="K1035" s="300">
        <v>1.0</v>
      </c>
      <c r="L1035" s="300">
        <v>1.0</v>
      </c>
      <c r="M1035" s="300">
        <v>1.0</v>
      </c>
      <c r="N1035" s="300">
        <v>8.0</v>
      </c>
      <c r="O1035" s="300" t="s">
        <v>819</v>
      </c>
      <c r="P1035" s="300">
        <v>7.0</v>
      </c>
    </row>
    <row r="1036">
      <c r="A1036">
        <f>IFERROR(__xludf.DUMMYFUNCTION("""COMPUTED_VALUE"""),10.0)</f>
        <v>10</v>
      </c>
      <c r="B1036" s="406">
        <f>IFERROR(__xludf.DUMMYFUNCTION("""COMPUTED_VALUE"""),28180.0)</f>
        <v>28180</v>
      </c>
      <c r="C1036" s="406" t="str">
        <f>IFERROR(__xludf.DUMMYFUNCTION("""COMPUTED_VALUE"""),"VÉLEZ GÓMEZ, MATIAS")</f>
        <v>VÉLEZ GÓMEZ, MATIAS</v>
      </c>
      <c r="D1036" t="str">
        <f>IFERROR(__xludf.DUMMYFUNCTION("""COMPUTED_VALUE"""),"Spanish Film, Art, and Literature")</f>
        <v>Spanish Film, Art, and Literature</v>
      </c>
      <c r="E1036" s="3">
        <f>IFERROR(__xludf.DUMMYFUNCTION("""COMPUTED_VALUE"""),8.0)</f>
        <v>8</v>
      </c>
      <c r="F1036" s="300">
        <v>1.0</v>
      </c>
      <c r="G1036" s="300">
        <v>1.0</v>
      </c>
      <c r="H1036" s="300">
        <v>1.0</v>
      </c>
      <c r="I1036" s="300">
        <v>1.0</v>
      </c>
      <c r="J1036" s="300">
        <v>1.0</v>
      </c>
      <c r="K1036" s="300">
        <v>1.0</v>
      </c>
      <c r="L1036" s="300">
        <v>1.0</v>
      </c>
      <c r="M1036" s="300">
        <v>1.0</v>
      </c>
      <c r="N1036" s="300">
        <v>8.0</v>
      </c>
      <c r="O1036" s="300" t="s">
        <v>824</v>
      </c>
      <c r="P1036" s="300">
        <v>2.0</v>
      </c>
    </row>
    <row r="1037">
      <c r="A1037">
        <f>IFERROR(__xludf.DUMMYFUNCTION("""COMPUTED_VALUE"""),10.0)</f>
        <v>10</v>
      </c>
      <c r="B1037" s="406">
        <f>IFERROR(__xludf.DUMMYFUNCTION("""COMPUTED_VALUE"""),28141.0)</f>
        <v>28141</v>
      </c>
      <c r="C1037" s="406" t="str">
        <f>IFERROR(__xludf.DUMMYFUNCTION("""COMPUTED_VALUE"""),"GONZALEZ TRABOULSI SOFIA")</f>
        <v>GONZALEZ TRABOULSI SOFIA</v>
      </c>
      <c r="D1037" t="str">
        <f>IFERROR(__xludf.DUMMYFUNCTION("""COMPUTED_VALUE"""),"AP Spanish Language and Culture")</f>
        <v>AP Spanish Language and Culture</v>
      </c>
      <c r="E1037" s="3">
        <f>IFERROR(__xludf.DUMMYFUNCTION("""COMPUTED_VALUE"""),8.0)</f>
        <v>8</v>
      </c>
      <c r="F1037" s="300">
        <v>1.0</v>
      </c>
      <c r="G1037" s="300">
        <v>1.0</v>
      </c>
      <c r="H1037" s="300">
        <v>1.0</v>
      </c>
      <c r="I1037" s="300">
        <v>1.0</v>
      </c>
      <c r="J1037" s="300">
        <v>1.0</v>
      </c>
      <c r="K1037" s="300">
        <v>1.0</v>
      </c>
      <c r="L1037" s="300">
        <v>1.0</v>
      </c>
      <c r="M1037" s="300">
        <v>1.0</v>
      </c>
      <c r="N1037" s="300">
        <v>8.0</v>
      </c>
      <c r="O1037" s="300" t="s">
        <v>818</v>
      </c>
      <c r="P1037" s="300">
        <v>7.0</v>
      </c>
    </row>
    <row r="1038">
      <c r="A1038">
        <f>IFERROR(__xludf.DUMMYFUNCTION("""COMPUTED_VALUE"""),10.0)</f>
        <v>10</v>
      </c>
      <c r="B1038" s="406">
        <f>IFERROR(__xludf.DUMMYFUNCTION("""COMPUTED_VALUE"""),12345.0)</f>
        <v>12345</v>
      </c>
      <c r="C1038" s="406" t="str">
        <f>IFERROR(__xludf.DUMMYFUNCTION("""COMPUTED_VALUE"""),"TRIVELIN JUAN IGNACIO")</f>
        <v>TRIVELIN JUAN IGNACIO</v>
      </c>
      <c r="D1038" t="str">
        <f>IFERROR(__xludf.DUMMYFUNCTION("""COMPUTED_VALUE"""),"Spanish Film, Art, and Literature")</f>
        <v>Spanish Film, Art, and Literature</v>
      </c>
      <c r="E1038" s="3">
        <f>IFERROR(__xludf.DUMMYFUNCTION("""COMPUTED_VALUE"""),5.0)</f>
        <v>5</v>
      </c>
      <c r="F1038" s="300">
        <v>1.0</v>
      </c>
      <c r="G1038" s="300">
        <v>1.0</v>
      </c>
      <c r="H1038" s="300">
        <v>1.0</v>
      </c>
      <c r="I1038" s="300">
        <v>1.0</v>
      </c>
      <c r="J1038" s="300">
        <v>1.0</v>
      </c>
      <c r="K1038" s="300">
        <v>1.0</v>
      </c>
      <c r="L1038" s="300">
        <v>1.0</v>
      </c>
      <c r="M1038" s="300">
        <v>1.0</v>
      </c>
      <c r="N1038" s="300">
        <v>8.0</v>
      </c>
      <c r="O1038" s="300" t="s">
        <v>823</v>
      </c>
      <c r="P1038" s="300">
        <v>2.0</v>
      </c>
    </row>
    <row r="1039">
      <c r="A1039">
        <f>IFERROR(__xludf.DUMMYFUNCTION("""COMPUTED_VALUE"""),11.0)</f>
        <v>11</v>
      </c>
      <c r="B1039" s="406">
        <f>IFERROR(__xludf.DUMMYFUNCTION("""COMPUTED_VALUE"""),27169.0)</f>
        <v>27169</v>
      </c>
      <c r="C1039" s="406" t="str">
        <f>IFERROR(__xludf.DUMMYFUNCTION("""COMPUTED_VALUE"""),"RAMOS RODRIGUEZ, ELENA")</f>
        <v>RAMOS RODRIGUEZ, ELENA</v>
      </c>
      <c r="D1039" t="str">
        <f>IFERROR(__xludf.DUMMYFUNCTION("""COMPUTED_VALUE"""),"Spanish and Literature 11")</f>
        <v>Spanish and Literature 11</v>
      </c>
      <c r="E1039" s="3">
        <f>IFERROR(__xludf.DUMMYFUNCTION("""COMPUTED_VALUE"""),1.0)</f>
        <v>1</v>
      </c>
      <c r="F1039" s="300">
        <v>1.0</v>
      </c>
      <c r="G1039" s="300">
        <v>1.0</v>
      </c>
      <c r="H1039" s="300">
        <v>1.0</v>
      </c>
      <c r="I1039" s="300">
        <v>1.0</v>
      </c>
      <c r="J1039" s="300">
        <v>1.0</v>
      </c>
      <c r="K1039" s="300">
        <v>1.0</v>
      </c>
      <c r="L1039" s="300">
        <v>1.0</v>
      </c>
      <c r="M1039" s="300">
        <v>1.0</v>
      </c>
      <c r="N1039" s="300">
        <v>8.0</v>
      </c>
      <c r="O1039" s="300" t="s">
        <v>827</v>
      </c>
      <c r="P1039" s="300">
        <v>5.0</v>
      </c>
    </row>
    <row r="1040">
      <c r="A1040">
        <f>IFERROR(__xludf.DUMMYFUNCTION("""COMPUTED_VALUE"""),9.0)</f>
        <v>9</v>
      </c>
      <c r="B1040" s="406">
        <f>IFERROR(__xludf.DUMMYFUNCTION("""COMPUTED_VALUE"""),29070.0)</f>
        <v>29070</v>
      </c>
      <c r="C1040" t="str">
        <f>IFERROR(__xludf.DUMMYFUNCTION("""COMPUTED_VALUE"""),"MANRIQUE CUESTA, ISABELLA")</f>
        <v>MANRIQUE CUESTA, ISABELLA</v>
      </c>
      <c r="D1040" t="str">
        <f>IFERROR(__xludf.DUMMYFUNCTION("""COMPUTED_VALUE"""),"Geometry")</f>
        <v>Geometry</v>
      </c>
      <c r="E1040" s="3">
        <f>IFERROR(__xludf.DUMMYFUNCTION("""COMPUTED_VALUE"""),1.0)</f>
        <v>1</v>
      </c>
      <c r="F1040" s="300">
        <v>1.0</v>
      </c>
      <c r="G1040" s="300">
        <v>1.0</v>
      </c>
      <c r="H1040" s="300">
        <v>1.0</v>
      </c>
      <c r="I1040" s="300">
        <v>1.0</v>
      </c>
      <c r="J1040" s="300">
        <v>1.0</v>
      </c>
      <c r="K1040" s="300">
        <v>1.0</v>
      </c>
      <c r="L1040" s="300">
        <v>1.0</v>
      </c>
      <c r="M1040" s="300">
        <v>1.0</v>
      </c>
      <c r="N1040" s="300">
        <v>8.0</v>
      </c>
      <c r="O1040" s="300" t="s">
        <v>837</v>
      </c>
      <c r="P1040" s="300">
        <v>7.0</v>
      </c>
    </row>
    <row r="1041">
      <c r="A1041">
        <f>IFERROR(__xludf.DUMMYFUNCTION("""COMPUTED_VALUE"""),9.0)</f>
        <v>9</v>
      </c>
      <c r="B1041" s="406">
        <f>IFERROR(__xludf.DUMMYFUNCTION("""COMPUTED_VALUE"""),29075.0)</f>
        <v>29075</v>
      </c>
      <c r="C1041" t="str">
        <f>IFERROR(__xludf.DUMMYFUNCTION("""COMPUTED_VALUE"""),"MEJIA BUSTAMANTE, ANTONIA")</f>
        <v>MEJIA BUSTAMANTE, ANTONIA</v>
      </c>
      <c r="D1041" t="str">
        <f>IFERROR(__xludf.DUMMYFUNCTION("""COMPUTED_VALUE"""),"Geometry")</f>
        <v>Geometry</v>
      </c>
      <c r="E1041" s="3">
        <f>IFERROR(__xludf.DUMMYFUNCTION("""COMPUTED_VALUE"""),1.0)</f>
        <v>1</v>
      </c>
      <c r="F1041" s="300">
        <v>1.0</v>
      </c>
      <c r="G1041" s="300">
        <v>1.0</v>
      </c>
      <c r="H1041" s="300">
        <v>1.0</v>
      </c>
      <c r="I1041" s="300">
        <v>1.0</v>
      </c>
      <c r="J1041" s="300">
        <v>1.0</v>
      </c>
      <c r="K1041" s="300">
        <v>1.0</v>
      </c>
      <c r="L1041" s="300">
        <v>1.0</v>
      </c>
      <c r="M1041" s="300">
        <v>1.0</v>
      </c>
      <c r="N1041" s="300">
        <v>8.0</v>
      </c>
      <c r="O1041" s="300" t="s">
        <v>837</v>
      </c>
      <c r="P1041" s="300">
        <v>7.0</v>
      </c>
    </row>
    <row r="1042">
      <c r="A1042">
        <f>IFERROR(__xludf.DUMMYFUNCTION("""COMPUTED_VALUE"""),9.0)</f>
        <v>9</v>
      </c>
      <c r="B1042" s="406">
        <f>IFERROR(__xludf.DUMMYFUNCTION("""COMPUTED_VALUE"""),29149.0)</f>
        <v>29149</v>
      </c>
      <c r="C1042" t="str">
        <f>IFERROR(__xludf.DUMMYFUNCTION("""COMPUTED_VALUE"""),"SALEMME GUTIERREZ, AMALIA")</f>
        <v>SALEMME GUTIERREZ, AMALIA</v>
      </c>
      <c r="D1042" t="str">
        <f>IFERROR(__xludf.DUMMYFUNCTION("""COMPUTED_VALUE"""),"Geometry")</f>
        <v>Geometry</v>
      </c>
      <c r="E1042" s="3">
        <f>IFERROR(__xludf.DUMMYFUNCTION("""COMPUTED_VALUE"""),2.0)</f>
        <v>2</v>
      </c>
      <c r="F1042" s="300">
        <v>1.0</v>
      </c>
      <c r="G1042" s="300">
        <v>1.0</v>
      </c>
      <c r="H1042" s="300">
        <v>1.0</v>
      </c>
      <c r="I1042" s="300">
        <v>1.0</v>
      </c>
      <c r="J1042" s="300">
        <v>1.0</v>
      </c>
      <c r="K1042" s="300">
        <v>1.0</v>
      </c>
      <c r="L1042" s="300">
        <v>1.0</v>
      </c>
      <c r="M1042" s="300">
        <v>1.0</v>
      </c>
      <c r="N1042" s="300">
        <v>8.0</v>
      </c>
      <c r="O1042" s="300" t="s">
        <v>838</v>
      </c>
      <c r="P1042" s="300">
        <v>7.0</v>
      </c>
    </row>
    <row r="1043">
      <c r="A1043">
        <f>IFERROR(__xludf.DUMMYFUNCTION("""COMPUTED_VALUE"""),9.0)</f>
        <v>9</v>
      </c>
      <c r="B1043" s="406">
        <f>IFERROR(__xludf.DUMMYFUNCTION("""COMPUTED_VALUE"""),29113.0)</f>
        <v>29113</v>
      </c>
      <c r="C1043" t="str">
        <f>IFERROR(__xludf.DUMMYFUNCTION("""COMPUTED_VALUE"""),"THIRIEZ VILLA, EMMA")</f>
        <v>THIRIEZ VILLA, EMMA</v>
      </c>
      <c r="D1043" t="str">
        <f>IFERROR(__xludf.DUMMYFUNCTION("""COMPUTED_VALUE"""),"Geometry")</f>
        <v>Geometry</v>
      </c>
      <c r="E1043" s="3">
        <f>IFERROR(__xludf.DUMMYFUNCTION("""COMPUTED_VALUE"""),2.0)</f>
        <v>2</v>
      </c>
      <c r="F1043" s="300">
        <v>1.0</v>
      </c>
      <c r="G1043" s="300">
        <v>1.0</v>
      </c>
      <c r="H1043" s="300">
        <v>1.0</v>
      </c>
      <c r="I1043" s="300">
        <v>1.0</v>
      </c>
      <c r="J1043" s="300">
        <v>1.0</v>
      </c>
      <c r="K1043" s="300">
        <v>1.0</v>
      </c>
      <c r="L1043" s="300">
        <v>1.0</v>
      </c>
      <c r="M1043" s="300">
        <v>1.0</v>
      </c>
      <c r="N1043" s="300">
        <v>8.0</v>
      </c>
      <c r="O1043" s="300" t="s">
        <v>838</v>
      </c>
      <c r="P1043" s="300">
        <v>7.0</v>
      </c>
    </row>
    <row r="1044">
      <c r="A1044">
        <f>IFERROR(__xludf.DUMMYFUNCTION("""COMPUTED_VALUE"""),9.0)</f>
        <v>9</v>
      </c>
      <c r="B1044" s="406">
        <f>IFERROR(__xludf.DUMMYFUNCTION("""COMPUTED_VALUE"""),29131.0)</f>
        <v>29131</v>
      </c>
      <c r="C1044" t="str">
        <f>IFERROR(__xludf.DUMMYFUNCTION("""COMPUTED_VALUE"""),"VILLEGAS HINCAPIE, CANDELARIA")</f>
        <v>VILLEGAS HINCAPIE, CANDELARIA</v>
      </c>
      <c r="D1044" t="str">
        <f>IFERROR(__xludf.DUMMYFUNCTION("""COMPUTED_VALUE"""),"Geometry")</f>
        <v>Geometry</v>
      </c>
      <c r="E1044" s="3">
        <f>IFERROR(__xludf.DUMMYFUNCTION("""COMPUTED_VALUE"""),7.0)</f>
        <v>7</v>
      </c>
      <c r="F1044" s="300">
        <v>1.0</v>
      </c>
      <c r="G1044" s="300">
        <v>1.0</v>
      </c>
      <c r="H1044" s="300">
        <v>1.0</v>
      </c>
      <c r="I1044" s="300">
        <v>1.0</v>
      </c>
      <c r="J1044" s="300">
        <v>1.0</v>
      </c>
      <c r="K1044" s="300">
        <v>1.0</v>
      </c>
      <c r="L1044" s="300">
        <v>1.0</v>
      </c>
      <c r="M1044" s="300">
        <v>1.0</v>
      </c>
      <c r="N1044" s="300">
        <v>8.0</v>
      </c>
      <c r="O1044" s="300" t="s">
        <v>839</v>
      </c>
      <c r="P1044" s="300">
        <v>7.0</v>
      </c>
    </row>
    <row r="1045">
      <c r="A1045">
        <f>IFERROR(__xludf.DUMMYFUNCTION("""COMPUTED_VALUE"""),9.0)</f>
        <v>9</v>
      </c>
      <c r="B1045" s="406">
        <f>IFERROR(__xludf.DUMMYFUNCTION("""COMPUTED_VALUE"""),29077.0)</f>
        <v>29077</v>
      </c>
      <c r="C1045" t="str">
        <f>IFERROR(__xludf.DUMMYFUNCTION("""COMPUTED_VALUE"""),"MEJIA VILLEGAS, CANDELARIA")</f>
        <v>MEJIA VILLEGAS, CANDELARIA</v>
      </c>
      <c r="D1045" t="str">
        <f>IFERROR(__xludf.DUMMYFUNCTION("""COMPUTED_VALUE"""),"Geometry")</f>
        <v>Geometry</v>
      </c>
      <c r="E1045" s="3">
        <f>IFERROR(__xludf.DUMMYFUNCTION("""COMPUTED_VALUE"""),1.0)</f>
        <v>1</v>
      </c>
      <c r="F1045" s="300">
        <v>1.0</v>
      </c>
      <c r="G1045" s="300">
        <v>1.0</v>
      </c>
      <c r="H1045" s="300">
        <v>1.0</v>
      </c>
      <c r="I1045" s="300">
        <v>1.0</v>
      </c>
      <c r="J1045" s="300">
        <v>1.0</v>
      </c>
      <c r="K1045" s="300">
        <v>1.0</v>
      </c>
      <c r="L1045" s="300">
        <v>1.0</v>
      </c>
      <c r="M1045" s="300">
        <v>1.0</v>
      </c>
      <c r="N1045" s="300">
        <v>8.0</v>
      </c>
      <c r="O1045" s="300" t="s">
        <v>837</v>
      </c>
      <c r="P1045" s="300">
        <v>7.0</v>
      </c>
    </row>
    <row r="1046">
      <c r="A1046">
        <f>IFERROR(__xludf.DUMMYFUNCTION("""COMPUTED_VALUE"""),9.0)</f>
        <v>9</v>
      </c>
      <c r="B1046" s="406">
        <f>IFERROR(__xludf.DUMMYFUNCTION("""COMPUTED_VALUE"""),28006.0)</f>
        <v>28006</v>
      </c>
      <c r="C1046" t="str">
        <f>IFERROR(__xludf.DUMMYFUNCTION("""COMPUTED_VALUE"""),"ARISTIZABAL ECHAVARRIA, CRISTOBAL")</f>
        <v>ARISTIZABAL ECHAVARRIA, CRISTOBAL</v>
      </c>
      <c r="D1046" t="str">
        <f>IFERROR(__xludf.DUMMYFUNCTION("""COMPUTED_VALUE"""),"Geometry")</f>
        <v>Geometry</v>
      </c>
      <c r="E1046" s="3">
        <f>IFERROR(__xludf.DUMMYFUNCTION("""COMPUTED_VALUE"""),3.0)</f>
        <v>3</v>
      </c>
      <c r="F1046" s="300">
        <v>1.0</v>
      </c>
      <c r="G1046" s="300">
        <v>1.0</v>
      </c>
      <c r="H1046" s="300">
        <v>1.0</v>
      </c>
      <c r="I1046" s="300">
        <v>1.0</v>
      </c>
      <c r="J1046" s="300">
        <v>1.0</v>
      </c>
      <c r="K1046" s="300">
        <v>1.0</v>
      </c>
      <c r="L1046" s="300">
        <v>1.0</v>
      </c>
      <c r="M1046" s="300">
        <v>1.0</v>
      </c>
      <c r="N1046" s="300">
        <v>8.0</v>
      </c>
      <c r="O1046" s="300" t="s">
        <v>840</v>
      </c>
      <c r="P1046" s="300">
        <v>7.0</v>
      </c>
    </row>
    <row r="1047">
      <c r="A1047">
        <f>IFERROR(__xludf.DUMMYFUNCTION("""COMPUTED_VALUE"""),9.0)</f>
        <v>9</v>
      </c>
      <c r="B1047" s="406">
        <f>IFERROR(__xludf.DUMMYFUNCTION("""COMPUTED_VALUE"""),29089.0)</f>
        <v>29089</v>
      </c>
      <c r="C1047" t="str">
        <f>IFERROR(__xludf.DUMMYFUNCTION("""COMPUTED_VALUE"""),"PEREZ BEDOYA, ELENA")</f>
        <v>PEREZ BEDOYA, ELENA</v>
      </c>
      <c r="D1047" t="str">
        <f>IFERROR(__xludf.DUMMYFUNCTION("""COMPUTED_VALUE"""),"Geometry")</f>
        <v>Geometry</v>
      </c>
      <c r="E1047" s="3">
        <f>IFERROR(__xludf.DUMMYFUNCTION("""COMPUTED_VALUE"""),1.0)</f>
        <v>1</v>
      </c>
      <c r="F1047" s="300">
        <v>1.0</v>
      </c>
      <c r="G1047" s="300">
        <v>1.0</v>
      </c>
      <c r="H1047" s="300">
        <v>1.0</v>
      </c>
      <c r="I1047" s="300">
        <v>1.0</v>
      </c>
      <c r="J1047" s="300">
        <v>1.0</v>
      </c>
      <c r="K1047" s="300">
        <v>1.0</v>
      </c>
      <c r="L1047" s="300">
        <v>1.0</v>
      </c>
      <c r="M1047" s="300">
        <v>1.0</v>
      </c>
      <c r="N1047" s="300">
        <v>8.0</v>
      </c>
      <c r="O1047" s="300" t="s">
        <v>837</v>
      </c>
      <c r="P1047" s="300">
        <v>7.0</v>
      </c>
    </row>
    <row r="1048">
      <c r="A1048">
        <f>IFERROR(__xludf.DUMMYFUNCTION("""COMPUTED_VALUE"""),9.0)</f>
        <v>9</v>
      </c>
      <c r="B1048" s="406">
        <f>IFERROR(__xludf.DUMMYFUNCTION("""COMPUTED_VALUE"""),29048.0)</f>
        <v>29048</v>
      </c>
      <c r="C1048" t="str">
        <f>IFERROR(__xludf.DUMMYFUNCTION("""COMPUTED_VALUE"""),"HENAO RESTREPO, ANTONIA")</f>
        <v>HENAO RESTREPO, ANTONIA</v>
      </c>
      <c r="D1048" t="str">
        <f>IFERROR(__xludf.DUMMYFUNCTION("""COMPUTED_VALUE"""),"Geometry")</f>
        <v>Geometry</v>
      </c>
      <c r="E1048" s="3">
        <f>IFERROR(__xludf.DUMMYFUNCTION("""COMPUTED_VALUE"""),2.0)</f>
        <v>2</v>
      </c>
      <c r="F1048" s="300">
        <v>1.0</v>
      </c>
      <c r="G1048" s="300">
        <v>1.0</v>
      </c>
      <c r="H1048" s="300">
        <v>1.0</v>
      </c>
      <c r="I1048" s="300">
        <v>1.0</v>
      </c>
      <c r="J1048" s="300">
        <v>1.0</v>
      </c>
      <c r="K1048" s="300">
        <v>1.0</v>
      </c>
      <c r="L1048" s="300">
        <v>1.0</v>
      </c>
      <c r="M1048" s="300">
        <v>1.0</v>
      </c>
      <c r="N1048" s="300">
        <v>8.0</v>
      </c>
      <c r="O1048" s="300" t="s">
        <v>838</v>
      </c>
      <c r="P1048" s="300">
        <v>7.0</v>
      </c>
    </row>
    <row r="1049">
      <c r="A1049">
        <f>IFERROR(__xludf.DUMMYFUNCTION("""COMPUTED_VALUE"""),9.0)</f>
        <v>9</v>
      </c>
      <c r="B1049" s="406">
        <f>IFERROR(__xludf.DUMMYFUNCTION("""COMPUTED_VALUE"""),29019.0)</f>
        <v>29019</v>
      </c>
      <c r="C1049" t="str">
        <f>IFERROR(__xludf.DUMMYFUNCTION("""COMPUTED_VALUE"""),"BARRIENTOS ALVAREZ, ELISA")</f>
        <v>BARRIENTOS ALVAREZ, ELISA</v>
      </c>
      <c r="D1049" t="str">
        <f>IFERROR(__xludf.DUMMYFUNCTION("""COMPUTED_VALUE"""),"Geometry")</f>
        <v>Geometry</v>
      </c>
      <c r="E1049" s="3">
        <f>IFERROR(__xludf.DUMMYFUNCTION("""COMPUTED_VALUE"""),1.0)</f>
        <v>1</v>
      </c>
      <c r="F1049" s="300">
        <v>1.0</v>
      </c>
      <c r="G1049" s="300">
        <v>1.0</v>
      </c>
      <c r="H1049" s="300">
        <v>1.0</v>
      </c>
      <c r="I1049" s="300">
        <v>1.0</v>
      </c>
      <c r="J1049" s="300">
        <v>1.0</v>
      </c>
      <c r="K1049" s="300">
        <v>1.0</v>
      </c>
      <c r="L1049" s="300">
        <v>1.0</v>
      </c>
      <c r="M1049" s="300">
        <v>1.0</v>
      </c>
      <c r="N1049" s="300">
        <v>8.0</v>
      </c>
      <c r="O1049" s="300" t="s">
        <v>837</v>
      </c>
      <c r="P1049" s="300">
        <v>7.0</v>
      </c>
    </row>
    <row r="1050">
      <c r="A1050">
        <f>IFERROR(__xludf.DUMMYFUNCTION("""COMPUTED_VALUE"""),9.0)</f>
        <v>9</v>
      </c>
      <c r="B1050" s="406">
        <f>IFERROR(__xludf.DUMMYFUNCTION("""COMPUTED_VALUE"""),29079.0)</f>
        <v>29079</v>
      </c>
      <c r="C1050" t="str">
        <f>IFERROR(__xludf.DUMMYFUNCTION("""COMPUTED_VALUE"""),"MISAS MESA, ALICIA")</f>
        <v>MISAS MESA, ALICIA</v>
      </c>
      <c r="D1050" t="str">
        <f>IFERROR(__xludf.DUMMYFUNCTION("""COMPUTED_VALUE"""),"Geometry")</f>
        <v>Geometry</v>
      </c>
      <c r="E1050" s="3">
        <f>IFERROR(__xludf.DUMMYFUNCTION("""COMPUTED_VALUE"""),1.0)</f>
        <v>1</v>
      </c>
      <c r="F1050" s="300">
        <v>1.0</v>
      </c>
      <c r="G1050" s="300">
        <v>1.0</v>
      </c>
      <c r="H1050" s="300">
        <v>1.0</v>
      </c>
      <c r="I1050" s="300">
        <v>1.0</v>
      </c>
      <c r="J1050" s="300">
        <v>1.0</v>
      </c>
      <c r="K1050" s="300">
        <v>1.0</v>
      </c>
      <c r="L1050" s="300">
        <v>1.0</v>
      </c>
      <c r="M1050" s="300">
        <v>1.0</v>
      </c>
      <c r="N1050" s="300">
        <v>8.0</v>
      </c>
      <c r="O1050" s="300" t="s">
        <v>837</v>
      </c>
      <c r="P1050" s="300">
        <v>7.0</v>
      </c>
    </row>
    <row r="1051">
      <c r="A1051">
        <f>IFERROR(__xludf.DUMMYFUNCTION("""COMPUTED_VALUE"""),9.0)</f>
        <v>9</v>
      </c>
      <c r="B1051" s="406">
        <f>IFERROR(__xludf.DUMMYFUNCTION("""COMPUTED_VALUE"""),29010.0)</f>
        <v>29010</v>
      </c>
      <c r="C1051" t="str">
        <f>IFERROR(__xludf.DUMMYFUNCTION("""COMPUTED_VALUE"""),"ARANGO NAVARRO, MANUELA")</f>
        <v>ARANGO NAVARRO, MANUELA</v>
      </c>
      <c r="D1051" t="str">
        <f>IFERROR(__xludf.DUMMYFUNCTION("""COMPUTED_VALUE"""),"Geometry")</f>
        <v>Geometry</v>
      </c>
      <c r="E1051" s="3">
        <f>IFERROR(__xludf.DUMMYFUNCTION("""COMPUTED_VALUE"""),8.0)</f>
        <v>8</v>
      </c>
      <c r="F1051" s="300">
        <v>1.0</v>
      </c>
      <c r="G1051" s="300">
        <v>1.0</v>
      </c>
      <c r="H1051" s="300">
        <v>1.0</v>
      </c>
      <c r="I1051" s="300">
        <v>1.0</v>
      </c>
      <c r="J1051" s="300">
        <v>1.0</v>
      </c>
      <c r="K1051" s="300">
        <v>1.0</v>
      </c>
      <c r="L1051" s="300">
        <v>1.0</v>
      </c>
      <c r="M1051" s="300">
        <v>1.0</v>
      </c>
      <c r="N1051" s="300">
        <v>8.0</v>
      </c>
      <c r="O1051" s="300" t="s">
        <v>841</v>
      </c>
      <c r="P1051" s="300">
        <v>7.0</v>
      </c>
    </row>
    <row r="1052">
      <c r="A1052">
        <f>IFERROR(__xludf.DUMMYFUNCTION("""COMPUTED_VALUE"""),9.0)</f>
        <v>9</v>
      </c>
      <c r="B1052" s="406">
        <f>IFERROR(__xludf.DUMMYFUNCTION("""COMPUTED_VALUE"""),29074.0)</f>
        <v>29074</v>
      </c>
      <c r="C1052" t="str">
        <f>IFERROR(__xludf.DUMMYFUNCTION("""COMPUTED_VALUE"""),"MEDINA JARAMILLO, ALICIA")</f>
        <v>MEDINA JARAMILLO, ALICIA</v>
      </c>
      <c r="D1052" t="str">
        <f>IFERROR(__xludf.DUMMYFUNCTION("""COMPUTED_VALUE"""),"Geometry")</f>
        <v>Geometry</v>
      </c>
      <c r="E1052" s="3">
        <f>IFERROR(__xludf.DUMMYFUNCTION("""COMPUTED_VALUE"""),1.0)</f>
        <v>1</v>
      </c>
      <c r="F1052" s="300">
        <v>1.0</v>
      </c>
      <c r="G1052" s="300">
        <v>1.0</v>
      </c>
      <c r="H1052" s="300">
        <v>1.0</v>
      </c>
      <c r="I1052" s="300">
        <v>1.0</v>
      </c>
      <c r="J1052" s="300">
        <v>1.0</v>
      </c>
      <c r="K1052" s="300">
        <v>1.0</v>
      </c>
      <c r="L1052" s="300">
        <v>1.0</v>
      </c>
      <c r="M1052" s="300">
        <v>1.0</v>
      </c>
      <c r="N1052" s="300">
        <v>8.0</v>
      </c>
      <c r="O1052" s="300" t="s">
        <v>837</v>
      </c>
      <c r="P1052" s="300">
        <v>7.0</v>
      </c>
    </row>
    <row r="1053">
      <c r="A1053">
        <f>IFERROR(__xludf.DUMMYFUNCTION("""COMPUTED_VALUE"""),9.0)</f>
        <v>9</v>
      </c>
      <c r="B1053" s="406">
        <f>IFERROR(__xludf.DUMMYFUNCTION("""COMPUTED_VALUE"""),29001.0)</f>
        <v>29001</v>
      </c>
      <c r="C1053" t="str">
        <f>IFERROR(__xludf.DUMMYFUNCTION("""COMPUTED_VALUE"""),"ACEVEDO ARANGO, ROSARIO")</f>
        <v>ACEVEDO ARANGO, ROSARIO</v>
      </c>
      <c r="D1053" t="str">
        <f>IFERROR(__xludf.DUMMYFUNCTION("""COMPUTED_VALUE"""),"Geometry")</f>
        <v>Geometry</v>
      </c>
      <c r="E1053" s="3">
        <f>IFERROR(__xludf.DUMMYFUNCTION("""COMPUTED_VALUE"""),8.0)</f>
        <v>8</v>
      </c>
      <c r="F1053" s="300">
        <v>1.0</v>
      </c>
      <c r="G1053" s="300">
        <v>1.0</v>
      </c>
      <c r="H1053" s="300">
        <v>1.0</v>
      </c>
      <c r="I1053" s="300">
        <v>1.0</v>
      </c>
      <c r="J1053" s="300">
        <v>1.0</v>
      </c>
      <c r="K1053" s="300">
        <v>1.0</v>
      </c>
      <c r="L1053" s="300">
        <v>1.0</v>
      </c>
      <c r="M1053" s="300">
        <v>1.0</v>
      </c>
      <c r="N1053" s="300">
        <v>8.0</v>
      </c>
      <c r="O1053" s="300" t="s">
        <v>841</v>
      </c>
      <c r="P1053" s="300">
        <v>7.0</v>
      </c>
    </row>
    <row r="1054">
      <c r="A1054">
        <f>IFERROR(__xludf.DUMMYFUNCTION("""COMPUTED_VALUE"""),9.0)</f>
        <v>9</v>
      </c>
      <c r="B1054" s="406">
        <f>IFERROR(__xludf.DUMMYFUNCTION("""COMPUTED_VALUE"""),29043.0)</f>
        <v>29043</v>
      </c>
      <c r="C1054" t="str">
        <f>IFERROR(__xludf.DUMMYFUNCTION("""COMPUTED_VALUE"""),"GOMEZ PASCHKE, VALERIA")</f>
        <v>GOMEZ PASCHKE, VALERIA</v>
      </c>
      <c r="D1054" t="str">
        <f>IFERROR(__xludf.DUMMYFUNCTION("""COMPUTED_VALUE"""),"Geometry")</f>
        <v>Geometry</v>
      </c>
      <c r="E1054" s="3">
        <f>IFERROR(__xludf.DUMMYFUNCTION("""COMPUTED_VALUE"""),2.0)</f>
        <v>2</v>
      </c>
      <c r="F1054" s="300">
        <v>1.0</v>
      </c>
      <c r="G1054" s="300">
        <v>1.0</v>
      </c>
      <c r="H1054" s="300">
        <v>1.0</v>
      </c>
      <c r="I1054" s="300">
        <v>1.0</v>
      </c>
      <c r="J1054" s="300">
        <v>1.0</v>
      </c>
      <c r="K1054" s="300">
        <v>1.0</v>
      </c>
      <c r="L1054" s="300">
        <v>1.0</v>
      </c>
      <c r="M1054" s="300">
        <v>1.0</v>
      </c>
      <c r="N1054" s="300">
        <v>8.0</v>
      </c>
      <c r="O1054" s="300" t="s">
        <v>838</v>
      </c>
      <c r="P1054" s="300">
        <v>7.0</v>
      </c>
    </row>
    <row r="1055">
      <c r="A1055">
        <f>IFERROR(__xludf.DUMMYFUNCTION("""COMPUTED_VALUE"""),9.0)</f>
        <v>9</v>
      </c>
      <c r="B1055" s="406">
        <f>IFERROR(__xludf.DUMMYFUNCTION("""COMPUTED_VALUE"""),29114.0)</f>
        <v>29114</v>
      </c>
      <c r="C1055" t="str">
        <f>IFERROR(__xludf.DUMMYFUNCTION("""COMPUTED_VALUE"""),"THIRIEZ VILLA, MARIA")</f>
        <v>THIRIEZ VILLA, MARIA</v>
      </c>
      <c r="D1055" t="str">
        <f>IFERROR(__xludf.DUMMYFUNCTION("""COMPUTED_VALUE"""),"Geometry")</f>
        <v>Geometry</v>
      </c>
      <c r="E1055" s="3">
        <f>IFERROR(__xludf.DUMMYFUNCTION("""COMPUTED_VALUE"""),2.0)</f>
        <v>2</v>
      </c>
      <c r="F1055" s="300">
        <v>1.0</v>
      </c>
      <c r="G1055" s="300">
        <v>1.0</v>
      </c>
      <c r="H1055" s="300">
        <v>1.0</v>
      </c>
      <c r="I1055" s="300">
        <v>1.0</v>
      </c>
      <c r="J1055" s="300">
        <v>1.0</v>
      </c>
      <c r="K1055" s="300">
        <v>1.0</v>
      </c>
      <c r="L1055" s="300">
        <v>1.0</v>
      </c>
      <c r="M1055" s="300">
        <v>1.0</v>
      </c>
      <c r="N1055" s="300">
        <v>8.0</v>
      </c>
      <c r="O1055" s="300" t="s">
        <v>838</v>
      </c>
      <c r="P1055" s="300">
        <v>7.0</v>
      </c>
    </row>
    <row r="1056">
      <c r="A1056">
        <f>IFERROR(__xludf.DUMMYFUNCTION("""COMPUTED_VALUE"""),9.0)</f>
        <v>9</v>
      </c>
      <c r="B1056" s="406">
        <f>IFERROR(__xludf.DUMMYFUNCTION("""COMPUTED_VALUE"""),29091.0)</f>
        <v>29091</v>
      </c>
      <c r="C1056" t="str">
        <f>IFERROR(__xludf.DUMMYFUNCTION("""COMPUTED_VALUE"""),"PLATA BOLAÑOS, CAMILA")</f>
        <v>PLATA BOLAÑOS, CAMILA</v>
      </c>
      <c r="D1056" t="str">
        <f>IFERROR(__xludf.DUMMYFUNCTION("""COMPUTED_VALUE"""),"Geometry")</f>
        <v>Geometry</v>
      </c>
      <c r="E1056" s="3">
        <f>IFERROR(__xludf.DUMMYFUNCTION("""COMPUTED_VALUE"""),2.0)</f>
        <v>2</v>
      </c>
      <c r="F1056" s="300">
        <v>1.0</v>
      </c>
      <c r="G1056" s="300">
        <v>1.0</v>
      </c>
      <c r="H1056" s="300">
        <v>1.0</v>
      </c>
      <c r="I1056" s="300">
        <v>1.0</v>
      </c>
      <c r="J1056" s="300">
        <v>1.0</v>
      </c>
      <c r="K1056" s="300">
        <v>1.0</v>
      </c>
      <c r="L1056" s="300">
        <v>1.0</v>
      </c>
      <c r="M1056" s="300">
        <v>1.0</v>
      </c>
      <c r="N1056" s="300">
        <v>8.0</v>
      </c>
      <c r="O1056" s="300" t="s">
        <v>838</v>
      </c>
      <c r="P1056" s="300">
        <v>7.0</v>
      </c>
    </row>
    <row r="1057">
      <c r="A1057">
        <f>IFERROR(__xludf.DUMMYFUNCTION("""COMPUTED_VALUE"""),9.0)</f>
        <v>9</v>
      </c>
      <c r="B1057" s="406">
        <f>IFERROR(__xludf.DUMMYFUNCTION("""COMPUTED_VALUE"""),29034.0)</f>
        <v>29034</v>
      </c>
      <c r="C1057" t="str">
        <f>IFERROR(__xludf.DUMMYFUNCTION("""COMPUTED_VALUE"""),"DUQUE BONNETT, ELISA")</f>
        <v>DUQUE BONNETT, ELISA</v>
      </c>
      <c r="D1057" t="str">
        <f>IFERROR(__xludf.DUMMYFUNCTION("""COMPUTED_VALUE"""),"Geometry")</f>
        <v>Geometry</v>
      </c>
      <c r="E1057" s="3">
        <f>IFERROR(__xludf.DUMMYFUNCTION("""COMPUTED_VALUE"""),1.0)</f>
        <v>1</v>
      </c>
      <c r="F1057" s="300">
        <v>1.0</v>
      </c>
      <c r="G1057" s="300">
        <v>1.0</v>
      </c>
      <c r="H1057" s="300">
        <v>1.0</v>
      </c>
      <c r="I1057" s="300">
        <v>1.0</v>
      </c>
      <c r="J1057" s="300">
        <v>1.0</v>
      </c>
      <c r="K1057" s="300">
        <v>1.0</v>
      </c>
      <c r="L1057" s="300">
        <v>1.0</v>
      </c>
      <c r="M1057" s="300">
        <v>1.0</v>
      </c>
      <c r="N1057" s="300">
        <v>8.0</v>
      </c>
      <c r="O1057" s="300" t="s">
        <v>837</v>
      </c>
      <c r="P1057" s="300">
        <v>7.0</v>
      </c>
    </row>
    <row r="1058">
      <c r="A1058">
        <f>IFERROR(__xludf.DUMMYFUNCTION("""COMPUTED_VALUE"""),9.0)</f>
        <v>9</v>
      </c>
      <c r="B1058" s="406">
        <f>IFERROR(__xludf.DUMMYFUNCTION("""COMPUTED_VALUE"""),29080.0)</f>
        <v>29080</v>
      </c>
      <c r="C1058" t="str">
        <f>IFERROR(__xludf.DUMMYFUNCTION("""COMPUTED_VALUE"""),"MONTES LOPEZ, MANUELA")</f>
        <v>MONTES LOPEZ, MANUELA</v>
      </c>
      <c r="D1058" t="str">
        <f>IFERROR(__xludf.DUMMYFUNCTION("""COMPUTED_VALUE"""),"Geometry")</f>
        <v>Geometry</v>
      </c>
      <c r="E1058" s="3">
        <f>IFERROR(__xludf.DUMMYFUNCTION("""COMPUTED_VALUE"""),1.0)</f>
        <v>1</v>
      </c>
      <c r="F1058" s="300">
        <v>1.0</v>
      </c>
      <c r="G1058" s="300">
        <v>1.0</v>
      </c>
      <c r="H1058" s="300">
        <v>1.0</v>
      </c>
      <c r="I1058" s="300">
        <v>1.0</v>
      </c>
      <c r="J1058" s="300">
        <v>1.0</v>
      </c>
      <c r="K1058" s="300">
        <v>1.0</v>
      </c>
      <c r="L1058" s="300">
        <v>1.0</v>
      </c>
      <c r="M1058" s="300">
        <v>1.0</v>
      </c>
      <c r="N1058" s="300">
        <v>8.0</v>
      </c>
      <c r="O1058" s="300" t="s">
        <v>837</v>
      </c>
      <c r="P1058" s="300">
        <v>7.0</v>
      </c>
    </row>
    <row r="1059">
      <c r="A1059">
        <f>IFERROR(__xludf.DUMMYFUNCTION("""COMPUTED_VALUE"""),9.0)</f>
        <v>9</v>
      </c>
      <c r="B1059" s="406">
        <f>IFERROR(__xludf.DUMMYFUNCTION("""COMPUTED_VALUE"""),29157.0)</f>
        <v>29157</v>
      </c>
      <c r="C1059" t="str">
        <f>IFERROR(__xludf.DUMMYFUNCTION("""COMPUTED_VALUE"""),"PETTERSSON VANEGAS, DOMINIQUE")</f>
        <v>PETTERSSON VANEGAS, DOMINIQUE</v>
      </c>
      <c r="D1059" t="str">
        <f>IFERROR(__xludf.DUMMYFUNCTION("""COMPUTED_VALUE"""),"Geometry")</f>
        <v>Geometry</v>
      </c>
      <c r="E1059" s="3">
        <f>IFERROR(__xludf.DUMMYFUNCTION("""COMPUTED_VALUE"""),2.0)</f>
        <v>2</v>
      </c>
      <c r="F1059" s="300">
        <v>1.0</v>
      </c>
      <c r="G1059" s="300">
        <v>1.0</v>
      </c>
      <c r="H1059" s="300">
        <v>1.0</v>
      </c>
      <c r="I1059" s="300">
        <v>1.0</v>
      </c>
      <c r="J1059" s="300">
        <v>1.0</v>
      </c>
      <c r="K1059" s="300">
        <v>1.0</v>
      </c>
      <c r="L1059" s="300">
        <v>1.0</v>
      </c>
      <c r="M1059" s="300">
        <v>1.0</v>
      </c>
      <c r="N1059" s="300">
        <v>8.0</v>
      </c>
      <c r="O1059" s="300" t="s">
        <v>838</v>
      </c>
      <c r="P1059" s="300">
        <v>7.0</v>
      </c>
    </row>
    <row r="1060">
      <c r="A1060">
        <f>IFERROR(__xludf.DUMMYFUNCTION("""COMPUTED_VALUE"""),9.0)</f>
        <v>9</v>
      </c>
      <c r="B1060" s="406">
        <f>IFERROR(__xludf.DUMMYFUNCTION("""COMPUTED_VALUE"""),29111.0)</f>
        <v>29111</v>
      </c>
      <c r="C1060" t="str">
        <f>IFERROR(__xludf.DUMMYFUNCTION("""COMPUTED_VALUE"""),"SOTO ANGEL, GABRIELA")</f>
        <v>SOTO ANGEL, GABRIELA</v>
      </c>
      <c r="D1060" t="str">
        <f>IFERROR(__xludf.DUMMYFUNCTION("""COMPUTED_VALUE"""),"Geometry")</f>
        <v>Geometry</v>
      </c>
      <c r="E1060" s="3">
        <f>IFERROR(__xludf.DUMMYFUNCTION("""COMPUTED_VALUE"""),1.0)</f>
        <v>1</v>
      </c>
      <c r="F1060" s="300">
        <v>1.0</v>
      </c>
      <c r="G1060" s="300">
        <v>1.0</v>
      </c>
      <c r="H1060" s="300">
        <v>1.0</v>
      </c>
      <c r="I1060" s="300">
        <v>1.0</v>
      </c>
      <c r="J1060" s="300">
        <v>1.0</v>
      </c>
      <c r="K1060" s="300">
        <v>1.0</v>
      </c>
      <c r="L1060" s="300">
        <v>1.0</v>
      </c>
      <c r="M1060" s="300">
        <v>1.0</v>
      </c>
      <c r="N1060" s="300">
        <v>8.0</v>
      </c>
      <c r="O1060" s="300" t="s">
        <v>837</v>
      </c>
      <c r="P1060" s="300">
        <v>7.0</v>
      </c>
    </row>
    <row r="1061">
      <c r="A1061">
        <f>IFERROR(__xludf.DUMMYFUNCTION("""COMPUTED_VALUE"""),9.0)</f>
        <v>9</v>
      </c>
      <c r="B1061" s="406">
        <f>IFERROR(__xludf.DUMMYFUNCTION("""COMPUTED_VALUE"""),29107.0)</f>
        <v>29107</v>
      </c>
      <c r="C1061" t="str">
        <f>IFERROR(__xludf.DUMMYFUNCTION("""COMPUTED_VALUE"""),"SANIN JARAMILLO, PEDRO")</f>
        <v>SANIN JARAMILLO, PEDRO</v>
      </c>
      <c r="D1061" t="str">
        <f>IFERROR(__xludf.DUMMYFUNCTION("""COMPUTED_VALUE"""),"Geometry")</f>
        <v>Geometry</v>
      </c>
      <c r="E1061" s="3">
        <f>IFERROR(__xludf.DUMMYFUNCTION("""COMPUTED_VALUE"""),3.0)</f>
        <v>3</v>
      </c>
      <c r="F1061" s="300">
        <v>1.0</v>
      </c>
      <c r="G1061" s="300">
        <v>1.0</v>
      </c>
      <c r="H1061" s="300">
        <v>1.0</v>
      </c>
      <c r="I1061" s="300">
        <v>1.0</v>
      </c>
      <c r="J1061" s="300">
        <v>1.0</v>
      </c>
      <c r="K1061" s="300">
        <v>1.0</v>
      </c>
      <c r="L1061" s="300">
        <v>1.0</v>
      </c>
      <c r="M1061" s="300">
        <v>1.0</v>
      </c>
      <c r="N1061" s="300">
        <v>8.0</v>
      </c>
      <c r="O1061" s="300" t="s">
        <v>840</v>
      </c>
      <c r="P1061" s="300">
        <v>7.0</v>
      </c>
    </row>
    <row r="1062">
      <c r="A1062">
        <f>IFERROR(__xludf.DUMMYFUNCTION("""COMPUTED_VALUE"""),9.0)</f>
        <v>9</v>
      </c>
      <c r="B1062" s="406">
        <f>IFERROR(__xludf.DUMMYFUNCTION("""COMPUTED_VALUE"""),29066.0)</f>
        <v>29066</v>
      </c>
      <c r="C1062" t="str">
        <f>IFERROR(__xludf.DUMMYFUNCTION("""COMPUTED_VALUE"""),"LONDOÑO JARAMILLO, MARTINA")</f>
        <v>LONDOÑO JARAMILLO, MARTINA</v>
      </c>
      <c r="D1062" t="str">
        <f>IFERROR(__xludf.DUMMYFUNCTION("""COMPUTED_VALUE"""),"Geometry")</f>
        <v>Geometry</v>
      </c>
      <c r="E1062" s="3">
        <f>IFERROR(__xludf.DUMMYFUNCTION("""COMPUTED_VALUE"""),8.0)</f>
        <v>8</v>
      </c>
      <c r="F1062" s="300">
        <v>1.0</v>
      </c>
      <c r="G1062" s="300">
        <v>1.0</v>
      </c>
      <c r="H1062" s="300">
        <v>1.0</v>
      </c>
      <c r="I1062" s="300">
        <v>1.0</v>
      </c>
      <c r="J1062" s="300">
        <v>1.0</v>
      </c>
      <c r="K1062" s="300">
        <v>1.0</v>
      </c>
      <c r="L1062" s="300">
        <v>1.0</v>
      </c>
      <c r="M1062" s="300">
        <v>1.0</v>
      </c>
      <c r="N1062" s="300">
        <v>8.0</v>
      </c>
      <c r="O1062" s="300" t="s">
        <v>841</v>
      </c>
      <c r="P1062" s="300">
        <v>7.0</v>
      </c>
    </row>
    <row r="1063">
      <c r="A1063">
        <f>IFERROR(__xludf.DUMMYFUNCTION("""COMPUTED_VALUE"""),9.0)</f>
        <v>9</v>
      </c>
      <c r="B1063" s="406">
        <f>IFERROR(__xludf.DUMMYFUNCTION("""COMPUTED_VALUE"""),29071.0)</f>
        <v>29071</v>
      </c>
      <c r="C1063" t="str">
        <f>IFERROR(__xludf.DUMMYFUNCTION("""COMPUTED_VALUE"""),"MARQUEZ BARRERA, MIRANDA")</f>
        <v>MARQUEZ BARRERA, MIRANDA</v>
      </c>
      <c r="D1063" t="str">
        <f>IFERROR(__xludf.DUMMYFUNCTION("""COMPUTED_VALUE"""),"Geometry")</f>
        <v>Geometry</v>
      </c>
      <c r="E1063" s="3">
        <f>IFERROR(__xludf.DUMMYFUNCTION("""COMPUTED_VALUE"""),2.0)</f>
        <v>2</v>
      </c>
      <c r="F1063" s="300">
        <v>1.0</v>
      </c>
      <c r="G1063" s="300">
        <v>1.0</v>
      </c>
      <c r="H1063" s="300">
        <v>1.0</v>
      </c>
      <c r="I1063" s="300">
        <v>1.0</v>
      </c>
      <c r="J1063" s="300">
        <v>1.0</v>
      </c>
      <c r="K1063" s="300">
        <v>1.0</v>
      </c>
      <c r="L1063" s="300">
        <v>1.0</v>
      </c>
      <c r="M1063" s="300">
        <v>1.0</v>
      </c>
      <c r="N1063" s="300">
        <v>8.0</v>
      </c>
      <c r="O1063" s="300" t="s">
        <v>838</v>
      </c>
      <c r="P1063" s="300">
        <v>7.0</v>
      </c>
    </row>
    <row r="1064">
      <c r="A1064">
        <f>IFERROR(__xludf.DUMMYFUNCTION("""COMPUTED_VALUE"""),9.0)</f>
        <v>9</v>
      </c>
      <c r="B1064" s="406">
        <f>IFERROR(__xludf.DUMMYFUNCTION("""COMPUTED_VALUE"""),29008.0)</f>
        <v>29008</v>
      </c>
      <c r="C1064" t="str">
        <f>IFERROR(__xludf.DUMMYFUNCTION("""COMPUTED_VALUE"""),"APA ECHAVARRIA, LORENZO")</f>
        <v>APA ECHAVARRIA, LORENZO</v>
      </c>
      <c r="D1064" t="str">
        <f>IFERROR(__xludf.DUMMYFUNCTION("""COMPUTED_VALUE"""),"Geometry")</f>
        <v>Geometry</v>
      </c>
      <c r="E1064" s="3">
        <f>IFERROR(__xludf.DUMMYFUNCTION("""COMPUTED_VALUE"""),3.0)</f>
        <v>3</v>
      </c>
      <c r="F1064" s="300">
        <v>1.0</v>
      </c>
      <c r="G1064" s="300">
        <v>1.0</v>
      </c>
      <c r="H1064" s="300">
        <v>1.0</v>
      </c>
      <c r="I1064" s="300">
        <v>1.0</v>
      </c>
      <c r="J1064" s="300">
        <v>1.0</v>
      </c>
      <c r="K1064" s="300">
        <v>1.0</v>
      </c>
      <c r="L1064" s="300">
        <v>1.0</v>
      </c>
      <c r="M1064" s="300">
        <v>1.0</v>
      </c>
      <c r="N1064" s="300">
        <v>8.0</v>
      </c>
      <c r="O1064" s="300" t="s">
        <v>840</v>
      </c>
      <c r="P1064" s="300">
        <v>7.0</v>
      </c>
    </row>
    <row r="1065">
      <c r="A1065">
        <f>IFERROR(__xludf.DUMMYFUNCTION("""COMPUTED_VALUE"""),9.0)</f>
        <v>9</v>
      </c>
      <c r="B1065" s="406">
        <f>IFERROR(__xludf.DUMMYFUNCTION("""COMPUTED_VALUE"""),29016.0)</f>
        <v>29016</v>
      </c>
      <c r="C1065" t="str">
        <f>IFERROR(__xludf.DUMMYFUNCTION("""COMPUTED_VALUE"""),"ARROYAVE LONDOÑO, ELISA")</f>
        <v>ARROYAVE LONDOÑO, ELISA</v>
      </c>
      <c r="D1065" t="str">
        <f>IFERROR(__xludf.DUMMYFUNCTION("""COMPUTED_VALUE"""),"Geometry")</f>
        <v>Geometry</v>
      </c>
      <c r="E1065" s="3">
        <f>IFERROR(__xludf.DUMMYFUNCTION("""COMPUTED_VALUE"""),8.0)</f>
        <v>8</v>
      </c>
      <c r="F1065" s="300">
        <v>1.0</v>
      </c>
      <c r="G1065" s="300">
        <v>1.0</v>
      </c>
      <c r="H1065" s="300">
        <v>1.0</v>
      </c>
      <c r="I1065" s="300">
        <v>1.0</v>
      </c>
      <c r="J1065" s="300">
        <v>1.0</v>
      </c>
      <c r="K1065" s="300">
        <v>1.0</v>
      </c>
      <c r="L1065" s="300">
        <v>1.0</v>
      </c>
      <c r="M1065" s="300">
        <v>1.0</v>
      </c>
      <c r="N1065" s="300">
        <v>8.0</v>
      </c>
      <c r="O1065" s="300" t="s">
        <v>841</v>
      </c>
      <c r="P1065" s="300">
        <v>7.0</v>
      </c>
    </row>
    <row r="1066">
      <c r="A1066">
        <f>IFERROR(__xludf.DUMMYFUNCTION("""COMPUTED_VALUE"""),9.0)</f>
        <v>9</v>
      </c>
      <c r="B1066" s="406">
        <f>IFERROR(__xludf.DUMMYFUNCTION("""COMPUTED_VALUE"""),29053.0)</f>
        <v>29053</v>
      </c>
      <c r="C1066" t="str">
        <f>IFERROR(__xludf.DUMMYFUNCTION("""COMPUTED_VALUE"""),"HURTADO FAJARDO, JUANITA")</f>
        <v>HURTADO FAJARDO, JUANITA</v>
      </c>
      <c r="D1066" t="str">
        <f>IFERROR(__xludf.DUMMYFUNCTION("""COMPUTED_VALUE"""),"Geometry")</f>
        <v>Geometry</v>
      </c>
      <c r="E1066" s="3">
        <f>IFERROR(__xludf.DUMMYFUNCTION("""COMPUTED_VALUE"""),2.0)</f>
        <v>2</v>
      </c>
      <c r="F1066" s="300">
        <v>1.0</v>
      </c>
      <c r="G1066" s="300">
        <v>1.0</v>
      </c>
      <c r="H1066" s="300">
        <v>1.0</v>
      </c>
      <c r="I1066" s="300">
        <v>1.0</v>
      </c>
      <c r="J1066" s="300">
        <v>1.0</v>
      </c>
      <c r="K1066" s="300">
        <v>1.0</v>
      </c>
      <c r="L1066" s="300">
        <v>1.0</v>
      </c>
      <c r="M1066" s="300">
        <v>1.0</v>
      </c>
      <c r="N1066" s="300">
        <v>8.0</v>
      </c>
      <c r="O1066" s="300" t="s">
        <v>838</v>
      </c>
      <c r="P1066" s="300">
        <v>7.0</v>
      </c>
    </row>
    <row r="1067">
      <c r="A1067">
        <f>IFERROR(__xludf.DUMMYFUNCTION("""COMPUTED_VALUE"""),9.0)</f>
        <v>9</v>
      </c>
      <c r="B1067" s="406">
        <f>IFERROR(__xludf.DUMMYFUNCTION("""COMPUTED_VALUE"""),29124.0)</f>
        <v>29124</v>
      </c>
      <c r="C1067" t="str">
        <f>IFERROR(__xludf.DUMMYFUNCTION("""COMPUTED_VALUE"""),"VALLEJO HOYOS, JUAN")</f>
        <v>VALLEJO HOYOS, JUAN</v>
      </c>
      <c r="D1067" t="str">
        <f>IFERROR(__xludf.DUMMYFUNCTION("""COMPUTED_VALUE"""),"Geometry")</f>
        <v>Geometry</v>
      </c>
      <c r="E1067" s="3">
        <f>IFERROR(__xludf.DUMMYFUNCTION("""COMPUTED_VALUE"""),2.0)</f>
        <v>2</v>
      </c>
      <c r="F1067" s="300">
        <v>1.0</v>
      </c>
      <c r="G1067" s="300">
        <v>1.0</v>
      </c>
      <c r="H1067" s="300">
        <v>1.0</v>
      </c>
      <c r="I1067" s="300">
        <v>1.0</v>
      </c>
      <c r="J1067" s="300">
        <v>1.0</v>
      </c>
      <c r="K1067" s="300">
        <v>1.0</v>
      </c>
      <c r="L1067" s="300">
        <v>1.0</v>
      </c>
      <c r="M1067" s="300">
        <v>1.0</v>
      </c>
      <c r="N1067" s="300">
        <v>8.0</v>
      </c>
      <c r="O1067" s="300" t="s">
        <v>838</v>
      </c>
      <c r="P1067" s="300">
        <v>7.0</v>
      </c>
    </row>
    <row r="1068">
      <c r="A1068">
        <f>IFERROR(__xludf.DUMMYFUNCTION("""COMPUTED_VALUE"""),9.0)</f>
        <v>9</v>
      </c>
      <c r="B1068" s="406">
        <f>IFERROR(__xludf.DUMMYFUNCTION("""COMPUTED_VALUE"""),29135.0)</f>
        <v>29135</v>
      </c>
      <c r="C1068" t="str">
        <f>IFERROR(__xludf.DUMMYFUNCTION("""COMPUTED_VALUE"""),"ECHAVARRIA MUÑOZ, NICOLAS")</f>
        <v>ECHAVARRIA MUÑOZ, NICOLAS</v>
      </c>
      <c r="D1068" t="str">
        <f>IFERROR(__xludf.DUMMYFUNCTION("""COMPUTED_VALUE"""),"Geometry")</f>
        <v>Geometry</v>
      </c>
      <c r="E1068" s="3">
        <f>IFERROR(__xludf.DUMMYFUNCTION("""COMPUTED_VALUE"""),2.0)</f>
        <v>2</v>
      </c>
      <c r="F1068" s="300">
        <v>1.0</v>
      </c>
      <c r="G1068" s="300">
        <v>1.0</v>
      </c>
      <c r="H1068" s="300">
        <v>1.0</v>
      </c>
      <c r="I1068" s="300">
        <v>1.0</v>
      </c>
      <c r="J1068" s="300">
        <v>1.0</v>
      </c>
      <c r="K1068" s="300">
        <v>1.0</v>
      </c>
      <c r="L1068" s="300">
        <v>1.0</v>
      </c>
      <c r="M1068" s="300">
        <v>1.0</v>
      </c>
      <c r="N1068" s="300">
        <v>8.0</v>
      </c>
      <c r="O1068" s="300" t="s">
        <v>838</v>
      </c>
      <c r="P1068" s="300">
        <v>7.0</v>
      </c>
    </row>
    <row r="1069">
      <c r="A1069">
        <f>IFERROR(__xludf.DUMMYFUNCTION("""COMPUTED_VALUE"""),9.0)</f>
        <v>9</v>
      </c>
      <c r="B1069" s="406">
        <f>IFERROR(__xludf.DUMMYFUNCTION("""COMPUTED_VALUE"""),29112.0)</f>
        <v>29112</v>
      </c>
      <c r="C1069" t="str">
        <f>IFERROR(__xludf.DUMMYFUNCTION("""COMPUTED_VALUE"""),"SUAREZ MARTINEZ, ANA")</f>
        <v>SUAREZ MARTINEZ, ANA</v>
      </c>
      <c r="D1069" t="str">
        <f>IFERROR(__xludf.DUMMYFUNCTION("""COMPUTED_VALUE"""),"Geometry")</f>
        <v>Geometry</v>
      </c>
      <c r="E1069" s="3">
        <f>IFERROR(__xludf.DUMMYFUNCTION("""COMPUTED_VALUE"""),8.0)</f>
        <v>8</v>
      </c>
      <c r="F1069" s="300">
        <v>1.0</v>
      </c>
      <c r="G1069" s="300">
        <v>1.0</v>
      </c>
      <c r="H1069" s="300">
        <v>1.0</v>
      </c>
      <c r="I1069" s="300">
        <v>1.0</v>
      </c>
      <c r="J1069" s="300">
        <v>1.0</v>
      </c>
      <c r="K1069" s="300">
        <v>1.0</v>
      </c>
      <c r="L1069" s="300">
        <v>1.0</v>
      </c>
      <c r="M1069" s="300">
        <v>1.0</v>
      </c>
      <c r="N1069" s="300">
        <v>8.0</v>
      </c>
      <c r="O1069" s="300" t="s">
        <v>841</v>
      </c>
      <c r="P1069" s="300">
        <v>7.0</v>
      </c>
    </row>
    <row r="1070">
      <c r="A1070">
        <f>IFERROR(__xludf.DUMMYFUNCTION("""COMPUTED_VALUE"""),9.0)</f>
        <v>9</v>
      </c>
      <c r="B1070" s="406">
        <f>IFERROR(__xludf.DUMMYFUNCTION("""COMPUTED_VALUE"""),29022.0)</f>
        <v>29022</v>
      </c>
      <c r="C1070" t="str">
        <f>IFERROR(__xludf.DUMMYFUNCTION("""COMPUTED_VALUE"""),"BETANCUR ROBLEDO, PEDRO")</f>
        <v>BETANCUR ROBLEDO, PEDRO</v>
      </c>
      <c r="D1070" t="str">
        <f>IFERROR(__xludf.DUMMYFUNCTION("""COMPUTED_VALUE"""),"Geometry")</f>
        <v>Geometry</v>
      </c>
      <c r="E1070" s="3">
        <f>IFERROR(__xludf.DUMMYFUNCTION("""COMPUTED_VALUE"""),1.0)</f>
        <v>1</v>
      </c>
      <c r="F1070" s="300">
        <v>1.0</v>
      </c>
      <c r="G1070" s="300">
        <v>1.0</v>
      </c>
      <c r="H1070" s="300">
        <v>1.0</v>
      </c>
      <c r="I1070" s="300">
        <v>1.0</v>
      </c>
      <c r="J1070" s="300">
        <v>1.0</v>
      </c>
      <c r="K1070" s="300">
        <v>1.0</v>
      </c>
      <c r="L1070" s="300">
        <v>1.0</v>
      </c>
      <c r="M1070" s="300">
        <v>1.0</v>
      </c>
      <c r="N1070" s="300">
        <v>8.0</v>
      </c>
      <c r="O1070" s="300" t="s">
        <v>837</v>
      </c>
      <c r="P1070" s="300">
        <v>7.0</v>
      </c>
    </row>
    <row r="1071">
      <c r="A1071">
        <f>IFERROR(__xludf.DUMMYFUNCTION("""COMPUTED_VALUE"""),9.0)</f>
        <v>9</v>
      </c>
      <c r="B1071" s="406">
        <f>IFERROR(__xludf.DUMMYFUNCTION("""COMPUTED_VALUE"""),29085.0)</f>
        <v>29085</v>
      </c>
      <c r="C1071" t="str">
        <f>IFERROR(__xludf.DUMMYFUNCTION("""COMPUTED_VALUE"""),"OTALVARO ABAD, JUAN MARTIN")</f>
        <v>OTALVARO ABAD, JUAN MARTIN</v>
      </c>
      <c r="D1071" t="str">
        <f>IFERROR(__xludf.DUMMYFUNCTION("""COMPUTED_VALUE"""),"Algebra I")</f>
        <v>Algebra I</v>
      </c>
      <c r="E1071" s="3">
        <f>IFERROR(__xludf.DUMMYFUNCTION("""COMPUTED_VALUE"""),7.0)</f>
        <v>7</v>
      </c>
      <c r="F1071" s="300">
        <v>1.0</v>
      </c>
      <c r="G1071" s="300">
        <v>1.0</v>
      </c>
      <c r="H1071" s="300">
        <v>1.0</v>
      </c>
      <c r="I1071" s="300">
        <v>1.0</v>
      </c>
      <c r="J1071" s="300">
        <v>1.0</v>
      </c>
      <c r="K1071" s="300">
        <v>1.0</v>
      </c>
      <c r="L1071" s="300">
        <v>1.0</v>
      </c>
      <c r="M1071" s="300">
        <v>1.0</v>
      </c>
      <c r="N1071" s="300">
        <v>8.0</v>
      </c>
      <c r="O1071" s="300" t="s">
        <v>842</v>
      </c>
      <c r="P1071" s="300">
        <v>4.0</v>
      </c>
    </row>
    <row r="1072">
      <c r="A1072">
        <f>IFERROR(__xludf.DUMMYFUNCTION("""COMPUTED_VALUE"""),9.0)</f>
        <v>9</v>
      </c>
      <c r="B1072" s="406">
        <f>IFERROR(__xludf.DUMMYFUNCTION("""COMPUTED_VALUE"""),29081.0)</f>
        <v>29081</v>
      </c>
      <c r="C1072" t="str">
        <f>IFERROR(__xludf.DUMMYFUNCTION("""COMPUTED_VALUE"""),"MORA JARAMILLO, ALICIA")</f>
        <v>MORA JARAMILLO, ALICIA</v>
      </c>
      <c r="D1072" t="str">
        <f>IFERROR(__xludf.DUMMYFUNCTION("""COMPUTED_VALUE"""),"Algebra I")</f>
        <v>Algebra I</v>
      </c>
      <c r="E1072" s="3">
        <f>IFERROR(__xludf.DUMMYFUNCTION("""COMPUTED_VALUE"""),3.0)</f>
        <v>3</v>
      </c>
      <c r="F1072" s="300">
        <v>1.0</v>
      </c>
      <c r="G1072" s="300">
        <v>1.0</v>
      </c>
      <c r="H1072" s="300">
        <v>1.0</v>
      </c>
      <c r="I1072" s="300">
        <v>1.0</v>
      </c>
      <c r="J1072" s="300">
        <v>1.0</v>
      </c>
      <c r="K1072" s="300">
        <v>1.0</v>
      </c>
      <c r="L1072" s="300">
        <v>1.0</v>
      </c>
      <c r="M1072" s="300">
        <v>1.0</v>
      </c>
      <c r="N1072" s="300">
        <v>8.0</v>
      </c>
      <c r="O1072" s="300" t="s">
        <v>843</v>
      </c>
      <c r="P1072" s="300">
        <v>4.0</v>
      </c>
    </row>
    <row r="1073">
      <c r="A1073">
        <f>IFERROR(__xludf.DUMMYFUNCTION("""COMPUTED_VALUE"""),9.0)</f>
        <v>9</v>
      </c>
      <c r="B1073" s="406">
        <f>IFERROR(__xludf.DUMMYFUNCTION("""COMPUTED_VALUE"""),29147.0)</f>
        <v>29147</v>
      </c>
      <c r="C1073" t="str">
        <f>IFERROR(__xludf.DUMMYFUNCTION("""COMPUTED_VALUE"""),"JIMENO ARISTIZABAL, ISABELLA")</f>
        <v>JIMENO ARISTIZABAL, ISABELLA</v>
      </c>
      <c r="D1073" t="str">
        <f>IFERROR(__xludf.DUMMYFUNCTION("""COMPUTED_VALUE"""),"Algebra I")</f>
        <v>Algebra I</v>
      </c>
      <c r="E1073" s="3">
        <f>IFERROR(__xludf.DUMMYFUNCTION("""COMPUTED_VALUE"""),6.0)</f>
        <v>6</v>
      </c>
      <c r="F1073" s="300">
        <v>1.0</v>
      </c>
      <c r="G1073" s="300">
        <v>1.0</v>
      </c>
      <c r="H1073" s="300">
        <v>1.0</v>
      </c>
      <c r="I1073" s="300">
        <v>1.0</v>
      </c>
      <c r="J1073" s="300">
        <v>1.0</v>
      </c>
      <c r="K1073" s="300">
        <v>1.0</v>
      </c>
      <c r="L1073" s="300">
        <v>1.0</v>
      </c>
      <c r="M1073" s="300">
        <v>1.0</v>
      </c>
      <c r="N1073" s="300">
        <v>8.0</v>
      </c>
      <c r="O1073" s="300" t="s">
        <v>844</v>
      </c>
      <c r="P1073" s="300">
        <v>4.0</v>
      </c>
    </row>
    <row r="1074">
      <c r="A1074">
        <f>IFERROR(__xludf.DUMMYFUNCTION("""COMPUTED_VALUE"""),9.0)</f>
        <v>9</v>
      </c>
      <c r="B1074" s="406">
        <f>IFERROR(__xludf.DUMMYFUNCTION("""COMPUTED_VALUE"""),29007.0)</f>
        <v>29007</v>
      </c>
      <c r="C1074" t="str">
        <f>IFERROR(__xludf.DUMMYFUNCTION("""COMPUTED_VALUE"""),"ALZATE GARCIA, LUCIANA")</f>
        <v>ALZATE GARCIA, LUCIANA</v>
      </c>
      <c r="D1074" t="str">
        <f>IFERROR(__xludf.DUMMYFUNCTION("""COMPUTED_VALUE"""),"Algebra I")</f>
        <v>Algebra I</v>
      </c>
      <c r="E1074" s="3">
        <f>IFERROR(__xludf.DUMMYFUNCTION("""COMPUTED_VALUE"""),4.0)</f>
        <v>4</v>
      </c>
      <c r="F1074" s="300">
        <v>1.0</v>
      </c>
      <c r="G1074" s="300">
        <v>1.0</v>
      </c>
      <c r="H1074" s="300">
        <v>1.0</v>
      </c>
      <c r="I1074" s="300">
        <v>1.0</v>
      </c>
      <c r="J1074" s="300">
        <v>1.0</v>
      </c>
      <c r="K1074" s="300">
        <v>1.0</v>
      </c>
      <c r="L1074" s="300">
        <v>1.0</v>
      </c>
      <c r="M1074" s="300">
        <v>1.0</v>
      </c>
      <c r="N1074" s="300">
        <v>8.0</v>
      </c>
      <c r="O1074" s="300" t="s">
        <v>845</v>
      </c>
      <c r="P1074" s="300">
        <v>4.0</v>
      </c>
    </row>
    <row r="1075">
      <c r="A1075">
        <f>IFERROR(__xludf.DUMMYFUNCTION("""COMPUTED_VALUE"""),9.0)</f>
        <v>9</v>
      </c>
      <c r="B1075" s="406">
        <f>IFERROR(__xludf.DUMMYFUNCTION("""COMPUTED_VALUE"""),29032.0)</f>
        <v>29032</v>
      </c>
      <c r="C1075" t="str">
        <f>IFERROR(__xludf.DUMMYFUNCTION("""COMPUTED_VALUE"""),"CORTES SIERRA, TOMAS")</f>
        <v>CORTES SIERRA, TOMAS</v>
      </c>
      <c r="D1075" t="str">
        <f>IFERROR(__xludf.DUMMYFUNCTION("""COMPUTED_VALUE"""),"Algebra I")</f>
        <v>Algebra I</v>
      </c>
      <c r="E1075" s="3">
        <f>IFERROR(__xludf.DUMMYFUNCTION("""COMPUTED_VALUE"""),7.0)</f>
        <v>7</v>
      </c>
      <c r="F1075" s="300">
        <v>1.0</v>
      </c>
      <c r="G1075" s="300">
        <v>1.0</v>
      </c>
      <c r="H1075" s="300">
        <v>1.0</v>
      </c>
      <c r="I1075" s="300">
        <v>1.0</v>
      </c>
      <c r="J1075" s="300">
        <v>1.0</v>
      </c>
      <c r="K1075" s="300">
        <v>1.0</v>
      </c>
      <c r="L1075" s="300">
        <v>1.0</v>
      </c>
      <c r="M1075" s="300">
        <v>1.0</v>
      </c>
      <c r="N1075" s="300">
        <v>8.0</v>
      </c>
      <c r="O1075" s="300" t="s">
        <v>842</v>
      </c>
      <c r="P1075" s="300">
        <v>4.0</v>
      </c>
    </row>
    <row r="1076">
      <c r="A1076">
        <f>IFERROR(__xludf.DUMMYFUNCTION("""COMPUTED_VALUE"""),9.0)</f>
        <v>9</v>
      </c>
      <c r="B1076" s="406">
        <f>IFERROR(__xludf.DUMMYFUNCTION("""COMPUTED_VALUE"""),29076.0)</f>
        <v>29076</v>
      </c>
      <c r="C1076" t="str">
        <f>IFERROR(__xludf.DUMMYFUNCTION("""COMPUTED_VALUE"""),"MEJIA MANTILLA, MATEO")</f>
        <v>MEJIA MANTILLA, MATEO</v>
      </c>
      <c r="D1076" t="str">
        <f>IFERROR(__xludf.DUMMYFUNCTION("""COMPUTED_VALUE"""),"Algebra I")</f>
        <v>Algebra I</v>
      </c>
      <c r="E1076" s="3">
        <f>IFERROR(__xludf.DUMMYFUNCTION("""COMPUTED_VALUE"""),4.0)</f>
        <v>4</v>
      </c>
      <c r="F1076" s="300">
        <v>1.0</v>
      </c>
      <c r="G1076" s="300">
        <v>1.0</v>
      </c>
      <c r="H1076" s="300">
        <v>1.0</v>
      </c>
      <c r="I1076" s="300">
        <v>1.0</v>
      </c>
      <c r="J1076" s="300">
        <v>1.0</v>
      </c>
      <c r="K1076" s="300">
        <v>1.0</v>
      </c>
      <c r="L1076" s="300">
        <v>1.0</v>
      </c>
      <c r="M1076" s="300">
        <v>1.0</v>
      </c>
      <c r="N1076" s="300">
        <v>8.0</v>
      </c>
      <c r="O1076" s="300" t="s">
        <v>845</v>
      </c>
      <c r="P1076" s="300">
        <v>4.0</v>
      </c>
    </row>
    <row r="1077">
      <c r="A1077">
        <f>IFERROR(__xludf.DUMMYFUNCTION("""COMPUTED_VALUE"""),9.0)</f>
        <v>9</v>
      </c>
      <c r="B1077" s="406">
        <f>IFERROR(__xludf.DUMMYFUNCTION("""COMPUTED_VALUE"""),29025.0)</f>
        <v>29025</v>
      </c>
      <c r="C1077" t="str">
        <f>IFERROR(__xludf.DUMMYFUNCTION("""COMPUTED_VALUE"""),"CALLE BUITRAGO, ESTEBAN")</f>
        <v>CALLE BUITRAGO, ESTEBAN</v>
      </c>
      <c r="D1077" t="str">
        <f>IFERROR(__xludf.DUMMYFUNCTION("""COMPUTED_VALUE"""),"Algebra I")</f>
        <v>Algebra I</v>
      </c>
      <c r="E1077" s="3">
        <f>IFERROR(__xludf.DUMMYFUNCTION("""COMPUTED_VALUE"""),3.0)</f>
        <v>3</v>
      </c>
      <c r="F1077" s="300">
        <v>1.0</v>
      </c>
      <c r="G1077" s="300">
        <v>1.0</v>
      </c>
      <c r="H1077" s="300">
        <v>1.0</v>
      </c>
      <c r="I1077" s="300">
        <v>1.0</v>
      </c>
      <c r="J1077" s="300">
        <v>1.0</v>
      </c>
      <c r="K1077" s="300">
        <v>1.0</v>
      </c>
      <c r="L1077" s="300">
        <v>1.0</v>
      </c>
      <c r="M1077" s="300">
        <v>1.0</v>
      </c>
      <c r="N1077" s="300">
        <v>8.0</v>
      </c>
      <c r="O1077" s="300" t="s">
        <v>843</v>
      </c>
      <c r="P1077" s="300">
        <v>4.0</v>
      </c>
    </row>
    <row r="1078">
      <c r="A1078">
        <f>IFERROR(__xludf.DUMMYFUNCTION("""COMPUTED_VALUE"""),9.0)</f>
        <v>9</v>
      </c>
      <c r="B1078" s="406">
        <f>IFERROR(__xludf.DUMMYFUNCTION("""COMPUTED_VALUE"""),29038.0)</f>
        <v>29038</v>
      </c>
      <c r="C1078" t="str">
        <f>IFERROR(__xludf.DUMMYFUNCTION("""COMPUTED_VALUE"""),"ESCOBAR MADRID, MAXIMILIANO")</f>
        <v>ESCOBAR MADRID, MAXIMILIANO</v>
      </c>
      <c r="D1078" t="str">
        <f>IFERROR(__xludf.DUMMYFUNCTION("""COMPUTED_VALUE"""),"Algebra I")</f>
        <v>Algebra I</v>
      </c>
      <c r="E1078" s="3">
        <f>IFERROR(__xludf.DUMMYFUNCTION("""COMPUTED_VALUE"""),7.0)</f>
        <v>7</v>
      </c>
      <c r="F1078" s="300">
        <v>1.0</v>
      </c>
      <c r="G1078" s="300">
        <v>1.0</v>
      </c>
      <c r="H1078" s="300">
        <v>1.0</v>
      </c>
      <c r="I1078" s="300">
        <v>1.0</v>
      </c>
      <c r="J1078" s="300">
        <v>1.0</v>
      </c>
      <c r="K1078" s="300">
        <v>1.0</v>
      </c>
      <c r="L1078" s="300">
        <v>1.0</v>
      </c>
      <c r="M1078" s="300">
        <v>1.0</v>
      </c>
      <c r="N1078" s="300">
        <v>8.0</v>
      </c>
      <c r="O1078" s="300" t="s">
        <v>842</v>
      </c>
      <c r="P1078" s="300">
        <v>4.0</v>
      </c>
    </row>
    <row r="1079">
      <c r="A1079">
        <f>IFERROR(__xludf.DUMMYFUNCTION("""COMPUTED_VALUE"""),9.0)</f>
        <v>9</v>
      </c>
      <c r="B1079" s="406">
        <f>IFERROR(__xludf.DUMMYFUNCTION("""COMPUTED_VALUE"""),28077.0)</f>
        <v>28077</v>
      </c>
      <c r="C1079" t="str">
        <f>IFERROR(__xludf.DUMMYFUNCTION("""COMPUTED_VALUE"""),"OLIVEIRA CASTAÑO, MARIANA")</f>
        <v>OLIVEIRA CASTAÑO, MARIANA</v>
      </c>
      <c r="D1079" t="str">
        <f>IFERROR(__xludf.DUMMYFUNCTION("""COMPUTED_VALUE"""),"Algebra I")</f>
        <v>Algebra I</v>
      </c>
      <c r="E1079" s="3">
        <f>IFERROR(__xludf.DUMMYFUNCTION("""COMPUTED_VALUE"""),6.0)</f>
        <v>6</v>
      </c>
      <c r="F1079" s="300">
        <v>1.0</v>
      </c>
      <c r="G1079" s="300">
        <v>1.0</v>
      </c>
      <c r="H1079" s="300">
        <v>1.0</v>
      </c>
      <c r="I1079" s="300">
        <v>1.0</v>
      </c>
      <c r="J1079" s="300">
        <v>1.0</v>
      </c>
      <c r="K1079" s="300">
        <v>1.0</v>
      </c>
      <c r="L1079" s="300">
        <v>1.0</v>
      </c>
      <c r="M1079" s="300">
        <v>1.0</v>
      </c>
      <c r="N1079" s="300">
        <v>8.0</v>
      </c>
      <c r="O1079" s="300" t="s">
        <v>844</v>
      </c>
      <c r="P1079" s="300">
        <v>4.0</v>
      </c>
    </row>
    <row r="1080">
      <c r="A1080">
        <f>IFERROR(__xludf.DUMMYFUNCTION("""COMPUTED_VALUE"""),9.0)</f>
        <v>9</v>
      </c>
      <c r="B1080" s="406">
        <f>IFERROR(__xludf.DUMMYFUNCTION("""COMPUTED_VALUE"""),29041.0)</f>
        <v>29041</v>
      </c>
      <c r="C1080" t="str">
        <f>IFERROR(__xludf.DUMMYFUNCTION("""COMPUTED_VALUE"""),"FAJARDO VILLA, LUCIANA")</f>
        <v>FAJARDO VILLA, LUCIANA</v>
      </c>
      <c r="D1080" t="str">
        <f>IFERROR(__xludf.DUMMYFUNCTION("""COMPUTED_VALUE"""),"Algebra I")</f>
        <v>Algebra I</v>
      </c>
      <c r="E1080" s="3">
        <f>IFERROR(__xludf.DUMMYFUNCTION("""COMPUTED_VALUE"""),4.0)</f>
        <v>4</v>
      </c>
      <c r="F1080" s="300">
        <v>1.0</v>
      </c>
      <c r="G1080" s="300">
        <v>1.0</v>
      </c>
      <c r="H1080" s="300">
        <v>1.0</v>
      </c>
      <c r="I1080" s="300">
        <v>1.0</v>
      </c>
      <c r="J1080" s="300">
        <v>1.0</v>
      </c>
      <c r="K1080" s="300">
        <v>1.0</v>
      </c>
      <c r="L1080" s="300">
        <v>1.0</v>
      </c>
      <c r="M1080" s="300">
        <v>1.0</v>
      </c>
      <c r="N1080" s="300">
        <v>8.0</v>
      </c>
      <c r="O1080" s="300" t="s">
        <v>845</v>
      </c>
      <c r="P1080" s="300">
        <v>4.0</v>
      </c>
    </row>
    <row r="1081">
      <c r="A1081">
        <f>IFERROR(__xludf.DUMMYFUNCTION("""COMPUTED_VALUE"""),9.0)</f>
        <v>9</v>
      </c>
      <c r="B1081" s="406">
        <f>IFERROR(__xludf.DUMMYFUNCTION("""COMPUTED_VALUE"""),29021.0)</f>
        <v>29021</v>
      </c>
      <c r="C1081" t="str">
        <f>IFERROR(__xludf.DUMMYFUNCTION("""COMPUTED_VALUE"""),"BETANCOURT QUINTERO, SIMON")</f>
        <v>BETANCOURT QUINTERO, SIMON</v>
      </c>
      <c r="D1081" t="str">
        <f>IFERROR(__xludf.DUMMYFUNCTION("""COMPUTED_VALUE"""),"Geometry")</f>
        <v>Geometry</v>
      </c>
      <c r="E1081" s="3">
        <f>IFERROR(__xludf.DUMMYFUNCTION("""COMPUTED_VALUE"""),8.0)</f>
        <v>8</v>
      </c>
      <c r="F1081" s="300">
        <v>1.0</v>
      </c>
      <c r="G1081" s="300">
        <v>1.0</v>
      </c>
      <c r="H1081" s="300">
        <v>1.0</v>
      </c>
      <c r="I1081" s="300">
        <v>1.0</v>
      </c>
      <c r="J1081" s="300">
        <v>1.0</v>
      </c>
      <c r="K1081" s="300">
        <v>1.0</v>
      </c>
      <c r="L1081" s="300">
        <v>1.0</v>
      </c>
      <c r="M1081" s="300">
        <v>1.0</v>
      </c>
      <c r="N1081" s="300">
        <v>8.0</v>
      </c>
      <c r="O1081" s="300" t="s">
        <v>841</v>
      </c>
      <c r="P1081" s="300">
        <v>7.0</v>
      </c>
    </row>
    <row r="1082">
      <c r="A1082">
        <f>IFERROR(__xludf.DUMMYFUNCTION("""COMPUTED_VALUE"""),9.0)</f>
        <v>9</v>
      </c>
      <c r="B1082" s="406">
        <f>IFERROR(__xludf.DUMMYFUNCTION("""COMPUTED_VALUE"""),29029.0)</f>
        <v>29029</v>
      </c>
      <c r="C1082" t="str">
        <f>IFERROR(__xludf.DUMMYFUNCTION("""COMPUTED_VALUE"""),"CHAVARRIAGA MESA, GREGORIO")</f>
        <v>CHAVARRIAGA MESA, GREGORIO</v>
      </c>
      <c r="D1082" t="str">
        <f>IFERROR(__xludf.DUMMYFUNCTION("""COMPUTED_VALUE"""),"Algebra I")</f>
        <v>Algebra I</v>
      </c>
      <c r="E1082" s="3">
        <f>IFERROR(__xludf.DUMMYFUNCTION("""COMPUTED_VALUE"""),6.0)</f>
        <v>6</v>
      </c>
      <c r="F1082" s="300">
        <v>1.0</v>
      </c>
      <c r="G1082" s="300">
        <v>1.0</v>
      </c>
      <c r="H1082" s="300">
        <v>1.0</v>
      </c>
      <c r="I1082" s="300">
        <v>1.0</v>
      </c>
      <c r="J1082" s="300">
        <v>1.0</v>
      </c>
      <c r="K1082" s="300">
        <v>1.0</v>
      </c>
      <c r="L1082" s="300">
        <v>1.0</v>
      </c>
      <c r="M1082" s="300">
        <v>1.0</v>
      </c>
      <c r="N1082" s="300">
        <v>8.0</v>
      </c>
      <c r="O1082" s="300" t="s">
        <v>844</v>
      </c>
      <c r="P1082" s="300">
        <v>4.0</v>
      </c>
    </row>
    <row r="1083">
      <c r="A1083">
        <f>IFERROR(__xludf.DUMMYFUNCTION("""COMPUTED_VALUE"""),9.0)</f>
        <v>9</v>
      </c>
      <c r="B1083" s="406">
        <f>IFERROR(__xludf.DUMMYFUNCTION("""COMPUTED_VALUE"""),29148.0)</f>
        <v>29148</v>
      </c>
      <c r="C1083" t="str">
        <f>IFERROR(__xludf.DUMMYFUNCTION("""COMPUTED_VALUE"""),"OSORIO ARISTIZABAL, MATIAS")</f>
        <v>OSORIO ARISTIZABAL, MATIAS</v>
      </c>
      <c r="D1083" t="str">
        <f>IFERROR(__xludf.DUMMYFUNCTION("""COMPUTED_VALUE"""),"Geometry")</f>
        <v>Geometry</v>
      </c>
      <c r="E1083" s="3">
        <f>IFERROR(__xludf.DUMMYFUNCTION("""COMPUTED_VALUE"""),7.0)</f>
        <v>7</v>
      </c>
      <c r="F1083" s="300">
        <v>1.0</v>
      </c>
      <c r="G1083" s="300">
        <v>1.0</v>
      </c>
      <c r="H1083" s="300">
        <v>1.0</v>
      </c>
      <c r="I1083" s="300">
        <v>1.0</v>
      </c>
      <c r="J1083" s="300">
        <v>1.0</v>
      </c>
      <c r="K1083" s="300">
        <v>1.0</v>
      </c>
      <c r="L1083" s="300">
        <v>1.0</v>
      </c>
      <c r="M1083" s="300">
        <v>1.0</v>
      </c>
      <c r="N1083" s="300">
        <v>8.0</v>
      </c>
      <c r="O1083" s="300" t="s">
        <v>839</v>
      </c>
      <c r="P1083" s="300">
        <v>7.0</v>
      </c>
    </row>
    <row r="1084">
      <c r="A1084">
        <f>IFERROR(__xludf.DUMMYFUNCTION("""COMPUTED_VALUE"""),9.0)</f>
        <v>9</v>
      </c>
      <c r="B1084" s="406">
        <f>IFERROR(__xludf.DUMMYFUNCTION("""COMPUTED_VALUE"""),29170.0)</f>
        <v>29170</v>
      </c>
      <c r="C1084" t="str">
        <f>IFERROR(__xludf.DUMMYFUNCTION("""COMPUTED_VALUE"""),"ALVAREZ CARDENAS, JUAN EMILIO")</f>
        <v>ALVAREZ CARDENAS, JUAN EMILIO</v>
      </c>
      <c r="D1084" t="str">
        <f>IFERROR(__xludf.DUMMYFUNCTION("""COMPUTED_VALUE"""),"Algebra I")</f>
        <v>Algebra I</v>
      </c>
      <c r="E1084" s="3">
        <f>IFERROR(__xludf.DUMMYFUNCTION("""COMPUTED_VALUE"""),3.0)</f>
        <v>3</v>
      </c>
      <c r="F1084" s="300">
        <v>1.0</v>
      </c>
      <c r="G1084" s="300">
        <v>1.0</v>
      </c>
      <c r="H1084" s="300">
        <v>1.0</v>
      </c>
      <c r="I1084" s="300">
        <v>1.0</v>
      </c>
      <c r="J1084" s="300">
        <v>1.0</v>
      </c>
      <c r="K1084" s="300">
        <v>1.0</v>
      </c>
      <c r="L1084" s="300">
        <v>1.0</v>
      </c>
      <c r="M1084" s="300">
        <v>1.0</v>
      </c>
      <c r="N1084" s="300">
        <v>8.0</v>
      </c>
      <c r="O1084" s="300" t="s">
        <v>843</v>
      </c>
      <c r="P1084" s="300">
        <v>4.0</v>
      </c>
    </row>
    <row r="1085">
      <c r="A1085">
        <f>IFERROR(__xludf.DUMMYFUNCTION("""COMPUTED_VALUE"""),9.0)</f>
        <v>9</v>
      </c>
      <c r="B1085" s="406">
        <f>IFERROR(__xludf.DUMMYFUNCTION("""COMPUTED_VALUE"""),29058.0)</f>
        <v>29058</v>
      </c>
      <c r="C1085" t="str">
        <f>IFERROR(__xludf.DUMMYFUNCTION("""COMPUTED_VALUE"""),"JARAMILLO DONADO, AMELIA")</f>
        <v>JARAMILLO DONADO, AMELIA</v>
      </c>
      <c r="D1085" t="str">
        <f>IFERROR(__xludf.DUMMYFUNCTION("""COMPUTED_VALUE"""),"Geometry")</f>
        <v>Geometry</v>
      </c>
      <c r="E1085" s="3">
        <f>IFERROR(__xludf.DUMMYFUNCTION("""COMPUTED_VALUE"""),7.0)</f>
        <v>7</v>
      </c>
      <c r="F1085" s="300">
        <v>1.0</v>
      </c>
      <c r="G1085" s="300">
        <v>1.0</v>
      </c>
      <c r="H1085" s="300">
        <v>1.0</v>
      </c>
      <c r="I1085" s="300">
        <v>1.0</v>
      </c>
      <c r="J1085" s="300">
        <v>1.0</v>
      </c>
      <c r="K1085" s="300">
        <v>1.0</v>
      </c>
      <c r="L1085" s="300">
        <v>1.0</v>
      </c>
      <c r="M1085" s="300">
        <v>1.0</v>
      </c>
      <c r="N1085" s="300">
        <v>8.0</v>
      </c>
      <c r="O1085" s="300" t="s">
        <v>839</v>
      </c>
      <c r="P1085" s="300">
        <v>7.0</v>
      </c>
    </row>
    <row r="1086">
      <c r="A1086">
        <f>IFERROR(__xludf.DUMMYFUNCTION("""COMPUTED_VALUE"""),9.0)</f>
        <v>9</v>
      </c>
      <c r="B1086" s="406">
        <f>IFERROR(__xludf.DUMMYFUNCTION("""COMPUTED_VALUE"""),29072.0)</f>
        <v>29072</v>
      </c>
      <c r="C1086" t="str">
        <f>IFERROR(__xludf.DUMMYFUNCTION("""COMPUTED_VALUE"""),"MARQUEZ RAHAL, PEDRO")</f>
        <v>MARQUEZ RAHAL, PEDRO</v>
      </c>
      <c r="D1086" t="str">
        <f>IFERROR(__xludf.DUMMYFUNCTION("""COMPUTED_VALUE"""),"Geometry")</f>
        <v>Geometry</v>
      </c>
      <c r="E1086" s="3">
        <f>IFERROR(__xludf.DUMMYFUNCTION("""COMPUTED_VALUE"""),8.0)</f>
        <v>8</v>
      </c>
      <c r="F1086" s="300">
        <v>1.0</v>
      </c>
      <c r="G1086" s="300">
        <v>1.0</v>
      </c>
      <c r="H1086" s="300">
        <v>1.0</v>
      </c>
      <c r="I1086" s="300">
        <v>1.0</v>
      </c>
      <c r="J1086" s="300">
        <v>1.0</v>
      </c>
      <c r="K1086" s="300">
        <v>1.0</v>
      </c>
      <c r="L1086" s="300">
        <v>1.0</v>
      </c>
      <c r="M1086" s="300">
        <v>1.0</v>
      </c>
      <c r="N1086" s="300">
        <v>8.0</v>
      </c>
      <c r="O1086" s="300" t="s">
        <v>841</v>
      </c>
      <c r="P1086" s="300">
        <v>7.0</v>
      </c>
    </row>
    <row r="1087">
      <c r="A1087">
        <f>IFERROR(__xludf.DUMMYFUNCTION("""COMPUTED_VALUE"""),9.0)</f>
        <v>9</v>
      </c>
      <c r="B1087" s="406">
        <f>IFERROR(__xludf.DUMMYFUNCTION("""COMPUTED_VALUE"""),29125.0)</f>
        <v>29125</v>
      </c>
      <c r="C1087" t="str">
        <f>IFERROR(__xludf.DUMMYFUNCTION("""COMPUTED_VALUE"""),"VALLEJO LONDOÑO, TOMAS")</f>
        <v>VALLEJO LONDOÑO, TOMAS</v>
      </c>
      <c r="D1087" t="str">
        <f>IFERROR(__xludf.DUMMYFUNCTION("""COMPUTED_VALUE"""),"Geometry")</f>
        <v>Geometry</v>
      </c>
      <c r="E1087" s="3">
        <f>IFERROR(__xludf.DUMMYFUNCTION("""COMPUTED_VALUE"""),1.0)</f>
        <v>1</v>
      </c>
      <c r="F1087" s="300">
        <v>1.0</v>
      </c>
      <c r="G1087" s="300">
        <v>1.0</v>
      </c>
      <c r="H1087" s="300">
        <v>1.0</v>
      </c>
      <c r="I1087" s="300">
        <v>1.0</v>
      </c>
      <c r="J1087" s="300">
        <v>1.0</v>
      </c>
      <c r="K1087" s="300">
        <v>1.0</v>
      </c>
      <c r="L1087" s="300">
        <v>1.0</v>
      </c>
      <c r="M1087" s="300">
        <v>1.0</v>
      </c>
      <c r="N1087" s="300">
        <v>8.0</v>
      </c>
      <c r="O1087" s="300" t="s">
        <v>837</v>
      </c>
      <c r="P1087" s="300">
        <v>7.0</v>
      </c>
    </row>
    <row r="1088">
      <c r="A1088">
        <f>IFERROR(__xludf.DUMMYFUNCTION("""COMPUTED_VALUE"""),9.0)</f>
        <v>9</v>
      </c>
      <c r="B1088" s="406">
        <f>IFERROR(__xludf.DUMMYFUNCTION("""COMPUTED_VALUE"""),29045.0)</f>
        <v>29045</v>
      </c>
      <c r="C1088" t="str">
        <f>IFERROR(__xludf.DUMMYFUNCTION("""COMPUTED_VALUE"""),"GOMEZ ZULUAGA, JUAN JOSE")</f>
        <v>GOMEZ ZULUAGA, JUAN JOSE</v>
      </c>
      <c r="D1088" t="str">
        <f>IFERROR(__xludf.DUMMYFUNCTION("""COMPUTED_VALUE"""),"Geometry")</f>
        <v>Geometry</v>
      </c>
      <c r="E1088" s="3">
        <f>IFERROR(__xludf.DUMMYFUNCTION("""COMPUTED_VALUE"""),1.0)</f>
        <v>1</v>
      </c>
      <c r="F1088" s="300">
        <v>1.0</v>
      </c>
      <c r="G1088" s="300">
        <v>1.0</v>
      </c>
      <c r="H1088" s="300">
        <v>1.0</v>
      </c>
      <c r="I1088" s="300">
        <v>1.0</v>
      </c>
      <c r="J1088" s="300">
        <v>1.0</v>
      </c>
      <c r="K1088" s="300">
        <v>1.0</v>
      </c>
      <c r="L1088" s="300">
        <v>1.0</v>
      </c>
      <c r="M1088" s="300">
        <v>1.0</v>
      </c>
      <c r="N1088" s="300">
        <v>8.0</v>
      </c>
      <c r="O1088" s="300" t="s">
        <v>837</v>
      </c>
      <c r="P1088" s="300">
        <v>7.0</v>
      </c>
    </row>
    <row r="1089">
      <c r="A1089">
        <f>IFERROR(__xludf.DUMMYFUNCTION("""COMPUTED_VALUE"""),9.0)</f>
        <v>9</v>
      </c>
      <c r="B1089" s="406">
        <f>IFERROR(__xludf.DUMMYFUNCTION("""COMPUTED_VALUE"""),28032.0)</f>
        <v>28032</v>
      </c>
      <c r="C1089" t="str">
        <f>IFERROR(__xludf.DUMMYFUNCTION("""COMPUTED_VALUE"""),"GALLON TOBON, GERONIMO")</f>
        <v>GALLON TOBON, GERONIMO</v>
      </c>
      <c r="D1089" t="str">
        <f>IFERROR(__xludf.DUMMYFUNCTION("""COMPUTED_VALUE"""),"Algebra I")</f>
        <v>Algebra I</v>
      </c>
      <c r="E1089" s="3">
        <f>IFERROR(__xludf.DUMMYFUNCTION("""COMPUTED_VALUE"""),4.0)</f>
        <v>4</v>
      </c>
      <c r="F1089" s="300">
        <v>1.0</v>
      </c>
      <c r="G1089" s="300">
        <v>1.0</v>
      </c>
      <c r="H1089" s="300">
        <v>1.0</v>
      </c>
      <c r="I1089" s="300">
        <v>1.0</v>
      </c>
      <c r="J1089" s="300">
        <v>1.0</v>
      </c>
      <c r="K1089" s="300">
        <v>1.0</v>
      </c>
      <c r="L1089" s="300">
        <v>1.0</v>
      </c>
      <c r="M1089" s="300">
        <v>1.0</v>
      </c>
      <c r="N1089" s="300">
        <v>8.0</v>
      </c>
      <c r="O1089" s="300" t="s">
        <v>845</v>
      </c>
      <c r="P1089" s="300">
        <v>4.0</v>
      </c>
    </row>
    <row r="1090">
      <c r="A1090">
        <f>IFERROR(__xludf.DUMMYFUNCTION("""COMPUTED_VALUE"""),9.0)</f>
        <v>9</v>
      </c>
      <c r="B1090" s="406">
        <f>IFERROR(__xludf.DUMMYFUNCTION("""COMPUTED_VALUE"""),29012.0)</f>
        <v>29012</v>
      </c>
      <c r="C1090" t="str">
        <f>IFERROR(__xludf.DUMMYFUNCTION("""COMPUTED_VALUE"""),"ARANGO VILLA, TOMAS")</f>
        <v>ARANGO VILLA, TOMAS</v>
      </c>
      <c r="D1090" t="str">
        <f>IFERROR(__xludf.DUMMYFUNCTION("""COMPUTED_VALUE"""),"Geometry")</f>
        <v>Geometry</v>
      </c>
      <c r="E1090" s="3">
        <f>IFERROR(__xludf.DUMMYFUNCTION("""COMPUTED_VALUE"""),8.0)</f>
        <v>8</v>
      </c>
      <c r="F1090" s="300">
        <v>1.0</v>
      </c>
      <c r="G1090" s="300">
        <v>1.0</v>
      </c>
      <c r="H1090" s="300">
        <v>1.0</v>
      </c>
      <c r="I1090" s="300">
        <v>1.0</v>
      </c>
      <c r="J1090" s="300">
        <v>1.0</v>
      </c>
      <c r="K1090" s="300">
        <v>1.0</v>
      </c>
      <c r="L1090" s="300">
        <v>1.0</v>
      </c>
      <c r="M1090" s="300">
        <v>1.0</v>
      </c>
      <c r="N1090" s="300">
        <v>8.0</v>
      </c>
      <c r="O1090" s="300" t="s">
        <v>841</v>
      </c>
      <c r="P1090" s="300">
        <v>7.0</v>
      </c>
    </row>
    <row r="1091">
      <c r="A1091">
        <f>IFERROR(__xludf.DUMMYFUNCTION("""COMPUTED_VALUE"""),9.0)</f>
        <v>9</v>
      </c>
      <c r="B1091" s="406">
        <f>IFERROR(__xludf.DUMMYFUNCTION("""COMPUTED_VALUE"""),29138.0)</f>
        <v>29138</v>
      </c>
      <c r="C1091" t="str">
        <f>IFERROR(__xludf.DUMMYFUNCTION("""COMPUTED_VALUE"""),"ECHAVARRIA ROLDAN, TOMAS")</f>
        <v>ECHAVARRIA ROLDAN, TOMAS</v>
      </c>
      <c r="D1091" t="str">
        <f>IFERROR(__xludf.DUMMYFUNCTION("""COMPUTED_VALUE"""),"Geometry")</f>
        <v>Geometry</v>
      </c>
      <c r="E1091" s="3">
        <f>IFERROR(__xludf.DUMMYFUNCTION("""COMPUTED_VALUE"""),1.0)</f>
        <v>1</v>
      </c>
      <c r="F1091" s="300">
        <v>1.0</v>
      </c>
      <c r="G1091" s="300">
        <v>1.0</v>
      </c>
      <c r="H1091" s="300">
        <v>1.0</v>
      </c>
      <c r="I1091" s="300">
        <v>1.0</v>
      </c>
      <c r="J1091" s="300">
        <v>1.0</v>
      </c>
      <c r="K1091" s="300">
        <v>1.0</v>
      </c>
      <c r="L1091" s="300">
        <v>1.0</v>
      </c>
      <c r="M1091" s="300">
        <v>1.0</v>
      </c>
      <c r="N1091" s="300">
        <v>8.0</v>
      </c>
      <c r="O1091" s="300" t="s">
        <v>837</v>
      </c>
      <c r="P1091" s="300">
        <v>7.0</v>
      </c>
    </row>
    <row r="1092">
      <c r="A1092">
        <f>IFERROR(__xludf.DUMMYFUNCTION("""COMPUTED_VALUE"""),9.0)</f>
        <v>9</v>
      </c>
      <c r="B1092" s="406">
        <f>IFERROR(__xludf.DUMMYFUNCTION("""COMPUTED_VALUE"""),29003.0)</f>
        <v>29003</v>
      </c>
      <c r="C1092" t="str">
        <f>IFERROR(__xludf.DUMMYFUNCTION("""COMPUTED_VALUE"""),"ACEVEDO OROZCO, MARIA CELESTE")</f>
        <v>ACEVEDO OROZCO, MARIA CELESTE</v>
      </c>
      <c r="D1092" t="str">
        <f>IFERROR(__xludf.DUMMYFUNCTION("""COMPUTED_VALUE"""),"Algebra I")</f>
        <v>Algebra I</v>
      </c>
      <c r="E1092" s="3">
        <f>IFERROR(__xludf.DUMMYFUNCTION("""COMPUTED_VALUE"""),4.0)</f>
        <v>4</v>
      </c>
      <c r="F1092" s="300">
        <v>1.0</v>
      </c>
      <c r="G1092" s="300">
        <v>1.0</v>
      </c>
      <c r="H1092" s="300">
        <v>1.0</v>
      </c>
      <c r="I1092" s="300">
        <v>1.0</v>
      </c>
      <c r="J1092" s="300">
        <v>1.0</v>
      </c>
      <c r="K1092" s="300">
        <v>1.0</v>
      </c>
      <c r="L1092" s="300">
        <v>1.0</v>
      </c>
      <c r="M1092" s="300">
        <v>1.0</v>
      </c>
      <c r="N1092" s="300">
        <v>8.0</v>
      </c>
      <c r="O1092" s="300" t="s">
        <v>845</v>
      </c>
      <c r="P1092" s="300">
        <v>4.0</v>
      </c>
    </row>
    <row r="1093">
      <c r="A1093">
        <f>IFERROR(__xludf.DUMMYFUNCTION("""COMPUTED_VALUE"""),9.0)</f>
        <v>9</v>
      </c>
      <c r="B1093" s="406">
        <f>IFERROR(__xludf.DUMMYFUNCTION("""COMPUTED_VALUE"""),29158.0)</f>
        <v>29158</v>
      </c>
      <c r="C1093" t="str">
        <f>IFERROR(__xludf.DUMMYFUNCTION("""COMPUTED_VALUE"""),"NIEHAUS TRUJILLO, MICHELLE")</f>
        <v>NIEHAUS TRUJILLO, MICHELLE</v>
      </c>
      <c r="D1093" t="str">
        <f>IFERROR(__xludf.DUMMYFUNCTION("""COMPUTED_VALUE"""),"Algebra I")</f>
        <v>Algebra I</v>
      </c>
      <c r="E1093" s="3">
        <f>IFERROR(__xludf.DUMMYFUNCTION("""COMPUTED_VALUE"""),6.0)</f>
        <v>6</v>
      </c>
      <c r="F1093" s="300">
        <v>1.0</v>
      </c>
      <c r="G1093" s="300">
        <v>1.0</v>
      </c>
      <c r="H1093" s="300">
        <v>1.0</v>
      </c>
      <c r="I1093" s="300">
        <v>1.0</v>
      </c>
      <c r="J1093" s="300">
        <v>1.0</v>
      </c>
      <c r="K1093" s="300">
        <v>1.0</v>
      </c>
      <c r="L1093" s="300">
        <v>1.0</v>
      </c>
      <c r="M1093" s="300">
        <v>1.0</v>
      </c>
      <c r="N1093" s="300">
        <v>8.0</v>
      </c>
      <c r="O1093" s="300" t="s">
        <v>844</v>
      </c>
      <c r="P1093" s="300">
        <v>4.0</v>
      </c>
    </row>
    <row r="1094">
      <c r="A1094">
        <f>IFERROR(__xludf.DUMMYFUNCTION("""COMPUTED_VALUE"""),9.0)</f>
        <v>9</v>
      </c>
      <c r="B1094" s="406">
        <f>IFERROR(__xludf.DUMMYFUNCTION("""COMPUTED_VALUE"""),29088.0)</f>
        <v>29088</v>
      </c>
      <c r="C1094" t="str">
        <f>IFERROR(__xludf.DUMMYFUNCTION("""COMPUTED_VALUE"""),"PEREZ ALVARADO, SARA")</f>
        <v>PEREZ ALVARADO, SARA</v>
      </c>
      <c r="D1094" t="str">
        <f>IFERROR(__xludf.DUMMYFUNCTION("""COMPUTED_VALUE"""),"Geometry")</f>
        <v>Geometry</v>
      </c>
      <c r="E1094" s="3">
        <f>IFERROR(__xludf.DUMMYFUNCTION("""COMPUTED_VALUE"""),2.0)</f>
        <v>2</v>
      </c>
      <c r="F1094" s="300">
        <v>1.0</v>
      </c>
      <c r="G1094" s="300">
        <v>1.0</v>
      </c>
      <c r="H1094" s="300">
        <v>1.0</v>
      </c>
      <c r="I1094" s="300">
        <v>1.0</v>
      </c>
      <c r="J1094" s="300">
        <v>1.0</v>
      </c>
      <c r="K1094" s="300">
        <v>1.0</v>
      </c>
      <c r="L1094" s="300">
        <v>1.0</v>
      </c>
      <c r="M1094" s="300">
        <v>1.0</v>
      </c>
      <c r="N1094" s="300">
        <v>8.0</v>
      </c>
      <c r="O1094" s="300" t="s">
        <v>838</v>
      </c>
      <c r="P1094" s="300">
        <v>7.0</v>
      </c>
    </row>
    <row r="1095">
      <c r="A1095">
        <f>IFERROR(__xludf.DUMMYFUNCTION("""COMPUTED_VALUE"""),9.0)</f>
        <v>9</v>
      </c>
      <c r="B1095" s="406">
        <f>IFERROR(__xludf.DUMMYFUNCTION("""COMPUTED_VALUE"""),29164.0)</f>
        <v>29164</v>
      </c>
      <c r="C1095" t="str">
        <f>IFERROR(__xludf.DUMMYFUNCTION("""COMPUTED_VALUE"""),"CONCHA VELASCO, LORENZO")</f>
        <v>CONCHA VELASCO, LORENZO</v>
      </c>
      <c r="D1095" t="str">
        <f>IFERROR(__xludf.DUMMYFUNCTION("""COMPUTED_VALUE"""),"Algebra I")</f>
        <v>Algebra I</v>
      </c>
      <c r="E1095" s="3">
        <f>IFERROR(__xludf.DUMMYFUNCTION("""COMPUTED_VALUE"""),6.0)</f>
        <v>6</v>
      </c>
      <c r="F1095" s="300">
        <v>1.0</v>
      </c>
      <c r="G1095" s="300">
        <v>1.0</v>
      </c>
      <c r="H1095" s="300">
        <v>1.0</v>
      </c>
      <c r="I1095" s="300">
        <v>1.0</v>
      </c>
      <c r="J1095" s="300">
        <v>1.0</v>
      </c>
      <c r="K1095" s="300">
        <v>1.0</v>
      </c>
      <c r="L1095" s="300">
        <v>1.0</v>
      </c>
      <c r="M1095" s="300">
        <v>1.0</v>
      </c>
      <c r="N1095" s="300">
        <v>8.0</v>
      </c>
      <c r="O1095" s="300" t="s">
        <v>844</v>
      </c>
      <c r="P1095" s="300">
        <v>4.0</v>
      </c>
    </row>
    <row r="1096">
      <c r="A1096">
        <f>IFERROR(__xludf.DUMMYFUNCTION("""COMPUTED_VALUE"""),9.0)</f>
        <v>9</v>
      </c>
      <c r="B1096" s="406">
        <f>IFERROR(__xludf.DUMMYFUNCTION("""COMPUTED_VALUE"""),29011.0)</f>
        <v>29011</v>
      </c>
      <c r="C1096" t="str">
        <f>IFERROR(__xludf.DUMMYFUNCTION("""COMPUTED_VALUE"""),"ARANGO RUBIO, ROSARIO")</f>
        <v>ARANGO RUBIO, ROSARIO</v>
      </c>
      <c r="D1096" t="str">
        <f>IFERROR(__xludf.DUMMYFUNCTION("""COMPUTED_VALUE"""),"Geometry")</f>
        <v>Geometry</v>
      </c>
      <c r="E1096" s="3">
        <f>IFERROR(__xludf.DUMMYFUNCTION("""COMPUTED_VALUE"""),2.0)</f>
        <v>2</v>
      </c>
      <c r="F1096" s="300">
        <v>1.0</v>
      </c>
      <c r="G1096" s="300">
        <v>1.0</v>
      </c>
      <c r="H1096" s="300">
        <v>1.0</v>
      </c>
      <c r="I1096" s="300">
        <v>1.0</v>
      </c>
      <c r="J1096" s="300">
        <v>1.0</v>
      </c>
      <c r="K1096" s="300">
        <v>1.0</v>
      </c>
      <c r="L1096" s="300">
        <v>1.0</v>
      </c>
      <c r="M1096" s="300">
        <v>1.0</v>
      </c>
      <c r="N1096" s="300">
        <v>8.0</v>
      </c>
      <c r="O1096" s="300" t="s">
        <v>838</v>
      </c>
      <c r="P1096" s="300">
        <v>7.0</v>
      </c>
    </row>
    <row r="1097">
      <c r="A1097">
        <f>IFERROR(__xludf.DUMMYFUNCTION("""COMPUTED_VALUE"""),9.0)</f>
        <v>9</v>
      </c>
      <c r="B1097" s="406">
        <f>IFERROR(__xludf.DUMMYFUNCTION("""COMPUTED_VALUE"""),29161.0)</f>
        <v>29161</v>
      </c>
      <c r="C1097" t="str">
        <f>IFERROR(__xludf.DUMMYFUNCTION("""COMPUTED_VALUE"""),"BURKHALTER, ESPERANZA JOY")</f>
        <v>BURKHALTER, ESPERANZA JOY</v>
      </c>
      <c r="D1097" t="str">
        <f>IFERROR(__xludf.DUMMYFUNCTION("""COMPUTED_VALUE"""),"Geometry")</f>
        <v>Geometry</v>
      </c>
      <c r="E1097" s="3">
        <f>IFERROR(__xludf.DUMMYFUNCTION("""COMPUTED_VALUE"""),2.0)</f>
        <v>2</v>
      </c>
      <c r="F1097" s="300">
        <v>1.0</v>
      </c>
      <c r="G1097" s="300">
        <v>1.0</v>
      </c>
      <c r="H1097" s="300">
        <v>1.0</v>
      </c>
      <c r="I1097" s="300">
        <v>1.0</v>
      </c>
      <c r="J1097" s="300">
        <v>1.0</v>
      </c>
      <c r="K1097" s="300">
        <v>1.0</v>
      </c>
      <c r="L1097" s="300">
        <v>1.0</v>
      </c>
      <c r="M1097" s="300">
        <v>1.0</v>
      </c>
      <c r="N1097" s="300">
        <v>8.0</v>
      </c>
      <c r="O1097" s="300" t="s">
        <v>838</v>
      </c>
      <c r="P1097" s="300">
        <v>7.0</v>
      </c>
    </row>
    <row r="1098">
      <c r="A1098">
        <f>IFERROR(__xludf.DUMMYFUNCTION("""COMPUTED_VALUE"""),9.0)</f>
        <v>9</v>
      </c>
      <c r="B1098" s="406">
        <f>IFERROR(__xludf.DUMMYFUNCTION("""COMPUTED_VALUE"""),29103.0)</f>
        <v>29103</v>
      </c>
      <c r="C1098" t="str">
        <f>IFERROR(__xludf.DUMMYFUNCTION("""COMPUTED_VALUE"""),"SALAZAR ECHEVERRI, ANTONIA")</f>
        <v>SALAZAR ECHEVERRI, ANTONIA</v>
      </c>
      <c r="D1098" t="str">
        <f>IFERROR(__xludf.DUMMYFUNCTION("""COMPUTED_VALUE"""),"Algebra I")</f>
        <v>Algebra I</v>
      </c>
      <c r="E1098" s="3">
        <f>IFERROR(__xludf.DUMMYFUNCTION("""COMPUTED_VALUE"""),4.0)</f>
        <v>4</v>
      </c>
      <c r="F1098" s="300">
        <v>1.0</v>
      </c>
      <c r="G1098" s="300">
        <v>1.0</v>
      </c>
      <c r="H1098" s="300">
        <v>1.0</v>
      </c>
      <c r="I1098" s="300">
        <v>1.0</v>
      </c>
      <c r="J1098" s="300">
        <v>1.0</v>
      </c>
      <c r="K1098" s="300">
        <v>1.0</v>
      </c>
      <c r="L1098" s="300">
        <v>1.0</v>
      </c>
      <c r="M1098" s="300">
        <v>1.0</v>
      </c>
      <c r="N1098" s="300">
        <v>8.0</v>
      </c>
      <c r="O1098" s="300" t="s">
        <v>845</v>
      </c>
      <c r="P1098" s="300">
        <v>4.0</v>
      </c>
    </row>
    <row r="1099">
      <c r="A1099">
        <f>IFERROR(__xludf.DUMMYFUNCTION("""COMPUTED_VALUE"""),9.0)</f>
        <v>9</v>
      </c>
      <c r="B1099" s="406">
        <f>IFERROR(__xludf.DUMMYFUNCTION("""COMPUTED_VALUE"""),29004.0)</f>
        <v>29004</v>
      </c>
      <c r="C1099" t="str">
        <f>IFERROR(__xludf.DUMMYFUNCTION("""COMPUTED_VALUE"""),"AGUIRRE ARANGO, DAVID")</f>
        <v>AGUIRRE ARANGO, DAVID</v>
      </c>
      <c r="D1099" t="str">
        <f>IFERROR(__xludf.DUMMYFUNCTION("""COMPUTED_VALUE"""),"Geometry")</f>
        <v>Geometry</v>
      </c>
      <c r="E1099" s="3">
        <f>IFERROR(__xludf.DUMMYFUNCTION("""COMPUTED_VALUE"""),2.0)</f>
        <v>2</v>
      </c>
      <c r="F1099" s="300">
        <v>1.0</v>
      </c>
      <c r="G1099" s="300">
        <v>1.0</v>
      </c>
      <c r="H1099" s="300">
        <v>1.0</v>
      </c>
      <c r="I1099" s="300">
        <v>1.0</v>
      </c>
      <c r="J1099" s="300">
        <v>1.0</v>
      </c>
      <c r="K1099" s="300">
        <v>1.0</v>
      </c>
      <c r="L1099" s="300">
        <v>1.0</v>
      </c>
      <c r="M1099" s="300">
        <v>1.0</v>
      </c>
      <c r="N1099" s="300">
        <v>8.0</v>
      </c>
      <c r="O1099" s="300" t="s">
        <v>838</v>
      </c>
      <c r="P1099" s="300">
        <v>7.0</v>
      </c>
    </row>
    <row r="1100">
      <c r="A1100">
        <f>IFERROR(__xludf.DUMMYFUNCTION("""COMPUTED_VALUE"""),9.0)</f>
        <v>9</v>
      </c>
      <c r="B1100" s="406">
        <f>IFERROR(__xludf.DUMMYFUNCTION("""COMPUTED_VALUE"""),29015.0)</f>
        <v>29015</v>
      </c>
      <c r="C1100" t="str">
        <f>IFERROR(__xludf.DUMMYFUNCTION("""COMPUTED_VALUE"""),"ARISTIZABAL URIBE, MATIAS")</f>
        <v>ARISTIZABAL URIBE, MATIAS</v>
      </c>
      <c r="D1100" t="str">
        <f>IFERROR(__xludf.DUMMYFUNCTION("""COMPUTED_VALUE"""),"Algebra I")</f>
        <v>Algebra I</v>
      </c>
      <c r="E1100" s="3">
        <f>IFERROR(__xludf.DUMMYFUNCTION("""COMPUTED_VALUE"""),3.0)</f>
        <v>3</v>
      </c>
      <c r="F1100" s="300">
        <v>1.0</v>
      </c>
      <c r="G1100" s="300">
        <v>1.0</v>
      </c>
      <c r="H1100" s="300">
        <v>1.0</v>
      </c>
      <c r="I1100" s="300">
        <v>1.0</v>
      </c>
      <c r="J1100" s="300">
        <v>1.0</v>
      </c>
      <c r="K1100" s="300">
        <v>1.0</v>
      </c>
      <c r="L1100" s="300">
        <v>1.0</v>
      </c>
      <c r="M1100" s="300">
        <v>1.0</v>
      </c>
      <c r="N1100" s="300">
        <v>8.0</v>
      </c>
      <c r="O1100" s="300" t="s">
        <v>843</v>
      </c>
      <c r="P1100" s="300">
        <v>4.0</v>
      </c>
    </row>
    <row r="1101">
      <c r="A1101">
        <f>IFERROR(__xludf.DUMMYFUNCTION("""COMPUTED_VALUE"""),9.0)</f>
        <v>9</v>
      </c>
      <c r="B1101" s="406">
        <f>IFERROR(__xludf.DUMMYFUNCTION("""COMPUTED_VALUE"""),29052.0)</f>
        <v>29052</v>
      </c>
      <c r="C1101" t="str">
        <f>IFERROR(__xludf.DUMMYFUNCTION("""COMPUTED_VALUE"""),"HURTADO ARISTIZABAL, CAMILA")</f>
        <v>HURTADO ARISTIZABAL, CAMILA</v>
      </c>
      <c r="D1101" t="str">
        <f>IFERROR(__xludf.DUMMYFUNCTION("""COMPUTED_VALUE"""),"Algebra I")</f>
        <v>Algebra I</v>
      </c>
      <c r="E1101" s="3">
        <f>IFERROR(__xludf.DUMMYFUNCTION("""COMPUTED_VALUE"""),6.0)</f>
        <v>6</v>
      </c>
      <c r="F1101" s="300">
        <v>1.0</v>
      </c>
      <c r="G1101" s="300">
        <v>1.0</v>
      </c>
      <c r="H1101" s="300">
        <v>1.0</v>
      </c>
      <c r="I1101" s="300">
        <v>1.0</v>
      </c>
      <c r="J1101" s="300">
        <v>1.0</v>
      </c>
      <c r="K1101" s="300">
        <v>1.0</v>
      </c>
      <c r="L1101" s="300">
        <v>1.0</v>
      </c>
      <c r="M1101" s="300">
        <v>1.0</v>
      </c>
      <c r="N1101" s="300">
        <v>8.0</v>
      </c>
      <c r="O1101" s="300" t="s">
        <v>844</v>
      </c>
      <c r="P1101" s="300">
        <v>4.0</v>
      </c>
    </row>
    <row r="1102">
      <c r="A1102">
        <f>IFERROR(__xludf.DUMMYFUNCTION("""COMPUTED_VALUE"""),9.0)</f>
        <v>9</v>
      </c>
      <c r="B1102" s="406">
        <f>IFERROR(__xludf.DUMMYFUNCTION("""COMPUTED_VALUE"""),29056.0)</f>
        <v>29056</v>
      </c>
      <c r="C1102" t="str">
        <f>IFERROR(__xludf.DUMMYFUNCTION("""COMPUTED_VALUE"""),"JAILLIER PINZON, MAXIMILIANO")</f>
        <v>JAILLIER PINZON, MAXIMILIANO</v>
      </c>
      <c r="D1102" t="str">
        <f>IFERROR(__xludf.DUMMYFUNCTION("""COMPUTED_VALUE"""),"Algebra I")</f>
        <v>Algebra I</v>
      </c>
      <c r="E1102" s="3">
        <f>IFERROR(__xludf.DUMMYFUNCTION("""COMPUTED_VALUE"""),4.0)</f>
        <v>4</v>
      </c>
      <c r="F1102" s="300">
        <v>1.0</v>
      </c>
      <c r="G1102" s="300">
        <v>1.0</v>
      </c>
      <c r="H1102" s="300">
        <v>1.0</v>
      </c>
      <c r="I1102" s="300">
        <v>1.0</v>
      </c>
      <c r="J1102" s="300">
        <v>1.0</v>
      </c>
      <c r="K1102" s="300">
        <v>1.0</v>
      </c>
      <c r="L1102" s="300">
        <v>1.0</v>
      </c>
      <c r="M1102" s="300">
        <v>1.0</v>
      </c>
      <c r="N1102" s="300">
        <v>8.0</v>
      </c>
      <c r="O1102" s="300" t="s">
        <v>845</v>
      </c>
      <c r="P1102" s="300">
        <v>4.0</v>
      </c>
    </row>
    <row r="1103">
      <c r="A1103">
        <f>IFERROR(__xludf.DUMMYFUNCTION("""COMPUTED_VALUE"""),9.0)</f>
        <v>9</v>
      </c>
      <c r="B1103" s="406">
        <f>IFERROR(__xludf.DUMMYFUNCTION("""COMPUTED_VALUE"""),29073.0)</f>
        <v>29073</v>
      </c>
      <c r="C1103" t="str">
        <f>IFERROR(__xludf.DUMMYFUNCTION("""COMPUTED_VALUE"""),"MARRERO MARTA, ALINA")</f>
        <v>MARRERO MARTA, ALINA</v>
      </c>
      <c r="D1103" t="str">
        <f>IFERROR(__xludf.DUMMYFUNCTION("""COMPUTED_VALUE"""),"Geometry")</f>
        <v>Geometry</v>
      </c>
      <c r="E1103" s="3">
        <f>IFERROR(__xludf.DUMMYFUNCTION("""COMPUTED_VALUE"""),8.0)</f>
        <v>8</v>
      </c>
      <c r="F1103" s="300">
        <v>1.0</v>
      </c>
      <c r="G1103" s="300">
        <v>1.0</v>
      </c>
      <c r="H1103" s="300">
        <v>1.0</v>
      </c>
      <c r="I1103" s="300">
        <v>1.0</v>
      </c>
      <c r="J1103" s="300">
        <v>1.0</v>
      </c>
      <c r="K1103" s="300">
        <v>1.0</v>
      </c>
      <c r="L1103" s="300">
        <v>1.0</v>
      </c>
      <c r="M1103" s="300">
        <v>1.0</v>
      </c>
      <c r="N1103" s="300">
        <v>8.0</v>
      </c>
      <c r="O1103" s="300" t="s">
        <v>841</v>
      </c>
      <c r="P1103" s="300">
        <v>7.0</v>
      </c>
    </row>
    <row r="1104">
      <c r="A1104">
        <f>IFERROR(__xludf.DUMMYFUNCTION("""COMPUTED_VALUE"""),9.0)</f>
        <v>9</v>
      </c>
      <c r="B1104" s="406">
        <f>IFERROR(__xludf.DUMMYFUNCTION("""COMPUTED_VALUE"""),29065.0)</f>
        <v>29065</v>
      </c>
      <c r="C1104" t="str">
        <f>IFERROR(__xludf.DUMMYFUNCTION("""COMPUTED_VALUE"""),"LONDOÑO CUARTAS, TOMAS")</f>
        <v>LONDOÑO CUARTAS, TOMAS</v>
      </c>
      <c r="D1104" t="str">
        <f>IFERROR(__xludf.DUMMYFUNCTION("""COMPUTED_VALUE"""),"Geometry")</f>
        <v>Geometry</v>
      </c>
      <c r="E1104" s="3">
        <f>IFERROR(__xludf.DUMMYFUNCTION("""COMPUTED_VALUE"""),1.0)</f>
        <v>1</v>
      </c>
      <c r="F1104" s="300">
        <v>1.0</v>
      </c>
      <c r="G1104" s="300">
        <v>1.0</v>
      </c>
      <c r="H1104" s="300">
        <v>1.0</v>
      </c>
      <c r="I1104" s="300">
        <v>1.0</v>
      </c>
      <c r="J1104" s="300">
        <v>1.0</v>
      </c>
      <c r="K1104" s="300">
        <v>1.0</v>
      </c>
      <c r="L1104" s="300">
        <v>1.0</v>
      </c>
      <c r="M1104" s="300">
        <v>1.0</v>
      </c>
      <c r="N1104" s="300">
        <v>8.0</v>
      </c>
      <c r="O1104" s="300" t="s">
        <v>837</v>
      </c>
      <c r="P1104" s="300">
        <v>7.0</v>
      </c>
    </row>
    <row r="1105">
      <c r="A1105">
        <f>IFERROR(__xludf.DUMMYFUNCTION("""COMPUTED_VALUE"""),9.0)</f>
        <v>9</v>
      </c>
      <c r="B1105" s="406">
        <f>IFERROR(__xludf.DUMMYFUNCTION("""COMPUTED_VALUE"""),29101.0)</f>
        <v>29101</v>
      </c>
      <c r="C1105" t="str">
        <f>IFERROR(__xludf.DUMMYFUNCTION("""COMPUTED_VALUE"""),"ROBLES MARTINEZ, MARIA")</f>
        <v>ROBLES MARTINEZ, MARIA</v>
      </c>
      <c r="D1105" t="str">
        <f>IFERROR(__xludf.DUMMYFUNCTION("""COMPUTED_VALUE"""),"Geometry")</f>
        <v>Geometry</v>
      </c>
      <c r="E1105" s="3">
        <f>IFERROR(__xludf.DUMMYFUNCTION("""COMPUTED_VALUE"""),2.0)</f>
        <v>2</v>
      </c>
      <c r="F1105" s="300">
        <v>1.0</v>
      </c>
      <c r="G1105" s="300">
        <v>1.0</v>
      </c>
      <c r="H1105" s="300">
        <v>1.0</v>
      </c>
      <c r="I1105" s="300">
        <v>1.0</v>
      </c>
      <c r="J1105" s="300">
        <v>1.0</v>
      </c>
      <c r="K1105" s="300">
        <v>1.0</v>
      </c>
      <c r="L1105" s="300">
        <v>1.0</v>
      </c>
      <c r="M1105" s="300">
        <v>1.0</v>
      </c>
      <c r="N1105" s="300">
        <v>8.0</v>
      </c>
      <c r="O1105" s="300" t="s">
        <v>838</v>
      </c>
      <c r="P1105" s="300">
        <v>7.0</v>
      </c>
    </row>
    <row r="1106">
      <c r="A1106">
        <f>IFERROR(__xludf.DUMMYFUNCTION("""COMPUTED_VALUE"""),9.0)</f>
        <v>9</v>
      </c>
      <c r="B1106" s="406">
        <f>IFERROR(__xludf.DUMMYFUNCTION("""COMPUTED_VALUE"""),29036.0)</f>
        <v>29036</v>
      </c>
      <c r="C1106" t="str">
        <f>IFERROR(__xludf.DUMMYFUNCTION("""COMPUTED_VALUE"""),"ECHEVERRI ESCOBAR, RODRIGO")</f>
        <v>ECHEVERRI ESCOBAR, RODRIGO</v>
      </c>
      <c r="D1106" t="str">
        <f>IFERROR(__xludf.DUMMYFUNCTION("""COMPUTED_VALUE"""),"Algebra I")</f>
        <v>Algebra I</v>
      </c>
      <c r="E1106" s="3">
        <f>IFERROR(__xludf.DUMMYFUNCTION("""COMPUTED_VALUE"""),7.0)</f>
        <v>7</v>
      </c>
      <c r="F1106" s="300">
        <v>1.0</v>
      </c>
      <c r="G1106" s="300">
        <v>1.0</v>
      </c>
      <c r="H1106" s="300">
        <v>1.0</v>
      </c>
      <c r="I1106" s="300">
        <v>1.0</v>
      </c>
      <c r="J1106" s="300">
        <v>1.0</v>
      </c>
      <c r="K1106" s="300">
        <v>1.0</v>
      </c>
      <c r="L1106" s="300">
        <v>1.0</v>
      </c>
      <c r="M1106" s="300">
        <v>1.0</v>
      </c>
      <c r="N1106" s="300">
        <v>8.0</v>
      </c>
      <c r="O1106" s="300" t="s">
        <v>842</v>
      </c>
      <c r="P1106" s="300">
        <v>4.0</v>
      </c>
    </row>
    <row r="1107">
      <c r="A1107">
        <f>IFERROR(__xludf.DUMMYFUNCTION("""COMPUTED_VALUE"""),9.0)</f>
        <v>9</v>
      </c>
      <c r="B1107" s="406">
        <f>IFERROR(__xludf.DUMMYFUNCTION("""COMPUTED_VALUE"""),29106.0)</f>
        <v>29106</v>
      </c>
      <c r="C1107" t="str">
        <f>IFERROR(__xludf.DUMMYFUNCTION("""COMPUTED_VALUE"""),"SANCHEZ DIAZ, SIMON")</f>
        <v>SANCHEZ DIAZ, SIMON</v>
      </c>
      <c r="D1107" t="str">
        <f>IFERROR(__xludf.DUMMYFUNCTION("""COMPUTED_VALUE"""),"Geometry")</f>
        <v>Geometry</v>
      </c>
      <c r="E1107" s="3">
        <f>IFERROR(__xludf.DUMMYFUNCTION("""COMPUTED_VALUE"""),1.0)</f>
        <v>1</v>
      </c>
      <c r="F1107" s="300">
        <v>1.0</v>
      </c>
      <c r="G1107" s="300">
        <v>1.0</v>
      </c>
      <c r="H1107" s="300">
        <v>1.0</v>
      </c>
      <c r="I1107" s="300">
        <v>1.0</v>
      </c>
      <c r="J1107" s="300">
        <v>1.0</v>
      </c>
      <c r="K1107" s="300">
        <v>1.0</v>
      </c>
      <c r="L1107" s="300">
        <v>1.0</v>
      </c>
      <c r="M1107" s="300">
        <v>1.0</v>
      </c>
      <c r="N1107" s="300">
        <v>8.0</v>
      </c>
      <c r="O1107" s="300" t="s">
        <v>837</v>
      </c>
      <c r="P1107" s="300">
        <v>7.0</v>
      </c>
    </row>
    <row r="1108">
      <c r="A1108">
        <f>IFERROR(__xludf.DUMMYFUNCTION("""COMPUTED_VALUE"""),9.0)</f>
        <v>9</v>
      </c>
      <c r="B1108" s="406">
        <f>IFERROR(__xludf.DUMMYFUNCTION("""COMPUTED_VALUE"""),29067.0)</f>
        <v>29067</v>
      </c>
      <c r="C1108" t="str">
        <f>IFERROR(__xludf.DUMMYFUNCTION("""COMPUTED_VALUE"""),"LOPEZ ESCOBAR, VALENTIN")</f>
        <v>LOPEZ ESCOBAR, VALENTIN</v>
      </c>
      <c r="D1108" t="str">
        <f>IFERROR(__xludf.DUMMYFUNCTION("""COMPUTED_VALUE"""),"Algebra I")</f>
        <v>Algebra I</v>
      </c>
      <c r="E1108" s="3">
        <f>IFERROR(__xludf.DUMMYFUNCTION("""COMPUTED_VALUE"""),3.0)</f>
        <v>3</v>
      </c>
      <c r="F1108" s="300">
        <v>1.0</v>
      </c>
      <c r="G1108" s="300">
        <v>1.0</v>
      </c>
      <c r="H1108" s="300">
        <v>1.0</v>
      </c>
      <c r="I1108" s="300">
        <v>1.0</v>
      </c>
      <c r="J1108" s="300">
        <v>1.0</v>
      </c>
      <c r="K1108" s="300">
        <v>1.0</v>
      </c>
      <c r="L1108" s="300">
        <v>1.0</v>
      </c>
      <c r="M1108" s="300">
        <v>1.0</v>
      </c>
      <c r="N1108" s="300">
        <v>8.0</v>
      </c>
      <c r="O1108" s="300" t="s">
        <v>843</v>
      </c>
      <c r="P1108" s="300">
        <v>4.0</v>
      </c>
    </row>
    <row r="1109">
      <c r="A1109">
        <f>IFERROR(__xludf.DUMMYFUNCTION("""COMPUTED_VALUE"""),9.0)</f>
        <v>9</v>
      </c>
      <c r="B1109" s="406">
        <f>IFERROR(__xludf.DUMMYFUNCTION("""COMPUTED_VALUE"""),28023.0)</f>
        <v>28023</v>
      </c>
      <c r="C1109" t="str">
        <f>IFERROR(__xludf.DUMMYFUNCTION("""COMPUTED_VALUE"""),"CLAVIJO GIRALDO, LORENZO")</f>
        <v>CLAVIJO GIRALDO, LORENZO</v>
      </c>
      <c r="D1109" t="str">
        <f>IFERROR(__xludf.DUMMYFUNCTION("""COMPUTED_VALUE"""),"Algebra I")</f>
        <v>Algebra I</v>
      </c>
      <c r="E1109" s="3">
        <f>IFERROR(__xludf.DUMMYFUNCTION("""COMPUTED_VALUE"""),3.0)</f>
        <v>3</v>
      </c>
      <c r="F1109" s="300">
        <v>1.0</v>
      </c>
      <c r="G1109" s="300">
        <v>1.0</v>
      </c>
      <c r="H1109" s="300">
        <v>1.0</v>
      </c>
      <c r="I1109" s="300">
        <v>1.0</v>
      </c>
      <c r="J1109" s="300">
        <v>1.0</v>
      </c>
      <c r="K1109" s="300">
        <v>1.0</v>
      </c>
      <c r="L1109" s="300">
        <v>1.0</v>
      </c>
      <c r="M1109" s="300">
        <v>1.0</v>
      </c>
      <c r="N1109" s="300">
        <v>8.0</v>
      </c>
      <c r="O1109" s="300" t="s">
        <v>843</v>
      </c>
      <c r="P1109" s="300">
        <v>4.0</v>
      </c>
    </row>
    <row r="1110">
      <c r="A1110">
        <f>IFERROR(__xludf.DUMMYFUNCTION("""COMPUTED_VALUE"""),9.0)</f>
        <v>9</v>
      </c>
      <c r="B1110" s="406">
        <f>IFERROR(__xludf.DUMMYFUNCTION("""COMPUTED_VALUE"""),29145.0)</f>
        <v>29145</v>
      </c>
      <c r="C1110" t="str">
        <f>IFERROR(__xludf.DUMMYFUNCTION("""COMPUTED_VALUE"""),"VELASQUEZ GUTIERREZ, SAMUEL")</f>
        <v>VELASQUEZ GUTIERREZ, SAMUEL</v>
      </c>
      <c r="D1110" t="str">
        <f>IFERROR(__xludf.DUMMYFUNCTION("""COMPUTED_VALUE"""),"Algebra I")</f>
        <v>Algebra I</v>
      </c>
      <c r="E1110" s="3">
        <f>IFERROR(__xludf.DUMMYFUNCTION("""COMPUTED_VALUE"""),7.0)</f>
        <v>7</v>
      </c>
      <c r="F1110" s="300">
        <v>1.0</v>
      </c>
      <c r="G1110" s="300">
        <v>1.0</v>
      </c>
      <c r="H1110" s="300">
        <v>1.0</v>
      </c>
      <c r="I1110" s="300">
        <v>1.0</v>
      </c>
      <c r="J1110" s="300">
        <v>1.0</v>
      </c>
      <c r="K1110" s="300">
        <v>1.0</v>
      </c>
      <c r="L1110" s="300">
        <v>1.0</v>
      </c>
      <c r="M1110" s="300">
        <v>1.0</v>
      </c>
      <c r="N1110" s="300">
        <v>8.0</v>
      </c>
      <c r="O1110" s="300" t="s">
        <v>842</v>
      </c>
      <c r="P1110" s="300">
        <v>4.0</v>
      </c>
    </row>
    <row r="1111">
      <c r="A1111">
        <f>IFERROR(__xludf.DUMMYFUNCTION("""COMPUTED_VALUE"""),9.0)</f>
        <v>9</v>
      </c>
      <c r="B1111" s="406">
        <f>IFERROR(__xludf.DUMMYFUNCTION("""COMPUTED_VALUE"""),29061.0)</f>
        <v>29061</v>
      </c>
      <c r="C1111" t="str">
        <f>IFERROR(__xludf.DUMMYFUNCTION("""COMPUTED_VALUE"""),"JARAMILLO OSPINA, MANUEL")</f>
        <v>JARAMILLO OSPINA, MANUEL</v>
      </c>
      <c r="D1111" t="str">
        <f>IFERROR(__xludf.DUMMYFUNCTION("""COMPUTED_VALUE"""),"Geometry")</f>
        <v>Geometry</v>
      </c>
      <c r="E1111" s="3">
        <f>IFERROR(__xludf.DUMMYFUNCTION("""COMPUTED_VALUE"""),7.0)</f>
        <v>7</v>
      </c>
      <c r="F1111" s="300">
        <v>1.0</v>
      </c>
      <c r="G1111" s="300">
        <v>1.0</v>
      </c>
      <c r="H1111" s="300">
        <v>1.0</v>
      </c>
      <c r="I1111" s="300">
        <v>1.0</v>
      </c>
      <c r="J1111" s="300">
        <v>1.0</v>
      </c>
      <c r="K1111" s="300">
        <v>1.0</v>
      </c>
      <c r="L1111" s="300">
        <v>1.0</v>
      </c>
      <c r="M1111" s="300">
        <v>1.0</v>
      </c>
      <c r="N1111" s="300">
        <v>8.0</v>
      </c>
      <c r="O1111" s="300" t="s">
        <v>839</v>
      </c>
      <c r="P1111" s="300">
        <v>7.0</v>
      </c>
    </row>
    <row r="1112">
      <c r="A1112">
        <f>IFERROR(__xludf.DUMMYFUNCTION("""COMPUTED_VALUE"""),9.0)</f>
        <v>9</v>
      </c>
      <c r="B1112" s="406">
        <f>IFERROR(__xludf.DUMMYFUNCTION("""COMPUTED_VALUE"""),29046.0)</f>
        <v>29046</v>
      </c>
      <c r="C1112" t="str">
        <f>IFERROR(__xludf.DUMMYFUNCTION("""COMPUTED_VALUE"""),"GONZALEZ LOPEZ, SAMUEL")</f>
        <v>GONZALEZ LOPEZ, SAMUEL</v>
      </c>
      <c r="D1112" t="str">
        <f>IFERROR(__xludf.DUMMYFUNCTION("""COMPUTED_VALUE"""),"Algebra I")</f>
        <v>Algebra I</v>
      </c>
      <c r="E1112" s="3">
        <f>IFERROR(__xludf.DUMMYFUNCTION("""COMPUTED_VALUE"""),7.0)</f>
        <v>7</v>
      </c>
      <c r="F1112" s="300">
        <v>1.0</v>
      </c>
      <c r="G1112" s="300">
        <v>1.0</v>
      </c>
      <c r="H1112" s="300">
        <v>1.0</v>
      </c>
      <c r="I1112" s="300">
        <v>1.0</v>
      </c>
      <c r="J1112" s="300">
        <v>1.0</v>
      </c>
      <c r="K1112" s="300">
        <v>1.0</v>
      </c>
      <c r="L1112" s="300">
        <v>1.0</v>
      </c>
      <c r="M1112" s="300">
        <v>1.0</v>
      </c>
      <c r="N1112" s="300">
        <v>8.0</v>
      </c>
      <c r="O1112" s="300" t="s">
        <v>842</v>
      </c>
      <c r="P1112" s="300">
        <v>4.0</v>
      </c>
    </row>
    <row r="1113">
      <c r="A1113">
        <f>IFERROR(__xludf.DUMMYFUNCTION("""COMPUTED_VALUE"""),9.0)</f>
        <v>9</v>
      </c>
      <c r="B1113" s="406">
        <f>IFERROR(__xludf.DUMMYFUNCTION("""COMPUTED_VALUE"""),29143.0)</f>
        <v>29143</v>
      </c>
      <c r="C1113" t="str">
        <f>IFERROR(__xludf.DUMMYFUNCTION("""COMPUTED_VALUE"""),"MOLANO MESA, CARMEN")</f>
        <v>MOLANO MESA, CARMEN</v>
      </c>
      <c r="D1113" t="str">
        <f>IFERROR(__xludf.DUMMYFUNCTION("""COMPUTED_VALUE"""),"Algebra I")</f>
        <v>Algebra I</v>
      </c>
      <c r="E1113" s="3">
        <f>IFERROR(__xludf.DUMMYFUNCTION("""COMPUTED_VALUE"""),7.0)</f>
        <v>7</v>
      </c>
      <c r="F1113" s="300">
        <v>1.0</v>
      </c>
      <c r="G1113" s="300">
        <v>1.0</v>
      </c>
      <c r="H1113" s="300">
        <v>1.0</v>
      </c>
      <c r="I1113" s="300">
        <v>1.0</v>
      </c>
      <c r="J1113" s="300">
        <v>1.0</v>
      </c>
      <c r="K1113" s="300">
        <v>1.0</v>
      </c>
      <c r="L1113" s="300">
        <v>1.0</v>
      </c>
      <c r="M1113" s="300">
        <v>1.0</v>
      </c>
      <c r="N1113" s="300">
        <v>8.0</v>
      </c>
      <c r="O1113" s="300" t="s">
        <v>842</v>
      </c>
      <c r="P1113" s="300">
        <v>4.0</v>
      </c>
    </row>
    <row r="1114">
      <c r="A1114">
        <f>IFERROR(__xludf.DUMMYFUNCTION("""COMPUTED_VALUE"""),9.0)</f>
        <v>9</v>
      </c>
      <c r="B1114" s="406">
        <f>IFERROR(__xludf.DUMMYFUNCTION("""COMPUTED_VALUE"""),29109.0)</f>
        <v>29109</v>
      </c>
      <c r="C1114" t="str">
        <f>IFERROR(__xludf.DUMMYFUNCTION("""COMPUTED_VALUE"""),"SERANI ANGEL, LUCIANA")</f>
        <v>SERANI ANGEL, LUCIANA</v>
      </c>
      <c r="D1114" t="str">
        <f>IFERROR(__xludf.DUMMYFUNCTION("""COMPUTED_VALUE"""),"Algebra I")</f>
        <v>Algebra I</v>
      </c>
      <c r="E1114" s="3">
        <f>IFERROR(__xludf.DUMMYFUNCTION("""COMPUTED_VALUE"""),3.0)</f>
        <v>3</v>
      </c>
      <c r="F1114" s="300">
        <v>1.0</v>
      </c>
      <c r="G1114" s="300">
        <v>1.0</v>
      </c>
      <c r="H1114" s="300">
        <v>1.0</v>
      </c>
      <c r="I1114" s="300">
        <v>1.0</v>
      </c>
      <c r="J1114" s="300">
        <v>1.0</v>
      </c>
      <c r="K1114" s="300">
        <v>1.0</v>
      </c>
      <c r="L1114" s="300">
        <v>1.0</v>
      </c>
      <c r="M1114" s="300">
        <v>1.0</v>
      </c>
      <c r="N1114" s="300">
        <v>8.0</v>
      </c>
      <c r="O1114" s="300" t="s">
        <v>843</v>
      </c>
      <c r="P1114" s="300">
        <v>4.0</v>
      </c>
    </row>
    <row r="1115">
      <c r="A1115">
        <f>IFERROR(__xludf.DUMMYFUNCTION("""COMPUTED_VALUE"""),9.0)</f>
        <v>9</v>
      </c>
      <c r="B1115" s="406">
        <f>IFERROR(__xludf.DUMMYFUNCTION("""COMPUTED_VALUE"""),29037.0)</f>
        <v>29037</v>
      </c>
      <c r="C1115" t="str">
        <f>IFERROR(__xludf.DUMMYFUNCTION("""COMPUTED_VALUE"""),"ESCOBAR INFANTINO, RAQUEL")</f>
        <v>ESCOBAR INFANTINO, RAQUEL</v>
      </c>
      <c r="D1115" t="str">
        <f>IFERROR(__xludf.DUMMYFUNCTION("""COMPUTED_VALUE"""),"Algebra I")</f>
        <v>Algebra I</v>
      </c>
      <c r="E1115" s="3">
        <f>IFERROR(__xludf.DUMMYFUNCTION("""COMPUTED_VALUE"""),4.0)</f>
        <v>4</v>
      </c>
      <c r="F1115" s="300">
        <v>1.0</v>
      </c>
      <c r="G1115" s="300">
        <v>1.0</v>
      </c>
      <c r="H1115" s="300">
        <v>1.0</v>
      </c>
      <c r="I1115" s="300">
        <v>1.0</v>
      </c>
      <c r="J1115" s="300">
        <v>1.0</v>
      </c>
      <c r="K1115" s="300">
        <v>1.0</v>
      </c>
      <c r="L1115" s="300">
        <v>1.0</v>
      </c>
      <c r="M1115" s="300">
        <v>1.0</v>
      </c>
      <c r="N1115" s="300">
        <v>8.0</v>
      </c>
      <c r="O1115" s="300" t="s">
        <v>845</v>
      </c>
      <c r="P1115" s="300">
        <v>4.0</v>
      </c>
    </row>
    <row r="1116">
      <c r="A1116">
        <f>IFERROR(__xludf.DUMMYFUNCTION("""COMPUTED_VALUE"""),9.0)</f>
        <v>9</v>
      </c>
      <c r="B1116" s="406">
        <f>IFERROR(__xludf.DUMMYFUNCTION("""COMPUTED_VALUE"""),29159.0)</f>
        <v>29159</v>
      </c>
      <c r="C1116" t="str">
        <f>IFERROR(__xludf.DUMMYFUNCTION("""COMPUTED_VALUE"""),"PACHECO GARCIA, MARIANA")</f>
        <v>PACHECO GARCIA, MARIANA</v>
      </c>
      <c r="D1116" t="str">
        <f>IFERROR(__xludf.DUMMYFUNCTION("""COMPUTED_VALUE"""),"Geometry")</f>
        <v>Geometry</v>
      </c>
      <c r="E1116" s="3">
        <f>IFERROR(__xludf.DUMMYFUNCTION("""COMPUTED_VALUE"""),8.0)</f>
        <v>8</v>
      </c>
      <c r="F1116" s="300">
        <v>1.0</v>
      </c>
      <c r="G1116" s="300">
        <v>1.0</v>
      </c>
      <c r="H1116" s="300">
        <v>1.0</v>
      </c>
      <c r="I1116" s="300">
        <v>1.0</v>
      </c>
      <c r="J1116" s="300">
        <v>1.0</v>
      </c>
      <c r="K1116" s="300">
        <v>1.0</v>
      </c>
      <c r="L1116" s="300">
        <v>1.0</v>
      </c>
      <c r="M1116" s="300">
        <v>1.0</v>
      </c>
      <c r="N1116" s="300">
        <v>8.0</v>
      </c>
      <c r="O1116" s="300" t="s">
        <v>841</v>
      </c>
      <c r="P1116" s="300">
        <v>7.0</v>
      </c>
    </row>
    <row r="1117">
      <c r="A1117">
        <f>IFERROR(__xludf.DUMMYFUNCTION("""COMPUTED_VALUE"""),9.0)</f>
        <v>9</v>
      </c>
      <c r="B1117" s="406">
        <f>IFERROR(__xludf.DUMMYFUNCTION("""COMPUTED_VALUE"""),29142.0)</f>
        <v>29142</v>
      </c>
      <c r="C1117" t="str">
        <f>IFERROR(__xludf.DUMMYFUNCTION("""COMPUTED_VALUE"""),"TOBON CARMONA, JACOBO")</f>
        <v>TOBON CARMONA, JACOBO</v>
      </c>
      <c r="D1117" t="str">
        <f>IFERROR(__xludf.DUMMYFUNCTION("""COMPUTED_VALUE"""),"Algebra I")</f>
        <v>Algebra I</v>
      </c>
      <c r="E1117" s="3">
        <f>IFERROR(__xludf.DUMMYFUNCTION("""COMPUTED_VALUE"""),3.0)</f>
        <v>3</v>
      </c>
      <c r="F1117" s="300">
        <v>1.0</v>
      </c>
      <c r="G1117" s="300">
        <v>1.0</v>
      </c>
      <c r="H1117" s="300">
        <v>1.0</v>
      </c>
      <c r="I1117" s="300">
        <v>1.0</v>
      </c>
      <c r="J1117" s="300">
        <v>1.0</v>
      </c>
      <c r="K1117" s="300">
        <v>1.0</v>
      </c>
      <c r="L1117" s="300">
        <v>1.0</v>
      </c>
      <c r="M1117" s="300">
        <v>1.0</v>
      </c>
      <c r="N1117" s="300">
        <v>8.0</v>
      </c>
      <c r="O1117" s="300" t="s">
        <v>843</v>
      </c>
      <c r="P1117" s="300">
        <v>4.0</v>
      </c>
    </row>
    <row r="1118">
      <c r="A1118">
        <f>IFERROR(__xludf.DUMMYFUNCTION("""COMPUTED_VALUE"""),9.0)</f>
        <v>9</v>
      </c>
      <c r="B1118" s="406">
        <f>IFERROR(__xludf.DUMMYFUNCTION("""COMPUTED_VALUE"""),29132.0)</f>
        <v>29132</v>
      </c>
      <c r="C1118" t="str">
        <f>IFERROR(__xludf.DUMMYFUNCTION("""COMPUTED_VALUE"""),"VILLEGAS MEJIA, SIMON")</f>
        <v>VILLEGAS MEJIA, SIMON</v>
      </c>
      <c r="D1118" t="str">
        <f>IFERROR(__xludf.DUMMYFUNCTION("""COMPUTED_VALUE"""),"Geometry")</f>
        <v>Geometry</v>
      </c>
      <c r="E1118" s="3">
        <f>IFERROR(__xludf.DUMMYFUNCTION("""COMPUTED_VALUE"""),7.0)</f>
        <v>7</v>
      </c>
      <c r="F1118" s="300">
        <v>1.0</v>
      </c>
      <c r="G1118" s="300">
        <v>1.0</v>
      </c>
      <c r="H1118" s="300">
        <v>1.0</v>
      </c>
      <c r="I1118" s="300">
        <v>1.0</v>
      </c>
      <c r="J1118" s="300">
        <v>1.0</v>
      </c>
      <c r="K1118" s="300">
        <v>1.0</v>
      </c>
      <c r="L1118" s="300">
        <v>1.0</v>
      </c>
      <c r="M1118" s="300">
        <v>1.0</v>
      </c>
      <c r="N1118" s="300">
        <v>8.0</v>
      </c>
      <c r="O1118" s="300" t="s">
        <v>839</v>
      </c>
      <c r="P1118" s="300">
        <v>7.0</v>
      </c>
    </row>
    <row r="1119">
      <c r="A1119">
        <f>IFERROR(__xludf.DUMMYFUNCTION("""COMPUTED_VALUE"""),9.0)</f>
        <v>9</v>
      </c>
      <c r="B1119" s="406">
        <f>IFERROR(__xludf.DUMMYFUNCTION("""COMPUTED_VALUE"""),29027.0)</f>
        <v>29027</v>
      </c>
      <c r="C1119" t="str">
        <f>IFERROR(__xludf.DUMMYFUNCTION("""COMPUTED_VALUE"""),"CARDONA VELEZ, MATIAS")</f>
        <v>CARDONA VELEZ, MATIAS</v>
      </c>
      <c r="D1119" t="str">
        <f>IFERROR(__xludf.DUMMYFUNCTION("""COMPUTED_VALUE"""),"Geometry")</f>
        <v>Geometry</v>
      </c>
      <c r="E1119" s="3">
        <f>IFERROR(__xludf.DUMMYFUNCTION("""COMPUTED_VALUE"""),8.0)</f>
        <v>8</v>
      </c>
      <c r="F1119" s="300">
        <v>1.0</v>
      </c>
      <c r="G1119" s="300">
        <v>1.0</v>
      </c>
      <c r="H1119" s="300">
        <v>1.0</v>
      </c>
      <c r="I1119" s="300">
        <v>1.0</v>
      </c>
      <c r="J1119" s="300">
        <v>1.0</v>
      </c>
      <c r="K1119" s="300">
        <v>1.0</v>
      </c>
      <c r="L1119" s="300">
        <v>1.0</v>
      </c>
      <c r="M1119" s="300">
        <v>1.0</v>
      </c>
      <c r="N1119" s="300">
        <v>8.0</v>
      </c>
      <c r="O1119" s="300" t="s">
        <v>841</v>
      </c>
      <c r="P1119" s="300">
        <v>7.0</v>
      </c>
    </row>
    <row r="1120">
      <c r="A1120">
        <f>IFERROR(__xludf.DUMMYFUNCTION("""COMPUTED_VALUE"""),9.0)</f>
        <v>9</v>
      </c>
      <c r="B1120" s="406">
        <f>IFERROR(__xludf.DUMMYFUNCTION("""COMPUTED_VALUE"""),29024.0)</f>
        <v>29024</v>
      </c>
      <c r="C1120" t="str">
        <f>IFERROR(__xludf.DUMMYFUNCTION("""COMPUTED_VALUE"""),"CADAVID RESTREPO, LUIS FERNANDO")</f>
        <v>CADAVID RESTREPO, LUIS FERNANDO</v>
      </c>
      <c r="D1120" t="str">
        <f>IFERROR(__xludf.DUMMYFUNCTION("""COMPUTED_VALUE"""),"Algebra I")</f>
        <v>Algebra I</v>
      </c>
      <c r="E1120" s="3">
        <f>IFERROR(__xludf.DUMMYFUNCTION("""COMPUTED_VALUE"""),4.0)</f>
        <v>4</v>
      </c>
      <c r="F1120" s="300">
        <v>1.0</v>
      </c>
      <c r="G1120" s="300">
        <v>1.0</v>
      </c>
      <c r="H1120" s="300">
        <v>1.0</v>
      </c>
      <c r="I1120" s="300">
        <v>1.0</v>
      </c>
      <c r="J1120" s="300">
        <v>1.0</v>
      </c>
      <c r="K1120" s="300">
        <v>1.0</v>
      </c>
      <c r="L1120" s="300">
        <v>1.0</v>
      </c>
      <c r="M1120" s="300">
        <v>1.0</v>
      </c>
      <c r="N1120" s="300">
        <v>8.0</v>
      </c>
      <c r="O1120" s="300" t="s">
        <v>845</v>
      </c>
      <c r="P1120" s="300">
        <v>4.0</v>
      </c>
    </row>
    <row r="1121">
      <c r="A1121">
        <f>IFERROR(__xludf.DUMMYFUNCTION("""COMPUTED_VALUE"""),9.0)</f>
        <v>9</v>
      </c>
      <c r="B1121" s="406">
        <f>IFERROR(__xludf.DUMMYFUNCTION("""COMPUTED_VALUE"""),29042.0)</f>
        <v>29042</v>
      </c>
      <c r="C1121" t="str">
        <f>IFERROR(__xludf.DUMMYFUNCTION("""COMPUTED_VALUE"""),"GOMEZ MIRA, GREGORIO")</f>
        <v>GOMEZ MIRA, GREGORIO</v>
      </c>
      <c r="D1121" t="str">
        <f>IFERROR(__xludf.DUMMYFUNCTION("""COMPUTED_VALUE"""),"Algebra I")</f>
        <v>Algebra I</v>
      </c>
      <c r="E1121" s="3">
        <f>IFERROR(__xludf.DUMMYFUNCTION("""COMPUTED_VALUE"""),4.0)</f>
        <v>4</v>
      </c>
      <c r="F1121" s="300">
        <v>1.0</v>
      </c>
      <c r="G1121" s="300">
        <v>1.0</v>
      </c>
      <c r="H1121" s="300">
        <v>1.0</v>
      </c>
      <c r="I1121" s="300">
        <v>1.0</v>
      </c>
      <c r="J1121" s="300">
        <v>1.0</v>
      </c>
      <c r="K1121" s="300">
        <v>1.0</v>
      </c>
      <c r="L1121" s="300">
        <v>1.0</v>
      </c>
      <c r="M1121" s="300">
        <v>1.0</v>
      </c>
      <c r="N1121" s="300">
        <v>8.0</v>
      </c>
      <c r="O1121" s="300" t="s">
        <v>845</v>
      </c>
      <c r="P1121" s="300">
        <v>4.0</v>
      </c>
    </row>
    <row r="1122">
      <c r="A1122">
        <f>IFERROR(__xludf.DUMMYFUNCTION("""COMPUTED_VALUE"""),9.0)</f>
        <v>9</v>
      </c>
      <c r="B1122" s="406">
        <f>IFERROR(__xludf.DUMMYFUNCTION("""COMPUTED_VALUE"""),29120.0)</f>
        <v>29120</v>
      </c>
      <c r="C1122" t="str">
        <f>IFERROR(__xludf.DUMMYFUNCTION("""COMPUTED_VALUE"""),"URIBE JARAMILLO, PEDRO JUAN")</f>
        <v>URIBE JARAMILLO, PEDRO JUAN</v>
      </c>
      <c r="D1122" t="str">
        <f>IFERROR(__xludf.DUMMYFUNCTION("""COMPUTED_VALUE"""),"Algebra I")</f>
        <v>Algebra I</v>
      </c>
      <c r="E1122" s="3">
        <f>IFERROR(__xludf.DUMMYFUNCTION("""COMPUTED_VALUE"""),3.0)</f>
        <v>3</v>
      </c>
      <c r="F1122" s="300">
        <v>1.0</v>
      </c>
      <c r="G1122" s="300">
        <v>1.0</v>
      </c>
      <c r="H1122" s="300">
        <v>1.0</v>
      </c>
      <c r="I1122" s="300">
        <v>1.0</v>
      </c>
      <c r="J1122" s="300">
        <v>1.0</v>
      </c>
      <c r="K1122" s="300">
        <v>1.0</v>
      </c>
      <c r="L1122" s="300">
        <v>1.0</v>
      </c>
      <c r="M1122" s="300">
        <v>1.0</v>
      </c>
      <c r="N1122" s="300">
        <v>8.0</v>
      </c>
      <c r="O1122" s="300" t="s">
        <v>843</v>
      </c>
      <c r="P1122" s="300">
        <v>4.0</v>
      </c>
    </row>
    <row r="1123">
      <c r="A1123">
        <f>IFERROR(__xludf.DUMMYFUNCTION("""COMPUTED_VALUE"""),9.0)</f>
        <v>9</v>
      </c>
      <c r="B1123" s="406">
        <f>IFERROR(__xludf.DUMMYFUNCTION("""COMPUTED_VALUE"""),29040.0)</f>
        <v>29040</v>
      </c>
      <c r="C1123" t="str">
        <f>IFERROR(__xludf.DUMMYFUNCTION("""COMPUTED_VALUE"""),"ESTRADA ZAPATA, MARTIN")</f>
        <v>ESTRADA ZAPATA, MARTIN</v>
      </c>
      <c r="D1123" t="str">
        <f>IFERROR(__xludf.DUMMYFUNCTION("""COMPUTED_VALUE"""),"Geometry")</f>
        <v>Geometry</v>
      </c>
      <c r="E1123" s="3">
        <f>IFERROR(__xludf.DUMMYFUNCTION("""COMPUTED_VALUE"""),7.0)</f>
        <v>7</v>
      </c>
      <c r="F1123" s="300">
        <v>1.0</v>
      </c>
      <c r="G1123" s="300">
        <v>1.0</v>
      </c>
      <c r="H1123" s="300">
        <v>1.0</v>
      </c>
      <c r="I1123" s="300">
        <v>1.0</v>
      </c>
      <c r="J1123" s="300">
        <v>1.0</v>
      </c>
      <c r="K1123" s="300">
        <v>1.0</v>
      </c>
      <c r="L1123" s="300">
        <v>1.0</v>
      </c>
      <c r="M1123" s="300">
        <v>1.0</v>
      </c>
      <c r="N1123" s="300">
        <v>8.0</v>
      </c>
      <c r="O1123" s="300" t="s">
        <v>839</v>
      </c>
      <c r="P1123" s="300">
        <v>7.0</v>
      </c>
    </row>
    <row r="1124">
      <c r="A1124">
        <f>IFERROR(__xludf.DUMMYFUNCTION("""COMPUTED_VALUE"""),9.0)</f>
        <v>9</v>
      </c>
      <c r="B1124" s="406">
        <f>IFERROR(__xludf.DUMMYFUNCTION("""COMPUTED_VALUE"""),29057.0)</f>
        <v>29057</v>
      </c>
      <c r="C1124" t="str">
        <f>IFERROR(__xludf.DUMMYFUNCTION("""COMPUTED_VALUE"""),"JALLER TRUJILLO, KAMEL")</f>
        <v>JALLER TRUJILLO, KAMEL</v>
      </c>
      <c r="D1124" t="str">
        <f>IFERROR(__xludf.DUMMYFUNCTION("""COMPUTED_VALUE"""),"Geometry")</f>
        <v>Geometry</v>
      </c>
      <c r="E1124" s="3">
        <f>IFERROR(__xludf.DUMMYFUNCTION("""COMPUTED_VALUE"""),2.0)</f>
        <v>2</v>
      </c>
      <c r="F1124" s="300">
        <v>1.0</v>
      </c>
      <c r="G1124" s="300">
        <v>1.0</v>
      </c>
      <c r="H1124" s="300">
        <v>1.0</v>
      </c>
      <c r="I1124" s="300">
        <v>1.0</v>
      </c>
      <c r="J1124" s="300">
        <v>1.0</v>
      </c>
      <c r="K1124" s="300">
        <v>1.0</v>
      </c>
      <c r="L1124" s="300">
        <v>1.0</v>
      </c>
      <c r="M1124" s="300">
        <v>1.0</v>
      </c>
      <c r="N1124" s="300">
        <v>8.0</v>
      </c>
      <c r="O1124" s="300" t="s">
        <v>838</v>
      </c>
      <c r="P1124" s="300">
        <v>7.0</v>
      </c>
    </row>
    <row r="1125">
      <c r="A1125">
        <f>IFERROR(__xludf.DUMMYFUNCTION("""COMPUTED_VALUE"""),9.0)</f>
        <v>9</v>
      </c>
      <c r="B1125" s="406">
        <f>IFERROR(__xludf.DUMMYFUNCTION("""COMPUTED_VALUE"""),29092.0)</f>
        <v>29092</v>
      </c>
      <c r="C1125" t="str">
        <f>IFERROR(__xludf.DUMMYFUNCTION("""COMPUTED_VALUE"""),"TURIZZO BORRERO, CAMILO ANDRES")</f>
        <v>TURIZZO BORRERO, CAMILO ANDRES</v>
      </c>
      <c r="D1125" t="str">
        <f>IFERROR(__xludf.DUMMYFUNCTION("""COMPUTED_VALUE"""),"Geometry")</f>
        <v>Geometry</v>
      </c>
      <c r="E1125" s="3">
        <f>IFERROR(__xludf.DUMMYFUNCTION("""COMPUTED_VALUE"""),7.0)</f>
        <v>7</v>
      </c>
      <c r="F1125" s="300">
        <v>1.0</v>
      </c>
      <c r="G1125" s="300">
        <v>1.0</v>
      </c>
      <c r="H1125" s="300">
        <v>1.0</v>
      </c>
      <c r="I1125" s="300">
        <v>1.0</v>
      </c>
      <c r="J1125" s="300">
        <v>1.0</v>
      </c>
      <c r="K1125" s="300">
        <v>1.0</v>
      </c>
      <c r="L1125" s="300">
        <v>1.0</v>
      </c>
      <c r="M1125" s="300">
        <v>1.0</v>
      </c>
      <c r="N1125" s="300">
        <v>8.0</v>
      </c>
      <c r="O1125" s="300" t="s">
        <v>839</v>
      </c>
      <c r="P1125" s="300">
        <v>7.0</v>
      </c>
    </row>
    <row r="1126">
      <c r="A1126">
        <f>IFERROR(__xludf.DUMMYFUNCTION("""COMPUTED_VALUE"""),9.0)</f>
        <v>9</v>
      </c>
      <c r="B1126" s="406">
        <f>IFERROR(__xludf.DUMMYFUNCTION("""COMPUTED_VALUE"""),29129.0)</f>
        <v>29129</v>
      </c>
      <c r="C1126" t="str">
        <f>IFERROR(__xludf.DUMMYFUNCTION("""COMPUTED_VALUE"""),"VELEZ RESTREPO, SIMON")</f>
        <v>VELEZ RESTREPO, SIMON</v>
      </c>
      <c r="D1126" t="str">
        <f>IFERROR(__xludf.DUMMYFUNCTION("""COMPUTED_VALUE"""),"Algebra I")</f>
        <v>Algebra I</v>
      </c>
      <c r="E1126" s="3">
        <f>IFERROR(__xludf.DUMMYFUNCTION("""COMPUTED_VALUE"""),6.0)</f>
        <v>6</v>
      </c>
      <c r="F1126" s="300">
        <v>1.0</v>
      </c>
      <c r="G1126" s="300">
        <v>1.0</v>
      </c>
      <c r="H1126" s="300">
        <v>1.0</v>
      </c>
      <c r="I1126" s="300">
        <v>1.0</v>
      </c>
      <c r="J1126" s="300">
        <v>1.0</v>
      </c>
      <c r="K1126" s="300">
        <v>1.0</v>
      </c>
      <c r="L1126" s="300">
        <v>1.0</v>
      </c>
      <c r="M1126" s="300">
        <v>1.0</v>
      </c>
      <c r="N1126" s="300">
        <v>8.0</v>
      </c>
      <c r="O1126" s="300" t="s">
        <v>844</v>
      </c>
      <c r="P1126" s="300">
        <v>4.0</v>
      </c>
    </row>
    <row r="1127">
      <c r="A1127">
        <f>IFERROR(__xludf.DUMMYFUNCTION("""COMPUTED_VALUE"""),9.0)</f>
        <v>9</v>
      </c>
      <c r="B1127" s="406">
        <f>IFERROR(__xludf.DUMMYFUNCTION("""COMPUTED_VALUE"""),29002.0)</f>
        <v>29002</v>
      </c>
      <c r="C1127" t="str">
        <f>IFERROR(__xludf.DUMMYFUNCTION("""COMPUTED_VALUE"""),"ACEVEDO OCHOA, MARIA DEL MAR")</f>
        <v>ACEVEDO OCHOA, MARIA DEL MAR</v>
      </c>
      <c r="D1127" t="str">
        <f>IFERROR(__xludf.DUMMYFUNCTION("""COMPUTED_VALUE"""),"Geometry")</f>
        <v>Geometry</v>
      </c>
      <c r="E1127" s="3">
        <f>IFERROR(__xludf.DUMMYFUNCTION("""COMPUTED_VALUE"""),8.0)</f>
        <v>8</v>
      </c>
      <c r="F1127" s="300">
        <v>1.0</v>
      </c>
      <c r="G1127" s="300">
        <v>1.0</v>
      </c>
      <c r="H1127" s="300">
        <v>1.0</v>
      </c>
      <c r="I1127" s="300">
        <v>1.0</v>
      </c>
      <c r="J1127" s="300">
        <v>1.0</v>
      </c>
      <c r="K1127" s="300">
        <v>1.0</v>
      </c>
      <c r="L1127" s="300">
        <v>1.0</v>
      </c>
      <c r="M1127" s="300">
        <v>1.0</v>
      </c>
      <c r="N1127" s="300">
        <v>8.0</v>
      </c>
      <c r="O1127" s="300" t="s">
        <v>841</v>
      </c>
      <c r="P1127" s="300">
        <v>7.0</v>
      </c>
    </row>
    <row r="1128">
      <c r="A1128">
        <f>IFERROR(__xludf.DUMMYFUNCTION("""COMPUTED_VALUE"""),9.0)</f>
        <v>9</v>
      </c>
      <c r="B1128" s="406">
        <f>IFERROR(__xludf.DUMMYFUNCTION("""COMPUTED_VALUE"""),29099.0)</f>
        <v>29099</v>
      </c>
      <c r="C1128" t="str">
        <f>IFERROR(__xludf.DUMMYFUNCTION("""COMPUTED_VALUE"""),"RESTREPO RESTREPO, MATIAS")</f>
        <v>RESTREPO RESTREPO, MATIAS</v>
      </c>
      <c r="D1128" t="str">
        <f>IFERROR(__xludf.DUMMYFUNCTION("""COMPUTED_VALUE"""),"Algebra I")</f>
        <v>Algebra I</v>
      </c>
      <c r="E1128" s="3">
        <f>IFERROR(__xludf.DUMMYFUNCTION("""COMPUTED_VALUE"""),7.0)</f>
        <v>7</v>
      </c>
      <c r="F1128" s="300">
        <v>1.0</v>
      </c>
      <c r="G1128" s="300">
        <v>1.0</v>
      </c>
      <c r="H1128" s="300">
        <v>1.0</v>
      </c>
      <c r="I1128" s="300">
        <v>1.0</v>
      </c>
      <c r="J1128" s="300">
        <v>1.0</v>
      </c>
      <c r="K1128" s="300">
        <v>1.0</v>
      </c>
      <c r="L1128" s="300">
        <v>1.0</v>
      </c>
      <c r="M1128" s="300">
        <v>1.0</v>
      </c>
      <c r="N1128" s="300">
        <v>8.0</v>
      </c>
      <c r="O1128" s="300" t="s">
        <v>842</v>
      </c>
      <c r="P1128" s="300">
        <v>4.0</v>
      </c>
    </row>
    <row r="1129">
      <c r="A1129">
        <f>IFERROR(__xludf.DUMMYFUNCTION("""COMPUTED_VALUE"""),9.0)</f>
        <v>9</v>
      </c>
      <c r="B1129" s="406">
        <f>IFERROR(__xludf.DUMMYFUNCTION("""COMPUTED_VALUE"""),29087.0)</f>
        <v>29087</v>
      </c>
      <c r="C1129" t="str">
        <f>IFERROR(__xludf.DUMMYFUNCTION("""COMPUTED_VALUE"""),"PALACIO BOTERO, MATIAS")</f>
        <v>PALACIO BOTERO, MATIAS</v>
      </c>
      <c r="D1129" t="str">
        <f>IFERROR(__xludf.DUMMYFUNCTION("""COMPUTED_VALUE"""),"Algebra I")</f>
        <v>Algebra I</v>
      </c>
      <c r="E1129" s="3">
        <f>IFERROR(__xludf.DUMMYFUNCTION("""COMPUTED_VALUE"""),7.0)</f>
        <v>7</v>
      </c>
      <c r="F1129" s="300">
        <v>1.0</v>
      </c>
      <c r="G1129" s="300">
        <v>1.0</v>
      </c>
      <c r="H1129" s="300">
        <v>1.0</v>
      </c>
      <c r="I1129" s="300">
        <v>1.0</v>
      </c>
      <c r="J1129" s="300">
        <v>1.0</v>
      </c>
      <c r="K1129" s="300">
        <v>1.0</v>
      </c>
      <c r="L1129" s="300">
        <v>1.0</v>
      </c>
      <c r="M1129" s="300">
        <v>1.0</v>
      </c>
      <c r="N1129" s="300">
        <v>8.0</v>
      </c>
      <c r="O1129" s="300" t="s">
        <v>842</v>
      </c>
      <c r="P1129" s="300">
        <v>4.0</v>
      </c>
    </row>
    <row r="1130">
      <c r="A1130">
        <f>IFERROR(__xludf.DUMMYFUNCTION("""COMPUTED_VALUE"""),9.0)</f>
        <v>9</v>
      </c>
      <c r="B1130" s="406">
        <f>IFERROR(__xludf.DUMMYFUNCTION("""COMPUTED_VALUE"""),28087.0)</f>
        <v>28087</v>
      </c>
      <c r="C1130" t="str">
        <f>IFERROR(__xludf.DUMMYFUNCTION("""COMPUTED_VALUE"""),"QUINTERO HENAO, MATEO")</f>
        <v>QUINTERO HENAO, MATEO</v>
      </c>
      <c r="D1130" t="str">
        <f>IFERROR(__xludf.DUMMYFUNCTION("""COMPUTED_VALUE"""),"Algebra I")</f>
        <v>Algebra I</v>
      </c>
      <c r="E1130" s="3">
        <f>IFERROR(__xludf.DUMMYFUNCTION("""COMPUTED_VALUE"""),7.0)</f>
        <v>7</v>
      </c>
      <c r="F1130" s="300">
        <v>1.0</v>
      </c>
      <c r="G1130" s="300">
        <v>1.0</v>
      </c>
      <c r="H1130" s="300">
        <v>1.0</v>
      </c>
      <c r="I1130" s="300">
        <v>1.0</v>
      </c>
      <c r="J1130" s="300">
        <v>1.0</v>
      </c>
      <c r="K1130" s="300">
        <v>1.0</v>
      </c>
      <c r="L1130" s="300">
        <v>1.0</v>
      </c>
      <c r="M1130" s="300">
        <v>1.0</v>
      </c>
      <c r="N1130" s="300">
        <v>8.0</v>
      </c>
      <c r="O1130" s="300" t="s">
        <v>842</v>
      </c>
      <c r="P1130" s="300">
        <v>4.0</v>
      </c>
    </row>
    <row r="1131">
      <c r="A1131">
        <f>IFERROR(__xludf.DUMMYFUNCTION("""COMPUTED_VALUE"""),9.0)</f>
        <v>9</v>
      </c>
      <c r="B1131" s="406">
        <f>IFERROR(__xludf.DUMMYFUNCTION("""COMPUTED_VALUE"""),29133.0)</f>
        <v>29133</v>
      </c>
      <c r="C1131" t="str">
        <f>IFERROR(__xludf.DUMMYFUNCTION("""COMPUTED_VALUE"""),"ZAPATA URIBE, RAFAEL")</f>
        <v>ZAPATA URIBE, RAFAEL</v>
      </c>
      <c r="D1131" t="str">
        <f>IFERROR(__xludf.DUMMYFUNCTION("""COMPUTED_VALUE"""),"Algebra I")</f>
        <v>Algebra I</v>
      </c>
      <c r="E1131" s="3">
        <f>IFERROR(__xludf.DUMMYFUNCTION("""COMPUTED_VALUE"""),6.0)</f>
        <v>6</v>
      </c>
      <c r="F1131" s="300">
        <v>1.0</v>
      </c>
      <c r="G1131" s="300">
        <v>1.0</v>
      </c>
      <c r="H1131" s="300">
        <v>1.0</v>
      </c>
      <c r="I1131" s="300">
        <v>1.0</v>
      </c>
      <c r="J1131" s="300">
        <v>1.0</v>
      </c>
      <c r="K1131" s="300">
        <v>1.0</v>
      </c>
      <c r="L1131" s="300">
        <v>1.0</v>
      </c>
      <c r="M1131" s="300">
        <v>1.0</v>
      </c>
      <c r="N1131" s="300">
        <v>8.0</v>
      </c>
      <c r="O1131" s="300" t="s">
        <v>844</v>
      </c>
      <c r="P1131" s="300">
        <v>4.0</v>
      </c>
    </row>
    <row r="1132">
      <c r="A1132">
        <f>IFERROR(__xludf.DUMMYFUNCTION("""COMPUTED_VALUE"""),9.0)</f>
        <v>9</v>
      </c>
      <c r="B1132" s="406">
        <f>IFERROR(__xludf.DUMMYFUNCTION("""COMPUTED_VALUE"""),29059.0)</f>
        <v>29059</v>
      </c>
      <c r="C1132" t="str">
        <f>IFERROR(__xludf.DUMMYFUNCTION("""COMPUTED_VALUE"""),"JARAMILLO GONZALEZ, PASCUAL")</f>
        <v>JARAMILLO GONZALEZ, PASCUAL</v>
      </c>
      <c r="D1132" t="str">
        <f>IFERROR(__xludf.DUMMYFUNCTION("""COMPUTED_VALUE"""),"Algebra I")</f>
        <v>Algebra I</v>
      </c>
      <c r="E1132" s="3">
        <f>IFERROR(__xludf.DUMMYFUNCTION("""COMPUTED_VALUE"""),6.0)</f>
        <v>6</v>
      </c>
      <c r="F1132" s="300">
        <v>1.0</v>
      </c>
      <c r="G1132" s="300">
        <v>1.0</v>
      </c>
      <c r="H1132" s="300">
        <v>1.0</v>
      </c>
      <c r="I1132" s="300">
        <v>1.0</v>
      </c>
      <c r="J1132" s="300">
        <v>1.0</v>
      </c>
      <c r="K1132" s="300">
        <v>1.0</v>
      </c>
      <c r="L1132" s="300">
        <v>1.0</v>
      </c>
      <c r="M1132" s="300">
        <v>1.0</v>
      </c>
      <c r="N1132" s="300">
        <v>8.0</v>
      </c>
      <c r="O1132" s="300" t="s">
        <v>844</v>
      </c>
      <c r="P1132" s="300">
        <v>4.0</v>
      </c>
    </row>
    <row r="1133">
      <c r="A1133">
        <f>IFERROR(__xludf.DUMMYFUNCTION("""COMPUTED_VALUE"""),9.0)</f>
        <v>9</v>
      </c>
      <c r="B1133" s="406">
        <f>IFERROR(__xludf.DUMMYFUNCTION("""COMPUTED_VALUE"""),29050.0)</f>
        <v>29050</v>
      </c>
      <c r="C1133" t="str">
        <f>IFERROR(__xludf.DUMMYFUNCTION("""COMPUTED_VALUE"""),"HINESTROSA SIERRA, PEDRO")</f>
        <v>HINESTROSA SIERRA, PEDRO</v>
      </c>
      <c r="D1133" t="str">
        <f>IFERROR(__xludf.DUMMYFUNCTION("""COMPUTED_VALUE"""),"Algebra I")</f>
        <v>Algebra I</v>
      </c>
      <c r="E1133" s="3">
        <f>IFERROR(__xludf.DUMMYFUNCTION("""COMPUTED_VALUE"""),3.0)</f>
        <v>3</v>
      </c>
      <c r="F1133" s="300">
        <v>1.0</v>
      </c>
      <c r="G1133" s="300">
        <v>1.0</v>
      </c>
      <c r="H1133" s="300">
        <v>1.0</v>
      </c>
      <c r="I1133" s="300">
        <v>1.0</v>
      </c>
      <c r="J1133" s="300">
        <v>1.0</v>
      </c>
      <c r="K1133" s="300">
        <v>1.0</v>
      </c>
      <c r="L1133" s="300">
        <v>1.0</v>
      </c>
      <c r="M1133" s="300">
        <v>1.0</v>
      </c>
      <c r="N1133" s="300">
        <v>8.0</v>
      </c>
      <c r="O1133" s="300" t="s">
        <v>843</v>
      </c>
      <c r="P1133" s="300">
        <v>4.0</v>
      </c>
    </row>
    <row r="1134">
      <c r="A1134">
        <f>IFERROR(__xludf.DUMMYFUNCTION("""COMPUTED_VALUE"""),9.0)</f>
        <v>9</v>
      </c>
      <c r="B1134" s="406">
        <f>IFERROR(__xludf.DUMMYFUNCTION("""COMPUTED_VALUE"""),29068.0)</f>
        <v>29068</v>
      </c>
      <c r="C1134" t="str">
        <f>IFERROR(__xludf.DUMMYFUNCTION("""COMPUTED_VALUE"""),"LOPEZ JAIMES, VICENTE")</f>
        <v>LOPEZ JAIMES, VICENTE</v>
      </c>
      <c r="D1134" t="str">
        <f>IFERROR(__xludf.DUMMYFUNCTION("""COMPUTED_VALUE"""),"Algebra I")</f>
        <v>Algebra I</v>
      </c>
      <c r="E1134" s="3">
        <f>IFERROR(__xludf.DUMMYFUNCTION("""COMPUTED_VALUE"""),6.0)</f>
        <v>6</v>
      </c>
      <c r="F1134" s="300">
        <v>1.0</v>
      </c>
      <c r="G1134" s="300">
        <v>1.0</v>
      </c>
      <c r="H1134" s="300">
        <v>1.0</v>
      </c>
      <c r="I1134" s="300">
        <v>1.0</v>
      </c>
      <c r="J1134" s="300">
        <v>1.0</v>
      </c>
      <c r="K1134" s="300">
        <v>1.0</v>
      </c>
      <c r="L1134" s="300">
        <v>1.0</v>
      </c>
      <c r="M1134" s="300">
        <v>1.0</v>
      </c>
      <c r="N1134" s="300">
        <v>8.0</v>
      </c>
      <c r="O1134" s="300" t="s">
        <v>844</v>
      </c>
      <c r="P1134" s="300">
        <v>4.0</v>
      </c>
    </row>
    <row r="1135">
      <c r="A1135">
        <f>IFERROR(__xludf.DUMMYFUNCTION("""COMPUTED_VALUE"""),9.0)</f>
        <v>9</v>
      </c>
      <c r="B1135" s="406">
        <f>IFERROR(__xludf.DUMMYFUNCTION("""COMPUTED_VALUE"""),29136.0)</f>
        <v>29136</v>
      </c>
      <c r="C1135" t="str">
        <f>IFERROR(__xludf.DUMMYFUNCTION("""COMPUTED_VALUE"""),"CHOPRA, HARSHUL")</f>
        <v>CHOPRA, HARSHUL</v>
      </c>
      <c r="D1135" t="str">
        <f>IFERROR(__xludf.DUMMYFUNCTION("""COMPUTED_VALUE"""),"Geometry")</f>
        <v>Geometry</v>
      </c>
      <c r="E1135" s="3">
        <f>IFERROR(__xludf.DUMMYFUNCTION("""COMPUTED_VALUE"""),2.0)</f>
        <v>2</v>
      </c>
      <c r="F1135" s="300">
        <v>1.0</v>
      </c>
      <c r="G1135" s="300">
        <v>1.0</v>
      </c>
      <c r="H1135" s="300">
        <v>1.0</v>
      </c>
      <c r="I1135" s="300">
        <v>1.0</v>
      </c>
      <c r="J1135" s="300">
        <v>1.0</v>
      </c>
      <c r="K1135" s="300">
        <v>1.0</v>
      </c>
      <c r="L1135" s="300">
        <v>1.0</v>
      </c>
      <c r="M1135" s="300">
        <v>1.0</v>
      </c>
      <c r="N1135" s="300">
        <v>8.0</v>
      </c>
      <c r="O1135" s="300" t="s">
        <v>838</v>
      </c>
      <c r="P1135" s="300">
        <v>7.0</v>
      </c>
    </row>
    <row r="1136">
      <c r="A1136">
        <f>IFERROR(__xludf.DUMMYFUNCTION("""COMPUTED_VALUE"""),9.0)</f>
        <v>9</v>
      </c>
      <c r="B1136" s="406">
        <f>IFERROR(__xludf.DUMMYFUNCTION("""COMPUTED_VALUE"""),28160.0)</f>
        <v>28160</v>
      </c>
      <c r="C1136" t="str">
        <f>IFERROR(__xludf.DUMMYFUNCTION("""COMPUTED_VALUE"""),"ROJAS REYES, JERONIMO")</f>
        <v>ROJAS REYES, JERONIMO</v>
      </c>
      <c r="D1136" t="str">
        <f>IFERROR(__xludf.DUMMYFUNCTION("""COMPUTED_VALUE"""),"Algebra I")</f>
        <v>Algebra I</v>
      </c>
      <c r="E1136" s="3">
        <f>IFERROR(__xludf.DUMMYFUNCTION("""COMPUTED_VALUE"""),6.0)</f>
        <v>6</v>
      </c>
      <c r="F1136" s="300">
        <v>1.0</v>
      </c>
      <c r="G1136" s="300">
        <v>1.0</v>
      </c>
      <c r="H1136" s="300">
        <v>1.0</v>
      </c>
      <c r="I1136" s="300">
        <v>1.0</v>
      </c>
      <c r="J1136" s="300">
        <v>1.0</v>
      </c>
      <c r="K1136" s="300">
        <v>1.0</v>
      </c>
      <c r="L1136" s="300">
        <v>1.0</v>
      </c>
      <c r="M1136" s="300">
        <v>1.0</v>
      </c>
      <c r="N1136" s="300">
        <v>8.0</v>
      </c>
      <c r="O1136" s="300" t="s">
        <v>844</v>
      </c>
      <c r="P1136" s="300">
        <v>4.0</v>
      </c>
    </row>
    <row r="1137">
      <c r="A1137">
        <f>IFERROR(__xludf.DUMMYFUNCTION("""COMPUTED_VALUE"""),9.0)</f>
        <v>9</v>
      </c>
      <c r="B1137" s="406">
        <f>IFERROR(__xludf.DUMMYFUNCTION("""COMPUTED_VALUE"""),28046.0)</f>
        <v>28046</v>
      </c>
      <c r="C1137" t="str">
        <f>IFERROR(__xludf.DUMMYFUNCTION("""COMPUTED_VALUE"""),"HOYOS SARAVIA, TOMAS")</f>
        <v>HOYOS SARAVIA, TOMAS</v>
      </c>
      <c r="D1137" t="str">
        <f>IFERROR(__xludf.DUMMYFUNCTION("""COMPUTED_VALUE"""),"Algebra I")</f>
        <v>Algebra I</v>
      </c>
      <c r="E1137" s="3">
        <f>IFERROR(__xludf.DUMMYFUNCTION("""COMPUTED_VALUE"""),7.0)</f>
        <v>7</v>
      </c>
      <c r="F1137" s="300">
        <v>1.0</v>
      </c>
      <c r="G1137" s="300">
        <v>1.0</v>
      </c>
      <c r="H1137" s="300">
        <v>1.0</v>
      </c>
      <c r="I1137" s="300">
        <v>1.0</v>
      </c>
      <c r="J1137" s="300">
        <v>1.0</v>
      </c>
      <c r="K1137" s="300">
        <v>1.0</v>
      </c>
      <c r="L1137" s="300">
        <v>1.0</v>
      </c>
      <c r="M1137" s="300">
        <v>1.0</v>
      </c>
      <c r="N1137" s="300">
        <v>8.0</v>
      </c>
      <c r="O1137" s="300" t="s">
        <v>842</v>
      </c>
      <c r="P1137" s="300">
        <v>4.0</v>
      </c>
    </row>
    <row r="1138">
      <c r="A1138">
        <f>IFERROR(__xludf.DUMMYFUNCTION("""COMPUTED_VALUE"""),9.0)</f>
        <v>9</v>
      </c>
      <c r="B1138" s="406">
        <f>IFERROR(__xludf.DUMMYFUNCTION("""COMPUTED_VALUE"""),29039.0)</f>
        <v>29039</v>
      </c>
      <c r="C1138" t="str">
        <f>IFERROR(__xludf.DUMMYFUNCTION("""COMPUTED_VALUE"""),"ESPINOSA ABAD, GREGORIO")</f>
        <v>ESPINOSA ABAD, GREGORIO</v>
      </c>
      <c r="D1138" t="str">
        <f>IFERROR(__xludf.DUMMYFUNCTION("""COMPUTED_VALUE"""),"Algebra I")</f>
        <v>Algebra I</v>
      </c>
      <c r="E1138" s="3">
        <f>IFERROR(__xludf.DUMMYFUNCTION("""COMPUTED_VALUE"""),6.0)</f>
        <v>6</v>
      </c>
      <c r="F1138" s="300">
        <v>1.0</v>
      </c>
      <c r="G1138" s="300">
        <v>1.0</v>
      </c>
      <c r="H1138" s="300">
        <v>1.0</v>
      </c>
      <c r="I1138" s="300">
        <v>1.0</v>
      </c>
      <c r="J1138" s="300">
        <v>1.0</v>
      </c>
      <c r="K1138" s="300">
        <v>1.0</v>
      </c>
      <c r="L1138" s="300">
        <v>1.0</v>
      </c>
      <c r="M1138" s="300">
        <v>1.0</v>
      </c>
      <c r="N1138" s="300">
        <v>8.0</v>
      </c>
      <c r="O1138" s="300" t="s">
        <v>844</v>
      </c>
      <c r="P1138" s="300">
        <v>4.0</v>
      </c>
    </row>
    <row r="1139">
      <c r="A1139">
        <f>IFERROR(__xludf.DUMMYFUNCTION("""COMPUTED_VALUE"""),9.0)</f>
        <v>9</v>
      </c>
      <c r="B1139" s="406">
        <f>IFERROR(__xludf.DUMMYFUNCTION("""COMPUTED_VALUE"""),29116.0)</f>
        <v>29116</v>
      </c>
      <c r="C1139" t="str">
        <f>IFERROR(__xludf.DUMMYFUNCTION("""COMPUTED_VALUE"""),"TOBAR MEJIA, CAMILO")</f>
        <v>TOBAR MEJIA, CAMILO</v>
      </c>
      <c r="D1139" t="str">
        <f>IFERROR(__xludf.DUMMYFUNCTION("""COMPUTED_VALUE"""),"Algebra I")</f>
        <v>Algebra I</v>
      </c>
      <c r="E1139" s="3">
        <f>IFERROR(__xludf.DUMMYFUNCTION("""COMPUTED_VALUE"""),3.0)</f>
        <v>3</v>
      </c>
      <c r="F1139" s="300">
        <v>1.0</v>
      </c>
      <c r="G1139" s="300">
        <v>1.0</v>
      </c>
      <c r="H1139" s="300">
        <v>1.0</v>
      </c>
      <c r="I1139" s="300">
        <v>1.0</v>
      </c>
      <c r="J1139" s="300">
        <v>1.0</v>
      </c>
      <c r="K1139" s="300">
        <v>1.0</v>
      </c>
      <c r="L1139" s="300">
        <v>1.0</v>
      </c>
      <c r="M1139" s="300">
        <v>1.0</v>
      </c>
      <c r="N1139" s="300">
        <v>8.0</v>
      </c>
      <c r="O1139" s="300" t="s">
        <v>843</v>
      </c>
      <c r="P1139" s="300">
        <v>4.0</v>
      </c>
    </row>
    <row r="1140">
      <c r="A1140">
        <f>IFERROR(__xludf.DUMMYFUNCTION("""COMPUTED_VALUE"""),9.0)</f>
        <v>9</v>
      </c>
      <c r="B1140" s="406">
        <f>IFERROR(__xludf.DUMMYFUNCTION("""COMPUTED_VALUE"""),29137.0)</f>
        <v>29137</v>
      </c>
      <c r="C1140" t="str">
        <f>IFERROR(__xludf.DUMMYFUNCTION("""COMPUTED_VALUE"""),"OLARTE JARAMILLO, EMILIO")</f>
        <v>OLARTE JARAMILLO, EMILIO</v>
      </c>
      <c r="D1140" t="str">
        <f>IFERROR(__xludf.DUMMYFUNCTION("""COMPUTED_VALUE"""),"Algebra I")</f>
        <v>Algebra I</v>
      </c>
      <c r="E1140" s="3">
        <f>IFERROR(__xludf.DUMMYFUNCTION("""COMPUTED_VALUE"""),4.0)</f>
        <v>4</v>
      </c>
      <c r="F1140" s="300">
        <v>1.0</v>
      </c>
      <c r="G1140" s="300">
        <v>1.0</v>
      </c>
      <c r="H1140" s="300">
        <v>1.0</v>
      </c>
      <c r="I1140" s="300">
        <v>1.0</v>
      </c>
      <c r="J1140" s="300">
        <v>1.0</v>
      </c>
      <c r="K1140" s="300">
        <v>1.0</v>
      </c>
      <c r="L1140" s="300">
        <v>1.0</v>
      </c>
      <c r="M1140" s="300">
        <v>1.0</v>
      </c>
      <c r="N1140" s="300">
        <v>8.0</v>
      </c>
      <c r="O1140" s="300" t="s">
        <v>845</v>
      </c>
      <c r="P1140" s="300">
        <v>4.0</v>
      </c>
    </row>
    <row r="1141">
      <c r="A1141">
        <f>IFERROR(__xludf.DUMMYFUNCTION("""COMPUTED_VALUE"""),9.0)</f>
        <v>9</v>
      </c>
      <c r="B1141" s="406">
        <f>IFERROR(__xludf.DUMMYFUNCTION("""COMPUTED_VALUE"""),29172.0)</f>
        <v>29172</v>
      </c>
      <c r="C1141" t="str">
        <f>IFERROR(__xludf.DUMMYFUNCTION("""COMPUTED_VALUE"""),"CESPEDES GARCIA, PABLO")</f>
        <v>CESPEDES GARCIA, PABLO</v>
      </c>
      <c r="D1141" t="str">
        <f>IFERROR(__xludf.DUMMYFUNCTION("""COMPUTED_VALUE"""),"Algebra I")</f>
        <v>Algebra I</v>
      </c>
      <c r="E1141" s="3">
        <f>IFERROR(__xludf.DUMMYFUNCTION("""COMPUTED_VALUE"""),6.0)</f>
        <v>6</v>
      </c>
      <c r="F1141" s="300">
        <v>1.0</v>
      </c>
      <c r="G1141" s="300">
        <v>1.0</v>
      </c>
      <c r="H1141" s="300">
        <v>1.0</v>
      </c>
      <c r="I1141" s="300">
        <v>1.0</v>
      </c>
      <c r="J1141" s="300">
        <v>1.0</v>
      </c>
      <c r="K1141" s="300">
        <v>1.0</v>
      </c>
      <c r="L1141" s="300">
        <v>1.0</v>
      </c>
      <c r="M1141" s="300">
        <v>1.0</v>
      </c>
      <c r="N1141" s="300">
        <v>8.0</v>
      </c>
      <c r="O1141" s="300" t="s">
        <v>844</v>
      </c>
      <c r="P1141" s="300">
        <v>4.0</v>
      </c>
    </row>
    <row r="1142">
      <c r="A1142">
        <f>IFERROR(__xludf.DUMMYFUNCTION("""COMPUTED_VALUE"""),9.0)</f>
        <v>9</v>
      </c>
      <c r="B1142" s="406">
        <f>IFERROR(__xludf.DUMMYFUNCTION("""COMPUTED_VALUE"""),29020.0)</f>
        <v>29020</v>
      </c>
      <c r="C1142" t="str">
        <f>IFERROR(__xludf.DUMMYFUNCTION("""COMPUTED_VALUE"""),"BETANCOURT QUINTERO, LUCAS")</f>
        <v>BETANCOURT QUINTERO, LUCAS</v>
      </c>
      <c r="D1142" t="str">
        <f>IFERROR(__xludf.DUMMYFUNCTION("""COMPUTED_VALUE"""),"Algebra I")</f>
        <v>Algebra I</v>
      </c>
      <c r="E1142" s="3">
        <f>IFERROR(__xludf.DUMMYFUNCTION("""COMPUTED_VALUE"""),3.0)</f>
        <v>3</v>
      </c>
      <c r="F1142" s="300">
        <v>1.0</v>
      </c>
      <c r="G1142" s="300">
        <v>1.0</v>
      </c>
      <c r="H1142" s="300">
        <v>1.0</v>
      </c>
      <c r="I1142" s="300">
        <v>1.0</v>
      </c>
      <c r="J1142" s="300">
        <v>1.0</v>
      </c>
      <c r="K1142" s="300">
        <v>1.0</v>
      </c>
      <c r="L1142" s="300">
        <v>1.0</v>
      </c>
      <c r="M1142" s="300">
        <v>1.0</v>
      </c>
      <c r="N1142" s="300">
        <v>8.0</v>
      </c>
      <c r="O1142" s="300" t="s">
        <v>843</v>
      </c>
      <c r="P1142" s="300">
        <v>4.0</v>
      </c>
    </row>
    <row r="1143">
      <c r="A1143">
        <f>IFERROR(__xludf.DUMMYFUNCTION("""COMPUTED_VALUE"""),9.0)</f>
        <v>9</v>
      </c>
      <c r="B1143" s="406">
        <f>IFERROR(__xludf.DUMMYFUNCTION("""COMPUTED_VALUE"""),29069.0)</f>
        <v>29069</v>
      </c>
      <c r="C1143" t="str">
        <f>IFERROR(__xludf.DUMMYFUNCTION("""COMPUTED_VALUE"""),"LUNA ALZATE, AMALIA")</f>
        <v>LUNA ALZATE, AMALIA</v>
      </c>
      <c r="D1143" t="str">
        <f>IFERROR(__xludf.DUMMYFUNCTION("""COMPUTED_VALUE"""),"Geometry")</f>
        <v>Geometry</v>
      </c>
      <c r="E1143" s="3">
        <f>IFERROR(__xludf.DUMMYFUNCTION("""COMPUTED_VALUE"""),1.0)</f>
        <v>1</v>
      </c>
      <c r="F1143" s="300">
        <v>1.0</v>
      </c>
      <c r="G1143" s="300">
        <v>1.0</v>
      </c>
      <c r="H1143" s="300">
        <v>1.0</v>
      </c>
      <c r="I1143" s="300">
        <v>1.0</v>
      </c>
      <c r="J1143" s="300">
        <v>1.0</v>
      </c>
      <c r="K1143" s="300">
        <v>1.0</v>
      </c>
      <c r="L1143" s="300">
        <v>1.0</v>
      </c>
      <c r="M1143" s="300">
        <v>1.0</v>
      </c>
      <c r="N1143" s="300">
        <v>8.0</v>
      </c>
      <c r="O1143" s="300" t="s">
        <v>837</v>
      </c>
      <c r="P1143" s="300">
        <v>7.0</v>
      </c>
    </row>
    <row r="1144">
      <c r="A1144">
        <f>IFERROR(__xludf.DUMMYFUNCTION("""COMPUTED_VALUE"""),9.0)</f>
        <v>9</v>
      </c>
      <c r="B1144" s="406">
        <f>IFERROR(__xludf.DUMMYFUNCTION("""COMPUTED_VALUE"""),29160.0)</f>
        <v>29160</v>
      </c>
      <c r="C1144" t="str">
        <f>IFERROR(__xludf.DUMMYFUNCTION("""COMPUTED_VALUE"""),"BARRIOS CASTILLO, NICOLAS GUILLERMO")</f>
        <v>BARRIOS CASTILLO, NICOLAS GUILLERMO</v>
      </c>
      <c r="D1144" t="str">
        <f>IFERROR(__xludf.DUMMYFUNCTION("""COMPUTED_VALUE"""),"Algebra I")</f>
        <v>Algebra I</v>
      </c>
      <c r="E1144" s="3">
        <f>IFERROR(__xludf.DUMMYFUNCTION("""COMPUTED_VALUE"""),7.0)</f>
        <v>7</v>
      </c>
      <c r="F1144" s="300">
        <v>1.0</v>
      </c>
      <c r="G1144" s="300">
        <v>1.0</v>
      </c>
      <c r="H1144" s="300">
        <v>1.0</v>
      </c>
      <c r="I1144" s="300">
        <v>1.0</v>
      </c>
      <c r="J1144" s="300">
        <v>1.0</v>
      </c>
      <c r="K1144" s="300">
        <v>1.0</v>
      </c>
      <c r="L1144" s="300">
        <v>1.0</v>
      </c>
      <c r="M1144" s="300">
        <v>1.0</v>
      </c>
      <c r="N1144" s="300">
        <v>8.0</v>
      </c>
      <c r="O1144" s="300" t="s">
        <v>842</v>
      </c>
      <c r="P1144" s="300">
        <v>4.0</v>
      </c>
    </row>
    <row r="1145">
      <c r="A1145">
        <f>IFERROR(__xludf.DUMMYFUNCTION("""COMPUTED_VALUE"""),9.0)</f>
        <v>9</v>
      </c>
      <c r="B1145" s="406">
        <f>IFERROR(__xludf.DUMMYFUNCTION("""COMPUTED_VALUE"""),29155.0)</f>
        <v>29155</v>
      </c>
      <c r="C1145" t="str">
        <f>IFERROR(__xludf.DUMMYFUNCTION("""COMPUTED_VALUE"""),"FERNANDEZ CALDERON, HANNA")</f>
        <v>FERNANDEZ CALDERON, HANNA</v>
      </c>
      <c r="D1145" t="str">
        <f>IFERROR(__xludf.DUMMYFUNCTION("""COMPUTED_VALUE"""),"Algebra I")</f>
        <v>Algebra I</v>
      </c>
      <c r="E1145" s="3">
        <f>IFERROR(__xludf.DUMMYFUNCTION("""COMPUTED_VALUE"""),7.0)</f>
        <v>7</v>
      </c>
      <c r="F1145" s="300">
        <v>1.0</v>
      </c>
      <c r="G1145" s="300">
        <v>1.0</v>
      </c>
      <c r="H1145" s="300">
        <v>1.0</v>
      </c>
      <c r="I1145" s="300">
        <v>1.0</v>
      </c>
      <c r="J1145" s="300">
        <v>1.0</v>
      </c>
      <c r="K1145" s="300">
        <v>1.0</v>
      </c>
      <c r="L1145" s="300">
        <v>1.0</v>
      </c>
      <c r="M1145" s="300">
        <v>1.0</v>
      </c>
      <c r="N1145" s="300">
        <v>8.0</v>
      </c>
      <c r="O1145" s="300" t="s">
        <v>842</v>
      </c>
      <c r="P1145" s="300">
        <v>4.0</v>
      </c>
    </row>
    <row r="1146">
      <c r="A1146">
        <f>IFERROR(__xludf.DUMMYFUNCTION("""COMPUTED_VALUE"""),9.0)</f>
        <v>9</v>
      </c>
      <c r="B1146" s="406">
        <f>IFERROR(__xludf.DUMMYFUNCTION("""COMPUTED_VALUE"""),29153.0)</f>
        <v>29153</v>
      </c>
      <c r="C1146" t="str">
        <f>IFERROR(__xludf.DUMMYFUNCTION("""COMPUTED_VALUE"""),"MISERENDINO MUÑOZ, GABRIEL")</f>
        <v>MISERENDINO MUÑOZ, GABRIEL</v>
      </c>
      <c r="D1146" t="str">
        <f>IFERROR(__xludf.DUMMYFUNCTION("""COMPUTED_VALUE"""),"Geometry")</f>
        <v>Geometry</v>
      </c>
      <c r="E1146" s="3">
        <f>IFERROR(__xludf.DUMMYFUNCTION("""COMPUTED_VALUE"""),7.0)</f>
        <v>7</v>
      </c>
      <c r="F1146" s="300">
        <v>1.0</v>
      </c>
      <c r="G1146" s="300">
        <v>1.0</v>
      </c>
      <c r="H1146" s="300">
        <v>1.0</v>
      </c>
      <c r="I1146" s="300">
        <v>1.0</v>
      </c>
      <c r="J1146" s="300">
        <v>1.0</v>
      </c>
      <c r="K1146" s="300">
        <v>1.0</v>
      </c>
      <c r="L1146" s="300">
        <v>1.0</v>
      </c>
      <c r="M1146" s="300">
        <v>1.0</v>
      </c>
      <c r="N1146" s="300">
        <v>8.0</v>
      </c>
      <c r="O1146" s="300" t="s">
        <v>839</v>
      </c>
      <c r="P1146" s="300">
        <v>7.0</v>
      </c>
    </row>
    <row r="1147">
      <c r="A1147">
        <f>IFERROR(__xludf.DUMMYFUNCTION("""COMPUTED_VALUE"""),9.0)</f>
        <v>9</v>
      </c>
      <c r="B1147" s="406">
        <f>IFERROR(__xludf.DUMMYFUNCTION("""COMPUTED_VALUE"""),29030.0)</f>
        <v>29030</v>
      </c>
      <c r="C1147" t="str">
        <f>IFERROR(__xludf.DUMMYFUNCTION("""COMPUTED_VALUE"""),"COCK ECHEVERRI, JULIETA")</f>
        <v>COCK ECHEVERRI, JULIETA</v>
      </c>
      <c r="D1147" t="str">
        <f>IFERROR(__xludf.DUMMYFUNCTION("""COMPUTED_VALUE"""),"Geometry")</f>
        <v>Geometry</v>
      </c>
      <c r="E1147" s="3">
        <f>IFERROR(__xludf.DUMMYFUNCTION("""COMPUTED_VALUE"""),1.0)</f>
        <v>1</v>
      </c>
      <c r="F1147" s="300">
        <v>1.0</v>
      </c>
      <c r="G1147" s="300">
        <v>1.0</v>
      </c>
      <c r="H1147" s="300">
        <v>1.0</v>
      </c>
      <c r="I1147" s="300">
        <v>1.0</v>
      </c>
      <c r="J1147" s="300">
        <v>1.0</v>
      </c>
      <c r="K1147" s="300">
        <v>1.0</v>
      </c>
      <c r="L1147" s="300">
        <v>1.0</v>
      </c>
      <c r="M1147" s="300">
        <v>1.0</v>
      </c>
      <c r="N1147" s="300">
        <v>8.0</v>
      </c>
      <c r="O1147" s="300" t="s">
        <v>837</v>
      </c>
      <c r="P1147" s="300">
        <v>7.0</v>
      </c>
    </row>
    <row r="1148">
      <c r="A1148">
        <f>IFERROR(__xludf.DUMMYFUNCTION("""COMPUTED_VALUE"""),9.0)</f>
        <v>9</v>
      </c>
      <c r="B1148" s="406">
        <f>IFERROR(__xludf.DUMMYFUNCTION("""COMPUTED_VALUE"""),29108.0)</f>
        <v>29108</v>
      </c>
      <c r="C1148" t="str">
        <f>IFERROR(__xludf.DUMMYFUNCTION("""COMPUTED_VALUE"""),"SCHOBER OCAMPO, DANIEL")</f>
        <v>SCHOBER OCAMPO, DANIEL</v>
      </c>
      <c r="D1148" t="str">
        <f>IFERROR(__xludf.DUMMYFUNCTION("""COMPUTED_VALUE"""),"Algebra I")</f>
        <v>Algebra I</v>
      </c>
      <c r="E1148" s="3">
        <f>IFERROR(__xludf.DUMMYFUNCTION("""COMPUTED_VALUE"""),7.0)</f>
        <v>7</v>
      </c>
      <c r="F1148" s="300">
        <v>1.0</v>
      </c>
      <c r="G1148" s="300">
        <v>1.0</v>
      </c>
      <c r="H1148" s="300">
        <v>1.0</v>
      </c>
      <c r="I1148" s="300">
        <v>1.0</v>
      </c>
      <c r="J1148" s="300">
        <v>1.0</v>
      </c>
      <c r="K1148" s="300">
        <v>1.0</v>
      </c>
      <c r="L1148" s="300">
        <v>1.0</v>
      </c>
      <c r="M1148" s="300">
        <v>1.0</v>
      </c>
      <c r="N1148" s="300">
        <v>8.0</v>
      </c>
      <c r="O1148" s="300" t="s">
        <v>842</v>
      </c>
      <c r="P1148" s="300">
        <v>4.0</v>
      </c>
    </row>
    <row r="1149">
      <c r="A1149">
        <f>IFERROR(__xludf.DUMMYFUNCTION("""COMPUTED_VALUE"""),9.0)</f>
        <v>9</v>
      </c>
      <c r="B1149" s="406">
        <f>IFERROR(__xludf.DUMMYFUNCTION("""COMPUTED_VALUE"""),29062.0)</f>
        <v>29062</v>
      </c>
      <c r="C1149" t="str">
        <f>IFERROR(__xludf.DUMMYFUNCTION("""COMPUTED_VALUE"""),"KIM LEE, SAE YOON LUCAS")</f>
        <v>KIM LEE, SAE YOON LUCAS</v>
      </c>
      <c r="D1149" t="str">
        <f>IFERROR(__xludf.DUMMYFUNCTION("""COMPUTED_VALUE"""),"Geometry")</f>
        <v>Geometry</v>
      </c>
      <c r="E1149" s="3">
        <f>IFERROR(__xludf.DUMMYFUNCTION("""COMPUTED_VALUE"""),3.0)</f>
        <v>3</v>
      </c>
      <c r="F1149" s="300">
        <v>1.0</v>
      </c>
      <c r="G1149" s="300">
        <v>1.0</v>
      </c>
      <c r="H1149" s="300">
        <v>1.0</v>
      </c>
      <c r="I1149" s="300">
        <v>1.0</v>
      </c>
      <c r="J1149" s="300">
        <v>1.0</v>
      </c>
      <c r="K1149" s="300">
        <v>1.0</v>
      </c>
      <c r="L1149" s="300">
        <v>1.0</v>
      </c>
      <c r="M1149" s="300">
        <v>1.0</v>
      </c>
      <c r="N1149" s="300">
        <v>8.0</v>
      </c>
      <c r="O1149" s="300" t="s">
        <v>840</v>
      </c>
      <c r="P1149" s="300">
        <v>7.0</v>
      </c>
    </row>
    <row r="1150">
      <c r="A1150">
        <f>IFERROR(__xludf.DUMMYFUNCTION("""COMPUTED_VALUE"""),9.0)</f>
        <v>9</v>
      </c>
      <c r="B1150" s="406">
        <f>IFERROR(__xludf.DUMMYFUNCTION("""COMPUTED_VALUE"""),29115.0)</f>
        <v>29115</v>
      </c>
      <c r="C1150" t="str">
        <f>IFERROR(__xludf.DUMMYFUNCTION("""COMPUTED_VALUE"""),"TIRADO SANIN, ELENA")</f>
        <v>TIRADO SANIN, ELENA</v>
      </c>
      <c r="D1150" t="str">
        <f>IFERROR(__xludf.DUMMYFUNCTION("""COMPUTED_VALUE"""),"Algebra I")</f>
        <v>Algebra I</v>
      </c>
      <c r="E1150" s="3">
        <f>IFERROR(__xludf.DUMMYFUNCTION("""COMPUTED_VALUE"""),3.0)</f>
        <v>3</v>
      </c>
      <c r="F1150" s="300">
        <v>1.0</v>
      </c>
      <c r="G1150" s="300">
        <v>1.0</v>
      </c>
      <c r="H1150" s="300">
        <v>1.0</v>
      </c>
      <c r="I1150" s="300">
        <v>1.0</v>
      </c>
      <c r="J1150" s="300">
        <v>1.0</v>
      </c>
      <c r="K1150" s="300">
        <v>1.0</v>
      </c>
      <c r="L1150" s="300">
        <v>1.0</v>
      </c>
      <c r="M1150" s="300">
        <v>1.0</v>
      </c>
      <c r="N1150" s="300">
        <v>8.0</v>
      </c>
      <c r="O1150" s="300" t="s">
        <v>843</v>
      </c>
      <c r="P1150" s="300">
        <v>4.0</v>
      </c>
    </row>
    <row r="1151">
      <c r="A1151">
        <f>IFERROR(__xludf.DUMMYFUNCTION("""COMPUTED_VALUE"""),9.0)</f>
        <v>9</v>
      </c>
      <c r="B1151" s="406">
        <f>IFERROR(__xludf.DUMMYFUNCTION("""COMPUTED_VALUE"""),29018.0)</f>
        <v>29018</v>
      </c>
      <c r="C1151" t="str">
        <f>IFERROR(__xludf.DUMMYFUNCTION("""COMPUTED_VALUE"""),"BAENA GIRALDO, VIOLETA")</f>
        <v>BAENA GIRALDO, VIOLETA</v>
      </c>
      <c r="D1151" t="str">
        <f>IFERROR(__xludf.DUMMYFUNCTION("""COMPUTED_VALUE"""),"Algebra I")</f>
        <v>Algebra I</v>
      </c>
      <c r="E1151" s="3">
        <f>IFERROR(__xludf.DUMMYFUNCTION("""COMPUTED_VALUE"""),4.0)</f>
        <v>4</v>
      </c>
      <c r="F1151" s="300">
        <v>1.0</v>
      </c>
      <c r="G1151" s="300">
        <v>1.0</v>
      </c>
      <c r="H1151" s="300">
        <v>1.0</v>
      </c>
      <c r="I1151" s="300">
        <v>1.0</v>
      </c>
      <c r="J1151" s="300">
        <v>1.0</v>
      </c>
      <c r="K1151" s="300">
        <v>1.0</v>
      </c>
      <c r="L1151" s="300">
        <v>1.0</v>
      </c>
      <c r="M1151" s="300">
        <v>1.0</v>
      </c>
      <c r="N1151" s="300">
        <v>8.0</v>
      </c>
      <c r="O1151" s="300" t="s">
        <v>845</v>
      </c>
      <c r="P1151" s="300">
        <v>4.0</v>
      </c>
    </row>
    <row r="1152">
      <c r="A1152">
        <f>IFERROR(__xludf.DUMMYFUNCTION("""COMPUTED_VALUE"""),9.0)</f>
        <v>9</v>
      </c>
      <c r="B1152" s="406">
        <f>IFERROR(__xludf.DUMMYFUNCTION("""COMPUTED_VALUE"""),29122.0)</f>
        <v>29122</v>
      </c>
      <c r="C1152" t="str">
        <f>IFERROR(__xludf.DUMMYFUNCTION("""COMPUTED_VALUE"""),"URIBE RODRIGUEZ, MARIA LUISA")</f>
        <v>URIBE RODRIGUEZ, MARIA LUISA</v>
      </c>
      <c r="D1152" t="str">
        <f>IFERROR(__xludf.DUMMYFUNCTION("""COMPUTED_VALUE"""),"Algebra I")</f>
        <v>Algebra I</v>
      </c>
      <c r="E1152" s="3">
        <f>IFERROR(__xludf.DUMMYFUNCTION("""COMPUTED_VALUE"""),6.0)</f>
        <v>6</v>
      </c>
      <c r="F1152" s="300">
        <v>1.0</v>
      </c>
      <c r="G1152" s="300">
        <v>1.0</v>
      </c>
      <c r="H1152" s="300">
        <v>1.0</v>
      </c>
      <c r="I1152" s="300">
        <v>1.0</v>
      </c>
      <c r="J1152" s="300">
        <v>1.0</v>
      </c>
      <c r="K1152" s="300">
        <v>1.0</v>
      </c>
      <c r="L1152" s="300">
        <v>1.0</v>
      </c>
      <c r="M1152" s="300">
        <v>1.0</v>
      </c>
      <c r="N1152" s="300">
        <v>8.0</v>
      </c>
      <c r="O1152" s="300" t="s">
        <v>844</v>
      </c>
      <c r="P1152" s="300">
        <v>4.0</v>
      </c>
    </row>
    <row r="1153">
      <c r="A1153">
        <f>IFERROR(__xludf.DUMMYFUNCTION("""COMPUTED_VALUE"""),9.0)</f>
        <v>9</v>
      </c>
      <c r="B1153" s="406">
        <f>IFERROR(__xludf.DUMMYFUNCTION("""COMPUTED_VALUE"""),29128.0)</f>
        <v>29128</v>
      </c>
      <c r="C1153" t="str">
        <f>IFERROR(__xludf.DUMMYFUNCTION("""COMPUTED_VALUE"""),"VELASQUEZ JARAMILLO, MARIA")</f>
        <v>VELASQUEZ JARAMILLO, MARIA</v>
      </c>
      <c r="D1153" t="str">
        <f>IFERROR(__xludf.DUMMYFUNCTION("""COMPUTED_VALUE"""),"Algebra I")</f>
        <v>Algebra I</v>
      </c>
      <c r="E1153" s="3">
        <f>IFERROR(__xludf.DUMMYFUNCTION("""COMPUTED_VALUE"""),4.0)</f>
        <v>4</v>
      </c>
      <c r="F1153" s="300">
        <v>1.0</v>
      </c>
      <c r="G1153" s="300">
        <v>1.0</v>
      </c>
      <c r="H1153" s="300">
        <v>1.0</v>
      </c>
      <c r="I1153" s="300">
        <v>1.0</v>
      </c>
      <c r="J1153" s="300">
        <v>1.0</v>
      </c>
      <c r="K1153" s="300">
        <v>1.0</v>
      </c>
      <c r="L1153" s="300">
        <v>1.0</v>
      </c>
      <c r="M1153" s="300">
        <v>1.0</v>
      </c>
      <c r="N1153" s="300">
        <v>8.0</v>
      </c>
      <c r="O1153" s="300" t="s">
        <v>845</v>
      </c>
      <c r="P1153" s="300">
        <v>4.0</v>
      </c>
    </row>
    <row r="1154">
      <c r="A1154">
        <f>IFERROR(__xludf.DUMMYFUNCTION("""COMPUTED_VALUE"""),9.0)</f>
        <v>9</v>
      </c>
      <c r="B1154" s="406">
        <f>IFERROR(__xludf.DUMMYFUNCTION("""COMPUTED_VALUE"""),29049.0)</f>
        <v>29049</v>
      </c>
      <c r="C1154" t="str">
        <f>IFERROR(__xludf.DUMMYFUNCTION("""COMPUTED_VALUE"""),"HINESTROSA SIERRA, MIGUEL")</f>
        <v>HINESTROSA SIERRA, MIGUEL</v>
      </c>
      <c r="D1154" t="str">
        <f>IFERROR(__xludf.DUMMYFUNCTION("""COMPUTED_VALUE"""),"Algebra I")</f>
        <v>Algebra I</v>
      </c>
      <c r="E1154" s="3">
        <f>IFERROR(__xludf.DUMMYFUNCTION("""COMPUTED_VALUE"""),4.0)</f>
        <v>4</v>
      </c>
      <c r="F1154" s="300">
        <v>1.0</v>
      </c>
      <c r="G1154" s="300">
        <v>1.0</v>
      </c>
      <c r="H1154" s="300">
        <v>1.0</v>
      </c>
      <c r="I1154" s="300">
        <v>1.0</v>
      </c>
      <c r="J1154" s="300">
        <v>1.0</v>
      </c>
      <c r="K1154" s="300">
        <v>1.0</v>
      </c>
      <c r="L1154" s="300">
        <v>1.0</v>
      </c>
      <c r="M1154" s="300">
        <v>1.0</v>
      </c>
      <c r="N1154" s="300">
        <v>8.0</v>
      </c>
      <c r="O1154" s="300" t="s">
        <v>845</v>
      </c>
      <c r="P1154" s="300">
        <v>4.0</v>
      </c>
    </row>
    <row r="1155">
      <c r="A1155">
        <f>IFERROR(__xludf.DUMMYFUNCTION("""COMPUTED_VALUE"""),9.0)</f>
        <v>9</v>
      </c>
      <c r="B1155" s="406">
        <f>IFERROR(__xludf.DUMMYFUNCTION("""COMPUTED_VALUE"""),29118.0)</f>
        <v>29118</v>
      </c>
      <c r="C1155" t="str">
        <f>IFERROR(__xludf.DUMMYFUNCTION("""COMPUTED_VALUE"""),"TRUJILLO RUIZ, SAMUEL")</f>
        <v>TRUJILLO RUIZ, SAMUEL</v>
      </c>
      <c r="D1155" t="str">
        <f>IFERROR(__xludf.DUMMYFUNCTION("""COMPUTED_VALUE"""),"Geometry")</f>
        <v>Geometry</v>
      </c>
      <c r="E1155" s="3">
        <f>IFERROR(__xludf.DUMMYFUNCTION("""COMPUTED_VALUE"""),2.0)</f>
        <v>2</v>
      </c>
      <c r="F1155" s="300">
        <v>1.0</v>
      </c>
      <c r="G1155" s="300">
        <v>1.0</v>
      </c>
      <c r="H1155" s="300">
        <v>1.0</v>
      </c>
      <c r="I1155" s="300">
        <v>1.0</v>
      </c>
      <c r="J1155" s="300">
        <v>1.0</v>
      </c>
      <c r="K1155" s="300">
        <v>1.0</v>
      </c>
      <c r="L1155" s="300">
        <v>1.0</v>
      </c>
      <c r="M1155" s="300">
        <v>1.0</v>
      </c>
      <c r="N1155" s="300">
        <v>8.0</v>
      </c>
      <c r="O1155" s="300" t="s">
        <v>838</v>
      </c>
      <c r="P1155" s="300">
        <v>7.0</v>
      </c>
    </row>
    <row r="1156">
      <c r="A1156">
        <f>IFERROR(__xludf.DUMMYFUNCTION("""COMPUTED_VALUE"""),9.0)</f>
        <v>9</v>
      </c>
      <c r="B1156" s="406">
        <f>IFERROR(__xludf.DUMMYFUNCTION("""COMPUTED_VALUE"""),29096.0)</f>
        <v>29096</v>
      </c>
      <c r="C1156" t="str">
        <f>IFERROR(__xludf.DUMMYFUNCTION("""COMPUTED_VALUE"""),"RAMIREZ PELAEZ, ANTONIA")</f>
        <v>RAMIREZ PELAEZ, ANTONIA</v>
      </c>
      <c r="D1156" t="str">
        <f>IFERROR(__xludf.DUMMYFUNCTION("""COMPUTED_VALUE"""),"Geometry")</f>
        <v>Geometry</v>
      </c>
      <c r="E1156" s="3">
        <f>IFERROR(__xludf.DUMMYFUNCTION("""COMPUTED_VALUE"""),8.0)</f>
        <v>8</v>
      </c>
      <c r="F1156" s="300">
        <v>1.0</v>
      </c>
      <c r="G1156" s="300">
        <v>1.0</v>
      </c>
      <c r="H1156" s="300">
        <v>1.0</v>
      </c>
      <c r="I1156" s="300">
        <v>1.0</v>
      </c>
      <c r="J1156" s="300">
        <v>1.0</v>
      </c>
      <c r="K1156" s="300">
        <v>1.0</v>
      </c>
      <c r="L1156" s="300">
        <v>1.0</v>
      </c>
      <c r="M1156" s="300">
        <v>1.0</v>
      </c>
      <c r="N1156" s="300">
        <v>8.0</v>
      </c>
      <c r="O1156" s="300" t="s">
        <v>841</v>
      </c>
      <c r="P1156" s="300">
        <v>7.0</v>
      </c>
    </row>
    <row r="1157">
      <c r="A1157">
        <f>IFERROR(__xludf.DUMMYFUNCTION("""COMPUTED_VALUE"""),9.0)</f>
        <v>9</v>
      </c>
      <c r="B1157" s="406">
        <f>IFERROR(__xludf.DUMMYFUNCTION("""COMPUTED_VALUE"""),29119.0)</f>
        <v>29119</v>
      </c>
      <c r="C1157" t="str">
        <f>IFERROR(__xludf.DUMMYFUNCTION("""COMPUTED_VALUE"""),"TRUJILLO RUIZ, SARA")</f>
        <v>TRUJILLO RUIZ, SARA</v>
      </c>
      <c r="D1157" t="str">
        <f>IFERROR(__xludf.DUMMYFUNCTION("""COMPUTED_VALUE"""),"Geometry")</f>
        <v>Geometry</v>
      </c>
      <c r="E1157" s="3">
        <f>IFERROR(__xludf.DUMMYFUNCTION("""COMPUTED_VALUE"""),7.0)</f>
        <v>7</v>
      </c>
      <c r="F1157" s="300">
        <v>1.0</v>
      </c>
      <c r="G1157" s="300">
        <v>1.0</v>
      </c>
      <c r="H1157" s="300">
        <v>1.0</v>
      </c>
      <c r="I1157" s="300">
        <v>1.0</v>
      </c>
      <c r="J1157" s="300">
        <v>1.0</v>
      </c>
      <c r="K1157" s="300">
        <v>1.0</v>
      </c>
      <c r="L1157" s="300">
        <v>1.0</v>
      </c>
      <c r="M1157" s="300">
        <v>1.0</v>
      </c>
      <c r="N1157" s="300">
        <v>8.0</v>
      </c>
      <c r="O1157" s="300" t="s">
        <v>839</v>
      </c>
      <c r="P1157" s="300">
        <v>7.0</v>
      </c>
    </row>
    <row r="1158">
      <c r="A1158">
        <f>IFERROR(__xludf.DUMMYFUNCTION("""COMPUTED_VALUE"""),9.0)</f>
        <v>9</v>
      </c>
      <c r="B1158" s="406">
        <f>IFERROR(__xludf.DUMMYFUNCTION("""COMPUTED_VALUE"""),29097.0)</f>
        <v>29097</v>
      </c>
      <c r="C1158" t="str">
        <f>IFERROR(__xludf.DUMMYFUNCTION("""COMPUTED_VALUE"""),"RAMIREZ PELAEZ, ELENA")</f>
        <v>RAMIREZ PELAEZ, ELENA</v>
      </c>
      <c r="D1158" t="str">
        <f>IFERROR(__xludf.DUMMYFUNCTION("""COMPUTED_VALUE"""),"Geometry")</f>
        <v>Geometry</v>
      </c>
      <c r="E1158" s="3">
        <f>IFERROR(__xludf.DUMMYFUNCTION("""COMPUTED_VALUE"""),8.0)</f>
        <v>8</v>
      </c>
      <c r="F1158" s="300">
        <v>1.0</v>
      </c>
      <c r="G1158" s="300">
        <v>1.0</v>
      </c>
      <c r="H1158" s="300">
        <v>1.0</v>
      </c>
      <c r="I1158" s="300">
        <v>1.0</v>
      </c>
      <c r="J1158" s="300">
        <v>1.0</v>
      </c>
      <c r="K1158" s="300">
        <v>1.0</v>
      </c>
      <c r="L1158" s="300">
        <v>1.0</v>
      </c>
      <c r="M1158" s="300">
        <v>1.0</v>
      </c>
      <c r="N1158" s="300">
        <v>8.0</v>
      </c>
      <c r="O1158" s="300" t="s">
        <v>841</v>
      </c>
      <c r="P1158" s="300">
        <v>7.0</v>
      </c>
    </row>
    <row r="1159">
      <c r="A1159">
        <f>IFERROR(__xludf.DUMMYFUNCTION("""COMPUTED_VALUE"""),9.0)</f>
        <v>9</v>
      </c>
      <c r="B1159" s="406">
        <f>IFERROR(__xludf.DUMMYFUNCTION("""COMPUTED_VALUE"""),29169.0)</f>
        <v>29169</v>
      </c>
      <c r="C1159" t="str">
        <f>IFERROR(__xludf.DUMMYFUNCTION("""COMPUTED_VALUE"""),"REPETTO LARROSA, FAUSTINO")</f>
        <v>REPETTO LARROSA, FAUSTINO</v>
      </c>
      <c r="D1159" t="str">
        <f>IFERROR(__xludf.DUMMYFUNCTION("""COMPUTED_VALUE"""),"Algebra I")</f>
        <v>Algebra I</v>
      </c>
      <c r="E1159" s="3">
        <f>IFERROR(__xludf.DUMMYFUNCTION("""COMPUTED_VALUE"""),4.0)</f>
        <v>4</v>
      </c>
      <c r="F1159" s="300">
        <v>1.0</v>
      </c>
      <c r="G1159" s="300">
        <v>1.0</v>
      </c>
      <c r="H1159" s="300">
        <v>1.0</v>
      </c>
      <c r="I1159" s="300">
        <v>1.0</v>
      </c>
      <c r="J1159" s="300">
        <v>1.0</v>
      </c>
      <c r="K1159" s="300">
        <v>1.0</v>
      </c>
      <c r="L1159" s="300">
        <v>1.0</v>
      </c>
      <c r="M1159" s="300">
        <v>1.0</v>
      </c>
      <c r="N1159" s="300">
        <v>8.0</v>
      </c>
      <c r="O1159" s="300" t="s">
        <v>845</v>
      </c>
      <c r="P1159" s="300">
        <v>4.0</v>
      </c>
    </row>
    <row r="1160">
      <c r="A1160">
        <f>IFERROR(__xludf.DUMMYFUNCTION("""COMPUTED_VALUE"""),9.0)</f>
        <v>9</v>
      </c>
      <c r="B1160" s="406">
        <f>IFERROR(__xludf.DUMMYFUNCTION("""COMPUTED_VALUE"""),29156.0)</f>
        <v>29156</v>
      </c>
      <c r="C1160" t="str">
        <f>IFERROR(__xludf.DUMMYFUNCTION("""COMPUTED_VALUE"""),"FERNANDEZ CALDERON, TAMARA")</f>
        <v>FERNANDEZ CALDERON, TAMARA</v>
      </c>
      <c r="D1160" t="str">
        <f>IFERROR(__xludf.DUMMYFUNCTION("""COMPUTED_VALUE"""),"Geometry")</f>
        <v>Geometry</v>
      </c>
      <c r="E1160" s="3">
        <f>IFERROR(__xludf.DUMMYFUNCTION("""COMPUTED_VALUE"""),1.0)</f>
        <v>1</v>
      </c>
      <c r="F1160" s="300">
        <v>1.0</v>
      </c>
      <c r="G1160" s="300">
        <v>1.0</v>
      </c>
      <c r="H1160" s="300">
        <v>1.0</v>
      </c>
      <c r="I1160" s="300">
        <v>1.0</v>
      </c>
      <c r="J1160" s="300">
        <v>1.0</v>
      </c>
      <c r="K1160" s="300">
        <v>1.0</v>
      </c>
      <c r="L1160" s="300">
        <v>1.0</v>
      </c>
      <c r="M1160" s="300">
        <v>1.0</v>
      </c>
      <c r="N1160" s="300">
        <v>8.0</v>
      </c>
      <c r="O1160" s="300" t="s">
        <v>837</v>
      </c>
      <c r="P1160" s="300">
        <v>7.0</v>
      </c>
    </row>
    <row r="1161">
      <c r="A1161">
        <f>IFERROR(__xludf.DUMMYFUNCTION("""COMPUTED_VALUE"""),9.0)</f>
        <v>9</v>
      </c>
      <c r="B1161" s="406">
        <f>IFERROR(__xludf.DUMMYFUNCTION("""COMPUTED_VALUE"""),29035.0)</f>
        <v>29035</v>
      </c>
      <c r="C1161" t="str">
        <f>IFERROR(__xludf.DUMMYFUNCTION("""COMPUTED_VALUE"""),"DURAN CALAD, MIGUEL")</f>
        <v>DURAN CALAD, MIGUEL</v>
      </c>
      <c r="D1161" t="str">
        <f>IFERROR(__xludf.DUMMYFUNCTION("""COMPUTED_VALUE"""),"Geometry")</f>
        <v>Geometry</v>
      </c>
      <c r="E1161" s="3">
        <f>IFERROR(__xludf.DUMMYFUNCTION("""COMPUTED_VALUE"""),2.0)</f>
        <v>2</v>
      </c>
      <c r="F1161" s="300">
        <v>1.0</v>
      </c>
      <c r="G1161" s="300">
        <v>1.0</v>
      </c>
      <c r="H1161" s="300">
        <v>1.0</v>
      </c>
      <c r="I1161" s="300">
        <v>1.0</v>
      </c>
      <c r="J1161" s="300">
        <v>1.0</v>
      </c>
      <c r="K1161" s="300">
        <v>1.0</v>
      </c>
      <c r="L1161" s="300">
        <v>1.0</v>
      </c>
      <c r="M1161" s="300">
        <v>1.0</v>
      </c>
      <c r="N1161" s="300">
        <v>8.0</v>
      </c>
      <c r="O1161" s="300" t="s">
        <v>838</v>
      </c>
      <c r="P1161" s="300">
        <v>7.0</v>
      </c>
    </row>
    <row r="1162">
      <c r="A1162">
        <f>IFERROR(__xludf.DUMMYFUNCTION("""COMPUTED_VALUE"""),9.0)</f>
        <v>9</v>
      </c>
      <c r="B1162" s="406">
        <f>IFERROR(__xludf.DUMMYFUNCTION("""COMPUTED_VALUE"""),29028.0)</f>
        <v>29028</v>
      </c>
      <c r="C1162" t="str">
        <f>IFERROR(__xludf.DUMMYFUNCTION("""COMPUTED_VALUE"""),"CARVAJAL ACOSTA, MARTIN")</f>
        <v>CARVAJAL ACOSTA, MARTIN</v>
      </c>
      <c r="D1162" t="str">
        <f>IFERROR(__xludf.DUMMYFUNCTION("""COMPUTED_VALUE"""),"Geometry")</f>
        <v>Geometry</v>
      </c>
      <c r="E1162" s="3">
        <f>IFERROR(__xludf.DUMMYFUNCTION("""COMPUTED_VALUE"""),8.0)</f>
        <v>8</v>
      </c>
      <c r="F1162" s="300">
        <v>1.0</v>
      </c>
      <c r="G1162" s="300">
        <v>1.0</v>
      </c>
      <c r="H1162" s="300">
        <v>1.0</v>
      </c>
      <c r="I1162" s="300">
        <v>1.0</v>
      </c>
      <c r="J1162" s="300">
        <v>1.0</v>
      </c>
      <c r="K1162" s="300">
        <v>1.0</v>
      </c>
      <c r="L1162" s="300">
        <v>1.0</v>
      </c>
      <c r="M1162" s="300">
        <v>1.0</v>
      </c>
      <c r="N1162" s="300">
        <v>8.0</v>
      </c>
      <c r="O1162" s="300" t="s">
        <v>841</v>
      </c>
      <c r="P1162" s="300">
        <v>7.0</v>
      </c>
    </row>
    <row r="1163">
      <c r="A1163">
        <f>IFERROR(__xludf.DUMMYFUNCTION("""COMPUTED_VALUE"""),9.0)</f>
        <v>9</v>
      </c>
      <c r="B1163" s="406">
        <f>IFERROR(__xludf.DUMMYFUNCTION("""COMPUTED_VALUE"""),29110.0)</f>
        <v>29110</v>
      </c>
      <c r="C1163" t="str">
        <f>IFERROR(__xludf.DUMMYFUNCTION("""COMPUTED_VALUE"""),"SOSA ECHAVARRIA, EMILIO")</f>
        <v>SOSA ECHAVARRIA, EMILIO</v>
      </c>
      <c r="D1163" t="str">
        <f>IFERROR(__xludf.DUMMYFUNCTION("""COMPUTED_VALUE"""),"Geometry")</f>
        <v>Geometry</v>
      </c>
      <c r="E1163" s="3">
        <f>IFERROR(__xludf.DUMMYFUNCTION("""COMPUTED_VALUE"""),8.0)</f>
        <v>8</v>
      </c>
      <c r="F1163" s="300">
        <v>1.0</v>
      </c>
      <c r="G1163" s="300">
        <v>1.0</v>
      </c>
      <c r="H1163" s="300">
        <v>1.0</v>
      </c>
      <c r="I1163" s="300">
        <v>1.0</v>
      </c>
      <c r="J1163" s="300">
        <v>1.0</v>
      </c>
      <c r="K1163" s="300">
        <v>1.0</v>
      </c>
      <c r="L1163" s="300">
        <v>1.0</v>
      </c>
      <c r="M1163" s="300">
        <v>1.0</v>
      </c>
      <c r="N1163" s="300">
        <v>8.0</v>
      </c>
      <c r="O1163" s="300" t="s">
        <v>841</v>
      </c>
      <c r="P1163" s="300">
        <v>7.0</v>
      </c>
    </row>
    <row r="1164">
      <c r="A1164">
        <f>IFERROR(__xludf.DUMMYFUNCTION("""COMPUTED_VALUE"""),9.0)</f>
        <v>9</v>
      </c>
      <c r="B1164" s="406">
        <f>IFERROR(__xludf.DUMMYFUNCTION("""COMPUTED_VALUE"""),28144.0)</f>
        <v>28144</v>
      </c>
      <c r="C1164" t="str">
        <f>IFERROR(__xludf.DUMMYFUNCTION("""COMPUTED_VALUE"""),"JIMENEZ PATIÑO, EMILIO")</f>
        <v>JIMENEZ PATIÑO, EMILIO</v>
      </c>
      <c r="D1164" t="str">
        <f>IFERROR(__xludf.DUMMYFUNCTION("""COMPUTED_VALUE"""),"Geometry")</f>
        <v>Geometry</v>
      </c>
      <c r="E1164" s="3">
        <f>IFERROR(__xludf.DUMMYFUNCTION("""COMPUTED_VALUE"""),8.0)</f>
        <v>8</v>
      </c>
      <c r="F1164" s="300">
        <v>1.0</v>
      </c>
      <c r="G1164" s="300">
        <v>1.0</v>
      </c>
      <c r="H1164" s="300">
        <v>1.0</v>
      </c>
      <c r="I1164" s="300">
        <v>1.0</v>
      </c>
      <c r="J1164" s="300">
        <v>1.0</v>
      </c>
      <c r="K1164" s="300">
        <v>1.0</v>
      </c>
      <c r="L1164" s="300">
        <v>1.0</v>
      </c>
      <c r="M1164" s="300">
        <v>1.0</v>
      </c>
      <c r="N1164" s="300">
        <v>8.0</v>
      </c>
      <c r="O1164" s="300" t="s">
        <v>841</v>
      </c>
      <c r="P1164" s="300">
        <v>7.0</v>
      </c>
    </row>
    <row r="1165">
      <c r="A1165">
        <f>IFERROR(__xludf.DUMMYFUNCTION("""COMPUTED_VALUE"""),9.0)</f>
        <v>9</v>
      </c>
      <c r="B1165" s="406">
        <f>IFERROR(__xludf.DUMMYFUNCTION("""COMPUTED_VALUE"""),29126.0)</f>
        <v>29126</v>
      </c>
      <c r="C1165" t="str">
        <f>IFERROR(__xludf.DUMMYFUNCTION("""COMPUTED_VALUE"""),"VASQUEZ ANGEL, JUANITA")</f>
        <v>VASQUEZ ANGEL, JUANITA</v>
      </c>
      <c r="D1165" t="str">
        <f>IFERROR(__xludf.DUMMYFUNCTION("""COMPUTED_VALUE"""),"Algebra I")</f>
        <v>Algebra I</v>
      </c>
      <c r="E1165" s="3">
        <f>IFERROR(__xludf.DUMMYFUNCTION("""COMPUTED_VALUE"""),3.0)</f>
        <v>3</v>
      </c>
      <c r="F1165" s="300">
        <v>1.0</v>
      </c>
      <c r="G1165" s="300">
        <v>1.0</v>
      </c>
      <c r="H1165" s="300">
        <v>1.0</v>
      </c>
      <c r="I1165" s="300">
        <v>1.0</v>
      </c>
      <c r="J1165" s="300">
        <v>1.0</v>
      </c>
      <c r="K1165" s="300">
        <v>1.0</v>
      </c>
      <c r="L1165" s="300">
        <v>1.0</v>
      </c>
      <c r="M1165" s="300">
        <v>1.0</v>
      </c>
      <c r="N1165" s="300">
        <v>8.0</v>
      </c>
      <c r="O1165" s="300" t="s">
        <v>843</v>
      </c>
      <c r="P1165" s="300">
        <v>4.0</v>
      </c>
    </row>
    <row r="1166">
      <c r="A1166">
        <f>IFERROR(__xludf.DUMMYFUNCTION("""COMPUTED_VALUE"""),9.0)</f>
        <v>9</v>
      </c>
      <c r="B1166" s="406">
        <f>IFERROR(__xludf.DUMMYFUNCTION("""COMPUTED_VALUE"""),29098.0)</f>
        <v>29098</v>
      </c>
      <c r="C1166" t="str">
        <f>IFERROR(__xludf.DUMMYFUNCTION("""COMPUTED_VALUE"""),"RESTREPO ESCOBAR, ISABELA")</f>
        <v>RESTREPO ESCOBAR, ISABELA</v>
      </c>
      <c r="D1166" t="str">
        <f>IFERROR(__xludf.DUMMYFUNCTION("""COMPUTED_VALUE"""),"Geometry")</f>
        <v>Geometry</v>
      </c>
      <c r="E1166" s="3">
        <f>IFERROR(__xludf.DUMMYFUNCTION("""COMPUTED_VALUE"""),8.0)</f>
        <v>8</v>
      </c>
      <c r="F1166" s="300">
        <v>1.0</v>
      </c>
      <c r="G1166" s="300">
        <v>1.0</v>
      </c>
      <c r="H1166" s="300">
        <v>1.0</v>
      </c>
      <c r="I1166" s="300">
        <v>1.0</v>
      </c>
      <c r="J1166" s="300">
        <v>1.0</v>
      </c>
      <c r="K1166" s="300">
        <v>1.0</v>
      </c>
      <c r="L1166" s="300">
        <v>1.0</v>
      </c>
      <c r="M1166" s="300">
        <v>1.0</v>
      </c>
      <c r="N1166" s="300">
        <v>8.0</v>
      </c>
      <c r="O1166" s="300" t="s">
        <v>841</v>
      </c>
      <c r="P1166" s="300">
        <v>7.0</v>
      </c>
    </row>
    <row r="1167">
      <c r="A1167">
        <f>IFERROR(__xludf.DUMMYFUNCTION("""COMPUTED_VALUE"""),9.0)</f>
        <v>9</v>
      </c>
      <c r="B1167" s="406">
        <f>IFERROR(__xludf.DUMMYFUNCTION("""COMPUTED_VALUE"""),29083.0)</f>
        <v>29083</v>
      </c>
      <c r="C1167" t="str">
        <f>IFERROR(__xludf.DUMMYFUNCTION("""COMPUTED_VALUE"""),"NAVARRO ZULUAGA, SOFIA")</f>
        <v>NAVARRO ZULUAGA, SOFIA</v>
      </c>
      <c r="D1167" t="str">
        <f>IFERROR(__xludf.DUMMYFUNCTION("""COMPUTED_VALUE"""),"Algebra I")</f>
        <v>Algebra I</v>
      </c>
      <c r="E1167" s="3">
        <f>IFERROR(__xludf.DUMMYFUNCTION("""COMPUTED_VALUE"""),7.0)</f>
        <v>7</v>
      </c>
      <c r="F1167" s="300">
        <v>1.0</v>
      </c>
      <c r="G1167" s="300">
        <v>1.0</v>
      </c>
      <c r="H1167" s="300">
        <v>1.0</v>
      </c>
      <c r="I1167" s="300">
        <v>1.0</v>
      </c>
      <c r="J1167" s="300">
        <v>1.0</v>
      </c>
      <c r="K1167" s="300">
        <v>1.0</v>
      </c>
      <c r="L1167" s="300">
        <v>1.0</v>
      </c>
      <c r="M1167" s="300">
        <v>1.0</v>
      </c>
      <c r="N1167" s="300">
        <v>8.0</v>
      </c>
      <c r="O1167" s="300" t="s">
        <v>842</v>
      </c>
      <c r="P1167" s="300">
        <v>4.0</v>
      </c>
    </row>
    <row r="1168">
      <c r="A1168">
        <f>IFERROR(__xludf.DUMMYFUNCTION("""COMPUTED_VALUE"""),9.0)</f>
        <v>9</v>
      </c>
      <c r="B1168" s="406">
        <f>IFERROR(__xludf.DUMMYFUNCTION("""COMPUTED_VALUE"""),29023.0)</f>
        <v>29023</v>
      </c>
      <c r="C1168" t="str">
        <f>IFERROR(__xludf.DUMMYFUNCTION("""COMPUTED_VALUE"""),"BOTERO DEL CORRAL, EMILIANA")</f>
        <v>BOTERO DEL CORRAL, EMILIANA</v>
      </c>
      <c r="D1168" t="str">
        <f>IFERROR(__xludf.DUMMYFUNCTION("""COMPUTED_VALUE"""),"Geometry")</f>
        <v>Geometry</v>
      </c>
      <c r="E1168" s="3">
        <f>IFERROR(__xludf.DUMMYFUNCTION("""COMPUTED_VALUE"""),8.0)</f>
        <v>8</v>
      </c>
      <c r="F1168" s="300">
        <v>1.0</v>
      </c>
      <c r="G1168" s="300">
        <v>1.0</v>
      </c>
      <c r="H1168" s="300">
        <v>1.0</v>
      </c>
      <c r="I1168" s="300">
        <v>1.0</v>
      </c>
      <c r="J1168" s="300">
        <v>1.0</v>
      </c>
      <c r="K1168" s="300">
        <v>1.0</v>
      </c>
      <c r="L1168" s="300">
        <v>1.0</v>
      </c>
      <c r="M1168" s="300">
        <v>1.0</v>
      </c>
      <c r="N1168" s="300">
        <v>8.0</v>
      </c>
      <c r="O1168" s="300" t="s">
        <v>841</v>
      </c>
      <c r="P1168" s="300">
        <v>7.0</v>
      </c>
    </row>
    <row r="1169">
      <c r="A1169">
        <f>IFERROR(__xludf.DUMMYFUNCTION("""COMPUTED_VALUE"""),10.0)</f>
        <v>10</v>
      </c>
      <c r="B1169" s="406">
        <f>IFERROR(__xludf.DUMMYFUNCTION("""COMPUTED_VALUE"""),28042.0)</f>
        <v>28042</v>
      </c>
      <c r="C1169" t="str">
        <f>IFERROR(__xludf.DUMMYFUNCTION("""COMPUTED_VALUE"""),"GUERRA MARTINEZ, REBECCA")</f>
        <v>GUERRA MARTINEZ, REBECCA</v>
      </c>
      <c r="D1169" t="str">
        <f>IFERROR(__xludf.DUMMYFUNCTION("""COMPUTED_VALUE"""),"AP Precalculus")</f>
        <v>AP Precalculus</v>
      </c>
      <c r="E1169" s="3">
        <f>IFERROR(__xludf.DUMMYFUNCTION("""COMPUTED_VALUE"""),2.0)</f>
        <v>2</v>
      </c>
      <c r="F1169" s="300">
        <v>1.0</v>
      </c>
      <c r="G1169" s="300">
        <v>1.0</v>
      </c>
      <c r="H1169" s="300">
        <v>1.0</v>
      </c>
      <c r="I1169" s="300">
        <v>1.0</v>
      </c>
      <c r="J1169" s="300">
        <v>1.0</v>
      </c>
      <c r="K1169" s="300">
        <v>1.0</v>
      </c>
      <c r="L1169" s="300">
        <v>1.0</v>
      </c>
      <c r="M1169" s="300">
        <v>1.0</v>
      </c>
      <c r="N1169" s="300">
        <v>8.0</v>
      </c>
      <c r="O1169" s="300" t="s">
        <v>846</v>
      </c>
      <c r="P1169" s="300">
        <v>2.0</v>
      </c>
    </row>
    <row r="1170">
      <c r="A1170">
        <f>IFERROR(__xludf.DUMMYFUNCTION("""COMPUTED_VALUE"""),10.0)</f>
        <v>10</v>
      </c>
      <c r="B1170" s="406">
        <f>IFERROR(__xludf.DUMMYFUNCTION("""COMPUTED_VALUE"""),28116.0)</f>
        <v>28116</v>
      </c>
      <c r="C1170" t="str">
        <f>IFERROR(__xludf.DUMMYFUNCTION("""COMPUTED_VALUE"""),"VELEZ ZAPATA, SARA")</f>
        <v>VELEZ ZAPATA, SARA</v>
      </c>
      <c r="D1170" t="str">
        <f>IFERROR(__xludf.DUMMYFUNCTION("""COMPUTED_VALUE"""),"AP Precalculus")</f>
        <v>AP Precalculus</v>
      </c>
      <c r="E1170" s="3">
        <f>IFERROR(__xludf.DUMMYFUNCTION("""COMPUTED_VALUE"""),3.0)</f>
        <v>3</v>
      </c>
      <c r="F1170" s="300">
        <v>1.0</v>
      </c>
      <c r="G1170" s="300">
        <v>1.0</v>
      </c>
      <c r="H1170" s="300">
        <v>1.0</v>
      </c>
      <c r="I1170" s="300">
        <v>1.0</v>
      </c>
      <c r="J1170" s="300">
        <v>1.0</v>
      </c>
      <c r="K1170" s="300">
        <v>1.0</v>
      </c>
      <c r="L1170" s="300">
        <v>1.0</v>
      </c>
      <c r="M1170" s="300">
        <v>1.0</v>
      </c>
      <c r="N1170" s="300">
        <v>8.0</v>
      </c>
      <c r="O1170" s="300" t="s">
        <v>847</v>
      </c>
      <c r="P1170" s="300">
        <v>2.0</v>
      </c>
    </row>
    <row r="1171">
      <c r="A1171">
        <f>IFERROR(__xludf.DUMMYFUNCTION("""COMPUTED_VALUE"""),10.0)</f>
        <v>10</v>
      </c>
      <c r="B1171" s="406">
        <f>IFERROR(__xludf.DUMMYFUNCTION("""COMPUTED_VALUE"""),28013.0)</f>
        <v>28013</v>
      </c>
      <c r="C1171" t="str">
        <f>IFERROR(__xludf.DUMMYFUNCTION("""COMPUTED_VALUE"""),"BERDUGO RESTREPO, ROSARIO")</f>
        <v>BERDUGO RESTREPO, ROSARIO</v>
      </c>
      <c r="D1171" t="str">
        <f>IFERROR(__xludf.DUMMYFUNCTION("""COMPUTED_VALUE"""),"AP Precalculus")</f>
        <v>AP Precalculus</v>
      </c>
      <c r="E1171" s="3">
        <f>IFERROR(__xludf.DUMMYFUNCTION("""COMPUTED_VALUE"""),2.0)</f>
        <v>2</v>
      </c>
      <c r="F1171" s="300">
        <v>1.0</v>
      </c>
      <c r="G1171" s="300">
        <v>1.0</v>
      </c>
      <c r="H1171" s="300">
        <v>1.0</v>
      </c>
      <c r="I1171" s="300">
        <v>1.0</v>
      </c>
      <c r="J1171" s="300">
        <v>1.0</v>
      </c>
      <c r="K1171" s="300">
        <v>1.0</v>
      </c>
      <c r="L1171" s="300">
        <v>1.0</v>
      </c>
      <c r="M1171" s="300">
        <v>1.0</v>
      </c>
      <c r="N1171" s="300">
        <v>8.0</v>
      </c>
      <c r="O1171" s="300" t="s">
        <v>846</v>
      </c>
      <c r="P1171" s="300">
        <v>2.0</v>
      </c>
    </row>
    <row r="1172">
      <c r="A1172">
        <f>IFERROR(__xludf.DUMMYFUNCTION("""COMPUTED_VALUE"""),10.0)</f>
        <v>10</v>
      </c>
      <c r="B1172" s="406">
        <f>IFERROR(__xludf.DUMMYFUNCTION("""COMPUTED_VALUE"""),28045.0)</f>
        <v>28045</v>
      </c>
      <c r="C1172" t="str">
        <f>IFERROR(__xludf.DUMMYFUNCTION("""COMPUTED_VALUE"""),"HINESTROZA ESCOBAR, LUCIANA")</f>
        <v>HINESTROZA ESCOBAR, LUCIANA</v>
      </c>
      <c r="D1172" t="str">
        <f>IFERROR(__xludf.DUMMYFUNCTION("""COMPUTED_VALUE"""),"Geometry")</f>
        <v>Geometry</v>
      </c>
      <c r="E1172" s="3">
        <f>IFERROR(__xludf.DUMMYFUNCTION("""COMPUTED_VALUE"""),6.0)</f>
        <v>6</v>
      </c>
      <c r="F1172" s="300">
        <v>1.0</v>
      </c>
      <c r="G1172" s="300">
        <v>1.0</v>
      </c>
      <c r="H1172" s="300">
        <v>1.0</v>
      </c>
      <c r="I1172" s="300">
        <v>1.0</v>
      </c>
      <c r="J1172" s="300">
        <v>1.0</v>
      </c>
      <c r="K1172" s="300">
        <v>1.0</v>
      </c>
      <c r="L1172" s="300">
        <v>1.0</v>
      </c>
      <c r="M1172" s="300">
        <v>1.0</v>
      </c>
      <c r="N1172" s="300">
        <v>8.0</v>
      </c>
      <c r="O1172" s="300" t="s">
        <v>848</v>
      </c>
      <c r="P1172" s="300">
        <v>7.0</v>
      </c>
    </row>
    <row r="1173">
      <c r="A1173">
        <f>IFERROR(__xludf.DUMMYFUNCTION("""COMPUTED_VALUE"""),10.0)</f>
        <v>10</v>
      </c>
      <c r="B1173" s="406">
        <f>IFERROR(__xludf.DUMMYFUNCTION("""COMPUTED_VALUE"""),28022.0)</f>
        <v>28022</v>
      </c>
      <c r="C1173" t="str">
        <f>IFERROR(__xludf.DUMMYFUNCTION("""COMPUTED_VALUE"""),"CARVAJAL BOTERO, SIMON")</f>
        <v>CARVAJAL BOTERO, SIMON</v>
      </c>
      <c r="D1173" t="str">
        <f>IFERROR(__xludf.DUMMYFUNCTION("""COMPUTED_VALUE"""),"AP Precalculus")</f>
        <v>AP Precalculus</v>
      </c>
      <c r="E1173" s="3">
        <f>IFERROR(__xludf.DUMMYFUNCTION("""COMPUTED_VALUE"""),3.0)</f>
        <v>3</v>
      </c>
      <c r="F1173" s="300">
        <v>1.0</v>
      </c>
      <c r="G1173" s="300">
        <v>1.0</v>
      </c>
      <c r="H1173" s="300">
        <v>1.0</v>
      </c>
      <c r="I1173" s="300">
        <v>1.0</v>
      </c>
      <c r="J1173" s="300">
        <v>1.0</v>
      </c>
      <c r="K1173" s="300">
        <v>1.0</v>
      </c>
      <c r="L1173" s="300">
        <v>1.0</v>
      </c>
      <c r="M1173" s="300">
        <v>1.0</v>
      </c>
      <c r="N1173" s="300">
        <v>8.0</v>
      </c>
      <c r="O1173" s="300" t="s">
        <v>847</v>
      </c>
      <c r="P1173" s="300">
        <v>2.0</v>
      </c>
    </row>
    <row r="1174">
      <c r="A1174">
        <f>IFERROR(__xludf.DUMMYFUNCTION("""COMPUTED_VALUE"""),10.0)</f>
        <v>10</v>
      </c>
      <c r="B1174" s="406">
        <f>IFERROR(__xludf.DUMMYFUNCTION("""COMPUTED_VALUE"""),28166.0)</f>
        <v>28166</v>
      </c>
      <c r="C1174" t="str">
        <f>IFERROR(__xludf.DUMMYFUNCTION("""COMPUTED_VALUE"""),"VELEZ RAMIREZ, MIGUEL")</f>
        <v>VELEZ RAMIREZ, MIGUEL</v>
      </c>
      <c r="D1174" t="str">
        <f>IFERROR(__xludf.DUMMYFUNCTION("""COMPUTED_VALUE"""),"AP Precalculus")</f>
        <v>AP Precalculus</v>
      </c>
      <c r="E1174" s="3">
        <f>IFERROR(__xludf.DUMMYFUNCTION("""COMPUTED_VALUE"""),3.0)</f>
        <v>3</v>
      </c>
      <c r="F1174" s="300">
        <v>1.0</v>
      </c>
      <c r="G1174" s="300">
        <v>1.0</v>
      </c>
      <c r="H1174" s="300">
        <v>1.0</v>
      </c>
      <c r="I1174" s="300">
        <v>1.0</v>
      </c>
      <c r="J1174" s="300">
        <v>1.0</v>
      </c>
      <c r="K1174" s="300">
        <v>1.0</v>
      </c>
      <c r="L1174" s="300">
        <v>1.0</v>
      </c>
      <c r="M1174" s="300">
        <v>1.0</v>
      </c>
      <c r="N1174" s="300">
        <v>8.0</v>
      </c>
      <c r="O1174" s="300" t="s">
        <v>847</v>
      </c>
      <c r="P1174" s="300">
        <v>2.0</v>
      </c>
    </row>
    <row r="1175">
      <c r="A1175">
        <f>IFERROR(__xludf.DUMMYFUNCTION("""COMPUTED_VALUE"""),10.0)</f>
        <v>10</v>
      </c>
      <c r="B1175" s="406">
        <f>IFERROR(__xludf.DUMMYFUNCTION("""COMPUTED_VALUE"""),28083.0)</f>
        <v>28083</v>
      </c>
      <c r="C1175" t="str">
        <f>IFERROR(__xludf.DUMMYFUNCTION("""COMPUTED_VALUE"""),"PENAGOS VELEZ, EMILIO")</f>
        <v>PENAGOS VELEZ, EMILIO</v>
      </c>
      <c r="D1175" t="str">
        <f>IFERROR(__xludf.DUMMYFUNCTION("""COMPUTED_VALUE"""),"AP Precalculus")</f>
        <v>AP Precalculus</v>
      </c>
      <c r="E1175" s="3">
        <f>IFERROR(__xludf.DUMMYFUNCTION("""COMPUTED_VALUE"""),3.0)</f>
        <v>3</v>
      </c>
      <c r="F1175" s="300">
        <v>1.0</v>
      </c>
      <c r="G1175" s="300">
        <v>1.0</v>
      </c>
      <c r="H1175" s="300">
        <v>1.0</v>
      </c>
      <c r="I1175" s="300">
        <v>1.0</v>
      </c>
      <c r="J1175" s="300">
        <v>1.0</v>
      </c>
      <c r="K1175" s="300">
        <v>1.0</v>
      </c>
      <c r="L1175" s="300">
        <v>1.0</v>
      </c>
      <c r="M1175" s="300">
        <v>1.0</v>
      </c>
      <c r="N1175" s="300">
        <v>8.0</v>
      </c>
      <c r="O1175" s="300" t="s">
        <v>847</v>
      </c>
      <c r="P1175" s="300">
        <v>2.0</v>
      </c>
    </row>
    <row r="1176">
      <c r="A1176">
        <f>IFERROR(__xludf.DUMMYFUNCTION("""COMPUTED_VALUE"""),10.0)</f>
        <v>10</v>
      </c>
      <c r="B1176" s="406">
        <f>IFERROR(__xludf.DUMMYFUNCTION("""COMPUTED_VALUE"""),28105.0)</f>
        <v>28105</v>
      </c>
      <c r="C1176" t="str">
        <f>IFERROR(__xludf.DUMMYFUNCTION("""COMPUTED_VALUE"""),"TABARES MORENO, LUCAS")</f>
        <v>TABARES MORENO, LUCAS</v>
      </c>
      <c r="D1176" t="str">
        <f>IFERROR(__xludf.DUMMYFUNCTION("""COMPUTED_VALUE"""),"Geometry")</f>
        <v>Geometry</v>
      </c>
      <c r="E1176" s="3">
        <f>IFERROR(__xludf.DUMMYFUNCTION("""COMPUTED_VALUE"""),4.0)</f>
        <v>4</v>
      </c>
      <c r="F1176" s="300">
        <v>1.0</v>
      </c>
      <c r="G1176" s="300">
        <v>1.0</v>
      </c>
      <c r="H1176" s="300">
        <v>1.0</v>
      </c>
      <c r="I1176" s="300">
        <v>1.0</v>
      </c>
      <c r="J1176" s="300">
        <v>1.0</v>
      </c>
      <c r="K1176" s="300">
        <v>1.0</v>
      </c>
      <c r="L1176" s="300">
        <v>1.0</v>
      </c>
      <c r="M1176" s="300">
        <v>1.0</v>
      </c>
      <c r="N1176" s="300">
        <v>8.0</v>
      </c>
      <c r="O1176" s="300" t="s">
        <v>849</v>
      </c>
      <c r="P1176" s="300">
        <v>7.0</v>
      </c>
    </row>
    <row r="1177">
      <c r="A1177">
        <f>IFERROR(__xludf.DUMMYFUNCTION("""COMPUTED_VALUE"""),10.0)</f>
        <v>10</v>
      </c>
      <c r="B1177" s="406">
        <f>IFERROR(__xludf.DUMMYFUNCTION("""COMPUTED_VALUE"""),28017.0)</f>
        <v>28017</v>
      </c>
      <c r="C1177" t="str">
        <f>IFERROR(__xludf.DUMMYFUNCTION("""COMPUTED_VALUE"""),"BUHOFER DUQUE, ANDREAS EMILIO")</f>
        <v>BUHOFER DUQUE, ANDREAS EMILIO</v>
      </c>
      <c r="D1177" t="str">
        <f>IFERROR(__xludf.DUMMYFUNCTION("""COMPUTED_VALUE"""),"Geometry")</f>
        <v>Geometry</v>
      </c>
      <c r="E1177" s="3">
        <f>IFERROR(__xludf.DUMMYFUNCTION("""COMPUTED_VALUE"""),4.0)</f>
        <v>4</v>
      </c>
      <c r="F1177" s="300">
        <v>1.0</v>
      </c>
      <c r="G1177" s="300">
        <v>1.0</v>
      </c>
      <c r="H1177" s="300">
        <v>1.0</v>
      </c>
      <c r="I1177" s="300">
        <v>1.0</v>
      </c>
      <c r="J1177" s="300">
        <v>1.0</v>
      </c>
      <c r="K1177" s="300">
        <v>1.0</v>
      </c>
      <c r="L1177" s="300">
        <v>1.0</v>
      </c>
      <c r="M1177" s="300">
        <v>1.0</v>
      </c>
      <c r="N1177" s="300">
        <v>8.0</v>
      </c>
      <c r="O1177" s="300" t="s">
        <v>849</v>
      </c>
      <c r="P1177" s="300">
        <v>7.0</v>
      </c>
    </row>
    <row r="1178">
      <c r="A1178">
        <f>IFERROR(__xludf.DUMMYFUNCTION("""COMPUTED_VALUE"""),10.0)</f>
        <v>10</v>
      </c>
      <c r="B1178" s="406">
        <f>IFERROR(__xludf.DUMMYFUNCTION("""COMPUTED_VALUE"""),28056.0)</f>
        <v>28056</v>
      </c>
      <c r="C1178" t="str">
        <f>IFERROR(__xludf.DUMMYFUNCTION("""COMPUTED_VALUE"""),"LOPEZ RODRIGUEZ, MAR")</f>
        <v>LOPEZ RODRIGUEZ, MAR</v>
      </c>
      <c r="D1178" t="str">
        <f>IFERROR(__xludf.DUMMYFUNCTION("""COMPUTED_VALUE"""),"Geometry")</f>
        <v>Geometry</v>
      </c>
      <c r="E1178" s="3">
        <f>IFERROR(__xludf.DUMMYFUNCTION("""COMPUTED_VALUE"""),7.0)</f>
        <v>7</v>
      </c>
      <c r="F1178" s="300">
        <v>1.0</v>
      </c>
      <c r="G1178" s="300">
        <v>1.0</v>
      </c>
      <c r="H1178" s="300">
        <v>1.0</v>
      </c>
      <c r="I1178" s="300">
        <v>1.0</v>
      </c>
      <c r="J1178" s="300">
        <v>1.0</v>
      </c>
      <c r="K1178" s="300">
        <v>1.0</v>
      </c>
      <c r="L1178" s="300">
        <v>1.0</v>
      </c>
      <c r="M1178" s="300">
        <v>1.0</v>
      </c>
      <c r="N1178" s="300">
        <v>8.0</v>
      </c>
      <c r="O1178" s="300" t="s">
        <v>839</v>
      </c>
      <c r="P1178" s="300">
        <v>7.0</v>
      </c>
    </row>
    <row r="1179">
      <c r="A1179">
        <f>IFERROR(__xludf.DUMMYFUNCTION("""COMPUTED_VALUE"""),10.0)</f>
        <v>10</v>
      </c>
      <c r="B1179" s="406">
        <f>IFERROR(__xludf.DUMMYFUNCTION("""COMPUTED_VALUE"""),27041.0)</f>
        <v>27041</v>
      </c>
      <c r="C1179" t="str">
        <f>IFERROR(__xludf.DUMMYFUNCTION("""COMPUTED_VALUE"""),"GALVEZ ATEHORTUA, JUANITA")</f>
        <v>GALVEZ ATEHORTUA, JUANITA</v>
      </c>
      <c r="D1179" t="str">
        <f>IFERROR(__xludf.DUMMYFUNCTION("""COMPUTED_VALUE"""),"AP Precalculus")</f>
        <v>AP Precalculus</v>
      </c>
      <c r="E1179" s="3">
        <f>IFERROR(__xludf.DUMMYFUNCTION("""COMPUTED_VALUE"""),2.0)</f>
        <v>2</v>
      </c>
      <c r="F1179" s="300">
        <v>1.0</v>
      </c>
      <c r="G1179" s="300">
        <v>1.0</v>
      </c>
      <c r="H1179" s="300">
        <v>1.0</v>
      </c>
      <c r="I1179" s="300">
        <v>1.0</v>
      </c>
      <c r="J1179" s="300">
        <v>1.0</v>
      </c>
      <c r="K1179" s="300">
        <v>1.0</v>
      </c>
      <c r="L1179" s="300">
        <v>1.0</v>
      </c>
      <c r="M1179" s="300">
        <v>1.0</v>
      </c>
      <c r="N1179" s="300">
        <v>8.0</v>
      </c>
      <c r="O1179" s="300" t="s">
        <v>846</v>
      </c>
      <c r="P1179" s="300">
        <v>2.0</v>
      </c>
    </row>
    <row r="1180">
      <c r="A1180">
        <f>IFERROR(__xludf.DUMMYFUNCTION("""COMPUTED_VALUE"""),10.0)</f>
        <v>10</v>
      </c>
      <c r="B1180" s="406">
        <f>IFERROR(__xludf.DUMMYFUNCTION("""COMPUTED_VALUE"""),28058.0)</f>
        <v>28058</v>
      </c>
      <c r="C1180" t="str">
        <f>IFERROR(__xludf.DUMMYFUNCTION("""COMPUTED_VALUE"""),"MARULANDA VARGAS, ELISA")</f>
        <v>MARULANDA VARGAS, ELISA</v>
      </c>
      <c r="D1180" t="str">
        <f>IFERROR(__xludf.DUMMYFUNCTION("""COMPUTED_VALUE"""),"Geometry")</f>
        <v>Geometry</v>
      </c>
      <c r="E1180" s="3">
        <f>IFERROR(__xludf.DUMMYFUNCTION("""COMPUTED_VALUE"""),6.0)</f>
        <v>6</v>
      </c>
      <c r="F1180" s="300">
        <v>1.0</v>
      </c>
      <c r="G1180" s="300">
        <v>1.0</v>
      </c>
      <c r="H1180" s="300">
        <v>1.0</v>
      </c>
      <c r="I1180" s="300">
        <v>1.0</v>
      </c>
      <c r="J1180" s="300">
        <v>1.0</v>
      </c>
      <c r="K1180" s="300">
        <v>1.0</v>
      </c>
      <c r="L1180" s="300">
        <v>1.0</v>
      </c>
      <c r="M1180" s="300">
        <v>1.0</v>
      </c>
      <c r="N1180" s="300">
        <v>8.0</v>
      </c>
      <c r="O1180" s="300" t="s">
        <v>848</v>
      </c>
      <c r="P1180" s="300">
        <v>7.0</v>
      </c>
    </row>
    <row r="1181">
      <c r="A1181">
        <f>IFERROR(__xludf.DUMMYFUNCTION("""COMPUTED_VALUE"""),10.0)</f>
        <v>10</v>
      </c>
      <c r="B1181" s="406">
        <f>IFERROR(__xludf.DUMMYFUNCTION("""COMPUTED_VALUE"""),28043.0)</f>
        <v>28043</v>
      </c>
      <c r="C1181" t="str">
        <f>IFERROR(__xludf.DUMMYFUNCTION("""COMPUTED_VALUE"""),"GUTIERREZ ABUCHAR, TOMAS")</f>
        <v>GUTIERREZ ABUCHAR, TOMAS</v>
      </c>
      <c r="D1181" t="str">
        <f>IFERROR(__xludf.DUMMYFUNCTION("""COMPUTED_VALUE"""),"Geometry")</f>
        <v>Geometry</v>
      </c>
      <c r="E1181" s="3">
        <f>IFERROR(__xludf.DUMMYFUNCTION("""COMPUTED_VALUE"""),6.0)</f>
        <v>6</v>
      </c>
      <c r="F1181" s="300">
        <v>1.0</v>
      </c>
      <c r="G1181" s="300">
        <v>1.0</v>
      </c>
      <c r="H1181" s="300">
        <v>1.0</v>
      </c>
      <c r="I1181" s="300">
        <v>1.0</v>
      </c>
      <c r="J1181" s="300">
        <v>1.0</v>
      </c>
      <c r="K1181" s="300">
        <v>1.0</v>
      </c>
      <c r="L1181" s="300">
        <v>1.0</v>
      </c>
      <c r="M1181" s="300">
        <v>1.0</v>
      </c>
      <c r="N1181" s="300">
        <v>8.0</v>
      </c>
      <c r="O1181" s="300" t="s">
        <v>848</v>
      </c>
      <c r="P1181" s="300">
        <v>7.0</v>
      </c>
    </row>
    <row r="1182">
      <c r="A1182">
        <f>IFERROR(__xludf.DUMMYFUNCTION("""COMPUTED_VALUE"""),10.0)</f>
        <v>10</v>
      </c>
      <c r="B1182" s="406">
        <f>IFERROR(__xludf.DUMMYFUNCTION("""COMPUTED_VALUE"""),28113.0)</f>
        <v>28113</v>
      </c>
      <c r="C1182" t="str">
        <f>IFERROR(__xludf.DUMMYFUNCTION("""COMPUTED_VALUE"""),"VELEZ COCK, ELISA")</f>
        <v>VELEZ COCK, ELISA</v>
      </c>
      <c r="D1182" t="str">
        <f>IFERROR(__xludf.DUMMYFUNCTION("""COMPUTED_VALUE"""),"Algebra II")</f>
        <v>Algebra II</v>
      </c>
      <c r="E1182" s="3">
        <f>IFERROR(__xludf.DUMMYFUNCTION("""COMPUTED_VALUE"""),8.0)</f>
        <v>8</v>
      </c>
      <c r="F1182" s="300">
        <v>1.0</v>
      </c>
      <c r="G1182" s="300">
        <v>1.0</v>
      </c>
      <c r="H1182" s="300">
        <v>1.0</v>
      </c>
      <c r="I1182" s="300">
        <v>1.0</v>
      </c>
      <c r="J1182" s="300">
        <v>1.0</v>
      </c>
      <c r="K1182" s="300">
        <v>1.0</v>
      </c>
      <c r="L1182" s="300">
        <v>1.0</v>
      </c>
      <c r="M1182" s="300">
        <v>1.0</v>
      </c>
      <c r="N1182" s="300">
        <v>8.0</v>
      </c>
      <c r="O1182" s="300" t="s">
        <v>850</v>
      </c>
      <c r="P1182" s="300">
        <v>5.0</v>
      </c>
    </row>
    <row r="1183">
      <c r="A1183">
        <f>IFERROR(__xludf.DUMMYFUNCTION("""COMPUTED_VALUE"""),10.0)</f>
        <v>10</v>
      </c>
      <c r="B1183" s="406">
        <f>IFERROR(__xludf.DUMMYFUNCTION("""COMPUTED_VALUE"""),28157.0)</f>
        <v>28157</v>
      </c>
      <c r="C1183" t="str">
        <f>IFERROR(__xludf.DUMMYFUNCTION("""COMPUTED_VALUE"""),"ORTEGA OCHOA, FEDERICO")</f>
        <v>ORTEGA OCHOA, FEDERICO</v>
      </c>
      <c r="D1183" t="str">
        <f>IFERROR(__xludf.DUMMYFUNCTION("""COMPUTED_VALUE"""),"AP Precalculus")</f>
        <v>AP Precalculus</v>
      </c>
      <c r="E1183" s="3">
        <f>IFERROR(__xludf.DUMMYFUNCTION("""COMPUTED_VALUE"""),2.0)</f>
        <v>2</v>
      </c>
      <c r="F1183" s="300">
        <v>1.0</v>
      </c>
      <c r="G1183" s="300">
        <v>1.0</v>
      </c>
      <c r="H1183" s="300">
        <v>1.0</v>
      </c>
      <c r="I1183" s="300">
        <v>1.0</v>
      </c>
      <c r="J1183" s="300">
        <v>1.0</v>
      </c>
      <c r="K1183" s="300">
        <v>1.0</v>
      </c>
      <c r="L1183" s="300">
        <v>1.0</v>
      </c>
      <c r="M1183" s="300">
        <v>1.0</v>
      </c>
      <c r="N1183" s="300">
        <v>8.0</v>
      </c>
      <c r="O1183" s="300" t="s">
        <v>846</v>
      </c>
      <c r="P1183" s="300">
        <v>2.0</v>
      </c>
    </row>
    <row r="1184">
      <c r="A1184">
        <f>IFERROR(__xludf.DUMMYFUNCTION("""COMPUTED_VALUE"""),10.0)</f>
        <v>10</v>
      </c>
      <c r="B1184" s="406">
        <f>IFERROR(__xludf.DUMMYFUNCTION("""COMPUTED_VALUE"""),28098.0)</f>
        <v>28098</v>
      </c>
      <c r="C1184" t="str">
        <f>IFERROR(__xludf.DUMMYFUNCTION("""COMPUTED_VALUE"""),"ROBLEDO LLANO, MAXIMILIANO")</f>
        <v>ROBLEDO LLANO, MAXIMILIANO</v>
      </c>
      <c r="D1184" t="str">
        <f>IFERROR(__xludf.DUMMYFUNCTION("""COMPUTED_VALUE"""),"Geometry")</f>
        <v>Geometry</v>
      </c>
      <c r="E1184" s="3">
        <f>IFERROR(__xludf.DUMMYFUNCTION("""COMPUTED_VALUE"""),7.0)</f>
        <v>7</v>
      </c>
      <c r="F1184" s="300">
        <v>1.0</v>
      </c>
      <c r="G1184" s="300">
        <v>1.0</v>
      </c>
      <c r="H1184" s="300">
        <v>1.0</v>
      </c>
      <c r="I1184" s="300">
        <v>1.0</v>
      </c>
      <c r="J1184" s="300">
        <v>1.0</v>
      </c>
      <c r="K1184" s="300">
        <v>1.0</v>
      </c>
      <c r="L1184" s="300">
        <v>1.0</v>
      </c>
      <c r="M1184" s="300">
        <v>1.0</v>
      </c>
      <c r="N1184" s="300">
        <v>8.0</v>
      </c>
      <c r="O1184" s="300" t="s">
        <v>839</v>
      </c>
      <c r="P1184" s="300">
        <v>7.0</v>
      </c>
    </row>
    <row r="1185">
      <c r="A1185">
        <f>IFERROR(__xludf.DUMMYFUNCTION("""COMPUTED_VALUE"""),10.0)</f>
        <v>10</v>
      </c>
      <c r="B1185" s="406">
        <f>IFERROR(__xludf.DUMMYFUNCTION("""COMPUTED_VALUE"""),28117.0)</f>
        <v>28117</v>
      </c>
      <c r="C1185" t="str">
        <f>IFERROR(__xludf.DUMMYFUNCTION("""COMPUTED_VALUE"""),"VILLEGAS BOTERO, MARIANA")</f>
        <v>VILLEGAS BOTERO, MARIANA</v>
      </c>
      <c r="D1185" t="str">
        <f>IFERROR(__xludf.DUMMYFUNCTION("""COMPUTED_VALUE"""),"Geometry")</f>
        <v>Geometry</v>
      </c>
      <c r="E1185" s="3">
        <f>IFERROR(__xludf.DUMMYFUNCTION("""COMPUTED_VALUE"""),4.0)</f>
        <v>4</v>
      </c>
      <c r="F1185" s="300">
        <v>1.0</v>
      </c>
      <c r="G1185" s="300">
        <v>1.0</v>
      </c>
      <c r="H1185" s="300">
        <v>1.0</v>
      </c>
      <c r="I1185" s="300">
        <v>1.0</v>
      </c>
      <c r="J1185" s="300">
        <v>1.0</v>
      </c>
      <c r="K1185" s="300">
        <v>1.0</v>
      </c>
      <c r="L1185" s="300">
        <v>1.0</v>
      </c>
      <c r="M1185" s="300">
        <v>1.0</v>
      </c>
      <c r="N1185" s="300">
        <v>8.0</v>
      </c>
      <c r="O1185" s="300" t="s">
        <v>849</v>
      </c>
      <c r="P1185" s="300">
        <v>7.0</v>
      </c>
    </row>
    <row r="1186">
      <c r="A1186">
        <f>IFERROR(__xludf.DUMMYFUNCTION("""COMPUTED_VALUE"""),10.0)</f>
        <v>10</v>
      </c>
      <c r="B1186" s="406">
        <f>IFERROR(__xludf.DUMMYFUNCTION("""COMPUTED_VALUE"""),28100.0)</f>
        <v>28100</v>
      </c>
      <c r="C1186" t="str">
        <f>IFERROR(__xludf.DUMMYFUNCTION("""COMPUTED_VALUE"""),"RODRIGUEZ SALDARRIAGA, SOFIA")</f>
        <v>RODRIGUEZ SALDARRIAGA, SOFIA</v>
      </c>
      <c r="D1186" t="str">
        <f>IFERROR(__xludf.DUMMYFUNCTION("""COMPUTED_VALUE"""),"Algebra II")</f>
        <v>Algebra II</v>
      </c>
      <c r="E1186" s="3">
        <f>IFERROR(__xludf.DUMMYFUNCTION("""COMPUTED_VALUE"""),5.0)</f>
        <v>5</v>
      </c>
      <c r="F1186" s="300">
        <v>1.0</v>
      </c>
      <c r="G1186" s="300">
        <v>1.0</v>
      </c>
      <c r="H1186" s="300">
        <v>1.0</v>
      </c>
      <c r="I1186" s="300">
        <v>1.0</v>
      </c>
      <c r="J1186" s="300">
        <v>1.0</v>
      </c>
      <c r="K1186" s="300">
        <v>1.0</v>
      </c>
      <c r="L1186" s="300">
        <v>1.0</v>
      </c>
      <c r="M1186" s="300">
        <v>1.0</v>
      </c>
      <c r="N1186" s="300">
        <v>8.0</v>
      </c>
      <c r="O1186" s="300" t="s">
        <v>851</v>
      </c>
      <c r="P1186" s="300">
        <v>5.0</v>
      </c>
    </row>
    <row r="1187">
      <c r="A1187">
        <f>IFERROR(__xludf.DUMMYFUNCTION("""COMPUTED_VALUE"""),10.0)</f>
        <v>10</v>
      </c>
      <c r="B1187" s="406">
        <f>IFERROR(__xludf.DUMMYFUNCTION("""COMPUTED_VALUE"""),28097.0)</f>
        <v>28097</v>
      </c>
      <c r="C1187" t="str">
        <f>IFERROR(__xludf.DUMMYFUNCTION("""COMPUTED_VALUE"""),"RINCON URIBE, CAMILA")</f>
        <v>RINCON URIBE, CAMILA</v>
      </c>
      <c r="D1187" t="str">
        <f>IFERROR(__xludf.DUMMYFUNCTION("""COMPUTED_VALUE"""),"Algebra II")</f>
        <v>Algebra II</v>
      </c>
      <c r="E1187" s="3">
        <f>IFERROR(__xludf.DUMMYFUNCTION("""COMPUTED_VALUE"""),8.0)</f>
        <v>8</v>
      </c>
      <c r="F1187" s="300">
        <v>1.0</v>
      </c>
      <c r="G1187" s="300">
        <v>1.0</v>
      </c>
      <c r="H1187" s="300">
        <v>1.0</v>
      </c>
      <c r="I1187" s="300">
        <v>1.0</v>
      </c>
      <c r="J1187" s="300">
        <v>1.0</v>
      </c>
      <c r="K1187" s="300">
        <v>1.0</v>
      </c>
      <c r="L1187" s="300">
        <v>1.0</v>
      </c>
      <c r="M1187" s="300">
        <v>1.0</v>
      </c>
      <c r="N1187" s="300">
        <v>8.0</v>
      </c>
      <c r="O1187" s="300" t="s">
        <v>850</v>
      </c>
      <c r="P1187" s="300">
        <v>5.0</v>
      </c>
    </row>
    <row r="1188">
      <c r="A1188">
        <f>IFERROR(__xludf.DUMMYFUNCTION("""COMPUTED_VALUE"""),10.0)</f>
        <v>10</v>
      </c>
      <c r="B1188" s="406">
        <f>IFERROR(__xludf.DUMMYFUNCTION("""COMPUTED_VALUE"""),28053.0)</f>
        <v>28053</v>
      </c>
      <c r="C1188" t="str">
        <f>IFERROR(__xludf.DUMMYFUNCTION("""COMPUTED_VALUE"""),"LOPERA VILLA, ELENA")</f>
        <v>LOPERA VILLA, ELENA</v>
      </c>
      <c r="D1188" t="str">
        <f>IFERROR(__xludf.DUMMYFUNCTION("""COMPUTED_VALUE"""),"Algebra II")</f>
        <v>Algebra II</v>
      </c>
      <c r="E1188" s="3">
        <f>IFERROR(__xludf.DUMMYFUNCTION("""COMPUTED_VALUE"""),1.0)</f>
        <v>1</v>
      </c>
      <c r="F1188" s="300">
        <v>1.0</v>
      </c>
      <c r="G1188" s="300">
        <v>1.0</v>
      </c>
      <c r="H1188" s="300">
        <v>1.0</v>
      </c>
      <c r="I1188" s="300">
        <v>1.0</v>
      </c>
      <c r="J1188" s="300">
        <v>1.0</v>
      </c>
      <c r="K1188" s="300">
        <v>1.0</v>
      </c>
      <c r="L1188" s="300">
        <v>1.0</v>
      </c>
      <c r="M1188" s="300">
        <v>1.0</v>
      </c>
      <c r="N1188" s="300">
        <v>8.0</v>
      </c>
      <c r="O1188" s="300" t="s">
        <v>852</v>
      </c>
      <c r="P1188" s="300">
        <v>5.0</v>
      </c>
    </row>
    <row r="1189">
      <c r="A1189">
        <f>IFERROR(__xludf.DUMMYFUNCTION("""COMPUTED_VALUE"""),10.0)</f>
        <v>10</v>
      </c>
      <c r="B1189" s="406">
        <f>IFERROR(__xludf.DUMMYFUNCTION("""COMPUTED_VALUE"""),28090.0)</f>
        <v>28090</v>
      </c>
      <c r="C1189" t="str">
        <f>IFERROR(__xludf.DUMMYFUNCTION("""COMPUTED_VALUE"""),"REINOSO TRUJILLO, TOMAS")</f>
        <v>REINOSO TRUJILLO, TOMAS</v>
      </c>
      <c r="D1189" t="str">
        <f>IFERROR(__xludf.DUMMYFUNCTION("""COMPUTED_VALUE"""),"AP Precalculus")</f>
        <v>AP Precalculus</v>
      </c>
      <c r="E1189" s="3">
        <f>IFERROR(__xludf.DUMMYFUNCTION("""COMPUTED_VALUE"""),3.0)</f>
        <v>3</v>
      </c>
      <c r="F1189" s="300">
        <v>1.0</v>
      </c>
      <c r="G1189" s="300">
        <v>1.0</v>
      </c>
      <c r="H1189" s="300">
        <v>1.0</v>
      </c>
      <c r="I1189" s="300">
        <v>1.0</v>
      </c>
      <c r="J1189" s="300">
        <v>1.0</v>
      </c>
      <c r="K1189" s="300">
        <v>1.0</v>
      </c>
      <c r="L1189" s="300">
        <v>1.0</v>
      </c>
      <c r="M1189" s="300">
        <v>1.0</v>
      </c>
      <c r="N1189" s="300">
        <v>8.0</v>
      </c>
      <c r="O1189" s="300" t="s">
        <v>847</v>
      </c>
      <c r="P1189" s="300">
        <v>2.0</v>
      </c>
    </row>
    <row r="1190">
      <c r="A1190">
        <f>IFERROR(__xludf.DUMMYFUNCTION("""COMPUTED_VALUE"""),10.0)</f>
        <v>10</v>
      </c>
      <c r="B1190" s="406">
        <f>IFERROR(__xludf.DUMMYFUNCTION("""COMPUTED_VALUE"""),28050.0)</f>
        <v>28050</v>
      </c>
      <c r="C1190" t="str">
        <f>IFERROR(__xludf.DUMMYFUNCTION("""COMPUTED_VALUE"""),"JARAMILLO FERNANDEZ, EMILIO")</f>
        <v>JARAMILLO FERNANDEZ, EMILIO</v>
      </c>
      <c r="D1190" t="str">
        <f>IFERROR(__xludf.DUMMYFUNCTION("""COMPUTED_VALUE"""),"AP Precalculus")</f>
        <v>AP Precalculus</v>
      </c>
      <c r="E1190" s="3">
        <f>IFERROR(__xludf.DUMMYFUNCTION("""COMPUTED_VALUE"""),2.0)</f>
        <v>2</v>
      </c>
      <c r="F1190" s="300">
        <v>1.0</v>
      </c>
      <c r="G1190" s="300">
        <v>1.0</v>
      </c>
      <c r="H1190" s="300">
        <v>1.0</v>
      </c>
      <c r="I1190" s="300">
        <v>1.0</v>
      </c>
      <c r="J1190" s="300">
        <v>1.0</v>
      </c>
      <c r="K1190" s="300">
        <v>1.0</v>
      </c>
      <c r="L1190" s="300">
        <v>1.0</v>
      </c>
      <c r="M1190" s="300">
        <v>1.0</v>
      </c>
      <c r="N1190" s="300">
        <v>8.0</v>
      </c>
      <c r="O1190" s="300" t="s">
        <v>846</v>
      </c>
      <c r="P1190" s="300">
        <v>2.0</v>
      </c>
    </row>
    <row r="1191">
      <c r="A1191">
        <f>IFERROR(__xludf.DUMMYFUNCTION("""COMPUTED_VALUE"""),10.0)</f>
        <v>10</v>
      </c>
      <c r="B1191" s="406">
        <f>IFERROR(__xludf.DUMMYFUNCTION("""COMPUTED_VALUE"""),28031.0)</f>
        <v>28031</v>
      </c>
      <c r="C1191" t="str">
        <f>IFERROR(__xludf.DUMMYFUNCTION("""COMPUTED_VALUE"""),"GALLEGO CUARTAS, NICOLAS")</f>
        <v>GALLEGO CUARTAS, NICOLAS</v>
      </c>
      <c r="D1191" t="str">
        <f>IFERROR(__xludf.DUMMYFUNCTION("""COMPUTED_VALUE"""),"Geometry")</f>
        <v>Geometry</v>
      </c>
      <c r="E1191" s="3">
        <f>IFERROR(__xludf.DUMMYFUNCTION("""COMPUTED_VALUE"""),3.0)</f>
        <v>3</v>
      </c>
      <c r="F1191" s="300">
        <v>1.0</v>
      </c>
      <c r="G1191" s="300">
        <v>1.0</v>
      </c>
      <c r="H1191" s="300">
        <v>1.0</v>
      </c>
      <c r="I1191" s="300">
        <v>1.0</v>
      </c>
      <c r="J1191" s="300">
        <v>1.0</v>
      </c>
      <c r="K1191" s="300">
        <v>1.0</v>
      </c>
      <c r="L1191" s="300">
        <v>1.0</v>
      </c>
      <c r="M1191" s="300">
        <v>1.0</v>
      </c>
      <c r="N1191" s="300">
        <v>8.0</v>
      </c>
      <c r="O1191" s="300" t="s">
        <v>840</v>
      </c>
      <c r="P1191" s="300">
        <v>7.0</v>
      </c>
    </row>
    <row r="1192">
      <c r="A1192">
        <f>IFERROR(__xludf.DUMMYFUNCTION("""COMPUTED_VALUE"""),10.0)</f>
        <v>10</v>
      </c>
      <c r="B1192" s="406">
        <f>IFERROR(__xludf.DUMMYFUNCTION("""COMPUTED_VALUE"""),28162.0)</f>
        <v>28162</v>
      </c>
      <c r="C1192" t="str">
        <f>IFERROR(__xludf.DUMMYFUNCTION("""COMPUTED_VALUE"""),"OSPINA BENEDETI, AGUSTIN")</f>
        <v>OSPINA BENEDETI, AGUSTIN</v>
      </c>
      <c r="D1192" t="str">
        <f>IFERROR(__xludf.DUMMYFUNCTION("""COMPUTED_VALUE"""),"Geometry")</f>
        <v>Geometry</v>
      </c>
      <c r="E1192" s="3">
        <f>IFERROR(__xludf.DUMMYFUNCTION("""COMPUTED_VALUE"""),6.0)</f>
        <v>6</v>
      </c>
      <c r="F1192" s="300">
        <v>1.0</v>
      </c>
      <c r="G1192" s="300">
        <v>1.0</v>
      </c>
      <c r="H1192" s="300">
        <v>1.0</v>
      </c>
      <c r="I1192" s="300">
        <v>1.0</v>
      </c>
      <c r="J1192" s="300">
        <v>1.0</v>
      </c>
      <c r="K1192" s="300">
        <v>1.0</v>
      </c>
      <c r="L1192" s="300">
        <v>1.0</v>
      </c>
      <c r="M1192" s="300">
        <v>1.0</v>
      </c>
      <c r="N1192" s="300">
        <v>8.0</v>
      </c>
      <c r="O1192" s="300" t="s">
        <v>848</v>
      </c>
      <c r="P1192" s="300">
        <v>7.0</v>
      </c>
    </row>
    <row r="1193">
      <c r="A1193">
        <f>IFERROR(__xludf.DUMMYFUNCTION("""COMPUTED_VALUE"""),10.0)</f>
        <v>10</v>
      </c>
      <c r="B1193" s="406">
        <f>IFERROR(__xludf.DUMMYFUNCTION("""COMPUTED_VALUE"""),28121.0)</f>
        <v>28121</v>
      </c>
      <c r="C1193" t="str">
        <f>IFERROR(__xludf.DUMMYFUNCTION("""COMPUTED_VALUE"""),"MC LEAN HIDRON, LUCAS")</f>
        <v>MC LEAN HIDRON, LUCAS</v>
      </c>
      <c r="D1193" t="str">
        <f>IFERROR(__xludf.DUMMYFUNCTION("""COMPUTED_VALUE"""),"Algebra II")</f>
        <v>Algebra II</v>
      </c>
      <c r="E1193" s="3">
        <f>IFERROR(__xludf.DUMMYFUNCTION("""COMPUTED_VALUE"""),5.0)</f>
        <v>5</v>
      </c>
      <c r="F1193" s="300">
        <v>1.0</v>
      </c>
      <c r="G1193" s="300">
        <v>1.0</v>
      </c>
      <c r="H1193" s="300">
        <v>1.0</v>
      </c>
      <c r="I1193" s="300">
        <v>1.0</v>
      </c>
      <c r="J1193" s="300">
        <v>1.0</v>
      </c>
      <c r="K1193" s="300">
        <v>1.0</v>
      </c>
      <c r="L1193" s="300">
        <v>1.0</v>
      </c>
      <c r="M1193" s="300">
        <v>1.0</v>
      </c>
      <c r="N1193" s="300">
        <v>8.0</v>
      </c>
      <c r="O1193" s="300" t="s">
        <v>851</v>
      </c>
      <c r="P1193" s="300">
        <v>5.0</v>
      </c>
    </row>
    <row r="1194">
      <c r="A1194">
        <f>IFERROR(__xludf.DUMMYFUNCTION("""COMPUTED_VALUE"""),10.0)</f>
        <v>10</v>
      </c>
      <c r="B1194" s="406">
        <f>IFERROR(__xludf.DUMMYFUNCTION("""COMPUTED_VALUE"""),28016.0)</f>
        <v>28016</v>
      </c>
      <c r="C1194" t="str">
        <f>IFERROR(__xludf.DUMMYFUNCTION("""COMPUTED_VALUE"""),"BOTERO CASTAÑEDA, CARMEN")</f>
        <v>BOTERO CASTAÑEDA, CARMEN</v>
      </c>
      <c r="D1194" t="str">
        <f>IFERROR(__xludf.DUMMYFUNCTION("""COMPUTED_VALUE"""),"Geometry")</f>
        <v>Geometry</v>
      </c>
      <c r="E1194" s="3">
        <f>IFERROR(__xludf.DUMMYFUNCTION("""COMPUTED_VALUE"""),6.0)</f>
        <v>6</v>
      </c>
      <c r="F1194" s="300">
        <v>1.0</v>
      </c>
      <c r="G1194" s="300">
        <v>1.0</v>
      </c>
      <c r="H1194" s="300">
        <v>1.0</v>
      </c>
      <c r="I1194" s="300">
        <v>1.0</v>
      </c>
      <c r="J1194" s="300">
        <v>1.0</v>
      </c>
      <c r="K1194" s="300">
        <v>1.0</v>
      </c>
      <c r="L1194" s="300">
        <v>1.0</v>
      </c>
      <c r="M1194" s="300">
        <v>1.0</v>
      </c>
      <c r="N1194" s="300">
        <v>8.0</v>
      </c>
      <c r="O1194" s="300" t="s">
        <v>848</v>
      </c>
      <c r="P1194" s="300">
        <v>7.0</v>
      </c>
    </row>
    <row r="1195">
      <c r="A1195">
        <f>IFERROR(__xludf.DUMMYFUNCTION("""COMPUTED_VALUE"""),10.0)</f>
        <v>10</v>
      </c>
      <c r="B1195" s="406">
        <f>IFERROR(__xludf.DUMMYFUNCTION("""COMPUTED_VALUE"""),28170.0)</f>
        <v>28170</v>
      </c>
      <c r="C1195" t="str">
        <f>IFERROR(__xludf.DUMMYFUNCTION("""COMPUTED_VALUE"""),"GOMEZ AMADOR, EMMA")</f>
        <v>GOMEZ AMADOR, EMMA</v>
      </c>
      <c r="D1195" t="str">
        <f>IFERROR(__xludf.DUMMYFUNCTION("""COMPUTED_VALUE"""),"Geometry")</f>
        <v>Geometry</v>
      </c>
      <c r="E1195" s="3">
        <f>IFERROR(__xludf.DUMMYFUNCTION("""COMPUTED_VALUE"""),3.0)</f>
        <v>3</v>
      </c>
      <c r="F1195" s="300">
        <v>1.0</v>
      </c>
      <c r="G1195" s="300">
        <v>1.0</v>
      </c>
      <c r="H1195" s="300">
        <v>1.0</v>
      </c>
      <c r="I1195" s="300">
        <v>1.0</v>
      </c>
      <c r="J1195" s="300">
        <v>1.0</v>
      </c>
      <c r="K1195" s="300">
        <v>1.0</v>
      </c>
      <c r="L1195" s="300">
        <v>1.0</v>
      </c>
      <c r="M1195" s="300">
        <v>1.0</v>
      </c>
      <c r="N1195" s="300">
        <v>8.0</v>
      </c>
      <c r="O1195" s="300" t="s">
        <v>840</v>
      </c>
      <c r="P1195" s="300">
        <v>7.0</v>
      </c>
    </row>
    <row r="1196">
      <c r="A1196">
        <f>IFERROR(__xludf.DUMMYFUNCTION("""COMPUTED_VALUE"""),10.0)</f>
        <v>10</v>
      </c>
      <c r="B1196" s="406">
        <f>IFERROR(__xludf.DUMMYFUNCTION("""COMPUTED_VALUE"""),28054.0)</f>
        <v>28054</v>
      </c>
      <c r="C1196" t="str">
        <f>IFERROR(__xludf.DUMMYFUNCTION("""COMPUTED_VALUE"""),"LOPEZ ESCOBAR, CLEMENTE")</f>
        <v>LOPEZ ESCOBAR, CLEMENTE</v>
      </c>
      <c r="D1196" t="str">
        <f>IFERROR(__xludf.DUMMYFUNCTION("""COMPUTED_VALUE"""),"AP Precalculus")</f>
        <v>AP Precalculus</v>
      </c>
      <c r="E1196" s="3">
        <f>IFERROR(__xludf.DUMMYFUNCTION("""COMPUTED_VALUE"""),2.0)</f>
        <v>2</v>
      </c>
      <c r="F1196" s="300">
        <v>1.0</v>
      </c>
      <c r="G1196" s="300">
        <v>1.0</v>
      </c>
      <c r="H1196" s="300">
        <v>1.0</v>
      </c>
      <c r="I1196" s="300">
        <v>1.0</v>
      </c>
      <c r="J1196" s="300">
        <v>1.0</v>
      </c>
      <c r="K1196" s="300">
        <v>1.0</v>
      </c>
      <c r="L1196" s="300">
        <v>1.0</v>
      </c>
      <c r="M1196" s="300">
        <v>1.0</v>
      </c>
      <c r="N1196" s="300">
        <v>8.0</v>
      </c>
      <c r="O1196" s="300" t="s">
        <v>846</v>
      </c>
      <c r="P1196" s="300">
        <v>2.0</v>
      </c>
    </row>
    <row r="1197">
      <c r="A1197">
        <f>IFERROR(__xludf.DUMMYFUNCTION("""COMPUTED_VALUE"""),10.0)</f>
        <v>10</v>
      </c>
      <c r="B1197" s="406">
        <f>IFERROR(__xludf.DUMMYFUNCTION("""COMPUTED_VALUE"""),28003.0)</f>
        <v>28003</v>
      </c>
      <c r="C1197" t="str">
        <f>IFERROR(__xludf.DUMMYFUNCTION("""COMPUTED_VALUE"""),"ARANGO DUQUE, TOMAS")</f>
        <v>ARANGO DUQUE, TOMAS</v>
      </c>
      <c r="D1197" t="str">
        <f>IFERROR(__xludf.DUMMYFUNCTION("""COMPUTED_VALUE"""),"Algebra II")</f>
        <v>Algebra II</v>
      </c>
      <c r="E1197" s="3">
        <f>IFERROR(__xludf.DUMMYFUNCTION("""COMPUTED_VALUE"""),1.0)</f>
        <v>1</v>
      </c>
      <c r="F1197" s="300">
        <v>1.0</v>
      </c>
      <c r="G1197" s="300">
        <v>1.0</v>
      </c>
      <c r="H1197" s="300">
        <v>1.0</v>
      </c>
      <c r="I1197" s="300">
        <v>1.0</v>
      </c>
      <c r="J1197" s="300">
        <v>1.0</v>
      </c>
      <c r="K1197" s="300">
        <v>1.0</v>
      </c>
      <c r="L1197" s="300">
        <v>1.0</v>
      </c>
      <c r="M1197" s="300">
        <v>1.0</v>
      </c>
      <c r="N1197" s="300">
        <v>8.0</v>
      </c>
      <c r="O1197" s="300" t="s">
        <v>852</v>
      </c>
      <c r="P1197" s="300">
        <v>5.0</v>
      </c>
    </row>
    <row r="1198">
      <c r="A1198">
        <f>IFERROR(__xludf.DUMMYFUNCTION("""COMPUTED_VALUE"""),10.0)</f>
        <v>10</v>
      </c>
      <c r="B1198" s="406">
        <f>IFERROR(__xludf.DUMMYFUNCTION("""COMPUTED_VALUE"""),28103.0)</f>
        <v>28103</v>
      </c>
      <c r="C1198" t="str">
        <f>IFERROR(__xludf.DUMMYFUNCTION("""COMPUTED_VALUE"""),"SANIN VELASQUEZ, ISRAEL")</f>
        <v>SANIN VELASQUEZ, ISRAEL</v>
      </c>
      <c r="D1198" t="str">
        <f>IFERROR(__xludf.DUMMYFUNCTION("""COMPUTED_VALUE"""),"Algebra II")</f>
        <v>Algebra II</v>
      </c>
      <c r="E1198" s="3">
        <f>IFERROR(__xludf.DUMMYFUNCTION("""COMPUTED_VALUE"""),8.0)</f>
        <v>8</v>
      </c>
      <c r="F1198" s="300">
        <v>1.0</v>
      </c>
      <c r="G1198" s="300">
        <v>1.0</v>
      </c>
      <c r="H1198" s="300">
        <v>1.0</v>
      </c>
      <c r="I1198" s="300">
        <v>1.0</v>
      </c>
      <c r="J1198" s="300">
        <v>1.0</v>
      </c>
      <c r="K1198" s="300">
        <v>1.0</v>
      </c>
      <c r="L1198" s="300">
        <v>1.0</v>
      </c>
      <c r="M1198" s="300">
        <v>1.0</v>
      </c>
      <c r="N1198" s="300">
        <v>8.0</v>
      </c>
      <c r="O1198" s="300" t="s">
        <v>850</v>
      </c>
      <c r="P1198" s="300">
        <v>5.0</v>
      </c>
    </row>
    <row r="1199">
      <c r="A1199">
        <f>IFERROR(__xludf.DUMMYFUNCTION("""COMPUTED_VALUE"""),10.0)</f>
        <v>10</v>
      </c>
      <c r="B1199" s="406">
        <f>IFERROR(__xludf.DUMMYFUNCTION("""COMPUTED_VALUE"""),28163.0)</f>
        <v>28163</v>
      </c>
      <c r="C1199" t="str">
        <f>IFERROR(__xludf.DUMMYFUNCTION("""COMPUTED_VALUE"""),"GARCIA VALENCIA, EMILIO")</f>
        <v>GARCIA VALENCIA, EMILIO</v>
      </c>
      <c r="D1199" t="str">
        <f>IFERROR(__xludf.DUMMYFUNCTION("""COMPUTED_VALUE"""),"Geometry")</f>
        <v>Geometry</v>
      </c>
      <c r="E1199" s="3">
        <f>IFERROR(__xludf.DUMMYFUNCTION("""COMPUTED_VALUE"""),3.0)</f>
        <v>3</v>
      </c>
      <c r="F1199" s="300">
        <v>1.0</v>
      </c>
      <c r="G1199" s="300">
        <v>1.0</v>
      </c>
      <c r="H1199" s="300">
        <v>1.0</v>
      </c>
      <c r="I1199" s="300">
        <v>1.0</v>
      </c>
      <c r="J1199" s="300">
        <v>1.0</v>
      </c>
      <c r="K1199" s="300">
        <v>1.0</v>
      </c>
      <c r="L1199" s="300">
        <v>1.0</v>
      </c>
      <c r="M1199" s="300">
        <v>1.0</v>
      </c>
      <c r="N1199" s="300">
        <v>8.0</v>
      </c>
      <c r="O1199" s="300" t="s">
        <v>840</v>
      </c>
      <c r="P1199" s="300">
        <v>7.0</v>
      </c>
    </row>
    <row r="1200">
      <c r="A1200">
        <f>IFERROR(__xludf.DUMMYFUNCTION("""COMPUTED_VALUE"""),10.0)</f>
        <v>10</v>
      </c>
      <c r="B1200" s="406">
        <f>IFERROR(__xludf.DUMMYFUNCTION("""COMPUTED_VALUE"""),28074.0)</f>
        <v>28074</v>
      </c>
      <c r="C1200" t="str">
        <f>IFERROR(__xludf.DUMMYFUNCTION("""COMPUTED_VALUE"""),"NAVARRO VILLA, JUAN MARTIN")</f>
        <v>NAVARRO VILLA, JUAN MARTIN</v>
      </c>
      <c r="D1200" t="str">
        <f>IFERROR(__xludf.DUMMYFUNCTION("""COMPUTED_VALUE"""),"Algebra II")</f>
        <v>Algebra II</v>
      </c>
      <c r="E1200" s="3">
        <f>IFERROR(__xludf.DUMMYFUNCTION("""COMPUTED_VALUE"""),1.0)</f>
        <v>1</v>
      </c>
      <c r="F1200" s="300">
        <v>1.0</v>
      </c>
      <c r="G1200" s="300">
        <v>1.0</v>
      </c>
      <c r="H1200" s="300">
        <v>1.0</v>
      </c>
      <c r="I1200" s="300">
        <v>1.0</v>
      </c>
      <c r="J1200" s="300">
        <v>1.0</v>
      </c>
      <c r="K1200" s="300">
        <v>1.0</v>
      </c>
      <c r="L1200" s="300">
        <v>1.0</v>
      </c>
      <c r="M1200" s="300">
        <v>1.0</v>
      </c>
      <c r="N1200" s="300">
        <v>8.0</v>
      </c>
      <c r="O1200" s="300" t="s">
        <v>852</v>
      </c>
      <c r="P1200" s="300">
        <v>5.0</v>
      </c>
    </row>
    <row r="1201">
      <c r="A1201">
        <f>IFERROR(__xludf.DUMMYFUNCTION("""COMPUTED_VALUE"""),10.0)</f>
        <v>10</v>
      </c>
      <c r="B1201" s="406">
        <f>IFERROR(__xludf.DUMMYFUNCTION("""COMPUTED_VALUE"""),28173.0)</f>
        <v>28173</v>
      </c>
      <c r="C1201" t="str">
        <f>IFERROR(__xludf.DUMMYFUNCTION("""COMPUTED_VALUE"""),"RUIZ RAMIREZ, JACOBO")</f>
        <v>RUIZ RAMIREZ, JACOBO</v>
      </c>
      <c r="D1201" t="str">
        <f>IFERROR(__xludf.DUMMYFUNCTION("""COMPUTED_VALUE"""),"Geometry")</f>
        <v>Geometry</v>
      </c>
      <c r="E1201" s="3">
        <f>IFERROR(__xludf.DUMMYFUNCTION("""COMPUTED_VALUE"""),4.0)</f>
        <v>4</v>
      </c>
      <c r="F1201" s="300">
        <v>1.0</v>
      </c>
      <c r="G1201" s="300">
        <v>1.0</v>
      </c>
      <c r="H1201" s="300">
        <v>1.0</v>
      </c>
      <c r="I1201" s="300">
        <v>1.0</v>
      </c>
      <c r="J1201" s="300">
        <v>1.0</v>
      </c>
      <c r="K1201" s="300">
        <v>1.0</v>
      </c>
      <c r="L1201" s="300">
        <v>1.0</v>
      </c>
      <c r="M1201" s="300">
        <v>1.0</v>
      </c>
      <c r="N1201" s="300">
        <v>8.0</v>
      </c>
      <c r="O1201" s="300" t="s">
        <v>849</v>
      </c>
      <c r="P1201" s="300">
        <v>7.0</v>
      </c>
    </row>
    <row r="1202">
      <c r="A1202">
        <f>IFERROR(__xludf.DUMMYFUNCTION("""COMPUTED_VALUE"""),10.0)</f>
        <v>10</v>
      </c>
      <c r="B1202" s="406">
        <f>IFERROR(__xludf.DUMMYFUNCTION("""COMPUTED_VALUE"""),28159.0)</f>
        <v>28159</v>
      </c>
      <c r="C1202" t="str">
        <f>IFERROR(__xludf.DUMMYFUNCTION("""COMPUTED_VALUE"""),"OROZCO RINCON, JUAN SEBASTIAN")</f>
        <v>OROZCO RINCON, JUAN SEBASTIAN</v>
      </c>
      <c r="D1202" t="str">
        <f>IFERROR(__xludf.DUMMYFUNCTION("""COMPUTED_VALUE"""),"AP Precalculus")</f>
        <v>AP Precalculus</v>
      </c>
      <c r="E1202" s="3">
        <f>IFERROR(__xludf.DUMMYFUNCTION("""COMPUTED_VALUE"""),3.0)</f>
        <v>3</v>
      </c>
      <c r="F1202" s="300">
        <v>1.0</v>
      </c>
      <c r="G1202" s="300">
        <v>1.0</v>
      </c>
      <c r="H1202" s="300">
        <v>1.0</v>
      </c>
      <c r="I1202" s="300">
        <v>1.0</v>
      </c>
      <c r="J1202" s="300">
        <v>1.0</v>
      </c>
      <c r="K1202" s="300">
        <v>1.0</v>
      </c>
      <c r="L1202" s="300">
        <v>1.0</v>
      </c>
      <c r="M1202" s="300">
        <v>1.0</v>
      </c>
      <c r="N1202" s="300">
        <v>8.0</v>
      </c>
      <c r="O1202" s="300" t="s">
        <v>847</v>
      </c>
      <c r="P1202" s="300">
        <v>2.0</v>
      </c>
    </row>
    <row r="1203">
      <c r="A1203">
        <f>IFERROR(__xludf.DUMMYFUNCTION("""COMPUTED_VALUE"""),10.0)</f>
        <v>10</v>
      </c>
      <c r="B1203" s="406">
        <f>IFERROR(__xludf.DUMMYFUNCTION("""COMPUTED_VALUE"""),28063.0)</f>
        <v>28063</v>
      </c>
      <c r="C1203" t="str">
        <f>IFERROR(__xludf.DUMMYFUNCTION("""COMPUTED_VALUE"""),"MEJIA GONZALEZ, ISMAEL IGNACIO")</f>
        <v>MEJIA GONZALEZ, ISMAEL IGNACIO</v>
      </c>
      <c r="D1203" t="str">
        <f>IFERROR(__xludf.DUMMYFUNCTION("""COMPUTED_VALUE"""),"AP Precalculus")</f>
        <v>AP Precalculus</v>
      </c>
      <c r="E1203" s="3">
        <f>IFERROR(__xludf.DUMMYFUNCTION("""COMPUTED_VALUE"""),3.0)</f>
        <v>3</v>
      </c>
      <c r="F1203" s="300">
        <v>1.0</v>
      </c>
      <c r="G1203" s="300">
        <v>1.0</v>
      </c>
      <c r="H1203" s="300">
        <v>1.0</v>
      </c>
      <c r="I1203" s="300">
        <v>1.0</v>
      </c>
      <c r="J1203" s="300">
        <v>1.0</v>
      </c>
      <c r="K1203" s="300">
        <v>1.0</v>
      </c>
      <c r="L1203" s="300">
        <v>1.0</v>
      </c>
      <c r="M1203" s="300">
        <v>1.0</v>
      </c>
      <c r="N1203" s="300">
        <v>8.0</v>
      </c>
      <c r="O1203" s="300" t="s">
        <v>847</v>
      </c>
      <c r="P1203" s="300">
        <v>2.0</v>
      </c>
    </row>
    <row r="1204">
      <c r="A1204">
        <f>IFERROR(__xludf.DUMMYFUNCTION("""COMPUTED_VALUE"""),10.0)</f>
        <v>10</v>
      </c>
      <c r="B1204" s="406">
        <f>IFERROR(__xludf.DUMMYFUNCTION("""COMPUTED_VALUE"""),28155.0)</f>
        <v>28155</v>
      </c>
      <c r="C1204" t="str">
        <f>IFERROR(__xludf.DUMMYFUNCTION("""COMPUTED_VALUE"""),"URIBE CERON, MANUELA")</f>
        <v>URIBE CERON, MANUELA</v>
      </c>
      <c r="D1204" t="str">
        <f>IFERROR(__xludf.DUMMYFUNCTION("""COMPUTED_VALUE"""),"AP Precalculus")</f>
        <v>AP Precalculus</v>
      </c>
      <c r="E1204" s="3">
        <f>IFERROR(__xludf.DUMMYFUNCTION("""COMPUTED_VALUE"""),3.0)</f>
        <v>3</v>
      </c>
      <c r="F1204" s="300">
        <v>1.0</v>
      </c>
      <c r="G1204" s="300">
        <v>1.0</v>
      </c>
      <c r="H1204" s="300">
        <v>1.0</v>
      </c>
      <c r="I1204" s="300">
        <v>1.0</v>
      </c>
      <c r="J1204" s="300">
        <v>1.0</v>
      </c>
      <c r="K1204" s="300">
        <v>1.0</v>
      </c>
      <c r="L1204" s="300">
        <v>1.0</v>
      </c>
      <c r="M1204" s="300">
        <v>1.0</v>
      </c>
      <c r="N1204" s="300">
        <v>8.0</v>
      </c>
      <c r="O1204" s="300" t="s">
        <v>847</v>
      </c>
      <c r="P1204" s="300">
        <v>2.0</v>
      </c>
    </row>
    <row r="1205">
      <c r="A1205">
        <f>IFERROR(__xludf.DUMMYFUNCTION("""COMPUTED_VALUE"""),10.0)</f>
        <v>10</v>
      </c>
      <c r="B1205" s="406">
        <f>IFERROR(__xludf.DUMMYFUNCTION("""COMPUTED_VALUE"""),28109.0)</f>
        <v>28109</v>
      </c>
      <c r="C1205" t="str">
        <f>IFERROR(__xludf.DUMMYFUNCTION("""COMPUTED_VALUE"""),"TRUJILLO VELEZ, MARIANA")</f>
        <v>TRUJILLO VELEZ, MARIANA</v>
      </c>
      <c r="D1205" t="str">
        <f>IFERROR(__xludf.DUMMYFUNCTION("""COMPUTED_VALUE"""),"AP Precalculus")</f>
        <v>AP Precalculus</v>
      </c>
      <c r="E1205" s="3">
        <f>IFERROR(__xludf.DUMMYFUNCTION("""COMPUTED_VALUE"""),3.0)</f>
        <v>3</v>
      </c>
      <c r="F1205" s="300">
        <v>1.0</v>
      </c>
      <c r="G1205" s="300">
        <v>1.0</v>
      </c>
      <c r="H1205" s="300">
        <v>1.0</v>
      </c>
      <c r="I1205" s="300">
        <v>1.0</v>
      </c>
      <c r="J1205" s="300">
        <v>1.0</v>
      </c>
      <c r="K1205" s="300">
        <v>1.0</v>
      </c>
      <c r="L1205" s="300">
        <v>1.0</v>
      </c>
      <c r="M1205" s="300">
        <v>1.0</v>
      </c>
      <c r="N1205" s="300">
        <v>8.0</v>
      </c>
      <c r="O1205" s="300" t="s">
        <v>847</v>
      </c>
      <c r="P1205" s="300">
        <v>2.0</v>
      </c>
    </row>
    <row r="1206">
      <c r="A1206">
        <f>IFERROR(__xludf.DUMMYFUNCTION("""COMPUTED_VALUE"""),10.0)</f>
        <v>10</v>
      </c>
      <c r="B1206" s="406">
        <f>IFERROR(__xludf.DUMMYFUNCTION("""COMPUTED_VALUE"""),28108.0)</f>
        <v>28108</v>
      </c>
      <c r="C1206" t="str">
        <f>IFERROR(__xludf.DUMMYFUNCTION("""COMPUTED_VALUE"""),"TRUJILLO SOTO, SUSANA")</f>
        <v>TRUJILLO SOTO, SUSANA</v>
      </c>
      <c r="D1206" t="str">
        <f>IFERROR(__xludf.DUMMYFUNCTION("""COMPUTED_VALUE"""),"Geometry")</f>
        <v>Geometry</v>
      </c>
      <c r="E1206" s="3">
        <f>IFERROR(__xludf.DUMMYFUNCTION("""COMPUTED_VALUE"""),6.0)</f>
        <v>6</v>
      </c>
      <c r="F1206" s="300">
        <v>1.0</v>
      </c>
      <c r="G1206" s="300">
        <v>1.0</v>
      </c>
      <c r="H1206" s="300">
        <v>1.0</v>
      </c>
      <c r="I1206" s="300">
        <v>1.0</v>
      </c>
      <c r="J1206" s="300">
        <v>1.0</v>
      </c>
      <c r="K1206" s="300">
        <v>1.0</v>
      </c>
      <c r="L1206" s="300">
        <v>1.0</v>
      </c>
      <c r="M1206" s="300">
        <v>1.0</v>
      </c>
      <c r="N1206" s="300">
        <v>8.0</v>
      </c>
      <c r="O1206" s="300" t="s">
        <v>848</v>
      </c>
      <c r="P1206" s="300">
        <v>7.0</v>
      </c>
    </row>
    <row r="1207">
      <c r="A1207">
        <f>IFERROR(__xludf.DUMMYFUNCTION("""COMPUTED_VALUE"""),10.0)</f>
        <v>10</v>
      </c>
      <c r="B1207" s="406">
        <f>IFERROR(__xludf.DUMMYFUNCTION("""COMPUTED_VALUE"""),27094.0)</f>
        <v>27094</v>
      </c>
      <c r="C1207" t="str">
        <f>IFERROR(__xludf.DUMMYFUNCTION("""COMPUTED_VALUE"""),"RAMIREZ CORREA, TOMAS")</f>
        <v>RAMIREZ CORREA, TOMAS</v>
      </c>
      <c r="D1207" t="str">
        <f>IFERROR(__xludf.DUMMYFUNCTION("""COMPUTED_VALUE"""),"Geometry")</f>
        <v>Geometry</v>
      </c>
      <c r="E1207" s="3">
        <f>IFERROR(__xludf.DUMMYFUNCTION("""COMPUTED_VALUE"""),7.0)</f>
        <v>7</v>
      </c>
      <c r="F1207" s="300">
        <v>1.0</v>
      </c>
      <c r="G1207" s="300">
        <v>1.0</v>
      </c>
      <c r="H1207" s="300">
        <v>1.0</v>
      </c>
      <c r="I1207" s="300">
        <v>1.0</v>
      </c>
      <c r="J1207" s="300">
        <v>1.0</v>
      </c>
      <c r="K1207" s="300">
        <v>1.0</v>
      </c>
      <c r="L1207" s="300">
        <v>1.0</v>
      </c>
      <c r="M1207" s="300">
        <v>1.0</v>
      </c>
      <c r="N1207" s="300">
        <v>8.0</v>
      </c>
      <c r="O1207" s="300" t="s">
        <v>839</v>
      </c>
      <c r="P1207" s="300">
        <v>7.0</v>
      </c>
    </row>
    <row r="1208">
      <c r="A1208">
        <f>IFERROR(__xludf.DUMMYFUNCTION("""COMPUTED_VALUE"""),10.0)</f>
        <v>10</v>
      </c>
      <c r="B1208" s="406">
        <f>IFERROR(__xludf.DUMMYFUNCTION("""COMPUTED_VALUE"""),28171.0)</f>
        <v>28171</v>
      </c>
      <c r="C1208" t="str">
        <f>IFERROR(__xludf.DUMMYFUNCTION("""COMPUTED_VALUE"""),"DE MUNCK MORTIER, JULIE")</f>
        <v>DE MUNCK MORTIER, JULIE</v>
      </c>
      <c r="D1208" t="str">
        <f>IFERROR(__xludf.DUMMYFUNCTION("""COMPUTED_VALUE"""),"Geometry")</f>
        <v>Geometry</v>
      </c>
      <c r="E1208" s="3">
        <f>IFERROR(__xludf.DUMMYFUNCTION("""COMPUTED_VALUE"""),2.0)</f>
        <v>2</v>
      </c>
      <c r="F1208" s="300">
        <v>1.0</v>
      </c>
      <c r="G1208" s="300">
        <v>1.0</v>
      </c>
      <c r="H1208" s="300">
        <v>1.0</v>
      </c>
      <c r="I1208" s="300">
        <v>1.0</v>
      </c>
      <c r="J1208" s="300">
        <v>1.0</v>
      </c>
      <c r="K1208" s="300">
        <v>1.0</v>
      </c>
      <c r="L1208" s="300">
        <v>1.0</v>
      </c>
      <c r="M1208" s="300">
        <v>1.0</v>
      </c>
      <c r="N1208" s="300">
        <v>8.0</v>
      </c>
      <c r="O1208" s="300" t="s">
        <v>838</v>
      </c>
      <c r="P1208" s="300">
        <v>7.0</v>
      </c>
    </row>
    <row r="1209">
      <c r="A1209">
        <f>IFERROR(__xludf.DUMMYFUNCTION("""COMPUTED_VALUE"""),10.0)</f>
        <v>10</v>
      </c>
      <c r="B1209" s="406">
        <f>IFERROR(__xludf.DUMMYFUNCTION("""COMPUTED_VALUE"""),28174.0)</f>
        <v>28174</v>
      </c>
      <c r="C1209" t="str">
        <f>IFERROR(__xludf.DUMMYFUNCTION("""COMPUTED_VALUE"""),"SANCHEZ HAVARD, VANESA FAITH")</f>
        <v>SANCHEZ HAVARD, VANESA FAITH</v>
      </c>
      <c r="D1209" t="str">
        <f>IFERROR(__xludf.DUMMYFUNCTION("""COMPUTED_VALUE"""),"Geometry")</f>
        <v>Geometry</v>
      </c>
      <c r="E1209" s="3">
        <f>IFERROR(__xludf.DUMMYFUNCTION("""COMPUTED_VALUE"""),2.0)</f>
        <v>2</v>
      </c>
      <c r="F1209" s="300">
        <v>1.0</v>
      </c>
      <c r="G1209" s="300">
        <v>1.0</v>
      </c>
      <c r="H1209" s="300">
        <v>1.0</v>
      </c>
      <c r="I1209" s="300">
        <v>1.0</v>
      </c>
      <c r="J1209" s="300">
        <v>1.0</v>
      </c>
      <c r="K1209" s="300">
        <v>1.0</v>
      </c>
      <c r="L1209" s="300">
        <v>1.0</v>
      </c>
      <c r="M1209" s="300">
        <v>1.0</v>
      </c>
      <c r="N1209" s="300">
        <v>8.0</v>
      </c>
      <c r="O1209" s="300" t="s">
        <v>838</v>
      </c>
      <c r="P1209" s="300">
        <v>7.0</v>
      </c>
    </row>
    <row r="1210">
      <c r="A1210">
        <f>IFERROR(__xludf.DUMMYFUNCTION("""COMPUTED_VALUE"""),10.0)</f>
        <v>10</v>
      </c>
      <c r="B1210" s="406">
        <f>IFERROR(__xludf.DUMMYFUNCTION("""COMPUTED_VALUE"""),28158.0)</f>
        <v>28158</v>
      </c>
      <c r="C1210" t="str">
        <f>IFERROR(__xludf.DUMMYFUNCTION("""COMPUTED_VALUE"""),"ZARRUK BELTRAN, MARTIN")</f>
        <v>ZARRUK BELTRAN, MARTIN</v>
      </c>
      <c r="D1210" t="str">
        <f>IFERROR(__xludf.DUMMYFUNCTION("""COMPUTED_VALUE"""),"AP Precalculus")</f>
        <v>AP Precalculus</v>
      </c>
      <c r="E1210" s="3">
        <f>IFERROR(__xludf.DUMMYFUNCTION("""COMPUTED_VALUE"""),2.0)</f>
        <v>2</v>
      </c>
      <c r="F1210" s="300">
        <v>1.0</v>
      </c>
      <c r="G1210" s="300">
        <v>1.0</v>
      </c>
      <c r="H1210" s="300">
        <v>1.0</v>
      </c>
      <c r="I1210" s="300">
        <v>1.0</v>
      </c>
      <c r="J1210" s="300">
        <v>1.0</v>
      </c>
      <c r="K1210" s="300">
        <v>1.0</v>
      </c>
      <c r="L1210" s="300">
        <v>1.0</v>
      </c>
      <c r="M1210" s="300">
        <v>1.0</v>
      </c>
      <c r="N1210" s="300">
        <v>8.0</v>
      </c>
      <c r="O1210" s="300" t="s">
        <v>846</v>
      </c>
      <c r="P1210" s="300">
        <v>2.0</v>
      </c>
    </row>
    <row r="1211">
      <c r="A1211">
        <f>IFERROR(__xludf.DUMMYFUNCTION("""COMPUTED_VALUE"""),10.0)</f>
        <v>10</v>
      </c>
      <c r="B1211" s="406">
        <f>IFERROR(__xludf.DUMMYFUNCTION("""COMPUTED_VALUE"""),28140.0)</f>
        <v>28140</v>
      </c>
      <c r="C1211" t="str">
        <f>IFERROR(__xludf.DUMMYFUNCTION("""COMPUTED_VALUE"""),"ARISTIZABAL VILLEGAS, EMILIO")</f>
        <v>ARISTIZABAL VILLEGAS, EMILIO</v>
      </c>
      <c r="D1211" t="str">
        <f>IFERROR(__xludf.DUMMYFUNCTION("""COMPUTED_VALUE"""),"Geometry")</f>
        <v>Geometry</v>
      </c>
      <c r="E1211" s="3">
        <f>IFERROR(__xludf.DUMMYFUNCTION("""COMPUTED_VALUE"""),6.0)</f>
        <v>6</v>
      </c>
      <c r="F1211" s="300">
        <v>1.0</v>
      </c>
      <c r="G1211" s="300">
        <v>1.0</v>
      </c>
      <c r="H1211" s="300">
        <v>1.0</v>
      </c>
      <c r="I1211" s="300">
        <v>1.0</v>
      </c>
      <c r="J1211" s="300">
        <v>1.0</v>
      </c>
      <c r="K1211" s="300">
        <v>1.0</v>
      </c>
      <c r="L1211" s="300">
        <v>1.0</v>
      </c>
      <c r="M1211" s="300">
        <v>1.0</v>
      </c>
      <c r="N1211" s="300">
        <v>8.0</v>
      </c>
      <c r="O1211" s="300" t="s">
        <v>848</v>
      </c>
      <c r="P1211" s="300">
        <v>7.0</v>
      </c>
    </row>
    <row r="1212">
      <c r="A1212">
        <f>IFERROR(__xludf.DUMMYFUNCTION("""COMPUTED_VALUE"""),10.0)</f>
        <v>10</v>
      </c>
      <c r="B1212" s="406">
        <f>IFERROR(__xludf.DUMMYFUNCTION("""COMPUTED_VALUE"""),28020.0)</f>
        <v>28020</v>
      </c>
      <c r="C1212" t="str">
        <f>IFERROR(__xludf.DUMMYFUNCTION("""COMPUTED_VALUE"""),"CADAVID RESTREPO, ANTONIO")</f>
        <v>CADAVID RESTREPO, ANTONIO</v>
      </c>
      <c r="D1212" t="str">
        <f>IFERROR(__xludf.DUMMYFUNCTION("""COMPUTED_VALUE"""),"AP Precalculus")</f>
        <v>AP Precalculus</v>
      </c>
      <c r="E1212" s="3">
        <f>IFERROR(__xludf.DUMMYFUNCTION("""COMPUTED_VALUE"""),2.0)</f>
        <v>2</v>
      </c>
      <c r="F1212" s="300">
        <v>1.0</v>
      </c>
      <c r="G1212" s="300">
        <v>1.0</v>
      </c>
      <c r="H1212" s="300">
        <v>1.0</v>
      </c>
      <c r="I1212" s="300">
        <v>1.0</v>
      </c>
      <c r="J1212" s="300">
        <v>1.0</v>
      </c>
      <c r="K1212" s="300">
        <v>1.0</v>
      </c>
      <c r="L1212" s="300">
        <v>1.0</v>
      </c>
      <c r="M1212" s="300">
        <v>1.0</v>
      </c>
      <c r="N1212" s="300">
        <v>8.0</v>
      </c>
      <c r="O1212" s="300" t="s">
        <v>846</v>
      </c>
      <c r="P1212" s="300">
        <v>2.0</v>
      </c>
    </row>
    <row r="1213">
      <c r="A1213">
        <f>IFERROR(__xludf.DUMMYFUNCTION("""COMPUTED_VALUE"""),10.0)</f>
        <v>10</v>
      </c>
      <c r="B1213" s="406">
        <f>IFERROR(__xludf.DUMMYFUNCTION("""COMPUTED_VALUE"""),28095.0)</f>
        <v>28095</v>
      </c>
      <c r="C1213" t="str">
        <f>IFERROR(__xludf.DUMMYFUNCTION("""COMPUTED_VALUE"""),"RESTREPO QUINTERO, ANTONIO")</f>
        <v>RESTREPO QUINTERO, ANTONIO</v>
      </c>
      <c r="D1213" t="str">
        <f>IFERROR(__xludf.DUMMYFUNCTION("""COMPUTED_VALUE"""),"AP Precalculus")</f>
        <v>AP Precalculus</v>
      </c>
      <c r="E1213" s="3">
        <f>IFERROR(__xludf.DUMMYFUNCTION("""COMPUTED_VALUE"""),2.0)</f>
        <v>2</v>
      </c>
      <c r="F1213" s="300">
        <v>1.0</v>
      </c>
      <c r="G1213" s="300">
        <v>1.0</v>
      </c>
      <c r="H1213" s="300">
        <v>1.0</v>
      </c>
      <c r="I1213" s="300">
        <v>1.0</v>
      </c>
      <c r="J1213" s="300">
        <v>1.0</v>
      </c>
      <c r="K1213" s="300">
        <v>1.0</v>
      </c>
      <c r="L1213" s="300">
        <v>1.0</v>
      </c>
      <c r="M1213" s="300">
        <v>1.0</v>
      </c>
      <c r="N1213" s="300">
        <v>8.0</v>
      </c>
      <c r="O1213" s="300" t="s">
        <v>846</v>
      </c>
      <c r="P1213" s="300">
        <v>2.0</v>
      </c>
    </row>
    <row r="1214">
      <c r="A1214">
        <f>IFERROR(__xludf.DUMMYFUNCTION("""COMPUTED_VALUE"""),10.0)</f>
        <v>10</v>
      </c>
      <c r="B1214" s="406">
        <f>IFERROR(__xludf.DUMMYFUNCTION("""COMPUTED_VALUE"""),28002.0)</f>
        <v>28002</v>
      </c>
      <c r="C1214" t="str">
        <f>IFERROR(__xludf.DUMMYFUNCTION("""COMPUTED_VALUE"""),"ANGEL MESA, PEDRO")</f>
        <v>ANGEL MESA, PEDRO</v>
      </c>
      <c r="D1214" t="str">
        <f>IFERROR(__xludf.DUMMYFUNCTION("""COMPUTED_VALUE"""),"Algebra II")</f>
        <v>Algebra II</v>
      </c>
      <c r="E1214" s="3">
        <f>IFERROR(__xludf.DUMMYFUNCTION("""COMPUTED_VALUE"""),8.0)</f>
        <v>8</v>
      </c>
      <c r="F1214" s="300">
        <v>1.0</v>
      </c>
      <c r="G1214" s="300">
        <v>1.0</v>
      </c>
      <c r="H1214" s="300">
        <v>1.0</v>
      </c>
      <c r="I1214" s="300">
        <v>1.0</v>
      </c>
      <c r="J1214" s="300">
        <v>1.0</v>
      </c>
      <c r="K1214" s="300">
        <v>1.0</v>
      </c>
      <c r="L1214" s="300">
        <v>1.0</v>
      </c>
      <c r="M1214" s="300">
        <v>1.0</v>
      </c>
      <c r="N1214" s="300">
        <v>8.0</v>
      </c>
      <c r="O1214" s="300" t="s">
        <v>850</v>
      </c>
      <c r="P1214" s="300">
        <v>5.0</v>
      </c>
    </row>
    <row r="1215">
      <c r="A1215">
        <f>IFERROR(__xludf.DUMMYFUNCTION("""COMPUTED_VALUE"""),10.0)</f>
        <v>10</v>
      </c>
      <c r="B1215" s="406">
        <f>IFERROR(__xludf.DUMMYFUNCTION("""COMPUTED_VALUE"""),28052.0)</f>
        <v>28052</v>
      </c>
      <c r="C1215" t="str">
        <f>IFERROR(__xludf.DUMMYFUNCTION("""COMPUTED_VALUE"""),"LONDOÑO VILLA, PEDRO")</f>
        <v>LONDOÑO VILLA, PEDRO</v>
      </c>
      <c r="D1215" t="str">
        <f>IFERROR(__xludf.DUMMYFUNCTION("""COMPUTED_VALUE"""),"Algebra II")</f>
        <v>Algebra II</v>
      </c>
      <c r="E1215" s="3">
        <f>IFERROR(__xludf.DUMMYFUNCTION("""COMPUTED_VALUE"""),1.0)</f>
        <v>1</v>
      </c>
      <c r="F1215" s="300">
        <v>1.0</v>
      </c>
      <c r="G1215" s="300">
        <v>1.0</v>
      </c>
      <c r="H1215" s="300">
        <v>1.0</v>
      </c>
      <c r="I1215" s="300">
        <v>1.0</v>
      </c>
      <c r="J1215" s="300">
        <v>1.0</v>
      </c>
      <c r="K1215" s="300">
        <v>1.0</v>
      </c>
      <c r="L1215" s="300">
        <v>1.0</v>
      </c>
      <c r="M1215" s="300">
        <v>1.0</v>
      </c>
      <c r="N1215" s="300">
        <v>8.0</v>
      </c>
      <c r="O1215" s="300" t="s">
        <v>852</v>
      </c>
      <c r="P1215" s="300">
        <v>5.0</v>
      </c>
    </row>
    <row r="1216">
      <c r="A1216">
        <f>IFERROR(__xludf.DUMMYFUNCTION("""COMPUTED_VALUE"""),10.0)</f>
        <v>10</v>
      </c>
      <c r="B1216" s="406">
        <f>IFERROR(__xludf.DUMMYFUNCTION("""COMPUTED_VALUE"""),28101.0)</f>
        <v>28101</v>
      </c>
      <c r="C1216" t="str">
        <f>IFERROR(__xludf.DUMMYFUNCTION("""COMPUTED_VALUE"""),"ROJAS VELEZ, LUCIANA")</f>
        <v>ROJAS VELEZ, LUCIANA</v>
      </c>
      <c r="D1216" t="str">
        <f>IFERROR(__xludf.DUMMYFUNCTION("""COMPUTED_VALUE"""),"Algebra II")</f>
        <v>Algebra II</v>
      </c>
      <c r="E1216" s="3">
        <f>IFERROR(__xludf.DUMMYFUNCTION("""COMPUTED_VALUE"""),1.0)</f>
        <v>1</v>
      </c>
      <c r="F1216" s="300">
        <v>1.0</v>
      </c>
      <c r="G1216" s="300">
        <v>1.0</v>
      </c>
      <c r="H1216" s="300">
        <v>1.0</v>
      </c>
      <c r="I1216" s="300">
        <v>1.0</v>
      </c>
      <c r="J1216" s="300">
        <v>1.0</v>
      </c>
      <c r="K1216" s="300">
        <v>1.0</v>
      </c>
      <c r="L1216" s="300">
        <v>1.0</v>
      </c>
      <c r="M1216" s="300">
        <v>1.0</v>
      </c>
      <c r="N1216" s="300">
        <v>8.0</v>
      </c>
      <c r="O1216" s="300" t="s">
        <v>852</v>
      </c>
      <c r="P1216" s="300">
        <v>5.0</v>
      </c>
    </row>
    <row r="1217">
      <c r="A1217">
        <f>IFERROR(__xludf.DUMMYFUNCTION("""COMPUTED_VALUE"""),10.0)</f>
        <v>10</v>
      </c>
      <c r="B1217" s="406">
        <f>IFERROR(__xludf.DUMMYFUNCTION("""COMPUTED_VALUE"""),28061.0)</f>
        <v>28061</v>
      </c>
      <c r="C1217" t="str">
        <f>IFERROR(__xludf.DUMMYFUNCTION("""COMPUTED_VALUE"""),"MEDINA NOREÑA, MANUELA")</f>
        <v>MEDINA NOREÑA, MANUELA</v>
      </c>
      <c r="D1217" t="str">
        <f>IFERROR(__xludf.DUMMYFUNCTION("""COMPUTED_VALUE"""),"Geometry")</f>
        <v>Geometry</v>
      </c>
      <c r="E1217" s="3">
        <f>IFERROR(__xludf.DUMMYFUNCTION("""COMPUTED_VALUE"""),6.0)</f>
        <v>6</v>
      </c>
      <c r="F1217" s="300">
        <v>1.0</v>
      </c>
      <c r="G1217" s="300">
        <v>1.0</v>
      </c>
      <c r="H1217" s="300">
        <v>1.0</v>
      </c>
      <c r="I1217" s="300">
        <v>1.0</v>
      </c>
      <c r="J1217" s="300">
        <v>1.0</v>
      </c>
      <c r="K1217" s="300">
        <v>1.0</v>
      </c>
      <c r="L1217" s="300">
        <v>1.0</v>
      </c>
      <c r="M1217" s="300">
        <v>1.0</v>
      </c>
      <c r="N1217" s="300">
        <v>8.0</v>
      </c>
      <c r="O1217" s="300" t="s">
        <v>848</v>
      </c>
      <c r="P1217" s="300">
        <v>7.0</v>
      </c>
    </row>
    <row r="1218">
      <c r="A1218">
        <f>IFERROR(__xludf.DUMMYFUNCTION("""COMPUTED_VALUE"""),10.0)</f>
        <v>10</v>
      </c>
      <c r="B1218" s="406">
        <f>IFERROR(__xludf.DUMMYFUNCTION("""COMPUTED_VALUE"""),28136.0)</f>
        <v>28136</v>
      </c>
      <c r="C1218" t="str">
        <f>IFERROR(__xludf.DUMMYFUNCTION("""COMPUTED_VALUE"""),"SALAZAR ECHEVERRI, ELISA")</f>
        <v>SALAZAR ECHEVERRI, ELISA</v>
      </c>
      <c r="D1218" t="str">
        <f>IFERROR(__xludf.DUMMYFUNCTION("""COMPUTED_VALUE"""),"AP Precalculus")</f>
        <v>AP Precalculus</v>
      </c>
      <c r="E1218" s="3">
        <f>IFERROR(__xludf.DUMMYFUNCTION("""COMPUTED_VALUE"""),3.0)</f>
        <v>3</v>
      </c>
      <c r="F1218" s="300">
        <v>1.0</v>
      </c>
      <c r="G1218" s="300">
        <v>1.0</v>
      </c>
      <c r="H1218" s="300">
        <v>1.0</v>
      </c>
      <c r="I1218" s="300">
        <v>1.0</v>
      </c>
      <c r="J1218" s="300">
        <v>1.0</v>
      </c>
      <c r="K1218" s="300">
        <v>1.0</v>
      </c>
      <c r="L1218" s="300">
        <v>1.0</v>
      </c>
      <c r="M1218" s="300">
        <v>1.0</v>
      </c>
      <c r="N1218" s="300">
        <v>8.0</v>
      </c>
      <c r="O1218" s="300" t="s">
        <v>847</v>
      </c>
      <c r="P1218" s="300">
        <v>2.0</v>
      </c>
    </row>
    <row r="1219">
      <c r="A1219">
        <f>IFERROR(__xludf.DUMMYFUNCTION("""COMPUTED_VALUE"""),10.0)</f>
        <v>10</v>
      </c>
      <c r="B1219" s="406">
        <f>IFERROR(__xludf.DUMMYFUNCTION("""COMPUTED_VALUE"""),28010.0)</f>
        <v>28010</v>
      </c>
      <c r="C1219" t="str">
        <f>IFERROR(__xludf.DUMMYFUNCTION("""COMPUTED_VALUE"""),"ATEHORTUA MORENO, SOFIA")</f>
        <v>ATEHORTUA MORENO, SOFIA</v>
      </c>
      <c r="D1219" t="str">
        <f>IFERROR(__xludf.DUMMYFUNCTION("""COMPUTED_VALUE"""),"Geometry")</f>
        <v>Geometry</v>
      </c>
      <c r="E1219" s="3">
        <f>IFERROR(__xludf.DUMMYFUNCTION("""COMPUTED_VALUE"""),4.0)</f>
        <v>4</v>
      </c>
      <c r="F1219" s="300">
        <v>1.0</v>
      </c>
      <c r="G1219" s="300">
        <v>1.0</v>
      </c>
      <c r="H1219" s="300">
        <v>1.0</v>
      </c>
      <c r="I1219" s="300">
        <v>1.0</v>
      </c>
      <c r="J1219" s="300">
        <v>1.0</v>
      </c>
      <c r="K1219" s="300">
        <v>1.0</v>
      </c>
      <c r="L1219" s="300">
        <v>1.0</v>
      </c>
      <c r="M1219" s="300">
        <v>1.0</v>
      </c>
      <c r="N1219" s="300">
        <v>8.0</v>
      </c>
      <c r="O1219" s="300" t="s">
        <v>849</v>
      </c>
      <c r="P1219" s="300">
        <v>7.0</v>
      </c>
    </row>
    <row r="1220">
      <c r="A1220">
        <f>IFERROR(__xludf.DUMMYFUNCTION("""COMPUTED_VALUE"""),10.0)</f>
        <v>10</v>
      </c>
      <c r="B1220" s="406">
        <f>IFERROR(__xludf.DUMMYFUNCTION("""COMPUTED_VALUE"""),28035.0)</f>
        <v>28035</v>
      </c>
      <c r="C1220" t="str">
        <f>IFERROR(__xludf.DUMMYFUNCTION("""COMPUTED_VALUE"""),"GAVIRIA GONZALEZ, MARIA JOSE")</f>
        <v>GAVIRIA GONZALEZ, MARIA JOSE</v>
      </c>
      <c r="D1220" t="str">
        <f>IFERROR(__xludf.DUMMYFUNCTION("""COMPUTED_VALUE"""),"Geometry")</f>
        <v>Geometry</v>
      </c>
      <c r="E1220" s="3">
        <f>IFERROR(__xludf.DUMMYFUNCTION("""COMPUTED_VALUE"""),3.0)</f>
        <v>3</v>
      </c>
      <c r="F1220" s="300">
        <v>1.0</v>
      </c>
      <c r="G1220" s="300">
        <v>1.0</v>
      </c>
      <c r="H1220" s="300">
        <v>1.0</v>
      </c>
      <c r="I1220" s="300">
        <v>1.0</v>
      </c>
      <c r="J1220" s="300">
        <v>1.0</v>
      </c>
      <c r="K1220" s="300">
        <v>1.0</v>
      </c>
      <c r="L1220" s="300">
        <v>1.0</v>
      </c>
      <c r="M1220" s="300">
        <v>1.0</v>
      </c>
      <c r="N1220" s="300">
        <v>8.0</v>
      </c>
      <c r="O1220" s="300" t="s">
        <v>840</v>
      </c>
      <c r="P1220" s="300">
        <v>7.0</v>
      </c>
    </row>
    <row r="1221">
      <c r="A1221">
        <f>IFERROR(__xludf.DUMMYFUNCTION("""COMPUTED_VALUE"""),10.0)</f>
        <v>10</v>
      </c>
      <c r="B1221" s="406">
        <f>IFERROR(__xludf.DUMMYFUNCTION("""COMPUTED_VALUE"""),28027.0)</f>
        <v>28027</v>
      </c>
      <c r="C1221" t="str">
        <f>IFERROR(__xludf.DUMMYFUNCTION("""COMPUTED_VALUE"""),"ESTRADA JIMENEZ, MARIA")</f>
        <v>ESTRADA JIMENEZ, MARIA</v>
      </c>
      <c r="D1221" t="str">
        <f>IFERROR(__xludf.DUMMYFUNCTION("""COMPUTED_VALUE"""),"Algebra II")</f>
        <v>Algebra II</v>
      </c>
      <c r="E1221" s="3">
        <f>IFERROR(__xludf.DUMMYFUNCTION("""COMPUTED_VALUE"""),1.0)</f>
        <v>1</v>
      </c>
      <c r="F1221" s="300">
        <v>1.0</v>
      </c>
      <c r="G1221" s="300">
        <v>1.0</v>
      </c>
      <c r="H1221" s="300">
        <v>1.0</v>
      </c>
      <c r="I1221" s="300">
        <v>1.0</v>
      </c>
      <c r="J1221" s="300">
        <v>1.0</v>
      </c>
      <c r="K1221" s="300">
        <v>1.0</v>
      </c>
      <c r="L1221" s="300">
        <v>1.0</v>
      </c>
      <c r="M1221" s="300">
        <v>1.0</v>
      </c>
      <c r="N1221" s="300">
        <v>8.0</v>
      </c>
      <c r="O1221" s="300" t="s">
        <v>852</v>
      </c>
      <c r="P1221" s="300">
        <v>5.0</v>
      </c>
    </row>
    <row r="1222">
      <c r="A1222">
        <f>IFERROR(__xludf.DUMMYFUNCTION("""COMPUTED_VALUE"""),10.0)</f>
        <v>10</v>
      </c>
      <c r="B1222" s="406">
        <f>IFERROR(__xludf.DUMMYFUNCTION("""COMPUTED_VALUE"""),27152.0)</f>
        <v>27152</v>
      </c>
      <c r="C1222" t="str">
        <f>IFERROR(__xludf.DUMMYFUNCTION("""COMPUTED_VALUE"""),"GARCIA GONZALEZ, MARIA ANTONIA")</f>
        <v>GARCIA GONZALEZ, MARIA ANTONIA</v>
      </c>
      <c r="D1222" t="str">
        <f>IFERROR(__xludf.DUMMYFUNCTION("""COMPUTED_VALUE"""),"Geometry")</f>
        <v>Geometry</v>
      </c>
      <c r="E1222" s="3">
        <f>IFERROR(__xludf.DUMMYFUNCTION("""COMPUTED_VALUE"""),6.0)</f>
        <v>6</v>
      </c>
      <c r="F1222" s="300">
        <v>1.0</v>
      </c>
      <c r="G1222" s="300">
        <v>1.0</v>
      </c>
      <c r="H1222" s="300">
        <v>1.0</v>
      </c>
      <c r="I1222" s="300">
        <v>1.0</v>
      </c>
      <c r="J1222" s="300">
        <v>1.0</v>
      </c>
      <c r="K1222" s="300">
        <v>1.0</v>
      </c>
      <c r="L1222" s="300">
        <v>1.0</v>
      </c>
      <c r="M1222" s="300">
        <v>1.0</v>
      </c>
      <c r="N1222" s="300">
        <v>8.0</v>
      </c>
      <c r="O1222" s="300" t="s">
        <v>848</v>
      </c>
      <c r="P1222" s="300">
        <v>7.0</v>
      </c>
    </row>
    <row r="1223">
      <c r="A1223">
        <f>IFERROR(__xludf.DUMMYFUNCTION("""COMPUTED_VALUE"""),10.0)</f>
        <v>10</v>
      </c>
      <c r="B1223" s="406">
        <f>IFERROR(__xludf.DUMMYFUNCTION("""COMPUTED_VALUE"""),28026.0)</f>
        <v>28026</v>
      </c>
      <c r="C1223" t="str">
        <f>IFERROR(__xludf.DUMMYFUNCTION("""COMPUTED_VALUE"""),"ESPINAL MONTOYA, JULIETA")</f>
        <v>ESPINAL MONTOYA, JULIETA</v>
      </c>
      <c r="D1223" t="str">
        <f>IFERROR(__xludf.DUMMYFUNCTION("""COMPUTED_VALUE"""),"Geometry")</f>
        <v>Geometry</v>
      </c>
      <c r="E1223" s="3">
        <f>IFERROR(__xludf.DUMMYFUNCTION("""COMPUTED_VALUE"""),4.0)</f>
        <v>4</v>
      </c>
      <c r="F1223" s="300">
        <v>1.0</v>
      </c>
      <c r="G1223" s="300">
        <v>1.0</v>
      </c>
      <c r="H1223" s="300">
        <v>1.0</v>
      </c>
      <c r="I1223" s="300">
        <v>1.0</v>
      </c>
      <c r="J1223" s="300">
        <v>1.0</v>
      </c>
      <c r="K1223" s="300">
        <v>1.0</v>
      </c>
      <c r="L1223" s="300">
        <v>1.0</v>
      </c>
      <c r="M1223" s="300">
        <v>1.0</v>
      </c>
      <c r="N1223" s="300">
        <v>8.0</v>
      </c>
      <c r="O1223" s="300" t="s">
        <v>849</v>
      </c>
      <c r="P1223" s="300">
        <v>7.0</v>
      </c>
    </row>
    <row r="1224">
      <c r="A1224">
        <f>IFERROR(__xludf.DUMMYFUNCTION("""COMPUTED_VALUE"""),10.0)</f>
        <v>10</v>
      </c>
      <c r="B1224" s="406">
        <f>IFERROR(__xludf.DUMMYFUNCTION("""COMPUTED_VALUE"""),28025.0)</f>
        <v>28025</v>
      </c>
      <c r="C1224" t="str">
        <f>IFERROR(__xludf.DUMMYFUNCTION("""COMPUTED_VALUE"""),"ESCOBAR INFANTINO, SAMUEL")</f>
        <v>ESCOBAR INFANTINO, SAMUEL</v>
      </c>
      <c r="D1224" t="str">
        <f>IFERROR(__xludf.DUMMYFUNCTION("""COMPUTED_VALUE"""),"Geometry")</f>
        <v>Geometry</v>
      </c>
      <c r="E1224" s="3">
        <f>IFERROR(__xludf.DUMMYFUNCTION("""COMPUTED_VALUE"""),6.0)</f>
        <v>6</v>
      </c>
      <c r="F1224" s="300">
        <v>1.0</v>
      </c>
      <c r="G1224" s="300">
        <v>1.0</v>
      </c>
      <c r="H1224" s="300">
        <v>1.0</v>
      </c>
      <c r="I1224" s="300">
        <v>1.0</v>
      </c>
      <c r="J1224" s="300">
        <v>1.0</v>
      </c>
      <c r="K1224" s="300">
        <v>1.0</v>
      </c>
      <c r="L1224" s="300">
        <v>1.0</v>
      </c>
      <c r="M1224" s="300">
        <v>1.0</v>
      </c>
      <c r="N1224" s="300">
        <v>8.0</v>
      </c>
      <c r="O1224" s="300" t="s">
        <v>848</v>
      </c>
      <c r="P1224" s="300">
        <v>7.0</v>
      </c>
    </row>
    <row r="1225">
      <c r="A1225">
        <f>IFERROR(__xludf.DUMMYFUNCTION("""COMPUTED_VALUE"""),10.0)</f>
        <v>10</v>
      </c>
      <c r="B1225" s="406">
        <f>IFERROR(__xludf.DUMMYFUNCTION("""COMPUTED_VALUE"""),27100.0)</f>
        <v>27100</v>
      </c>
      <c r="C1225" t="str">
        <f>IFERROR(__xludf.DUMMYFUNCTION("""COMPUTED_VALUE"""),"ROJAS SANCHEZ, SUSANA")</f>
        <v>ROJAS SANCHEZ, SUSANA</v>
      </c>
      <c r="D1225" t="str">
        <f>IFERROR(__xludf.DUMMYFUNCTION("""COMPUTED_VALUE"""),"AP Precalculus")</f>
        <v>AP Precalculus</v>
      </c>
      <c r="E1225" s="3">
        <f>IFERROR(__xludf.DUMMYFUNCTION("""COMPUTED_VALUE"""),3.0)</f>
        <v>3</v>
      </c>
      <c r="F1225" s="300">
        <v>1.0</v>
      </c>
      <c r="G1225" s="300">
        <v>1.0</v>
      </c>
      <c r="H1225" s="300">
        <v>1.0</v>
      </c>
      <c r="I1225" s="300">
        <v>1.0</v>
      </c>
      <c r="J1225" s="300">
        <v>1.0</v>
      </c>
      <c r="K1225" s="300">
        <v>1.0</v>
      </c>
      <c r="L1225" s="300">
        <v>1.0</v>
      </c>
      <c r="M1225" s="300">
        <v>1.0</v>
      </c>
      <c r="N1225" s="300">
        <v>8.0</v>
      </c>
      <c r="O1225" s="300" t="s">
        <v>847</v>
      </c>
      <c r="P1225" s="300">
        <v>2.0</v>
      </c>
    </row>
    <row r="1226">
      <c r="A1226">
        <f>IFERROR(__xludf.DUMMYFUNCTION("""COMPUTED_VALUE"""),10.0)</f>
        <v>10</v>
      </c>
      <c r="B1226" s="406">
        <f>IFERROR(__xludf.DUMMYFUNCTION("""COMPUTED_VALUE"""),28139.0)</f>
        <v>28139</v>
      </c>
      <c r="C1226" t="str">
        <f>IFERROR(__xludf.DUMMYFUNCTION("""COMPUTED_VALUE"""),"BERNAL ESTRADA, MATIAS")</f>
        <v>BERNAL ESTRADA, MATIAS</v>
      </c>
      <c r="D1226" t="str">
        <f>IFERROR(__xludf.DUMMYFUNCTION("""COMPUTED_VALUE"""),"Geometry")</f>
        <v>Geometry</v>
      </c>
      <c r="E1226" s="3">
        <f>IFERROR(__xludf.DUMMYFUNCTION("""COMPUTED_VALUE"""),6.0)</f>
        <v>6</v>
      </c>
      <c r="F1226" s="300">
        <v>1.0</v>
      </c>
      <c r="G1226" s="300">
        <v>1.0</v>
      </c>
      <c r="H1226" s="300">
        <v>1.0</v>
      </c>
      <c r="I1226" s="300">
        <v>1.0</v>
      </c>
      <c r="J1226" s="300">
        <v>1.0</v>
      </c>
      <c r="K1226" s="300">
        <v>1.0</v>
      </c>
      <c r="L1226" s="300">
        <v>1.0</v>
      </c>
      <c r="M1226" s="300">
        <v>1.0</v>
      </c>
      <c r="N1226" s="300">
        <v>8.0</v>
      </c>
      <c r="O1226" s="300" t="s">
        <v>848</v>
      </c>
      <c r="P1226" s="300">
        <v>7.0</v>
      </c>
    </row>
    <row r="1227">
      <c r="A1227">
        <f>IFERROR(__xludf.DUMMYFUNCTION("""COMPUTED_VALUE"""),10.0)</f>
        <v>10</v>
      </c>
      <c r="B1227" s="406">
        <f>IFERROR(__xludf.DUMMYFUNCTION("""COMPUTED_VALUE"""),28048.0)</f>
        <v>28048</v>
      </c>
      <c r="C1227" t="str">
        <f>IFERROR(__xludf.DUMMYFUNCTION("""COMPUTED_VALUE"""),"ISAZA VELASQUEZ, EMILIANA")</f>
        <v>ISAZA VELASQUEZ, EMILIANA</v>
      </c>
      <c r="D1227" t="str">
        <f>IFERROR(__xludf.DUMMYFUNCTION("""COMPUTED_VALUE"""),"AP Precalculus")</f>
        <v>AP Precalculus</v>
      </c>
      <c r="E1227" s="3">
        <f>IFERROR(__xludf.DUMMYFUNCTION("""COMPUTED_VALUE"""),2.0)</f>
        <v>2</v>
      </c>
      <c r="F1227" s="300">
        <v>1.0</v>
      </c>
      <c r="G1227" s="300">
        <v>1.0</v>
      </c>
      <c r="H1227" s="300">
        <v>1.0</v>
      </c>
      <c r="I1227" s="300">
        <v>1.0</v>
      </c>
      <c r="J1227" s="300">
        <v>1.0</v>
      </c>
      <c r="K1227" s="300">
        <v>1.0</v>
      </c>
      <c r="L1227" s="300">
        <v>1.0</v>
      </c>
      <c r="M1227" s="300">
        <v>1.0</v>
      </c>
      <c r="N1227" s="300">
        <v>8.0</v>
      </c>
      <c r="O1227" s="300" t="s">
        <v>846</v>
      </c>
      <c r="P1227" s="300">
        <v>2.0</v>
      </c>
    </row>
    <row r="1228">
      <c r="A1228">
        <f>IFERROR(__xludf.DUMMYFUNCTION("""COMPUTED_VALUE"""),10.0)</f>
        <v>10</v>
      </c>
      <c r="B1228" s="406">
        <f>IFERROR(__xludf.DUMMYFUNCTION("""COMPUTED_VALUE"""),27024.0)</f>
        <v>27024</v>
      </c>
      <c r="C1228" t="str">
        <f>IFERROR(__xludf.DUMMYFUNCTION("""COMPUTED_VALUE"""),"CASTRO CASTAÑEDA, CYAN")</f>
        <v>CASTRO CASTAÑEDA, CYAN</v>
      </c>
      <c r="D1228" t="str">
        <f>IFERROR(__xludf.DUMMYFUNCTION("""COMPUTED_VALUE"""),"AP Precalculus")</f>
        <v>AP Precalculus</v>
      </c>
      <c r="E1228" s="3">
        <f>IFERROR(__xludf.DUMMYFUNCTION("""COMPUTED_VALUE"""),3.0)</f>
        <v>3</v>
      </c>
      <c r="F1228" s="300">
        <v>1.0</v>
      </c>
      <c r="G1228" s="300">
        <v>1.0</v>
      </c>
      <c r="H1228" s="300">
        <v>1.0</v>
      </c>
      <c r="I1228" s="300">
        <v>1.0</v>
      </c>
      <c r="J1228" s="300">
        <v>1.0</v>
      </c>
      <c r="K1228" s="300">
        <v>1.0</v>
      </c>
      <c r="L1228" s="300">
        <v>1.0</v>
      </c>
      <c r="M1228" s="300">
        <v>1.0</v>
      </c>
      <c r="N1228" s="300">
        <v>8.0</v>
      </c>
      <c r="O1228" s="300" t="s">
        <v>847</v>
      </c>
      <c r="P1228" s="300">
        <v>2.0</v>
      </c>
    </row>
    <row r="1229">
      <c r="A1229">
        <f>IFERROR(__xludf.DUMMYFUNCTION("""COMPUTED_VALUE"""),10.0)</f>
        <v>10</v>
      </c>
      <c r="B1229" s="406">
        <f>IFERROR(__xludf.DUMMYFUNCTION("""COMPUTED_VALUE"""),28044.0)</f>
        <v>28044</v>
      </c>
      <c r="C1229" t="str">
        <f>IFERROR(__xludf.DUMMYFUNCTION("""COMPUTED_VALUE"""),"GUTIERREZ OCAMPO, VALENTINA")</f>
        <v>GUTIERREZ OCAMPO, VALENTINA</v>
      </c>
      <c r="D1229" t="str">
        <f>IFERROR(__xludf.DUMMYFUNCTION("""COMPUTED_VALUE"""),"Algebra II")</f>
        <v>Algebra II</v>
      </c>
      <c r="E1229" s="3">
        <f>IFERROR(__xludf.DUMMYFUNCTION("""COMPUTED_VALUE"""),3.0)</f>
        <v>3</v>
      </c>
      <c r="F1229" s="300">
        <v>1.0</v>
      </c>
      <c r="G1229" s="300">
        <v>1.0</v>
      </c>
      <c r="H1229" s="300">
        <v>1.0</v>
      </c>
      <c r="I1229" s="300">
        <v>1.0</v>
      </c>
      <c r="J1229" s="300">
        <v>1.0</v>
      </c>
      <c r="K1229" s="300">
        <v>1.0</v>
      </c>
      <c r="L1229" s="300">
        <v>1.0</v>
      </c>
      <c r="M1229" s="300">
        <v>1.0</v>
      </c>
      <c r="N1229" s="300">
        <v>8.0</v>
      </c>
      <c r="O1229" s="300" t="s">
        <v>853</v>
      </c>
      <c r="P1229" s="300">
        <v>5.0</v>
      </c>
    </row>
    <row r="1230">
      <c r="A1230">
        <f>IFERROR(__xludf.DUMMYFUNCTION("""COMPUTED_VALUE"""),10.0)</f>
        <v>10</v>
      </c>
      <c r="B1230" s="406">
        <f>IFERROR(__xludf.DUMMYFUNCTION("""COMPUTED_VALUE"""),27058.0)</f>
        <v>27058</v>
      </c>
      <c r="C1230" t="str">
        <f>IFERROR(__xludf.DUMMYFUNCTION("""COMPUTED_VALUE"""),"LOPEZ MEJIA, MIGUEL")</f>
        <v>LOPEZ MEJIA, MIGUEL</v>
      </c>
      <c r="D1230" t="str">
        <f>IFERROR(__xludf.DUMMYFUNCTION("""COMPUTED_VALUE"""),"Geometry")</f>
        <v>Geometry</v>
      </c>
      <c r="E1230" s="3">
        <f>IFERROR(__xludf.DUMMYFUNCTION("""COMPUTED_VALUE"""),7.0)</f>
        <v>7</v>
      </c>
      <c r="F1230" s="300">
        <v>1.0</v>
      </c>
      <c r="G1230" s="300">
        <v>1.0</v>
      </c>
      <c r="H1230" s="300">
        <v>1.0</v>
      </c>
      <c r="I1230" s="300">
        <v>1.0</v>
      </c>
      <c r="J1230" s="300">
        <v>1.0</v>
      </c>
      <c r="K1230" s="300">
        <v>1.0</v>
      </c>
      <c r="L1230" s="300">
        <v>1.0</v>
      </c>
      <c r="M1230" s="300">
        <v>1.0</v>
      </c>
      <c r="N1230" s="300">
        <v>8.0</v>
      </c>
      <c r="O1230" s="300" t="s">
        <v>839</v>
      </c>
      <c r="P1230" s="300">
        <v>7.0</v>
      </c>
    </row>
    <row r="1231">
      <c r="A1231">
        <f>IFERROR(__xludf.DUMMYFUNCTION("""COMPUTED_VALUE"""),10.0)</f>
        <v>10</v>
      </c>
      <c r="B1231" s="406">
        <f>IFERROR(__xludf.DUMMYFUNCTION("""COMPUTED_VALUE"""),28038.0)</f>
        <v>28038</v>
      </c>
      <c r="C1231" t="str">
        <f>IFERROR(__xludf.DUMMYFUNCTION("""COMPUTED_VALUE"""),"GOMEZ TORRES, MARIA")</f>
        <v>GOMEZ TORRES, MARIA</v>
      </c>
      <c r="D1231" t="str">
        <f>IFERROR(__xludf.DUMMYFUNCTION("""COMPUTED_VALUE"""),"Algebra II")</f>
        <v>Algebra II</v>
      </c>
      <c r="E1231" s="3">
        <f>IFERROR(__xludf.DUMMYFUNCTION("""COMPUTED_VALUE"""),1.0)</f>
        <v>1</v>
      </c>
      <c r="F1231" s="300">
        <v>1.0</v>
      </c>
      <c r="G1231" s="300">
        <v>1.0</v>
      </c>
      <c r="H1231" s="300">
        <v>1.0</v>
      </c>
      <c r="I1231" s="300">
        <v>1.0</v>
      </c>
      <c r="J1231" s="300">
        <v>1.0</v>
      </c>
      <c r="K1231" s="300">
        <v>1.0</v>
      </c>
      <c r="L1231" s="300">
        <v>1.0</v>
      </c>
      <c r="M1231" s="300">
        <v>1.0</v>
      </c>
      <c r="N1231" s="300">
        <v>8.0</v>
      </c>
      <c r="O1231" s="300" t="s">
        <v>852</v>
      </c>
      <c r="P1231" s="300">
        <v>5.0</v>
      </c>
    </row>
    <row r="1232">
      <c r="A1232">
        <f>IFERROR(__xludf.DUMMYFUNCTION("""COMPUTED_VALUE"""),10.0)</f>
        <v>10</v>
      </c>
      <c r="B1232" s="406">
        <f>IFERROR(__xludf.DUMMYFUNCTION("""COMPUTED_VALUE"""),28094.0)</f>
        <v>28094</v>
      </c>
      <c r="C1232" t="str">
        <f>IFERROR(__xludf.DUMMYFUNCTION("""COMPUTED_VALUE"""),"RESTREPO OCHOA, PASCUAL")</f>
        <v>RESTREPO OCHOA, PASCUAL</v>
      </c>
      <c r="D1232" t="str">
        <f>IFERROR(__xludf.DUMMYFUNCTION("""COMPUTED_VALUE"""),"Geometry")</f>
        <v>Geometry</v>
      </c>
      <c r="E1232" s="3">
        <f>IFERROR(__xludf.DUMMYFUNCTION("""COMPUTED_VALUE"""),4.0)</f>
        <v>4</v>
      </c>
      <c r="F1232" s="300">
        <v>1.0</v>
      </c>
      <c r="G1232" s="300">
        <v>1.0</v>
      </c>
      <c r="H1232" s="300">
        <v>1.0</v>
      </c>
      <c r="I1232" s="300">
        <v>1.0</v>
      </c>
      <c r="J1232" s="300">
        <v>1.0</v>
      </c>
      <c r="K1232" s="300">
        <v>1.0</v>
      </c>
      <c r="L1232" s="300">
        <v>1.0</v>
      </c>
      <c r="M1232" s="300">
        <v>1.0</v>
      </c>
      <c r="N1232" s="300">
        <v>8.0</v>
      </c>
      <c r="O1232" s="300" t="s">
        <v>849</v>
      </c>
      <c r="P1232" s="300">
        <v>7.0</v>
      </c>
    </row>
    <row r="1233">
      <c r="A1233">
        <f>IFERROR(__xludf.DUMMYFUNCTION("""COMPUTED_VALUE"""),10.0)</f>
        <v>10</v>
      </c>
      <c r="B1233" s="406">
        <f>IFERROR(__xludf.DUMMYFUNCTION("""COMPUTED_VALUE"""),28041.0)</f>
        <v>28041</v>
      </c>
      <c r="C1233" t="str">
        <f>IFERROR(__xludf.DUMMYFUNCTION("""COMPUTED_VALUE"""),"GONZALEZ MIRA, MATIAS")</f>
        <v>GONZALEZ MIRA, MATIAS</v>
      </c>
      <c r="D1233" t="str">
        <f>IFERROR(__xludf.DUMMYFUNCTION("""COMPUTED_VALUE"""),"Algebra II")</f>
        <v>Algebra II</v>
      </c>
      <c r="E1233" s="3">
        <f>IFERROR(__xludf.DUMMYFUNCTION("""COMPUTED_VALUE"""),5.0)</f>
        <v>5</v>
      </c>
      <c r="F1233" s="300">
        <v>1.0</v>
      </c>
      <c r="G1233" s="300">
        <v>1.0</v>
      </c>
      <c r="H1233" s="300">
        <v>1.0</v>
      </c>
      <c r="I1233" s="300">
        <v>1.0</v>
      </c>
      <c r="J1233" s="300">
        <v>1.0</v>
      </c>
      <c r="K1233" s="300">
        <v>1.0</v>
      </c>
      <c r="L1233" s="300">
        <v>1.0</v>
      </c>
      <c r="M1233" s="300">
        <v>1.0</v>
      </c>
      <c r="N1233" s="300">
        <v>8.0</v>
      </c>
      <c r="O1233" s="300" t="s">
        <v>851</v>
      </c>
      <c r="P1233" s="300">
        <v>5.0</v>
      </c>
    </row>
    <row r="1234">
      <c r="A1234">
        <f>IFERROR(__xludf.DUMMYFUNCTION("""COMPUTED_VALUE"""),10.0)</f>
        <v>10</v>
      </c>
      <c r="B1234" s="406">
        <f>IFERROR(__xludf.DUMMYFUNCTION("""COMPUTED_VALUE"""),28112.0)</f>
        <v>28112</v>
      </c>
      <c r="C1234" t="str">
        <f>IFERROR(__xludf.DUMMYFUNCTION("""COMPUTED_VALUE"""),"VELASQUEZ OCHOA, MIGUEL")</f>
        <v>VELASQUEZ OCHOA, MIGUEL</v>
      </c>
      <c r="D1234" t="str">
        <f>IFERROR(__xludf.DUMMYFUNCTION("""COMPUTED_VALUE"""),"AP Precalculus")</f>
        <v>AP Precalculus</v>
      </c>
      <c r="E1234" s="3">
        <f>IFERROR(__xludf.DUMMYFUNCTION("""COMPUTED_VALUE"""),2.0)</f>
        <v>2</v>
      </c>
      <c r="F1234" s="300">
        <v>1.0</v>
      </c>
      <c r="G1234" s="300">
        <v>1.0</v>
      </c>
      <c r="H1234" s="300">
        <v>1.0</v>
      </c>
      <c r="I1234" s="300">
        <v>1.0</v>
      </c>
      <c r="J1234" s="300">
        <v>1.0</v>
      </c>
      <c r="K1234" s="300">
        <v>1.0</v>
      </c>
      <c r="L1234" s="300">
        <v>1.0</v>
      </c>
      <c r="M1234" s="300">
        <v>1.0</v>
      </c>
      <c r="N1234" s="300">
        <v>8.0</v>
      </c>
      <c r="O1234" s="300" t="s">
        <v>846</v>
      </c>
      <c r="P1234" s="300">
        <v>2.0</v>
      </c>
    </row>
    <row r="1235">
      <c r="A1235">
        <f>IFERROR(__xludf.DUMMYFUNCTION("""COMPUTED_VALUE"""),10.0)</f>
        <v>10</v>
      </c>
      <c r="B1235" s="406">
        <f>IFERROR(__xludf.DUMMYFUNCTION("""COMPUTED_VALUE"""),28156.0)</f>
        <v>28156</v>
      </c>
      <c r="C1235" t="str">
        <f>IFERROR(__xludf.DUMMYFUNCTION("""COMPUTED_VALUE"""),"URIBE CERON, SIMON")</f>
        <v>URIBE CERON, SIMON</v>
      </c>
      <c r="D1235" t="str">
        <f>IFERROR(__xludf.DUMMYFUNCTION("""COMPUTED_VALUE"""),"Algebra II")</f>
        <v>Algebra II</v>
      </c>
      <c r="E1235" s="3">
        <f>IFERROR(__xludf.DUMMYFUNCTION("""COMPUTED_VALUE"""),1.0)</f>
        <v>1</v>
      </c>
      <c r="F1235" s="300">
        <v>1.0</v>
      </c>
      <c r="G1235" s="300">
        <v>1.0</v>
      </c>
      <c r="H1235" s="300">
        <v>1.0</v>
      </c>
      <c r="I1235" s="300">
        <v>1.0</v>
      </c>
      <c r="J1235" s="300">
        <v>1.0</v>
      </c>
      <c r="K1235" s="300">
        <v>1.0</v>
      </c>
      <c r="L1235" s="300">
        <v>1.0</v>
      </c>
      <c r="M1235" s="300">
        <v>1.0</v>
      </c>
      <c r="N1235" s="300">
        <v>8.0</v>
      </c>
      <c r="O1235" s="300" t="s">
        <v>852</v>
      </c>
      <c r="P1235" s="300">
        <v>5.0</v>
      </c>
    </row>
    <row r="1236">
      <c r="A1236">
        <f>IFERROR(__xludf.DUMMYFUNCTION("""COMPUTED_VALUE"""),10.0)</f>
        <v>10</v>
      </c>
      <c r="B1236" s="406">
        <f>IFERROR(__xludf.DUMMYFUNCTION("""COMPUTED_VALUE"""),27009.0)</f>
        <v>27009</v>
      </c>
      <c r="C1236" t="str">
        <f>IFERROR(__xludf.DUMMYFUNCTION("""COMPUTED_VALUE"""),"ARBELAEZ VELASQUEZ, ANTONIO")</f>
        <v>ARBELAEZ VELASQUEZ, ANTONIO</v>
      </c>
      <c r="D1236" t="str">
        <f>IFERROR(__xludf.DUMMYFUNCTION("""COMPUTED_VALUE"""),"Geometry")</f>
        <v>Geometry</v>
      </c>
      <c r="E1236" s="3">
        <f>IFERROR(__xludf.DUMMYFUNCTION("""COMPUTED_VALUE"""),4.0)</f>
        <v>4</v>
      </c>
      <c r="F1236" s="300">
        <v>1.0</v>
      </c>
      <c r="G1236" s="300">
        <v>1.0</v>
      </c>
      <c r="H1236" s="300">
        <v>1.0</v>
      </c>
      <c r="I1236" s="300">
        <v>1.0</v>
      </c>
      <c r="J1236" s="300">
        <v>1.0</v>
      </c>
      <c r="K1236" s="300">
        <v>1.0</v>
      </c>
      <c r="L1236" s="300">
        <v>1.0</v>
      </c>
      <c r="M1236" s="300">
        <v>1.0</v>
      </c>
      <c r="N1236" s="300">
        <v>8.0</v>
      </c>
      <c r="O1236" s="300" t="s">
        <v>849</v>
      </c>
      <c r="P1236" s="300">
        <v>7.0</v>
      </c>
    </row>
    <row r="1237">
      <c r="A1237">
        <f>IFERROR(__xludf.DUMMYFUNCTION("""COMPUTED_VALUE"""),10.0)</f>
        <v>10</v>
      </c>
      <c r="B1237" s="406">
        <f>IFERROR(__xludf.DUMMYFUNCTION("""COMPUTED_VALUE"""),28079.0)</f>
        <v>28079</v>
      </c>
      <c r="C1237" t="str">
        <f>IFERROR(__xludf.DUMMYFUNCTION("""COMPUTED_VALUE"""),"OSPINA RESTREPO, INES")</f>
        <v>OSPINA RESTREPO, INES</v>
      </c>
      <c r="D1237" t="str">
        <f>IFERROR(__xludf.DUMMYFUNCTION("""COMPUTED_VALUE"""),"AP Precalculus")</f>
        <v>AP Precalculus</v>
      </c>
      <c r="E1237" s="3">
        <f>IFERROR(__xludf.DUMMYFUNCTION("""COMPUTED_VALUE"""),3.0)</f>
        <v>3</v>
      </c>
      <c r="F1237" s="300">
        <v>1.0</v>
      </c>
      <c r="G1237" s="300">
        <v>1.0</v>
      </c>
      <c r="H1237" s="300">
        <v>1.0</v>
      </c>
      <c r="I1237" s="300">
        <v>1.0</v>
      </c>
      <c r="J1237" s="300">
        <v>1.0</v>
      </c>
      <c r="K1237" s="300">
        <v>1.0</v>
      </c>
      <c r="L1237" s="300">
        <v>1.0</v>
      </c>
      <c r="M1237" s="300">
        <v>1.0</v>
      </c>
      <c r="N1237" s="300">
        <v>8.0</v>
      </c>
      <c r="O1237" s="300" t="s">
        <v>847</v>
      </c>
      <c r="P1237" s="300">
        <v>2.0</v>
      </c>
    </row>
    <row r="1238">
      <c r="A1238">
        <f>IFERROR(__xludf.DUMMYFUNCTION("""COMPUTED_VALUE"""),10.0)</f>
        <v>10</v>
      </c>
      <c r="B1238" s="406">
        <f>IFERROR(__xludf.DUMMYFUNCTION("""COMPUTED_VALUE"""),28062.0)</f>
        <v>28062</v>
      </c>
      <c r="C1238" t="str">
        <f>IFERROR(__xludf.DUMMYFUNCTION("""COMPUTED_VALUE"""),"MEJIA DUQUE, JERONIMO")</f>
        <v>MEJIA DUQUE, JERONIMO</v>
      </c>
      <c r="D1238" t="str">
        <f>IFERROR(__xludf.DUMMYFUNCTION("""COMPUTED_VALUE"""),"Algebra II")</f>
        <v>Algebra II</v>
      </c>
      <c r="E1238" s="3">
        <f>IFERROR(__xludf.DUMMYFUNCTION("""COMPUTED_VALUE"""),8.0)</f>
        <v>8</v>
      </c>
      <c r="F1238" s="300">
        <v>1.0</v>
      </c>
      <c r="G1238" s="300">
        <v>1.0</v>
      </c>
      <c r="H1238" s="300">
        <v>1.0</v>
      </c>
      <c r="I1238" s="300">
        <v>1.0</v>
      </c>
      <c r="J1238" s="300">
        <v>1.0</v>
      </c>
      <c r="K1238" s="300">
        <v>1.0</v>
      </c>
      <c r="L1238" s="300">
        <v>1.0</v>
      </c>
      <c r="M1238" s="300">
        <v>1.0</v>
      </c>
      <c r="N1238" s="300">
        <v>8.0</v>
      </c>
      <c r="O1238" s="300" t="s">
        <v>850</v>
      </c>
      <c r="P1238" s="300">
        <v>5.0</v>
      </c>
    </row>
    <row r="1239">
      <c r="A1239">
        <f>IFERROR(__xludf.DUMMYFUNCTION("""COMPUTED_VALUE"""),10.0)</f>
        <v>10</v>
      </c>
      <c r="B1239" s="406">
        <f>IFERROR(__xludf.DUMMYFUNCTION("""COMPUTED_VALUE"""),28118.0)</f>
        <v>28118</v>
      </c>
      <c r="C1239" t="str">
        <f>IFERROR(__xludf.DUMMYFUNCTION("""COMPUTED_VALUE"""),"VILLEGAS LONDOÑO, VIOLETA")</f>
        <v>VILLEGAS LONDOÑO, VIOLETA</v>
      </c>
      <c r="D1239" t="str">
        <f>IFERROR(__xludf.DUMMYFUNCTION("""COMPUTED_VALUE"""),"AP Precalculus")</f>
        <v>AP Precalculus</v>
      </c>
      <c r="E1239" s="3">
        <f>IFERROR(__xludf.DUMMYFUNCTION("""COMPUTED_VALUE"""),3.0)</f>
        <v>3</v>
      </c>
      <c r="F1239" s="300">
        <v>1.0</v>
      </c>
      <c r="G1239" s="300">
        <v>1.0</v>
      </c>
      <c r="H1239" s="300">
        <v>1.0</v>
      </c>
      <c r="I1239" s="300">
        <v>1.0</v>
      </c>
      <c r="J1239" s="300">
        <v>1.0</v>
      </c>
      <c r="K1239" s="300">
        <v>1.0</v>
      </c>
      <c r="L1239" s="300">
        <v>1.0</v>
      </c>
      <c r="M1239" s="300">
        <v>1.0</v>
      </c>
      <c r="N1239" s="300">
        <v>8.0</v>
      </c>
      <c r="O1239" s="300" t="s">
        <v>847</v>
      </c>
      <c r="P1239" s="300">
        <v>2.0</v>
      </c>
    </row>
    <row r="1240">
      <c r="A1240">
        <f>IFERROR(__xludf.DUMMYFUNCTION("""COMPUTED_VALUE"""),10.0)</f>
        <v>10</v>
      </c>
      <c r="B1240" s="406">
        <f>IFERROR(__xludf.DUMMYFUNCTION("""COMPUTED_VALUE"""),28030.0)</f>
        <v>28030</v>
      </c>
      <c r="C1240" t="str">
        <f>IFERROR(__xludf.DUMMYFUNCTION("""COMPUTED_VALUE"""),"FRANCO USUGA, MARIA JOSE")</f>
        <v>FRANCO USUGA, MARIA JOSE</v>
      </c>
      <c r="D1240" t="str">
        <f>IFERROR(__xludf.DUMMYFUNCTION("""COMPUTED_VALUE"""),"Algebra II")</f>
        <v>Algebra II</v>
      </c>
      <c r="E1240" s="3">
        <f>IFERROR(__xludf.DUMMYFUNCTION("""COMPUTED_VALUE"""),1.0)</f>
        <v>1</v>
      </c>
      <c r="F1240" s="300">
        <v>1.0</v>
      </c>
      <c r="G1240" s="300">
        <v>1.0</v>
      </c>
      <c r="H1240" s="300">
        <v>1.0</v>
      </c>
      <c r="I1240" s="300">
        <v>1.0</v>
      </c>
      <c r="J1240" s="300">
        <v>1.0</v>
      </c>
      <c r="K1240" s="300">
        <v>1.0</v>
      </c>
      <c r="L1240" s="300">
        <v>1.0</v>
      </c>
      <c r="M1240" s="300">
        <v>1.0</v>
      </c>
      <c r="N1240" s="300">
        <v>8.0</v>
      </c>
      <c r="O1240" s="300" t="s">
        <v>852</v>
      </c>
      <c r="P1240" s="300">
        <v>5.0</v>
      </c>
    </row>
    <row r="1241">
      <c r="A1241">
        <f>IFERROR(__xludf.DUMMYFUNCTION("""COMPUTED_VALUE"""),10.0)</f>
        <v>10</v>
      </c>
      <c r="B1241" s="406">
        <f>IFERROR(__xludf.DUMMYFUNCTION("""COMPUTED_VALUE"""),28107.0)</f>
        <v>28107</v>
      </c>
      <c r="C1241" t="str">
        <f>IFERROR(__xludf.DUMMYFUNCTION("""COMPUTED_VALUE"""),"TORO PEREZ, AMALIA")</f>
        <v>TORO PEREZ, AMALIA</v>
      </c>
      <c r="D1241" t="str">
        <f>IFERROR(__xludf.DUMMYFUNCTION("""COMPUTED_VALUE"""),"Algebra II")</f>
        <v>Algebra II</v>
      </c>
      <c r="E1241" s="3">
        <f>IFERROR(__xludf.DUMMYFUNCTION("""COMPUTED_VALUE"""),6.0)</f>
        <v>6</v>
      </c>
      <c r="F1241" s="300">
        <v>1.0</v>
      </c>
      <c r="G1241" s="300">
        <v>1.0</v>
      </c>
      <c r="H1241" s="300">
        <v>1.0</v>
      </c>
      <c r="I1241" s="300">
        <v>1.0</v>
      </c>
      <c r="J1241" s="300">
        <v>1.0</v>
      </c>
      <c r="K1241" s="300">
        <v>1.0</v>
      </c>
      <c r="L1241" s="300">
        <v>1.0</v>
      </c>
      <c r="M1241" s="300">
        <v>1.0</v>
      </c>
      <c r="N1241" s="300">
        <v>8.0</v>
      </c>
      <c r="O1241" s="300" t="s">
        <v>854</v>
      </c>
      <c r="P1241" s="300">
        <v>5.0</v>
      </c>
    </row>
    <row r="1242">
      <c r="A1242">
        <f>IFERROR(__xludf.DUMMYFUNCTION("""COMPUTED_VALUE"""),10.0)</f>
        <v>10</v>
      </c>
      <c r="B1242" s="406">
        <f>IFERROR(__xludf.DUMMYFUNCTION("""COMPUTED_VALUE"""),27057.0)</f>
        <v>27057</v>
      </c>
      <c r="C1242" t="str">
        <f>IFERROR(__xludf.DUMMYFUNCTION("""COMPUTED_VALUE"""),"LAVERDE GIRALDO, MAXIMILIANO")</f>
        <v>LAVERDE GIRALDO, MAXIMILIANO</v>
      </c>
      <c r="D1242" t="str">
        <f>IFERROR(__xludf.DUMMYFUNCTION("""COMPUTED_VALUE"""),"Geometry")</f>
        <v>Geometry</v>
      </c>
      <c r="E1242" s="3">
        <f>IFERROR(__xludf.DUMMYFUNCTION("""COMPUTED_VALUE"""),3.0)</f>
        <v>3</v>
      </c>
      <c r="F1242" s="300">
        <v>1.0</v>
      </c>
      <c r="G1242" s="300">
        <v>1.0</v>
      </c>
      <c r="H1242" s="300">
        <v>1.0</v>
      </c>
      <c r="I1242" s="300">
        <v>1.0</v>
      </c>
      <c r="J1242" s="300">
        <v>1.0</v>
      </c>
      <c r="K1242" s="300">
        <v>1.0</v>
      </c>
      <c r="L1242" s="300">
        <v>1.0</v>
      </c>
      <c r="M1242" s="300">
        <v>1.0</v>
      </c>
      <c r="N1242" s="300">
        <v>8.0</v>
      </c>
      <c r="O1242" s="300" t="s">
        <v>840</v>
      </c>
      <c r="P1242" s="300">
        <v>7.0</v>
      </c>
    </row>
    <row r="1243">
      <c r="A1243">
        <f>IFERROR(__xludf.DUMMYFUNCTION("""COMPUTED_VALUE"""),10.0)</f>
        <v>10</v>
      </c>
      <c r="B1243" s="406">
        <f>IFERROR(__xludf.DUMMYFUNCTION("""COMPUTED_VALUE"""),28169.0)</f>
        <v>28169</v>
      </c>
      <c r="C1243" t="str">
        <f>IFERROR(__xludf.DUMMYFUNCTION("""COMPUTED_VALUE"""),"BOTERO SPERA, ROSA")</f>
        <v>BOTERO SPERA, ROSA</v>
      </c>
      <c r="D1243" t="str">
        <f>IFERROR(__xludf.DUMMYFUNCTION("""COMPUTED_VALUE"""),"Geometry")</f>
        <v>Geometry</v>
      </c>
      <c r="E1243" s="3">
        <f>IFERROR(__xludf.DUMMYFUNCTION("""COMPUTED_VALUE"""),7.0)</f>
        <v>7</v>
      </c>
      <c r="F1243" s="300">
        <v>1.0</v>
      </c>
      <c r="G1243" s="300">
        <v>1.0</v>
      </c>
      <c r="H1243" s="300">
        <v>1.0</v>
      </c>
      <c r="I1243" s="300">
        <v>1.0</v>
      </c>
      <c r="J1243" s="300">
        <v>1.0</v>
      </c>
      <c r="K1243" s="300">
        <v>1.0</v>
      </c>
      <c r="L1243" s="300">
        <v>1.0</v>
      </c>
      <c r="M1243" s="300">
        <v>1.0</v>
      </c>
      <c r="N1243" s="300">
        <v>8.0</v>
      </c>
      <c r="O1243" s="300" t="s">
        <v>839</v>
      </c>
      <c r="P1243" s="300">
        <v>7.0</v>
      </c>
    </row>
    <row r="1244">
      <c r="A1244">
        <f>IFERROR(__xludf.DUMMYFUNCTION("""COMPUTED_VALUE"""),10.0)</f>
        <v>10</v>
      </c>
      <c r="B1244" s="406">
        <f>IFERROR(__xludf.DUMMYFUNCTION("""COMPUTED_VALUE"""),28015.0)</f>
        <v>28015</v>
      </c>
      <c r="C1244" t="str">
        <f>IFERROR(__xludf.DUMMYFUNCTION("""COMPUTED_VALUE"""),"BOTERO BOTERO, EULALIA")</f>
        <v>BOTERO BOTERO, EULALIA</v>
      </c>
      <c r="D1244" t="str">
        <f>IFERROR(__xludf.DUMMYFUNCTION("""COMPUTED_VALUE"""),"AP Precalculus")</f>
        <v>AP Precalculus</v>
      </c>
      <c r="E1244" s="3">
        <f>IFERROR(__xludf.DUMMYFUNCTION("""COMPUTED_VALUE"""),3.0)</f>
        <v>3</v>
      </c>
      <c r="F1244" s="300">
        <v>1.0</v>
      </c>
      <c r="G1244" s="300">
        <v>1.0</v>
      </c>
      <c r="H1244" s="300">
        <v>1.0</v>
      </c>
      <c r="I1244" s="300">
        <v>1.0</v>
      </c>
      <c r="J1244" s="300">
        <v>1.0</v>
      </c>
      <c r="K1244" s="300">
        <v>1.0</v>
      </c>
      <c r="L1244" s="300">
        <v>1.0</v>
      </c>
      <c r="M1244" s="300">
        <v>1.0</v>
      </c>
      <c r="N1244" s="300">
        <v>8.0</v>
      </c>
      <c r="O1244" s="300" t="s">
        <v>847</v>
      </c>
      <c r="P1244" s="300">
        <v>2.0</v>
      </c>
    </row>
    <row r="1245">
      <c r="A1245">
        <f>IFERROR(__xludf.DUMMYFUNCTION("""COMPUTED_VALUE"""),10.0)</f>
        <v>10</v>
      </c>
      <c r="B1245" s="406">
        <f>IFERROR(__xludf.DUMMYFUNCTION("""COMPUTED_VALUE"""),28057.0)</f>
        <v>28057</v>
      </c>
      <c r="C1245" t="str">
        <f>IFERROR(__xludf.DUMMYFUNCTION("""COMPUTED_VALUE"""),"MARTINEZ AGUILAR, AMELIA")</f>
        <v>MARTINEZ AGUILAR, AMELIA</v>
      </c>
      <c r="D1245" t="str">
        <f>IFERROR(__xludf.DUMMYFUNCTION("""COMPUTED_VALUE"""),"Algebra II")</f>
        <v>Algebra II</v>
      </c>
      <c r="E1245" s="3">
        <f>IFERROR(__xludf.DUMMYFUNCTION("""COMPUTED_VALUE"""),5.0)</f>
        <v>5</v>
      </c>
      <c r="F1245" s="300">
        <v>1.0</v>
      </c>
      <c r="G1245" s="300">
        <v>1.0</v>
      </c>
      <c r="H1245" s="300">
        <v>1.0</v>
      </c>
      <c r="I1245" s="300">
        <v>1.0</v>
      </c>
      <c r="J1245" s="300">
        <v>1.0</v>
      </c>
      <c r="K1245" s="300">
        <v>1.0</v>
      </c>
      <c r="L1245" s="300">
        <v>1.0</v>
      </c>
      <c r="M1245" s="300">
        <v>1.0</v>
      </c>
      <c r="N1245" s="300">
        <v>8.0</v>
      </c>
      <c r="O1245" s="300" t="s">
        <v>851</v>
      </c>
      <c r="P1245" s="300">
        <v>5.0</v>
      </c>
    </row>
    <row r="1246">
      <c r="A1246">
        <f>IFERROR(__xludf.DUMMYFUNCTION("""COMPUTED_VALUE"""),10.0)</f>
        <v>10</v>
      </c>
      <c r="B1246" s="406">
        <f>IFERROR(__xludf.DUMMYFUNCTION("""COMPUTED_VALUE"""),28135.0)</f>
        <v>28135</v>
      </c>
      <c r="C1246" t="str">
        <f>IFERROR(__xludf.DUMMYFUNCTION("""COMPUTED_VALUE"""),"VELEZ RESTREPO, EMILIA")</f>
        <v>VELEZ RESTREPO, EMILIA</v>
      </c>
      <c r="D1246" t="str">
        <f>IFERROR(__xludf.DUMMYFUNCTION("""COMPUTED_VALUE"""),"Algebra II")</f>
        <v>Algebra II</v>
      </c>
      <c r="E1246" s="3">
        <f>IFERROR(__xludf.DUMMYFUNCTION("""COMPUTED_VALUE"""),5.0)</f>
        <v>5</v>
      </c>
      <c r="F1246" s="300">
        <v>1.0</v>
      </c>
      <c r="G1246" s="300">
        <v>1.0</v>
      </c>
      <c r="H1246" s="300">
        <v>1.0</v>
      </c>
      <c r="I1246" s="300">
        <v>1.0</v>
      </c>
      <c r="J1246" s="300">
        <v>1.0</v>
      </c>
      <c r="K1246" s="300">
        <v>1.0</v>
      </c>
      <c r="L1246" s="300">
        <v>1.0</v>
      </c>
      <c r="M1246" s="300">
        <v>1.0</v>
      </c>
      <c r="N1246" s="300">
        <v>8.0</v>
      </c>
      <c r="O1246" s="300" t="s">
        <v>851</v>
      </c>
      <c r="P1246" s="300">
        <v>5.0</v>
      </c>
    </row>
    <row r="1247">
      <c r="A1247">
        <f>IFERROR(__xludf.DUMMYFUNCTION("""COMPUTED_VALUE"""),10.0)</f>
        <v>10</v>
      </c>
      <c r="B1247" s="406">
        <f>IFERROR(__xludf.DUMMYFUNCTION("""COMPUTED_VALUE"""),28137.0)</f>
        <v>28137</v>
      </c>
      <c r="C1247" t="str">
        <f>IFERROR(__xludf.DUMMYFUNCTION("""COMPUTED_VALUE"""),"JARAMILLO PEÑA, PAULA ANDREA")</f>
        <v>JARAMILLO PEÑA, PAULA ANDREA</v>
      </c>
      <c r="D1247" t="str">
        <f>IFERROR(__xludf.DUMMYFUNCTION("""COMPUTED_VALUE"""),"Geometry")</f>
        <v>Geometry</v>
      </c>
      <c r="E1247" s="3">
        <f>IFERROR(__xludf.DUMMYFUNCTION("""COMPUTED_VALUE"""),6.0)</f>
        <v>6</v>
      </c>
      <c r="F1247" s="300">
        <v>1.0</v>
      </c>
      <c r="G1247" s="300">
        <v>1.0</v>
      </c>
      <c r="H1247" s="300">
        <v>1.0</v>
      </c>
      <c r="I1247" s="300">
        <v>1.0</v>
      </c>
      <c r="J1247" s="300">
        <v>1.0</v>
      </c>
      <c r="K1247" s="300">
        <v>1.0</v>
      </c>
      <c r="L1247" s="300">
        <v>1.0</v>
      </c>
      <c r="M1247" s="300">
        <v>1.0</v>
      </c>
      <c r="N1247" s="300">
        <v>8.0</v>
      </c>
      <c r="O1247" s="300" t="s">
        <v>848</v>
      </c>
      <c r="P1247" s="300">
        <v>7.0</v>
      </c>
    </row>
    <row r="1248">
      <c r="A1248">
        <f>IFERROR(__xludf.DUMMYFUNCTION("""COMPUTED_VALUE"""),10.0)</f>
        <v>10</v>
      </c>
      <c r="B1248" s="406">
        <f>IFERROR(__xludf.DUMMYFUNCTION("""COMPUTED_VALUE"""),28028.0)</f>
        <v>28028</v>
      </c>
      <c r="C1248" t="str">
        <f>IFERROR(__xludf.DUMMYFUNCTION("""COMPUTED_VALUE"""),"FERRER ESCOBAR, JUAN MARTIN")</f>
        <v>FERRER ESCOBAR, JUAN MARTIN</v>
      </c>
      <c r="D1248" t="str">
        <f>IFERROR(__xludf.DUMMYFUNCTION("""COMPUTED_VALUE"""),"Geometry")</f>
        <v>Geometry</v>
      </c>
      <c r="E1248" s="3">
        <f>IFERROR(__xludf.DUMMYFUNCTION("""COMPUTED_VALUE"""),3.0)</f>
        <v>3</v>
      </c>
      <c r="F1248" s="300">
        <v>1.0</v>
      </c>
      <c r="G1248" s="300">
        <v>1.0</v>
      </c>
      <c r="H1248" s="300">
        <v>1.0</v>
      </c>
      <c r="I1248" s="300">
        <v>1.0</v>
      </c>
      <c r="J1248" s="300">
        <v>1.0</v>
      </c>
      <c r="K1248" s="300">
        <v>1.0</v>
      </c>
      <c r="L1248" s="300">
        <v>1.0</v>
      </c>
      <c r="M1248" s="300">
        <v>1.0</v>
      </c>
      <c r="N1248" s="300">
        <v>8.0</v>
      </c>
      <c r="O1248" s="300" t="s">
        <v>840</v>
      </c>
      <c r="P1248" s="300">
        <v>7.0</v>
      </c>
    </row>
    <row r="1249">
      <c r="A1249">
        <f>IFERROR(__xludf.DUMMYFUNCTION("""COMPUTED_VALUE"""),10.0)</f>
        <v>10</v>
      </c>
      <c r="B1249" s="406">
        <f>IFERROR(__xludf.DUMMYFUNCTION("""COMPUTED_VALUE"""),28014.0)</f>
        <v>28014</v>
      </c>
      <c r="C1249" t="str">
        <f>IFERROR(__xludf.DUMMYFUNCTION("""COMPUTED_VALUE"""),"BETANCUR VILLEGAS, MIGUEL")</f>
        <v>BETANCUR VILLEGAS, MIGUEL</v>
      </c>
      <c r="D1249" t="str">
        <f>IFERROR(__xludf.DUMMYFUNCTION("""COMPUTED_VALUE"""),"AP Precalculus")</f>
        <v>AP Precalculus</v>
      </c>
      <c r="E1249" s="3">
        <f>IFERROR(__xludf.DUMMYFUNCTION("""COMPUTED_VALUE"""),3.0)</f>
        <v>3</v>
      </c>
      <c r="F1249" s="300">
        <v>1.0</v>
      </c>
      <c r="G1249" s="300">
        <v>1.0</v>
      </c>
      <c r="H1249" s="300">
        <v>1.0</v>
      </c>
      <c r="I1249" s="300">
        <v>1.0</v>
      </c>
      <c r="J1249" s="300">
        <v>1.0</v>
      </c>
      <c r="K1249" s="300">
        <v>1.0</v>
      </c>
      <c r="L1249" s="300">
        <v>1.0</v>
      </c>
      <c r="M1249" s="300">
        <v>1.0</v>
      </c>
      <c r="N1249" s="300">
        <v>8.0</v>
      </c>
      <c r="O1249" s="300" t="s">
        <v>847</v>
      </c>
      <c r="P1249" s="300">
        <v>2.0</v>
      </c>
    </row>
    <row r="1250">
      <c r="A1250">
        <f>IFERROR(__xludf.DUMMYFUNCTION("""COMPUTED_VALUE"""),10.0)</f>
        <v>10</v>
      </c>
      <c r="B1250" s="406">
        <f>IFERROR(__xludf.DUMMYFUNCTION("""COMPUTED_VALUE"""),28075.0)</f>
        <v>28075</v>
      </c>
      <c r="C1250" t="str">
        <f>IFERROR(__xludf.DUMMYFUNCTION("""COMPUTED_VALUE"""),"OCHOA HURTADO, ELENA")</f>
        <v>OCHOA HURTADO, ELENA</v>
      </c>
      <c r="D1250" t="str">
        <f>IFERROR(__xludf.DUMMYFUNCTION("""COMPUTED_VALUE"""),"AP Precalculus")</f>
        <v>AP Precalculus</v>
      </c>
      <c r="E1250" s="3">
        <f>IFERROR(__xludf.DUMMYFUNCTION("""COMPUTED_VALUE"""),3.0)</f>
        <v>3</v>
      </c>
      <c r="F1250" s="300">
        <v>1.0</v>
      </c>
      <c r="G1250" s="300">
        <v>1.0</v>
      </c>
      <c r="H1250" s="300">
        <v>1.0</v>
      </c>
      <c r="I1250" s="300">
        <v>1.0</v>
      </c>
      <c r="J1250" s="300">
        <v>1.0</v>
      </c>
      <c r="K1250" s="300">
        <v>1.0</v>
      </c>
      <c r="L1250" s="300">
        <v>1.0</v>
      </c>
      <c r="M1250" s="300">
        <v>1.0</v>
      </c>
      <c r="N1250" s="300">
        <v>8.0</v>
      </c>
      <c r="O1250" s="300" t="s">
        <v>847</v>
      </c>
      <c r="P1250" s="300">
        <v>2.0</v>
      </c>
    </row>
    <row r="1251">
      <c r="A1251">
        <f>IFERROR(__xludf.DUMMYFUNCTION("""COMPUTED_VALUE"""),10.0)</f>
        <v>10</v>
      </c>
      <c r="B1251" s="406">
        <f>IFERROR(__xludf.DUMMYFUNCTION("""COMPUTED_VALUE"""),28165.0)</f>
        <v>28165</v>
      </c>
      <c r="C1251" t="str">
        <f>IFERROR(__xludf.DUMMYFUNCTION("""COMPUTED_VALUE"""),"ARANA CARREÑO, MARIA ANTONIA")</f>
        <v>ARANA CARREÑO, MARIA ANTONIA</v>
      </c>
      <c r="D1251" t="str">
        <f>IFERROR(__xludf.DUMMYFUNCTION("""COMPUTED_VALUE"""),"Geometry")</f>
        <v>Geometry</v>
      </c>
      <c r="E1251" s="3">
        <f>IFERROR(__xludf.DUMMYFUNCTION("""COMPUTED_VALUE"""),6.0)</f>
        <v>6</v>
      </c>
      <c r="F1251" s="300">
        <v>1.0</v>
      </c>
      <c r="G1251" s="300">
        <v>1.0</v>
      </c>
      <c r="H1251" s="300">
        <v>1.0</v>
      </c>
      <c r="I1251" s="300">
        <v>1.0</v>
      </c>
      <c r="J1251" s="300">
        <v>1.0</v>
      </c>
      <c r="K1251" s="300">
        <v>1.0</v>
      </c>
      <c r="L1251" s="300">
        <v>1.0</v>
      </c>
      <c r="M1251" s="300">
        <v>1.0</v>
      </c>
      <c r="N1251" s="300">
        <v>8.0</v>
      </c>
      <c r="O1251" s="300" t="s">
        <v>848</v>
      </c>
      <c r="P1251" s="300">
        <v>7.0</v>
      </c>
    </row>
    <row r="1252">
      <c r="A1252">
        <f>IFERROR(__xludf.DUMMYFUNCTION("""COMPUTED_VALUE"""),10.0)</f>
        <v>10</v>
      </c>
      <c r="B1252" s="406">
        <f>IFERROR(__xludf.DUMMYFUNCTION("""COMPUTED_VALUE"""),28142.0)</f>
        <v>28142</v>
      </c>
      <c r="C1252" t="str">
        <f>IFERROR(__xludf.DUMMYFUNCTION("""COMPUTED_VALUE"""),"BOTERO BETANCOURT, NICOLAS")</f>
        <v>BOTERO BETANCOURT, NICOLAS</v>
      </c>
      <c r="D1252" t="str">
        <f>IFERROR(__xludf.DUMMYFUNCTION("""COMPUTED_VALUE"""),"Geometry")</f>
        <v>Geometry</v>
      </c>
      <c r="E1252" s="3">
        <f>IFERROR(__xludf.DUMMYFUNCTION("""COMPUTED_VALUE"""),3.0)</f>
        <v>3</v>
      </c>
      <c r="F1252" s="300">
        <v>1.0</v>
      </c>
      <c r="G1252" s="300">
        <v>1.0</v>
      </c>
      <c r="H1252" s="300">
        <v>1.0</v>
      </c>
      <c r="I1252" s="300">
        <v>1.0</v>
      </c>
      <c r="J1252" s="300">
        <v>1.0</v>
      </c>
      <c r="K1252" s="300">
        <v>1.0</v>
      </c>
      <c r="L1252" s="300">
        <v>1.0</v>
      </c>
      <c r="M1252" s="300">
        <v>1.0</v>
      </c>
      <c r="N1252" s="300">
        <v>8.0</v>
      </c>
      <c r="O1252" s="300" t="s">
        <v>840</v>
      </c>
      <c r="P1252" s="300">
        <v>7.0</v>
      </c>
    </row>
    <row r="1253">
      <c r="A1253">
        <f>IFERROR(__xludf.DUMMYFUNCTION("""COMPUTED_VALUE"""),10.0)</f>
        <v>10</v>
      </c>
      <c r="B1253" s="406">
        <f>IFERROR(__xludf.DUMMYFUNCTION("""COMPUTED_VALUE"""),27008.0)</f>
        <v>27008</v>
      </c>
      <c r="C1253" t="str">
        <f>IFERROR(__xludf.DUMMYFUNCTION("""COMPUTED_VALUE"""),"ARBELAEZ VELASQUEZ, AGUSTIN")</f>
        <v>ARBELAEZ VELASQUEZ, AGUSTIN</v>
      </c>
      <c r="D1253" t="str">
        <f>IFERROR(__xludf.DUMMYFUNCTION("""COMPUTED_VALUE"""),"Geometry")</f>
        <v>Geometry</v>
      </c>
      <c r="E1253" s="3">
        <f>IFERROR(__xludf.DUMMYFUNCTION("""COMPUTED_VALUE"""),7.0)</f>
        <v>7</v>
      </c>
      <c r="F1253" s="300">
        <v>1.0</v>
      </c>
      <c r="G1253" s="300">
        <v>1.0</v>
      </c>
      <c r="H1253" s="300">
        <v>1.0</v>
      </c>
      <c r="I1253" s="300">
        <v>1.0</v>
      </c>
      <c r="J1253" s="300">
        <v>1.0</v>
      </c>
      <c r="K1253" s="300">
        <v>1.0</v>
      </c>
      <c r="L1253" s="300">
        <v>1.0</v>
      </c>
      <c r="M1253" s="300">
        <v>1.0</v>
      </c>
      <c r="N1253" s="300">
        <v>8.0</v>
      </c>
      <c r="O1253" s="300" t="s">
        <v>839</v>
      </c>
      <c r="P1253" s="300">
        <v>7.0</v>
      </c>
    </row>
    <row r="1254">
      <c r="A1254">
        <f>IFERROR(__xludf.DUMMYFUNCTION("""COMPUTED_VALUE"""),10.0)</f>
        <v>10</v>
      </c>
      <c r="B1254" s="406">
        <f>IFERROR(__xludf.DUMMYFUNCTION("""COMPUTED_VALUE"""),28161.0)</f>
        <v>28161</v>
      </c>
      <c r="C1254" t="str">
        <f>IFERROR(__xludf.DUMMYFUNCTION("""COMPUTED_VALUE"""),"GAVIRIA GOMEZ, JUAN ANDRES")</f>
        <v>GAVIRIA GOMEZ, JUAN ANDRES</v>
      </c>
      <c r="D1254" t="str">
        <f>IFERROR(__xludf.DUMMYFUNCTION("""COMPUTED_VALUE"""),"Algebra II")</f>
        <v>Algebra II</v>
      </c>
      <c r="E1254" s="3">
        <f>IFERROR(__xludf.DUMMYFUNCTION("""COMPUTED_VALUE"""),1.0)</f>
        <v>1</v>
      </c>
      <c r="F1254" s="300">
        <v>1.0</v>
      </c>
      <c r="G1254" s="300">
        <v>1.0</v>
      </c>
      <c r="H1254" s="300">
        <v>1.0</v>
      </c>
      <c r="I1254" s="300">
        <v>1.0</v>
      </c>
      <c r="J1254" s="300">
        <v>1.0</v>
      </c>
      <c r="K1254" s="300">
        <v>1.0</v>
      </c>
      <c r="L1254" s="300">
        <v>1.0</v>
      </c>
      <c r="M1254" s="300">
        <v>1.0</v>
      </c>
      <c r="N1254" s="300">
        <v>8.0</v>
      </c>
      <c r="O1254" s="300" t="s">
        <v>852</v>
      </c>
      <c r="P1254" s="300">
        <v>5.0</v>
      </c>
    </row>
    <row r="1255">
      <c r="A1255">
        <f>IFERROR(__xludf.DUMMYFUNCTION("""COMPUTED_VALUE"""),10.0)</f>
        <v>10</v>
      </c>
      <c r="B1255" s="406">
        <f>IFERROR(__xludf.DUMMYFUNCTION("""COMPUTED_VALUE"""),28040.0)</f>
        <v>28040</v>
      </c>
      <c r="C1255" t="str">
        <f>IFERROR(__xludf.DUMMYFUNCTION("""COMPUTED_VALUE"""),"GONZALEZ MARIN, MANUELA")</f>
        <v>GONZALEZ MARIN, MANUELA</v>
      </c>
      <c r="D1255" t="str">
        <f>IFERROR(__xludf.DUMMYFUNCTION("""COMPUTED_VALUE"""),"AP Precalculus")</f>
        <v>AP Precalculus</v>
      </c>
      <c r="E1255" s="3">
        <f>IFERROR(__xludf.DUMMYFUNCTION("""COMPUTED_VALUE"""),2.0)</f>
        <v>2</v>
      </c>
      <c r="F1255" s="300">
        <v>1.0</v>
      </c>
      <c r="G1255" s="300">
        <v>1.0</v>
      </c>
      <c r="H1255" s="300">
        <v>1.0</v>
      </c>
      <c r="I1255" s="300">
        <v>1.0</v>
      </c>
      <c r="J1255" s="300">
        <v>1.0</v>
      </c>
      <c r="K1255" s="300">
        <v>1.0</v>
      </c>
      <c r="L1255" s="300">
        <v>1.0</v>
      </c>
      <c r="M1255" s="300">
        <v>1.0</v>
      </c>
      <c r="N1255" s="300">
        <v>8.0</v>
      </c>
      <c r="O1255" s="300" t="s">
        <v>846</v>
      </c>
      <c r="P1255" s="300">
        <v>2.0</v>
      </c>
    </row>
    <row r="1256">
      <c r="A1256">
        <f>IFERROR(__xludf.DUMMYFUNCTION("""COMPUTED_VALUE"""),10.0)</f>
        <v>10</v>
      </c>
      <c r="B1256" s="406">
        <f>IFERROR(__xludf.DUMMYFUNCTION("""COMPUTED_VALUE"""),28007.0)</f>
        <v>28007</v>
      </c>
      <c r="C1256" t="str">
        <f>IFERROR(__xludf.DUMMYFUNCTION("""COMPUTED_VALUE"""),"ARISTIZABAL SALAZAR, MIGUEL")</f>
        <v>ARISTIZABAL SALAZAR, MIGUEL</v>
      </c>
      <c r="D1256" t="str">
        <f>IFERROR(__xludf.DUMMYFUNCTION("""COMPUTED_VALUE"""),"Geometry")</f>
        <v>Geometry</v>
      </c>
      <c r="E1256" s="3">
        <f>IFERROR(__xludf.DUMMYFUNCTION("""COMPUTED_VALUE"""),6.0)</f>
        <v>6</v>
      </c>
      <c r="F1256" s="300">
        <v>1.0</v>
      </c>
      <c r="G1256" s="300">
        <v>1.0</v>
      </c>
      <c r="H1256" s="300">
        <v>1.0</v>
      </c>
      <c r="I1256" s="300">
        <v>1.0</v>
      </c>
      <c r="J1256" s="300">
        <v>1.0</v>
      </c>
      <c r="K1256" s="300">
        <v>1.0</v>
      </c>
      <c r="L1256" s="300">
        <v>1.0</v>
      </c>
      <c r="M1256" s="300">
        <v>1.0</v>
      </c>
      <c r="N1256" s="300">
        <v>8.0</v>
      </c>
      <c r="O1256" s="300" t="s">
        <v>848</v>
      </c>
      <c r="P1256" s="300">
        <v>7.0</v>
      </c>
    </row>
    <row r="1257">
      <c r="A1257">
        <f>IFERROR(__xludf.DUMMYFUNCTION("""COMPUTED_VALUE"""),10.0)</f>
        <v>10</v>
      </c>
      <c r="B1257" s="406">
        <f>IFERROR(__xludf.DUMMYFUNCTION("""COMPUTED_VALUE"""),28047.0)</f>
        <v>28047</v>
      </c>
      <c r="C1257" t="str">
        <f>IFERROR(__xludf.DUMMYFUNCTION("""COMPUTED_VALUE"""),"ISAZA BETANCUR, CRISTOBAL")</f>
        <v>ISAZA BETANCUR, CRISTOBAL</v>
      </c>
      <c r="D1257" t="str">
        <f>IFERROR(__xludf.DUMMYFUNCTION("""COMPUTED_VALUE"""),"Algebra II")</f>
        <v>Algebra II</v>
      </c>
      <c r="E1257" s="3">
        <f>IFERROR(__xludf.DUMMYFUNCTION("""COMPUTED_VALUE"""),8.0)</f>
        <v>8</v>
      </c>
      <c r="F1257" s="300">
        <v>1.0</v>
      </c>
      <c r="G1257" s="300">
        <v>1.0</v>
      </c>
      <c r="H1257" s="300">
        <v>1.0</v>
      </c>
      <c r="I1257" s="300">
        <v>1.0</v>
      </c>
      <c r="J1257" s="300">
        <v>1.0</v>
      </c>
      <c r="K1257" s="300">
        <v>1.0</v>
      </c>
      <c r="L1257" s="300">
        <v>1.0</v>
      </c>
      <c r="M1257" s="300">
        <v>1.0</v>
      </c>
      <c r="N1257" s="300">
        <v>8.0</v>
      </c>
      <c r="O1257" s="300" t="s">
        <v>850</v>
      </c>
      <c r="P1257" s="300">
        <v>5.0</v>
      </c>
    </row>
    <row r="1258">
      <c r="A1258">
        <f>IFERROR(__xludf.DUMMYFUNCTION("""COMPUTED_VALUE"""),10.0)</f>
        <v>10</v>
      </c>
      <c r="B1258" s="406">
        <f>IFERROR(__xludf.DUMMYFUNCTION("""COMPUTED_VALUE"""),28111.0)</f>
        <v>28111</v>
      </c>
      <c r="C1258" t="str">
        <f>IFERROR(__xludf.DUMMYFUNCTION("""COMPUTED_VALUE"""),"GARCES RIVERA, MATHIAS")</f>
        <v>GARCES RIVERA, MATHIAS</v>
      </c>
      <c r="D1258" t="str">
        <f>IFERROR(__xludf.DUMMYFUNCTION("""COMPUTED_VALUE"""),"AP Precalculus")</f>
        <v>AP Precalculus</v>
      </c>
      <c r="E1258" s="3">
        <f>IFERROR(__xludf.DUMMYFUNCTION("""COMPUTED_VALUE"""),3.0)</f>
        <v>3</v>
      </c>
      <c r="F1258" s="300">
        <v>1.0</v>
      </c>
      <c r="G1258" s="300">
        <v>1.0</v>
      </c>
      <c r="H1258" s="300">
        <v>1.0</v>
      </c>
      <c r="I1258" s="300">
        <v>1.0</v>
      </c>
      <c r="J1258" s="300">
        <v>1.0</v>
      </c>
      <c r="K1258" s="300">
        <v>1.0</v>
      </c>
      <c r="L1258" s="300">
        <v>1.0</v>
      </c>
      <c r="M1258" s="300">
        <v>1.0</v>
      </c>
      <c r="N1258" s="300">
        <v>8.0</v>
      </c>
      <c r="O1258" s="300" t="s">
        <v>847</v>
      </c>
      <c r="P1258" s="300">
        <v>2.0</v>
      </c>
    </row>
    <row r="1259">
      <c r="A1259">
        <f>IFERROR(__xludf.DUMMYFUNCTION("""COMPUTED_VALUE"""),10.0)</f>
        <v>10</v>
      </c>
      <c r="B1259" s="406">
        <f>IFERROR(__xludf.DUMMYFUNCTION("""COMPUTED_VALUE"""),28011.0)</f>
        <v>28011</v>
      </c>
      <c r="C1259" t="str">
        <f>IFERROR(__xludf.DUMMYFUNCTION("""COMPUTED_VALUE"""),"BAQUERO GARCIA, PASCUAL")</f>
        <v>BAQUERO GARCIA, PASCUAL</v>
      </c>
      <c r="D1259" t="str">
        <f>IFERROR(__xludf.DUMMYFUNCTION("""COMPUTED_VALUE"""),"Geometry")</f>
        <v>Geometry</v>
      </c>
      <c r="E1259" s="3">
        <f>IFERROR(__xludf.DUMMYFUNCTION("""COMPUTED_VALUE"""),4.0)</f>
        <v>4</v>
      </c>
      <c r="F1259" s="300">
        <v>1.0</v>
      </c>
      <c r="G1259" s="300">
        <v>1.0</v>
      </c>
      <c r="H1259" s="300">
        <v>1.0</v>
      </c>
      <c r="I1259" s="300">
        <v>1.0</v>
      </c>
      <c r="J1259" s="300">
        <v>1.0</v>
      </c>
      <c r="K1259" s="300">
        <v>1.0</v>
      </c>
      <c r="L1259" s="300">
        <v>1.0</v>
      </c>
      <c r="M1259" s="300">
        <v>1.0</v>
      </c>
      <c r="N1259" s="300">
        <v>8.0</v>
      </c>
      <c r="O1259" s="300" t="s">
        <v>849</v>
      </c>
      <c r="P1259" s="300">
        <v>7.0</v>
      </c>
    </row>
    <row r="1260">
      <c r="A1260">
        <f>IFERROR(__xludf.DUMMYFUNCTION("""COMPUTED_VALUE"""),10.0)</f>
        <v>10</v>
      </c>
      <c r="B1260" s="406">
        <f>IFERROR(__xludf.DUMMYFUNCTION("""COMPUTED_VALUE"""),28115.0)</f>
        <v>28115</v>
      </c>
      <c r="C1260" t="str">
        <f>IFERROR(__xludf.DUMMYFUNCTION("""COMPUTED_VALUE"""),"VELEZ ECHAVARRIA, AMELIA")</f>
        <v>VELEZ ECHAVARRIA, AMELIA</v>
      </c>
      <c r="D1260" t="str">
        <f>IFERROR(__xludf.DUMMYFUNCTION("""COMPUTED_VALUE"""),"Geometry")</f>
        <v>Geometry</v>
      </c>
      <c r="E1260" s="3">
        <f>IFERROR(__xludf.DUMMYFUNCTION("""COMPUTED_VALUE"""),4.0)</f>
        <v>4</v>
      </c>
      <c r="F1260" s="300">
        <v>1.0</v>
      </c>
      <c r="G1260" s="300">
        <v>1.0</v>
      </c>
      <c r="H1260" s="300">
        <v>1.0</v>
      </c>
      <c r="I1260" s="300">
        <v>1.0</v>
      </c>
      <c r="J1260" s="300">
        <v>1.0</v>
      </c>
      <c r="K1260" s="300">
        <v>1.0</v>
      </c>
      <c r="L1260" s="300">
        <v>1.0</v>
      </c>
      <c r="M1260" s="300">
        <v>1.0</v>
      </c>
      <c r="N1260" s="300">
        <v>8.0</v>
      </c>
      <c r="O1260" s="300" t="s">
        <v>849</v>
      </c>
      <c r="P1260" s="300">
        <v>7.0</v>
      </c>
    </row>
    <row r="1261">
      <c r="A1261">
        <f>IFERROR(__xludf.DUMMYFUNCTION("""COMPUTED_VALUE"""),10.0)</f>
        <v>10</v>
      </c>
      <c r="B1261" s="406">
        <f>IFERROR(__xludf.DUMMYFUNCTION("""COMPUTED_VALUE"""),28106.0)</f>
        <v>28106</v>
      </c>
      <c r="C1261" t="str">
        <f>IFERROR(__xludf.DUMMYFUNCTION("""COMPUTED_VALUE"""),"TOBON PEÑALOZA, PEDRO")</f>
        <v>TOBON PEÑALOZA, PEDRO</v>
      </c>
      <c r="D1261" t="str">
        <f>IFERROR(__xludf.DUMMYFUNCTION("""COMPUTED_VALUE"""),"Geometry")</f>
        <v>Geometry</v>
      </c>
      <c r="E1261" s="3">
        <f>IFERROR(__xludf.DUMMYFUNCTION("""COMPUTED_VALUE"""),6.0)</f>
        <v>6</v>
      </c>
      <c r="F1261" s="300">
        <v>1.0</v>
      </c>
      <c r="G1261" s="300">
        <v>1.0</v>
      </c>
      <c r="H1261" s="300">
        <v>1.0</v>
      </c>
      <c r="I1261" s="300">
        <v>1.0</v>
      </c>
      <c r="J1261" s="300">
        <v>1.0</v>
      </c>
      <c r="K1261" s="300">
        <v>1.0</v>
      </c>
      <c r="L1261" s="300">
        <v>1.0</v>
      </c>
      <c r="M1261" s="300">
        <v>1.0</v>
      </c>
      <c r="N1261" s="300">
        <v>8.0</v>
      </c>
      <c r="O1261" s="300" t="s">
        <v>848</v>
      </c>
      <c r="P1261" s="300">
        <v>7.0</v>
      </c>
    </row>
    <row r="1262">
      <c r="A1262">
        <f>IFERROR(__xludf.DUMMYFUNCTION("""COMPUTED_VALUE"""),10.0)</f>
        <v>10</v>
      </c>
      <c r="B1262" s="406">
        <f>IFERROR(__xludf.DUMMYFUNCTION("""COMPUTED_VALUE"""),28004.0)</f>
        <v>28004</v>
      </c>
      <c r="C1262" t="str">
        <f>IFERROR(__xludf.DUMMYFUNCTION("""COMPUTED_VALUE"""),"ARANGO FERNANDEZ, AGUSTIN")</f>
        <v>ARANGO FERNANDEZ, AGUSTIN</v>
      </c>
      <c r="D1262" t="str">
        <f>IFERROR(__xludf.DUMMYFUNCTION("""COMPUTED_VALUE"""),"Geometry")</f>
        <v>Geometry</v>
      </c>
      <c r="E1262" s="3">
        <f>IFERROR(__xludf.DUMMYFUNCTION("""COMPUTED_VALUE"""),4.0)</f>
        <v>4</v>
      </c>
      <c r="F1262" s="300">
        <v>1.0</v>
      </c>
      <c r="G1262" s="300">
        <v>1.0</v>
      </c>
      <c r="H1262" s="300">
        <v>1.0</v>
      </c>
      <c r="I1262" s="300">
        <v>1.0</v>
      </c>
      <c r="J1262" s="300">
        <v>1.0</v>
      </c>
      <c r="K1262" s="300">
        <v>1.0</v>
      </c>
      <c r="L1262" s="300">
        <v>1.0</v>
      </c>
      <c r="M1262" s="300">
        <v>1.0</v>
      </c>
      <c r="N1262" s="300">
        <v>8.0</v>
      </c>
      <c r="O1262" s="300" t="s">
        <v>849</v>
      </c>
      <c r="P1262" s="300">
        <v>7.0</v>
      </c>
    </row>
    <row r="1263">
      <c r="A1263">
        <f>IFERROR(__xludf.DUMMYFUNCTION("""COMPUTED_VALUE"""),10.0)</f>
        <v>10</v>
      </c>
      <c r="B1263" s="406">
        <f>IFERROR(__xludf.DUMMYFUNCTION("""COMPUTED_VALUE"""),28001.0)</f>
        <v>28001</v>
      </c>
      <c r="C1263" t="str">
        <f>IFERROR(__xludf.DUMMYFUNCTION("""COMPUTED_VALUE"""),"ABAD OLARTE, LUCIA")</f>
        <v>ABAD OLARTE, LUCIA</v>
      </c>
      <c r="D1263" t="str">
        <f>IFERROR(__xludf.DUMMYFUNCTION("""COMPUTED_VALUE"""),"Geometry")</f>
        <v>Geometry</v>
      </c>
      <c r="E1263" s="3">
        <f>IFERROR(__xludf.DUMMYFUNCTION("""COMPUTED_VALUE"""),6.0)</f>
        <v>6</v>
      </c>
      <c r="F1263" s="300">
        <v>1.0</v>
      </c>
      <c r="G1263" s="300">
        <v>1.0</v>
      </c>
      <c r="H1263" s="300">
        <v>1.0</v>
      </c>
      <c r="I1263" s="300">
        <v>1.0</v>
      </c>
      <c r="J1263" s="300">
        <v>1.0</v>
      </c>
      <c r="K1263" s="300">
        <v>1.0</v>
      </c>
      <c r="L1263" s="300">
        <v>1.0</v>
      </c>
      <c r="M1263" s="300">
        <v>1.0</v>
      </c>
      <c r="N1263" s="300">
        <v>8.0</v>
      </c>
      <c r="O1263" s="300" t="s">
        <v>848</v>
      </c>
      <c r="P1263" s="300">
        <v>7.0</v>
      </c>
    </row>
    <row r="1264">
      <c r="A1264">
        <f>IFERROR(__xludf.DUMMYFUNCTION("""COMPUTED_VALUE"""),10.0)</f>
        <v>10</v>
      </c>
      <c r="B1264" s="406">
        <f>IFERROR(__xludf.DUMMYFUNCTION("""COMPUTED_VALUE"""),28055.0)</f>
        <v>28055</v>
      </c>
      <c r="C1264" t="str">
        <f>IFERROR(__xludf.DUMMYFUNCTION("""COMPUTED_VALUE"""),"JARAMILLO OCHOA, LUCIANA")</f>
        <v>JARAMILLO OCHOA, LUCIANA</v>
      </c>
      <c r="D1264" t="str">
        <f>IFERROR(__xludf.DUMMYFUNCTION("""COMPUTED_VALUE"""),"Geometry")</f>
        <v>Geometry</v>
      </c>
      <c r="E1264" s="3">
        <f>IFERROR(__xludf.DUMMYFUNCTION("""COMPUTED_VALUE"""),3.0)</f>
        <v>3</v>
      </c>
      <c r="F1264" s="300">
        <v>1.0</v>
      </c>
      <c r="G1264" s="300">
        <v>1.0</v>
      </c>
      <c r="H1264" s="300">
        <v>1.0</v>
      </c>
      <c r="I1264" s="300">
        <v>1.0</v>
      </c>
      <c r="J1264" s="300">
        <v>1.0</v>
      </c>
      <c r="K1264" s="300">
        <v>1.0</v>
      </c>
      <c r="L1264" s="300">
        <v>1.0</v>
      </c>
      <c r="M1264" s="300">
        <v>1.0</v>
      </c>
      <c r="N1264" s="300">
        <v>8.0</v>
      </c>
      <c r="O1264" s="300" t="s">
        <v>840</v>
      </c>
      <c r="P1264" s="300">
        <v>7.0</v>
      </c>
    </row>
    <row r="1265">
      <c r="A1265">
        <f>IFERROR(__xludf.DUMMYFUNCTION("""COMPUTED_VALUE"""),10.0)</f>
        <v>10</v>
      </c>
      <c r="B1265" s="406">
        <f>IFERROR(__xludf.DUMMYFUNCTION("""COMPUTED_VALUE"""),28009.0)</f>
        <v>28009</v>
      </c>
      <c r="C1265" t="str">
        <f>IFERROR(__xludf.DUMMYFUNCTION("""COMPUTED_VALUE"""),"ARISTIZABAL ZULUAGA, MATILDE")</f>
        <v>ARISTIZABAL ZULUAGA, MATILDE</v>
      </c>
      <c r="D1265" t="str">
        <f>IFERROR(__xludf.DUMMYFUNCTION("""COMPUTED_VALUE"""),"Geometry")</f>
        <v>Geometry</v>
      </c>
      <c r="E1265" s="3">
        <f>IFERROR(__xludf.DUMMYFUNCTION("""COMPUTED_VALUE"""),6.0)</f>
        <v>6</v>
      </c>
      <c r="F1265" s="300">
        <v>1.0</v>
      </c>
      <c r="G1265" s="300">
        <v>1.0</v>
      </c>
      <c r="H1265" s="300">
        <v>1.0</v>
      </c>
      <c r="I1265" s="300">
        <v>1.0</v>
      </c>
      <c r="J1265" s="300">
        <v>1.0</v>
      </c>
      <c r="K1265" s="300">
        <v>1.0</v>
      </c>
      <c r="L1265" s="300">
        <v>1.0</v>
      </c>
      <c r="M1265" s="300">
        <v>1.0</v>
      </c>
      <c r="N1265" s="300">
        <v>8.0</v>
      </c>
      <c r="O1265" s="300" t="s">
        <v>848</v>
      </c>
      <c r="P1265" s="300">
        <v>7.0</v>
      </c>
    </row>
    <row r="1266">
      <c r="A1266">
        <f>IFERROR(__xludf.DUMMYFUNCTION("""COMPUTED_VALUE"""),10.0)</f>
        <v>10</v>
      </c>
      <c r="B1266" s="406">
        <f>IFERROR(__xludf.DUMMYFUNCTION("""COMPUTED_VALUE"""),28089.0)</f>
        <v>28089</v>
      </c>
      <c r="C1266" t="str">
        <f>IFERROR(__xludf.DUMMYFUNCTION("""COMPUTED_VALUE"""),"RAMIREZ OSORIO, ELENA")</f>
        <v>RAMIREZ OSORIO, ELENA</v>
      </c>
      <c r="D1266" t="str">
        <f>IFERROR(__xludf.DUMMYFUNCTION("""COMPUTED_VALUE"""),"Geometry")</f>
        <v>Geometry</v>
      </c>
      <c r="E1266" s="3">
        <f>IFERROR(__xludf.DUMMYFUNCTION("""COMPUTED_VALUE"""),7.0)</f>
        <v>7</v>
      </c>
      <c r="F1266" s="300">
        <v>1.0</v>
      </c>
      <c r="G1266" s="300">
        <v>1.0</v>
      </c>
      <c r="H1266" s="300">
        <v>1.0</v>
      </c>
      <c r="I1266" s="300">
        <v>1.0</v>
      </c>
      <c r="J1266" s="300">
        <v>1.0</v>
      </c>
      <c r="K1266" s="300">
        <v>1.0</v>
      </c>
      <c r="L1266" s="300">
        <v>1.0</v>
      </c>
      <c r="M1266" s="300">
        <v>1.0</v>
      </c>
      <c r="N1266" s="300">
        <v>8.0</v>
      </c>
      <c r="O1266" s="300" t="s">
        <v>839</v>
      </c>
      <c r="P1266" s="300">
        <v>7.0</v>
      </c>
    </row>
    <row r="1267">
      <c r="A1267">
        <f>IFERROR(__xludf.DUMMYFUNCTION("""COMPUTED_VALUE"""),10.0)</f>
        <v>10</v>
      </c>
      <c r="B1267" s="406">
        <f>IFERROR(__xludf.DUMMYFUNCTION("""COMPUTED_VALUE"""),28072.0)</f>
        <v>28072</v>
      </c>
      <c r="C1267" t="str">
        <f>IFERROR(__xludf.DUMMYFUNCTION("""COMPUTED_VALUE"""),"NAVARRO ISAZA, SOFIA")</f>
        <v>NAVARRO ISAZA, SOFIA</v>
      </c>
      <c r="D1267" t="str">
        <f>IFERROR(__xludf.DUMMYFUNCTION("""COMPUTED_VALUE"""),"Geometry")</f>
        <v>Geometry</v>
      </c>
      <c r="E1267" s="3">
        <f>IFERROR(__xludf.DUMMYFUNCTION("""COMPUTED_VALUE"""),6.0)</f>
        <v>6</v>
      </c>
      <c r="F1267" s="300">
        <v>1.0</v>
      </c>
      <c r="G1267" s="300">
        <v>1.0</v>
      </c>
      <c r="H1267" s="300">
        <v>1.0</v>
      </c>
      <c r="I1267" s="300">
        <v>1.0</v>
      </c>
      <c r="J1267" s="300">
        <v>1.0</v>
      </c>
      <c r="K1267" s="300">
        <v>1.0</v>
      </c>
      <c r="L1267" s="300">
        <v>1.0</v>
      </c>
      <c r="M1267" s="300">
        <v>1.0</v>
      </c>
      <c r="N1267" s="300">
        <v>8.0</v>
      </c>
      <c r="O1267" s="300" t="s">
        <v>848</v>
      </c>
      <c r="P1267" s="300">
        <v>7.0</v>
      </c>
    </row>
    <row r="1268">
      <c r="A1268">
        <f>IFERROR(__xludf.DUMMYFUNCTION("""COMPUTED_VALUE"""),10.0)</f>
        <v>10</v>
      </c>
      <c r="B1268" s="406">
        <f>IFERROR(__xludf.DUMMYFUNCTION("""COMPUTED_VALUE"""),28005.0)</f>
        <v>28005</v>
      </c>
      <c r="C1268" t="str">
        <f>IFERROR(__xludf.DUMMYFUNCTION("""COMPUTED_VALUE"""),"ARBELAEZ RODADO, SILVIA")</f>
        <v>ARBELAEZ RODADO, SILVIA</v>
      </c>
      <c r="D1268" t="str">
        <f>IFERROR(__xludf.DUMMYFUNCTION("""COMPUTED_VALUE"""),"Algebra II")</f>
        <v>Algebra II</v>
      </c>
      <c r="E1268" s="3">
        <f>IFERROR(__xludf.DUMMYFUNCTION("""COMPUTED_VALUE"""),3.0)</f>
        <v>3</v>
      </c>
      <c r="F1268" s="300">
        <v>1.0</v>
      </c>
      <c r="G1268" s="300">
        <v>1.0</v>
      </c>
      <c r="H1268" s="300">
        <v>1.0</v>
      </c>
      <c r="I1268" s="300">
        <v>1.0</v>
      </c>
      <c r="J1268" s="300">
        <v>1.0</v>
      </c>
      <c r="K1268" s="300">
        <v>1.0</v>
      </c>
      <c r="L1268" s="300">
        <v>1.0</v>
      </c>
      <c r="M1268" s="300">
        <v>1.0</v>
      </c>
      <c r="N1268" s="300">
        <v>8.0</v>
      </c>
      <c r="O1268" s="300" t="s">
        <v>853</v>
      </c>
      <c r="P1268" s="300">
        <v>5.0</v>
      </c>
    </row>
    <row r="1269">
      <c r="A1269">
        <f>IFERROR(__xludf.DUMMYFUNCTION("""COMPUTED_VALUE"""),10.0)</f>
        <v>10</v>
      </c>
      <c r="B1269" s="406">
        <f>IFERROR(__xludf.DUMMYFUNCTION("""COMPUTED_VALUE"""),28051.0)</f>
        <v>28051</v>
      </c>
      <c r="C1269" t="str">
        <f>IFERROR(__xludf.DUMMYFUNCTION("""COMPUTED_VALUE"""),"JIMENEZ ESCOBAR, MARIANA")</f>
        <v>JIMENEZ ESCOBAR, MARIANA</v>
      </c>
      <c r="D1269" t="str">
        <f>IFERROR(__xludf.DUMMYFUNCTION("""COMPUTED_VALUE"""),"AP Precalculus")</f>
        <v>AP Precalculus</v>
      </c>
      <c r="E1269" s="3">
        <f>IFERROR(__xludf.DUMMYFUNCTION("""COMPUTED_VALUE"""),2.0)</f>
        <v>2</v>
      </c>
      <c r="F1269" s="300">
        <v>1.0</v>
      </c>
      <c r="G1269" s="300">
        <v>1.0</v>
      </c>
      <c r="H1269" s="300">
        <v>1.0</v>
      </c>
      <c r="I1269" s="300">
        <v>1.0</v>
      </c>
      <c r="J1269" s="300">
        <v>1.0</v>
      </c>
      <c r="K1269" s="300">
        <v>1.0</v>
      </c>
      <c r="L1269" s="300">
        <v>1.0</v>
      </c>
      <c r="M1269" s="300">
        <v>1.0</v>
      </c>
      <c r="N1269" s="300">
        <v>8.0</v>
      </c>
      <c r="O1269" s="300" t="s">
        <v>846</v>
      </c>
      <c r="P1269" s="300">
        <v>2.0</v>
      </c>
    </row>
    <row r="1270">
      <c r="A1270">
        <f>IFERROR(__xludf.DUMMYFUNCTION("""COMPUTED_VALUE"""),10.0)</f>
        <v>10</v>
      </c>
      <c r="B1270" s="406">
        <f>IFERROR(__xludf.DUMMYFUNCTION("""COMPUTED_VALUE"""),27007.0)</f>
        <v>27007</v>
      </c>
      <c r="C1270" t="str">
        <f>IFERROR(__xludf.DUMMYFUNCTION("""COMPUTED_VALUE"""),"ARANGO VELEZ, MATEO")</f>
        <v>ARANGO VELEZ, MATEO</v>
      </c>
      <c r="D1270" t="str">
        <f>IFERROR(__xludf.DUMMYFUNCTION("""COMPUTED_VALUE"""),"Algebra II")</f>
        <v>Algebra II</v>
      </c>
      <c r="E1270" s="3">
        <f>IFERROR(__xludf.DUMMYFUNCTION("""COMPUTED_VALUE"""),1.0)</f>
        <v>1</v>
      </c>
      <c r="F1270" s="300">
        <v>1.0</v>
      </c>
      <c r="G1270" s="300">
        <v>1.0</v>
      </c>
      <c r="H1270" s="300">
        <v>1.0</v>
      </c>
      <c r="I1270" s="300">
        <v>1.0</v>
      </c>
      <c r="J1270" s="300">
        <v>1.0</v>
      </c>
      <c r="K1270" s="300">
        <v>1.0</v>
      </c>
      <c r="L1270" s="300">
        <v>1.0</v>
      </c>
      <c r="M1270" s="300">
        <v>1.0</v>
      </c>
      <c r="N1270" s="300">
        <v>8.0</v>
      </c>
      <c r="O1270" s="300" t="s">
        <v>852</v>
      </c>
      <c r="P1270" s="300">
        <v>5.0</v>
      </c>
    </row>
    <row r="1271">
      <c r="A1271">
        <f>IFERROR(__xludf.DUMMYFUNCTION("""COMPUTED_VALUE"""),10.0)</f>
        <v>10</v>
      </c>
      <c r="B1271" s="406">
        <f>IFERROR(__xludf.DUMMYFUNCTION("""COMPUTED_VALUE"""),28102.0)</f>
        <v>28102</v>
      </c>
      <c r="C1271" t="str">
        <f>IFERROR(__xludf.DUMMYFUNCTION("""COMPUTED_VALUE"""),"SALAZAR BOTERO, GABRIELA")</f>
        <v>SALAZAR BOTERO, GABRIELA</v>
      </c>
      <c r="D1271" t="str">
        <f>IFERROR(__xludf.DUMMYFUNCTION("""COMPUTED_VALUE"""),"Geometry")</f>
        <v>Geometry</v>
      </c>
      <c r="E1271" s="3">
        <f>IFERROR(__xludf.DUMMYFUNCTION("""COMPUTED_VALUE"""),6.0)</f>
        <v>6</v>
      </c>
      <c r="F1271" s="300">
        <v>1.0</v>
      </c>
      <c r="G1271" s="300">
        <v>1.0</v>
      </c>
      <c r="H1271" s="300">
        <v>1.0</v>
      </c>
      <c r="I1271" s="300">
        <v>1.0</v>
      </c>
      <c r="J1271" s="300">
        <v>1.0</v>
      </c>
      <c r="K1271" s="300">
        <v>1.0</v>
      </c>
      <c r="L1271" s="300">
        <v>1.0</v>
      </c>
      <c r="M1271" s="300">
        <v>1.0</v>
      </c>
      <c r="N1271" s="300">
        <v>8.0</v>
      </c>
      <c r="O1271" s="300" t="s">
        <v>848</v>
      </c>
      <c r="P1271" s="300">
        <v>7.0</v>
      </c>
    </row>
    <row r="1272">
      <c r="A1272">
        <f>IFERROR(__xludf.DUMMYFUNCTION("""COMPUTED_VALUE"""),10.0)</f>
        <v>10</v>
      </c>
      <c r="B1272" s="406">
        <f>IFERROR(__xludf.DUMMYFUNCTION("""COMPUTED_VALUE"""),28104.0)</f>
        <v>28104</v>
      </c>
      <c r="C1272" t="str">
        <f>IFERROR(__xludf.DUMMYFUNCTION("""COMPUTED_VALUE"""),"SERRANO SERRANO, SIMON")</f>
        <v>SERRANO SERRANO, SIMON</v>
      </c>
      <c r="D1272" t="str">
        <f>IFERROR(__xludf.DUMMYFUNCTION("""COMPUTED_VALUE"""),"AP Precalculus")</f>
        <v>AP Precalculus</v>
      </c>
      <c r="E1272" s="3">
        <f>IFERROR(__xludf.DUMMYFUNCTION("""COMPUTED_VALUE"""),2.0)</f>
        <v>2</v>
      </c>
      <c r="F1272" s="300">
        <v>1.0</v>
      </c>
      <c r="G1272" s="300">
        <v>1.0</v>
      </c>
      <c r="H1272" s="300">
        <v>1.0</v>
      </c>
      <c r="I1272" s="300">
        <v>1.0</v>
      </c>
      <c r="J1272" s="300">
        <v>1.0</v>
      </c>
      <c r="K1272" s="300">
        <v>1.0</v>
      </c>
      <c r="L1272" s="300">
        <v>1.0</v>
      </c>
      <c r="M1272" s="300">
        <v>1.0</v>
      </c>
      <c r="N1272" s="300">
        <v>8.0</v>
      </c>
      <c r="O1272" s="300" t="s">
        <v>846</v>
      </c>
      <c r="P1272" s="300">
        <v>2.0</v>
      </c>
    </row>
    <row r="1273">
      <c r="A1273">
        <f>IFERROR(__xludf.DUMMYFUNCTION("""COMPUTED_VALUE"""),10.0)</f>
        <v>10</v>
      </c>
      <c r="B1273" s="406">
        <f>IFERROR(__xludf.DUMMYFUNCTION("""COMPUTED_VALUE"""),28008.0)</f>
        <v>28008</v>
      </c>
      <c r="C1273" t="str">
        <f>IFERROR(__xludf.DUMMYFUNCTION("""COMPUTED_VALUE"""),"ARISTIZABAL TOBON, MATIAS")</f>
        <v>ARISTIZABAL TOBON, MATIAS</v>
      </c>
      <c r="D1273" t="str">
        <f>IFERROR(__xludf.DUMMYFUNCTION("""COMPUTED_VALUE"""),"Geometry")</f>
        <v>Geometry</v>
      </c>
      <c r="E1273" s="3">
        <f>IFERROR(__xludf.DUMMYFUNCTION("""COMPUTED_VALUE"""),6.0)</f>
        <v>6</v>
      </c>
      <c r="F1273" s="300">
        <v>1.0</v>
      </c>
      <c r="G1273" s="300">
        <v>1.0</v>
      </c>
      <c r="H1273" s="300">
        <v>1.0</v>
      </c>
      <c r="I1273" s="300">
        <v>1.0</v>
      </c>
      <c r="J1273" s="300">
        <v>1.0</v>
      </c>
      <c r="K1273" s="300">
        <v>1.0</v>
      </c>
      <c r="L1273" s="300">
        <v>1.0</v>
      </c>
      <c r="M1273" s="300">
        <v>1.0</v>
      </c>
      <c r="N1273" s="300">
        <v>8.0</v>
      </c>
      <c r="O1273" s="300" t="s">
        <v>848</v>
      </c>
      <c r="P1273" s="300">
        <v>7.0</v>
      </c>
    </row>
    <row r="1274">
      <c r="A1274">
        <f>IFERROR(__xludf.DUMMYFUNCTION("""COMPUTED_VALUE"""),10.0)</f>
        <v>10</v>
      </c>
      <c r="B1274" s="406">
        <f>IFERROR(__xludf.DUMMYFUNCTION("""COMPUTED_VALUE"""),28065.0)</f>
        <v>28065</v>
      </c>
      <c r="C1274" t="str">
        <f>IFERROR(__xludf.DUMMYFUNCTION("""COMPUTED_VALUE"""),"MEJIA MEJIA, TOMAS")</f>
        <v>MEJIA MEJIA, TOMAS</v>
      </c>
      <c r="D1274" t="str">
        <f>IFERROR(__xludf.DUMMYFUNCTION("""COMPUTED_VALUE"""),"Geometry")</f>
        <v>Geometry</v>
      </c>
      <c r="E1274" s="3">
        <f>IFERROR(__xludf.DUMMYFUNCTION("""COMPUTED_VALUE"""),7.0)</f>
        <v>7</v>
      </c>
      <c r="F1274" s="300">
        <v>1.0</v>
      </c>
      <c r="G1274" s="300">
        <v>1.0</v>
      </c>
      <c r="H1274" s="300">
        <v>1.0</v>
      </c>
      <c r="I1274" s="300">
        <v>1.0</v>
      </c>
      <c r="J1274" s="300">
        <v>1.0</v>
      </c>
      <c r="K1274" s="300">
        <v>1.0</v>
      </c>
      <c r="L1274" s="300">
        <v>1.0</v>
      </c>
      <c r="M1274" s="300">
        <v>1.0</v>
      </c>
      <c r="N1274" s="300">
        <v>8.0</v>
      </c>
      <c r="O1274" s="300" t="s">
        <v>839</v>
      </c>
      <c r="P1274" s="300">
        <v>7.0</v>
      </c>
    </row>
    <row r="1275">
      <c r="A1275">
        <f>IFERROR(__xludf.DUMMYFUNCTION("""COMPUTED_VALUE"""),10.0)</f>
        <v>10</v>
      </c>
      <c r="B1275" s="406">
        <f>IFERROR(__xludf.DUMMYFUNCTION("""COMPUTED_VALUE"""),28073.0)</f>
        <v>28073</v>
      </c>
      <c r="C1275" t="str">
        <f>IFERROR(__xludf.DUMMYFUNCTION("""COMPUTED_VALUE"""),"NAVARRO RAMIREZ, MARIA")</f>
        <v>NAVARRO RAMIREZ, MARIA</v>
      </c>
      <c r="D1275" t="str">
        <f>IFERROR(__xludf.DUMMYFUNCTION("""COMPUTED_VALUE"""),"Geometry")</f>
        <v>Geometry</v>
      </c>
      <c r="E1275" s="3">
        <f>IFERROR(__xludf.DUMMYFUNCTION("""COMPUTED_VALUE"""),7.0)</f>
        <v>7</v>
      </c>
      <c r="F1275" s="300">
        <v>1.0</v>
      </c>
      <c r="G1275" s="300">
        <v>1.0</v>
      </c>
      <c r="H1275" s="300">
        <v>1.0</v>
      </c>
      <c r="I1275" s="300">
        <v>1.0</v>
      </c>
      <c r="J1275" s="300">
        <v>1.0</v>
      </c>
      <c r="K1275" s="300">
        <v>1.0</v>
      </c>
      <c r="L1275" s="300">
        <v>1.0</v>
      </c>
      <c r="M1275" s="300">
        <v>1.0</v>
      </c>
      <c r="N1275" s="300">
        <v>8.0</v>
      </c>
      <c r="O1275" s="300" t="s">
        <v>839</v>
      </c>
      <c r="P1275" s="300">
        <v>7.0</v>
      </c>
    </row>
    <row r="1276">
      <c r="A1276">
        <f>IFERROR(__xludf.DUMMYFUNCTION("""COMPUTED_VALUE"""),10.0)</f>
        <v>10</v>
      </c>
      <c r="B1276" s="406">
        <f>IFERROR(__xludf.DUMMYFUNCTION("""COMPUTED_VALUE"""),28081.0)</f>
        <v>28081</v>
      </c>
      <c r="C1276" t="str">
        <f>IFERROR(__xludf.DUMMYFUNCTION("""COMPUTED_VALUE"""),"PALACIO RUIZ, LUCAS")</f>
        <v>PALACIO RUIZ, LUCAS</v>
      </c>
      <c r="D1276" t="str">
        <f>IFERROR(__xludf.DUMMYFUNCTION("""COMPUTED_VALUE"""),"Geometry")</f>
        <v>Geometry</v>
      </c>
      <c r="E1276" s="3">
        <f>IFERROR(__xludf.DUMMYFUNCTION("""COMPUTED_VALUE"""),4.0)</f>
        <v>4</v>
      </c>
      <c r="F1276" s="300">
        <v>1.0</v>
      </c>
      <c r="G1276" s="300">
        <v>1.0</v>
      </c>
      <c r="H1276" s="300">
        <v>1.0</v>
      </c>
      <c r="I1276" s="300">
        <v>1.0</v>
      </c>
      <c r="J1276" s="300">
        <v>1.0</v>
      </c>
      <c r="K1276" s="300">
        <v>1.0</v>
      </c>
      <c r="L1276" s="300">
        <v>1.0</v>
      </c>
      <c r="M1276" s="300">
        <v>1.0</v>
      </c>
      <c r="N1276" s="300">
        <v>8.0</v>
      </c>
      <c r="O1276" s="300" t="s">
        <v>849</v>
      </c>
      <c r="P1276" s="300">
        <v>7.0</v>
      </c>
    </row>
    <row r="1277">
      <c r="A1277">
        <f>IFERROR(__xludf.DUMMYFUNCTION("""COMPUTED_VALUE"""),10.0)</f>
        <v>10</v>
      </c>
      <c r="B1277" s="406">
        <f>IFERROR(__xludf.DUMMYFUNCTION("""COMPUTED_VALUE"""),28039.0)</f>
        <v>28039</v>
      </c>
      <c r="C1277" t="str">
        <f>IFERROR(__xludf.DUMMYFUNCTION("""COMPUTED_VALUE"""),"GONZALEZ LOPEZ, ISABEL")</f>
        <v>GONZALEZ LOPEZ, ISABEL</v>
      </c>
      <c r="D1277" t="str">
        <f>IFERROR(__xludf.DUMMYFUNCTION("""COMPUTED_VALUE"""),"Algebra II")</f>
        <v>Algebra II</v>
      </c>
      <c r="E1277" s="3">
        <f>IFERROR(__xludf.DUMMYFUNCTION("""COMPUTED_VALUE"""),5.0)</f>
        <v>5</v>
      </c>
      <c r="F1277" s="300">
        <v>1.0</v>
      </c>
      <c r="G1277" s="300">
        <v>1.0</v>
      </c>
      <c r="H1277" s="300">
        <v>1.0</v>
      </c>
      <c r="I1277" s="300">
        <v>1.0</v>
      </c>
      <c r="J1277" s="300">
        <v>1.0</v>
      </c>
      <c r="K1277" s="300">
        <v>1.0</v>
      </c>
      <c r="L1277" s="300">
        <v>1.0</v>
      </c>
      <c r="M1277" s="300">
        <v>1.0</v>
      </c>
      <c r="N1277" s="300">
        <v>8.0</v>
      </c>
      <c r="O1277" s="300" t="s">
        <v>851</v>
      </c>
      <c r="P1277" s="300">
        <v>5.0</v>
      </c>
    </row>
    <row r="1278">
      <c r="A1278">
        <f>IFERROR(__xludf.DUMMYFUNCTION("""COMPUTED_VALUE"""),10.0)</f>
        <v>10</v>
      </c>
      <c r="B1278" s="406">
        <f>IFERROR(__xludf.DUMMYFUNCTION("""COMPUTED_VALUE"""),28147.0)</f>
        <v>28147</v>
      </c>
      <c r="C1278" t="str">
        <f>IFERROR(__xludf.DUMMYFUNCTION("""COMPUTED_VALUE"""),"OSPINA STERLING, DULCE MARIA")</f>
        <v>OSPINA STERLING, DULCE MARIA</v>
      </c>
      <c r="D1278" t="str">
        <f>IFERROR(__xludf.DUMMYFUNCTION("""COMPUTED_VALUE"""),"Geometry")</f>
        <v>Geometry</v>
      </c>
      <c r="E1278" s="3">
        <f>IFERROR(__xludf.DUMMYFUNCTION("""COMPUTED_VALUE"""),4.0)</f>
        <v>4</v>
      </c>
      <c r="F1278" s="300">
        <v>1.0</v>
      </c>
      <c r="G1278" s="300">
        <v>1.0</v>
      </c>
      <c r="H1278" s="300">
        <v>1.0</v>
      </c>
      <c r="I1278" s="300">
        <v>1.0</v>
      </c>
      <c r="J1278" s="300">
        <v>1.0</v>
      </c>
      <c r="K1278" s="300">
        <v>1.0</v>
      </c>
      <c r="L1278" s="300">
        <v>1.0</v>
      </c>
      <c r="M1278" s="300">
        <v>1.0</v>
      </c>
      <c r="N1278" s="300">
        <v>8.0</v>
      </c>
      <c r="O1278" s="300" t="s">
        <v>849</v>
      </c>
      <c r="P1278" s="300">
        <v>7.0</v>
      </c>
    </row>
    <row r="1279">
      <c r="A1279">
        <f>IFERROR(__xludf.DUMMYFUNCTION("""COMPUTED_VALUE"""),10.0)</f>
        <v>10</v>
      </c>
      <c r="B1279" s="406">
        <f>IFERROR(__xludf.DUMMYFUNCTION("""COMPUTED_VALUE"""),28088.0)</f>
        <v>28088</v>
      </c>
      <c r="C1279" t="str">
        <f>IFERROR(__xludf.DUMMYFUNCTION("""COMPUTED_VALUE"""),"QUINTERO VARGAS, ALICIA")</f>
        <v>QUINTERO VARGAS, ALICIA</v>
      </c>
      <c r="D1279" t="str">
        <f>IFERROR(__xludf.DUMMYFUNCTION("""COMPUTED_VALUE"""),"Algebra II")</f>
        <v>Algebra II</v>
      </c>
      <c r="E1279" s="3">
        <f>IFERROR(__xludf.DUMMYFUNCTION("""COMPUTED_VALUE"""),8.0)</f>
        <v>8</v>
      </c>
      <c r="F1279" s="300">
        <v>1.0</v>
      </c>
      <c r="G1279" s="300">
        <v>1.0</v>
      </c>
      <c r="H1279" s="300">
        <v>1.0</v>
      </c>
      <c r="I1279" s="300">
        <v>1.0</v>
      </c>
      <c r="J1279" s="300">
        <v>1.0</v>
      </c>
      <c r="K1279" s="300">
        <v>1.0</v>
      </c>
      <c r="L1279" s="300">
        <v>1.0</v>
      </c>
      <c r="M1279" s="300">
        <v>1.0</v>
      </c>
      <c r="N1279" s="300">
        <v>8.0</v>
      </c>
      <c r="O1279" s="300" t="s">
        <v>850</v>
      </c>
      <c r="P1279" s="300">
        <v>5.0</v>
      </c>
    </row>
    <row r="1280">
      <c r="A1280">
        <f>IFERROR(__xludf.DUMMYFUNCTION("""COMPUTED_VALUE"""),10.0)</f>
        <v>10</v>
      </c>
      <c r="B1280" s="406">
        <f>IFERROR(__xludf.DUMMYFUNCTION("""COMPUTED_VALUE"""),28029.0)</f>
        <v>28029</v>
      </c>
      <c r="C1280" t="str">
        <f>IFERROR(__xludf.DUMMYFUNCTION("""COMPUTED_VALUE"""),"FORERO MEJIA, EMILIO")</f>
        <v>FORERO MEJIA, EMILIO</v>
      </c>
      <c r="D1280" t="str">
        <f>IFERROR(__xludf.DUMMYFUNCTION("""COMPUTED_VALUE"""),"Geometry")</f>
        <v>Geometry</v>
      </c>
      <c r="E1280" s="3">
        <f>IFERROR(__xludf.DUMMYFUNCTION("""COMPUTED_VALUE"""),3.0)</f>
        <v>3</v>
      </c>
      <c r="F1280" s="300">
        <v>1.0</v>
      </c>
      <c r="G1280" s="300">
        <v>1.0</v>
      </c>
      <c r="H1280" s="300">
        <v>1.0</v>
      </c>
      <c r="I1280" s="300">
        <v>1.0</v>
      </c>
      <c r="J1280" s="300">
        <v>1.0</v>
      </c>
      <c r="K1280" s="300">
        <v>1.0</v>
      </c>
      <c r="L1280" s="300">
        <v>1.0</v>
      </c>
      <c r="M1280" s="300">
        <v>1.0</v>
      </c>
      <c r="N1280" s="300">
        <v>8.0</v>
      </c>
      <c r="O1280" s="300" t="s">
        <v>840</v>
      </c>
      <c r="P1280" s="300">
        <v>7.0</v>
      </c>
    </row>
    <row r="1281">
      <c r="A1281">
        <f>IFERROR(__xludf.DUMMYFUNCTION("""COMPUTED_VALUE"""),10.0)</f>
        <v>10</v>
      </c>
      <c r="B1281" s="406">
        <f>IFERROR(__xludf.DUMMYFUNCTION("""COMPUTED_VALUE"""),28084.0)</f>
        <v>28084</v>
      </c>
      <c r="C1281" t="str">
        <f>IFERROR(__xludf.DUMMYFUNCTION("""COMPUTED_VALUE"""),"PINEDA ARANGO, JERONIMO")</f>
        <v>PINEDA ARANGO, JERONIMO</v>
      </c>
      <c r="D1281" t="str">
        <f>IFERROR(__xludf.DUMMYFUNCTION("""COMPUTED_VALUE"""),"Algebra II")</f>
        <v>Algebra II</v>
      </c>
      <c r="E1281" s="3">
        <f>IFERROR(__xludf.DUMMYFUNCTION("""COMPUTED_VALUE"""),8.0)</f>
        <v>8</v>
      </c>
      <c r="F1281" s="300">
        <v>1.0</v>
      </c>
      <c r="G1281" s="300">
        <v>1.0</v>
      </c>
      <c r="H1281" s="300">
        <v>1.0</v>
      </c>
      <c r="I1281" s="300">
        <v>1.0</v>
      </c>
      <c r="J1281" s="300">
        <v>1.0</v>
      </c>
      <c r="K1281" s="300">
        <v>1.0</v>
      </c>
      <c r="L1281" s="300">
        <v>1.0</v>
      </c>
      <c r="M1281" s="300">
        <v>1.0</v>
      </c>
      <c r="N1281" s="300">
        <v>8.0</v>
      </c>
      <c r="O1281" s="300" t="s">
        <v>850</v>
      </c>
      <c r="P1281" s="300">
        <v>5.0</v>
      </c>
    </row>
    <row r="1282">
      <c r="A1282">
        <f>IFERROR(__xludf.DUMMYFUNCTION("""COMPUTED_VALUE"""),10.0)</f>
        <v>10</v>
      </c>
      <c r="B1282" s="406">
        <f>IFERROR(__xludf.DUMMYFUNCTION("""COMPUTED_VALUE"""),28114.0)</f>
        <v>28114</v>
      </c>
      <c r="C1282" t="str">
        <f>IFERROR(__xludf.DUMMYFUNCTION("""COMPUTED_VALUE"""),"VELEZ CORREA, SAMUEL")</f>
        <v>VELEZ CORREA, SAMUEL</v>
      </c>
      <c r="D1282" t="str">
        <f>IFERROR(__xludf.DUMMYFUNCTION("""COMPUTED_VALUE"""),"Geometry")</f>
        <v>Geometry</v>
      </c>
      <c r="E1282" s="3">
        <f>IFERROR(__xludf.DUMMYFUNCTION("""COMPUTED_VALUE"""),3.0)</f>
        <v>3</v>
      </c>
      <c r="F1282" s="300">
        <v>1.0</v>
      </c>
      <c r="G1282" s="300">
        <v>1.0</v>
      </c>
      <c r="H1282" s="300">
        <v>1.0</v>
      </c>
      <c r="I1282" s="300">
        <v>1.0</v>
      </c>
      <c r="J1282" s="300">
        <v>1.0</v>
      </c>
      <c r="K1282" s="300">
        <v>1.0</v>
      </c>
      <c r="L1282" s="300">
        <v>1.0</v>
      </c>
      <c r="M1282" s="300">
        <v>1.0</v>
      </c>
      <c r="N1282" s="300">
        <v>8.0</v>
      </c>
      <c r="O1282" s="300" t="s">
        <v>840</v>
      </c>
      <c r="P1282" s="300">
        <v>7.0</v>
      </c>
    </row>
    <row r="1283">
      <c r="A1283">
        <f>IFERROR(__xludf.DUMMYFUNCTION("""COMPUTED_VALUE"""),10.0)</f>
        <v>10</v>
      </c>
      <c r="B1283" s="406">
        <f>IFERROR(__xludf.DUMMYFUNCTION("""COMPUTED_VALUE"""),28064.0)</f>
        <v>28064</v>
      </c>
      <c r="C1283" t="str">
        <f>IFERROR(__xludf.DUMMYFUNCTION("""COMPUTED_VALUE"""),"MEJIA MANTILLA, TOMAS")</f>
        <v>MEJIA MANTILLA, TOMAS</v>
      </c>
      <c r="D1283" t="str">
        <f>IFERROR(__xludf.DUMMYFUNCTION("""COMPUTED_VALUE"""),"Algebra II")</f>
        <v>Algebra II</v>
      </c>
      <c r="E1283" s="3">
        <f>IFERROR(__xludf.DUMMYFUNCTION("""COMPUTED_VALUE"""),8.0)</f>
        <v>8</v>
      </c>
      <c r="F1283" s="300">
        <v>1.0</v>
      </c>
      <c r="G1283" s="300">
        <v>1.0</v>
      </c>
      <c r="H1283" s="300">
        <v>1.0</v>
      </c>
      <c r="I1283" s="300">
        <v>1.0</v>
      </c>
      <c r="J1283" s="300">
        <v>1.0</v>
      </c>
      <c r="K1283" s="300">
        <v>1.0</v>
      </c>
      <c r="L1283" s="300">
        <v>1.0</v>
      </c>
      <c r="M1283" s="300">
        <v>1.0</v>
      </c>
      <c r="N1283" s="300">
        <v>8.0</v>
      </c>
      <c r="O1283" s="300" t="s">
        <v>850</v>
      </c>
      <c r="P1283" s="300">
        <v>5.0</v>
      </c>
    </row>
    <row r="1284">
      <c r="A1284">
        <f>IFERROR(__xludf.DUMMYFUNCTION("""COMPUTED_VALUE"""),10.0)</f>
        <v>10</v>
      </c>
      <c r="B1284" s="406">
        <f>IFERROR(__xludf.DUMMYFUNCTION("""COMPUTED_VALUE"""),28036.0)</f>
        <v>28036</v>
      </c>
      <c r="C1284" t="str">
        <f>IFERROR(__xludf.DUMMYFUNCTION("""COMPUTED_VALUE"""),"GOMEZ LINCE, NICOLAS")</f>
        <v>GOMEZ LINCE, NICOLAS</v>
      </c>
      <c r="D1284" t="str">
        <f>IFERROR(__xludf.DUMMYFUNCTION("""COMPUTED_VALUE"""),"Geometry")</f>
        <v>Geometry</v>
      </c>
      <c r="E1284" s="3">
        <f>IFERROR(__xludf.DUMMYFUNCTION("""COMPUTED_VALUE"""),7.0)</f>
        <v>7</v>
      </c>
      <c r="F1284" s="300">
        <v>1.0</v>
      </c>
      <c r="G1284" s="300">
        <v>1.0</v>
      </c>
      <c r="H1284" s="300">
        <v>1.0</v>
      </c>
      <c r="I1284" s="300">
        <v>1.0</v>
      </c>
      <c r="J1284" s="300">
        <v>1.0</v>
      </c>
      <c r="K1284" s="300">
        <v>1.0</v>
      </c>
      <c r="L1284" s="300">
        <v>1.0</v>
      </c>
      <c r="M1284" s="300">
        <v>1.0</v>
      </c>
      <c r="N1284" s="300">
        <v>8.0</v>
      </c>
      <c r="O1284" s="300" t="s">
        <v>839</v>
      </c>
      <c r="P1284" s="300">
        <v>7.0</v>
      </c>
    </row>
    <row r="1285">
      <c r="A1285">
        <f>IFERROR(__xludf.DUMMYFUNCTION("""COMPUTED_VALUE"""),10.0)</f>
        <v>10</v>
      </c>
      <c r="B1285" s="406">
        <f>IFERROR(__xludf.DUMMYFUNCTION("""COMPUTED_VALUE"""),28076.0)</f>
        <v>28076</v>
      </c>
      <c r="C1285" t="str">
        <f>IFERROR(__xludf.DUMMYFUNCTION("""COMPUTED_VALUE"""),"OLAYA CARDENAS, CAMILA")</f>
        <v>OLAYA CARDENAS, CAMILA</v>
      </c>
      <c r="D1285" t="str">
        <f>IFERROR(__xludf.DUMMYFUNCTION("""COMPUTED_VALUE"""),"AP Precalculus")</f>
        <v>AP Precalculus</v>
      </c>
      <c r="E1285" s="3">
        <f>IFERROR(__xludf.DUMMYFUNCTION("""COMPUTED_VALUE"""),3.0)</f>
        <v>3</v>
      </c>
      <c r="F1285" s="300">
        <v>1.0</v>
      </c>
      <c r="G1285" s="300">
        <v>1.0</v>
      </c>
      <c r="H1285" s="300">
        <v>1.0</v>
      </c>
      <c r="I1285" s="300">
        <v>1.0</v>
      </c>
      <c r="J1285" s="300">
        <v>1.0</v>
      </c>
      <c r="K1285" s="300">
        <v>1.0</v>
      </c>
      <c r="L1285" s="300">
        <v>1.0</v>
      </c>
      <c r="M1285" s="300">
        <v>1.0</v>
      </c>
      <c r="N1285" s="300">
        <v>8.0</v>
      </c>
      <c r="O1285" s="300" t="s">
        <v>847</v>
      </c>
      <c r="P1285" s="300">
        <v>2.0</v>
      </c>
    </row>
    <row r="1286">
      <c r="A1286">
        <f>IFERROR(__xludf.DUMMYFUNCTION("""COMPUTED_VALUE"""),10.0)</f>
        <v>10</v>
      </c>
      <c r="B1286" s="406">
        <f>IFERROR(__xludf.DUMMYFUNCTION("""COMPUTED_VALUE"""),28164.0)</f>
        <v>28164</v>
      </c>
      <c r="C1286" s="406" t="str">
        <f>IFERROR(__xludf.DUMMYFUNCTION("""COMPUTED_VALUE"""),"WOODWORTH, MIA ISABELLA")</f>
        <v>WOODWORTH, MIA ISABELLA</v>
      </c>
      <c r="D1286" t="str">
        <f>IFERROR(__xludf.DUMMYFUNCTION("""COMPUTED_VALUE"""),"Geometry")</f>
        <v>Geometry</v>
      </c>
      <c r="E1286" s="3">
        <f>IFERROR(__xludf.DUMMYFUNCTION("""COMPUTED_VALUE"""),4.0)</f>
        <v>4</v>
      </c>
      <c r="F1286" s="300">
        <v>1.0</v>
      </c>
      <c r="G1286" s="300">
        <v>1.0</v>
      </c>
      <c r="H1286" s="300">
        <v>1.0</v>
      </c>
      <c r="I1286" s="300">
        <v>1.0</v>
      </c>
      <c r="J1286" s="300">
        <v>1.0</v>
      </c>
      <c r="K1286" s="300">
        <v>1.0</v>
      </c>
      <c r="L1286" s="300">
        <v>1.0</v>
      </c>
      <c r="M1286" s="300">
        <v>1.0</v>
      </c>
      <c r="N1286" s="300">
        <v>8.0</v>
      </c>
      <c r="O1286" s="300" t="s">
        <v>849</v>
      </c>
      <c r="P1286" s="300">
        <v>7.0</v>
      </c>
    </row>
    <row r="1287">
      <c r="A1287">
        <f>IFERROR(__xludf.DUMMYFUNCTION("""COMPUTED_VALUE"""),10.0)</f>
        <v>10</v>
      </c>
      <c r="B1287" s="406">
        <f>IFERROR(__xludf.DUMMYFUNCTION("""COMPUTED_VALUE"""),27088.0)</f>
        <v>27088</v>
      </c>
      <c r="C1287" t="str">
        <f>IFERROR(__xludf.DUMMYFUNCTION("""COMPUTED_VALUE"""),"PEREZ JARAMILLO, AGUSTIN")</f>
        <v>PEREZ JARAMILLO, AGUSTIN</v>
      </c>
      <c r="D1287" t="str">
        <f>IFERROR(__xludf.DUMMYFUNCTION("""COMPUTED_VALUE"""),"Geometry")</f>
        <v>Geometry</v>
      </c>
      <c r="E1287" s="3">
        <f>IFERROR(__xludf.DUMMYFUNCTION("""COMPUTED_VALUE"""),3.0)</f>
        <v>3</v>
      </c>
      <c r="F1287" s="300">
        <v>1.0</v>
      </c>
      <c r="G1287" s="300">
        <v>1.0</v>
      </c>
      <c r="H1287" s="300">
        <v>1.0</v>
      </c>
      <c r="I1287" s="300">
        <v>1.0</v>
      </c>
      <c r="J1287" s="300">
        <v>1.0</v>
      </c>
      <c r="K1287" s="300">
        <v>1.0</v>
      </c>
      <c r="L1287" s="300">
        <v>1.0</v>
      </c>
      <c r="M1287" s="300">
        <v>1.0</v>
      </c>
      <c r="N1287" s="300">
        <v>8.0</v>
      </c>
      <c r="O1287" s="300" t="s">
        <v>840</v>
      </c>
      <c r="P1287" s="300">
        <v>7.0</v>
      </c>
    </row>
    <row r="1288">
      <c r="A1288">
        <f>IFERROR(__xludf.DUMMYFUNCTION("""COMPUTED_VALUE"""),10.0)</f>
        <v>10</v>
      </c>
      <c r="B1288" s="406">
        <f>IFERROR(__xludf.DUMMYFUNCTION("""COMPUTED_VALUE"""),28060.0)</f>
        <v>28060</v>
      </c>
      <c r="C1288" t="str">
        <f>IFERROR(__xludf.DUMMYFUNCTION("""COMPUTED_VALUE"""),"MEDINA LONDOÑO, PABLO")</f>
        <v>MEDINA LONDOÑO, PABLO</v>
      </c>
      <c r="D1288" t="str">
        <f>IFERROR(__xludf.DUMMYFUNCTION("""COMPUTED_VALUE"""),"Geometry")</f>
        <v>Geometry</v>
      </c>
      <c r="E1288" s="3">
        <f>IFERROR(__xludf.DUMMYFUNCTION("""COMPUTED_VALUE"""),3.0)</f>
        <v>3</v>
      </c>
      <c r="F1288" s="300">
        <v>1.0</v>
      </c>
      <c r="G1288" s="300">
        <v>1.0</v>
      </c>
      <c r="H1288" s="300">
        <v>1.0</v>
      </c>
      <c r="I1288" s="300">
        <v>1.0</v>
      </c>
      <c r="J1288" s="300">
        <v>1.0</v>
      </c>
      <c r="K1288" s="300">
        <v>1.0</v>
      </c>
      <c r="L1288" s="300">
        <v>1.0</v>
      </c>
      <c r="M1288" s="300">
        <v>1.0</v>
      </c>
      <c r="N1288" s="300">
        <v>8.0</v>
      </c>
      <c r="O1288" s="300" t="s">
        <v>840</v>
      </c>
      <c r="P1288" s="300">
        <v>7.0</v>
      </c>
    </row>
    <row r="1289">
      <c r="A1289">
        <f>IFERROR(__xludf.DUMMYFUNCTION("""COMPUTED_VALUE"""),10.0)</f>
        <v>10</v>
      </c>
      <c r="B1289" s="406">
        <f>IFERROR(__xludf.DUMMYFUNCTION("""COMPUTED_VALUE"""),28034.0)</f>
        <v>28034</v>
      </c>
      <c r="C1289" t="str">
        <f>IFERROR(__xludf.DUMMYFUNCTION("""COMPUTED_VALUE"""),"GARCIA ISAZA, TOMAS")</f>
        <v>GARCIA ISAZA, TOMAS</v>
      </c>
      <c r="D1289" t="str">
        <f>IFERROR(__xludf.DUMMYFUNCTION("""COMPUTED_VALUE"""),"Algebra II")</f>
        <v>Algebra II</v>
      </c>
      <c r="E1289" s="3">
        <f>IFERROR(__xludf.DUMMYFUNCTION("""COMPUTED_VALUE"""),8.0)</f>
        <v>8</v>
      </c>
      <c r="F1289" s="300">
        <v>1.0</v>
      </c>
      <c r="G1289" s="300">
        <v>1.0</v>
      </c>
      <c r="H1289" s="300">
        <v>1.0</v>
      </c>
      <c r="I1289" s="300">
        <v>1.0</v>
      </c>
      <c r="J1289" s="300">
        <v>1.0</v>
      </c>
      <c r="K1289" s="300">
        <v>1.0</v>
      </c>
      <c r="L1289" s="300">
        <v>1.0</v>
      </c>
      <c r="M1289" s="300">
        <v>1.0</v>
      </c>
      <c r="N1289" s="300">
        <v>8.0</v>
      </c>
      <c r="O1289" s="300" t="s">
        <v>850</v>
      </c>
      <c r="P1289" s="300">
        <v>5.0</v>
      </c>
    </row>
    <row r="1290">
      <c r="A1290">
        <f>IFERROR(__xludf.DUMMYFUNCTION("""COMPUTED_VALUE"""),10.0)</f>
        <v>10</v>
      </c>
      <c r="B1290" s="406">
        <f>IFERROR(__xludf.DUMMYFUNCTION("""COMPUTED_VALUE"""),28049.0)</f>
        <v>28049</v>
      </c>
      <c r="C1290" t="str">
        <f>IFERROR(__xludf.DUMMYFUNCTION("""COMPUTED_VALUE"""),"JARAMILLO ARANGO, ELENA")</f>
        <v>JARAMILLO ARANGO, ELENA</v>
      </c>
      <c r="D1290" t="str">
        <f>IFERROR(__xludf.DUMMYFUNCTION("""COMPUTED_VALUE"""),"Geometry")</f>
        <v>Geometry</v>
      </c>
      <c r="E1290" s="3">
        <f>IFERROR(__xludf.DUMMYFUNCTION("""COMPUTED_VALUE"""),7.0)</f>
        <v>7</v>
      </c>
      <c r="F1290" s="300">
        <v>1.0</v>
      </c>
      <c r="G1290" s="300">
        <v>1.0</v>
      </c>
      <c r="H1290" s="300">
        <v>1.0</v>
      </c>
      <c r="I1290" s="300">
        <v>1.0</v>
      </c>
      <c r="J1290" s="300">
        <v>1.0</v>
      </c>
      <c r="K1290" s="300">
        <v>1.0</v>
      </c>
      <c r="L1290" s="300">
        <v>1.0</v>
      </c>
      <c r="M1290" s="300">
        <v>1.0</v>
      </c>
      <c r="N1290" s="300">
        <v>8.0</v>
      </c>
      <c r="O1290" s="300" t="s">
        <v>839</v>
      </c>
      <c r="P1290" s="300">
        <v>7.0</v>
      </c>
    </row>
    <row r="1291">
      <c r="A1291">
        <f>IFERROR(__xludf.DUMMYFUNCTION("""COMPUTED_VALUE"""),10.0)</f>
        <v>10</v>
      </c>
      <c r="B1291" s="406">
        <f>IFERROR(__xludf.DUMMYFUNCTION("""COMPUTED_VALUE"""),28024.0)</f>
        <v>28024</v>
      </c>
      <c r="C1291" t="str">
        <f>IFERROR(__xludf.DUMMYFUNCTION("""COMPUTED_VALUE"""),"ESCOBAR CASTAÑO, NICOLAS")</f>
        <v>ESCOBAR CASTAÑO, NICOLAS</v>
      </c>
      <c r="D1291" t="str">
        <f>IFERROR(__xludf.DUMMYFUNCTION("""COMPUTED_VALUE"""),"Algebra II")</f>
        <v>Algebra II</v>
      </c>
      <c r="E1291" s="3">
        <f>IFERROR(__xludf.DUMMYFUNCTION("""COMPUTED_VALUE"""),6.0)</f>
        <v>6</v>
      </c>
      <c r="F1291" s="300">
        <v>1.0</v>
      </c>
      <c r="G1291" s="300">
        <v>1.0</v>
      </c>
      <c r="H1291" s="300">
        <v>1.0</v>
      </c>
      <c r="I1291" s="300">
        <v>1.0</v>
      </c>
      <c r="J1291" s="300">
        <v>1.0</v>
      </c>
      <c r="K1291" s="300">
        <v>1.0</v>
      </c>
      <c r="L1291" s="300">
        <v>1.0</v>
      </c>
      <c r="M1291" s="300">
        <v>1.0</v>
      </c>
      <c r="N1291" s="300">
        <v>8.0</v>
      </c>
      <c r="O1291" s="300" t="s">
        <v>854</v>
      </c>
      <c r="P1291" s="300">
        <v>5.0</v>
      </c>
    </row>
    <row r="1292">
      <c r="A1292">
        <f>IFERROR(__xludf.DUMMYFUNCTION("""COMPUTED_VALUE"""),10.0)</f>
        <v>10</v>
      </c>
      <c r="B1292" s="406">
        <f>IFERROR(__xludf.DUMMYFUNCTION("""COMPUTED_VALUE"""),28093.0)</f>
        <v>28093</v>
      </c>
      <c r="C1292" t="str">
        <f>IFERROR(__xludf.DUMMYFUNCTION("""COMPUTED_VALUE"""),"RESTREPO ELEJALDE, LUCIANO")</f>
        <v>RESTREPO ELEJALDE, LUCIANO</v>
      </c>
      <c r="D1292" t="str">
        <f>IFERROR(__xludf.DUMMYFUNCTION("""COMPUTED_VALUE"""),"Algebra II")</f>
        <v>Algebra II</v>
      </c>
      <c r="E1292" s="3">
        <f>IFERROR(__xludf.DUMMYFUNCTION("""COMPUTED_VALUE"""),6.0)</f>
        <v>6</v>
      </c>
      <c r="F1292" s="300">
        <v>1.0</v>
      </c>
      <c r="G1292" s="300">
        <v>1.0</v>
      </c>
      <c r="H1292" s="300">
        <v>1.0</v>
      </c>
      <c r="I1292" s="300">
        <v>1.0</v>
      </c>
      <c r="J1292" s="300">
        <v>1.0</v>
      </c>
      <c r="K1292" s="300">
        <v>1.0</v>
      </c>
      <c r="L1292" s="300">
        <v>1.0</v>
      </c>
      <c r="M1292" s="300">
        <v>1.0</v>
      </c>
      <c r="N1292" s="300">
        <v>8.0</v>
      </c>
      <c r="O1292" s="300" t="s">
        <v>854</v>
      </c>
      <c r="P1292" s="300">
        <v>5.0</v>
      </c>
    </row>
    <row r="1293">
      <c r="A1293">
        <f>IFERROR(__xludf.DUMMYFUNCTION("""COMPUTED_VALUE"""),10.0)</f>
        <v>10</v>
      </c>
      <c r="B1293" s="406">
        <f>IFERROR(__xludf.DUMMYFUNCTION("""COMPUTED_VALUE"""),28070.0)</f>
        <v>28070</v>
      </c>
      <c r="C1293" t="str">
        <f>IFERROR(__xludf.DUMMYFUNCTION("""COMPUTED_VALUE"""),"MORENO RESTREPO, MARTIN")</f>
        <v>MORENO RESTREPO, MARTIN</v>
      </c>
      <c r="D1293" t="str">
        <f>IFERROR(__xludf.DUMMYFUNCTION("""COMPUTED_VALUE"""),"Geometry")</f>
        <v>Geometry</v>
      </c>
      <c r="E1293" s="3">
        <f>IFERROR(__xludf.DUMMYFUNCTION("""COMPUTED_VALUE"""),1.0)</f>
        <v>1</v>
      </c>
      <c r="F1293" s="300">
        <v>1.0</v>
      </c>
      <c r="G1293" s="300">
        <v>1.0</v>
      </c>
      <c r="H1293" s="300">
        <v>1.0</v>
      </c>
      <c r="I1293" s="300">
        <v>1.0</v>
      </c>
      <c r="J1293" s="300">
        <v>1.0</v>
      </c>
      <c r="K1293" s="300">
        <v>1.0</v>
      </c>
      <c r="L1293" s="300">
        <v>1.0</v>
      </c>
      <c r="M1293" s="300">
        <v>1.0</v>
      </c>
      <c r="N1293" s="300">
        <v>8.0</v>
      </c>
      <c r="O1293" s="300" t="s">
        <v>837</v>
      </c>
      <c r="P1293" s="300">
        <v>7.0</v>
      </c>
    </row>
    <row r="1294">
      <c r="A1294">
        <f>IFERROR(__xludf.DUMMYFUNCTION("""COMPUTED_VALUE"""),10.0)</f>
        <v>10</v>
      </c>
      <c r="B1294" s="406">
        <f>IFERROR(__xludf.DUMMYFUNCTION("""COMPUTED_VALUE"""),28110.0)</f>
        <v>28110</v>
      </c>
      <c r="C1294" t="str">
        <f>IFERROR(__xludf.DUMMYFUNCTION("""COMPUTED_VALUE"""),"VARGAS URIBE, LORENZO")</f>
        <v>VARGAS URIBE, LORENZO</v>
      </c>
      <c r="D1294" t="str">
        <f>IFERROR(__xludf.DUMMYFUNCTION("""COMPUTED_VALUE"""),"Geometry")</f>
        <v>Geometry</v>
      </c>
      <c r="E1294" s="3">
        <f>IFERROR(__xludf.DUMMYFUNCTION("""COMPUTED_VALUE"""),4.0)</f>
        <v>4</v>
      </c>
      <c r="F1294" s="300">
        <v>1.0</v>
      </c>
      <c r="G1294" s="300">
        <v>1.0</v>
      </c>
      <c r="H1294" s="300">
        <v>1.0</v>
      </c>
      <c r="I1294" s="300">
        <v>1.0</v>
      </c>
      <c r="J1294" s="300">
        <v>1.0</v>
      </c>
      <c r="K1294" s="300">
        <v>1.0</v>
      </c>
      <c r="L1294" s="300">
        <v>1.0</v>
      </c>
      <c r="M1294" s="300">
        <v>1.0</v>
      </c>
      <c r="N1294" s="300">
        <v>8.0</v>
      </c>
      <c r="O1294" s="300" t="s">
        <v>849</v>
      </c>
      <c r="P1294" s="300">
        <v>7.0</v>
      </c>
    </row>
    <row r="1295">
      <c r="A1295">
        <f>IFERROR(__xludf.DUMMYFUNCTION("""COMPUTED_VALUE"""),10.0)</f>
        <v>10</v>
      </c>
      <c r="B1295" s="406">
        <f>IFERROR(__xludf.DUMMYFUNCTION("""COMPUTED_VALUE"""),28066.0)</f>
        <v>28066</v>
      </c>
      <c r="C1295" t="str">
        <f>IFERROR(__xludf.DUMMYFUNCTION("""COMPUTED_VALUE"""),"MEJIA VELEZ, CANDELARIA")</f>
        <v>MEJIA VELEZ, CANDELARIA</v>
      </c>
      <c r="D1295" t="str">
        <f>IFERROR(__xludf.DUMMYFUNCTION("""COMPUTED_VALUE"""),"Geometry")</f>
        <v>Geometry</v>
      </c>
      <c r="E1295" s="3">
        <f>IFERROR(__xludf.DUMMYFUNCTION("""COMPUTED_VALUE"""),7.0)</f>
        <v>7</v>
      </c>
      <c r="F1295" s="300">
        <v>1.0</v>
      </c>
      <c r="G1295" s="300">
        <v>1.0</v>
      </c>
      <c r="H1295" s="300">
        <v>1.0</v>
      </c>
      <c r="I1295" s="300">
        <v>1.0</v>
      </c>
      <c r="J1295" s="300">
        <v>1.0</v>
      </c>
      <c r="K1295" s="300">
        <v>1.0</v>
      </c>
      <c r="L1295" s="300">
        <v>1.0</v>
      </c>
      <c r="M1295" s="300">
        <v>1.0</v>
      </c>
      <c r="N1295" s="300">
        <v>8.0</v>
      </c>
      <c r="O1295" s="300" t="s">
        <v>839</v>
      </c>
      <c r="P1295" s="300">
        <v>7.0</v>
      </c>
    </row>
    <row r="1296">
      <c r="A1296">
        <f>IFERROR(__xludf.DUMMYFUNCTION("""COMPUTED_VALUE"""),10.0)</f>
        <v>10</v>
      </c>
      <c r="B1296" s="406">
        <f>IFERROR(__xludf.DUMMYFUNCTION("""COMPUTED_VALUE"""),28071.0)</f>
        <v>28071</v>
      </c>
      <c r="C1296" t="str">
        <f>IFERROR(__xludf.DUMMYFUNCTION("""COMPUTED_VALUE"""),"NARANJO PINO, MARTIN")</f>
        <v>NARANJO PINO, MARTIN</v>
      </c>
      <c r="D1296" t="str">
        <f>IFERROR(__xludf.DUMMYFUNCTION("""COMPUTED_VALUE"""),"AP Precalculus")</f>
        <v>AP Precalculus</v>
      </c>
      <c r="E1296" s="3">
        <f>IFERROR(__xludf.DUMMYFUNCTION("""COMPUTED_VALUE"""),3.0)</f>
        <v>3</v>
      </c>
      <c r="F1296" s="300">
        <v>1.0</v>
      </c>
      <c r="G1296" s="300">
        <v>1.0</v>
      </c>
      <c r="H1296" s="300">
        <v>1.0</v>
      </c>
      <c r="I1296" s="300">
        <v>1.0</v>
      </c>
      <c r="J1296" s="300">
        <v>1.0</v>
      </c>
      <c r="K1296" s="300">
        <v>1.0</v>
      </c>
      <c r="L1296" s="300">
        <v>1.0</v>
      </c>
      <c r="M1296" s="300">
        <v>1.0</v>
      </c>
      <c r="N1296" s="300">
        <v>8.0</v>
      </c>
      <c r="O1296" s="300" t="s">
        <v>847</v>
      </c>
      <c r="P1296" s="300">
        <v>2.0</v>
      </c>
    </row>
    <row r="1297">
      <c r="A1297">
        <f>IFERROR(__xludf.DUMMYFUNCTION("""COMPUTED_VALUE"""),10.0)</f>
        <v>10</v>
      </c>
      <c r="B1297" s="406">
        <f>IFERROR(__xludf.DUMMYFUNCTION("""COMPUTED_VALUE"""),28168.0)</f>
        <v>28168</v>
      </c>
      <c r="C1297" t="str">
        <f>IFERROR(__xludf.DUMMYFUNCTION("""COMPUTED_VALUE"""),"KEILON GRAHAM")</f>
        <v>KEILON GRAHAM</v>
      </c>
      <c r="D1297" t="str">
        <f>IFERROR(__xludf.DUMMYFUNCTION("""COMPUTED_VALUE"""),"Geometry")</f>
        <v>Geometry</v>
      </c>
      <c r="E1297" s="3">
        <f>IFERROR(__xludf.DUMMYFUNCTION("""COMPUTED_VALUE"""),2.0)</f>
        <v>2</v>
      </c>
      <c r="F1297" s="300">
        <v>1.0</v>
      </c>
      <c r="G1297" s="300">
        <v>1.0</v>
      </c>
      <c r="H1297" s="300">
        <v>1.0</v>
      </c>
      <c r="I1297" s="300">
        <v>1.0</v>
      </c>
      <c r="J1297" s="300">
        <v>1.0</v>
      </c>
      <c r="K1297" s="300">
        <v>1.0</v>
      </c>
      <c r="L1297" s="300">
        <v>1.0</v>
      </c>
      <c r="M1297" s="300">
        <v>1.0</v>
      </c>
      <c r="N1297" s="300">
        <v>8.0</v>
      </c>
      <c r="O1297" s="300" t="s">
        <v>838</v>
      </c>
      <c r="P1297" s="300">
        <v>7.0</v>
      </c>
    </row>
    <row r="1298">
      <c r="A1298">
        <f>IFERROR(__xludf.DUMMYFUNCTION("""COMPUTED_VALUE"""),11.0)</f>
        <v>11</v>
      </c>
      <c r="B1298" s="406">
        <f>IFERROR(__xludf.DUMMYFUNCTION("""COMPUTED_VALUE"""),27118.0)</f>
        <v>27118</v>
      </c>
      <c r="C1298" t="str">
        <f>IFERROR(__xludf.DUMMYFUNCTION("""COMPUTED_VALUE"""),"URIBE SIERRA, SOFIA")</f>
        <v>URIBE SIERRA, SOFIA</v>
      </c>
      <c r="D1298" t="str">
        <f>IFERROR(__xludf.DUMMYFUNCTION("""COMPUTED_VALUE"""),"Algebra II")</f>
        <v>Algebra II</v>
      </c>
      <c r="E1298" s="3">
        <f>IFERROR(__xludf.DUMMYFUNCTION("""COMPUTED_VALUE"""),6.0)</f>
        <v>6</v>
      </c>
      <c r="F1298" s="300">
        <v>1.0</v>
      </c>
      <c r="G1298" s="300">
        <v>1.0</v>
      </c>
      <c r="H1298" s="300">
        <v>1.0</v>
      </c>
      <c r="I1298" s="300">
        <v>1.0</v>
      </c>
      <c r="J1298" s="300">
        <v>1.0</v>
      </c>
      <c r="K1298" s="300">
        <v>1.0</v>
      </c>
      <c r="L1298" s="300">
        <v>1.0</v>
      </c>
      <c r="M1298" s="300">
        <v>1.0</v>
      </c>
      <c r="N1298" s="300">
        <v>8.0</v>
      </c>
      <c r="O1298" s="300" t="s">
        <v>854</v>
      </c>
      <c r="P1298" s="300">
        <v>5.0</v>
      </c>
    </row>
    <row r="1299">
      <c r="A1299">
        <f>IFERROR(__xludf.DUMMYFUNCTION("""COMPUTED_VALUE"""),11.0)</f>
        <v>11</v>
      </c>
      <c r="B1299" s="406">
        <f>IFERROR(__xludf.DUMMYFUNCTION("""COMPUTED_VALUE"""),27039.0)</f>
        <v>27039</v>
      </c>
      <c r="C1299" t="str">
        <f>IFERROR(__xludf.DUMMYFUNCTION("""COMPUTED_VALUE"""),"GALLEGO LOPEZ, SUSSANA")</f>
        <v>GALLEGO LOPEZ, SUSSANA</v>
      </c>
      <c r="D1299" t="str">
        <f>IFERROR(__xludf.DUMMYFUNCTION("""COMPUTED_VALUE"""),"Algebra II")</f>
        <v>Algebra II</v>
      </c>
      <c r="E1299" s="3">
        <f>IFERROR(__xludf.DUMMYFUNCTION("""COMPUTED_VALUE"""),1.0)</f>
        <v>1</v>
      </c>
      <c r="F1299" s="300">
        <v>1.0</v>
      </c>
      <c r="G1299" s="300">
        <v>1.0</v>
      </c>
      <c r="H1299" s="300">
        <v>1.0</v>
      </c>
      <c r="I1299" s="300">
        <v>1.0</v>
      </c>
      <c r="J1299" s="300">
        <v>1.0</v>
      </c>
      <c r="K1299" s="300">
        <v>1.0</v>
      </c>
      <c r="L1299" s="300">
        <v>1.0</v>
      </c>
      <c r="M1299" s="300">
        <v>1.0</v>
      </c>
      <c r="N1299" s="300">
        <v>8.0</v>
      </c>
      <c r="O1299" s="300" t="s">
        <v>852</v>
      </c>
      <c r="P1299" s="300">
        <v>5.0</v>
      </c>
    </row>
    <row r="1300">
      <c r="A1300">
        <f>IFERROR(__xludf.DUMMYFUNCTION("""COMPUTED_VALUE"""),11.0)</f>
        <v>11</v>
      </c>
      <c r="B1300" s="406">
        <f>IFERROR(__xludf.DUMMYFUNCTION("""COMPUTED_VALUE"""),27171.0)</f>
        <v>27171</v>
      </c>
      <c r="C1300" t="str">
        <f>IFERROR(__xludf.DUMMYFUNCTION("""COMPUTED_VALUE"""),"BEDOYA PARRA, LAURA")</f>
        <v>BEDOYA PARRA, LAURA</v>
      </c>
      <c r="D1300" t="str">
        <f>IFERROR(__xludf.DUMMYFUNCTION("""COMPUTED_VALUE"""),"Algebra II")</f>
        <v>Algebra II</v>
      </c>
      <c r="E1300" s="3">
        <f>IFERROR(__xludf.DUMMYFUNCTION("""COMPUTED_VALUE"""),3.0)</f>
        <v>3</v>
      </c>
      <c r="F1300" s="300">
        <v>1.0</v>
      </c>
      <c r="G1300" s="300">
        <v>1.0</v>
      </c>
      <c r="H1300" s="300">
        <v>1.0</v>
      </c>
      <c r="I1300" s="300">
        <v>1.0</v>
      </c>
      <c r="J1300" s="300">
        <v>1.0</v>
      </c>
      <c r="K1300" s="300">
        <v>1.0</v>
      </c>
      <c r="L1300" s="300">
        <v>1.0</v>
      </c>
      <c r="M1300" s="300">
        <v>1.0</v>
      </c>
      <c r="N1300" s="300">
        <v>8.0</v>
      </c>
      <c r="O1300" s="300" t="s">
        <v>853</v>
      </c>
      <c r="P1300" s="300">
        <v>5.0</v>
      </c>
    </row>
    <row r="1301">
      <c r="A1301">
        <f>IFERROR(__xludf.DUMMYFUNCTION("""COMPUTED_VALUE"""),11.0)</f>
        <v>11</v>
      </c>
      <c r="B1301" s="406">
        <f>IFERROR(__xludf.DUMMYFUNCTION("""COMPUTED_VALUE"""),27146.0)</f>
        <v>27146</v>
      </c>
      <c r="C1301" t="str">
        <f>IFERROR(__xludf.DUMMYFUNCTION("""COMPUTED_VALUE"""),"MORALES BAYONA, AMELIA")</f>
        <v>MORALES BAYONA, AMELIA</v>
      </c>
      <c r="D1301" t="str">
        <f>IFERROR(__xludf.DUMMYFUNCTION("""COMPUTED_VALUE"""),"AP Precalculus")</f>
        <v>AP Precalculus</v>
      </c>
      <c r="E1301" s="3">
        <f>IFERROR(__xludf.DUMMYFUNCTION("""COMPUTED_VALUE"""),2.0)</f>
        <v>2</v>
      </c>
      <c r="F1301" s="300">
        <v>1.0</v>
      </c>
      <c r="G1301" s="300">
        <v>1.0</v>
      </c>
      <c r="H1301" s="300">
        <v>1.0</v>
      </c>
      <c r="I1301" s="300">
        <v>1.0</v>
      </c>
      <c r="J1301" s="300">
        <v>1.0</v>
      </c>
      <c r="K1301" s="300">
        <v>1.0</v>
      </c>
      <c r="L1301" s="300">
        <v>1.0</v>
      </c>
      <c r="M1301" s="300">
        <v>1.0</v>
      </c>
      <c r="N1301" s="300">
        <v>8.0</v>
      </c>
      <c r="O1301" s="300" t="s">
        <v>846</v>
      </c>
      <c r="P1301" s="300">
        <v>2.0</v>
      </c>
    </row>
    <row r="1302">
      <c r="A1302">
        <f>IFERROR(__xludf.DUMMYFUNCTION("""COMPUTED_VALUE"""),11.0)</f>
        <v>11</v>
      </c>
      <c r="B1302" s="406">
        <f>IFERROR(__xludf.DUMMYFUNCTION("""COMPUTED_VALUE"""),27073.0)</f>
        <v>27073</v>
      </c>
      <c r="C1302" t="str">
        <f>IFERROR(__xludf.DUMMYFUNCTION("""COMPUTED_VALUE"""),"MONTES LOPEZ, SOFIA")</f>
        <v>MONTES LOPEZ, SOFIA</v>
      </c>
      <c r="D1302" t="str">
        <f>IFERROR(__xludf.DUMMYFUNCTION("""COMPUTED_VALUE"""),"AP Calculus AB")</f>
        <v>AP Calculus AB</v>
      </c>
      <c r="E1302" s="3">
        <f>IFERROR(__xludf.DUMMYFUNCTION("""COMPUTED_VALUE"""),7.0)</f>
        <v>7</v>
      </c>
      <c r="F1302" s="300">
        <v>1.0</v>
      </c>
      <c r="G1302" s="300">
        <v>1.0</v>
      </c>
      <c r="H1302" s="300">
        <v>1.0</v>
      </c>
      <c r="I1302" s="300">
        <v>1.0</v>
      </c>
      <c r="J1302" s="300">
        <v>1.0</v>
      </c>
      <c r="K1302" s="300">
        <v>1.0</v>
      </c>
      <c r="L1302" s="300">
        <v>1.0</v>
      </c>
      <c r="M1302" s="300">
        <v>1.0</v>
      </c>
      <c r="N1302" s="300">
        <v>8.0</v>
      </c>
      <c r="O1302" s="300" t="s">
        <v>855</v>
      </c>
      <c r="P1302" s="300">
        <v>2.0</v>
      </c>
    </row>
    <row r="1303">
      <c r="A1303">
        <f>IFERROR(__xludf.DUMMYFUNCTION("""COMPUTED_VALUE"""),11.0)</f>
        <v>11</v>
      </c>
      <c r="B1303" s="406">
        <f>IFERROR(__xludf.DUMMYFUNCTION("""COMPUTED_VALUE"""),27139.0)</f>
        <v>27139</v>
      </c>
      <c r="C1303" t="str">
        <f>IFERROR(__xludf.DUMMYFUNCTION("""COMPUTED_VALUE"""),"OCAMPO CEBALLOS, JULIA")</f>
        <v>OCAMPO CEBALLOS, JULIA</v>
      </c>
      <c r="D1303" t="str">
        <f>IFERROR(__xludf.DUMMYFUNCTION("""COMPUTED_VALUE"""),"AP Calculus AB")</f>
        <v>AP Calculus AB</v>
      </c>
      <c r="E1303" s="3">
        <f>IFERROR(__xludf.DUMMYFUNCTION("""COMPUTED_VALUE"""),2.0)</f>
        <v>2</v>
      </c>
      <c r="F1303" s="300">
        <v>1.0</v>
      </c>
      <c r="G1303" s="300">
        <v>1.0</v>
      </c>
      <c r="H1303" s="300">
        <v>1.0</v>
      </c>
      <c r="I1303" s="300">
        <v>1.0</v>
      </c>
      <c r="J1303" s="300">
        <v>1.0</v>
      </c>
      <c r="K1303" s="300">
        <v>1.0</v>
      </c>
      <c r="L1303" s="300">
        <v>1.0</v>
      </c>
      <c r="M1303" s="300">
        <v>1.0</v>
      </c>
      <c r="N1303" s="300">
        <v>8.0</v>
      </c>
      <c r="O1303" s="300" t="s">
        <v>856</v>
      </c>
      <c r="P1303" s="300">
        <v>2.0</v>
      </c>
    </row>
    <row r="1304">
      <c r="A1304">
        <f>IFERROR(__xludf.DUMMYFUNCTION("""COMPUTED_VALUE"""),11.0)</f>
        <v>11</v>
      </c>
      <c r="B1304" s="406">
        <f>IFERROR(__xludf.DUMMYFUNCTION("""COMPUTED_VALUE"""),27020.0)</f>
        <v>27020</v>
      </c>
      <c r="C1304" t="str">
        <f>IFERROR(__xludf.DUMMYFUNCTION("""COMPUTED_VALUE"""),"BOTERO LAVERDE, MARTINA")</f>
        <v>BOTERO LAVERDE, MARTINA</v>
      </c>
      <c r="D1304" t="str">
        <f>IFERROR(__xludf.DUMMYFUNCTION("""COMPUTED_VALUE"""),"Algebra II")</f>
        <v>Algebra II</v>
      </c>
      <c r="E1304" s="3">
        <f>IFERROR(__xludf.DUMMYFUNCTION("""COMPUTED_VALUE"""),3.0)</f>
        <v>3</v>
      </c>
      <c r="F1304" s="300">
        <v>1.0</v>
      </c>
      <c r="G1304" s="300">
        <v>1.0</v>
      </c>
      <c r="H1304" s="300">
        <v>1.0</v>
      </c>
      <c r="I1304" s="300">
        <v>1.0</v>
      </c>
      <c r="J1304" s="300">
        <v>1.0</v>
      </c>
      <c r="K1304" s="300">
        <v>1.0</v>
      </c>
      <c r="L1304" s="300">
        <v>1.0</v>
      </c>
      <c r="M1304" s="300">
        <v>1.0</v>
      </c>
      <c r="N1304" s="300">
        <v>8.0</v>
      </c>
      <c r="O1304" s="300" t="s">
        <v>853</v>
      </c>
      <c r="P1304" s="300">
        <v>5.0</v>
      </c>
    </row>
    <row r="1305">
      <c r="A1305">
        <f>IFERROR(__xludf.DUMMYFUNCTION("""COMPUTED_VALUE"""),11.0)</f>
        <v>11</v>
      </c>
      <c r="B1305" s="406">
        <f>IFERROR(__xludf.DUMMYFUNCTION("""COMPUTED_VALUE"""),27059.0)</f>
        <v>27059</v>
      </c>
      <c r="C1305" t="str">
        <f>IFERROR(__xludf.DUMMYFUNCTION("""COMPUTED_VALUE"""),"LOPEZ VELEZ, PAULINA")</f>
        <v>LOPEZ VELEZ, PAULINA</v>
      </c>
      <c r="D1305" t="str">
        <f>IFERROR(__xludf.DUMMYFUNCTION("""COMPUTED_VALUE"""),"AP Calculus AB")</f>
        <v>AP Calculus AB</v>
      </c>
      <c r="E1305" s="3">
        <f>IFERROR(__xludf.DUMMYFUNCTION("""COMPUTED_VALUE"""),7.0)</f>
        <v>7</v>
      </c>
      <c r="F1305" s="300">
        <v>1.0</v>
      </c>
      <c r="G1305" s="300">
        <v>1.0</v>
      </c>
      <c r="H1305" s="300">
        <v>1.0</v>
      </c>
      <c r="I1305" s="300">
        <v>1.0</v>
      </c>
      <c r="J1305" s="300">
        <v>1.0</v>
      </c>
      <c r="K1305" s="300">
        <v>1.0</v>
      </c>
      <c r="L1305" s="300">
        <v>1.0</v>
      </c>
      <c r="M1305" s="300">
        <v>1.0</v>
      </c>
      <c r="N1305" s="300">
        <v>8.0</v>
      </c>
      <c r="O1305" s="300" t="s">
        <v>855</v>
      </c>
      <c r="P1305" s="300">
        <v>2.0</v>
      </c>
    </row>
    <row r="1306">
      <c r="A1306">
        <f>IFERROR(__xludf.DUMMYFUNCTION("""COMPUTED_VALUE"""),11.0)</f>
        <v>11</v>
      </c>
      <c r="B1306" s="406">
        <f>IFERROR(__xludf.DUMMYFUNCTION("""COMPUTED_VALUE"""),27051.0)</f>
        <v>27051</v>
      </c>
      <c r="C1306" t="str">
        <f>IFERROR(__xludf.DUMMYFUNCTION("""COMPUTED_VALUE"""),"ISAZA GOMEZ, ELISA")</f>
        <v>ISAZA GOMEZ, ELISA</v>
      </c>
      <c r="D1306" t="str">
        <f>IFERROR(__xludf.DUMMYFUNCTION("""COMPUTED_VALUE"""),"Algebra II")</f>
        <v>Algebra II</v>
      </c>
      <c r="E1306" s="3">
        <f>IFERROR(__xludf.DUMMYFUNCTION("""COMPUTED_VALUE"""),1.0)</f>
        <v>1</v>
      </c>
      <c r="F1306" s="300">
        <v>1.0</v>
      </c>
      <c r="G1306" s="300">
        <v>1.0</v>
      </c>
      <c r="H1306" s="300">
        <v>1.0</v>
      </c>
      <c r="I1306" s="300">
        <v>1.0</v>
      </c>
      <c r="J1306" s="300">
        <v>1.0</v>
      </c>
      <c r="K1306" s="300">
        <v>1.0</v>
      </c>
      <c r="L1306" s="300">
        <v>1.0</v>
      </c>
      <c r="M1306" s="300">
        <v>1.0</v>
      </c>
      <c r="N1306" s="300">
        <v>8.0</v>
      </c>
      <c r="O1306" s="300" t="s">
        <v>852</v>
      </c>
      <c r="P1306" s="300">
        <v>5.0</v>
      </c>
    </row>
    <row r="1307">
      <c r="A1307">
        <f>IFERROR(__xludf.DUMMYFUNCTION("""COMPUTED_VALUE"""),11.0)</f>
        <v>11</v>
      </c>
      <c r="B1307" s="406">
        <f>IFERROR(__xludf.DUMMYFUNCTION("""COMPUTED_VALUE"""),27119.0)</f>
        <v>27119</v>
      </c>
      <c r="C1307" t="str">
        <f>IFERROR(__xludf.DUMMYFUNCTION("""COMPUTED_VALUE"""),"VALENCIA RODRIGUEZ, EMILIA")</f>
        <v>VALENCIA RODRIGUEZ, EMILIA</v>
      </c>
      <c r="D1307" t="str">
        <f>IFERROR(__xludf.DUMMYFUNCTION("""COMPUTED_VALUE"""),"AP Calculus AB")</f>
        <v>AP Calculus AB</v>
      </c>
      <c r="E1307" s="3">
        <f>IFERROR(__xludf.DUMMYFUNCTION("""COMPUTED_VALUE"""),7.0)</f>
        <v>7</v>
      </c>
      <c r="F1307" s="300">
        <v>1.0</v>
      </c>
      <c r="G1307" s="300">
        <v>1.0</v>
      </c>
      <c r="H1307" s="300">
        <v>1.0</v>
      </c>
      <c r="I1307" s="300">
        <v>1.0</v>
      </c>
      <c r="J1307" s="300">
        <v>1.0</v>
      </c>
      <c r="K1307" s="300">
        <v>1.0</v>
      </c>
      <c r="L1307" s="300">
        <v>1.0</v>
      </c>
      <c r="M1307" s="300">
        <v>1.0</v>
      </c>
      <c r="N1307" s="300">
        <v>8.0</v>
      </c>
      <c r="O1307" s="300" t="s">
        <v>855</v>
      </c>
      <c r="P1307" s="300">
        <v>2.0</v>
      </c>
    </row>
    <row r="1308">
      <c r="A1308">
        <f>IFERROR(__xludf.DUMMYFUNCTION("""COMPUTED_VALUE"""),11.0)</f>
        <v>11</v>
      </c>
      <c r="B1308" s="406">
        <f>IFERROR(__xludf.DUMMYFUNCTION("""COMPUTED_VALUE"""),27074.0)</f>
        <v>27074</v>
      </c>
      <c r="C1308" t="str">
        <f>IFERROR(__xludf.DUMMYFUNCTION("""COMPUTED_VALUE"""),"MONTORSI GOMEZ, LUCIA")</f>
        <v>MONTORSI GOMEZ, LUCIA</v>
      </c>
      <c r="D1308" t="str">
        <f>IFERROR(__xludf.DUMMYFUNCTION("""COMPUTED_VALUE"""),"Calculus")</f>
        <v>Calculus</v>
      </c>
      <c r="E1308" s="3">
        <f>IFERROR(__xludf.DUMMYFUNCTION("""COMPUTED_VALUE"""),5.0)</f>
        <v>5</v>
      </c>
      <c r="F1308" s="300">
        <v>1.0</v>
      </c>
      <c r="G1308" s="300">
        <v>1.0</v>
      </c>
      <c r="H1308" s="300">
        <v>1.0</v>
      </c>
      <c r="I1308" s="300">
        <v>1.0</v>
      </c>
      <c r="J1308" s="300">
        <v>1.0</v>
      </c>
      <c r="K1308" s="300">
        <v>1.0</v>
      </c>
      <c r="L1308" s="300">
        <v>1.0</v>
      </c>
      <c r="M1308" s="300">
        <v>1.0</v>
      </c>
      <c r="N1308" s="300">
        <v>8.0</v>
      </c>
      <c r="O1308" s="300" t="s">
        <v>857</v>
      </c>
      <c r="P1308" s="300">
        <v>4.0</v>
      </c>
    </row>
    <row r="1309">
      <c r="A1309">
        <f>IFERROR(__xludf.DUMMYFUNCTION("""COMPUTED_VALUE"""),11.0)</f>
        <v>11</v>
      </c>
      <c r="B1309" s="406">
        <f>IFERROR(__xludf.DUMMYFUNCTION("""COMPUTED_VALUE"""),27124.0)</f>
        <v>27124</v>
      </c>
      <c r="C1309" t="str">
        <f>IFERROR(__xludf.DUMMYFUNCTION("""COMPUTED_VALUE"""),"VELEZ RAMIREZ, JULIETA")</f>
        <v>VELEZ RAMIREZ, JULIETA</v>
      </c>
      <c r="D1309" t="str">
        <f>IFERROR(__xludf.DUMMYFUNCTION("""COMPUTED_VALUE"""),"AP Calculus AB")</f>
        <v>AP Calculus AB</v>
      </c>
      <c r="E1309" s="3">
        <f>IFERROR(__xludf.DUMMYFUNCTION("""COMPUTED_VALUE"""),7.0)</f>
        <v>7</v>
      </c>
      <c r="F1309" s="300">
        <v>1.0</v>
      </c>
      <c r="G1309" s="300">
        <v>1.0</v>
      </c>
      <c r="H1309" s="300">
        <v>1.0</v>
      </c>
      <c r="I1309" s="300">
        <v>1.0</v>
      </c>
      <c r="J1309" s="300">
        <v>1.0</v>
      </c>
      <c r="K1309" s="300">
        <v>1.0</v>
      </c>
      <c r="L1309" s="300">
        <v>1.0</v>
      </c>
      <c r="M1309" s="300">
        <v>1.0</v>
      </c>
      <c r="N1309" s="300">
        <v>8.0</v>
      </c>
      <c r="O1309" s="300" t="s">
        <v>855</v>
      </c>
      <c r="P1309" s="300">
        <v>2.0</v>
      </c>
    </row>
    <row r="1310">
      <c r="A1310">
        <f>IFERROR(__xludf.DUMMYFUNCTION("""COMPUTED_VALUE"""),11.0)</f>
        <v>11</v>
      </c>
      <c r="B1310" s="406">
        <f>IFERROR(__xludf.DUMMYFUNCTION("""COMPUTED_VALUE"""),27095.0)</f>
        <v>27095</v>
      </c>
      <c r="C1310" t="str">
        <f>IFERROR(__xludf.DUMMYFUNCTION("""COMPUTED_VALUE"""),"RESTREPO BECERRA, ALINA")</f>
        <v>RESTREPO BECERRA, ALINA</v>
      </c>
      <c r="D1310" t="str">
        <f>IFERROR(__xludf.DUMMYFUNCTION("""COMPUTED_VALUE"""),"AP Calculus AB")</f>
        <v>AP Calculus AB</v>
      </c>
      <c r="E1310" s="3">
        <f>IFERROR(__xludf.DUMMYFUNCTION("""COMPUTED_VALUE"""),7.0)</f>
        <v>7</v>
      </c>
      <c r="F1310" s="300">
        <v>1.0</v>
      </c>
      <c r="G1310" s="300">
        <v>1.0</v>
      </c>
      <c r="H1310" s="300">
        <v>1.0</v>
      </c>
      <c r="I1310" s="300">
        <v>1.0</v>
      </c>
      <c r="J1310" s="300">
        <v>1.0</v>
      </c>
      <c r="K1310" s="300">
        <v>1.0</v>
      </c>
      <c r="L1310" s="300">
        <v>1.0</v>
      </c>
      <c r="M1310" s="300">
        <v>1.0</v>
      </c>
      <c r="N1310" s="300">
        <v>8.0</v>
      </c>
      <c r="O1310" s="300" t="s">
        <v>855</v>
      </c>
      <c r="P1310" s="300">
        <v>2.0</v>
      </c>
    </row>
    <row r="1311">
      <c r="A1311">
        <f>IFERROR(__xludf.DUMMYFUNCTION("""COMPUTED_VALUE"""),11.0)</f>
        <v>11</v>
      </c>
      <c r="B1311" s="406">
        <f>IFERROR(__xludf.DUMMYFUNCTION("""COMPUTED_VALUE"""),27080.0)</f>
        <v>27080</v>
      </c>
      <c r="C1311" t="str">
        <f>IFERROR(__xludf.DUMMYFUNCTION("""COMPUTED_VALUE"""),"OSORIO GAVIRIA, MARIA CLARA")</f>
        <v>OSORIO GAVIRIA, MARIA CLARA</v>
      </c>
      <c r="D1311" t="str">
        <f>IFERROR(__xludf.DUMMYFUNCTION("""COMPUTED_VALUE"""),"Algebra II")</f>
        <v>Algebra II</v>
      </c>
      <c r="E1311" s="3">
        <f>IFERROR(__xludf.DUMMYFUNCTION("""COMPUTED_VALUE"""),3.0)</f>
        <v>3</v>
      </c>
      <c r="F1311" s="300">
        <v>1.0</v>
      </c>
      <c r="G1311" s="300">
        <v>1.0</v>
      </c>
      <c r="H1311" s="300">
        <v>1.0</v>
      </c>
      <c r="I1311" s="300">
        <v>1.0</v>
      </c>
      <c r="J1311" s="300">
        <v>1.0</v>
      </c>
      <c r="K1311" s="300">
        <v>1.0</v>
      </c>
      <c r="L1311" s="300">
        <v>1.0</v>
      </c>
      <c r="M1311" s="300">
        <v>1.0</v>
      </c>
      <c r="N1311" s="300">
        <v>8.0</v>
      </c>
      <c r="O1311" s="300" t="s">
        <v>853</v>
      </c>
      <c r="P1311" s="300">
        <v>5.0</v>
      </c>
    </row>
    <row r="1312">
      <c r="A1312">
        <f>IFERROR(__xludf.DUMMYFUNCTION("""COMPUTED_VALUE"""),11.0)</f>
        <v>11</v>
      </c>
      <c r="B1312" s="406">
        <f>IFERROR(__xludf.DUMMYFUNCTION("""COMPUTED_VALUE"""),27140.0)</f>
        <v>27140</v>
      </c>
      <c r="C1312" t="str">
        <f>IFERROR(__xludf.DUMMYFUNCTION("""COMPUTED_VALUE"""),"CORREA URIBE, PABLO")</f>
        <v>CORREA URIBE, PABLO</v>
      </c>
      <c r="D1312" t="str">
        <f>IFERROR(__xludf.DUMMYFUNCTION("""COMPUTED_VALUE"""),"Algebra II")</f>
        <v>Algebra II</v>
      </c>
      <c r="E1312" s="3">
        <f>IFERROR(__xludf.DUMMYFUNCTION("""COMPUTED_VALUE"""),5.0)</f>
        <v>5</v>
      </c>
      <c r="F1312" s="300">
        <v>1.0</v>
      </c>
      <c r="G1312" s="300">
        <v>1.0</v>
      </c>
      <c r="H1312" s="300">
        <v>1.0</v>
      </c>
      <c r="I1312" s="300">
        <v>1.0</v>
      </c>
      <c r="J1312" s="300">
        <v>1.0</v>
      </c>
      <c r="K1312" s="300">
        <v>1.0</v>
      </c>
      <c r="L1312" s="300">
        <v>1.0</v>
      </c>
      <c r="M1312" s="300">
        <v>1.0</v>
      </c>
      <c r="N1312" s="300">
        <v>8.0</v>
      </c>
      <c r="O1312" s="300" t="s">
        <v>851</v>
      </c>
      <c r="P1312" s="300">
        <v>5.0</v>
      </c>
    </row>
    <row r="1313">
      <c r="A1313">
        <f>IFERROR(__xludf.DUMMYFUNCTION("""COMPUTED_VALUE"""),11.0)</f>
        <v>11</v>
      </c>
      <c r="B1313" s="406">
        <f>IFERROR(__xludf.DUMMYFUNCTION("""COMPUTED_VALUE"""),27106.0)</f>
        <v>27106</v>
      </c>
      <c r="C1313" t="str">
        <f>IFERROR(__xludf.DUMMYFUNCTION("""COMPUTED_VALUE"""),"SANCHEZ HURTADO, CRISTOBAL")</f>
        <v>SANCHEZ HURTADO, CRISTOBAL</v>
      </c>
      <c r="D1313" t="str">
        <f>IFERROR(__xludf.DUMMYFUNCTION("""COMPUTED_VALUE"""),"Algebra II")</f>
        <v>Algebra II</v>
      </c>
      <c r="E1313" s="3">
        <f>IFERROR(__xludf.DUMMYFUNCTION("""COMPUTED_VALUE"""),5.0)</f>
        <v>5</v>
      </c>
      <c r="F1313" s="300">
        <v>1.0</v>
      </c>
      <c r="G1313" s="300">
        <v>1.0</v>
      </c>
      <c r="H1313" s="300">
        <v>1.0</v>
      </c>
      <c r="I1313" s="300">
        <v>1.0</v>
      </c>
      <c r="J1313" s="300">
        <v>1.0</v>
      </c>
      <c r="K1313" s="300">
        <v>1.0</v>
      </c>
      <c r="L1313" s="300">
        <v>1.0</v>
      </c>
      <c r="M1313" s="300">
        <v>1.0</v>
      </c>
      <c r="N1313" s="300">
        <v>8.0</v>
      </c>
      <c r="O1313" s="300" t="s">
        <v>851</v>
      </c>
      <c r="P1313" s="300">
        <v>5.0</v>
      </c>
    </row>
    <row r="1314">
      <c r="A1314">
        <f>IFERROR(__xludf.DUMMYFUNCTION("""COMPUTED_VALUE"""),11.0)</f>
        <v>11</v>
      </c>
      <c r="B1314" s="406">
        <f>IFERROR(__xludf.DUMMYFUNCTION("""COMPUTED_VALUE"""),27002.0)</f>
        <v>27002</v>
      </c>
      <c r="C1314" t="str">
        <f>IFERROR(__xludf.DUMMYFUNCTION("""COMPUTED_VALUE"""),"AGUDELO LUJAN, ARIANA")</f>
        <v>AGUDELO LUJAN, ARIANA</v>
      </c>
      <c r="D1314" t="str">
        <f>IFERROR(__xludf.DUMMYFUNCTION("""COMPUTED_VALUE"""),"AP Calculus AB")</f>
        <v>AP Calculus AB</v>
      </c>
      <c r="E1314" s="3">
        <f>IFERROR(__xludf.DUMMYFUNCTION("""COMPUTED_VALUE"""),2.0)</f>
        <v>2</v>
      </c>
      <c r="F1314" s="300">
        <v>1.0</v>
      </c>
      <c r="G1314" s="300">
        <v>1.0</v>
      </c>
      <c r="H1314" s="300">
        <v>1.0</v>
      </c>
      <c r="I1314" s="300">
        <v>1.0</v>
      </c>
      <c r="J1314" s="300">
        <v>1.0</v>
      </c>
      <c r="K1314" s="300">
        <v>1.0</v>
      </c>
      <c r="L1314" s="300">
        <v>1.0</v>
      </c>
      <c r="M1314" s="300">
        <v>1.0</v>
      </c>
      <c r="N1314" s="300">
        <v>8.0</v>
      </c>
      <c r="O1314" s="300" t="s">
        <v>856</v>
      </c>
      <c r="P1314" s="300">
        <v>2.0</v>
      </c>
    </row>
    <row r="1315">
      <c r="A1315">
        <f>IFERROR(__xludf.DUMMYFUNCTION("""COMPUTED_VALUE"""),11.0)</f>
        <v>11</v>
      </c>
      <c r="B1315" s="406">
        <f>IFERROR(__xludf.DUMMYFUNCTION("""COMPUTED_VALUE"""),27001.0)</f>
        <v>27001</v>
      </c>
      <c r="C1315" t="str">
        <f>IFERROR(__xludf.DUMMYFUNCTION("""COMPUTED_VALUE"""),"ACOSTA VILLA, LUCIANO")</f>
        <v>ACOSTA VILLA, LUCIANO</v>
      </c>
      <c r="D1315" t="str">
        <f>IFERROR(__xludf.DUMMYFUNCTION("""COMPUTED_VALUE"""),"Algebra II")</f>
        <v>Algebra II</v>
      </c>
      <c r="E1315" s="3">
        <f>IFERROR(__xludf.DUMMYFUNCTION("""COMPUTED_VALUE"""),5.0)</f>
        <v>5</v>
      </c>
      <c r="F1315" s="300">
        <v>1.0</v>
      </c>
      <c r="G1315" s="300">
        <v>1.0</v>
      </c>
      <c r="H1315" s="300">
        <v>1.0</v>
      </c>
      <c r="I1315" s="300">
        <v>1.0</v>
      </c>
      <c r="J1315" s="300">
        <v>1.0</v>
      </c>
      <c r="K1315" s="300">
        <v>1.0</v>
      </c>
      <c r="L1315" s="300">
        <v>1.0</v>
      </c>
      <c r="M1315" s="300">
        <v>1.0</v>
      </c>
      <c r="N1315" s="300">
        <v>8.0</v>
      </c>
      <c r="O1315" s="300" t="s">
        <v>851</v>
      </c>
      <c r="P1315" s="300">
        <v>5.0</v>
      </c>
    </row>
    <row r="1316">
      <c r="A1316">
        <f>IFERROR(__xludf.DUMMYFUNCTION("""COMPUTED_VALUE"""),11.0)</f>
        <v>11</v>
      </c>
      <c r="B1316" s="406">
        <f>IFERROR(__xludf.DUMMYFUNCTION("""COMPUTED_VALUE"""),26040.0)</f>
        <v>26040</v>
      </c>
      <c r="C1316" t="str">
        <f>IFERROR(__xludf.DUMMYFUNCTION("""COMPUTED_VALUE"""),"GOMEZ VASQUEZ, MATIAS")</f>
        <v>GOMEZ VASQUEZ, MATIAS</v>
      </c>
      <c r="D1316" t="str">
        <f>IFERROR(__xludf.DUMMYFUNCTION("""COMPUTED_VALUE"""),"Algebra II")</f>
        <v>Algebra II</v>
      </c>
      <c r="E1316" s="3">
        <f>IFERROR(__xludf.DUMMYFUNCTION("""COMPUTED_VALUE"""),6.0)</f>
        <v>6</v>
      </c>
      <c r="F1316" s="300">
        <v>1.0</v>
      </c>
      <c r="G1316" s="300">
        <v>1.0</v>
      </c>
      <c r="H1316" s="300">
        <v>1.0</v>
      </c>
      <c r="I1316" s="300">
        <v>1.0</v>
      </c>
      <c r="J1316" s="300">
        <v>1.0</v>
      </c>
      <c r="K1316" s="300">
        <v>1.0</v>
      </c>
      <c r="L1316" s="300">
        <v>1.0</v>
      </c>
      <c r="M1316" s="300">
        <v>1.0</v>
      </c>
      <c r="N1316" s="300">
        <v>8.0</v>
      </c>
      <c r="O1316" s="300" t="s">
        <v>854</v>
      </c>
      <c r="P1316" s="300">
        <v>5.0</v>
      </c>
    </row>
    <row r="1317">
      <c r="A1317">
        <f>IFERROR(__xludf.DUMMYFUNCTION("""COMPUTED_VALUE"""),11.0)</f>
        <v>11</v>
      </c>
      <c r="B1317" s="406">
        <f>IFERROR(__xludf.DUMMYFUNCTION("""COMPUTED_VALUE"""),27086.0)</f>
        <v>27086</v>
      </c>
      <c r="C1317" t="str">
        <f>IFERROR(__xludf.DUMMYFUNCTION("""COMPUTED_VALUE"""),"PEREZ ECHAVARRIA, TOMAS")</f>
        <v>PEREZ ECHAVARRIA, TOMAS</v>
      </c>
      <c r="D1317" t="str">
        <f>IFERROR(__xludf.DUMMYFUNCTION("""COMPUTED_VALUE"""),"Calculus")</f>
        <v>Calculus</v>
      </c>
      <c r="E1317" s="3">
        <f>IFERROR(__xludf.DUMMYFUNCTION("""COMPUTED_VALUE"""),6.0)</f>
        <v>6</v>
      </c>
      <c r="F1317" s="300">
        <v>1.0</v>
      </c>
      <c r="G1317" s="300">
        <v>1.0</v>
      </c>
      <c r="H1317" s="300">
        <v>1.0</v>
      </c>
      <c r="I1317" s="300">
        <v>1.0</v>
      </c>
      <c r="J1317" s="300">
        <v>1.0</v>
      </c>
      <c r="K1317" s="300">
        <v>1.0</v>
      </c>
      <c r="L1317" s="300">
        <v>1.0</v>
      </c>
      <c r="M1317" s="300">
        <v>1.0</v>
      </c>
      <c r="N1317" s="300">
        <v>8.0</v>
      </c>
      <c r="O1317" s="300" t="s">
        <v>858</v>
      </c>
      <c r="P1317" s="300">
        <v>4.0</v>
      </c>
    </row>
    <row r="1318">
      <c r="A1318">
        <f>IFERROR(__xludf.DUMMYFUNCTION("""COMPUTED_VALUE"""),11.0)</f>
        <v>11</v>
      </c>
      <c r="B1318" s="406">
        <f>IFERROR(__xludf.DUMMYFUNCTION("""COMPUTED_VALUE"""),27060.0)</f>
        <v>27060</v>
      </c>
      <c r="C1318" t="str">
        <f>IFERROR(__xludf.DUMMYFUNCTION("""COMPUTED_VALUE"""),"MALDONADO SALDARRIAGA, ALEJANDRO")</f>
        <v>MALDONADO SALDARRIAGA, ALEJANDRO</v>
      </c>
      <c r="D1318" t="str">
        <f>IFERROR(__xludf.DUMMYFUNCTION("""COMPUTED_VALUE"""),"Algebra II")</f>
        <v>Algebra II</v>
      </c>
      <c r="E1318" s="3">
        <f>IFERROR(__xludf.DUMMYFUNCTION("""COMPUTED_VALUE"""),6.0)</f>
        <v>6</v>
      </c>
      <c r="F1318" s="300">
        <v>1.0</v>
      </c>
      <c r="G1318" s="300">
        <v>1.0</v>
      </c>
      <c r="H1318" s="300">
        <v>1.0</v>
      </c>
      <c r="I1318" s="300">
        <v>1.0</v>
      </c>
      <c r="J1318" s="300">
        <v>1.0</v>
      </c>
      <c r="K1318" s="300">
        <v>1.0</v>
      </c>
      <c r="L1318" s="300">
        <v>1.0</v>
      </c>
      <c r="M1318" s="300">
        <v>1.0</v>
      </c>
      <c r="N1318" s="300">
        <v>8.0</v>
      </c>
      <c r="O1318" s="300" t="s">
        <v>854</v>
      </c>
      <c r="P1318" s="300">
        <v>5.0</v>
      </c>
    </row>
    <row r="1319">
      <c r="A1319">
        <f>IFERROR(__xludf.DUMMYFUNCTION("""COMPUTED_VALUE"""),11.0)</f>
        <v>11</v>
      </c>
      <c r="B1319" s="406">
        <f>IFERROR(__xludf.DUMMYFUNCTION("""COMPUTED_VALUE"""),27043.0)</f>
        <v>27043</v>
      </c>
      <c r="C1319" t="str">
        <f>IFERROR(__xludf.DUMMYFUNCTION("""COMPUTED_VALUE"""),"GAVIRIA ISAZA, TOMAS")</f>
        <v>GAVIRIA ISAZA, TOMAS</v>
      </c>
      <c r="D1319" t="str">
        <f>IFERROR(__xludf.DUMMYFUNCTION("""COMPUTED_VALUE"""),"Calculus")</f>
        <v>Calculus</v>
      </c>
      <c r="E1319" s="3">
        <f>IFERROR(__xludf.DUMMYFUNCTION("""COMPUTED_VALUE"""),1.0)</f>
        <v>1</v>
      </c>
      <c r="F1319" s="300">
        <v>1.0</v>
      </c>
      <c r="G1319" s="300">
        <v>1.0</v>
      </c>
      <c r="H1319" s="300">
        <v>1.0</v>
      </c>
      <c r="I1319" s="300">
        <v>1.0</v>
      </c>
      <c r="J1319" s="300">
        <v>1.0</v>
      </c>
      <c r="K1319" s="300">
        <v>1.0</v>
      </c>
      <c r="L1319" s="300">
        <v>1.0</v>
      </c>
      <c r="M1319" s="300">
        <v>1.0</v>
      </c>
      <c r="N1319" s="300">
        <v>8.0</v>
      </c>
      <c r="O1319" s="300" t="s">
        <v>859</v>
      </c>
      <c r="P1319" s="300">
        <v>4.0</v>
      </c>
    </row>
    <row r="1320">
      <c r="A1320">
        <f>IFERROR(__xludf.DUMMYFUNCTION("""COMPUTED_VALUE"""),11.0)</f>
        <v>11</v>
      </c>
      <c r="B1320" s="406">
        <f>IFERROR(__xludf.DUMMYFUNCTION("""COMPUTED_VALUE"""),27050.0)</f>
        <v>27050</v>
      </c>
      <c r="C1320" t="str">
        <f>IFERROR(__xludf.DUMMYFUNCTION("""COMPUTED_VALUE"""),"HURTADO ARISTIZABAL, PAULINA")</f>
        <v>HURTADO ARISTIZABAL, PAULINA</v>
      </c>
      <c r="D1320" t="str">
        <f>IFERROR(__xludf.DUMMYFUNCTION("""COMPUTED_VALUE"""),"Algebra II")</f>
        <v>Algebra II</v>
      </c>
      <c r="E1320" s="3">
        <f>IFERROR(__xludf.DUMMYFUNCTION("""COMPUTED_VALUE"""),3.0)</f>
        <v>3</v>
      </c>
      <c r="F1320" s="300">
        <v>1.0</v>
      </c>
      <c r="G1320" s="300">
        <v>1.0</v>
      </c>
      <c r="H1320" s="300">
        <v>1.0</v>
      </c>
      <c r="I1320" s="300">
        <v>1.0</v>
      </c>
      <c r="J1320" s="300">
        <v>1.0</v>
      </c>
      <c r="K1320" s="300">
        <v>1.0</v>
      </c>
      <c r="L1320" s="300">
        <v>1.0</v>
      </c>
      <c r="M1320" s="300">
        <v>1.0</v>
      </c>
      <c r="N1320" s="300">
        <v>8.0</v>
      </c>
      <c r="O1320" s="300" t="s">
        <v>853</v>
      </c>
      <c r="P1320" s="300">
        <v>5.0</v>
      </c>
    </row>
    <row r="1321">
      <c r="A1321">
        <f>IFERROR(__xludf.DUMMYFUNCTION("""COMPUTED_VALUE"""),11.0)</f>
        <v>11</v>
      </c>
      <c r="B1321" s="406">
        <f>IFERROR(__xludf.DUMMYFUNCTION("""COMPUTED_VALUE"""),27038.0)</f>
        <v>27038</v>
      </c>
      <c r="C1321" t="str">
        <f>IFERROR(__xludf.DUMMYFUNCTION("""COMPUTED_VALUE"""),"GALLEGO CUARTAS, FELIPE")</f>
        <v>GALLEGO CUARTAS, FELIPE</v>
      </c>
      <c r="D1321" t="str">
        <f>IFERROR(__xludf.DUMMYFUNCTION("""COMPUTED_VALUE"""),"Algebra II")</f>
        <v>Algebra II</v>
      </c>
      <c r="E1321" s="3">
        <f>IFERROR(__xludf.DUMMYFUNCTION("""COMPUTED_VALUE"""),8.0)</f>
        <v>8</v>
      </c>
      <c r="F1321" s="300">
        <v>1.0</v>
      </c>
      <c r="G1321" s="300">
        <v>1.0</v>
      </c>
      <c r="H1321" s="300">
        <v>1.0</v>
      </c>
      <c r="I1321" s="300">
        <v>1.0</v>
      </c>
      <c r="J1321" s="300">
        <v>1.0</v>
      </c>
      <c r="K1321" s="300">
        <v>1.0</v>
      </c>
      <c r="L1321" s="300">
        <v>1.0</v>
      </c>
      <c r="M1321" s="300">
        <v>1.0</v>
      </c>
      <c r="N1321" s="300">
        <v>8.0</v>
      </c>
      <c r="O1321" s="300" t="s">
        <v>850</v>
      </c>
      <c r="P1321" s="300">
        <v>5.0</v>
      </c>
    </row>
    <row r="1322">
      <c r="A1322">
        <f>IFERROR(__xludf.DUMMYFUNCTION("""COMPUTED_VALUE"""),11.0)</f>
        <v>11</v>
      </c>
      <c r="B1322" s="406">
        <f>IFERROR(__xludf.DUMMYFUNCTION("""COMPUTED_VALUE"""),27078.0)</f>
        <v>27078</v>
      </c>
      <c r="C1322" t="str">
        <f>IFERROR(__xludf.DUMMYFUNCTION("""COMPUTED_VALUE"""),"ORSINI COCK, TOMMASO MARIA")</f>
        <v>ORSINI COCK, TOMMASO MARIA</v>
      </c>
      <c r="D1322" t="str">
        <f>IFERROR(__xludf.DUMMYFUNCTION("""COMPUTED_VALUE"""),"Algebra II")</f>
        <v>Algebra II</v>
      </c>
      <c r="E1322" s="3">
        <f>IFERROR(__xludf.DUMMYFUNCTION("""COMPUTED_VALUE"""),6.0)</f>
        <v>6</v>
      </c>
      <c r="F1322" s="300">
        <v>1.0</v>
      </c>
      <c r="G1322" s="300">
        <v>1.0</v>
      </c>
      <c r="H1322" s="300">
        <v>1.0</v>
      </c>
      <c r="I1322" s="300">
        <v>1.0</v>
      </c>
      <c r="J1322" s="300">
        <v>1.0</v>
      </c>
      <c r="K1322" s="300">
        <v>1.0</v>
      </c>
      <c r="L1322" s="300">
        <v>1.0</v>
      </c>
      <c r="M1322" s="300">
        <v>1.0</v>
      </c>
      <c r="N1322" s="300">
        <v>8.0</v>
      </c>
      <c r="O1322" s="300" t="s">
        <v>854</v>
      </c>
      <c r="P1322" s="300">
        <v>5.0</v>
      </c>
    </row>
    <row r="1323">
      <c r="A1323">
        <f>IFERROR(__xludf.DUMMYFUNCTION("""COMPUTED_VALUE"""),11.0)</f>
        <v>11</v>
      </c>
      <c r="B1323" s="406">
        <f>IFERROR(__xludf.DUMMYFUNCTION("""COMPUTED_VALUE"""),26023.0)</f>
        <v>26023</v>
      </c>
      <c r="C1323" t="str">
        <f>IFERROR(__xludf.DUMMYFUNCTION("""COMPUTED_VALUE"""),"CORREA VELEZ, ALEJANDRO")</f>
        <v>CORREA VELEZ, ALEJANDRO</v>
      </c>
      <c r="D1323" t="str">
        <f>IFERROR(__xludf.DUMMYFUNCTION("""COMPUTED_VALUE"""),"Algebra II")</f>
        <v>Algebra II</v>
      </c>
      <c r="E1323" s="3">
        <f>IFERROR(__xludf.DUMMYFUNCTION("""COMPUTED_VALUE"""),3.0)</f>
        <v>3</v>
      </c>
      <c r="F1323" s="300">
        <v>1.0</v>
      </c>
      <c r="G1323" s="300">
        <v>1.0</v>
      </c>
      <c r="H1323" s="300">
        <v>1.0</v>
      </c>
      <c r="I1323" s="300">
        <v>1.0</v>
      </c>
      <c r="J1323" s="300">
        <v>1.0</v>
      </c>
      <c r="K1323" s="300">
        <v>1.0</v>
      </c>
      <c r="L1323" s="300">
        <v>1.0</v>
      </c>
      <c r="M1323" s="300">
        <v>1.0</v>
      </c>
      <c r="N1323" s="300">
        <v>8.0</v>
      </c>
      <c r="O1323" s="300" t="s">
        <v>853</v>
      </c>
      <c r="P1323" s="300">
        <v>5.0</v>
      </c>
    </row>
    <row r="1324">
      <c r="A1324">
        <f>IFERROR(__xludf.DUMMYFUNCTION("""COMPUTED_VALUE"""),11.0)</f>
        <v>11</v>
      </c>
      <c r="B1324" s="406">
        <f>IFERROR(__xludf.DUMMYFUNCTION("""COMPUTED_VALUE"""),27012.0)</f>
        <v>27012</v>
      </c>
      <c r="C1324" t="str">
        <f>IFERROR(__xludf.DUMMYFUNCTION("""COMPUTED_VALUE"""),"ATEHORTUA MORENO, TOMAS")</f>
        <v>ATEHORTUA MORENO, TOMAS</v>
      </c>
      <c r="D1324" t="str">
        <f>IFERROR(__xludf.DUMMYFUNCTION("""COMPUTED_VALUE"""),"Algebra II")</f>
        <v>Algebra II</v>
      </c>
      <c r="E1324" s="3">
        <f>IFERROR(__xludf.DUMMYFUNCTION("""COMPUTED_VALUE"""),5.0)</f>
        <v>5</v>
      </c>
      <c r="F1324" s="300">
        <v>1.0</v>
      </c>
      <c r="G1324" s="300">
        <v>1.0</v>
      </c>
      <c r="H1324" s="300">
        <v>1.0</v>
      </c>
      <c r="I1324" s="300">
        <v>1.0</v>
      </c>
      <c r="J1324" s="300">
        <v>1.0</v>
      </c>
      <c r="K1324" s="300">
        <v>1.0</v>
      </c>
      <c r="L1324" s="300">
        <v>1.0</v>
      </c>
      <c r="M1324" s="300">
        <v>1.0</v>
      </c>
      <c r="N1324" s="300">
        <v>8.0</v>
      </c>
      <c r="O1324" s="300" t="s">
        <v>851</v>
      </c>
      <c r="P1324" s="300">
        <v>5.0</v>
      </c>
    </row>
    <row r="1325">
      <c r="A1325">
        <f>IFERROR(__xludf.DUMMYFUNCTION("""COMPUTED_VALUE"""),11.0)</f>
        <v>11</v>
      </c>
      <c r="B1325" s="406">
        <f>IFERROR(__xludf.DUMMYFUNCTION("""COMPUTED_VALUE"""),28120.0)</f>
        <v>28120</v>
      </c>
      <c r="C1325" t="str">
        <f>IFERROR(__xludf.DUMMYFUNCTION("""COMPUTED_VALUE"""),"SALCEDO PERICO, JUAN MARTIN")</f>
        <v>SALCEDO PERICO, JUAN MARTIN</v>
      </c>
      <c r="D1325" t="str">
        <f>IFERROR(__xludf.DUMMYFUNCTION("""COMPUTED_VALUE"""),"Algebra II")</f>
        <v>Algebra II</v>
      </c>
      <c r="E1325" s="3">
        <f>IFERROR(__xludf.DUMMYFUNCTION("""COMPUTED_VALUE"""),8.0)</f>
        <v>8</v>
      </c>
      <c r="F1325" s="300">
        <v>1.0</v>
      </c>
      <c r="G1325" s="300">
        <v>1.0</v>
      </c>
      <c r="H1325" s="300">
        <v>1.0</v>
      </c>
      <c r="I1325" s="300">
        <v>1.0</v>
      </c>
      <c r="J1325" s="300">
        <v>1.0</v>
      </c>
      <c r="K1325" s="300">
        <v>1.0</v>
      </c>
      <c r="L1325" s="300">
        <v>1.0</v>
      </c>
      <c r="M1325" s="300">
        <v>1.0</v>
      </c>
      <c r="N1325" s="300">
        <v>8.0</v>
      </c>
      <c r="O1325" s="300" t="s">
        <v>850</v>
      </c>
      <c r="P1325" s="300">
        <v>5.0</v>
      </c>
    </row>
    <row r="1326">
      <c r="A1326">
        <f>IFERROR(__xludf.DUMMYFUNCTION("""COMPUTED_VALUE"""),11.0)</f>
        <v>11</v>
      </c>
      <c r="B1326" s="406">
        <f>IFERROR(__xludf.DUMMYFUNCTION("""COMPUTED_VALUE"""),27089.0)</f>
        <v>27089</v>
      </c>
      <c r="C1326" t="str">
        <f>IFERROR(__xludf.DUMMYFUNCTION("""COMPUTED_VALUE"""),"PEREZ VELEZ, JERONIMO")</f>
        <v>PEREZ VELEZ, JERONIMO</v>
      </c>
      <c r="D1326" t="str">
        <f>IFERROR(__xludf.DUMMYFUNCTION("""COMPUTED_VALUE"""),"AP Precalculus")</f>
        <v>AP Precalculus</v>
      </c>
      <c r="E1326" s="3">
        <f>IFERROR(__xludf.DUMMYFUNCTION("""COMPUTED_VALUE"""),2.0)</f>
        <v>2</v>
      </c>
      <c r="F1326" s="300">
        <v>1.0</v>
      </c>
      <c r="G1326" s="300">
        <v>1.0</v>
      </c>
      <c r="H1326" s="300">
        <v>1.0</v>
      </c>
      <c r="I1326" s="300">
        <v>1.0</v>
      </c>
      <c r="J1326" s="300">
        <v>1.0</v>
      </c>
      <c r="K1326" s="300">
        <v>1.0</v>
      </c>
      <c r="L1326" s="300">
        <v>1.0</v>
      </c>
      <c r="M1326" s="300">
        <v>1.0</v>
      </c>
      <c r="N1326" s="300">
        <v>8.0</v>
      </c>
      <c r="O1326" s="300" t="s">
        <v>846</v>
      </c>
      <c r="P1326" s="300">
        <v>2.0</v>
      </c>
    </row>
    <row r="1327">
      <c r="A1327">
        <f>IFERROR(__xludf.DUMMYFUNCTION("""COMPUTED_VALUE"""),11.0)</f>
        <v>11</v>
      </c>
      <c r="B1327" s="406">
        <f>IFERROR(__xludf.DUMMYFUNCTION("""COMPUTED_VALUE"""),27142.0)</f>
        <v>27142</v>
      </c>
      <c r="C1327" t="str">
        <f>IFERROR(__xludf.DUMMYFUNCTION("""COMPUTED_VALUE"""),"ECHAVARRIA OCHOA, MARIANA")</f>
        <v>ECHAVARRIA OCHOA, MARIANA</v>
      </c>
      <c r="D1327" t="str">
        <f>IFERROR(__xludf.DUMMYFUNCTION("""COMPUTED_VALUE"""),"Calculus")</f>
        <v>Calculus</v>
      </c>
      <c r="E1327" s="3">
        <f>IFERROR(__xludf.DUMMYFUNCTION("""COMPUTED_VALUE"""),1.0)</f>
        <v>1</v>
      </c>
      <c r="F1327" s="300">
        <v>1.0</v>
      </c>
      <c r="G1327" s="300">
        <v>1.0</v>
      </c>
      <c r="H1327" s="300">
        <v>1.0</v>
      </c>
      <c r="I1327" s="300">
        <v>1.0</v>
      </c>
      <c r="J1327" s="300">
        <v>1.0</v>
      </c>
      <c r="K1327" s="300">
        <v>1.0</v>
      </c>
      <c r="L1327" s="300">
        <v>1.0</v>
      </c>
      <c r="M1327" s="300">
        <v>1.0</v>
      </c>
      <c r="N1327" s="300">
        <v>8.0</v>
      </c>
      <c r="O1327" s="300" t="s">
        <v>859</v>
      </c>
      <c r="P1327" s="300">
        <v>4.0</v>
      </c>
    </row>
    <row r="1328">
      <c r="A1328">
        <f>IFERROR(__xludf.DUMMYFUNCTION("""COMPUTED_VALUE"""),11.0)</f>
        <v>11</v>
      </c>
      <c r="B1328" s="406">
        <f>IFERROR(__xludf.DUMMYFUNCTION("""COMPUTED_VALUE"""),27044.0)</f>
        <v>27044</v>
      </c>
      <c r="C1328" t="str">
        <f>IFERROR(__xludf.DUMMYFUNCTION("""COMPUTED_VALUE"""),"GOMEZ GOMEZ, EMILIO")</f>
        <v>GOMEZ GOMEZ, EMILIO</v>
      </c>
      <c r="D1328" t="str">
        <f>IFERROR(__xludf.DUMMYFUNCTION("""COMPUTED_VALUE"""),"AP Statistics")</f>
        <v>AP Statistics</v>
      </c>
      <c r="E1328" s="3">
        <f>IFERROR(__xludf.DUMMYFUNCTION("""COMPUTED_VALUE"""),7.0)</f>
        <v>7</v>
      </c>
      <c r="F1328" s="300">
        <v>1.0</v>
      </c>
      <c r="G1328" s="300">
        <v>1.0</v>
      </c>
      <c r="H1328" s="300">
        <v>1.0</v>
      </c>
      <c r="I1328" s="300">
        <v>1.0</v>
      </c>
      <c r="J1328" s="300">
        <v>1.0</v>
      </c>
      <c r="K1328" s="300">
        <v>1.0</v>
      </c>
      <c r="L1328" s="300">
        <v>1.0</v>
      </c>
      <c r="M1328" s="300">
        <v>1.0</v>
      </c>
      <c r="N1328" s="300">
        <v>8.0</v>
      </c>
      <c r="O1328" s="300" t="s">
        <v>860</v>
      </c>
      <c r="P1328" s="300">
        <v>1.0</v>
      </c>
    </row>
    <row r="1329">
      <c r="A1329">
        <f>IFERROR(__xludf.DUMMYFUNCTION("""COMPUTED_VALUE"""),11.0)</f>
        <v>11</v>
      </c>
      <c r="B1329" s="406">
        <f>IFERROR(__xludf.DUMMYFUNCTION("""COMPUTED_VALUE"""),27029.0)</f>
        <v>27029</v>
      </c>
      <c r="C1329" t="str">
        <f>IFERROR(__xludf.DUMMYFUNCTION("""COMPUTED_VALUE"""),"DUQUE OCHOA, MARIANA")</f>
        <v>DUQUE OCHOA, MARIANA</v>
      </c>
      <c r="D1329" t="str">
        <f>IFERROR(__xludf.DUMMYFUNCTION("""COMPUTED_VALUE"""),"AP Calculus AB")</f>
        <v>AP Calculus AB</v>
      </c>
      <c r="E1329" s="3">
        <f>IFERROR(__xludf.DUMMYFUNCTION("""COMPUTED_VALUE"""),2.0)</f>
        <v>2</v>
      </c>
      <c r="F1329" s="300">
        <v>1.0</v>
      </c>
      <c r="G1329" s="300">
        <v>1.0</v>
      </c>
      <c r="H1329" s="300">
        <v>1.0</v>
      </c>
      <c r="I1329" s="300">
        <v>1.0</v>
      </c>
      <c r="J1329" s="300">
        <v>1.0</v>
      </c>
      <c r="K1329" s="300">
        <v>1.0</v>
      </c>
      <c r="L1329" s="300">
        <v>1.0</v>
      </c>
      <c r="M1329" s="300">
        <v>1.0</v>
      </c>
      <c r="N1329" s="300">
        <v>8.0</v>
      </c>
      <c r="O1329" s="300" t="s">
        <v>856</v>
      </c>
      <c r="P1329" s="300">
        <v>2.0</v>
      </c>
    </row>
    <row r="1330">
      <c r="A1330">
        <f>IFERROR(__xludf.DUMMYFUNCTION("""COMPUTED_VALUE"""),11.0)</f>
        <v>11</v>
      </c>
      <c r="B1330" s="406">
        <f>IFERROR(__xludf.DUMMYFUNCTION("""COMPUTED_VALUE"""),27036.0)</f>
        <v>27036</v>
      </c>
      <c r="C1330" t="str">
        <f>IFERROR(__xludf.DUMMYFUNCTION("""COMPUTED_VALUE"""),"FERNANDEZ DUQUE, BENJAMIN")</f>
        <v>FERNANDEZ DUQUE, BENJAMIN</v>
      </c>
      <c r="D1330" t="str">
        <f>IFERROR(__xludf.DUMMYFUNCTION("""COMPUTED_VALUE"""),"AP Precalculus")</f>
        <v>AP Precalculus</v>
      </c>
      <c r="E1330" s="3">
        <f>IFERROR(__xludf.DUMMYFUNCTION("""COMPUTED_VALUE"""),2.0)</f>
        <v>2</v>
      </c>
      <c r="F1330" s="300">
        <v>1.0</v>
      </c>
      <c r="G1330" s="300">
        <v>1.0</v>
      </c>
      <c r="H1330" s="300">
        <v>1.0</v>
      </c>
      <c r="I1330" s="300">
        <v>1.0</v>
      </c>
      <c r="J1330" s="300">
        <v>1.0</v>
      </c>
      <c r="K1330" s="300">
        <v>1.0</v>
      </c>
      <c r="L1330" s="300">
        <v>1.0</v>
      </c>
      <c r="M1330" s="300">
        <v>1.0</v>
      </c>
      <c r="N1330" s="300">
        <v>8.0</v>
      </c>
      <c r="O1330" s="300" t="s">
        <v>846</v>
      </c>
      <c r="P1330" s="300">
        <v>2.0</v>
      </c>
    </row>
    <row r="1331">
      <c r="A1331">
        <f>IFERROR(__xludf.DUMMYFUNCTION("""COMPUTED_VALUE"""),11.0)</f>
        <v>11</v>
      </c>
      <c r="B1331" s="406">
        <f>IFERROR(__xludf.DUMMYFUNCTION("""COMPUTED_VALUE"""),27076.0)</f>
        <v>27076</v>
      </c>
      <c r="C1331" t="str">
        <f>IFERROR(__xludf.DUMMYFUNCTION("""COMPUTED_VALUE"""),"MORA SERANI, LAURA")</f>
        <v>MORA SERANI, LAURA</v>
      </c>
      <c r="D1331" t="str">
        <f>IFERROR(__xludf.DUMMYFUNCTION("""COMPUTED_VALUE"""),"Algebra II")</f>
        <v>Algebra II</v>
      </c>
      <c r="E1331" s="3">
        <f>IFERROR(__xludf.DUMMYFUNCTION("""COMPUTED_VALUE"""),1.0)</f>
        <v>1</v>
      </c>
      <c r="F1331" s="300">
        <v>1.0</v>
      </c>
      <c r="G1331" s="300">
        <v>1.0</v>
      </c>
      <c r="H1331" s="300">
        <v>1.0</v>
      </c>
      <c r="I1331" s="300">
        <v>1.0</v>
      </c>
      <c r="J1331" s="300">
        <v>1.0</v>
      </c>
      <c r="K1331" s="300">
        <v>1.0</v>
      </c>
      <c r="L1331" s="300">
        <v>1.0</v>
      </c>
      <c r="M1331" s="300">
        <v>1.0</v>
      </c>
      <c r="N1331" s="300">
        <v>8.0</v>
      </c>
      <c r="O1331" s="300" t="s">
        <v>852</v>
      </c>
      <c r="P1331" s="300">
        <v>5.0</v>
      </c>
    </row>
    <row r="1332">
      <c r="A1332">
        <f>IFERROR(__xludf.DUMMYFUNCTION("""COMPUTED_VALUE"""),11.0)</f>
        <v>11</v>
      </c>
      <c r="B1332" s="406">
        <f>IFERROR(__xludf.DUMMYFUNCTION("""COMPUTED_VALUE"""),26024.0)</f>
        <v>26024</v>
      </c>
      <c r="C1332" t="str">
        <f>IFERROR(__xludf.DUMMYFUNCTION("""COMPUTED_VALUE"""),"DIAZ RIVERA, TOMAS")</f>
        <v>DIAZ RIVERA, TOMAS</v>
      </c>
      <c r="D1332" t="str">
        <f>IFERROR(__xludf.DUMMYFUNCTION("""COMPUTED_VALUE"""),"Algebra II")</f>
        <v>Algebra II</v>
      </c>
      <c r="E1332" s="3">
        <f>IFERROR(__xludf.DUMMYFUNCTION("""COMPUTED_VALUE"""),6.0)</f>
        <v>6</v>
      </c>
      <c r="F1332" s="300">
        <v>1.0</v>
      </c>
      <c r="G1332" s="300">
        <v>1.0</v>
      </c>
      <c r="H1332" s="300">
        <v>1.0</v>
      </c>
      <c r="I1332" s="300">
        <v>1.0</v>
      </c>
      <c r="J1332" s="300">
        <v>1.0</v>
      </c>
      <c r="K1332" s="300">
        <v>1.0</v>
      </c>
      <c r="L1332" s="300">
        <v>1.0</v>
      </c>
      <c r="M1332" s="300">
        <v>1.0</v>
      </c>
      <c r="N1332" s="300">
        <v>8.0</v>
      </c>
      <c r="O1332" s="300" t="s">
        <v>854</v>
      </c>
      <c r="P1332" s="300">
        <v>5.0</v>
      </c>
    </row>
    <row r="1333">
      <c r="A1333">
        <f>IFERROR(__xludf.DUMMYFUNCTION("""COMPUTED_VALUE"""),11.0)</f>
        <v>11</v>
      </c>
      <c r="B1333" s="406">
        <f>IFERROR(__xludf.DUMMYFUNCTION("""COMPUTED_VALUE"""),27067.0)</f>
        <v>27067</v>
      </c>
      <c r="C1333" t="str">
        <f>IFERROR(__xludf.DUMMYFUNCTION("""COMPUTED_VALUE"""),"MENDIVELSO JARAMILLO, SAMUEL")</f>
        <v>MENDIVELSO JARAMILLO, SAMUEL</v>
      </c>
      <c r="D1333" t="str">
        <f>IFERROR(__xludf.DUMMYFUNCTION("""COMPUTED_VALUE"""),"Algebra II")</f>
        <v>Algebra II</v>
      </c>
      <c r="E1333" s="3">
        <f>IFERROR(__xludf.DUMMYFUNCTION("""COMPUTED_VALUE"""),3.0)</f>
        <v>3</v>
      </c>
      <c r="F1333" s="300">
        <v>1.0</v>
      </c>
      <c r="G1333" s="300">
        <v>1.0</v>
      </c>
      <c r="H1333" s="300">
        <v>1.0</v>
      </c>
      <c r="I1333" s="300">
        <v>1.0</v>
      </c>
      <c r="J1333" s="300">
        <v>1.0</v>
      </c>
      <c r="K1333" s="300">
        <v>1.0</v>
      </c>
      <c r="L1333" s="300">
        <v>1.0</v>
      </c>
      <c r="M1333" s="300">
        <v>1.0</v>
      </c>
      <c r="N1333" s="300">
        <v>8.0</v>
      </c>
      <c r="O1333" s="300" t="s">
        <v>853</v>
      </c>
      <c r="P1333" s="300">
        <v>5.0</v>
      </c>
    </row>
    <row r="1334">
      <c r="A1334">
        <f>IFERROR(__xludf.DUMMYFUNCTION("""COMPUTED_VALUE"""),11.0)</f>
        <v>11</v>
      </c>
      <c r="B1334" s="406">
        <f>IFERROR(__xludf.DUMMYFUNCTION("""COMPUTED_VALUE"""),27048.0)</f>
        <v>27048</v>
      </c>
      <c r="C1334" t="str">
        <f>IFERROR(__xludf.DUMMYFUNCTION("""COMPUTED_VALUE"""),"HARRY DURAN, MANUELA")</f>
        <v>HARRY DURAN, MANUELA</v>
      </c>
      <c r="D1334" t="str">
        <f>IFERROR(__xludf.DUMMYFUNCTION("""COMPUTED_VALUE"""),"Algebra II")</f>
        <v>Algebra II</v>
      </c>
      <c r="E1334" s="3">
        <f>IFERROR(__xludf.DUMMYFUNCTION("""COMPUTED_VALUE"""),3.0)</f>
        <v>3</v>
      </c>
      <c r="F1334" s="300">
        <v>1.0</v>
      </c>
      <c r="G1334" s="300">
        <v>1.0</v>
      </c>
      <c r="H1334" s="300">
        <v>1.0</v>
      </c>
      <c r="I1334" s="300">
        <v>1.0</v>
      </c>
      <c r="J1334" s="300">
        <v>1.0</v>
      </c>
      <c r="K1334" s="300">
        <v>1.0</v>
      </c>
      <c r="L1334" s="300">
        <v>1.0</v>
      </c>
      <c r="M1334" s="300">
        <v>1.0</v>
      </c>
      <c r="N1334" s="300">
        <v>8.0</v>
      </c>
      <c r="O1334" s="300" t="s">
        <v>853</v>
      </c>
      <c r="P1334" s="300">
        <v>5.0</v>
      </c>
    </row>
    <row r="1335">
      <c r="A1335">
        <f>IFERROR(__xludf.DUMMYFUNCTION("""COMPUTED_VALUE"""),11.0)</f>
        <v>11</v>
      </c>
      <c r="B1335" s="406">
        <f>IFERROR(__xludf.DUMMYFUNCTION("""COMPUTED_VALUE"""),27132.0)</f>
        <v>27132</v>
      </c>
      <c r="C1335" t="str">
        <f>IFERROR(__xludf.DUMMYFUNCTION("""COMPUTED_VALUE"""),"BARRERA GUZMAN, DANIELA")</f>
        <v>BARRERA GUZMAN, DANIELA</v>
      </c>
      <c r="D1335" t="str">
        <f>IFERROR(__xludf.DUMMYFUNCTION("""COMPUTED_VALUE"""),"AP Calculus AB")</f>
        <v>AP Calculus AB</v>
      </c>
      <c r="E1335" s="3">
        <f>IFERROR(__xludf.DUMMYFUNCTION("""COMPUTED_VALUE"""),2.0)</f>
        <v>2</v>
      </c>
      <c r="F1335" s="300">
        <v>1.0</v>
      </c>
      <c r="G1335" s="300">
        <v>1.0</v>
      </c>
      <c r="H1335" s="300">
        <v>1.0</v>
      </c>
      <c r="I1335" s="300">
        <v>1.0</v>
      </c>
      <c r="J1335" s="300">
        <v>1.0</v>
      </c>
      <c r="K1335" s="300">
        <v>1.0</v>
      </c>
      <c r="L1335" s="300">
        <v>1.0</v>
      </c>
      <c r="M1335" s="300">
        <v>1.0</v>
      </c>
      <c r="N1335" s="300">
        <v>8.0</v>
      </c>
      <c r="O1335" s="300" t="s">
        <v>856</v>
      </c>
      <c r="P1335" s="300">
        <v>2.0</v>
      </c>
    </row>
    <row r="1336">
      <c r="A1336">
        <f>IFERROR(__xludf.DUMMYFUNCTION("""COMPUTED_VALUE"""),11.0)</f>
        <v>11</v>
      </c>
      <c r="B1336" s="406">
        <f>IFERROR(__xludf.DUMMYFUNCTION("""COMPUTED_VALUE"""),27107.0)</f>
        <v>27107</v>
      </c>
      <c r="C1336" t="str">
        <f>IFERROR(__xludf.DUMMYFUNCTION("""COMPUTED_VALUE"""),"SANIN VELASQUEZ, MONTSERRAT")</f>
        <v>SANIN VELASQUEZ, MONTSERRAT</v>
      </c>
      <c r="D1336" t="str">
        <f>IFERROR(__xludf.DUMMYFUNCTION("""COMPUTED_VALUE"""),"Algebra II")</f>
        <v>Algebra II</v>
      </c>
      <c r="E1336" s="3">
        <f>IFERROR(__xludf.DUMMYFUNCTION("""COMPUTED_VALUE"""),3.0)</f>
        <v>3</v>
      </c>
      <c r="F1336" s="300">
        <v>1.0</v>
      </c>
      <c r="G1336" s="300">
        <v>1.0</v>
      </c>
      <c r="H1336" s="300">
        <v>1.0</v>
      </c>
      <c r="I1336" s="300">
        <v>1.0</v>
      </c>
      <c r="J1336" s="300">
        <v>1.0</v>
      </c>
      <c r="K1336" s="300">
        <v>1.0</v>
      </c>
      <c r="L1336" s="300">
        <v>1.0</v>
      </c>
      <c r="M1336" s="300">
        <v>1.0</v>
      </c>
      <c r="N1336" s="300">
        <v>8.0</v>
      </c>
      <c r="O1336" s="300" t="s">
        <v>853</v>
      </c>
      <c r="P1336" s="300">
        <v>5.0</v>
      </c>
    </row>
    <row r="1337">
      <c r="A1337">
        <f>IFERROR(__xludf.DUMMYFUNCTION("""COMPUTED_VALUE"""),11.0)</f>
        <v>11</v>
      </c>
      <c r="B1337" s="406">
        <f>IFERROR(__xludf.DUMMYFUNCTION("""COMPUTED_VALUE"""),27134.0)</f>
        <v>27134</v>
      </c>
      <c r="C1337" t="str">
        <f>IFERROR(__xludf.DUMMYFUNCTION("""COMPUTED_VALUE"""),"MONTOYA JARAMILLO, TOMAS")</f>
        <v>MONTOYA JARAMILLO, TOMAS</v>
      </c>
      <c r="D1337" t="str">
        <f>IFERROR(__xludf.DUMMYFUNCTION("""COMPUTED_VALUE"""),"AP Precalculus")</f>
        <v>AP Precalculus</v>
      </c>
      <c r="E1337" s="3">
        <f>IFERROR(__xludf.DUMMYFUNCTION("""COMPUTED_VALUE"""),3.0)</f>
        <v>3</v>
      </c>
      <c r="F1337" s="300">
        <v>1.0</v>
      </c>
      <c r="G1337" s="300">
        <v>1.0</v>
      </c>
      <c r="H1337" s="300">
        <v>1.0</v>
      </c>
      <c r="I1337" s="300">
        <v>1.0</v>
      </c>
      <c r="J1337" s="300">
        <v>1.0</v>
      </c>
      <c r="K1337" s="300">
        <v>1.0</v>
      </c>
      <c r="L1337" s="300">
        <v>1.0</v>
      </c>
      <c r="M1337" s="300">
        <v>1.0</v>
      </c>
      <c r="N1337" s="300">
        <v>8.0</v>
      </c>
      <c r="O1337" s="300" t="s">
        <v>847</v>
      </c>
      <c r="P1337" s="300">
        <v>2.0</v>
      </c>
    </row>
    <row r="1338">
      <c r="A1338">
        <f>IFERROR(__xludf.DUMMYFUNCTION("""COMPUTED_VALUE"""),11.0)</f>
        <v>11</v>
      </c>
      <c r="B1338" s="406">
        <f>IFERROR(__xludf.DUMMYFUNCTION("""COMPUTED_VALUE"""),27126.0)</f>
        <v>27126</v>
      </c>
      <c r="C1338" t="str">
        <f>IFERROR(__xludf.DUMMYFUNCTION("""COMPUTED_VALUE"""),"YACAMAN RESTREPO, PEDRO")</f>
        <v>YACAMAN RESTREPO, PEDRO</v>
      </c>
      <c r="D1338" t="str">
        <f>IFERROR(__xludf.DUMMYFUNCTION("""COMPUTED_VALUE"""),"AP Calculus AB")</f>
        <v>AP Calculus AB</v>
      </c>
      <c r="E1338" s="3">
        <f>IFERROR(__xludf.DUMMYFUNCTION("""COMPUTED_VALUE"""),7.0)</f>
        <v>7</v>
      </c>
      <c r="F1338" s="300">
        <v>1.0</v>
      </c>
      <c r="G1338" s="300">
        <v>1.0</v>
      </c>
      <c r="H1338" s="300">
        <v>1.0</v>
      </c>
      <c r="I1338" s="300">
        <v>1.0</v>
      </c>
      <c r="J1338" s="300">
        <v>1.0</v>
      </c>
      <c r="K1338" s="300">
        <v>1.0</v>
      </c>
      <c r="L1338" s="300">
        <v>1.0</v>
      </c>
      <c r="M1338" s="300">
        <v>1.0</v>
      </c>
      <c r="N1338" s="300">
        <v>8.0</v>
      </c>
      <c r="O1338" s="300" t="s">
        <v>855</v>
      </c>
      <c r="P1338" s="300">
        <v>2.0</v>
      </c>
    </row>
    <row r="1339">
      <c r="A1339">
        <f>IFERROR(__xludf.DUMMYFUNCTION("""COMPUTED_VALUE"""),11.0)</f>
        <v>11</v>
      </c>
      <c r="B1339" s="406">
        <f>IFERROR(__xludf.DUMMYFUNCTION("""COMPUTED_VALUE"""),27114.0)</f>
        <v>27114</v>
      </c>
      <c r="C1339" t="str">
        <f>IFERROR(__xludf.DUMMYFUNCTION("""COMPUTED_VALUE"""),"TORO PEREZ, CRISTOBAL")</f>
        <v>TORO PEREZ, CRISTOBAL</v>
      </c>
      <c r="D1339" t="str">
        <f>IFERROR(__xludf.DUMMYFUNCTION("""COMPUTED_VALUE"""),"Calculus")</f>
        <v>Calculus</v>
      </c>
      <c r="E1339" s="3">
        <f>IFERROR(__xludf.DUMMYFUNCTION("""COMPUTED_VALUE"""),2.0)</f>
        <v>2</v>
      </c>
      <c r="F1339" s="300">
        <v>1.0</v>
      </c>
      <c r="G1339" s="300">
        <v>1.0</v>
      </c>
      <c r="H1339" s="300">
        <v>1.0</v>
      </c>
      <c r="I1339" s="300">
        <v>1.0</v>
      </c>
      <c r="J1339" s="300">
        <v>1.0</v>
      </c>
      <c r="K1339" s="300">
        <v>1.0</v>
      </c>
      <c r="L1339" s="300">
        <v>1.0</v>
      </c>
      <c r="M1339" s="300">
        <v>1.0</v>
      </c>
      <c r="N1339" s="300">
        <v>8.0</v>
      </c>
      <c r="O1339" s="300" t="s">
        <v>861</v>
      </c>
      <c r="P1339" s="300">
        <v>4.0</v>
      </c>
    </row>
    <row r="1340">
      <c r="A1340">
        <f>IFERROR(__xludf.DUMMYFUNCTION("""COMPUTED_VALUE"""),11.0)</f>
        <v>11</v>
      </c>
      <c r="B1340" s="406">
        <f>IFERROR(__xludf.DUMMYFUNCTION("""COMPUTED_VALUE"""),26106.0)</f>
        <v>26106</v>
      </c>
      <c r="C1340" t="str">
        <f>IFERROR(__xludf.DUMMYFUNCTION("""COMPUTED_VALUE"""),"ROMERO LOPERA, JUAN SEBASTIAN")</f>
        <v>ROMERO LOPERA, JUAN SEBASTIAN</v>
      </c>
      <c r="D1340" t="str">
        <f>IFERROR(__xludf.DUMMYFUNCTION("""COMPUTED_VALUE"""),"Algebra II")</f>
        <v>Algebra II</v>
      </c>
      <c r="E1340" s="3">
        <f>IFERROR(__xludf.DUMMYFUNCTION("""COMPUTED_VALUE"""),6.0)</f>
        <v>6</v>
      </c>
      <c r="F1340" s="300">
        <v>1.0</v>
      </c>
      <c r="G1340" s="300">
        <v>1.0</v>
      </c>
      <c r="H1340" s="300">
        <v>1.0</v>
      </c>
      <c r="I1340" s="300">
        <v>1.0</v>
      </c>
      <c r="J1340" s="300">
        <v>1.0</v>
      </c>
      <c r="K1340" s="300">
        <v>1.0</v>
      </c>
      <c r="L1340" s="300">
        <v>1.0</v>
      </c>
      <c r="M1340" s="300">
        <v>1.0</v>
      </c>
      <c r="N1340" s="300">
        <v>8.0</v>
      </c>
      <c r="O1340" s="300" t="s">
        <v>854</v>
      </c>
      <c r="P1340" s="300">
        <v>5.0</v>
      </c>
    </row>
    <row r="1341">
      <c r="A1341">
        <f>IFERROR(__xludf.DUMMYFUNCTION("""COMPUTED_VALUE"""),11.0)</f>
        <v>11</v>
      </c>
      <c r="B1341" s="406">
        <f>IFERROR(__xludf.DUMMYFUNCTION("""COMPUTED_VALUE"""),27014.0)</f>
        <v>27014</v>
      </c>
      <c r="C1341" t="str">
        <f>IFERROR(__xludf.DUMMYFUNCTION("""COMPUTED_VALUE"""),"BEDOYA JIMENEZ, NICOLAS")</f>
        <v>BEDOYA JIMENEZ, NICOLAS</v>
      </c>
      <c r="D1341" t="str">
        <f>IFERROR(__xludf.DUMMYFUNCTION("""COMPUTED_VALUE"""),"AP Calculus AB")</f>
        <v>AP Calculus AB</v>
      </c>
      <c r="E1341" s="3">
        <f>IFERROR(__xludf.DUMMYFUNCTION("""COMPUTED_VALUE"""),2.0)</f>
        <v>2</v>
      </c>
      <c r="F1341" s="300">
        <v>1.0</v>
      </c>
      <c r="G1341" s="300">
        <v>1.0</v>
      </c>
      <c r="H1341" s="300">
        <v>1.0</v>
      </c>
      <c r="I1341" s="300">
        <v>1.0</v>
      </c>
      <c r="J1341" s="300">
        <v>1.0</v>
      </c>
      <c r="K1341" s="300">
        <v>1.0</v>
      </c>
      <c r="L1341" s="300">
        <v>1.0</v>
      </c>
      <c r="M1341" s="300">
        <v>1.0</v>
      </c>
      <c r="N1341" s="300">
        <v>8.0</v>
      </c>
      <c r="O1341" s="300" t="s">
        <v>856</v>
      </c>
      <c r="P1341" s="300">
        <v>2.0</v>
      </c>
    </row>
    <row r="1342">
      <c r="A1342">
        <f>IFERROR(__xludf.DUMMYFUNCTION("""COMPUTED_VALUE"""),11.0)</f>
        <v>11</v>
      </c>
      <c r="B1342" s="406">
        <f>IFERROR(__xludf.DUMMYFUNCTION("""COMPUTED_VALUE"""),27160.0)</f>
        <v>27160</v>
      </c>
      <c r="C1342" t="str">
        <f>IFERROR(__xludf.DUMMYFUNCTION("""COMPUTED_VALUE"""),"SUDETTI, ISABELLA")</f>
        <v>SUDETTI, ISABELLA</v>
      </c>
      <c r="D1342" t="str">
        <f>IFERROR(__xludf.DUMMYFUNCTION("""COMPUTED_VALUE"""),"AP Precalculus")</f>
        <v>AP Precalculus</v>
      </c>
      <c r="E1342" s="3">
        <f>IFERROR(__xludf.DUMMYFUNCTION("""COMPUTED_VALUE"""),2.0)</f>
        <v>2</v>
      </c>
      <c r="F1342" s="300">
        <v>1.0</v>
      </c>
      <c r="G1342" s="300">
        <v>1.0</v>
      </c>
      <c r="H1342" s="300">
        <v>1.0</v>
      </c>
      <c r="I1342" s="300">
        <v>1.0</v>
      </c>
      <c r="J1342" s="300">
        <v>1.0</v>
      </c>
      <c r="K1342" s="300">
        <v>1.0</v>
      </c>
      <c r="L1342" s="300">
        <v>1.0</v>
      </c>
      <c r="M1342" s="300">
        <v>1.0</v>
      </c>
      <c r="N1342" s="300">
        <v>8.0</v>
      </c>
      <c r="O1342" s="300" t="s">
        <v>846</v>
      </c>
      <c r="P1342" s="300">
        <v>2.0</v>
      </c>
    </row>
    <row r="1343">
      <c r="A1343">
        <f>IFERROR(__xludf.DUMMYFUNCTION("""COMPUTED_VALUE"""),11.0)</f>
        <v>11</v>
      </c>
      <c r="B1343" s="406">
        <f>IFERROR(__xludf.DUMMYFUNCTION("""COMPUTED_VALUE"""),27030.0)</f>
        <v>27030</v>
      </c>
      <c r="C1343" t="str">
        <f>IFERROR(__xludf.DUMMYFUNCTION("""COMPUTED_VALUE"""),"DURAN CALAD, PABLO")</f>
        <v>DURAN CALAD, PABLO</v>
      </c>
      <c r="D1343" t="str">
        <f>IFERROR(__xludf.DUMMYFUNCTION("""COMPUTED_VALUE"""),"Algebra II")</f>
        <v>Algebra II</v>
      </c>
      <c r="E1343" s="3">
        <f>IFERROR(__xludf.DUMMYFUNCTION("""COMPUTED_VALUE"""),8.0)</f>
        <v>8</v>
      </c>
      <c r="F1343" s="300">
        <v>1.0</v>
      </c>
      <c r="G1343" s="300">
        <v>1.0</v>
      </c>
      <c r="H1343" s="300">
        <v>1.0</v>
      </c>
      <c r="I1343" s="300">
        <v>1.0</v>
      </c>
      <c r="J1343" s="300">
        <v>1.0</v>
      </c>
      <c r="K1343" s="300">
        <v>1.0</v>
      </c>
      <c r="L1343" s="300">
        <v>1.0</v>
      </c>
      <c r="M1343" s="300">
        <v>1.0</v>
      </c>
      <c r="N1343" s="300">
        <v>8.0</v>
      </c>
      <c r="O1343" s="300" t="s">
        <v>850</v>
      </c>
      <c r="P1343" s="300">
        <v>5.0</v>
      </c>
    </row>
    <row r="1344">
      <c r="A1344">
        <f>IFERROR(__xludf.DUMMYFUNCTION("""COMPUTED_VALUE"""),11.0)</f>
        <v>11</v>
      </c>
      <c r="B1344" s="406">
        <f>IFERROR(__xludf.DUMMYFUNCTION("""COMPUTED_VALUE"""),27023.0)</f>
        <v>27023</v>
      </c>
      <c r="C1344" t="str">
        <f>IFERROR(__xludf.DUMMYFUNCTION("""COMPUTED_VALUE"""),"CASTAÑO VASQUEZ, DANIEL")</f>
        <v>CASTAÑO VASQUEZ, DANIEL</v>
      </c>
      <c r="D1344" t="str">
        <f>IFERROR(__xludf.DUMMYFUNCTION("""COMPUTED_VALUE"""),"AP Calculus AB")</f>
        <v>AP Calculus AB</v>
      </c>
      <c r="E1344" s="3">
        <f>IFERROR(__xludf.DUMMYFUNCTION("""COMPUTED_VALUE"""),2.0)</f>
        <v>2</v>
      </c>
      <c r="F1344" s="300">
        <v>1.0</v>
      </c>
      <c r="G1344" s="300">
        <v>1.0</v>
      </c>
      <c r="H1344" s="300">
        <v>1.0</v>
      </c>
      <c r="I1344" s="300">
        <v>1.0</v>
      </c>
      <c r="J1344" s="300">
        <v>1.0</v>
      </c>
      <c r="K1344" s="300">
        <v>1.0</v>
      </c>
      <c r="L1344" s="300">
        <v>1.0</v>
      </c>
      <c r="M1344" s="300">
        <v>1.0</v>
      </c>
      <c r="N1344" s="300">
        <v>8.0</v>
      </c>
      <c r="O1344" s="300" t="s">
        <v>856</v>
      </c>
      <c r="P1344" s="300">
        <v>2.0</v>
      </c>
    </row>
    <row r="1345">
      <c r="A1345">
        <f>IFERROR(__xludf.DUMMYFUNCTION("""COMPUTED_VALUE"""),11.0)</f>
        <v>11</v>
      </c>
      <c r="B1345" s="406">
        <f>IFERROR(__xludf.DUMMYFUNCTION("""COMPUTED_VALUE"""),27138.0)</f>
        <v>27138</v>
      </c>
      <c r="C1345" t="str">
        <f>IFERROR(__xludf.DUMMYFUNCTION("""COMPUTED_VALUE"""),"ALMEIDA CARMONA, LUISA MARIA")</f>
        <v>ALMEIDA CARMONA, LUISA MARIA</v>
      </c>
      <c r="D1345" t="str">
        <f>IFERROR(__xludf.DUMMYFUNCTION("""COMPUTED_VALUE"""),"Algebra II")</f>
        <v>Algebra II</v>
      </c>
      <c r="E1345" s="3">
        <f>IFERROR(__xludf.DUMMYFUNCTION("""COMPUTED_VALUE"""),6.0)</f>
        <v>6</v>
      </c>
      <c r="F1345" s="300">
        <v>1.0</v>
      </c>
      <c r="G1345" s="300">
        <v>1.0</v>
      </c>
      <c r="H1345" s="300">
        <v>1.0</v>
      </c>
      <c r="I1345" s="300">
        <v>1.0</v>
      </c>
      <c r="J1345" s="300">
        <v>1.0</v>
      </c>
      <c r="K1345" s="300">
        <v>1.0</v>
      </c>
      <c r="L1345" s="300">
        <v>1.0</v>
      </c>
      <c r="M1345" s="300">
        <v>1.0</v>
      </c>
      <c r="N1345" s="300">
        <v>8.0</v>
      </c>
      <c r="O1345" s="300" t="s">
        <v>854</v>
      </c>
      <c r="P1345" s="300">
        <v>5.0</v>
      </c>
    </row>
    <row r="1346">
      <c r="A1346">
        <f>IFERROR(__xludf.DUMMYFUNCTION("""COMPUTED_VALUE"""),11.0)</f>
        <v>11</v>
      </c>
      <c r="B1346" s="406">
        <f>IFERROR(__xludf.DUMMYFUNCTION("""COMPUTED_VALUE"""),27091.0)</f>
        <v>27091</v>
      </c>
      <c r="C1346" t="str">
        <f>IFERROR(__xludf.DUMMYFUNCTION("""COMPUTED_VALUE"""),"PUERTA PAZ, DAVID")</f>
        <v>PUERTA PAZ, DAVID</v>
      </c>
      <c r="D1346" t="str">
        <f>IFERROR(__xludf.DUMMYFUNCTION("""COMPUTED_VALUE"""),"Algebra II")</f>
        <v>Algebra II</v>
      </c>
      <c r="E1346" s="3">
        <f>IFERROR(__xludf.DUMMYFUNCTION("""COMPUTED_VALUE"""),6.0)</f>
        <v>6</v>
      </c>
      <c r="F1346" s="300">
        <v>1.0</v>
      </c>
      <c r="G1346" s="300">
        <v>1.0</v>
      </c>
      <c r="H1346" s="300">
        <v>1.0</v>
      </c>
      <c r="I1346" s="300">
        <v>1.0</v>
      </c>
      <c r="J1346" s="300">
        <v>1.0</v>
      </c>
      <c r="K1346" s="300">
        <v>1.0</v>
      </c>
      <c r="L1346" s="300">
        <v>1.0</v>
      </c>
      <c r="M1346" s="300">
        <v>1.0</v>
      </c>
      <c r="N1346" s="300">
        <v>8.0</v>
      </c>
      <c r="O1346" s="300" t="s">
        <v>854</v>
      </c>
      <c r="P1346" s="300">
        <v>5.0</v>
      </c>
    </row>
    <row r="1347">
      <c r="A1347">
        <f>IFERROR(__xludf.DUMMYFUNCTION("""COMPUTED_VALUE"""),11.0)</f>
        <v>11</v>
      </c>
      <c r="B1347" s="406">
        <f>IFERROR(__xludf.DUMMYFUNCTION("""COMPUTED_VALUE"""),27063.0)</f>
        <v>27063</v>
      </c>
      <c r="C1347" t="str">
        <f>IFERROR(__xludf.DUMMYFUNCTION("""COMPUTED_VALUE"""),"MARTINEZ AGUILAR, ALICIA")</f>
        <v>MARTINEZ AGUILAR, ALICIA</v>
      </c>
      <c r="D1347" t="str">
        <f>IFERROR(__xludf.DUMMYFUNCTION("""COMPUTED_VALUE"""),"Algebra II")</f>
        <v>Algebra II</v>
      </c>
      <c r="E1347" s="3">
        <f>IFERROR(__xludf.DUMMYFUNCTION("""COMPUTED_VALUE"""),1.0)</f>
        <v>1</v>
      </c>
      <c r="F1347" s="300">
        <v>1.0</v>
      </c>
      <c r="G1347" s="300">
        <v>1.0</v>
      </c>
      <c r="H1347" s="300">
        <v>1.0</v>
      </c>
      <c r="I1347" s="300">
        <v>1.0</v>
      </c>
      <c r="J1347" s="300">
        <v>1.0</v>
      </c>
      <c r="K1347" s="300">
        <v>1.0</v>
      </c>
      <c r="L1347" s="300">
        <v>1.0</v>
      </c>
      <c r="M1347" s="300">
        <v>1.0</v>
      </c>
      <c r="N1347" s="300">
        <v>8.0</v>
      </c>
      <c r="O1347" s="300" t="s">
        <v>852</v>
      </c>
      <c r="P1347" s="300">
        <v>5.0</v>
      </c>
    </row>
    <row r="1348">
      <c r="A1348">
        <f>IFERROR(__xludf.DUMMYFUNCTION("""COMPUTED_VALUE"""),11.0)</f>
        <v>11</v>
      </c>
      <c r="B1348" s="406">
        <f>IFERROR(__xludf.DUMMYFUNCTION("""COMPUTED_VALUE"""),27147.0)</f>
        <v>27147</v>
      </c>
      <c r="C1348" t="str">
        <f>IFERROR(__xludf.DUMMYFUNCTION("""COMPUTED_VALUE"""),"MESA FLOREZ, SALOMON")</f>
        <v>MESA FLOREZ, SALOMON</v>
      </c>
      <c r="D1348" t="str">
        <f>IFERROR(__xludf.DUMMYFUNCTION("""COMPUTED_VALUE"""),"AP Precalculus")</f>
        <v>AP Precalculus</v>
      </c>
      <c r="E1348" s="3">
        <f>IFERROR(__xludf.DUMMYFUNCTION("""COMPUTED_VALUE"""),2.0)</f>
        <v>2</v>
      </c>
      <c r="F1348" s="300">
        <v>1.0</v>
      </c>
      <c r="G1348" s="300">
        <v>1.0</v>
      </c>
      <c r="H1348" s="300">
        <v>1.0</v>
      </c>
      <c r="I1348" s="300">
        <v>1.0</v>
      </c>
      <c r="J1348" s="300">
        <v>1.0</v>
      </c>
      <c r="K1348" s="300">
        <v>1.0</v>
      </c>
      <c r="L1348" s="300">
        <v>1.0</v>
      </c>
      <c r="M1348" s="300">
        <v>1.0</v>
      </c>
      <c r="N1348" s="300">
        <v>8.0</v>
      </c>
      <c r="O1348" s="300" t="s">
        <v>846</v>
      </c>
      <c r="P1348" s="300">
        <v>2.0</v>
      </c>
    </row>
    <row r="1349">
      <c r="A1349">
        <f>IFERROR(__xludf.DUMMYFUNCTION("""COMPUTED_VALUE"""),11.0)</f>
        <v>11</v>
      </c>
      <c r="B1349" s="406">
        <f>IFERROR(__xludf.DUMMYFUNCTION("""COMPUTED_VALUE"""),27129.0)</f>
        <v>27129</v>
      </c>
      <c r="C1349" t="str">
        <f>IFERROR(__xludf.DUMMYFUNCTION("""COMPUTED_VALUE"""),"VALLEJO HOYOS, MIGUEL")</f>
        <v>VALLEJO HOYOS, MIGUEL</v>
      </c>
      <c r="D1349" t="str">
        <f>IFERROR(__xludf.DUMMYFUNCTION("""COMPUTED_VALUE"""),"AP Precalculus")</f>
        <v>AP Precalculus</v>
      </c>
      <c r="E1349" s="3">
        <f>IFERROR(__xludf.DUMMYFUNCTION("""COMPUTED_VALUE"""),2.0)</f>
        <v>2</v>
      </c>
      <c r="F1349" s="300">
        <v>1.0</v>
      </c>
      <c r="G1349" s="300">
        <v>1.0</v>
      </c>
      <c r="H1349" s="300">
        <v>1.0</v>
      </c>
      <c r="I1349" s="300">
        <v>1.0</v>
      </c>
      <c r="J1349" s="300">
        <v>1.0</v>
      </c>
      <c r="K1349" s="300">
        <v>1.0</v>
      </c>
      <c r="L1349" s="300">
        <v>1.0</v>
      </c>
      <c r="M1349" s="300">
        <v>1.0</v>
      </c>
      <c r="N1349" s="300">
        <v>8.0</v>
      </c>
      <c r="O1349" s="300" t="s">
        <v>846</v>
      </c>
      <c r="P1349" s="300">
        <v>2.0</v>
      </c>
    </row>
    <row r="1350">
      <c r="A1350">
        <f>IFERROR(__xludf.DUMMYFUNCTION("""COMPUTED_VALUE"""),11.0)</f>
        <v>11</v>
      </c>
      <c r="B1350" s="406">
        <f>IFERROR(__xludf.DUMMYFUNCTION("""COMPUTED_VALUE"""),27015.0)</f>
        <v>27015</v>
      </c>
      <c r="C1350" t="str">
        <f>IFERROR(__xludf.DUMMYFUNCTION("""COMPUTED_VALUE"""),"BERNAL OCHOA, MARIANA")</f>
        <v>BERNAL OCHOA, MARIANA</v>
      </c>
      <c r="D1350" t="str">
        <f>IFERROR(__xludf.DUMMYFUNCTION("""COMPUTED_VALUE"""),"Algebra II")</f>
        <v>Algebra II</v>
      </c>
      <c r="E1350" s="3">
        <f>IFERROR(__xludf.DUMMYFUNCTION("""COMPUTED_VALUE"""),3.0)</f>
        <v>3</v>
      </c>
      <c r="F1350" s="300">
        <v>1.0</v>
      </c>
      <c r="G1350" s="300">
        <v>1.0</v>
      </c>
      <c r="H1350" s="300">
        <v>1.0</v>
      </c>
      <c r="I1350" s="300">
        <v>1.0</v>
      </c>
      <c r="J1350" s="300">
        <v>1.0</v>
      </c>
      <c r="K1350" s="300">
        <v>1.0</v>
      </c>
      <c r="L1350" s="300">
        <v>1.0</v>
      </c>
      <c r="M1350" s="300">
        <v>1.0</v>
      </c>
      <c r="N1350" s="300">
        <v>8.0</v>
      </c>
      <c r="O1350" s="300" t="s">
        <v>853</v>
      </c>
      <c r="P1350" s="300">
        <v>5.0</v>
      </c>
    </row>
    <row r="1351">
      <c r="A1351">
        <f>IFERROR(__xludf.DUMMYFUNCTION("""COMPUTED_VALUE"""),11.0)</f>
        <v>11</v>
      </c>
      <c r="B1351" s="406">
        <f>IFERROR(__xludf.DUMMYFUNCTION("""COMPUTED_VALUE"""),27104.0)</f>
        <v>27104</v>
      </c>
      <c r="C1351" t="str">
        <f>IFERROR(__xludf.DUMMYFUNCTION("""COMPUTED_VALUE"""),"SANCHEZ GONZALEZ, JUANITA")</f>
        <v>SANCHEZ GONZALEZ, JUANITA</v>
      </c>
      <c r="D1351" t="str">
        <f>IFERROR(__xludf.DUMMYFUNCTION("""COMPUTED_VALUE"""),"Algebra II")</f>
        <v>Algebra II</v>
      </c>
      <c r="E1351" s="3">
        <f>IFERROR(__xludf.DUMMYFUNCTION("""COMPUTED_VALUE"""),8.0)</f>
        <v>8</v>
      </c>
      <c r="F1351" s="300">
        <v>1.0</v>
      </c>
      <c r="G1351" s="300">
        <v>1.0</v>
      </c>
      <c r="H1351" s="300">
        <v>1.0</v>
      </c>
      <c r="I1351" s="300">
        <v>1.0</v>
      </c>
      <c r="J1351" s="300">
        <v>1.0</v>
      </c>
      <c r="K1351" s="300">
        <v>1.0</v>
      </c>
      <c r="L1351" s="300">
        <v>1.0</v>
      </c>
      <c r="M1351" s="300">
        <v>1.0</v>
      </c>
      <c r="N1351" s="300">
        <v>8.0</v>
      </c>
      <c r="O1351" s="300" t="s">
        <v>850</v>
      </c>
      <c r="P1351" s="300">
        <v>5.0</v>
      </c>
    </row>
    <row r="1352">
      <c r="A1352">
        <f>IFERROR(__xludf.DUMMYFUNCTION("""COMPUTED_VALUE"""),11.0)</f>
        <v>11</v>
      </c>
      <c r="B1352" s="406">
        <f>IFERROR(__xludf.DUMMYFUNCTION("""COMPUTED_VALUE"""),27130.0)</f>
        <v>27130</v>
      </c>
      <c r="C1352" t="str">
        <f>IFERROR(__xludf.DUMMYFUNCTION("""COMPUTED_VALUE"""),"EASTMAN BETANCUR, VIOLETA")</f>
        <v>EASTMAN BETANCUR, VIOLETA</v>
      </c>
      <c r="D1352" t="str">
        <f>IFERROR(__xludf.DUMMYFUNCTION("""COMPUTED_VALUE"""),"Algebra II")</f>
        <v>Algebra II</v>
      </c>
      <c r="E1352" s="3">
        <f>IFERROR(__xludf.DUMMYFUNCTION("""COMPUTED_VALUE"""),8.0)</f>
        <v>8</v>
      </c>
      <c r="F1352" s="300">
        <v>1.0</v>
      </c>
      <c r="G1352" s="300">
        <v>1.0</v>
      </c>
      <c r="H1352" s="300">
        <v>1.0</v>
      </c>
      <c r="I1352" s="300">
        <v>1.0</v>
      </c>
      <c r="J1352" s="300">
        <v>1.0</v>
      </c>
      <c r="K1352" s="300">
        <v>1.0</v>
      </c>
      <c r="L1352" s="300">
        <v>1.0</v>
      </c>
      <c r="M1352" s="300">
        <v>1.0</v>
      </c>
      <c r="N1352" s="300">
        <v>8.0</v>
      </c>
      <c r="O1352" s="300" t="s">
        <v>850</v>
      </c>
      <c r="P1352" s="300">
        <v>5.0</v>
      </c>
    </row>
    <row r="1353">
      <c r="A1353">
        <f>IFERROR(__xludf.DUMMYFUNCTION("""COMPUTED_VALUE"""),11.0)</f>
        <v>11</v>
      </c>
      <c r="B1353" s="406">
        <f>IFERROR(__xludf.DUMMYFUNCTION("""COMPUTED_VALUE"""),27096.0)</f>
        <v>27096</v>
      </c>
      <c r="C1353" t="str">
        <f>IFERROR(__xludf.DUMMYFUNCTION("""COMPUTED_VALUE"""),"RICO SALDARRIAGA, MARTINA")</f>
        <v>RICO SALDARRIAGA, MARTINA</v>
      </c>
      <c r="D1353" t="str">
        <f>IFERROR(__xludf.DUMMYFUNCTION("""COMPUTED_VALUE"""),"Algebra II")</f>
        <v>Algebra II</v>
      </c>
      <c r="E1353" s="3">
        <f>IFERROR(__xludf.DUMMYFUNCTION("""COMPUTED_VALUE"""),6.0)</f>
        <v>6</v>
      </c>
      <c r="F1353" s="300">
        <v>1.0</v>
      </c>
      <c r="G1353" s="300">
        <v>1.0</v>
      </c>
      <c r="H1353" s="300">
        <v>1.0</v>
      </c>
      <c r="I1353" s="300">
        <v>1.0</v>
      </c>
      <c r="J1353" s="300">
        <v>1.0</v>
      </c>
      <c r="K1353" s="300">
        <v>1.0</v>
      </c>
      <c r="L1353" s="300">
        <v>1.0</v>
      </c>
      <c r="M1353" s="300">
        <v>1.0</v>
      </c>
      <c r="N1353" s="300">
        <v>8.0</v>
      </c>
      <c r="O1353" s="300" t="s">
        <v>854</v>
      </c>
      <c r="P1353" s="300">
        <v>5.0</v>
      </c>
    </row>
    <row r="1354">
      <c r="A1354">
        <f>IFERROR(__xludf.DUMMYFUNCTION("""COMPUTED_VALUE"""),11.0)</f>
        <v>11</v>
      </c>
      <c r="B1354" s="406">
        <f>IFERROR(__xludf.DUMMYFUNCTION("""COMPUTED_VALUE"""),27131.0)</f>
        <v>27131</v>
      </c>
      <c r="C1354" t="str">
        <f>IFERROR(__xludf.DUMMYFUNCTION("""COMPUTED_VALUE"""),"BARRERA GUZMAN, CAMILA")</f>
        <v>BARRERA GUZMAN, CAMILA</v>
      </c>
      <c r="D1354" t="str">
        <f>IFERROR(__xludf.DUMMYFUNCTION("""COMPUTED_VALUE"""),"AP Calculus AB")</f>
        <v>AP Calculus AB</v>
      </c>
      <c r="E1354" s="3">
        <f>IFERROR(__xludf.DUMMYFUNCTION("""COMPUTED_VALUE"""),2.0)</f>
        <v>2</v>
      </c>
      <c r="F1354" s="300">
        <v>1.0</v>
      </c>
      <c r="G1354" s="300">
        <v>1.0</v>
      </c>
      <c r="H1354" s="300">
        <v>1.0</v>
      </c>
      <c r="I1354" s="300">
        <v>1.0</v>
      </c>
      <c r="J1354" s="300">
        <v>1.0</v>
      </c>
      <c r="K1354" s="300">
        <v>1.0</v>
      </c>
      <c r="L1354" s="300">
        <v>1.0</v>
      </c>
      <c r="M1354" s="300">
        <v>1.0</v>
      </c>
      <c r="N1354" s="300">
        <v>8.0</v>
      </c>
      <c r="O1354" s="300" t="s">
        <v>856</v>
      </c>
      <c r="P1354" s="300">
        <v>2.0</v>
      </c>
    </row>
    <row r="1355">
      <c r="A1355">
        <f>IFERROR(__xludf.DUMMYFUNCTION("""COMPUTED_VALUE"""),11.0)</f>
        <v>11</v>
      </c>
      <c r="B1355" s="406">
        <f>IFERROR(__xludf.DUMMYFUNCTION("""COMPUTED_VALUE"""),27068.0)</f>
        <v>27068</v>
      </c>
      <c r="C1355" t="str">
        <f>IFERROR(__xludf.DUMMYFUNCTION("""COMPUTED_VALUE"""),"MESA ACOSTA, ESTEBAN")</f>
        <v>MESA ACOSTA, ESTEBAN</v>
      </c>
      <c r="D1355" t="str">
        <f>IFERROR(__xludf.DUMMYFUNCTION("""COMPUTED_VALUE"""),"Algebra II")</f>
        <v>Algebra II</v>
      </c>
      <c r="E1355" s="3">
        <f>IFERROR(__xludf.DUMMYFUNCTION("""COMPUTED_VALUE"""),5.0)</f>
        <v>5</v>
      </c>
      <c r="F1355" s="300">
        <v>1.0</v>
      </c>
      <c r="G1355" s="300">
        <v>1.0</v>
      </c>
      <c r="H1355" s="300">
        <v>1.0</v>
      </c>
      <c r="I1355" s="300">
        <v>1.0</v>
      </c>
      <c r="J1355" s="300">
        <v>1.0</v>
      </c>
      <c r="K1355" s="300">
        <v>1.0</v>
      </c>
      <c r="L1355" s="300">
        <v>1.0</v>
      </c>
      <c r="M1355" s="300">
        <v>1.0</v>
      </c>
      <c r="N1355" s="300">
        <v>8.0</v>
      </c>
      <c r="O1355" s="300" t="s">
        <v>851</v>
      </c>
      <c r="P1355" s="300">
        <v>5.0</v>
      </c>
    </row>
    <row r="1356">
      <c r="A1356">
        <f>IFERROR(__xludf.DUMMYFUNCTION("""COMPUTED_VALUE"""),11.0)</f>
        <v>11</v>
      </c>
      <c r="B1356" s="406">
        <f>IFERROR(__xludf.DUMMYFUNCTION("""COMPUTED_VALUE"""),27127.0)</f>
        <v>27127</v>
      </c>
      <c r="C1356" t="str">
        <f>IFERROR(__xludf.DUMMYFUNCTION("""COMPUTED_VALUE"""),"YUSTY MOSQUERA, MATEO")</f>
        <v>YUSTY MOSQUERA, MATEO</v>
      </c>
      <c r="D1356" t="str">
        <f>IFERROR(__xludf.DUMMYFUNCTION("""COMPUTED_VALUE"""),"AP Statistics")</f>
        <v>AP Statistics</v>
      </c>
      <c r="E1356" s="3">
        <f>IFERROR(__xludf.DUMMYFUNCTION("""COMPUTED_VALUE"""),7.0)</f>
        <v>7</v>
      </c>
      <c r="F1356" s="300">
        <v>1.0</v>
      </c>
      <c r="G1356" s="300">
        <v>1.0</v>
      </c>
      <c r="H1356" s="300">
        <v>1.0</v>
      </c>
      <c r="I1356" s="300">
        <v>1.0</v>
      </c>
      <c r="J1356" s="300">
        <v>1.0</v>
      </c>
      <c r="K1356" s="300">
        <v>1.0</v>
      </c>
      <c r="L1356" s="300">
        <v>1.0</v>
      </c>
      <c r="M1356" s="300">
        <v>1.0</v>
      </c>
      <c r="N1356" s="300">
        <v>8.0</v>
      </c>
      <c r="O1356" s="300" t="s">
        <v>860</v>
      </c>
      <c r="P1356" s="300">
        <v>1.0</v>
      </c>
    </row>
    <row r="1357">
      <c r="A1357">
        <f>IFERROR(__xludf.DUMMYFUNCTION("""COMPUTED_VALUE"""),11.0)</f>
        <v>11</v>
      </c>
      <c r="B1357" s="406">
        <f>IFERROR(__xludf.DUMMYFUNCTION("""COMPUTED_VALUE"""),27172.0)</f>
        <v>27172</v>
      </c>
      <c r="C1357" t="str">
        <f>IFERROR(__xludf.DUMMYFUNCTION("""COMPUTED_VALUE"""),"PASCUAL CUMELLAS, IGNACIO")</f>
        <v>PASCUAL CUMELLAS, IGNACIO</v>
      </c>
      <c r="D1357" t="str">
        <f>IFERROR(__xludf.DUMMYFUNCTION("""COMPUTED_VALUE"""),"AP Calculus AB")</f>
        <v>AP Calculus AB</v>
      </c>
      <c r="E1357" s="3">
        <f>IFERROR(__xludf.DUMMYFUNCTION("""COMPUTED_VALUE"""),2.0)</f>
        <v>2</v>
      </c>
      <c r="F1357" s="300">
        <v>1.0</v>
      </c>
      <c r="G1357" s="300">
        <v>1.0</v>
      </c>
      <c r="H1357" s="300">
        <v>1.0</v>
      </c>
      <c r="I1357" s="300">
        <v>1.0</v>
      </c>
      <c r="J1357" s="300">
        <v>1.0</v>
      </c>
      <c r="K1357" s="300">
        <v>1.0</v>
      </c>
      <c r="L1357" s="300">
        <v>1.0</v>
      </c>
      <c r="M1357" s="300">
        <v>1.0</v>
      </c>
      <c r="N1357" s="300">
        <v>8.0</v>
      </c>
      <c r="O1357" s="300" t="s">
        <v>856</v>
      </c>
      <c r="P1357" s="300">
        <v>2.0</v>
      </c>
    </row>
    <row r="1358">
      <c r="A1358">
        <f>IFERROR(__xludf.DUMMYFUNCTION("""COMPUTED_VALUE"""),11.0)</f>
        <v>11</v>
      </c>
      <c r="B1358" s="406">
        <f>IFERROR(__xludf.DUMMYFUNCTION("""COMPUTED_VALUE"""),27018.0)</f>
        <v>27018</v>
      </c>
      <c r="C1358" t="str">
        <f>IFERROR(__xludf.DUMMYFUNCTION("""COMPUTED_VALUE"""),"BEYER VELEZ, JACOBO")</f>
        <v>BEYER VELEZ, JACOBO</v>
      </c>
      <c r="D1358" t="str">
        <f>IFERROR(__xludf.DUMMYFUNCTION("""COMPUTED_VALUE"""),"Calculus")</f>
        <v>Calculus</v>
      </c>
      <c r="E1358" s="3">
        <f>IFERROR(__xludf.DUMMYFUNCTION("""COMPUTED_VALUE"""),2.0)</f>
        <v>2</v>
      </c>
      <c r="F1358" s="300">
        <v>1.0</v>
      </c>
      <c r="G1358" s="300">
        <v>1.0</v>
      </c>
      <c r="H1358" s="300">
        <v>1.0</v>
      </c>
      <c r="I1358" s="300">
        <v>1.0</v>
      </c>
      <c r="J1358" s="300">
        <v>1.0</v>
      </c>
      <c r="K1358" s="300">
        <v>1.0</v>
      </c>
      <c r="L1358" s="300">
        <v>1.0</v>
      </c>
      <c r="M1358" s="300">
        <v>1.0</v>
      </c>
      <c r="N1358" s="300">
        <v>8.0</v>
      </c>
      <c r="O1358" s="300" t="s">
        <v>861</v>
      </c>
      <c r="P1358" s="300">
        <v>4.0</v>
      </c>
    </row>
    <row r="1359">
      <c r="A1359">
        <f>IFERROR(__xludf.DUMMYFUNCTION("""COMPUTED_VALUE"""),11.0)</f>
        <v>11</v>
      </c>
      <c r="B1359" s="406">
        <f>IFERROR(__xludf.DUMMYFUNCTION("""COMPUTED_VALUE"""),27017.0)</f>
        <v>27017</v>
      </c>
      <c r="C1359" t="str">
        <f>IFERROR(__xludf.DUMMYFUNCTION("""COMPUTED_VALUE"""),"BETANCUR ROBLEDO, ELISA")</f>
        <v>BETANCUR ROBLEDO, ELISA</v>
      </c>
      <c r="D1359" t="str">
        <f>IFERROR(__xludf.DUMMYFUNCTION("""COMPUTED_VALUE"""),"Algebra II")</f>
        <v>Algebra II</v>
      </c>
      <c r="E1359" s="3">
        <f>IFERROR(__xludf.DUMMYFUNCTION("""COMPUTED_VALUE"""),8.0)</f>
        <v>8</v>
      </c>
      <c r="F1359" s="300">
        <v>1.0</v>
      </c>
      <c r="G1359" s="300">
        <v>1.0</v>
      </c>
      <c r="H1359" s="300">
        <v>1.0</v>
      </c>
      <c r="I1359" s="300">
        <v>1.0</v>
      </c>
      <c r="J1359" s="300">
        <v>1.0</v>
      </c>
      <c r="K1359" s="300">
        <v>1.0</v>
      </c>
      <c r="L1359" s="300">
        <v>1.0</v>
      </c>
      <c r="M1359" s="300">
        <v>1.0</v>
      </c>
      <c r="N1359" s="300">
        <v>8.0</v>
      </c>
      <c r="O1359" s="300" t="s">
        <v>850</v>
      </c>
      <c r="P1359" s="300">
        <v>5.0</v>
      </c>
    </row>
    <row r="1360">
      <c r="A1360">
        <f>IFERROR(__xludf.DUMMYFUNCTION("""COMPUTED_VALUE"""),11.0)</f>
        <v>11</v>
      </c>
      <c r="B1360" s="406">
        <f>IFERROR(__xludf.DUMMYFUNCTION("""COMPUTED_VALUE"""),27113.0)</f>
        <v>27113</v>
      </c>
      <c r="C1360" t="str">
        <f>IFERROR(__xludf.DUMMYFUNCTION("""COMPUTED_VALUE"""),"TORO LOPERA, VIOLETA")</f>
        <v>TORO LOPERA, VIOLETA</v>
      </c>
      <c r="D1360" t="str">
        <f>IFERROR(__xludf.DUMMYFUNCTION("""COMPUTED_VALUE"""),"AP Calculus AB")</f>
        <v>AP Calculus AB</v>
      </c>
      <c r="E1360" s="3">
        <f>IFERROR(__xludf.DUMMYFUNCTION("""COMPUTED_VALUE"""),2.0)</f>
        <v>2</v>
      </c>
      <c r="F1360" s="300">
        <v>1.0</v>
      </c>
      <c r="G1360" s="300">
        <v>1.0</v>
      </c>
      <c r="H1360" s="300">
        <v>1.0</v>
      </c>
      <c r="I1360" s="300">
        <v>1.0</v>
      </c>
      <c r="J1360" s="300">
        <v>1.0</v>
      </c>
      <c r="K1360" s="300">
        <v>1.0</v>
      </c>
      <c r="L1360" s="300">
        <v>1.0</v>
      </c>
      <c r="M1360" s="300">
        <v>1.0</v>
      </c>
      <c r="N1360" s="300">
        <v>8.0</v>
      </c>
      <c r="O1360" s="300" t="s">
        <v>856</v>
      </c>
      <c r="P1360" s="300">
        <v>2.0</v>
      </c>
    </row>
    <row r="1361">
      <c r="A1361">
        <f>IFERROR(__xludf.DUMMYFUNCTION("""COMPUTED_VALUE"""),11.0)</f>
        <v>11</v>
      </c>
      <c r="B1361" s="406">
        <f>IFERROR(__xludf.DUMMYFUNCTION("""COMPUTED_VALUE"""),27042.0)</f>
        <v>27042</v>
      </c>
      <c r="C1361" t="str">
        <f>IFERROR(__xludf.DUMMYFUNCTION("""COMPUTED_VALUE"""),"BONILLA NAVARRO, SOFIA")</f>
        <v>BONILLA NAVARRO, SOFIA</v>
      </c>
      <c r="D1361" t="str">
        <f>IFERROR(__xludf.DUMMYFUNCTION("""COMPUTED_VALUE"""),"Algebra II")</f>
        <v>Algebra II</v>
      </c>
      <c r="E1361" s="3">
        <f>IFERROR(__xludf.DUMMYFUNCTION("""COMPUTED_VALUE"""),8.0)</f>
        <v>8</v>
      </c>
      <c r="F1361" s="300">
        <v>1.0</v>
      </c>
      <c r="G1361" s="300">
        <v>1.0</v>
      </c>
      <c r="H1361" s="300">
        <v>1.0</v>
      </c>
      <c r="I1361" s="300">
        <v>1.0</v>
      </c>
      <c r="J1361" s="300">
        <v>1.0</v>
      </c>
      <c r="K1361" s="300">
        <v>1.0</v>
      </c>
      <c r="L1361" s="300">
        <v>1.0</v>
      </c>
      <c r="M1361" s="300">
        <v>1.0</v>
      </c>
      <c r="N1361" s="300">
        <v>8.0</v>
      </c>
      <c r="O1361" s="300" t="s">
        <v>850</v>
      </c>
      <c r="P1361" s="300">
        <v>5.0</v>
      </c>
    </row>
    <row r="1362">
      <c r="A1362">
        <f>IFERROR(__xludf.DUMMYFUNCTION("""COMPUTED_VALUE"""),11.0)</f>
        <v>11</v>
      </c>
      <c r="B1362" s="406">
        <f>IFERROR(__xludf.DUMMYFUNCTION("""COMPUTED_VALUE"""),27105.0)</f>
        <v>27105</v>
      </c>
      <c r="C1362" t="str">
        <f>IFERROR(__xludf.DUMMYFUNCTION("""COMPUTED_VALUE"""),"SANCHEZ GONZALEZ, SARA")</f>
        <v>SANCHEZ GONZALEZ, SARA</v>
      </c>
      <c r="D1362" t="str">
        <f>IFERROR(__xludf.DUMMYFUNCTION("""COMPUTED_VALUE"""),"Algebra II")</f>
        <v>Algebra II</v>
      </c>
      <c r="E1362" s="3">
        <f>IFERROR(__xludf.DUMMYFUNCTION("""COMPUTED_VALUE"""),1.0)</f>
        <v>1</v>
      </c>
      <c r="F1362" s="300">
        <v>1.0</v>
      </c>
      <c r="G1362" s="300">
        <v>1.0</v>
      </c>
      <c r="H1362" s="300">
        <v>1.0</v>
      </c>
      <c r="I1362" s="300">
        <v>1.0</v>
      </c>
      <c r="J1362" s="300">
        <v>1.0</v>
      </c>
      <c r="K1362" s="300">
        <v>1.0</v>
      </c>
      <c r="L1362" s="300">
        <v>1.0</v>
      </c>
      <c r="M1362" s="300">
        <v>1.0</v>
      </c>
      <c r="N1362" s="300">
        <v>8.0</v>
      </c>
      <c r="O1362" s="300" t="s">
        <v>852</v>
      </c>
      <c r="P1362" s="300">
        <v>5.0</v>
      </c>
    </row>
    <row r="1363">
      <c r="A1363">
        <f>IFERROR(__xludf.DUMMYFUNCTION("""COMPUTED_VALUE"""),11.0)</f>
        <v>11</v>
      </c>
      <c r="B1363" s="406">
        <f>IFERROR(__xludf.DUMMYFUNCTION("""COMPUTED_VALUE"""),27035.0)</f>
        <v>27035</v>
      </c>
      <c r="C1363" t="str">
        <f>IFERROR(__xludf.DUMMYFUNCTION("""COMPUTED_VALUE"""),"FERNANDEZ CALDERON, PABLO")</f>
        <v>FERNANDEZ CALDERON, PABLO</v>
      </c>
      <c r="D1363" t="str">
        <f>IFERROR(__xludf.DUMMYFUNCTION("""COMPUTED_VALUE"""),"Algebra II")</f>
        <v>Algebra II</v>
      </c>
      <c r="E1363" s="3">
        <f>IFERROR(__xludf.DUMMYFUNCTION("""COMPUTED_VALUE"""),6.0)</f>
        <v>6</v>
      </c>
      <c r="F1363" s="300">
        <v>1.0</v>
      </c>
      <c r="G1363" s="300">
        <v>1.0</v>
      </c>
      <c r="H1363" s="300">
        <v>1.0</v>
      </c>
      <c r="I1363" s="300">
        <v>1.0</v>
      </c>
      <c r="J1363" s="300">
        <v>1.0</v>
      </c>
      <c r="K1363" s="300">
        <v>1.0</v>
      </c>
      <c r="L1363" s="300">
        <v>1.0</v>
      </c>
      <c r="M1363" s="300">
        <v>1.0</v>
      </c>
      <c r="N1363" s="300">
        <v>8.0</v>
      </c>
      <c r="O1363" s="300" t="s">
        <v>854</v>
      </c>
      <c r="P1363" s="300">
        <v>5.0</v>
      </c>
    </row>
    <row r="1364">
      <c r="A1364">
        <f>IFERROR(__xludf.DUMMYFUNCTION("""COMPUTED_VALUE"""),11.0)</f>
        <v>11</v>
      </c>
      <c r="B1364" s="406">
        <f>IFERROR(__xludf.DUMMYFUNCTION("""COMPUTED_VALUE"""),27085.0)</f>
        <v>27085</v>
      </c>
      <c r="C1364" t="str">
        <f>IFERROR(__xludf.DUMMYFUNCTION("""COMPUTED_VALUE"""),"PEREZ ALVARADO, EMILIO")</f>
        <v>PEREZ ALVARADO, EMILIO</v>
      </c>
      <c r="D1364" t="str">
        <f>IFERROR(__xludf.DUMMYFUNCTION("""COMPUTED_VALUE"""),"Calculus")</f>
        <v>Calculus</v>
      </c>
      <c r="E1364" s="3">
        <f>IFERROR(__xludf.DUMMYFUNCTION("""COMPUTED_VALUE"""),6.0)</f>
        <v>6</v>
      </c>
      <c r="F1364" s="300">
        <v>1.0</v>
      </c>
      <c r="G1364" s="300">
        <v>1.0</v>
      </c>
      <c r="H1364" s="300">
        <v>1.0</v>
      </c>
      <c r="I1364" s="300">
        <v>1.0</v>
      </c>
      <c r="J1364" s="300">
        <v>1.0</v>
      </c>
      <c r="K1364" s="300">
        <v>1.0</v>
      </c>
      <c r="L1364" s="300">
        <v>1.0</v>
      </c>
      <c r="M1364" s="300">
        <v>1.0</v>
      </c>
      <c r="N1364" s="300">
        <v>8.0</v>
      </c>
      <c r="O1364" s="300" t="s">
        <v>858</v>
      </c>
      <c r="P1364" s="300">
        <v>4.0</v>
      </c>
    </row>
    <row r="1365">
      <c r="A1365">
        <f>IFERROR(__xludf.DUMMYFUNCTION("""COMPUTED_VALUE"""),11.0)</f>
        <v>11</v>
      </c>
      <c r="B1365" s="406">
        <f>IFERROR(__xludf.DUMMYFUNCTION("""COMPUTED_VALUE"""),27054.0)</f>
        <v>27054</v>
      </c>
      <c r="C1365" t="str">
        <f>IFERROR(__xludf.DUMMYFUNCTION("""COMPUTED_VALUE"""),"JARAMILLO PELAEZ, VIOLETA")</f>
        <v>JARAMILLO PELAEZ, VIOLETA</v>
      </c>
      <c r="D1365" t="str">
        <f>IFERROR(__xludf.DUMMYFUNCTION("""COMPUTED_VALUE"""),"Algebra II")</f>
        <v>Algebra II</v>
      </c>
      <c r="E1365" s="3">
        <f>IFERROR(__xludf.DUMMYFUNCTION("""COMPUTED_VALUE"""),3.0)</f>
        <v>3</v>
      </c>
      <c r="F1365" s="300">
        <v>1.0</v>
      </c>
      <c r="G1365" s="300">
        <v>1.0</v>
      </c>
      <c r="H1365" s="300">
        <v>1.0</v>
      </c>
      <c r="I1365" s="300">
        <v>1.0</v>
      </c>
      <c r="J1365" s="300">
        <v>1.0</v>
      </c>
      <c r="K1365" s="300">
        <v>1.0</v>
      </c>
      <c r="L1365" s="300">
        <v>1.0</v>
      </c>
      <c r="M1365" s="300">
        <v>1.0</v>
      </c>
      <c r="N1365" s="300">
        <v>8.0</v>
      </c>
      <c r="O1365" s="300" t="s">
        <v>853</v>
      </c>
      <c r="P1365" s="300">
        <v>5.0</v>
      </c>
    </row>
    <row r="1366">
      <c r="A1366">
        <f>IFERROR(__xludf.DUMMYFUNCTION("""COMPUTED_VALUE"""),11.0)</f>
        <v>11</v>
      </c>
      <c r="B1366" s="406">
        <f>IFERROR(__xludf.DUMMYFUNCTION("""COMPUTED_VALUE"""),27053.0)</f>
        <v>27053</v>
      </c>
      <c r="C1366" t="str">
        <f>IFERROR(__xludf.DUMMYFUNCTION("""COMPUTED_VALUE"""),"JARAMILLO PELAEZ, MARTINA")</f>
        <v>JARAMILLO PELAEZ, MARTINA</v>
      </c>
      <c r="D1366" t="str">
        <f>IFERROR(__xludf.DUMMYFUNCTION("""COMPUTED_VALUE"""),"Calculus")</f>
        <v>Calculus</v>
      </c>
      <c r="E1366" s="3">
        <f>IFERROR(__xludf.DUMMYFUNCTION("""COMPUTED_VALUE"""),2.0)</f>
        <v>2</v>
      </c>
      <c r="F1366" s="300">
        <v>1.0</v>
      </c>
      <c r="G1366" s="300">
        <v>1.0</v>
      </c>
      <c r="H1366" s="300">
        <v>1.0</v>
      </c>
      <c r="I1366" s="300">
        <v>1.0</v>
      </c>
      <c r="J1366" s="300">
        <v>1.0</v>
      </c>
      <c r="K1366" s="300">
        <v>1.0</v>
      </c>
      <c r="L1366" s="300">
        <v>1.0</v>
      </c>
      <c r="M1366" s="300">
        <v>1.0</v>
      </c>
      <c r="N1366" s="300">
        <v>8.0</v>
      </c>
      <c r="O1366" s="300" t="s">
        <v>861</v>
      </c>
      <c r="P1366" s="300">
        <v>4.0</v>
      </c>
    </row>
    <row r="1367">
      <c r="A1367">
        <f>IFERROR(__xludf.DUMMYFUNCTION("""COMPUTED_VALUE"""),11.0)</f>
        <v>11</v>
      </c>
      <c r="B1367" s="406">
        <f>IFERROR(__xludf.DUMMYFUNCTION("""COMPUTED_VALUE"""),26012.0)</f>
        <v>26012</v>
      </c>
      <c r="C1367" t="str">
        <f>IFERROR(__xludf.DUMMYFUNCTION("""COMPUTED_VALUE"""),"BAENA GIRALDO, AGUSTIN")</f>
        <v>BAENA GIRALDO, AGUSTIN</v>
      </c>
      <c r="D1367" t="str">
        <f>IFERROR(__xludf.DUMMYFUNCTION("""COMPUTED_VALUE"""),"Algebra II")</f>
        <v>Algebra II</v>
      </c>
      <c r="E1367" s="3">
        <f>IFERROR(__xludf.DUMMYFUNCTION("""COMPUTED_VALUE"""),1.0)</f>
        <v>1</v>
      </c>
      <c r="F1367" s="300">
        <v>1.0</v>
      </c>
      <c r="G1367" s="300">
        <v>1.0</v>
      </c>
      <c r="H1367" s="300">
        <v>1.0</v>
      </c>
      <c r="I1367" s="300">
        <v>1.0</v>
      </c>
      <c r="J1367" s="300">
        <v>1.0</v>
      </c>
      <c r="K1367" s="300">
        <v>1.0</v>
      </c>
      <c r="L1367" s="300">
        <v>1.0</v>
      </c>
      <c r="M1367" s="300">
        <v>1.0</v>
      </c>
      <c r="N1367" s="300">
        <v>8.0</v>
      </c>
      <c r="O1367" s="300" t="s">
        <v>852</v>
      </c>
      <c r="P1367" s="300">
        <v>5.0</v>
      </c>
    </row>
    <row r="1368">
      <c r="A1368">
        <f>IFERROR(__xludf.DUMMYFUNCTION("""COMPUTED_VALUE"""),11.0)</f>
        <v>11</v>
      </c>
      <c r="B1368" s="406">
        <f>IFERROR(__xludf.DUMMYFUNCTION("""COMPUTED_VALUE"""),27022.0)</f>
        <v>27022</v>
      </c>
      <c r="C1368" t="str">
        <f>IFERROR(__xludf.DUMMYFUNCTION("""COMPUTED_VALUE"""),"CARDONA GIRALDO, MATHIAS")</f>
        <v>CARDONA GIRALDO, MATHIAS</v>
      </c>
      <c r="D1368" t="str">
        <f>IFERROR(__xludf.DUMMYFUNCTION("""COMPUTED_VALUE"""),"Calculus")</f>
        <v>Calculus</v>
      </c>
      <c r="E1368" s="3">
        <f>IFERROR(__xludf.DUMMYFUNCTION("""COMPUTED_VALUE"""),5.0)</f>
        <v>5</v>
      </c>
      <c r="F1368" s="300">
        <v>1.0</v>
      </c>
      <c r="G1368" s="300">
        <v>1.0</v>
      </c>
      <c r="H1368" s="300">
        <v>1.0</v>
      </c>
      <c r="I1368" s="300">
        <v>1.0</v>
      </c>
      <c r="J1368" s="300">
        <v>1.0</v>
      </c>
      <c r="K1368" s="300">
        <v>1.0</v>
      </c>
      <c r="L1368" s="300">
        <v>1.0</v>
      </c>
      <c r="M1368" s="300">
        <v>1.0</v>
      </c>
      <c r="N1368" s="300">
        <v>8.0</v>
      </c>
      <c r="O1368" s="300" t="s">
        <v>857</v>
      </c>
      <c r="P1368" s="300">
        <v>4.0</v>
      </c>
    </row>
    <row r="1369">
      <c r="A1369">
        <f>IFERROR(__xludf.DUMMYFUNCTION("""COMPUTED_VALUE"""),11.0)</f>
        <v>11</v>
      </c>
      <c r="B1369" s="406">
        <f>IFERROR(__xludf.DUMMYFUNCTION("""COMPUTED_VALUE"""),27071.0)</f>
        <v>27071</v>
      </c>
      <c r="C1369" t="str">
        <f>IFERROR(__xludf.DUMMYFUNCTION("""COMPUTED_VALUE"""),"MONSALVE LOPERA, FEDERICO")</f>
        <v>MONSALVE LOPERA, FEDERICO</v>
      </c>
      <c r="D1369" t="str">
        <f>IFERROR(__xludf.DUMMYFUNCTION("""COMPUTED_VALUE"""),"Algebra II")</f>
        <v>Algebra II</v>
      </c>
      <c r="E1369" s="3">
        <f>IFERROR(__xludf.DUMMYFUNCTION("""COMPUTED_VALUE"""),3.0)</f>
        <v>3</v>
      </c>
      <c r="F1369" s="300">
        <v>1.0</v>
      </c>
      <c r="G1369" s="300">
        <v>1.0</v>
      </c>
      <c r="H1369" s="300">
        <v>1.0</v>
      </c>
      <c r="I1369" s="300">
        <v>1.0</v>
      </c>
      <c r="J1369" s="300">
        <v>1.0</v>
      </c>
      <c r="K1369" s="300">
        <v>1.0</v>
      </c>
      <c r="L1369" s="300">
        <v>1.0</v>
      </c>
      <c r="M1369" s="300">
        <v>1.0</v>
      </c>
      <c r="N1369" s="300">
        <v>8.0</v>
      </c>
      <c r="O1369" s="300" t="s">
        <v>853</v>
      </c>
      <c r="P1369" s="300">
        <v>5.0</v>
      </c>
    </row>
    <row r="1370">
      <c r="A1370">
        <f>IFERROR(__xludf.DUMMYFUNCTION("""COMPUTED_VALUE"""),11.0)</f>
        <v>11</v>
      </c>
      <c r="B1370" s="406">
        <f>IFERROR(__xludf.DUMMYFUNCTION("""COMPUTED_VALUE"""),27006.0)</f>
        <v>27006</v>
      </c>
      <c r="C1370" t="str">
        <f>IFERROR(__xludf.DUMMYFUNCTION("""COMPUTED_VALUE"""),"ARANGO RUBIO, MIGUEL")</f>
        <v>ARANGO RUBIO, MIGUEL</v>
      </c>
      <c r="D1370" t="str">
        <f>IFERROR(__xludf.DUMMYFUNCTION("""COMPUTED_VALUE"""),"AP Calculus AB")</f>
        <v>AP Calculus AB</v>
      </c>
      <c r="E1370" s="3">
        <f>IFERROR(__xludf.DUMMYFUNCTION("""COMPUTED_VALUE"""),2.0)</f>
        <v>2</v>
      </c>
      <c r="F1370" s="300">
        <v>1.0</v>
      </c>
      <c r="G1370" s="300">
        <v>1.0</v>
      </c>
      <c r="H1370" s="300">
        <v>1.0</v>
      </c>
      <c r="I1370" s="300">
        <v>1.0</v>
      </c>
      <c r="J1370" s="300">
        <v>1.0</v>
      </c>
      <c r="K1370" s="300">
        <v>1.0</v>
      </c>
      <c r="L1370" s="300">
        <v>1.0</v>
      </c>
      <c r="M1370" s="300">
        <v>1.0</v>
      </c>
      <c r="N1370" s="300">
        <v>8.0</v>
      </c>
      <c r="O1370" s="300" t="s">
        <v>856</v>
      </c>
      <c r="P1370" s="300">
        <v>2.0</v>
      </c>
    </row>
    <row r="1371">
      <c r="A1371">
        <f>IFERROR(__xludf.DUMMYFUNCTION("""COMPUTED_VALUE"""),11.0)</f>
        <v>11</v>
      </c>
      <c r="B1371" s="406">
        <f>IFERROR(__xludf.DUMMYFUNCTION("""COMPUTED_VALUE"""),27101.0)</f>
        <v>27101</v>
      </c>
      <c r="C1371" t="str">
        <f>IFERROR(__xludf.DUMMYFUNCTION("""COMPUTED_VALUE"""),"RUIZ ROLDAN, PABLO")</f>
        <v>RUIZ ROLDAN, PABLO</v>
      </c>
      <c r="D1371" t="str">
        <f>IFERROR(__xludf.DUMMYFUNCTION("""COMPUTED_VALUE"""),"AP Calculus AB")</f>
        <v>AP Calculus AB</v>
      </c>
      <c r="E1371" s="3">
        <f>IFERROR(__xludf.DUMMYFUNCTION("""COMPUTED_VALUE"""),7.0)</f>
        <v>7</v>
      </c>
      <c r="F1371" s="300">
        <v>1.0</v>
      </c>
      <c r="G1371" s="300">
        <v>1.0</v>
      </c>
      <c r="H1371" s="300">
        <v>1.0</v>
      </c>
      <c r="I1371" s="300">
        <v>1.0</v>
      </c>
      <c r="J1371" s="300">
        <v>1.0</v>
      </c>
      <c r="K1371" s="300">
        <v>1.0</v>
      </c>
      <c r="L1371" s="300">
        <v>1.0</v>
      </c>
      <c r="M1371" s="300">
        <v>1.0</v>
      </c>
      <c r="N1371" s="300">
        <v>8.0</v>
      </c>
      <c r="O1371" s="300" t="s">
        <v>855</v>
      </c>
      <c r="P1371" s="300">
        <v>2.0</v>
      </c>
    </row>
    <row r="1372">
      <c r="A1372">
        <f>IFERROR(__xludf.DUMMYFUNCTION("""COMPUTED_VALUE"""),11.0)</f>
        <v>11</v>
      </c>
      <c r="B1372" s="406">
        <f>IFERROR(__xludf.DUMMYFUNCTION("""COMPUTED_VALUE"""),27046.0)</f>
        <v>27046</v>
      </c>
      <c r="C1372" t="str">
        <f>IFERROR(__xludf.DUMMYFUNCTION("""COMPUTED_VALUE"""),"GOMEZ TRUJILLO, MIGUEL")</f>
        <v>GOMEZ TRUJILLO, MIGUEL</v>
      </c>
      <c r="D1372" t="str">
        <f>IFERROR(__xludf.DUMMYFUNCTION("""COMPUTED_VALUE"""),"AP Calculus AB")</f>
        <v>AP Calculus AB</v>
      </c>
      <c r="E1372" s="3">
        <f>IFERROR(__xludf.DUMMYFUNCTION("""COMPUTED_VALUE"""),7.0)</f>
        <v>7</v>
      </c>
      <c r="F1372" s="300">
        <v>1.0</v>
      </c>
      <c r="G1372" s="300">
        <v>1.0</v>
      </c>
      <c r="H1372" s="300">
        <v>1.0</v>
      </c>
      <c r="I1372" s="300">
        <v>1.0</v>
      </c>
      <c r="J1372" s="300">
        <v>1.0</v>
      </c>
      <c r="K1372" s="300">
        <v>1.0</v>
      </c>
      <c r="L1372" s="300">
        <v>1.0</v>
      </c>
      <c r="M1372" s="300">
        <v>1.0</v>
      </c>
      <c r="N1372" s="300">
        <v>8.0</v>
      </c>
      <c r="O1372" s="300" t="s">
        <v>855</v>
      </c>
      <c r="P1372" s="300">
        <v>2.0</v>
      </c>
    </row>
    <row r="1373">
      <c r="A1373">
        <f>IFERROR(__xludf.DUMMYFUNCTION("""COMPUTED_VALUE"""),11.0)</f>
        <v>11</v>
      </c>
      <c r="B1373" s="406">
        <f>IFERROR(__xludf.DUMMYFUNCTION("""COMPUTED_VALUE"""),27151.0)</f>
        <v>27151</v>
      </c>
      <c r="C1373" t="str">
        <f>IFERROR(__xludf.DUMMYFUNCTION("""COMPUTED_VALUE"""),"RANNI, FABRIZIO")</f>
        <v>RANNI, FABRIZIO</v>
      </c>
      <c r="D1373" t="str">
        <f>IFERROR(__xludf.DUMMYFUNCTION("""COMPUTED_VALUE"""),"AP Calculus AB")</f>
        <v>AP Calculus AB</v>
      </c>
      <c r="E1373" s="3">
        <f>IFERROR(__xludf.DUMMYFUNCTION("""COMPUTED_VALUE"""),2.0)</f>
        <v>2</v>
      </c>
      <c r="F1373" s="300">
        <v>1.0</v>
      </c>
      <c r="G1373" s="300">
        <v>1.0</v>
      </c>
      <c r="H1373" s="300">
        <v>1.0</v>
      </c>
      <c r="I1373" s="300">
        <v>1.0</v>
      </c>
      <c r="J1373" s="300">
        <v>1.0</v>
      </c>
      <c r="K1373" s="300">
        <v>1.0</v>
      </c>
      <c r="L1373" s="300">
        <v>1.0</v>
      </c>
      <c r="M1373" s="300">
        <v>1.0</v>
      </c>
      <c r="N1373" s="300">
        <v>8.0</v>
      </c>
      <c r="O1373" s="300" t="s">
        <v>856</v>
      </c>
      <c r="P1373" s="300">
        <v>2.0</v>
      </c>
    </row>
    <row r="1374">
      <c r="A1374">
        <f>IFERROR(__xludf.DUMMYFUNCTION("""COMPUTED_VALUE"""),11.0)</f>
        <v>11</v>
      </c>
      <c r="B1374" s="406">
        <f>IFERROR(__xludf.DUMMYFUNCTION("""COMPUTED_VALUE"""),27081.0)</f>
        <v>27081</v>
      </c>
      <c r="C1374" t="str">
        <f>IFERROR(__xludf.DUMMYFUNCTION("""COMPUTED_VALUE"""),"OSPINA ESCOBAR, GABRIEL")</f>
        <v>OSPINA ESCOBAR, GABRIEL</v>
      </c>
      <c r="D1374" t="str">
        <f>IFERROR(__xludf.DUMMYFUNCTION("""COMPUTED_VALUE"""),"AP Calculus AB")</f>
        <v>AP Calculus AB</v>
      </c>
      <c r="E1374" s="3">
        <f>IFERROR(__xludf.DUMMYFUNCTION("""COMPUTED_VALUE"""),2.0)</f>
        <v>2</v>
      </c>
      <c r="F1374" s="300">
        <v>1.0</v>
      </c>
      <c r="G1374" s="300">
        <v>1.0</v>
      </c>
      <c r="H1374" s="300">
        <v>1.0</v>
      </c>
      <c r="I1374" s="300">
        <v>1.0</v>
      </c>
      <c r="J1374" s="300">
        <v>1.0</v>
      </c>
      <c r="K1374" s="300">
        <v>1.0</v>
      </c>
      <c r="L1374" s="300">
        <v>1.0</v>
      </c>
      <c r="M1374" s="300">
        <v>1.0</v>
      </c>
      <c r="N1374" s="300">
        <v>8.0</v>
      </c>
      <c r="O1374" s="300" t="s">
        <v>856</v>
      </c>
      <c r="P1374" s="300">
        <v>2.0</v>
      </c>
    </row>
    <row r="1375">
      <c r="A1375">
        <f>IFERROR(__xludf.DUMMYFUNCTION("""COMPUTED_VALUE"""),11.0)</f>
        <v>11</v>
      </c>
      <c r="B1375" s="406">
        <f>IFERROR(__xludf.DUMMYFUNCTION("""COMPUTED_VALUE"""),26154.0)</f>
        <v>26154</v>
      </c>
      <c r="C1375" t="str">
        <f>IFERROR(__xludf.DUMMYFUNCTION("""COMPUTED_VALUE"""),"GARRIDO TAMAYO, NICOLAS")</f>
        <v>GARRIDO TAMAYO, NICOLAS</v>
      </c>
      <c r="D1375" t="str">
        <f>IFERROR(__xludf.DUMMYFUNCTION("""COMPUTED_VALUE"""),"Algebra II")</f>
        <v>Algebra II</v>
      </c>
      <c r="E1375" s="3">
        <f>IFERROR(__xludf.DUMMYFUNCTION("""COMPUTED_VALUE"""),3.0)</f>
        <v>3</v>
      </c>
      <c r="F1375" s="300">
        <v>1.0</v>
      </c>
      <c r="G1375" s="300">
        <v>1.0</v>
      </c>
      <c r="H1375" s="300">
        <v>1.0</v>
      </c>
      <c r="I1375" s="300">
        <v>1.0</v>
      </c>
      <c r="J1375" s="300">
        <v>1.0</v>
      </c>
      <c r="K1375" s="300">
        <v>1.0</v>
      </c>
      <c r="L1375" s="300">
        <v>1.0</v>
      </c>
      <c r="M1375" s="300">
        <v>1.0</v>
      </c>
      <c r="N1375" s="300">
        <v>8.0</v>
      </c>
      <c r="O1375" s="300" t="s">
        <v>853</v>
      </c>
      <c r="P1375" s="300">
        <v>5.0</v>
      </c>
    </row>
    <row r="1376">
      <c r="A1376">
        <f>IFERROR(__xludf.DUMMYFUNCTION("""COMPUTED_VALUE"""),11.0)</f>
        <v>11</v>
      </c>
      <c r="B1376" s="406">
        <f>IFERROR(__xludf.DUMMYFUNCTION("""COMPUTED_VALUE"""),27040.0)</f>
        <v>27040</v>
      </c>
      <c r="C1376" t="str">
        <f>IFERROR(__xludf.DUMMYFUNCTION("""COMPUTED_VALUE"""),"GALLON MUÑOZ, VIOLETA")</f>
        <v>GALLON MUÑOZ, VIOLETA</v>
      </c>
      <c r="D1376" t="str">
        <f>IFERROR(__xludf.DUMMYFUNCTION("""COMPUTED_VALUE"""),"Algebra II")</f>
        <v>Algebra II</v>
      </c>
      <c r="E1376" s="3">
        <f>IFERROR(__xludf.DUMMYFUNCTION("""COMPUTED_VALUE"""),6.0)</f>
        <v>6</v>
      </c>
      <c r="F1376" s="300">
        <v>1.0</v>
      </c>
      <c r="G1376" s="300">
        <v>1.0</v>
      </c>
      <c r="H1376" s="300">
        <v>1.0</v>
      </c>
      <c r="I1376" s="300">
        <v>1.0</v>
      </c>
      <c r="J1376" s="300">
        <v>1.0</v>
      </c>
      <c r="K1376" s="300">
        <v>1.0</v>
      </c>
      <c r="L1376" s="300">
        <v>1.0</v>
      </c>
      <c r="M1376" s="300">
        <v>1.0</v>
      </c>
      <c r="N1376" s="300">
        <v>8.0</v>
      </c>
      <c r="O1376" s="300" t="s">
        <v>854</v>
      </c>
      <c r="P1376" s="300">
        <v>5.0</v>
      </c>
    </row>
    <row r="1377">
      <c r="A1377">
        <f>IFERROR(__xludf.DUMMYFUNCTION("""COMPUTED_VALUE"""),11.0)</f>
        <v>11</v>
      </c>
      <c r="B1377" s="406">
        <f>IFERROR(__xludf.DUMMYFUNCTION("""COMPUTED_VALUE"""),27093.0)</f>
        <v>27093</v>
      </c>
      <c r="C1377" t="str">
        <f>IFERROR(__xludf.DUMMYFUNCTION("""COMPUTED_VALUE"""),"RADA ECHANDIA, CAMILA")</f>
        <v>RADA ECHANDIA, CAMILA</v>
      </c>
      <c r="D1377" t="str">
        <f>IFERROR(__xludf.DUMMYFUNCTION("""COMPUTED_VALUE"""),"AP Calculus AB")</f>
        <v>AP Calculus AB</v>
      </c>
      <c r="E1377" s="3">
        <f>IFERROR(__xludf.DUMMYFUNCTION("""COMPUTED_VALUE"""),2.0)</f>
        <v>2</v>
      </c>
      <c r="F1377" s="300">
        <v>1.0</v>
      </c>
      <c r="G1377" s="300">
        <v>1.0</v>
      </c>
      <c r="H1377" s="300">
        <v>1.0</v>
      </c>
      <c r="I1377" s="300">
        <v>1.0</v>
      </c>
      <c r="J1377" s="300">
        <v>1.0</v>
      </c>
      <c r="K1377" s="300">
        <v>1.0</v>
      </c>
      <c r="L1377" s="300">
        <v>1.0</v>
      </c>
      <c r="M1377" s="300">
        <v>1.0</v>
      </c>
      <c r="N1377" s="300">
        <v>8.0</v>
      </c>
      <c r="O1377" s="300" t="s">
        <v>856</v>
      </c>
      <c r="P1377" s="300">
        <v>2.0</v>
      </c>
    </row>
    <row r="1378">
      <c r="A1378">
        <f>IFERROR(__xludf.DUMMYFUNCTION("""COMPUTED_VALUE"""),11.0)</f>
        <v>11</v>
      </c>
      <c r="B1378" s="406">
        <f>IFERROR(__xludf.DUMMYFUNCTION("""COMPUTED_VALUE"""),27112.0)</f>
        <v>27112</v>
      </c>
      <c r="C1378" t="str">
        <f>IFERROR(__xludf.DUMMYFUNCTION("""COMPUTED_VALUE"""),"TOBON RESTREPO, NICOLAS")</f>
        <v>TOBON RESTREPO, NICOLAS</v>
      </c>
      <c r="D1378" t="str">
        <f>IFERROR(__xludf.DUMMYFUNCTION("""COMPUTED_VALUE"""),"Calculus")</f>
        <v>Calculus</v>
      </c>
      <c r="E1378" s="3">
        <f>IFERROR(__xludf.DUMMYFUNCTION("""COMPUTED_VALUE"""),6.0)</f>
        <v>6</v>
      </c>
      <c r="F1378" s="300">
        <v>1.0</v>
      </c>
      <c r="G1378" s="300">
        <v>1.0</v>
      </c>
      <c r="H1378" s="300">
        <v>1.0</v>
      </c>
      <c r="I1378" s="300">
        <v>1.0</v>
      </c>
      <c r="J1378" s="300">
        <v>1.0</v>
      </c>
      <c r="K1378" s="300">
        <v>1.0</v>
      </c>
      <c r="L1378" s="300">
        <v>1.0</v>
      </c>
      <c r="M1378" s="300">
        <v>1.0</v>
      </c>
      <c r="N1378" s="300">
        <v>8.0</v>
      </c>
      <c r="O1378" s="300" t="s">
        <v>858</v>
      </c>
      <c r="P1378" s="300">
        <v>4.0</v>
      </c>
    </row>
    <row r="1379">
      <c r="A1379">
        <f>IFERROR(__xludf.DUMMYFUNCTION("""COMPUTED_VALUE"""),11.0)</f>
        <v>11</v>
      </c>
      <c r="B1379" s="406">
        <f>IFERROR(__xludf.DUMMYFUNCTION("""COMPUTED_VALUE"""),27083.0)</f>
        <v>27083</v>
      </c>
      <c r="C1379" t="str">
        <f>IFERROR(__xludf.DUMMYFUNCTION("""COMPUTED_VALUE"""),"PALACIO RUIZ, MATIAS")</f>
        <v>PALACIO RUIZ, MATIAS</v>
      </c>
      <c r="D1379" t="str">
        <f>IFERROR(__xludf.DUMMYFUNCTION("""COMPUTED_VALUE"""),"Algebra II")</f>
        <v>Algebra II</v>
      </c>
      <c r="E1379" s="3">
        <f>IFERROR(__xludf.DUMMYFUNCTION("""COMPUTED_VALUE"""),5.0)</f>
        <v>5</v>
      </c>
      <c r="F1379" s="300">
        <v>1.0</v>
      </c>
      <c r="G1379" s="300">
        <v>1.0</v>
      </c>
      <c r="H1379" s="300">
        <v>1.0</v>
      </c>
      <c r="I1379" s="300">
        <v>1.0</v>
      </c>
      <c r="J1379" s="300">
        <v>1.0</v>
      </c>
      <c r="K1379" s="300">
        <v>1.0</v>
      </c>
      <c r="L1379" s="300">
        <v>1.0</v>
      </c>
      <c r="M1379" s="300">
        <v>1.0</v>
      </c>
      <c r="N1379" s="300">
        <v>8.0</v>
      </c>
      <c r="O1379" s="300" t="s">
        <v>851</v>
      </c>
      <c r="P1379" s="300">
        <v>5.0</v>
      </c>
    </row>
    <row r="1380">
      <c r="A1380">
        <f>IFERROR(__xludf.DUMMYFUNCTION("""COMPUTED_VALUE"""),11.0)</f>
        <v>11</v>
      </c>
      <c r="B1380" s="406">
        <f>IFERROR(__xludf.DUMMYFUNCTION("""COMPUTED_VALUE"""),26041.0)</f>
        <v>26041</v>
      </c>
      <c r="C1380" t="str">
        <f>IFERROR(__xludf.DUMMYFUNCTION("""COMPUTED_VALUE"""),"GOMEZ VASQUEZ, SOFIA")</f>
        <v>GOMEZ VASQUEZ, SOFIA</v>
      </c>
      <c r="D1380" t="str">
        <f>IFERROR(__xludf.DUMMYFUNCTION("""COMPUTED_VALUE"""),"Algebra II")</f>
        <v>Algebra II</v>
      </c>
      <c r="E1380" s="3">
        <f>IFERROR(__xludf.DUMMYFUNCTION("""COMPUTED_VALUE"""),6.0)</f>
        <v>6</v>
      </c>
      <c r="F1380" s="300">
        <v>1.0</v>
      </c>
      <c r="G1380" s="300">
        <v>1.0</v>
      </c>
      <c r="H1380" s="300">
        <v>1.0</v>
      </c>
      <c r="I1380" s="300">
        <v>1.0</v>
      </c>
      <c r="J1380" s="300">
        <v>1.0</v>
      </c>
      <c r="K1380" s="300">
        <v>1.0</v>
      </c>
      <c r="L1380" s="300">
        <v>1.0</v>
      </c>
      <c r="M1380" s="300">
        <v>1.0</v>
      </c>
      <c r="N1380" s="300">
        <v>8.0</v>
      </c>
      <c r="O1380" s="300" t="s">
        <v>854</v>
      </c>
      <c r="P1380" s="300">
        <v>5.0</v>
      </c>
    </row>
    <row r="1381">
      <c r="A1381">
        <f>IFERROR(__xludf.DUMMYFUNCTION("""COMPUTED_VALUE"""),11.0)</f>
        <v>11</v>
      </c>
      <c r="B1381" s="406">
        <f>IFERROR(__xludf.DUMMYFUNCTION("""COMPUTED_VALUE"""),27092.0)</f>
        <v>27092</v>
      </c>
      <c r="C1381" t="str">
        <f>IFERROR(__xludf.DUMMYFUNCTION("""COMPUTED_VALUE"""),"PULGARIN HUERTAS, ELOISA")</f>
        <v>PULGARIN HUERTAS, ELOISA</v>
      </c>
      <c r="D1381" t="str">
        <f>IFERROR(__xludf.DUMMYFUNCTION("""COMPUTED_VALUE"""),"Algebra II")</f>
        <v>Algebra II</v>
      </c>
      <c r="E1381" s="3">
        <f>IFERROR(__xludf.DUMMYFUNCTION("""COMPUTED_VALUE"""),3.0)</f>
        <v>3</v>
      </c>
      <c r="F1381" s="300">
        <v>1.0</v>
      </c>
      <c r="G1381" s="300">
        <v>1.0</v>
      </c>
      <c r="H1381" s="300">
        <v>1.0</v>
      </c>
      <c r="I1381" s="300">
        <v>1.0</v>
      </c>
      <c r="J1381" s="300">
        <v>1.0</v>
      </c>
      <c r="K1381" s="300">
        <v>1.0</v>
      </c>
      <c r="L1381" s="300">
        <v>1.0</v>
      </c>
      <c r="M1381" s="300">
        <v>1.0</v>
      </c>
      <c r="N1381" s="300">
        <v>8.0</v>
      </c>
      <c r="O1381" s="300" t="s">
        <v>853</v>
      </c>
      <c r="P1381" s="300">
        <v>5.0</v>
      </c>
    </row>
    <row r="1382">
      <c r="A1382">
        <f>IFERROR(__xludf.DUMMYFUNCTION("""COMPUTED_VALUE"""),11.0)</f>
        <v>11</v>
      </c>
      <c r="B1382" s="406">
        <f>IFERROR(__xludf.DUMMYFUNCTION("""COMPUTED_VALUE"""),27055.0)</f>
        <v>27055</v>
      </c>
      <c r="C1382" t="str">
        <f>IFERROR(__xludf.DUMMYFUNCTION("""COMPUTED_VALUE"""),"JARAMILLO URIBE, EMILIANO")</f>
        <v>JARAMILLO URIBE, EMILIANO</v>
      </c>
      <c r="D1382" t="str">
        <f>IFERROR(__xludf.DUMMYFUNCTION("""COMPUTED_VALUE"""),"Calculus")</f>
        <v>Calculus</v>
      </c>
      <c r="E1382" s="3">
        <f>IFERROR(__xludf.DUMMYFUNCTION("""COMPUTED_VALUE"""),6.0)</f>
        <v>6</v>
      </c>
      <c r="F1382" s="300">
        <v>1.0</v>
      </c>
      <c r="G1382" s="300">
        <v>1.0</v>
      </c>
      <c r="H1382" s="300">
        <v>1.0</v>
      </c>
      <c r="I1382" s="300">
        <v>1.0</v>
      </c>
      <c r="J1382" s="300">
        <v>1.0</v>
      </c>
      <c r="K1382" s="300">
        <v>1.0</v>
      </c>
      <c r="L1382" s="300">
        <v>1.0</v>
      </c>
      <c r="M1382" s="300">
        <v>1.0</v>
      </c>
      <c r="N1382" s="300">
        <v>8.0</v>
      </c>
      <c r="O1382" s="300" t="s">
        <v>858</v>
      </c>
      <c r="P1382" s="300">
        <v>4.0</v>
      </c>
    </row>
    <row r="1383">
      <c r="A1383">
        <f>IFERROR(__xludf.DUMMYFUNCTION("""COMPUTED_VALUE"""),11.0)</f>
        <v>11</v>
      </c>
      <c r="B1383">
        <f>IFERROR(__xludf.DUMMYFUNCTION("""COMPUTED_VALUE"""),27162.0)</f>
        <v>27162</v>
      </c>
      <c r="C1383" t="str">
        <f>IFERROR(__xludf.DUMMYFUNCTION("""COMPUTED_VALUE"""),"SUTTON ROITER, JACQUES")</f>
        <v>SUTTON ROITER, JACQUES</v>
      </c>
      <c r="D1383" t="str">
        <f>IFERROR(__xludf.DUMMYFUNCTION("""COMPUTED_VALUE"""),"Algebra II")</f>
        <v>Algebra II</v>
      </c>
      <c r="E1383" s="3">
        <f>IFERROR(__xludf.DUMMYFUNCTION("""COMPUTED_VALUE"""),3.0)</f>
        <v>3</v>
      </c>
      <c r="F1383" s="300">
        <v>1.0</v>
      </c>
      <c r="G1383" s="300">
        <v>1.0</v>
      </c>
      <c r="H1383" s="300">
        <v>1.0</v>
      </c>
      <c r="I1383" s="300">
        <v>1.0</v>
      </c>
      <c r="J1383" s="300">
        <v>1.0</v>
      </c>
      <c r="K1383" s="300">
        <v>1.0</v>
      </c>
      <c r="L1383" s="300">
        <v>1.0</v>
      </c>
      <c r="M1383" s="300">
        <v>1.0</v>
      </c>
      <c r="N1383" s="300">
        <v>8.0</v>
      </c>
      <c r="O1383" s="300" t="s">
        <v>853</v>
      </c>
      <c r="P1383" s="300">
        <v>5.0</v>
      </c>
    </row>
    <row r="1384">
      <c r="A1384">
        <f>IFERROR(__xludf.DUMMYFUNCTION("""COMPUTED_VALUE"""),11.0)</f>
        <v>11</v>
      </c>
      <c r="B1384">
        <f>IFERROR(__xludf.DUMMYFUNCTION("""COMPUTED_VALUE"""),27090.0)</f>
        <v>27090</v>
      </c>
      <c r="C1384" t="str">
        <f>IFERROR(__xludf.DUMMYFUNCTION("""COMPUTED_VALUE"""),"PERTUZ MUNERA, LUCIANA")</f>
        <v>PERTUZ MUNERA, LUCIANA</v>
      </c>
      <c r="D1384" t="str">
        <f>IFERROR(__xludf.DUMMYFUNCTION("""COMPUTED_VALUE"""),"AP Calculus AB")</f>
        <v>AP Calculus AB</v>
      </c>
      <c r="E1384" s="3">
        <f>IFERROR(__xludf.DUMMYFUNCTION("""COMPUTED_VALUE"""),7.0)</f>
        <v>7</v>
      </c>
      <c r="F1384" s="300">
        <v>1.0</v>
      </c>
      <c r="G1384" s="300">
        <v>1.0</v>
      </c>
      <c r="H1384" s="300">
        <v>1.0</v>
      </c>
      <c r="I1384" s="300">
        <v>1.0</v>
      </c>
      <c r="J1384" s="300">
        <v>1.0</v>
      </c>
      <c r="K1384" s="300">
        <v>1.0</v>
      </c>
      <c r="L1384" s="300">
        <v>1.0</v>
      </c>
      <c r="M1384" s="300">
        <v>1.0</v>
      </c>
      <c r="N1384" s="300">
        <v>8.0</v>
      </c>
      <c r="O1384" s="300" t="s">
        <v>855</v>
      </c>
      <c r="P1384" s="300">
        <v>2.0</v>
      </c>
    </row>
    <row r="1385">
      <c r="A1385">
        <f>IFERROR(__xludf.DUMMYFUNCTION("""COMPUTED_VALUE"""),11.0)</f>
        <v>11</v>
      </c>
      <c r="B1385">
        <f>IFERROR(__xludf.DUMMYFUNCTION("""COMPUTED_VALUE"""),27120.0)</f>
        <v>27120</v>
      </c>
      <c r="C1385" t="str">
        <f>IFERROR(__xludf.DUMMYFUNCTION("""COMPUTED_VALUE"""),"VARGAS ARBOLEDA, AMALIA")</f>
        <v>VARGAS ARBOLEDA, AMALIA</v>
      </c>
      <c r="D1385" t="str">
        <f>IFERROR(__xludf.DUMMYFUNCTION("""COMPUTED_VALUE"""),"AP Calculus AB")</f>
        <v>AP Calculus AB</v>
      </c>
      <c r="E1385" s="3">
        <f>IFERROR(__xludf.DUMMYFUNCTION("""COMPUTED_VALUE"""),7.0)</f>
        <v>7</v>
      </c>
      <c r="F1385" s="300">
        <v>1.0</v>
      </c>
      <c r="G1385" s="300">
        <v>1.0</v>
      </c>
      <c r="H1385" s="300">
        <v>1.0</v>
      </c>
      <c r="I1385" s="300">
        <v>1.0</v>
      </c>
      <c r="J1385" s="300">
        <v>1.0</v>
      </c>
      <c r="K1385" s="300">
        <v>1.0</v>
      </c>
      <c r="L1385" s="300">
        <v>1.0</v>
      </c>
      <c r="M1385" s="300">
        <v>1.0</v>
      </c>
      <c r="N1385" s="300">
        <v>8.0</v>
      </c>
      <c r="O1385" s="300" t="s">
        <v>855</v>
      </c>
      <c r="P1385" s="300">
        <v>2.0</v>
      </c>
    </row>
    <row r="1386">
      <c r="A1386">
        <f>IFERROR(__xludf.DUMMYFUNCTION("""COMPUTED_VALUE"""),11.0)</f>
        <v>11</v>
      </c>
      <c r="B1386">
        <f>IFERROR(__xludf.DUMMYFUNCTION("""COMPUTED_VALUE"""),27103.0)</f>
        <v>27103</v>
      </c>
      <c r="C1386" t="str">
        <f>IFERROR(__xludf.DUMMYFUNCTION("""COMPUTED_VALUE"""),"SANCHEZ DIAZ, TOMAS")</f>
        <v>SANCHEZ DIAZ, TOMAS</v>
      </c>
      <c r="D1386" t="str">
        <f>IFERROR(__xludf.DUMMYFUNCTION("""COMPUTED_VALUE"""),"Algebra II")</f>
        <v>Algebra II</v>
      </c>
      <c r="E1386" s="3">
        <f>IFERROR(__xludf.DUMMYFUNCTION("""COMPUTED_VALUE"""),6.0)</f>
        <v>6</v>
      </c>
      <c r="F1386" s="300">
        <v>1.0</v>
      </c>
      <c r="G1386" s="300">
        <v>1.0</v>
      </c>
      <c r="H1386" s="300">
        <v>1.0</v>
      </c>
      <c r="I1386" s="300">
        <v>1.0</v>
      </c>
      <c r="J1386" s="300">
        <v>1.0</v>
      </c>
      <c r="K1386" s="300">
        <v>1.0</v>
      </c>
      <c r="L1386" s="300">
        <v>1.0</v>
      </c>
      <c r="M1386" s="300">
        <v>1.0</v>
      </c>
      <c r="N1386" s="300">
        <v>8.0</v>
      </c>
      <c r="O1386" s="300" t="s">
        <v>854</v>
      </c>
      <c r="P1386" s="300">
        <v>5.0</v>
      </c>
    </row>
    <row r="1387">
      <c r="A1387">
        <f>IFERROR(__xludf.DUMMYFUNCTION("""COMPUTED_VALUE"""),11.0)</f>
        <v>11</v>
      </c>
      <c r="B1387">
        <f>IFERROR(__xludf.DUMMYFUNCTION("""COMPUTED_VALUE"""),27003.0)</f>
        <v>27003</v>
      </c>
      <c r="C1387" t="str">
        <f>IFERROR(__xludf.DUMMYFUNCTION("""COMPUTED_VALUE"""),"ANGEL GIRALDO, DANIELA")</f>
        <v>ANGEL GIRALDO, DANIELA</v>
      </c>
      <c r="D1387" t="str">
        <f>IFERROR(__xludf.DUMMYFUNCTION("""COMPUTED_VALUE"""),"Algebra II")</f>
        <v>Algebra II</v>
      </c>
      <c r="E1387" s="3">
        <f>IFERROR(__xludf.DUMMYFUNCTION("""COMPUTED_VALUE"""),8.0)</f>
        <v>8</v>
      </c>
      <c r="F1387" s="300">
        <v>1.0</v>
      </c>
      <c r="G1387" s="300">
        <v>1.0</v>
      </c>
      <c r="H1387" s="300">
        <v>1.0</v>
      </c>
      <c r="I1387" s="300">
        <v>1.0</v>
      </c>
      <c r="J1387" s="300">
        <v>1.0</v>
      </c>
      <c r="K1387" s="300">
        <v>1.0</v>
      </c>
      <c r="L1387" s="300">
        <v>1.0</v>
      </c>
      <c r="M1387" s="300">
        <v>1.0</v>
      </c>
      <c r="N1387" s="300">
        <v>8.0</v>
      </c>
      <c r="O1387" s="300" t="s">
        <v>850</v>
      </c>
      <c r="P1387" s="300">
        <v>5.0</v>
      </c>
    </row>
    <row r="1388">
      <c r="A1388">
        <f>IFERROR(__xludf.DUMMYFUNCTION("""COMPUTED_VALUE"""),11.0)</f>
        <v>11</v>
      </c>
      <c r="B1388">
        <f>IFERROR(__xludf.DUMMYFUNCTION("""COMPUTED_VALUE"""),27061.0)</f>
        <v>27061</v>
      </c>
      <c r="C1388" t="str">
        <f>IFERROR(__xludf.DUMMYFUNCTION("""COMPUTED_VALUE"""),"MANTILLA LONDOÑO, EMILIO")</f>
        <v>MANTILLA LONDOÑO, EMILIO</v>
      </c>
      <c r="D1388" t="str">
        <f>IFERROR(__xludf.DUMMYFUNCTION("""COMPUTED_VALUE"""),"AP Calculus AB")</f>
        <v>AP Calculus AB</v>
      </c>
      <c r="E1388" s="3">
        <f>IFERROR(__xludf.DUMMYFUNCTION("""COMPUTED_VALUE"""),7.0)</f>
        <v>7</v>
      </c>
      <c r="F1388" s="300">
        <v>1.0</v>
      </c>
      <c r="G1388" s="300">
        <v>1.0</v>
      </c>
      <c r="H1388" s="300">
        <v>1.0</v>
      </c>
      <c r="I1388" s="300">
        <v>1.0</v>
      </c>
      <c r="J1388" s="300">
        <v>1.0</v>
      </c>
      <c r="K1388" s="300">
        <v>1.0</v>
      </c>
      <c r="L1388" s="300">
        <v>1.0</v>
      </c>
      <c r="M1388" s="300">
        <v>1.0</v>
      </c>
      <c r="N1388" s="300">
        <v>8.0</v>
      </c>
      <c r="O1388" s="300" t="s">
        <v>855</v>
      </c>
      <c r="P1388" s="300">
        <v>2.0</v>
      </c>
    </row>
    <row r="1389">
      <c r="A1389">
        <f>IFERROR(__xludf.DUMMYFUNCTION("""COMPUTED_VALUE"""),11.0)</f>
        <v>11</v>
      </c>
      <c r="B1389">
        <f>IFERROR(__xludf.DUMMYFUNCTION("""COMPUTED_VALUE"""),27028.0)</f>
        <v>27028</v>
      </c>
      <c r="C1389" t="str">
        <f>IFERROR(__xludf.DUMMYFUNCTION("""COMPUTED_VALUE"""),"DUQUE LUENGAS, CAROLINA")</f>
        <v>DUQUE LUENGAS, CAROLINA</v>
      </c>
      <c r="D1389" t="str">
        <f>IFERROR(__xludf.DUMMYFUNCTION("""COMPUTED_VALUE"""),"Calculus")</f>
        <v>Calculus</v>
      </c>
      <c r="E1389" s="3">
        <f>IFERROR(__xludf.DUMMYFUNCTION("""COMPUTED_VALUE"""),6.0)</f>
        <v>6</v>
      </c>
      <c r="F1389" s="300">
        <v>1.0</v>
      </c>
      <c r="G1389" s="300">
        <v>1.0</v>
      </c>
      <c r="H1389" s="300">
        <v>1.0</v>
      </c>
      <c r="I1389" s="300">
        <v>1.0</v>
      </c>
      <c r="J1389" s="300">
        <v>1.0</v>
      </c>
      <c r="K1389" s="300">
        <v>1.0</v>
      </c>
      <c r="L1389" s="300">
        <v>1.0</v>
      </c>
      <c r="M1389" s="300">
        <v>1.0</v>
      </c>
      <c r="N1389" s="300">
        <v>8.0</v>
      </c>
      <c r="O1389" s="300" t="s">
        <v>858</v>
      </c>
      <c r="P1389" s="300">
        <v>4.0</v>
      </c>
    </row>
    <row r="1390">
      <c r="A1390">
        <f>IFERROR(__xludf.DUMMYFUNCTION("""COMPUTED_VALUE"""),11.0)</f>
        <v>11</v>
      </c>
      <c r="B1390">
        <f>IFERROR(__xludf.DUMMYFUNCTION("""COMPUTED_VALUE"""),27097.0)</f>
        <v>27097</v>
      </c>
      <c r="C1390" t="str">
        <f>IFERROR(__xludf.DUMMYFUNCTION("""COMPUTED_VALUE"""),"ROBLEDO BETANCOURTH, JUAN FELIPE")</f>
        <v>ROBLEDO BETANCOURTH, JUAN FELIPE</v>
      </c>
      <c r="D1390" t="str">
        <f>IFERROR(__xludf.DUMMYFUNCTION("""COMPUTED_VALUE"""),"AP Calculus AB")</f>
        <v>AP Calculus AB</v>
      </c>
      <c r="E1390" s="3">
        <f>IFERROR(__xludf.DUMMYFUNCTION("""COMPUTED_VALUE"""),2.0)</f>
        <v>2</v>
      </c>
      <c r="F1390" s="300">
        <v>1.0</v>
      </c>
      <c r="G1390" s="300">
        <v>1.0</v>
      </c>
      <c r="H1390" s="300">
        <v>1.0</v>
      </c>
      <c r="I1390" s="300">
        <v>1.0</v>
      </c>
      <c r="J1390" s="300">
        <v>1.0</v>
      </c>
      <c r="K1390" s="300">
        <v>1.0</v>
      </c>
      <c r="L1390" s="300">
        <v>1.0</v>
      </c>
      <c r="M1390" s="300">
        <v>1.0</v>
      </c>
      <c r="N1390" s="300">
        <v>8.0</v>
      </c>
      <c r="O1390" s="300" t="s">
        <v>856</v>
      </c>
      <c r="P1390" s="300">
        <v>2.0</v>
      </c>
    </row>
    <row r="1391">
      <c r="A1391">
        <f>IFERROR(__xludf.DUMMYFUNCTION("""COMPUTED_VALUE"""),11.0)</f>
        <v>11</v>
      </c>
      <c r="B1391">
        <f>IFERROR(__xludf.DUMMYFUNCTION("""COMPUTED_VALUE"""),27116.0)</f>
        <v>27116</v>
      </c>
      <c r="C1391" t="str">
        <f>IFERROR(__xludf.DUMMYFUNCTION("""COMPUTED_VALUE"""),"TRUJILLO CHICA, MANUELA")</f>
        <v>TRUJILLO CHICA, MANUELA</v>
      </c>
      <c r="D1391" t="str">
        <f>IFERROR(__xludf.DUMMYFUNCTION("""COMPUTED_VALUE"""),"AP Precalculus")</f>
        <v>AP Precalculus</v>
      </c>
      <c r="E1391" s="3">
        <f>IFERROR(__xludf.DUMMYFUNCTION("""COMPUTED_VALUE"""),2.0)</f>
        <v>2</v>
      </c>
      <c r="F1391" s="300">
        <v>1.0</v>
      </c>
      <c r="G1391" s="300">
        <v>1.0</v>
      </c>
      <c r="H1391" s="300">
        <v>1.0</v>
      </c>
      <c r="I1391" s="300">
        <v>1.0</v>
      </c>
      <c r="J1391" s="300">
        <v>1.0</v>
      </c>
      <c r="K1391" s="300">
        <v>1.0</v>
      </c>
      <c r="L1391" s="300">
        <v>1.0</v>
      </c>
      <c r="M1391" s="300">
        <v>1.0</v>
      </c>
      <c r="N1391" s="300">
        <v>8.0</v>
      </c>
      <c r="O1391" s="300" t="s">
        <v>846</v>
      </c>
      <c r="P1391" s="300">
        <v>2.0</v>
      </c>
    </row>
    <row r="1392">
      <c r="A1392">
        <f>IFERROR(__xludf.DUMMYFUNCTION("""COMPUTED_VALUE"""),11.0)</f>
        <v>11</v>
      </c>
      <c r="B1392">
        <f>IFERROR(__xludf.DUMMYFUNCTION("""COMPUTED_VALUE"""),27019.0)</f>
        <v>27019</v>
      </c>
      <c r="C1392" t="str">
        <f>IFERROR(__xludf.DUMMYFUNCTION("""COMPUTED_VALUE"""),"BOTERO ESCOBAR, PEDRO")</f>
        <v>BOTERO ESCOBAR, PEDRO</v>
      </c>
      <c r="D1392" t="str">
        <f>IFERROR(__xludf.DUMMYFUNCTION("""COMPUTED_VALUE"""),"Algebra II")</f>
        <v>Algebra II</v>
      </c>
      <c r="E1392" s="3">
        <f>IFERROR(__xludf.DUMMYFUNCTION("""COMPUTED_VALUE"""),3.0)</f>
        <v>3</v>
      </c>
      <c r="F1392" s="300">
        <v>1.0</v>
      </c>
      <c r="G1392" s="300">
        <v>1.0</v>
      </c>
      <c r="H1392" s="300">
        <v>1.0</v>
      </c>
      <c r="I1392" s="300">
        <v>1.0</v>
      </c>
      <c r="J1392" s="300">
        <v>1.0</v>
      </c>
      <c r="K1392" s="300">
        <v>1.0</v>
      </c>
      <c r="L1392" s="300">
        <v>1.0</v>
      </c>
      <c r="M1392" s="300">
        <v>1.0</v>
      </c>
      <c r="N1392" s="300">
        <v>8.0</v>
      </c>
      <c r="O1392" s="300" t="s">
        <v>853</v>
      </c>
      <c r="P1392" s="300">
        <v>5.0</v>
      </c>
    </row>
    <row r="1393">
      <c r="A1393">
        <f>IFERROR(__xludf.DUMMYFUNCTION("""COMPUTED_VALUE"""),11.0)</f>
        <v>11</v>
      </c>
      <c r="B1393">
        <f>IFERROR(__xludf.DUMMYFUNCTION("""COMPUTED_VALUE"""),27052.0)</f>
        <v>27052</v>
      </c>
      <c r="C1393" t="str">
        <f>IFERROR(__xludf.DUMMYFUNCTION("""COMPUTED_VALUE"""),"JARAMILLO CADAVID, GABRIEL")</f>
        <v>JARAMILLO CADAVID, GABRIEL</v>
      </c>
      <c r="D1393" t="str">
        <f>IFERROR(__xludf.DUMMYFUNCTION("""COMPUTED_VALUE"""),"Algebra II")</f>
        <v>Algebra II</v>
      </c>
      <c r="E1393" s="3">
        <f>IFERROR(__xludf.DUMMYFUNCTION("""COMPUTED_VALUE"""),1.0)</f>
        <v>1</v>
      </c>
      <c r="F1393" s="300">
        <v>1.0</v>
      </c>
      <c r="G1393" s="300">
        <v>1.0</v>
      </c>
      <c r="H1393" s="300">
        <v>1.0</v>
      </c>
      <c r="I1393" s="300">
        <v>1.0</v>
      </c>
      <c r="J1393" s="300">
        <v>1.0</v>
      </c>
      <c r="K1393" s="300">
        <v>1.0</v>
      </c>
      <c r="L1393" s="300">
        <v>1.0</v>
      </c>
      <c r="M1393" s="300">
        <v>1.0</v>
      </c>
      <c r="N1393" s="300">
        <v>8.0</v>
      </c>
      <c r="O1393" s="300" t="s">
        <v>852</v>
      </c>
      <c r="P1393" s="300">
        <v>5.0</v>
      </c>
    </row>
    <row r="1394">
      <c r="A1394">
        <f>IFERROR(__xludf.DUMMYFUNCTION("""COMPUTED_VALUE"""),11.0)</f>
        <v>11</v>
      </c>
      <c r="B1394">
        <f>IFERROR(__xludf.DUMMYFUNCTION("""COMPUTED_VALUE"""),27027.0)</f>
        <v>27027</v>
      </c>
      <c r="C1394" t="str">
        <f>IFERROR(__xludf.DUMMYFUNCTION("""COMPUTED_VALUE"""),"DUQUE LOTERO, GREGORIO")</f>
        <v>DUQUE LOTERO, GREGORIO</v>
      </c>
      <c r="D1394" t="str">
        <f>IFERROR(__xludf.DUMMYFUNCTION("""COMPUTED_VALUE"""),"Algebra II")</f>
        <v>Algebra II</v>
      </c>
      <c r="E1394" s="3">
        <f>IFERROR(__xludf.DUMMYFUNCTION("""COMPUTED_VALUE"""),3.0)</f>
        <v>3</v>
      </c>
      <c r="F1394" s="300">
        <v>1.0</v>
      </c>
      <c r="G1394" s="300">
        <v>1.0</v>
      </c>
      <c r="H1394" s="300">
        <v>1.0</v>
      </c>
      <c r="I1394" s="300">
        <v>1.0</v>
      </c>
      <c r="J1394" s="300">
        <v>1.0</v>
      </c>
      <c r="K1394" s="300">
        <v>1.0</v>
      </c>
      <c r="L1394" s="300">
        <v>1.0</v>
      </c>
      <c r="M1394" s="300">
        <v>1.0</v>
      </c>
      <c r="N1394" s="300">
        <v>8.0</v>
      </c>
      <c r="O1394" s="300" t="s">
        <v>853</v>
      </c>
      <c r="P1394" s="300">
        <v>5.0</v>
      </c>
    </row>
    <row r="1395">
      <c r="A1395">
        <f>IFERROR(__xludf.DUMMYFUNCTION("""COMPUTED_VALUE"""),11.0)</f>
        <v>11</v>
      </c>
      <c r="B1395">
        <f>IFERROR(__xludf.DUMMYFUNCTION("""COMPUTED_VALUE"""),27110.0)</f>
        <v>27110</v>
      </c>
      <c r="C1395" t="str">
        <f>IFERROR(__xludf.DUMMYFUNCTION("""COMPUTED_VALUE"""),"TABARES MORENO, PABLO ANDRES")</f>
        <v>TABARES MORENO, PABLO ANDRES</v>
      </c>
      <c r="D1395" t="str">
        <f>IFERROR(__xludf.DUMMYFUNCTION("""COMPUTED_VALUE"""),"Algebra II")</f>
        <v>Algebra II</v>
      </c>
      <c r="E1395" s="3">
        <f>IFERROR(__xludf.DUMMYFUNCTION("""COMPUTED_VALUE"""),5.0)</f>
        <v>5</v>
      </c>
      <c r="F1395" s="300">
        <v>1.0</v>
      </c>
      <c r="G1395" s="300">
        <v>1.0</v>
      </c>
      <c r="H1395" s="300">
        <v>1.0</v>
      </c>
      <c r="I1395" s="300">
        <v>1.0</v>
      </c>
      <c r="J1395" s="300">
        <v>1.0</v>
      </c>
      <c r="K1395" s="300">
        <v>1.0</v>
      </c>
      <c r="L1395" s="300">
        <v>1.0</v>
      </c>
      <c r="M1395" s="300">
        <v>1.0</v>
      </c>
      <c r="N1395" s="300">
        <v>8.0</v>
      </c>
      <c r="O1395" s="300" t="s">
        <v>851</v>
      </c>
      <c r="P1395" s="300">
        <v>5.0</v>
      </c>
    </row>
    <row r="1396">
      <c r="A1396">
        <f>IFERROR(__xludf.DUMMYFUNCTION("""COMPUTED_VALUE"""),11.0)</f>
        <v>11</v>
      </c>
      <c r="B1396">
        <f>IFERROR(__xludf.DUMMYFUNCTION("""COMPUTED_VALUE"""),27026.0)</f>
        <v>27026</v>
      </c>
      <c r="C1396" t="str">
        <f>IFERROR(__xludf.DUMMYFUNCTION("""COMPUTED_VALUE"""),"CORREA MEJIA, AMALIA")</f>
        <v>CORREA MEJIA, AMALIA</v>
      </c>
      <c r="D1396" t="str">
        <f>IFERROR(__xludf.DUMMYFUNCTION("""COMPUTED_VALUE"""),"Algebra II")</f>
        <v>Algebra II</v>
      </c>
      <c r="E1396" s="3">
        <f>IFERROR(__xludf.DUMMYFUNCTION("""COMPUTED_VALUE"""),3.0)</f>
        <v>3</v>
      </c>
      <c r="F1396" s="300">
        <v>1.0</v>
      </c>
      <c r="G1396" s="300">
        <v>1.0</v>
      </c>
      <c r="H1396" s="300">
        <v>1.0</v>
      </c>
      <c r="I1396" s="300">
        <v>1.0</v>
      </c>
      <c r="J1396" s="300">
        <v>1.0</v>
      </c>
      <c r="K1396" s="300">
        <v>1.0</v>
      </c>
      <c r="L1396" s="300">
        <v>1.0</v>
      </c>
      <c r="M1396" s="300">
        <v>1.0</v>
      </c>
      <c r="N1396" s="300">
        <v>8.0</v>
      </c>
      <c r="O1396" s="300" t="s">
        <v>853</v>
      </c>
      <c r="P1396" s="300">
        <v>5.0</v>
      </c>
    </row>
    <row r="1397">
      <c r="A1397">
        <f>IFERROR(__xludf.DUMMYFUNCTION("""COMPUTED_VALUE"""),11.0)</f>
        <v>11</v>
      </c>
      <c r="B1397">
        <f>IFERROR(__xludf.DUMMYFUNCTION("""COMPUTED_VALUE"""),27079.0)</f>
        <v>27079</v>
      </c>
      <c r="C1397" t="str">
        <f>IFERROR(__xludf.DUMMYFUNCTION("""COMPUTED_VALUE"""),"ORTEGA TOBON, ESTEBAN")</f>
        <v>ORTEGA TOBON, ESTEBAN</v>
      </c>
      <c r="D1397" t="str">
        <f>IFERROR(__xludf.DUMMYFUNCTION("""COMPUTED_VALUE"""),"AP Calculus AB")</f>
        <v>AP Calculus AB</v>
      </c>
      <c r="E1397" s="3">
        <f>IFERROR(__xludf.DUMMYFUNCTION("""COMPUTED_VALUE"""),2.0)</f>
        <v>2</v>
      </c>
      <c r="F1397" s="300">
        <v>1.0</v>
      </c>
      <c r="G1397" s="300">
        <v>1.0</v>
      </c>
      <c r="H1397" s="300">
        <v>1.0</v>
      </c>
      <c r="I1397" s="300">
        <v>1.0</v>
      </c>
      <c r="J1397" s="300">
        <v>1.0</v>
      </c>
      <c r="K1397" s="300">
        <v>1.0</v>
      </c>
      <c r="L1397" s="300">
        <v>1.0</v>
      </c>
      <c r="M1397" s="300">
        <v>1.0</v>
      </c>
      <c r="N1397" s="300">
        <v>8.0</v>
      </c>
      <c r="O1397" s="300" t="s">
        <v>856</v>
      </c>
      <c r="P1397" s="300">
        <v>2.0</v>
      </c>
    </row>
    <row r="1398">
      <c r="A1398">
        <f>IFERROR(__xludf.DUMMYFUNCTION("""COMPUTED_VALUE"""),11.0)</f>
        <v>11</v>
      </c>
      <c r="B1398">
        <f>IFERROR(__xludf.DUMMYFUNCTION("""COMPUTED_VALUE"""),27032.0)</f>
        <v>27032</v>
      </c>
      <c r="C1398" t="str">
        <f>IFERROR(__xludf.DUMMYFUNCTION("""COMPUTED_VALUE"""),"ECHEVERRI ZAPATA, MATIAS")</f>
        <v>ECHEVERRI ZAPATA, MATIAS</v>
      </c>
      <c r="D1398" t="str">
        <f>IFERROR(__xludf.DUMMYFUNCTION("""COMPUTED_VALUE"""),"Algebra II")</f>
        <v>Algebra II</v>
      </c>
      <c r="E1398" s="3">
        <f>IFERROR(__xludf.DUMMYFUNCTION("""COMPUTED_VALUE"""),6.0)</f>
        <v>6</v>
      </c>
      <c r="F1398" s="300">
        <v>1.0</v>
      </c>
      <c r="G1398" s="300">
        <v>1.0</v>
      </c>
      <c r="H1398" s="300">
        <v>1.0</v>
      </c>
      <c r="I1398" s="300">
        <v>1.0</v>
      </c>
      <c r="J1398" s="300">
        <v>1.0</v>
      </c>
      <c r="K1398" s="300">
        <v>1.0</v>
      </c>
      <c r="L1398" s="300">
        <v>1.0</v>
      </c>
      <c r="M1398" s="300">
        <v>1.0</v>
      </c>
      <c r="N1398" s="300">
        <v>8.0</v>
      </c>
      <c r="O1398" s="300" t="s">
        <v>854</v>
      </c>
      <c r="P1398" s="300">
        <v>5.0</v>
      </c>
    </row>
    <row r="1399">
      <c r="A1399">
        <f>IFERROR(__xludf.DUMMYFUNCTION("""COMPUTED_VALUE"""),11.0)</f>
        <v>11</v>
      </c>
      <c r="B1399">
        <f>IFERROR(__xludf.DUMMYFUNCTION("""COMPUTED_VALUE"""),27174.0)</f>
        <v>27174</v>
      </c>
      <c r="C1399" t="str">
        <f>IFERROR(__xludf.DUMMYFUNCTION("""COMPUTED_VALUE"""),"GAITAN, LUCIA")</f>
        <v>GAITAN, LUCIA</v>
      </c>
      <c r="D1399" t="str">
        <f>IFERROR(__xludf.DUMMYFUNCTION("""COMPUTED_VALUE"""),"Algebra II")</f>
        <v>Algebra II</v>
      </c>
      <c r="E1399" s="3">
        <f>IFERROR(__xludf.DUMMYFUNCTION("""COMPUTED_VALUE"""),3.0)</f>
        <v>3</v>
      </c>
      <c r="F1399" s="300">
        <v>1.0</v>
      </c>
      <c r="G1399" s="300">
        <v>1.0</v>
      </c>
      <c r="H1399" s="300">
        <v>1.0</v>
      </c>
      <c r="I1399" s="300">
        <v>1.0</v>
      </c>
      <c r="J1399" s="300">
        <v>1.0</v>
      </c>
      <c r="K1399" s="300">
        <v>1.0</v>
      </c>
      <c r="L1399" s="300">
        <v>1.0</v>
      </c>
      <c r="M1399" s="300">
        <v>1.0</v>
      </c>
      <c r="N1399" s="300">
        <v>8.0</v>
      </c>
      <c r="O1399" s="300" t="s">
        <v>853</v>
      </c>
      <c r="P1399" s="300">
        <v>5.0</v>
      </c>
    </row>
    <row r="1400">
      <c r="A1400">
        <f>IFERROR(__xludf.DUMMYFUNCTION("""COMPUTED_VALUE"""),11.0)</f>
        <v>11</v>
      </c>
      <c r="B1400">
        <f>IFERROR(__xludf.DUMMYFUNCTION("""COMPUTED_VALUE"""),27108.0)</f>
        <v>27108</v>
      </c>
      <c r="C1400" t="str">
        <f>IFERROR(__xludf.DUMMYFUNCTION("""COMPUTED_VALUE"""),"SANTAMARIA VILLA, MARCO")</f>
        <v>SANTAMARIA VILLA, MARCO</v>
      </c>
      <c r="D1400" t="str">
        <f>IFERROR(__xludf.DUMMYFUNCTION("""COMPUTED_VALUE"""),"Calculus")</f>
        <v>Calculus</v>
      </c>
      <c r="E1400" s="3">
        <f>IFERROR(__xludf.DUMMYFUNCTION("""COMPUTED_VALUE"""),6.0)</f>
        <v>6</v>
      </c>
      <c r="F1400" s="300">
        <v>1.0</v>
      </c>
      <c r="G1400" s="300">
        <v>1.0</v>
      </c>
      <c r="H1400" s="300">
        <v>1.0</v>
      </c>
      <c r="I1400" s="300">
        <v>1.0</v>
      </c>
      <c r="J1400" s="300">
        <v>1.0</v>
      </c>
      <c r="K1400" s="300">
        <v>1.0</v>
      </c>
      <c r="L1400" s="300">
        <v>1.0</v>
      </c>
      <c r="M1400" s="300">
        <v>1.0</v>
      </c>
      <c r="N1400" s="300">
        <v>8.0</v>
      </c>
      <c r="O1400" s="300" t="s">
        <v>858</v>
      </c>
      <c r="P1400" s="300">
        <v>4.0</v>
      </c>
    </row>
    <row r="1401">
      <c r="A1401">
        <f>IFERROR(__xludf.DUMMYFUNCTION("""COMPUTED_VALUE"""),11.0)</f>
        <v>11</v>
      </c>
      <c r="B1401">
        <f>IFERROR(__xludf.DUMMYFUNCTION("""COMPUTED_VALUE"""),27010.0)</f>
        <v>27010</v>
      </c>
      <c r="C1401" t="str">
        <f>IFERROR(__xludf.DUMMYFUNCTION("""COMPUTED_VALUE"""),"ARRUBLA OSPINA, MANOLO")</f>
        <v>ARRUBLA OSPINA, MANOLO</v>
      </c>
      <c r="D1401" t="str">
        <f>IFERROR(__xludf.DUMMYFUNCTION("""COMPUTED_VALUE"""),"Algebra II")</f>
        <v>Algebra II</v>
      </c>
      <c r="E1401" s="3">
        <f>IFERROR(__xludf.DUMMYFUNCTION("""COMPUTED_VALUE"""),3.0)</f>
        <v>3</v>
      </c>
      <c r="F1401" s="300">
        <v>1.0</v>
      </c>
      <c r="G1401" s="300">
        <v>1.0</v>
      </c>
      <c r="H1401" s="300">
        <v>1.0</v>
      </c>
      <c r="I1401" s="300">
        <v>1.0</v>
      </c>
      <c r="J1401" s="300">
        <v>1.0</v>
      </c>
      <c r="K1401" s="300">
        <v>1.0</v>
      </c>
      <c r="L1401" s="300">
        <v>1.0</v>
      </c>
      <c r="M1401" s="300">
        <v>1.0</v>
      </c>
      <c r="N1401" s="300">
        <v>8.0</v>
      </c>
      <c r="O1401" s="300" t="s">
        <v>853</v>
      </c>
      <c r="P1401" s="300">
        <v>5.0</v>
      </c>
    </row>
    <row r="1402">
      <c r="A1402">
        <f>IFERROR(__xludf.DUMMYFUNCTION("""COMPUTED_VALUE"""),11.0)</f>
        <v>11</v>
      </c>
      <c r="B1402">
        <f>IFERROR(__xludf.DUMMYFUNCTION("""COMPUTED_VALUE"""),27163.0)</f>
        <v>27163</v>
      </c>
      <c r="C1402" t="str">
        <f>IFERROR(__xludf.DUMMYFUNCTION("""COMPUTED_VALUE"""),"NIEHAUS TRUJILLO, ARIANNA DE LOS ANGELES")</f>
        <v>NIEHAUS TRUJILLO, ARIANNA DE LOS ANGELES</v>
      </c>
      <c r="D1402" t="str">
        <f>IFERROR(__xludf.DUMMYFUNCTION("""COMPUTED_VALUE"""),"Calculus")</f>
        <v>Calculus</v>
      </c>
      <c r="E1402" s="3">
        <f>IFERROR(__xludf.DUMMYFUNCTION("""COMPUTED_VALUE"""),5.0)</f>
        <v>5</v>
      </c>
      <c r="F1402" s="300">
        <v>1.0</v>
      </c>
      <c r="G1402" s="300">
        <v>1.0</v>
      </c>
      <c r="H1402" s="300">
        <v>1.0</v>
      </c>
      <c r="I1402" s="300">
        <v>1.0</v>
      </c>
      <c r="J1402" s="300">
        <v>1.0</v>
      </c>
      <c r="K1402" s="300">
        <v>1.0</v>
      </c>
      <c r="L1402" s="300">
        <v>1.0</v>
      </c>
      <c r="M1402" s="300">
        <v>1.0</v>
      </c>
      <c r="N1402" s="300">
        <v>8.0</v>
      </c>
      <c r="O1402" s="300" t="s">
        <v>857</v>
      </c>
      <c r="P1402" s="300">
        <v>4.0</v>
      </c>
    </row>
    <row r="1403">
      <c r="A1403">
        <f>IFERROR(__xludf.DUMMYFUNCTION("""COMPUTED_VALUE"""),11.0)</f>
        <v>11</v>
      </c>
      <c r="B1403">
        <f>IFERROR(__xludf.DUMMYFUNCTION("""COMPUTED_VALUE"""),27141.0)</f>
        <v>27141</v>
      </c>
      <c r="C1403" t="str">
        <f>IFERROR(__xludf.DUMMYFUNCTION("""COMPUTED_VALUE"""),"MEJIA RESTREPO, PABLO")</f>
        <v>MEJIA RESTREPO, PABLO</v>
      </c>
      <c r="D1403" t="str">
        <f>IFERROR(__xludf.DUMMYFUNCTION("""COMPUTED_VALUE"""),"Calculus")</f>
        <v>Calculus</v>
      </c>
      <c r="E1403" s="3">
        <f>IFERROR(__xludf.DUMMYFUNCTION("""COMPUTED_VALUE"""),2.0)</f>
        <v>2</v>
      </c>
      <c r="F1403" s="300">
        <v>1.0</v>
      </c>
      <c r="G1403" s="300">
        <v>1.0</v>
      </c>
      <c r="H1403" s="300">
        <v>1.0</v>
      </c>
      <c r="I1403" s="300">
        <v>1.0</v>
      </c>
      <c r="J1403" s="300">
        <v>1.0</v>
      </c>
      <c r="K1403" s="300">
        <v>1.0</v>
      </c>
      <c r="L1403" s="300">
        <v>1.0</v>
      </c>
      <c r="M1403" s="300">
        <v>1.0</v>
      </c>
      <c r="N1403" s="300">
        <v>8.0</v>
      </c>
      <c r="O1403" s="300" t="s">
        <v>861</v>
      </c>
      <c r="P1403" s="300">
        <v>4.0</v>
      </c>
    </row>
    <row r="1404">
      <c r="A1404">
        <f>IFERROR(__xludf.DUMMYFUNCTION("""COMPUTED_VALUE"""),11.0)</f>
        <v>11</v>
      </c>
      <c r="B1404">
        <f>IFERROR(__xludf.DUMMYFUNCTION("""COMPUTED_VALUE"""),27025.0)</f>
        <v>27025</v>
      </c>
      <c r="C1404" t="str">
        <f>IFERROR(__xludf.DUMMYFUNCTION("""COMPUTED_VALUE"""),"COCK HENAO, MATIAS")</f>
        <v>COCK HENAO, MATIAS</v>
      </c>
      <c r="D1404" t="str">
        <f>IFERROR(__xludf.DUMMYFUNCTION("""COMPUTED_VALUE"""),"AP Calculus AB")</f>
        <v>AP Calculus AB</v>
      </c>
      <c r="E1404" s="3">
        <f>IFERROR(__xludf.DUMMYFUNCTION("""COMPUTED_VALUE"""),7.0)</f>
        <v>7</v>
      </c>
      <c r="F1404" s="300">
        <v>1.0</v>
      </c>
      <c r="G1404" s="300">
        <v>1.0</v>
      </c>
      <c r="H1404" s="300">
        <v>1.0</v>
      </c>
      <c r="I1404" s="300">
        <v>1.0</v>
      </c>
      <c r="J1404" s="300">
        <v>1.0</v>
      </c>
      <c r="K1404" s="300">
        <v>1.0</v>
      </c>
      <c r="L1404" s="300">
        <v>1.0</v>
      </c>
      <c r="M1404" s="300">
        <v>1.0</v>
      </c>
      <c r="N1404" s="300">
        <v>8.0</v>
      </c>
      <c r="O1404" s="300" t="s">
        <v>855</v>
      </c>
      <c r="P1404" s="300">
        <v>2.0</v>
      </c>
    </row>
    <row r="1405">
      <c r="A1405">
        <f>IFERROR(__xludf.DUMMYFUNCTION("""COMPUTED_VALUE"""),11.0)</f>
        <v>11</v>
      </c>
      <c r="B1405">
        <f>IFERROR(__xludf.DUMMYFUNCTION("""COMPUTED_VALUE"""),26009.0)</f>
        <v>26009</v>
      </c>
      <c r="C1405" t="str">
        <f>IFERROR(__xludf.DUMMYFUNCTION("""COMPUTED_VALUE"""),"ARANGO NAVARRO, PEDRO")</f>
        <v>ARANGO NAVARRO, PEDRO</v>
      </c>
      <c r="D1405" t="str">
        <f>IFERROR(__xludf.DUMMYFUNCTION("""COMPUTED_VALUE"""),"Algebra II")</f>
        <v>Algebra II</v>
      </c>
      <c r="E1405" s="3">
        <f>IFERROR(__xludf.DUMMYFUNCTION("""COMPUTED_VALUE"""),8.0)</f>
        <v>8</v>
      </c>
      <c r="F1405" s="300">
        <v>1.0</v>
      </c>
      <c r="G1405" s="300">
        <v>1.0</v>
      </c>
      <c r="H1405" s="300">
        <v>1.0</v>
      </c>
      <c r="I1405" s="300">
        <v>1.0</v>
      </c>
      <c r="J1405" s="300">
        <v>1.0</v>
      </c>
      <c r="K1405" s="300">
        <v>1.0</v>
      </c>
      <c r="L1405" s="300">
        <v>1.0</v>
      </c>
      <c r="M1405" s="300">
        <v>1.0</v>
      </c>
      <c r="N1405" s="300">
        <v>8.0</v>
      </c>
      <c r="O1405" s="300" t="s">
        <v>850</v>
      </c>
      <c r="P1405" s="300">
        <v>5.0</v>
      </c>
    </row>
    <row r="1406">
      <c r="A1406">
        <f>IFERROR(__xludf.DUMMYFUNCTION("""COMPUTED_VALUE"""),11.0)</f>
        <v>11</v>
      </c>
      <c r="B1406">
        <f>IFERROR(__xludf.DUMMYFUNCTION("""COMPUTED_VALUE"""),27077.0)</f>
        <v>27077</v>
      </c>
      <c r="C1406" t="str">
        <f>IFERROR(__xludf.DUMMYFUNCTION("""COMPUTED_VALUE"""),"MORENO MUNERA, MATILDA")</f>
        <v>MORENO MUNERA, MATILDA</v>
      </c>
      <c r="D1406" t="str">
        <f>IFERROR(__xludf.DUMMYFUNCTION("""COMPUTED_VALUE"""),"Algebra II")</f>
        <v>Algebra II</v>
      </c>
      <c r="E1406" s="3">
        <f>IFERROR(__xludf.DUMMYFUNCTION("""COMPUTED_VALUE"""),6.0)</f>
        <v>6</v>
      </c>
      <c r="F1406" s="300">
        <v>1.0</v>
      </c>
      <c r="G1406" s="300">
        <v>1.0</v>
      </c>
      <c r="H1406" s="300">
        <v>1.0</v>
      </c>
      <c r="I1406" s="300">
        <v>1.0</v>
      </c>
      <c r="J1406" s="300">
        <v>1.0</v>
      </c>
      <c r="K1406" s="300">
        <v>1.0</v>
      </c>
      <c r="L1406" s="300">
        <v>1.0</v>
      </c>
      <c r="M1406" s="300">
        <v>1.0</v>
      </c>
      <c r="N1406" s="300">
        <v>8.0</v>
      </c>
      <c r="O1406" s="300" t="s">
        <v>854</v>
      </c>
      <c r="P1406" s="300">
        <v>5.0</v>
      </c>
    </row>
    <row r="1407">
      <c r="A1407">
        <f>IFERROR(__xludf.DUMMYFUNCTION("""COMPUTED_VALUE"""),11.0)</f>
        <v>11</v>
      </c>
      <c r="B1407">
        <f>IFERROR(__xludf.DUMMYFUNCTION("""COMPUTED_VALUE"""),27098.0)</f>
        <v>27098</v>
      </c>
      <c r="C1407" t="str">
        <f>IFERROR(__xludf.DUMMYFUNCTION("""COMPUTED_VALUE"""),"ROJAS LOPEZ, EMILIANA")</f>
        <v>ROJAS LOPEZ, EMILIANA</v>
      </c>
      <c r="D1407" t="str">
        <f>IFERROR(__xludf.DUMMYFUNCTION("""COMPUTED_VALUE"""),"AP Precalculus")</f>
        <v>AP Precalculus</v>
      </c>
      <c r="E1407" s="3">
        <f>IFERROR(__xludf.DUMMYFUNCTION("""COMPUTED_VALUE"""),2.0)</f>
        <v>2</v>
      </c>
      <c r="F1407" s="300">
        <v>1.0</v>
      </c>
      <c r="G1407" s="300">
        <v>1.0</v>
      </c>
      <c r="H1407" s="300">
        <v>1.0</v>
      </c>
      <c r="I1407" s="300">
        <v>1.0</v>
      </c>
      <c r="J1407" s="300">
        <v>1.0</v>
      </c>
      <c r="K1407" s="300">
        <v>1.0</v>
      </c>
      <c r="L1407" s="300">
        <v>1.0</v>
      </c>
      <c r="M1407" s="300">
        <v>1.0</v>
      </c>
      <c r="N1407" s="300">
        <v>8.0</v>
      </c>
      <c r="O1407" s="300" t="s">
        <v>846</v>
      </c>
      <c r="P1407" s="300">
        <v>2.0</v>
      </c>
    </row>
    <row r="1408">
      <c r="A1408">
        <f>IFERROR(__xludf.DUMMYFUNCTION("""COMPUTED_VALUE"""),11.0)</f>
        <v>11</v>
      </c>
      <c r="B1408">
        <f>IFERROR(__xludf.DUMMYFUNCTION("""COMPUTED_VALUE"""),27049.0)</f>
        <v>27049</v>
      </c>
      <c r="C1408" t="str">
        <f>IFERROR(__xludf.DUMMYFUNCTION("""COMPUTED_VALUE"""),"HENAO RESTREPO, ELENA")</f>
        <v>HENAO RESTREPO, ELENA</v>
      </c>
      <c r="D1408" t="str">
        <f>IFERROR(__xludf.DUMMYFUNCTION("""COMPUTED_VALUE"""),"Algebra II")</f>
        <v>Algebra II</v>
      </c>
      <c r="E1408" s="3">
        <f>IFERROR(__xludf.DUMMYFUNCTION("""COMPUTED_VALUE"""),8.0)</f>
        <v>8</v>
      </c>
      <c r="F1408" s="300">
        <v>1.0</v>
      </c>
      <c r="G1408" s="300">
        <v>1.0</v>
      </c>
      <c r="H1408" s="300">
        <v>1.0</v>
      </c>
      <c r="I1408" s="300">
        <v>1.0</v>
      </c>
      <c r="J1408" s="300">
        <v>1.0</v>
      </c>
      <c r="K1408" s="300">
        <v>1.0</v>
      </c>
      <c r="L1408" s="300">
        <v>1.0</v>
      </c>
      <c r="M1408" s="300">
        <v>1.0</v>
      </c>
      <c r="N1408" s="300">
        <v>8.0</v>
      </c>
      <c r="O1408" s="300" t="s">
        <v>850</v>
      </c>
      <c r="P1408" s="300">
        <v>5.0</v>
      </c>
    </row>
    <row r="1409">
      <c r="A1409">
        <f>IFERROR(__xludf.DUMMYFUNCTION("""COMPUTED_VALUE"""),11.0)</f>
        <v>11</v>
      </c>
      <c r="B1409">
        <f>IFERROR(__xludf.DUMMYFUNCTION("""COMPUTED_VALUE"""),27066.0)</f>
        <v>27066</v>
      </c>
      <c r="C1409" t="str">
        <f>IFERROR(__xludf.DUMMYFUNCTION("""COMPUTED_VALUE"""),"MEJIA URIBE, DANIEL")</f>
        <v>MEJIA URIBE, DANIEL</v>
      </c>
      <c r="D1409" t="str">
        <f>IFERROR(__xludf.DUMMYFUNCTION("""COMPUTED_VALUE"""),"Algebra II")</f>
        <v>Algebra II</v>
      </c>
      <c r="E1409" s="3">
        <f>IFERROR(__xludf.DUMMYFUNCTION("""COMPUTED_VALUE"""),6.0)</f>
        <v>6</v>
      </c>
      <c r="F1409" s="300">
        <v>1.0</v>
      </c>
      <c r="G1409" s="300">
        <v>1.0</v>
      </c>
      <c r="H1409" s="300">
        <v>1.0</v>
      </c>
      <c r="I1409" s="300">
        <v>1.0</v>
      </c>
      <c r="J1409" s="300">
        <v>1.0</v>
      </c>
      <c r="K1409" s="300">
        <v>1.0</v>
      </c>
      <c r="L1409" s="300">
        <v>1.0</v>
      </c>
      <c r="M1409" s="300">
        <v>1.0</v>
      </c>
      <c r="N1409" s="300">
        <v>8.0</v>
      </c>
      <c r="O1409" s="300" t="s">
        <v>854</v>
      </c>
      <c r="P1409" s="300">
        <v>5.0</v>
      </c>
    </row>
    <row r="1410">
      <c r="A1410">
        <f>IFERROR(__xludf.DUMMYFUNCTION("""COMPUTED_VALUE"""),11.0)</f>
        <v>11</v>
      </c>
      <c r="B1410">
        <f>IFERROR(__xludf.DUMMYFUNCTION("""COMPUTED_VALUE"""),27123.0)</f>
        <v>27123</v>
      </c>
      <c r="C1410" t="str">
        <f>IFERROR(__xludf.DUMMYFUNCTION("""COMPUTED_VALUE"""),"VELEZ PODESTA, SIMON")</f>
        <v>VELEZ PODESTA, SIMON</v>
      </c>
      <c r="D1410" t="str">
        <f>IFERROR(__xludf.DUMMYFUNCTION("""COMPUTED_VALUE"""),"Algebra II")</f>
        <v>Algebra II</v>
      </c>
      <c r="E1410" s="3">
        <f>IFERROR(__xludf.DUMMYFUNCTION("""COMPUTED_VALUE"""),8.0)</f>
        <v>8</v>
      </c>
      <c r="F1410" s="300">
        <v>1.0</v>
      </c>
      <c r="G1410" s="300">
        <v>1.0</v>
      </c>
      <c r="H1410" s="300">
        <v>1.0</v>
      </c>
      <c r="I1410" s="300">
        <v>1.0</v>
      </c>
      <c r="J1410" s="300">
        <v>1.0</v>
      </c>
      <c r="K1410" s="300">
        <v>1.0</v>
      </c>
      <c r="L1410" s="300">
        <v>1.0</v>
      </c>
      <c r="M1410" s="300">
        <v>1.0</v>
      </c>
      <c r="N1410" s="300">
        <v>8.0</v>
      </c>
      <c r="O1410" s="300" t="s">
        <v>850</v>
      </c>
      <c r="P1410" s="300">
        <v>5.0</v>
      </c>
    </row>
    <row r="1411">
      <c r="A1411">
        <f>IFERROR(__xludf.DUMMYFUNCTION("""COMPUTED_VALUE"""),11.0)</f>
        <v>11</v>
      </c>
      <c r="B1411">
        <f>IFERROR(__xludf.DUMMYFUNCTION("""COMPUTED_VALUE"""),27109.0)</f>
        <v>27109</v>
      </c>
      <c r="C1411" t="str">
        <f>IFERROR(__xludf.DUMMYFUNCTION("""COMPUTED_VALUE"""),"SIERRA TIRADO, PEDRO")</f>
        <v>SIERRA TIRADO, PEDRO</v>
      </c>
      <c r="D1411" t="str">
        <f>IFERROR(__xludf.DUMMYFUNCTION("""COMPUTED_VALUE"""),"AP Calculus AB")</f>
        <v>AP Calculus AB</v>
      </c>
      <c r="E1411" s="3">
        <f>IFERROR(__xludf.DUMMYFUNCTION("""COMPUTED_VALUE"""),7.0)</f>
        <v>7</v>
      </c>
      <c r="F1411" s="300">
        <v>1.0</v>
      </c>
      <c r="G1411" s="300">
        <v>1.0</v>
      </c>
      <c r="H1411" s="300">
        <v>1.0</v>
      </c>
      <c r="I1411" s="300">
        <v>1.0</v>
      </c>
      <c r="J1411" s="300">
        <v>1.0</v>
      </c>
      <c r="K1411" s="300">
        <v>1.0</v>
      </c>
      <c r="L1411" s="300">
        <v>1.0</v>
      </c>
      <c r="M1411" s="300">
        <v>1.0</v>
      </c>
      <c r="N1411" s="300">
        <v>8.0</v>
      </c>
      <c r="O1411" s="300" t="s">
        <v>855</v>
      </c>
      <c r="P1411" s="300">
        <v>2.0</v>
      </c>
    </row>
    <row r="1412">
      <c r="A1412">
        <f>IFERROR(__xludf.DUMMYFUNCTION("""COMPUTED_VALUE"""),11.0)</f>
        <v>11</v>
      </c>
      <c r="B1412">
        <f>IFERROR(__xludf.DUMMYFUNCTION("""COMPUTED_VALUE"""),27005.0)</f>
        <v>27005</v>
      </c>
      <c r="C1412" t="str">
        <f>IFERROR(__xludf.DUMMYFUNCTION("""COMPUTED_VALUE"""),"ANGEL MESA, EMILIO")</f>
        <v>ANGEL MESA, EMILIO</v>
      </c>
      <c r="D1412" t="str">
        <f>IFERROR(__xludf.DUMMYFUNCTION("""COMPUTED_VALUE"""),"AP Calculus AB")</f>
        <v>AP Calculus AB</v>
      </c>
      <c r="E1412" s="3">
        <f>IFERROR(__xludf.DUMMYFUNCTION("""COMPUTED_VALUE"""),2.0)</f>
        <v>2</v>
      </c>
      <c r="F1412" s="300">
        <v>1.0</v>
      </c>
      <c r="G1412" s="300">
        <v>1.0</v>
      </c>
      <c r="H1412" s="300">
        <v>1.0</v>
      </c>
      <c r="I1412" s="300">
        <v>1.0</v>
      </c>
      <c r="J1412" s="300">
        <v>1.0</v>
      </c>
      <c r="K1412" s="300">
        <v>1.0</v>
      </c>
      <c r="L1412" s="300">
        <v>1.0</v>
      </c>
      <c r="M1412" s="300">
        <v>1.0</v>
      </c>
      <c r="N1412" s="300">
        <v>8.0</v>
      </c>
      <c r="O1412" s="300" t="s">
        <v>856</v>
      </c>
      <c r="P1412" s="300">
        <v>2.0</v>
      </c>
    </row>
    <row r="1413">
      <c r="A1413">
        <f>IFERROR(__xludf.DUMMYFUNCTION("""COMPUTED_VALUE"""),11.0)</f>
        <v>11</v>
      </c>
      <c r="B1413">
        <f>IFERROR(__xludf.DUMMYFUNCTION("""COMPUTED_VALUE"""),27111.0)</f>
        <v>27111</v>
      </c>
      <c r="C1413" t="str">
        <f>IFERROR(__xludf.DUMMYFUNCTION("""COMPUTED_VALUE"""),"TOBON PEÑALOZA, MARTIN")</f>
        <v>TOBON PEÑALOZA, MARTIN</v>
      </c>
      <c r="D1413" t="str">
        <f>IFERROR(__xludf.DUMMYFUNCTION("""COMPUTED_VALUE"""),"Algebra II")</f>
        <v>Algebra II</v>
      </c>
      <c r="E1413" s="3">
        <f>IFERROR(__xludf.DUMMYFUNCTION("""COMPUTED_VALUE"""),8.0)</f>
        <v>8</v>
      </c>
      <c r="F1413" s="300">
        <v>1.0</v>
      </c>
      <c r="G1413" s="300">
        <v>1.0</v>
      </c>
      <c r="H1413" s="300">
        <v>1.0</v>
      </c>
      <c r="I1413" s="300">
        <v>1.0</v>
      </c>
      <c r="J1413" s="300">
        <v>1.0</v>
      </c>
      <c r="K1413" s="300">
        <v>1.0</v>
      </c>
      <c r="L1413" s="300">
        <v>1.0</v>
      </c>
      <c r="M1413" s="300">
        <v>1.0</v>
      </c>
      <c r="N1413" s="300">
        <v>8.0</v>
      </c>
      <c r="O1413" s="300" t="s">
        <v>850</v>
      </c>
      <c r="P1413" s="300">
        <v>5.0</v>
      </c>
    </row>
    <row r="1414">
      <c r="A1414">
        <f>IFERROR(__xludf.DUMMYFUNCTION("""COMPUTED_VALUE"""),11.0)</f>
        <v>11</v>
      </c>
      <c r="B1414">
        <f>IFERROR(__xludf.DUMMYFUNCTION("""COMPUTED_VALUE"""),27164.0)</f>
        <v>27164</v>
      </c>
      <c r="C1414" t="str">
        <f>IFERROR(__xludf.DUMMYFUNCTION("""COMPUTED_VALUE"""),"JARAMILLO URIBE, MAR")</f>
        <v>JARAMILLO URIBE, MAR</v>
      </c>
      <c r="D1414" t="str">
        <f>IFERROR(__xludf.DUMMYFUNCTION("""COMPUTED_VALUE"""),"Algebra II")</f>
        <v>Algebra II</v>
      </c>
      <c r="E1414" s="3">
        <f>IFERROR(__xludf.DUMMYFUNCTION("""COMPUTED_VALUE"""),8.0)</f>
        <v>8</v>
      </c>
      <c r="F1414" s="300">
        <v>1.0</v>
      </c>
      <c r="G1414" s="300">
        <v>1.0</v>
      </c>
      <c r="H1414" s="300">
        <v>1.0</v>
      </c>
      <c r="I1414" s="300">
        <v>1.0</v>
      </c>
      <c r="J1414" s="300">
        <v>1.0</v>
      </c>
      <c r="K1414" s="300">
        <v>1.0</v>
      </c>
      <c r="L1414" s="300">
        <v>1.0</v>
      </c>
      <c r="M1414" s="300">
        <v>1.0</v>
      </c>
      <c r="N1414" s="300">
        <v>8.0</v>
      </c>
      <c r="O1414" s="300" t="s">
        <v>850</v>
      </c>
      <c r="P1414" s="300">
        <v>5.0</v>
      </c>
    </row>
    <row r="1415">
      <c r="A1415">
        <f>IFERROR(__xludf.DUMMYFUNCTION("""COMPUTED_VALUE"""),11.0)</f>
        <v>11</v>
      </c>
      <c r="B1415">
        <f>IFERROR(__xludf.DUMMYFUNCTION("""COMPUTED_VALUE"""),27037.0)</f>
        <v>27037</v>
      </c>
      <c r="C1415" t="str">
        <f>IFERROR(__xludf.DUMMYFUNCTION("""COMPUTED_VALUE"""),"GALEANO SALAZAR, SARA")</f>
        <v>GALEANO SALAZAR, SARA</v>
      </c>
      <c r="D1415" t="str">
        <f>IFERROR(__xludf.DUMMYFUNCTION("""COMPUTED_VALUE"""),"Algebra II")</f>
        <v>Algebra II</v>
      </c>
      <c r="E1415" s="3">
        <f>IFERROR(__xludf.DUMMYFUNCTION("""COMPUTED_VALUE"""),3.0)</f>
        <v>3</v>
      </c>
      <c r="F1415" s="300">
        <v>1.0</v>
      </c>
      <c r="G1415" s="300">
        <v>1.0</v>
      </c>
      <c r="H1415" s="300">
        <v>1.0</v>
      </c>
      <c r="I1415" s="300">
        <v>1.0</v>
      </c>
      <c r="J1415" s="300">
        <v>1.0</v>
      </c>
      <c r="K1415" s="300">
        <v>1.0</v>
      </c>
      <c r="L1415" s="300">
        <v>1.0</v>
      </c>
      <c r="M1415" s="300">
        <v>1.0</v>
      </c>
      <c r="N1415" s="300">
        <v>8.0</v>
      </c>
      <c r="O1415" s="300" t="s">
        <v>853</v>
      </c>
      <c r="P1415" s="300">
        <v>5.0</v>
      </c>
    </row>
    <row r="1416">
      <c r="A1416">
        <f>IFERROR(__xludf.DUMMYFUNCTION("""COMPUTED_VALUE"""),12.0)</f>
        <v>12</v>
      </c>
      <c r="B1416">
        <f>IFERROR(__xludf.DUMMYFUNCTION("""COMPUTED_VALUE"""),25084.0)</f>
        <v>25084</v>
      </c>
      <c r="C1416" t="str">
        <f>IFERROR(__xludf.DUMMYFUNCTION("""COMPUTED_VALUE"""),"PELAEZ KLINKERT, ALICIA")</f>
        <v>PELAEZ KLINKERT, ALICIA</v>
      </c>
      <c r="D1416" t="str">
        <f>IFERROR(__xludf.DUMMYFUNCTION("""COMPUTED_VALUE"""),"Financial Math")</f>
        <v>Financial Math</v>
      </c>
      <c r="E1416" s="3">
        <f>IFERROR(__xludf.DUMMYFUNCTION("""COMPUTED_VALUE"""),5.0)</f>
        <v>5</v>
      </c>
      <c r="F1416" s="300">
        <v>1.0</v>
      </c>
      <c r="G1416" s="300">
        <v>1.0</v>
      </c>
      <c r="H1416" s="300">
        <v>1.0</v>
      </c>
      <c r="I1416" s="300">
        <v>1.0</v>
      </c>
      <c r="J1416" s="300">
        <v>1.0</v>
      </c>
      <c r="K1416" s="300">
        <v>1.0</v>
      </c>
      <c r="L1416" s="300">
        <v>1.0</v>
      </c>
      <c r="M1416" s="300">
        <v>1.0</v>
      </c>
      <c r="N1416" s="300">
        <v>8.0</v>
      </c>
      <c r="O1416" s="300" t="s">
        <v>862</v>
      </c>
      <c r="P1416" s="300">
        <v>3.0</v>
      </c>
    </row>
    <row r="1417">
      <c r="A1417">
        <f>IFERROR(__xludf.DUMMYFUNCTION("""COMPUTED_VALUE"""),12.0)</f>
        <v>12</v>
      </c>
      <c r="B1417">
        <f>IFERROR(__xludf.DUMMYFUNCTION("""COMPUTED_VALUE"""),26105.0)</f>
        <v>26105</v>
      </c>
      <c r="C1417" t="str">
        <f>IFERROR(__xludf.DUMMYFUNCTION("""COMPUTED_VALUE"""),"ROJAS LONDOÑO, SARA")</f>
        <v>ROJAS LONDOÑO, SARA</v>
      </c>
      <c r="D1417" t="str">
        <f>IFERROR(__xludf.DUMMYFUNCTION("""COMPUTED_VALUE"""),"Financial Math")</f>
        <v>Financial Math</v>
      </c>
      <c r="E1417" s="3">
        <f>IFERROR(__xludf.DUMMYFUNCTION("""COMPUTED_VALUE"""),5.0)</f>
        <v>5</v>
      </c>
      <c r="F1417" s="300">
        <v>1.0</v>
      </c>
      <c r="G1417" s="300">
        <v>1.0</v>
      </c>
      <c r="H1417" s="300">
        <v>1.0</v>
      </c>
      <c r="I1417" s="300">
        <v>1.0</v>
      </c>
      <c r="J1417" s="300">
        <v>1.0</v>
      </c>
      <c r="K1417" s="300">
        <v>1.0</v>
      </c>
      <c r="L1417" s="300">
        <v>1.0</v>
      </c>
      <c r="M1417" s="300">
        <v>1.0</v>
      </c>
      <c r="N1417" s="300">
        <v>8.0</v>
      </c>
      <c r="O1417" s="300" t="s">
        <v>862</v>
      </c>
      <c r="P1417" s="300">
        <v>3.0</v>
      </c>
    </row>
    <row r="1418">
      <c r="A1418">
        <f>IFERROR(__xludf.DUMMYFUNCTION("""COMPUTED_VALUE"""),12.0)</f>
        <v>12</v>
      </c>
      <c r="B1418">
        <f>IFERROR(__xludf.DUMMYFUNCTION("""COMPUTED_VALUE"""),26046.0)</f>
        <v>26046</v>
      </c>
      <c r="C1418" t="str">
        <f>IFERROR(__xludf.DUMMYFUNCTION("""COMPUTED_VALUE"""),"HENAO GARZON, NICOLAS")</f>
        <v>HENAO GARZON, NICOLAS</v>
      </c>
      <c r="D1418" t="str">
        <f>IFERROR(__xludf.DUMMYFUNCTION("""COMPUTED_VALUE"""),"AP Calculus BC")</f>
        <v>AP Calculus BC</v>
      </c>
      <c r="E1418" s="3">
        <f>IFERROR(__xludf.DUMMYFUNCTION("""COMPUTED_VALUE"""),3.0)</f>
        <v>3</v>
      </c>
      <c r="F1418" s="300">
        <v>1.0</v>
      </c>
      <c r="G1418" s="300">
        <v>1.0</v>
      </c>
      <c r="H1418" s="300">
        <v>1.0</v>
      </c>
      <c r="I1418" s="300">
        <v>1.0</v>
      </c>
      <c r="J1418" s="300">
        <v>1.0</v>
      </c>
      <c r="K1418" s="300">
        <v>1.0</v>
      </c>
      <c r="L1418" s="300">
        <v>1.0</v>
      </c>
      <c r="M1418" s="300">
        <v>1.0</v>
      </c>
      <c r="N1418" s="300">
        <v>8.0</v>
      </c>
      <c r="O1418" s="300" t="s">
        <v>863</v>
      </c>
      <c r="P1418" s="300">
        <v>1.0</v>
      </c>
    </row>
    <row r="1419">
      <c r="A1419">
        <f>IFERROR(__xludf.DUMMYFUNCTION("""COMPUTED_VALUE"""),12.0)</f>
        <v>12</v>
      </c>
      <c r="B1419">
        <f>IFERROR(__xludf.DUMMYFUNCTION("""COMPUTED_VALUE"""),26165.0)</f>
        <v>26165</v>
      </c>
      <c r="C1419" t="str">
        <f>IFERROR(__xludf.DUMMYFUNCTION("""COMPUTED_VALUE"""),"BURKHALTER, ISAAC STEPHEN")</f>
        <v>BURKHALTER, ISAAC STEPHEN</v>
      </c>
      <c r="D1419" t="str">
        <f>IFERROR(__xludf.DUMMYFUNCTION("""COMPUTED_VALUE"""),"Calculus")</f>
        <v>Calculus</v>
      </c>
      <c r="E1419" s="3">
        <f>IFERROR(__xludf.DUMMYFUNCTION("""COMPUTED_VALUE"""),1.0)</f>
        <v>1</v>
      </c>
      <c r="F1419" s="300">
        <v>1.0</v>
      </c>
      <c r="G1419" s="300">
        <v>1.0</v>
      </c>
      <c r="H1419" s="300">
        <v>1.0</v>
      </c>
      <c r="I1419" s="300">
        <v>1.0</v>
      </c>
      <c r="J1419" s="300">
        <v>1.0</v>
      </c>
      <c r="K1419" s="300">
        <v>1.0</v>
      </c>
      <c r="L1419" s="300">
        <v>1.0</v>
      </c>
      <c r="M1419" s="300">
        <v>1.0</v>
      </c>
      <c r="N1419" s="300">
        <v>8.0</v>
      </c>
      <c r="O1419" s="300" t="s">
        <v>859</v>
      </c>
      <c r="P1419" s="300">
        <v>4.0</v>
      </c>
    </row>
    <row r="1420">
      <c r="A1420">
        <f>IFERROR(__xludf.DUMMYFUNCTION("""COMPUTED_VALUE"""),12.0)</f>
        <v>12</v>
      </c>
      <c r="B1420">
        <f>IFERROR(__xludf.DUMMYFUNCTION("""COMPUTED_VALUE"""),26120.0)</f>
        <v>26120</v>
      </c>
      <c r="C1420" t="str">
        <f>IFERROR(__xludf.DUMMYFUNCTION("""COMPUTED_VALUE"""),"VERGARA ROZO, JERONIMO")</f>
        <v>VERGARA ROZO, JERONIMO</v>
      </c>
      <c r="D1420" t="str">
        <f>IFERROR(__xludf.DUMMYFUNCTION("""COMPUTED_VALUE"""),"AP Calculus BC")</f>
        <v>AP Calculus BC</v>
      </c>
      <c r="E1420" s="3">
        <f>IFERROR(__xludf.DUMMYFUNCTION("""COMPUTED_VALUE"""),3.0)</f>
        <v>3</v>
      </c>
      <c r="F1420" s="300">
        <v>1.0</v>
      </c>
      <c r="G1420" s="300">
        <v>1.0</v>
      </c>
      <c r="H1420" s="300">
        <v>1.0</v>
      </c>
      <c r="I1420" s="300">
        <v>1.0</v>
      </c>
      <c r="J1420" s="300">
        <v>1.0</v>
      </c>
      <c r="K1420" s="300">
        <v>1.0</v>
      </c>
      <c r="L1420" s="300">
        <v>1.0</v>
      </c>
      <c r="M1420" s="300">
        <v>1.0</v>
      </c>
      <c r="N1420" s="300">
        <v>8.0</v>
      </c>
      <c r="O1420" s="300" t="s">
        <v>863</v>
      </c>
      <c r="P1420" s="300">
        <v>1.0</v>
      </c>
    </row>
    <row r="1421">
      <c r="A1421">
        <f>IFERROR(__xludf.DUMMYFUNCTION("""COMPUTED_VALUE"""),12.0)</f>
        <v>12</v>
      </c>
      <c r="B1421">
        <f>IFERROR(__xludf.DUMMYFUNCTION("""COMPUTED_VALUE"""),26130.0)</f>
        <v>26130</v>
      </c>
      <c r="C1421" t="str">
        <f>IFERROR(__xludf.DUMMYFUNCTION("""COMPUTED_VALUE"""),"IBAÑEZ MONTOYA, DANIEL")</f>
        <v>IBAÑEZ MONTOYA, DANIEL</v>
      </c>
      <c r="D1421" t="str">
        <f>IFERROR(__xludf.DUMMYFUNCTION("""COMPUTED_VALUE"""),"AP Calculus AB")</f>
        <v>AP Calculus AB</v>
      </c>
      <c r="E1421" s="3">
        <f>IFERROR(__xludf.DUMMYFUNCTION("""COMPUTED_VALUE"""),7.0)</f>
        <v>7</v>
      </c>
      <c r="F1421" s="300">
        <v>1.0</v>
      </c>
      <c r="G1421" s="300">
        <v>1.0</v>
      </c>
      <c r="H1421" s="300">
        <v>1.0</v>
      </c>
      <c r="I1421" s="300">
        <v>1.0</v>
      </c>
      <c r="J1421" s="300">
        <v>1.0</v>
      </c>
      <c r="K1421" s="300">
        <v>1.0</v>
      </c>
      <c r="L1421" s="300">
        <v>1.0</v>
      </c>
      <c r="M1421" s="300">
        <v>1.0</v>
      </c>
      <c r="N1421" s="300">
        <v>8.0</v>
      </c>
      <c r="O1421" s="300" t="s">
        <v>855</v>
      </c>
      <c r="P1421" s="300">
        <v>2.0</v>
      </c>
    </row>
    <row r="1422">
      <c r="A1422">
        <f>IFERROR(__xludf.DUMMYFUNCTION("""COMPUTED_VALUE"""),12.0)</f>
        <v>12</v>
      </c>
      <c r="B1422">
        <f>IFERROR(__xludf.DUMMYFUNCTION("""COMPUTED_VALUE"""),26117.0)</f>
        <v>26117</v>
      </c>
      <c r="C1422" t="str">
        <f>IFERROR(__xludf.DUMMYFUNCTION("""COMPUTED_VALUE"""),"VELEZ RESTREPO, LUCAS")</f>
        <v>VELEZ RESTREPO, LUCAS</v>
      </c>
      <c r="D1422" t="str">
        <f>IFERROR(__xludf.DUMMYFUNCTION("""COMPUTED_VALUE"""),"Calculus")</f>
        <v>Calculus</v>
      </c>
      <c r="E1422" s="3">
        <f>IFERROR(__xludf.DUMMYFUNCTION("""COMPUTED_VALUE"""),6.0)</f>
        <v>6</v>
      </c>
      <c r="F1422" s="300">
        <v>1.0</v>
      </c>
      <c r="G1422" s="300">
        <v>1.0</v>
      </c>
      <c r="H1422" s="300">
        <v>1.0</v>
      </c>
      <c r="I1422" s="300">
        <v>1.0</v>
      </c>
      <c r="J1422" s="300">
        <v>1.0</v>
      </c>
      <c r="K1422" s="300">
        <v>1.0</v>
      </c>
      <c r="L1422" s="300">
        <v>1.0</v>
      </c>
      <c r="M1422" s="300">
        <v>1.0</v>
      </c>
      <c r="N1422" s="300">
        <v>8.0</v>
      </c>
      <c r="O1422" s="300" t="s">
        <v>858</v>
      </c>
      <c r="P1422" s="300">
        <v>4.0</v>
      </c>
    </row>
    <row r="1423">
      <c r="A1423">
        <f>IFERROR(__xludf.DUMMYFUNCTION("""COMPUTED_VALUE"""),12.0)</f>
        <v>12</v>
      </c>
      <c r="B1423">
        <f>IFERROR(__xludf.DUMMYFUNCTION("""COMPUTED_VALUE"""),26168.0)</f>
        <v>26168</v>
      </c>
      <c r="C1423" t="str">
        <f>IFERROR(__xludf.DUMMYFUNCTION("""COMPUTED_VALUE"""),"NARANJO ARANA, LETICIA")</f>
        <v>NARANJO ARANA, LETICIA</v>
      </c>
      <c r="D1423" t="str">
        <f>IFERROR(__xludf.DUMMYFUNCTION("""COMPUTED_VALUE"""),"Calculus")</f>
        <v>Calculus</v>
      </c>
      <c r="E1423" s="3">
        <f>IFERROR(__xludf.DUMMYFUNCTION("""COMPUTED_VALUE"""),5.0)</f>
        <v>5</v>
      </c>
      <c r="F1423" s="300">
        <v>1.0</v>
      </c>
      <c r="G1423" s="300">
        <v>1.0</v>
      </c>
      <c r="H1423" s="300">
        <v>1.0</v>
      </c>
      <c r="I1423" s="300">
        <v>1.0</v>
      </c>
      <c r="J1423" s="300">
        <v>1.0</v>
      </c>
      <c r="K1423" s="300">
        <v>1.0</v>
      </c>
      <c r="L1423" s="300">
        <v>1.0</v>
      </c>
      <c r="M1423" s="300">
        <v>1.0</v>
      </c>
      <c r="N1423" s="300">
        <v>8.0</v>
      </c>
      <c r="O1423" s="300" t="s">
        <v>857</v>
      </c>
      <c r="P1423" s="300">
        <v>4.0</v>
      </c>
    </row>
    <row r="1424">
      <c r="A1424">
        <f>IFERROR(__xludf.DUMMYFUNCTION("""COMPUTED_VALUE"""),12.0)</f>
        <v>12</v>
      </c>
      <c r="B1424">
        <f>IFERROR(__xludf.DUMMYFUNCTION("""COMPUTED_VALUE"""),26156.0)</f>
        <v>26156</v>
      </c>
      <c r="C1424" t="str">
        <f>IFERROR(__xludf.DUMMYFUNCTION("""COMPUTED_VALUE"""),"CORTES CARDONA, MARIANA")</f>
        <v>CORTES CARDONA, MARIANA</v>
      </c>
      <c r="D1424" t="str">
        <f>IFERROR(__xludf.DUMMYFUNCTION("""COMPUTED_VALUE"""),"Calculus")</f>
        <v>Calculus</v>
      </c>
      <c r="E1424" s="3">
        <f>IFERROR(__xludf.DUMMYFUNCTION("""COMPUTED_VALUE"""),6.0)</f>
        <v>6</v>
      </c>
      <c r="F1424" s="300">
        <v>1.0</v>
      </c>
      <c r="G1424" s="300">
        <v>1.0</v>
      </c>
      <c r="H1424" s="300">
        <v>1.0</v>
      </c>
      <c r="I1424" s="300">
        <v>1.0</v>
      </c>
      <c r="J1424" s="300">
        <v>1.0</v>
      </c>
      <c r="K1424" s="300">
        <v>1.0</v>
      </c>
      <c r="L1424" s="300">
        <v>1.0</v>
      </c>
      <c r="M1424" s="300">
        <v>1.0</v>
      </c>
      <c r="N1424" s="300">
        <v>8.0</v>
      </c>
      <c r="O1424" s="300" t="s">
        <v>858</v>
      </c>
      <c r="P1424" s="300">
        <v>4.0</v>
      </c>
    </row>
    <row r="1425">
      <c r="A1425">
        <f>IFERROR(__xludf.DUMMYFUNCTION("""COMPUTED_VALUE"""),12.0)</f>
        <v>12</v>
      </c>
      <c r="B1425">
        <f>IFERROR(__xludf.DUMMYFUNCTION("""COMPUTED_VALUE"""),26127.0)</f>
        <v>26127</v>
      </c>
      <c r="C1425" t="str">
        <f>IFERROR(__xludf.DUMMYFUNCTION("""COMPUTED_VALUE"""),"ZULOAGA AYUB, CAMILA")</f>
        <v>ZULOAGA AYUB, CAMILA</v>
      </c>
      <c r="D1425" t="str">
        <f>IFERROR(__xludf.DUMMYFUNCTION("""COMPUTED_VALUE"""),"Calculus")</f>
        <v>Calculus</v>
      </c>
      <c r="E1425" s="3">
        <f>IFERROR(__xludf.DUMMYFUNCTION("""COMPUTED_VALUE"""),5.0)</f>
        <v>5</v>
      </c>
      <c r="F1425" s="300">
        <v>1.0</v>
      </c>
      <c r="G1425" s="300">
        <v>1.0</v>
      </c>
      <c r="H1425" s="300">
        <v>1.0</v>
      </c>
      <c r="I1425" s="300">
        <v>1.0</v>
      </c>
      <c r="J1425" s="300">
        <v>1.0</v>
      </c>
      <c r="K1425" s="300">
        <v>1.0</v>
      </c>
      <c r="L1425" s="300">
        <v>1.0</v>
      </c>
      <c r="M1425" s="300">
        <v>1.0</v>
      </c>
      <c r="N1425" s="300">
        <v>8.0</v>
      </c>
      <c r="O1425" s="300" t="s">
        <v>857</v>
      </c>
      <c r="P1425" s="300">
        <v>4.0</v>
      </c>
    </row>
    <row r="1426">
      <c r="A1426">
        <f>IFERROR(__xludf.DUMMYFUNCTION("""COMPUTED_VALUE"""),12.0)</f>
        <v>12</v>
      </c>
      <c r="B1426">
        <f>IFERROR(__xludf.DUMMYFUNCTION("""COMPUTED_VALUE"""),26099.0)</f>
        <v>26099</v>
      </c>
      <c r="C1426" t="str">
        <f>IFERROR(__xludf.DUMMYFUNCTION("""COMPUTED_VALUE"""),"RESTREPO RESTREPO, MAXIMILIANO")</f>
        <v>RESTREPO RESTREPO, MAXIMILIANO</v>
      </c>
      <c r="D1426" t="str">
        <f>IFERROR(__xludf.DUMMYFUNCTION("""COMPUTED_VALUE"""),"Calculus")</f>
        <v>Calculus</v>
      </c>
      <c r="E1426" s="3">
        <f>IFERROR(__xludf.DUMMYFUNCTION("""COMPUTED_VALUE"""),6.0)</f>
        <v>6</v>
      </c>
      <c r="F1426" s="300">
        <v>1.0</v>
      </c>
      <c r="G1426" s="300">
        <v>1.0</v>
      </c>
      <c r="H1426" s="300">
        <v>1.0</v>
      </c>
      <c r="I1426" s="300">
        <v>1.0</v>
      </c>
      <c r="J1426" s="300">
        <v>1.0</v>
      </c>
      <c r="K1426" s="300">
        <v>1.0</v>
      </c>
      <c r="L1426" s="300">
        <v>1.0</v>
      </c>
      <c r="M1426" s="300">
        <v>1.0</v>
      </c>
      <c r="N1426" s="300">
        <v>8.0</v>
      </c>
      <c r="O1426" s="300" t="s">
        <v>858</v>
      </c>
      <c r="P1426" s="300">
        <v>4.0</v>
      </c>
    </row>
    <row r="1427">
      <c r="A1427">
        <f>IFERROR(__xludf.DUMMYFUNCTION("""COMPUTED_VALUE"""),12.0)</f>
        <v>12</v>
      </c>
      <c r="B1427">
        <f>IFERROR(__xludf.DUMMYFUNCTION("""COMPUTED_VALUE"""),26043.0)</f>
        <v>26043</v>
      </c>
      <c r="C1427" t="str">
        <f>IFERROR(__xludf.DUMMYFUNCTION("""COMPUTED_VALUE"""),"GONZALEZ MARIN, MATIAS")</f>
        <v>GONZALEZ MARIN, MATIAS</v>
      </c>
      <c r="D1427" t="str">
        <f>IFERROR(__xludf.DUMMYFUNCTION("""COMPUTED_VALUE"""),"AP Statistics")</f>
        <v>AP Statistics</v>
      </c>
      <c r="E1427" s="3">
        <f>IFERROR(__xludf.DUMMYFUNCTION("""COMPUTED_VALUE"""),7.0)</f>
        <v>7</v>
      </c>
      <c r="F1427" s="300">
        <v>1.0</v>
      </c>
      <c r="G1427" s="300">
        <v>1.0</v>
      </c>
      <c r="H1427" s="300">
        <v>1.0</v>
      </c>
      <c r="I1427" s="300">
        <v>1.0</v>
      </c>
      <c r="J1427" s="300">
        <v>1.0</v>
      </c>
      <c r="K1427" s="300">
        <v>1.0</v>
      </c>
      <c r="L1427" s="300">
        <v>1.0</v>
      </c>
      <c r="M1427" s="300">
        <v>1.0</v>
      </c>
      <c r="N1427" s="300">
        <v>8.0</v>
      </c>
      <c r="O1427" s="300" t="s">
        <v>860</v>
      </c>
      <c r="P1427" s="300">
        <v>1.0</v>
      </c>
    </row>
    <row r="1428">
      <c r="A1428">
        <f>IFERROR(__xludf.DUMMYFUNCTION("""COMPUTED_VALUE"""),12.0)</f>
        <v>12</v>
      </c>
      <c r="B1428">
        <f>IFERROR(__xludf.DUMMYFUNCTION("""COMPUTED_VALUE"""),26081.0)</f>
        <v>26081</v>
      </c>
      <c r="C1428" t="str">
        <f>IFERROR(__xludf.DUMMYFUNCTION("""COMPUTED_VALUE"""),"OLAYA CARDENAS, SAMUEL")</f>
        <v>OLAYA CARDENAS, SAMUEL</v>
      </c>
      <c r="D1428" t="str">
        <f>IFERROR(__xludf.DUMMYFUNCTION("""COMPUTED_VALUE"""),"Calculus")</f>
        <v>Calculus</v>
      </c>
      <c r="E1428" s="3">
        <f>IFERROR(__xludf.DUMMYFUNCTION("""COMPUTED_VALUE"""),1.0)</f>
        <v>1</v>
      </c>
      <c r="F1428" s="300">
        <v>1.0</v>
      </c>
      <c r="G1428" s="300">
        <v>1.0</v>
      </c>
      <c r="H1428" s="300">
        <v>1.0</v>
      </c>
      <c r="I1428" s="300">
        <v>1.0</v>
      </c>
      <c r="J1428" s="300">
        <v>1.0</v>
      </c>
      <c r="K1428" s="300">
        <v>1.0</v>
      </c>
      <c r="L1428" s="300">
        <v>1.0</v>
      </c>
      <c r="M1428" s="300">
        <v>1.0</v>
      </c>
      <c r="N1428" s="300">
        <v>8.0</v>
      </c>
      <c r="O1428" s="300" t="s">
        <v>859</v>
      </c>
      <c r="P1428" s="300">
        <v>4.0</v>
      </c>
    </row>
    <row r="1429">
      <c r="A1429">
        <f>IFERROR(__xludf.DUMMYFUNCTION("""COMPUTED_VALUE"""),12.0)</f>
        <v>12</v>
      </c>
      <c r="B1429">
        <f>IFERROR(__xludf.DUMMYFUNCTION("""COMPUTED_VALUE"""),26115.0)</f>
        <v>26115</v>
      </c>
      <c r="C1429" t="str">
        <f>IFERROR(__xludf.DUMMYFUNCTION("""COMPUTED_VALUE"""),"VELASQUEZ URIBE, JOSE MANUEL")</f>
        <v>VELASQUEZ URIBE, JOSE MANUEL</v>
      </c>
      <c r="D1429" t="str">
        <f>IFERROR(__xludf.DUMMYFUNCTION("""COMPUTED_VALUE"""),"Calculus")</f>
        <v>Calculus</v>
      </c>
      <c r="E1429" s="3">
        <f>IFERROR(__xludf.DUMMYFUNCTION("""COMPUTED_VALUE"""),6.0)</f>
        <v>6</v>
      </c>
      <c r="F1429" s="300">
        <v>1.0</v>
      </c>
      <c r="G1429" s="300">
        <v>1.0</v>
      </c>
      <c r="H1429" s="300">
        <v>1.0</v>
      </c>
      <c r="I1429" s="300">
        <v>1.0</v>
      </c>
      <c r="J1429" s="300">
        <v>1.0</v>
      </c>
      <c r="K1429" s="300">
        <v>1.0</v>
      </c>
      <c r="L1429" s="300">
        <v>1.0</v>
      </c>
      <c r="M1429" s="300">
        <v>1.0</v>
      </c>
      <c r="N1429" s="300">
        <v>8.0</v>
      </c>
      <c r="O1429" s="300" t="s">
        <v>858</v>
      </c>
      <c r="P1429" s="300">
        <v>4.0</v>
      </c>
    </row>
    <row r="1430">
      <c r="A1430">
        <f>IFERROR(__xludf.DUMMYFUNCTION("""COMPUTED_VALUE"""),12.0)</f>
        <v>12</v>
      </c>
      <c r="B1430">
        <f>IFERROR(__xludf.DUMMYFUNCTION("""COMPUTED_VALUE"""),26069.0)</f>
        <v>26069</v>
      </c>
      <c r="C1430" t="str">
        <f>IFERROR(__xludf.DUMMYFUNCTION("""COMPUTED_VALUE"""),"MANTILLA DURANGO, VALERIA")</f>
        <v>MANTILLA DURANGO, VALERIA</v>
      </c>
      <c r="D1430" t="str">
        <f>IFERROR(__xludf.DUMMYFUNCTION("""COMPUTED_VALUE"""),"Financial Math")</f>
        <v>Financial Math</v>
      </c>
      <c r="E1430" s="3">
        <f>IFERROR(__xludf.DUMMYFUNCTION("""COMPUTED_VALUE"""),7.0)</f>
        <v>7</v>
      </c>
      <c r="F1430" s="300">
        <v>1.0</v>
      </c>
      <c r="G1430" s="300">
        <v>1.0</v>
      </c>
      <c r="H1430" s="300">
        <v>1.0</v>
      </c>
      <c r="I1430" s="300">
        <v>1.0</v>
      </c>
      <c r="J1430" s="300">
        <v>1.0</v>
      </c>
      <c r="K1430" s="300">
        <v>1.0</v>
      </c>
      <c r="L1430" s="300">
        <v>1.0</v>
      </c>
      <c r="M1430" s="300">
        <v>1.0</v>
      </c>
      <c r="N1430" s="300">
        <v>8.0</v>
      </c>
      <c r="O1430" s="300" t="s">
        <v>864</v>
      </c>
      <c r="P1430" s="300">
        <v>3.0</v>
      </c>
    </row>
    <row r="1431">
      <c r="A1431">
        <f>IFERROR(__xludf.DUMMYFUNCTION("""COMPUTED_VALUE"""),12.0)</f>
        <v>12</v>
      </c>
      <c r="B1431">
        <f>IFERROR(__xludf.DUMMYFUNCTION("""COMPUTED_VALUE"""),26103.0)</f>
        <v>26103</v>
      </c>
      <c r="C1431" t="str">
        <f>IFERROR(__xludf.DUMMYFUNCTION("""COMPUTED_VALUE"""),"RODRIGUEZ OSORIO, JERONIMO")</f>
        <v>RODRIGUEZ OSORIO, JERONIMO</v>
      </c>
      <c r="D1431" t="str">
        <f>IFERROR(__xludf.DUMMYFUNCTION("""COMPUTED_VALUE"""),"Calculus")</f>
        <v>Calculus</v>
      </c>
      <c r="E1431" s="3">
        <f>IFERROR(__xludf.DUMMYFUNCTION("""COMPUTED_VALUE"""),5.0)</f>
        <v>5</v>
      </c>
      <c r="F1431" s="300">
        <v>1.0</v>
      </c>
      <c r="G1431" s="300">
        <v>1.0</v>
      </c>
      <c r="H1431" s="300">
        <v>1.0</v>
      </c>
      <c r="I1431" s="300">
        <v>1.0</v>
      </c>
      <c r="J1431" s="300">
        <v>1.0</v>
      </c>
      <c r="K1431" s="300">
        <v>1.0</v>
      </c>
      <c r="L1431" s="300">
        <v>1.0</v>
      </c>
      <c r="M1431" s="300">
        <v>1.0</v>
      </c>
      <c r="N1431" s="300">
        <v>8.0</v>
      </c>
      <c r="O1431" s="300" t="s">
        <v>857</v>
      </c>
      <c r="P1431" s="300">
        <v>4.0</v>
      </c>
    </row>
    <row r="1432">
      <c r="A1432">
        <f>IFERROR(__xludf.DUMMYFUNCTION("""COMPUTED_VALUE"""),12.0)</f>
        <v>12</v>
      </c>
      <c r="B1432">
        <f>IFERROR(__xludf.DUMMYFUNCTION("""COMPUTED_VALUE"""),26163.0)</f>
        <v>26163</v>
      </c>
      <c r="C1432" t="str">
        <f>IFERROR(__xludf.DUMMYFUNCTION("""COMPUTED_VALUE"""),"SALAS VELEZ, AMELIA")</f>
        <v>SALAS VELEZ, AMELIA</v>
      </c>
      <c r="D1432" t="str">
        <f>IFERROR(__xludf.DUMMYFUNCTION("""COMPUTED_VALUE"""),"Financial Math")</f>
        <v>Financial Math</v>
      </c>
      <c r="E1432" s="3">
        <f>IFERROR(__xludf.DUMMYFUNCTION("""COMPUTED_VALUE"""),7.0)</f>
        <v>7</v>
      </c>
      <c r="F1432" s="300">
        <v>1.0</v>
      </c>
      <c r="G1432" s="300">
        <v>1.0</v>
      </c>
      <c r="H1432" s="300">
        <v>1.0</v>
      </c>
      <c r="I1432" s="300">
        <v>1.0</v>
      </c>
      <c r="J1432" s="300">
        <v>1.0</v>
      </c>
      <c r="K1432" s="300">
        <v>1.0</v>
      </c>
      <c r="L1432" s="300">
        <v>1.0</v>
      </c>
      <c r="M1432" s="300">
        <v>1.0</v>
      </c>
      <c r="N1432" s="300">
        <v>8.0</v>
      </c>
      <c r="O1432" s="300" t="s">
        <v>864</v>
      </c>
      <c r="P1432" s="300">
        <v>3.0</v>
      </c>
    </row>
    <row r="1433">
      <c r="A1433">
        <f>IFERROR(__xludf.DUMMYFUNCTION("""COMPUTED_VALUE"""),12.0)</f>
        <v>12</v>
      </c>
      <c r="B1433">
        <f>IFERROR(__xludf.DUMMYFUNCTION("""COMPUTED_VALUE"""),26118.0)</f>
        <v>26118</v>
      </c>
      <c r="C1433" t="str">
        <f>IFERROR(__xludf.DUMMYFUNCTION("""COMPUTED_VALUE"""),"VELEZ ZAPATA, MANUELA")</f>
        <v>VELEZ ZAPATA, MANUELA</v>
      </c>
      <c r="D1433" t="str">
        <f>IFERROR(__xludf.DUMMYFUNCTION("""COMPUTED_VALUE"""),"AP Statistics")</f>
        <v>AP Statistics</v>
      </c>
      <c r="E1433" s="3">
        <f>IFERROR(__xludf.DUMMYFUNCTION("""COMPUTED_VALUE"""),7.0)</f>
        <v>7</v>
      </c>
      <c r="F1433" s="300">
        <v>1.0</v>
      </c>
      <c r="G1433" s="300">
        <v>1.0</v>
      </c>
      <c r="H1433" s="300">
        <v>1.0</v>
      </c>
      <c r="I1433" s="300">
        <v>1.0</v>
      </c>
      <c r="J1433" s="300">
        <v>1.0</v>
      </c>
      <c r="K1433" s="300">
        <v>1.0</v>
      </c>
      <c r="L1433" s="300">
        <v>1.0</v>
      </c>
      <c r="M1433" s="300">
        <v>1.0</v>
      </c>
      <c r="N1433" s="300">
        <v>8.0</v>
      </c>
      <c r="O1433" s="300" t="s">
        <v>860</v>
      </c>
      <c r="P1433" s="300">
        <v>1.0</v>
      </c>
    </row>
    <row r="1434">
      <c r="A1434">
        <f>IFERROR(__xludf.DUMMYFUNCTION("""COMPUTED_VALUE"""),12.0)</f>
        <v>12</v>
      </c>
      <c r="B1434">
        <f>IFERROR(__xludf.DUMMYFUNCTION("""COMPUTED_VALUE"""),26112.0)</f>
        <v>26112</v>
      </c>
      <c r="C1434" t="str">
        <f>IFERROR(__xludf.DUMMYFUNCTION("""COMPUTED_VALUE"""),"URIBE FERNANDEZ, ANDRES")</f>
        <v>URIBE FERNANDEZ, ANDRES</v>
      </c>
      <c r="D1434" t="str">
        <f>IFERROR(__xludf.DUMMYFUNCTION("""COMPUTED_VALUE"""),"Calculus")</f>
        <v>Calculus</v>
      </c>
      <c r="E1434" s="3">
        <f>IFERROR(__xludf.DUMMYFUNCTION("""COMPUTED_VALUE"""),1.0)</f>
        <v>1</v>
      </c>
      <c r="F1434" s="300">
        <v>1.0</v>
      </c>
      <c r="G1434" s="300">
        <v>1.0</v>
      </c>
      <c r="H1434" s="300">
        <v>1.0</v>
      </c>
      <c r="I1434" s="300">
        <v>1.0</v>
      </c>
      <c r="J1434" s="300">
        <v>1.0</v>
      </c>
      <c r="K1434" s="300">
        <v>1.0</v>
      </c>
      <c r="L1434" s="300">
        <v>1.0</v>
      </c>
      <c r="M1434" s="300">
        <v>1.0</v>
      </c>
      <c r="N1434" s="300">
        <v>8.0</v>
      </c>
      <c r="O1434" s="300" t="s">
        <v>859</v>
      </c>
      <c r="P1434" s="300">
        <v>4.0</v>
      </c>
    </row>
    <row r="1435">
      <c r="A1435">
        <f>IFERROR(__xludf.DUMMYFUNCTION("""COMPUTED_VALUE"""),12.0)</f>
        <v>12</v>
      </c>
      <c r="B1435">
        <f>IFERROR(__xludf.DUMMYFUNCTION("""COMPUTED_VALUE"""),26006.0)</f>
        <v>26006</v>
      </c>
      <c r="C1435" t="str">
        <f>IFERROR(__xludf.DUMMYFUNCTION("""COMPUTED_VALUE"""),"AMAR JARAMILLO, NICHOLAS")</f>
        <v>AMAR JARAMILLO, NICHOLAS</v>
      </c>
      <c r="D1435" t="str">
        <f>IFERROR(__xludf.DUMMYFUNCTION("""COMPUTED_VALUE"""),"Calculus")</f>
        <v>Calculus</v>
      </c>
      <c r="E1435" s="3">
        <f>IFERROR(__xludf.DUMMYFUNCTION("""COMPUTED_VALUE"""),1.0)</f>
        <v>1</v>
      </c>
      <c r="F1435" s="300">
        <v>1.0</v>
      </c>
      <c r="G1435" s="300">
        <v>1.0</v>
      </c>
      <c r="H1435" s="300">
        <v>1.0</v>
      </c>
      <c r="I1435" s="300">
        <v>1.0</v>
      </c>
      <c r="J1435" s="300">
        <v>1.0</v>
      </c>
      <c r="K1435" s="300">
        <v>1.0</v>
      </c>
      <c r="L1435" s="300">
        <v>1.0</v>
      </c>
      <c r="M1435" s="300">
        <v>1.0</v>
      </c>
      <c r="N1435" s="300">
        <v>8.0</v>
      </c>
      <c r="O1435" s="300" t="s">
        <v>859</v>
      </c>
      <c r="P1435" s="300">
        <v>4.0</v>
      </c>
    </row>
    <row r="1436">
      <c r="A1436">
        <f>IFERROR(__xludf.DUMMYFUNCTION("""COMPUTED_VALUE"""),12.0)</f>
        <v>12</v>
      </c>
      <c r="B1436">
        <f>IFERROR(__xludf.DUMMYFUNCTION("""COMPUTED_VALUE"""),26034.0)</f>
        <v>26034</v>
      </c>
      <c r="C1436" t="str">
        <f>IFERROR(__xludf.DUMMYFUNCTION("""COMPUTED_VALUE"""),"GARCIA CORREA, MARIA CLARA")</f>
        <v>GARCIA CORREA, MARIA CLARA</v>
      </c>
      <c r="D1436" t="str">
        <f>IFERROR(__xludf.DUMMYFUNCTION("""COMPUTED_VALUE"""),"Calculus")</f>
        <v>Calculus</v>
      </c>
      <c r="E1436" s="3">
        <f>IFERROR(__xludf.DUMMYFUNCTION("""COMPUTED_VALUE"""),1.0)</f>
        <v>1</v>
      </c>
      <c r="F1436" s="300">
        <v>1.0</v>
      </c>
      <c r="G1436" s="300">
        <v>1.0</v>
      </c>
      <c r="H1436" s="300">
        <v>1.0</v>
      </c>
      <c r="I1436" s="300">
        <v>1.0</v>
      </c>
      <c r="J1436" s="300">
        <v>1.0</v>
      </c>
      <c r="K1436" s="300">
        <v>1.0</v>
      </c>
      <c r="L1436" s="300">
        <v>1.0</v>
      </c>
      <c r="M1436" s="300">
        <v>1.0</v>
      </c>
      <c r="N1436" s="300">
        <v>8.0</v>
      </c>
      <c r="O1436" s="300" t="s">
        <v>859</v>
      </c>
      <c r="P1436" s="300">
        <v>4.0</v>
      </c>
    </row>
    <row r="1437">
      <c r="A1437">
        <f>IFERROR(__xludf.DUMMYFUNCTION("""COMPUTED_VALUE"""),12.0)</f>
        <v>12</v>
      </c>
      <c r="B1437">
        <f>IFERROR(__xludf.DUMMYFUNCTION("""COMPUTED_VALUE"""),26028.0)</f>
        <v>26028</v>
      </c>
      <c r="C1437" t="str">
        <f>IFERROR(__xludf.DUMMYFUNCTION("""COMPUTED_VALUE"""),"ESCOBAR BURGOS, SANTIAGO")</f>
        <v>ESCOBAR BURGOS, SANTIAGO</v>
      </c>
      <c r="D1437" t="str">
        <f>IFERROR(__xludf.DUMMYFUNCTION("""COMPUTED_VALUE"""),"Calculus")</f>
        <v>Calculus</v>
      </c>
      <c r="E1437" s="3">
        <f>IFERROR(__xludf.DUMMYFUNCTION("""COMPUTED_VALUE"""),2.0)</f>
        <v>2</v>
      </c>
      <c r="F1437" s="300">
        <v>1.0</v>
      </c>
      <c r="G1437" s="300">
        <v>1.0</v>
      </c>
      <c r="H1437" s="300">
        <v>1.0</v>
      </c>
      <c r="I1437" s="300">
        <v>1.0</v>
      </c>
      <c r="J1437" s="300">
        <v>1.0</v>
      </c>
      <c r="K1437" s="300">
        <v>1.0</v>
      </c>
      <c r="L1437" s="300">
        <v>1.0</v>
      </c>
      <c r="M1437" s="300">
        <v>1.0</v>
      </c>
      <c r="N1437" s="300">
        <v>8.0</v>
      </c>
      <c r="O1437" s="300" t="s">
        <v>861</v>
      </c>
      <c r="P1437" s="300">
        <v>4.0</v>
      </c>
    </row>
    <row r="1438">
      <c r="A1438">
        <f>IFERROR(__xludf.DUMMYFUNCTION("""COMPUTED_VALUE"""),12.0)</f>
        <v>12</v>
      </c>
      <c r="B1438">
        <f>IFERROR(__xludf.DUMMYFUNCTION("""COMPUTED_VALUE"""),26049.0)</f>
        <v>26049</v>
      </c>
      <c r="C1438" t="str">
        <f>IFERROR(__xludf.DUMMYFUNCTION("""COMPUTED_VALUE"""),"HERRERA GOMEZ, MIGUEL")</f>
        <v>HERRERA GOMEZ, MIGUEL</v>
      </c>
      <c r="D1438" t="str">
        <f>IFERROR(__xludf.DUMMYFUNCTION("""COMPUTED_VALUE"""),"Calculus")</f>
        <v>Calculus</v>
      </c>
      <c r="E1438" s="3">
        <f>IFERROR(__xludf.DUMMYFUNCTION("""COMPUTED_VALUE"""),6.0)</f>
        <v>6</v>
      </c>
      <c r="F1438" s="300">
        <v>1.0</v>
      </c>
      <c r="G1438" s="300">
        <v>1.0</v>
      </c>
      <c r="H1438" s="300">
        <v>1.0</v>
      </c>
      <c r="I1438" s="300">
        <v>1.0</v>
      </c>
      <c r="J1438" s="300">
        <v>1.0</v>
      </c>
      <c r="K1438" s="300">
        <v>1.0</v>
      </c>
      <c r="L1438" s="300">
        <v>1.0</v>
      </c>
      <c r="M1438" s="300">
        <v>1.0</v>
      </c>
      <c r="N1438" s="300">
        <v>8.0</v>
      </c>
      <c r="O1438" s="300" t="s">
        <v>858</v>
      </c>
      <c r="P1438" s="300">
        <v>4.0</v>
      </c>
    </row>
    <row r="1439">
      <c r="A1439">
        <f>IFERROR(__xludf.DUMMYFUNCTION("""COMPUTED_VALUE"""),12.0)</f>
        <v>12</v>
      </c>
      <c r="B1439">
        <f>IFERROR(__xludf.DUMMYFUNCTION("""COMPUTED_VALUE"""),26044.0)</f>
        <v>26044</v>
      </c>
      <c r="C1439" t="str">
        <f>IFERROR(__xludf.DUMMYFUNCTION("""COMPUTED_VALUE"""),"GONZALEZ NAVARRO, MIGUEL")</f>
        <v>GONZALEZ NAVARRO, MIGUEL</v>
      </c>
      <c r="D1439" t="str">
        <f>IFERROR(__xludf.DUMMYFUNCTION("""COMPUTED_VALUE"""),"Calculus")</f>
        <v>Calculus</v>
      </c>
      <c r="E1439" s="3">
        <f>IFERROR(__xludf.DUMMYFUNCTION("""COMPUTED_VALUE"""),5.0)</f>
        <v>5</v>
      </c>
      <c r="F1439" s="300">
        <v>1.0</v>
      </c>
      <c r="G1439" s="300">
        <v>1.0</v>
      </c>
      <c r="H1439" s="300">
        <v>1.0</v>
      </c>
      <c r="I1439" s="300">
        <v>1.0</v>
      </c>
      <c r="J1439" s="300">
        <v>1.0</v>
      </c>
      <c r="K1439" s="300">
        <v>1.0</v>
      </c>
      <c r="L1439" s="300">
        <v>1.0</v>
      </c>
      <c r="M1439" s="300">
        <v>1.0</v>
      </c>
      <c r="N1439" s="300">
        <v>8.0</v>
      </c>
      <c r="O1439" s="300" t="s">
        <v>857</v>
      </c>
      <c r="P1439" s="300">
        <v>4.0</v>
      </c>
    </row>
    <row r="1440">
      <c r="A1440">
        <f>IFERROR(__xludf.DUMMYFUNCTION("""COMPUTED_VALUE"""),12.0)</f>
        <v>12</v>
      </c>
      <c r="B1440">
        <f>IFERROR(__xludf.DUMMYFUNCTION("""COMPUTED_VALUE"""),26056.0)</f>
        <v>26056</v>
      </c>
      <c r="C1440" t="str">
        <f>IFERROR(__xludf.DUMMYFUNCTION("""COMPUTED_VALUE"""),"ISAZA VELASQUEZ, SALOME")</f>
        <v>ISAZA VELASQUEZ, SALOME</v>
      </c>
      <c r="D1440" t="str">
        <f>IFERROR(__xludf.DUMMYFUNCTION("""COMPUTED_VALUE"""),"AP Calculus BC")</f>
        <v>AP Calculus BC</v>
      </c>
      <c r="E1440" s="3">
        <f>IFERROR(__xludf.DUMMYFUNCTION("""COMPUTED_VALUE"""),3.0)</f>
        <v>3</v>
      </c>
      <c r="F1440" s="300">
        <v>1.0</v>
      </c>
      <c r="G1440" s="300">
        <v>1.0</v>
      </c>
      <c r="H1440" s="300">
        <v>1.0</v>
      </c>
      <c r="I1440" s="300">
        <v>1.0</v>
      </c>
      <c r="J1440" s="300">
        <v>1.0</v>
      </c>
      <c r="K1440" s="300">
        <v>1.0</v>
      </c>
      <c r="L1440" s="300">
        <v>1.0</v>
      </c>
      <c r="M1440" s="300">
        <v>1.0</v>
      </c>
      <c r="N1440" s="300">
        <v>8.0</v>
      </c>
      <c r="O1440" s="300" t="s">
        <v>863</v>
      </c>
      <c r="P1440" s="300">
        <v>1.0</v>
      </c>
    </row>
    <row r="1441">
      <c r="A1441">
        <f>IFERROR(__xludf.DUMMYFUNCTION("""COMPUTED_VALUE"""),12.0)</f>
        <v>12</v>
      </c>
      <c r="B1441">
        <f>IFERROR(__xludf.DUMMYFUNCTION("""COMPUTED_VALUE"""),26001.0)</f>
        <v>26001</v>
      </c>
      <c r="C1441" t="str">
        <f>IFERROR(__xludf.DUMMYFUNCTION("""COMPUTED_VALUE"""),"AARON VASQUEZ, MARIA DEL MAR")</f>
        <v>AARON VASQUEZ, MARIA DEL MAR</v>
      </c>
      <c r="D1441" t="str">
        <f>IFERROR(__xludf.DUMMYFUNCTION("""COMPUTED_VALUE"""),"Financial Math")</f>
        <v>Financial Math</v>
      </c>
      <c r="E1441" s="3">
        <f>IFERROR(__xludf.DUMMYFUNCTION("""COMPUTED_VALUE"""),7.0)</f>
        <v>7</v>
      </c>
      <c r="F1441" s="300">
        <v>1.0</v>
      </c>
      <c r="G1441" s="300">
        <v>1.0</v>
      </c>
      <c r="H1441" s="300">
        <v>1.0</v>
      </c>
      <c r="I1441" s="300">
        <v>1.0</v>
      </c>
      <c r="J1441" s="300">
        <v>1.0</v>
      </c>
      <c r="K1441" s="300">
        <v>1.0</v>
      </c>
      <c r="L1441" s="300">
        <v>1.0</v>
      </c>
      <c r="M1441" s="300">
        <v>1.0</v>
      </c>
      <c r="N1441" s="300">
        <v>8.0</v>
      </c>
      <c r="O1441" s="300" t="s">
        <v>864</v>
      </c>
      <c r="P1441" s="300">
        <v>3.0</v>
      </c>
    </row>
    <row r="1442">
      <c r="A1442">
        <f>IFERROR(__xludf.DUMMYFUNCTION("""COMPUTED_VALUE"""),12.0)</f>
        <v>12</v>
      </c>
      <c r="B1442">
        <f>IFERROR(__xludf.DUMMYFUNCTION("""COMPUTED_VALUE"""),26038.0)</f>
        <v>26038</v>
      </c>
      <c r="C1442" t="str">
        <f>IFERROR(__xludf.DUMMYFUNCTION("""COMPUTED_VALUE"""),"GOMEZ LALINDE, SARA")</f>
        <v>GOMEZ LALINDE, SARA</v>
      </c>
      <c r="D1442" t="str">
        <f>IFERROR(__xludf.DUMMYFUNCTION("""COMPUTED_VALUE"""),"Calculus")</f>
        <v>Calculus</v>
      </c>
      <c r="E1442" s="3">
        <f>IFERROR(__xludf.DUMMYFUNCTION("""COMPUTED_VALUE"""),2.0)</f>
        <v>2</v>
      </c>
      <c r="F1442" s="300">
        <v>1.0</v>
      </c>
      <c r="G1442" s="300">
        <v>1.0</v>
      </c>
      <c r="H1442" s="300">
        <v>1.0</v>
      </c>
      <c r="I1442" s="300">
        <v>1.0</v>
      </c>
      <c r="J1442" s="300">
        <v>1.0</v>
      </c>
      <c r="K1442" s="300">
        <v>1.0</v>
      </c>
      <c r="L1442" s="300">
        <v>1.0</v>
      </c>
      <c r="M1442" s="300">
        <v>1.0</v>
      </c>
      <c r="N1442" s="300">
        <v>8.0</v>
      </c>
      <c r="O1442" s="300" t="s">
        <v>861</v>
      </c>
      <c r="P1442" s="300">
        <v>4.0</v>
      </c>
    </row>
    <row r="1443">
      <c r="A1443">
        <f>IFERROR(__xludf.DUMMYFUNCTION("""COMPUTED_VALUE"""),12.0)</f>
        <v>12</v>
      </c>
      <c r="B1443">
        <f>IFERROR(__xludf.DUMMYFUNCTION("""COMPUTED_VALUE"""),26088.0)</f>
        <v>26088</v>
      </c>
      <c r="C1443" t="str">
        <f>IFERROR(__xludf.DUMMYFUNCTION("""COMPUTED_VALUE"""),"PEREZ ECHAVARRIA, SAMUEL")</f>
        <v>PEREZ ECHAVARRIA, SAMUEL</v>
      </c>
      <c r="D1443" t="str">
        <f>IFERROR(__xludf.DUMMYFUNCTION("""COMPUTED_VALUE"""),"Calculus")</f>
        <v>Calculus</v>
      </c>
      <c r="E1443" s="3">
        <f>IFERROR(__xludf.DUMMYFUNCTION("""COMPUTED_VALUE"""),5.0)</f>
        <v>5</v>
      </c>
      <c r="F1443" s="300">
        <v>1.0</v>
      </c>
      <c r="G1443" s="300">
        <v>1.0</v>
      </c>
      <c r="H1443" s="300">
        <v>1.0</v>
      </c>
      <c r="I1443" s="300">
        <v>1.0</v>
      </c>
      <c r="J1443" s="300">
        <v>1.0</v>
      </c>
      <c r="K1443" s="300">
        <v>1.0</v>
      </c>
      <c r="L1443" s="300">
        <v>1.0</v>
      </c>
      <c r="M1443" s="300">
        <v>1.0</v>
      </c>
      <c r="N1443" s="300">
        <v>8.0</v>
      </c>
      <c r="O1443" s="300" t="s">
        <v>857</v>
      </c>
      <c r="P1443" s="300">
        <v>4.0</v>
      </c>
    </row>
    <row r="1444">
      <c r="A1444">
        <f>IFERROR(__xludf.DUMMYFUNCTION("""COMPUTED_VALUE"""),12.0)</f>
        <v>12</v>
      </c>
      <c r="B1444">
        <f>IFERROR(__xludf.DUMMYFUNCTION("""COMPUTED_VALUE"""),26010.0)</f>
        <v>26010</v>
      </c>
      <c r="C1444" t="str">
        <f>IFERROR(__xludf.DUMMYFUNCTION("""COMPUTED_VALUE"""),"ARISTIZABAL BOLIVAR, JUAN JOSE")</f>
        <v>ARISTIZABAL BOLIVAR, JUAN JOSE</v>
      </c>
      <c r="D1444" t="str">
        <f>IFERROR(__xludf.DUMMYFUNCTION("""COMPUTED_VALUE"""),"Calculus")</f>
        <v>Calculus</v>
      </c>
      <c r="E1444" s="3">
        <f>IFERROR(__xludf.DUMMYFUNCTION("""COMPUTED_VALUE"""),1.0)</f>
        <v>1</v>
      </c>
      <c r="F1444" s="300">
        <v>1.0</v>
      </c>
      <c r="G1444" s="300">
        <v>1.0</v>
      </c>
      <c r="H1444" s="300">
        <v>1.0</v>
      </c>
      <c r="I1444" s="300">
        <v>1.0</v>
      </c>
      <c r="J1444" s="300">
        <v>1.0</v>
      </c>
      <c r="K1444" s="300">
        <v>1.0</v>
      </c>
      <c r="L1444" s="300">
        <v>1.0</v>
      </c>
      <c r="M1444" s="300">
        <v>1.0</v>
      </c>
      <c r="N1444" s="300">
        <v>8.0</v>
      </c>
      <c r="O1444" s="300" t="s">
        <v>859</v>
      </c>
      <c r="P1444" s="300">
        <v>4.0</v>
      </c>
    </row>
    <row r="1445">
      <c r="A1445">
        <f>IFERROR(__xludf.DUMMYFUNCTION("""COMPUTED_VALUE"""),12.0)</f>
        <v>12</v>
      </c>
      <c r="B1445">
        <f>IFERROR(__xludf.DUMMYFUNCTION("""COMPUTED_VALUE"""),26077.0)</f>
        <v>26077</v>
      </c>
      <c r="C1445" t="str">
        <f>IFERROR(__xludf.DUMMYFUNCTION("""COMPUTED_VALUE"""),"MORENO RESTREPO, PEDRO JUAN")</f>
        <v>MORENO RESTREPO, PEDRO JUAN</v>
      </c>
      <c r="D1445" t="str">
        <f>IFERROR(__xludf.DUMMYFUNCTION("""COMPUTED_VALUE"""),"AP Calculus AB")</f>
        <v>AP Calculus AB</v>
      </c>
      <c r="E1445" s="3">
        <f>IFERROR(__xludf.DUMMYFUNCTION("""COMPUTED_VALUE"""),7.0)</f>
        <v>7</v>
      </c>
      <c r="F1445" s="300">
        <v>1.0</v>
      </c>
      <c r="G1445" s="300">
        <v>1.0</v>
      </c>
      <c r="H1445" s="300">
        <v>1.0</v>
      </c>
      <c r="I1445" s="300">
        <v>1.0</v>
      </c>
      <c r="J1445" s="300">
        <v>1.0</v>
      </c>
      <c r="K1445" s="300">
        <v>1.0</v>
      </c>
      <c r="L1445" s="300">
        <v>1.0</v>
      </c>
      <c r="M1445" s="300">
        <v>1.0</v>
      </c>
      <c r="N1445" s="300">
        <v>8.0</v>
      </c>
      <c r="O1445" s="300" t="s">
        <v>855</v>
      </c>
      <c r="P1445" s="300">
        <v>2.0</v>
      </c>
    </row>
    <row r="1446">
      <c r="A1446">
        <f>IFERROR(__xludf.DUMMYFUNCTION("""COMPUTED_VALUE"""),12.0)</f>
        <v>12</v>
      </c>
      <c r="B1446">
        <f>IFERROR(__xludf.DUMMYFUNCTION("""COMPUTED_VALUE"""),26005.0)</f>
        <v>26005</v>
      </c>
      <c r="C1446" t="str">
        <f>IFERROR(__xludf.DUMMYFUNCTION("""COMPUTED_VALUE"""),"ALVAREZ MOLINA, SOFIA")</f>
        <v>ALVAREZ MOLINA, SOFIA</v>
      </c>
      <c r="D1446" t="str">
        <f>IFERROR(__xludf.DUMMYFUNCTION("""COMPUTED_VALUE"""),"Calculus")</f>
        <v>Calculus</v>
      </c>
      <c r="E1446" s="3">
        <f>IFERROR(__xludf.DUMMYFUNCTION("""COMPUTED_VALUE"""),2.0)</f>
        <v>2</v>
      </c>
      <c r="F1446" s="300">
        <v>1.0</v>
      </c>
      <c r="G1446" s="300">
        <v>1.0</v>
      </c>
      <c r="H1446" s="300">
        <v>1.0</v>
      </c>
      <c r="I1446" s="300">
        <v>1.0</v>
      </c>
      <c r="J1446" s="300">
        <v>1.0</v>
      </c>
      <c r="K1446" s="300">
        <v>1.0</v>
      </c>
      <c r="L1446" s="300">
        <v>1.0</v>
      </c>
      <c r="M1446" s="300">
        <v>1.0</v>
      </c>
      <c r="N1446" s="300">
        <v>8.0</v>
      </c>
      <c r="O1446" s="300" t="s">
        <v>861</v>
      </c>
      <c r="P1446" s="300">
        <v>4.0</v>
      </c>
    </row>
    <row r="1447">
      <c r="A1447">
        <f>IFERROR(__xludf.DUMMYFUNCTION("""COMPUTED_VALUE"""),12.0)</f>
        <v>12</v>
      </c>
      <c r="B1447">
        <f>IFERROR(__xludf.DUMMYFUNCTION("""COMPUTED_VALUE"""),26124.0)</f>
        <v>26124</v>
      </c>
      <c r="C1447" t="str">
        <f>IFERROR(__xludf.DUMMYFUNCTION("""COMPUTED_VALUE"""),"YEPES EUSSE, MATIAS")</f>
        <v>YEPES EUSSE, MATIAS</v>
      </c>
      <c r="D1447" t="str">
        <f>IFERROR(__xludf.DUMMYFUNCTION("""COMPUTED_VALUE"""),"Calculus")</f>
        <v>Calculus</v>
      </c>
      <c r="E1447" s="3">
        <f>IFERROR(__xludf.DUMMYFUNCTION("""COMPUTED_VALUE"""),1.0)</f>
        <v>1</v>
      </c>
      <c r="F1447" s="300">
        <v>1.0</v>
      </c>
      <c r="G1447" s="300">
        <v>1.0</v>
      </c>
      <c r="H1447" s="300">
        <v>1.0</v>
      </c>
      <c r="I1447" s="300">
        <v>1.0</v>
      </c>
      <c r="J1447" s="300">
        <v>1.0</v>
      </c>
      <c r="K1447" s="300">
        <v>1.0</v>
      </c>
      <c r="L1447" s="300">
        <v>1.0</v>
      </c>
      <c r="M1447" s="300">
        <v>1.0</v>
      </c>
      <c r="N1447" s="300">
        <v>8.0</v>
      </c>
      <c r="O1447" s="300" t="s">
        <v>859</v>
      </c>
      <c r="P1447" s="300">
        <v>4.0</v>
      </c>
    </row>
    <row r="1448">
      <c r="A1448">
        <f>IFERROR(__xludf.DUMMYFUNCTION("""COMPUTED_VALUE"""),12.0)</f>
        <v>12</v>
      </c>
      <c r="B1448">
        <f>IFERROR(__xludf.DUMMYFUNCTION("""COMPUTED_VALUE"""),26020.0)</f>
        <v>26020</v>
      </c>
      <c r="C1448" t="str">
        <f>IFERROR(__xludf.DUMMYFUNCTION("""COMPUTED_VALUE"""),"CALDWELL VALLEJO, JACK")</f>
        <v>CALDWELL VALLEJO, JACK</v>
      </c>
      <c r="D1448" t="str">
        <f>IFERROR(__xludf.DUMMYFUNCTION("""COMPUTED_VALUE"""),"AP Calculus AB")</f>
        <v>AP Calculus AB</v>
      </c>
      <c r="E1448" s="3">
        <f>IFERROR(__xludf.DUMMYFUNCTION("""COMPUTED_VALUE"""),7.0)</f>
        <v>7</v>
      </c>
      <c r="F1448" s="300">
        <v>1.0</v>
      </c>
      <c r="G1448" s="300">
        <v>1.0</v>
      </c>
      <c r="H1448" s="300">
        <v>1.0</v>
      </c>
      <c r="I1448" s="300">
        <v>1.0</v>
      </c>
      <c r="J1448" s="300">
        <v>1.0</v>
      </c>
      <c r="K1448" s="300">
        <v>1.0</v>
      </c>
      <c r="L1448" s="300">
        <v>1.0</v>
      </c>
      <c r="M1448" s="300">
        <v>1.0</v>
      </c>
      <c r="N1448" s="300">
        <v>8.0</v>
      </c>
      <c r="O1448" s="300" t="s">
        <v>855</v>
      </c>
      <c r="P1448" s="300">
        <v>2.0</v>
      </c>
    </row>
    <row r="1449">
      <c r="A1449">
        <f>IFERROR(__xludf.DUMMYFUNCTION("""COMPUTED_VALUE"""),12.0)</f>
        <v>12</v>
      </c>
      <c r="B1449">
        <f>IFERROR(__xludf.DUMMYFUNCTION("""COMPUTED_VALUE"""),26068.0)</f>
        <v>26068</v>
      </c>
      <c r="C1449" t="str">
        <f>IFERROR(__xludf.DUMMYFUNCTION("""COMPUTED_VALUE"""),"LOPEZ RODRIGUEZ, SARA")</f>
        <v>LOPEZ RODRIGUEZ, SARA</v>
      </c>
      <c r="D1449" t="str">
        <f>IFERROR(__xludf.DUMMYFUNCTION("""COMPUTED_VALUE"""),"Calculus")</f>
        <v>Calculus</v>
      </c>
      <c r="E1449" s="3">
        <f>IFERROR(__xludf.DUMMYFUNCTION("""COMPUTED_VALUE"""),5.0)</f>
        <v>5</v>
      </c>
      <c r="F1449" s="300">
        <v>1.0</v>
      </c>
      <c r="G1449" s="300">
        <v>1.0</v>
      </c>
      <c r="H1449" s="300">
        <v>1.0</v>
      </c>
      <c r="I1449" s="300">
        <v>1.0</v>
      </c>
      <c r="J1449" s="300">
        <v>1.0</v>
      </c>
      <c r="K1449" s="300">
        <v>1.0</v>
      </c>
      <c r="L1449" s="300">
        <v>1.0</v>
      </c>
      <c r="M1449" s="300">
        <v>1.0</v>
      </c>
      <c r="N1449" s="300">
        <v>8.0</v>
      </c>
      <c r="O1449" s="300" t="s">
        <v>857</v>
      </c>
      <c r="P1449" s="300">
        <v>4.0</v>
      </c>
    </row>
    <row r="1450">
      <c r="A1450">
        <f>IFERROR(__xludf.DUMMYFUNCTION("""COMPUTED_VALUE"""),12.0)</f>
        <v>12</v>
      </c>
      <c r="B1450">
        <f>IFERROR(__xludf.DUMMYFUNCTION("""COMPUTED_VALUE"""),26013.0)</f>
        <v>26013</v>
      </c>
      <c r="C1450" t="str">
        <f>IFERROR(__xludf.DUMMYFUNCTION("""COMPUTED_VALUE"""),"BAQUERO GARCIA, ALICIA")</f>
        <v>BAQUERO GARCIA, ALICIA</v>
      </c>
      <c r="D1450" t="str">
        <f>IFERROR(__xludf.DUMMYFUNCTION("""COMPUTED_VALUE"""),"AP Statistics")</f>
        <v>AP Statistics</v>
      </c>
      <c r="E1450" s="3">
        <f>IFERROR(__xludf.DUMMYFUNCTION("""COMPUTED_VALUE"""),7.0)</f>
        <v>7</v>
      </c>
      <c r="F1450" s="300">
        <v>1.0</v>
      </c>
      <c r="G1450" s="300">
        <v>1.0</v>
      </c>
      <c r="H1450" s="300">
        <v>1.0</v>
      </c>
      <c r="I1450" s="300">
        <v>1.0</v>
      </c>
      <c r="J1450" s="300">
        <v>1.0</v>
      </c>
      <c r="K1450" s="300">
        <v>1.0</v>
      </c>
      <c r="L1450" s="300">
        <v>1.0</v>
      </c>
      <c r="M1450" s="300">
        <v>1.0</v>
      </c>
      <c r="N1450" s="300">
        <v>8.0</v>
      </c>
      <c r="O1450" s="300" t="s">
        <v>860</v>
      </c>
      <c r="P1450" s="300">
        <v>1.0</v>
      </c>
    </row>
    <row r="1451">
      <c r="A1451">
        <f>IFERROR(__xludf.DUMMYFUNCTION("""COMPUTED_VALUE"""),12.0)</f>
        <v>12</v>
      </c>
      <c r="B1451">
        <f>IFERROR(__xludf.DUMMYFUNCTION("""COMPUTED_VALUE"""),26159.0)</f>
        <v>26159</v>
      </c>
      <c r="C1451" t="str">
        <f>IFERROR(__xludf.DUMMYFUNCTION("""COMPUTED_VALUE"""),"PETTERSSON VANEGAS, ANNIKA")</f>
        <v>PETTERSSON VANEGAS, ANNIKA</v>
      </c>
      <c r="D1451" t="str">
        <f>IFERROR(__xludf.DUMMYFUNCTION("""COMPUTED_VALUE"""),"Financial Math")</f>
        <v>Financial Math</v>
      </c>
      <c r="E1451" s="3">
        <f>IFERROR(__xludf.DUMMYFUNCTION("""COMPUTED_VALUE"""),7.0)</f>
        <v>7</v>
      </c>
      <c r="F1451" s="300">
        <v>1.0</v>
      </c>
      <c r="G1451" s="300">
        <v>1.0</v>
      </c>
      <c r="H1451" s="300">
        <v>1.0</v>
      </c>
      <c r="I1451" s="300">
        <v>1.0</v>
      </c>
      <c r="J1451" s="300">
        <v>1.0</v>
      </c>
      <c r="K1451" s="300">
        <v>1.0</v>
      </c>
      <c r="L1451" s="300">
        <v>1.0</v>
      </c>
      <c r="M1451" s="300">
        <v>1.0</v>
      </c>
      <c r="N1451" s="300">
        <v>8.0</v>
      </c>
      <c r="O1451" s="300" t="s">
        <v>864</v>
      </c>
      <c r="P1451" s="300">
        <v>3.0</v>
      </c>
    </row>
    <row r="1452">
      <c r="A1452">
        <f>IFERROR(__xludf.DUMMYFUNCTION("""COMPUTED_VALUE"""),12.0)</f>
        <v>12</v>
      </c>
      <c r="B1452">
        <f>IFERROR(__xludf.DUMMYFUNCTION("""COMPUTED_VALUE"""),26050.0)</f>
        <v>26050</v>
      </c>
      <c r="C1452" t="str">
        <f>IFERROR(__xludf.DUMMYFUNCTION("""COMPUTED_VALUE"""),"HERRERA LONDOÑO, MANUELA")</f>
        <v>HERRERA LONDOÑO, MANUELA</v>
      </c>
      <c r="D1452" t="str">
        <f>IFERROR(__xludf.DUMMYFUNCTION("""COMPUTED_VALUE"""),"Financial Math")</f>
        <v>Financial Math</v>
      </c>
      <c r="E1452" s="3">
        <f>IFERROR(__xludf.DUMMYFUNCTION("""COMPUTED_VALUE"""),4.0)</f>
        <v>4</v>
      </c>
      <c r="F1452" s="300">
        <v>1.0</v>
      </c>
      <c r="G1452" s="300">
        <v>1.0</v>
      </c>
      <c r="H1452" s="300">
        <v>1.0</v>
      </c>
      <c r="I1452" s="300">
        <v>1.0</v>
      </c>
      <c r="J1452" s="300">
        <v>1.0</v>
      </c>
      <c r="K1452" s="300">
        <v>1.0</v>
      </c>
      <c r="L1452" s="300">
        <v>1.0</v>
      </c>
      <c r="M1452" s="300">
        <v>1.0</v>
      </c>
      <c r="N1452" s="300">
        <v>8.0</v>
      </c>
      <c r="O1452" s="300" t="s">
        <v>865</v>
      </c>
      <c r="P1452" s="300">
        <v>3.0</v>
      </c>
    </row>
    <row r="1453">
      <c r="A1453">
        <f>IFERROR(__xludf.DUMMYFUNCTION("""COMPUTED_VALUE"""),12.0)</f>
        <v>12</v>
      </c>
      <c r="B1453">
        <f>IFERROR(__xludf.DUMMYFUNCTION("""COMPUTED_VALUE"""),26054.0)</f>
        <v>26054</v>
      </c>
      <c r="C1453" t="str">
        <f>IFERROR(__xludf.DUMMYFUNCTION("""COMPUTED_VALUE"""),"HOYOS GOMEZ, LUCIANA")</f>
        <v>HOYOS GOMEZ, LUCIANA</v>
      </c>
      <c r="D1453" t="str">
        <f>IFERROR(__xludf.DUMMYFUNCTION("""COMPUTED_VALUE"""),"Calculus")</f>
        <v>Calculus</v>
      </c>
      <c r="E1453" s="3">
        <f>IFERROR(__xludf.DUMMYFUNCTION("""COMPUTED_VALUE"""),6.0)</f>
        <v>6</v>
      </c>
      <c r="F1453" s="300">
        <v>1.0</v>
      </c>
      <c r="G1453" s="300">
        <v>1.0</v>
      </c>
      <c r="H1453" s="300">
        <v>1.0</v>
      </c>
      <c r="I1453" s="300">
        <v>1.0</v>
      </c>
      <c r="J1453" s="300">
        <v>1.0</v>
      </c>
      <c r="K1453" s="300">
        <v>1.0</v>
      </c>
      <c r="L1453" s="300">
        <v>1.0</v>
      </c>
      <c r="M1453" s="300">
        <v>1.0</v>
      </c>
      <c r="N1453" s="300">
        <v>8.0</v>
      </c>
      <c r="O1453" s="300" t="s">
        <v>858</v>
      </c>
      <c r="P1453" s="300">
        <v>4.0</v>
      </c>
    </row>
    <row r="1454">
      <c r="A1454">
        <f>IFERROR(__xludf.DUMMYFUNCTION("""COMPUTED_VALUE"""),12.0)</f>
        <v>12</v>
      </c>
      <c r="B1454">
        <f>IFERROR(__xludf.DUMMYFUNCTION("""COMPUTED_VALUE"""),26098.0)</f>
        <v>26098</v>
      </c>
      <c r="C1454" t="str">
        <f>IFERROR(__xludf.DUMMYFUNCTION("""COMPUTED_VALUE"""),"RESTREPO OCHOA, EMMA")</f>
        <v>RESTREPO OCHOA, EMMA</v>
      </c>
      <c r="D1454" t="str">
        <f>IFERROR(__xludf.DUMMYFUNCTION("""COMPUTED_VALUE"""),"Financial Math")</f>
        <v>Financial Math</v>
      </c>
      <c r="E1454" s="3">
        <f>IFERROR(__xludf.DUMMYFUNCTION("""COMPUTED_VALUE"""),5.0)</f>
        <v>5</v>
      </c>
      <c r="F1454" s="300">
        <v>1.0</v>
      </c>
      <c r="G1454" s="300">
        <v>1.0</v>
      </c>
      <c r="H1454" s="300">
        <v>1.0</v>
      </c>
      <c r="I1454" s="300">
        <v>1.0</v>
      </c>
      <c r="J1454" s="300">
        <v>1.0</v>
      </c>
      <c r="K1454" s="300">
        <v>1.0</v>
      </c>
      <c r="L1454" s="300">
        <v>1.0</v>
      </c>
      <c r="M1454" s="300">
        <v>1.0</v>
      </c>
      <c r="N1454" s="300">
        <v>8.0</v>
      </c>
      <c r="O1454" s="300" t="s">
        <v>862</v>
      </c>
      <c r="P1454" s="300">
        <v>3.0</v>
      </c>
    </row>
    <row r="1455">
      <c r="A1455">
        <f>IFERROR(__xludf.DUMMYFUNCTION("""COMPUTED_VALUE"""),12.0)</f>
        <v>12</v>
      </c>
      <c r="B1455">
        <f>IFERROR(__xludf.DUMMYFUNCTION("""COMPUTED_VALUE"""),26084.0)</f>
        <v>26084</v>
      </c>
      <c r="C1455" t="str">
        <f>IFERROR(__xludf.DUMMYFUNCTION("""COMPUTED_VALUE"""),"OSPINA RUIZ, PAULINA")</f>
        <v>OSPINA RUIZ, PAULINA</v>
      </c>
      <c r="D1455" t="str">
        <f>IFERROR(__xludf.DUMMYFUNCTION("""COMPUTED_VALUE"""),"Calculus")</f>
        <v>Calculus</v>
      </c>
      <c r="E1455" s="3">
        <f>IFERROR(__xludf.DUMMYFUNCTION("""COMPUTED_VALUE"""),5.0)</f>
        <v>5</v>
      </c>
      <c r="F1455" s="300">
        <v>1.0</v>
      </c>
      <c r="G1455" s="300">
        <v>1.0</v>
      </c>
      <c r="H1455" s="300">
        <v>1.0</v>
      </c>
      <c r="I1455" s="300">
        <v>1.0</v>
      </c>
      <c r="J1455" s="300">
        <v>1.0</v>
      </c>
      <c r="K1455" s="300">
        <v>1.0</v>
      </c>
      <c r="L1455" s="300">
        <v>1.0</v>
      </c>
      <c r="M1455" s="300">
        <v>1.0</v>
      </c>
      <c r="N1455" s="300">
        <v>8.0</v>
      </c>
      <c r="O1455" s="300" t="s">
        <v>857</v>
      </c>
      <c r="P1455" s="300">
        <v>4.0</v>
      </c>
    </row>
    <row r="1456">
      <c r="A1456">
        <f>IFERROR(__xludf.DUMMYFUNCTION("""COMPUTED_VALUE"""),12.0)</f>
        <v>12</v>
      </c>
      <c r="B1456">
        <f>IFERROR(__xludf.DUMMYFUNCTION("""COMPUTED_VALUE"""),26004.0)</f>
        <v>26004</v>
      </c>
      <c r="C1456" t="str">
        <f>IFERROR(__xludf.DUMMYFUNCTION("""COMPUTED_VALUE"""),"ALVAREZ GOMEZ, EMILIANA")</f>
        <v>ALVAREZ GOMEZ, EMILIANA</v>
      </c>
      <c r="D1456" t="str">
        <f>IFERROR(__xludf.DUMMYFUNCTION("""COMPUTED_VALUE"""),"Calculus")</f>
        <v>Calculus</v>
      </c>
      <c r="E1456" s="3">
        <f>IFERROR(__xludf.DUMMYFUNCTION("""COMPUTED_VALUE"""),2.0)</f>
        <v>2</v>
      </c>
      <c r="F1456" s="300">
        <v>1.0</v>
      </c>
      <c r="G1456" s="300">
        <v>1.0</v>
      </c>
      <c r="H1456" s="300">
        <v>1.0</v>
      </c>
      <c r="I1456" s="300">
        <v>1.0</v>
      </c>
      <c r="J1456" s="300">
        <v>1.0</v>
      </c>
      <c r="K1456" s="300">
        <v>1.0</v>
      </c>
      <c r="L1456" s="300">
        <v>1.0</v>
      </c>
      <c r="M1456" s="300">
        <v>1.0</v>
      </c>
      <c r="N1456" s="300">
        <v>8.0</v>
      </c>
      <c r="O1456" s="300" t="s">
        <v>861</v>
      </c>
      <c r="P1456" s="300">
        <v>4.0</v>
      </c>
    </row>
    <row r="1457">
      <c r="A1457">
        <f>IFERROR(__xludf.DUMMYFUNCTION("""COMPUTED_VALUE"""),12.0)</f>
        <v>12</v>
      </c>
      <c r="B1457">
        <f>IFERROR(__xludf.DUMMYFUNCTION("""COMPUTED_VALUE"""),26085.0)</f>
        <v>26085</v>
      </c>
      <c r="C1457" t="str">
        <f>IFERROR(__xludf.DUMMYFUNCTION("""COMPUTED_VALUE"""),"PALACIO RAMIREZ, SUSANA")</f>
        <v>PALACIO RAMIREZ, SUSANA</v>
      </c>
      <c r="D1457" t="str">
        <f>IFERROR(__xludf.DUMMYFUNCTION("""COMPUTED_VALUE"""),"Financial Math")</f>
        <v>Financial Math</v>
      </c>
      <c r="E1457" s="3">
        <f>IFERROR(__xludf.DUMMYFUNCTION("""COMPUTED_VALUE"""),5.0)</f>
        <v>5</v>
      </c>
      <c r="F1457" s="300">
        <v>1.0</v>
      </c>
      <c r="G1457" s="300">
        <v>1.0</v>
      </c>
      <c r="H1457" s="300">
        <v>1.0</v>
      </c>
      <c r="I1457" s="300">
        <v>1.0</v>
      </c>
      <c r="J1457" s="300">
        <v>1.0</v>
      </c>
      <c r="K1457" s="300">
        <v>1.0</v>
      </c>
      <c r="L1457" s="300">
        <v>1.0</v>
      </c>
      <c r="M1457" s="300">
        <v>1.0</v>
      </c>
      <c r="N1457" s="300">
        <v>8.0</v>
      </c>
      <c r="O1457" s="300" t="s">
        <v>862</v>
      </c>
      <c r="P1457" s="300">
        <v>3.0</v>
      </c>
    </row>
    <row r="1458">
      <c r="A1458">
        <f>IFERROR(__xludf.DUMMYFUNCTION("""COMPUTED_VALUE"""),12.0)</f>
        <v>12</v>
      </c>
      <c r="B1458">
        <f>IFERROR(__xludf.DUMMYFUNCTION("""COMPUTED_VALUE"""),26074.0)</f>
        <v>26074</v>
      </c>
      <c r="C1458" t="str">
        <f>IFERROR(__xludf.DUMMYFUNCTION("""COMPUTED_VALUE"""),"MESA GIRALDO, MARIA JOSE")</f>
        <v>MESA GIRALDO, MARIA JOSE</v>
      </c>
      <c r="D1458" t="str">
        <f>IFERROR(__xludf.DUMMYFUNCTION("""COMPUTED_VALUE"""),"Calculus")</f>
        <v>Calculus</v>
      </c>
      <c r="E1458" s="3">
        <f>IFERROR(__xludf.DUMMYFUNCTION("""COMPUTED_VALUE"""),5.0)</f>
        <v>5</v>
      </c>
      <c r="F1458" s="300">
        <v>1.0</v>
      </c>
      <c r="G1458" s="300">
        <v>1.0</v>
      </c>
      <c r="H1458" s="300">
        <v>1.0</v>
      </c>
      <c r="I1458" s="300">
        <v>1.0</v>
      </c>
      <c r="J1458" s="300">
        <v>1.0</v>
      </c>
      <c r="K1458" s="300">
        <v>1.0</v>
      </c>
      <c r="L1458" s="300">
        <v>1.0</v>
      </c>
      <c r="M1458" s="300">
        <v>1.0</v>
      </c>
      <c r="N1458" s="300">
        <v>8.0</v>
      </c>
      <c r="O1458" s="300" t="s">
        <v>857</v>
      </c>
      <c r="P1458" s="300">
        <v>4.0</v>
      </c>
    </row>
    <row r="1459">
      <c r="A1459">
        <f>IFERROR(__xludf.DUMMYFUNCTION("""COMPUTED_VALUE"""),12.0)</f>
        <v>12</v>
      </c>
      <c r="B1459">
        <f>IFERROR(__xludf.DUMMYFUNCTION("""COMPUTED_VALUE"""),26146.0)</f>
        <v>26146</v>
      </c>
      <c r="C1459" t="str">
        <f>IFERROR(__xludf.DUMMYFUNCTION("""COMPUTED_VALUE"""),"MOLINA CASAS, MARIA DEL MAR")</f>
        <v>MOLINA CASAS, MARIA DEL MAR</v>
      </c>
      <c r="D1459" t="str">
        <f>IFERROR(__xludf.DUMMYFUNCTION("""COMPUTED_VALUE"""),"Financial Math")</f>
        <v>Financial Math</v>
      </c>
      <c r="E1459" s="3">
        <f>IFERROR(__xludf.DUMMYFUNCTION("""COMPUTED_VALUE"""),7.0)</f>
        <v>7</v>
      </c>
      <c r="F1459" s="300">
        <v>1.0</v>
      </c>
      <c r="G1459" s="300">
        <v>1.0</v>
      </c>
      <c r="H1459" s="300">
        <v>1.0</v>
      </c>
      <c r="I1459" s="300">
        <v>1.0</v>
      </c>
      <c r="J1459" s="300">
        <v>1.0</v>
      </c>
      <c r="K1459" s="300">
        <v>1.0</v>
      </c>
      <c r="L1459" s="300">
        <v>1.0</v>
      </c>
      <c r="M1459" s="300">
        <v>1.0</v>
      </c>
      <c r="N1459" s="300">
        <v>8.0</v>
      </c>
      <c r="O1459" s="300" t="s">
        <v>864</v>
      </c>
      <c r="P1459" s="300">
        <v>3.0</v>
      </c>
    </row>
    <row r="1460">
      <c r="A1460">
        <f>IFERROR(__xludf.DUMMYFUNCTION("""COMPUTED_VALUE"""),12.0)</f>
        <v>12</v>
      </c>
      <c r="B1460">
        <f>IFERROR(__xludf.DUMMYFUNCTION("""COMPUTED_VALUE"""),26029.0)</f>
        <v>26029</v>
      </c>
      <c r="C1460" t="str">
        <f>IFERROR(__xludf.DUMMYFUNCTION("""COMPUTED_VALUE"""),"FAJARDO YEPES, ELISA")</f>
        <v>FAJARDO YEPES, ELISA</v>
      </c>
      <c r="D1460" t="str">
        <f>IFERROR(__xludf.DUMMYFUNCTION("""COMPUTED_VALUE"""),"Financial Math")</f>
        <v>Financial Math</v>
      </c>
      <c r="E1460" s="3">
        <f>IFERROR(__xludf.DUMMYFUNCTION("""COMPUTED_VALUE"""),4.0)</f>
        <v>4</v>
      </c>
      <c r="F1460" s="300">
        <v>1.0</v>
      </c>
      <c r="G1460" s="300">
        <v>1.0</v>
      </c>
      <c r="H1460" s="300">
        <v>1.0</v>
      </c>
      <c r="I1460" s="300">
        <v>1.0</v>
      </c>
      <c r="J1460" s="300">
        <v>1.0</v>
      </c>
      <c r="K1460" s="300">
        <v>1.0</v>
      </c>
      <c r="L1460" s="300">
        <v>1.0</v>
      </c>
      <c r="M1460" s="300">
        <v>1.0</v>
      </c>
      <c r="N1460" s="300">
        <v>8.0</v>
      </c>
      <c r="O1460" s="300" t="s">
        <v>865</v>
      </c>
      <c r="P1460" s="300">
        <v>3.0</v>
      </c>
    </row>
    <row r="1461">
      <c r="A1461">
        <f>IFERROR(__xludf.DUMMYFUNCTION("""COMPUTED_VALUE"""),12.0)</f>
        <v>12</v>
      </c>
      <c r="B1461">
        <f>IFERROR(__xludf.DUMMYFUNCTION("""COMPUTED_VALUE"""),26092.0)</f>
        <v>26092</v>
      </c>
      <c r="C1461" t="str">
        <f>IFERROR(__xludf.DUMMYFUNCTION("""COMPUTED_VALUE"""),"PLATA BOLAÑOS, SOFIA")</f>
        <v>PLATA BOLAÑOS, SOFIA</v>
      </c>
      <c r="D1461" t="str">
        <f>IFERROR(__xludf.DUMMYFUNCTION("""COMPUTED_VALUE"""),"Calculus")</f>
        <v>Calculus</v>
      </c>
      <c r="E1461" s="3">
        <f>IFERROR(__xludf.DUMMYFUNCTION("""COMPUTED_VALUE"""),2.0)</f>
        <v>2</v>
      </c>
      <c r="F1461" s="300">
        <v>1.0</v>
      </c>
      <c r="G1461" s="300">
        <v>1.0</v>
      </c>
      <c r="H1461" s="300">
        <v>1.0</v>
      </c>
      <c r="I1461" s="300">
        <v>1.0</v>
      </c>
      <c r="J1461" s="300">
        <v>1.0</v>
      </c>
      <c r="K1461" s="300">
        <v>1.0</v>
      </c>
      <c r="L1461" s="300">
        <v>1.0</v>
      </c>
      <c r="M1461" s="300">
        <v>1.0</v>
      </c>
      <c r="N1461" s="300">
        <v>8.0</v>
      </c>
      <c r="O1461" s="300" t="s">
        <v>861</v>
      </c>
      <c r="P1461" s="300">
        <v>4.0</v>
      </c>
    </row>
    <row r="1462">
      <c r="A1462">
        <f>IFERROR(__xludf.DUMMYFUNCTION("""COMPUTED_VALUE"""),12.0)</f>
        <v>12</v>
      </c>
      <c r="B1462">
        <f>IFERROR(__xludf.DUMMYFUNCTION("""COMPUTED_VALUE"""),26136.0)</f>
        <v>26136</v>
      </c>
      <c r="C1462" t="str">
        <f>IFERROR(__xludf.DUMMYFUNCTION("""COMPUTED_VALUE"""),"VASQUEZ MUÑOZ, MANUELA")</f>
        <v>VASQUEZ MUÑOZ, MANUELA</v>
      </c>
      <c r="D1462" t="str">
        <f>IFERROR(__xludf.DUMMYFUNCTION("""COMPUTED_VALUE"""),"Calculus")</f>
        <v>Calculus</v>
      </c>
      <c r="E1462" s="3">
        <f>IFERROR(__xludf.DUMMYFUNCTION("""COMPUTED_VALUE"""),5.0)</f>
        <v>5</v>
      </c>
      <c r="F1462" s="300">
        <v>1.0</v>
      </c>
      <c r="G1462" s="300">
        <v>1.0</v>
      </c>
      <c r="H1462" s="300">
        <v>1.0</v>
      </c>
      <c r="I1462" s="300">
        <v>1.0</v>
      </c>
      <c r="J1462" s="300">
        <v>1.0</v>
      </c>
      <c r="K1462" s="300">
        <v>1.0</v>
      </c>
      <c r="L1462" s="300">
        <v>1.0</v>
      </c>
      <c r="M1462" s="300">
        <v>1.0</v>
      </c>
      <c r="N1462" s="300">
        <v>8.0</v>
      </c>
      <c r="O1462" s="300" t="s">
        <v>857</v>
      </c>
      <c r="P1462" s="300">
        <v>4.0</v>
      </c>
    </row>
    <row r="1463">
      <c r="A1463">
        <f>IFERROR(__xludf.DUMMYFUNCTION("""COMPUTED_VALUE"""),12.0)</f>
        <v>12</v>
      </c>
      <c r="B1463">
        <f>IFERROR(__xludf.DUMMYFUNCTION("""COMPUTED_VALUE"""),26170.0)</f>
        <v>26170</v>
      </c>
      <c r="C1463" t="str">
        <f>IFERROR(__xludf.DUMMYFUNCTION("""COMPUTED_VALUE"""),"BOTERO SPERA, EMMA")</f>
        <v>BOTERO SPERA, EMMA</v>
      </c>
      <c r="D1463" t="str">
        <f>IFERROR(__xludf.DUMMYFUNCTION("""COMPUTED_VALUE"""),"AP Calculus AB")</f>
        <v>AP Calculus AB</v>
      </c>
      <c r="E1463" s="3">
        <f>IFERROR(__xludf.DUMMYFUNCTION("""COMPUTED_VALUE"""),2.0)</f>
        <v>2</v>
      </c>
      <c r="F1463" s="300">
        <v>1.0</v>
      </c>
      <c r="G1463" s="300">
        <v>1.0</v>
      </c>
      <c r="H1463" s="300">
        <v>1.0</v>
      </c>
      <c r="I1463" s="300">
        <v>1.0</v>
      </c>
      <c r="J1463" s="300">
        <v>1.0</v>
      </c>
      <c r="K1463" s="300">
        <v>1.0</v>
      </c>
      <c r="L1463" s="300">
        <v>1.0</v>
      </c>
      <c r="M1463" s="300">
        <v>1.0</v>
      </c>
      <c r="N1463" s="300">
        <v>8.0</v>
      </c>
      <c r="O1463" s="300" t="s">
        <v>856</v>
      </c>
      <c r="P1463" s="300">
        <v>2.0</v>
      </c>
    </row>
    <row r="1464">
      <c r="A1464">
        <f>IFERROR(__xludf.DUMMYFUNCTION("""COMPUTED_VALUE"""),12.0)</f>
        <v>12</v>
      </c>
      <c r="B1464">
        <f>IFERROR(__xludf.DUMMYFUNCTION("""COMPUTED_VALUE"""),26093.0)</f>
        <v>26093</v>
      </c>
      <c r="C1464" t="str">
        <f>IFERROR(__xludf.DUMMYFUNCTION("""COMPUTED_VALUE"""),"PUERTA PAZ, JUANITA")</f>
        <v>PUERTA PAZ, JUANITA</v>
      </c>
      <c r="D1464" t="str">
        <f>IFERROR(__xludf.DUMMYFUNCTION("""COMPUTED_VALUE"""),"AP Calculus BC")</f>
        <v>AP Calculus BC</v>
      </c>
      <c r="E1464" s="3">
        <f>IFERROR(__xludf.DUMMYFUNCTION("""COMPUTED_VALUE"""),3.0)</f>
        <v>3</v>
      </c>
      <c r="F1464" s="300">
        <v>1.0</v>
      </c>
      <c r="G1464" s="300">
        <v>1.0</v>
      </c>
      <c r="H1464" s="300">
        <v>1.0</v>
      </c>
      <c r="I1464" s="300">
        <v>1.0</v>
      </c>
      <c r="J1464" s="300">
        <v>1.0</v>
      </c>
      <c r="K1464" s="300">
        <v>1.0</v>
      </c>
      <c r="L1464" s="300">
        <v>1.0</v>
      </c>
      <c r="M1464" s="300">
        <v>1.0</v>
      </c>
      <c r="N1464" s="300">
        <v>8.0</v>
      </c>
      <c r="O1464" s="300" t="s">
        <v>863</v>
      </c>
      <c r="P1464" s="300">
        <v>1.0</v>
      </c>
    </row>
    <row r="1465">
      <c r="A1465">
        <f>IFERROR(__xludf.DUMMYFUNCTION("""COMPUTED_VALUE"""),12.0)</f>
        <v>12</v>
      </c>
      <c r="B1465">
        <f>IFERROR(__xludf.DUMMYFUNCTION("""COMPUTED_VALUE"""),26055.0)</f>
        <v>26055</v>
      </c>
      <c r="C1465" t="str">
        <f>IFERROR(__xludf.DUMMYFUNCTION("""COMPUTED_VALUE"""),"ISAZA CADAVID, RAQUEL")</f>
        <v>ISAZA CADAVID, RAQUEL</v>
      </c>
      <c r="D1465" t="str">
        <f>IFERROR(__xludf.DUMMYFUNCTION("""COMPUTED_VALUE"""),"Calculus")</f>
        <v>Calculus</v>
      </c>
      <c r="E1465" s="3">
        <f>IFERROR(__xludf.DUMMYFUNCTION("""COMPUTED_VALUE"""),6.0)</f>
        <v>6</v>
      </c>
      <c r="F1465" s="300">
        <v>1.0</v>
      </c>
      <c r="G1465" s="300">
        <v>1.0</v>
      </c>
      <c r="H1465" s="300">
        <v>1.0</v>
      </c>
      <c r="I1465" s="300">
        <v>1.0</v>
      </c>
      <c r="J1465" s="300">
        <v>1.0</v>
      </c>
      <c r="K1465" s="300">
        <v>1.0</v>
      </c>
      <c r="L1465" s="300">
        <v>1.0</v>
      </c>
      <c r="M1465" s="300">
        <v>1.0</v>
      </c>
      <c r="N1465" s="300">
        <v>8.0</v>
      </c>
      <c r="O1465" s="300" t="s">
        <v>858</v>
      </c>
      <c r="P1465" s="300">
        <v>4.0</v>
      </c>
    </row>
    <row r="1466">
      <c r="A1466">
        <f>IFERROR(__xludf.DUMMYFUNCTION("""COMPUTED_VALUE"""),12.0)</f>
        <v>12</v>
      </c>
      <c r="B1466">
        <f>IFERROR(__xludf.DUMMYFUNCTION("""COMPUTED_VALUE"""),26060.0)</f>
        <v>26060</v>
      </c>
      <c r="C1466" t="str">
        <f>IFERROR(__xludf.DUMMYFUNCTION("""COMPUTED_VALUE"""),"JARAMILLO OSPINA, ANTONIA")</f>
        <v>JARAMILLO OSPINA, ANTONIA</v>
      </c>
      <c r="D1466" t="str">
        <f>IFERROR(__xludf.DUMMYFUNCTION("""COMPUTED_VALUE"""),"Financial Math")</f>
        <v>Financial Math</v>
      </c>
      <c r="E1466" s="3">
        <f>IFERROR(__xludf.DUMMYFUNCTION("""COMPUTED_VALUE"""),4.0)</f>
        <v>4</v>
      </c>
      <c r="F1466" s="300">
        <v>1.0</v>
      </c>
      <c r="G1466" s="300">
        <v>1.0</v>
      </c>
      <c r="H1466" s="300">
        <v>1.0</v>
      </c>
      <c r="I1466" s="300">
        <v>1.0</v>
      </c>
      <c r="J1466" s="300">
        <v>1.0</v>
      </c>
      <c r="K1466" s="300">
        <v>1.0</v>
      </c>
      <c r="L1466" s="300">
        <v>1.0</v>
      </c>
      <c r="M1466" s="300">
        <v>1.0</v>
      </c>
      <c r="N1466" s="300">
        <v>8.0</v>
      </c>
      <c r="O1466" s="300" t="s">
        <v>865</v>
      </c>
      <c r="P1466" s="300">
        <v>3.0</v>
      </c>
    </row>
    <row r="1467">
      <c r="A1467">
        <f>IFERROR(__xludf.DUMMYFUNCTION("""COMPUTED_VALUE"""),12.0)</f>
        <v>12</v>
      </c>
      <c r="B1467">
        <f>IFERROR(__xludf.DUMMYFUNCTION("""COMPUTED_VALUE"""),26134.0)</f>
        <v>26134</v>
      </c>
      <c r="C1467" t="str">
        <f>IFERROR(__xludf.DUMMYFUNCTION("""COMPUTED_VALUE"""),"BOHORQUEZ GOMEZ, GABRIELA")</f>
        <v>BOHORQUEZ GOMEZ, GABRIELA</v>
      </c>
      <c r="D1467" t="str">
        <f>IFERROR(__xludf.DUMMYFUNCTION("""COMPUTED_VALUE"""),"Financial Math")</f>
        <v>Financial Math</v>
      </c>
      <c r="E1467" s="3">
        <f>IFERROR(__xludf.DUMMYFUNCTION("""COMPUTED_VALUE"""),7.0)</f>
        <v>7</v>
      </c>
      <c r="F1467" s="300">
        <v>1.0</v>
      </c>
      <c r="G1467" s="300">
        <v>1.0</v>
      </c>
      <c r="H1467" s="300">
        <v>1.0</v>
      </c>
      <c r="I1467" s="300">
        <v>1.0</v>
      </c>
      <c r="J1467" s="300">
        <v>1.0</v>
      </c>
      <c r="K1467" s="300">
        <v>1.0</v>
      </c>
      <c r="L1467" s="300">
        <v>1.0</v>
      </c>
      <c r="M1467" s="300">
        <v>1.0</v>
      </c>
      <c r="N1467" s="300">
        <v>8.0</v>
      </c>
      <c r="O1467" s="300" t="s">
        <v>864</v>
      </c>
      <c r="P1467" s="300">
        <v>3.0</v>
      </c>
    </row>
    <row r="1468">
      <c r="A1468">
        <f>IFERROR(__xludf.DUMMYFUNCTION("""COMPUTED_VALUE"""),12.0)</f>
        <v>12</v>
      </c>
      <c r="B1468">
        <f>IFERROR(__xludf.DUMMYFUNCTION("""COMPUTED_VALUE"""),26143.0)</f>
        <v>26143</v>
      </c>
      <c r="C1468" t="str">
        <f>IFERROR(__xludf.DUMMYFUNCTION("""COMPUTED_VALUE"""),"BEDOYA JIMENEZ, SEBASTIAN")</f>
        <v>BEDOYA JIMENEZ, SEBASTIAN</v>
      </c>
      <c r="D1468" t="str">
        <f>IFERROR(__xludf.DUMMYFUNCTION("""COMPUTED_VALUE"""),"Calculus")</f>
        <v>Calculus</v>
      </c>
      <c r="E1468" s="3">
        <f>IFERROR(__xludf.DUMMYFUNCTION("""COMPUTED_VALUE"""),5.0)</f>
        <v>5</v>
      </c>
      <c r="F1468" s="300">
        <v>1.0</v>
      </c>
      <c r="G1468" s="300">
        <v>1.0</v>
      </c>
      <c r="H1468" s="300">
        <v>1.0</v>
      </c>
      <c r="I1468" s="300">
        <v>1.0</v>
      </c>
      <c r="J1468" s="300">
        <v>1.0</v>
      </c>
      <c r="K1468" s="300">
        <v>1.0</v>
      </c>
      <c r="L1468" s="300">
        <v>1.0</v>
      </c>
      <c r="M1468" s="300">
        <v>1.0</v>
      </c>
      <c r="N1468" s="300">
        <v>8.0</v>
      </c>
      <c r="O1468" s="300" t="s">
        <v>857</v>
      </c>
      <c r="P1468" s="300">
        <v>4.0</v>
      </c>
    </row>
    <row r="1469">
      <c r="A1469">
        <f>IFERROR(__xludf.DUMMYFUNCTION("""COMPUTED_VALUE"""),12.0)</f>
        <v>12</v>
      </c>
      <c r="B1469">
        <f>IFERROR(__xludf.DUMMYFUNCTION("""COMPUTED_VALUE"""),26063.0)</f>
        <v>26063</v>
      </c>
      <c r="C1469" t="str">
        <f>IFERROR(__xludf.DUMMYFUNCTION("""COMPUTED_VALUE"""),"KIM LEE, SAE-YOUNG PABLO")</f>
        <v>KIM LEE, SAE-YOUNG PABLO</v>
      </c>
      <c r="D1469" t="str">
        <f>IFERROR(__xludf.DUMMYFUNCTION("""COMPUTED_VALUE"""),"AP Calculus BC")</f>
        <v>AP Calculus BC</v>
      </c>
      <c r="E1469" s="3">
        <f>IFERROR(__xludf.DUMMYFUNCTION("""COMPUTED_VALUE"""),3.0)</f>
        <v>3</v>
      </c>
      <c r="F1469" s="300">
        <v>1.0</v>
      </c>
      <c r="G1469" s="300">
        <v>1.0</v>
      </c>
      <c r="H1469" s="300">
        <v>1.0</v>
      </c>
      <c r="I1469" s="300">
        <v>1.0</v>
      </c>
      <c r="J1469" s="300">
        <v>1.0</v>
      </c>
      <c r="K1469" s="300">
        <v>1.0</v>
      </c>
      <c r="L1469" s="300">
        <v>1.0</v>
      </c>
      <c r="M1469" s="300">
        <v>1.0</v>
      </c>
      <c r="N1469" s="300">
        <v>8.0</v>
      </c>
      <c r="O1469" s="300" t="s">
        <v>863</v>
      </c>
      <c r="P1469" s="300">
        <v>1.0</v>
      </c>
    </row>
    <row r="1470">
      <c r="A1470">
        <f>IFERROR(__xludf.DUMMYFUNCTION("""COMPUTED_VALUE"""),12.0)</f>
        <v>12</v>
      </c>
      <c r="B1470">
        <f>IFERROR(__xludf.DUMMYFUNCTION("""COMPUTED_VALUE"""),26018.0)</f>
        <v>26018</v>
      </c>
      <c r="C1470" t="str">
        <f>IFERROR(__xludf.DUMMYFUNCTION("""COMPUTED_VALUE"""),"BOTERO TOQUICA, REBECA")</f>
        <v>BOTERO TOQUICA, REBECA</v>
      </c>
      <c r="D1470" t="str">
        <f>IFERROR(__xludf.DUMMYFUNCTION("""COMPUTED_VALUE"""),"Calculus")</f>
        <v>Calculus</v>
      </c>
      <c r="E1470" s="3">
        <f>IFERROR(__xludf.DUMMYFUNCTION("""COMPUTED_VALUE"""),2.0)</f>
        <v>2</v>
      </c>
      <c r="F1470" s="300">
        <v>1.0</v>
      </c>
      <c r="G1470" s="300">
        <v>1.0</v>
      </c>
      <c r="H1470" s="300">
        <v>1.0</v>
      </c>
      <c r="I1470" s="300">
        <v>1.0</v>
      </c>
      <c r="J1470" s="300">
        <v>1.0</v>
      </c>
      <c r="K1470" s="300">
        <v>1.0</v>
      </c>
      <c r="L1470" s="300">
        <v>1.0</v>
      </c>
      <c r="M1470" s="300">
        <v>1.0</v>
      </c>
      <c r="N1470" s="300">
        <v>8.0</v>
      </c>
      <c r="O1470" s="300" t="s">
        <v>861</v>
      </c>
      <c r="P1470" s="300">
        <v>4.0</v>
      </c>
    </row>
    <row r="1471">
      <c r="A1471">
        <f>IFERROR(__xludf.DUMMYFUNCTION("""COMPUTED_VALUE"""),12.0)</f>
        <v>12</v>
      </c>
      <c r="B1471">
        <f>IFERROR(__xludf.DUMMYFUNCTION("""COMPUTED_VALUE"""),26087.0)</f>
        <v>26087</v>
      </c>
      <c r="C1471" t="str">
        <f>IFERROR(__xludf.DUMMYFUNCTION("""COMPUTED_VALUE"""),"PELAEZ BORDA, ELIAS")</f>
        <v>PELAEZ BORDA, ELIAS</v>
      </c>
      <c r="D1471" t="str">
        <f>IFERROR(__xludf.DUMMYFUNCTION("""COMPUTED_VALUE"""),"AP Calculus AB")</f>
        <v>AP Calculus AB</v>
      </c>
      <c r="E1471" s="3">
        <f>IFERROR(__xludf.DUMMYFUNCTION("""COMPUTED_VALUE"""),2.0)</f>
        <v>2</v>
      </c>
      <c r="F1471" s="300">
        <v>1.0</v>
      </c>
      <c r="G1471" s="300">
        <v>1.0</v>
      </c>
      <c r="H1471" s="300">
        <v>1.0</v>
      </c>
      <c r="I1471" s="300">
        <v>1.0</v>
      </c>
      <c r="J1471" s="300">
        <v>1.0</v>
      </c>
      <c r="K1471" s="300">
        <v>1.0</v>
      </c>
      <c r="L1471" s="300">
        <v>1.0</v>
      </c>
      <c r="M1471" s="300">
        <v>1.0</v>
      </c>
      <c r="N1471" s="300">
        <v>8.0</v>
      </c>
      <c r="O1471" s="300" t="s">
        <v>856</v>
      </c>
      <c r="P1471" s="300">
        <v>2.0</v>
      </c>
    </row>
    <row r="1472">
      <c r="A1472">
        <f>IFERROR(__xludf.DUMMYFUNCTION("""COMPUTED_VALUE"""),12.0)</f>
        <v>12</v>
      </c>
      <c r="B1472">
        <f>IFERROR(__xludf.DUMMYFUNCTION("""COMPUTED_VALUE"""),26065.0)</f>
        <v>26065</v>
      </c>
      <c r="C1472" t="str">
        <f>IFERROR(__xludf.DUMMYFUNCTION("""COMPUTED_VALUE"""),"LONDOÑO CONGOTE, SANTIAGO")</f>
        <v>LONDOÑO CONGOTE, SANTIAGO</v>
      </c>
      <c r="D1472" t="str">
        <f>IFERROR(__xludf.DUMMYFUNCTION("""COMPUTED_VALUE"""),"Calculus")</f>
        <v>Calculus</v>
      </c>
      <c r="E1472" s="3">
        <f>IFERROR(__xludf.DUMMYFUNCTION("""COMPUTED_VALUE"""),2.0)</f>
        <v>2</v>
      </c>
      <c r="F1472" s="300">
        <v>1.0</v>
      </c>
      <c r="G1472" s="300">
        <v>1.0</v>
      </c>
      <c r="H1472" s="300">
        <v>1.0</v>
      </c>
      <c r="I1472" s="300">
        <v>1.0</v>
      </c>
      <c r="J1472" s="300">
        <v>1.0</v>
      </c>
      <c r="K1472" s="300">
        <v>1.0</v>
      </c>
      <c r="L1472" s="300">
        <v>1.0</v>
      </c>
      <c r="M1472" s="300">
        <v>1.0</v>
      </c>
      <c r="N1472" s="300">
        <v>8.0</v>
      </c>
      <c r="O1472" s="300" t="s">
        <v>861</v>
      </c>
      <c r="P1472" s="300">
        <v>4.0</v>
      </c>
    </row>
    <row r="1473">
      <c r="A1473">
        <f>IFERROR(__xludf.DUMMYFUNCTION("""COMPUTED_VALUE"""),12.0)</f>
        <v>12</v>
      </c>
      <c r="B1473">
        <f>IFERROR(__xludf.DUMMYFUNCTION("""COMPUTED_VALUE"""),26150.0)</f>
        <v>26150</v>
      </c>
      <c r="C1473" t="str">
        <f>IFERROR(__xludf.DUMMYFUNCTION("""COMPUTED_VALUE"""),"MOLANO MESA, CANDELARIA")</f>
        <v>MOLANO MESA, CANDELARIA</v>
      </c>
      <c r="D1473" t="str">
        <f>IFERROR(__xludf.DUMMYFUNCTION("""COMPUTED_VALUE"""),"Calculus")</f>
        <v>Calculus</v>
      </c>
      <c r="E1473" s="3">
        <f>IFERROR(__xludf.DUMMYFUNCTION("""COMPUTED_VALUE"""),2.0)</f>
        <v>2</v>
      </c>
      <c r="F1473" s="300">
        <v>1.0</v>
      </c>
      <c r="G1473" s="300">
        <v>1.0</v>
      </c>
      <c r="H1473" s="300">
        <v>1.0</v>
      </c>
      <c r="I1473" s="300">
        <v>1.0</v>
      </c>
      <c r="J1473" s="300">
        <v>1.0</v>
      </c>
      <c r="K1473" s="300">
        <v>1.0</v>
      </c>
      <c r="L1473" s="300">
        <v>1.0</v>
      </c>
      <c r="M1473" s="300">
        <v>1.0</v>
      </c>
      <c r="N1473" s="300">
        <v>8.0</v>
      </c>
      <c r="O1473" s="300" t="s">
        <v>861</v>
      </c>
      <c r="P1473" s="300">
        <v>4.0</v>
      </c>
    </row>
    <row r="1474">
      <c r="A1474">
        <f>IFERROR(__xludf.DUMMYFUNCTION("""COMPUTED_VALUE"""),12.0)</f>
        <v>12</v>
      </c>
      <c r="B1474">
        <f>IFERROR(__xludf.DUMMYFUNCTION("""COMPUTED_VALUE"""),26061.0)</f>
        <v>26061</v>
      </c>
      <c r="C1474" t="str">
        <f>IFERROR(__xludf.DUMMYFUNCTION("""COMPUTED_VALUE"""),"JARAMILLO RUIZ, BENJAMIN")</f>
        <v>JARAMILLO RUIZ, BENJAMIN</v>
      </c>
      <c r="D1474" t="str">
        <f>IFERROR(__xludf.DUMMYFUNCTION("""COMPUTED_VALUE"""),"AP Calculus AB")</f>
        <v>AP Calculus AB</v>
      </c>
      <c r="E1474" s="3">
        <f>IFERROR(__xludf.DUMMYFUNCTION("""COMPUTED_VALUE"""),7.0)</f>
        <v>7</v>
      </c>
      <c r="F1474" s="300">
        <v>1.0</v>
      </c>
      <c r="G1474" s="300">
        <v>1.0</v>
      </c>
      <c r="H1474" s="300">
        <v>1.0</v>
      </c>
      <c r="I1474" s="300">
        <v>1.0</v>
      </c>
      <c r="J1474" s="300">
        <v>1.0</v>
      </c>
      <c r="K1474" s="300">
        <v>1.0</v>
      </c>
      <c r="L1474" s="300">
        <v>1.0</v>
      </c>
      <c r="M1474" s="300">
        <v>1.0</v>
      </c>
      <c r="N1474" s="300">
        <v>8.0</v>
      </c>
      <c r="O1474" s="300" t="s">
        <v>855</v>
      </c>
      <c r="P1474" s="300">
        <v>2.0</v>
      </c>
    </row>
    <row r="1475">
      <c r="A1475">
        <f>IFERROR(__xludf.DUMMYFUNCTION("""COMPUTED_VALUE"""),12.0)</f>
        <v>12</v>
      </c>
      <c r="B1475">
        <f>IFERROR(__xludf.DUMMYFUNCTION("""COMPUTED_VALUE"""),26157.0)</f>
        <v>26157</v>
      </c>
      <c r="C1475" t="str">
        <f>IFERROR(__xludf.DUMMYFUNCTION("""COMPUTED_VALUE"""),"CARVAJAL PEREZ, JERONIMO")</f>
        <v>CARVAJAL PEREZ, JERONIMO</v>
      </c>
      <c r="D1475" t="str">
        <f>IFERROR(__xludf.DUMMYFUNCTION("""COMPUTED_VALUE"""),"Financial Math")</f>
        <v>Financial Math</v>
      </c>
      <c r="E1475" s="3">
        <f>IFERROR(__xludf.DUMMYFUNCTION("""COMPUTED_VALUE"""),5.0)</f>
        <v>5</v>
      </c>
      <c r="F1475" s="300">
        <v>1.0</v>
      </c>
      <c r="G1475" s="300">
        <v>1.0</v>
      </c>
      <c r="H1475" s="300">
        <v>1.0</v>
      </c>
      <c r="I1475" s="300">
        <v>1.0</v>
      </c>
      <c r="J1475" s="300">
        <v>1.0</v>
      </c>
      <c r="K1475" s="300">
        <v>1.0</v>
      </c>
      <c r="L1475" s="300">
        <v>1.0</v>
      </c>
      <c r="M1475" s="300">
        <v>1.0</v>
      </c>
      <c r="N1475" s="300">
        <v>8.0</v>
      </c>
      <c r="O1475" s="300" t="s">
        <v>862</v>
      </c>
      <c r="P1475" s="300">
        <v>3.0</v>
      </c>
    </row>
    <row r="1476">
      <c r="A1476">
        <f>IFERROR(__xludf.DUMMYFUNCTION("""COMPUTED_VALUE"""),12.0)</f>
        <v>12</v>
      </c>
      <c r="B1476">
        <f>IFERROR(__xludf.DUMMYFUNCTION("""COMPUTED_VALUE"""),26062.0)</f>
        <v>26062</v>
      </c>
      <c r="C1476" t="str">
        <f>IFERROR(__xludf.DUMMYFUNCTION("""COMPUTED_VALUE"""),"JIMENEZ ESCOBAR, NICOLAS")</f>
        <v>JIMENEZ ESCOBAR, NICOLAS</v>
      </c>
      <c r="D1476" t="str">
        <f>IFERROR(__xludf.DUMMYFUNCTION("""COMPUTED_VALUE"""),"AP Calculus AB")</f>
        <v>AP Calculus AB</v>
      </c>
      <c r="E1476" s="3">
        <f>IFERROR(__xludf.DUMMYFUNCTION("""COMPUTED_VALUE"""),7.0)</f>
        <v>7</v>
      </c>
      <c r="F1476" s="300">
        <v>1.0</v>
      </c>
      <c r="G1476" s="300">
        <v>1.0</v>
      </c>
      <c r="H1476" s="300">
        <v>1.0</v>
      </c>
      <c r="I1476" s="300">
        <v>1.0</v>
      </c>
      <c r="J1476" s="300">
        <v>1.0</v>
      </c>
      <c r="K1476" s="300">
        <v>1.0</v>
      </c>
      <c r="L1476" s="300">
        <v>1.0</v>
      </c>
      <c r="M1476" s="300">
        <v>1.0</v>
      </c>
      <c r="N1476" s="300">
        <v>8.0</v>
      </c>
      <c r="O1476" s="300" t="s">
        <v>855</v>
      </c>
      <c r="P1476" s="300">
        <v>2.0</v>
      </c>
    </row>
    <row r="1477">
      <c r="A1477">
        <f>IFERROR(__xludf.DUMMYFUNCTION("""COMPUTED_VALUE"""),12.0)</f>
        <v>12</v>
      </c>
      <c r="B1477">
        <f>IFERROR(__xludf.DUMMYFUNCTION("""COMPUTED_VALUE"""),26096.0)</f>
        <v>26096</v>
      </c>
      <c r="C1477" t="str">
        <f>IFERROR(__xludf.DUMMYFUNCTION("""COMPUTED_VALUE"""),"RAMOS TRUJILLO, MARIA JOSE")</f>
        <v>RAMOS TRUJILLO, MARIA JOSE</v>
      </c>
      <c r="D1477" t="str">
        <f>IFERROR(__xludf.DUMMYFUNCTION("""COMPUTED_VALUE"""),"AP Calculus AB")</f>
        <v>AP Calculus AB</v>
      </c>
      <c r="E1477" s="3">
        <f>IFERROR(__xludf.DUMMYFUNCTION("""COMPUTED_VALUE"""),2.0)</f>
        <v>2</v>
      </c>
      <c r="F1477" s="300">
        <v>1.0</v>
      </c>
      <c r="G1477" s="300">
        <v>1.0</v>
      </c>
      <c r="H1477" s="300">
        <v>1.0</v>
      </c>
      <c r="I1477" s="300">
        <v>1.0</v>
      </c>
      <c r="J1477" s="300">
        <v>1.0</v>
      </c>
      <c r="K1477" s="300">
        <v>1.0</v>
      </c>
      <c r="L1477" s="300">
        <v>1.0</v>
      </c>
      <c r="M1477" s="300">
        <v>1.0</v>
      </c>
      <c r="N1477" s="300">
        <v>8.0</v>
      </c>
      <c r="O1477" s="300" t="s">
        <v>856</v>
      </c>
      <c r="P1477" s="300">
        <v>2.0</v>
      </c>
    </row>
    <row r="1478">
      <c r="A1478">
        <f>IFERROR(__xludf.DUMMYFUNCTION("""COMPUTED_VALUE"""),12.0)</f>
        <v>12</v>
      </c>
      <c r="B1478">
        <f>IFERROR(__xludf.DUMMYFUNCTION("""COMPUTED_VALUE"""),26045.0)</f>
        <v>26045</v>
      </c>
      <c r="C1478" t="str">
        <f>IFERROR(__xludf.DUMMYFUNCTION("""COMPUTED_VALUE"""),"GRISALES PINEDA, JULIANA")</f>
        <v>GRISALES PINEDA, JULIANA</v>
      </c>
      <c r="D1478" t="str">
        <f>IFERROR(__xludf.DUMMYFUNCTION("""COMPUTED_VALUE"""),"Calculus")</f>
        <v>Calculus</v>
      </c>
      <c r="E1478" s="3">
        <f>IFERROR(__xludf.DUMMYFUNCTION("""COMPUTED_VALUE"""),2.0)</f>
        <v>2</v>
      </c>
      <c r="F1478" s="300">
        <v>1.0</v>
      </c>
      <c r="G1478" s="300">
        <v>1.0</v>
      </c>
      <c r="H1478" s="300">
        <v>1.0</v>
      </c>
      <c r="I1478" s="300">
        <v>1.0</v>
      </c>
      <c r="J1478" s="300">
        <v>1.0</v>
      </c>
      <c r="K1478" s="300">
        <v>1.0</v>
      </c>
      <c r="L1478" s="300">
        <v>1.0</v>
      </c>
      <c r="M1478" s="300">
        <v>1.0</v>
      </c>
      <c r="N1478" s="300">
        <v>8.0</v>
      </c>
      <c r="O1478" s="300" t="s">
        <v>861</v>
      </c>
      <c r="P1478" s="300">
        <v>4.0</v>
      </c>
    </row>
    <row r="1479">
      <c r="A1479">
        <f>IFERROR(__xludf.DUMMYFUNCTION("""COMPUTED_VALUE"""),12.0)</f>
        <v>12</v>
      </c>
      <c r="B1479">
        <f>IFERROR(__xludf.DUMMYFUNCTION("""COMPUTED_VALUE"""),26126.0)</f>
        <v>26126</v>
      </c>
      <c r="C1479" t="str">
        <f>IFERROR(__xludf.DUMMYFUNCTION("""COMPUTED_VALUE"""),"ZAPATA SALDARRIAGA, TOMAS")</f>
        <v>ZAPATA SALDARRIAGA, TOMAS</v>
      </c>
      <c r="D1479" t="str">
        <f>IFERROR(__xludf.DUMMYFUNCTION("""COMPUTED_VALUE"""),"AP Calculus AB")</f>
        <v>AP Calculus AB</v>
      </c>
      <c r="E1479" s="3">
        <f>IFERROR(__xludf.DUMMYFUNCTION("""COMPUTED_VALUE"""),2.0)</f>
        <v>2</v>
      </c>
      <c r="F1479" s="300">
        <v>1.0</v>
      </c>
      <c r="G1479" s="300">
        <v>1.0</v>
      </c>
      <c r="H1479" s="300">
        <v>1.0</v>
      </c>
      <c r="I1479" s="300">
        <v>1.0</v>
      </c>
      <c r="J1479" s="300">
        <v>1.0</v>
      </c>
      <c r="K1479" s="300">
        <v>1.0</v>
      </c>
      <c r="L1479" s="300">
        <v>1.0</v>
      </c>
      <c r="M1479" s="300">
        <v>1.0</v>
      </c>
      <c r="N1479" s="300">
        <v>8.0</v>
      </c>
      <c r="O1479" s="300" t="s">
        <v>856</v>
      </c>
      <c r="P1479" s="300">
        <v>2.0</v>
      </c>
    </row>
    <row r="1480">
      <c r="A1480">
        <f>IFERROR(__xludf.DUMMYFUNCTION("""COMPUTED_VALUE"""),12.0)</f>
        <v>12</v>
      </c>
      <c r="B1480">
        <f>IFERROR(__xludf.DUMMYFUNCTION("""COMPUTED_VALUE"""),26151.0)</f>
        <v>26151</v>
      </c>
      <c r="C1480" t="str">
        <f>IFERROR(__xludf.DUMMYFUNCTION("""COMPUTED_VALUE"""),"CADAVID ECHAVARRIA, SUSANA")</f>
        <v>CADAVID ECHAVARRIA, SUSANA</v>
      </c>
      <c r="D1480" t="str">
        <f>IFERROR(__xludf.DUMMYFUNCTION("""COMPUTED_VALUE"""),"Calculus")</f>
        <v>Calculus</v>
      </c>
      <c r="E1480" s="3">
        <f>IFERROR(__xludf.DUMMYFUNCTION("""COMPUTED_VALUE"""),1.0)</f>
        <v>1</v>
      </c>
      <c r="F1480" s="300">
        <v>1.0</v>
      </c>
      <c r="G1480" s="300">
        <v>1.0</v>
      </c>
      <c r="H1480" s="300">
        <v>1.0</v>
      </c>
      <c r="I1480" s="300">
        <v>1.0</v>
      </c>
      <c r="J1480" s="300">
        <v>1.0</v>
      </c>
      <c r="K1480" s="300">
        <v>1.0</v>
      </c>
      <c r="L1480" s="300">
        <v>1.0</v>
      </c>
      <c r="M1480" s="300">
        <v>1.0</v>
      </c>
      <c r="N1480" s="300">
        <v>8.0</v>
      </c>
      <c r="O1480" s="300" t="s">
        <v>859</v>
      </c>
      <c r="P1480" s="300">
        <v>4.0</v>
      </c>
    </row>
    <row r="1481">
      <c r="A1481">
        <f>IFERROR(__xludf.DUMMYFUNCTION("""COMPUTED_VALUE"""),12.0)</f>
        <v>12</v>
      </c>
      <c r="B1481">
        <f>IFERROR(__xludf.DUMMYFUNCTION("""COMPUTED_VALUE"""),26175.0)</f>
        <v>26175</v>
      </c>
      <c r="C1481" t="str">
        <f>IFERROR(__xludf.DUMMYFUNCTION("""COMPUTED_VALUE"""),"GRULLON SANTOS, DIEGO")</f>
        <v>GRULLON SANTOS, DIEGO</v>
      </c>
      <c r="D1481" t="str">
        <f>IFERROR(__xludf.DUMMYFUNCTION("""COMPUTED_VALUE"""),"AP Statistics")</f>
        <v>AP Statistics</v>
      </c>
      <c r="E1481" s="3">
        <f>IFERROR(__xludf.DUMMYFUNCTION("""COMPUTED_VALUE"""),7.0)</f>
        <v>7</v>
      </c>
      <c r="F1481" s="300">
        <v>1.0</v>
      </c>
      <c r="G1481" s="300">
        <v>1.0</v>
      </c>
      <c r="H1481" s="300">
        <v>1.0</v>
      </c>
      <c r="I1481" s="300">
        <v>1.0</v>
      </c>
      <c r="J1481" s="300">
        <v>1.0</v>
      </c>
      <c r="K1481" s="300">
        <v>1.0</v>
      </c>
      <c r="L1481" s="300">
        <v>1.0</v>
      </c>
      <c r="M1481" s="300">
        <v>1.0</v>
      </c>
      <c r="N1481" s="300">
        <v>8.0</v>
      </c>
      <c r="O1481" s="300" t="s">
        <v>860</v>
      </c>
      <c r="P1481" s="300">
        <v>1.0</v>
      </c>
    </row>
    <row r="1482">
      <c r="A1482">
        <f>IFERROR(__xludf.DUMMYFUNCTION("""COMPUTED_VALUE"""),12.0)</f>
        <v>12</v>
      </c>
      <c r="B1482">
        <f>IFERROR(__xludf.DUMMYFUNCTION("""COMPUTED_VALUE"""),26164.0)</f>
        <v>26164</v>
      </c>
      <c r="C1482" t="str">
        <f>IFERROR(__xludf.DUMMYFUNCTION("""COMPUTED_VALUE"""),"HARRIS, ROWEN IAN")</f>
        <v>HARRIS, ROWEN IAN</v>
      </c>
      <c r="D1482" t="str">
        <f>IFERROR(__xludf.DUMMYFUNCTION("""COMPUTED_VALUE"""),"AP Statistics")</f>
        <v>AP Statistics</v>
      </c>
      <c r="E1482" s="3">
        <f>IFERROR(__xludf.DUMMYFUNCTION("""COMPUTED_VALUE"""),7.0)</f>
        <v>7</v>
      </c>
      <c r="F1482" s="300">
        <v>1.0</v>
      </c>
      <c r="G1482" s="300">
        <v>1.0</v>
      </c>
      <c r="H1482" s="300">
        <v>1.0</v>
      </c>
      <c r="I1482" s="300">
        <v>1.0</v>
      </c>
      <c r="J1482" s="300">
        <v>1.0</v>
      </c>
      <c r="K1482" s="300">
        <v>1.0</v>
      </c>
      <c r="L1482" s="300">
        <v>1.0</v>
      </c>
      <c r="M1482" s="300">
        <v>1.0</v>
      </c>
      <c r="N1482" s="300">
        <v>8.0</v>
      </c>
      <c r="O1482" s="300" t="s">
        <v>860</v>
      </c>
      <c r="P1482" s="300">
        <v>1.0</v>
      </c>
    </row>
    <row r="1483">
      <c r="A1483">
        <f>IFERROR(__xludf.DUMMYFUNCTION("""COMPUTED_VALUE"""),12.0)</f>
        <v>12</v>
      </c>
      <c r="B1483">
        <f>IFERROR(__xludf.DUMMYFUNCTION("""COMPUTED_VALUE"""),26016.0)</f>
        <v>26016</v>
      </c>
      <c r="C1483" t="str">
        <f>IFERROR(__xludf.DUMMYFUNCTION("""COMPUTED_VALUE"""),"BETANCUR VILLEGAS, SOFIA")</f>
        <v>BETANCUR VILLEGAS, SOFIA</v>
      </c>
      <c r="D1483" t="str">
        <f>IFERROR(__xludf.DUMMYFUNCTION("""COMPUTED_VALUE"""),"Financial Math")</f>
        <v>Financial Math</v>
      </c>
      <c r="E1483" s="3">
        <f>IFERROR(__xludf.DUMMYFUNCTION("""COMPUTED_VALUE"""),5.0)</f>
        <v>5</v>
      </c>
      <c r="F1483" s="300">
        <v>1.0</v>
      </c>
      <c r="G1483" s="300">
        <v>1.0</v>
      </c>
      <c r="H1483" s="300">
        <v>1.0</v>
      </c>
      <c r="I1483" s="300">
        <v>1.0</v>
      </c>
      <c r="J1483" s="300">
        <v>1.0</v>
      </c>
      <c r="K1483" s="300">
        <v>1.0</v>
      </c>
      <c r="L1483" s="300">
        <v>1.0</v>
      </c>
      <c r="M1483" s="300">
        <v>1.0</v>
      </c>
      <c r="N1483" s="300">
        <v>8.0</v>
      </c>
      <c r="O1483" s="300" t="s">
        <v>862</v>
      </c>
      <c r="P1483" s="300">
        <v>3.0</v>
      </c>
    </row>
    <row r="1484">
      <c r="A1484">
        <f>IFERROR(__xludf.DUMMYFUNCTION("""COMPUTED_VALUE"""),12.0)</f>
        <v>12</v>
      </c>
      <c r="B1484">
        <f>IFERROR(__xludf.DUMMYFUNCTION("""COMPUTED_VALUE"""),26057.0)</f>
        <v>26057</v>
      </c>
      <c r="C1484" t="str">
        <f>IFERROR(__xludf.DUMMYFUNCTION("""COMPUTED_VALUE"""),"JARAMILLO ARANGO, AMALIA")</f>
        <v>JARAMILLO ARANGO, AMALIA</v>
      </c>
      <c r="D1484" t="str">
        <f>IFERROR(__xludf.DUMMYFUNCTION("""COMPUTED_VALUE"""),"AP Statistics")</f>
        <v>AP Statistics</v>
      </c>
      <c r="E1484" s="3">
        <f>IFERROR(__xludf.DUMMYFUNCTION("""COMPUTED_VALUE"""),7.0)</f>
        <v>7</v>
      </c>
      <c r="F1484" s="300">
        <v>1.0</v>
      </c>
      <c r="G1484" s="300">
        <v>1.0</v>
      </c>
      <c r="H1484" s="300">
        <v>1.0</v>
      </c>
      <c r="I1484" s="300">
        <v>1.0</v>
      </c>
      <c r="J1484" s="300">
        <v>1.0</v>
      </c>
      <c r="K1484" s="300">
        <v>1.0</v>
      </c>
      <c r="L1484" s="300">
        <v>1.0</v>
      </c>
      <c r="M1484" s="300">
        <v>1.0</v>
      </c>
      <c r="N1484" s="300">
        <v>8.0</v>
      </c>
      <c r="O1484" s="300" t="s">
        <v>860</v>
      </c>
      <c r="P1484" s="300">
        <v>1.0</v>
      </c>
    </row>
    <row r="1485">
      <c r="A1485">
        <f>IFERROR(__xludf.DUMMYFUNCTION("""COMPUTED_VALUE"""),12.0)</f>
        <v>12</v>
      </c>
      <c r="B1485">
        <f>IFERROR(__xludf.DUMMYFUNCTION("""COMPUTED_VALUE"""),26059.0)</f>
        <v>26059</v>
      </c>
      <c r="C1485" t="str">
        <f>IFERROR(__xludf.DUMMYFUNCTION("""COMPUTED_VALUE"""),"JARAMILLO NARANJO, SARA")</f>
        <v>JARAMILLO NARANJO, SARA</v>
      </c>
      <c r="D1485" t="str">
        <f>IFERROR(__xludf.DUMMYFUNCTION("""COMPUTED_VALUE"""),"Calculus")</f>
        <v>Calculus</v>
      </c>
      <c r="E1485" s="3">
        <f>IFERROR(__xludf.DUMMYFUNCTION("""COMPUTED_VALUE"""),5.0)</f>
        <v>5</v>
      </c>
      <c r="F1485" s="300">
        <v>1.0</v>
      </c>
      <c r="G1485" s="300">
        <v>1.0</v>
      </c>
      <c r="H1485" s="300">
        <v>1.0</v>
      </c>
      <c r="I1485" s="300">
        <v>1.0</v>
      </c>
      <c r="J1485" s="300">
        <v>1.0</v>
      </c>
      <c r="K1485" s="300">
        <v>1.0</v>
      </c>
      <c r="L1485" s="300">
        <v>1.0</v>
      </c>
      <c r="M1485" s="300">
        <v>1.0</v>
      </c>
      <c r="N1485" s="300">
        <v>8.0</v>
      </c>
      <c r="O1485" s="300" t="s">
        <v>857</v>
      </c>
      <c r="P1485" s="300">
        <v>4.0</v>
      </c>
    </row>
    <row r="1486">
      <c r="A1486">
        <f>IFERROR(__xludf.DUMMYFUNCTION("""COMPUTED_VALUE"""),12.0)</f>
        <v>12</v>
      </c>
      <c r="B1486">
        <f>IFERROR(__xludf.DUMMYFUNCTION("""COMPUTED_VALUE"""),26094.0)</f>
        <v>26094</v>
      </c>
      <c r="C1486" t="str">
        <f>IFERROR(__xludf.DUMMYFUNCTION("""COMPUTED_VALUE"""),"PULGARIN HUERTAS, AMELIA")</f>
        <v>PULGARIN HUERTAS, AMELIA</v>
      </c>
      <c r="D1486" t="str">
        <f>IFERROR(__xludf.DUMMYFUNCTION("""COMPUTED_VALUE"""),"Calculus")</f>
        <v>Calculus</v>
      </c>
      <c r="E1486" s="3">
        <f>IFERROR(__xludf.DUMMYFUNCTION("""COMPUTED_VALUE"""),5.0)</f>
        <v>5</v>
      </c>
      <c r="F1486" s="300">
        <v>1.0</v>
      </c>
      <c r="G1486" s="300">
        <v>1.0</v>
      </c>
      <c r="H1486" s="300">
        <v>1.0</v>
      </c>
      <c r="I1486" s="300">
        <v>1.0</v>
      </c>
      <c r="J1486" s="300">
        <v>1.0</v>
      </c>
      <c r="K1486" s="300">
        <v>1.0</v>
      </c>
      <c r="L1486" s="300">
        <v>1.0</v>
      </c>
      <c r="M1486" s="300">
        <v>1.0</v>
      </c>
      <c r="N1486" s="300">
        <v>8.0</v>
      </c>
      <c r="O1486" s="300" t="s">
        <v>857</v>
      </c>
      <c r="P1486" s="300">
        <v>4.0</v>
      </c>
    </row>
    <row r="1487">
      <c r="A1487">
        <f>IFERROR(__xludf.DUMMYFUNCTION("""COMPUTED_VALUE"""),12.0)</f>
        <v>12</v>
      </c>
      <c r="B1487">
        <f>IFERROR(__xludf.DUMMYFUNCTION("""COMPUTED_VALUE"""),26007.0)</f>
        <v>26007</v>
      </c>
      <c r="C1487" t="str">
        <f>IFERROR(__xludf.DUMMYFUNCTION("""COMPUTED_VALUE"""),"ARANGO ESCOBAR, JULIANA")</f>
        <v>ARANGO ESCOBAR, JULIANA</v>
      </c>
      <c r="D1487" t="str">
        <f>IFERROR(__xludf.DUMMYFUNCTION("""COMPUTED_VALUE"""),"AP Calculus BC")</f>
        <v>AP Calculus BC</v>
      </c>
      <c r="E1487" s="3">
        <f>IFERROR(__xludf.DUMMYFUNCTION("""COMPUTED_VALUE"""),3.0)</f>
        <v>3</v>
      </c>
      <c r="F1487" s="300">
        <v>1.0</v>
      </c>
      <c r="G1487" s="300">
        <v>1.0</v>
      </c>
      <c r="H1487" s="300">
        <v>1.0</v>
      </c>
      <c r="I1487" s="300">
        <v>1.0</v>
      </c>
      <c r="J1487" s="300">
        <v>1.0</v>
      </c>
      <c r="K1487" s="300">
        <v>1.0</v>
      </c>
      <c r="L1487" s="300">
        <v>1.0</v>
      </c>
      <c r="M1487" s="300">
        <v>1.0</v>
      </c>
      <c r="N1487" s="300">
        <v>8.0</v>
      </c>
      <c r="O1487" s="300" t="s">
        <v>863</v>
      </c>
      <c r="P1487" s="300">
        <v>1.0</v>
      </c>
    </row>
    <row r="1488">
      <c r="A1488">
        <f>IFERROR(__xludf.DUMMYFUNCTION("""COMPUTED_VALUE"""),12.0)</f>
        <v>12</v>
      </c>
      <c r="B1488">
        <f>IFERROR(__xludf.DUMMYFUNCTION("""COMPUTED_VALUE"""),26176.0)</f>
        <v>26176</v>
      </c>
      <c r="C1488" t="str">
        <f>IFERROR(__xludf.DUMMYFUNCTION("""COMPUTED_VALUE"""),"FORTICH ANGULO, SERGIO")</f>
        <v>FORTICH ANGULO, SERGIO</v>
      </c>
      <c r="D1488" t="str">
        <f>IFERROR(__xludf.DUMMYFUNCTION("""COMPUTED_VALUE"""),"Calculus")</f>
        <v>Calculus</v>
      </c>
      <c r="E1488" s="3">
        <f>IFERROR(__xludf.DUMMYFUNCTION("""COMPUTED_VALUE"""),2.0)</f>
        <v>2</v>
      </c>
      <c r="F1488" s="300">
        <v>1.0</v>
      </c>
      <c r="G1488" s="300">
        <v>1.0</v>
      </c>
      <c r="H1488" s="300">
        <v>1.0</v>
      </c>
      <c r="I1488" s="300">
        <v>1.0</v>
      </c>
      <c r="J1488" s="300">
        <v>1.0</v>
      </c>
      <c r="K1488" s="300">
        <v>1.0</v>
      </c>
      <c r="L1488" s="300">
        <v>1.0</v>
      </c>
      <c r="M1488" s="300">
        <v>1.0</v>
      </c>
      <c r="N1488" s="300">
        <v>8.0</v>
      </c>
      <c r="O1488" s="300" t="s">
        <v>861</v>
      </c>
      <c r="P1488" s="300">
        <v>4.0</v>
      </c>
    </row>
    <row r="1489">
      <c r="A1489">
        <f>IFERROR(__xludf.DUMMYFUNCTION("""COMPUTED_VALUE"""),12.0)</f>
        <v>12</v>
      </c>
      <c r="B1489">
        <f>IFERROR(__xludf.DUMMYFUNCTION("""COMPUTED_VALUE"""),26070.0)</f>
        <v>26070</v>
      </c>
      <c r="C1489" t="str">
        <f>IFERROR(__xludf.DUMMYFUNCTION("""COMPUTED_VALUE"""),"MEJIA MEJIA, LUCAS")</f>
        <v>MEJIA MEJIA, LUCAS</v>
      </c>
      <c r="D1489" t="str">
        <f>IFERROR(__xludf.DUMMYFUNCTION("""COMPUTED_VALUE"""),"Calculus")</f>
        <v>Calculus</v>
      </c>
      <c r="E1489" s="3">
        <f>IFERROR(__xludf.DUMMYFUNCTION("""COMPUTED_VALUE"""),6.0)</f>
        <v>6</v>
      </c>
      <c r="F1489" s="300">
        <v>1.0</v>
      </c>
      <c r="G1489" s="300">
        <v>1.0</v>
      </c>
      <c r="H1489" s="300">
        <v>1.0</v>
      </c>
      <c r="I1489" s="300">
        <v>1.0</v>
      </c>
      <c r="J1489" s="300">
        <v>1.0</v>
      </c>
      <c r="K1489" s="300">
        <v>1.0</v>
      </c>
      <c r="L1489" s="300">
        <v>1.0</v>
      </c>
      <c r="M1489" s="300">
        <v>1.0</v>
      </c>
      <c r="N1489" s="300">
        <v>8.0</v>
      </c>
      <c r="O1489" s="300" t="s">
        <v>858</v>
      </c>
      <c r="P1489" s="300">
        <v>4.0</v>
      </c>
    </row>
    <row r="1490">
      <c r="A1490">
        <f>IFERROR(__xludf.DUMMYFUNCTION("""COMPUTED_VALUE"""),12.0)</f>
        <v>12</v>
      </c>
      <c r="B1490">
        <f>IFERROR(__xludf.DUMMYFUNCTION("""COMPUTED_VALUE"""),26052.0)</f>
        <v>26052</v>
      </c>
      <c r="C1490" t="str">
        <f>IFERROR(__xludf.DUMMYFUNCTION("""COMPUTED_VALUE"""),"HINESTROSA SIERRA, AMALIA")</f>
        <v>HINESTROSA SIERRA, AMALIA</v>
      </c>
      <c r="D1490" t="str">
        <f>IFERROR(__xludf.DUMMYFUNCTION("""COMPUTED_VALUE"""),"AP Statistics")</f>
        <v>AP Statistics</v>
      </c>
      <c r="E1490" s="3">
        <f>IFERROR(__xludf.DUMMYFUNCTION("""COMPUTED_VALUE"""),7.0)</f>
        <v>7</v>
      </c>
      <c r="F1490" s="300">
        <v>1.0</v>
      </c>
      <c r="G1490" s="300">
        <v>1.0</v>
      </c>
      <c r="H1490" s="300">
        <v>1.0</v>
      </c>
      <c r="I1490" s="300">
        <v>1.0</v>
      </c>
      <c r="J1490" s="300">
        <v>1.0</v>
      </c>
      <c r="K1490" s="300">
        <v>1.0</v>
      </c>
      <c r="L1490" s="300">
        <v>1.0</v>
      </c>
      <c r="M1490" s="300">
        <v>1.0</v>
      </c>
      <c r="N1490" s="300">
        <v>8.0</v>
      </c>
      <c r="O1490" s="300" t="s">
        <v>860</v>
      </c>
      <c r="P1490" s="300">
        <v>1.0</v>
      </c>
    </row>
    <row r="1491">
      <c r="A1491">
        <f>IFERROR(__xludf.DUMMYFUNCTION("""COMPUTED_VALUE"""),12.0)</f>
        <v>12</v>
      </c>
      <c r="B1491">
        <f>IFERROR(__xludf.DUMMYFUNCTION("""COMPUTED_VALUE"""),26123.0)</f>
        <v>26123</v>
      </c>
      <c r="C1491" t="str">
        <f>IFERROR(__xludf.DUMMYFUNCTION("""COMPUTED_VALUE"""),"WOLFF RAMIREZ, MARIA")</f>
        <v>WOLFF RAMIREZ, MARIA</v>
      </c>
      <c r="D1491" t="str">
        <f>IFERROR(__xludf.DUMMYFUNCTION("""COMPUTED_VALUE"""),"Financial Math")</f>
        <v>Financial Math</v>
      </c>
      <c r="E1491" s="3">
        <f>IFERROR(__xludf.DUMMYFUNCTION("""COMPUTED_VALUE"""),4.0)</f>
        <v>4</v>
      </c>
      <c r="F1491" s="300">
        <v>1.0</v>
      </c>
      <c r="G1491" s="300">
        <v>1.0</v>
      </c>
      <c r="H1491" s="300">
        <v>1.0</v>
      </c>
      <c r="I1491" s="300">
        <v>1.0</v>
      </c>
      <c r="J1491" s="300">
        <v>1.0</v>
      </c>
      <c r="K1491" s="300">
        <v>1.0</v>
      </c>
      <c r="L1491" s="300">
        <v>1.0</v>
      </c>
      <c r="M1491" s="300">
        <v>1.0</v>
      </c>
      <c r="N1491" s="300">
        <v>8.0</v>
      </c>
      <c r="O1491" s="300" t="s">
        <v>865</v>
      </c>
      <c r="P1491" s="300">
        <v>3.0</v>
      </c>
    </row>
    <row r="1492">
      <c r="A1492">
        <f>IFERROR(__xludf.DUMMYFUNCTION("""COMPUTED_VALUE"""),12.0)</f>
        <v>12</v>
      </c>
      <c r="B1492">
        <f>IFERROR(__xludf.DUMMYFUNCTION("""COMPUTED_VALUE"""),26042.0)</f>
        <v>26042</v>
      </c>
      <c r="C1492" t="str">
        <f>IFERROR(__xludf.DUMMYFUNCTION("""COMPUTED_VALUE"""),"GOMEZ VELEZ, MIGUEL")</f>
        <v>GOMEZ VELEZ, MIGUEL</v>
      </c>
      <c r="D1492" t="str">
        <f>IFERROR(__xludf.DUMMYFUNCTION("""COMPUTED_VALUE"""),"Calculus")</f>
        <v>Calculus</v>
      </c>
      <c r="E1492" s="3">
        <f>IFERROR(__xludf.DUMMYFUNCTION("""COMPUTED_VALUE"""),2.0)</f>
        <v>2</v>
      </c>
      <c r="F1492" s="300">
        <v>1.0</v>
      </c>
      <c r="G1492" s="300">
        <v>1.0</v>
      </c>
      <c r="H1492" s="300">
        <v>1.0</v>
      </c>
      <c r="I1492" s="300">
        <v>1.0</v>
      </c>
      <c r="J1492" s="300">
        <v>1.0</v>
      </c>
      <c r="K1492" s="300">
        <v>1.0</v>
      </c>
      <c r="L1492" s="300">
        <v>1.0</v>
      </c>
      <c r="M1492" s="300">
        <v>1.0</v>
      </c>
      <c r="N1492" s="300">
        <v>8.0</v>
      </c>
      <c r="O1492" s="300" t="s">
        <v>861</v>
      </c>
      <c r="P1492" s="300">
        <v>4.0</v>
      </c>
    </row>
    <row r="1493">
      <c r="A1493">
        <f>IFERROR(__xludf.DUMMYFUNCTION("""COMPUTED_VALUE"""),12.0)</f>
        <v>12</v>
      </c>
      <c r="B1493">
        <f>IFERROR(__xludf.DUMMYFUNCTION("""COMPUTED_VALUE"""),26116.0)</f>
        <v>26116</v>
      </c>
      <c r="C1493" t="str">
        <f>IFERROR(__xludf.DUMMYFUNCTION("""COMPUTED_VALUE"""),"VELEZ FERRER, AGUSTIN")</f>
        <v>VELEZ FERRER, AGUSTIN</v>
      </c>
      <c r="D1493" t="str">
        <f>IFERROR(__xludf.DUMMYFUNCTION("""COMPUTED_VALUE"""),"Calculus")</f>
        <v>Calculus</v>
      </c>
      <c r="E1493" s="3">
        <f>IFERROR(__xludf.DUMMYFUNCTION("""COMPUTED_VALUE"""),2.0)</f>
        <v>2</v>
      </c>
      <c r="F1493" s="300">
        <v>1.0</v>
      </c>
      <c r="G1493" s="300">
        <v>1.0</v>
      </c>
      <c r="H1493" s="300">
        <v>1.0</v>
      </c>
      <c r="I1493" s="300">
        <v>1.0</v>
      </c>
      <c r="J1493" s="300">
        <v>1.0</v>
      </c>
      <c r="K1493" s="300">
        <v>1.0</v>
      </c>
      <c r="L1493" s="300">
        <v>1.0</v>
      </c>
      <c r="M1493" s="300">
        <v>1.0</v>
      </c>
      <c r="N1493" s="300">
        <v>8.0</v>
      </c>
      <c r="O1493" s="300" t="s">
        <v>861</v>
      </c>
      <c r="P1493" s="300">
        <v>4.0</v>
      </c>
    </row>
    <row r="1494">
      <c r="A1494">
        <f>IFERROR(__xludf.DUMMYFUNCTION("""COMPUTED_VALUE"""),12.0)</f>
        <v>12</v>
      </c>
      <c r="B1494">
        <f>IFERROR(__xludf.DUMMYFUNCTION("""COMPUTED_VALUE"""),26039.0)</f>
        <v>26039</v>
      </c>
      <c r="C1494" t="str">
        <f>IFERROR(__xludf.DUMMYFUNCTION("""COMPUTED_VALUE"""),"GOMEZ LINCE, MARIA")</f>
        <v>GOMEZ LINCE, MARIA</v>
      </c>
      <c r="D1494" t="str">
        <f>IFERROR(__xludf.DUMMYFUNCTION("""COMPUTED_VALUE"""),"Calculus")</f>
        <v>Calculus</v>
      </c>
      <c r="E1494" s="3">
        <f>IFERROR(__xludf.DUMMYFUNCTION("""COMPUTED_VALUE"""),2.0)</f>
        <v>2</v>
      </c>
      <c r="F1494" s="300">
        <v>1.0</v>
      </c>
      <c r="G1494" s="300">
        <v>1.0</v>
      </c>
      <c r="H1494" s="300">
        <v>1.0</v>
      </c>
      <c r="I1494" s="300">
        <v>1.0</v>
      </c>
      <c r="J1494" s="300">
        <v>1.0</v>
      </c>
      <c r="K1494" s="300">
        <v>1.0</v>
      </c>
      <c r="L1494" s="300">
        <v>1.0</v>
      </c>
      <c r="M1494" s="300">
        <v>1.0</v>
      </c>
      <c r="N1494" s="300">
        <v>8.0</v>
      </c>
      <c r="O1494" s="300" t="s">
        <v>861</v>
      </c>
      <c r="P1494" s="300">
        <v>4.0</v>
      </c>
    </row>
    <row r="1495">
      <c r="A1495">
        <f>IFERROR(__xludf.DUMMYFUNCTION("""COMPUTED_VALUE"""),12.0)</f>
        <v>12</v>
      </c>
      <c r="B1495">
        <f>IFERROR(__xludf.DUMMYFUNCTION("""COMPUTED_VALUE"""),26030.0)</f>
        <v>26030</v>
      </c>
      <c r="C1495" t="str">
        <f>IFERROR(__xludf.DUMMYFUNCTION("""COMPUTED_VALUE"""),"FERNANDEZ DUQUE, CANDELARIA")</f>
        <v>FERNANDEZ DUQUE, CANDELARIA</v>
      </c>
      <c r="D1495" t="str">
        <f>IFERROR(__xludf.DUMMYFUNCTION("""COMPUTED_VALUE"""),"Calculus")</f>
        <v>Calculus</v>
      </c>
      <c r="E1495" s="3">
        <f>IFERROR(__xludf.DUMMYFUNCTION("""COMPUTED_VALUE"""),5.0)</f>
        <v>5</v>
      </c>
      <c r="F1495" s="300">
        <v>1.0</v>
      </c>
      <c r="G1495" s="300">
        <v>1.0</v>
      </c>
      <c r="H1495" s="300">
        <v>1.0</v>
      </c>
      <c r="I1495" s="300">
        <v>1.0</v>
      </c>
      <c r="J1495" s="300">
        <v>1.0</v>
      </c>
      <c r="K1495" s="300">
        <v>1.0</v>
      </c>
      <c r="L1495" s="300">
        <v>1.0</v>
      </c>
      <c r="M1495" s="300">
        <v>1.0</v>
      </c>
      <c r="N1495" s="300">
        <v>8.0</v>
      </c>
      <c r="O1495" s="300" t="s">
        <v>857</v>
      </c>
      <c r="P1495" s="300">
        <v>4.0</v>
      </c>
    </row>
    <row r="1496">
      <c r="A1496">
        <f>IFERROR(__xludf.DUMMYFUNCTION("""COMPUTED_VALUE"""),12.0)</f>
        <v>12</v>
      </c>
      <c r="B1496">
        <f>IFERROR(__xludf.DUMMYFUNCTION("""COMPUTED_VALUE"""),26003.0)</f>
        <v>26003</v>
      </c>
      <c r="C1496" t="str">
        <f>IFERROR(__xludf.DUMMYFUNCTION("""COMPUTED_VALUE"""),"AGUDELO ECHEVERRI, MATIAS")</f>
        <v>AGUDELO ECHEVERRI, MATIAS</v>
      </c>
      <c r="D1496" t="str">
        <f>IFERROR(__xludf.DUMMYFUNCTION("""COMPUTED_VALUE"""),"AP Calculus AB")</f>
        <v>AP Calculus AB</v>
      </c>
      <c r="E1496" s="3">
        <f>IFERROR(__xludf.DUMMYFUNCTION("""COMPUTED_VALUE"""),7.0)</f>
        <v>7</v>
      </c>
      <c r="F1496" s="300">
        <v>1.0</v>
      </c>
      <c r="G1496" s="300">
        <v>1.0</v>
      </c>
      <c r="H1496" s="300">
        <v>1.0</v>
      </c>
      <c r="I1496" s="300">
        <v>1.0</v>
      </c>
      <c r="J1496" s="300">
        <v>1.0</v>
      </c>
      <c r="K1496" s="300">
        <v>1.0</v>
      </c>
      <c r="L1496" s="300">
        <v>1.0</v>
      </c>
      <c r="M1496" s="300">
        <v>1.0</v>
      </c>
      <c r="N1496" s="300">
        <v>8.0</v>
      </c>
      <c r="O1496" s="300" t="s">
        <v>855</v>
      </c>
      <c r="P1496" s="300">
        <v>2.0</v>
      </c>
    </row>
    <row r="1497">
      <c r="A1497">
        <f>IFERROR(__xludf.DUMMYFUNCTION("""COMPUTED_VALUE"""),12.0)</f>
        <v>12</v>
      </c>
      <c r="B1497" s="406">
        <f>IFERROR(__xludf.DUMMYFUNCTION("""COMPUTED_VALUE"""),26053.0)</f>
        <v>26053</v>
      </c>
      <c r="C1497" t="str">
        <f>IFERROR(__xludf.DUMMYFUNCTION("""COMPUTED_VALUE"""),"HODEK RESTREPO, MIA")</f>
        <v>HODEK RESTREPO, MIA</v>
      </c>
      <c r="D1497" t="str">
        <f>IFERROR(__xludf.DUMMYFUNCTION("""COMPUTED_VALUE"""),"Financial Math")</f>
        <v>Financial Math</v>
      </c>
      <c r="E1497" s="3">
        <f>IFERROR(__xludf.DUMMYFUNCTION("""COMPUTED_VALUE"""),4.0)</f>
        <v>4</v>
      </c>
      <c r="F1497" s="300">
        <v>1.0</v>
      </c>
      <c r="G1497" s="300">
        <v>1.0</v>
      </c>
      <c r="H1497" s="300">
        <v>1.0</v>
      </c>
      <c r="I1497" s="300">
        <v>1.0</v>
      </c>
      <c r="J1497" s="300">
        <v>1.0</v>
      </c>
      <c r="K1497" s="300">
        <v>1.0</v>
      </c>
      <c r="L1497" s="300">
        <v>1.0</v>
      </c>
      <c r="M1497" s="300">
        <v>1.0</v>
      </c>
      <c r="N1497" s="300">
        <v>8.0</v>
      </c>
      <c r="O1497" s="300" t="s">
        <v>865</v>
      </c>
      <c r="P1497" s="300">
        <v>3.0</v>
      </c>
    </row>
    <row r="1498">
      <c r="A1498">
        <f>IFERROR(__xludf.DUMMYFUNCTION("""COMPUTED_VALUE"""),12.0)</f>
        <v>12</v>
      </c>
      <c r="B1498">
        <f>IFERROR(__xludf.DUMMYFUNCTION("""COMPUTED_VALUE"""),26021.0)</f>
        <v>26021</v>
      </c>
      <c r="C1498" t="str">
        <f>IFERROR(__xludf.DUMMYFUNCTION("""COMPUTED_VALUE"""),"CARDONA OCHOA, CAMILA")</f>
        <v>CARDONA OCHOA, CAMILA</v>
      </c>
      <c r="D1498" t="str">
        <f>IFERROR(__xludf.DUMMYFUNCTION("""COMPUTED_VALUE"""),"AP Calculus BC")</f>
        <v>AP Calculus BC</v>
      </c>
      <c r="E1498" s="3">
        <f>IFERROR(__xludf.DUMMYFUNCTION("""COMPUTED_VALUE"""),3.0)</f>
        <v>3</v>
      </c>
      <c r="F1498" s="300">
        <v>1.0</v>
      </c>
      <c r="G1498" s="300">
        <v>1.0</v>
      </c>
      <c r="H1498" s="300">
        <v>1.0</v>
      </c>
      <c r="I1498" s="300">
        <v>1.0</v>
      </c>
      <c r="J1498" s="300">
        <v>1.0</v>
      </c>
      <c r="K1498" s="300">
        <v>1.0</v>
      </c>
      <c r="L1498" s="300">
        <v>1.0</v>
      </c>
      <c r="M1498" s="300">
        <v>1.0</v>
      </c>
      <c r="N1498" s="300">
        <v>8.0</v>
      </c>
      <c r="O1498" s="300" t="s">
        <v>863</v>
      </c>
      <c r="P1498" s="300">
        <v>1.0</v>
      </c>
    </row>
    <row r="1499">
      <c r="A1499">
        <f>IFERROR(__xludf.DUMMYFUNCTION("""COMPUTED_VALUE"""),12.0)</f>
        <v>12</v>
      </c>
      <c r="B1499">
        <f>IFERROR(__xludf.DUMMYFUNCTION("""COMPUTED_VALUE"""),26089.0)</f>
        <v>26089</v>
      </c>
      <c r="C1499" t="str">
        <f>IFERROR(__xludf.DUMMYFUNCTION("""COMPUTED_VALUE"""),"PEREZ YEPES, EMILIANO")</f>
        <v>PEREZ YEPES, EMILIANO</v>
      </c>
      <c r="D1499" t="str">
        <f>IFERROR(__xludf.DUMMYFUNCTION("""COMPUTED_VALUE"""),"Calculus")</f>
        <v>Calculus</v>
      </c>
      <c r="E1499" s="3">
        <f>IFERROR(__xludf.DUMMYFUNCTION("""COMPUTED_VALUE"""),1.0)</f>
        <v>1</v>
      </c>
      <c r="F1499" s="300">
        <v>1.0</v>
      </c>
      <c r="G1499" s="300">
        <v>1.0</v>
      </c>
      <c r="H1499" s="300">
        <v>1.0</v>
      </c>
      <c r="I1499" s="300">
        <v>1.0</v>
      </c>
      <c r="J1499" s="300">
        <v>1.0</v>
      </c>
      <c r="K1499" s="300">
        <v>1.0</v>
      </c>
      <c r="L1499" s="300">
        <v>1.0</v>
      </c>
      <c r="M1499" s="300">
        <v>1.0</v>
      </c>
      <c r="N1499" s="300">
        <v>8.0</v>
      </c>
      <c r="O1499" s="300" t="s">
        <v>859</v>
      </c>
      <c r="P1499" s="300">
        <v>4.0</v>
      </c>
    </row>
    <row r="1500">
      <c r="A1500">
        <f>IFERROR(__xludf.DUMMYFUNCTION("""COMPUTED_VALUE"""),12.0)</f>
        <v>12</v>
      </c>
      <c r="B1500">
        <f>IFERROR(__xludf.DUMMYFUNCTION("""COMPUTED_VALUE"""),26035.0)</f>
        <v>26035</v>
      </c>
      <c r="C1500" t="str">
        <f>IFERROR(__xludf.DUMMYFUNCTION("""COMPUTED_VALUE"""),"GAVIRIA GONZALEZ, MATIAS")</f>
        <v>GAVIRIA GONZALEZ, MATIAS</v>
      </c>
      <c r="D1500" t="str">
        <f>IFERROR(__xludf.DUMMYFUNCTION("""COMPUTED_VALUE"""),"Calculus")</f>
        <v>Calculus</v>
      </c>
      <c r="E1500" s="3">
        <f>IFERROR(__xludf.DUMMYFUNCTION("""COMPUTED_VALUE"""),5.0)</f>
        <v>5</v>
      </c>
      <c r="F1500" s="300">
        <v>1.0</v>
      </c>
      <c r="G1500" s="300">
        <v>1.0</v>
      </c>
      <c r="H1500" s="300">
        <v>1.0</v>
      </c>
      <c r="I1500" s="300">
        <v>1.0</v>
      </c>
      <c r="J1500" s="300">
        <v>1.0</v>
      </c>
      <c r="K1500" s="300">
        <v>1.0</v>
      </c>
      <c r="L1500" s="300">
        <v>1.0</v>
      </c>
      <c r="M1500" s="300">
        <v>1.0</v>
      </c>
      <c r="N1500" s="300">
        <v>8.0</v>
      </c>
      <c r="O1500" s="300" t="s">
        <v>857</v>
      </c>
      <c r="P1500" s="300">
        <v>4.0</v>
      </c>
    </row>
    <row r="1501">
      <c r="A1501">
        <f>IFERROR(__xludf.DUMMYFUNCTION("""COMPUTED_VALUE"""),12.0)</f>
        <v>12</v>
      </c>
      <c r="B1501">
        <f>IFERROR(__xludf.DUMMYFUNCTION("""COMPUTED_VALUE"""),26171.0)</f>
        <v>26171</v>
      </c>
      <c r="C1501" t="str">
        <f>IFERROR(__xludf.DUMMYFUNCTION("""COMPUTED_VALUE"""),"GOMEZ AMADOR, MATIAS")</f>
        <v>GOMEZ AMADOR, MATIAS</v>
      </c>
      <c r="D1501" t="str">
        <f>IFERROR(__xludf.DUMMYFUNCTION("""COMPUTED_VALUE"""),"Calculus")</f>
        <v>Calculus</v>
      </c>
      <c r="E1501" s="3">
        <f>IFERROR(__xludf.DUMMYFUNCTION("""COMPUTED_VALUE"""),1.0)</f>
        <v>1</v>
      </c>
      <c r="F1501" s="300">
        <v>1.0</v>
      </c>
      <c r="G1501" s="300">
        <v>1.0</v>
      </c>
      <c r="H1501" s="300">
        <v>1.0</v>
      </c>
      <c r="I1501" s="300">
        <v>1.0</v>
      </c>
      <c r="J1501" s="300">
        <v>1.0</v>
      </c>
      <c r="K1501" s="300">
        <v>1.0</v>
      </c>
      <c r="L1501" s="300">
        <v>1.0</v>
      </c>
      <c r="M1501" s="300">
        <v>1.0</v>
      </c>
      <c r="N1501" s="300">
        <v>8.0</v>
      </c>
      <c r="O1501" s="300" t="s">
        <v>859</v>
      </c>
      <c r="P1501" s="300">
        <v>4.0</v>
      </c>
    </row>
    <row r="1502">
      <c r="A1502">
        <f>IFERROR(__xludf.DUMMYFUNCTION("""COMPUTED_VALUE"""),12.0)</f>
        <v>12</v>
      </c>
      <c r="B1502">
        <f>IFERROR(__xludf.DUMMYFUNCTION("""COMPUTED_VALUE"""),26066.0)</f>
        <v>26066</v>
      </c>
      <c r="C1502" t="str">
        <f>IFERROR(__xludf.DUMMYFUNCTION("""COMPUTED_VALUE"""),"LONDOÑO CUARTAS, MANUEL")</f>
        <v>LONDOÑO CUARTAS, MANUEL</v>
      </c>
      <c r="D1502" t="str">
        <f>IFERROR(__xludf.DUMMYFUNCTION("""COMPUTED_VALUE"""),"AP Calculus AB")</f>
        <v>AP Calculus AB</v>
      </c>
      <c r="E1502" s="3">
        <f>IFERROR(__xludf.DUMMYFUNCTION("""COMPUTED_VALUE"""),7.0)</f>
        <v>7</v>
      </c>
      <c r="F1502" s="300">
        <v>1.0</v>
      </c>
      <c r="G1502" s="300">
        <v>1.0</v>
      </c>
      <c r="H1502" s="300">
        <v>1.0</v>
      </c>
      <c r="I1502" s="300">
        <v>1.0</v>
      </c>
      <c r="J1502" s="300">
        <v>1.0</v>
      </c>
      <c r="K1502" s="300">
        <v>1.0</v>
      </c>
      <c r="L1502" s="300">
        <v>1.0</v>
      </c>
      <c r="M1502" s="300">
        <v>1.0</v>
      </c>
      <c r="N1502" s="300">
        <v>8.0</v>
      </c>
      <c r="O1502" s="300" t="s">
        <v>855</v>
      </c>
      <c r="P1502" s="300">
        <v>2.0</v>
      </c>
    </row>
    <row r="1503">
      <c r="A1503">
        <f>IFERROR(__xludf.DUMMYFUNCTION("""COMPUTED_VALUE"""),12.0)</f>
        <v>12</v>
      </c>
      <c r="B1503">
        <f>IFERROR(__xludf.DUMMYFUNCTION("""COMPUTED_VALUE"""),26101.0)</f>
        <v>26101</v>
      </c>
      <c r="C1503" t="str">
        <f>IFERROR(__xludf.DUMMYFUNCTION("""COMPUTED_VALUE"""),"ROBLES RESTREPO, MANOLO")</f>
        <v>ROBLES RESTREPO, MANOLO</v>
      </c>
      <c r="D1503" t="str">
        <f>IFERROR(__xludf.DUMMYFUNCTION("""COMPUTED_VALUE"""),"Calculus")</f>
        <v>Calculus</v>
      </c>
      <c r="E1503" s="3">
        <f>IFERROR(__xludf.DUMMYFUNCTION("""COMPUTED_VALUE"""),1.0)</f>
        <v>1</v>
      </c>
      <c r="F1503" s="300">
        <v>1.0</v>
      </c>
      <c r="G1503" s="300">
        <v>1.0</v>
      </c>
      <c r="H1503" s="300">
        <v>1.0</v>
      </c>
      <c r="I1503" s="300">
        <v>1.0</v>
      </c>
      <c r="J1503" s="300">
        <v>1.0</v>
      </c>
      <c r="K1503" s="300">
        <v>1.0</v>
      </c>
      <c r="L1503" s="300">
        <v>1.0</v>
      </c>
      <c r="M1503" s="300">
        <v>1.0</v>
      </c>
      <c r="N1503" s="300">
        <v>8.0</v>
      </c>
      <c r="O1503" s="300" t="s">
        <v>859</v>
      </c>
      <c r="P1503" s="300">
        <v>4.0</v>
      </c>
    </row>
    <row r="1504">
      <c r="A1504">
        <f>IFERROR(__xludf.DUMMYFUNCTION("""COMPUTED_VALUE"""),12.0)</f>
        <v>12</v>
      </c>
      <c r="B1504">
        <f>IFERROR(__xludf.DUMMYFUNCTION("""COMPUTED_VALUE"""),26008.0)</f>
        <v>26008</v>
      </c>
      <c r="C1504" t="str">
        <f>IFERROR(__xludf.DUMMYFUNCTION("""COMPUTED_VALUE"""),"ARANGO FERNANDEZ, JUAN")</f>
        <v>ARANGO FERNANDEZ, JUAN</v>
      </c>
      <c r="D1504" t="str">
        <f>IFERROR(__xludf.DUMMYFUNCTION("""COMPUTED_VALUE"""),"Financial Math")</f>
        <v>Financial Math</v>
      </c>
      <c r="E1504" s="3">
        <f>IFERROR(__xludf.DUMMYFUNCTION("""COMPUTED_VALUE"""),7.0)</f>
        <v>7</v>
      </c>
      <c r="F1504" s="300">
        <v>1.0</v>
      </c>
      <c r="G1504" s="300">
        <v>1.0</v>
      </c>
      <c r="H1504" s="300">
        <v>1.0</v>
      </c>
      <c r="I1504" s="300">
        <v>1.0</v>
      </c>
      <c r="J1504" s="300">
        <v>1.0</v>
      </c>
      <c r="K1504" s="300">
        <v>1.0</v>
      </c>
      <c r="L1504" s="300">
        <v>1.0</v>
      </c>
      <c r="M1504" s="300">
        <v>1.0</v>
      </c>
      <c r="N1504" s="300">
        <v>8.0</v>
      </c>
      <c r="O1504" s="300" t="s">
        <v>864</v>
      </c>
      <c r="P1504" s="300">
        <v>3.0</v>
      </c>
    </row>
    <row r="1505">
      <c r="A1505">
        <f>IFERROR(__xludf.DUMMYFUNCTION("""COMPUTED_VALUE"""),12.0)</f>
        <v>12</v>
      </c>
      <c r="B1505">
        <f>IFERROR(__xludf.DUMMYFUNCTION("""COMPUTED_VALUE"""),26011.0)</f>
        <v>26011</v>
      </c>
      <c r="C1505" t="str">
        <f>IFERROR(__xludf.DUMMYFUNCTION("""COMPUTED_VALUE"""),"ARROYAVE RESTREPO, CAMILO")</f>
        <v>ARROYAVE RESTREPO, CAMILO</v>
      </c>
      <c r="D1505" t="str">
        <f>IFERROR(__xludf.DUMMYFUNCTION("""COMPUTED_VALUE"""),"Calculus")</f>
        <v>Calculus</v>
      </c>
      <c r="E1505" s="3">
        <f>IFERROR(__xludf.DUMMYFUNCTION("""COMPUTED_VALUE"""),2.0)</f>
        <v>2</v>
      </c>
      <c r="F1505" s="300">
        <v>1.0</v>
      </c>
      <c r="G1505" s="300">
        <v>1.0</v>
      </c>
      <c r="H1505" s="300">
        <v>1.0</v>
      </c>
      <c r="I1505" s="300">
        <v>1.0</v>
      </c>
      <c r="J1505" s="300">
        <v>1.0</v>
      </c>
      <c r="K1505" s="300">
        <v>1.0</v>
      </c>
      <c r="L1505" s="300">
        <v>1.0</v>
      </c>
      <c r="M1505" s="300">
        <v>1.0</v>
      </c>
      <c r="N1505" s="300">
        <v>8.0</v>
      </c>
      <c r="O1505" s="300" t="s">
        <v>861</v>
      </c>
      <c r="P1505" s="300">
        <v>4.0</v>
      </c>
    </row>
    <row r="1506">
      <c r="A1506">
        <f>IFERROR(__xludf.DUMMYFUNCTION("""COMPUTED_VALUE"""),12.0)</f>
        <v>12</v>
      </c>
      <c r="B1506">
        <f>IFERROR(__xludf.DUMMYFUNCTION("""COMPUTED_VALUE"""),26086.0)</f>
        <v>26086</v>
      </c>
      <c r="C1506" t="str">
        <f>IFERROR(__xludf.DUMMYFUNCTION("""COMPUTED_VALUE"""),"PALACIO SALAZAR, TOMAS")</f>
        <v>PALACIO SALAZAR, TOMAS</v>
      </c>
      <c r="D1506" t="str">
        <f>IFERROR(__xludf.DUMMYFUNCTION("""COMPUTED_VALUE"""),"Calculus")</f>
        <v>Calculus</v>
      </c>
      <c r="E1506" s="3">
        <f>IFERROR(__xludf.DUMMYFUNCTION("""COMPUTED_VALUE"""),1.0)</f>
        <v>1</v>
      </c>
      <c r="F1506" s="300">
        <v>1.0</v>
      </c>
      <c r="G1506" s="300">
        <v>1.0</v>
      </c>
      <c r="H1506" s="300">
        <v>1.0</v>
      </c>
      <c r="I1506" s="300">
        <v>1.0</v>
      </c>
      <c r="J1506" s="300">
        <v>1.0</v>
      </c>
      <c r="K1506" s="300">
        <v>1.0</v>
      </c>
      <c r="L1506" s="300">
        <v>1.0</v>
      </c>
      <c r="M1506" s="300">
        <v>1.0</v>
      </c>
      <c r="N1506" s="300">
        <v>8.0</v>
      </c>
      <c r="O1506" s="300" t="s">
        <v>859</v>
      </c>
      <c r="P1506" s="300">
        <v>4.0</v>
      </c>
    </row>
    <row r="1507">
      <c r="A1507">
        <f>IFERROR(__xludf.DUMMYFUNCTION("""COMPUTED_VALUE"""),12.0)</f>
        <v>12</v>
      </c>
      <c r="B1507">
        <f>IFERROR(__xludf.DUMMYFUNCTION("""COMPUTED_VALUE"""),25060.0)</f>
        <v>25060</v>
      </c>
      <c r="C1507" t="str">
        <f>IFERROR(__xludf.DUMMYFUNCTION("""COMPUTED_VALUE"""),"LOPEZ MEJIA, SAMUEL")</f>
        <v>LOPEZ MEJIA, SAMUEL</v>
      </c>
      <c r="D1507" t="str">
        <f>IFERROR(__xludf.DUMMYFUNCTION("""COMPUTED_VALUE"""),"Financial Math")</f>
        <v>Financial Math</v>
      </c>
      <c r="E1507" s="3">
        <f>IFERROR(__xludf.DUMMYFUNCTION("""COMPUTED_VALUE"""),7.0)</f>
        <v>7</v>
      </c>
      <c r="F1507" s="300">
        <v>1.0</v>
      </c>
      <c r="G1507" s="300">
        <v>1.0</v>
      </c>
      <c r="H1507" s="300">
        <v>1.0</v>
      </c>
      <c r="I1507" s="300">
        <v>1.0</v>
      </c>
      <c r="J1507" s="300">
        <v>1.0</v>
      </c>
      <c r="K1507" s="300">
        <v>1.0</v>
      </c>
      <c r="L1507" s="300">
        <v>1.0</v>
      </c>
      <c r="M1507" s="300">
        <v>1.0</v>
      </c>
      <c r="N1507" s="300">
        <v>8.0</v>
      </c>
      <c r="O1507" s="300" t="s">
        <v>864</v>
      </c>
      <c r="P1507" s="300">
        <v>3.0</v>
      </c>
    </row>
    <row r="1508">
      <c r="A1508">
        <f>IFERROR(__xludf.DUMMYFUNCTION("""COMPUTED_VALUE"""),12.0)</f>
        <v>12</v>
      </c>
      <c r="B1508">
        <f>IFERROR(__xludf.DUMMYFUNCTION("""COMPUTED_VALUE"""),26058.0)</f>
        <v>26058</v>
      </c>
      <c r="C1508" t="str">
        <f>IFERROR(__xludf.DUMMYFUNCTION("""COMPUTED_VALUE"""),"JARAMILLO FERNANDEZ, JULIAN")</f>
        <v>JARAMILLO FERNANDEZ, JULIAN</v>
      </c>
      <c r="D1508" t="str">
        <f>IFERROR(__xludf.DUMMYFUNCTION("""COMPUTED_VALUE"""),"Calculus")</f>
        <v>Calculus</v>
      </c>
      <c r="E1508" s="3">
        <f>IFERROR(__xludf.DUMMYFUNCTION("""COMPUTED_VALUE"""),2.0)</f>
        <v>2</v>
      </c>
      <c r="F1508" s="300">
        <v>1.0</v>
      </c>
      <c r="G1508" s="300">
        <v>1.0</v>
      </c>
      <c r="H1508" s="300">
        <v>1.0</v>
      </c>
      <c r="I1508" s="300">
        <v>1.0</v>
      </c>
      <c r="J1508" s="300">
        <v>1.0</v>
      </c>
      <c r="K1508" s="300">
        <v>1.0</v>
      </c>
      <c r="L1508" s="300">
        <v>1.0</v>
      </c>
      <c r="M1508" s="300">
        <v>1.0</v>
      </c>
      <c r="N1508" s="300">
        <v>8.0</v>
      </c>
      <c r="O1508" s="300" t="s">
        <v>861</v>
      </c>
      <c r="P1508" s="300">
        <v>4.0</v>
      </c>
    </row>
    <row r="1509">
      <c r="A1509">
        <f>IFERROR(__xludf.DUMMYFUNCTION("""COMPUTED_VALUE"""),12.0)</f>
        <v>12</v>
      </c>
      <c r="B1509">
        <f>IFERROR(__xludf.DUMMYFUNCTION("""COMPUTED_VALUE"""),26121.0)</f>
        <v>26121</v>
      </c>
      <c r="C1509" t="str">
        <f>IFERROR(__xludf.DUMMYFUNCTION("""COMPUTED_VALUE"""),"VILLA MORENO, VICENTE")</f>
        <v>VILLA MORENO, VICENTE</v>
      </c>
      <c r="D1509" t="str">
        <f>IFERROR(__xludf.DUMMYFUNCTION("""COMPUTED_VALUE"""),"AP Statistics")</f>
        <v>AP Statistics</v>
      </c>
      <c r="E1509" s="3">
        <f>IFERROR(__xludf.DUMMYFUNCTION("""COMPUTED_VALUE"""),7.0)</f>
        <v>7</v>
      </c>
      <c r="F1509" s="300">
        <v>1.0</v>
      </c>
      <c r="G1509" s="300">
        <v>1.0</v>
      </c>
      <c r="H1509" s="300">
        <v>1.0</v>
      </c>
      <c r="I1509" s="300">
        <v>1.0</v>
      </c>
      <c r="J1509" s="300">
        <v>1.0</v>
      </c>
      <c r="K1509" s="300">
        <v>1.0</v>
      </c>
      <c r="L1509" s="300">
        <v>1.0</v>
      </c>
      <c r="M1509" s="300">
        <v>1.0</v>
      </c>
      <c r="N1509" s="300">
        <v>8.0</v>
      </c>
      <c r="O1509" s="300" t="s">
        <v>860</v>
      </c>
      <c r="P1509" s="300">
        <v>1.0</v>
      </c>
    </row>
    <row r="1510">
      <c r="A1510">
        <f>IFERROR(__xludf.DUMMYFUNCTION("""COMPUTED_VALUE"""),12.0)</f>
        <v>12</v>
      </c>
      <c r="B1510">
        <f>IFERROR(__xludf.DUMMYFUNCTION("""COMPUTED_VALUE"""),26025.0)</f>
        <v>26025</v>
      </c>
      <c r="C1510" t="str">
        <f>IFERROR(__xludf.DUMMYFUNCTION("""COMPUTED_VALUE"""),"DIEZ RENDON, MARIA ANTONIA")</f>
        <v>DIEZ RENDON, MARIA ANTONIA</v>
      </c>
      <c r="D1510" t="str">
        <f>IFERROR(__xludf.DUMMYFUNCTION("""COMPUTED_VALUE"""),"AP Statistics")</f>
        <v>AP Statistics</v>
      </c>
      <c r="E1510" s="3">
        <f>IFERROR(__xludf.DUMMYFUNCTION("""COMPUTED_VALUE"""),7.0)</f>
        <v>7</v>
      </c>
      <c r="F1510" s="300">
        <v>1.0</v>
      </c>
      <c r="G1510" s="300">
        <v>1.0</v>
      </c>
      <c r="H1510" s="300">
        <v>1.0</v>
      </c>
      <c r="I1510" s="300">
        <v>1.0</v>
      </c>
      <c r="J1510" s="300">
        <v>1.0</v>
      </c>
      <c r="K1510" s="300">
        <v>1.0</v>
      </c>
      <c r="L1510" s="300">
        <v>1.0</v>
      </c>
      <c r="M1510" s="300">
        <v>1.0</v>
      </c>
      <c r="N1510" s="300">
        <v>8.0</v>
      </c>
      <c r="O1510" s="300" t="s">
        <v>860</v>
      </c>
      <c r="P1510" s="300">
        <v>1.0</v>
      </c>
    </row>
    <row r="1511">
      <c r="A1511">
        <f>IFERROR(__xludf.DUMMYFUNCTION("""COMPUTED_VALUE"""),12.0)</f>
        <v>12</v>
      </c>
      <c r="B1511">
        <f>IFERROR(__xludf.DUMMYFUNCTION("""COMPUTED_VALUE"""),26014.0)</f>
        <v>26014</v>
      </c>
      <c r="C1511" t="str">
        <f>IFERROR(__xludf.DUMMYFUNCTION("""COMPUTED_VALUE"""),"BARRIENTOS BUSTAMANTE, VALENTINA")</f>
        <v>BARRIENTOS BUSTAMANTE, VALENTINA</v>
      </c>
      <c r="D1511" t="str">
        <f>IFERROR(__xludf.DUMMYFUNCTION("""COMPUTED_VALUE"""),"Calculus")</f>
        <v>Calculus</v>
      </c>
      <c r="E1511" s="3">
        <f>IFERROR(__xludf.DUMMYFUNCTION("""COMPUTED_VALUE"""),2.0)</f>
        <v>2</v>
      </c>
      <c r="F1511" s="300">
        <v>1.0</v>
      </c>
      <c r="G1511" s="300">
        <v>1.0</v>
      </c>
      <c r="H1511" s="300">
        <v>1.0</v>
      </c>
      <c r="I1511" s="300">
        <v>1.0</v>
      </c>
      <c r="J1511" s="300">
        <v>1.0</v>
      </c>
      <c r="K1511" s="300">
        <v>1.0</v>
      </c>
      <c r="L1511" s="300">
        <v>1.0</v>
      </c>
      <c r="M1511" s="300">
        <v>1.0</v>
      </c>
      <c r="N1511" s="300">
        <v>8.0</v>
      </c>
      <c r="O1511" s="300" t="s">
        <v>861</v>
      </c>
      <c r="P1511" s="300">
        <v>4.0</v>
      </c>
    </row>
    <row r="1512">
      <c r="A1512">
        <f>IFERROR(__xludf.DUMMYFUNCTION("""COMPUTED_VALUE"""),12.0)</f>
        <v>12</v>
      </c>
      <c r="B1512">
        <f>IFERROR(__xludf.DUMMYFUNCTION("""COMPUTED_VALUE"""),26071.0)</f>
        <v>26071</v>
      </c>
      <c r="C1512" t="str">
        <f>IFERROR(__xludf.DUMMYFUNCTION("""COMPUTED_VALUE"""),"MENA TELLEZ, TOMAS FELIPE")</f>
        <v>MENA TELLEZ, TOMAS FELIPE</v>
      </c>
      <c r="D1512" t="str">
        <f>IFERROR(__xludf.DUMMYFUNCTION("""COMPUTED_VALUE"""),"Financial Math")</f>
        <v>Financial Math</v>
      </c>
      <c r="E1512" s="3">
        <f>IFERROR(__xludf.DUMMYFUNCTION("""COMPUTED_VALUE"""),4.0)</f>
        <v>4</v>
      </c>
      <c r="F1512" s="300">
        <v>1.0</v>
      </c>
      <c r="G1512" s="300">
        <v>1.0</v>
      </c>
      <c r="H1512" s="300">
        <v>1.0</v>
      </c>
      <c r="I1512" s="300">
        <v>1.0</v>
      </c>
      <c r="J1512" s="300">
        <v>1.0</v>
      </c>
      <c r="K1512" s="300">
        <v>1.0</v>
      </c>
      <c r="L1512" s="300">
        <v>1.0</v>
      </c>
      <c r="M1512" s="300">
        <v>1.0</v>
      </c>
      <c r="N1512" s="300">
        <v>8.0</v>
      </c>
      <c r="O1512" s="300" t="s">
        <v>865</v>
      </c>
      <c r="P1512" s="300">
        <v>3.0</v>
      </c>
    </row>
    <row r="1513">
      <c r="A1513">
        <f>IFERROR(__xludf.DUMMYFUNCTION("""COMPUTED_VALUE"""),12.0)</f>
        <v>12</v>
      </c>
      <c r="B1513">
        <f>IFERROR(__xludf.DUMMYFUNCTION("""COMPUTED_VALUE"""),26108.0)</f>
        <v>26108</v>
      </c>
      <c r="C1513" t="str">
        <f>IFERROR(__xludf.DUMMYFUNCTION("""COMPUTED_VALUE"""),"THIRIEZ VILLA, SOFIA")</f>
        <v>THIRIEZ VILLA, SOFIA</v>
      </c>
      <c r="D1513" t="str">
        <f>IFERROR(__xludf.DUMMYFUNCTION("""COMPUTED_VALUE"""),"Financial Math")</f>
        <v>Financial Math</v>
      </c>
      <c r="E1513" s="3">
        <f>IFERROR(__xludf.DUMMYFUNCTION("""COMPUTED_VALUE"""),7.0)</f>
        <v>7</v>
      </c>
      <c r="F1513" s="300">
        <v>1.0</v>
      </c>
      <c r="G1513" s="300">
        <v>1.0</v>
      </c>
      <c r="H1513" s="300">
        <v>1.0</v>
      </c>
      <c r="I1513" s="300">
        <v>1.0</v>
      </c>
      <c r="J1513" s="300">
        <v>1.0</v>
      </c>
      <c r="K1513" s="300">
        <v>1.0</v>
      </c>
      <c r="L1513" s="300">
        <v>1.0</v>
      </c>
      <c r="M1513" s="300">
        <v>1.0</v>
      </c>
      <c r="N1513" s="300">
        <v>8.0</v>
      </c>
      <c r="O1513" s="300" t="s">
        <v>864</v>
      </c>
      <c r="P1513" s="300">
        <v>3.0</v>
      </c>
    </row>
    <row r="1514">
      <c r="A1514">
        <f>IFERROR(__xludf.DUMMYFUNCTION("""COMPUTED_VALUE"""),12.0)</f>
        <v>12</v>
      </c>
      <c r="B1514">
        <f>IFERROR(__xludf.DUMMYFUNCTION("""COMPUTED_VALUE"""),26082.0)</f>
        <v>26082</v>
      </c>
      <c r="C1514" t="str">
        <f>IFERROR(__xludf.DUMMYFUNCTION("""COMPUTED_VALUE"""),"OREJUELA GAVIRIA, MATILDA")</f>
        <v>OREJUELA GAVIRIA, MATILDA</v>
      </c>
      <c r="D1514" t="str">
        <f>IFERROR(__xludf.DUMMYFUNCTION("""COMPUTED_VALUE"""),"Financial Math")</f>
        <v>Financial Math</v>
      </c>
      <c r="E1514" s="3">
        <f>IFERROR(__xludf.DUMMYFUNCTION("""COMPUTED_VALUE"""),7.0)</f>
        <v>7</v>
      </c>
      <c r="F1514" s="300">
        <v>1.0</v>
      </c>
      <c r="G1514" s="300">
        <v>1.0</v>
      </c>
      <c r="H1514" s="300">
        <v>1.0</v>
      </c>
      <c r="I1514" s="300">
        <v>1.0</v>
      </c>
      <c r="J1514" s="300">
        <v>1.0</v>
      </c>
      <c r="K1514" s="300">
        <v>1.0</v>
      </c>
      <c r="L1514" s="300">
        <v>1.0</v>
      </c>
      <c r="M1514" s="300">
        <v>1.0</v>
      </c>
      <c r="N1514" s="300">
        <v>8.0</v>
      </c>
      <c r="O1514" s="300" t="s">
        <v>864</v>
      </c>
      <c r="P1514" s="300">
        <v>3.0</v>
      </c>
    </row>
    <row r="1515">
      <c r="A1515">
        <f>IFERROR(__xludf.DUMMYFUNCTION("""COMPUTED_VALUE"""),12.0)</f>
        <v>12</v>
      </c>
      <c r="B1515">
        <f>IFERROR(__xludf.DUMMYFUNCTION("""COMPUTED_VALUE"""),26073.0)</f>
        <v>26073</v>
      </c>
      <c r="C1515" t="str">
        <f>IFERROR(__xludf.DUMMYFUNCTION("""COMPUTED_VALUE"""),"MESA ARISTIZABAL, SARA")</f>
        <v>MESA ARISTIZABAL, SARA</v>
      </c>
      <c r="D1515" t="str">
        <f>IFERROR(__xludf.DUMMYFUNCTION("""COMPUTED_VALUE"""),"Financial Math")</f>
        <v>Financial Math</v>
      </c>
      <c r="E1515" s="3">
        <f>IFERROR(__xludf.DUMMYFUNCTION("""COMPUTED_VALUE"""),7.0)</f>
        <v>7</v>
      </c>
      <c r="F1515" s="300">
        <v>1.0</v>
      </c>
      <c r="G1515" s="300">
        <v>1.0</v>
      </c>
      <c r="H1515" s="300">
        <v>1.0</v>
      </c>
      <c r="I1515" s="300">
        <v>1.0</v>
      </c>
      <c r="J1515" s="300">
        <v>1.0</v>
      </c>
      <c r="K1515" s="300">
        <v>1.0</v>
      </c>
      <c r="L1515" s="300">
        <v>1.0</v>
      </c>
      <c r="M1515" s="300">
        <v>1.0</v>
      </c>
      <c r="N1515" s="300">
        <v>8.0</v>
      </c>
      <c r="O1515" s="300" t="s">
        <v>864</v>
      </c>
      <c r="P1515" s="300">
        <v>3.0</v>
      </c>
    </row>
    <row r="1516">
      <c r="A1516">
        <f>IFERROR(__xludf.DUMMYFUNCTION("""COMPUTED_VALUE"""),12.0)</f>
        <v>12</v>
      </c>
      <c r="B1516">
        <f>IFERROR(__xludf.DUMMYFUNCTION("""COMPUTED_VALUE"""),26026.0)</f>
        <v>26026</v>
      </c>
      <c r="C1516" t="str">
        <f>IFERROR(__xludf.DUMMYFUNCTION("""COMPUTED_VALUE"""),"ECHAVARRIA JARAMILLO, VICENTE")</f>
        <v>ECHAVARRIA JARAMILLO, VICENTE</v>
      </c>
      <c r="D1516" t="str">
        <f>IFERROR(__xludf.DUMMYFUNCTION("""COMPUTED_VALUE"""),"Financial Math")</f>
        <v>Financial Math</v>
      </c>
      <c r="E1516" s="3">
        <f>IFERROR(__xludf.DUMMYFUNCTION("""COMPUTED_VALUE"""),4.0)</f>
        <v>4</v>
      </c>
      <c r="F1516" s="300">
        <v>1.0</v>
      </c>
      <c r="G1516" s="300">
        <v>1.0</v>
      </c>
      <c r="H1516" s="300">
        <v>1.0</v>
      </c>
      <c r="I1516" s="300">
        <v>1.0</v>
      </c>
      <c r="J1516" s="300">
        <v>1.0</v>
      </c>
      <c r="K1516" s="300">
        <v>1.0</v>
      </c>
      <c r="L1516" s="300">
        <v>1.0</v>
      </c>
      <c r="M1516" s="300">
        <v>1.0</v>
      </c>
      <c r="N1516" s="300">
        <v>8.0</v>
      </c>
      <c r="O1516" s="300" t="s">
        <v>865</v>
      </c>
      <c r="P1516" s="300">
        <v>3.0</v>
      </c>
    </row>
    <row r="1517">
      <c r="A1517">
        <f>IFERROR(__xludf.DUMMYFUNCTION("""COMPUTED_VALUE"""),12.0)</f>
        <v>12</v>
      </c>
      <c r="B1517">
        <f>IFERROR(__xludf.DUMMYFUNCTION("""COMPUTED_VALUE"""),25008.0)</f>
        <v>25008</v>
      </c>
      <c r="C1517" t="str">
        <f>IFERROR(__xludf.DUMMYFUNCTION("""COMPUTED_VALUE"""),"ARANGO CASTRO, IVAN SANTIAGO")</f>
        <v>ARANGO CASTRO, IVAN SANTIAGO</v>
      </c>
      <c r="D1517" t="str">
        <f>IFERROR(__xludf.DUMMYFUNCTION("""COMPUTED_VALUE"""),"Calculus")</f>
        <v>Calculus</v>
      </c>
      <c r="E1517" s="3">
        <f>IFERROR(__xludf.DUMMYFUNCTION("""COMPUTED_VALUE"""),5.0)</f>
        <v>5</v>
      </c>
      <c r="F1517" s="300">
        <v>1.0</v>
      </c>
      <c r="G1517" s="300">
        <v>1.0</v>
      </c>
      <c r="H1517" s="300">
        <v>1.0</v>
      </c>
      <c r="I1517" s="300">
        <v>1.0</v>
      </c>
      <c r="J1517" s="300">
        <v>1.0</v>
      </c>
      <c r="K1517" s="300">
        <v>1.0</v>
      </c>
      <c r="L1517" s="300">
        <v>1.0</v>
      </c>
      <c r="M1517" s="300">
        <v>1.0</v>
      </c>
      <c r="N1517" s="300">
        <v>8.0</v>
      </c>
      <c r="O1517" s="300" t="s">
        <v>857</v>
      </c>
      <c r="P1517" s="300">
        <v>4.0</v>
      </c>
    </row>
    <row r="1518">
      <c r="A1518">
        <f>IFERROR(__xludf.DUMMYFUNCTION("""COMPUTED_VALUE"""),12.0)</f>
        <v>12</v>
      </c>
      <c r="B1518">
        <f>IFERROR(__xludf.DUMMYFUNCTION("""COMPUTED_VALUE"""),26079.0)</f>
        <v>26079</v>
      </c>
      <c r="C1518" t="str">
        <f>IFERROR(__xludf.DUMMYFUNCTION("""COMPUTED_VALUE"""),"OCHOA PODESTA, CAMILA")</f>
        <v>OCHOA PODESTA, CAMILA</v>
      </c>
      <c r="D1518" t="str">
        <f>IFERROR(__xludf.DUMMYFUNCTION("""COMPUTED_VALUE"""),"AP Calculus AB")</f>
        <v>AP Calculus AB</v>
      </c>
      <c r="E1518" s="3">
        <f>IFERROR(__xludf.DUMMYFUNCTION("""COMPUTED_VALUE"""),2.0)</f>
        <v>2</v>
      </c>
      <c r="F1518" s="300">
        <v>1.0</v>
      </c>
      <c r="G1518" s="300">
        <v>1.0</v>
      </c>
      <c r="H1518" s="300">
        <v>1.0</v>
      </c>
      <c r="I1518" s="300">
        <v>1.0</v>
      </c>
      <c r="J1518" s="300">
        <v>1.0</v>
      </c>
      <c r="K1518" s="300">
        <v>1.0</v>
      </c>
      <c r="L1518" s="300">
        <v>1.0</v>
      </c>
      <c r="M1518" s="300">
        <v>1.0</v>
      </c>
      <c r="N1518" s="300">
        <v>8.0</v>
      </c>
      <c r="O1518" s="300" t="s">
        <v>856</v>
      </c>
      <c r="P1518" s="300">
        <v>2.0</v>
      </c>
    </row>
    <row r="1519">
      <c r="A1519">
        <f>IFERROR(__xludf.DUMMYFUNCTION("""COMPUTED_VALUE"""),12.0)</f>
        <v>12</v>
      </c>
      <c r="B1519">
        <f>IFERROR(__xludf.DUMMYFUNCTION("""COMPUTED_VALUE"""),26051.0)</f>
        <v>26051</v>
      </c>
      <c r="C1519" t="str">
        <f>IFERROR(__xludf.DUMMYFUNCTION("""COMPUTED_VALUE"""),"HINESTROZA ESCOBAR, IRENE")</f>
        <v>HINESTROZA ESCOBAR, IRENE</v>
      </c>
      <c r="D1519" t="str">
        <f>IFERROR(__xludf.DUMMYFUNCTION("""COMPUTED_VALUE"""),"Financial Math")</f>
        <v>Financial Math</v>
      </c>
      <c r="E1519" s="3">
        <f>IFERROR(__xludf.DUMMYFUNCTION("""COMPUTED_VALUE"""),5.0)</f>
        <v>5</v>
      </c>
      <c r="F1519" s="300">
        <v>1.0</v>
      </c>
      <c r="G1519" s="300">
        <v>1.0</v>
      </c>
      <c r="H1519" s="300">
        <v>1.0</v>
      </c>
      <c r="I1519" s="300">
        <v>1.0</v>
      </c>
      <c r="J1519" s="300">
        <v>1.0</v>
      </c>
      <c r="K1519" s="300">
        <v>1.0</v>
      </c>
      <c r="L1519" s="300">
        <v>1.0</v>
      </c>
      <c r="M1519" s="300">
        <v>1.0</v>
      </c>
      <c r="N1519" s="300">
        <v>8.0</v>
      </c>
      <c r="O1519" s="300" t="s">
        <v>862</v>
      </c>
      <c r="P1519" s="300">
        <v>3.0</v>
      </c>
    </row>
    <row r="1520">
      <c r="A1520">
        <f>IFERROR(__xludf.DUMMYFUNCTION("""COMPUTED_VALUE"""),12.0)</f>
        <v>12</v>
      </c>
      <c r="B1520">
        <f>IFERROR(__xludf.DUMMYFUNCTION("""COMPUTED_VALUE"""),26036.0)</f>
        <v>26036</v>
      </c>
      <c r="C1520" t="str">
        <f>IFERROR(__xludf.DUMMYFUNCTION("""COMPUTED_VALUE"""),"GAVIRIA LONDOÑO, ALEJANDRO")</f>
        <v>GAVIRIA LONDOÑO, ALEJANDRO</v>
      </c>
      <c r="D1520" t="str">
        <f>IFERROR(__xludf.DUMMYFUNCTION("""COMPUTED_VALUE"""),"Calculus")</f>
        <v>Calculus</v>
      </c>
      <c r="E1520" s="3">
        <f>IFERROR(__xludf.DUMMYFUNCTION("""COMPUTED_VALUE"""),1.0)</f>
        <v>1</v>
      </c>
      <c r="F1520" s="300">
        <v>1.0</v>
      </c>
      <c r="G1520" s="300">
        <v>1.0</v>
      </c>
      <c r="H1520" s="300">
        <v>1.0</v>
      </c>
      <c r="I1520" s="300">
        <v>1.0</v>
      </c>
      <c r="J1520" s="300">
        <v>1.0</v>
      </c>
      <c r="K1520" s="300">
        <v>1.0</v>
      </c>
      <c r="L1520" s="300">
        <v>1.0</v>
      </c>
      <c r="M1520" s="300">
        <v>1.0</v>
      </c>
      <c r="N1520" s="300">
        <v>8.0</v>
      </c>
      <c r="O1520" s="300" t="s">
        <v>859</v>
      </c>
      <c r="P1520" s="300">
        <v>4.0</v>
      </c>
    </row>
    <row r="1521">
      <c r="A1521">
        <f>IFERROR(__xludf.DUMMYFUNCTION("""COMPUTED_VALUE"""),12.0)</f>
        <v>12</v>
      </c>
      <c r="B1521" s="406">
        <f>IFERROR(__xludf.DUMMYFUNCTION("""COMPUTED_VALUE"""),26100.0)</f>
        <v>26100</v>
      </c>
      <c r="C1521" t="str">
        <f>IFERROR(__xludf.DUMMYFUNCTION("""COMPUTED_VALUE"""),"RESTREPO TORO, LUCIANO")</f>
        <v>RESTREPO TORO, LUCIANO</v>
      </c>
      <c r="D1521" t="str">
        <f>IFERROR(__xludf.DUMMYFUNCTION("""COMPUTED_VALUE"""),"Financial Math")</f>
        <v>Financial Math</v>
      </c>
      <c r="E1521" s="3">
        <f>IFERROR(__xludf.DUMMYFUNCTION("""COMPUTED_VALUE"""),7.0)</f>
        <v>7</v>
      </c>
      <c r="F1521" s="300">
        <v>1.0</v>
      </c>
      <c r="G1521" s="300">
        <v>1.0</v>
      </c>
      <c r="H1521" s="300">
        <v>1.0</v>
      </c>
      <c r="I1521" s="300">
        <v>1.0</v>
      </c>
      <c r="J1521" s="300">
        <v>1.0</v>
      </c>
      <c r="K1521" s="300">
        <v>1.0</v>
      </c>
      <c r="L1521" s="300">
        <v>1.0</v>
      </c>
      <c r="M1521" s="300">
        <v>1.0</v>
      </c>
      <c r="N1521" s="300">
        <v>8.0</v>
      </c>
      <c r="O1521" s="300" t="s">
        <v>864</v>
      </c>
      <c r="P1521" s="300">
        <v>3.0</v>
      </c>
    </row>
    <row r="1522">
      <c r="A1522">
        <f>IFERROR(__xludf.DUMMYFUNCTION("""COMPUTED_VALUE"""),12.0)</f>
        <v>12</v>
      </c>
      <c r="B1522">
        <f>IFERROR(__xludf.DUMMYFUNCTION("""COMPUTED_VALUE"""),26122.0)</f>
        <v>26122</v>
      </c>
      <c r="C1522" t="str">
        <f>IFERROR(__xludf.DUMMYFUNCTION("""COMPUTED_VALUE"""),"VILLEGAS PELAEZ, CRISTOBAL")</f>
        <v>VILLEGAS PELAEZ, CRISTOBAL</v>
      </c>
      <c r="D1522" t="str">
        <f>IFERROR(__xludf.DUMMYFUNCTION("""COMPUTED_VALUE"""),"Calculus")</f>
        <v>Calculus</v>
      </c>
      <c r="E1522" s="3">
        <f>IFERROR(__xludf.DUMMYFUNCTION("""COMPUTED_VALUE"""),2.0)</f>
        <v>2</v>
      </c>
      <c r="F1522" s="300">
        <v>1.0</v>
      </c>
      <c r="G1522" s="300">
        <v>1.0</v>
      </c>
      <c r="H1522" s="300">
        <v>1.0</v>
      </c>
      <c r="I1522" s="300">
        <v>1.0</v>
      </c>
      <c r="J1522" s="300">
        <v>1.0</v>
      </c>
      <c r="K1522" s="300">
        <v>1.0</v>
      </c>
      <c r="L1522" s="300">
        <v>1.0</v>
      </c>
      <c r="M1522" s="300">
        <v>1.0</v>
      </c>
      <c r="N1522" s="300">
        <v>8.0</v>
      </c>
      <c r="O1522" s="300" t="s">
        <v>861</v>
      </c>
      <c r="P1522" s="300">
        <v>4.0</v>
      </c>
    </row>
    <row r="1523">
      <c r="A1523">
        <f>IFERROR(__xludf.DUMMYFUNCTION("""COMPUTED_VALUE"""),12.0)</f>
        <v>12</v>
      </c>
      <c r="B1523">
        <f>IFERROR(__xludf.DUMMYFUNCTION("""COMPUTED_VALUE"""),26142.0)</f>
        <v>26142</v>
      </c>
      <c r="C1523" t="str">
        <f>IFERROR(__xludf.DUMMYFUNCTION("""COMPUTED_VALUE"""),"BERNAL ESTRADA, JERONIMO")</f>
        <v>BERNAL ESTRADA, JERONIMO</v>
      </c>
      <c r="D1523" t="str">
        <f>IFERROR(__xludf.DUMMYFUNCTION("""COMPUTED_VALUE"""),"Financial Math")</f>
        <v>Financial Math</v>
      </c>
      <c r="E1523" s="3">
        <f>IFERROR(__xludf.DUMMYFUNCTION("""COMPUTED_VALUE"""),4.0)</f>
        <v>4</v>
      </c>
      <c r="F1523" s="300">
        <v>1.0</v>
      </c>
      <c r="G1523" s="300">
        <v>1.0</v>
      </c>
      <c r="H1523" s="300">
        <v>1.0</v>
      </c>
      <c r="I1523" s="300">
        <v>1.0</v>
      </c>
      <c r="J1523" s="300">
        <v>1.0</v>
      </c>
      <c r="K1523" s="300">
        <v>1.0</v>
      </c>
      <c r="L1523" s="300">
        <v>1.0</v>
      </c>
      <c r="M1523" s="300">
        <v>1.0</v>
      </c>
      <c r="N1523" s="300">
        <v>8.0</v>
      </c>
      <c r="O1523" s="300" t="s">
        <v>865</v>
      </c>
      <c r="P1523" s="300">
        <v>3.0</v>
      </c>
    </row>
    <row r="1524">
      <c r="A1524">
        <f>IFERROR(__xludf.DUMMYFUNCTION("""COMPUTED_VALUE"""),12.0)</f>
        <v>12</v>
      </c>
      <c r="B1524">
        <f>IFERROR(__xludf.DUMMYFUNCTION("""COMPUTED_VALUE"""),26090.0)</f>
        <v>26090</v>
      </c>
      <c r="C1524" t="str">
        <f>IFERROR(__xludf.DUMMYFUNCTION("""COMPUTED_VALUE"""),"PETTIT PELAEZ, JUANITA")</f>
        <v>PETTIT PELAEZ, JUANITA</v>
      </c>
      <c r="D1524" t="str">
        <f>IFERROR(__xludf.DUMMYFUNCTION("""COMPUTED_VALUE"""),"Calculus")</f>
        <v>Calculus</v>
      </c>
      <c r="E1524" s="3">
        <f>IFERROR(__xludf.DUMMYFUNCTION("""COMPUTED_VALUE"""),1.0)</f>
        <v>1</v>
      </c>
      <c r="F1524" s="300">
        <v>1.0</v>
      </c>
      <c r="G1524" s="300">
        <v>1.0</v>
      </c>
      <c r="H1524" s="300">
        <v>1.0</v>
      </c>
      <c r="I1524" s="300">
        <v>1.0</v>
      </c>
      <c r="J1524" s="300">
        <v>1.0</v>
      </c>
      <c r="K1524" s="300">
        <v>1.0</v>
      </c>
      <c r="L1524" s="300">
        <v>1.0</v>
      </c>
      <c r="M1524" s="300">
        <v>1.0</v>
      </c>
      <c r="N1524" s="300">
        <v>8.0</v>
      </c>
      <c r="O1524" s="300" t="s">
        <v>859</v>
      </c>
      <c r="P1524" s="300">
        <v>4.0</v>
      </c>
    </row>
    <row r="1525">
      <c r="A1525">
        <f>IFERROR(__xludf.DUMMYFUNCTION("""COMPUTED_VALUE"""),12.0)</f>
        <v>12</v>
      </c>
      <c r="B1525">
        <f>IFERROR(__xludf.DUMMYFUNCTION("""COMPUTED_VALUE"""),26132.0)</f>
        <v>26132</v>
      </c>
      <c r="C1525" t="str">
        <f>IFERROR(__xludf.DUMMYFUNCTION("""COMPUTED_VALUE"""),"OLIVEIRA CASTAÑO, MIRANDA")</f>
        <v>OLIVEIRA CASTAÑO, MIRANDA</v>
      </c>
      <c r="D1525" t="str">
        <f>IFERROR(__xludf.DUMMYFUNCTION("""COMPUTED_VALUE"""),"Calculus")</f>
        <v>Calculus</v>
      </c>
      <c r="E1525" s="3">
        <f>IFERROR(__xludf.DUMMYFUNCTION("""COMPUTED_VALUE"""),2.0)</f>
        <v>2</v>
      </c>
      <c r="F1525" s="300">
        <v>1.0</v>
      </c>
      <c r="G1525" s="300">
        <v>1.0</v>
      </c>
      <c r="H1525" s="300">
        <v>1.0</v>
      </c>
      <c r="I1525" s="300">
        <v>1.0</v>
      </c>
      <c r="J1525" s="300">
        <v>1.0</v>
      </c>
      <c r="K1525" s="300">
        <v>1.0</v>
      </c>
      <c r="L1525" s="300">
        <v>1.0</v>
      </c>
      <c r="M1525" s="300">
        <v>1.0</v>
      </c>
      <c r="N1525" s="300">
        <v>8.0</v>
      </c>
      <c r="O1525" s="300" t="s">
        <v>861</v>
      </c>
      <c r="P1525" s="300">
        <v>4.0</v>
      </c>
    </row>
    <row r="1526">
      <c r="A1526">
        <f>IFERROR(__xludf.DUMMYFUNCTION("""COMPUTED_VALUE"""),12.0)</f>
        <v>12</v>
      </c>
      <c r="B1526">
        <f>IFERROR(__xludf.DUMMYFUNCTION("""COMPUTED_VALUE"""),26109.0)</f>
        <v>26109</v>
      </c>
      <c r="C1526" t="str">
        <f>IFERROR(__xludf.DUMMYFUNCTION("""COMPUTED_VALUE"""),"TORRES GAVIRIA, MARIANA")</f>
        <v>TORRES GAVIRIA, MARIANA</v>
      </c>
      <c r="D1526" t="str">
        <f>IFERROR(__xludf.DUMMYFUNCTION("""COMPUTED_VALUE"""),"Financial Math")</f>
        <v>Financial Math</v>
      </c>
      <c r="E1526" s="3">
        <f>IFERROR(__xludf.DUMMYFUNCTION("""COMPUTED_VALUE"""),5.0)</f>
        <v>5</v>
      </c>
      <c r="F1526" s="300">
        <v>1.0</v>
      </c>
      <c r="G1526" s="300">
        <v>1.0</v>
      </c>
      <c r="H1526" s="300">
        <v>1.0</v>
      </c>
      <c r="I1526" s="300">
        <v>1.0</v>
      </c>
      <c r="J1526" s="300">
        <v>1.0</v>
      </c>
      <c r="K1526" s="300">
        <v>1.0</v>
      </c>
      <c r="L1526" s="300">
        <v>1.0</v>
      </c>
      <c r="M1526" s="300">
        <v>1.0</v>
      </c>
      <c r="N1526" s="300">
        <v>8.0</v>
      </c>
      <c r="O1526" s="300" t="s">
        <v>862</v>
      </c>
      <c r="P1526" s="300">
        <v>3.0</v>
      </c>
    </row>
    <row r="1527">
      <c r="A1527">
        <f>IFERROR(__xludf.DUMMYFUNCTION("""COMPUTED_VALUE"""),12.0)</f>
        <v>12</v>
      </c>
      <c r="B1527">
        <f>IFERROR(__xludf.DUMMYFUNCTION("""COMPUTED_VALUE"""),26027.0)</f>
        <v>26027</v>
      </c>
      <c r="C1527" t="str">
        <f>IFERROR(__xludf.DUMMYFUNCTION("""COMPUTED_VALUE"""),"ESCANDON LIBOS, MARIA")</f>
        <v>ESCANDON LIBOS, MARIA</v>
      </c>
      <c r="D1527" t="str">
        <f>IFERROR(__xludf.DUMMYFUNCTION("""COMPUTED_VALUE"""),"Financial Math")</f>
        <v>Financial Math</v>
      </c>
      <c r="E1527" s="3">
        <f>IFERROR(__xludf.DUMMYFUNCTION("""COMPUTED_VALUE"""),5.0)</f>
        <v>5</v>
      </c>
      <c r="F1527" s="300">
        <v>1.0</v>
      </c>
      <c r="G1527" s="300">
        <v>1.0</v>
      </c>
      <c r="H1527" s="300">
        <v>1.0</v>
      </c>
      <c r="I1527" s="300">
        <v>1.0</v>
      </c>
      <c r="J1527" s="300">
        <v>1.0</v>
      </c>
      <c r="K1527" s="300">
        <v>1.0</v>
      </c>
      <c r="L1527" s="300">
        <v>1.0</v>
      </c>
      <c r="M1527" s="300">
        <v>1.0</v>
      </c>
      <c r="N1527" s="300">
        <v>8.0</v>
      </c>
      <c r="O1527" s="300" t="s">
        <v>862</v>
      </c>
      <c r="P1527" s="300">
        <v>3.0</v>
      </c>
    </row>
    <row r="1528">
      <c r="A1528">
        <f>IFERROR(__xludf.DUMMYFUNCTION("""COMPUTED_VALUE"""),12.0)</f>
        <v>12</v>
      </c>
      <c r="B1528">
        <f>IFERROR(__xludf.DUMMYFUNCTION("""COMPUTED_VALUE"""),26019.0)</f>
        <v>26019</v>
      </c>
      <c r="C1528" t="str">
        <f>IFERROR(__xludf.DUMMYFUNCTION("""COMPUTED_VALUE"""),"CADAVID VELASQUEZ, MARTIN")</f>
        <v>CADAVID VELASQUEZ, MARTIN</v>
      </c>
      <c r="D1528" t="str">
        <f>IFERROR(__xludf.DUMMYFUNCTION("""COMPUTED_VALUE"""),"Calculus")</f>
        <v>Calculus</v>
      </c>
      <c r="E1528" s="3">
        <f>IFERROR(__xludf.DUMMYFUNCTION("""COMPUTED_VALUE"""),1.0)</f>
        <v>1</v>
      </c>
      <c r="F1528" s="300">
        <v>1.0</v>
      </c>
      <c r="G1528" s="300">
        <v>1.0</v>
      </c>
      <c r="H1528" s="300">
        <v>1.0</v>
      </c>
      <c r="I1528" s="300">
        <v>1.0</v>
      </c>
      <c r="J1528" s="300">
        <v>1.0</v>
      </c>
      <c r="K1528" s="300">
        <v>1.0</v>
      </c>
      <c r="L1528" s="300">
        <v>1.0</v>
      </c>
      <c r="M1528" s="300">
        <v>1.0</v>
      </c>
      <c r="N1528" s="300">
        <v>8.0</v>
      </c>
      <c r="O1528" s="300" t="s">
        <v>859</v>
      </c>
      <c r="P1528" s="300">
        <v>4.0</v>
      </c>
    </row>
    <row r="1529">
      <c r="A1529">
        <f>IFERROR(__xludf.DUMMYFUNCTION("""COMPUTED_VALUE"""),12.0)</f>
        <v>12</v>
      </c>
      <c r="B1529">
        <f>IFERROR(__xludf.DUMMYFUNCTION("""COMPUTED_VALUE"""),26031.0)</f>
        <v>26031</v>
      </c>
      <c r="C1529" t="str">
        <f>IFERROR(__xludf.DUMMYFUNCTION("""COMPUTED_VALUE"""),"FRANCO GOMEZ, DANIEL")</f>
        <v>FRANCO GOMEZ, DANIEL</v>
      </c>
      <c r="D1529" t="str">
        <f>IFERROR(__xludf.DUMMYFUNCTION("""COMPUTED_VALUE"""),"Financial Math")</f>
        <v>Financial Math</v>
      </c>
      <c r="E1529" s="3">
        <f>IFERROR(__xludf.DUMMYFUNCTION("""COMPUTED_VALUE"""),4.0)</f>
        <v>4</v>
      </c>
      <c r="F1529" s="300">
        <v>1.0</v>
      </c>
      <c r="G1529" s="300">
        <v>1.0</v>
      </c>
      <c r="H1529" s="300">
        <v>1.0</v>
      </c>
      <c r="I1529" s="300">
        <v>1.0</v>
      </c>
      <c r="J1529" s="300">
        <v>1.0</v>
      </c>
      <c r="K1529" s="300">
        <v>1.0</v>
      </c>
      <c r="L1529" s="300">
        <v>1.0</v>
      </c>
      <c r="M1529" s="300">
        <v>1.0</v>
      </c>
      <c r="N1529" s="300">
        <v>8.0</v>
      </c>
      <c r="O1529" s="300" t="s">
        <v>865</v>
      </c>
      <c r="P1529" s="300">
        <v>3.0</v>
      </c>
    </row>
    <row r="1530">
      <c r="A1530">
        <f>IFERROR(__xludf.DUMMYFUNCTION("""COMPUTED_VALUE"""),12.0)</f>
        <v>12</v>
      </c>
      <c r="B1530">
        <f>IFERROR(__xludf.DUMMYFUNCTION("""COMPUTED_VALUE"""),26047.0)</f>
        <v>26047</v>
      </c>
      <c r="C1530" t="str">
        <f>IFERROR(__xludf.DUMMYFUNCTION("""COMPUTED_VALUE"""),"HENAO ISAZA, LUCIANO")</f>
        <v>HENAO ISAZA, LUCIANO</v>
      </c>
      <c r="D1530" t="str">
        <f>IFERROR(__xludf.DUMMYFUNCTION("""COMPUTED_VALUE"""),"Calculus")</f>
        <v>Calculus</v>
      </c>
      <c r="E1530" s="3">
        <f>IFERROR(__xludf.DUMMYFUNCTION("""COMPUTED_VALUE"""),1.0)</f>
        <v>1</v>
      </c>
      <c r="F1530" s="300">
        <v>1.0</v>
      </c>
      <c r="G1530" s="300">
        <v>1.0</v>
      </c>
      <c r="H1530" s="300">
        <v>1.0</v>
      </c>
      <c r="I1530" s="300">
        <v>1.0</v>
      </c>
      <c r="J1530" s="300">
        <v>1.0</v>
      </c>
      <c r="K1530" s="300">
        <v>1.0</v>
      </c>
      <c r="L1530" s="300">
        <v>1.0</v>
      </c>
      <c r="M1530" s="300">
        <v>1.0</v>
      </c>
      <c r="N1530" s="300">
        <v>8.0</v>
      </c>
      <c r="O1530" s="300" t="s">
        <v>859</v>
      </c>
      <c r="P1530" s="300">
        <v>4.0</v>
      </c>
    </row>
    <row r="1531">
      <c r="A1531">
        <f>IFERROR(__xludf.DUMMYFUNCTION("""COMPUTED_VALUE"""),12.0)</f>
        <v>12</v>
      </c>
      <c r="B1531">
        <f>IFERROR(__xludf.DUMMYFUNCTION("""COMPUTED_VALUE"""),26095.0)</f>
        <v>26095</v>
      </c>
      <c r="C1531" t="str">
        <f>IFERROR(__xludf.DUMMYFUNCTION("""COMPUTED_VALUE"""),"RAMIREZ PELAEZ, LUCIANA")</f>
        <v>RAMIREZ PELAEZ, LUCIANA</v>
      </c>
      <c r="D1531" t="str">
        <f>IFERROR(__xludf.DUMMYFUNCTION("""COMPUTED_VALUE"""),"Financial Math")</f>
        <v>Financial Math</v>
      </c>
      <c r="E1531" s="3">
        <f>IFERROR(__xludf.DUMMYFUNCTION("""COMPUTED_VALUE"""),5.0)</f>
        <v>5</v>
      </c>
      <c r="F1531" s="300">
        <v>1.0</v>
      </c>
      <c r="G1531" s="300">
        <v>1.0</v>
      </c>
      <c r="H1531" s="300">
        <v>1.0</v>
      </c>
      <c r="I1531" s="300">
        <v>1.0</v>
      </c>
      <c r="J1531" s="300">
        <v>1.0</v>
      </c>
      <c r="K1531" s="300">
        <v>1.0</v>
      </c>
      <c r="L1531" s="300">
        <v>1.0</v>
      </c>
      <c r="M1531" s="300">
        <v>1.0</v>
      </c>
      <c r="N1531" s="300">
        <v>8.0</v>
      </c>
      <c r="O1531" s="300" t="s">
        <v>862</v>
      </c>
      <c r="P1531" s="300">
        <v>3.0</v>
      </c>
    </row>
    <row r="1532">
      <c r="A1532">
        <f>IFERROR(__xludf.DUMMYFUNCTION("""COMPUTED_VALUE"""),12.0)</f>
        <v>12</v>
      </c>
      <c r="B1532">
        <f>IFERROR(__xludf.DUMMYFUNCTION("""COMPUTED_VALUE"""),26032.0)</f>
        <v>26032</v>
      </c>
      <c r="C1532" t="str">
        <f>IFERROR(__xludf.DUMMYFUNCTION("""COMPUTED_VALUE"""),"FRANCO SALDARRIAGA, EDUARDO")</f>
        <v>FRANCO SALDARRIAGA, EDUARDO</v>
      </c>
      <c r="D1532" t="str">
        <f>IFERROR(__xludf.DUMMYFUNCTION("""COMPUTED_VALUE"""),"Financial Math")</f>
        <v>Financial Math</v>
      </c>
      <c r="E1532" s="3">
        <f>IFERROR(__xludf.DUMMYFUNCTION("""COMPUTED_VALUE"""),4.0)</f>
        <v>4</v>
      </c>
      <c r="F1532" s="300">
        <v>1.0</v>
      </c>
      <c r="G1532" s="300">
        <v>1.0</v>
      </c>
      <c r="H1532" s="300">
        <v>1.0</v>
      </c>
      <c r="I1532" s="300">
        <v>1.0</v>
      </c>
      <c r="J1532" s="300">
        <v>1.0</v>
      </c>
      <c r="K1532" s="300">
        <v>1.0</v>
      </c>
      <c r="L1532" s="300">
        <v>1.0</v>
      </c>
      <c r="M1532" s="300">
        <v>1.0</v>
      </c>
      <c r="N1532" s="300">
        <v>8.0</v>
      </c>
      <c r="O1532" s="300" t="s">
        <v>865</v>
      </c>
      <c r="P1532" s="300">
        <v>3.0</v>
      </c>
    </row>
    <row r="1533">
      <c r="A1533">
        <f>IFERROR(__xludf.DUMMYFUNCTION("""COMPUTED_VALUE"""),12.0)</f>
        <v>12</v>
      </c>
      <c r="B1533">
        <f>IFERROR(__xludf.DUMMYFUNCTION("""COMPUTED_VALUE"""),26072.0)</f>
        <v>26072</v>
      </c>
      <c r="C1533" t="str">
        <f>IFERROR(__xludf.DUMMYFUNCTION("""COMPUTED_VALUE"""),"MERINO VALENCIA, CAMILO")</f>
        <v>MERINO VALENCIA, CAMILO</v>
      </c>
      <c r="D1533" t="str">
        <f>IFERROR(__xludf.DUMMYFUNCTION("""COMPUTED_VALUE"""),"AP Calculus AB")</f>
        <v>AP Calculus AB</v>
      </c>
      <c r="E1533" s="3">
        <f>IFERROR(__xludf.DUMMYFUNCTION("""COMPUTED_VALUE"""),2.0)</f>
        <v>2</v>
      </c>
      <c r="F1533" s="300">
        <v>1.0</v>
      </c>
      <c r="G1533" s="300">
        <v>1.0</v>
      </c>
      <c r="H1533" s="300">
        <v>1.0</v>
      </c>
      <c r="I1533" s="300">
        <v>1.0</v>
      </c>
      <c r="J1533" s="300">
        <v>1.0</v>
      </c>
      <c r="K1533" s="300">
        <v>1.0</v>
      </c>
      <c r="L1533" s="300">
        <v>1.0</v>
      </c>
      <c r="M1533" s="300">
        <v>1.0</v>
      </c>
      <c r="N1533" s="300">
        <v>8.0</v>
      </c>
      <c r="O1533" s="300" t="s">
        <v>856</v>
      </c>
      <c r="P1533" s="300">
        <v>2.0</v>
      </c>
    </row>
    <row r="1534">
      <c r="A1534">
        <f>IFERROR(__xludf.DUMMYFUNCTION("""COMPUTED_VALUE"""),12.0)</f>
        <v>12</v>
      </c>
      <c r="B1534">
        <f>IFERROR(__xludf.DUMMYFUNCTION("""COMPUTED_VALUE"""),26139.0)</f>
        <v>26139</v>
      </c>
      <c r="C1534" t="str">
        <f>IFERROR(__xludf.DUMMYFUNCTION("""COMPUTED_VALUE"""),"POSADA VILLALOBOS, VERONICA")</f>
        <v>POSADA VILLALOBOS, VERONICA</v>
      </c>
      <c r="D1534" t="str">
        <f>IFERROR(__xludf.DUMMYFUNCTION("""COMPUTED_VALUE"""),"AP Calculus AB")</f>
        <v>AP Calculus AB</v>
      </c>
      <c r="E1534" s="3">
        <f>IFERROR(__xludf.DUMMYFUNCTION("""COMPUTED_VALUE"""),2.0)</f>
        <v>2</v>
      </c>
      <c r="F1534" s="300">
        <v>1.0</v>
      </c>
      <c r="G1534" s="300">
        <v>1.0</v>
      </c>
      <c r="H1534" s="300">
        <v>1.0</v>
      </c>
      <c r="I1534" s="300">
        <v>1.0</v>
      </c>
      <c r="J1534" s="300">
        <v>1.0</v>
      </c>
      <c r="K1534" s="300">
        <v>1.0</v>
      </c>
      <c r="L1534" s="300">
        <v>1.0</v>
      </c>
      <c r="M1534" s="300">
        <v>1.0</v>
      </c>
      <c r="N1534" s="300">
        <v>8.0</v>
      </c>
      <c r="O1534" s="300" t="s">
        <v>856</v>
      </c>
      <c r="P1534" s="300">
        <v>2.0</v>
      </c>
    </row>
    <row r="1535">
      <c r="A1535">
        <f>IFERROR(__xludf.DUMMYFUNCTION("""COMPUTED_VALUE"""),12.0)</f>
        <v>12</v>
      </c>
      <c r="B1535" s="406">
        <f>IFERROR(__xludf.DUMMYFUNCTION("""COMPUTED_VALUE"""),26129.0)</f>
        <v>26129</v>
      </c>
      <c r="C1535" t="str">
        <f>IFERROR(__xludf.DUMMYFUNCTION("""COMPUTED_VALUE"""),"CALLE BUITRAGO, MARTIN")</f>
        <v>CALLE BUITRAGO, MARTIN</v>
      </c>
      <c r="D1535" t="str">
        <f>IFERROR(__xludf.DUMMYFUNCTION("""COMPUTED_VALUE"""),"Calculus")</f>
        <v>Calculus</v>
      </c>
      <c r="E1535" s="3">
        <f>IFERROR(__xludf.DUMMYFUNCTION("""COMPUTED_VALUE"""),6.0)</f>
        <v>6</v>
      </c>
      <c r="F1535" s="300">
        <v>1.0</v>
      </c>
      <c r="G1535" s="300">
        <v>1.0</v>
      </c>
      <c r="H1535" s="300">
        <v>1.0</v>
      </c>
      <c r="I1535" s="300">
        <v>1.0</v>
      </c>
      <c r="J1535" s="300">
        <v>1.0</v>
      </c>
      <c r="K1535" s="300">
        <v>1.0</v>
      </c>
      <c r="L1535" s="300">
        <v>1.0</v>
      </c>
      <c r="M1535" s="300">
        <v>1.0</v>
      </c>
      <c r="N1535" s="300">
        <v>8.0</v>
      </c>
      <c r="O1535" s="300" t="s">
        <v>858</v>
      </c>
      <c r="P1535" s="300">
        <v>4.0</v>
      </c>
    </row>
    <row r="1536">
      <c r="A1536">
        <f>IFERROR(__xludf.DUMMYFUNCTION("""COMPUTED_VALUE"""),12.0)</f>
        <v>12</v>
      </c>
      <c r="B1536">
        <f>IFERROR(__xludf.DUMMYFUNCTION("""COMPUTED_VALUE"""),26125.0)</f>
        <v>26125</v>
      </c>
      <c r="C1536" t="str">
        <f>IFERROR(__xludf.DUMMYFUNCTION("""COMPUTED_VALUE"""),"YEPES RAMIREZ, MARTIN")</f>
        <v>YEPES RAMIREZ, MARTIN</v>
      </c>
      <c r="D1536" t="str">
        <f>IFERROR(__xludf.DUMMYFUNCTION("""COMPUTED_VALUE"""),"AP Calculus AB")</f>
        <v>AP Calculus AB</v>
      </c>
      <c r="E1536" s="3">
        <f>IFERROR(__xludf.DUMMYFUNCTION("""COMPUTED_VALUE"""),2.0)</f>
        <v>2</v>
      </c>
      <c r="F1536" s="300">
        <v>1.0</v>
      </c>
      <c r="G1536" s="300">
        <v>1.0</v>
      </c>
      <c r="H1536" s="300">
        <v>1.0</v>
      </c>
      <c r="I1536" s="300">
        <v>1.0</v>
      </c>
      <c r="J1536" s="300">
        <v>1.0</v>
      </c>
      <c r="K1536" s="300">
        <v>1.0</v>
      </c>
      <c r="L1536" s="300">
        <v>1.0</v>
      </c>
      <c r="M1536" s="300">
        <v>1.0</v>
      </c>
      <c r="N1536" s="300">
        <v>8.0</v>
      </c>
      <c r="O1536" s="300" t="s">
        <v>856</v>
      </c>
      <c r="P1536" s="300">
        <v>2.0</v>
      </c>
    </row>
    <row r="1537">
      <c r="A1537">
        <f>IFERROR(__xludf.DUMMYFUNCTION("""COMPUTED_VALUE"""),12.0)</f>
        <v>12</v>
      </c>
      <c r="B1537">
        <f>IFERROR(__xludf.DUMMYFUNCTION("""COMPUTED_VALUE"""),25039.0)</f>
        <v>25039</v>
      </c>
      <c r="C1537" t="str">
        <f>IFERROR(__xludf.DUMMYFUNCTION("""COMPUTED_VALUE"""),"GARZA PATIÑO, MARCO")</f>
        <v>GARZA PATIÑO, MARCO</v>
      </c>
      <c r="D1537" t="str">
        <f>IFERROR(__xludf.DUMMYFUNCTION("""COMPUTED_VALUE"""),"Financial Math")</f>
        <v>Financial Math</v>
      </c>
      <c r="E1537" s="3">
        <f>IFERROR(__xludf.DUMMYFUNCTION("""COMPUTED_VALUE"""),5.0)</f>
        <v>5</v>
      </c>
      <c r="F1537" s="300">
        <v>1.0</v>
      </c>
      <c r="G1537" s="300">
        <v>1.0</v>
      </c>
      <c r="H1537" s="300">
        <v>1.0</v>
      </c>
      <c r="I1537" s="300">
        <v>1.0</v>
      </c>
      <c r="J1537" s="300">
        <v>1.0</v>
      </c>
      <c r="K1537" s="300">
        <v>1.0</v>
      </c>
      <c r="L1537" s="300">
        <v>1.0</v>
      </c>
      <c r="M1537" s="300">
        <v>1.0</v>
      </c>
      <c r="N1537" s="300">
        <v>8.0</v>
      </c>
      <c r="O1537" s="300" t="s">
        <v>862</v>
      </c>
      <c r="P1537" s="300">
        <v>3.0</v>
      </c>
    </row>
    <row r="1538">
      <c r="A1538">
        <f>IFERROR(__xludf.DUMMYFUNCTION("""COMPUTED_VALUE"""),12.0)</f>
        <v>12</v>
      </c>
      <c r="B1538">
        <f>IFERROR(__xludf.DUMMYFUNCTION("""COMPUTED_VALUE"""),26133.0)</f>
        <v>26133</v>
      </c>
      <c r="C1538" t="str">
        <f>IFERROR(__xludf.DUMMYFUNCTION("""COMPUTED_VALUE"""),"SUAREZ MARTINEZ, PABLO")</f>
        <v>SUAREZ MARTINEZ, PABLO</v>
      </c>
      <c r="D1538" t="str">
        <f>IFERROR(__xludf.DUMMYFUNCTION("""COMPUTED_VALUE"""),"Calculus")</f>
        <v>Calculus</v>
      </c>
      <c r="E1538" s="3">
        <f>IFERROR(__xludf.DUMMYFUNCTION("""COMPUTED_VALUE"""),2.0)</f>
        <v>2</v>
      </c>
      <c r="F1538" s="300">
        <v>1.0</v>
      </c>
      <c r="G1538" s="300">
        <v>1.0</v>
      </c>
      <c r="H1538" s="300">
        <v>1.0</v>
      </c>
      <c r="I1538" s="300">
        <v>1.0</v>
      </c>
      <c r="J1538" s="300">
        <v>1.0</v>
      </c>
      <c r="K1538" s="300">
        <v>1.0</v>
      </c>
      <c r="L1538" s="300">
        <v>1.0</v>
      </c>
      <c r="M1538" s="300">
        <v>1.0</v>
      </c>
      <c r="N1538" s="300">
        <v>8.0</v>
      </c>
      <c r="O1538" s="300" t="s">
        <v>861</v>
      </c>
      <c r="P1538" s="300">
        <v>4.0</v>
      </c>
    </row>
    <row r="1539">
      <c r="A1539">
        <f>IFERROR(__xludf.DUMMYFUNCTION("""COMPUTED_VALUE"""),12.0)</f>
        <v>12</v>
      </c>
      <c r="B1539">
        <f>IFERROR(__xludf.DUMMYFUNCTION("""COMPUTED_VALUE"""),26110.0)</f>
        <v>26110</v>
      </c>
      <c r="C1539" t="str">
        <f>IFERROR(__xludf.DUMMYFUNCTION("""COMPUTED_VALUE"""),"URIBE CORREA, VICENTE")</f>
        <v>URIBE CORREA, VICENTE</v>
      </c>
      <c r="D1539" t="str">
        <f>IFERROR(__xludf.DUMMYFUNCTION("""COMPUTED_VALUE"""),"Financial Math")</f>
        <v>Financial Math</v>
      </c>
      <c r="E1539" s="3">
        <f>IFERROR(__xludf.DUMMYFUNCTION("""COMPUTED_VALUE"""),7.0)</f>
        <v>7</v>
      </c>
      <c r="F1539" s="300">
        <v>1.0</v>
      </c>
      <c r="G1539" s="300">
        <v>1.0</v>
      </c>
      <c r="H1539" s="300">
        <v>1.0</v>
      </c>
      <c r="I1539" s="300">
        <v>1.0</v>
      </c>
      <c r="J1539" s="300">
        <v>1.0</v>
      </c>
      <c r="K1539" s="300">
        <v>1.0</v>
      </c>
      <c r="L1539" s="300">
        <v>1.0</v>
      </c>
      <c r="M1539" s="300">
        <v>1.0</v>
      </c>
      <c r="N1539" s="300">
        <v>8.0</v>
      </c>
      <c r="O1539" s="300" t="s">
        <v>864</v>
      </c>
      <c r="P1539" s="300">
        <v>3.0</v>
      </c>
    </row>
    <row r="1540">
      <c r="A1540">
        <f>IFERROR(__xludf.DUMMYFUNCTION("""COMPUTED_VALUE"""),12.0)</f>
        <v>12</v>
      </c>
      <c r="B1540">
        <f>IFERROR(__xludf.DUMMYFUNCTION("""COMPUTED_VALUE"""),26022.0)</f>
        <v>26022</v>
      </c>
      <c r="C1540" t="str">
        <f>IFERROR(__xludf.DUMMYFUNCTION("""COMPUTED_VALUE"""),"CAROLI ABAD, MASSIMILIANO")</f>
        <v>CAROLI ABAD, MASSIMILIANO</v>
      </c>
      <c r="D1540" t="str">
        <f>IFERROR(__xludf.DUMMYFUNCTION("""COMPUTED_VALUE"""),"Financial Math")</f>
        <v>Financial Math</v>
      </c>
      <c r="E1540" s="3">
        <f>IFERROR(__xludf.DUMMYFUNCTION("""COMPUTED_VALUE"""),5.0)</f>
        <v>5</v>
      </c>
      <c r="F1540" s="300">
        <v>1.0</v>
      </c>
      <c r="G1540" s="300">
        <v>1.0</v>
      </c>
      <c r="H1540" s="300">
        <v>1.0</v>
      </c>
      <c r="I1540" s="300">
        <v>1.0</v>
      </c>
      <c r="J1540" s="300">
        <v>1.0</v>
      </c>
      <c r="K1540" s="300">
        <v>1.0</v>
      </c>
      <c r="L1540" s="300">
        <v>1.0</v>
      </c>
      <c r="M1540" s="300">
        <v>1.0</v>
      </c>
      <c r="N1540" s="300">
        <v>8.0</v>
      </c>
      <c r="O1540" s="300" t="s">
        <v>862</v>
      </c>
      <c r="P1540" s="300">
        <v>3.0</v>
      </c>
    </row>
    <row r="1541">
      <c r="A1541">
        <f>IFERROR(__xludf.DUMMYFUNCTION("""COMPUTED_VALUE"""),12.0)</f>
        <v>12</v>
      </c>
      <c r="B1541">
        <f>IFERROR(__xludf.DUMMYFUNCTION("""COMPUTED_VALUE"""),26102.0)</f>
        <v>26102</v>
      </c>
      <c r="C1541" t="str">
        <f>IFERROR(__xludf.DUMMYFUNCTION("""COMPUTED_VALUE"""),"RODRIGUEZ NAVARRO, MIGUEL")</f>
        <v>RODRIGUEZ NAVARRO, MIGUEL</v>
      </c>
      <c r="D1541" t="str">
        <f>IFERROR(__xludf.DUMMYFUNCTION("""COMPUTED_VALUE"""),"Calculus")</f>
        <v>Calculus</v>
      </c>
      <c r="E1541" s="3">
        <f>IFERROR(__xludf.DUMMYFUNCTION("""COMPUTED_VALUE"""),1.0)</f>
        <v>1</v>
      </c>
      <c r="F1541" s="300">
        <v>1.0</v>
      </c>
      <c r="G1541" s="300">
        <v>1.0</v>
      </c>
      <c r="H1541" s="300">
        <v>1.0</v>
      </c>
      <c r="I1541" s="300">
        <v>1.0</v>
      </c>
      <c r="J1541" s="300">
        <v>1.0</v>
      </c>
      <c r="K1541" s="300">
        <v>1.0</v>
      </c>
      <c r="L1541" s="300">
        <v>1.0</v>
      </c>
      <c r="M1541" s="300">
        <v>1.0</v>
      </c>
      <c r="N1541" s="300">
        <v>8.0</v>
      </c>
      <c r="O1541" s="300" t="s">
        <v>859</v>
      </c>
      <c r="P1541" s="300">
        <v>4.0</v>
      </c>
    </row>
    <row r="1542">
      <c r="A1542">
        <f>IFERROR(__xludf.DUMMYFUNCTION("""COMPUTED_VALUE"""),12.0)</f>
        <v>12</v>
      </c>
      <c r="B1542">
        <f>IFERROR(__xludf.DUMMYFUNCTION("""COMPUTED_VALUE"""),26107.0)</f>
        <v>26107</v>
      </c>
      <c r="C1542" t="str">
        <f>IFERROR(__xludf.DUMMYFUNCTION("""COMPUTED_VALUE"""),"SUAREZ PEREZ ROSARIO")</f>
        <v>SUAREZ PEREZ ROSARIO</v>
      </c>
      <c r="D1542" t="str">
        <f>IFERROR(__xludf.DUMMYFUNCTION("""COMPUTED_VALUE"""),"AP Statistics")</f>
        <v>AP Statistics</v>
      </c>
      <c r="E1542" s="3">
        <f>IFERROR(__xludf.DUMMYFUNCTION("""COMPUTED_VALUE"""),7.0)</f>
        <v>7</v>
      </c>
      <c r="F1542" s="300">
        <v>1.0</v>
      </c>
      <c r="G1542" s="300">
        <v>1.0</v>
      </c>
      <c r="H1542" s="300">
        <v>1.0</v>
      </c>
      <c r="I1542" s="300">
        <v>1.0</v>
      </c>
      <c r="J1542" s="300">
        <v>1.0</v>
      </c>
      <c r="K1542" s="300">
        <v>1.0</v>
      </c>
      <c r="L1542" s="300">
        <v>1.0</v>
      </c>
      <c r="M1542" s="300">
        <v>1.0</v>
      </c>
      <c r="N1542" s="300">
        <v>8.0</v>
      </c>
      <c r="O1542" s="300" t="s">
        <v>860</v>
      </c>
      <c r="P1542" s="300">
        <v>1.0</v>
      </c>
    </row>
    <row r="1543">
      <c r="A1543">
        <f>IFERROR(__xludf.DUMMYFUNCTION("""COMPUTED_VALUE"""),11.0)</f>
        <v>11</v>
      </c>
      <c r="B1543">
        <f>IFERROR(__xludf.DUMMYFUNCTION("""COMPUTED_VALUE"""),27148.0)</f>
        <v>27148</v>
      </c>
      <c r="C1543" t="str">
        <f>IFERROR(__xludf.DUMMYFUNCTION("""COMPUTED_VALUE"""),"TALUKDAR, JIGYASHA")</f>
        <v>TALUKDAR, JIGYASHA</v>
      </c>
      <c r="D1543" t="str">
        <f>IFERROR(__xludf.DUMMYFUNCTION("""COMPUTED_VALUE"""),"AP Precalculus")</f>
        <v>AP Precalculus</v>
      </c>
      <c r="E1543" s="3">
        <f>IFERROR(__xludf.DUMMYFUNCTION("""COMPUTED_VALUE"""),2.0)</f>
        <v>2</v>
      </c>
      <c r="F1543" s="300">
        <v>1.0</v>
      </c>
      <c r="G1543" s="300">
        <v>1.0</v>
      </c>
      <c r="H1543" s="300">
        <v>1.0</v>
      </c>
      <c r="I1543" s="300">
        <v>1.0</v>
      </c>
      <c r="J1543" s="300">
        <v>1.0</v>
      </c>
      <c r="K1543" s="300">
        <v>1.0</v>
      </c>
      <c r="L1543" s="300">
        <v>1.0</v>
      </c>
      <c r="M1543" s="300">
        <v>1.0</v>
      </c>
      <c r="N1543" s="300">
        <v>8.0</v>
      </c>
      <c r="O1543" s="300" t="s">
        <v>846</v>
      </c>
      <c r="P1543" s="300">
        <v>2.0</v>
      </c>
    </row>
    <row r="1544">
      <c r="A1544">
        <f>IFERROR(__xludf.DUMMYFUNCTION("""COMPUTED_VALUE"""),11.0)</f>
        <v>11</v>
      </c>
      <c r="B1544">
        <f>IFERROR(__xludf.DUMMYFUNCTION("""COMPUTED_VALUE"""),27180.0)</f>
        <v>27180</v>
      </c>
      <c r="C1544" t="str">
        <f>IFERROR(__xludf.DUMMYFUNCTION("""COMPUTED_VALUE"""),"CANDELA SÁNCHEZ, LORENZO")</f>
        <v>CANDELA SÁNCHEZ, LORENZO</v>
      </c>
      <c r="D1544" t="str">
        <f>IFERROR(__xludf.DUMMYFUNCTION("""COMPUTED_VALUE"""),"Algebra II")</f>
        <v>Algebra II</v>
      </c>
      <c r="E1544" s="3">
        <f>IFERROR(__xludf.DUMMYFUNCTION("""COMPUTED_VALUE"""),5.0)</f>
        <v>5</v>
      </c>
      <c r="F1544" s="300">
        <v>1.0</v>
      </c>
      <c r="G1544" s="300">
        <v>1.0</v>
      </c>
      <c r="H1544" s="300">
        <v>1.0</v>
      </c>
      <c r="I1544" s="300">
        <v>1.0</v>
      </c>
      <c r="J1544" s="300">
        <v>1.0</v>
      </c>
      <c r="K1544" s="300">
        <v>1.0</v>
      </c>
      <c r="L1544" s="300">
        <v>1.0</v>
      </c>
      <c r="M1544" s="300">
        <v>1.0</v>
      </c>
      <c r="N1544" s="300">
        <v>8.0</v>
      </c>
      <c r="O1544" s="300" t="s">
        <v>851</v>
      </c>
      <c r="P1544" s="300">
        <v>5.0</v>
      </c>
    </row>
    <row r="1545">
      <c r="A1545">
        <f>IFERROR(__xludf.DUMMYFUNCTION("""COMPUTED_VALUE"""),11.0)</f>
        <v>11</v>
      </c>
      <c r="B1545" s="406">
        <f>IFERROR(__xludf.DUMMYFUNCTION("""COMPUTED_VALUE"""),27183.0)</f>
        <v>27183</v>
      </c>
      <c r="C1545" s="406" t="str">
        <f>IFERROR(__xludf.DUMMYFUNCTION("""COMPUTED_VALUE"""),"JOORIS-ANCION, ALEXANDRE")</f>
        <v>JOORIS-ANCION, ALEXANDRE</v>
      </c>
      <c r="D1545" t="str">
        <f>IFERROR(__xludf.DUMMYFUNCTION("""COMPUTED_VALUE"""),"Calculus")</f>
        <v>Calculus</v>
      </c>
      <c r="E1545" s="3">
        <f>IFERROR(__xludf.DUMMYFUNCTION("""COMPUTED_VALUE"""),6.0)</f>
        <v>6</v>
      </c>
      <c r="F1545" s="300">
        <v>1.0</v>
      </c>
      <c r="G1545" s="300">
        <v>1.0</v>
      </c>
      <c r="H1545" s="300">
        <v>1.0</v>
      </c>
      <c r="I1545" s="300">
        <v>1.0</v>
      </c>
      <c r="J1545" s="300">
        <v>1.0</v>
      </c>
      <c r="K1545" s="300">
        <v>1.0</v>
      </c>
      <c r="L1545" s="300">
        <v>1.0</v>
      </c>
      <c r="M1545" s="300">
        <v>1.0</v>
      </c>
      <c r="N1545" s="300">
        <v>8.0</v>
      </c>
      <c r="O1545" s="300" t="s">
        <v>858</v>
      </c>
      <c r="P1545" s="300">
        <v>4.0</v>
      </c>
    </row>
    <row r="1546">
      <c r="A1546">
        <f>IFERROR(__xludf.DUMMYFUNCTION("""COMPUTED_VALUE"""),10.0)</f>
        <v>10</v>
      </c>
      <c r="B1546">
        <f>IFERROR(__xludf.DUMMYFUNCTION("""COMPUTED_VALUE"""),28176.0)</f>
        <v>28176</v>
      </c>
      <c r="C1546" s="406" t="str">
        <f>IFERROR(__xludf.DUMMYFUNCTION("""COMPUTED_VALUE"""),"SILVA MONTOYA, SEBASTIÁN")</f>
        <v>SILVA MONTOYA, SEBASTIÁN</v>
      </c>
      <c r="D1546" t="str">
        <f>IFERROR(__xludf.DUMMYFUNCTION("""COMPUTED_VALUE"""),"Algebra II")</f>
        <v>Algebra II</v>
      </c>
      <c r="E1546" s="3">
        <f>IFERROR(__xludf.DUMMYFUNCTION("""COMPUTED_VALUE"""),1.0)</f>
        <v>1</v>
      </c>
      <c r="F1546" s="300">
        <v>1.0</v>
      </c>
      <c r="G1546" s="300">
        <v>1.0</v>
      </c>
      <c r="H1546" s="300">
        <v>1.0</v>
      </c>
      <c r="I1546" s="300">
        <v>1.0</v>
      </c>
      <c r="J1546" s="300">
        <v>1.0</v>
      </c>
      <c r="K1546" s="300">
        <v>1.0</v>
      </c>
      <c r="L1546" s="300">
        <v>1.0</v>
      </c>
      <c r="M1546" s="300">
        <v>1.0</v>
      </c>
      <c r="N1546" s="300">
        <v>8.0</v>
      </c>
      <c r="O1546" s="300" t="s">
        <v>852</v>
      </c>
      <c r="P1546" s="300">
        <v>5.0</v>
      </c>
    </row>
    <row r="1547">
      <c r="A1547">
        <f>IFERROR(__xludf.DUMMYFUNCTION("""COMPUTED_VALUE"""),9.0)</f>
        <v>9</v>
      </c>
      <c r="B1547">
        <f>IFERROR(__xludf.DUMMYFUNCTION("""COMPUTED_VALUE"""),29173.0)</f>
        <v>29173</v>
      </c>
      <c r="C1547" s="406" t="str">
        <f>IFERROR(__xludf.DUMMYFUNCTION("""COMPUTED_VALUE"""),"GRACIANO VÉLEZ, MARÍA DE LOS ÁNGELES")</f>
        <v>GRACIANO VÉLEZ, MARÍA DE LOS ÁNGELES</v>
      </c>
      <c r="D1547" t="str">
        <f>IFERROR(__xludf.DUMMYFUNCTION("""COMPUTED_VALUE"""),"Geometry")</f>
        <v>Geometry</v>
      </c>
      <c r="E1547" s="3">
        <f>IFERROR(__xludf.DUMMYFUNCTION("""COMPUTED_VALUE"""),1.0)</f>
        <v>1</v>
      </c>
      <c r="F1547" s="300">
        <v>1.0</v>
      </c>
      <c r="G1547" s="300">
        <v>1.0</v>
      </c>
      <c r="H1547" s="300">
        <v>1.0</v>
      </c>
      <c r="I1547" s="300">
        <v>1.0</v>
      </c>
      <c r="J1547" s="300">
        <v>1.0</v>
      </c>
      <c r="K1547" s="300">
        <v>1.0</v>
      </c>
      <c r="L1547" s="300">
        <v>1.0</v>
      </c>
      <c r="M1547" s="300">
        <v>1.0</v>
      </c>
      <c r="N1547" s="300">
        <v>8.0</v>
      </c>
      <c r="O1547" s="300" t="s">
        <v>837</v>
      </c>
      <c r="P1547" s="300">
        <v>7.0</v>
      </c>
    </row>
    <row r="1548">
      <c r="A1548">
        <f>IFERROR(__xludf.DUMMYFUNCTION("""COMPUTED_VALUE"""),9.0)</f>
        <v>9</v>
      </c>
      <c r="B1548">
        <f>IFERROR(__xludf.DUMMYFUNCTION("""COMPUTED_VALUE"""),29174.0)</f>
        <v>29174</v>
      </c>
      <c r="C1548" s="406" t="str">
        <f>IFERROR(__xludf.DUMMYFUNCTION("""COMPUTED_VALUE"""),"CANDELA SÁNCHEZ, EVA")</f>
        <v>CANDELA SÁNCHEZ, EVA</v>
      </c>
      <c r="D1548" t="str">
        <f>IFERROR(__xludf.DUMMYFUNCTION("""COMPUTED_VALUE"""),"Geometry")</f>
        <v>Geometry</v>
      </c>
      <c r="E1548" s="3">
        <f>IFERROR(__xludf.DUMMYFUNCTION("""COMPUTED_VALUE"""),1.0)</f>
        <v>1</v>
      </c>
      <c r="F1548" s="300">
        <v>1.0</v>
      </c>
      <c r="G1548" s="300">
        <v>1.0</v>
      </c>
      <c r="H1548" s="300">
        <v>1.0</v>
      </c>
      <c r="I1548" s="300">
        <v>1.0</v>
      </c>
      <c r="J1548" s="300">
        <v>1.0</v>
      </c>
      <c r="K1548" s="300">
        <v>1.0</v>
      </c>
      <c r="L1548" s="300">
        <v>1.0</v>
      </c>
      <c r="M1548" s="300">
        <v>1.0</v>
      </c>
      <c r="N1548" s="300">
        <v>8.0</v>
      </c>
      <c r="O1548" s="300" t="s">
        <v>837</v>
      </c>
      <c r="P1548" s="300">
        <v>7.0</v>
      </c>
    </row>
    <row r="1549">
      <c r="A1549">
        <f>IFERROR(__xludf.DUMMYFUNCTION("""COMPUTED_VALUE"""),11.0)</f>
        <v>11</v>
      </c>
      <c r="B1549" s="406">
        <f>IFERROR(__xludf.DUMMYFUNCTION("""COMPUTED_VALUE"""),27179.0)</f>
        <v>27179</v>
      </c>
      <c r="C1549" s="406" t="str">
        <f>IFERROR(__xludf.DUMMYFUNCTION("""COMPUTED_VALUE"""),"GRACIANO VÉLEZ, MARÍA DEL MAR")</f>
        <v>GRACIANO VÉLEZ, MARÍA DEL MAR</v>
      </c>
      <c r="D1549" t="str">
        <f>IFERROR(__xludf.DUMMYFUNCTION("""COMPUTED_VALUE"""),"Calculus")</f>
        <v>Calculus</v>
      </c>
      <c r="E1549" s="3">
        <f>IFERROR(__xludf.DUMMYFUNCTION("""COMPUTED_VALUE"""),6.0)</f>
        <v>6</v>
      </c>
      <c r="F1549" s="300">
        <v>1.0</v>
      </c>
      <c r="G1549" s="300">
        <v>1.0</v>
      </c>
      <c r="H1549" s="300">
        <v>1.0</v>
      </c>
      <c r="I1549" s="300">
        <v>1.0</v>
      </c>
      <c r="J1549" s="300">
        <v>1.0</v>
      </c>
      <c r="K1549" s="300">
        <v>1.0</v>
      </c>
      <c r="L1549" s="300">
        <v>1.0</v>
      </c>
      <c r="M1549" s="300">
        <v>1.0</v>
      </c>
      <c r="N1549" s="300">
        <v>8.0</v>
      </c>
      <c r="O1549" s="300" t="s">
        <v>858</v>
      </c>
      <c r="P1549" s="300">
        <v>4.0</v>
      </c>
    </row>
    <row r="1550">
      <c r="A1550">
        <f>IFERROR(__xludf.DUMMYFUNCTION("""COMPUTED_VALUE"""),10.0)</f>
        <v>10</v>
      </c>
      <c r="B1550" s="406">
        <f>IFERROR(__xludf.DUMMYFUNCTION("""COMPUTED_VALUE"""),28178.0)</f>
        <v>28178</v>
      </c>
      <c r="C1550" s="406" t="str">
        <f>IFERROR(__xludf.DUMMYFUNCTION("""COMPUTED_VALUE"""),"CANOVA DOMINGUES, JOAO PEDRO")</f>
        <v>CANOVA DOMINGUES, JOAO PEDRO</v>
      </c>
      <c r="D1550" t="str">
        <f>IFERROR(__xludf.DUMMYFUNCTION("""COMPUTED_VALUE"""),"AP Precalculus")</f>
        <v>AP Precalculus</v>
      </c>
      <c r="E1550" s="3">
        <f>IFERROR(__xludf.DUMMYFUNCTION("""COMPUTED_VALUE"""),2.0)</f>
        <v>2</v>
      </c>
      <c r="F1550" s="300">
        <v>1.0</v>
      </c>
      <c r="G1550" s="300">
        <v>1.0</v>
      </c>
      <c r="H1550" s="300">
        <v>1.0</v>
      </c>
      <c r="I1550" s="300">
        <v>1.0</v>
      </c>
      <c r="J1550" s="300">
        <v>1.0</v>
      </c>
      <c r="K1550" s="300">
        <v>1.0</v>
      </c>
      <c r="L1550" s="300">
        <v>1.0</v>
      </c>
      <c r="M1550" s="300">
        <v>1.0</v>
      </c>
      <c r="N1550" s="300">
        <v>8.0</v>
      </c>
      <c r="O1550" s="300" t="s">
        <v>846</v>
      </c>
      <c r="P1550" s="300">
        <v>2.0</v>
      </c>
    </row>
    <row r="1551">
      <c r="A1551">
        <f>IFERROR(__xludf.DUMMYFUNCTION("""COMPUTED_VALUE"""),10.0)</f>
        <v>10</v>
      </c>
      <c r="B1551" s="406">
        <f>IFERROR(__xludf.DUMMYFUNCTION("""COMPUTED_VALUE"""),28177.0)</f>
        <v>28177</v>
      </c>
      <c r="C1551" s="406" t="str">
        <f>IFERROR(__xludf.DUMMYFUNCTION("""COMPUTED_VALUE"""),"CUBILLOS GÓMEZ, ROBERTO")</f>
        <v>CUBILLOS GÓMEZ, ROBERTO</v>
      </c>
      <c r="D1551" t="str">
        <f>IFERROR(__xludf.DUMMYFUNCTION("""COMPUTED_VALUE"""),"AP Precalculus")</f>
        <v>AP Precalculus</v>
      </c>
      <c r="E1551" s="3">
        <f>IFERROR(__xludf.DUMMYFUNCTION("""COMPUTED_VALUE"""),3.0)</f>
        <v>3</v>
      </c>
      <c r="F1551" s="300">
        <v>1.0</v>
      </c>
      <c r="G1551" s="300">
        <v>1.0</v>
      </c>
      <c r="H1551" s="300">
        <v>1.0</v>
      </c>
      <c r="I1551" s="300">
        <v>1.0</v>
      </c>
      <c r="J1551" s="300">
        <v>1.0</v>
      </c>
      <c r="K1551" s="300">
        <v>1.0</v>
      </c>
      <c r="L1551" s="300">
        <v>1.0</v>
      </c>
      <c r="M1551" s="300">
        <v>1.0</v>
      </c>
      <c r="N1551" s="300">
        <v>8.0</v>
      </c>
      <c r="O1551" s="300" t="s">
        <v>847</v>
      </c>
      <c r="P1551" s="300">
        <v>2.0</v>
      </c>
    </row>
    <row r="1552">
      <c r="A1552">
        <f>IFERROR(__xludf.DUMMYFUNCTION("""COMPUTED_VALUE"""),10.0)</f>
        <v>10</v>
      </c>
      <c r="B1552" s="406">
        <f>IFERROR(__xludf.DUMMYFUNCTION("""COMPUTED_VALUE"""),28146.0)</f>
        <v>28146</v>
      </c>
      <c r="C1552" s="406" t="str">
        <f>IFERROR(__xludf.DUMMYFUNCTION("""COMPUTED_VALUE"""),"MORA MORENO, MARÍA LUISA")</f>
        <v>MORA MORENO, MARÍA LUISA</v>
      </c>
      <c r="D1552" t="str">
        <f>IFERROR(__xludf.DUMMYFUNCTION("""COMPUTED_VALUE"""),"Algebra II")</f>
        <v>Algebra II</v>
      </c>
      <c r="E1552" s="3">
        <f>IFERROR(__xludf.DUMMYFUNCTION("""COMPUTED_VALUE"""),6.0)</f>
        <v>6</v>
      </c>
      <c r="F1552" s="300">
        <v>1.0</v>
      </c>
      <c r="G1552" s="300">
        <v>1.0</v>
      </c>
      <c r="H1552" s="300">
        <v>1.0</v>
      </c>
      <c r="I1552" s="300">
        <v>1.0</v>
      </c>
      <c r="J1552" s="300">
        <v>1.0</v>
      </c>
      <c r="K1552" s="300">
        <v>1.0</v>
      </c>
      <c r="L1552" s="300">
        <v>1.0</v>
      </c>
      <c r="M1552" s="300">
        <v>1.0</v>
      </c>
      <c r="N1552" s="300">
        <v>8.0</v>
      </c>
      <c r="O1552" s="300" t="s">
        <v>854</v>
      </c>
      <c r="P1552" s="300">
        <v>5.0</v>
      </c>
    </row>
    <row r="1553">
      <c r="A1553">
        <f>IFERROR(__xludf.DUMMYFUNCTION("""COMPUTED_VALUE"""),10.0)</f>
        <v>10</v>
      </c>
      <c r="B1553" s="406">
        <f>IFERROR(__xludf.DUMMYFUNCTION("""COMPUTED_VALUE"""),28175.0)</f>
        <v>28175</v>
      </c>
      <c r="C1553" s="406" t="str">
        <f>IFERROR(__xludf.DUMMYFUNCTION("""COMPUTED_VALUE"""),"DELSOL, ANTOINE")</f>
        <v>DELSOL, ANTOINE</v>
      </c>
      <c r="D1553" t="str">
        <f>IFERROR(__xludf.DUMMYFUNCTION("""COMPUTED_VALUE"""),"Calculus")</f>
        <v>Calculus</v>
      </c>
      <c r="E1553" s="3">
        <f>IFERROR(__xludf.DUMMYFUNCTION("""COMPUTED_VALUE"""),6.0)</f>
        <v>6</v>
      </c>
      <c r="F1553" s="300">
        <v>1.0</v>
      </c>
      <c r="G1553" s="300">
        <v>1.0</v>
      </c>
      <c r="H1553" s="300">
        <v>1.0</v>
      </c>
      <c r="I1553" s="300">
        <v>1.0</v>
      </c>
      <c r="J1553" s="300">
        <v>1.0</v>
      </c>
      <c r="K1553" s="300">
        <v>1.0</v>
      </c>
      <c r="L1553" s="300">
        <v>1.0</v>
      </c>
      <c r="M1553" s="300">
        <v>1.0</v>
      </c>
      <c r="N1553" s="300">
        <v>8.0</v>
      </c>
      <c r="O1553" s="300" t="s">
        <v>858</v>
      </c>
      <c r="P1553" s="300">
        <v>4.0</v>
      </c>
    </row>
    <row r="1554">
      <c r="A1554">
        <f>IFERROR(__xludf.DUMMYFUNCTION("""COMPUTED_VALUE"""),10.0)</f>
        <v>10</v>
      </c>
      <c r="B1554" s="406">
        <f>IFERROR(__xludf.DUMMYFUNCTION("""COMPUTED_VALUE"""),100052.0)</f>
        <v>100052</v>
      </c>
      <c r="C1554" s="406" t="str">
        <f>IFERROR(__xludf.DUMMYFUNCTION("""COMPUTED_VALUE"""),"ECHEVERRI SALAZAR CAMILA")</f>
        <v>ECHEVERRI SALAZAR CAMILA</v>
      </c>
      <c r="D1554" t="str">
        <f>IFERROR(__xludf.DUMMYFUNCTION("""COMPUTED_VALUE"""),"Algebra II")</f>
        <v>Algebra II</v>
      </c>
      <c r="E1554" s="3">
        <f>IFERROR(__xludf.DUMMYFUNCTION("""COMPUTED_VALUE"""),3.0)</f>
        <v>3</v>
      </c>
      <c r="F1554" s="300">
        <v>1.0</v>
      </c>
      <c r="G1554" s="300">
        <v>1.0</v>
      </c>
      <c r="H1554" s="300">
        <v>1.0</v>
      </c>
      <c r="I1554" s="300">
        <v>1.0</v>
      </c>
      <c r="J1554" s="300">
        <v>1.0</v>
      </c>
      <c r="K1554" s="300">
        <v>1.0</v>
      </c>
      <c r="L1554" s="300">
        <v>1.0</v>
      </c>
      <c r="M1554" s="300">
        <v>1.0</v>
      </c>
      <c r="N1554" s="300">
        <v>8.0</v>
      </c>
      <c r="O1554" s="300" t="s">
        <v>853</v>
      </c>
      <c r="P1554" s="300">
        <v>5.0</v>
      </c>
    </row>
    <row r="1555">
      <c r="A1555">
        <f>IFERROR(__xludf.DUMMYFUNCTION("""COMPUTED_VALUE"""),10.0)</f>
        <v>10</v>
      </c>
      <c r="B1555" s="406">
        <f>IFERROR(__xludf.DUMMYFUNCTION("""COMPUTED_VALUE"""),28180.0)</f>
        <v>28180</v>
      </c>
      <c r="C1555" s="406" t="str">
        <f>IFERROR(__xludf.DUMMYFUNCTION("""COMPUTED_VALUE"""),"VÉLEZ GÓMEZ, MATIAS")</f>
        <v>VÉLEZ GÓMEZ, MATIAS</v>
      </c>
      <c r="D1555" t="str">
        <f>IFERROR(__xludf.DUMMYFUNCTION("""COMPUTED_VALUE"""),"Geometry")</f>
        <v>Geometry</v>
      </c>
      <c r="E1555" s="3">
        <f>IFERROR(__xludf.DUMMYFUNCTION("""COMPUTED_VALUE"""),1.0)</f>
        <v>1</v>
      </c>
      <c r="F1555" s="300">
        <v>1.0</v>
      </c>
      <c r="G1555" s="300">
        <v>1.0</v>
      </c>
      <c r="H1555" s="300">
        <v>1.0</v>
      </c>
      <c r="I1555" s="300">
        <v>1.0</v>
      </c>
      <c r="J1555" s="300">
        <v>1.0</v>
      </c>
      <c r="K1555" s="300">
        <v>1.0</v>
      </c>
      <c r="L1555" s="300">
        <v>1.0</v>
      </c>
      <c r="M1555" s="300">
        <v>1.0</v>
      </c>
      <c r="N1555" s="300">
        <v>8.0</v>
      </c>
      <c r="O1555" s="300" t="s">
        <v>837</v>
      </c>
      <c r="P1555" s="300">
        <v>7.0</v>
      </c>
    </row>
    <row r="1556">
      <c r="A1556">
        <f>IFERROR(__xludf.DUMMYFUNCTION("""COMPUTED_VALUE"""),10.0)</f>
        <v>10</v>
      </c>
      <c r="B1556" s="406">
        <f>IFERROR(__xludf.DUMMYFUNCTION("""COMPUTED_VALUE"""),28141.0)</f>
        <v>28141</v>
      </c>
      <c r="C1556" s="406" t="str">
        <f>IFERROR(__xludf.DUMMYFUNCTION("""COMPUTED_VALUE"""),"GONZALEZ TRABOULSI SOFIA")</f>
        <v>GONZALEZ TRABOULSI SOFIA</v>
      </c>
      <c r="D1556" t="str">
        <f>IFERROR(__xludf.DUMMYFUNCTION("""COMPUTED_VALUE"""),"Algebra II")</f>
        <v>Algebra II</v>
      </c>
      <c r="E1556" s="3">
        <f>IFERROR(__xludf.DUMMYFUNCTION("""COMPUTED_VALUE"""),5.0)</f>
        <v>5</v>
      </c>
      <c r="F1556" s="300">
        <v>1.0</v>
      </c>
      <c r="G1556" s="300">
        <v>1.0</v>
      </c>
      <c r="H1556" s="300">
        <v>1.0</v>
      </c>
      <c r="I1556" s="300">
        <v>1.0</v>
      </c>
      <c r="J1556" s="300">
        <v>1.0</v>
      </c>
      <c r="K1556" s="300">
        <v>1.0</v>
      </c>
      <c r="L1556" s="300">
        <v>1.0</v>
      </c>
      <c r="M1556" s="300">
        <v>1.0</v>
      </c>
      <c r="N1556" s="300">
        <v>8.0</v>
      </c>
      <c r="O1556" s="300" t="s">
        <v>851</v>
      </c>
      <c r="P1556" s="300">
        <v>5.0</v>
      </c>
    </row>
    <row r="1557">
      <c r="A1557">
        <f>IFERROR(__xludf.DUMMYFUNCTION("""COMPUTED_VALUE"""),10.0)</f>
        <v>10</v>
      </c>
      <c r="B1557" s="406">
        <f>IFERROR(__xludf.DUMMYFUNCTION("""COMPUTED_VALUE"""),12345.0)</f>
        <v>12345</v>
      </c>
      <c r="C1557" s="406" t="str">
        <f>IFERROR(__xludf.DUMMYFUNCTION("""COMPUTED_VALUE"""),"TRIVELIN JUAN IGNACIO")</f>
        <v>TRIVELIN JUAN IGNACIO</v>
      </c>
      <c r="D1557" t="str">
        <f>IFERROR(__xludf.DUMMYFUNCTION("""COMPUTED_VALUE"""),"Geometry")</f>
        <v>Geometry</v>
      </c>
      <c r="E1557" s="3">
        <f>IFERROR(__xludf.DUMMYFUNCTION("""COMPUTED_VALUE"""),6.0)</f>
        <v>6</v>
      </c>
      <c r="F1557" s="300">
        <v>1.0</v>
      </c>
      <c r="G1557" s="300">
        <v>1.0</v>
      </c>
      <c r="H1557" s="300">
        <v>1.0</v>
      </c>
      <c r="I1557" s="300">
        <v>1.0</v>
      </c>
      <c r="J1557" s="300">
        <v>1.0</v>
      </c>
      <c r="K1557" s="300">
        <v>1.0</v>
      </c>
      <c r="L1557" s="300">
        <v>1.0</v>
      </c>
      <c r="M1557" s="300">
        <v>1.0</v>
      </c>
      <c r="N1557" s="300">
        <v>8.0</v>
      </c>
      <c r="O1557" s="300" t="s">
        <v>848</v>
      </c>
      <c r="P1557" s="300">
        <v>7.0</v>
      </c>
    </row>
    <row r="1558">
      <c r="A1558">
        <f>IFERROR(__xludf.DUMMYFUNCTION("""COMPUTED_VALUE"""),11.0)</f>
        <v>11</v>
      </c>
      <c r="B1558" s="406">
        <f>IFERROR(__xludf.DUMMYFUNCTION("""COMPUTED_VALUE"""),27169.0)</f>
        <v>27169</v>
      </c>
      <c r="C1558" s="406" t="str">
        <f>IFERROR(__xludf.DUMMYFUNCTION("""COMPUTED_VALUE"""),"RAMOS RODRIGUEZ, ELENA")</f>
        <v>RAMOS RODRIGUEZ, ELENA</v>
      </c>
      <c r="D1558" t="str">
        <f>IFERROR(__xludf.DUMMYFUNCTION("""COMPUTED_VALUE"""),"Calculus")</f>
        <v>Calculus</v>
      </c>
      <c r="E1558" s="3">
        <f>IFERROR(__xludf.DUMMYFUNCTION("""COMPUTED_VALUE"""),6.0)</f>
        <v>6</v>
      </c>
      <c r="F1558" s="300">
        <v>1.0</v>
      </c>
      <c r="G1558" s="300">
        <v>1.0</v>
      </c>
      <c r="H1558" s="300">
        <v>1.0</v>
      </c>
      <c r="I1558" s="300">
        <v>1.0</v>
      </c>
      <c r="J1558" s="300">
        <v>1.0</v>
      </c>
      <c r="K1558" s="300">
        <v>1.0</v>
      </c>
      <c r="L1558" s="300">
        <v>1.0</v>
      </c>
      <c r="M1558" s="300">
        <v>1.0</v>
      </c>
      <c r="N1558" s="300">
        <v>8.0</v>
      </c>
      <c r="O1558" s="300" t="s">
        <v>858</v>
      </c>
      <c r="P1558" s="300">
        <v>4.0</v>
      </c>
    </row>
    <row r="1559">
      <c r="A1559">
        <f>IFERROR(__xludf.DUMMYFUNCTION("""COMPUTED_VALUE"""),9.0)</f>
        <v>9</v>
      </c>
      <c r="B1559" s="406">
        <f>IFERROR(__xludf.DUMMYFUNCTION("""COMPUTED_VALUE"""),29070.0)</f>
        <v>29070</v>
      </c>
      <c r="C1559" t="str">
        <f>IFERROR(__xludf.DUMMYFUNCTION("""COMPUTED_VALUE"""),"MANRIQUE CUESTA, ISABELLA")</f>
        <v>MANRIQUE CUESTA, ISABELLA</v>
      </c>
      <c r="D1559" t="str">
        <f>IFERROR(__xludf.DUMMYFUNCTION("""COMPUTED_VALUE"""),"AAA")</f>
        <v>AAA</v>
      </c>
      <c r="E1559" s="3"/>
      <c r="F1559" s="300">
        <v>1.0</v>
      </c>
      <c r="G1559" s="300">
        <v>1.0</v>
      </c>
      <c r="H1559" s="300">
        <v>1.0</v>
      </c>
      <c r="I1559" s="300">
        <v>1.0</v>
      </c>
      <c r="J1559" s="300">
        <v>1.0</v>
      </c>
      <c r="K1559" s="300">
        <v>1.0</v>
      </c>
      <c r="L1559" s="300">
        <v>1.0</v>
      </c>
      <c r="M1559" s="300">
        <v>1.0</v>
      </c>
      <c r="N1559" s="300">
        <v>8.0</v>
      </c>
      <c r="O1559" s="300" t="s">
        <v>22</v>
      </c>
      <c r="P1559" s="300" t="s">
        <v>22</v>
      </c>
    </row>
    <row r="1560">
      <c r="A1560">
        <f>IFERROR(__xludf.DUMMYFUNCTION("""COMPUTED_VALUE"""),9.0)</f>
        <v>9</v>
      </c>
      <c r="B1560" s="406">
        <f>IFERROR(__xludf.DUMMYFUNCTION("""COMPUTED_VALUE"""),29070.0)</f>
        <v>29070</v>
      </c>
      <c r="C1560" t="str">
        <f>IFERROR(__xludf.DUMMYFUNCTION("""COMPUTED_VALUE"""),"MANRIQUE CUESTA, ISABELLA")</f>
        <v>MANRIQUE CUESTA, ISABELLA</v>
      </c>
      <c r="D1560" t="str">
        <f>IFERROR(__xludf.DUMMYFUNCTION("""COMPUTED_VALUE"""),"Biology 9")</f>
        <v>Biology 9</v>
      </c>
      <c r="E1560" s="3">
        <f>IFERROR(__xludf.DUMMYFUNCTION("""COMPUTED_VALUE"""),6.0)</f>
        <v>6</v>
      </c>
      <c r="F1560" s="300">
        <v>1.0</v>
      </c>
      <c r="G1560" s="300">
        <v>1.0</v>
      </c>
      <c r="H1560" s="300">
        <v>1.0</v>
      </c>
      <c r="I1560" s="300">
        <v>1.0</v>
      </c>
      <c r="J1560" s="300">
        <v>1.0</v>
      </c>
      <c r="K1560" s="300">
        <v>1.0</v>
      </c>
      <c r="L1560" s="300">
        <v>1.0</v>
      </c>
      <c r="M1560" s="300">
        <v>1.0</v>
      </c>
      <c r="N1560" s="300">
        <v>8.0</v>
      </c>
      <c r="O1560" s="300" t="s">
        <v>866</v>
      </c>
      <c r="P1560" s="300">
        <v>7.0</v>
      </c>
    </row>
    <row r="1561">
      <c r="A1561">
        <f>IFERROR(__xludf.DUMMYFUNCTION("""COMPUTED_VALUE"""),9.0)</f>
        <v>9</v>
      </c>
      <c r="B1561" s="406">
        <f>IFERROR(__xludf.DUMMYFUNCTION("""COMPUTED_VALUE"""),29075.0)</f>
        <v>29075</v>
      </c>
      <c r="C1561" t="str">
        <f>IFERROR(__xludf.DUMMYFUNCTION("""COMPUTED_VALUE"""),"MEJIA BUSTAMANTE, ANTONIA")</f>
        <v>MEJIA BUSTAMANTE, ANTONIA</v>
      </c>
      <c r="D1561" t="str">
        <f>IFERROR(__xludf.DUMMYFUNCTION("""COMPUTED_VALUE"""),"Biology 9")</f>
        <v>Biology 9</v>
      </c>
      <c r="E1561" s="3">
        <f>IFERROR(__xludf.DUMMYFUNCTION("""COMPUTED_VALUE"""),7.0)</f>
        <v>7</v>
      </c>
      <c r="F1561" s="300">
        <v>1.0</v>
      </c>
      <c r="G1561" s="300">
        <v>1.0</v>
      </c>
      <c r="H1561" s="300">
        <v>1.0</v>
      </c>
      <c r="I1561" s="300">
        <v>1.0</v>
      </c>
      <c r="J1561" s="300">
        <v>1.0</v>
      </c>
      <c r="K1561" s="300">
        <v>1.0</v>
      </c>
      <c r="L1561" s="300">
        <v>1.0</v>
      </c>
      <c r="M1561" s="300">
        <v>1.0</v>
      </c>
      <c r="N1561" s="300">
        <v>8.0</v>
      </c>
      <c r="O1561" s="300" t="s">
        <v>867</v>
      </c>
      <c r="P1561" s="300">
        <v>7.0</v>
      </c>
    </row>
    <row r="1562">
      <c r="A1562">
        <f>IFERROR(__xludf.DUMMYFUNCTION("""COMPUTED_VALUE"""),9.0)</f>
        <v>9</v>
      </c>
      <c r="B1562" s="406">
        <f>IFERROR(__xludf.DUMMYFUNCTION("""COMPUTED_VALUE"""),29149.0)</f>
        <v>29149</v>
      </c>
      <c r="C1562" t="str">
        <f>IFERROR(__xludf.DUMMYFUNCTION("""COMPUTED_VALUE"""),"SALEMME GUTIERREZ, AMALIA")</f>
        <v>SALEMME GUTIERREZ, AMALIA</v>
      </c>
      <c r="D1562" t="str">
        <f>IFERROR(__xludf.DUMMYFUNCTION("""COMPUTED_VALUE"""),"Biology 9")</f>
        <v>Biology 9</v>
      </c>
      <c r="E1562" s="3">
        <f>IFERROR(__xludf.DUMMYFUNCTION("""COMPUTED_VALUE"""),7.0)</f>
        <v>7</v>
      </c>
      <c r="F1562" s="300">
        <v>1.0</v>
      </c>
      <c r="G1562" s="300">
        <v>1.0</v>
      </c>
      <c r="H1562" s="300">
        <v>1.0</v>
      </c>
      <c r="I1562" s="300">
        <v>1.0</v>
      </c>
      <c r="J1562" s="300">
        <v>1.0</v>
      </c>
      <c r="K1562" s="300">
        <v>1.0</v>
      </c>
      <c r="L1562" s="300">
        <v>1.0</v>
      </c>
      <c r="M1562" s="300">
        <v>1.0</v>
      </c>
      <c r="N1562" s="300">
        <v>8.0</v>
      </c>
      <c r="O1562" s="300" t="s">
        <v>867</v>
      </c>
      <c r="P1562" s="300">
        <v>7.0</v>
      </c>
    </row>
    <row r="1563">
      <c r="A1563">
        <f>IFERROR(__xludf.DUMMYFUNCTION("""COMPUTED_VALUE"""),9.0)</f>
        <v>9</v>
      </c>
      <c r="B1563" s="406">
        <f>IFERROR(__xludf.DUMMYFUNCTION("""COMPUTED_VALUE"""),29113.0)</f>
        <v>29113</v>
      </c>
      <c r="C1563" t="str">
        <f>IFERROR(__xludf.DUMMYFUNCTION("""COMPUTED_VALUE"""),"THIRIEZ VILLA, EMMA")</f>
        <v>THIRIEZ VILLA, EMMA</v>
      </c>
      <c r="D1563" t="str">
        <f>IFERROR(__xludf.DUMMYFUNCTION("""COMPUTED_VALUE"""),"Biology 9")</f>
        <v>Biology 9</v>
      </c>
      <c r="E1563" s="3">
        <f>IFERROR(__xludf.DUMMYFUNCTION("""COMPUTED_VALUE"""),4.0)</f>
        <v>4</v>
      </c>
      <c r="F1563" s="300">
        <v>1.0</v>
      </c>
      <c r="G1563" s="300">
        <v>1.0</v>
      </c>
      <c r="H1563" s="300">
        <v>1.0</v>
      </c>
      <c r="I1563" s="300">
        <v>1.0</v>
      </c>
      <c r="J1563" s="300">
        <v>1.0</v>
      </c>
      <c r="K1563" s="300">
        <v>1.0</v>
      </c>
      <c r="L1563" s="300">
        <v>1.0</v>
      </c>
      <c r="M1563" s="300">
        <v>1.0</v>
      </c>
      <c r="N1563" s="300">
        <v>8.0</v>
      </c>
      <c r="O1563" s="300" t="s">
        <v>868</v>
      </c>
      <c r="P1563" s="300">
        <v>7.0</v>
      </c>
    </row>
    <row r="1564">
      <c r="A1564">
        <f>IFERROR(__xludf.DUMMYFUNCTION("""COMPUTED_VALUE"""),9.0)</f>
        <v>9</v>
      </c>
      <c r="B1564" s="406">
        <f>IFERROR(__xludf.DUMMYFUNCTION("""COMPUTED_VALUE"""),29131.0)</f>
        <v>29131</v>
      </c>
      <c r="C1564" t="str">
        <f>IFERROR(__xludf.DUMMYFUNCTION("""COMPUTED_VALUE"""),"VILLEGAS HINCAPIE, CANDELARIA")</f>
        <v>VILLEGAS HINCAPIE, CANDELARIA</v>
      </c>
      <c r="D1564" t="str">
        <f>IFERROR(__xludf.DUMMYFUNCTION("""COMPUTED_VALUE"""),"Biology 9")</f>
        <v>Biology 9</v>
      </c>
      <c r="E1564" s="3">
        <f>IFERROR(__xludf.DUMMYFUNCTION("""COMPUTED_VALUE"""),1.0)</f>
        <v>1</v>
      </c>
      <c r="F1564" s="300">
        <v>1.0</v>
      </c>
      <c r="G1564" s="300">
        <v>1.0</v>
      </c>
      <c r="H1564" s="300">
        <v>1.0</v>
      </c>
      <c r="I1564" s="300">
        <v>1.0</v>
      </c>
      <c r="J1564" s="300">
        <v>1.0</v>
      </c>
      <c r="K1564" s="300">
        <v>1.0</v>
      </c>
      <c r="L1564" s="300">
        <v>1.0</v>
      </c>
      <c r="M1564" s="300">
        <v>1.0</v>
      </c>
      <c r="N1564" s="300">
        <v>8.0</v>
      </c>
      <c r="O1564" s="300" t="s">
        <v>869</v>
      </c>
      <c r="P1564" s="300">
        <v>7.0</v>
      </c>
    </row>
    <row r="1565">
      <c r="A1565">
        <f>IFERROR(__xludf.DUMMYFUNCTION("""COMPUTED_VALUE"""),9.0)</f>
        <v>9</v>
      </c>
      <c r="B1565" s="406">
        <f>IFERROR(__xludf.DUMMYFUNCTION("""COMPUTED_VALUE"""),29077.0)</f>
        <v>29077</v>
      </c>
      <c r="C1565" t="str">
        <f>IFERROR(__xludf.DUMMYFUNCTION("""COMPUTED_VALUE"""),"MEJIA VILLEGAS, CANDELARIA")</f>
        <v>MEJIA VILLEGAS, CANDELARIA</v>
      </c>
      <c r="D1565" t="str">
        <f>IFERROR(__xludf.DUMMYFUNCTION("""COMPUTED_VALUE"""),"Biology 9")</f>
        <v>Biology 9</v>
      </c>
      <c r="E1565" s="3">
        <f>IFERROR(__xludf.DUMMYFUNCTION("""COMPUTED_VALUE"""),7.0)</f>
        <v>7</v>
      </c>
      <c r="F1565" s="300">
        <v>1.0</v>
      </c>
      <c r="G1565" s="300">
        <v>1.0</v>
      </c>
      <c r="H1565" s="300">
        <v>1.0</v>
      </c>
      <c r="I1565" s="300">
        <v>1.0</v>
      </c>
      <c r="J1565" s="300">
        <v>1.0</v>
      </c>
      <c r="K1565" s="300">
        <v>1.0</v>
      </c>
      <c r="L1565" s="300">
        <v>1.0</v>
      </c>
      <c r="M1565" s="300">
        <v>1.0</v>
      </c>
      <c r="N1565" s="300">
        <v>8.0</v>
      </c>
      <c r="O1565" s="300" t="s">
        <v>867</v>
      </c>
      <c r="P1565" s="300">
        <v>7.0</v>
      </c>
    </row>
    <row r="1566">
      <c r="A1566">
        <f>IFERROR(__xludf.DUMMYFUNCTION("""COMPUTED_VALUE"""),9.0)</f>
        <v>9</v>
      </c>
      <c r="B1566" s="406">
        <f>IFERROR(__xludf.DUMMYFUNCTION("""COMPUTED_VALUE"""),28006.0)</f>
        <v>28006</v>
      </c>
      <c r="C1566" t="str">
        <f>IFERROR(__xludf.DUMMYFUNCTION("""COMPUTED_VALUE"""),"ARISTIZABAL ECHAVARRIA, CRISTOBAL")</f>
        <v>ARISTIZABAL ECHAVARRIA, CRISTOBAL</v>
      </c>
      <c r="D1566" t="str">
        <f>IFERROR(__xludf.DUMMYFUNCTION("""COMPUTED_VALUE"""),"Biology 9")</f>
        <v>Biology 9</v>
      </c>
      <c r="E1566" s="3">
        <f>IFERROR(__xludf.DUMMYFUNCTION("""COMPUTED_VALUE"""),1.0)</f>
        <v>1</v>
      </c>
      <c r="F1566" s="300">
        <v>1.0</v>
      </c>
      <c r="G1566" s="300">
        <v>1.0</v>
      </c>
      <c r="H1566" s="300">
        <v>1.0</v>
      </c>
      <c r="I1566" s="300">
        <v>1.0</v>
      </c>
      <c r="J1566" s="300">
        <v>1.0</v>
      </c>
      <c r="K1566" s="300">
        <v>1.0</v>
      </c>
      <c r="L1566" s="300">
        <v>1.0</v>
      </c>
      <c r="M1566" s="300">
        <v>1.0</v>
      </c>
      <c r="N1566" s="300">
        <v>8.0</v>
      </c>
      <c r="O1566" s="300" t="s">
        <v>869</v>
      </c>
      <c r="P1566" s="300">
        <v>7.0</v>
      </c>
    </row>
    <row r="1567">
      <c r="A1567">
        <f>IFERROR(__xludf.DUMMYFUNCTION("""COMPUTED_VALUE"""),9.0)</f>
        <v>9</v>
      </c>
      <c r="B1567" s="406">
        <f>IFERROR(__xludf.DUMMYFUNCTION("""COMPUTED_VALUE"""),29089.0)</f>
        <v>29089</v>
      </c>
      <c r="C1567" t="str">
        <f>IFERROR(__xludf.DUMMYFUNCTION("""COMPUTED_VALUE"""),"PEREZ BEDOYA, ELENA")</f>
        <v>PEREZ BEDOYA, ELENA</v>
      </c>
      <c r="D1567" t="str">
        <f>IFERROR(__xludf.DUMMYFUNCTION("""COMPUTED_VALUE"""),"Biology 9")</f>
        <v>Biology 9</v>
      </c>
      <c r="E1567" s="3">
        <f>IFERROR(__xludf.DUMMYFUNCTION("""COMPUTED_VALUE"""),3.0)</f>
        <v>3</v>
      </c>
      <c r="F1567" s="300">
        <v>1.0</v>
      </c>
      <c r="G1567" s="300">
        <v>1.0</v>
      </c>
      <c r="H1567" s="300">
        <v>1.0</v>
      </c>
      <c r="I1567" s="300">
        <v>1.0</v>
      </c>
      <c r="J1567" s="300">
        <v>1.0</v>
      </c>
      <c r="K1567" s="300">
        <v>1.0</v>
      </c>
      <c r="L1567" s="300">
        <v>1.0</v>
      </c>
      <c r="M1567" s="300">
        <v>1.0</v>
      </c>
      <c r="N1567" s="300">
        <v>8.0</v>
      </c>
      <c r="O1567" s="300" t="s">
        <v>870</v>
      </c>
      <c r="P1567" s="300">
        <v>7.0</v>
      </c>
    </row>
    <row r="1568">
      <c r="A1568">
        <f>IFERROR(__xludf.DUMMYFUNCTION("""COMPUTED_VALUE"""),9.0)</f>
        <v>9</v>
      </c>
      <c r="B1568" s="406">
        <f>IFERROR(__xludf.DUMMYFUNCTION("""COMPUTED_VALUE"""),29048.0)</f>
        <v>29048</v>
      </c>
      <c r="C1568" t="str">
        <f>IFERROR(__xludf.DUMMYFUNCTION("""COMPUTED_VALUE"""),"HENAO RESTREPO, ANTONIA")</f>
        <v>HENAO RESTREPO, ANTONIA</v>
      </c>
      <c r="D1568" t="str">
        <f>IFERROR(__xludf.DUMMYFUNCTION("""COMPUTED_VALUE"""),"Biology 9")</f>
        <v>Biology 9</v>
      </c>
      <c r="E1568" s="3">
        <f>IFERROR(__xludf.DUMMYFUNCTION("""COMPUTED_VALUE"""),3.0)</f>
        <v>3</v>
      </c>
      <c r="F1568" s="300">
        <v>1.0</v>
      </c>
      <c r="G1568" s="300">
        <v>1.0</v>
      </c>
      <c r="H1568" s="300">
        <v>1.0</v>
      </c>
      <c r="I1568" s="300">
        <v>1.0</v>
      </c>
      <c r="J1568" s="300">
        <v>1.0</v>
      </c>
      <c r="K1568" s="300">
        <v>1.0</v>
      </c>
      <c r="L1568" s="300">
        <v>1.0</v>
      </c>
      <c r="M1568" s="300">
        <v>1.0</v>
      </c>
      <c r="N1568" s="300">
        <v>8.0</v>
      </c>
      <c r="O1568" s="300" t="s">
        <v>870</v>
      </c>
      <c r="P1568" s="300">
        <v>7.0</v>
      </c>
    </row>
    <row r="1569">
      <c r="A1569">
        <f>IFERROR(__xludf.DUMMYFUNCTION("""COMPUTED_VALUE"""),9.0)</f>
        <v>9</v>
      </c>
      <c r="B1569" s="406">
        <f>IFERROR(__xludf.DUMMYFUNCTION("""COMPUTED_VALUE"""),29019.0)</f>
        <v>29019</v>
      </c>
      <c r="C1569" t="str">
        <f>IFERROR(__xludf.DUMMYFUNCTION("""COMPUTED_VALUE"""),"BARRIENTOS ALVAREZ, ELISA")</f>
        <v>BARRIENTOS ALVAREZ, ELISA</v>
      </c>
      <c r="D1569" t="str">
        <f>IFERROR(__xludf.DUMMYFUNCTION("""COMPUTED_VALUE"""),"Biology 9")</f>
        <v>Biology 9</v>
      </c>
      <c r="E1569" s="3">
        <f>IFERROR(__xludf.DUMMYFUNCTION("""COMPUTED_VALUE"""),5.0)</f>
        <v>5</v>
      </c>
      <c r="F1569" s="300">
        <v>1.0</v>
      </c>
      <c r="G1569" s="300">
        <v>1.0</v>
      </c>
      <c r="H1569" s="300">
        <v>1.0</v>
      </c>
      <c r="I1569" s="300">
        <v>1.0</v>
      </c>
      <c r="J1569" s="300">
        <v>1.0</v>
      </c>
      <c r="K1569" s="300">
        <v>1.0</v>
      </c>
      <c r="L1569" s="300">
        <v>1.0</v>
      </c>
      <c r="M1569" s="300">
        <v>1.0</v>
      </c>
      <c r="N1569" s="300">
        <v>8.0</v>
      </c>
      <c r="O1569" s="300" t="s">
        <v>871</v>
      </c>
      <c r="P1569" s="300">
        <v>7.0</v>
      </c>
    </row>
    <row r="1570">
      <c r="A1570">
        <f>IFERROR(__xludf.DUMMYFUNCTION("""COMPUTED_VALUE"""),9.0)</f>
        <v>9</v>
      </c>
      <c r="B1570" s="406">
        <f>IFERROR(__xludf.DUMMYFUNCTION("""COMPUTED_VALUE"""),29079.0)</f>
        <v>29079</v>
      </c>
      <c r="C1570" t="str">
        <f>IFERROR(__xludf.DUMMYFUNCTION("""COMPUTED_VALUE"""),"MISAS MESA, ALICIA")</f>
        <v>MISAS MESA, ALICIA</v>
      </c>
      <c r="D1570" t="str">
        <f>IFERROR(__xludf.DUMMYFUNCTION("""COMPUTED_VALUE"""),"Biology 9")</f>
        <v>Biology 9</v>
      </c>
      <c r="E1570" s="3">
        <f>IFERROR(__xludf.DUMMYFUNCTION("""COMPUTED_VALUE"""),7.0)</f>
        <v>7</v>
      </c>
      <c r="F1570" s="300">
        <v>1.0</v>
      </c>
      <c r="G1570" s="300">
        <v>1.0</v>
      </c>
      <c r="H1570" s="300">
        <v>1.0</v>
      </c>
      <c r="I1570" s="300">
        <v>1.0</v>
      </c>
      <c r="J1570" s="300">
        <v>1.0</v>
      </c>
      <c r="K1570" s="300">
        <v>1.0</v>
      </c>
      <c r="L1570" s="300">
        <v>1.0</v>
      </c>
      <c r="M1570" s="300">
        <v>1.0</v>
      </c>
      <c r="N1570" s="300">
        <v>8.0</v>
      </c>
      <c r="O1570" s="300" t="s">
        <v>867</v>
      </c>
      <c r="P1570" s="300">
        <v>7.0</v>
      </c>
    </row>
    <row r="1571">
      <c r="A1571">
        <f>IFERROR(__xludf.DUMMYFUNCTION("""COMPUTED_VALUE"""),9.0)</f>
        <v>9</v>
      </c>
      <c r="B1571" s="406">
        <f>IFERROR(__xludf.DUMMYFUNCTION("""COMPUTED_VALUE"""),29010.0)</f>
        <v>29010</v>
      </c>
      <c r="C1571" t="str">
        <f>IFERROR(__xludf.DUMMYFUNCTION("""COMPUTED_VALUE"""),"ARANGO NAVARRO, MANUELA")</f>
        <v>ARANGO NAVARRO, MANUELA</v>
      </c>
      <c r="D1571" t="str">
        <f>IFERROR(__xludf.DUMMYFUNCTION("""COMPUTED_VALUE"""),"Biology 9")</f>
        <v>Biology 9</v>
      </c>
      <c r="E1571" s="3">
        <f>IFERROR(__xludf.DUMMYFUNCTION("""COMPUTED_VALUE"""),2.0)</f>
        <v>2</v>
      </c>
      <c r="F1571" s="300">
        <v>1.0</v>
      </c>
      <c r="G1571" s="300">
        <v>1.0</v>
      </c>
      <c r="H1571" s="300">
        <v>1.0</v>
      </c>
      <c r="I1571" s="300">
        <v>1.0</v>
      </c>
      <c r="J1571" s="300">
        <v>1.0</v>
      </c>
      <c r="K1571" s="300">
        <v>1.0</v>
      </c>
      <c r="L1571" s="300">
        <v>1.0</v>
      </c>
      <c r="M1571" s="300">
        <v>1.0</v>
      </c>
      <c r="N1571" s="300">
        <v>8.0</v>
      </c>
      <c r="O1571" s="300" t="s">
        <v>872</v>
      </c>
      <c r="P1571" s="300">
        <v>7.0</v>
      </c>
    </row>
    <row r="1572">
      <c r="A1572">
        <f>IFERROR(__xludf.DUMMYFUNCTION("""COMPUTED_VALUE"""),9.0)</f>
        <v>9</v>
      </c>
      <c r="B1572" s="406">
        <f>IFERROR(__xludf.DUMMYFUNCTION("""COMPUTED_VALUE"""),29074.0)</f>
        <v>29074</v>
      </c>
      <c r="C1572" t="str">
        <f>IFERROR(__xludf.DUMMYFUNCTION("""COMPUTED_VALUE"""),"MEDINA JARAMILLO, ALICIA")</f>
        <v>MEDINA JARAMILLO, ALICIA</v>
      </c>
      <c r="D1572" t="str">
        <f>IFERROR(__xludf.DUMMYFUNCTION("""COMPUTED_VALUE"""),"Biology 9")</f>
        <v>Biology 9</v>
      </c>
      <c r="E1572" s="3">
        <f>IFERROR(__xludf.DUMMYFUNCTION("""COMPUTED_VALUE"""),7.0)</f>
        <v>7</v>
      </c>
      <c r="F1572" s="300">
        <v>1.0</v>
      </c>
      <c r="G1572" s="300">
        <v>1.0</v>
      </c>
      <c r="H1572" s="300">
        <v>1.0</v>
      </c>
      <c r="I1572" s="300">
        <v>1.0</v>
      </c>
      <c r="J1572" s="300">
        <v>1.0</v>
      </c>
      <c r="K1572" s="300">
        <v>1.0</v>
      </c>
      <c r="L1572" s="300">
        <v>1.0</v>
      </c>
      <c r="M1572" s="300">
        <v>1.0</v>
      </c>
      <c r="N1572" s="300">
        <v>8.0</v>
      </c>
      <c r="O1572" s="300" t="s">
        <v>867</v>
      </c>
      <c r="P1572" s="300">
        <v>7.0</v>
      </c>
    </row>
    <row r="1573">
      <c r="A1573">
        <f>IFERROR(__xludf.DUMMYFUNCTION("""COMPUTED_VALUE"""),9.0)</f>
        <v>9</v>
      </c>
      <c r="B1573" s="406">
        <f>IFERROR(__xludf.DUMMYFUNCTION("""COMPUTED_VALUE"""),29001.0)</f>
        <v>29001</v>
      </c>
      <c r="C1573" t="str">
        <f>IFERROR(__xludf.DUMMYFUNCTION("""COMPUTED_VALUE"""),"ACEVEDO ARANGO, ROSARIO")</f>
        <v>ACEVEDO ARANGO, ROSARIO</v>
      </c>
      <c r="D1573" t="str">
        <f>IFERROR(__xludf.DUMMYFUNCTION("""COMPUTED_VALUE"""),"Biology 9")</f>
        <v>Biology 9</v>
      </c>
      <c r="E1573" s="3">
        <f>IFERROR(__xludf.DUMMYFUNCTION("""COMPUTED_VALUE"""),1.0)</f>
        <v>1</v>
      </c>
      <c r="F1573" s="300">
        <v>1.0</v>
      </c>
      <c r="G1573" s="300">
        <v>1.0</v>
      </c>
      <c r="H1573" s="300">
        <v>1.0</v>
      </c>
      <c r="I1573" s="300">
        <v>1.0</v>
      </c>
      <c r="J1573" s="300">
        <v>1.0</v>
      </c>
      <c r="K1573" s="300">
        <v>1.0</v>
      </c>
      <c r="L1573" s="300">
        <v>1.0</v>
      </c>
      <c r="M1573" s="300">
        <v>1.0</v>
      </c>
      <c r="N1573" s="300">
        <v>8.0</v>
      </c>
      <c r="O1573" s="300" t="s">
        <v>869</v>
      </c>
      <c r="P1573" s="300">
        <v>7.0</v>
      </c>
    </row>
    <row r="1574">
      <c r="A1574">
        <f>IFERROR(__xludf.DUMMYFUNCTION("""COMPUTED_VALUE"""),9.0)</f>
        <v>9</v>
      </c>
      <c r="B1574" s="406">
        <f>IFERROR(__xludf.DUMMYFUNCTION("""COMPUTED_VALUE"""),29043.0)</f>
        <v>29043</v>
      </c>
      <c r="C1574" t="str">
        <f>IFERROR(__xludf.DUMMYFUNCTION("""COMPUTED_VALUE"""),"GOMEZ PASCHKE, VALERIA")</f>
        <v>GOMEZ PASCHKE, VALERIA</v>
      </c>
      <c r="D1574" t="str">
        <f>IFERROR(__xludf.DUMMYFUNCTION("""COMPUTED_VALUE"""),"Biology 9")</f>
        <v>Biology 9</v>
      </c>
      <c r="E1574" s="3">
        <f>IFERROR(__xludf.DUMMYFUNCTION("""COMPUTED_VALUE"""),4.0)</f>
        <v>4</v>
      </c>
      <c r="F1574" s="300">
        <v>1.0</v>
      </c>
      <c r="G1574" s="300">
        <v>1.0</v>
      </c>
      <c r="H1574" s="300">
        <v>1.0</v>
      </c>
      <c r="I1574" s="300">
        <v>1.0</v>
      </c>
      <c r="J1574" s="300">
        <v>1.0</v>
      </c>
      <c r="K1574" s="300">
        <v>1.0</v>
      </c>
      <c r="L1574" s="300">
        <v>1.0</v>
      </c>
      <c r="M1574" s="300">
        <v>1.0</v>
      </c>
      <c r="N1574" s="300">
        <v>8.0</v>
      </c>
      <c r="O1574" s="300" t="s">
        <v>868</v>
      </c>
      <c r="P1574" s="300">
        <v>7.0</v>
      </c>
    </row>
    <row r="1575">
      <c r="A1575">
        <f>IFERROR(__xludf.DUMMYFUNCTION("""COMPUTED_VALUE"""),9.0)</f>
        <v>9</v>
      </c>
      <c r="B1575" s="406">
        <f>IFERROR(__xludf.DUMMYFUNCTION("""COMPUTED_VALUE"""),29114.0)</f>
        <v>29114</v>
      </c>
      <c r="C1575" t="str">
        <f>IFERROR(__xludf.DUMMYFUNCTION("""COMPUTED_VALUE"""),"THIRIEZ VILLA, MARIA")</f>
        <v>THIRIEZ VILLA, MARIA</v>
      </c>
      <c r="D1575" t="str">
        <f>IFERROR(__xludf.DUMMYFUNCTION("""COMPUTED_VALUE"""),"Biology 9")</f>
        <v>Biology 9</v>
      </c>
      <c r="E1575" s="3">
        <f>IFERROR(__xludf.DUMMYFUNCTION("""COMPUTED_VALUE"""),6.0)</f>
        <v>6</v>
      </c>
      <c r="F1575" s="300">
        <v>1.0</v>
      </c>
      <c r="G1575" s="300">
        <v>1.0</v>
      </c>
      <c r="H1575" s="300">
        <v>1.0</v>
      </c>
      <c r="I1575" s="300">
        <v>1.0</v>
      </c>
      <c r="J1575" s="300">
        <v>1.0</v>
      </c>
      <c r="K1575" s="300">
        <v>1.0</v>
      </c>
      <c r="L1575" s="300">
        <v>1.0</v>
      </c>
      <c r="M1575" s="300">
        <v>1.0</v>
      </c>
      <c r="N1575" s="300">
        <v>8.0</v>
      </c>
      <c r="O1575" s="300" t="s">
        <v>866</v>
      </c>
      <c r="P1575" s="300">
        <v>7.0</v>
      </c>
    </row>
    <row r="1576">
      <c r="A1576">
        <f>IFERROR(__xludf.DUMMYFUNCTION("""COMPUTED_VALUE"""),9.0)</f>
        <v>9</v>
      </c>
      <c r="B1576" s="406">
        <f>IFERROR(__xludf.DUMMYFUNCTION("""COMPUTED_VALUE"""),29091.0)</f>
        <v>29091</v>
      </c>
      <c r="C1576" t="str">
        <f>IFERROR(__xludf.DUMMYFUNCTION("""COMPUTED_VALUE"""),"PLATA BOLAÑOS, CAMILA")</f>
        <v>PLATA BOLAÑOS, CAMILA</v>
      </c>
      <c r="D1576" t="str">
        <f>IFERROR(__xludf.DUMMYFUNCTION("""COMPUTED_VALUE"""),"Biology 9")</f>
        <v>Biology 9</v>
      </c>
      <c r="E1576" s="3">
        <f>IFERROR(__xludf.DUMMYFUNCTION("""COMPUTED_VALUE"""),6.0)</f>
        <v>6</v>
      </c>
      <c r="F1576" s="300">
        <v>1.0</v>
      </c>
      <c r="G1576" s="300">
        <v>1.0</v>
      </c>
      <c r="H1576" s="300">
        <v>1.0</v>
      </c>
      <c r="I1576" s="300">
        <v>1.0</v>
      </c>
      <c r="J1576" s="300">
        <v>1.0</v>
      </c>
      <c r="K1576" s="300">
        <v>1.0</v>
      </c>
      <c r="L1576" s="300">
        <v>1.0</v>
      </c>
      <c r="M1576" s="300">
        <v>1.0</v>
      </c>
      <c r="N1576" s="300">
        <v>8.0</v>
      </c>
      <c r="O1576" s="300" t="s">
        <v>866</v>
      </c>
      <c r="P1576" s="300">
        <v>7.0</v>
      </c>
    </row>
    <row r="1577">
      <c r="A1577">
        <f>IFERROR(__xludf.DUMMYFUNCTION("""COMPUTED_VALUE"""),9.0)</f>
        <v>9</v>
      </c>
      <c r="B1577" s="406">
        <f>IFERROR(__xludf.DUMMYFUNCTION("""COMPUTED_VALUE"""),29034.0)</f>
        <v>29034</v>
      </c>
      <c r="C1577" t="str">
        <f>IFERROR(__xludf.DUMMYFUNCTION("""COMPUTED_VALUE"""),"DUQUE BONNETT, ELISA")</f>
        <v>DUQUE BONNETT, ELISA</v>
      </c>
      <c r="D1577" t="str">
        <f>IFERROR(__xludf.DUMMYFUNCTION("""COMPUTED_VALUE"""),"Biology 9")</f>
        <v>Biology 9</v>
      </c>
      <c r="E1577" s="3">
        <f>IFERROR(__xludf.DUMMYFUNCTION("""COMPUTED_VALUE"""),3.0)</f>
        <v>3</v>
      </c>
      <c r="F1577" s="300">
        <v>1.0</v>
      </c>
      <c r="G1577" s="300">
        <v>1.0</v>
      </c>
      <c r="H1577" s="300">
        <v>1.0</v>
      </c>
      <c r="I1577" s="300">
        <v>1.0</v>
      </c>
      <c r="J1577" s="300">
        <v>1.0</v>
      </c>
      <c r="K1577" s="300">
        <v>1.0</v>
      </c>
      <c r="L1577" s="300">
        <v>1.0</v>
      </c>
      <c r="M1577" s="300">
        <v>1.0</v>
      </c>
      <c r="N1577" s="300">
        <v>8.0</v>
      </c>
      <c r="O1577" s="300" t="s">
        <v>870</v>
      </c>
      <c r="P1577" s="300">
        <v>7.0</v>
      </c>
    </row>
    <row r="1578">
      <c r="A1578">
        <f>IFERROR(__xludf.DUMMYFUNCTION("""COMPUTED_VALUE"""),9.0)</f>
        <v>9</v>
      </c>
      <c r="B1578" s="406">
        <f>IFERROR(__xludf.DUMMYFUNCTION("""COMPUTED_VALUE"""),29080.0)</f>
        <v>29080</v>
      </c>
      <c r="C1578" t="str">
        <f>IFERROR(__xludf.DUMMYFUNCTION("""COMPUTED_VALUE"""),"MONTES LOPEZ, MANUELA")</f>
        <v>MONTES LOPEZ, MANUELA</v>
      </c>
      <c r="D1578" t="str">
        <f>IFERROR(__xludf.DUMMYFUNCTION("""COMPUTED_VALUE"""),"Biology 9")</f>
        <v>Biology 9</v>
      </c>
      <c r="E1578" s="3">
        <f>IFERROR(__xludf.DUMMYFUNCTION("""COMPUTED_VALUE"""),7.0)</f>
        <v>7</v>
      </c>
      <c r="F1578" s="300">
        <v>1.0</v>
      </c>
      <c r="G1578" s="300">
        <v>1.0</v>
      </c>
      <c r="H1578" s="300">
        <v>1.0</v>
      </c>
      <c r="I1578" s="300">
        <v>1.0</v>
      </c>
      <c r="J1578" s="300">
        <v>1.0</v>
      </c>
      <c r="K1578" s="300">
        <v>1.0</v>
      </c>
      <c r="L1578" s="300">
        <v>1.0</v>
      </c>
      <c r="M1578" s="300">
        <v>1.0</v>
      </c>
      <c r="N1578" s="300">
        <v>8.0</v>
      </c>
      <c r="O1578" s="300" t="s">
        <v>867</v>
      </c>
      <c r="P1578" s="300">
        <v>7.0</v>
      </c>
    </row>
    <row r="1579">
      <c r="A1579">
        <f>IFERROR(__xludf.DUMMYFUNCTION("""COMPUTED_VALUE"""),9.0)</f>
        <v>9</v>
      </c>
      <c r="B1579" s="406">
        <f>IFERROR(__xludf.DUMMYFUNCTION("""COMPUTED_VALUE"""),29157.0)</f>
        <v>29157</v>
      </c>
      <c r="C1579" t="str">
        <f>IFERROR(__xludf.DUMMYFUNCTION("""COMPUTED_VALUE"""),"PETTERSSON VANEGAS, DOMINIQUE")</f>
        <v>PETTERSSON VANEGAS, DOMINIQUE</v>
      </c>
      <c r="D1579" t="str">
        <f>IFERROR(__xludf.DUMMYFUNCTION("""COMPUTED_VALUE"""),"Biology 9")</f>
        <v>Biology 9</v>
      </c>
      <c r="E1579" s="3">
        <f>IFERROR(__xludf.DUMMYFUNCTION("""COMPUTED_VALUE"""),4.0)</f>
        <v>4</v>
      </c>
      <c r="F1579" s="300">
        <v>1.0</v>
      </c>
      <c r="G1579" s="300">
        <v>1.0</v>
      </c>
      <c r="H1579" s="300">
        <v>1.0</v>
      </c>
      <c r="I1579" s="300">
        <v>1.0</v>
      </c>
      <c r="J1579" s="300">
        <v>1.0</v>
      </c>
      <c r="K1579" s="300">
        <v>1.0</v>
      </c>
      <c r="L1579" s="300">
        <v>1.0</v>
      </c>
      <c r="M1579" s="300">
        <v>1.0</v>
      </c>
      <c r="N1579" s="300">
        <v>8.0</v>
      </c>
      <c r="O1579" s="300" t="s">
        <v>868</v>
      </c>
      <c r="P1579" s="300">
        <v>7.0</v>
      </c>
    </row>
    <row r="1580">
      <c r="A1580">
        <f>IFERROR(__xludf.DUMMYFUNCTION("""COMPUTED_VALUE"""),9.0)</f>
        <v>9</v>
      </c>
      <c r="B1580" s="406">
        <f>IFERROR(__xludf.DUMMYFUNCTION("""COMPUTED_VALUE"""),29111.0)</f>
        <v>29111</v>
      </c>
      <c r="C1580" t="str">
        <f>IFERROR(__xludf.DUMMYFUNCTION("""COMPUTED_VALUE"""),"SOTO ANGEL, GABRIELA")</f>
        <v>SOTO ANGEL, GABRIELA</v>
      </c>
      <c r="D1580" t="str">
        <f>IFERROR(__xludf.DUMMYFUNCTION("""COMPUTED_VALUE"""),"Biology 9")</f>
        <v>Biology 9</v>
      </c>
      <c r="E1580" s="3">
        <f>IFERROR(__xludf.DUMMYFUNCTION("""COMPUTED_VALUE"""),6.0)</f>
        <v>6</v>
      </c>
      <c r="F1580" s="300">
        <v>1.0</v>
      </c>
      <c r="G1580" s="300">
        <v>1.0</v>
      </c>
      <c r="H1580" s="300">
        <v>1.0</v>
      </c>
      <c r="I1580" s="300">
        <v>1.0</v>
      </c>
      <c r="J1580" s="300">
        <v>1.0</v>
      </c>
      <c r="K1580" s="300">
        <v>1.0</v>
      </c>
      <c r="L1580" s="300">
        <v>1.0</v>
      </c>
      <c r="M1580" s="300">
        <v>1.0</v>
      </c>
      <c r="N1580" s="300">
        <v>8.0</v>
      </c>
      <c r="O1580" s="300" t="s">
        <v>866</v>
      </c>
      <c r="P1580" s="300">
        <v>7.0</v>
      </c>
    </row>
    <row r="1581">
      <c r="A1581">
        <f>IFERROR(__xludf.DUMMYFUNCTION("""COMPUTED_VALUE"""),9.0)</f>
        <v>9</v>
      </c>
      <c r="B1581" s="406">
        <f>IFERROR(__xludf.DUMMYFUNCTION("""COMPUTED_VALUE"""),29107.0)</f>
        <v>29107</v>
      </c>
      <c r="C1581" t="str">
        <f>IFERROR(__xludf.DUMMYFUNCTION("""COMPUTED_VALUE"""),"SANIN JARAMILLO, PEDRO")</f>
        <v>SANIN JARAMILLO, PEDRO</v>
      </c>
      <c r="D1581" t="str">
        <f>IFERROR(__xludf.DUMMYFUNCTION("""COMPUTED_VALUE"""),"Biology 9")</f>
        <v>Biology 9</v>
      </c>
      <c r="E1581" s="3">
        <f>IFERROR(__xludf.DUMMYFUNCTION("""COMPUTED_VALUE"""),4.0)</f>
        <v>4</v>
      </c>
      <c r="F1581" s="300">
        <v>1.0</v>
      </c>
      <c r="G1581" s="300">
        <v>1.0</v>
      </c>
      <c r="H1581" s="300">
        <v>1.0</v>
      </c>
      <c r="I1581" s="300">
        <v>1.0</v>
      </c>
      <c r="J1581" s="300">
        <v>1.0</v>
      </c>
      <c r="K1581" s="300">
        <v>1.0</v>
      </c>
      <c r="L1581" s="300">
        <v>1.0</v>
      </c>
      <c r="M1581" s="300">
        <v>1.0</v>
      </c>
      <c r="N1581" s="300">
        <v>8.0</v>
      </c>
      <c r="O1581" s="300" t="s">
        <v>868</v>
      </c>
      <c r="P1581" s="300">
        <v>7.0</v>
      </c>
    </row>
    <row r="1582">
      <c r="A1582">
        <f>IFERROR(__xludf.DUMMYFUNCTION("""COMPUTED_VALUE"""),9.0)</f>
        <v>9</v>
      </c>
      <c r="B1582" s="406">
        <f>IFERROR(__xludf.DUMMYFUNCTION("""COMPUTED_VALUE"""),29066.0)</f>
        <v>29066</v>
      </c>
      <c r="C1582" t="str">
        <f>IFERROR(__xludf.DUMMYFUNCTION("""COMPUTED_VALUE"""),"LONDOÑO JARAMILLO, MARTINA")</f>
        <v>LONDOÑO JARAMILLO, MARTINA</v>
      </c>
      <c r="D1582" t="str">
        <f>IFERROR(__xludf.DUMMYFUNCTION("""COMPUTED_VALUE"""),"Biology 9")</f>
        <v>Biology 9</v>
      </c>
      <c r="E1582" s="3">
        <f>IFERROR(__xludf.DUMMYFUNCTION("""COMPUTED_VALUE"""),7.0)</f>
        <v>7</v>
      </c>
      <c r="F1582" s="300">
        <v>1.0</v>
      </c>
      <c r="G1582" s="300">
        <v>1.0</v>
      </c>
      <c r="H1582" s="300">
        <v>1.0</v>
      </c>
      <c r="I1582" s="300">
        <v>1.0</v>
      </c>
      <c r="J1582" s="300">
        <v>1.0</v>
      </c>
      <c r="K1582" s="300">
        <v>1.0</v>
      </c>
      <c r="L1582" s="300">
        <v>1.0</v>
      </c>
      <c r="M1582" s="300">
        <v>1.0</v>
      </c>
      <c r="N1582" s="300">
        <v>8.0</v>
      </c>
      <c r="O1582" s="300" t="s">
        <v>867</v>
      </c>
      <c r="P1582" s="300">
        <v>7.0</v>
      </c>
    </row>
    <row r="1583">
      <c r="A1583">
        <f>IFERROR(__xludf.DUMMYFUNCTION("""COMPUTED_VALUE"""),9.0)</f>
        <v>9</v>
      </c>
      <c r="B1583" s="406">
        <f>IFERROR(__xludf.DUMMYFUNCTION("""COMPUTED_VALUE"""),29071.0)</f>
        <v>29071</v>
      </c>
      <c r="C1583" t="str">
        <f>IFERROR(__xludf.DUMMYFUNCTION("""COMPUTED_VALUE"""),"MARQUEZ BARRERA, MIRANDA")</f>
        <v>MARQUEZ BARRERA, MIRANDA</v>
      </c>
      <c r="D1583" t="str">
        <f>IFERROR(__xludf.DUMMYFUNCTION("""COMPUTED_VALUE"""),"Biology 9")</f>
        <v>Biology 9</v>
      </c>
      <c r="E1583" s="3">
        <f>IFERROR(__xludf.DUMMYFUNCTION("""COMPUTED_VALUE"""),4.0)</f>
        <v>4</v>
      </c>
      <c r="F1583" s="300">
        <v>1.0</v>
      </c>
      <c r="G1583" s="300">
        <v>1.0</v>
      </c>
      <c r="H1583" s="300">
        <v>1.0</v>
      </c>
      <c r="I1583" s="300">
        <v>1.0</v>
      </c>
      <c r="J1583" s="300">
        <v>1.0</v>
      </c>
      <c r="K1583" s="300">
        <v>1.0</v>
      </c>
      <c r="L1583" s="300">
        <v>1.0</v>
      </c>
      <c r="M1583" s="300">
        <v>1.0</v>
      </c>
      <c r="N1583" s="300">
        <v>8.0</v>
      </c>
      <c r="O1583" s="300" t="s">
        <v>868</v>
      </c>
      <c r="P1583" s="300">
        <v>7.0</v>
      </c>
    </row>
    <row r="1584">
      <c r="A1584">
        <f>IFERROR(__xludf.DUMMYFUNCTION("""COMPUTED_VALUE"""),9.0)</f>
        <v>9</v>
      </c>
      <c r="B1584" s="406">
        <f>IFERROR(__xludf.DUMMYFUNCTION("""COMPUTED_VALUE"""),29008.0)</f>
        <v>29008</v>
      </c>
      <c r="C1584" t="str">
        <f>IFERROR(__xludf.DUMMYFUNCTION("""COMPUTED_VALUE"""),"APA ECHAVARRIA, LORENZO")</f>
        <v>APA ECHAVARRIA, LORENZO</v>
      </c>
      <c r="D1584" t="str">
        <f>IFERROR(__xludf.DUMMYFUNCTION("""COMPUTED_VALUE"""),"Biology 9")</f>
        <v>Biology 9</v>
      </c>
      <c r="E1584" s="3">
        <f>IFERROR(__xludf.DUMMYFUNCTION("""COMPUTED_VALUE"""),6.0)</f>
        <v>6</v>
      </c>
      <c r="F1584" s="300">
        <v>1.0</v>
      </c>
      <c r="G1584" s="300">
        <v>1.0</v>
      </c>
      <c r="H1584" s="300">
        <v>1.0</v>
      </c>
      <c r="I1584" s="300">
        <v>1.0</v>
      </c>
      <c r="J1584" s="300">
        <v>1.0</v>
      </c>
      <c r="K1584" s="300">
        <v>1.0</v>
      </c>
      <c r="L1584" s="300">
        <v>1.0</v>
      </c>
      <c r="M1584" s="300">
        <v>1.0</v>
      </c>
      <c r="N1584" s="300">
        <v>8.0</v>
      </c>
      <c r="O1584" s="300" t="s">
        <v>866</v>
      </c>
      <c r="P1584" s="300">
        <v>7.0</v>
      </c>
    </row>
    <row r="1585">
      <c r="A1585">
        <f>IFERROR(__xludf.DUMMYFUNCTION("""COMPUTED_VALUE"""),9.0)</f>
        <v>9</v>
      </c>
      <c r="B1585" s="406">
        <f>IFERROR(__xludf.DUMMYFUNCTION("""COMPUTED_VALUE"""),29016.0)</f>
        <v>29016</v>
      </c>
      <c r="C1585" t="str">
        <f>IFERROR(__xludf.DUMMYFUNCTION("""COMPUTED_VALUE"""),"ARROYAVE LONDOÑO, ELISA")</f>
        <v>ARROYAVE LONDOÑO, ELISA</v>
      </c>
      <c r="D1585" t="str">
        <f>IFERROR(__xludf.DUMMYFUNCTION("""COMPUTED_VALUE"""),"Biology 9")</f>
        <v>Biology 9</v>
      </c>
      <c r="E1585" s="3">
        <f>IFERROR(__xludf.DUMMYFUNCTION("""COMPUTED_VALUE"""),4.0)</f>
        <v>4</v>
      </c>
      <c r="F1585" s="300">
        <v>1.0</v>
      </c>
      <c r="G1585" s="300">
        <v>1.0</v>
      </c>
      <c r="H1585" s="300">
        <v>1.0</v>
      </c>
      <c r="I1585" s="300">
        <v>1.0</v>
      </c>
      <c r="J1585" s="300">
        <v>1.0</v>
      </c>
      <c r="K1585" s="300">
        <v>1.0</v>
      </c>
      <c r="L1585" s="300">
        <v>1.0</v>
      </c>
      <c r="M1585" s="300">
        <v>1.0</v>
      </c>
      <c r="N1585" s="300">
        <v>8.0</v>
      </c>
      <c r="O1585" s="300" t="s">
        <v>868</v>
      </c>
      <c r="P1585" s="300">
        <v>7.0</v>
      </c>
    </row>
    <row r="1586">
      <c r="A1586">
        <f>IFERROR(__xludf.DUMMYFUNCTION("""COMPUTED_VALUE"""),9.0)</f>
        <v>9</v>
      </c>
      <c r="B1586" s="406">
        <f>IFERROR(__xludf.DUMMYFUNCTION("""COMPUTED_VALUE"""),29053.0)</f>
        <v>29053</v>
      </c>
      <c r="C1586" t="str">
        <f>IFERROR(__xludf.DUMMYFUNCTION("""COMPUTED_VALUE"""),"HURTADO FAJARDO, JUANITA")</f>
        <v>HURTADO FAJARDO, JUANITA</v>
      </c>
      <c r="D1586" t="str">
        <f>IFERROR(__xludf.DUMMYFUNCTION("""COMPUTED_VALUE"""),"Biology 9")</f>
        <v>Biology 9</v>
      </c>
      <c r="E1586" s="3">
        <f>IFERROR(__xludf.DUMMYFUNCTION("""COMPUTED_VALUE"""),7.0)</f>
        <v>7</v>
      </c>
      <c r="F1586" s="300">
        <v>1.0</v>
      </c>
      <c r="G1586" s="300">
        <v>1.0</v>
      </c>
      <c r="H1586" s="300">
        <v>1.0</v>
      </c>
      <c r="I1586" s="300">
        <v>1.0</v>
      </c>
      <c r="J1586" s="300">
        <v>1.0</v>
      </c>
      <c r="K1586" s="300">
        <v>1.0</v>
      </c>
      <c r="L1586" s="300">
        <v>1.0</v>
      </c>
      <c r="M1586" s="300">
        <v>1.0</v>
      </c>
      <c r="N1586" s="300">
        <v>8.0</v>
      </c>
      <c r="O1586" s="300" t="s">
        <v>867</v>
      </c>
      <c r="P1586" s="300">
        <v>7.0</v>
      </c>
    </row>
    <row r="1587">
      <c r="A1587">
        <f>IFERROR(__xludf.DUMMYFUNCTION("""COMPUTED_VALUE"""),9.0)</f>
        <v>9</v>
      </c>
      <c r="B1587" s="406">
        <f>IFERROR(__xludf.DUMMYFUNCTION("""COMPUTED_VALUE"""),29124.0)</f>
        <v>29124</v>
      </c>
      <c r="C1587" t="str">
        <f>IFERROR(__xludf.DUMMYFUNCTION("""COMPUTED_VALUE"""),"VALLEJO HOYOS, JUAN")</f>
        <v>VALLEJO HOYOS, JUAN</v>
      </c>
      <c r="D1587" t="str">
        <f>IFERROR(__xludf.DUMMYFUNCTION("""COMPUTED_VALUE"""),"Biology 9")</f>
        <v>Biology 9</v>
      </c>
      <c r="E1587" s="3">
        <f>IFERROR(__xludf.DUMMYFUNCTION("""COMPUTED_VALUE"""),3.0)</f>
        <v>3</v>
      </c>
      <c r="F1587" s="300">
        <v>1.0</v>
      </c>
      <c r="G1587" s="300">
        <v>1.0</v>
      </c>
      <c r="H1587" s="300">
        <v>1.0</v>
      </c>
      <c r="I1587" s="300">
        <v>1.0</v>
      </c>
      <c r="J1587" s="300">
        <v>1.0</v>
      </c>
      <c r="K1587" s="300">
        <v>1.0</v>
      </c>
      <c r="L1587" s="300">
        <v>1.0</v>
      </c>
      <c r="M1587" s="300">
        <v>1.0</v>
      </c>
      <c r="N1587" s="300">
        <v>8.0</v>
      </c>
      <c r="O1587" s="300" t="s">
        <v>870</v>
      </c>
      <c r="P1587" s="300">
        <v>7.0</v>
      </c>
    </row>
    <row r="1588">
      <c r="A1588">
        <f>IFERROR(__xludf.DUMMYFUNCTION("""COMPUTED_VALUE"""),9.0)</f>
        <v>9</v>
      </c>
      <c r="B1588" s="406">
        <f>IFERROR(__xludf.DUMMYFUNCTION("""COMPUTED_VALUE"""),29135.0)</f>
        <v>29135</v>
      </c>
      <c r="C1588" t="str">
        <f>IFERROR(__xludf.DUMMYFUNCTION("""COMPUTED_VALUE"""),"ECHAVARRIA MUÑOZ, NICOLAS")</f>
        <v>ECHAVARRIA MUÑOZ, NICOLAS</v>
      </c>
      <c r="D1588" t="str">
        <f>IFERROR(__xludf.DUMMYFUNCTION("""COMPUTED_VALUE"""),"Biology 9")</f>
        <v>Biology 9</v>
      </c>
      <c r="E1588" s="3">
        <f>IFERROR(__xludf.DUMMYFUNCTION("""COMPUTED_VALUE"""),7.0)</f>
        <v>7</v>
      </c>
      <c r="F1588" s="300">
        <v>1.0</v>
      </c>
      <c r="G1588" s="300">
        <v>1.0</v>
      </c>
      <c r="H1588" s="300">
        <v>1.0</v>
      </c>
      <c r="I1588" s="300">
        <v>1.0</v>
      </c>
      <c r="J1588" s="300">
        <v>1.0</v>
      </c>
      <c r="K1588" s="300">
        <v>1.0</v>
      </c>
      <c r="L1588" s="300">
        <v>1.0</v>
      </c>
      <c r="M1588" s="300">
        <v>1.0</v>
      </c>
      <c r="N1588" s="300">
        <v>8.0</v>
      </c>
      <c r="O1588" s="300" t="s">
        <v>867</v>
      </c>
      <c r="P1588" s="300">
        <v>7.0</v>
      </c>
    </row>
    <row r="1589">
      <c r="A1589">
        <f>IFERROR(__xludf.DUMMYFUNCTION("""COMPUTED_VALUE"""),9.0)</f>
        <v>9</v>
      </c>
      <c r="B1589" s="406">
        <f>IFERROR(__xludf.DUMMYFUNCTION("""COMPUTED_VALUE"""),29112.0)</f>
        <v>29112</v>
      </c>
      <c r="C1589" t="str">
        <f>IFERROR(__xludf.DUMMYFUNCTION("""COMPUTED_VALUE"""),"SUAREZ MARTINEZ, ANA")</f>
        <v>SUAREZ MARTINEZ, ANA</v>
      </c>
      <c r="D1589" t="str">
        <f>IFERROR(__xludf.DUMMYFUNCTION("""COMPUTED_VALUE"""),"Biology 9")</f>
        <v>Biology 9</v>
      </c>
      <c r="E1589" s="3">
        <f>IFERROR(__xludf.DUMMYFUNCTION("""COMPUTED_VALUE"""),1.0)</f>
        <v>1</v>
      </c>
      <c r="F1589" s="300">
        <v>1.0</v>
      </c>
      <c r="G1589" s="300">
        <v>1.0</v>
      </c>
      <c r="H1589" s="300">
        <v>1.0</v>
      </c>
      <c r="I1589" s="300">
        <v>1.0</v>
      </c>
      <c r="J1589" s="300">
        <v>1.0</v>
      </c>
      <c r="K1589" s="300">
        <v>1.0</v>
      </c>
      <c r="L1589" s="300">
        <v>1.0</v>
      </c>
      <c r="M1589" s="300">
        <v>1.0</v>
      </c>
      <c r="N1589" s="300">
        <v>8.0</v>
      </c>
      <c r="O1589" s="300" t="s">
        <v>869</v>
      </c>
      <c r="P1589" s="300">
        <v>7.0</v>
      </c>
    </row>
    <row r="1590">
      <c r="A1590">
        <f>IFERROR(__xludf.DUMMYFUNCTION("""COMPUTED_VALUE"""),9.0)</f>
        <v>9</v>
      </c>
      <c r="B1590" s="406">
        <f>IFERROR(__xludf.DUMMYFUNCTION("""COMPUTED_VALUE"""),29022.0)</f>
        <v>29022</v>
      </c>
      <c r="C1590" t="str">
        <f>IFERROR(__xludf.DUMMYFUNCTION("""COMPUTED_VALUE"""),"BETANCUR ROBLEDO, PEDRO")</f>
        <v>BETANCUR ROBLEDO, PEDRO</v>
      </c>
      <c r="D1590" t="str">
        <f>IFERROR(__xludf.DUMMYFUNCTION("""COMPUTED_VALUE"""),"Biology 9")</f>
        <v>Biology 9</v>
      </c>
      <c r="E1590" s="3">
        <f>IFERROR(__xludf.DUMMYFUNCTION("""COMPUTED_VALUE"""),5.0)</f>
        <v>5</v>
      </c>
      <c r="F1590" s="300">
        <v>1.0</v>
      </c>
      <c r="G1590" s="300">
        <v>1.0</v>
      </c>
      <c r="H1590" s="300">
        <v>1.0</v>
      </c>
      <c r="I1590" s="300">
        <v>1.0</v>
      </c>
      <c r="J1590" s="300">
        <v>1.0</v>
      </c>
      <c r="K1590" s="300">
        <v>1.0</v>
      </c>
      <c r="L1590" s="300">
        <v>1.0</v>
      </c>
      <c r="M1590" s="300">
        <v>1.0</v>
      </c>
      <c r="N1590" s="300">
        <v>8.0</v>
      </c>
      <c r="O1590" s="300" t="s">
        <v>871</v>
      </c>
      <c r="P1590" s="300">
        <v>7.0</v>
      </c>
    </row>
    <row r="1591">
      <c r="A1591">
        <f>IFERROR(__xludf.DUMMYFUNCTION("""COMPUTED_VALUE"""),9.0)</f>
        <v>9</v>
      </c>
      <c r="B1591" s="406">
        <f>IFERROR(__xludf.DUMMYFUNCTION("""COMPUTED_VALUE"""),29085.0)</f>
        <v>29085</v>
      </c>
      <c r="C1591" t="str">
        <f>IFERROR(__xludf.DUMMYFUNCTION("""COMPUTED_VALUE"""),"OTALVARO ABAD, JUAN MARTIN")</f>
        <v>OTALVARO ABAD, JUAN MARTIN</v>
      </c>
      <c r="D1591" t="str">
        <f>IFERROR(__xludf.DUMMYFUNCTION("""COMPUTED_VALUE"""),"Biology 9")</f>
        <v>Biology 9</v>
      </c>
      <c r="E1591" s="3">
        <f>IFERROR(__xludf.DUMMYFUNCTION("""COMPUTED_VALUE"""),3.0)</f>
        <v>3</v>
      </c>
      <c r="F1591" s="300">
        <v>1.0</v>
      </c>
      <c r="G1591" s="300">
        <v>1.0</v>
      </c>
      <c r="H1591" s="300">
        <v>1.0</v>
      </c>
      <c r="I1591" s="300">
        <v>1.0</v>
      </c>
      <c r="J1591" s="300">
        <v>1.0</v>
      </c>
      <c r="K1591" s="300">
        <v>1.0</v>
      </c>
      <c r="L1591" s="300">
        <v>1.0</v>
      </c>
      <c r="M1591" s="300">
        <v>1.0</v>
      </c>
      <c r="N1591" s="300">
        <v>8.0</v>
      </c>
      <c r="O1591" s="300" t="s">
        <v>870</v>
      </c>
      <c r="P1591" s="300">
        <v>7.0</v>
      </c>
    </row>
    <row r="1592">
      <c r="A1592">
        <f>IFERROR(__xludf.DUMMYFUNCTION("""COMPUTED_VALUE"""),9.0)</f>
        <v>9</v>
      </c>
      <c r="B1592" s="406">
        <f>IFERROR(__xludf.DUMMYFUNCTION("""COMPUTED_VALUE"""),29081.0)</f>
        <v>29081</v>
      </c>
      <c r="C1592" t="str">
        <f>IFERROR(__xludf.DUMMYFUNCTION("""COMPUTED_VALUE"""),"MORA JARAMILLO, ALICIA")</f>
        <v>MORA JARAMILLO, ALICIA</v>
      </c>
      <c r="D1592" t="str">
        <f>IFERROR(__xludf.DUMMYFUNCTION("""COMPUTED_VALUE"""),"Biology 9")</f>
        <v>Biology 9</v>
      </c>
      <c r="E1592" s="3">
        <f>IFERROR(__xludf.DUMMYFUNCTION("""COMPUTED_VALUE"""),4.0)</f>
        <v>4</v>
      </c>
      <c r="F1592" s="300">
        <v>1.0</v>
      </c>
      <c r="G1592" s="300">
        <v>1.0</v>
      </c>
      <c r="H1592" s="300">
        <v>1.0</v>
      </c>
      <c r="I1592" s="300">
        <v>1.0</v>
      </c>
      <c r="J1592" s="300">
        <v>1.0</v>
      </c>
      <c r="K1592" s="300">
        <v>1.0</v>
      </c>
      <c r="L1592" s="300">
        <v>1.0</v>
      </c>
      <c r="M1592" s="300">
        <v>1.0</v>
      </c>
      <c r="N1592" s="300">
        <v>8.0</v>
      </c>
      <c r="O1592" s="300" t="s">
        <v>868</v>
      </c>
      <c r="P1592" s="300">
        <v>7.0</v>
      </c>
    </row>
    <row r="1593">
      <c r="A1593">
        <f>IFERROR(__xludf.DUMMYFUNCTION("""COMPUTED_VALUE"""),9.0)</f>
        <v>9</v>
      </c>
      <c r="B1593" s="406">
        <f>IFERROR(__xludf.DUMMYFUNCTION("""COMPUTED_VALUE"""),29147.0)</f>
        <v>29147</v>
      </c>
      <c r="C1593" t="str">
        <f>IFERROR(__xludf.DUMMYFUNCTION("""COMPUTED_VALUE"""),"JIMENO ARISTIZABAL, ISABELLA")</f>
        <v>JIMENO ARISTIZABAL, ISABELLA</v>
      </c>
      <c r="D1593" t="str">
        <f>IFERROR(__xludf.DUMMYFUNCTION("""COMPUTED_VALUE"""),"Biology 9")</f>
        <v>Biology 9</v>
      </c>
      <c r="E1593" s="3">
        <f>IFERROR(__xludf.DUMMYFUNCTION("""COMPUTED_VALUE"""),4.0)</f>
        <v>4</v>
      </c>
      <c r="F1593" s="300">
        <v>1.0</v>
      </c>
      <c r="G1593" s="300">
        <v>1.0</v>
      </c>
      <c r="H1593" s="300">
        <v>1.0</v>
      </c>
      <c r="I1593" s="300">
        <v>1.0</v>
      </c>
      <c r="J1593" s="300">
        <v>1.0</v>
      </c>
      <c r="K1593" s="300">
        <v>1.0</v>
      </c>
      <c r="L1593" s="300">
        <v>1.0</v>
      </c>
      <c r="M1593" s="300">
        <v>1.0</v>
      </c>
      <c r="N1593" s="300">
        <v>8.0</v>
      </c>
      <c r="O1593" s="300" t="s">
        <v>868</v>
      </c>
      <c r="P1593" s="300">
        <v>7.0</v>
      </c>
    </row>
    <row r="1594">
      <c r="A1594">
        <f>IFERROR(__xludf.DUMMYFUNCTION("""COMPUTED_VALUE"""),9.0)</f>
        <v>9</v>
      </c>
      <c r="B1594" s="406">
        <f>IFERROR(__xludf.DUMMYFUNCTION("""COMPUTED_VALUE"""),29007.0)</f>
        <v>29007</v>
      </c>
      <c r="C1594" t="str">
        <f>IFERROR(__xludf.DUMMYFUNCTION("""COMPUTED_VALUE"""),"ALZATE GARCIA, LUCIANA")</f>
        <v>ALZATE GARCIA, LUCIANA</v>
      </c>
      <c r="D1594" t="str">
        <f>IFERROR(__xludf.DUMMYFUNCTION("""COMPUTED_VALUE"""),"Biology 9")</f>
        <v>Biology 9</v>
      </c>
      <c r="E1594" s="3">
        <f>IFERROR(__xludf.DUMMYFUNCTION("""COMPUTED_VALUE"""),6.0)</f>
        <v>6</v>
      </c>
      <c r="F1594" s="300">
        <v>1.0</v>
      </c>
      <c r="G1594" s="300">
        <v>1.0</v>
      </c>
      <c r="H1594" s="300">
        <v>1.0</v>
      </c>
      <c r="I1594" s="300">
        <v>1.0</v>
      </c>
      <c r="J1594" s="300">
        <v>1.0</v>
      </c>
      <c r="K1594" s="300">
        <v>1.0</v>
      </c>
      <c r="L1594" s="300">
        <v>1.0</v>
      </c>
      <c r="M1594" s="300">
        <v>1.0</v>
      </c>
      <c r="N1594" s="300">
        <v>8.0</v>
      </c>
      <c r="O1594" s="300" t="s">
        <v>866</v>
      </c>
      <c r="P1594" s="300">
        <v>7.0</v>
      </c>
    </row>
    <row r="1595">
      <c r="A1595">
        <f>IFERROR(__xludf.DUMMYFUNCTION("""COMPUTED_VALUE"""),9.0)</f>
        <v>9</v>
      </c>
      <c r="B1595" s="406">
        <f>IFERROR(__xludf.DUMMYFUNCTION("""COMPUTED_VALUE"""),29032.0)</f>
        <v>29032</v>
      </c>
      <c r="C1595" t="str">
        <f>IFERROR(__xludf.DUMMYFUNCTION("""COMPUTED_VALUE"""),"CORTES SIERRA, TOMAS")</f>
        <v>CORTES SIERRA, TOMAS</v>
      </c>
      <c r="D1595" t="str">
        <f>IFERROR(__xludf.DUMMYFUNCTION("""COMPUTED_VALUE"""),"Biology 9")</f>
        <v>Biology 9</v>
      </c>
      <c r="E1595" s="3">
        <f>IFERROR(__xludf.DUMMYFUNCTION("""COMPUTED_VALUE"""),3.0)</f>
        <v>3</v>
      </c>
      <c r="F1595" s="300">
        <v>1.0</v>
      </c>
      <c r="G1595" s="300">
        <v>1.0</v>
      </c>
      <c r="H1595" s="300">
        <v>1.0</v>
      </c>
      <c r="I1595" s="300">
        <v>1.0</v>
      </c>
      <c r="J1595" s="300">
        <v>1.0</v>
      </c>
      <c r="K1595" s="300">
        <v>1.0</v>
      </c>
      <c r="L1595" s="300">
        <v>1.0</v>
      </c>
      <c r="M1595" s="300">
        <v>1.0</v>
      </c>
      <c r="N1595" s="300">
        <v>8.0</v>
      </c>
      <c r="O1595" s="300" t="s">
        <v>870</v>
      </c>
      <c r="P1595" s="300">
        <v>7.0</v>
      </c>
    </row>
    <row r="1596">
      <c r="A1596">
        <f>IFERROR(__xludf.DUMMYFUNCTION("""COMPUTED_VALUE"""),9.0)</f>
        <v>9</v>
      </c>
      <c r="B1596" s="406">
        <f>IFERROR(__xludf.DUMMYFUNCTION("""COMPUTED_VALUE"""),29076.0)</f>
        <v>29076</v>
      </c>
      <c r="C1596" t="str">
        <f>IFERROR(__xludf.DUMMYFUNCTION("""COMPUTED_VALUE"""),"MEJIA MANTILLA, MATEO")</f>
        <v>MEJIA MANTILLA, MATEO</v>
      </c>
      <c r="D1596" t="str">
        <f>IFERROR(__xludf.DUMMYFUNCTION("""COMPUTED_VALUE"""),"Biology 9")</f>
        <v>Biology 9</v>
      </c>
      <c r="E1596" s="3">
        <f>IFERROR(__xludf.DUMMYFUNCTION("""COMPUTED_VALUE"""),5.0)</f>
        <v>5</v>
      </c>
      <c r="F1596" s="300">
        <v>1.0</v>
      </c>
      <c r="G1596" s="300">
        <v>1.0</v>
      </c>
      <c r="H1596" s="300">
        <v>1.0</v>
      </c>
      <c r="I1596" s="300">
        <v>1.0</v>
      </c>
      <c r="J1596" s="300">
        <v>1.0</v>
      </c>
      <c r="K1596" s="300">
        <v>1.0</v>
      </c>
      <c r="L1596" s="300">
        <v>1.0</v>
      </c>
      <c r="M1596" s="300">
        <v>1.0</v>
      </c>
      <c r="N1596" s="300">
        <v>8.0</v>
      </c>
      <c r="O1596" s="300" t="s">
        <v>871</v>
      </c>
      <c r="P1596" s="300">
        <v>7.0</v>
      </c>
    </row>
    <row r="1597">
      <c r="A1597">
        <f>IFERROR(__xludf.DUMMYFUNCTION("""COMPUTED_VALUE"""),9.0)</f>
        <v>9</v>
      </c>
      <c r="B1597" s="406">
        <f>IFERROR(__xludf.DUMMYFUNCTION("""COMPUTED_VALUE"""),29025.0)</f>
        <v>29025</v>
      </c>
      <c r="C1597" t="str">
        <f>IFERROR(__xludf.DUMMYFUNCTION("""COMPUTED_VALUE"""),"CALLE BUITRAGO, ESTEBAN")</f>
        <v>CALLE BUITRAGO, ESTEBAN</v>
      </c>
      <c r="D1597" t="str">
        <f>IFERROR(__xludf.DUMMYFUNCTION("""COMPUTED_VALUE"""),"Biology 9")</f>
        <v>Biology 9</v>
      </c>
      <c r="E1597" s="3">
        <f>IFERROR(__xludf.DUMMYFUNCTION("""COMPUTED_VALUE"""),5.0)</f>
        <v>5</v>
      </c>
      <c r="F1597" s="300">
        <v>1.0</v>
      </c>
      <c r="G1597" s="300">
        <v>1.0</v>
      </c>
      <c r="H1597" s="300">
        <v>1.0</v>
      </c>
      <c r="I1597" s="300">
        <v>1.0</v>
      </c>
      <c r="J1597" s="300">
        <v>1.0</v>
      </c>
      <c r="K1597" s="300">
        <v>1.0</v>
      </c>
      <c r="L1597" s="300">
        <v>1.0</v>
      </c>
      <c r="M1597" s="300">
        <v>1.0</v>
      </c>
      <c r="N1597" s="300">
        <v>8.0</v>
      </c>
      <c r="O1597" s="300" t="s">
        <v>871</v>
      </c>
      <c r="P1597" s="300">
        <v>7.0</v>
      </c>
    </row>
    <row r="1598">
      <c r="A1598">
        <f>IFERROR(__xludf.DUMMYFUNCTION("""COMPUTED_VALUE"""),9.0)</f>
        <v>9</v>
      </c>
      <c r="B1598" s="406">
        <f>IFERROR(__xludf.DUMMYFUNCTION("""COMPUTED_VALUE"""),29038.0)</f>
        <v>29038</v>
      </c>
      <c r="C1598" t="str">
        <f>IFERROR(__xludf.DUMMYFUNCTION("""COMPUTED_VALUE"""),"ESCOBAR MADRID, MAXIMILIANO")</f>
        <v>ESCOBAR MADRID, MAXIMILIANO</v>
      </c>
      <c r="D1598" t="str">
        <f>IFERROR(__xludf.DUMMYFUNCTION("""COMPUTED_VALUE"""),"Biology 9")</f>
        <v>Biology 9</v>
      </c>
      <c r="E1598" s="3">
        <f>IFERROR(__xludf.DUMMYFUNCTION("""COMPUTED_VALUE"""),6.0)</f>
        <v>6</v>
      </c>
      <c r="F1598" s="300">
        <v>1.0</v>
      </c>
      <c r="G1598" s="300">
        <v>1.0</v>
      </c>
      <c r="H1598" s="300">
        <v>1.0</v>
      </c>
      <c r="I1598" s="300">
        <v>1.0</v>
      </c>
      <c r="J1598" s="300">
        <v>1.0</v>
      </c>
      <c r="K1598" s="300">
        <v>1.0</v>
      </c>
      <c r="L1598" s="300">
        <v>1.0</v>
      </c>
      <c r="M1598" s="300">
        <v>1.0</v>
      </c>
      <c r="N1598" s="300">
        <v>8.0</v>
      </c>
      <c r="O1598" s="300" t="s">
        <v>866</v>
      </c>
      <c r="P1598" s="300">
        <v>7.0</v>
      </c>
    </row>
    <row r="1599">
      <c r="A1599">
        <f>IFERROR(__xludf.DUMMYFUNCTION("""COMPUTED_VALUE"""),9.0)</f>
        <v>9</v>
      </c>
      <c r="B1599" s="406">
        <f>IFERROR(__xludf.DUMMYFUNCTION("""COMPUTED_VALUE"""),28077.0)</f>
        <v>28077</v>
      </c>
      <c r="C1599" t="str">
        <f>IFERROR(__xludf.DUMMYFUNCTION("""COMPUTED_VALUE"""),"OLIVEIRA CASTAÑO, MARIANA")</f>
        <v>OLIVEIRA CASTAÑO, MARIANA</v>
      </c>
      <c r="D1599" t="str">
        <f>IFERROR(__xludf.DUMMYFUNCTION("""COMPUTED_VALUE"""),"Biology 9")</f>
        <v>Biology 9</v>
      </c>
      <c r="E1599" s="3">
        <f>IFERROR(__xludf.DUMMYFUNCTION("""COMPUTED_VALUE"""),4.0)</f>
        <v>4</v>
      </c>
      <c r="F1599" s="300">
        <v>1.0</v>
      </c>
      <c r="G1599" s="300">
        <v>1.0</v>
      </c>
      <c r="H1599" s="300">
        <v>1.0</v>
      </c>
      <c r="I1599" s="300">
        <v>1.0</v>
      </c>
      <c r="J1599" s="300">
        <v>1.0</v>
      </c>
      <c r="K1599" s="300">
        <v>1.0</v>
      </c>
      <c r="L1599" s="300">
        <v>1.0</v>
      </c>
      <c r="M1599" s="300">
        <v>1.0</v>
      </c>
      <c r="N1599" s="300">
        <v>8.0</v>
      </c>
      <c r="O1599" s="300" t="s">
        <v>868</v>
      </c>
      <c r="P1599" s="300">
        <v>7.0</v>
      </c>
    </row>
    <row r="1600">
      <c r="A1600">
        <f>IFERROR(__xludf.DUMMYFUNCTION("""COMPUTED_VALUE"""),9.0)</f>
        <v>9</v>
      </c>
      <c r="B1600" s="406">
        <f>IFERROR(__xludf.DUMMYFUNCTION("""COMPUTED_VALUE"""),29041.0)</f>
        <v>29041</v>
      </c>
      <c r="C1600" t="str">
        <f>IFERROR(__xludf.DUMMYFUNCTION("""COMPUTED_VALUE"""),"FAJARDO VILLA, LUCIANA")</f>
        <v>FAJARDO VILLA, LUCIANA</v>
      </c>
      <c r="D1600" t="str">
        <f>IFERROR(__xludf.DUMMYFUNCTION("""COMPUTED_VALUE"""),"Biology 9")</f>
        <v>Biology 9</v>
      </c>
      <c r="E1600" s="3">
        <f>IFERROR(__xludf.DUMMYFUNCTION("""COMPUTED_VALUE"""),1.0)</f>
        <v>1</v>
      </c>
      <c r="F1600" s="300">
        <v>1.0</v>
      </c>
      <c r="G1600" s="300">
        <v>1.0</v>
      </c>
      <c r="H1600" s="300">
        <v>1.0</v>
      </c>
      <c r="I1600" s="300">
        <v>1.0</v>
      </c>
      <c r="J1600" s="300">
        <v>1.0</v>
      </c>
      <c r="K1600" s="300">
        <v>1.0</v>
      </c>
      <c r="L1600" s="300">
        <v>1.0</v>
      </c>
      <c r="M1600" s="300">
        <v>1.0</v>
      </c>
      <c r="N1600" s="300">
        <v>8.0</v>
      </c>
      <c r="O1600" s="300" t="s">
        <v>869</v>
      </c>
      <c r="P1600" s="300">
        <v>7.0</v>
      </c>
    </row>
    <row r="1601">
      <c r="A1601">
        <f>IFERROR(__xludf.DUMMYFUNCTION("""COMPUTED_VALUE"""),9.0)</f>
        <v>9</v>
      </c>
      <c r="B1601" s="406">
        <f>IFERROR(__xludf.DUMMYFUNCTION("""COMPUTED_VALUE"""),29021.0)</f>
        <v>29021</v>
      </c>
      <c r="C1601" t="str">
        <f>IFERROR(__xludf.DUMMYFUNCTION("""COMPUTED_VALUE"""),"BETANCOURT QUINTERO, SIMON")</f>
        <v>BETANCOURT QUINTERO, SIMON</v>
      </c>
      <c r="D1601" t="str">
        <f>IFERROR(__xludf.DUMMYFUNCTION("""COMPUTED_VALUE"""),"Biology 9")</f>
        <v>Biology 9</v>
      </c>
      <c r="E1601" s="3">
        <f>IFERROR(__xludf.DUMMYFUNCTION("""COMPUTED_VALUE"""),4.0)</f>
        <v>4</v>
      </c>
      <c r="F1601" s="300">
        <v>1.0</v>
      </c>
      <c r="G1601" s="300">
        <v>1.0</v>
      </c>
      <c r="H1601" s="300">
        <v>1.0</v>
      </c>
      <c r="I1601" s="300">
        <v>1.0</v>
      </c>
      <c r="J1601" s="300">
        <v>1.0</v>
      </c>
      <c r="K1601" s="300">
        <v>1.0</v>
      </c>
      <c r="L1601" s="300">
        <v>1.0</v>
      </c>
      <c r="M1601" s="300">
        <v>1.0</v>
      </c>
      <c r="N1601" s="300">
        <v>8.0</v>
      </c>
      <c r="O1601" s="300" t="s">
        <v>868</v>
      </c>
      <c r="P1601" s="300">
        <v>7.0</v>
      </c>
    </row>
    <row r="1602">
      <c r="A1602">
        <f>IFERROR(__xludf.DUMMYFUNCTION("""COMPUTED_VALUE"""),9.0)</f>
        <v>9</v>
      </c>
      <c r="B1602" s="406">
        <f>IFERROR(__xludf.DUMMYFUNCTION("""COMPUTED_VALUE"""),29029.0)</f>
        <v>29029</v>
      </c>
      <c r="C1602" t="str">
        <f>IFERROR(__xludf.DUMMYFUNCTION("""COMPUTED_VALUE"""),"CHAVARRIAGA MESA, GREGORIO")</f>
        <v>CHAVARRIAGA MESA, GREGORIO</v>
      </c>
      <c r="D1602" t="str">
        <f>IFERROR(__xludf.DUMMYFUNCTION("""COMPUTED_VALUE"""),"Biology 9")</f>
        <v>Biology 9</v>
      </c>
      <c r="E1602" s="3">
        <f>IFERROR(__xludf.DUMMYFUNCTION("""COMPUTED_VALUE"""),3.0)</f>
        <v>3</v>
      </c>
      <c r="F1602" s="300">
        <v>1.0</v>
      </c>
      <c r="G1602" s="300">
        <v>1.0</v>
      </c>
      <c r="H1602" s="300">
        <v>1.0</v>
      </c>
      <c r="I1602" s="300">
        <v>1.0</v>
      </c>
      <c r="J1602" s="300">
        <v>1.0</v>
      </c>
      <c r="K1602" s="300">
        <v>1.0</v>
      </c>
      <c r="L1602" s="300">
        <v>1.0</v>
      </c>
      <c r="M1602" s="300">
        <v>1.0</v>
      </c>
      <c r="N1602" s="300">
        <v>8.0</v>
      </c>
      <c r="O1602" s="300" t="s">
        <v>870</v>
      </c>
      <c r="P1602" s="300">
        <v>7.0</v>
      </c>
    </row>
    <row r="1603">
      <c r="A1603">
        <f>IFERROR(__xludf.DUMMYFUNCTION("""COMPUTED_VALUE"""),9.0)</f>
        <v>9</v>
      </c>
      <c r="B1603" s="406">
        <f>IFERROR(__xludf.DUMMYFUNCTION("""COMPUTED_VALUE"""),29148.0)</f>
        <v>29148</v>
      </c>
      <c r="C1603" t="str">
        <f>IFERROR(__xludf.DUMMYFUNCTION("""COMPUTED_VALUE"""),"OSORIO ARISTIZABAL, MATIAS")</f>
        <v>OSORIO ARISTIZABAL, MATIAS</v>
      </c>
      <c r="D1603" t="str">
        <f>IFERROR(__xludf.DUMMYFUNCTION("""COMPUTED_VALUE"""),"Biology 9")</f>
        <v>Biology 9</v>
      </c>
      <c r="E1603" s="3">
        <f>IFERROR(__xludf.DUMMYFUNCTION("""COMPUTED_VALUE"""),5.0)</f>
        <v>5</v>
      </c>
      <c r="F1603" s="300">
        <v>1.0</v>
      </c>
      <c r="G1603" s="300">
        <v>1.0</v>
      </c>
      <c r="H1603" s="300">
        <v>1.0</v>
      </c>
      <c r="I1603" s="300">
        <v>1.0</v>
      </c>
      <c r="J1603" s="300">
        <v>1.0</v>
      </c>
      <c r="K1603" s="300">
        <v>1.0</v>
      </c>
      <c r="L1603" s="300">
        <v>1.0</v>
      </c>
      <c r="M1603" s="300">
        <v>1.0</v>
      </c>
      <c r="N1603" s="300">
        <v>8.0</v>
      </c>
      <c r="O1603" s="300" t="s">
        <v>871</v>
      </c>
      <c r="P1603" s="300">
        <v>7.0</v>
      </c>
    </row>
    <row r="1604">
      <c r="A1604">
        <f>IFERROR(__xludf.DUMMYFUNCTION("""COMPUTED_VALUE"""),9.0)</f>
        <v>9</v>
      </c>
      <c r="B1604" s="406">
        <f>IFERROR(__xludf.DUMMYFUNCTION("""COMPUTED_VALUE"""),29170.0)</f>
        <v>29170</v>
      </c>
      <c r="C1604" t="str">
        <f>IFERROR(__xludf.DUMMYFUNCTION("""COMPUTED_VALUE"""),"ALVAREZ CARDENAS, JUAN EMILIO")</f>
        <v>ALVAREZ CARDENAS, JUAN EMILIO</v>
      </c>
      <c r="D1604" t="str">
        <f>IFERROR(__xludf.DUMMYFUNCTION("""COMPUTED_VALUE"""),"Biology 9")</f>
        <v>Biology 9</v>
      </c>
      <c r="E1604" s="3">
        <f>IFERROR(__xludf.DUMMYFUNCTION("""COMPUTED_VALUE"""),6.0)</f>
        <v>6</v>
      </c>
      <c r="F1604" s="300">
        <v>1.0</v>
      </c>
      <c r="G1604" s="300">
        <v>1.0</v>
      </c>
      <c r="H1604" s="300">
        <v>1.0</v>
      </c>
      <c r="I1604" s="300">
        <v>1.0</v>
      </c>
      <c r="J1604" s="300">
        <v>1.0</v>
      </c>
      <c r="K1604" s="300">
        <v>1.0</v>
      </c>
      <c r="L1604" s="300">
        <v>1.0</v>
      </c>
      <c r="M1604" s="300">
        <v>1.0</v>
      </c>
      <c r="N1604" s="300">
        <v>8.0</v>
      </c>
      <c r="O1604" s="300" t="s">
        <v>866</v>
      </c>
      <c r="P1604" s="300">
        <v>7.0</v>
      </c>
    </row>
    <row r="1605">
      <c r="A1605">
        <f>IFERROR(__xludf.DUMMYFUNCTION("""COMPUTED_VALUE"""),9.0)</f>
        <v>9</v>
      </c>
      <c r="B1605" s="406">
        <f>IFERROR(__xludf.DUMMYFUNCTION("""COMPUTED_VALUE"""),29058.0)</f>
        <v>29058</v>
      </c>
      <c r="C1605" t="str">
        <f>IFERROR(__xludf.DUMMYFUNCTION("""COMPUTED_VALUE"""),"JARAMILLO DONADO, AMELIA")</f>
        <v>JARAMILLO DONADO, AMELIA</v>
      </c>
      <c r="D1605" t="str">
        <f>IFERROR(__xludf.DUMMYFUNCTION("""COMPUTED_VALUE"""),"Biology 9")</f>
        <v>Biology 9</v>
      </c>
      <c r="E1605" s="3">
        <f>IFERROR(__xludf.DUMMYFUNCTION("""COMPUTED_VALUE"""),3.0)</f>
        <v>3</v>
      </c>
      <c r="F1605" s="300">
        <v>1.0</v>
      </c>
      <c r="G1605" s="300">
        <v>1.0</v>
      </c>
      <c r="H1605" s="300">
        <v>1.0</v>
      </c>
      <c r="I1605" s="300">
        <v>1.0</v>
      </c>
      <c r="J1605" s="300">
        <v>1.0</v>
      </c>
      <c r="K1605" s="300">
        <v>1.0</v>
      </c>
      <c r="L1605" s="300">
        <v>1.0</v>
      </c>
      <c r="M1605" s="300">
        <v>1.0</v>
      </c>
      <c r="N1605" s="300">
        <v>8.0</v>
      </c>
      <c r="O1605" s="300" t="s">
        <v>870</v>
      </c>
      <c r="P1605" s="300">
        <v>7.0</v>
      </c>
    </row>
    <row r="1606">
      <c r="A1606">
        <f>IFERROR(__xludf.DUMMYFUNCTION("""COMPUTED_VALUE"""),9.0)</f>
        <v>9</v>
      </c>
      <c r="B1606" s="406">
        <f>IFERROR(__xludf.DUMMYFUNCTION("""COMPUTED_VALUE"""),29072.0)</f>
        <v>29072</v>
      </c>
      <c r="C1606" t="str">
        <f>IFERROR(__xludf.DUMMYFUNCTION("""COMPUTED_VALUE"""),"MARQUEZ RAHAL, PEDRO")</f>
        <v>MARQUEZ RAHAL, PEDRO</v>
      </c>
      <c r="D1606" t="str">
        <f>IFERROR(__xludf.DUMMYFUNCTION("""COMPUTED_VALUE"""),"Biology 9")</f>
        <v>Biology 9</v>
      </c>
      <c r="E1606" s="3">
        <f>IFERROR(__xludf.DUMMYFUNCTION("""COMPUTED_VALUE"""),4.0)</f>
        <v>4</v>
      </c>
      <c r="F1606" s="300">
        <v>1.0</v>
      </c>
      <c r="G1606" s="300">
        <v>1.0</v>
      </c>
      <c r="H1606" s="300">
        <v>1.0</v>
      </c>
      <c r="I1606" s="300">
        <v>1.0</v>
      </c>
      <c r="J1606" s="300">
        <v>1.0</v>
      </c>
      <c r="K1606" s="300">
        <v>1.0</v>
      </c>
      <c r="L1606" s="300">
        <v>1.0</v>
      </c>
      <c r="M1606" s="300">
        <v>1.0</v>
      </c>
      <c r="N1606" s="300">
        <v>8.0</v>
      </c>
      <c r="O1606" s="300" t="s">
        <v>868</v>
      </c>
      <c r="P1606" s="300">
        <v>7.0</v>
      </c>
    </row>
    <row r="1607">
      <c r="A1607">
        <f>IFERROR(__xludf.DUMMYFUNCTION("""COMPUTED_VALUE"""),9.0)</f>
        <v>9</v>
      </c>
      <c r="B1607" s="406">
        <f>IFERROR(__xludf.DUMMYFUNCTION("""COMPUTED_VALUE"""),29125.0)</f>
        <v>29125</v>
      </c>
      <c r="C1607" t="str">
        <f>IFERROR(__xludf.DUMMYFUNCTION("""COMPUTED_VALUE"""),"VALLEJO LONDOÑO, TOMAS")</f>
        <v>VALLEJO LONDOÑO, TOMAS</v>
      </c>
      <c r="D1607" t="str">
        <f>IFERROR(__xludf.DUMMYFUNCTION("""COMPUTED_VALUE"""),"Biology 9")</f>
        <v>Biology 9</v>
      </c>
      <c r="E1607" s="3">
        <f>IFERROR(__xludf.DUMMYFUNCTION("""COMPUTED_VALUE"""),2.0)</f>
        <v>2</v>
      </c>
      <c r="F1607" s="300">
        <v>1.0</v>
      </c>
      <c r="G1607" s="300">
        <v>1.0</v>
      </c>
      <c r="H1607" s="300">
        <v>1.0</v>
      </c>
      <c r="I1607" s="300">
        <v>1.0</v>
      </c>
      <c r="J1607" s="300">
        <v>1.0</v>
      </c>
      <c r="K1607" s="300">
        <v>1.0</v>
      </c>
      <c r="L1607" s="300">
        <v>1.0</v>
      </c>
      <c r="M1607" s="300">
        <v>1.0</v>
      </c>
      <c r="N1607" s="300">
        <v>8.0</v>
      </c>
      <c r="O1607" s="300" t="s">
        <v>872</v>
      </c>
      <c r="P1607" s="300">
        <v>7.0</v>
      </c>
    </row>
    <row r="1608">
      <c r="A1608">
        <f>IFERROR(__xludf.DUMMYFUNCTION("""COMPUTED_VALUE"""),9.0)</f>
        <v>9</v>
      </c>
      <c r="B1608" s="406">
        <f>IFERROR(__xludf.DUMMYFUNCTION("""COMPUTED_VALUE"""),29045.0)</f>
        <v>29045</v>
      </c>
      <c r="C1608" t="str">
        <f>IFERROR(__xludf.DUMMYFUNCTION("""COMPUTED_VALUE"""),"GOMEZ ZULUAGA, JUAN JOSE")</f>
        <v>GOMEZ ZULUAGA, JUAN JOSE</v>
      </c>
      <c r="D1608" t="str">
        <f>IFERROR(__xludf.DUMMYFUNCTION("""COMPUTED_VALUE"""),"Biology 9")</f>
        <v>Biology 9</v>
      </c>
      <c r="E1608" s="3">
        <f>IFERROR(__xludf.DUMMYFUNCTION("""COMPUTED_VALUE"""),7.0)</f>
        <v>7</v>
      </c>
      <c r="F1608" s="300">
        <v>1.0</v>
      </c>
      <c r="G1608" s="300">
        <v>1.0</v>
      </c>
      <c r="H1608" s="300">
        <v>1.0</v>
      </c>
      <c r="I1608" s="300">
        <v>1.0</v>
      </c>
      <c r="J1608" s="300">
        <v>1.0</v>
      </c>
      <c r="K1608" s="300">
        <v>1.0</v>
      </c>
      <c r="L1608" s="300">
        <v>1.0</v>
      </c>
      <c r="M1608" s="300">
        <v>1.0</v>
      </c>
      <c r="N1608" s="300">
        <v>8.0</v>
      </c>
      <c r="O1608" s="300" t="s">
        <v>867</v>
      </c>
      <c r="P1608" s="300">
        <v>7.0</v>
      </c>
    </row>
    <row r="1609">
      <c r="A1609">
        <f>IFERROR(__xludf.DUMMYFUNCTION("""COMPUTED_VALUE"""),9.0)</f>
        <v>9</v>
      </c>
      <c r="B1609" s="406">
        <f>IFERROR(__xludf.DUMMYFUNCTION("""COMPUTED_VALUE"""),28032.0)</f>
        <v>28032</v>
      </c>
      <c r="C1609" t="str">
        <f>IFERROR(__xludf.DUMMYFUNCTION("""COMPUTED_VALUE"""),"GALLON TOBON, GERONIMO")</f>
        <v>GALLON TOBON, GERONIMO</v>
      </c>
      <c r="D1609" t="str">
        <f>IFERROR(__xludf.DUMMYFUNCTION("""COMPUTED_VALUE"""),"Biology 9")</f>
        <v>Biology 9</v>
      </c>
      <c r="E1609" s="3">
        <f>IFERROR(__xludf.DUMMYFUNCTION("""COMPUTED_VALUE"""),1.0)</f>
        <v>1</v>
      </c>
      <c r="F1609" s="300">
        <v>1.0</v>
      </c>
      <c r="G1609" s="300">
        <v>1.0</v>
      </c>
      <c r="H1609" s="300">
        <v>1.0</v>
      </c>
      <c r="I1609" s="300">
        <v>1.0</v>
      </c>
      <c r="J1609" s="300">
        <v>1.0</v>
      </c>
      <c r="K1609" s="300">
        <v>1.0</v>
      </c>
      <c r="L1609" s="300">
        <v>1.0</v>
      </c>
      <c r="M1609" s="300">
        <v>1.0</v>
      </c>
      <c r="N1609" s="300">
        <v>8.0</v>
      </c>
      <c r="O1609" s="300" t="s">
        <v>869</v>
      </c>
      <c r="P1609" s="300">
        <v>7.0</v>
      </c>
    </row>
    <row r="1610">
      <c r="A1610">
        <f>IFERROR(__xludf.DUMMYFUNCTION("""COMPUTED_VALUE"""),9.0)</f>
        <v>9</v>
      </c>
      <c r="B1610" s="406">
        <f>IFERROR(__xludf.DUMMYFUNCTION("""COMPUTED_VALUE"""),29012.0)</f>
        <v>29012</v>
      </c>
      <c r="C1610" t="str">
        <f>IFERROR(__xludf.DUMMYFUNCTION("""COMPUTED_VALUE"""),"ARANGO VILLA, TOMAS")</f>
        <v>ARANGO VILLA, TOMAS</v>
      </c>
      <c r="D1610" t="str">
        <f>IFERROR(__xludf.DUMMYFUNCTION("""COMPUTED_VALUE"""),"Biology 9")</f>
        <v>Biology 9</v>
      </c>
      <c r="E1610" s="3">
        <f>IFERROR(__xludf.DUMMYFUNCTION("""COMPUTED_VALUE"""),1.0)</f>
        <v>1</v>
      </c>
      <c r="F1610" s="300">
        <v>1.0</v>
      </c>
      <c r="G1610" s="300">
        <v>1.0</v>
      </c>
      <c r="H1610" s="300">
        <v>1.0</v>
      </c>
      <c r="I1610" s="300">
        <v>1.0</v>
      </c>
      <c r="J1610" s="300">
        <v>1.0</v>
      </c>
      <c r="K1610" s="300">
        <v>1.0</v>
      </c>
      <c r="L1610" s="300">
        <v>1.0</v>
      </c>
      <c r="M1610" s="300">
        <v>1.0</v>
      </c>
      <c r="N1610" s="300">
        <v>8.0</v>
      </c>
      <c r="O1610" s="300" t="s">
        <v>869</v>
      </c>
      <c r="P1610" s="300">
        <v>7.0</v>
      </c>
    </row>
    <row r="1611">
      <c r="A1611">
        <f>IFERROR(__xludf.DUMMYFUNCTION("""COMPUTED_VALUE"""),9.0)</f>
        <v>9</v>
      </c>
      <c r="B1611" s="406">
        <f>IFERROR(__xludf.DUMMYFUNCTION("""COMPUTED_VALUE"""),29138.0)</f>
        <v>29138</v>
      </c>
      <c r="C1611" t="str">
        <f>IFERROR(__xludf.DUMMYFUNCTION("""COMPUTED_VALUE"""),"ECHAVARRIA ROLDAN, TOMAS")</f>
        <v>ECHAVARRIA ROLDAN, TOMAS</v>
      </c>
      <c r="D1611" t="str">
        <f>IFERROR(__xludf.DUMMYFUNCTION("""COMPUTED_VALUE"""),"Biology 9")</f>
        <v>Biology 9</v>
      </c>
      <c r="E1611" s="3">
        <f>IFERROR(__xludf.DUMMYFUNCTION("""COMPUTED_VALUE"""),2.0)</f>
        <v>2</v>
      </c>
      <c r="F1611" s="300">
        <v>1.0</v>
      </c>
      <c r="G1611" s="300">
        <v>1.0</v>
      </c>
      <c r="H1611" s="300">
        <v>1.0</v>
      </c>
      <c r="I1611" s="300">
        <v>1.0</v>
      </c>
      <c r="J1611" s="300">
        <v>1.0</v>
      </c>
      <c r="K1611" s="300">
        <v>1.0</v>
      </c>
      <c r="L1611" s="300">
        <v>1.0</v>
      </c>
      <c r="M1611" s="300">
        <v>1.0</v>
      </c>
      <c r="N1611" s="300">
        <v>8.0</v>
      </c>
      <c r="O1611" s="300" t="s">
        <v>872</v>
      </c>
      <c r="P1611" s="300">
        <v>7.0</v>
      </c>
    </row>
    <row r="1612">
      <c r="A1612">
        <f>IFERROR(__xludf.DUMMYFUNCTION("""COMPUTED_VALUE"""),9.0)</f>
        <v>9</v>
      </c>
      <c r="B1612" s="406">
        <f>IFERROR(__xludf.DUMMYFUNCTION("""COMPUTED_VALUE"""),29003.0)</f>
        <v>29003</v>
      </c>
      <c r="C1612" t="str">
        <f>IFERROR(__xludf.DUMMYFUNCTION("""COMPUTED_VALUE"""),"ACEVEDO OROZCO, MARIA CELESTE")</f>
        <v>ACEVEDO OROZCO, MARIA CELESTE</v>
      </c>
      <c r="D1612" t="str">
        <f>IFERROR(__xludf.DUMMYFUNCTION("""COMPUTED_VALUE"""),"Biology 9")</f>
        <v>Biology 9</v>
      </c>
      <c r="E1612" s="3">
        <f>IFERROR(__xludf.DUMMYFUNCTION("""COMPUTED_VALUE"""),6.0)</f>
        <v>6</v>
      </c>
      <c r="F1612" s="300">
        <v>1.0</v>
      </c>
      <c r="G1612" s="300">
        <v>1.0</v>
      </c>
      <c r="H1612" s="300">
        <v>1.0</v>
      </c>
      <c r="I1612" s="300">
        <v>1.0</v>
      </c>
      <c r="J1612" s="300">
        <v>1.0</v>
      </c>
      <c r="K1612" s="300">
        <v>1.0</v>
      </c>
      <c r="L1612" s="300">
        <v>1.0</v>
      </c>
      <c r="M1612" s="300">
        <v>1.0</v>
      </c>
      <c r="N1612" s="300">
        <v>8.0</v>
      </c>
      <c r="O1612" s="300" t="s">
        <v>866</v>
      </c>
      <c r="P1612" s="300">
        <v>7.0</v>
      </c>
    </row>
    <row r="1613">
      <c r="A1613">
        <f>IFERROR(__xludf.DUMMYFUNCTION("""COMPUTED_VALUE"""),9.0)</f>
        <v>9</v>
      </c>
      <c r="B1613" s="406">
        <f>IFERROR(__xludf.DUMMYFUNCTION("""COMPUTED_VALUE"""),29158.0)</f>
        <v>29158</v>
      </c>
      <c r="C1613" t="str">
        <f>IFERROR(__xludf.DUMMYFUNCTION("""COMPUTED_VALUE"""),"NIEHAUS TRUJILLO, MICHELLE")</f>
        <v>NIEHAUS TRUJILLO, MICHELLE</v>
      </c>
      <c r="D1613" t="str">
        <f>IFERROR(__xludf.DUMMYFUNCTION("""COMPUTED_VALUE"""),"Biology 9")</f>
        <v>Biology 9</v>
      </c>
      <c r="E1613" s="3">
        <f>IFERROR(__xludf.DUMMYFUNCTION("""COMPUTED_VALUE"""),4.0)</f>
        <v>4</v>
      </c>
      <c r="F1613" s="300">
        <v>1.0</v>
      </c>
      <c r="G1613" s="300">
        <v>1.0</v>
      </c>
      <c r="H1613" s="300">
        <v>1.0</v>
      </c>
      <c r="I1613" s="300">
        <v>1.0</v>
      </c>
      <c r="J1613" s="300">
        <v>1.0</v>
      </c>
      <c r="K1613" s="300">
        <v>1.0</v>
      </c>
      <c r="L1613" s="300">
        <v>1.0</v>
      </c>
      <c r="M1613" s="300">
        <v>1.0</v>
      </c>
      <c r="N1613" s="300">
        <v>8.0</v>
      </c>
      <c r="O1613" s="300" t="s">
        <v>868</v>
      </c>
      <c r="P1613" s="300">
        <v>7.0</v>
      </c>
    </row>
    <row r="1614">
      <c r="A1614">
        <f>IFERROR(__xludf.DUMMYFUNCTION("""COMPUTED_VALUE"""),9.0)</f>
        <v>9</v>
      </c>
      <c r="B1614" s="406">
        <f>IFERROR(__xludf.DUMMYFUNCTION("""COMPUTED_VALUE"""),29088.0)</f>
        <v>29088</v>
      </c>
      <c r="C1614" t="str">
        <f>IFERROR(__xludf.DUMMYFUNCTION("""COMPUTED_VALUE"""),"PEREZ ALVARADO, SARA")</f>
        <v>PEREZ ALVARADO, SARA</v>
      </c>
      <c r="D1614" t="str">
        <f>IFERROR(__xludf.DUMMYFUNCTION("""COMPUTED_VALUE"""),"Biology 9")</f>
        <v>Biology 9</v>
      </c>
      <c r="E1614" s="3">
        <f>IFERROR(__xludf.DUMMYFUNCTION("""COMPUTED_VALUE"""),5.0)</f>
        <v>5</v>
      </c>
      <c r="F1614" s="300">
        <v>1.0</v>
      </c>
      <c r="G1614" s="300">
        <v>1.0</v>
      </c>
      <c r="H1614" s="300">
        <v>1.0</v>
      </c>
      <c r="I1614" s="300">
        <v>1.0</v>
      </c>
      <c r="J1614" s="300">
        <v>1.0</v>
      </c>
      <c r="K1614" s="300">
        <v>1.0</v>
      </c>
      <c r="L1614" s="300">
        <v>1.0</v>
      </c>
      <c r="M1614" s="300">
        <v>1.0</v>
      </c>
      <c r="N1614" s="300">
        <v>8.0</v>
      </c>
      <c r="O1614" s="300" t="s">
        <v>871</v>
      </c>
      <c r="P1614" s="300">
        <v>7.0</v>
      </c>
    </row>
    <row r="1615">
      <c r="A1615">
        <f>IFERROR(__xludf.DUMMYFUNCTION("""COMPUTED_VALUE"""),9.0)</f>
        <v>9</v>
      </c>
      <c r="B1615" s="406">
        <f>IFERROR(__xludf.DUMMYFUNCTION("""COMPUTED_VALUE"""),29164.0)</f>
        <v>29164</v>
      </c>
      <c r="C1615" t="str">
        <f>IFERROR(__xludf.DUMMYFUNCTION("""COMPUTED_VALUE"""),"CONCHA VELASCO, LORENZO")</f>
        <v>CONCHA VELASCO, LORENZO</v>
      </c>
      <c r="D1615" t="str">
        <f>IFERROR(__xludf.DUMMYFUNCTION("""COMPUTED_VALUE"""),"Biology 9")</f>
        <v>Biology 9</v>
      </c>
      <c r="E1615" s="3">
        <f>IFERROR(__xludf.DUMMYFUNCTION("""COMPUTED_VALUE"""),3.0)</f>
        <v>3</v>
      </c>
      <c r="F1615" s="300">
        <v>1.0</v>
      </c>
      <c r="G1615" s="300">
        <v>1.0</v>
      </c>
      <c r="H1615" s="300">
        <v>1.0</v>
      </c>
      <c r="I1615" s="300">
        <v>1.0</v>
      </c>
      <c r="J1615" s="300">
        <v>1.0</v>
      </c>
      <c r="K1615" s="300">
        <v>1.0</v>
      </c>
      <c r="L1615" s="300">
        <v>1.0</v>
      </c>
      <c r="M1615" s="300">
        <v>1.0</v>
      </c>
      <c r="N1615" s="300">
        <v>8.0</v>
      </c>
      <c r="O1615" s="300" t="s">
        <v>870</v>
      </c>
      <c r="P1615" s="300">
        <v>7.0</v>
      </c>
    </row>
    <row r="1616">
      <c r="A1616">
        <f>IFERROR(__xludf.DUMMYFUNCTION("""COMPUTED_VALUE"""),9.0)</f>
        <v>9</v>
      </c>
      <c r="B1616" s="406">
        <f>IFERROR(__xludf.DUMMYFUNCTION("""COMPUTED_VALUE"""),29011.0)</f>
        <v>29011</v>
      </c>
      <c r="C1616" t="str">
        <f>IFERROR(__xludf.DUMMYFUNCTION("""COMPUTED_VALUE"""),"ARANGO RUBIO, ROSARIO")</f>
        <v>ARANGO RUBIO, ROSARIO</v>
      </c>
      <c r="D1616" t="str">
        <f>IFERROR(__xludf.DUMMYFUNCTION("""COMPUTED_VALUE"""),"Biology 9")</f>
        <v>Biology 9</v>
      </c>
      <c r="E1616" s="3">
        <f>IFERROR(__xludf.DUMMYFUNCTION("""COMPUTED_VALUE"""),4.0)</f>
        <v>4</v>
      </c>
      <c r="F1616" s="300">
        <v>1.0</v>
      </c>
      <c r="G1616" s="300">
        <v>1.0</v>
      </c>
      <c r="H1616" s="300">
        <v>1.0</v>
      </c>
      <c r="I1616" s="300">
        <v>1.0</v>
      </c>
      <c r="J1616" s="300">
        <v>1.0</v>
      </c>
      <c r="K1616" s="300">
        <v>1.0</v>
      </c>
      <c r="L1616" s="300">
        <v>1.0</v>
      </c>
      <c r="M1616" s="300">
        <v>1.0</v>
      </c>
      <c r="N1616" s="300">
        <v>8.0</v>
      </c>
      <c r="O1616" s="300" t="s">
        <v>868</v>
      </c>
      <c r="P1616" s="300">
        <v>7.0</v>
      </c>
    </row>
    <row r="1617">
      <c r="A1617">
        <f>IFERROR(__xludf.DUMMYFUNCTION("""COMPUTED_VALUE"""),9.0)</f>
        <v>9</v>
      </c>
      <c r="B1617" s="406">
        <f>IFERROR(__xludf.DUMMYFUNCTION("""COMPUTED_VALUE"""),29161.0)</f>
        <v>29161</v>
      </c>
      <c r="C1617" t="str">
        <f>IFERROR(__xludf.DUMMYFUNCTION("""COMPUTED_VALUE"""),"BURKHALTER, ESPERANZA JOY")</f>
        <v>BURKHALTER, ESPERANZA JOY</v>
      </c>
      <c r="D1617" t="str">
        <f>IFERROR(__xludf.DUMMYFUNCTION("""COMPUTED_VALUE"""),"Biology 9")</f>
        <v>Biology 9</v>
      </c>
      <c r="E1617" s="3">
        <f>IFERROR(__xludf.DUMMYFUNCTION("""COMPUTED_VALUE"""),5.0)</f>
        <v>5</v>
      </c>
      <c r="F1617" s="300">
        <v>1.0</v>
      </c>
      <c r="G1617" s="300">
        <v>1.0</v>
      </c>
      <c r="H1617" s="300">
        <v>1.0</v>
      </c>
      <c r="I1617" s="300">
        <v>1.0</v>
      </c>
      <c r="J1617" s="300">
        <v>1.0</v>
      </c>
      <c r="K1617" s="300">
        <v>1.0</v>
      </c>
      <c r="L1617" s="300">
        <v>1.0</v>
      </c>
      <c r="M1617" s="300">
        <v>1.0</v>
      </c>
      <c r="N1617" s="300">
        <v>8.0</v>
      </c>
      <c r="O1617" s="300" t="s">
        <v>871</v>
      </c>
      <c r="P1617" s="300">
        <v>7.0</v>
      </c>
    </row>
    <row r="1618">
      <c r="A1618">
        <f>IFERROR(__xludf.DUMMYFUNCTION("""COMPUTED_VALUE"""),9.0)</f>
        <v>9</v>
      </c>
      <c r="B1618" s="406">
        <f>IFERROR(__xludf.DUMMYFUNCTION("""COMPUTED_VALUE"""),29103.0)</f>
        <v>29103</v>
      </c>
      <c r="C1618" t="str">
        <f>IFERROR(__xludf.DUMMYFUNCTION("""COMPUTED_VALUE"""),"SALAZAR ECHEVERRI, ANTONIA")</f>
        <v>SALAZAR ECHEVERRI, ANTONIA</v>
      </c>
      <c r="D1618" t="str">
        <f>IFERROR(__xludf.DUMMYFUNCTION("""COMPUTED_VALUE"""),"Biology 9")</f>
        <v>Biology 9</v>
      </c>
      <c r="E1618" s="3">
        <f>IFERROR(__xludf.DUMMYFUNCTION("""COMPUTED_VALUE"""),3.0)</f>
        <v>3</v>
      </c>
      <c r="F1618" s="300">
        <v>1.0</v>
      </c>
      <c r="G1618" s="300">
        <v>1.0</v>
      </c>
      <c r="H1618" s="300">
        <v>1.0</v>
      </c>
      <c r="I1618" s="300">
        <v>1.0</v>
      </c>
      <c r="J1618" s="300">
        <v>1.0</v>
      </c>
      <c r="K1618" s="300">
        <v>1.0</v>
      </c>
      <c r="L1618" s="300">
        <v>1.0</v>
      </c>
      <c r="M1618" s="300">
        <v>1.0</v>
      </c>
      <c r="N1618" s="300">
        <v>8.0</v>
      </c>
      <c r="O1618" s="300" t="s">
        <v>870</v>
      </c>
      <c r="P1618" s="300">
        <v>7.0</v>
      </c>
    </row>
    <row r="1619">
      <c r="A1619">
        <f>IFERROR(__xludf.DUMMYFUNCTION("""COMPUTED_VALUE"""),9.0)</f>
        <v>9</v>
      </c>
      <c r="B1619" s="406">
        <f>IFERROR(__xludf.DUMMYFUNCTION("""COMPUTED_VALUE"""),29004.0)</f>
        <v>29004</v>
      </c>
      <c r="C1619" t="str">
        <f>IFERROR(__xludf.DUMMYFUNCTION("""COMPUTED_VALUE"""),"AGUIRRE ARANGO, DAVID")</f>
        <v>AGUIRRE ARANGO, DAVID</v>
      </c>
      <c r="D1619" t="str">
        <f>IFERROR(__xludf.DUMMYFUNCTION("""COMPUTED_VALUE"""),"Biology 9")</f>
        <v>Biology 9</v>
      </c>
      <c r="E1619" s="3">
        <f>IFERROR(__xludf.DUMMYFUNCTION("""COMPUTED_VALUE"""),5.0)</f>
        <v>5</v>
      </c>
      <c r="F1619" s="300">
        <v>1.0</v>
      </c>
      <c r="G1619" s="300">
        <v>1.0</v>
      </c>
      <c r="H1619" s="300">
        <v>1.0</v>
      </c>
      <c r="I1619" s="300">
        <v>1.0</v>
      </c>
      <c r="J1619" s="300">
        <v>1.0</v>
      </c>
      <c r="K1619" s="300">
        <v>1.0</v>
      </c>
      <c r="L1619" s="300">
        <v>1.0</v>
      </c>
      <c r="M1619" s="300">
        <v>1.0</v>
      </c>
      <c r="N1619" s="300">
        <v>8.0</v>
      </c>
      <c r="O1619" s="300" t="s">
        <v>871</v>
      </c>
      <c r="P1619" s="300">
        <v>7.0</v>
      </c>
    </row>
    <row r="1620">
      <c r="A1620">
        <f>IFERROR(__xludf.DUMMYFUNCTION("""COMPUTED_VALUE"""),9.0)</f>
        <v>9</v>
      </c>
      <c r="B1620" s="406">
        <f>IFERROR(__xludf.DUMMYFUNCTION("""COMPUTED_VALUE"""),29015.0)</f>
        <v>29015</v>
      </c>
      <c r="C1620" t="str">
        <f>IFERROR(__xludf.DUMMYFUNCTION("""COMPUTED_VALUE"""),"ARISTIZABAL URIBE, MATIAS")</f>
        <v>ARISTIZABAL URIBE, MATIAS</v>
      </c>
      <c r="D1620" t="str">
        <f>IFERROR(__xludf.DUMMYFUNCTION("""COMPUTED_VALUE"""),"Biology 9")</f>
        <v>Biology 9</v>
      </c>
      <c r="E1620" s="3">
        <f>IFERROR(__xludf.DUMMYFUNCTION("""COMPUTED_VALUE"""),1.0)</f>
        <v>1</v>
      </c>
      <c r="F1620" s="300">
        <v>1.0</v>
      </c>
      <c r="G1620" s="300">
        <v>1.0</v>
      </c>
      <c r="H1620" s="300">
        <v>1.0</v>
      </c>
      <c r="I1620" s="300">
        <v>1.0</v>
      </c>
      <c r="J1620" s="300">
        <v>1.0</v>
      </c>
      <c r="K1620" s="300">
        <v>1.0</v>
      </c>
      <c r="L1620" s="300">
        <v>1.0</v>
      </c>
      <c r="M1620" s="300">
        <v>1.0</v>
      </c>
      <c r="N1620" s="300">
        <v>8.0</v>
      </c>
      <c r="O1620" s="300" t="s">
        <v>869</v>
      </c>
      <c r="P1620" s="300">
        <v>7.0</v>
      </c>
    </row>
    <row r="1621">
      <c r="A1621">
        <f>IFERROR(__xludf.DUMMYFUNCTION("""COMPUTED_VALUE"""),9.0)</f>
        <v>9</v>
      </c>
      <c r="B1621" s="406">
        <f>IFERROR(__xludf.DUMMYFUNCTION("""COMPUTED_VALUE"""),29052.0)</f>
        <v>29052</v>
      </c>
      <c r="C1621" t="str">
        <f>IFERROR(__xludf.DUMMYFUNCTION("""COMPUTED_VALUE"""),"HURTADO ARISTIZABAL, CAMILA")</f>
        <v>HURTADO ARISTIZABAL, CAMILA</v>
      </c>
      <c r="D1621" t="str">
        <f>IFERROR(__xludf.DUMMYFUNCTION("""COMPUTED_VALUE"""),"Biology 9")</f>
        <v>Biology 9</v>
      </c>
      <c r="E1621" s="3">
        <f>IFERROR(__xludf.DUMMYFUNCTION("""COMPUTED_VALUE"""),3.0)</f>
        <v>3</v>
      </c>
      <c r="F1621" s="300">
        <v>1.0</v>
      </c>
      <c r="G1621" s="300">
        <v>1.0</v>
      </c>
      <c r="H1621" s="300">
        <v>1.0</v>
      </c>
      <c r="I1621" s="300">
        <v>1.0</v>
      </c>
      <c r="J1621" s="300">
        <v>1.0</v>
      </c>
      <c r="K1621" s="300">
        <v>1.0</v>
      </c>
      <c r="L1621" s="300">
        <v>1.0</v>
      </c>
      <c r="M1621" s="300">
        <v>1.0</v>
      </c>
      <c r="N1621" s="300">
        <v>8.0</v>
      </c>
      <c r="O1621" s="300" t="s">
        <v>870</v>
      </c>
      <c r="P1621" s="300">
        <v>7.0</v>
      </c>
    </row>
    <row r="1622">
      <c r="A1622">
        <f>IFERROR(__xludf.DUMMYFUNCTION("""COMPUTED_VALUE"""),9.0)</f>
        <v>9</v>
      </c>
      <c r="B1622" s="406">
        <f>IFERROR(__xludf.DUMMYFUNCTION("""COMPUTED_VALUE"""),29056.0)</f>
        <v>29056</v>
      </c>
      <c r="C1622" t="str">
        <f>IFERROR(__xludf.DUMMYFUNCTION("""COMPUTED_VALUE"""),"JAILLIER PINZON, MAXIMILIANO")</f>
        <v>JAILLIER PINZON, MAXIMILIANO</v>
      </c>
      <c r="D1622" t="str">
        <f>IFERROR(__xludf.DUMMYFUNCTION("""COMPUTED_VALUE"""),"Biology 9")</f>
        <v>Biology 9</v>
      </c>
      <c r="E1622" s="3">
        <f>IFERROR(__xludf.DUMMYFUNCTION("""COMPUTED_VALUE"""),3.0)</f>
        <v>3</v>
      </c>
      <c r="F1622" s="300">
        <v>1.0</v>
      </c>
      <c r="G1622" s="300">
        <v>1.0</v>
      </c>
      <c r="H1622" s="300">
        <v>1.0</v>
      </c>
      <c r="I1622" s="300">
        <v>1.0</v>
      </c>
      <c r="J1622" s="300">
        <v>1.0</v>
      </c>
      <c r="K1622" s="300">
        <v>1.0</v>
      </c>
      <c r="L1622" s="300">
        <v>1.0</v>
      </c>
      <c r="M1622" s="300">
        <v>1.0</v>
      </c>
      <c r="N1622" s="300">
        <v>8.0</v>
      </c>
      <c r="O1622" s="300" t="s">
        <v>870</v>
      </c>
      <c r="P1622" s="300">
        <v>7.0</v>
      </c>
    </row>
    <row r="1623">
      <c r="A1623">
        <f>IFERROR(__xludf.DUMMYFUNCTION("""COMPUTED_VALUE"""),9.0)</f>
        <v>9</v>
      </c>
      <c r="B1623" s="406">
        <f>IFERROR(__xludf.DUMMYFUNCTION("""COMPUTED_VALUE"""),29073.0)</f>
        <v>29073</v>
      </c>
      <c r="C1623" t="str">
        <f>IFERROR(__xludf.DUMMYFUNCTION("""COMPUTED_VALUE"""),"MARRERO MARTA, ALINA")</f>
        <v>MARRERO MARTA, ALINA</v>
      </c>
      <c r="D1623" t="str">
        <f>IFERROR(__xludf.DUMMYFUNCTION("""COMPUTED_VALUE"""),"Biology 9")</f>
        <v>Biology 9</v>
      </c>
      <c r="E1623" s="3">
        <f>IFERROR(__xludf.DUMMYFUNCTION("""COMPUTED_VALUE"""),5.0)</f>
        <v>5</v>
      </c>
      <c r="F1623" s="300">
        <v>1.0</v>
      </c>
      <c r="G1623" s="300">
        <v>1.0</v>
      </c>
      <c r="H1623" s="300">
        <v>1.0</v>
      </c>
      <c r="I1623" s="300">
        <v>1.0</v>
      </c>
      <c r="J1623" s="300">
        <v>1.0</v>
      </c>
      <c r="K1623" s="300">
        <v>1.0</v>
      </c>
      <c r="L1623" s="300">
        <v>1.0</v>
      </c>
      <c r="M1623" s="300">
        <v>1.0</v>
      </c>
      <c r="N1623" s="300">
        <v>8.0</v>
      </c>
      <c r="O1623" s="300" t="s">
        <v>871</v>
      </c>
      <c r="P1623" s="300">
        <v>7.0</v>
      </c>
    </row>
    <row r="1624">
      <c r="A1624">
        <f>IFERROR(__xludf.DUMMYFUNCTION("""COMPUTED_VALUE"""),9.0)</f>
        <v>9</v>
      </c>
      <c r="B1624" s="406">
        <f>IFERROR(__xludf.DUMMYFUNCTION("""COMPUTED_VALUE"""),29065.0)</f>
        <v>29065</v>
      </c>
      <c r="C1624" t="str">
        <f>IFERROR(__xludf.DUMMYFUNCTION("""COMPUTED_VALUE"""),"LONDOÑO CUARTAS, TOMAS")</f>
        <v>LONDOÑO CUARTAS, TOMAS</v>
      </c>
      <c r="D1624" t="str">
        <f>IFERROR(__xludf.DUMMYFUNCTION("""COMPUTED_VALUE"""),"Biology 9")</f>
        <v>Biology 9</v>
      </c>
      <c r="E1624" s="3">
        <f>IFERROR(__xludf.DUMMYFUNCTION("""COMPUTED_VALUE"""),2.0)</f>
        <v>2</v>
      </c>
      <c r="F1624" s="300">
        <v>1.0</v>
      </c>
      <c r="G1624" s="300">
        <v>1.0</v>
      </c>
      <c r="H1624" s="300">
        <v>1.0</v>
      </c>
      <c r="I1624" s="300">
        <v>1.0</v>
      </c>
      <c r="J1624" s="300">
        <v>1.0</v>
      </c>
      <c r="K1624" s="300">
        <v>1.0</v>
      </c>
      <c r="L1624" s="300">
        <v>1.0</v>
      </c>
      <c r="M1624" s="300">
        <v>1.0</v>
      </c>
      <c r="N1624" s="300">
        <v>8.0</v>
      </c>
      <c r="O1624" s="300" t="s">
        <v>872</v>
      </c>
      <c r="P1624" s="300">
        <v>7.0</v>
      </c>
    </row>
    <row r="1625">
      <c r="A1625">
        <f>IFERROR(__xludf.DUMMYFUNCTION("""COMPUTED_VALUE"""),9.0)</f>
        <v>9</v>
      </c>
      <c r="B1625" s="406">
        <f>IFERROR(__xludf.DUMMYFUNCTION("""COMPUTED_VALUE"""),29101.0)</f>
        <v>29101</v>
      </c>
      <c r="C1625" t="str">
        <f>IFERROR(__xludf.DUMMYFUNCTION("""COMPUTED_VALUE"""),"ROBLES MARTINEZ, MARIA")</f>
        <v>ROBLES MARTINEZ, MARIA</v>
      </c>
      <c r="D1625" t="str">
        <f>IFERROR(__xludf.DUMMYFUNCTION("""COMPUTED_VALUE"""),"Biology 9")</f>
        <v>Biology 9</v>
      </c>
      <c r="E1625" s="3">
        <f>IFERROR(__xludf.DUMMYFUNCTION("""COMPUTED_VALUE"""),4.0)</f>
        <v>4</v>
      </c>
      <c r="F1625" s="300">
        <v>1.0</v>
      </c>
      <c r="G1625" s="300">
        <v>1.0</v>
      </c>
      <c r="H1625" s="300">
        <v>1.0</v>
      </c>
      <c r="I1625" s="300">
        <v>1.0</v>
      </c>
      <c r="J1625" s="300">
        <v>1.0</v>
      </c>
      <c r="K1625" s="300">
        <v>1.0</v>
      </c>
      <c r="L1625" s="300">
        <v>1.0</v>
      </c>
      <c r="M1625" s="300">
        <v>1.0</v>
      </c>
      <c r="N1625" s="300">
        <v>8.0</v>
      </c>
      <c r="O1625" s="300" t="s">
        <v>868</v>
      </c>
      <c r="P1625" s="300">
        <v>7.0</v>
      </c>
    </row>
    <row r="1626">
      <c r="A1626">
        <f>IFERROR(__xludf.DUMMYFUNCTION("""COMPUTED_VALUE"""),9.0)</f>
        <v>9</v>
      </c>
      <c r="B1626" s="406">
        <f>IFERROR(__xludf.DUMMYFUNCTION("""COMPUTED_VALUE"""),29036.0)</f>
        <v>29036</v>
      </c>
      <c r="C1626" t="str">
        <f>IFERROR(__xludf.DUMMYFUNCTION("""COMPUTED_VALUE"""),"ECHEVERRI ESCOBAR, RODRIGO")</f>
        <v>ECHEVERRI ESCOBAR, RODRIGO</v>
      </c>
      <c r="D1626" t="str">
        <f>IFERROR(__xludf.DUMMYFUNCTION("""COMPUTED_VALUE"""),"Biology 9")</f>
        <v>Biology 9</v>
      </c>
      <c r="E1626" s="3">
        <f>IFERROR(__xludf.DUMMYFUNCTION("""COMPUTED_VALUE"""),1.0)</f>
        <v>1</v>
      </c>
      <c r="F1626" s="300">
        <v>1.0</v>
      </c>
      <c r="G1626" s="300">
        <v>1.0</v>
      </c>
      <c r="H1626" s="300">
        <v>1.0</v>
      </c>
      <c r="I1626" s="300">
        <v>1.0</v>
      </c>
      <c r="J1626" s="300">
        <v>1.0</v>
      </c>
      <c r="K1626" s="300">
        <v>1.0</v>
      </c>
      <c r="L1626" s="300">
        <v>1.0</v>
      </c>
      <c r="M1626" s="300">
        <v>1.0</v>
      </c>
      <c r="N1626" s="300">
        <v>8.0</v>
      </c>
      <c r="O1626" s="300" t="s">
        <v>869</v>
      </c>
      <c r="P1626" s="300">
        <v>7.0</v>
      </c>
    </row>
    <row r="1627">
      <c r="A1627">
        <f>IFERROR(__xludf.DUMMYFUNCTION("""COMPUTED_VALUE"""),9.0)</f>
        <v>9</v>
      </c>
      <c r="B1627" s="406">
        <f>IFERROR(__xludf.DUMMYFUNCTION("""COMPUTED_VALUE"""),29106.0)</f>
        <v>29106</v>
      </c>
      <c r="C1627" t="str">
        <f>IFERROR(__xludf.DUMMYFUNCTION("""COMPUTED_VALUE"""),"SANCHEZ DIAZ, SIMON")</f>
        <v>SANCHEZ DIAZ, SIMON</v>
      </c>
      <c r="D1627" t="str">
        <f>IFERROR(__xludf.DUMMYFUNCTION("""COMPUTED_VALUE"""),"Biology 9")</f>
        <v>Biology 9</v>
      </c>
      <c r="E1627" s="3">
        <f>IFERROR(__xludf.DUMMYFUNCTION("""COMPUTED_VALUE"""),4.0)</f>
        <v>4</v>
      </c>
      <c r="F1627" s="300">
        <v>1.0</v>
      </c>
      <c r="G1627" s="300">
        <v>1.0</v>
      </c>
      <c r="H1627" s="300">
        <v>1.0</v>
      </c>
      <c r="I1627" s="300">
        <v>1.0</v>
      </c>
      <c r="J1627" s="300">
        <v>1.0</v>
      </c>
      <c r="K1627" s="300">
        <v>1.0</v>
      </c>
      <c r="L1627" s="300">
        <v>1.0</v>
      </c>
      <c r="M1627" s="300">
        <v>1.0</v>
      </c>
      <c r="N1627" s="300">
        <v>8.0</v>
      </c>
      <c r="O1627" s="300" t="s">
        <v>868</v>
      </c>
      <c r="P1627" s="300">
        <v>7.0</v>
      </c>
    </row>
    <row r="1628">
      <c r="A1628">
        <f>IFERROR(__xludf.DUMMYFUNCTION("""COMPUTED_VALUE"""),9.0)</f>
        <v>9</v>
      </c>
      <c r="B1628" s="406">
        <f>IFERROR(__xludf.DUMMYFUNCTION("""COMPUTED_VALUE"""),29067.0)</f>
        <v>29067</v>
      </c>
      <c r="C1628" t="str">
        <f>IFERROR(__xludf.DUMMYFUNCTION("""COMPUTED_VALUE"""),"LOPEZ ESCOBAR, VALENTIN")</f>
        <v>LOPEZ ESCOBAR, VALENTIN</v>
      </c>
      <c r="D1628" t="str">
        <f>IFERROR(__xludf.DUMMYFUNCTION("""COMPUTED_VALUE"""),"Biology 9")</f>
        <v>Biology 9</v>
      </c>
      <c r="E1628" s="3">
        <f>IFERROR(__xludf.DUMMYFUNCTION("""COMPUTED_VALUE"""),2.0)</f>
        <v>2</v>
      </c>
      <c r="F1628" s="300">
        <v>1.0</v>
      </c>
      <c r="G1628" s="300">
        <v>1.0</v>
      </c>
      <c r="H1628" s="300">
        <v>1.0</v>
      </c>
      <c r="I1628" s="300">
        <v>1.0</v>
      </c>
      <c r="J1628" s="300">
        <v>1.0</v>
      </c>
      <c r="K1628" s="300">
        <v>1.0</v>
      </c>
      <c r="L1628" s="300">
        <v>1.0</v>
      </c>
      <c r="M1628" s="300">
        <v>1.0</v>
      </c>
      <c r="N1628" s="300">
        <v>8.0</v>
      </c>
      <c r="O1628" s="300" t="s">
        <v>872</v>
      </c>
      <c r="P1628" s="300">
        <v>7.0</v>
      </c>
    </row>
    <row r="1629">
      <c r="A1629">
        <f>IFERROR(__xludf.DUMMYFUNCTION("""COMPUTED_VALUE"""),9.0)</f>
        <v>9</v>
      </c>
      <c r="B1629" s="406">
        <f>IFERROR(__xludf.DUMMYFUNCTION("""COMPUTED_VALUE"""),28023.0)</f>
        <v>28023</v>
      </c>
      <c r="C1629" t="str">
        <f>IFERROR(__xludf.DUMMYFUNCTION("""COMPUTED_VALUE"""),"CLAVIJO GIRALDO, LORENZO")</f>
        <v>CLAVIJO GIRALDO, LORENZO</v>
      </c>
      <c r="D1629" t="str">
        <f>IFERROR(__xludf.DUMMYFUNCTION("""COMPUTED_VALUE"""),"Biology 9")</f>
        <v>Biology 9</v>
      </c>
      <c r="E1629" s="3">
        <f>IFERROR(__xludf.DUMMYFUNCTION("""COMPUTED_VALUE"""),1.0)</f>
        <v>1</v>
      </c>
      <c r="F1629" s="300">
        <v>1.0</v>
      </c>
      <c r="G1629" s="300">
        <v>1.0</v>
      </c>
      <c r="H1629" s="300">
        <v>1.0</v>
      </c>
      <c r="I1629" s="300">
        <v>1.0</v>
      </c>
      <c r="J1629" s="300">
        <v>1.0</v>
      </c>
      <c r="K1629" s="300">
        <v>1.0</v>
      </c>
      <c r="L1629" s="300">
        <v>1.0</v>
      </c>
      <c r="M1629" s="300">
        <v>1.0</v>
      </c>
      <c r="N1629" s="300">
        <v>8.0</v>
      </c>
      <c r="O1629" s="300" t="s">
        <v>869</v>
      </c>
      <c r="P1629" s="300">
        <v>7.0</v>
      </c>
    </row>
    <row r="1630">
      <c r="A1630">
        <f>IFERROR(__xludf.DUMMYFUNCTION("""COMPUTED_VALUE"""),9.0)</f>
        <v>9</v>
      </c>
      <c r="B1630" s="406">
        <f>IFERROR(__xludf.DUMMYFUNCTION("""COMPUTED_VALUE"""),29145.0)</f>
        <v>29145</v>
      </c>
      <c r="C1630" t="str">
        <f>IFERROR(__xludf.DUMMYFUNCTION("""COMPUTED_VALUE"""),"VELASQUEZ GUTIERREZ, SAMUEL")</f>
        <v>VELASQUEZ GUTIERREZ, SAMUEL</v>
      </c>
      <c r="D1630" t="str">
        <f>IFERROR(__xludf.DUMMYFUNCTION("""COMPUTED_VALUE"""),"Biology 9")</f>
        <v>Biology 9</v>
      </c>
      <c r="E1630" s="3">
        <f>IFERROR(__xludf.DUMMYFUNCTION("""COMPUTED_VALUE"""),6.0)</f>
        <v>6</v>
      </c>
      <c r="F1630" s="300">
        <v>1.0</v>
      </c>
      <c r="G1630" s="300">
        <v>1.0</v>
      </c>
      <c r="H1630" s="300">
        <v>1.0</v>
      </c>
      <c r="I1630" s="300">
        <v>1.0</v>
      </c>
      <c r="J1630" s="300">
        <v>1.0</v>
      </c>
      <c r="K1630" s="300">
        <v>1.0</v>
      </c>
      <c r="L1630" s="300">
        <v>1.0</v>
      </c>
      <c r="M1630" s="300">
        <v>1.0</v>
      </c>
      <c r="N1630" s="300">
        <v>8.0</v>
      </c>
      <c r="O1630" s="300" t="s">
        <v>866</v>
      </c>
      <c r="P1630" s="300">
        <v>7.0</v>
      </c>
    </row>
    <row r="1631">
      <c r="A1631">
        <f>IFERROR(__xludf.DUMMYFUNCTION("""COMPUTED_VALUE"""),9.0)</f>
        <v>9</v>
      </c>
      <c r="B1631" s="406">
        <f>IFERROR(__xludf.DUMMYFUNCTION("""COMPUTED_VALUE"""),29061.0)</f>
        <v>29061</v>
      </c>
      <c r="C1631" t="str">
        <f>IFERROR(__xludf.DUMMYFUNCTION("""COMPUTED_VALUE"""),"JARAMILLO OSPINA, MANUEL")</f>
        <v>JARAMILLO OSPINA, MANUEL</v>
      </c>
      <c r="D1631" t="str">
        <f>IFERROR(__xludf.DUMMYFUNCTION("""COMPUTED_VALUE"""),"Biology 9")</f>
        <v>Biology 9</v>
      </c>
      <c r="E1631" s="3">
        <f>IFERROR(__xludf.DUMMYFUNCTION("""COMPUTED_VALUE"""),3.0)</f>
        <v>3</v>
      </c>
      <c r="F1631" s="300">
        <v>1.0</v>
      </c>
      <c r="G1631" s="300">
        <v>1.0</v>
      </c>
      <c r="H1631" s="300">
        <v>1.0</v>
      </c>
      <c r="I1631" s="300">
        <v>1.0</v>
      </c>
      <c r="J1631" s="300">
        <v>1.0</v>
      </c>
      <c r="K1631" s="300">
        <v>1.0</v>
      </c>
      <c r="L1631" s="300">
        <v>1.0</v>
      </c>
      <c r="M1631" s="300">
        <v>1.0</v>
      </c>
      <c r="N1631" s="300">
        <v>8.0</v>
      </c>
      <c r="O1631" s="300" t="s">
        <v>870</v>
      </c>
      <c r="P1631" s="300">
        <v>7.0</v>
      </c>
    </row>
    <row r="1632">
      <c r="A1632">
        <f>IFERROR(__xludf.DUMMYFUNCTION("""COMPUTED_VALUE"""),9.0)</f>
        <v>9</v>
      </c>
      <c r="B1632" s="406">
        <f>IFERROR(__xludf.DUMMYFUNCTION("""COMPUTED_VALUE"""),29046.0)</f>
        <v>29046</v>
      </c>
      <c r="C1632" t="str">
        <f>IFERROR(__xludf.DUMMYFUNCTION("""COMPUTED_VALUE"""),"GONZALEZ LOPEZ, SAMUEL")</f>
        <v>GONZALEZ LOPEZ, SAMUEL</v>
      </c>
      <c r="D1632" t="str">
        <f>IFERROR(__xludf.DUMMYFUNCTION("""COMPUTED_VALUE"""),"Biology 9")</f>
        <v>Biology 9</v>
      </c>
      <c r="E1632" s="3">
        <f>IFERROR(__xludf.DUMMYFUNCTION("""COMPUTED_VALUE"""),2.0)</f>
        <v>2</v>
      </c>
      <c r="F1632" s="300">
        <v>1.0</v>
      </c>
      <c r="G1632" s="300">
        <v>1.0</v>
      </c>
      <c r="H1632" s="300">
        <v>1.0</v>
      </c>
      <c r="I1632" s="300">
        <v>1.0</v>
      </c>
      <c r="J1632" s="300">
        <v>1.0</v>
      </c>
      <c r="K1632" s="300">
        <v>1.0</v>
      </c>
      <c r="L1632" s="300">
        <v>1.0</v>
      </c>
      <c r="M1632" s="300">
        <v>1.0</v>
      </c>
      <c r="N1632" s="300">
        <v>8.0</v>
      </c>
      <c r="O1632" s="300" t="s">
        <v>872</v>
      </c>
      <c r="P1632" s="300">
        <v>7.0</v>
      </c>
    </row>
    <row r="1633">
      <c r="A1633">
        <f>IFERROR(__xludf.DUMMYFUNCTION("""COMPUTED_VALUE"""),9.0)</f>
        <v>9</v>
      </c>
      <c r="B1633" s="406">
        <f>IFERROR(__xludf.DUMMYFUNCTION("""COMPUTED_VALUE"""),29143.0)</f>
        <v>29143</v>
      </c>
      <c r="C1633" t="str">
        <f>IFERROR(__xludf.DUMMYFUNCTION("""COMPUTED_VALUE"""),"MOLANO MESA, CARMEN")</f>
        <v>MOLANO MESA, CARMEN</v>
      </c>
      <c r="D1633" t="str">
        <f>IFERROR(__xludf.DUMMYFUNCTION("""COMPUTED_VALUE"""),"Biology 9")</f>
        <v>Biology 9</v>
      </c>
      <c r="E1633" s="3">
        <f>IFERROR(__xludf.DUMMYFUNCTION("""COMPUTED_VALUE"""),4.0)</f>
        <v>4</v>
      </c>
      <c r="F1633" s="300">
        <v>1.0</v>
      </c>
      <c r="G1633" s="300">
        <v>1.0</v>
      </c>
      <c r="H1633" s="300">
        <v>1.0</v>
      </c>
      <c r="I1633" s="300">
        <v>1.0</v>
      </c>
      <c r="J1633" s="300">
        <v>1.0</v>
      </c>
      <c r="K1633" s="300">
        <v>1.0</v>
      </c>
      <c r="L1633" s="300">
        <v>1.0</v>
      </c>
      <c r="M1633" s="300">
        <v>1.0</v>
      </c>
      <c r="N1633" s="300">
        <v>8.0</v>
      </c>
      <c r="O1633" s="300" t="s">
        <v>868</v>
      </c>
      <c r="P1633" s="300">
        <v>7.0</v>
      </c>
    </row>
    <row r="1634">
      <c r="A1634">
        <f>IFERROR(__xludf.DUMMYFUNCTION("""COMPUTED_VALUE"""),9.0)</f>
        <v>9</v>
      </c>
      <c r="B1634" s="406">
        <f>IFERROR(__xludf.DUMMYFUNCTION("""COMPUTED_VALUE"""),29109.0)</f>
        <v>29109</v>
      </c>
      <c r="C1634" t="str">
        <f>IFERROR(__xludf.DUMMYFUNCTION("""COMPUTED_VALUE"""),"SERANI ANGEL, LUCIANA")</f>
        <v>SERANI ANGEL, LUCIANA</v>
      </c>
      <c r="D1634" t="str">
        <f>IFERROR(__xludf.DUMMYFUNCTION("""COMPUTED_VALUE"""),"Biology 9")</f>
        <v>Biology 9</v>
      </c>
      <c r="E1634" s="3">
        <f>IFERROR(__xludf.DUMMYFUNCTION("""COMPUTED_VALUE"""),6.0)</f>
        <v>6</v>
      </c>
      <c r="F1634" s="300">
        <v>1.0</v>
      </c>
      <c r="G1634" s="300">
        <v>1.0</v>
      </c>
      <c r="H1634" s="300">
        <v>1.0</v>
      </c>
      <c r="I1634" s="300">
        <v>1.0</v>
      </c>
      <c r="J1634" s="300">
        <v>1.0</v>
      </c>
      <c r="K1634" s="300">
        <v>1.0</v>
      </c>
      <c r="L1634" s="300">
        <v>1.0</v>
      </c>
      <c r="M1634" s="300">
        <v>1.0</v>
      </c>
      <c r="N1634" s="300">
        <v>8.0</v>
      </c>
      <c r="O1634" s="300" t="s">
        <v>866</v>
      </c>
      <c r="P1634" s="300">
        <v>7.0</v>
      </c>
    </row>
    <row r="1635">
      <c r="A1635">
        <f>IFERROR(__xludf.DUMMYFUNCTION("""COMPUTED_VALUE"""),9.0)</f>
        <v>9</v>
      </c>
      <c r="B1635" s="406">
        <f>IFERROR(__xludf.DUMMYFUNCTION("""COMPUTED_VALUE"""),29037.0)</f>
        <v>29037</v>
      </c>
      <c r="C1635" t="str">
        <f>IFERROR(__xludf.DUMMYFUNCTION("""COMPUTED_VALUE"""),"ESCOBAR INFANTINO, RAQUEL")</f>
        <v>ESCOBAR INFANTINO, RAQUEL</v>
      </c>
      <c r="D1635" t="str">
        <f>IFERROR(__xludf.DUMMYFUNCTION("""COMPUTED_VALUE"""),"Biology 9")</f>
        <v>Biology 9</v>
      </c>
      <c r="E1635" s="3">
        <f>IFERROR(__xludf.DUMMYFUNCTION("""COMPUTED_VALUE"""),7.0)</f>
        <v>7</v>
      </c>
      <c r="F1635" s="300">
        <v>1.0</v>
      </c>
      <c r="G1635" s="300">
        <v>1.0</v>
      </c>
      <c r="H1635" s="300">
        <v>1.0</v>
      </c>
      <c r="I1635" s="300">
        <v>1.0</v>
      </c>
      <c r="J1635" s="300">
        <v>1.0</v>
      </c>
      <c r="K1635" s="300">
        <v>1.0</v>
      </c>
      <c r="L1635" s="300">
        <v>1.0</v>
      </c>
      <c r="M1635" s="300">
        <v>1.0</v>
      </c>
      <c r="N1635" s="300">
        <v>8.0</v>
      </c>
      <c r="O1635" s="300" t="s">
        <v>867</v>
      </c>
      <c r="P1635" s="300">
        <v>7.0</v>
      </c>
    </row>
    <row r="1636">
      <c r="A1636">
        <f>IFERROR(__xludf.DUMMYFUNCTION("""COMPUTED_VALUE"""),9.0)</f>
        <v>9</v>
      </c>
      <c r="B1636" s="406">
        <f>IFERROR(__xludf.DUMMYFUNCTION("""COMPUTED_VALUE"""),29159.0)</f>
        <v>29159</v>
      </c>
      <c r="C1636" t="str">
        <f>IFERROR(__xludf.DUMMYFUNCTION("""COMPUTED_VALUE"""),"PACHECO GARCIA, MARIANA")</f>
        <v>PACHECO GARCIA, MARIANA</v>
      </c>
      <c r="D1636" t="str">
        <f>IFERROR(__xludf.DUMMYFUNCTION("""COMPUTED_VALUE"""),"Biology 9")</f>
        <v>Biology 9</v>
      </c>
      <c r="E1636" s="3">
        <f>IFERROR(__xludf.DUMMYFUNCTION("""COMPUTED_VALUE"""),1.0)</f>
        <v>1</v>
      </c>
      <c r="F1636" s="300">
        <v>1.0</v>
      </c>
      <c r="G1636" s="300">
        <v>1.0</v>
      </c>
      <c r="H1636" s="300">
        <v>1.0</v>
      </c>
      <c r="I1636" s="300">
        <v>1.0</v>
      </c>
      <c r="J1636" s="300">
        <v>1.0</v>
      </c>
      <c r="K1636" s="300">
        <v>1.0</v>
      </c>
      <c r="L1636" s="300">
        <v>1.0</v>
      </c>
      <c r="M1636" s="300">
        <v>1.0</v>
      </c>
      <c r="N1636" s="300">
        <v>8.0</v>
      </c>
      <c r="O1636" s="300" t="s">
        <v>869</v>
      </c>
      <c r="P1636" s="300">
        <v>7.0</v>
      </c>
    </row>
    <row r="1637">
      <c r="A1637">
        <f>IFERROR(__xludf.DUMMYFUNCTION("""COMPUTED_VALUE"""),9.0)</f>
        <v>9</v>
      </c>
      <c r="B1637" s="406">
        <f>IFERROR(__xludf.DUMMYFUNCTION("""COMPUTED_VALUE"""),29142.0)</f>
        <v>29142</v>
      </c>
      <c r="C1637" t="str">
        <f>IFERROR(__xludf.DUMMYFUNCTION("""COMPUTED_VALUE"""),"TOBON CARMONA, JACOBO")</f>
        <v>TOBON CARMONA, JACOBO</v>
      </c>
      <c r="D1637" t="str">
        <f>IFERROR(__xludf.DUMMYFUNCTION("""COMPUTED_VALUE"""),"Biology 9")</f>
        <v>Biology 9</v>
      </c>
      <c r="E1637" s="3">
        <f>IFERROR(__xludf.DUMMYFUNCTION("""COMPUTED_VALUE"""),7.0)</f>
        <v>7</v>
      </c>
      <c r="F1637" s="300">
        <v>1.0</v>
      </c>
      <c r="G1637" s="300">
        <v>1.0</v>
      </c>
      <c r="H1637" s="300">
        <v>1.0</v>
      </c>
      <c r="I1637" s="300">
        <v>1.0</v>
      </c>
      <c r="J1637" s="300">
        <v>1.0</v>
      </c>
      <c r="K1637" s="300">
        <v>1.0</v>
      </c>
      <c r="L1637" s="300">
        <v>1.0</v>
      </c>
      <c r="M1637" s="300">
        <v>1.0</v>
      </c>
      <c r="N1637" s="300">
        <v>8.0</v>
      </c>
      <c r="O1637" s="300" t="s">
        <v>867</v>
      </c>
      <c r="P1637" s="300">
        <v>7.0</v>
      </c>
    </row>
    <row r="1638">
      <c r="A1638">
        <f>IFERROR(__xludf.DUMMYFUNCTION("""COMPUTED_VALUE"""),9.0)</f>
        <v>9</v>
      </c>
      <c r="B1638" s="406">
        <f>IFERROR(__xludf.DUMMYFUNCTION("""COMPUTED_VALUE"""),29132.0)</f>
        <v>29132</v>
      </c>
      <c r="C1638" t="str">
        <f>IFERROR(__xludf.DUMMYFUNCTION("""COMPUTED_VALUE"""),"VILLEGAS MEJIA, SIMON")</f>
        <v>VILLEGAS MEJIA, SIMON</v>
      </c>
      <c r="D1638" t="str">
        <f>IFERROR(__xludf.DUMMYFUNCTION("""COMPUTED_VALUE"""),"Biology 9")</f>
        <v>Biology 9</v>
      </c>
      <c r="E1638" s="3">
        <f>IFERROR(__xludf.DUMMYFUNCTION("""COMPUTED_VALUE"""),2.0)</f>
        <v>2</v>
      </c>
      <c r="F1638" s="300">
        <v>1.0</v>
      </c>
      <c r="G1638" s="300">
        <v>1.0</v>
      </c>
      <c r="H1638" s="300">
        <v>1.0</v>
      </c>
      <c r="I1638" s="300">
        <v>1.0</v>
      </c>
      <c r="J1638" s="300">
        <v>1.0</v>
      </c>
      <c r="K1638" s="300">
        <v>1.0</v>
      </c>
      <c r="L1638" s="300">
        <v>1.0</v>
      </c>
      <c r="M1638" s="300">
        <v>1.0</v>
      </c>
      <c r="N1638" s="300">
        <v>8.0</v>
      </c>
      <c r="O1638" s="300" t="s">
        <v>872</v>
      </c>
      <c r="P1638" s="300">
        <v>7.0</v>
      </c>
    </row>
    <row r="1639">
      <c r="A1639">
        <f>IFERROR(__xludf.DUMMYFUNCTION("""COMPUTED_VALUE"""),9.0)</f>
        <v>9</v>
      </c>
      <c r="B1639" s="406">
        <f>IFERROR(__xludf.DUMMYFUNCTION("""COMPUTED_VALUE"""),29027.0)</f>
        <v>29027</v>
      </c>
      <c r="C1639" t="str">
        <f>IFERROR(__xludf.DUMMYFUNCTION("""COMPUTED_VALUE"""),"CARDONA VELEZ, MATIAS")</f>
        <v>CARDONA VELEZ, MATIAS</v>
      </c>
      <c r="D1639" t="str">
        <f>IFERROR(__xludf.DUMMYFUNCTION("""COMPUTED_VALUE"""),"Biology 9")</f>
        <v>Biology 9</v>
      </c>
      <c r="E1639" s="3">
        <f>IFERROR(__xludf.DUMMYFUNCTION("""COMPUTED_VALUE"""),7.0)</f>
        <v>7</v>
      </c>
      <c r="F1639" s="300">
        <v>1.0</v>
      </c>
      <c r="G1639" s="300">
        <v>1.0</v>
      </c>
      <c r="H1639" s="300">
        <v>1.0</v>
      </c>
      <c r="I1639" s="300">
        <v>1.0</v>
      </c>
      <c r="J1639" s="300">
        <v>1.0</v>
      </c>
      <c r="K1639" s="300">
        <v>1.0</v>
      </c>
      <c r="L1639" s="300">
        <v>1.0</v>
      </c>
      <c r="M1639" s="300">
        <v>1.0</v>
      </c>
      <c r="N1639" s="300">
        <v>8.0</v>
      </c>
      <c r="O1639" s="300" t="s">
        <v>867</v>
      </c>
      <c r="P1639" s="300">
        <v>7.0</v>
      </c>
    </row>
    <row r="1640">
      <c r="A1640">
        <f>IFERROR(__xludf.DUMMYFUNCTION("""COMPUTED_VALUE"""),9.0)</f>
        <v>9</v>
      </c>
      <c r="B1640" s="406">
        <f>IFERROR(__xludf.DUMMYFUNCTION("""COMPUTED_VALUE"""),29024.0)</f>
        <v>29024</v>
      </c>
      <c r="C1640" t="str">
        <f>IFERROR(__xludf.DUMMYFUNCTION("""COMPUTED_VALUE"""),"CADAVID RESTREPO, LUIS FERNANDO")</f>
        <v>CADAVID RESTREPO, LUIS FERNANDO</v>
      </c>
      <c r="D1640" t="str">
        <f>IFERROR(__xludf.DUMMYFUNCTION("""COMPUTED_VALUE"""),"Biology 9")</f>
        <v>Biology 9</v>
      </c>
      <c r="E1640" s="3">
        <f>IFERROR(__xludf.DUMMYFUNCTION("""COMPUTED_VALUE"""),7.0)</f>
        <v>7</v>
      </c>
      <c r="F1640" s="300">
        <v>1.0</v>
      </c>
      <c r="G1640" s="300">
        <v>1.0</v>
      </c>
      <c r="H1640" s="300">
        <v>1.0</v>
      </c>
      <c r="I1640" s="300">
        <v>1.0</v>
      </c>
      <c r="J1640" s="300">
        <v>1.0</v>
      </c>
      <c r="K1640" s="300">
        <v>1.0</v>
      </c>
      <c r="L1640" s="300">
        <v>1.0</v>
      </c>
      <c r="M1640" s="300">
        <v>1.0</v>
      </c>
      <c r="N1640" s="300">
        <v>8.0</v>
      </c>
      <c r="O1640" s="300" t="s">
        <v>867</v>
      </c>
      <c r="P1640" s="300">
        <v>7.0</v>
      </c>
    </row>
    <row r="1641">
      <c r="A1641">
        <f>IFERROR(__xludf.DUMMYFUNCTION("""COMPUTED_VALUE"""),9.0)</f>
        <v>9</v>
      </c>
      <c r="B1641" s="406">
        <f>IFERROR(__xludf.DUMMYFUNCTION("""COMPUTED_VALUE"""),29042.0)</f>
        <v>29042</v>
      </c>
      <c r="C1641" t="str">
        <f>IFERROR(__xludf.DUMMYFUNCTION("""COMPUTED_VALUE"""),"GOMEZ MIRA, GREGORIO")</f>
        <v>GOMEZ MIRA, GREGORIO</v>
      </c>
      <c r="D1641" t="str">
        <f>IFERROR(__xludf.DUMMYFUNCTION("""COMPUTED_VALUE"""),"Biology 9")</f>
        <v>Biology 9</v>
      </c>
      <c r="E1641" s="3">
        <f>IFERROR(__xludf.DUMMYFUNCTION("""COMPUTED_VALUE"""),2.0)</f>
        <v>2</v>
      </c>
      <c r="F1641" s="300">
        <v>1.0</v>
      </c>
      <c r="G1641" s="300">
        <v>1.0</v>
      </c>
      <c r="H1641" s="300">
        <v>1.0</v>
      </c>
      <c r="I1641" s="300">
        <v>1.0</v>
      </c>
      <c r="J1641" s="300">
        <v>1.0</v>
      </c>
      <c r="K1641" s="300">
        <v>1.0</v>
      </c>
      <c r="L1641" s="300">
        <v>1.0</v>
      </c>
      <c r="M1641" s="300">
        <v>1.0</v>
      </c>
      <c r="N1641" s="300">
        <v>8.0</v>
      </c>
      <c r="O1641" s="300" t="s">
        <v>872</v>
      </c>
      <c r="P1641" s="300">
        <v>7.0</v>
      </c>
    </row>
    <row r="1642">
      <c r="A1642">
        <f>IFERROR(__xludf.DUMMYFUNCTION("""COMPUTED_VALUE"""),9.0)</f>
        <v>9</v>
      </c>
      <c r="B1642" s="406">
        <f>IFERROR(__xludf.DUMMYFUNCTION("""COMPUTED_VALUE"""),29120.0)</f>
        <v>29120</v>
      </c>
      <c r="C1642" t="str">
        <f>IFERROR(__xludf.DUMMYFUNCTION("""COMPUTED_VALUE"""),"URIBE JARAMILLO, PEDRO JUAN")</f>
        <v>URIBE JARAMILLO, PEDRO JUAN</v>
      </c>
      <c r="D1642" t="str">
        <f>IFERROR(__xludf.DUMMYFUNCTION("""COMPUTED_VALUE"""),"Biology 9")</f>
        <v>Biology 9</v>
      </c>
      <c r="E1642" s="3">
        <f>IFERROR(__xludf.DUMMYFUNCTION("""COMPUTED_VALUE"""),2.0)</f>
        <v>2</v>
      </c>
      <c r="F1642" s="300">
        <v>1.0</v>
      </c>
      <c r="G1642" s="300">
        <v>1.0</v>
      </c>
      <c r="H1642" s="300">
        <v>1.0</v>
      </c>
      <c r="I1642" s="300">
        <v>1.0</v>
      </c>
      <c r="J1642" s="300">
        <v>1.0</v>
      </c>
      <c r="K1642" s="300">
        <v>1.0</v>
      </c>
      <c r="L1642" s="300">
        <v>1.0</v>
      </c>
      <c r="M1642" s="300">
        <v>1.0</v>
      </c>
      <c r="N1642" s="300">
        <v>8.0</v>
      </c>
      <c r="O1642" s="300" t="s">
        <v>872</v>
      </c>
      <c r="P1642" s="300">
        <v>7.0</v>
      </c>
    </row>
    <row r="1643">
      <c r="A1643">
        <f>IFERROR(__xludf.DUMMYFUNCTION("""COMPUTED_VALUE"""),9.0)</f>
        <v>9</v>
      </c>
      <c r="B1643" s="406">
        <f>IFERROR(__xludf.DUMMYFUNCTION("""COMPUTED_VALUE"""),29040.0)</f>
        <v>29040</v>
      </c>
      <c r="C1643" t="str">
        <f>IFERROR(__xludf.DUMMYFUNCTION("""COMPUTED_VALUE"""),"ESTRADA ZAPATA, MARTIN")</f>
        <v>ESTRADA ZAPATA, MARTIN</v>
      </c>
      <c r="D1643" t="str">
        <f>IFERROR(__xludf.DUMMYFUNCTION("""COMPUTED_VALUE"""),"Biology 9")</f>
        <v>Biology 9</v>
      </c>
      <c r="E1643" s="3">
        <f>IFERROR(__xludf.DUMMYFUNCTION("""COMPUTED_VALUE"""),2.0)</f>
        <v>2</v>
      </c>
      <c r="F1643" s="300">
        <v>1.0</v>
      </c>
      <c r="G1643" s="300">
        <v>1.0</v>
      </c>
      <c r="H1643" s="300">
        <v>1.0</v>
      </c>
      <c r="I1643" s="300">
        <v>1.0</v>
      </c>
      <c r="J1643" s="300">
        <v>1.0</v>
      </c>
      <c r="K1643" s="300">
        <v>1.0</v>
      </c>
      <c r="L1643" s="300">
        <v>1.0</v>
      </c>
      <c r="M1643" s="300">
        <v>1.0</v>
      </c>
      <c r="N1643" s="300">
        <v>8.0</v>
      </c>
      <c r="O1643" s="300" t="s">
        <v>872</v>
      </c>
      <c r="P1643" s="300">
        <v>7.0</v>
      </c>
    </row>
    <row r="1644">
      <c r="A1644">
        <f>IFERROR(__xludf.DUMMYFUNCTION("""COMPUTED_VALUE"""),9.0)</f>
        <v>9</v>
      </c>
      <c r="B1644" s="406">
        <f>IFERROR(__xludf.DUMMYFUNCTION("""COMPUTED_VALUE"""),29057.0)</f>
        <v>29057</v>
      </c>
      <c r="C1644" t="str">
        <f>IFERROR(__xludf.DUMMYFUNCTION("""COMPUTED_VALUE"""),"JALLER TRUJILLO, KAMEL")</f>
        <v>JALLER TRUJILLO, KAMEL</v>
      </c>
      <c r="D1644" t="str">
        <f>IFERROR(__xludf.DUMMYFUNCTION("""COMPUTED_VALUE"""),"Biology 9")</f>
        <v>Biology 9</v>
      </c>
      <c r="E1644" s="3">
        <f>IFERROR(__xludf.DUMMYFUNCTION("""COMPUTED_VALUE"""),5.0)</f>
        <v>5</v>
      </c>
      <c r="F1644" s="300">
        <v>1.0</v>
      </c>
      <c r="G1644" s="300">
        <v>1.0</v>
      </c>
      <c r="H1644" s="300">
        <v>1.0</v>
      </c>
      <c r="I1644" s="300">
        <v>1.0</v>
      </c>
      <c r="J1644" s="300">
        <v>1.0</v>
      </c>
      <c r="K1644" s="300">
        <v>1.0</v>
      </c>
      <c r="L1644" s="300">
        <v>1.0</v>
      </c>
      <c r="M1644" s="300">
        <v>1.0</v>
      </c>
      <c r="N1644" s="300">
        <v>8.0</v>
      </c>
      <c r="O1644" s="300" t="s">
        <v>871</v>
      </c>
      <c r="P1644" s="300">
        <v>7.0</v>
      </c>
    </row>
    <row r="1645">
      <c r="A1645">
        <f>IFERROR(__xludf.DUMMYFUNCTION("""COMPUTED_VALUE"""),9.0)</f>
        <v>9</v>
      </c>
      <c r="B1645" s="406">
        <f>IFERROR(__xludf.DUMMYFUNCTION("""COMPUTED_VALUE"""),29092.0)</f>
        <v>29092</v>
      </c>
      <c r="C1645" t="str">
        <f>IFERROR(__xludf.DUMMYFUNCTION("""COMPUTED_VALUE"""),"TURIZZO BORRERO, CAMILO ANDRES")</f>
        <v>TURIZZO BORRERO, CAMILO ANDRES</v>
      </c>
      <c r="D1645" t="str">
        <f>IFERROR(__xludf.DUMMYFUNCTION("""COMPUTED_VALUE"""),"Biology 9")</f>
        <v>Biology 9</v>
      </c>
      <c r="E1645" s="3">
        <f>IFERROR(__xludf.DUMMYFUNCTION("""COMPUTED_VALUE"""),2.0)</f>
        <v>2</v>
      </c>
      <c r="F1645" s="300">
        <v>1.0</v>
      </c>
      <c r="G1645" s="300">
        <v>1.0</v>
      </c>
      <c r="H1645" s="300">
        <v>1.0</v>
      </c>
      <c r="I1645" s="300">
        <v>1.0</v>
      </c>
      <c r="J1645" s="300">
        <v>1.0</v>
      </c>
      <c r="K1645" s="300">
        <v>1.0</v>
      </c>
      <c r="L1645" s="300">
        <v>1.0</v>
      </c>
      <c r="M1645" s="300">
        <v>1.0</v>
      </c>
      <c r="N1645" s="300">
        <v>8.0</v>
      </c>
      <c r="O1645" s="300" t="s">
        <v>872</v>
      </c>
      <c r="P1645" s="300">
        <v>7.0</v>
      </c>
    </row>
    <row r="1646">
      <c r="A1646">
        <f>IFERROR(__xludf.DUMMYFUNCTION("""COMPUTED_VALUE"""),9.0)</f>
        <v>9</v>
      </c>
      <c r="B1646" s="406">
        <f>IFERROR(__xludf.DUMMYFUNCTION("""COMPUTED_VALUE"""),29129.0)</f>
        <v>29129</v>
      </c>
      <c r="C1646" t="str">
        <f>IFERROR(__xludf.DUMMYFUNCTION("""COMPUTED_VALUE"""),"VELEZ RESTREPO, SIMON")</f>
        <v>VELEZ RESTREPO, SIMON</v>
      </c>
      <c r="D1646" t="str">
        <f>IFERROR(__xludf.DUMMYFUNCTION("""COMPUTED_VALUE"""),"Biology 9")</f>
        <v>Biology 9</v>
      </c>
      <c r="E1646" s="3">
        <f>IFERROR(__xludf.DUMMYFUNCTION("""COMPUTED_VALUE"""),1.0)</f>
        <v>1</v>
      </c>
      <c r="F1646" s="300">
        <v>1.0</v>
      </c>
      <c r="G1646" s="300">
        <v>1.0</v>
      </c>
      <c r="H1646" s="300">
        <v>1.0</v>
      </c>
      <c r="I1646" s="300">
        <v>1.0</v>
      </c>
      <c r="J1646" s="300">
        <v>1.0</v>
      </c>
      <c r="K1646" s="300">
        <v>1.0</v>
      </c>
      <c r="L1646" s="300">
        <v>1.0</v>
      </c>
      <c r="M1646" s="300">
        <v>1.0</v>
      </c>
      <c r="N1646" s="300">
        <v>8.0</v>
      </c>
      <c r="O1646" s="300" t="s">
        <v>869</v>
      </c>
      <c r="P1646" s="300">
        <v>7.0</v>
      </c>
    </row>
    <row r="1647">
      <c r="A1647">
        <f>IFERROR(__xludf.DUMMYFUNCTION("""COMPUTED_VALUE"""),9.0)</f>
        <v>9</v>
      </c>
      <c r="B1647" s="406">
        <f>IFERROR(__xludf.DUMMYFUNCTION("""COMPUTED_VALUE"""),29002.0)</f>
        <v>29002</v>
      </c>
      <c r="C1647" t="str">
        <f>IFERROR(__xludf.DUMMYFUNCTION("""COMPUTED_VALUE"""),"ACEVEDO OCHOA, MARIA DEL MAR")</f>
        <v>ACEVEDO OCHOA, MARIA DEL MAR</v>
      </c>
      <c r="D1647" t="str">
        <f>IFERROR(__xludf.DUMMYFUNCTION("""COMPUTED_VALUE"""),"Biology 9")</f>
        <v>Biology 9</v>
      </c>
      <c r="E1647" s="3">
        <f>IFERROR(__xludf.DUMMYFUNCTION("""COMPUTED_VALUE"""),2.0)</f>
        <v>2</v>
      </c>
      <c r="F1647" s="300">
        <v>1.0</v>
      </c>
      <c r="G1647" s="300">
        <v>1.0</v>
      </c>
      <c r="H1647" s="300">
        <v>1.0</v>
      </c>
      <c r="I1647" s="300">
        <v>1.0</v>
      </c>
      <c r="J1647" s="300">
        <v>1.0</v>
      </c>
      <c r="K1647" s="300">
        <v>1.0</v>
      </c>
      <c r="L1647" s="300">
        <v>1.0</v>
      </c>
      <c r="M1647" s="300">
        <v>1.0</v>
      </c>
      <c r="N1647" s="300">
        <v>8.0</v>
      </c>
      <c r="O1647" s="300" t="s">
        <v>872</v>
      </c>
      <c r="P1647" s="300">
        <v>7.0</v>
      </c>
    </row>
    <row r="1648">
      <c r="A1648">
        <f>IFERROR(__xludf.DUMMYFUNCTION("""COMPUTED_VALUE"""),9.0)</f>
        <v>9</v>
      </c>
      <c r="B1648" s="406">
        <f>IFERROR(__xludf.DUMMYFUNCTION("""COMPUTED_VALUE"""),29099.0)</f>
        <v>29099</v>
      </c>
      <c r="C1648" t="str">
        <f>IFERROR(__xludf.DUMMYFUNCTION("""COMPUTED_VALUE"""),"RESTREPO RESTREPO, MATIAS")</f>
        <v>RESTREPO RESTREPO, MATIAS</v>
      </c>
      <c r="D1648" t="str">
        <f>IFERROR(__xludf.DUMMYFUNCTION("""COMPUTED_VALUE"""),"Biology 9")</f>
        <v>Biology 9</v>
      </c>
      <c r="E1648" s="3">
        <f>IFERROR(__xludf.DUMMYFUNCTION("""COMPUTED_VALUE"""),5.0)</f>
        <v>5</v>
      </c>
      <c r="F1648" s="300">
        <v>1.0</v>
      </c>
      <c r="G1648" s="300">
        <v>1.0</v>
      </c>
      <c r="H1648" s="300">
        <v>1.0</v>
      </c>
      <c r="I1648" s="300">
        <v>1.0</v>
      </c>
      <c r="J1648" s="300">
        <v>1.0</v>
      </c>
      <c r="K1648" s="300">
        <v>1.0</v>
      </c>
      <c r="L1648" s="300">
        <v>1.0</v>
      </c>
      <c r="M1648" s="300">
        <v>1.0</v>
      </c>
      <c r="N1648" s="300">
        <v>8.0</v>
      </c>
      <c r="O1648" s="300" t="s">
        <v>871</v>
      </c>
      <c r="P1648" s="300">
        <v>7.0</v>
      </c>
    </row>
    <row r="1649">
      <c r="A1649">
        <f>IFERROR(__xludf.DUMMYFUNCTION("""COMPUTED_VALUE"""),9.0)</f>
        <v>9</v>
      </c>
      <c r="B1649" s="406">
        <f>IFERROR(__xludf.DUMMYFUNCTION("""COMPUTED_VALUE"""),29087.0)</f>
        <v>29087</v>
      </c>
      <c r="C1649" t="str">
        <f>IFERROR(__xludf.DUMMYFUNCTION("""COMPUTED_VALUE"""),"PALACIO BOTERO, MATIAS")</f>
        <v>PALACIO BOTERO, MATIAS</v>
      </c>
      <c r="D1649" t="str">
        <f>IFERROR(__xludf.DUMMYFUNCTION("""COMPUTED_VALUE"""),"Biology 9")</f>
        <v>Biology 9</v>
      </c>
      <c r="E1649" s="3">
        <f>IFERROR(__xludf.DUMMYFUNCTION("""COMPUTED_VALUE"""),6.0)</f>
        <v>6</v>
      </c>
      <c r="F1649" s="300">
        <v>1.0</v>
      </c>
      <c r="G1649" s="300">
        <v>1.0</v>
      </c>
      <c r="H1649" s="300">
        <v>1.0</v>
      </c>
      <c r="I1649" s="300">
        <v>1.0</v>
      </c>
      <c r="J1649" s="300">
        <v>1.0</v>
      </c>
      <c r="K1649" s="300">
        <v>1.0</v>
      </c>
      <c r="L1649" s="300">
        <v>1.0</v>
      </c>
      <c r="M1649" s="300">
        <v>1.0</v>
      </c>
      <c r="N1649" s="300">
        <v>8.0</v>
      </c>
      <c r="O1649" s="300" t="s">
        <v>866</v>
      </c>
      <c r="P1649" s="300">
        <v>7.0</v>
      </c>
    </row>
    <row r="1650">
      <c r="A1650">
        <f>IFERROR(__xludf.DUMMYFUNCTION("""COMPUTED_VALUE"""),9.0)</f>
        <v>9</v>
      </c>
      <c r="B1650" s="406">
        <f>IFERROR(__xludf.DUMMYFUNCTION("""COMPUTED_VALUE"""),28087.0)</f>
        <v>28087</v>
      </c>
      <c r="C1650" t="str">
        <f>IFERROR(__xludf.DUMMYFUNCTION("""COMPUTED_VALUE"""),"QUINTERO HENAO, MATEO")</f>
        <v>QUINTERO HENAO, MATEO</v>
      </c>
      <c r="D1650" t="str">
        <f>IFERROR(__xludf.DUMMYFUNCTION("""COMPUTED_VALUE"""),"Biology 9")</f>
        <v>Biology 9</v>
      </c>
      <c r="E1650" s="3">
        <f>IFERROR(__xludf.DUMMYFUNCTION("""COMPUTED_VALUE"""),5.0)</f>
        <v>5</v>
      </c>
      <c r="F1650" s="300">
        <v>1.0</v>
      </c>
      <c r="G1650" s="300">
        <v>1.0</v>
      </c>
      <c r="H1650" s="300">
        <v>1.0</v>
      </c>
      <c r="I1650" s="300">
        <v>1.0</v>
      </c>
      <c r="J1650" s="300">
        <v>1.0</v>
      </c>
      <c r="K1650" s="300">
        <v>1.0</v>
      </c>
      <c r="L1650" s="300">
        <v>1.0</v>
      </c>
      <c r="M1650" s="300">
        <v>1.0</v>
      </c>
      <c r="N1650" s="300">
        <v>8.0</v>
      </c>
      <c r="O1650" s="300" t="s">
        <v>871</v>
      </c>
      <c r="P1650" s="300">
        <v>7.0</v>
      </c>
    </row>
    <row r="1651">
      <c r="A1651">
        <f>IFERROR(__xludf.DUMMYFUNCTION("""COMPUTED_VALUE"""),9.0)</f>
        <v>9</v>
      </c>
      <c r="B1651" s="406">
        <f>IFERROR(__xludf.DUMMYFUNCTION("""COMPUTED_VALUE"""),29133.0)</f>
        <v>29133</v>
      </c>
      <c r="C1651" t="str">
        <f>IFERROR(__xludf.DUMMYFUNCTION("""COMPUTED_VALUE"""),"ZAPATA URIBE, RAFAEL")</f>
        <v>ZAPATA URIBE, RAFAEL</v>
      </c>
      <c r="D1651" t="str">
        <f>IFERROR(__xludf.DUMMYFUNCTION("""COMPUTED_VALUE"""),"Biology 9")</f>
        <v>Biology 9</v>
      </c>
      <c r="E1651" s="3">
        <f>IFERROR(__xludf.DUMMYFUNCTION("""COMPUTED_VALUE"""),7.0)</f>
        <v>7</v>
      </c>
      <c r="F1651" s="300">
        <v>1.0</v>
      </c>
      <c r="G1651" s="300">
        <v>1.0</v>
      </c>
      <c r="H1651" s="300">
        <v>1.0</v>
      </c>
      <c r="I1651" s="300">
        <v>1.0</v>
      </c>
      <c r="J1651" s="300">
        <v>1.0</v>
      </c>
      <c r="K1651" s="300">
        <v>1.0</v>
      </c>
      <c r="L1651" s="300">
        <v>1.0</v>
      </c>
      <c r="M1651" s="300">
        <v>1.0</v>
      </c>
      <c r="N1651" s="300">
        <v>8.0</v>
      </c>
      <c r="O1651" s="300" t="s">
        <v>867</v>
      </c>
      <c r="P1651" s="300">
        <v>7.0</v>
      </c>
    </row>
    <row r="1652">
      <c r="A1652">
        <f>IFERROR(__xludf.DUMMYFUNCTION("""COMPUTED_VALUE"""),9.0)</f>
        <v>9</v>
      </c>
      <c r="B1652" s="406">
        <f>IFERROR(__xludf.DUMMYFUNCTION("""COMPUTED_VALUE"""),29059.0)</f>
        <v>29059</v>
      </c>
      <c r="C1652" t="str">
        <f>IFERROR(__xludf.DUMMYFUNCTION("""COMPUTED_VALUE"""),"JARAMILLO GONZALEZ, PASCUAL")</f>
        <v>JARAMILLO GONZALEZ, PASCUAL</v>
      </c>
      <c r="D1652" t="str">
        <f>IFERROR(__xludf.DUMMYFUNCTION("""COMPUTED_VALUE"""),"Biology 9")</f>
        <v>Biology 9</v>
      </c>
      <c r="E1652" s="3">
        <f>IFERROR(__xludf.DUMMYFUNCTION("""COMPUTED_VALUE"""),1.0)</f>
        <v>1</v>
      </c>
      <c r="F1652" s="300">
        <v>1.0</v>
      </c>
      <c r="G1652" s="300">
        <v>1.0</v>
      </c>
      <c r="H1652" s="300">
        <v>1.0</v>
      </c>
      <c r="I1652" s="300">
        <v>1.0</v>
      </c>
      <c r="J1652" s="300">
        <v>1.0</v>
      </c>
      <c r="K1652" s="300">
        <v>1.0</v>
      </c>
      <c r="L1652" s="300">
        <v>1.0</v>
      </c>
      <c r="M1652" s="300">
        <v>1.0</v>
      </c>
      <c r="N1652" s="300">
        <v>8.0</v>
      </c>
      <c r="O1652" s="300" t="s">
        <v>869</v>
      </c>
      <c r="P1652" s="300">
        <v>7.0</v>
      </c>
    </row>
    <row r="1653">
      <c r="A1653">
        <f>IFERROR(__xludf.DUMMYFUNCTION("""COMPUTED_VALUE"""),9.0)</f>
        <v>9</v>
      </c>
      <c r="B1653" s="406">
        <f>IFERROR(__xludf.DUMMYFUNCTION("""COMPUTED_VALUE"""),29050.0)</f>
        <v>29050</v>
      </c>
      <c r="C1653" t="str">
        <f>IFERROR(__xludf.DUMMYFUNCTION("""COMPUTED_VALUE"""),"HINESTROSA SIERRA, PEDRO")</f>
        <v>HINESTROSA SIERRA, PEDRO</v>
      </c>
      <c r="D1653" t="str">
        <f>IFERROR(__xludf.DUMMYFUNCTION("""COMPUTED_VALUE"""),"Biology 9")</f>
        <v>Biology 9</v>
      </c>
      <c r="E1653" s="3">
        <f>IFERROR(__xludf.DUMMYFUNCTION("""COMPUTED_VALUE"""),2.0)</f>
        <v>2</v>
      </c>
      <c r="F1653" s="300">
        <v>1.0</v>
      </c>
      <c r="G1653" s="300">
        <v>1.0</v>
      </c>
      <c r="H1653" s="300">
        <v>1.0</v>
      </c>
      <c r="I1653" s="300">
        <v>1.0</v>
      </c>
      <c r="J1653" s="300">
        <v>1.0</v>
      </c>
      <c r="K1653" s="300">
        <v>1.0</v>
      </c>
      <c r="L1653" s="300">
        <v>1.0</v>
      </c>
      <c r="M1653" s="300">
        <v>1.0</v>
      </c>
      <c r="N1653" s="300">
        <v>8.0</v>
      </c>
      <c r="O1653" s="300" t="s">
        <v>872</v>
      </c>
      <c r="P1653" s="300">
        <v>7.0</v>
      </c>
    </row>
    <row r="1654">
      <c r="A1654">
        <f>IFERROR(__xludf.DUMMYFUNCTION("""COMPUTED_VALUE"""),9.0)</f>
        <v>9</v>
      </c>
      <c r="B1654" s="406">
        <f>IFERROR(__xludf.DUMMYFUNCTION("""COMPUTED_VALUE"""),29068.0)</f>
        <v>29068</v>
      </c>
      <c r="C1654" t="str">
        <f>IFERROR(__xludf.DUMMYFUNCTION("""COMPUTED_VALUE"""),"LOPEZ JAIMES, VICENTE")</f>
        <v>LOPEZ JAIMES, VICENTE</v>
      </c>
      <c r="D1654" t="str">
        <f>IFERROR(__xludf.DUMMYFUNCTION("""COMPUTED_VALUE"""),"Biology 9")</f>
        <v>Biology 9</v>
      </c>
      <c r="E1654" s="3">
        <f>IFERROR(__xludf.DUMMYFUNCTION("""COMPUTED_VALUE"""),5.0)</f>
        <v>5</v>
      </c>
      <c r="F1654" s="300">
        <v>1.0</v>
      </c>
      <c r="G1654" s="300">
        <v>1.0</v>
      </c>
      <c r="H1654" s="300">
        <v>1.0</v>
      </c>
      <c r="I1654" s="300">
        <v>1.0</v>
      </c>
      <c r="J1654" s="300">
        <v>1.0</v>
      </c>
      <c r="K1654" s="300">
        <v>1.0</v>
      </c>
      <c r="L1654" s="300">
        <v>1.0</v>
      </c>
      <c r="M1654" s="300">
        <v>1.0</v>
      </c>
      <c r="N1654" s="300">
        <v>8.0</v>
      </c>
      <c r="O1654" s="300" t="s">
        <v>871</v>
      </c>
      <c r="P1654" s="300">
        <v>7.0</v>
      </c>
    </row>
    <row r="1655">
      <c r="A1655">
        <f>IFERROR(__xludf.DUMMYFUNCTION("""COMPUTED_VALUE"""),9.0)</f>
        <v>9</v>
      </c>
      <c r="B1655" s="406">
        <f>IFERROR(__xludf.DUMMYFUNCTION("""COMPUTED_VALUE"""),29136.0)</f>
        <v>29136</v>
      </c>
      <c r="C1655" t="str">
        <f>IFERROR(__xludf.DUMMYFUNCTION("""COMPUTED_VALUE"""),"CHOPRA, HARSHUL")</f>
        <v>CHOPRA, HARSHUL</v>
      </c>
      <c r="D1655" t="str">
        <f>IFERROR(__xludf.DUMMYFUNCTION("""COMPUTED_VALUE"""),"Biology 9")</f>
        <v>Biology 9</v>
      </c>
      <c r="E1655" s="3">
        <f>IFERROR(__xludf.DUMMYFUNCTION("""COMPUTED_VALUE"""),3.0)</f>
        <v>3</v>
      </c>
      <c r="F1655" s="300">
        <v>1.0</v>
      </c>
      <c r="G1655" s="300">
        <v>1.0</v>
      </c>
      <c r="H1655" s="300">
        <v>1.0</v>
      </c>
      <c r="I1655" s="300">
        <v>1.0</v>
      </c>
      <c r="J1655" s="300">
        <v>1.0</v>
      </c>
      <c r="K1655" s="300">
        <v>1.0</v>
      </c>
      <c r="L1655" s="300">
        <v>1.0</v>
      </c>
      <c r="M1655" s="300">
        <v>1.0</v>
      </c>
      <c r="N1655" s="300">
        <v>8.0</v>
      </c>
      <c r="O1655" s="300" t="s">
        <v>870</v>
      </c>
      <c r="P1655" s="300">
        <v>7.0</v>
      </c>
    </row>
    <row r="1656">
      <c r="A1656">
        <f>IFERROR(__xludf.DUMMYFUNCTION("""COMPUTED_VALUE"""),9.0)</f>
        <v>9</v>
      </c>
      <c r="B1656" s="406">
        <f>IFERROR(__xludf.DUMMYFUNCTION("""COMPUTED_VALUE"""),28160.0)</f>
        <v>28160</v>
      </c>
      <c r="C1656" t="str">
        <f>IFERROR(__xludf.DUMMYFUNCTION("""COMPUTED_VALUE"""),"ROJAS REYES, JERONIMO")</f>
        <v>ROJAS REYES, JERONIMO</v>
      </c>
      <c r="D1656" t="str">
        <f>IFERROR(__xludf.DUMMYFUNCTION("""COMPUTED_VALUE"""),"Biology 9")</f>
        <v>Biology 9</v>
      </c>
      <c r="E1656" s="3">
        <f>IFERROR(__xludf.DUMMYFUNCTION("""COMPUTED_VALUE"""),1.0)</f>
        <v>1</v>
      </c>
      <c r="F1656" s="300">
        <v>1.0</v>
      </c>
      <c r="G1656" s="300">
        <v>1.0</v>
      </c>
      <c r="H1656" s="300">
        <v>1.0</v>
      </c>
      <c r="I1656" s="300">
        <v>1.0</v>
      </c>
      <c r="J1656" s="300">
        <v>1.0</v>
      </c>
      <c r="K1656" s="300">
        <v>1.0</v>
      </c>
      <c r="L1656" s="300">
        <v>1.0</v>
      </c>
      <c r="M1656" s="300">
        <v>1.0</v>
      </c>
      <c r="N1656" s="300">
        <v>8.0</v>
      </c>
      <c r="O1656" s="300" t="s">
        <v>869</v>
      </c>
      <c r="P1656" s="300">
        <v>7.0</v>
      </c>
    </row>
    <row r="1657">
      <c r="A1657">
        <f>IFERROR(__xludf.DUMMYFUNCTION("""COMPUTED_VALUE"""),9.0)</f>
        <v>9</v>
      </c>
      <c r="B1657" s="406">
        <f>IFERROR(__xludf.DUMMYFUNCTION("""COMPUTED_VALUE"""),28046.0)</f>
        <v>28046</v>
      </c>
      <c r="C1657" t="str">
        <f>IFERROR(__xludf.DUMMYFUNCTION("""COMPUTED_VALUE"""),"HOYOS SARAVIA, TOMAS")</f>
        <v>HOYOS SARAVIA, TOMAS</v>
      </c>
      <c r="D1657" t="str">
        <f>IFERROR(__xludf.DUMMYFUNCTION("""COMPUTED_VALUE"""),"Biology 9")</f>
        <v>Biology 9</v>
      </c>
      <c r="E1657" s="3">
        <f>IFERROR(__xludf.DUMMYFUNCTION("""COMPUTED_VALUE"""),4.0)</f>
        <v>4</v>
      </c>
      <c r="F1657" s="300">
        <v>1.0</v>
      </c>
      <c r="G1657" s="300">
        <v>1.0</v>
      </c>
      <c r="H1657" s="300">
        <v>1.0</v>
      </c>
      <c r="I1657" s="300">
        <v>1.0</v>
      </c>
      <c r="J1657" s="300">
        <v>1.0</v>
      </c>
      <c r="K1657" s="300">
        <v>1.0</v>
      </c>
      <c r="L1657" s="300">
        <v>1.0</v>
      </c>
      <c r="M1657" s="300">
        <v>1.0</v>
      </c>
      <c r="N1657" s="300">
        <v>8.0</v>
      </c>
      <c r="O1657" s="300" t="s">
        <v>868</v>
      </c>
      <c r="P1657" s="300">
        <v>7.0</v>
      </c>
    </row>
    <row r="1658">
      <c r="A1658">
        <f>IFERROR(__xludf.DUMMYFUNCTION("""COMPUTED_VALUE"""),9.0)</f>
        <v>9</v>
      </c>
      <c r="B1658" s="406">
        <f>IFERROR(__xludf.DUMMYFUNCTION("""COMPUTED_VALUE"""),29039.0)</f>
        <v>29039</v>
      </c>
      <c r="C1658" t="str">
        <f>IFERROR(__xludf.DUMMYFUNCTION("""COMPUTED_VALUE"""),"ESPINOSA ABAD, GREGORIO")</f>
        <v>ESPINOSA ABAD, GREGORIO</v>
      </c>
      <c r="D1658" t="str">
        <f>IFERROR(__xludf.DUMMYFUNCTION("""COMPUTED_VALUE"""),"Biology 9")</f>
        <v>Biology 9</v>
      </c>
      <c r="E1658" s="3">
        <f>IFERROR(__xludf.DUMMYFUNCTION("""COMPUTED_VALUE"""),3.0)</f>
        <v>3</v>
      </c>
      <c r="F1658" s="300">
        <v>1.0</v>
      </c>
      <c r="G1658" s="300">
        <v>1.0</v>
      </c>
      <c r="H1658" s="300">
        <v>1.0</v>
      </c>
      <c r="I1658" s="300">
        <v>1.0</v>
      </c>
      <c r="J1658" s="300">
        <v>1.0</v>
      </c>
      <c r="K1658" s="300">
        <v>1.0</v>
      </c>
      <c r="L1658" s="300">
        <v>1.0</v>
      </c>
      <c r="M1658" s="300">
        <v>1.0</v>
      </c>
      <c r="N1658" s="300">
        <v>8.0</v>
      </c>
      <c r="O1658" s="300" t="s">
        <v>870</v>
      </c>
      <c r="P1658" s="300">
        <v>7.0</v>
      </c>
    </row>
    <row r="1659">
      <c r="A1659">
        <f>IFERROR(__xludf.DUMMYFUNCTION("""COMPUTED_VALUE"""),9.0)</f>
        <v>9</v>
      </c>
      <c r="B1659" s="406">
        <f>IFERROR(__xludf.DUMMYFUNCTION("""COMPUTED_VALUE"""),29116.0)</f>
        <v>29116</v>
      </c>
      <c r="C1659" t="str">
        <f>IFERROR(__xludf.DUMMYFUNCTION("""COMPUTED_VALUE"""),"TOBAR MEJIA, CAMILO")</f>
        <v>TOBAR MEJIA, CAMILO</v>
      </c>
      <c r="D1659" t="str">
        <f>IFERROR(__xludf.DUMMYFUNCTION("""COMPUTED_VALUE"""),"Biology 9")</f>
        <v>Biology 9</v>
      </c>
      <c r="E1659" s="3">
        <f>IFERROR(__xludf.DUMMYFUNCTION("""COMPUTED_VALUE"""),2.0)</f>
        <v>2</v>
      </c>
      <c r="F1659" s="300">
        <v>1.0</v>
      </c>
      <c r="G1659" s="300">
        <v>1.0</v>
      </c>
      <c r="H1659" s="300">
        <v>1.0</v>
      </c>
      <c r="I1659" s="300">
        <v>1.0</v>
      </c>
      <c r="J1659" s="300">
        <v>1.0</v>
      </c>
      <c r="K1659" s="300">
        <v>1.0</v>
      </c>
      <c r="L1659" s="300">
        <v>1.0</v>
      </c>
      <c r="M1659" s="300">
        <v>1.0</v>
      </c>
      <c r="N1659" s="300">
        <v>8.0</v>
      </c>
      <c r="O1659" s="300" t="s">
        <v>872</v>
      </c>
      <c r="P1659" s="300">
        <v>7.0</v>
      </c>
    </row>
    <row r="1660">
      <c r="A1660">
        <f>IFERROR(__xludf.DUMMYFUNCTION("""COMPUTED_VALUE"""),9.0)</f>
        <v>9</v>
      </c>
      <c r="B1660" s="406">
        <f>IFERROR(__xludf.DUMMYFUNCTION("""COMPUTED_VALUE"""),29137.0)</f>
        <v>29137</v>
      </c>
      <c r="C1660" t="str">
        <f>IFERROR(__xludf.DUMMYFUNCTION("""COMPUTED_VALUE"""),"OLARTE JARAMILLO, EMILIO")</f>
        <v>OLARTE JARAMILLO, EMILIO</v>
      </c>
      <c r="D1660" t="str">
        <f>IFERROR(__xludf.DUMMYFUNCTION("""COMPUTED_VALUE"""),"Biology 9")</f>
        <v>Biology 9</v>
      </c>
      <c r="E1660" s="3">
        <f>IFERROR(__xludf.DUMMYFUNCTION("""COMPUTED_VALUE"""),7.0)</f>
        <v>7</v>
      </c>
      <c r="F1660" s="300">
        <v>1.0</v>
      </c>
      <c r="G1660" s="300">
        <v>1.0</v>
      </c>
      <c r="H1660" s="300">
        <v>1.0</v>
      </c>
      <c r="I1660" s="300">
        <v>1.0</v>
      </c>
      <c r="J1660" s="300">
        <v>1.0</v>
      </c>
      <c r="K1660" s="300">
        <v>1.0</v>
      </c>
      <c r="L1660" s="300">
        <v>1.0</v>
      </c>
      <c r="M1660" s="300">
        <v>1.0</v>
      </c>
      <c r="N1660" s="300">
        <v>8.0</v>
      </c>
      <c r="O1660" s="300" t="s">
        <v>867</v>
      </c>
      <c r="P1660" s="300">
        <v>7.0</v>
      </c>
    </row>
    <row r="1661">
      <c r="A1661">
        <f>IFERROR(__xludf.DUMMYFUNCTION("""COMPUTED_VALUE"""),9.0)</f>
        <v>9</v>
      </c>
      <c r="B1661" s="406">
        <f>IFERROR(__xludf.DUMMYFUNCTION("""COMPUTED_VALUE"""),29172.0)</f>
        <v>29172</v>
      </c>
      <c r="C1661" t="str">
        <f>IFERROR(__xludf.DUMMYFUNCTION("""COMPUTED_VALUE"""),"CESPEDES GARCIA, PABLO")</f>
        <v>CESPEDES GARCIA, PABLO</v>
      </c>
      <c r="D1661" t="str">
        <f>IFERROR(__xludf.DUMMYFUNCTION("""COMPUTED_VALUE"""),"Biology 9")</f>
        <v>Biology 9</v>
      </c>
      <c r="E1661" s="3">
        <f>IFERROR(__xludf.DUMMYFUNCTION("""COMPUTED_VALUE"""),4.0)</f>
        <v>4</v>
      </c>
      <c r="F1661" s="300">
        <v>1.0</v>
      </c>
      <c r="G1661" s="300">
        <v>1.0</v>
      </c>
      <c r="H1661" s="300">
        <v>1.0</v>
      </c>
      <c r="I1661" s="300">
        <v>1.0</v>
      </c>
      <c r="J1661" s="300">
        <v>1.0</v>
      </c>
      <c r="K1661" s="300">
        <v>1.0</v>
      </c>
      <c r="L1661" s="300">
        <v>1.0</v>
      </c>
      <c r="M1661" s="300">
        <v>1.0</v>
      </c>
      <c r="N1661" s="300">
        <v>8.0</v>
      </c>
      <c r="O1661" s="300" t="s">
        <v>868</v>
      </c>
      <c r="P1661" s="300">
        <v>7.0</v>
      </c>
    </row>
    <row r="1662">
      <c r="A1662">
        <f>IFERROR(__xludf.DUMMYFUNCTION("""COMPUTED_VALUE"""),9.0)</f>
        <v>9</v>
      </c>
      <c r="B1662" s="406">
        <f>IFERROR(__xludf.DUMMYFUNCTION("""COMPUTED_VALUE"""),29020.0)</f>
        <v>29020</v>
      </c>
      <c r="C1662" t="str">
        <f>IFERROR(__xludf.DUMMYFUNCTION("""COMPUTED_VALUE"""),"BETANCOURT QUINTERO, LUCAS")</f>
        <v>BETANCOURT QUINTERO, LUCAS</v>
      </c>
      <c r="D1662" t="str">
        <f>IFERROR(__xludf.DUMMYFUNCTION("""COMPUTED_VALUE"""),"Biology 9")</f>
        <v>Biology 9</v>
      </c>
      <c r="E1662" s="3">
        <f>IFERROR(__xludf.DUMMYFUNCTION("""COMPUTED_VALUE"""),2.0)</f>
        <v>2</v>
      </c>
      <c r="F1662" s="300">
        <v>1.0</v>
      </c>
      <c r="G1662" s="300">
        <v>1.0</v>
      </c>
      <c r="H1662" s="300">
        <v>1.0</v>
      </c>
      <c r="I1662" s="300">
        <v>1.0</v>
      </c>
      <c r="J1662" s="300">
        <v>1.0</v>
      </c>
      <c r="K1662" s="300">
        <v>1.0</v>
      </c>
      <c r="L1662" s="300">
        <v>1.0</v>
      </c>
      <c r="M1662" s="300">
        <v>1.0</v>
      </c>
      <c r="N1662" s="300">
        <v>8.0</v>
      </c>
      <c r="O1662" s="300" t="s">
        <v>872</v>
      </c>
      <c r="P1662" s="300">
        <v>7.0</v>
      </c>
    </row>
    <row r="1663">
      <c r="A1663">
        <f>IFERROR(__xludf.DUMMYFUNCTION("""COMPUTED_VALUE"""),9.0)</f>
        <v>9</v>
      </c>
      <c r="B1663" s="406">
        <f>IFERROR(__xludf.DUMMYFUNCTION("""COMPUTED_VALUE"""),29069.0)</f>
        <v>29069</v>
      </c>
      <c r="C1663" t="str">
        <f>IFERROR(__xludf.DUMMYFUNCTION("""COMPUTED_VALUE"""),"LUNA ALZATE, AMALIA")</f>
        <v>LUNA ALZATE, AMALIA</v>
      </c>
      <c r="D1663" t="str">
        <f>IFERROR(__xludf.DUMMYFUNCTION("""COMPUTED_VALUE"""),"Biology 9")</f>
        <v>Biology 9</v>
      </c>
      <c r="E1663" s="3">
        <f>IFERROR(__xludf.DUMMYFUNCTION("""COMPUTED_VALUE"""),2.0)</f>
        <v>2</v>
      </c>
      <c r="F1663" s="300">
        <v>1.0</v>
      </c>
      <c r="G1663" s="300">
        <v>1.0</v>
      </c>
      <c r="H1663" s="300">
        <v>1.0</v>
      </c>
      <c r="I1663" s="300">
        <v>1.0</v>
      </c>
      <c r="J1663" s="300">
        <v>1.0</v>
      </c>
      <c r="K1663" s="300">
        <v>1.0</v>
      </c>
      <c r="L1663" s="300">
        <v>1.0</v>
      </c>
      <c r="M1663" s="300">
        <v>1.0</v>
      </c>
      <c r="N1663" s="300">
        <v>8.0</v>
      </c>
      <c r="O1663" s="300" t="s">
        <v>872</v>
      </c>
      <c r="P1663" s="300">
        <v>7.0</v>
      </c>
    </row>
    <row r="1664">
      <c r="A1664">
        <f>IFERROR(__xludf.DUMMYFUNCTION("""COMPUTED_VALUE"""),9.0)</f>
        <v>9</v>
      </c>
      <c r="B1664" s="406">
        <f>IFERROR(__xludf.DUMMYFUNCTION("""COMPUTED_VALUE"""),29160.0)</f>
        <v>29160</v>
      </c>
      <c r="C1664" t="str">
        <f>IFERROR(__xludf.DUMMYFUNCTION("""COMPUTED_VALUE"""),"BARRIOS CASTILLO, NICOLAS GUILLERMO")</f>
        <v>BARRIOS CASTILLO, NICOLAS GUILLERMO</v>
      </c>
      <c r="D1664" t="str">
        <f>IFERROR(__xludf.DUMMYFUNCTION("""COMPUTED_VALUE"""),"Biology 9")</f>
        <v>Biology 9</v>
      </c>
      <c r="E1664" s="3">
        <f>IFERROR(__xludf.DUMMYFUNCTION("""COMPUTED_VALUE"""),6.0)</f>
        <v>6</v>
      </c>
      <c r="F1664" s="300">
        <v>1.0</v>
      </c>
      <c r="G1664" s="300">
        <v>1.0</v>
      </c>
      <c r="H1664" s="300">
        <v>1.0</v>
      </c>
      <c r="I1664" s="300">
        <v>1.0</v>
      </c>
      <c r="J1664" s="300">
        <v>1.0</v>
      </c>
      <c r="K1664" s="300">
        <v>1.0</v>
      </c>
      <c r="L1664" s="300">
        <v>1.0</v>
      </c>
      <c r="M1664" s="300">
        <v>1.0</v>
      </c>
      <c r="N1664" s="300">
        <v>8.0</v>
      </c>
      <c r="O1664" s="300" t="s">
        <v>866</v>
      </c>
      <c r="P1664" s="300">
        <v>7.0</v>
      </c>
    </row>
    <row r="1665">
      <c r="A1665">
        <f>IFERROR(__xludf.DUMMYFUNCTION("""COMPUTED_VALUE"""),9.0)</f>
        <v>9</v>
      </c>
      <c r="B1665" s="406">
        <f>IFERROR(__xludf.DUMMYFUNCTION("""COMPUTED_VALUE"""),29155.0)</f>
        <v>29155</v>
      </c>
      <c r="C1665" t="str">
        <f>IFERROR(__xludf.DUMMYFUNCTION("""COMPUTED_VALUE"""),"FERNANDEZ CALDERON, HANNA")</f>
        <v>FERNANDEZ CALDERON, HANNA</v>
      </c>
      <c r="D1665" t="str">
        <f>IFERROR(__xludf.DUMMYFUNCTION("""COMPUTED_VALUE"""),"Biology 9")</f>
        <v>Biology 9</v>
      </c>
      <c r="E1665" s="3">
        <f>IFERROR(__xludf.DUMMYFUNCTION("""COMPUTED_VALUE"""),1.0)</f>
        <v>1</v>
      </c>
      <c r="F1665" s="300">
        <v>1.0</v>
      </c>
      <c r="G1665" s="300">
        <v>1.0</v>
      </c>
      <c r="H1665" s="300">
        <v>1.0</v>
      </c>
      <c r="I1665" s="300">
        <v>1.0</v>
      </c>
      <c r="J1665" s="300">
        <v>1.0</v>
      </c>
      <c r="K1665" s="300">
        <v>1.0</v>
      </c>
      <c r="L1665" s="300">
        <v>1.0</v>
      </c>
      <c r="M1665" s="300">
        <v>1.0</v>
      </c>
      <c r="N1665" s="300">
        <v>8.0</v>
      </c>
      <c r="O1665" s="300" t="s">
        <v>869</v>
      </c>
      <c r="P1665" s="300">
        <v>7.0</v>
      </c>
    </row>
    <row r="1666">
      <c r="A1666">
        <f>IFERROR(__xludf.DUMMYFUNCTION("""COMPUTED_VALUE"""),9.0)</f>
        <v>9</v>
      </c>
      <c r="B1666" s="406">
        <f>IFERROR(__xludf.DUMMYFUNCTION("""COMPUTED_VALUE"""),29153.0)</f>
        <v>29153</v>
      </c>
      <c r="C1666" t="str">
        <f>IFERROR(__xludf.DUMMYFUNCTION("""COMPUTED_VALUE"""),"MISERENDINO MUÑOZ, GABRIEL")</f>
        <v>MISERENDINO MUÑOZ, GABRIEL</v>
      </c>
      <c r="D1666" t="str">
        <f>IFERROR(__xludf.DUMMYFUNCTION("""COMPUTED_VALUE"""),"Biology 9")</f>
        <v>Biology 9</v>
      </c>
      <c r="E1666" s="3">
        <f>IFERROR(__xludf.DUMMYFUNCTION("""COMPUTED_VALUE"""),6.0)</f>
        <v>6</v>
      </c>
      <c r="F1666" s="300">
        <v>1.0</v>
      </c>
      <c r="G1666" s="300">
        <v>1.0</v>
      </c>
      <c r="H1666" s="300">
        <v>1.0</v>
      </c>
      <c r="I1666" s="300">
        <v>1.0</v>
      </c>
      <c r="J1666" s="300">
        <v>1.0</v>
      </c>
      <c r="K1666" s="300">
        <v>1.0</v>
      </c>
      <c r="L1666" s="300">
        <v>1.0</v>
      </c>
      <c r="M1666" s="300">
        <v>1.0</v>
      </c>
      <c r="N1666" s="300">
        <v>8.0</v>
      </c>
      <c r="O1666" s="300" t="s">
        <v>866</v>
      </c>
      <c r="P1666" s="300">
        <v>7.0</v>
      </c>
    </row>
    <row r="1667">
      <c r="A1667">
        <f>IFERROR(__xludf.DUMMYFUNCTION("""COMPUTED_VALUE"""),9.0)</f>
        <v>9</v>
      </c>
      <c r="B1667" s="406">
        <f>IFERROR(__xludf.DUMMYFUNCTION("""COMPUTED_VALUE"""),29030.0)</f>
        <v>29030</v>
      </c>
      <c r="C1667" t="str">
        <f>IFERROR(__xludf.DUMMYFUNCTION("""COMPUTED_VALUE"""),"COCK ECHEVERRI, JULIETA")</f>
        <v>COCK ECHEVERRI, JULIETA</v>
      </c>
      <c r="D1667" t="str">
        <f>IFERROR(__xludf.DUMMYFUNCTION("""COMPUTED_VALUE"""),"Biology 9")</f>
        <v>Biology 9</v>
      </c>
      <c r="E1667" s="3">
        <f>IFERROR(__xludf.DUMMYFUNCTION("""COMPUTED_VALUE"""),3.0)</f>
        <v>3</v>
      </c>
      <c r="F1667" s="300">
        <v>1.0</v>
      </c>
      <c r="G1667" s="300">
        <v>1.0</v>
      </c>
      <c r="H1667" s="300">
        <v>1.0</v>
      </c>
      <c r="I1667" s="300">
        <v>1.0</v>
      </c>
      <c r="J1667" s="300">
        <v>1.0</v>
      </c>
      <c r="K1667" s="300">
        <v>1.0</v>
      </c>
      <c r="L1667" s="300">
        <v>1.0</v>
      </c>
      <c r="M1667" s="300">
        <v>1.0</v>
      </c>
      <c r="N1667" s="300">
        <v>8.0</v>
      </c>
      <c r="O1667" s="300" t="s">
        <v>870</v>
      </c>
      <c r="P1667" s="300">
        <v>7.0</v>
      </c>
    </row>
    <row r="1668">
      <c r="A1668">
        <f>IFERROR(__xludf.DUMMYFUNCTION("""COMPUTED_VALUE"""),9.0)</f>
        <v>9</v>
      </c>
      <c r="B1668" s="406">
        <f>IFERROR(__xludf.DUMMYFUNCTION("""COMPUTED_VALUE"""),29108.0)</f>
        <v>29108</v>
      </c>
      <c r="C1668" t="str">
        <f>IFERROR(__xludf.DUMMYFUNCTION("""COMPUTED_VALUE"""),"SCHOBER OCAMPO, DANIEL")</f>
        <v>SCHOBER OCAMPO, DANIEL</v>
      </c>
      <c r="D1668" t="str">
        <f>IFERROR(__xludf.DUMMYFUNCTION("""COMPUTED_VALUE"""),"Biology 9")</f>
        <v>Biology 9</v>
      </c>
      <c r="E1668" s="3">
        <f>IFERROR(__xludf.DUMMYFUNCTION("""COMPUTED_VALUE"""),6.0)</f>
        <v>6</v>
      </c>
      <c r="F1668" s="300">
        <v>1.0</v>
      </c>
      <c r="G1668" s="300">
        <v>1.0</v>
      </c>
      <c r="H1668" s="300">
        <v>1.0</v>
      </c>
      <c r="I1668" s="300">
        <v>1.0</v>
      </c>
      <c r="J1668" s="300">
        <v>1.0</v>
      </c>
      <c r="K1668" s="300">
        <v>1.0</v>
      </c>
      <c r="L1668" s="300">
        <v>1.0</v>
      </c>
      <c r="M1668" s="300">
        <v>1.0</v>
      </c>
      <c r="N1668" s="300">
        <v>8.0</v>
      </c>
      <c r="O1668" s="300" t="s">
        <v>866</v>
      </c>
      <c r="P1668" s="300">
        <v>7.0</v>
      </c>
    </row>
    <row r="1669">
      <c r="A1669">
        <f>IFERROR(__xludf.DUMMYFUNCTION("""COMPUTED_VALUE"""),9.0)</f>
        <v>9</v>
      </c>
      <c r="B1669" s="406">
        <f>IFERROR(__xludf.DUMMYFUNCTION("""COMPUTED_VALUE"""),29062.0)</f>
        <v>29062</v>
      </c>
      <c r="C1669" t="str">
        <f>IFERROR(__xludf.DUMMYFUNCTION("""COMPUTED_VALUE"""),"KIM LEE, SAE YOON LUCAS")</f>
        <v>KIM LEE, SAE YOON LUCAS</v>
      </c>
      <c r="D1669" t="str">
        <f>IFERROR(__xludf.DUMMYFUNCTION("""COMPUTED_VALUE"""),"Biology 9")</f>
        <v>Biology 9</v>
      </c>
      <c r="E1669" s="3">
        <f>IFERROR(__xludf.DUMMYFUNCTION("""COMPUTED_VALUE"""),1.0)</f>
        <v>1</v>
      </c>
      <c r="F1669" s="300">
        <v>1.0</v>
      </c>
      <c r="G1669" s="300">
        <v>1.0</v>
      </c>
      <c r="H1669" s="300">
        <v>1.0</v>
      </c>
      <c r="I1669" s="300">
        <v>1.0</v>
      </c>
      <c r="J1669" s="300">
        <v>1.0</v>
      </c>
      <c r="K1669" s="300">
        <v>1.0</v>
      </c>
      <c r="L1669" s="300">
        <v>1.0</v>
      </c>
      <c r="M1669" s="300">
        <v>1.0</v>
      </c>
      <c r="N1669" s="300">
        <v>8.0</v>
      </c>
      <c r="O1669" s="300" t="s">
        <v>869</v>
      </c>
      <c r="P1669" s="300">
        <v>7.0</v>
      </c>
    </row>
    <row r="1670">
      <c r="A1670">
        <f>IFERROR(__xludf.DUMMYFUNCTION("""COMPUTED_VALUE"""),9.0)</f>
        <v>9</v>
      </c>
      <c r="B1670" s="406">
        <f>IFERROR(__xludf.DUMMYFUNCTION("""COMPUTED_VALUE"""),29115.0)</f>
        <v>29115</v>
      </c>
      <c r="C1670" t="str">
        <f>IFERROR(__xludf.DUMMYFUNCTION("""COMPUTED_VALUE"""),"TIRADO SANIN, ELENA")</f>
        <v>TIRADO SANIN, ELENA</v>
      </c>
      <c r="D1670" t="str">
        <f>IFERROR(__xludf.DUMMYFUNCTION("""COMPUTED_VALUE"""),"Biology 9")</f>
        <v>Biology 9</v>
      </c>
      <c r="E1670" s="3">
        <f>IFERROR(__xludf.DUMMYFUNCTION("""COMPUTED_VALUE"""),5.0)</f>
        <v>5</v>
      </c>
      <c r="F1670" s="300">
        <v>1.0</v>
      </c>
      <c r="G1670" s="300">
        <v>1.0</v>
      </c>
      <c r="H1670" s="300">
        <v>1.0</v>
      </c>
      <c r="I1670" s="300">
        <v>1.0</v>
      </c>
      <c r="J1670" s="300">
        <v>1.0</v>
      </c>
      <c r="K1670" s="300">
        <v>1.0</v>
      </c>
      <c r="L1670" s="300">
        <v>1.0</v>
      </c>
      <c r="M1670" s="300">
        <v>1.0</v>
      </c>
      <c r="N1670" s="300">
        <v>8.0</v>
      </c>
      <c r="O1670" s="300" t="s">
        <v>871</v>
      </c>
      <c r="P1670" s="300">
        <v>7.0</v>
      </c>
    </row>
    <row r="1671">
      <c r="A1671">
        <f>IFERROR(__xludf.DUMMYFUNCTION("""COMPUTED_VALUE"""),9.0)</f>
        <v>9</v>
      </c>
      <c r="B1671" s="406">
        <f>IFERROR(__xludf.DUMMYFUNCTION("""COMPUTED_VALUE"""),29018.0)</f>
        <v>29018</v>
      </c>
      <c r="C1671" t="str">
        <f>IFERROR(__xludf.DUMMYFUNCTION("""COMPUTED_VALUE"""),"BAENA GIRALDO, VIOLETA")</f>
        <v>BAENA GIRALDO, VIOLETA</v>
      </c>
      <c r="D1671" t="str">
        <f>IFERROR(__xludf.DUMMYFUNCTION("""COMPUTED_VALUE"""),"Biology 9")</f>
        <v>Biology 9</v>
      </c>
      <c r="E1671" s="3">
        <f>IFERROR(__xludf.DUMMYFUNCTION("""COMPUTED_VALUE"""),1.0)</f>
        <v>1</v>
      </c>
      <c r="F1671" s="300">
        <v>1.0</v>
      </c>
      <c r="G1671" s="300">
        <v>1.0</v>
      </c>
      <c r="H1671" s="300">
        <v>1.0</v>
      </c>
      <c r="I1671" s="300">
        <v>1.0</v>
      </c>
      <c r="J1671" s="300">
        <v>1.0</v>
      </c>
      <c r="K1671" s="300">
        <v>1.0</v>
      </c>
      <c r="L1671" s="300">
        <v>1.0</v>
      </c>
      <c r="M1671" s="300">
        <v>1.0</v>
      </c>
      <c r="N1671" s="300">
        <v>8.0</v>
      </c>
      <c r="O1671" s="300" t="s">
        <v>869</v>
      </c>
      <c r="P1671" s="300">
        <v>7.0</v>
      </c>
    </row>
    <row r="1672">
      <c r="A1672">
        <f>IFERROR(__xludf.DUMMYFUNCTION("""COMPUTED_VALUE"""),9.0)</f>
        <v>9</v>
      </c>
      <c r="B1672" s="406">
        <f>IFERROR(__xludf.DUMMYFUNCTION("""COMPUTED_VALUE"""),29122.0)</f>
        <v>29122</v>
      </c>
      <c r="C1672" t="str">
        <f>IFERROR(__xludf.DUMMYFUNCTION("""COMPUTED_VALUE"""),"URIBE RODRIGUEZ, MARIA LUISA")</f>
        <v>URIBE RODRIGUEZ, MARIA LUISA</v>
      </c>
      <c r="D1672" t="str">
        <f>IFERROR(__xludf.DUMMYFUNCTION("""COMPUTED_VALUE"""),"Biology 9")</f>
        <v>Biology 9</v>
      </c>
      <c r="E1672" s="3">
        <f>IFERROR(__xludf.DUMMYFUNCTION("""COMPUTED_VALUE"""),1.0)</f>
        <v>1</v>
      </c>
      <c r="F1672" s="300">
        <v>1.0</v>
      </c>
      <c r="G1672" s="300">
        <v>1.0</v>
      </c>
      <c r="H1672" s="300">
        <v>1.0</v>
      </c>
      <c r="I1672" s="300">
        <v>1.0</v>
      </c>
      <c r="J1672" s="300">
        <v>1.0</v>
      </c>
      <c r="K1672" s="300">
        <v>1.0</v>
      </c>
      <c r="L1672" s="300">
        <v>1.0</v>
      </c>
      <c r="M1672" s="300">
        <v>1.0</v>
      </c>
      <c r="N1672" s="300">
        <v>8.0</v>
      </c>
      <c r="O1672" s="300" t="s">
        <v>869</v>
      </c>
      <c r="P1672" s="300">
        <v>7.0</v>
      </c>
    </row>
    <row r="1673">
      <c r="A1673">
        <f>IFERROR(__xludf.DUMMYFUNCTION("""COMPUTED_VALUE"""),9.0)</f>
        <v>9</v>
      </c>
      <c r="B1673" s="406">
        <f>IFERROR(__xludf.DUMMYFUNCTION("""COMPUTED_VALUE"""),29128.0)</f>
        <v>29128</v>
      </c>
      <c r="C1673" t="str">
        <f>IFERROR(__xludf.DUMMYFUNCTION("""COMPUTED_VALUE"""),"VELASQUEZ JARAMILLO, MARIA")</f>
        <v>VELASQUEZ JARAMILLO, MARIA</v>
      </c>
      <c r="D1673" t="str">
        <f>IFERROR(__xludf.DUMMYFUNCTION("""COMPUTED_VALUE"""),"Biology 9")</f>
        <v>Biology 9</v>
      </c>
      <c r="E1673" s="3">
        <f>IFERROR(__xludf.DUMMYFUNCTION("""COMPUTED_VALUE"""),1.0)</f>
        <v>1</v>
      </c>
      <c r="F1673" s="300">
        <v>1.0</v>
      </c>
      <c r="G1673" s="300">
        <v>1.0</v>
      </c>
      <c r="H1673" s="300">
        <v>1.0</v>
      </c>
      <c r="I1673" s="300">
        <v>1.0</v>
      </c>
      <c r="J1673" s="300">
        <v>1.0</v>
      </c>
      <c r="K1673" s="300">
        <v>1.0</v>
      </c>
      <c r="L1673" s="300">
        <v>1.0</v>
      </c>
      <c r="M1673" s="300">
        <v>1.0</v>
      </c>
      <c r="N1673" s="300">
        <v>8.0</v>
      </c>
      <c r="O1673" s="300" t="s">
        <v>869</v>
      </c>
      <c r="P1673" s="300">
        <v>7.0</v>
      </c>
    </row>
    <row r="1674">
      <c r="A1674">
        <f>IFERROR(__xludf.DUMMYFUNCTION("""COMPUTED_VALUE"""),9.0)</f>
        <v>9</v>
      </c>
      <c r="B1674" s="406">
        <f>IFERROR(__xludf.DUMMYFUNCTION("""COMPUTED_VALUE"""),29049.0)</f>
        <v>29049</v>
      </c>
      <c r="C1674" t="str">
        <f>IFERROR(__xludf.DUMMYFUNCTION("""COMPUTED_VALUE"""),"HINESTROSA SIERRA, MIGUEL")</f>
        <v>HINESTROSA SIERRA, MIGUEL</v>
      </c>
      <c r="D1674" t="str">
        <f>IFERROR(__xludf.DUMMYFUNCTION("""COMPUTED_VALUE"""),"Biology 9")</f>
        <v>Biology 9</v>
      </c>
      <c r="E1674" s="3">
        <f>IFERROR(__xludf.DUMMYFUNCTION("""COMPUTED_VALUE"""),7.0)</f>
        <v>7</v>
      </c>
      <c r="F1674" s="300">
        <v>1.0</v>
      </c>
      <c r="G1674" s="300">
        <v>1.0</v>
      </c>
      <c r="H1674" s="300">
        <v>1.0</v>
      </c>
      <c r="I1674" s="300">
        <v>1.0</v>
      </c>
      <c r="J1674" s="300">
        <v>1.0</v>
      </c>
      <c r="K1674" s="300">
        <v>1.0</v>
      </c>
      <c r="L1674" s="300">
        <v>1.0</v>
      </c>
      <c r="M1674" s="300">
        <v>1.0</v>
      </c>
      <c r="N1674" s="300">
        <v>8.0</v>
      </c>
      <c r="O1674" s="300" t="s">
        <v>867</v>
      </c>
      <c r="P1674" s="300">
        <v>7.0</v>
      </c>
    </row>
    <row r="1675">
      <c r="A1675">
        <f>IFERROR(__xludf.DUMMYFUNCTION("""COMPUTED_VALUE"""),9.0)</f>
        <v>9</v>
      </c>
      <c r="B1675" s="406">
        <f>IFERROR(__xludf.DUMMYFUNCTION("""COMPUTED_VALUE"""),29118.0)</f>
        <v>29118</v>
      </c>
      <c r="C1675" t="str">
        <f>IFERROR(__xludf.DUMMYFUNCTION("""COMPUTED_VALUE"""),"TRUJILLO RUIZ, SAMUEL")</f>
        <v>TRUJILLO RUIZ, SAMUEL</v>
      </c>
      <c r="D1675" t="str">
        <f>IFERROR(__xludf.DUMMYFUNCTION("""COMPUTED_VALUE"""),"Biology 9")</f>
        <v>Biology 9</v>
      </c>
      <c r="E1675" s="3">
        <f>IFERROR(__xludf.DUMMYFUNCTION("""COMPUTED_VALUE"""),4.0)</f>
        <v>4</v>
      </c>
      <c r="F1675" s="300">
        <v>1.0</v>
      </c>
      <c r="G1675" s="300">
        <v>1.0</v>
      </c>
      <c r="H1675" s="300">
        <v>1.0</v>
      </c>
      <c r="I1675" s="300">
        <v>1.0</v>
      </c>
      <c r="J1675" s="300">
        <v>1.0</v>
      </c>
      <c r="K1675" s="300">
        <v>1.0</v>
      </c>
      <c r="L1675" s="300">
        <v>1.0</v>
      </c>
      <c r="M1675" s="300">
        <v>1.0</v>
      </c>
      <c r="N1675" s="300">
        <v>8.0</v>
      </c>
      <c r="O1675" s="300" t="s">
        <v>868</v>
      </c>
      <c r="P1675" s="300">
        <v>7.0</v>
      </c>
    </row>
    <row r="1676">
      <c r="A1676">
        <f>IFERROR(__xludf.DUMMYFUNCTION("""COMPUTED_VALUE"""),9.0)</f>
        <v>9</v>
      </c>
      <c r="B1676" s="406">
        <f>IFERROR(__xludf.DUMMYFUNCTION("""COMPUTED_VALUE"""),29096.0)</f>
        <v>29096</v>
      </c>
      <c r="C1676" t="str">
        <f>IFERROR(__xludf.DUMMYFUNCTION("""COMPUTED_VALUE"""),"RAMIREZ PELAEZ, ANTONIA")</f>
        <v>RAMIREZ PELAEZ, ANTONIA</v>
      </c>
      <c r="D1676" t="str">
        <f>IFERROR(__xludf.DUMMYFUNCTION("""COMPUTED_VALUE"""),"Biology 9")</f>
        <v>Biology 9</v>
      </c>
      <c r="E1676" s="3">
        <f>IFERROR(__xludf.DUMMYFUNCTION("""COMPUTED_VALUE"""),3.0)</f>
        <v>3</v>
      </c>
      <c r="F1676" s="300">
        <v>1.0</v>
      </c>
      <c r="G1676" s="300">
        <v>1.0</v>
      </c>
      <c r="H1676" s="300">
        <v>1.0</v>
      </c>
      <c r="I1676" s="300">
        <v>1.0</v>
      </c>
      <c r="J1676" s="300">
        <v>1.0</v>
      </c>
      <c r="K1676" s="300">
        <v>1.0</v>
      </c>
      <c r="L1676" s="300">
        <v>1.0</v>
      </c>
      <c r="M1676" s="300">
        <v>1.0</v>
      </c>
      <c r="N1676" s="300">
        <v>8.0</v>
      </c>
      <c r="O1676" s="300" t="s">
        <v>870</v>
      </c>
      <c r="P1676" s="300">
        <v>7.0</v>
      </c>
    </row>
    <row r="1677">
      <c r="A1677">
        <f>IFERROR(__xludf.DUMMYFUNCTION("""COMPUTED_VALUE"""),9.0)</f>
        <v>9</v>
      </c>
      <c r="B1677" s="406">
        <f>IFERROR(__xludf.DUMMYFUNCTION("""COMPUTED_VALUE"""),29119.0)</f>
        <v>29119</v>
      </c>
      <c r="C1677" t="str">
        <f>IFERROR(__xludf.DUMMYFUNCTION("""COMPUTED_VALUE"""),"TRUJILLO RUIZ, SARA")</f>
        <v>TRUJILLO RUIZ, SARA</v>
      </c>
      <c r="D1677" t="str">
        <f>IFERROR(__xludf.DUMMYFUNCTION("""COMPUTED_VALUE"""),"Biology 9")</f>
        <v>Biology 9</v>
      </c>
      <c r="E1677" s="3">
        <f>IFERROR(__xludf.DUMMYFUNCTION("""COMPUTED_VALUE"""),2.0)</f>
        <v>2</v>
      </c>
      <c r="F1677" s="300">
        <v>1.0</v>
      </c>
      <c r="G1677" s="300">
        <v>1.0</v>
      </c>
      <c r="H1677" s="300">
        <v>1.0</v>
      </c>
      <c r="I1677" s="300">
        <v>1.0</v>
      </c>
      <c r="J1677" s="300">
        <v>1.0</v>
      </c>
      <c r="K1677" s="300">
        <v>1.0</v>
      </c>
      <c r="L1677" s="300">
        <v>1.0</v>
      </c>
      <c r="M1677" s="300">
        <v>1.0</v>
      </c>
      <c r="N1677" s="300">
        <v>8.0</v>
      </c>
      <c r="O1677" s="300" t="s">
        <v>872</v>
      </c>
      <c r="P1677" s="300">
        <v>7.0</v>
      </c>
    </row>
    <row r="1678">
      <c r="A1678">
        <f>IFERROR(__xludf.DUMMYFUNCTION("""COMPUTED_VALUE"""),9.0)</f>
        <v>9</v>
      </c>
      <c r="B1678" s="406">
        <f>IFERROR(__xludf.DUMMYFUNCTION("""COMPUTED_VALUE"""),29097.0)</f>
        <v>29097</v>
      </c>
      <c r="C1678" t="str">
        <f>IFERROR(__xludf.DUMMYFUNCTION("""COMPUTED_VALUE"""),"RAMIREZ PELAEZ, ELENA")</f>
        <v>RAMIREZ PELAEZ, ELENA</v>
      </c>
      <c r="D1678" t="str">
        <f>IFERROR(__xludf.DUMMYFUNCTION("""COMPUTED_VALUE"""),"Biology 9")</f>
        <v>Biology 9</v>
      </c>
      <c r="E1678" s="3">
        <f>IFERROR(__xludf.DUMMYFUNCTION("""COMPUTED_VALUE"""),2.0)</f>
        <v>2</v>
      </c>
      <c r="F1678" s="300">
        <v>1.0</v>
      </c>
      <c r="G1678" s="300">
        <v>1.0</v>
      </c>
      <c r="H1678" s="300">
        <v>1.0</v>
      </c>
      <c r="I1678" s="300">
        <v>1.0</v>
      </c>
      <c r="J1678" s="300">
        <v>1.0</v>
      </c>
      <c r="K1678" s="300">
        <v>1.0</v>
      </c>
      <c r="L1678" s="300">
        <v>1.0</v>
      </c>
      <c r="M1678" s="300">
        <v>1.0</v>
      </c>
      <c r="N1678" s="300">
        <v>8.0</v>
      </c>
      <c r="O1678" s="300" t="s">
        <v>872</v>
      </c>
      <c r="P1678" s="300">
        <v>7.0</v>
      </c>
    </row>
    <row r="1679">
      <c r="A1679">
        <f>IFERROR(__xludf.DUMMYFUNCTION("""COMPUTED_VALUE"""),9.0)</f>
        <v>9</v>
      </c>
      <c r="B1679" s="406">
        <f>IFERROR(__xludf.DUMMYFUNCTION("""COMPUTED_VALUE"""),29169.0)</f>
        <v>29169</v>
      </c>
      <c r="C1679" t="str">
        <f>IFERROR(__xludf.DUMMYFUNCTION("""COMPUTED_VALUE"""),"REPETTO LARROSA, FAUSTINO")</f>
        <v>REPETTO LARROSA, FAUSTINO</v>
      </c>
      <c r="D1679" t="str">
        <f>IFERROR(__xludf.DUMMYFUNCTION("""COMPUTED_VALUE"""),"Biology 9")</f>
        <v>Biology 9</v>
      </c>
      <c r="E1679" s="3">
        <f>IFERROR(__xludf.DUMMYFUNCTION("""COMPUTED_VALUE"""),1.0)</f>
        <v>1</v>
      </c>
      <c r="F1679" s="300">
        <v>1.0</v>
      </c>
      <c r="G1679" s="300">
        <v>1.0</v>
      </c>
      <c r="H1679" s="300">
        <v>1.0</v>
      </c>
      <c r="I1679" s="300">
        <v>1.0</v>
      </c>
      <c r="J1679" s="300">
        <v>1.0</v>
      </c>
      <c r="K1679" s="300">
        <v>1.0</v>
      </c>
      <c r="L1679" s="300">
        <v>1.0</v>
      </c>
      <c r="M1679" s="300">
        <v>1.0</v>
      </c>
      <c r="N1679" s="300">
        <v>8.0</v>
      </c>
      <c r="O1679" s="300" t="s">
        <v>869</v>
      </c>
      <c r="P1679" s="300">
        <v>7.0</v>
      </c>
    </row>
    <row r="1680">
      <c r="A1680">
        <f>IFERROR(__xludf.DUMMYFUNCTION("""COMPUTED_VALUE"""),9.0)</f>
        <v>9</v>
      </c>
      <c r="B1680" s="406">
        <f>IFERROR(__xludf.DUMMYFUNCTION("""COMPUTED_VALUE"""),29156.0)</f>
        <v>29156</v>
      </c>
      <c r="C1680" t="str">
        <f>IFERROR(__xludf.DUMMYFUNCTION("""COMPUTED_VALUE"""),"FERNANDEZ CALDERON, TAMARA")</f>
        <v>FERNANDEZ CALDERON, TAMARA</v>
      </c>
      <c r="D1680" t="str">
        <f>IFERROR(__xludf.DUMMYFUNCTION("""COMPUTED_VALUE"""),"Biology 9")</f>
        <v>Biology 9</v>
      </c>
      <c r="E1680" s="3">
        <f>IFERROR(__xludf.DUMMYFUNCTION("""COMPUTED_VALUE"""),4.0)</f>
        <v>4</v>
      </c>
      <c r="F1680" s="300">
        <v>1.0</v>
      </c>
      <c r="G1680" s="300">
        <v>1.0</v>
      </c>
      <c r="H1680" s="300">
        <v>1.0</v>
      </c>
      <c r="I1680" s="300">
        <v>1.0</v>
      </c>
      <c r="J1680" s="300">
        <v>1.0</v>
      </c>
      <c r="K1680" s="300">
        <v>1.0</v>
      </c>
      <c r="L1680" s="300">
        <v>1.0</v>
      </c>
      <c r="M1680" s="300">
        <v>1.0</v>
      </c>
      <c r="N1680" s="300">
        <v>8.0</v>
      </c>
      <c r="O1680" s="300" t="s">
        <v>868</v>
      </c>
      <c r="P1680" s="300">
        <v>7.0</v>
      </c>
    </row>
    <row r="1681">
      <c r="A1681">
        <f>IFERROR(__xludf.DUMMYFUNCTION("""COMPUTED_VALUE"""),9.0)</f>
        <v>9</v>
      </c>
      <c r="B1681" s="406">
        <f>IFERROR(__xludf.DUMMYFUNCTION("""COMPUTED_VALUE"""),29035.0)</f>
        <v>29035</v>
      </c>
      <c r="C1681" t="str">
        <f>IFERROR(__xludf.DUMMYFUNCTION("""COMPUTED_VALUE"""),"DURAN CALAD, MIGUEL")</f>
        <v>DURAN CALAD, MIGUEL</v>
      </c>
      <c r="D1681" t="str">
        <f>IFERROR(__xludf.DUMMYFUNCTION("""COMPUTED_VALUE"""),"Biology 9")</f>
        <v>Biology 9</v>
      </c>
      <c r="E1681" s="3">
        <f>IFERROR(__xludf.DUMMYFUNCTION("""COMPUTED_VALUE"""),4.0)</f>
        <v>4</v>
      </c>
      <c r="F1681" s="300">
        <v>1.0</v>
      </c>
      <c r="G1681" s="300">
        <v>1.0</v>
      </c>
      <c r="H1681" s="300">
        <v>1.0</v>
      </c>
      <c r="I1681" s="300">
        <v>1.0</v>
      </c>
      <c r="J1681" s="300">
        <v>1.0</v>
      </c>
      <c r="K1681" s="300">
        <v>1.0</v>
      </c>
      <c r="L1681" s="300">
        <v>1.0</v>
      </c>
      <c r="M1681" s="300">
        <v>1.0</v>
      </c>
      <c r="N1681" s="300">
        <v>8.0</v>
      </c>
      <c r="O1681" s="300" t="s">
        <v>868</v>
      </c>
      <c r="P1681" s="300">
        <v>7.0</v>
      </c>
    </row>
    <row r="1682">
      <c r="A1682">
        <f>IFERROR(__xludf.DUMMYFUNCTION("""COMPUTED_VALUE"""),9.0)</f>
        <v>9</v>
      </c>
      <c r="B1682" s="406">
        <f>IFERROR(__xludf.DUMMYFUNCTION("""COMPUTED_VALUE"""),29028.0)</f>
        <v>29028</v>
      </c>
      <c r="C1682" t="str">
        <f>IFERROR(__xludf.DUMMYFUNCTION("""COMPUTED_VALUE"""),"CARVAJAL ACOSTA, MARTIN")</f>
        <v>CARVAJAL ACOSTA, MARTIN</v>
      </c>
      <c r="D1682" t="str">
        <f>IFERROR(__xludf.DUMMYFUNCTION("""COMPUTED_VALUE"""),"Biology 9")</f>
        <v>Biology 9</v>
      </c>
      <c r="E1682" s="3">
        <f>IFERROR(__xludf.DUMMYFUNCTION("""COMPUTED_VALUE"""),5.0)</f>
        <v>5</v>
      </c>
      <c r="F1682" s="300">
        <v>1.0</v>
      </c>
      <c r="G1682" s="300">
        <v>1.0</v>
      </c>
      <c r="H1682" s="300">
        <v>1.0</v>
      </c>
      <c r="I1682" s="300">
        <v>1.0</v>
      </c>
      <c r="J1682" s="300">
        <v>1.0</v>
      </c>
      <c r="K1682" s="300">
        <v>1.0</v>
      </c>
      <c r="L1682" s="300">
        <v>1.0</v>
      </c>
      <c r="M1682" s="300">
        <v>1.0</v>
      </c>
      <c r="N1682" s="300">
        <v>8.0</v>
      </c>
      <c r="O1682" s="300" t="s">
        <v>871</v>
      </c>
      <c r="P1682" s="300">
        <v>7.0</v>
      </c>
    </row>
    <row r="1683">
      <c r="A1683">
        <f>IFERROR(__xludf.DUMMYFUNCTION("""COMPUTED_VALUE"""),9.0)</f>
        <v>9</v>
      </c>
      <c r="B1683" s="406">
        <f>IFERROR(__xludf.DUMMYFUNCTION("""COMPUTED_VALUE"""),29110.0)</f>
        <v>29110</v>
      </c>
      <c r="C1683" t="str">
        <f>IFERROR(__xludf.DUMMYFUNCTION("""COMPUTED_VALUE"""),"SOSA ECHAVARRIA, EMILIO")</f>
        <v>SOSA ECHAVARRIA, EMILIO</v>
      </c>
      <c r="D1683" t="str">
        <f>IFERROR(__xludf.DUMMYFUNCTION("""COMPUTED_VALUE"""),"Biology 9")</f>
        <v>Biology 9</v>
      </c>
      <c r="E1683" s="3">
        <f>IFERROR(__xludf.DUMMYFUNCTION("""COMPUTED_VALUE"""),2.0)</f>
        <v>2</v>
      </c>
      <c r="F1683" s="300">
        <v>1.0</v>
      </c>
      <c r="G1683" s="300">
        <v>1.0</v>
      </c>
      <c r="H1683" s="300">
        <v>1.0</v>
      </c>
      <c r="I1683" s="300">
        <v>1.0</v>
      </c>
      <c r="J1683" s="300">
        <v>1.0</v>
      </c>
      <c r="K1683" s="300">
        <v>1.0</v>
      </c>
      <c r="L1683" s="300">
        <v>1.0</v>
      </c>
      <c r="M1683" s="300">
        <v>1.0</v>
      </c>
      <c r="N1683" s="300">
        <v>8.0</v>
      </c>
      <c r="O1683" s="300" t="s">
        <v>872</v>
      </c>
      <c r="P1683" s="300">
        <v>7.0</v>
      </c>
    </row>
    <row r="1684">
      <c r="A1684">
        <f>IFERROR(__xludf.DUMMYFUNCTION("""COMPUTED_VALUE"""),9.0)</f>
        <v>9</v>
      </c>
      <c r="B1684" s="406">
        <f>IFERROR(__xludf.DUMMYFUNCTION("""COMPUTED_VALUE"""),28144.0)</f>
        <v>28144</v>
      </c>
      <c r="C1684" t="str">
        <f>IFERROR(__xludf.DUMMYFUNCTION("""COMPUTED_VALUE"""),"JIMENEZ PATIÑO, EMILIO")</f>
        <v>JIMENEZ PATIÑO, EMILIO</v>
      </c>
      <c r="D1684" t="str">
        <f>IFERROR(__xludf.DUMMYFUNCTION("""COMPUTED_VALUE"""),"Biology 9")</f>
        <v>Biology 9</v>
      </c>
      <c r="E1684" s="3">
        <f>IFERROR(__xludf.DUMMYFUNCTION("""COMPUTED_VALUE"""),2.0)</f>
        <v>2</v>
      </c>
      <c r="F1684" s="300">
        <v>1.0</v>
      </c>
      <c r="G1684" s="300">
        <v>1.0</v>
      </c>
      <c r="H1684" s="300">
        <v>1.0</v>
      </c>
      <c r="I1684" s="300">
        <v>1.0</v>
      </c>
      <c r="J1684" s="300">
        <v>1.0</v>
      </c>
      <c r="K1684" s="300">
        <v>1.0</v>
      </c>
      <c r="L1684" s="300">
        <v>1.0</v>
      </c>
      <c r="M1684" s="300">
        <v>1.0</v>
      </c>
      <c r="N1684" s="300">
        <v>8.0</v>
      </c>
      <c r="O1684" s="300" t="s">
        <v>872</v>
      </c>
      <c r="P1684" s="300">
        <v>7.0</v>
      </c>
    </row>
    <row r="1685">
      <c r="A1685">
        <f>IFERROR(__xludf.DUMMYFUNCTION("""COMPUTED_VALUE"""),9.0)</f>
        <v>9</v>
      </c>
      <c r="B1685" s="406">
        <f>IFERROR(__xludf.DUMMYFUNCTION("""COMPUTED_VALUE"""),29126.0)</f>
        <v>29126</v>
      </c>
      <c r="C1685" t="str">
        <f>IFERROR(__xludf.DUMMYFUNCTION("""COMPUTED_VALUE"""),"VASQUEZ ANGEL, JUANITA")</f>
        <v>VASQUEZ ANGEL, JUANITA</v>
      </c>
      <c r="D1685" t="str">
        <f>IFERROR(__xludf.DUMMYFUNCTION("""COMPUTED_VALUE"""),"Biology 9")</f>
        <v>Biology 9</v>
      </c>
      <c r="E1685" s="3">
        <f>IFERROR(__xludf.DUMMYFUNCTION("""COMPUTED_VALUE"""),2.0)</f>
        <v>2</v>
      </c>
      <c r="F1685" s="300">
        <v>1.0</v>
      </c>
      <c r="G1685" s="300">
        <v>1.0</v>
      </c>
      <c r="H1685" s="300">
        <v>1.0</v>
      </c>
      <c r="I1685" s="300">
        <v>1.0</v>
      </c>
      <c r="J1685" s="300">
        <v>1.0</v>
      </c>
      <c r="K1685" s="300">
        <v>1.0</v>
      </c>
      <c r="L1685" s="300">
        <v>1.0</v>
      </c>
      <c r="M1685" s="300">
        <v>1.0</v>
      </c>
      <c r="N1685" s="300">
        <v>8.0</v>
      </c>
      <c r="O1685" s="300" t="s">
        <v>872</v>
      </c>
      <c r="P1685" s="300">
        <v>7.0</v>
      </c>
    </row>
    <row r="1686">
      <c r="A1686">
        <f>IFERROR(__xludf.DUMMYFUNCTION("""COMPUTED_VALUE"""),9.0)</f>
        <v>9</v>
      </c>
      <c r="B1686" s="406">
        <f>IFERROR(__xludf.DUMMYFUNCTION("""COMPUTED_VALUE"""),29098.0)</f>
        <v>29098</v>
      </c>
      <c r="C1686" t="str">
        <f>IFERROR(__xludf.DUMMYFUNCTION("""COMPUTED_VALUE"""),"RESTREPO ESCOBAR, ISABELA")</f>
        <v>RESTREPO ESCOBAR, ISABELA</v>
      </c>
      <c r="D1686" t="str">
        <f>IFERROR(__xludf.DUMMYFUNCTION("""COMPUTED_VALUE"""),"Biology 9")</f>
        <v>Biology 9</v>
      </c>
      <c r="E1686" s="3">
        <f>IFERROR(__xludf.DUMMYFUNCTION("""COMPUTED_VALUE"""),2.0)</f>
        <v>2</v>
      </c>
      <c r="F1686" s="300">
        <v>1.0</v>
      </c>
      <c r="G1686" s="300">
        <v>1.0</v>
      </c>
      <c r="H1686" s="300">
        <v>1.0</v>
      </c>
      <c r="I1686" s="300">
        <v>1.0</v>
      </c>
      <c r="J1686" s="300">
        <v>1.0</v>
      </c>
      <c r="K1686" s="300">
        <v>1.0</v>
      </c>
      <c r="L1686" s="300">
        <v>1.0</v>
      </c>
      <c r="M1686" s="300">
        <v>1.0</v>
      </c>
      <c r="N1686" s="300">
        <v>8.0</v>
      </c>
      <c r="O1686" s="300" t="s">
        <v>872</v>
      </c>
      <c r="P1686" s="300">
        <v>7.0</v>
      </c>
    </row>
    <row r="1687">
      <c r="A1687">
        <f>IFERROR(__xludf.DUMMYFUNCTION("""COMPUTED_VALUE"""),9.0)</f>
        <v>9</v>
      </c>
      <c r="B1687" s="406">
        <f>IFERROR(__xludf.DUMMYFUNCTION("""COMPUTED_VALUE"""),29083.0)</f>
        <v>29083</v>
      </c>
      <c r="C1687" t="str">
        <f>IFERROR(__xludf.DUMMYFUNCTION("""COMPUTED_VALUE"""),"NAVARRO ZULUAGA, SOFIA")</f>
        <v>NAVARRO ZULUAGA, SOFIA</v>
      </c>
      <c r="D1687" t="str">
        <f>IFERROR(__xludf.DUMMYFUNCTION("""COMPUTED_VALUE"""),"Biology 9")</f>
        <v>Biology 9</v>
      </c>
      <c r="E1687" s="3">
        <f>IFERROR(__xludf.DUMMYFUNCTION("""COMPUTED_VALUE"""),3.0)</f>
        <v>3</v>
      </c>
      <c r="F1687" s="300">
        <v>1.0</v>
      </c>
      <c r="G1687" s="300">
        <v>1.0</v>
      </c>
      <c r="H1687" s="300">
        <v>1.0</v>
      </c>
      <c r="I1687" s="300">
        <v>1.0</v>
      </c>
      <c r="J1687" s="300">
        <v>1.0</v>
      </c>
      <c r="K1687" s="300">
        <v>1.0</v>
      </c>
      <c r="L1687" s="300">
        <v>1.0</v>
      </c>
      <c r="M1687" s="300">
        <v>1.0</v>
      </c>
      <c r="N1687" s="300">
        <v>8.0</v>
      </c>
      <c r="O1687" s="300" t="s">
        <v>870</v>
      </c>
      <c r="P1687" s="300">
        <v>7.0</v>
      </c>
    </row>
    <row r="1688">
      <c r="A1688">
        <f>IFERROR(__xludf.DUMMYFUNCTION("""COMPUTED_VALUE"""),9.0)</f>
        <v>9</v>
      </c>
      <c r="B1688" s="406">
        <f>IFERROR(__xludf.DUMMYFUNCTION("""COMPUTED_VALUE"""),29023.0)</f>
        <v>29023</v>
      </c>
      <c r="C1688" t="str">
        <f>IFERROR(__xludf.DUMMYFUNCTION("""COMPUTED_VALUE"""),"BOTERO DEL CORRAL, EMILIANA")</f>
        <v>BOTERO DEL CORRAL, EMILIANA</v>
      </c>
      <c r="D1688" t="str">
        <f>IFERROR(__xludf.DUMMYFUNCTION("""COMPUTED_VALUE"""),"Biology 9")</f>
        <v>Biology 9</v>
      </c>
      <c r="E1688" s="3">
        <f>IFERROR(__xludf.DUMMYFUNCTION("""COMPUTED_VALUE"""),3.0)</f>
        <v>3</v>
      </c>
      <c r="F1688" s="300">
        <v>1.0</v>
      </c>
      <c r="G1688" s="300">
        <v>1.0</v>
      </c>
      <c r="H1688" s="300">
        <v>1.0</v>
      </c>
      <c r="I1688" s="300">
        <v>1.0</v>
      </c>
      <c r="J1688" s="300">
        <v>1.0</v>
      </c>
      <c r="K1688" s="300">
        <v>1.0</v>
      </c>
      <c r="L1688" s="300">
        <v>1.0</v>
      </c>
      <c r="M1688" s="300">
        <v>1.0</v>
      </c>
      <c r="N1688" s="300">
        <v>8.0</v>
      </c>
      <c r="O1688" s="300" t="s">
        <v>870</v>
      </c>
      <c r="P1688" s="300">
        <v>7.0</v>
      </c>
    </row>
    <row r="1689">
      <c r="A1689">
        <f>IFERROR(__xludf.DUMMYFUNCTION("""COMPUTED_VALUE"""),10.0)</f>
        <v>10</v>
      </c>
      <c r="B1689" s="406">
        <f>IFERROR(__xludf.DUMMYFUNCTION("""COMPUTED_VALUE"""),28042.0)</f>
        <v>28042</v>
      </c>
      <c r="C1689" t="str">
        <f>IFERROR(__xludf.DUMMYFUNCTION("""COMPUTED_VALUE"""),"GUERRA MARTINEZ, REBECCA")</f>
        <v>GUERRA MARTINEZ, REBECCA</v>
      </c>
      <c r="D1689" t="str">
        <f>IFERROR(__xludf.DUMMYFUNCTION("""COMPUTED_VALUE"""),"Chemistry")</f>
        <v>Chemistry</v>
      </c>
      <c r="E1689" s="3">
        <f>IFERROR(__xludf.DUMMYFUNCTION("""COMPUTED_VALUE"""),8.0)</f>
        <v>8</v>
      </c>
      <c r="F1689" s="300">
        <v>1.0</v>
      </c>
      <c r="G1689" s="300">
        <v>1.0</v>
      </c>
      <c r="H1689" s="300">
        <v>1.0</v>
      </c>
      <c r="I1689" s="300">
        <v>1.0</v>
      </c>
      <c r="J1689" s="300">
        <v>1.0</v>
      </c>
      <c r="K1689" s="300">
        <v>1.0</v>
      </c>
      <c r="L1689" s="300">
        <v>1.0</v>
      </c>
      <c r="M1689" s="300">
        <v>1.0</v>
      </c>
      <c r="N1689" s="300">
        <v>8.0</v>
      </c>
      <c r="O1689" s="300" t="s">
        <v>873</v>
      </c>
      <c r="P1689" s="300">
        <v>7.0</v>
      </c>
    </row>
    <row r="1690">
      <c r="A1690">
        <f>IFERROR(__xludf.DUMMYFUNCTION("""COMPUTED_VALUE"""),10.0)</f>
        <v>10</v>
      </c>
      <c r="B1690" s="406">
        <f>IFERROR(__xludf.DUMMYFUNCTION("""COMPUTED_VALUE"""),28116.0)</f>
        <v>28116</v>
      </c>
      <c r="C1690" t="str">
        <f>IFERROR(__xludf.DUMMYFUNCTION("""COMPUTED_VALUE"""),"VELEZ ZAPATA, SARA")</f>
        <v>VELEZ ZAPATA, SARA</v>
      </c>
      <c r="D1690" t="str">
        <f>IFERROR(__xludf.DUMMYFUNCTION("""COMPUTED_VALUE"""),"Chemistry")</f>
        <v>Chemistry</v>
      </c>
      <c r="E1690" s="3">
        <f>IFERROR(__xludf.DUMMYFUNCTION("""COMPUTED_VALUE"""),7.0)</f>
        <v>7</v>
      </c>
      <c r="F1690" s="300">
        <v>1.0</v>
      </c>
      <c r="G1690" s="300">
        <v>1.0</v>
      </c>
      <c r="H1690" s="300">
        <v>1.0</v>
      </c>
      <c r="I1690" s="300">
        <v>1.0</v>
      </c>
      <c r="J1690" s="300">
        <v>1.0</v>
      </c>
      <c r="K1690" s="300">
        <v>1.0</v>
      </c>
      <c r="L1690" s="300">
        <v>1.0</v>
      </c>
      <c r="M1690" s="300">
        <v>1.0</v>
      </c>
      <c r="N1690" s="300">
        <v>8.0</v>
      </c>
      <c r="O1690" s="300" t="s">
        <v>874</v>
      </c>
      <c r="P1690" s="300">
        <v>7.0</v>
      </c>
    </row>
    <row r="1691">
      <c r="A1691">
        <f>IFERROR(__xludf.DUMMYFUNCTION("""COMPUTED_VALUE"""),10.0)</f>
        <v>10</v>
      </c>
      <c r="B1691" s="406">
        <f>IFERROR(__xludf.DUMMYFUNCTION("""COMPUTED_VALUE"""),28013.0)</f>
        <v>28013</v>
      </c>
      <c r="C1691" t="str">
        <f>IFERROR(__xludf.DUMMYFUNCTION("""COMPUTED_VALUE"""),"BERDUGO RESTREPO, ROSARIO")</f>
        <v>BERDUGO RESTREPO, ROSARIO</v>
      </c>
      <c r="D1691" t="str">
        <f>IFERROR(__xludf.DUMMYFUNCTION("""COMPUTED_VALUE"""),"Chemistry")</f>
        <v>Chemistry</v>
      </c>
      <c r="E1691" s="3">
        <f>IFERROR(__xludf.DUMMYFUNCTION("""COMPUTED_VALUE"""),1.0)</f>
        <v>1</v>
      </c>
      <c r="F1691" s="300">
        <v>1.0</v>
      </c>
      <c r="G1691" s="300">
        <v>1.0</v>
      </c>
      <c r="H1691" s="300">
        <v>1.0</v>
      </c>
      <c r="I1691" s="300">
        <v>1.0</v>
      </c>
      <c r="J1691" s="300">
        <v>1.0</v>
      </c>
      <c r="K1691" s="300">
        <v>1.0</v>
      </c>
      <c r="L1691" s="300">
        <v>1.0</v>
      </c>
      <c r="M1691" s="300">
        <v>1.0</v>
      </c>
      <c r="N1691" s="300">
        <v>8.0</v>
      </c>
      <c r="O1691" s="300" t="s">
        <v>875</v>
      </c>
      <c r="P1691" s="300">
        <v>7.0</v>
      </c>
    </row>
    <row r="1692">
      <c r="A1692">
        <f>IFERROR(__xludf.DUMMYFUNCTION("""COMPUTED_VALUE"""),10.0)</f>
        <v>10</v>
      </c>
      <c r="B1692" s="406">
        <f>IFERROR(__xludf.DUMMYFUNCTION("""COMPUTED_VALUE"""),28045.0)</f>
        <v>28045</v>
      </c>
      <c r="C1692" t="str">
        <f>IFERROR(__xludf.DUMMYFUNCTION("""COMPUTED_VALUE"""),"HINESTROZA ESCOBAR, LUCIANA")</f>
        <v>HINESTROZA ESCOBAR, LUCIANA</v>
      </c>
      <c r="D1692" t="str">
        <f>IFERROR(__xludf.DUMMYFUNCTION("""COMPUTED_VALUE"""),"Chemistry")</f>
        <v>Chemistry</v>
      </c>
      <c r="E1692" s="3">
        <f>IFERROR(__xludf.DUMMYFUNCTION("""COMPUTED_VALUE"""),2.0)</f>
        <v>2</v>
      </c>
      <c r="F1692" s="300">
        <v>1.0</v>
      </c>
      <c r="G1692" s="300">
        <v>1.0</v>
      </c>
      <c r="H1692" s="300">
        <v>1.0</v>
      </c>
      <c r="I1692" s="300">
        <v>1.0</v>
      </c>
      <c r="J1692" s="300">
        <v>1.0</v>
      </c>
      <c r="K1692" s="300">
        <v>1.0</v>
      </c>
      <c r="L1692" s="300">
        <v>1.0</v>
      </c>
      <c r="M1692" s="300">
        <v>1.0</v>
      </c>
      <c r="N1692" s="300">
        <v>8.0</v>
      </c>
      <c r="O1692" s="300" t="s">
        <v>876</v>
      </c>
      <c r="P1692" s="300">
        <v>7.0</v>
      </c>
    </row>
    <row r="1693">
      <c r="A1693">
        <f>IFERROR(__xludf.DUMMYFUNCTION("""COMPUTED_VALUE"""),10.0)</f>
        <v>10</v>
      </c>
      <c r="B1693" s="406">
        <f>IFERROR(__xludf.DUMMYFUNCTION("""COMPUTED_VALUE"""),28022.0)</f>
        <v>28022</v>
      </c>
      <c r="C1693" t="str">
        <f>IFERROR(__xludf.DUMMYFUNCTION("""COMPUTED_VALUE"""),"CARVAJAL BOTERO, SIMON")</f>
        <v>CARVAJAL BOTERO, SIMON</v>
      </c>
      <c r="D1693" t="str">
        <f>IFERROR(__xludf.DUMMYFUNCTION("""COMPUTED_VALUE"""),"Chemistry")</f>
        <v>Chemistry</v>
      </c>
      <c r="E1693" s="3">
        <f>IFERROR(__xludf.DUMMYFUNCTION("""COMPUTED_VALUE"""),1.0)</f>
        <v>1</v>
      </c>
      <c r="F1693" s="300">
        <v>1.0</v>
      </c>
      <c r="G1693" s="300">
        <v>1.0</v>
      </c>
      <c r="H1693" s="300">
        <v>1.0</v>
      </c>
      <c r="I1693" s="300">
        <v>1.0</v>
      </c>
      <c r="J1693" s="300">
        <v>1.0</v>
      </c>
      <c r="K1693" s="300">
        <v>1.0</v>
      </c>
      <c r="L1693" s="300">
        <v>1.0</v>
      </c>
      <c r="M1693" s="300">
        <v>1.0</v>
      </c>
      <c r="N1693" s="300">
        <v>8.0</v>
      </c>
      <c r="O1693" s="300" t="s">
        <v>875</v>
      </c>
      <c r="P1693" s="300">
        <v>7.0</v>
      </c>
    </row>
    <row r="1694">
      <c r="A1694">
        <f>IFERROR(__xludf.DUMMYFUNCTION("""COMPUTED_VALUE"""),10.0)</f>
        <v>10</v>
      </c>
      <c r="B1694" s="406">
        <f>IFERROR(__xludf.DUMMYFUNCTION("""COMPUTED_VALUE"""),28166.0)</f>
        <v>28166</v>
      </c>
      <c r="C1694" t="str">
        <f>IFERROR(__xludf.DUMMYFUNCTION("""COMPUTED_VALUE"""),"VELEZ RAMIREZ, MIGUEL")</f>
        <v>VELEZ RAMIREZ, MIGUEL</v>
      </c>
      <c r="D1694" t="str">
        <f>IFERROR(__xludf.DUMMYFUNCTION("""COMPUTED_VALUE"""),"Chemistry")</f>
        <v>Chemistry</v>
      </c>
      <c r="E1694" s="3">
        <f>IFERROR(__xludf.DUMMYFUNCTION("""COMPUTED_VALUE"""),5.0)</f>
        <v>5</v>
      </c>
      <c r="F1694" s="300">
        <v>1.0</v>
      </c>
      <c r="G1694" s="300">
        <v>1.0</v>
      </c>
      <c r="H1694" s="300">
        <v>1.0</v>
      </c>
      <c r="I1694" s="300">
        <v>1.0</v>
      </c>
      <c r="J1694" s="300">
        <v>1.0</v>
      </c>
      <c r="K1694" s="300">
        <v>1.0</v>
      </c>
      <c r="L1694" s="300">
        <v>1.0</v>
      </c>
      <c r="M1694" s="300">
        <v>1.0</v>
      </c>
      <c r="N1694" s="300">
        <v>8.0</v>
      </c>
      <c r="O1694" s="300" t="s">
        <v>877</v>
      </c>
      <c r="P1694" s="300">
        <v>7.0</v>
      </c>
    </row>
    <row r="1695">
      <c r="A1695">
        <f>IFERROR(__xludf.DUMMYFUNCTION("""COMPUTED_VALUE"""),10.0)</f>
        <v>10</v>
      </c>
      <c r="B1695" s="406">
        <f>IFERROR(__xludf.DUMMYFUNCTION("""COMPUTED_VALUE"""),28083.0)</f>
        <v>28083</v>
      </c>
      <c r="C1695" t="str">
        <f>IFERROR(__xludf.DUMMYFUNCTION("""COMPUTED_VALUE"""),"PENAGOS VELEZ, EMILIO")</f>
        <v>PENAGOS VELEZ, EMILIO</v>
      </c>
      <c r="D1695" t="str">
        <f>IFERROR(__xludf.DUMMYFUNCTION("""COMPUTED_VALUE"""),"Chemistry")</f>
        <v>Chemistry</v>
      </c>
      <c r="E1695" s="3">
        <f>IFERROR(__xludf.DUMMYFUNCTION("""COMPUTED_VALUE"""),2.0)</f>
        <v>2</v>
      </c>
      <c r="F1695" s="300">
        <v>1.0</v>
      </c>
      <c r="G1695" s="300">
        <v>1.0</v>
      </c>
      <c r="H1695" s="300">
        <v>1.0</v>
      </c>
      <c r="I1695" s="300">
        <v>1.0</v>
      </c>
      <c r="J1695" s="300">
        <v>1.0</v>
      </c>
      <c r="K1695" s="300">
        <v>1.0</v>
      </c>
      <c r="L1695" s="300">
        <v>1.0</v>
      </c>
      <c r="M1695" s="300">
        <v>1.0</v>
      </c>
      <c r="N1695" s="300">
        <v>8.0</v>
      </c>
      <c r="O1695" s="300" t="s">
        <v>876</v>
      </c>
      <c r="P1695" s="300">
        <v>7.0</v>
      </c>
    </row>
    <row r="1696">
      <c r="A1696">
        <f>IFERROR(__xludf.DUMMYFUNCTION("""COMPUTED_VALUE"""),10.0)</f>
        <v>10</v>
      </c>
      <c r="B1696" s="406">
        <f>IFERROR(__xludf.DUMMYFUNCTION("""COMPUTED_VALUE"""),28105.0)</f>
        <v>28105</v>
      </c>
      <c r="C1696" t="str">
        <f>IFERROR(__xludf.DUMMYFUNCTION("""COMPUTED_VALUE"""),"TABARES MORENO, LUCAS")</f>
        <v>TABARES MORENO, LUCAS</v>
      </c>
      <c r="D1696" t="str">
        <f>IFERROR(__xludf.DUMMYFUNCTION("""COMPUTED_VALUE"""),"Chemistry")</f>
        <v>Chemistry</v>
      </c>
      <c r="E1696" s="3">
        <f>IFERROR(__xludf.DUMMYFUNCTION("""COMPUTED_VALUE"""),1.0)</f>
        <v>1</v>
      </c>
      <c r="F1696" s="300">
        <v>1.0</v>
      </c>
      <c r="G1696" s="300">
        <v>1.0</v>
      </c>
      <c r="H1696" s="300">
        <v>1.0</v>
      </c>
      <c r="I1696" s="300">
        <v>1.0</v>
      </c>
      <c r="J1696" s="300">
        <v>1.0</v>
      </c>
      <c r="K1696" s="300">
        <v>1.0</v>
      </c>
      <c r="L1696" s="300">
        <v>1.0</v>
      </c>
      <c r="M1696" s="300">
        <v>1.0</v>
      </c>
      <c r="N1696" s="300">
        <v>8.0</v>
      </c>
      <c r="O1696" s="300" t="s">
        <v>875</v>
      </c>
      <c r="P1696" s="300">
        <v>7.0</v>
      </c>
    </row>
    <row r="1697">
      <c r="A1697">
        <f>IFERROR(__xludf.DUMMYFUNCTION("""COMPUTED_VALUE"""),10.0)</f>
        <v>10</v>
      </c>
      <c r="B1697" s="406">
        <f>IFERROR(__xludf.DUMMYFUNCTION("""COMPUTED_VALUE"""),28017.0)</f>
        <v>28017</v>
      </c>
      <c r="C1697" t="str">
        <f>IFERROR(__xludf.DUMMYFUNCTION("""COMPUTED_VALUE"""),"BUHOFER DUQUE, ANDREAS EMILIO")</f>
        <v>BUHOFER DUQUE, ANDREAS EMILIO</v>
      </c>
      <c r="D1697" t="str">
        <f>IFERROR(__xludf.DUMMYFUNCTION("""COMPUTED_VALUE"""),"Chemistry")</f>
        <v>Chemistry</v>
      </c>
      <c r="E1697" s="3">
        <f>IFERROR(__xludf.DUMMYFUNCTION("""COMPUTED_VALUE"""),5.0)</f>
        <v>5</v>
      </c>
      <c r="F1697" s="300">
        <v>1.0</v>
      </c>
      <c r="G1697" s="300">
        <v>1.0</v>
      </c>
      <c r="H1697" s="300">
        <v>1.0</v>
      </c>
      <c r="I1697" s="300">
        <v>1.0</v>
      </c>
      <c r="J1697" s="300">
        <v>1.0</v>
      </c>
      <c r="K1697" s="300">
        <v>1.0</v>
      </c>
      <c r="L1697" s="300">
        <v>1.0</v>
      </c>
      <c r="M1697" s="300">
        <v>1.0</v>
      </c>
      <c r="N1697" s="300">
        <v>8.0</v>
      </c>
      <c r="O1697" s="300" t="s">
        <v>877</v>
      </c>
      <c r="P1697" s="300">
        <v>7.0</v>
      </c>
    </row>
    <row r="1698">
      <c r="A1698">
        <f>IFERROR(__xludf.DUMMYFUNCTION("""COMPUTED_VALUE"""),10.0)</f>
        <v>10</v>
      </c>
      <c r="B1698" s="406">
        <f>IFERROR(__xludf.DUMMYFUNCTION("""COMPUTED_VALUE"""),28056.0)</f>
        <v>28056</v>
      </c>
      <c r="C1698" t="str">
        <f>IFERROR(__xludf.DUMMYFUNCTION("""COMPUTED_VALUE"""),"LOPEZ RODRIGUEZ, MAR")</f>
        <v>LOPEZ RODRIGUEZ, MAR</v>
      </c>
      <c r="D1698" t="str">
        <f>IFERROR(__xludf.DUMMYFUNCTION("""COMPUTED_VALUE"""),"Chemistry")</f>
        <v>Chemistry</v>
      </c>
      <c r="E1698" s="3">
        <f>IFERROR(__xludf.DUMMYFUNCTION("""COMPUTED_VALUE"""),8.0)</f>
        <v>8</v>
      </c>
      <c r="F1698" s="300">
        <v>1.0</v>
      </c>
      <c r="G1698" s="300">
        <v>1.0</v>
      </c>
      <c r="H1698" s="300">
        <v>1.0</v>
      </c>
      <c r="I1698" s="300">
        <v>1.0</v>
      </c>
      <c r="J1698" s="300">
        <v>1.0</v>
      </c>
      <c r="K1698" s="300">
        <v>1.0</v>
      </c>
      <c r="L1698" s="300">
        <v>1.0</v>
      </c>
      <c r="M1698" s="300">
        <v>1.0</v>
      </c>
      <c r="N1698" s="300">
        <v>8.0</v>
      </c>
      <c r="O1698" s="300" t="s">
        <v>873</v>
      </c>
      <c r="P1698" s="300">
        <v>7.0</v>
      </c>
    </row>
    <row r="1699">
      <c r="A1699">
        <f>IFERROR(__xludf.DUMMYFUNCTION("""COMPUTED_VALUE"""),10.0)</f>
        <v>10</v>
      </c>
      <c r="B1699" s="406">
        <f>IFERROR(__xludf.DUMMYFUNCTION("""COMPUTED_VALUE"""),27041.0)</f>
        <v>27041</v>
      </c>
      <c r="C1699" t="str">
        <f>IFERROR(__xludf.DUMMYFUNCTION("""COMPUTED_VALUE"""),"GALVEZ ATEHORTUA, JUANITA")</f>
        <v>GALVEZ ATEHORTUA, JUANITA</v>
      </c>
      <c r="D1699" t="str">
        <f>IFERROR(__xludf.DUMMYFUNCTION("""COMPUTED_VALUE"""),"Chemistry")</f>
        <v>Chemistry</v>
      </c>
      <c r="E1699" s="3">
        <f>IFERROR(__xludf.DUMMYFUNCTION("""COMPUTED_VALUE"""),8.0)</f>
        <v>8</v>
      </c>
      <c r="F1699" s="300">
        <v>1.0</v>
      </c>
      <c r="G1699" s="300">
        <v>1.0</v>
      </c>
      <c r="H1699" s="300">
        <v>1.0</v>
      </c>
      <c r="I1699" s="300">
        <v>1.0</v>
      </c>
      <c r="J1699" s="300">
        <v>1.0</v>
      </c>
      <c r="K1699" s="300">
        <v>1.0</v>
      </c>
      <c r="L1699" s="300">
        <v>1.0</v>
      </c>
      <c r="M1699" s="300">
        <v>1.0</v>
      </c>
      <c r="N1699" s="300">
        <v>8.0</v>
      </c>
      <c r="O1699" s="300" t="s">
        <v>873</v>
      </c>
      <c r="P1699" s="300">
        <v>7.0</v>
      </c>
    </row>
    <row r="1700">
      <c r="A1700">
        <f>IFERROR(__xludf.DUMMYFUNCTION("""COMPUTED_VALUE"""),10.0)</f>
        <v>10</v>
      </c>
      <c r="B1700" s="406">
        <f>IFERROR(__xludf.DUMMYFUNCTION("""COMPUTED_VALUE"""),28058.0)</f>
        <v>28058</v>
      </c>
      <c r="C1700" t="str">
        <f>IFERROR(__xludf.DUMMYFUNCTION("""COMPUTED_VALUE"""),"MARULANDA VARGAS, ELISA")</f>
        <v>MARULANDA VARGAS, ELISA</v>
      </c>
      <c r="D1700" t="str">
        <f>IFERROR(__xludf.DUMMYFUNCTION("""COMPUTED_VALUE"""),"Chemistry")</f>
        <v>Chemistry</v>
      </c>
      <c r="E1700" s="3">
        <f>IFERROR(__xludf.DUMMYFUNCTION("""COMPUTED_VALUE"""),2.0)</f>
        <v>2</v>
      </c>
      <c r="F1700" s="300">
        <v>1.0</v>
      </c>
      <c r="G1700" s="300">
        <v>1.0</v>
      </c>
      <c r="H1700" s="300">
        <v>1.0</v>
      </c>
      <c r="I1700" s="300">
        <v>1.0</v>
      </c>
      <c r="J1700" s="300">
        <v>1.0</v>
      </c>
      <c r="K1700" s="300">
        <v>1.0</v>
      </c>
      <c r="L1700" s="300">
        <v>1.0</v>
      </c>
      <c r="M1700" s="300">
        <v>1.0</v>
      </c>
      <c r="N1700" s="300">
        <v>8.0</v>
      </c>
      <c r="O1700" s="300" t="s">
        <v>876</v>
      </c>
      <c r="P1700" s="300">
        <v>7.0</v>
      </c>
    </row>
    <row r="1701">
      <c r="A1701">
        <f>IFERROR(__xludf.DUMMYFUNCTION("""COMPUTED_VALUE"""),10.0)</f>
        <v>10</v>
      </c>
      <c r="B1701" s="406">
        <f>IFERROR(__xludf.DUMMYFUNCTION("""COMPUTED_VALUE"""),28043.0)</f>
        <v>28043</v>
      </c>
      <c r="C1701" t="str">
        <f>IFERROR(__xludf.DUMMYFUNCTION("""COMPUTED_VALUE"""),"GUTIERREZ ABUCHAR, TOMAS")</f>
        <v>GUTIERREZ ABUCHAR, TOMAS</v>
      </c>
      <c r="D1701" t="str">
        <f>IFERROR(__xludf.DUMMYFUNCTION("""COMPUTED_VALUE"""),"Chemistry")</f>
        <v>Chemistry</v>
      </c>
      <c r="E1701" s="3">
        <f>IFERROR(__xludf.DUMMYFUNCTION("""COMPUTED_VALUE"""),8.0)</f>
        <v>8</v>
      </c>
      <c r="F1701" s="300">
        <v>1.0</v>
      </c>
      <c r="G1701" s="300">
        <v>1.0</v>
      </c>
      <c r="H1701" s="300">
        <v>1.0</v>
      </c>
      <c r="I1701" s="300">
        <v>1.0</v>
      </c>
      <c r="J1701" s="300">
        <v>1.0</v>
      </c>
      <c r="K1701" s="300">
        <v>1.0</v>
      </c>
      <c r="L1701" s="300">
        <v>1.0</v>
      </c>
      <c r="M1701" s="300">
        <v>1.0</v>
      </c>
      <c r="N1701" s="300">
        <v>8.0</v>
      </c>
      <c r="O1701" s="300" t="s">
        <v>873</v>
      </c>
      <c r="P1701" s="300">
        <v>7.0</v>
      </c>
    </row>
    <row r="1702">
      <c r="A1702">
        <f>IFERROR(__xludf.DUMMYFUNCTION("""COMPUTED_VALUE"""),10.0)</f>
        <v>10</v>
      </c>
      <c r="B1702" s="406">
        <f>IFERROR(__xludf.DUMMYFUNCTION("""COMPUTED_VALUE"""),28113.0)</f>
        <v>28113</v>
      </c>
      <c r="C1702" t="str">
        <f>IFERROR(__xludf.DUMMYFUNCTION("""COMPUTED_VALUE"""),"VELEZ COCK, ELISA")</f>
        <v>VELEZ COCK, ELISA</v>
      </c>
      <c r="D1702" t="str">
        <f>IFERROR(__xludf.DUMMYFUNCTION("""COMPUTED_VALUE"""),"Chemistry")</f>
        <v>Chemistry</v>
      </c>
      <c r="E1702" s="3">
        <f>IFERROR(__xludf.DUMMYFUNCTION("""COMPUTED_VALUE"""),1.0)</f>
        <v>1</v>
      </c>
      <c r="F1702" s="300">
        <v>1.0</v>
      </c>
      <c r="G1702" s="300">
        <v>1.0</v>
      </c>
      <c r="H1702" s="300">
        <v>1.0</v>
      </c>
      <c r="I1702" s="300">
        <v>1.0</v>
      </c>
      <c r="J1702" s="300">
        <v>1.0</v>
      </c>
      <c r="K1702" s="300">
        <v>1.0</v>
      </c>
      <c r="L1702" s="300">
        <v>1.0</v>
      </c>
      <c r="M1702" s="300">
        <v>1.0</v>
      </c>
      <c r="N1702" s="300">
        <v>8.0</v>
      </c>
      <c r="O1702" s="300" t="s">
        <v>875</v>
      </c>
      <c r="P1702" s="300">
        <v>7.0</v>
      </c>
    </row>
    <row r="1703">
      <c r="A1703">
        <f>IFERROR(__xludf.DUMMYFUNCTION("""COMPUTED_VALUE"""),10.0)</f>
        <v>10</v>
      </c>
      <c r="B1703" s="406">
        <f>IFERROR(__xludf.DUMMYFUNCTION("""COMPUTED_VALUE"""),28157.0)</f>
        <v>28157</v>
      </c>
      <c r="C1703" t="str">
        <f>IFERROR(__xludf.DUMMYFUNCTION("""COMPUTED_VALUE"""),"ORTEGA OCHOA, FEDERICO")</f>
        <v>ORTEGA OCHOA, FEDERICO</v>
      </c>
      <c r="D1703" t="str">
        <f>IFERROR(__xludf.DUMMYFUNCTION("""COMPUTED_VALUE"""),"Chemistry")</f>
        <v>Chemistry</v>
      </c>
      <c r="E1703" s="3">
        <f>IFERROR(__xludf.DUMMYFUNCTION("""COMPUTED_VALUE"""),6.0)</f>
        <v>6</v>
      </c>
      <c r="F1703" s="300">
        <v>1.0</v>
      </c>
      <c r="G1703" s="300">
        <v>1.0</v>
      </c>
      <c r="H1703" s="300">
        <v>1.0</v>
      </c>
      <c r="I1703" s="300">
        <v>1.0</v>
      </c>
      <c r="J1703" s="300">
        <v>1.0</v>
      </c>
      <c r="K1703" s="300">
        <v>1.0</v>
      </c>
      <c r="L1703" s="300">
        <v>1.0</v>
      </c>
      <c r="M1703" s="300">
        <v>1.0</v>
      </c>
      <c r="N1703" s="300">
        <v>8.0</v>
      </c>
      <c r="O1703" s="300" t="s">
        <v>878</v>
      </c>
      <c r="P1703" s="300">
        <v>7.0</v>
      </c>
    </row>
    <row r="1704">
      <c r="A1704">
        <f>IFERROR(__xludf.DUMMYFUNCTION("""COMPUTED_VALUE"""),10.0)</f>
        <v>10</v>
      </c>
      <c r="B1704" s="406">
        <f>IFERROR(__xludf.DUMMYFUNCTION("""COMPUTED_VALUE"""),28098.0)</f>
        <v>28098</v>
      </c>
      <c r="C1704" t="str">
        <f>IFERROR(__xludf.DUMMYFUNCTION("""COMPUTED_VALUE"""),"ROBLEDO LLANO, MAXIMILIANO")</f>
        <v>ROBLEDO LLANO, MAXIMILIANO</v>
      </c>
      <c r="D1704" t="str">
        <f>IFERROR(__xludf.DUMMYFUNCTION("""COMPUTED_VALUE"""),"Chemistry")</f>
        <v>Chemistry</v>
      </c>
      <c r="E1704" s="3">
        <f>IFERROR(__xludf.DUMMYFUNCTION("""COMPUTED_VALUE"""),1.0)</f>
        <v>1</v>
      </c>
      <c r="F1704" s="300">
        <v>1.0</v>
      </c>
      <c r="G1704" s="300">
        <v>1.0</v>
      </c>
      <c r="H1704" s="300">
        <v>1.0</v>
      </c>
      <c r="I1704" s="300">
        <v>1.0</v>
      </c>
      <c r="J1704" s="300">
        <v>1.0</v>
      </c>
      <c r="K1704" s="300">
        <v>1.0</v>
      </c>
      <c r="L1704" s="300">
        <v>1.0</v>
      </c>
      <c r="M1704" s="300">
        <v>1.0</v>
      </c>
      <c r="N1704" s="300">
        <v>8.0</v>
      </c>
      <c r="O1704" s="300" t="s">
        <v>875</v>
      </c>
      <c r="P1704" s="300">
        <v>7.0</v>
      </c>
    </row>
    <row r="1705">
      <c r="A1705">
        <f>IFERROR(__xludf.DUMMYFUNCTION("""COMPUTED_VALUE"""),10.0)</f>
        <v>10</v>
      </c>
      <c r="B1705" s="406">
        <f>IFERROR(__xludf.DUMMYFUNCTION("""COMPUTED_VALUE"""),28117.0)</f>
        <v>28117</v>
      </c>
      <c r="C1705" t="str">
        <f>IFERROR(__xludf.DUMMYFUNCTION("""COMPUTED_VALUE"""),"VILLEGAS BOTERO, MARIANA")</f>
        <v>VILLEGAS BOTERO, MARIANA</v>
      </c>
      <c r="D1705" t="str">
        <f>IFERROR(__xludf.DUMMYFUNCTION("""COMPUTED_VALUE"""),"Chemistry")</f>
        <v>Chemistry</v>
      </c>
      <c r="E1705" s="3">
        <f>IFERROR(__xludf.DUMMYFUNCTION("""COMPUTED_VALUE"""),2.0)</f>
        <v>2</v>
      </c>
      <c r="F1705" s="300">
        <v>1.0</v>
      </c>
      <c r="G1705" s="300">
        <v>1.0</v>
      </c>
      <c r="H1705" s="300">
        <v>1.0</v>
      </c>
      <c r="I1705" s="300">
        <v>1.0</v>
      </c>
      <c r="J1705" s="300">
        <v>1.0</v>
      </c>
      <c r="K1705" s="300">
        <v>1.0</v>
      </c>
      <c r="L1705" s="300">
        <v>1.0</v>
      </c>
      <c r="M1705" s="300">
        <v>1.0</v>
      </c>
      <c r="N1705" s="300">
        <v>8.0</v>
      </c>
      <c r="O1705" s="300" t="s">
        <v>876</v>
      </c>
      <c r="P1705" s="300">
        <v>7.0</v>
      </c>
    </row>
    <row r="1706">
      <c r="A1706">
        <f>IFERROR(__xludf.DUMMYFUNCTION("""COMPUTED_VALUE"""),10.0)</f>
        <v>10</v>
      </c>
      <c r="B1706" s="406">
        <f>IFERROR(__xludf.DUMMYFUNCTION("""COMPUTED_VALUE"""),28100.0)</f>
        <v>28100</v>
      </c>
      <c r="C1706" t="str">
        <f>IFERROR(__xludf.DUMMYFUNCTION("""COMPUTED_VALUE"""),"RODRIGUEZ SALDARRIAGA, SOFIA")</f>
        <v>RODRIGUEZ SALDARRIAGA, SOFIA</v>
      </c>
      <c r="D1706" t="str">
        <f>IFERROR(__xludf.DUMMYFUNCTION("""COMPUTED_VALUE"""),"Chemistry")</f>
        <v>Chemistry</v>
      </c>
      <c r="E1706" s="3">
        <f>IFERROR(__xludf.DUMMYFUNCTION("""COMPUTED_VALUE"""),8.0)</f>
        <v>8</v>
      </c>
      <c r="F1706" s="300">
        <v>1.0</v>
      </c>
      <c r="G1706" s="300">
        <v>1.0</v>
      </c>
      <c r="H1706" s="300">
        <v>1.0</v>
      </c>
      <c r="I1706" s="300">
        <v>1.0</v>
      </c>
      <c r="J1706" s="300">
        <v>1.0</v>
      </c>
      <c r="K1706" s="300">
        <v>1.0</v>
      </c>
      <c r="L1706" s="300">
        <v>1.0</v>
      </c>
      <c r="M1706" s="300">
        <v>1.0</v>
      </c>
      <c r="N1706" s="300">
        <v>8.0</v>
      </c>
      <c r="O1706" s="300" t="s">
        <v>873</v>
      </c>
      <c r="P1706" s="300">
        <v>7.0</v>
      </c>
    </row>
    <row r="1707">
      <c r="A1707">
        <f>IFERROR(__xludf.DUMMYFUNCTION("""COMPUTED_VALUE"""),10.0)</f>
        <v>10</v>
      </c>
      <c r="B1707" s="406">
        <f>IFERROR(__xludf.DUMMYFUNCTION("""COMPUTED_VALUE"""),28097.0)</f>
        <v>28097</v>
      </c>
      <c r="C1707" t="str">
        <f>IFERROR(__xludf.DUMMYFUNCTION("""COMPUTED_VALUE"""),"RINCON URIBE, CAMILA")</f>
        <v>RINCON URIBE, CAMILA</v>
      </c>
      <c r="D1707" t="str">
        <f>IFERROR(__xludf.DUMMYFUNCTION("""COMPUTED_VALUE"""),"Chemistry")</f>
        <v>Chemistry</v>
      </c>
      <c r="E1707" s="3">
        <f>IFERROR(__xludf.DUMMYFUNCTION("""COMPUTED_VALUE"""),6.0)</f>
        <v>6</v>
      </c>
      <c r="F1707" s="300">
        <v>1.0</v>
      </c>
      <c r="G1707" s="300">
        <v>1.0</v>
      </c>
      <c r="H1707" s="300">
        <v>1.0</v>
      </c>
      <c r="I1707" s="300">
        <v>1.0</v>
      </c>
      <c r="J1707" s="300">
        <v>1.0</v>
      </c>
      <c r="K1707" s="300">
        <v>1.0</v>
      </c>
      <c r="L1707" s="300">
        <v>1.0</v>
      </c>
      <c r="M1707" s="300">
        <v>1.0</v>
      </c>
      <c r="N1707" s="300">
        <v>8.0</v>
      </c>
      <c r="O1707" s="300" t="s">
        <v>878</v>
      </c>
      <c r="P1707" s="300">
        <v>7.0</v>
      </c>
    </row>
    <row r="1708">
      <c r="A1708">
        <f>IFERROR(__xludf.DUMMYFUNCTION("""COMPUTED_VALUE"""),10.0)</f>
        <v>10</v>
      </c>
      <c r="B1708" s="406">
        <f>IFERROR(__xludf.DUMMYFUNCTION("""COMPUTED_VALUE"""),28053.0)</f>
        <v>28053</v>
      </c>
      <c r="C1708" t="str">
        <f>IFERROR(__xludf.DUMMYFUNCTION("""COMPUTED_VALUE"""),"LOPERA VILLA, ELENA")</f>
        <v>LOPERA VILLA, ELENA</v>
      </c>
      <c r="D1708" t="str">
        <f>IFERROR(__xludf.DUMMYFUNCTION("""COMPUTED_VALUE"""),"Chemistry")</f>
        <v>Chemistry</v>
      </c>
      <c r="E1708" s="3">
        <f>IFERROR(__xludf.DUMMYFUNCTION("""COMPUTED_VALUE"""),5.0)</f>
        <v>5</v>
      </c>
      <c r="F1708" s="300">
        <v>1.0</v>
      </c>
      <c r="G1708" s="300">
        <v>1.0</v>
      </c>
      <c r="H1708" s="300">
        <v>1.0</v>
      </c>
      <c r="I1708" s="300">
        <v>1.0</v>
      </c>
      <c r="J1708" s="300">
        <v>1.0</v>
      </c>
      <c r="K1708" s="300">
        <v>1.0</v>
      </c>
      <c r="L1708" s="300">
        <v>1.0</v>
      </c>
      <c r="M1708" s="300">
        <v>1.0</v>
      </c>
      <c r="N1708" s="300">
        <v>8.0</v>
      </c>
      <c r="O1708" s="300" t="s">
        <v>877</v>
      </c>
      <c r="P1708" s="300">
        <v>7.0</v>
      </c>
    </row>
    <row r="1709">
      <c r="A1709">
        <f>IFERROR(__xludf.DUMMYFUNCTION("""COMPUTED_VALUE"""),10.0)</f>
        <v>10</v>
      </c>
      <c r="B1709" s="406">
        <f>IFERROR(__xludf.DUMMYFUNCTION("""COMPUTED_VALUE"""),28090.0)</f>
        <v>28090</v>
      </c>
      <c r="C1709" t="str">
        <f>IFERROR(__xludf.DUMMYFUNCTION("""COMPUTED_VALUE"""),"REINOSO TRUJILLO, TOMAS")</f>
        <v>REINOSO TRUJILLO, TOMAS</v>
      </c>
      <c r="D1709" t="str">
        <f>IFERROR(__xludf.DUMMYFUNCTION("""COMPUTED_VALUE"""),"Chemistry")</f>
        <v>Chemistry</v>
      </c>
      <c r="E1709" s="3">
        <f>IFERROR(__xludf.DUMMYFUNCTION("""COMPUTED_VALUE"""),1.0)</f>
        <v>1</v>
      </c>
      <c r="F1709" s="300">
        <v>1.0</v>
      </c>
      <c r="G1709" s="300">
        <v>1.0</v>
      </c>
      <c r="H1709" s="300">
        <v>1.0</v>
      </c>
      <c r="I1709" s="300">
        <v>1.0</v>
      </c>
      <c r="J1709" s="300">
        <v>1.0</v>
      </c>
      <c r="K1709" s="300">
        <v>1.0</v>
      </c>
      <c r="L1709" s="300">
        <v>1.0</v>
      </c>
      <c r="M1709" s="300">
        <v>1.0</v>
      </c>
      <c r="N1709" s="300">
        <v>8.0</v>
      </c>
      <c r="O1709" s="300" t="s">
        <v>875</v>
      </c>
      <c r="P1709" s="300">
        <v>7.0</v>
      </c>
    </row>
    <row r="1710">
      <c r="A1710">
        <f>IFERROR(__xludf.DUMMYFUNCTION("""COMPUTED_VALUE"""),10.0)</f>
        <v>10</v>
      </c>
      <c r="B1710" s="406">
        <f>IFERROR(__xludf.DUMMYFUNCTION("""COMPUTED_VALUE"""),28050.0)</f>
        <v>28050</v>
      </c>
      <c r="C1710" t="str">
        <f>IFERROR(__xludf.DUMMYFUNCTION("""COMPUTED_VALUE"""),"JARAMILLO FERNANDEZ, EMILIO")</f>
        <v>JARAMILLO FERNANDEZ, EMILIO</v>
      </c>
      <c r="D1710" t="str">
        <f>IFERROR(__xludf.DUMMYFUNCTION("""COMPUTED_VALUE"""),"Chemistry")</f>
        <v>Chemistry</v>
      </c>
      <c r="E1710" s="3">
        <f>IFERROR(__xludf.DUMMYFUNCTION("""COMPUTED_VALUE"""),7.0)</f>
        <v>7</v>
      </c>
      <c r="F1710" s="300">
        <v>1.0</v>
      </c>
      <c r="G1710" s="300">
        <v>1.0</v>
      </c>
      <c r="H1710" s="300">
        <v>1.0</v>
      </c>
      <c r="I1710" s="300">
        <v>1.0</v>
      </c>
      <c r="J1710" s="300">
        <v>1.0</v>
      </c>
      <c r="K1710" s="300">
        <v>1.0</v>
      </c>
      <c r="L1710" s="300">
        <v>1.0</v>
      </c>
      <c r="M1710" s="300">
        <v>1.0</v>
      </c>
      <c r="N1710" s="300">
        <v>8.0</v>
      </c>
      <c r="O1710" s="300" t="s">
        <v>874</v>
      </c>
      <c r="P1710" s="300">
        <v>7.0</v>
      </c>
    </row>
    <row r="1711">
      <c r="A1711">
        <f>IFERROR(__xludf.DUMMYFUNCTION("""COMPUTED_VALUE"""),10.0)</f>
        <v>10</v>
      </c>
      <c r="B1711" s="406">
        <f>IFERROR(__xludf.DUMMYFUNCTION("""COMPUTED_VALUE"""),28031.0)</f>
        <v>28031</v>
      </c>
      <c r="C1711" t="str">
        <f>IFERROR(__xludf.DUMMYFUNCTION("""COMPUTED_VALUE"""),"GALLEGO CUARTAS, NICOLAS")</f>
        <v>GALLEGO CUARTAS, NICOLAS</v>
      </c>
      <c r="D1711" t="str">
        <f>IFERROR(__xludf.DUMMYFUNCTION("""COMPUTED_VALUE"""),"Chemistry")</f>
        <v>Chemistry</v>
      </c>
      <c r="E1711" s="3">
        <f>IFERROR(__xludf.DUMMYFUNCTION("""COMPUTED_VALUE"""),6.0)</f>
        <v>6</v>
      </c>
      <c r="F1711" s="300">
        <v>1.0</v>
      </c>
      <c r="G1711" s="300">
        <v>1.0</v>
      </c>
      <c r="H1711" s="300">
        <v>1.0</v>
      </c>
      <c r="I1711" s="300">
        <v>1.0</v>
      </c>
      <c r="J1711" s="300">
        <v>1.0</v>
      </c>
      <c r="K1711" s="300">
        <v>1.0</v>
      </c>
      <c r="L1711" s="300">
        <v>1.0</v>
      </c>
      <c r="M1711" s="300">
        <v>1.0</v>
      </c>
      <c r="N1711" s="300">
        <v>8.0</v>
      </c>
      <c r="O1711" s="300" t="s">
        <v>878</v>
      </c>
      <c r="P1711" s="300">
        <v>7.0</v>
      </c>
    </row>
    <row r="1712">
      <c r="A1712">
        <f>IFERROR(__xludf.DUMMYFUNCTION("""COMPUTED_VALUE"""),10.0)</f>
        <v>10</v>
      </c>
      <c r="B1712" s="406">
        <f>IFERROR(__xludf.DUMMYFUNCTION("""COMPUTED_VALUE"""),28162.0)</f>
        <v>28162</v>
      </c>
      <c r="C1712" t="str">
        <f>IFERROR(__xludf.DUMMYFUNCTION("""COMPUTED_VALUE"""),"OSPINA BENEDETI, AGUSTIN")</f>
        <v>OSPINA BENEDETI, AGUSTIN</v>
      </c>
      <c r="D1712" t="str">
        <f>IFERROR(__xludf.DUMMYFUNCTION("""COMPUTED_VALUE"""),"Chemistry")</f>
        <v>Chemistry</v>
      </c>
      <c r="E1712" s="3">
        <f>IFERROR(__xludf.DUMMYFUNCTION("""COMPUTED_VALUE"""),1.0)</f>
        <v>1</v>
      </c>
      <c r="F1712" s="300">
        <v>1.0</v>
      </c>
      <c r="G1712" s="300">
        <v>1.0</v>
      </c>
      <c r="H1712" s="300">
        <v>1.0</v>
      </c>
      <c r="I1712" s="300">
        <v>1.0</v>
      </c>
      <c r="J1712" s="300">
        <v>1.0</v>
      </c>
      <c r="K1712" s="300">
        <v>1.0</v>
      </c>
      <c r="L1712" s="300">
        <v>1.0</v>
      </c>
      <c r="M1712" s="300">
        <v>1.0</v>
      </c>
      <c r="N1712" s="300">
        <v>8.0</v>
      </c>
      <c r="O1712" s="300" t="s">
        <v>875</v>
      </c>
      <c r="P1712" s="300">
        <v>7.0</v>
      </c>
    </row>
    <row r="1713">
      <c r="A1713">
        <f>IFERROR(__xludf.DUMMYFUNCTION("""COMPUTED_VALUE"""),10.0)</f>
        <v>10</v>
      </c>
      <c r="B1713" s="406">
        <f>IFERROR(__xludf.DUMMYFUNCTION("""COMPUTED_VALUE"""),28121.0)</f>
        <v>28121</v>
      </c>
      <c r="C1713" t="str">
        <f>IFERROR(__xludf.DUMMYFUNCTION("""COMPUTED_VALUE"""),"MC LEAN HIDRON, LUCAS")</f>
        <v>MC LEAN HIDRON, LUCAS</v>
      </c>
      <c r="D1713" t="str">
        <f>IFERROR(__xludf.DUMMYFUNCTION("""COMPUTED_VALUE"""),"Chemistry")</f>
        <v>Chemistry</v>
      </c>
      <c r="E1713" s="3">
        <f>IFERROR(__xludf.DUMMYFUNCTION("""COMPUTED_VALUE"""),2.0)</f>
        <v>2</v>
      </c>
      <c r="F1713" s="300">
        <v>1.0</v>
      </c>
      <c r="G1713" s="300">
        <v>1.0</v>
      </c>
      <c r="H1713" s="300">
        <v>1.0</v>
      </c>
      <c r="I1713" s="300">
        <v>1.0</v>
      </c>
      <c r="J1713" s="300">
        <v>1.0</v>
      </c>
      <c r="K1713" s="300">
        <v>1.0</v>
      </c>
      <c r="L1713" s="300">
        <v>1.0</v>
      </c>
      <c r="M1713" s="300">
        <v>1.0</v>
      </c>
      <c r="N1713" s="300">
        <v>8.0</v>
      </c>
      <c r="O1713" s="300" t="s">
        <v>876</v>
      </c>
      <c r="P1713" s="300">
        <v>7.0</v>
      </c>
    </row>
    <row r="1714">
      <c r="A1714">
        <f>IFERROR(__xludf.DUMMYFUNCTION("""COMPUTED_VALUE"""),10.0)</f>
        <v>10</v>
      </c>
      <c r="B1714" s="406">
        <f>IFERROR(__xludf.DUMMYFUNCTION("""COMPUTED_VALUE"""),28016.0)</f>
        <v>28016</v>
      </c>
      <c r="C1714" t="str">
        <f>IFERROR(__xludf.DUMMYFUNCTION("""COMPUTED_VALUE"""),"BOTERO CASTAÑEDA, CARMEN")</f>
        <v>BOTERO CASTAÑEDA, CARMEN</v>
      </c>
      <c r="D1714" t="str">
        <f>IFERROR(__xludf.DUMMYFUNCTION("""COMPUTED_VALUE"""),"Chemistry")</f>
        <v>Chemistry</v>
      </c>
      <c r="E1714" s="3">
        <f>IFERROR(__xludf.DUMMYFUNCTION("""COMPUTED_VALUE"""),2.0)</f>
        <v>2</v>
      </c>
      <c r="F1714" s="300">
        <v>1.0</v>
      </c>
      <c r="G1714" s="300">
        <v>1.0</v>
      </c>
      <c r="H1714" s="300">
        <v>1.0</v>
      </c>
      <c r="I1714" s="300">
        <v>1.0</v>
      </c>
      <c r="J1714" s="300">
        <v>1.0</v>
      </c>
      <c r="K1714" s="300">
        <v>1.0</v>
      </c>
      <c r="L1714" s="300">
        <v>1.0</v>
      </c>
      <c r="M1714" s="300">
        <v>1.0</v>
      </c>
      <c r="N1714" s="300">
        <v>8.0</v>
      </c>
      <c r="O1714" s="300" t="s">
        <v>876</v>
      </c>
      <c r="P1714" s="300">
        <v>7.0</v>
      </c>
    </row>
    <row r="1715">
      <c r="A1715">
        <f>IFERROR(__xludf.DUMMYFUNCTION("""COMPUTED_VALUE"""),10.0)</f>
        <v>10</v>
      </c>
      <c r="B1715" s="406">
        <f>IFERROR(__xludf.DUMMYFUNCTION("""COMPUTED_VALUE"""),28170.0)</f>
        <v>28170</v>
      </c>
      <c r="C1715" t="str">
        <f>IFERROR(__xludf.DUMMYFUNCTION("""COMPUTED_VALUE"""),"GOMEZ AMADOR, EMMA")</f>
        <v>GOMEZ AMADOR, EMMA</v>
      </c>
      <c r="D1715" t="str">
        <f>IFERROR(__xludf.DUMMYFUNCTION("""COMPUTED_VALUE"""),"Chemistry")</f>
        <v>Chemistry</v>
      </c>
      <c r="E1715" s="3">
        <f>IFERROR(__xludf.DUMMYFUNCTION("""COMPUTED_VALUE"""),7.0)</f>
        <v>7</v>
      </c>
      <c r="F1715" s="300">
        <v>1.0</v>
      </c>
      <c r="G1715" s="300">
        <v>1.0</v>
      </c>
      <c r="H1715" s="300">
        <v>1.0</v>
      </c>
      <c r="I1715" s="300">
        <v>1.0</v>
      </c>
      <c r="J1715" s="300">
        <v>1.0</v>
      </c>
      <c r="K1715" s="300">
        <v>1.0</v>
      </c>
      <c r="L1715" s="300">
        <v>1.0</v>
      </c>
      <c r="M1715" s="300">
        <v>1.0</v>
      </c>
      <c r="N1715" s="300">
        <v>8.0</v>
      </c>
      <c r="O1715" s="300" t="s">
        <v>874</v>
      </c>
      <c r="P1715" s="300">
        <v>7.0</v>
      </c>
    </row>
    <row r="1716">
      <c r="A1716">
        <f>IFERROR(__xludf.DUMMYFUNCTION("""COMPUTED_VALUE"""),10.0)</f>
        <v>10</v>
      </c>
      <c r="B1716" s="406">
        <f>IFERROR(__xludf.DUMMYFUNCTION("""COMPUTED_VALUE"""),28054.0)</f>
        <v>28054</v>
      </c>
      <c r="C1716" t="str">
        <f>IFERROR(__xludf.DUMMYFUNCTION("""COMPUTED_VALUE"""),"LOPEZ ESCOBAR, CLEMENTE")</f>
        <v>LOPEZ ESCOBAR, CLEMENTE</v>
      </c>
      <c r="D1716" t="str">
        <f>IFERROR(__xludf.DUMMYFUNCTION("""COMPUTED_VALUE"""),"Chemistry")</f>
        <v>Chemistry</v>
      </c>
      <c r="E1716" s="3">
        <f>IFERROR(__xludf.DUMMYFUNCTION("""COMPUTED_VALUE"""),3.0)</f>
        <v>3</v>
      </c>
      <c r="F1716" s="300">
        <v>1.0</v>
      </c>
      <c r="G1716" s="300">
        <v>1.0</v>
      </c>
      <c r="H1716" s="300">
        <v>1.0</v>
      </c>
      <c r="I1716" s="300">
        <v>1.0</v>
      </c>
      <c r="J1716" s="300">
        <v>1.0</v>
      </c>
      <c r="K1716" s="300">
        <v>1.0</v>
      </c>
      <c r="L1716" s="300">
        <v>1.0</v>
      </c>
      <c r="M1716" s="300">
        <v>1.0</v>
      </c>
      <c r="N1716" s="300">
        <v>8.0</v>
      </c>
      <c r="O1716" s="300" t="s">
        <v>879</v>
      </c>
      <c r="P1716" s="300">
        <v>7.0</v>
      </c>
    </row>
    <row r="1717">
      <c r="A1717">
        <f>IFERROR(__xludf.DUMMYFUNCTION("""COMPUTED_VALUE"""),10.0)</f>
        <v>10</v>
      </c>
      <c r="B1717" s="406">
        <f>IFERROR(__xludf.DUMMYFUNCTION("""COMPUTED_VALUE"""),28003.0)</f>
        <v>28003</v>
      </c>
      <c r="C1717" t="str">
        <f>IFERROR(__xludf.DUMMYFUNCTION("""COMPUTED_VALUE"""),"ARANGO DUQUE, TOMAS")</f>
        <v>ARANGO DUQUE, TOMAS</v>
      </c>
      <c r="D1717" t="str">
        <f>IFERROR(__xludf.DUMMYFUNCTION("""COMPUTED_VALUE"""),"Chemistry")</f>
        <v>Chemistry</v>
      </c>
      <c r="E1717" s="3">
        <f>IFERROR(__xludf.DUMMYFUNCTION("""COMPUTED_VALUE"""),6.0)</f>
        <v>6</v>
      </c>
      <c r="F1717" s="300">
        <v>1.0</v>
      </c>
      <c r="G1717" s="300">
        <v>1.0</v>
      </c>
      <c r="H1717" s="300">
        <v>1.0</v>
      </c>
      <c r="I1717" s="300">
        <v>1.0</v>
      </c>
      <c r="J1717" s="300">
        <v>1.0</v>
      </c>
      <c r="K1717" s="300">
        <v>1.0</v>
      </c>
      <c r="L1717" s="300">
        <v>1.0</v>
      </c>
      <c r="M1717" s="300">
        <v>1.0</v>
      </c>
      <c r="N1717" s="300">
        <v>8.0</v>
      </c>
      <c r="O1717" s="300" t="s">
        <v>878</v>
      </c>
      <c r="P1717" s="300">
        <v>7.0</v>
      </c>
    </row>
    <row r="1718">
      <c r="A1718">
        <f>IFERROR(__xludf.DUMMYFUNCTION("""COMPUTED_VALUE"""),10.0)</f>
        <v>10</v>
      </c>
      <c r="B1718" s="406">
        <f>IFERROR(__xludf.DUMMYFUNCTION("""COMPUTED_VALUE"""),28103.0)</f>
        <v>28103</v>
      </c>
      <c r="C1718" t="str">
        <f>IFERROR(__xludf.DUMMYFUNCTION("""COMPUTED_VALUE"""),"SANIN VELASQUEZ, ISRAEL")</f>
        <v>SANIN VELASQUEZ, ISRAEL</v>
      </c>
      <c r="D1718" t="str">
        <f>IFERROR(__xludf.DUMMYFUNCTION("""COMPUTED_VALUE"""),"Chemistry")</f>
        <v>Chemistry</v>
      </c>
      <c r="E1718" s="3">
        <f>IFERROR(__xludf.DUMMYFUNCTION("""COMPUTED_VALUE"""),6.0)</f>
        <v>6</v>
      </c>
      <c r="F1718" s="300">
        <v>1.0</v>
      </c>
      <c r="G1718" s="300">
        <v>1.0</v>
      </c>
      <c r="H1718" s="300">
        <v>1.0</v>
      </c>
      <c r="I1718" s="300">
        <v>1.0</v>
      </c>
      <c r="J1718" s="300">
        <v>1.0</v>
      </c>
      <c r="K1718" s="300">
        <v>1.0</v>
      </c>
      <c r="L1718" s="300">
        <v>1.0</v>
      </c>
      <c r="M1718" s="300">
        <v>1.0</v>
      </c>
      <c r="N1718" s="300">
        <v>8.0</v>
      </c>
      <c r="O1718" s="300" t="s">
        <v>878</v>
      </c>
      <c r="P1718" s="300">
        <v>7.0</v>
      </c>
    </row>
    <row r="1719">
      <c r="A1719">
        <f>IFERROR(__xludf.DUMMYFUNCTION("""COMPUTED_VALUE"""),10.0)</f>
        <v>10</v>
      </c>
      <c r="B1719" s="406">
        <f>IFERROR(__xludf.DUMMYFUNCTION("""COMPUTED_VALUE"""),28163.0)</f>
        <v>28163</v>
      </c>
      <c r="C1719" t="str">
        <f>IFERROR(__xludf.DUMMYFUNCTION("""COMPUTED_VALUE"""),"GARCIA VALENCIA, EMILIO")</f>
        <v>GARCIA VALENCIA, EMILIO</v>
      </c>
      <c r="D1719" t="str">
        <f>IFERROR(__xludf.DUMMYFUNCTION("""COMPUTED_VALUE"""),"Chemistry")</f>
        <v>Chemistry</v>
      </c>
      <c r="E1719" s="3">
        <f>IFERROR(__xludf.DUMMYFUNCTION("""COMPUTED_VALUE"""),6.0)</f>
        <v>6</v>
      </c>
      <c r="F1719" s="300">
        <v>1.0</v>
      </c>
      <c r="G1719" s="300">
        <v>1.0</v>
      </c>
      <c r="H1719" s="300">
        <v>1.0</v>
      </c>
      <c r="I1719" s="300">
        <v>1.0</v>
      </c>
      <c r="J1719" s="300">
        <v>1.0</v>
      </c>
      <c r="K1719" s="300">
        <v>1.0</v>
      </c>
      <c r="L1719" s="300">
        <v>1.0</v>
      </c>
      <c r="M1719" s="300">
        <v>1.0</v>
      </c>
      <c r="N1719" s="300">
        <v>8.0</v>
      </c>
      <c r="O1719" s="300" t="s">
        <v>878</v>
      </c>
      <c r="P1719" s="300">
        <v>7.0</v>
      </c>
    </row>
    <row r="1720">
      <c r="A1720">
        <f>IFERROR(__xludf.DUMMYFUNCTION("""COMPUTED_VALUE"""),10.0)</f>
        <v>10</v>
      </c>
      <c r="B1720" s="406">
        <f>IFERROR(__xludf.DUMMYFUNCTION("""COMPUTED_VALUE"""),28074.0)</f>
        <v>28074</v>
      </c>
      <c r="C1720" t="str">
        <f>IFERROR(__xludf.DUMMYFUNCTION("""COMPUTED_VALUE"""),"NAVARRO VILLA, JUAN MARTIN")</f>
        <v>NAVARRO VILLA, JUAN MARTIN</v>
      </c>
      <c r="D1720" t="str">
        <f>IFERROR(__xludf.DUMMYFUNCTION("""COMPUTED_VALUE"""),"Chemistry")</f>
        <v>Chemistry</v>
      </c>
      <c r="E1720" s="3">
        <f>IFERROR(__xludf.DUMMYFUNCTION("""COMPUTED_VALUE"""),8.0)</f>
        <v>8</v>
      </c>
      <c r="F1720" s="300">
        <v>1.0</v>
      </c>
      <c r="G1720" s="300">
        <v>1.0</v>
      </c>
      <c r="H1720" s="300">
        <v>1.0</v>
      </c>
      <c r="I1720" s="300">
        <v>1.0</v>
      </c>
      <c r="J1720" s="300">
        <v>1.0</v>
      </c>
      <c r="K1720" s="300">
        <v>1.0</v>
      </c>
      <c r="L1720" s="300">
        <v>1.0</v>
      </c>
      <c r="M1720" s="300">
        <v>1.0</v>
      </c>
      <c r="N1720" s="300">
        <v>8.0</v>
      </c>
      <c r="O1720" s="300" t="s">
        <v>873</v>
      </c>
      <c r="P1720" s="300">
        <v>7.0</v>
      </c>
    </row>
    <row r="1721">
      <c r="A1721">
        <f>IFERROR(__xludf.DUMMYFUNCTION("""COMPUTED_VALUE"""),10.0)</f>
        <v>10</v>
      </c>
      <c r="B1721" s="406">
        <f>IFERROR(__xludf.DUMMYFUNCTION("""COMPUTED_VALUE"""),28173.0)</f>
        <v>28173</v>
      </c>
      <c r="C1721" t="str">
        <f>IFERROR(__xludf.DUMMYFUNCTION("""COMPUTED_VALUE"""),"RUIZ RAMIREZ, JACOBO")</f>
        <v>RUIZ RAMIREZ, JACOBO</v>
      </c>
      <c r="D1721" t="str">
        <f>IFERROR(__xludf.DUMMYFUNCTION("""COMPUTED_VALUE"""),"Chemistry")</f>
        <v>Chemistry</v>
      </c>
      <c r="E1721" s="3">
        <f>IFERROR(__xludf.DUMMYFUNCTION("""COMPUTED_VALUE"""),8.0)</f>
        <v>8</v>
      </c>
      <c r="F1721" s="300">
        <v>1.0</v>
      </c>
      <c r="G1721" s="300">
        <v>1.0</v>
      </c>
      <c r="H1721" s="300">
        <v>1.0</v>
      </c>
      <c r="I1721" s="300">
        <v>1.0</v>
      </c>
      <c r="J1721" s="300">
        <v>1.0</v>
      </c>
      <c r="K1721" s="300">
        <v>1.0</v>
      </c>
      <c r="L1721" s="300">
        <v>1.0</v>
      </c>
      <c r="M1721" s="300">
        <v>1.0</v>
      </c>
      <c r="N1721" s="300">
        <v>8.0</v>
      </c>
      <c r="O1721" s="300" t="s">
        <v>873</v>
      </c>
      <c r="P1721" s="300">
        <v>7.0</v>
      </c>
    </row>
    <row r="1722">
      <c r="A1722">
        <f>IFERROR(__xludf.DUMMYFUNCTION("""COMPUTED_VALUE"""),10.0)</f>
        <v>10</v>
      </c>
      <c r="B1722" s="406">
        <f>IFERROR(__xludf.DUMMYFUNCTION("""COMPUTED_VALUE"""),28159.0)</f>
        <v>28159</v>
      </c>
      <c r="C1722" t="str">
        <f>IFERROR(__xludf.DUMMYFUNCTION("""COMPUTED_VALUE"""),"OROZCO RINCON, JUAN SEBASTIAN")</f>
        <v>OROZCO RINCON, JUAN SEBASTIAN</v>
      </c>
      <c r="D1722" t="str">
        <f>IFERROR(__xludf.DUMMYFUNCTION("""COMPUTED_VALUE"""),"Chemistry")</f>
        <v>Chemistry</v>
      </c>
      <c r="E1722" s="3">
        <f>IFERROR(__xludf.DUMMYFUNCTION("""COMPUTED_VALUE"""),7.0)</f>
        <v>7</v>
      </c>
      <c r="F1722" s="300">
        <v>1.0</v>
      </c>
      <c r="G1722" s="300">
        <v>1.0</v>
      </c>
      <c r="H1722" s="300">
        <v>1.0</v>
      </c>
      <c r="I1722" s="300">
        <v>1.0</v>
      </c>
      <c r="J1722" s="300">
        <v>1.0</v>
      </c>
      <c r="K1722" s="300">
        <v>1.0</v>
      </c>
      <c r="L1722" s="300">
        <v>1.0</v>
      </c>
      <c r="M1722" s="300">
        <v>1.0</v>
      </c>
      <c r="N1722" s="300">
        <v>8.0</v>
      </c>
      <c r="O1722" s="300" t="s">
        <v>874</v>
      </c>
      <c r="P1722" s="300">
        <v>7.0</v>
      </c>
    </row>
    <row r="1723">
      <c r="A1723">
        <f>IFERROR(__xludf.DUMMYFUNCTION("""COMPUTED_VALUE"""),10.0)</f>
        <v>10</v>
      </c>
      <c r="B1723" s="406">
        <f>IFERROR(__xludf.DUMMYFUNCTION("""COMPUTED_VALUE"""),28063.0)</f>
        <v>28063</v>
      </c>
      <c r="C1723" t="str">
        <f>IFERROR(__xludf.DUMMYFUNCTION("""COMPUTED_VALUE"""),"MEJIA GONZALEZ, ISMAEL IGNACIO")</f>
        <v>MEJIA GONZALEZ, ISMAEL IGNACIO</v>
      </c>
      <c r="D1723" t="str">
        <f>IFERROR(__xludf.DUMMYFUNCTION("""COMPUTED_VALUE"""),"Chemistry")</f>
        <v>Chemistry</v>
      </c>
      <c r="E1723" s="3">
        <f>IFERROR(__xludf.DUMMYFUNCTION("""COMPUTED_VALUE"""),1.0)</f>
        <v>1</v>
      </c>
      <c r="F1723" s="300">
        <v>1.0</v>
      </c>
      <c r="G1723" s="300">
        <v>1.0</v>
      </c>
      <c r="H1723" s="300">
        <v>1.0</v>
      </c>
      <c r="I1723" s="300">
        <v>1.0</v>
      </c>
      <c r="J1723" s="300">
        <v>1.0</v>
      </c>
      <c r="K1723" s="300">
        <v>1.0</v>
      </c>
      <c r="L1723" s="300">
        <v>1.0</v>
      </c>
      <c r="M1723" s="300">
        <v>1.0</v>
      </c>
      <c r="N1723" s="300">
        <v>8.0</v>
      </c>
      <c r="O1723" s="300" t="s">
        <v>875</v>
      </c>
      <c r="P1723" s="300">
        <v>7.0</v>
      </c>
    </row>
    <row r="1724">
      <c r="A1724">
        <f>IFERROR(__xludf.DUMMYFUNCTION("""COMPUTED_VALUE"""),10.0)</f>
        <v>10</v>
      </c>
      <c r="B1724" s="406">
        <f>IFERROR(__xludf.DUMMYFUNCTION("""COMPUTED_VALUE"""),28155.0)</f>
        <v>28155</v>
      </c>
      <c r="C1724" t="str">
        <f>IFERROR(__xludf.DUMMYFUNCTION("""COMPUTED_VALUE"""),"URIBE CERON, MANUELA")</f>
        <v>URIBE CERON, MANUELA</v>
      </c>
      <c r="D1724" t="str">
        <f>IFERROR(__xludf.DUMMYFUNCTION("""COMPUTED_VALUE"""),"Chemistry")</f>
        <v>Chemistry</v>
      </c>
      <c r="E1724" s="3">
        <f>IFERROR(__xludf.DUMMYFUNCTION("""COMPUTED_VALUE"""),7.0)</f>
        <v>7</v>
      </c>
      <c r="F1724" s="300">
        <v>1.0</v>
      </c>
      <c r="G1724" s="300">
        <v>1.0</v>
      </c>
      <c r="H1724" s="300">
        <v>1.0</v>
      </c>
      <c r="I1724" s="300">
        <v>1.0</v>
      </c>
      <c r="J1724" s="300">
        <v>1.0</v>
      </c>
      <c r="K1724" s="300">
        <v>1.0</v>
      </c>
      <c r="L1724" s="300">
        <v>1.0</v>
      </c>
      <c r="M1724" s="300">
        <v>1.0</v>
      </c>
      <c r="N1724" s="300">
        <v>8.0</v>
      </c>
      <c r="O1724" s="300" t="s">
        <v>874</v>
      </c>
      <c r="P1724" s="300">
        <v>7.0</v>
      </c>
    </row>
    <row r="1725">
      <c r="A1725">
        <f>IFERROR(__xludf.DUMMYFUNCTION("""COMPUTED_VALUE"""),10.0)</f>
        <v>10</v>
      </c>
      <c r="B1725" s="406">
        <f>IFERROR(__xludf.DUMMYFUNCTION("""COMPUTED_VALUE"""),28109.0)</f>
        <v>28109</v>
      </c>
      <c r="C1725" t="str">
        <f>IFERROR(__xludf.DUMMYFUNCTION("""COMPUTED_VALUE"""),"TRUJILLO VELEZ, MARIANA")</f>
        <v>TRUJILLO VELEZ, MARIANA</v>
      </c>
      <c r="D1725" t="str">
        <f>IFERROR(__xludf.DUMMYFUNCTION("""COMPUTED_VALUE"""),"Chemistry")</f>
        <v>Chemistry</v>
      </c>
      <c r="E1725" s="3">
        <f>IFERROR(__xludf.DUMMYFUNCTION("""COMPUTED_VALUE"""),8.0)</f>
        <v>8</v>
      </c>
      <c r="F1725" s="300">
        <v>1.0</v>
      </c>
      <c r="G1725" s="300">
        <v>1.0</v>
      </c>
      <c r="H1725" s="300">
        <v>1.0</v>
      </c>
      <c r="I1725" s="300">
        <v>1.0</v>
      </c>
      <c r="J1725" s="300">
        <v>1.0</v>
      </c>
      <c r="K1725" s="300">
        <v>1.0</v>
      </c>
      <c r="L1725" s="300">
        <v>1.0</v>
      </c>
      <c r="M1725" s="300">
        <v>1.0</v>
      </c>
      <c r="N1725" s="300">
        <v>8.0</v>
      </c>
      <c r="O1725" s="300" t="s">
        <v>873</v>
      </c>
      <c r="P1725" s="300">
        <v>7.0</v>
      </c>
    </row>
    <row r="1726">
      <c r="A1726">
        <f>IFERROR(__xludf.DUMMYFUNCTION("""COMPUTED_VALUE"""),10.0)</f>
        <v>10</v>
      </c>
      <c r="B1726" s="406">
        <f>IFERROR(__xludf.DUMMYFUNCTION("""COMPUTED_VALUE"""),28108.0)</f>
        <v>28108</v>
      </c>
      <c r="C1726" t="str">
        <f>IFERROR(__xludf.DUMMYFUNCTION("""COMPUTED_VALUE"""),"TRUJILLO SOTO, SUSANA")</f>
        <v>TRUJILLO SOTO, SUSANA</v>
      </c>
      <c r="D1726" t="str">
        <f>IFERROR(__xludf.DUMMYFUNCTION("""COMPUTED_VALUE"""),"Chemistry")</f>
        <v>Chemistry</v>
      </c>
      <c r="E1726" s="3">
        <f>IFERROR(__xludf.DUMMYFUNCTION("""COMPUTED_VALUE"""),2.0)</f>
        <v>2</v>
      </c>
      <c r="F1726" s="300">
        <v>1.0</v>
      </c>
      <c r="G1726" s="300">
        <v>1.0</v>
      </c>
      <c r="H1726" s="300">
        <v>1.0</v>
      </c>
      <c r="I1726" s="300">
        <v>1.0</v>
      </c>
      <c r="J1726" s="300">
        <v>1.0</v>
      </c>
      <c r="K1726" s="300">
        <v>1.0</v>
      </c>
      <c r="L1726" s="300">
        <v>1.0</v>
      </c>
      <c r="M1726" s="300">
        <v>1.0</v>
      </c>
      <c r="N1726" s="300">
        <v>8.0</v>
      </c>
      <c r="O1726" s="300" t="s">
        <v>876</v>
      </c>
      <c r="P1726" s="300">
        <v>7.0</v>
      </c>
    </row>
    <row r="1727">
      <c r="A1727">
        <f>IFERROR(__xludf.DUMMYFUNCTION("""COMPUTED_VALUE"""),10.0)</f>
        <v>10</v>
      </c>
      <c r="B1727" s="406">
        <f>IFERROR(__xludf.DUMMYFUNCTION("""COMPUTED_VALUE"""),27094.0)</f>
        <v>27094</v>
      </c>
      <c r="C1727" t="str">
        <f>IFERROR(__xludf.DUMMYFUNCTION("""COMPUTED_VALUE"""),"RAMIREZ CORREA, TOMAS")</f>
        <v>RAMIREZ CORREA, TOMAS</v>
      </c>
      <c r="D1727" t="str">
        <f>IFERROR(__xludf.DUMMYFUNCTION("""COMPUTED_VALUE"""),"Chemistry")</f>
        <v>Chemistry</v>
      </c>
      <c r="E1727" s="3">
        <f>IFERROR(__xludf.DUMMYFUNCTION("""COMPUTED_VALUE"""),6.0)</f>
        <v>6</v>
      </c>
      <c r="F1727" s="300">
        <v>1.0</v>
      </c>
      <c r="G1727" s="300">
        <v>1.0</v>
      </c>
      <c r="H1727" s="300">
        <v>1.0</v>
      </c>
      <c r="I1727" s="300">
        <v>1.0</v>
      </c>
      <c r="J1727" s="300">
        <v>1.0</v>
      </c>
      <c r="K1727" s="300">
        <v>1.0</v>
      </c>
      <c r="L1727" s="300">
        <v>1.0</v>
      </c>
      <c r="M1727" s="300">
        <v>1.0</v>
      </c>
      <c r="N1727" s="300">
        <v>8.0</v>
      </c>
      <c r="O1727" s="300" t="s">
        <v>878</v>
      </c>
      <c r="P1727" s="300">
        <v>7.0</v>
      </c>
    </row>
    <row r="1728">
      <c r="A1728">
        <f>IFERROR(__xludf.DUMMYFUNCTION("""COMPUTED_VALUE"""),10.0)</f>
        <v>10</v>
      </c>
      <c r="B1728" s="406">
        <f>IFERROR(__xludf.DUMMYFUNCTION("""COMPUTED_VALUE"""),28171.0)</f>
        <v>28171</v>
      </c>
      <c r="C1728" t="str">
        <f>IFERROR(__xludf.DUMMYFUNCTION("""COMPUTED_VALUE"""),"DE MUNCK MORTIER, JULIE")</f>
        <v>DE MUNCK MORTIER, JULIE</v>
      </c>
      <c r="D1728" t="str">
        <f>IFERROR(__xludf.DUMMYFUNCTION("""COMPUTED_VALUE"""),"Chemistry")</f>
        <v>Chemistry</v>
      </c>
      <c r="E1728" s="3">
        <f>IFERROR(__xludf.DUMMYFUNCTION("""COMPUTED_VALUE"""),1.0)</f>
        <v>1</v>
      </c>
      <c r="F1728" s="300">
        <v>1.0</v>
      </c>
      <c r="G1728" s="300">
        <v>1.0</v>
      </c>
      <c r="H1728" s="300">
        <v>1.0</v>
      </c>
      <c r="I1728" s="300">
        <v>1.0</v>
      </c>
      <c r="J1728" s="300">
        <v>1.0</v>
      </c>
      <c r="K1728" s="300">
        <v>1.0</v>
      </c>
      <c r="L1728" s="300">
        <v>1.0</v>
      </c>
      <c r="M1728" s="300">
        <v>1.0</v>
      </c>
      <c r="N1728" s="300">
        <v>8.0</v>
      </c>
      <c r="O1728" s="300" t="s">
        <v>875</v>
      </c>
      <c r="P1728" s="300">
        <v>7.0</v>
      </c>
    </row>
    <row r="1729">
      <c r="A1729">
        <f>IFERROR(__xludf.DUMMYFUNCTION("""COMPUTED_VALUE"""),10.0)</f>
        <v>10</v>
      </c>
      <c r="B1729" s="406">
        <f>IFERROR(__xludf.DUMMYFUNCTION("""COMPUTED_VALUE"""),28174.0)</f>
        <v>28174</v>
      </c>
      <c r="C1729" t="str">
        <f>IFERROR(__xludf.DUMMYFUNCTION("""COMPUTED_VALUE"""),"SANCHEZ HAVARD, VANESA FAITH")</f>
        <v>SANCHEZ HAVARD, VANESA FAITH</v>
      </c>
      <c r="D1729" t="str">
        <f>IFERROR(__xludf.DUMMYFUNCTION("""COMPUTED_VALUE"""),"Chemistry")</f>
        <v>Chemistry</v>
      </c>
      <c r="E1729" s="3">
        <f>IFERROR(__xludf.DUMMYFUNCTION("""COMPUTED_VALUE"""),5.0)</f>
        <v>5</v>
      </c>
      <c r="F1729" s="300">
        <v>1.0</v>
      </c>
      <c r="G1729" s="300">
        <v>1.0</v>
      </c>
      <c r="H1729" s="300">
        <v>1.0</v>
      </c>
      <c r="I1729" s="300">
        <v>1.0</v>
      </c>
      <c r="J1729" s="300">
        <v>1.0</v>
      </c>
      <c r="K1729" s="300">
        <v>1.0</v>
      </c>
      <c r="L1729" s="300">
        <v>1.0</v>
      </c>
      <c r="M1729" s="300">
        <v>1.0</v>
      </c>
      <c r="N1729" s="300">
        <v>8.0</v>
      </c>
      <c r="O1729" s="300" t="s">
        <v>877</v>
      </c>
      <c r="P1729" s="300">
        <v>7.0</v>
      </c>
    </row>
    <row r="1730">
      <c r="A1730">
        <f>IFERROR(__xludf.DUMMYFUNCTION("""COMPUTED_VALUE"""),10.0)</f>
        <v>10</v>
      </c>
      <c r="B1730" s="406">
        <f>IFERROR(__xludf.DUMMYFUNCTION("""COMPUTED_VALUE"""),28158.0)</f>
        <v>28158</v>
      </c>
      <c r="C1730" t="str">
        <f>IFERROR(__xludf.DUMMYFUNCTION("""COMPUTED_VALUE"""),"ZARRUK BELTRAN, MARTIN")</f>
        <v>ZARRUK BELTRAN, MARTIN</v>
      </c>
      <c r="D1730" t="str">
        <f>IFERROR(__xludf.DUMMYFUNCTION("""COMPUTED_VALUE"""),"Chemistry")</f>
        <v>Chemistry</v>
      </c>
      <c r="E1730" s="3">
        <f>IFERROR(__xludf.DUMMYFUNCTION("""COMPUTED_VALUE"""),5.0)</f>
        <v>5</v>
      </c>
      <c r="F1730" s="300">
        <v>1.0</v>
      </c>
      <c r="G1730" s="300">
        <v>1.0</v>
      </c>
      <c r="H1730" s="300">
        <v>1.0</v>
      </c>
      <c r="I1730" s="300">
        <v>1.0</v>
      </c>
      <c r="J1730" s="300">
        <v>1.0</v>
      </c>
      <c r="K1730" s="300">
        <v>1.0</v>
      </c>
      <c r="L1730" s="300">
        <v>1.0</v>
      </c>
      <c r="M1730" s="300">
        <v>1.0</v>
      </c>
      <c r="N1730" s="300">
        <v>8.0</v>
      </c>
      <c r="O1730" s="300" t="s">
        <v>877</v>
      </c>
      <c r="P1730" s="300">
        <v>7.0</v>
      </c>
    </row>
    <row r="1731">
      <c r="A1731">
        <f>IFERROR(__xludf.DUMMYFUNCTION("""COMPUTED_VALUE"""),10.0)</f>
        <v>10</v>
      </c>
      <c r="B1731" s="406">
        <f>IFERROR(__xludf.DUMMYFUNCTION("""COMPUTED_VALUE"""),28140.0)</f>
        <v>28140</v>
      </c>
      <c r="C1731" t="str">
        <f>IFERROR(__xludf.DUMMYFUNCTION("""COMPUTED_VALUE"""),"ARISTIZABAL VILLEGAS, EMILIO")</f>
        <v>ARISTIZABAL VILLEGAS, EMILIO</v>
      </c>
      <c r="D1731" t="str">
        <f>IFERROR(__xludf.DUMMYFUNCTION("""COMPUTED_VALUE"""),"Chemistry")</f>
        <v>Chemistry</v>
      </c>
      <c r="E1731" s="3">
        <f>IFERROR(__xludf.DUMMYFUNCTION("""COMPUTED_VALUE"""),7.0)</f>
        <v>7</v>
      </c>
      <c r="F1731" s="300">
        <v>1.0</v>
      </c>
      <c r="G1731" s="300">
        <v>1.0</v>
      </c>
      <c r="H1731" s="300">
        <v>1.0</v>
      </c>
      <c r="I1731" s="300">
        <v>1.0</v>
      </c>
      <c r="J1731" s="300">
        <v>1.0</v>
      </c>
      <c r="K1731" s="300">
        <v>1.0</v>
      </c>
      <c r="L1731" s="300">
        <v>1.0</v>
      </c>
      <c r="M1731" s="300">
        <v>1.0</v>
      </c>
      <c r="N1731" s="300">
        <v>8.0</v>
      </c>
      <c r="O1731" s="300" t="s">
        <v>874</v>
      </c>
      <c r="P1731" s="300">
        <v>7.0</v>
      </c>
    </row>
    <row r="1732">
      <c r="A1732">
        <f>IFERROR(__xludf.DUMMYFUNCTION("""COMPUTED_VALUE"""),10.0)</f>
        <v>10</v>
      </c>
      <c r="B1732" s="406">
        <f>IFERROR(__xludf.DUMMYFUNCTION("""COMPUTED_VALUE"""),28020.0)</f>
        <v>28020</v>
      </c>
      <c r="C1732" t="str">
        <f>IFERROR(__xludf.DUMMYFUNCTION("""COMPUTED_VALUE"""),"CADAVID RESTREPO, ANTONIO")</f>
        <v>CADAVID RESTREPO, ANTONIO</v>
      </c>
      <c r="D1732" t="str">
        <f>IFERROR(__xludf.DUMMYFUNCTION("""COMPUTED_VALUE"""),"Chemistry")</f>
        <v>Chemistry</v>
      </c>
      <c r="E1732" s="3">
        <f>IFERROR(__xludf.DUMMYFUNCTION("""COMPUTED_VALUE"""),7.0)</f>
        <v>7</v>
      </c>
      <c r="F1732" s="300">
        <v>1.0</v>
      </c>
      <c r="G1732" s="300">
        <v>1.0</v>
      </c>
      <c r="H1732" s="300">
        <v>1.0</v>
      </c>
      <c r="I1732" s="300">
        <v>1.0</v>
      </c>
      <c r="J1732" s="300">
        <v>1.0</v>
      </c>
      <c r="K1732" s="300">
        <v>1.0</v>
      </c>
      <c r="L1732" s="300">
        <v>1.0</v>
      </c>
      <c r="M1732" s="300">
        <v>1.0</v>
      </c>
      <c r="N1732" s="300">
        <v>8.0</v>
      </c>
      <c r="O1732" s="300" t="s">
        <v>874</v>
      </c>
      <c r="P1732" s="300">
        <v>7.0</v>
      </c>
    </row>
    <row r="1733">
      <c r="A1733">
        <f>IFERROR(__xludf.DUMMYFUNCTION("""COMPUTED_VALUE"""),10.0)</f>
        <v>10</v>
      </c>
      <c r="B1733" s="406">
        <f>IFERROR(__xludf.DUMMYFUNCTION("""COMPUTED_VALUE"""),28095.0)</f>
        <v>28095</v>
      </c>
      <c r="C1733" t="str">
        <f>IFERROR(__xludf.DUMMYFUNCTION("""COMPUTED_VALUE"""),"RESTREPO QUINTERO, ANTONIO")</f>
        <v>RESTREPO QUINTERO, ANTONIO</v>
      </c>
      <c r="D1733" t="str">
        <f>IFERROR(__xludf.DUMMYFUNCTION("""COMPUTED_VALUE"""),"Chemistry")</f>
        <v>Chemistry</v>
      </c>
      <c r="E1733" s="3">
        <f>IFERROR(__xludf.DUMMYFUNCTION("""COMPUTED_VALUE"""),6.0)</f>
        <v>6</v>
      </c>
      <c r="F1733" s="300">
        <v>1.0</v>
      </c>
      <c r="G1733" s="300">
        <v>1.0</v>
      </c>
      <c r="H1733" s="300">
        <v>1.0</v>
      </c>
      <c r="I1733" s="300">
        <v>1.0</v>
      </c>
      <c r="J1733" s="300">
        <v>1.0</v>
      </c>
      <c r="K1733" s="300">
        <v>1.0</v>
      </c>
      <c r="L1733" s="300">
        <v>1.0</v>
      </c>
      <c r="M1733" s="300">
        <v>1.0</v>
      </c>
      <c r="N1733" s="300">
        <v>8.0</v>
      </c>
      <c r="O1733" s="300" t="s">
        <v>878</v>
      </c>
      <c r="P1733" s="300">
        <v>7.0</v>
      </c>
    </row>
    <row r="1734">
      <c r="A1734">
        <f>IFERROR(__xludf.DUMMYFUNCTION("""COMPUTED_VALUE"""),10.0)</f>
        <v>10</v>
      </c>
      <c r="B1734" s="406">
        <f>IFERROR(__xludf.DUMMYFUNCTION("""COMPUTED_VALUE"""),28002.0)</f>
        <v>28002</v>
      </c>
      <c r="C1734" t="str">
        <f>IFERROR(__xludf.DUMMYFUNCTION("""COMPUTED_VALUE"""),"ANGEL MESA, PEDRO")</f>
        <v>ANGEL MESA, PEDRO</v>
      </c>
      <c r="D1734" t="str">
        <f>IFERROR(__xludf.DUMMYFUNCTION("""COMPUTED_VALUE"""),"Chemistry")</f>
        <v>Chemistry</v>
      </c>
      <c r="E1734" s="3">
        <f>IFERROR(__xludf.DUMMYFUNCTION("""COMPUTED_VALUE"""),7.0)</f>
        <v>7</v>
      </c>
      <c r="F1734" s="300">
        <v>1.0</v>
      </c>
      <c r="G1734" s="300">
        <v>1.0</v>
      </c>
      <c r="H1734" s="300">
        <v>1.0</v>
      </c>
      <c r="I1734" s="300">
        <v>1.0</v>
      </c>
      <c r="J1734" s="300">
        <v>1.0</v>
      </c>
      <c r="K1734" s="300">
        <v>1.0</v>
      </c>
      <c r="L1734" s="300">
        <v>1.0</v>
      </c>
      <c r="M1734" s="300">
        <v>1.0</v>
      </c>
      <c r="N1734" s="300">
        <v>8.0</v>
      </c>
      <c r="O1734" s="300" t="s">
        <v>874</v>
      </c>
      <c r="P1734" s="300">
        <v>7.0</v>
      </c>
    </row>
    <row r="1735">
      <c r="A1735">
        <f>IFERROR(__xludf.DUMMYFUNCTION("""COMPUTED_VALUE"""),10.0)</f>
        <v>10</v>
      </c>
      <c r="B1735" s="406">
        <f>IFERROR(__xludf.DUMMYFUNCTION("""COMPUTED_VALUE"""),28052.0)</f>
        <v>28052</v>
      </c>
      <c r="C1735" t="str">
        <f>IFERROR(__xludf.DUMMYFUNCTION("""COMPUTED_VALUE"""),"LONDOÑO VILLA, PEDRO")</f>
        <v>LONDOÑO VILLA, PEDRO</v>
      </c>
      <c r="D1735" t="str">
        <f>IFERROR(__xludf.DUMMYFUNCTION("""COMPUTED_VALUE"""),"Chemistry")</f>
        <v>Chemistry</v>
      </c>
      <c r="E1735" s="3">
        <f>IFERROR(__xludf.DUMMYFUNCTION("""COMPUTED_VALUE"""),3.0)</f>
        <v>3</v>
      </c>
      <c r="F1735" s="300">
        <v>1.0</v>
      </c>
      <c r="G1735" s="300">
        <v>1.0</v>
      </c>
      <c r="H1735" s="300">
        <v>1.0</v>
      </c>
      <c r="I1735" s="300">
        <v>1.0</v>
      </c>
      <c r="J1735" s="300">
        <v>1.0</v>
      </c>
      <c r="K1735" s="300">
        <v>1.0</v>
      </c>
      <c r="L1735" s="300">
        <v>1.0</v>
      </c>
      <c r="M1735" s="300">
        <v>1.0</v>
      </c>
      <c r="N1735" s="300">
        <v>8.0</v>
      </c>
      <c r="O1735" s="300" t="s">
        <v>879</v>
      </c>
      <c r="P1735" s="300">
        <v>7.0</v>
      </c>
    </row>
    <row r="1736">
      <c r="A1736">
        <f>IFERROR(__xludf.DUMMYFUNCTION("""COMPUTED_VALUE"""),10.0)</f>
        <v>10</v>
      </c>
      <c r="B1736" s="406">
        <f>IFERROR(__xludf.DUMMYFUNCTION("""COMPUTED_VALUE"""),28101.0)</f>
        <v>28101</v>
      </c>
      <c r="C1736" t="str">
        <f>IFERROR(__xludf.DUMMYFUNCTION("""COMPUTED_VALUE"""),"ROJAS VELEZ, LUCIANA")</f>
        <v>ROJAS VELEZ, LUCIANA</v>
      </c>
      <c r="D1736" t="str">
        <f>IFERROR(__xludf.DUMMYFUNCTION("""COMPUTED_VALUE"""),"Chemistry")</f>
        <v>Chemistry</v>
      </c>
      <c r="E1736" s="3">
        <f>IFERROR(__xludf.DUMMYFUNCTION("""COMPUTED_VALUE"""),5.0)</f>
        <v>5</v>
      </c>
      <c r="F1736" s="300">
        <v>1.0</v>
      </c>
      <c r="G1736" s="300">
        <v>1.0</v>
      </c>
      <c r="H1736" s="300">
        <v>1.0</v>
      </c>
      <c r="I1736" s="300">
        <v>1.0</v>
      </c>
      <c r="J1736" s="300">
        <v>1.0</v>
      </c>
      <c r="K1736" s="300">
        <v>1.0</v>
      </c>
      <c r="L1736" s="300">
        <v>1.0</v>
      </c>
      <c r="M1736" s="300">
        <v>1.0</v>
      </c>
      <c r="N1736" s="300">
        <v>8.0</v>
      </c>
      <c r="O1736" s="300" t="s">
        <v>877</v>
      </c>
      <c r="P1736" s="300">
        <v>7.0</v>
      </c>
    </row>
    <row r="1737">
      <c r="A1737">
        <f>IFERROR(__xludf.DUMMYFUNCTION("""COMPUTED_VALUE"""),10.0)</f>
        <v>10</v>
      </c>
      <c r="B1737" s="406">
        <f>IFERROR(__xludf.DUMMYFUNCTION("""COMPUTED_VALUE"""),28061.0)</f>
        <v>28061</v>
      </c>
      <c r="C1737" t="str">
        <f>IFERROR(__xludf.DUMMYFUNCTION("""COMPUTED_VALUE"""),"MEDINA NOREÑA, MANUELA")</f>
        <v>MEDINA NOREÑA, MANUELA</v>
      </c>
      <c r="D1737" t="str">
        <f>IFERROR(__xludf.DUMMYFUNCTION("""COMPUTED_VALUE"""),"Chemistry")</f>
        <v>Chemistry</v>
      </c>
      <c r="E1737" s="3">
        <f>IFERROR(__xludf.DUMMYFUNCTION("""COMPUTED_VALUE"""),5.0)</f>
        <v>5</v>
      </c>
      <c r="F1737" s="300">
        <v>1.0</v>
      </c>
      <c r="G1737" s="300">
        <v>1.0</v>
      </c>
      <c r="H1737" s="300">
        <v>1.0</v>
      </c>
      <c r="I1737" s="300">
        <v>1.0</v>
      </c>
      <c r="J1737" s="300">
        <v>1.0</v>
      </c>
      <c r="K1737" s="300">
        <v>1.0</v>
      </c>
      <c r="L1737" s="300">
        <v>1.0</v>
      </c>
      <c r="M1737" s="300">
        <v>1.0</v>
      </c>
      <c r="N1737" s="300">
        <v>8.0</v>
      </c>
      <c r="O1737" s="300" t="s">
        <v>877</v>
      </c>
      <c r="P1737" s="300">
        <v>7.0</v>
      </c>
    </row>
    <row r="1738">
      <c r="A1738">
        <f>IFERROR(__xludf.DUMMYFUNCTION("""COMPUTED_VALUE"""),10.0)</f>
        <v>10</v>
      </c>
      <c r="B1738" s="406">
        <f>IFERROR(__xludf.DUMMYFUNCTION("""COMPUTED_VALUE"""),28136.0)</f>
        <v>28136</v>
      </c>
      <c r="C1738" t="str">
        <f>IFERROR(__xludf.DUMMYFUNCTION("""COMPUTED_VALUE"""),"SALAZAR ECHEVERRI, ELISA")</f>
        <v>SALAZAR ECHEVERRI, ELISA</v>
      </c>
      <c r="D1738" t="str">
        <f>IFERROR(__xludf.DUMMYFUNCTION("""COMPUTED_VALUE"""),"Chemistry")</f>
        <v>Chemistry</v>
      </c>
      <c r="E1738" s="3">
        <f>IFERROR(__xludf.DUMMYFUNCTION("""COMPUTED_VALUE"""),6.0)</f>
        <v>6</v>
      </c>
      <c r="F1738" s="300">
        <v>1.0</v>
      </c>
      <c r="G1738" s="300">
        <v>1.0</v>
      </c>
      <c r="H1738" s="300">
        <v>1.0</v>
      </c>
      <c r="I1738" s="300">
        <v>1.0</v>
      </c>
      <c r="J1738" s="300">
        <v>1.0</v>
      </c>
      <c r="K1738" s="300">
        <v>1.0</v>
      </c>
      <c r="L1738" s="300">
        <v>1.0</v>
      </c>
      <c r="M1738" s="300">
        <v>1.0</v>
      </c>
      <c r="N1738" s="300">
        <v>8.0</v>
      </c>
      <c r="O1738" s="300" t="s">
        <v>878</v>
      </c>
      <c r="P1738" s="300">
        <v>7.0</v>
      </c>
    </row>
    <row r="1739">
      <c r="A1739">
        <f>IFERROR(__xludf.DUMMYFUNCTION("""COMPUTED_VALUE"""),10.0)</f>
        <v>10</v>
      </c>
      <c r="B1739" s="406">
        <f>IFERROR(__xludf.DUMMYFUNCTION("""COMPUTED_VALUE"""),28010.0)</f>
        <v>28010</v>
      </c>
      <c r="C1739" t="str">
        <f>IFERROR(__xludf.DUMMYFUNCTION("""COMPUTED_VALUE"""),"ATEHORTUA MORENO, SOFIA")</f>
        <v>ATEHORTUA MORENO, SOFIA</v>
      </c>
      <c r="D1739" t="str">
        <f>IFERROR(__xludf.DUMMYFUNCTION("""COMPUTED_VALUE"""),"Chemistry")</f>
        <v>Chemistry</v>
      </c>
      <c r="E1739" s="3">
        <f>IFERROR(__xludf.DUMMYFUNCTION("""COMPUTED_VALUE"""),6.0)</f>
        <v>6</v>
      </c>
      <c r="F1739" s="300">
        <v>1.0</v>
      </c>
      <c r="G1739" s="300">
        <v>1.0</v>
      </c>
      <c r="H1739" s="300">
        <v>1.0</v>
      </c>
      <c r="I1739" s="300">
        <v>1.0</v>
      </c>
      <c r="J1739" s="300">
        <v>1.0</v>
      </c>
      <c r="K1739" s="300">
        <v>1.0</v>
      </c>
      <c r="L1739" s="300">
        <v>1.0</v>
      </c>
      <c r="M1739" s="300">
        <v>1.0</v>
      </c>
      <c r="N1739" s="300">
        <v>8.0</v>
      </c>
      <c r="O1739" s="300" t="s">
        <v>878</v>
      </c>
      <c r="P1739" s="300">
        <v>7.0</v>
      </c>
    </row>
    <row r="1740">
      <c r="A1740">
        <f>IFERROR(__xludf.DUMMYFUNCTION("""COMPUTED_VALUE"""),10.0)</f>
        <v>10</v>
      </c>
      <c r="B1740" s="406">
        <f>IFERROR(__xludf.DUMMYFUNCTION("""COMPUTED_VALUE"""),28035.0)</f>
        <v>28035</v>
      </c>
      <c r="C1740" t="str">
        <f>IFERROR(__xludf.DUMMYFUNCTION("""COMPUTED_VALUE"""),"GAVIRIA GONZALEZ, MARIA JOSE")</f>
        <v>GAVIRIA GONZALEZ, MARIA JOSE</v>
      </c>
      <c r="D1740" t="str">
        <f>IFERROR(__xludf.DUMMYFUNCTION("""COMPUTED_VALUE"""),"Chemistry")</f>
        <v>Chemistry</v>
      </c>
      <c r="E1740" s="3">
        <f>IFERROR(__xludf.DUMMYFUNCTION("""COMPUTED_VALUE"""),2.0)</f>
        <v>2</v>
      </c>
      <c r="F1740" s="300">
        <v>1.0</v>
      </c>
      <c r="G1740" s="300">
        <v>1.0</v>
      </c>
      <c r="H1740" s="300">
        <v>1.0</v>
      </c>
      <c r="I1740" s="300">
        <v>1.0</v>
      </c>
      <c r="J1740" s="300">
        <v>1.0</v>
      </c>
      <c r="K1740" s="300">
        <v>1.0</v>
      </c>
      <c r="L1740" s="300">
        <v>1.0</v>
      </c>
      <c r="M1740" s="300">
        <v>1.0</v>
      </c>
      <c r="N1740" s="300">
        <v>8.0</v>
      </c>
      <c r="O1740" s="300" t="s">
        <v>876</v>
      </c>
      <c r="P1740" s="300">
        <v>7.0</v>
      </c>
    </row>
    <row r="1741">
      <c r="A1741">
        <f>IFERROR(__xludf.DUMMYFUNCTION("""COMPUTED_VALUE"""),10.0)</f>
        <v>10</v>
      </c>
      <c r="B1741" s="406">
        <f>IFERROR(__xludf.DUMMYFUNCTION("""COMPUTED_VALUE"""),28027.0)</f>
        <v>28027</v>
      </c>
      <c r="C1741" t="str">
        <f>IFERROR(__xludf.DUMMYFUNCTION("""COMPUTED_VALUE"""),"ESTRADA JIMENEZ, MARIA")</f>
        <v>ESTRADA JIMENEZ, MARIA</v>
      </c>
      <c r="D1741" t="str">
        <f>IFERROR(__xludf.DUMMYFUNCTION("""COMPUTED_VALUE"""),"Chemistry")</f>
        <v>Chemistry</v>
      </c>
      <c r="E1741" s="3">
        <f>IFERROR(__xludf.DUMMYFUNCTION("""COMPUTED_VALUE"""),6.0)</f>
        <v>6</v>
      </c>
      <c r="F1741" s="300">
        <v>1.0</v>
      </c>
      <c r="G1741" s="300">
        <v>1.0</v>
      </c>
      <c r="H1741" s="300">
        <v>1.0</v>
      </c>
      <c r="I1741" s="300">
        <v>1.0</v>
      </c>
      <c r="J1741" s="300">
        <v>1.0</v>
      </c>
      <c r="K1741" s="300">
        <v>1.0</v>
      </c>
      <c r="L1741" s="300">
        <v>1.0</v>
      </c>
      <c r="M1741" s="300">
        <v>1.0</v>
      </c>
      <c r="N1741" s="300">
        <v>8.0</v>
      </c>
      <c r="O1741" s="300" t="s">
        <v>878</v>
      </c>
      <c r="P1741" s="300">
        <v>7.0</v>
      </c>
    </row>
    <row r="1742">
      <c r="A1742">
        <f>IFERROR(__xludf.DUMMYFUNCTION("""COMPUTED_VALUE"""),10.0)</f>
        <v>10</v>
      </c>
      <c r="B1742" s="406">
        <f>IFERROR(__xludf.DUMMYFUNCTION("""COMPUTED_VALUE"""),27152.0)</f>
        <v>27152</v>
      </c>
      <c r="C1742" t="str">
        <f>IFERROR(__xludf.DUMMYFUNCTION("""COMPUTED_VALUE"""),"GARCIA GONZALEZ, MARIA ANTONIA")</f>
        <v>GARCIA GONZALEZ, MARIA ANTONIA</v>
      </c>
      <c r="D1742" t="str">
        <f>IFERROR(__xludf.DUMMYFUNCTION("""COMPUTED_VALUE"""),"Chemistry")</f>
        <v>Chemistry</v>
      </c>
      <c r="E1742" s="3">
        <f>IFERROR(__xludf.DUMMYFUNCTION("""COMPUTED_VALUE"""),3.0)</f>
        <v>3</v>
      </c>
      <c r="F1742" s="300">
        <v>1.0</v>
      </c>
      <c r="G1742" s="300">
        <v>1.0</v>
      </c>
      <c r="H1742" s="300">
        <v>1.0</v>
      </c>
      <c r="I1742" s="300">
        <v>1.0</v>
      </c>
      <c r="J1742" s="300">
        <v>1.0</v>
      </c>
      <c r="K1742" s="300">
        <v>1.0</v>
      </c>
      <c r="L1742" s="300">
        <v>1.0</v>
      </c>
      <c r="M1742" s="300">
        <v>1.0</v>
      </c>
      <c r="N1742" s="300">
        <v>8.0</v>
      </c>
      <c r="O1742" s="300" t="s">
        <v>879</v>
      </c>
      <c r="P1742" s="300">
        <v>7.0</v>
      </c>
    </row>
    <row r="1743">
      <c r="A1743">
        <f>IFERROR(__xludf.DUMMYFUNCTION("""COMPUTED_VALUE"""),10.0)</f>
        <v>10</v>
      </c>
      <c r="B1743" s="406">
        <f>IFERROR(__xludf.DUMMYFUNCTION("""COMPUTED_VALUE"""),28026.0)</f>
        <v>28026</v>
      </c>
      <c r="C1743" t="str">
        <f>IFERROR(__xludf.DUMMYFUNCTION("""COMPUTED_VALUE"""),"ESPINAL MONTOYA, JULIETA")</f>
        <v>ESPINAL MONTOYA, JULIETA</v>
      </c>
      <c r="D1743" t="str">
        <f>IFERROR(__xludf.DUMMYFUNCTION("""COMPUTED_VALUE"""),"Chemistry")</f>
        <v>Chemistry</v>
      </c>
      <c r="E1743" s="3">
        <f>IFERROR(__xludf.DUMMYFUNCTION("""COMPUTED_VALUE"""),6.0)</f>
        <v>6</v>
      </c>
      <c r="F1743" s="300">
        <v>1.0</v>
      </c>
      <c r="G1743" s="300">
        <v>1.0</v>
      </c>
      <c r="H1743" s="300">
        <v>1.0</v>
      </c>
      <c r="I1743" s="300">
        <v>1.0</v>
      </c>
      <c r="J1743" s="300">
        <v>1.0</v>
      </c>
      <c r="K1743" s="300">
        <v>1.0</v>
      </c>
      <c r="L1743" s="300">
        <v>1.0</v>
      </c>
      <c r="M1743" s="300">
        <v>1.0</v>
      </c>
      <c r="N1743" s="300">
        <v>8.0</v>
      </c>
      <c r="O1743" s="300" t="s">
        <v>878</v>
      </c>
      <c r="P1743" s="300">
        <v>7.0</v>
      </c>
    </row>
    <row r="1744">
      <c r="A1744">
        <f>IFERROR(__xludf.DUMMYFUNCTION("""COMPUTED_VALUE"""),10.0)</f>
        <v>10</v>
      </c>
      <c r="B1744" s="406">
        <f>IFERROR(__xludf.DUMMYFUNCTION("""COMPUTED_VALUE"""),28025.0)</f>
        <v>28025</v>
      </c>
      <c r="C1744" t="str">
        <f>IFERROR(__xludf.DUMMYFUNCTION("""COMPUTED_VALUE"""),"ESCOBAR INFANTINO, SAMUEL")</f>
        <v>ESCOBAR INFANTINO, SAMUEL</v>
      </c>
      <c r="D1744" t="str">
        <f>IFERROR(__xludf.DUMMYFUNCTION("""COMPUTED_VALUE"""),"Chemistry")</f>
        <v>Chemistry</v>
      </c>
      <c r="E1744" s="3">
        <f>IFERROR(__xludf.DUMMYFUNCTION("""COMPUTED_VALUE"""),8.0)</f>
        <v>8</v>
      </c>
      <c r="F1744" s="300">
        <v>1.0</v>
      </c>
      <c r="G1744" s="300">
        <v>1.0</v>
      </c>
      <c r="H1744" s="300">
        <v>1.0</v>
      </c>
      <c r="I1744" s="300">
        <v>1.0</v>
      </c>
      <c r="J1744" s="300">
        <v>1.0</v>
      </c>
      <c r="K1744" s="300">
        <v>1.0</v>
      </c>
      <c r="L1744" s="300">
        <v>1.0</v>
      </c>
      <c r="M1744" s="300">
        <v>1.0</v>
      </c>
      <c r="N1744" s="300">
        <v>8.0</v>
      </c>
      <c r="O1744" s="300" t="s">
        <v>873</v>
      </c>
      <c r="P1744" s="300">
        <v>7.0</v>
      </c>
    </row>
    <row r="1745">
      <c r="A1745">
        <f>IFERROR(__xludf.DUMMYFUNCTION("""COMPUTED_VALUE"""),10.0)</f>
        <v>10</v>
      </c>
      <c r="B1745" s="406">
        <f>IFERROR(__xludf.DUMMYFUNCTION("""COMPUTED_VALUE"""),27100.0)</f>
        <v>27100</v>
      </c>
      <c r="C1745" t="str">
        <f>IFERROR(__xludf.DUMMYFUNCTION("""COMPUTED_VALUE"""),"ROJAS SANCHEZ, SUSANA")</f>
        <v>ROJAS SANCHEZ, SUSANA</v>
      </c>
      <c r="D1745" t="str">
        <f>IFERROR(__xludf.DUMMYFUNCTION("""COMPUTED_VALUE"""),"Chemistry")</f>
        <v>Chemistry</v>
      </c>
      <c r="E1745" s="3">
        <f>IFERROR(__xludf.DUMMYFUNCTION("""COMPUTED_VALUE"""),6.0)</f>
        <v>6</v>
      </c>
      <c r="F1745" s="300">
        <v>1.0</v>
      </c>
      <c r="G1745" s="300">
        <v>1.0</v>
      </c>
      <c r="H1745" s="300">
        <v>1.0</v>
      </c>
      <c r="I1745" s="300">
        <v>1.0</v>
      </c>
      <c r="J1745" s="300">
        <v>1.0</v>
      </c>
      <c r="K1745" s="300">
        <v>1.0</v>
      </c>
      <c r="L1745" s="300">
        <v>1.0</v>
      </c>
      <c r="M1745" s="300">
        <v>1.0</v>
      </c>
      <c r="N1745" s="300">
        <v>8.0</v>
      </c>
      <c r="O1745" s="300" t="s">
        <v>878</v>
      </c>
      <c r="P1745" s="300">
        <v>7.0</v>
      </c>
    </row>
    <row r="1746">
      <c r="A1746">
        <f>IFERROR(__xludf.DUMMYFUNCTION("""COMPUTED_VALUE"""),10.0)</f>
        <v>10</v>
      </c>
      <c r="B1746" s="406">
        <f>IFERROR(__xludf.DUMMYFUNCTION("""COMPUTED_VALUE"""),28139.0)</f>
        <v>28139</v>
      </c>
      <c r="C1746" t="str">
        <f>IFERROR(__xludf.DUMMYFUNCTION("""COMPUTED_VALUE"""),"BERNAL ESTRADA, MATIAS")</f>
        <v>BERNAL ESTRADA, MATIAS</v>
      </c>
      <c r="D1746" t="str">
        <f>IFERROR(__xludf.DUMMYFUNCTION("""COMPUTED_VALUE"""),"Chemistry")</f>
        <v>Chemistry</v>
      </c>
      <c r="E1746" s="3">
        <f>IFERROR(__xludf.DUMMYFUNCTION("""COMPUTED_VALUE"""),3.0)</f>
        <v>3</v>
      </c>
      <c r="F1746" s="300">
        <v>1.0</v>
      </c>
      <c r="G1746" s="300">
        <v>1.0</v>
      </c>
      <c r="H1746" s="300">
        <v>1.0</v>
      </c>
      <c r="I1746" s="300">
        <v>1.0</v>
      </c>
      <c r="J1746" s="300">
        <v>1.0</v>
      </c>
      <c r="K1746" s="300">
        <v>1.0</v>
      </c>
      <c r="L1746" s="300">
        <v>1.0</v>
      </c>
      <c r="M1746" s="300">
        <v>1.0</v>
      </c>
      <c r="N1746" s="300">
        <v>8.0</v>
      </c>
      <c r="O1746" s="300" t="s">
        <v>879</v>
      </c>
      <c r="P1746" s="300">
        <v>7.0</v>
      </c>
    </row>
    <row r="1747">
      <c r="A1747">
        <f>IFERROR(__xludf.DUMMYFUNCTION("""COMPUTED_VALUE"""),10.0)</f>
        <v>10</v>
      </c>
      <c r="B1747" s="406">
        <f>IFERROR(__xludf.DUMMYFUNCTION("""COMPUTED_VALUE"""),28048.0)</f>
        <v>28048</v>
      </c>
      <c r="C1747" t="str">
        <f>IFERROR(__xludf.DUMMYFUNCTION("""COMPUTED_VALUE"""),"ISAZA VELASQUEZ, EMILIANA")</f>
        <v>ISAZA VELASQUEZ, EMILIANA</v>
      </c>
      <c r="D1747" t="str">
        <f>IFERROR(__xludf.DUMMYFUNCTION("""COMPUTED_VALUE"""),"Chemistry")</f>
        <v>Chemistry</v>
      </c>
      <c r="E1747" s="3">
        <f>IFERROR(__xludf.DUMMYFUNCTION("""COMPUTED_VALUE"""),8.0)</f>
        <v>8</v>
      </c>
      <c r="F1747" s="300">
        <v>1.0</v>
      </c>
      <c r="G1747" s="300">
        <v>1.0</v>
      </c>
      <c r="H1747" s="300">
        <v>1.0</v>
      </c>
      <c r="I1747" s="300">
        <v>1.0</v>
      </c>
      <c r="J1747" s="300">
        <v>1.0</v>
      </c>
      <c r="K1747" s="300">
        <v>1.0</v>
      </c>
      <c r="L1747" s="300">
        <v>1.0</v>
      </c>
      <c r="M1747" s="300">
        <v>1.0</v>
      </c>
      <c r="N1747" s="300">
        <v>8.0</v>
      </c>
      <c r="O1747" s="300" t="s">
        <v>873</v>
      </c>
      <c r="P1747" s="300">
        <v>7.0</v>
      </c>
    </row>
    <row r="1748">
      <c r="A1748">
        <f>IFERROR(__xludf.DUMMYFUNCTION("""COMPUTED_VALUE"""),10.0)</f>
        <v>10</v>
      </c>
      <c r="B1748" s="406">
        <f>IFERROR(__xludf.DUMMYFUNCTION("""COMPUTED_VALUE"""),27024.0)</f>
        <v>27024</v>
      </c>
      <c r="C1748" t="str">
        <f>IFERROR(__xludf.DUMMYFUNCTION("""COMPUTED_VALUE"""),"CASTRO CASTAÑEDA, CYAN")</f>
        <v>CASTRO CASTAÑEDA, CYAN</v>
      </c>
      <c r="D1748" t="str">
        <f>IFERROR(__xludf.DUMMYFUNCTION("""COMPUTED_VALUE"""),"Chemistry")</f>
        <v>Chemistry</v>
      </c>
      <c r="E1748" s="3">
        <f>IFERROR(__xludf.DUMMYFUNCTION("""COMPUTED_VALUE"""),5.0)</f>
        <v>5</v>
      </c>
      <c r="F1748" s="300">
        <v>1.0</v>
      </c>
      <c r="G1748" s="300">
        <v>1.0</v>
      </c>
      <c r="H1748" s="300">
        <v>1.0</v>
      </c>
      <c r="I1748" s="300">
        <v>1.0</v>
      </c>
      <c r="J1748" s="300">
        <v>1.0</v>
      </c>
      <c r="K1748" s="300">
        <v>1.0</v>
      </c>
      <c r="L1748" s="300">
        <v>1.0</v>
      </c>
      <c r="M1748" s="300">
        <v>1.0</v>
      </c>
      <c r="N1748" s="300">
        <v>8.0</v>
      </c>
      <c r="O1748" s="300" t="s">
        <v>877</v>
      </c>
      <c r="P1748" s="300">
        <v>7.0</v>
      </c>
    </row>
    <row r="1749">
      <c r="A1749">
        <f>IFERROR(__xludf.DUMMYFUNCTION("""COMPUTED_VALUE"""),10.0)</f>
        <v>10</v>
      </c>
      <c r="B1749" s="406">
        <f>IFERROR(__xludf.DUMMYFUNCTION("""COMPUTED_VALUE"""),28044.0)</f>
        <v>28044</v>
      </c>
      <c r="C1749" t="str">
        <f>IFERROR(__xludf.DUMMYFUNCTION("""COMPUTED_VALUE"""),"GUTIERREZ OCAMPO, VALENTINA")</f>
        <v>GUTIERREZ OCAMPO, VALENTINA</v>
      </c>
      <c r="D1749" t="str">
        <f>IFERROR(__xludf.DUMMYFUNCTION("""COMPUTED_VALUE"""),"Chemistry")</f>
        <v>Chemistry</v>
      </c>
      <c r="E1749" s="3">
        <f>IFERROR(__xludf.DUMMYFUNCTION("""COMPUTED_VALUE"""),7.0)</f>
        <v>7</v>
      </c>
      <c r="F1749" s="300">
        <v>1.0</v>
      </c>
      <c r="G1749" s="300">
        <v>1.0</v>
      </c>
      <c r="H1749" s="300">
        <v>1.0</v>
      </c>
      <c r="I1749" s="300">
        <v>1.0</v>
      </c>
      <c r="J1749" s="300">
        <v>1.0</v>
      </c>
      <c r="K1749" s="300">
        <v>1.0</v>
      </c>
      <c r="L1749" s="300">
        <v>1.0</v>
      </c>
      <c r="M1749" s="300">
        <v>1.0</v>
      </c>
      <c r="N1749" s="300">
        <v>8.0</v>
      </c>
      <c r="O1749" s="300" t="s">
        <v>874</v>
      </c>
      <c r="P1749" s="300">
        <v>7.0</v>
      </c>
    </row>
    <row r="1750">
      <c r="A1750">
        <f>IFERROR(__xludf.DUMMYFUNCTION("""COMPUTED_VALUE"""),10.0)</f>
        <v>10</v>
      </c>
      <c r="B1750" s="406">
        <f>IFERROR(__xludf.DUMMYFUNCTION("""COMPUTED_VALUE"""),27058.0)</f>
        <v>27058</v>
      </c>
      <c r="C1750" t="str">
        <f>IFERROR(__xludf.DUMMYFUNCTION("""COMPUTED_VALUE"""),"LOPEZ MEJIA, MIGUEL")</f>
        <v>LOPEZ MEJIA, MIGUEL</v>
      </c>
      <c r="D1750" t="str">
        <f>IFERROR(__xludf.DUMMYFUNCTION("""COMPUTED_VALUE"""),"Chemistry")</f>
        <v>Chemistry</v>
      </c>
      <c r="E1750" s="3">
        <f>IFERROR(__xludf.DUMMYFUNCTION("""COMPUTED_VALUE"""),3.0)</f>
        <v>3</v>
      </c>
      <c r="F1750" s="300">
        <v>1.0</v>
      </c>
      <c r="G1750" s="300">
        <v>1.0</v>
      </c>
      <c r="H1750" s="300">
        <v>1.0</v>
      </c>
      <c r="I1750" s="300">
        <v>1.0</v>
      </c>
      <c r="J1750" s="300">
        <v>1.0</v>
      </c>
      <c r="K1750" s="300">
        <v>1.0</v>
      </c>
      <c r="L1750" s="300">
        <v>1.0</v>
      </c>
      <c r="M1750" s="300">
        <v>1.0</v>
      </c>
      <c r="N1750" s="300">
        <v>8.0</v>
      </c>
      <c r="O1750" s="300" t="s">
        <v>879</v>
      </c>
      <c r="P1750" s="300">
        <v>7.0</v>
      </c>
    </row>
    <row r="1751">
      <c r="A1751">
        <f>IFERROR(__xludf.DUMMYFUNCTION("""COMPUTED_VALUE"""),10.0)</f>
        <v>10</v>
      </c>
      <c r="B1751" s="406">
        <f>IFERROR(__xludf.DUMMYFUNCTION("""COMPUTED_VALUE"""),28038.0)</f>
        <v>28038</v>
      </c>
      <c r="C1751" t="str">
        <f>IFERROR(__xludf.DUMMYFUNCTION("""COMPUTED_VALUE"""),"GOMEZ TORRES, MARIA")</f>
        <v>GOMEZ TORRES, MARIA</v>
      </c>
      <c r="D1751" t="str">
        <f>IFERROR(__xludf.DUMMYFUNCTION("""COMPUTED_VALUE"""),"Chemistry")</f>
        <v>Chemistry</v>
      </c>
      <c r="E1751" s="3">
        <f>IFERROR(__xludf.DUMMYFUNCTION("""COMPUTED_VALUE"""),5.0)</f>
        <v>5</v>
      </c>
      <c r="F1751" s="300">
        <v>1.0</v>
      </c>
      <c r="G1751" s="300">
        <v>1.0</v>
      </c>
      <c r="H1751" s="300">
        <v>1.0</v>
      </c>
      <c r="I1751" s="300">
        <v>1.0</v>
      </c>
      <c r="J1751" s="300">
        <v>1.0</v>
      </c>
      <c r="K1751" s="300">
        <v>1.0</v>
      </c>
      <c r="L1751" s="300">
        <v>1.0</v>
      </c>
      <c r="M1751" s="300">
        <v>1.0</v>
      </c>
      <c r="N1751" s="300">
        <v>8.0</v>
      </c>
      <c r="O1751" s="300" t="s">
        <v>877</v>
      </c>
      <c r="P1751" s="300">
        <v>7.0</v>
      </c>
    </row>
    <row r="1752">
      <c r="A1752">
        <f>IFERROR(__xludf.DUMMYFUNCTION("""COMPUTED_VALUE"""),10.0)</f>
        <v>10</v>
      </c>
      <c r="B1752" s="406">
        <f>IFERROR(__xludf.DUMMYFUNCTION("""COMPUTED_VALUE"""),28094.0)</f>
        <v>28094</v>
      </c>
      <c r="C1752" t="str">
        <f>IFERROR(__xludf.DUMMYFUNCTION("""COMPUTED_VALUE"""),"RESTREPO OCHOA, PASCUAL")</f>
        <v>RESTREPO OCHOA, PASCUAL</v>
      </c>
      <c r="D1752" t="str">
        <f>IFERROR(__xludf.DUMMYFUNCTION("""COMPUTED_VALUE"""),"Chemistry")</f>
        <v>Chemistry</v>
      </c>
      <c r="E1752" s="3">
        <f>IFERROR(__xludf.DUMMYFUNCTION("""COMPUTED_VALUE"""),6.0)</f>
        <v>6</v>
      </c>
      <c r="F1752" s="300">
        <v>1.0</v>
      </c>
      <c r="G1752" s="300">
        <v>1.0</v>
      </c>
      <c r="H1752" s="300">
        <v>1.0</v>
      </c>
      <c r="I1752" s="300">
        <v>1.0</v>
      </c>
      <c r="J1752" s="300">
        <v>1.0</v>
      </c>
      <c r="K1752" s="300">
        <v>1.0</v>
      </c>
      <c r="L1752" s="300">
        <v>1.0</v>
      </c>
      <c r="M1752" s="300">
        <v>1.0</v>
      </c>
      <c r="N1752" s="300">
        <v>8.0</v>
      </c>
      <c r="O1752" s="300" t="s">
        <v>878</v>
      </c>
      <c r="P1752" s="300">
        <v>7.0</v>
      </c>
    </row>
    <row r="1753">
      <c r="A1753">
        <f>IFERROR(__xludf.DUMMYFUNCTION("""COMPUTED_VALUE"""),10.0)</f>
        <v>10</v>
      </c>
      <c r="B1753" s="406">
        <f>IFERROR(__xludf.DUMMYFUNCTION("""COMPUTED_VALUE"""),28041.0)</f>
        <v>28041</v>
      </c>
      <c r="C1753" t="str">
        <f>IFERROR(__xludf.DUMMYFUNCTION("""COMPUTED_VALUE"""),"GONZALEZ MIRA, MATIAS")</f>
        <v>GONZALEZ MIRA, MATIAS</v>
      </c>
      <c r="D1753" t="str">
        <f>IFERROR(__xludf.DUMMYFUNCTION("""COMPUTED_VALUE"""),"Chemistry")</f>
        <v>Chemistry</v>
      </c>
      <c r="E1753" s="3">
        <f>IFERROR(__xludf.DUMMYFUNCTION("""COMPUTED_VALUE"""),6.0)</f>
        <v>6</v>
      </c>
      <c r="F1753" s="300">
        <v>1.0</v>
      </c>
      <c r="G1753" s="300">
        <v>1.0</v>
      </c>
      <c r="H1753" s="300">
        <v>1.0</v>
      </c>
      <c r="I1753" s="300">
        <v>1.0</v>
      </c>
      <c r="J1753" s="300">
        <v>1.0</v>
      </c>
      <c r="K1753" s="300">
        <v>1.0</v>
      </c>
      <c r="L1753" s="300">
        <v>1.0</v>
      </c>
      <c r="M1753" s="300">
        <v>1.0</v>
      </c>
      <c r="N1753" s="300">
        <v>8.0</v>
      </c>
      <c r="O1753" s="300" t="s">
        <v>878</v>
      </c>
      <c r="P1753" s="300">
        <v>7.0</v>
      </c>
    </row>
    <row r="1754">
      <c r="A1754">
        <f>IFERROR(__xludf.DUMMYFUNCTION("""COMPUTED_VALUE"""),10.0)</f>
        <v>10</v>
      </c>
      <c r="B1754" s="406">
        <f>IFERROR(__xludf.DUMMYFUNCTION("""COMPUTED_VALUE"""),28112.0)</f>
        <v>28112</v>
      </c>
      <c r="C1754" t="str">
        <f>IFERROR(__xludf.DUMMYFUNCTION("""COMPUTED_VALUE"""),"VELASQUEZ OCHOA, MIGUEL")</f>
        <v>VELASQUEZ OCHOA, MIGUEL</v>
      </c>
      <c r="D1754" t="str">
        <f>IFERROR(__xludf.DUMMYFUNCTION("""COMPUTED_VALUE"""),"Chemistry")</f>
        <v>Chemistry</v>
      </c>
      <c r="E1754" s="3">
        <f>IFERROR(__xludf.DUMMYFUNCTION("""COMPUTED_VALUE"""),8.0)</f>
        <v>8</v>
      </c>
      <c r="F1754" s="300">
        <v>1.0</v>
      </c>
      <c r="G1754" s="300">
        <v>1.0</v>
      </c>
      <c r="H1754" s="300">
        <v>1.0</v>
      </c>
      <c r="I1754" s="300">
        <v>1.0</v>
      </c>
      <c r="J1754" s="300">
        <v>1.0</v>
      </c>
      <c r="K1754" s="300">
        <v>1.0</v>
      </c>
      <c r="L1754" s="300">
        <v>1.0</v>
      </c>
      <c r="M1754" s="300">
        <v>1.0</v>
      </c>
      <c r="N1754" s="300">
        <v>8.0</v>
      </c>
      <c r="O1754" s="300" t="s">
        <v>873</v>
      </c>
      <c r="P1754" s="300">
        <v>7.0</v>
      </c>
    </row>
    <row r="1755">
      <c r="A1755">
        <f>IFERROR(__xludf.DUMMYFUNCTION("""COMPUTED_VALUE"""),10.0)</f>
        <v>10</v>
      </c>
      <c r="B1755" s="406">
        <f>IFERROR(__xludf.DUMMYFUNCTION("""COMPUTED_VALUE"""),28156.0)</f>
        <v>28156</v>
      </c>
      <c r="C1755" t="str">
        <f>IFERROR(__xludf.DUMMYFUNCTION("""COMPUTED_VALUE"""),"URIBE CERON, SIMON")</f>
        <v>URIBE CERON, SIMON</v>
      </c>
      <c r="D1755" t="str">
        <f>IFERROR(__xludf.DUMMYFUNCTION("""COMPUTED_VALUE"""),"Chemistry")</f>
        <v>Chemistry</v>
      </c>
      <c r="E1755" s="3">
        <f>IFERROR(__xludf.DUMMYFUNCTION("""COMPUTED_VALUE"""),8.0)</f>
        <v>8</v>
      </c>
      <c r="F1755" s="300">
        <v>1.0</v>
      </c>
      <c r="G1755" s="300">
        <v>1.0</v>
      </c>
      <c r="H1755" s="300">
        <v>1.0</v>
      </c>
      <c r="I1755" s="300">
        <v>1.0</v>
      </c>
      <c r="J1755" s="300">
        <v>1.0</v>
      </c>
      <c r="K1755" s="300">
        <v>1.0</v>
      </c>
      <c r="L1755" s="300">
        <v>1.0</v>
      </c>
      <c r="M1755" s="300">
        <v>1.0</v>
      </c>
      <c r="N1755" s="300">
        <v>8.0</v>
      </c>
      <c r="O1755" s="300" t="s">
        <v>873</v>
      </c>
      <c r="P1755" s="300">
        <v>7.0</v>
      </c>
    </row>
    <row r="1756">
      <c r="A1756">
        <f>IFERROR(__xludf.DUMMYFUNCTION("""COMPUTED_VALUE"""),10.0)</f>
        <v>10</v>
      </c>
      <c r="B1756" s="406">
        <f>IFERROR(__xludf.DUMMYFUNCTION("""COMPUTED_VALUE"""),27009.0)</f>
        <v>27009</v>
      </c>
      <c r="C1756" t="str">
        <f>IFERROR(__xludf.DUMMYFUNCTION("""COMPUTED_VALUE"""),"ARBELAEZ VELASQUEZ, ANTONIO")</f>
        <v>ARBELAEZ VELASQUEZ, ANTONIO</v>
      </c>
      <c r="D1756" t="str">
        <f>IFERROR(__xludf.DUMMYFUNCTION("""COMPUTED_VALUE"""),"Chemistry")</f>
        <v>Chemistry</v>
      </c>
      <c r="E1756" s="3">
        <f>IFERROR(__xludf.DUMMYFUNCTION("""COMPUTED_VALUE"""),8.0)</f>
        <v>8</v>
      </c>
      <c r="F1756" s="300">
        <v>1.0</v>
      </c>
      <c r="G1756" s="300">
        <v>1.0</v>
      </c>
      <c r="H1756" s="300">
        <v>1.0</v>
      </c>
      <c r="I1756" s="300">
        <v>1.0</v>
      </c>
      <c r="J1756" s="300">
        <v>1.0</v>
      </c>
      <c r="K1756" s="300">
        <v>1.0</v>
      </c>
      <c r="L1756" s="300">
        <v>1.0</v>
      </c>
      <c r="M1756" s="300">
        <v>1.0</v>
      </c>
      <c r="N1756" s="300">
        <v>8.0</v>
      </c>
      <c r="O1756" s="300" t="s">
        <v>873</v>
      </c>
      <c r="P1756" s="300">
        <v>7.0</v>
      </c>
    </row>
    <row r="1757">
      <c r="A1757">
        <f>IFERROR(__xludf.DUMMYFUNCTION("""COMPUTED_VALUE"""),10.0)</f>
        <v>10</v>
      </c>
      <c r="B1757" s="406">
        <f>IFERROR(__xludf.DUMMYFUNCTION("""COMPUTED_VALUE"""),28079.0)</f>
        <v>28079</v>
      </c>
      <c r="C1757" t="str">
        <f>IFERROR(__xludf.DUMMYFUNCTION("""COMPUTED_VALUE"""),"OSPINA RESTREPO, INES")</f>
        <v>OSPINA RESTREPO, INES</v>
      </c>
      <c r="D1757" t="str">
        <f>IFERROR(__xludf.DUMMYFUNCTION("""COMPUTED_VALUE"""),"Chemistry")</f>
        <v>Chemistry</v>
      </c>
      <c r="E1757" s="3">
        <f>IFERROR(__xludf.DUMMYFUNCTION("""COMPUTED_VALUE"""),5.0)</f>
        <v>5</v>
      </c>
      <c r="F1757" s="300">
        <v>1.0</v>
      </c>
      <c r="G1757" s="300">
        <v>1.0</v>
      </c>
      <c r="H1757" s="300">
        <v>1.0</v>
      </c>
      <c r="I1757" s="300">
        <v>1.0</v>
      </c>
      <c r="J1757" s="300">
        <v>1.0</v>
      </c>
      <c r="K1757" s="300">
        <v>1.0</v>
      </c>
      <c r="L1757" s="300">
        <v>1.0</v>
      </c>
      <c r="M1757" s="300">
        <v>1.0</v>
      </c>
      <c r="N1757" s="300">
        <v>8.0</v>
      </c>
      <c r="O1757" s="300" t="s">
        <v>877</v>
      </c>
      <c r="P1757" s="300">
        <v>7.0</v>
      </c>
    </row>
    <row r="1758">
      <c r="A1758">
        <f>IFERROR(__xludf.DUMMYFUNCTION("""COMPUTED_VALUE"""),10.0)</f>
        <v>10</v>
      </c>
      <c r="B1758" s="406">
        <f>IFERROR(__xludf.DUMMYFUNCTION("""COMPUTED_VALUE"""),28062.0)</f>
        <v>28062</v>
      </c>
      <c r="C1758" t="str">
        <f>IFERROR(__xludf.DUMMYFUNCTION("""COMPUTED_VALUE"""),"MEJIA DUQUE, JERONIMO")</f>
        <v>MEJIA DUQUE, JERONIMO</v>
      </c>
      <c r="D1758" t="str">
        <f>IFERROR(__xludf.DUMMYFUNCTION("""COMPUTED_VALUE"""),"Chemistry")</f>
        <v>Chemistry</v>
      </c>
      <c r="E1758" s="3">
        <f>IFERROR(__xludf.DUMMYFUNCTION("""COMPUTED_VALUE"""),7.0)</f>
        <v>7</v>
      </c>
      <c r="F1758" s="300">
        <v>1.0</v>
      </c>
      <c r="G1758" s="300">
        <v>1.0</v>
      </c>
      <c r="H1758" s="300">
        <v>1.0</v>
      </c>
      <c r="I1758" s="300">
        <v>1.0</v>
      </c>
      <c r="J1758" s="300">
        <v>1.0</v>
      </c>
      <c r="K1758" s="300">
        <v>1.0</v>
      </c>
      <c r="L1758" s="300">
        <v>1.0</v>
      </c>
      <c r="M1758" s="300">
        <v>1.0</v>
      </c>
      <c r="N1758" s="300">
        <v>8.0</v>
      </c>
      <c r="O1758" s="300" t="s">
        <v>874</v>
      </c>
      <c r="P1758" s="300">
        <v>7.0</v>
      </c>
    </row>
    <row r="1759">
      <c r="A1759">
        <f>IFERROR(__xludf.DUMMYFUNCTION("""COMPUTED_VALUE"""),10.0)</f>
        <v>10</v>
      </c>
      <c r="B1759" s="406">
        <f>IFERROR(__xludf.DUMMYFUNCTION("""COMPUTED_VALUE"""),28118.0)</f>
        <v>28118</v>
      </c>
      <c r="C1759" t="str">
        <f>IFERROR(__xludf.DUMMYFUNCTION("""COMPUTED_VALUE"""),"VILLEGAS LONDOÑO, VIOLETA")</f>
        <v>VILLEGAS LONDOÑO, VIOLETA</v>
      </c>
      <c r="D1759" t="str">
        <f>IFERROR(__xludf.DUMMYFUNCTION("""COMPUTED_VALUE"""),"Chemistry")</f>
        <v>Chemistry</v>
      </c>
      <c r="E1759" s="3">
        <f>IFERROR(__xludf.DUMMYFUNCTION("""COMPUTED_VALUE"""),6.0)</f>
        <v>6</v>
      </c>
      <c r="F1759" s="300">
        <v>1.0</v>
      </c>
      <c r="G1759" s="300">
        <v>1.0</v>
      </c>
      <c r="H1759" s="300">
        <v>1.0</v>
      </c>
      <c r="I1759" s="300">
        <v>1.0</v>
      </c>
      <c r="J1759" s="300">
        <v>1.0</v>
      </c>
      <c r="K1759" s="300">
        <v>1.0</v>
      </c>
      <c r="L1759" s="300">
        <v>1.0</v>
      </c>
      <c r="M1759" s="300">
        <v>1.0</v>
      </c>
      <c r="N1759" s="300">
        <v>8.0</v>
      </c>
      <c r="O1759" s="300" t="s">
        <v>878</v>
      </c>
      <c r="P1759" s="300">
        <v>7.0</v>
      </c>
    </row>
    <row r="1760">
      <c r="A1760">
        <f>IFERROR(__xludf.DUMMYFUNCTION("""COMPUTED_VALUE"""),10.0)</f>
        <v>10</v>
      </c>
      <c r="B1760" s="406">
        <f>IFERROR(__xludf.DUMMYFUNCTION("""COMPUTED_VALUE"""),28030.0)</f>
        <v>28030</v>
      </c>
      <c r="C1760" t="str">
        <f>IFERROR(__xludf.DUMMYFUNCTION("""COMPUTED_VALUE"""),"FRANCO USUGA, MARIA JOSE")</f>
        <v>FRANCO USUGA, MARIA JOSE</v>
      </c>
      <c r="D1760" t="str">
        <f>IFERROR(__xludf.DUMMYFUNCTION("""COMPUTED_VALUE"""),"Chemistry")</f>
        <v>Chemistry</v>
      </c>
      <c r="E1760" s="3">
        <f>IFERROR(__xludf.DUMMYFUNCTION("""COMPUTED_VALUE"""),3.0)</f>
        <v>3</v>
      </c>
      <c r="F1760" s="300">
        <v>1.0</v>
      </c>
      <c r="G1760" s="300">
        <v>1.0</v>
      </c>
      <c r="H1760" s="300">
        <v>1.0</v>
      </c>
      <c r="I1760" s="300">
        <v>1.0</v>
      </c>
      <c r="J1760" s="300">
        <v>1.0</v>
      </c>
      <c r="K1760" s="300">
        <v>1.0</v>
      </c>
      <c r="L1760" s="300">
        <v>1.0</v>
      </c>
      <c r="M1760" s="300">
        <v>1.0</v>
      </c>
      <c r="N1760" s="300">
        <v>8.0</v>
      </c>
      <c r="O1760" s="300" t="s">
        <v>879</v>
      </c>
      <c r="P1760" s="300">
        <v>7.0</v>
      </c>
    </row>
    <row r="1761">
      <c r="A1761">
        <f>IFERROR(__xludf.DUMMYFUNCTION("""COMPUTED_VALUE"""),10.0)</f>
        <v>10</v>
      </c>
      <c r="B1761" s="406">
        <f>IFERROR(__xludf.DUMMYFUNCTION("""COMPUTED_VALUE"""),28107.0)</f>
        <v>28107</v>
      </c>
      <c r="C1761" t="str">
        <f>IFERROR(__xludf.DUMMYFUNCTION("""COMPUTED_VALUE"""),"TORO PEREZ, AMALIA")</f>
        <v>TORO PEREZ, AMALIA</v>
      </c>
      <c r="D1761" t="str">
        <f>IFERROR(__xludf.DUMMYFUNCTION("""COMPUTED_VALUE"""),"Chemistry")</f>
        <v>Chemistry</v>
      </c>
      <c r="E1761" s="3">
        <f>IFERROR(__xludf.DUMMYFUNCTION("""COMPUTED_VALUE"""),3.0)</f>
        <v>3</v>
      </c>
      <c r="F1761" s="300">
        <v>1.0</v>
      </c>
      <c r="G1761" s="300">
        <v>1.0</v>
      </c>
      <c r="H1761" s="300">
        <v>1.0</v>
      </c>
      <c r="I1761" s="300">
        <v>1.0</v>
      </c>
      <c r="J1761" s="300">
        <v>1.0</v>
      </c>
      <c r="K1761" s="300">
        <v>1.0</v>
      </c>
      <c r="L1761" s="300">
        <v>1.0</v>
      </c>
      <c r="M1761" s="300">
        <v>1.0</v>
      </c>
      <c r="N1761" s="300">
        <v>8.0</v>
      </c>
      <c r="O1761" s="300" t="s">
        <v>879</v>
      </c>
      <c r="P1761" s="300">
        <v>7.0</v>
      </c>
    </row>
    <row r="1762">
      <c r="A1762">
        <f>IFERROR(__xludf.DUMMYFUNCTION("""COMPUTED_VALUE"""),10.0)</f>
        <v>10</v>
      </c>
      <c r="B1762" s="406">
        <f>IFERROR(__xludf.DUMMYFUNCTION("""COMPUTED_VALUE"""),27057.0)</f>
        <v>27057</v>
      </c>
      <c r="C1762" t="str">
        <f>IFERROR(__xludf.DUMMYFUNCTION("""COMPUTED_VALUE"""),"LAVERDE GIRALDO, MAXIMILIANO")</f>
        <v>LAVERDE GIRALDO, MAXIMILIANO</v>
      </c>
      <c r="D1762" t="str">
        <f>IFERROR(__xludf.DUMMYFUNCTION("""COMPUTED_VALUE"""),"Chemistry")</f>
        <v>Chemistry</v>
      </c>
      <c r="E1762" s="3">
        <f>IFERROR(__xludf.DUMMYFUNCTION("""COMPUTED_VALUE"""),8.0)</f>
        <v>8</v>
      </c>
      <c r="F1762" s="300">
        <v>1.0</v>
      </c>
      <c r="G1762" s="300">
        <v>1.0</v>
      </c>
      <c r="H1762" s="300">
        <v>1.0</v>
      </c>
      <c r="I1762" s="300">
        <v>1.0</v>
      </c>
      <c r="J1762" s="300">
        <v>1.0</v>
      </c>
      <c r="K1762" s="300">
        <v>1.0</v>
      </c>
      <c r="L1762" s="300">
        <v>1.0</v>
      </c>
      <c r="M1762" s="300">
        <v>1.0</v>
      </c>
      <c r="N1762" s="300">
        <v>8.0</v>
      </c>
      <c r="O1762" s="300" t="s">
        <v>873</v>
      </c>
      <c r="P1762" s="300">
        <v>7.0</v>
      </c>
    </row>
    <row r="1763">
      <c r="A1763">
        <f>IFERROR(__xludf.DUMMYFUNCTION("""COMPUTED_VALUE"""),10.0)</f>
        <v>10</v>
      </c>
      <c r="B1763" s="406">
        <f>IFERROR(__xludf.DUMMYFUNCTION("""COMPUTED_VALUE"""),28169.0)</f>
        <v>28169</v>
      </c>
      <c r="C1763" t="str">
        <f>IFERROR(__xludf.DUMMYFUNCTION("""COMPUTED_VALUE"""),"BOTERO SPERA, ROSA")</f>
        <v>BOTERO SPERA, ROSA</v>
      </c>
      <c r="D1763" t="str">
        <f>IFERROR(__xludf.DUMMYFUNCTION("""COMPUTED_VALUE"""),"Chemistry")</f>
        <v>Chemistry</v>
      </c>
      <c r="E1763" s="3">
        <f>IFERROR(__xludf.DUMMYFUNCTION("""COMPUTED_VALUE"""),8.0)</f>
        <v>8</v>
      </c>
      <c r="F1763" s="300">
        <v>1.0</v>
      </c>
      <c r="G1763" s="300">
        <v>1.0</v>
      </c>
      <c r="H1763" s="300">
        <v>1.0</v>
      </c>
      <c r="I1763" s="300">
        <v>1.0</v>
      </c>
      <c r="J1763" s="300">
        <v>1.0</v>
      </c>
      <c r="K1763" s="300">
        <v>1.0</v>
      </c>
      <c r="L1763" s="300">
        <v>1.0</v>
      </c>
      <c r="M1763" s="300">
        <v>1.0</v>
      </c>
      <c r="N1763" s="300">
        <v>8.0</v>
      </c>
      <c r="O1763" s="300" t="s">
        <v>873</v>
      </c>
      <c r="P1763" s="300">
        <v>7.0</v>
      </c>
    </row>
    <row r="1764">
      <c r="A1764">
        <f>IFERROR(__xludf.DUMMYFUNCTION("""COMPUTED_VALUE"""),10.0)</f>
        <v>10</v>
      </c>
      <c r="B1764" s="406">
        <f>IFERROR(__xludf.DUMMYFUNCTION("""COMPUTED_VALUE"""),28015.0)</f>
        <v>28015</v>
      </c>
      <c r="C1764" t="str">
        <f>IFERROR(__xludf.DUMMYFUNCTION("""COMPUTED_VALUE"""),"BOTERO BOTERO, EULALIA")</f>
        <v>BOTERO BOTERO, EULALIA</v>
      </c>
      <c r="D1764" t="str">
        <f>IFERROR(__xludf.DUMMYFUNCTION("""COMPUTED_VALUE"""),"Chemistry")</f>
        <v>Chemistry</v>
      </c>
      <c r="E1764" s="3">
        <f>IFERROR(__xludf.DUMMYFUNCTION("""COMPUTED_VALUE"""),5.0)</f>
        <v>5</v>
      </c>
      <c r="F1764" s="300">
        <v>1.0</v>
      </c>
      <c r="G1764" s="300">
        <v>1.0</v>
      </c>
      <c r="H1764" s="300">
        <v>1.0</v>
      </c>
      <c r="I1764" s="300">
        <v>1.0</v>
      </c>
      <c r="J1764" s="300">
        <v>1.0</v>
      </c>
      <c r="K1764" s="300">
        <v>1.0</v>
      </c>
      <c r="L1764" s="300">
        <v>1.0</v>
      </c>
      <c r="M1764" s="300">
        <v>1.0</v>
      </c>
      <c r="N1764" s="300">
        <v>8.0</v>
      </c>
      <c r="O1764" s="300" t="s">
        <v>877</v>
      </c>
      <c r="P1764" s="300">
        <v>7.0</v>
      </c>
    </row>
    <row r="1765">
      <c r="A1765">
        <f>IFERROR(__xludf.DUMMYFUNCTION("""COMPUTED_VALUE"""),10.0)</f>
        <v>10</v>
      </c>
      <c r="B1765" s="406">
        <f>IFERROR(__xludf.DUMMYFUNCTION("""COMPUTED_VALUE"""),28057.0)</f>
        <v>28057</v>
      </c>
      <c r="C1765" t="str">
        <f>IFERROR(__xludf.DUMMYFUNCTION("""COMPUTED_VALUE"""),"MARTINEZ AGUILAR, AMELIA")</f>
        <v>MARTINEZ AGUILAR, AMELIA</v>
      </c>
      <c r="D1765" t="str">
        <f>IFERROR(__xludf.DUMMYFUNCTION("""COMPUTED_VALUE"""),"Chemistry")</f>
        <v>Chemistry</v>
      </c>
      <c r="E1765" s="3">
        <f>IFERROR(__xludf.DUMMYFUNCTION("""COMPUTED_VALUE"""),7.0)</f>
        <v>7</v>
      </c>
      <c r="F1765" s="300">
        <v>1.0</v>
      </c>
      <c r="G1765" s="300">
        <v>1.0</v>
      </c>
      <c r="H1765" s="300">
        <v>1.0</v>
      </c>
      <c r="I1765" s="300">
        <v>1.0</v>
      </c>
      <c r="J1765" s="300">
        <v>1.0</v>
      </c>
      <c r="K1765" s="300">
        <v>1.0</v>
      </c>
      <c r="L1765" s="300">
        <v>1.0</v>
      </c>
      <c r="M1765" s="300">
        <v>1.0</v>
      </c>
      <c r="N1765" s="300">
        <v>8.0</v>
      </c>
      <c r="O1765" s="300" t="s">
        <v>874</v>
      </c>
      <c r="P1765" s="300">
        <v>7.0</v>
      </c>
    </row>
    <row r="1766">
      <c r="A1766">
        <f>IFERROR(__xludf.DUMMYFUNCTION("""COMPUTED_VALUE"""),10.0)</f>
        <v>10</v>
      </c>
      <c r="B1766" s="406">
        <f>IFERROR(__xludf.DUMMYFUNCTION("""COMPUTED_VALUE"""),28135.0)</f>
        <v>28135</v>
      </c>
      <c r="C1766" t="str">
        <f>IFERROR(__xludf.DUMMYFUNCTION("""COMPUTED_VALUE"""),"VELEZ RESTREPO, EMILIA")</f>
        <v>VELEZ RESTREPO, EMILIA</v>
      </c>
      <c r="D1766" t="str">
        <f>IFERROR(__xludf.DUMMYFUNCTION("""COMPUTED_VALUE"""),"Chemistry")</f>
        <v>Chemistry</v>
      </c>
      <c r="E1766" s="3">
        <f>IFERROR(__xludf.DUMMYFUNCTION("""COMPUTED_VALUE"""),7.0)</f>
        <v>7</v>
      </c>
      <c r="F1766" s="300">
        <v>1.0</v>
      </c>
      <c r="G1766" s="300">
        <v>1.0</v>
      </c>
      <c r="H1766" s="300">
        <v>1.0</v>
      </c>
      <c r="I1766" s="300">
        <v>1.0</v>
      </c>
      <c r="J1766" s="300">
        <v>1.0</v>
      </c>
      <c r="K1766" s="300">
        <v>1.0</v>
      </c>
      <c r="L1766" s="300">
        <v>1.0</v>
      </c>
      <c r="M1766" s="300">
        <v>1.0</v>
      </c>
      <c r="N1766" s="300">
        <v>8.0</v>
      </c>
      <c r="O1766" s="300" t="s">
        <v>874</v>
      </c>
      <c r="P1766" s="300">
        <v>7.0</v>
      </c>
    </row>
    <row r="1767">
      <c r="A1767">
        <f>IFERROR(__xludf.DUMMYFUNCTION("""COMPUTED_VALUE"""),10.0)</f>
        <v>10</v>
      </c>
      <c r="B1767" s="406">
        <f>IFERROR(__xludf.DUMMYFUNCTION("""COMPUTED_VALUE"""),28137.0)</f>
        <v>28137</v>
      </c>
      <c r="C1767" t="str">
        <f>IFERROR(__xludf.DUMMYFUNCTION("""COMPUTED_VALUE"""),"JARAMILLO PEÑA, PAULA ANDREA")</f>
        <v>JARAMILLO PEÑA, PAULA ANDREA</v>
      </c>
      <c r="D1767" t="str">
        <f>IFERROR(__xludf.DUMMYFUNCTION("""COMPUTED_VALUE"""),"Chemistry")</f>
        <v>Chemistry</v>
      </c>
      <c r="E1767" s="3">
        <f>IFERROR(__xludf.DUMMYFUNCTION("""COMPUTED_VALUE"""),3.0)</f>
        <v>3</v>
      </c>
      <c r="F1767" s="300">
        <v>1.0</v>
      </c>
      <c r="G1767" s="300">
        <v>1.0</v>
      </c>
      <c r="H1767" s="300">
        <v>1.0</v>
      </c>
      <c r="I1767" s="300">
        <v>1.0</v>
      </c>
      <c r="J1767" s="300">
        <v>1.0</v>
      </c>
      <c r="K1767" s="300">
        <v>1.0</v>
      </c>
      <c r="L1767" s="300">
        <v>1.0</v>
      </c>
      <c r="M1767" s="300">
        <v>1.0</v>
      </c>
      <c r="N1767" s="300">
        <v>8.0</v>
      </c>
      <c r="O1767" s="300" t="s">
        <v>879</v>
      </c>
      <c r="P1767" s="300">
        <v>7.0</v>
      </c>
    </row>
    <row r="1768">
      <c r="A1768">
        <f>IFERROR(__xludf.DUMMYFUNCTION("""COMPUTED_VALUE"""),10.0)</f>
        <v>10</v>
      </c>
      <c r="B1768" s="406">
        <f>IFERROR(__xludf.DUMMYFUNCTION("""COMPUTED_VALUE"""),28028.0)</f>
        <v>28028</v>
      </c>
      <c r="C1768" t="str">
        <f>IFERROR(__xludf.DUMMYFUNCTION("""COMPUTED_VALUE"""),"FERRER ESCOBAR, JUAN MARTIN")</f>
        <v>FERRER ESCOBAR, JUAN MARTIN</v>
      </c>
      <c r="D1768" t="str">
        <f>IFERROR(__xludf.DUMMYFUNCTION("""COMPUTED_VALUE"""),"Chemistry")</f>
        <v>Chemistry</v>
      </c>
      <c r="E1768" s="3">
        <f>IFERROR(__xludf.DUMMYFUNCTION("""COMPUTED_VALUE"""),8.0)</f>
        <v>8</v>
      </c>
      <c r="F1768" s="300">
        <v>1.0</v>
      </c>
      <c r="G1768" s="300">
        <v>1.0</v>
      </c>
      <c r="H1768" s="300">
        <v>1.0</v>
      </c>
      <c r="I1768" s="300">
        <v>1.0</v>
      </c>
      <c r="J1768" s="300">
        <v>1.0</v>
      </c>
      <c r="K1768" s="300">
        <v>1.0</v>
      </c>
      <c r="L1768" s="300">
        <v>1.0</v>
      </c>
      <c r="M1768" s="300">
        <v>1.0</v>
      </c>
      <c r="N1768" s="300">
        <v>8.0</v>
      </c>
      <c r="O1768" s="300" t="s">
        <v>873</v>
      </c>
      <c r="P1768" s="300">
        <v>7.0</v>
      </c>
    </row>
    <row r="1769">
      <c r="A1769">
        <f>IFERROR(__xludf.DUMMYFUNCTION("""COMPUTED_VALUE"""),10.0)</f>
        <v>10</v>
      </c>
      <c r="B1769" s="406">
        <f>IFERROR(__xludf.DUMMYFUNCTION("""COMPUTED_VALUE"""),28014.0)</f>
        <v>28014</v>
      </c>
      <c r="C1769" t="str">
        <f>IFERROR(__xludf.DUMMYFUNCTION("""COMPUTED_VALUE"""),"BETANCUR VILLEGAS, MIGUEL")</f>
        <v>BETANCUR VILLEGAS, MIGUEL</v>
      </c>
      <c r="D1769" t="str">
        <f>IFERROR(__xludf.DUMMYFUNCTION("""COMPUTED_VALUE"""),"Chemistry")</f>
        <v>Chemistry</v>
      </c>
      <c r="E1769" s="3">
        <f>IFERROR(__xludf.DUMMYFUNCTION("""COMPUTED_VALUE"""),6.0)</f>
        <v>6</v>
      </c>
      <c r="F1769" s="300">
        <v>1.0</v>
      </c>
      <c r="G1769" s="300">
        <v>1.0</v>
      </c>
      <c r="H1769" s="300">
        <v>1.0</v>
      </c>
      <c r="I1769" s="300">
        <v>1.0</v>
      </c>
      <c r="J1769" s="300">
        <v>1.0</v>
      </c>
      <c r="K1769" s="300">
        <v>1.0</v>
      </c>
      <c r="L1769" s="300">
        <v>1.0</v>
      </c>
      <c r="M1769" s="300">
        <v>1.0</v>
      </c>
      <c r="N1769" s="300">
        <v>8.0</v>
      </c>
      <c r="O1769" s="300" t="s">
        <v>878</v>
      </c>
      <c r="P1769" s="300">
        <v>7.0</v>
      </c>
    </row>
    <row r="1770">
      <c r="A1770">
        <f>IFERROR(__xludf.DUMMYFUNCTION("""COMPUTED_VALUE"""),10.0)</f>
        <v>10</v>
      </c>
      <c r="B1770" s="406">
        <f>IFERROR(__xludf.DUMMYFUNCTION("""COMPUTED_VALUE"""),28075.0)</f>
        <v>28075</v>
      </c>
      <c r="C1770" t="str">
        <f>IFERROR(__xludf.DUMMYFUNCTION("""COMPUTED_VALUE"""),"OCHOA HURTADO, ELENA")</f>
        <v>OCHOA HURTADO, ELENA</v>
      </c>
      <c r="D1770" t="str">
        <f>IFERROR(__xludf.DUMMYFUNCTION("""COMPUTED_VALUE"""),"Chemistry")</f>
        <v>Chemistry</v>
      </c>
      <c r="E1770" s="3">
        <f>IFERROR(__xludf.DUMMYFUNCTION("""COMPUTED_VALUE"""),1.0)</f>
        <v>1</v>
      </c>
      <c r="F1770" s="300">
        <v>1.0</v>
      </c>
      <c r="G1770" s="300">
        <v>1.0</v>
      </c>
      <c r="H1770" s="300">
        <v>1.0</v>
      </c>
      <c r="I1770" s="300">
        <v>1.0</v>
      </c>
      <c r="J1770" s="300">
        <v>1.0</v>
      </c>
      <c r="K1770" s="300">
        <v>1.0</v>
      </c>
      <c r="L1770" s="300">
        <v>1.0</v>
      </c>
      <c r="M1770" s="300">
        <v>1.0</v>
      </c>
      <c r="N1770" s="300">
        <v>8.0</v>
      </c>
      <c r="O1770" s="300" t="s">
        <v>875</v>
      </c>
      <c r="P1770" s="300">
        <v>7.0</v>
      </c>
    </row>
    <row r="1771">
      <c r="A1771">
        <f>IFERROR(__xludf.DUMMYFUNCTION("""COMPUTED_VALUE"""),10.0)</f>
        <v>10</v>
      </c>
      <c r="B1771" s="406">
        <f>IFERROR(__xludf.DUMMYFUNCTION("""COMPUTED_VALUE"""),28165.0)</f>
        <v>28165</v>
      </c>
      <c r="C1771" t="str">
        <f>IFERROR(__xludf.DUMMYFUNCTION("""COMPUTED_VALUE"""),"ARANA CARREÑO, MARIA ANTONIA")</f>
        <v>ARANA CARREÑO, MARIA ANTONIA</v>
      </c>
      <c r="D1771" t="str">
        <f>IFERROR(__xludf.DUMMYFUNCTION("""COMPUTED_VALUE"""),"Chemistry")</f>
        <v>Chemistry</v>
      </c>
      <c r="E1771" s="3">
        <f>IFERROR(__xludf.DUMMYFUNCTION("""COMPUTED_VALUE"""),8.0)</f>
        <v>8</v>
      </c>
      <c r="F1771" s="300">
        <v>1.0</v>
      </c>
      <c r="G1771" s="300">
        <v>1.0</v>
      </c>
      <c r="H1771" s="300">
        <v>1.0</v>
      </c>
      <c r="I1771" s="300">
        <v>1.0</v>
      </c>
      <c r="J1771" s="300">
        <v>1.0</v>
      </c>
      <c r="K1771" s="300">
        <v>1.0</v>
      </c>
      <c r="L1771" s="300">
        <v>1.0</v>
      </c>
      <c r="M1771" s="300">
        <v>1.0</v>
      </c>
      <c r="N1771" s="300">
        <v>8.0</v>
      </c>
      <c r="O1771" s="300" t="s">
        <v>873</v>
      </c>
      <c r="P1771" s="300">
        <v>7.0</v>
      </c>
    </row>
    <row r="1772">
      <c r="A1772">
        <f>IFERROR(__xludf.DUMMYFUNCTION("""COMPUTED_VALUE"""),10.0)</f>
        <v>10</v>
      </c>
      <c r="B1772" s="406">
        <f>IFERROR(__xludf.DUMMYFUNCTION("""COMPUTED_VALUE"""),28142.0)</f>
        <v>28142</v>
      </c>
      <c r="C1772" t="str">
        <f>IFERROR(__xludf.DUMMYFUNCTION("""COMPUTED_VALUE"""),"BOTERO BETANCOURT, NICOLAS")</f>
        <v>BOTERO BETANCOURT, NICOLAS</v>
      </c>
      <c r="D1772" t="str">
        <f>IFERROR(__xludf.DUMMYFUNCTION("""COMPUTED_VALUE"""),"Chemistry")</f>
        <v>Chemistry</v>
      </c>
      <c r="E1772" s="3">
        <f>IFERROR(__xludf.DUMMYFUNCTION("""COMPUTED_VALUE"""),6.0)</f>
        <v>6</v>
      </c>
      <c r="F1772" s="300">
        <v>1.0</v>
      </c>
      <c r="G1772" s="300">
        <v>1.0</v>
      </c>
      <c r="H1772" s="300">
        <v>1.0</v>
      </c>
      <c r="I1772" s="300">
        <v>1.0</v>
      </c>
      <c r="J1772" s="300">
        <v>1.0</v>
      </c>
      <c r="K1772" s="300">
        <v>1.0</v>
      </c>
      <c r="L1772" s="300">
        <v>1.0</v>
      </c>
      <c r="M1772" s="300">
        <v>1.0</v>
      </c>
      <c r="N1772" s="300">
        <v>8.0</v>
      </c>
      <c r="O1772" s="300" t="s">
        <v>878</v>
      </c>
      <c r="P1772" s="300">
        <v>7.0</v>
      </c>
    </row>
    <row r="1773">
      <c r="A1773">
        <f>IFERROR(__xludf.DUMMYFUNCTION("""COMPUTED_VALUE"""),10.0)</f>
        <v>10</v>
      </c>
      <c r="B1773" s="406">
        <f>IFERROR(__xludf.DUMMYFUNCTION("""COMPUTED_VALUE"""),27008.0)</f>
        <v>27008</v>
      </c>
      <c r="C1773" t="str">
        <f>IFERROR(__xludf.DUMMYFUNCTION("""COMPUTED_VALUE"""),"ARBELAEZ VELASQUEZ, AGUSTIN")</f>
        <v>ARBELAEZ VELASQUEZ, AGUSTIN</v>
      </c>
      <c r="D1773" t="str">
        <f>IFERROR(__xludf.DUMMYFUNCTION("""COMPUTED_VALUE"""),"Chemistry")</f>
        <v>Chemistry</v>
      </c>
      <c r="E1773" s="3">
        <f>IFERROR(__xludf.DUMMYFUNCTION("""COMPUTED_VALUE"""),8.0)</f>
        <v>8</v>
      </c>
      <c r="F1773" s="300">
        <v>1.0</v>
      </c>
      <c r="G1773" s="300">
        <v>1.0</v>
      </c>
      <c r="H1773" s="300">
        <v>1.0</v>
      </c>
      <c r="I1773" s="300">
        <v>1.0</v>
      </c>
      <c r="J1773" s="300">
        <v>1.0</v>
      </c>
      <c r="K1773" s="300">
        <v>1.0</v>
      </c>
      <c r="L1773" s="300">
        <v>1.0</v>
      </c>
      <c r="M1773" s="300">
        <v>1.0</v>
      </c>
      <c r="N1773" s="300">
        <v>8.0</v>
      </c>
      <c r="O1773" s="300" t="s">
        <v>873</v>
      </c>
      <c r="P1773" s="300">
        <v>7.0</v>
      </c>
    </row>
    <row r="1774">
      <c r="A1774">
        <f>IFERROR(__xludf.DUMMYFUNCTION("""COMPUTED_VALUE"""),10.0)</f>
        <v>10</v>
      </c>
      <c r="B1774" s="406">
        <f>IFERROR(__xludf.DUMMYFUNCTION("""COMPUTED_VALUE"""),28161.0)</f>
        <v>28161</v>
      </c>
      <c r="C1774" t="str">
        <f>IFERROR(__xludf.DUMMYFUNCTION("""COMPUTED_VALUE"""),"GAVIRIA GOMEZ, JUAN ANDRES")</f>
        <v>GAVIRIA GOMEZ, JUAN ANDRES</v>
      </c>
      <c r="D1774" t="str">
        <f>IFERROR(__xludf.DUMMYFUNCTION("""COMPUTED_VALUE"""),"Chemistry")</f>
        <v>Chemistry</v>
      </c>
      <c r="E1774" s="3">
        <f>IFERROR(__xludf.DUMMYFUNCTION("""COMPUTED_VALUE"""),7.0)</f>
        <v>7</v>
      </c>
      <c r="F1774" s="300">
        <v>1.0</v>
      </c>
      <c r="G1774" s="300">
        <v>1.0</v>
      </c>
      <c r="H1774" s="300">
        <v>1.0</v>
      </c>
      <c r="I1774" s="300">
        <v>1.0</v>
      </c>
      <c r="J1774" s="300">
        <v>1.0</v>
      </c>
      <c r="K1774" s="300">
        <v>1.0</v>
      </c>
      <c r="L1774" s="300">
        <v>1.0</v>
      </c>
      <c r="M1774" s="300">
        <v>1.0</v>
      </c>
      <c r="N1774" s="300">
        <v>8.0</v>
      </c>
      <c r="O1774" s="300" t="s">
        <v>874</v>
      </c>
      <c r="P1774" s="300">
        <v>7.0</v>
      </c>
    </row>
    <row r="1775">
      <c r="A1775">
        <f>IFERROR(__xludf.DUMMYFUNCTION("""COMPUTED_VALUE"""),10.0)</f>
        <v>10</v>
      </c>
      <c r="B1775" s="406">
        <f>IFERROR(__xludf.DUMMYFUNCTION("""COMPUTED_VALUE"""),28040.0)</f>
        <v>28040</v>
      </c>
      <c r="C1775" t="str">
        <f>IFERROR(__xludf.DUMMYFUNCTION("""COMPUTED_VALUE"""),"GONZALEZ MARIN, MANUELA")</f>
        <v>GONZALEZ MARIN, MANUELA</v>
      </c>
      <c r="D1775" t="str">
        <f>IFERROR(__xludf.DUMMYFUNCTION("""COMPUTED_VALUE"""),"Chemistry")</f>
        <v>Chemistry</v>
      </c>
      <c r="E1775" s="3">
        <f>IFERROR(__xludf.DUMMYFUNCTION("""COMPUTED_VALUE"""),8.0)</f>
        <v>8</v>
      </c>
      <c r="F1775" s="300">
        <v>1.0</v>
      </c>
      <c r="G1775" s="300">
        <v>1.0</v>
      </c>
      <c r="H1775" s="300">
        <v>1.0</v>
      </c>
      <c r="I1775" s="300">
        <v>1.0</v>
      </c>
      <c r="J1775" s="300">
        <v>1.0</v>
      </c>
      <c r="K1775" s="300">
        <v>1.0</v>
      </c>
      <c r="L1775" s="300">
        <v>1.0</v>
      </c>
      <c r="M1775" s="300">
        <v>1.0</v>
      </c>
      <c r="N1775" s="300">
        <v>8.0</v>
      </c>
      <c r="O1775" s="300" t="s">
        <v>873</v>
      </c>
      <c r="P1775" s="300">
        <v>7.0</v>
      </c>
    </row>
    <row r="1776">
      <c r="A1776">
        <f>IFERROR(__xludf.DUMMYFUNCTION("""COMPUTED_VALUE"""),10.0)</f>
        <v>10</v>
      </c>
      <c r="B1776" s="406">
        <f>IFERROR(__xludf.DUMMYFUNCTION("""COMPUTED_VALUE"""),28007.0)</f>
        <v>28007</v>
      </c>
      <c r="C1776" t="str">
        <f>IFERROR(__xludf.DUMMYFUNCTION("""COMPUTED_VALUE"""),"ARISTIZABAL SALAZAR, MIGUEL")</f>
        <v>ARISTIZABAL SALAZAR, MIGUEL</v>
      </c>
      <c r="D1776" t="str">
        <f>IFERROR(__xludf.DUMMYFUNCTION("""COMPUTED_VALUE"""),"Chemistry")</f>
        <v>Chemistry</v>
      </c>
      <c r="E1776" s="3">
        <f>IFERROR(__xludf.DUMMYFUNCTION("""COMPUTED_VALUE"""),2.0)</f>
        <v>2</v>
      </c>
      <c r="F1776" s="300">
        <v>1.0</v>
      </c>
      <c r="G1776" s="300">
        <v>1.0</v>
      </c>
      <c r="H1776" s="300">
        <v>1.0</v>
      </c>
      <c r="I1776" s="300">
        <v>1.0</v>
      </c>
      <c r="J1776" s="300">
        <v>1.0</v>
      </c>
      <c r="K1776" s="300">
        <v>1.0</v>
      </c>
      <c r="L1776" s="300">
        <v>1.0</v>
      </c>
      <c r="M1776" s="300">
        <v>1.0</v>
      </c>
      <c r="N1776" s="300">
        <v>8.0</v>
      </c>
      <c r="O1776" s="300" t="s">
        <v>876</v>
      </c>
      <c r="P1776" s="300">
        <v>7.0</v>
      </c>
    </row>
    <row r="1777">
      <c r="A1777">
        <f>IFERROR(__xludf.DUMMYFUNCTION("""COMPUTED_VALUE"""),10.0)</f>
        <v>10</v>
      </c>
      <c r="B1777" s="406">
        <f>IFERROR(__xludf.DUMMYFUNCTION("""COMPUTED_VALUE"""),28047.0)</f>
        <v>28047</v>
      </c>
      <c r="C1777" t="str">
        <f>IFERROR(__xludf.DUMMYFUNCTION("""COMPUTED_VALUE"""),"ISAZA BETANCUR, CRISTOBAL")</f>
        <v>ISAZA BETANCUR, CRISTOBAL</v>
      </c>
      <c r="D1777" t="str">
        <f>IFERROR(__xludf.DUMMYFUNCTION("""COMPUTED_VALUE"""),"Chemistry")</f>
        <v>Chemistry</v>
      </c>
      <c r="E1777" s="3">
        <f>IFERROR(__xludf.DUMMYFUNCTION("""COMPUTED_VALUE"""),5.0)</f>
        <v>5</v>
      </c>
      <c r="F1777" s="300">
        <v>1.0</v>
      </c>
      <c r="G1777" s="300">
        <v>1.0</v>
      </c>
      <c r="H1777" s="300">
        <v>1.0</v>
      </c>
      <c r="I1777" s="300">
        <v>1.0</v>
      </c>
      <c r="J1777" s="300">
        <v>1.0</v>
      </c>
      <c r="K1777" s="300">
        <v>1.0</v>
      </c>
      <c r="L1777" s="300">
        <v>1.0</v>
      </c>
      <c r="M1777" s="300">
        <v>1.0</v>
      </c>
      <c r="N1777" s="300">
        <v>8.0</v>
      </c>
      <c r="O1777" s="300" t="s">
        <v>877</v>
      </c>
      <c r="P1777" s="300">
        <v>7.0</v>
      </c>
    </row>
    <row r="1778">
      <c r="A1778">
        <f>IFERROR(__xludf.DUMMYFUNCTION("""COMPUTED_VALUE"""),10.0)</f>
        <v>10</v>
      </c>
      <c r="B1778" s="406">
        <f>IFERROR(__xludf.DUMMYFUNCTION("""COMPUTED_VALUE"""),28111.0)</f>
        <v>28111</v>
      </c>
      <c r="C1778" t="str">
        <f>IFERROR(__xludf.DUMMYFUNCTION("""COMPUTED_VALUE"""),"GARCES RIVERA, MATHIAS")</f>
        <v>GARCES RIVERA, MATHIAS</v>
      </c>
      <c r="D1778" t="str">
        <f>IFERROR(__xludf.DUMMYFUNCTION("""COMPUTED_VALUE"""),"Chemistry")</f>
        <v>Chemistry</v>
      </c>
      <c r="E1778" s="3">
        <f>IFERROR(__xludf.DUMMYFUNCTION("""COMPUTED_VALUE"""),2.0)</f>
        <v>2</v>
      </c>
      <c r="F1778" s="300">
        <v>1.0</v>
      </c>
      <c r="G1778" s="300">
        <v>1.0</v>
      </c>
      <c r="H1778" s="300">
        <v>1.0</v>
      </c>
      <c r="I1778" s="300">
        <v>1.0</v>
      </c>
      <c r="J1778" s="300">
        <v>1.0</v>
      </c>
      <c r="K1778" s="300">
        <v>1.0</v>
      </c>
      <c r="L1778" s="300">
        <v>1.0</v>
      </c>
      <c r="M1778" s="300">
        <v>1.0</v>
      </c>
      <c r="N1778" s="300">
        <v>8.0</v>
      </c>
      <c r="O1778" s="300" t="s">
        <v>876</v>
      </c>
      <c r="P1778" s="300">
        <v>7.0</v>
      </c>
    </row>
    <row r="1779">
      <c r="A1779">
        <f>IFERROR(__xludf.DUMMYFUNCTION("""COMPUTED_VALUE"""),10.0)</f>
        <v>10</v>
      </c>
      <c r="B1779" s="406">
        <f>IFERROR(__xludf.DUMMYFUNCTION("""COMPUTED_VALUE"""),28011.0)</f>
        <v>28011</v>
      </c>
      <c r="C1779" t="str">
        <f>IFERROR(__xludf.DUMMYFUNCTION("""COMPUTED_VALUE"""),"BAQUERO GARCIA, PASCUAL")</f>
        <v>BAQUERO GARCIA, PASCUAL</v>
      </c>
      <c r="D1779" t="str">
        <f>IFERROR(__xludf.DUMMYFUNCTION("""COMPUTED_VALUE"""),"Chemistry")</f>
        <v>Chemistry</v>
      </c>
      <c r="E1779" s="3">
        <f>IFERROR(__xludf.DUMMYFUNCTION("""COMPUTED_VALUE"""),3.0)</f>
        <v>3</v>
      </c>
      <c r="F1779" s="300">
        <v>1.0</v>
      </c>
      <c r="G1779" s="300">
        <v>1.0</v>
      </c>
      <c r="H1779" s="300">
        <v>1.0</v>
      </c>
      <c r="I1779" s="300">
        <v>1.0</v>
      </c>
      <c r="J1779" s="300">
        <v>1.0</v>
      </c>
      <c r="K1779" s="300">
        <v>1.0</v>
      </c>
      <c r="L1779" s="300">
        <v>1.0</v>
      </c>
      <c r="M1779" s="300">
        <v>1.0</v>
      </c>
      <c r="N1779" s="300">
        <v>8.0</v>
      </c>
      <c r="O1779" s="300" t="s">
        <v>879</v>
      </c>
      <c r="P1779" s="300">
        <v>7.0</v>
      </c>
    </row>
    <row r="1780">
      <c r="A1780">
        <f>IFERROR(__xludf.DUMMYFUNCTION("""COMPUTED_VALUE"""),10.0)</f>
        <v>10</v>
      </c>
      <c r="B1780" s="406">
        <f>IFERROR(__xludf.DUMMYFUNCTION("""COMPUTED_VALUE"""),28115.0)</f>
        <v>28115</v>
      </c>
      <c r="C1780" t="str">
        <f>IFERROR(__xludf.DUMMYFUNCTION("""COMPUTED_VALUE"""),"VELEZ ECHAVARRIA, AMELIA")</f>
        <v>VELEZ ECHAVARRIA, AMELIA</v>
      </c>
      <c r="D1780" t="str">
        <f>IFERROR(__xludf.DUMMYFUNCTION("""COMPUTED_VALUE"""),"Chemistry")</f>
        <v>Chemistry</v>
      </c>
      <c r="E1780" s="3">
        <f>IFERROR(__xludf.DUMMYFUNCTION("""COMPUTED_VALUE"""),8.0)</f>
        <v>8</v>
      </c>
      <c r="F1780" s="300">
        <v>1.0</v>
      </c>
      <c r="G1780" s="300">
        <v>1.0</v>
      </c>
      <c r="H1780" s="300">
        <v>1.0</v>
      </c>
      <c r="I1780" s="300">
        <v>1.0</v>
      </c>
      <c r="J1780" s="300">
        <v>1.0</v>
      </c>
      <c r="K1780" s="300">
        <v>1.0</v>
      </c>
      <c r="L1780" s="300">
        <v>1.0</v>
      </c>
      <c r="M1780" s="300">
        <v>1.0</v>
      </c>
      <c r="N1780" s="300">
        <v>8.0</v>
      </c>
      <c r="O1780" s="300" t="s">
        <v>873</v>
      </c>
      <c r="P1780" s="300">
        <v>7.0</v>
      </c>
    </row>
    <row r="1781">
      <c r="A1781">
        <f>IFERROR(__xludf.DUMMYFUNCTION("""COMPUTED_VALUE"""),10.0)</f>
        <v>10</v>
      </c>
      <c r="B1781" s="406">
        <f>IFERROR(__xludf.DUMMYFUNCTION("""COMPUTED_VALUE"""),28106.0)</f>
        <v>28106</v>
      </c>
      <c r="C1781" t="str">
        <f>IFERROR(__xludf.DUMMYFUNCTION("""COMPUTED_VALUE"""),"TOBON PEÑALOZA, PEDRO")</f>
        <v>TOBON PEÑALOZA, PEDRO</v>
      </c>
      <c r="D1781" t="str">
        <f>IFERROR(__xludf.DUMMYFUNCTION("""COMPUTED_VALUE"""),"Chemistry")</f>
        <v>Chemistry</v>
      </c>
      <c r="E1781" s="3">
        <f>IFERROR(__xludf.DUMMYFUNCTION("""COMPUTED_VALUE"""),2.0)</f>
        <v>2</v>
      </c>
      <c r="F1781" s="300">
        <v>1.0</v>
      </c>
      <c r="G1781" s="300">
        <v>1.0</v>
      </c>
      <c r="H1781" s="300">
        <v>1.0</v>
      </c>
      <c r="I1781" s="300">
        <v>1.0</v>
      </c>
      <c r="J1781" s="300">
        <v>1.0</v>
      </c>
      <c r="K1781" s="300">
        <v>1.0</v>
      </c>
      <c r="L1781" s="300">
        <v>1.0</v>
      </c>
      <c r="M1781" s="300">
        <v>1.0</v>
      </c>
      <c r="N1781" s="300">
        <v>8.0</v>
      </c>
      <c r="O1781" s="300" t="s">
        <v>876</v>
      </c>
      <c r="P1781" s="300">
        <v>7.0</v>
      </c>
    </row>
    <row r="1782">
      <c r="A1782">
        <f>IFERROR(__xludf.DUMMYFUNCTION("""COMPUTED_VALUE"""),10.0)</f>
        <v>10</v>
      </c>
      <c r="B1782" s="406">
        <f>IFERROR(__xludf.DUMMYFUNCTION("""COMPUTED_VALUE"""),28004.0)</f>
        <v>28004</v>
      </c>
      <c r="C1782" t="str">
        <f>IFERROR(__xludf.DUMMYFUNCTION("""COMPUTED_VALUE"""),"ARANGO FERNANDEZ, AGUSTIN")</f>
        <v>ARANGO FERNANDEZ, AGUSTIN</v>
      </c>
      <c r="D1782" t="str">
        <f>IFERROR(__xludf.DUMMYFUNCTION("""COMPUTED_VALUE"""),"Chemistry")</f>
        <v>Chemistry</v>
      </c>
      <c r="E1782" s="3">
        <f>IFERROR(__xludf.DUMMYFUNCTION("""COMPUTED_VALUE"""),3.0)</f>
        <v>3</v>
      </c>
      <c r="F1782" s="300">
        <v>1.0</v>
      </c>
      <c r="G1782" s="300">
        <v>1.0</v>
      </c>
      <c r="H1782" s="300">
        <v>1.0</v>
      </c>
      <c r="I1782" s="300">
        <v>1.0</v>
      </c>
      <c r="J1782" s="300">
        <v>1.0</v>
      </c>
      <c r="K1782" s="300">
        <v>1.0</v>
      </c>
      <c r="L1782" s="300">
        <v>1.0</v>
      </c>
      <c r="M1782" s="300">
        <v>1.0</v>
      </c>
      <c r="N1782" s="300">
        <v>8.0</v>
      </c>
      <c r="O1782" s="300" t="s">
        <v>879</v>
      </c>
      <c r="P1782" s="300">
        <v>7.0</v>
      </c>
    </row>
    <row r="1783">
      <c r="A1783">
        <f>IFERROR(__xludf.DUMMYFUNCTION("""COMPUTED_VALUE"""),10.0)</f>
        <v>10</v>
      </c>
      <c r="B1783" s="406">
        <f>IFERROR(__xludf.DUMMYFUNCTION("""COMPUTED_VALUE"""),28001.0)</f>
        <v>28001</v>
      </c>
      <c r="C1783" t="str">
        <f>IFERROR(__xludf.DUMMYFUNCTION("""COMPUTED_VALUE"""),"ABAD OLARTE, LUCIA")</f>
        <v>ABAD OLARTE, LUCIA</v>
      </c>
      <c r="D1783" t="str">
        <f>IFERROR(__xludf.DUMMYFUNCTION("""COMPUTED_VALUE"""),"Chemistry")</f>
        <v>Chemistry</v>
      </c>
      <c r="E1783" s="3">
        <f>IFERROR(__xludf.DUMMYFUNCTION("""COMPUTED_VALUE"""),2.0)</f>
        <v>2</v>
      </c>
      <c r="F1783" s="300">
        <v>1.0</v>
      </c>
      <c r="G1783" s="300">
        <v>1.0</v>
      </c>
      <c r="H1783" s="300">
        <v>1.0</v>
      </c>
      <c r="I1783" s="300">
        <v>1.0</v>
      </c>
      <c r="J1783" s="300">
        <v>1.0</v>
      </c>
      <c r="K1783" s="300">
        <v>1.0</v>
      </c>
      <c r="L1783" s="300">
        <v>1.0</v>
      </c>
      <c r="M1783" s="300">
        <v>1.0</v>
      </c>
      <c r="N1783" s="300">
        <v>8.0</v>
      </c>
      <c r="O1783" s="300" t="s">
        <v>876</v>
      </c>
      <c r="P1783" s="300">
        <v>7.0</v>
      </c>
    </row>
    <row r="1784">
      <c r="A1784">
        <f>IFERROR(__xludf.DUMMYFUNCTION("""COMPUTED_VALUE"""),10.0)</f>
        <v>10</v>
      </c>
      <c r="B1784" s="406">
        <f>IFERROR(__xludf.DUMMYFUNCTION("""COMPUTED_VALUE"""),28055.0)</f>
        <v>28055</v>
      </c>
      <c r="C1784" t="str">
        <f>IFERROR(__xludf.DUMMYFUNCTION("""COMPUTED_VALUE"""),"JARAMILLO OCHOA, LUCIANA")</f>
        <v>JARAMILLO OCHOA, LUCIANA</v>
      </c>
      <c r="D1784" t="str">
        <f>IFERROR(__xludf.DUMMYFUNCTION("""COMPUTED_VALUE"""),"Chemistry")</f>
        <v>Chemistry</v>
      </c>
      <c r="E1784" s="3">
        <f>IFERROR(__xludf.DUMMYFUNCTION("""COMPUTED_VALUE"""),8.0)</f>
        <v>8</v>
      </c>
      <c r="F1784" s="300">
        <v>1.0</v>
      </c>
      <c r="G1784" s="300">
        <v>1.0</v>
      </c>
      <c r="H1784" s="300">
        <v>1.0</v>
      </c>
      <c r="I1784" s="300">
        <v>1.0</v>
      </c>
      <c r="J1784" s="300">
        <v>1.0</v>
      </c>
      <c r="K1784" s="300">
        <v>1.0</v>
      </c>
      <c r="L1784" s="300">
        <v>1.0</v>
      </c>
      <c r="M1784" s="300">
        <v>1.0</v>
      </c>
      <c r="N1784" s="300">
        <v>8.0</v>
      </c>
      <c r="O1784" s="300" t="s">
        <v>873</v>
      </c>
      <c r="P1784" s="300">
        <v>7.0</v>
      </c>
    </row>
    <row r="1785">
      <c r="A1785">
        <f>IFERROR(__xludf.DUMMYFUNCTION("""COMPUTED_VALUE"""),10.0)</f>
        <v>10</v>
      </c>
      <c r="B1785" s="406">
        <f>IFERROR(__xludf.DUMMYFUNCTION("""COMPUTED_VALUE"""),28009.0)</f>
        <v>28009</v>
      </c>
      <c r="C1785" t="str">
        <f>IFERROR(__xludf.DUMMYFUNCTION("""COMPUTED_VALUE"""),"ARISTIZABAL ZULUAGA, MATILDE")</f>
        <v>ARISTIZABAL ZULUAGA, MATILDE</v>
      </c>
      <c r="D1785" t="str">
        <f>IFERROR(__xludf.DUMMYFUNCTION("""COMPUTED_VALUE"""),"Chemistry")</f>
        <v>Chemistry</v>
      </c>
      <c r="E1785" s="3">
        <f>IFERROR(__xludf.DUMMYFUNCTION("""COMPUTED_VALUE"""),2.0)</f>
        <v>2</v>
      </c>
      <c r="F1785" s="300">
        <v>1.0</v>
      </c>
      <c r="G1785" s="300">
        <v>1.0</v>
      </c>
      <c r="H1785" s="300">
        <v>1.0</v>
      </c>
      <c r="I1785" s="300">
        <v>1.0</v>
      </c>
      <c r="J1785" s="300">
        <v>1.0</v>
      </c>
      <c r="K1785" s="300">
        <v>1.0</v>
      </c>
      <c r="L1785" s="300">
        <v>1.0</v>
      </c>
      <c r="M1785" s="300">
        <v>1.0</v>
      </c>
      <c r="N1785" s="300">
        <v>8.0</v>
      </c>
      <c r="O1785" s="300" t="s">
        <v>876</v>
      </c>
      <c r="P1785" s="300">
        <v>7.0</v>
      </c>
    </row>
    <row r="1786">
      <c r="A1786">
        <f>IFERROR(__xludf.DUMMYFUNCTION("""COMPUTED_VALUE"""),10.0)</f>
        <v>10</v>
      </c>
      <c r="B1786" s="406">
        <f>IFERROR(__xludf.DUMMYFUNCTION("""COMPUTED_VALUE"""),28089.0)</f>
        <v>28089</v>
      </c>
      <c r="C1786" t="str">
        <f>IFERROR(__xludf.DUMMYFUNCTION("""COMPUTED_VALUE"""),"RAMIREZ OSORIO, ELENA")</f>
        <v>RAMIREZ OSORIO, ELENA</v>
      </c>
      <c r="D1786" t="str">
        <f>IFERROR(__xludf.DUMMYFUNCTION("""COMPUTED_VALUE"""),"Chemistry")</f>
        <v>Chemistry</v>
      </c>
      <c r="E1786" s="3">
        <f>IFERROR(__xludf.DUMMYFUNCTION("""COMPUTED_VALUE"""),8.0)</f>
        <v>8</v>
      </c>
      <c r="F1786" s="300">
        <v>1.0</v>
      </c>
      <c r="G1786" s="300">
        <v>1.0</v>
      </c>
      <c r="H1786" s="300">
        <v>1.0</v>
      </c>
      <c r="I1786" s="300">
        <v>1.0</v>
      </c>
      <c r="J1786" s="300">
        <v>1.0</v>
      </c>
      <c r="K1786" s="300">
        <v>1.0</v>
      </c>
      <c r="L1786" s="300">
        <v>1.0</v>
      </c>
      <c r="M1786" s="300">
        <v>1.0</v>
      </c>
      <c r="N1786" s="300">
        <v>8.0</v>
      </c>
      <c r="O1786" s="300" t="s">
        <v>873</v>
      </c>
      <c r="P1786" s="300">
        <v>7.0</v>
      </c>
    </row>
    <row r="1787">
      <c r="A1787">
        <f>IFERROR(__xludf.DUMMYFUNCTION("""COMPUTED_VALUE"""),10.0)</f>
        <v>10</v>
      </c>
      <c r="B1787" s="406">
        <f>IFERROR(__xludf.DUMMYFUNCTION("""COMPUTED_VALUE"""),28072.0)</f>
        <v>28072</v>
      </c>
      <c r="C1787" t="str">
        <f>IFERROR(__xludf.DUMMYFUNCTION("""COMPUTED_VALUE"""),"NAVARRO ISAZA, SOFIA")</f>
        <v>NAVARRO ISAZA, SOFIA</v>
      </c>
      <c r="D1787" t="str">
        <f>IFERROR(__xludf.DUMMYFUNCTION("""COMPUTED_VALUE"""),"Chemistry")</f>
        <v>Chemistry</v>
      </c>
      <c r="E1787" s="3">
        <f>IFERROR(__xludf.DUMMYFUNCTION("""COMPUTED_VALUE"""),1.0)</f>
        <v>1</v>
      </c>
      <c r="F1787" s="300">
        <v>1.0</v>
      </c>
      <c r="G1787" s="300">
        <v>1.0</v>
      </c>
      <c r="H1787" s="300">
        <v>1.0</v>
      </c>
      <c r="I1787" s="300">
        <v>1.0</v>
      </c>
      <c r="J1787" s="300">
        <v>1.0</v>
      </c>
      <c r="K1787" s="300">
        <v>1.0</v>
      </c>
      <c r="L1787" s="300">
        <v>1.0</v>
      </c>
      <c r="M1787" s="300">
        <v>1.0</v>
      </c>
      <c r="N1787" s="300">
        <v>8.0</v>
      </c>
      <c r="O1787" s="300" t="s">
        <v>875</v>
      </c>
      <c r="P1787" s="300">
        <v>7.0</v>
      </c>
    </row>
    <row r="1788">
      <c r="A1788">
        <f>IFERROR(__xludf.DUMMYFUNCTION("""COMPUTED_VALUE"""),10.0)</f>
        <v>10</v>
      </c>
      <c r="B1788" s="406">
        <f>IFERROR(__xludf.DUMMYFUNCTION("""COMPUTED_VALUE"""),28005.0)</f>
        <v>28005</v>
      </c>
      <c r="C1788" t="str">
        <f>IFERROR(__xludf.DUMMYFUNCTION("""COMPUTED_VALUE"""),"ARBELAEZ RODADO, SILVIA")</f>
        <v>ARBELAEZ RODADO, SILVIA</v>
      </c>
      <c r="D1788" t="str">
        <f>IFERROR(__xludf.DUMMYFUNCTION("""COMPUTED_VALUE"""),"Chemistry")</f>
        <v>Chemistry</v>
      </c>
      <c r="E1788" s="3">
        <f>IFERROR(__xludf.DUMMYFUNCTION("""COMPUTED_VALUE"""),7.0)</f>
        <v>7</v>
      </c>
      <c r="F1788" s="300">
        <v>1.0</v>
      </c>
      <c r="G1788" s="300">
        <v>1.0</v>
      </c>
      <c r="H1788" s="300">
        <v>1.0</v>
      </c>
      <c r="I1788" s="300">
        <v>1.0</v>
      </c>
      <c r="J1788" s="300">
        <v>1.0</v>
      </c>
      <c r="K1788" s="300">
        <v>1.0</v>
      </c>
      <c r="L1788" s="300">
        <v>1.0</v>
      </c>
      <c r="M1788" s="300">
        <v>1.0</v>
      </c>
      <c r="N1788" s="300">
        <v>8.0</v>
      </c>
      <c r="O1788" s="300" t="s">
        <v>874</v>
      </c>
      <c r="P1788" s="300">
        <v>7.0</v>
      </c>
    </row>
    <row r="1789">
      <c r="A1789">
        <f>IFERROR(__xludf.DUMMYFUNCTION("""COMPUTED_VALUE"""),10.0)</f>
        <v>10</v>
      </c>
      <c r="B1789" s="406">
        <f>IFERROR(__xludf.DUMMYFUNCTION("""COMPUTED_VALUE"""),28051.0)</f>
        <v>28051</v>
      </c>
      <c r="C1789" t="str">
        <f>IFERROR(__xludf.DUMMYFUNCTION("""COMPUTED_VALUE"""),"JIMENEZ ESCOBAR, MARIANA")</f>
        <v>JIMENEZ ESCOBAR, MARIANA</v>
      </c>
      <c r="D1789" t="str">
        <f>IFERROR(__xludf.DUMMYFUNCTION("""COMPUTED_VALUE"""),"Chemistry")</f>
        <v>Chemistry</v>
      </c>
      <c r="E1789" s="3">
        <f>IFERROR(__xludf.DUMMYFUNCTION("""COMPUTED_VALUE"""),1.0)</f>
        <v>1</v>
      </c>
      <c r="F1789" s="300">
        <v>1.0</v>
      </c>
      <c r="G1789" s="300">
        <v>1.0</v>
      </c>
      <c r="H1789" s="300">
        <v>1.0</v>
      </c>
      <c r="I1789" s="300">
        <v>1.0</v>
      </c>
      <c r="J1789" s="300">
        <v>1.0</v>
      </c>
      <c r="K1789" s="300">
        <v>1.0</v>
      </c>
      <c r="L1789" s="300">
        <v>1.0</v>
      </c>
      <c r="M1789" s="300">
        <v>1.0</v>
      </c>
      <c r="N1789" s="300">
        <v>8.0</v>
      </c>
      <c r="O1789" s="300" t="s">
        <v>875</v>
      </c>
      <c r="P1789" s="300">
        <v>7.0</v>
      </c>
    </row>
    <row r="1790">
      <c r="A1790">
        <f>IFERROR(__xludf.DUMMYFUNCTION("""COMPUTED_VALUE"""),10.0)</f>
        <v>10</v>
      </c>
      <c r="B1790" s="406">
        <f>IFERROR(__xludf.DUMMYFUNCTION("""COMPUTED_VALUE"""),27007.0)</f>
        <v>27007</v>
      </c>
      <c r="C1790" t="str">
        <f>IFERROR(__xludf.DUMMYFUNCTION("""COMPUTED_VALUE"""),"ARANGO VELEZ, MATEO")</f>
        <v>ARANGO VELEZ, MATEO</v>
      </c>
      <c r="D1790" t="str">
        <f>IFERROR(__xludf.DUMMYFUNCTION("""COMPUTED_VALUE"""),"Chemistry")</f>
        <v>Chemistry</v>
      </c>
      <c r="E1790" s="3">
        <f>IFERROR(__xludf.DUMMYFUNCTION("""COMPUTED_VALUE"""),7.0)</f>
        <v>7</v>
      </c>
      <c r="F1790" s="300">
        <v>1.0</v>
      </c>
      <c r="G1790" s="300">
        <v>1.0</v>
      </c>
      <c r="H1790" s="300">
        <v>1.0</v>
      </c>
      <c r="I1790" s="300">
        <v>1.0</v>
      </c>
      <c r="J1790" s="300">
        <v>1.0</v>
      </c>
      <c r="K1790" s="300">
        <v>1.0</v>
      </c>
      <c r="L1790" s="300">
        <v>1.0</v>
      </c>
      <c r="M1790" s="300">
        <v>1.0</v>
      </c>
      <c r="N1790" s="300">
        <v>8.0</v>
      </c>
      <c r="O1790" s="300" t="s">
        <v>874</v>
      </c>
      <c r="P1790" s="300">
        <v>7.0</v>
      </c>
    </row>
    <row r="1791">
      <c r="A1791">
        <f>IFERROR(__xludf.DUMMYFUNCTION("""COMPUTED_VALUE"""),10.0)</f>
        <v>10</v>
      </c>
      <c r="B1791" s="406">
        <f>IFERROR(__xludf.DUMMYFUNCTION("""COMPUTED_VALUE"""),28102.0)</f>
        <v>28102</v>
      </c>
      <c r="C1791" t="str">
        <f>IFERROR(__xludf.DUMMYFUNCTION("""COMPUTED_VALUE"""),"SALAZAR BOTERO, GABRIELA")</f>
        <v>SALAZAR BOTERO, GABRIELA</v>
      </c>
      <c r="D1791" t="str">
        <f>IFERROR(__xludf.DUMMYFUNCTION("""COMPUTED_VALUE"""),"Chemistry")</f>
        <v>Chemistry</v>
      </c>
      <c r="E1791" s="3">
        <f>IFERROR(__xludf.DUMMYFUNCTION("""COMPUTED_VALUE"""),3.0)</f>
        <v>3</v>
      </c>
      <c r="F1791" s="300">
        <v>1.0</v>
      </c>
      <c r="G1791" s="300">
        <v>1.0</v>
      </c>
      <c r="H1791" s="300">
        <v>1.0</v>
      </c>
      <c r="I1791" s="300">
        <v>1.0</v>
      </c>
      <c r="J1791" s="300">
        <v>1.0</v>
      </c>
      <c r="K1791" s="300">
        <v>1.0</v>
      </c>
      <c r="L1791" s="300">
        <v>1.0</v>
      </c>
      <c r="M1791" s="300">
        <v>1.0</v>
      </c>
      <c r="N1791" s="300">
        <v>8.0</v>
      </c>
      <c r="O1791" s="300" t="s">
        <v>879</v>
      </c>
      <c r="P1791" s="300">
        <v>7.0</v>
      </c>
    </row>
    <row r="1792">
      <c r="A1792">
        <f>IFERROR(__xludf.DUMMYFUNCTION("""COMPUTED_VALUE"""),10.0)</f>
        <v>10</v>
      </c>
      <c r="B1792" s="406">
        <f>IFERROR(__xludf.DUMMYFUNCTION("""COMPUTED_VALUE"""),28104.0)</f>
        <v>28104</v>
      </c>
      <c r="C1792" t="str">
        <f>IFERROR(__xludf.DUMMYFUNCTION("""COMPUTED_VALUE"""),"SERRANO SERRANO, SIMON")</f>
        <v>SERRANO SERRANO, SIMON</v>
      </c>
      <c r="D1792" t="str">
        <f>IFERROR(__xludf.DUMMYFUNCTION("""COMPUTED_VALUE"""),"Chemistry")</f>
        <v>Chemistry</v>
      </c>
      <c r="E1792" s="3">
        <f>IFERROR(__xludf.DUMMYFUNCTION("""COMPUTED_VALUE"""),1.0)</f>
        <v>1</v>
      </c>
      <c r="F1792" s="300">
        <v>1.0</v>
      </c>
      <c r="G1792" s="300">
        <v>1.0</v>
      </c>
      <c r="H1792" s="300">
        <v>1.0</v>
      </c>
      <c r="I1792" s="300">
        <v>1.0</v>
      </c>
      <c r="J1792" s="300">
        <v>1.0</v>
      </c>
      <c r="K1792" s="300">
        <v>1.0</v>
      </c>
      <c r="L1792" s="300">
        <v>1.0</v>
      </c>
      <c r="M1792" s="300">
        <v>1.0</v>
      </c>
      <c r="N1792" s="300">
        <v>8.0</v>
      </c>
      <c r="O1792" s="300" t="s">
        <v>875</v>
      </c>
      <c r="P1792" s="300">
        <v>7.0</v>
      </c>
    </row>
    <row r="1793">
      <c r="A1793">
        <f>IFERROR(__xludf.DUMMYFUNCTION("""COMPUTED_VALUE"""),10.0)</f>
        <v>10</v>
      </c>
      <c r="B1793" s="406">
        <f>IFERROR(__xludf.DUMMYFUNCTION("""COMPUTED_VALUE"""),28008.0)</f>
        <v>28008</v>
      </c>
      <c r="C1793" t="str">
        <f>IFERROR(__xludf.DUMMYFUNCTION("""COMPUTED_VALUE"""),"ARISTIZABAL TOBON, MATIAS")</f>
        <v>ARISTIZABAL TOBON, MATIAS</v>
      </c>
      <c r="D1793" t="str">
        <f>IFERROR(__xludf.DUMMYFUNCTION("""COMPUTED_VALUE"""),"Chemistry")</f>
        <v>Chemistry</v>
      </c>
      <c r="E1793" s="3">
        <f>IFERROR(__xludf.DUMMYFUNCTION("""COMPUTED_VALUE"""),5.0)</f>
        <v>5</v>
      </c>
      <c r="F1793" s="300">
        <v>1.0</v>
      </c>
      <c r="G1793" s="300">
        <v>1.0</v>
      </c>
      <c r="H1793" s="300">
        <v>1.0</v>
      </c>
      <c r="I1793" s="300">
        <v>1.0</v>
      </c>
      <c r="J1793" s="300">
        <v>1.0</v>
      </c>
      <c r="K1793" s="300">
        <v>1.0</v>
      </c>
      <c r="L1793" s="300">
        <v>1.0</v>
      </c>
      <c r="M1793" s="300">
        <v>1.0</v>
      </c>
      <c r="N1793" s="300">
        <v>8.0</v>
      </c>
      <c r="O1793" s="300" t="s">
        <v>877</v>
      </c>
      <c r="P1793" s="300">
        <v>7.0</v>
      </c>
    </row>
    <row r="1794">
      <c r="A1794">
        <f>IFERROR(__xludf.DUMMYFUNCTION("""COMPUTED_VALUE"""),10.0)</f>
        <v>10</v>
      </c>
      <c r="B1794" s="406">
        <f>IFERROR(__xludf.DUMMYFUNCTION("""COMPUTED_VALUE"""),28065.0)</f>
        <v>28065</v>
      </c>
      <c r="C1794" t="str">
        <f>IFERROR(__xludf.DUMMYFUNCTION("""COMPUTED_VALUE"""),"MEJIA MEJIA, TOMAS")</f>
        <v>MEJIA MEJIA, TOMAS</v>
      </c>
      <c r="D1794" t="str">
        <f>IFERROR(__xludf.DUMMYFUNCTION("""COMPUTED_VALUE"""),"Chemistry")</f>
        <v>Chemistry</v>
      </c>
      <c r="E1794" s="3">
        <f>IFERROR(__xludf.DUMMYFUNCTION("""COMPUTED_VALUE"""),3.0)</f>
        <v>3</v>
      </c>
      <c r="F1794" s="300">
        <v>1.0</v>
      </c>
      <c r="G1794" s="300">
        <v>1.0</v>
      </c>
      <c r="H1794" s="300">
        <v>1.0</v>
      </c>
      <c r="I1794" s="300">
        <v>1.0</v>
      </c>
      <c r="J1794" s="300">
        <v>1.0</v>
      </c>
      <c r="K1794" s="300">
        <v>1.0</v>
      </c>
      <c r="L1794" s="300">
        <v>1.0</v>
      </c>
      <c r="M1794" s="300">
        <v>1.0</v>
      </c>
      <c r="N1794" s="300">
        <v>8.0</v>
      </c>
      <c r="O1794" s="300" t="s">
        <v>879</v>
      </c>
      <c r="P1794" s="300">
        <v>7.0</v>
      </c>
    </row>
    <row r="1795">
      <c r="A1795">
        <f>IFERROR(__xludf.DUMMYFUNCTION("""COMPUTED_VALUE"""),10.0)</f>
        <v>10</v>
      </c>
      <c r="B1795" s="406">
        <f>IFERROR(__xludf.DUMMYFUNCTION("""COMPUTED_VALUE"""),28073.0)</f>
        <v>28073</v>
      </c>
      <c r="C1795" t="str">
        <f>IFERROR(__xludf.DUMMYFUNCTION("""COMPUTED_VALUE"""),"NAVARRO RAMIREZ, MARIA")</f>
        <v>NAVARRO RAMIREZ, MARIA</v>
      </c>
      <c r="D1795" t="str">
        <f>IFERROR(__xludf.DUMMYFUNCTION("""COMPUTED_VALUE"""),"Chemistry")</f>
        <v>Chemistry</v>
      </c>
      <c r="E1795" s="3">
        <f>IFERROR(__xludf.DUMMYFUNCTION("""COMPUTED_VALUE"""),5.0)</f>
        <v>5</v>
      </c>
      <c r="F1795" s="300">
        <v>1.0</v>
      </c>
      <c r="G1795" s="300">
        <v>1.0</v>
      </c>
      <c r="H1795" s="300">
        <v>1.0</v>
      </c>
      <c r="I1795" s="300">
        <v>1.0</v>
      </c>
      <c r="J1795" s="300">
        <v>1.0</v>
      </c>
      <c r="K1795" s="300">
        <v>1.0</v>
      </c>
      <c r="L1795" s="300">
        <v>1.0</v>
      </c>
      <c r="M1795" s="300">
        <v>1.0</v>
      </c>
      <c r="N1795" s="300">
        <v>8.0</v>
      </c>
      <c r="O1795" s="300" t="s">
        <v>877</v>
      </c>
      <c r="P1795" s="300">
        <v>7.0</v>
      </c>
    </row>
    <row r="1796">
      <c r="A1796">
        <f>IFERROR(__xludf.DUMMYFUNCTION("""COMPUTED_VALUE"""),10.0)</f>
        <v>10</v>
      </c>
      <c r="B1796" s="406">
        <f>IFERROR(__xludf.DUMMYFUNCTION("""COMPUTED_VALUE"""),28081.0)</f>
        <v>28081</v>
      </c>
      <c r="C1796" t="str">
        <f>IFERROR(__xludf.DUMMYFUNCTION("""COMPUTED_VALUE"""),"PALACIO RUIZ, LUCAS")</f>
        <v>PALACIO RUIZ, LUCAS</v>
      </c>
      <c r="D1796" t="str">
        <f>IFERROR(__xludf.DUMMYFUNCTION("""COMPUTED_VALUE"""),"Chemistry")</f>
        <v>Chemistry</v>
      </c>
      <c r="E1796" s="3">
        <f>IFERROR(__xludf.DUMMYFUNCTION("""COMPUTED_VALUE"""),1.0)</f>
        <v>1</v>
      </c>
      <c r="F1796" s="300">
        <v>1.0</v>
      </c>
      <c r="G1796" s="300">
        <v>1.0</v>
      </c>
      <c r="H1796" s="300">
        <v>1.0</v>
      </c>
      <c r="I1796" s="300">
        <v>1.0</v>
      </c>
      <c r="J1796" s="300">
        <v>1.0</v>
      </c>
      <c r="K1796" s="300">
        <v>1.0</v>
      </c>
      <c r="L1796" s="300">
        <v>1.0</v>
      </c>
      <c r="M1796" s="300">
        <v>1.0</v>
      </c>
      <c r="N1796" s="300">
        <v>8.0</v>
      </c>
      <c r="O1796" s="300" t="s">
        <v>875</v>
      </c>
      <c r="P1796" s="300">
        <v>7.0</v>
      </c>
    </row>
    <row r="1797">
      <c r="A1797">
        <f>IFERROR(__xludf.DUMMYFUNCTION("""COMPUTED_VALUE"""),10.0)</f>
        <v>10</v>
      </c>
      <c r="B1797" s="406">
        <f>IFERROR(__xludf.DUMMYFUNCTION("""COMPUTED_VALUE"""),28039.0)</f>
        <v>28039</v>
      </c>
      <c r="C1797" t="str">
        <f>IFERROR(__xludf.DUMMYFUNCTION("""COMPUTED_VALUE"""),"GONZALEZ LOPEZ, ISABEL")</f>
        <v>GONZALEZ LOPEZ, ISABEL</v>
      </c>
      <c r="D1797" t="str">
        <f>IFERROR(__xludf.DUMMYFUNCTION("""COMPUTED_VALUE"""),"Chemistry")</f>
        <v>Chemistry</v>
      </c>
      <c r="E1797" s="3">
        <f>IFERROR(__xludf.DUMMYFUNCTION("""COMPUTED_VALUE"""),1.0)</f>
        <v>1</v>
      </c>
      <c r="F1797" s="300">
        <v>1.0</v>
      </c>
      <c r="G1797" s="300">
        <v>1.0</v>
      </c>
      <c r="H1797" s="300">
        <v>1.0</v>
      </c>
      <c r="I1797" s="300">
        <v>1.0</v>
      </c>
      <c r="J1797" s="300">
        <v>1.0</v>
      </c>
      <c r="K1797" s="300">
        <v>1.0</v>
      </c>
      <c r="L1797" s="300">
        <v>1.0</v>
      </c>
      <c r="M1797" s="300">
        <v>1.0</v>
      </c>
      <c r="N1797" s="300">
        <v>8.0</v>
      </c>
      <c r="O1797" s="300" t="s">
        <v>875</v>
      </c>
      <c r="P1797" s="300">
        <v>7.0</v>
      </c>
    </row>
    <row r="1798">
      <c r="A1798">
        <f>IFERROR(__xludf.DUMMYFUNCTION("""COMPUTED_VALUE"""),10.0)</f>
        <v>10</v>
      </c>
      <c r="B1798" s="406">
        <f>IFERROR(__xludf.DUMMYFUNCTION("""COMPUTED_VALUE"""),28147.0)</f>
        <v>28147</v>
      </c>
      <c r="C1798" t="str">
        <f>IFERROR(__xludf.DUMMYFUNCTION("""COMPUTED_VALUE"""),"OSPINA STERLING, DULCE MARIA")</f>
        <v>OSPINA STERLING, DULCE MARIA</v>
      </c>
      <c r="D1798" t="str">
        <f>IFERROR(__xludf.DUMMYFUNCTION("""COMPUTED_VALUE"""),"Chemistry")</f>
        <v>Chemistry</v>
      </c>
      <c r="E1798" s="3">
        <f>IFERROR(__xludf.DUMMYFUNCTION("""COMPUTED_VALUE"""),3.0)</f>
        <v>3</v>
      </c>
      <c r="F1798" s="300">
        <v>1.0</v>
      </c>
      <c r="G1798" s="300">
        <v>1.0</v>
      </c>
      <c r="H1798" s="300">
        <v>1.0</v>
      </c>
      <c r="I1798" s="300">
        <v>1.0</v>
      </c>
      <c r="J1798" s="300">
        <v>1.0</v>
      </c>
      <c r="K1798" s="300">
        <v>1.0</v>
      </c>
      <c r="L1798" s="300">
        <v>1.0</v>
      </c>
      <c r="M1798" s="300">
        <v>1.0</v>
      </c>
      <c r="N1798" s="300">
        <v>8.0</v>
      </c>
      <c r="O1798" s="300" t="s">
        <v>879</v>
      </c>
      <c r="P1798" s="300">
        <v>7.0</v>
      </c>
    </row>
    <row r="1799">
      <c r="A1799">
        <f>IFERROR(__xludf.DUMMYFUNCTION("""COMPUTED_VALUE"""),10.0)</f>
        <v>10</v>
      </c>
      <c r="B1799" s="406">
        <f>IFERROR(__xludf.DUMMYFUNCTION("""COMPUTED_VALUE"""),28088.0)</f>
        <v>28088</v>
      </c>
      <c r="C1799" t="str">
        <f>IFERROR(__xludf.DUMMYFUNCTION("""COMPUTED_VALUE"""),"QUINTERO VARGAS, ALICIA")</f>
        <v>QUINTERO VARGAS, ALICIA</v>
      </c>
      <c r="D1799" t="str">
        <f>IFERROR(__xludf.DUMMYFUNCTION("""COMPUTED_VALUE"""),"Chemistry")</f>
        <v>Chemistry</v>
      </c>
      <c r="E1799" s="3">
        <f>IFERROR(__xludf.DUMMYFUNCTION("""COMPUTED_VALUE"""),7.0)</f>
        <v>7</v>
      </c>
      <c r="F1799" s="300">
        <v>1.0</v>
      </c>
      <c r="G1799" s="300">
        <v>1.0</v>
      </c>
      <c r="H1799" s="300">
        <v>1.0</v>
      </c>
      <c r="I1799" s="300">
        <v>1.0</v>
      </c>
      <c r="J1799" s="300">
        <v>1.0</v>
      </c>
      <c r="K1799" s="300">
        <v>1.0</v>
      </c>
      <c r="L1799" s="300">
        <v>1.0</v>
      </c>
      <c r="M1799" s="300">
        <v>1.0</v>
      </c>
      <c r="N1799" s="300">
        <v>8.0</v>
      </c>
      <c r="O1799" s="300" t="s">
        <v>874</v>
      </c>
      <c r="P1799" s="300">
        <v>7.0</v>
      </c>
    </row>
    <row r="1800">
      <c r="A1800">
        <f>IFERROR(__xludf.DUMMYFUNCTION("""COMPUTED_VALUE"""),10.0)</f>
        <v>10</v>
      </c>
      <c r="B1800" s="406">
        <f>IFERROR(__xludf.DUMMYFUNCTION("""COMPUTED_VALUE"""),28029.0)</f>
        <v>28029</v>
      </c>
      <c r="C1800" t="str">
        <f>IFERROR(__xludf.DUMMYFUNCTION("""COMPUTED_VALUE"""),"FORERO MEJIA, EMILIO")</f>
        <v>FORERO MEJIA, EMILIO</v>
      </c>
      <c r="D1800" t="str">
        <f>IFERROR(__xludf.DUMMYFUNCTION("""COMPUTED_VALUE"""),"Chemistry")</f>
        <v>Chemistry</v>
      </c>
      <c r="E1800" s="3">
        <f>IFERROR(__xludf.DUMMYFUNCTION("""COMPUTED_VALUE"""),5.0)</f>
        <v>5</v>
      </c>
      <c r="F1800" s="300">
        <v>1.0</v>
      </c>
      <c r="G1800" s="300">
        <v>1.0</v>
      </c>
      <c r="H1800" s="300">
        <v>1.0</v>
      </c>
      <c r="I1800" s="300">
        <v>1.0</v>
      </c>
      <c r="J1800" s="300">
        <v>1.0</v>
      </c>
      <c r="K1800" s="300">
        <v>1.0</v>
      </c>
      <c r="L1800" s="300">
        <v>1.0</v>
      </c>
      <c r="M1800" s="300">
        <v>1.0</v>
      </c>
      <c r="N1800" s="300">
        <v>8.0</v>
      </c>
      <c r="O1800" s="300" t="s">
        <v>877</v>
      </c>
      <c r="P1800" s="300">
        <v>7.0</v>
      </c>
    </row>
    <row r="1801">
      <c r="A1801">
        <f>IFERROR(__xludf.DUMMYFUNCTION("""COMPUTED_VALUE"""),10.0)</f>
        <v>10</v>
      </c>
      <c r="B1801" s="406">
        <f>IFERROR(__xludf.DUMMYFUNCTION("""COMPUTED_VALUE"""),28084.0)</f>
        <v>28084</v>
      </c>
      <c r="C1801" t="str">
        <f>IFERROR(__xludf.DUMMYFUNCTION("""COMPUTED_VALUE"""),"PINEDA ARANGO, JERONIMO")</f>
        <v>PINEDA ARANGO, JERONIMO</v>
      </c>
      <c r="D1801" t="str">
        <f>IFERROR(__xludf.DUMMYFUNCTION("""COMPUTED_VALUE"""),"Chemistry")</f>
        <v>Chemistry</v>
      </c>
      <c r="E1801" s="3">
        <f>IFERROR(__xludf.DUMMYFUNCTION("""COMPUTED_VALUE"""),1.0)</f>
        <v>1</v>
      </c>
      <c r="F1801" s="300">
        <v>1.0</v>
      </c>
      <c r="G1801" s="300">
        <v>1.0</v>
      </c>
      <c r="H1801" s="300">
        <v>1.0</v>
      </c>
      <c r="I1801" s="300">
        <v>1.0</v>
      </c>
      <c r="J1801" s="300">
        <v>1.0</v>
      </c>
      <c r="K1801" s="300">
        <v>1.0</v>
      </c>
      <c r="L1801" s="300">
        <v>1.0</v>
      </c>
      <c r="M1801" s="300">
        <v>1.0</v>
      </c>
      <c r="N1801" s="300">
        <v>8.0</v>
      </c>
      <c r="O1801" s="300" t="s">
        <v>875</v>
      </c>
      <c r="P1801" s="300">
        <v>7.0</v>
      </c>
    </row>
    <row r="1802">
      <c r="A1802">
        <f>IFERROR(__xludf.DUMMYFUNCTION("""COMPUTED_VALUE"""),10.0)</f>
        <v>10</v>
      </c>
      <c r="B1802" s="406">
        <f>IFERROR(__xludf.DUMMYFUNCTION("""COMPUTED_VALUE"""),28114.0)</f>
        <v>28114</v>
      </c>
      <c r="C1802" t="str">
        <f>IFERROR(__xludf.DUMMYFUNCTION("""COMPUTED_VALUE"""),"VELEZ CORREA, SAMUEL")</f>
        <v>VELEZ CORREA, SAMUEL</v>
      </c>
      <c r="D1802" t="str">
        <f>IFERROR(__xludf.DUMMYFUNCTION("""COMPUTED_VALUE"""),"Chemistry")</f>
        <v>Chemistry</v>
      </c>
      <c r="E1802" s="3">
        <f>IFERROR(__xludf.DUMMYFUNCTION("""COMPUTED_VALUE"""),7.0)</f>
        <v>7</v>
      </c>
      <c r="F1802" s="300">
        <v>1.0</v>
      </c>
      <c r="G1802" s="300">
        <v>1.0</v>
      </c>
      <c r="H1802" s="300">
        <v>1.0</v>
      </c>
      <c r="I1802" s="300">
        <v>1.0</v>
      </c>
      <c r="J1802" s="300">
        <v>1.0</v>
      </c>
      <c r="K1802" s="300">
        <v>1.0</v>
      </c>
      <c r="L1802" s="300">
        <v>1.0</v>
      </c>
      <c r="M1802" s="300">
        <v>1.0</v>
      </c>
      <c r="N1802" s="300">
        <v>8.0</v>
      </c>
      <c r="O1802" s="300" t="s">
        <v>874</v>
      </c>
      <c r="P1802" s="300">
        <v>7.0</v>
      </c>
    </row>
    <row r="1803">
      <c r="A1803">
        <f>IFERROR(__xludf.DUMMYFUNCTION("""COMPUTED_VALUE"""),10.0)</f>
        <v>10</v>
      </c>
      <c r="B1803" s="406">
        <f>IFERROR(__xludf.DUMMYFUNCTION("""COMPUTED_VALUE"""),28064.0)</f>
        <v>28064</v>
      </c>
      <c r="C1803" t="str">
        <f>IFERROR(__xludf.DUMMYFUNCTION("""COMPUTED_VALUE"""),"MEJIA MANTILLA, TOMAS")</f>
        <v>MEJIA MANTILLA, TOMAS</v>
      </c>
      <c r="D1803" t="str">
        <f>IFERROR(__xludf.DUMMYFUNCTION("""COMPUTED_VALUE"""),"Chemistry")</f>
        <v>Chemistry</v>
      </c>
      <c r="E1803" s="3">
        <f>IFERROR(__xludf.DUMMYFUNCTION("""COMPUTED_VALUE"""),1.0)</f>
        <v>1</v>
      </c>
      <c r="F1803" s="300">
        <v>1.0</v>
      </c>
      <c r="G1803" s="300">
        <v>1.0</v>
      </c>
      <c r="H1803" s="300">
        <v>1.0</v>
      </c>
      <c r="I1803" s="300">
        <v>1.0</v>
      </c>
      <c r="J1803" s="300">
        <v>1.0</v>
      </c>
      <c r="K1803" s="300">
        <v>1.0</v>
      </c>
      <c r="L1803" s="300">
        <v>1.0</v>
      </c>
      <c r="M1803" s="300">
        <v>1.0</v>
      </c>
      <c r="N1803" s="300">
        <v>8.0</v>
      </c>
      <c r="O1803" s="300" t="s">
        <v>875</v>
      </c>
      <c r="P1803" s="300">
        <v>7.0</v>
      </c>
    </row>
    <row r="1804">
      <c r="A1804">
        <f>IFERROR(__xludf.DUMMYFUNCTION("""COMPUTED_VALUE"""),10.0)</f>
        <v>10</v>
      </c>
      <c r="B1804" s="406">
        <f>IFERROR(__xludf.DUMMYFUNCTION("""COMPUTED_VALUE"""),28036.0)</f>
        <v>28036</v>
      </c>
      <c r="C1804" t="str">
        <f>IFERROR(__xludf.DUMMYFUNCTION("""COMPUTED_VALUE"""),"GOMEZ LINCE, NICOLAS")</f>
        <v>GOMEZ LINCE, NICOLAS</v>
      </c>
      <c r="D1804" t="str">
        <f>IFERROR(__xludf.DUMMYFUNCTION("""COMPUTED_VALUE"""),"Chemistry")</f>
        <v>Chemistry</v>
      </c>
      <c r="E1804" s="3">
        <f>IFERROR(__xludf.DUMMYFUNCTION("""COMPUTED_VALUE"""),3.0)</f>
        <v>3</v>
      </c>
      <c r="F1804" s="300">
        <v>1.0</v>
      </c>
      <c r="G1804" s="300">
        <v>1.0</v>
      </c>
      <c r="H1804" s="300">
        <v>1.0</v>
      </c>
      <c r="I1804" s="300">
        <v>1.0</v>
      </c>
      <c r="J1804" s="300">
        <v>1.0</v>
      </c>
      <c r="K1804" s="300">
        <v>1.0</v>
      </c>
      <c r="L1804" s="300">
        <v>1.0</v>
      </c>
      <c r="M1804" s="300">
        <v>1.0</v>
      </c>
      <c r="N1804" s="300">
        <v>8.0</v>
      </c>
      <c r="O1804" s="300" t="s">
        <v>879</v>
      </c>
      <c r="P1804" s="300">
        <v>7.0</v>
      </c>
    </row>
    <row r="1805">
      <c r="A1805">
        <f>IFERROR(__xludf.DUMMYFUNCTION("""COMPUTED_VALUE"""),10.0)</f>
        <v>10</v>
      </c>
      <c r="B1805" s="406">
        <f>IFERROR(__xludf.DUMMYFUNCTION("""COMPUTED_VALUE"""),28076.0)</f>
        <v>28076</v>
      </c>
      <c r="C1805" t="str">
        <f>IFERROR(__xludf.DUMMYFUNCTION("""COMPUTED_VALUE"""),"OLAYA CARDENAS, CAMILA")</f>
        <v>OLAYA CARDENAS, CAMILA</v>
      </c>
      <c r="D1805" t="str">
        <f>IFERROR(__xludf.DUMMYFUNCTION("""COMPUTED_VALUE"""),"Chemistry")</f>
        <v>Chemistry</v>
      </c>
      <c r="E1805" s="3">
        <f>IFERROR(__xludf.DUMMYFUNCTION("""COMPUTED_VALUE"""),8.0)</f>
        <v>8</v>
      </c>
      <c r="F1805" s="300">
        <v>1.0</v>
      </c>
      <c r="G1805" s="300">
        <v>1.0</v>
      </c>
      <c r="H1805" s="300">
        <v>1.0</v>
      </c>
      <c r="I1805" s="300">
        <v>1.0</v>
      </c>
      <c r="J1805" s="300">
        <v>1.0</v>
      </c>
      <c r="K1805" s="300">
        <v>1.0</v>
      </c>
      <c r="L1805" s="300">
        <v>1.0</v>
      </c>
      <c r="M1805" s="300">
        <v>1.0</v>
      </c>
      <c r="N1805" s="300">
        <v>8.0</v>
      </c>
      <c r="O1805" s="300" t="s">
        <v>873</v>
      </c>
      <c r="P1805" s="300">
        <v>7.0</v>
      </c>
    </row>
    <row r="1806">
      <c r="A1806">
        <f>IFERROR(__xludf.DUMMYFUNCTION("""COMPUTED_VALUE"""),10.0)</f>
        <v>10</v>
      </c>
      <c r="B1806" s="406">
        <f>IFERROR(__xludf.DUMMYFUNCTION("""COMPUTED_VALUE"""),28164.0)</f>
        <v>28164</v>
      </c>
      <c r="C1806" s="406" t="str">
        <f>IFERROR(__xludf.DUMMYFUNCTION("""COMPUTED_VALUE"""),"WOODWORTH, MIA ISABELLA")</f>
        <v>WOODWORTH, MIA ISABELLA</v>
      </c>
      <c r="D1806" t="str">
        <f>IFERROR(__xludf.DUMMYFUNCTION("""COMPUTED_VALUE"""),"Chemistry")</f>
        <v>Chemistry</v>
      </c>
      <c r="E1806" s="3">
        <f>IFERROR(__xludf.DUMMYFUNCTION("""COMPUTED_VALUE"""),1.0)</f>
        <v>1</v>
      </c>
      <c r="F1806" s="300">
        <v>1.0</v>
      </c>
      <c r="G1806" s="300">
        <v>1.0</v>
      </c>
      <c r="H1806" s="300">
        <v>1.0</v>
      </c>
      <c r="I1806" s="300">
        <v>1.0</v>
      </c>
      <c r="J1806" s="300">
        <v>1.0</v>
      </c>
      <c r="K1806" s="300">
        <v>1.0</v>
      </c>
      <c r="L1806" s="300">
        <v>1.0</v>
      </c>
      <c r="M1806" s="300">
        <v>1.0</v>
      </c>
      <c r="N1806" s="300">
        <v>8.0</v>
      </c>
      <c r="O1806" s="300" t="s">
        <v>875</v>
      </c>
      <c r="P1806" s="300">
        <v>7.0</v>
      </c>
    </row>
    <row r="1807">
      <c r="A1807">
        <f>IFERROR(__xludf.DUMMYFUNCTION("""COMPUTED_VALUE"""),10.0)</f>
        <v>10</v>
      </c>
      <c r="B1807" s="406">
        <f>IFERROR(__xludf.DUMMYFUNCTION("""COMPUTED_VALUE"""),27088.0)</f>
        <v>27088</v>
      </c>
      <c r="C1807" t="str">
        <f>IFERROR(__xludf.DUMMYFUNCTION("""COMPUTED_VALUE"""),"PEREZ JARAMILLO, AGUSTIN")</f>
        <v>PEREZ JARAMILLO, AGUSTIN</v>
      </c>
      <c r="D1807" t="str">
        <f>IFERROR(__xludf.DUMMYFUNCTION("""COMPUTED_VALUE"""),"Chemistry")</f>
        <v>Chemistry</v>
      </c>
      <c r="E1807" s="3">
        <f>IFERROR(__xludf.DUMMYFUNCTION("""COMPUTED_VALUE"""),2.0)</f>
        <v>2</v>
      </c>
      <c r="F1807" s="300">
        <v>1.0</v>
      </c>
      <c r="G1807" s="300">
        <v>1.0</v>
      </c>
      <c r="H1807" s="300">
        <v>1.0</v>
      </c>
      <c r="I1807" s="300">
        <v>1.0</v>
      </c>
      <c r="J1807" s="300">
        <v>1.0</v>
      </c>
      <c r="K1807" s="300">
        <v>1.0</v>
      </c>
      <c r="L1807" s="300">
        <v>1.0</v>
      </c>
      <c r="M1807" s="300">
        <v>1.0</v>
      </c>
      <c r="N1807" s="300">
        <v>8.0</v>
      </c>
      <c r="O1807" s="300" t="s">
        <v>876</v>
      </c>
      <c r="P1807" s="300">
        <v>7.0</v>
      </c>
    </row>
    <row r="1808">
      <c r="A1808">
        <f>IFERROR(__xludf.DUMMYFUNCTION("""COMPUTED_VALUE"""),10.0)</f>
        <v>10</v>
      </c>
      <c r="B1808" s="406">
        <f>IFERROR(__xludf.DUMMYFUNCTION("""COMPUTED_VALUE"""),28060.0)</f>
        <v>28060</v>
      </c>
      <c r="C1808" t="str">
        <f>IFERROR(__xludf.DUMMYFUNCTION("""COMPUTED_VALUE"""),"MEDINA LONDOÑO, PABLO")</f>
        <v>MEDINA LONDOÑO, PABLO</v>
      </c>
      <c r="D1808" t="str">
        <f>IFERROR(__xludf.DUMMYFUNCTION("""COMPUTED_VALUE"""),"Chemistry")</f>
        <v>Chemistry</v>
      </c>
      <c r="E1808" s="3">
        <f>IFERROR(__xludf.DUMMYFUNCTION("""COMPUTED_VALUE"""),6.0)</f>
        <v>6</v>
      </c>
      <c r="F1808" s="300">
        <v>1.0</v>
      </c>
      <c r="G1808" s="300">
        <v>1.0</v>
      </c>
      <c r="H1808" s="300">
        <v>1.0</v>
      </c>
      <c r="I1808" s="300">
        <v>1.0</v>
      </c>
      <c r="J1808" s="300">
        <v>1.0</v>
      </c>
      <c r="K1808" s="300">
        <v>1.0</v>
      </c>
      <c r="L1808" s="300">
        <v>1.0</v>
      </c>
      <c r="M1808" s="300">
        <v>1.0</v>
      </c>
      <c r="N1808" s="300">
        <v>8.0</v>
      </c>
      <c r="O1808" s="300" t="s">
        <v>878</v>
      </c>
      <c r="P1808" s="300">
        <v>7.0</v>
      </c>
    </row>
    <row r="1809">
      <c r="A1809">
        <f>IFERROR(__xludf.DUMMYFUNCTION("""COMPUTED_VALUE"""),10.0)</f>
        <v>10</v>
      </c>
      <c r="B1809" s="406">
        <f>IFERROR(__xludf.DUMMYFUNCTION("""COMPUTED_VALUE"""),28034.0)</f>
        <v>28034</v>
      </c>
      <c r="C1809" t="str">
        <f>IFERROR(__xludf.DUMMYFUNCTION("""COMPUTED_VALUE"""),"GARCIA ISAZA, TOMAS")</f>
        <v>GARCIA ISAZA, TOMAS</v>
      </c>
      <c r="D1809" t="str">
        <f>IFERROR(__xludf.DUMMYFUNCTION("""COMPUTED_VALUE"""),"Chemistry")</f>
        <v>Chemistry</v>
      </c>
      <c r="E1809" s="3">
        <f>IFERROR(__xludf.DUMMYFUNCTION("""COMPUTED_VALUE"""),1.0)</f>
        <v>1</v>
      </c>
      <c r="F1809" s="300">
        <v>1.0</v>
      </c>
      <c r="G1809" s="300">
        <v>1.0</v>
      </c>
      <c r="H1809" s="300">
        <v>1.0</v>
      </c>
      <c r="I1809" s="300">
        <v>1.0</v>
      </c>
      <c r="J1809" s="300">
        <v>1.0</v>
      </c>
      <c r="K1809" s="300">
        <v>1.0</v>
      </c>
      <c r="L1809" s="300">
        <v>1.0</v>
      </c>
      <c r="M1809" s="300">
        <v>1.0</v>
      </c>
      <c r="N1809" s="300">
        <v>8.0</v>
      </c>
      <c r="O1809" s="300" t="s">
        <v>875</v>
      </c>
      <c r="P1809" s="300">
        <v>7.0</v>
      </c>
    </row>
    <row r="1810">
      <c r="A1810">
        <f>IFERROR(__xludf.DUMMYFUNCTION("""COMPUTED_VALUE"""),10.0)</f>
        <v>10</v>
      </c>
      <c r="B1810" s="406">
        <f>IFERROR(__xludf.DUMMYFUNCTION("""COMPUTED_VALUE"""),28049.0)</f>
        <v>28049</v>
      </c>
      <c r="C1810" t="str">
        <f>IFERROR(__xludf.DUMMYFUNCTION("""COMPUTED_VALUE"""),"JARAMILLO ARANGO, ELENA")</f>
        <v>JARAMILLO ARANGO, ELENA</v>
      </c>
      <c r="D1810" t="str">
        <f>IFERROR(__xludf.DUMMYFUNCTION("""COMPUTED_VALUE"""),"Chemistry")</f>
        <v>Chemistry</v>
      </c>
      <c r="E1810" s="3">
        <f>IFERROR(__xludf.DUMMYFUNCTION("""COMPUTED_VALUE"""),3.0)</f>
        <v>3</v>
      </c>
      <c r="F1810" s="300">
        <v>1.0</v>
      </c>
      <c r="G1810" s="300">
        <v>1.0</v>
      </c>
      <c r="H1810" s="300">
        <v>1.0</v>
      </c>
      <c r="I1810" s="300">
        <v>1.0</v>
      </c>
      <c r="J1810" s="300">
        <v>1.0</v>
      </c>
      <c r="K1810" s="300">
        <v>1.0</v>
      </c>
      <c r="L1810" s="300">
        <v>1.0</v>
      </c>
      <c r="M1810" s="300">
        <v>1.0</v>
      </c>
      <c r="N1810" s="300">
        <v>8.0</v>
      </c>
      <c r="O1810" s="300" t="s">
        <v>879</v>
      </c>
      <c r="P1810" s="300">
        <v>7.0</v>
      </c>
    </row>
    <row r="1811">
      <c r="A1811">
        <f>IFERROR(__xludf.DUMMYFUNCTION("""COMPUTED_VALUE"""),10.0)</f>
        <v>10</v>
      </c>
      <c r="B1811" s="406">
        <f>IFERROR(__xludf.DUMMYFUNCTION("""COMPUTED_VALUE"""),28024.0)</f>
        <v>28024</v>
      </c>
      <c r="C1811" t="str">
        <f>IFERROR(__xludf.DUMMYFUNCTION("""COMPUTED_VALUE"""),"ESCOBAR CASTAÑO, NICOLAS")</f>
        <v>ESCOBAR CASTAÑO, NICOLAS</v>
      </c>
      <c r="D1811" t="str">
        <f>IFERROR(__xludf.DUMMYFUNCTION("""COMPUTED_VALUE"""),"Chemistry")</f>
        <v>Chemistry</v>
      </c>
      <c r="E1811" s="3">
        <f>IFERROR(__xludf.DUMMYFUNCTION("""COMPUTED_VALUE"""),1.0)</f>
        <v>1</v>
      </c>
      <c r="F1811" s="300">
        <v>1.0</v>
      </c>
      <c r="G1811" s="300">
        <v>1.0</v>
      </c>
      <c r="H1811" s="300">
        <v>1.0</v>
      </c>
      <c r="I1811" s="300">
        <v>1.0</v>
      </c>
      <c r="J1811" s="300">
        <v>1.0</v>
      </c>
      <c r="K1811" s="300">
        <v>1.0</v>
      </c>
      <c r="L1811" s="300">
        <v>1.0</v>
      </c>
      <c r="M1811" s="300">
        <v>1.0</v>
      </c>
      <c r="N1811" s="300">
        <v>8.0</v>
      </c>
      <c r="O1811" s="300" t="s">
        <v>875</v>
      </c>
      <c r="P1811" s="300">
        <v>7.0</v>
      </c>
    </row>
    <row r="1812">
      <c r="A1812">
        <f>IFERROR(__xludf.DUMMYFUNCTION("""COMPUTED_VALUE"""),10.0)</f>
        <v>10</v>
      </c>
      <c r="B1812" s="406">
        <f>IFERROR(__xludf.DUMMYFUNCTION("""COMPUTED_VALUE"""),28093.0)</f>
        <v>28093</v>
      </c>
      <c r="C1812" t="str">
        <f>IFERROR(__xludf.DUMMYFUNCTION("""COMPUTED_VALUE"""),"RESTREPO ELEJALDE, LUCIANO")</f>
        <v>RESTREPO ELEJALDE, LUCIANO</v>
      </c>
      <c r="D1812" t="str">
        <f>IFERROR(__xludf.DUMMYFUNCTION("""COMPUTED_VALUE"""),"Chemistry")</f>
        <v>Chemistry</v>
      </c>
      <c r="E1812" s="3">
        <f>IFERROR(__xludf.DUMMYFUNCTION("""COMPUTED_VALUE"""),3.0)</f>
        <v>3</v>
      </c>
      <c r="F1812" s="300">
        <v>1.0</v>
      </c>
      <c r="G1812" s="300">
        <v>1.0</v>
      </c>
      <c r="H1812" s="300">
        <v>1.0</v>
      </c>
      <c r="I1812" s="300">
        <v>1.0</v>
      </c>
      <c r="J1812" s="300">
        <v>1.0</v>
      </c>
      <c r="K1812" s="300">
        <v>1.0</v>
      </c>
      <c r="L1812" s="300">
        <v>1.0</v>
      </c>
      <c r="M1812" s="300">
        <v>1.0</v>
      </c>
      <c r="N1812" s="300">
        <v>8.0</v>
      </c>
      <c r="O1812" s="300" t="s">
        <v>879</v>
      </c>
      <c r="P1812" s="300">
        <v>7.0</v>
      </c>
    </row>
    <row r="1813">
      <c r="A1813">
        <f>IFERROR(__xludf.DUMMYFUNCTION("""COMPUTED_VALUE"""),10.0)</f>
        <v>10</v>
      </c>
      <c r="B1813" s="406">
        <f>IFERROR(__xludf.DUMMYFUNCTION("""COMPUTED_VALUE"""),28070.0)</f>
        <v>28070</v>
      </c>
      <c r="C1813" t="str">
        <f>IFERROR(__xludf.DUMMYFUNCTION("""COMPUTED_VALUE"""),"MORENO RESTREPO, MARTIN")</f>
        <v>MORENO RESTREPO, MARTIN</v>
      </c>
      <c r="D1813" t="str">
        <f>IFERROR(__xludf.DUMMYFUNCTION("""COMPUTED_VALUE"""),"Chemistry")</f>
        <v>Chemistry</v>
      </c>
      <c r="E1813" s="3">
        <f>IFERROR(__xludf.DUMMYFUNCTION("""COMPUTED_VALUE"""),2.0)</f>
        <v>2</v>
      </c>
      <c r="F1813" s="300">
        <v>1.0</v>
      </c>
      <c r="G1813" s="300">
        <v>1.0</v>
      </c>
      <c r="H1813" s="300">
        <v>1.0</v>
      </c>
      <c r="I1813" s="300">
        <v>1.0</v>
      </c>
      <c r="J1813" s="300">
        <v>1.0</v>
      </c>
      <c r="K1813" s="300">
        <v>1.0</v>
      </c>
      <c r="L1813" s="300">
        <v>1.0</v>
      </c>
      <c r="M1813" s="300">
        <v>1.0</v>
      </c>
      <c r="N1813" s="300">
        <v>8.0</v>
      </c>
      <c r="O1813" s="300" t="s">
        <v>876</v>
      </c>
      <c r="P1813" s="300">
        <v>7.0</v>
      </c>
    </row>
    <row r="1814">
      <c r="A1814">
        <f>IFERROR(__xludf.DUMMYFUNCTION("""COMPUTED_VALUE"""),10.0)</f>
        <v>10</v>
      </c>
      <c r="B1814" s="406">
        <f>IFERROR(__xludf.DUMMYFUNCTION("""COMPUTED_VALUE"""),28110.0)</f>
        <v>28110</v>
      </c>
      <c r="C1814" t="str">
        <f>IFERROR(__xludf.DUMMYFUNCTION("""COMPUTED_VALUE"""),"VARGAS URIBE, LORENZO")</f>
        <v>VARGAS URIBE, LORENZO</v>
      </c>
      <c r="D1814" t="str">
        <f>IFERROR(__xludf.DUMMYFUNCTION("""COMPUTED_VALUE"""),"Chemistry")</f>
        <v>Chemistry</v>
      </c>
      <c r="E1814" s="3">
        <f>IFERROR(__xludf.DUMMYFUNCTION("""COMPUTED_VALUE"""),2.0)</f>
        <v>2</v>
      </c>
      <c r="F1814" s="300">
        <v>1.0</v>
      </c>
      <c r="G1814" s="300">
        <v>1.0</v>
      </c>
      <c r="H1814" s="300">
        <v>1.0</v>
      </c>
      <c r="I1814" s="300">
        <v>1.0</v>
      </c>
      <c r="J1814" s="300">
        <v>1.0</v>
      </c>
      <c r="K1814" s="300">
        <v>1.0</v>
      </c>
      <c r="L1814" s="300">
        <v>1.0</v>
      </c>
      <c r="M1814" s="300">
        <v>1.0</v>
      </c>
      <c r="N1814" s="300">
        <v>8.0</v>
      </c>
      <c r="O1814" s="300" t="s">
        <v>876</v>
      </c>
      <c r="P1814" s="300">
        <v>7.0</v>
      </c>
    </row>
    <row r="1815">
      <c r="A1815">
        <f>IFERROR(__xludf.DUMMYFUNCTION("""COMPUTED_VALUE"""),10.0)</f>
        <v>10</v>
      </c>
      <c r="B1815" s="406">
        <f>IFERROR(__xludf.DUMMYFUNCTION("""COMPUTED_VALUE"""),28066.0)</f>
        <v>28066</v>
      </c>
      <c r="C1815" t="str">
        <f>IFERROR(__xludf.DUMMYFUNCTION("""COMPUTED_VALUE"""),"MEJIA VELEZ, CANDELARIA")</f>
        <v>MEJIA VELEZ, CANDELARIA</v>
      </c>
      <c r="D1815" t="str">
        <f>IFERROR(__xludf.DUMMYFUNCTION("""COMPUTED_VALUE"""),"Chemistry")</f>
        <v>Chemistry</v>
      </c>
      <c r="E1815" s="3">
        <f>IFERROR(__xludf.DUMMYFUNCTION("""COMPUTED_VALUE"""),3.0)</f>
        <v>3</v>
      </c>
      <c r="F1815" s="300">
        <v>1.0</v>
      </c>
      <c r="G1815" s="300">
        <v>1.0</v>
      </c>
      <c r="H1815" s="300">
        <v>1.0</v>
      </c>
      <c r="I1815" s="300">
        <v>1.0</v>
      </c>
      <c r="J1815" s="300">
        <v>1.0</v>
      </c>
      <c r="K1815" s="300">
        <v>1.0</v>
      </c>
      <c r="L1815" s="300">
        <v>1.0</v>
      </c>
      <c r="M1815" s="300">
        <v>1.0</v>
      </c>
      <c r="N1815" s="300">
        <v>8.0</v>
      </c>
      <c r="O1815" s="300" t="s">
        <v>879</v>
      </c>
      <c r="P1815" s="300">
        <v>7.0</v>
      </c>
    </row>
    <row r="1816">
      <c r="A1816">
        <f>IFERROR(__xludf.DUMMYFUNCTION("""COMPUTED_VALUE"""),10.0)</f>
        <v>10</v>
      </c>
      <c r="B1816" s="406">
        <f>IFERROR(__xludf.DUMMYFUNCTION("""COMPUTED_VALUE"""),28071.0)</f>
        <v>28071</v>
      </c>
      <c r="C1816" t="str">
        <f>IFERROR(__xludf.DUMMYFUNCTION("""COMPUTED_VALUE"""),"NARANJO PINO, MARTIN")</f>
        <v>NARANJO PINO, MARTIN</v>
      </c>
      <c r="D1816" t="str">
        <f>IFERROR(__xludf.DUMMYFUNCTION("""COMPUTED_VALUE"""),"Chemistry")</f>
        <v>Chemistry</v>
      </c>
      <c r="E1816" s="3">
        <f>IFERROR(__xludf.DUMMYFUNCTION("""COMPUTED_VALUE"""),7.0)</f>
        <v>7</v>
      </c>
      <c r="F1816" s="300">
        <v>1.0</v>
      </c>
      <c r="G1816" s="300">
        <v>1.0</v>
      </c>
      <c r="H1816" s="300">
        <v>1.0</v>
      </c>
      <c r="I1816" s="300">
        <v>1.0</v>
      </c>
      <c r="J1816" s="300">
        <v>1.0</v>
      </c>
      <c r="K1816" s="300">
        <v>1.0</v>
      </c>
      <c r="L1816" s="300">
        <v>1.0</v>
      </c>
      <c r="M1816" s="300">
        <v>1.0</v>
      </c>
      <c r="N1816" s="300">
        <v>8.0</v>
      </c>
      <c r="O1816" s="300" t="s">
        <v>874</v>
      </c>
      <c r="P1816" s="300">
        <v>7.0</v>
      </c>
    </row>
    <row r="1817">
      <c r="A1817">
        <f>IFERROR(__xludf.DUMMYFUNCTION("""COMPUTED_VALUE"""),10.0)</f>
        <v>10</v>
      </c>
      <c r="B1817" s="406">
        <f>IFERROR(__xludf.DUMMYFUNCTION("""COMPUTED_VALUE"""),28168.0)</f>
        <v>28168</v>
      </c>
      <c r="C1817" t="str">
        <f>IFERROR(__xludf.DUMMYFUNCTION("""COMPUTED_VALUE"""),"KEILON GRAHAM")</f>
        <v>KEILON GRAHAM</v>
      </c>
      <c r="D1817" t="str">
        <f>IFERROR(__xludf.DUMMYFUNCTION("""COMPUTED_VALUE"""),"Chemistry")</f>
        <v>Chemistry</v>
      </c>
      <c r="E1817" s="3">
        <f>IFERROR(__xludf.DUMMYFUNCTION("""COMPUTED_VALUE"""),7.0)</f>
        <v>7</v>
      </c>
      <c r="F1817" s="300">
        <v>1.0</v>
      </c>
      <c r="G1817" s="300">
        <v>1.0</v>
      </c>
      <c r="H1817" s="300">
        <v>1.0</v>
      </c>
      <c r="I1817" s="300">
        <v>1.0</v>
      </c>
      <c r="J1817" s="300">
        <v>1.0</v>
      </c>
      <c r="K1817" s="300">
        <v>1.0</v>
      </c>
      <c r="L1817" s="300">
        <v>1.0</v>
      </c>
      <c r="M1817" s="300">
        <v>1.0</v>
      </c>
      <c r="N1817" s="300">
        <v>8.0</v>
      </c>
      <c r="O1817" s="300" t="s">
        <v>874</v>
      </c>
      <c r="P1817" s="300">
        <v>7.0</v>
      </c>
    </row>
    <row r="1818">
      <c r="A1818">
        <f>IFERROR(__xludf.DUMMYFUNCTION("""COMPUTED_VALUE"""),11.0)</f>
        <v>11</v>
      </c>
      <c r="B1818" s="406">
        <f>IFERROR(__xludf.DUMMYFUNCTION("""COMPUTED_VALUE"""),27118.0)</f>
        <v>27118</v>
      </c>
      <c r="C1818" t="str">
        <f>IFERROR(__xludf.DUMMYFUNCTION("""COMPUTED_VALUE"""),"URIBE SIERRA, SOFIA")</f>
        <v>URIBE SIERRA, SOFIA</v>
      </c>
      <c r="D1818" t="str">
        <f>IFERROR(__xludf.DUMMYFUNCTION("""COMPUTED_VALUE"""),"Physics")</f>
        <v>Physics</v>
      </c>
      <c r="E1818" s="3">
        <f>IFERROR(__xludf.DUMMYFUNCTION("""COMPUTED_VALUE"""),1.0)</f>
        <v>1</v>
      </c>
      <c r="F1818" s="300">
        <v>1.0</v>
      </c>
      <c r="G1818" s="300">
        <v>1.0</v>
      </c>
      <c r="H1818" s="300">
        <v>1.0</v>
      </c>
      <c r="I1818" s="300">
        <v>1.0</v>
      </c>
      <c r="J1818" s="300">
        <v>1.0</v>
      </c>
      <c r="K1818" s="300">
        <v>1.0</v>
      </c>
      <c r="L1818" s="300">
        <v>1.0</v>
      </c>
      <c r="M1818" s="300">
        <v>1.0</v>
      </c>
      <c r="N1818" s="300">
        <v>8.0</v>
      </c>
      <c r="O1818" s="300" t="s">
        <v>880</v>
      </c>
      <c r="P1818" s="300">
        <v>5.0</v>
      </c>
    </row>
    <row r="1819">
      <c r="A1819">
        <f>IFERROR(__xludf.DUMMYFUNCTION("""COMPUTED_VALUE"""),11.0)</f>
        <v>11</v>
      </c>
      <c r="B1819" s="406">
        <f>IFERROR(__xludf.DUMMYFUNCTION("""COMPUTED_VALUE"""),27039.0)</f>
        <v>27039</v>
      </c>
      <c r="C1819" t="str">
        <f>IFERROR(__xludf.DUMMYFUNCTION("""COMPUTED_VALUE"""),"GALLEGO LOPEZ, SUSSANA")</f>
        <v>GALLEGO LOPEZ, SUSSANA</v>
      </c>
      <c r="D1819" t="str">
        <f>IFERROR(__xludf.DUMMYFUNCTION("""COMPUTED_VALUE"""),"Physics")</f>
        <v>Physics</v>
      </c>
      <c r="E1819" s="3">
        <f>IFERROR(__xludf.DUMMYFUNCTION("""COMPUTED_VALUE"""),2.0)</f>
        <v>2</v>
      </c>
      <c r="F1819" s="300">
        <v>1.0</v>
      </c>
      <c r="G1819" s="300">
        <v>1.0</v>
      </c>
      <c r="H1819" s="300">
        <v>1.0</v>
      </c>
      <c r="I1819" s="300">
        <v>1.0</v>
      </c>
      <c r="J1819" s="300">
        <v>1.0</v>
      </c>
      <c r="K1819" s="300">
        <v>1.0</v>
      </c>
      <c r="L1819" s="300">
        <v>1.0</v>
      </c>
      <c r="M1819" s="300">
        <v>1.0</v>
      </c>
      <c r="N1819" s="300">
        <v>8.0</v>
      </c>
      <c r="O1819" s="300" t="s">
        <v>881</v>
      </c>
      <c r="P1819" s="300">
        <v>5.0</v>
      </c>
    </row>
    <row r="1820">
      <c r="A1820">
        <f>IFERROR(__xludf.DUMMYFUNCTION("""COMPUTED_VALUE"""),11.0)</f>
        <v>11</v>
      </c>
      <c r="B1820" s="406">
        <f>IFERROR(__xludf.DUMMYFUNCTION("""COMPUTED_VALUE"""),27171.0)</f>
        <v>27171</v>
      </c>
      <c r="C1820" t="str">
        <f>IFERROR(__xludf.DUMMYFUNCTION("""COMPUTED_VALUE"""),"BEDOYA PARRA, LAURA")</f>
        <v>BEDOYA PARRA, LAURA</v>
      </c>
      <c r="D1820" t="str">
        <f>IFERROR(__xludf.DUMMYFUNCTION("""COMPUTED_VALUE"""),"Physics")</f>
        <v>Physics</v>
      </c>
      <c r="E1820" s="3">
        <f>IFERROR(__xludf.DUMMYFUNCTION("""COMPUTED_VALUE"""),2.0)</f>
        <v>2</v>
      </c>
      <c r="F1820" s="300">
        <v>1.0</v>
      </c>
      <c r="G1820" s="300">
        <v>1.0</v>
      </c>
      <c r="H1820" s="300">
        <v>1.0</v>
      </c>
      <c r="I1820" s="300">
        <v>1.0</v>
      </c>
      <c r="J1820" s="300">
        <v>1.0</v>
      </c>
      <c r="K1820" s="300">
        <v>1.0</v>
      </c>
      <c r="L1820" s="300">
        <v>1.0</v>
      </c>
      <c r="M1820" s="300">
        <v>1.0</v>
      </c>
      <c r="N1820" s="300">
        <v>8.0</v>
      </c>
      <c r="O1820" s="300" t="s">
        <v>881</v>
      </c>
      <c r="P1820" s="300">
        <v>5.0</v>
      </c>
    </row>
    <row r="1821">
      <c r="A1821">
        <f>IFERROR(__xludf.DUMMYFUNCTION("""COMPUTED_VALUE"""),11.0)</f>
        <v>11</v>
      </c>
      <c r="B1821" s="406">
        <f>IFERROR(__xludf.DUMMYFUNCTION("""COMPUTED_VALUE"""),27146.0)</f>
        <v>27146</v>
      </c>
      <c r="C1821" t="str">
        <f>IFERROR(__xludf.DUMMYFUNCTION("""COMPUTED_VALUE"""),"MORALES BAYONA, AMELIA")</f>
        <v>MORALES BAYONA, AMELIA</v>
      </c>
      <c r="D1821" t="str">
        <f>IFERROR(__xludf.DUMMYFUNCTION("""COMPUTED_VALUE"""),"Physics")</f>
        <v>Physics</v>
      </c>
      <c r="E1821" s="3">
        <f>IFERROR(__xludf.DUMMYFUNCTION("""COMPUTED_VALUE"""),1.0)</f>
        <v>1</v>
      </c>
      <c r="F1821" s="300">
        <v>1.0</v>
      </c>
      <c r="G1821" s="300">
        <v>1.0</v>
      </c>
      <c r="H1821" s="300">
        <v>1.0</v>
      </c>
      <c r="I1821" s="300">
        <v>1.0</v>
      </c>
      <c r="J1821" s="300">
        <v>1.0</v>
      </c>
      <c r="K1821" s="300">
        <v>1.0</v>
      </c>
      <c r="L1821" s="300">
        <v>1.0</v>
      </c>
      <c r="M1821" s="300">
        <v>1.0</v>
      </c>
      <c r="N1821" s="300">
        <v>8.0</v>
      </c>
      <c r="O1821" s="300" t="s">
        <v>880</v>
      </c>
      <c r="P1821" s="300">
        <v>5.0</v>
      </c>
    </row>
    <row r="1822">
      <c r="A1822">
        <f>IFERROR(__xludf.DUMMYFUNCTION("""COMPUTED_VALUE"""),11.0)</f>
        <v>11</v>
      </c>
      <c r="B1822" s="406">
        <f>IFERROR(__xludf.DUMMYFUNCTION("""COMPUTED_VALUE"""),27073.0)</f>
        <v>27073</v>
      </c>
      <c r="C1822" t="str">
        <f>IFERROR(__xludf.DUMMYFUNCTION("""COMPUTED_VALUE"""),"MONTES LOPEZ, SOFIA")</f>
        <v>MONTES LOPEZ, SOFIA</v>
      </c>
      <c r="D1822" t="str">
        <f>IFERROR(__xludf.DUMMYFUNCTION("""COMPUTED_VALUE"""),"AP Physics 1")</f>
        <v>AP Physics 1</v>
      </c>
      <c r="E1822" s="3">
        <f>IFERROR(__xludf.DUMMYFUNCTION("""COMPUTED_VALUE"""),1.0)</f>
        <v>1</v>
      </c>
      <c r="F1822" s="300">
        <v>1.0</v>
      </c>
      <c r="G1822" s="300">
        <v>1.0</v>
      </c>
      <c r="H1822" s="300">
        <v>1.0</v>
      </c>
      <c r="I1822" s="300">
        <v>1.0</v>
      </c>
      <c r="J1822" s="300">
        <v>1.0</v>
      </c>
      <c r="K1822" s="300">
        <v>1.0</v>
      </c>
      <c r="L1822" s="300">
        <v>1.0</v>
      </c>
      <c r="M1822" s="300">
        <v>1.0</v>
      </c>
      <c r="N1822" s="300">
        <v>8.0</v>
      </c>
      <c r="O1822" s="300" t="s">
        <v>882</v>
      </c>
      <c r="P1822" s="300">
        <v>1.0</v>
      </c>
    </row>
    <row r="1823">
      <c r="A1823">
        <f>IFERROR(__xludf.DUMMYFUNCTION("""COMPUTED_VALUE"""),11.0)</f>
        <v>11</v>
      </c>
      <c r="B1823" s="406">
        <f>IFERROR(__xludf.DUMMYFUNCTION("""COMPUTED_VALUE"""),27139.0)</f>
        <v>27139</v>
      </c>
      <c r="C1823" t="str">
        <f>IFERROR(__xludf.DUMMYFUNCTION("""COMPUTED_VALUE"""),"OCAMPO CEBALLOS, JULIA")</f>
        <v>OCAMPO CEBALLOS, JULIA</v>
      </c>
      <c r="D1823" t="str">
        <f>IFERROR(__xludf.DUMMYFUNCTION("""COMPUTED_VALUE"""),"Physics")</f>
        <v>Physics</v>
      </c>
      <c r="E1823" s="3">
        <f>IFERROR(__xludf.DUMMYFUNCTION("""COMPUTED_VALUE"""),8.0)</f>
        <v>8</v>
      </c>
      <c r="F1823" s="300">
        <v>1.0</v>
      </c>
      <c r="G1823" s="300">
        <v>1.0</v>
      </c>
      <c r="H1823" s="300">
        <v>1.0</v>
      </c>
      <c r="I1823" s="300">
        <v>1.0</v>
      </c>
      <c r="J1823" s="300">
        <v>1.0</v>
      </c>
      <c r="K1823" s="300">
        <v>1.0</v>
      </c>
      <c r="L1823" s="300">
        <v>1.0</v>
      </c>
      <c r="M1823" s="300">
        <v>1.0</v>
      </c>
      <c r="N1823" s="300">
        <v>8.0</v>
      </c>
      <c r="O1823" s="300" t="s">
        <v>883</v>
      </c>
      <c r="P1823" s="300">
        <v>5.0</v>
      </c>
    </row>
    <row r="1824">
      <c r="A1824">
        <f>IFERROR(__xludf.DUMMYFUNCTION("""COMPUTED_VALUE"""),11.0)</f>
        <v>11</v>
      </c>
      <c r="B1824" s="406">
        <f>IFERROR(__xludf.DUMMYFUNCTION("""COMPUTED_VALUE"""),27020.0)</f>
        <v>27020</v>
      </c>
      <c r="C1824" t="str">
        <f>IFERROR(__xludf.DUMMYFUNCTION("""COMPUTED_VALUE"""),"BOTERO LAVERDE, MARTINA")</f>
        <v>BOTERO LAVERDE, MARTINA</v>
      </c>
      <c r="D1824" t="str">
        <f>IFERROR(__xludf.DUMMYFUNCTION("""COMPUTED_VALUE"""),"Physics")</f>
        <v>Physics</v>
      </c>
      <c r="E1824" s="3">
        <f>IFERROR(__xludf.DUMMYFUNCTION("""COMPUTED_VALUE"""),7.0)</f>
        <v>7</v>
      </c>
      <c r="F1824" s="300">
        <v>1.0</v>
      </c>
      <c r="G1824" s="300">
        <v>1.0</v>
      </c>
      <c r="H1824" s="300">
        <v>1.0</v>
      </c>
      <c r="I1824" s="300">
        <v>1.0</v>
      </c>
      <c r="J1824" s="300">
        <v>1.0</v>
      </c>
      <c r="K1824" s="300">
        <v>1.0</v>
      </c>
      <c r="L1824" s="300">
        <v>1.0</v>
      </c>
      <c r="M1824" s="300">
        <v>1.0</v>
      </c>
      <c r="N1824" s="300">
        <v>8.0</v>
      </c>
      <c r="O1824" s="300" t="s">
        <v>884</v>
      </c>
      <c r="P1824" s="300">
        <v>5.0</v>
      </c>
    </row>
    <row r="1825">
      <c r="A1825">
        <f>IFERROR(__xludf.DUMMYFUNCTION("""COMPUTED_VALUE"""),11.0)</f>
        <v>11</v>
      </c>
      <c r="B1825" s="406">
        <f>IFERROR(__xludf.DUMMYFUNCTION("""COMPUTED_VALUE"""),27059.0)</f>
        <v>27059</v>
      </c>
      <c r="C1825" t="str">
        <f>IFERROR(__xludf.DUMMYFUNCTION("""COMPUTED_VALUE"""),"LOPEZ VELEZ, PAULINA")</f>
        <v>LOPEZ VELEZ, PAULINA</v>
      </c>
      <c r="D1825" t="str">
        <f>IFERROR(__xludf.DUMMYFUNCTION("""COMPUTED_VALUE"""),"Physics")</f>
        <v>Physics</v>
      </c>
      <c r="E1825" s="3">
        <f>IFERROR(__xludf.DUMMYFUNCTION("""COMPUTED_VALUE"""),2.0)</f>
        <v>2</v>
      </c>
      <c r="F1825" s="300">
        <v>1.0</v>
      </c>
      <c r="G1825" s="300">
        <v>1.0</v>
      </c>
      <c r="H1825" s="300">
        <v>1.0</v>
      </c>
      <c r="I1825" s="300">
        <v>1.0</v>
      </c>
      <c r="J1825" s="300">
        <v>1.0</v>
      </c>
      <c r="K1825" s="300">
        <v>1.0</v>
      </c>
      <c r="L1825" s="300">
        <v>1.0</v>
      </c>
      <c r="M1825" s="300">
        <v>1.0</v>
      </c>
      <c r="N1825" s="300">
        <v>8.0</v>
      </c>
      <c r="O1825" s="300" t="s">
        <v>881</v>
      </c>
      <c r="P1825" s="300">
        <v>5.0</v>
      </c>
    </row>
    <row r="1826">
      <c r="A1826">
        <f>IFERROR(__xludf.DUMMYFUNCTION("""COMPUTED_VALUE"""),11.0)</f>
        <v>11</v>
      </c>
      <c r="B1826" s="406">
        <f>IFERROR(__xludf.DUMMYFUNCTION("""COMPUTED_VALUE"""),27051.0)</f>
        <v>27051</v>
      </c>
      <c r="C1826" t="str">
        <f>IFERROR(__xludf.DUMMYFUNCTION("""COMPUTED_VALUE"""),"ISAZA GOMEZ, ELISA")</f>
        <v>ISAZA GOMEZ, ELISA</v>
      </c>
      <c r="D1826" t="str">
        <f>IFERROR(__xludf.DUMMYFUNCTION("""COMPUTED_VALUE"""),"Physics")</f>
        <v>Physics</v>
      </c>
      <c r="E1826" s="3">
        <f>IFERROR(__xludf.DUMMYFUNCTION("""COMPUTED_VALUE"""),7.0)</f>
        <v>7</v>
      </c>
      <c r="F1826" s="300">
        <v>1.0</v>
      </c>
      <c r="G1826" s="300">
        <v>1.0</v>
      </c>
      <c r="H1826" s="300">
        <v>1.0</v>
      </c>
      <c r="I1826" s="300">
        <v>1.0</v>
      </c>
      <c r="J1826" s="300">
        <v>1.0</v>
      </c>
      <c r="K1826" s="300">
        <v>1.0</v>
      </c>
      <c r="L1826" s="300">
        <v>1.0</v>
      </c>
      <c r="M1826" s="300">
        <v>1.0</v>
      </c>
      <c r="N1826" s="300">
        <v>8.0</v>
      </c>
      <c r="O1826" s="300" t="s">
        <v>884</v>
      </c>
      <c r="P1826" s="300">
        <v>5.0</v>
      </c>
    </row>
    <row r="1827">
      <c r="A1827">
        <f>IFERROR(__xludf.DUMMYFUNCTION("""COMPUTED_VALUE"""),11.0)</f>
        <v>11</v>
      </c>
      <c r="B1827" s="406">
        <f>IFERROR(__xludf.DUMMYFUNCTION("""COMPUTED_VALUE"""),27119.0)</f>
        <v>27119</v>
      </c>
      <c r="C1827" t="str">
        <f>IFERROR(__xludf.DUMMYFUNCTION("""COMPUTED_VALUE"""),"VALENCIA RODRIGUEZ, EMILIA")</f>
        <v>VALENCIA RODRIGUEZ, EMILIA</v>
      </c>
      <c r="D1827" t="str">
        <f>IFERROR(__xludf.DUMMYFUNCTION("""COMPUTED_VALUE"""),"Physics")</f>
        <v>Physics</v>
      </c>
      <c r="E1827" s="3">
        <f>IFERROR(__xludf.DUMMYFUNCTION("""COMPUTED_VALUE"""),8.0)</f>
        <v>8</v>
      </c>
      <c r="F1827" s="300">
        <v>1.0</v>
      </c>
      <c r="G1827" s="300">
        <v>1.0</v>
      </c>
      <c r="H1827" s="300">
        <v>1.0</v>
      </c>
      <c r="I1827" s="300">
        <v>1.0</v>
      </c>
      <c r="J1827" s="300">
        <v>1.0</v>
      </c>
      <c r="K1827" s="300">
        <v>1.0</v>
      </c>
      <c r="L1827" s="300">
        <v>1.0</v>
      </c>
      <c r="M1827" s="300">
        <v>1.0</v>
      </c>
      <c r="N1827" s="300">
        <v>8.0</v>
      </c>
      <c r="O1827" s="300" t="s">
        <v>883</v>
      </c>
      <c r="P1827" s="300">
        <v>5.0</v>
      </c>
    </row>
    <row r="1828">
      <c r="A1828">
        <f>IFERROR(__xludf.DUMMYFUNCTION("""COMPUTED_VALUE"""),11.0)</f>
        <v>11</v>
      </c>
      <c r="B1828" s="406">
        <f>IFERROR(__xludf.DUMMYFUNCTION("""COMPUTED_VALUE"""),27074.0)</f>
        <v>27074</v>
      </c>
      <c r="C1828" t="str">
        <f>IFERROR(__xludf.DUMMYFUNCTION("""COMPUTED_VALUE"""),"MONTORSI GOMEZ, LUCIA")</f>
        <v>MONTORSI GOMEZ, LUCIA</v>
      </c>
      <c r="D1828" t="str">
        <f>IFERROR(__xludf.DUMMYFUNCTION("""COMPUTED_VALUE"""),"Physics")</f>
        <v>Physics</v>
      </c>
      <c r="E1828" s="3">
        <f>IFERROR(__xludf.DUMMYFUNCTION("""COMPUTED_VALUE"""),1.0)</f>
        <v>1</v>
      </c>
      <c r="F1828" s="300">
        <v>1.0</v>
      </c>
      <c r="G1828" s="300">
        <v>1.0</v>
      </c>
      <c r="H1828" s="300">
        <v>1.0</v>
      </c>
      <c r="I1828" s="300">
        <v>1.0</v>
      </c>
      <c r="J1828" s="300">
        <v>1.0</v>
      </c>
      <c r="K1828" s="300">
        <v>1.0</v>
      </c>
      <c r="L1828" s="300">
        <v>1.0</v>
      </c>
      <c r="M1828" s="300">
        <v>1.0</v>
      </c>
      <c r="N1828" s="300">
        <v>8.0</v>
      </c>
      <c r="O1828" s="300" t="s">
        <v>880</v>
      </c>
      <c r="P1828" s="300">
        <v>5.0</v>
      </c>
    </row>
    <row r="1829">
      <c r="A1829">
        <f>IFERROR(__xludf.DUMMYFUNCTION("""COMPUTED_VALUE"""),11.0)</f>
        <v>11</v>
      </c>
      <c r="B1829" s="406">
        <f>IFERROR(__xludf.DUMMYFUNCTION("""COMPUTED_VALUE"""),27124.0)</f>
        <v>27124</v>
      </c>
      <c r="C1829" t="str">
        <f>IFERROR(__xludf.DUMMYFUNCTION("""COMPUTED_VALUE"""),"VELEZ RAMIREZ, JULIETA")</f>
        <v>VELEZ RAMIREZ, JULIETA</v>
      </c>
      <c r="D1829" t="str">
        <f>IFERROR(__xludf.DUMMYFUNCTION("""COMPUTED_VALUE"""),"Physics")</f>
        <v>Physics</v>
      </c>
      <c r="E1829" s="3">
        <f>IFERROR(__xludf.DUMMYFUNCTION("""COMPUTED_VALUE"""),1.0)</f>
        <v>1</v>
      </c>
      <c r="F1829" s="300">
        <v>1.0</v>
      </c>
      <c r="G1829" s="300">
        <v>1.0</v>
      </c>
      <c r="H1829" s="300">
        <v>1.0</v>
      </c>
      <c r="I1829" s="300">
        <v>1.0</v>
      </c>
      <c r="J1829" s="300">
        <v>1.0</v>
      </c>
      <c r="K1829" s="300">
        <v>1.0</v>
      </c>
      <c r="L1829" s="300">
        <v>1.0</v>
      </c>
      <c r="M1829" s="300">
        <v>1.0</v>
      </c>
      <c r="N1829" s="300">
        <v>8.0</v>
      </c>
      <c r="O1829" s="300" t="s">
        <v>880</v>
      </c>
      <c r="P1829" s="300">
        <v>5.0</v>
      </c>
    </row>
    <row r="1830">
      <c r="A1830">
        <f>IFERROR(__xludf.DUMMYFUNCTION("""COMPUTED_VALUE"""),11.0)</f>
        <v>11</v>
      </c>
      <c r="B1830" s="406">
        <f>IFERROR(__xludf.DUMMYFUNCTION("""COMPUTED_VALUE"""),27095.0)</f>
        <v>27095</v>
      </c>
      <c r="C1830" t="str">
        <f>IFERROR(__xludf.DUMMYFUNCTION("""COMPUTED_VALUE"""),"RESTREPO BECERRA, ALINA")</f>
        <v>RESTREPO BECERRA, ALINA</v>
      </c>
      <c r="D1830" t="str">
        <f>IFERROR(__xludf.DUMMYFUNCTION("""COMPUTED_VALUE"""),"Physics")</f>
        <v>Physics</v>
      </c>
      <c r="E1830" s="3">
        <f>IFERROR(__xludf.DUMMYFUNCTION("""COMPUTED_VALUE"""),5.0)</f>
        <v>5</v>
      </c>
      <c r="F1830" s="300">
        <v>1.0</v>
      </c>
      <c r="G1830" s="300">
        <v>1.0</v>
      </c>
      <c r="H1830" s="300">
        <v>1.0</v>
      </c>
      <c r="I1830" s="300">
        <v>1.0</v>
      </c>
      <c r="J1830" s="300">
        <v>1.0</v>
      </c>
      <c r="K1830" s="300">
        <v>1.0</v>
      </c>
      <c r="L1830" s="300">
        <v>1.0</v>
      </c>
      <c r="M1830" s="300">
        <v>1.0</v>
      </c>
      <c r="N1830" s="300">
        <v>8.0</v>
      </c>
      <c r="O1830" s="300" t="s">
        <v>885</v>
      </c>
      <c r="P1830" s="300">
        <v>5.0</v>
      </c>
    </row>
    <row r="1831">
      <c r="A1831">
        <f>IFERROR(__xludf.DUMMYFUNCTION("""COMPUTED_VALUE"""),11.0)</f>
        <v>11</v>
      </c>
      <c r="B1831" s="406">
        <f>IFERROR(__xludf.DUMMYFUNCTION("""COMPUTED_VALUE"""),27080.0)</f>
        <v>27080</v>
      </c>
      <c r="C1831" t="str">
        <f>IFERROR(__xludf.DUMMYFUNCTION("""COMPUTED_VALUE"""),"OSORIO GAVIRIA, MARIA CLARA")</f>
        <v>OSORIO GAVIRIA, MARIA CLARA</v>
      </c>
      <c r="D1831" t="str">
        <f>IFERROR(__xludf.DUMMYFUNCTION("""COMPUTED_VALUE"""),"Physics")</f>
        <v>Physics</v>
      </c>
      <c r="E1831" s="3">
        <f>IFERROR(__xludf.DUMMYFUNCTION("""COMPUTED_VALUE"""),2.0)</f>
        <v>2</v>
      </c>
      <c r="F1831" s="300">
        <v>1.0</v>
      </c>
      <c r="G1831" s="300">
        <v>1.0</v>
      </c>
      <c r="H1831" s="300">
        <v>1.0</v>
      </c>
      <c r="I1831" s="300">
        <v>1.0</v>
      </c>
      <c r="J1831" s="300">
        <v>1.0</v>
      </c>
      <c r="K1831" s="300">
        <v>1.0</v>
      </c>
      <c r="L1831" s="300">
        <v>1.0</v>
      </c>
      <c r="M1831" s="300">
        <v>1.0</v>
      </c>
      <c r="N1831" s="300">
        <v>8.0</v>
      </c>
      <c r="O1831" s="300" t="s">
        <v>881</v>
      </c>
      <c r="P1831" s="300">
        <v>5.0</v>
      </c>
    </row>
    <row r="1832">
      <c r="A1832">
        <f>IFERROR(__xludf.DUMMYFUNCTION("""COMPUTED_VALUE"""),11.0)</f>
        <v>11</v>
      </c>
      <c r="B1832" s="406">
        <f>IFERROR(__xludf.DUMMYFUNCTION("""COMPUTED_VALUE"""),27140.0)</f>
        <v>27140</v>
      </c>
      <c r="C1832" t="str">
        <f>IFERROR(__xludf.DUMMYFUNCTION("""COMPUTED_VALUE"""),"CORREA URIBE, PABLO")</f>
        <v>CORREA URIBE, PABLO</v>
      </c>
      <c r="D1832" t="str">
        <f>IFERROR(__xludf.DUMMYFUNCTION("""COMPUTED_VALUE"""),"Physics")</f>
        <v>Physics</v>
      </c>
      <c r="E1832" s="3">
        <f>IFERROR(__xludf.DUMMYFUNCTION("""COMPUTED_VALUE"""),8.0)</f>
        <v>8</v>
      </c>
      <c r="F1832" s="300">
        <v>1.0</v>
      </c>
      <c r="G1832" s="300">
        <v>1.0</v>
      </c>
      <c r="H1832" s="300">
        <v>1.0</v>
      </c>
      <c r="I1832" s="300">
        <v>1.0</v>
      </c>
      <c r="J1832" s="300">
        <v>1.0</v>
      </c>
      <c r="K1832" s="300">
        <v>1.0</v>
      </c>
      <c r="L1832" s="300">
        <v>1.0</v>
      </c>
      <c r="M1832" s="300">
        <v>1.0</v>
      </c>
      <c r="N1832" s="300">
        <v>8.0</v>
      </c>
      <c r="O1832" s="300" t="s">
        <v>883</v>
      </c>
      <c r="P1832" s="300">
        <v>5.0</v>
      </c>
    </row>
    <row r="1833">
      <c r="A1833">
        <f>IFERROR(__xludf.DUMMYFUNCTION("""COMPUTED_VALUE"""),11.0)</f>
        <v>11</v>
      </c>
      <c r="B1833" s="406">
        <f>IFERROR(__xludf.DUMMYFUNCTION("""COMPUTED_VALUE"""),27106.0)</f>
        <v>27106</v>
      </c>
      <c r="C1833" t="str">
        <f>IFERROR(__xludf.DUMMYFUNCTION("""COMPUTED_VALUE"""),"SANCHEZ HURTADO, CRISTOBAL")</f>
        <v>SANCHEZ HURTADO, CRISTOBAL</v>
      </c>
      <c r="D1833" t="str">
        <f>IFERROR(__xludf.DUMMYFUNCTION("""COMPUTED_VALUE"""),"Physics")</f>
        <v>Physics</v>
      </c>
      <c r="E1833" s="3">
        <f>IFERROR(__xludf.DUMMYFUNCTION("""COMPUTED_VALUE"""),7.0)</f>
        <v>7</v>
      </c>
      <c r="F1833" s="300">
        <v>1.0</v>
      </c>
      <c r="G1833" s="300">
        <v>1.0</v>
      </c>
      <c r="H1833" s="300">
        <v>1.0</v>
      </c>
      <c r="I1833" s="300">
        <v>1.0</v>
      </c>
      <c r="J1833" s="300">
        <v>1.0</v>
      </c>
      <c r="K1833" s="300">
        <v>1.0</v>
      </c>
      <c r="L1833" s="300">
        <v>1.0</v>
      </c>
      <c r="M1833" s="300">
        <v>1.0</v>
      </c>
      <c r="N1833" s="300">
        <v>8.0</v>
      </c>
      <c r="O1833" s="300" t="s">
        <v>884</v>
      </c>
      <c r="P1833" s="300">
        <v>5.0</v>
      </c>
    </row>
    <row r="1834">
      <c r="A1834">
        <f>IFERROR(__xludf.DUMMYFUNCTION("""COMPUTED_VALUE"""),11.0)</f>
        <v>11</v>
      </c>
      <c r="B1834" s="406">
        <f>IFERROR(__xludf.DUMMYFUNCTION("""COMPUTED_VALUE"""),27002.0)</f>
        <v>27002</v>
      </c>
      <c r="C1834" t="str">
        <f>IFERROR(__xludf.DUMMYFUNCTION("""COMPUTED_VALUE"""),"AGUDELO LUJAN, ARIANA")</f>
        <v>AGUDELO LUJAN, ARIANA</v>
      </c>
      <c r="D1834" t="str">
        <f>IFERROR(__xludf.DUMMYFUNCTION("""COMPUTED_VALUE"""),"Physics")</f>
        <v>Physics</v>
      </c>
      <c r="E1834" s="3">
        <f>IFERROR(__xludf.DUMMYFUNCTION("""COMPUTED_VALUE"""),1.0)</f>
        <v>1</v>
      </c>
      <c r="F1834" s="300">
        <v>1.0</v>
      </c>
      <c r="G1834" s="300">
        <v>1.0</v>
      </c>
      <c r="H1834" s="300">
        <v>1.0</v>
      </c>
      <c r="I1834" s="300">
        <v>1.0</v>
      </c>
      <c r="J1834" s="300">
        <v>1.0</v>
      </c>
      <c r="K1834" s="300">
        <v>1.0</v>
      </c>
      <c r="L1834" s="300">
        <v>1.0</v>
      </c>
      <c r="M1834" s="300">
        <v>1.0</v>
      </c>
      <c r="N1834" s="300">
        <v>8.0</v>
      </c>
      <c r="O1834" s="300" t="s">
        <v>880</v>
      </c>
      <c r="P1834" s="300">
        <v>5.0</v>
      </c>
    </row>
    <row r="1835">
      <c r="A1835">
        <f>IFERROR(__xludf.DUMMYFUNCTION("""COMPUTED_VALUE"""),11.0)</f>
        <v>11</v>
      </c>
      <c r="B1835" s="406">
        <f>IFERROR(__xludf.DUMMYFUNCTION("""COMPUTED_VALUE"""),27001.0)</f>
        <v>27001</v>
      </c>
      <c r="C1835" t="str">
        <f>IFERROR(__xludf.DUMMYFUNCTION("""COMPUTED_VALUE"""),"ACOSTA VILLA, LUCIANO")</f>
        <v>ACOSTA VILLA, LUCIANO</v>
      </c>
      <c r="D1835" t="str">
        <f>IFERROR(__xludf.DUMMYFUNCTION("""COMPUTED_VALUE"""),"Physics")</f>
        <v>Physics</v>
      </c>
      <c r="E1835" s="3">
        <f>IFERROR(__xludf.DUMMYFUNCTION("""COMPUTED_VALUE"""),8.0)</f>
        <v>8</v>
      </c>
      <c r="F1835" s="300">
        <v>1.0</v>
      </c>
      <c r="G1835" s="300">
        <v>1.0</v>
      </c>
      <c r="H1835" s="300">
        <v>1.0</v>
      </c>
      <c r="I1835" s="300">
        <v>1.0</v>
      </c>
      <c r="J1835" s="300">
        <v>1.0</v>
      </c>
      <c r="K1835" s="300">
        <v>1.0</v>
      </c>
      <c r="L1835" s="300">
        <v>1.0</v>
      </c>
      <c r="M1835" s="300">
        <v>1.0</v>
      </c>
      <c r="N1835" s="300">
        <v>8.0</v>
      </c>
      <c r="O1835" s="300" t="s">
        <v>883</v>
      </c>
      <c r="P1835" s="300">
        <v>5.0</v>
      </c>
    </row>
    <row r="1836">
      <c r="A1836">
        <f>IFERROR(__xludf.DUMMYFUNCTION("""COMPUTED_VALUE"""),11.0)</f>
        <v>11</v>
      </c>
      <c r="B1836" s="406">
        <f>IFERROR(__xludf.DUMMYFUNCTION("""COMPUTED_VALUE"""),26040.0)</f>
        <v>26040</v>
      </c>
      <c r="C1836" t="str">
        <f>IFERROR(__xludf.DUMMYFUNCTION("""COMPUTED_VALUE"""),"GOMEZ VASQUEZ, MATIAS")</f>
        <v>GOMEZ VASQUEZ, MATIAS</v>
      </c>
      <c r="D1836" t="str">
        <f>IFERROR(__xludf.DUMMYFUNCTION("""COMPUTED_VALUE"""),"Physics")</f>
        <v>Physics</v>
      </c>
      <c r="E1836" s="3">
        <f>IFERROR(__xludf.DUMMYFUNCTION("""COMPUTED_VALUE"""),8.0)</f>
        <v>8</v>
      </c>
      <c r="F1836" s="300">
        <v>1.0</v>
      </c>
      <c r="G1836" s="300">
        <v>1.0</v>
      </c>
      <c r="H1836" s="300">
        <v>1.0</v>
      </c>
      <c r="I1836" s="300">
        <v>1.0</v>
      </c>
      <c r="J1836" s="300">
        <v>1.0</v>
      </c>
      <c r="K1836" s="300">
        <v>1.0</v>
      </c>
      <c r="L1836" s="300">
        <v>1.0</v>
      </c>
      <c r="M1836" s="300">
        <v>1.0</v>
      </c>
      <c r="N1836" s="300">
        <v>8.0</v>
      </c>
      <c r="O1836" s="300" t="s">
        <v>883</v>
      </c>
      <c r="P1836" s="300">
        <v>5.0</v>
      </c>
    </row>
    <row r="1837">
      <c r="A1837">
        <f>IFERROR(__xludf.DUMMYFUNCTION("""COMPUTED_VALUE"""),11.0)</f>
        <v>11</v>
      </c>
      <c r="B1837" s="406">
        <f>IFERROR(__xludf.DUMMYFUNCTION("""COMPUTED_VALUE"""),27086.0)</f>
        <v>27086</v>
      </c>
      <c r="C1837" t="str">
        <f>IFERROR(__xludf.DUMMYFUNCTION("""COMPUTED_VALUE"""),"PEREZ ECHAVARRIA, TOMAS")</f>
        <v>PEREZ ECHAVARRIA, TOMAS</v>
      </c>
      <c r="D1837" t="str">
        <f>IFERROR(__xludf.DUMMYFUNCTION("""COMPUTED_VALUE"""),"Physics")</f>
        <v>Physics</v>
      </c>
      <c r="E1837" s="3">
        <f>IFERROR(__xludf.DUMMYFUNCTION("""COMPUTED_VALUE"""),2.0)</f>
        <v>2</v>
      </c>
      <c r="F1837" s="300">
        <v>1.0</v>
      </c>
      <c r="G1837" s="300">
        <v>1.0</v>
      </c>
      <c r="H1837" s="300">
        <v>1.0</v>
      </c>
      <c r="I1837" s="300">
        <v>1.0</v>
      </c>
      <c r="J1837" s="300">
        <v>1.0</v>
      </c>
      <c r="K1837" s="300">
        <v>1.0</v>
      </c>
      <c r="L1837" s="300">
        <v>1.0</v>
      </c>
      <c r="M1837" s="300">
        <v>1.0</v>
      </c>
      <c r="N1837" s="300">
        <v>8.0</v>
      </c>
      <c r="O1837" s="300" t="s">
        <v>881</v>
      </c>
      <c r="P1837" s="300">
        <v>5.0</v>
      </c>
    </row>
    <row r="1838">
      <c r="A1838">
        <f>IFERROR(__xludf.DUMMYFUNCTION("""COMPUTED_VALUE"""),11.0)</f>
        <v>11</v>
      </c>
      <c r="B1838" s="406">
        <f>IFERROR(__xludf.DUMMYFUNCTION("""COMPUTED_VALUE"""),27060.0)</f>
        <v>27060</v>
      </c>
      <c r="C1838" t="str">
        <f>IFERROR(__xludf.DUMMYFUNCTION("""COMPUTED_VALUE"""),"MALDONADO SALDARRIAGA, ALEJANDRO")</f>
        <v>MALDONADO SALDARRIAGA, ALEJANDRO</v>
      </c>
      <c r="D1838" t="str">
        <f>IFERROR(__xludf.DUMMYFUNCTION("""COMPUTED_VALUE"""),"Physics")</f>
        <v>Physics</v>
      </c>
      <c r="E1838" s="3">
        <f>IFERROR(__xludf.DUMMYFUNCTION("""COMPUTED_VALUE"""),5.0)</f>
        <v>5</v>
      </c>
      <c r="F1838" s="300">
        <v>1.0</v>
      </c>
      <c r="G1838" s="300">
        <v>1.0</v>
      </c>
      <c r="H1838" s="300">
        <v>1.0</v>
      </c>
      <c r="I1838" s="300">
        <v>1.0</v>
      </c>
      <c r="J1838" s="300">
        <v>1.0</v>
      </c>
      <c r="K1838" s="300">
        <v>1.0</v>
      </c>
      <c r="L1838" s="300">
        <v>1.0</v>
      </c>
      <c r="M1838" s="300">
        <v>1.0</v>
      </c>
      <c r="N1838" s="300">
        <v>8.0</v>
      </c>
      <c r="O1838" s="300" t="s">
        <v>885</v>
      </c>
      <c r="P1838" s="300">
        <v>5.0</v>
      </c>
    </row>
    <row r="1839">
      <c r="A1839">
        <f>IFERROR(__xludf.DUMMYFUNCTION("""COMPUTED_VALUE"""),11.0)</f>
        <v>11</v>
      </c>
      <c r="B1839" s="406">
        <f>IFERROR(__xludf.DUMMYFUNCTION("""COMPUTED_VALUE"""),27043.0)</f>
        <v>27043</v>
      </c>
      <c r="C1839" t="str">
        <f>IFERROR(__xludf.DUMMYFUNCTION("""COMPUTED_VALUE"""),"GAVIRIA ISAZA, TOMAS")</f>
        <v>GAVIRIA ISAZA, TOMAS</v>
      </c>
      <c r="D1839" t="str">
        <f>IFERROR(__xludf.DUMMYFUNCTION("""COMPUTED_VALUE"""),"Physics")</f>
        <v>Physics</v>
      </c>
      <c r="E1839" s="3">
        <f>IFERROR(__xludf.DUMMYFUNCTION("""COMPUTED_VALUE"""),8.0)</f>
        <v>8</v>
      </c>
      <c r="F1839" s="300">
        <v>1.0</v>
      </c>
      <c r="G1839" s="300">
        <v>1.0</v>
      </c>
      <c r="H1839" s="300">
        <v>1.0</v>
      </c>
      <c r="I1839" s="300">
        <v>1.0</v>
      </c>
      <c r="J1839" s="300">
        <v>1.0</v>
      </c>
      <c r="K1839" s="300">
        <v>1.0</v>
      </c>
      <c r="L1839" s="300">
        <v>1.0</v>
      </c>
      <c r="M1839" s="300">
        <v>1.0</v>
      </c>
      <c r="N1839" s="300">
        <v>8.0</v>
      </c>
      <c r="O1839" s="300" t="s">
        <v>883</v>
      </c>
      <c r="P1839" s="300">
        <v>5.0</v>
      </c>
    </row>
    <row r="1840">
      <c r="A1840">
        <f>IFERROR(__xludf.DUMMYFUNCTION("""COMPUTED_VALUE"""),11.0)</f>
        <v>11</v>
      </c>
      <c r="B1840" s="406">
        <f>IFERROR(__xludf.DUMMYFUNCTION("""COMPUTED_VALUE"""),27050.0)</f>
        <v>27050</v>
      </c>
      <c r="C1840" t="str">
        <f>IFERROR(__xludf.DUMMYFUNCTION("""COMPUTED_VALUE"""),"HURTADO ARISTIZABAL, PAULINA")</f>
        <v>HURTADO ARISTIZABAL, PAULINA</v>
      </c>
      <c r="D1840" t="str">
        <f>IFERROR(__xludf.DUMMYFUNCTION("""COMPUTED_VALUE"""),"Physics")</f>
        <v>Physics</v>
      </c>
      <c r="E1840" s="3">
        <f>IFERROR(__xludf.DUMMYFUNCTION("""COMPUTED_VALUE"""),8.0)</f>
        <v>8</v>
      </c>
      <c r="F1840" s="300">
        <v>1.0</v>
      </c>
      <c r="G1840" s="300">
        <v>1.0</v>
      </c>
      <c r="H1840" s="300">
        <v>1.0</v>
      </c>
      <c r="I1840" s="300">
        <v>1.0</v>
      </c>
      <c r="J1840" s="300">
        <v>1.0</v>
      </c>
      <c r="K1840" s="300">
        <v>1.0</v>
      </c>
      <c r="L1840" s="300">
        <v>1.0</v>
      </c>
      <c r="M1840" s="300">
        <v>1.0</v>
      </c>
      <c r="N1840" s="300">
        <v>8.0</v>
      </c>
      <c r="O1840" s="300" t="s">
        <v>883</v>
      </c>
      <c r="P1840" s="300">
        <v>5.0</v>
      </c>
    </row>
    <row r="1841">
      <c r="A1841">
        <f>IFERROR(__xludf.DUMMYFUNCTION("""COMPUTED_VALUE"""),11.0)</f>
        <v>11</v>
      </c>
      <c r="B1841" s="406">
        <f>IFERROR(__xludf.DUMMYFUNCTION("""COMPUTED_VALUE"""),27038.0)</f>
        <v>27038</v>
      </c>
      <c r="C1841" t="str">
        <f>IFERROR(__xludf.DUMMYFUNCTION("""COMPUTED_VALUE"""),"GALLEGO CUARTAS, FELIPE")</f>
        <v>GALLEGO CUARTAS, FELIPE</v>
      </c>
      <c r="D1841" t="str">
        <f>IFERROR(__xludf.DUMMYFUNCTION("""COMPUTED_VALUE"""),"Physics")</f>
        <v>Physics</v>
      </c>
      <c r="E1841" s="3">
        <f>IFERROR(__xludf.DUMMYFUNCTION("""COMPUTED_VALUE"""),5.0)</f>
        <v>5</v>
      </c>
      <c r="F1841" s="300">
        <v>1.0</v>
      </c>
      <c r="G1841" s="300">
        <v>1.0</v>
      </c>
      <c r="H1841" s="300">
        <v>1.0</v>
      </c>
      <c r="I1841" s="300">
        <v>1.0</v>
      </c>
      <c r="J1841" s="300">
        <v>1.0</v>
      </c>
      <c r="K1841" s="300">
        <v>1.0</v>
      </c>
      <c r="L1841" s="300">
        <v>1.0</v>
      </c>
      <c r="M1841" s="300">
        <v>1.0</v>
      </c>
      <c r="N1841" s="300">
        <v>8.0</v>
      </c>
      <c r="O1841" s="300" t="s">
        <v>885</v>
      </c>
      <c r="P1841" s="300">
        <v>5.0</v>
      </c>
    </row>
    <row r="1842">
      <c r="A1842">
        <f>IFERROR(__xludf.DUMMYFUNCTION("""COMPUTED_VALUE"""),11.0)</f>
        <v>11</v>
      </c>
      <c r="B1842" s="406">
        <f>IFERROR(__xludf.DUMMYFUNCTION("""COMPUTED_VALUE"""),27078.0)</f>
        <v>27078</v>
      </c>
      <c r="C1842" t="str">
        <f>IFERROR(__xludf.DUMMYFUNCTION("""COMPUTED_VALUE"""),"ORSINI COCK, TOMMASO MARIA")</f>
        <v>ORSINI COCK, TOMMASO MARIA</v>
      </c>
      <c r="D1842" t="str">
        <f>IFERROR(__xludf.DUMMYFUNCTION("""COMPUTED_VALUE"""),"Physics")</f>
        <v>Physics</v>
      </c>
      <c r="E1842" s="3">
        <f>IFERROR(__xludf.DUMMYFUNCTION("""COMPUTED_VALUE"""),1.0)</f>
        <v>1</v>
      </c>
      <c r="F1842" s="300">
        <v>1.0</v>
      </c>
      <c r="G1842" s="300">
        <v>1.0</v>
      </c>
      <c r="H1842" s="300">
        <v>1.0</v>
      </c>
      <c r="I1842" s="300">
        <v>1.0</v>
      </c>
      <c r="J1842" s="300">
        <v>1.0</v>
      </c>
      <c r="K1842" s="300">
        <v>1.0</v>
      </c>
      <c r="L1842" s="300">
        <v>1.0</v>
      </c>
      <c r="M1842" s="300">
        <v>1.0</v>
      </c>
      <c r="N1842" s="300">
        <v>8.0</v>
      </c>
      <c r="O1842" s="300" t="s">
        <v>880</v>
      </c>
      <c r="P1842" s="300">
        <v>5.0</v>
      </c>
    </row>
    <row r="1843">
      <c r="A1843">
        <f>IFERROR(__xludf.DUMMYFUNCTION("""COMPUTED_VALUE"""),11.0)</f>
        <v>11</v>
      </c>
      <c r="B1843" s="406">
        <f>IFERROR(__xludf.DUMMYFUNCTION("""COMPUTED_VALUE"""),26023.0)</f>
        <v>26023</v>
      </c>
      <c r="C1843" t="str">
        <f>IFERROR(__xludf.DUMMYFUNCTION("""COMPUTED_VALUE"""),"CORREA VELEZ, ALEJANDRO")</f>
        <v>CORREA VELEZ, ALEJANDRO</v>
      </c>
      <c r="D1843" t="str">
        <f>IFERROR(__xludf.DUMMYFUNCTION("""COMPUTED_VALUE"""),"Physics")</f>
        <v>Physics</v>
      </c>
      <c r="E1843" s="3">
        <f>IFERROR(__xludf.DUMMYFUNCTION("""COMPUTED_VALUE"""),8.0)</f>
        <v>8</v>
      </c>
      <c r="F1843" s="300">
        <v>1.0</v>
      </c>
      <c r="G1843" s="300">
        <v>1.0</v>
      </c>
      <c r="H1843" s="300">
        <v>1.0</v>
      </c>
      <c r="I1843" s="300">
        <v>1.0</v>
      </c>
      <c r="J1843" s="300">
        <v>1.0</v>
      </c>
      <c r="K1843" s="300">
        <v>1.0</v>
      </c>
      <c r="L1843" s="300">
        <v>1.0</v>
      </c>
      <c r="M1843" s="300">
        <v>1.0</v>
      </c>
      <c r="N1843" s="300">
        <v>8.0</v>
      </c>
      <c r="O1843" s="300" t="s">
        <v>883</v>
      </c>
      <c r="P1843" s="300">
        <v>5.0</v>
      </c>
    </row>
    <row r="1844">
      <c r="A1844">
        <f>IFERROR(__xludf.DUMMYFUNCTION("""COMPUTED_VALUE"""),11.0)</f>
        <v>11</v>
      </c>
      <c r="B1844" s="406">
        <f>IFERROR(__xludf.DUMMYFUNCTION("""COMPUTED_VALUE"""),27012.0)</f>
        <v>27012</v>
      </c>
      <c r="C1844" t="str">
        <f>IFERROR(__xludf.DUMMYFUNCTION("""COMPUTED_VALUE"""),"ATEHORTUA MORENO, TOMAS")</f>
        <v>ATEHORTUA MORENO, TOMAS</v>
      </c>
      <c r="D1844" t="str">
        <f>IFERROR(__xludf.DUMMYFUNCTION("""COMPUTED_VALUE"""),"Physics")</f>
        <v>Physics</v>
      </c>
      <c r="E1844" s="3">
        <f>IFERROR(__xludf.DUMMYFUNCTION("""COMPUTED_VALUE"""),2.0)</f>
        <v>2</v>
      </c>
      <c r="F1844" s="300">
        <v>1.0</v>
      </c>
      <c r="G1844" s="300">
        <v>1.0</v>
      </c>
      <c r="H1844" s="300">
        <v>1.0</v>
      </c>
      <c r="I1844" s="300">
        <v>1.0</v>
      </c>
      <c r="J1844" s="300">
        <v>1.0</v>
      </c>
      <c r="K1844" s="300">
        <v>1.0</v>
      </c>
      <c r="L1844" s="300">
        <v>1.0</v>
      </c>
      <c r="M1844" s="300">
        <v>1.0</v>
      </c>
      <c r="N1844" s="300">
        <v>8.0</v>
      </c>
      <c r="O1844" s="300" t="s">
        <v>881</v>
      </c>
      <c r="P1844" s="300">
        <v>5.0</v>
      </c>
    </row>
    <row r="1845">
      <c r="A1845">
        <f>IFERROR(__xludf.DUMMYFUNCTION("""COMPUTED_VALUE"""),11.0)</f>
        <v>11</v>
      </c>
      <c r="B1845" s="406">
        <f>IFERROR(__xludf.DUMMYFUNCTION("""COMPUTED_VALUE"""),28120.0)</f>
        <v>28120</v>
      </c>
      <c r="C1845" t="str">
        <f>IFERROR(__xludf.DUMMYFUNCTION("""COMPUTED_VALUE"""),"SALCEDO PERICO, JUAN MARTIN")</f>
        <v>SALCEDO PERICO, JUAN MARTIN</v>
      </c>
      <c r="D1845" t="str">
        <f>IFERROR(__xludf.DUMMYFUNCTION("""COMPUTED_VALUE"""),"Physics")</f>
        <v>Physics</v>
      </c>
      <c r="E1845" s="3">
        <f>IFERROR(__xludf.DUMMYFUNCTION("""COMPUTED_VALUE"""),2.0)</f>
        <v>2</v>
      </c>
      <c r="F1845" s="300">
        <v>1.0</v>
      </c>
      <c r="G1845" s="300">
        <v>1.0</v>
      </c>
      <c r="H1845" s="300">
        <v>1.0</v>
      </c>
      <c r="I1845" s="300">
        <v>1.0</v>
      </c>
      <c r="J1845" s="300">
        <v>1.0</v>
      </c>
      <c r="K1845" s="300">
        <v>1.0</v>
      </c>
      <c r="L1845" s="300">
        <v>1.0</v>
      </c>
      <c r="M1845" s="300">
        <v>1.0</v>
      </c>
      <c r="N1845" s="300">
        <v>8.0</v>
      </c>
      <c r="O1845" s="300" t="s">
        <v>881</v>
      </c>
      <c r="P1845" s="300">
        <v>5.0</v>
      </c>
    </row>
    <row r="1846">
      <c r="A1846">
        <f>IFERROR(__xludf.DUMMYFUNCTION("""COMPUTED_VALUE"""),11.0)</f>
        <v>11</v>
      </c>
      <c r="B1846" s="406">
        <f>IFERROR(__xludf.DUMMYFUNCTION("""COMPUTED_VALUE"""),27089.0)</f>
        <v>27089</v>
      </c>
      <c r="C1846" t="str">
        <f>IFERROR(__xludf.DUMMYFUNCTION("""COMPUTED_VALUE"""),"PEREZ VELEZ, JERONIMO")</f>
        <v>PEREZ VELEZ, JERONIMO</v>
      </c>
      <c r="D1846" t="str">
        <f>IFERROR(__xludf.DUMMYFUNCTION("""COMPUTED_VALUE"""),"Physics")</f>
        <v>Physics</v>
      </c>
      <c r="E1846" s="3">
        <f>IFERROR(__xludf.DUMMYFUNCTION("""COMPUTED_VALUE"""),5.0)</f>
        <v>5</v>
      </c>
      <c r="F1846" s="300">
        <v>1.0</v>
      </c>
      <c r="G1846" s="300">
        <v>1.0</v>
      </c>
      <c r="H1846" s="300">
        <v>1.0</v>
      </c>
      <c r="I1846" s="300">
        <v>1.0</v>
      </c>
      <c r="J1846" s="300">
        <v>1.0</v>
      </c>
      <c r="K1846" s="300">
        <v>1.0</v>
      </c>
      <c r="L1846" s="300">
        <v>1.0</v>
      </c>
      <c r="M1846" s="300">
        <v>1.0</v>
      </c>
      <c r="N1846" s="300">
        <v>8.0</v>
      </c>
      <c r="O1846" s="300" t="s">
        <v>885</v>
      </c>
      <c r="P1846" s="300">
        <v>5.0</v>
      </c>
    </row>
    <row r="1847">
      <c r="A1847">
        <f>IFERROR(__xludf.DUMMYFUNCTION("""COMPUTED_VALUE"""),11.0)</f>
        <v>11</v>
      </c>
      <c r="B1847" s="406">
        <f>IFERROR(__xludf.DUMMYFUNCTION("""COMPUTED_VALUE"""),27142.0)</f>
        <v>27142</v>
      </c>
      <c r="C1847" t="str">
        <f>IFERROR(__xludf.DUMMYFUNCTION("""COMPUTED_VALUE"""),"ECHAVARRIA OCHOA, MARIANA")</f>
        <v>ECHAVARRIA OCHOA, MARIANA</v>
      </c>
      <c r="D1847" t="str">
        <f>IFERROR(__xludf.DUMMYFUNCTION("""COMPUTED_VALUE"""),"Physics")</f>
        <v>Physics</v>
      </c>
      <c r="E1847" s="3">
        <f>IFERROR(__xludf.DUMMYFUNCTION("""COMPUTED_VALUE"""),8.0)</f>
        <v>8</v>
      </c>
      <c r="F1847" s="300">
        <v>1.0</v>
      </c>
      <c r="G1847" s="300">
        <v>1.0</v>
      </c>
      <c r="H1847" s="300">
        <v>1.0</v>
      </c>
      <c r="I1847" s="300">
        <v>1.0</v>
      </c>
      <c r="J1847" s="300">
        <v>1.0</v>
      </c>
      <c r="K1847" s="300">
        <v>1.0</v>
      </c>
      <c r="L1847" s="300">
        <v>1.0</v>
      </c>
      <c r="M1847" s="300">
        <v>1.0</v>
      </c>
      <c r="N1847" s="300">
        <v>8.0</v>
      </c>
      <c r="O1847" s="300" t="s">
        <v>883</v>
      </c>
      <c r="P1847" s="300">
        <v>5.0</v>
      </c>
    </row>
    <row r="1848">
      <c r="A1848">
        <f>IFERROR(__xludf.DUMMYFUNCTION("""COMPUTED_VALUE"""),11.0)</f>
        <v>11</v>
      </c>
      <c r="B1848" s="406">
        <f>IFERROR(__xludf.DUMMYFUNCTION("""COMPUTED_VALUE"""),27044.0)</f>
        <v>27044</v>
      </c>
      <c r="C1848" t="str">
        <f>IFERROR(__xludf.DUMMYFUNCTION("""COMPUTED_VALUE"""),"GOMEZ GOMEZ, EMILIO")</f>
        <v>GOMEZ GOMEZ, EMILIO</v>
      </c>
      <c r="D1848" t="str">
        <f>IFERROR(__xludf.DUMMYFUNCTION("""COMPUTED_VALUE"""),"AP Physics 1")</f>
        <v>AP Physics 1</v>
      </c>
      <c r="E1848" s="3">
        <f>IFERROR(__xludf.DUMMYFUNCTION("""COMPUTED_VALUE"""),1.0)</f>
        <v>1</v>
      </c>
      <c r="F1848" s="300">
        <v>1.0</v>
      </c>
      <c r="G1848" s="300">
        <v>1.0</v>
      </c>
      <c r="H1848" s="300">
        <v>1.0</v>
      </c>
      <c r="I1848" s="300">
        <v>1.0</v>
      </c>
      <c r="J1848" s="300">
        <v>1.0</v>
      </c>
      <c r="K1848" s="300">
        <v>1.0</v>
      </c>
      <c r="L1848" s="300">
        <v>1.0</v>
      </c>
      <c r="M1848" s="300">
        <v>1.0</v>
      </c>
      <c r="N1848" s="300">
        <v>8.0</v>
      </c>
      <c r="O1848" s="300" t="s">
        <v>882</v>
      </c>
      <c r="P1848" s="300">
        <v>1.0</v>
      </c>
    </row>
    <row r="1849">
      <c r="A1849">
        <f>IFERROR(__xludf.DUMMYFUNCTION("""COMPUTED_VALUE"""),11.0)</f>
        <v>11</v>
      </c>
      <c r="B1849" s="406">
        <f>IFERROR(__xludf.DUMMYFUNCTION("""COMPUTED_VALUE"""),27029.0)</f>
        <v>27029</v>
      </c>
      <c r="C1849" t="str">
        <f>IFERROR(__xludf.DUMMYFUNCTION("""COMPUTED_VALUE"""),"DUQUE OCHOA, MARIANA")</f>
        <v>DUQUE OCHOA, MARIANA</v>
      </c>
      <c r="D1849" t="str">
        <f>IFERROR(__xludf.DUMMYFUNCTION("""COMPUTED_VALUE"""),"Physics")</f>
        <v>Physics</v>
      </c>
      <c r="E1849" s="3">
        <f>IFERROR(__xludf.DUMMYFUNCTION("""COMPUTED_VALUE"""),8.0)</f>
        <v>8</v>
      </c>
      <c r="F1849" s="300">
        <v>1.0</v>
      </c>
      <c r="G1849" s="300">
        <v>1.0</v>
      </c>
      <c r="H1849" s="300">
        <v>1.0</v>
      </c>
      <c r="I1849" s="300">
        <v>1.0</v>
      </c>
      <c r="J1849" s="300">
        <v>1.0</v>
      </c>
      <c r="K1849" s="300">
        <v>1.0</v>
      </c>
      <c r="L1849" s="300">
        <v>1.0</v>
      </c>
      <c r="M1849" s="300">
        <v>1.0</v>
      </c>
      <c r="N1849" s="300">
        <v>8.0</v>
      </c>
      <c r="O1849" s="300" t="s">
        <v>883</v>
      </c>
      <c r="P1849" s="300">
        <v>5.0</v>
      </c>
    </row>
    <row r="1850">
      <c r="A1850">
        <f>IFERROR(__xludf.DUMMYFUNCTION("""COMPUTED_VALUE"""),11.0)</f>
        <v>11</v>
      </c>
      <c r="B1850" s="406">
        <f>IFERROR(__xludf.DUMMYFUNCTION("""COMPUTED_VALUE"""),27036.0)</f>
        <v>27036</v>
      </c>
      <c r="C1850" t="str">
        <f>IFERROR(__xludf.DUMMYFUNCTION("""COMPUTED_VALUE"""),"FERNANDEZ DUQUE, BENJAMIN")</f>
        <v>FERNANDEZ DUQUE, BENJAMIN</v>
      </c>
      <c r="D1850" t="str">
        <f>IFERROR(__xludf.DUMMYFUNCTION("""COMPUTED_VALUE"""),"Physics")</f>
        <v>Physics</v>
      </c>
      <c r="E1850" s="3">
        <f>IFERROR(__xludf.DUMMYFUNCTION("""COMPUTED_VALUE"""),5.0)</f>
        <v>5</v>
      </c>
      <c r="F1850" s="300">
        <v>1.0</v>
      </c>
      <c r="G1850" s="300">
        <v>1.0</v>
      </c>
      <c r="H1850" s="300">
        <v>1.0</v>
      </c>
      <c r="I1850" s="300">
        <v>1.0</v>
      </c>
      <c r="J1850" s="300">
        <v>1.0</v>
      </c>
      <c r="K1850" s="300">
        <v>1.0</v>
      </c>
      <c r="L1850" s="300">
        <v>1.0</v>
      </c>
      <c r="M1850" s="300">
        <v>1.0</v>
      </c>
      <c r="N1850" s="300">
        <v>8.0</v>
      </c>
      <c r="O1850" s="300" t="s">
        <v>885</v>
      </c>
      <c r="P1850" s="300">
        <v>5.0</v>
      </c>
    </row>
    <row r="1851">
      <c r="A1851">
        <f>IFERROR(__xludf.DUMMYFUNCTION("""COMPUTED_VALUE"""),11.0)</f>
        <v>11</v>
      </c>
      <c r="B1851" s="406">
        <f>IFERROR(__xludf.DUMMYFUNCTION("""COMPUTED_VALUE"""),27076.0)</f>
        <v>27076</v>
      </c>
      <c r="C1851" t="str">
        <f>IFERROR(__xludf.DUMMYFUNCTION("""COMPUTED_VALUE"""),"MORA SERANI, LAURA")</f>
        <v>MORA SERANI, LAURA</v>
      </c>
      <c r="D1851" t="str">
        <f>IFERROR(__xludf.DUMMYFUNCTION("""COMPUTED_VALUE"""),"Physics")</f>
        <v>Physics</v>
      </c>
      <c r="E1851" s="3">
        <f>IFERROR(__xludf.DUMMYFUNCTION("""COMPUTED_VALUE"""),5.0)</f>
        <v>5</v>
      </c>
      <c r="F1851" s="300">
        <v>1.0</v>
      </c>
      <c r="G1851" s="300">
        <v>1.0</v>
      </c>
      <c r="H1851" s="300">
        <v>1.0</v>
      </c>
      <c r="I1851" s="300">
        <v>1.0</v>
      </c>
      <c r="J1851" s="300">
        <v>1.0</v>
      </c>
      <c r="K1851" s="300">
        <v>1.0</v>
      </c>
      <c r="L1851" s="300">
        <v>1.0</v>
      </c>
      <c r="M1851" s="300">
        <v>1.0</v>
      </c>
      <c r="N1851" s="300">
        <v>8.0</v>
      </c>
      <c r="O1851" s="300" t="s">
        <v>885</v>
      </c>
      <c r="P1851" s="300">
        <v>5.0</v>
      </c>
    </row>
    <row r="1852">
      <c r="A1852">
        <f>IFERROR(__xludf.DUMMYFUNCTION("""COMPUTED_VALUE"""),11.0)</f>
        <v>11</v>
      </c>
      <c r="B1852" s="406">
        <f>IFERROR(__xludf.DUMMYFUNCTION("""COMPUTED_VALUE"""),26024.0)</f>
        <v>26024</v>
      </c>
      <c r="C1852" t="str">
        <f>IFERROR(__xludf.DUMMYFUNCTION("""COMPUTED_VALUE"""),"DIAZ RIVERA, TOMAS")</f>
        <v>DIAZ RIVERA, TOMAS</v>
      </c>
      <c r="D1852" t="str">
        <f>IFERROR(__xludf.DUMMYFUNCTION("""COMPUTED_VALUE"""),"Physics")</f>
        <v>Physics</v>
      </c>
      <c r="E1852" s="3">
        <f>IFERROR(__xludf.DUMMYFUNCTION("""COMPUTED_VALUE"""),8.0)</f>
        <v>8</v>
      </c>
      <c r="F1852" s="300">
        <v>1.0</v>
      </c>
      <c r="G1852" s="300">
        <v>1.0</v>
      </c>
      <c r="H1852" s="300">
        <v>1.0</v>
      </c>
      <c r="I1852" s="300">
        <v>1.0</v>
      </c>
      <c r="J1852" s="300">
        <v>1.0</v>
      </c>
      <c r="K1852" s="300">
        <v>1.0</v>
      </c>
      <c r="L1852" s="300">
        <v>1.0</v>
      </c>
      <c r="M1852" s="300">
        <v>1.0</v>
      </c>
      <c r="N1852" s="300">
        <v>8.0</v>
      </c>
      <c r="O1852" s="300" t="s">
        <v>883</v>
      </c>
      <c r="P1852" s="300">
        <v>5.0</v>
      </c>
    </row>
    <row r="1853">
      <c r="A1853">
        <f>IFERROR(__xludf.DUMMYFUNCTION("""COMPUTED_VALUE"""),11.0)</f>
        <v>11</v>
      </c>
      <c r="B1853" s="406">
        <f>IFERROR(__xludf.DUMMYFUNCTION("""COMPUTED_VALUE"""),27067.0)</f>
        <v>27067</v>
      </c>
      <c r="C1853" t="str">
        <f>IFERROR(__xludf.DUMMYFUNCTION("""COMPUTED_VALUE"""),"MENDIVELSO JARAMILLO, SAMUEL")</f>
        <v>MENDIVELSO JARAMILLO, SAMUEL</v>
      </c>
      <c r="D1853" t="str">
        <f>IFERROR(__xludf.DUMMYFUNCTION("""COMPUTED_VALUE"""),"Physics")</f>
        <v>Physics</v>
      </c>
      <c r="E1853" s="3">
        <f>IFERROR(__xludf.DUMMYFUNCTION("""COMPUTED_VALUE"""),1.0)</f>
        <v>1</v>
      </c>
      <c r="F1853" s="300">
        <v>1.0</v>
      </c>
      <c r="G1853" s="300">
        <v>1.0</v>
      </c>
      <c r="H1853" s="300">
        <v>1.0</v>
      </c>
      <c r="I1853" s="300">
        <v>1.0</v>
      </c>
      <c r="J1853" s="300">
        <v>1.0</v>
      </c>
      <c r="K1853" s="300">
        <v>1.0</v>
      </c>
      <c r="L1853" s="300">
        <v>1.0</v>
      </c>
      <c r="M1853" s="300">
        <v>1.0</v>
      </c>
      <c r="N1853" s="300">
        <v>8.0</v>
      </c>
      <c r="O1853" s="300" t="s">
        <v>880</v>
      </c>
      <c r="P1853" s="300">
        <v>5.0</v>
      </c>
    </row>
    <row r="1854">
      <c r="A1854">
        <f>IFERROR(__xludf.DUMMYFUNCTION("""COMPUTED_VALUE"""),11.0)</f>
        <v>11</v>
      </c>
      <c r="B1854" s="406">
        <f>IFERROR(__xludf.DUMMYFUNCTION("""COMPUTED_VALUE"""),27048.0)</f>
        <v>27048</v>
      </c>
      <c r="C1854" t="str">
        <f>IFERROR(__xludf.DUMMYFUNCTION("""COMPUTED_VALUE"""),"HARRY DURAN, MANUELA")</f>
        <v>HARRY DURAN, MANUELA</v>
      </c>
      <c r="D1854" t="str">
        <f>IFERROR(__xludf.DUMMYFUNCTION("""COMPUTED_VALUE"""),"Physics")</f>
        <v>Physics</v>
      </c>
      <c r="E1854" s="3">
        <f>IFERROR(__xludf.DUMMYFUNCTION("""COMPUTED_VALUE"""),2.0)</f>
        <v>2</v>
      </c>
      <c r="F1854" s="300">
        <v>1.0</v>
      </c>
      <c r="G1854" s="300">
        <v>1.0</v>
      </c>
      <c r="H1854" s="300">
        <v>1.0</v>
      </c>
      <c r="I1854" s="300">
        <v>1.0</v>
      </c>
      <c r="J1854" s="300">
        <v>1.0</v>
      </c>
      <c r="K1854" s="300">
        <v>1.0</v>
      </c>
      <c r="L1854" s="300">
        <v>1.0</v>
      </c>
      <c r="M1854" s="300">
        <v>1.0</v>
      </c>
      <c r="N1854" s="300">
        <v>8.0</v>
      </c>
      <c r="O1854" s="300" t="s">
        <v>881</v>
      </c>
      <c r="P1854" s="300">
        <v>5.0</v>
      </c>
    </row>
    <row r="1855">
      <c r="A1855">
        <f>IFERROR(__xludf.DUMMYFUNCTION("""COMPUTED_VALUE"""),11.0)</f>
        <v>11</v>
      </c>
      <c r="B1855" s="406">
        <f>IFERROR(__xludf.DUMMYFUNCTION("""COMPUTED_VALUE"""),27132.0)</f>
        <v>27132</v>
      </c>
      <c r="C1855" t="str">
        <f>IFERROR(__xludf.DUMMYFUNCTION("""COMPUTED_VALUE"""),"BARRERA GUZMAN, DANIELA")</f>
        <v>BARRERA GUZMAN, DANIELA</v>
      </c>
      <c r="D1855" t="str">
        <f>IFERROR(__xludf.DUMMYFUNCTION("""COMPUTED_VALUE"""),"Physics")</f>
        <v>Physics</v>
      </c>
      <c r="E1855" s="3">
        <f>IFERROR(__xludf.DUMMYFUNCTION("""COMPUTED_VALUE"""),5.0)</f>
        <v>5</v>
      </c>
      <c r="F1855" s="300">
        <v>1.0</v>
      </c>
      <c r="G1855" s="300">
        <v>1.0</v>
      </c>
      <c r="H1855" s="300">
        <v>1.0</v>
      </c>
      <c r="I1855" s="300">
        <v>1.0</v>
      </c>
      <c r="J1855" s="300">
        <v>1.0</v>
      </c>
      <c r="K1855" s="300">
        <v>1.0</v>
      </c>
      <c r="L1855" s="300">
        <v>1.0</v>
      </c>
      <c r="M1855" s="300">
        <v>1.0</v>
      </c>
      <c r="N1855" s="300">
        <v>8.0</v>
      </c>
      <c r="O1855" s="300" t="s">
        <v>885</v>
      </c>
      <c r="P1855" s="300">
        <v>5.0</v>
      </c>
    </row>
    <row r="1856">
      <c r="A1856">
        <f>IFERROR(__xludf.DUMMYFUNCTION("""COMPUTED_VALUE"""),11.0)</f>
        <v>11</v>
      </c>
      <c r="B1856" s="406">
        <f>IFERROR(__xludf.DUMMYFUNCTION("""COMPUTED_VALUE"""),27107.0)</f>
        <v>27107</v>
      </c>
      <c r="C1856" t="str">
        <f>IFERROR(__xludf.DUMMYFUNCTION("""COMPUTED_VALUE"""),"SANIN VELASQUEZ, MONTSERRAT")</f>
        <v>SANIN VELASQUEZ, MONTSERRAT</v>
      </c>
      <c r="D1856" t="str">
        <f>IFERROR(__xludf.DUMMYFUNCTION("""COMPUTED_VALUE"""),"Physics")</f>
        <v>Physics</v>
      </c>
      <c r="E1856" s="3">
        <f>IFERROR(__xludf.DUMMYFUNCTION("""COMPUTED_VALUE"""),8.0)</f>
        <v>8</v>
      </c>
      <c r="F1856" s="300">
        <v>1.0</v>
      </c>
      <c r="G1856" s="300">
        <v>1.0</v>
      </c>
      <c r="H1856" s="300">
        <v>1.0</v>
      </c>
      <c r="I1856" s="300">
        <v>1.0</v>
      </c>
      <c r="J1856" s="300">
        <v>1.0</v>
      </c>
      <c r="K1856" s="300">
        <v>1.0</v>
      </c>
      <c r="L1856" s="300">
        <v>1.0</v>
      </c>
      <c r="M1856" s="300">
        <v>1.0</v>
      </c>
      <c r="N1856" s="300">
        <v>8.0</v>
      </c>
      <c r="O1856" s="300" t="s">
        <v>883</v>
      </c>
      <c r="P1856" s="300">
        <v>5.0</v>
      </c>
    </row>
    <row r="1857">
      <c r="A1857">
        <f>IFERROR(__xludf.DUMMYFUNCTION("""COMPUTED_VALUE"""),11.0)</f>
        <v>11</v>
      </c>
      <c r="B1857" s="406">
        <f>IFERROR(__xludf.DUMMYFUNCTION("""COMPUTED_VALUE"""),27134.0)</f>
        <v>27134</v>
      </c>
      <c r="C1857" t="str">
        <f>IFERROR(__xludf.DUMMYFUNCTION("""COMPUTED_VALUE"""),"MONTOYA JARAMILLO, TOMAS")</f>
        <v>MONTOYA JARAMILLO, TOMAS</v>
      </c>
      <c r="D1857" t="str">
        <f>IFERROR(__xludf.DUMMYFUNCTION("""COMPUTED_VALUE"""),"AP Physics 1")</f>
        <v>AP Physics 1</v>
      </c>
      <c r="E1857" s="3">
        <f>IFERROR(__xludf.DUMMYFUNCTION("""COMPUTED_VALUE"""),1.0)</f>
        <v>1</v>
      </c>
      <c r="F1857" s="300">
        <v>1.0</v>
      </c>
      <c r="G1857" s="300">
        <v>1.0</v>
      </c>
      <c r="H1857" s="300">
        <v>1.0</v>
      </c>
      <c r="I1857" s="300">
        <v>1.0</v>
      </c>
      <c r="J1857" s="300">
        <v>1.0</v>
      </c>
      <c r="K1857" s="300">
        <v>1.0</v>
      </c>
      <c r="L1857" s="300">
        <v>1.0</v>
      </c>
      <c r="M1857" s="300">
        <v>1.0</v>
      </c>
      <c r="N1857" s="300">
        <v>8.0</v>
      </c>
      <c r="O1857" s="300" t="s">
        <v>882</v>
      </c>
      <c r="P1857" s="300">
        <v>1.0</v>
      </c>
    </row>
    <row r="1858">
      <c r="A1858">
        <f>IFERROR(__xludf.DUMMYFUNCTION("""COMPUTED_VALUE"""),11.0)</f>
        <v>11</v>
      </c>
      <c r="B1858" s="406">
        <f>IFERROR(__xludf.DUMMYFUNCTION("""COMPUTED_VALUE"""),27126.0)</f>
        <v>27126</v>
      </c>
      <c r="C1858" t="str">
        <f>IFERROR(__xludf.DUMMYFUNCTION("""COMPUTED_VALUE"""),"YACAMAN RESTREPO, PEDRO")</f>
        <v>YACAMAN RESTREPO, PEDRO</v>
      </c>
      <c r="D1858" t="str">
        <f>IFERROR(__xludf.DUMMYFUNCTION("""COMPUTED_VALUE"""),"Physics")</f>
        <v>Physics</v>
      </c>
      <c r="E1858" s="3">
        <f>IFERROR(__xludf.DUMMYFUNCTION("""COMPUTED_VALUE"""),2.0)</f>
        <v>2</v>
      </c>
      <c r="F1858" s="300">
        <v>1.0</v>
      </c>
      <c r="G1858" s="300">
        <v>1.0</v>
      </c>
      <c r="H1858" s="300">
        <v>1.0</v>
      </c>
      <c r="I1858" s="300">
        <v>1.0</v>
      </c>
      <c r="J1858" s="300">
        <v>1.0</v>
      </c>
      <c r="K1858" s="300">
        <v>1.0</v>
      </c>
      <c r="L1858" s="300">
        <v>1.0</v>
      </c>
      <c r="M1858" s="300">
        <v>1.0</v>
      </c>
      <c r="N1858" s="300">
        <v>8.0</v>
      </c>
      <c r="O1858" s="300" t="s">
        <v>881</v>
      </c>
      <c r="P1858" s="300">
        <v>5.0</v>
      </c>
    </row>
    <row r="1859">
      <c r="A1859">
        <f>IFERROR(__xludf.DUMMYFUNCTION("""COMPUTED_VALUE"""),11.0)</f>
        <v>11</v>
      </c>
      <c r="B1859" s="406">
        <f>IFERROR(__xludf.DUMMYFUNCTION("""COMPUTED_VALUE"""),27114.0)</f>
        <v>27114</v>
      </c>
      <c r="C1859" t="str">
        <f>IFERROR(__xludf.DUMMYFUNCTION("""COMPUTED_VALUE"""),"TORO PEREZ, CRISTOBAL")</f>
        <v>TORO PEREZ, CRISTOBAL</v>
      </c>
      <c r="D1859" t="str">
        <f>IFERROR(__xludf.DUMMYFUNCTION("""COMPUTED_VALUE"""),"Physics")</f>
        <v>Physics</v>
      </c>
      <c r="E1859" s="3">
        <f>IFERROR(__xludf.DUMMYFUNCTION("""COMPUTED_VALUE"""),5.0)</f>
        <v>5</v>
      </c>
      <c r="F1859" s="300">
        <v>1.0</v>
      </c>
      <c r="G1859" s="300">
        <v>1.0</v>
      </c>
      <c r="H1859" s="300">
        <v>1.0</v>
      </c>
      <c r="I1859" s="300">
        <v>1.0</v>
      </c>
      <c r="J1859" s="300">
        <v>1.0</v>
      </c>
      <c r="K1859" s="300">
        <v>1.0</v>
      </c>
      <c r="L1859" s="300">
        <v>1.0</v>
      </c>
      <c r="M1859" s="300">
        <v>1.0</v>
      </c>
      <c r="N1859" s="300">
        <v>8.0</v>
      </c>
      <c r="O1859" s="300" t="s">
        <v>885</v>
      </c>
      <c r="P1859" s="300">
        <v>5.0</v>
      </c>
    </row>
    <row r="1860">
      <c r="A1860">
        <f>IFERROR(__xludf.DUMMYFUNCTION("""COMPUTED_VALUE"""),11.0)</f>
        <v>11</v>
      </c>
      <c r="B1860" s="406">
        <f>IFERROR(__xludf.DUMMYFUNCTION("""COMPUTED_VALUE"""),26106.0)</f>
        <v>26106</v>
      </c>
      <c r="C1860" t="str">
        <f>IFERROR(__xludf.DUMMYFUNCTION("""COMPUTED_VALUE"""),"ROMERO LOPERA, JUAN SEBASTIAN")</f>
        <v>ROMERO LOPERA, JUAN SEBASTIAN</v>
      </c>
      <c r="D1860" t="str">
        <f>IFERROR(__xludf.DUMMYFUNCTION("""COMPUTED_VALUE"""),"AP Physics 1")</f>
        <v>AP Physics 1</v>
      </c>
      <c r="E1860" s="3">
        <f>IFERROR(__xludf.DUMMYFUNCTION("""COMPUTED_VALUE"""),1.0)</f>
        <v>1</v>
      </c>
      <c r="F1860" s="300">
        <v>1.0</v>
      </c>
      <c r="G1860" s="300">
        <v>1.0</v>
      </c>
      <c r="H1860" s="300">
        <v>1.0</v>
      </c>
      <c r="I1860" s="300">
        <v>1.0</v>
      </c>
      <c r="J1860" s="300">
        <v>1.0</v>
      </c>
      <c r="K1860" s="300">
        <v>1.0</v>
      </c>
      <c r="L1860" s="300">
        <v>1.0</v>
      </c>
      <c r="M1860" s="300">
        <v>1.0</v>
      </c>
      <c r="N1860" s="300">
        <v>8.0</v>
      </c>
      <c r="O1860" s="300" t="s">
        <v>882</v>
      </c>
      <c r="P1860" s="300">
        <v>1.0</v>
      </c>
    </row>
    <row r="1861">
      <c r="A1861">
        <f>IFERROR(__xludf.DUMMYFUNCTION("""COMPUTED_VALUE"""),11.0)</f>
        <v>11</v>
      </c>
      <c r="B1861" s="406">
        <f>IFERROR(__xludf.DUMMYFUNCTION("""COMPUTED_VALUE"""),27014.0)</f>
        <v>27014</v>
      </c>
      <c r="C1861" t="str">
        <f>IFERROR(__xludf.DUMMYFUNCTION("""COMPUTED_VALUE"""),"BEDOYA JIMENEZ, NICOLAS")</f>
        <v>BEDOYA JIMENEZ, NICOLAS</v>
      </c>
      <c r="D1861" t="str">
        <f>IFERROR(__xludf.DUMMYFUNCTION("""COMPUTED_VALUE"""),"Physics")</f>
        <v>Physics</v>
      </c>
      <c r="E1861" s="3">
        <f>IFERROR(__xludf.DUMMYFUNCTION("""COMPUTED_VALUE"""),7.0)</f>
        <v>7</v>
      </c>
      <c r="F1861" s="300">
        <v>1.0</v>
      </c>
      <c r="G1861" s="300">
        <v>1.0</v>
      </c>
      <c r="H1861" s="300">
        <v>1.0</v>
      </c>
      <c r="I1861" s="300">
        <v>1.0</v>
      </c>
      <c r="J1861" s="300">
        <v>1.0</v>
      </c>
      <c r="K1861" s="300">
        <v>1.0</v>
      </c>
      <c r="L1861" s="300">
        <v>1.0</v>
      </c>
      <c r="M1861" s="300">
        <v>1.0</v>
      </c>
      <c r="N1861" s="300">
        <v>8.0</v>
      </c>
      <c r="O1861" s="300" t="s">
        <v>884</v>
      </c>
      <c r="P1861" s="300">
        <v>5.0</v>
      </c>
    </row>
    <row r="1862">
      <c r="A1862">
        <f>IFERROR(__xludf.DUMMYFUNCTION("""COMPUTED_VALUE"""),11.0)</f>
        <v>11</v>
      </c>
      <c r="B1862" s="406">
        <f>IFERROR(__xludf.DUMMYFUNCTION("""COMPUTED_VALUE"""),27160.0)</f>
        <v>27160</v>
      </c>
      <c r="C1862" t="str">
        <f>IFERROR(__xludf.DUMMYFUNCTION("""COMPUTED_VALUE"""),"SUDETTI, ISABELLA")</f>
        <v>SUDETTI, ISABELLA</v>
      </c>
      <c r="D1862" t="str">
        <f>IFERROR(__xludf.DUMMYFUNCTION("""COMPUTED_VALUE"""),"Physics")</f>
        <v>Physics</v>
      </c>
      <c r="E1862" s="3">
        <f>IFERROR(__xludf.DUMMYFUNCTION("""COMPUTED_VALUE"""),5.0)</f>
        <v>5</v>
      </c>
      <c r="F1862" s="300">
        <v>1.0</v>
      </c>
      <c r="G1862" s="300">
        <v>1.0</v>
      </c>
      <c r="H1862" s="300">
        <v>1.0</v>
      </c>
      <c r="I1862" s="300">
        <v>1.0</v>
      </c>
      <c r="J1862" s="300">
        <v>1.0</v>
      </c>
      <c r="K1862" s="300">
        <v>1.0</v>
      </c>
      <c r="L1862" s="300">
        <v>1.0</v>
      </c>
      <c r="M1862" s="300">
        <v>1.0</v>
      </c>
      <c r="N1862" s="300">
        <v>8.0</v>
      </c>
      <c r="O1862" s="300" t="s">
        <v>885</v>
      </c>
      <c r="P1862" s="300">
        <v>5.0</v>
      </c>
    </row>
    <row r="1863">
      <c r="A1863">
        <f>IFERROR(__xludf.DUMMYFUNCTION("""COMPUTED_VALUE"""),11.0)</f>
        <v>11</v>
      </c>
      <c r="B1863" s="406">
        <f>IFERROR(__xludf.DUMMYFUNCTION("""COMPUTED_VALUE"""),27030.0)</f>
        <v>27030</v>
      </c>
      <c r="C1863" t="str">
        <f>IFERROR(__xludf.DUMMYFUNCTION("""COMPUTED_VALUE"""),"DURAN CALAD, PABLO")</f>
        <v>DURAN CALAD, PABLO</v>
      </c>
      <c r="D1863" t="str">
        <f>IFERROR(__xludf.DUMMYFUNCTION("""COMPUTED_VALUE"""),"Physics")</f>
        <v>Physics</v>
      </c>
      <c r="E1863" s="3">
        <f>IFERROR(__xludf.DUMMYFUNCTION("""COMPUTED_VALUE"""),7.0)</f>
        <v>7</v>
      </c>
      <c r="F1863" s="300">
        <v>1.0</v>
      </c>
      <c r="G1863" s="300">
        <v>1.0</v>
      </c>
      <c r="H1863" s="300">
        <v>1.0</v>
      </c>
      <c r="I1863" s="300">
        <v>1.0</v>
      </c>
      <c r="J1863" s="300">
        <v>1.0</v>
      </c>
      <c r="K1863" s="300">
        <v>1.0</v>
      </c>
      <c r="L1863" s="300">
        <v>1.0</v>
      </c>
      <c r="M1863" s="300">
        <v>1.0</v>
      </c>
      <c r="N1863" s="300">
        <v>8.0</v>
      </c>
      <c r="O1863" s="300" t="s">
        <v>884</v>
      </c>
      <c r="P1863" s="300">
        <v>5.0</v>
      </c>
    </row>
    <row r="1864">
      <c r="A1864">
        <f>IFERROR(__xludf.DUMMYFUNCTION("""COMPUTED_VALUE"""),11.0)</f>
        <v>11</v>
      </c>
      <c r="B1864" s="406">
        <f>IFERROR(__xludf.DUMMYFUNCTION("""COMPUTED_VALUE"""),27023.0)</f>
        <v>27023</v>
      </c>
      <c r="C1864" t="str">
        <f>IFERROR(__xludf.DUMMYFUNCTION("""COMPUTED_VALUE"""),"CASTAÑO VASQUEZ, DANIEL")</f>
        <v>CASTAÑO VASQUEZ, DANIEL</v>
      </c>
      <c r="D1864" t="str">
        <f>IFERROR(__xludf.DUMMYFUNCTION("""COMPUTED_VALUE"""),"AP Physics 1")</f>
        <v>AP Physics 1</v>
      </c>
      <c r="E1864" s="3">
        <f>IFERROR(__xludf.DUMMYFUNCTION("""COMPUTED_VALUE"""),1.0)</f>
        <v>1</v>
      </c>
      <c r="F1864" s="300">
        <v>1.0</v>
      </c>
      <c r="G1864" s="300">
        <v>1.0</v>
      </c>
      <c r="H1864" s="300">
        <v>1.0</v>
      </c>
      <c r="I1864" s="300">
        <v>1.0</v>
      </c>
      <c r="J1864" s="300">
        <v>1.0</v>
      </c>
      <c r="K1864" s="300">
        <v>1.0</v>
      </c>
      <c r="L1864" s="300">
        <v>1.0</v>
      </c>
      <c r="M1864" s="300">
        <v>1.0</v>
      </c>
      <c r="N1864" s="300">
        <v>8.0</v>
      </c>
      <c r="O1864" s="300" t="s">
        <v>882</v>
      </c>
      <c r="P1864" s="300">
        <v>1.0</v>
      </c>
    </row>
    <row r="1865">
      <c r="A1865">
        <f>IFERROR(__xludf.DUMMYFUNCTION("""COMPUTED_VALUE"""),11.0)</f>
        <v>11</v>
      </c>
      <c r="B1865" s="406">
        <f>IFERROR(__xludf.DUMMYFUNCTION("""COMPUTED_VALUE"""),27138.0)</f>
        <v>27138</v>
      </c>
      <c r="C1865" t="str">
        <f>IFERROR(__xludf.DUMMYFUNCTION("""COMPUTED_VALUE"""),"ALMEIDA CARMONA, LUISA MARIA")</f>
        <v>ALMEIDA CARMONA, LUISA MARIA</v>
      </c>
      <c r="D1865" t="str">
        <f>IFERROR(__xludf.DUMMYFUNCTION("""COMPUTED_VALUE"""),"Physics")</f>
        <v>Physics</v>
      </c>
      <c r="E1865" s="3">
        <f>IFERROR(__xludf.DUMMYFUNCTION("""COMPUTED_VALUE"""),1.0)</f>
        <v>1</v>
      </c>
      <c r="F1865" s="300">
        <v>1.0</v>
      </c>
      <c r="G1865" s="300">
        <v>1.0</v>
      </c>
      <c r="H1865" s="300">
        <v>1.0</v>
      </c>
      <c r="I1865" s="300">
        <v>1.0</v>
      </c>
      <c r="J1865" s="300">
        <v>1.0</v>
      </c>
      <c r="K1865" s="300">
        <v>1.0</v>
      </c>
      <c r="L1865" s="300">
        <v>1.0</v>
      </c>
      <c r="M1865" s="300">
        <v>1.0</v>
      </c>
      <c r="N1865" s="300">
        <v>8.0</v>
      </c>
      <c r="O1865" s="300" t="s">
        <v>880</v>
      </c>
      <c r="P1865" s="300">
        <v>5.0</v>
      </c>
    </row>
    <row r="1866">
      <c r="A1866">
        <f>IFERROR(__xludf.DUMMYFUNCTION("""COMPUTED_VALUE"""),11.0)</f>
        <v>11</v>
      </c>
      <c r="B1866" s="406">
        <f>IFERROR(__xludf.DUMMYFUNCTION("""COMPUTED_VALUE"""),27091.0)</f>
        <v>27091</v>
      </c>
      <c r="C1866" t="str">
        <f>IFERROR(__xludf.DUMMYFUNCTION("""COMPUTED_VALUE"""),"PUERTA PAZ, DAVID")</f>
        <v>PUERTA PAZ, DAVID</v>
      </c>
      <c r="D1866" t="str">
        <f>IFERROR(__xludf.DUMMYFUNCTION("""COMPUTED_VALUE"""),"Physics")</f>
        <v>Physics</v>
      </c>
      <c r="E1866" s="3">
        <f>IFERROR(__xludf.DUMMYFUNCTION("""COMPUTED_VALUE"""),5.0)</f>
        <v>5</v>
      </c>
      <c r="F1866" s="300">
        <v>1.0</v>
      </c>
      <c r="G1866" s="300">
        <v>1.0</v>
      </c>
      <c r="H1866" s="300">
        <v>1.0</v>
      </c>
      <c r="I1866" s="300">
        <v>1.0</v>
      </c>
      <c r="J1866" s="300">
        <v>1.0</v>
      </c>
      <c r="K1866" s="300">
        <v>1.0</v>
      </c>
      <c r="L1866" s="300">
        <v>1.0</v>
      </c>
      <c r="M1866" s="300">
        <v>1.0</v>
      </c>
      <c r="N1866" s="300">
        <v>8.0</v>
      </c>
      <c r="O1866" s="300" t="s">
        <v>885</v>
      </c>
      <c r="P1866" s="300">
        <v>5.0</v>
      </c>
    </row>
    <row r="1867">
      <c r="A1867">
        <f>IFERROR(__xludf.DUMMYFUNCTION("""COMPUTED_VALUE"""),11.0)</f>
        <v>11</v>
      </c>
      <c r="B1867" s="406">
        <f>IFERROR(__xludf.DUMMYFUNCTION("""COMPUTED_VALUE"""),27063.0)</f>
        <v>27063</v>
      </c>
      <c r="C1867" t="str">
        <f>IFERROR(__xludf.DUMMYFUNCTION("""COMPUTED_VALUE"""),"MARTINEZ AGUILAR, ALICIA")</f>
        <v>MARTINEZ AGUILAR, ALICIA</v>
      </c>
      <c r="D1867" t="str">
        <f>IFERROR(__xludf.DUMMYFUNCTION("""COMPUTED_VALUE"""),"Physics")</f>
        <v>Physics</v>
      </c>
      <c r="E1867" s="3">
        <f>IFERROR(__xludf.DUMMYFUNCTION("""COMPUTED_VALUE"""),7.0)</f>
        <v>7</v>
      </c>
      <c r="F1867" s="300">
        <v>1.0</v>
      </c>
      <c r="G1867" s="300">
        <v>1.0</v>
      </c>
      <c r="H1867" s="300">
        <v>1.0</v>
      </c>
      <c r="I1867" s="300">
        <v>1.0</v>
      </c>
      <c r="J1867" s="300">
        <v>1.0</v>
      </c>
      <c r="K1867" s="300">
        <v>1.0</v>
      </c>
      <c r="L1867" s="300">
        <v>1.0</v>
      </c>
      <c r="M1867" s="300">
        <v>1.0</v>
      </c>
      <c r="N1867" s="300">
        <v>8.0</v>
      </c>
      <c r="O1867" s="300" t="s">
        <v>884</v>
      </c>
      <c r="P1867" s="300">
        <v>5.0</v>
      </c>
    </row>
    <row r="1868">
      <c r="A1868">
        <f>IFERROR(__xludf.DUMMYFUNCTION("""COMPUTED_VALUE"""),11.0)</f>
        <v>11</v>
      </c>
      <c r="B1868" s="406">
        <f>IFERROR(__xludf.DUMMYFUNCTION("""COMPUTED_VALUE"""),27147.0)</f>
        <v>27147</v>
      </c>
      <c r="C1868" t="str">
        <f>IFERROR(__xludf.DUMMYFUNCTION("""COMPUTED_VALUE"""),"MESA FLOREZ, SALOMON")</f>
        <v>MESA FLOREZ, SALOMON</v>
      </c>
      <c r="D1868" t="str">
        <f>IFERROR(__xludf.DUMMYFUNCTION("""COMPUTED_VALUE"""),"AP Physics 1")</f>
        <v>AP Physics 1</v>
      </c>
      <c r="E1868" s="3">
        <f>IFERROR(__xludf.DUMMYFUNCTION("""COMPUTED_VALUE"""),1.0)</f>
        <v>1</v>
      </c>
      <c r="F1868" s="300">
        <v>1.0</v>
      </c>
      <c r="G1868" s="300">
        <v>1.0</v>
      </c>
      <c r="H1868" s="300">
        <v>1.0</v>
      </c>
      <c r="I1868" s="300">
        <v>1.0</v>
      </c>
      <c r="J1868" s="300">
        <v>1.0</v>
      </c>
      <c r="K1868" s="300">
        <v>1.0</v>
      </c>
      <c r="L1868" s="300">
        <v>1.0</v>
      </c>
      <c r="M1868" s="300">
        <v>1.0</v>
      </c>
      <c r="N1868" s="300">
        <v>8.0</v>
      </c>
      <c r="O1868" s="300" t="s">
        <v>882</v>
      </c>
      <c r="P1868" s="300">
        <v>1.0</v>
      </c>
    </row>
    <row r="1869">
      <c r="A1869">
        <f>IFERROR(__xludf.DUMMYFUNCTION("""COMPUTED_VALUE"""),11.0)</f>
        <v>11</v>
      </c>
      <c r="B1869" s="406">
        <f>IFERROR(__xludf.DUMMYFUNCTION("""COMPUTED_VALUE"""),27129.0)</f>
        <v>27129</v>
      </c>
      <c r="C1869" t="str">
        <f>IFERROR(__xludf.DUMMYFUNCTION("""COMPUTED_VALUE"""),"VALLEJO HOYOS, MIGUEL")</f>
        <v>VALLEJO HOYOS, MIGUEL</v>
      </c>
      <c r="D1869" t="str">
        <f>IFERROR(__xludf.DUMMYFUNCTION("""COMPUTED_VALUE"""),"Physics")</f>
        <v>Physics</v>
      </c>
      <c r="E1869" s="3">
        <f>IFERROR(__xludf.DUMMYFUNCTION("""COMPUTED_VALUE"""),5.0)</f>
        <v>5</v>
      </c>
      <c r="F1869" s="300">
        <v>1.0</v>
      </c>
      <c r="G1869" s="300">
        <v>1.0</v>
      </c>
      <c r="H1869" s="300">
        <v>1.0</v>
      </c>
      <c r="I1869" s="300">
        <v>1.0</v>
      </c>
      <c r="J1869" s="300">
        <v>1.0</v>
      </c>
      <c r="K1869" s="300">
        <v>1.0</v>
      </c>
      <c r="L1869" s="300">
        <v>1.0</v>
      </c>
      <c r="M1869" s="300">
        <v>1.0</v>
      </c>
      <c r="N1869" s="300">
        <v>8.0</v>
      </c>
      <c r="O1869" s="300" t="s">
        <v>885</v>
      </c>
      <c r="P1869" s="300">
        <v>5.0</v>
      </c>
    </row>
    <row r="1870">
      <c r="A1870">
        <f>IFERROR(__xludf.DUMMYFUNCTION("""COMPUTED_VALUE"""),11.0)</f>
        <v>11</v>
      </c>
      <c r="B1870" s="406">
        <f>IFERROR(__xludf.DUMMYFUNCTION("""COMPUTED_VALUE"""),27015.0)</f>
        <v>27015</v>
      </c>
      <c r="C1870" t="str">
        <f>IFERROR(__xludf.DUMMYFUNCTION("""COMPUTED_VALUE"""),"BERNAL OCHOA, MARIANA")</f>
        <v>BERNAL OCHOA, MARIANA</v>
      </c>
      <c r="D1870" t="str">
        <f>IFERROR(__xludf.DUMMYFUNCTION("""COMPUTED_VALUE"""),"Physics")</f>
        <v>Physics</v>
      </c>
      <c r="E1870" s="3">
        <f>IFERROR(__xludf.DUMMYFUNCTION("""COMPUTED_VALUE"""),7.0)</f>
        <v>7</v>
      </c>
      <c r="F1870" s="300">
        <v>1.0</v>
      </c>
      <c r="G1870" s="300">
        <v>1.0</v>
      </c>
      <c r="H1870" s="300">
        <v>1.0</v>
      </c>
      <c r="I1870" s="300">
        <v>1.0</v>
      </c>
      <c r="J1870" s="300">
        <v>1.0</v>
      </c>
      <c r="K1870" s="300">
        <v>1.0</v>
      </c>
      <c r="L1870" s="300">
        <v>1.0</v>
      </c>
      <c r="M1870" s="300">
        <v>1.0</v>
      </c>
      <c r="N1870" s="300">
        <v>8.0</v>
      </c>
      <c r="O1870" s="300" t="s">
        <v>884</v>
      </c>
      <c r="P1870" s="300">
        <v>5.0</v>
      </c>
    </row>
    <row r="1871">
      <c r="A1871">
        <f>IFERROR(__xludf.DUMMYFUNCTION("""COMPUTED_VALUE"""),11.0)</f>
        <v>11</v>
      </c>
      <c r="B1871" s="406">
        <f>IFERROR(__xludf.DUMMYFUNCTION("""COMPUTED_VALUE"""),27104.0)</f>
        <v>27104</v>
      </c>
      <c r="C1871" t="str">
        <f>IFERROR(__xludf.DUMMYFUNCTION("""COMPUTED_VALUE"""),"SANCHEZ GONZALEZ, JUANITA")</f>
        <v>SANCHEZ GONZALEZ, JUANITA</v>
      </c>
      <c r="D1871" t="str">
        <f>IFERROR(__xludf.DUMMYFUNCTION("""COMPUTED_VALUE"""),"Physics")</f>
        <v>Physics</v>
      </c>
      <c r="E1871" s="3">
        <f>IFERROR(__xludf.DUMMYFUNCTION("""COMPUTED_VALUE"""),2.0)</f>
        <v>2</v>
      </c>
      <c r="F1871" s="300">
        <v>1.0</v>
      </c>
      <c r="G1871" s="300">
        <v>1.0</v>
      </c>
      <c r="H1871" s="300">
        <v>1.0</v>
      </c>
      <c r="I1871" s="300">
        <v>1.0</v>
      </c>
      <c r="J1871" s="300">
        <v>1.0</v>
      </c>
      <c r="K1871" s="300">
        <v>1.0</v>
      </c>
      <c r="L1871" s="300">
        <v>1.0</v>
      </c>
      <c r="M1871" s="300">
        <v>1.0</v>
      </c>
      <c r="N1871" s="300">
        <v>8.0</v>
      </c>
      <c r="O1871" s="300" t="s">
        <v>881</v>
      </c>
      <c r="P1871" s="300">
        <v>5.0</v>
      </c>
    </row>
    <row r="1872">
      <c r="A1872">
        <f>IFERROR(__xludf.DUMMYFUNCTION("""COMPUTED_VALUE"""),11.0)</f>
        <v>11</v>
      </c>
      <c r="B1872" s="406">
        <f>IFERROR(__xludf.DUMMYFUNCTION("""COMPUTED_VALUE"""),27130.0)</f>
        <v>27130</v>
      </c>
      <c r="C1872" t="str">
        <f>IFERROR(__xludf.DUMMYFUNCTION("""COMPUTED_VALUE"""),"EASTMAN BETANCUR, VIOLETA")</f>
        <v>EASTMAN BETANCUR, VIOLETA</v>
      </c>
      <c r="D1872" t="str">
        <f>IFERROR(__xludf.DUMMYFUNCTION("""COMPUTED_VALUE"""),"Physics")</f>
        <v>Physics</v>
      </c>
      <c r="E1872" s="3">
        <f>IFERROR(__xludf.DUMMYFUNCTION("""COMPUTED_VALUE"""),7.0)</f>
        <v>7</v>
      </c>
      <c r="F1872" s="300">
        <v>1.0</v>
      </c>
      <c r="G1872" s="300">
        <v>1.0</v>
      </c>
      <c r="H1872" s="300">
        <v>1.0</v>
      </c>
      <c r="I1872" s="300">
        <v>1.0</v>
      </c>
      <c r="J1872" s="300">
        <v>1.0</v>
      </c>
      <c r="K1872" s="300">
        <v>1.0</v>
      </c>
      <c r="L1872" s="300">
        <v>1.0</v>
      </c>
      <c r="M1872" s="300">
        <v>1.0</v>
      </c>
      <c r="N1872" s="300">
        <v>8.0</v>
      </c>
      <c r="O1872" s="300" t="s">
        <v>884</v>
      </c>
      <c r="P1872" s="300">
        <v>5.0</v>
      </c>
    </row>
    <row r="1873">
      <c r="A1873">
        <f>IFERROR(__xludf.DUMMYFUNCTION("""COMPUTED_VALUE"""),11.0)</f>
        <v>11</v>
      </c>
      <c r="B1873" s="406">
        <f>IFERROR(__xludf.DUMMYFUNCTION("""COMPUTED_VALUE"""),27096.0)</f>
        <v>27096</v>
      </c>
      <c r="C1873" t="str">
        <f>IFERROR(__xludf.DUMMYFUNCTION("""COMPUTED_VALUE"""),"RICO SALDARRIAGA, MARTINA")</f>
        <v>RICO SALDARRIAGA, MARTINA</v>
      </c>
      <c r="D1873" t="str">
        <f>IFERROR(__xludf.DUMMYFUNCTION("""COMPUTED_VALUE"""),"Physics")</f>
        <v>Physics</v>
      </c>
      <c r="E1873" s="3">
        <f>IFERROR(__xludf.DUMMYFUNCTION("""COMPUTED_VALUE"""),1.0)</f>
        <v>1</v>
      </c>
      <c r="F1873" s="300">
        <v>1.0</v>
      </c>
      <c r="G1873" s="300">
        <v>1.0</v>
      </c>
      <c r="H1873" s="300">
        <v>1.0</v>
      </c>
      <c r="I1873" s="300">
        <v>1.0</v>
      </c>
      <c r="J1873" s="300">
        <v>1.0</v>
      </c>
      <c r="K1873" s="300">
        <v>1.0</v>
      </c>
      <c r="L1873" s="300">
        <v>1.0</v>
      </c>
      <c r="M1873" s="300">
        <v>1.0</v>
      </c>
      <c r="N1873" s="300">
        <v>8.0</v>
      </c>
      <c r="O1873" s="300" t="s">
        <v>880</v>
      </c>
      <c r="P1873" s="300">
        <v>5.0</v>
      </c>
    </row>
    <row r="1874">
      <c r="A1874">
        <f>IFERROR(__xludf.DUMMYFUNCTION("""COMPUTED_VALUE"""),11.0)</f>
        <v>11</v>
      </c>
      <c r="B1874" s="406">
        <f>IFERROR(__xludf.DUMMYFUNCTION("""COMPUTED_VALUE"""),27131.0)</f>
        <v>27131</v>
      </c>
      <c r="C1874" t="str">
        <f>IFERROR(__xludf.DUMMYFUNCTION("""COMPUTED_VALUE"""),"BARRERA GUZMAN, CAMILA")</f>
        <v>BARRERA GUZMAN, CAMILA</v>
      </c>
      <c r="D1874" t="str">
        <f>IFERROR(__xludf.DUMMYFUNCTION("""COMPUTED_VALUE"""),"Physics")</f>
        <v>Physics</v>
      </c>
      <c r="E1874" s="3">
        <f>IFERROR(__xludf.DUMMYFUNCTION("""COMPUTED_VALUE"""),1.0)</f>
        <v>1</v>
      </c>
      <c r="F1874" s="300">
        <v>1.0</v>
      </c>
      <c r="G1874" s="300">
        <v>1.0</v>
      </c>
      <c r="H1874" s="300">
        <v>1.0</v>
      </c>
      <c r="I1874" s="300">
        <v>1.0</v>
      </c>
      <c r="J1874" s="300">
        <v>1.0</v>
      </c>
      <c r="K1874" s="300">
        <v>1.0</v>
      </c>
      <c r="L1874" s="300">
        <v>1.0</v>
      </c>
      <c r="M1874" s="300">
        <v>1.0</v>
      </c>
      <c r="N1874" s="300">
        <v>8.0</v>
      </c>
      <c r="O1874" s="300" t="s">
        <v>880</v>
      </c>
      <c r="P1874" s="300">
        <v>5.0</v>
      </c>
    </row>
    <row r="1875">
      <c r="A1875">
        <f>IFERROR(__xludf.DUMMYFUNCTION("""COMPUTED_VALUE"""),11.0)</f>
        <v>11</v>
      </c>
      <c r="B1875" s="406">
        <f>IFERROR(__xludf.DUMMYFUNCTION("""COMPUTED_VALUE"""),27068.0)</f>
        <v>27068</v>
      </c>
      <c r="C1875" t="str">
        <f>IFERROR(__xludf.DUMMYFUNCTION("""COMPUTED_VALUE"""),"MESA ACOSTA, ESTEBAN")</f>
        <v>MESA ACOSTA, ESTEBAN</v>
      </c>
      <c r="D1875" t="str">
        <f>IFERROR(__xludf.DUMMYFUNCTION("""COMPUTED_VALUE"""),"Physics")</f>
        <v>Physics</v>
      </c>
      <c r="E1875" s="3">
        <f>IFERROR(__xludf.DUMMYFUNCTION("""COMPUTED_VALUE"""),8.0)</f>
        <v>8</v>
      </c>
      <c r="F1875" s="300">
        <v>1.0</v>
      </c>
      <c r="G1875" s="300">
        <v>1.0</v>
      </c>
      <c r="H1875" s="300">
        <v>1.0</v>
      </c>
      <c r="I1875" s="300">
        <v>1.0</v>
      </c>
      <c r="J1875" s="300">
        <v>1.0</v>
      </c>
      <c r="K1875" s="300">
        <v>1.0</v>
      </c>
      <c r="L1875" s="300">
        <v>1.0</v>
      </c>
      <c r="M1875" s="300">
        <v>1.0</v>
      </c>
      <c r="N1875" s="300">
        <v>8.0</v>
      </c>
      <c r="O1875" s="300" t="s">
        <v>883</v>
      </c>
      <c r="P1875" s="300">
        <v>5.0</v>
      </c>
    </row>
    <row r="1876">
      <c r="A1876">
        <f>IFERROR(__xludf.DUMMYFUNCTION("""COMPUTED_VALUE"""),11.0)</f>
        <v>11</v>
      </c>
      <c r="B1876" s="406">
        <f>IFERROR(__xludf.DUMMYFUNCTION("""COMPUTED_VALUE"""),27127.0)</f>
        <v>27127</v>
      </c>
      <c r="C1876" t="str">
        <f>IFERROR(__xludf.DUMMYFUNCTION("""COMPUTED_VALUE"""),"YUSTY MOSQUERA, MATEO")</f>
        <v>YUSTY MOSQUERA, MATEO</v>
      </c>
      <c r="D1876" t="str">
        <f>IFERROR(__xludf.DUMMYFUNCTION("""COMPUTED_VALUE"""),"Physics")</f>
        <v>Physics</v>
      </c>
      <c r="E1876" s="3">
        <f>IFERROR(__xludf.DUMMYFUNCTION("""COMPUTED_VALUE"""),1.0)</f>
        <v>1</v>
      </c>
      <c r="F1876" s="300">
        <v>1.0</v>
      </c>
      <c r="G1876" s="300">
        <v>1.0</v>
      </c>
      <c r="H1876" s="300">
        <v>1.0</v>
      </c>
      <c r="I1876" s="300">
        <v>1.0</v>
      </c>
      <c r="J1876" s="300">
        <v>1.0</v>
      </c>
      <c r="K1876" s="300">
        <v>1.0</v>
      </c>
      <c r="L1876" s="300">
        <v>1.0</v>
      </c>
      <c r="M1876" s="300">
        <v>1.0</v>
      </c>
      <c r="N1876" s="300">
        <v>8.0</v>
      </c>
      <c r="O1876" s="300" t="s">
        <v>880</v>
      </c>
      <c r="P1876" s="300">
        <v>5.0</v>
      </c>
    </row>
    <row r="1877">
      <c r="A1877">
        <f>IFERROR(__xludf.DUMMYFUNCTION("""COMPUTED_VALUE"""),11.0)</f>
        <v>11</v>
      </c>
      <c r="B1877" s="406">
        <f>IFERROR(__xludf.DUMMYFUNCTION("""COMPUTED_VALUE"""),27172.0)</f>
        <v>27172</v>
      </c>
      <c r="C1877" t="str">
        <f>IFERROR(__xludf.DUMMYFUNCTION("""COMPUTED_VALUE"""),"PASCUAL CUMELLAS, IGNACIO")</f>
        <v>PASCUAL CUMELLAS, IGNACIO</v>
      </c>
      <c r="D1877" t="str">
        <f>IFERROR(__xludf.DUMMYFUNCTION("""COMPUTED_VALUE"""),"AP Physics 1")</f>
        <v>AP Physics 1</v>
      </c>
      <c r="E1877" s="3">
        <f>IFERROR(__xludf.DUMMYFUNCTION("""COMPUTED_VALUE"""),1.0)</f>
        <v>1</v>
      </c>
      <c r="F1877" s="300">
        <v>1.0</v>
      </c>
      <c r="G1877" s="300">
        <v>1.0</v>
      </c>
      <c r="H1877" s="300">
        <v>1.0</v>
      </c>
      <c r="I1877" s="300">
        <v>1.0</v>
      </c>
      <c r="J1877" s="300">
        <v>1.0</v>
      </c>
      <c r="K1877" s="300">
        <v>1.0</v>
      </c>
      <c r="L1877" s="300">
        <v>1.0</v>
      </c>
      <c r="M1877" s="300">
        <v>1.0</v>
      </c>
      <c r="N1877" s="300">
        <v>8.0</v>
      </c>
      <c r="O1877" s="300" t="s">
        <v>882</v>
      </c>
      <c r="P1877" s="300">
        <v>1.0</v>
      </c>
    </row>
    <row r="1878">
      <c r="A1878">
        <f>IFERROR(__xludf.DUMMYFUNCTION("""COMPUTED_VALUE"""),11.0)</f>
        <v>11</v>
      </c>
      <c r="B1878" s="406">
        <f>IFERROR(__xludf.DUMMYFUNCTION("""COMPUTED_VALUE"""),27018.0)</f>
        <v>27018</v>
      </c>
      <c r="C1878" t="str">
        <f>IFERROR(__xludf.DUMMYFUNCTION("""COMPUTED_VALUE"""),"BEYER VELEZ, JACOBO")</f>
        <v>BEYER VELEZ, JACOBO</v>
      </c>
      <c r="D1878" t="str">
        <f>IFERROR(__xludf.DUMMYFUNCTION("""COMPUTED_VALUE"""),"Physics")</f>
        <v>Physics</v>
      </c>
      <c r="E1878" s="3">
        <f>IFERROR(__xludf.DUMMYFUNCTION("""COMPUTED_VALUE"""),5.0)</f>
        <v>5</v>
      </c>
      <c r="F1878" s="300">
        <v>1.0</v>
      </c>
      <c r="G1878" s="300">
        <v>1.0</v>
      </c>
      <c r="H1878" s="300">
        <v>1.0</v>
      </c>
      <c r="I1878" s="300">
        <v>1.0</v>
      </c>
      <c r="J1878" s="300">
        <v>1.0</v>
      </c>
      <c r="K1878" s="300">
        <v>1.0</v>
      </c>
      <c r="L1878" s="300">
        <v>1.0</v>
      </c>
      <c r="M1878" s="300">
        <v>1.0</v>
      </c>
      <c r="N1878" s="300">
        <v>8.0</v>
      </c>
      <c r="O1878" s="300" t="s">
        <v>885</v>
      </c>
      <c r="P1878" s="300">
        <v>5.0</v>
      </c>
    </row>
    <row r="1879">
      <c r="A1879">
        <f>IFERROR(__xludf.DUMMYFUNCTION("""COMPUTED_VALUE"""),11.0)</f>
        <v>11</v>
      </c>
      <c r="B1879" s="406">
        <f>IFERROR(__xludf.DUMMYFUNCTION("""COMPUTED_VALUE"""),27017.0)</f>
        <v>27017</v>
      </c>
      <c r="C1879" t="str">
        <f>IFERROR(__xludf.DUMMYFUNCTION("""COMPUTED_VALUE"""),"BETANCUR ROBLEDO, ELISA")</f>
        <v>BETANCUR ROBLEDO, ELISA</v>
      </c>
      <c r="D1879" t="str">
        <f>IFERROR(__xludf.DUMMYFUNCTION("""COMPUTED_VALUE"""),"Physics")</f>
        <v>Physics</v>
      </c>
      <c r="E1879" s="3">
        <f>IFERROR(__xludf.DUMMYFUNCTION("""COMPUTED_VALUE"""),1.0)</f>
        <v>1</v>
      </c>
      <c r="F1879" s="300">
        <v>1.0</v>
      </c>
      <c r="G1879" s="300">
        <v>1.0</v>
      </c>
      <c r="H1879" s="300">
        <v>1.0</v>
      </c>
      <c r="I1879" s="300">
        <v>1.0</v>
      </c>
      <c r="J1879" s="300">
        <v>1.0</v>
      </c>
      <c r="K1879" s="300">
        <v>1.0</v>
      </c>
      <c r="L1879" s="300">
        <v>1.0</v>
      </c>
      <c r="M1879" s="300">
        <v>1.0</v>
      </c>
      <c r="N1879" s="300">
        <v>8.0</v>
      </c>
      <c r="O1879" s="300" t="s">
        <v>880</v>
      </c>
      <c r="P1879" s="300">
        <v>5.0</v>
      </c>
    </row>
    <row r="1880">
      <c r="A1880">
        <f>IFERROR(__xludf.DUMMYFUNCTION("""COMPUTED_VALUE"""),11.0)</f>
        <v>11</v>
      </c>
      <c r="B1880" s="406">
        <f>IFERROR(__xludf.DUMMYFUNCTION("""COMPUTED_VALUE"""),27113.0)</f>
        <v>27113</v>
      </c>
      <c r="C1880" t="str">
        <f>IFERROR(__xludf.DUMMYFUNCTION("""COMPUTED_VALUE"""),"TORO LOPERA, VIOLETA")</f>
        <v>TORO LOPERA, VIOLETA</v>
      </c>
      <c r="D1880" t="str">
        <f>IFERROR(__xludf.DUMMYFUNCTION("""COMPUTED_VALUE"""),"AP Physics 1")</f>
        <v>AP Physics 1</v>
      </c>
      <c r="E1880" s="3">
        <f>IFERROR(__xludf.DUMMYFUNCTION("""COMPUTED_VALUE"""),1.0)</f>
        <v>1</v>
      </c>
      <c r="F1880" s="300">
        <v>1.0</v>
      </c>
      <c r="G1880" s="300">
        <v>1.0</v>
      </c>
      <c r="H1880" s="300">
        <v>1.0</v>
      </c>
      <c r="I1880" s="300">
        <v>1.0</v>
      </c>
      <c r="J1880" s="300">
        <v>1.0</v>
      </c>
      <c r="K1880" s="300">
        <v>1.0</v>
      </c>
      <c r="L1880" s="300">
        <v>1.0</v>
      </c>
      <c r="M1880" s="300">
        <v>1.0</v>
      </c>
      <c r="N1880" s="300">
        <v>8.0</v>
      </c>
      <c r="O1880" s="300" t="s">
        <v>882</v>
      </c>
      <c r="P1880" s="300">
        <v>1.0</v>
      </c>
    </row>
    <row r="1881">
      <c r="A1881">
        <f>IFERROR(__xludf.DUMMYFUNCTION("""COMPUTED_VALUE"""),11.0)</f>
        <v>11</v>
      </c>
      <c r="B1881" s="406">
        <f>IFERROR(__xludf.DUMMYFUNCTION("""COMPUTED_VALUE"""),27042.0)</f>
        <v>27042</v>
      </c>
      <c r="C1881" t="str">
        <f>IFERROR(__xludf.DUMMYFUNCTION("""COMPUTED_VALUE"""),"BONILLA NAVARRO, SOFIA")</f>
        <v>BONILLA NAVARRO, SOFIA</v>
      </c>
      <c r="D1881" t="str">
        <f>IFERROR(__xludf.DUMMYFUNCTION("""COMPUTED_VALUE"""),"Physics")</f>
        <v>Physics</v>
      </c>
      <c r="E1881" s="3">
        <f>IFERROR(__xludf.DUMMYFUNCTION("""COMPUTED_VALUE"""),2.0)</f>
        <v>2</v>
      </c>
      <c r="F1881" s="300">
        <v>1.0</v>
      </c>
      <c r="G1881" s="300">
        <v>1.0</v>
      </c>
      <c r="H1881" s="300">
        <v>1.0</v>
      </c>
      <c r="I1881" s="300">
        <v>1.0</v>
      </c>
      <c r="J1881" s="300">
        <v>1.0</v>
      </c>
      <c r="K1881" s="300">
        <v>1.0</v>
      </c>
      <c r="L1881" s="300">
        <v>1.0</v>
      </c>
      <c r="M1881" s="300">
        <v>1.0</v>
      </c>
      <c r="N1881" s="300">
        <v>8.0</v>
      </c>
      <c r="O1881" s="300" t="s">
        <v>881</v>
      </c>
      <c r="P1881" s="300">
        <v>5.0</v>
      </c>
    </row>
    <row r="1882">
      <c r="A1882">
        <f>IFERROR(__xludf.DUMMYFUNCTION("""COMPUTED_VALUE"""),11.0)</f>
        <v>11</v>
      </c>
      <c r="B1882" s="406">
        <f>IFERROR(__xludf.DUMMYFUNCTION("""COMPUTED_VALUE"""),27105.0)</f>
        <v>27105</v>
      </c>
      <c r="C1882" t="str">
        <f>IFERROR(__xludf.DUMMYFUNCTION("""COMPUTED_VALUE"""),"SANCHEZ GONZALEZ, SARA")</f>
        <v>SANCHEZ GONZALEZ, SARA</v>
      </c>
      <c r="D1882" t="str">
        <f>IFERROR(__xludf.DUMMYFUNCTION("""COMPUTED_VALUE"""),"Physics")</f>
        <v>Physics</v>
      </c>
      <c r="E1882" s="3">
        <f>IFERROR(__xludf.DUMMYFUNCTION("""COMPUTED_VALUE"""),2.0)</f>
        <v>2</v>
      </c>
      <c r="F1882" s="300">
        <v>1.0</v>
      </c>
      <c r="G1882" s="300">
        <v>1.0</v>
      </c>
      <c r="H1882" s="300">
        <v>1.0</v>
      </c>
      <c r="I1882" s="300">
        <v>1.0</v>
      </c>
      <c r="J1882" s="300">
        <v>1.0</v>
      </c>
      <c r="K1882" s="300">
        <v>1.0</v>
      </c>
      <c r="L1882" s="300">
        <v>1.0</v>
      </c>
      <c r="M1882" s="300">
        <v>1.0</v>
      </c>
      <c r="N1882" s="300">
        <v>8.0</v>
      </c>
      <c r="O1882" s="300" t="s">
        <v>881</v>
      </c>
      <c r="P1882" s="300">
        <v>5.0</v>
      </c>
    </row>
    <row r="1883">
      <c r="A1883">
        <f>IFERROR(__xludf.DUMMYFUNCTION("""COMPUTED_VALUE"""),11.0)</f>
        <v>11</v>
      </c>
      <c r="B1883" s="406">
        <f>IFERROR(__xludf.DUMMYFUNCTION("""COMPUTED_VALUE"""),27035.0)</f>
        <v>27035</v>
      </c>
      <c r="C1883" t="str">
        <f>IFERROR(__xludf.DUMMYFUNCTION("""COMPUTED_VALUE"""),"FERNANDEZ CALDERON, PABLO")</f>
        <v>FERNANDEZ CALDERON, PABLO</v>
      </c>
      <c r="D1883" t="str">
        <f>IFERROR(__xludf.DUMMYFUNCTION("""COMPUTED_VALUE"""),"Physics")</f>
        <v>Physics</v>
      </c>
      <c r="E1883" s="3">
        <f>IFERROR(__xludf.DUMMYFUNCTION("""COMPUTED_VALUE"""),2.0)</f>
        <v>2</v>
      </c>
      <c r="F1883" s="300">
        <v>1.0</v>
      </c>
      <c r="G1883" s="300">
        <v>1.0</v>
      </c>
      <c r="H1883" s="300">
        <v>1.0</v>
      </c>
      <c r="I1883" s="300">
        <v>1.0</v>
      </c>
      <c r="J1883" s="300">
        <v>1.0</v>
      </c>
      <c r="K1883" s="300">
        <v>1.0</v>
      </c>
      <c r="L1883" s="300">
        <v>1.0</v>
      </c>
      <c r="M1883" s="300">
        <v>1.0</v>
      </c>
      <c r="N1883" s="300">
        <v>8.0</v>
      </c>
      <c r="O1883" s="300" t="s">
        <v>881</v>
      </c>
      <c r="P1883" s="300">
        <v>5.0</v>
      </c>
    </row>
    <row r="1884">
      <c r="A1884">
        <f>IFERROR(__xludf.DUMMYFUNCTION("""COMPUTED_VALUE"""),11.0)</f>
        <v>11</v>
      </c>
      <c r="B1884" s="406">
        <f>IFERROR(__xludf.DUMMYFUNCTION("""COMPUTED_VALUE"""),27085.0)</f>
        <v>27085</v>
      </c>
      <c r="C1884" t="str">
        <f>IFERROR(__xludf.DUMMYFUNCTION("""COMPUTED_VALUE"""),"PEREZ ALVARADO, EMILIO")</f>
        <v>PEREZ ALVARADO, EMILIO</v>
      </c>
      <c r="D1884" t="str">
        <f>IFERROR(__xludf.DUMMYFUNCTION("""COMPUTED_VALUE"""),"Physics")</f>
        <v>Physics</v>
      </c>
      <c r="E1884" s="3">
        <f>IFERROR(__xludf.DUMMYFUNCTION("""COMPUTED_VALUE"""),2.0)</f>
        <v>2</v>
      </c>
      <c r="F1884" s="300">
        <v>1.0</v>
      </c>
      <c r="G1884" s="300">
        <v>1.0</v>
      </c>
      <c r="H1884" s="300">
        <v>1.0</v>
      </c>
      <c r="I1884" s="300">
        <v>1.0</v>
      </c>
      <c r="J1884" s="300">
        <v>1.0</v>
      </c>
      <c r="K1884" s="300">
        <v>1.0</v>
      </c>
      <c r="L1884" s="300">
        <v>1.0</v>
      </c>
      <c r="M1884" s="300">
        <v>1.0</v>
      </c>
      <c r="N1884" s="300">
        <v>8.0</v>
      </c>
      <c r="O1884" s="300" t="s">
        <v>881</v>
      </c>
      <c r="P1884" s="300">
        <v>5.0</v>
      </c>
    </row>
    <row r="1885">
      <c r="A1885">
        <f>IFERROR(__xludf.DUMMYFUNCTION("""COMPUTED_VALUE"""),11.0)</f>
        <v>11</v>
      </c>
      <c r="B1885" s="406">
        <f>IFERROR(__xludf.DUMMYFUNCTION("""COMPUTED_VALUE"""),27054.0)</f>
        <v>27054</v>
      </c>
      <c r="C1885" t="str">
        <f>IFERROR(__xludf.DUMMYFUNCTION("""COMPUTED_VALUE"""),"JARAMILLO PELAEZ, VIOLETA")</f>
        <v>JARAMILLO PELAEZ, VIOLETA</v>
      </c>
      <c r="D1885" t="str">
        <f>IFERROR(__xludf.DUMMYFUNCTION("""COMPUTED_VALUE"""),"Physics")</f>
        <v>Physics</v>
      </c>
      <c r="E1885" s="3">
        <f>IFERROR(__xludf.DUMMYFUNCTION("""COMPUTED_VALUE"""),5.0)</f>
        <v>5</v>
      </c>
      <c r="F1885" s="300">
        <v>1.0</v>
      </c>
      <c r="G1885" s="300">
        <v>1.0</v>
      </c>
      <c r="H1885" s="300">
        <v>1.0</v>
      </c>
      <c r="I1885" s="300">
        <v>1.0</v>
      </c>
      <c r="J1885" s="300">
        <v>1.0</v>
      </c>
      <c r="K1885" s="300">
        <v>1.0</v>
      </c>
      <c r="L1885" s="300">
        <v>1.0</v>
      </c>
      <c r="M1885" s="300">
        <v>1.0</v>
      </c>
      <c r="N1885" s="300">
        <v>8.0</v>
      </c>
      <c r="O1885" s="300" t="s">
        <v>885</v>
      </c>
      <c r="P1885" s="300">
        <v>5.0</v>
      </c>
    </row>
    <row r="1886">
      <c r="A1886">
        <f>IFERROR(__xludf.DUMMYFUNCTION("""COMPUTED_VALUE"""),11.0)</f>
        <v>11</v>
      </c>
      <c r="B1886" s="406">
        <f>IFERROR(__xludf.DUMMYFUNCTION("""COMPUTED_VALUE"""),27053.0)</f>
        <v>27053</v>
      </c>
      <c r="C1886" t="str">
        <f>IFERROR(__xludf.DUMMYFUNCTION("""COMPUTED_VALUE"""),"JARAMILLO PELAEZ, MARTINA")</f>
        <v>JARAMILLO PELAEZ, MARTINA</v>
      </c>
      <c r="D1886" t="str">
        <f>IFERROR(__xludf.DUMMYFUNCTION("""COMPUTED_VALUE"""),"Physics")</f>
        <v>Physics</v>
      </c>
      <c r="E1886" s="3">
        <f>IFERROR(__xludf.DUMMYFUNCTION("""COMPUTED_VALUE"""),7.0)</f>
        <v>7</v>
      </c>
      <c r="F1886" s="300">
        <v>1.0</v>
      </c>
      <c r="G1886" s="300">
        <v>1.0</v>
      </c>
      <c r="H1886" s="300">
        <v>1.0</v>
      </c>
      <c r="I1886" s="300">
        <v>1.0</v>
      </c>
      <c r="J1886" s="300">
        <v>1.0</v>
      </c>
      <c r="K1886" s="300">
        <v>1.0</v>
      </c>
      <c r="L1886" s="300">
        <v>1.0</v>
      </c>
      <c r="M1886" s="300">
        <v>1.0</v>
      </c>
      <c r="N1886" s="300">
        <v>8.0</v>
      </c>
      <c r="O1886" s="300" t="s">
        <v>884</v>
      </c>
      <c r="P1886" s="300">
        <v>5.0</v>
      </c>
    </row>
    <row r="1887">
      <c r="A1887">
        <f>IFERROR(__xludf.DUMMYFUNCTION("""COMPUTED_VALUE"""),11.0)</f>
        <v>11</v>
      </c>
      <c r="B1887" s="406">
        <f>IFERROR(__xludf.DUMMYFUNCTION("""COMPUTED_VALUE"""),26012.0)</f>
        <v>26012</v>
      </c>
      <c r="C1887" t="str">
        <f>IFERROR(__xludf.DUMMYFUNCTION("""COMPUTED_VALUE"""),"BAENA GIRALDO, AGUSTIN")</f>
        <v>BAENA GIRALDO, AGUSTIN</v>
      </c>
      <c r="D1887" t="str">
        <f>IFERROR(__xludf.DUMMYFUNCTION("""COMPUTED_VALUE"""),"Physics")</f>
        <v>Physics</v>
      </c>
      <c r="E1887" s="3">
        <f>IFERROR(__xludf.DUMMYFUNCTION("""COMPUTED_VALUE"""),5.0)</f>
        <v>5</v>
      </c>
      <c r="F1887" s="300">
        <v>1.0</v>
      </c>
      <c r="G1887" s="300">
        <v>1.0</v>
      </c>
      <c r="H1887" s="300">
        <v>1.0</v>
      </c>
      <c r="I1887" s="300">
        <v>1.0</v>
      </c>
      <c r="J1887" s="300">
        <v>1.0</v>
      </c>
      <c r="K1887" s="300">
        <v>1.0</v>
      </c>
      <c r="L1887" s="300">
        <v>1.0</v>
      </c>
      <c r="M1887" s="300">
        <v>1.0</v>
      </c>
      <c r="N1887" s="300">
        <v>8.0</v>
      </c>
      <c r="O1887" s="300" t="s">
        <v>885</v>
      </c>
      <c r="P1887" s="300">
        <v>5.0</v>
      </c>
    </row>
    <row r="1888">
      <c r="A1888">
        <f>IFERROR(__xludf.DUMMYFUNCTION("""COMPUTED_VALUE"""),11.0)</f>
        <v>11</v>
      </c>
      <c r="B1888" s="406">
        <f>IFERROR(__xludf.DUMMYFUNCTION("""COMPUTED_VALUE"""),27022.0)</f>
        <v>27022</v>
      </c>
      <c r="C1888" t="str">
        <f>IFERROR(__xludf.DUMMYFUNCTION("""COMPUTED_VALUE"""),"CARDONA GIRALDO, MATHIAS")</f>
        <v>CARDONA GIRALDO, MATHIAS</v>
      </c>
      <c r="D1888" t="str">
        <f>IFERROR(__xludf.DUMMYFUNCTION("""COMPUTED_VALUE"""),"Physics")</f>
        <v>Physics</v>
      </c>
      <c r="E1888" s="3">
        <f>IFERROR(__xludf.DUMMYFUNCTION("""COMPUTED_VALUE"""),7.0)</f>
        <v>7</v>
      </c>
      <c r="F1888" s="300">
        <v>1.0</v>
      </c>
      <c r="G1888" s="300">
        <v>1.0</v>
      </c>
      <c r="H1888" s="300">
        <v>1.0</v>
      </c>
      <c r="I1888" s="300">
        <v>1.0</v>
      </c>
      <c r="J1888" s="300">
        <v>1.0</v>
      </c>
      <c r="K1888" s="300">
        <v>1.0</v>
      </c>
      <c r="L1888" s="300">
        <v>1.0</v>
      </c>
      <c r="M1888" s="300">
        <v>1.0</v>
      </c>
      <c r="N1888" s="300">
        <v>8.0</v>
      </c>
      <c r="O1888" s="300" t="s">
        <v>884</v>
      </c>
      <c r="P1888" s="300">
        <v>5.0</v>
      </c>
    </row>
    <row r="1889">
      <c r="A1889">
        <f>IFERROR(__xludf.DUMMYFUNCTION("""COMPUTED_VALUE"""),11.0)</f>
        <v>11</v>
      </c>
      <c r="B1889" s="406">
        <f>IFERROR(__xludf.DUMMYFUNCTION("""COMPUTED_VALUE"""),27071.0)</f>
        <v>27071</v>
      </c>
      <c r="C1889" t="str">
        <f>IFERROR(__xludf.DUMMYFUNCTION("""COMPUTED_VALUE"""),"MONSALVE LOPERA, FEDERICO")</f>
        <v>MONSALVE LOPERA, FEDERICO</v>
      </c>
      <c r="D1889" t="str">
        <f>IFERROR(__xludf.DUMMYFUNCTION("""COMPUTED_VALUE"""),"Physics")</f>
        <v>Physics</v>
      </c>
      <c r="E1889" s="3">
        <f>IFERROR(__xludf.DUMMYFUNCTION("""COMPUTED_VALUE"""),1.0)</f>
        <v>1</v>
      </c>
      <c r="F1889" s="300">
        <v>1.0</v>
      </c>
      <c r="G1889" s="300">
        <v>1.0</v>
      </c>
      <c r="H1889" s="300">
        <v>1.0</v>
      </c>
      <c r="I1889" s="300">
        <v>1.0</v>
      </c>
      <c r="J1889" s="300">
        <v>1.0</v>
      </c>
      <c r="K1889" s="300">
        <v>1.0</v>
      </c>
      <c r="L1889" s="300">
        <v>1.0</v>
      </c>
      <c r="M1889" s="300">
        <v>1.0</v>
      </c>
      <c r="N1889" s="300">
        <v>8.0</v>
      </c>
      <c r="O1889" s="300" t="s">
        <v>880</v>
      </c>
      <c r="P1889" s="300">
        <v>5.0</v>
      </c>
    </row>
    <row r="1890">
      <c r="A1890">
        <f>IFERROR(__xludf.DUMMYFUNCTION("""COMPUTED_VALUE"""),11.0)</f>
        <v>11</v>
      </c>
      <c r="B1890" s="406">
        <f>IFERROR(__xludf.DUMMYFUNCTION("""COMPUTED_VALUE"""),27006.0)</f>
        <v>27006</v>
      </c>
      <c r="C1890" t="str">
        <f>IFERROR(__xludf.DUMMYFUNCTION("""COMPUTED_VALUE"""),"ARANGO RUBIO, MIGUEL")</f>
        <v>ARANGO RUBIO, MIGUEL</v>
      </c>
      <c r="D1890" t="str">
        <f>IFERROR(__xludf.DUMMYFUNCTION("""COMPUTED_VALUE"""),"Physics")</f>
        <v>Physics</v>
      </c>
      <c r="E1890" s="3">
        <f>IFERROR(__xludf.DUMMYFUNCTION("""COMPUTED_VALUE"""),1.0)</f>
        <v>1</v>
      </c>
      <c r="F1890" s="300">
        <v>1.0</v>
      </c>
      <c r="G1890" s="300">
        <v>1.0</v>
      </c>
      <c r="H1890" s="300">
        <v>1.0</v>
      </c>
      <c r="I1890" s="300">
        <v>1.0</v>
      </c>
      <c r="J1890" s="300">
        <v>1.0</v>
      </c>
      <c r="K1890" s="300">
        <v>1.0</v>
      </c>
      <c r="L1890" s="300">
        <v>1.0</v>
      </c>
      <c r="M1890" s="300">
        <v>1.0</v>
      </c>
      <c r="N1890" s="300">
        <v>8.0</v>
      </c>
      <c r="O1890" s="300" t="s">
        <v>880</v>
      </c>
      <c r="P1890" s="300">
        <v>5.0</v>
      </c>
    </row>
    <row r="1891">
      <c r="A1891">
        <f>IFERROR(__xludf.DUMMYFUNCTION("""COMPUTED_VALUE"""),11.0)</f>
        <v>11</v>
      </c>
      <c r="B1891" s="406">
        <f>IFERROR(__xludf.DUMMYFUNCTION("""COMPUTED_VALUE"""),27101.0)</f>
        <v>27101</v>
      </c>
      <c r="C1891" t="str">
        <f>IFERROR(__xludf.DUMMYFUNCTION("""COMPUTED_VALUE"""),"RUIZ ROLDAN, PABLO")</f>
        <v>RUIZ ROLDAN, PABLO</v>
      </c>
      <c r="D1891" t="str">
        <f>IFERROR(__xludf.DUMMYFUNCTION("""COMPUTED_VALUE"""),"AP Physics 1")</f>
        <v>AP Physics 1</v>
      </c>
      <c r="E1891" s="3">
        <f>IFERROR(__xludf.DUMMYFUNCTION("""COMPUTED_VALUE"""),1.0)</f>
        <v>1</v>
      </c>
      <c r="F1891" s="300">
        <v>1.0</v>
      </c>
      <c r="G1891" s="300">
        <v>1.0</v>
      </c>
      <c r="H1891" s="300">
        <v>1.0</v>
      </c>
      <c r="I1891" s="300">
        <v>1.0</v>
      </c>
      <c r="J1891" s="300">
        <v>1.0</v>
      </c>
      <c r="K1891" s="300">
        <v>1.0</v>
      </c>
      <c r="L1891" s="300">
        <v>1.0</v>
      </c>
      <c r="M1891" s="300">
        <v>1.0</v>
      </c>
      <c r="N1891" s="300">
        <v>8.0</v>
      </c>
      <c r="O1891" s="300" t="s">
        <v>882</v>
      </c>
      <c r="P1891" s="300">
        <v>1.0</v>
      </c>
    </row>
    <row r="1892">
      <c r="A1892">
        <f>IFERROR(__xludf.DUMMYFUNCTION("""COMPUTED_VALUE"""),11.0)</f>
        <v>11</v>
      </c>
      <c r="B1892" s="406">
        <f>IFERROR(__xludf.DUMMYFUNCTION("""COMPUTED_VALUE"""),27046.0)</f>
        <v>27046</v>
      </c>
      <c r="C1892" t="str">
        <f>IFERROR(__xludf.DUMMYFUNCTION("""COMPUTED_VALUE"""),"GOMEZ TRUJILLO, MIGUEL")</f>
        <v>GOMEZ TRUJILLO, MIGUEL</v>
      </c>
      <c r="D1892" t="str">
        <f>IFERROR(__xludf.DUMMYFUNCTION("""COMPUTED_VALUE"""),"Physics")</f>
        <v>Physics</v>
      </c>
      <c r="E1892" s="3">
        <f>IFERROR(__xludf.DUMMYFUNCTION("""COMPUTED_VALUE"""),5.0)</f>
        <v>5</v>
      </c>
      <c r="F1892" s="300">
        <v>1.0</v>
      </c>
      <c r="G1892" s="300">
        <v>1.0</v>
      </c>
      <c r="H1892" s="300">
        <v>1.0</v>
      </c>
      <c r="I1892" s="300">
        <v>1.0</v>
      </c>
      <c r="J1892" s="300">
        <v>1.0</v>
      </c>
      <c r="K1892" s="300">
        <v>1.0</v>
      </c>
      <c r="L1892" s="300">
        <v>1.0</v>
      </c>
      <c r="M1892" s="300">
        <v>1.0</v>
      </c>
      <c r="N1892" s="300">
        <v>8.0</v>
      </c>
      <c r="O1892" s="300" t="s">
        <v>885</v>
      </c>
      <c r="P1892" s="300">
        <v>5.0</v>
      </c>
    </row>
    <row r="1893">
      <c r="A1893">
        <f>IFERROR(__xludf.DUMMYFUNCTION("""COMPUTED_VALUE"""),11.0)</f>
        <v>11</v>
      </c>
      <c r="B1893" s="406">
        <f>IFERROR(__xludf.DUMMYFUNCTION("""COMPUTED_VALUE"""),27151.0)</f>
        <v>27151</v>
      </c>
      <c r="C1893" t="str">
        <f>IFERROR(__xludf.DUMMYFUNCTION("""COMPUTED_VALUE"""),"RANNI, FABRIZIO")</f>
        <v>RANNI, FABRIZIO</v>
      </c>
      <c r="D1893" t="str">
        <f>IFERROR(__xludf.DUMMYFUNCTION("""COMPUTED_VALUE"""),"AP Physics 1")</f>
        <v>AP Physics 1</v>
      </c>
      <c r="E1893" s="3">
        <f>IFERROR(__xludf.DUMMYFUNCTION("""COMPUTED_VALUE"""),1.0)</f>
        <v>1</v>
      </c>
      <c r="F1893" s="300">
        <v>1.0</v>
      </c>
      <c r="G1893" s="300">
        <v>1.0</v>
      </c>
      <c r="H1893" s="300">
        <v>1.0</v>
      </c>
      <c r="I1893" s="300">
        <v>1.0</v>
      </c>
      <c r="J1893" s="300">
        <v>1.0</v>
      </c>
      <c r="K1893" s="300">
        <v>1.0</v>
      </c>
      <c r="L1893" s="300">
        <v>1.0</v>
      </c>
      <c r="M1893" s="300">
        <v>1.0</v>
      </c>
      <c r="N1893" s="300">
        <v>8.0</v>
      </c>
      <c r="O1893" s="300" t="s">
        <v>882</v>
      </c>
      <c r="P1893" s="300">
        <v>1.0</v>
      </c>
    </row>
    <row r="1894">
      <c r="A1894">
        <f>IFERROR(__xludf.DUMMYFUNCTION("""COMPUTED_VALUE"""),11.0)</f>
        <v>11</v>
      </c>
      <c r="B1894" s="406">
        <f>IFERROR(__xludf.DUMMYFUNCTION("""COMPUTED_VALUE"""),27081.0)</f>
        <v>27081</v>
      </c>
      <c r="C1894" t="str">
        <f>IFERROR(__xludf.DUMMYFUNCTION("""COMPUTED_VALUE"""),"OSPINA ESCOBAR, GABRIEL")</f>
        <v>OSPINA ESCOBAR, GABRIEL</v>
      </c>
      <c r="D1894" t="str">
        <f>IFERROR(__xludf.DUMMYFUNCTION("""COMPUTED_VALUE"""),"AP Physics 1")</f>
        <v>AP Physics 1</v>
      </c>
      <c r="E1894" s="3">
        <f>IFERROR(__xludf.DUMMYFUNCTION("""COMPUTED_VALUE"""),1.0)</f>
        <v>1</v>
      </c>
      <c r="F1894" s="300">
        <v>1.0</v>
      </c>
      <c r="G1894" s="300">
        <v>1.0</v>
      </c>
      <c r="H1894" s="300">
        <v>1.0</v>
      </c>
      <c r="I1894" s="300">
        <v>1.0</v>
      </c>
      <c r="J1894" s="300">
        <v>1.0</v>
      </c>
      <c r="K1894" s="300">
        <v>1.0</v>
      </c>
      <c r="L1894" s="300">
        <v>1.0</v>
      </c>
      <c r="M1894" s="300">
        <v>1.0</v>
      </c>
      <c r="N1894" s="300">
        <v>8.0</v>
      </c>
      <c r="O1894" s="300" t="s">
        <v>882</v>
      </c>
      <c r="P1894" s="300">
        <v>1.0</v>
      </c>
    </row>
    <row r="1895">
      <c r="A1895">
        <f>IFERROR(__xludf.DUMMYFUNCTION("""COMPUTED_VALUE"""),11.0)</f>
        <v>11</v>
      </c>
      <c r="B1895" s="406">
        <f>IFERROR(__xludf.DUMMYFUNCTION("""COMPUTED_VALUE"""),26154.0)</f>
        <v>26154</v>
      </c>
      <c r="C1895" t="str">
        <f>IFERROR(__xludf.DUMMYFUNCTION("""COMPUTED_VALUE"""),"GARRIDO TAMAYO, NICOLAS")</f>
        <v>GARRIDO TAMAYO, NICOLAS</v>
      </c>
      <c r="D1895" t="str">
        <f>IFERROR(__xludf.DUMMYFUNCTION("""COMPUTED_VALUE"""),"Physics")</f>
        <v>Physics</v>
      </c>
      <c r="E1895" s="3">
        <f>IFERROR(__xludf.DUMMYFUNCTION("""COMPUTED_VALUE"""),2.0)</f>
        <v>2</v>
      </c>
      <c r="F1895" s="300">
        <v>1.0</v>
      </c>
      <c r="G1895" s="300">
        <v>1.0</v>
      </c>
      <c r="H1895" s="300">
        <v>1.0</v>
      </c>
      <c r="I1895" s="300">
        <v>1.0</v>
      </c>
      <c r="J1895" s="300">
        <v>1.0</v>
      </c>
      <c r="K1895" s="300">
        <v>1.0</v>
      </c>
      <c r="L1895" s="300">
        <v>1.0</v>
      </c>
      <c r="M1895" s="300">
        <v>1.0</v>
      </c>
      <c r="N1895" s="300">
        <v>8.0</v>
      </c>
      <c r="O1895" s="300" t="s">
        <v>881</v>
      </c>
      <c r="P1895" s="300">
        <v>5.0</v>
      </c>
    </row>
    <row r="1896">
      <c r="A1896">
        <f>IFERROR(__xludf.DUMMYFUNCTION("""COMPUTED_VALUE"""),11.0)</f>
        <v>11</v>
      </c>
      <c r="B1896" s="406">
        <f>IFERROR(__xludf.DUMMYFUNCTION("""COMPUTED_VALUE"""),27040.0)</f>
        <v>27040</v>
      </c>
      <c r="C1896" t="str">
        <f>IFERROR(__xludf.DUMMYFUNCTION("""COMPUTED_VALUE"""),"GALLON MUÑOZ, VIOLETA")</f>
        <v>GALLON MUÑOZ, VIOLETA</v>
      </c>
      <c r="D1896" t="str">
        <f>IFERROR(__xludf.DUMMYFUNCTION("""COMPUTED_VALUE"""),"Physics")</f>
        <v>Physics</v>
      </c>
      <c r="E1896" s="3">
        <f>IFERROR(__xludf.DUMMYFUNCTION("""COMPUTED_VALUE"""),1.0)</f>
        <v>1</v>
      </c>
      <c r="F1896" s="300">
        <v>1.0</v>
      </c>
      <c r="G1896" s="300">
        <v>1.0</v>
      </c>
      <c r="H1896" s="300">
        <v>1.0</v>
      </c>
      <c r="I1896" s="300">
        <v>1.0</v>
      </c>
      <c r="J1896" s="300">
        <v>1.0</v>
      </c>
      <c r="K1896" s="300">
        <v>1.0</v>
      </c>
      <c r="L1896" s="300">
        <v>1.0</v>
      </c>
      <c r="M1896" s="300">
        <v>1.0</v>
      </c>
      <c r="N1896" s="300">
        <v>8.0</v>
      </c>
      <c r="O1896" s="300" t="s">
        <v>880</v>
      </c>
      <c r="P1896" s="300">
        <v>5.0</v>
      </c>
    </row>
    <row r="1897">
      <c r="A1897">
        <f>IFERROR(__xludf.DUMMYFUNCTION("""COMPUTED_VALUE"""),11.0)</f>
        <v>11</v>
      </c>
      <c r="B1897" s="406">
        <f>IFERROR(__xludf.DUMMYFUNCTION("""COMPUTED_VALUE"""),27093.0)</f>
        <v>27093</v>
      </c>
      <c r="C1897" t="str">
        <f>IFERROR(__xludf.DUMMYFUNCTION("""COMPUTED_VALUE"""),"RADA ECHANDIA, CAMILA")</f>
        <v>RADA ECHANDIA, CAMILA</v>
      </c>
      <c r="D1897" t="str">
        <f>IFERROR(__xludf.DUMMYFUNCTION("""COMPUTED_VALUE"""),"Physics")</f>
        <v>Physics</v>
      </c>
      <c r="E1897" s="3">
        <f>IFERROR(__xludf.DUMMYFUNCTION("""COMPUTED_VALUE"""),1.0)</f>
        <v>1</v>
      </c>
      <c r="F1897" s="300">
        <v>1.0</v>
      </c>
      <c r="G1897" s="300">
        <v>1.0</v>
      </c>
      <c r="H1897" s="300">
        <v>1.0</v>
      </c>
      <c r="I1897" s="300">
        <v>1.0</v>
      </c>
      <c r="J1897" s="300">
        <v>1.0</v>
      </c>
      <c r="K1897" s="300">
        <v>1.0</v>
      </c>
      <c r="L1897" s="300">
        <v>1.0</v>
      </c>
      <c r="M1897" s="300">
        <v>1.0</v>
      </c>
      <c r="N1897" s="300">
        <v>8.0</v>
      </c>
      <c r="O1897" s="300" t="s">
        <v>880</v>
      </c>
      <c r="P1897" s="300">
        <v>5.0</v>
      </c>
    </row>
    <row r="1898">
      <c r="A1898">
        <f>IFERROR(__xludf.DUMMYFUNCTION("""COMPUTED_VALUE"""),11.0)</f>
        <v>11</v>
      </c>
      <c r="B1898" s="406">
        <f>IFERROR(__xludf.DUMMYFUNCTION("""COMPUTED_VALUE"""),27112.0)</f>
        <v>27112</v>
      </c>
      <c r="C1898" t="str">
        <f>IFERROR(__xludf.DUMMYFUNCTION("""COMPUTED_VALUE"""),"TOBON RESTREPO, NICOLAS")</f>
        <v>TOBON RESTREPO, NICOLAS</v>
      </c>
      <c r="D1898" t="str">
        <f>IFERROR(__xludf.DUMMYFUNCTION("""COMPUTED_VALUE"""),"Physics")</f>
        <v>Physics</v>
      </c>
      <c r="E1898" s="3">
        <f>IFERROR(__xludf.DUMMYFUNCTION("""COMPUTED_VALUE"""),8.0)</f>
        <v>8</v>
      </c>
      <c r="F1898" s="300">
        <v>1.0</v>
      </c>
      <c r="G1898" s="300">
        <v>1.0</v>
      </c>
      <c r="H1898" s="300">
        <v>1.0</v>
      </c>
      <c r="I1898" s="300">
        <v>1.0</v>
      </c>
      <c r="J1898" s="300">
        <v>1.0</v>
      </c>
      <c r="K1898" s="300">
        <v>1.0</v>
      </c>
      <c r="L1898" s="300">
        <v>1.0</v>
      </c>
      <c r="M1898" s="300">
        <v>1.0</v>
      </c>
      <c r="N1898" s="300">
        <v>8.0</v>
      </c>
      <c r="O1898" s="300" t="s">
        <v>883</v>
      </c>
      <c r="P1898" s="300">
        <v>5.0</v>
      </c>
    </row>
    <row r="1899">
      <c r="A1899">
        <f>IFERROR(__xludf.DUMMYFUNCTION("""COMPUTED_VALUE"""),11.0)</f>
        <v>11</v>
      </c>
      <c r="B1899" s="406">
        <f>IFERROR(__xludf.DUMMYFUNCTION("""COMPUTED_VALUE"""),27083.0)</f>
        <v>27083</v>
      </c>
      <c r="C1899" t="str">
        <f>IFERROR(__xludf.DUMMYFUNCTION("""COMPUTED_VALUE"""),"PALACIO RUIZ, MATIAS")</f>
        <v>PALACIO RUIZ, MATIAS</v>
      </c>
      <c r="D1899" t="str">
        <f>IFERROR(__xludf.DUMMYFUNCTION("""COMPUTED_VALUE"""),"Physics")</f>
        <v>Physics</v>
      </c>
      <c r="E1899" s="3">
        <f>IFERROR(__xludf.DUMMYFUNCTION("""COMPUTED_VALUE"""),2.0)</f>
        <v>2</v>
      </c>
      <c r="F1899" s="300">
        <v>1.0</v>
      </c>
      <c r="G1899" s="300">
        <v>1.0</v>
      </c>
      <c r="H1899" s="300">
        <v>1.0</v>
      </c>
      <c r="I1899" s="300">
        <v>1.0</v>
      </c>
      <c r="J1899" s="300">
        <v>1.0</v>
      </c>
      <c r="K1899" s="300">
        <v>1.0</v>
      </c>
      <c r="L1899" s="300">
        <v>1.0</v>
      </c>
      <c r="M1899" s="300">
        <v>1.0</v>
      </c>
      <c r="N1899" s="300">
        <v>8.0</v>
      </c>
      <c r="O1899" s="300" t="s">
        <v>881</v>
      </c>
      <c r="P1899" s="300">
        <v>5.0</v>
      </c>
    </row>
    <row r="1900">
      <c r="A1900">
        <f>IFERROR(__xludf.DUMMYFUNCTION("""COMPUTED_VALUE"""),11.0)</f>
        <v>11</v>
      </c>
      <c r="B1900" s="406">
        <f>IFERROR(__xludf.DUMMYFUNCTION("""COMPUTED_VALUE"""),26041.0)</f>
        <v>26041</v>
      </c>
      <c r="C1900" t="str">
        <f>IFERROR(__xludf.DUMMYFUNCTION("""COMPUTED_VALUE"""),"GOMEZ VASQUEZ, SOFIA")</f>
        <v>GOMEZ VASQUEZ, SOFIA</v>
      </c>
      <c r="D1900" t="str">
        <f>IFERROR(__xludf.DUMMYFUNCTION("""COMPUTED_VALUE"""),"Physics")</f>
        <v>Physics</v>
      </c>
      <c r="E1900" s="3">
        <f>IFERROR(__xludf.DUMMYFUNCTION("""COMPUTED_VALUE"""),8.0)</f>
        <v>8</v>
      </c>
      <c r="F1900" s="300">
        <v>1.0</v>
      </c>
      <c r="G1900" s="300">
        <v>1.0</v>
      </c>
      <c r="H1900" s="300">
        <v>1.0</v>
      </c>
      <c r="I1900" s="300">
        <v>1.0</v>
      </c>
      <c r="J1900" s="300">
        <v>1.0</v>
      </c>
      <c r="K1900" s="300">
        <v>1.0</v>
      </c>
      <c r="L1900" s="300">
        <v>1.0</v>
      </c>
      <c r="M1900" s="300">
        <v>1.0</v>
      </c>
      <c r="N1900" s="300">
        <v>8.0</v>
      </c>
      <c r="O1900" s="300" t="s">
        <v>883</v>
      </c>
      <c r="P1900" s="300">
        <v>5.0</v>
      </c>
    </row>
    <row r="1901">
      <c r="A1901">
        <f>IFERROR(__xludf.DUMMYFUNCTION("""COMPUTED_VALUE"""),11.0)</f>
        <v>11</v>
      </c>
      <c r="B1901" s="406">
        <f>IFERROR(__xludf.DUMMYFUNCTION("""COMPUTED_VALUE"""),27092.0)</f>
        <v>27092</v>
      </c>
      <c r="C1901" t="str">
        <f>IFERROR(__xludf.DUMMYFUNCTION("""COMPUTED_VALUE"""),"PULGARIN HUERTAS, ELOISA")</f>
        <v>PULGARIN HUERTAS, ELOISA</v>
      </c>
      <c r="D1901" t="str">
        <f>IFERROR(__xludf.DUMMYFUNCTION("""COMPUTED_VALUE"""),"Physics")</f>
        <v>Physics</v>
      </c>
      <c r="E1901" s="3">
        <f>IFERROR(__xludf.DUMMYFUNCTION("""COMPUTED_VALUE"""),7.0)</f>
        <v>7</v>
      </c>
      <c r="F1901" s="300">
        <v>1.0</v>
      </c>
      <c r="G1901" s="300">
        <v>1.0</v>
      </c>
      <c r="H1901" s="300">
        <v>1.0</v>
      </c>
      <c r="I1901" s="300">
        <v>1.0</v>
      </c>
      <c r="J1901" s="300">
        <v>1.0</v>
      </c>
      <c r="K1901" s="300">
        <v>1.0</v>
      </c>
      <c r="L1901" s="300">
        <v>1.0</v>
      </c>
      <c r="M1901" s="300">
        <v>1.0</v>
      </c>
      <c r="N1901" s="300">
        <v>8.0</v>
      </c>
      <c r="O1901" s="300" t="s">
        <v>884</v>
      </c>
      <c r="P1901" s="300">
        <v>5.0</v>
      </c>
    </row>
    <row r="1902">
      <c r="A1902">
        <f>IFERROR(__xludf.DUMMYFUNCTION("""COMPUTED_VALUE"""),11.0)</f>
        <v>11</v>
      </c>
      <c r="B1902" s="406">
        <f>IFERROR(__xludf.DUMMYFUNCTION("""COMPUTED_VALUE"""),27055.0)</f>
        <v>27055</v>
      </c>
      <c r="C1902" t="str">
        <f>IFERROR(__xludf.DUMMYFUNCTION("""COMPUTED_VALUE"""),"JARAMILLO URIBE, EMILIANO")</f>
        <v>JARAMILLO URIBE, EMILIANO</v>
      </c>
      <c r="D1902" t="str">
        <f>IFERROR(__xludf.DUMMYFUNCTION("""COMPUTED_VALUE"""),"Physics")</f>
        <v>Physics</v>
      </c>
      <c r="E1902" s="3">
        <f>IFERROR(__xludf.DUMMYFUNCTION("""COMPUTED_VALUE"""),1.0)</f>
        <v>1</v>
      </c>
      <c r="F1902" s="300">
        <v>1.0</v>
      </c>
      <c r="G1902" s="300">
        <v>1.0</v>
      </c>
      <c r="H1902" s="300">
        <v>1.0</v>
      </c>
      <c r="I1902" s="300">
        <v>1.0</v>
      </c>
      <c r="J1902" s="300">
        <v>1.0</v>
      </c>
      <c r="K1902" s="300">
        <v>1.0</v>
      </c>
      <c r="L1902" s="300">
        <v>1.0</v>
      </c>
      <c r="M1902" s="300">
        <v>1.0</v>
      </c>
      <c r="N1902" s="300">
        <v>8.0</v>
      </c>
      <c r="O1902" s="300" t="s">
        <v>880</v>
      </c>
      <c r="P1902" s="300">
        <v>5.0</v>
      </c>
    </row>
    <row r="1903">
      <c r="A1903">
        <f>IFERROR(__xludf.DUMMYFUNCTION("""COMPUTED_VALUE"""),11.0)</f>
        <v>11</v>
      </c>
      <c r="B1903">
        <f>IFERROR(__xludf.DUMMYFUNCTION("""COMPUTED_VALUE"""),27162.0)</f>
        <v>27162</v>
      </c>
      <c r="C1903" t="str">
        <f>IFERROR(__xludf.DUMMYFUNCTION("""COMPUTED_VALUE"""),"SUTTON ROITER, JACQUES")</f>
        <v>SUTTON ROITER, JACQUES</v>
      </c>
      <c r="D1903" t="str">
        <f>IFERROR(__xludf.DUMMYFUNCTION("""COMPUTED_VALUE"""),"Physics")</f>
        <v>Physics</v>
      </c>
      <c r="E1903" s="3">
        <f>IFERROR(__xludf.DUMMYFUNCTION("""COMPUTED_VALUE"""),7.0)</f>
        <v>7</v>
      </c>
      <c r="F1903" s="300">
        <v>1.0</v>
      </c>
      <c r="G1903" s="300">
        <v>1.0</v>
      </c>
      <c r="H1903" s="300">
        <v>1.0</v>
      </c>
      <c r="I1903" s="300">
        <v>1.0</v>
      </c>
      <c r="J1903" s="300">
        <v>1.0</v>
      </c>
      <c r="K1903" s="300">
        <v>1.0</v>
      </c>
      <c r="L1903" s="300">
        <v>1.0</v>
      </c>
      <c r="M1903" s="300">
        <v>1.0</v>
      </c>
      <c r="N1903" s="300">
        <v>8.0</v>
      </c>
      <c r="O1903" s="300" t="s">
        <v>884</v>
      </c>
      <c r="P1903" s="300">
        <v>5.0</v>
      </c>
    </row>
    <row r="1904">
      <c r="A1904">
        <f>IFERROR(__xludf.DUMMYFUNCTION("""COMPUTED_VALUE"""),11.0)</f>
        <v>11</v>
      </c>
      <c r="B1904">
        <f>IFERROR(__xludf.DUMMYFUNCTION("""COMPUTED_VALUE"""),27090.0)</f>
        <v>27090</v>
      </c>
      <c r="C1904" t="str">
        <f>IFERROR(__xludf.DUMMYFUNCTION("""COMPUTED_VALUE"""),"PERTUZ MUNERA, LUCIANA")</f>
        <v>PERTUZ MUNERA, LUCIANA</v>
      </c>
      <c r="D1904" t="str">
        <f>IFERROR(__xludf.DUMMYFUNCTION("""COMPUTED_VALUE"""),"Physics")</f>
        <v>Physics</v>
      </c>
      <c r="E1904" s="3">
        <f>IFERROR(__xludf.DUMMYFUNCTION("""COMPUTED_VALUE"""),8.0)</f>
        <v>8</v>
      </c>
      <c r="F1904" s="300">
        <v>1.0</v>
      </c>
      <c r="G1904" s="300">
        <v>1.0</v>
      </c>
      <c r="H1904" s="300">
        <v>1.0</v>
      </c>
      <c r="I1904" s="300">
        <v>1.0</v>
      </c>
      <c r="J1904" s="300">
        <v>1.0</v>
      </c>
      <c r="K1904" s="300">
        <v>1.0</v>
      </c>
      <c r="L1904" s="300">
        <v>1.0</v>
      </c>
      <c r="M1904" s="300">
        <v>1.0</v>
      </c>
      <c r="N1904" s="300">
        <v>8.0</v>
      </c>
      <c r="O1904" s="300" t="s">
        <v>883</v>
      </c>
      <c r="P1904" s="300">
        <v>5.0</v>
      </c>
    </row>
    <row r="1905">
      <c r="A1905">
        <f>IFERROR(__xludf.DUMMYFUNCTION("""COMPUTED_VALUE"""),11.0)</f>
        <v>11</v>
      </c>
      <c r="B1905">
        <f>IFERROR(__xludf.DUMMYFUNCTION("""COMPUTED_VALUE"""),27120.0)</f>
        <v>27120</v>
      </c>
      <c r="C1905" t="str">
        <f>IFERROR(__xludf.DUMMYFUNCTION("""COMPUTED_VALUE"""),"VARGAS ARBOLEDA, AMALIA")</f>
        <v>VARGAS ARBOLEDA, AMALIA</v>
      </c>
      <c r="D1905" t="str">
        <f>IFERROR(__xludf.DUMMYFUNCTION("""COMPUTED_VALUE"""),"Physics")</f>
        <v>Physics</v>
      </c>
      <c r="E1905" s="3">
        <f>IFERROR(__xludf.DUMMYFUNCTION("""COMPUTED_VALUE"""),1.0)</f>
        <v>1</v>
      </c>
      <c r="F1905" s="300">
        <v>1.0</v>
      </c>
      <c r="G1905" s="300">
        <v>1.0</v>
      </c>
      <c r="H1905" s="300">
        <v>1.0</v>
      </c>
      <c r="I1905" s="300">
        <v>1.0</v>
      </c>
      <c r="J1905" s="300">
        <v>1.0</v>
      </c>
      <c r="K1905" s="300">
        <v>1.0</v>
      </c>
      <c r="L1905" s="300">
        <v>1.0</v>
      </c>
      <c r="M1905" s="300">
        <v>1.0</v>
      </c>
      <c r="N1905" s="300">
        <v>8.0</v>
      </c>
      <c r="O1905" s="300" t="s">
        <v>880</v>
      </c>
      <c r="P1905" s="300">
        <v>5.0</v>
      </c>
    </row>
    <row r="1906">
      <c r="A1906">
        <f>IFERROR(__xludf.DUMMYFUNCTION("""COMPUTED_VALUE"""),11.0)</f>
        <v>11</v>
      </c>
      <c r="B1906">
        <f>IFERROR(__xludf.DUMMYFUNCTION("""COMPUTED_VALUE"""),27103.0)</f>
        <v>27103</v>
      </c>
      <c r="C1906" t="str">
        <f>IFERROR(__xludf.DUMMYFUNCTION("""COMPUTED_VALUE"""),"SANCHEZ DIAZ, TOMAS")</f>
        <v>SANCHEZ DIAZ, TOMAS</v>
      </c>
      <c r="D1906" t="str">
        <f>IFERROR(__xludf.DUMMYFUNCTION("""COMPUTED_VALUE"""),"Physics")</f>
        <v>Physics</v>
      </c>
      <c r="E1906" s="3">
        <f>IFERROR(__xludf.DUMMYFUNCTION("""COMPUTED_VALUE"""),8.0)</f>
        <v>8</v>
      </c>
      <c r="F1906" s="300">
        <v>1.0</v>
      </c>
      <c r="G1906" s="300">
        <v>1.0</v>
      </c>
      <c r="H1906" s="300">
        <v>1.0</v>
      </c>
      <c r="I1906" s="300">
        <v>1.0</v>
      </c>
      <c r="J1906" s="300">
        <v>1.0</v>
      </c>
      <c r="K1906" s="300">
        <v>1.0</v>
      </c>
      <c r="L1906" s="300">
        <v>1.0</v>
      </c>
      <c r="M1906" s="300">
        <v>1.0</v>
      </c>
      <c r="N1906" s="300">
        <v>8.0</v>
      </c>
      <c r="O1906" s="300" t="s">
        <v>883</v>
      </c>
      <c r="P1906" s="300">
        <v>5.0</v>
      </c>
    </row>
    <row r="1907">
      <c r="A1907">
        <f>IFERROR(__xludf.DUMMYFUNCTION("""COMPUTED_VALUE"""),11.0)</f>
        <v>11</v>
      </c>
      <c r="B1907">
        <f>IFERROR(__xludf.DUMMYFUNCTION("""COMPUTED_VALUE"""),27003.0)</f>
        <v>27003</v>
      </c>
      <c r="C1907" t="str">
        <f>IFERROR(__xludf.DUMMYFUNCTION("""COMPUTED_VALUE"""),"ANGEL GIRALDO, DANIELA")</f>
        <v>ANGEL GIRALDO, DANIELA</v>
      </c>
      <c r="D1907" t="str">
        <f>IFERROR(__xludf.DUMMYFUNCTION("""COMPUTED_VALUE"""),"Physics")</f>
        <v>Physics</v>
      </c>
      <c r="E1907" s="3">
        <f>IFERROR(__xludf.DUMMYFUNCTION("""COMPUTED_VALUE"""),2.0)</f>
        <v>2</v>
      </c>
      <c r="F1907" s="300">
        <v>1.0</v>
      </c>
      <c r="G1907" s="300">
        <v>1.0</v>
      </c>
      <c r="H1907" s="300">
        <v>1.0</v>
      </c>
      <c r="I1907" s="300">
        <v>1.0</v>
      </c>
      <c r="J1907" s="300">
        <v>1.0</v>
      </c>
      <c r="K1907" s="300">
        <v>1.0</v>
      </c>
      <c r="L1907" s="300">
        <v>1.0</v>
      </c>
      <c r="M1907" s="300">
        <v>1.0</v>
      </c>
      <c r="N1907" s="300">
        <v>8.0</v>
      </c>
      <c r="O1907" s="300" t="s">
        <v>881</v>
      </c>
      <c r="P1907" s="300">
        <v>5.0</v>
      </c>
    </row>
    <row r="1908">
      <c r="A1908">
        <f>IFERROR(__xludf.DUMMYFUNCTION("""COMPUTED_VALUE"""),11.0)</f>
        <v>11</v>
      </c>
      <c r="B1908">
        <f>IFERROR(__xludf.DUMMYFUNCTION("""COMPUTED_VALUE"""),27061.0)</f>
        <v>27061</v>
      </c>
      <c r="C1908" t="str">
        <f>IFERROR(__xludf.DUMMYFUNCTION("""COMPUTED_VALUE"""),"MANTILLA LONDOÑO, EMILIO")</f>
        <v>MANTILLA LONDOÑO, EMILIO</v>
      </c>
      <c r="D1908" t="str">
        <f>IFERROR(__xludf.DUMMYFUNCTION("""COMPUTED_VALUE"""),"Physics")</f>
        <v>Physics</v>
      </c>
      <c r="E1908" s="3">
        <f>IFERROR(__xludf.DUMMYFUNCTION("""COMPUTED_VALUE"""),8.0)</f>
        <v>8</v>
      </c>
      <c r="F1908" s="300">
        <v>1.0</v>
      </c>
      <c r="G1908" s="300">
        <v>1.0</v>
      </c>
      <c r="H1908" s="300">
        <v>1.0</v>
      </c>
      <c r="I1908" s="300">
        <v>1.0</v>
      </c>
      <c r="J1908" s="300">
        <v>1.0</v>
      </c>
      <c r="K1908" s="300">
        <v>1.0</v>
      </c>
      <c r="L1908" s="300">
        <v>1.0</v>
      </c>
      <c r="M1908" s="300">
        <v>1.0</v>
      </c>
      <c r="N1908" s="300">
        <v>8.0</v>
      </c>
      <c r="O1908" s="300" t="s">
        <v>883</v>
      </c>
      <c r="P1908" s="300">
        <v>5.0</v>
      </c>
    </row>
    <row r="1909">
      <c r="A1909">
        <f>IFERROR(__xludf.DUMMYFUNCTION("""COMPUTED_VALUE"""),11.0)</f>
        <v>11</v>
      </c>
      <c r="B1909">
        <f>IFERROR(__xludf.DUMMYFUNCTION("""COMPUTED_VALUE"""),27028.0)</f>
        <v>27028</v>
      </c>
      <c r="C1909" t="str">
        <f>IFERROR(__xludf.DUMMYFUNCTION("""COMPUTED_VALUE"""),"DUQUE LUENGAS, CAROLINA")</f>
        <v>DUQUE LUENGAS, CAROLINA</v>
      </c>
      <c r="D1909" t="str">
        <f>IFERROR(__xludf.DUMMYFUNCTION("""COMPUTED_VALUE"""),"Physics")</f>
        <v>Physics</v>
      </c>
      <c r="E1909" s="3">
        <f>IFERROR(__xludf.DUMMYFUNCTION("""COMPUTED_VALUE"""),5.0)</f>
        <v>5</v>
      </c>
      <c r="F1909" s="300">
        <v>1.0</v>
      </c>
      <c r="G1909" s="300">
        <v>1.0</v>
      </c>
      <c r="H1909" s="300">
        <v>1.0</v>
      </c>
      <c r="I1909" s="300">
        <v>1.0</v>
      </c>
      <c r="J1909" s="300">
        <v>1.0</v>
      </c>
      <c r="K1909" s="300">
        <v>1.0</v>
      </c>
      <c r="L1909" s="300">
        <v>1.0</v>
      </c>
      <c r="M1909" s="300">
        <v>1.0</v>
      </c>
      <c r="N1909" s="300">
        <v>8.0</v>
      </c>
      <c r="O1909" s="300" t="s">
        <v>885</v>
      </c>
      <c r="P1909" s="300">
        <v>5.0</v>
      </c>
    </row>
    <row r="1910">
      <c r="A1910">
        <f>IFERROR(__xludf.DUMMYFUNCTION("""COMPUTED_VALUE"""),11.0)</f>
        <v>11</v>
      </c>
      <c r="B1910">
        <f>IFERROR(__xludf.DUMMYFUNCTION("""COMPUTED_VALUE"""),27097.0)</f>
        <v>27097</v>
      </c>
      <c r="C1910" t="str">
        <f>IFERROR(__xludf.DUMMYFUNCTION("""COMPUTED_VALUE"""),"ROBLEDO BETANCOURTH, JUAN FELIPE")</f>
        <v>ROBLEDO BETANCOURTH, JUAN FELIPE</v>
      </c>
      <c r="D1910" t="str">
        <f>IFERROR(__xludf.DUMMYFUNCTION("""COMPUTED_VALUE"""),"Physics")</f>
        <v>Physics</v>
      </c>
      <c r="E1910" s="3">
        <f>IFERROR(__xludf.DUMMYFUNCTION("""COMPUTED_VALUE"""),8.0)</f>
        <v>8</v>
      </c>
      <c r="F1910" s="300">
        <v>1.0</v>
      </c>
      <c r="G1910" s="300">
        <v>1.0</v>
      </c>
      <c r="H1910" s="300">
        <v>1.0</v>
      </c>
      <c r="I1910" s="300">
        <v>1.0</v>
      </c>
      <c r="J1910" s="300">
        <v>1.0</v>
      </c>
      <c r="K1910" s="300">
        <v>1.0</v>
      </c>
      <c r="L1910" s="300">
        <v>1.0</v>
      </c>
      <c r="M1910" s="300">
        <v>1.0</v>
      </c>
      <c r="N1910" s="300">
        <v>8.0</v>
      </c>
      <c r="O1910" s="300" t="s">
        <v>883</v>
      </c>
      <c r="P1910" s="300">
        <v>5.0</v>
      </c>
    </row>
    <row r="1911">
      <c r="A1911">
        <f>IFERROR(__xludf.DUMMYFUNCTION("""COMPUTED_VALUE"""),11.0)</f>
        <v>11</v>
      </c>
      <c r="B1911">
        <f>IFERROR(__xludf.DUMMYFUNCTION("""COMPUTED_VALUE"""),27116.0)</f>
        <v>27116</v>
      </c>
      <c r="C1911" t="str">
        <f>IFERROR(__xludf.DUMMYFUNCTION("""COMPUTED_VALUE"""),"TRUJILLO CHICA, MANUELA")</f>
        <v>TRUJILLO CHICA, MANUELA</v>
      </c>
      <c r="D1911" t="str">
        <f>IFERROR(__xludf.DUMMYFUNCTION("""COMPUTED_VALUE"""),"Physics")</f>
        <v>Physics</v>
      </c>
      <c r="E1911" s="3">
        <f>IFERROR(__xludf.DUMMYFUNCTION("""COMPUTED_VALUE"""),7.0)</f>
        <v>7</v>
      </c>
      <c r="F1911" s="300">
        <v>1.0</v>
      </c>
      <c r="G1911" s="300">
        <v>1.0</v>
      </c>
      <c r="H1911" s="300">
        <v>1.0</v>
      </c>
      <c r="I1911" s="300">
        <v>1.0</v>
      </c>
      <c r="J1911" s="300">
        <v>1.0</v>
      </c>
      <c r="K1911" s="300">
        <v>1.0</v>
      </c>
      <c r="L1911" s="300">
        <v>1.0</v>
      </c>
      <c r="M1911" s="300">
        <v>1.0</v>
      </c>
      <c r="N1911" s="300">
        <v>8.0</v>
      </c>
      <c r="O1911" s="300" t="s">
        <v>884</v>
      </c>
      <c r="P1911" s="300">
        <v>5.0</v>
      </c>
    </row>
    <row r="1912">
      <c r="A1912">
        <f>IFERROR(__xludf.DUMMYFUNCTION("""COMPUTED_VALUE"""),11.0)</f>
        <v>11</v>
      </c>
      <c r="B1912">
        <f>IFERROR(__xludf.DUMMYFUNCTION("""COMPUTED_VALUE"""),27019.0)</f>
        <v>27019</v>
      </c>
      <c r="C1912" t="str">
        <f>IFERROR(__xludf.DUMMYFUNCTION("""COMPUTED_VALUE"""),"BOTERO ESCOBAR, PEDRO")</f>
        <v>BOTERO ESCOBAR, PEDRO</v>
      </c>
      <c r="D1912" t="str">
        <f>IFERROR(__xludf.DUMMYFUNCTION("""COMPUTED_VALUE"""),"Physics")</f>
        <v>Physics</v>
      </c>
      <c r="E1912" s="3">
        <f>IFERROR(__xludf.DUMMYFUNCTION("""COMPUTED_VALUE"""),7.0)</f>
        <v>7</v>
      </c>
      <c r="F1912" s="300">
        <v>1.0</v>
      </c>
      <c r="G1912" s="300">
        <v>1.0</v>
      </c>
      <c r="H1912" s="300">
        <v>1.0</v>
      </c>
      <c r="I1912" s="300">
        <v>1.0</v>
      </c>
      <c r="J1912" s="300">
        <v>1.0</v>
      </c>
      <c r="K1912" s="300">
        <v>1.0</v>
      </c>
      <c r="L1912" s="300">
        <v>1.0</v>
      </c>
      <c r="M1912" s="300">
        <v>1.0</v>
      </c>
      <c r="N1912" s="300">
        <v>8.0</v>
      </c>
      <c r="O1912" s="300" t="s">
        <v>884</v>
      </c>
      <c r="P1912" s="300">
        <v>5.0</v>
      </c>
    </row>
    <row r="1913">
      <c r="A1913">
        <f>IFERROR(__xludf.DUMMYFUNCTION("""COMPUTED_VALUE"""),11.0)</f>
        <v>11</v>
      </c>
      <c r="B1913">
        <f>IFERROR(__xludf.DUMMYFUNCTION("""COMPUTED_VALUE"""),27052.0)</f>
        <v>27052</v>
      </c>
      <c r="C1913" t="str">
        <f>IFERROR(__xludf.DUMMYFUNCTION("""COMPUTED_VALUE"""),"JARAMILLO CADAVID, GABRIEL")</f>
        <v>JARAMILLO CADAVID, GABRIEL</v>
      </c>
      <c r="D1913" t="str">
        <f>IFERROR(__xludf.DUMMYFUNCTION("""COMPUTED_VALUE"""),"Physics")</f>
        <v>Physics</v>
      </c>
      <c r="E1913" s="3">
        <f>IFERROR(__xludf.DUMMYFUNCTION("""COMPUTED_VALUE"""),7.0)</f>
        <v>7</v>
      </c>
      <c r="F1913" s="300">
        <v>1.0</v>
      </c>
      <c r="G1913" s="300">
        <v>1.0</v>
      </c>
      <c r="H1913" s="300">
        <v>1.0</v>
      </c>
      <c r="I1913" s="300">
        <v>1.0</v>
      </c>
      <c r="J1913" s="300">
        <v>1.0</v>
      </c>
      <c r="K1913" s="300">
        <v>1.0</v>
      </c>
      <c r="L1913" s="300">
        <v>1.0</v>
      </c>
      <c r="M1913" s="300">
        <v>1.0</v>
      </c>
      <c r="N1913" s="300">
        <v>8.0</v>
      </c>
      <c r="O1913" s="300" t="s">
        <v>884</v>
      </c>
      <c r="P1913" s="300">
        <v>5.0</v>
      </c>
    </row>
    <row r="1914">
      <c r="A1914">
        <f>IFERROR(__xludf.DUMMYFUNCTION("""COMPUTED_VALUE"""),11.0)</f>
        <v>11</v>
      </c>
      <c r="B1914">
        <f>IFERROR(__xludf.DUMMYFUNCTION("""COMPUTED_VALUE"""),27027.0)</f>
        <v>27027</v>
      </c>
      <c r="C1914" t="str">
        <f>IFERROR(__xludf.DUMMYFUNCTION("""COMPUTED_VALUE"""),"DUQUE LOTERO, GREGORIO")</f>
        <v>DUQUE LOTERO, GREGORIO</v>
      </c>
      <c r="D1914" t="str">
        <f>IFERROR(__xludf.DUMMYFUNCTION("""COMPUTED_VALUE"""),"Physics")</f>
        <v>Physics</v>
      </c>
      <c r="E1914" s="3">
        <f>IFERROR(__xludf.DUMMYFUNCTION("""COMPUTED_VALUE"""),2.0)</f>
        <v>2</v>
      </c>
      <c r="F1914" s="300">
        <v>1.0</v>
      </c>
      <c r="G1914" s="300">
        <v>1.0</v>
      </c>
      <c r="H1914" s="300">
        <v>1.0</v>
      </c>
      <c r="I1914" s="300">
        <v>1.0</v>
      </c>
      <c r="J1914" s="300">
        <v>1.0</v>
      </c>
      <c r="K1914" s="300">
        <v>1.0</v>
      </c>
      <c r="L1914" s="300">
        <v>1.0</v>
      </c>
      <c r="M1914" s="300">
        <v>1.0</v>
      </c>
      <c r="N1914" s="300">
        <v>8.0</v>
      </c>
      <c r="O1914" s="300" t="s">
        <v>881</v>
      </c>
      <c r="P1914" s="300">
        <v>5.0</v>
      </c>
    </row>
    <row r="1915">
      <c r="A1915">
        <f>IFERROR(__xludf.DUMMYFUNCTION("""COMPUTED_VALUE"""),11.0)</f>
        <v>11</v>
      </c>
      <c r="B1915">
        <f>IFERROR(__xludf.DUMMYFUNCTION("""COMPUTED_VALUE"""),27110.0)</f>
        <v>27110</v>
      </c>
      <c r="C1915" t="str">
        <f>IFERROR(__xludf.DUMMYFUNCTION("""COMPUTED_VALUE"""),"TABARES MORENO, PABLO ANDRES")</f>
        <v>TABARES MORENO, PABLO ANDRES</v>
      </c>
      <c r="D1915" t="str">
        <f>IFERROR(__xludf.DUMMYFUNCTION("""COMPUTED_VALUE"""),"Physics")</f>
        <v>Physics</v>
      </c>
      <c r="E1915" s="3">
        <f>IFERROR(__xludf.DUMMYFUNCTION("""COMPUTED_VALUE"""),2.0)</f>
        <v>2</v>
      </c>
      <c r="F1915" s="300">
        <v>1.0</v>
      </c>
      <c r="G1915" s="300">
        <v>1.0</v>
      </c>
      <c r="H1915" s="300">
        <v>1.0</v>
      </c>
      <c r="I1915" s="300">
        <v>1.0</v>
      </c>
      <c r="J1915" s="300">
        <v>1.0</v>
      </c>
      <c r="K1915" s="300">
        <v>1.0</v>
      </c>
      <c r="L1915" s="300">
        <v>1.0</v>
      </c>
      <c r="M1915" s="300">
        <v>1.0</v>
      </c>
      <c r="N1915" s="300">
        <v>8.0</v>
      </c>
      <c r="O1915" s="300" t="s">
        <v>881</v>
      </c>
      <c r="P1915" s="300">
        <v>5.0</v>
      </c>
    </row>
    <row r="1916">
      <c r="A1916">
        <f>IFERROR(__xludf.DUMMYFUNCTION("""COMPUTED_VALUE"""),11.0)</f>
        <v>11</v>
      </c>
      <c r="B1916">
        <f>IFERROR(__xludf.DUMMYFUNCTION("""COMPUTED_VALUE"""),27026.0)</f>
        <v>27026</v>
      </c>
      <c r="C1916" t="str">
        <f>IFERROR(__xludf.DUMMYFUNCTION("""COMPUTED_VALUE"""),"CORREA MEJIA, AMALIA")</f>
        <v>CORREA MEJIA, AMALIA</v>
      </c>
      <c r="D1916" t="str">
        <f>IFERROR(__xludf.DUMMYFUNCTION("""COMPUTED_VALUE"""),"Physics")</f>
        <v>Physics</v>
      </c>
      <c r="E1916" s="3">
        <f>IFERROR(__xludf.DUMMYFUNCTION("""COMPUTED_VALUE"""),2.0)</f>
        <v>2</v>
      </c>
      <c r="F1916" s="300">
        <v>1.0</v>
      </c>
      <c r="G1916" s="300">
        <v>1.0</v>
      </c>
      <c r="H1916" s="300">
        <v>1.0</v>
      </c>
      <c r="I1916" s="300">
        <v>1.0</v>
      </c>
      <c r="J1916" s="300">
        <v>1.0</v>
      </c>
      <c r="K1916" s="300">
        <v>1.0</v>
      </c>
      <c r="L1916" s="300">
        <v>1.0</v>
      </c>
      <c r="M1916" s="300">
        <v>1.0</v>
      </c>
      <c r="N1916" s="300">
        <v>8.0</v>
      </c>
      <c r="O1916" s="300" t="s">
        <v>881</v>
      </c>
      <c r="P1916" s="300">
        <v>5.0</v>
      </c>
    </row>
    <row r="1917">
      <c r="A1917">
        <f>IFERROR(__xludf.DUMMYFUNCTION("""COMPUTED_VALUE"""),11.0)</f>
        <v>11</v>
      </c>
      <c r="B1917">
        <f>IFERROR(__xludf.DUMMYFUNCTION("""COMPUTED_VALUE"""),27079.0)</f>
        <v>27079</v>
      </c>
      <c r="C1917" t="str">
        <f>IFERROR(__xludf.DUMMYFUNCTION("""COMPUTED_VALUE"""),"ORTEGA TOBON, ESTEBAN")</f>
        <v>ORTEGA TOBON, ESTEBAN</v>
      </c>
      <c r="D1917" t="str">
        <f>IFERROR(__xludf.DUMMYFUNCTION("""COMPUTED_VALUE"""),"Physics")</f>
        <v>Physics</v>
      </c>
      <c r="E1917" s="3">
        <f>IFERROR(__xludf.DUMMYFUNCTION("""COMPUTED_VALUE"""),1.0)</f>
        <v>1</v>
      </c>
      <c r="F1917" s="300">
        <v>1.0</v>
      </c>
      <c r="G1917" s="300">
        <v>1.0</v>
      </c>
      <c r="H1917" s="300">
        <v>1.0</v>
      </c>
      <c r="I1917" s="300">
        <v>1.0</v>
      </c>
      <c r="J1917" s="300">
        <v>1.0</v>
      </c>
      <c r="K1917" s="300">
        <v>1.0</v>
      </c>
      <c r="L1917" s="300">
        <v>1.0</v>
      </c>
      <c r="M1917" s="300">
        <v>1.0</v>
      </c>
      <c r="N1917" s="300">
        <v>8.0</v>
      </c>
      <c r="O1917" s="300" t="s">
        <v>880</v>
      </c>
      <c r="P1917" s="300">
        <v>5.0</v>
      </c>
    </row>
    <row r="1918">
      <c r="A1918">
        <f>IFERROR(__xludf.DUMMYFUNCTION("""COMPUTED_VALUE"""),11.0)</f>
        <v>11</v>
      </c>
      <c r="B1918">
        <f>IFERROR(__xludf.DUMMYFUNCTION("""COMPUTED_VALUE"""),27032.0)</f>
        <v>27032</v>
      </c>
      <c r="C1918" t="str">
        <f>IFERROR(__xludf.DUMMYFUNCTION("""COMPUTED_VALUE"""),"ECHEVERRI ZAPATA, MATIAS")</f>
        <v>ECHEVERRI ZAPATA, MATIAS</v>
      </c>
      <c r="D1918" t="str">
        <f>IFERROR(__xludf.DUMMYFUNCTION("""COMPUTED_VALUE"""),"Physics")</f>
        <v>Physics</v>
      </c>
      <c r="E1918" s="3">
        <f>IFERROR(__xludf.DUMMYFUNCTION("""COMPUTED_VALUE"""),1.0)</f>
        <v>1</v>
      </c>
      <c r="F1918" s="300">
        <v>1.0</v>
      </c>
      <c r="G1918" s="300">
        <v>1.0</v>
      </c>
      <c r="H1918" s="300">
        <v>1.0</v>
      </c>
      <c r="I1918" s="300">
        <v>1.0</v>
      </c>
      <c r="J1918" s="300">
        <v>1.0</v>
      </c>
      <c r="K1918" s="300">
        <v>1.0</v>
      </c>
      <c r="L1918" s="300">
        <v>1.0</v>
      </c>
      <c r="M1918" s="300">
        <v>1.0</v>
      </c>
      <c r="N1918" s="300">
        <v>8.0</v>
      </c>
      <c r="O1918" s="300" t="s">
        <v>880</v>
      </c>
      <c r="P1918" s="300">
        <v>5.0</v>
      </c>
    </row>
    <row r="1919">
      <c r="A1919">
        <f>IFERROR(__xludf.DUMMYFUNCTION("""COMPUTED_VALUE"""),11.0)</f>
        <v>11</v>
      </c>
      <c r="B1919">
        <f>IFERROR(__xludf.DUMMYFUNCTION("""COMPUTED_VALUE"""),27174.0)</f>
        <v>27174</v>
      </c>
      <c r="C1919" t="str">
        <f>IFERROR(__xludf.DUMMYFUNCTION("""COMPUTED_VALUE"""),"GAITAN, LUCIA")</f>
        <v>GAITAN, LUCIA</v>
      </c>
      <c r="D1919" t="str">
        <f>IFERROR(__xludf.DUMMYFUNCTION("""COMPUTED_VALUE"""),"Physics")</f>
        <v>Physics</v>
      </c>
      <c r="E1919" s="3">
        <f>IFERROR(__xludf.DUMMYFUNCTION("""COMPUTED_VALUE"""),2.0)</f>
        <v>2</v>
      </c>
      <c r="F1919" s="300">
        <v>1.0</v>
      </c>
      <c r="G1919" s="300">
        <v>1.0</v>
      </c>
      <c r="H1919" s="300">
        <v>1.0</v>
      </c>
      <c r="I1919" s="300">
        <v>1.0</v>
      </c>
      <c r="J1919" s="300">
        <v>1.0</v>
      </c>
      <c r="K1919" s="300">
        <v>1.0</v>
      </c>
      <c r="L1919" s="300">
        <v>1.0</v>
      </c>
      <c r="M1919" s="300">
        <v>1.0</v>
      </c>
      <c r="N1919" s="300">
        <v>8.0</v>
      </c>
      <c r="O1919" s="300" t="s">
        <v>881</v>
      </c>
      <c r="P1919" s="300">
        <v>5.0</v>
      </c>
    </row>
    <row r="1920">
      <c r="A1920">
        <f>IFERROR(__xludf.DUMMYFUNCTION("""COMPUTED_VALUE"""),11.0)</f>
        <v>11</v>
      </c>
      <c r="B1920">
        <f>IFERROR(__xludf.DUMMYFUNCTION("""COMPUTED_VALUE"""),27108.0)</f>
        <v>27108</v>
      </c>
      <c r="C1920" t="str">
        <f>IFERROR(__xludf.DUMMYFUNCTION("""COMPUTED_VALUE"""),"SANTAMARIA VILLA, MARCO")</f>
        <v>SANTAMARIA VILLA, MARCO</v>
      </c>
      <c r="D1920" t="str">
        <f>IFERROR(__xludf.DUMMYFUNCTION("""COMPUTED_VALUE"""),"Physics")</f>
        <v>Physics</v>
      </c>
      <c r="E1920" s="3">
        <f>IFERROR(__xludf.DUMMYFUNCTION("""COMPUTED_VALUE"""),1.0)</f>
        <v>1</v>
      </c>
      <c r="F1920" s="300">
        <v>1.0</v>
      </c>
      <c r="G1920" s="300">
        <v>1.0</v>
      </c>
      <c r="H1920" s="300">
        <v>1.0</v>
      </c>
      <c r="I1920" s="300">
        <v>1.0</v>
      </c>
      <c r="J1920" s="300">
        <v>1.0</v>
      </c>
      <c r="K1920" s="300">
        <v>1.0</v>
      </c>
      <c r="L1920" s="300">
        <v>1.0</v>
      </c>
      <c r="M1920" s="300">
        <v>1.0</v>
      </c>
      <c r="N1920" s="300">
        <v>8.0</v>
      </c>
      <c r="O1920" s="300" t="s">
        <v>880</v>
      </c>
      <c r="P1920" s="300">
        <v>5.0</v>
      </c>
    </row>
    <row r="1921">
      <c r="A1921">
        <f>IFERROR(__xludf.DUMMYFUNCTION("""COMPUTED_VALUE"""),11.0)</f>
        <v>11</v>
      </c>
      <c r="B1921">
        <f>IFERROR(__xludf.DUMMYFUNCTION("""COMPUTED_VALUE"""),27010.0)</f>
        <v>27010</v>
      </c>
      <c r="C1921" t="str">
        <f>IFERROR(__xludf.DUMMYFUNCTION("""COMPUTED_VALUE"""),"ARRUBLA OSPINA, MANOLO")</f>
        <v>ARRUBLA OSPINA, MANOLO</v>
      </c>
      <c r="D1921" t="str">
        <f>IFERROR(__xludf.DUMMYFUNCTION("""COMPUTED_VALUE"""),"Physics")</f>
        <v>Physics</v>
      </c>
      <c r="E1921" s="3">
        <f>IFERROR(__xludf.DUMMYFUNCTION("""COMPUTED_VALUE"""),7.0)</f>
        <v>7</v>
      </c>
      <c r="F1921" s="300">
        <v>1.0</v>
      </c>
      <c r="G1921" s="300">
        <v>1.0</v>
      </c>
      <c r="H1921" s="300">
        <v>1.0</v>
      </c>
      <c r="I1921" s="300">
        <v>1.0</v>
      </c>
      <c r="J1921" s="300">
        <v>1.0</v>
      </c>
      <c r="K1921" s="300">
        <v>1.0</v>
      </c>
      <c r="L1921" s="300">
        <v>1.0</v>
      </c>
      <c r="M1921" s="300">
        <v>1.0</v>
      </c>
      <c r="N1921" s="300">
        <v>8.0</v>
      </c>
      <c r="O1921" s="300" t="s">
        <v>884</v>
      </c>
      <c r="P1921" s="300">
        <v>5.0</v>
      </c>
    </row>
    <row r="1922">
      <c r="A1922">
        <f>IFERROR(__xludf.DUMMYFUNCTION("""COMPUTED_VALUE"""),11.0)</f>
        <v>11</v>
      </c>
      <c r="B1922">
        <f>IFERROR(__xludf.DUMMYFUNCTION("""COMPUTED_VALUE"""),27163.0)</f>
        <v>27163</v>
      </c>
      <c r="C1922" t="str">
        <f>IFERROR(__xludf.DUMMYFUNCTION("""COMPUTED_VALUE"""),"NIEHAUS TRUJILLO, ARIANNA DE LOS ANGELES")</f>
        <v>NIEHAUS TRUJILLO, ARIANNA DE LOS ANGELES</v>
      </c>
      <c r="D1922" t="str">
        <f>IFERROR(__xludf.DUMMYFUNCTION("""COMPUTED_VALUE"""),"Physics")</f>
        <v>Physics</v>
      </c>
      <c r="E1922" s="3">
        <f>IFERROR(__xludf.DUMMYFUNCTION("""COMPUTED_VALUE"""),1.0)</f>
        <v>1</v>
      </c>
      <c r="F1922" s="300">
        <v>1.0</v>
      </c>
      <c r="G1922" s="300">
        <v>1.0</v>
      </c>
      <c r="H1922" s="300">
        <v>1.0</v>
      </c>
      <c r="I1922" s="300">
        <v>1.0</v>
      </c>
      <c r="J1922" s="300">
        <v>1.0</v>
      </c>
      <c r="K1922" s="300">
        <v>1.0</v>
      </c>
      <c r="L1922" s="300">
        <v>1.0</v>
      </c>
      <c r="M1922" s="300">
        <v>1.0</v>
      </c>
      <c r="N1922" s="300">
        <v>8.0</v>
      </c>
      <c r="O1922" s="300" t="s">
        <v>880</v>
      </c>
      <c r="P1922" s="300">
        <v>5.0</v>
      </c>
    </row>
    <row r="1923">
      <c r="A1923">
        <f>IFERROR(__xludf.DUMMYFUNCTION("""COMPUTED_VALUE"""),11.0)</f>
        <v>11</v>
      </c>
      <c r="B1923">
        <f>IFERROR(__xludf.DUMMYFUNCTION("""COMPUTED_VALUE"""),27141.0)</f>
        <v>27141</v>
      </c>
      <c r="C1923" t="str">
        <f>IFERROR(__xludf.DUMMYFUNCTION("""COMPUTED_VALUE"""),"MEJIA RESTREPO, PABLO")</f>
        <v>MEJIA RESTREPO, PABLO</v>
      </c>
      <c r="D1923" t="str">
        <f>IFERROR(__xludf.DUMMYFUNCTION("""COMPUTED_VALUE"""),"Physics")</f>
        <v>Physics</v>
      </c>
      <c r="E1923" s="3">
        <f>IFERROR(__xludf.DUMMYFUNCTION("""COMPUTED_VALUE"""),8.0)</f>
        <v>8</v>
      </c>
      <c r="F1923" s="300">
        <v>1.0</v>
      </c>
      <c r="G1923" s="300">
        <v>1.0</v>
      </c>
      <c r="H1923" s="300">
        <v>1.0</v>
      </c>
      <c r="I1923" s="300">
        <v>1.0</v>
      </c>
      <c r="J1923" s="300">
        <v>1.0</v>
      </c>
      <c r="K1923" s="300">
        <v>1.0</v>
      </c>
      <c r="L1923" s="300">
        <v>1.0</v>
      </c>
      <c r="M1923" s="300">
        <v>1.0</v>
      </c>
      <c r="N1923" s="300">
        <v>8.0</v>
      </c>
      <c r="O1923" s="300" t="s">
        <v>883</v>
      </c>
      <c r="P1923" s="300">
        <v>5.0</v>
      </c>
    </row>
    <row r="1924">
      <c r="A1924">
        <f>IFERROR(__xludf.DUMMYFUNCTION("""COMPUTED_VALUE"""),11.0)</f>
        <v>11</v>
      </c>
      <c r="B1924">
        <f>IFERROR(__xludf.DUMMYFUNCTION("""COMPUTED_VALUE"""),27025.0)</f>
        <v>27025</v>
      </c>
      <c r="C1924" t="str">
        <f>IFERROR(__xludf.DUMMYFUNCTION("""COMPUTED_VALUE"""),"COCK HENAO, MATIAS")</f>
        <v>COCK HENAO, MATIAS</v>
      </c>
      <c r="D1924" t="str">
        <f>IFERROR(__xludf.DUMMYFUNCTION("""COMPUTED_VALUE"""),"Physics")</f>
        <v>Physics</v>
      </c>
      <c r="E1924" s="3">
        <f>IFERROR(__xludf.DUMMYFUNCTION("""COMPUTED_VALUE"""),5.0)</f>
        <v>5</v>
      </c>
      <c r="F1924" s="300">
        <v>1.0</v>
      </c>
      <c r="G1924" s="300">
        <v>1.0</v>
      </c>
      <c r="H1924" s="300">
        <v>1.0</v>
      </c>
      <c r="I1924" s="300">
        <v>1.0</v>
      </c>
      <c r="J1924" s="300">
        <v>1.0</v>
      </c>
      <c r="K1924" s="300">
        <v>1.0</v>
      </c>
      <c r="L1924" s="300">
        <v>1.0</v>
      </c>
      <c r="M1924" s="300">
        <v>1.0</v>
      </c>
      <c r="N1924" s="300">
        <v>8.0</v>
      </c>
      <c r="O1924" s="300" t="s">
        <v>885</v>
      </c>
      <c r="P1924" s="300">
        <v>5.0</v>
      </c>
    </row>
    <row r="1925">
      <c r="A1925">
        <f>IFERROR(__xludf.DUMMYFUNCTION("""COMPUTED_VALUE"""),11.0)</f>
        <v>11</v>
      </c>
      <c r="B1925">
        <f>IFERROR(__xludf.DUMMYFUNCTION("""COMPUTED_VALUE"""),26009.0)</f>
        <v>26009</v>
      </c>
      <c r="C1925" t="str">
        <f>IFERROR(__xludf.DUMMYFUNCTION("""COMPUTED_VALUE"""),"ARANGO NAVARRO, PEDRO")</f>
        <v>ARANGO NAVARRO, PEDRO</v>
      </c>
      <c r="D1925" t="str">
        <f>IFERROR(__xludf.DUMMYFUNCTION("""COMPUTED_VALUE"""),"Physics")</f>
        <v>Physics</v>
      </c>
      <c r="E1925" s="3">
        <f>IFERROR(__xludf.DUMMYFUNCTION("""COMPUTED_VALUE"""),5.0)</f>
        <v>5</v>
      </c>
      <c r="F1925" s="300">
        <v>1.0</v>
      </c>
      <c r="G1925" s="300">
        <v>1.0</v>
      </c>
      <c r="H1925" s="300">
        <v>1.0</v>
      </c>
      <c r="I1925" s="300">
        <v>1.0</v>
      </c>
      <c r="J1925" s="300">
        <v>1.0</v>
      </c>
      <c r="K1925" s="300">
        <v>1.0</v>
      </c>
      <c r="L1925" s="300">
        <v>1.0</v>
      </c>
      <c r="M1925" s="300">
        <v>1.0</v>
      </c>
      <c r="N1925" s="300">
        <v>8.0</v>
      </c>
      <c r="O1925" s="300" t="s">
        <v>885</v>
      </c>
      <c r="P1925" s="300">
        <v>5.0</v>
      </c>
    </row>
    <row r="1926">
      <c r="A1926">
        <f>IFERROR(__xludf.DUMMYFUNCTION("""COMPUTED_VALUE"""),11.0)</f>
        <v>11</v>
      </c>
      <c r="B1926">
        <f>IFERROR(__xludf.DUMMYFUNCTION("""COMPUTED_VALUE"""),27077.0)</f>
        <v>27077</v>
      </c>
      <c r="C1926" t="str">
        <f>IFERROR(__xludf.DUMMYFUNCTION("""COMPUTED_VALUE"""),"MORENO MUNERA, MATILDA")</f>
        <v>MORENO MUNERA, MATILDA</v>
      </c>
      <c r="D1926" t="str">
        <f>IFERROR(__xludf.DUMMYFUNCTION("""COMPUTED_VALUE"""),"Physics")</f>
        <v>Physics</v>
      </c>
      <c r="E1926" s="3">
        <f>IFERROR(__xludf.DUMMYFUNCTION("""COMPUTED_VALUE"""),8.0)</f>
        <v>8</v>
      </c>
      <c r="F1926" s="300">
        <v>1.0</v>
      </c>
      <c r="G1926" s="300">
        <v>1.0</v>
      </c>
      <c r="H1926" s="300">
        <v>1.0</v>
      </c>
      <c r="I1926" s="300">
        <v>1.0</v>
      </c>
      <c r="J1926" s="300">
        <v>1.0</v>
      </c>
      <c r="K1926" s="300">
        <v>1.0</v>
      </c>
      <c r="L1926" s="300">
        <v>1.0</v>
      </c>
      <c r="M1926" s="300">
        <v>1.0</v>
      </c>
      <c r="N1926" s="300">
        <v>8.0</v>
      </c>
      <c r="O1926" s="300" t="s">
        <v>883</v>
      </c>
      <c r="P1926" s="300">
        <v>5.0</v>
      </c>
    </row>
    <row r="1927">
      <c r="A1927">
        <f>IFERROR(__xludf.DUMMYFUNCTION("""COMPUTED_VALUE"""),11.0)</f>
        <v>11</v>
      </c>
      <c r="B1927">
        <f>IFERROR(__xludf.DUMMYFUNCTION("""COMPUTED_VALUE"""),27098.0)</f>
        <v>27098</v>
      </c>
      <c r="C1927" t="str">
        <f>IFERROR(__xludf.DUMMYFUNCTION("""COMPUTED_VALUE"""),"ROJAS LOPEZ, EMILIANA")</f>
        <v>ROJAS LOPEZ, EMILIANA</v>
      </c>
      <c r="D1927" t="str">
        <f>IFERROR(__xludf.DUMMYFUNCTION("""COMPUTED_VALUE"""),"Physics")</f>
        <v>Physics</v>
      </c>
      <c r="E1927" s="3">
        <f>IFERROR(__xludf.DUMMYFUNCTION("""COMPUTED_VALUE"""),7.0)</f>
        <v>7</v>
      </c>
      <c r="F1927" s="300">
        <v>1.0</v>
      </c>
      <c r="G1927" s="300">
        <v>1.0</v>
      </c>
      <c r="H1927" s="300">
        <v>1.0</v>
      </c>
      <c r="I1927" s="300">
        <v>1.0</v>
      </c>
      <c r="J1927" s="300">
        <v>1.0</v>
      </c>
      <c r="K1927" s="300">
        <v>1.0</v>
      </c>
      <c r="L1927" s="300">
        <v>1.0</v>
      </c>
      <c r="M1927" s="300">
        <v>1.0</v>
      </c>
      <c r="N1927" s="300">
        <v>8.0</v>
      </c>
      <c r="O1927" s="300" t="s">
        <v>884</v>
      </c>
      <c r="P1927" s="300">
        <v>5.0</v>
      </c>
    </row>
    <row r="1928">
      <c r="A1928">
        <f>IFERROR(__xludf.DUMMYFUNCTION("""COMPUTED_VALUE"""),11.0)</f>
        <v>11</v>
      </c>
      <c r="B1928">
        <f>IFERROR(__xludf.DUMMYFUNCTION("""COMPUTED_VALUE"""),27049.0)</f>
        <v>27049</v>
      </c>
      <c r="C1928" t="str">
        <f>IFERROR(__xludf.DUMMYFUNCTION("""COMPUTED_VALUE"""),"HENAO RESTREPO, ELENA")</f>
        <v>HENAO RESTREPO, ELENA</v>
      </c>
      <c r="D1928" t="str">
        <f>IFERROR(__xludf.DUMMYFUNCTION("""COMPUTED_VALUE"""),"Physics")</f>
        <v>Physics</v>
      </c>
      <c r="E1928" s="3">
        <f>IFERROR(__xludf.DUMMYFUNCTION("""COMPUTED_VALUE"""),2.0)</f>
        <v>2</v>
      </c>
      <c r="F1928" s="300">
        <v>1.0</v>
      </c>
      <c r="G1928" s="300">
        <v>1.0</v>
      </c>
      <c r="H1928" s="300">
        <v>1.0</v>
      </c>
      <c r="I1928" s="300">
        <v>1.0</v>
      </c>
      <c r="J1928" s="300">
        <v>1.0</v>
      </c>
      <c r="K1928" s="300">
        <v>1.0</v>
      </c>
      <c r="L1928" s="300">
        <v>1.0</v>
      </c>
      <c r="M1928" s="300">
        <v>1.0</v>
      </c>
      <c r="N1928" s="300">
        <v>8.0</v>
      </c>
      <c r="O1928" s="300" t="s">
        <v>881</v>
      </c>
      <c r="P1928" s="300">
        <v>5.0</v>
      </c>
    </row>
    <row r="1929">
      <c r="A1929">
        <f>IFERROR(__xludf.DUMMYFUNCTION("""COMPUTED_VALUE"""),11.0)</f>
        <v>11</v>
      </c>
      <c r="B1929">
        <f>IFERROR(__xludf.DUMMYFUNCTION("""COMPUTED_VALUE"""),27066.0)</f>
        <v>27066</v>
      </c>
      <c r="C1929" t="str">
        <f>IFERROR(__xludf.DUMMYFUNCTION("""COMPUTED_VALUE"""),"MEJIA URIBE, DANIEL")</f>
        <v>MEJIA URIBE, DANIEL</v>
      </c>
      <c r="D1929" t="str">
        <f>IFERROR(__xludf.DUMMYFUNCTION("""COMPUTED_VALUE"""),"Physics")</f>
        <v>Physics</v>
      </c>
      <c r="E1929" s="3">
        <f>IFERROR(__xludf.DUMMYFUNCTION("""COMPUTED_VALUE"""),7.0)</f>
        <v>7</v>
      </c>
      <c r="F1929" s="300">
        <v>1.0</v>
      </c>
      <c r="G1929" s="300">
        <v>1.0</v>
      </c>
      <c r="H1929" s="300">
        <v>1.0</v>
      </c>
      <c r="I1929" s="300">
        <v>1.0</v>
      </c>
      <c r="J1929" s="300">
        <v>1.0</v>
      </c>
      <c r="K1929" s="300">
        <v>1.0</v>
      </c>
      <c r="L1929" s="300">
        <v>1.0</v>
      </c>
      <c r="M1929" s="300">
        <v>1.0</v>
      </c>
      <c r="N1929" s="300">
        <v>8.0</v>
      </c>
      <c r="O1929" s="300" t="s">
        <v>884</v>
      </c>
      <c r="P1929" s="300">
        <v>5.0</v>
      </c>
    </row>
    <row r="1930">
      <c r="A1930">
        <f>IFERROR(__xludf.DUMMYFUNCTION("""COMPUTED_VALUE"""),11.0)</f>
        <v>11</v>
      </c>
      <c r="B1930">
        <f>IFERROR(__xludf.DUMMYFUNCTION("""COMPUTED_VALUE"""),27123.0)</f>
        <v>27123</v>
      </c>
      <c r="C1930" t="str">
        <f>IFERROR(__xludf.DUMMYFUNCTION("""COMPUTED_VALUE"""),"VELEZ PODESTA, SIMON")</f>
        <v>VELEZ PODESTA, SIMON</v>
      </c>
      <c r="D1930" t="str">
        <f>IFERROR(__xludf.DUMMYFUNCTION("""COMPUTED_VALUE"""),"Physics")</f>
        <v>Physics</v>
      </c>
      <c r="E1930" s="3">
        <f>IFERROR(__xludf.DUMMYFUNCTION("""COMPUTED_VALUE"""),7.0)</f>
        <v>7</v>
      </c>
      <c r="F1930" s="300">
        <v>1.0</v>
      </c>
      <c r="G1930" s="300">
        <v>1.0</v>
      </c>
      <c r="H1930" s="300">
        <v>1.0</v>
      </c>
      <c r="I1930" s="300">
        <v>1.0</v>
      </c>
      <c r="J1930" s="300">
        <v>1.0</v>
      </c>
      <c r="K1930" s="300">
        <v>1.0</v>
      </c>
      <c r="L1930" s="300">
        <v>1.0</v>
      </c>
      <c r="M1930" s="300">
        <v>1.0</v>
      </c>
      <c r="N1930" s="300">
        <v>8.0</v>
      </c>
      <c r="O1930" s="300" t="s">
        <v>884</v>
      </c>
      <c r="P1930" s="300">
        <v>5.0</v>
      </c>
    </row>
    <row r="1931">
      <c r="A1931">
        <f>IFERROR(__xludf.DUMMYFUNCTION("""COMPUTED_VALUE"""),11.0)</f>
        <v>11</v>
      </c>
      <c r="B1931">
        <f>IFERROR(__xludf.DUMMYFUNCTION("""COMPUTED_VALUE"""),27109.0)</f>
        <v>27109</v>
      </c>
      <c r="C1931" t="str">
        <f>IFERROR(__xludf.DUMMYFUNCTION("""COMPUTED_VALUE"""),"SIERRA TIRADO, PEDRO")</f>
        <v>SIERRA TIRADO, PEDRO</v>
      </c>
      <c r="D1931" t="str">
        <f>IFERROR(__xludf.DUMMYFUNCTION("""COMPUTED_VALUE"""),"AP Physics 1")</f>
        <v>AP Physics 1</v>
      </c>
      <c r="E1931" s="3">
        <f>IFERROR(__xludf.DUMMYFUNCTION("""COMPUTED_VALUE"""),1.0)</f>
        <v>1</v>
      </c>
      <c r="F1931" s="300">
        <v>1.0</v>
      </c>
      <c r="G1931" s="300">
        <v>1.0</v>
      </c>
      <c r="H1931" s="300">
        <v>1.0</v>
      </c>
      <c r="I1931" s="300">
        <v>1.0</v>
      </c>
      <c r="J1931" s="300">
        <v>1.0</v>
      </c>
      <c r="K1931" s="300">
        <v>1.0</v>
      </c>
      <c r="L1931" s="300">
        <v>1.0</v>
      </c>
      <c r="M1931" s="300">
        <v>1.0</v>
      </c>
      <c r="N1931" s="300">
        <v>8.0</v>
      </c>
      <c r="O1931" s="300" t="s">
        <v>882</v>
      </c>
      <c r="P1931" s="300">
        <v>1.0</v>
      </c>
    </row>
    <row r="1932">
      <c r="A1932">
        <f>IFERROR(__xludf.DUMMYFUNCTION("""COMPUTED_VALUE"""),11.0)</f>
        <v>11</v>
      </c>
      <c r="B1932">
        <f>IFERROR(__xludf.DUMMYFUNCTION("""COMPUTED_VALUE"""),27005.0)</f>
        <v>27005</v>
      </c>
      <c r="C1932" t="str">
        <f>IFERROR(__xludf.DUMMYFUNCTION("""COMPUTED_VALUE"""),"ANGEL MESA, EMILIO")</f>
        <v>ANGEL MESA, EMILIO</v>
      </c>
      <c r="D1932" t="str">
        <f>IFERROR(__xludf.DUMMYFUNCTION("""COMPUTED_VALUE"""),"Physics")</f>
        <v>Physics</v>
      </c>
      <c r="E1932" s="3">
        <f>IFERROR(__xludf.DUMMYFUNCTION("""COMPUTED_VALUE"""),8.0)</f>
        <v>8</v>
      </c>
      <c r="F1932" s="300">
        <v>1.0</v>
      </c>
      <c r="G1932" s="300">
        <v>1.0</v>
      </c>
      <c r="H1932" s="300">
        <v>1.0</v>
      </c>
      <c r="I1932" s="300">
        <v>1.0</v>
      </c>
      <c r="J1932" s="300">
        <v>1.0</v>
      </c>
      <c r="K1932" s="300">
        <v>1.0</v>
      </c>
      <c r="L1932" s="300">
        <v>1.0</v>
      </c>
      <c r="M1932" s="300">
        <v>1.0</v>
      </c>
      <c r="N1932" s="300">
        <v>8.0</v>
      </c>
      <c r="O1932" s="300" t="s">
        <v>883</v>
      </c>
      <c r="P1932" s="300">
        <v>5.0</v>
      </c>
    </row>
    <row r="1933">
      <c r="A1933">
        <f>IFERROR(__xludf.DUMMYFUNCTION("""COMPUTED_VALUE"""),11.0)</f>
        <v>11</v>
      </c>
      <c r="B1933">
        <f>IFERROR(__xludf.DUMMYFUNCTION("""COMPUTED_VALUE"""),27111.0)</f>
        <v>27111</v>
      </c>
      <c r="C1933" t="str">
        <f>IFERROR(__xludf.DUMMYFUNCTION("""COMPUTED_VALUE"""),"TOBON PEÑALOZA, MARTIN")</f>
        <v>TOBON PEÑALOZA, MARTIN</v>
      </c>
      <c r="D1933" t="str">
        <f>IFERROR(__xludf.DUMMYFUNCTION("""COMPUTED_VALUE"""),"Physics")</f>
        <v>Physics</v>
      </c>
      <c r="E1933" s="3">
        <f>IFERROR(__xludf.DUMMYFUNCTION("""COMPUTED_VALUE"""),7.0)</f>
        <v>7</v>
      </c>
      <c r="F1933" s="300">
        <v>1.0</v>
      </c>
      <c r="G1933" s="300">
        <v>1.0</v>
      </c>
      <c r="H1933" s="300">
        <v>1.0</v>
      </c>
      <c r="I1933" s="300">
        <v>1.0</v>
      </c>
      <c r="J1933" s="300">
        <v>1.0</v>
      </c>
      <c r="K1933" s="300">
        <v>1.0</v>
      </c>
      <c r="L1933" s="300">
        <v>1.0</v>
      </c>
      <c r="M1933" s="300">
        <v>1.0</v>
      </c>
      <c r="N1933" s="300">
        <v>8.0</v>
      </c>
      <c r="O1933" s="300" t="s">
        <v>884</v>
      </c>
      <c r="P1933" s="300">
        <v>5.0</v>
      </c>
    </row>
    <row r="1934">
      <c r="A1934">
        <f>IFERROR(__xludf.DUMMYFUNCTION("""COMPUTED_VALUE"""),11.0)</f>
        <v>11</v>
      </c>
      <c r="B1934">
        <f>IFERROR(__xludf.DUMMYFUNCTION("""COMPUTED_VALUE"""),27164.0)</f>
        <v>27164</v>
      </c>
      <c r="C1934" t="str">
        <f>IFERROR(__xludf.DUMMYFUNCTION("""COMPUTED_VALUE"""),"JARAMILLO URIBE, MAR")</f>
        <v>JARAMILLO URIBE, MAR</v>
      </c>
      <c r="D1934" t="str">
        <f>IFERROR(__xludf.DUMMYFUNCTION("""COMPUTED_VALUE"""),"Physics")</f>
        <v>Physics</v>
      </c>
      <c r="E1934" s="3">
        <f>IFERROR(__xludf.DUMMYFUNCTION("""COMPUTED_VALUE"""),2.0)</f>
        <v>2</v>
      </c>
      <c r="F1934" s="300">
        <v>1.0</v>
      </c>
      <c r="G1934" s="300">
        <v>1.0</v>
      </c>
      <c r="H1934" s="300">
        <v>1.0</v>
      </c>
      <c r="I1934" s="300">
        <v>1.0</v>
      </c>
      <c r="J1934" s="300">
        <v>1.0</v>
      </c>
      <c r="K1934" s="300">
        <v>1.0</v>
      </c>
      <c r="L1934" s="300">
        <v>1.0</v>
      </c>
      <c r="M1934" s="300">
        <v>1.0</v>
      </c>
      <c r="N1934" s="300">
        <v>8.0</v>
      </c>
      <c r="O1934" s="300" t="s">
        <v>881</v>
      </c>
      <c r="P1934" s="300">
        <v>5.0</v>
      </c>
    </row>
    <row r="1935">
      <c r="A1935">
        <f>IFERROR(__xludf.DUMMYFUNCTION("""COMPUTED_VALUE"""),11.0)</f>
        <v>11</v>
      </c>
      <c r="B1935">
        <f>IFERROR(__xludf.DUMMYFUNCTION("""COMPUTED_VALUE"""),27037.0)</f>
        <v>27037</v>
      </c>
      <c r="C1935" t="str">
        <f>IFERROR(__xludf.DUMMYFUNCTION("""COMPUTED_VALUE"""),"GALEANO SALAZAR, SARA")</f>
        <v>GALEANO SALAZAR, SARA</v>
      </c>
      <c r="D1935" t="str">
        <f>IFERROR(__xludf.DUMMYFUNCTION("""COMPUTED_VALUE"""),"Physics")</f>
        <v>Physics</v>
      </c>
      <c r="E1935" s="3">
        <f>IFERROR(__xludf.DUMMYFUNCTION("""COMPUTED_VALUE"""),8.0)</f>
        <v>8</v>
      </c>
      <c r="F1935" s="300">
        <v>1.0</v>
      </c>
      <c r="G1935" s="300">
        <v>1.0</v>
      </c>
      <c r="H1935" s="300">
        <v>1.0</v>
      </c>
      <c r="I1935" s="300">
        <v>1.0</v>
      </c>
      <c r="J1935" s="300">
        <v>1.0</v>
      </c>
      <c r="K1935" s="300">
        <v>1.0</v>
      </c>
      <c r="L1935" s="300">
        <v>1.0</v>
      </c>
      <c r="M1935" s="300">
        <v>1.0</v>
      </c>
      <c r="N1935" s="300">
        <v>8.0</v>
      </c>
      <c r="O1935" s="300" t="s">
        <v>883</v>
      </c>
      <c r="P1935" s="300">
        <v>5.0</v>
      </c>
    </row>
    <row r="1936">
      <c r="A1936">
        <f>IFERROR(__xludf.DUMMYFUNCTION("""COMPUTED_VALUE"""),12.0)</f>
        <v>12</v>
      </c>
      <c r="B1936">
        <f>IFERROR(__xludf.DUMMYFUNCTION("""COMPUTED_VALUE"""),25084.0)</f>
        <v>25084</v>
      </c>
      <c r="C1936" t="str">
        <f>IFERROR(__xludf.DUMMYFUNCTION("""COMPUTED_VALUE"""),"PELAEZ KLINKERT, ALICIA")</f>
        <v>PELAEZ KLINKERT, ALICIA</v>
      </c>
      <c r="D1936" t="str">
        <f>IFERROR(__xludf.DUMMYFUNCTION("""COMPUTED_VALUE"""),"AP Physics 2")</f>
        <v>AP Physics 2</v>
      </c>
      <c r="E1936" s="3">
        <f>IFERROR(__xludf.DUMMYFUNCTION("""COMPUTED_VALUE"""),3.0)</f>
        <v>3</v>
      </c>
      <c r="F1936" s="300">
        <v>1.0</v>
      </c>
      <c r="G1936" s="300">
        <v>1.0</v>
      </c>
      <c r="H1936" s="300">
        <v>1.0</v>
      </c>
      <c r="I1936" s="300">
        <v>1.0</v>
      </c>
      <c r="J1936" s="300">
        <v>1.0</v>
      </c>
      <c r="K1936" s="300">
        <v>1.0</v>
      </c>
      <c r="L1936" s="300">
        <v>1.0</v>
      </c>
      <c r="M1936" s="300">
        <v>1.0</v>
      </c>
      <c r="N1936" s="300">
        <v>8.0</v>
      </c>
      <c r="O1936" s="300" t="s">
        <v>886</v>
      </c>
      <c r="P1936" s="300">
        <v>2.0</v>
      </c>
    </row>
    <row r="1937">
      <c r="A1937">
        <f>IFERROR(__xludf.DUMMYFUNCTION("""COMPUTED_VALUE"""),12.0)</f>
        <v>12</v>
      </c>
      <c r="B1937">
        <f>IFERROR(__xludf.DUMMYFUNCTION("""COMPUTED_VALUE"""),26105.0)</f>
        <v>26105</v>
      </c>
      <c r="C1937" t="str">
        <f>IFERROR(__xludf.DUMMYFUNCTION("""COMPUTED_VALUE"""),"ROJAS LONDOÑO, SARA")</f>
        <v>ROJAS LONDOÑO, SARA</v>
      </c>
      <c r="D1937" t="str">
        <f>IFERROR(__xludf.DUMMYFUNCTION("""COMPUTED_VALUE"""),"Environmental Science")</f>
        <v>Environmental Science</v>
      </c>
      <c r="E1937" s="3">
        <f>IFERROR(__xludf.DUMMYFUNCTION("""COMPUTED_VALUE"""),6.0)</f>
        <v>6</v>
      </c>
      <c r="F1937" s="300">
        <v>1.0</v>
      </c>
      <c r="G1937" s="300">
        <v>1.0</v>
      </c>
      <c r="H1937" s="300">
        <v>1.0</v>
      </c>
      <c r="I1937" s="300">
        <v>1.0</v>
      </c>
      <c r="J1937" s="300">
        <v>1.0</v>
      </c>
      <c r="K1937" s="300">
        <v>1.0</v>
      </c>
      <c r="L1937" s="300">
        <v>1.0</v>
      </c>
      <c r="M1937" s="300">
        <v>1.0</v>
      </c>
      <c r="N1937" s="300">
        <v>8.0</v>
      </c>
      <c r="O1937" s="300" t="s">
        <v>887</v>
      </c>
      <c r="P1937" s="300">
        <v>3.0</v>
      </c>
    </row>
    <row r="1938">
      <c r="A1938">
        <f>IFERROR(__xludf.DUMMYFUNCTION("""COMPUTED_VALUE"""),12.0)</f>
        <v>12</v>
      </c>
      <c r="B1938">
        <f>IFERROR(__xludf.DUMMYFUNCTION("""COMPUTED_VALUE"""),26046.0)</f>
        <v>26046</v>
      </c>
      <c r="C1938" t="str">
        <f>IFERROR(__xludf.DUMMYFUNCTION("""COMPUTED_VALUE"""),"HENAO GARZON, NICOLAS")</f>
        <v>HENAO GARZON, NICOLAS</v>
      </c>
      <c r="D1938" t="str">
        <f>IFERROR(__xludf.DUMMYFUNCTION("""COMPUTED_VALUE"""),"AP Physics 2")</f>
        <v>AP Physics 2</v>
      </c>
      <c r="E1938" s="3">
        <f>IFERROR(__xludf.DUMMYFUNCTION("""COMPUTED_VALUE"""),5.0)</f>
        <v>5</v>
      </c>
      <c r="F1938" s="300">
        <v>1.0</v>
      </c>
      <c r="G1938" s="300">
        <v>1.0</v>
      </c>
      <c r="H1938" s="300">
        <v>1.0</v>
      </c>
      <c r="I1938" s="300">
        <v>1.0</v>
      </c>
      <c r="J1938" s="300">
        <v>1.0</v>
      </c>
      <c r="K1938" s="300">
        <v>1.0</v>
      </c>
      <c r="L1938" s="300">
        <v>1.0</v>
      </c>
      <c r="M1938" s="300">
        <v>1.0</v>
      </c>
      <c r="N1938" s="300">
        <v>8.0</v>
      </c>
      <c r="O1938" s="300" t="s">
        <v>888</v>
      </c>
      <c r="P1938" s="300">
        <v>2.0</v>
      </c>
    </row>
    <row r="1939">
      <c r="A1939">
        <f>IFERROR(__xludf.DUMMYFUNCTION("""COMPUTED_VALUE"""),12.0)</f>
        <v>12</v>
      </c>
      <c r="B1939">
        <f>IFERROR(__xludf.DUMMYFUNCTION("""COMPUTED_VALUE"""),26165.0)</f>
        <v>26165</v>
      </c>
      <c r="C1939" t="str">
        <f>IFERROR(__xludf.DUMMYFUNCTION("""COMPUTED_VALUE"""),"BURKHALTER, ISAAC STEPHEN")</f>
        <v>BURKHALTER, ISAAC STEPHEN</v>
      </c>
      <c r="D1939" t="str">
        <f>IFERROR(__xludf.DUMMYFUNCTION("""COMPUTED_VALUE"""),"Environmental Science")</f>
        <v>Environmental Science</v>
      </c>
      <c r="E1939" s="3">
        <f>IFERROR(__xludf.DUMMYFUNCTION("""COMPUTED_VALUE"""),2.0)</f>
        <v>2</v>
      </c>
      <c r="F1939" s="300">
        <v>1.0</v>
      </c>
      <c r="G1939" s="300">
        <v>1.0</v>
      </c>
      <c r="H1939" s="300">
        <v>1.0</v>
      </c>
      <c r="I1939" s="300">
        <v>1.0</v>
      </c>
      <c r="J1939" s="300">
        <v>1.0</v>
      </c>
      <c r="K1939" s="300">
        <v>1.0</v>
      </c>
      <c r="L1939" s="300">
        <v>1.0</v>
      </c>
      <c r="M1939" s="300">
        <v>1.0</v>
      </c>
      <c r="N1939" s="300">
        <v>8.0</v>
      </c>
      <c r="O1939" s="300" t="s">
        <v>889</v>
      </c>
      <c r="P1939" s="300">
        <v>3.0</v>
      </c>
    </row>
    <row r="1940">
      <c r="A1940">
        <f>IFERROR(__xludf.DUMMYFUNCTION("""COMPUTED_VALUE"""),12.0)</f>
        <v>12</v>
      </c>
      <c r="B1940">
        <f>IFERROR(__xludf.DUMMYFUNCTION("""COMPUTED_VALUE"""),26120.0)</f>
        <v>26120</v>
      </c>
      <c r="C1940" t="str">
        <f>IFERROR(__xludf.DUMMYFUNCTION("""COMPUTED_VALUE"""),"VERGARA ROZO, JERONIMO")</f>
        <v>VERGARA ROZO, JERONIMO</v>
      </c>
      <c r="D1940" t="str">
        <f>IFERROR(__xludf.DUMMYFUNCTION("""COMPUTED_VALUE"""),"AP Physics 2")</f>
        <v>AP Physics 2</v>
      </c>
      <c r="E1940" s="3">
        <f>IFERROR(__xludf.DUMMYFUNCTION("""COMPUTED_VALUE"""),5.0)</f>
        <v>5</v>
      </c>
      <c r="F1940" s="300">
        <v>1.0</v>
      </c>
      <c r="G1940" s="300">
        <v>1.0</v>
      </c>
      <c r="H1940" s="300">
        <v>1.0</v>
      </c>
      <c r="I1940" s="300">
        <v>1.0</v>
      </c>
      <c r="J1940" s="300">
        <v>1.0</v>
      </c>
      <c r="K1940" s="300">
        <v>1.0</v>
      </c>
      <c r="L1940" s="300">
        <v>1.0</v>
      </c>
      <c r="M1940" s="300">
        <v>1.0</v>
      </c>
      <c r="N1940" s="300">
        <v>8.0</v>
      </c>
      <c r="O1940" s="300" t="s">
        <v>888</v>
      </c>
      <c r="P1940" s="300">
        <v>2.0</v>
      </c>
    </row>
    <row r="1941">
      <c r="A1941">
        <f>IFERROR(__xludf.DUMMYFUNCTION("""COMPUTED_VALUE"""),12.0)</f>
        <v>12</v>
      </c>
      <c r="B1941">
        <f>IFERROR(__xludf.DUMMYFUNCTION("""COMPUTED_VALUE"""),26130.0)</f>
        <v>26130</v>
      </c>
      <c r="C1941" t="str">
        <f>IFERROR(__xludf.DUMMYFUNCTION("""COMPUTED_VALUE"""),"IBAÑEZ MONTOYA, DANIEL")</f>
        <v>IBAÑEZ MONTOYA, DANIEL</v>
      </c>
      <c r="D1941" t="str">
        <f>IFERROR(__xludf.DUMMYFUNCTION("""COMPUTED_VALUE"""),"AP Physics 2")</f>
        <v>AP Physics 2</v>
      </c>
      <c r="E1941" s="3">
        <f>IFERROR(__xludf.DUMMYFUNCTION("""COMPUTED_VALUE"""),3.0)</f>
        <v>3</v>
      </c>
      <c r="F1941" s="300">
        <v>1.0</v>
      </c>
      <c r="G1941" s="300">
        <v>1.0</v>
      </c>
      <c r="H1941" s="300">
        <v>1.0</v>
      </c>
      <c r="I1941" s="300">
        <v>1.0</v>
      </c>
      <c r="J1941" s="300">
        <v>1.0</v>
      </c>
      <c r="K1941" s="300">
        <v>1.0</v>
      </c>
      <c r="L1941" s="300">
        <v>1.0</v>
      </c>
      <c r="M1941" s="300">
        <v>1.0</v>
      </c>
      <c r="N1941" s="300">
        <v>8.0</v>
      </c>
      <c r="O1941" s="300" t="s">
        <v>886</v>
      </c>
      <c r="P1941" s="300">
        <v>2.0</v>
      </c>
    </row>
    <row r="1942">
      <c r="A1942">
        <f>IFERROR(__xludf.DUMMYFUNCTION("""COMPUTED_VALUE"""),12.0)</f>
        <v>12</v>
      </c>
      <c r="B1942">
        <f>IFERROR(__xludf.DUMMYFUNCTION("""COMPUTED_VALUE"""),26117.0)</f>
        <v>26117</v>
      </c>
      <c r="C1942" t="str">
        <f>IFERROR(__xludf.DUMMYFUNCTION("""COMPUTED_VALUE"""),"VELEZ RESTREPO, LUCAS")</f>
        <v>VELEZ RESTREPO, LUCAS</v>
      </c>
      <c r="D1942" t="str">
        <f>IFERROR(__xludf.DUMMYFUNCTION("""COMPUTED_VALUE"""),"AP Environmental Science")</f>
        <v>AP Environmental Science</v>
      </c>
      <c r="E1942" s="3">
        <f>IFERROR(__xludf.DUMMYFUNCTION("""COMPUTED_VALUE"""),3.0)</f>
        <v>3</v>
      </c>
      <c r="F1942" s="300">
        <v>1.0</v>
      </c>
      <c r="G1942" s="300">
        <v>1.0</v>
      </c>
      <c r="H1942" s="300">
        <v>1.0</v>
      </c>
      <c r="I1942" s="300">
        <v>1.0</v>
      </c>
      <c r="J1942" s="300">
        <v>1.0</v>
      </c>
      <c r="K1942" s="300">
        <v>1.0</v>
      </c>
      <c r="L1942" s="300">
        <v>1.0</v>
      </c>
      <c r="M1942" s="300">
        <v>1.0</v>
      </c>
      <c r="N1942" s="300">
        <v>8.0</v>
      </c>
      <c r="O1942" s="300" t="s">
        <v>890</v>
      </c>
      <c r="P1942" s="300">
        <v>1.0</v>
      </c>
    </row>
    <row r="1943">
      <c r="A1943">
        <f>IFERROR(__xludf.DUMMYFUNCTION("""COMPUTED_VALUE"""),12.0)</f>
        <v>12</v>
      </c>
      <c r="B1943">
        <f>IFERROR(__xludf.DUMMYFUNCTION("""COMPUTED_VALUE"""),26168.0)</f>
        <v>26168</v>
      </c>
      <c r="C1943" t="str">
        <f>IFERROR(__xludf.DUMMYFUNCTION("""COMPUTED_VALUE"""),"NARANJO ARANA, LETICIA")</f>
        <v>NARANJO ARANA, LETICIA</v>
      </c>
      <c r="D1943" t="str">
        <f>IFERROR(__xludf.DUMMYFUNCTION("""COMPUTED_VALUE"""),"Environmental Science")</f>
        <v>Environmental Science</v>
      </c>
      <c r="E1943" s="3">
        <f>IFERROR(__xludf.DUMMYFUNCTION("""COMPUTED_VALUE"""),8.0)</f>
        <v>8</v>
      </c>
      <c r="F1943" s="300">
        <v>1.0</v>
      </c>
      <c r="G1943" s="300">
        <v>1.0</v>
      </c>
      <c r="H1943" s="300">
        <v>1.0</v>
      </c>
      <c r="I1943" s="300">
        <v>1.0</v>
      </c>
      <c r="J1943" s="300">
        <v>1.0</v>
      </c>
      <c r="K1943" s="300">
        <v>1.0</v>
      </c>
      <c r="L1943" s="300">
        <v>1.0</v>
      </c>
      <c r="M1943" s="300">
        <v>1.0</v>
      </c>
      <c r="N1943" s="300">
        <v>8.0</v>
      </c>
      <c r="O1943" s="300" t="s">
        <v>891</v>
      </c>
      <c r="P1943" s="300">
        <v>3.0</v>
      </c>
    </row>
    <row r="1944">
      <c r="A1944">
        <f>IFERROR(__xludf.DUMMYFUNCTION("""COMPUTED_VALUE"""),12.0)</f>
        <v>12</v>
      </c>
      <c r="B1944">
        <f>IFERROR(__xludf.DUMMYFUNCTION("""COMPUTED_VALUE"""),26156.0)</f>
        <v>26156</v>
      </c>
      <c r="C1944" t="str">
        <f>IFERROR(__xludf.DUMMYFUNCTION("""COMPUTED_VALUE"""),"CORTES CARDONA, MARIANA")</f>
        <v>CORTES CARDONA, MARIANA</v>
      </c>
      <c r="D1944" t="str">
        <f>IFERROR(__xludf.DUMMYFUNCTION("""COMPUTED_VALUE"""),"AP Environmental Science")</f>
        <v>AP Environmental Science</v>
      </c>
      <c r="E1944" s="3">
        <f>IFERROR(__xludf.DUMMYFUNCTION("""COMPUTED_VALUE"""),3.0)</f>
        <v>3</v>
      </c>
      <c r="F1944" s="300">
        <v>1.0</v>
      </c>
      <c r="G1944" s="300">
        <v>1.0</v>
      </c>
      <c r="H1944" s="300">
        <v>1.0</v>
      </c>
      <c r="I1944" s="300">
        <v>1.0</v>
      </c>
      <c r="J1944" s="300">
        <v>1.0</v>
      </c>
      <c r="K1944" s="300">
        <v>1.0</v>
      </c>
      <c r="L1944" s="300">
        <v>1.0</v>
      </c>
      <c r="M1944" s="300">
        <v>1.0</v>
      </c>
      <c r="N1944" s="300">
        <v>8.0</v>
      </c>
      <c r="O1944" s="300" t="s">
        <v>890</v>
      </c>
      <c r="P1944" s="300">
        <v>1.0</v>
      </c>
    </row>
    <row r="1945">
      <c r="A1945">
        <f>IFERROR(__xludf.DUMMYFUNCTION("""COMPUTED_VALUE"""),12.0)</f>
        <v>12</v>
      </c>
      <c r="B1945">
        <f>IFERROR(__xludf.DUMMYFUNCTION("""COMPUTED_VALUE"""),26127.0)</f>
        <v>26127</v>
      </c>
      <c r="C1945" t="str">
        <f>IFERROR(__xludf.DUMMYFUNCTION("""COMPUTED_VALUE"""),"ZULOAGA AYUB, CAMILA")</f>
        <v>ZULOAGA AYUB, CAMILA</v>
      </c>
      <c r="D1945" t="str">
        <f>IFERROR(__xludf.DUMMYFUNCTION("""COMPUTED_VALUE"""),"Environmental Science")</f>
        <v>Environmental Science</v>
      </c>
      <c r="E1945" s="3">
        <f>IFERROR(__xludf.DUMMYFUNCTION("""COMPUTED_VALUE"""),2.0)</f>
        <v>2</v>
      </c>
      <c r="F1945" s="300">
        <v>1.0</v>
      </c>
      <c r="G1945" s="300">
        <v>1.0</v>
      </c>
      <c r="H1945" s="300">
        <v>1.0</v>
      </c>
      <c r="I1945" s="300">
        <v>1.0</v>
      </c>
      <c r="J1945" s="300">
        <v>1.0</v>
      </c>
      <c r="K1945" s="300">
        <v>1.0</v>
      </c>
      <c r="L1945" s="300">
        <v>1.0</v>
      </c>
      <c r="M1945" s="300">
        <v>1.0</v>
      </c>
      <c r="N1945" s="300">
        <v>8.0</v>
      </c>
      <c r="O1945" s="300" t="s">
        <v>889</v>
      </c>
      <c r="P1945" s="300">
        <v>3.0</v>
      </c>
    </row>
    <row r="1946">
      <c r="A1946">
        <f>IFERROR(__xludf.DUMMYFUNCTION("""COMPUTED_VALUE"""),12.0)</f>
        <v>12</v>
      </c>
      <c r="B1946">
        <f>IFERROR(__xludf.DUMMYFUNCTION("""COMPUTED_VALUE"""),26099.0)</f>
        <v>26099</v>
      </c>
      <c r="C1946" t="str">
        <f>IFERROR(__xludf.DUMMYFUNCTION("""COMPUTED_VALUE"""),"RESTREPO RESTREPO, MAXIMILIANO")</f>
        <v>RESTREPO RESTREPO, MAXIMILIANO</v>
      </c>
      <c r="D1946" t="str">
        <f>IFERROR(__xludf.DUMMYFUNCTION("""COMPUTED_VALUE"""),"Environmental Science")</f>
        <v>Environmental Science</v>
      </c>
      <c r="E1946" s="3">
        <f>IFERROR(__xludf.DUMMYFUNCTION("""COMPUTED_VALUE"""),2.0)</f>
        <v>2</v>
      </c>
      <c r="F1946" s="300">
        <v>1.0</v>
      </c>
      <c r="G1946" s="300">
        <v>1.0</v>
      </c>
      <c r="H1946" s="300">
        <v>1.0</v>
      </c>
      <c r="I1946" s="300">
        <v>1.0</v>
      </c>
      <c r="J1946" s="300">
        <v>1.0</v>
      </c>
      <c r="K1946" s="300">
        <v>1.0</v>
      </c>
      <c r="L1946" s="300">
        <v>1.0</v>
      </c>
      <c r="M1946" s="300">
        <v>1.0</v>
      </c>
      <c r="N1946" s="300">
        <v>8.0</v>
      </c>
      <c r="O1946" s="300" t="s">
        <v>889</v>
      </c>
      <c r="P1946" s="300">
        <v>3.0</v>
      </c>
    </row>
    <row r="1947">
      <c r="A1947">
        <f>IFERROR(__xludf.DUMMYFUNCTION("""COMPUTED_VALUE"""),12.0)</f>
        <v>12</v>
      </c>
      <c r="B1947">
        <f>IFERROR(__xludf.DUMMYFUNCTION("""COMPUTED_VALUE"""),26043.0)</f>
        <v>26043</v>
      </c>
      <c r="C1947" t="str">
        <f>IFERROR(__xludf.DUMMYFUNCTION("""COMPUTED_VALUE"""),"GONZALEZ MARIN, MATIAS")</f>
        <v>GONZALEZ MARIN, MATIAS</v>
      </c>
      <c r="D1947" t="str">
        <f>IFERROR(__xludf.DUMMYFUNCTION("""COMPUTED_VALUE"""),"Environmental Science")</f>
        <v>Environmental Science</v>
      </c>
      <c r="E1947" s="3">
        <f>IFERROR(__xludf.DUMMYFUNCTION("""COMPUTED_VALUE"""),8.0)</f>
        <v>8</v>
      </c>
      <c r="F1947" s="300">
        <v>1.0</v>
      </c>
      <c r="G1947" s="300">
        <v>1.0</v>
      </c>
      <c r="H1947" s="300">
        <v>1.0</v>
      </c>
      <c r="I1947" s="300">
        <v>1.0</v>
      </c>
      <c r="J1947" s="300">
        <v>1.0</v>
      </c>
      <c r="K1947" s="300">
        <v>1.0</v>
      </c>
      <c r="L1947" s="300">
        <v>1.0</v>
      </c>
      <c r="M1947" s="300">
        <v>1.0</v>
      </c>
      <c r="N1947" s="300">
        <v>8.0</v>
      </c>
      <c r="O1947" s="300" t="s">
        <v>891</v>
      </c>
      <c r="P1947" s="300">
        <v>3.0</v>
      </c>
    </row>
    <row r="1948">
      <c r="A1948">
        <f>IFERROR(__xludf.DUMMYFUNCTION("""COMPUTED_VALUE"""),12.0)</f>
        <v>12</v>
      </c>
      <c r="B1948">
        <f>IFERROR(__xludf.DUMMYFUNCTION("""COMPUTED_VALUE"""),26081.0)</f>
        <v>26081</v>
      </c>
      <c r="C1948" t="str">
        <f>IFERROR(__xludf.DUMMYFUNCTION("""COMPUTED_VALUE"""),"OLAYA CARDENAS, SAMUEL")</f>
        <v>OLAYA CARDENAS, SAMUEL</v>
      </c>
      <c r="D1948" t="str">
        <f>IFERROR(__xludf.DUMMYFUNCTION("""COMPUTED_VALUE"""),"Environmental Science")</f>
        <v>Environmental Science</v>
      </c>
      <c r="E1948" s="3">
        <f>IFERROR(__xludf.DUMMYFUNCTION("""COMPUTED_VALUE"""),2.0)</f>
        <v>2</v>
      </c>
      <c r="F1948" s="300">
        <v>1.0</v>
      </c>
      <c r="G1948" s="300">
        <v>1.0</v>
      </c>
      <c r="H1948" s="300">
        <v>1.0</v>
      </c>
      <c r="I1948" s="300">
        <v>1.0</v>
      </c>
      <c r="J1948" s="300">
        <v>1.0</v>
      </c>
      <c r="K1948" s="300">
        <v>1.0</v>
      </c>
      <c r="L1948" s="300">
        <v>1.0</v>
      </c>
      <c r="M1948" s="300">
        <v>1.0</v>
      </c>
      <c r="N1948" s="300">
        <v>8.0</v>
      </c>
      <c r="O1948" s="300" t="s">
        <v>889</v>
      </c>
      <c r="P1948" s="300">
        <v>3.0</v>
      </c>
    </row>
    <row r="1949">
      <c r="A1949">
        <f>IFERROR(__xludf.DUMMYFUNCTION("""COMPUTED_VALUE"""),12.0)</f>
        <v>12</v>
      </c>
      <c r="B1949">
        <f>IFERROR(__xludf.DUMMYFUNCTION("""COMPUTED_VALUE"""),26115.0)</f>
        <v>26115</v>
      </c>
      <c r="C1949" t="str">
        <f>IFERROR(__xludf.DUMMYFUNCTION("""COMPUTED_VALUE"""),"VELASQUEZ URIBE, JOSE MANUEL")</f>
        <v>VELASQUEZ URIBE, JOSE MANUEL</v>
      </c>
      <c r="D1949" t="str">
        <f>IFERROR(__xludf.DUMMYFUNCTION("""COMPUTED_VALUE"""),"Environmental Science")</f>
        <v>Environmental Science</v>
      </c>
      <c r="E1949" s="3">
        <f>IFERROR(__xludf.DUMMYFUNCTION("""COMPUTED_VALUE"""),2.0)</f>
        <v>2</v>
      </c>
      <c r="F1949" s="300">
        <v>1.0</v>
      </c>
      <c r="G1949" s="300">
        <v>1.0</v>
      </c>
      <c r="H1949" s="300">
        <v>1.0</v>
      </c>
      <c r="I1949" s="300">
        <v>1.0</v>
      </c>
      <c r="J1949" s="300">
        <v>1.0</v>
      </c>
      <c r="K1949" s="300">
        <v>1.0</v>
      </c>
      <c r="L1949" s="300">
        <v>1.0</v>
      </c>
      <c r="M1949" s="300">
        <v>1.0</v>
      </c>
      <c r="N1949" s="300">
        <v>8.0</v>
      </c>
      <c r="O1949" s="300" t="s">
        <v>889</v>
      </c>
      <c r="P1949" s="300">
        <v>3.0</v>
      </c>
    </row>
    <row r="1950">
      <c r="A1950">
        <f>IFERROR(__xludf.DUMMYFUNCTION("""COMPUTED_VALUE"""),12.0)</f>
        <v>12</v>
      </c>
      <c r="B1950">
        <f>IFERROR(__xludf.DUMMYFUNCTION("""COMPUTED_VALUE"""),26069.0)</f>
        <v>26069</v>
      </c>
      <c r="C1950" t="str">
        <f>IFERROR(__xludf.DUMMYFUNCTION("""COMPUTED_VALUE"""),"MANTILLA DURANGO, VALERIA")</f>
        <v>MANTILLA DURANGO, VALERIA</v>
      </c>
      <c r="D1950" t="str">
        <f>IFERROR(__xludf.DUMMYFUNCTION("""COMPUTED_VALUE"""),"AP Physics 2")</f>
        <v>AP Physics 2</v>
      </c>
      <c r="E1950" s="3">
        <f>IFERROR(__xludf.DUMMYFUNCTION("""COMPUTED_VALUE"""),5.0)</f>
        <v>5</v>
      </c>
      <c r="F1950" s="300">
        <v>1.0</v>
      </c>
      <c r="G1950" s="300">
        <v>1.0</v>
      </c>
      <c r="H1950" s="300">
        <v>1.0</v>
      </c>
      <c r="I1950" s="300">
        <v>1.0</v>
      </c>
      <c r="J1950" s="300">
        <v>1.0</v>
      </c>
      <c r="K1950" s="300">
        <v>1.0</v>
      </c>
      <c r="L1950" s="300">
        <v>1.0</v>
      </c>
      <c r="M1950" s="300">
        <v>1.0</v>
      </c>
      <c r="N1950" s="300">
        <v>8.0</v>
      </c>
      <c r="O1950" s="300" t="s">
        <v>888</v>
      </c>
      <c r="P1950" s="300">
        <v>2.0</v>
      </c>
    </row>
    <row r="1951">
      <c r="A1951">
        <f>IFERROR(__xludf.DUMMYFUNCTION("""COMPUTED_VALUE"""),12.0)</f>
        <v>12</v>
      </c>
      <c r="B1951">
        <f>IFERROR(__xludf.DUMMYFUNCTION("""COMPUTED_VALUE"""),26103.0)</f>
        <v>26103</v>
      </c>
      <c r="C1951" t="str">
        <f>IFERROR(__xludf.DUMMYFUNCTION("""COMPUTED_VALUE"""),"RODRIGUEZ OSORIO, JERONIMO")</f>
        <v>RODRIGUEZ OSORIO, JERONIMO</v>
      </c>
      <c r="D1951" t="str">
        <f>IFERROR(__xludf.DUMMYFUNCTION("""COMPUTED_VALUE"""),"Environmental Science")</f>
        <v>Environmental Science</v>
      </c>
      <c r="E1951" s="3">
        <f>IFERROR(__xludf.DUMMYFUNCTION("""COMPUTED_VALUE"""),6.0)</f>
        <v>6</v>
      </c>
      <c r="F1951" s="300">
        <v>1.0</v>
      </c>
      <c r="G1951" s="300">
        <v>1.0</v>
      </c>
      <c r="H1951" s="300">
        <v>1.0</v>
      </c>
      <c r="I1951" s="300">
        <v>1.0</v>
      </c>
      <c r="J1951" s="300">
        <v>1.0</v>
      </c>
      <c r="K1951" s="300">
        <v>1.0</v>
      </c>
      <c r="L1951" s="300">
        <v>1.0</v>
      </c>
      <c r="M1951" s="300">
        <v>1.0</v>
      </c>
      <c r="N1951" s="300">
        <v>8.0</v>
      </c>
      <c r="O1951" s="300" t="s">
        <v>887</v>
      </c>
      <c r="P1951" s="300">
        <v>3.0</v>
      </c>
    </row>
    <row r="1952">
      <c r="A1952">
        <f>IFERROR(__xludf.DUMMYFUNCTION("""COMPUTED_VALUE"""),12.0)</f>
        <v>12</v>
      </c>
      <c r="B1952">
        <f>IFERROR(__xludf.DUMMYFUNCTION("""COMPUTED_VALUE"""),26163.0)</f>
        <v>26163</v>
      </c>
      <c r="C1952" t="str">
        <f>IFERROR(__xludf.DUMMYFUNCTION("""COMPUTED_VALUE"""),"SALAS VELEZ, AMELIA")</f>
        <v>SALAS VELEZ, AMELIA</v>
      </c>
      <c r="D1952" t="str">
        <f>IFERROR(__xludf.DUMMYFUNCTION("""COMPUTED_VALUE"""),"AP Physics 2")</f>
        <v>AP Physics 2</v>
      </c>
      <c r="E1952" s="3">
        <f>IFERROR(__xludf.DUMMYFUNCTION("""COMPUTED_VALUE"""),3.0)</f>
        <v>3</v>
      </c>
      <c r="F1952" s="300">
        <v>1.0</v>
      </c>
      <c r="G1952" s="300">
        <v>1.0</v>
      </c>
      <c r="H1952" s="300">
        <v>1.0</v>
      </c>
      <c r="I1952" s="300">
        <v>1.0</v>
      </c>
      <c r="J1952" s="300">
        <v>1.0</v>
      </c>
      <c r="K1952" s="300">
        <v>1.0</v>
      </c>
      <c r="L1952" s="300">
        <v>1.0</v>
      </c>
      <c r="M1952" s="300">
        <v>1.0</v>
      </c>
      <c r="N1952" s="300">
        <v>8.0</v>
      </c>
      <c r="O1952" s="300" t="s">
        <v>886</v>
      </c>
      <c r="P1952" s="300">
        <v>2.0</v>
      </c>
    </row>
    <row r="1953">
      <c r="A1953">
        <f>IFERROR(__xludf.DUMMYFUNCTION("""COMPUTED_VALUE"""),12.0)</f>
        <v>12</v>
      </c>
      <c r="B1953">
        <f>IFERROR(__xludf.DUMMYFUNCTION("""COMPUTED_VALUE"""),26118.0)</f>
        <v>26118</v>
      </c>
      <c r="C1953" t="str">
        <f>IFERROR(__xludf.DUMMYFUNCTION("""COMPUTED_VALUE"""),"VELEZ ZAPATA, MANUELA")</f>
        <v>VELEZ ZAPATA, MANUELA</v>
      </c>
      <c r="D1953" t="str">
        <f>IFERROR(__xludf.DUMMYFUNCTION("""COMPUTED_VALUE"""),"AP Biology")</f>
        <v>AP Biology</v>
      </c>
      <c r="E1953" s="3">
        <f>IFERROR(__xludf.DUMMYFUNCTION("""COMPUTED_VALUE"""),5.0)</f>
        <v>5</v>
      </c>
      <c r="F1953" s="300">
        <v>1.0</v>
      </c>
      <c r="G1953" s="300">
        <v>1.0</v>
      </c>
      <c r="H1953" s="300">
        <v>1.0</v>
      </c>
      <c r="I1953" s="300">
        <v>1.0</v>
      </c>
      <c r="J1953" s="300">
        <v>1.0</v>
      </c>
      <c r="K1953" s="300">
        <v>1.0</v>
      </c>
      <c r="L1953" s="300">
        <v>1.0</v>
      </c>
      <c r="M1953" s="300">
        <v>1.0</v>
      </c>
      <c r="N1953" s="300">
        <v>8.0</v>
      </c>
      <c r="O1953" s="300" t="s">
        <v>892</v>
      </c>
      <c r="P1953" s="300">
        <v>1.0</v>
      </c>
    </row>
    <row r="1954">
      <c r="A1954">
        <f>IFERROR(__xludf.DUMMYFUNCTION("""COMPUTED_VALUE"""),12.0)</f>
        <v>12</v>
      </c>
      <c r="B1954">
        <f>IFERROR(__xludf.DUMMYFUNCTION("""COMPUTED_VALUE"""),26112.0)</f>
        <v>26112</v>
      </c>
      <c r="C1954" t="str">
        <f>IFERROR(__xludf.DUMMYFUNCTION("""COMPUTED_VALUE"""),"URIBE FERNANDEZ, ANDRES")</f>
        <v>URIBE FERNANDEZ, ANDRES</v>
      </c>
      <c r="D1954" t="str">
        <f>IFERROR(__xludf.DUMMYFUNCTION("""COMPUTED_VALUE"""),"Environmental Science")</f>
        <v>Environmental Science</v>
      </c>
      <c r="E1954" s="3">
        <f>IFERROR(__xludf.DUMMYFUNCTION("""COMPUTED_VALUE"""),6.0)</f>
        <v>6</v>
      </c>
      <c r="F1954" s="300">
        <v>1.0</v>
      </c>
      <c r="G1954" s="300">
        <v>1.0</v>
      </c>
      <c r="H1954" s="300">
        <v>1.0</v>
      </c>
      <c r="I1954" s="300">
        <v>1.0</v>
      </c>
      <c r="J1954" s="300">
        <v>1.0</v>
      </c>
      <c r="K1954" s="300">
        <v>1.0</v>
      </c>
      <c r="L1954" s="300">
        <v>1.0</v>
      </c>
      <c r="M1954" s="300">
        <v>1.0</v>
      </c>
      <c r="N1954" s="300">
        <v>8.0</v>
      </c>
      <c r="O1954" s="300" t="s">
        <v>887</v>
      </c>
      <c r="P1954" s="300">
        <v>3.0</v>
      </c>
    </row>
    <row r="1955">
      <c r="A1955">
        <f>IFERROR(__xludf.DUMMYFUNCTION("""COMPUTED_VALUE"""),12.0)</f>
        <v>12</v>
      </c>
      <c r="B1955">
        <f>IFERROR(__xludf.DUMMYFUNCTION("""COMPUTED_VALUE"""),26006.0)</f>
        <v>26006</v>
      </c>
      <c r="C1955" t="str">
        <f>IFERROR(__xludf.DUMMYFUNCTION("""COMPUTED_VALUE"""),"AMAR JARAMILLO, NICHOLAS")</f>
        <v>AMAR JARAMILLO, NICHOLAS</v>
      </c>
      <c r="D1955" t="str">
        <f>IFERROR(__xludf.DUMMYFUNCTION("""COMPUTED_VALUE"""),"Environmental Science")</f>
        <v>Environmental Science</v>
      </c>
      <c r="E1955" s="3">
        <f>IFERROR(__xludf.DUMMYFUNCTION("""COMPUTED_VALUE"""),6.0)</f>
        <v>6</v>
      </c>
      <c r="F1955" s="300">
        <v>1.0</v>
      </c>
      <c r="G1955" s="300">
        <v>1.0</v>
      </c>
      <c r="H1955" s="300">
        <v>1.0</v>
      </c>
      <c r="I1955" s="300">
        <v>1.0</v>
      </c>
      <c r="J1955" s="300">
        <v>1.0</v>
      </c>
      <c r="K1955" s="300">
        <v>1.0</v>
      </c>
      <c r="L1955" s="300">
        <v>1.0</v>
      </c>
      <c r="M1955" s="300">
        <v>1.0</v>
      </c>
      <c r="N1955" s="300">
        <v>8.0</v>
      </c>
      <c r="O1955" s="300" t="s">
        <v>887</v>
      </c>
      <c r="P1955" s="300">
        <v>3.0</v>
      </c>
    </row>
    <row r="1956">
      <c r="A1956">
        <f>IFERROR(__xludf.DUMMYFUNCTION("""COMPUTED_VALUE"""),12.0)</f>
        <v>12</v>
      </c>
      <c r="B1956">
        <f>IFERROR(__xludf.DUMMYFUNCTION("""COMPUTED_VALUE"""),26034.0)</f>
        <v>26034</v>
      </c>
      <c r="C1956" t="str">
        <f>IFERROR(__xludf.DUMMYFUNCTION("""COMPUTED_VALUE"""),"GARCIA CORREA, MARIA CLARA")</f>
        <v>GARCIA CORREA, MARIA CLARA</v>
      </c>
      <c r="D1956" t="str">
        <f>IFERROR(__xludf.DUMMYFUNCTION("""COMPUTED_VALUE"""),"AP Biology")</f>
        <v>AP Biology</v>
      </c>
      <c r="E1956" s="3">
        <f>IFERROR(__xludf.DUMMYFUNCTION("""COMPUTED_VALUE"""),5.0)</f>
        <v>5</v>
      </c>
      <c r="F1956" s="300">
        <v>1.0</v>
      </c>
      <c r="G1956" s="300">
        <v>1.0</v>
      </c>
      <c r="H1956" s="300">
        <v>1.0</v>
      </c>
      <c r="I1956" s="300">
        <v>1.0</v>
      </c>
      <c r="J1956" s="300">
        <v>1.0</v>
      </c>
      <c r="K1956" s="300">
        <v>1.0</v>
      </c>
      <c r="L1956" s="300">
        <v>1.0</v>
      </c>
      <c r="M1956" s="300">
        <v>1.0</v>
      </c>
      <c r="N1956" s="300">
        <v>8.0</v>
      </c>
      <c r="O1956" s="300" t="s">
        <v>892</v>
      </c>
      <c r="P1956" s="300">
        <v>1.0</v>
      </c>
    </row>
    <row r="1957">
      <c r="A1957">
        <f>IFERROR(__xludf.DUMMYFUNCTION("""COMPUTED_VALUE"""),12.0)</f>
        <v>12</v>
      </c>
      <c r="B1957">
        <f>IFERROR(__xludf.DUMMYFUNCTION("""COMPUTED_VALUE"""),26028.0)</f>
        <v>26028</v>
      </c>
      <c r="C1957" t="str">
        <f>IFERROR(__xludf.DUMMYFUNCTION("""COMPUTED_VALUE"""),"ESCOBAR BURGOS, SANTIAGO")</f>
        <v>ESCOBAR BURGOS, SANTIAGO</v>
      </c>
      <c r="D1957" t="str">
        <f>IFERROR(__xludf.DUMMYFUNCTION("""COMPUTED_VALUE"""),"Environmental Science")</f>
        <v>Environmental Science</v>
      </c>
      <c r="E1957" s="3">
        <f>IFERROR(__xludf.DUMMYFUNCTION("""COMPUTED_VALUE"""),6.0)</f>
        <v>6</v>
      </c>
      <c r="F1957" s="300">
        <v>1.0</v>
      </c>
      <c r="G1957" s="300">
        <v>1.0</v>
      </c>
      <c r="H1957" s="300">
        <v>1.0</v>
      </c>
      <c r="I1957" s="300">
        <v>1.0</v>
      </c>
      <c r="J1957" s="300">
        <v>1.0</v>
      </c>
      <c r="K1957" s="300">
        <v>1.0</v>
      </c>
      <c r="L1957" s="300">
        <v>1.0</v>
      </c>
      <c r="M1957" s="300">
        <v>1.0</v>
      </c>
      <c r="N1957" s="300">
        <v>8.0</v>
      </c>
      <c r="O1957" s="300" t="s">
        <v>887</v>
      </c>
      <c r="P1957" s="300">
        <v>3.0</v>
      </c>
    </row>
    <row r="1958">
      <c r="A1958">
        <f>IFERROR(__xludf.DUMMYFUNCTION("""COMPUTED_VALUE"""),12.0)</f>
        <v>12</v>
      </c>
      <c r="B1958">
        <f>IFERROR(__xludf.DUMMYFUNCTION("""COMPUTED_VALUE"""),26049.0)</f>
        <v>26049</v>
      </c>
      <c r="C1958" t="str">
        <f>IFERROR(__xludf.DUMMYFUNCTION("""COMPUTED_VALUE"""),"HERRERA GOMEZ, MIGUEL")</f>
        <v>HERRERA GOMEZ, MIGUEL</v>
      </c>
      <c r="D1958" t="str">
        <f>IFERROR(__xludf.DUMMYFUNCTION("""COMPUTED_VALUE"""),"Environmental Science")</f>
        <v>Environmental Science</v>
      </c>
      <c r="E1958" s="3">
        <f>IFERROR(__xludf.DUMMYFUNCTION("""COMPUTED_VALUE"""),8.0)</f>
        <v>8</v>
      </c>
      <c r="F1958" s="300">
        <v>1.0</v>
      </c>
      <c r="G1958" s="300">
        <v>1.0</v>
      </c>
      <c r="H1958" s="300">
        <v>1.0</v>
      </c>
      <c r="I1958" s="300">
        <v>1.0</v>
      </c>
      <c r="J1958" s="300">
        <v>1.0</v>
      </c>
      <c r="K1958" s="300">
        <v>1.0</v>
      </c>
      <c r="L1958" s="300">
        <v>1.0</v>
      </c>
      <c r="M1958" s="300">
        <v>1.0</v>
      </c>
      <c r="N1958" s="300">
        <v>8.0</v>
      </c>
      <c r="O1958" s="300" t="s">
        <v>891</v>
      </c>
      <c r="P1958" s="300">
        <v>3.0</v>
      </c>
    </row>
    <row r="1959">
      <c r="A1959">
        <f>IFERROR(__xludf.DUMMYFUNCTION("""COMPUTED_VALUE"""),12.0)</f>
        <v>12</v>
      </c>
      <c r="B1959">
        <f>IFERROR(__xludf.DUMMYFUNCTION("""COMPUTED_VALUE"""),26044.0)</f>
        <v>26044</v>
      </c>
      <c r="C1959" t="str">
        <f>IFERROR(__xludf.DUMMYFUNCTION("""COMPUTED_VALUE"""),"GONZALEZ NAVARRO, MIGUEL")</f>
        <v>GONZALEZ NAVARRO, MIGUEL</v>
      </c>
      <c r="D1959" t="str">
        <f>IFERROR(__xludf.DUMMYFUNCTION("""COMPUTED_VALUE"""),"Environmental Science")</f>
        <v>Environmental Science</v>
      </c>
      <c r="E1959" s="3">
        <f>IFERROR(__xludf.DUMMYFUNCTION("""COMPUTED_VALUE"""),2.0)</f>
        <v>2</v>
      </c>
      <c r="F1959" s="300">
        <v>1.0</v>
      </c>
      <c r="G1959" s="300">
        <v>1.0</v>
      </c>
      <c r="H1959" s="300">
        <v>1.0</v>
      </c>
      <c r="I1959" s="300">
        <v>1.0</v>
      </c>
      <c r="J1959" s="300">
        <v>1.0</v>
      </c>
      <c r="K1959" s="300">
        <v>1.0</v>
      </c>
      <c r="L1959" s="300">
        <v>1.0</v>
      </c>
      <c r="M1959" s="300">
        <v>1.0</v>
      </c>
      <c r="N1959" s="300">
        <v>8.0</v>
      </c>
      <c r="O1959" s="300" t="s">
        <v>889</v>
      </c>
      <c r="P1959" s="300">
        <v>3.0</v>
      </c>
    </row>
    <row r="1960">
      <c r="A1960">
        <f>IFERROR(__xludf.DUMMYFUNCTION("""COMPUTED_VALUE"""),12.0)</f>
        <v>12</v>
      </c>
      <c r="B1960">
        <f>IFERROR(__xludf.DUMMYFUNCTION("""COMPUTED_VALUE"""),26056.0)</f>
        <v>26056</v>
      </c>
      <c r="C1960" t="str">
        <f>IFERROR(__xludf.DUMMYFUNCTION("""COMPUTED_VALUE"""),"ISAZA VELASQUEZ, SALOME")</f>
        <v>ISAZA VELASQUEZ, SALOME</v>
      </c>
      <c r="D1960" t="str">
        <f>IFERROR(__xludf.DUMMYFUNCTION("""COMPUTED_VALUE"""),"AP Biology")</f>
        <v>AP Biology</v>
      </c>
      <c r="E1960" s="3">
        <f>IFERROR(__xludf.DUMMYFUNCTION("""COMPUTED_VALUE"""),5.0)</f>
        <v>5</v>
      </c>
      <c r="F1960" s="300">
        <v>1.0</v>
      </c>
      <c r="G1960" s="300">
        <v>1.0</v>
      </c>
      <c r="H1960" s="300">
        <v>1.0</v>
      </c>
      <c r="I1960" s="300">
        <v>1.0</v>
      </c>
      <c r="J1960" s="300">
        <v>1.0</v>
      </c>
      <c r="K1960" s="300">
        <v>1.0</v>
      </c>
      <c r="L1960" s="300">
        <v>1.0</v>
      </c>
      <c r="M1960" s="300">
        <v>1.0</v>
      </c>
      <c r="N1960" s="300">
        <v>8.0</v>
      </c>
      <c r="O1960" s="300" t="s">
        <v>892</v>
      </c>
      <c r="P1960" s="300">
        <v>1.0</v>
      </c>
    </row>
    <row r="1961">
      <c r="A1961">
        <f>IFERROR(__xludf.DUMMYFUNCTION("""COMPUTED_VALUE"""),12.0)</f>
        <v>12</v>
      </c>
      <c r="B1961">
        <f>IFERROR(__xludf.DUMMYFUNCTION("""COMPUTED_VALUE"""),26001.0)</f>
        <v>26001</v>
      </c>
      <c r="C1961" t="str">
        <f>IFERROR(__xludf.DUMMYFUNCTION("""COMPUTED_VALUE"""),"AARON VASQUEZ, MARIA DEL MAR")</f>
        <v>AARON VASQUEZ, MARIA DEL MAR</v>
      </c>
      <c r="D1961" t="str">
        <f>IFERROR(__xludf.DUMMYFUNCTION("""COMPUTED_VALUE"""),"AP Physics 2")</f>
        <v>AP Physics 2</v>
      </c>
      <c r="E1961" s="3">
        <f>IFERROR(__xludf.DUMMYFUNCTION("""COMPUTED_VALUE"""),5.0)</f>
        <v>5</v>
      </c>
      <c r="F1961" s="300">
        <v>1.0</v>
      </c>
      <c r="G1961" s="300">
        <v>1.0</v>
      </c>
      <c r="H1961" s="300">
        <v>1.0</v>
      </c>
      <c r="I1961" s="300">
        <v>1.0</v>
      </c>
      <c r="J1961" s="300">
        <v>1.0</v>
      </c>
      <c r="K1961" s="300">
        <v>1.0</v>
      </c>
      <c r="L1961" s="300">
        <v>1.0</v>
      </c>
      <c r="M1961" s="300">
        <v>1.0</v>
      </c>
      <c r="N1961" s="300">
        <v>8.0</v>
      </c>
      <c r="O1961" s="300" t="s">
        <v>888</v>
      </c>
      <c r="P1961" s="300">
        <v>2.0</v>
      </c>
    </row>
    <row r="1962">
      <c r="A1962">
        <f>IFERROR(__xludf.DUMMYFUNCTION("""COMPUTED_VALUE"""),12.0)</f>
        <v>12</v>
      </c>
      <c r="B1962">
        <f>IFERROR(__xludf.DUMMYFUNCTION("""COMPUTED_VALUE"""),26038.0)</f>
        <v>26038</v>
      </c>
      <c r="C1962" t="str">
        <f>IFERROR(__xludf.DUMMYFUNCTION("""COMPUTED_VALUE"""),"GOMEZ LALINDE, SARA")</f>
        <v>GOMEZ LALINDE, SARA</v>
      </c>
      <c r="D1962" t="str">
        <f>IFERROR(__xludf.DUMMYFUNCTION("""COMPUTED_VALUE"""),"Environmental Science")</f>
        <v>Environmental Science</v>
      </c>
      <c r="E1962" s="3">
        <f>IFERROR(__xludf.DUMMYFUNCTION("""COMPUTED_VALUE"""),8.0)</f>
        <v>8</v>
      </c>
      <c r="F1962" s="300">
        <v>1.0</v>
      </c>
      <c r="G1962" s="300">
        <v>1.0</v>
      </c>
      <c r="H1962" s="300">
        <v>1.0</v>
      </c>
      <c r="I1962" s="300">
        <v>1.0</v>
      </c>
      <c r="J1962" s="300">
        <v>1.0</v>
      </c>
      <c r="K1962" s="300">
        <v>1.0</v>
      </c>
      <c r="L1962" s="300">
        <v>1.0</v>
      </c>
      <c r="M1962" s="300">
        <v>1.0</v>
      </c>
      <c r="N1962" s="300">
        <v>8.0</v>
      </c>
      <c r="O1962" s="300" t="s">
        <v>891</v>
      </c>
      <c r="P1962" s="300">
        <v>3.0</v>
      </c>
    </row>
    <row r="1963">
      <c r="A1963">
        <f>IFERROR(__xludf.DUMMYFUNCTION("""COMPUTED_VALUE"""),12.0)</f>
        <v>12</v>
      </c>
      <c r="B1963">
        <f>IFERROR(__xludf.DUMMYFUNCTION("""COMPUTED_VALUE"""),26088.0)</f>
        <v>26088</v>
      </c>
      <c r="C1963" t="str">
        <f>IFERROR(__xludf.DUMMYFUNCTION("""COMPUTED_VALUE"""),"PEREZ ECHAVARRIA, SAMUEL")</f>
        <v>PEREZ ECHAVARRIA, SAMUEL</v>
      </c>
      <c r="D1963" t="str">
        <f>IFERROR(__xludf.DUMMYFUNCTION("""COMPUTED_VALUE"""),"Environmental Science")</f>
        <v>Environmental Science</v>
      </c>
      <c r="E1963" s="3">
        <f>IFERROR(__xludf.DUMMYFUNCTION("""COMPUTED_VALUE"""),8.0)</f>
        <v>8</v>
      </c>
      <c r="F1963" s="300">
        <v>1.0</v>
      </c>
      <c r="G1963" s="300">
        <v>1.0</v>
      </c>
      <c r="H1963" s="300">
        <v>1.0</v>
      </c>
      <c r="I1963" s="300">
        <v>1.0</v>
      </c>
      <c r="J1963" s="300">
        <v>1.0</v>
      </c>
      <c r="K1963" s="300">
        <v>1.0</v>
      </c>
      <c r="L1963" s="300">
        <v>1.0</v>
      </c>
      <c r="M1963" s="300">
        <v>1.0</v>
      </c>
      <c r="N1963" s="300">
        <v>8.0</v>
      </c>
      <c r="O1963" s="300" t="s">
        <v>891</v>
      </c>
      <c r="P1963" s="300">
        <v>3.0</v>
      </c>
    </row>
    <row r="1964">
      <c r="A1964">
        <f>IFERROR(__xludf.DUMMYFUNCTION("""COMPUTED_VALUE"""),12.0)</f>
        <v>12</v>
      </c>
      <c r="B1964">
        <f>IFERROR(__xludf.DUMMYFUNCTION("""COMPUTED_VALUE"""),26010.0)</f>
        <v>26010</v>
      </c>
      <c r="C1964" t="str">
        <f>IFERROR(__xludf.DUMMYFUNCTION("""COMPUTED_VALUE"""),"ARISTIZABAL BOLIVAR, JUAN JOSE")</f>
        <v>ARISTIZABAL BOLIVAR, JUAN JOSE</v>
      </c>
      <c r="D1964" t="str">
        <f>IFERROR(__xludf.DUMMYFUNCTION("""COMPUTED_VALUE"""),"Environmental Science")</f>
        <v>Environmental Science</v>
      </c>
      <c r="E1964" s="3">
        <f>IFERROR(__xludf.DUMMYFUNCTION("""COMPUTED_VALUE"""),6.0)</f>
        <v>6</v>
      </c>
      <c r="F1964" s="300">
        <v>1.0</v>
      </c>
      <c r="G1964" s="300">
        <v>1.0</v>
      </c>
      <c r="H1964" s="300">
        <v>1.0</v>
      </c>
      <c r="I1964" s="300">
        <v>1.0</v>
      </c>
      <c r="J1964" s="300">
        <v>1.0</v>
      </c>
      <c r="K1964" s="300">
        <v>1.0</v>
      </c>
      <c r="L1964" s="300">
        <v>1.0</v>
      </c>
      <c r="M1964" s="300">
        <v>1.0</v>
      </c>
      <c r="N1964" s="300">
        <v>8.0</v>
      </c>
      <c r="O1964" s="300" t="s">
        <v>887</v>
      </c>
      <c r="P1964" s="300">
        <v>3.0</v>
      </c>
    </row>
    <row r="1965">
      <c r="A1965">
        <f>IFERROR(__xludf.DUMMYFUNCTION("""COMPUTED_VALUE"""),12.0)</f>
        <v>12</v>
      </c>
      <c r="B1965">
        <f>IFERROR(__xludf.DUMMYFUNCTION("""COMPUTED_VALUE"""),26077.0)</f>
        <v>26077</v>
      </c>
      <c r="C1965" t="str">
        <f>IFERROR(__xludf.DUMMYFUNCTION("""COMPUTED_VALUE"""),"MORENO RESTREPO, PEDRO JUAN")</f>
        <v>MORENO RESTREPO, PEDRO JUAN</v>
      </c>
      <c r="D1965" t="str">
        <f>IFERROR(__xludf.DUMMYFUNCTION("""COMPUTED_VALUE"""),"AP Physics 2")</f>
        <v>AP Physics 2</v>
      </c>
      <c r="E1965" s="3">
        <f>IFERROR(__xludf.DUMMYFUNCTION("""COMPUTED_VALUE"""),3.0)</f>
        <v>3</v>
      </c>
      <c r="F1965" s="300">
        <v>1.0</v>
      </c>
      <c r="G1965" s="300">
        <v>1.0</v>
      </c>
      <c r="H1965" s="300">
        <v>1.0</v>
      </c>
      <c r="I1965" s="300">
        <v>1.0</v>
      </c>
      <c r="J1965" s="300">
        <v>1.0</v>
      </c>
      <c r="K1965" s="300">
        <v>1.0</v>
      </c>
      <c r="L1965" s="300">
        <v>1.0</v>
      </c>
      <c r="M1965" s="300">
        <v>1.0</v>
      </c>
      <c r="N1965" s="300">
        <v>8.0</v>
      </c>
      <c r="O1965" s="300" t="s">
        <v>886</v>
      </c>
      <c r="P1965" s="300">
        <v>2.0</v>
      </c>
    </row>
    <row r="1966">
      <c r="A1966">
        <f>IFERROR(__xludf.DUMMYFUNCTION("""COMPUTED_VALUE"""),12.0)</f>
        <v>12</v>
      </c>
      <c r="B1966">
        <f>IFERROR(__xludf.DUMMYFUNCTION("""COMPUTED_VALUE"""),26005.0)</f>
        <v>26005</v>
      </c>
      <c r="C1966" t="str">
        <f>IFERROR(__xludf.DUMMYFUNCTION("""COMPUTED_VALUE"""),"ALVAREZ MOLINA, SOFIA")</f>
        <v>ALVAREZ MOLINA, SOFIA</v>
      </c>
      <c r="D1966" t="str">
        <f>IFERROR(__xludf.DUMMYFUNCTION("""COMPUTED_VALUE"""),"Environmental Science")</f>
        <v>Environmental Science</v>
      </c>
      <c r="E1966" s="3">
        <f>IFERROR(__xludf.DUMMYFUNCTION("""COMPUTED_VALUE"""),6.0)</f>
        <v>6</v>
      </c>
      <c r="F1966" s="300">
        <v>1.0</v>
      </c>
      <c r="G1966" s="300">
        <v>1.0</v>
      </c>
      <c r="H1966" s="300">
        <v>1.0</v>
      </c>
      <c r="I1966" s="300">
        <v>1.0</v>
      </c>
      <c r="J1966" s="300">
        <v>1.0</v>
      </c>
      <c r="K1966" s="300">
        <v>1.0</v>
      </c>
      <c r="L1966" s="300">
        <v>1.0</v>
      </c>
      <c r="M1966" s="300">
        <v>1.0</v>
      </c>
      <c r="N1966" s="300">
        <v>8.0</v>
      </c>
      <c r="O1966" s="300" t="s">
        <v>887</v>
      </c>
      <c r="P1966" s="300">
        <v>3.0</v>
      </c>
    </row>
    <row r="1967">
      <c r="A1967">
        <f>IFERROR(__xludf.DUMMYFUNCTION("""COMPUTED_VALUE"""),12.0)</f>
        <v>12</v>
      </c>
      <c r="B1967">
        <f>IFERROR(__xludf.DUMMYFUNCTION("""COMPUTED_VALUE"""),26124.0)</f>
        <v>26124</v>
      </c>
      <c r="C1967" t="str">
        <f>IFERROR(__xludf.DUMMYFUNCTION("""COMPUTED_VALUE"""),"YEPES EUSSE, MATIAS")</f>
        <v>YEPES EUSSE, MATIAS</v>
      </c>
      <c r="D1967" t="str">
        <f>IFERROR(__xludf.DUMMYFUNCTION("""COMPUTED_VALUE"""),"Environmental Science")</f>
        <v>Environmental Science</v>
      </c>
      <c r="E1967" s="3">
        <f>IFERROR(__xludf.DUMMYFUNCTION("""COMPUTED_VALUE"""),2.0)</f>
        <v>2</v>
      </c>
      <c r="F1967" s="300">
        <v>1.0</v>
      </c>
      <c r="G1967" s="300">
        <v>1.0</v>
      </c>
      <c r="H1967" s="300">
        <v>1.0</v>
      </c>
      <c r="I1967" s="300">
        <v>1.0</v>
      </c>
      <c r="J1967" s="300">
        <v>1.0</v>
      </c>
      <c r="K1967" s="300">
        <v>1.0</v>
      </c>
      <c r="L1967" s="300">
        <v>1.0</v>
      </c>
      <c r="M1967" s="300">
        <v>1.0</v>
      </c>
      <c r="N1967" s="300">
        <v>8.0</v>
      </c>
      <c r="O1967" s="300" t="s">
        <v>889</v>
      </c>
      <c r="P1967" s="300">
        <v>3.0</v>
      </c>
    </row>
    <row r="1968">
      <c r="A1968">
        <f>IFERROR(__xludf.DUMMYFUNCTION("""COMPUTED_VALUE"""),12.0)</f>
        <v>12</v>
      </c>
      <c r="B1968">
        <f>IFERROR(__xludf.DUMMYFUNCTION("""COMPUTED_VALUE"""),26020.0)</f>
        <v>26020</v>
      </c>
      <c r="C1968" t="str">
        <f>IFERROR(__xludf.DUMMYFUNCTION("""COMPUTED_VALUE"""),"CALDWELL VALLEJO, JACK")</f>
        <v>CALDWELL VALLEJO, JACK</v>
      </c>
      <c r="D1968" t="str">
        <f>IFERROR(__xludf.DUMMYFUNCTION("""COMPUTED_VALUE"""),"AP Physics 2")</f>
        <v>AP Physics 2</v>
      </c>
      <c r="E1968" s="3">
        <f>IFERROR(__xludf.DUMMYFUNCTION("""COMPUTED_VALUE"""),3.0)</f>
        <v>3</v>
      </c>
      <c r="F1968" s="300">
        <v>1.0</v>
      </c>
      <c r="G1968" s="300">
        <v>1.0</v>
      </c>
      <c r="H1968" s="300">
        <v>1.0</v>
      </c>
      <c r="I1968" s="300">
        <v>1.0</v>
      </c>
      <c r="J1968" s="300">
        <v>1.0</v>
      </c>
      <c r="K1968" s="300">
        <v>1.0</v>
      </c>
      <c r="L1968" s="300">
        <v>1.0</v>
      </c>
      <c r="M1968" s="300">
        <v>1.0</v>
      </c>
      <c r="N1968" s="300">
        <v>8.0</v>
      </c>
      <c r="O1968" s="300" t="s">
        <v>886</v>
      </c>
      <c r="P1968" s="300">
        <v>2.0</v>
      </c>
    </row>
    <row r="1969">
      <c r="A1969">
        <f>IFERROR(__xludf.DUMMYFUNCTION("""COMPUTED_VALUE"""),12.0)</f>
        <v>12</v>
      </c>
      <c r="B1969">
        <f>IFERROR(__xludf.DUMMYFUNCTION("""COMPUTED_VALUE"""),26068.0)</f>
        <v>26068</v>
      </c>
      <c r="C1969" t="str">
        <f>IFERROR(__xludf.DUMMYFUNCTION("""COMPUTED_VALUE"""),"LOPEZ RODRIGUEZ, SARA")</f>
        <v>LOPEZ RODRIGUEZ, SARA</v>
      </c>
      <c r="D1969" t="str">
        <f>IFERROR(__xludf.DUMMYFUNCTION("""COMPUTED_VALUE"""),"Environmental Science")</f>
        <v>Environmental Science</v>
      </c>
      <c r="E1969" s="3">
        <f>IFERROR(__xludf.DUMMYFUNCTION("""COMPUTED_VALUE"""),6.0)</f>
        <v>6</v>
      </c>
      <c r="F1969" s="300">
        <v>1.0</v>
      </c>
      <c r="G1969" s="300">
        <v>1.0</v>
      </c>
      <c r="H1969" s="300">
        <v>1.0</v>
      </c>
      <c r="I1969" s="300">
        <v>1.0</v>
      </c>
      <c r="J1969" s="300">
        <v>1.0</v>
      </c>
      <c r="K1969" s="300">
        <v>1.0</v>
      </c>
      <c r="L1969" s="300">
        <v>1.0</v>
      </c>
      <c r="M1969" s="300">
        <v>1.0</v>
      </c>
      <c r="N1969" s="300">
        <v>8.0</v>
      </c>
      <c r="O1969" s="300" t="s">
        <v>887</v>
      </c>
      <c r="P1969" s="300">
        <v>3.0</v>
      </c>
    </row>
    <row r="1970">
      <c r="A1970">
        <f>IFERROR(__xludf.DUMMYFUNCTION("""COMPUTED_VALUE"""),12.0)</f>
        <v>12</v>
      </c>
      <c r="B1970">
        <f>IFERROR(__xludf.DUMMYFUNCTION("""COMPUTED_VALUE"""),26013.0)</f>
        <v>26013</v>
      </c>
      <c r="C1970" t="str">
        <f>IFERROR(__xludf.DUMMYFUNCTION("""COMPUTED_VALUE"""),"BAQUERO GARCIA, ALICIA")</f>
        <v>BAQUERO GARCIA, ALICIA</v>
      </c>
      <c r="D1970" t="str">
        <f>IFERROR(__xludf.DUMMYFUNCTION("""COMPUTED_VALUE"""),"AP Environmental Science")</f>
        <v>AP Environmental Science</v>
      </c>
      <c r="E1970" s="3">
        <f>IFERROR(__xludf.DUMMYFUNCTION("""COMPUTED_VALUE"""),3.0)</f>
        <v>3</v>
      </c>
      <c r="F1970" s="300">
        <v>1.0</v>
      </c>
      <c r="G1970" s="300">
        <v>1.0</v>
      </c>
      <c r="H1970" s="300">
        <v>1.0</v>
      </c>
      <c r="I1970" s="300">
        <v>1.0</v>
      </c>
      <c r="J1970" s="300">
        <v>1.0</v>
      </c>
      <c r="K1970" s="300">
        <v>1.0</v>
      </c>
      <c r="L1970" s="300">
        <v>1.0</v>
      </c>
      <c r="M1970" s="300">
        <v>1.0</v>
      </c>
      <c r="N1970" s="300">
        <v>8.0</v>
      </c>
      <c r="O1970" s="300" t="s">
        <v>890</v>
      </c>
      <c r="P1970" s="300">
        <v>1.0</v>
      </c>
    </row>
    <row r="1971">
      <c r="A1971">
        <f>IFERROR(__xludf.DUMMYFUNCTION("""COMPUTED_VALUE"""),12.0)</f>
        <v>12</v>
      </c>
      <c r="B1971">
        <f>IFERROR(__xludf.DUMMYFUNCTION("""COMPUTED_VALUE"""),26159.0)</f>
        <v>26159</v>
      </c>
      <c r="C1971" t="str">
        <f>IFERROR(__xludf.DUMMYFUNCTION("""COMPUTED_VALUE"""),"PETTERSSON VANEGAS, ANNIKA")</f>
        <v>PETTERSSON VANEGAS, ANNIKA</v>
      </c>
      <c r="D1971" t="str">
        <f>IFERROR(__xludf.DUMMYFUNCTION("""COMPUTED_VALUE"""),"Environmental Science")</f>
        <v>Environmental Science</v>
      </c>
      <c r="E1971" s="3">
        <f>IFERROR(__xludf.DUMMYFUNCTION("""COMPUTED_VALUE"""),8.0)</f>
        <v>8</v>
      </c>
      <c r="F1971" s="300">
        <v>1.0</v>
      </c>
      <c r="G1971" s="300">
        <v>1.0</v>
      </c>
      <c r="H1971" s="300">
        <v>1.0</v>
      </c>
      <c r="I1971" s="300">
        <v>1.0</v>
      </c>
      <c r="J1971" s="300">
        <v>1.0</v>
      </c>
      <c r="K1971" s="300">
        <v>1.0</v>
      </c>
      <c r="L1971" s="300">
        <v>1.0</v>
      </c>
      <c r="M1971" s="300">
        <v>1.0</v>
      </c>
      <c r="N1971" s="300">
        <v>8.0</v>
      </c>
      <c r="O1971" s="300" t="s">
        <v>891</v>
      </c>
      <c r="P1971" s="300">
        <v>3.0</v>
      </c>
    </row>
    <row r="1972">
      <c r="A1972">
        <f>IFERROR(__xludf.DUMMYFUNCTION("""COMPUTED_VALUE"""),12.0)</f>
        <v>12</v>
      </c>
      <c r="B1972">
        <f>IFERROR(__xludf.DUMMYFUNCTION("""COMPUTED_VALUE"""),26050.0)</f>
        <v>26050</v>
      </c>
      <c r="C1972" t="str">
        <f>IFERROR(__xludf.DUMMYFUNCTION("""COMPUTED_VALUE"""),"HERRERA LONDOÑO, MANUELA")</f>
        <v>HERRERA LONDOÑO, MANUELA</v>
      </c>
      <c r="D1972" t="str">
        <f>IFERROR(__xludf.DUMMYFUNCTION("""COMPUTED_VALUE"""),"Environmental Science")</f>
        <v>Environmental Science</v>
      </c>
      <c r="E1972" s="3">
        <f>IFERROR(__xludf.DUMMYFUNCTION("""COMPUTED_VALUE"""),6.0)</f>
        <v>6</v>
      </c>
      <c r="F1972" s="300">
        <v>1.0</v>
      </c>
      <c r="G1972" s="300">
        <v>1.0</v>
      </c>
      <c r="H1972" s="300">
        <v>1.0</v>
      </c>
      <c r="I1972" s="300">
        <v>1.0</v>
      </c>
      <c r="J1972" s="300">
        <v>1.0</v>
      </c>
      <c r="K1972" s="300">
        <v>1.0</v>
      </c>
      <c r="L1972" s="300">
        <v>1.0</v>
      </c>
      <c r="M1972" s="300">
        <v>1.0</v>
      </c>
      <c r="N1972" s="300">
        <v>8.0</v>
      </c>
      <c r="O1972" s="300" t="s">
        <v>887</v>
      </c>
      <c r="P1972" s="300">
        <v>3.0</v>
      </c>
    </row>
    <row r="1973">
      <c r="A1973">
        <f>IFERROR(__xludf.DUMMYFUNCTION("""COMPUTED_VALUE"""),12.0)</f>
        <v>12</v>
      </c>
      <c r="B1973">
        <f>IFERROR(__xludf.DUMMYFUNCTION("""COMPUTED_VALUE"""),26054.0)</f>
        <v>26054</v>
      </c>
      <c r="C1973" t="str">
        <f>IFERROR(__xludf.DUMMYFUNCTION("""COMPUTED_VALUE"""),"HOYOS GOMEZ, LUCIANA")</f>
        <v>HOYOS GOMEZ, LUCIANA</v>
      </c>
      <c r="D1973" t="str">
        <f>IFERROR(__xludf.DUMMYFUNCTION("""COMPUTED_VALUE"""),"Environmental Science")</f>
        <v>Environmental Science</v>
      </c>
      <c r="E1973" s="3">
        <f>IFERROR(__xludf.DUMMYFUNCTION("""COMPUTED_VALUE"""),2.0)</f>
        <v>2</v>
      </c>
      <c r="F1973" s="300">
        <v>1.0</v>
      </c>
      <c r="G1973" s="300">
        <v>1.0</v>
      </c>
      <c r="H1973" s="300">
        <v>1.0</v>
      </c>
      <c r="I1973" s="300">
        <v>1.0</v>
      </c>
      <c r="J1973" s="300">
        <v>1.0</v>
      </c>
      <c r="K1973" s="300">
        <v>1.0</v>
      </c>
      <c r="L1973" s="300">
        <v>1.0</v>
      </c>
      <c r="M1973" s="300">
        <v>1.0</v>
      </c>
      <c r="N1973" s="300">
        <v>8.0</v>
      </c>
      <c r="O1973" s="300" t="s">
        <v>889</v>
      </c>
      <c r="P1973" s="300">
        <v>3.0</v>
      </c>
    </row>
    <row r="1974">
      <c r="A1974">
        <f>IFERROR(__xludf.DUMMYFUNCTION("""COMPUTED_VALUE"""),12.0)</f>
        <v>12</v>
      </c>
      <c r="B1974">
        <f>IFERROR(__xludf.DUMMYFUNCTION("""COMPUTED_VALUE"""),26098.0)</f>
        <v>26098</v>
      </c>
      <c r="C1974" t="str">
        <f>IFERROR(__xludf.DUMMYFUNCTION("""COMPUTED_VALUE"""),"RESTREPO OCHOA, EMMA")</f>
        <v>RESTREPO OCHOA, EMMA</v>
      </c>
      <c r="D1974" t="str">
        <f>IFERROR(__xludf.DUMMYFUNCTION("""COMPUTED_VALUE"""),"Environmental Science")</f>
        <v>Environmental Science</v>
      </c>
      <c r="E1974" s="3">
        <f>IFERROR(__xludf.DUMMYFUNCTION("""COMPUTED_VALUE"""),6.0)</f>
        <v>6</v>
      </c>
      <c r="F1974" s="300">
        <v>1.0</v>
      </c>
      <c r="G1974" s="300">
        <v>1.0</v>
      </c>
      <c r="H1974" s="300">
        <v>1.0</v>
      </c>
      <c r="I1974" s="300">
        <v>1.0</v>
      </c>
      <c r="J1974" s="300">
        <v>1.0</v>
      </c>
      <c r="K1974" s="300">
        <v>1.0</v>
      </c>
      <c r="L1974" s="300">
        <v>1.0</v>
      </c>
      <c r="M1974" s="300">
        <v>1.0</v>
      </c>
      <c r="N1974" s="300">
        <v>8.0</v>
      </c>
      <c r="O1974" s="300" t="s">
        <v>887</v>
      </c>
      <c r="P1974" s="300">
        <v>3.0</v>
      </c>
    </row>
    <row r="1975">
      <c r="A1975">
        <f>IFERROR(__xludf.DUMMYFUNCTION("""COMPUTED_VALUE"""),12.0)</f>
        <v>12</v>
      </c>
      <c r="B1975">
        <f>IFERROR(__xludf.DUMMYFUNCTION("""COMPUTED_VALUE"""),26084.0)</f>
        <v>26084</v>
      </c>
      <c r="C1975" t="str">
        <f>IFERROR(__xludf.DUMMYFUNCTION("""COMPUTED_VALUE"""),"OSPINA RUIZ, PAULINA")</f>
        <v>OSPINA RUIZ, PAULINA</v>
      </c>
      <c r="D1975" t="str">
        <f>IFERROR(__xludf.DUMMYFUNCTION("""COMPUTED_VALUE"""),"Environmental Science")</f>
        <v>Environmental Science</v>
      </c>
      <c r="E1975" s="3">
        <f>IFERROR(__xludf.DUMMYFUNCTION("""COMPUTED_VALUE"""),6.0)</f>
        <v>6</v>
      </c>
      <c r="F1975" s="300">
        <v>1.0</v>
      </c>
      <c r="G1975" s="300">
        <v>1.0</v>
      </c>
      <c r="H1975" s="300">
        <v>1.0</v>
      </c>
      <c r="I1975" s="300">
        <v>1.0</v>
      </c>
      <c r="J1975" s="300">
        <v>1.0</v>
      </c>
      <c r="K1975" s="300">
        <v>1.0</v>
      </c>
      <c r="L1975" s="300">
        <v>1.0</v>
      </c>
      <c r="M1975" s="300">
        <v>1.0</v>
      </c>
      <c r="N1975" s="300">
        <v>8.0</v>
      </c>
      <c r="O1975" s="300" t="s">
        <v>887</v>
      </c>
      <c r="P1975" s="300">
        <v>3.0</v>
      </c>
    </row>
    <row r="1976">
      <c r="A1976">
        <f>IFERROR(__xludf.DUMMYFUNCTION("""COMPUTED_VALUE"""),12.0)</f>
        <v>12</v>
      </c>
      <c r="B1976">
        <f>IFERROR(__xludf.DUMMYFUNCTION("""COMPUTED_VALUE"""),26004.0)</f>
        <v>26004</v>
      </c>
      <c r="C1976" t="str">
        <f>IFERROR(__xludf.DUMMYFUNCTION("""COMPUTED_VALUE"""),"ALVAREZ GOMEZ, EMILIANA")</f>
        <v>ALVAREZ GOMEZ, EMILIANA</v>
      </c>
      <c r="D1976" t="str">
        <f>IFERROR(__xludf.DUMMYFUNCTION("""COMPUTED_VALUE"""),"Environmental Science")</f>
        <v>Environmental Science</v>
      </c>
      <c r="E1976" s="3">
        <f>IFERROR(__xludf.DUMMYFUNCTION("""COMPUTED_VALUE"""),6.0)</f>
        <v>6</v>
      </c>
      <c r="F1976" s="300">
        <v>1.0</v>
      </c>
      <c r="G1976" s="300">
        <v>1.0</v>
      </c>
      <c r="H1976" s="300">
        <v>1.0</v>
      </c>
      <c r="I1976" s="300">
        <v>1.0</v>
      </c>
      <c r="J1976" s="300">
        <v>1.0</v>
      </c>
      <c r="K1976" s="300">
        <v>1.0</v>
      </c>
      <c r="L1976" s="300">
        <v>1.0</v>
      </c>
      <c r="M1976" s="300">
        <v>1.0</v>
      </c>
      <c r="N1976" s="300">
        <v>8.0</v>
      </c>
      <c r="O1976" s="300" t="s">
        <v>887</v>
      </c>
      <c r="P1976" s="300">
        <v>3.0</v>
      </c>
    </row>
    <row r="1977">
      <c r="A1977">
        <f>IFERROR(__xludf.DUMMYFUNCTION("""COMPUTED_VALUE"""),12.0)</f>
        <v>12</v>
      </c>
      <c r="B1977">
        <f>IFERROR(__xludf.DUMMYFUNCTION("""COMPUTED_VALUE"""),26085.0)</f>
        <v>26085</v>
      </c>
      <c r="C1977" t="str">
        <f>IFERROR(__xludf.DUMMYFUNCTION("""COMPUTED_VALUE"""),"PALACIO RAMIREZ, SUSANA")</f>
        <v>PALACIO RAMIREZ, SUSANA</v>
      </c>
      <c r="D1977" t="str">
        <f>IFERROR(__xludf.DUMMYFUNCTION("""COMPUTED_VALUE"""),"Environmental Science")</f>
        <v>Environmental Science</v>
      </c>
      <c r="E1977" s="3">
        <f>IFERROR(__xludf.DUMMYFUNCTION("""COMPUTED_VALUE"""),2.0)</f>
        <v>2</v>
      </c>
      <c r="F1977" s="300">
        <v>1.0</v>
      </c>
      <c r="G1977" s="300">
        <v>1.0</v>
      </c>
      <c r="H1977" s="300">
        <v>1.0</v>
      </c>
      <c r="I1977" s="300">
        <v>1.0</v>
      </c>
      <c r="J1977" s="300">
        <v>1.0</v>
      </c>
      <c r="K1977" s="300">
        <v>1.0</v>
      </c>
      <c r="L1977" s="300">
        <v>1.0</v>
      </c>
      <c r="M1977" s="300">
        <v>1.0</v>
      </c>
      <c r="N1977" s="300">
        <v>8.0</v>
      </c>
      <c r="O1977" s="300" t="s">
        <v>889</v>
      </c>
      <c r="P1977" s="300">
        <v>3.0</v>
      </c>
    </row>
    <row r="1978">
      <c r="A1978">
        <f>IFERROR(__xludf.DUMMYFUNCTION("""COMPUTED_VALUE"""),12.0)</f>
        <v>12</v>
      </c>
      <c r="B1978">
        <f>IFERROR(__xludf.DUMMYFUNCTION("""COMPUTED_VALUE"""),26074.0)</f>
        <v>26074</v>
      </c>
      <c r="C1978" t="str">
        <f>IFERROR(__xludf.DUMMYFUNCTION("""COMPUTED_VALUE"""),"MESA GIRALDO, MARIA JOSE")</f>
        <v>MESA GIRALDO, MARIA JOSE</v>
      </c>
      <c r="D1978" t="str">
        <f>IFERROR(__xludf.DUMMYFUNCTION("""COMPUTED_VALUE"""),"Environmental Science")</f>
        <v>Environmental Science</v>
      </c>
      <c r="E1978" s="3">
        <f>IFERROR(__xludf.DUMMYFUNCTION("""COMPUTED_VALUE"""),6.0)</f>
        <v>6</v>
      </c>
      <c r="F1978" s="300">
        <v>1.0</v>
      </c>
      <c r="G1978" s="300">
        <v>1.0</v>
      </c>
      <c r="H1978" s="300">
        <v>1.0</v>
      </c>
      <c r="I1978" s="300">
        <v>1.0</v>
      </c>
      <c r="J1978" s="300">
        <v>1.0</v>
      </c>
      <c r="K1978" s="300">
        <v>1.0</v>
      </c>
      <c r="L1978" s="300">
        <v>1.0</v>
      </c>
      <c r="M1978" s="300">
        <v>1.0</v>
      </c>
      <c r="N1978" s="300">
        <v>8.0</v>
      </c>
      <c r="O1978" s="300" t="s">
        <v>887</v>
      </c>
      <c r="P1978" s="300">
        <v>3.0</v>
      </c>
    </row>
    <row r="1979">
      <c r="A1979">
        <f>IFERROR(__xludf.DUMMYFUNCTION("""COMPUTED_VALUE"""),12.0)</f>
        <v>12</v>
      </c>
      <c r="B1979">
        <f>IFERROR(__xludf.DUMMYFUNCTION("""COMPUTED_VALUE"""),26146.0)</f>
        <v>26146</v>
      </c>
      <c r="C1979" t="str">
        <f>IFERROR(__xludf.DUMMYFUNCTION("""COMPUTED_VALUE"""),"MOLINA CASAS, MARIA DEL MAR")</f>
        <v>MOLINA CASAS, MARIA DEL MAR</v>
      </c>
      <c r="D1979" t="str">
        <f>IFERROR(__xludf.DUMMYFUNCTION("""COMPUTED_VALUE"""),"Environmental Science")</f>
        <v>Environmental Science</v>
      </c>
      <c r="E1979" s="3">
        <f>IFERROR(__xludf.DUMMYFUNCTION("""COMPUTED_VALUE"""),6.0)</f>
        <v>6</v>
      </c>
      <c r="F1979" s="300">
        <v>1.0</v>
      </c>
      <c r="G1979" s="300">
        <v>1.0</v>
      </c>
      <c r="H1979" s="300">
        <v>1.0</v>
      </c>
      <c r="I1979" s="300">
        <v>1.0</v>
      </c>
      <c r="J1979" s="300">
        <v>1.0</v>
      </c>
      <c r="K1979" s="300">
        <v>1.0</v>
      </c>
      <c r="L1979" s="300">
        <v>1.0</v>
      </c>
      <c r="M1979" s="300">
        <v>1.0</v>
      </c>
      <c r="N1979" s="300">
        <v>8.0</v>
      </c>
      <c r="O1979" s="300" t="s">
        <v>887</v>
      </c>
      <c r="P1979" s="300">
        <v>3.0</v>
      </c>
    </row>
    <row r="1980">
      <c r="A1980">
        <f>IFERROR(__xludf.DUMMYFUNCTION("""COMPUTED_VALUE"""),12.0)</f>
        <v>12</v>
      </c>
      <c r="B1980">
        <f>IFERROR(__xludf.DUMMYFUNCTION("""COMPUTED_VALUE"""),26029.0)</f>
        <v>26029</v>
      </c>
      <c r="C1980" t="str">
        <f>IFERROR(__xludf.DUMMYFUNCTION("""COMPUTED_VALUE"""),"FAJARDO YEPES, ELISA")</f>
        <v>FAJARDO YEPES, ELISA</v>
      </c>
      <c r="D1980" t="str">
        <f>IFERROR(__xludf.DUMMYFUNCTION("""COMPUTED_VALUE"""),"AP Chemistry")</f>
        <v>AP Chemistry</v>
      </c>
      <c r="E1980" s="3">
        <f>IFERROR(__xludf.DUMMYFUNCTION("""COMPUTED_VALUE"""),7.0)</f>
        <v>7</v>
      </c>
      <c r="F1980" s="300">
        <v>1.0</v>
      </c>
      <c r="G1980" s="300">
        <v>1.0</v>
      </c>
      <c r="H1980" s="300">
        <v>1.0</v>
      </c>
      <c r="I1980" s="300">
        <v>1.0</v>
      </c>
      <c r="J1980" s="300">
        <v>1.0</v>
      </c>
      <c r="K1980" s="300">
        <v>1.0</v>
      </c>
      <c r="L1980" s="300">
        <v>1.0</v>
      </c>
      <c r="M1980" s="300">
        <v>1.0</v>
      </c>
      <c r="N1980" s="300">
        <v>8.0</v>
      </c>
      <c r="O1980" s="300" t="s">
        <v>893</v>
      </c>
      <c r="P1980" s="300">
        <v>1.0</v>
      </c>
    </row>
    <row r="1981">
      <c r="A1981">
        <f>IFERROR(__xludf.DUMMYFUNCTION("""COMPUTED_VALUE"""),12.0)</f>
        <v>12</v>
      </c>
      <c r="B1981">
        <f>IFERROR(__xludf.DUMMYFUNCTION("""COMPUTED_VALUE"""),26092.0)</f>
        <v>26092</v>
      </c>
      <c r="C1981" t="str">
        <f>IFERROR(__xludf.DUMMYFUNCTION("""COMPUTED_VALUE"""),"PLATA BOLAÑOS, SOFIA")</f>
        <v>PLATA BOLAÑOS, SOFIA</v>
      </c>
      <c r="D1981" t="str">
        <f>IFERROR(__xludf.DUMMYFUNCTION("""COMPUTED_VALUE"""),"AP Chemistry")</f>
        <v>AP Chemistry</v>
      </c>
      <c r="E1981" s="3">
        <f>IFERROR(__xludf.DUMMYFUNCTION("""COMPUTED_VALUE"""),7.0)</f>
        <v>7</v>
      </c>
      <c r="F1981" s="300">
        <v>1.0</v>
      </c>
      <c r="G1981" s="300">
        <v>1.0</v>
      </c>
      <c r="H1981" s="300">
        <v>1.0</v>
      </c>
      <c r="I1981" s="300">
        <v>1.0</v>
      </c>
      <c r="J1981" s="300">
        <v>1.0</v>
      </c>
      <c r="K1981" s="300">
        <v>1.0</v>
      </c>
      <c r="L1981" s="300">
        <v>1.0</v>
      </c>
      <c r="M1981" s="300">
        <v>1.0</v>
      </c>
      <c r="N1981" s="300">
        <v>8.0</v>
      </c>
      <c r="O1981" s="300" t="s">
        <v>893</v>
      </c>
      <c r="P1981" s="300">
        <v>1.0</v>
      </c>
    </row>
    <row r="1982">
      <c r="A1982">
        <f>IFERROR(__xludf.DUMMYFUNCTION("""COMPUTED_VALUE"""),12.0)</f>
        <v>12</v>
      </c>
      <c r="B1982">
        <f>IFERROR(__xludf.DUMMYFUNCTION("""COMPUTED_VALUE"""),26136.0)</f>
        <v>26136</v>
      </c>
      <c r="C1982" t="str">
        <f>IFERROR(__xludf.DUMMYFUNCTION("""COMPUTED_VALUE"""),"VASQUEZ MUÑOZ, MANUELA")</f>
        <v>VASQUEZ MUÑOZ, MANUELA</v>
      </c>
      <c r="D1982" t="str">
        <f>IFERROR(__xludf.DUMMYFUNCTION("""COMPUTED_VALUE"""),"AP Environmental Science")</f>
        <v>AP Environmental Science</v>
      </c>
      <c r="E1982" s="3">
        <f>IFERROR(__xludf.DUMMYFUNCTION("""COMPUTED_VALUE"""),3.0)</f>
        <v>3</v>
      </c>
      <c r="F1982" s="300">
        <v>1.0</v>
      </c>
      <c r="G1982" s="300">
        <v>1.0</v>
      </c>
      <c r="H1982" s="300">
        <v>1.0</v>
      </c>
      <c r="I1982" s="300">
        <v>1.0</v>
      </c>
      <c r="J1982" s="300">
        <v>1.0</v>
      </c>
      <c r="K1982" s="300">
        <v>1.0</v>
      </c>
      <c r="L1982" s="300">
        <v>1.0</v>
      </c>
      <c r="M1982" s="300">
        <v>1.0</v>
      </c>
      <c r="N1982" s="300">
        <v>8.0</v>
      </c>
      <c r="O1982" s="300" t="s">
        <v>890</v>
      </c>
      <c r="P1982" s="300">
        <v>1.0</v>
      </c>
    </row>
    <row r="1983">
      <c r="A1983">
        <f>IFERROR(__xludf.DUMMYFUNCTION("""COMPUTED_VALUE"""),12.0)</f>
        <v>12</v>
      </c>
      <c r="B1983">
        <f>IFERROR(__xludf.DUMMYFUNCTION("""COMPUTED_VALUE"""),26170.0)</f>
        <v>26170</v>
      </c>
      <c r="C1983" t="str">
        <f>IFERROR(__xludf.DUMMYFUNCTION("""COMPUTED_VALUE"""),"BOTERO SPERA, EMMA")</f>
        <v>BOTERO SPERA, EMMA</v>
      </c>
      <c r="D1983" t="str">
        <f>IFERROR(__xludf.DUMMYFUNCTION("""COMPUTED_VALUE"""),"AP Biology")</f>
        <v>AP Biology</v>
      </c>
      <c r="E1983" s="3">
        <f>IFERROR(__xludf.DUMMYFUNCTION("""COMPUTED_VALUE"""),5.0)</f>
        <v>5</v>
      </c>
      <c r="F1983" s="300">
        <v>1.0</v>
      </c>
      <c r="G1983" s="300">
        <v>1.0</v>
      </c>
      <c r="H1983" s="300">
        <v>1.0</v>
      </c>
      <c r="I1983" s="300">
        <v>1.0</v>
      </c>
      <c r="J1983" s="300">
        <v>1.0</v>
      </c>
      <c r="K1983" s="300">
        <v>1.0</v>
      </c>
      <c r="L1983" s="300">
        <v>1.0</v>
      </c>
      <c r="M1983" s="300">
        <v>1.0</v>
      </c>
      <c r="N1983" s="300">
        <v>8.0</v>
      </c>
      <c r="O1983" s="300" t="s">
        <v>892</v>
      </c>
      <c r="P1983" s="300">
        <v>1.0</v>
      </c>
    </row>
    <row r="1984">
      <c r="A1984">
        <f>IFERROR(__xludf.DUMMYFUNCTION("""COMPUTED_VALUE"""),12.0)</f>
        <v>12</v>
      </c>
      <c r="B1984">
        <f>IFERROR(__xludf.DUMMYFUNCTION("""COMPUTED_VALUE"""),26093.0)</f>
        <v>26093</v>
      </c>
      <c r="C1984" t="str">
        <f>IFERROR(__xludf.DUMMYFUNCTION("""COMPUTED_VALUE"""),"PUERTA PAZ, JUANITA")</f>
        <v>PUERTA PAZ, JUANITA</v>
      </c>
      <c r="D1984" t="str">
        <f>IFERROR(__xludf.DUMMYFUNCTION("""COMPUTED_VALUE"""),"AP Physics 2")</f>
        <v>AP Physics 2</v>
      </c>
      <c r="E1984" s="3">
        <f>IFERROR(__xludf.DUMMYFUNCTION("""COMPUTED_VALUE"""),5.0)</f>
        <v>5</v>
      </c>
      <c r="F1984" s="300">
        <v>1.0</v>
      </c>
      <c r="G1984" s="300">
        <v>1.0</v>
      </c>
      <c r="H1984" s="300">
        <v>1.0</v>
      </c>
      <c r="I1984" s="300">
        <v>1.0</v>
      </c>
      <c r="J1984" s="300">
        <v>1.0</v>
      </c>
      <c r="K1984" s="300">
        <v>1.0</v>
      </c>
      <c r="L1984" s="300">
        <v>1.0</v>
      </c>
      <c r="M1984" s="300">
        <v>1.0</v>
      </c>
      <c r="N1984" s="300">
        <v>8.0</v>
      </c>
      <c r="O1984" s="300" t="s">
        <v>888</v>
      </c>
      <c r="P1984" s="300">
        <v>2.0</v>
      </c>
    </row>
    <row r="1985">
      <c r="A1985">
        <f>IFERROR(__xludf.DUMMYFUNCTION("""COMPUTED_VALUE"""),12.0)</f>
        <v>12</v>
      </c>
      <c r="B1985">
        <f>IFERROR(__xludf.DUMMYFUNCTION("""COMPUTED_VALUE"""),26055.0)</f>
        <v>26055</v>
      </c>
      <c r="C1985" t="str">
        <f>IFERROR(__xludf.DUMMYFUNCTION("""COMPUTED_VALUE"""),"ISAZA CADAVID, RAQUEL")</f>
        <v>ISAZA CADAVID, RAQUEL</v>
      </c>
      <c r="D1985" t="str">
        <f>IFERROR(__xludf.DUMMYFUNCTION("""COMPUTED_VALUE"""),"Environmental Science")</f>
        <v>Environmental Science</v>
      </c>
      <c r="E1985" s="3">
        <f>IFERROR(__xludf.DUMMYFUNCTION("""COMPUTED_VALUE"""),8.0)</f>
        <v>8</v>
      </c>
      <c r="F1985" s="300">
        <v>1.0</v>
      </c>
      <c r="G1985" s="300">
        <v>1.0</v>
      </c>
      <c r="H1985" s="300">
        <v>1.0</v>
      </c>
      <c r="I1985" s="300">
        <v>1.0</v>
      </c>
      <c r="J1985" s="300">
        <v>1.0</v>
      </c>
      <c r="K1985" s="300">
        <v>1.0</v>
      </c>
      <c r="L1985" s="300">
        <v>1.0</v>
      </c>
      <c r="M1985" s="300">
        <v>1.0</v>
      </c>
      <c r="N1985" s="300">
        <v>8.0</v>
      </c>
      <c r="O1985" s="300" t="s">
        <v>891</v>
      </c>
      <c r="P1985" s="300">
        <v>3.0</v>
      </c>
    </row>
    <row r="1986">
      <c r="A1986">
        <f>IFERROR(__xludf.DUMMYFUNCTION("""COMPUTED_VALUE"""),12.0)</f>
        <v>12</v>
      </c>
      <c r="B1986">
        <f>IFERROR(__xludf.DUMMYFUNCTION("""COMPUTED_VALUE"""),26060.0)</f>
        <v>26060</v>
      </c>
      <c r="C1986" t="str">
        <f>IFERROR(__xludf.DUMMYFUNCTION("""COMPUTED_VALUE"""),"JARAMILLO OSPINA, ANTONIA")</f>
        <v>JARAMILLO OSPINA, ANTONIA</v>
      </c>
      <c r="D1986" t="str">
        <f>IFERROR(__xludf.DUMMYFUNCTION("""COMPUTED_VALUE"""),"Environmental Science")</f>
        <v>Environmental Science</v>
      </c>
      <c r="E1986" s="3">
        <f>IFERROR(__xludf.DUMMYFUNCTION("""COMPUTED_VALUE"""),8.0)</f>
        <v>8</v>
      </c>
      <c r="F1986" s="300">
        <v>1.0</v>
      </c>
      <c r="G1986" s="300">
        <v>1.0</v>
      </c>
      <c r="H1986" s="300">
        <v>1.0</v>
      </c>
      <c r="I1986" s="300">
        <v>1.0</v>
      </c>
      <c r="J1986" s="300">
        <v>1.0</v>
      </c>
      <c r="K1986" s="300">
        <v>1.0</v>
      </c>
      <c r="L1986" s="300">
        <v>1.0</v>
      </c>
      <c r="M1986" s="300">
        <v>1.0</v>
      </c>
      <c r="N1986" s="300">
        <v>8.0</v>
      </c>
      <c r="O1986" s="300" t="s">
        <v>891</v>
      </c>
      <c r="P1986" s="300">
        <v>3.0</v>
      </c>
    </row>
    <row r="1987">
      <c r="A1987">
        <f>IFERROR(__xludf.DUMMYFUNCTION("""COMPUTED_VALUE"""),12.0)</f>
        <v>12</v>
      </c>
      <c r="B1987">
        <f>IFERROR(__xludf.DUMMYFUNCTION("""COMPUTED_VALUE"""),26134.0)</f>
        <v>26134</v>
      </c>
      <c r="C1987" t="str">
        <f>IFERROR(__xludf.DUMMYFUNCTION("""COMPUTED_VALUE"""),"BOHORQUEZ GOMEZ, GABRIELA")</f>
        <v>BOHORQUEZ GOMEZ, GABRIELA</v>
      </c>
      <c r="D1987" t="str">
        <f>IFERROR(__xludf.DUMMYFUNCTION("""COMPUTED_VALUE"""),"AP Environmental Science")</f>
        <v>AP Environmental Science</v>
      </c>
      <c r="E1987" s="3">
        <f>IFERROR(__xludf.DUMMYFUNCTION("""COMPUTED_VALUE"""),3.0)</f>
        <v>3</v>
      </c>
      <c r="F1987" s="300">
        <v>1.0</v>
      </c>
      <c r="G1987" s="300">
        <v>1.0</v>
      </c>
      <c r="H1987" s="300">
        <v>1.0</v>
      </c>
      <c r="I1987" s="300">
        <v>1.0</v>
      </c>
      <c r="J1987" s="300">
        <v>1.0</v>
      </c>
      <c r="K1987" s="300">
        <v>1.0</v>
      </c>
      <c r="L1987" s="300">
        <v>1.0</v>
      </c>
      <c r="M1987" s="300">
        <v>1.0</v>
      </c>
      <c r="N1987" s="300">
        <v>8.0</v>
      </c>
      <c r="O1987" s="300" t="s">
        <v>890</v>
      </c>
      <c r="P1987" s="300">
        <v>1.0</v>
      </c>
    </row>
    <row r="1988">
      <c r="A1988">
        <f>IFERROR(__xludf.DUMMYFUNCTION("""COMPUTED_VALUE"""),12.0)</f>
        <v>12</v>
      </c>
      <c r="B1988">
        <f>IFERROR(__xludf.DUMMYFUNCTION("""COMPUTED_VALUE"""),26143.0)</f>
        <v>26143</v>
      </c>
      <c r="C1988" t="str">
        <f>IFERROR(__xludf.DUMMYFUNCTION("""COMPUTED_VALUE"""),"BEDOYA JIMENEZ, SEBASTIAN")</f>
        <v>BEDOYA JIMENEZ, SEBASTIAN</v>
      </c>
      <c r="D1988" t="str">
        <f>IFERROR(__xludf.DUMMYFUNCTION("""COMPUTED_VALUE"""),"AP Chemistry")</f>
        <v>AP Chemistry</v>
      </c>
      <c r="E1988" s="3">
        <f>IFERROR(__xludf.DUMMYFUNCTION("""COMPUTED_VALUE"""),7.0)</f>
        <v>7</v>
      </c>
      <c r="F1988" s="300">
        <v>1.0</v>
      </c>
      <c r="G1988" s="300">
        <v>1.0</v>
      </c>
      <c r="H1988" s="300">
        <v>1.0</v>
      </c>
      <c r="I1988" s="300">
        <v>1.0</v>
      </c>
      <c r="J1988" s="300">
        <v>1.0</v>
      </c>
      <c r="K1988" s="300">
        <v>1.0</v>
      </c>
      <c r="L1988" s="300">
        <v>1.0</v>
      </c>
      <c r="M1988" s="300">
        <v>1.0</v>
      </c>
      <c r="N1988" s="300">
        <v>8.0</v>
      </c>
      <c r="O1988" s="300" t="s">
        <v>893</v>
      </c>
      <c r="P1988" s="300">
        <v>1.0</v>
      </c>
    </row>
    <row r="1989">
      <c r="A1989">
        <f>IFERROR(__xludf.DUMMYFUNCTION("""COMPUTED_VALUE"""),12.0)</f>
        <v>12</v>
      </c>
      <c r="B1989">
        <f>IFERROR(__xludf.DUMMYFUNCTION("""COMPUTED_VALUE"""),26063.0)</f>
        <v>26063</v>
      </c>
      <c r="C1989" t="str">
        <f>IFERROR(__xludf.DUMMYFUNCTION("""COMPUTED_VALUE"""),"KIM LEE, SAE-YOUNG PABLO")</f>
        <v>KIM LEE, SAE-YOUNG PABLO</v>
      </c>
      <c r="D1989" t="str">
        <f>IFERROR(__xludf.DUMMYFUNCTION("""COMPUTED_VALUE"""),"AP Physics 2")</f>
        <v>AP Physics 2</v>
      </c>
      <c r="E1989" s="3">
        <f>IFERROR(__xludf.DUMMYFUNCTION("""COMPUTED_VALUE"""),5.0)</f>
        <v>5</v>
      </c>
      <c r="F1989" s="300">
        <v>1.0</v>
      </c>
      <c r="G1989" s="300">
        <v>1.0</v>
      </c>
      <c r="H1989" s="300">
        <v>1.0</v>
      </c>
      <c r="I1989" s="300">
        <v>1.0</v>
      </c>
      <c r="J1989" s="300">
        <v>1.0</v>
      </c>
      <c r="K1989" s="300">
        <v>1.0</v>
      </c>
      <c r="L1989" s="300">
        <v>1.0</v>
      </c>
      <c r="M1989" s="300">
        <v>1.0</v>
      </c>
      <c r="N1989" s="300">
        <v>8.0</v>
      </c>
      <c r="O1989" s="300" t="s">
        <v>888</v>
      </c>
      <c r="P1989" s="300">
        <v>2.0</v>
      </c>
    </row>
    <row r="1990">
      <c r="A1990">
        <f>IFERROR(__xludf.DUMMYFUNCTION("""COMPUTED_VALUE"""),12.0)</f>
        <v>12</v>
      </c>
      <c r="B1990">
        <f>IFERROR(__xludf.DUMMYFUNCTION("""COMPUTED_VALUE"""),26018.0)</f>
        <v>26018</v>
      </c>
      <c r="C1990" t="str">
        <f>IFERROR(__xludf.DUMMYFUNCTION("""COMPUTED_VALUE"""),"BOTERO TOQUICA, REBECA")</f>
        <v>BOTERO TOQUICA, REBECA</v>
      </c>
      <c r="D1990" t="str">
        <f>IFERROR(__xludf.DUMMYFUNCTION("""COMPUTED_VALUE"""),"Environmental Science")</f>
        <v>Environmental Science</v>
      </c>
      <c r="E1990" s="3">
        <f>IFERROR(__xludf.DUMMYFUNCTION("""COMPUTED_VALUE"""),6.0)</f>
        <v>6</v>
      </c>
      <c r="F1990" s="300">
        <v>1.0</v>
      </c>
      <c r="G1990" s="300">
        <v>1.0</v>
      </c>
      <c r="H1990" s="300">
        <v>1.0</v>
      </c>
      <c r="I1990" s="300">
        <v>1.0</v>
      </c>
      <c r="J1990" s="300">
        <v>1.0</v>
      </c>
      <c r="K1990" s="300">
        <v>1.0</v>
      </c>
      <c r="L1990" s="300">
        <v>1.0</v>
      </c>
      <c r="M1990" s="300">
        <v>1.0</v>
      </c>
      <c r="N1990" s="300">
        <v>8.0</v>
      </c>
      <c r="O1990" s="300" t="s">
        <v>887</v>
      </c>
      <c r="P1990" s="300">
        <v>3.0</v>
      </c>
    </row>
    <row r="1991">
      <c r="A1991">
        <f>IFERROR(__xludf.DUMMYFUNCTION("""COMPUTED_VALUE"""),12.0)</f>
        <v>12</v>
      </c>
      <c r="B1991">
        <f>IFERROR(__xludf.DUMMYFUNCTION("""COMPUTED_VALUE"""),26087.0)</f>
        <v>26087</v>
      </c>
      <c r="C1991" t="str">
        <f>IFERROR(__xludf.DUMMYFUNCTION("""COMPUTED_VALUE"""),"PELAEZ BORDA, ELIAS")</f>
        <v>PELAEZ BORDA, ELIAS</v>
      </c>
      <c r="D1991" t="str">
        <f>IFERROR(__xludf.DUMMYFUNCTION("""COMPUTED_VALUE"""),"AP Physics 2")</f>
        <v>AP Physics 2</v>
      </c>
      <c r="E1991" s="3">
        <f>IFERROR(__xludf.DUMMYFUNCTION("""COMPUTED_VALUE"""),5.0)</f>
        <v>5</v>
      </c>
      <c r="F1991" s="300">
        <v>1.0</v>
      </c>
      <c r="G1991" s="300">
        <v>1.0</v>
      </c>
      <c r="H1991" s="300">
        <v>1.0</v>
      </c>
      <c r="I1991" s="300">
        <v>1.0</v>
      </c>
      <c r="J1991" s="300">
        <v>1.0</v>
      </c>
      <c r="K1991" s="300">
        <v>1.0</v>
      </c>
      <c r="L1991" s="300">
        <v>1.0</v>
      </c>
      <c r="M1991" s="300">
        <v>1.0</v>
      </c>
      <c r="N1991" s="300">
        <v>8.0</v>
      </c>
      <c r="O1991" s="300" t="s">
        <v>888</v>
      </c>
      <c r="P1991" s="300">
        <v>2.0</v>
      </c>
    </row>
    <row r="1992">
      <c r="A1992">
        <f>IFERROR(__xludf.DUMMYFUNCTION("""COMPUTED_VALUE"""),12.0)</f>
        <v>12</v>
      </c>
      <c r="B1992">
        <f>IFERROR(__xludf.DUMMYFUNCTION("""COMPUTED_VALUE"""),26065.0)</f>
        <v>26065</v>
      </c>
      <c r="C1992" t="str">
        <f>IFERROR(__xludf.DUMMYFUNCTION("""COMPUTED_VALUE"""),"LONDOÑO CONGOTE, SANTIAGO")</f>
        <v>LONDOÑO CONGOTE, SANTIAGO</v>
      </c>
      <c r="D1992" t="str">
        <f>IFERROR(__xludf.DUMMYFUNCTION("""COMPUTED_VALUE"""),"Anatomy and Physiology")</f>
        <v>Anatomy and Physiology</v>
      </c>
      <c r="E1992" s="3">
        <f>IFERROR(__xludf.DUMMYFUNCTION("""COMPUTED_VALUE"""),8.0)</f>
        <v>8</v>
      </c>
      <c r="F1992" s="300">
        <v>1.0</v>
      </c>
      <c r="G1992" s="300">
        <v>1.0</v>
      </c>
      <c r="H1992" s="300">
        <v>1.0</v>
      </c>
      <c r="I1992" s="300">
        <v>1.0</v>
      </c>
      <c r="J1992" s="300">
        <v>1.0</v>
      </c>
      <c r="K1992" s="300">
        <v>1.0</v>
      </c>
      <c r="L1992" s="300">
        <v>1.0</v>
      </c>
      <c r="M1992" s="300">
        <v>1.0</v>
      </c>
      <c r="N1992" s="300">
        <v>8.0</v>
      </c>
      <c r="O1992" s="300" t="s">
        <v>894</v>
      </c>
      <c r="P1992" s="300">
        <v>2.0</v>
      </c>
    </row>
    <row r="1993">
      <c r="A1993">
        <f>IFERROR(__xludf.DUMMYFUNCTION("""COMPUTED_VALUE"""),12.0)</f>
        <v>12</v>
      </c>
      <c r="B1993">
        <f>IFERROR(__xludf.DUMMYFUNCTION("""COMPUTED_VALUE"""),26150.0)</f>
        <v>26150</v>
      </c>
      <c r="C1993" t="str">
        <f>IFERROR(__xludf.DUMMYFUNCTION("""COMPUTED_VALUE"""),"MOLANO MESA, CANDELARIA")</f>
        <v>MOLANO MESA, CANDELARIA</v>
      </c>
      <c r="D1993" t="str">
        <f>IFERROR(__xludf.DUMMYFUNCTION("""COMPUTED_VALUE"""),"Environmental Science")</f>
        <v>Environmental Science</v>
      </c>
      <c r="E1993" s="3">
        <f>IFERROR(__xludf.DUMMYFUNCTION("""COMPUTED_VALUE"""),6.0)</f>
        <v>6</v>
      </c>
      <c r="F1993" s="300">
        <v>1.0</v>
      </c>
      <c r="G1993" s="300">
        <v>1.0</v>
      </c>
      <c r="H1993" s="300">
        <v>1.0</v>
      </c>
      <c r="I1993" s="300">
        <v>1.0</v>
      </c>
      <c r="J1993" s="300">
        <v>1.0</v>
      </c>
      <c r="K1993" s="300">
        <v>1.0</v>
      </c>
      <c r="L1993" s="300">
        <v>1.0</v>
      </c>
      <c r="M1993" s="300">
        <v>1.0</v>
      </c>
      <c r="N1993" s="300">
        <v>8.0</v>
      </c>
      <c r="O1993" s="300" t="s">
        <v>887</v>
      </c>
      <c r="P1993" s="300">
        <v>3.0</v>
      </c>
    </row>
    <row r="1994">
      <c r="A1994">
        <f>IFERROR(__xludf.DUMMYFUNCTION("""COMPUTED_VALUE"""),12.0)</f>
        <v>12</v>
      </c>
      <c r="B1994">
        <f>IFERROR(__xludf.DUMMYFUNCTION("""COMPUTED_VALUE"""),26061.0)</f>
        <v>26061</v>
      </c>
      <c r="C1994" t="str">
        <f>IFERROR(__xludf.DUMMYFUNCTION("""COMPUTED_VALUE"""),"JARAMILLO RUIZ, BENJAMIN")</f>
        <v>JARAMILLO RUIZ, BENJAMIN</v>
      </c>
      <c r="D1994" t="str">
        <f>IFERROR(__xludf.DUMMYFUNCTION("""COMPUTED_VALUE"""),"AP Physics 2")</f>
        <v>AP Physics 2</v>
      </c>
      <c r="E1994" s="3">
        <f>IFERROR(__xludf.DUMMYFUNCTION("""COMPUTED_VALUE"""),3.0)</f>
        <v>3</v>
      </c>
      <c r="F1994" s="300">
        <v>1.0</v>
      </c>
      <c r="G1994" s="300">
        <v>1.0</v>
      </c>
      <c r="H1994" s="300">
        <v>1.0</v>
      </c>
      <c r="I1994" s="300">
        <v>1.0</v>
      </c>
      <c r="J1994" s="300">
        <v>1.0</v>
      </c>
      <c r="K1994" s="300">
        <v>1.0</v>
      </c>
      <c r="L1994" s="300">
        <v>1.0</v>
      </c>
      <c r="M1994" s="300">
        <v>1.0</v>
      </c>
      <c r="N1994" s="300">
        <v>8.0</v>
      </c>
      <c r="O1994" s="300" t="s">
        <v>886</v>
      </c>
      <c r="P1994" s="300">
        <v>2.0</v>
      </c>
    </row>
    <row r="1995">
      <c r="A1995">
        <f>IFERROR(__xludf.DUMMYFUNCTION("""COMPUTED_VALUE"""),12.0)</f>
        <v>12</v>
      </c>
      <c r="B1995">
        <f>IFERROR(__xludf.DUMMYFUNCTION("""COMPUTED_VALUE"""),26157.0)</f>
        <v>26157</v>
      </c>
      <c r="C1995" t="str">
        <f>IFERROR(__xludf.DUMMYFUNCTION("""COMPUTED_VALUE"""),"CARVAJAL PEREZ, JERONIMO")</f>
        <v>CARVAJAL PEREZ, JERONIMO</v>
      </c>
      <c r="D1995" t="str">
        <f>IFERROR(__xludf.DUMMYFUNCTION("""COMPUTED_VALUE"""),"Environmental Science")</f>
        <v>Environmental Science</v>
      </c>
      <c r="E1995" s="3">
        <f>IFERROR(__xludf.DUMMYFUNCTION("""COMPUTED_VALUE"""),6.0)</f>
        <v>6</v>
      </c>
      <c r="F1995" s="300">
        <v>1.0</v>
      </c>
      <c r="G1995" s="300">
        <v>1.0</v>
      </c>
      <c r="H1995" s="300">
        <v>1.0</v>
      </c>
      <c r="I1995" s="300">
        <v>1.0</v>
      </c>
      <c r="J1995" s="300">
        <v>1.0</v>
      </c>
      <c r="K1995" s="300">
        <v>1.0</v>
      </c>
      <c r="L1995" s="300">
        <v>1.0</v>
      </c>
      <c r="M1995" s="300">
        <v>1.0</v>
      </c>
      <c r="N1995" s="300">
        <v>8.0</v>
      </c>
      <c r="O1995" s="300" t="s">
        <v>887</v>
      </c>
      <c r="P1995" s="300">
        <v>3.0</v>
      </c>
    </row>
    <row r="1996">
      <c r="A1996">
        <f>IFERROR(__xludf.DUMMYFUNCTION("""COMPUTED_VALUE"""),12.0)</f>
        <v>12</v>
      </c>
      <c r="B1996">
        <f>IFERROR(__xludf.DUMMYFUNCTION("""COMPUTED_VALUE"""),26062.0)</f>
        <v>26062</v>
      </c>
      <c r="C1996" t="str">
        <f>IFERROR(__xludf.DUMMYFUNCTION("""COMPUTED_VALUE"""),"JIMENEZ ESCOBAR, NICOLAS")</f>
        <v>JIMENEZ ESCOBAR, NICOLAS</v>
      </c>
      <c r="D1996" t="str">
        <f>IFERROR(__xludf.DUMMYFUNCTION("""COMPUTED_VALUE"""),"AP Physics 2")</f>
        <v>AP Physics 2</v>
      </c>
      <c r="E1996" s="3">
        <f>IFERROR(__xludf.DUMMYFUNCTION("""COMPUTED_VALUE"""),5.0)</f>
        <v>5</v>
      </c>
      <c r="F1996" s="300">
        <v>1.0</v>
      </c>
      <c r="G1996" s="300">
        <v>1.0</v>
      </c>
      <c r="H1996" s="300">
        <v>1.0</v>
      </c>
      <c r="I1996" s="300">
        <v>1.0</v>
      </c>
      <c r="J1996" s="300">
        <v>1.0</v>
      </c>
      <c r="K1996" s="300">
        <v>1.0</v>
      </c>
      <c r="L1996" s="300">
        <v>1.0</v>
      </c>
      <c r="M1996" s="300">
        <v>1.0</v>
      </c>
      <c r="N1996" s="300">
        <v>8.0</v>
      </c>
      <c r="O1996" s="300" t="s">
        <v>888</v>
      </c>
      <c r="P1996" s="300">
        <v>2.0</v>
      </c>
    </row>
    <row r="1997">
      <c r="A1997">
        <f>IFERROR(__xludf.DUMMYFUNCTION("""COMPUTED_VALUE"""),12.0)</f>
        <v>12</v>
      </c>
      <c r="B1997">
        <f>IFERROR(__xludf.DUMMYFUNCTION("""COMPUTED_VALUE"""),26096.0)</f>
        <v>26096</v>
      </c>
      <c r="C1997" t="str">
        <f>IFERROR(__xludf.DUMMYFUNCTION("""COMPUTED_VALUE"""),"RAMOS TRUJILLO, MARIA JOSE")</f>
        <v>RAMOS TRUJILLO, MARIA JOSE</v>
      </c>
      <c r="D1997" t="str">
        <f>IFERROR(__xludf.DUMMYFUNCTION("""COMPUTED_VALUE"""),"AP Environmental Science")</f>
        <v>AP Environmental Science</v>
      </c>
      <c r="E1997" s="3">
        <f>IFERROR(__xludf.DUMMYFUNCTION("""COMPUTED_VALUE"""),3.0)</f>
        <v>3</v>
      </c>
      <c r="F1997" s="300">
        <v>1.0</v>
      </c>
      <c r="G1997" s="300">
        <v>1.0</v>
      </c>
      <c r="H1997" s="300">
        <v>1.0</v>
      </c>
      <c r="I1997" s="300">
        <v>1.0</v>
      </c>
      <c r="J1997" s="300">
        <v>1.0</v>
      </c>
      <c r="K1997" s="300">
        <v>1.0</v>
      </c>
      <c r="L1997" s="300">
        <v>1.0</v>
      </c>
      <c r="M1997" s="300">
        <v>1.0</v>
      </c>
      <c r="N1997" s="300">
        <v>8.0</v>
      </c>
      <c r="O1997" s="300" t="s">
        <v>890</v>
      </c>
      <c r="P1997" s="300">
        <v>1.0</v>
      </c>
    </row>
    <row r="1998">
      <c r="A1998">
        <f>IFERROR(__xludf.DUMMYFUNCTION("""COMPUTED_VALUE"""),12.0)</f>
        <v>12</v>
      </c>
      <c r="B1998">
        <f>IFERROR(__xludf.DUMMYFUNCTION("""COMPUTED_VALUE"""),26045.0)</f>
        <v>26045</v>
      </c>
      <c r="C1998" t="str">
        <f>IFERROR(__xludf.DUMMYFUNCTION("""COMPUTED_VALUE"""),"GRISALES PINEDA, JULIANA")</f>
        <v>GRISALES PINEDA, JULIANA</v>
      </c>
      <c r="D1998" t="str">
        <f>IFERROR(__xludf.DUMMYFUNCTION("""COMPUTED_VALUE"""),"AP Biology")</f>
        <v>AP Biology</v>
      </c>
      <c r="E1998" s="3">
        <f>IFERROR(__xludf.DUMMYFUNCTION("""COMPUTED_VALUE"""),5.0)</f>
        <v>5</v>
      </c>
      <c r="F1998" s="300">
        <v>1.0</v>
      </c>
      <c r="G1998" s="300">
        <v>1.0</v>
      </c>
      <c r="H1998" s="300">
        <v>1.0</v>
      </c>
      <c r="I1998" s="300">
        <v>1.0</v>
      </c>
      <c r="J1998" s="300">
        <v>1.0</v>
      </c>
      <c r="K1998" s="300">
        <v>1.0</v>
      </c>
      <c r="L1998" s="300">
        <v>1.0</v>
      </c>
      <c r="M1998" s="300">
        <v>1.0</v>
      </c>
      <c r="N1998" s="300">
        <v>8.0</v>
      </c>
      <c r="O1998" s="300" t="s">
        <v>892</v>
      </c>
      <c r="P1998" s="300">
        <v>1.0</v>
      </c>
    </row>
    <row r="1999">
      <c r="A1999">
        <f>IFERROR(__xludf.DUMMYFUNCTION("""COMPUTED_VALUE"""),12.0)</f>
        <v>12</v>
      </c>
      <c r="B1999">
        <f>IFERROR(__xludf.DUMMYFUNCTION("""COMPUTED_VALUE"""),26126.0)</f>
        <v>26126</v>
      </c>
      <c r="C1999" t="str">
        <f>IFERROR(__xludf.DUMMYFUNCTION("""COMPUTED_VALUE"""),"ZAPATA SALDARRIAGA, TOMAS")</f>
        <v>ZAPATA SALDARRIAGA, TOMAS</v>
      </c>
      <c r="D1999" t="str">
        <f>IFERROR(__xludf.DUMMYFUNCTION("""COMPUTED_VALUE"""),"AP Physics 2")</f>
        <v>AP Physics 2</v>
      </c>
      <c r="E1999" s="3">
        <f>IFERROR(__xludf.DUMMYFUNCTION("""COMPUTED_VALUE"""),5.0)</f>
        <v>5</v>
      </c>
      <c r="F1999" s="300">
        <v>1.0</v>
      </c>
      <c r="G1999" s="300">
        <v>1.0</v>
      </c>
      <c r="H1999" s="300">
        <v>1.0</v>
      </c>
      <c r="I1999" s="300">
        <v>1.0</v>
      </c>
      <c r="J1999" s="300">
        <v>1.0</v>
      </c>
      <c r="K1999" s="300">
        <v>1.0</v>
      </c>
      <c r="L1999" s="300">
        <v>1.0</v>
      </c>
      <c r="M1999" s="300">
        <v>1.0</v>
      </c>
      <c r="N1999" s="300">
        <v>8.0</v>
      </c>
      <c r="O1999" s="300" t="s">
        <v>888</v>
      </c>
      <c r="P1999" s="300">
        <v>2.0</v>
      </c>
    </row>
    <row r="2000">
      <c r="A2000">
        <f>IFERROR(__xludf.DUMMYFUNCTION("""COMPUTED_VALUE"""),12.0)</f>
        <v>12</v>
      </c>
      <c r="B2000">
        <f>IFERROR(__xludf.DUMMYFUNCTION("""COMPUTED_VALUE"""),26151.0)</f>
        <v>26151</v>
      </c>
      <c r="C2000" t="str">
        <f>IFERROR(__xludf.DUMMYFUNCTION("""COMPUTED_VALUE"""),"CADAVID ECHAVARRIA, SUSANA")</f>
        <v>CADAVID ECHAVARRIA, SUSANA</v>
      </c>
      <c r="D2000" t="str">
        <f>IFERROR(__xludf.DUMMYFUNCTION("""COMPUTED_VALUE"""),"Environmental Science")</f>
        <v>Environmental Science</v>
      </c>
      <c r="E2000" s="3">
        <f>IFERROR(__xludf.DUMMYFUNCTION("""COMPUTED_VALUE"""),6.0)</f>
        <v>6</v>
      </c>
      <c r="F2000" s="300">
        <v>1.0</v>
      </c>
      <c r="G2000" s="300">
        <v>1.0</v>
      </c>
      <c r="H2000" s="300">
        <v>1.0</v>
      </c>
      <c r="I2000" s="300">
        <v>1.0</v>
      </c>
      <c r="J2000" s="300">
        <v>1.0</v>
      </c>
      <c r="K2000" s="300">
        <v>1.0</v>
      </c>
      <c r="L2000" s="300">
        <v>1.0</v>
      </c>
      <c r="M2000" s="300">
        <v>1.0</v>
      </c>
      <c r="N2000" s="300">
        <v>8.0</v>
      </c>
      <c r="O2000" s="300" t="s">
        <v>887</v>
      </c>
      <c r="P2000" s="300">
        <v>3.0</v>
      </c>
    </row>
    <row r="2001">
      <c r="A2001">
        <f>IFERROR(__xludf.DUMMYFUNCTION("""COMPUTED_VALUE"""),12.0)</f>
        <v>12</v>
      </c>
      <c r="B2001">
        <f>IFERROR(__xludf.DUMMYFUNCTION("""COMPUTED_VALUE"""),26175.0)</f>
        <v>26175</v>
      </c>
      <c r="C2001" t="str">
        <f>IFERROR(__xludf.DUMMYFUNCTION("""COMPUTED_VALUE"""),"GRULLON SANTOS, DIEGO")</f>
        <v>GRULLON SANTOS, DIEGO</v>
      </c>
      <c r="D2001" t="str">
        <f>IFERROR(__xludf.DUMMYFUNCTION("""COMPUTED_VALUE"""),"AP Physics 2")</f>
        <v>AP Physics 2</v>
      </c>
      <c r="E2001" s="3">
        <f>IFERROR(__xludf.DUMMYFUNCTION("""COMPUTED_VALUE"""),3.0)</f>
        <v>3</v>
      </c>
      <c r="F2001" s="300">
        <v>1.0</v>
      </c>
      <c r="G2001" s="300">
        <v>1.0</v>
      </c>
      <c r="H2001" s="300">
        <v>1.0</v>
      </c>
      <c r="I2001" s="300">
        <v>1.0</v>
      </c>
      <c r="J2001" s="300">
        <v>1.0</v>
      </c>
      <c r="K2001" s="300">
        <v>1.0</v>
      </c>
      <c r="L2001" s="300">
        <v>1.0</v>
      </c>
      <c r="M2001" s="300">
        <v>1.0</v>
      </c>
      <c r="N2001" s="300">
        <v>8.0</v>
      </c>
      <c r="O2001" s="300" t="s">
        <v>886</v>
      </c>
      <c r="P2001" s="300">
        <v>2.0</v>
      </c>
    </row>
    <row r="2002">
      <c r="A2002">
        <f>IFERROR(__xludf.DUMMYFUNCTION("""COMPUTED_VALUE"""),12.0)</f>
        <v>12</v>
      </c>
      <c r="B2002">
        <f>IFERROR(__xludf.DUMMYFUNCTION("""COMPUTED_VALUE"""),26164.0)</f>
        <v>26164</v>
      </c>
      <c r="C2002" t="str">
        <f>IFERROR(__xludf.DUMMYFUNCTION("""COMPUTED_VALUE"""),"HARRIS, ROWEN IAN")</f>
        <v>HARRIS, ROWEN IAN</v>
      </c>
      <c r="D2002" t="str">
        <f>IFERROR(__xludf.DUMMYFUNCTION("""COMPUTED_VALUE"""),"Environmental Science")</f>
        <v>Environmental Science</v>
      </c>
      <c r="E2002" s="3">
        <f>IFERROR(__xludf.DUMMYFUNCTION("""COMPUTED_VALUE"""),2.0)</f>
        <v>2</v>
      </c>
      <c r="F2002" s="300">
        <v>1.0</v>
      </c>
      <c r="G2002" s="300">
        <v>1.0</v>
      </c>
      <c r="H2002" s="300">
        <v>1.0</v>
      </c>
      <c r="I2002" s="300">
        <v>1.0</v>
      </c>
      <c r="J2002" s="300">
        <v>1.0</v>
      </c>
      <c r="K2002" s="300">
        <v>1.0</v>
      </c>
      <c r="L2002" s="300">
        <v>1.0</v>
      </c>
      <c r="M2002" s="300">
        <v>1.0</v>
      </c>
      <c r="N2002" s="300">
        <v>8.0</v>
      </c>
      <c r="O2002" s="300" t="s">
        <v>889</v>
      </c>
      <c r="P2002" s="300">
        <v>3.0</v>
      </c>
    </row>
    <row r="2003">
      <c r="A2003">
        <f>IFERROR(__xludf.DUMMYFUNCTION("""COMPUTED_VALUE"""),12.0)</f>
        <v>12</v>
      </c>
      <c r="B2003">
        <f>IFERROR(__xludf.DUMMYFUNCTION("""COMPUTED_VALUE"""),26016.0)</f>
        <v>26016</v>
      </c>
      <c r="C2003" t="str">
        <f>IFERROR(__xludf.DUMMYFUNCTION("""COMPUTED_VALUE"""),"BETANCUR VILLEGAS, SOFIA")</f>
        <v>BETANCUR VILLEGAS, SOFIA</v>
      </c>
      <c r="D2003" t="str">
        <f>IFERROR(__xludf.DUMMYFUNCTION("""COMPUTED_VALUE"""),"AP Physics 2")</f>
        <v>AP Physics 2</v>
      </c>
      <c r="E2003" s="3">
        <f>IFERROR(__xludf.DUMMYFUNCTION("""COMPUTED_VALUE"""),3.0)</f>
        <v>3</v>
      </c>
      <c r="F2003" s="300">
        <v>1.0</v>
      </c>
      <c r="G2003" s="300">
        <v>1.0</v>
      </c>
      <c r="H2003" s="300">
        <v>1.0</v>
      </c>
      <c r="I2003" s="300">
        <v>1.0</v>
      </c>
      <c r="J2003" s="300">
        <v>1.0</v>
      </c>
      <c r="K2003" s="300">
        <v>1.0</v>
      </c>
      <c r="L2003" s="300">
        <v>1.0</v>
      </c>
      <c r="M2003" s="300">
        <v>1.0</v>
      </c>
      <c r="N2003" s="300">
        <v>8.0</v>
      </c>
      <c r="O2003" s="300" t="s">
        <v>886</v>
      </c>
      <c r="P2003" s="300">
        <v>2.0</v>
      </c>
    </row>
    <row r="2004">
      <c r="A2004">
        <f>IFERROR(__xludf.DUMMYFUNCTION("""COMPUTED_VALUE"""),12.0)</f>
        <v>12</v>
      </c>
      <c r="B2004">
        <f>IFERROR(__xludf.DUMMYFUNCTION("""COMPUTED_VALUE"""),26057.0)</f>
        <v>26057</v>
      </c>
      <c r="C2004" t="str">
        <f>IFERROR(__xludf.DUMMYFUNCTION("""COMPUTED_VALUE"""),"JARAMILLO ARANGO, AMALIA")</f>
        <v>JARAMILLO ARANGO, AMALIA</v>
      </c>
      <c r="D2004" t="str">
        <f>IFERROR(__xludf.DUMMYFUNCTION("""COMPUTED_VALUE"""),"Environmental Science")</f>
        <v>Environmental Science</v>
      </c>
      <c r="E2004" s="3">
        <f>IFERROR(__xludf.DUMMYFUNCTION("""COMPUTED_VALUE"""),2.0)</f>
        <v>2</v>
      </c>
      <c r="F2004" s="300">
        <v>1.0</v>
      </c>
      <c r="G2004" s="300">
        <v>1.0</v>
      </c>
      <c r="H2004" s="300">
        <v>1.0</v>
      </c>
      <c r="I2004" s="300">
        <v>1.0</v>
      </c>
      <c r="J2004" s="300">
        <v>1.0</v>
      </c>
      <c r="K2004" s="300">
        <v>1.0</v>
      </c>
      <c r="L2004" s="300">
        <v>1.0</v>
      </c>
      <c r="M2004" s="300">
        <v>1.0</v>
      </c>
      <c r="N2004" s="300">
        <v>8.0</v>
      </c>
      <c r="O2004" s="300" t="s">
        <v>889</v>
      </c>
      <c r="P2004" s="300">
        <v>3.0</v>
      </c>
    </row>
    <row r="2005">
      <c r="A2005">
        <f>IFERROR(__xludf.DUMMYFUNCTION("""COMPUTED_VALUE"""),12.0)</f>
        <v>12</v>
      </c>
      <c r="B2005">
        <f>IFERROR(__xludf.DUMMYFUNCTION("""COMPUTED_VALUE"""),26059.0)</f>
        <v>26059</v>
      </c>
      <c r="C2005" t="str">
        <f>IFERROR(__xludf.DUMMYFUNCTION("""COMPUTED_VALUE"""),"JARAMILLO NARANJO, SARA")</f>
        <v>JARAMILLO NARANJO, SARA</v>
      </c>
      <c r="D2005" t="str">
        <f>IFERROR(__xludf.DUMMYFUNCTION("""COMPUTED_VALUE"""),"Environmental Science")</f>
        <v>Environmental Science</v>
      </c>
      <c r="E2005" s="3">
        <f>IFERROR(__xludf.DUMMYFUNCTION("""COMPUTED_VALUE"""),2.0)</f>
        <v>2</v>
      </c>
      <c r="F2005" s="300">
        <v>1.0</v>
      </c>
      <c r="G2005" s="300">
        <v>1.0</v>
      </c>
      <c r="H2005" s="300">
        <v>1.0</v>
      </c>
      <c r="I2005" s="300">
        <v>1.0</v>
      </c>
      <c r="J2005" s="300">
        <v>1.0</v>
      </c>
      <c r="K2005" s="300">
        <v>1.0</v>
      </c>
      <c r="L2005" s="300">
        <v>1.0</v>
      </c>
      <c r="M2005" s="300">
        <v>1.0</v>
      </c>
      <c r="N2005" s="300">
        <v>8.0</v>
      </c>
      <c r="O2005" s="300" t="s">
        <v>889</v>
      </c>
      <c r="P2005" s="300">
        <v>3.0</v>
      </c>
    </row>
    <row r="2006">
      <c r="A2006">
        <f>IFERROR(__xludf.DUMMYFUNCTION("""COMPUTED_VALUE"""),12.0)</f>
        <v>12</v>
      </c>
      <c r="B2006">
        <f>IFERROR(__xludf.DUMMYFUNCTION("""COMPUTED_VALUE"""),26094.0)</f>
        <v>26094</v>
      </c>
      <c r="C2006" t="str">
        <f>IFERROR(__xludf.DUMMYFUNCTION("""COMPUTED_VALUE"""),"PULGARIN HUERTAS, AMELIA")</f>
        <v>PULGARIN HUERTAS, AMELIA</v>
      </c>
      <c r="D2006" t="str">
        <f>IFERROR(__xludf.DUMMYFUNCTION("""COMPUTED_VALUE"""),"Environmental Science")</f>
        <v>Environmental Science</v>
      </c>
      <c r="E2006" s="3">
        <f>IFERROR(__xludf.DUMMYFUNCTION("""COMPUTED_VALUE"""),2.0)</f>
        <v>2</v>
      </c>
      <c r="F2006" s="300">
        <v>1.0</v>
      </c>
      <c r="G2006" s="300">
        <v>1.0</v>
      </c>
      <c r="H2006" s="300">
        <v>1.0</v>
      </c>
      <c r="I2006" s="300">
        <v>1.0</v>
      </c>
      <c r="J2006" s="300">
        <v>1.0</v>
      </c>
      <c r="K2006" s="300">
        <v>1.0</v>
      </c>
      <c r="L2006" s="300">
        <v>1.0</v>
      </c>
      <c r="M2006" s="300">
        <v>1.0</v>
      </c>
      <c r="N2006" s="300">
        <v>8.0</v>
      </c>
      <c r="O2006" s="300" t="s">
        <v>889</v>
      </c>
      <c r="P2006" s="300">
        <v>3.0</v>
      </c>
    </row>
    <row r="2007">
      <c r="A2007">
        <f>IFERROR(__xludf.DUMMYFUNCTION("""COMPUTED_VALUE"""),12.0)</f>
        <v>12</v>
      </c>
      <c r="B2007">
        <f>IFERROR(__xludf.DUMMYFUNCTION("""COMPUTED_VALUE"""),26007.0)</f>
        <v>26007</v>
      </c>
      <c r="C2007" t="str">
        <f>IFERROR(__xludf.DUMMYFUNCTION("""COMPUTED_VALUE"""),"ARANGO ESCOBAR, JULIANA")</f>
        <v>ARANGO ESCOBAR, JULIANA</v>
      </c>
      <c r="D2007" t="str">
        <f>IFERROR(__xludf.DUMMYFUNCTION("""COMPUTED_VALUE"""),"AP Physics 2")</f>
        <v>AP Physics 2</v>
      </c>
      <c r="E2007" s="3">
        <f>IFERROR(__xludf.DUMMYFUNCTION("""COMPUTED_VALUE"""),5.0)</f>
        <v>5</v>
      </c>
      <c r="F2007" s="300">
        <v>1.0</v>
      </c>
      <c r="G2007" s="300">
        <v>1.0</v>
      </c>
      <c r="H2007" s="300">
        <v>1.0</v>
      </c>
      <c r="I2007" s="300">
        <v>1.0</v>
      </c>
      <c r="J2007" s="300">
        <v>1.0</v>
      </c>
      <c r="K2007" s="300">
        <v>1.0</v>
      </c>
      <c r="L2007" s="300">
        <v>1.0</v>
      </c>
      <c r="M2007" s="300">
        <v>1.0</v>
      </c>
      <c r="N2007" s="300">
        <v>8.0</v>
      </c>
      <c r="O2007" s="300" t="s">
        <v>888</v>
      </c>
      <c r="P2007" s="300">
        <v>2.0</v>
      </c>
    </row>
    <row r="2008">
      <c r="A2008">
        <f>IFERROR(__xludf.DUMMYFUNCTION("""COMPUTED_VALUE"""),12.0)</f>
        <v>12</v>
      </c>
      <c r="B2008">
        <f>IFERROR(__xludf.DUMMYFUNCTION("""COMPUTED_VALUE"""),26176.0)</f>
        <v>26176</v>
      </c>
      <c r="C2008" t="str">
        <f>IFERROR(__xludf.DUMMYFUNCTION("""COMPUTED_VALUE"""),"FORTICH ANGULO, SERGIO")</f>
        <v>FORTICH ANGULO, SERGIO</v>
      </c>
      <c r="D2008" t="str">
        <f>IFERROR(__xludf.DUMMYFUNCTION("""COMPUTED_VALUE"""),"Environmental Science")</f>
        <v>Environmental Science</v>
      </c>
      <c r="E2008" s="3">
        <f>IFERROR(__xludf.DUMMYFUNCTION("""COMPUTED_VALUE"""),8.0)</f>
        <v>8</v>
      </c>
      <c r="F2008" s="300">
        <v>1.0</v>
      </c>
      <c r="G2008" s="300">
        <v>1.0</v>
      </c>
      <c r="H2008" s="300">
        <v>1.0</v>
      </c>
      <c r="I2008" s="300">
        <v>1.0</v>
      </c>
      <c r="J2008" s="300">
        <v>1.0</v>
      </c>
      <c r="K2008" s="300">
        <v>1.0</v>
      </c>
      <c r="L2008" s="300">
        <v>1.0</v>
      </c>
      <c r="M2008" s="300">
        <v>1.0</v>
      </c>
      <c r="N2008" s="300">
        <v>8.0</v>
      </c>
      <c r="O2008" s="300" t="s">
        <v>891</v>
      </c>
      <c r="P2008" s="300">
        <v>3.0</v>
      </c>
    </row>
    <row r="2009">
      <c r="A2009">
        <f>IFERROR(__xludf.DUMMYFUNCTION("""COMPUTED_VALUE"""),12.0)</f>
        <v>12</v>
      </c>
      <c r="B2009">
        <f>IFERROR(__xludf.DUMMYFUNCTION("""COMPUTED_VALUE"""),26070.0)</f>
        <v>26070</v>
      </c>
      <c r="C2009" t="str">
        <f>IFERROR(__xludf.DUMMYFUNCTION("""COMPUTED_VALUE"""),"MEJIA MEJIA, LUCAS")</f>
        <v>MEJIA MEJIA, LUCAS</v>
      </c>
      <c r="D2009" t="str">
        <f>IFERROR(__xludf.DUMMYFUNCTION("""COMPUTED_VALUE"""),"Environmental Science")</f>
        <v>Environmental Science</v>
      </c>
      <c r="E2009" s="3">
        <f>IFERROR(__xludf.DUMMYFUNCTION("""COMPUTED_VALUE"""),2.0)</f>
        <v>2</v>
      </c>
      <c r="F2009" s="300">
        <v>1.0</v>
      </c>
      <c r="G2009" s="300">
        <v>1.0</v>
      </c>
      <c r="H2009" s="300">
        <v>1.0</v>
      </c>
      <c r="I2009" s="300">
        <v>1.0</v>
      </c>
      <c r="J2009" s="300">
        <v>1.0</v>
      </c>
      <c r="K2009" s="300">
        <v>1.0</v>
      </c>
      <c r="L2009" s="300">
        <v>1.0</v>
      </c>
      <c r="M2009" s="300">
        <v>1.0</v>
      </c>
      <c r="N2009" s="300">
        <v>8.0</v>
      </c>
      <c r="O2009" s="300" t="s">
        <v>889</v>
      </c>
      <c r="P2009" s="300">
        <v>3.0</v>
      </c>
    </row>
    <row r="2010">
      <c r="A2010">
        <f>IFERROR(__xludf.DUMMYFUNCTION("""COMPUTED_VALUE"""),12.0)</f>
        <v>12</v>
      </c>
      <c r="B2010">
        <f>IFERROR(__xludf.DUMMYFUNCTION("""COMPUTED_VALUE"""),26052.0)</f>
        <v>26052</v>
      </c>
      <c r="C2010" t="str">
        <f>IFERROR(__xludf.DUMMYFUNCTION("""COMPUTED_VALUE"""),"HINESTROSA SIERRA, AMALIA")</f>
        <v>HINESTROSA SIERRA, AMALIA</v>
      </c>
      <c r="D2010" t="str">
        <f>IFERROR(__xludf.DUMMYFUNCTION("""COMPUTED_VALUE"""),"AP Environmental Science")</f>
        <v>AP Environmental Science</v>
      </c>
      <c r="E2010" s="3">
        <f>IFERROR(__xludf.DUMMYFUNCTION("""COMPUTED_VALUE"""),3.0)</f>
        <v>3</v>
      </c>
      <c r="F2010" s="300">
        <v>1.0</v>
      </c>
      <c r="G2010" s="300">
        <v>1.0</v>
      </c>
      <c r="H2010" s="300">
        <v>1.0</v>
      </c>
      <c r="I2010" s="300">
        <v>1.0</v>
      </c>
      <c r="J2010" s="300">
        <v>1.0</v>
      </c>
      <c r="K2010" s="300">
        <v>1.0</v>
      </c>
      <c r="L2010" s="300">
        <v>1.0</v>
      </c>
      <c r="M2010" s="300">
        <v>1.0</v>
      </c>
      <c r="N2010" s="300">
        <v>8.0</v>
      </c>
      <c r="O2010" s="300" t="s">
        <v>890</v>
      </c>
      <c r="P2010" s="300">
        <v>1.0</v>
      </c>
    </row>
    <row r="2011">
      <c r="A2011">
        <f>IFERROR(__xludf.DUMMYFUNCTION("""COMPUTED_VALUE"""),12.0)</f>
        <v>12</v>
      </c>
      <c r="B2011">
        <f>IFERROR(__xludf.DUMMYFUNCTION("""COMPUTED_VALUE"""),26123.0)</f>
        <v>26123</v>
      </c>
      <c r="C2011" t="str">
        <f>IFERROR(__xludf.DUMMYFUNCTION("""COMPUTED_VALUE"""),"WOLFF RAMIREZ, MARIA")</f>
        <v>WOLFF RAMIREZ, MARIA</v>
      </c>
      <c r="D2011" t="str">
        <f>IFERROR(__xludf.DUMMYFUNCTION("""COMPUTED_VALUE"""),"AP Physics 2")</f>
        <v>AP Physics 2</v>
      </c>
      <c r="E2011" s="3">
        <f>IFERROR(__xludf.DUMMYFUNCTION("""COMPUTED_VALUE"""),5.0)</f>
        <v>5</v>
      </c>
      <c r="F2011" s="300">
        <v>1.0</v>
      </c>
      <c r="G2011" s="300">
        <v>1.0</v>
      </c>
      <c r="H2011" s="300">
        <v>1.0</v>
      </c>
      <c r="I2011" s="300">
        <v>1.0</v>
      </c>
      <c r="J2011" s="300">
        <v>1.0</v>
      </c>
      <c r="K2011" s="300">
        <v>1.0</v>
      </c>
      <c r="L2011" s="300">
        <v>1.0</v>
      </c>
      <c r="M2011" s="300">
        <v>1.0</v>
      </c>
      <c r="N2011" s="300">
        <v>8.0</v>
      </c>
      <c r="O2011" s="300" t="s">
        <v>888</v>
      </c>
      <c r="P2011" s="300">
        <v>2.0</v>
      </c>
    </row>
    <row r="2012">
      <c r="A2012">
        <f>IFERROR(__xludf.DUMMYFUNCTION("""COMPUTED_VALUE"""),12.0)</f>
        <v>12</v>
      </c>
      <c r="B2012">
        <f>IFERROR(__xludf.DUMMYFUNCTION("""COMPUTED_VALUE"""),26042.0)</f>
        <v>26042</v>
      </c>
      <c r="C2012" t="str">
        <f>IFERROR(__xludf.DUMMYFUNCTION("""COMPUTED_VALUE"""),"GOMEZ VELEZ, MIGUEL")</f>
        <v>GOMEZ VELEZ, MIGUEL</v>
      </c>
      <c r="D2012" t="str">
        <f>IFERROR(__xludf.DUMMYFUNCTION("""COMPUTED_VALUE"""),"AP Environmental Science")</f>
        <v>AP Environmental Science</v>
      </c>
      <c r="E2012" s="3">
        <f>IFERROR(__xludf.DUMMYFUNCTION("""COMPUTED_VALUE"""),3.0)</f>
        <v>3</v>
      </c>
      <c r="F2012" s="300">
        <v>1.0</v>
      </c>
      <c r="G2012" s="300">
        <v>1.0</v>
      </c>
      <c r="H2012" s="300">
        <v>1.0</v>
      </c>
      <c r="I2012" s="300">
        <v>1.0</v>
      </c>
      <c r="J2012" s="300">
        <v>1.0</v>
      </c>
      <c r="K2012" s="300">
        <v>1.0</v>
      </c>
      <c r="L2012" s="300">
        <v>1.0</v>
      </c>
      <c r="M2012" s="300">
        <v>1.0</v>
      </c>
      <c r="N2012" s="300">
        <v>8.0</v>
      </c>
      <c r="O2012" s="300" t="s">
        <v>890</v>
      </c>
      <c r="P2012" s="300">
        <v>1.0</v>
      </c>
    </row>
    <row r="2013">
      <c r="A2013">
        <f>IFERROR(__xludf.DUMMYFUNCTION("""COMPUTED_VALUE"""),12.0)</f>
        <v>12</v>
      </c>
      <c r="B2013">
        <f>IFERROR(__xludf.DUMMYFUNCTION("""COMPUTED_VALUE"""),26116.0)</f>
        <v>26116</v>
      </c>
      <c r="C2013" t="str">
        <f>IFERROR(__xludf.DUMMYFUNCTION("""COMPUTED_VALUE"""),"VELEZ FERRER, AGUSTIN")</f>
        <v>VELEZ FERRER, AGUSTIN</v>
      </c>
      <c r="D2013" t="str">
        <f>IFERROR(__xludf.DUMMYFUNCTION("""COMPUTED_VALUE"""),"Environmental Science")</f>
        <v>Environmental Science</v>
      </c>
      <c r="E2013" s="3">
        <f>IFERROR(__xludf.DUMMYFUNCTION("""COMPUTED_VALUE"""),6.0)</f>
        <v>6</v>
      </c>
      <c r="F2013" s="300">
        <v>1.0</v>
      </c>
      <c r="G2013" s="300">
        <v>1.0</v>
      </c>
      <c r="H2013" s="300">
        <v>1.0</v>
      </c>
      <c r="I2013" s="300">
        <v>1.0</v>
      </c>
      <c r="J2013" s="300">
        <v>1.0</v>
      </c>
      <c r="K2013" s="300">
        <v>1.0</v>
      </c>
      <c r="L2013" s="300">
        <v>1.0</v>
      </c>
      <c r="M2013" s="300">
        <v>1.0</v>
      </c>
      <c r="N2013" s="300">
        <v>8.0</v>
      </c>
      <c r="O2013" s="300" t="s">
        <v>887</v>
      </c>
      <c r="P2013" s="300">
        <v>3.0</v>
      </c>
    </row>
    <row r="2014">
      <c r="A2014">
        <f>IFERROR(__xludf.DUMMYFUNCTION("""COMPUTED_VALUE"""),12.0)</f>
        <v>12</v>
      </c>
      <c r="B2014">
        <f>IFERROR(__xludf.DUMMYFUNCTION("""COMPUTED_VALUE"""),26039.0)</f>
        <v>26039</v>
      </c>
      <c r="C2014" t="str">
        <f>IFERROR(__xludf.DUMMYFUNCTION("""COMPUTED_VALUE"""),"GOMEZ LINCE, MARIA")</f>
        <v>GOMEZ LINCE, MARIA</v>
      </c>
      <c r="D2014" t="str">
        <f>IFERROR(__xludf.DUMMYFUNCTION("""COMPUTED_VALUE"""),"Environmental Science")</f>
        <v>Environmental Science</v>
      </c>
      <c r="E2014" s="3">
        <f>IFERROR(__xludf.DUMMYFUNCTION("""COMPUTED_VALUE"""),8.0)</f>
        <v>8</v>
      </c>
      <c r="F2014" s="300">
        <v>1.0</v>
      </c>
      <c r="G2014" s="300">
        <v>1.0</v>
      </c>
      <c r="H2014" s="300">
        <v>1.0</v>
      </c>
      <c r="I2014" s="300">
        <v>1.0</v>
      </c>
      <c r="J2014" s="300">
        <v>1.0</v>
      </c>
      <c r="K2014" s="300">
        <v>1.0</v>
      </c>
      <c r="L2014" s="300">
        <v>1.0</v>
      </c>
      <c r="M2014" s="300">
        <v>1.0</v>
      </c>
      <c r="N2014" s="300">
        <v>8.0</v>
      </c>
      <c r="O2014" s="300" t="s">
        <v>891</v>
      </c>
      <c r="P2014" s="300">
        <v>3.0</v>
      </c>
    </row>
    <row r="2015">
      <c r="A2015">
        <f>IFERROR(__xludf.DUMMYFUNCTION("""COMPUTED_VALUE"""),12.0)</f>
        <v>12</v>
      </c>
      <c r="B2015">
        <f>IFERROR(__xludf.DUMMYFUNCTION("""COMPUTED_VALUE"""),26030.0)</f>
        <v>26030</v>
      </c>
      <c r="C2015" t="str">
        <f>IFERROR(__xludf.DUMMYFUNCTION("""COMPUTED_VALUE"""),"FERNANDEZ DUQUE, CANDELARIA")</f>
        <v>FERNANDEZ DUQUE, CANDELARIA</v>
      </c>
      <c r="D2015" t="str">
        <f>IFERROR(__xludf.DUMMYFUNCTION("""COMPUTED_VALUE"""),"Environmental Science")</f>
        <v>Environmental Science</v>
      </c>
      <c r="E2015" s="3">
        <f>IFERROR(__xludf.DUMMYFUNCTION("""COMPUTED_VALUE"""),8.0)</f>
        <v>8</v>
      </c>
      <c r="F2015" s="300">
        <v>1.0</v>
      </c>
      <c r="G2015" s="300">
        <v>1.0</v>
      </c>
      <c r="H2015" s="300">
        <v>1.0</v>
      </c>
      <c r="I2015" s="300">
        <v>1.0</v>
      </c>
      <c r="J2015" s="300">
        <v>1.0</v>
      </c>
      <c r="K2015" s="300">
        <v>1.0</v>
      </c>
      <c r="L2015" s="300">
        <v>1.0</v>
      </c>
      <c r="M2015" s="300">
        <v>1.0</v>
      </c>
      <c r="N2015" s="300">
        <v>8.0</v>
      </c>
      <c r="O2015" s="300" t="s">
        <v>891</v>
      </c>
      <c r="P2015" s="300">
        <v>3.0</v>
      </c>
    </row>
    <row r="2016">
      <c r="A2016">
        <f>IFERROR(__xludf.DUMMYFUNCTION("""COMPUTED_VALUE"""),12.0)</f>
        <v>12</v>
      </c>
      <c r="B2016">
        <f>IFERROR(__xludf.DUMMYFUNCTION("""COMPUTED_VALUE"""),26003.0)</f>
        <v>26003</v>
      </c>
      <c r="C2016" t="str">
        <f>IFERROR(__xludf.DUMMYFUNCTION("""COMPUTED_VALUE"""),"AGUDELO ECHEVERRI, MATIAS")</f>
        <v>AGUDELO ECHEVERRI, MATIAS</v>
      </c>
      <c r="D2016" t="str">
        <f>IFERROR(__xludf.DUMMYFUNCTION("""COMPUTED_VALUE"""),"Environmental Science")</f>
        <v>Environmental Science</v>
      </c>
      <c r="E2016" s="3">
        <f>IFERROR(__xludf.DUMMYFUNCTION("""COMPUTED_VALUE"""),8.0)</f>
        <v>8</v>
      </c>
      <c r="F2016" s="300">
        <v>1.0</v>
      </c>
      <c r="G2016" s="300">
        <v>1.0</v>
      </c>
      <c r="H2016" s="300">
        <v>1.0</v>
      </c>
      <c r="I2016" s="300">
        <v>1.0</v>
      </c>
      <c r="J2016" s="300">
        <v>1.0</v>
      </c>
      <c r="K2016" s="300">
        <v>1.0</v>
      </c>
      <c r="L2016" s="300">
        <v>1.0</v>
      </c>
      <c r="M2016" s="300">
        <v>1.0</v>
      </c>
      <c r="N2016" s="300">
        <v>8.0</v>
      </c>
      <c r="O2016" s="300" t="s">
        <v>891</v>
      </c>
      <c r="P2016" s="300">
        <v>3.0</v>
      </c>
    </row>
    <row r="2017">
      <c r="A2017">
        <f>IFERROR(__xludf.DUMMYFUNCTION("""COMPUTED_VALUE"""),12.0)</f>
        <v>12</v>
      </c>
      <c r="B2017" s="406">
        <f>IFERROR(__xludf.DUMMYFUNCTION("""COMPUTED_VALUE"""),26053.0)</f>
        <v>26053</v>
      </c>
      <c r="C2017" t="str">
        <f>IFERROR(__xludf.DUMMYFUNCTION("""COMPUTED_VALUE"""),"HODEK RESTREPO, MIA")</f>
        <v>HODEK RESTREPO, MIA</v>
      </c>
      <c r="D2017" t="str">
        <f>IFERROR(__xludf.DUMMYFUNCTION("""COMPUTED_VALUE"""),"AP Chemistry")</f>
        <v>AP Chemistry</v>
      </c>
      <c r="E2017" s="3">
        <f>IFERROR(__xludf.DUMMYFUNCTION("""COMPUTED_VALUE"""),7.0)</f>
        <v>7</v>
      </c>
      <c r="F2017" s="300">
        <v>1.0</v>
      </c>
      <c r="G2017" s="300">
        <v>1.0</v>
      </c>
      <c r="H2017" s="300">
        <v>1.0</v>
      </c>
      <c r="I2017" s="300">
        <v>1.0</v>
      </c>
      <c r="J2017" s="300">
        <v>1.0</v>
      </c>
      <c r="K2017" s="300">
        <v>1.0</v>
      </c>
      <c r="L2017" s="300">
        <v>1.0</v>
      </c>
      <c r="M2017" s="300">
        <v>1.0</v>
      </c>
      <c r="N2017" s="300">
        <v>8.0</v>
      </c>
      <c r="O2017" s="300" t="s">
        <v>893</v>
      </c>
      <c r="P2017" s="300">
        <v>1.0</v>
      </c>
    </row>
    <row r="2018">
      <c r="A2018">
        <f>IFERROR(__xludf.DUMMYFUNCTION("""COMPUTED_VALUE"""),12.0)</f>
        <v>12</v>
      </c>
      <c r="B2018">
        <f>IFERROR(__xludf.DUMMYFUNCTION("""COMPUTED_VALUE"""),26021.0)</f>
        <v>26021</v>
      </c>
      <c r="C2018" t="str">
        <f>IFERROR(__xludf.DUMMYFUNCTION("""COMPUTED_VALUE"""),"CARDONA OCHOA, CAMILA")</f>
        <v>CARDONA OCHOA, CAMILA</v>
      </c>
      <c r="D2018" t="str">
        <f>IFERROR(__xludf.DUMMYFUNCTION("""COMPUTED_VALUE"""),"AP Physics 2")</f>
        <v>AP Physics 2</v>
      </c>
      <c r="E2018" s="3">
        <f>IFERROR(__xludf.DUMMYFUNCTION("""COMPUTED_VALUE"""),5.0)</f>
        <v>5</v>
      </c>
      <c r="F2018" s="300">
        <v>1.0</v>
      </c>
      <c r="G2018" s="300">
        <v>1.0</v>
      </c>
      <c r="H2018" s="300">
        <v>1.0</v>
      </c>
      <c r="I2018" s="300">
        <v>1.0</v>
      </c>
      <c r="J2018" s="300">
        <v>1.0</v>
      </c>
      <c r="K2018" s="300">
        <v>1.0</v>
      </c>
      <c r="L2018" s="300">
        <v>1.0</v>
      </c>
      <c r="M2018" s="300">
        <v>1.0</v>
      </c>
      <c r="N2018" s="300">
        <v>8.0</v>
      </c>
      <c r="O2018" s="300" t="s">
        <v>888</v>
      </c>
      <c r="P2018" s="300">
        <v>2.0</v>
      </c>
    </row>
    <row r="2019">
      <c r="A2019">
        <f>IFERROR(__xludf.DUMMYFUNCTION("""COMPUTED_VALUE"""),12.0)</f>
        <v>12</v>
      </c>
      <c r="B2019">
        <f>IFERROR(__xludf.DUMMYFUNCTION("""COMPUTED_VALUE"""),26089.0)</f>
        <v>26089</v>
      </c>
      <c r="C2019" t="str">
        <f>IFERROR(__xludf.DUMMYFUNCTION("""COMPUTED_VALUE"""),"PEREZ YEPES, EMILIANO")</f>
        <v>PEREZ YEPES, EMILIANO</v>
      </c>
      <c r="D2019" t="str">
        <f>IFERROR(__xludf.DUMMYFUNCTION("""COMPUTED_VALUE"""),"Anatomy and Physiology")</f>
        <v>Anatomy and Physiology</v>
      </c>
      <c r="E2019" s="3">
        <f>IFERROR(__xludf.DUMMYFUNCTION("""COMPUTED_VALUE"""),4.0)</f>
        <v>4</v>
      </c>
      <c r="F2019" s="300">
        <v>1.0</v>
      </c>
      <c r="G2019" s="300">
        <v>1.0</v>
      </c>
      <c r="H2019" s="300">
        <v>1.0</v>
      </c>
      <c r="I2019" s="300">
        <v>1.0</v>
      </c>
      <c r="J2019" s="300">
        <v>1.0</v>
      </c>
      <c r="K2019" s="300">
        <v>1.0</v>
      </c>
      <c r="L2019" s="300">
        <v>1.0</v>
      </c>
      <c r="M2019" s="300">
        <v>1.0</v>
      </c>
      <c r="N2019" s="300">
        <v>8.0</v>
      </c>
      <c r="O2019" s="300" t="s">
        <v>895</v>
      </c>
      <c r="P2019" s="300">
        <v>2.0</v>
      </c>
    </row>
    <row r="2020">
      <c r="A2020">
        <f>IFERROR(__xludf.DUMMYFUNCTION("""COMPUTED_VALUE"""),12.0)</f>
        <v>12</v>
      </c>
      <c r="B2020">
        <f>IFERROR(__xludf.DUMMYFUNCTION("""COMPUTED_VALUE"""),26035.0)</f>
        <v>26035</v>
      </c>
      <c r="C2020" t="str">
        <f>IFERROR(__xludf.DUMMYFUNCTION("""COMPUTED_VALUE"""),"GAVIRIA GONZALEZ, MATIAS")</f>
        <v>GAVIRIA GONZALEZ, MATIAS</v>
      </c>
      <c r="D2020" t="str">
        <f>IFERROR(__xludf.DUMMYFUNCTION("""COMPUTED_VALUE"""),"Environmental Science")</f>
        <v>Environmental Science</v>
      </c>
      <c r="E2020" s="3">
        <f>IFERROR(__xludf.DUMMYFUNCTION("""COMPUTED_VALUE"""),2.0)</f>
        <v>2</v>
      </c>
      <c r="F2020" s="300">
        <v>1.0</v>
      </c>
      <c r="G2020" s="300">
        <v>1.0</v>
      </c>
      <c r="H2020" s="300">
        <v>1.0</v>
      </c>
      <c r="I2020" s="300">
        <v>1.0</v>
      </c>
      <c r="J2020" s="300">
        <v>1.0</v>
      </c>
      <c r="K2020" s="300">
        <v>1.0</v>
      </c>
      <c r="L2020" s="300">
        <v>1.0</v>
      </c>
      <c r="M2020" s="300">
        <v>1.0</v>
      </c>
      <c r="N2020" s="300">
        <v>8.0</v>
      </c>
      <c r="O2020" s="300" t="s">
        <v>889</v>
      </c>
      <c r="P2020" s="300">
        <v>3.0</v>
      </c>
    </row>
    <row r="2021">
      <c r="A2021">
        <f>IFERROR(__xludf.DUMMYFUNCTION("""COMPUTED_VALUE"""),12.0)</f>
        <v>12</v>
      </c>
      <c r="B2021">
        <f>IFERROR(__xludf.DUMMYFUNCTION("""COMPUTED_VALUE"""),26171.0)</f>
        <v>26171</v>
      </c>
      <c r="C2021" t="str">
        <f>IFERROR(__xludf.DUMMYFUNCTION("""COMPUTED_VALUE"""),"GOMEZ AMADOR, MATIAS")</f>
        <v>GOMEZ AMADOR, MATIAS</v>
      </c>
      <c r="D2021" t="str">
        <f>IFERROR(__xludf.DUMMYFUNCTION("""COMPUTED_VALUE"""),"Anatomy and Physiology")</f>
        <v>Anatomy and Physiology</v>
      </c>
      <c r="E2021" s="3">
        <f>IFERROR(__xludf.DUMMYFUNCTION("""COMPUTED_VALUE"""),4.0)</f>
        <v>4</v>
      </c>
      <c r="F2021" s="300">
        <v>1.0</v>
      </c>
      <c r="G2021" s="300">
        <v>1.0</v>
      </c>
      <c r="H2021" s="300">
        <v>1.0</v>
      </c>
      <c r="I2021" s="300">
        <v>1.0</v>
      </c>
      <c r="J2021" s="300">
        <v>1.0</v>
      </c>
      <c r="K2021" s="300">
        <v>1.0</v>
      </c>
      <c r="L2021" s="300">
        <v>1.0</v>
      </c>
      <c r="M2021" s="300">
        <v>1.0</v>
      </c>
      <c r="N2021" s="300">
        <v>8.0</v>
      </c>
      <c r="O2021" s="300" t="s">
        <v>895</v>
      </c>
      <c r="P2021" s="300">
        <v>2.0</v>
      </c>
    </row>
    <row r="2022">
      <c r="A2022">
        <f>IFERROR(__xludf.DUMMYFUNCTION("""COMPUTED_VALUE"""),12.0)</f>
        <v>12</v>
      </c>
      <c r="B2022">
        <f>IFERROR(__xludf.DUMMYFUNCTION("""COMPUTED_VALUE"""),26066.0)</f>
        <v>26066</v>
      </c>
      <c r="C2022" t="str">
        <f>IFERROR(__xludf.DUMMYFUNCTION("""COMPUTED_VALUE"""),"LONDOÑO CUARTAS, MANUEL")</f>
        <v>LONDOÑO CUARTAS, MANUEL</v>
      </c>
      <c r="D2022" t="str">
        <f>IFERROR(__xludf.DUMMYFUNCTION("""COMPUTED_VALUE"""),"Environmental Science")</f>
        <v>Environmental Science</v>
      </c>
      <c r="E2022" s="3">
        <f>IFERROR(__xludf.DUMMYFUNCTION("""COMPUTED_VALUE"""),8.0)</f>
        <v>8</v>
      </c>
      <c r="F2022" s="300">
        <v>1.0</v>
      </c>
      <c r="G2022" s="300">
        <v>1.0</v>
      </c>
      <c r="H2022" s="300">
        <v>1.0</v>
      </c>
      <c r="I2022" s="300">
        <v>1.0</v>
      </c>
      <c r="J2022" s="300">
        <v>1.0</v>
      </c>
      <c r="K2022" s="300">
        <v>1.0</v>
      </c>
      <c r="L2022" s="300">
        <v>1.0</v>
      </c>
      <c r="M2022" s="300">
        <v>1.0</v>
      </c>
      <c r="N2022" s="300">
        <v>8.0</v>
      </c>
      <c r="O2022" s="300" t="s">
        <v>891</v>
      </c>
      <c r="P2022" s="300">
        <v>3.0</v>
      </c>
    </row>
    <row r="2023">
      <c r="A2023">
        <f>IFERROR(__xludf.DUMMYFUNCTION("""COMPUTED_VALUE"""),12.0)</f>
        <v>12</v>
      </c>
      <c r="B2023">
        <f>IFERROR(__xludf.DUMMYFUNCTION("""COMPUTED_VALUE"""),26101.0)</f>
        <v>26101</v>
      </c>
      <c r="C2023" t="str">
        <f>IFERROR(__xludf.DUMMYFUNCTION("""COMPUTED_VALUE"""),"ROBLES RESTREPO, MANOLO")</f>
        <v>ROBLES RESTREPO, MANOLO</v>
      </c>
      <c r="D2023" t="str">
        <f>IFERROR(__xludf.DUMMYFUNCTION("""COMPUTED_VALUE"""),"Environmental Science")</f>
        <v>Environmental Science</v>
      </c>
      <c r="E2023" s="3">
        <f>IFERROR(__xludf.DUMMYFUNCTION("""COMPUTED_VALUE"""),6.0)</f>
        <v>6</v>
      </c>
      <c r="F2023" s="300">
        <v>1.0</v>
      </c>
      <c r="G2023" s="300">
        <v>1.0</v>
      </c>
      <c r="H2023" s="300">
        <v>1.0</v>
      </c>
      <c r="I2023" s="300">
        <v>1.0</v>
      </c>
      <c r="J2023" s="300">
        <v>1.0</v>
      </c>
      <c r="K2023" s="300">
        <v>1.0</v>
      </c>
      <c r="L2023" s="300">
        <v>1.0</v>
      </c>
      <c r="M2023" s="300">
        <v>1.0</v>
      </c>
      <c r="N2023" s="300">
        <v>8.0</v>
      </c>
      <c r="O2023" s="300" t="s">
        <v>887</v>
      </c>
      <c r="P2023" s="300">
        <v>3.0</v>
      </c>
    </row>
    <row r="2024">
      <c r="A2024">
        <f>IFERROR(__xludf.DUMMYFUNCTION("""COMPUTED_VALUE"""),12.0)</f>
        <v>12</v>
      </c>
      <c r="B2024">
        <f>IFERROR(__xludf.DUMMYFUNCTION("""COMPUTED_VALUE"""),26008.0)</f>
        <v>26008</v>
      </c>
      <c r="C2024" t="str">
        <f>IFERROR(__xludf.DUMMYFUNCTION("""COMPUTED_VALUE"""),"ARANGO FERNANDEZ, JUAN")</f>
        <v>ARANGO FERNANDEZ, JUAN</v>
      </c>
      <c r="D2024" t="str">
        <f>IFERROR(__xludf.DUMMYFUNCTION("""COMPUTED_VALUE"""),"Environmental Science")</f>
        <v>Environmental Science</v>
      </c>
      <c r="E2024" s="3">
        <f>IFERROR(__xludf.DUMMYFUNCTION("""COMPUTED_VALUE"""),2.0)</f>
        <v>2</v>
      </c>
      <c r="F2024" s="300">
        <v>1.0</v>
      </c>
      <c r="G2024" s="300">
        <v>1.0</v>
      </c>
      <c r="H2024" s="300">
        <v>1.0</v>
      </c>
      <c r="I2024" s="300">
        <v>1.0</v>
      </c>
      <c r="J2024" s="300">
        <v>1.0</v>
      </c>
      <c r="K2024" s="300">
        <v>1.0</v>
      </c>
      <c r="L2024" s="300">
        <v>1.0</v>
      </c>
      <c r="M2024" s="300">
        <v>1.0</v>
      </c>
      <c r="N2024" s="300">
        <v>8.0</v>
      </c>
      <c r="O2024" s="300" t="s">
        <v>889</v>
      </c>
      <c r="P2024" s="300">
        <v>3.0</v>
      </c>
    </row>
    <row r="2025">
      <c r="A2025">
        <f>IFERROR(__xludf.DUMMYFUNCTION("""COMPUTED_VALUE"""),12.0)</f>
        <v>12</v>
      </c>
      <c r="B2025">
        <f>IFERROR(__xludf.DUMMYFUNCTION("""COMPUTED_VALUE"""),26011.0)</f>
        <v>26011</v>
      </c>
      <c r="C2025" t="str">
        <f>IFERROR(__xludf.DUMMYFUNCTION("""COMPUTED_VALUE"""),"ARROYAVE RESTREPO, CAMILO")</f>
        <v>ARROYAVE RESTREPO, CAMILO</v>
      </c>
      <c r="D2025" t="str">
        <f>IFERROR(__xludf.DUMMYFUNCTION("""COMPUTED_VALUE"""),"Anatomy and Physiology")</f>
        <v>Anatomy and Physiology</v>
      </c>
      <c r="E2025" s="3">
        <f>IFERROR(__xludf.DUMMYFUNCTION("""COMPUTED_VALUE"""),4.0)</f>
        <v>4</v>
      </c>
      <c r="F2025" s="300">
        <v>1.0</v>
      </c>
      <c r="G2025" s="300">
        <v>1.0</v>
      </c>
      <c r="H2025" s="300">
        <v>1.0</v>
      </c>
      <c r="I2025" s="300">
        <v>1.0</v>
      </c>
      <c r="J2025" s="300">
        <v>1.0</v>
      </c>
      <c r="K2025" s="300">
        <v>1.0</v>
      </c>
      <c r="L2025" s="300">
        <v>1.0</v>
      </c>
      <c r="M2025" s="300">
        <v>1.0</v>
      </c>
      <c r="N2025" s="300">
        <v>8.0</v>
      </c>
      <c r="O2025" s="300" t="s">
        <v>895</v>
      </c>
      <c r="P2025" s="300">
        <v>2.0</v>
      </c>
    </row>
    <row r="2026">
      <c r="A2026">
        <f>IFERROR(__xludf.DUMMYFUNCTION("""COMPUTED_VALUE"""),12.0)</f>
        <v>12</v>
      </c>
      <c r="B2026">
        <f>IFERROR(__xludf.DUMMYFUNCTION("""COMPUTED_VALUE"""),26086.0)</f>
        <v>26086</v>
      </c>
      <c r="C2026" t="str">
        <f>IFERROR(__xludf.DUMMYFUNCTION("""COMPUTED_VALUE"""),"PALACIO SALAZAR, TOMAS")</f>
        <v>PALACIO SALAZAR, TOMAS</v>
      </c>
      <c r="D2026" t="str">
        <f>IFERROR(__xludf.DUMMYFUNCTION("""COMPUTED_VALUE"""),"Environmental Science")</f>
        <v>Environmental Science</v>
      </c>
      <c r="E2026" s="3">
        <f>IFERROR(__xludf.DUMMYFUNCTION("""COMPUTED_VALUE"""),6.0)</f>
        <v>6</v>
      </c>
      <c r="F2026" s="300">
        <v>1.0</v>
      </c>
      <c r="G2026" s="300">
        <v>1.0</v>
      </c>
      <c r="H2026" s="300">
        <v>1.0</v>
      </c>
      <c r="I2026" s="300">
        <v>1.0</v>
      </c>
      <c r="J2026" s="300">
        <v>1.0</v>
      </c>
      <c r="K2026" s="300">
        <v>1.0</v>
      </c>
      <c r="L2026" s="300">
        <v>1.0</v>
      </c>
      <c r="M2026" s="300">
        <v>1.0</v>
      </c>
      <c r="N2026" s="300">
        <v>8.0</v>
      </c>
      <c r="O2026" s="300" t="s">
        <v>887</v>
      </c>
      <c r="P2026" s="300">
        <v>3.0</v>
      </c>
    </row>
    <row r="2027">
      <c r="A2027">
        <f>IFERROR(__xludf.DUMMYFUNCTION("""COMPUTED_VALUE"""),12.0)</f>
        <v>12</v>
      </c>
      <c r="B2027">
        <f>IFERROR(__xludf.DUMMYFUNCTION("""COMPUTED_VALUE"""),25060.0)</f>
        <v>25060</v>
      </c>
      <c r="C2027" t="str">
        <f>IFERROR(__xludf.DUMMYFUNCTION("""COMPUTED_VALUE"""),"LOPEZ MEJIA, SAMUEL")</f>
        <v>LOPEZ MEJIA, SAMUEL</v>
      </c>
      <c r="D2027" t="str">
        <f>IFERROR(__xludf.DUMMYFUNCTION("""COMPUTED_VALUE"""),"Environmental Science")</f>
        <v>Environmental Science</v>
      </c>
      <c r="E2027" s="3">
        <f>IFERROR(__xludf.DUMMYFUNCTION("""COMPUTED_VALUE"""),8.0)</f>
        <v>8</v>
      </c>
      <c r="F2027" s="300">
        <v>1.0</v>
      </c>
      <c r="G2027" s="300">
        <v>1.0</v>
      </c>
      <c r="H2027" s="300">
        <v>1.0</v>
      </c>
      <c r="I2027" s="300">
        <v>1.0</v>
      </c>
      <c r="J2027" s="300">
        <v>1.0</v>
      </c>
      <c r="K2027" s="300">
        <v>1.0</v>
      </c>
      <c r="L2027" s="300">
        <v>1.0</v>
      </c>
      <c r="M2027" s="300">
        <v>1.0</v>
      </c>
      <c r="N2027" s="300">
        <v>8.0</v>
      </c>
      <c r="O2027" s="300" t="s">
        <v>891</v>
      </c>
      <c r="P2027" s="300">
        <v>3.0</v>
      </c>
    </row>
    <row r="2028">
      <c r="A2028">
        <f>IFERROR(__xludf.DUMMYFUNCTION("""COMPUTED_VALUE"""),12.0)</f>
        <v>12</v>
      </c>
      <c r="B2028">
        <f>IFERROR(__xludf.DUMMYFUNCTION("""COMPUTED_VALUE"""),26058.0)</f>
        <v>26058</v>
      </c>
      <c r="C2028" t="str">
        <f>IFERROR(__xludf.DUMMYFUNCTION("""COMPUTED_VALUE"""),"JARAMILLO FERNANDEZ, JULIAN")</f>
        <v>JARAMILLO FERNANDEZ, JULIAN</v>
      </c>
      <c r="D2028" t="str">
        <f>IFERROR(__xludf.DUMMYFUNCTION("""COMPUTED_VALUE"""),"Anatomy and Physiology")</f>
        <v>Anatomy and Physiology</v>
      </c>
      <c r="E2028" s="3">
        <f>IFERROR(__xludf.DUMMYFUNCTION("""COMPUTED_VALUE"""),4.0)</f>
        <v>4</v>
      </c>
      <c r="F2028" s="300">
        <v>1.0</v>
      </c>
      <c r="G2028" s="300">
        <v>1.0</v>
      </c>
      <c r="H2028" s="300">
        <v>1.0</v>
      </c>
      <c r="I2028" s="300">
        <v>1.0</v>
      </c>
      <c r="J2028" s="300">
        <v>1.0</v>
      </c>
      <c r="K2028" s="300">
        <v>1.0</v>
      </c>
      <c r="L2028" s="300">
        <v>1.0</v>
      </c>
      <c r="M2028" s="300">
        <v>1.0</v>
      </c>
      <c r="N2028" s="300">
        <v>8.0</v>
      </c>
      <c r="O2028" s="300" t="s">
        <v>895</v>
      </c>
      <c r="P2028" s="300">
        <v>2.0</v>
      </c>
    </row>
    <row r="2029">
      <c r="A2029">
        <f>IFERROR(__xludf.DUMMYFUNCTION("""COMPUTED_VALUE"""),12.0)</f>
        <v>12</v>
      </c>
      <c r="B2029">
        <f>IFERROR(__xludf.DUMMYFUNCTION("""COMPUTED_VALUE"""),26121.0)</f>
        <v>26121</v>
      </c>
      <c r="C2029" t="str">
        <f>IFERROR(__xludf.DUMMYFUNCTION("""COMPUTED_VALUE"""),"VILLA MORENO, VICENTE")</f>
        <v>VILLA MORENO, VICENTE</v>
      </c>
      <c r="D2029" t="str">
        <f>IFERROR(__xludf.DUMMYFUNCTION("""COMPUTED_VALUE"""),"Environmental Science")</f>
        <v>Environmental Science</v>
      </c>
      <c r="E2029" s="3">
        <f>IFERROR(__xludf.DUMMYFUNCTION("""COMPUTED_VALUE"""),8.0)</f>
        <v>8</v>
      </c>
      <c r="F2029" s="300">
        <v>1.0</v>
      </c>
      <c r="G2029" s="300">
        <v>1.0</v>
      </c>
      <c r="H2029" s="300">
        <v>1.0</v>
      </c>
      <c r="I2029" s="300">
        <v>1.0</v>
      </c>
      <c r="J2029" s="300">
        <v>1.0</v>
      </c>
      <c r="K2029" s="300">
        <v>1.0</v>
      </c>
      <c r="L2029" s="300">
        <v>1.0</v>
      </c>
      <c r="M2029" s="300">
        <v>1.0</v>
      </c>
      <c r="N2029" s="300">
        <v>8.0</v>
      </c>
      <c r="O2029" s="300" t="s">
        <v>891</v>
      </c>
      <c r="P2029" s="300">
        <v>3.0</v>
      </c>
    </row>
    <row r="2030">
      <c r="A2030">
        <f>IFERROR(__xludf.DUMMYFUNCTION("""COMPUTED_VALUE"""),12.0)</f>
        <v>12</v>
      </c>
      <c r="B2030">
        <f>IFERROR(__xludf.DUMMYFUNCTION("""COMPUTED_VALUE"""),26025.0)</f>
        <v>26025</v>
      </c>
      <c r="C2030" t="str">
        <f>IFERROR(__xludf.DUMMYFUNCTION("""COMPUTED_VALUE"""),"DIEZ RENDON, MARIA ANTONIA")</f>
        <v>DIEZ RENDON, MARIA ANTONIA</v>
      </c>
      <c r="D2030" t="str">
        <f>IFERROR(__xludf.DUMMYFUNCTION("""COMPUTED_VALUE"""),"AP Environmental Science")</f>
        <v>AP Environmental Science</v>
      </c>
      <c r="E2030" s="3">
        <f>IFERROR(__xludf.DUMMYFUNCTION("""COMPUTED_VALUE"""),3.0)</f>
        <v>3</v>
      </c>
      <c r="F2030" s="300">
        <v>1.0</v>
      </c>
      <c r="G2030" s="300">
        <v>1.0</v>
      </c>
      <c r="H2030" s="300">
        <v>1.0</v>
      </c>
      <c r="I2030" s="300">
        <v>1.0</v>
      </c>
      <c r="J2030" s="300">
        <v>1.0</v>
      </c>
      <c r="K2030" s="300">
        <v>1.0</v>
      </c>
      <c r="L2030" s="300">
        <v>1.0</v>
      </c>
      <c r="M2030" s="300">
        <v>1.0</v>
      </c>
      <c r="N2030" s="300">
        <v>8.0</v>
      </c>
      <c r="O2030" s="300" t="s">
        <v>890</v>
      </c>
      <c r="P2030" s="300">
        <v>1.0</v>
      </c>
    </row>
    <row r="2031">
      <c r="A2031">
        <f>IFERROR(__xludf.DUMMYFUNCTION("""COMPUTED_VALUE"""),12.0)</f>
        <v>12</v>
      </c>
      <c r="B2031">
        <f>IFERROR(__xludf.DUMMYFUNCTION("""COMPUTED_VALUE"""),26014.0)</f>
        <v>26014</v>
      </c>
      <c r="C2031" t="str">
        <f>IFERROR(__xludf.DUMMYFUNCTION("""COMPUTED_VALUE"""),"BARRIENTOS BUSTAMANTE, VALENTINA")</f>
        <v>BARRIENTOS BUSTAMANTE, VALENTINA</v>
      </c>
      <c r="D2031" t="str">
        <f>IFERROR(__xludf.DUMMYFUNCTION("""COMPUTED_VALUE"""),"Anatomy and Physiology")</f>
        <v>Anatomy and Physiology</v>
      </c>
      <c r="E2031" s="3">
        <f>IFERROR(__xludf.DUMMYFUNCTION("""COMPUTED_VALUE"""),4.0)</f>
        <v>4</v>
      </c>
      <c r="F2031" s="300">
        <v>1.0</v>
      </c>
      <c r="G2031" s="300">
        <v>1.0</v>
      </c>
      <c r="H2031" s="300">
        <v>1.0</v>
      </c>
      <c r="I2031" s="300">
        <v>1.0</v>
      </c>
      <c r="J2031" s="300">
        <v>1.0</v>
      </c>
      <c r="K2031" s="300">
        <v>1.0</v>
      </c>
      <c r="L2031" s="300">
        <v>1.0</v>
      </c>
      <c r="M2031" s="300">
        <v>1.0</v>
      </c>
      <c r="N2031" s="300">
        <v>8.0</v>
      </c>
      <c r="O2031" s="300" t="s">
        <v>895</v>
      </c>
      <c r="P2031" s="300">
        <v>2.0</v>
      </c>
    </row>
    <row r="2032">
      <c r="A2032">
        <f>IFERROR(__xludf.DUMMYFUNCTION("""COMPUTED_VALUE"""),12.0)</f>
        <v>12</v>
      </c>
      <c r="B2032">
        <f>IFERROR(__xludf.DUMMYFUNCTION("""COMPUTED_VALUE"""),26071.0)</f>
        <v>26071</v>
      </c>
      <c r="C2032" t="str">
        <f>IFERROR(__xludf.DUMMYFUNCTION("""COMPUTED_VALUE"""),"MENA TELLEZ, TOMAS FELIPE")</f>
        <v>MENA TELLEZ, TOMAS FELIPE</v>
      </c>
      <c r="D2032" t="str">
        <f>IFERROR(__xludf.DUMMYFUNCTION("""COMPUTED_VALUE"""),"AP Chemistry")</f>
        <v>AP Chemistry</v>
      </c>
      <c r="E2032" s="3">
        <f>IFERROR(__xludf.DUMMYFUNCTION("""COMPUTED_VALUE"""),7.0)</f>
        <v>7</v>
      </c>
      <c r="F2032" s="300">
        <v>1.0</v>
      </c>
      <c r="G2032" s="300">
        <v>1.0</v>
      </c>
      <c r="H2032" s="300">
        <v>1.0</v>
      </c>
      <c r="I2032" s="300">
        <v>1.0</v>
      </c>
      <c r="J2032" s="300">
        <v>1.0</v>
      </c>
      <c r="K2032" s="300">
        <v>1.0</v>
      </c>
      <c r="L2032" s="300">
        <v>1.0</v>
      </c>
      <c r="M2032" s="300">
        <v>1.0</v>
      </c>
      <c r="N2032" s="300">
        <v>8.0</v>
      </c>
      <c r="O2032" s="300" t="s">
        <v>893</v>
      </c>
      <c r="P2032" s="300">
        <v>1.0</v>
      </c>
    </row>
    <row r="2033">
      <c r="A2033">
        <f>IFERROR(__xludf.DUMMYFUNCTION("""COMPUTED_VALUE"""),12.0)</f>
        <v>12</v>
      </c>
      <c r="B2033">
        <f>IFERROR(__xludf.DUMMYFUNCTION("""COMPUTED_VALUE"""),26108.0)</f>
        <v>26108</v>
      </c>
      <c r="C2033" t="str">
        <f>IFERROR(__xludf.DUMMYFUNCTION("""COMPUTED_VALUE"""),"THIRIEZ VILLA, SOFIA")</f>
        <v>THIRIEZ VILLA, SOFIA</v>
      </c>
      <c r="D2033" t="str">
        <f>IFERROR(__xludf.DUMMYFUNCTION("""COMPUTED_VALUE"""),"Environmental Science")</f>
        <v>Environmental Science</v>
      </c>
      <c r="E2033" s="3">
        <f>IFERROR(__xludf.DUMMYFUNCTION("""COMPUTED_VALUE"""),8.0)</f>
        <v>8</v>
      </c>
      <c r="F2033" s="300">
        <v>1.0</v>
      </c>
      <c r="G2033" s="300">
        <v>1.0</v>
      </c>
      <c r="H2033" s="300">
        <v>1.0</v>
      </c>
      <c r="I2033" s="300">
        <v>1.0</v>
      </c>
      <c r="J2033" s="300">
        <v>1.0</v>
      </c>
      <c r="K2033" s="300">
        <v>1.0</v>
      </c>
      <c r="L2033" s="300">
        <v>1.0</v>
      </c>
      <c r="M2033" s="300">
        <v>1.0</v>
      </c>
      <c r="N2033" s="300">
        <v>8.0</v>
      </c>
      <c r="O2033" s="300" t="s">
        <v>891</v>
      </c>
      <c r="P2033" s="300">
        <v>3.0</v>
      </c>
    </row>
    <row r="2034">
      <c r="A2034">
        <f>IFERROR(__xludf.DUMMYFUNCTION("""COMPUTED_VALUE"""),12.0)</f>
        <v>12</v>
      </c>
      <c r="B2034">
        <f>IFERROR(__xludf.DUMMYFUNCTION("""COMPUTED_VALUE"""),26082.0)</f>
        <v>26082</v>
      </c>
      <c r="C2034" t="str">
        <f>IFERROR(__xludf.DUMMYFUNCTION("""COMPUTED_VALUE"""),"OREJUELA GAVIRIA, MATILDA")</f>
        <v>OREJUELA GAVIRIA, MATILDA</v>
      </c>
      <c r="D2034" t="str">
        <f>IFERROR(__xludf.DUMMYFUNCTION("""COMPUTED_VALUE"""),"Environmental Science")</f>
        <v>Environmental Science</v>
      </c>
      <c r="E2034" s="3">
        <f>IFERROR(__xludf.DUMMYFUNCTION("""COMPUTED_VALUE"""),8.0)</f>
        <v>8</v>
      </c>
      <c r="F2034" s="300">
        <v>1.0</v>
      </c>
      <c r="G2034" s="300">
        <v>1.0</v>
      </c>
      <c r="H2034" s="300">
        <v>1.0</v>
      </c>
      <c r="I2034" s="300">
        <v>1.0</v>
      </c>
      <c r="J2034" s="300">
        <v>1.0</v>
      </c>
      <c r="K2034" s="300">
        <v>1.0</v>
      </c>
      <c r="L2034" s="300">
        <v>1.0</v>
      </c>
      <c r="M2034" s="300">
        <v>1.0</v>
      </c>
      <c r="N2034" s="300">
        <v>8.0</v>
      </c>
      <c r="O2034" s="300" t="s">
        <v>891</v>
      </c>
      <c r="P2034" s="300">
        <v>3.0</v>
      </c>
    </row>
    <row r="2035">
      <c r="A2035">
        <f>IFERROR(__xludf.DUMMYFUNCTION("""COMPUTED_VALUE"""),12.0)</f>
        <v>12</v>
      </c>
      <c r="B2035">
        <f>IFERROR(__xludf.DUMMYFUNCTION("""COMPUTED_VALUE"""),26073.0)</f>
        <v>26073</v>
      </c>
      <c r="C2035" t="str">
        <f>IFERROR(__xludf.DUMMYFUNCTION("""COMPUTED_VALUE"""),"MESA ARISTIZABAL, SARA")</f>
        <v>MESA ARISTIZABAL, SARA</v>
      </c>
      <c r="D2035" t="str">
        <f>IFERROR(__xludf.DUMMYFUNCTION("""COMPUTED_VALUE"""),"Environmental Science")</f>
        <v>Environmental Science</v>
      </c>
      <c r="E2035" s="3">
        <f>IFERROR(__xludf.DUMMYFUNCTION("""COMPUTED_VALUE"""),8.0)</f>
        <v>8</v>
      </c>
      <c r="F2035" s="300">
        <v>1.0</v>
      </c>
      <c r="G2035" s="300">
        <v>1.0</v>
      </c>
      <c r="H2035" s="300">
        <v>1.0</v>
      </c>
      <c r="I2035" s="300">
        <v>1.0</v>
      </c>
      <c r="J2035" s="300">
        <v>1.0</v>
      </c>
      <c r="K2035" s="300">
        <v>1.0</v>
      </c>
      <c r="L2035" s="300">
        <v>1.0</v>
      </c>
      <c r="M2035" s="300">
        <v>1.0</v>
      </c>
      <c r="N2035" s="300">
        <v>8.0</v>
      </c>
      <c r="O2035" s="300" t="s">
        <v>891</v>
      </c>
      <c r="P2035" s="300">
        <v>3.0</v>
      </c>
    </row>
    <row r="2036">
      <c r="A2036">
        <f>IFERROR(__xludf.DUMMYFUNCTION("""COMPUTED_VALUE"""),12.0)</f>
        <v>12</v>
      </c>
      <c r="B2036">
        <f>IFERROR(__xludf.DUMMYFUNCTION("""COMPUTED_VALUE"""),26026.0)</f>
        <v>26026</v>
      </c>
      <c r="C2036" t="str">
        <f>IFERROR(__xludf.DUMMYFUNCTION("""COMPUTED_VALUE"""),"ECHAVARRIA JARAMILLO, VICENTE")</f>
        <v>ECHAVARRIA JARAMILLO, VICENTE</v>
      </c>
      <c r="D2036" t="str">
        <f>IFERROR(__xludf.DUMMYFUNCTION("""COMPUTED_VALUE"""),"AP Environmental Science")</f>
        <v>AP Environmental Science</v>
      </c>
      <c r="E2036" s="3">
        <f>IFERROR(__xludf.DUMMYFUNCTION("""COMPUTED_VALUE"""),3.0)</f>
        <v>3</v>
      </c>
      <c r="F2036" s="300">
        <v>1.0</v>
      </c>
      <c r="G2036" s="300">
        <v>1.0</v>
      </c>
      <c r="H2036" s="300">
        <v>1.0</v>
      </c>
      <c r="I2036" s="300">
        <v>1.0</v>
      </c>
      <c r="J2036" s="300">
        <v>1.0</v>
      </c>
      <c r="K2036" s="300">
        <v>1.0</v>
      </c>
      <c r="L2036" s="300">
        <v>1.0</v>
      </c>
      <c r="M2036" s="300">
        <v>1.0</v>
      </c>
      <c r="N2036" s="300">
        <v>8.0</v>
      </c>
      <c r="O2036" s="300" t="s">
        <v>890</v>
      </c>
      <c r="P2036" s="300">
        <v>1.0</v>
      </c>
    </row>
    <row r="2037">
      <c r="A2037">
        <f>IFERROR(__xludf.DUMMYFUNCTION("""COMPUTED_VALUE"""),12.0)</f>
        <v>12</v>
      </c>
      <c r="B2037">
        <f>IFERROR(__xludf.DUMMYFUNCTION("""COMPUTED_VALUE"""),25008.0)</f>
        <v>25008</v>
      </c>
      <c r="C2037" t="str">
        <f>IFERROR(__xludf.DUMMYFUNCTION("""COMPUTED_VALUE"""),"ARANGO CASTRO, IVAN SANTIAGO")</f>
        <v>ARANGO CASTRO, IVAN SANTIAGO</v>
      </c>
      <c r="D2037" t="str">
        <f>IFERROR(__xludf.DUMMYFUNCTION("""COMPUTED_VALUE"""),"Environmental Science")</f>
        <v>Environmental Science</v>
      </c>
      <c r="E2037" s="3">
        <f>IFERROR(__xludf.DUMMYFUNCTION("""COMPUTED_VALUE"""),8.0)</f>
        <v>8</v>
      </c>
      <c r="F2037" s="300">
        <v>1.0</v>
      </c>
      <c r="G2037" s="300">
        <v>1.0</v>
      </c>
      <c r="H2037" s="300">
        <v>1.0</v>
      </c>
      <c r="I2037" s="300">
        <v>1.0</v>
      </c>
      <c r="J2037" s="300">
        <v>1.0</v>
      </c>
      <c r="K2037" s="300">
        <v>1.0</v>
      </c>
      <c r="L2037" s="300">
        <v>1.0</v>
      </c>
      <c r="M2037" s="300">
        <v>1.0</v>
      </c>
      <c r="N2037" s="300">
        <v>8.0</v>
      </c>
      <c r="O2037" s="300" t="s">
        <v>891</v>
      </c>
      <c r="P2037" s="300">
        <v>3.0</v>
      </c>
    </row>
    <row r="2038">
      <c r="A2038">
        <f>IFERROR(__xludf.DUMMYFUNCTION("""COMPUTED_VALUE"""),12.0)</f>
        <v>12</v>
      </c>
      <c r="B2038">
        <f>IFERROR(__xludf.DUMMYFUNCTION("""COMPUTED_VALUE"""),26079.0)</f>
        <v>26079</v>
      </c>
      <c r="C2038" t="str">
        <f>IFERROR(__xludf.DUMMYFUNCTION("""COMPUTED_VALUE"""),"OCHOA PODESTA, CAMILA")</f>
        <v>OCHOA PODESTA, CAMILA</v>
      </c>
      <c r="D2038" t="str">
        <f>IFERROR(__xludf.DUMMYFUNCTION("""COMPUTED_VALUE"""),"Environmental Science")</f>
        <v>Environmental Science</v>
      </c>
      <c r="E2038" s="3">
        <f>IFERROR(__xludf.DUMMYFUNCTION("""COMPUTED_VALUE"""),8.0)</f>
        <v>8</v>
      </c>
      <c r="F2038" s="300">
        <v>1.0</v>
      </c>
      <c r="G2038" s="300">
        <v>1.0</v>
      </c>
      <c r="H2038" s="300">
        <v>1.0</v>
      </c>
      <c r="I2038" s="300">
        <v>1.0</v>
      </c>
      <c r="J2038" s="300">
        <v>1.0</v>
      </c>
      <c r="K2038" s="300">
        <v>1.0</v>
      </c>
      <c r="L2038" s="300">
        <v>1.0</v>
      </c>
      <c r="M2038" s="300">
        <v>1.0</v>
      </c>
      <c r="N2038" s="300">
        <v>8.0</v>
      </c>
      <c r="O2038" s="300" t="s">
        <v>891</v>
      </c>
      <c r="P2038" s="300">
        <v>3.0</v>
      </c>
    </row>
    <row r="2039">
      <c r="A2039">
        <f>IFERROR(__xludf.DUMMYFUNCTION("""COMPUTED_VALUE"""),12.0)</f>
        <v>12</v>
      </c>
      <c r="B2039">
        <f>IFERROR(__xludf.DUMMYFUNCTION("""COMPUTED_VALUE"""),26051.0)</f>
        <v>26051</v>
      </c>
      <c r="C2039" t="str">
        <f>IFERROR(__xludf.DUMMYFUNCTION("""COMPUTED_VALUE"""),"HINESTROZA ESCOBAR, IRENE")</f>
        <v>HINESTROZA ESCOBAR, IRENE</v>
      </c>
      <c r="D2039" t="str">
        <f>IFERROR(__xludf.DUMMYFUNCTION("""COMPUTED_VALUE"""),"Environmental Science")</f>
        <v>Environmental Science</v>
      </c>
      <c r="E2039" s="3">
        <f>IFERROR(__xludf.DUMMYFUNCTION("""COMPUTED_VALUE"""),2.0)</f>
        <v>2</v>
      </c>
      <c r="F2039" s="300">
        <v>1.0</v>
      </c>
      <c r="G2039" s="300">
        <v>1.0</v>
      </c>
      <c r="H2039" s="300">
        <v>1.0</v>
      </c>
      <c r="I2039" s="300">
        <v>1.0</v>
      </c>
      <c r="J2039" s="300">
        <v>1.0</v>
      </c>
      <c r="K2039" s="300">
        <v>1.0</v>
      </c>
      <c r="L2039" s="300">
        <v>1.0</v>
      </c>
      <c r="M2039" s="300">
        <v>1.0</v>
      </c>
      <c r="N2039" s="300">
        <v>8.0</v>
      </c>
      <c r="O2039" s="300" t="s">
        <v>889</v>
      </c>
      <c r="P2039" s="300">
        <v>3.0</v>
      </c>
    </row>
    <row r="2040">
      <c r="A2040">
        <f>IFERROR(__xludf.DUMMYFUNCTION("""COMPUTED_VALUE"""),12.0)</f>
        <v>12</v>
      </c>
      <c r="B2040">
        <f>IFERROR(__xludf.DUMMYFUNCTION("""COMPUTED_VALUE"""),26036.0)</f>
        <v>26036</v>
      </c>
      <c r="C2040" t="str">
        <f>IFERROR(__xludf.DUMMYFUNCTION("""COMPUTED_VALUE"""),"GAVIRIA LONDOÑO, ALEJANDRO")</f>
        <v>GAVIRIA LONDOÑO, ALEJANDRO</v>
      </c>
      <c r="D2040" t="str">
        <f>IFERROR(__xludf.DUMMYFUNCTION("""COMPUTED_VALUE"""),"AP Environmental Science")</f>
        <v>AP Environmental Science</v>
      </c>
      <c r="E2040" s="3">
        <f>IFERROR(__xludf.DUMMYFUNCTION("""COMPUTED_VALUE"""),3.0)</f>
        <v>3</v>
      </c>
      <c r="F2040" s="300">
        <v>1.0</v>
      </c>
      <c r="G2040" s="300">
        <v>1.0</v>
      </c>
      <c r="H2040" s="300">
        <v>1.0</v>
      </c>
      <c r="I2040" s="300">
        <v>1.0</v>
      </c>
      <c r="J2040" s="300">
        <v>1.0</v>
      </c>
      <c r="K2040" s="300">
        <v>1.0</v>
      </c>
      <c r="L2040" s="300">
        <v>1.0</v>
      </c>
      <c r="M2040" s="300">
        <v>1.0</v>
      </c>
      <c r="N2040" s="300">
        <v>8.0</v>
      </c>
      <c r="O2040" s="300" t="s">
        <v>890</v>
      </c>
      <c r="P2040" s="300">
        <v>1.0</v>
      </c>
    </row>
    <row r="2041">
      <c r="A2041">
        <f>IFERROR(__xludf.DUMMYFUNCTION("""COMPUTED_VALUE"""),12.0)</f>
        <v>12</v>
      </c>
      <c r="B2041" s="406">
        <f>IFERROR(__xludf.DUMMYFUNCTION("""COMPUTED_VALUE"""),26100.0)</f>
        <v>26100</v>
      </c>
      <c r="C2041" t="str">
        <f>IFERROR(__xludf.DUMMYFUNCTION("""COMPUTED_VALUE"""),"RESTREPO TORO, LUCIANO")</f>
        <v>RESTREPO TORO, LUCIANO</v>
      </c>
      <c r="D2041" t="str">
        <f>IFERROR(__xludf.DUMMYFUNCTION("""COMPUTED_VALUE"""),"Environmental Science")</f>
        <v>Environmental Science</v>
      </c>
      <c r="E2041" s="3">
        <f>IFERROR(__xludf.DUMMYFUNCTION("""COMPUTED_VALUE"""),8.0)</f>
        <v>8</v>
      </c>
      <c r="F2041" s="300">
        <v>1.0</v>
      </c>
      <c r="G2041" s="300">
        <v>1.0</v>
      </c>
      <c r="H2041" s="300">
        <v>1.0</v>
      </c>
      <c r="I2041" s="300">
        <v>1.0</v>
      </c>
      <c r="J2041" s="300">
        <v>1.0</v>
      </c>
      <c r="K2041" s="300">
        <v>1.0</v>
      </c>
      <c r="L2041" s="300">
        <v>1.0</v>
      </c>
      <c r="M2041" s="300">
        <v>1.0</v>
      </c>
      <c r="N2041" s="300">
        <v>8.0</v>
      </c>
      <c r="O2041" s="300" t="s">
        <v>891</v>
      </c>
      <c r="P2041" s="300">
        <v>3.0</v>
      </c>
    </row>
    <row r="2042">
      <c r="A2042">
        <f>IFERROR(__xludf.DUMMYFUNCTION("""COMPUTED_VALUE"""),12.0)</f>
        <v>12</v>
      </c>
      <c r="B2042">
        <f>IFERROR(__xludf.DUMMYFUNCTION("""COMPUTED_VALUE"""),26122.0)</f>
        <v>26122</v>
      </c>
      <c r="C2042" t="str">
        <f>IFERROR(__xludf.DUMMYFUNCTION("""COMPUTED_VALUE"""),"VILLEGAS PELAEZ, CRISTOBAL")</f>
        <v>VILLEGAS PELAEZ, CRISTOBAL</v>
      </c>
      <c r="D2042" t="str">
        <f>IFERROR(__xludf.DUMMYFUNCTION("""COMPUTED_VALUE"""),"Environmental Science")</f>
        <v>Environmental Science</v>
      </c>
      <c r="E2042" s="3">
        <f>IFERROR(__xludf.DUMMYFUNCTION("""COMPUTED_VALUE"""),8.0)</f>
        <v>8</v>
      </c>
      <c r="F2042" s="300">
        <v>1.0</v>
      </c>
      <c r="G2042" s="300">
        <v>1.0</v>
      </c>
      <c r="H2042" s="300">
        <v>1.0</v>
      </c>
      <c r="I2042" s="300">
        <v>1.0</v>
      </c>
      <c r="J2042" s="300">
        <v>1.0</v>
      </c>
      <c r="K2042" s="300">
        <v>1.0</v>
      </c>
      <c r="L2042" s="300">
        <v>1.0</v>
      </c>
      <c r="M2042" s="300">
        <v>1.0</v>
      </c>
      <c r="N2042" s="300">
        <v>8.0</v>
      </c>
      <c r="O2042" s="300" t="s">
        <v>891</v>
      </c>
      <c r="P2042" s="300">
        <v>3.0</v>
      </c>
    </row>
    <row r="2043">
      <c r="A2043">
        <f>IFERROR(__xludf.DUMMYFUNCTION("""COMPUTED_VALUE"""),12.0)</f>
        <v>12</v>
      </c>
      <c r="B2043">
        <f>IFERROR(__xludf.DUMMYFUNCTION("""COMPUTED_VALUE"""),26142.0)</f>
        <v>26142</v>
      </c>
      <c r="C2043" t="str">
        <f>IFERROR(__xludf.DUMMYFUNCTION("""COMPUTED_VALUE"""),"BERNAL ESTRADA, JERONIMO")</f>
        <v>BERNAL ESTRADA, JERONIMO</v>
      </c>
      <c r="D2043" t="str">
        <f>IFERROR(__xludf.DUMMYFUNCTION("""COMPUTED_VALUE"""),"Environmental Science")</f>
        <v>Environmental Science</v>
      </c>
      <c r="E2043" s="3">
        <f>IFERROR(__xludf.DUMMYFUNCTION("""COMPUTED_VALUE"""),8.0)</f>
        <v>8</v>
      </c>
      <c r="F2043" s="300">
        <v>1.0</v>
      </c>
      <c r="G2043" s="300">
        <v>1.0</v>
      </c>
      <c r="H2043" s="300">
        <v>1.0</v>
      </c>
      <c r="I2043" s="300">
        <v>1.0</v>
      </c>
      <c r="J2043" s="300">
        <v>1.0</v>
      </c>
      <c r="K2043" s="300">
        <v>1.0</v>
      </c>
      <c r="L2043" s="300">
        <v>1.0</v>
      </c>
      <c r="M2043" s="300">
        <v>1.0</v>
      </c>
      <c r="N2043" s="300">
        <v>8.0</v>
      </c>
      <c r="O2043" s="300" t="s">
        <v>891</v>
      </c>
      <c r="P2043" s="300">
        <v>3.0</v>
      </c>
    </row>
    <row r="2044">
      <c r="A2044">
        <f>IFERROR(__xludf.DUMMYFUNCTION("""COMPUTED_VALUE"""),12.0)</f>
        <v>12</v>
      </c>
      <c r="B2044">
        <f>IFERROR(__xludf.DUMMYFUNCTION("""COMPUTED_VALUE"""),26090.0)</f>
        <v>26090</v>
      </c>
      <c r="C2044" t="str">
        <f>IFERROR(__xludf.DUMMYFUNCTION("""COMPUTED_VALUE"""),"PETTIT PELAEZ, JUANITA")</f>
        <v>PETTIT PELAEZ, JUANITA</v>
      </c>
      <c r="D2044" t="str">
        <f>IFERROR(__xludf.DUMMYFUNCTION("""COMPUTED_VALUE"""),"Environmental Science")</f>
        <v>Environmental Science</v>
      </c>
      <c r="E2044" s="3">
        <f>IFERROR(__xludf.DUMMYFUNCTION("""COMPUTED_VALUE"""),2.0)</f>
        <v>2</v>
      </c>
      <c r="F2044" s="300">
        <v>1.0</v>
      </c>
      <c r="G2044" s="300">
        <v>1.0</v>
      </c>
      <c r="H2044" s="300">
        <v>1.0</v>
      </c>
      <c r="I2044" s="300">
        <v>1.0</v>
      </c>
      <c r="J2044" s="300">
        <v>1.0</v>
      </c>
      <c r="K2044" s="300">
        <v>1.0</v>
      </c>
      <c r="L2044" s="300">
        <v>1.0</v>
      </c>
      <c r="M2044" s="300">
        <v>1.0</v>
      </c>
      <c r="N2044" s="300">
        <v>8.0</v>
      </c>
      <c r="O2044" s="300" t="s">
        <v>889</v>
      </c>
      <c r="P2044" s="300">
        <v>3.0</v>
      </c>
    </row>
    <row r="2045">
      <c r="A2045">
        <f>IFERROR(__xludf.DUMMYFUNCTION("""COMPUTED_VALUE"""),12.0)</f>
        <v>12</v>
      </c>
      <c r="B2045">
        <f>IFERROR(__xludf.DUMMYFUNCTION("""COMPUTED_VALUE"""),26132.0)</f>
        <v>26132</v>
      </c>
      <c r="C2045" t="str">
        <f>IFERROR(__xludf.DUMMYFUNCTION("""COMPUTED_VALUE"""),"OLIVEIRA CASTAÑO, MIRANDA")</f>
        <v>OLIVEIRA CASTAÑO, MIRANDA</v>
      </c>
      <c r="D2045" t="str">
        <f>IFERROR(__xludf.DUMMYFUNCTION("""COMPUTED_VALUE"""),"Environmental Science")</f>
        <v>Environmental Science</v>
      </c>
      <c r="E2045" s="3">
        <f>IFERROR(__xludf.DUMMYFUNCTION("""COMPUTED_VALUE"""),6.0)</f>
        <v>6</v>
      </c>
      <c r="F2045" s="300">
        <v>1.0</v>
      </c>
      <c r="G2045" s="300">
        <v>1.0</v>
      </c>
      <c r="H2045" s="300">
        <v>1.0</v>
      </c>
      <c r="I2045" s="300">
        <v>1.0</v>
      </c>
      <c r="J2045" s="300">
        <v>1.0</v>
      </c>
      <c r="K2045" s="300">
        <v>1.0</v>
      </c>
      <c r="L2045" s="300">
        <v>1.0</v>
      </c>
      <c r="M2045" s="300">
        <v>1.0</v>
      </c>
      <c r="N2045" s="300">
        <v>8.0</v>
      </c>
      <c r="O2045" s="300" t="s">
        <v>887</v>
      </c>
      <c r="P2045" s="300">
        <v>3.0</v>
      </c>
    </row>
    <row r="2046">
      <c r="A2046">
        <f>IFERROR(__xludf.DUMMYFUNCTION("""COMPUTED_VALUE"""),12.0)</f>
        <v>12</v>
      </c>
      <c r="B2046">
        <f>IFERROR(__xludf.DUMMYFUNCTION("""COMPUTED_VALUE"""),26109.0)</f>
        <v>26109</v>
      </c>
      <c r="C2046" t="str">
        <f>IFERROR(__xludf.DUMMYFUNCTION("""COMPUTED_VALUE"""),"TORRES GAVIRIA, MARIANA")</f>
        <v>TORRES GAVIRIA, MARIANA</v>
      </c>
      <c r="D2046" t="str">
        <f>IFERROR(__xludf.DUMMYFUNCTION("""COMPUTED_VALUE"""),"Environmental Science")</f>
        <v>Environmental Science</v>
      </c>
      <c r="E2046" s="3">
        <f>IFERROR(__xludf.DUMMYFUNCTION("""COMPUTED_VALUE"""),2.0)</f>
        <v>2</v>
      </c>
      <c r="F2046" s="300">
        <v>1.0</v>
      </c>
      <c r="G2046" s="300">
        <v>1.0</v>
      </c>
      <c r="H2046" s="300">
        <v>1.0</v>
      </c>
      <c r="I2046" s="300">
        <v>1.0</v>
      </c>
      <c r="J2046" s="300">
        <v>1.0</v>
      </c>
      <c r="K2046" s="300">
        <v>1.0</v>
      </c>
      <c r="L2046" s="300">
        <v>1.0</v>
      </c>
      <c r="M2046" s="300">
        <v>1.0</v>
      </c>
      <c r="N2046" s="300">
        <v>8.0</v>
      </c>
      <c r="O2046" s="300" t="s">
        <v>889</v>
      </c>
      <c r="P2046" s="300">
        <v>3.0</v>
      </c>
    </row>
    <row r="2047">
      <c r="A2047">
        <f>IFERROR(__xludf.DUMMYFUNCTION("""COMPUTED_VALUE"""),12.0)</f>
        <v>12</v>
      </c>
      <c r="B2047">
        <f>IFERROR(__xludf.DUMMYFUNCTION("""COMPUTED_VALUE"""),26027.0)</f>
        <v>26027</v>
      </c>
      <c r="C2047" t="str">
        <f>IFERROR(__xludf.DUMMYFUNCTION("""COMPUTED_VALUE"""),"ESCANDON LIBOS, MARIA")</f>
        <v>ESCANDON LIBOS, MARIA</v>
      </c>
      <c r="D2047" t="str">
        <f>IFERROR(__xludf.DUMMYFUNCTION("""COMPUTED_VALUE"""),"AP Physics 2")</f>
        <v>AP Physics 2</v>
      </c>
      <c r="E2047" s="3">
        <f>IFERROR(__xludf.DUMMYFUNCTION("""COMPUTED_VALUE"""),3.0)</f>
        <v>3</v>
      </c>
      <c r="F2047" s="300">
        <v>1.0</v>
      </c>
      <c r="G2047" s="300">
        <v>1.0</v>
      </c>
      <c r="H2047" s="300">
        <v>1.0</v>
      </c>
      <c r="I2047" s="300">
        <v>1.0</v>
      </c>
      <c r="J2047" s="300">
        <v>1.0</v>
      </c>
      <c r="K2047" s="300">
        <v>1.0</v>
      </c>
      <c r="L2047" s="300">
        <v>1.0</v>
      </c>
      <c r="M2047" s="300">
        <v>1.0</v>
      </c>
      <c r="N2047" s="300">
        <v>8.0</v>
      </c>
      <c r="O2047" s="300" t="s">
        <v>886</v>
      </c>
      <c r="P2047" s="300">
        <v>2.0</v>
      </c>
    </row>
    <row r="2048">
      <c r="A2048">
        <f>IFERROR(__xludf.DUMMYFUNCTION("""COMPUTED_VALUE"""),12.0)</f>
        <v>12</v>
      </c>
      <c r="B2048">
        <f>IFERROR(__xludf.DUMMYFUNCTION("""COMPUTED_VALUE"""),26019.0)</f>
        <v>26019</v>
      </c>
      <c r="C2048" t="str">
        <f>IFERROR(__xludf.DUMMYFUNCTION("""COMPUTED_VALUE"""),"CADAVID VELASQUEZ, MARTIN")</f>
        <v>CADAVID VELASQUEZ, MARTIN</v>
      </c>
      <c r="D2048" t="str">
        <f>IFERROR(__xludf.DUMMYFUNCTION("""COMPUTED_VALUE"""),"Environmental Science")</f>
        <v>Environmental Science</v>
      </c>
      <c r="E2048" s="3">
        <f>IFERROR(__xludf.DUMMYFUNCTION("""COMPUTED_VALUE"""),6.0)</f>
        <v>6</v>
      </c>
      <c r="F2048" s="300">
        <v>1.0</v>
      </c>
      <c r="G2048" s="300">
        <v>1.0</v>
      </c>
      <c r="H2048" s="300">
        <v>1.0</v>
      </c>
      <c r="I2048" s="300">
        <v>1.0</v>
      </c>
      <c r="J2048" s="300">
        <v>1.0</v>
      </c>
      <c r="K2048" s="300">
        <v>1.0</v>
      </c>
      <c r="L2048" s="300">
        <v>1.0</v>
      </c>
      <c r="M2048" s="300">
        <v>1.0</v>
      </c>
      <c r="N2048" s="300">
        <v>8.0</v>
      </c>
      <c r="O2048" s="300" t="s">
        <v>887</v>
      </c>
      <c r="P2048" s="300">
        <v>3.0</v>
      </c>
    </row>
    <row r="2049">
      <c r="A2049">
        <f>IFERROR(__xludf.DUMMYFUNCTION("""COMPUTED_VALUE"""),12.0)</f>
        <v>12</v>
      </c>
      <c r="B2049">
        <f>IFERROR(__xludf.DUMMYFUNCTION("""COMPUTED_VALUE"""),26031.0)</f>
        <v>26031</v>
      </c>
      <c r="C2049" t="str">
        <f>IFERROR(__xludf.DUMMYFUNCTION("""COMPUTED_VALUE"""),"FRANCO GOMEZ, DANIEL")</f>
        <v>FRANCO GOMEZ, DANIEL</v>
      </c>
      <c r="D2049" t="str">
        <f>IFERROR(__xludf.DUMMYFUNCTION("""COMPUTED_VALUE"""),"AP Physics 2")</f>
        <v>AP Physics 2</v>
      </c>
      <c r="E2049" s="3">
        <f>IFERROR(__xludf.DUMMYFUNCTION("""COMPUTED_VALUE"""),3.0)</f>
        <v>3</v>
      </c>
      <c r="F2049" s="300">
        <v>1.0</v>
      </c>
      <c r="G2049" s="300">
        <v>1.0</v>
      </c>
      <c r="H2049" s="300">
        <v>1.0</v>
      </c>
      <c r="I2049" s="300">
        <v>1.0</v>
      </c>
      <c r="J2049" s="300">
        <v>1.0</v>
      </c>
      <c r="K2049" s="300">
        <v>1.0</v>
      </c>
      <c r="L2049" s="300">
        <v>1.0</v>
      </c>
      <c r="M2049" s="300">
        <v>1.0</v>
      </c>
      <c r="N2049" s="300">
        <v>8.0</v>
      </c>
      <c r="O2049" s="300" t="s">
        <v>886</v>
      </c>
      <c r="P2049" s="300">
        <v>2.0</v>
      </c>
    </row>
    <row r="2050">
      <c r="A2050">
        <f>IFERROR(__xludf.DUMMYFUNCTION("""COMPUTED_VALUE"""),12.0)</f>
        <v>12</v>
      </c>
      <c r="B2050">
        <f>IFERROR(__xludf.DUMMYFUNCTION("""COMPUTED_VALUE"""),26047.0)</f>
        <v>26047</v>
      </c>
      <c r="C2050" t="str">
        <f>IFERROR(__xludf.DUMMYFUNCTION("""COMPUTED_VALUE"""),"HENAO ISAZA, LUCIANO")</f>
        <v>HENAO ISAZA, LUCIANO</v>
      </c>
      <c r="D2050" t="str">
        <f>IFERROR(__xludf.DUMMYFUNCTION("""COMPUTED_VALUE"""),"Environmental Science")</f>
        <v>Environmental Science</v>
      </c>
      <c r="E2050" s="3">
        <f>IFERROR(__xludf.DUMMYFUNCTION("""COMPUTED_VALUE"""),2.0)</f>
        <v>2</v>
      </c>
      <c r="F2050" s="300">
        <v>1.0</v>
      </c>
      <c r="G2050" s="300">
        <v>1.0</v>
      </c>
      <c r="H2050" s="300">
        <v>1.0</v>
      </c>
      <c r="I2050" s="300">
        <v>1.0</v>
      </c>
      <c r="J2050" s="300">
        <v>1.0</v>
      </c>
      <c r="K2050" s="300">
        <v>1.0</v>
      </c>
      <c r="L2050" s="300">
        <v>1.0</v>
      </c>
      <c r="M2050" s="300">
        <v>1.0</v>
      </c>
      <c r="N2050" s="300">
        <v>8.0</v>
      </c>
      <c r="O2050" s="300" t="s">
        <v>889</v>
      </c>
      <c r="P2050" s="300">
        <v>3.0</v>
      </c>
    </row>
    <row r="2051">
      <c r="A2051">
        <f>IFERROR(__xludf.DUMMYFUNCTION("""COMPUTED_VALUE"""),12.0)</f>
        <v>12</v>
      </c>
      <c r="B2051">
        <f>IFERROR(__xludf.DUMMYFUNCTION("""COMPUTED_VALUE"""),26095.0)</f>
        <v>26095</v>
      </c>
      <c r="C2051" t="str">
        <f>IFERROR(__xludf.DUMMYFUNCTION("""COMPUTED_VALUE"""),"RAMIREZ PELAEZ, LUCIANA")</f>
        <v>RAMIREZ PELAEZ, LUCIANA</v>
      </c>
      <c r="D2051" t="str">
        <f>IFERROR(__xludf.DUMMYFUNCTION("""COMPUTED_VALUE"""),"AP Environmental Science")</f>
        <v>AP Environmental Science</v>
      </c>
      <c r="E2051" s="3">
        <f>IFERROR(__xludf.DUMMYFUNCTION("""COMPUTED_VALUE"""),3.0)</f>
        <v>3</v>
      </c>
      <c r="F2051" s="300">
        <v>1.0</v>
      </c>
      <c r="G2051" s="300">
        <v>1.0</v>
      </c>
      <c r="H2051" s="300">
        <v>1.0</v>
      </c>
      <c r="I2051" s="300">
        <v>1.0</v>
      </c>
      <c r="J2051" s="300">
        <v>1.0</v>
      </c>
      <c r="K2051" s="300">
        <v>1.0</v>
      </c>
      <c r="L2051" s="300">
        <v>1.0</v>
      </c>
      <c r="M2051" s="300">
        <v>1.0</v>
      </c>
      <c r="N2051" s="300">
        <v>8.0</v>
      </c>
      <c r="O2051" s="300" t="s">
        <v>890</v>
      </c>
      <c r="P2051" s="300">
        <v>1.0</v>
      </c>
    </row>
    <row r="2052">
      <c r="A2052">
        <f>IFERROR(__xludf.DUMMYFUNCTION("""COMPUTED_VALUE"""),12.0)</f>
        <v>12</v>
      </c>
      <c r="B2052">
        <f>IFERROR(__xludf.DUMMYFUNCTION("""COMPUTED_VALUE"""),26032.0)</f>
        <v>26032</v>
      </c>
      <c r="C2052" t="str">
        <f>IFERROR(__xludf.DUMMYFUNCTION("""COMPUTED_VALUE"""),"FRANCO SALDARRIAGA, EDUARDO")</f>
        <v>FRANCO SALDARRIAGA, EDUARDO</v>
      </c>
      <c r="D2052" t="str">
        <f>IFERROR(__xludf.DUMMYFUNCTION("""COMPUTED_VALUE"""),"Environmental Science")</f>
        <v>Environmental Science</v>
      </c>
      <c r="E2052" s="3">
        <f>IFERROR(__xludf.DUMMYFUNCTION("""COMPUTED_VALUE"""),8.0)</f>
        <v>8</v>
      </c>
      <c r="F2052" s="300">
        <v>1.0</v>
      </c>
      <c r="G2052" s="300">
        <v>1.0</v>
      </c>
      <c r="H2052" s="300">
        <v>1.0</v>
      </c>
      <c r="I2052" s="300">
        <v>1.0</v>
      </c>
      <c r="J2052" s="300">
        <v>1.0</v>
      </c>
      <c r="K2052" s="300">
        <v>1.0</v>
      </c>
      <c r="L2052" s="300">
        <v>1.0</v>
      </c>
      <c r="M2052" s="300">
        <v>1.0</v>
      </c>
      <c r="N2052" s="300">
        <v>8.0</v>
      </c>
      <c r="O2052" s="300" t="s">
        <v>891</v>
      </c>
      <c r="P2052" s="300">
        <v>3.0</v>
      </c>
    </row>
    <row r="2053">
      <c r="A2053">
        <f>IFERROR(__xludf.DUMMYFUNCTION("""COMPUTED_VALUE"""),12.0)</f>
        <v>12</v>
      </c>
      <c r="B2053">
        <f>IFERROR(__xludf.DUMMYFUNCTION("""COMPUTED_VALUE"""),26072.0)</f>
        <v>26072</v>
      </c>
      <c r="C2053" t="str">
        <f>IFERROR(__xludf.DUMMYFUNCTION("""COMPUTED_VALUE"""),"MERINO VALENCIA, CAMILO")</f>
        <v>MERINO VALENCIA, CAMILO</v>
      </c>
      <c r="D2053" t="str">
        <f>IFERROR(__xludf.DUMMYFUNCTION("""COMPUTED_VALUE"""),"Anatomy and Physiology")</f>
        <v>Anatomy and Physiology</v>
      </c>
      <c r="E2053" s="3">
        <f>IFERROR(__xludf.DUMMYFUNCTION("""COMPUTED_VALUE"""),4.0)</f>
        <v>4</v>
      </c>
      <c r="F2053" s="300">
        <v>1.0</v>
      </c>
      <c r="G2053" s="300">
        <v>1.0</v>
      </c>
      <c r="H2053" s="300">
        <v>1.0</v>
      </c>
      <c r="I2053" s="300">
        <v>1.0</v>
      </c>
      <c r="J2053" s="300">
        <v>1.0</v>
      </c>
      <c r="K2053" s="300">
        <v>1.0</v>
      </c>
      <c r="L2053" s="300">
        <v>1.0</v>
      </c>
      <c r="M2053" s="300">
        <v>1.0</v>
      </c>
      <c r="N2053" s="300">
        <v>8.0</v>
      </c>
      <c r="O2053" s="300" t="s">
        <v>895</v>
      </c>
      <c r="P2053" s="300">
        <v>2.0</v>
      </c>
    </row>
    <row r="2054">
      <c r="A2054">
        <f>IFERROR(__xludf.DUMMYFUNCTION("""COMPUTED_VALUE"""),12.0)</f>
        <v>12</v>
      </c>
      <c r="B2054">
        <f>IFERROR(__xludf.DUMMYFUNCTION("""COMPUTED_VALUE"""),26139.0)</f>
        <v>26139</v>
      </c>
      <c r="C2054" t="str">
        <f>IFERROR(__xludf.DUMMYFUNCTION("""COMPUTED_VALUE"""),"POSADA VILLALOBOS, VERONICA")</f>
        <v>POSADA VILLALOBOS, VERONICA</v>
      </c>
      <c r="D2054" t="str">
        <f>IFERROR(__xludf.DUMMYFUNCTION("""COMPUTED_VALUE"""),"AP Physics 2")</f>
        <v>AP Physics 2</v>
      </c>
      <c r="E2054" s="3">
        <f>IFERROR(__xludf.DUMMYFUNCTION("""COMPUTED_VALUE"""),3.0)</f>
        <v>3</v>
      </c>
      <c r="F2054" s="300">
        <v>1.0</v>
      </c>
      <c r="G2054" s="300">
        <v>1.0</v>
      </c>
      <c r="H2054" s="300">
        <v>1.0</v>
      </c>
      <c r="I2054" s="300">
        <v>1.0</v>
      </c>
      <c r="J2054" s="300">
        <v>1.0</v>
      </c>
      <c r="K2054" s="300">
        <v>1.0</v>
      </c>
      <c r="L2054" s="300">
        <v>1.0</v>
      </c>
      <c r="M2054" s="300">
        <v>1.0</v>
      </c>
      <c r="N2054" s="300">
        <v>8.0</v>
      </c>
      <c r="O2054" s="300" t="s">
        <v>886</v>
      </c>
      <c r="P2054" s="300">
        <v>2.0</v>
      </c>
    </row>
    <row r="2055">
      <c r="A2055">
        <f>IFERROR(__xludf.DUMMYFUNCTION("""COMPUTED_VALUE"""),12.0)</f>
        <v>12</v>
      </c>
      <c r="B2055" s="406">
        <f>IFERROR(__xludf.DUMMYFUNCTION("""COMPUTED_VALUE"""),26129.0)</f>
        <v>26129</v>
      </c>
      <c r="C2055" t="str">
        <f>IFERROR(__xludf.DUMMYFUNCTION("""COMPUTED_VALUE"""),"CALLE BUITRAGO, MARTIN")</f>
        <v>CALLE BUITRAGO, MARTIN</v>
      </c>
      <c r="D2055" t="str">
        <f>IFERROR(__xludf.DUMMYFUNCTION("""COMPUTED_VALUE"""),"Environmental Science")</f>
        <v>Environmental Science</v>
      </c>
      <c r="E2055" s="3">
        <f>IFERROR(__xludf.DUMMYFUNCTION("""COMPUTED_VALUE"""),2.0)</f>
        <v>2</v>
      </c>
      <c r="F2055" s="300">
        <v>1.0</v>
      </c>
      <c r="G2055" s="300">
        <v>1.0</v>
      </c>
      <c r="H2055" s="300">
        <v>1.0</v>
      </c>
      <c r="I2055" s="300">
        <v>1.0</v>
      </c>
      <c r="J2055" s="300">
        <v>1.0</v>
      </c>
      <c r="K2055" s="300">
        <v>1.0</v>
      </c>
      <c r="L2055" s="300">
        <v>1.0</v>
      </c>
      <c r="M2055" s="300">
        <v>1.0</v>
      </c>
      <c r="N2055" s="300">
        <v>8.0</v>
      </c>
      <c r="O2055" s="300" t="s">
        <v>889</v>
      </c>
      <c r="P2055" s="300">
        <v>3.0</v>
      </c>
    </row>
    <row r="2056">
      <c r="A2056">
        <f>IFERROR(__xludf.DUMMYFUNCTION("""COMPUTED_VALUE"""),12.0)</f>
        <v>12</v>
      </c>
      <c r="B2056">
        <f>IFERROR(__xludf.DUMMYFUNCTION("""COMPUTED_VALUE"""),26125.0)</f>
        <v>26125</v>
      </c>
      <c r="C2056" t="str">
        <f>IFERROR(__xludf.DUMMYFUNCTION("""COMPUTED_VALUE"""),"YEPES RAMIREZ, MARTIN")</f>
        <v>YEPES RAMIREZ, MARTIN</v>
      </c>
      <c r="D2056" t="str">
        <f>IFERROR(__xludf.DUMMYFUNCTION("""COMPUTED_VALUE"""),"AP Physics 2")</f>
        <v>AP Physics 2</v>
      </c>
      <c r="E2056" s="3">
        <f>IFERROR(__xludf.DUMMYFUNCTION("""COMPUTED_VALUE"""),5.0)</f>
        <v>5</v>
      </c>
      <c r="F2056" s="300">
        <v>1.0</v>
      </c>
      <c r="G2056" s="300">
        <v>1.0</v>
      </c>
      <c r="H2056" s="300">
        <v>1.0</v>
      </c>
      <c r="I2056" s="300">
        <v>1.0</v>
      </c>
      <c r="J2056" s="300">
        <v>1.0</v>
      </c>
      <c r="K2056" s="300">
        <v>1.0</v>
      </c>
      <c r="L2056" s="300">
        <v>1.0</v>
      </c>
      <c r="M2056" s="300">
        <v>1.0</v>
      </c>
      <c r="N2056" s="300">
        <v>8.0</v>
      </c>
      <c r="O2056" s="300" t="s">
        <v>888</v>
      </c>
      <c r="P2056" s="300">
        <v>2.0</v>
      </c>
    </row>
    <row r="2057">
      <c r="A2057">
        <f>IFERROR(__xludf.DUMMYFUNCTION("""COMPUTED_VALUE"""),12.0)</f>
        <v>12</v>
      </c>
      <c r="B2057">
        <f>IFERROR(__xludf.DUMMYFUNCTION("""COMPUTED_VALUE"""),25039.0)</f>
        <v>25039</v>
      </c>
      <c r="C2057" t="str">
        <f>IFERROR(__xludf.DUMMYFUNCTION("""COMPUTED_VALUE"""),"GARZA PATIÑO, MARCO")</f>
        <v>GARZA PATIÑO, MARCO</v>
      </c>
      <c r="D2057" t="str">
        <f>IFERROR(__xludf.DUMMYFUNCTION("""COMPUTED_VALUE"""),"Environmental Science")</f>
        <v>Environmental Science</v>
      </c>
      <c r="E2057" s="3">
        <f>IFERROR(__xludf.DUMMYFUNCTION("""COMPUTED_VALUE"""),2.0)</f>
        <v>2</v>
      </c>
      <c r="F2057" s="300">
        <v>1.0</v>
      </c>
      <c r="G2057" s="300">
        <v>1.0</v>
      </c>
      <c r="H2057" s="300">
        <v>1.0</v>
      </c>
      <c r="I2057" s="300">
        <v>1.0</v>
      </c>
      <c r="J2057" s="300">
        <v>1.0</v>
      </c>
      <c r="K2057" s="300">
        <v>1.0</v>
      </c>
      <c r="L2057" s="300">
        <v>1.0</v>
      </c>
      <c r="M2057" s="300">
        <v>1.0</v>
      </c>
      <c r="N2057" s="300">
        <v>8.0</v>
      </c>
      <c r="O2057" s="300" t="s">
        <v>889</v>
      </c>
      <c r="P2057" s="300">
        <v>3.0</v>
      </c>
    </row>
    <row r="2058">
      <c r="A2058">
        <f>IFERROR(__xludf.DUMMYFUNCTION("""COMPUTED_VALUE"""),12.0)</f>
        <v>12</v>
      </c>
      <c r="B2058">
        <f>IFERROR(__xludf.DUMMYFUNCTION("""COMPUTED_VALUE"""),26133.0)</f>
        <v>26133</v>
      </c>
      <c r="C2058" t="str">
        <f>IFERROR(__xludf.DUMMYFUNCTION("""COMPUTED_VALUE"""),"SUAREZ MARTINEZ, PABLO")</f>
        <v>SUAREZ MARTINEZ, PABLO</v>
      </c>
      <c r="D2058" t="str">
        <f>IFERROR(__xludf.DUMMYFUNCTION("""COMPUTED_VALUE"""),"Environmental Science")</f>
        <v>Environmental Science</v>
      </c>
      <c r="E2058" s="3">
        <f>IFERROR(__xludf.DUMMYFUNCTION("""COMPUTED_VALUE"""),6.0)</f>
        <v>6</v>
      </c>
      <c r="F2058" s="300">
        <v>1.0</v>
      </c>
      <c r="G2058" s="300">
        <v>1.0</v>
      </c>
      <c r="H2058" s="300">
        <v>1.0</v>
      </c>
      <c r="I2058" s="300">
        <v>1.0</v>
      </c>
      <c r="J2058" s="300">
        <v>1.0</v>
      </c>
      <c r="K2058" s="300">
        <v>1.0</v>
      </c>
      <c r="L2058" s="300">
        <v>1.0</v>
      </c>
      <c r="M2058" s="300">
        <v>1.0</v>
      </c>
      <c r="N2058" s="300">
        <v>8.0</v>
      </c>
      <c r="O2058" s="300" t="s">
        <v>887</v>
      </c>
      <c r="P2058" s="300">
        <v>3.0</v>
      </c>
    </row>
    <row r="2059">
      <c r="A2059">
        <f>IFERROR(__xludf.DUMMYFUNCTION("""COMPUTED_VALUE"""),12.0)</f>
        <v>12</v>
      </c>
      <c r="B2059">
        <f>IFERROR(__xludf.DUMMYFUNCTION("""COMPUTED_VALUE"""),26110.0)</f>
        <v>26110</v>
      </c>
      <c r="C2059" t="str">
        <f>IFERROR(__xludf.DUMMYFUNCTION("""COMPUTED_VALUE"""),"URIBE CORREA, VICENTE")</f>
        <v>URIBE CORREA, VICENTE</v>
      </c>
      <c r="D2059" t="str">
        <f>IFERROR(__xludf.DUMMYFUNCTION("""COMPUTED_VALUE"""),"Environmental Science")</f>
        <v>Environmental Science</v>
      </c>
      <c r="E2059" s="3">
        <f>IFERROR(__xludf.DUMMYFUNCTION("""COMPUTED_VALUE"""),6.0)</f>
        <v>6</v>
      </c>
      <c r="F2059" s="300">
        <v>1.0</v>
      </c>
      <c r="G2059" s="300">
        <v>1.0</v>
      </c>
      <c r="H2059" s="300">
        <v>1.0</v>
      </c>
      <c r="I2059" s="300">
        <v>1.0</v>
      </c>
      <c r="J2059" s="300">
        <v>1.0</v>
      </c>
      <c r="K2059" s="300">
        <v>1.0</v>
      </c>
      <c r="L2059" s="300">
        <v>1.0</v>
      </c>
      <c r="M2059" s="300">
        <v>1.0</v>
      </c>
      <c r="N2059" s="300">
        <v>8.0</v>
      </c>
      <c r="O2059" s="300" t="s">
        <v>887</v>
      </c>
      <c r="P2059" s="300">
        <v>3.0</v>
      </c>
    </row>
    <row r="2060">
      <c r="A2060">
        <f>IFERROR(__xludf.DUMMYFUNCTION("""COMPUTED_VALUE"""),12.0)</f>
        <v>12</v>
      </c>
      <c r="B2060">
        <f>IFERROR(__xludf.DUMMYFUNCTION("""COMPUTED_VALUE"""),26022.0)</f>
        <v>26022</v>
      </c>
      <c r="C2060" t="str">
        <f>IFERROR(__xludf.DUMMYFUNCTION("""COMPUTED_VALUE"""),"CAROLI ABAD, MASSIMILIANO")</f>
        <v>CAROLI ABAD, MASSIMILIANO</v>
      </c>
      <c r="D2060" t="str">
        <f>IFERROR(__xludf.DUMMYFUNCTION("""COMPUTED_VALUE"""),"Environmental Science")</f>
        <v>Environmental Science</v>
      </c>
      <c r="E2060" s="3">
        <f>IFERROR(__xludf.DUMMYFUNCTION("""COMPUTED_VALUE"""),2.0)</f>
        <v>2</v>
      </c>
      <c r="F2060" s="300">
        <v>1.0</v>
      </c>
      <c r="G2060" s="300">
        <v>1.0</v>
      </c>
      <c r="H2060" s="300">
        <v>1.0</v>
      </c>
      <c r="I2060" s="300">
        <v>1.0</v>
      </c>
      <c r="J2060" s="300">
        <v>1.0</v>
      </c>
      <c r="K2060" s="300">
        <v>1.0</v>
      </c>
      <c r="L2060" s="300">
        <v>1.0</v>
      </c>
      <c r="M2060" s="300">
        <v>1.0</v>
      </c>
      <c r="N2060" s="300">
        <v>8.0</v>
      </c>
      <c r="O2060" s="300" t="s">
        <v>889</v>
      </c>
      <c r="P2060" s="300">
        <v>3.0</v>
      </c>
    </row>
    <row r="2061">
      <c r="A2061">
        <f>IFERROR(__xludf.DUMMYFUNCTION("""COMPUTED_VALUE"""),12.0)</f>
        <v>12</v>
      </c>
      <c r="B2061">
        <f>IFERROR(__xludf.DUMMYFUNCTION("""COMPUTED_VALUE"""),26102.0)</f>
        <v>26102</v>
      </c>
      <c r="C2061" t="str">
        <f>IFERROR(__xludf.DUMMYFUNCTION("""COMPUTED_VALUE"""),"RODRIGUEZ NAVARRO, MIGUEL")</f>
        <v>RODRIGUEZ NAVARRO, MIGUEL</v>
      </c>
      <c r="D2061" t="str">
        <f>IFERROR(__xludf.DUMMYFUNCTION("""COMPUTED_VALUE"""),"Environmental Science")</f>
        <v>Environmental Science</v>
      </c>
      <c r="E2061" s="3">
        <f>IFERROR(__xludf.DUMMYFUNCTION("""COMPUTED_VALUE"""),2.0)</f>
        <v>2</v>
      </c>
      <c r="F2061" s="300">
        <v>1.0</v>
      </c>
      <c r="G2061" s="300">
        <v>1.0</v>
      </c>
      <c r="H2061" s="300">
        <v>1.0</v>
      </c>
      <c r="I2061" s="300">
        <v>1.0</v>
      </c>
      <c r="J2061" s="300">
        <v>1.0</v>
      </c>
      <c r="K2061" s="300">
        <v>1.0</v>
      </c>
      <c r="L2061" s="300">
        <v>1.0</v>
      </c>
      <c r="M2061" s="300">
        <v>1.0</v>
      </c>
      <c r="N2061" s="300">
        <v>8.0</v>
      </c>
      <c r="O2061" s="300" t="s">
        <v>889</v>
      </c>
      <c r="P2061" s="300">
        <v>3.0</v>
      </c>
    </row>
    <row r="2062">
      <c r="A2062">
        <f>IFERROR(__xludf.DUMMYFUNCTION("""COMPUTED_VALUE"""),12.0)</f>
        <v>12</v>
      </c>
      <c r="B2062">
        <f>IFERROR(__xludf.DUMMYFUNCTION("""COMPUTED_VALUE"""),26107.0)</f>
        <v>26107</v>
      </c>
      <c r="C2062" t="str">
        <f>IFERROR(__xludf.DUMMYFUNCTION("""COMPUTED_VALUE"""),"SUAREZ PEREZ ROSARIO")</f>
        <v>SUAREZ PEREZ ROSARIO</v>
      </c>
      <c r="D2062" t="str">
        <f>IFERROR(__xludf.DUMMYFUNCTION("""COMPUTED_VALUE"""),"AP Environmental Science")</f>
        <v>AP Environmental Science</v>
      </c>
      <c r="E2062" s="3">
        <f>IFERROR(__xludf.DUMMYFUNCTION("""COMPUTED_VALUE"""),3.0)</f>
        <v>3</v>
      </c>
      <c r="F2062" s="300">
        <v>1.0</v>
      </c>
      <c r="G2062" s="300">
        <v>1.0</v>
      </c>
      <c r="H2062" s="300">
        <v>1.0</v>
      </c>
      <c r="I2062" s="300">
        <v>1.0</v>
      </c>
      <c r="J2062" s="300">
        <v>1.0</v>
      </c>
      <c r="K2062" s="300">
        <v>1.0</v>
      </c>
      <c r="L2062" s="300">
        <v>1.0</v>
      </c>
      <c r="M2062" s="300">
        <v>1.0</v>
      </c>
      <c r="N2062" s="300">
        <v>8.0</v>
      </c>
      <c r="O2062" s="300" t="s">
        <v>890</v>
      </c>
      <c r="P2062" s="300">
        <v>1.0</v>
      </c>
    </row>
    <row r="2063">
      <c r="A2063">
        <f>IFERROR(__xludf.DUMMYFUNCTION("""COMPUTED_VALUE"""),11.0)</f>
        <v>11</v>
      </c>
      <c r="B2063">
        <f>IFERROR(__xludf.DUMMYFUNCTION("""COMPUTED_VALUE"""),27148.0)</f>
        <v>27148</v>
      </c>
      <c r="C2063" t="str">
        <f>IFERROR(__xludf.DUMMYFUNCTION("""COMPUTED_VALUE"""),"TALUKDAR, JIGYASHA")</f>
        <v>TALUKDAR, JIGYASHA</v>
      </c>
      <c r="D2063" t="str">
        <f>IFERROR(__xludf.DUMMYFUNCTION("""COMPUTED_VALUE"""),"AP Physics 1")</f>
        <v>AP Physics 1</v>
      </c>
      <c r="E2063" s="3">
        <f>IFERROR(__xludf.DUMMYFUNCTION("""COMPUTED_VALUE"""),1.0)</f>
        <v>1</v>
      </c>
      <c r="F2063" s="300">
        <v>1.0</v>
      </c>
      <c r="G2063" s="300">
        <v>1.0</v>
      </c>
      <c r="H2063" s="300">
        <v>1.0</v>
      </c>
      <c r="I2063" s="300">
        <v>1.0</v>
      </c>
      <c r="J2063" s="300">
        <v>1.0</v>
      </c>
      <c r="K2063" s="300">
        <v>1.0</v>
      </c>
      <c r="L2063" s="300">
        <v>1.0</v>
      </c>
      <c r="M2063" s="300">
        <v>1.0</v>
      </c>
      <c r="N2063" s="300">
        <v>8.0</v>
      </c>
      <c r="O2063" s="300" t="s">
        <v>882</v>
      </c>
      <c r="P2063" s="300">
        <v>1.0</v>
      </c>
    </row>
    <row r="2064">
      <c r="A2064">
        <f>IFERROR(__xludf.DUMMYFUNCTION("""COMPUTED_VALUE"""),11.0)</f>
        <v>11</v>
      </c>
      <c r="B2064">
        <f>IFERROR(__xludf.DUMMYFUNCTION("""COMPUTED_VALUE"""),27180.0)</f>
        <v>27180</v>
      </c>
      <c r="C2064" t="str">
        <f>IFERROR(__xludf.DUMMYFUNCTION("""COMPUTED_VALUE"""),"CANDELA SÁNCHEZ, LORENZO")</f>
        <v>CANDELA SÁNCHEZ, LORENZO</v>
      </c>
      <c r="D2064" t="str">
        <f>IFERROR(__xludf.DUMMYFUNCTION("""COMPUTED_VALUE"""),"Physics")</f>
        <v>Physics</v>
      </c>
      <c r="E2064" s="3">
        <f>IFERROR(__xludf.DUMMYFUNCTION("""COMPUTED_VALUE"""),1.0)</f>
        <v>1</v>
      </c>
      <c r="F2064" s="300">
        <v>1.0</v>
      </c>
      <c r="G2064" s="300">
        <v>1.0</v>
      </c>
      <c r="H2064" s="300">
        <v>1.0</v>
      </c>
      <c r="I2064" s="300">
        <v>1.0</v>
      </c>
      <c r="J2064" s="300">
        <v>1.0</v>
      </c>
      <c r="K2064" s="300">
        <v>1.0</v>
      </c>
      <c r="L2064" s="300">
        <v>1.0</v>
      </c>
      <c r="M2064" s="300">
        <v>1.0</v>
      </c>
      <c r="N2064" s="300">
        <v>8.0</v>
      </c>
      <c r="O2064" s="300" t="s">
        <v>880</v>
      </c>
      <c r="P2064" s="300">
        <v>5.0</v>
      </c>
    </row>
    <row r="2065">
      <c r="A2065">
        <f>IFERROR(__xludf.DUMMYFUNCTION("""COMPUTED_VALUE"""),11.0)</f>
        <v>11</v>
      </c>
      <c r="B2065" s="406">
        <f>IFERROR(__xludf.DUMMYFUNCTION("""COMPUTED_VALUE"""),27183.0)</f>
        <v>27183</v>
      </c>
      <c r="C2065" s="406" t="str">
        <f>IFERROR(__xludf.DUMMYFUNCTION("""COMPUTED_VALUE"""),"JOORIS-ANCION, ALEXANDRE")</f>
        <v>JOORIS-ANCION, ALEXANDRE</v>
      </c>
      <c r="D2065" t="str">
        <f>IFERROR(__xludf.DUMMYFUNCTION("""COMPUTED_VALUE"""),"Physics")</f>
        <v>Physics</v>
      </c>
      <c r="E2065" s="3">
        <f>IFERROR(__xludf.DUMMYFUNCTION("""COMPUTED_VALUE"""),7.0)</f>
        <v>7</v>
      </c>
      <c r="F2065" s="300">
        <v>1.0</v>
      </c>
      <c r="G2065" s="300">
        <v>1.0</v>
      </c>
      <c r="H2065" s="300">
        <v>1.0</v>
      </c>
      <c r="I2065" s="300">
        <v>1.0</v>
      </c>
      <c r="J2065" s="300">
        <v>1.0</v>
      </c>
      <c r="K2065" s="300">
        <v>1.0</v>
      </c>
      <c r="L2065" s="300">
        <v>1.0</v>
      </c>
      <c r="M2065" s="300">
        <v>1.0</v>
      </c>
      <c r="N2065" s="300">
        <v>8.0</v>
      </c>
      <c r="O2065" s="300" t="s">
        <v>884</v>
      </c>
      <c r="P2065" s="300">
        <v>5.0</v>
      </c>
    </row>
    <row r="2066">
      <c r="A2066">
        <f>IFERROR(__xludf.DUMMYFUNCTION("""COMPUTED_VALUE"""),10.0)</f>
        <v>10</v>
      </c>
      <c r="B2066">
        <f>IFERROR(__xludf.DUMMYFUNCTION("""COMPUTED_VALUE"""),28176.0)</f>
        <v>28176</v>
      </c>
      <c r="C2066" s="406" t="str">
        <f>IFERROR(__xludf.DUMMYFUNCTION("""COMPUTED_VALUE"""),"SILVA MONTOYA, SEBASTIÁN")</f>
        <v>SILVA MONTOYA, SEBASTIÁN</v>
      </c>
      <c r="D2066" t="str">
        <f>IFERROR(__xludf.DUMMYFUNCTION("""COMPUTED_VALUE"""),"Chemistry")</f>
        <v>Chemistry</v>
      </c>
      <c r="E2066" s="3">
        <f>IFERROR(__xludf.DUMMYFUNCTION("""COMPUTED_VALUE"""),6.0)</f>
        <v>6</v>
      </c>
      <c r="F2066" s="300">
        <v>1.0</v>
      </c>
      <c r="G2066" s="300">
        <v>1.0</v>
      </c>
      <c r="H2066" s="300">
        <v>1.0</v>
      </c>
      <c r="I2066" s="300">
        <v>1.0</v>
      </c>
      <c r="J2066" s="300">
        <v>1.0</v>
      </c>
      <c r="K2066" s="300">
        <v>1.0</v>
      </c>
      <c r="L2066" s="300">
        <v>1.0</v>
      </c>
      <c r="M2066" s="300">
        <v>1.0</v>
      </c>
      <c r="N2066" s="300">
        <v>8.0</v>
      </c>
      <c r="O2066" s="300" t="s">
        <v>878</v>
      </c>
      <c r="P2066" s="300">
        <v>7.0</v>
      </c>
    </row>
    <row r="2067">
      <c r="A2067">
        <f>IFERROR(__xludf.DUMMYFUNCTION("""COMPUTED_VALUE"""),9.0)</f>
        <v>9</v>
      </c>
      <c r="B2067">
        <f>IFERROR(__xludf.DUMMYFUNCTION("""COMPUTED_VALUE"""),29173.0)</f>
        <v>29173</v>
      </c>
      <c r="C2067" s="406" t="str">
        <f>IFERROR(__xludf.DUMMYFUNCTION("""COMPUTED_VALUE"""),"GRACIANO VÉLEZ, MARÍA DE LOS ÁNGELES")</f>
        <v>GRACIANO VÉLEZ, MARÍA DE LOS ÁNGELES</v>
      </c>
      <c r="D2067" t="str">
        <f>IFERROR(__xludf.DUMMYFUNCTION("""COMPUTED_VALUE"""),"Biology 9")</f>
        <v>Biology 9</v>
      </c>
      <c r="E2067" s="3">
        <f>IFERROR(__xludf.DUMMYFUNCTION("""COMPUTED_VALUE"""),3.0)</f>
        <v>3</v>
      </c>
      <c r="F2067" s="300">
        <v>1.0</v>
      </c>
      <c r="G2067" s="300">
        <v>1.0</v>
      </c>
      <c r="H2067" s="300">
        <v>1.0</v>
      </c>
      <c r="I2067" s="300">
        <v>1.0</v>
      </c>
      <c r="J2067" s="300">
        <v>1.0</v>
      </c>
      <c r="K2067" s="300">
        <v>1.0</v>
      </c>
      <c r="L2067" s="300">
        <v>1.0</v>
      </c>
      <c r="M2067" s="300">
        <v>1.0</v>
      </c>
      <c r="N2067" s="300">
        <v>8.0</v>
      </c>
      <c r="O2067" s="300" t="s">
        <v>870</v>
      </c>
      <c r="P2067" s="300">
        <v>7.0</v>
      </c>
    </row>
    <row r="2068">
      <c r="A2068">
        <f>IFERROR(__xludf.DUMMYFUNCTION("""COMPUTED_VALUE"""),9.0)</f>
        <v>9</v>
      </c>
      <c r="B2068">
        <f>IFERROR(__xludf.DUMMYFUNCTION("""COMPUTED_VALUE"""),29174.0)</f>
        <v>29174</v>
      </c>
      <c r="C2068" s="406" t="str">
        <f>IFERROR(__xludf.DUMMYFUNCTION("""COMPUTED_VALUE"""),"CANDELA SÁNCHEZ, EVA")</f>
        <v>CANDELA SÁNCHEZ, EVA</v>
      </c>
      <c r="D2068" t="str">
        <f>IFERROR(__xludf.DUMMYFUNCTION("""COMPUTED_VALUE"""),"Biology 9")</f>
        <v>Biology 9</v>
      </c>
      <c r="E2068" s="3">
        <f>IFERROR(__xludf.DUMMYFUNCTION("""COMPUTED_VALUE"""),4.0)</f>
        <v>4</v>
      </c>
      <c r="F2068" s="300">
        <v>1.0</v>
      </c>
      <c r="G2068" s="300">
        <v>1.0</v>
      </c>
      <c r="H2068" s="300">
        <v>1.0</v>
      </c>
      <c r="I2068" s="300">
        <v>1.0</v>
      </c>
      <c r="J2068" s="300">
        <v>1.0</v>
      </c>
      <c r="K2068" s="300">
        <v>1.0</v>
      </c>
      <c r="L2068" s="300">
        <v>1.0</v>
      </c>
      <c r="M2068" s="300">
        <v>1.0</v>
      </c>
      <c r="N2068" s="300">
        <v>8.0</v>
      </c>
      <c r="O2068" s="300" t="s">
        <v>868</v>
      </c>
      <c r="P2068" s="300">
        <v>7.0</v>
      </c>
    </row>
    <row r="2069">
      <c r="A2069">
        <f>IFERROR(__xludf.DUMMYFUNCTION("""COMPUTED_VALUE"""),11.0)</f>
        <v>11</v>
      </c>
      <c r="B2069" s="406">
        <f>IFERROR(__xludf.DUMMYFUNCTION("""COMPUTED_VALUE"""),27179.0)</f>
        <v>27179</v>
      </c>
      <c r="C2069" s="406" t="str">
        <f>IFERROR(__xludf.DUMMYFUNCTION("""COMPUTED_VALUE"""),"GRACIANO VÉLEZ, MARÍA DEL MAR")</f>
        <v>GRACIANO VÉLEZ, MARÍA DEL MAR</v>
      </c>
      <c r="D2069" t="str">
        <f>IFERROR(__xludf.DUMMYFUNCTION("""COMPUTED_VALUE"""),"Physics")</f>
        <v>Physics</v>
      </c>
      <c r="E2069" s="3">
        <f>IFERROR(__xludf.DUMMYFUNCTION("""COMPUTED_VALUE"""),7.0)</f>
        <v>7</v>
      </c>
      <c r="F2069" s="300">
        <v>1.0</v>
      </c>
      <c r="G2069" s="300">
        <v>1.0</v>
      </c>
      <c r="H2069" s="300">
        <v>1.0</v>
      </c>
      <c r="I2069" s="300">
        <v>1.0</v>
      </c>
      <c r="J2069" s="300">
        <v>1.0</v>
      </c>
      <c r="K2069" s="300">
        <v>1.0</v>
      </c>
      <c r="L2069" s="300">
        <v>1.0</v>
      </c>
      <c r="M2069" s="300">
        <v>1.0</v>
      </c>
      <c r="N2069" s="300">
        <v>8.0</v>
      </c>
      <c r="O2069" s="300" t="s">
        <v>884</v>
      </c>
      <c r="P2069" s="300">
        <v>5.0</v>
      </c>
    </row>
    <row r="2070">
      <c r="A2070">
        <f>IFERROR(__xludf.DUMMYFUNCTION("""COMPUTED_VALUE"""),10.0)</f>
        <v>10</v>
      </c>
      <c r="B2070" s="406">
        <f>IFERROR(__xludf.DUMMYFUNCTION("""COMPUTED_VALUE"""),28178.0)</f>
        <v>28178</v>
      </c>
      <c r="C2070" s="406" t="str">
        <f>IFERROR(__xludf.DUMMYFUNCTION("""COMPUTED_VALUE"""),"CANOVA DOMINGUES, JOAO PEDRO")</f>
        <v>CANOVA DOMINGUES, JOAO PEDRO</v>
      </c>
      <c r="D2070" t="str">
        <f>IFERROR(__xludf.DUMMYFUNCTION("""COMPUTED_VALUE"""),"AP Environmental Science")</f>
        <v>AP Environmental Science</v>
      </c>
      <c r="E2070" s="3">
        <f>IFERROR(__xludf.DUMMYFUNCTION("""COMPUTED_VALUE"""),3.0)</f>
        <v>3</v>
      </c>
      <c r="F2070" s="300">
        <v>1.0</v>
      </c>
      <c r="G2070" s="300">
        <v>1.0</v>
      </c>
      <c r="H2070" s="300">
        <v>1.0</v>
      </c>
      <c r="I2070" s="300">
        <v>1.0</v>
      </c>
      <c r="J2070" s="300">
        <v>1.0</v>
      </c>
      <c r="K2070" s="300">
        <v>1.0</v>
      </c>
      <c r="L2070" s="300">
        <v>1.0</v>
      </c>
      <c r="M2070" s="300">
        <v>1.0</v>
      </c>
      <c r="N2070" s="300">
        <v>8.0</v>
      </c>
      <c r="O2070" s="300" t="s">
        <v>890</v>
      </c>
      <c r="P2070" s="300">
        <v>1.0</v>
      </c>
    </row>
    <row r="2071">
      <c r="A2071">
        <f>IFERROR(__xludf.DUMMYFUNCTION("""COMPUTED_VALUE"""),10.0)</f>
        <v>10</v>
      </c>
      <c r="B2071" s="406">
        <f>IFERROR(__xludf.DUMMYFUNCTION("""COMPUTED_VALUE"""),28177.0)</f>
        <v>28177</v>
      </c>
      <c r="C2071" s="406" t="str">
        <f>IFERROR(__xludf.DUMMYFUNCTION("""COMPUTED_VALUE"""),"CUBILLOS GÓMEZ, ROBERTO")</f>
        <v>CUBILLOS GÓMEZ, ROBERTO</v>
      </c>
      <c r="D2071" t="str">
        <f>IFERROR(__xludf.DUMMYFUNCTION("""COMPUTED_VALUE"""),"Chemistry")</f>
        <v>Chemistry</v>
      </c>
      <c r="E2071" s="3">
        <f>IFERROR(__xludf.DUMMYFUNCTION("""COMPUTED_VALUE"""),7.0)</f>
        <v>7</v>
      </c>
      <c r="F2071" s="300">
        <v>1.0</v>
      </c>
      <c r="G2071" s="300">
        <v>1.0</v>
      </c>
      <c r="H2071" s="300">
        <v>1.0</v>
      </c>
      <c r="I2071" s="300">
        <v>1.0</v>
      </c>
      <c r="J2071" s="300">
        <v>1.0</v>
      </c>
      <c r="K2071" s="300">
        <v>1.0</v>
      </c>
      <c r="L2071" s="300">
        <v>1.0</v>
      </c>
      <c r="M2071" s="300">
        <v>1.0</v>
      </c>
      <c r="N2071" s="300">
        <v>8.0</v>
      </c>
      <c r="O2071" s="300" t="s">
        <v>874</v>
      </c>
      <c r="P2071" s="300">
        <v>7.0</v>
      </c>
    </row>
    <row r="2072">
      <c r="A2072">
        <f>IFERROR(__xludf.DUMMYFUNCTION("""COMPUTED_VALUE"""),10.0)</f>
        <v>10</v>
      </c>
      <c r="B2072" s="406">
        <f>IFERROR(__xludf.DUMMYFUNCTION("""COMPUTED_VALUE"""),28146.0)</f>
        <v>28146</v>
      </c>
      <c r="C2072" s="406" t="str">
        <f>IFERROR(__xludf.DUMMYFUNCTION("""COMPUTED_VALUE"""),"MORA MORENO, MARÍA LUISA")</f>
        <v>MORA MORENO, MARÍA LUISA</v>
      </c>
      <c r="D2072" t="str">
        <f>IFERROR(__xludf.DUMMYFUNCTION("""COMPUTED_VALUE"""),"Chemistry")</f>
        <v>Chemistry</v>
      </c>
      <c r="E2072" s="3">
        <f>IFERROR(__xludf.DUMMYFUNCTION("""COMPUTED_VALUE"""),2.0)</f>
        <v>2</v>
      </c>
      <c r="F2072" s="300">
        <v>1.0</v>
      </c>
      <c r="G2072" s="300">
        <v>1.0</v>
      </c>
      <c r="H2072" s="300">
        <v>1.0</v>
      </c>
      <c r="I2072" s="300">
        <v>1.0</v>
      </c>
      <c r="J2072" s="300">
        <v>1.0</v>
      </c>
      <c r="K2072" s="300">
        <v>1.0</v>
      </c>
      <c r="L2072" s="300">
        <v>1.0</v>
      </c>
      <c r="M2072" s="300">
        <v>1.0</v>
      </c>
      <c r="N2072" s="300">
        <v>8.0</v>
      </c>
      <c r="O2072" s="300" t="s">
        <v>876</v>
      </c>
      <c r="P2072" s="300">
        <v>7.0</v>
      </c>
    </row>
    <row r="2073">
      <c r="A2073">
        <f>IFERROR(__xludf.DUMMYFUNCTION("""COMPUTED_VALUE"""),10.0)</f>
        <v>10</v>
      </c>
      <c r="B2073" s="406">
        <f>IFERROR(__xludf.DUMMYFUNCTION("""COMPUTED_VALUE"""),28175.0)</f>
        <v>28175</v>
      </c>
      <c r="C2073" s="406" t="str">
        <f>IFERROR(__xludf.DUMMYFUNCTION("""COMPUTED_VALUE"""),"DELSOL, ANTOINE")</f>
        <v>DELSOL, ANTOINE</v>
      </c>
      <c r="D2073" t="str">
        <f>IFERROR(__xludf.DUMMYFUNCTION("""COMPUTED_VALUE"""),"Chemistry")</f>
        <v>Chemistry</v>
      </c>
      <c r="E2073" s="3">
        <f>IFERROR(__xludf.DUMMYFUNCTION("""COMPUTED_VALUE"""),7.0)</f>
        <v>7</v>
      </c>
      <c r="F2073" s="300">
        <v>1.0</v>
      </c>
      <c r="G2073" s="300">
        <v>1.0</v>
      </c>
      <c r="H2073" s="300">
        <v>1.0</v>
      </c>
      <c r="I2073" s="300">
        <v>1.0</v>
      </c>
      <c r="J2073" s="300">
        <v>1.0</v>
      </c>
      <c r="K2073" s="300">
        <v>1.0</v>
      </c>
      <c r="L2073" s="300">
        <v>1.0</v>
      </c>
      <c r="M2073" s="300">
        <v>1.0</v>
      </c>
      <c r="N2073" s="300">
        <v>8.0</v>
      </c>
      <c r="O2073" s="300" t="s">
        <v>874</v>
      </c>
      <c r="P2073" s="300">
        <v>7.0</v>
      </c>
    </row>
    <row r="2074">
      <c r="A2074">
        <f>IFERROR(__xludf.DUMMYFUNCTION("""COMPUTED_VALUE"""),10.0)</f>
        <v>10</v>
      </c>
      <c r="B2074" s="406">
        <f>IFERROR(__xludf.DUMMYFUNCTION("""COMPUTED_VALUE"""),100052.0)</f>
        <v>100052</v>
      </c>
      <c r="C2074" s="406" t="str">
        <f>IFERROR(__xludf.DUMMYFUNCTION("""COMPUTED_VALUE"""),"ECHEVERRI SALAZAR CAMILA")</f>
        <v>ECHEVERRI SALAZAR CAMILA</v>
      </c>
      <c r="D2074" t="str">
        <f>IFERROR(__xludf.DUMMYFUNCTION("""COMPUTED_VALUE"""),"Chemistry")</f>
        <v>Chemistry</v>
      </c>
      <c r="E2074" s="3">
        <f>IFERROR(__xludf.DUMMYFUNCTION("""COMPUTED_VALUE"""),7.0)</f>
        <v>7</v>
      </c>
      <c r="F2074" s="300">
        <v>1.0</v>
      </c>
      <c r="G2074" s="300">
        <v>1.0</v>
      </c>
      <c r="H2074" s="300">
        <v>1.0</v>
      </c>
      <c r="I2074" s="300">
        <v>1.0</v>
      </c>
      <c r="J2074" s="300">
        <v>1.0</v>
      </c>
      <c r="K2074" s="300">
        <v>1.0</v>
      </c>
      <c r="L2074" s="300">
        <v>1.0</v>
      </c>
      <c r="M2074" s="300">
        <v>1.0</v>
      </c>
      <c r="N2074" s="300">
        <v>8.0</v>
      </c>
      <c r="O2074" s="300" t="s">
        <v>874</v>
      </c>
      <c r="P2074" s="300">
        <v>7.0</v>
      </c>
    </row>
    <row r="2075">
      <c r="A2075">
        <f>IFERROR(__xludf.DUMMYFUNCTION("""COMPUTED_VALUE"""),10.0)</f>
        <v>10</v>
      </c>
      <c r="B2075" s="406">
        <f>IFERROR(__xludf.DUMMYFUNCTION("""COMPUTED_VALUE"""),28180.0)</f>
        <v>28180</v>
      </c>
      <c r="C2075" s="406" t="str">
        <f>IFERROR(__xludf.DUMMYFUNCTION("""COMPUTED_VALUE"""),"VÉLEZ GÓMEZ, MATIAS")</f>
        <v>VÉLEZ GÓMEZ, MATIAS</v>
      </c>
      <c r="D2075" t="str">
        <f>IFERROR(__xludf.DUMMYFUNCTION("""COMPUTED_VALUE"""),"Chemistry")</f>
        <v>Chemistry</v>
      </c>
      <c r="E2075" s="3">
        <f>IFERROR(__xludf.DUMMYFUNCTION("""COMPUTED_VALUE"""),7.0)</f>
        <v>7</v>
      </c>
      <c r="F2075" s="300">
        <v>1.0</v>
      </c>
      <c r="G2075" s="300">
        <v>1.0</v>
      </c>
      <c r="H2075" s="300">
        <v>1.0</v>
      </c>
      <c r="I2075" s="300">
        <v>1.0</v>
      </c>
      <c r="J2075" s="300">
        <v>1.0</v>
      </c>
      <c r="K2075" s="300">
        <v>1.0</v>
      </c>
      <c r="L2075" s="300">
        <v>1.0</v>
      </c>
      <c r="M2075" s="300">
        <v>1.0</v>
      </c>
      <c r="N2075" s="300">
        <v>8.0</v>
      </c>
      <c r="O2075" s="300" t="s">
        <v>874</v>
      </c>
      <c r="P2075" s="300">
        <v>7.0</v>
      </c>
    </row>
    <row r="2076">
      <c r="A2076">
        <f>IFERROR(__xludf.DUMMYFUNCTION("""COMPUTED_VALUE"""),10.0)</f>
        <v>10</v>
      </c>
      <c r="B2076" s="406">
        <f>IFERROR(__xludf.DUMMYFUNCTION("""COMPUTED_VALUE"""),28141.0)</f>
        <v>28141</v>
      </c>
      <c r="C2076" s="406" t="str">
        <f>IFERROR(__xludf.DUMMYFUNCTION("""COMPUTED_VALUE"""),"GONZALEZ TRABOULSI SOFIA")</f>
        <v>GONZALEZ TRABOULSI SOFIA</v>
      </c>
      <c r="D2076" t="str">
        <f>IFERROR(__xludf.DUMMYFUNCTION("""COMPUTED_VALUE"""),"Chemistry")</f>
        <v>Chemistry</v>
      </c>
      <c r="E2076" s="3">
        <f>IFERROR(__xludf.DUMMYFUNCTION("""COMPUTED_VALUE"""),2.0)</f>
        <v>2</v>
      </c>
      <c r="F2076" s="300">
        <v>1.0</v>
      </c>
      <c r="G2076" s="300">
        <v>1.0</v>
      </c>
      <c r="H2076" s="300">
        <v>1.0</v>
      </c>
      <c r="I2076" s="300">
        <v>1.0</v>
      </c>
      <c r="J2076" s="300">
        <v>1.0</v>
      </c>
      <c r="K2076" s="300">
        <v>1.0</v>
      </c>
      <c r="L2076" s="300">
        <v>1.0</v>
      </c>
      <c r="M2076" s="300">
        <v>1.0</v>
      </c>
      <c r="N2076" s="300">
        <v>8.0</v>
      </c>
      <c r="O2076" s="300" t="s">
        <v>876</v>
      </c>
      <c r="P2076" s="300">
        <v>7.0</v>
      </c>
    </row>
    <row r="2077">
      <c r="A2077">
        <f>IFERROR(__xludf.DUMMYFUNCTION("""COMPUTED_VALUE"""),10.0)</f>
        <v>10</v>
      </c>
      <c r="B2077" s="406">
        <f>IFERROR(__xludf.DUMMYFUNCTION("""COMPUTED_VALUE"""),12345.0)</f>
        <v>12345</v>
      </c>
      <c r="C2077" s="406" t="str">
        <f>IFERROR(__xludf.DUMMYFUNCTION("""COMPUTED_VALUE"""),"TRIVELIN JUAN IGNACIO")</f>
        <v>TRIVELIN JUAN IGNACIO</v>
      </c>
      <c r="D2077" t="str">
        <f>IFERROR(__xludf.DUMMYFUNCTION("""COMPUTED_VALUE"""),"Chemistry")</f>
        <v>Chemistry</v>
      </c>
      <c r="E2077" s="3">
        <f>IFERROR(__xludf.DUMMYFUNCTION("""COMPUTED_VALUE"""),1.0)</f>
        <v>1</v>
      </c>
      <c r="F2077" s="300">
        <v>1.0</v>
      </c>
      <c r="G2077" s="300">
        <v>1.0</v>
      </c>
      <c r="H2077" s="300">
        <v>1.0</v>
      </c>
      <c r="I2077" s="300">
        <v>1.0</v>
      </c>
      <c r="J2077" s="300">
        <v>1.0</v>
      </c>
      <c r="K2077" s="300">
        <v>1.0</v>
      </c>
      <c r="L2077" s="300">
        <v>1.0</v>
      </c>
      <c r="M2077" s="300">
        <v>1.0</v>
      </c>
      <c r="N2077" s="300">
        <v>8.0</v>
      </c>
      <c r="O2077" s="300" t="s">
        <v>875</v>
      </c>
      <c r="P2077" s="300">
        <v>7.0</v>
      </c>
    </row>
    <row r="2078">
      <c r="A2078">
        <f>IFERROR(__xludf.DUMMYFUNCTION("""COMPUTED_VALUE"""),11.0)</f>
        <v>11</v>
      </c>
      <c r="B2078" s="406">
        <f>IFERROR(__xludf.DUMMYFUNCTION("""COMPUTED_VALUE"""),27169.0)</f>
        <v>27169</v>
      </c>
      <c r="C2078" s="406" t="str">
        <f>IFERROR(__xludf.DUMMYFUNCTION("""COMPUTED_VALUE"""),"RAMOS RODRIGUEZ, ELENA")</f>
        <v>RAMOS RODRIGUEZ, ELENA</v>
      </c>
      <c r="D2078" t="str">
        <f>IFERROR(__xludf.DUMMYFUNCTION("""COMPUTED_VALUE"""),"Physics")</f>
        <v>Physics</v>
      </c>
      <c r="E2078" s="3">
        <f>IFERROR(__xludf.DUMMYFUNCTION("""COMPUTED_VALUE"""),2.0)</f>
        <v>2</v>
      </c>
      <c r="F2078" s="300">
        <v>1.0</v>
      </c>
      <c r="G2078" s="300">
        <v>1.0</v>
      </c>
      <c r="H2078" s="300">
        <v>1.0</v>
      </c>
      <c r="I2078" s="300">
        <v>1.0</v>
      </c>
      <c r="J2078" s="300">
        <v>1.0</v>
      </c>
      <c r="K2078" s="300">
        <v>1.0</v>
      </c>
      <c r="L2078" s="300">
        <v>1.0</v>
      </c>
      <c r="M2078" s="300">
        <v>1.0</v>
      </c>
      <c r="N2078" s="300">
        <v>8.0</v>
      </c>
      <c r="O2078" s="300" t="s">
        <v>881</v>
      </c>
      <c r="P2078" s="300">
        <v>5.0</v>
      </c>
    </row>
    <row r="2079">
      <c r="A2079">
        <f>IFERROR(__xludf.DUMMYFUNCTION("""COMPUTED_VALUE"""),9.0)</f>
        <v>9</v>
      </c>
      <c r="B2079" s="406">
        <f>IFERROR(__xludf.DUMMYFUNCTION("""COMPUTED_VALUE"""),29070.0)</f>
        <v>29070</v>
      </c>
      <c r="C2079" t="str">
        <f>IFERROR(__xludf.DUMMYFUNCTION("""COMPUTED_VALUE"""),"MANRIQUE CUESTA, ISABELLA")</f>
        <v>MANRIQUE CUESTA, ISABELLA</v>
      </c>
      <c r="D2079" t="str">
        <f>IFERROR(__xludf.DUMMYFUNCTION("""COMPUTED_VALUE"""),"PE 9")</f>
        <v>PE 9</v>
      </c>
      <c r="E2079" s="3">
        <f>IFERROR(__xludf.DUMMYFUNCTION("""COMPUTED_VALUE"""),4.0)</f>
        <v>4</v>
      </c>
      <c r="F2079" s="300">
        <v>1.0</v>
      </c>
      <c r="G2079" s="300">
        <v>1.0</v>
      </c>
      <c r="H2079" s="300">
        <v>1.0</v>
      </c>
      <c r="I2079" s="300">
        <v>1.0</v>
      </c>
      <c r="J2079" s="300">
        <v>1.0</v>
      </c>
      <c r="K2079" s="300">
        <v>1.0</v>
      </c>
      <c r="L2079" s="300">
        <v>1.0</v>
      </c>
      <c r="M2079" s="300">
        <v>1.0</v>
      </c>
      <c r="N2079" s="300">
        <v>8.0</v>
      </c>
      <c r="O2079" s="300" t="s">
        <v>896</v>
      </c>
      <c r="P2079" s="300">
        <v>6.0</v>
      </c>
    </row>
    <row r="2080">
      <c r="A2080">
        <f>IFERROR(__xludf.DUMMYFUNCTION("""COMPUTED_VALUE"""),9.0)</f>
        <v>9</v>
      </c>
      <c r="B2080" s="406">
        <f>IFERROR(__xludf.DUMMYFUNCTION("""COMPUTED_VALUE"""),29075.0)</f>
        <v>29075</v>
      </c>
      <c r="C2080" t="str">
        <f>IFERROR(__xludf.DUMMYFUNCTION("""COMPUTED_VALUE"""),"MEJIA BUSTAMANTE, ANTONIA")</f>
        <v>MEJIA BUSTAMANTE, ANTONIA</v>
      </c>
      <c r="D2080" t="str">
        <f>IFERROR(__xludf.DUMMYFUNCTION("""COMPUTED_VALUE"""),"PE 9")</f>
        <v>PE 9</v>
      </c>
      <c r="E2080" s="3">
        <f>IFERROR(__xludf.DUMMYFUNCTION("""COMPUTED_VALUE"""),4.0)</f>
        <v>4</v>
      </c>
      <c r="F2080" s="300">
        <v>1.0</v>
      </c>
      <c r="G2080" s="300">
        <v>1.0</v>
      </c>
      <c r="H2080" s="300">
        <v>1.0</v>
      </c>
      <c r="I2080" s="300">
        <v>1.0</v>
      </c>
      <c r="J2080" s="300">
        <v>1.0</v>
      </c>
      <c r="K2080" s="300">
        <v>1.0</v>
      </c>
      <c r="L2080" s="300">
        <v>1.0</v>
      </c>
      <c r="M2080" s="300">
        <v>1.0</v>
      </c>
      <c r="N2080" s="300">
        <v>8.0</v>
      </c>
      <c r="O2080" s="300" t="s">
        <v>896</v>
      </c>
      <c r="P2080" s="300">
        <v>6.0</v>
      </c>
    </row>
    <row r="2081">
      <c r="A2081">
        <f>IFERROR(__xludf.DUMMYFUNCTION("""COMPUTED_VALUE"""),9.0)</f>
        <v>9</v>
      </c>
      <c r="B2081" s="406">
        <f>IFERROR(__xludf.DUMMYFUNCTION("""COMPUTED_VALUE"""),29149.0)</f>
        <v>29149</v>
      </c>
      <c r="C2081" t="str">
        <f>IFERROR(__xludf.DUMMYFUNCTION("""COMPUTED_VALUE"""),"SALEMME GUTIERREZ, AMALIA")</f>
        <v>SALEMME GUTIERREZ, AMALIA</v>
      </c>
      <c r="D2081" t="str">
        <f>IFERROR(__xludf.DUMMYFUNCTION("""COMPUTED_VALUE"""),"PE 9")</f>
        <v>PE 9</v>
      </c>
      <c r="E2081" s="3">
        <f>IFERROR(__xludf.DUMMYFUNCTION("""COMPUTED_VALUE"""),5.0)</f>
        <v>5</v>
      </c>
      <c r="F2081" s="300">
        <v>1.0</v>
      </c>
      <c r="G2081" s="300">
        <v>1.0</v>
      </c>
      <c r="H2081" s="300">
        <v>1.0</v>
      </c>
      <c r="I2081" s="300">
        <v>1.0</v>
      </c>
      <c r="J2081" s="300">
        <v>1.0</v>
      </c>
      <c r="K2081" s="300">
        <v>1.0</v>
      </c>
      <c r="L2081" s="300">
        <v>1.0</v>
      </c>
      <c r="M2081" s="300">
        <v>1.0</v>
      </c>
      <c r="N2081" s="300">
        <v>8.0</v>
      </c>
      <c r="O2081" s="300" t="s">
        <v>897</v>
      </c>
      <c r="P2081" s="300">
        <v>6.0</v>
      </c>
    </row>
    <row r="2082">
      <c r="A2082">
        <f>IFERROR(__xludf.DUMMYFUNCTION("""COMPUTED_VALUE"""),9.0)</f>
        <v>9</v>
      </c>
      <c r="B2082" s="406">
        <f>IFERROR(__xludf.DUMMYFUNCTION("""COMPUTED_VALUE"""),29113.0)</f>
        <v>29113</v>
      </c>
      <c r="C2082" t="str">
        <f>IFERROR(__xludf.DUMMYFUNCTION("""COMPUTED_VALUE"""),"THIRIEZ VILLA, EMMA")</f>
        <v>THIRIEZ VILLA, EMMA</v>
      </c>
      <c r="D2082" t="str">
        <f>IFERROR(__xludf.DUMMYFUNCTION("""COMPUTED_VALUE"""),"PE 9")</f>
        <v>PE 9</v>
      </c>
      <c r="E2082" s="3">
        <f>IFERROR(__xludf.DUMMYFUNCTION("""COMPUTED_VALUE"""),6.0)</f>
        <v>6</v>
      </c>
      <c r="F2082" s="300">
        <v>1.0</v>
      </c>
      <c r="G2082" s="300">
        <v>1.0</v>
      </c>
      <c r="H2082" s="300">
        <v>1.0</v>
      </c>
      <c r="I2082" s="300">
        <v>1.0</v>
      </c>
      <c r="J2082" s="300">
        <v>1.0</v>
      </c>
      <c r="K2082" s="300">
        <v>1.0</v>
      </c>
      <c r="L2082" s="300">
        <v>1.0</v>
      </c>
      <c r="M2082" s="300">
        <v>1.0</v>
      </c>
      <c r="N2082" s="300">
        <v>8.0</v>
      </c>
      <c r="O2082" s="300" t="s">
        <v>898</v>
      </c>
      <c r="P2082" s="300">
        <v>6.0</v>
      </c>
    </row>
    <row r="2083">
      <c r="A2083">
        <f>IFERROR(__xludf.DUMMYFUNCTION("""COMPUTED_VALUE"""),9.0)</f>
        <v>9</v>
      </c>
      <c r="B2083" s="406">
        <f>IFERROR(__xludf.DUMMYFUNCTION("""COMPUTED_VALUE"""),29131.0)</f>
        <v>29131</v>
      </c>
      <c r="C2083" t="str">
        <f>IFERROR(__xludf.DUMMYFUNCTION("""COMPUTED_VALUE"""),"VILLEGAS HINCAPIE, CANDELARIA")</f>
        <v>VILLEGAS HINCAPIE, CANDELARIA</v>
      </c>
      <c r="D2083" t="str">
        <f>IFERROR(__xludf.DUMMYFUNCTION("""COMPUTED_VALUE"""),"PE 9")</f>
        <v>PE 9</v>
      </c>
      <c r="E2083" s="3">
        <f>IFERROR(__xludf.DUMMYFUNCTION("""COMPUTED_VALUE"""),5.0)</f>
        <v>5</v>
      </c>
      <c r="F2083" s="300">
        <v>1.0</v>
      </c>
      <c r="G2083" s="300">
        <v>1.0</v>
      </c>
      <c r="H2083" s="300">
        <v>1.0</v>
      </c>
      <c r="I2083" s="300">
        <v>1.0</v>
      </c>
      <c r="J2083" s="300">
        <v>1.0</v>
      </c>
      <c r="K2083" s="300">
        <v>1.0</v>
      </c>
      <c r="L2083" s="300">
        <v>1.0</v>
      </c>
      <c r="M2083" s="300">
        <v>1.0</v>
      </c>
      <c r="N2083" s="300">
        <v>8.0</v>
      </c>
      <c r="O2083" s="300" t="s">
        <v>897</v>
      </c>
      <c r="P2083" s="300">
        <v>6.0</v>
      </c>
    </row>
    <row r="2084">
      <c r="A2084">
        <f>IFERROR(__xludf.DUMMYFUNCTION("""COMPUTED_VALUE"""),9.0)</f>
        <v>9</v>
      </c>
      <c r="B2084" s="406">
        <f>IFERROR(__xludf.DUMMYFUNCTION("""COMPUTED_VALUE"""),29077.0)</f>
        <v>29077</v>
      </c>
      <c r="C2084" t="str">
        <f>IFERROR(__xludf.DUMMYFUNCTION("""COMPUTED_VALUE"""),"MEJIA VILLEGAS, CANDELARIA")</f>
        <v>MEJIA VILLEGAS, CANDELARIA</v>
      </c>
      <c r="D2084" t="str">
        <f>IFERROR(__xludf.DUMMYFUNCTION("""COMPUTED_VALUE"""),"PE 9")</f>
        <v>PE 9</v>
      </c>
      <c r="E2084" s="3">
        <f>IFERROR(__xludf.DUMMYFUNCTION("""COMPUTED_VALUE"""),5.0)</f>
        <v>5</v>
      </c>
      <c r="F2084" s="300">
        <v>1.0</v>
      </c>
      <c r="G2084" s="300">
        <v>1.0</v>
      </c>
      <c r="H2084" s="300">
        <v>1.0</v>
      </c>
      <c r="I2084" s="300">
        <v>1.0</v>
      </c>
      <c r="J2084" s="300">
        <v>1.0</v>
      </c>
      <c r="K2084" s="300">
        <v>1.0</v>
      </c>
      <c r="L2084" s="300">
        <v>1.0</v>
      </c>
      <c r="M2084" s="300">
        <v>1.0</v>
      </c>
      <c r="N2084" s="300">
        <v>8.0</v>
      </c>
      <c r="O2084" s="300" t="s">
        <v>897</v>
      </c>
      <c r="P2084" s="300">
        <v>6.0</v>
      </c>
    </row>
    <row r="2085">
      <c r="A2085">
        <f>IFERROR(__xludf.DUMMYFUNCTION("""COMPUTED_VALUE"""),9.0)</f>
        <v>9</v>
      </c>
      <c r="B2085" s="406">
        <f>IFERROR(__xludf.DUMMYFUNCTION("""COMPUTED_VALUE"""),28006.0)</f>
        <v>28006</v>
      </c>
      <c r="C2085" t="str">
        <f>IFERROR(__xludf.DUMMYFUNCTION("""COMPUTED_VALUE"""),"ARISTIZABAL ECHAVARRIA, CRISTOBAL")</f>
        <v>ARISTIZABAL ECHAVARRIA, CRISTOBAL</v>
      </c>
      <c r="D2085" t="str">
        <f>IFERROR(__xludf.DUMMYFUNCTION("""COMPUTED_VALUE"""),"PE 9")</f>
        <v>PE 9</v>
      </c>
      <c r="E2085" s="3">
        <f>IFERROR(__xludf.DUMMYFUNCTION("""COMPUTED_VALUE"""),2.0)</f>
        <v>2</v>
      </c>
      <c r="F2085" s="300">
        <v>1.0</v>
      </c>
      <c r="G2085" s="300">
        <v>1.0</v>
      </c>
      <c r="H2085" s="300">
        <v>1.0</v>
      </c>
      <c r="I2085" s="300">
        <v>1.0</v>
      </c>
      <c r="J2085" s="300">
        <v>1.0</v>
      </c>
      <c r="K2085" s="300">
        <v>1.0</v>
      </c>
      <c r="L2085" s="300">
        <v>1.0</v>
      </c>
      <c r="M2085" s="300">
        <v>1.0</v>
      </c>
      <c r="N2085" s="300">
        <v>8.0</v>
      </c>
      <c r="O2085" s="300" t="s">
        <v>899</v>
      </c>
      <c r="P2085" s="300">
        <v>6.0</v>
      </c>
    </row>
    <row r="2086">
      <c r="A2086">
        <f>IFERROR(__xludf.DUMMYFUNCTION("""COMPUTED_VALUE"""),9.0)</f>
        <v>9</v>
      </c>
      <c r="B2086" s="406">
        <f>IFERROR(__xludf.DUMMYFUNCTION("""COMPUTED_VALUE"""),29089.0)</f>
        <v>29089</v>
      </c>
      <c r="C2086" t="str">
        <f>IFERROR(__xludf.DUMMYFUNCTION("""COMPUTED_VALUE"""),"PEREZ BEDOYA, ELENA")</f>
        <v>PEREZ BEDOYA, ELENA</v>
      </c>
      <c r="D2086" t="str">
        <f>IFERROR(__xludf.DUMMYFUNCTION("""COMPUTED_VALUE"""),"PE 9")</f>
        <v>PE 9</v>
      </c>
      <c r="E2086" s="3">
        <f>IFERROR(__xludf.DUMMYFUNCTION("""COMPUTED_VALUE"""),2.0)</f>
        <v>2</v>
      </c>
      <c r="F2086" s="300">
        <v>1.0</v>
      </c>
      <c r="G2086" s="300">
        <v>1.0</v>
      </c>
      <c r="H2086" s="300">
        <v>1.0</v>
      </c>
      <c r="I2086" s="300">
        <v>1.0</v>
      </c>
      <c r="J2086" s="300">
        <v>1.0</v>
      </c>
      <c r="K2086" s="300">
        <v>1.0</v>
      </c>
      <c r="L2086" s="300">
        <v>1.0</v>
      </c>
      <c r="M2086" s="300">
        <v>1.0</v>
      </c>
      <c r="N2086" s="300">
        <v>8.0</v>
      </c>
      <c r="O2086" s="300" t="s">
        <v>899</v>
      </c>
      <c r="P2086" s="300">
        <v>6.0</v>
      </c>
    </row>
    <row r="2087">
      <c r="A2087">
        <f>IFERROR(__xludf.DUMMYFUNCTION("""COMPUTED_VALUE"""),9.0)</f>
        <v>9</v>
      </c>
      <c r="B2087" s="406">
        <f>IFERROR(__xludf.DUMMYFUNCTION("""COMPUTED_VALUE"""),29048.0)</f>
        <v>29048</v>
      </c>
      <c r="C2087" t="str">
        <f>IFERROR(__xludf.DUMMYFUNCTION("""COMPUTED_VALUE"""),"HENAO RESTREPO, ANTONIA")</f>
        <v>HENAO RESTREPO, ANTONIA</v>
      </c>
      <c r="D2087" t="str">
        <f>IFERROR(__xludf.DUMMYFUNCTION("""COMPUTED_VALUE"""),"PE 9")</f>
        <v>PE 9</v>
      </c>
      <c r="E2087" s="3">
        <f>IFERROR(__xludf.DUMMYFUNCTION("""COMPUTED_VALUE"""),6.0)</f>
        <v>6</v>
      </c>
      <c r="F2087" s="300">
        <v>1.0</v>
      </c>
      <c r="G2087" s="300">
        <v>1.0</v>
      </c>
      <c r="H2087" s="300">
        <v>1.0</v>
      </c>
      <c r="I2087" s="300">
        <v>1.0</v>
      </c>
      <c r="J2087" s="300">
        <v>1.0</v>
      </c>
      <c r="K2087" s="300">
        <v>1.0</v>
      </c>
      <c r="L2087" s="300">
        <v>1.0</v>
      </c>
      <c r="M2087" s="300">
        <v>1.0</v>
      </c>
      <c r="N2087" s="300">
        <v>8.0</v>
      </c>
      <c r="O2087" s="300" t="s">
        <v>898</v>
      </c>
      <c r="P2087" s="300">
        <v>6.0</v>
      </c>
    </row>
    <row r="2088">
      <c r="A2088">
        <f>IFERROR(__xludf.DUMMYFUNCTION("""COMPUTED_VALUE"""),9.0)</f>
        <v>9</v>
      </c>
      <c r="B2088" s="406">
        <f>IFERROR(__xludf.DUMMYFUNCTION("""COMPUTED_VALUE"""),29019.0)</f>
        <v>29019</v>
      </c>
      <c r="C2088" t="str">
        <f>IFERROR(__xludf.DUMMYFUNCTION("""COMPUTED_VALUE"""),"BARRIENTOS ALVAREZ, ELISA")</f>
        <v>BARRIENTOS ALVAREZ, ELISA</v>
      </c>
      <c r="D2088" t="str">
        <f>IFERROR(__xludf.DUMMYFUNCTION("""COMPUTED_VALUE"""),"PE 9")</f>
        <v>PE 9</v>
      </c>
      <c r="E2088" s="3">
        <f>IFERROR(__xludf.DUMMYFUNCTION("""COMPUTED_VALUE"""),4.0)</f>
        <v>4</v>
      </c>
      <c r="F2088" s="300">
        <v>1.0</v>
      </c>
      <c r="G2088" s="300">
        <v>1.0</v>
      </c>
      <c r="H2088" s="300">
        <v>1.0</v>
      </c>
      <c r="I2088" s="300">
        <v>1.0</v>
      </c>
      <c r="J2088" s="300">
        <v>1.0</v>
      </c>
      <c r="K2088" s="300">
        <v>1.0</v>
      </c>
      <c r="L2088" s="300">
        <v>1.0</v>
      </c>
      <c r="M2088" s="300">
        <v>1.0</v>
      </c>
      <c r="N2088" s="300">
        <v>8.0</v>
      </c>
      <c r="O2088" s="300" t="s">
        <v>896</v>
      </c>
      <c r="P2088" s="300">
        <v>6.0</v>
      </c>
    </row>
    <row r="2089">
      <c r="A2089">
        <f>IFERROR(__xludf.DUMMYFUNCTION("""COMPUTED_VALUE"""),9.0)</f>
        <v>9</v>
      </c>
      <c r="B2089" s="406">
        <f>IFERROR(__xludf.DUMMYFUNCTION("""COMPUTED_VALUE"""),29079.0)</f>
        <v>29079</v>
      </c>
      <c r="C2089" t="str">
        <f>IFERROR(__xludf.DUMMYFUNCTION("""COMPUTED_VALUE"""),"MISAS MESA, ALICIA")</f>
        <v>MISAS MESA, ALICIA</v>
      </c>
      <c r="D2089" t="str">
        <f>IFERROR(__xludf.DUMMYFUNCTION("""COMPUTED_VALUE"""),"PE 9")</f>
        <v>PE 9</v>
      </c>
      <c r="E2089" s="3">
        <f>IFERROR(__xludf.DUMMYFUNCTION("""COMPUTED_VALUE"""),5.0)</f>
        <v>5</v>
      </c>
      <c r="F2089" s="300">
        <v>1.0</v>
      </c>
      <c r="G2089" s="300">
        <v>1.0</v>
      </c>
      <c r="H2089" s="300">
        <v>1.0</v>
      </c>
      <c r="I2089" s="300">
        <v>1.0</v>
      </c>
      <c r="J2089" s="300">
        <v>1.0</v>
      </c>
      <c r="K2089" s="300">
        <v>1.0</v>
      </c>
      <c r="L2089" s="300">
        <v>1.0</v>
      </c>
      <c r="M2089" s="300">
        <v>1.0</v>
      </c>
      <c r="N2089" s="300">
        <v>8.0</v>
      </c>
      <c r="O2089" s="300" t="s">
        <v>897</v>
      </c>
      <c r="P2089" s="300">
        <v>6.0</v>
      </c>
    </row>
    <row r="2090">
      <c r="A2090">
        <f>IFERROR(__xludf.DUMMYFUNCTION("""COMPUTED_VALUE"""),9.0)</f>
        <v>9</v>
      </c>
      <c r="B2090" s="406">
        <f>IFERROR(__xludf.DUMMYFUNCTION("""COMPUTED_VALUE"""),29010.0)</f>
        <v>29010</v>
      </c>
      <c r="C2090" t="str">
        <f>IFERROR(__xludf.DUMMYFUNCTION("""COMPUTED_VALUE"""),"ARANGO NAVARRO, MANUELA")</f>
        <v>ARANGO NAVARRO, MANUELA</v>
      </c>
      <c r="D2090" t="str">
        <f>IFERROR(__xludf.DUMMYFUNCTION("""COMPUTED_VALUE"""),"PE 9")</f>
        <v>PE 9</v>
      </c>
      <c r="E2090" s="3">
        <f>IFERROR(__xludf.DUMMYFUNCTION("""COMPUTED_VALUE"""),6.0)</f>
        <v>6</v>
      </c>
      <c r="F2090" s="300">
        <v>1.0</v>
      </c>
      <c r="G2090" s="300">
        <v>1.0</v>
      </c>
      <c r="H2090" s="300">
        <v>1.0</v>
      </c>
      <c r="I2090" s="300">
        <v>1.0</v>
      </c>
      <c r="J2090" s="300">
        <v>1.0</v>
      </c>
      <c r="K2090" s="300">
        <v>1.0</v>
      </c>
      <c r="L2090" s="300">
        <v>1.0</v>
      </c>
      <c r="M2090" s="300">
        <v>1.0</v>
      </c>
      <c r="N2090" s="300">
        <v>8.0</v>
      </c>
      <c r="O2090" s="300" t="s">
        <v>898</v>
      </c>
      <c r="P2090" s="300">
        <v>6.0</v>
      </c>
    </row>
    <row r="2091">
      <c r="A2091">
        <f>IFERROR(__xludf.DUMMYFUNCTION("""COMPUTED_VALUE"""),9.0)</f>
        <v>9</v>
      </c>
      <c r="B2091" s="406">
        <f>IFERROR(__xludf.DUMMYFUNCTION("""COMPUTED_VALUE"""),29074.0)</f>
        <v>29074</v>
      </c>
      <c r="C2091" t="str">
        <f>IFERROR(__xludf.DUMMYFUNCTION("""COMPUTED_VALUE"""),"MEDINA JARAMILLO, ALICIA")</f>
        <v>MEDINA JARAMILLO, ALICIA</v>
      </c>
      <c r="D2091" t="str">
        <f>IFERROR(__xludf.DUMMYFUNCTION("""COMPUTED_VALUE"""),"PE 9")</f>
        <v>PE 9</v>
      </c>
      <c r="E2091" s="3">
        <f>IFERROR(__xludf.DUMMYFUNCTION("""COMPUTED_VALUE"""),6.0)</f>
        <v>6</v>
      </c>
      <c r="F2091" s="300">
        <v>1.0</v>
      </c>
      <c r="G2091" s="300">
        <v>1.0</v>
      </c>
      <c r="H2091" s="300">
        <v>1.0</v>
      </c>
      <c r="I2091" s="300">
        <v>1.0</v>
      </c>
      <c r="J2091" s="300">
        <v>1.0</v>
      </c>
      <c r="K2091" s="300">
        <v>1.0</v>
      </c>
      <c r="L2091" s="300">
        <v>1.0</v>
      </c>
      <c r="M2091" s="300">
        <v>1.0</v>
      </c>
      <c r="N2091" s="300">
        <v>8.0</v>
      </c>
      <c r="O2091" s="300" t="s">
        <v>898</v>
      </c>
      <c r="P2091" s="300">
        <v>6.0</v>
      </c>
    </row>
    <row r="2092">
      <c r="A2092">
        <f>IFERROR(__xludf.DUMMYFUNCTION("""COMPUTED_VALUE"""),9.0)</f>
        <v>9</v>
      </c>
      <c r="B2092" s="406">
        <f>IFERROR(__xludf.DUMMYFUNCTION("""COMPUTED_VALUE"""),29001.0)</f>
        <v>29001</v>
      </c>
      <c r="C2092" t="str">
        <f>IFERROR(__xludf.DUMMYFUNCTION("""COMPUTED_VALUE"""),"ACEVEDO ARANGO, ROSARIO")</f>
        <v>ACEVEDO ARANGO, ROSARIO</v>
      </c>
      <c r="D2092" t="str">
        <f>IFERROR(__xludf.DUMMYFUNCTION("""COMPUTED_VALUE"""),"PE 9")</f>
        <v>PE 9</v>
      </c>
      <c r="E2092" s="3">
        <f>IFERROR(__xludf.DUMMYFUNCTION("""COMPUTED_VALUE"""),5.0)</f>
        <v>5</v>
      </c>
      <c r="F2092" s="300">
        <v>1.0</v>
      </c>
      <c r="G2092" s="300">
        <v>1.0</v>
      </c>
      <c r="H2092" s="300">
        <v>1.0</v>
      </c>
      <c r="I2092" s="300">
        <v>1.0</v>
      </c>
      <c r="J2092" s="300">
        <v>1.0</v>
      </c>
      <c r="K2092" s="300">
        <v>1.0</v>
      </c>
      <c r="L2092" s="300">
        <v>1.0</v>
      </c>
      <c r="M2092" s="300">
        <v>1.0</v>
      </c>
      <c r="N2092" s="300">
        <v>8.0</v>
      </c>
      <c r="O2092" s="300" t="s">
        <v>897</v>
      </c>
      <c r="P2092" s="300">
        <v>6.0</v>
      </c>
    </row>
    <row r="2093">
      <c r="A2093">
        <f>IFERROR(__xludf.DUMMYFUNCTION("""COMPUTED_VALUE"""),9.0)</f>
        <v>9</v>
      </c>
      <c r="B2093" s="406">
        <f>IFERROR(__xludf.DUMMYFUNCTION("""COMPUTED_VALUE"""),29043.0)</f>
        <v>29043</v>
      </c>
      <c r="C2093" t="str">
        <f>IFERROR(__xludf.DUMMYFUNCTION("""COMPUTED_VALUE"""),"GOMEZ PASCHKE, VALERIA")</f>
        <v>GOMEZ PASCHKE, VALERIA</v>
      </c>
      <c r="D2093" t="str">
        <f>IFERROR(__xludf.DUMMYFUNCTION("""COMPUTED_VALUE"""),"PE 9")</f>
        <v>PE 9</v>
      </c>
      <c r="E2093" s="3">
        <f>IFERROR(__xludf.DUMMYFUNCTION("""COMPUTED_VALUE"""),1.0)</f>
        <v>1</v>
      </c>
      <c r="F2093" s="300">
        <v>1.0</v>
      </c>
      <c r="G2093" s="300">
        <v>1.0</v>
      </c>
      <c r="H2093" s="300">
        <v>1.0</v>
      </c>
      <c r="I2093" s="300">
        <v>1.0</v>
      </c>
      <c r="J2093" s="300">
        <v>1.0</v>
      </c>
      <c r="K2093" s="300">
        <v>1.0</v>
      </c>
      <c r="L2093" s="300">
        <v>1.0</v>
      </c>
      <c r="M2093" s="300">
        <v>1.0</v>
      </c>
      <c r="N2093" s="300">
        <v>8.0</v>
      </c>
      <c r="O2093" s="300" t="s">
        <v>900</v>
      </c>
      <c r="P2093" s="300">
        <v>6.0</v>
      </c>
    </row>
    <row r="2094">
      <c r="A2094">
        <f>IFERROR(__xludf.DUMMYFUNCTION("""COMPUTED_VALUE"""),9.0)</f>
        <v>9</v>
      </c>
      <c r="B2094" s="406">
        <f>IFERROR(__xludf.DUMMYFUNCTION("""COMPUTED_VALUE"""),29114.0)</f>
        <v>29114</v>
      </c>
      <c r="C2094" t="str">
        <f>IFERROR(__xludf.DUMMYFUNCTION("""COMPUTED_VALUE"""),"THIRIEZ VILLA, MARIA")</f>
        <v>THIRIEZ VILLA, MARIA</v>
      </c>
      <c r="D2094" t="str">
        <f>IFERROR(__xludf.DUMMYFUNCTION("""COMPUTED_VALUE"""),"PE 9")</f>
        <v>PE 9</v>
      </c>
      <c r="E2094" s="3">
        <f>IFERROR(__xludf.DUMMYFUNCTION("""COMPUTED_VALUE"""),5.0)</f>
        <v>5</v>
      </c>
      <c r="F2094" s="300">
        <v>1.0</v>
      </c>
      <c r="G2094" s="300">
        <v>1.0</v>
      </c>
      <c r="H2094" s="300">
        <v>1.0</v>
      </c>
      <c r="I2094" s="300">
        <v>1.0</v>
      </c>
      <c r="J2094" s="300">
        <v>1.0</v>
      </c>
      <c r="K2094" s="300">
        <v>1.0</v>
      </c>
      <c r="L2094" s="300">
        <v>1.0</v>
      </c>
      <c r="M2094" s="300">
        <v>1.0</v>
      </c>
      <c r="N2094" s="300">
        <v>8.0</v>
      </c>
      <c r="O2094" s="300" t="s">
        <v>897</v>
      </c>
      <c r="P2094" s="300">
        <v>6.0</v>
      </c>
    </row>
    <row r="2095">
      <c r="A2095">
        <f>IFERROR(__xludf.DUMMYFUNCTION("""COMPUTED_VALUE"""),9.0)</f>
        <v>9</v>
      </c>
      <c r="B2095" s="406">
        <f>IFERROR(__xludf.DUMMYFUNCTION("""COMPUTED_VALUE"""),29091.0)</f>
        <v>29091</v>
      </c>
      <c r="C2095" t="str">
        <f>IFERROR(__xludf.DUMMYFUNCTION("""COMPUTED_VALUE"""),"PLATA BOLAÑOS, CAMILA")</f>
        <v>PLATA BOLAÑOS, CAMILA</v>
      </c>
      <c r="D2095" t="str">
        <f>IFERROR(__xludf.DUMMYFUNCTION("""COMPUTED_VALUE"""),"PE 9")</f>
        <v>PE 9</v>
      </c>
      <c r="E2095" s="3">
        <f>IFERROR(__xludf.DUMMYFUNCTION("""COMPUTED_VALUE"""),4.0)</f>
        <v>4</v>
      </c>
      <c r="F2095" s="300">
        <v>1.0</v>
      </c>
      <c r="G2095" s="300">
        <v>1.0</v>
      </c>
      <c r="H2095" s="300">
        <v>1.0</v>
      </c>
      <c r="I2095" s="300">
        <v>1.0</v>
      </c>
      <c r="J2095" s="300">
        <v>1.0</v>
      </c>
      <c r="K2095" s="300">
        <v>1.0</v>
      </c>
      <c r="L2095" s="300">
        <v>1.0</v>
      </c>
      <c r="M2095" s="300">
        <v>1.0</v>
      </c>
      <c r="N2095" s="300">
        <v>8.0</v>
      </c>
      <c r="O2095" s="300" t="s">
        <v>896</v>
      </c>
      <c r="P2095" s="300">
        <v>6.0</v>
      </c>
    </row>
    <row r="2096">
      <c r="A2096">
        <f>IFERROR(__xludf.DUMMYFUNCTION("""COMPUTED_VALUE"""),9.0)</f>
        <v>9</v>
      </c>
      <c r="B2096" s="406">
        <f>IFERROR(__xludf.DUMMYFUNCTION("""COMPUTED_VALUE"""),29034.0)</f>
        <v>29034</v>
      </c>
      <c r="C2096" t="str">
        <f>IFERROR(__xludf.DUMMYFUNCTION("""COMPUTED_VALUE"""),"DUQUE BONNETT, ELISA")</f>
        <v>DUQUE BONNETT, ELISA</v>
      </c>
      <c r="D2096" t="str">
        <f>IFERROR(__xludf.DUMMYFUNCTION("""COMPUTED_VALUE"""),"PE 9")</f>
        <v>PE 9</v>
      </c>
      <c r="E2096" s="3">
        <f>IFERROR(__xludf.DUMMYFUNCTION("""COMPUTED_VALUE"""),5.0)</f>
        <v>5</v>
      </c>
      <c r="F2096" s="300">
        <v>1.0</v>
      </c>
      <c r="G2096" s="300">
        <v>1.0</v>
      </c>
      <c r="H2096" s="300">
        <v>1.0</v>
      </c>
      <c r="I2096" s="300">
        <v>1.0</v>
      </c>
      <c r="J2096" s="300">
        <v>1.0</v>
      </c>
      <c r="K2096" s="300">
        <v>1.0</v>
      </c>
      <c r="L2096" s="300">
        <v>1.0</v>
      </c>
      <c r="M2096" s="300">
        <v>1.0</v>
      </c>
      <c r="N2096" s="300">
        <v>8.0</v>
      </c>
      <c r="O2096" s="300" t="s">
        <v>897</v>
      </c>
      <c r="P2096" s="300">
        <v>6.0</v>
      </c>
    </row>
    <row r="2097">
      <c r="A2097">
        <f>IFERROR(__xludf.DUMMYFUNCTION("""COMPUTED_VALUE"""),9.0)</f>
        <v>9</v>
      </c>
      <c r="B2097" s="406">
        <f>IFERROR(__xludf.DUMMYFUNCTION("""COMPUTED_VALUE"""),29080.0)</f>
        <v>29080</v>
      </c>
      <c r="C2097" t="str">
        <f>IFERROR(__xludf.DUMMYFUNCTION("""COMPUTED_VALUE"""),"MONTES LOPEZ, MANUELA")</f>
        <v>MONTES LOPEZ, MANUELA</v>
      </c>
      <c r="D2097" t="str">
        <f>IFERROR(__xludf.DUMMYFUNCTION("""COMPUTED_VALUE"""),"PE 9")</f>
        <v>PE 9</v>
      </c>
      <c r="E2097" s="3">
        <f>IFERROR(__xludf.DUMMYFUNCTION("""COMPUTED_VALUE"""),6.0)</f>
        <v>6</v>
      </c>
      <c r="F2097" s="300">
        <v>1.0</v>
      </c>
      <c r="G2097" s="300">
        <v>1.0</v>
      </c>
      <c r="H2097" s="300">
        <v>1.0</v>
      </c>
      <c r="I2097" s="300">
        <v>1.0</v>
      </c>
      <c r="J2097" s="300">
        <v>1.0</v>
      </c>
      <c r="K2097" s="300">
        <v>1.0</v>
      </c>
      <c r="L2097" s="300">
        <v>1.0</v>
      </c>
      <c r="M2097" s="300">
        <v>1.0</v>
      </c>
      <c r="N2097" s="300">
        <v>8.0</v>
      </c>
      <c r="O2097" s="300" t="s">
        <v>898</v>
      </c>
      <c r="P2097" s="300">
        <v>6.0</v>
      </c>
    </row>
    <row r="2098">
      <c r="A2098">
        <f>IFERROR(__xludf.DUMMYFUNCTION("""COMPUTED_VALUE"""),9.0)</f>
        <v>9</v>
      </c>
      <c r="B2098" s="406">
        <f>IFERROR(__xludf.DUMMYFUNCTION("""COMPUTED_VALUE"""),29157.0)</f>
        <v>29157</v>
      </c>
      <c r="C2098" t="str">
        <f>IFERROR(__xludf.DUMMYFUNCTION("""COMPUTED_VALUE"""),"PETTERSSON VANEGAS, DOMINIQUE")</f>
        <v>PETTERSSON VANEGAS, DOMINIQUE</v>
      </c>
      <c r="D2098" t="str">
        <f>IFERROR(__xludf.DUMMYFUNCTION("""COMPUTED_VALUE"""),"PE 9")</f>
        <v>PE 9</v>
      </c>
      <c r="E2098" s="3">
        <f>IFERROR(__xludf.DUMMYFUNCTION("""COMPUTED_VALUE"""),6.0)</f>
        <v>6</v>
      </c>
      <c r="F2098" s="300">
        <v>1.0</v>
      </c>
      <c r="G2098" s="300">
        <v>1.0</v>
      </c>
      <c r="H2098" s="300">
        <v>1.0</v>
      </c>
      <c r="I2098" s="300">
        <v>1.0</v>
      </c>
      <c r="J2098" s="300">
        <v>1.0</v>
      </c>
      <c r="K2098" s="300">
        <v>1.0</v>
      </c>
      <c r="L2098" s="300">
        <v>1.0</v>
      </c>
      <c r="M2098" s="300">
        <v>1.0</v>
      </c>
      <c r="N2098" s="300">
        <v>8.0</v>
      </c>
      <c r="O2098" s="300" t="s">
        <v>898</v>
      </c>
      <c r="P2098" s="300">
        <v>6.0</v>
      </c>
    </row>
    <row r="2099">
      <c r="A2099">
        <f>IFERROR(__xludf.DUMMYFUNCTION("""COMPUTED_VALUE"""),9.0)</f>
        <v>9</v>
      </c>
      <c r="B2099" s="406">
        <f>IFERROR(__xludf.DUMMYFUNCTION("""COMPUTED_VALUE"""),29111.0)</f>
        <v>29111</v>
      </c>
      <c r="C2099" t="str">
        <f>IFERROR(__xludf.DUMMYFUNCTION("""COMPUTED_VALUE"""),"SOTO ANGEL, GABRIELA")</f>
        <v>SOTO ANGEL, GABRIELA</v>
      </c>
      <c r="D2099" t="str">
        <f>IFERROR(__xludf.DUMMYFUNCTION("""COMPUTED_VALUE"""),"PE 9")</f>
        <v>PE 9</v>
      </c>
      <c r="E2099" s="3">
        <f>IFERROR(__xludf.DUMMYFUNCTION("""COMPUTED_VALUE"""),4.0)</f>
        <v>4</v>
      </c>
      <c r="F2099" s="300">
        <v>1.0</v>
      </c>
      <c r="G2099" s="300">
        <v>1.0</v>
      </c>
      <c r="H2099" s="300">
        <v>1.0</v>
      </c>
      <c r="I2099" s="300">
        <v>1.0</v>
      </c>
      <c r="J2099" s="300">
        <v>1.0</v>
      </c>
      <c r="K2099" s="300">
        <v>1.0</v>
      </c>
      <c r="L2099" s="300">
        <v>1.0</v>
      </c>
      <c r="M2099" s="300">
        <v>1.0</v>
      </c>
      <c r="N2099" s="300">
        <v>8.0</v>
      </c>
      <c r="O2099" s="300" t="s">
        <v>896</v>
      </c>
      <c r="P2099" s="300">
        <v>6.0</v>
      </c>
    </row>
    <row r="2100">
      <c r="A2100">
        <f>IFERROR(__xludf.DUMMYFUNCTION("""COMPUTED_VALUE"""),9.0)</f>
        <v>9</v>
      </c>
      <c r="B2100" s="406">
        <f>IFERROR(__xludf.DUMMYFUNCTION("""COMPUTED_VALUE"""),29107.0)</f>
        <v>29107</v>
      </c>
      <c r="C2100" t="str">
        <f>IFERROR(__xludf.DUMMYFUNCTION("""COMPUTED_VALUE"""),"SANIN JARAMILLO, PEDRO")</f>
        <v>SANIN JARAMILLO, PEDRO</v>
      </c>
      <c r="D2100" t="str">
        <f>IFERROR(__xludf.DUMMYFUNCTION("""COMPUTED_VALUE"""),"PE 9")</f>
        <v>PE 9</v>
      </c>
      <c r="E2100" s="3">
        <f>IFERROR(__xludf.DUMMYFUNCTION("""COMPUTED_VALUE"""),8.0)</f>
        <v>8</v>
      </c>
      <c r="F2100" s="300">
        <v>1.0</v>
      </c>
      <c r="G2100" s="300">
        <v>1.0</v>
      </c>
      <c r="H2100" s="300">
        <v>1.0</v>
      </c>
      <c r="I2100" s="300">
        <v>1.0</v>
      </c>
      <c r="J2100" s="300">
        <v>1.0</v>
      </c>
      <c r="K2100" s="300">
        <v>1.0</v>
      </c>
      <c r="L2100" s="300">
        <v>1.0</v>
      </c>
      <c r="M2100" s="300">
        <v>1.0</v>
      </c>
      <c r="N2100" s="300">
        <v>8.0</v>
      </c>
      <c r="O2100" s="300" t="s">
        <v>901</v>
      </c>
      <c r="P2100" s="300">
        <v>6.0</v>
      </c>
    </row>
    <row r="2101">
      <c r="A2101">
        <f>IFERROR(__xludf.DUMMYFUNCTION("""COMPUTED_VALUE"""),9.0)</f>
        <v>9</v>
      </c>
      <c r="B2101" s="406">
        <f>IFERROR(__xludf.DUMMYFUNCTION("""COMPUTED_VALUE"""),29066.0)</f>
        <v>29066</v>
      </c>
      <c r="C2101" t="str">
        <f>IFERROR(__xludf.DUMMYFUNCTION("""COMPUTED_VALUE"""),"LONDOÑO JARAMILLO, MARTINA")</f>
        <v>LONDOÑO JARAMILLO, MARTINA</v>
      </c>
      <c r="D2101" t="str">
        <f>IFERROR(__xludf.DUMMYFUNCTION("""COMPUTED_VALUE"""),"PE 9")</f>
        <v>PE 9</v>
      </c>
      <c r="E2101" s="3">
        <f>IFERROR(__xludf.DUMMYFUNCTION("""COMPUTED_VALUE"""),1.0)</f>
        <v>1</v>
      </c>
      <c r="F2101" s="300">
        <v>1.0</v>
      </c>
      <c r="G2101" s="300">
        <v>1.0</v>
      </c>
      <c r="H2101" s="300">
        <v>1.0</v>
      </c>
      <c r="I2101" s="300">
        <v>1.0</v>
      </c>
      <c r="J2101" s="300">
        <v>1.0</v>
      </c>
      <c r="K2101" s="300">
        <v>1.0</v>
      </c>
      <c r="L2101" s="300">
        <v>1.0</v>
      </c>
      <c r="M2101" s="300">
        <v>1.0</v>
      </c>
      <c r="N2101" s="300">
        <v>8.0</v>
      </c>
      <c r="O2101" s="300" t="s">
        <v>900</v>
      </c>
      <c r="P2101" s="300">
        <v>6.0</v>
      </c>
    </row>
    <row r="2102">
      <c r="A2102">
        <f>IFERROR(__xludf.DUMMYFUNCTION("""COMPUTED_VALUE"""),9.0)</f>
        <v>9</v>
      </c>
      <c r="B2102" s="406">
        <f>IFERROR(__xludf.DUMMYFUNCTION("""COMPUTED_VALUE"""),29071.0)</f>
        <v>29071</v>
      </c>
      <c r="C2102" t="str">
        <f>IFERROR(__xludf.DUMMYFUNCTION("""COMPUTED_VALUE"""),"MARQUEZ BARRERA, MIRANDA")</f>
        <v>MARQUEZ BARRERA, MIRANDA</v>
      </c>
      <c r="D2102" t="str">
        <f>IFERROR(__xludf.DUMMYFUNCTION("""COMPUTED_VALUE"""),"PE 9")</f>
        <v>PE 9</v>
      </c>
      <c r="E2102" s="3">
        <f>IFERROR(__xludf.DUMMYFUNCTION("""COMPUTED_VALUE"""),6.0)</f>
        <v>6</v>
      </c>
      <c r="F2102" s="300">
        <v>1.0</v>
      </c>
      <c r="G2102" s="300">
        <v>1.0</v>
      </c>
      <c r="H2102" s="300">
        <v>1.0</v>
      </c>
      <c r="I2102" s="300">
        <v>1.0</v>
      </c>
      <c r="J2102" s="300">
        <v>1.0</v>
      </c>
      <c r="K2102" s="300">
        <v>1.0</v>
      </c>
      <c r="L2102" s="300">
        <v>1.0</v>
      </c>
      <c r="M2102" s="300">
        <v>1.0</v>
      </c>
      <c r="N2102" s="300">
        <v>8.0</v>
      </c>
      <c r="O2102" s="300" t="s">
        <v>898</v>
      </c>
      <c r="P2102" s="300">
        <v>6.0</v>
      </c>
    </row>
    <row r="2103">
      <c r="A2103">
        <f>IFERROR(__xludf.DUMMYFUNCTION("""COMPUTED_VALUE"""),9.0)</f>
        <v>9</v>
      </c>
      <c r="B2103" s="406">
        <f>IFERROR(__xludf.DUMMYFUNCTION("""COMPUTED_VALUE"""),29008.0)</f>
        <v>29008</v>
      </c>
      <c r="C2103" t="str">
        <f>IFERROR(__xludf.DUMMYFUNCTION("""COMPUTED_VALUE"""),"APA ECHAVARRIA, LORENZO")</f>
        <v>APA ECHAVARRIA, LORENZO</v>
      </c>
      <c r="D2103" t="str">
        <f>IFERROR(__xludf.DUMMYFUNCTION("""COMPUTED_VALUE"""),"PE 9")</f>
        <v>PE 9</v>
      </c>
      <c r="E2103" s="3">
        <f>IFERROR(__xludf.DUMMYFUNCTION("""COMPUTED_VALUE"""),5.0)</f>
        <v>5</v>
      </c>
      <c r="F2103" s="300">
        <v>1.0</v>
      </c>
      <c r="G2103" s="300">
        <v>1.0</v>
      </c>
      <c r="H2103" s="300">
        <v>1.0</v>
      </c>
      <c r="I2103" s="300">
        <v>1.0</v>
      </c>
      <c r="J2103" s="300">
        <v>1.0</v>
      </c>
      <c r="K2103" s="300">
        <v>1.0</v>
      </c>
      <c r="L2103" s="300">
        <v>1.0</v>
      </c>
      <c r="M2103" s="300">
        <v>1.0</v>
      </c>
      <c r="N2103" s="300">
        <v>8.0</v>
      </c>
      <c r="O2103" s="300" t="s">
        <v>897</v>
      </c>
      <c r="P2103" s="300">
        <v>6.0</v>
      </c>
    </row>
    <row r="2104">
      <c r="A2104">
        <f>IFERROR(__xludf.DUMMYFUNCTION("""COMPUTED_VALUE"""),9.0)</f>
        <v>9</v>
      </c>
      <c r="B2104" s="406">
        <f>IFERROR(__xludf.DUMMYFUNCTION("""COMPUTED_VALUE"""),29016.0)</f>
        <v>29016</v>
      </c>
      <c r="C2104" t="str">
        <f>IFERROR(__xludf.DUMMYFUNCTION("""COMPUTED_VALUE"""),"ARROYAVE LONDOÑO, ELISA")</f>
        <v>ARROYAVE LONDOÑO, ELISA</v>
      </c>
      <c r="D2104" t="str">
        <f>IFERROR(__xludf.DUMMYFUNCTION("""COMPUTED_VALUE"""),"PE 9")</f>
        <v>PE 9</v>
      </c>
      <c r="E2104" s="3">
        <f>IFERROR(__xludf.DUMMYFUNCTION("""COMPUTED_VALUE"""),6.0)</f>
        <v>6</v>
      </c>
      <c r="F2104" s="300">
        <v>1.0</v>
      </c>
      <c r="G2104" s="300">
        <v>1.0</v>
      </c>
      <c r="H2104" s="300">
        <v>1.0</v>
      </c>
      <c r="I2104" s="300">
        <v>1.0</v>
      </c>
      <c r="J2104" s="300">
        <v>1.0</v>
      </c>
      <c r="K2104" s="300">
        <v>1.0</v>
      </c>
      <c r="L2104" s="300">
        <v>1.0</v>
      </c>
      <c r="M2104" s="300">
        <v>1.0</v>
      </c>
      <c r="N2104" s="300">
        <v>8.0</v>
      </c>
      <c r="O2104" s="300" t="s">
        <v>898</v>
      </c>
      <c r="P2104" s="300">
        <v>6.0</v>
      </c>
    </row>
    <row r="2105">
      <c r="A2105">
        <f>IFERROR(__xludf.DUMMYFUNCTION("""COMPUTED_VALUE"""),9.0)</f>
        <v>9</v>
      </c>
      <c r="B2105" s="406">
        <f>IFERROR(__xludf.DUMMYFUNCTION("""COMPUTED_VALUE"""),29053.0)</f>
        <v>29053</v>
      </c>
      <c r="C2105" t="str">
        <f>IFERROR(__xludf.DUMMYFUNCTION("""COMPUTED_VALUE"""),"HURTADO FAJARDO, JUANITA")</f>
        <v>HURTADO FAJARDO, JUANITA</v>
      </c>
      <c r="D2105" t="str">
        <f>IFERROR(__xludf.DUMMYFUNCTION("""COMPUTED_VALUE"""),"PE 9")</f>
        <v>PE 9</v>
      </c>
      <c r="E2105" s="3">
        <f>IFERROR(__xludf.DUMMYFUNCTION("""COMPUTED_VALUE"""),4.0)</f>
        <v>4</v>
      </c>
      <c r="F2105" s="300">
        <v>1.0</v>
      </c>
      <c r="G2105" s="300">
        <v>1.0</v>
      </c>
      <c r="H2105" s="300">
        <v>1.0</v>
      </c>
      <c r="I2105" s="300">
        <v>1.0</v>
      </c>
      <c r="J2105" s="300">
        <v>1.0</v>
      </c>
      <c r="K2105" s="300">
        <v>1.0</v>
      </c>
      <c r="L2105" s="300">
        <v>1.0</v>
      </c>
      <c r="M2105" s="300">
        <v>1.0</v>
      </c>
      <c r="N2105" s="300">
        <v>8.0</v>
      </c>
      <c r="O2105" s="300" t="s">
        <v>896</v>
      </c>
      <c r="P2105" s="300">
        <v>6.0</v>
      </c>
    </row>
    <row r="2106">
      <c r="A2106">
        <f>IFERROR(__xludf.DUMMYFUNCTION("""COMPUTED_VALUE"""),9.0)</f>
        <v>9</v>
      </c>
      <c r="B2106" s="406">
        <f>IFERROR(__xludf.DUMMYFUNCTION("""COMPUTED_VALUE"""),29124.0)</f>
        <v>29124</v>
      </c>
      <c r="C2106" t="str">
        <f>IFERROR(__xludf.DUMMYFUNCTION("""COMPUTED_VALUE"""),"VALLEJO HOYOS, JUAN")</f>
        <v>VALLEJO HOYOS, JUAN</v>
      </c>
      <c r="D2106" t="str">
        <f>IFERROR(__xludf.DUMMYFUNCTION("""COMPUTED_VALUE"""),"PE 9")</f>
        <v>PE 9</v>
      </c>
      <c r="E2106" s="3">
        <f>IFERROR(__xludf.DUMMYFUNCTION("""COMPUTED_VALUE"""),4.0)</f>
        <v>4</v>
      </c>
      <c r="F2106" s="300">
        <v>1.0</v>
      </c>
      <c r="G2106" s="300">
        <v>1.0</v>
      </c>
      <c r="H2106" s="300">
        <v>1.0</v>
      </c>
      <c r="I2106" s="300">
        <v>1.0</v>
      </c>
      <c r="J2106" s="300">
        <v>1.0</v>
      </c>
      <c r="K2106" s="300">
        <v>1.0</v>
      </c>
      <c r="L2106" s="300">
        <v>1.0</v>
      </c>
      <c r="M2106" s="300">
        <v>1.0</v>
      </c>
      <c r="N2106" s="300">
        <v>8.0</v>
      </c>
      <c r="O2106" s="300" t="s">
        <v>896</v>
      </c>
      <c r="P2106" s="300">
        <v>6.0</v>
      </c>
    </row>
    <row r="2107">
      <c r="A2107">
        <f>IFERROR(__xludf.DUMMYFUNCTION("""COMPUTED_VALUE"""),9.0)</f>
        <v>9</v>
      </c>
      <c r="B2107" s="406">
        <f>IFERROR(__xludf.DUMMYFUNCTION("""COMPUTED_VALUE"""),29135.0)</f>
        <v>29135</v>
      </c>
      <c r="C2107" t="str">
        <f>IFERROR(__xludf.DUMMYFUNCTION("""COMPUTED_VALUE"""),"ECHAVARRIA MUÑOZ, NICOLAS")</f>
        <v>ECHAVARRIA MUÑOZ, NICOLAS</v>
      </c>
      <c r="D2107" t="str">
        <f>IFERROR(__xludf.DUMMYFUNCTION("""COMPUTED_VALUE"""),"PE 9")</f>
        <v>PE 9</v>
      </c>
      <c r="E2107" s="3">
        <f>IFERROR(__xludf.DUMMYFUNCTION("""COMPUTED_VALUE"""),5.0)</f>
        <v>5</v>
      </c>
      <c r="F2107" s="300">
        <v>1.0</v>
      </c>
      <c r="G2107" s="300">
        <v>1.0</v>
      </c>
      <c r="H2107" s="300">
        <v>1.0</v>
      </c>
      <c r="I2107" s="300">
        <v>1.0</v>
      </c>
      <c r="J2107" s="300">
        <v>1.0</v>
      </c>
      <c r="K2107" s="300">
        <v>1.0</v>
      </c>
      <c r="L2107" s="300">
        <v>1.0</v>
      </c>
      <c r="M2107" s="300">
        <v>1.0</v>
      </c>
      <c r="N2107" s="300">
        <v>8.0</v>
      </c>
      <c r="O2107" s="300" t="s">
        <v>897</v>
      </c>
      <c r="P2107" s="300">
        <v>6.0</v>
      </c>
    </row>
    <row r="2108">
      <c r="A2108">
        <f>IFERROR(__xludf.DUMMYFUNCTION("""COMPUTED_VALUE"""),9.0)</f>
        <v>9</v>
      </c>
      <c r="B2108" s="406">
        <f>IFERROR(__xludf.DUMMYFUNCTION("""COMPUTED_VALUE"""),29112.0)</f>
        <v>29112</v>
      </c>
      <c r="C2108" t="str">
        <f>IFERROR(__xludf.DUMMYFUNCTION("""COMPUTED_VALUE"""),"SUAREZ MARTINEZ, ANA")</f>
        <v>SUAREZ MARTINEZ, ANA</v>
      </c>
      <c r="D2108" t="str">
        <f>IFERROR(__xludf.DUMMYFUNCTION("""COMPUTED_VALUE"""),"PE 9")</f>
        <v>PE 9</v>
      </c>
      <c r="E2108" s="3">
        <f>IFERROR(__xludf.DUMMYFUNCTION("""COMPUTED_VALUE"""),4.0)</f>
        <v>4</v>
      </c>
      <c r="F2108" s="300">
        <v>1.0</v>
      </c>
      <c r="G2108" s="300">
        <v>1.0</v>
      </c>
      <c r="H2108" s="300">
        <v>1.0</v>
      </c>
      <c r="I2108" s="300">
        <v>1.0</v>
      </c>
      <c r="J2108" s="300">
        <v>1.0</v>
      </c>
      <c r="K2108" s="300">
        <v>1.0</v>
      </c>
      <c r="L2108" s="300">
        <v>1.0</v>
      </c>
      <c r="M2108" s="300">
        <v>1.0</v>
      </c>
      <c r="N2108" s="300">
        <v>8.0</v>
      </c>
      <c r="O2108" s="300" t="s">
        <v>896</v>
      </c>
      <c r="P2108" s="300">
        <v>6.0</v>
      </c>
    </row>
    <row r="2109">
      <c r="A2109">
        <f>IFERROR(__xludf.DUMMYFUNCTION("""COMPUTED_VALUE"""),9.0)</f>
        <v>9</v>
      </c>
      <c r="B2109" s="406">
        <f>IFERROR(__xludf.DUMMYFUNCTION("""COMPUTED_VALUE"""),29022.0)</f>
        <v>29022</v>
      </c>
      <c r="C2109" t="str">
        <f>IFERROR(__xludf.DUMMYFUNCTION("""COMPUTED_VALUE"""),"BETANCUR ROBLEDO, PEDRO")</f>
        <v>BETANCUR ROBLEDO, PEDRO</v>
      </c>
      <c r="D2109" t="str">
        <f>IFERROR(__xludf.DUMMYFUNCTION("""COMPUTED_VALUE"""),"PE 9")</f>
        <v>PE 9</v>
      </c>
      <c r="E2109" s="3">
        <f>IFERROR(__xludf.DUMMYFUNCTION("""COMPUTED_VALUE"""),4.0)</f>
        <v>4</v>
      </c>
      <c r="F2109" s="300">
        <v>1.0</v>
      </c>
      <c r="G2109" s="300">
        <v>1.0</v>
      </c>
      <c r="H2109" s="300">
        <v>1.0</v>
      </c>
      <c r="I2109" s="300">
        <v>1.0</v>
      </c>
      <c r="J2109" s="300">
        <v>1.0</v>
      </c>
      <c r="K2109" s="300">
        <v>1.0</v>
      </c>
      <c r="L2109" s="300">
        <v>1.0</v>
      </c>
      <c r="M2109" s="300">
        <v>1.0</v>
      </c>
      <c r="N2109" s="300">
        <v>8.0</v>
      </c>
      <c r="O2109" s="300" t="s">
        <v>896</v>
      </c>
      <c r="P2109" s="300">
        <v>6.0</v>
      </c>
    </row>
    <row r="2110">
      <c r="A2110">
        <f>IFERROR(__xludf.DUMMYFUNCTION("""COMPUTED_VALUE"""),9.0)</f>
        <v>9</v>
      </c>
      <c r="B2110" s="406">
        <f>IFERROR(__xludf.DUMMYFUNCTION("""COMPUTED_VALUE"""),29085.0)</f>
        <v>29085</v>
      </c>
      <c r="C2110" t="str">
        <f>IFERROR(__xludf.DUMMYFUNCTION("""COMPUTED_VALUE"""),"OTALVARO ABAD, JUAN MARTIN")</f>
        <v>OTALVARO ABAD, JUAN MARTIN</v>
      </c>
      <c r="D2110" t="str">
        <f>IFERROR(__xludf.DUMMYFUNCTION("""COMPUTED_VALUE"""),"PE 9")</f>
        <v>PE 9</v>
      </c>
      <c r="E2110" s="3">
        <f>IFERROR(__xludf.DUMMYFUNCTION("""COMPUTED_VALUE"""),1.0)</f>
        <v>1</v>
      </c>
      <c r="F2110" s="300">
        <v>1.0</v>
      </c>
      <c r="G2110" s="300">
        <v>1.0</v>
      </c>
      <c r="H2110" s="300">
        <v>1.0</v>
      </c>
      <c r="I2110" s="300">
        <v>1.0</v>
      </c>
      <c r="J2110" s="300">
        <v>1.0</v>
      </c>
      <c r="K2110" s="300">
        <v>1.0</v>
      </c>
      <c r="L2110" s="300">
        <v>1.0</v>
      </c>
      <c r="M2110" s="300">
        <v>1.0</v>
      </c>
      <c r="N2110" s="300">
        <v>8.0</v>
      </c>
      <c r="O2110" s="300" t="s">
        <v>900</v>
      </c>
      <c r="P2110" s="300">
        <v>6.0</v>
      </c>
    </row>
    <row r="2111">
      <c r="A2111">
        <f>IFERROR(__xludf.DUMMYFUNCTION("""COMPUTED_VALUE"""),9.0)</f>
        <v>9</v>
      </c>
      <c r="B2111" s="406">
        <f>IFERROR(__xludf.DUMMYFUNCTION("""COMPUTED_VALUE"""),29081.0)</f>
        <v>29081</v>
      </c>
      <c r="C2111" t="str">
        <f>IFERROR(__xludf.DUMMYFUNCTION("""COMPUTED_VALUE"""),"MORA JARAMILLO, ALICIA")</f>
        <v>MORA JARAMILLO, ALICIA</v>
      </c>
      <c r="D2111" t="str">
        <f>IFERROR(__xludf.DUMMYFUNCTION("""COMPUTED_VALUE"""),"PE 9")</f>
        <v>PE 9</v>
      </c>
      <c r="E2111" s="3">
        <f>IFERROR(__xludf.DUMMYFUNCTION("""COMPUTED_VALUE"""),6.0)</f>
        <v>6</v>
      </c>
      <c r="F2111" s="300">
        <v>1.0</v>
      </c>
      <c r="G2111" s="300">
        <v>1.0</v>
      </c>
      <c r="H2111" s="300">
        <v>1.0</v>
      </c>
      <c r="I2111" s="300">
        <v>1.0</v>
      </c>
      <c r="J2111" s="300">
        <v>1.0</v>
      </c>
      <c r="K2111" s="300">
        <v>1.0</v>
      </c>
      <c r="L2111" s="300">
        <v>1.0</v>
      </c>
      <c r="M2111" s="300">
        <v>1.0</v>
      </c>
      <c r="N2111" s="300">
        <v>8.0</v>
      </c>
      <c r="O2111" s="300" t="s">
        <v>898</v>
      </c>
      <c r="P2111" s="300">
        <v>6.0</v>
      </c>
    </row>
    <row r="2112">
      <c r="A2112">
        <f>IFERROR(__xludf.DUMMYFUNCTION("""COMPUTED_VALUE"""),9.0)</f>
        <v>9</v>
      </c>
      <c r="B2112" s="406">
        <f>IFERROR(__xludf.DUMMYFUNCTION("""COMPUTED_VALUE"""),29147.0)</f>
        <v>29147</v>
      </c>
      <c r="C2112" t="str">
        <f>IFERROR(__xludf.DUMMYFUNCTION("""COMPUTED_VALUE"""),"JIMENO ARISTIZABAL, ISABELLA")</f>
        <v>JIMENO ARISTIZABAL, ISABELLA</v>
      </c>
      <c r="D2112" t="str">
        <f>IFERROR(__xludf.DUMMYFUNCTION("""COMPUTED_VALUE"""),"PE 9")</f>
        <v>PE 9</v>
      </c>
      <c r="E2112" s="3">
        <f>IFERROR(__xludf.DUMMYFUNCTION("""COMPUTED_VALUE"""),2.0)</f>
        <v>2</v>
      </c>
      <c r="F2112" s="300">
        <v>1.0</v>
      </c>
      <c r="G2112" s="300">
        <v>1.0</v>
      </c>
      <c r="H2112" s="300">
        <v>1.0</v>
      </c>
      <c r="I2112" s="300">
        <v>1.0</v>
      </c>
      <c r="J2112" s="300">
        <v>1.0</v>
      </c>
      <c r="K2112" s="300">
        <v>1.0</v>
      </c>
      <c r="L2112" s="300">
        <v>1.0</v>
      </c>
      <c r="M2112" s="300">
        <v>1.0</v>
      </c>
      <c r="N2112" s="300">
        <v>8.0</v>
      </c>
      <c r="O2112" s="300" t="s">
        <v>899</v>
      </c>
      <c r="P2112" s="300">
        <v>6.0</v>
      </c>
    </row>
    <row r="2113">
      <c r="A2113">
        <f>IFERROR(__xludf.DUMMYFUNCTION("""COMPUTED_VALUE"""),9.0)</f>
        <v>9</v>
      </c>
      <c r="B2113" s="406">
        <f>IFERROR(__xludf.DUMMYFUNCTION("""COMPUTED_VALUE"""),29007.0)</f>
        <v>29007</v>
      </c>
      <c r="C2113" t="str">
        <f>IFERROR(__xludf.DUMMYFUNCTION("""COMPUTED_VALUE"""),"ALZATE GARCIA, LUCIANA")</f>
        <v>ALZATE GARCIA, LUCIANA</v>
      </c>
      <c r="D2113" t="str">
        <f>IFERROR(__xludf.DUMMYFUNCTION("""COMPUTED_VALUE"""),"PE 9")</f>
        <v>PE 9</v>
      </c>
      <c r="E2113" s="3">
        <f>IFERROR(__xludf.DUMMYFUNCTION("""COMPUTED_VALUE"""),1.0)</f>
        <v>1</v>
      </c>
      <c r="F2113" s="300">
        <v>1.0</v>
      </c>
      <c r="G2113" s="300">
        <v>1.0</v>
      </c>
      <c r="H2113" s="300">
        <v>1.0</v>
      </c>
      <c r="I2113" s="300">
        <v>1.0</v>
      </c>
      <c r="J2113" s="300">
        <v>1.0</v>
      </c>
      <c r="K2113" s="300">
        <v>1.0</v>
      </c>
      <c r="L2113" s="300">
        <v>1.0</v>
      </c>
      <c r="M2113" s="300">
        <v>1.0</v>
      </c>
      <c r="N2113" s="300">
        <v>8.0</v>
      </c>
      <c r="O2113" s="300" t="s">
        <v>900</v>
      </c>
      <c r="P2113" s="300">
        <v>6.0</v>
      </c>
    </row>
    <row r="2114">
      <c r="A2114">
        <f>IFERROR(__xludf.DUMMYFUNCTION("""COMPUTED_VALUE"""),9.0)</f>
        <v>9</v>
      </c>
      <c r="B2114" s="406">
        <f>IFERROR(__xludf.DUMMYFUNCTION("""COMPUTED_VALUE"""),29032.0)</f>
        <v>29032</v>
      </c>
      <c r="C2114" t="str">
        <f>IFERROR(__xludf.DUMMYFUNCTION("""COMPUTED_VALUE"""),"CORTES SIERRA, TOMAS")</f>
        <v>CORTES SIERRA, TOMAS</v>
      </c>
      <c r="D2114" t="str">
        <f>IFERROR(__xludf.DUMMYFUNCTION("""COMPUTED_VALUE"""),"PE 9")</f>
        <v>PE 9</v>
      </c>
      <c r="E2114" s="3">
        <f>IFERROR(__xludf.DUMMYFUNCTION("""COMPUTED_VALUE"""),5.0)</f>
        <v>5</v>
      </c>
      <c r="F2114" s="300">
        <v>1.0</v>
      </c>
      <c r="G2114" s="300">
        <v>1.0</v>
      </c>
      <c r="H2114" s="300">
        <v>1.0</v>
      </c>
      <c r="I2114" s="300">
        <v>1.0</v>
      </c>
      <c r="J2114" s="300">
        <v>1.0</v>
      </c>
      <c r="K2114" s="300">
        <v>1.0</v>
      </c>
      <c r="L2114" s="300">
        <v>1.0</v>
      </c>
      <c r="M2114" s="300">
        <v>1.0</v>
      </c>
      <c r="N2114" s="300">
        <v>8.0</v>
      </c>
      <c r="O2114" s="300" t="s">
        <v>897</v>
      </c>
      <c r="P2114" s="300">
        <v>6.0</v>
      </c>
    </row>
    <row r="2115">
      <c r="A2115">
        <f>IFERROR(__xludf.DUMMYFUNCTION("""COMPUTED_VALUE"""),9.0)</f>
        <v>9</v>
      </c>
      <c r="B2115" s="406">
        <f>IFERROR(__xludf.DUMMYFUNCTION("""COMPUTED_VALUE"""),29076.0)</f>
        <v>29076</v>
      </c>
      <c r="C2115" t="str">
        <f>IFERROR(__xludf.DUMMYFUNCTION("""COMPUTED_VALUE"""),"MEJIA MANTILLA, MATEO")</f>
        <v>MEJIA MANTILLA, MATEO</v>
      </c>
      <c r="D2115" t="str">
        <f>IFERROR(__xludf.DUMMYFUNCTION("""COMPUTED_VALUE"""),"PE 9")</f>
        <v>PE 9</v>
      </c>
      <c r="E2115" s="3">
        <f>IFERROR(__xludf.DUMMYFUNCTION("""COMPUTED_VALUE"""),2.0)</f>
        <v>2</v>
      </c>
      <c r="F2115" s="300">
        <v>1.0</v>
      </c>
      <c r="G2115" s="300">
        <v>1.0</v>
      </c>
      <c r="H2115" s="300">
        <v>1.0</v>
      </c>
      <c r="I2115" s="300">
        <v>1.0</v>
      </c>
      <c r="J2115" s="300">
        <v>1.0</v>
      </c>
      <c r="K2115" s="300">
        <v>1.0</v>
      </c>
      <c r="L2115" s="300">
        <v>1.0</v>
      </c>
      <c r="M2115" s="300">
        <v>1.0</v>
      </c>
      <c r="N2115" s="300">
        <v>8.0</v>
      </c>
      <c r="O2115" s="300" t="s">
        <v>899</v>
      </c>
      <c r="P2115" s="300">
        <v>6.0</v>
      </c>
    </row>
    <row r="2116">
      <c r="A2116">
        <f>IFERROR(__xludf.DUMMYFUNCTION("""COMPUTED_VALUE"""),9.0)</f>
        <v>9</v>
      </c>
      <c r="B2116" s="406">
        <f>IFERROR(__xludf.DUMMYFUNCTION("""COMPUTED_VALUE"""),29025.0)</f>
        <v>29025</v>
      </c>
      <c r="C2116" t="str">
        <f>IFERROR(__xludf.DUMMYFUNCTION("""COMPUTED_VALUE"""),"CALLE BUITRAGO, ESTEBAN")</f>
        <v>CALLE BUITRAGO, ESTEBAN</v>
      </c>
      <c r="D2116" t="str">
        <f>IFERROR(__xludf.DUMMYFUNCTION("""COMPUTED_VALUE"""),"PE 9")</f>
        <v>PE 9</v>
      </c>
      <c r="E2116" s="3">
        <f>IFERROR(__xludf.DUMMYFUNCTION("""COMPUTED_VALUE"""),4.0)</f>
        <v>4</v>
      </c>
      <c r="F2116" s="300">
        <v>1.0</v>
      </c>
      <c r="G2116" s="300">
        <v>1.0</v>
      </c>
      <c r="H2116" s="300">
        <v>1.0</v>
      </c>
      <c r="I2116" s="300">
        <v>1.0</v>
      </c>
      <c r="J2116" s="300">
        <v>1.0</v>
      </c>
      <c r="K2116" s="300">
        <v>1.0</v>
      </c>
      <c r="L2116" s="300">
        <v>1.0</v>
      </c>
      <c r="M2116" s="300">
        <v>1.0</v>
      </c>
      <c r="N2116" s="300">
        <v>8.0</v>
      </c>
      <c r="O2116" s="300" t="s">
        <v>896</v>
      </c>
      <c r="P2116" s="300">
        <v>6.0</v>
      </c>
    </row>
    <row r="2117">
      <c r="A2117">
        <f>IFERROR(__xludf.DUMMYFUNCTION("""COMPUTED_VALUE"""),9.0)</f>
        <v>9</v>
      </c>
      <c r="B2117" s="406">
        <f>IFERROR(__xludf.DUMMYFUNCTION("""COMPUTED_VALUE"""),29038.0)</f>
        <v>29038</v>
      </c>
      <c r="C2117" t="str">
        <f>IFERROR(__xludf.DUMMYFUNCTION("""COMPUTED_VALUE"""),"ESCOBAR MADRID, MAXIMILIANO")</f>
        <v>ESCOBAR MADRID, MAXIMILIANO</v>
      </c>
      <c r="D2117" t="str">
        <f>IFERROR(__xludf.DUMMYFUNCTION("""COMPUTED_VALUE"""),"PE 9")</f>
        <v>PE 9</v>
      </c>
      <c r="E2117" s="3">
        <f>IFERROR(__xludf.DUMMYFUNCTION("""COMPUTED_VALUE"""),2.0)</f>
        <v>2</v>
      </c>
      <c r="F2117" s="300">
        <v>1.0</v>
      </c>
      <c r="G2117" s="300">
        <v>1.0</v>
      </c>
      <c r="H2117" s="300">
        <v>1.0</v>
      </c>
      <c r="I2117" s="300">
        <v>1.0</v>
      </c>
      <c r="J2117" s="300">
        <v>1.0</v>
      </c>
      <c r="K2117" s="300">
        <v>1.0</v>
      </c>
      <c r="L2117" s="300">
        <v>1.0</v>
      </c>
      <c r="M2117" s="300">
        <v>1.0</v>
      </c>
      <c r="N2117" s="300">
        <v>8.0</v>
      </c>
      <c r="O2117" s="300" t="s">
        <v>899</v>
      </c>
      <c r="P2117" s="300">
        <v>6.0</v>
      </c>
    </row>
    <row r="2118">
      <c r="A2118">
        <f>IFERROR(__xludf.DUMMYFUNCTION("""COMPUTED_VALUE"""),9.0)</f>
        <v>9</v>
      </c>
      <c r="B2118" s="406">
        <f>IFERROR(__xludf.DUMMYFUNCTION("""COMPUTED_VALUE"""),28077.0)</f>
        <v>28077</v>
      </c>
      <c r="C2118" t="str">
        <f>IFERROR(__xludf.DUMMYFUNCTION("""COMPUTED_VALUE"""),"OLIVEIRA CASTAÑO, MARIANA")</f>
        <v>OLIVEIRA CASTAÑO, MARIANA</v>
      </c>
      <c r="D2118" t="str">
        <f>IFERROR(__xludf.DUMMYFUNCTION("""COMPUTED_VALUE"""),"PE 9")</f>
        <v>PE 9</v>
      </c>
      <c r="E2118" s="3">
        <f>IFERROR(__xludf.DUMMYFUNCTION("""COMPUTED_VALUE"""),2.0)</f>
        <v>2</v>
      </c>
      <c r="F2118" s="300">
        <v>1.0</v>
      </c>
      <c r="G2118" s="300">
        <v>1.0</v>
      </c>
      <c r="H2118" s="300">
        <v>1.0</v>
      </c>
      <c r="I2118" s="300">
        <v>1.0</v>
      </c>
      <c r="J2118" s="300">
        <v>1.0</v>
      </c>
      <c r="K2118" s="300">
        <v>1.0</v>
      </c>
      <c r="L2118" s="300">
        <v>1.0</v>
      </c>
      <c r="M2118" s="300">
        <v>1.0</v>
      </c>
      <c r="N2118" s="300">
        <v>8.0</v>
      </c>
      <c r="O2118" s="300" t="s">
        <v>899</v>
      </c>
      <c r="P2118" s="300">
        <v>6.0</v>
      </c>
    </row>
    <row r="2119">
      <c r="A2119">
        <f>IFERROR(__xludf.DUMMYFUNCTION("""COMPUTED_VALUE"""),9.0)</f>
        <v>9</v>
      </c>
      <c r="B2119" s="406">
        <f>IFERROR(__xludf.DUMMYFUNCTION("""COMPUTED_VALUE"""),29041.0)</f>
        <v>29041</v>
      </c>
      <c r="C2119" t="str">
        <f>IFERROR(__xludf.DUMMYFUNCTION("""COMPUTED_VALUE"""),"FAJARDO VILLA, LUCIANA")</f>
        <v>FAJARDO VILLA, LUCIANA</v>
      </c>
      <c r="D2119" t="str">
        <f>IFERROR(__xludf.DUMMYFUNCTION("""COMPUTED_VALUE"""),"PE 9")</f>
        <v>PE 9</v>
      </c>
      <c r="E2119" s="3">
        <f>IFERROR(__xludf.DUMMYFUNCTION("""COMPUTED_VALUE"""),2.0)</f>
        <v>2</v>
      </c>
      <c r="F2119" s="300">
        <v>1.0</v>
      </c>
      <c r="G2119" s="300">
        <v>1.0</v>
      </c>
      <c r="H2119" s="300">
        <v>1.0</v>
      </c>
      <c r="I2119" s="300">
        <v>1.0</v>
      </c>
      <c r="J2119" s="300">
        <v>1.0</v>
      </c>
      <c r="K2119" s="300">
        <v>1.0</v>
      </c>
      <c r="L2119" s="300">
        <v>1.0</v>
      </c>
      <c r="M2119" s="300">
        <v>1.0</v>
      </c>
      <c r="N2119" s="300">
        <v>8.0</v>
      </c>
      <c r="O2119" s="300" t="s">
        <v>899</v>
      </c>
      <c r="P2119" s="300">
        <v>6.0</v>
      </c>
    </row>
    <row r="2120">
      <c r="A2120">
        <f>IFERROR(__xludf.DUMMYFUNCTION("""COMPUTED_VALUE"""),9.0)</f>
        <v>9</v>
      </c>
      <c r="B2120" s="406">
        <f>IFERROR(__xludf.DUMMYFUNCTION("""COMPUTED_VALUE"""),29021.0)</f>
        <v>29021</v>
      </c>
      <c r="C2120" t="str">
        <f>IFERROR(__xludf.DUMMYFUNCTION("""COMPUTED_VALUE"""),"BETANCOURT QUINTERO, SIMON")</f>
        <v>BETANCOURT QUINTERO, SIMON</v>
      </c>
      <c r="D2120" t="str">
        <f>IFERROR(__xludf.DUMMYFUNCTION("""COMPUTED_VALUE"""),"PE 9")</f>
        <v>PE 9</v>
      </c>
      <c r="E2120" s="3">
        <f>IFERROR(__xludf.DUMMYFUNCTION("""COMPUTED_VALUE"""),6.0)</f>
        <v>6</v>
      </c>
      <c r="F2120" s="300">
        <v>1.0</v>
      </c>
      <c r="G2120" s="300">
        <v>1.0</v>
      </c>
      <c r="H2120" s="300">
        <v>1.0</v>
      </c>
      <c r="I2120" s="300">
        <v>1.0</v>
      </c>
      <c r="J2120" s="300">
        <v>1.0</v>
      </c>
      <c r="K2120" s="300">
        <v>1.0</v>
      </c>
      <c r="L2120" s="300">
        <v>1.0</v>
      </c>
      <c r="M2120" s="300">
        <v>1.0</v>
      </c>
      <c r="N2120" s="300">
        <v>8.0</v>
      </c>
      <c r="O2120" s="300" t="s">
        <v>898</v>
      </c>
      <c r="P2120" s="300">
        <v>6.0</v>
      </c>
    </row>
    <row r="2121">
      <c r="A2121">
        <f>IFERROR(__xludf.DUMMYFUNCTION("""COMPUTED_VALUE"""),9.0)</f>
        <v>9</v>
      </c>
      <c r="B2121" s="406">
        <f>IFERROR(__xludf.DUMMYFUNCTION("""COMPUTED_VALUE"""),29029.0)</f>
        <v>29029</v>
      </c>
      <c r="C2121" t="str">
        <f>IFERROR(__xludf.DUMMYFUNCTION("""COMPUTED_VALUE"""),"CHAVARRIAGA MESA, GREGORIO")</f>
        <v>CHAVARRIAGA MESA, GREGORIO</v>
      </c>
      <c r="D2121" t="str">
        <f>IFERROR(__xludf.DUMMYFUNCTION("""COMPUTED_VALUE"""),"PE 9")</f>
        <v>PE 9</v>
      </c>
      <c r="E2121" s="3">
        <f>IFERROR(__xludf.DUMMYFUNCTION("""COMPUTED_VALUE"""),2.0)</f>
        <v>2</v>
      </c>
      <c r="F2121" s="300">
        <v>1.0</v>
      </c>
      <c r="G2121" s="300">
        <v>1.0</v>
      </c>
      <c r="H2121" s="300">
        <v>1.0</v>
      </c>
      <c r="I2121" s="300">
        <v>1.0</v>
      </c>
      <c r="J2121" s="300">
        <v>1.0</v>
      </c>
      <c r="K2121" s="300">
        <v>1.0</v>
      </c>
      <c r="L2121" s="300">
        <v>1.0</v>
      </c>
      <c r="M2121" s="300">
        <v>1.0</v>
      </c>
      <c r="N2121" s="300">
        <v>8.0</v>
      </c>
      <c r="O2121" s="300" t="s">
        <v>899</v>
      </c>
      <c r="P2121" s="300">
        <v>6.0</v>
      </c>
    </row>
    <row r="2122">
      <c r="A2122">
        <f>IFERROR(__xludf.DUMMYFUNCTION("""COMPUTED_VALUE"""),9.0)</f>
        <v>9</v>
      </c>
      <c r="B2122" s="406">
        <f>IFERROR(__xludf.DUMMYFUNCTION("""COMPUTED_VALUE"""),29148.0)</f>
        <v>29148</v>
      </c>
      <c r="C2122" t="str">
        <f>IFERROR(__xludf.DUMMYFUNCTION("""COMPUTED_VALUE"""),"OSORIO ARISTIZABAL, MATIAS")</f>
        <v>OSORIO ARISTIZABAL, MATIAS</v>
      </c>
      <c r="D2122" t="str">
        <f>IFERROR(__xludf.DUMMYFUNCTION("""COMPUTED_VALUE"""),"PE 9")</f>
        <v>PE 9</v>
      </c>
      <c r="E2122" s="3">
        <f>IFERROR(__xludf.DUMMYFUNCTION("""COMPUTED_VALUE"""),2.0)</f>
        <v>2</v>
      </c>
      <c r="F2122" s="300">
        <v>1.0</v>
      </c>
      <c r="G2122" s="300">
        <v>1.0</v>
      </c>
      <c r="H2122" s="300">
        <v>1.0</v>
      </c>
      <c r="I2122" s="300">
        <v>1.0</v>
      </c>
      <c r="J2122" s="300">
        <v>1.0</v>
      </c>
      <c r="K2122" s="300">
        <v>1.0</v>
      </c>
      <c r="L2122" s="300">
        <v>1.0</v>
      </c>
      <c r="M2122" s="300">
        <v>1.0</v>
      </c>
      <c r="N2122" s="300">
        <v>8.0</v>
      </c>
      <c r="O2122" s="300" t="s">
        <v>899</v>
      </c>
      <c r="P2122" s="300">
        <v>6.0</v>
      </c>
    </row>
    <row r="2123">
      <c r="A2123">
        <f>IFERROR(__xludf.DUMMYFUNCTION("""COMPUTED_VALUE"""),9.0)</f>
        <v>9</v>
      </c>
      <c r="B2123" s="406">
        <f>IFERROR(__xludf.DUMMYFUNCTION("""COMPUTED_VALUE"""),29170.0)</f>
        <v>29170</v>
      </c>
      <c r="C2123" t="str">
        <f>IFERROR(__xludf.DUMMYFUNCTION("""COMPUTED_VALUE"""),"ALVAREZ CARDENAS, JUAN EMILIO")</f>
        <v>ALVAREZ CARDENAS, JUAN EMILIO</v>
      </c>
      <c r="D2123" t="str">
        <f>IFERROR(__xludf.DUMMYFUNCTION("""COMPUTED_VALUE"""),"PE 9")</f>
        <v>PE 9</v>
      </c>
      <c r="E2123" s="3">
        <f>IFERROR(__xludf.DUMMYFUNCTION("""COMPUTED_VALUE"""),8.0)</f>
        <v>8</v>
      </c>
      <c r="F2123" s="300">
        <v>1.0</v>
      </c>
      <c r="G2123" s="300">
        <v>1.0</v>
      </c>
      <c r="H2123" s="300">
        <v>1.0</v>
      </c>
      <c r="I2123" s="300">
        <v>1.0</v>
      </c>
      <c r="J2123" s="300">
        <v>1.0</v>
      </c>
      <c r="K2123" s="300">
        <v>1.0</v>
      </c>
      <c r="L2123" s="300">
        <v>1.0</v>
      </c>
      <c r="M2123" s="300">
        <v>1.0</v>
      </c>
      <c r="N2123" s="300">
        <v>8.0</v>
      </c>
      <c r="O2123" s="300" t="s">
        <v>901</v>
      </c>
      <c r="P2123" s="300">
        <v>6.0</v>
      </c>
    </row>
    <row r="2124">
      <c r="A2124">
        <f>IFERROR(__xludf.DUMMYFUNCTION("""COMPUTED_VALUE"""),9.0)</f>
        <v>9</v>
      </c>
      <c r="B2124" s="406">
        <f>IFERROR(__xludf.DUMMYFUNCTION("""COMPUTED_VALUE"""),29058.0)</f>
        <v>29058</v>
      </c>
      <c r="C2124" t="str">
        <f>IFERROR(__xludf.DUMMYFUNCTION("""COMPUTED_VALUE"""),"JARAMILLO DONADO, AMELIA")</f>
        <v>JARAMILLO DONADO, AMELIA</v>
      </c>
      <c r="D2124" t="str">
        <f>IFERROR(__xludf.DUMMYFUNCTION("""COMPUTED_VALUE"""),"PE 9")</f>
        <v>PE 9</v>
      </c>
      <c r="E2124" s="3">
        <f>IFERROR(__xludf.DUMMYFUNCTION("""COMPUTED_VALUE"""),8.0)</f>
        <v>8</v>
      </c>
      <c r="F2124" s="300">
        <v>1.0</v>
      </c>
      <c r="G2124" s="300">
        <v>1.0</v>
      </c>
      <c r="H2124" s="300">
        <v>1.0</v>
      </c>
      <c r="I2124" s="300">
        <v>1.0</v>
      </c>
      <c r="J2124" s="300">
        <v>1.0</v>
      </c>
      <c r="K2124" s="300">
        <v>1.0</v>
      </c>
      <c r="L2124" s="300">
        <v>1.0</v>
      </c>
      <c r="M2124" s="300">
        <v>1.0</v>
      </c>
      <c r="N2124" s="300">
        <v>8.0</v>
      </c>
      <c r="O2124" s="300" t="s">
        <v>901</v>
      </c>
      <c r="P2124" s="300">
        <v>6.0</v>
      </c>
    </row>
    <row r="2125">
      <c r="A2125">
        <f>IFERROR(__xludf.DUMMYFUNCTION("""COMPUTED_VALUE"""),9.0)</f>
        <v>9</v>
      </c>
      <c r="B2125" s="406">
        <f>IFERROR(__xludf.DUMMYFUNCTION("""COMPUTED_VALUE"""),29072.0)</f>
        <v>29072</v>
      </c>
      <c r="C2125" t="str">
        <f>IFERROR(__xludf.DUMMYFUNCTION("""COMPUTED_VALUE"""),"MARQUEZ RAHAL, PEDRO")</f>
        <v>MARQUEZ RAHAL, PEDRO</v>
      </c>
      <c r="D2125" t="str">
        <f>IFERROR(__xludf.DUMMYFUNCTION("""COMPUTED_VALUE"""),"PE 9")</f>
        <v>PE 9</v>
      </c>
      <c r="E2125" s="3">
        <f>IFERROR(__xludf.DUMMYFUNCTION("""COMPUTED_VALUE"""),6.0)</f>
        <v>6</v>
      </c>
      <c r="F2125" s="300">
        <v>1.0</v>
      </c>
      <c r="G2125" s="300">
        <v>1.0</v>
      </c>
      <c r="H2125" s="300">
        <v>1.0</v>
      </c>
      <c r="I2125" s="300">
        <v>1.0</v>
      </c>
      <c r="J2125" s="300">
        <v>1.0</v>
      </c>
      <c r="K2125" s="300">
        <v>1.0</v>
      </c>
      <c r="L2125" s="300">
        <v>1.0</v>
      </c>
      <c r="M2125" s="300">
        <v>1.0</v>
      </c>
      <c r="N2125" s="300">
        <v>8.0</v>
      </c>
      <c r="O2125" s="300" t="s">
        <v>898</v>
      </c>
      <c r="P2125" s="300">
        <v>6.0</v>
      </c>
    </row>
    <row r="2126">
      <c r="A2126">
        <f>IFERROR(__xludf.DUMMYFUNCTION("""COMPUTED_VALUE"""),9.0)</f>
        <v>9</v>
      </c>
      <c r="B2126" s="406">
        <f>IFERROR(__xludf.DUMMYFUNCTION("""COMPUTED_VALUE"""),29125.0)</f>
        <v>29125</v>
      </c>
      <c r="C2126" t="str">
        <f>IFERROR(__xludf.DUMMYFUNCTION("""COMPUTED_VALUE"""),"VALLEJO LONDOÑO, TOMAS")</f>
        <v>VALLEJO LONDOÑO, TOMAS</v>
      </c>
      <c r="D2126" t="str">
        <f>IFERROR(__xludf.DUMMYFUNCTION("""COMPUTED_VALUE"""),"PE 9")</f>
        <v>PE 9</v>
      </c>
      <c r="E2126" s="3">
        <f>IFERROR(__xludf.DUMMYFUNCTION("""COMPUTED_VALUE"""),5.0)</f>
        <v>5</v>
      </c>
      <c r="F2126" s="300">
        <v>1.0</v>
      </c>
      <c r="G2126" s="300">
        <v>1.0</v>
      </c>
      <c r="H2126" s="300">
        <v>1.0</v>
      </c>
      <c r="I2126" s="300">
        <v>1.0</v>
      </c>
      <c r="J2126" s="300">
        <v>1.0</v>
      </c>
      <c r="K2126" s="300">
        <v>1.0</v>
      </c>
      <c r="L2126" s="300">
        <v>1.0</v>
      </c>
      <c r="M2126" s="300">
        <v>1.0</v>
      </c>
      <c r="N2126" s="300">
        <v>8.0</v>
      </c>
      <c r="O2126" s="300" t="s">
        <v>897</v>
      </c>
      <c r="P2126" s="300">
        <v>6.0</v>
      </c>
    </row>
    <row r="2127">
      <c r="A2127">
        <f>IFERROR(__xludf.DUMMYFUNCTION("""COMPUTED_VALUE"""),9.0)</f>
        <v>9</v>
      </c>
      <c r="B2127" s="406">
        <f>IFERROR(__xludf.DUMMYFUNCTION("""COMPUTED_VALUE"""),29045.0)</f>
        <v>29045</v>
      </c>
      <c r="C2127" t="str">
        <f>IFERROR(__xludf.DUMMYFUNCTION("""COMPUTED_VALUE"""),"GOMEZ ZULUAGA, JUAN JOSE")</f>
        <v>GOMEZ ZULUAGA, JUAN JOSE</v>
      </c>
      <c r="D2127" t="str">
        <f>IFERROR(__xludf.DUMMYFUNCTION("""COMPUTED_VALUE"""),"PE 9")</f>
        <v>PE 9</v>
      </c>
      <c r="E2127" s="3">
        <f>IFERROR(__xludf.DUMMYFUNCTION("""COMPUTED_VALUE"""),2.0)</f>
        <v>2</v>
      </c>
      <c r="F2127" s="300">
        <v>1.0</v>
      </c>
      <c r="G2127" s="300">
        <v>1.0</v>
      </c>
      <c r="H2127" s="300">
        <v>1.0</v>
      </c>
      <c r="I2127" s="300">
        <v>1.0</v>
      </c>
      <c r="J2127" s="300">
        <v>1.0</v>
      </c>
      <c r="K2127" s="300">
        <v>1.0</v>
      </c>
      <c r="L2127" s="300">
        <v>1.0</v>
      </c>
      <c r="M2127" s="300">
        <v>1.0</v>
      </c>
      <c r="N2127" s="300">
        <v>8.0</v>
      </c>
      <c r="O2127" s="300" t="s">
        <v>899</v>
      </c>
      <c r="P2127" s="300">
        <v>6.0</v>
      </c>
    </row>
    <row r="2128">
      <c r="A2128">
        <f>IFERROR(__xludf.DUMMYFUNCTION("""COMPUTED_VALUE"""),9.0)</f>
        <v>9</v>
      </c>
      <c r="B2128" s="406">
        <f>IFERROR(__xludf.DUMMYFUNCTION("""COMPUTED_VALUE"""),28032.0)</f>
        <v>28032</v>
      </c>
      <c r="C2128" t="str">
        <f>IFERROR(__xludf.DUMMYFUNCTION("""COMPUTED_VALUE"""),"GALLON TOBON, GERONIMO")</f>
        <v>GALLON TOBON, GERONIMO</v>
      </c>
      <c r="D2128" t="str">
        <f>IFERROR(__xludf.DUMMYFUNCTION("""COMPUTED_VALUE"""),"PE 9")</f>
        <v>PE 9</v>
      </c>
      <c r="E2128" s="3">
        <f>IFERROR(__xludf.DUMMYFUNCTION("""COMPUTED_VALUE"""),8.0)</f>
        <v>8</v>
      </c>
      <c r="F2128" s="300">
        <v>1.0</v>
      </c>
      <c r="G2128" s="300">
        <v>1.0</v>
      </c>
      <c r="H2128" s="300">
        <v>1.0</v>
      </c>
      <c r="I2128" s="300">
        <v>1.0</v>
      </c>
      <c r="J2128" s="300">
        <v>1.0</v>
      </c>
      <c r="K2128" s="300">
        <v>1.0</v>
      </c>
      <c r="L2128" s="300">
        <v>1.0</v>
      </c>
      <c r="M2128" s="300">
        <v>1.0</v>
      </c>
      <c r="N2128" s="300">
        <v>8.0</v>
      </c>
      <c r="O2128" s="300" t="s">
        <v>901</v>
      </c>
      <c r="P2128" s="300">
        <v>6.0</v>
      </c>
    </row>
    <row r="2129">
      <c r="A2129">
        <f>IFERROR(__xludf.DUMMYFUNCTION("""COMPUTED_VALUE"""),9.0)</f>
        <v>9</v>
      </c>
      <c r="B2129" s="406">
        <f>IFERROR(__xludf.DUMMYFUNCTION("""COMPUTED_VALUE"""),29012.0)</f>
        <v>29012</v>
      </c>
      <c r="C2129" t="str">
        <f>IFERROR(__xludf.DUMMYFUNCTION("""COMPUTED_VALUE"""),"ARANGO VILLA, TOMAS")</f>
        <v>ARANGO VILLA, TOMAS</v>
      </c>
      <c r="D2129" t="str">
        <f>IFERROR(__xludf.DUMMYFUNCTION("""COMPUTED_VALUE"""),"PE 9")</f>
        <v>PE 9</v>
      </c>
      <c r="E2129" s="3">
        <f>IFERROR(__xludf.DUMMYFUNCTION("""COMPUTED_VALUE"""),4.0)</f>
        <v>4</v>
      </c>
      <c r="F2129" s="300">
        <v>1.0</v>
      </c>
      <c r="G2129" s="300">
        <v>1.0</v>
      </c>
      <c r="H2129" s="300">
        <v>1.0</v>
      </c>
      <c r="I2129" s="300">
        <v>1.0</v>
      </c>
      <c r="J2129" s="300">
        <v>1.0</v>
      </c>
      <c r="K2129" s="300">
        <v>1.0</v>
      </c>
      <c r="L2129" s="300">
        <v>1.0</v>
      </c>
      <c r="M2129" s="300">
        <v>1.0</v>
      </c>
      <c r="N2129" s="300">
        <v>8.0</v>
      </c>
      <c r="O2129" s="300" t="s">
        <v>896</v>
      </c>
      <c r="P2129" s="300">
        <v>6.0</v>
      </c>
    </row>
    <row r="2130">
      <c r="A2130">
        <f>IFERROR(__xludf.DUMMYFUNCTION("""COMPUTED_VALUE"""),9.0)</f>
        <v>9</v>
      </c>
      <c r="B2130" s="406">
        <f>IFERROR(__xludf.DUMMYFUNCTION("""COMPUTED_VALUE"""),29138.0)</f>
        <v>29138</v>
      </c>
      <c r="C2130" t="str">
        <f>IFERROR(__xludf.DUMMYFUNCTION("""COMPUTED_VALUE"""),"ECHAVARRIA ROLDAN, TOMAS")</f>
        <v>ECHAVARRIA ROLDAN, TOMAS</v>
      </c>
      <c r="D2130" t="str">
        <f>IFERROR(__xludf.DUMMYFUNCTION("""COMPUTED_VALUE"""),"PE 9")</f>
        <v>PE 9</v>
      </c>
      <c r="E2130" s="3">
        <f>IFERROR(__xludf.DUMMYFUNCTION("""COMPUTED_VALUE"""),4.0)</f>
        <v>4</v>
      </c>
      <c r="F2130" s="300">
        <v>1.0</v>
      </c>
      <c r="G2130" s="300">
        <v>1.0</v>
      </c>
      <c r="H2130" s="300">
        <v>1.0</v>
      </c>
      <c r="I2130" s="300">
        <v>1.0</v>
      </c>
      <c r="J2130" s="300">
        <v>1.0</v>
      </c>
      <c r="K2130" s="300">
        <v>1.0</v>
      </c>
      <c r="L2130" s="300">
        <v>1.0</v>
      </c>
      <c r="M2130" s="300">
        <v>1.0</v>
      </c>
      <c r="N2130" s="300">
        <v>8.0</v>
      </c>
      <c r="O2130" s="300" t="s">
        <v>896</v>
      </c>
      <c r="P2130" s="300">
        <v>6.0</v>
      </c>
    </row>
    <row r="2131">
      <c r="A2131">
        <f>IFERROR(__xludf.DUMMYFUNCTION("""COMPUTED_VALUE"""),9.0)</f>
        <v>9</v>
      </c>
      <c r="B2131" s="406">
        <f>IFERROR(__xludf.DUMMYFUNCTION("""COMPUTED_VALUE"""),29003.0)</f>
        <v>29003</v>
      </c>
      <c r="C2131" t="str">
        <f>IFERROR(__xludf.DUMMYFUNCTION("""COMPUTED_VALUE"""),"ACEVEDO OROZCO, MARIA CELESTE")</f>
        <v>ACEVEDO OROZCO, MARIA CELESTE</v>
      </c>
      <c r="D2131" t="str">
        <f>IFERROR(__xludf.DUMMYFUNCTION("""COMPUTED_VALUE"""),"PE 9")</f>
        <v>PE 9</v>
      </c>
      <c r="E2131" s="3">
        <f>IFERROR(__xludf.DUMMYFUNCTION("""COMPUTED_VALUE"""),5.0)</f>
        <v>5</v>
      </c>
      <c r="F2131" s="300">
        <v>1.0</v>
      </c>
      <c r="G2131" s="300">
        <v>1.0</v>
      </c>
      <c r="H2131" s="300">
        <v>1.0</v>
      </c>
      <c r="I2131" s="300">
        <v>1.0</v>
      </c>
      <c r="J2131" s="300">
        <v>1.0</v>
      </c>
      <c r="K2131" s="300">
        <v>1.0</v>
      </c>
      <c r="L2131" s="300">
        <v>1.0</v>
      </c>
      <c r="M2131" s="300">
        <v>1.0</v>
      </c>
      <c r="N2131" s="300">
        <v>8.0</v>
      </c>
      <c r="O2131" s="300" t="s">
        <v>897</v>
      </c>
      <c r="P2131" s="300">
        <v>6.0</v>
      </c>
    </row>
    <row r="2132">
      <c r="A2132">
        <f>IFERROR(__xludf.DUMMYFUNCTION("""COMPUTED_VALUE"""),9.0)</f>
        <v>9</v>
      </c>
      <c r="B2132" s="406">
        <f>IFERROR(__xludf.DUMMYFUNCTION("""COMPUTED_VALUE"""),29158.0)</f>
        <v>29158</v>
      </c>
      <c r="C2132" t="str">
        <f>IFERROR(__xludf.DUMMYFUNCTION("""COMPUTED_VALUE"""),"NIEHAUS TRUJILLO, MICHELLE")</f>
        <v>NIEHAUS TRUJILLO, MICHELLE</v>
      </c>
      <c r="D2132" t="str">
        <f>IFERROR(__xludf.DUMMYFUNCTION("""COMPUTED_VALUE"""),"PE 9")</f>
        <v>PE 9</v>
      </c>
      <c r="E2132" s="3">
        <f>IFERROR(__xludf.DUMMYFUNCTION("""COMPUTED_VALUE"""),8.0)</f>
        <v>8</v>
      </c>
      <c r="F2132" s="300">
        <v>1.0</v>
      </c>
      <c r="G2132" s="300">
        <v>1.0</v>
      </c>
      <c r="H2132" s="300">
        <v>1.0</v>
      </c>
      <c r="I2132" s="300">
        <v>1.0</v>
      </c>
      <c r="J2132" s="300">
        <v>1.0</v>
      </c>
      <c r="K2132" s="300">
        <v>1.0</v>
      </c>
      <c r="L2132" s="300">
        <v>1.0</v>
      </c>
      <c r="M2132" s="300">
        <v>1.0</v>
      </c>
      <c r="N2132" s="300">
        <v>8.0</v>
      </c>
      <c r="O2132" s="300" t="s">
        <v>901</v>
      </c>
      <c r="P2132" s="300">
        <v>6.0</v>
      </c>
    </row>
    <row r="2133">
      <c r="A2133">
        <f>IFERROR(__xludf.DUMMYFUNCTION("""COMPUTED_VALUE"""),9.0)</f>
        <v>9</v>
      </c>
      <c r="B2133" s="406">
        <f>IFERROR(__xludf.DUMMYFUNCTION("""COMPUTED_VALUE"""),29088.0)</f>
        <v>29088</v>
      </c>
      <c r="C2133" t="str">
        <f>IFERROR(__xludf.DUMMYFUNCTION("""COMPUTED_VALUE"""),"PEREZ ALVARADO, SARA")</f>
        <v>PEREZ ALVARADO, SARA</v>
      </c>
      <c r="D2133" t="str">
        <f>IFERROR(__xludf.DUMMYFUNCTION("""COMPUTED_VALUE"""),"PE 9")</f>
        <v>PE 9</v>
      </c>
      <c r="E2133" s="3">
        <f>IFERROR(__xludf.DUMMYFUNCTION("""COMPUTED_VALUE"""),1.0)</f>
        <v>1</v>
      </c>
      <c r="F2133" s="300">
        <v>1.0</v>
      </c>
      <c r="G2133" s="300">
        <v>1.0</v>
      </c>
      <c r="H2133" s="300">
        <v>1.0</v>
      </c>
      <c r="I2133" s="300">
        <v>1.0</v>
      </c>
      <c r="J2133" s="300">
        <v>1.0</v>
      </c>
      <c r="K2133" s="300">
        <v>1.0</v>
      </c>
      <c r="L2133" s="300">
        <v>1.0</v>
      </c>
      <c r="M2133" s="300">
        <v>1.0</v>
      </c>
      <c r="N2133" s="300">
        <v>8.0</v>
      </c>
      <c r="O2133" s="300" t="s">
        <v>900</v>
      </c>
      <c r="P2133" s="300">
        <v>6.0</v>
      </c>
    </row>
    <row r="2134">
      <c r="A2134">
        <f>IFERROR(__xludf.DUMMYFUNCTION("""COMPUTED_VALUE"""),9.0)</f>
        <v>9</v>
      </c>
      <c r="B2134" s="406">
        <f>IFERROR(__xludf.DUMMYFUNCTION("""COMPUTED_VALUE"""),29164.0)</f>
        <v>29164</v>
      </c>
      <c r="C2134" t="str">
        <f>IFERROR(__xludf.DUMMYFUNCTION("""COMPUTED_VALUE"""),"CONCHA VELASCO, LORENZO")</f>
        <v>CONCHA VELASCO, LORENZO</v>
      </c>
      <c r="D2134" t="str">
        <f>IFERROR(__xludf.DUMMYFUNCTION("""COMPUTED_VALUE"""),"PE 9")</f>
        <v>PE 9</v>
      </c>
      <c r="E2134" s="3">
        <f>IFERROR(__xludf.DUMMYFUNCTION("""COMPUTED_VALUE"""),1.0)</f>
        <v>1</v>
      </c>
      <c r="F2134" s="300">
        <v>1.0</v>
      </c>
      <c r="G2134" s="300">
        <v>1.0</v>
      </c>
      <c r="H2134" s="300">
        <v>1.0</v>
      </c>
      <c r="I2134" s="300">
        <v>1.0</v>
      </c>
      <c r="J2134" s="300">
        <v>1.0</v>
      </c>
      <c r="K2134" s="300">
        <v>1.0</v>
      </c>
      <c r="L2134" s="300">
        <v>1.0</v>
      </c>
      <c r="M2134" s="300">
        <v>1.0</v>
      </c>
      <c r="N2134" s="300">
        <v>8.0</v>
      </c>
      <c r="O2134" s="300" t="s">
        <v>900</v>
      </c>
      <c r="P2134" s="300">
        <v>6.0</v>
      </c>
    </row>
    <row r="2135">
      <c r="A2135">
        <f>IFERROR(__xludf.DUMMYFUNCTION("""COMPUTED_VALUE"""),9.0)</f>
        <v>9</v>
      </c>
      <c r="B2135" s="406">
        <f>IFERROR(__xludf.DUMMYFUNCTION("""COMPUTED_VALUE"""),29011.0)</f>
        <v>29011</v>
      </c>
      <c r="C2135" t="str">
        <f>IFERROR(__xludf.DUMMYFUNCTION("""COMPUTED_VALUE"""),"ARANGO RUBIO, ROSARIO")</f>
        <v>ARANGO RUBIO, ROSARIO</v>
      </c>
      <c r="D2135" t="str">
        <f>IFERROR(__xludf.DUMMYFUNCTION("""COMPUTED_VALUE"""),"PE 9")</f>
        <v>PE 9</v>
      </c>
      <c r="E2135" s="3">
        <f>IFERROR(__xludf.DUMMYFUNCTION("""COMPUTED_VALUE"""),1.0)</f>
        <v>1</v>
      </c>
      <c r="F2135" s="300">
        <v>1.0</v>
      </c>
      <c r="G2135" s="300">
        <v>1.0</v>
      </c>
      <c r="H2135" s="300">
        <v>1.0</v>
      </c>
      <c r="I2135" s="300">
        <v>1.0</v>
      </c>
      <c r="J2135" s="300">
        <v>1.0</v>
      </c>
      <c r="K2135" s="300">
        <v>1.0</v>
      </c>
      <c r="L2135" s="300">
        <v>1.0</v>
      </c>
      <c r="M2135" s="300">
        <v>1.0</v>
      </c>
      <c r="N2135" s="300">
        <v>8.0</v>
      </c>
      <c r="O2135" s="300" t="s">
        <v>900</v>
      </c>
      <c r="P2135" s="300">
        <v>6.0</v>
      </c>
    </row>
    <row r="2136">
      <c r="A2136">
        <f>IFERROR(__xludf.DUMMYFUNCTION("""COMPUTED_VALUE"""),9.0)</f>
        <v>9</v>
      </c>
      <c r="B2136" s="406">
        <f>IFERROR(__xludf.DUMMYFUNCTION("""COMPUTED_VALUE"""),29161.0)</f>
        <v>29161</v>
      </c>
      <c r="C2136" t="str">
        <f>IFERROR(__xludf.DUMMYFUNCTION("""COMPUTED_VALUE"""),"BURKHALTER, ESPERANZA JOY")</f>
        <v>BURKHALTER, ESPERANZA JOY</v>
      </c>
      <c r="D2136" t="str">
        <f>IFERROR(__xludf.DUMMYFUNCTION("""COMPUTED_VALUE"""),"PE 9")</f>
        <v>PE 9</v>
      </c>
      <c r="E2136" s="3">
        <f>IFERROR(__xludf.DUMMYFUNCTION("""COMPUTED_VALUE"""),4.0)</f>
        <v>4</v>
      </c>
      <c r="F2136" s="300">
        <v>1.0</v>
      </c>
      <c r="G2136" s="300">
        <v>1.0</v>
      </c>
      <c r="H2136" s="300">
        <v>1.0</v>
      </c>
      <c r="I2136" s="300">
        <v>1.0</v>
      </c>
      <c r="J2136" s="300">
        <v>1.0</v>
      </c>
      <c r="K2136" s="300">
        <v>1.0</v>
      </c>
      <c r="L2136" s="300">
        <v>1.0</v>
      </c>
      <c r="M2136" s="300">
        <v>1.0</v>
      </c>
      <c r="N2136" s="300">
        <v>8.0</v>
      </c>
      <c r="O2136" s="300" t="s">
        <v>896</v>
      </c>
      <c r="P2136" s="300">
        <v>6.0</v>
      </c>
    </row>
    <row r="2137">
      <c r="A2137">
        <f>IFERROR(__xludf.DUMMYFUNCTION("""COMPUTED_VALUE"""),9.0)</f>
        <v>9</v>
      </c>
      <c r="B2137" s="406">
        <f>IFERROR(__xludf.DUMMYFUNCTION("""COMPUTED_VALUE"""),29103.0)</f>
        <v>29103</v>
      </c>
      <c r="C2137" t="str">
        <f>IFERROR(__xludf.DUMMYFUNCTION("""COMPUTED_VALUE"""),"SALAZAR ECHEVERRI, ANTONIA")</f>
        <v>SALAZAR ECHEVERRI, ANTONIA</v>
      </c>
      <c r="D2137" t="str">
        <f>IFERROR(__xludf.DUMMYFUNCTION("""COMPUTED_VALUE"""),"PE 9")</f>
        <v>PE 9</v>
      </c>
      <c r="E2137" s="3">
        <f>IFERROR(__xludf.DUMMYFUNCTION("""COMPUTED_VALUE"""),8.0)</f>
        <v>8</v>
      </c>
      <c r="F2137" s="300">
        <v>1.0</v>
      </c>
      <c r="G2137" s="300">
        <v>1.0</v>
      </c>
      <c r="H2137" s="300">
        <v>1.0</v>
      </c>
      <c r="I2137" s="300">
        <v>1.0</v>
      </c>
      <c r="J2137" s="300">
        <v>1.0</v>
      </c>
      <c r="K2137" s="300">
        <v>1.0</v>
      </c>
      <c r="L2137" s="300">
        <v>1.0</v>
      </c>
      <c r="M2137" s="300">
        <v>1.0</v>
      </c>
      <c r="N2137" s="300">
        <v>8.0</v>
      </c>
      <c r="O2137" s="300" t="s">
        <v>901</v>
      </c>
      <c r="P2137" s="300">
        <v>6.0</v>
      </c>
    </row>
    <row r="2138">
      <c r="A2138">
        <f>IFERROR(__xludf.DUMMYFUNCTION("""COMPUTED_VALUE"""),9.0)</f>
        <v>9</v>
      </c>
      <c r="B2138" s="406">
        <f>IFERROR(__xludf.DUMMYFUNCTION("""COMPUTED_VALUE"""),29004.0)</f>
        <v>29004</v>
      </c>
      <c r="C2138" t="str">
        <f>IFERROR(__xludf.DUMMYFUNCTION("""COMPUTED_VALUE"""),"AGUIRRE ARANGO, DAVID")</f>
        <v>AGUIRRE ARANGO, DAVID</v>
      </c>
      <c r="D2138" t="str">
        <f>IFERROR(__xludf.DUMMYFUNCTION("""COMPUTED_VALUE"""),"PE 9")</f>
        <v>PE 9</v>
      </c>
      <c r="E2138" s="3">
        <f>IFERROR(__xludf.DUMMYFUNCTION("""COMPUTED_VALUE"""),4.0)</f>
        <v>4</v>
      </c>
      <c r="F2138" s="300">
        <v>1.0</v>
      </c>
      <c r="G2138" s="300">
        <v>1.0</v>
      </c>
      <c r="H2138" s="300">
        <v>1.0</v>
      </c>
      <c r="I2138" s="300">
        <v>1.0</v>
      </c>
      <c r="J2138" s="300">
        <v>1.0</v>
      </c>
      <c r="K2138" s="300">
        <v>1.0</v>
      </c>
      <c r="L2138" s="300">
        <v>1.0</v>
      </c>
      <c r="M2138" s="300">
        <v>1.0</v>
      </c>
      <c r="N2138" s="300">
        <v>8.0</v>
      </c>
      <c r="O2138" s="300" t="s">
        <v>896</v>
      </c>
      <c r="P2138" s="300">
        <v>6.0</v>
      </c>
    </row>
    <row r="2139">
      <c r="A2139">
        <f>IFERROR(__xludf.DUMMYFUNCTION("""COMPUTED_VALUE"""),9.0)</f>
        <v>9</v>
      </c>
      <c r="B2139" s="406">
        <f>IFERROR(__xludf.DUMMYFUNCTION("""COMPUTED_VALUE"""),29015.0)</f>
        <v>29015</v>
      </c>
      <c r="C2139" t="str">
        <f>IFERROR(__xludf.DUMMYFUNCTION("""COMPUTED_VALUE"""),"ARISTIZABAL URIBE, MATIAS")</f>
        <v>ARISTIZABAL URIBE, MATIAS</v>
      </c>
      <c r="D2139" t="str">
        <f>IFERROR(__xludf.DUMMYFUNCTION("""COMPUTED_VALUE"""),"PE 9")</f>
        <v>PE 9</v>
      </c>
      <c r="E2139" s="3">
        <f>IFERROR(__xludf.DUMMYFUNCTION("""COMPUTED_VALUE"""),8.0)</f>
        <v>8</v>
      </c>
      <c r="F2139" s="300">
        <v>1.0</v>
      </c>
      <c r="G2139" s="300">
        <v>1.0</v>
      </c>
      <c r="H2139" s="300">
        <v>1.0</v>
      </c>
      <c r="I2139" s="300">
        <v>1.0</v>
      </c>
      <c r="J2139" s="300">
        <v>1.0</v>
      </c>
      <c r="K2139" s="300">
        <v>1.0</v>
      </c>
      <c r="L2139" s="300">
        <v>1.0</v>
      </c>
      <c r="M2139" s="300">
        <v>1.0</v>
      </c>
      <c r="N2139" s="300">
        <v>8.0</v>
      </c>
      <c r="O2139" s="300" t="s">
        <v>901</v>
      </c>
      <c r="P2139" s="300">
        <v>6.0</v>
      </c>
    </row>
    <row r="2140">
      <c r="A2140">
        <f>IFERROR(__xludf.DUMMYFUNCTION("""COMPUTED_VALUE"""),9.0)</f>
        <v>9</v>
      </c>
      <c r="B2140" s="406">
        <f>IFERROR(__xludf.DUMMYFUNCTION("""COMPUTED_VALUE"""),29052.0)</f>
        <v>29052</v>
      </c>
      <c r="C2140" t="str">
        <f>IFERROR(__xludf.DUMMYFUNCTION("""COMPUTED_VALUE"""),"HURTADO ARISTIZABAL, CAMILA")</f>
        <v>HURTADO ARISTIZABAL, CAMILA</v>
      </c>
      <c r="D2140" t="str">
        <f>IFERROR(__xludf.DUMMYFUNCTION("""COMPUTED_VALUE"""),"PE 9")</f>
        <v>PE 9</v>
      </c>
      <c r="E2140" s="3">
        <f>IFERROR(__xludf.DUMMYFUNCTION("""COMPUTED_VALUE"""),1.0)</f>
        <v>1</v>
      </c>
      <c r="F2140" s="300">
        <v>1.0</v>
      </c>
      <c r="G2140" s="300">
        <v>1.0</v>
      </c>
      <c r="H2140" s="300">
        <v>1.0</v>
      </c>
      <c r="I2140" s="300">
        <v>1.0</v>
      </c>
      <c r="J2140" s="300">
        <v>1.0</v>
      </c>
      <c r="K2140" s="300">
        <v>1.0</v>
      </c>
      <c r="L2140" s="300">
        <v>1.0</v>
      </c>
      <c r="M2140" s="300">
        <v>1.0</v>
      </c>
      <c r="N2140" s="300">
        <v>8.0</v>
      </c>
      <c r="O2140" s="300" t="s">
        <v>900</v>
      </c>
      <c r="P2140" s="300">
        <v>6.0</v>
      </c>
    </row>
    <row r="2141">
      <c r="A2141">
        <f>IFERROR(__xludf.DUMMYFUNCTION("""COMPUTED_VALUE"""),9.0)</f>
        <v>9</v>
      </c>
      <c r="B2141" s="406">
        <f>IFERROR(__xludf.DUMMYFUNCTION("""COMPUTED_VALUE"""),29056.0)</f>
        <v>29056</v>
      </c>
      <c r="C2141" t="str">
        <f>IFERROR(__xludf.DUMMYFUNCTION("""COMPUTED_VALUE"""),"JAILLIER PINZON, MAXIMILIANO")</f>
        <v>JAILLIER PINZON, MAXIMILIANO</v>
      </c>
      <c r="D2141" t="str">
        <f>IFERROR(__xludf.DUMMYFUNCTION("""COMPUTED_VALUE"""),"PE 9")</f>
        <v>PE 9</v>
      </c>
      <c r="E2141" s="3">
        <f>IFERROR(__xludf.DUMMYFUNCTION("""COMPUTED_VALUE"""),2.0)</f>
        <v>2</v>
      </c>
      <c r="F2141" s="300">
        <v>1.0</v>
      </c>
      <c r="G2141" s="300">
        <v>1.0</v>
      </c>
      <c r="H2141" s="300">
        <v>1.0</v>
      </c>
      <c r="I2141" s="300">
        <v>1.0</v>
      </c>
      <c r="J2141" s="300">
        <v>1.0</v>
      </c>
      <c r="K2141" s="300">
        <v>1.0</v>
      </c>
      <c r="L2141" s="300">
        <v>1.0</v>
      </c>
      <c r="M2141" s="300">
        <v>1.0</v>
      </c>
      <c r="N2141" s="300">
        <v>8.0</v>
      </c>
      <c r="O2141" s="300" t="s">
        <v>899</v>
      </c>
      <c r="P2141" s="300">
        <v>6.0</v>
      </c>
    </row>
    <row r="2142">
      <c r="A2142">
        <f>IFERROR(__xludf.DUMMYFUNCTION("""COMPUTED_VALUE"""),9.0)</f>
        <v>9</v>
      </c>
      <c r="B2142" s="406">
        <f>IFERROR(__xludf.DUMMYFUNCTION("""COMPUTED_VALUE"""),29073.0)</f>
        <v>29073</v>
      </c>
      <c r="C2142" t="str">
        <f>IFERROR(__xludf.DUMMYFUNCTION("""COMPUTED_VALUE"""),"MARRERO MARTA, ALINA")</f>
        <v>MARRERO MARTA, ALINA</v>
      </c>
      <c r="D2142" t="str">
        <f>IFERROR(__xludf.DUMMYFUNCTION("""COMPUTED_VALUE"""),"PE 9")</f>
        <v>PE 9</v>
      </c>
      <c r="E2142" s="3">
        <f>IFERROR(__xludf.DUMMYFUNCTION("""COMPUTED_VALUE"""),4.0)</f>
        <v>4</v>
      </c>
      <c r="F2142" s="300">
        <v>1.0</v>
      </c>
      <c r="G2142" s="300">
        <v>1.0</v>
      </c>
      <c r="H2142" s="300">
        <v>1.0</v>
      </c>
      <c r="I2142" s="300">
        <v>1.0</v>
      </c>
      <c r="J2142" s="300">
        <v>1.0</v>
      </c>
      <c r="K2142" s="300">
        <v>1.0</v>
      </c>
      <c r="L2142" s="300">
        <v>1.0</v>
      </c>
      <c r="M2142" s="300">
        <v>1.0</v>
      </c>
      <c r="N2142" s="300">
        <v>8.0</v>
      </c>
      <c r="O2142" s="300" t="s">
        <v>896</v>
      </c>
      <c r="P2142" s="300">
        <v>6.0</v>
      </c>
    </row>
    <row r="2143">
      <c r="A2143">
        <f>IFERROR(__xludf.DUMMYFUNCTION("""COMPUTED_VALUE"""),9.0)</f>
        <v>9</v>
      </c>
      <c r="B2143" s="406">
        <f>IFERROR(__xludf.DUMMYFUNCTION("""COMPUTED_VALUE"""),29065.0)</f>
        <v>29065</v>
      </c>
      <c r="C2143" t="str">
        <f>IFERROR(__xludf.DUMMYFUNCTION("""COMPUTED_VALUE"""),"LONDOÑO CUARTAS, TOMAS")</f>
        <v>LONDOÑO CUARTAS, TOMAS</v>
      </c>
      <c r="D2143" t="str">
        <f>IFERROR(__xludf.DUMMYFUNCTION("""COMPUTED_VALUE"""),"PE 9")</f>
        <v>PE 9</v>
      </c>
      <c r="E2143" s="3">
        <f>IFERROR(__xludf.DUMMYFUNCTION("""COMPUTED_VALUE"""),6.0)</f>
        <v>6</v>
      </c>
      <c r="F2143" s="300">
        <v>1.0</v>
      </c>
      <c r="G2143" s="300">
        <v>1.0</v>
      </c>
      <c r="H2143" s="300">
        <v>1.0</v>
      </c>
      <c r="I2143" s="300">
        <v>1.0</v>
      </c>
      <c r="J2143" s="300">
        <v>1.0</v>
      </c>
      <c r="K2143" s="300">
        <v>1.0</v>
      </c>
      <c r="L2143" s="300">
        <v>1.0</v>
      </c>
      <c r="M2143" s="300">
        <v>1.0</v>
      </c>
      <c r="N2143" s="300">
        <v>8.0</v>
      </c>
      <c r="O2143" s="300" t="s">
        <v>898</v>
      </c>
      <c r="P2143" s="300">
        <v>6.0</v>
      </c>
    </row>
    <row r="2144">
      <c r="A2144">
        <f>IFERROR(__xludf.DUMMYFUNCTION("""COMPUTED_VALUE"""),9.0)</f>
        <v>9</v>
      </c>
      <c r="B2144" s="406">
        <f>IFERROR(__xludf.DUMMYFUNCTION("""COMPUTED_VALUE"""),29101.0)</f>
        <v>29101</v>
      </c>
      <c r="C2144" t="str">
        <f>IFERROR(__xludf.DUMMYFUNCTION("""COMPUTED_VALUE"""),"ROBLES MARTINEZ, MARIA")</f>
        <v>ROBLES MARTINEZ, MARIA</v>
      </c>
      <c r="D2144" t="str">
        <f>IFERROR(__xludf.DUMMYFUNCTION("""COMPUTED_VALUE"""),"PE 9")</f>
        <v>PE 9</v>
      </c>
      <c r="E2144" s="3">
        <f>IFERROR(__xludf.DUMMYFUNCTION("""COMPUTED_VALUE"""),6.0)</f>
        <v>6</v>
      </c>
      <c r="F2144" s="300">
        <v>1.0</v>
      </c>
      <c r="G2144" s="300">
        <v>1.0</v>
      </c>
      <c r="H2144" s="300">
        <v>1.0</v>
      </c>
      <c r="I2144" s="300">
        <v>1.0</v>
      </c>
      <c r="J2144" s="300">
        <v>1.0</v>
      </c>
      <c r="K2144" s="300">
        <v>1.0</v>
      </c>
      <c r="L2144" s="300">
        <v>1.0</v>
      </c>
      <c r="M2144" s="300">
        <v>1.0</v>
      </c>
      <c r="N2144" s="300">
        <v>8.0</v>
      </c>
      <c r="O2144" s="300" t="s">
        <v>898</v>
      </c>
      <c r="P2144" s="300">
        <v>6.0</v>
      </c>
    </row>
    <row r="2145">
      <c r="A2145">
        <f>IFERROR(__xludf.DUMMYFUNCTION("""COMPUTED_VALUE"""),9.0)</f>
        <v>9</v>
      </c>
      <c r="B2145" s="406">
        <f>IFERROR(__xludf.DUMMYFUNCTION("""COMPUTED_VALUE"""),29036.0)</f>
        <v>29036</v>
      </c>
      <c r="C2145" t="str">
        <f>IFERROR(__xludf.DUMMYFUNCTION("""COMPUTED_VALUE"""),"ECHEVERRI ESCOBAR, RODRIGO")</f>
        <v>ECHEVERRI ESCOBAR, RODRIGO</v>
      </c>
      <c r="D2145" t="str">
        <f>IFERROR(__xludf.DUMMYFUNCTION("""COMPUTED_VALUE"""),"PE 9")</f>
        <v>PE 9</v>
      </c>
      <c r="E2145" s="3">
        <f>IFERROR(__xludf.DUMMYFUNCTION("""COMPUTED_VALUE"""),5.0)</f>
        <v>5</v>
      </c>
      <c r="F2145" s="300">
        <v>1.0</v>
      </c>
      <c r="G2145" s="300">
        <v>1.0</v>
      </c>
      <c r="H2145" s="300">
        <v>1.0</v>
      </c>
      <c r="I2145" s="300">
        <v>1.0</v>
      </c>
      <c r="J2145" s="300">
        <v>1.0</v>
      </c>
      <c r="K2145" s="300">
        <v>1.0</v>
      </c>
      <c r="L2145" s="300">
        <v>1.0</v>
      </c>
      <c r="M2145" s="300">
        <v>1.0</v>
      </c>
      <c r="N2145" s="300">
        <v>8.0</v>
      </c>
      <c r="O2145" s="300" t="s">
        <v>897</v>
      </c>
      <c r="P2145" s="300">
        <v>6.0</v>
      </c>
    </row>
    <row r="2146">
      <c r="A2146">
        <f>IFERROR(__xludf.DUMMYFUNCTION("""COMPUTED_VALUE"""),9.0)</f>
        <v>9</v>
      </c>
      <c r="B2146" s="406">
        <f>IFERROR(__xludf.DUMMYFUNCTION("""COMPUTED_VALUE"""),29106.0)</f>
        <v>29106</v>
      </c>
      <c r="C2146" t="str">
        <f>IFERROR(__xludf.DUMMYFUNCTION("""COMPUTED_VALUE"""),"SANCHEZ DIAZ, SIMON")</f>
        <v>SANCHEZ DIAZ, SIMON</v>
      </c>
      <c r="D2146" t="str">
        <f>IFERROR(__xludf.DUMMYFUNCTION("""COMPUTED_VALUE"""),"PE 9")</f>
        <v>PE 9</v>
      </c>
      <c r="E2146" s="3">
        <f>IFERROR(__xludf.DUMMYFUNCTION("""COMPUTED_VALUE"""),8.0)</f>
        <v>8</v>
      </c>
      <c r="F2146" s="300">
        <v>1.0</v>
      </c>
      <c r="G2146" s="300">
        <v>1.0</v>
      </c>
      <c r="H2146" s="300">
        <v>1.0</v>
      </c>
      <c r="I2146" s="300">
        <v>1.0</v>
      </c>
      <c r="J2146" s="300">
        <v>1.0</v>
      </c>
      <c r="K2146" s="300">
        <v>1.0</v>
      </c>
      <c r="L2146" s="300">
        <v>1.0</v>
      </c>
      <c r="M2146" s="300">
        <v>1.0</v>
      </c>
      <c r="N2146" s="300">
        <v>8.0</v>
      </c>
      <c r="O2146" s="300" t="s">
        <v>901</v>
      </c>
      <c r="P2146" s="300">
        <v>6.0</v>
      </c>
    </row>
    <row r="2147">
      <c r="A2147">
        <f>IFERROR(__xludf.DUMMYFUNCTION("""COMPUTED_VALUE"""),9.0)</f>
        <v>9</v>
      </c>
      <c r="B2147" s="406">
        <f>IFERROR(__xludf.DUMMYFUNCTION("""COMPUTED_VALUE"""),29067.0)</f>
        <v>29067</v>
      </c>
      <c r="C2147" t="str">
        <f>IFERROR(__xludf.DUMMYFUNCTION("""COMPUTED_VALUE"""),"LOPEZ ESCOBAR, VALENTIN")</f>
        <v>LOPEZ ESCOBAR, VALENTIN</v>
      </c>
      <c r="D2147" t="str">
        <f>IFERROR(__xludf.DUMMYFUNCTION("""COMPUTED_VALUE"""),"PE 9")</f>
        <v>PE 9</v>
      </c>
      <c r="E2147" s="3">
        <f>IFERROR(__xludf.DUMMYFUNCTION("""COMPUTED_VALUE"""),6.0)</f>
        <v>6</v>
      </c>
      <c r="F2147" s="300">
        <v>1.0</v>
      </c>
      <c r="G2147" s="300">
        <v>1.0</v>
      </c>
      <c r="H2147" s="300">
        <v>1.0</v>
      </c>
      <c r="I2147" s="300">
        <v>1.0</v>
      </c>
      <c r="J2147" s="300">
        <v>1.0</v>
      </c>
      <c r="K2147" s="300">
        <v>1.0</v>
      </c>
      <c r="L2147" s="300">
        <v>1.0</v>
      </c>
      <c r="M2147" s="300">
        <v>1.0</v>
      </c>
      <c r="N2147" s="300">
        <v>8.0</v>
      </c>
      <c r="O2147" s="300" t="s">
        <v>898</v>
      </c>
      <c r="P2147" s="300">
        <v>6.0</v>
      </c>
    </row>
    <row r="2148">
      <c r="A2148">
        <f>IFERROR(__xludf.DUMMYFUNCTION("""COMPUTED_VALUE"""),9.0)</f>
        <v>9</v>
      </c>
      <c r="B2148" s="406">
        <f>IFERROR(__xludf.DUMMYFUNCTION("""COMPUTED_VALUE"""),28023.0)</f>
        <v>28023</v>
      </c>
      <c r="C2148" t="str">
        <f>IFERROR(__xludf.DUMMYFUNCTION("""COMPUTED_VALUE"""),"CLAVIJO GIRALDO, LORENZO")</f>
        <v>CLAVIJO GIRALDO, LORENZO</v>
      </c>
      <c r="D2148" t="str">
        <f>IFERROR(__xludf.DUMMYFUNCTION("""COMPUTED_VALUE"""),"PE 9")</f>
        <v>PE 9</v>
      </c>
      <c r="E2148" s="3">
        <f>IFERROR(__xludf.DUMMYFUNCTION("""COMPUTED_VALUE"""),8.0)</f>
        <v>8</v>
      </c>
      <c r="F2148" s="300">
        <v>1.0</v>
      </c>
      <c r="G2148" s="300">
        <v>1.0</v>
      </c>
      <c r="H2148" s="300">
        <v>1.0</v>
      </c>
      <c r="I2148" s="300">
        <v>1.0</v>
      </c>
      <c r="J2148" s="300">
        <v>1.0</v>
      </c>
      <c r="K2148" s="300">
        <v>1.0</v>
      </c>
      <c r="L2148" s="300">
        <v>1.0</v>
      </c>
      <c r="M2148" s="300">
        <v>1.0</v>
      </c>
      <c r="N2148" s="300">
        <v>8.0</v>
      </c>
      <c r="O2148" s="300" t="s">
        <v>901</v>
      </c>
      <c r="P2148" s="300">
        <v>6.0</v>
      </c>
    </row>
    <row r="2149">
      <c r="A2149">
        <f>IFERROR(__xludf.DUMMYFUNCTION("""COMPUTED_VALUE"""),9.0)</f>
        <v>9</v>
      </c>
      <c r="B2149" s="406">
        <f>IFERROR(__xludf.DUMMYFUNCTION("""COMPUTED_VALUE"""),29145.0)</f>
        <v>29145</v>
      </c>
      <c r="C2149" t="str">
        <f>IFERROR(__xludf.DUMMYFUNCTION("""COMPUTED_VALUE"""),"VELASQUEZ GUTIERREZ, SAMUEL")</f>
        <v>VELASQUEZ GUTIERREZ, SAMUEL</v>
      </c>
      <c r="D2149" t="str">
        <f>IFERROR(__xludf.DUMMYFUNCTION("""COMPUTED_VALUE"""),"PE 9")</f>
        <v>PE 9</v>
      </c>
      <c r="E2149" s="3">
        <f>IFERROR(__xludf.DUMMYFUNCTION("""COMPUTED_VALUE"""),1.0)</f>
        <v>1</v>
      </c>
      <c r="F2149" s="300">
        <v>1.0</v>
      </c>
      <c r="G2149" s="300">
        <v>1.0</v>
      </c>
      <c r="H2149" s="300">
        <v>1.0</v>
      </c>
      <c r="I2149" s="300">
        <v>1.0</v>
      </c>
      <c r="J2149" s="300">
        <v>1.0</v>
      </c>
      <c r="K2149" s="300">
        <v>1.0</v>
      </c>
      <c r="L2149" s="300">
        <v>1.0</v>
      </c>
      <c r="M2149" s="300">
        <v>1.0</v>
      </c>
      <c r="N2149" s="300">
        <v>8.0</v>
      </c>
      <c r="O2149" s="300" t="s">
        <v>900</v>
      </c>
      <c r="P2149" s="300">
        <v>6.0</v>
      </c>
    </row>
    <row r="2150">
      <c r="A2150">
        <f>IFERROR(__xludf.DUMMYFUNCTION("""COMPUTED_VALUE"""),9.0)</f>
        <v>9</v>
      </c>
      <c r="B2150" s="406">
        <f>IFERROR(__xludf.DUMMYFUNCTION("""COMPUTED_VALUE"""),29061.0)</f>
        <v>29061</v>
      </c>
      <c r="C2150" t="str">
        <f>IFERROR(__xludf.DUMMYFUNCTION("""COMPUTED_VALUE"""),"JARAMILLO OSPINA, MANUEL")</f>
        <v>JARAMILLO OSPINA, MANUEL</v>
      </c>
      <c r="D2150" t="str">
        <f>IFERROR(__xludf.DUMMYFUNCTION("""COMPUTED_VALUE"""),"PE 9")</f>
        <v>PE 9</v>
      </c>
      <c r="E2150" s="3">
        <f>IFERROR(__xludf.DUMMYFUNCTION("""COMPUTED_VALUE"""),4.0)</f>
        <v>4</v>
      </c>
      <c r="F2150" s="300">
        <v>1.0</v>
      </c>
      <c r="G2150" s="300">
        <v>1.0</v>
      </c>
      <c r="H2150" s="300">
        <v>1.0</v>
      </c>
      <c r="I2150" s="300">
        <v>1.0</v>
      </c>
      <c r="J2150" s="300">
        <v>1.0</v>
      </c>
      <c r="K2150" s="300">
        <v>1.0</v>
      </c>
      <c r="L2150" s="300">
        <v>1.0</v>
      </c>
      <c r="M2150" s="300">
        <v>1.0</v>
      </c>
      <c r="N2150" s="300">
        <v>8.0</v>
      </c>
      <c r="O2150" s="300" t="s">
        <v>896</v>
      </c>
      <c r="P2150" s="300">
        <v>6.0</v>
      </c>
    </row>
    <row r="2151">
      <c r="A2151">
        <f>IFERROR(__xludf.DUMMYFUNCTION("""COMPUTED_VALUE"""),9.0)</f>
        <v>9</v>
      </c>
      <c r="B2151" s="406">
        <f>IFERROR(__xludf.DUMMYFUNCTION("""COMPUTED_VALUE"""),29046.0)</f>
        <v>29046</v>
      </c>
      <c r="C2151" t="str">
        <f>IFERROR(__xludf.DUMMYFUNCTION("""COMPUTED_VALUE"""),"GONZALEZ LOPEZ, SAMUEL")</f>
        <v>GONZALEZ LOPEZ, SAMUEL</v>
      </c>
      <c r="D2151" t="str">
        <f>IFERROR(__xludf.DUMMYFUNCTION("""COMPUTED_VALUE"""),"PE 9")</f>
        <v>PE 9</v>
      </c>
      <c r="E2151" s="3">
        <f>IFERROR(__xludf.DUMMYFUNCTION("""COMPUTED_VALUE"""),4.0)</f>
        <v>4</v>
      </c>
      <c r="F2151" s="300">
        <v>1.0</v>
      </c>
      <c r="G2151" s="300">
        <v>1.0</v>
      </c>
      <c r="H2151" s="300">
        <v>1.0</v>
      </c>
      <c r="I2151" s="300">
        <v>1.0</v>
      </c>
      <c r="J2151" s="300">
        <v>1.0</v>
      </c>
      <c r="K2151" s="300">
        <v>1.0</v>
      </c>
      <c r="L2151" s="300">
        <v>1.0</v>
      </c>
      <c r="M2151" s="300">
        <v>1.0</v>
      </c>
      <c r="N2151" s="300">
        <v>8.0</v>
      </c>
      <c r="O2151" s="300" t="s">
        <v>896</v>
      </c>
      <c r="P2151" s="300">
        <v>6.0</v>
      </c>
    </row>
    <row r="2152">
      <c r="A2152">
        <f>IFERROR(__xludf.DUMMYFUNCTION("""COMPUTED_VALUE"""),9.0)</f>
        <v>9</v>
      </c>
      <c r="B2152" s="406">
        <f>IFERROR(__xludf.DUMMYFUNCTION("""COMPUTED_VALUE"""),29143.0)</f>
        <v>29143</v>
      </c>
      <c r="C2152" t="str">
        <f>IFERROR(__xludf.DUMMYFUNCTION("""COMPUTED_VALUE"""),"MOLANO MESA, CARMEN")</f>
        <v>MOLANO MESA, CARMEN</v>
      </c>
      <c r="D2152" t="str">
        <f>IFERROR(__xludf.DUMMYFUNCTION("""COMPUTED_VALUE"""),"PE 9")</f>
        <v>PE 9</v>
      </c>
      <c r="E2152" s="3">
        <f>IFERROR(__xludf.DUMMYFUNCTION("""COMPUTED_VALUE"""),1.0)</f>
        <v>1</v>
      </c>
      <c r="F2152" s="300">
        <v>1.0</v>
      </c>
      <c r="G2152" s="300">
        <v>1.0</v>
      </c>
      <c r="H2152" s="300">
        <v>1.0</v>
      </c>
      <c r="I2152" s="300">
        <v>1.0</v>
      </c>
      <c r="J2152" s="300">
        <v>1.0</v>
      </c>
      <c r="K2152" s="300">
        <v>1.0</v>
      </c>
      <c r="L2152" s="300">
        <v>1.0</v>
      </c>
      <c r="M2152" s="300">
        <v>1.0</v>
      </c>
      <c r="N2152" s="300">
        <v>8.0</v>
      </c>
      <c r="O2152" s="300" t="s">
        <v>900</v>
      </c>
      <c r="P2152" s="300">
        <v>6.0</v>
      </c>
    </row>
    <row r="2153">
      <c r="A2153">
        <f>IFERROR(__xludf.DUMMYFUNCTION("""COMPUTED_VALUE"""),9.0)</f>
        <v>9</v>
      </c>
      <c r="B2153" s="406">
        <f>IFERROR(__xludf.DUMMYFUNCTION("""COMPUTED_VALUE"""),29109.0)</f>
        <v>29109</v>
      </c>
      <c r="C2153" t="str">
        <f>IFERROR(__xludf.DUMMYFUNCTION("""COMPUTED_VALUE"""),"SERANI ANGEL, LUCIANA")</f>
        <v>SERANI ANGEL, LUCIANA</v>
      </c>
      <c r="D2153" t="str">
        <f>IFERROR(__xludf.DUMMYFUNCTION("""COMPUTED_VALUE"""),"PE 9")</f>
        <v>PE 9</v>
      </c>
      <c r="E2153" s="3">
        <f>IFERROR(__xludf.DUMMYFUNCTION("""COMPUTED_VALUE"""),2.0)</f>
        <v>2</v>
      </c>
      <c r="F2153" s="300">
        <v>1.0</v>
      </c>
      <c r="G2153" s="300">
        <v>1.0</v>
      </c>
      <c r="H2153" s="300">
        <v>1.0</v>
      </c>
      <c r="I2153" s="300">
        <v>1.0</v>
      </c>
      <c r="J2153" s="300">
        <v>1.0</v>
      </c>
      <c r="K2153" s="300">
        <v>1.0</v>
      </c>
      <c r="L2153" s="300">
        <v>1.0</v>
      </c>
      <c r="M2153" s="300">
        <v>1.0</v>
      </c>
      <c r="N2153" s="300">
        <v>8.0</v>
      </c>
      <c r="O2153" s="300" t="s">
        <v>899</v>
      </c>
      <c r="P2153" s="300">
        <v>6.0</v>
      </c>
    </row>
    <row r="2154">
      <c r="A2154">
        <f>IFERROR(__xludf.DUMMYFUNCTION("""COMPUTED_VALUE"""),9.0)</f>
        <v>9</v>
      </c>
      <c r="B2154" s="406">
        <f>IFERROR(__xludf.DUMMYFUNCTION("""COMPUTED_VALUE"""),29037.0)</f>
        <v>29037</v>
      </c>
      <c r="C2154" t="str">
        <f>IFERROR(__xludf.DUMMYFUNCTION("""COMPUTED_VALUE"""),"ESCOBAR INFANTINO, RAQUEL")</f>
        <v>ESCOBAR INFANTINO, RAQUEL</v>
      </c>
      <c r="D2154" t="str">
        <f>IFERROR(__xludf.DUMMYFUNCTION("""COMPUTED_VALUE"""),"PE 9")</f>
        <v>PE 9</v>
      </c>
      <c r="E2154" s="3">
        <f>IFERROR(__xludf.DUMMYFUNCTION("""COMPUTED_VALUE"""),2.0)</f>
        <v>2</v>
      </c>
      <c r="F2154" s="300">
        <v>1.0</v>
      </c>
      <c r="G2154" s="300">
        <v>1.0</v>
      </c>
      <c r="H2154" s="300">
        <v>1.0</v>
      </c>
      <c r="I2154" s="300">
        <v>1.0</v>
      </c>
      <c r="J2154" s="300">
        <v>1.0</v>
      </c>
      <c r="K2154" s="300">
        <v>1.0</v>
      </c>
      <c r="L2154" s="300">
        <v>1.0</v>
      </c>
      <c r="M2154" s="300">
        <v>1.0</v>
      </c>
      <c r="N2154" s="300">
        <v>8.0</v>
      </c>
      <c r="O2154" s="300" t="s">
        <v>899</v>
      </c>
      <c r="P2154" s="300">
        <v>6.0</v>
      </c>
    </row>
    <row r="2155">
      <c r="A2155">
        <f>IFERROR(__xludf.DUMMYFUNCTION("""COMPUTED_VALUE"""),9.0)</f>
        <v>9</v>
      </c>
      <c r="B2155" s="406">
        <f>IFERROR(__xludf.DUMMYFUNCTION("""COMPUTED_VALUE"""),29159.0)</f>
        <v>29159</v>
      </c>
      <c r="C2155" t="str">
        <f>IFERROR(__xludf.DUMMYFUNCTION("""COMPUTED_VALUE"""),"PACHECO GARCIA, MARIANA")</f>
        <v>PACHECO GARCIA, MARIANA</v>
      </c>
      <c r="D2155" t="str">
        <f>IFERROR(__xludf.DUMMYFUNCTION("""COMPUTED_VALUE"""),"PE 9")</f>
        <v>PE 9</v>
      </c>
      <c r="E2155" s="3">
        <f>IFERROR(__xludf.DUMMYFUNCTION("""COMPUTED_VALUE"""),6.0)</f>
        <v>6</v>
      </c>
      <c r="F2155" s="300">
        <v>1.0</v>
      </c>
      <c r="G2155" s="300">
        <v>1.0</v>
      </c>
      <c r="H2155" s="300">
        <v>1.0</v>
      </c>
      <c r="I2155" s="300">
        <v>1.0</v>
      </c>
      <c r="J2155" s="300">
        <v>1.0</v>
      </c>
      <c r="K2155" s="300">
        <v>1.0</v>
      </c>
      <c r="L2155" s="300">
        <v>1.0</v>
      </c>
      <c r="M2155" s="300">
        <v>1.0</v>
      </c>
      <c r="N2155" s="300">
        <v>8.0</v>
      </c>
      <c r="O2155" s="300" t="s">
        <v>898</v>
      </c>
      <c r="P2155" s="300">
        <v>6.0</v>
      </c>
    </row>
    <row r="2156">
      <c r="A2156">
        <f>IFERROR(__xludf.DUMMYFUNCTION("""COMPUTED_VALUE"""),9.0)</f>
        <v>9</v>
      </c>
      <c r="B2156" s="406">
        <f>IFERROR(__xludf.DUMMYFUNCTION("""COMPUTED_VALUE"""),29142.0)</f>
        <v>29142</v>
      </c>
      <c r="C2156" t="str">
        <f>IFERROR(__xludf.DUMMYFUNCTION("""COMPUTED_VALUE"""),"TOBON CARMONA, JACOBO")</f>
        <v>TOBON CARMONA, JACOBO</v>
      </c>
      <c r="D2156" t="str">
        <f>IFERROR(__xludf.DUMMYFUNCTION("""COMPUTED_VALUE"""),"PE 9")</f>
        <v>PE 9</v>
      </c>
      <c r="E2156" s="3">
        <f>IFERROR(__xludf.DUMMYFUNCTION("""COMPUTED_VALUE"""),5.0)</f>
        <v>5</v>
      </c>
      <c r="F2156" s="300">
        <v>1.0</v>
      </c>
      <c r="G2156" s="300">
        <v>1.0</v>
      </c>
      <c r="H2156" s="300">
        <v>1.0</v>
      </c>
      <c r="I2156" s="300">
        <v>1.0</v>
      </c>
      <c r="J2156" s="300">
        <v>1.0</v>
      </c>
      <c r="K2156" s="300">
        <v>1.0</v>
      </c>
      <c r="L2156" s="300">
        <v>1.0</v>
      </c>
      <c r="M2156" s="300">
        <v>1.0</v>
      </c>
      <c r="N2156" s="300">
        <v>8.0</v>
      </c>
      <c r="O2156" s="300" t="s">
        <v>897</v>
      </c>
      <c r="P2156" s="300">
        <v>6.0</v>
      </c>
    </row>
    <row r="2157">
      <c r="A2157">
        <f>IFERROR(__xludf.DUMMYFUNCTION("""COMPUTED_VALUE"""),9.0)</f>
        <v>9</v>
      </c>
      <c r="B2157" s="406">
        <f>IFERROR(__xludf.DUMMYFUNCTION("""COMPUTED_VALUE"""),29132.0)</f>
        <v>29132</v>
      </c>
      <c r="C2157" t="str">
        <f>IFERROR(__xludf.DUMMYFUNCTION("""COMPUTED_VALUE"""),"VILLEGAS MEJIA, SIMON")</f>
        <v>VILLEGAS MEJIA, SIMON</v>
      </c>
      <c r="D2157" t="str">
        <f>IFERROR(__xludf.DUMMYFUNCTION("""COMPUTED_VALUE"""),"PE 9")</f>
        <v>PE 9</v>
      </c>
      <c r="E2157" s="3">
        <f>IFERROR(__xludf.DUMMYFUNCTION("""COMPUTED_VALUE"""),4.0)</f>
        <v>4</v>
      </c>
      <c r="F2157" s="300">
        <v>1.0</v>
      </c>
      <c r="G2157" s="300">
        <v>1.0</v>
      </c>
      <c r="H2157" s="300">
        <v>1.0</v>
      </c>
      <c r="I2157" s="300">
        <v>1.0</v>
      </c>
      <c r="J2157" s="300">
        <v>1.0</v>
      </c>
      <c r="K2157" s="300">
        <v>1.0</v>
      </c>
      <c r="L2157" s="300">
        <v>1.0</v>
      </c>
      <c r="M2157" s="300">
        <v>1.0</v>
      </c>
      <c r="N2157" s="300">
        <v>8.0</v>
      </c>
      <c r="O2157" s="300" t="s">
        <v>896</v>
      </c>
      <c r="P2157" s="300">
        <v>6.0</v>
      </c>
    </row>
    <row r="2158">
      <c r="A2158">
        <f>IFERROR(__xludf.DUMMYFUNCTION("""COMPUTED_VALUE"""),9.0)</f>
        <v>9</v>
      </c>
      <c r="B2158" s="406">
        <f>IFERROR(__xludf.DUMMYFUNCTION("""COMPUTED_VALUE"""),29027.0)</f>
        <v>29027</v>
      </c>
      <c r="C2158" t="str">
        <f>IFERROR(__xludf.DUMMYFUNCTION("""COMPUTED_VALUE"""),"CARDONA VELEZ, MATIAS")</f>
        <v>CARDONA VELEZ, MATIAS</v>
      </c>
      <c r="D2158" t="str">
        <f>IFERROR(__xludf.DUMMYFUNCTION("""COMPUTED_VALUE"""),"PE 9")</f>
        <v>PE 9</v>
      </c>
      <c r="E2158" s="3">
        <f>IFERROR(__xludf.DUMMYFUNCTION("""COMPUTED_VALUE"""),5.0)</f>
        <v>5</v>
      </c>
      <c r="F2158" s="300">
        <v>1.0</v>
      </c>
      <c r="G2158" s="300">
        <v>1.0</v>
      </c>
      <c r="H2158" s="300">
        <v>1.0</v>
      </c>
      <c r="I2158" s="300">
        <v>1.0</v>
      </c>
      <c r="J2158" s="300">
        <v>1.0</v>
      </c>
      <c r="K2158" s="300">
        <v>1.0</v>
      </c>
      <c r="L2158" s="300">
        <v>1.0</v>
      </c>
      <c r="M2158" s="300">
        <v>1.0</v>
      </c>
      <c r="N2158" s="300">
        <v>8.0</v>
      </c>
      <c r="O2158" s="300" t="s">
        <v>897</v>
      </c>
      <c r="P2158" s="300">
        <v>6.0</v>
      </c>
    </row>
    <row r="2159">
      <c r="A2159">
        <f>IFERROR(__xludf.DUMMYFUNCTION("""COMPUTED_VALUE"""),9.0)</f>
        <v>9</v>
      </c>
      <c r="B2159" s="406">
        <f>IFERROR(__xludf.DUMMYFUNCTION("""COMPUTED_VALUE"""),29024.0)</f>
        <v>29024</v>
      </c>
      <c r="C2159" t="str">
        <f>IFERROR(__xludf.DUMMYFUNCTION("""COMPUTED_VALUE"""),"CADAVID RESTREPO, LUIS FERNANDO")</f>
        <v>CADAVID RESTREPO, LUIS FERNANDO</v>
      </c>
      <c r="D2159" t="str">
        <f>IFERROR(__xludf.DUMMYFUNCTION("""COMPUTED_VALUE"""),"PE 9")</f>
        <v>PE 9</v>
      </c>
      <c r="E2159" s="3">
        <f>IFERROR(__xludf.DUMMYFUNCTION("""COMPUTED_VALUE"""),1.0)</f>
        <v>1</v>
      </c>
      <c r="F2159" s="300">
        <v>1.0</v>
      </c>
      <c r="G2159" s="300">
        <v>1.0</v>
      </c>
      <c r="H2159" s="300">
        <v>1.0</v>
      </c>
      <c r="I2159" s="300">
        <v>1.0</v>
      </c>
      <c r="J2159" s="300">
        <v>1.0</v>
      </c>
      <c r="K2159" s="300">
        <v>1.0</v>
      </c>
      <c r="L2159" s="300">
        <v>1.0</v>
      </c>
      <c r="M2159" s="300">
        <v>1.0</v>
      </c>
      <c r="N2159" s="300">
        <v>8.0</v>
      </c>
      <c r="O2159" s="300" t="s">
        <v>900</v>
      </c>
      <c r="P2159" s="300">
        <v>6.0</v>
      </c>
    </row>
    <row r="2160">
      <c r="A2160">
        <f>IFERROR(__xludf.DUMMYFUNCTION("""COMPUTED_VALUE"""),9.0)</f>
        <v>9</v>
      </c>
      <c r="B2160" s="406">
        <f>IFERROR(__xludf.DUMMYFUNCTION("""COMPUTED_VALUE"""),29042.0)</f>
        <v>29042</v>
      </c>
      <c r="C2160" t="str">
        <f>IFERROR(__xludf.DUMMYFUNCTION("""COMPUTED_VALUE"""),"GOMEZ MIRA, GREGORIO")</f>
        <v>GOMEZ MIRA, GREGORIO</v>
      </c>
      <c r="D2160" t="str">
        <f>IFERROR(__xludf.DUMMYFUNCTION("""COMPUTED_VALUE"""),"PE 9")</f>
        <v>PE 9</v>
      </c>
      <c r="E2160" s="3">
        <f>IFERROR(__xludf.DUMMYFUNCTION("""COMPUTED_VALUE"""),8.0)</f>
        <v>8</v>
      </c>
      <c r="F2160" s="300">
        <v>1.0</v>
      </c>
      <c r="G2160" s="300">
        <v>1.0</v>
      </c>
      <c r="H2160" s="300">
        <v>1.0</v>
      </c>
      <c r="I2160" s="300">
        <v>1.0</v>
      </c>
      <c r="J2160" s="300">
        <v>1.0</v>
      </c>
      <c r="K2160" s="300">
        <v>1.0</v>
      </c>
      <c r="L2160" s="300">
        <v>1.0</v>
      </c>
      <c r="M2160" s="300">
        <v>1.0</v>
      </c>
      <c r="N2160" s="300">
        <v>8.0</v>
      </c>
      <c r="O2160" s="300" t="s">
        <v>901</v>
      </c>
      <c r="P2160" s="300">
        <v>6.0</v>
      </c>
    </row>
    <row r="2161">
      <c r="A2161">
        <f>IFERROR(__xludf.DUMMYFUNCTION("""COMPUTED_VALUE"""),9.0)</f>
        <v>9</v>
      </c>
      <c r="B2161" s="406">
        <f>IFERROR(__xludf.DUMMYFUNCTION("""COMPUTED_VALUE"""),29120.0)</f>
        <v>29120</v>
      </c>
      <c r="C2161" t="str">
        <f>IFERROR(__xludf.DUMMYFUNCTION("""COMPUTED_VALUE"""),"URIBE JARAMILLO, PEDRO JUAN")</f>
        <v>URIBE JARAMILLO, PEDRO JUAN</v>
      </c>
      <c r="D2161" t="str">
        <f>IFERROR(__xludf.DUMMYFUNCTION("""COMPUTED_VALUE"""),"PE 9")</f>
        <v>PE 9</v>
      </c>
      <c r="E2161" s="3">
        <f>IFERROR(__xludf.DUMMYFUNCTION("""COMPUTED_VALUE"""),6.0)</f>
        <v>6</v>
      </c>
      <c r="F2161" s="300">
        <v>1.0</v>
      </c>
      <c r="G2161" s="300">
        <v>1.0</v>
      </c>
      <c r="H2161" s="300">
        <v>1.0</v>
      </c>
      <c r="I2161" s="300">
        <v>1.0</v>
      </c>
      <c r="J2161" s="300">
        <v>1.0</v>
      </c>
      <c r="K2161" s="300">
        <v>1.0</v>
      </c>
      <c r="L2161" s="300">
        <v>1.0</v>
      </c>
      <c r="M2161" s="300">
        <v>1.0</v>
      </c>
      <c r="N2161" s="300">
        <v>8.0</v>
      </c>
      <c r="O2161" s="300" t="s">
        <v>898</v>
      </c>
      <c r="P2161" s="300">
        <v>6.0</v>
      </c>
    </row>
    <row r="2162">
      <c r="A2162">
        <f>IFERROR(__xludf.DUMMYFUNCTION("""COMPUTED_VALUE"""),9.0)</f>
        <v>9</v>
      </c>
      <c r="B2162" s="406">
        <f>IFERROR(__xludf.DUMMYFUNCTION("""COMPUTED_VALUE"""),29040.0)</f>
        <v>29040</v>
      </c>
      <c r="C2162" t="str">
        <f>IFERROR(__xludf.DUMMYFUNCTION("""COMPUTED_VALUE"""),"ESTRADA ZAPATA, MARTIN")</f>
        <v>ESTRADA ZAPATA, MARTIN</v>
      </c>
      <c r="D2162" t="str">
        <f>IFERROR(__xludf.DUMMYFUNCTION("""COMPUTED_VALUE"""),"PE 9")</f>
        <v>PE 9</v>
      </c>
      <c r="E2162" s="3">
        <f>IFERROR(__xludf.DUMMYFUNCTION("""COMPUTED_VALUE"""),6.0)</f>
        <v>6</v>
      </c>
      <c r="F2162" s="300">
        <v>1.0</v>
      </c>
      <c r="G2162" s="300">
        <v>1.0</v>
      </c>
      <c r="H2162" s="300">
        <v>1.0</v>
      </c>
      <c r="I2162" s="300">
        <v>1.0</v>
      </c>
      <c r="J2162" s="300">
        <v>1.0</v>
      </c>
      <c r="K2162" s="300">
        <v>1.0</v>
      </c>
      <c r="L2162" s="300">
        <v>1.0</v>
      </c>
      <c r="M2162" s="300">
        <v>1.0</v>
      </c>
      <c r="N2162" s="300">
        <v>8.0</v>
      </c>
      <c r="O2162" s="300" t="s">
        <v>898</v>
      </c>
      <c r="P2162" s="300">
        <v>6.0</v>
      </c>
    </row>
    <row r="2163">
      <c r="A2163">
        <f>IFERROR(__xludf.DUMMYFUNCTION("""COMPUTED_VALUE"""),9.0)</f>
        <v>9</v>
      </c>
      <c r="B2163" s="406">
        <f>IFERROR(__xludf.DUMMYFUNCTION("""COMPUTED_VALUE"""),29057.0)</f>
        <v>29057</v>
      </c>
      <c r="C2163" t="str">
        <f>IFERROR(__xludf.DUMMYFUNCTION("""COMPUTED_VALUE"""),"JALLER TRUJILLO, KAMEL")</f>
        <v>JALLER TRUJILLO, KAMEL</v>
      </c>
      <c r="D2163" t="str">
        <f>IFERROR(__xludf.DUMMYFUNCTION("""COMPUTED_VALUE"""),"PE 9")</f>
        <v>PE 9</v>
      </c>
      <c r="E2163" s="3">
        <f>IFERROR(__xludf.DUMMYFUNCTION("""COMPUTED_VALUE"""),4.0)</f>
        <v>4</v>
      </c>
      <c r="F2163" s="300">
        <v>1.0</v>
      </c>
      <c r="G2163" s="300">
        <v>1.0</v>
      </c>
      <c r="H2163" s="300">
        <v>1.0</v>
      </c>
      <c r="I2163" s="300">
        <v>1.0</v>
      </c>
      <c r="J2163" s="300">
        <v>1.0</v>
      </c>
      <c r="K2163" s="300">
        <v>1.0</v>
      </c>
      <c r="L2163" s="300">
        <v>1.0</v>
      </c>
      <c r="M2163" s="300">
        <v>1.0</v>
      </c>
      <c r="N2163" s="300">
        <v>8.0</v>
      </c>
      <c r="O2163" s="300" t="s">
        <v>896</v>
      </c>
      <c r="P2163" s="300">
        <v>6.0</v>
      </c>
    </row>
    <row r="2164">
      <c r="A2164">
        <f>IFERROR(__xludf.DUMMYFUNCTION("""COMPUTED_VALUE"""),9.0)</f>
        <v>9</v>
      </c>
      <c r="B2164" s="406">
        <f>IFERROR(__xludf.DUMMYFUNCTION("""COMPUTED_VALUE"""),29092.0)</f>
        <v>29092</v>
      </c>
      <c r="C2164" t="str">
        <f>IFERROR(__xludf.DUMMYFUNCTION("""COMPUTED_VALUE"""),"TURIZZO BORRERO, CAMILO ANDRES")</f>
        <v>TURIZZO BORRERO, CAMILO ANDRES</v>
      </c>
      <c r="D2164" t="str">
        <f>IFERROR(__xludf.DUMMYFUNCTION("""COMPUTED_VALUE"""),"PE 9")</f>
        <v>PE 9</v>
      </c>
      <c r="E2164" s="3">
        <f>IFERROR(__xludf.DUMMYFUNCTION("""COMPUTED_VALUE"""),5.0)</f>
        <v>5</v>
      </c>
      <c r="F2164" s="300">
        <v>1.0</v>
      </c>
      <c r="G2164" s="300">
        <v>1.0</v>
      </c>
      <c r="H2164" s="300">
        <v>1.0</v>
      </c>
      <c r="I2164" s="300">
        <v>1.0</v>
      </c>
      <c r="J2164" s="300">
        <v>1.0</v>
      </c>
      <c r="K2164" s="300">
        <v>1.0</v>
      </c>
      <c r="L2164" s="300">
        <v>1.0</v>
      </c>
      <c r="M2164" s="300">
        <v>1.0</v>
      </c>
      <c r="N2164" s="300">
        <v>8.0</v>
      </c>
      <c r="O2164" s="300" t="s">
        <v>897</v>
      </c>
      <c r="P2164" s="300">
        <v>6.0</v>
      </c>
    </row>
    <row r="2165">
      <c r="A2165">
        <f>IFERROR(__xludf.DUMMYFUNCTION("""COMPUTED_VALUE"""),9.0)</f>
        <v>9</v>
      </c>
      <c r="B2165" s="406">
        <f>IFERROR(__xludf.DUMMYFUNCTION("""COMPUTED_VALUE"""),29129.0)</f>
        <v>29129</v>
      </c>
      <c r="C2165" t="str">
        <f>IFERROR(__xludf.DUMMYFUNCTION("""COMPUTED_VALUE"""),"VELEZ RESTREPO, SIMON")</f>
        <v>VELEZ RESTREPO, SIMON</v>
      </c>
      <c r="D2165" t="str">
        <f>IFERROR(__xludf.DUMMYFUNCTION("""COMPUTED_VALUE"""),"PE 9")</f>
        <v>PE 9</v>
      </c>
      <c r="E2165" s="3">
        <f>IFERROR(__xludf.DUMMYFUNCTION("""COMPUTED_VALUE"""),8.0)</f>
        <v>8</v>
      </c>
      <c r="F2165" s="300">
        <v>1.0</v>
      </c>
      <c r="G2165" s="300">
        <v>1.0</v>
      </c>
      <c r="H2165" s="300">
        <v>1.0</v>
      </c>
      <c r="I2165" s="300">
        <v>1.0</v>
      </c>
      <c r="J2165" s="300">
        <v>1.0</v>
      </c>
      <c r="K2165" s="300">
        <v>1.0</v>
      </c>
      <c r="L2165" s="300">
        <v>1.0</v>
      </c>
      <c r="M2165" s="300">
        <v>1.0</v>
      </c>
      <c r="N2165" s="300">
        <v>8.0</v>
      </c>
      <c r="O2165" s="300" t="s">
        <v>901</v>
      </c>
      <c r="P2165" s="300">
        <v>6.0</v>
      </c>
    </row>
    <row r="2166">
      <c r="A2166">
        <f>IFERROR(__xludf.DUMMYFUNCTION("""COMPUTED_VALUE"""),9.0)</f>
        <v>9</v>
      </c>
      <c r="B2166" s="406">
        <f>IFERROR(__xludf.DUMMYFUNCTION("""COMPUTED_VALUE"""),29002.0)</f>
        <v>29002</v>
      </c>
      <c r="C2166" t="str">
        <f>IFERROR(__xludf.DUMMYFUNCTION("""COMPUTED_VALUE"""),"ACEVEDO OCHOA, MARIA DEL MAR")</f>
        <v>ACEVEDO OCHOA, MARIA DEL MAR</v>
      </c>
      <c r="D2166" t="str">
        <f>IFERROR(__xludf.DUMMYFUNCTION("""COMPUTED_VALUE"""),"PE 9")</f>
        <v>PE 9</v>
      </c>
      <c r="E2166" s="3">
        <f>IFERROR(__xludf.DUMMYFUNCTION("""COMPUTED_VALUE"""),4.0)</f>
        <v>4</v>
      </c>
      <c r="F2166" s="300">
        <v>1.0</v>
      </c>
      <c r="G2166" s="300">
        <v>1.0</v>
      </c>
      <c r="H2166" s="300">
        <v>1.0</v>
      </c>
      <c r="I2166" s="300">
        <v>1.0</v>
      </c>
      <c r="J2166" s="300">
        <v>1.0</v>
      </c>
      <c r="K2166" s="300">
        <v>1.0</v>
      </c>
      <c r="L2166" s="300">
        <v>1.0</v>
      </c>
      <c r="M2166" s="300">
        <v>1.0</v>
      </c>
      <c r="N2166" s="300">
        <v>8.0</v>
      </c>
      <c r="O2166" s="300" t="s">
        <v>896</v>
      </c>
      <c r="P2166" s="300">
        <v>6.0</v>
      </c>
    </row>
    <row r="2167">
      <c r="A2167">
        <f>IFERROR(__xludf.DUMMYFUNCTION("""COMPUTED_VALUE"""),9.0)</f>
        <v>9</v>
      </c>
      <c r="B2167" s="406">
        <f>IFERROR(__xludf.DUMMYFUNCTION("""COMPUTED_VALUE"""),29099.0)</f>
        <v>29099</v>
      </c>
      <c r="C2167" t="str">
        <f>IFERROR(__xludf.DUMMYFUNCTION("""COMPUTED_VALUE"""),"RESTREPO RESTREPO, MATIAS")</f>
        <v>RESTREPO RESTREPO, MATIAS</v>
      </c>
      <c r="D2167" t="str">
        <f>IFERROR(__xludf.DUMMYFUNCTION("""COMPUTED_VALUE"""),"PE 9")</f>
        <v>PE 9</v>
      </c>
      <c r="E2167" s="3">
        <f>IFERROR(__xludf.DUMMYFUNCTION("""COMPUTED_VALUE"""),8.0)</f>
        <v>8</v>
      </c>
      <c r="F2167" s="300">
        <v>1.0</v>
      </c>
      <c r="G2167" s="300">
        <v>1.0</v>
      </c>
      <c r="H2167" s="300">
        <v>1.0</v>
      </c>
      <c r="I2167" s="300">
        <v>1.0</v>
      </c>
      <c r="J2167" s="300">
        <v>1.0</v>
      </c>
      <c r="K2167" s="300">
        <v>1.0</v>
      </c>
      <c r="L2167" s="300">
        <v>1.0</v>
      </c>
      <c r="M2167" s="300">
        <v>1.0</v>
      </c>
      <c r="N2167" s="300">
        <v>8.0</v>
      </c>
      <c r="O2167" s="300" t="s">
        <v>901</v>
      </c>
      <c r="P2167" s="300">
        <v>6.0</v>
      </c>
    </row>
    <row r="2168">
      <c r="A2168">
        <f>IFERROR(__xludf.DUMMYFUNCTION("""COMPUTED_VALUE"""),9.0)</f>
        <v>9</v>
      </c>
      <c r="B2168" s="406">
        <f>IFERROR(__xludf.DUMMYFUNCTION("""COMPUTED_VALUE"""),29087.0)</f>
        <v>29087</v>
      </c>
      <c r="C2168" t="str">
        <f>IFERROR(__xludf.DUMMYFUNCTION("""COMPUTED_VALUE"""),"PALACIO BOTERO, MATIAS")</f>
        <v>PALACIO BOTERO, MATIAS</v>
      </c>
      <c r="D2168" t="str">
        <f>IFERROR(__xludf.DUMMYFUNCTION("""COMPUTED_VALUE"""),"PE 9")</f>
        <v>PE 9</v>
      </c>
      <c r="E2168" s="3">
        <f>IFERROR(__xludf.DUMMYFUNCTION("""COMPUTED_VALUE"""),1.0)</f>
        <v>1</v>
      </c>
      <c r="F2168" s="300">
        <v>1.0</v>
      </c>
      <c r="G2168" s="300">
        <v>1.0</v>
      </c>
      <c r="H2168" s="300">
        <v>1.0</v>
      </c>
      <c r="I2168" s="300">
        <v>1.0</v>
      </c>
      <c r="J2168" s="300">
        <v>1.0</v>
      </c>
      <c r="K2168" s="300">
        <v>1.0</v>
      </c>
      <c r="L2168" s="300">
        <v>1.0</v>
      </c>
      <c r="M2168" s="300">
        <v>1.0</v>
      </c>
      <c r="N2168" s="300">
        <v>8.0</v>
      </c>
      <c r="O2168" s="300" t="s">
        <v>900</v>
      </c>
      <c r="P2168" s="300">
        <v>6.0</v>
      </c>
    </row>
    <row r="2169">
      <c r="A2169">
        <f>IFERROR(__xludf.DUMMYFUNCTION("""COMPUTED_VALUE"""),9.0)</f>
        <v>9</v>
      </c>
      <c r="B2169" s="406">
        <f>IFERROR(__xludf.DUMMYFUNCTION("""COMPUTED_VALUE"""),28087.0)</f>
        <v>28087</v>
      </c>
      <c r="C2169" t="str">
        <f>IFERROR(__xludf.DUMMYFUNCTION("""COMPUTED_VALUE"""),"QUINTERO HENAO, MATEO")</f>
        <v>QUINTERO HENAO, MATEO</v>
      </c>
      <c r="D2169" t="str">
        <f>IFERROR(__xludf.DUMMYFUNCTION("""COMPUTED_VALUE"""),"PE 9")</f>
        <v>PE 9</v>
      </c>
      <c r="E2169" s="3">
        <f>IFERROR(__xludf.DUMMYFUNCTION("""COMPUTED_VALUE"""),2.0)</f>
        <v>2</v>
      </c>
      <c r="F2169" s="300">
        <v>1.0</v>
      </c>
      <c r="G2169" s="300">
        <v>1.0</v>
      </c>
      <c r="H2169" s="300">
        <v>1.0</v>
      </c>
      <c r="I2169" s="300">
        <v>1.0</v>
      </c>
      <c r="J2169" s="300">
        <v>1.0</v>
      </c>
      <c r="K2169" s="300">
        <v>1.0</v>
      </c>
      <c r="L2169" s="300">
        <v>1.0</v>
      </c>
      <c r="M2169" s="300">
        <v>1.0</v>
      </c>
      <c r="N2169" s="300">
        <v>8.0</v>
      </c>
      <c r="O2169" s="300" t="s">
        <v>899</v>
      </c>
      <c r="P2169" s="300">
        <v>6.0</v>
      </c>
    </row>
    <row r="2170">
      <c r="A2170">
        <f>IFERROR(__xludf.DUMMYFUNCTION("""COMPUTED_VALUE"""),9.0)</f>
        <v>9</v>
      </c>
      <c r="B2170" s="406">
        <f>IFERROR(__xludf.DUMMYFUNCTION("""COMPUTED_VALUE"""),29133.0)</f>
        <v>29133</v>
      </c>
      <c r="C2170" t="str">
        <f>IFERROR(__xludf.DUMMYFUNCTION("""COMPUTED_VALUE"""),"ZAPATA URIBE, RAFAEL")</f>
        <v>ZAPATA URIBE, RAFAEL</v>
      </c>
      <c r="D2170" t="str">
        <f>IFERROR(__xludf.DUMMYFUNCTION("""COMPUTED_VALUE"""),"PE 9")</f>
        <v>PE 9</v>
      </c>
      <c r="E2170" s="3">
        <f>IFERROR(__xludf.DUMMYFUNCTION("""COMPUTED_VALUE"""),4.0)</f>
        <v>4</v>
      </c>
      <c r="F2170" s="300">
        <v>1.0</v>
      </c>
      <c r="G2170" s="300">
        <v>1.0</v>
      </c>
      <c r="H2170" s="300">
        <v>1.0</v>
      </c>
      <c r="I2170" s="300">
        <v>1.0</v>
      </c>
      <c r="J2170" s="300">
        <v>1.0</v>
      </c>
      <c r="K2170" s="300">
        <v>1.0</v>
      </c>
      <c r="L2170" s="300">
        <v>1.0</v>
      </c>
      <c r="M2170" s="300">
        <v>1.0</v>
      </c>
      <c r="N2170" s="300">
        <v>8.0</v>
      </c>
      <c r="O2170" s="300" t="s">
        <v>896</v>
      </c>
      <c r="P2170" s="300">
        <v>6.0</v>
      </c>
    </row>
    <row r="2171">
      <c r="A2171">
        <f>IFERROR(__xludf.DUMMYFUNCTION("""COMPUTED_VALUE"""),9.0)</f>
        <v>9</v>
      </c>
      <c r="B2171" s="406">
        <f>IFERROR(__xludf.DUMMYFUNCTION("""COMPUTED_VALUE"""),29059.0)</f>
        <v>29059</v>
      </c>
      <c r="C2171" t="str">
        <f>IFERROR(__xludf.DUMMYFUNCTION("""COMPUTED_VALUE"""),"JARAMILLO GONZALEZ, PASCUAL")</f>
        <v>JARAMILLO GONZALEZ, PASCUAL</v>
      </c>
      <c r="D2171" t="str">
        <f>IFERROR(__xludf.DUMMYFUNCTION("""COMPUTED_VALUE"""),"PE 9")</f>
        <v>PE 9</v>
      </c>
      <c r="E2171" s="3">
        <f>IFERROR(__xludf.DUMMYFUNCTION("""COMPUTED_VALUE"""),8.0)</f>
        <v>8</v>
      </c>
      <c r="F2171" s="300">
        <v>1.0</v>
      </c>
      <c r="G2171" s="300">
        <v>1.0</v>
      </c>
      <c r="H2171" s="300">
        <v>1.0</v>
      </c>
      <c r="I2171" s="300">
        <v>1.0</v>
      </c>
      <c r="J2171" s="300">
        <v>1.0</v>
      </c>
      <c r="K2171" s="300">
        <v>1.0</v>
      </c>
      <c r="L2171" s="300">
        <v>1.0</v>
      </c>
      <c r="M2171" s="300">
        <v>1.0</v>
      </c>
      <c r="N2171" s="300">
        <v>8.0</v>
      </c>
      <c r="O2171" s="300" t="s">
        <v>901</v>
      </c>
      <c r="P2171" s="300">
        <v>6.0</v>
      </c>
    </row>
    <row r="2172">
      <c r="A2172">
        <f>IFERROR(__xludf.DUMMYFUNCTION("""COMPUTED_VALUE"""),9.0)</f>
        <v>9</v>
      </c>
      <c r="B2172" s="406">
        <f>IFERROR(__xludf.DUMMYFUNCTION("""COMPUTED_VALUE"""),29050.0)</f>
        <v>29050</v>
      </c>
      <c r="C2172" t="str">
        <f>IFERROR(__xludf.DUMMYFUNCTION("""COMPUTED_VALUE"""),"HINESTROSA SIERRA, PEDRO")</f>
        <v>HINESTROSA SIERRA, PEDRO</v>
      </c>
      <c r="D2172" t="str">
        <f>IFERROR(__xludf.DUMMYFUNCTION("""COMPUTED_VALUE"""),"PE 9")</f>
        <v>PE 9</v>
      </c>
      <c r="E2172" s="3">
        <f>IFERROR(__xludf.DUMMYFUNCTION("""COMPUTED_VALUE"""),4.0)</f>
        <v>4</v>
      </c>
      <c r="F2172" s="300">
        <v>1.0</v>
      </c>
      <c r="G2172" s="300">
        <v>1.0</v>
      </c>
      <c r="H2172" s="300">
        <v>1.0</v>
      </c>
      <c r="I2172" s="300">
        <v>1.0</v>
      </c>
      <c r="J2172" s="300">
        <v>1.0</v>
      </c>
      <c r="K2172" s="300">
        <v>1.0</v>
      </c>
      <c r="L2172" s="300">
        <v>1.0</v>
      </c>
      <c r="M2172" s="300">
        <v>1.0</v>
      </c>
      <c r="N2172" s="300">
        <v>8.0</v>
      </c>
      <c r="O2172" s="300" t="s">
        <v>896</v>
      </c>
      <c r="P2172" s="300">
        <v>6.0</v>
      </c>
    </row>
    <row r="2173">
      <c r="A2173">
        <f>IFERROR(__xludf.DUMMYFUNCTION("""COMPUTED_VALUE"""),9.0)</f>
        <v>9</v>
      </c>
      <c r="B2173" s="406">
        <f>IFERROR(__xludf.DUMMYFUNCTION("""COMPUTED_VALUE"""),29068.0)</f>
        <v>29068</v>
      </c>
      <c r="C2173" t="str">
        <f>IFERROR(__xludf.DUMMYFUNCTION("""COMPUTED_VALUE"""),"LOPEZ JAIMES, VICENTE")</f>
        <v>LOPEZ JAIMES, VICENTE</v>
      </c>
      <c r="D2173" t="str">
        <f>IFERROR(__xludf.DUMMYFUNCTION("""COMPUTED_VALUE"""),"PE 9")</f>
        <v>PE 9</v>
      </c>
      <c r="E2173" s="3">
        <f>IFERROR(__xludf.DUMMYFUNCTION("""COMPUTED_VALUE"""),2.0)</f>
        <v>2</v>
      </c>
      <c r="F2173" s="300">
        <v>1.0</v>
      </c>
      <c r="G2173" s="300">
        <v>1.0</v>
      </c>
      <c r="H2173" s="300">
        <v>1.0</v>
      </c>
      <c r="I2173" s="300">
        <v>1.0</v>
      </c>
      <c r="J2173" s="300">
        <v>1.0</v>
      </c>
      <c r="K2173" s="300">
        <v>1.0</v>
      </c>
      <c r="L2173" s="300">
        <v>1.0</v>
      </c>
      <c r="M2173" s="300">
        <v>1.0</v>
      </c>
      <c r="N2173" s="300">
        <v>8.0</v>
      </c>
      <c r="O2173" s="300" t="s">
        <v>899</v>
      </c>
      <c r="P2173" s="300">
        <v>6.0</v>
      </c>
    </row>
    <row r="2174">
      <c r="A2174">
        <f>IFERROR(__xludf.DUMMYFUNCTION("""COMPUTED_VALUE"""),9.0)</f>
        <v>9</v>
      </c>
      <c r="B2174" s="406">
        <f>IFERROR(__xludf.DUMMYFUNCTION("""COMPUTED_VALUE"""),29136.0)</f>
        <v>29136</v>
      </c>
      <c r="C2174" t="str">
        <f>IFERROR(__xludf.DUMMYFUNCTION("""COMPUTED_VALUE"""),"CHOPRA, HARSHUL")</f>
        <v>CHOPRA, HARSHUL</v>
      </c>
      <c r="D2174" t="str">
        <f>IFERROR(__xludf.DUMMYFUNCTION("""COMPUTED_VALUE"""),"PE 9")</f>
        <v>PE 9</v>
      </c>
      <c r="E2174" s="3">
        <f>IFERROR(__xludf.DUMMYFUNCTION("""COMPUTED_VALUE"""),1.0)</f>
        <v>1</v>
      </c>
      <c r="F2174" s="300">
        <v>1.0</v>
      </c>
      <c r="G2174" s="300">
        <v>1.0</v>
      </c>
      <c r="H2174" s="300">
        <v>1.0</v>
      </c>
      <c r="I2174" s="300">
        <v>1.0</v>
      </c>
      <c r="J2174" s="300">
        <v>1.0</v>
      </c>
      <c r="K2174" s="300">
        <v>1.0</v>
      </c>
      <c r="L2174" s="300">
        <v>1.0</v>
      </c>
      <c r="M2174" s="300">
        <v>1.0</v>
      </c>
      <c r="N2174" s="300">
        <v>8.0</v>
      </c>
      <c r="O2174" s="300" t="s">
        <v>900</v>
      </c>
      <c r="P2174" s="300">
        <v>6.0</v>
      </c>
    </row>
    <row r="2175">
      <c r="A2175">
        <f>IFERROR(__xludf.DUMMYFUNCTION("""COMPUTED_VALUE"""),9.0)</f>
        <v>9</v>
      </c>
      <c r="B2175" s="406">
        <f>IFERROR(__xludf.DUMMYFUNCTION("""COMPUTED_VALUE"""),28160.0)</f>
        <v>28160</v>
      </c>
      <c r="C2175" t="str">
        <f>IFERROR(__xludf.DUMMYFUNCTION("""COMPUTED_VALUE"""),"ROJAS REYES, JERONIMO")</f>
        <v>ROJAS REYES, JERONIMO</v>
      </c>
      <c r="D2175" t="str">
        <f>IFERROR(__xludf.DUMMYFUNCTION("""COMPUTED_VALUE"""),"PE 9")</f>
        <v>PE 9</v>
      </c>
      <c r="E2175" s="3">
        <f>IFERROR(__xludf.DUMMYFUNCTION("""COMPUTED_VALUE"""),4.0)</f>
        <v>4</v>
      </c>
      <c r="F2175" s="300">
        <v>1.0</v>
      </c>
      <c r="G2175" s="300">
        <v>1.0</v>
      </c>
      <c r="H2175" s="300">
        <v>1.0</v>
      </c>
      <c r="I2175" s="300">
        <v>1.0</v>
      </c>
      <c r="J2175" s="300">
        <v>1.0</v>
      </c>
      <c r="K2175" s="300">
        <v>1.0</v>
      </c>
      <c r="L2175" s="300">
        <v>1.0</v>
      </c>
      <c r="M2175" s="300">
        <v>1.0</v>
      </c>
      <c r="N2175" s="300">
        <v>8.0</v>
      </c>
      <c r="O2175" s="300" t="s">
        <v>896</v>
      </c>
      <c r="P2175" s="300">
        <v>6.0</v>
      </c>
    </row>
    <row r="2176">
      <c r="A2176">
        <f>IFERROR(__xludf.DUMMYFUNCTION("""COMPUTED_VALUE"""),9.0)</f>
        <v>9</v>
      </c>
      <c r="B2176" s="406">
        <f>IFERROR(__xludf.DUMMYFUNCTION("""COMPUTED_VALUE"""),28046.0)</f>
        <v>28046</v>
      </c>
      <c r="C2176" t="str">
        <f>IFERROR(__xludf.DUMMYFUNCTION("""COMPUTED_VALUE"""),"HOYOS SARAVIA, TOMAS")</f>
        <v>HOYOS SARAVIA, TOMAS</v>
      </c>
      <c r="D2176" t="str">
        <f>IFERROR(__xludf.DUMMYFUNCTION("""COMPUTED_VALUE"""),"PE 9")</f>
        <v>PE 9</v>
      </c>
      <c r="E2176" s="3">
        <f>IFERROR(__xludf.DUMMYFUNCTION("""COMPUTED_VALUE"""),8.0)</f>
        <v>8</v>
      </c>
      <c r="F2176" s="300">
        <v>1.0</v>
      </c>
      <c r="G2176" s="300">
        <v>1.0</v>
      </c>
      <c r="H2176" s="300">
        <v>1.0</v>
      </c>
      <c r="I2176" s="300">
        <v>1.0</v>
      </c>
      <c r="J2176" s="300">
        <v>1.0</v>
      </c>
      <c r="K2176" s="300">
        <v>1.0</v>
      </c>
      <c r="L2176" s="300">
        <v>1.0</v>
      </c>
      <c r="M2176" s="300">
        <v>1.0</v>
      </c>
      <c r="N2176" s="300">
        <v>8.0</v>
      </c>
      <c r="O2176" s="300" t="s">
        <v>901</v>
      </c>
      <c r="P2176" s="300">
        <v>6.0</v>
      </c>
    </row>
    <row r="2177">
      <c r="A2177">
        <f>IFERROR(__xludf.DUMMYFUNCTION("""COMPUTED_VALUE"""),9.0)</f>
        <v>9</v>
      </c>
      <c r="B2177" s="406">
        <f>IFERROR(__xludf.DUMMYFUNCTION("""COMPUTED_VALUE"""),29039.0)</f>
        <v>29039</v>
      </c>
      <c r="C2177" t="str">
        <f>IFERROR(__xludf.DUMMYFUNCTION("""COMPUTED_VALUE"""),"ESPINOSA ABAD, GREGORIO")</f>
        <v>ESPINOSA ABAD, GREGORIO</v>
      </c>
      <c r="D2177" t="str">
        <f>IFERROR(__xludf.DUMMYFUNCTION("""COMPUTED_VALUE"""),"PE 9")</f>
        <v>PE 9</v>
      </c>
      <c r="E2177" s="3">
        <f>IFERROR(__xludf.DUMMYFUNCTION("""COMPUTED_VALUE"""),8.0)</f>
        <v>8</v>
      </c>
      <c r="F2177" s="300">
        <v>1.0</v>
      </c>
      <c r="G2177" s="300">
        <v>1.0</v>
      </c>
      <c r="H2177" s="300">
        <v>1.0</v>
      </c>
      <c r="I2177" s="300">
        <v>1.0</v>
      </c>
      <c r="J2177" s="300">
        <v>1.0</v>
      </c>
      <c r="K2177" s="300">
        <v>1.0</v>
      </c>
      <c r="L2177" s="300">
        <v>1.0</v>
      </c>
      <c r="M2177" s="300">
        <v>1.0</v>
      </c>
      <c r="N2177" s="300">
        <v>8.0</v>
      </c>
      <c r="O2177" s="300" t="s">
        <v>901</v>
      </c>
      <c r="P2177" s="300">
        <v>6.0</v>
      </c>
    </row>
    <row r="2178">
      <c r="A2178">
        <f>IFERROR(__xludf.DUMMYFUNCTION("""COMPUTED_VALUE"""),9.0)</f>
        <v>9</v>
      </c>
      <c r="B2178" s="406">
        <f>IFERROR(__xludf.DUMMYFUNCTION("""COMPUTED_VALUE"""),29116.0)</f>
        <v>29116</v>
      </c>
      <c r="C2178" t="str">
        <f>IFERROR(__xludf.DUMMYFUNCTION("""COMPUTED_VALUE"""),"TOBAR MEJIA, CAMILO")</f>
        <v>TOBAR MEJIA, CAMILO</v>
      </c>
      <c r="D2178" t="str">
        <f>IFERROR(__xludf.DUMMYFUNCTION("""COMPUTED_VALUE"""),"PE 9")</f>
        <v>PE 9</v>
      </c>
      <c r="E2178" s="3">
        <f>IFERROR(__xludf.DUMMYFUNCTION("""COMPUTED_VALUE"""),1.0)</f>
        <v>1</v>
      </c>
      <c r="F2178" s="300">
        <v>1.0</v>
      </c>
      <c r="G2178" s="300">
        <v>1.0</v>
      </c>
      <c r="H2178" s="300">
        <v>1.0</v>
      </c>
      <c r="I2178" s="300">
        <v>1.0</v>
      </c>
      <c r="J2178" s="300">
        <v>1.0</v>
      </c>
      <c r="K2178" s="300">
        <v>1.0</v>
      </c>
      <c r="L2178" s="300">
        <v>1.0</v>
      </c>
      <c r="M2178" s="300">
        <v>1.0</v>
      </c>
      <c r="N2178" s="300">
        <v>8.0</v>
      </c>
      <c r="O2178" s="300" t="s">
        <v>900</v>
      </c>
      <c r="P2178" s="300">
        <v>6.0</v>
      </c>
    </row>
    <row r="2179">
      <c r="A2179">
        <f>IFERROR(__xludf.DUMMYFUNCTION("""COMPUTED_VALUE"""),9.0)</f>
        <v>9</v>
      </c>
      <c r="B2179" s="406">
        <f>IFERROR(__xludf.DUMMYFUNCTION("""COMPUTED_VALUE"""),29137.0)</f>
        <v>29137</v>
      </c>
      <c r="C2179" t="str">
        <f>IFERROR(__xludf.DUMMYFUNCTION("""COMPUTED_VALUE"""),"OLARTE JARAMILLO, EMILIO")</f>
        <v>OLARTE JARAMILLO, EMILIO</v>
      </c>
      <c r="D2179" t="str">
        <f>IFERROR(__xludf.DUMMYFUNCTION("""COMPUTED_VALUE"""),"PE 9")</f>
        <v>PE 9</v>
      </c>
      <c r="E2179" s="3">
        <f>IFERROR(__xludf.DUMMYFUNCTION("""COMPUTED_VALUE"""),8.0)</f>
        <v>8</v>
      </c>
      <c r="F2179" s="300">
        <v>1.0</v>
      </c>
      <c r="G2179" s="300">
        <v>1.0</v>
      </c>
      <c r="H2179" s="300">
        <v>1.0</v>
      </c>
      <c r="I2179" s="300">
        <v>1.0</v>
      </c>
      <c r="J2179" s="300">
        <v>1.0</v>
      </c>
      <c r="K2179" s="300">
        <v>1.0</v>
      </c>
      <c r="L2179" s="300">
        <v>1.0</v>
      </c>
      <c r="M2179" s="300">
        <v>1.0</v>
      </c>
      <c r="N2179" s="300">
        <v>8.0</v>
      </c>
      <c r="O2179" s="300" t="s">
        <v>901</v>
      </c>
      <c r="P2179" s="300">
        <v>6.0</v>
      </c>
    </row>
    <row r="2180">
      <c r="A2180">
        <f>IFERROR(__xludf.DUMMYFUNCTION("""COMPUTED_VALUE"""),9.0)</f>
        <v>9</v>
      </c>
      <c r="B2180" s="406">
        <f>IFERROR(__xludf.DUMMYFUNCTION("""COMPUTED_VALUE"""),29172.0)</f>
        <v>29172</v>
      </c>
      <c r="C2180" t="str">
        <f>IFERROR(__xludf.DUMMYFUNCTION("""COMPUTED_VALUE"""),"CESPEDES GARCIA, PABLO")</f>
        <v>CESPEDES GARCIA, PABLO</v>
      </c>
      <c r="D2180" t="str">
        <f>IFERROR(__xludf.DUMMYFUNCTION("""COMPUTED_VALUE"""),"PE 9")</f>
        <v>PE 9</v>
      </c>
      <c r="E2180" s="3">
        <f>IFERROR(__xludf.DUMMYFUNCTION("""COMPUTED_VALUE"""),1.0)</f>
        <v>1</v>
      </c>
      <c r="F2180" s="300">
        <v>1.0</v>
      </c>
      <c r="G2180" s="300">
        <v>1.0</v>
      </c>
      <c r="H2180" s="300">
        <v>1.0</v>
      </c>
      <c r="I2180" s="300">
        <v>1.0</v>
      </c>
      <c r="J2180" s="300">
        <v>1.0</v>
      </c>
      <c r="K2180" s="300">
        <v>1.0</v>
      </c>
      <c r="L2180" s="300">
        <v>1.0</v>
      </c>
      <c r="M2180" s="300">
        <v>1.0</v>
      </c>
      <c r="N2180" s="300">
        <v>8.0</v>
      </c>
      <c r="O2180" s="300" t="s">
        <v>900</v>
      </c>
      <c r="P2180" s="300">
        <v>6.0</v>
      </c>
    </row>
    <row r="2181">
      <c r="A2181">
        <f>IFERROR(__xludf.DUMMYFUNCTION("""COMPUTED_VALUE"""),9.0)</f>
        <v>9</v>
      </c>
      <c r="B2181" s="406">
        <f>IFERROR(__xludf.DUMMYFUNCTION("""COMPUTED_VALUE"""),29020.0)</f>
        <v>29020</v>
      </c>
      <c r="C2181" t="str">
        <f>IFERROR(__xludf.DUMMYFUNCTION("""COMPUTED_VALUE"""),"BETANCOURT QUINTERO, LUCAS")</f>
        <v>BETANCOURT QUINTERO, LUCAS</v>
      </c>
      <c r="D2181" t="str">
        <f>IFERROR(__xludf.DUMMYFUNCTION("""COMPUTED_VALUE"""),"PE 9")</f>
        <v>PE 9</v>
      </c>
      <c r="E2181" s="3">
        <f>IFERROR(__xludf.DUMMYFUNCTION("""COMPUTED_VALUE"""),4.0)</f>
        <v>4</v>
      </c>
      <c r="F2181" s="300">
        <v>1.0</v>
      </c>
      <c r="G2181" s="300">
        <v>1.0</v>
      </c>
      <c r="H2181" s="300">
        <v>1.0</v>
      </c>
      <c r="I2181" s="300">
        <v>1.0</v>
      </c>
      <c r="J2181" s="300">
        <v>1.0</v>
      </c>
      <c r="K2181" s="300">
        <v>1.0</v>
      </c>
      <c r="L2181" s="300">
        <v>1.0</v>
      </c>
      <c r="M2181" s="300">
        <v>1.0</v>
      </c>
      <c r="N2181" s="300">
        <v>8.0</v>
      </c>
      <c r="O2181" s="300" t="s">
        <v>896</v>
      </c>
      <c r="P2181" s="300">
        <v>6.0</v>
      </c>
    </row>
    <row r="2182">
      <c r="A2182">
        <f>IFERROR(__xludf.DUMMYFUNCTION("""COMPUTED_VALUE"""),9.0)</f>
        <v>9</v>
      </c>
      <c r="B2182" s="406">
        <f>IFERROR(__xludf.DUMMYFUNCTION("""COMPUTED_VALUE"""),29069.0)</f>
        <v>29069</v>
      </c>
      <c r="C2182" t="str">
        <f>IFERROR(__xludf.DUMMYFUNCTION("""COMPUTED_VALUE"""),"LUNA ALZATE, AMALIA")</f>
        <v>LUNA ALZATE, AMALIA</v>
      </c>
      <c r="D2182" t="str">
        <f>IFERROR(__xludf.DUMMYFUNCTION("""COMPUTED_VALUE"""),"PE 9")</f>
        <v>PE 9</v>
      </c>
      <c r="E2182" s="3">
        <f>IFERROR(__xludf.DUMMYFUNCTION("""COMPUTED_VALUE"""),6.0)</f>
        <v>6</v>
      </c>
      <c r="F2182" s="300">
        <v>1.0</v>
      </c>
      <c r="G2182" s="300">
        <v>1.0</v>
      </c>
      <c r="H2182" s="300">
        <v>1.0</v>
      </c>
      <c r="I2182" s="300">
        <v>1.0</v>
      </c>
      <c r="J2182" s="300">
        <v>1.0</v>
      </c>
      <c r="K2182" s="300">
        <v>1.0</v>
      </c>
      <c r="L2182" s="300">
        <v>1.0</v>
      </c>
      <c r="M2182" s="300">
        <v>1.0</v>
      </c>
      <c r="N2182" s="300">
        <v>8.0</v>
      </c>
      <c r="O2182" s="300" t="s">
        <v>898</v>
      </c>
      <c r="P2182" s="300">
        <v>6.0</v>
      </c>
    </row>
    <row r="2183">
      <c r="A2183">
        <f>IFERROR(__xludf.DUMMYFUNCTION("""COMPUTED_VALUE"""),9.0)</f>
        <v>9</v>
      </c>
      <c r="B2183" s="406">
        <f>IFERROR(__xludf.DUMMYFUNCTION("""COMPUTED_VALUE"""),29160.0)</f>
        <v>29160</v>
      </c>
      <c r="C2183" t="str">
        <f>IFERROR(__xludf.DUMMYFUNCTION("""COMPUTED_VALUE"""),"BARRIOS CASTILLO, NICOLAS GUILLERMO")</f>
        <v>BARRIOS CASTILLO, NICOLAS GUILLERMO</v>
      </c>
      <c r="D2183" t="str">
        <f>IFERROR(__xludf.DUMMYFUNCTION("""COMPUTED_VALUE"""),"PE 9")</f>
        <v>PE 9</v>
      </c>
      <c r="E2183" s="3">
        <f>IFERROR(__xludf.DUMMYFUNCTION("""COMPUTED_VALUE"""),2.0)</f>
        <v>2</v>
      </c>
      <c r="F2183" s="300">
        <v>1.0</v>
      </c>
      <c r="G2183" s="300">
        <v>1.0</v>
      </c>
      <c r="H2183" s="300">
        <v>1.0</v>
      </c>
      <c r="I2183" s="300">
        <v>1.0</v>
      </c>
      <c r="J2183" s="300">
        <v>1.0</v>
      </c>
      <c r="K2183" s="300">
        <v>1.0</v>
      </c>
      <c r="L2183" s="300">
        <v>1.0</v>
      </c>
      <c r="M2183" s="300">
        <v>1.0</v>
      </c>
      <c r="N2183" s="300">
        <v>8.0</v>
      </c>
      <c r="O2183" s="300" t="s">
        <v>899</v>
      </c>
      <c r="P2183" s="300">
        <v>6.0</v>
      </c>
    </row>
    <row r="2184">
      <c r="A2184">
        <f>IFERROR(__xludf.DUMMYFUNCTION("""COMPUTED_VALUE"""),9.0)</f>
        <v>9</v>
      </c>
      <c r="B2184" s="406">
        <f>IFERROR(__xludf.DUMMYFUNCTION("""COMPUTED_VALUE"""),29155.0)</f>
        <v>29155</v>
      </c>
      <c r="C2184" t="str">
        <f>IFERROR(__xludf.DUMMYFUNCTION("""COMPUTED_VALUE"""),"FERNANDEZ CALDERON, HANNA")</f>
        <v>FERNANDEZ CALDERON, HANNA</v>
      </c>
      <c r="D2184" t="str">
        <f>IFERROR(__xludf.DUMMYFUNCTION("""COMPUTED_VALUE"""),"PE 9")</f>
        <v>PE 9</v>
      </c>
      <c r="E2184" s="3">
        <f>IFERROR(__xludf.DUMMYFUNCTION("""COMPUTED_VALUE"""),8.0)</f>
        <v>8</v>
      </c>
      <c r="F2184" s="300">
        <v>1.0</v>
      </c>
      <c r="G2184" s="300">
        <v>1.0</v>
      </c>
      <c r="H2184" s="300">
        <v>1.0</v>
      </c>
      <c r="I2184" s="300">
        <v>1.0</v>
      </c>
      <c r="J2184" s="300">
        <v>1.0</v>
      </c>
      <c r="K2184" s="300">
        <v>1.0</v>
      </c>
      <c r="L2184" s="300">
        <v>1.0</v>
      </c>
      <c r="M2184" s="300">
        <v>1.0</v>
      </c>
      <c r="N2184" s="300">
        <v>8.0</v>
      </c>
      <c r="O2184" s="300" t="s">
        <v>901</v>
      </c>
      <c r="P2184" s="300">
        <v>6.0</v>
      </c>
    </row>
    <row r="2185">
      <c r="A2185">
        <f>IFERROR(__xludf.DUMMYFUNCTION("""COMPUTED_VALUE"""),9.0)</f>
        <v>9</v>
      </c>
      <c r="B2185" s="406">
        <f>IFERROR(__xludf.DUMMYFUNCTION("""COMPUTED_VALUE"""),29153.0)</f>
        <v>29153</v>
      </c>
      <c r="C2185" t="str">
        <f>IFERROR(__xludf.DUMMYFUNCTION("""COMPUTED_VALUE"""),"MISERENDINO MUÑOZ, GABRIEL")</f>
        <v>MISERENDINO MUÑOZ, GABRIEL</v>
      </c>
      <c r="D2185" t="str">
        <f>IFERROR(__xludf.DUMMYFUNCTION("""COMPUTED_VALUE"""),"PE 9")</f>
        <v>PE 9</v>
      </c>
      <c r="E2185" s="3">
        <f>IFERROR(__xludf.DUMMYFUNCTION("""COMPUTED_VALUE"""),2.0)</f>
        <v>2</v>
      </c>
      <c r="F2185" s="300">
        <v>1.0</v>
      </c>
      <c r="G2185" s="300">
        <v>1.0</v>
      </c>
      <c r="H2185" s="300">
        <v>1.0</v>
      </c>
      <c r="I2185" s="300">
        <v>1.0</v>
      </c>
      <c r="J2185" s="300">
        <v>1.0</v>
      </c>
      <c r="K2185" s="300">
        <v>1.0</v>
      </c>
      <c r="L2185" s="300">
        <v>1.0</v>
      </c>
      <c r="M2185" s="300">
        <v>1.0</v>
      </c>
      <c r="N2185" s="300">
        <v>8.0</v>
      </c>
      <c r="O2185" s="300" t="s">
        <v>899</v>
      </c>
      <c r="P2185" s="300">
        <v>6.0</v>
      </c>
    </row>
    <row r="2186">
      <c r="A2186">
        <f>IFERROR(__xludf.DUMMYFUNCTION("""COMPUTED_VALUE"""),9.0)</f>
        <v>9</v>
      </c>
      <c r="B2186" s="406">
        <f>IFERROR(__xludf.DUMMYFUNCTION("""COMPUTED_VALUE"""),29030.0)</f>
        <v>29030</v>
      </c>
      <c r="C2186" t="str">
        <f>IFERROR(__xludf.DUMMYFUNCTION("""COMPUTED_VALUE"""),"COCK ECHEVERRI, JULIETA")</f>
        <v>COCK ECHEVERRI, JULIETA</v>
      </c>
      <c r="D2186" t="str">
        <f>IFERROR(__xludf.DUMMYFUNCTION("""COMPUTED_VALUE"""),"PE 9")</f>
        <v>PE 9</v>
      </c>
      <c r="E2186" s="3">
        <f>IFERROR(__xludf.DUMMYFUNCTION("""COMPUTED_VALUE"""),5.0)</f>
        <v>5</v>
      </c>
      <c r="F2186" s="300">
        <v>1.0</v>
      </c>
      <c r="G2186" s="300">
        <v>1.0</v>
      </c>
      <c r="H2186" s="300">
        <v>1.0</v>
      </c>
      <c r="I2186" s="300">
        <v>1.0</v>
      </c>
      <c r="J2186" s="300">
        <v>1.0</v>
      </c>
      <c r="K2186" s="300">
        <v>1.0</v>
      </c>
      <c r="L2186" s="300">
        <v>1.0</v>
      </c>
      <c r="M2186" s="300">
        <v>1.0</v>
      </c>
      <c r="N2186" s="300">
        <v>8.0</v>
      </c>
      <c r="O2186" s="300" t="s">
        <v>897</v>
      </c>
      <c r="P2186" s="300">
        <v>6.0</v>
      </c>
    </row>
    <row r="2187">
      <c r="A2187">
        <f>IFERROR(__xludf.DUMMYFUNCTION("""COMPUTED_VALUE"""),9.0)</f>
        <v>9</v>
      </c>
      <c r="B2187" s="406">
        <f>IFERROR(__xludf.DUMMYFUNCTION("""COMPUTED_VALUE"""),29108.0)</f>
        <v>29108</v>
      </c>
      <c r="C2187" t="str">
        <f>IFERROR(__xludf.DUMMYFUNCTION("""COMPUTED_VALUE"""),"SCHOBER OCAMPO, DANIEL")</f>
        <v>SCHOBER OCAMPO, DANIEL</v>
      </c>
      <c r="D2187" t="str">
        <f>IFERROR(__xludf.DUMMYFUNCTION("""COMPUTED_VALUE"""),"PE 9")</f>
        <v>PE 9</v>
      </c>
      <c r="E2187" s="3">
        <f>IFERROR(__xludf.DUMMYFUNCTION("""COMPUTED_VALUE"""),2.0)</f>
        <v>2</v>
      </c>
      <c r="F2187" s="300">
        <v>1.0</v>
      </c>
      <c r="G2187" s="300">
        <v>1.0</v>
      </c>
      <c r="H2187" s="300">
        <v>1.0</v>
      </c>
      <c r="I2187" s="300">
        <v>1.0</v>
      </c>
      <c r="J2187" s="300">
        <v>1.0</v>
      </c>
      <c r="K2187" s="300">
        <v>1.0</v>
      </c>
      <c r="L2187" s="300">
        <v>1.0</v>
      </c>
      <c r="M2187" s="300">
        <v>1.0</v>
      </c>
      <c r="N2187" s="300">
        <v>8.0</v>
      </c>
      <c r="O2187" s="300" t="s">
        <v>899</v>
      </c>
      <c r="P2187" s="300">
        <v>6.0</v>
      </c>
    </row>
    <row r="2188">
      <c r="A2188">
        <f>IFERROR(__xludf.DUMMYFUNCTION("""COMPUTED_VALUE"""),9.0)</f>
        <v>9</v>
      </c>
      <c r="B2188" s="406">
        <f>IFERROR(__xludf.DUMMYFUNCTION("""COMPUTED_VALUE"""),29062.0)</f>
        <v>29062</v>
      </c>
      <c r="C2188" t="str">
        <f>IFERROR(__xludf.DUMMYFUNCTION("""COMPUTED_VALUE"""),"KIM LEE, SAE YOON LUCAS")</f>
        <v>KIM LEE, SAE YOON LUCAS</v>
      </c>
      <c r="D2188" t="str">
        <f>IFERROR(__xludf.DUMMYFUNCTION("""COMPUTED_VALUE"""),"PE 9")</f>
        <v>PE 9</v>
      </c>
      <c r="E2188" s="3">
        <f>IFERROR(__xludf.DUMMYFUNCTION("""COMPUTED_VALUE"""),8.0)</f>
        <v>8</v>
      </c>
      <c r="F2188" s="300">
        <v>1.0</v>
      </c>
      <c r="G2188" s="300">
        <v>1.0</v>
      </c>
      <c r="H2188" s="300">
        <v>1.0</v>
      </c>
      <c r="I2188" s="300">
        <v>1.0</v>
      </c>
      <c r="J2188" s="300">
        <v>1.0</v>
      </c>
      <c r="K2188" s="300">
        <v>1.0</v>
      </c>
      <c r="L2188" s="300">
        <v>1.0</v>
      </c>
      <c r="M2188" s="300">
        <v>1.0</v>
      </c>
      <c r="N2188" s="300">
        <v>8.0</v>
      </c>
      <c r="O2188" s="300" t="s">
        <v>901</v>
      </c>
      <c r="P2188" s="300">
        <v>6.0</v>
      </c>
    </row>
    <row r="2189">
      <c r="A2189">
        <f>IFERROR(__xludf.DUMMYFUNCTION("""COMPUTED_VALUE"""),9.0)</f>
        <v>9</v>
      </c>
      <c r="B2189" s="406">
        <f>IFERROR(__xludf.DUMMYFUNCTION("""COMPUTED_VALUE"""),29115.0)</f>
        <v>29115</v>
      </c>
      <c r="C2189" t="str">
        <f>IFERROR(__xludf.DUMMYFUNCTION("""COMPUTED_VALUE"""),"TIRADO SANIN, ELENA")</f>
        <v>TIRADO SANIN, ELENA</v>
      </c>
      <c r="D2189" t="str">
        <f>IFERROR(__xludf.DUMMYFUNCTION("""COMPUTED_VALUE"""),"PE 9")</f>
        <v>PE 9</v>
      </c>
      <c r="E2189" s="3">
        <f>IFERROR(__xludf.DUMMYFUNCTION("""COMPUTED_VALUE"""),2.0)</f>
        <v>2</v>
      </c>
      <c r="F2189" s="300">
        <v>1.0</v>
      </c>
      <c r="G2189" s="300">
        <v>1.0</v>
      </c>
      <c r="H2189" s="300">
        <v>1.0</v>
      </c>
      <c r="I2189" s="300">
        <v>1.0</v>
      </c>
      <c r="J2189" s="300">
        <v>1.0</v>
      </c>
      <c r="K2189" s="300">
        <v>1.0</v>
      </c>
      <c r="L2189" s="300">
        <v>1.0</v>
      </c>
      <c r="M2189" s="300">
        <v>1.0</v>
      </c>
      <c r="N2189" s="300">
        <v>8.0</v>
      </c>
      <c r="O2189" s="300" t="s">
        <v>899</v>
      </c>
      <c r="P2189" s="300">
        <v>6.0</v>
      </c>
    </row>
    <row r="2190">
      <c r="A2190">
        <f>IFERROR(__xludf.DUMMYFUNCTION("""COMPUTED_VALUE"""),9.0)</f>
        <v>9</v>
      </c>
      <c r="B2190" s="406">
        <f>IFERROR(__xludf.DUMMYFUNCTION("""COMPUTED_VALUE"""),29018.0)</f>
        <v>29018</v>
      </c>
      <c r="C2190" t="str">
        <f>IFERROR(__xludf.DUMMYFUNCTION("""COMPUTED_VALUE"""),"BAENA GIRALDO, VIOLETA")</f>
        <v>BAENA GIRALDO, VIOLETA</v>
      </c>
      <c r="D2190" t="str">
        <f>IFERROR(__xludf.DUMMYFUNCTION("""COMPUTED_VALUE"""),"PE 9")</f>
        <v>PE 9</v>
      </c>
      <c r="E2190" s="3">
        <f>IFERROR(__xludf.DUMMYFUNCTION("""COMPUTED_VALUE"""),6.0)</f>
        <v>6</v>
      </c>
      <c r="F2190" s="300">
        <v>1.0</v>
      </c>
      <c r="G2190" s="300">
        <v>1.0</v>
      </c>
      <c r="H2190" s="300">
        <v>1.0</v>
      </c>
      <c r="I2190" s="300">
        <v>1.0</v>
      </c>
      <c r="J2190" s="300">
        <v>1.0</v>
      </c>
      <c r="K2190" s="300">
        <v>1.0</v>
      </c>
      <c r="L2190" s="300">
        <v>1.0</v>
      </c>
      <c r="M2190" s="300">
        <v>1.0</v>
      </c>
      <c r="N2190" s="300">
        <v>8.0</v>
      </c>
      <c r="O2190" s="300" t="s">
        <v>898</v>
      </c>
      <c r="P2190" s="300">
        <v>6.0</v>
      </c>
    </row>
    <row r="2191">
      <c r="A2191">
        <f>IFERROR(__xludf.DUMMYFUNCTION("""COMPUTED_VALUE"""),9.0)</f>
        <v>9</v>
      </c>
      <c r="B2191" s="406">
        <f>IFERROR(__xludf.DUMMYFUNCTION("""COMPUTED_VALUE"""),29122.0)</f>
        <v>29122</v>
      </c>
      <c r="C2191" t="str">
        <f>IFERROR(__xludf.DUMMYFUNCTION("""COMPUTED_VALUE"""),"URIBE RODRIGUEZ, MARIA LUISA")</f>
        <v>URIBE RODRIGUEZ, MARIA LUISA</v>
      </c>
      <c r="D2191" t="str">
        <f>IFERROR(__xludf.DUMMYFUNCTION("""COMPUTED_VALUE"""),"PE 9")</f>
        <v>PE 9</v>
      </c>
      <c r="E2191" s="3">
        <f>IFERROR(__xludf.DUMMYFUNCTION("""COMPUTED_VALUE"""),8.0)</f>
        <v>8</v>
      </c>
      <c r="F2191" s="300">
        <v>1.0</v>
      </c>
      <c r="G2191" s="300">
        <v>1.0</v>
      </c>
      <c r="H2191" s="300">
        <v>1.0</v>
      </c>
      <c r="I2191" s="300">
        <v>1.0</v>
      </c>
      <c r="J2191" s="300">
        <v>1.0</v>
      </c>
      <c r="K2191" s="300">
        <v>1.0</v>
      </c>
      <c r="L2191" s="300">
        <v>1.0</v>
      </c>
      <c r="M2191" s="300">
        <v>1.0</v>
      </c>
      <c r="N2191" s="300">
        <v>8.0</v>
      </c>
      <c r="O2191" s="300" t="s">
        <v>901</v>
      </c>
      <c r="P2191" s="300">
        <v>6.0</v>
      </c>
    </row>
    <row r="2192">
      <c r="A2192">
        <f>IFERROR(__xludf.DUMMYFUNCTION("""COMPUTED_VALUE"""),9.0)</f>
        <v>9</v>
      </c>
      <c r="B2192" s="406">
        <f>IFERROR(__xludf.DUMMYFUNCTION("""COMPUTED_VALUE"""),29128.0)</f>
        <v>29128</v>
      </c>
      <c r="C2192" t="str">
        <f>IFERROR(__xludf.DUMMYFUNCTION("""COMPUTED_VALUE"""),"VELASQUEZ JARAMILLO, MARIA")</f>
        <v>VELASQUEZ JARAMILLO, MARIA</v>
      </c>
      <c r="D2192" t="str">
        <f>IFERROR(__xludf.DUMMYFUNCTION("""COMPUTED_VALUE"""),"PE 9")</f>
        <v>PE 9</v>
      </c>
      <c r="E2192" s="3">
        <f>IFERROR(__xludf.DUMMYFUNCTION("""COMPUTED_VALUE"""),6.0)</f>
        <v>6</v>
      </c>
      <c r="F2192" s="300">
        <v>1.0</v>
      </c>
      <c r="G2192" s="300">
        <v>1.0</v>
      </c>
      <c r="H2192" s="300">
        <v>1.0</v>
      </c>
      <c r="I2192" s="300">
        <v>1.0</v>
      </c>
      <c r="J2192" s="300">
        <v>1.0</v>
      </c>
      <c r="K2192" s="300">
        <v>1.0</v>
      </c>
      <c r="L2192" s="300">
        <v>1.0</v>
      </c>
      <c r="M2192" s="300">
        <v>1.0</v>
      </c>
      <c r="N2192" s="300">
        <v>8.0</v>
      </c>
      <c r="O2192" s="300" t="s">
        <v>898</v>
      </c>
      <c r="P2192" s="300">
        <v>6.0</v>
      </c>
    </row>
    <row r="2193">
      <c r="A2193">
        <f>IFERROR(__xludf.DUMMYFUNCTION("""COMPUTED_VALUE"""),9.0)</f>
        <v>9</v>
      </c>
      <c r="B2193" s="406">
        <f>IFERROR(__xludf.DUMMYFUNCTION("""COMPUTED_VALUE"""),29049.0)</f>
        <v>29049</v>
      </c>
      <c r="C2193" t="str">
        <f>IFERROR(__xludf.DUMMYFUNCTION("""COMPUTED_VALUE"""),"HINESTROSA SIERRA, MIGUEL")</f>
        <v>HINESTROSA SIERRA, MIGUEL</v>
      </c>
      <c r="D2193" t="str">
        <f>IFERROR(__xludf.DUMMYFUNCTION("""COMPUTED_VALUE"""),"PE 9")</f>
        <v>PE 9</v>
      </c>
      <c r="E2193" s="3">
        <f>IFERROR(__xludf.DUMMYFUNCTION("""COMPUTED_VALUE"""),6.0)</f>
        <v>6</v>
      </c>
      <c r="F2193" s="300">
        <v>1.0</v>
      </c>
      <c r="G2193" s="300">
        <v>1.0</v>
      </c>
      <c r="H2193" s="300">
        <v>1.0</v>
      </c>
      <c r="I2193" s="300">
        <v>1.0</v>
      </c>
      <c r="J2193" s="300">
        <v>1.0</v>
      </c>
      <c r="K2193" s="300">
        <v>1.0</v>
      </c>
      <c r="L2193" s="300">
        <v>1.0</v>
      </c>
      <c r="M2193" s="300">
        <v>1.0</v>
      </c>
      <c r="N2193" s="300">
        <v>8.0</v>
      </c>
      <c r="O2193" s="300" t="s">
        <v>898</v>
      </c>
      <c r="P2193" s="300">
        <v>6.0</v>
      </c>
    </row>
    <row r="2194">
      <c r="A2194">
        <f>IFERROR(__xludf.DUMMYFUNCTION("""COMPUTED_VALUE"""),9.0)</f>
        <v>9</v>
      </c>
      <c r="B2194" s="406">
        <f>IFERROR(__xludf.DUMMYFUNCTION("""COMPUTED_VALUE"""),29118.0)</f>
        <v>29118</v>
      </c>
      <c r="C2194" t="str">
        <f>IFERROR(__xludf.DUMMYFUNCTION("""COMPUTED_VALUE"""),"TRUJILLO RUIZ, SAMUEL")</f>
        <v>TRUJILLO RUIZ, SAMUEL</v>
      </c>
      <c r="D2194" t="str">
        <f>IFERROR(__xludf.DUMMYFUNCTION("""COMPUTED_VALUE"""),"PE 9")</f>
        <v>PE 9</v>
      </c>
      <c r="E2194" s="3">
        <f>IFERROR(__xludf.DUMMYFUNCTION("""COMPUTED_VALUE"""),5.0)</f>
        <v>5</v>
      </c>
      <c r="F2194" s="300">
        <v>1.0</v>
      </c>
      <c r="G2194" s="300">
        <v>1.0</v>
      </c>
      <c r="H2194" s="300">
        <v>1.0</v>
      </c>
      <c r="I2194" s="300">
        <v>1.0</v>
      </c>
      <c r="J2194" s="300">
        <v>1.0</v>
      </c>
      <c r="K2194" s="300">
        <v>1.0</v>
      </c>
      <c r="L2194" s="300">
        <v>1.0</v>
      </c>
      <c r="M2194" s="300">
        <v>1.0</v>
      </c>
      <c r="N2194" s="300">
        <v>8.0</v>
      </c>
      <c r="O2194" s="300" t="s">
        <v>897</v>
      </c>
      <c r="P2194" s="300">
        <v>6.0</v>
      </c>
    </row>
    <row r="2195">
      <c r="A2195">
        <f>IFERROR(__xludf.DUMMYFUNCTION("""COMPUTED_VALUE"""),9.0)</f>
        <v>9</v>
      </c>
      <c r="B2195" s="406">
        <f>IFERROR(__xludf.DUMMYFUNCTION("""COMPUTED_VALUE"""),29096.0)</f>
        <v>29096</v>
      </c>
      <c r="C2195" t="str">
        <f>IFERROR(__xludf.DUMMYFUNCTION("""COMPUTED_VALUE"""),"RAMIREZ PELAEZ, ANTONIA")</f>
        <v>RAMIREZ PELAEZ, ANTONIA</v>
      </c>
      <c r="D2195" t="str">
        <f>IFERROR(__xludf.DUMMYFUNCTION("""COMPUTED_VALUE"""),"PE 9")</f>
        <v>PE 9</v>
      </c>
      <c r="E2195" s="3">
        <f>IFERROR(__xludf.DUMMYFUNCTION("""COMPUTED_VALUE"""),1.0)</f>
        <v>1</v>
      </c>
      <c r="F2195" s="300">
        <v>1.0</v>
      </c>
      <c r="G2195" s="300">
        <v>1.0</v>
      </c>
      <c r="H2195" s="300">
        <v>1.0</v>
      </c>
      <c r="I2195" s="300">
        <v>1.0</v>
      </c>
      <c r="J2195" s="300">
        <v>1.0</v>
      </c>
      <c r="K2195" s="300">
        <v>1.0</v>
      </c>
      <c r="L2195" s="300">
        <v>1.0</v>
      </c>
      <c r="M2195" s="300">
        <v>1.0</v>
      </c>
      <c r="N2195" s="300">
        <v>8.0</v>
      </c>
      <c r="O2195" s="300" t="s">
        <v>900</v>
      </c>
      <c r="P2195" s="300">
        <v>6.0</v>
      </c>
    </row>
    <row r="2196">
      <c r="A2196">
        <f>IFERROR(__xludf.DUMMYFUNCTION("""COMPUTED_VALUE"""),9.0)</f>
        <v>9</v>
      </c>
      <c r="B2196" s="406">
        <f>IFERROR(__xludf.DUMMYFUNCTION("""COMPUTED_VALUE"""),29119.0)</f>
        <v>29119</v>
      </c>
      <c r="C2196" t="str">
        <f>IFERROR(__xludf.DUMMYFUNCTION("""COMPUTED_VALUE"""),"TRUJILLO RUIZ, SARA")</f>
        <v>TRUJILLO RUIZ, SARA</v>
      </c>
      <c r="D2196" t="str">
        <f>IFERROR(__xludf.DUMMYFUNCTION("""COMPUTED_VALUE"""),"PE 9")</f>
        <v>PE 9</v>
      </c>
      <c r="E2196" s="3">
        <f>IFERROR(__xludf.DUMMYFUNCTION("""COMPUTED_VALUE"""),1.0)</f>
        <v>1</v>
      </c>
      <c r="F2196" s="300">
        <v>1.0</v>
      </c>
      <c r="G2196" s="300">
        <v>1.0</v>
      </c>
      <c r="H2196" s="300">
        <v>1.0</v>
      </c>
      <c r="I2196" s="300">
        <v>1.0</v>
      </c>
      <c r="J2196" s="300">
        <v>1.0</v>
      </c>
      <c r="K2196" s="300">
        <v>1.0</v>
      </c>
      <c r="L2196" s="300">
        <v>1.0</v>
      </c>
      <c r="M2196" s="300">
        <v>1.0</v>
      </c>
      <c r="N2196" s="300">
        <v>8.0</v>
      </c>
      <c r="O2196" s="300" t="s">
        <v>900</v>
      </c>
      <c r="P2196" s="300">
        <v>6.0</v>
      </c>
    </row>
    <row r="2197">
      <c r="A2197">
        <f>IFERROR(__xludf.DUMMYFUNCTION("""COMPUTED_VALUE"""),9.0)</f>
        <v>9</v>
      </c>
      <c r="B2197" s="406">
        <f>IFERROR(__xludf.DUMMYFUNCTION("""COMPUTED_VALUE"""),29097.0)</f>
        <v>29097</v>
      </c>
      <c r="C2197" t="str">
        <f>IFERROR(__xludf.DUMMYFUNCTION("""COMPUTED_VALUE"""),"RAMIREZ PELAEZ, ELENA")</f>
        <v>RAMIREZ PELAEZ, ELENA</v>
      </c>
      <c r="D2197" t="str">
        <f>IFERROR(__xludf.DUMMYFUNCTION("""COMPUTED_VALUE"""),"PE 9")</f>
        <v>PE 9</v>
      </c>
      <c r="E2197" s="3">
        <f>IFERROR(__xludf.DUMMYFUNCTION("""COMPUTED_VALUE"""),1.0)</f>
        <v>1</v>
      </c>
      <c r="F2197" s="300">
        <v>1.0</v>
      </c>
      <c r="G2197" s="300">
        <v>1.0</v>
      </c>
      <c r="H2197" s="300">
        <v>1.0</v>
      </c>
      <c r="I2197" s="300">
        <v>1.0</v>
      </c>
      <c r="J2197" s="300">
        <v>1.0</v>
      </c>
      <c r="K2197" s="300">
        <v>1.0</v>
      </c>
      <c r="L2197" s="300">
        <v>1.0</v>
      </c>
      <c r="M2197" s="300">
        <v>1.0</v>
      </c>
      <c r="N2197" s="300">
        <v>8.0</v>
      </c>
      <c r="O2197" s="300" t="s">
        <v>900</v>
      </c>
      <c r="P2197" s="300">
        <v>6.0</v>
      </c>
    </row>
    <row r="2198">
      <c r="A2198">
        <f>IFERROR(__xludf.DUMMYFUNCTION("""COMPUTED_VALUE"""),9.0)</f>
        <v>9</v>
      </c>
      <c r="B2198" s="406">
        <f>IFERROR(__xludf.DUMMYFUNCTION("""COMPUTED_VALUE"""),29169.0)</f>
        <v>29169</v>
      </c>
      <c r="C2198" t="str">
        <f>IFERROR(__xludf.DUMMYFUNCTION("""COMPUTED_VALUE"""),"REPETTO LARROSA, FAUSTINO")</f>
        <v>REPETTO LARROSA, FAUSTINO</v>
      </c>
      <c r="D2198" t="str">
        <f>IFERROR(__xludf.DUMMYFUNCTION("""COMPUTED_VALUE"""),"PE 9")</f>
        <v>PE 9</v>
      </c>
      <c r="E2198" s="3">
        <f>IFERROR(__xludf.DUMMYFUNCTION("""COMPUTED_VALUE"""),8.0)</f>
        <v>8</v>
      </c>
      <c r="F2198" s="300">
        <v>1.0</v>
      </c>
      <c r="G2198" s="300">
        <v>1.0</v>
      </c>
      <c r="H2198" s="300">
        <v>1.0</v>
      </c>
      <c r="I2198" s="300">
        <v>1.0</v>
      </c>
      <c r="J2198" s="300">
        <v>1.0</v>
      </c>
      <c r="K2198" s="300">
        <v>1.0</v>
      </c>
      <c r="L2198" s="300">
        <v>1.0</v>
      </c>
      <c r="M2198" s="300">
        <v>1.0</v>
      </c>
      <c r="N2198" s="300">
        <v>8.0</v>
      </c>
      <c r="O2198" s="300" t="s">
        <v>901</v>
      </c>
      <c r="P2198" s="300">
        <v>6.0</v>
      </c>
    </row>
    <row r="2199">
      <c r="A2199">
        <f>IFERROR(__xludf.DUMMYFUNCTION("""COMPUTED_VALUE"""),9.0)</f>
        <v>9</v>
      </c>
      <c r="B2199" s="406">
        <f>IFERROR(__xludf.DUMMYFUNCTION("""COMPUTED_VALUE"""),29156.0)</f>
        <v>29156</v>
      </c>
      <c r="C2199" t="str">
        <f>IFERROR(__xludf.DUMMYFUNCTION("""COMPUTED_VALUE"""),"FERNANDEZ CALDERON, TAMARA")</f>
        <v>FERNANDEZ CALDERON, TAMARA</v>
      </c>
      <c r="D2199" t="str">
        <f>IFERROR(__xludf.DUMMYFUNCTION("""COMPUTED_VALUE"""),"PE 9")</f>
        <v>PE 9</v>
      </c>
      <c r="E2199" s="3">
        <f>IFERROR(__xludf.DUMMYFUNCTION("""COMPUTED_VALUE"""),6.0)</f>
        <v>6</v>
      </c>
      <c r="F2199" s="300">
        <v>1.0</v>
      </c>
      <c r="G2199" s="300">
        <v>1.0</v>
      </c>
      <c r="H2199" s="300">
        <v>1.0</v>
      </c>
      <c r="I2199" s="300">
        <v>1.0</v>
      </c>
      <c r="J2199" s="300">
        <v>1.0</v>
      </c>
      <c r="K2199" s="300">
        <v>1.0</v>
      </c>
      <c r="L2199" s="300">
        <v>1.0</v>
      </c>
      <c r="M2199" s="300">
        <v>1.0</v>
      </c>
      <c r="N2199" s="300">
        <v>8.0</v>
      </c>
      <c r="O2199" s="300" t="s">
        <v>898</v>
      </c>
      <c r="P2199" s="300">
        <v>6.0</v>
      </c>
    </row>
    <row r="2200">
      <c r="A2200">
        <f>IFERROR(__xludf.DUMMYFUNCTION("""COMPUTED_VALUE"""),9.0)</f>
        <v>9</v>
      </c>
      <c r="B2200" s="406">
        <f>IFERROR(__xludf.DUMMYFUNCTION("""COMPUTED_VALUE"""),29035.0)</f>
        <v>29035</v>
      </c>
      <c r="C2200" t="str">
        <f>IFERROR(__xludf.DUMMYFUNCTION("""COMPUTED_VALUE"""),"DURAN CALAD, MIGUEL")</f>
        <v>DURAN CALAD, MIGUEL</v>
      </c>
      <c r="D2200" t="str">
        <f>IFERROR(__xludf.DUMMYFUNCTION("""COMPUTED_VALUE"""),"PE 9")</f>
        <v>PE 9</v>
      </c>
      <c r="E2200" s="3">
        <f>IFERROR(__xludf.DUMMYFUNCTION("""COMPUTED_VALUE"""),8.0)</f>
        <v>8</v>
      </c>
      <c r="F2200" s="300">
        <v>1.0</v>
      </c>
      <c r="G2200" s="300">
        <v>1.0</v>
      </c>
      <c r="H2200" s="300">
        <v>1.0</v>
      </c>
      <c r="I2200" s="300">
        <v>1.0</v>
      </c>
      <c r="J2200" s="300">
        <v>1.0</v>
      </c>
      <c r="K2200" s="300">
        <v>1.0</v>
      </c>
      <c r="L2200" s="300">
        <v>1.0</v>
      </c>
      <c r="M2200" s="300">
        <v>1.0</v>
      </c>
      <c r="N2200" s="300">
        <v>8.0</v>
      </c>
      <c r="O2200" s="300" t="s">
        <v>901</v>
      </c>
      <c r="P2200" s="300">
        <v>6.0</v>
      </c>
    </row>
    <row r="2201">
      <c r="A2201">
        <f>IFERROR(__xludf.DUMMYFUNCTION("""COMPUTED_VALUE"""),9.0)</f>
        <v>9</v>
      </c>
      <c r="B2201" s="406">
        <f>IFERROR(__xludf.DUMMYFUNCTION("""COMPUTED_VALUE"""),29028.0)</f>
        <v>29028</v>
      </c>
      <c r="C2201" t="str">
        <f>IFERROR(__xludf.DUMMYFUNCTION("""COMPUTED_VALUE"""),"CARVAJAL ACOSTA, MARTIN")</f>
        <v>CARVAJAL ACOSTA, MARTIN</v>
      </c>
      <c r="D2201" t="str">
        <f>IFERROR(__xludf.DUMMYFUNCTION("""COMPUTED_VALUE"""),"PE 9")</f>
        <v>PE 9</v>
      </c>
      <c r="E2201" s="3">
        <f>IFERROR(__xludf.DUMMYFUNCTION("""COMPUTED_VALUE"""),2.0)</f>
        <v>2</v>
      </c>
      <c r="F2201" s="300">
        <v>1.0</v>
      </c>
      <c r="G2201" s="300">
        <v>1.0</v>
      </c>
      <c r="H2201" s="300">
        <v>1.0</v>
      </c>
      <c r="I2201" s="300">
        <v>1.0</v>
      </c>
      <c r="J2201" s="300">
        <v>1.0</v>
      </c>
      <c r="K2201" s="300">
        <v>1.0</v>
      </c>
      <c r="L2201" s="300">
        <v>1.0</v>
      </c>
      <c r="M2201" s="300">
        <v>1.0</v>
      </c>
      <c r="N2201" s="300">
        <v>8.0</v>
      </c>
      <c r="O2201" s="300" t="s">
        <v>899</v>
      </c>
      <c r="P2201" s="300">
        <v>6.0</v>
      </c>
    </row>
    <row r="2202">
      <c r="A2202">
        <f>IFERROR(__xludf.DUMMYFUNCTION("""COMPUTED_VALUE"""),9.0)</f>
        <v>9</v>
      </c>
      <c r="B2202" s="406">
        <f>IFERROR(__xludf.DUMMYFUNCTION("""COMPUTED_VALUE"""),29110.0)</f>
        <v>29110</v>
      </c>
      <c r="C2202" t="str">
        <f>IFERROR(__xludf.DUMMYFUNCTION("""COMPUTED_VALUE"""),"SOSA ECHAVARRIA, EMILIO")</f>
        <v>SOSA ECHAVARRIA, EMILIO</v>
      </c>
      <c r="D2202" t="str">
        <f>IFERROR(__xludf.DUMMYFUNCTION("""COMPUTED_VALUE"""),"PE 9")</f>
        <v>PE 9</v>
      </c>
      <c r="E2202" s="3">
        <f>IFERROR(__xludf.DUMMYFUNCTION("""COMPUTED_VALUE"""),1.0)</f>
        <v>1</v>
      </c>
      <c r="F2202" s="300">
        <v>1.0</v>
      </c>
      <c r="G2202" s="300">
        <v>1.0</v>
      </c>
      <c r="H2202" s="300">
        <v>1.0</v>
      </c>
      <c r="I2202" s="300">
        <v>1.0</v>
      </c>
      <c r="J2202" s="300">
        <v>1.0</v>
      </c>
      <c r="K2202" s="300">
        <v>1.0</v>
      </c>
      <c r="L2202" s="300">
        <v>1.0</v>
      </c>
      <c r="M2202" s="300">
        <v>1.0</v>
      </c>
      <c r="N2202" s="300">
        <v>8.0</v>
      </c>
      <c r="O2202" s="300" t="s">
        <v>900</v>
      </c>
      <c r="P2202" s="300">
        <v>6.0</v>
      </c>
    </row>
    <row r="2203">
      <c r="A2203">
        <f>IFERROR(__xludf.DUMMYFUNCTION("""COMPUTED_VALUE"""),9.0)</f>
        <v>9</v>
      </c>
      <c r="B2203" s="406">
        <f>IFERROR(__xludf.DUMMYFUNCTION("""COMPUTED_VALUE"""),28144.0)</f>
        <v>28144</v>
      </c>
      <c r="C2203" t="str">
        <f>IFERROR(__xludf.DUMMYFUNCTION("""COMPUTED_VALUE"""),"JIMENEZ PATIÑO, EMILIO")</f>
        <v>JIMENEZ PATIÑO, EMILIO</v>
      </c>
      <c r="D2203" t="str">
        <f>IFERROR(__xludf.DUMMYFUNCTION("""COMPUTED_VALUE"""),"PE 9")</f>
        <v>PE 9</v>
      </c>
      <c r="E2203" s="3">
        <f>IFERROR(__xludf.DUMMYFUNCTION("""COMPUTED_VALUE"""),1.0)</f>
        <v>1</v>
      </c>
      <c r="F2203" s="300">
        <v>1.0</v>
      </c>
      <c r="G2203" s="300">
        <v>1.0</v>
      </c>
      <c r="H2203" s="300">
        <v>1.0</v>
      </c>
      <c r="I2203" s="300">
        <v>1.0</v>
      </c>
      <c r="J2203" s="300">
        <v>1.0</v>
      </c>
      <c r="K2203" s="300">
        <v>1.0</v>
      </c>
      <c r="L2203" s="300">
        <v>1.0</v>
      </c>
      <c r="M2203" s="300">
        <v>1.0</v>
      </c>
      <c r="N2203" s="300">
        <v>8.0</v>
      </c>
      <c r="O2203" s="300" t="s">
        <v>900</v>
      </c>
      <c r="P2203" s="300">
        <v>6.0</v>
      </c>
    </row>
    <row r="2204">
      <c r="A2204">
        <f>IFERROR(__xludf.DUMMYFUNCTION("""COMPUTED_VALUE"""),9.0)</f>
        <v>9</v>
      </c>
      <c r="B2204" s="406">
        <f>IFERROR(__xludf.DUMMYFUNCTION("""COMPUTED_VALUE"""),29126.0)</f>
        <v>29126</v>
      </c>
      <c r="C2204" t="str">
        <f>IFERROR(__xludf.DUMMYFUNCTION("""COMPUTED_VALUE"""),"VASQUEZ ANGEL, JUANITA")</f>
        <v>VASQUEZ ANGEL, JUANITA</v>
      </c>
      <c r="D2204" t="str">
        <f>IFERROR(__xludf.DUMMYFUNCTION("""COMPUTED_VALUE"""),"PE 9")</f>
        <v>PE 9</v>
      </c>
      <c r="E2204" s="3">
        <f>IFERROR(__xludf.DUMMYFUNCTION("""COMPUTED_VALUE"""),5.0)</f>
        <v>5</v>
      </c>
      <c r="F2204" s="300">
        <v>1.0</v>
      </c>
      <c r="G2204" s="300">
        <v>1.0</v>
      </c>
      <c r="H2204" s="300">
        <v>1.0</v>
      </c>
      <c r="I2204" s="300">
        <v>1.0</v>
      </c>
      <c r="J2204" s="300">
        <v>1.0</v>
      </c>
      <c r="K2204" s="300">
        <v>1.0</v>
      </c>
      <c r="L2204" s="300">
        <v>1.0</v>
      </c>
      <c r="M2204" s="300">
        <v>1.0</v>
      </c>
      <c r="N2204" s="300">
        <v>8.0</v>
      </c>
      <c r="O2204" s="300" t="s">
        <v>897</v>
      </c>
      <c r="P2204" s="300">
        <v>6.0</v>
      </c>
    </row>
    <row r="2205">
      <c r="A2205">
        <f>IFERROR(__xludf.DUMMYFUNCTION("""COMPUTED_VALUE"""),9.0)</f>
        <v>9</v>
      </c>
      <c r="B2205" s="406">
        <f>IFERROR(__xludf.DUMMYFUNCTION("""COMPUTED_VALUE"""),29098.0)</f>
        <v>29098</v>
      </c>
      <c r="C2205" t="str">
        <f>IFERROR(__xludf.DUMMYFUNCTION("""COMPUTED_VALUE"""),"RESTREPO ESCOBAR, ISABELA")</f>
        <v>RESTREPO ESCOBAR, ISABELA</v>
      </c>
      <c r="D2205" t="str">
        <f>IFERROR(__xludf.DUMMYFUNCTION("""COMPUTED_VALUE"""),"PE 9")</f>
        <v>PE 9</v>
      </c>
      <c r="E2205" s="3">
        <f>IFERROR(__xludf.DUMMYFUNCTION("""COMPUTED_VALUE"""),1.0)</f>
        <v>1</v>
      </c>
      <c r="F2205" s="300">
        <v>1.0</v>
      </c>
      <c r="G2205" s="300">
        <v>1.0</v>
      </c>
      <c r="H2205" s="300">
        <v>1.0</v>
      </c>
      <c r="I2205" s="300">
        <v>1.0</v>
      </c>
      <c r="J2205" s="300">
        <v>1.0</v>
      </c>
      <c r="K2205" s="300">
        <v>1.0</v>
      </c>
      <c r="L2205" s="300">
        <v>1.0</v>
      </c>
      <c r="M2205" s="300">
        <v>1.0</v>
      </c>
      <c r="N2205" s="300">
        <v>8.0</v>
      </c>
      <c r="O2205" s="300" t="s">
        <v>900</v>
      </c>
      <c r="P2205" s="300">
        <v>6.0</v>
      </c>
    </row>
    <row r="2206">
      <c r="A2206">
        <f>IFERROR(__xludf.DUMMYFUNCTION("""COMPUTED_VALUE"""),9.0)</f>
        <v>9</v>
      </c>
      <c r="B2206" s="406">
        <f>IFERROR(__xludf.DUMMYFUNCTION("""COMPUTED_VALUE"""),29083.0)</f>
        <v>29083</v>
      </c>
      <c r="C2206" t="str">
        <f>IFERROR(__xludf.DUMMYFUNCTION("""COMPUTED_VALUE"""),"NAVARRO ZULUAGA, SOFIA")</f>
        <v>NAVARRO ZULUAGA, SOFIA</v>
      </c>
      <c r="D2206" t="str">
        <f>IFERROR(__xludf.DUMMYFUNCTION("""COMPUTED_VALUE"""),"PE 9")</f>
        <v>PE 9</v>
      </c>
      <c r="E2206" s="3">
        <f>IFERROR(__xludf.DUMMYFUNCTION("""COMPUTED_VALUE"""),5.0)</f>
        <v>5</v>
      </c>
      <c r="F2206" s="300">
        <v>1.0</v>
      </c>
      <c r="G2206" s="300">
        <v>1.0</v>
      </c>
      <c r="H2206" s="300">
        <v>1.0</v>
      </c>
      <c r="I2206" s="300">
        <v>1.0</v>
      </c>
      <c r="J2206" s="300">
        <v>1.0</v>
      </c>
      <c r="K2206" s="300">
        <v>1.0</v>
      </c>
      <c r="L2206" s="300">
        <v>1.0</v>
      </c>
      <c r="M2206" s="300">
        <v>1.0</v>
      </c>
      <c r="N2206" s="300">
        <v>8.0</v>
      </c>
      <c r="O2206" s="300" t="s">
        <v>897</v>
      </c>
      <c r="P2206" s="300">
        <v>6.0</v>
      </c>
    </row>
    <row r="2207">
      <c r="A2207">
        <f>IFERROR(__xludf.DUMMYFUNCTION("""COMPUTED_VALUE"""),9.0)</f>
        <v>9</v>
      </c>
      <c r="B2207" s="406">
        <f>IFERROR(__xludf.DUMMYFUNCTION("""COMPUTED_VALUE"""),29023.0)</f>
        <v>29023</v>
      </c>
      <c r="C2207" t="str">
        <f>IFERROR(__xludf.DUMMYFUNCTION("""COMPUTED_VALUE"""),"BOTERO DEL CORRAL, EMILIANA")</f>
        <v>BOTERO DEL CORRAL, EMILIANA</v>
      </c>
      <c r="D2207" t="str">
        <f>IFERROR(__xludf.DUMMYFUNCTION("""COMPUTED_VALUE"""),"PE 9")</f>
        <v>PE 9</v>
      </c>
      <c r="E2207" s="3">
        <f>IFERROR(__xludf.DUMMYFUNCTION("""COMPUTED_VALUE"""),2.0)</f>
        <v>2</v>
      </c>
      <c r="F2207" s="300">
        <v>1.0</v>
      </c>
      <c r="G2207" s="300">
        <v>1.0</v>
      </c>
      <c r="H2207" s="300">
        <v>1.0</v>
      </c>
      <c r="I2207" s="300">
        <v>1.0</v>
      </c>
      <c r="J2207" s="300">
        <v>1.0</v>
      </c>
      <c r="K2207" s="300">
        <v>1.0</v>
      </c>
      <c r="L2207" s="300">
        <v>1.0</v>
      </c>
      <c r="M2207" s="300">
        <v>1.0</v>
      </c>
      <c r="N2207" s="300">
        <v>8.0</v>
      </c>
      <c r="O2207" s="300" t="s">
        <v>899</v>
      </c>
      <c r="P2207" s="300">
        <v>6.0</v>
      </c>
    </row>
    <row r="2208">
      <c r="A2208">
        <f>IFERROR(__xludf.DUMMYFUNCTION("""COMPUTED_VALUE"""),10.0)</f>
        <v>10</v>
      </c>
      <c r="B2208" s="406">
        <f>IFERROR(__xludf.DUMMYFUNCTION("""COMPUTED_VALUE"""),28042.0)</f>
        <v>28042</v>
      </c>
      <c r="C2208" t="str">
        <f>IFERROR(__xludf.DUMMYFUNCTION("""COMPUTED_VALUE"""),"GUERRA MARTINEZ, REBECCA")</f>
        <v>GUERRA MARTINEZ, REBECCA</v>
      </c>
      <c r="D2208" t="str">
        <f>IFERROR(__xludf.DUMMYFUNCTION("""COMPUTED_VALUE"""),"PE 10")</f>
        <v>PE 10</v>
      </c>
      <c r="E2208" s="3">
        <f>IFERROR(__xludf.DUMMYFUNCTION("""COMPUTED_VALUE"""),5.0)</f>
        <v>5</v>
      </c>
      <c r="F2208" s="300">
        <v>1.0</v>
      </c>
      <c r="G2208" s="300">
        <v>1.0</v>
      </c>
      <c r="H2208" s="300">
        <v>1.0</v>
      </c>
      <c r="I2208" s="300">
        <v>1.0</v>
      </c>
      <c r="J2208" s="300">
        <v>1.0</v>
      </c>
      <c r="K2208" s="300">
        <v>1.0</v>
      </c>
      <c r="L2208" s="300">
        <v>1.0</v>
      </c>
      <c r="M2208" s="300">
        <v>1.0</v>
      </c>
      <c r="N2208" s="300">
        <v>8.0</v>
      </c>
      <c r="O2208" s="300" t="s">
        <v>902</v>
      </c>
      <c r="P2208" s="300">
        <v>6.0</v>
      </c>
    </row>
    <row r="2209">
      <c r="A2209">
        <f>IFERROR(__xludf.DUMMYFUNCTION("""COMPUTED_VALUE"""),10.0)</f>
        <v>10</v>
      </c>
      <c r="B2209" s="406">
        <f>IFERROR(__xludf.DUMMYFUNCTION("""COMPUTED_VALUE"""),28116.0)</f>
        <v>28116</v>
      </c>
      <c r="C2209" t="str">
        <f>IFERROR(__xludf.DUMMYFUNCTION("""COMPUTED_VALUE"""),"VELEZ ZAPATA, SARA")</f>
        <v>VELEZ ZAPATA, SARA</v>
      </c>
      <c r="D2209" t="str">
        <f>IFERROR(__xludf.DUMMYFUNCTION("""COMPUTED_VALUE"""),"PE 10")</f>
        <v>PE 10</v>
      </c>
      <c r="E2209" s="3">
        <f>IFERROR(__xludf.DUMMYFUNCTION("""COMPUTED_VALUE"""),1.0)</f>
        <v>1</v>
      </c>
      <c r="F2209" s="300">
        <v>1.0</v>
      </c>
      <c r="G2209" s="300">
        <v>1.0</v>
      </c>
      <c r="H2209" s="300">
        <v>1.0</v>
      </c>
      <c r="I2209" s="300">
        <v>1.0</v>
      </c>
      <c r="J2209" s="300">
        <v>1.0</v>
      </c>
      <c r="K2209" s="300">
        <v>1.0</v>
      </c>
      <c r="L2209" s="300">
        <v>1.0</v>
      </c>
      <c r="M2209" s="300">
        <v>1.0</v>
      </c>
      <c r="N2209" s="300">
        <v>8.0</v>
      </c>
      <c r="O2209" s="300" t="s">
        <v>903</v>
      </c>
      <c r="P2209" s="300">
        <v>6.0</v>
      </c>
    </row>
    <row r="2210">
      <c r="A2210">
        <f>IFERROR(__xludf.DUMMYFUNCTION("""COMPUTED_VALUE"""),10.0)</f>
        <v>10</v>
      </c>
      <c r="B2210" s="406">
        <f>IFERROR(__xludf.DUMMYFUNCTION("""COMPUTED_VALUE"""),28013.0)</f>
        <v>28013</v>
      </c>
      <c r="C2210" t="str">
        <f>IFERROR(__xludf.DUMMYFUNCTION("""COMPUTED_VALUE"""),"BERDUGO RESTREPO, ROSARIO")</f>
        <v>BERDUGO RESTREPO, ROSARIO</v>
      </c>
      <c r="D2210" t="str">
        <f>IFERROR(__xludf.DUMMYFUNCTION("""COMPUTED_VALUE"""),"PE 10")</f>
        <v>PE 10</v>
      </c>
      <c r="E2210" s="3">
        <f>IFERROR(__xludf.DUMMYFUNCTION("""COMPUTED_VALUE"""),7.0)</f>
        <v>7</v>
      </c>
      <c r="F2210" s="300">
        <v>1.0</v>
      </c>
      <c r="G2210" s="300">
        <v>1.0</v>
      </c>
      <c r="H2210" s="300">
        <v>1.0</v>
      </c>
      <c r="I2210" s="300">
        <v>1.0</v>
      </c>
      <c r="J2210" s="300">
        <v>1.0</v>
      </c>
      <c r="K2210" s="300">
        <v>1.0</v>
      </c>
      <c r="L2210" s="300">
        <v>1.0</v>
      </c>
      <c r="M2210" s="300">
        <v>1.0</v>
      </c>
      <c r="N2210" s="300">
        <v>8.0</v>
      </c>
      <c r="O2210" s="300" t="s">
        <v>904</v>
      </c>
      <c r="P2210" s="300">
        <v>6.0</v>
      </c>
    </row>
    <row r="2211">
      <c r="A2211">
        <f>IFERROR(__xludf.DUMMYFUNCTION("""COMPUTED_VALUE"""),10.0)</f>
        <v>10</v>
      </c>
      <c r="B2211" s="406">
        <f>IFERROR(__xludf.DUMMYFUNCTION("""COMPUTED_VALUE"""),28045.0)</f>
        <v>28045</v>
      </c>
      <c r="C2211" t="str">
        <f>IFERROR(__xludf.DUMMYFUNCTION("""COMPUTED_VALUE"""),"HINESTROZA ESCOBAR, LUCIANA")</f>
        <v>HINESTROZA ESCOBAR, LUCIANA</v>
      </c>
      <c r="D2211" t="str">
        <f>IFERROR(__xludf.DUMMYFUNCTION("""COMPUTED_VALUE"""),"PE 10")</f>
        <v>PE 10</v>
      </c>
      <c r="E2211" s="3">
        <f>IFERROR(__xludf.DUMMYFUNCTION("""COMPUTED_VALUE"""),1.0)</f>
        <v>1</v>
      </c>
      <c r="F2211" s="300">
        <v>1.0</v>
      </c>
      <c r="G2211" s="300">
        <v>1.0</v>
      </c>
      <c r="H2211" s="300">
        <v>1.0</v>
      </c>
      <c r="I2211" s="300">
        <v>1.0</v>
      </c>
      <c r="J2211" s="300">
        <v>1.0</v>
      </c>
      <c r="K2211" s="300">
        <v>1.0</v>
      </c>
      <c r="L2211" s="300">
        <v>1.0</v>
      </c>
      <c r="M2211" s="300">
        <v>1.0</v>
      </c>
      <c r="N2211" s="300">
        <v>8.0</v>
      </c>
      <c r="O2211" s="300" t="s">
        <v>903</v>
      </c>
      <c r="P2211" s="300">
        <v>6.0</v>
      </c>
    </row>
    <row r="2212">
      <c r="A2212">
        <f>IFERROR(__xludf.DUMMYFUNCTION("""COMPUTED_VALUE"""),10.0)</f>
        <v>10</v>
      </c>
      <c r="B2212" s="406">
        <f>IFERROR(__xludf.DUMMYFUNCTION("""COMPUTED_VALUE"""),28022.0)</f>
        <v>28022</v>
      </c>
      <c r="C2212" t="str">
        <f>IFERROR(__xludf.DUMMYFUNCTION("""COMPUTED_VALUE"""),"CARVAJAL BOTERO, SIMON")</f>
        <v>CARVAJAL BOTERO, SIMON</v>
      </c>
      <c r="D2212" t="str">
        <f>IFERROR(__xludf.DUMMYFUNCTION("""COMPUTED_VALUE"""),"PE 10")</f>
        <v>PE 10</v>
      </c>
      <c r="E2212" s="3">
        <f>IFERROR(__xludf.DUMMYFUNCTION("""COMPUTED_VALUE"""),2.0)</f>
        <v>2</v>
      </c>
      <c r="F2212" s="300">
        <v>1.0</v>
      </c>
      <c r="G2212" s="300">
        <v>1.0</v>
      </c>
      <c r="H2212" s="300">
        <v>1.0</v>
      </c>
      <c r="I2212" s="300">
        <v>1.0</v>
      </c>
      <c r="J2212" s="300">
        <v>1.0</v>
      </c>
      <c r="K2212" s="300">
        <v>1.0</v>
      </c>
      <c r="L2212" s="300">
        <v>1.0</v>
      </c>
      <c r="M2212" s="300">
        <v>1.0</v>
      </c>
      <c r="N2212" s="300">
        <v>8.0</v>
      </c>
      <c r="O2212" s="300" t="s">
        <v>905</v>
      </c>
      <c r="P2212" s="300">
        <v>6.0</v>
      </c>
    </row>
    <row r="2213">
      <c r="A2213">
        <f>IFERROR(__xludf.DUMMYFUNCTION("""COMPUTED_VALUE"""),10.0)</f>
        <v>10</v>
      </c>
      <c r="B2213" s="406">
        <f>IFERROR(__xludf.DUMMYFUNCTION("""COMPUTED_VALUE"""),28166.0)</f>
        <v>28166</v>
      </c>
      <c r="C2213" t="str">
        <f>IFERROR(__xludf.DUMMYFUNCTION("""COMPUTED_VALUE"""),"VELEZ RAMIREZ, MIGUEL")</f>
        <v>VELEZ RAMIREZ, MIGUEL</v>
      </c>
      <c r="D2213" t="str">
        <f>IFERROR(__xludf.DUMMYFUNCTION("""COMPUTED_VALUE"""),"PE 10")</f>
        <v>PE 10</v>
      </c>
      <c r="E2213" s="3">
        <f>IFERROR(__xludf.DUMMYFUNCTION("""COMPUTED_VALUE"""),1.0)</f>
        <v>1</v>
      </c>
      <c r="F2213" s="300">
        <v>1.0</v>
      </c>
      <c r="G2213" s="300">
        <v>1.0</v>
      </c>
      <c r="H2213" s="300">
        <v>1.0</v>
      </c>
      <c r="I2213" s="300">
        <v>1.0</v>
      </c>
      <c r="J2213" s="300">
        <v>1.0</v>
      </c>
      <c r="K2213" s="300">
        <v>1.0</v>
      </c>
      <c r="L2213" s="300">
        <v>1.0</v>
      </c>
      <c r="M2213" s="300">
        <v>1.0</v>
      </c>
      <c r="N2213" s="300">
        <v>8.0</v>
      </c>
      <c r="O2213" s="300" t="s">
        <v>903</v>
      </c>
      <c r="P2213" s="300">
        <v>6.0</v>
      </c>
    </row>
    <row r="2214">
      <c r="A2214">
        <f>IFERROR(__xludf.DUMMYFUNCTION("""COMPUTED_VALUE"""),10.0)</f>
        <v>10</v>
      </c>
      <c r="B2214" s="406">
        <f>IFERROR(__xludf.DUMMYFUNCTION("""COMPUTED_VALUE"""),28083.0)</f>
        <v>28083</v>
      </c>
      <c r="C2214" t="str">
        <f>IFERROR(__xludf.DUMMYFUNCTION("""COMPUTED_VALUE"""),"PENAGOS VELEZ, EMILIO")</f>
        <v>PENAGOS VELEZ, EMILIO</v>
      </c>
      <c r="D2214" t="str">
        <f>IFERROR(__xludf.DUMMYFUNCTION("""COMPUTED_VALUE"""),"PE 10")</f>
        <v>PE 10</v>
      </c>
      <c r="E2214" s="3">
        <f>IFERROR(__xludf.DUMMYFUNCTION("""COMPUTED_VALUE"""),4.0)</f>
        <v>4</v>
      </c>
      <c r="F2214" s="300">
        <v>1.0</v>
      </c>
      <c r="G2214" s="300">
        <v>1.0</v>
      </c>
      <c r="H2214" s="300">
        <v>1.0</v>
      </c>
      <c r="I2214" s="300">
        <v>1.0</v>
      </c>
      <c r="J2214" s="300">
        <v>1.0</v>
      </c>
      <c r="K2214" s="300">
        <v>1.0</v>
      </c>
      <c r="L2214" s="300">
        <v>1.0</v>
      </c>
      <c r="M2214" s="300">
        <v>1.0</v>
      </c>
      <c r="N2214" s="300">
        <v>8.0</v>
      </c>
      <c r="O2214" s="300" t="s">
        <v>906</v>
      </c>
      <c r="P2214" s="300">
        <v>6.0</v>
      </c>
    </row>
    <row r="2215">
      <c r="A2215">
        <f>IFERROR(__xludf.DUMMYFUNCTION("""COMPUTED_VALUE"""),10.0)</f>
        <v>10</v>
      </c>
      <c r="B2215" s="406">
        <f>IFERROR(__xludf.DUMMYFUNCTION("""COMPUTED_VALUE"""),28105.0)</f>
        <v>28105</v>
      </c>
      <c r="C2215" t="str">
        <f>IFERROR(__xludf.DUMMYFUNCTION("""COMPUTED_VALUE"""),"TABARES MORENO, LUCAS")</f>
        <v>TABARES MORENO, LUCAS</v>
      </c>
      <c r="D2215" t="str">
        <f>IFERROR(__xludf.DUMMYFUNCTION("""COMPUTED_VALUE"""),"PE 10")</f>
        <v>PE 10</v>
      </c>
      <c r="E2215" s="3">
        <f>IFERROR(__xludf.DUMMYFUNCTION("""COMPUTED_VALUE"""),2.0)</f>
        <v>2</v>
      </c>
      <c r="F2215" s="300">
        <v>1.0</v>
      </c>
      <c r="G2215" s="300">
        <v>1.0</v>
      </c>
      <c r="H2215" s="300">
        <v>1.0</v>
      </c>
      <c r="I2215" s="300">
        <v>1.0</v>
      </c>
      <c r="J2215" s="300">
        <v>1.0</v>
      </c>
      <c r="K2215" s="300">
        <v>1.0</v>
      </c>
      <c r="L2215" s="300">
        <v>1.0</v>
      </c>
      <c r="M2215" s="300">
        <v>1.0</v>
      </c>
      <c r="N2215" s="300">
        <v>8.0</v>
      </c>
      <c r="O2215" s="300" t="s">
        <v>905</v>
      </c>
      <c r="P2215" s="300">
        <v>6.0</v>
      </c>
    </row>
    <row r="2216">
      <c r="A2216">
        <f>IFERROR(__xludf.DUMMYFUNCTION("""COMPUTED_VALUE"""),10.0)</f>
        <v>10</v>
      </c>
      <c r="B2216" s="406">
        <f>IFERROR(__xludf.DUMMYFUNCTION("""COMPUTED_VALUE"""),28017.0)</f>
        <v>28017</v>
      </c>
      <c r="C2216" t="str">
        <f>IFERROR(__xludf.DUMMYFUNCTION("""COMPUTED_VALUE"""),"BUHOFER DUQUE, ANDREAS EMILIO")</f>
        <v>BUHOFER DUQUE, ANDREAS EMILIO</v>
      </c>
      <c r="D2216" t="str">
        <f>IFERROR(__xludf.DUMMYFUNCTION("""COMPUTED_VALUE"""),"PE 10")</f>
        <v>PE 10</v>
      </c>
      <c r="E2216" s="3">
        <f>IFERROR(__xludf.DUMMYFUNCTION("""COMPUTED_VALUE"""),1.0)</f>
        <v>1</v>
      </c>
      <c r="F2216" s="300">
        <v>1.0</v>
      </c>
      <c r="G2216" s="300">
        <v>1.0</v>
      </c>
      <c r="H2216" s="300">
        <v>1.0</v>
      </c>
      <c r="I2216" s="300">
        <v>1.0</v>
      </c>
      <c r="J2216" s="300">
        <v>1.0</v>
      </c>
      <c r="K2216" s="300">
        <v>1.0</v>
      </c>
      <c r="L2216" s="300">
        <v>1.0</v>
      </c>
      <c r="M2216" s="300">
        <v>1.0</v>
      </c>
      <c r="N2216" s="300">
        <v>8.0</v>
      </c>
      <c r="O2216" s="300" t="s">
        <v>903</v>
      </c>
      <c r="P2216" s="300">
        <v>6.0</v>
      </c>
    </row>
    <row r="2217">
      <c r="A2217">
        <f>IFERROR(__xludf.DUMMYFUNCTION("""COMPUTED_VALUE"""),10.0)</f>
        <v>10</v>
      </c>
      <c r="B2217" s="406">
        <f>IFERROR(__xludf.DUMMYFUNCTION("""COMPUTED_VALUE"""),28056.0)</f>
        <v>28056</v>
      </c>
      <c r="C2217" t="str">
        <f>IFERROR(__xludf.DUMMYFUNCTION("""COMPUTED_VALUE"""),"LOPEZ RODRIGUEZ, MAR")</f>
        <v>LOPEZ RODRIGUEZ, MAR</v>
      </c>
      <c r="D2217" t="str">
        <f>IFERROR(__xludf.DUMMYFUNCTION("""COMPUTED_VALUE"""),"PE 10")</f>
        <v>PE 10</v>
      </c>
      <c r="E2217" s="3">
        <f>IFERROR(__xludf.DUMMYFUNCTION("""COMPUTED_VALUE"""),6.0)</f>
        <v>6</v>
      </c>
      <c r="F2217" s="300">
        <v>1.0</v>
      </c>
      <c r="G2217" s="300">
        <v>1.0</v>
      </c>
      <c r="H2217" s="300">
        <v>1.0</v>
      </c>
      <c r="I2217" s="300">
        <v>1.0</v>
      </c>
      <c r="J2217" s="300">
        <v>1.0</v>
      </c>
      <c r="K2217" s="300">
        <v>1.0</v>
      </c>
      <c r="L2217" s="300">
        <v>1.0</v>
      </c>
      <c r="M2217" s="300">
        <v>1.0</v>
      </c>
      <c r="N2217" s="300">
        <v>8.0</v>
      </c>
      <c r="O2217" s="300" t="s">
        <v>907</v>
      </c>
      <c r="P2217" s="300">
        <v>6.0</v>
      </c>
    </row>
    <row r="2218">
      <c r="A2218">
        <f>IFERROR(__xludf.DUMMYFUNCTION("""COMPUTED_VALUE"""),10.0)</f>
        <v>10</v>
      </c>
      <c r="B2218" s="406">
        <f>IFERROR(__xludf.DUMMYFUNCTION("""COMPUTED_VALUE"""),27041.0)</f>
        <v>27041</v>
      </c>
      <c r="C2218" t="str">
        <f>IFERROR(__xludf.DUMMYFUNCTION("""COMPUTED_VALUE"""),"GALVEZ ATEHORTUA, JUANITA")</f>
        <v>GALVEZ ATEHORTUA, JUANITA</v>
      </c>
      <c r="D2218" t="str">
        <f>IFERROR(__xludf.DUMMYFUNCTION("""COMPUTED_VALUE"""),"PE 10")</f>
        <v>PE 10</v>
      </c>
      <c r="E2218" s="3">
        <f>IFERROR(__xludf.DUMMYFUNCTION("""COMPUTED_VALUE"""),5.0)</f>
        <v>5</v>
      </c>
      <c r="F2218" s="300">
        <v>1.0</v>
      </c>
      <c r="G2218" s="300">
        <v>1.0</v>
      </c>
      <c r="H2218" s="300">
        <v>1.0</v>
      </c>
      <c r="I2218" s="300">
        <v>1.0</v>
      </c>
      <c r="J2218" s="300">
        <v>1.0</v>
      </c>
      <c r="K2218" s="300">
        <v>1.0</v>
      </c>
      <c r="L2218" s="300">
        <v>1.0</v>
      </c>
      <c r="M2218" s="300">
        <v>1.0</v>
      </c>
      <c r="N2218" s="300">
        <v>8.0</v>
      </c>
      <c r="O2218" s="300" t="s">
        <v>902</v>
      </c>
      <c r="P2218" s="300">
        <v>6.0</v>
      </c>
    </row>
    <row r="2219">
      <c r="A2219">
        <f>IFERROR(__xludf.DUMMYFUNCTION("""COMPUTED_VALUE"""),10.0)</f>
        <v>10</v>
      </c>
      <c r="B2219" s="406">
        <f>IFERROR(__xludf.DUMMYFUNCTION("""COMPUTED_VALUE"""),28058.0)</f>
        <v>28058</v>
      </c>
      <c r="C2219" t="str">
        <f>IFERROR(__xludf.DUMMYFUNCTION("""COMPUTED_VALUE"""),"MARULANDA VARGAS, ELISA")</f>
        <v>MARULANDA VARGAS, ELISA</v>
      </c>
      <c r="D2219" t="str">
        <f>IFERROR(__xludf.DUMMYFUNCTION("""COMPUTED_VALUE"""),"PE 10")</f>
        <v>PE 10</v>
      </c>
      <c r="E2219" s="3">
        <f>IFERROR(__xludf.DUMMYFUNCTION("""COMPUTED_VALUE"""),5.0)</f>
        <v>5</v>
      </c>
      <c r="F2219" s="300">
        <v>1.0</v>
      </c>
      <c r="G2219" s="300">
        <v>1.0</v>
      </c>
      <c r="H2219" s="300">
        <v>1.0</v>
      </c>
      <c r="I2219" s="300">
        <v>1.0</v>
      </c>
      <c r="J2219" s="300">
        <v>1.0</v>
      </c>
      <c r="K2219" s="300">
        <v>1.0</v>
      </c>
      <c r="L2219" s="300">
        <v>1.0</v>
      </c>
      <c r="M2219" s="300">
        <v>1.0</v>
      </c>
      <c r="N2219" s="300">
        <v>8.0</v>
      </c>
      <c r="O2219" s="300" t="s">
        <v>902</v>
      </c>
      <c r="P2219" s="300">
        <v>6.0</v>
      </c>
    </row>
    <row r="2220">
      <c r="A2220">
        <f>IFERROR(__xludf.DUMMYFUNCTION("""COMPUTED_VALUE"""),10.0)</f>
        <v>10</v>
      </c>
      <c r="B2220" s="406">
        <f>IFERROR(__xludf.DUMMYFUNCTION("""COMPUTED_VALUE"""),28043.0)</f>
        <v>28043</v>
      </c>
      <c r="C2220" t="str">
        <f>IFERROR(__xludf.DUMMYFUNCTION("""COMPUTED_VALUE"""),"GUTIERREZ ABUCHAR, TOMAS")</f>
        <v>GUTIERREZ ABUCHAR, TOMAS</v>
      </c>
      <c r="D2220" t="str">
        <f>IFERROR(__xludf.DUMMYFUNCTION("""COMPUTED_VALUE"""),"PE 10")</f>
        <v>PE 10</v>
      </c>
      <c r="E2220" s="3">
        <f>IFERROR(__xludf.DUMMYFUNCTION("""COMPUTED_VALUE"""),5.0)</f>
        <v>5</v>
      </c>
      <c r="F2220" s="300">
        <v>1.0</v>
      </c>
      <c r="G2220" s="300">
        <v>1.0</v>
      </c>
      <c r="H2220" s="300">
        <v>1.0</v>
      </c>
      <c r="I2220" s="300">
        <v>1.0</v>
      </c>
      <c r="J2220" s="300">
        <v>1.0</v>
      </c>
      <c r="K2220" s="300">
        <v>1.0</v>
      </c>
      <c r="L2220" s="300">
        <v>1.0</v>
      </c>
      <c r="M2220" s="300">
        <v>1.0</v>
      </c>
      <c r="N2220" s="300">
        <v>8.0</v>
      </c>
      <c r="O2220" s="300" t="s">
        <v>902</v>
      </c>
      <c r="P2220" s="300">
        <v>6.0</v>
      </c>
    </row>
    <row r="2221">
      <c r="A2221">
        <f>IFERROR(__xludf.DUMMYFUNCTION("""COMPUTED_VALUE"""),10.0)</f>
        <v>10</v>
      </c>
      <c r="B2221" s="406">
        <f>IFERROR(__xludf.DUMMYFUNCTION("""COMPUTED_VALUE"""),28113.0)</f>
        <v>28113</v>
      </c>
      <c r="C2221" t="str">
        <f>IFERROR(__xludf.DUMMYFUNCTION("""COMPUTED_VALUE"""),"VELEZ COCK, ELISA")</f>
        <v>VELEZ COCK, ELISA</v>
      </c>
      <c r="D2221" t="str">
        <f>IFERROR(__xludf.DUMMYFUNCTION("""COMPUTED_VALUE"""),"PE 10")</f>
        <v>PE 10</v>
      </c>
      <c r="E2221" s="3">
        <f>IFERROR(__xludf.DUMMYFUNCTION("""COMPUTED_VALUE"""),5.0)</f>
        <v>5</v>
      </c>
      <c r="F2221" s="300">
        <v>1.0</v>
      </c>
      <c r="G2221" s="300">
        <v>1.0</v>
      </c>
      <c r="H2221" s="300">
        <v>1.0</v>
      </c>
      <c r="I2221" s="300">
        <v>1.0</v>
      </c>
      <c r="J2221" s="300">
        <v>1.0</v>
      </c>
      <c r="K2221" s="300">
        <v>1.0</v>
      </c>
      <c r="L2221" s="300">
        <v>1.0</v>
      </c>
      <c r="M2221" s="300">
        <v>1.0</v>
      </c>
      <c r="N2221" s="300">
        <v>8.0</v>
      </c>
      <c r="O2221" s="300" t="s">
        <v>902</v>
      </c>
      <c r="P2221" s="300">
        <v>6.0</v>
      </c>
    </row>
    <row r="2222">
      <c r="A2222">
        <f>IFERROR(__xludf.DUMMYFUNCTION("""COMPUTED_VALUE"""),10.0)</f>
        <v>10</v>
      </c>
      <c r="B2222" s="406">
        <f>IFERROR(__xludf.DUMMYFUNCTION("""COMPUTED_VALUE"""),28157.0)</f>
        <v>28157</v>
      </c>
      <c r="C2222" t="str">
        <f>IFERROR(__xludf.DUMMYFUNCTION("""COMPUTED_VALUE"""),"ORTEGA OCHOA, FEDERICO")</f>
        <v>ORTEGA OCHOA, FEDERICO</v>
      </c>
      <c r="D2222" t="str">
        <f>IFERROR(__xludf.DUMMYFUNCTION("""COMPUTED_VALUE"""),"PE 10")</f>
        <v>PE 10</v>
      </c>
      <c r="E2222" s="3">
        <f>IFERROR(__xludf.DUMMYFUNCTION("""COMPUTED_VALUE"""),1.0)</f>
        <v>1</v>
      </c>
      <c r="F2222" s="300">
        <v>1.0</v>
      </c>
      <c r="G2222" s="300">
        <v>1.0</v>
      </c>
      <c r="H2222" s="300">
        <v>1.0</v>
      </c>
      <c r="I2222" s="300">
        <v>1.0</v>
      </c>
      <c r="J2222" s="300">
        <v>1.0</v>
      </c>
      <c r="K2222" s="300">
        <v>1.0</v>
      </c>
      <c r="L2222" s="300">
        <v>1.0</v>
      </c>
      <c r="M2222" s="300">
        <v>1.0</v>
      </c>
      <c r="N2222" s="300">
        <v>8.0</v>
      </c>
      <c r="O2222" s="300" t="s">
        <v>903</v>
      </c>
      <c r="P2222" s="300">
        <v>6.0</v>
      </c>
    </row>
    <row r="2223">
      <c r="A2223">
        <f>IFERROR(__xludf.DUMMYFUNCTION("""COMPUTED_VALUE"""),10.0)</f>
        <v>10</v>
      </c>
      <c r="B2223" s="406">
        <f>IFERROR(__xludf.DUMMYFUNCTION("""COMPUTED_VALUE"""),28098.0)</f>
        <v>28098</v>
      </c>
      <c r="C2223" t="str">
        <f>IFERROR(__xludf.DUMMYFUNCTION("""COMPUTED_VALUE"""),"ROBLEDO LLANO, MAXIMILIANO")</f>
        <v>ROBLEDO LLANO, MAXIMILIANO</v>
      </c>
      <c r="D2223" t="str">
        <f>IFERROR(__xludf.DUMMYFUNCTION("""COMPUTED_VALUE"""),"PE 10")</f>
        <v>PE 10</v>
      </c>
      <c r="E2223" s="3">
        <f>IFERROR(__xludf.DUMMYFUNCTION("""COMPUTED_VALUE"""),4.0)</f>
        <v>4</v>
      </c>
      <c r="F2223" s="300">
        <v>1.0</v>
      </c>
      <c r="G2223" s="300">
        <v>1.0</v>
      </c>
      <c r="H2223" s="300">
        <v>1.0</v>
      </c>
      <c r="I2223" s="300">
        <v>1.0</v>
      </c>
      <c r="J2223" s="300">
        <v>1.0</v>
      </c>
      <c r="K2223" s="300">
        <v>1.0</v>
      </c>
      <c r="L2223" s="300">
        <v>1.0</v>
      </c>
      <c r="M2223" s="300">
        <v>1.0</v>
      </c>
      <c r="N2223" s="300">
        <v>8.0</v>
      </c>
      <c r="O2223" s="300" t="s">
        <v>906</v>
      </c>
      <c r="P2223" s="300">
        <v>6.0</v>
      </c>
    </row>
    <row r="2224">
      <c r="A2224">
        <f>IFERROR(__xludf.DUMMYFUNCTION("""COMPUTED_VALUE"""),10.0)</f>
        <v>10</v>
      </c>
      <c r="B2224" s="406">
        <f>IFERROR(__xludf.DUMMYFUNCTION("""COMPUTED_VALUE"""),28117.0)</f>
        <v>28117</v>
      </c>
      <c r="C2224" t="str">
        <f>IFERROR(__xludf.DUMMYFUNCTION("""COMPUTED_VALUE"""),"VILLEGAS BOTERO, MARIANA")</f>
        <v>VILLEGAS BOTERO, MARIANA</v>
      </c>
      <c r="D2224" t="str">
        <f>IFERROR(__xludf.DUMMYFUNCTION("""COMPUTED_VALUE"""),"PE 10")</f>
        <v>PE 10</v>
      </c>
      <c r="E2224" s="3">
        <f>IFERROR(__xludf.DUMMYFUNCTION("""COMPUTED_VALUE"""),6.0)</f>
        <v>6</v>
      </c>
      <c r="F2224" s="300">
        <v>1.0</v>
      </c>
      <c r="G2224" s="300">
        <v>1.0</v>
      </c>
      <c r="H2224" s="300">
        <v>1.0</v>
      </c>
      <c r="I2224" s="300">
        <v>1.0</v>
      </c>
      <c r="J2224" s="300">
        <v>1.0</v>
      </c>
      <c r="K2224" s="300">
        <v>1.0</v>
      </c>
      <c r="L2224" s="300">
        <v>1.0</v>
      </c>
      <c r="M2224" s="300">
        <v>1.0</v>
      </c>
      <c r="N2224" s="300">
        <v>8.0</v>
      </c>
      <c r="O2224" s="300" t="s">
        <v>907</v>
      </c>
      <c r="P2224" s="300">
        <v>6.0</v>
      </c>
    </row>
    <row r="2225">
      <c r="A2225">
        <f>IFERROR(__xludf.DUMMYFUNCTION("""COMPUTED_VALUE"""),10.0)</f>
        <v>10</v>
      </c>
      <c r="B2225" s="406">
        <f>IFERROR(__xludf.DUMMYFUNCTION("""COMPUTED_VALUE"""),28100.0)</f>
        <v>28100</v>
      </c>
      <c r="C2225" t="str">
        <f>IFERROR(__xludf.DUMMYFUNCTION("""COMPUTED_VALUE"""),"RODRIGUEZ SALDARRIAGA, SOFIA")</f>
        <v>RODRIGUEZ SALDARRIAGA, SOFIA</v>
      </c>
      <c r="D2225" t="str">
        <f>IFERROR(__xludf.DUMMYFUNCTION("""COMPUTED_VALUE"""),"PE 10")</f>
        <v>PE 10</v>
      </c>
      <c r="E2225" s="3">
        <f>IFERROR(__xludf.DUMMYFUNCTION("""COMPUTED_VALUE"""),6.0)</f>
        <v>6</v>
      </c>
      <c r="F2225" s="300">
        <v>1.0</v>
      </c>
      <c r="G2225" s="300">
        <v>1.0</v>
      </c>
      <c r="H2225" s="300">
        <v>1.0</v>
      </c>
      <c r="I2225" s="300">
        <v>1.0</v>
      </c>
      <c r="J2225" s="300">
        <v>1.0</v>
      </c>
      <c r="K2225" s="300">
        <v>1.0</v>
      </c>
      <c r="L2225" s="300">
        <v>1.0</v>
      </c>
      <c r="M2225" s="300">
        <v>1.0</v>
      </c>
      <c r="N2225" s="300">
        <v>8.0</v>
      </c>
      <c r="O2225" s="300" t="s">
        <v>907</v>
      </c>
      <c r="P2225" s="300">
        <v>6.0</v>
      </c>
    </row>
    <row r="2226">
      <c r="A2226">
        <f>IFERROR(__xludf.DUMMYFUNCTION("""COMPUTED_VALUE"""),10.0)</f>
        <v>10</v>
      </c>
      <c r="B2226" s="406">
        <f>IFERROR(__xludf.DUMMYFUNCTION("""COMPUTED_VALUE"""),28097.0)</f>
        <v>28097</v>
      </c>
      <c r="C2226" t="str">
        <f>IFERROR(__xludf.DUMMYFUNCTION("""COMPUTED_VALUE"""),"RINCON URIBE, CAMILA")</f>
        <v>RINCON URIBE, CAMILA</v>
      </c>
      <c r="D2226" t="str">
        <f>IFERROR(__xludf.DUMMYFUNCTION("""COMPUTED_VALUE"""),"PE 10")</f>
        <v>PE 10</v>
      </c>
      <c r="E2226" s="3">
        <f>IFERROR(__xludf.DUMMYFUNCTION("""COMPUTED_VALUE"""),1.0)</f>
        <v>1</v>
      </c>
      <c r="F2226" s="300">
        <v>1.0</v>
      </c>
      <c r="G2226" s="300">
        <v>1.0</v>
      </c>
      <c r="H2226" s="300">
        <v>1.0</v>
      </c>
      <c r="I2226" s="300">
        <v>1.0</v>
      </c>
      <c r="J2226" s="300">
        <v>1.0</v>
      </c>
      <c r="K2226" s="300">
        <v>1.0</v>
      </c>
      <c r="L2226" s="300">
        <v>1.0</v>
      </c>
      <c r="M2226" s="300">
        <v>1.0</v>
      </c>
      <c r="N2226" s="300">
        <v>8.0</v>
      </c>
      <c r="O2226" s="300" t="s">
        <v>903</v>
      </c>
      <c r="P2226" s="300">
        <v>6.0</v>
      </c>
    </row>
    <row r="2227">
      <c r="A2227">
        <f>IFERROR(__xludf.DUMMYFUNCTION("""COMPUTED_VALUE"""),10.0)</f>
        <v>10</v>
      </c>
      <c r="B2227" s="406">
        <f>IFERROR(__xludf.DUMMYFUNCTION("""COMPUTED_VALUE"""),28053.0)</f>
        <v>28053</v>
      </c>
      <c r="C2227" t="str">
        <f>IFERROR(__xludf.DUMMYFUNCTION("""COMPUTED_VALUE"""),"LOPERA VILLA, ELENA")</f>
        <v>LOPERA VILLA, ELENA</v>
      </c>
      <c r="D2227" t="str">
        <f>IFERROR(__xludf.DUMMYFUNCTION("""COMPUTED_VALUE"""),"PE 10")</f>
        <v>PE 10</v>
      </c>
      <c r="E2227" s="3">
        <f>IFERROR(__xludf.DUMMYFUNCTION("""COMPUTED_VALUE"""),7.0)</f>
        <v>7</v>
      </c>
      <c r="F2227" s="300">
        <v>1.0</v>
      </c>
      <c r="G2227" s="300">
        <v>1.0</v>
      </c>
      <c r="H2227" s="300">
        <v>1.0</v>
      </c>
      <c r="I2227" s="300">
        <v>1.0</v>
      </c>
      <c r="J2227" s="300">
        <v>1.0</v>
      </c>
      <c r="K2227" s="300">
        <v>1.0</v>
      </c>
      <c r="L2227" s="300">
        <v>1.0</v>
      </c>
      <c r="M2227" s="300">
        <v>1.0</v>
      </c>
      <c r="N2227" s="300">
        <v>8.0</v>
      </c>
      <c r="O2227" s="300" t="s">
        <v>904</v>
      </c>
      <c r="P2227" s="300">
        <v>6.0</v>
      </c>
    </row>
    <row r="2228">
      <c r="A2228">
        <f>IFERROR(__xludf.DUMMYFUNCTION("""COMPUTED_VALUE"""),10.0)</f>
        <v>10</v>
      </c>
      <c r="B2228" s="406">
        <f>IFERROR(__xludf.DUMMYFUNCTION("""COMPUTED_VALUE"""),28090.0)</f>
        <v>28090</v>
      </c>
      <c r="C2228" t="str">
        <f>IFERROR(__xludf.DUMMYFUNCTION("""COMPUTED_VALUE"""),"REINOSO TRUJILLO, TOMAS")</f>
        <v>REINOSO TRUJILLO, TOMAS</v>
      </c>
      <c r="D2228" t="str">
        <f>IFERROR(__xludf.DUMMYFUNCTION("""COMPUTED_VALUE"""),"PE 10")</f>
        <v>PE 10</v>
      </c>
      <c r="E2228" s="3">
        <f>IFERROR(__xludf.DUMMYFUNCTION("""COMPUTED_VALUE"""),7.0)</f>
        <v>7</v>
      </c>
      <c r="F2228" s="300">
        <v>1.0</v>
      </c>
      <c r="G2228" s="300">
        <v>1.0</v>
      </c>
      <c r="H2228" s="300">
        <v>1.0</v>
      </c>
      <c r="I2228" s="300">
        <v>1.0</v>
      </c>
      <c r="J2228" s="300">
        <v>1.0</v>
      </c>
      <c r="K2228" s="300">
        <v>1.0</v>
      </c>
      <c r="L2228" s="300">
        <v>1.0</v>
      </c>
      <c r="M2228" s="300">
        <v>1.0</v>
      </c>
      <c r="N2228" s="300">
        <v>8.0</v>
      </c>
      <c r="O2228" s="300" t="s">
        <v>904</v>
      </c>
      <c r="P2228" s="300">
        <v>6.0</v>
      </c>
    </row>
    <row r="2229">
      <c r="A2229">
        <f>IFERROR(__xludf.DUMMYFUNCTION("""COMPUTED_VALUE"""),10.0)</f>
        <v>10</v>
      </c>
      <c r="B2229" s="406">
        <f>IFERROR(__xludf.DUMMYFUNCTION("""COMPUTED_VALUE"""),28050.0)</f>
        <v>28050</v>
      </c>
      <c r="C2229" t="str">
        <f>IFERROR(__xludf.DUMMYFUNCTION("""COMPUTED_VALUE"""),"JARAMILLO FERNANDEZ, EMILIO")</f>
        <v>JARAMILLO FERNANDEZ, EMILIO</v>
      </c>
      <c r="D2229" t="str">
        <f>IFERROR(__xludf.DUMMYFUNCTION("""COMPUTED_VALUE"""),"PE 10")</f>
        <v>PE 10</v>
      </c>
      <c r="E2229" s="3">
        <f>IFERROR(__xludf.DUMMYFUNCTION("""COMPUTED_VALUE"""),5.0)</f>
        <v>5</v>
      </c>
      <c r="F2229" s="300">
        <v>1.0</v>
      </c>
      <c r="G2229" s="300">
        <v>1.0</v>
      </c>
      <c r="H2229" s="300">
        <v>1.0</v>
      </c>
      <c r="I2229" s="300">
        <v>1.0</v>
      </c>
      <c r="J2229" s="300">
        <v>1.0</v>
      </c>
      <c r="K2229" s="300">
        <v>1.0</v>
      </c>
      <c r="L2229" s="300">
        <v>1.0</v>
      </c>
      <c r="M2229" s="300">
        <v>1.0</v>
      </c>
      <c r="N2229" s="300">
        <v>8.0</v>
      </c>
      <c r="O2229" s="300" t="s">
        <v>902</v>
      </c>
      <c r="P2229" s="300">
        <v>6.0</v>
      </c>
    </row>
    <row r="2230">
      <c r="A2230">
        <f>IFERROR(__xludf.DUMMYFUNCTION("""COMPUTED_VALUE"""),10.0)</f>
        <v>10</v>
      </c>
      <c r="B2230" s="406">
        <f>IFERROR(__xludf.DUMMYFUNCTION("""COMPUTED_VALUE"""),28031.0)</f>
        <v>28031</v>
      </c>
      <c r="C2230" t="str">
        <f>IFERROR(__xludf.DUMMYFUNCTION("""COMPUTED_VALUE"""),"GALLEGO CUARTAS, NICOLAS")</f>
        <v>GALLEGO CUARTAS, NICOLAS</v>
      </c>
      <c r="D2230" t="str">
        <f>IFERROR(__xludf.DUMMYFUNCTION("""COMPUTED_VALUE"""),"PE 10")</f>
        <v>PE 10</v>
      </c>
      <c r="E2230" s="3">
        <f>IFERROR(__xludf.DUMMYFUNCTION("""COMPUTED_VALUE"""),5.0)</f>
        <v>5</v>
      </c>
      <c r="F2230" s="300">
        <v>1.0</v>
      </c>
      <c r="G2230" s="300">
        <v>1.0</v>
      </c>
      <c r="H2230" s="300">
        <v>1.0</v>
      </c>
      <c r="I2230" s="300">
        <v>1.0</v>
      </c>
      <c r="J2230" s="300">
        <v>1.0</v>
      </c>
      <c r="K2230" s="300">
        <v>1.0</v>
      </c>
      <c r="L2230" s="300">
        <v>1.0</v>
      </c>
      <c r="M2230" s="300">
        <v>1.0</v>
      </c>
      <c r="N2230" s="300">
        <v>8.0</v>
      </c>
      <c r="O2230" s="300" t="s">
        <v>902</v>
      </c>
      <c r="P2230" s="300">
        <v>6.0</v>
      </c>
    </row>
    <row r="2231">
      <c r="A2231">
        <f>IFERROR(__xludf.DUMMYFUNCTION("""COMPUTED_VALUE"""),10.0)</f>
        <v>10</v>
      </c>
      <c r="B2231" s="406">
        <f>IFERROR(__xludf.DUMMYFUNCTION("""COMPUTED_VALUE"""),28162.0)</f>
        <v>28162</v>
      </c>
      <c r="C2231" t="str">
        <f>IFERROR(__xludf.DUMMYFUNCTION("""COMPUTED_VALUE"""),"OSPINA BENEDETI, AGUSTIN")</f>
        <v>OSPINA BENEDETI, AGUSTIN</v>
      </c>
      <c r="D2231" t="str">
        <f>IFERROR(__xludf.DUMMYFUNCTION("""COMPUTED_VALUE"""),"PE 10")</f>
        <v>PE 10</v>
      </c>
      <c r="E2231" s="3">
        <f>IFERROR(__xludf.DUMMYFUNCTION("""COMPUTED_VALUE"""),2.0)</f>
        <v>2</v>
      </c>
      <c r="F2231" s="300">
        <v>1.0</v>
      </c>
      <c r="G2231" s="300">
        <v>1.0</v>
      </c>
      <c r="H2231" s="300">
        <v>1.0</v>
      </c>
      <c r="I2231" s="300">
        <v>1.0</v>
      </c>
      <c r="J2231" s="300">
        <v>1.0</v>
      </c>
      <c r="K2231" s="300">
        <v>1.0</v>
      </c>
      <c r="L2231" s="300">
        <v>1.0</v>
      </c>
      <c r="M2231" s="300">
        <v>1.0</v>
      </c>
      <c r="N2231" s="300">
        <v>8.0</v>
      </c>
      <c r="O2231" s="300" t="s">
        <v>905</v>
      </c>
      <c r="P2231" s="300">
        <v>6.0</v>
      </c>
    </row>
    <row r="2232">
      <c r="A2232">
        <f>IFERROR(__xludf.DUMMYFUNCTION("""COMPUTED_VALUE"""),10.0)</f>
        <v>10</v>
      </c>
      <c r="B2232" s="406">
        <f>IFERROR(__xludf.DUMMYFUNCTION("""COMPUTED_VALUE"""),28121.0)</f>
        <v>28121</v>
      </c>
      <c r="C2232" t="str">
        <f>IFERROR(__xludf.DUMMYFUNCTION("""COMPUTED_VALUE"""),"MC LEAN HIDRON, LUCAS")</f>
        <v>MC LEAN HIDRON, LUCAS</v>
      </c>
      <c r="D2232" t="str">
        <f>IFERROR(__xludf.DUMMYFUNCTION("""COMPUTED_VALUE"""),"PE 10")</f>
        <v>PE 10</v>
      </c>
      <c r="E2232" s="3">
        <f>IFERROR(__xludf.DUMMYFUNCTION("""COMPUTED_VALUE"""),7.0)</f>
        <v>7</v>
      </c>
      <c r="F2232" s="300">
        <v>1.0</v>
      </c>
      <c r="G2232" s="300">
        <v>1.0</v>
      </c>
      <c r="H2232" s="300">
        <v>1.0</v>
      </c>
      <c r="I2232" s="300">
        <v>1.0</v>
      </c>
      <c r="J2232" s="300">
        <v>1.0</v>
      </c>
      <c r="K2232" s="300">
        <v>1.0</v>
      </c>
      <c r="L2232" s="300">
        <v>1.0</v>
      </c>
      <c r="M2232" s="300">
        <v>1.0</v>
      </c>
      <c r="N2232" s="300">
        <v>8.0</v>
      </c>
      <c r="O2232" s="300" t="s">
        <v>904</v>
      </c>
      <c r="P2232" s="300">
        <v>6.0</v>
      </c>
    </row>
    <row r="2233">
      <c r="A2233">
        <f>IFERROR(__xludf.DUMMYFUNCTION("""COMPUTED_VALUE"""),10.0)</f>
        <v>10</v>
      </c>
      <c r="B2233" s="406">
        <f>IFERROR(__xludf.DUMMYFUNCTION("""COMPUTED_VALUE"""),28016.0)</f>
        <v>28016</v>
      </c>
      <c r="C2233" t="str">
        <f>IFERROR(__xludf.DUMMYFUNCTION("""COMPUTED_VALUE"""),"BOTERO CASTAÑEDA, CARMEN")</f>
        <v>BOTERO CASTAÑEDA, CARMEN</v>
      </c>
      <c r="D2233" t="str">
        <f>IFERROR(__xludf.DUMMYFUNCTION("""COMPUTED_VALUE"""),"PE 10")</f>
        <v>PE 10</v>
      </c>
      <c r="E2233" s="3">
        <f>IFERROR(__xludf.DUMMYFUNCTION("""COMPUTED_VALUE"""),1.0)</f>
        <v>1</v>
      </c>
      <c r="F2233" s="300">
        <v>1.0</v>
      </c>
      <c r="G2233" s="300">
        <v>1.0</v>
      </c>
      <c r="H2233" s="300">
        <v>1.0</v>
      </c>
      <c r="I2233" s="300">
        <v>1.0</v>
      </c>
      <c r="J2233" s="300">
        <v>1.0</v>
      </c>
      <c r="K2233" s="300">
        <v>1.0</v>
      </c>
      <c r="L2233" s="300">
        <v>1.0</v>
      </c>
      <c r="M2233" s="300">
        <v>1.0</v>
      </c>
      <c r="N2233" s="300">
        <v>8.0</v>
      </c>
      <c r="O2233" s="300" t="s">
        <v>903</v>
      </c>
      <c r="P2233" s="300">
        <v>6.0</v>
      </c>
    </row>
    <row r="2234">
      <c r="A2234">
        <f>IFERROR(__xludf.DUMMYFUNCTION("""COMPUTED_VALUE"""),10.0)</f>
        <v>10</v>
      </c>
      <c r="B2234" s="406">
        <f>IFERROR(__xludf.DUMMYFUNCTION("""COMPUTED_VALUE"""),28170.0)</f>
        <v>28170</v>
      </c>
      <c r="C2234" t="str">
        <f>IFERROR(__xludf.DUMMYFUNCTION("""COMPUTED_VALUE"""),"GOMEZ AMADOR, EMMA")</f>
        <v>GOMEZ AMADOR, EMMA</v>
      </c>
      <c r="D2234" t="str">
        <f>IFERROR(__xludf.DUMMYFUNCTION("""COMPUTED_VALUE"""),"PE 10")</f>
        <v>PE 10</v>
      </c>
      <c r="E2234" s="3">
        <f>IFERROR(__xludf.DUMMYFUNCTION("""COMPUTED_VALUE"""),1.0)</f>
        <v>1</v>
      </c>
      <c r="F2234" s="300">
        <v>1.0</v>
      </c>
      <c r="G2234" s="300">
        <v>1.0</v>
      </c>
      <c r="H2234" s="300">
        <v>1.0</v>
      </c>
      <c r="I2234" s="300">
        <v>1.0</v>
      </c>
      <c r="J2234" s="300">
        <v>1.0</v>
      </c>
      <c r="K2234" s="300">
        <v>1.0</v>
      </c>
      <c r="L2234" s="300">
        <v>1.0</v>
      </c>
      <c r="M2234" s="300">
        <v>1.0</v>
      </c>
      <c r="N2234" s="300">
        <v>8.0</v>
      </c>
      <c r="O2234" s="300" t="s">
        <v>903</v>
      </c>
      <c r="P2234" s="300">
        <v>6.0</v>
      </c>
    </row>
    <row r="2235">
      <c r="A2235">
        <f>IFERROR(__xludf.DUMMYFUNCTION("""COMPUTED_VALUE"""),10.0)</f>
        <v>10</v>
      </c>
      <c r="B2235" s="406">
        <f>IFERROR(__xludf.DUMMYFUNCTION("""COMPUTED_VALUE"""),28054.0)</f>
        <v>28054</v>
      </c>
      <c r="C2235" t="str">
        <f>IFERROR(__xludf.DUMMYFUNCTION("""COMPUTED_VALUE"""),"LOPEZ ESCOBAR, CLEMENTE")</f>
        <v>LOPEZ ESCOBAR, CLEMENTE</v>
      </c>
      <c r="D2235" t="str">
        <f>IFERROR(__xludf.DUMMYFUNCTION("""COMPUTED_VALUE"""),"PE 10")</f>
        <v>PE 10</v>
      </c>
      <c r="E2235" s="3">
        <f>IFERROR(__xludf.DUMMYFUNCTION("""COMPUTED_VALUE"""),1.0)</f>
        <v>1</v>
      </c>
      <c r="F2235" s="300">
        <v>1.0</v>
      </c>
      <c r="G2235" s="300">
        <v>1.0</v>
      </c>
      <c r="H2235" s="300">
        <v>1.0</v>
      </c>
      <c r="I2235" s="300">
        <v>1.0</v>
      </c>
      <c r="J2235" s="300">
        <v>1.0</v>
      </c>
      <c r="K2235" s="300">
        <v>1.0</v>
      </c>
      <c r="L2235" s="300">
        <v>1.0</v>
      </c>
      <c r="M2235" s="300">
        <v>1.0</v>
      </c>
      <c r="N2235" s="300">
        <v>8.0</v>
      </c>
      <c r="O2235" s="300" t="s">
        <v>903</v>
      </c>
      <c r="P2235" s="300">
        <v>6.0</v>
      </c>
    </row>
    <row r="2236">
      <c r="A2236">
        <f>IFERROR(__xludf.DUMMYFUNCTION("""COMPUTED_VALUE"""),10.0)</f>
        <v>10</v>
      </c>
      <c r="B2236" s="406">
        <f>IFERROR(__xludf.DUMMYFUNCTION("""COMPUTED_VALUE"""),28003.0)</f>
        <v>28003</v>
      </c>
      <c r="C2236" t="str">
        <f>IFERROR(__xludf.DUMMYFUNCTION("""COMPUTED_VALUE"""),"ARANGO DUQUE, TOMAS")</f>
        <v>ARANGO DUQUE, TOMAS</v>
      </c>
      <c r="D2236" t="str">
        <f>IFERROR(__xludf.DUMMYFUNCTION("""COMPUTED_VALUE"""),"PE 10")</f>
        <v>PE 10</v>
      </c>
      <c r="E2236" s="3">
        <f>IFERROR(__xludf.DUMMYFUNCTION("""COMPUTED_VALUE"""),2.0)</f>
        <v>2</v>
      </c>
      <c r="F2236" s="300">
        <v>1.0</v>
      </c>
      <c r="G2236" s="300">
        <v>1.0</v>
      </c>
      <c r="H2236" s="300">
        <v>1.0</v>
      </c>
      <c r="I2236" s="300">
        <v>1.0</v>
      </c>
      <c r="J2236" s="300">
        <v>1.0</v>
      </c>
      <c r="K2236" s="300">
        <v>1.0</v>
      </c>
      <c r="L2236" s="300">
        <v>1.0</v>
      </c>
      <c r="M2236" s="300">
        <v>1.0</v>
      </c>
      <c r="N2236" s="300">
        <v>8.0</v>
      </c>
      <c r="O2236" s="300" t="s">
        <v>905</v>
      </c>
      <c r="P2236" s="300">
        <v>6.0</v>
      </c>
    </row>
    <row r="2237">
      <c r="A2237">
        <f>IFERROR(__xludf.DUMMYFUNCTION("""COMPUTED_VALUE"""),10.0)</f>
        <v>10</v>
      </c>
      <c r="B2237" s="406">
        <f>IFERROR(__xludf.DUMMYFUNCTION("""COMPUTED_VALUE"""),28103.0)</f>
        <v>28103</v>
      </c>
      <c r="C2237" t="str">
        <f>IFERROR(__xludf.DUMMYFUNCTION("""COMPUTED_VALUE"""),"SANIN VELASQUEZ, ISRAEL")</f>
        <v>SANIN VELASQUEZ, ISRAEL</v>
      </c>
      <c r="D2237" t="str">
        <f>IFERROR(__xludf.DUMMYFUNCTION("""COMPUTED_VALUE"""),"PE 10")</f>
        <v>PE 10</v>
      </c>
      <c r="E2237" s="3">
        <f>IFERROR(__xludf.DUMMYFUNCTION("""COMPUTED_VALUE"""),1.0)</f>
        <v>1</v>
      </c>
      <c r="F2237" s="300">
        <v>1.0</v>
      </c>
      <c r="G2237" s="300">
        <v>1.0</v>
      </c>
      <c r="H2237" s="300">
        <v>1.0</v>
      </c>
      <c r="I2237" s="300">
        <v>1.0</v>
      </c>
      <c r="J2237" s="300">
        <v>1.0</v>
      </c>
      <c r="K2237" s="300">
        <v>1.0</v>
      </c>
      <c r="L2237" s="300">
        <v>1.0</v>
      </c>
      <c r="M2237" s="300">
        <v>1.0</v>
      </c>
      <c r="N2237" s="300">
        <v>8.0</v>
      </c>
      <c r="O2237" s="300" t="s">
        <v>903</v>
      </c>
      <c r="P2237" s="300">
        <v>6.0</v>
      </c>
    </row>
    <row r="2238">
      <c r="A2238">
        <f>IFERROR(__xludf.DUMMYFUNCTION("""COMPUTED_VALUE"""),10.0)</f>
        <v>10</v>
      </c>
      <c r="B2238" s="406">
        <f>IFERROR(__xludf.DUMMYFUNCTION("""COMPUTED_VALUE"""),28163.0)</f>
        <v>28163</v>
      </c>
      <c r="C2238" t="str">
        <f>IFERROR(__xludf.DUMMYFUNCTION("""COMPUTED_VALUE"""),"GARCIA VALENCIA, EMILIO")</f>
        <v>GARCIA VALENCIA, EMILIO</v>
      </c>
      <c r="D2238" t="str">
        <f>IFERROR(__xludf.DUMMYFUNCTION("""COMPUTED_VALUE"""),"PE 10")</f>
        <v>PE 10</v>
      </c>
      <c r="E2238" s="3">
        <f>IFERROR(__xludf.DUMMYFUNCTION("""COMPUTED_VALUE"""),5.0)</f>
        <v>5</v>
      </c>
      <c r="F2238" s="300">
        <v>1.0</v>
      </c>
      <c r="G2238" s="300">
        <v>1.0</v>
      </c>
      <c r="H2238" s="300">
        <v>1.0</v>
      </c>
      <c r="I2238" s="300">
        <v>1.0</v>
      </c>
      <c r="J2238" s="300">
        <v>1.0</v>
      </c>
      <c r="K2238" s="300">
        <v>1.0</v>
      </c>
      <c r="L2238" s="300">
        <v>1.0</v>
      </c>
      <c r="M2238" s="300">
        <v>1.0</v>
      </c>
      <c r="N2238" s="300">
        <v>8.0</v>
      </c>
      <c r="O2238" s="300" t="s">
        <v>902</v>
      </c>
      <c r="P2238" s="300">
        <v>6.0</v>
      </c>
    </row>
    <row r="2239">
      <c r="A2239">
        <f>IFERROR(__xludf.DUMMYFUNCTION("""COMPUTED_VALUE"""),10.0)</f>
        <v>10</v>
      </c>
      <c r="B2239" s="406">
        <f>IFERROR(__xludf.DUMMYFUNCTION("""COMPUTED_VALUE"""),28074.0)</f>
        <v>28074</v>
      </c>
      <c r="C2239" t="str">
        <f>IFERROR(__xludf.DUMMYFUNCTION("""COMPUTED_VALUE"""),"NAVARRO VILLA, JUAN MARTIN")</f>
        <v>NAVARRO VILLA, JUAN MARTIN</v>
      </c>
      <c r="D2239" t="str">
        <f>IFERROR(__xludf.DUMMYFUNCTION("""COMPUTED_VALUE"""),"PE 10")</f>
        <v>PE 10</v>
      </c>
      <c r="E2239" s="3">
        <f>IFERROR(__xludf.DUMMYFUNCTION("""COMPUTED_VALUE"""),7.0)</f>
        <v>7</v>
      </c>
      <c r="F2239" s="300">
        <v>1.0</v>
      </c>
      <c r="G2239" s="300">
        <v>1.0</v>
      </c>
      <c r="H2239" s="300">
        <v>1.0</v>
      </c>
      <c r="I2239" s="300">
        <v>1.0</v>
      </c>
      <c r="J2239" s="300">
        <v>1.0</v>
      </c>
      <c r="K2239" s="300">
        <v>1.0</v>
      </c>
      <c r="L2239" s="300">
        <v>1.0</v>
      </c>
      <c r="M2239" s="300">
        <v>1.0</v>
      </c>
      <c r="N2239" s="300">
        <v>8.0</v>
      </c>
      <c r="O2239" s="300" t="s">
        <v>904</v>
      </c>
      <c r="P2239" s="300">
        <v>6.0</v>
      </c>
    </row>
    <row r="2240">
      <c r="A2240">
        <f>IFERROR(__xludf.DUMMYFUNCTION("""COMPUTED_VALUE"""),10.0)</f>
        <v>10</v>
      </c>
      <c r="B2240" s="406">
        <f>IFERROR(__xludf.DUMMYFUNCTION("""COMPUTED_VALUE"""),28173.0)</f>
        <v>28173</v>
      </c>
      <c r="C2240" t="str">
        <f>IFERROR(__xludf.DUMMYFUNCTION("""COMPUTED_VALUE"""),"RUIZ RAMIREZ, JACOBO")</f>
        <v>RUIZ RAMIREZ, JACOBO</v>
      </c>
      <c r="D2240" t="str">
        <f>IFERROR(__xludf.DUMMYFUNCTION("""COMPUTED_VALUE"""),"PE 10")</f>
        <v>PE 10</v>
      </c>
      <c r="E2240" s="3">
        <f>IFERROR(__xludf.DUMMYFUNCTION("""COMPUTED_VALUE"""),5.0)</f>
        <v>5</v>
      </c>
      <c r="F2240" s="300">
        <v>1.0</v>
      </c>
      <c r="G2240" s="300">
        <v>1.0</v>
      </c>
      <c r="H2240" s="300">
        <v>1.0</v>
      </c>
      <c r="I2240" s="300">
        <v>1.0</v>
      </c>
      <c r="J2240" s="300">
        <v>1.0</v>
      </c>
      <c r="K2240" s="300">
        <v>1.0</v>
      </c>
      <c r="L2240" s="300">
        <v>1.0</v>
      </c>
      <c r="M2240" s="300">
        <v>1.0</v>
      </c>
      <c r="N2240" s="300">
        <v>8.0</v>
      </c>
      <c r="O2240" s="300" t="s">
        <v>902</v>
      </c>
      <c r="P2240" s="300">
        <v>6.0</v>
      </c>
    </row>
    <row r="2241">
      <c r="A2241">
        <f>IFERROR(__xludf.DUMMYFUNCTION("""COMPUTED_VALUE"""),10.0)</f>
        <v>10</v>
      </c>
      <c r="B2241" s="406">
        <f>IFERROR(__xludf.DUMMYFUNCTION("""COMPUTED_VALUE"""),28159.0)</f>
        <v>28159</v>
      </c>
      <c r="C2241" t="str">
        <f>IFERROR(__xludf.DUMMYFUNCTION("""COMPUTED_VALUE"""),"OROZCO RINCON, JUAN SEBASTIAN")</f>
        <v>OROZCO RINCON, JUAN SEBASTIAN</v>
      </c>
      <c r="D2241" t="str">
        <f>IFERROR(__xludf.DUMMYFUNCTION("""COMPUTED_VALUE"""),"PE 10")</f>
        <v>PE 10</v>
      </c>
      <c r="E2241" s="3">
        <f>IFERROR(__xludf.DUMMYFUNCTION("""COMPUTED_VALUE"""),2.0)</f>
        <v>2</v>
      </c>
      <c r="F2241" s="300">
        <v>1.0</v>
      </c>
      <c r="G2241" s="300">
        <v>1.0</v>
      </c>
      <c r="H2241" s="300">
        <v>1.0</v>
      </c>
      <c r="I2241" s="300">
        <v>1.0</v>
      </c>
      <c r="J2241" s="300">
        <v>1.0</v>
      </c>
      <c r="K2241" s="300">
        <v>1.0</v>
      </c>
      <c r="L2241" s="300">
        <v>1.0</v>
      </c>
      <c r="M2241" s="300">
        <v>1.0</v>
      </c>
      <c r="N2241" s="300">
        <v>8.0</v>
      </c>
      <c r="O2241" s="300" t="s">
        <v>905</v>
      </c>
      <c r="P2241" s="300">
        <v>6.0</v>
      </c>
    </row>
    <row r="2242">
      <c r="A2242">
        <f>IFERROR(__xludf.DUMMYFUNCTION("""COMPUTED_VALUE"""),10.0)</f>
        <v>10</v>
      </c>
      <c r="B2242" s="406">
        <f>IFERROR(__xludf.DUMMYFUNCTION("""COMPUTED_VALUE"""),28063.0)</f>
        <v>28063</v>
      </c>
      <c r="C2242" t="str">
        <f>IFERROR(__xludf.DUMMYFUNCTION("""COMPUTED_VALUE"""),"MEJIA GONZALEZ, ISMAEL IGNACIO")</f>
        <v>MEJIA GONZALEZ, ISMAEL IGNACIO</v>
      </c>
      <c r="D2242" t="str">
        <f>IFERROR(__xludf.DUMMYFUNCTION("""COMPUTED_VALUE"""),"PE 10")</f>
        <v>PE 10</v>
      </c>
      <c r="E2242" s="3">
        <f>IFERROR(__xludf.DUMMYFUNCTION("""COMPUTED_VALUE"""),7.0)</f>
        <v>7</v>
      </c>
      <c r="F2242" s="300">
        <v>1.0</v>
      </c>
      <c r="G2242" s="300">
        <v>1.0</v>
      </c>
      <c r="H2242" s="300">
        <v>1.0</v>
      </c>
      <c r="I2242" s="300">
        <v>1.0</v>
      </c>
      <c r="J2242" s="300">
        <v>1.0</v>
      </c>
      <c r="K2242" s="300">
        <v>1.0</v>
      </c>
      <c r="L2242" s="300">
        <v>1.0</v>
      </c>
      <c r="M2242" s="300">
        <v>1.0</v>
      </c>
      <c r="N2242" s="300">
        <v>8.0</v>
      </c>
      <c r="O2242" s="300" t="s">
        <v>904</v>
      </c>
      <c r="P2242" s="300">
        <v>6.0</v>
      </c>
    </row>
    <row r="2243">
      <c r="A2243">
        <f>IFERROR(__xludf.DUMMYFUNCTION("""COMPUTED_VALUE"""),10.0)</f>
        <v>10</v>
      </c>
      <c r="B2243" s="406">
        <f>IFERROR(__xludf.DUMMYFUNCTION("""COMPUTED_VALUE"""),28155.0)</f>
        <v>28155</v>
      </c>
      <c r="C2243" t="str">
        <f>IFERROR(__xludf.DUMMYFUNCTION("""COMPUTED_VALUE"""),"URIBE CERON, MANUELA")</f>
        <v>URIBE CERON, MANUELA</v>
      </c>
      <c r="D2243" t="str">
        <f>IFERROR(__xludf.DUMMYFUNCTION("""COMPUTED_VALUE"""),"PE 10")</f>
        <v>PE 10</v>
      </c>
      <c r="E2243" s="3">
        <f>IFERROR(__xludf.DUMMYFUNCTION("""COMPUTED_VALUE"""),1.0)</f>
        <v>1</v>
      </c>
      <c r="F2243" s="300">
        <v>1.0</v>
      </c>
      <c r="G2243" s="300">
        <v>1.0</v>
      </c>
      <c r="H2243" s="300">
        <v>1.0</v>
      </c>
      <c r="I2243" s="300">
        <v>1.0</v>
      </c>
      <c r="J2243" s="300">
        <v>1.0</v>
      </c>
      <c r="K2243" s="300">
        <v>1.0</v>
      </c>
      <c r="L2243" s="300">
        <v>1.0</v>
      </c>
      <c r="M2243" s="300">
        <v>1.0</v>
      </c>
      <c r="N2243" s="300">
        <v>8.0</v>
      </c>
      <c r="O2243" s="300" t="s">
        <v>903</v>
      </c>
      <c r="P2243" s="300">
        <v>6.0</v>
      </c>
    </row>
    <row r="2244">
      <c r="A2244">
        <f>IFERROR(__xludf.DUMMYFUNCTION("""COMPUTED_VALUE"""),10.0)</f>
        <v>10</v>
      </c>
      <c r="B2244" s="406">
        <f>IFERROR(__xludf.DUMMYFUNCTION("""COMPUTED_VALUE"""),28109.0)</f>
        <v>28109</v>
      </c>
      <c r="C2244" t="str">
        <f>IFERROR(__xludf.DUMMYFUNCTION("""COMPUTED_VALUE"""),"TRUJILLO VELEZ, MARIANA")</f>
        <v>TRUJILLO VELEZ, MARIANA</v>
      </c>
      <c r="D2244" t="str">
        <f>IFERROR(__xludf.DUMMYFUNCTION("""COMPUTED_VALUE"""),"PE 10")</f>
        <v>PE 10</v>
      </c>
      <c r="E2244" s="3">
        <f>IFERROR(__xludf.DUMMYFUNCTION("""COMPUTED_VALUE"""),2.0)</f>
        <v>2</v>
      </c>
      <c r="F2244" s="300">
        <v>1.0</v>
      </c>
      <c r="G2244" s="300">
        <v>1.0</v>
      </c>
      <c r="H2244" s="300">
        <v>1.0</v>
      </c>
      <c r="I2244" s="300">
        <v>1.0</v>
      </c>
      <c r="J2244" s="300">
        <v>1.0</v>
      </c>
      <c r="K2244" s="300">
        <v>1.0</v>
      </c>
      <c r="L2244" s="300">
        <v>1.0</v>
      </c>
      <c r="M2244" s="300">
        <v>1.0</v>
      </c>
      <c r="N2244" s="300">
        <v>8.0</v>
      </c>
      <c r="O2244" s="300" t="s">
        <v>905</v>
      </c>
      <c r="P2244" s="300">
        <v>6.0</v>
      </c>
    </row>
    <row r="2245">
      <c r="A2245">
        <f>IFERROR(__xludf.DUMMYFUNCTION("""COMPUTED_VALUE"""),10.0)</f>
        <v>10</v>
      </c>
      <c r="B2245" s="406">
        <f>IFERROR(__xludf.DUMMYFUNCTION("""COMPUTED_VALUE"""),28108.0)</f>
        <v>28108</v>
      </c>
      <c r="C2245" t="str">
        <f>IFERROR(__xludf.DUMMYFUNCTION("""COMPUTED_VALUE"""),"TRUJILLO SOTO, SUSANA")</f>
        <v>TRUJILLO SOTO, SUSANA</v>
      </c>
      <c r="D2245" t="str">
        <f>IFERROR(__xludf.DUMMYFUNCTION("""COMPUTED_VALUE"""),"PE 10")</f>
        <v>PE 10</v>
      </c>
      <c r="E2245" s="3">
        <f>IFERROR(__xludf.DUMMYFUNCTION("""COMPUTED_VALUE"""),5.0)</f>
        <v>5</v>
      </c>
      <c r="F2245" s="300">
        <v>1.0</v>
      </c>
      <c r="G2245" s="300">
        <v>1.0</v>
      </c>
      <c r="H2245" s="300">
        <v>1.0</v>
      </c>
      <c r="I2245" s="300">
        <v>1.0</v>
      </c>
      <c r="J2245" s="300">
        <v>1.0</v>
      </c>
      <c r="K2245" s="300">
        <v>1.0</v>
      </c>
      <c r="L2245" s="300">
        <v>1.0</v>
      </c>
      <c r="M2245" s="300">
        <v>1.0</v>
      </c>
      <c r="N2245" s="300">
        <v>8.0</v>
      </c>
      <c r="O2245" s="300" t="s">
        <v>902</v>
      </c>
      <c r="P2245" s="300">
        <v>6.0</v>
      </c>
    </row>
    <row r="2246">
      <c r="A2246">
        <f>IFERROR(__xludf.DUMMYFUNCTION("""COMPUTED_VALUE"""),10.0)</f>
        <v>10</v>
      </c>
      <c r="B2246" s="406">
        <f>IFERROR(__xludf.DUMMYFUNCTION("""COMPUTED_VALUE"""),27094.0)</f>
        <v>27094</v>
      </c>
      <c r="C2246" t="str">
        <f>IFERROR(__xludf.DUMMYFUNCTION("""COMPUTED_VALUE"""),"RAMIREZ CORREA, TOMAS")</f>
        <v>RAMIREZ CORREA, TOMAS</v>
      </c>
      <c r="D2246" t="str">
        <f>IFERROR(__xludf.DUMMYFUNCTION("""COMPUTED_VALUE"""),"PE 10")</f>
        <v>PE 10</v>
      </c>
      <c r="E2246" s="3">
        <f>IFERROR(__xludf.DUMMYFUNCTION("""COMPUTED_VALUE"""),2.0)</f>
        <v>2</v>
      </c>
      <c r="F2246" s="300">
        <v>1.0</v>
      </c>
      <c r="G2246" s="300">
        <v>1.0</v>
      </c>
      <c r="H2246" s="300">
        <v>1.0</v>
      </c>
      <c r="I2246" s="300">
        <v>1.0</v>
      </c>
      <c r="J2246" s="300">
        <v>1.0</v>
      </c>
      <c r="K2246" s="300">
        <v>1.0</v>
      </c>
      <c r="L2246" s="300">
        <v>1.0</v>
      </c>
      <c r="M2246" s="300">
        <v>1.0</v>
      </c>
      <c r="N2246" s="300">
        <v>8.0</v>
      </c>
      <c r="O2246" s="300" t="s">
        <v>905</v>
      </c>
      <c r="P2246" s="300">
        <v>6.0</v>
      </c>
    </row>
    <row r="2247">
      <c r="A2247">
        <f>IFERROR(__xludf.DUMMYFUNCTION("""COMPUTED_VALUE"""),10.0)</f>
        <v>10</v>
      </c>
      <c r="B2247" s="406">
        <f>IFERROR(__xludf.DUMMYFUNCTION("""COMPUTED_VALUE"""),28171.0)</f>
        <v>28171</v>
      </c>
      <c r="C2247" t="str">
        <f>IFERROR(__xludf.DUMMYFUNCTION("""COMPUTED_VALUE"""),"DE MUNCK MORTIER, JULIE")</f>
        <v>DE MUNCK MORTIER, JULIE</v>
      </c>
      <c r="D2247" t="str">
        <f>IFERROR(__xludf.DUMMYFUNCTION("""COMPUTED_VALUE"""),"PE 10")</f>
        <v>PE 10</v>
      </c>
      <c r="E2247" s="3">
        <f>IFERROR(__xludf.DUMMYFUNCTION("""COMPUTED_VALUE"""),7.0)</f>
        <v>7</v>
      </c>
      <c r="F2247" s="300">
        <v>1.0</v>
      </c>
      <c r="G2247" s="300">
        <v>1.0</v>
      </c>
      <c r="H2247" s="300">
        <v>1.0</v>
      </c>
      <c r="I2247" s="300">
        <v>1.0</v>
      </c>
      <c r="J2247" s="300">
        <v>1.0</v>
      </c>
      <c r="K2247" s="300">
        <v>1.0</v>
      </c>
      <c r="L2247" s="300">
        <v>1.0</v>
      </c>
      <c r="M2247" s="300">
        <v>1.0</v>
      </c>
      <c r="N2247" s="300">
        <v>8.0</v>
      </c>
      <c r="O2247" s="300" t="s">
        <v>904</v>
      </c>
      <c r="P2247" s="300">
        <v>6.0</v>
      </c>
    </row>
    <row r="2248">
      <c r="A2248">
        <f>IFERROR(__xludf.DUMMYFUNCTION("""COMPUTED_VALUE"""),10.0)</f>
        <v>10</v>
      </c>
      <c r="B2248" s="406">
        <f>IFERROR(__xludf.DUMMYFUNCTION("""COMPUTED_VALUE"""),28174.0)</f>
        <v>28174</v>
      </c>
      <c r="C2248" t="str">
        <f>IFERROR(__xludf.DUMMYFUNCTION("""COMPUTED_VALUE"""),"SANCHEZ HAVARD, VANESA FAITH")</f>
        <v>SANCHEZ HAVARD, VANESA FAITH</v>
      </c>
      <c r="D2248" t="str">
        <f>IFERROR(__xludf.DUMMYFUNCTION("""COMPUTED_VALUE"""),"PE 10")</f>
        <v>PE 10</v>
      </c>
      <c r="E2248" s="3">
        <f>IFERROR(__xludf.DUMMYFUNCTION("""COMPUTED_VALUE"""),6.0)</f>
        <v>6</v>
      </c>
      <c r="F2248" s="300">
        <v>1.0</v>
      </c>
      <c r="G2248" s="300">
        <v>1.0</v>
      </c>
      <c r="H2248" s="300">
        <v>1.0</v>
      </c>
      <c r="I2248" s="300">
        <v>1.0</v>
      </c>
      <c r="J2248" s="300">
        <v>1.0</v>
      </c>
      <c r="K2248" s="300">
        <v>1.0</v>
      </c>
      <c r="L2248" s="300">
        <v>1.0</v>
      </c>
      <c r="M2248" s="300">
        <v>1.0</v>
      </c>
      <c r="N2248" s="300">
        <v>8.0</v>
      </c>
      <c r="O2248" s="300" t="s">
        <v>907</v>
      </c>
      <c r="P2248" s="300">
        <v>6.0</v>
      </c>
    </row>
    <row r="2249">
      <c r="A2249">
        <f>IFERROR(__xludf.DUMMYFUNCTION("""COMPUTED_VALUE"""),10.0)</f>
        <v>10</v>
      </c>
      <c r="B2249" s="406">
        <f>IFERROR(__xludf.DUMMYFUNCTION("""COMPUTED_VALUE"""),28158.0)</f>
        <v>28158</v>
      </c>
      <c r="C2249" t="str">
        <f>IFERROR(__xludf.DUMMYFUNCTION("""COMPUTED_VALUE"""),"ZARRUK BELTRAN, MARTIN")</f>
        <v>ZARRUK BELTRAN, MARTIN</v>
      </c>
      <c r="D2249" t="str">
        <f>IFERROR(__xludf.DUMMYFUNCTION("""COMPUTED_VALUE"""),"PE 10")</f>
        <v>PE 10</v>
      </c>
      <c r="E2249" s="3">
        <f>IFERROR(__xludf.DUMMYFUNCTION("""COMPUTED_VALUE"""),7.0)</f>
        <v>7</v>
      </c>
      <c r="F2249" s="300">
        <v>1.0</v>
      </c>
      <c r="G2249" s="300">
        <v>1.0</v>
      </c>
      <c r="H2249" s="300">
        <v>1.0</v>
      </c>
      <c r="I2249" s="300">
        <v>1.0</v>
      </c>
      <c r="J2249" s="300">
        <v>1.0</v>
      </c>
      <c r="K2249" s="300">
        <v>1.0</v>
      </c>
      <c r="L2249" s="300">
        <v>1.0</v>
      </c>
      <c r="M2249" s="300">
        <v>1.0</v>
      </c>
      <c r="N2249" s="300">
        <v>8.0</v>
      </c>
      <c r="O2249" s="300" t="s">
        <v>904</v>
      </c>
      <c r="P2249" s="300">
        <v>6.0</v>
      </c>
    </row>
    <row r="2250">
      <c r="A2250">
        <f>IFERROR(__xludf.DUMMYFUNCTION("""COMPUTED_VALUE"""),10.0)</f>
        <v>10</v>
      </c>
      <c r="B2250" s="406">
        <f>IFERROR(__xludf.DUMMYFUNCTION("""COMPUTED_VALUE"""),28140.0)</f>
        <v>28140</v>
      </c>
      <c r="C2250" t="str">
        <f>IFERROR(__xludf.DUMMYFUNCTION("""COMPUTED_VALUE"""),"ARISTIZABAL VILLEGAS, EMILIO")</f>
        <v>ARISTIZABAL VILLEGAS, EMILIO</v>
      </c>
      <c r="D2250" t="str">
        <f>IFERROR(__xludf.DUMMYFUNCTION("""COMPUTED_VALUE"""),"PE 10")</f>
        <v>PE 10</v>
      </c>
      <c r="E2250" s="3">
        <f>IFERROR(__xludf.DUMMYFUNCTION("""COMPUTED_VALUE"""),5.0)</f>
        <v>5</v>
      </c>
      <c r="F2250" s="300">
        <v>1.0</v>
      </c>
      <c r="G2250" s="300">
        <v>1.0</v>
      </c>
      <c r="H2250" s="300">
        <v>1.0</v>
      </c>
      <c r="I2250" s="300">
        <v>1.0</v>
      </c>
      <c r="J2250" s="300">
        <v>1.0</v>
      </c>
      <c r="K2250" s="300">
        <v>1.0</v>
      </c>
      <c r="L2250" s="300">
        <v>1.0</v>
      </c>
      <c r="M2250" s="300">
        <v>1.0</v>
      </c>
      <c r="N2250" s="300">
        <v>8.0</v>
      </c>
      <c r="O2250" s="300" t="s">
        <v>902</v>
      </c>
      <c r="P2250" s="300">
        <v>6.0</v>
      </c>
    </row>
    <row r="2251">
      <c r="A2251">
        <f>IFERROR(__xludf.DUMMYFUNCTION("""COMPUTED_VALUE"""),10.0)</f>
        <v>10</v>
      </c>
      <c r="B2251" s="406">
        <f>IFERROR(__xludf.DUMMYFUNCTION("""COMPUTED_VALUE"""),28020.0)</f>
        <v>28020</v>
      </c>
      <c r="C2251" t="str">
        <f>IFERROR(__xludf.DUMMYFUNCTION("""COMPUTED_VALUE"""),"CADAVID RESTREPO, ANTONIO")</f>
        <v>CADAVID RESTREPO, ANTONIO</v>
      </c>
      <c r="D2251" t="str">
        <f>IFERROR(__xludf.DUMMYFUNCTION("""COMPUTED_VALUE"""),"PE 10")</f>
        <v>PE 10</v>
      </c>
      <c r="E2251" s="3">
        <f>IFERROR(__xludf.DUMMYFUNCTION("""COMPUTED_VALUE"""),6.0)</f>
        <v>6</v>
      </c>
      <c r="F2251" s="300">
        <v>1.0</v>
      </c>
      <c r="G2251" s="300">
        <v>1.0</v>
      </c>
      <c r="H2251" s="300">
        <v>1.0</v>
      </c>
      <c r="I2251" s="300">
        <v>1.0</v>
      </c>
      <c r="J2251" s="300">
        <v>1.0</v>
      </c>
      <c r="K2251" s="300">
        <v>1.0</v>
      </c>
      <c r="L2251" s="300">
        <v>1.0</v>
      </c>
      <c r="M2251" s="300">
        <v>1.0</v>
      </c>
      <c r="N2251" s="300">
        <v>8.0</v>
      </c>
      <c r="O2251" s="300" t="s">
        <v>907</v>
      </c>
      <c r="P2251" s="300">
        <v>6.0</v>
      </c>
    </row>
    <row r="2252">
      <c r="A2252">
        <f>IFERROR(__xludf.DUMMYFUNCTION("""COMPUTED_VALUE"""),10.0)</f>
        <v>10</v>
      </c>
      <c r="B2252" s="406">
        <f>IFERROR(__xludf.DUMMYFUNCTION("""COMPUTED_VALUE"""),28095.0)</f>
        <v>28095</v>
      </c>
      <c r="C2252" t="str">
        <f>IFERROR(__xludf.DUMMYFUNCTION("""COMPUTED_VALUE"""),"RESTREPO QUINTERO, ANTONIO")</f>
        <v>RESTREPO QUINTERO, ANTONIO</v>
      </c>
      <c r="D2252" t="str">
        <f>IFERROR(__xludf.DUMMYFUNCTION("""COMPUTED_VALUE"""),"PE 10")</f>
        <v>PE 10</v>
      </c>
      <c r="E2252" s="3">
        <f>IFERROR(__xludf.DUMMYFUNCTION("""COMPUTED_VALUE"""),4.0)</f>
        <v>4</v>
      </c>
      <c r="F2252" s="300">
        <v>1.0</v>
      </c>
      <c r="G2252" s="300">
        <v>1.0</v>
      </c>
      <c r="H2252" s="300">
        <v>1.0</v>
      </c>
      <c r="I2252" s="300">
        <v>1.0</v>
      </c>
      <c r="J2252" s="300">
        <v>1.0</v>
      </c>
      <c r="K2252" s="300">
        <v>1.0</v>
      </c>
      <c r="L2252" s="300">
        <v>1.0</v>
      </c>
      <c r="M2252" s="300">
        <v>1.0</v>
      </c>
      <c r="N2252" s="300">
        <v>8.0</v>
      </c>
      <c r="O2252" s="300" t="s">
        <v>906</v>
      </c>
      <c r="P2252" s="300">
        <v>6.0</v>
      </c>
    </row>
    <row r="2253">
      <c r="A2253">
        <f>IFERROR(__xludf.DUMMYFUNCTION("""COMPUTED_VALUE"""),10.0)</f>
        <v>10</v>
      </c>
      <c r="B2253" s="406">
        <f>IFERROR(__xludf.DUMMYFUNCTION("""COMPUTED_VALUE"""),28002.0)</f>
        <v>28002</v>
      </c>
      <c r="C2253" t="str">
        <f>IFERROR(__xludf.DUMMYFUNCTION("""COMPUTED_VALUE"""),"ANGEL MESA, PEDRO")</f>
        <v>ANGEL MESA, PEDRO</v>
      </c>
      <c r="D2253" t="str">
        <f>IFERROR(__xludf.DUMMYFUNCTION("""COMPUTED_VALUE"""),"PE 10")</f>
        <v>PE 10</v>
      </c>
      <c r="E2253" s="3">
        <f>IFERROR(__xludf.DUMMYFUNCTION("""COMPUTED_VALUE"""),2.0)</f>
        <v>2</v>
      </c>
      <c r="F2253" s="300">
        <v>1.0</v>
      </c>
      <c r="G2253" s="300">
        <v>1.0</v>
      </c>
      <c r="H2253" s="300">
        <v>1.0</v>
      </c>
      <c r="I2253" s="300">
        <v>1.0</v>
      </c>
      <c r="J2253" s="300">
        <v>1.0</v>
      </c>
      <c r="K2253" s="300">
        <v>1.0</v>
      </c>
      <c r="L2253" s="300">
        <v>1.0</v>
      </c>
      <c r="M2253" s="300">
        <v>1.0</v>
      </c>
      <c r="N2253" s="300">
        <v>8.0</v>
      </c>
      <c r="O2253" s="300" t="s">
        <v>905</v>
      </c>
      <c r="P2253" s="300">
        <v>6.0</v>
      </c>
    </row>
    <row r="2254">
      <c r="A2254">
        <f>IFERROR(__xludf.DUMMYFUNCTION("""COMPUTED_VALUE"""),10.0)</f>
        <v>10</v>
      </c>
      <c r="B2254" s="406">
        <f>IFERROR(__xludf.DUMMYFUNCTION("""COMPUTED_VALUE"""),28052.0)</f>
        <v>28052</v>
      </c>
      <c r="C2254" t="str">
        <f>IFERROR(__xludf.DUMMYFUNCTION("""COMPUTED_VALUE"""),"LONDOÑO VILLA, PEDRO")</f>
        <v>LONDOÑO VILLA, PEDRO</v>
      </c>
      <c r="D2254" t="str">
        <f>IFERROR(__xludf.DUMMYFUNCTION("""COMPUTED_VALUE"""),"PE 10")</f>
        <v>PE 10</v>
      </c>
      <c r="E2254" s="3">
        <f>IFERROR(__xludf.DUMMYFUNCTION("""COMPUTED_VALUE"""),5.0)</f>
        <v>5</v>
      </c>
      <c r="F2254" s="300">
        <v>1.0</v>
      </c>
      <c r="G2254" s="300">
        <v>1.0</v>
      </c>
      <c r="H2254" s="300">
        <v>1.0</v>
      </c>
      <c r="I2254" s="300">
        <v>1.0</v>
      </c>
      <c r="J2254" s="300">
        <v>1.0</v>
      </c>
      <c r="K2254" s="300">
        <v>1.0</v>
      </c>
      <c r="L2254" s="300">
        <v>1.0</v>
      </c>
      <c r="M2254" s="300">
        <v>1.0</v>
      </c>
      <c r="N2254" s="300">
        <v>8.0</v>
      </c>
      <c r="O2254" s="300" t="s">
        <v>902</v>
      </c>
      <c r="P2254" s="300">
        <v>6.0</v>
      </c>
    </row>
    <row r="2255">
      <c r="A2255">
        <f>IFERROR(__xludf.DUMMYFUNCTION("""COMPUTED_VALUE"""),10.0)</f>
        <v>10</v>
      </c>
      <c r="B2255" s="406">
        <f>IFERROR(__xludf.DUMMYFUNCTION("""COMPUTED_VALUE"""),28101.0)</f>
        <v>28101</v>
      </c>
      <c r="C2255" t="str">
        <f>IFERROR(__xludf.DUMMYFUNCTION("""COMPUTED_VALUE"""),"ROJAS VELEZ, LUCIANA")</f>
        <v>ROJAS VELEZ, LUCIANA</v>
      </c>
      <c r="D2255" t="str">
        <f>IFERROR(__xludf.DUMMYFUNCTION("""COMPUTED_VALUE"""),"PE 10")</f>
        <v>PE 10</v>
      </c>
      <c r="E2255" s="3">
        <f>IFERROR(__xludf.DUMMYFUNCTION("""COMPUTED_VALUE"""),6.0)</f>
        <v>6</v>
      </c>
      <c r="F2255" s="300">
        <v>1.0</v>
      </c>
      <c r="G2255" s="300">
        <v>1.0</v>
      </c>
      <c r="H2255" s="300">
        <v>1.0</v>
      </c>
      <c r="I2255" s="300">
        <v>1.0</v>
      </c>
      <c r="J2255" s="300">
        <v>1.0</v>
      </c>
      <c r="K2255" s="300">
        <v>1.0</v>
      </c>
      <c r="L2255" s="300">
        <v>1.0</v>
      </c>
      <c r="M2255" s="300">
        <v>1.0</v>
      </c>
      <c r="N2255" s="300">
        <v>8.0</v>
      </c>
      <c r="O2255" s="300" t="s">
        <v>907</v>
      </c>
      <c r="P2255" s="300">
        <v>6.0</v>
      </c>
    </row>
    <row r="2256">
      <c r="A2256">
        <f>IFERROR(__xludf.DUMMYFUNCTION("""COMPUTED_VALUE"""),10.0)</f>
        <v>10</v>
      </c>
      <c r="B2256" s="406">
        <f>IFERROR(__xludf.DUMMYFUNCTION("""COMPUTED_VALUE"""),28061.0)</f>
        <v>28061</v>
      </c>
      <c r="C2256" t="str">
        <f>IFERROR(__xludf.DUMMYFUNCTION("""COMPUTED_VALUE"""),"MEDINA NOREÑA, MANUELA")</f>
        <v>MEDINA NOREÑA, MANUELA</v>
      </c>
      <c r="D2256" t="str">
        <f>IFERROR(__xludf.DUMMYFUNCTION("""COMPUTED_VALUE"""),"PE 10")</f>
        <v>PE 10</v>
      </c>
      <c r="E2256" s="3">
        <f>IFERROR(__xludf.DUMMYFUNCTION("""COMPUTED_VALUE"""),7.0)</f>
        <v>7</v>
      </c>
      <c r="F2256" s="300">
        <v>1.0</v>
      </c>
      <c r="G2256" s="300">
        <v>1.0</v>
      </c>
      <c r="H2256" s="300">
        <v>1.0</v>
      </c>
      <c r="I2256" s="300">
        <v>1.0</v>
      </c>
      <c r="J2256" s="300">
        <v>1.0</v>
      </c>
      <c r="K2256" s="300">
        <v>1.0</v>
      </c>
      <c r="L2256" s="300">
        <v>1.0</v>
      </c>
      <c r="M2256" s="300">
        <v>1.0</v>
      </c>
      <c r="N2256" s="300">
        <v>8.0</v>
      </c>
      <c r="O2256" s="300" t="s">
        <v>904</v>
      </c>
      <c r="P2256" s="300">
        <v>6.0</v>
      </c>
    </row>
    <row r="2257">
      <c r="A2257">
        <f>IFERROR(__xludf.DUMMYFUNCTION("""COMPUTED_VALUE"""),10.0)</f>
        <v>10</v>
      </c>
      <c r="B2257" s="406">
        <f>IFERROR(__xludf.DUMMYFUNCTION("""COMPUTED_VALUE"""),28136.0)</f>
        <v>28136</v>
      </c>
      <c r="C2257" t="str">
        <f>IFERROR(__xludf.DUMMYFUNCTION("""COMPUTED_VALUE"""),"SALAZAR ECHEVERRI, ELISA")</f>
        <v>SALAZAR ECHEVERRI, ELISA</v>
      </c>
      <c r="D2257" t="str">
        <f>IFERROR(__xludf.DUMMYFUNCTION("""COMPUTED_VALUE"""),"PE 10")</f>
        <v>PE 10</v>
      </c>
      <c r="E2257" s="3">
        <f>IFERROR(__xludf.DUMMYFUNCTION("""COMPUTED_VALUE"""),4.0)</f>
        <v>4</v>
      </c>
      <c r="F2257" s="300">
        <v>1.0</v>
      </c>
      <c r="G2257" s="300">
        <v>1.0</v>
      </c>
      <c r="H2257" s="300">
        <v>1.0</v>
      </c>
      <c r="I2257" s="300">
        <v>1.0</v>
      </c>
      <c r="J2257" s="300">
        <v>1.0</v>
      </c>
      <c r="K2257" s="300">
        <v>1.0</v>
      </c>
      <c r="L2257" s="300">
        <v>1.0</v>
      </c>
      <c r="M2257" s="300">
        <v>1.0</v>
      </c>
      <c r="N2257" s="300">
        <v>8.0</v>
      </c>
      <c r="O2257" s="300" t="s">
        <v>906</v>
      </c>
      <c r="P2257" s="300">
        <v>6.0</v>
      </c>
    </row>
    <row r="2258">
      <c r="A2258">
        <f>IFERROR(__xludf.DUMMYFUNCTION("""COMPUTED_VALUE"""),10.0)</f>
        <v>10</v>
      </c>
      <c r="B2258" s="406">
        <f>IFERROR(__xludf.DUMMYFUNCTION("""COMPUTED_VALUE"""),28010.0)</f>
        <v>28010</v>
      </c>
      <c r="C2258" t="str">
        <f>IFERROR(__xludf.DUMMYFUNCTION("""COMPUTED_VALUE"""),"ATEHORTUA MORENO, SOFIA")</f>
        <v>ATEHORTUA MORENO, SOFIA</v>
      </c>
      <c r="D2258" t="str">
        <f>IFERROR(__xludf.DUMMYFUNCTION("""COMPUTED_VALUE"""),"PE 10")</f>
        <v>PE 10</v>
      </c>
      <c r="E2258" s="3">
        <f>IFERROR(__xludf.DUMMYFUNCTION("""COMPUTED_VALUE"""),2.0)</f>
        <v>2</v>
      </c>
      <c r="F2258" s="300">
        <v>1.0</v>
      </c>
      <c r="G2258" s="300">
        <v>1.0</v>
      </c>
      <c r="H2258" s="300">
        <v>1.0</v>
      </c>
      <c r="I2258" s="300">
        <v>1.0</v>
      </c>
      <c r="J2258" s="300">
        <v>1.0</v>
      </c>
      <c r="K2258" s="300">
        <v>1.0</v>
      </c>
      <c r="L2258" s="300">
        <v>1.0</v>
      </c>
      <c r="M2258" s="300">
        <v>1.0</v>
      </c>
      <c r="N2258" s="300">
        <v>8.0</v>
      </c>
      <c r="O2258" s="300" t="s">
        <v>905</v>
      </c>
      <c r="P2258" s="300">
        <v>6.0</v>
      </c>
    </row>
    <row r="2259">
      <c r="A2259">
        <f>IFERROR(__xludf.DUMMYFUNCTION("""COMPUTED_VALUE"""),10.0)</f>
        <v>10</v>
      </c>
      <c r="B2259" s="406">
        <f>IFERROR(__xludf.DUMMYFUNCTION("""COMPUTED_VALUE"""),28035.0)</f>
        <v>28035</v>
      </c>
      <c r="C2259" t="str">
        <f>IFERROR(__xludf.DUMMYFUNCTION("""COMPUTED_VALUE"""),"GAVIRIA GONZALEZ, MARIA JOSE")</f>
        <v>GAVIRIA GONZALEZ, MARIA JOSE</v>
      </c>
      <c r="D2259" t="str">
        <f>IFERROR(__xludf.DUMMYFUNCTION("""COMPUTED_VALUE"""),"PE 10")</f>
        <v>PE 10</v>
      </c>
      <c r="E2259" s="3">
        <f>IFERROR(__xludf.DUMMYFUNCTION("""COMPUTED_VALUE"""),6.0)</f>
        <v>6</v>
      </c>
      <c r="F2259" s="300">
        <v>1.0</v>
      </c>
      <c r="G2259" s="300">
        <v>1.0</v>
      </c>
      <c r="H2259" s="300">
        <v>1.0</v>
      </c>
      <c r="I2259" s="300">
        <v>1.0</v>
      </c>
      <c r="J2259" s="300">
        <v>1.0</v>
      </c>
      <c r="K2259" s="300">
        <v>1.0</v>
      </c>
      <c r="L2259" s="300">
        <v>1.0</v>
      </c>
      <c r="M2259" s="300">
        <v>1.0</v>
      </c>
      <c r="N2259" s="300">
        <v>8.0</v>
      </c>
      <c r="O2259" s="300" t="s">
        <v>907</v>
      </c>
      <c r="P2259" s="300">
        <v>6.0</v>
      </c>
    </row>
    <row r="2260">
      <c r="A2260">
        <f>IFERROR(__xludf.DUMMYFUNCTION("""COMPUTED_VALUE"""),10.0)</f>
        <v>10</v>
      </c>
      <c r="B2260" s="406">
        <f>IFERROR(__xludf.DUMMYFUNCTION("""COMPUTED_VALUE"""),28027.0)</f>
        <v>28027</v>
      </c>
      <c r="C2260" t="str">
        <f>IFERROR(__xludf.DUMMYFUNCTION("""COMPUTED_VALUE"""),"ESTRADA JIMENEZ, MARIA")</f>
        <v>ESTRADA JIMENEZ, MARIA</v>
      </c>
      <c r="D2260" t="str">
        <f>IFERROR(__xludf.DUMMYFUNCTION("""COMPUTED_VALUE"""),"PE 10")</f>
        <v>PE 10</v>
      </c>
      <c r="E2260" s="3">
        <f>IFERROR(__xludf.DUMMYFUNCTION("""COMPUTED_VALUE"""),7.0)</f>
        <v>7</v>
      </c>
      <c r="F2260" s="300">
        <v>1.0</v>
      </c>
      <c r="G2260" s="300">
        <v>1.0</v>
      </c>
      <c r="H2260" s="300">
        <v>1.0</v>
      </c>
      <c r="I2260" s="300">
        <v>1.0</v>
      </c>
      <c r="J2260" s="300">
        <v>1.0</v>
      </c>
      <c r="K2260" s="300">
        <v>1.0</v>
      </c>
      <c r="L2260" s="300">
        <v>1.0</v>
      </c>
      <c r="M2260" s="300">
        <v>1.0</v>
      </c>
      <c r="N2260" s="300">
        <v>8.0</v>
      </c>
      <c r="O2260" s="300" t="s">
        <v>904</v>
      </c>
      <c r="P2260" s="300">
        <v>6.0</v>
      </c>
    </row>
    <row r="2261">
      <c r="A2261">
        <f>IFERROR(__xludf.DUMMYFUNCTION("""COMPUTED_VALUE"""),10.0)</f>
        <v>10</v>
      </c>
      <c r="B2261" s="406">
        <f>IFERROR(__xludf.DUMMYFUNCTION("""COMPUTED_VALUE"""),27152.0)</f>
        <v>27152</v>
      </c>
      <c r="C2261" t="str">
        <f>IFERROR(__xludf.DUMMYFUNCTION("""COMPUTED_VALUE"""),"GARCIA GONZALEZ, MARIA ANTONIA")</f>
        <v>GARCIA GONZALEZ, MARIA ANTONIA</v>
      </c>
      <c r="D2261" t="str">
        <f>IFERROR(__xludf.DUMMYFUNCTION("""COMPUTED_VALUE"""),"PE 10")</f>
        <v>PE 10</v>
      </c>
      <c r="E2261" s="3">
        <f>IFERROR(__xludf.DUMMYFUNCTION("""COMPUTED_VALUE"""),4.0)</f>
        <v>4</v>
      </c>
      <c r="F2261" s="300">
        <v>1.0</v>
      </c>
      <c r="G2261" s="300">
        <v>1.0</v>
      </c>
      <c r="H2261" s="300">
        <v>1.0</v>
      </c>
      <c r="I2261" s="300">
        <v>1.0</v>
      </c>
      <c r="J2261" s="300">
        <v>1.0</v>
      </c>
      <c r="K2261" s="300">
        <v>1.0</v>
      </c>
      <c r="L2261" s="300">
        <v>1.0</v>
      </c>
      <c r="M2261" s="300">
        <v>1.0</v>
      </c>
      <c r="N2261" s="300">
        <v>8.0</v>
      </c>
      <c r="O2261" s="300" t="s">
        <v>906</v>
      </c>
      <c r="P2261" s="300">
        <v>6.0</v>
      </c>
    </row>
    <row r="2262">
      <c r="A2262">
        <f>IFERROR(__xludf.DUMMYFUNCTION("""COMPUTED_VALUE"""),10.0)</f>
        <v>10</v>
      </c>
      <c r="B2262" s="406">
        <f>IFERROR(__xludf.DUMMYFUNCTION("""COMPUTED_VALUE"""),28026.0)</f>
        <v>28026</v>
      </c>
      <c r="C2262" t="str">
        <f>IFERROR(__xludf.DUMMYFUNCTION("""COMPUTED_VALUE"""),"ESPINAL MONTOYA, JULIETA")</f>
        <v>ESPINAL MONTOYA, JULIETA</v>
      </c>
      <c r="D2262" t="str">
        <f>IFERROR(__xludf.DUMMYFUNCTION("""COMPUTED_VALUE"""),"PE 10")</f>
        <v>PE 10</v>
      </c>
      <c r="E2262" s="3">
        <f>IFERROR(__xludf.DUMMYFUNCTION("""COMPUTED_VALUE"""),2.0)</f>
        <v>2</v>
      </c>
      <c r="F2262" s="300">
        <v>1.0</v>
      </c>
      <c r="G2262" s="300">
        <v>1.0</v>
      </c>
      <c r="H2262" s="300">
        <v>1.0</v>
      </c>
      <c r="I2262" s="300">
        <v>1.0</v>
      </c>
      <c r="J2262" s="300">
        <v>1.0</v>
      </c>
      <c r="K2262" s="300">
        <v>1.0</v>
      </c>
      <c r="L2262" s="300">
        <v>1.0</v>
      </c>
      <c r="M2262" s="300">
        <v>1.0</v>
      </c>
      <c r="N2262" s="300">
        <v>8.0</v>
      </c>
      <c r="O2262" s="300" t="s">
        <v>905</v>
      </c>
      <c r="P2262" s="300">
        <v>6.0</v>
      </c>
    </row>
    <row r="2263">
      <c r="A2263">
        <f>IFERROR(__xludf.DUMMYFUNCTION("""COMPUTED_VALUE"""),10.0)</f>
        <v>10</v>
      </c>
      <c r="B2263" s="406">
        <f>IFERROR(__xludf.DUMMYFUNCTION("""COMPUTED_VALUE"""),28025.0)</f>
        <v>28025</v>
      </c>
      <c r="C2263" t="str">
        <f>IFERROR(__xludf.DUMMYFUNCTION("""COMPUTED_VALUE"""),"ESCOBAR INFANTINO, SAMUEL")</f>
        <v>ESCOBAR INFANTINO, SAMUEL</v>
      </c>
      <c r="D2263" t="str">
        <f>IFERROR(__xludf.DUMMYFUNCTION("""COMPUTED_VALUE"""),"PE 10")</f>
        <v>PE 10</v>
      </c>
      <c r="E2263" s="3">
        <f>IFERROR(__xludf.DUMMYFUNCTION("""COMPUTED_VALUE"""),2.0)</f>
        <v>2</v>
      </c>
      <c r="F2263" s="300">
        <v>1.0</v>
      </c>
      <c r="G2263" s="300">
        <v>1.0</v>
      </c>
      <c r="H2263" s="300">
        <v>1.0</v>
      </c>
      <c r="I2263" s="300">
        <v>1.0</v>
      </c>
      <c r="J2263" s="300">
        <v>1.0</v>
      </c>
      <c r="K2263" s="300">
        <v>1.0</v>
      </c>
      <c r="L2263" s="300">
        <v>1.0</v>
      </c>
      <c r="M2263" s="300">
        <v>1.0</v>
      </c>
      <c r="N2263" s="300">
        <v>8.0</v>
      </c>
      <c r="O2263" s="300" t="s">
        <v>905</v>
      </c>
      <c r="P2263" s="300">
        <v>6.0</v>
      </c>
    </row>
    <row r="2264">
      <c r="A2264">
        <f>IFERROR(__xludf.DUMMYFUNCTION("""COMPUTED_VALUE"""),10.0)</f>
        <v>10</v>
      </c>
      <c r="B2264" s="406">
        <f>IFERROR(__xludf.DUMMYFUNCTION("""COMPUTED_VALUE"""),27100.0)</f>
        <v>27100</v>
      </c>
      <c r="C2264" t="str">
        <f>IFERROR(__xludf.DUMMYFUNCTION("""COMPUTED_VALUE"""),"ROJAS SANCHEZ, SUSANA")</f>
        <v>ROJAS SANCHEZ, SUSANA</v>
      </c>
      <c r="D2264" t="str">
        <f>IFERROR(__xludf.DUMMYFUNCTION("""COMPUTED_VALUE"""),"PE 10")</f>
        <v>PE 10</v>
      </c>
      <c r="E2264" s="3">
        <f>IFERROR(__xludf.DUMMYFUNCTION("""COMPUTED_VALUE"""),4.0)</f>
        <v>4</v>
      </c>
      <c r="F2264" s="300">
        <v>1.0</v>
      </c>
      <c r="G2264" s="300">
        <v>1.0</v>
      </c>
      <c r="H2264" s="300">
        <v>1.0</v>
      </c>
      <c r="I2264" s="300">
        <v>1.0</v>
      </c>
      <c r="J2264" s="300">
        <v>1.0</v>
      </c>
      <c r="K2264" s="300">
        <v>1.0</v>
      </c>
      <c r="L2264" s="300">
        <v>1.0</v>
      </c>
      <c r="M2264" s="300">
        <v>1.0</v>
      </c>
      <c r="N2264" s="300">
        <v>8.0</v>
      </c>
      <c r="O2264" s="300" t="s">
        <v>906</v>
      </c>
      <c r="P2264" s="300">
        <v>6.0</v>
      </c>
    </row>
    <row r="2265">
      <c r="A2265">
        <f>IFERROR(__xludf.DUMMYFUNCTION("""COMPUTED_VALUE"""),10.0)</f>
        <v>10</v>
      </c>
      <c r="B2265" s="406">
        <f>IFERROR(__xludf.DUMMYFUNCTION("""COMPUTED_VALUE"""),28139.0)</f>
        <v>28139</v>
      </c>
      <c r="C2265" t="str">
        <f>IFERROR(__xludf.DUMMYFUNCTION("""COMPUTED_VALUE"""),"BERNAL ESTRADA, MATIAS")</f>
        <v>BERNAL ESTRADA, MATIAS</v>
      </c>
      <c r="D2265" t="str">
        <f>IFERROR(__xludf.DUMMYFUNCTION("""COMPUTED_VALUE"""),"PE 10")</f>
        <v>PE 10</v>
      </c>
      <c r="E2265" s="3">
        <f>IFERROR(__xludf.DUMMYFUNCTION("""COMPUTED_VALUE"""),2.0)</f>
        <v>2</v>
      </c>
      <c r="F2265" s="300">
        <v>1.0</v>
      </c>
      <c r="G2265" s="300">
        <v>1.0</v>
      </c>
      <c r="H2265" s="300">
        <v>1.0</v>
      </c>
      <c r="I2265" s="300">
        <v>1.0</v>
      </c>
      <c r="J2265" s="300">
        <v>1.0</v>
      </c>
      <c r="K2265" s="300">
        <v>1.0</v>
      </c>
      <c r="L2265" s="300">
        <v>1.0</v>
      </c>
      <c r="M2265" s="300">
        <v>1.0</v>
      </c>
      <c r="N2265" s="300">
        <v>8.0</v>
      </c>
      <c r="O2265" s="300" t="s">
        <v>905</v>
      </c>
      <c r="P2265" s="300">
        <v>6.0</v>
      </c>
    </row>
    <row r="2266">
      <c r="A2266">
        <f>IFERROR(__xludf.DUMMYFUNCTION("""COMPUTED_VALUE"""),10.0)</f>
        <v>10</v>
      </c>
      <c r="B2266" s="406">
        <f>IFERROR(__xludf.DUMMYFUNCTION("""COMPUTED_VALUE"""),28048.0)</f>
        <v>28048</v>
      </c>
      <c r="C2266" t="str">
        <f>IFERROR(__xludf.DUMMYFUNCTION("""COMPUTED_VALUE"""),"ISAZA VELASQUEZ, EMILIANA")</f>
        <v>ISAZA VELASQUEZ, EMILIANA</v>
      </c>
      <c r="D2266" t="str">
        <f>IFERROR(__xludf.DUMMYFUNCTION("""COMPUTED_VALUE"""),"PE 10")</f>
        <v>PE 10</v>
      </c>
      <c r="E2266" s="3">
        <f>IFERROR(__xludf.DUMMYFUNCTION("""COMPUTED_VALUE"""),5.0)</f>
        <v>5</v>
      </c>
      <c r="F2266" s="300">
        <v>1.0</v>
      </c>
      <c r="G2266" s="300">
        <v>1.0</v>
      </c>
      <c r="H2266" s="300">
        <v>1.0</v>
      </c>
      <c r="I2266" s="300">
        <v>1.0</v>
      </c>
      <c r="J2266" s="300">
        <v>1.0</v>
      </c>
      <c r="K2266" s="300">
        <v>1.0</v>
      </c>
      <c r="L2266" s="300">
        <v>1.0</v>
      </c>
      <c r="M2266" s="300">
        <v>1.0</v>
      </c>
      <c r="N2266" s="300">
        <v>8.0</v>
      </c>
      <c r="O2266" s="300" t="s">
        <v>902</v>
      </c>
      <c r="P2266" s="300">
        <v>6.0</v>
      </c>
    </row>
    <row r="2267">
      <c r="A2267">
        <f>IFERROR(__xludf.DUMMYFUNCTION("""COMPUTED_VALUE"""),10.0)</f>
        <v>10</v>
      </c>
      <c r="B2267" s="406">
        <f>IFERROR(__xludf.DUMMYFUNCTION("""COMPUTED_VALUE"""),27024.0)</f>
        <v>27024</v>
      </c>
      <c r="C2267" t="str">
        <f>IFERROR(__xludf.DUMMYFUNCTION("""COMPUTED_VALUE"""),"CASTRO CASTAÑEDA, CYAN")</f>
        <v>CASTRO CASTAÑEDA, CYAN</v>
      </c>
      <c r="D2267" t="str">
        <f>IFERROR(__xludf.DUMMYFUNCTION("""COMPUTED_VALUE"""),"PE 10")</f>
        <v>PE 10</v>
      </c>
      <c r="E2267" s="3">
        <f>IFERROR(__xludf.DUMMYFUNCTION("""COMPUTED_VALUE"""),6.0)</f>
        <v>6</v>
      </c>
      <c r="F2267" s="300">
        <v>1.0</v>
      </c>
      <c r="G2267" s="300">
        <v>1.0</v>
      </c>
      <c r="H2267" s="300">
        <v>1.0</v>
      </c>
      <c r="I2267" s="300">
        <v>1.0</v>
      </c>
      <c r="J2267" s="300">
        <v>1.0</v>
      </c>
      <c r="K2267" s="300">
        <v>1.0</v>
      </c>
      <c r="L2267" s="300">
        <v>1.0</v>
      </c>
      <c r="M2267" s="300">
        <v>1.0</v>
      </c>
      <c r="N2267" s="300">
        <v>8.0</v>
      </c>
      <c r="O2267" s="300" t="s">
        <v>907</v>
      </c>
      <c r="P2267" s="300">
        <v>6.0</v>
      </c>
    </row>
    <row r="2268">
      <c r="A2268">
        <f>IFERROR(__xludf.DUMMYFUNCTION("""COMPUTED_VALUE"""),10.0)</f>
        <v>10</v>
      </c>
      <c r="B2268" s="406">
        <f>IFERROR(__xludf.DUMMYFUNCTION("""COMPUTED_VALUE"""),28044.0)</f>
        <v>28044</v>
      </c>
      <c r="C2268" t="str">
        <f>IFERROR(__xludf.DUMMYFUNCTION("""COMPUTED_VALUE"""),"GUTIERREZ OCAMPO, VALENTINA")</f>
        <v>GUTIERREZ OCAMPO, VALENTINA</v>
      </c>
      <c r="D2268" t="str">
        <f>IFERROR(__xludf.DUMMYFUNCTION("""COMPUTED_VALUE"""),"PE 10")</f>
        <v>PE 10</v>
      </c>
      <c r="E2268" s="3">
        <f>IFERROR(__xludf.DUMMYFUNCTION("""COMPUTED_VALUE"""),1.0)</f>
        <v>1</v>
      </c>
      <c r="F2268" s="300">
        <v>1.0</v>
      </c>
      <c r="G2268" s="300">
        <v>1.0</v>
      </c>
      <c r="H2268" s="300">
        <v>1.0</v>
      </c>
      <c r="I2268" s="300">
        <v>1.0</v>
      </c>
      <c r="J2268" s="300">
        <v>1.0</v>
      </c>
      <c r="K2268" s="300">
        <v>1.0</v>
      </c>
      <c r="L2268" s="300">
        <v>1.0</v>
      </c>
      <c r="M2268" s="300">
        <v>1.0</v>
      </c>
      <c r="N2268" s="300">
        <v>8.0</v>
      </c>
      <c r="O2268" s="300" t="s">
        <v>903</v>
      </c>
      <c r="P2268" s="300">
        <v>6.0</v>
      </c>
    </row>
    <row r="2269">
      <c r="A2269">
        <f>IFERROR(__xludf.DUMMYFUNCTION("""COMPUTED_VALUE"""),10.0)</f>
        <v>10</v>
      </c>
      <c r="B2269" s="406">
        <f>IFERROR(__xludf.DUMMYFUNCTION("""COMPUTED_VALUE"""),27058.0)</f>
        <v>27058</v>
      </c>
      <c r="C2269" t="str">
        <f>IFERROR(__xludf.DUMMYFUNCTION("""COMPUTED_VALUE"""),"LOPEZ MEJIA, MIGUEL")</f>
        <v>LOPEZ MEJIA, MIGUEL</v>
      </c>
      <c r="D2269" t="str">
        <f>IFERROR(__xludf.DUMMYFUNCTION("""COMPUTED_VALUE"""),"PE 10")</f>
        <v>PE 10</v>
      </c>
      <c r="E2269" s="3">
        <f>IFERROR(__xludf.DUMMYFUNCTION("""COMPUTED_VALUE"""),6.0)</f>
        <v>6</v>
      </c>
      <c r="F2269" s="300">
        <v>1.0</v>
      </c>
      <c r="G2269" s="300">
        <v>1.0</v>
      </c>
      <c r="H2269" s="300">
        <v>1.0</v>
      </c>
      <c r="I2269" s="300">
        <v>1.0</v>
      </c>
      <c r="J2269" s="300">
        <v>1.0</v>
      </c>
      <c r="K2269" s="300">
        <v>1.0</v>
      </c>
      <c r="L2269" s="300">
        <v>1.0</v>
      </c>
      <c r="M2269" s="300">
        <v>1.0</v>
      </c>
      <c r="N2269" s="300">
        <v>8.0</v>
      </c>
      <c r="O2269" s="300" t="s">
        <v>907</v>
      </c>
      <c r="P2269" s="300">
        <v>6.0</v>
      </c>
    </row>
    <row r="2270">
      <c r="A2270">
        <f>IFERROR(__xludf.DUMMYFUNCTION("""COMPUTED_VALUE"""),10.0)</f>
        <v>10</v>
      </c>
      <c r="B2270" s="406">
        <f>IFERROR(__xludf.DUMMYFUNCTION("""COMPUTED_VALUE"""),28038.0)</f>
        <v>28038</v>
      </c>
      <c r="C2270" t="str">
        <f>IFERROR(__xludf.DUMMYFUNCTION("""COMPUTED_VALUE"""),"GOMEZ TORRES, MARIA")</f>
        <v>GOMEZ TORRES, MARIA</v>
      </c>
      <c r="D2270" t="str">
        <f>IFERROR(__xludf.DUMMYFUNCTION("""COMPUTED_VALUE"""),"PE 10")</f>
        <v>PE 10</v>
      </c>
      <c r="E2270" s="3">
        <f>IFERROR(__xludf.DUMMYFUNCTION("""COMPUTED_VALUE"""),4.0)</f>
        <v>4</v>
      </c>
      <c r="F2270" s="300">
        <v>1.0</v>
      </c>
      <c r="G2270" s="300">
        <v>1.0</v>
      </c>
      <c r="H2270" s="300">
        <v>1.0</v>
      </c>
      <c r="I2270" s="300">
        <v>1.0</v>
      </c>
      <c r="J2270" s="300">
        <v>1.0</v>
      </c>
      <c r="K2270" s="300">
        <v>1.0</v>
      </c>
      <c r="L2270" s="300">
        <v>1.0</v>
      </c>
      <c r="M2270" s="300">
        <v>1.0</v>
      </c>
      <c r="N2270" s="300">
        <v>8.0</v>
      </c>
      <c r="O2270" s="300" t="s">
        <v>906</v>
      </c>
      <c r="P2270" s="300">
        <v>6.0</v>
      </c>
    </row>
    <row r="2271">
      <c r="A2271">
        <f>IFERROR(__xludf.DUMMYFUNCTION("""COMPUTED_VALUE"""),10.0)</f>
        <v>10</v>
      </c>
      <c r="B2271" s="406">
        <f>IFERROR(__xludf.DUMMYFUNCTION("""COMPUTED_VALUE"""),28094.0)</f>
        <v>28094</v>
      </c>
      <c r="C2271" t="str">
        <f>IFERROR(__xludf.DUMMYFUNCTION("""COMPUTED_VALUE"""),"RESTREPO OCHOA, PASCUAL")</f>
        <v>RESTREPO OCHOA, PASCUAL</v>
      </c>
      <c r="D2271" t="str">
        <f>IFERROR(__xludf.DUMMYFUNCTION("""COMPUTED_VALUE"""),"PE 10")</f>
        <v>PE 10</v>
      </c>
      <c r="E2271" s="3">
        <f>IFERROR(__xludf.DUMMYFUNCTION("""COMPUTED_VALUE"""),7.0)</f>
        <v>7</v>
      </c>
      <c r="F2271" s="300">
        <v>1.0</v>
      </c>
      <c r="G2271" s="300">
        <v>1.0</v>
      </c>
      <c r="H2271" s="300">
        <v>1.0</v>
      </c>
      <c r="I2271" s="300">
        <v>1.0</v>
      </c>
      <c r="J2271" s="300">
        <v>1.0</v>
      </c>
      <c r="K2271" s="300">
        <v>1.0</v>
      </c>
      <c r="L2271" s="300">
        <v>1.0</v>
      </c>
      <c r="M2271" s="300">
        <v>1.0</v>
      </c>
      <c r="N2271" s="300">
        <v>8.0</v>
      </c>
      <c r="O2271" s="300" t="s">
        <v>904</v>
      </c>
      <c r="P2271" s="300">
        <v>6.0</v>
      </c>
    </row>
    <row r="2272">
      <c r="A2272">
        <f>IFERROR(__xludf.DUMMYFUNCTION("""COMPUTED_VALUE"""),10.0)</f>
        <v>10</v>
      </c>
      <c r="B2272" s="406">
        <f>IFERROR(__xludf.DUMMYFUNCTION("""COMPUTED_VALUE"""),28041.0)</f>
        <v>28041</v>
      </c>
      <c r="C2272" t="str">
        <f>IFERROR(__xludf.DUMMYFUNCTION("""COMPUTED_VALUE"""),"GONZALEZ MIRA, MATIAS")</f>
        <v>GONZALEZ MIRA, MATIAS</v>
      </c>
      <c r="D2272" t="str">
        <f>IFERROR(__xludf.DUMMYFUNCTION("""COMPUTED_VALUE"""),"PE 10")</f>
        <v>PE 10</v>
      </c>
      <c r="E2272" s="3">
        <f>IFERROR(__xludf.DUMMYFUNCTION("""COMPUTED_VALUE"""),1.0)</f>
        <v>1</v>
      </c>
      <c r="F2272" s="300">
        <v>1.0</v>
      </c>
      <c r="G2272" s="300">
        <v>1.0</v>
      </c>
      <c r="H2272" s="300">
        <v>1.0</v>
      </c>
      <c r="I2272" s="300">
        <v>1.0</v>
      </c>
      <c r="J2272" s="300">
        <v>1.0</v>
      </c>
      <c r="K2272" s="300">
        <v>1.0</v>
      </c>
      <c r="L2272" s="300">
        <v>1.0</v>
      </c>
      <c r="M2272" s="300">
        <v>1.0</v>
      </c>
      <c r="N2272" s="300">
        <v>8.0</v>
      </c>
      <c r="O2272" s="300" t="s">
        <v>903</v>
      </c>
      <c r="P2272" s="300">
        <v>6.0</v>
      </c>
    </row>
    <row r="2273">
      <c r="A2273">
        <f>IFERROR(__xludf.DUMMYFUNCTION("""COMPUTED_VALUE"""),10.0)</f>
        <v>10</v>
      </c>
      <c r="B2273" s="406">
        <f>IFERROR(__xludf.DUMMYFUNCTION("""COMPUTED_VALUE"""),28112.0)</f>
        <v>28112</v>
      </c>
      <c r="C2273" t="str">
        <f>IFERROR(__xludf.DUMMYFUNCTION("""COMPUTED_VALUE"""),"VELASQUEZ OCHOA, MIGUEL")</f>
        <v>VELASQUEZ OCHOA, MIGUEL</v>
      </c>
      <c r="D2273" t="str">
        <f>IFERROR(__xludf.DUMMYFUNCTION("""COMPUTED_VALUE"""),"PE 10")</f>
        <v>PE 10</v>
      </c>
      <c r="E2273" s="3">
        <f>IFERROR(__xludf.DUMMYFUNCTION("""COMPUTED_VALUE"""),6.0)</f>
        <v>6</v>
      </c>
      <c r="F2273" s="300">
        <v>1.0</v>
      </c>
      <c r="G2273" s="300">
        <v>1.0</v>
      </c>
      <c r="H2273" s="300">
        <v>1.0</v>
      </c>
      <c r="I2273" s="300">
        <v>1.0</v>
      </c>
      <c r="J2273" s="300">
        <v>1.0</v>
      </c>
      <c r="K2273" s="300">
        <v>1.0</v>
      </c>
      <c r="L2273" s="300">
        <v>1.0</v>
      </c>
      <c r="M2273" s="300">
        <v>1.0</v>
      </c>
      <c r="N2273" s="300">
        <v>8.0</v>
      </c>
      <c r="O2273" s="300" t="s">
        <v>907</v>
      </c>
      <c r="P2273" s="300">
        <v>6.0</v>
      </c>
    </row>
    <row r="2274">
      <c r="A2274">
        <f>IFERROR(__xludf.DUMMYFUNCTION("""COMPUTED_VALUE"""),10.0)</f>
        <v>10</v>
      </c>
      <c r="B2274" s="406">
        <f>IFERROR(__xludf.DUMMYFUNCTION("""COMPUTED_VALUE"""),28156.0)</f>
        <v>28156</v>
      </c>
      <c r="C2274" t="str">
        <f>IFERROR(__xludf.DUMMYFUNCTION("""COMPUTED_VALUE"""),"URIBE CERON, SIMON")</f>
        <v>URIBE CERON, SIMON</v>
      </c>
      <c r="D2274" t="str">
        <f>IFERROR(__xludf.DUMMYFUNCTION("""COMPUTED_VALUE"""),"PE 10")</f>
        <v>PE 10</v>
      </c>
      <c r="E2274" s="3">
        <f>IFERROR(__xludf.DUMMYFUNCTION("""COMPUTED_VALUE"""),7.0)</f>
        <v>7</v>
      </c>
      <c r="F2274" s="300">
        <v>1.0</v>
      </c>
      <c r="G2274" s="300">
        <v>1.0</v>
      </c>
      <c r="H2274" s="300">
        <v>1.0</v>
      </c>
      <c r="I2274" s="300">
        <v>1.0</v>
      </c>
      <c r="J2274" s="300">
        <v>1.0</v>
      </c>
      <c r="K2274" s="300">
        <v>1.0</v>
      </c>
      <c r="L2274" s="300">
        <v>1.0</v>
      </c>
      <c r="M2274" s="300">
        <v>1.0</v>
      </c>
      <c r="N2274" s="300">
        <v>8.0</v>
      </c>
      <c r="O2274" s="300" t="s">
        <v>904</v>
      </c>
      <c r="P2274" s="300">
        <v>6.0</v>
      </c>
    </row>
    <row r="2275">
      <c r="A2275">
        <f>IFERROR(__xludf.DUMMYFUNCTION("""COMPUTED_VALUE"""),10.0)</f>
        <v>10</v>
      </c>
      <c r="B2275" s="406">
        <f>IFERROR(__xludf.DUMMYFUNCTION("""COMPUTED_VALUE"""),27009.0)</f>
        <v>27009</v>
      </c>
      <c r="C2275" t="str">
        <f>IFERROR(__xludf.DUMMYFUNCTION("""COMPUTED_VALUE"""),"ARBELAEZ VELASQUEZ, ANTONIO")</f>
        <v>ARBELAEZ VELASQUEZ, ANTONIO</v>
      </c>
      <c r="D2275" t="str">
        <f>IFERROR(__xludf.DUMMYFUNCTION("""COMPUTED_VALUE"""),"PE 10")</f>
        <v>PE 10</v>
      </c>
      <c r="E2275" s="3">
        <f>IFERROR(__xludf.DUMMYFUNCTION("""COMPUTED_VALUE"""),6.0)</f>
        <v>6</v>
      </c>
      <c r="F2275" s="300">
        <v>1.0</v>
      </c>
      <c r="G2275" s="300">
        <v>1.0</v>
      </c>
      <c r="H2275" s="300">
        <v>1.0</v>
      </c>
      <c r="I2275" s="300">
        <v>1.0</v>
      </c>
      <c r="J2275" s="300">
        <v>1.0</v>
      </c>
      <c r="K2275" s="300">
        <v>1.0</v>
      </c>
      <c r="L2275" s="300">
        <v>1.0</v>
      </c>
      <c r="M2275" s="300">
        <v>1.0</v>
      </c>
      <c r="N2275" s="300">
        <v>8.0</v>
      </c>
      <c r="O2275" s="300" t="s">
        <v>907</v>
      </c>
      <c r="P2275" s="300">
        <v>6.0</v>
      </c>
    </row>
    <row r="2276">
      <c r="A2276">
        <f>IFERROR(__xludf.DUMMYFUNCTION("""COMPUTED_VALUE"""),10.0)</f>
        <v>10</v>
      </c>
      <c r="B2276" s="406">
        <f>IFERROR(__xludf.DUMMYFUNCTION("""COMPUTED_VALUE"""),28079.0)</f>
        <v>28079</v>
      </c>
      <c r="C2276" t="str">
        <f>IFERROR(__xludf.DUMMYFUNCTION("""COMPUTED_VALUE"""),"OSPINA RESTREPO, INES")</f>
        <v>OSPINA RESTREPO, INES</v>
      </c>
      <c r="D2276" t="str">
        <f>IFERROR(__xludf.DUMMYFUNCTION("""COMPUTED_VALUE"""),"PE 10")</f>
        <v>PE 10</v>
      </c>
      <c r="E2276" s="3">
        <f>IFERROR(__xludf.DUMMYFUNCTION("""COMPUTED_VALUE"""),2.0)</f>
        <v>2</v>
      </c>
      <c r="F2276" s="300">
        <v>1.0</v>
      </c>
      <c r="G2276" s="300">
        <v>1.0</v>
      </c>
      <c r="H2276" s="300">
        <v>1.0</v>
      </c>
      <c r="I2276" s="300">
        <v>1.0</v>
      </c>
      <c r="J2276" s="300">
        <v>1.0</v>
      </c>
      <c r="K2276" s="300">
        <v>1.0</v>
      </c>
      <c r="L2276" s="300">
        <v>1.0</v>
      </c>
      <c r="M2276" s="300">
        <v>1.0</v>
      </c>
      <c r="N2276" s="300">
        <v>8.0</v>
      </c>
      <c r="O2276" s="300" t="s">
        <v>905</v>
      </c>
      <c r="P2276" s="300">
        <v>6.0</v>
      </c>
    </row>
    <row r="2277">
      <c r="A2277">
        <f>IFERROR(__xludf.DUMMYFUNCTION("""COMPUTED_VALUE"""),10.0)</f>
        <v>10</v>
      </c>
      <c r="B2277" s="406">
        <f>IFERROR(__xludf.DUMMYFUNCTION("""COMPUTED_VALUE"""),28062.0)</f>
        <v>28062</v>
      </c>
      <c r="C2277" t="str">
        <f>IFERROR(__xludf.DUMMYFUNCTION("""COMPUTED_VALUE"""),"MEJIA DUQUE, JERONIMO")</f>
        <v>MEJIA DUQUE, JERONIMO</v>
      </c>
      <c r="D2277" t="str">
        <f>IFERROR(__xludf.DUMMYFUNCTION("""COMPUTED_VALUE"""),"PE 10")</f>
        <v>PE 10</v>
      </c>
      <c r="E2277" s="3">
        <f>IFERROR(__xludf.DUMMYFUNCTION("""COMPUTED_VALUE"""),1.0)</f>
        <v>1</v>
      </c>
      <c r="F2277" s="300">
        <v>1.0</v>
      </c>
      <c r="G2277" s="300">
        <v>1.0</v>
      </c>
      <c r="H2277" s="300">
        <v>1.0</v>
      </c>
      <c r="I2277" s="300">
        <v>1.0</v>
      </c>
      <c r="J2277" s="300">
        <v>1.0</v>
      </c>
      <c r="K2277" s="300">
        <v>1.0</v>
      </c>
      <c r="L2277" s="300">
        <v>1.0</v>
      </c>
      <c r="M2277" s="300">
        <v>1.0</v>
      </c>
      <c r="N2277" s="300">
        <v>8.0</v>
      </c>
      <c r="O2277" s="300" t="s">
        <v>903</v>
      </c>
      <c r="P2277" s="300">
        <v>6.0</v>
      </c>
    </row>
    <row r="2278">
      <c r="A2278">
        <f>IFERROR(__xludf.DUMMYFUNCTION("""COMPUTED_VALUE"""),10.0)</f>
        <v>10</v>
      </c>
      <c r="B2278" s="406">
        <f>IFERROR(__xludf.DUMMYFUNCTION("""COMPUTED_VALUE"""),28118.0)</f>
        <v>28118</v>
      </c>
      <c r="C2278" t="str">
        <f>IFERROR(__xludf.DUMMYFUNCTION("""COMPUTED_VALUE"""),"VILLEGAS LONDOÑO, VIOLETA")</f>
        <v>VILLEGAS LONDOÑO, VIOLETA</v>
      </c>
      <c r="D2278" t="str">
        <f>IFERROR(__xludf.DUMMYFUNCTION("""COMPUTED_VALUE"""),"PE 10")</f>
        <v>PE 10</v>
      </c>
      <c r="E2278" s="3">
        <f>IFERROR(__xludf.DUMMYFUNCTION("""COMPUTED_VALUE"""),5.0)</f>
        <v>5</v>
      </c>
      <c r="F2278" s="300">
        <v>1.0</v>
      </c>
      <c r="G2278" s="300">
        <v>1.0</v>
      </c>
      <c r="H2278" s="300">
        <v>1.0</v>
      </c>
      <c r="I2278" s="300">
        <v>1.0</v>
      </c>
      <c r="J2278" s="300">
        <v>1.0</v>
      </c>
      <c r="K2278" s="300">
        <v>1.0</v>
      </c>
      <c r="L2278" s="300">
        <v>1.0</v>
      </c>
      <c r="M2278" s="300">
        <v>1.0</v>
      </c>
      <c r="N2278" s="300">
        <v>8.0</v>
      </c>
      <c r="O2278" s="300" t="s">
        <v>902</v>
      </c>
      <c r="P2278" s="300">
        <v>6.0</v>
      </c>
    </row>
    <row r="2279">
      <c r="A2279">
        <f>IFERROR(__xludf.DUMMYFUNCTION("""COMPUTED_VALUE"""),10.0)</f>
        <v>10</v>
      </c>
      <c r="B2279" s="406">
        <f>IFERROR(__xludf.DUMMYFUNCTION("""COMPUTED_VALUE"""),28030.0)</f>
        <v>28030</v>
      </c>
      <c r="C2279" t="str">
        <f>IFERROR(__xludf.DUMMYFUNCTION("""COMPUTED_VALUE"""),"FRANCO USUGA, MARIA JOSE")</f>
        <v>FRANCO USUGA, MARIA JOSE</v>
      </c>
      <c r="D2279" t="str">
        <f>IFERROR(__xludf.DUMMYFUNCTION("""COMPUTED_VALUE"""),"PE 10")</f>
        <v>PE 10</v>
      </c>
      <c r="E2279" s="3">
        <f>IFERROR(__xludf.DUMMYFUNCTION("""COMPUTED_VALUE"""),4.0)</f>
        <v>4</v>
      </c>
      <c r="F2279" s="300">
        <v>1.0</v>
      </c>
      <c r="G2279" s="300">
        <v>1.0</v>
      </c>
      <c r="H2279" s="300">
        <v>1.0</v>
      </c>
      <c r="I2279" s="300">
        <v>1.0</v>
      </c>
      <c r="J2279" s="300">
        <v>1.0</v>
      </c>
      <c r="K2279" s="300">
        <v>1.0</v>
      </c>
      <c r="L2279" s="300">
        <v>1.0</v>
      </c>
      <c r="M2279" s="300">
        <v>1.0</v>
      </c>
      <c r="N2279" s="300">
        <v>8.0</v>
      </c>
      <c r="O2279" s="300" t="s">
        <v>906</v>
      </c>
      <c r="P2279" s="300">
        <v>6.0</v>
      </c>
    </row>
    <row r="2280">
      <c r="A2280">
        <f>IFERROR(__xludf.DUMMYFUNCTION("""COMPUTED_VALUE"""),10.0)</f>
        <v>10</v>
      </c>
      <c r="B2280" s="406">
        <f>IFERROR(__xludf.DUMMYFUNCTION("""COMPUTED_VALUE"""),28107.0)</f>
        <v>28107</v>
      </c>
      <c r="C2280" t="str">
        <f>IFERROR(__xludf.DUMMYFUNCTION("""COMPUTED_VALUE"""),"TORO PEREZ, AMALIA")</f>
        <v>TORO PEREZ, AMALIA</v>
      </c>
      <c r="D2280" t="str">
        <f>IFERROR(__xludf.DUMMYFUNCTION("""COMPUTED_VALUE"""),"PE 10")</f>
        <v>PE 10</v>
      </c>
      <c r="E2280" s="3">
        <f>IFERROR(__xludf.DUMMYFUNCTION("""COMPUTED_VALUE"""),1.0)</f>
        <v>1</v>
      </c>
      <c r="F2280" s="300">
        <v>1.0</v>
      </c>
      <c r="G2280" s="300">
        <v>1.0</v>
      </c>
      <c r="H2280" s="300">
        <v>1.0</v>
      </c>
      <c r="I2280" s="300">
        <v>1.0</v>
      </c>
      <c r="J2280" s="300">
        <v>1.0</v>
      </c>
      <c r="K2280" s="300">
        <v>1.0</v>
      </c>
      <c r="L2280" s="300">
        <v>1.0</v>
      </c>
      <c r="M2280" s="300">
        <v>1.0</v>
      </c>
      <c r="N2280" s="300">
        <v>8.0</v>
      </c>
      <c r="O2280" s="300" t="s">
        <v>903</v>
      </c>
      <c r="P2280" s="300">
        <v>6.0</v>
      </c>
    </row>
    <row r="2281">
      <c r="A2281">
        <f>IFERROR(__xludf.DUMMYFUNCTION("""COMPUTED_VALUE"""),10.0)</f>
        <v>10</v>
      </c>
      <c r="B2281" s="406">
        <f>IFERROR(__xludf.DUMMYFUNCTION("""COMPUTED_VALUE"""),27057.0)</f>
        <v>27057</v>
      </c>
      <c r="C2281" t="str">
        <f>IFERROR(__xludf.DUMMYFUNCTION("""COMPUTED_VALUE"""),"LAVERDE GIRALDO, MAXIMILIANO")</f>
        <v>LAVERDE GIRALDO, MAXIMILIANO</v>
      </c>
      <c r="D2281" t="str">
        <f>IFERROR(__xludf.DUMMYFUNCTION("""COMPUTED_VALUE"""),"PE 10")</f>
        <v>PE 10</v>
      </c>
      <c r="E2281" s="3">
        <f>IFERROR(__xludf.DUMMYFUNCTION("""COMPUTED_VALUE"""),4.0)</f>
        <v>4</v>
      </c>
      <c r="F2281" s="300">
        <v>1.0</v>
      </c>
      <c r="G2281" s="300">
        <v>1.0</v>
      </c>
      <c r="H2281" s="300">
        <v>1.0</v>
      </c>
      <c r="I2281" s="300">
        <v>1.0</v>
      </c>
      <c r="J2281" s="300">
        <v>1.0</v>
      </c>
      <c r="K2281" s="300">
        <v>1.0</v>
      </c>
      <c r="L2281" s="300">
        <v>1.0</v>
      </c>
      <c r="M2281" s="300">
        <v>1.0</v>
      </c>
      <c r="N2281" s="300">
        <v>8.0</v>
      </c>
      <c r="O2281" s="300" t="s">
        <v>906</v>
      </c>
      <c r="P2281" s="300">
        <v>6.0</v>
      </c>
    </row>
    <row r="2282">
      <c r="A2282">
        <f>IFERROR(__xludf.DUMMYFUNCTION("""COMPUTED_VALUE"""),10.0)</f>
        <v>10</v>
      </c>
      <c r="B2282" s="406">
        <f>IFERROR(__xludf.DUMMYFUNCTION("""COMPUTED_VALUE"""),28169.0)</f>
        <v>28169</v>
      </c>
      <c r="C2282" t="str">
        <f>IFERROR(__xludf.DUMMYFUNCTION("""COMPUTED_VALUE"""),"BOTERO SPERA, ROSA")</f>
        <v>BOTERO SPERA, ROSA</v>
      </c>
      <c r="D2282" t="str">
        <f>IFERROR(__xludf.DUMMYFUNCTION("""COMPUTED_VALUE"""),"PE 10")</f>
        <v>PE 10</v>
      </c>
      <c r="E2282" s="3">
        <f>IFERROR(__xludf.DUMMYFUNCTION("""COMPUTED_VALUE"""),2.0)</f>
        <v>2</v>
      </c>
      <c r="F2282" s="300">
        <v>1.0</v>
      </c>
      <c r="G2282" s="300">
        <v>1.0</v>
      </c>
      <c r="H2282" s="300">
        <v>1.0</v>
      </c>
      <c r="I2282" s="300">
        <v>1.0</v>
      </c>
      <c r="J2282" s="300">
        <v>1.0</v>
      </c>
      <c r="K2282" s="300">
        <v>1.0</v>
      </c>
      <c r="L2282" s="300">
        <v>1.0</v>
      </c>
      <c r="M2282" s="300">
        <v>1.0</v>
      </c>
      <c r="N2282" s="300">
        <v>8.0</v>
      </c>
      <c r="O2282" s="300" t="s">
        <v>905</v>
      </c>
      <c r="P2282" s="300">
        <v>6.0</v>
      </c>
    </row>
    <row r="2283">
      <c r="A2283">
        <f>IFERROR(__xludf.DUMMYFUNCTION("""COMPUTED_VALUE"""),10.0)</f>
        <v>10</v>
      </c>
      <c r="B2283" s="406">
        <f>IFERROR(__xludf.DUMMYFUNCTION("""COMPUTED_VALUE"""),28015.0)</f>
        <v>28015</v>
      </c>
      <c r="C2283" t="str">
        <f>IFERROR(__xludf.DUMMYFUNCTION("""COMPUTED_VALUE"""),"BOTERO BOTERO, EULALIA")</f>
        <v>BOTERO BOTERO, EULALIA</v>
      </c>
      <c r="D2283" t="str">
        <f>IFERROR(__xludf.DUMMYFUNCTION("""COMPUTED_VALUE"""),"PE 10")</f>
        <v>PE 10</v>
      </c>
      <c r="E2283" s="3">
        <f>IFERROR(__xludf.DUMMYFUNCTION("""COMPUTED_VALUE"""),1.0)</f>
        <v>1</v>
      </c>
      <c r="F2283" s="300">
        <v>1.0</v>
      </c>
      <c r="G2283" s="300">
        <v>1.0</v>
      </c>
      <c r="H2283" s="300">
        <v>1.0</v>
      </c>
      <c r="I2283" s="300">
        <v>1.0</v>
      </c>
      <c r="J2283" s="300">
        <v>1.0</v>
      </c>
      <c r="K2283" s="300">
        <v>1.0</v>
      </c>
      <c r="L2283" s="300">
        <v>1.0</v>
      </c>
      <c r="M2283" s="300">
        <v>1.0</v>
      </c>
      <c r="N2283" s="300">
        <v>8.0</v>
      </c>
      <c r="O2283" s="300" t="s">
        <v>903</v>
      </c>
      <c r="P2283" s="300">
        <v>6.0</v>
      </c>
    </row>
    <row r="2284">
      <c r="A2284">
        <f>IFERROR(__xludf.DUMMYFUNCTION("""COMPUTED_VALUE"""),10.0)</f>
        <v>10</v>
      </c>
      <c r="B2284" s="406">
        <f>IFERROR(__xludf.DUMMYFUNCTION("""COMPUTED_VALUE"""),28057.0)</f>
        <v>28057</v>
      </c>
      <c r="C2284" t="str">
        <f>IFERROR(__xludf.DUMMYFUNCTION("""COMPUTED_VALUE"""),"MARTINEZ AGUILAR, AMELIA")</f>
        <v>MARTINEZ AGUILAR, AMELIA</v>
      </c>
      <c r="D2284" t="str">
        <f>IFERROR(__xludf.DUMMYFUNCTION("""COMPUTED_VALUE"""),"PE 10")</f>
        <v>PE 10</v>
      </c>
      <c r="E2284" s="3">
        <f>IFERROR(__xludf.DUMMYFUNCTION("""COMPUTED_VALUE"""),1.0)</f>
        <v>1</v>
      </c>
      <c r="F2284" s="300">
        <v>1.0</v>
      </c>
      <c r="G2284" s="300">
        <v>1.0</v>
      </c>
      <c r="H2284" s="300">
        <v>1.0</v>
      </c>
      <c r="I2284" s="300">
        <v>1.0</v>
      </c>
      <c r="J2284" s="300">
        <v>1.0</v>
      </c>
      <c r="K2284" s="300">
        <v>1.0</v>
      </c>
      <c r="L2284" s="300">
        <v>1.0</v>
      </c>
      <c r="M2284" s="300">
        <v>1.0</v>
      </c>
      <c r="N2284" s="300">
        <v>8.0</v>
      </c>
      <c r="O2284" s="300" t="s">
        <v>903</v>
      </c>
      <c r="P2284" s="300">
        <v>6.0</v>
      </c>
    </row>
    <row r="2285">
      <c r="A2285">
        <f>IFERROR(__xludf.DUMMYFUNCTION("""COMPUTED_VALUE"""),10.0)</f>
        <v>10</v>
      </c>
      <c r="B2285" s="406">
        <f>IFERROR(__xludf.DUMMYFUNCTION("""COMPUTED_VALUE"""),28135.0)</f>
        <v>28135</v>
      </c>
      <c r="C2285" t="str">
        <f>IFERROR(__xludf.DUMMYFUNCTION("""COMPUTED_VALUE"""),"VELEZ RESTREPO, EMILIA")</f>
        <v>VELEZ RESTREPO, EMILIA</v>
      </c>
      <c r="D2285" t="str">
        <f>IFERROR(__xludf.DUMMYFUNCTION("""COMPUTED_VALUE"""),"PE 10")</f>
        <v>PE 10</v>
      </c>
      <c r="E2285" s="3">
        <f>IFERROR(__xludf.DUMMYFUNCTION("""COMPUTED_VALUE"""),1.0)</f>
        <v>1</v>
      </c>
      <c r="F2285" s="300">
        <v>1.0</v>
      </c>
      <c r="G2285" s="300">
        <v>1.0</v>
      </c>
      <c r="H2285" s="300">
        <v>1.0</v>
      </c>
      <c r="I2285" s="300">
        <v>1.0</v>
      </c>
      <c r="J2285" s="300">
        <v>1.0</v>
      </c>
      <c r="K2285" s="300">
        <v>1.0</v>
      </c>
      <c r="L2285" s="300">
        <v>1.0</v>
      </c>
      <c r="M2285" s="300">
        <v>1.0</v>
      </c>
      <c r="N2285" s="300">
        <v>8.0</v>
      </c>
      <c r="O2285" s="300" t="s">
        <v>903</v>
      </c>
      <c r="P2285" s="300">
        <v>6.0</v>
      </c>
    </row>
    <row r="2286">
      <c r="A2286">
        <f>IFERROR(__xludf.DUMMYFUNCTION("""COMPUTED_VALUE"""),10.0)</f>
        <v>10</v>
      </c>
      <c r="B2286" s="406">
        <f>IFERROR(__xludf.DUMMYFUNCTION("""COMPUTED_VALUE"""),28137.0)</f>
        <v>28137</v>
      </c>
      <c r="C2286" t="str">
        <f>IFERROR(__xludf.DUMMYFUNCTION("""COMPUTED_VALUE"""),"JARAMILLO PEÑA, PAULA ANDREA")</f>
        <v>JARAMILLO PEÑA, PAULA ANDREA</v>
      </c>
      <c r="D2286" t="str">
        <f>IFERROR(__xludf.DUMMYFUNCTION("""COMPUTED_VALUE"""),"PE 10")</f>
        <v>PE 10</v>
      </c>
      <c r="E2286" s="3">
        <f>IFERROR(__xludf.DUMMYFUNCTION("""COMPUTED_VALUE"""),4.0)</f>
        <v>4</v>
      </c>
      <c r="F2286" s="300">
        <v>1.0</v>
      </c>
      <c r="G2286" s="300">
        <v>1.0</v>
      </c>
      <c r="H2286" s="300">
        <v>1.0</v>
      </c>
      <c r="I2286" s="300">
        <v>1.0</v>
      </c>
      <c r="J2286" s="300">
        <v>1.0</v>
      </c>
      <c r="K2286" s="300">
        <v>1.0</v>
      </c>
      <c r="L2286" s="300">
        <v>1.0</v>
      </c>
      <c r="M2286" s="300">
        <v>1.0</v>
      </c>
      <c r="N2286" s="300">
        <v>8.0</v>
      </c>
      <c r="O2286" s="300" t="s">
        <v>906</v>
      </c>
      <c r="P2286" s="300">
        <v>6.0</v>
      </c>
    </row>
    <row r="2287">
      <c r="A2287">
        <f>IFERROR(__xludf.DUMMYFUNCTION("""COMPUTED_VALUE"""),10.0)</f>
        <v>10</v>
      </c>
      <c r="B2287" s="406">
        <f>IFERROR(__xludf.DUMMYFUNCTION("""COMPUTED_VALUE"""),28028.0)</f>
        <v>28028</v>
      </c>
      <c r="C2287" t="str">
        <f>IFERROR(__xludf.DUMMYFUNCTION("""COMPUTED_VALUE"""),"FERRER ESCOBAR, JUAN MARTIN")</f>
        <v>FERRER ESCOBAR, JUAN MARTIN</v>
      </c>
      <c r="D2287" t="str">
        <f>IFERROR(__xludf.DUMMYFUNCTION("""COMPUTED_VALUE"""),"PE 10")</f>
        <v>PE 10</v>
      </c>
      <c r="E2287" s="3">
        <f>IFERROR(__xludf.DUMMYFUNCTION("""COMPUTED_VALUE"""),2.0)</f>
        <v>2</v>
      </c>
      <c r="F2287" s="300">
        <v>1.0</v>
      </c>
      <c r="G2287" s="300">
        <v>1.0</v>
      </c>
      <c r="H2287" s="300">
        <v>1.0</v>
      </c>
      <c r="I2287" s="300">
        <v>1.0</v>
      </c>
      <c r="J2287" s="300">
        <v>1.0</v>
      </c>
      <c r="K2287" s="300">
        <v>1.0</v>
      </c>
      <c r="L2287" s="300">
        <v>1.0</v>
      </c>
      <c r="M2287" s="300">
        <v>1.0</v>
      </c>
      <c r="N2287" s="300">
        <v>8.0</v>
      </c>
      <c r="O2287" s="300" t="s">
        <v>905</v>
      </c>
      <c r="P2287" s="300">
        <v>6.0</v>
      </c>
    </row>
    <row r="2288">
      <c r="A2288">
        <f>IFERROR(__xludf.DUMMYFUNCTION("""COMPUTED_VALUE"""),10.0)</f>
        <v>10</v>
      </c>
      <c r="B2288" s="406">
        <f>IFERROR(__xludf.DUMMYFUNCTION("""COMPUTED_VALUE"""),28014.0)</f>
        <v>28014</v>
      </c>
      <c r="C2288" t="str">
        <f>IFERROR(__xludf.DUMMYFUNCTION("""COMPUTED_VALUE"""),"BETANCUR VILLEGAS, MIGUEL")</f>
        <v>BETANCUR VILLEGAS, MIGUEL</v>
      </c>
      <c r="D2288" t="str">
        <f>IFERROR(__xludf.DUMMYFUNCTION("""COMPUTED_VALUE"""),"PE 10")</f>
        <v>PE 10</v>
      </c>
      <c r="E2288" s="3">
        <f>IFERROR(__xludf.DUMMYFUNCTION("""COMPUTED_VALUE"""),7.0)</f>
        <v>7</v>
      </c>
      <c r="F2288" s="300">
        <v>1.0</v>
      </c>
      <c r="G2288" s="300">
        <v>1.0</v>
      </c>
      <c r="H2288" s="300">
        <v>1.0</v>
      </c>
      <c r="I2288" s="300">
        <v>1.0</v>
      </c>
      <c r="J2288" s="300">
        <v>1.0</v>
      </c>
      <c r="K2288" s="300">
        <v>1.0</v>
      </c>
      <c r="L2288" s="300">
        <v>1.0</v>
      </c>
      <c r="M2288" s="300">
        <v>1.0</v>
      </c>
      <c r="N2288" s="300">
        <v>8.0</v>
      </c>
      <c r="O2288" s="300" t="s">
        <v>904</v>
      </c>
      <c r="P2288" s="300">
        <v>6.0</v>
      </c>
    </row>
    <row r="2289">
      <c r="A2289">
        <f>IFERROR(__xludf.DUMMYFUNCTION("""COMPUTED_VALUE"""),10.0)</f>
        <v>10</v>
      </c>
      <c r="B2289" s="406">
        <f>IFERROR(__xludf.DUMMYFUNCTION("""COMPUTED_VALUE"""),28075.0)</f>
        <v>28075</v>
      </c>
      <c r="C2289" t="str">
        <f>IFERROR(__xludf.DUMMYFUNCTION("""COMPUTED_VALUE"""),"OCHOA HURTADO, ELENA")</f>
        <v>OCHOA HURTADO, ELENA</v>
      </c>
      <c r="D2289" t="str">
        <f>IFERROR(__xludf.DUMMYFUNCTION("""COMPUTED_VALUE"""),"PE 10")</f>
        <v>PE 10</v>
      </c>
      <c r="E2289" s="3">
        <f>IFERROR(__xludf.DUMMYFUNCTION("""COMPUTED_VALUE"""),5.0)</f>
        <v>5</v>
      </c>
      <c r="F2289" s="300">
        <v>1.0</v>
      </c>
      <c r="G2289" s="300">
        <v>1.0</v>
      </c>
      <c r="H2289" s="300">
        <v>1.0</v>
      </c>
      <c r="I2289" s="300">
        <v>1.0</v>
      </c>
      <c r="J2289" s="300">
        <v>1.0</v>
      </c>
      <c r="K2289" s="300">
        <v>1.0</v>
      </c>
      <c r="L2289" s="300">
        <v>1.0</v>
      </c>
      <c r="M2289" s="300">
        <v>1.0</v>
      </c>
      <c r="N2289" s="300">
        <v>8.0</v>
      </c>
      <c r="O2289" s="300" t="s">
        <v>902</v>
      </c>
      <c r="P2289" s="300">
        <v>6.0</v>
      </c>
    </row>
    <row r="2290">
      <c r="A2290">
        <f>IFERROR(__xludf.DUMMYFUNCTION("""COMPUTED_VALUE"""),10.0)</f>
        <v>10</v>
      </c>
      <c r="B2290" s="406">
        <f>IFERROR(__xludf.DUMMYFUNCTION("""COMPUTED_VALUE"""),28165.0)</f>
        <v>28165</v>
      </c>
      <c r="C2290" t="str">
        <f>IFERROR(__xludf.DUMMYFUNCTION("""COMPUTED_VALUE"""),"ARANA CARREÑO, MARIA ANTONIA")</f>
        <v>ARANA CARREÑO, MARIA ANTONIA</v>
      </c>
      <c r="D2290" t="str">
        <f>IFERROR(__xludf.DUMMYFUNCTION("""COMPUTED_VALUE"""),"PE 10")</f>
        <v>PE 10</v>
      </c>
      <c r="E2290" s="3">
        <f>IFERROR(__xludf.DUMMYFUNCTION("""COMPUTED_VALUE"""),4.0)</f>
        <v>4</v>
      </c>
      <c r="F2290" s="300">
        <v>1.0</v>
      </c>
      <c r="G2290" s="300">
        <v>1.0</v>
      </c>
      <c r="H2290" s="300">
        <v>1.0</v>
      </c>
      <c r="I2290" s="300">
        <v>1.0</v>
      </c>
      <c r="J2290" s="300">
        <v>1.0</v>
      </c>
      <c r="K2290" s="300">
        <v>1.0</v>
      </c>
      <c r="L2290" s="300">
        <v>1.0</v>
      </c>
      <c r="M2290" s="300">
        <v>1.0</v>
      </c>
      <c r="N2290" s="300">
        <v>8.0</v>
      </c>
      <c r="O2290" s="300" t="s">
        <v>906</v>
      </c>
      <c r="P2290" s="300">
        <v>6.0</v>
      </c>
    </row>
    <row r="2291">
      <c r="A2291">
        <f>IFERROR(__xludf.DUMMYFUNCTION("""COMPUTED_VALUE"""),10.0)</f>
        <v>10</v>
      </c>
      <c r="B2291" s="406">
        <f>IFERROR(__xludf.DUMMYFUNCTION("""COMPUTED_VALUE"""),28142.0)</f>
        <v>28142</v>
      </c>
      <c r="C2291" t="str">
        <f>IFERROR(__xludf.DUMMYFUNCTION("""COMPUTED_VALUE"""),"BOTERO BETANCOURT, NICOLAS")</f>
        <v>BOTERO BETANCOURT, NICOLAS</v>
      </c>
      <c r="D2291" t="str">
        <f>IFERROR(__xludf.DUMMYFUNCTION("""COMPUTED_VALUE"""),"PE 10")</f>
        <v>PE 10</v>
      </c>
      <c r="E2291" s="3">
        <f>IFERROR(__xludf.DUMMYFUNCTION("""COMPUTED_VALUE"""),4.0)</f>
        <v>4</v>
      </c>
      <c r="F2291" s="300">
        <v>1.0</v>
      </c>
      <c r="G2291" s="300">
        <v>1.0</v>
      </c>
      <c r="H2291" s="300">
        <v>1.0</v>
      </c>
      <c r="I2291" s="300">
        <v>1.0</v>
      </c>
      <c r="J2291" s="300">
        <v>1.0</v>
      </c>
      <c r="K2291" s="300">
        <v>1.0</v>
      </c>
      <c r="L2291" s="300">
        <v>1.0</v>
      </c>
      <c r="M2291" s="300">
        <v>1.0</v>
      </c>
      <c r="N2291" s="300">
        <v>8.0</v>
      </c>
      <c r="O2291" s="300" t="s">
        <v>906</v>
      </c>
      <c r="P2291" s="300">
        <v>6.0</v>
      </c>
    </row>
    <row r="2292">
      <c r="A2292">
        <f>IFERROR(__xludf.DUMMYFUNCTION("""COMPUTED_VALUE"""),10.0)</f>
        <v>10</v>
      </c>
      <c r="B2292" s="406">
        <f>IFERROR(__xludf.DUMMYFUNCTION("""COMPUTED_VALUE"""),27008.0)</f>
        <v>27008</v>
      </c>
      <c r="C2292" t="str">
        <f>IFERROR(__xludf.DUMMYFUNCTION("""COMPUTED_VALUE"""),"ARBELAEZ VELASQUEZ, AGUSTIN")</f>
        <v>ARBELAEZ VELASQUEZ, AGUSTIN</v>
      </c>
      <c r="D2292" t="str">
        <f>IFERROR(__xludf.DUMMYFUNCTION("""COMPUTED_VALUE"""),"PE 10")</f>
        <v>PE 10</v>
      </c>
      <c r="E2292" s="3">
        <f>IFERROR(__xludf.DUMMYFUNCTION("""COMPUTED_VALUE"""),1.0)</f>
        <v>1</v>
      </c>
      <c r="F2292" s="300">
        <v>1.0</v>
      </c>
      <c r="G2292" s="300">
        <v>1.0</v>
      </c>
      <c r="H2292" s="300">
        <v>1.0</v>
      </c>
      <c r="I2292" s="300">
        <v>1.0</v>
      </c>
      <c r="J2292" s="300">
        <v>1.0</v>
      </c>
      <c r="K2292" s="300">
        <v>1.0</v>
      </c>
      <c r="L2292" s="300">
        <v>1.0</v>
      </c>
      <c r="M2292" s="300">
        <v>1.0</v>
      </c>
      <c r="N2292" s="300">
        <v>8.0</v>
      </c>
      <c r="O2292" s="300" t="s">
        <v>903</v>
      </c>
      <c r="P2292" s="300">
        <v>6.0</v>
      </c>
    </row>
    <row r="2293">
      <c r="A2293">
        <f>IFERROR(__xludf.DUMMYFUNCTION("""COMPUTED_VALUE"""),10.0)</f>
        <v>10</v>
      </c>
      <c r="B2293" s="406">
        <f>IFERROR(__xludf.DUMMYFUNCTION("""COMPUTED_VALUE"""),28161.0)</f>
        <v>28161</v>
      </c>
      <c r="C2293" t="str">
        <f>IFERROR(__xludf.DUMMYFUNCTION("""COMPUTED_VALUE"""),"GAVIRIA GOMEZ, JUAN ANDRES")</f>
        <v>GAVIRIA GOMEZ, JUAN ANDRES</v>
      </c>
      <c r="D2293" t="str">
        <f>IFERROR(__xludf.DUMMYFUNCTION("""COMPUTED_VALUE"""),"PE 10")</f>
        <v>PE 10</v>
      </c>
      <c r="E2293" s="3">
        <f>IFERROR(__xludf.DUMMYFUNCTION("""COMPUTED_VALUE"""),4.0)</f>
        <v>4</v>
      </c>
      <c r="F2293" s="300">
        <v>1.0</v>
      </c>
      <c r="G2293" s="300">
        <v>1.0</v>
      </c>
      <c r="H2293" s="300">
        <v>1.0</v>
      </c>
      <c r="I2293" s="300">
        <v>1.0</v>
      </c>
      <c r="J2293" s="300">
        <v>1.0</v>
      </c>
      <c r="K2293" s="300">
        <v>1.0</v>
      </c>
      <c r="L2293" s="300">
        <v>1.0</v>
      </c>
      <c r="M2293" s="300">
        <v>1.0</v>
      </c>
      <c r="N2293" s="300">
        <v>8.0</v>
      </c>
      <c r="O2293" s="300" t="s">
        <v>906</v>
      </c>
      <c r="P2293" s="300">
        <v>6.0</v>
      </c>
    </row>
    <row r="2294">
      <c r="A2294">
        <f>IFERROR(__xludf.DUMMYFUNCTION("""COMPUTED_VALUE"""),10.0)</f>
        <v>10</v>
      </c>
      <c r="B2294" s="406">
        <f>IFERROR(__xludf.DUMMYFUNCTION("""COMPUTED_VALUE"""),28040.0)</f>
        <v>28040</v>
      </c>
      <c r="C2294" t="str">
        <f>IFERROR(__xludf.DUMMYFUNCTION("""COMPUTED_VALUE"""),"GONZALEZ MARIN, MANUELA")</f>
        <v>GONZALEZ MARIN, MANUELA</v>
      </c>
      <c r="D2294" t="str">
        <f>IFERROR(__xludf.DUMMYFUNCTION("""COMPUTED_VALUE"""),"PE 10")</f>
        <v>PE 10</v>
      </c>
      <c r="E2294" s="3">
        <f>IFERROR(__xludf.DUMMYFUNCTION("""COMPUTED_VALUE"""),1.0)</f>
        <v>1</v>
      </c>
      <c r="F2294" s="300">
        <v>1.0</v>
      </c>
      <c r="G2294" s="300">
        <v>1.0</v>
      </c>
      <c r="H2294" s="300">
        <v>1.0</v>
      </c>
      <c r="I2294" s="300">
        <v>1.0</v>
      </c>
      <c r="J2294" s="300">
        <v>1.0</v>
      </c>
      <c r="K2294" s="300">
        <v>1.0</v>
      </c>
      <c r="L2294" s="300">
        <v>1.0</v>
      </c>
      <c r="M2294" s="300">
        <v>1.0</v>
      </c>
      <c r="N2294" s="300">
        <v>8.0</v>
      </c>
      <c r="O2294" s="300" t="s">
        <v>903</v>
      </c>
      <c r="P2294" s="300">
        <v>6.0</v>
      </c>
    </row>
    <row r="2295">
      <c r="A2295">
        <f>IFERROR(__xludf.DUMMYFUNCTION("""COMPUTED_VALUE"""),10.0)</f>
        <v>10</v>
      </c>
      <c r="B2295" s="406">
        <f>IFERROR(__xludf.DUMMYFUNCTION("""COMPUTED_VALUE"""),28007.0)</f>
        <v>28007</v>
      </c>
      <c r="C2295" t="str">
        <f>IFERROR(__xludf.DUMMYFUNCTION("""COMPUTED_VALUE"""),"ARISTIZABAL SALAZAR, MIGUEL")</f>
        <v>ARISTIZABAL SALAZAR, MIGUEL</v>
      </c>
      <c r="D2295" t="str">
        <f>IFERROR(__xludf.DUMMYFUNCTION("""COMPUTED_VALUE"""),"PE 10")</f>
        <v>PE 10</v>
      </c>
      <c r="E2295" s="3">
        <f>IFERROR(__xludf.DUMMYFUNCTION("""COMPUTED_VALUE"""),5.0)</f>
        <v>5</v>
      </c>
      <c r="F2295" s="300">
        <v>1.0</v>
      </c>
      <c r="G2295" s="300">
        <v>1.0</v>
      </c>
      <c r="H2295" s="300">
        <v>1.0</v>
      </c>
      <c r="I2295" s="300">
        <v>1.0</v>
      </c>
      <c r="J2295" s="300">
        <v>1.0</v>
      </c>
      <c r="K2295" s="300">
        <v>1.0</v>
      </c>
      <c r="L2295" s="300">
        <v>1.0</v>
      </c>
      <c r="M2295" s="300">
        <v>1.0</v>
      </c>
      <c r="N2295" s="300">
        <v>8.0</v>
      </c>
      <c r="O2295" s="300" t="s">
        <v>902</v>
      </c>
      <c r="P2295" s="300">
        <v>6.0</v>
      </c>
    </row>
    <row r="2296">
      <c r="A2296">
        <f>IFERROR(__xludf.DUMMYFUNCTION("""COMPUTED_VALUE"""),10.0)</f>
        <v>10</v>
      </c>
      <c r="B2296" s="406">
        <f>IFERROR(__xludf.DUMMYFUNCTION("""COMPUTED_VALUE"""),28047.0)</f>
        <v>28047</v>
      </c>
      <c r="C2296" t="str">
        <f>IFERROR(__xludf.DUMMYFUNCTION("""COMPUTED_VALUE"""),"ISAZA BETANCUR, CRISTOBAL")</f>
        <v>ISAZA BETANCUR, CRISTOBAL</v>
      </c>
      <c r="D2296" t="str">
        <f>IFERROR(__xludf.DUMMYFUNCTION("""COMPUTED_VALUE"""),"PE 10")</f>
        <v>PE 10</v>
      </c>
      <c r="E2296" s="3">
        <f>IFERROR(__xludf.DUMMYFUNCTION("""COMPUTED_VALUE"""),1.0)</f>
        <v>1</v>
      </c>
      <c r="F2296" s="300">
        <v>1.0</v>
      </c>
      <c r="G2296" s="300">
        <v>1.0</v>
      </c>
      <c r="H2296" s="300">
        <v>1.0</v>
      </c>
      <c r="I2296" s="300">
        <v>1.0</v>
      </c>
      <c r="J2296" s="300">
        <v>1.0</v>
      </c>
      <c r="K2296" s="300">
        <v>1.0</v>
      </c>
      <c r="L2296" s="300">
        <v>1.0</v>
      </c>
      <c r="M2296" s="300">
        <v>1.0</v>
      </c>
      <c r="N2296" s="300">
        <v>8.0</v>
      </c>
      <c r="O2296" s="300" t="s">
        <v>903</v>
      </c>
      <c r="P2296" s="300">
        <v>6.0</v>
      </c>
    </row>
    <row r="2297">
      <c r="A2297">
        <f>IFERROR(__xludf.DUMMYFUNCTION("""COMPUTED_VALUE"""),10.0)</f>
        <v>10</v>
      </c>
      <c r="B2297" s="406">
        <f>IFERROR(__xludf.DUMMYFUNCTION("""COMPUTED_VALUE"""),28111.0)</f>
        <v>28111</v>
      </c>
      <c r="C2297" t="str">
        <f>IFERROR(__xludf.DUMMYFUNCTION("""COMPUTED_VALUE"""),"GARCES RIVERA, MATHIAS")</f>
        <v>GARCES RIVERA, MATHIAS</v>
      </c>
      <c r="D2297" t="str">
        <f>IFERROR(__xludf.DUMMYFUNCTION("""COMPUTED_VALUE"""),"PE 10")</f>
        <v>PE 10</v>
      </c>
      <c r="E2297" s="3">
        <f>IFERROR(__xludf.DUMMYFUNCTION("""COMPUTED_VALUE"""),5.0)</f>
        <v>5</v>
      </c>
      <c r="F2297" s="300">
        <v>1.0</v>
      </c>
      <c r="G2297" s="300">
        <v>1.0</v>
      </c>
      <c r="H2297" s="300">
        <v>1.0</v>
      </c>
      <c r="I2297" s="300">
        <v>1.0</v>
      </c>
      <c r="J2297" s="300">
        <v>1.0</v>
      </c>
      <c r="K2297" s="300">
        <v>1.0</v>
      </c>
      <c r="L2297" s="300">
        <v>1.0</v>
      </c>
      <c r="M2297" s="300">
        <v>1.0</v>
      </c>
      <c r="N2297" s="300">
        <v>8.0</v>
      </c>
      <c r="O2297" s="300" t="s">
        <v>902</v>
      </c>
      <c r="P2297" s="300">
        <v>6.0</v>
      </c>
    </row>
    <row r="2298">
      <c r="A2298">
        <f>IFERROR(__xludf.DUMMYFUNCTION("""COMPUTED_VALUE"""),10.0)</f>
        <v>10</v>
      </c>
      <c r="B2298" s="406">
        <f>IFERROR(__xludf.DUMMYFUNCTION("""COMPUTED_VALUE"""),28011.0)</f>
        <v>28011</v>
      </c>
      <c r="C2298" t="str">
        <f>IFERROR(__xludf.DUMMYFUNCTION("""COMPUTED_VALUE"""),"BAQUERO GARCIA, PASCUAL")</f>
        <v>BAQUERO GARCIA, PASCUAL</v>
      </c>
      <c r="D2298" t="str">
        <f>IFERROR(__xludf.DUMMYFUNCTION("""COMPUTED_VALUE"""),"PE 10")</f>
        <v>PE 10</v>
      </c>
      <c r="E2298" s="3">
        <f>IFERROR(__xludf.DUMMYFUNCTION("""COMPUTED_VALUE"""),7.0)</f>
        <v>7</v>
      </c>
      <c r="F2298" s="300">
        <v>1.0</v>
      </c>
      <c r="G2298" s="300">
        <v>1.0</v>
      </c>
      <c r="H2298" s="300">
        <v>1.0</v>
      </c>
      <c r="I2298" s="300">
        <v>1.0</v>
      </c>
      <c r="J2298" s="300">
        <v>1.0</v>
      </c>
      <c r="K2298" s="300">
        <v>1.0</v>
      </c>
      <c r="L2298" s="300">
        <v>1.0</v>
      </c>
      <c r="M2298" s="300">
        <v>1.0</v>
      </c>
      <c r="N2298" s="300">
        <v>8.0</v>
      </c>
      <c r="O2298" s="300" t="s">
        <v>904</v>
      </c>
      <c r="P2298" s="300">
        <v>6.0</v>
      </c>
    </row>
    <row r="2299">
      <c r="A2299">
        <f>IFERROR(__xludf.DUMMYFUNCTION("""COMPUTED_VALUE"""),10.0)</f>
        <v>10</v>
      </c>
      <c r="B2299" s="406">
        <f>IFERROR(__xludf.DUMMYFUNCTION("""COMPUTED_VALUE"""),28115.0)</f>
        <v>28115</v>
      </c>
      <c r="C2299" t="str">
        <f>IFERROR(__xludf.DUMMYFUNCTION("""COMPUTED_VALUE"""),"VELEZ ECHAVARRIA, AMELIA")</f>
        <v>VELEZ ECHAVARRIA, AMELIA</v>
      </c>
      <c r="D2299" t="str">
        <f>IFERROR(__xludf.DUMMYFUNCTION("""COMPUTED_VALUE"""),"PE 10")</f>
        <v>PE 10</v>
      </c>
      <c r="E2299" s="3">
        <f>IFERROR(__xludf.DUMMYFUNCTION("""COMPUTED_VALUE"""),2.0)</f>
        <v>2</v>
      </c>
      <c r="F2299" s="300">
        <v>1.0</v>
      </c>
      <c r="G2299" s="300">
        <v>1.0</v>
      </c>
      <c r="H2299" s="300">
        <v>1.0</v>
      </c>
      <c r="I2299" s="300">
        <v>1.0</v>
      </c>
      <c r="J2299" s="300">
        <v>1.0</v>
      </c>
      <c r="K2299" s="300">
        <v>1.0</v>
      </c>
      <c r="L2299" s="300">
        <v>1.0</v>
      </c>
      <c r="M2299" s="300">
        <v>1.0</v>
      </c>
      <c r="N2299" s="300">
        <v>8.0</v>
      </c>
      <c r="O2299" s="300" t="s">
        <v>905</v>
      </c>
      <c r="P2299" s="300">
        <v>6.0</v>
      </c>
    </row>
    <row r="2300">
      <c r="A2300">
        <f>IFERROR(__xludf.DUMMYFUNCTION("""COMPUTED_VALUE"""),10.0)</f>
        <v>10</v>
      </c>
      <c r="B2300" s="406">
        <f>IFERROR(__xludf.DUMMYFUNCTION("""COMPUTED_VALUE"""),28106.0)</f>
        <v>28106</v>
      </c>
      <c r="C2300" t="str">
        <f>IFERROR(__xludf.DUMMYFUNCTION("""COMPUTED_VALUE"""),"TOBON PEÑALOZA, PEDRO")</f>
        <v>TOBON PEÑALOZA, PEDRO</v>
      </c>
      <c r="D2300" t="str">
        <f>IFERROR(__xludf.DUMMYFUNCTION("""COMPUTED_VALUE"""),"PE 10")</f>
        <v>PE 10</v>
      </c>
      <c r="E2300" s="3">
        <f>IFERROR(__xludf.DUMMYFUNCTION("""COMPUTED_VALUE"""),7.0)</f>
        <v>7</v>
      </c>
      <c r="F2300" s="300">
        <v>1.0</v>
      </c>
      <c r="G2300" s="300">
        <v>1.0</v>
      </c>
      <c r="H2300" s="300">
        <v>1.0</v>
      </c>
      <c r="I2300" s="300">
        <v>1.0</v>
      </c>
      <c r="J2300" s="300">
        <v>1.0</v>
      </c>
      <c r="K2300" s="300">
        <v>1.0</v>
      </c>
      <c r="L2300" s="300">
        <v>1.0</v>
      </c>
      <c r="M2300" s="300">
        <v>1.0</v>
      </c>
      <c r="N2300" s="300">
        <v>8.0</v>
      </c>
      <c r="O2300" s="300" t="s">
        <v>904</v>
      </c>
      <c r="P2300" s="300">
        <v>6.0</v>
      </c>
    </row>
    <row r="2301">
      <c r="A2301">
        <f>IFERROR(__xludf.DUMMYFUNCTION("""COMPUTED_VALUE"""),10.0)</f>
        <v>10</v>
      </c>
      <c r="B2301" s="406">
        <f>IFERROR(__xludf.DUMMYFUNCTION("""COMPUTED_VALUE"""),28004.0)</f>
        <v>28004</v>
      </c>
      <c r="C2301" t="str">
        <f>IFERROR(__xludf.DUMMYFUNCTION("""COMPUTED_VALUE"""),"ARANGO FERNANDEZ, AGUSTIN")</f>
        <v>ARANGO FERNANDEZ, AGUSTIN</v>
      </c>
      <c r="D2301" t="str">
        <f>IFERROR(__xludf.DUMMYFUNCTION("""COMPUTED_VALUE"""),"PE 10")</f>
        <v>PE 10</v>
      </c>
      <c r="E2301" s="3">
        <f>IFERROR(__xludf.DUMMYFUNCTION("""COMPUTED_VALUE"""),6.0)</f>
        <v>6</v>
      </c>
      <c r="F2301" s="300">
        <v>1.0</v>
      </c>
      <c r="G2301" s="300">
        <v>1.0</v>
      </c>
      <c r="H2301" s="300">
        <v>1.0</v>
      </c>
      <c r="I2301" s="300">
        <v>1.0</v>
      </c>
      <c r="J2301" s="300">
        <v>1.0</v>
      </c>
      <c r="K2301" s="300">
        <v>1.0</v>
      </c>
      <c r="L2301" s="300">
        <v>1.0</v>
      </c>
      <c r="M2301" s="300">
        <v>1.0</v>
      </c>
      <c r="N2301" s="300">
        <v>8.0</v>
      </c>
      <c r="O2301" s="300" t="s">
        <v>907</v>
      </c>
      <c r="P2301" s="300">
        <v>6.0</v>
      </c>
    </row>
    <row r="2302">
      <c r="A2302">
        <f>IFERROR(__xludf.DUMMYFUNCTION("""COMPUTED_VALUE"""),10.0)</f>
        <v>10</v>
      </c>
      <c r="B2302" s="406">
        <f>IFERROR(__xludf.DUMMYFUNCTION("""COMPUTED_VALUE"""),28001.0)</f>
        <v>28001</v>
      </c>
      <c r="C2302" t="str">
        <f>IFERROR(__xludf.DUMMYFUNCTION("""COMPUTED_VALUE"""),"ABAD OLARTE, LUCIA")</f>
        <v>ABAD OLARTE, LUCIA</v>
      </c>
      <c r="D2302" t="str">
        <f>IFERROR(__xludf.DUMMYFUNCTION("""COMPUTED_VALUE"""),"PE 10")</f>
        <v>PE 10</v>
      </c>
      <c r="E2302" s="3">
        <f>IFERROR(__xludf.DUMMYFUNCTION("""COMPUTED_VALUE"""),4.0)</f>
        <v>4</v>
      </c>
      <c r="F2302" s="300">
        <v>1.0</v>
      </c>
      <c r="G2302" s="300">
        <v>1.0</v>
      </c>
      <c r="H2302" s="300">
        <v>1.0</v>
      </c>
      <c r="I2302" s="300">
        <v>1.0</v>
      </c>
      <c r="J2302" s="300">
        <v>1.0</v>
      </c>
      <c r="K2302" s="300">
        <v>1.0</v>
      </c>
      <c r="L2302" s="300">
        <v>1.0</v>
      </c>
      <c r="M2302" s="300">
        <v>1.0</v>
      </c>
      <c r="N2302" s="300">
        <v>8.0</v>
      </c>
      <c r="O2302" s="300" t="s">
        <v>906</v>
      </c>
      <c r="P2302" s="300">
        <v>6.0</v>
      </c>
    </row>
    <row r="2303">
      <c r="A2303">
        <f>IFERROR(__xludf.DUMMYFUNCTION("""COMPUTED_VALUE"""),10.0)</f>
        <v>10</v>
      </c>
      <c r="B2303" s="406">
        <f>IFERROR(__xludf.DUMMYFUNCTION("""COMPUTED_VALUE"""),28055.0)</f>
        <v>28055</v>
      </c>
      <c r="C2303" t="str">
        <f>IFERROR(__xludf.DUMMYFUNCTION("""COMPUTED_VALUE"""),"JARAMILLO OCHOA, LUCIANA")</f>
        <v>JARAMILLO OCHOA, LUCIANA</v>
      </c>
      <c r="D2303" t="str">
        <f>IFERROR(__xludf.DUMMYFUNCTION("""COMPUTED_VALUE"""),"PE 10")</f>
        <v>PE 10</v>
      </c>
      <c r="E2303" s="3">
        <f>IFERROR(__xludf.DUMMYFUNCTION("""COMPUTED_VALUE"""),7.0)</f>
        <v>7</v>
      </c>
      <c r="F2303" s="300">
        <v>1.0</v>
      </c>
      <c r="G2303" s="300">
        <v>1.0</v>
      </c>
      <c r="H2303" s="300">
        <v>1.0</v>
      </c>
      <c r="I2303" s="300">
        <v>1.0</v>
      </c>
      <c r="J2303" s="300">
        <v>1.0</v>
      </c>
      <c r="K2303" s="300">
        <v>1.0</v>
      </c>
      <c r="L2303" s="300">
        <v>1.0</v>
      </c>
      <c r="M2303" s="300">
        <v>1.0</v>
      </c>
      <c r="N2303" s="300">
        <v>8.0</v>
      </c>
      <c r="O2303" s="300" t="s">
        <v>904</v>
      </c>
      <c r="P2303" s="300">
        <v>6.0</v>
      </c>
    </row>
    <row r="2304">
      <c r="A2304">
        <f>IFERROR(__xludf.DUMMYFUNCTION("""COMPUTED_VALUE"""),10.0)</f>
        <v>10</v>
      </c>
      <c r="B2304" s="406">
        <f>IFERROR(__xludf.DUMMYFUNCTION("""COMPUTED_VALUE"""),28009.0)</f>
        <v>28009</v>
      </c>
      <c r="C2304" t="str">
        <f>IFERROR(__xludf.DUMMYFUNCTION("""COMPUTED_VALUE"""),"ARISTIZABAL ZULUAGA, MATILDE")</f>
        <v>ARISTIZABAL ZULUAGA, MATILDE</v>
      </c>
      <c r="D2304" t="str">
        <f>IFERROR(__xludf.DUMMYFUNCTION("""COMPUTED_VALUE"""),"PE 10")</f>
        <v>PE 10</v>
      </c>
      <c r="E2304" s="3">
        <f>IFERROR(__xludf.DUMMYFUNCTION("""COMPUTED_VALUE"""),5.0)</f>
        <v>5</v>
      </c>
      <c r="F2304" s="300">
        <v>1.0</v>
      </c>
      <c r="G2304" s="300">
        <v>1.0</v>
      </c>
      <c r="H2304" s="300">
        <v>1.0</v>
      </c>
      <c r="I2304" s="300">
        <v>1.0</v>
      </c>
      <c r="J2304" s="300">
        <v>1.0</v>
      </c>
      <c r="K2304" s="300">
        <v>1.0</v>
      </c>
      <c r="L2304" s="300">
        <v>1.0</v>
      </c>
      <c r="M2304" s="300">
        <v>1.0</v>
      </c>
      <c r="N2304" s="300">
        <v>8.0</v>
      </c>
      <c r="O2304" s="300" t="s">
        <v>902</v>
      </c>
      <c r="P2304" s="300">
        <v>6.0</v>
      </c>
    </row>
    <row r="2305">
      <c r="A2305">
        <f>IFERROR(__xludf.DUMMYFUNCTION("""COMPUTED_VALUE"""),10.0)</f>
        <v>10</v>
      </c>
      <c r="B2305" s="406">
        <f>IFERROR(__xludf.DUMMYFUNCTION("""COMPUTED_VALUE"""),28089.0)</f>
        <v>28089</v>
      </c>
      <c r="C2305" t="str">
        <f>IFERROR(__xludf.DUMMYFUNCTION("""COMPUTED_VALUE"""),"RAMIREZ OSORIO, ELENA")</f>
        <v>RAMIREZ OSORIO, ELENA</v>
      </c>
      <c r="D2305" t="str">
        <f>IFERROR(__xludf.DUMMYFUNCTION("""COMPUTED_VALUE"""),"PE 10")</f>
        <v>PE 10</v>
      </c>
      <c r="E2305" s="3">
        <f>IFERROR(__xludf.DUMMYFUNCTION("""COMPUTED_VALUE"""),6.0)</f>
        <v>6</v>
      </c>
      <c r="F2305" s="300">
        <v>1.0</v>
      </c>
      <c r="G2305" s="300">
        <v>1.0</v>
      </c>
      <c r="H2305" s="300">
        <v>1.0</v>
      </c>
      <c r="I2305" s="300">
        <v>1.0</v>
      </c>
      <c r="J2305" s="300">
        <v>1.0</v>
      </c>
      <c r="K2305" s="300">
        <v>1.0</v>
      </c>
      <c r="L2305" s="300">
        <v>1.0</v>
      </c>
      <c r="M2305" s="300">
        <v>1.0</v>
      </c>
      <c r="N2305" s="300">
        <v>8.0</v>
      </c>
      <c r="O2305" s="300" t="s">
        <v>907</v>
      </c>
      <c r="P2305" s="300">
        <v>6.0</v>
      </c>
    </row>
    <row r="2306">
      <c r="A2306">
        <f>IFERROR(__xludf.DUMMYFUNCTION("""COMPUTED_VALUE"""),10.0)</f>
        <v>10</v>
      </c>
      <c r="B2306" s="406">
        <f>IFERROR(__xludf.DUMMYFUNCTION("""COMPUTED_VALUE"""),28072.0)</f>
        <v>28072</v>
      </c>
      <c r="C2306" t="str">
        <f>IFERROR(__xludf.DUMMYFUNCTION("""COMPUTED_VALUE"""),"NAVARRO ISAZA, SOFIA")</f>
        <v>NAVARRO ISAZA, SOFIA</v>
      </c>
      <c r="D2306" t="str">
        <f>IFERROR(__xludf.DUMMYFUNCTION("""COMPUTED_VALUE"""),"PE 10")</f>
        <v>PE 10</v>
      </c>
      <c r="E2306" s="3">
        <f>IFERROR(__xludf.DUMMYFUNCTION("""COMPUTED_VALUE"""),5.0)</f>
        <v>5</v>
      </c>
      <c r="F2306" s="300">
        <v>1.0</v>
      </c>
      <c r="G2306" s="300">
        <v>1.0</v>
      </c>
      <c r="H2306" s="300">
        <v>1.0</v>
      </c>
      <c r="I2306" s="300">
        <v>1.0</v>
      </c>
      <c r="J2306" s="300">
        <v>1.0</v>
      </c>
      <c r="K2306" s="300">
        <v>1.0</v>
      </c>
      <c r="L2306" s="300">
        <v>1.0</v>
      </c>
      <c r="M2306" s="300">
        <v>1.0</v>
      </c>
      <c r="N2306" s="300">
        <v>8.0</v>
      </c>
      <c r="O2306" s="300" t="s">
        <v>902</v>
      </c>
      <c r="P2306" s="300">
        <v>6.0</v>
      </c>
    </row>
    <row r="2307">
      <c r="A2307">
        <f>IFERROR(__xludf.DUMMYFUNCTION("""COMPUTED_VALUE"""),10.0)</f>
        <v>10</v>
      </c>
      <c r="B2307" s="406">
        <f>IFERROR(__xludf.DUMMYFUNCTION("""COMPUTED_VALUE"""),28005.0)</f>
        <v>28005</v>
      </c>
      <c r="C2307" t="str">
        <f>IFERROR(__xludf.DUMMYFUNCTION("""COMPUTED_VALUE"""),"ARBELAEZ RODADO, SILVIA")</f>
        <v>ARBELAEZ RODADO, SILVIA</v>
      </c>
      <c r="D2307" t="str">
        <f>IFERROR(__xludf.DUMMYFUNCTION("""COMPUTED_VALUE"""),"PE 10")</f>
        <v>PE 10</v>
      </c>
      <c r="E2307" s="3">
        <f>IFERROR(__xludf.DUMMYFUNCTION("""COMPUTED_VALUE"""),6.0)</f>
        <v>6</v>
      </c>
      <c r="F2307" s="300">
        <v>1.0</v>
      </c>
      <c r="G2307" s="300">
        <v>1.0</v>
      </c>
      <c r="H2307" s="300">
        <v>1.0</v>
      </c>
      <c r="I2307" s="300">
        <v>1.0</v>
      </c>
      <c r="J2307" s="300">
        <v>1.0</v>
      </c>
      <c r="K2307" s="300">
        <v>1.0</v>
      </c>
      <c r="L2307" s="300">
        <v>1.0</v>
      </c>
      <c r="M2307" s="300">
        <v>1.0</v>
      </c>
      <c r="N2307" s="300">
        <v>8.0</v>
      </c>
      <c r="O2307" s="300" t="s">
        <v>907</v>
      </c>
      <c r="P2307" s="300">
        <v>6.0</v>
      </c>
    </row>
    <row r="2308">
      <c r="A2308">
        <f>IFERROR(__xludf.DUMMYFUNCTION("""COMPUTED_VALUE"""),10.0)</f>
        <v>10</v>
      </c>
      <c r="B2308" s="406">
        <f>IFERROR(__xludf.DUMMYFUNCTION("""COMPUTED_VALUE"""),28051.0)</f>
        <v>28051</v>
      </c>
      <c r="C2308" t="str">
        <f>IFERROR(__xludf.DUMMYFUNCTION("""COMPUTED_VALUE"""),"JIMENEZ ESCOBAR, MARIANA")</f>
        <v>JIMENEZ ESCOBAR, MARIANA</v>
      </c>
      <c r="D2308" t="str">
        <f>IFERROR(__xludf.DUMMYFUNCTION("""COMPUTED_VALUE"""),"PE 10")</f>
        <v>PE 10</v>
      </c>
      <c r="E2308" s="3">
        <f>IFERROR(__xludf.DUMMYFUNCTION("""COMPUTED_VALUE"""),7.0)</f>
        <v>7</v>
      </c>
      <c r="F2308" s="300">
        <v>1.0</v>
      </c>
      <c r="G2308" s="300">
        <v>1.0</v>
      </c>
      <c r="H2308" s="300">
        <v>1.0</v>
      </c>
      <c r="I2308" s="300">
        <v>1.0</v>
      </c>
      <c r="J2308" s="300">
        <v>1.0</v>
      </c>
      <c r="K2308" s="300">
        <v>1.0</v>
      </c>
      <c r="L2308" s="300">
        <v>1.0</v>
      </c>
      <c r="M2308" s="300">
        <v>1.0</v>
      </c>
      <c r="N2308" s="300">
        <v>8.0</v>
      </c>
      <c r="O2308" s="300" t="s">
        <v>904</v>
      </c>
      <c r="P2308" s="300">
        <v>6.0</v>
      </c>
    </row>
    <row r="2309">
      <c r="A2309">
        <f>IFERROR(__xludf.DUMMYFUNCTION("""COMPUTED_VALUE"""),10.0)</f>
        <v>10</v>
      </c>
      <c r="B2309" s="406">
        <f>IFERROR(__xludf.DUMMYFUNCTION("""COMPUTED_VALUE"""),27007.0)</f>
        <v>27007</v>
      </c>
      <c r="C2309" t="str">
        <f>IFERROR(__xludf.DUMMYFUNCTION("""COMPUTED_VALUE"""),"ARANGO VELEZ, MATEO")</f>
        <v>ARANGO VELEZ, MATEO</v>
      </c>
      <c r="D2309" t="str">
        <f>IFERROR(__xludf.DUMMYFUNCTION("""COMPUTED_VALUE"""),"PE 10")</f>
        <v>PE 10</v>
      </c>
      <c r="E2309" s="3">
        <f>IFERROR(__xludf.DUMMYFUNCTION("""COMPUTED_VALUE"""),4.0)</f>
        <v>4</v>
      </c>
      <c r="F2309" s="300">
        <v>1.0</v>
      </c>
      <c r="G2309" s="300">
        <v>1.0</v>
      </c>
      <c r="H2309" s="300">
        <v>1.0</v>
      </c>
      <c r="I2309" s="300">
        <v>1.0</v>
      </c>
      <c r="J2309" s="300">
        <v>1.0</v>
      </c>
      <c r="K2309" s="300">
        <v>1.0</v>
      </c>
      <c r="L2309" s="300">
        <v>1.0</v>
      </c>
      <c r="M2309" s="300">
        <v>1.0</v>
      </c>
      <c r="N2309" s="300">
        <v>8.0</v>
      </c>
      <c r="O2309" s="300" t="s">
        <v>906</v>
      </c>
      <c r="P2309" s="300">
        <v>6.0</v>
      </c>
    </row>
    <row r="2310">
      <c r="A2310">
        <f>IFERROR(__xludf.DUMMYFUNCTION("""COMPUTED_VALUE"""),10.0)</f>
        <v>10</v>
      </c>
      <c r="B2310" s="406">
        <f>IFERROR(__xludf.DUMMYFUNCTION("""COMPUTED_VALUE"""),28102.0)</f>
        <v>28102</v>
      </c>
      <c r="C2310" t="str">
        <f>IFERROR(__xludf.DUMMYFUNCTION("""COMPUTED_VALUE"""),"SALAZAR BOTERO, GABRIELA")</f>
        <v>SALAZAR BOTERO, GABRIELA</v>
      </c>
      <c r="D2310" t="str">
        <f>IFERROR(__xludf.DUMMYFUNCTION("""COMPUTED_VALUE"""),"PE 10")</f>
        <v>PE 10</v>
      </c>
      <c r="E2310" s="3">
        <f>IFERROR(__xludf.DUMMYFUNCTION("""COMPUTED_VALUE"""),2.0)</f>
        <v>2</v>
      </c>
      <c r="F2310" s="300">
        <v>1.0</v>
      </c>
      <c r="G2310" s="300">
        <v>1.0</v>
      </c>
      <c r="H2310" s="300">
        <v>1.0</v>
      </c>
      <c r="I2310" s="300">
        <v>1.0</v>
      </c>
      <c r="J2310" s="300">
        <v>1.0</v>
      </c>
      <c r="K2310" s="300">
        <v>1.0</v>
      </c>
      <c r="L2310" s="300">
        <v>1.0</v>
      </c>
      <c r="M2310" s="300">
        <v>1.0</v>
      </c>
      <c r="N2310" s="300">
        <v>8.0</v>
      </c>
      <c r="O2310" s="300" t="s">
        <v>905</v>
      </c>
      <c r="P2310" s="300">
        <v>6.0</v>
      </c>
    </row>
    <row r="2311">
      <c r="A2311">
        <f>IFERROR(__xludf.DUMMYFUNCTION("""COMPUTED_VALUE"""),10.0)</f>
        <v>10</v>
      </c>
      <c r="B2311" s="406">
        <f>IFERROR(__xludf.DUMMYFUNCTION("""COMPUTED_VALUE"""),28104.0)</f>
        <v>28104</v>
      </c>
      <c r="C2311" t="str">
        <f>IFERROR(__xludf.DUMMYFUNCTION("""COMPUTED_VALUE"""),"SERRANO SERRANO, SIMON")</f>
        <v>SERRANO SERRANO, SIMON</v>
      </c>
      <c r="D2311" t="str">
        <f>IFERROR(__xludf.DUMMYFUNCTION("""COMPUTED_VALUE"""),"PE 10")</f>
        <v>PE 10</v>
      </c>
      <c r="E2311" s="3">
        <f>IFERROR(__xludf.DUMMYFUNCTION("""COMPUTED_VALUE"""),5.0)</f>
        <v>5</v>
      </c>
      <c r="F2311" s="300">
        <v>1.0</v>
      </c>
      <c r="G2311" s="300">
        <v>1.0</v>
      </c>
      <c r="H2311" s="300">
        <v>1.0</v>
      </c>
      <c r="I2311" s="300">
        <v>1.0</v>
      </c>
      <c r="J2311" s="300">
        <v>1.0</v>
      </c>
      <c r="K2311" s="300">
        <v>1.0</v>
      </c>
      <c r="L2311" s="300">
        <v>1.0</v>
      </c>
      <c r="M2311" s="300">
        <v>1.0</v>
      </c>
      <c r="N2311" s="300">
        <v>8.0</v>
      </c>
      <c r="O2311" s="300" t="s">
        <v>902</v>
      </c>
      <c r="P2311" s="300">
        <v>6.0</v>
      </c>
    </row>
    <row r="2312">
      <c r="A2312">
        <f>IFERROR(__xludf.DUMMYFUNCTION("""COMPUTED_VALUE"""),10.0)</f>
        <v>10</v>
      </c>
      <c r="B2312" s="406">
        <f>IFERROR(__xludf.DUMMYFUNCTION("""COMPUTED_VALUE"""),28008.0)</f>
        <v>28008</v>
      </c>
      <c r="C2312" t="str">
        <f>IFERROR(__xludf.DUMMYFUNCTION("""COMPUTED_VALUE"""),"ARISTIZABAL TOBON, MATIAS")</f>
        <v>ARISTIZABAL TOBON, MATIAS</v>
      </c>
      <c r="D2312" t="str">
        <f>IFERROR(__xludf.DUMMYFUNCTION("""COMPUTED_VALUE"""),"PE 10")</f>
        <v>PE 10</v>
      </c>
      <c r="E2312" s="3">
        <f>IFERROR(__xludf.DUMMYFUNCTION("""COMPUTED_VALUE"""),4.0)</f>
        <v>4</v>
      </c>
      <c r="F2312" s="300">
        <v>1.0</v>
      </c>
      <c r="G2312" s="300">
        <v>1.0</v>
      </c>
      <c r="H2312" s="300">
        <v>1.0</v>
      </c>
      <c r="I2312" s="300">
        <v>1.0</v>
      </c>
      <c r="J2312" s="300">
        <v>1.0</v>
      </c>
      <c r="K2312" s="300">
        <v>1.0</v>
      </c>
      <c r="L2312" s="300">
        <v>1.0</v>
      </c>
      <c r="M2312" s="300">
        <v>1.0</v>
      </c>
      <c r="N2312" s="300">
        <v>8.0</v>
      </c>
      <c r="O2312" s="300" t="s">
        <v>906</v>
      </c>
      <c r="P2312" s="300">
        <v>6.0</v>
      </c>
    </row>
    <row r="2313">
      <c r="A2313">
        <f>IFERROR(__xludf.DUMMYFUNCTION("""COMPUTED_VALUE"""),10.0)</f>
        <v>10</v>
      </c>
      <c r="B2313" s="406">
        <f>IFERROR(__xludf.DUMMYFUNCTION("""COMPUTED_VALUE"""),28065.0)</f>
        <v>28065</v>
      </c>
      <c r="C2313" t="str">
        <f>IFERROR(__xludf.DUMMYFUNCTION("""COMPUTED_VALUE"""),"MEJIA MEJIA, TOMAS")</f>
        <v>MEJIA MEJIA, TOMAS</v>
      </c>
      <c r="D2313" t="str">
        <f>IFERROR(__xludf.DUMMYFUNCTION("""COMPUTED_VALUE"""),"PE 10")</f>
        <v>PE 10</v>
      </c>
      <c r="E2313" s="3">
        <f>IFERROR(__xludf.DUMMYFUNCTION("""COMPUTED_VALUE"""),6.0)</f>
        <v>6</v>
      </c>
      <c r="F2313" s="300">
        <v>1.0</v>
      </c>
      <c r="G2313" s="300">
        <v>1.0</v>
      </c>
      <c r="H2313" s="300">
        <v>1.0</v>
      </c>
      <c r="I2313" s="300">
        <v>1.0</v>
      </c>
      <c r="J2313" s="300">
        <v>1.0</v>
      </c>
      <c r="K2313" s="300">
        <v>1.0</v>
      </c>
      <c r="L2313" s="300">
        <v>1.0</v>
      </c>
      <c r="M2313" s="300">
        <v>1.0</v>
      </c>
      <c r="N2313" s="300">
        <v>8.0</v>
      </c>
      <c r="O2313" s="300" t="s">
        <v>907</v>
      </c>
      <c r="P2313" s="300">
        <v>6.0</v>
      </c>
    </row>
    <row r="2314">
      <c r="A2314">
        <f>IFERROR(__xludf.DUMMYFUNCTION("""COMPUTED_VALUE"""),10.0)</f>
        <v>10</v>
      </c>
      <c r="B2314" s="406">
        <f>IFERROR(__xludf.DUMMYFUNCTION("""COMPUTED_VALUE"""),28073.0)</f>
        <v>28073</v>
      </c>
      <c r="C2314" t="str">
        <f>IFERROR(__xludf.DUMMYFUNCTION("""COMPUTED_VALUE"""),"NAVARRO RAMIREZ, MARIA")</f>
        <v>NAVARRO RAMIREZ, MARIA</v>
      </c>
      <c r="D2314" t="str">
        <f>IFERROR(__xludf.DUMMYFUNCTION("""COMPUTED_VALUE"""),"PE 10")</f>
        <v>PE 10</v>
      </c>
      <c r="E2314" s="3">
        <f>IFERROR(__xludf.DUMMYFUNCTION("""COMPUTED_VALUE"""),1.0)</f>
        <v>1</v>
      </c>
      <c r="F2314" s="300">
        <v>1.0</v>
      </c>
      <c r="G2314" s="300">
        <v>1.0</v>
      </c>
      <c r="H2314" s="300">
        <v>1.0</v>
      </c>
      <c r="I2314" s="300">
        <v>1.0</v>
      </c>
      <c r="J2314" s="300">
        <v>1.0</v>
      </c>
      <c r="K2314" s="300">
        <v>1.0</v>
      </c>
      <c r="L2314" s="300">
        <v>1.0</v>
      </c>
      <c r="M2314" s="300">
        <v>1.0</v>
      </c>
      <c r="N2314" s="300">
        <v>8.0</v>
      </c>
      <c r="O2314" s="300" t="s">
        <v>903</v>
      </c>
      <c r="P2314" s="300">
        <v>6.0</v>
      </c>
    </row>
    <row r="2315">
      <c r="A2315">
        <f>IFERROR(__xludf.DUMMYFUNCTION("""COMPUTED_VALUE"""),10.0)</f>
        <v>10</v>
      </c>
      <c r="B2315" s="406">
        <f>IFERROR(__xludf.DUMMYFUNCTION("""COMPUTED_VALUE"""),28081.0)</f>
        <v>28081</v>
      </c>
      <c r="C2315" t="str">
        <f>IFERROR(__xludf.DUMMYFUNCTION("""COMPUTED_VALUE"""),"PALACIO RUIZ, LUCAS")</f>
        <v>PALACIO RUIZ, LUCAS</v>
      </c>
      <c r="D2315" t="str">
        <f>IFERROR(__xludf.DUMMYFUNCTION("""COMPUTED_VALUE"""),"PE 10")</f>
        <v>PE 10</v>
      </c>
      <c r="E2315" s="3">
        <f>IFERROR(__xludf.DUMMYFUNCTION("""COMPUTED_VALUE"""),7.0)</f>
        <v>7</v>
      </c>
      <c r="F2315" s="300">
        <v>1.0</v>
      </c>
      <c r="G2315" s="300">
        <v>1.0</v>
      </c>
      <c r="H2315" s="300">
        <v>1.0</v>
      </c>
      <c r="I2315" s="300">
        <v>1.0</v>
      </c>
      <c r="J2315" s="300">
        <v>1.0</v>
      </c>
      <c r="K2315" s="300">
        <v>1.0</v>
      </c>
      <c r="L2315" s="300">
        <v>1.0</v>
      </c>
      <c r="M2315" s="300">
        <v>1.0</v>
      </c>
      <c r="N2315" s="300">
        <v>8.0</v>
      </c>
      <c r="O2315" s="300" t="s">
        <v>904</v>
      </c>
      <c r="P2315" s="300">
        <v>6.0</v>
      </c>
    </row>
    <row r="2316">
      <c r="A2316">
        <f>IFERROR(__xludf.DUMMYFUNCTION("""COMPUTED_VALUE"""),10.0)</f>
        <v>10</v>
      </c>
      <c r="B2316" s="406">
        <f>IFERROR(__xludf.DUMMYFUNCTION("""COMPUTED_VALUE"""),28039.0)</f>
        <v>28039</v>
      </c>
      <c r="C2316" t="str">
        <f>IFERROR(__xludf.DUMMYFUNCTION("""COMPUTED_VALUE"""),"GONZALEZ LOPEZ, ISABEL")</f>
        <v>GONZALEZ LOPEZ, ISABEL</v>
      </c>
      <c r="D2316" t="str">
        <f>IFERROR(__xludf.DUMMYFUNCTION("""COMPUTED_VALUE"""),"PE 10")</f>
        <v>PE 10</v>
      </c>
      <c r="E2316" s="3">
        <f>IFERROR(__xludf.DUMMYFUNCTION("""COMPUTED_VALUE"""),4.0)</f>
        <v>4</v>
      </c>
      <c r="F2316" s="300">
        <v>1.0</v>
      </c>
      <c r="G2316" s="300">
        <v>1.0</v>
      </c>
      <c r="H2316" s="300">
        <v>1.0</v>
      </c>
      <c r="I2316" s="300">
        <v>1.0</v>
      </c>
      <c r="J2316" s="300">
        <v>1.0</v>
      </c>
      <c r="K2316" s="300">
        <v>1.0</v>
      </c>
      <c r="L2316" s="300">
        <v>1.0</v>
      </c>
      <c r="M2316" s="300">
        <v>1.0</v>
      </c>
      <c r="N2316" s="300">
        <v>8.0</v>
      </c>
      <c r="O2316" s="300" t="s">
        <v>906</v>
      </c>
      <c r="P2316" s="300">
        <v>6.0</v>
      </c>
    </row>
    <row r="2317">
      <c r="A2317">
        <f>IFERROR(__xludf.DUMMYFUNCTION("""COMPUTED_VALUE"""),10.0)</f>
        <v>10</v>
      </c>
      <c r="B2317" s="406">
        <f>IFERROR(__xludf.DUMMYFUNCTION("""COMPUTED_VALUE"""),28147.0)</f>
        <v>28147</v>
      </c>
      <c r="C2317" t="str">
        <f>IFERROR(__xludf.DUMMYFUNCTION("""COMPUTED_VALUE"""),"OSPINA STERLING, DULCE MARIA")</f>
        <v>OSPINA STERLING, DULCE MARIA</v>
      </c>
      <c r="D2317" t="str">
        <f>IFERROR(__xludf.DUMMYFUNCTION("""COMPUTED_VALUE"""),"PE 10")</f>
        <v>PE 10</v>
      </c>
      <c r="E2317" s="3">
        <f>IFERROR(__xludf.DUMMYFUNCTION("""COMPUTED_VALUE"""),5.0)</f>
        <v>5</v>
      </c>
      <c r="F2317" s="300">
        <v>1.0</v>
      </c>
      <c r="G2317" s="300">
        <v>1.0</v>
      </c>
      <c r="H2317" s="300">
        <v>1.0</v>
      </c>
      <c r="I2317" s="300">
        <v>1.0</v>
      </c>
      <c r="J2317" s="300">
        <v>1.0</v>
      </c>
      <c r="K2317" s="300">
        <v>1.0</v>
      </c>
      <c r="L2317" s="300">
        <v>1.0</v>
      </c>
      <c r="M2317" s="300">
        <v>1.0</v>
      </c>
      <c r="N2317" s="300">
        <v>8.0</v>
      </c>
      <c r="O2317" s="300" t="s">
        <v>902</v>
      </c>
      <c r="P2317" s="300">
        <v>6.0</v>
      </c>
    </row>
    <row r="2318">
      <c r="A2318">
        <f>IFERROR(__xludf.DUMMYFUNCTION("""COMPUTED_VALUE"""),10.0)</f>
        <v>10</v>
      </c>
      <c r="B2318" s="406">
        <f>IFERROR(__xludf.DUMMYFUNCTION("""COMPUTED_VALUE"""),28088.0)</f>
        <v>28088</v>
      </c>
      <c r="C2318" t="str">
        <f>IFERROR(__xludf.DUMMYFUNCTION("""COMPUTED_VALUE"""),"QUINTERO VARGAS, ALICIA")</f>
        <v>QUINTERO VARGAS, ALICIA</v>
      </c>
      <c r="D2318" t="str">
        <f>IFERROR(__xludf.DUMMYFUNCTION("""COMPUTED_VALUE"""),"PE 10")</f>
        <v>PE 10</v>
      </c>
      <c r="E2318" s="3">
        <f>IFERROR(__xludf.DUMMYFUNCTION("""COMPUTED_VALUE"""),2.0)</f>
        <v>2</v>
      </c>
      <c r="F2318" s="300">
        <v>1.0</v>
      </c>
      <c r="G2318" s="300">
        <v>1.0</v>
      </c>
      <c r="H2318" s="300">
        <v>1.0</v>
      </c>
      <c r="I2318" s="300">
        <v>1.0</v>
      </c>
      <c r="J2318" s="300">
        <v>1.0</v>
      </c>
      <c r="K2318" s="300">
        <v>1.0</v>
      </c>
      <c r="L2318" s="300">
        <v>1.0</v>
      </c>
      <c r="M2318" s="300">
        <v>1.0</v>
      </c>
      <c r="N2318" s="300">
        <v>8.0</v>
      </c>
      <c r="O2318" s="300" t="s">
        <v>905</v>
      </c>
      <c r="P2318" s="300">
        <v>6.0</v>
      </c>
    </row>
    <row r="2319">
      <c r="A2319">
        <f>IFERROR(__xludf.DUMMYFUNCTION("""COMPUTED_VALUE"""),10.0)</f>
        <v>10</v>
      </c>
      <c r="B2319" s="406">
        <f>IFERROR(__xludf.DUMMYFUNCTION("""COMPUTED_VALUE"""),28029.0)</f>
        <v>28029</v>
      </c>
      <c r="C2319" t="str">
        <f>IFERROR(__xludf.DUMMYFUNCTION("""COMPUTED_VALUE"""),"FORERO MEJIA, EMILIO")</f>
        <v>FORERO MEJIA, EMILIO</v>
      </c>
      <c r="D2319" t="str">
        <f>IFERROR(__xludf.DUMMYFUNCTION("""COMPUTED_VALUE"""),"PE 10")</f>
        <v>PE 10</v>
      </c>
      <c r="E2319" s="3">
        <f>IFERROR(__xludf.DUMMYFUNCTION("""COMPUTED_VALUE"""),6.0)</f>
        <v>6</v>
      </c>
      <c r="F2319" s="300">
        <v>1.0</v>
      </c>
      <c r="G2319" s="300">
        <v>1.0</v>
      </c>
      <c r="H2319" s="300">
        <v>1.0</v>
      </c>
      <c r="I2319" s="300">
        <v>1.0</v>
      </c>
      <c r="J2319" s="300">
        <v>1.0</v>
      </c>
      <c r="K2319" s="300">
        <v>1.0</v>
      </c>
      <c r="L2319" s="300">
        <v>1.0</v>
      </c>
      <c r="M2319" s="300">
        <v>1.0</v>
      </c>
      <c r="N2319" s="300">
        <v>8.0</v>
      </c>
      <c r="O2319" s="300" t="s">
        <v>907</v>
      </c>
      <c r="P2319" s="300">
        <v>6.0</v>
      </c>
    </row>
    <row r="2320">
      <c r="A2320">
        <f>IFERROR(__xludf.DUMMYFUNCTION("""COMPUTED_VALUE"""),10.0)</f>
        <v>10</v>
      </c>
      <c r="B2320" s="406">
        <f>IFERROR(__xludf.DUMMYFUNCTION("""COMPUTED_VALUE"""),28084.0)</f>
        <v>28084</v>
      </c>
      <c r="C2320" t="str">
        <f>IFERROR(__xludf.DUMMYFUNCTION("""COMPUTED_VALUE"""),"PINEDA ARANGO, JERONIMO")</f>
        <v>PINEDA ARANGO, JERONIMO</v>
      </c>
      <c r="D2320" t="str">
        <f>IFERROR(__xludf.DUMMYFUNCTION("""COMPUTED_VALUE"""),"PE 10")</f>
        <v>PE 10</v>
      </c>
      <c r="E2320" s="3">
        <f>IFERROR(__xludf.DUMMYFUNCTION("""COMPUTED_VALUE"""),4.0)</f>
        <v>4</v>
      </c>
      <c r="F2320" s="300">
        <v>1.0</v>
      </c>
      <c r="G2320" s="300">
        <v>1.0</v>
      </c>
      <c r="H2320" s="300">
        <v>1.0</v>
      </c>
      <c r="I2320" s="300">
        <v>1.0</v>
      </c>
      <c r="J2320" s="300">
        <v>1.0</v>
      </c>
      <c r="K2320" s="300">
        <v>1.0</v>
      </c>
      <c r="L2320" s="300">
        <v>1.0</v>
      </c>
      <c r="M2320" s="300">
        <v>1.0</v>
      </c>
      <c r="N2320" s="300">
        <v>8.0</v>
      </c>
      <c r="O2320" s="300" t="s">
        <v>906</v>
      </c>
      <c r="P2320" s="300">
        <v>6.0</v>
      </c>
    </row>
    <row r="2321">
      <c r="A2321">
        <f>IFERROR(__xludf.DUMMYFUNCTION("""COMPUTED_VALUE"""),10.0)</f>
        <v>10</v>
      </c>
      <c r="B2321" s="406">
        <f>IFERROR(__xludf.DUMMYFUNCTION("""COMPUTED_VALUE"""),28114.0)</f>
        <v>28114</v>
      </c>
      <c r="C2321" t="str">
        <f>IFERROR(__xludf.DUMMYFUNCTION("""COMPUTED_VALUE"""),"VELEZ CORREA, SAMUEL")</f>
        <v>VELEZ CORREA, SAMUEL</v>
      </c>
      <c r="D2321" t="str">
        <f>IFERROR(__xludf.DUMMYFUNCTION("""COMPUTED_VALUE"""),"PE 10")</f>
        <v>PE 10</v>
      </c>
      <c r="E2321" s="3">
        <f>IFERROR(__xludf.DUMMYFUNCTION("""COMPUTED_VALUE"""),4.0)</f>
        <v>4</v>
      </c>
      <c r="F2321" s="300">
        <v>1.0</v>
      </c>
      <c r="G2321" s="300">
        <v>1.0</v>
      </c>
      <c r="H2321" s="300">
        <v>1.0</v>
      </c>
      <c r="I2321" s="300">
        <v>1.0</v>
      </c>
      <c r="J2321" s="300">
        <v>1.0</v>
      </c>
      <c r="K2321" s="300">
        <v>1.0</v>
      </c>
      <c r="L2321" s="300">
        <v>1.0</v>
      </c>
      <c r="M2321" s="300">
        <v>1.0</v>
      </c>
      <c r="N2321" s="300">
        <v>8.0</v>
      </c>
      <c r="O2321" s="300" t="s">
        <v>906</v>
      </c>
      <c r="P2321" s="300">
        <v>6.0</v>
      </c>
    </row>
    <row r="2322">
      <c r="A2322">
        <f>IFERROR(__xludf.DUMMYFUNCTION("""COMPUTED_VALUE"""),10.0)</f>
        <v>10</v>
      </c>
      <c r="B2322" s="406">
        <f>IFERROR(__xludf.DUMMYFUNCTION("""COMPUTED_VALUE"""),28064.0)</f>
        <v>28064</v>
      </c>
      <c r="C2322" t="str">
        <f>IFERROR(__xludf.DUMMYFUNCTION("""COMPUTED_VALUE"""),"MEJIA MANTILLA, TOMAS")</f>
        <v>MEJIA MANTILLA, TOMAS</v>
      </c>
      <c r="D2322" t="str">
        <f>IFERROR(__xludf.DUMMYFUNCTION("""COMPUTED_VALUE"""),"PE 10")</f>
        <v>PE 10</v>
      </c>
      <c r="E2322" s="3">
        <f>IFERROR(__xludf.DUMMYFUNCTION("""COMPUTED_VALUE"""),4.0)</f>
        <v>4</v>
      </c>
      <c r="F2322" s="300">
        <v>1.0</v>
      </c>
      <c r="G2322" s="300">
        <v>1.0</v>
      </c>
      <c r="H2322" s="300">
        <v>1.0</v>
      </c>
      <c r="I2322" s="300">
        <v>1.0</v>
      </c>
      <c r="J2322" s="300">
        <v>1.0</v>
      </c>
      <c r="K2322" s="300">
        <v>1.0</v>
      </c>
      <c r="L2322" s="300">
        <v>1.0</v>
      </c>
      <c r="M2322" s="300">
        <v>1.0</v>
      </c>
      <c r="N2322" s="300">
        <v>8.0</v>
      </c>
      <c r="O2322" s="300" t="s">
        <v>906</v>
      </c>
      <c r="P2322" s="300">
        <v>6.0</v>
      </c>
    </row>
    <row r="2323">
      <c r="A2323">
        <f>IFERROR(__xludf.DUMMYFUNCTION("""COMPUTED_VALUE"""),10.0)</f>
        <v>10</v>
      </c>
      <c r="B2323" s="406">
        <f>IFERROR(__xludf.DUMMYFUNCTION("""COMPUTED_VALUE"""),28036.0)</f>
        <v>28036</v>
      </c>
      <c r="C2323" t="str">
        <f>IFERROR(__xludf.DUMMYFUNCTION("""COMPUTED_VALUE"""),"GOMEZ LINCE, NICOLAS")</f>
        <v>GOMEZ LINCE, NICOLAS</v>
      </c>
      <c r="D2323" t="str">
        <f>IFERROR(__xludf.DUMMYFUNCTION("""COMPUTED_VALUE"""),"PE 10")</f>
        <v>PE 10</v>
      </c>
      <c r="E2323" s="3">
        <f>IFERROR(__xludf.DUMMYFUNCTION("""COMPUTED_VALUE"""),6.0)</f>
        <v>6</v>
      </c>
      <c r="F2323" s="300">
        <v>1.0</v>
      </c>
      <c r="G2323" s="300">
        <v>1.0</v>
      </c>
      <c r="H2323" s="300">
        <v>1.0</v>
      </c>
      <c r="I2323" s="300">
        <v>1.0</v>
      </c>
      <c r="J2323" s="300">
        <v>1.0</v>
      </c>
      <c r="K2323" s="300">
        <v>1.0</v>
      </c>
      <c r="L2323" s="300">
        <v>1.0</v>
      </c>
      <c r="M2323" s="300">
        <v>1.0</v>
      </c>
      <c r="N2323" s="300">
        <v>8.0</v>
      </c>
      <c r="O2323" s="300" t="s">
        <v>907</v>
      </c>
      <c r="P2323" s="300">
        <v>6.0</v>
      </c>
    </row>
    <row r="2324">
      <c r="A2324">
        <f>IFERROR(__xludf.DUMMYFUNCTION("""COMPUTED_VALUE"""),10.0)</f>
        <v>10</v>
      </c>
      <c r="B2324" s="406">
        <f>IFERROR(__xludf.DUMMYFUNCTION("""COMPUTED_VALUE"""),28076.0)</f>
        <v>28076</v>
      </c>
      <c r="C2324" t="str">
        <f>IFERROR(__xludf.DUMMYFUNCTION("""COMPUTED_VALUE"""),"OLAYA CARDENAS, CAMILA")</f>
        <v>OLAYA CARDENAS, CAMILA</v>
      </c>
      <c r="D2324" t="str">
        <f>IFERROR(__xludf.DUMMYFUNCTION("""COMPUTED_VALUE"""),"PE 10")</f>
        <v>PE 10</v>
      </c>
      <c r="E2324" s="3">
        <f>IFERROR(__xludf.DUMMYFUNCTION("""COMPUTED_VALUE"""),7.0)</f>
        <v>7</v>
      </c>
      <c r="F2324" s="300">
        <v>1.0</v>
      </c>
      <c r="G2324" s="300">
        <v>1.0</v>
      </c>
      <c r="H2324" s="300">
        <v>1.0</v>
      </c>
      <c r="I2324" s="300">
        <v>1.0</v>
      </c>
      <c r="J2324" s="300">
        <v>1.0</v>
      </c>
      <c r="K2324" s="300">
        <v>1.0</v>
      </c>
      <c r="L2324" s="300">
        <v>1.0</v>
      </c>
      <c r="M2324" s="300">
        <v>1.0</v>
      </c>
      <c r="N2324" s="300">
        <v>8.0</v>
      </c>
      <c r="O2324" s="300" t="s">
        <v>904</v>
      </c>
      <c r="P2324" s="300">
        <v>6.0</v>
      </c>
    </row>
    <row r="2325">
      <c r="A2325">
        <f>IFERROR(__xludf.DUMMYFUNCTION("""COMPUTED_VALUE"""),10.0)</f>
        <v>10</v>
      </c>
      <c r="B2325" s="406">
        <f>IFERROR(__xludf.DUMMYFUNCTION("""COMPUTED_VALUE"""),28164.0)</f>
        <v>28164</v>
      </c>
      <c r="C2325" s="406" t="str">
        <f>IFERROR(__xludf.DUMMYFUNCTION("""COMPUTED_VALUE"""),"WOODWORTH, MIA ISABELLA")</f>
        <v>WOODWORTH, MIA ISABELLA</v>
      </c>
      <c r="D2325" t="str">
        <f>IFERROR(__xludf.DUMMYFUNCTION("""COMPUTED_VALUE"""),"PE 10")</f>
        <v>PE 10</v>
      </c>
      <c r="E2325" s="3">
        <f>IFERROR(__xludf.DUMMYFUNCTION("""COMPUTED_VALUE"""),6.0)</f>
        <v>6</v>
      </c>
      <c r="F2325" s="300">
        <v>1.0</v>
      </c>
      <c r="G2325" s="300">
        <v>1.0</v>
      </c>
      <c r="H2325" s="300">
        <v>1.0</v>
      </c>
      <c r="I2325" s="300">
        <v>1.0</v>
      </c>
      <c r="J2325" s="300">
        <v>1.0</v>
      </c>
      <c r="K2325" s="300">
        <v>1.0</v>
      </c>
      <c r="L2325" s="300">
        <v>1.0</v>
      </c>
      <c r="M2325" s="300">
        <v>1.0</v>
      </c>
      <c r="N2325" s="300">
        <v>8.0</v>
      </c>
      <c r="O2325" s="300" t="s">
        <v>907</v>
      </c>
      <c r="P2325" s="300">
        <v>6.0</v>
      </c>
    </row>
    <row r="2326">
      <c r="A2326">
        <f>IFERROR(__xludf.DUMMYFUNCTION("""COMPUTED_VALUE"""),10.0)</f>
        <v>10</v>
      </c>
      <c r="B2326" s="406">
        <f>IFERROR(__xludf.DUMMYFUNCTION("""COMPUTED_VALUE"""),27088.0)</f>
        <v>27088</v>
      </c>
      <c r="C2326" t="str">
        <f>IFERROR(__xludf.DUMMYFUNCTION("""COMPUTED_VALUE"""),"PEREZ JARAMILLO, AGUSTIN")</f>
        <v>PEREZ JARAMILLO, AGUSTIN</v>
      </c>
      <c r="D2326" t="str">
        <f>IFERROR(__xludf.DUMMYFUNCTION("""COMPUTED_VALUE"""),"PE 10")</f>
        <v>PE 10</v>
      </c>
      <c r="E2326" s="3">
        <f>IFERROR(__xludf.DUMMYFUNCTION("""COMPUTED_VALUE"""),7.0)</f>
        <v>7</v>
      </c>
      <c r="F2326" s="300">
        <v>1.0</v>
      </c>
      <c r="G2326" s="300">
        <v>1.0</v>
      </c>
      <c r="H2326" s="300">
        <v>1.0</v>
      </c>
      <c r="I2326" s="300">
        <v>1.0</v>
      </c>
      <c r="J2326" s="300">
        <v>1.0</v>
      </c>
      <c r="K2326" s="300">
        <v>1.0</v>
      </c>
      <c r="L2326" s="300">
        <v>1.0</v>
      </c>
      <c r="M2326" s="300">
        <v>1.0</v>
      </c>
      <c r="N2326" s="300">
        <v>8.0</v>
      </c>
      <c r="O2326" s="300" t="s">
        <v>904</v>
      </c>
      <c r="P2326" s="300">
        <v>6.0</v>
      </c>
    </row>
    <row r="2327">
      <c r="A2327">
        <f>IFERROR(__xludf.DUMMYFUNCTION("""COMPUTED_VALUE"""),10.0)</f>
        <v>10</v>
      </c>
      <c r="B2327" s="406">
        <f>IFERROR(__xludf.DUMMYFUNCTION("""COMPUTED_VALUE"""),28060.0)</f>
        <v>28060</v>
      </c>
      <c r="C2327" t="str">
        <f>IFERROR(__xludf.DUMMYFUNCTION("""COMPUTED_VALUE"""),"MEDINA LONDOÑO, PABLO")</f>
        <v>MEDINA LONDOÑO, PABLO</v>
      </c>
      <c r="D2327" t="str">
        <f>IFERROR(__xludf.DUMMYFUNCTION("""COMPUTED_VALUE"""),"PE 10")</f>
        <v>PE 10</v>
      </c>
      <c r="E2327" s="3">
        <f>IFERROR(__xludf.DUMMYFUNCTION("""COMPUTED_VALUE"""),7.0)</f>
        <v>7</v>
      </c>
      <c r="F2327" s="300">
        <v>1.0</v>
      </c>
      <c r="G2327" s="300">
        <v>1.0</v>
      </c>
      <c r="H2327" s="300">
        <v>1.0</v>
      </c>
      <c r="I2327" s="300">
        <v>1.0</v>
      </c>
      <c r="J2327" s="300">
        <v>1.0</v>
      </c>
      <c r="K2327" s="300">
        <v>1.0</v>
      </c>
      <c r="L2327" s="300">
        <v>1.0</v>
      </c>
      <c r="M2327" s="300">
        <v>1.0</v>
      </c>
      <c r="N2327" s="300">
        <v>8.0</v>
      </c>
      <c r="O2327" s="300" t="s">
        <v>904</v>
      </c>
      <c r="P2327" s="300">
        <v>6.0</v>
      </c>
    </row>
    <row r="2328">
      <c r="A2328">
        <f>IFERROR(__xludf.DUMMYFUNCTION("""COMPUTED_VALUE"""),10.0)</f>
        <v>10</v>
      </c>
      <c r="B2328" s="406">
        <f>IFERROR(__xludf.DUMMYFUNCTION("""COMPUTED_VALUE"""),28034.0)</f>
        <v>28034</v>
      </c>
      <c r="C2328" t="str">
        <f>IFERROR(__xludf.DUMMYFUNCTION("""COMPUTED_VALUE"""),"GARCIA ISAZA, TOMAS")</f>
        <v>GARCIA ISAZA, TOMAS</v>
      </c>
      <c r="D2328" t="str">
        <f>IFERROR(__xludf.DUMMYFUNCTION("""COMPUTED_VALUE"""),"PE 10")</f>
        <v>PE 10</v>
      </c>
      <c r="E2328" s="3">
        <f>IFERROR(__xludf.DUMMYFUNCTION("""COMPUTED_VALUE"""),6.0)</f>
        <v>6</v>
      </c>
      <c r="F2328" s="300">
        <v>1.0</v>
      </c>
      <c r="G2328" s="300">
        <v>1.0</v>
      </c>
      <c r="H2328" s="300">
        <v>1.0</v>
      </c>
      <c r="I2328" s="300">
        <v>1.0</v>
      </c>
      <c r="J2328" s="300">
        <v>1.0</v>
      </c>
      <c r="K2328" s="300">
        <v>1.0</v>
      </c>
      <c r="L2328" s="300">
        <v>1.0</v>
      </c>
      <c r="M2328" s="300">
        <v>1.0</v>
      </c>
      <c r="N2328" s="300">
        <v>8.0</v>
      </c>
      <c r="O2328" s="300" t="s">
        <v>907</v>
      </c>
      <c r="P2328" s="300">
        <v>6.0</v>
      </c>
    </row>
    <row r="2329">
      <c r="A2329">
        <f>IFERROR(__xludf.DUMMYFUNCTION("""COMPUTED_VALUE"""),10.0)</f>
        <v>10</v>
      </c>
      <c r="B2329" s="406">
        <f>IFERROR(__xludf.DUMMYFUNCTION("""COMPUTED_VALUE"""),28049.0)</f>
        <v>28049</v>
      </c>
      <c r="C2329" t="str">
        <f>IFERROR(__xludf.DUMMYFUNCTION("""COMPUTED_VALUE"""),"JARAMILLO ARANGO, ELENA")</f>
        <v>JARAMILLO ARANGO, ELENA</v>
      </c>
      <c r="D2329" t="str">
        <f>IFERROR(__xludf.DUMMYFUNCTION("""COMPUTED_VALUE"""),"PE 10")</f>
        <v>PE 10</v>
      </c>
      <c r="E2329" s="3">
        <f>IFERROR(__xludf.DUMMYFUNCTION("""COMPUTED_VALUE"""),6.0)</f>
        <v>6</v>
      </c>
      <c r="F2329" s="300">
        <v>1.0</v>
      </c>
      <c r="G2329" s="300">
        <v>1.0</v>
      </c>
      <c r="H2329" s="300">
        <v>1.0</v>
      </c>
      <c r="I2329" s="300">
        <v>1.0</v>
      </c>
      <c r="J2329" s="300">
        <v>1.0</v>
      </c>
      <c r="K2329" s="300">
        <v>1.0</v>
      </c>
      <c r="L2329" s="300">
        <v>1.0</v>
      </c>
      <c r="M2329" s="300">
        <v>1.0</v>
      </c>
      <c r="N2329" s="300">
        <v>8.0</v>
      </c>
      <c r="O2329" s="300" t="s">
        <v>907</v>
      </c>
      <c r="P2329" s="300">
        <v>6.0</v>
      </c>
    </row>
    <row r="2330">
      <c r="A2330">
        <f>IFERROR(__xludf.DUMMYFUNCTION("""COMPUTED_VALUE"""),10.0)</f>
        <v>10</v>
      </c>
      <c r="B2330" s="406">
        <f>IFERROR(__xludf.DUMMYFUNCTION("""COMPUTED_VALUE"""),28024.0)</f>
        <v>28024</v>
      </c>
      <c r="C2330" t="str">
        <f>IFERROR(__xludf.DUMMYFUNCTION("""COMPUTED_VALUE"""),"ESCOBAR CASTAÑO, NICOLAS")</f>
        <v>ESCOBAR CASTAÑO, NICOLAS</v>
      </c>
      <c r="D2330" t="str">
        <f>IFERROR(__xludf.DUMMYFUNCTION("""COMPUTED_VALUE"""),"PE 10")</f>
        <v>PE 10</v>
      </c>
      <c r="E2330" s="3">
        <f>IFERROR(__xludf.DUMMYFUNCTION("""COMPUTED_VALUE"""),5.0)</f>
        <v>5</v>
      </c>
      <c r="F2330" s="300">
        <v>1.0</v>
      </c>
      <c r="G2330" s="300">
        <v>1.0</v>
      </c>
      <c r="H2330" s="300">
        <v>1.0</v>
      </c>
      <c r="I2330" s="300">
        <v>1.0</v>
      </c>
      <c r="J2330" s="300">
        <v>1.0</v>
      </c>
      <c r="K2330" s="300">
        <v>1.0</v>
      </c>
      <c r="L2330" s="300">
        <v>1.0</v>
      </c>
      <c r="M2330" s="300">
        <v>1.0</v>
      </c>
      <c r="N2330" s="300">
        <v>8.0</v>
      </c>
      <c r="O2330" s="300" t="s">
        <v>902</v>
      </c>
      <c r="P2330" s="300">
        <v>6.0</v>
      </c>
    </row>
    <row r="2331">
      <c r="A2331">
        <f>IFERROR(__xludf.DUMMYFUNCTION("""COMPUTED_VALUE"""),10.0)</f>
        <v>10</v>
      </c>
      <c r="B2331" s="406">
        <f>IFERROR(__xludf.DUMMYFUNCTION("""COMPUTED_VALUE"""),28093.0)</f>
        <v>28093</v>
      </c>
      <c r="C2331" t="str">
        <f>IFERROR(__xludf.DUMMYFUNCTION("""COMPUTED_VALUE"""),"RESTREPO ELEJALDE, LUCIANO")</f>
        <v>RESTREPO ELEJALDE, LUCIANO</v>
      </c>
      <c r="D2331" t="str">
        <f>IFERROR(__xludf.DUMMYFUNCTION("""COMPUTED_VALUE"""),"PE 10")</f>
        <v>PE 10</v>
      </c>
      <c r="E2331" s="3">
        <f>IFERROR(__xludf.DUMMYFUNCTION("""COMPUTED_VALUE"""),7.0)</f>
        <v>7</v>
      </c>
      <c r="F2331" s="300">
        <v>1.0</v>
      </c>
      <c r="G2331" s="300">
        <v>1.0</v>
      </c>
      <c r="H2331" s="300">
        <v>1.0</v>
      </c>
      <c r="I2331" s="300">
        <v>1.0</v>
      </c>
      <c r="J2331" s="300">
        <v>1.0</v>
      </c>
      <c r="K2331" s="300">
        <v>1.0</v>
      </c>
      <c r="L2331" s="300">
        <v>1.0</v>
      </c>
      <c r="M2331" s="300">
        <v>1.0</v>
      </c>
      <c r="N2331" s="300">
        <v>8.0</v>
      </c>
      <c r="O2331" s="300" t="s">
        <v>904</v>
      </c>
      <c r="P2331" s="300">
        <v>6.0</v>
      </c>
    </row>
    <row r="2332">
      <c r="A2332">
        <f>IFERROR(__xludf.DUMMYFUNCTION("""COMPUTED_VALUE"""),10.0)</f>
        <v>10</v>
      </c>
      <c r="B2332" s="406">
        <f>IFERROR(__xludf.DUMMYFUNCTION("""COMPUTED_VALUE"""),28070.0)</f>
        <v>28070</v>
      </c>
      <c r="C2332" t="str">
        <f>IFERROR(__xludf.DUMMYFUNCTION("""COMPUTED_VALUE"""),"MORENO RESTREPO, MARTIN")</f>
        <v>MORENO RESTREPO, MARTIN</v>
      </c>
      <c r="D2332" t="str">
        <f>IFERROR(__xludf.DUMMYFUNCTION("""COMPUTED_VALUE"""),"PE 10")</f>
        <v>PE 10</v>
      </c>
      <c r="E2332" s="3">
        <f>IFERROR(__xludf.DUMMYFUNCTION("""COMPUTED_VALUE"""),6.0)</f>
        <v>6</v>
      </c>
      <c r="F2332" s="300">
        <v>1.0</v>
      </c>
      <c r="G2332" s="300">
        <v>1.0</v>
      </c>
      <c r="H2332" s="300">
        <v>1.0</v>
      </c>
      <c r="I2332" s="300">
        <v>1.0</v>
      </c>
      <c r="J2332" s="300">
        <v>1.0</v>
      </c>
      <c r="K2332" s="300">
        <v>1.0</v>
      </c>
      <c r="L2332" s="300">
        <v>1.0</v>
      </c>
      <c r="M2332" s="300">
        <v>1.0</v>
      </c>
      <c r="N2332" s="300">
        <v>8.0</v>
      </c>
      <c r="O2332" s="300" t="s">
        <v>907</v>
      </c>
      <c r="P2332" s="300">
        <v>6.0</v>
      </c>
    </row>
    <row r="2333">
      <c r="A2333">
        <f>IFERROR(__xludf.DUMMYFUNCTION("""COMPUTED_VALUE"""),10.0)</f>
        <v>10</v>
      </c>
      <c r="B2333" s="406">
        <f>IFERROR(__xludf.DUMMYFUNCTION("""COMPUTED_VALUE"""),28110.0)</f>
        <v>28110</v>
      </c>
      <c r="C2333" t="str">
        <f>IFERROR(__xludf.DUMMYFUNCTION("""COMPUTED_VALUE"""),"VARGAS URIBE, LORENZO")</f>
        <v>VARGAS URIBE, LORENZO</v>
      </c>
      <c r="D2333" t="str">
        <f>IFERROR(__xludf.DUMMYFUNCTION("""COMPUTED_VALUE"""),"PE 10")</f>
        <v>PE 10</v>
      </c>
      <c r="E2333" s="3">
        <f>IFERROR(__xludf.DUMMYFUNCTION("""COMPUTED_VALUE"""),6.0)</f>
        <v>6</v>
      </c>
      <c r="F2333" s="300">
        <v>1.0</v>
      </c>
      <c r="G2333" s="300">
        <v>1.0</v>
      </c>
      <c r="H2333" s="300">
        <v>1.0</v>
      </c>
      <c r="I2333" s="300">
        <v>1.0</v>
      </c>
      <c r="J2333" s="300">
        <v>1.0</v>
      </c>
      <c r="K2333" s="300">
        <v>1.0</v>
      </c>
      <c r="L2333" s="300">
        <v>1.0</v>
      </c>
      <c r="M2333" s="300">
        <v>1.0</v>
      </c>
      <c r="N2333" s="300">
        <v>8.0</v>
      </c>
      <c r="O2333" s="300" t="s">
        <v>907</v>
      </c>
      <c r="P2333" s="300">
        <v>6.0</v>
      </c>
    </row>
    <row r="2334">
      <c r="A2334">
        <f>IFERROR(__xludf.DUMMYFUNCTION("""COMPUTED_VALUE"""),10.0)</f>
        <v>10</v>
      </c>
      <c r="B2334" s="406">
        <f>IFERROR(__xludf.DUMMYFUNCTION("""COMPUTED_VALUE"""),28066.0)</f>
        <v>28066</v>
      </c>
      <c r="C2334" t="str">
        <f>IFERROR(__xludf.DUMMYFUNCTION("""COMPUTED_VALUE"""),"MEJIA VELEZ, CANDELARIA")</f>
        <v>MEJIA VELEZ, CANDELARIA</v>
      </c>
      <c r="D2334" t="str">
        <f>IFERROR(__xludf.DUMMYFUNCTION("""COMPUTED_VALUE"""),"PE 10")</f>
        <v>PE 10</v>
      </c>
      <c r="E2334" s="3">
        <f>IFERROR(__xludf.DUMMYFUNCTION("""COMPUTED_VALUE"""),4.0)</f>
        <v>4</v>
      </c>
      <c r="F2334" s="300">
        <v>1.0</v>
      </c>
      <c r="G2334" s="300">
        <v>1.0</v>
      </c>
      <c r="H2334" s="300">
        <v>1.0</v>
      </c>
      <c r="I2334" s="300">
        <v>1.0</v>
      </c>
      <c r="J2334" s="300">
        <v>1.0</v>
      </c>
      <c r="K2334" s="300">
        <v>1.0</v>
      </c>
      <c r="L2334" s="300">
        <v>1.0</v>
      </c>
      <c r="M2334" s="300">
        <v>1.0</v>
      </c>
      <c r="N2334" s="300">
        <v>8.0</v>
      </c>
      <c r="O2334" s="300" t="s">
        <v>906</v>
      </c>
      <c r="P2334" s="300">
        <v>6.0</v>
      </c>
    </row>
    <row r="2335">
      <c r="A2335">
        <f>IFERROR(__xludf.DUMMYFUNCTION("""COMPUTED_VALUE"""),10.0)</f>
        <v>10</v>
      </c>
      <c r="B2335" s="406">
        <f>IFERROR(__xludf.DUMMYFUNCTION("""COMPUTED_VALUE"""),28071.0)</f>
        <v>28071</v>
      </c>
      <c r="C2335" t="str">
        <f>IFERROR(__xludf.DUMMYFUNCTION("""COMPUTED_VALUE"""),"NARANJO PINO, MARTIN")</f>
        <v>NARANJO PINO, MARTIN</v>
      </c>
      <c r="D2335" t="str">
        <f>IFERROR(__xludf.DUMMYFUNCTION("""COMPUTED_VALUE"""),"PE 10")</f>
        <v>PE 10</v>
      </c>
      <c r="E2335" s="3">
        <f>IFERROR(__xludf.DUMMYFUNCTION("""COMPUTED_VALUE"""),5.0)</f>
        <v>5</v>
      </c>
      <c r="F2335" s="300">
        <v>1.0</v>
      </c>
      <c r="G2335" s="300">
        <v>1.0</v>
      </c>
      <c r="H2335" s="300">
        <v>1.0</v>
      </c>
      <c r="I2335" s="300">
        <v>1.0</v>
      </c>
      <c r="J2335" s="300">
        <v>1.0</v>
      </c>
      <c r="K2335" s="300">
        <v>1.0</v>
      </c>
      <c r="L2335" s="300">
        <v>1.0</v>
      </c>
      <c r="M2335" s="300">
        <v>1.0</v>
      </c>
      <c r="N2335" s="300">
        <v>8.0</v>
      </c>
      <c r="O2335" s="300" t="s">
        <v>902</v>
      </c>
      <c r="P2335" s="300">
        <v>6.0</v>
      </c>
    </row>
    <row r="2336">
      <c r="A2336">
        <f>IFERROR(__xludf.DUMMYFUNCTION("""COMPUTED_VALUE"""),10.0)</f>
        <v>10</v>
      </c>
      <c r="B2336" s="406">
        <f>IFERROR(__xludf.DUMMYFUNCTION("""COMPUTED_VALUE"""),28168.0)</f>
        <v>28168</v>
      </c>
      <c r="C2336" t="str">
        <f>IFERROR(__xludf.DUMMYFUNCTION("""COMPUTED_VALUE"""),"KEILON GRAHAM")</f>
        <v>KEILON GRAHAM</v>
      </c>
      <c r="D2336" t="str">
        <f>IFERROR(__xludf.DUMMYFUNCTION("""COMPUTED_VALUE"""),"PE 10")</f>
        <v>PE 10</v>
      </c>
      <c r="E2336" s="3">
        <f>IFERROR(__xludf.DUMMYFUNCTION("""COMPUTED_VALUE"""),1.0)</f>
        <v>1</v>
      </c>
      <c r="F2336" s="300">
        <v>1.0</v>
      </c>
      <c r="G2336" s="300">
        <v>1.0</v>
      </c>
      <c r="H2336" s="300">
        <v>1.0</v>
      </c>
      <c r="I2336" s="300">
        <v>1.0</v>
      </c>
      <c r="J2336" s="300">
        <v>1.0</v>
      </c>
      <c r="K2336" s="300">
        <v>1.0</v>
      </c>
      <c r="L2336" s="300">
        <v>1.0</v>
      </c>
      <c r="M2336" s="300">
        <v>1.0</v>
      </c>
      <c r="N2336" s="300">
        <v>8.0</v>
      </c>
      <c r="O2336" s="300" t="s">
        <v>903</v>
      </c>
      <c r="P2336" s="300">
        <v>6.0</v>
      </c>
    </row>
    <row r="2337">
      <c r="A2337">
        <f>IFERROR(__xludf.DUMMYFUNCTION("""COMPUTED_VALUE"""),11.0)</f>
        <v>11</v>
      </c>
      <c r="B2337" s="406">
        <f>IFERROR(__xludf.DUMMYFUNCTION("""COMPUTED_VALUE"""),27118.0)</f>
        <v>27118</v>
      </c>
      <c r="C2337" t="str">
        <f>IFERROR(__xludf.DUMMYFUNCTION("""COMPUTED_VALUE"""),"URIBE SIERRA, SOFIA")</f>
        <v>URIBE SIERRA, SOFIA</v>
      </c>
      <c r="D2337" t="str">
        <f>IFERROR(__xludf.DUMMYFUNCTION("""COMPUTED_VALUE"""),"PE 11")</f>
        <v>PE 11</v>
      </c>
      <c r="E2337" s="3">
        <f>IFERROR(__xludf.DUMMYFUNCTION("""COMPUTED_VALUE"""),4.0)</f>
        <v>4</v>
      </c>
      <c r="F2337" s="300">
        <v>1.0</v>
      </c>
      <c r="G2337" s="300">
        <v>1.0</v>
      </c>
      <c r="H2337" s="300">
        <v>1.0</v>
      </c>
      <c r="I2337" s="300">
        <v>1.0</v>
      </c>
      <c r="J2337" s="300">
        <v>1.0</v>
      </c>
      <c r="K2337" s="300">
        <v>1.0</v>
      </c>
      <c r="L2337" s="300">
        <v>1.0</v>
      </c>
      <c r="M2337" s="300">
        <v>1.0</v>
      </c>
      <c r="N2337" s="300">
        <v>8.0</v>
      </c>
      <c r="O2337" s="300" t="s">
        <v>908</v>
      </c>
      <c r="P2337" s="300">
        <v>6.0</v>
      </c>
    </row>
    <row r="2338">
      <c r="A2338">
        <f>IFERROR(__xludf.DUMMYFUNCTION("""COMPUTED_VALUE"""),11.0)</f>
        <v>11</v>
      </c>
      <c r="B2338" s="406">
        <f>IFERROR(__xludf.DUMMYFUNCTION("""COMPUTED_VALUE"""),27039.0)</f>
        <v>27039</v>
      </c>
      <c r="C2338" t="str">
        <f>IFERROR(__xludf.DUMMYFUNCTION("""COMPUTED_VALUE"""),"GALLEGO LOPEZ, SUSSANA")</f>
        <v>GALLEGO LOPEZ, SUSSANA</v>
      </c>
      <c r="D2338" t="str">
        <f>IFERROR(__xludf.DUMMYFUNCTION("""COMPUTED_VALUE"""),"PE 11")</f>
        <v>PE 11</v>
      </c>
      <c r="E2338" s="3">
        <f>IFERROR(__xludf.DUMMYFUNCTION("""COMPUTED_VALUE"""),3.0)</f>
        <v>3</v>
      </c>
      <c r="F2338" s="300">
        <v>1.0</v>
      </c>
      <c r="G2338" s="300">
        <v>1.0</v>
      </c>
      <c r="H2338" s="300">
        <v>1.0</v>
      </c>
      <c r="I2338" s="300">
        <v>1.0</v>
      </c>
      <c r="J2338" s="300">
        <v>1.0</v>
      </c>
      <c r="K2338" s="300">
        <v>1.0</v>
      </c>
      <c r="L2338" s="300">
        <v>1.0</v>
      </c>
      <c r="M2338" s="300">
        <v>1.0</v>
      </c>
      <c r="N2338" s="300">
        <v>8.0</v>
      </c>
      <c r="O2338" s="300" t="s">
        <v>909</v>
      </c>
      <c r="P2338" s="300">
        <v>6.0</v>
      </c>
    </row>
    <row r="2339">
      <c r="A2339">
        <f>IFERROR(__xludf.DUMMYFUNCTION("""COMPUTED_VALUE"""),11.0)</f>
        <v>11</v>
      </c>
      <c r="B2339" s="406">
        <f>IFERROR(__xludf.DUMMYFUNCTION("""COMPUTED_VALUE"""),27171.0)</f>
        <v>27171</v>
      </c>
      <c r="C2339" t="str">
        <f>IFERROR(__xludf.DUMMYFUNCTION("""COMPUTED_VALUE"""),"BEDOYA PARRA, LAURA")</f>
        <v>BEDOYA PARRA, LAURA</v>
      </c>
      <c r="D2339" t="str">
        <f>IFERROR(__xludf.DUMMYFUNCTION("""COMPUTED_VALUE"""),"PE 11")</f>
        <v>PE 11</v>
      </c>
      <c r="E2339" s="3">
        <f>IFERROR(__xludf.DUMMYFUNCTION("""COMPUTED_VALUE"""),4.0)</f>
        <v>4</v>
      </c>
      <c r="F2339" s="300">
        <v>1.0</v>
      </c>
      <c r="G2339" s="300">
        <v>1.0</v>
      </c>
      <c r="H2339" s="300">
        <v>1.0</v>
      </c>
      <c r="I2339" s="300">
        <v>1.0</v>
      </c>
      <c r="J2339" s="300">
        <v>1.0</v>
      </c>
      <c r="K2339" s="300">
        <v>1.0</v>
      </c>
      <c r="L2339" s="300">
        <v>1.0</v>
      </c>
      <c r="M2339" s="300">
        <v>1.0</v>
      </c>
      <c r="N2339" s="300">
        <v>8.0</v>
      </c>
      <c r="O2339" s="300" t="s">
        <v>908</v>
      </c>
      <c r="P2339" s="300">
        <v>6.0</v>
      </c>
    </row>
    <row r="2340">
      <c r="A2340">
        <f>IFERROR(__xludf.DUMMYFUNCTION("""COMPUTED_VALUE"""),11.0)</f>
        <v>11</v>
      </c>
      <c r="B2340" s="406">
        <f>IFERROR(__xludf.DUMMYFUNCTION("""COMPUTED_VALUE"""),27146.0)</f>
        <v>27146</v>
      </c>
      <c r="C2340" t="str">
        <f>IFERROR(__xludf.DUMMYFUNCTION("""COMPUTED_VALUE"""),"MORALES BAYONA, AMELIA")</f>
        <v>MORALES BAYONA, AMELIA</v>
      </c>
      <c r="D2340" t="str">
        <f>IFERROR(__xludf.DUMMYFUNCTION("""COMPUTED_VALUE"""),"PE 11")</f>
        <v>PE 11</v>
      </c>
      <c r="E2340" s="3">
        <f>IFERROR(__xludf.DUMMYFUNCTION("""COMPUTED_VALUE"""),6.0)</f>
        <v>6</v>
      </c>
      <c r="F2340" s="300">
        <v>1.0</v>
      </c>
      <c r="G2340" s="300">
        <v>1.0</v>
      </c>
      <c r="H2340" s="300">
        <v>1.0</v>
      </c>
      <c r="I2340" s="300">
        <v>1.0</v>
      </c>
      <c r="J2340" s="300">
        <v>1.0</v>
      </c>
      <c r="K2340" s="300">
        <v>1.0</v>
      </c>
      <c r="L2340" s="300">
        <v>1.0</v>
      </c>
      <c r="M2340" s="300">
        <v>1.0</v>
      </c>
      <c r="N2340" s="300">
        <v>8.0</v>
      </c>
      <c r="O2340" s="300" t="s">
        <v>910</v>
      </c>
      <c r="P2340" s="300">
        <v>6.0</v>
      </c>
    </row>
    <row r="2341">
      <c r="A2341">
        <f>IFERROR(__xludf.DUMMYFUNCTION("""COMPUTED_VALUE"""),11.0)</f>
        <v>11</v>
      </c>
      <c r="B2341" s="406">
        <f>IFERROR(__xludf.DUMMYFUNCTION("""COMPUTED_VALUE"""),27073.0)</f>
        <v>27073</v>
      </c>
      <c r="C2341" t="str">
        <f>IFERROR(__xludf.DUMMYFUNCTION("""COMPUTED_VALUE"""),"MONTES LOPEZ, SOFIA")</f>
        <v>MONTES LOPEZ, SOFIA</v>
      </c>
      <c r="D2341" t="str">
        <f>IFERROR(__xludf.DUMMYFUNCTION("""COMPUTED_VALUE"""),"PE 11")</f>
        <v>PE 11</v>
      </c>
      <c r="E2341" s="3">
        <f>IFERROR(__xludf.DUMMYFUNCTION("""COMPUTED_VALUE"""),6.0)</f>
        <v>6</v>
      </c>
      <c r="F2341" s="300">
        <v>1.0</v>
      </c>
      <c r="G2341" s="300">
        <v>1.0</v>
      </c>
      <c r="H2341" s="300">
        <v>1.0</v>
      </c>
      <c r="I2341" s="300">
        <v>1.0</v>
      </c>
      <c r="J2341" s="300">
        <v>1.0</v>
      </c>
      <c r="K2341" s="300">
        <v>1.0</v>
      </c>
      <c r="L2341" s="300">
        <v>1.0</v>
      </c>
      <c r="M2341" s="300">
        <v>1.0</v>
      </c>
      <c r="N2341" s="300">
        <v>8.0</v>
      </c>
      <c r="O2341" s="300" t="s">
        <v>910</v>
      </c>
      <c r="P2341" s="300">
        <v>6.0</v>
      </c>
    </row>
    <row r="2342">
      <c r="A2342">
        <f>IFERROR(__xludf.DUMMYFUNCTION("""COMPUTED_VALUE"""),11.0)</f>
        <v>11</v>
      </c>
      <c r="B2342" s="406">
        <f>IFERROR(__xludf.DUMMYFUNCTION("""COMPUTED_VALUE"""),27139.0)</f>
        <v>27139</v>
      </c>
      <c r="C2342" t="str">
        <f>IFERROR(__xludf.DUMMYFUNCTION("""COMPUTED_VALUE"""),"OCAMPO CEBALLOS, JULIA")</f>
        <v>OCAMPO CEBALLOS, JULIA</v>
      </c>
      <c r="D2342" t="str">
        <f>IFERROR(__xludf.DUMMYFUNCTION("""COMPUTED_VALUE"""),"PE 11")</f>
        <v>PE 11</v>
      </c>
      <c r="E2342" s="3">
        <f>IFERROR(__xludf.DUMMYFUNCTION("""COMPUTED_VALUE"""),1.0)</f>
        <v>1</v>
      </c>
      <c r="F2342" s="300">
        <v>1.0</v>
      </c>
      <c r="G2342" s="300">
        <v>1.0</v>
      </c>
      <c r="H2342" s="300">
        <v>1.0</v>
      </c>
      <c r="I2342" s="300">
        <v>1.0</v>
      </c>
      <c r="J2342" s="300">
        <v>1.0</v>
      </c>
      <c r="K2342" s="300">
        <v>1.0</v>
      </c>
      <c r="L2342" s="300">
        <v>1.0</v>
      </c>
      <c r="M2342" s="300">
        <v>1.0</v>
      </c>
      <c r="N2342" s="300">
        <v>8.0</v>
      </c>
      <c r="O2342" s="300" t="s">
        <v>911</v>
      </c>
      <c r="P2342" s="300">
        <v>6.0</v>
      </c>
    </row>
    <row r="2343">
      <c r="A2343">
        <f>IFERROR(__xludf.DUMMYFUNCTION("""COMPUTED_VALUE"""),11.0)</f>
        <v>11</v>
      </c>
      <c r="B2343" s="406">
        <f>IFERROR(__xludf.DUMMYFUNCTION("""COMPUTED_VALUE"""),27020.0)</f>
        <v>27020</v>
      </c>
      <c r="C2343" t="str">
        <f>IFERROR(__xludf.DUMMYFUNCTION("""COMPUTED_VALUE"""),"BOTERO LAVERDE, MARTINA")</f>
        <v>BOTERO LAVERDE, MARTINA</v>
      </c>
      <c r="D2343" t="str">
        <f>IFERROR(__xludf.DUMMYFUNCTION("""COMPUTED_VALUE"""),"PE 11")</f>
        <v>PE 11</v>
      </c>
      <c r="E2343" s="3">
        <f>IFERROR(__xludf.DUMMYFUNCTION("""COMPUTED_VALUE"""),2.0)</f>
        <v>2</v>
      </c>
      <c r="F2343" s="300">
        <v>1.0</v>
      </c>
      <c r="G2343" s="300">
        <v>1.0</v>
      </c>
      <c r="H2343" s="300">
        <v>1.0</v>
      </c>
      <c r="I2343" s="300">
        <v>1.0</v>
      </c>
      <c r="J2343" s="300">
        <v>1.0</v>
      </c>
      <c r="K2343" s="300">
        <v>1.0</v>
      </c>
      <c r="L2343" s="300">
        <v>1.0</v>
      </c>
      <c r="M2343" s="300">
        <v>1.0</v>
      </c>
      <c r="N2343" s="300">
        <v>8.0</v>
      </c>
      <c r="O2343" s="300" t="s">
        <v>912</v>
      </c>
      <c r="P2343" s="300">
        <v>6.0</v>
      </c>
    </row>
    <row r="2344">
      <c r="A2344">
        <f>IFERROR(__xludf.DUMMYFUNCTION("""COMPUTED_VALUE"""),11.0)</f>
        <v>11</v>
      </c>
      <c r="B2344" s="406">
        <f>IFERROR(__xludf.DUMMYFUNCTION("""COMPUTED_VALUE"""),27059.0)</f>
        <v>27059</v>
      </c>
      <c r="C2344" t="str">
        <f>IFERROR(__xludf.DUMMYFUNCTION("""COMPUTED_VALUE"""),"LOPEZ VELEZ, PAULINA")</f>
        <v>LOPEZ VELEZ, PAULINA</v>
      </c>
      <c r="D2344" t="str">
        <f>IFERROR(__xludf.DUMMYFUNCTION("""COMPUTED_VALUE"""),"PE 11")</f>
        <v>PE 11</v>
      </c>
      <c r="E2344" s="3">
        <f>IFERROR(__xludf.DUMMYFUNCTION("""COMPUTED_VALUE"""),4.0)</f>
        <v>4</v>
      </c>
      <c r="F2344" s="300">
        <v>1.0</v>
      </c>
      <c r="G2344" s="300">
        <v>1.0</v>
      </c>
      <c r="H2344" s="300">
        <v>1.0</v>
      </c>
      <c r="I2344" s="300">
        <v>1.0</v>
      </c>
      <c r="J2344" s="300">
        <v>1.0</v>
      </c>
      <c r="K2344" s="300">
        <v>1.0</v>
      </c>
      <c r="L2344" s="300">
        <v>1.0</v>
      </c>
      <c r="M2344" s="300">
        <v>1.0</v>
      </c>
      <c r="N2344" s="300">
        <v>8.0</v>
      </c>
      <c r="O2344" s="300" t="s">
        <v>908</v>
      </c>
      <c r="P2344" s="300">
        <v>6.0</v>
      </c>
    </row>
    <row r="2345">
      <c r="A2345">
        <f>IFERROR(__xludf.DUMMYFUNCTION("""COMPUTED_VALUE"""),11.0)</f>
        <v>11</v>
      </c>
      <c r="B2345" s="406">
        <f>IFERROR(__xludf.DUMMYFUNCTION("""COMPUTED_VALUE"""),27051.0)</f>
        <v>27051</v>
      </c>
      <c r="C2345" t="str">
        <f>IFERROR(__xludf.DUMMYFUNCTION("""COMPUTED_VALUE"""),"ISAZA GOMEZ, ELISA")</f>
        <v>ISAZA GOMEZ, ELISA</v>
      </c>
      <c r="D2345" t="str">
        <f>IFERROR(__xludf.DUMMYFUNCTION("""COMPUTED_VALUE"""),"PE 11")</f>
        <v>PE 11</v>
      </c>
      <c r="E2345" s="3">
        <f>IFERROR(__xludf.DUMMYFUNCTION("""COMPUTED_VALUE"""),2.0)</f>
        <v>2</v>
      </c>
      <c r="F2345" s="300">
        <v>1.0</v>
      </c>
      <c r="G2345" s="300">
        <v>1.0</v>
      </c>
      <c r="H2345" s="300">
        <v>1.0</v>
      </c>
      <c r="I2345" s="300">
        <v>1.0</v>
      </c>
      <c r="J2345" s="300">
        <v>1.0</v>
      </c>
      <c r="K2345" s="300">
        <v>1.0</v>
      </c>
      <c r="L2345" s="300">
        <v>1.0</v>
      </c>
      <c r="M2345" s="300">
        <v>1.0</v>
      </c>
      <c r="N2345" s="300">
        <v>8.0</v>
      </c>
      <c r="O2345" s="300" t="s">
        <v>912</v>
      </c>
      <c r="P2345" s="300">
        <v>6.0</v>
      </c>
    </row>
    <row r="2346">
      <c r="A2346">
        <f>IFERROR(__xludf.DUMMYFUNCTION("""COMPUTED_VALUE"""),11.0)</f>
        <v>11</v>
      </c>
      <c r="B2346" s="406">
        <f>IFERROR(__xludf.DUMMYFUNCTION("""COMPUTED_VALUE"""),27119.0)</f>
        <v>27119</v>
      </c>
      <c r="C2346" t="str">
        <f>IFERROR(__xludf.DUMMYFUNCTION("""COMPUTED_VALUE"""),"VALENCIA RODRIGUEZ, EMILIA")</f>
        <v>VALENCIA RODRIGUEZ, EMILIA</v>
      </c>
      <c r="D2346" t="str">
        <f>IFERROR(__xludf.DUMMYFUNCTION("""COMPUTED_VALUE"""),"PE 11")</f>
        <v>PE 11</v>
      </c>
      <c r="E2346" s="3">
        <f>IFERROR(__xludf.DUMMYFUNCTION("""COMPUTED_VALUE"""),6.0)</f>
        <v>6</v>
      </c>
      <c r="F2346" s="300">
        <v>1.0</v>
      </c>
      <c r="G2346" s="300">
        <v>1.0</v>
      </c>
      <c r="H2346" s="300">
        <v>1.0</v>
      </c>
      <c r="I2346" s="300">
        <v>1.0</v>
      </c>
      <c r="J2346" s="300">
        <v>1.0</v>
      </c>
      <c r="K2346" s="300">
        <v>1.0</v>
      </c>
      <c r="L2346" s="300">
        <v>1.0</v>
      </c>
      <c r="M2346" s="300">
        <v>1.0</v>
      </c>
      <c r="N2346" s="300">
        <v>8.0</v>
      </c>
      <c r="O2346" s="300" t="s">
        <v>910</v>
      </c>
      <c r="P2346" s="300">
        <v>6.0</v>
      </c>
    </row>
    <row r="2347">
      <c r="A2347">
        <f>IFERROR(__xludf.DUMMYFUNCTION("""COMPUTED_VALUE"""),11.0)</f>
        <v>11</v>
      </c>
      <c r="B2347" s="406">
        <f>IFERROR(__xludf.DUMMYFUNCTION("""COMPUTED_VALUE"""),27074.0)</f>
        <v>27074</v>
      </c>
      <c r="C2347" t="str">
        <f>IFERROR(__xludf.DUMMYFUNCTION("""COMPUTED_VALUE"""),"MONTORSI GOMEZ, LUCIA")</f>
        <v>MONTORSI GOMEZ, LUCIA</v>
      </c>
      <c r="D2347" t="str">
        <f>IFERROR(__xludf.DUMMYFUNCTION("""COMPUTED_VALUE"""),"PE 11")</f>
        <v>PE 11</v>
      </c>
      <c r="E2347" s="3">
        <f>IFERROR(__xludf.DUMMYFUNCTION("""COMPUTED_VALUE"""),7.0)</f>
        <v>7</v>
      </c>
      <c r="F2347" s="300">
        <v>1.0</v>
      </c>
      <c r="G2347" s="300">
        <v>1.0</v>
      </c>
      <c r="H2347" s="300">
        <v>1.0</v>
      </c>
      <c r="I2347" s="300">
        <v>1.0</v>
      </c>
      <c r="J2347" s="300">
        <v>1.0</v>
      </c>
      <c r="K2347" s="300">
        <v>1.0</v>
      </c>
      <c r="L2347" s="300">
        <v>1.0</v>
      </c>
      <c r="M2347" s="300">
        <v>1.0</v>
      </c>
      <c r="N2347" s="300">
        <v>8.0</v>
      </c>
      <c r="O2347" s="300" t="s">
        <v>913</v>
      </c>
      <c r="P2347" s="300">
        <v>6.0</v>
      </c>
    </row>
    <row r="2348">
      <c r="A2348">
        <f>IFERROR(__xludf.DUMMYFUNCTION("""COMPUTED_VALUE"""),11.0)</f>
        <v>11</v>
      </c>
      <c r="B2348" s="406">
        <f>IFERROR(__xludf.DUMMYFUNCTION("""COMPUTED_VALUE"""),27124.0)</f>
        <v>27124</v>
      </c>
      <c r="C2348" t="str">
        <f>IFERROR(__xludf.DUMMYFUNCTION("""COMPUTED_VALUE"""),"VELEZ RAMIREZ, JULIETA")</f>
        <v>VELEZ RAMIREZ, JULIETA</v>
      </c>
      <c r="D2348" t="str">
        <f>IFERROR(__xludf.DUMMYFUNCTION("""COMPUTED_VALUE"""),"PE 11")</f>
        <v>PE 11</v>
      </c>
      <c r="E2348" s="3">
        <f>IFERROR(__xludf.DUMMYFUNCTION("""COMPUTED_VALUE"""),6.0)</f>
        <v>6</v>
      </c>
      <c r="F2348" s="300">
        <v>1.0</v>
      </c>
      <c r="G2348" s="300">
        <v>1.0</v>
      </c>
      <c r="H2348" s="300">
        <v>1.0</v>
      </c>
      <c r="I2348" s="300">
        <v>1.0</v>
      </c>
      <c r="J2348" s="300">
        <v>1.0</v>
      </c>
      <c r="K2348" s="300">
        <v>1.0</v>
      </c>
      <c r="L2348" s="300">
        <v>1.0</v>
      </c>
      <c r="M2348" s="300">
        <v>1.0</v>
      </c>
      <c r="N2348" s="300">
        <v>8.0</v>
      </c>
      <c r="O2348" s="300" t="s">
        <v>910</v>
      </c>
      <c r="P2348" s="300">
        <v>6.0</v>
      </c>
    </row>
    <row r="2349">
      <c r="A2349">
        <f>IFERROR(__xludf.DUMMYFUNCTION("""COMPUTED_VALUE"""),11.0)</f>
        <v>11</v>
      </c>
      <c r="B2349" s="406">
        <f>IFERROR(__xludf.DUMMYFUNCTION("""COMPUTED_VALUE"""),27095.0)</f>
        <v>27095</v>
      </c>
      <c r="C2349" t="str">
        <f>IFERROR(__xludf.DUMMYFUNCTION("""COMPUTED_VALUE"""),"RESTREPO BECERRA, ALINA")</f>
        <v>RESTREPO BECERRA, ALINA</v>
      </c>
      <c r="D2349" t="str">
        <f>IFERROR(__xludf.DUMMYFUNCTION("""COMPUTED_VALUE"""),"PE 11")</f>
        <v>PE 11</v>
      </c>
      <c r="E2349" s="3">
        <f>IFERROR(__xludf.DUMMYFUNCTION("""COMPUTED_VALUE"""),1.0)</f>
        <v>1</v>
      </c>
      <c r="F2349" s="300">
        <v>1.0</v>
      </c>
      <c r="G2349" s="300">
        <v>1.0</v>
      </c>
      <c r="H2349" s="300">
        <v>1.0</v>
      </c>
      <c r="I2349" s="300">
        <v>1.0</v>
      </c>
      <c r="J2349" s="300">
        <v>1.0</v>
      </c>
      <c r="K2349" s="300">
        <v>1.0</v>
      </c>
      <c r="L2349" s="300">
        <v>1.0</v>
      </c>
      <c r="M2349" s="300">
        <v>1.0</v>
      </c>
      <c r="N2349" s="300">
        <v>8.0</v>
      </c>
      <c r="O2349" s="300" t="s">
        <v>911</v>
      </c>
      <c r="P2349" s="300">
        <v>6.0</v>
      </c>
    </row>
    <row r="2350">
      <c r="A2350">
        <f>IFERROR(__xludf.DUMMYFUNCTION("""COMPUTED_VALUE"""),11.0)</f>
        <v>11</v>
      </c>
      <c r="B2350" s="406">
        <f>IFERROR(__xludf.DUMMYFUNCTION("""COMPUTED_VALUE"""),27080.0)</f>
        <v>27080</v>
      </c>
      <c r="C2350" t="str">
        <f>IFERROR(__xludf.DUMMYFUNCTION("""COMPUTED_VALUE"""),"OSORIO GAVIRIA, MARIA CLARA")</f>
        <v>OSORIO GAVIRIA, MARIA CLARA</v>
      </c>
      <c r="D2350" t="str">
        <f>IFERROR(__xludf.DUMMYFUNCTION("""COMPUTED_VALUE"""),"PE 11")</f>
        <v>PE 11</v>
      </c>
      <c r="E2350" s="3">
        <f>IFERROR(__xludf.DUMMYFUNCTION("""COMPUTED_VALUE"""),7.0)</f>
        <v>7</v>
      </c>
      <c r="F2350" s="300">
        <v>1.0</v>
      </c>
      <c r="G2350" s="300">
        <v>1.0</v>
      </c>
      <c r="H2350" s="300">
        <v>1.0</v>
      </c>
      <c r="I2350" s="300">
        <v>1.0</v>
      </c>
      <c r="J2350" s="300">
        <v>1.0</v>
      </c>
      <c r="K2350" s="300">
        <v>1.0</v>
      </c>
      <c r="L2350" s="300">
        <v>1.0</v>
      </c>
      <c r="M2350" s="300">
        <v>1.0</v>
      </c>
      <c r="N2350" s="300">
        <v>8.0</v>
      </c>
      <c r="O2350" s="300" t="s">
        <v>913</v>
      </c>
      <c r="P2350" s="300">
        <v>6.0</v>
      </c>
    </row>
    <row r="2351">
      <c r="A2351">
        <f>IFERROR(__xludf.DUMMYFUNCTION("""COMPUTED_VALUE"""),11.0)</f>
        <v>11</v>
      </c>
      <c r="B2351" s="406">
        <f>IFERROR(__xludf.DUMMYFUNCTION("""COMPUTED_VALUE"""),27140.0)</f>
        <v>27140</v>
      </c>
      <c r="C2351" t="str">
        <f>IFERROR(__xludf.DUMMYFUNCTION("""COMPUTED_VALUE"""),"CORREA URIBE, PABLO")</f>
        <v>CORREA URIBE, PABLO</v>
      </c>
      <c r="D2351" t="str">
        <f>IFERROR(__xludf.DUMMYFUNCTION("""COMPUTED_VALUE"""),"PE 11")</f>
        <v>PE 11</v>
      </c>
      <c r="E2351" s="3">
        <f>IFERROR(__xludf.DUMMYFUNCTION("""COMPUTED_VALUE"""),1.0)</f>
        <v>1</v>
      </c>
      <c r="F2351" s="300">
        <v>1.0</v>
      </c>
      <c r="G2351" s="300">
        <v>1.0</v>
      </c>
      <c r="H2351" s="300">
        <v>1.0</v>
      </c>
      <c r="I2351" s="300">
        <v>1.0</v>
      </c>
      <c r="J2351" s="300">
        <v>1.0</v>
      </c>
      <c r="K2351" s="300">
        <v>1.0</v>
      </c>
      <c r="L2351" s="300">
        <v>1.0</v>
      </c>
      <c r="M2351" s="300">
        <v>1.0</v>
      </c>
      <c r="N2351" s="300">
        <v>8.0</v>
      </c>
      <c r="O2351" s="300" t="s">
        <v>911</v>
      </c>
      <c r="P2351" s="300">
        <v>6.0</v>
      </c>
    </row>
    <row r="2352">
      <c r="A2352">
        <f>IFERROR(__xludf.DUMMYFUNCTION("""COMPUTED_VALUE"""),11.0)</f>
        <v>11</v>
      </c>
      <c r="B2352" s="406">
        <f>IFERROR(__xludf.DUMMYFUNCTION("""COMPUTED_VALUE"""),27106.0)</f>
        <v>27106</v>
      </c>
      <c r="C2352" t="str">
        <f>IFERROR(__xludf.DUMMYFUNCTION("""COMPUTED_VALUE"""),"SANCHEZ HURTADO, CRISTOBAL")</f>
        <v>SANCHEZ HURTADO, CRISTOBAL</v>
      </c>
      <c r="D2352" t="str">
        <f>IFERROR(__xludf.DUMMYFUNCTION("""COMPUTED_VALUE"""),"PE 11")</f>
        <v>PE 11</v>
      </c>
      <c r="E2352" s="3">
        <f>IFERROR(__xludf.DUMMYFUNCTION("""COMPUTED_VALUE"""),6.0)</f>
        <v>6</v>
      </c>
      <c r="F2352" s="300">
        <v>1.0</v>
      </c>
      <c r="G2352" s="300">
        <v>1.0</v>
      </c>
      <c r="H2352" s="300">
        <v>1.0</v>
      </c>
      <c r="I2352" s="300">
        <v>1.0</v>
      </c>
      <c r="J2352" s="300">
        <v>1.0</v>
      </c>
      <c r="K2352" s="300">
        <v>1.0</v>
      </c>
      <c r="L2352" s="300">
        <v>1.0</v>
      </c>
      <c r="M2352" s="300">
        <v>1.0</v>
      </c>
      <c r="N2352" s="300">
        <v>8.0</v>
      </c>
      <c r="O2352" s="300" t="s">
        <v>910</v>
      </c>
      <c r="P2352" s="300">
        <v>6.0</v>
      </c>
    </row>
    <row r="2353">
      <c r="A2353">
        <f>IFERROR(__xludf.DUMMYFUNCTION("""COMPUTED_VALUE"""),11.0)</f>
        <v>11</v>
      </c>
      <c r="B2353" s="406">
        <f>IFERROR(__xludf.DUMMYFUNCTION("""COMPUTED_VALUE"""),27002.0)</f>
        <v>27002</v>
      </c>
      <c r="C2353" t="str">
        <f>IFERROR(__xludf.DUMMYFUNCTION("""COMPUTED_VALUE"""),"AGUDELO LUJAN, ARIANA")</f>
        <v>AGUDELO LUJAN, ARIANA</v>
      </c>
      <c r="D2353" t="str">
        <f>IFERROR(__xludf.DUMMYFUNCTION("""COMPUTED_VALUE"""),"PE 11")</f>
        <v>PE 11</v>
      </c>
      <c r="E2353" s="3">
        <f>IFERROR(__xludf.DUMMYFUNCTION("""COMPUTED_VALUE"""),6.0)</f>
        <v>6</v>
      </c>
      <c r="F2353" s="300">
        <v>1.0</v>
      </c>
      <c r="G2353" s="300">
        <v>1.0</v>
      </c>
      <c r="H2353" s="300">
        <v>1.0</v>
      </c>
      <c r="I2353" s="300">
        <v>1.0</v>
      </c>
      <c r="J2353" s="300">
        <v>1.0</v>
      </c>
      <c r="K2353" s="300">
        <v>1.0</v>
      </c>
      <c r="L2353" s="300">
        <v>1.0</v>
      </c>
      <c r="M2353" s="300">
        <v>1.0</v>
      </c>
      <c r="N2353" s="300">
        <v>8.0</v>
      </c>
      <c r="O2353" s="300" t="s">
        <v>910</v>
      </c>
      <c r="P2353" s="300">
        <v>6.0</v>
      </c>
    </row>
    <row r="2354">
      <c r="A2354">
        <f>IFERROR(__xludf.DUMMYFUNCTION("""COMPUTED_VALUE"""),11.0)</f>
        <v>11</v>
      </c>
      <c r="B2354" s="406">
        <f>IFERROR(__xludf.DUMMYFUNCTION("""COMPUTED_VALUE"""),27001.0)</f>
        <v>27001</v>
      </c>
      <c r="C2354" t="str">
        <f>IFERROR(__xludf.DUMMYFUNCTION("""COMPUTED_VALUE"""),"ACOSTA VILLA, LUCIANO")</f>
        <v>ACOSTA VILLA, LUCIANO</v>
      </c>
      <c r="D2354" t="str">
        <f>IFERROR(__xludf.DUMMYFUNCTION("""COMPUTED_VALUE"""),"PE 11")</f>
        <v>PE 11</v>
      </c>
      <c r="E2354" s="3">
        <f>IFERROR(__xludf.DUMMYFUNCTION("""COMPUTED_VALUE"""),2.0)</f>
        <v>2</v>
      </c>
      <c r="F2354" s="300">
        <v>1.0</v>
      </c>
      <c r="G2354" s="300">
        <v>1.0</v>
      </c>
      <c r="H2354" s="300">
        <v>1.0</v>
      </c>
      <c r="I2354" s="300">
        <v>1.0</v>
      </c>
      <c r="J2354" s="300">
        <v>1.0</v>
      </c>
      <c r="K2354" s="300">
        <v>1.0</v>
      </c>
      <c r="L2354" s="300">
        <v>1.0</v>
      </c>
      <c r="M2354" s="300">
        <v>1.0</v>
      </c>
      <c r="N2354" s="300">
        <v>8.0</v>
      </c>
      <c r="O2354" s="300" t="s">
        <v>912</v>
      </c>
      <c r="P2354" s="300">
        <v>6.0</v>
      </c>
    </row>
    <row r="2355">
      <c r="A2355">
        <f>IFERROR(__xludf.DUMMYFUNCTION("""COMPUTED_VALUE"""),11.0)</f>
        <v>11</v>
      </c>
      <c r="B2355" s="406">
        <f>IFERROR(__xludf.DUMMYFUNCTION("""COMPUTED_VALUE"""),26040.0)</f>
        <v>26040</v>
      </c>
      <c r="C2355" t="str">
        <f>IFERROR(__xludf.DUMMYFUNCTION("""COMPUTED_VALUE"""),"GOMEZ VASQUEZ, MATIAS")</f>
        <v>GOMEZ VASQUEZ, MATIAS</v>
      </c>
      <c r="D2355" t="str">
        <f>IFERROR(__xludf.DUMMYFUNCTION("""COMPUTED_VALUE"""),"PE 11")</f>
        <v>PE 11</v>
      </c>
      <c r="E2355" s="3">
        <f>IFERROR(__xludf.DUMMYFUNCTION("""COMPUTED_VALUE"""),2.0)</f>
        <v>2</v>
      </c>
      <c r="F2355" s="300">
        <v>1.0</v>
      </c>
      <c r="G2355" s="300">
        <v>1.0</v>
      </c>
      <c r="H2355" s="300">
        <v>1.0</v>
      </c>
      <c r="I2355" s="300">
        <v>1.0</v>
      </c>
      <c r="J2355" s="300">
        <v>1.0</v>
      </c>
      <c r="K2355" s="300">
        <v>1.0</v>
      </c>
      <c r="L2355" s="300">
        <v>1.0</v>
      </c>
      <c r="M2355" s="300">
        <v>1.0</v>
      </c>
      <c r="N2355" s="300">
        <v>8.0</v>
      </c>
      <c r="O2355" s="300" t="s">
        <v>912</v>
      </c>
      <c r="P2355" s="300">
        <v>6.0</v>
      </c>
    </row>
    <row r="2356">
      <c r="A2356">
        <f>IFERROR(__xludf.DUMMYFUNCTION("""COMPUTED_VALUE"""),11.0)</f>
        <v>11</v>
      </c>
      <c r="B2356" s="406">
        <f>IFERROR(__xludf.DUMMYFUNCTION("""COMPUTED_VALUE"""),27086.0)</f>
        <v>27086</v>
      </c>
      <c r="C2356" t="str">
        <f>IFERROR(__xludf.DUMMYFUNCTION("""COMPUTED_VALUE"""),"PEREZ ECHAVARRIA, TOMAS")</f>
        <v>PEREZ ECHAVARRIA, TOMAS</v>
      </c>
      <c r="D2356" t="str">
        <f>IFERROR(__xludf.DUMMYFUNCTION("""COMPUTED_VALUE"""),"PE 11")</f>
        <v>PE 11</v>
      </c>
      <c r="E2356" s="3">
        <f>IFERROR(__xludf.DUMMYFUNCTION("""COMPUTED_VALUE"""),7.0)</f>
        <v>7</v>
      </c>
      <c r="F2356" s="300">
        <v>1.0</v>
      </c>
      <c r="G2356" s="300">
        <v>1.0</v>
      </c>
      <c r="H2356" s="300">
        <v>1.0</v>
      </c>
      <c r="I2356" s="300">
        <v>1.0</v>
      </c>
      <c r="J2356" s="300">
        <v>1.0</v>
      </c>
      <c r="K2356" s="300">
        <v>1.0</v>
      </c>
      <c r="L2356" s="300">
        <v>1.0</v>
      </c>
      <c r="M2356" s="300">
        <v>1.0</v>
      </c>
      <c r="N2356" s="300">
        <v>8.0</v>
      </c>
      <c r="O2356" s="300" t="s">
        <v>913</v>
      </c>
      <c r="P2356" s="300">
        <v>6.0</v>
      </c>
    </row>
    <row r="2357">
      <c r="A2357">
        <f>IFERROR(__xludf.DUMMYFUNCTION("""COMPUTED_VALUE"""),11.0)</f>
        <v>11</v>
      </c>
      <c r="B2357" s="406">
        <f>IFERROR(__xludf.DUMMYFUNCTION("""COMPUTED_VALUE"""),27060.0)</f>
        <v>27060</v>
      </c>
      <c r="C2357" t="str">
        <f>IFERROR(__xludf.DUMMYFUNCTION("""COMPUTED_VALUE"""),"MALDONADO SALDARRIAGA, ALEJANDRO")</f>
        <v>MALDONADO SALDARRIAGA, ALEJANDRO</v>
      </c>
      <c r="D2357" t="str">
        <f>IFERROR(__xludf.DUMMYFUNCTION("""COMPUTED_VALUE"""),"PE 11")</f>
        <v>PE 11</v>
      </c>
      <c r="E2357" s="3">
        <f>IFERROR(__xludf.DUMMYFUNCTION("""COMPUTED_VALUE"""),3.0)</f>
        <v>3</v>
      </c>
      <c r="F2357" s="300">
        <v>1.0</v>
      </c>
      <c r="G2357" s="300">
        <v>1.0</v>
      </c>
      <c r="H2357" s="300">
        <v>1.0</v>
      </c>
      <c r="I2357" s="300">
        <v>1.0</v>
      </c>
      <c r="J2357" s="300">
        <v>1.0</v>
      </c>
      <c r="K2357" s="300">
        <v>1.0</v>
      </c>
      <c r="L2357" s="300">
        <v>1.0</v>
      </c>
      <c r="M2357" s="300">
        <v>1.0</v>
      </c>
      <c r="N2357" s="300">
        <v>8.0</v>
      </c>
      <c r="O2357" s="300" t="s">
        <v>909</v>
      </c>
      <c r="P2357" s="300">
        <v>6.0</v>
      </c>
    </row>
    <row r="2358">
      <c r="A2358">
        <f>IFERROR(__xludf.DUMMYFUNCTION("""COMPUTED_VALUE"""),11.0)</f>
        <v>11</v>
      </c>
      <c r="B2358" s="406">
        <f>IFERROR(__xludf.DUMMYFUNCTION("""COMPUTED_VALUE"""),27043.0)</f>
        <v>27043</v>
      </c>
      <c r="C2358" t="str">
        <f>IFERROR(__xludf.DUMMYFUNCTION("""COMPUTED_VALUE"""),"GAVIRIA ISAZA, TOMAS")</f>
        <v>GAVIRIA ISAZA, TOMAS</v>
      </c>
      <c r="D2358" t="str">
        <f>IFERROR(__xludf.DUMMYFUNCTION("""COMPUTED_VALUE"""),"PE 11")</f>
        <v>PE 11</v>
      </c>
      <c r="E2358" s="3">
        <f>IFERROR(__xludf.DUMMYFUNCTION("""COMPUTED_VALUE"""),7.0)</f>
        <v>7</v>
      </c>
      <c r="F2358" s="300">
        <v>1.0</v>
      </c>
      <c r="G2358" s="300">
        <v>1.0</v>
      </c>
      <c r="H2358" s="300">
        <v>1.0</v>
      </c>
      <c r="I2358" s="300">
        <v>1.0</v>
      </c>
      <c r="J2358" s="300">
        <v>1.0</v>
      </c>
      <c r="K2358" s="300">
        <v>1.0</v>
      </c>
      <c r="L2358" s="300">
        <v>1.0</v>
      </c>
      <c r="M2358" s="300">
        <v>1.0</v>
      </c>
      <c r="N2358" s="300">
        <v>8.0</v>
      </c>
      <c r="O2358" s="300" t="s">
        <v>913</v>
      </c>
      <c r="P2358" s="300">
        <v>6.0</v>
      </c>
    </row>
    <row r="2359">
      <c r="A2359">
        <f>IFERROR(__xludf.DUMMYFUNCTION("""COMPUTED_VALUE"""),11.0)</f>
        <v>11</v>
      </c>
      <c r="B2359" s="406">
        <f>IFERROR(__xludf.DUMMYFUNCTION("""COMPUTED_VALUE"""),27050.0)</f>
        <v>27050</v>
      </c>
      <c r="C2359" t="str">
        <f>IFERROR(__xludf.DUMMYFUNCTION("""COMPUTED_VALUE"""),"HURTADO ARISTIZABAL, PAULINA")</f>
        <v>HURTADO ARISTIZABAL, PAULINA</v>
      </c>
      <c r="D2359" t="str">
        <f>IFERROR(__xludf.DUMMYFUNCTION("""COMPUTED_VALUE"""),"PE 11")</f>
        <v>PE 11</v>
      </c>
      <c r="E2359" s="3">
        <f>IFERROR(__xludf.DUMMYFUNCTION("""COMPUTED_VALUE"""),2.0)</f>
        <v>2</v>
      </c>
      <c r="F2359" s="300">
        <v>1.0</v>
      </c>
      <c r="G2359" s="300">
        <v>1.0</v>
      </c>
      <c r="H2359" s="300">
        <v>1.0</v>
      </c>
      <c r="I2359" s="300">
        <v>1.0</v>
      </c>
      <c r="J2359" s="300">
        <v>1.0</v>
      </c>
      <c r="K2359" s="300">
        <v>1.0</v>
      </c>
      <c r="L2359" s="300">
        <v>1.0</v>
      </c>
      <c r="M2359" s="300">
        <v>1.0</v>
      </c>
      <c r="N2359" s="300">
        <v>8.0</v>
      </c>
      <c r="O2359" s="300" t="s">
        <v>912</v>
      </c>
      <c r="P2359" s="300">
        <v>6.0</v>
      </c>
    </row>
    <row r="2360">
      <c r="A2360">
        <f>IFERROR(__xludf.DUMMYFUNCTION("""COMPUTED_VALUE"""),11.0)</f>
        <v>11</v>
      </c>
      <c r="B2360" s="406">
        <f>IFERROR(__xludf.DUMMYFUNCTION("""COMPUTED_VALUE"""),27038.0)</f>
        <v>27038</v>
      </c>
      <c r="C2360" t="str">
        <f>IFERROR(__xludf.DUMMYFUNCTION("""COMPUTED_VALUE"""),"GALLEGO CUARTAS, FELIPE")</f>
        <v>GALLEGO CUARTAS, FELIPE</v>
      </c>
      <c r="D2360" t="str">
        <f>IFERROR(__xludf.DUMMYFUNCTION("""COMPUTED_VALUE"""),"PE 11")</f>
        <v>PE 11</v>
      </c>
      <c r="E2360" s="3">
        <f>IFERROR(__xludf.DUMMYFUNCTION("""COMPUTED_VALUE"""),3.0)</f>
        <v>3</v>
      </c>
      <c r="F2360" s="300">
        <v>1.0</v>
      </c>
      <c r="G2360" s="300">
        <v>1.0</v>
      </c>
      <c r="H2360" s="300">
        <v>1.0</v>
      </c>
      <c r="I2360" s="300">
        <v>1.0</v>
      </c>
      <c r="J2360" s="300">
        <v>1.0</v>
      </c>
      <c r="K2360" s="300">
        <v>1.0</v>
      </c>
      <c r="L2360" s="300">
        <v>1.0</v>
      </c>
      <c r="M2360" s="300">
        <v>1.0</v>
      </c>
      <c r="N2360" s="300">
        <v>8.0</v>
      </c>
      <c r="O2360" s="300" t="s">
        <v>909</v>
      </c>
      <c r="P2360" s="300">
        <v>6.0</v>
      </c>
    </row>
    <row r="2361">
      <c r="A2361">
        <f>IFERROR(__xludf.DUMMYFUNCTION("""COMPUTED_VALUE"""),11.0)</f>
        <v>11</v>
      </c>
      <c r="B2361" s="406">
        <f>IFERROR(__xludf.DUMMYFUNCTION("""COMPUTED_VALUE"""),27078.0)</f>
        <v>27078</v>
      </c>
      <c r="C2361" t="str">
        <f>IFERROR(__xludf.DUMMYFUNCTION("""COMPUTED_VALUE"""),"ORSINI COCK, TOMMASO MARIA")</f>
        <v>ORSINI COCK, TOMMASO MARIA</v>
      </c>
      <c r="D2361" t="str">
        <f>IFERROR(__xludf.DUMMYFUNCTION("""COMPUTED_VALUE"""),"PE 11")</f>
        <v>PE 11</v>
      </c>
      <c r="E2361" s="3">
        <f>IFERROR(__xludf.DUMMYFUNCTION("""COMPUTED_VALUE"""),7.0)</f>
        <v>7</v>
      </c>
      <c r="F2361" s="300">
        <v>1.0</v>
      </c>
      <c r="G2361" s="300">
        <v>1.0</v>
      </c>
      <c r="H2361" s="300">
        <v>1.0</v>
      </c>
      <c r="I2361" s="300">
        <v>1.0</v>
      </c>
      <c r="J2361" s="300">
        <v>1.0</v>
      </c>
      <c r="K2361" s="300">
        <v>1.0</v>
      </c>
      <c r="L2361" s="300">
        <v>1.0</v>
      </c>
      <c r="M2361" s="300">
        <v>1.0</v>
      </c>
      <c r="N2361" s="300">
        <v>8.0</v>
      </c>
      <c r="O2361" s="300" t="s">
        <v>913</v>
      </c>
      <c r="P2361" s="300">
        <v>6.0</v>
      </c>
    </row>
    <row r="2362">
      <c r="A2362">
        <f>IFERROR(__xludf.DUMMYFUNCTION("""COMPUTED_VALUE"""),11.0)</f>
        <v>11</v>
      </c>
      <c r="B2362" s="406">
        <f>IFERROR(__xludf.DUMMYFUNCTION("""COMPUTED_VALUE"""),26023.0)</f>
        <v>26023</v>
      </c>
      <c r="C2362" t="str">
        <f>IFERROR(__xludf.DUMMYFUNCTION("""COMPUTED_VALUE"""),"CORREA VELEZ, ALEJANDRO")</f>
        <v>CORREA VELEZ, ALEJANDRO</v>
      </c>
      <c r="D2362" t="str">
        <f>IFERROR(__xludf.DUMMYFUNCTION("""COMPUTED_VALUE"""),"PE 11")</f>
        <v>PE 11</v>
      </c>
      <c r="E2362" s="3">
        <f>IFERROR(__xludf.DUMMYFUNCTION("""COMPUTED_VALUE"""),2.0)</f>
        <v>2</v>
      </c>
      <c r="F2362" s="300">
        <v>1.0</v>
      </c>
      <c r="G2362" s="300">
        <v>1.0</v>
      </c>
      <c r="H2362" s="300">
        <v>1.0</v>
      </c>
      <c r="I2362" s="300">
        <v>1.0</v>
      </c>
      <c r="J2362" s="300">
        <v>1.0</v>
      </c>
      <c r="K2362" s="300">
        <v>1.0</v>
      </c>
      <c r="L2362" s="300">
        <v>1.0</v>
      </c>
      <c r="M2362" s="300">
        <v>1.0</v>
      </c>
      <c r="N2362" s="300">
        <v>8.0</v>
      </c>
      <c r="O2362" s="300" t="s">
        <v>912</v>
      </c>
      <c r="P2362" s="300">
        <v>6.0</v>
      </c>
    </row>
    <row r="2363">
      <c r="A2363">
        <f>IFERROR(__xludf.DUMMYFUNCTION("""COMPUTED_VALUE"""),11.0)</f>
        <v>11</v>
      </c>
      <c r="B2363" s="406">
        <f>IFERROR(__xludf.DUMMYFUNCTION("""COMPUTED_VALUE"""),27012.0)</f>
        <v>27012</v>
      </c>
      <c r="C2363" t="str">
        <f>IFERROR(__xludf.DUMMYFUNCTION("""COMPUTED_VALUE"""),"ATEHORTUA MORENO, TOMAS")</f>
        <v>ATEHORTUA MORENO, TOMAS</v>
      </c>
      <c r="D2363" t="str">
        <f>IFERROR(__xludf.DUMMYFUNCTION("""COMPUTED_VALUE"""),"PE 11")</f>
        <v>PE 11</v>
      </c>
      <c r="E2363" s="3">
        <f>IFERROR(__xludf.DUMMYFUNCTION("""COMPUTED_VALUE"""),7.0)</f>
        <v>7</v>
      </c>
      <c r="F2363" s="300">
        <v>1.0</v>
      </c>
      <c r="G2363" s="300">
        <v>1.0</v>
      </c>
      <c r="H2363" s="300">
        <v>1.0</v>
      </c>
      <c r="I2363" s="300">
        <v>1.0</v>
      </c>
      <c r="J2363" s="300">
        <v>1.0</v>
      </c>
      <c r="K2363" s="300">
        <v>1.0</v>
      </c>
      <c r="L2363" s="300">
        <v>1.0</v>
      </c>
      <c r="M2363" s="300">
        <v>1.0</v>
      </c>
      <c r="N2363" s="300">
        <v>8.0</v>
      </c>
      <c r="O2363" s="300" t="s">
        <v>913</v>
      </c>
      <c r="P2363" s="300">
        <v>6.0</v>
      </c>
    </row>
    <row r="2364">
      <c r="A2364">
        <f>IFERROR(__xludf.DUMMYFUNCTION("""COMPUTED_VALUE"""),11.0)</f>
        <v>11</v>
      </c>
      <c r="B2364" s="406">
        <f>IFERROR(__xludf.DUMMYFUNCTION("""COMPUTED_VALUE"""),28120.0)</f>
        <v>28120</v>
      </c>
      <c r="C2364" t="str">
        <f>IFERROR(__xludf.DUMMYFUNCTION("""COMPUTED_VALUE"""),"SALCEDO PERICO, JUAN MARTIN")</f>
        <v>SALCEDO PERICO, JUAN MARTIN</v>
      </c>
      <c r="D2364" t="str">
        <f>IFERROR(__xludf.DUMMYFUNCTION("""COMPUTED_VALUE"""),"PE 11")</f>
        <v>PE 11</v>
      </c>
      <c r="E2364" s="3">
        <f>IFERROR(__xludf.DUMMYFUNCTION("""COMPUTED_VALUE"""),7.0)</f>
        <v>7</v>
      </c>
      <c r="F2364" s="300">
        <v>1.0</v>
      </c>
      <c r="G2364" s="300">
        <v>1.0</v>
      </c>
      <c r="H2364" s="300">
        <v>1.0</v>
      </c>
      <c r="I2364" s="300">
        <v>1.0</v>
      </c>
      <c r="J2364" s="300">
        <v>1.0</v>
      </c>
      <c r="K2364" s="300">
        <v>1.0</v>
      </c>
      <c r="L2364" s="300">
        <v>1.0</v>
      </c>
      <c r="M2364" s="300">
        <v>1.0</v>
      </c>
      <c r="N2364" s="300">
        <v>8.0</v>
      </c>
      <c r="O2364" s="300" t="s">
        <v>913</v>
      </c>
      <c r="P2364" s="300">
        <v>6.0</v>
      </c>
    </row>
    <row r="2365">
      <c r="A2365">
        <f>IFERROR(__xludf.DUMMYFUNCTION("""COMPUTED_VALUE"""),11.0)</f>
        <v>11</v>
      </c>
      <c r="B2365" s="406">
        <f>IFERROR(__xludf.DUMMYFUNCTION("""COMPUTED_VALUE"""),27089.0)</f>
        <v>27089</v>
      </c>
      <c r="C2365" t="str">
        <f>IFERROR(__xludf.DUMMYFUNCTION("""COMPUTED_VALUE"""),"PEREZ VELEZ, JERONIMO")</f>
        <v>PEREZ VELEZ, JERONIMO</v>
      </c>
      <c r="D2365" t="str">
        <f>IFERROR(__xludf.DUMMYFUNCTION("""COMPUTED_VALUE"""),"PE 11")</f>
        <v>PE 11</v>
      </c>
      <c r="E2365" s="3">
        <f>IFERROR(__xludf.DUMMYFUNCTION("""COMPUTED_VALUE"""),6.0)</f>
        <v>6</v>
      </c>
      <c r="F2365" s="300">
        <v>1.0</v>
      </c>
      <c r="G2365" s="300">
        <v>1.0</v>
      </c>
      <c r="H2365" s="300">
        <v>1.0</v>
      </c>
      <c r="I2365" s="300">
        <v>1.0</v>
      </c>
      <c r="J2365" s="300">
        <v>1.0</v>
      </c>
      <c r="K2365" s="300">
        <v>1.0</v>
      </c>
      <c r="L2365" s="300">
        <v>1.0</v>
      </c>
      <c r="M2365" s="300">
        <v>1.0</v>
      </c>
      <c r="N2365" s="300">
        <v>8.0</v>
      </c>
      <c r="O2365" s="300" t="s">
        <v>910</v>
      </c>
      <c r="P2365" s="300">
        <v>6.0</v>
      </c>
    </row>
    <row r="2366">
      <c r="A2366">
        <f>IFERROR(__xludf.DUMMYFUNCTION("""COMPUTED_VALUE"""),11.0)</f>
        <v>11</v>
      </c>
      <c r="B2366" s="406">
        <f>IFERROR(__xludf.DUMMYFUNCTION("""COMPUTED_VALUE"""),27142.0)</f>
        <v>27142</v>
      </c>
      <c r="C2366" t="str">
        <f>IFERROR(__xludf.DUMMYFUNCTION("""COMPUTED_VALUE"""),"ECHAVARRIA OCHOA, MARIANA")</f>
        <v>ECHAVARRIA OCHOA, MARIANA</v>
      </c>
      <c r="D2366" t="str">
        <f>IFERROR(__xludf.DUMMYFUNCTION("""COMPUTED_VALUE"""),"PE 11")</f>
        <v>PE 11</v>
      </c>
      <c r="E2366" s="3">
        <f>IFERROR(__xludf.DUMMYFUNCTION("""COMPUTED_VALUE"""),3.0)</f>
        <v>3</v>
      </c>
      <c r="F2366" s="300">
        <v>1.0</v>
      </c>
      <c r="G2366" s="300">
        <v>1.0</v>
      </c>
      <c r="H2366" s="300">
        <v>1.0</v>
      </c>
      <c r="I2366" s="300">
        <v>1.0</v>
      </c>
      <c r="J2366" s="300">
        <v>1.0</v>
      </c>
      <c r="K2366" s="300">
        <v>1.0</v>
      </c>
      <c r="L2366" s="300">
        <v>1.0</v>
      </c>
      <c r="M2366" s="300">
        <v>1.0</v>
      </c>
      <c r="N2366" s="300">
        <v>8.0</v>
      </c>
      <c r="O2366" s="300" t="s">
        <v>909</v>
      </c>
      <c r="P2366" s="300">
        <v>6.0</v>
      </c>
    </row>
    <row r="2367">
      <c r="A2367">
        <f>IFERROR(__xludf.DUMMYFUNCTION("""COMPUTED_VALUE"""),11.0)</f>
        <v>11</v>
      </c>
      <c r="B2367" s="406">
        <f>IFERROR(__xludf.DUMMYFUNCTION("""COMPUTED_VALUE"""),27044.0)</f>
        <v>27044</v>
      </c>
      <c r="C2367" t="str">
        <f>IFERROR(__xludf.DUMMYFUNCTION("""COMPUTED_VALUE"""),"GOMEZ GOMEZ, EMILIO")</f>
        <v>GOMEZ GOMEZ, EMILIO</v>
      </c>
      <c r="D2367" t="str">
        <f>IFERROR(__xludf.DUMMYFUNCTION("""COMPUTED_VALUE"""),"PE 11")</f>
        <v>PE 11</v>
      </c>
      <c r="E2367" s="3">
        <f>IFERROR(__xludf.DUMMYFUNCTION("""COMPUTED_VALUE"""),2.0)</f>
        <v>2</v>
      </c>
      <c r="F2367" s="300">
        <v>1.0</v>
      </c>
      <c r="G2367" s="300">
        <v>1.0</v>
      </c>
      <c r="H2367" s="300">
        <v>1.0</v>
      </c>
      <c r="I2367" s="300">
        <v>1.0</v>
      </c>
      <c r="J2367" s="300">
        <v>1.0</v>
      </c>
      <c r="K2367" s="300">
        <v>1.0</v>
      </c>
      <c r="L2367" s="300">
        <v>1.0</v>
      </c>
      <c r="M2367" s="300">
        <v>1.0</v>
      </c>
      <c r="N2367" s="300">
        <v>8.0</v>
      </c>
      <c r="O2367" s="300" t="s">
        <v>912</v>
      </c>
      <c r="P2367" s="300">
        <v>6.0</v>
      </c>
    </row>
    <row r="2368">
      <c r="A2368">
        <f>IFERROR(__xludf.DUMMYFUNCTION("""COMPUTED_VALUE"""),11.0)</f>
        <v>11</v>
      </c>
      <c r="B2368" s="406">
        <f>IFERROR(__xludf.DUMMYFUNCTION("""COMPUTED_VALUE"""),27029.0)</f>
        <v>27029</v>
      </c>
      <c r="C2368" t="str">
        <f>IFERROR(__xludf.DUMMYFUNCTION("""COMPUTED_VALUE"""),"DUQUE OCHOA, MARIANA")</f>
        <v>DUQUE OCHOA, MARIANA</v>
      </c>
      <c r="D2368" t="str">
        <f>IFERROR(__xludf.DUMMYFUNCTION("""COMPUTED_VALUE"""),"PE 11")</f>
        <v>PE 11</v>
      </c>
      <c r="E2368" s="3">
        <f>IFERROR(__xludf.DUMMYFUNCTION("""COMPUTED_VALUE"""),6.0)</f>
        <v>6</v>
      </c>
      <c r="F2368" s="300">
        <v>1.0</v>
      </c>
      <c r="G2368" s="300">
        <v>1.0</v>
      </c>
      <c r="H2368" s="300">
        <v>1.0</v>
      </c>
      <c r="I2368" s="300">
        <v>1.0</v>
      </c>
      <c r="J2368" s="300">
        <v>1.0</v>
      </c>
      <c r="K2368" s="300">
        <v>1.0</v>
      </c>
      <c r="L2368" s="300">
        <v>1.0</v>
      </c>
      <c r="M2368" s="300">
        <v>1.0</v>
      </c>
      <c r="N2368" s="300">
        <v>8.0</v>
      </c>
      <c r="O2368" s="300" t="s">
        <v>910</v>
      </c>
      <c r="P2368" s="300">
        <v>6.0</v>
      </c>
    </row>
    <row r="2369">
      <c r="A2369">
        <f>IFERROR(__xludf.DUMMYFUNCTION("""COMPUTED_VALUE"""),11.0)</f>
        <v>11</v>
      </c>
      <c r="B2369" s="406">
        <f>IFERROR(__xludf.DUMMYFUNCTION("""COMPUTED_VALUE"""),27036.0)</f>
        <v>27036</v>
      </c>
      <c r="C2369" t="str">
        <f>IFERROR(__xludf.DUMMYFUNCTION("""COMPUTED_VALUE"""),"FERNANDEZ DUQUE, BENJAMIN")</f>
        <v>FERNANDEZ DUQUE, BENJAMIN</v>
      </c>
      <c r="D2369" t="str">
        <f>IFERROR(__xludf.DUMMYFUNCTION("""COMPUTED_VALUE"""),"PE 11")</f>
        <v>PE 11</v>
      </c>
      <c r="E2369" s="3">
        <f>IFERROR(__xludf.DUMMYFUNCTION("""COMPUTED_VALUE"""),6.0)</f>
        <v>6</v>
      </c>
      <c r="F2369" s="300">
        <v>1.0</v>
      </c>
      <c r="G2369" s="300">
        <v>1.0</v>
      </c>
      <c r="H2369" s="300">
        <v>1.0</v>
      </c>
      <c r="I2369" s="300">
        <v>1.0</v>
      </c>
      <c r="J2369" s="300">
        <v>1.0</v>
      </c>
      <c r="K2369" s="300">
        <v>1.0</v>
      </c>
      <c r="L2369" s="300">
        <v>1.0</v>
      </c>
      <c r="M2369" s="300">
        <v>1.0</v>
      </c>
      <c r="N2369" s="300">
        <v>8.0</v>
      </c>
      <c r="O2369" s="300" t="s">
        <v>910</v>
      </c>
      <c r="P2369" s="300">
        <v>6.0</v>
      </c>
    </row>
    <row r="2370">
      <c r="A2370">
        <f>IFERROR(__xludf.DUMMYFUNCTION("""COMPUTED_VALUE"""),11.0)</f>
        <v>11</v>
      </c>
      <c r="B2370" s="406">
        <f>IFERROR(__xludf.DUMMYFUNCTION("""COMPUTED_VALUE"""),27076.0)</f>
        <v>27076</v>
      </c>
      <c r="C2370" t="str">
        <f>IFERROR(__xludf.DUMMYFUNCTION("""COMPUTED_VALUE"""),"MORA SERANI, LAURA")</f>
        <v>MORA SERANI, LAURA</v>
      </c>
      <c r="D2370" t="str">
        <f>IFERROR(__xludf.DUMMYFUNCTION("""COMPUTED_VALUE"""),"PE 11")</f>
        <v>PE 11</v>
      </c>
      <c r="E2370" s="3">
        <f>IFERROR(__xludf.DUMMYFUNCTION("""COMPUTED_VALUE"""),2.0)</f>
        <v>2</v>
      </c>
      <c r="F2370" s="300">
        <v>1.0</v>
      </c>
      <c r="G2370" s="300">
        <v>1.0</v>
      </c>
      <c r="H2370" s="300">
        <v>1.0</v>
      </c>
      <c r="I2370" s="300">
        <v>1.0</v>
      </c>
      <c r="J2370" s="300">
        <v>1.0</v>
      </c>
      <c r="K2370" s="300">
        <v>1.0</v>
      </c>
      <c r="L2370" s="300">
        <v>1.0</v>
      </c>
      <c r="M2370" s="300">
        <v>1.0</v>
      </c>
      <c r="N2370" s="300">
        <v>8.0</v>
      </c>
      <c r="O2370" s="300" t="s">
        <v>912</v>
      </c>
      <c r="P2370" s="300">
        <v>6.0</v>
      </c>
    </row>
    <row r="2371">
      <c r="A2371">
        <f>IFERROR(__xludf.DUMMYFUNCTION("""COMPUTED_VALUE"""),11.0)</f>
        <v>11</v>
      </c>
      <c r="B2371" s="406">
        <f>IFERROR(__xludf.DUMMYFUNCTION("""COMPUTED_VALUE"""),26024.0)</f>
        <v>26024</v>
      </c>
      <c r="C2371" t="str">
        <f>IFERROR(__xludf.DUMMYFUNCTION("""COMPUTED_VALUE"""),"DIAZ RIVERA, TOMAS")</f>
        <v>DIAZ RIVERA, TOMAS</v>
      </c>
      <c r="D2371" t="str">
        <f>IFERROR(__xludf.DUMMYFUNCTION("""COMPUTED_VALUE"""),"PE 11")</f>
        <v>PE 11</v>
      </c>
      <c r="E2371" s="3">
        <f>IFERROR(__xludf.DUMMYFUNCTION("""COMPUTED_VALUE"""),7.0)</f>
        <v>7</v>
      </c>
      <c r="F2371" s="300">
        <v>1.0</v>
      </c>
      <c r="G2371" s="300">
        <v>1.0</v>
      </c>
      <c r="H2371" s="300">
        <v>1.0</v>
      </c>
      <c r="I2371" s="300">
        <v>1.0</v>
      </c>
      <c r="J2371" s="300">
        <v>1.0</v>
      </c>
      <c r="K2371" s="300">
        <v>1.0</v>
      </c>
      <c r="L2371" s="300">
        <v>1.0</v>
      </c>
      <c r="M2371" s="300">
        <v>1.0</v>
      </c>
      <c r="N2371" s="300">
        <v>8.0</v>
      </c>
      <c r="O2371" s="300" t="s">
        <v>913</v>
      </c>
      <c r="P2371" s="300">
        <v>6.0</v>
      </c>
    </row>
    <row r="2372">
      <c r="A2372">
        <f>IFERROR(__xludf.DUMMYFUNCTION("""COMPUTED_VALUE"""),11.0)</f>
        <v>11</v>
      </c>
      <c r="B2372" s="406">
        <f>IFERROR(__xludf.DUMMYFUNCTION("""COMPUTED_VALUE"""),27067.0)</f>
        <v>27067</v>
      </c>
      <c r="C2372" t="str">
        <f>IFERROR(__xludf.DUMMYFUNCTION("""COMPUTED_VALUE"""),"MENDIVELSO JARAMILLO, SAMUEL")</f>
        <v>MENDIVELSO JARAMILLO, SAMUEL</v>
      </c>
      <c r="D2372" t="str">
        <f>IFERROR(__xludf.DUMMYFUNCTION("""COMPUTED_VALUE"""),"PE 11")</f>
        <v>PE 11</v>
      </c>
      <c r="E2372" s="3">
        <f>IFERROR(__xludf.DUMMYFUNCTION("""COMPUTED_VALUE"""),4.0)</f>
        <v>4</v>
      </c>
      <c r="F2372" s="300">
        <v>1.0</v>
      </c>
      <c r="G2372" s="300">
        <v>1.0</v>
      </c>
      <c r="H2372" s="300">
        <v>1.0</v>
      </c>
      <c r="I2372" s="300">
        <v>1.0</v>
      </c>
      <c r="J2372" s="300">
        <v>1.0</v>
      </c>
      <c r="K2372" s="300">
        <v>1.0</v>
      </c>
      <c r="L2372" s="300">
        <v>1.0</v>
      </c>
      <c r="M2372" s="300">
        <v>1.0</v>
      </c>
      <c r="N2372" s="300">
        <v>8.0</v>
      </c>
      <c r="O2372" s="300" t="s">
        <v>908</v>
      </c>
      <c r="P2372" s="300">
        <v>6.0</v>
      </c>
    </row>
    <row r="2373">
      <c r="A2373">
        <f>IFERROR(__xludf.DUMMYFUNCTION("""COMPUTED_VALUE"""),11.0)</f>
        <v>11</v>
      </c>
      <c r="B2373" s="406">
        <f>IFERROR(__xludf.DUMMYFUNCTION("""COMPUTED_VALUE"""),27048.0)</f>
        <v>27048</v>
      </c>
      <c r="C2373" t="str">
        <f>IFERROR(__xludf.DUMMYFUNCTION("""COMPUTED_VALUE"""),"HARRY DURAN, MANUELA")</f>
        <v>HARRY DURAN, MANUELA</v>
      </c>
      <c r="D2373" t="str">
        <f>IFERROR(__xludf.DUMMYFUNCTION("""COMPUTED_VALUE"""),"PE 11")</f>
        <v>PE 11</v>
      </c>
      <c r="E2373" s="3">
        <f>IFERROR(__xludf.DUMMYFUNCTION("""COMPUTED_VALUE"""),1.0)</f>
        <v>1</v>
      </c>
      <c r="F2373" s="300">
        <v>1.0</v>
      </c>
      <c r="G2373" s="300">
        <v>1.0</v>
      </c>
      <c r="H2373" s="300">
        <v>1.0</v>
      </c>
      <c r="I2373" s="300">
        <v>1.0</v>
      </c>
      <c r="J2373" s="300">
        <v>1.0</v>
      </c>
      <c r="K2373" s="300">
        <v>1.0</v>
      </c>
      <c r="L2373" s="300">
        <v>1.0</v>
      </c>
      <c r="M2373" s="300">
        <v>1.0</v>
      </c>
      <c r="N2373" s="300">
        <v>8.0</v>
      </c>
      <c r="O2373" s="300" t="s">
        <v>911</v>
      </c>
      <c r="P2373" s="300">
        <v>6.0</v>
      </c>
    </row>
    <row r="2374">
      <c r="A2374">
        <f>IFERROR(__xludf.DUMMYFUNCTION("""COMPUTED_VALUE"""),11.0)</f>
        <v>11</v>
      </c>
      <c r="B2374" s="406">
        <f>IFERROR(__xludf.DUMMYFUNCTION("""COMPUTED_VALUE"""),27132.0)</f>
        <v>27132</v>
      </c>
      <c r="C2374" t="str">
        <f>IFERROR(__xludf.DUMMYFUNCTION("""COMPUTED_VALUE"""),"BARRERA GUZMAN, DANIELA")</f>
        <v>BARRERA GUZMAN, DANIELA</v>
      </c>
      <c r="D2374" t="str">
        <f>IFERROR(__xludf.DUMMYFUNCTION("""COMPUTED_VALUE"""),"PE 11")</f>
        <v>PE 11</v>
      </c>
      <c r="E2374" s="3">
        <f>IFERROR(__xludf.DUMMYFUNCTION("""COMPUTED_VALUE"""),6.0)</f>
        <v>6</v>
      </c>
      <c r="F2374" s="300">
        <v>1.0</v>
      </c>
      <c r="G2374" s="300">
        <v>1.0</v>
      </c>
      <c r="H2374" s="300">
        <v>1.0</v>
      </c>
      <c r="I2374" s="300">
        <v>1.0</v>
      </c>
      <c r="J2374" s="300">
        <v>1.0</v>
      </c>
      <c r="K2374" s="300">
        <v>1.0</v>
      </c>
      <c r="L2374" s="300">
        <v>1.0</v>
      </c>
      <c r="M2374" s="300">
        <v>1.0</v>
      </c>
      <c r="N2374" s="300">
        <v>8.0</v>
      </c>
      <c r="O2374" s="300" t="s">
        <v>910</v>
      </c>
      <c r="P2374" s="300">
        <v>6.0</v>
      </c>
    </row>
    <row r="2375">
      <c r="A2375">
        <f>IFERROR(__xludf.DUMMYFUNCTION("""COMPUTED_VALUE"""),11.0)</f>
        <v>11</v>
      </c>
      <c r="B2375" s="406">
        <f>IFERROR(__xludf.DUMMYFUNCTION("""COMPUTED_VALUE"""),27107.0)</f>
        <v>27107</v>
      </c>
      <c r="C2375" t="str">
        <f>IFERROR(__xludf.DUMMYFUNCTION("""COMPUTED_VALUE"""),"SANIN VELASQUEZ, MONTSERRAT")</f>
        <v>SANIN VELASQUEZ, MONTSERRAT</v>
      </c>
      <c r="D2375" t="str">
        <f>IFERROR(__xludf.DUMMYFUNCTION("""COMPUTED_VALUE"""),"PE 11")</f>
        <v>PE 11</v>
      </c>
      <c r="E2375" s="3">
        <f>IFERROR(__xludf.DUMMYFUNCTION("""COMPUTED_VALUE"""),7.0)</f>
        <v>7</v>
      </c>
      <c r="F2375" s="300">
        <v>1.0</v>
      </c>
      <c r="G2375" s="300">
        <v>1.0</v>
      </c>
      <c r="H2375" s="300">
        <v>1.0</v>
      </c>
      <c r="I2375" s="300">
        <v>1.0</v>
      </c>
      <c r="J2375" s="300">
        <v>1.0</v>
      </c>
      <c r="K2375" s="300">
        <v>1.0</v>
      </c>
      <c r="L2375" s="300">
        <v>1.0</v>
      </c>
      <c r="M2375" s="300">
        <v>1.0</v>
      </c>
      <c r="N2375" s="300">
        <v>8.0</v>
      </c>
      <c r="O2375" s="300" t="s">
        <v>913</v>
      </c>
      <c r="P2375" s="300">
        <v>6.0</v>
      </c>
    </row>
    <row r="2376">
      <c r="A2376">
        <f>IFERROR(__xludf.DUMMYFUNCTION("""COMPUTED_VALUE"""),11.0)</f>
        <v>11</v>
      </c>
      <c r="B2376" s="406">
        <f>IFERROR(__xludf.DUMMYFUNCTION("""COMPUTED_VALUE"""),27134.0)</f>
        <v>27134</v>
      </c>
      <c r="C2376" t="str">
        <f>IFERROR(__xludf.DUMMYFUNCTION("""COMPUTED_VALUE"""),"MONTOYA JARAMILLO, TOMAS")</f>
        <v>MONTOYA JARAMILLO, TOMAS</v>
      </c>
      <c r="D2376" t="str">
        <f>IFERROR(__xludf.DUMMYFUNCTION("""COMPUTED_VALUE"""),"PE 11")</f>
        <v>PE 11</v>
      </c>
      <c r="E2376" s="3">
        <f>IFERROR(__xludf.DUMMYFUNCTION("""COMPUTED_VALUE"""),2.0)</f>
        <v>2</v>
      </c>
      <c r="F2376" s="300">
        <v>1.0</v>
      </c>
      <c r="G2376" s="300">
        <v>1.0</v>
      </c>
      <c r="H2376" s="300">
        <v>1.0</v>
      </c>
      <c r="I2376" s="300">
        <v>1.0</v>
      </c>
      <c r="J2376" s="300">
        <v>1.0</v>
      </c>
      <c r="K2376" s="300">
        <v>1.0</v>
      </c>
      <c r="L2376" s="300">
        <v>1.0</v>
      </c>
      <c r="M2376" s="300">
        <v>1.0</v>
      </c>
      <c r="N2376" s="300">
        <v>8.0</v>
      </c>
      <c r="O2376" s="300" t="s">
        <v>912</v>
      </c>
      <c r="P2376" s="300">
        <v>6.0</v>
      </c>
    </row>
    <row r="2377">
      <c r="A2377">
        <f>IFERROR(__xludf.DUMMYFUNCTION("""COMPUTED_VALUE"""),11.0)</f>
        <v>11</v>
      </c>
      <c r="B2377" s="406">
        <f>IFERROR(__xludf.DUMMYFUNCTION("""COMPUTED_VALUE"""),27126.0)</f>
        <v>27126</v>
      </c>
      <c r="C2377" t="str">
        <f>IFERROR(__xludf.DUMMYFUNCTION("""COMPUTED_VALUE"""),"YACAMAN RESTREPO, PEDRO")</f>
        <v>YACAMAN RESTREPO, PEDRO</v>
      </c>
      <c r="D2377" t="str">
        <f>IFERROR(__xludf.DUMMYFUNCTION("""COMPUTED_VALUE"""),"PE 11")</f>
        <v>PE 11</v>
      </c>
      <c r="E2377" s="3">
        <f>IFERROR(__xludf.DUMMYFUNCTION("""COMPUTED_VALUE"""),3.0)</f>
        <v>3</v>
      </c>
      <c r="F2377" s="300">
        <v>1.0</v>
      </c>
      <c r="G2377" s="300">
        <v>1.0</v>
      </c>
      <c r="H2377" s="300">
        <v>1.0</v>
      </c>
      <c r="I2377" s="300">
        <v>1.0</v>
      </c>
      <c r="J2377" s="300">
        <v>1.0</v>
      </c>
      <c r="K2377" s="300">
        <v>1.0</v>
      </c>
      <c r="L2377" s="300">
        <v>1.0</v>
      </c>
      <c r="M2377" s="300">
        <v>1.0</v>
      </c>
      <c r="N2377" s="300">
        <v>8.0</v>
      </c>
      <c r="O2377" s="300" t="s">
        <v>909</v>
      </c>
      <c r="P2377" s="300">
        <v>6.0</v>
      </c>
    </row>
    <row r="2378">
      <c r="A2378">
        <f>IFERROR(__xludf.DUMMYFUNCTION("""COMPUTED_VALUE"""),11.0)</f>
        <v>11</v>
      </c>
      <c r="B2378" s="406">
        <f>IFERROR(__xludf.DUMMYFUNCTION("""COMPUTED_VALUE"""),27114.0)</f>
        <v>27114</v>
      </c>
      <c r="C2378" t="str">
        <f>IFERROR(__xludf.DUMMYFUNCTION("""COMPUTED_VALUE"""),"TORO PEREZ, CRISTOBAL")</f>
        <v>TORO PEREZ, CRISTOBAL</v>
      </c>
      <c r="D2378" t="str">
        <f>IFERROR(__xludf.DUMMYFUNCTION("""COMPUTED_VALUE"""),"PE 11")</f>
        <v>PE 11</v>
      </c>
      <c r="E2378" s="3">
        <f>IFERROR(__xludf.DUMMYFUNCTION("""COMPUTED_VALUE"""),7.0)</f>
        <v>7</v>
      </c>
      <c r="F2378" s="300">
        <v>1.0</v>
      </c>
      <c r="G2378" s="300">
        <v>1.0</v>
      </c>
      <c r="H2378" s="300">
        <v>1.0</v>
      </c>
      <c r="I2378" s="300">
        <v>1.0</v>
      </c>
      <c r="J2378" s="300">
        <v>1.0</v>
      </c>
      <c r="K2378" s="300">
        <v>1.0</v>
      </c>
      <c r="L2378" s="300">
        <v>1.0</v>
      </c>
      <c r="M2378" s="300">
        <v>1.0</v>
      </c>
      <c r="N2378" s="300">
        <v>8.0</v>
      </c>
      <c r="O2378" s="300" t="s">
        <v>913</v>
      </c>
      <c r="P2378" s="300">
        <v>6.0</v>
      </c>
    </row>
    <row r="2379">
      <c r="A2379">
        <f>IFERROR(__xludf.DUMMYFUNCTION("""COMPUTED_VALUE"""),11.0)</f>
        <v>11</v>
      </c>
      <c r="B2379" s="406">
        <f>IFERROR(__xludf.DUMMYFUNCTION("""COMPUTED_VALUE"""),26106.0)</f>
        <v>26106</v>
      </c>
      <c r="C2379" t="str">
        <f>IFERROR(__xludf.DUMMYFUNCTION("""COMPUTED_VALUE"""),"ROMERO LOPERA, JUAN SEBASTIAN")</f>
        <v>ROMERO LOPERA, JUAN SEBASTIAN</v>
      </c>
      <c r="D2379" t="str">
        <f>IFERROR(__xludf.DUMMYFUNCTION("""COMPUTED_VALUE"""),"PE 11")</f>
        <v>PE 11</v>
      </c>
      <c r="E2379" s="3">
        <f>IFERROR(__xludf.DUMMYFUNCTION("""COMPUTED_VALUE"""),3.0)</f>
        <v>3</v>
      </c>
      <c r="F2379" s="300">
        <v>1.0</v>
      </c>
      <c r="G2379" s="300">
        <v>1.0</v>
      </c>
      <c r="H2379" s="300">
        <v>1.0</v>
      </c>
      <c r="I2379" s="300">
        <v>1.0</v>
      </c>
      <c r="J2379" s="300">
        <v>1.0</v>
      </c>
      <c r="K2379" s="300">
        <v>1.0</v>
      </c>
      <c r="L2379" s="300">
        <v>1.0</v>
      </c>
      <c r="M2379" s="300">
        <v>1.0</v>
      </c>
      <c r="N2379" s="300">
        <v>8.0</v>
      </c>
      <c r="O2379" s="300" t="s">
        <v>909</v>
      </c>
      <c r="P2379" s="300">
        <v>6.0</v>
      </c>
    </row>
    <row r="2380">
      <c r="A2380">
        <f>IFERROR(__xludf.DUMMYFUNCTION("""COMPUTED_VALUE"""),11.0)</f>
        <v>11</v>
      </c>
      <c r="B2380" s="406">
        <f>IFERROR(__xludf.DUMMYFUNCTION("""COMPUTED_VALUE"""),27014.0)</f>
        <v>27014</v>
      </c>
      <c r="C2380" t="str">
        <f>IFERROR(__xludf.DUMMYFUNCTION("""COMPUTED_VALUE"""),"BEDOYA JIMENEZ, NICOLAS")</f>
        <v>BEDOYA JIMENEZ, NICOLAS</v>
      </c>
      <c r="D2380" t="str">
        <f>IFERROR(__xludf.DUMMYFUNCTION("""COMPUTED_VALUE"""),"PE 11")</f>
        <v>PE 11</v>
      </c>
      <c r="E2380" s="3">
        <f>IFERROR(__xludf.DUMMYFUNCTION("""COMPUTED_VALUE"""),1.0)</f>
        <v>1</v>
      </c>
      <c r="F2380" s="300">
        <v>1.0</v>
      </c>
      <c r="G2380" s="300">
        <v>1.0</v>
      </c>
      <c r="H2380" s="300">
        <v>1.0</v>
      </c>
      <c r="I2380" s="300">
        <v>1.0</v>
      </c>
      <c r="J2380" s="300">
        <v>1.0</v>
      </c>
      <c r="K2380" s="300">
        <v>1.0</v>
      </c>
      <c r="L2380" s="300">
        <v>1.0</v>
      </c>
      <c r="M2380" s="300">
        <v>1.0</v>
      </c>
      <c r="N2380" s="300">
        <v>8.0</v>
      </c>
      <c r="O2380" s="300" t="s">
        <v>911</v>
      </c>
      <c r="P2380" s="300">
        <v>6.0</v>
      </c>
    </row>
    <row r="2381">
      <c r="A2381">
        <f>IFERROR(__xludf.DUMMYFUNCTION("""COMPUTED_VALUE"""),11.0)</f>
        <v>11</v>
      </c>
      <c r="B2381" s="406">
        <f>IFERROR(__xludf.DUMMYFUNCTION("""COMPUTED_VALUE"""),27160.0)</f>
        <v>27160</v>
      </c>
      <c r="C2381" t="str">
        <f>IFERROR(__xludf.DUMMYFUNCTION("""COMPUTED_VALUE"""),"SUDETTI, ISABELLA")</f>
        <v>SUDETTI, ISABELLA</v>
      </c>
      <c r="D2381" t="str">
        <f>IFERROR(__xludf.DUMMYFUNCTION("""COMPUTED_VALUE"""),"PE 11")</f>
        <v>PE 11</v>
      </c>
      <c r="E2381" s="3">
        <f>IFERROR(__xludf.DUMMYFUNCTION("""COMPUTED_VALUE"""),1.0)</f>
        <v>1</v>
      </c>
      <c r="F2381" s="300">
        <v>1.0</v>
      </c>
      <c r="G2381" s="300">
        <v>1.0</v>
      </c>
      <c r="H2381" s="300">
        <v>1.0</v>
      </c>
      <c r="I2381" s="300">
        <v>1.0</v>
      </c>
      <c r="J2381" s="300">
        <v>1.0</v>
      </c>
      <c r="K2381" s="300">
        <v>1.0</v>
      </c>
      <c r="L2381" s="300">
        <v>1.0</v>
      </c>
      <c r="M2381" s="300">
        <v>1.0</v>
      </c>
      <c r="N2381" s="300">
        <v>8.0</v>
      </c>
      <c r="O2381" s="300" t="s">
        <v>911</v>
      </c>
      <c r="P2381" s="300">
        <v>6.0</v>
      </c>
    </row>
    <row r="2382">
      <c r="A2382">
        <f>IFERROR(__xludf.DUMMYFUNCTION("""COMPUTED_VALUE"""),11.0)</f>
        <v>11</v>
      </c>
      <c r="B2382" s="406">
        <f>IFERROR(__xludf.DUMMYFUNCTION("""COMPUTED_VALUE"""),27030.0)</f>
        <v>27030</v>
      </c>
      <c r="C2382" t="str">
        <f>IFERROR(__xludf.DUMMYFUNCTION("""COMPUTED_VALUE"""),"DURAN CALAD, PABLO")</f>
        <v>DURAN CALAD, PABLO</v>
      </c>
      <c r="D2382" t="str">
        <f>IFERROR(__xludf.DUMMYFUNCTION("""COMPUTED_VALUE"""),"PE 11")</f>
        <v>PE 11</v>
      </c>
      <c r="E2382" s="3">
        <f>IFERROR(__xludf.DUMMYFUNCTION("""COMPUTED_VALUE"""),2.0)</f>
        <v>2</v>
      </c>
      <c r="F2382" s="300">
        <v>1.0</v>
      </c>
      <c r="G2382" s="300">
        <v>1.0</v>
      </c>
      <c r="H2382" s="300">
        <v>1.0</v>
      </c>
      <c r="I2382" s="300">
        <v>1.0</v>
      </c>
      <c r="J2382" s="300">
        <v>1.0</v>
      </c>
      <c r="K2382" s="300">
        <v>1.0</v>
      </c>
      <c r="L2382" s="300">
        <v>1.0</v>
      </c>
      <c r="M2382" s="300">
        <v>1.0</v>
      </c>
      <c r="N2382" s="300">
        <v>8.0</v>
      </c>
      <c r="O2382" s="300" t="s">
        <v>912</v>
      </c>
      <c r="P2382" s="300">
        <v>6.0</v>
      </c>
    </row>
    <row r="2383">
      <c r="A2383">
        <f>IFERROR(__xludf.DUMMYFUNCTION("""COMPUTED_VALUE"""),11.0)</f>
        <v>11</v>
      </c>
      <c r="B2383" s="406">
        <f>IFERROR(__xludf.DUMMYFUNCTION("""COMPUTED_VALUE"""),27023.0)</f>
        <v>27023</v>
      </c>
      <c r="C2383" t="str">
        <f>IFERROR(__xludf.DUMMYFUNCTION("""COMPUTED_VALUE"""),"CASTAÑO VASQUEZ, DANIEL")</f>
        <v>CASTAÑO VASQUEZ, DANIEL</v>
      </c>
      <c r="D2383" t="str">
        <f>IFERROR(__xludf.DUMMYFUNCTION("""COMPUTED_VALUE"""),"PE 11")</f>
        <v>PE 11</v>
      </c>
      <c r="E2383" s="3">
        <f>IFERROR(__xludf.DUMMYFUNCTION("""COMPUTED_VALUE"""),4.0)</f>
        <v>4</v>
      </c>
      <c r="F2383" s="300">
        <v>1.0</v>
      </c>
      <c r="G2383" s="300">
        <v>1.0</v>
      </c>
      <c r="H2383" s="300">
        <v>1.0</v>
      </c>
      <c r="I2383" s="300">
        <v>1.0</v>
      </c>
      <c r="J2383" s="300">
        <v>1.0</v>
      </c>
      <c r="K2383" s="300">
        <v>1.0</v>
      </c>
      <c r="L2383" s="300">
        <v>1.0</v>
      </c>
      <c r="M2383" s="300">
        <v>1.0</v>
      </c>
      <c r="N2383" s="300">
        <v>8.0</v>
      </c>
      <c r="O2383" s="300" t="s">
        <v>908</v>
      </c>
      <c r="P2383" s="300">
        <v>6.0</v>
      </c>
    </row>
    <row r="2384">
      <c r="A2384">
        <f>IFERROR(__xludf.DUMMYFUNCTION("""COMPUTED_VALUE"""),11.0)</f>
        <v>11</v>
      </c>
      <c r="B2384" s="406">
        <f>IFERROR(__xludf.DUMMYFUNCTION("""COMPUTED_VALUE"""),27138.0)</f>
        <v>27138</v>
      </c>
      <c r="C2384" t="str">
        <f>IFERROR(__xludf.DUMMYFUNCTION("""COMPUTED_VALUE"""),"ALMEIDA CARMONA, LUISA MARIA")</f>
        <v>ALMEIDA CARMONA, LUISA MARIA</v>
      </c>
      <c r="D2384" t="str">
        <f>IFERROR(__xludf.DUMMYFUNCTION("""COMPUTED_VALUE"""),"PE 11")</f>
        <v>PE 11</v>
      </c>
      <c r="E2384" s="3">
        <f>IFERROR(__xludf.DUMMYFUNCTION("""COMPUTED_VALUE"""),3.0)</f>
        <v>3</v>
      </c>
      <c r="F2384" s="300">
        <v>1.0</v>
      </c>
      <c r="G2384" s="300">
        <v>1.0</v>
      </c>
      <c r="H2384" s="300">
        <v>1.0</v>
      </c>
      <c r="I2384" s="300">
        <v>1.0</v>
      </c>
      <c r="J2384" s="300">
        <v>1.0</v>
      </c>
      <c r="K2384" s="300">
        <v>1.0</v>
      </c>
      <c r="L2384" s="300">
        <v>1.0</v>
      </c>
      <c r="M2384" s="300">
        <v>1.0</v>
      </c>
      <c r="N2384" s="300">
        <v>8.0</v>
      </c>
      <c r="O2384" s="300" t="s">
        <v>909</v>
      </c>
      <c r="P2384" s="300">
        <v>6.0</v>
      </c>
    </row>
    <row r="2385">
      <c r="A2385">
        <f>IFERROR(__xludf.DUMMYFUNCTION("""COMPUTED_VALUE"""),11.0)</f>
        <v>11</v>
      </c>
      <c r="B2385" s="406">
        <f>IFERROR(__xludf.DUMMYFUNCTION("""COMPUTED_VALUE"""),27091.0)</f>
        <v>27091</v>
      </c>
      <c r="C2385" t="str">
        <f>IFERROR(__xludf.DUMMYFUNCTION("""COMPUTED_VALUE"""),"PUERTA PAZ, DAVID")</f>
        <v>PUERTA PAZ, DAVID</v>
      </c>
      <c r="D2385" t="str">
        <f>IFERROR(__xludf.DUMMYFUNCTION("""COMPUTED_VALUE"""),"PE 11")</f>
        <v>PE 11</v>
      </c>
      <c r="E2385" s="3">
        <f>IFERROR(__xludf.DUMMYFUNCTION("""COMPUTED_VALUE"""),4.0)</f>
        <v>4</v>
      </c>
      <c r="F2385" s="300">
        <v>1.0</v>
      </c>
      <c r="G2385" s="300">
        <v>1.0</v>
      </c>
      <c r="H2385" s="300">
        <v>1.0</v>
      </c>
      <c r="I2385" s="300">
        <v>1.0</v>
      </c>
      <c r="J2385" s="300">
        <v>1.0</v>
      </c>
      <c r="K2385" s="300">
        <v>1.0</v>
      </c>
      <c r="L2385" s="300">
        <v>1.0</v>
      </c>
      <c r="M2385" s="300">
        <v>1.0</v>
      </c>
      <c r="N2385" s="300">
        <v>8.0</v>
      </c>
      <c r="O2385" s="300" t="s">
        <v>908</v>
      </c>
      <c r="P2385" s="300">
        <v>6.0</v>
      </c>
    </row>
    <row r="2386">
      <c r="A2386">
        <f>IFERROR(__xludf.DUMMYFUNCTION("""COMPUTED_VALUE"""),11.0)</f>
        <v>11</v>
      </c>
      <c r="B2386" s="406">
        <f>IFERROR(__xludf.DUMMYFUNCTION("""COMPUTED_VALUE"""),27063.0)</f>
        <v>27063</v>
      </c>
      <c r="C2386" t="str">
        <f>IFERROR(__xludf.DUMMYFUNCTION("""COMPUTED_VALUE"""),"MARTINEZ AGUILAR, ALICIA")</f>
        <v>MARTINEZ AGUILAR, ALICIA</v>
      </c>
      <c r="D2386" t="str">
        <f>IFERROR(__xludf.DUMMYFUNCTION("""COMPUTED_VALUE"""),"PE 11")</f>
        <v>PE 11</v>
      </c>
      <c r="E2386" s="3">
        <f>IFERROR(__xludf.DUMMYFUNCTION("""COMPUTED_VALUE"""),2.0)</f>
        <v>2</v>
      </c>
      <c r="F2386" s="300">
        <v>1.0</v>
      </c>
      <c r="G2386" s="300">
        <v>1.0</v>
      </c>
      <c r="H2386" s="300">
        <v>1.0</v>
      </c>
      <c r="I2386" s="300">
        <v>1.0</v>
      </c>
      <c r="J2386" s="300">
        <v>1.0</v>
      </c>
      <c r="K2386" s="300">
        <v>1.0</v>
      </c>
      <c r="L2386" s="300">
        <v>1.0</v>
      </c>
      <c r="M2386" s="300">
        <v>1.0</v>
      </c>
      <c r="N2386" s="300">
        <v>8.0</v>
      </c>
      <c r="O2386" s="300" t="s">
        <v>912</v>
      </c>
      <c r="P2386" s="300">
        <v>6.0</v>
      </c>
    </row>
    <row r="2387">
      <c r="A2387">
        <f>IFERROR(__xludf.DUMMYFUNCTION("""COMPUTED_VALUE"""),11.0)</f>
        <v>11</v>
      </c>
      <c r="B2387" s="406">
        <f>IFERROR(__xludf.DUMMYFUNCTION("""COMPUTED_VALUE"""),27147.0)</f>
        <v>27147</v>
      </c>
      <c r="C2387" t="str">
        <f>IFERROR(__xludf.DUMMYFUNCTION("""COMPUTED_VALUE"""),"MESA FLOREZ, SALOMON")</f>
        <v>MESA FLOREZ, SALOMON</v>
      </c>
      <c r="D2387" t="str">
        <f>IFERROR(__xludf.DUMMYFUNCTION("""COMPUTED_VALUE"""),"PE 11")</f>
        <v>PE 11</v>
      </c>
      <c r="E2387" s="3">
        <f>IFERROR(__xludf.DUMMYFUNCTION("""COMPUTED_VALUE"""),4.0)</f>
        <v>4</v>
      </c>
      <c r="F2387" s="300">
        <v>1.0</v>
      </c>
      <c r="G2387" s="300">
        <v>1.0</v>
      </c>
      <c r="H2387" s="300">
        <v>1.0</v>
      </c>
      <c r="I2387" s="300">
        <v>1.0</v>
      </c>
      <c r="J2387" s="300">
        <v>1.0</v>
      </c>
      <c r="K2387" s="300">
        <v>1.0</v>
      </c>
      <c r="L2387" s="300">
        <v>1.0</v>
      </c>
      <c r="M2387" s="300">
        <v>1.0</v>
      </c>
      <c r="N2387" s="300">
        <v>8.0</v>
      </c>
      <c r="O2387" s="300" t="s">
        <v>908</v>
      </c>
      <c r="P2387" s="300">
        <v>6.0</v>
      </c>
    </row>
    <row r="2388">
      <c r="A2388">
        <f>IFERROR(__xludf.DUMMYFUNCTION("""COMPUTED_VALUE"""),11.0)</f>
        <v>11</v>
      </c>
      <c r="B2388" s="406">
        <f>IFERROR(__xludf.DUMMYFUNCTION("""COMPUTED_VALUE"""),27129.0)</f>
        <v>27129</v>
      </c>
      <c r="C2388" t="str">
        <f>IFERROR(__xludf.DUMMYFUNCTION("""COMPUTED_VALUE"""),"VALLEJO HOYOS, MIGUEL")</f>
        <v>VALLEJO HOYOS, MIGUEL</v>
      </c>
      <c r="D2388" t="str">
        <f>IFERROR(__xludf.DUMMYFUNCTION("""COMPUTED_VALUE"""),"PE 11")</f>
        <v>PE 11</v>
      </c>
      <c r="E2388" s="3">
        <f>IFERROR(__xludf.DUMMYFUNCTION("""COMPUTED_VALUE"""),6.0)</f>
        <v>6</v>
      </c>
      <c r="F2388" s="300">
        <v>1.0</v>
      </c>
      <c r="G2388" s="300">
        <v>1.0</v>
      </c>
      <c r="H2388" s="300">
        <v>1.0</v>
      </c>
      <c r="I2388" s="300">
        <v>1.0</v>
      </c>
      <c r="J2388" s="300">
        <v>1.0</v>
      </c>
      <c r="K2388" s="300">
        <v>1.0</v>
      </c>
      <c r="L2388" s="300">
        <v>1.0</v>
      </c>
      <c r="M2388" s="300">
        <v>1.0</v>
      </c>
      <c r="N2388" s="300">
        <v>8.0</v>
      </c>
      <c r="O2388" s="300" t="s">
        <v>910</v>
      </c>
      <c r="P2388" s="300">
        <v>6.0</v>
      </c>
    </row>
    <row r="2389">
      <c r="A2389">
        <f>IFERROR(__xludf.DUMMYFUNCTION("""COMPUTED_VALUE"""),11.0)</f>
        <v>11</v>
      </c>
      <c r="B2389" s="406">
        <f>IFERROR(__xludf.DUMMYFUNCTION("""COMPUTED_VALUE"""),27015.0)</f>
        <v>27015</v>
      </c>
      <c r="C2389" t="str">
        <f>IFERROR(__xludf.DUMMYFUNCTION("""COMPUTED_VALUE"""),"BERNAL OCHOA, MARIANA")</f>
        <v>BERNAL OCHOA, MARIANA</v>
      </c>
      <c r="D2389" t="str">
        <f>IFERROR(__xludf.DUMMYFUNCTION("""COMPUTED_VALUE"""),"PE 11")</f>
        <v>PE 11</v>
      </c>
      <c r="E2389" s="3">
        <f>IFERROR(__xludf.DUMMYFUNCTION("""COMPUTED_VALUE"""),2.0)</f>
        <v>2</v>
      </c>
      <c r="F2389" s="300">
        <v>1.0</v>
      </c>
      <c r="G2389" s="300">
        <v>1.0</v>
      </c>
      <c r="H2389" s="300">
        <v>1.0</v>
      </c>
      <c r="I2389" s="300">
        <v>1.0</v>
      </c>
      <c r="J2389" s="300">
        <v>1.0</v>
      </c>
      <c r="K2389" s="300">
        <v>1.0</v>
      </c>
      <c r="L2389" s="300">
        <v>1.0</v>
      </c>
      <c r="M2389" s="300">
        <v>1.0</v>
      </c>
      <c r="N2389" s="300">
        <v>8.0</v>
      </c>
      <c r="O2389" s="300" t="s">
        <v>912</v>
      </c>
      <c r="P2389" s="300">
        <v>6.0</v>
      </c>
    </row>
    <row r="2390">
      <c r="A2390">
        <f>IFERROR(__xludf.DUMMYFUNCTION("""COMPUTED_VALUE"""),11.0)</f>
        <v>11</v>
      </c>
      <c r="B2390" s="406">
        <f>IFERROR(__xludf.DUMMYFUNCTION("""COMPUTED_VALUE"""),27104.0)</f>
        <v>27104</v>
      </c>
      <c r="C2390" t="str">
        <f>IFERROR(__xludf.DUMMYFUNCTION("""COMPUTED_VALUE"""),"SANCHEZ GONZALEZ, JUANITA")</f>
        <v>SANCHEZ GONZALEZ, JUANITA</v>
      </c>
      <c r="D2390" t="str">
        <f>IFERROR(__xludf.DUMMYFUNCTION("""COMPUTED_VALUE"""),"PE 11")</f>
        <v>PE 11</v>
      </c>
      <c r="E2390" s="3">
        <f>IFERROR(__xludf.DUMMYFUNCTION("""COMPUTED_VALUE"""),3.0)</f>
        <v>3</v>
      </c>
      <c r="F2390" s="300">
        <v>1.0</v>
      </c>
      <c r="G2390" s="300">
        <v>1.0</v>
      </c>
      <c r="H2390" s="300">
        <v>1.0</v>
      </c>
      <c r="I2390" s="300">
        <v>1.0</v>
      </c>
      <c r="J2390" s="300">
        <v>1.0</v>
      </c>
      <c r="K2390" s="300">
        <v>1.0</v>
      </c>
      <c r="L2390" s="300">
        <v>1.0</v>
      </c>
      <c r="M2390" s="300">
        <v>1.0</v>
      </c>
      <c r="N2390" s="300">
        <v>8.0</v>
      </c>
      <c r="O2390" s="300" t="s">
        <v>909</v>
      </c>
      <c r="P2390" s="300">
        <v>6.0</v>
      </c>
    </row>
    <row r="2391">
      <c r="A2391">
        <f>IFERROR(__xludf.DUMMYFUNCTION("""COMPUTED_VALUE"""),11.0)</f>
        <v>11</v>
      </c>
      <c r="B2391" s="406">
        <f>IFERROR(__xludf.DUMMYFUNCTION("""COMPUTED_VALUE"""),27130.0)</f>
        <v>27130</v>
      </c>
      <c r="C2391" t="str">
        <f>IFERROR(__xludf.DUMMYFUNCTION("""COMPUTED_VALUE"""),"EASTMAN BETANCUR, VIOLETA")</f>
        <v>EASTMAN BETANCUR, VIOLETA</v>
      </c>
      <c r="D2391" t="str">
        <f>IFERROR(__xludf.DUMMYFUNCTION("""COMPUTED_VALUE"""),"PE 11")</f>
        <v>PE 11</v>
      </c>
      <c r="E2391" s="3">
        <f>IFERROR(__xludf.DUMMYFUNCTION("""COMPUTED_VALUE"""),3.0)</f>
        <v>3</v>
      </c>
      <c r="F2391" s="300">
        <v>1.0</v>
      </c>
      <c r="G2391" s="300">
        <v>1.0</v>
      </c>
      <c r="H2391" s="300">
        <v>1.0</v>
      </c>
      <c r="I2391" s="300">
        <v>1.0</v>
      </c>
      <c r="J2391" s="300">
        <v>1.0</v>
      </c>
      <c r="K2391" s="300">
        <v>1.0</v>
      </c>
      <c r="L2391" s="300">
        <v>1.0</v>
      </c>
      <c r="M2391" s="300">
        <v>1.0</v>
      </c>
      <c r="N2391" s="300">
        <v>8.0</v>
      </c>
      <c r="O2391" s="300" t="s">
        <v>909</v>
      </c>
      <c r="P2391" s="300">
        <v>6.0</v>
      </c>
    </row>
    <row r="2392">
      <c r="A2392">
        <f>IFERROR(__xludf.DUMMYFUNCTION("""COMPUTED_VALUE"""),11.0)</f>
        <v>11</v>
      </c>
      <c r="B2392" s="406">
        <f>IFERROR(__xludf.DUMMYFUNCTION("""COMPUTED_VALUE"""),27096.0)</f>
        <v>27096</v>
      </c>
      <c r="C2392" t="str">
        <f>IFERROR(__xludf.DUMMYFUNCTION("""COMPUTED_VALUE"""),"RICO SALDARRIAGA, MARTINA")</f>
        <v>RICO SALDARRIAGA, MARTINA</v>
      </c>
      <c r="D2392" t="str">
        <f>IFERROR(__xludf.DUMMYFUNCTION("""COMPUTED_VALUE"""),"PE 11")</f>
        <v>PE 11</v>
      </c>
      <c r="E2392" s="3">
        <f>IFERROR(__xludf.DUMMYFUNCTION("""COMPUTED_VALUE"""),4.0)</f>
        <v>4</v>
      </c>
      <c r="F2392" s="300">
        <v>1.0</v>
      </c>
      <c r="G2392" s="300">
        <v>1.0</v>
      </c>
      <c r="H2392" s="300">
        <v>1.0</v>
      </c>
      <c r="I2392" s="300">
        <v>1.0</v>
      </c>
      <c r="J2392" s="300">
        <v>1.0</v>
      </c>
      <c r="K2392" s="300">
        <v>1.0</v>
      </c>
      <c r="L2392" s="300">
        <v>1.0</v>
      </c>
      <c r="M2392" s="300">
        <v>1.0</v>
      </c>
      <c r="N2392" s="300">
        <v>8.0</v>
      </c>
      <c r="O2392" s="300" t="s">
        <v>908</v>
      </c>
      <c r="P2392" s="300">
        <v>6.0</v>
      </c>
    </row>
    <row r="2393">
      <c r="A2393">
        <f>IFERROR(__xludf.DUMMYFUNCTION("""COMPUTED_VALUE"""),11.0)</f>
        <v>11</v>
      </c>
      <c r="B2393" s="406">
        <f>IFERROR(__xludf.DUMMYFUNCTION("""COMPUTED_VALUE"""),27131.0)</f>
        <v>27131</v>
      </c>
      <c r="C2393" t="str">
        <f>IFERROR(__xludf.DUMMYFUNCTION("""COMPUTED_VALUE"""),"BARRERA GUZMAN, CAMILA")</f>
        <v>BARRERA GUZMAN, CAMILA</v>
      </c>
      <c r="D2393" t="str">
        <f>IFERROR(__xludf.DUMMYFUNCTION("""COMPUTED_VALUE"""),"PE 11")</f>
        <v>PE 11</v>
      </c>
      <c r="E2393" s="3">
        <f>IFERROR(__xludf.DUMMYFUNCTION("""COMPUTED_VALUE"""),3.0)</f>
        <v>3</v>
      </c>
      <c r="F2393" s="300">
        <v>1.0</v>
      </c>
      <c r="G2393" s="300">
        <v>1.0</v>
      </c>
      <c r="H2393" s="300">
        <v>1.0</v>
      </c>
      <c r="I2393" s="300">
        <v>1.0</v>
      </c>
      <c r="J2393" s="300">
        <v>1.0</v>
      </c>
      <c r="K2393" s="300">
        <v>1.0</v>
      </c>
      <c r="L2393" s="300">
        <v>1.0</v>
      </c>
      <c r="M2393" s="300">
        <v>1.0</v>
      </c>
      <c r="N2393" s="300">
        <v>8.0</v>
      </c>
      <c r="O2393" s="300" t="s">
        <v>909</v>
      </c>
      <c r="P2393" s="300">
        <v>6.0</v>
      </c>
    </row>
    <row r="2394">
      <c r="A2394">
        <f>IFERROR(__xludf.DUMMYFUNCTION("""COMPUTED_VALUE"""),11.0)</f>
        <v>11</v>
      </c>
      <c r="B2394" s="406">
        <f>IFERROR(__xludf.DUMMYFUNCTION("""COMPUTED_VALUE"""),27068.0)</f>
        <v>27068</v>
      </c>
      <c r="C2394" t="str">
        <f>IFERROR(__xludf.DUMMYFUNCTION("""COMPUTED_VALUE"""),"MESA ACOSTA, ESTEBAN")</f>
        <v>MESA ACOSTA, ESTEBAN</v>
      </c>
      <c r="D2394" t="str">
        <f>IFERROR(__xludf.DUMMYFUNCTION("""COMPUTED_VALUE"""),"PE 11")</f>
        <v>PE 11</v>
      </c>
      <c r="E2394" s="3">
        <f>IFERROR(__xludf.DUMMYFUNCTION("""COMPUTED_VALUE"""),2.0)</f>
        <v>2</v>
      </c>
      <c r="F2394" s="300">
        <v>1.0</v>
      </c>
      <c r="G2394" s="300">
        <v>1.0</v>
      </c>
      <c r="H2394" s="300">
        <v>1.0</v>
      </c>
      <c r="I2394" s="300">
        <v>1.0</v>
      </c>
      <c r="J2394" s="300">
        <v>1.0</v>
      </c>
      <c r="K2394" s="300">
        <v>1.0</v>
      </c>
      <c r="L2394" s="300">
        <v>1.0</v>
      </c>
      <c r="M2394" s="300">
        <v>1.0</v>
      </c>
      <c r="N2394" s="300">
        <v>8.0</v>
      </c>
      <c r="O2394" s="300" t="s">
        <v>912</v>
      </c>
      <c r="P2394" s="300">
        <v>6.0</v>
      </c>
    </row>
    <row r="2395">
      <c r="A2395">
        <f>IFERROR(__xludf.DUMMYFUNCTION("""COMPUTED_VALUE"""),11.0)</f>
        <v>11</v>
      </c>
      <c r="B2395" s="406">
        <f>IFERROR(__xludf.DUMMYFUNCTION("""COMPUTED_VALUE"""),27127.0)</f>
        <v>27127</v>
      </c>
      <c r="C2395" t="str">
        <f>IFERROR(__xludf.DUMMYFUNCTION("""COMPUTED_VALUE"""),"YUSTY MOSQUERA, MATEO")</f>
        <v>YUSTY MOSQUERA, MATEO</v>
      </c>
      <c r="D2395" t="str">
        <f>IFERROR(__xludf.DUMMYFUNCTION("""COMPUTED_VALUE"""),"PE 11")</f>
        <v>PE 11</v>
      </c>
      <c r="E2395" s="3">
        <f>IFERROR(__xludf.DUMMYFUNCTION("""COMPUTED_VALUE"""),2.0)</f>
        <v>2</v>
      </c>
      <c r="F2395" s="300">
        <v>1.0</v>
      </c>
      <c r="G2395" s="300">
        <v>1.0</v>
      </c>
      <c r="H2395" s="300">
        <v>1.0</v>
      </c>
      <c r="I2395" s="300">
        <v>1.0</v>
      </c>
      <c r="J2395" s="300">
        <v>1.0</v>
      </c>
      <c r="K2395" s="300">
        <v>1.0</v>
      </c>
      <c r="L2395" s="300">
        <v>1.0</v>
      </c>
      <c r="M2395" s="300">
        <v>1.0</v>
      </c>
      <c r="N2395" s="300">
        <v>8.0</v>
      </c>
      <c r="O2395" s="300" t="s">
        <v>912</v>
      </c>
      <c r="P2395" s="300">
        <v>6.0</v>
      </c>
    </row>
    <row r="2396">
      <c r="A2396">
        <f>IFERROR(__xludf.DUMMYFUNCTION("""COMPUTED_VALUE"""),11.0)</f>
        <v>11</v>
      </c>
      <c r="B2396" s="406">
        <f>IFERROR(__xludf.DUMMYFUNCTION("""COMPUTED_VALUE"""),27172.0)</f>
        <v>27172</v>
      </c>
      <c r="C2396" t="str">
        <f>IFERROR(__xludf.DUMMYFUNCTION("""COMPUTED_VALUE"""),"PASCUAL CUMELLAS, IGNACIO")</f>
        <v>PASCUAL CUMELLAS, IGNACIO</v>
      </c>
      <c r="D2396" t="str">
        <f>IFERROR(__xludf.DUMMYFUNCTION("""COMPUTED_VALUE"""),"PE 11")</f>
        <v>PE 11</v>
      </c>
      <c r="E2396" s="3">
        <f>IFERROR(__xludf.DUMMYFUNCTION("""COMPUTED_VALUE"""),3.0)</f>
        <v>3</v>
      </c>
      <c r="F2396" s="300">
        <v>1.0</v>
      </c>
      <c r="G2396" s="300">
        <v>1.0</v>
      </c>
      <c r="H2396" s="300">
        <v>1.0</v>
      </c>
      <c r="I2396" s="300">
        <v>1.0</v>
      </c>
      <c r="J2396" s="300">
        <v>1.0</v>
      </c>
      <c r="K2396" s="300">
        <v>1.0</v>
      </c>
      <c r="L2396" s="300">
        <v>1.0</v>
      </c>
      <c r="M2396" s="300">
        <v>1.0</v>
      </c>
      <c r="N2396" s="300">
        <v>8.0</v>
      </c>
      <c r="O2396" s="300" t="s">
        <v>909</v>
      </c>
      <c r="P2396" s="300">
        <v>6.0</v>
      </c>
    </row>
    <row r="2397">
      <c r="A2397">
        <f>IFERROR(__xludf.DUMMYFUNCTION("""COMPUTED_VALUE"""),11.0)</f>
        <v>11</v>
      </c>
      <c r="B2397" s="406">
        <f>IFERROR(__xludf.DUMMYFUNCTION("""COMPUTED_VALUE"""),27018.0)</f>
        <v>27018</v>
      </c>
      <c r="C2397" t="str">
        <f>IFERROR(__xludf.DUMMYFUNCTION("""COMPUTED_VALUE"""),"BEYER VELEZ, JACOBO")</f>
        <v>BEYER VELEZ, JACOBO</v>
      </c>
      <c r="D2397" t="str">
        <f>IFERROR(__xludf.DUMMYFUNCTION("""COMPUTED_VALUE"""),"PE 11")</f>
        <v>PE 11</v>
      </c>
      <c r="E2397" s="3">
        <f>IFERROR(__xludf.DUMMYFUNCTION("""COMPUTED_VALUE"""),6.0)</f>
        <v>6</v>
      </c>
      <c r="F2397" s="300">
        <v>1.0</v>
      </c>
      <c r="G2397" s="300">
        <v>1.0</v>
      </c>
      <c r="H2397" s="300">
        <v>1.0</v>
      </c>
      <c r="I2397" s="300">
        <v>1.0</v>
      </c>
      <c r="J2397" s="300">
        <v>1.0</v>
      </c>
      <c r="K2397" s="300">
        <v>1.0</v>
      </c>
      <c r="L2397" s="300">
        <v>1.0</v>
      </c>
      <c r="M2397" s="300">
        <v>1.0</v>
      </c>
      <c r="N2397" s="300">
        <v>8.0</v>
      </c>
      <c r="O2397" s="300" t="s">
        <v>910</v>
      </c>
      <c r="P2397" s="300">
        <v>6.0</v>
      </c>
    </row>
    <row r="2398">
      <c r="A2398">
        <f>IFERROR(__xludf.DUMMYFUNCTION("""COMPUTED_VALUE"""),11.0)</f>
        <v>11</v>
      </c>
      <c r="B2398" s="406">
        <f>IFERROR(__xludf.DUMMYFUNCTION("""COMPUTED_VALUE"""),27017.0)</f>
        <v>27017</v>
      </c>
      <c r="C2398" t="str">
        <f>IFERROR(__xludf.DUMMYFUNCTION("""COMPUTED_VALUE"""),"BETANCUR ROBLEDO, ELISA")</f>
        <v>BETANCUR ROBLEDO, ELISA</v>
      </c>
      <c r="D2398" t="str">
        <f>IFERROR(__xludf.DUMMYFUNCTION("""COMPUTED_VALUE"""),"PE 11")</f>
        <v>PE 11</v>
      </c>
      <c r="E2398" s="3">
        <f>IFERROR(__xludf.DUMMYFUNCTION("""COMPUTED_VALUE"""),4.0)</f>
        <v>4</v>
      </c>
      <c r="F2398" s="300">
        <v>1.0</v>
      </c>
      <c r="G2398" s="300">
        <v>1.0</v>
      </c>
      <c r="H2398" s="300">
        <v>1.0</v>
      </c>
      <c r="I2398" s="300">
        <v>1.0</v>
      </c>
      <c r="J2398" s="300">
        <v>1.0</v>
      </c>
      <c r="K2398" s="300">
        <v>1.0</v>
      </c>
      <c r="L2398" s="300">
        <v>1.0</v>
      </c>
      <c r="M2398" s="300">
        <v>1.0</v>
      </c>
      <c r="N2398" s="300">
        <v>8.0</v>
      </c>
      <c r="O2398" s="300" t="s">
        <v>908</v>
      </c>
      <c r="P2398" s="300">
        <v>6.0</v>
      </c>
    </row>
    <row r="2399">
      <c r="A2399">
        <f>IFERROR(__xludf.DUMMYFUNCTION("""COMPUTED_VALUE"""),11.0)</f>
        <v>11</v>
      </c>
      <c r="B2399" s="406">
        <f>IFERROR(__xludf.DUMMYFUNCTION("""COMPUTED_VALUE"""),27113.0)</f>
        <v>27113</v>
      </c>
      <c r="C2399" t="str">
        <f>IFERROR(__xludf.DUMMYFUNCTION("""COMPUTED_VALUE"""),"TORO LOPERA, VIOLETA")</f>
        <v>TORO LOPERA, VIOLETA</v>
      </c>
      <c r="D2399" t="str">
        <f>IFERROR(__xludf.DUMMYFUNCTION("""COMPUTED_VALUE"""),"PE 11")</f>
        <v>PE 11</v>
      </c>
      <c r="E2399" s="3">
        <f>IFERROR(__xludf.DUMMYFUNCTION("""COMPUTED_VALUE"""),7.0)</f>
        <v>7</v>
      </c>
      <c r="F2399" s="300">
        <v>1.0</v>
      </c>
      <c r="G2399" s="300">
        <v>1.0</v>
      </c>
      <c r="H2399" s="300">
        <v>1.0</v>
      </c>
      <c r="I2399" s="300">
        <v>1.0</v>
      </c>
      <c r="J2399" s="300">
        <v>1.0</v>
      </c>
      <c r="K2399" s="300">
        <v>1.0</v>
      </c>
      <c r="L2399" s="300">
        <v>1.0</v>
      </c>
      <c r="M2399" s="300">
        <v>1.0</v>
      </c>
      <c r="N2399" s="300">
        <v>8.0</v>
      </c>
      <c r="O2399" s="300" t="s">
        <v>913</v>
      </c>
      <c r="P2399" s="300">
        <v>6.0</v>
      </c>
    </row>
    <row r="2400">
      <c r="A2400">
        <f>IFERROR(__xludf.DUMMYFUNCTION("""COMPUTED_VALUE"""),11.0)</f>
        <v>11</v>
      </c>
      <c r="B2400" s="406">
        <f>IFERROR(__xludf.DUMMYFUNCTION("""COMPUTED_VALUE"""),27042.0)</f>
        <v>27042</v>
      </c>
      <c r="C2400" t="str">
        <f>IFERROR(__xludf.DUMMYFUNCTION("""COMPUTED_VALUE"""),"BONILLA NAVARRO, SOFIA")</f>
        <v>BONILLA NAVARRO, SOFIA</v>
      </c>
      <c r="D2400" t="str">
        <f>IFERROR(__xludf.DUMMYFUNCTION("""COMPUTED_VALUE"""),"PE 11")</f>
        <v>PE 11</v>
      </c>
      <c r="E2400" s="3">
        <f>IFERROR(__xludf.DUMMYFUNCTION("""COMPUTED_VALUE"""),3.0)</f>
        <v>3</v>
      </c>
      <c r="F2400" s="300">
        <v>1.0</v>
      </c>
      <c r="G2400" s="300">
        <v>1.0</v>
      </c>
      <c r="H2400" s="300">
        <v>1.0</v>
      </c>
      <c r="I2400" s="300">
        <v>1.0</v>
      </c>
      <c r="J2400" s="300">
        <v>1.0</v>
      </c>
      <c r="K2400" s="300">
        <v>1.0</v>
      </c>
      <c r="L2400" s="300">
        <v>1.0</v>
      </c>
      <c r="M2400" s="300">
        <v>1.0</v>
      </c>
      <c r="N2400" s="300">
        <v>8.0</v>
      </c>
      <c r="O2400" s="300" t="s">
        <v>909</v>
      </c>
      <c r="P2400" s="300">
        <v>6.0</v>
      </c>
    </row>
    <row r="2401">
      <c r="A2401">
        <f>IFERROR(__xludf.DUMMYFUNCTION("""COMPUTED_VALUE"""),11.0)</f>
        <v>11</v>
      </c>
      <c r="B2401" s="406">
        <f>IFERROR(__xludf.DUMMYFUNCTION("""COMPUTED_VALUE"""),27105.0)</f>
        <v>27105</v>
      </c>
      <c r="C2401" t="str">
        <f>IFERROR(__xludf.DUMMYFUNCTION("""COMPUTED_VALUE"""),"SANCHEZ GONZALEZ, SARA")</f>
        <v>SANCHEZ GONZALEZ, SARA</v>
      </c>
      <c r="D2401" t="str">
        <f>IFERROR(__xludf.DUMMYFUNCTION("""COMPUTED_VALUE"""),"PE 11")</f>
        <v>PE 11</v>
      </c>
      <c r="E2401" s="3">
        <f>IFERROR(__xludf.DUMMYFUNCTION("""COMPUTED_VALUE"""),6.0)</f>
        <v>6</v>
      </c>
      <c r="F2401" s="300">
        <v>1.0</v>
      </c>
      <c r="G2401" s="300">
        <v>1.0</v>
      </c>
      <c r="H2401" s="300">
        <v>1.0</v>
      </c>
      <c r="I2401" s="300">
        <v>1.0</v>
      </c>
      <c r="J2401" s="300">
        <v>1.0</v>
      </c>
      <c r="K2401" s="300">
        <v>1.0</v>
      </c>
      <c r="L2401" s="300">
        <v>1.0</v>
      </c>
      <c r="M2401" s="300">
        <v>1.0</v>
      </c>
      <c r="N2401" s="300">
        <v>8.0</v>
      </c>
      <c r="O2401" s="300" t="s">
        <v>910</v>
      </c>
      <c r="P2401" s="300">
        <v>6.0</v>
      </c>
    </row>
    <row r="2402">
      <c r="A2402">
        <f>IFERROR(__xludf.DUMMYFUNCTION("""COMPUTED_VALUE"""),11.0)</f>
        <v>11</v>
      </c>
      <c r="B2402" s="406">
        <f>IFERROR(__xludf.DUMMYFUNCTION("""COMPUTED_VALUE"""),27035.0)</f>
        <v>27035</v>
      </c>
      <c r="C2402" t="str">
        <f>IFERROR(__xludf.DUMMYFUNCTION("""COMPUTED_VALUE"""),"FERNANDEZ CALDERON, PABLO")</f>
        <v>FERNANDEZ CALDERON, PABLO</v>
      </c>
      <c r="D2402" t="str">
        <f>IFERROR(__xludf.DUMMYFUNCTION("""COMPUTED_VALUE"""),"PE 11")</f>
        <v>PE 11</v>
      </c>
      <c r="E2402" s="3">
        <f>IFERROR(__xludf.DUMMYFUNCTION("""COMPUTED_VALUE"""),1.0)</f>
        <v>1</v>
      </c>
      <c r="F2402" s="300">
        <v>1.0</v>
      </c>
      <c r="G2402" s="300">
        <v>1.0</v>
      </c>
      <c r="H2402" s="300">
        <v>1.0</v>
      </c>
      <c r="I2402" s="300">
        <v>1.0</v>
      </c>
      <c r="J2402" s="300">
        <v>1.0</v>
      </c>
      <c r="K2402" s="300">
        <v>1.0</v>
      </c>
      <c r="L2402" s="300">
        <v>1.0</v>
      </c>
      <c r="M2402" s="300">
        <v>1.0</v>
      </c>
      <c r="N2402" s="300">
        <v>8.0</v>
      </c>
      <c r="O2402" s="300" t="s">
        <v>911</v>
      </c>
      <c r="P2402" s="300">
        <v>6.0</v>
      </c>
    </row>
    <row r="2403">
      <c r="A2403">
        <f>IFERROR(__xludf.DUMMYFUNCTION("""COMPUTED_VALUE"""),11.0)</f>
        <v>11</v>
      </c>
      <c r="B2403" s="406">
        <f>IFERROR(__xludf.DUMMYFUNCTION("""COMPUTED_VALUE"""),27085.0)</f>
        <v>27085</v>
      </c>
      <c r="C2403" t="str">
        <f>IFERROR(__xludf.DUMMYFUNCTION("""COMPUTED_VALUE"""),"PEREZ ALVARADO, EMILIO")</f>
        <v>PEREZ ALVARADO, EMILIO</v>
      </c>
      <c r="D2403" t="str">
        <f>IFERROR(__xludf.DUMMYFUNCTION("""COMPUTED_VALUE"""),"PE 11")</f>
        <v>PE 11</v>
      </c>
      <c r="E2403" s="3">
        <f>IFERROR(__xludf.DUMMYFUNCTION("""COMPUTED_VALUE"""),1.0)</f>
        <v>1</v>
      </c>
      <c r="F2403" s="300">
        <v>1.0</v>
      </c>
      <c r="G2403" s="300">
        <v>1.0</v>
      </c>
      <c r="H2403" s="300">
        <v>1.0</v>
      </c>
      <c r="I2403" s="300">
        <v>1.0</v>
      </c>
      <c r="J2403" s="300">
        <v>1.0</v>
      </c>
      <c r="K2403" s="300">
        <v>1.0</v>
      </c>
      <c r="L2403" s="300">
        <v>1.0</v>
      </c>
      <c r="M2403" s="300">
        <v>1.0</v>
      </c>
      <c r="N2403" s="300">
        <v>8.0</v>
      </c>
      <c r="O2403" s="300" t="s">
        <v>911</v>
      </c>
      <c r="P2403" s="300">
        <v>6.0</v>
      </c>
    </row>
    <row r="2404">
      <c r="A2404">
        <f>IFERROR(__xludf.DUMMYFUNCTION("""COMPUTED_VALUE"""),11.0)</f>
        <v>11</v>
      </c>
      <c r="B2404" s="406">
        <f>IFERROR(__xludf.DUMMYFUNCTION("""COMPUTED_VALUE"""),27054.0)</f>
        <v>27054</v>
      </c>
      <c r="C2404" t="str">
        <f>IFERROR(__xludf.DUMMYFUNCTION("""COMPUTED_VALUE"""),"JARAMILLO PELAEZ, VIOLETA")</f>
        <v>JARAMILLO PELAEZ, VIOLETA</v>
      </c>
      <c r="D2404" t="str">
        <f>IFERROR(__xludf.DUMMYFUNCTION("""COMPUTED_VALUE"""),"PE 11")</f>
        <v>PE 11</v>
      </c>
      <c r="E2404" s="3">
        <f>IFERROR(__xludf.DUMMYFUNCTION("""COMPUTED_VALUE"""),7.0)</f>
        <v>7</v>
      </c>
      <c r="F2404" s="300">
        <v>1.0</v>
      </c>
      <c r="G2404" s="300">
        <v>1.0</v>
      </c>
      <c r="H2404" s="300">
        <v>1.0</v>
      </c>
      <c r="I2404" s="300">
        <v>1.0</v>
      </c>
      <c r="J2404" s="300">
        <v>1.0</v>
      </c>
      <c r="K2404" s="300">
        <v>1.0</v>
      </c>
      <c r="L2404" s="300">
        <v>1.0</v>
      </c>
      <c r="M2404" s="300">
        <v>1.0</v>
      </c>
      <c r="N2404" s="300">
        <v>8.0</v>
      </c>
      <c r="O2404" s="300" t="s">
        <v>913</v>
      </c>
      <c r="P2404" s="300">
        <v>6.0</v>
      </c>
    </row>
    <row r="2405">
      <c r="A2405">
        <f>IFERROR(__xludf.DUMMYFUNCTION("""COMPUTED_VALUE"""),11.0)</f>
        <v>11</v>
      </c>
      <c r="B2405" s="406">
        <f>IFERROR(__xludf.DUMMYFUNCTION("""COMPUTED_VALUE"""),27053.0)</f>
        <v>27053</v>
      </c>
      <c r="C2405" t="str">
        <f>IFERROR(__xludf.DUMMYFUNCTION("""COMPUTED_VALUE"""),"JARAMILLO PELAEZ, MARTINA")</f>
        <v>JARAMILLO PELAEZ, MARTINA</v>
      </c>
      <c r="D2405" t="str">
        <f>IFERROR(__xludf.DUMMYFUNCTION("""COMPUTED_VALUE"""),"PE 11")</f>
        <v>PE 11</v>
      </c>
      <c r="E2405" s="3">
        <f>IFERROR(__xludf.DUMMYFUNCTION("""COMPUTED_VALUE"""),3.0)</f>
        <v>3</v>
      </c>
      <c r="F2405" s="300">
        <v>1.0</v>
      </c>
      <c r="G2405" s="300">
        <v>1.0</v>
      </c>
      <c r="H2405" s="300">
        <v>1.0</v>
      </c>
      <c r="I2405" s="300">
        <v>1.0</v>
      </c>
      <c r="J2405" s="300">
        <v>1.0</v>
      </c>
      <c r="K2405" s="300">
        <v>1.0</v>
      </c>
      <c r="L2405" s="300">
        <v>1.0</v>
      </c>
      <c r="M2405" s="300">
        <v>1.0</v>
      </c>
      <c r="N2405" s="300">
        <v>8.0</v>
      </c>
      <c r="O2405" s="300" t="s">
        <v>909</v>
      </c>
      <c r="P2405" s="300">
        <v>6.0</v>
      </c>
    </row>
    <row r="2406">
      <c r="A2406">
        <f>IFERROR(__xludf.DUMMYFUNCTION("""COMPUTED_VALUE"""),11.0)</f>
        <v>11</v>
      </c>
      <c r="B2406" s="406">
        <f>IFERROR(__xludf.DUMMYFUNCTION("""COMPUTED_VALUE"""),26012.0)</f>
        <v>26012</v>
      </c>
      <c r="C2406" t="str">
        <f>IFERROR(__xludf.DUMMYFUNCTION("""COMPUTED_VALUE"""),"BAENA GIRALDO, AGUSTIN")</f>
        <v>BAENA GIRALDO, AGUSTIN</v>
      </c>
      <c r="D2406" t="str">
        <f>IFERROR(__xludf.DUMMYFUNCTION("""COMPUTED_VALUE"""),"PE 11")</f>
        <v>PE 11</v>
      </c>
      <c r="E2406" s="3">
        <f>IFERROR(__xludf.DUMMYFUNCTION("""COMPUTED_VALUE"""),7.0)</f>
        <v>7</v>
      </c>
      <c r="F2406" s="300">
        <v>1.0</v>
      </c>
      <c r="G2406" s="300">
        <v>1.0</v>
      </c>
      <c r="H2406" s="300">
        <v>1.0</v>
      </c>
      <c r="I2406" s="300">
        <v>1.0</v>
      </c>
      <c r="J2406" s="300">
        <v>1.0</v>
      </c>
      <c r="K2406" s="300">
        <v>1.0</v>
      </c>
      <c r="L2406" s="300">
        <v>1.0</v>
      </c>
      <c r="M2406" s="300">
        <v>1.0</v>
      </c>
      <c r="N2406" s="300">
        <v>8.0</v>
      </c>
      <c r="O2406" s="300" t="s">
        <v>913</v>
      </c>
      <c r="P2406" s="300">
        <v>6.0</v>
      </c>
    </row>
    <row r="2407">
      <c r="A2407">
        <f>IFERROR(__xludf.DUMMYFUNCTION("""COMPUTED_VALUE"""),11.0)</f>
        <v>11</v>
      </c>
      <c r="B2407" s="406">
        <f>IFERROR(__xludf.DUMMYFUNCTION("""COMPUTED_VALUE"""),27022.0)</f>
        <v>27022</v>
      </c>
      <c r="C2407" t="str">
        <f>IFERROR(__xludf.DUMMYFUNCTION("""COMPUTED_VALUE"""),"CARDONA GIRALDO, MATHIAS")</f>
        <v>CARDONA GIRALDO, MATHIAS</v>
      </c>
      <c r="D2407" t="str">
        <f>IFERROR(__xludf.DUMMYFUNCTION("""COMPUTED_VALUE"""),"PE 11")</f>
        <v>PE 11</v>
      </c>
      <c r="E2407" s="3">
        <f>IFERROR(__xludf.DUMMYFUNCTION("""COMPUTED_VALUE"""),1.0)</f>
        <v>1</v>
      </c>
      <c r="F2407" s="300">
        <v>1.0</v>
      </c>
      <c r="G2407" s="300">
        <v>1.0</v>
      </c>
      <c r="H2407" s="300">
        <v>1.0</v>
      </c>
      <c r="I2407" s="300">
        <v>1.0</v>
      </c>
      <c r="J2407" s="300">
        <v>1.0</v>
      </c>
      <c r="K2407" s="300">
        <v>1.0</v>
      </c>
      <c r="L2407" s="300">
        <v>1.0</v>
      </c>
      <c r="M2407" s="300">
        <v>1.0</v>
      </c>
      <c r="N2407" s="300">
        <v>8.0</v>
      </c>
      <c r="O2407" s="300" t="s">
        <v>911</v>
      </c>
      <c r="P2407" s="300">
        <v>6.0</v>
      </c>
    </row>
    <row r="2408">
      <c r="A2408">
        <f>IFERROR(__xludf.DUMMYFUNCTION("""COMPUTED_VALUE"""),11.0)</f>
        <v>11</v>
      </c>
      <c r="B2408" s="406">
        <f>IFERROR(__xludf.DUMMYFUNCTION("""COMPUTED_VALUE"""),27071.0)</f>
        <v>27071</v>
      </c>
      <c r="C2408" t="str">
        <f>IFERROR(__xludf.DUMMYFUNCTION("""COMPUTED_VALUE"""),"MONSALVE LOPERA, FEDERICO")</f>
        <v>MONSALVE LOPERA, FEDERICO</v>
      </c>
      <c r="D2408" t="str">
        <f>IFERROR(__xludf.DUMMYFUNCTION("""COMPUTED_VALUE"""),"PE 11")</f>
        <v>PE 11</v>
      </c>
      <c r="E2408" s="3">
        <f>IFERROR(__xludf.DUMMYFUNCTION("""COMPUTED_VALUE"""),6.0)</f>
        <v>6</v>
      </c>
      <c r="F2408" s="300">
        <v>1.0</v>
      </c>
      <c r="G2408" s="300">
        <v>1.0</v>
      </c>
      <c r="H2408" s="300">
        <v>1.0</v>
      </c>
      <c r="I2408" s="300">
        <v>1.0</v>
      </c>
      <c r="J2408" s="300">
        <v>1.0</v>
      </c>
      <c r="K2408" s="300">
        <v>1.0</v>
      </c>
      <c r="L2408" s="300">
        <v>1.0</v>
      </c>
      <c r="M2408" s="300">
        <v>1.0</v>
      </c>
      <c r="N2408" s="300">
        <v>8.0</v>
      </c>
      <c r="O2408" s="300" t="s">
        <v>910</v>
      </c>
      <c r="P2408" s="300">
        <v>6.0</v>
      </c>
    </row>
    <row r="2409">
      <c r="A2409">
        <f>IFERROR(__xludf.DUMMYFUNCTION("""COMPUTED_VALUE"""),11.0)</f>
        <v>11</v>
      </c>
      <c r="B2409" s="406">
        <f>IFERROR(__xludf.DUMMYFUNCTION("""COMPUTED_VALUE"""),27006.0)</f>
        <v>27006</v>
      </c>
      <c r="C2409" t="str">
        <f>IFERROR(__xludf.DUMMYFUNCTION("""COMPUTED_VALUE"""),"ARANGO RUBIO, MIGUEL")</f>
        <v>ARANGO RUBIO, MIGUEL</v>
      </c>
      <c r="D2409" t="str">
        <f>IFERROR(__xludf.DUMMYFUNCTION("""COMPUTED_VALUE"""),"PE 11")</f>
        <v>PE 11</v>
      </c>
      <c r="E2409" s="3">
        <f>IFERROR(__xludf.DUMMYFUNCTION("""COMPUTED_VALUE"""),4.0)</f>
        <v>4</v>
      </c>
      <c r="F2409" s="300">
        <v>1.0</v>
      </c>
      <c r="G2409" s="300">
        <v>1.0</v>
      </c>
      <c r="H2409" s="300">
        <v>1.0</v>
      </c>
      <c r="I2409" s="300">
        <v>1.0</v>
      </c>
      <c r="J2409" s="300">
        <v>1.0</v>
      </c>
      <c r="K2409" s="300">
        <v>1.0</v>
      </c>
      <c r="L2409" s="300">
        <v>1.0</v>
      </c>
      <c r="M2409" s="300">
        <v>1.0</v>
      </c>
      <c r="N2409" s="300">
        <v>8.0</v>
      </c>
      <c r="O2409" s="300" t="s">
        <v>908</v>
      </c>
      <c r="P2409" s="300">
        <v>6.0</v>
      </c>
    </row>
    <row r="2410">
      <c r="A2410">
        <f>IFERROR(__xludf.DUMMYFUNCTION("""COMPUTED_VALUE"""),11.0)</f>
        <v>11</v>
      </c>
      <c r="B2410" s="406">
        <f>IFERROR(__xludf.DUMMYFUNCTION("""COMPUTED_VALUE"""),27101.0)</f>
        <v>27101</v>
      </c>
      <c r="C2410" t="str">
        <f>IFERROR(__xludf.DUMMYFUNCTION("""COMPUTED_VALUE"""),"RUIZ ROLDAN, PABLO")</f>
        <v>RUIZ ROLDAN, PABLO</v>
      </c>
      <c r="D2410" t="str">
        <f>IFERROR(__xludf.DUMMYFUNCTION("""COMPUTED_VALUE"""),"PE 11")</f>
        <v>PE 11</v>
      </c>
      <c r="E2410" s="3">
        <f>IFERROR(__xludf.DUMMYFUNCTION("""COMPUTED_VALUE"""),4.0)</f>
        <v>4</v>
      </c>
      <c r="F2410" s="300">
        <v>1.0</v>
      </c>
      <c r="G2410" s="300">
        <v>1.0</v>
      </c>
      <c r="H2410" s="300">
        <v>1.0</v>
      </c>
      <c r="I2410" s="300">
        <v>1.0</v>
      </c>
      <c r="J2410" s="300">
        <v>1.0</v>
      </c>
      <c r="K2410" s="300">
        <v>1.0</v>
      </c>
      <c r="L2410" s="300">
        <v>1.0</v>
      </c>
      <c r="M2410" s="300">
        <v>1.0</v>
      </c>
      <c r="N2410" s="300">
        <v>8.0</v>
      </c>
      <c r="O2410" s="300" t="s">
        <v>908</v>
      </c>
      <c r="P2410" s="300">
        <v>6.0</v>
      </c>
    </row>
    <row r="2411">
      <c r="A2411">
        <f>IFERROR(__xludf.DUMMYFUNCTION("""COMPUTED_VALUE"""),11.0)</f>
        <v>11</v>
      </c>
      <c r="B2411" s="406">
        <f>IFERROR(__xludf.DUMMYFUNCTION("""COMPUTED_VALUE"""),27046.0)</f>
        <v>27046</v>
      </c>
      <c r="C2411" t="str">
        <f>IFERROR(__xludf.DUMMYFUNCTION("""COMPUTED_VALUE"""),"GOMEZ TRUJILLO, MIGUEL")</f>
        <v>GOMEZ TRUJILLO, MIGUEL</v>
      </c>
      <c r="D2411" t="str">
        <f>IFERROR(__xludf.DUMMYFUNCTION("""COMPUTED_VALUE"""),"PE 11")</f>
        <v>PE 11</v>
      </c>
      <c r="E2411" s="3">
        <f>IFERROR(__xludf.DUMMYFUNCTION("""COMPUTED_VALUE"""),3.0)</f>
        <v>3</v>
      </c>
      <c r="F2411" s="300">
        <v>1.0</v>
      </c>
      <c r="G2411" s="300">
        <v>1.0</v>
      </c>
      <c r="H2411" s="300">
        <v>1.0</v>
      </c>
      <c r="I2411" s="300">
        <v>1.0</v>
      </c>
      <c r="J2411" s="300">
        <v>1.0</v>
      </c>
      <c r="K2411" s="300">
        <v>1.0</v>
      </c>
      <c r="L2411" s="300">
        <v>1.0</v>
      </c>
      <c r="M2411" s="300">
        <v>1.0</v>
      </c>
      <c r="N2411" s="300">
        <v>8.0</v>
      </c>
      <c r="O2411" s="300" t="s">
        <v>909</v>
      </c>
      <c r="P2411" s="300">
        <v>6.0</v>
      </c>
    </row>
    <row r="2412">
      <c r="A2412">
        <f>IFERROR(__xludf.DUMMYFUNCTION("""COMPUTED_VALUE"""),11.0)</f>
        <v>11</v>
      </c>
      <c r="B2412" s="406">
        <f>IFERROR(__xludf.DUMMYFUNCTION("""COMPUTED_VALUE"""),27151.0)</f>
        <v>27151</v>
      </c>
      <c r="C2412" t="str">
        <f>IFERROR(__xludf.DUMMYFUNCTION("""COMPUTED_VALUE"""),"RANNI, FABRIZIO")</f>
        <v>RANNI, FABRIZIO</v>
      </c>
      <c r="D2412" t="str">
        <f>IFERROR(__xludf.DUMMYFUNCTION("""COMPUTED_VALUE"""),"PE 11")</f>
        <v>PE 11</v>
      </c>
      <c r="E2412" s="3">
        <f>IFERROR(__xludf.DUMMYFUNCTION("""COMPUTED_VALUE"""),7.0)</f>
        <v>7</v>
      </c>
      <c r="F2412" s="300">
        <v>1.0</v>
      </c>
      <c r="G2412" s="300">
        <v>1.0</v>
      </c>
      <c r="H2412" s="300">
        <v>1.0</v>
      </c>
      <c r="I2412" s="300">
        <v>1.0</v>
      </c>
      <c r="J2412" s="300">
        <v>1.0</v>
      </c>
      <c r="K2412" s="300">
        <v>1.0</v>
      </c>
      <c r="L2412" s="300">
        <v>1.0</v>
      </c>
      <c r="M2412" s="300">
        <v>1.0</v>
      </c>
      <c r="N2412" s="300">
        <v>8.0</v>
      </c>
      <c r="O2412" s="300" t="s">
        <v>913</v>
      </c>
      <c r="P2412" s="300">
        <v>6.0</v>
      </c>
    </row>
    <row r="2413">
      <c r="A2413">
        <f>IFERROR(__xludf.DUMMYFUNCTION("""COMPUTED_VALUE"""),11.0)</f>
        <v>11</v>
      </c>
      <c r="B2413" s="406">
        <f>IFERROR(__xludf.DUMMYFUNCTION("""COMPUTED_VALUE"""),27081.0)</f>
        <v>27081</v>
      </c>
      <c r="C2413" t="str">
        <f>IFERROR(__xludf.DUMMYFUNCTION("""COMPUTED_VALUE"""),"OSPINA ESCOBAR, GABRIEL")</f>
        <v>OSPINA ESCOBAR, GABRIEL</v>
      </c>
      <c r="D2413" t="str">
        <f>IFERROR(__xludf.DUMMYFUNCTION("""COMPUTED_VALUE"""),"PE 11")</f>
        <v>PE 11</v>
      </c>
      <c r="E2413" s="3">
        <f>IFERROR(__xludf.DUMMYFUNCTION("""COMPUTED_VALUE"""),6.0)</f>
        <v>6</v>
      </c>
      <c r="F2413" s="300">
        <v>1.0</v>
      </c>
      <c r="G2413" s="300">
        <v>1.0</v>
      </c>
      <c r="H2413" s="300">
        <v>1.0</v>
      </c>
      <c r="I2413" s="300">
        <v>1.0</v>
      </c>
      <c r="J2413" s="300">
        <v>1.0</v>
      </c>
      <c r="K2413" s="300">
        <v>1.0</v>
      </c>
      <c r="L2413" s="300">
        <v>1.0</v>
      </c>
      <c r="M2413" s="300">
        <v>1.0</v>
      </c>
      <c r="N2413" s="300">
        <v>8.0</v>
      </c>
      <c r="O2413" s="300" t="s">
        <v>910</v>
      </c>
      <c r="P2413" s="300">
        <v>6.0</v>
      </c>
    </row>
    <row r="2414">
      <c r="A2414">
        <f>IFERROR(__xludf.DUMMYFUNCTION("""COMPUTED_VALUE"""),11.0)</f>
        <v>11</v>
      </c>
      <c r="B2414" s="406">
        <f>IFERROR(__xludf.DUMMYFUNCTION("""COMPUTED_VALUE"""),26154.0)</f>
        <v>26154</v>
      </c>
      <c r="C2414" t="str">
        <f>IFERROR(__xludf.DUMMYFUNCTION("""COMPUTED_VALUE"""),"GARRIDO TAMAYO, NICOLAS")</f>
        <v>GARRIDO TAMAYO, NICOLAS</v>
      </c>
      <c r="D2414" t="str">
        <f>IFERROR(__xludf.DUMMYFUNCTION("""COMPUTED_VALUE"""),"PE 11")</f>
        <v>PE 11</v>
      </c>
      <c r="E2414" s="3">
        <f>IFERROR(__xludf.DUMMYFUNCTION("""COMPUTED_VALUE"""),4.0)</f>
        <v>4</v>
      </c>
      <c r="F2414" s="300">
        <v>1.0</v>
      </c>
      <c r="G2414" s="300">
        <v>1.0</v>
      </c>
      <c r="H2414" s="300">
        <v>1.0</v>
      </c>
      <c r="I2414" s="300">
        <v>1.0</v>
      </c>
      <c r="J2414" s="300">
        <v>1.0</v>
      </c>
      <c r="K2414" s="300">
        <v>1.0</v>
      </c>
      <c r="L2414" s="300">
        <v>1.0</v>
      </c>
      <c r="M2414" s="300">
        <v>1.0</v>
      </c>
      <c r="N2414" s="300">
        <v>8.0</v>
      </c>
      <c r="O2414" s="300" t="s">
        <v>908</v>
      </c>
      <c r="P2414" s="300">
        <v>6.0</v>
      </c>
    </row>
    <row r="2415">
      <c r="A2415">
        <f>IFERROR(__xludf.DUMMYFUNCTION("""COMPUTED_VALUE"""),11.0)</f>
        <v>11</v>
      </c>
      <c r="B2415" s="406">
        <f>IFERROR(__xludf.DUMMYFUNCTION("""COMPUTED_VALUE"""),27040.0)</f>
        <v>27040</v>
      </c>
      <c r="C2415" t="str">
        <f>IFERROR(__xludf.DUMMYFUNCTION("""COMPUTED_VALUE"""),"GALLON MUÑOZ, VIOLETA")</f>
        <v>GALLON MUÑOZ, VIOLETA</v>
      </c>
      <c r="D2415" t="str">
        <f>IFERROR(__xludf.DUMMYFUNCTION("""COMPUTED_VALUE"""),"PE 11")</f>
        <v>PE 11</v>
      </c>
      <c r="E2415" s="3">
        <f>IFERROR(__xludf.DUMMYFUNCTION("""COMPUTED_VALUE"""),3.0)</f>
        <v>3</v>
      </c>
      <c r="F2415" s="300">
        <v>1.0</v>
      </c>
      <c r="G2415" s="300">
        <v>1.0</v>
      </c>
      <c r="H2415" s="300">
        <v>1.0</v>
      </c>
      <c r="I2415" s="300">
        <v>1.0</v>
      </c>
      <c r="J2415" s="300">
        <v>1.0</v>
      </c>
      <c r="K2415" s="300">
        <v>1.0</v>
      </c>
      <c r="L2415" s="300">
        <v>1.0</v>
      </c>
      <c r="M2415" s="300">
        <v>1.0</v>
      </c>
      <c r="N2415" s="300">
        <v>8.0</v>
      </c>
      <c r="O2415" s="300" t="s">
        <v>909</v>
      </c>
      <c r="P2415" s="300">
        <v>6.0</v>
      </c>
    </row>
    <row r="2416">
      <c r="A2416">
        <f>IFERROR(__xludf.DUMMYFUNCTION("""COMPUTED_VALUE"""),11.0)</f>
        <v>11</v>
      </c>
      <c r="B2416" s="406">
        <f>IFERROR(__xludf.DUMMYFUNCTION("""COMPUTED_VALUE"""),27093.0)</f>
        <v>27093</v>
      </c>
      <c r="C2416" t="str">
        <f>IFERROR(__xludf.DUMMYFUNCTION("""COMPUTED_VALUE"""),"RADA ECHANDIA, CAMILA")</f>
        <v>RADA ECHANDIA, CAMILA</v>
      </c>
      <c r="D2416" t="str">
        <f>IFERROR(__xludf.DUMMYFUNCTION("""COMPUTED_VALUE"""),"PE 11")</f>
        <v>PE 11</v>
      </c>
      <c r="E2416" s="3">
        <f>IFERROR(__xludf.DUMMYFUNCTION("""COMPUTED_VALUE"""),4.0)</f>
        <v>4</v>
      </c>
      <c r="F2416" s="300">
        <v>1.0</v>
      </c>
      <c r="G2416" s="300">
        <v>1.0</v>
      </c>
      <c r="H2416" s="300">
        <v>1.0</v>
      </c>
      <c r="I2416" s="300">
        <v>1.0</v>
      </c>
      <c r="J2416" s="300">
        <v>1.0</v>
      </c>
      <c r="K2416" s="300">
        <v>1.0</v>
      </c>
      <c r="L2416" s="300">
        <v>1.0</v>
      </c>
      <c r="M2416" s="300">
        <v>1.0</v>
      </c>
      <c r="N2416" s="300">
        <v>8.0</v>
      </c>
      <c r="O2416" s="300" t="s">
        <v>908</v>
      </c>
      <c r="P2416" s="300">
        <v>6.0</v>
      </c>
    </row>
    <row r="2417">
      <c r="A2417">
        <f>IFERROR(__xludf.DUMMYFUNCTION("""COMPUTED_VALUE"""),11.0)</f>
        <v>11</v>
      </c>
      <c r="B2417" s="406">
        <f>IFERROR(__xludf.DUMMYFUNCTION("""COMPUTED_VALUE"""),27112.0)</f>
        <v>27112</v>
      </c>
      <c r="C2417" t="str">
        <f>IFERROR(__xludf.DUMMYFUNCTION("""COMPUTED_VALUE"""),"TOBON RESTREPO, NICOLAS")</f>
        <v>TOBON RESTREPO, NICOLAS</v>
      </c>
      <c r="D2417" t="str">
        <f>IFERROR(__xludf.DUMMYFUNCTION("""COMPUTED_VALUE"""),"PE 11")</f>
        <v>PE 11</v>
      </c>
      <c r="E2417" s="3">
        <f>IFERROR(__xludf.DUMMYFUNCTION("""COMPUTED_VALUE"""),7.0)</f>
        <v>7</v>
      </c>
      <c r="F2417" s="300">
        <v>1.0</v>
      </c>
      <c r="G2417" s="300">
        <v>1.0</v>
      </c>
      <c r="H2417" s="300">
        <v>1.0</v>
      </c>
      <c r="I2417" s="300">
        <v>1.0</v>
      </c>
      <c r="J2417" s="300">
        <v>1.0</v>
      </c>
      <c r="K2417" s="300">
        <v>1.0</v>
      </c>
      <c r="L2417" s="300">
        <v>1.0</v>
      </c>
      <c r="M2417" s="300">
        <v>1.0</v>
      </c>
      <c r="N2417" s="300">
        <v>8.0</v>
      </c>
      <c r="O2417" s="300" t="s">
        <v>913</v>
      </c>
      <c r="P2417" s="300">
        <v>6.0</v>
      </c>
    </row>
    <row r="2418">
      <c r="A2418">
        <f>IFERROR(__xludf.DUMMYFUNCTION("""COMPUTED_VALUE"""),11.0)</f>
        <v>11</v>
      </c>
      <c r="B2418" s="406">
        <f>IFERROR(__xludf.DUMMYFUNCTION("""COMPUTED_VALUE"""),27083.0)</f>
        <v>27083</v>
      </c>
      <c r="C2418" t="str">
        <f>IFERROR(__xludf.DUMMYFUNCTION("""COMPUTED_VALUE"""),"PALACIO RUIZ, MATIAS")</f>
        <v>PALACIO RUIZ, MATIAS</v>
      </c>
      <c r="D2418" t="str">
        <f>IFERROR(__xludf.DUMMYFUNCTION("""COMPUTED_VALUE"""),"PE 11")</f>
        <v>PE 11</v>
      </c>
      <c r="E2418" s="3">
        <f>IFERROR(__xludf.DUMMYFUNCTION("""COMPUTED_VALUE"""),7.0)</f>
        <v>7</v>
      </c>
      <c r="F2418" s="300">
        <v>1.0</v>
      </c>
      <c r="G2418" s="300">
        <v>1.0</v>
      </c>
      <c r="H2418" s="300">
        <v>1.0</v>
      </c>
      <c r="I2418" s="300">
        <v>1.0</v>
      </c>
      <c r="J2418" s="300">
        <v>1.0</v>
      </c>
      <c r="K2418" s="300">
        <v>1.0</v>
      </c>
      <c r="L2418" s="300">
        <v>1.0</v>
      </c>
      <c r="M2418" s="300">
        <v>1.0</v>
      </c>
      <c r="N2418" s="300">
        <v>8.0</v>
      </c>
      <c r="O2418" s="300" t="s">
        <v>913</v>
      </c>
      <c r="P2418" s="300">
        <v>6.0</v>
      </c>
    </row>
    <row r="2419">
      <c r="A2419">
        <f>IFERROR(__xludf.DUMMYFUNCTION("""COMPUTED_VALUE"""),11.0)</f>
        <v>11</v>
      </c>
      <c r="B2419" s="406">
        <f>IFERROR(__xludf.DUMMYFUNCTION("""COMPUTED_VALUE"""),26041.0)</f>
        <v>26041</v>
      </c>
      <c r="C2419" t="str">
        <f>IFERROR(__xludf.DUMMYFUNCTION("""COMPUTED_VALUE"""),"GOMEZ VASQUEZ, SOFIA")</f>
        <v>GOMEZ VASQUEZ, SOFIA</v>
      </c>
      <c r="D2419" t="str">
        <f>IFERROR(__xludf.DUMMYFUNCTION("""COMPUTED_VALUE"""),"PE 11")</f>
        <v>PE 11</v>
      </c>
      <c r="E2419" s="3">
        <f>IFERROR(__xludf.DUMMYFUNCTION("""COMPUTED_VALUE"""),1.0)</f>
        <v>1</v>
      </c>
      <c r="F2419" s="300">
        <v>1.0</v>
      </c>
      <c r="G2419" s="300">
        <v>1.0</v>
      </c>
      <c r="H2419" s="300">
        <v>1.0</v>
      </c>
      <c r="I2419" s="300">
        <v>1.0</v>
      </c>
      <c r="J2419" s="300">
        <v>1.0</v>
      </c>
      <c r="K2419" s="300">
        <v>1.0</v>
      </c>
      <c r="L2419" s="300">
        <v>1.0</v>
      </c>
      <c r="M2419" s="300">
        <v>1.0</v>
      </c>
      <c r="N2419" s="300">
        <v>8.0</v>
      </c>
      <c r="O2419" s="300" t="s">
        <v>911</v>
      </c>
      <c r="P2419" s="300">
        <v>6.0</v>
      </c>
    </row>
    <row r="2420">
      <c r="A2420">
        <f>IFERROR(__xludf.DUMMYFUNCTION("""COMPUTED_VALUE"""),11.0)</f>
        <v>11</v>
      </c>
      <c r="B2420" s="406">
        <f>IFERROR(__xludf.DUMMYFUNCTION("""COMPUTED_VALUE"""),27092.0)</f>
        <v>27092</v>
      </c>
      <c r="C2420" t="str">
        <f>IFERROR(__xludf.DUMMYFUNCTION("""COMPUTED_VALUE"""),"PULGARIN HUERTAS, ELOISA")</f>
        <v>PULGARIN HUERTAS, ELOISA</v>
      </c>
      <c r="D2420" t="str">
        <f>IFERROR(__xludf.DUMMYFUNCTION("""COMPUTED_VALUE"""),"PE 11")</f>
        <v>PE 11</v>
      </c>
      <c r="E2420" s="3">
        <f>IFERROR(__xludf.DUMMYFUNCTION("""COMPUTED_VALUE"""),2.0)</f>
        <v>2</v>
      </c>
      <c r="F2420" s="300">
        <v>1.0</v>
      </c>
      <c r="G2420" s="300">
        <v>1.0</v>
      </c>
      <c r="H2420" s="300">
        <v>1.0</v>
      </c>
      <c r="I2420" s="300">
        <v>1.0</v>
      </c>
      <c r="J2420" s="300">
        <v>1.0</v>
      </c>
      <c r="K2420" s="300">
        <v>1.0</v>
      </c>
      <c r="L2420" s="300">
        <v>1.0</v>
      </c>
      <c r="M2420" s="300">
        <v>1.0</v>
      </c>
      <c r="N2420" s="300">
        <v>8.0</v>
      </c>
      <c r="O2420" s="300" t="s">
        <v>912</v>
      </c>
      <c r="P2420" s="300">
        <v>6.0</v>
      </c>
    </row>
    <row r="2421">
      <c r="A2421">
        <f>IFERROR(__xludf.DUMMYFUNCTION("""COMPUTED_VALUE"""),11.0)</f>
        <v>11</v>
      </c>
      <c r="B2421" s="406">
        <f>IFERROR(__xludf.DUMMYFUNCTION("""COMPUTED_VALUE"""),27055.0)</f>
        <v>27055</v>
      </c>
      <c r="C2421" t="str">
        <f>IFERROR(__xludf.DUMMYFUNCTION("""COMPUTED_VALUE"""),"JARAMILLO URIBE, EMILIANO")</f>
        <v>JARAMILLO URIBE, EMILIANO</v>
      </c>
      <c r="D2421" t="str">
        <f>IFERROR(__xludf.DUMMYFUNCTION("""COMPUTED_VALUE"""),"PE 11")</f>
        <v>PE 11</v>
      </c>
      <c r="E2421" s="3">
        <f>IFERROR(__xludf.DUMMYFUNCTION("""COMPUTED_VALUE"""),2.0)</f>
        <v>2</v>
      </c>
      <c r="F2421" s="300">
        <v>1.0</v>
      </c>
      <c r="G2421" s="300">
        <v>1.0</v>
      </c>
      <c r="H2421" s="300">
        <v>1.0</v>
      </c>
      <c r="I2421" s="300">
        <v>1.0</v>
      </c>
      <c r="J2421" s="300">
        <v>1.0</v>
      </c>
      <c r="K2421" s="300">
        <v>1.0</v>
      </c>
      <c r="L2421" s="300">
        <v>1.0</v>
      </c>
      <c r="M2421" s="300">
        <v>1.0</v>
      </c>
      <c r="N2421" s="300">
        <v>8.0</v>
      </c>
      <c r="O2421" s="300" t="s">
        <v>912</v>
      </c>
      <c r="P2421" s="300">
        <v>6.0</v>
      </c>
    </row>
    <row r="2422">
      <c r="A2422">
        <f>IFERROR(__xludf.DUMMYFUNCTION("""COMPUTED_VALUE"""),11.0)</f>
        <v>11</v>
      </c>
      <c r="B2422">
        <f>IFERROR(__xludf.DUMMYFUNCTION("""COMPUTED_VALUE"""),27162.0)</f>
        <v>27162</v>
      </c>
      <c r="C2422" t="str">
        <f>IFERROR(__xludf.DUMMYFUNCTION("""COMPUTED_VALUE"""),"SUTTON ROITER, JACQUES")</f>
        <v>SUTTON ROITER, JACQUES</v>
      </c>
      <c r="D2422" t="str">
        <f>IFERROR(__xludf.DUMMYFUNCTION("""COMPUTED_VALUE"""),"PE 11")</f>
        <v>PE 11</v>
      </c>
      <c r="E2422" s="3">
        <f>IFERROR(__xludf.DUMMYFUNCTION("""COMPUTED_VALUE"""),1.0)</f>
        <v>1</v>
      </c>
      <c r="F2422" s="300">
        <v>1.0</v>
      </c>
      <c r="G2422" s="300">
        <v>1.0</v>
      </c>
      <c r="H2422" s="300">
        <v>1.0</v>
      </c>
      <c r="I2422" s="300">
        <v>1.0</v>
      </c>
      <c r="J2422" s="300">
        <v>1.0</v>
      </c>
      <c r="K2422" s="300">
        <v>1.0</v>
      </c>
      <c r="L2422" s="300">
        <v>1.0</v>
      </c>
      <c r="M2422" s="300">
        <v>1.0</v>
      </c>
      <c r="N2422" s="300">
        <v>8.0</v>
      </c>
      <c r="O2422" s="300" t="s">
        <v>911</v>
      </c>
      <c r="P2422" s="300">
        <v>6.0</v>
      </c>
    </row>
    <row r="2423">
      <c r="A2423">
        <f>IFERROR(__xludf.DUMMYFUNCTION("""COMPUTED_VALUE"""),11.0)</f>
        <v>11</v>
      </c>
      <c r="B2423">
        <f>IFERROR(__xludf.DUMMYFUNCTION("""COMPUTED_VALUE"""),27090.0)</f>
        <v>27090</v>
      </c>
      <c r="C2423" t="str">
        <f>IFERROR(__xludf.DUMMYFUNCTION("""COMPUTED_VALUE"""),"PERTUZ MUNERA, LUCIANA")</f>
        <v>PERTUZ MUNERA, LUCIANA</v>
      </c>
      <c r="D2423" t="str">
        <f>IFERROR(__xludf.DUMMYFUNCTION("""COMPUTED_VALUE"""),"PE 11")</f>
        <v>PE 11</v>
      </c>
      <c r="E2423" s="3">
        <f>IFERROR(__xludf.DUMMYFUNCTION("""COMPUTED_VALUE"""),6.0)</f>
        <v>6</v>
      </c>
      <c r="F2423" s="300">
        <v>1.0</v>
      </c>
      <c r="G2423" s="300">
        <v>1.0</v>
      </c>
      <c r="H2423" s="300">
        <v>1.0</v>
      </c>
      <c r="I2423" s="300">
        <v>1.0</v>
      </c>
      <c r="J2423" s="300">
        <v>1.0</v>
      </c>
      <c r="K2423" s="300">
        <v>1.0</v>
      </c>
      <c r="L2423" s="300">
        <v>1.0</v>
      </c>
      <c r="M2423" s="300">
        <v>1.0</v>
      </c>
      <c r="N2423" s="300">
        <v>8.0</v>
      </c>
      <c r="O2423" s="300" t="s">
        <v>910</v>
      </c>
      <c r="P2423" s="300">
        <v>6.0</v>
      </c>
    </row>
    <row r="2424">
      <c r="A2424">
        <f>IFERROR(__xludf.DUMMYFUNCTION("""COMPUTED_VALUE"""),11.0)</f>
        <v>11</v>
      </c>
      <c r="B2424">
        <f>IFERROR(__xludf.DUMMYFUNCTION("""COMPUTED_VALUE"""),27120.0)</f>
        <v>27120</v>
      </c>
      <c r="C2424" t="str">
        <f>IFERROR(__xludf.DUMMYFUNCTION("""COMPUTED_VALUE"""),"VARGAS ARBOLEDA, AMALIA")</f>
        <v>VARGAS ARBOLEDA, AMALIA</v>
      </c>
      <c r="D2424" t="str">
        <f>IFERROR(__xludf.DUMMYFUNCTION("""COMPUTED_VALUE"""),"PE 11")</f>
        <v>PE 11</v>
      </c>
      <c r="E2424" s="3">
        <f>IFERROR(__xludf.DUMMYFUNCTION("""COMPUTED_VALUE"""),4.0)</f>
        <v>4</v>
      </c>
      <c r="F2424" s="300">
        <v>1.0</v>
      </c>
      <c r="G2424" s="300">
        <v>1.0</v>
      </c>
      <c r="H2424" s="300">
        <v>1.0</v>
      </c>
      <c r="I2424" s="300">
        <v>1.0</v>
      </c>
      <c r="J2424" s="300">
        <v>1.0</v>
      </c>
      <c r="K2424" s="300">
        <v>1.0</v>
      </c>
      <c r="L2424" s="300">
        <v>1.0</v>
      </c>
      <c r="M2424" s="300">
        <v>1.0</v>
      </c>
      <c r="N2424" s="300">
        <v>8.0</v>
      </c>
      <c r="O2424" s="300" t="s">
        <v>908</v>
      </c>
      <c r="P2424" s="300">
        <v>6.0</v>
      </c>
    </row>
    <row r="2425">
      <c r="A2425">
        <f>IFERROR(__xludf.DUMMYFUNCTION("""COMPUTED_VALUE"""),11.0)</f>
        <v>11</v>
      </c>
      <c r="B2425">
        <f>IFERROR(__xludf.DUMMYFUNCTION("""COMPUTED_VALUE"""),27103.0)</f>
        <v>27103</v>
      </c>
      <c r="C2425" t="str">
        <f>IFERROR(__xludf.DUMMYFUNCTION("""COMPUTED_VALUE"""),"SANCHEZ DIAZ, TOMAS")</f>
        <v>SANCHEZ DIAZ, TOMAS</v>
      </c>
      <c r="D2425" t="str">
        <f>IFERROR(__xludf.DUMMYFUNCTION("""COMPUTED_VALUE"""),"PE 11")</f>
        <v>PE 11</v>
      </c>
      <c r="E2425" s="3">
        <f>IFERROR(__xludf.DUMMYFUNCTION("""COMPUTED_VALUE"""),1.0)</f>
        <v>1</v>
      </c>
      <c r="F2425" s="300">
        <v>1.0</v>
      </c>
      <c r="G2425" s="300">
        <v>1.0</v>
      </c>
      <c r="H2425" s="300">
        <v>1.0</v>
      </c>
      <c r="I2425" s="300">
        <v>1.0</v>
      </c>
      <c r="J2425" s="300">
        <v>1.0</v>
      </c>
      <c r="K2425" s="300">
        <v>1.0</v>
      </c>
      <c r="L2425" s="300">
        <v>1.0</v>
      </c>
      <c r="M2425" s="300">
        <v>1.0</v>
      </c>
      <c r="N2425" s="300">
        <v>8.0</v>
      </c>
      <c r="O2425" s="300" t="s">
        <v>911</v>
      </c>
      <c r="P2425" s="300">
        <v>6.0</v>
      </c>
    </row>
    <row r="2426">
      <c r="A2426">
        <f>IFERROR(__xludf.DUMMYFUNCTION("""COMPUTED_VALUE"""),11.0)</f>
        <v>11</v>
      </c>
      <c r="B2426">
        <f>IFERROR(__xludf.DUMMYFUNCTION("""COMPUTED_VALUE"""),27003.0)</f>
        <v>27003</v>
      </c>
      <c r="C2426" t="str">
        <f>IFERROR(__xludf.DUMMYFUNCTION("""COMPUTED_VALUE"""),"ANGEL GIRALDO, DANIELA")</f>
        <v>ANGEL GIRALDO, DANIELA</v>
      </c>
      <c r="D2426" t="str">
        <f>IFERROR(__xludf.DUMMYFUNCTION("""COMPUTED_VALUE"""),"PE 11")</f>
        <v>PE 11</v>
      </c>
      <c r="E2426" s="3">
        <f>IFERROR(__xludf.DUMMYFUNCTION("""COMPUTED_VALUE"""),7.0)</f>
        <v>7</v>
      </c>
      <c r="F2426" s="300">
        <v>1.0</v>
      </c>
      <c r="G2426" s="300">
        <v>1.0</v>
      </c>
      <c r="H2426" s="300">
        <v>1.0</v>
      </c>
      <c r="I2426" s="300">
        <v>1.0</v>
      </c>
      <c r="J2426" s="300">
        <v>1.0</v>
      </c>
      <c r="K2426" s="300">
        <v>1.0</v>
      </c>
      <c r="L2426" s="300">
        <v>1.0</v>
      </c>
      <c r="M2426" s="300">
        <v>1.0</v>
      </c>
      <c r="N2426" s="300">
        <v>8.0</v>
      </c>
      <c r="O2426" s="300" t="s">
        <v>913</v>
      </c>
      <c r="P2426" s="300">
        <v>6.0</v>
      </c>
    </row>
    <row r="2427">
      <c r="A2427">
        <f>IFERROR(__xludf.DUMMYFUNCTION("""COMPUTED_VALUE"""),11.0)</f>
        <v>11</v>
      </c>
      <c r="B2427">
        <f>IFERROR(__xludf.DUMMYFUNCTION("""COMPUTED_VALUE"""),27061.0)</f>
        <v>27061</v>
      </c>
      <c r="C2427" t="str">
        <f>IFERROR(__xludf.DUMMYFUNCTION("""COMPUTED_VALUE"""),"MANTILLA LONDOÑO, EMILIO")</f>
        <v>MANTILLA LONDOÑO, EMILIO</v>
      </c>
      <c r="D2427" t="str">
        <f>IFERROR(__xludf.DUMMYFUNCTION("""COMPUTED_VALUE"""),"PE 11")</f>
        <v>PE 11</v>
      </c>
      <c r="E2427" s="3">
        <f>IFERROR(__xludf.DUMMYFUNCTION("""COMPUTED_VALUE"""),6.0)</f>
        <v>6</v>
      </c>
      <c r="F2427" s="300">
        <v>1.0</v>
      </c>
      <c r="G2427" s="300">
        <v>1.0</v>
      </c>
      <c r="H2427" s="300">
        <v>1.0</v>
      </c>
      <c r="I2427" s="300">
        <v>1.0</v>
      </c>
      <c r="J2427" s="300">
        <v>1.0</v>
      </c>
      <c r="K2427" s="300">
        <v>1.0</v>
      </c>
      <c r="L2427" s="300">
        <v>1.0</v>
      </c>
      <c r="M2427" s="300">
        <v>1.0</v>
      </c>
      <c r="N2427" s="300">
        <v>8.0</v>
      </c>
      <c r="O2427" s="300" t="s">
        <v>910</v>
      </c>
      <c r="P2427" s="300">
        <v>6.0</v>
      </c>
    </row>
    <row r="2428">
      <c r="A2428">
        <f>IFERROR(__xludf.DUMMYFUNCTION("""COMPUTED_VALUE"""),11.0)</f>
        <v>11</v>
      </c>
      <c r="B2428">
        <f>IFERROR(__xludf.DUMMYFUNCTION("""COMPUTED_VALUE"""),27028.0)</f>
        <v>27028</v>
      </c>
      <c r="C2428" t="str">
        <f>IFERROR(__xludf.DUMMYFUNCTION("""COMPUTED_VALUE"""),"DUQUE LUENGAS, CAROLINA")</f>
        <v>DUQUE LUENGAS, CAROLINA</v>
      </c>
      <c r="D2428" t="str">
        <f>IFERROR(__xludf.DUMMYFUNCTION("""COMPUTED_VALUE"""),"PE 11")</f>
        <v>PE 11</v>
      </c>
      <c r="E2428" s="3">
        <f>IFERROR(__xludf.DUMMYFUNCTION("""COMPUTED_VALUE"""),1.0)</f>
        <v>1</v>
      </c>
      <c r="F2428" s="300">
        <v>1.0</v>
      </c>
      <c r="G2428" s="300">
        <v>1.0</v>
      </c>
      <c r="H2428" s="300">
        <v>1.0</v>
      </c>
      <c r="I2428" s="300">
        <v>1.0</v>
      </c>
      <c r="J2428" s="300">
        <v>1.0</v>
      </c>
      <c r="K2428" s="300">
        <v>1.0</v>
      </c>
      <c r="L2428" s="300">
        <v>1.0</v>
      </c>
      <c r="M2428" s="300">
        <v>1.0</v>
      </c>
      <c r="N2428" s="300">
        <v>8.0</v>
      </c>
      <c r="O2428" s="300" t="s">
        <v>911</v>
      </c>
      <c r="P2428" s="300">
        <v>6.0</v>
      </c>
    </row>
    <row r="2429">
      <c r="A2429">
        <f>IFERROR(__xludf.DUMMYFUNCTION("""COMPUTED_VALUE"""),11.0)</f>
        <v>11</v>
      </c>
      <c r="B2429">
        <f>IFERROR(__xludf.DUMMYFUNCTION("""COMPUTED_VALUE"""),27097.0)</f>
        <v>27097</v>
      </c>
      <c r="C2429" t="str">
        <f>IFERROR(__xludf.DUMMYFUNCTION("""COMPUTED_VALUE"""),"ROBLEDO BETANCOURTH, JUAN FELIPE")</f>
        <v>ROBLEDO BETANCOURTH, JUAN FELIPE</v>
      </c>
      <c r="D2429" t="str">
        <f>IFERROR(__xludf.DUMMYFUNCTION("""COMPUTED_VALUE"""),"PE 11")</f>
        <v>PE 11</v>
      </c>
      <c r="E2429" s="3">
        <f>IFERROR(__xludf.DUMMYFUNCTION("""COMPUTED_VALUE"""),6.0)</f>
        <v>6</v>
      </c>
      <c r="F2429" s="300">
        <v>1.0</v>
      </c>
      <c r="G2429" s="300">
        <v>1.0</v>
      </c>
      <c r="H2429" s="300">
        <v>1.0</v>
      </c>
      <c r="I2429" s="300">
        <v>1.0</v>
      </c>
      <c r="J2429" s="300">
        <v>1.0</v>
      </c>
      <c r="K2429" s="300">
        <v>1.0</v>
      </c>
      <c r="L2429" s="300">
        <v>1.0</v>
      </c>
      <c r="M2429" s="300">
        <v>1.0</v>
      </c>
      <c r="N2429" s="300">
        <v>8.0</v>
      </c>
      <c r="O2429" s="300" t="s">
        <v>910</v>
      </c>
      <c r="P2429" s="300">
        <v>6.0</v>
      </c>
    </row>
    <row r="2430">
      <c r="A2430">
        <f>IFERROR(__xludf.DUMMYFUNCTION("""COMPUTED_VALUE"""),11.0)</f>
        <v>11</v>
      </c>
      <c r="B2430">
        <f>IFERROR(__xludf.DUMMYFUNCTION("""COMPUTED_VALUE"""),27116.0)</f>
        <v>27116</v>
      </c>
      <c r="C2430" t="str">
        <f>IFERROR(__xludf.DUMMYFUNCTION("""COMPUTED_VALUE"""),"TRUJILLO CHICA, MANUELA")</f>
        <v>TRUJILLO CHICA, MANUELA</v>
      </c>
      <c r="D2430" t="str">
        <f>IFERROR(__xludf.DUMMYFUNCTION("""COMPUTED_VALUE"""),"PE 11")</f>
        <v>PE 11</v>
      </c>
      <c r="E2430" s="3">
        <f>IFERROR(__xludf.DUMMYFUNCTION("""COMPUTED_VALUE"""),6.0)</f>
        <v>6</v>
      </c>
      <c r="F2430" s="300">
        <v>1.0</v>
      </c>
      <c r="G2430" s="300">
        <v>1.0</v>
      </c>
      <c r="H2430" s="300">
        <v>1.0</v>
      </c>
      <c r="I2430" s="300">
        <v>1.0</v>
      </c>
      <c r="J2430" s="300">
        <v>1.0</v>
      </c>
      <c r="K2430" s="300">
        <v>1.0</v>
      </c>
      <c r="L2430" s="300">
        <v>1.0</v>
      </c>
      <c r="M2430" s="300">
        <v>1.0</v>
      </c>
      <c r="N2430" s="300">
        <v>8.0</v>
      </c>
      <c r="O2430" s="300" t="s">
        <v>910</v>
      </c>
      <c r="P2430" s="300">
        <v>6.0</v>
      </c>
    </row>
    <row r="2431">
      <c r="A2431">
        <f>IFERROR(__xludf.DUMMYFUNCTION("""COMPUTED_VALUE"""),11.0)</f>
        <v>11</v>
      </c>
      <c r="B2431">
        <f>IFERROR(__xludf.DUMMYFUNCTION("""COMPUTED_VALUE"""),27019.0)</f>
        <v>27019</v>
      </c>
      <c r="C2431" t="str">
        <f>IFERROR(__xludf.DUMMYFUNCTION("""COMPUTED_VALUE"""),"BOTERO ESCOBAR, PEDRO")</f>
        <v>BOTERO ESCOBAR, PEDRO</v>
      </c>
      <c r="D2431" t="str">
        <f>IFERROR(__xludf.DUMMYFUNCTION("""COMPUTED_VALUE"""),"PE 11")</f>
        <v>PE 11</v>
      </c>
      <c r="E2431" s="3">
        <f>IFERROR(__xludf.DUMMYFUNCTION("""COMPUTED_VALUE"""),6.0)</f>
        <v>6</v>
      </c>
      <c r="F2431" s="300">
        <v>1.0</v>
      </c>
      <c r="G2431" s="300">
        <v>1.0</v>
      </c>
      <c r="H2431" s="300">
        <v>1.0</v>
      </c>
      <c r="I2431" s="300">
        <v>1.0</v>
      </c>
      <c r="J2431" s="300">
        <v>1.0</v>
      </c>
      <c r="K2431" s="300">
        <v>1.0</v>
      </c>
      <c r="L2431" s="300">
        <v>1.0</v>
      </c>
      <c r="M2431" s="300">
        <v>1.0</v>
      </c>
      <c r="N2431" s="300">
        <v>8.0</v>
      </c>
      <c r="O2431" s="300" t="s">
        <v>910</v>
      </c>
      <c r="P2431" s="300">
        <v>6.0</v>
      </c>
    </row>
    <row r="2432">
      <c r="A2432">
        <f>IFERROR(__xludf.DUMMYFUNCTION("""COMPUTED_VALUE"""),11.0)</f>
        <v>11</v>
      </c>
      <c r="B2432">
        <f>IFERROR(__xludf.DUMMYFUNCTION("""COMPUTED_VALUE"""),27052.0)</f>
        <v>27052</v>
      </c>
      <c r="C2432" t="str">
        <f>IFERROR(__xludf.DUMMYFUNCTION("""COMPUTED_VALUE"""),"JARAMILLO CADAVID, GABRIEL")</f>
        <v>JARAMILLO CADAVID, GABRIEL</v>
      </c>
      <c r="D2432" t="str">
        <f>IFERROR(__xludf.DUMMYFUNCTION("""COMPUTED_VALUE"""),"PE 11")</f>
        <v>PE 11</v>
      </c>
      <c r="E2432" s="3">
        <f>IFERROR(__xludf.DUMMYFUNCTION("""COMPUTED_VALUE"""),2.0)</f>
        <v>2</v>
      </c>
      <c r="F2432" s="300">
        <v>1.0</v>
      </c>
      <c r="G2432" s="300">
        <v>1.0</v>
      </c>
      <c r="H2432" s="300">
        <v>1.0</v>
      </c>
      <c r="I2432" s="300">
        <v>1.0</v>
      </c>
      <c r="J2432" s="300">
        <v>1.0</v>
      </c>
      <c r="K2432" s="300">
        <v>1.0</v>
      </c>
      <c r="L2432" s="300">
        <v>1.0</v>
      </c>
      <c r="M2432" s="300">
        <v>1.0</v>
      </c>
      <c r="N2432" s="300">
        <v>8.0</v>
      </c>
      <c r="O2432" s="300" t="s">
        <v>912</v>
      </c>
      <c r="P2432" s="300">
        <v>6.0</v>
      </c>
    </row>
    <row r="2433">
      <c r="A2433">
        <f>IFERROR(__xludf.DUMMYFUNCTION("""COMPUTED_VALUE"""),11.0)</f>
        <v>11</v>
      </c>
      <c r="B2433">
        <f>IFERROR(__xludf.DUMMYFUNCTION("""COMPUTED_VALUE"""),27027.0)</f>
        <v>27027</v>
      </c>
      <c r="C2433" t="str">
        <f>IFERROR(__xludf.DUMMYFUNCTION("""COMPUTED_VALUE"""),"DUQUE LOTERO, GREGORIO")</f>
        <v>DUQUE LOTERO, GREGORIO</v>
      </c>
      <c r="D2433" t="str">
        <f>IFERROR(__xludf.DUMMYFUNCTION("""COMPUTED_VALUE"""),"PE 11")</f>
        <v>PE 11</v>
      </c>
      <c r="E2433" s="3">
        <f>IFERROR(__xludf.DUMMYFUNCTION("""COMPUTED_VALUE"""),1.0)</f>
        <v>1</v>
      </c>
      <c r="F2433" s="300">
        <v>1.0</v>
      </c>
      <c r="G2433" s="300">
        <v>1.0</v>
      </c>
      <c r="H2433" s="300">
        <v>1.0</v>
      </c>
      <c r="I2433" s="300">
        <v>1.0</v>
      </c>
      <c r="J2433" s="300">
        <v>1.0</v>
      </c>
      <c r="K2433" s="300">
        <v>1.0</v>
      </c>
      <c r="L2433" s="300">
        <v>1.0</v>
      </c>
      <c r="M2433" s="300">
        <v>1.0</v>
      </c>
      <c r="N2433" s="300">
        <v>8.0</v>
      </c>
      <c r="O2433" s="300" t="s">
        <v>911</v>
      </c>
      <c r="P2433" s="300">
        <v>6.0</v>
      </c>
    </row>
    <row r="2434">
      <c r="A2434">
        <f>IFERROR(__xludf.DUMMYFUNCTION("""COMPUTED_VALUE"""),11.0)</f>
        <v>11</v>
      </c>
      <c r="B2434">
        <f>IFERROR(__xludf.DUMMYFUNCTION("""COMPUTED_VALUE"""),27110.0)</f>
        <v>27110</v>
      </c>
      <c r="C2434" t="str">
        <f>IFERROR(__xludf.DUMMYFUNCTION("""COMPUTED_VALUE"""),"TABARES MORENO, PABLO ANDRES")</f>
        <v>TABARES MORENO, PABLO ANDRES</v>
      </c>
      <c r="D2434" t="str">
        <f>IFERROR(__xludf.DUMMYFUNCTION("""COMPUTED_VALUE"""),"PE 11")</f>
        <v>PE 11</v>
      </c>
      <c r="E2434" s="3">
        <f>IFERROR(__xludf.DUMMYFUNCTION("""COMPUTED_VALUE"""),7.0)</f>
        <v>7</v>
      </c>
      <c r="F2434" s="300">
        <v>1.0</v>
      </c>
      <c r="G2434" s="300">
        <v>1.0</v>
      </c>
      <c r="H2434" s="300">
        <v>1.0</v>
      </c>
      <c r="I2434" s="300">
        <v>1.0</v>
      </c>
      <c r="J2434" s="300">
        <v>1.0</v>
      </c>
      <c r="K2434" s="300">
        <v>1.0</v>
      </c>
      <c r="L2434" s="300">
        <v>1.0</v>
      </c>
      <c r="M2434" s="300">
        <v>1.0</v>
      </c>
      <c r="N2434" s="300">
        <v>8.0</v>
      </c>
      <c r="O2434" s="300" t="s">
        <v>913</v>
      </c>
      <c r="P2434" s="300">
        <v>6.0</v>
      </c>
    </row>
    <row r="2435">
      <c r="A2435">
        <f>IFERROR(__xludf.DUMMYFUNCTION("""COMPUTED_VALUE"""),11.0)</f>
        <v>11</v>
      </c>
      <c r="B2435">
        <f>IFERROR(__xludf.DUMMYFUNCTION("""COMPUTED_VALUE"""),27026.0)</f>
        <v>27026</v>
      </c>
      <c r="C2435" t="str">
        <f>IFERROR(__xludf.DUMMYFUNCTION("""COMPUTED_VALUE"""),"CORREA MEJIA, AMALIA")</f>
        <v>CORREA MEJIA, AMALIA</v>
      </c>
      <c r="D2435" t="str">
        <f>IFERROR(__xludf.DUMMYFUNCTION("""COMPUTED_VALUE"""),"PE 11")</f>
        <v>PE 11</v>
      </c>
      <c r="E2435" s="3">
        <f>IFERROR(__xludf.DUMMYFUNCTION("""COMPUTED_VALUE"""),7.0)</f>
        <v>7</v>
      </c>
      <c r="F2435" s="300">
        <v>1.0</v>
      </c>
      <c r="G2435" s="300">
        <v>1.0</v>
      </c>
      <c r="H2435" s="300">
        <v>1.0</v>
      </c>
      <c r="I2435" s="300">
        <v>1.0</v>
      </c>
      <c r="J2435" s="300">
        <v>1.0</v>
      </c>
      <c r="K2435" s="300">
        <v>1.0</v>
      </c>
      <c r="L2435" s="300">
        <v>1.0</v>
      </c>
      <c r="M2435" s="300">
        <v>1.0</v>
      </c>
      <c r="N2435" s="300">
        <v>8.0</v>
      </c>
      <c r="O2435" s="300" t="s">
        <v>913</v>
      </c>
      <c r="P2435" s="300">
        <v>6.0</v>
      </c>
    </row>
    <row r="2436">
      <c r="A2436">
        <f>IFERROR(__xludf.DUMMYFUNCTION("""COMPUTED_VALUE"""),11.0)</f>
        <v>11</v>
      </c>
      <c r="B2436">
        <f>IFERROR(__xludf.DUMMYFUNCTION("""COMPUTED_VALUE"""),27079.0)</f>
        <v>27079</v>
      </c>
      <c r="C2436" t="str">
        <f>IFERROR(__xludf.DUMMYFUNCTION("""COMPUTED_VALUE"""),"ORTEGA TOBON, ESTEBAN")</f>
        <v>ORTEGA TOBON, ESTEBAN</v>
      </c>
      <c r="D2436" t="str">
        <f>IFERROR(__xludf.DUMMYFUNCTION("""COMPUTED_VALUE"""),"PE 11")</f>
        <v>PE 11</v>
      </c>
      <c r="E2436" s="3">
        <f>IFERROR(__xludf.DUMMYFUNCTION("""COMPUTED_VALUE"""),4.0)</f>
        <v>4</v>
      </c>
      <c r="F2436" s="300">
        <v>1.0</v>
      </c>
      <c r="G2436" s="300">
        <v>1.0</v>
      </c>
      <c r="H2436" s="300">
        <v>1.0</v>
      </c>
      <c r="I2436" s="300">
        <v>1.0</v>
      </c>
      <c r="J2436" s="300">
        <v>1.0</v>
      </c>
      <c r="K2436" s="300">
        <v>1.0</v>
      </c>
      <c r="L2436" s="300">
        <v>1.0</v>
      </c>
      <c r="M2436" s="300">
        <v>1.0</v>
      </c>
      <c r="N2436" s="300">
        <v>8.0</v>
      </c>
      <c r="O2436" s="300" t="s">
        <v>908</v>
      </c>
      <c r="P2436" s="300">
        <v>6.0</v>
      </c>
    </row>
    <row r="2437">
      <c r="A2437">
        <f>IFERROR(__xludf.DUMMYFUNCTION("""COMPUTED_VALUE"""),11.0)</f>
        <v>11</v>
      </c>
      <c r="B2437">
        <f>IFERROR(__xludf.DUMMYFUNCTION("""COMPUTED_VALUE"""),27032.0)</f>
        <v>27032</v>
      </c>
      <c r="C2437" t="str">
        <f>IFERROR(__xludf.DUMMYFUNCTION("""COMPUTED_VALUE"""),"ECHEVERRI ZAPATA, MATIAS")</f>
        <v>ECHEVERRI ZAPATA, MATIAS</v>
      </c>
      <c r="D2437" t="str">
        <f>IFERROR(__xludf.DUMMYFUNCTION("""COMPUTED_VALUE"""),"PE 11")</f>
        <v>PE 11</v>
      </c>
      <c r="E2437" s="3">
        <f>IFERROR(__xludf.DUMMYFUNCTION("""COMPUTED_VALUE"""),2.0)</f>
        <v>2</v>
      </c>
      <c r="F2437" s="300">
        <v>1.0</v>
      </c>
      <c r="G2437" s="300">
        <v>1.0</v>
      </c>
      <c r="H2437" s="300">
        <v>1.0</v>
      </c>
      <c r="I2437" s="300">
        <v>1.0</v>
      </c>
      <c r="J2437" s="300">
        <v>1.0</v>
      </c>
      <c r="K2437" s="300">
        <v>1.0</v>
      </c>
      <c r="L2437" s="300">
        <v>1.0</v>
      </c>
      <c r="M2437" s="300">
        <v>1.0</v>
      </c>
      <c r="N2437" s="300">
        <v>8.0</v>
      </c>
      <c r="O2437" s="300" t="s">
        <v>912</v>
      </c>
      <c r="P2437" s="300">
        <v>6.0</v>
      </c>
    </row>
    <row r="2438">
      <c r="A2438">
        <f>IFERROR(__xludf.DUMMYFUNCTION("""COMPUTED_VALUE"""),11.0)</f>
        <v>11</v>
      </c>
      <c r="B2438">
        <f>IFERROR(__xludf.DUMMYFUNCTION("""COMPUTED_VALUE"""),27174.0)</f>
        <v>27174</v>
      </c>
      <c r="C2438" t="str">
        <f>IFERROR(__xludf.DUMMYFUNCTION("""COMPUTED_VALUE"""),"GAITAN, LUCIA")</f>
        <v>GAITAN, LUCIA</v>
      </c>
      <c r="D2438" t="str">
        <f>IFERROR(__xludf.DUMMYFUNCTION("""COMPUTED_VALUE"""),"PE 11")</f>
        <v>PE 11</v>
      </c>
      <c r="E2438" s="3">
        <f>IFERROR(__xludf.DUMMYFUNCTION("""COMPUTED_VALUE"""),6.0)</f>
        <v>6</v>
      </c>
      <c r="F2438" s="300">
        <v>1.0</v>
      </c>
      <c r="G2438" s="300">
        <v>1.0</v>
      </c>
      <c r="H2438" s="300">
        <v>1.0</v>
      </c>
      <c r="I2438" s="300">
        <v>1.0</v>
      </c>
      <c r="J2438" s="300">
        <v>1.0</v>
      </c>
      <c r="K2438" s="300">
        <v>1.0</v>
      </c>
      <c r="L2438" s="300">
        <v>1.0</v>
      </c>
      <c r="M2438" s="300">
        <v>1.0</v>
      </c>
      <c r="N2438" s="300">
        <v>8.0</v>
      </c>
      <c r="O2438" s="300" t="s">
        <v>910</v>
      </c>
      <c r="P2438" s="300">
        <v>6.0</v>
      </c>
    </row>
    <row r="2439">
      <c r="A2439">
        <f>IFERROR(__xludf.DUMMYFUNCTION("""COMPUTED_VALUE"""),11.0)</f>
        <v>11</v>
      </c>
      <c r="B2439">
        <f>IFERROR(__xludf.DUMMYFUNCTION("""COMPUTED_VALUE"""),27108.0)</f>
        <v>27108</v>
      </c>
      <c r="C2439" t="str">
        <f>IFERROR(__xludf.DUMMYFUNCTION("""COMPUTED_VALUE"""),"SANTAMARIA VILLA, MARCO")</f>
        <v>SANTAMARIA VILLA, MARCO</v>
      </c>
      <c r="D2439" t="str">
        <f>IFERROR(__xludf.DUMMYFUNCTION("""COMPUTED_VALUE"""),"PE 11")</f>
        <v>PE 11</v>
      </c>
      <c r="E2439" s="3">
        <f>IFERROR(__xludf.DUMMYFUNCTION("""COMPUTED_VALUE"""),7.0)</f>
        <v>7</v>
      </c>
      <c r="F2439" s="300">
        <v>1.0</v>
      </c>
      <c r="G2439" s="300">
        <v>1.0</v>
      </c>
      <c r="H2439" s="300">
        <v>1.0</v>
      </c>
      <c r="I2439" s="300">
        <v>1.0</v>
      </c>
      <c r="J2439" s="300">
        <v>1.0</v>
      </c>
      <c r="K2439" s="300">
        <v>1.0</v>
      </c>
      <c r="L2439" s="300">
        <v>1.0</v>
      </c>
      <c r="M2439" s="300">
        <v>1.0</v>
      </c>
      <c r="N2439" s="300">
        <v>8.0</v>
      </c>
      <c r="O2439" s="300" t="s">
        <v>913</v>
      </c>
      <c r="P2439" s="300">
        <v>6.0</v>
      </c>
    </row>
    <row r="2440">
      <c r="A2440">
        <f>IFERROR(__xludf.DUMMYFUNCTION("""COMPUTED_VALUE"""),11.0)</f>
        <v>11</v>
      </c>
      <c r="B2440">
        <f>IFERROR(__xludf.DUMMYFUNCTION("""COMPUTED_VALUE"""),27010.0)</f>
        <v>27010</v>
      </c>
      <c r="C2440" t="str">
        <f>IFERROR(__xludf.DUMMYFUNCTION("""COMPUTED_VALUE"""),"ARRUBLA OSPINA, MANOLO")</f>
        <v>ARRUBLA OSPINA, MANOLO</v>
      </c>
      <c r="D2440" t="str">
        <f>IFERROR(__xludf.DUMMYFUNCTION("""COMPUTED_VALUE"""),"PE 11")</f>
        <v>PE 11</v>
      </c>
      <c r="E2440" s="3">
        <f>IFERROR(__xludf.DUMMYFUNCTION("""COMPUTED_VALUE"""),1.0)</f>
        <v>1</v>
      </c>
      <c r="F2440" s="300">
        <v>1.0</v>
      </c>
      <c r="G2440" s="300">
        <v>1.0</v>
      </c>
      <c r="H2440" s="300">
        <v>1.0</v>
      </c>
      <c r="I2440" s="300">
        <v>1.0</v>
      </c>
      <c r="J2440" s="300">
        <v>1.0</v>
      </c>
      <c r="K2440" s="300">
        <v>1.0</v>
      </c>
      <c r="L2440" s="300">
        <v>1.0</v>
      </c>
      <c r="M2440" s="300">
        <v>1.0</v>
      </c>
      <c r="N2440" s="300">
        <v>8.0</v>
      </c>
      <c r="O2440" s="300" t="s">
        <v>911</v>
      </c>
      <c r="P2440" s="300">
        <v>6.0</v>
      </c>
    </row>
    <row r="2441">
      <c r="A2441">
        <f>IFERROR(__xludf.DUMMYFUNCTION("""COMPUTED_VALUE"""),11.0)</f>
        <v>11</v>
      </c>
      <c r="B2441">
        <f>IFERROR(__xludf.DUMMYFUNCTION("""COMPUTED_VALUE"""),27163.0)</f>
        <v>27163</v>
      </c>
      <c r="C2441" t="str">
        <f>IFERROR(__xludf.DUMMYFUNCTION("""COMPUTED_VALUE"""),"NIEHAUS TRUJILLO, ARIANNA DE LOS ANGELES")</f>
        <v>NIEHAUS TRUJILLO, ARIANNA DE LOS ANGELES</v>
      </c>
      <c r="D2441" t="str">
        <f>IFERROR(__xludf.DUMMYFUNCTION("""COMPUTED_VALUE"""),"PE 11")</f>
        <v>PE 11</v>
      </c>
      <c r="E2441" s="3">
        <f>IFERROR(__xludf.DUMMYFUNCTION("""COMPUTED_VALUE"""),4.0)</f>
        <v>4</v>
      </c>
      <c r="F2441" s="300">
        <v>1.0</v>
      </c>
      <c r="G2441" s="300">
        <v>1.0</v>
      </c>
      <c r="H2441" s="300">
        <v>1.0</v>
      </c>
      <c r="I2441" s="300">
        <v>1.0</v>
      </c>
      <c r="J2441" s="300">
        <v>1.0</v>
      </c>
      <c r="K2441" s="300">
        <v>1.0</v>
      </c>
      <c r="L2441" s="300">
        <v>1.0</v>
      </c>
      <c r="M2441" s="300">
        <v>1.0</v>
      </c>
      <c r="N2441" s="300">
        <v>8.0</v>
      </c>
      <c r="O2441" s="300" t="s">
        <v>908</v>
      </c>
      <c r="P2441" s="300">
        <v>6.0</v>
      </c>
    </row>
    <row r="2442">
      <c r="A2442">
        <f>IFERROR(__xludf.DUMMYFUNCTION("""COMPUTED_VALUE"""),11.0)</f>
        <v>11</v>
      </c>
      <c r="B2442">
        <f>IFERROR(__xludf.DUMMYFUNCTION("""COMPUTED_VALUE"""),27141.0)</f>
        <v>27141</v>
      </c>
      <c r="C2442" t="str">
        <f>IFERROR(__xludf.DUMMYFUNCTION("""COMPUTED_VALUE"""),"MEJIA RESTREPO, PABLO")</f>
        <v>MEJIA RESTREPO, PABLO</v>
      </c>
      <c r="D2442" t="str">
        <f>IFERROR(__xludf.DUMMYFUNCTION("""COMPUTED_VALUE"""),"PE 11")</f>
        <v>PE 11</v>
      </c>
      <c r="E2442" s="3">
        <f>IFERROR(__xludf.DUMMYFUNCTION("""COMPUTED_VALUE"""),3.0)</f>
        <v>3</v>
      </c>
      <c r="F2442" s="300">
        <v>1.0</v>
      </c>
      <c r="G2442" s="300">
        <v>1.0</v>
      </c>
      <c r="H2442" s="300">
        <v>1.0</v>
      </c>
      <c r="I2442" s="300">
        <v>1.0</v>
      </c>
      <c r="J2442" s="300">
        <v>1.0</v>
      </c>
      <c r="K2442" s="300">
        <v>1.0</v>
      </c>
      <c r="L2442" s="300">
        <v>1.0</v>
      </c>
      <c r="M2442" s="300">
        <v>1.0</v>
      </c>
      <c r="N2442" s="300">
        <v>8.0</v>
      </c>
      <c r="O2442" s="300" t="s">
        <v>909</v>
      </c>
      <c r="P2442" s="300">
        <v>6.0</v>
      </c>
    </row>
    <row r="2443">
      <c r="A2443">
        <f>IFERROR(__xludf.DUMMYFUNCTION("""COMPUTED_VALUE"""),11.0)</f>
        <v>11</v>
      </c>
      <c r="B2443">
        <f>IFERROR(__xludf.DUMMYFUNCTION("""COMPUTED_VALUE"""),27025.0)</f>
        <v>27025</v>
      </c>
      <c r="C2443" t="str">
        <f>IFERROR(__xludf.DUMMYFUNCTION("""COMPUTED_VALUE"""),"COCK HENAO, MATIAS")</f>
        <v>COCK HENAO, MATIAS</v>
      </c>
      <c r="D2443" t="str">
        <f>IFERROR(__xludf.DUMMYFUNCTION("""COMPUTED_VALUE"""),"PE 11")</f>
        <v>PE 11</v>
      </c>
      <c r="E2443" s="3">
        <f>IFERROR(__xludf.DUMMYFUNCTION("""COMPUTED_VALUE"""),3.0)</f>
        <v>3</v>
      </c>
      <c r="F2443" s="300">
        <v>1.0</v>
      </c>
      <c r="G2443" s="300">
        <v>1.0</v>
      </c>
      <c r="H2443" s="300">
        <v>1.0</v>
      </c>
      <c r="I2443" s="300">
        <v>1.0</v>
      </c>
      <c r="J2443" s="300">
        <v>1.0</v>
      </c>
      <c r="K2443" s="300">
        <v>1.0</v>
      </c>
      <c r="L2443" s="300">
        <v>1.0</v>
      </c>
      <c r="M2443" s="300">
        <v>1.0</v>
      </c>
      <c r="N2443" s="300">
        <v>8.0</v>
      </c>
      <c r="O2443" s="300" t="s">
        <v>909</v>
      </c>
      <c r="P2443" s="300">
        <v>6.0</v>
      </c>
    </row>
    <row r="2444">
      <c r="A2444">
        <f>IFERROR(__xludf.DUMMYFUNCTION("""COMPUTED_VALUE"""),11.0)</f>
        <v>11</v>
      </c>
      <c r="B2444">
        <f>IFERROR(__xludf.DUMMYFUNCTION("""COMPUTED_VALUE"""),26009.0)</f>
        <v>26009</v>
      </c>
      <c r="C2444" t="str">
        <f>IFERROR(__xludf.DUMMYFUNCTION("""COMPUTED_VALUE"""),"ARANGO NAVARRO, PEDRO")</f>
        <v>ARANGO NAVARRO, PEDRO</v>
      </c>
      <c r="D2444" t="str">
        <f>IFERROR(__xludf.DUMMYFUNCTION("""COMPUTED_VALUE"""),"PE 11")</f>
        <v>PE 11</v>
      </c>
      <c r="E2444" s="3">
        <f>IFERROR(__xludf.DUMMYFUNCTION("""COMPUTED_VALUE"""),1.0)</f>
        <v>1</v>
      </c>
      <c r="F2444" s="300">
        <v>1.0</v>
      </c>
      <c r="G2444" s="300">
        <v>1.0</v>
      </c>
      <c r="H2444" s="300">
        <v>1.0</v>
      </c>
      <c r="I2444" s="300">
        <v>1.0</v>
      </c>
      <c r="J2444" s="300">
        <v>1.0</v>
      </c>
      <c r="K2444" s="300">
        <v>1.0</v>
      </c>
      <c r="L2444" s="300">
        <v>1.0</v>
      </c>
      <c r="M2444" s="300">
        <v>1.0</v>
      </c>
      <c r="N2444" s="300">
        <v>8.0</v>
      </c>
      <c r="O2444" s="300" t="s">
        <v>911</v>
      </c>
      <c r="P2444" s="300">
        <v>6.0</v>
      </c>
    </row>
    <row r="2445">
      <c r="A2445">
        <f>IFERROR(__xludf.DUMMYFUNCTION("""COMPUTED_VALUE"""),11.0)</f>
        <v>11</v>
      </c>
      <c r="B2445">
        <f>IFERROR(__xludf.DUMMYFUNCTION("""COMPUTED_VALUE"""),27077.0)</f>
        <v>27077</v>
      </c>
      <c r="C2445" t="str">
        <f>IFERROR(__xludf.DUMMYFUNCTION("""COMPUTED_VALUE"""),"MORENO MUNERA, MATILDA")</f>
        <v>MORENO MUNERA, MATILDA</v>
      </c>
      <c r="D2445" t="str">
        <f>IFERROR(__xludf.DUMMYFUNCTION("""COMPUTED_VALUE"""),"PE 11")</f>
        <v>PE 11</v>
      </c>
      <c r="E2445" s="3">
        <f>IFERROR(__xludf.DUMMYFUNCTION("""COMPUTED_VALUE"""),2.0)</f>
        <v>2</v>
      </c>
      <c r="F2445" s="300">
        <v>1.0</v>
      </c>
      <c r="G2445" s="300">
        <v>1.0</v>
      </c>
      <c r="H2445" s="300">
        <v>1.0</v>
      </c>
      <c r="I2445" s="300">
        <v>1.0</v>
      </c>
      <c r="J2445" s="300">
        <v>1.0</v>
      </c>
      <c r="K2445" s="300">
        <v>1.0</v>
      </c>
      <c r="L2445" s="300">
        <v>1.0</v>
      </c>
      <c r="M2445" s="300">
        <v>1.0</v>
      </c>
      <c r="N2445" s="300">
        <v>8.0</v>
      </c>
      <c r="O2445" s="300" t="s">
        <v>912</v>
      </c>
      <c r="P2445" s="300">
        <v>6.0</v>
      </c>
    </row>
    <row r="2446">
      <c r="A2446">
        <f>IFERROR(__xludf.DUMMYFUNCTION("""COMPUTED_VALUE"""),11.0)</f>
        <v>11</v>
      </c>
      <c r="B2446">
        <f>IFERROR(__xludf.DUMMYFUNCTION("""COMPUTED_VALUE"""),27098.0)</f>
        <v>27098</v>
      </c>
      <c r="C2446" t="str">
        <f>IFERROR(__xludf.DUMMYFUNCTION("""COMPUTED_VALUE"""),"ROJAS LOPEZ, EMILIANA")</f>
        <v>ROJAS LOPEZ, EMILIANA</v>
      </c>
      <c r="D2446" t="str">
        <f>IFERROR(__xludf.DUMMYFUNCTION("""COMPUTED_VALUE"""),"PE 11")</f>
        <v>PE 11</v>
      </c>
      <c r="E2446" s="3">
        <f>IFERROR(__xludf.DUMMYFUNCTION("""COMPUTED_VALUE"""),4.0)</f>
        <v>4</v>
      </c>
      <c r="F2446" s="300">
        <v>1.0</v>
      </c>
      <c r="G2446" s="300">
        <v>1.0</v>
      </c>
      <c r="H2446" s="300">
        <v>1.0</v>
      </c>
      <c r="I2446" s="300">
        <v>1.0</v>
      </c>
      <c r="J2446" s="300">
        <v>1.0</v>
      </c>
      <c r="K2446" s="300">
        <v>1.0</v>
      </c>
      <c r="L2446" s="300">
        <v>1.0</v>
      </c>
      <c r="M2446" s="300">
        <v>1.0</v>
      </c>
      <c r="N2446" s="300">
        <v>8.0</v>
      </c>
      <c r="O2446" s="300" t="s">
        <v>908</v>
      </c>
      <c r="P2446" s="300">
        <v>6.0</v>
      </c>
    </row>
    <row r="2447">
      <c r="A2447">
        <f>IFERROR(__xludf.DUMMYFUNCTION("""COMPUTED_VALUE"""),11.0)</f>
        <v>11</v>
      </c>
      <c r="B2447">
        <f>IFERROR(__xludf.DUMMYFUNCTION("""COMPUTED_VALUE"""),27049.0)</f>
        <v>27049</v>
      </c>
      <c r="C2447" t="str">
        <f>IFERROR(__xludf.DUMMYFUNCTION("""COMPUTED_VALUE"""),"HENAO RESTREPO, ELENA")</f>
        <v>HENAO RESTREPO, ELENA</v>
      </c>
      <c r="D2447" t="str">
        <f>IFERROR(__xludf.DUMMYFUNCTION("""COMPUTED_VALUE"""),"PE 11")</f>
        <v>PE 11</v>
      </c>
      <c r="E2447" s="3">
        <f>IFERROR(__xludf.DUMMYFUNCTION("""COMPUTED_VALUE"""),3.0)</f>
        <v>3</v>
      </c>
      <c r="F2447" s="300">
        <v>1.0</v>
      </c>
      <c r="G2447" s="300">
        <v>1.0</v>
      </c>
      <c r="H2447" s="300">
        <v>1.0</v>
      </c>
      <c r="I2447" s="300">
        <v>1.0</v>
      </c>
      <c r="J2447" s="300">
        <v>1.0</v>
      </c>
      <c r="K2447" s="300">
        <v>1.0</v>
      </c>
      <c r="L2447" s="300">
        <v>1.0</v>
      </c>
      <c r="M2447" s="300">
        <v>1.0</v>
      </c>
      <c r="N2447" s="300">
        <v>8.0</v>
      </c>
      <c r="O2447" s="300" t="s">
        <v>909</v>
      </c>
      <c r="P2447" s="300">
        <v>6.0</v>
      </c>
    </row>
    <row r="2448">
      <c r="A2448">
        <f>IFERROR(__xludf.DUMMYFUNCTION("""COMPUTED_VALUE"""),11.0)</f>
        <v>11</v>
      </c>
      <c r="B2448">
        <f>IFERROR(__xludf.DUMMYFUNCTION("""COMPUTED_VALUE"""),27066.0)</f>
        <v>27066</v>
      </c>
      <c r="C2448" t="str">
        <f>IFERROR(__xludf.DUMMYFUNCTION("""COMPUTED_VALUE"""),"MEJIA URIBE, DANIEL")</f>
        <v>MEJIA URIBE, DANIEL</v>
      </c>
      <c r="D2448" t="str">
        <f>IFERROR(__xludf.DUMMYFUNCTION("""COMPUTED_VALUE"""),"PE 11")</f>
        <v>PE 11</v>
      </c>
      <c r="E2448" s="3">
        <f>IFERROR(__xludf.DUMMYFUNCTION("""COMPUTED_VALUE"""),2.0)</f>
        <v>2</v>
      </c>
      <c r="F2448" s="300">
        <v>1.0</v>
      </c>
      <c r="G2448" s="300">
        <v>1.0</v>
      </c>
      <c r="H2448" s="300">
        <v>1.0</v>
      </c>
      <c r="I2448" s="300">
        <v>1.0</v>
      </c>
      <c r="J2448" s="300">
        <v>1.0</v>
      </c>
      <c r="K2448" s="300">
        <v>1.0</v>
      </c>
      <c r="L2448" s="300">
        <v>1.0</v>
      </c>
      <c r="M2448" s="300">
        <v>1.0</v>
      </c>
      <c r="N2448" s="300">
        <v>8.0</v>
      </c>
      <c r="O2448" s="300" t="s">
        <v>912</v>
      </c>
      <c r="P2448" s="300">
        <v>6.0</v>
      </c>
    </row>
    <row r="2449">
      <c r="A2449">
        <f>IFERROR(__xludf.DUMMYFUNCTION("""COMPUTED_VALUE"""),11.0)</f>
        <v>11</v>
      </c>
      <c r="B2449">
        <f>IFERROR(__xludf.DUMMYFUNCTION("""COMPUTED_VALUE"""),27123.0)</f>
        <v>27123</v>
      </c>
      <c r="C2449" t="str">
        <f>IFERROR(__xludf.DUMMYFUNCTION("""COMPUTED_VALUE"""),"VELEZ PODESTA, SIMON")</f>
        <v>VELEZ PODESTA, SIMON</v>
      </c>
      <c r="D2449" t="str">
        <f>IFERROR(__xludf.DUMMYFUNCTION("""COMPUTED_VALUE"""),"PE 11")</f>
        <v>PE 11</v>
      </c>
      <c r="E2449" s="3">
        <f>IFERROR(__xludf.DUMMYFUNCTION("""COMPUTED_VALUE"""),1.0)</f>
        <v>1</v>
      </c>
      <c r="F2449" s="300">
        <v>1.0</v>
      </c>
      <c r="G2449" s="300">
        <v>1.0</v>
      </c>
      <c r="H2449" s="300">
        <v>1.0</v>
      </c>
      <c r="I2449" s="300">
        <v>1.0</v>
      </c>
      <c r="J2449" s="300">
        <v>1.0</v>
      </c>
      <c r="K2449" s="300">
        <v>1.0</v>
      </c>
      <c r="L2449" s="300">
        <v>1.0</v>
      </c>
      <c r="M2449" s="300">
        <v>1.0</v>
      </c>
      <c r="N2449" s="300">
        <v>8.0</v>
      </c>
      <c r="O2449" s="300" t="s">
        <v>911</v>
      </c>
      <c r="P2449" s="300">
        <v>6.0</v>
      </c>
    </row>
    <row r="2450">
      <c r="A2450">
        <f>IFERROR(__xludf.DUMMYFUNCTION("""COMPUTED_VALUE"""),11.0)</f>
        <v>11</v>
      </c>
      <c r="B2450">
        <f>IFERROR(__xludf.DUMMYFUNCTION("""COMPUTED_VALUE"""),27109.0)</f>
        <v>27109</v>
      </c>
      <c r="C2450" t="str">
        <f>IFERROR(__xludf.DUMMYFUNCTION("""COMPUTED_VALUE"""),"SIERRA TIRADO, PEDRO")</f>
        <v>SIERRA TIRADO, PEDRO</v>
      </c>
      <c r="D2450" t="str">
        <f>IFERROR(__xludf.DUMMYFUNCTION("""COMPUTED_VALUE"""),"PE 11")</f>
        <v>PE 11</v>
      </c>
      <c r="E2450" s="3">
        <f>IFERROR(__xludf.DUMMYFUNCTION("""COMPUTED_VALUE"""),2.0)</f>
        <v>2</v>
      </c>
      <c r="F2450" s="300">
        <v>1.0</v>
      </c>
      <c r="G2450" s="300">
        <v>1.0</v>
      </c>
      <c r="H2450" s="300">
        <v>1.0</v>
      </c>
      <c r="I2450" s="300">
        <v>1.0</v>
      </c>
      <c r="J2450" s="300">
        <v>1.0</v>
      </c>
      <c r="K2450" s="300">
        <v>1.0</v>
      </c>
      <c r="L2450" s="300">
        <v>1.0</v>
      </c>
      <c r="M2450" s="300">
        <v>1.0</v>
      </c>
      <c r="N2450" s="300">
        <v>8.0</v>
      </c>
      <c r="O2450" s="300" t="s">
        <v>912</v>
      </c>
      <c r="P2450" s="300">
        <v>6.0</v>
      </c>
    </row>
    <row r="2451">
      <c r="A2451">
        <f>IFERROR(__xludf.DUMMYFUNCTION("""COMPUTED_VALUE"""),11.0)</f>
        <v>11</v>
      </c>
      <c r="B2451">
        <f>IFERROR(__xludf.DUMMYFUNCTION("""COMPUTED_VALUE"""),27005.0)</f>
        <v>27005</v>
      </c>
      <c r="C2451" t="str">
        <f>IFERROR(__xludf.DUMMYFUNCTION("""COMPUTED_VALUE"""),"ANGEL MESA, EMILIO")</f>
        <v>ANGEL MESA, EMILIO</v>
      </c>
      <c r="D2451" t="str">
        <f>IFERROR(__xludf.DUMMYFUNCTION("""COMPUTED_VALUE"""),"PE 11")</f>
        <v>PE 11</v>
      </c>
      <c r="E2451" s="3">
        <f>IFERROR(__xludf.DUMMYFUNCTION("""COMPUTED_VALUE"""),1.0)</f>
        <v>1</v>
      </c>
      <c r="F2451" s="300">
        <v>1.0</v>
      </c>
      <c r="G2451" s="300">
        <v>1.0</v>
      </c>
      <c r="H2451" s="300">
        <v>1.0</v>
      </c>
      <c r="I2451" s="300">
        <v>1.0</v>
      </c>
      <c r="J2451" s="300">
        <v>1.0</v>
      </c>
      <c r="K2451" s="300">
        <v>1.0</v>
      </c>
      <c r="L2451" s="300">
        <v>1.0</v>
      </c>
      <c r="M2451" s="300">
        <v>1.0</v>
      </c>
      <c r="N2451" s="300">
        <v>8.0</v>
      </c>
      <c r="O2451" s="300" t="s">
        <v>911</v>
      </c>
      <c r="P2451" s="300">
        <v>6.0</v>
      </c>
    </row>
    <row r="2452">
      <c r="A2452">
        <f>IFERROR(__xludf.DUMMYFUNCTION("""COMPUTED_VALUE"""),11.0)</f>
        <v>11</v>
      </c>
      <c r="B2452">
        <f>IFERROR(__xludf.DUMMYFUNCTION("""COMPUTED_VALUE"""),27111.0)</f>
        <v>27111</v>
      </c>
      <c r="C2452" t="str">
        <f>IFERROR(__xludf.DUMMYFUNCTION("""COMPUTED_VALUE"""),"TOBON PEÑALOZA, MARTIN")</f>
        <v>TOBON PEÑALOZA, MARTIN</v>
      </c>
      <c r="D2452" t="str">
        <f>IFERROR(__xludf.DUMMYFUNCTION("""COMPUTED_VALUE"""),"PE 11")</f>
        <v>PE 11</v>
      </c>
      <c r="E2452" s="3">
        <f>IFERROR(__xludf.DUMMYFUNCTION("""COMPUTED_VALUE"""),4.0)</f>
        <v>4</v>
      </c>
      <c r="F2452" s="300">
        <v>1.0</v>
      </c>
      <c r="G2452" s="300">
        <v>1.0</v>
      </c>
      <c r="H2452" s="300">
        <v>1.0</v>
      </c>
      <c r="I2452" s="300">
        <v>1.0</v>
      </c>
      <c r="J2452" s="300">
        <v>1.0</v>
      </c>
      <c r="K2452" s="300">
        <v>1.0</v>
      </c>
      <c r="L2452" s="300">
        <v>1.0</v>
      </c>
      <c r="M2452" s="300">
        <v>1.0</v>
      </c>
      <c r="N2452" s="300">
        <v>8.0</v>
      </c>
      <c r="O2452" s="300" t="s">
        <v>908</v>
      </c>
      <c r="P2452" s="300">
        <v>6.0</v>
      </c>
    </row>
    <row r="2453">
      <c r="A2453">
        <f>IFERROR(__xludf.DUMMYFUNCTION("""COMPUTED_VALUE"""),11.0)</f>
        <v>11</v>
      </c>
      <c r="B2453">
        <f>IFERROR(__xludf.DUMMYFUNCTION("""COMPUTED_VALUE"""),27164.0)</f>
        <v>27164</v>
      </c>
      <c r="C2453" t="str">
        <f>IFERROR(__xludf.DUMMYFUNCTION("""COMPUTED_VALUE"""),"JARAMILLO URIBE, MAR")</f>
        <v>JARAMILLO URIBE, MAR</v>
      </c>
      <c r="D2453" t="str">
        <f>IFERROR(__xludf.DUMMYFUNCTION("""COMPUTED_VALUE"""),"PE 11")</f>
        <v>PE 11</v>
      </c>
      <c r="E2453" s="3">
        <f>IFERROR(__xludf.DUMMYFUNCTION("""COMPUTED_VALUE"""),6.0)</f>
        <v>6</v>
      </c>
      <c r="F2453" s="300">
        <v>1.0</v>
      </c>
      <c r="G2453" s="300">
        <v>1.0</v>
      </c>
      <c r="H2453" s="300">
        <v>1.0</v>
      </c>
      <c r="I2453" s="300">
        <v>1.0</v>
      </c>
      <c r="J2453" s="300">
        <v>1.0</v>
      </c>
      <c r="K2453" s="300">
        <v>1.0</v>
      </c>
      <c r="L2453" s="300">
        <v>1.0</v>
      </c>
      <c r="M2453" s="300">
        <v>1.0</v>
      </c>
      <c r="N2453" s="300">
        <v>8.0</v>
      </c>
      <c r="O2453" s="300" t="s">
        <v>910</v>
      </c>
      <c r="P2453" s="300">
        <v>6.0</v>
      </c>
    </row>
    <row r="2454">
      <c r="A2454">
        <f>IFERROR(__xludf.DUMMYFUNCTION("""COMPUTED_VALUE"""),11.0)</f>
        <v>11</v>
      </c>
      <c r="B2454">
        <f>IFERROR(__xludf.DUMMYFUNCTION("""COMPUTED_VALUE"""),27037.0)</f>
        <v>27037</v>
      </c>
      <c r="C2454" t="str">
        <f>IFERROR(__xludf.DUMMYFUNCTION("""COMPUTED_VALUE"""),"GALEANO SALAZAR, SARA")</f>
        <v>GALEANO SALAZAR, SARA</v>
      </c>
      <c r="D2454" t="str">
        <f>IFERROR(__xludf.DUMMYFUNCTION("""COMPUTED_VALUE"""),"PE 11")</f>
        <v>PE 11</v>
      </c>
      <c r="E2454" s="3">
        <f>IFERROR(__xludf.DUMMYFUNCTION("""COMPUTED_VALUE"""),1.0)</f>
        <v>1</v>
      </c>
      <c r="F2454" s="300">
        <v>1.0</v>
      </c>
      <c r="G2454" s="300">
        <v>1.0</v>
      </c>
      <c r="H2454" s="300">
        <v>1.0</v>
      </c>
      <c r="I2454" s="300">
        <v>1.0</v>
      </c>
      <c r="J2454" s="300">
        <v>1.0</v>
      </c>
      <c r="K2454" s="300">
        <v>1.0</v>
      </c>
      <c r="L2454" s="300">
        <v>1.0</v>
      </c>
      <c r="M2454" s="300">
        <v>1.0</v>
      </c>
      <c r="N2454" s="300">
        <v>8.0</v>
      </c>
      <c r="O2454" s="300" t="s">
        <v>911</v>
      </c>
      <c r="P2454" s="300">
        <v>6.0</v>
      </c>
    </row>
    <row r="2455">
      <c r="A2455">
        <f>IFERROR(__xludf.DUMMYFUNCTION("""COMPUTED_VALUE"""),12.0)</f>
        <v>12</v>
      </c>
      <c r="B2455">
        <f>IFERROR(__xludf.DUMMYFUNCTION("""COMPUTED_VALUE"""),25084.0)</f>
        <v>25084</v>
      </c>
      <c r="C2455" t="str">
        <f>IFERROR(__xludf.DUMMYFUNCTION("""COMPUTED_VALUE"""),"PELAEZ KLINKERT, ALICIA")</f>
        <v>PELAEZ KLINKERT, ALICIA</v>
      </c>
      <c r="D2455" t="str">
        <f>IFERROR(__xludf.DUMMYFUNCTION("""COMPUTED_VALUE"""),"PE 12")</f>
        <v>PE 12</v>
      </c>
      <c r="E2455" s="3">
        <f>IFERROR(__xludf.DUMMYFUNCTION("""COMPUTED_VALUE"""),4.0)</f>
        <v>4</v>
      </c>
      <c r="F2455" s="300">
        <v>1.0</v>
      </c>
      <c r="G2455" s="300">
        <v>1.0</v>
      </c>
      <c r="H2455" s="300">
        <v>1.0</v>
      </c>
      <c r="I2455" s="300">
        <v>1.0</v>
      </c>
      <c r="J2455" s="300">
        <v>1.0</v>
      </c>
      <c r="K2455" s="300">
        <v>1.0</v>
      </c>
      <c r="L2455" s="300">
        <v>1.0</v>
      </c>
      <c r="M2455" s="300">
        <v>1.0</v>
      </c>
      <c r="N2455" s="300">
        <v>8.0</v>
      </c>
      <c r="O2455" s="300" t="s">
        <v>914</v>
      </c>
      <c r="P2455" s="300">
        <v>6.0</v>
      </c>
    </row>
    <row r="2456">
      <c r="A2456">
        <f>IFERROR(__xludf.DUMMYFUNCTION("""COMPUTED_VALUE"""),12.0)</f>
        <v>12</v>
      </c>
      <c r="B2456">
        <f>IFERROR(__xludf.DUMMYFUNCTION("""COMPUTED_VALUE"""),26105.0)</f>
        <v>26105</v>
      </c>
      <c r="C2456" t="str">
        <f>IFERROR(__xludf.DUMMYFUNCTION("""COMPUTED_VALUE"""),"ROJAS LONDOÑO, SARA")</f>
        <v>ROJAS LONDOÑO, SARA</v>
      </c>
      <c r="D2456" t="str">
        <f>IFERROR(__xludf.DUMMYFUNCTION("""COMPUTED_VALUE"""),"PE 12")</f>
        <v>PE 12</v>
      </c>
      <c r="E2456" s="3">
        <f>IFERROR(__xludf.DUMMYFUNCTION("""COMPUTED_VALUE"""),2.0)</f>
        <v>2</v>
      </c>
      <c r="F2456" s="300">
        <v>1.0</v>
      </c>
      <c r="G2456" s="300">
        <v>1.0</v>
      </c>
      <c r="H2456" s="300">
        <v>1.0</v>
      </c>
      <c r="I2456" s="300">
        <v>1.0</v>
      </c>
      <c r="J2456" s="300">
        <v>1.0</v>
      </c>
      <c r="K2456" s="300">
        <v>1.0</v>
      </c>
      <c r="L2456" s="300">
        <v>1.0</v>
      </c>
      <c r="M2456" s="300">
        <v>1.0</v>
      </c>
      <c r="N2456" s="300">
        <v>8.0</v>
      </c>
      <c r="O2456" s="300" t="s">
        <v>915</v>
      </c>
      <c r="P2456" s="300">
        <v>6.0</v>
      </c>
    </row>
    <row r="2457">
      <c r="A2457">
        <f>IFERROR(__xludf.DUMMYFUNCTION("""COMPUTED_VALUE"""),12.0)</f>
        <v>12</v>
      </c>
      <c r="B2457">
        <f>IFERROR(__xludf.DUMMYFUNCTION("""COMPUTED_VALUE"""),26046.0)</f>
        <v>26046</v>
      </c>
      <c r="C2457" t="str">
        <f>IFERROR(__xludf.DUMMYFUNCTION("""COMPUTED_VALUE"""),"HENAO GARZON, NICOLAS")</f>
        <v>HENAO GARZON, NICOLAS</v>
      </c>
      <c r="D2457" t="str">
        <f>IFERROR(__xludf.DUMMYFUNCTION("""COMPUTED_VALUE"""),"PE 12")</f>
        <v>PE 12</v>
      </c>
      <c r="E2457" s="3">
        <f>IFERROR(__xludf.DUMMYFUNCTION("""COMPUTED_VALUE"""),4.0)</f>
        <v>4</v>
      </c>
      <c r="F2457" s="300">
        <v>1.0</v>
      </c>
      <c r="G2457" s="300">
        <v>1.0</v>
      </c>
      <c r="H2457" s="300">
        <v>1.0</v>
      </c>
      <c r="I2457" s="300">
        <v>1.0</v>
      </c>
      <c r="J2457" s="300">
        <v>1.0</v>
      </c>
      <c r="K2457" s="300">
        <v>1.0</v>
      </c>
      <c r="L2457" s="300">
        <v>1.0</v>
      </c>
      <c r="M2457" s="300">
        <v>1.0</v>
      </c>
      <c r="N2457" s="300">
        <v>8.0</v>
      </c>
      <c r="O2457" s="300" t="s">
        <v>914</v>
      </c>
      <c r="P2457" s="300">
        <v>6.0</v>
      </c>
    </row>
    <row r="2458">
      <c r="A2458">
        <f>IFERROR(__xludf.DUMMYFUNCTION("""COMPUTED_VALUE"""),12.0)</f>
        <v>12</v>
      </c>
      <c r="B2458">
        <f>IFERROR(__xludf.DUMMYFUNCTION("""COMPUTED_VALUE"""),26165.0)</f>
        <v>26165</v>
      </c>
      <c r="C2458" t="str">
        <f>IFERROR(__xludf.DUMMYFUNCTION("""COMPUTED_VALUE"""),"BURKHALTER, ISAAC STEPHEN")</f>
        <v>BURKHALTER, ISAAC STEPHEN</v>
      </c>
      <c r="D2458" t="str">
        <f>IFERROR(__xludf.DUMMYFUNCTION("""COMPUTED_VALUE"""),"PE 12")</f>
        <v>PE 12</v>
      </c>
      <c r="E2458" s="3">
        <f>IFERROR(__xludf.DUMMYFUNCTION("""COMPUTED_VALUE"""),5.0)</f>
        <v>5</v>
      </c>
      <c r="F2458" s="300">
        <v>1.0</v>
      </c>
      <c r="G2458" s="300">
        <v>1.0</v>
      </c>
      <c r="H2458" s="300">
        <v>1.0</v>
      </c>
      <c r="I2458" s="300">
        <v>1.0</v>
      </c>
      <c r="J2458" s="300">
        <v>1.0</v>
      </c>
      <c r="K2458" s="300">
        <v>1.0</v>
      </c>
      <c r="L2458" s="300">
        <v>1.0</v>
      </c>
      <c r="M2458" s="300">
        <v>1.0</v>
      </c>
      <c r="N2458" s="300">
        <v>8.0</v>
      </c>
      <c r="O2458" s="300" t="s">
        <v>916</v>
      </c>
      <c r="P2458" s="300">
        <v>6.0</v>
      </c>
    </row>
    <row r="2459">
      <c r="A2459">
        <f>IFERROR(__xludf.DUMMYFUNCTION("""COMPUTED_VALUE"""),12.0)</f>
        <v>12</v>
      </c>
      <c r="B2459">
        <f>IFERROR(__xludf.DUMMYFUNCTION("""COMPUTED_VALUE"""),26120.0)</f>
        <v>26120</v>
      </c>
      <c r="C2459" t="str">
        <f>IFERROR(__xludf.DUMMYFUNCTION("""COMPUTED_VALUE"""),"VERGARA ROZO, JERONIMO")</f>
        <v>VERGARA ROZO, JERONIMO</v>
      </c>
      <c r="D2459" t="str">
        <f>IFERROR(__xludf.DUMMYFUNCTION("""COMPUTED_VALUE"""),"PE 12")</f>
        <v>PE 12</v>
      </c>
      <c r="E2459" s="3">
        <f>IFERROR(__xludf.DUMMYFUNCTION("""COMPUTED_VALUE"""),6.0)</f>
        <v>6</v>
      </c>
      <c r="F2459" s="300">
        <v>1.0</v>
      </c>
      <c r="G2459" s="300">
        <v>1.0</v>
      </c>
      <c r="H2459" s="300">
        <v>1.0</v>
      </c>
      <c r="I2459" s="300">
        <v>1.0</v>
      </c>
      <c r="J2459" s="300">
        <v>1.0</v>
      </c>
      <c r="K2459" s="300">
        <v>1.0</v>
      </c>
      <c r="L2459" s="300">
        <v>1.0</v>
      </c>
      <c r="M2459" s="300">
        <v>1.0</v>
      </c>
      <c r="N2459" s="300">
        <v>8.0</v>
      </c>
      <c r="O2459" s="300" t="s">
        <v>917</v>
      </c>
      <c r="P2459" s="300">
        <v>6.0</v>
      </c>
    </row>
    <row r="2460">
      <c r="A2460">
        <f>IFERROR(__xludf.DUMMYFUNCTION("""COMPUTED_VALUE"""),12.0)</f>
        <v>12</v>
      </c>
      <c r="B2460">
        <f>IFERROR(__xludf.DUMMYFUNCTION("""COMPUTED_VALUE"""),26130.0)</f>
        <v>26130</v>
      </c>
      <c r="C2460" t="str">
        <f>IFERROR(__xludf.DUMMYFUNCTION("""COMPUTED_VALUE"""),"IBAÑEZ MONTOYA, DANIEL")</f>
        <v>IBAÑEZ MONTOYA, DANIEL</v>
      </c>
      <c r="D2460" t="str">
        <f>IFERROR(__xludf.DUMMYFUNCTION("""COMPUTED_VALUE"""),"PE 12")</f>
        <v>PE 12</v>
      </c>
      <c r="E2460" s="3">
        <f>IFERROR(__xludf.DUMMYFUNCTION("""COMPUTED_VALUE"""),5.0)</f>
        <v>5</v>
      </c>
      <c r="F2460" s="300">
        <v>1.0</v>
      </c>
      <c r="G2460" s="300">
        <v>1.0</v>
      </c>
      <c r="H2460" s="300">
        <v>1.0</v>
      </c>
      <c r="I2460" s="300">
        <v>1.0</v>
      </c>
      <c r="J2460" s="300">
        <v>1.0</v>
      </c>
      <c r="K2460" s="300">
        <v>1.0</v>
      </c>
      <c r="L2460" s="300">
        <v>1.0</v>
      </c>
      <c r="M2460" s="300">
        <v>1.0</v>
      </c>
      <c r="N2460" s="300">
        <v>8.0</v>
      </c>
      <c r="O2460" s="300" t="s">
        <v>916</v>
      </c>
      <c r="P2460" s="300">
        <v>6.0</v>
      </c>
    </row>
    <row r="2461">
      <c r="A2461">
        <f>IFERROR(__xludf.DUMMYFUNCTION("""COMPUTED_VALUE"""),12.0)</f>
        <v>12</v>
      </c>
      <c r="B2461">
        <f>IFERROR(__xludf.DUMMYFUNCTION("""COMPUTED_VALUE"""),26117.0)</f>
        <v>26117</v>
      </c>
      <c r="C2461" t="str">
        <f>IFERROR(__xludf.DUMMYFUNCTION("""COMPUTED_VALUE"""),"VELEZ RESTREPO, LUCAS")</f>
        <v>VELEZ RESTREPO, LUCAS</v>
      </c>
      <c r="D2461" t="str">
        <f>IFERROR(__xludf.DUMMYFUNCTION("""COMPUTED_VALUE"""),"PE 12")</f>
        <v>PE 12</v>
      </c>
      <c r="E2461" s="3">
        <f>IFERROR(__xludf.DUMMYFUNCTION("""COMPUTED_VALUE"""),8.0)</f>
        <v>8</v>
      </c>
      <c r="F2461" s="300">
        <v>1.0</v>
      </c>
      <c r="G2461" s="300">
        <v>1.0</v>
      </c>
      <c r="H2461" s="300">
        <v>1.0</v>
      </c>
      <c r="I2461" s="300">
        <v>1.0</v>
      </c>
      <c r="J2461" s="300">
        <v>1.0</v>
      </c>
      <c r="K2461" s="300">
        <v>1.0</v>
      </c>
      <c r="L2461" s="300">
        <v>1.0</v>
      </c>
      <c r="M2461" s="300">
        <v>1.0</v>
      </c>
      <c r="N2461" s="300">
        <v>8.0</v>
      </c>
      <c r="O2461" s="300" t="s">
        <v>918</v>
      </c>
      <c r="P2461" s="300">
        <v>6.0</v>
      </c>
    </row>
    <row r="2462">
      <c r="A2462">
        <f>IFERROR(__xludf.DUMMYFUNCTION("""COMPUTED_VALUE"""),12.0)</f>
        <v>12</v>
      </c>
      <c r="B2462">
        <f>IFERROR(__xludf.DUMMYFUNCTION("""COMPUTED_VALUE"""),26168.0)</f>
        <v>26168</v>
      </c>
      <c r="C2462" t="str">
        <f>IFERROR(__xludf.DUMMYFUNCTION("""COMPUTED_VALUE"""),"NARANJO ARANA, LETICIA")</f>
        <v>NARANJO ARANA, LETICIA</v>
      </c>
      <c r="D2462" t="str">
        <f>IFERROR(__xludf.DUMMYFUNCTION("""COMPUTED_VALUE"""),"PE 12")</f>
        <v>PE 12</v>
      </c>
      <c r="E2462" s="3">
        <f>IFERROR(__xludf.DUMMYFUNCTION("""COMPUTED_VALUE"""),2.0)</f>
        <v>2</v>
      </c>
      <c r="F2462" s="300">
        <v>1.0</v>
      </c>
      <c r="G2462" s="300">
        <v>1.0</v>
      </c>
      <c r="H2462" s="300">
        <v>1.0</v>
      </c>
      <c r="I2462" s="300">
        <v>1.0</v>
      </c>
      <c r="J2462" s="300">
        <v>1.0</v>
      </c>
      <c r="K2462" s="300">
        <v>1.0</v>
      </c>
      <c r="L2462" s="300">
        <v>1.0</v>
      </c>
      <c r="M2462" s="300">
        <v>1.0</v>
      </c>
      <c r="N2462" s="300">
        <v>8.0</v>
      </c>
      <c r="O2462" s="300" t="s">
        <v>915</v>
      </c>
      <c r="P2462" s="300">
        <v>6.0</v>
      </c>
    </row>
    <row r="2463">
      <c r="A2463">
        <f>IFERROR(__xludf.DUMMYFUNCTION("""COMPUTED_VALUE"""),12.0)</f>
        <v>12</v>
      </c>
      <c r="B2463">
        <f>IFERROR(__xludf.DUMMYFUNCTION("""COMPUTED_VALUE"""),26156.0)</f>
        <v>26156</v>
      </c>
      <c r="C2463" t="str">
        <f>IFERROR(__xludf.DUMMYFUNCTION("""COMPUTED_VALUE"""),"CORTES CARDONA, MARIANA")</f>
        <v>CORTES CARDONA, MARIANA</v>
      </c>
      <c r="D2463" t="str">
        <f>IFERROR(__xludf.DUMMYFUNCTION("""COMPUTED_VALUE"""),"PE 12")</f>
        <v>PE 12</v>
      </c>
      <c r="E2463" s="3">
        <f>IFERROR(__xludf.DUMMYFUNCTION("""COMPUTED_VALUE"""),8.0)</f>
        <v>8</v>
      </c>
      <c r="F2463" s="300">
        <v>1.0</v>
      </c>
      <c r="G2463" s="300">
        <v>1.0</v>
      </c>
      <c r="H2463" s="300">
        <v>1.0</v>
      </c>
      <c r="I2463" s="300">
        <v>1.0</v>
      </c>
      <c r="J2463" s="300">
        <v>1.0</v>
      </c>
      <c r="K2463" s="300">
        <v>1.0</v>
      </c>
      <c r="L2463" s="300">
        <v>1.0</v>
      </c>
      <c r="M2463" s="300">
        <v>1.0</v>
      </c>
      <c r="N2463" s="300">
        <v>8.0</v>
      </c>
      <c r="O2463" s="300" t="s">
        <v>918</v>
      </c>
      <c r="P2463" s="300">
        <v>6.0</v>
      </c>
    </row>
    <row r="2464">
      <c r="A2464">
        <f>IFERROR(__xludf.DUMMYFUNCTION("""COMPUTED_VALUE"""),12.0)</f>
        <v>12</v>
      </c>
      <c r="B2464">
        <f>IFERROR(__xludf.DUMMYFUNCTION("""COMPUTED_VALUE"""),26127.0)</f>
        <v>26127</v>
      </c>
      <c r="C2464" t="str">
        <f>IFERROR(__xludf.DUMMYFUNCTION("""COMPUTED_VALUE"""),"ZULOAGA AYUB, CAMILA")</f>
        <v>ZULOAGA AYUB, CAMILA</v>
      </c>
      <c r="D2464" t="str">
        <f>IFERROR(__xludf.DUMMYFUNCTION("""COMPUTED_VALUE"""),"PE 12")</f>
        <v>PE 12</v>
      </c>
      <c r="E2464" s="3">
        <f>IFERROR(__xludf.DUMMYFUNCTION("""COMPUTED_VALUE"""),1.0)</f>
        <v>1</v>
      </c>
      <c r="F2464" s="300">
        <v>1.0</v>
      </c>
      <c r="G2464" s="300">
        <v>1.0</v>
      </c>
      <c r="H2464" s="300">
        <v>1.0</v>
      </c>
      <c r="I2464" s="300">
        <v>1.0</v>
      </c>
      <c r="J2464" s="300">
        <v>1.0</v>
      </c>
      <c r="K2464" s="300">
        <v>1.0</v>
      </c>
      <c r="L2464" s="300">
        <v>1.0</v>
      </c>
      <c r="M2464" s="300">
        <v>1.0</v>
      </c>
      <c r="N2464" s="300">
        <v>8.0</v>
      </c>
      <c r="O2464" s="300" t="s">
        <v>919</v>
      </c>
      <c r="P2464" s="300">
        <v>6.0</v>
      </c>
    </row>
    <row r="2465">
      <c r="A2465">
        <f>IFERROR(__xludf.DUMMYFUNCTION("""COMPUTED_VALUE"""),12.0)</f>
        <v>12</v>
      </c>
      <c r="B2465">
        <f>IFERROR(__xludf.DUMMYFUNCTION("""COMPUTED_VALUE"""),26099.0)</f>
        <v>26099</v>
      </c>
      <c r="C2465" t="str">
        <f>IFERROR(__xludf.DUMMYFUNCTION("""COMPUTED_VALUE"""),"RESTREPO RESTREPO, MAXIMILIANO")</f>
        <v>RESTREPO RESTREPO, MAXIMILIANO</v>
      </c>
      <c r="D2465" t="str">
        <f>IFERROR(__xludf.DUMMYFUNCTION("""COMPUTED_VALUE"""),"PE 12")</f>
        <v>PE 12</v>
      </c>
      <c r="E2465" s="3">
        <f>IFERROR(__xludf.DUMMYFUNCTION("""COMPUTED_VALUE"""),4.0)</f>
        <v>4</v>
      </c>
      <c r="F2465" s="300">
        <v>1.0</v>
      </c>
      <c r="G2465" s="300">
        <v>1.0</v>
      </c>
      <c r="H2465" s="300">
        <v>1.0</v>
      </c>
      <c r="I2465" s="300">
        <v>1.0</v>
      </c>
      <c r="J2465" s="300">
        <v>1.0</v>
      </c>
      <c r="K2465" s="300">
        <v>1.0</v>
      </c>
      <c r="L2465" s="300">
        <v>1.0</v>
      </c>
      <c r="M2465" s="300">
        <v>1.0</v>
      </c>
      <c r="N2465" s="300">
        <v>8.0</v>
      </c>
      <c r="O2465" s="300" t="s">
        <v>914</v>
      </c>
      <c r="P2465" s="300">
        <v>6.0</v>
      </c>
    </row>
    <row r="2466">
      <c r="A2466">
        <f>IFERROR(__xludf.DUMMYFUNCTION("""COMPUTED_VALUE"""),12.0)</f>
        <v>12</v>
      </c>
      <c r="B2466">
        <f>IFERROR(__xludf.DUMMYFUNCTION("""COMPUTED_VALUE"""),26043.0)</f>
        <v>26043</v>
      </c>
      <c r="C2466" t="str">
        <f>IFERROR(__xludf.DUMMYFUNCTION("""COMPUTED_VALUE"""),"GONZALEZ MARIN, MATIAS")</f>
        <v>GONZALEZ MARIN, MATIAS</v>
      </c>
      <c r="D2466" t="str">
        <f>IFERROR(__xludf.DUMMYFUNCTION("""COMPUTED_VALUE"""),"PE 12")</f>
        <v>PE 12</v>
      </c>
      <c r="E2466" s="3">
        <f>IFERROR(__xludf.DUMMYFUNCTION("""COMPUTED_VALUE"""),4.0)</f>
        <v>4</v>
      </c>
      <c r="F2466" s="300">
        <v>1.0</v>
      </c>
      <c r="G2466" s="300">
        <v>1.0</v>
      </c>
      <c r="H2466" s="300">
        <v>1.0</v>
      </c>
      <c r="I2466" s="300">
        <v>1.0</v>
      </c>
      <c r="J2466" s="300">
        <v>1.0</v>
      </c>
      <c r="K2466" s="300">
        <v>1.0</v>
      </c>
      <c r="L2466" s="300">
        <v>1.0</v>
      </c>
      <c r="M2466" s="300">
        <v>1.0</v>
      </c>
      <c r="N2466" s="300">
        <v>8.0</v>
      </c>
      <c r="O2466" s="300" t="s">
        <v>914</v>
      </c>
      <c r="P2466" s="300">
        <v>6.0</v>
      </c>
    </row>
    <row r="2467">
      <c r="A2467">
        <f>IFERROR(__xludf.DUMMYFUNCTION("""COMPUTED_VALUE"""),12.0)</f>
        <v>12</v>
      </c>
      <c r="B2467">
        <f>IFERROR(__xludf.DUMMYFUNCTION("""COMPUTED_VALUE"""),26081.0)</f>
        <v>26081</v>
      </c>
      <c r="C2467" t="str">
        <f>IFERROR(__xludf.DUMMYFUNCTION("""COMPUTED_VALUE"""),"OLAYA CARDENAS, SAMUEL")</f>
        <v>OLAYA CARDENAS, SAMUEL</v>
      </c>
      <c r="D2467" t="str">
        <f>IFERROR(__xludf.DUMMYFUNCTION("""COMPUTED_VALUE"""),"PE 12")</f>
        <v>PE 12</v>
      </c>
      <c r="E2467" s="3">
        <f>IFERROR(__xludf.DUMMYFUNCTION("""COMPUTED_VALUE"""),4.0)</f>
        <v>4</v>
      </c>
      <c r="F2467" s="300">
        <v>1.0</v>
      </c>
      <c r="G2467" s="300">
        <v>1.0</v>
      </c>
      <c r="H2467" s="300">
        <v>1.0</v>
      </c>
      <c r="I2467" s="300">
        <v>1.0</v>
      </c>
      <c r="J2467" s="300">
        <v>1.0</v>
      </c>
      <c r="K2467" s="300">
        <v>1.0</v>
      </c>
      <c r="L2467" s="300">
        <v>1.0</v>
      </c>
      <c r="M2467" s="300">
        <v>1.0</v>
      </c>
      <c r="N2467" s="300">
        <v>8.0</v>
      </c>
      <c r="O2467" s="300" t="s">
        <v>914</v>
      </c>
      <c r="P2467" s="300">
        <v>6.0</v>
      </c>
    </row>
    <row r="2468">
      <c r="A2468">
        <f>IFERROR(__xludf.DUMMYFUNCTION("""COMPUTED_VALUE"""),12.0)</f>
        <v>12</v>
      </c>
      <c r="B2468">
        <f>IFERROR(__xludf.DUMMYFUNCTION("""COMPUTED_VALUE"""),26115.0)</f>
        <v>26115</v>
      </c>
      <c r="C2468" t="str">
        <f>IFERROR(__xludf.DUMMYFUNCTION("""COMPUTED_VALUE"""),"VELASQUEZ URIBE, JOSE MANUEL")</f>
        <v>VELASQUEZ URIBE, JOSE MANUEL</v>
      </c>
      <c r="D2468" t="str">
        <f>IFERROR(__xludf.DUMMYFUNCTION("""COMPUTED_VALUE"""),"PE 12")</f>
        <v>PE 12</v>
      </c>
      <c r="E2468" s="3">
        <f>IFERROR(__xludf.DUMMYFUNCTION("""COMPUTED_VALUE"""),1.0)</f>
        <v>1</v>
      </c>
      <c r="F2468" s="300">
        <v>1.0</v>
      </c>
      <c r="G2468" s="300">
        <v>1.0</v>
      </c>
      <c r="H2468" s="300">
        <v>1.0</v>
      </c>
      <c r="I2468" s="300">
        <v>1.0</v>
      </c>
      <c r="J2468" s="300">
        <v>1.0</v>
      </c>
      <c r="K2468" s="300">
        <v>1.0</v>
      </c>
      <c r="L2468" s="300">
        <v>1.0</v>
      </c>
      <c r="M2468" s="300">
        <v>1.0</v>
      </c>
      <c r="N2468" s="300">
        <v>8.0</v>
      </c>
      <c r="O2468" s="300" t="s">
        <v>919</v>
      </c>
      <c r="P2468" s="300">
        <v>6.0</v>
      </c>
    </row>
    <row r="2469">
      <c r="A2469">
        <f>IFERROR(__xludf.DUMMYFUNCTION("""COMPUTED_VALUE"""),12.0)</f>
        <v>12</v>
      </c>
      <c r="B2469">
        <f>IFERROR(__xludf.DUMMYFUNCTION("""COMPUTED_VALUE"""),26069.0)</f>
        <v>26069</v>
      </c>
      <c r="C2469" t="str">
        <f>IFERROR(__xludf.DUMMYFUNCTION("""COMPUTED_VALUE"""),"MANTILLA DURANGO, VALERIA")</f>
        <v>MANTILLA DURANGO, VALERIA</v>
      </c>
      <c r="D2469" t="str">
        <f>IFERROR(__xludf.DUMMYFUNCTION("""COMPUTED_VALUE"""),"PE 12")</f>
        <v>PE 12</v>
      </c>
      <c r="E2469" s="3">
        <f>IFERROR(__xludf.DUMMYFUNCTION("""COMPUTED_VALUE"""),6.0)</f>
        <v>6</v>
      </c>
      <c r="F2469" s="300">
        <v>1.0</v>
      </c>
      <c r="G2469" s="300">
        <v>1.0</v>
      </c>
      <c r="H2469" s="300">
        <v>1.0</v>
      </c>
      <c r="I2469" s="300">
        <v>1.0</v>
      </c>
      <c r="J2469" s="300">
        <v>1.0</v>
      </c>
      <c r="K2469" s="300">
        <v>1.0</v>
      </c>
      <c r="L2469" s="300">
        <v>1.0</v>
      </c>
      <c r="M2469" s="300">
        <v>1.0</v>
      </c>
      <c r="N2469" s="300">
        <v>8.0</v>
      </c>
      <c r="O2469" s="300" t="s">
        <v>917</v>
      </c>
      <c r="P2469" s="300">
        <v>6.0</v>
      </c>
    </row>
    <row r="2470">
      <c r="A2470">
        <f>IFERROR(__xludf.DUMMYFUNCTION("""COMPUTED_VALUE"""),12.0)</f>
        <v>12</v>
      </c>
      <c r="B2470">
        <f>IFERROR(__xludf.DUMMYFUNCTION("""COMPUTED_VALUE"""),26103.0)</f>
        <v>26103</v>
      </c>
      <c r="C2470" t="str">
        <f>IFERROR(__xludf.DUMMYFUNCTION("""COMPUTED_VALUE"""),"RODRIGUEZ OSORIO, JERONIMO")</f>
        <v>RODRIGUEZ OSORIO, JERONIMO</v>
      </c>
      <c r="D2470" t="str">
        <f>IFERROR(__xludf.DUMMYFUNCTION("""COMPUTED_VALUE"""),"PE 12")</f>
        <v>PE 12</v>
      </c>
      <c r="E2470" s="3">
        <f>IFERROR(__xludf.DUMMYFUNCTION("""COMPUTED_VALUE"""),8.0)</f>
        <v>8</v>
      </c>
      <c r="F2470" s="300">
        <v>1.0</v>
      </c>
      <c r="G2470" s="300">
        <v>1.0</v>
      </c>
      <c r="H2470" s="300">
        <v>1.0</v>
      </c>
      <c r="I2470" s="300">
        <v>1.0</v>
      </c>
      <c r="J2470" s="300">
        <v>1.0</v>
      </c>
      <c r="K2470" s="300">
        <v>1.0</v>
      </c>
      <c r="L2470" s="300">
        <v>1.0</v>
      </c>
      <c r="M2470" s="300">
        <v>1.0</v>
      </c>
      <c r="N2470" s="300">
        <v>8.0</v>
      </c>
      <c r="O2470" s="300" t="s">
        <v>918</v>
      </c>
      <c r="P2470" s="300">
        <v>6.0</v>
      </c>
    </row>
    <row r="2471">
      <c r="A2471">
        <f>IFERROR(__xludf.DUMMYFUNCTION("""COMPUTED_VALUE"""),12.0)</f>
        <v>12</v>
      </c>
      <c r="B2471">
        <f>IFERROR(__xludf.DUMMYFUNCTION("""COMPUTED_VALUE"""),26163.0)</f>
        <v>26163</v>
      </c>
      <c r="C2471" t="str">
        <f>IFERROR(__xludf.DUMMYFUNCTION("""COMPUTED_VALUE"""),"SALAS VELEZ, AMELIA")</f>
        <v>SALAS VELEZ, AMELIA</v>
      </c>
      <c r="D2471" t="str">
        <f>IFERROR(__xludf.DUMMYFUNCTION("""COMPUTED_VALUE"""),"PE 12")</f>
        <v>PE 12</v>
      </c>
      <c r="E2471" s="3">
        <f>IFERROR(__xludf.DUMMYFUNCTION("""COMPUTED_VALUE"""),6.0)</f>
        <v>6</v>
      </c>
      <c r="F2471" s="300">
        <v>1.0</v>
      </c>
      <c r="G2471" s="300">
        <v>1.0</v>
      </c>
      <c r="H2471" s="300">
        <v>1.0</v>
      </c>
      <c r="I2471" s="300">
        <v>1.0</v>
      </c>
      <c r="J2471" s="300">
        <v>1.0</v>
      </c>
      <c r="K2471" s="300">
        <v>1.0</v>
      </c>
      <c r="L2471" s="300">
        <v>1.0</v>
      </c>
      <c r="M2471" s="300">
        <v>1.0</v>
      </c>
      <c r="N2471" s="300">
        <v>8.0</v>
      </c>
      <c r="O2471" s="300" t="s">
        <v>917</v>
      </c>
      <c r="P2471" s="300">
        <v>6.0</v>
      </c>
    </row>
    <row r="2472">
      <c r="A2472">
        <f>IFERROR(__xludf.DUMMYFUNCTION("""COMPUTED_VALUE"""),12.0)</f>
        <v>12</v>
      </c>
      <c r="B2472">
        <f>IFERROR(__xludf.DUMMYFUNCTION("""COMPUTED_VALUE"""),26118.0)</f>
        <v>26118</v>
      </c>
      <c r="C2472" t="str">
        <f>IFERROR(__xludf.DUMMYFUNCTION("""COMPUTED_VALUE"""),"VELEZ ZAPATA, MANUELA")</f>
        <v>VELEZ ZAPATA, MANUELA</v>
      </c>
      <c r="D2472" t="str">
        <f>IFERROR(__xludf.DUMMYFUNCTION("""COMPUTED_VALUE"""),"PE 12")</f>
        <v>PE 12</v>
      </c>
      <c r="E2472" s="3">
        <f>IFERROR(__xludf.DUMMYFUNCTION("""COMPUTED_VALUE"""),2.0)</f>
        <v>2</v>
      </c>
      <c r="F2472" s="300">
        <v>1.0</v>
      </c>
      <c r="G2472" s="300">
        <v>1.0</v>
      </c>
      <c r="H2472" s="300">
        <v>1.0</v>
      </c>
      <c r="I2472" s="300">
        <v>1.0</v>
      </c>
      <c r="J2472" s="300">
        <v>1.0</v>
      </c>
      <c r="K2472" s="300">
        <v>1.0</v>
      </c>
      <c r="L2472" s="300">
        <v>1.0</v>
      </c>
      <c r="M2472" s="300">
        <v>1.0</v>
      </c>
      <c r="N2472" s="300">
        <v>8.0</v>
      </c>
      <c r="O2472" s="300" t="s">
        <v>915</v>
      </c>
      <c r="P2472" s="300">
        <v>6.0</v>
      </c>
    </row>
    <row r="2473">
      <c r="A2473">
        <f>IFERROR(__xludf.DUMMYFUNCTION("""COMPUTED_VALUE"""),12.0)</f>
        <v>12</v>
      </c>
      <c r="B2473">
        <f>IFERROR(__xludf.DUMMYFUNCTION("""COMPUTED_VALUE"""),26112.0)</f>
        <v>26112</v>
      </c>
      <c r="C2473" t="str">
        <f>IFERROR(__xludf.DUMMYFUNCTION("""COMPUTED_VALUE"""),"URIBE FERNANDEZ, ANDRES")</f>
        <v>URIBE FERNANDEZ, ANDRES</v>
      </c>
      <c r="D2473" t="str">
        <f>IFERROR(__xludf.DUMMYFUNCTION("""COMPUTED_VALUE"""),"PE 12")</f>
        <v>PE 12</v>
      </c>
      <c r="E2473" s="3">
        <f>IFERROR(__xludf.DUMMYFUNCTION("""COMPUTED_VALUE"""),2.0)</f>
        <v>2</v>
      </c>
      <c r="F2473" s="300">
        <v>1.0</v>
      </c>
      <c r="G2473" s="300">
        <v>1.0</v>
      </c>
      <c r="H2473" s="300">
        <v>1.0</v>
      </c>
      <c r="I2473" s="300">
        <v>1.0</v>
      </c>
      <c r="J2473" s="300">
        <v>1.0</v>
      </c>
      <c r="K2473" s="300">
        <v>1.0</v>
      </c>
      <c r="L2473" s="300">
        <v>1.0</v>
      </c>
      <c r="M2473" s="300">
        <v>1.0</v>
      </c>
      <c r="N2473" s="300">
        <v>8.0</v>
      </c>
      <c r="O2473" s="300" t="s">
        <v>915</v>
      </c>
      <c r="P2473" s="300">
        <v>6.0</v>
      </c>
    </row>
    <row r="2474">
      <c r="A2474">
        <f>IFERROR(__xludf.DUMMYFUNCTION("""COMPUTED_VALUE"""),12.0)</f>
        <v>12</v>
      </c>
      <c r="B2474">
        <f>IFERROR(__xludf.DUMMYFUNCTION("""COMPUTED_VALUE"""),26006.0)</f>
        <v>26006</v>
      </c>
      <c r="C2474" t="str">
        <f>IFERROR(__xludf.DUMMYFUNCTION("""COMPUTED_VALUE"""),"AMAR JARAMILLO, NICHOLAS")</f>
        <v>AMAR JARAMILLO, NICHOLAS</v>
      </c>
      <c r="D2474" t="str">
        <f>IFERROR(__xludf.DUMMYFUNCTION("""COMPUTED_VALUE"""),"PE 12")</f>
        <v>PE 12</v>
      </c>
      <c r="E2474" s="3">
        <f>IFERROR(__xludf.DUMMYFUNCTION("""COMPUTED_VALUE"""),2.0)</f>
        <v>2</v>
      </c>
      <c r="F2474" s="300">
        <v>1.0</v>
      </c>
      <c r="G2474" s="300">
        <v>1.0</v>
      </c>
      <c r="H2474" s="300">
        <v>1.0</v>
      </c>
      <c r="I2474" s="300">
        <v>1.0</v>
      </c>
      <c r="J2474" s="300">
        <v>1.0</v>
      </c>
      <c r="K2474" s="300">
        <v>1.0</v>
      </c>
      <c r="L2474" s="300">
        <v>1.0</v>
      </c>
      <c r="M2474" s="300">
        <v>1.0</v>
      </c>
      <c r="N2474" s="300">
        <v>8.0</v>
      </c>
      <c r="O2474" s="300" t="s">
        <v>915</v>
      </c>
      <c r="P2474" s="300">
        <v>6.0</v>
      </c>
    </row>
    <row r="2475">
      <c r="A2475">
        <f>IFERROR(__xludf.DUMMYFUNCTION("""COMPUTED_VALUE"""),12.0)</f>
        <v>12</v>
      </c>
      <c r="B2475">
        <f>IFERROR(__xludf.DUMMYFUNCTION("""COMPUTED_VALUE"""),26034.0)</f>
        <v>26034</v>
      </c>
      <c r="C2475" t="str">
        <f>IFERROR(__xludf.DUMMYFUNCTION("""COMPUTED_VALUE"""),"GARCIA CORREA, MARIA CLARA")</f>
        <v>GARCIA CORREA, MARIA CLARA</v>
      </c>
      <c r="D2475" t="str">
        <f>IFERROR(__xludf.DUMMYFUNCTION("""COMPUTED_VALUE"""),"PE 12")</f>
        <v>PE 12</v>
      </c>
      <c r="E2475" s="3">
        <f>IFERROR(__xludf.DUMMYFUNCTION("""COMPUTED_VALUE"""),4.0)</f>
        <v>4</v>
      </c>
      <c r="F2475" s="300">
        <v>1.0</v>
      </c>
      <c r="G2475" s="300">
        <v>1.0</v>
      </c>
      <c r="H2475" s="300">
        <v>1.0</v>
      </c>
      <c r="I2475" s="300">
        <v>1.0</v>
      </c>
      <c r="J2475" s="300">
        <v>1.0</v>
      </c>
      <c r="K2475" s="300">
        <v>1.0</v>
      </c>
      <c r="L2475" s="300">
        <v>1.0</v>
      </c>
      <c r="M2475" s="300">
        <v>1.0</v>
      </c>
      <c r="N2475" s="300">
        <v>8.0</v>
      </c>
      <c r="O2475" s="300" t="s">
        <v>914</v>
      </c>
      <c r="P2475" s="300">
        <v>6.0</v>
      </c>
    </row>
    <row r="2476">
      <c r="A2476">
        <f>IFERROR(__xludf.DUMMYFUNCTION("""COMPUTED_VALUE"""),12.0)</f>
        <v>12</v>
      </c>
      <c r="B2476">
        <f>IFERROR(__xludf.DUMMYFUNCTION("""COMPUTED_VALUE"""),26028.0)</f>
        <v>26028</v>
      </c>
      <c r="C2476" t="str">
        <f>IFERROR(__xludf.DUMMYFUNCTION("""COMPUTED_VALUE"""),"ESCOBAR BURGOS, SANTIAGO")</f>
        <v>ESCOBAR BURGOS, SANTIAGO</v>
      </c>
      <c r="D2476" t="str">
        <f>IFERROR(__xludf.DUMMYFUNCTION("""COMPUTED_VALUE"""),"PE 12")</f>
        <v>PE 12</v>
      </c>
      <c r="E2476" s="3">
        <f>IFERROR(__xludf.DUMMYFUNCTION("""COMPUTED_VALUE"""),8.0)</f>
        <v>8</v>
      </c>
      <c r="F2476" s="300">
        <v>1.0</v>
      </c>
      <c r="G2476" s="300">
        <v>1.0</v>
      </c>
      <c r="H2476" s="300">
        <v>1.0</v>
      </c>
      <c r="I2476" s="300">
        <v>1.0</v>
      </c>
      <c r="J2476" s="300">
        <v>1.0</v>
      </c>
      <c r="K2476" s="300">
        <v>1.0</v>
      </c>
      <c r="L2476" s="300">
        <v>1.0</v>
      </c>
      <c r="M2476" s="300">
        <v>1.0</v>
      </c>
      <c r="N2476" s="300">
        <v>8.0</v>
      </c>
      <c r="O2476" s="300" t="s">
        <v>918</v>
      </c>
      <c r="P2476" s="300">
        <v>6.0</v>
      </c>
    </row>
    <row r="2477">
      <c r="A2477">
        <f>IFERROR(__xludf.DUMMYFUNCTION("""COMPUTED_VALUE"""),12.0)</f>
        <v>12</v>
      </c>
      <c r="B2477">
        <f>IFERROR(__xludf.DUMMYFUNCTION("""COMPUTED_VALUE"""),26049.0)</f>
        <v>26049</v>
      </c>
      <c r="C2477" t="str">
        <f>IFERROR(__xludf.DUMMYFUNCTION("""COMPUTED_VALUE"""),"HERRERA GOMEZ, MIGUEL")</f>
        <v>HERRERA GOMEZ, MIGUEL</v>
      </c>
      <c r="D2477" t="str">
        <f>IFERROR(__xludf.DUMMYFUNCTION("""COMPUTED_VALUE"""),"PE 12")</f>
        <v>PE 12</v>
      </c>
      <c r="E2477" s="3">
        <f>IFERROR(__xludf.DUMMYFUNCTION("""COMPUTED_VALUE"""),4.0)</f>
        <v>4</v>
      </c>
      <c r="F2477" s="300">
        <v>1.0</v>
      </c>
      <c r="G2477" s="300">
        <v>1.0</v>
      </c>
      <c r="H2477" s="300">
        <v>1.0</v>
      </c>
      <c r="I2477" s="300">
        <v>1.0</v>
      </c>
      <c r="J2477" s="300">
        <v>1.0</v>
      </c>
      <c r="K2477" s="300">
        <v>1.0</v>
      </c>
      <c r="L2477" s="300">
        <v>1.0</v>
      </c>
      <c r="M2477" s="300">
        <v>1.0</v>
      </c>
      <c r="N2477" s="300">
        <v>8.0</v>
      </c>
      <c r="O2477" s="300" t="s">
        <v>914</v>
      </c>
      <c r="P2477" s="300">
        <v>6.0</v>
      </c>
    </row>
    <row r="2478">
      <c r="A2478">
        <f>IFERROR(__xludf.DUMMYFUNCTION("""COMPUTED_VALUE"""),12.0)</f>
        <v>12</v>
      </c>
      <c r="B2478">
        <f>IFERROR(__xludf.DUMMYFUNCTION("""COMPUTED_VALUE"""),26044.0)</f>
        <v>26044</v>
      </c>
      <c r="C2478" t="str">
        <f>IFERROR(__xludf.DUMMYFUNCTION("""COMPUTED_VALUE"""),"GONZALEZ NAVARRO, MIGUEL")</f>
        <v>GONZALEZ NAVARRO, MIGUEL</v>
      </c>
      <c r="D2478" t="str">
        <f>IFERROR(__xludf.DUMMYFUNCTION("""COMPUTED_VALUE"""),"PE 12")</f>
        <v>PE 12</v>
      </c>
      <c r="E2478" s="3">
        <f>IFERROR(__xludf.DUMMYFUNCTION("""COMPUTED_VALUE"""),1.0)</f>
        <v>1</v>
      </c>
      <c r="F2478" s="300">
        <v>1.0</v>
      </c>
      <c r="G2478" s="300">
        <v>1.0</v>
      </c>
      <c r="H2478" s="300">
        <v>1.0</v>
      </c>
      <c r="I2478" s="300">
        <v>1.0</v>
      </c>
      <c r="J2478" s="300">
        <v>1.0</v>
      </c>
      <c r="K2478" s="300">
        <v>1.0</v>
      </c>
      <c r="L2478" s="300">
        <v>1.0</v>
      </c>
      <c r="M2478" s="300">
        <v>1.0</v>
      </c>
      <c r="N2478" s="300">
        <v>8.0</v>
      </c>
      <c r="O2478" s="300" t="s">
        <v>919</v>
      </c>
      <c r="P2478" s="300">
        <v>6.0</v>
      </c>
    </row>
    <row r="2479">
      <c r="A2479">
        <f>IFERROR(__xludf.DUMMYFUNCTION("""COMPUTED_VALUE"""),12.0)</f>
        <v>12</v>
      </c>
      <c r="B2479">
        <f>IFERROR(__xludf.DUMMYFUNCTION("""COMPUTED_VALUE"""),26056.0)</f>
        <v>26056</v>
      </c>
      <c r="C2479" t="str">
        <f>IFERROR(__xludf.DUMMYFUNCTION("""COMPUTED_VALUE"""),"ISAZA VELASQUEZ, SALOME")</f>
        <v>ISAZA VELASQUEZ, SALOME</v>
      </c>
      <c r="D2479" t="str">
        <f>IFERROR(__xludf.DUMMYFUNCTION("""COMPUTED_VALUE"""),"PE 12")</f>
        <v>PE 12</v>
      </c>
      <c r="E2479" s="3">
        <f>IFERROR(__xludf.DUMMYFUNCTION("""COMPUTED_VALUE"""),2.0)</f>
        <v>2</v>
      </c>
      <c r="F2479" s="300">
        <v>1.0</v>
      </c>
      <c r="G2479" s="300">
        <v>1.0</v>
      </c>
      <c r="H2479" s="300">
        <v>1.0</v>
      </c>
      <c r="I2479" s="300">
        <v>1.0</v>
      </c>
      <c r="J2479" s="300">
        <v>1.0</v>
      </c>
      <c r="K2479" s="300">
        <v>1.0</v>
      </c>
      <c r="L2479" s="300">
        <v>1.0</v>
      </c>
      <c r="M2479" s="300">
        <v>1.0</v>
      </c>
      <c r="N2479" s="300">
        <v>8.0</v>
      </c>
      <c r="O2479" s="300" t="s">
        <v>915</v>
      </c>
      <c r="P2479" s="300">
        <v>6.0</v>
      </c>
    </row>
    <row r="2480">
      <c r="A2480">
        <f>IFERROR(__xludf.DUMMYFUNCTION("""COMPUTED_VALUE"""),12.0)</f>
        <v>12</v>
      </c>
      <c r="B2480">
        <f>IFERROR(__xludf.DUMMYFUNCTION("""COMPUTED_VALUE"""),26001.0)</f>
        <v>26001</v>
      </c>
      <c r="C2480" t="str">
        <f>IFERROR(__xludf.DUMMYFUNCTION("""COMPUTED_VALUE"""),"AARON VASQUEZ, MARIA DEL MAR")</f>
        <v>AARON VASQUEZ, MARIA DEL MAR</v>
      </c>
      <c r="D2480" t="str">
        <f>IFERROR(__xludf.DUMMYFUNCTION("""COMPUTED_VALUE"""),"PE 12")</f>
        <v>PE 12</v>
      </c>
      <c r="E2480" s="3">
        <f>IFERROR(__xludf.DUMMYFUNCTION("""COMPUTED_VALUE"""),2.0)</f>
        <v>2</v>
      </c>
      <c r="F2480" s="300">
        <v>1.0</v>
      </c>
      <c r="G2480" s="300">
        <v>1.0</v>
      </c>
      <c r="H2480" s="300">
        <v>1.0</v>
      </c>
      <c r="I2480" s="300">
        <v>1.0</v>
      </c>
      <c r="J2480" s="300">
        <v>1.0</v>
      </c>
      <c r="K2480" s="300">
        <v>1.0</v>
      </c>
      <c r="L2480" s="300">
        <v>1.0</v>
      </c>
      <c r="M2480" s="300">
        <v>1.0</v>
      </c>
      <c r="N2480" s="300">
        <v>8.0</v>
      </c>
      <c r="O2480" s="300" t="s">
        <v>915</v>
      </c>
      <c r="P2480" s="300">
        <v>6.0</v>
      </c>
    </row>
    <row r="2481">
      <c r="A2481">
        <f>IFERROR(__xludf.DUMMYFUNCTION("""COMPUTED_VALUE"""),12.0)</f>
        <v>12</v>
      </c>
      <c r="B2481">
        <f>IFERROR(__xludf.DUMMYFUNCTION("""COMPUTED_VALUE"""),26038.0)</f>
        <v>26038</v>
      </c>
      <c r="C2481" t="str">
        <f>IFERROR(__xludf.DUMMYFUNCTION("""COMPUTED_VALUE"""),"GOMEZ LALINDE, SARA")</f>
        <v>GOMEZ LALINDE, SARA</v>
      </c>
      <c r="D2481" t="str">
        <f>IFERROR(__xludf.DUMMYFUNCTION("""COMPUTED_VALUE"""),"PE 12")</f>
        <v>PE 12</v>
      </c>
      <c r="E2481" s="3">
        <f>IFERROR(__xludf.DUMMYFUNCTION("""COMPUTED_VALUE"""),6.0)</f>
        <v>6</v>
      </c>
      <c r="F2481" s="300">
        <v>1.0</v>
      </c>
      <c r="G2481" s="300">
        <v>1.0</v>
      </c>
      <c r="H2481" s="300">
        <v>1.0</v>
      </c>
      <c r="I2481" s="300">
        <v>1.0</v>
      </c>
      <c r="J2481" s="300">
        <v>1.0</v>
      </c>
      <c r="K2481" s="300">
        <v>1.0</v>
      </c>
      <c r="L2481" s="300">
        <v>1.0</v>
      </c>
      <c r="M2481" s="300">
        <v>1.0</v>
      </c>
      <c r="N2481" s="300">
        <v>8.0</v>
      </c>
      <c r="O2481" s="300" t="s">
        <v>917</v>
      </c>
      <c r="P2481" s="300">
        <v>6.0</v>
      </c>
    </row>
    <row r="2482">
      <c r="A2482">
        <f>IFERROR(__xludf.DUMMYFUNCTION("""COMPUTED_VALUE"""),12.0)</f>
        <v>12</v>
      </c>
      <c r="B2482">
        <f>IFERROR(__xludf.DUMMYFUNCTION("""COMPUTED_VALUE"""),26088.0)</f>
        <v>26088</v>
      </c>
      <c r="C2482" t="str">
        <f>IFERROR(__xludf.DUMMYFUNCTION("""COMPUTED_VALUE"""),"PEREZ ECHAVARRIA, SAMUEL")</f>
        <v>PEREZ ECHAVARRIA, SAMUEL</v>
      </c>
      <c r="D2482" t="str">
        <f>IFERROR(__xludf.DUMMYFUNCTION("""COMPUTED_VALUE"""),"PE 12")</f>
        <v>PE 12</v>
      </c>
      <c r="E2482" s="3">
        <f>IFERROR(__xludf.DUMMYFUNCTION("""COMPUTED_VALUE"""),2.0)</f>
        <v>2</v>
      </c>
      <c r="F2482" s="300">
        <v>1.0</v>
      </c>
      <c r="G2482" s="300">
        <v>1.0</v>
      </c>
      <c r="H2482" s="300">
        <v>1.0</v>
      </c>
      <c r="I2482" s="300">
        <v>1.0</v>
      </c>
      <c r="J2482" s="300">
        <v>1.0</v>
      </c>
      <c r="K2482" s="300">
        <v>1.0</v>
      </c>
      <c r="L2482" s="300">
        <v>1.0</v>
      </c>
      <c r="M2482" s="300">
        <v>1.0</v>
      </c>
      <c r="N2482" s="300">
        <v>8.0</v>
      </c>
      <c r="O2482" s="300" t="s">
        <v>915</v>
      </c>
      <c r="P2482" s="300">
        <v>6.0</v>
      </c>
    </row>
    <row r="2483">
      <c r="A2483">
        <f>IFERROR(__xludf.DUMMYFUNCTION("""COMPUTED_VALUE"""),12.0)</f>
        <v>12</v>
      </c>
      <c r="B2483">
        <f>IFERROR(__xludf.DUMMYFUNCTION("""COMPUTED_VALUE"""),26010.0)</f>
        <v>26010</v>
      </c>
      <c r="C2483" t="str">
        <f>IFERROR(__xludf.DUMMYFUNCTION("""COMPUTED_VALUE"""),"ARISTIZABAL BOLIVAR, JUAN JOSE")</f>
        <v>ARISTIZABAL BOLIVAR, JUAN JOSE</v>
      </c>
      <c r="D2483" t="str">
        <f>IFERROR(__xludf.DUMMYFUNCTION("""COMPUTED_VALUE"""),"PE 12")</f>
        <v>PE 12</v>
      </c>
      <c r="E2483" s="3">
        <f>IFERROR(__xludf.DUMMYFUNCTION("""COMPUTED_VALUE"""),2.0)</f>
        <v>2</v>
      </c>
      <c r="F2483" s="300">
        <v>1.0</v>
      </c>
      <c r="G2483" s="300">
        <v>1.0</v>
      </c>
      <c r="H2483" s="300">
        <v>1.0</v>
      </c>
      <c r="I2483" s="300">
        <v>1.0</v>
      </c>
      <c r="J2483" s="300">
        <v>1.0</v>
      </c>
      <c r="K2483" s="300">
        <v>1.0</v>
      </c>
      <c r="L2483" s="300">
        <v>1.0</v>
      </c>
      <c r="M2483" s="300">
        <v>1.0</v>
      </c>
      <c r="N2483" s="300">
        <v>8.0</v>
      </c>
      <c r="O2483" s="300" t="s">
        <v>915</v>
      </c>
      <c r="P2483" s="300">
        <v>6.0</v>
      </c>
    </row>
    <row r="2484">
      <c r="A2484">
        <f>IFERROR(__xludf.DUMMYFUNCTION("""COMPUTED_VALUE"""),12.0)</f>
        <v>12</v>
      </c>
      <c r="B2484">
        <f>IFERROR(__xludf.DUMMYFUNCTION("""COMPUTED_VALUE"""),26077.0)</f>
        <v>26077</v>
      </c>
      <c r="C2484" t="str">
        <f>IFERROR(__xludf.DUMMYFUNCTION("""COMPUTED_VALUE"""),"MORENO RESTREPO, PEDRO JUAN")</f>
        <v>MORENO RESTREPO, PEDRO JUAN</v>
      </c>
      <c r="D2484" t="str">
        <f>IFERROR(__xludf.DUMMYFUNCTION("""COMPUTED_VALUE"""),"PE 12")</f>
        <v>PE 12</v>
      </c>
      <c r="E2484" s="3">
        <f>IFERROR(__xludf.DUMMYFUNCTION("""COMPUTED_VALUE"""),8.0)</f>
        <v>8</v>
      </c>
      <c r="F2484" s="300">
        <v>1.0</v>
      </c>
      <c r="G2484" s="300">
        <v>1.0</v>
      </c>
      <c r="H2484" s="300">
        <v>1.0</v>
      </c>
      <c r="I2484" s="300">
        <v>1.0</v>
      </c>
      <c r="J2484" s="300">
        <v>1.0</v>
      </c>
      <c r="K2484" s="300">
        <v>1.0</v>
      </c>
      <c r="L2484" s="300">
        <v>1.0</v>
      </c>
      <c r="M2484" s="300">
        <v>1.0</v>
      </c>
      <c r="N2484" s="300">
        <v>8.0</v>
      </c>
      <c r="O2484" s="300" t="s">
        <v>918</v>
      </c>
      <c r="P2484" s="300">
        <v>6.0</v>
      </c>
    </row>
    <row r="2485">
      <c r="A2485">
        <f>IFERROR(__xludf.DUMMYFUNCTION("""COMPUTED_VALUE"""),12.0)</f>
        <v>12</v>
      </c>
      <c r="B2485">
        <f>IFERROR(__xludf.DUMMYFUNCTION("""COMPUTED_VALUE"""),26005.0)</f>
        <v>26005</v>
      </c>
      <c r="C2485" t="str">
        <f>IFERROR(__xludf.DUMMYFUNCTION("""COMPUTED_VALUE"""),"ALVAREZ MOLINA, SOFIA")</f>
        <v>ALVAREZ MOLINA, SOFIA</v>
      </c>
      <c r="D2485" t="str">
        <f>IFERROR(__xludf.DUMMYFUNCTION("""COMPUTED_VALUE"""),"PE 12")</f>
        <v>PE 12</v>
      </c>
      <c r="E2485" s="3">
        <f>IFERROR(__xludf.DUMMYFUNCTION("""COMPUTED_VALUE"""),8.0)</f>
        <v>8</v>
      </c>
      <c r="F2485" s="300">
        <v>1.0</v>
      </c>
      <c r="G2485" s="300">
        <v>1.0</v>
      </c>
      <c r="H2485" s="300">
        <v>1.0</v>
      </c>
      <c r="I2485" s="300">
        <v>1.0</v>
      </c>
      <c r="J2485" s="300">
        <v>1.0</v>
      </c>
      <c r="K2485" s="300">
        <v>1.0</v>
      </c>
      <c r="L2485" s="300">
        <v>1.0</v>
      </c>
      <c r="M2485" s="300">
        <v>1.0</v>
      </c>
      <c r="N2485" s="300">
        <v>8.0</v>
      </c>
      <c r="O2485" s="300" t="s">
        <v>918</v>
      </c>
      <c r="P2485" s="300">
        <v>6.0</v>
      </c>
    </row>
    <row r="2486">
      <c r="A2486">
        <f>IFERROR(__xludf.DUMMYFUNCTION("""COMPUTED_VALUE"""),12.0)</f>
        <v>12</v>
      </c>
      <c r="B2486">
        <f>IFERROR(__xludf.DUMMYFUNCTION("""COMPUTED_VALUE"""),26124.0)</f>
        <v>26124</v>
      </c>
      <c r="C2486" t="str">
        <f>IFERROR(__xludf.DUMMYFUNCTION("""COMPUTED_VALUE"""),"YEPES EUSSE, MATIAS")</f>
        <v>YEPES EUSSE, MATIAS</v>
      </c>
      <c r="D2486" t="str">
        <f>IFERROR(__xludf.DUMMYFUNCTION("""COMPUTED_VALUE"""),"PE 12")</f>
        <v>PE 12</v>
      </c>
      <c r="E2486" s="3">
        <f>IFERROR(__xludf.DUMMYFUNCTION("""COMPUTED_VALUE"""),6.0)</f>
        <v>6</v>
      </c>
      <c r="F2486" s="300">
        <v>1.0</v>
      </c>
      <c r="G2486" s="300">
        <v>1.0</v>
      </c>
      <c r="H2486" s="300">
        <v>1.0</v>
      </c>
      <c r="I2486" s="300">
        <v>1.0</v>
      </c>
      <c r="J2486" s="300">
        <v>1.0</v>
      </c>
      <c r="K2486" s="300">
        <v>1.0</v>
      </c>
      <c r="L2486" s="300">
        <v>1.0</v>
      </c>
      <c r="M2486" s="300">
        <v>1.0</v>
      </c>
      <c r="N2486" s="300">
        <v>8.0</v>
      </c>
      <c r="O2486" s="300" t="s">
        <v>917</v>
      </c>
      <c r="P2486" s="300">
        <v>6.0</v>
      </c>
    </row>
    <row r="2487">
      <c r="A2487">
        <f>IFERROR(__xludf.DUMMYFUNCTION("""COMPUTED_VALUE"""),12.0)</f>
        <v>12</v>
      </c>
      <c r="B2487">
        <f>IFERROR(__xludf.DUMMYFUNCTION("""COMPUTED_VALUE"""),26020.0)</f>
        <v>26020</v>
      </c>
      <c r="C2487" t="str">
        <f>IFERROR(__xludf.DUMMYFUNCTION("""COMPUTED_VALUE"""),"CALDWELL VALLEJO, JACK")</f>
        <v>CALDWELL VALLEJO, JACK</v>
      </c>
      <c r="D2487" t="str">
        <f>IFERROR(__xludf.DUMMYFUNCTION("""COMPUTED_VALUE"""),"PE 12")</f>
        <v>PE 12</v>
      </c>
      <c r="E2487" s="3">
        <f>IFERROR(__xludf.DUMMYFUNCTION("""COMPUTED_VALUE"""),2.0)</f>
        <v>2</v>
      </c>
      <c r="F2487" s="300">
        <v>1.0</v>
      </c>
      <c r="G2487" s="300">
        <v>1.0</v>
      </c>
      <c r="H2487" s="300">
        <v>1.0</v>
      </c>
      <c r="I2487" s="300">
        <v>1.0</v>
      </c>
      <c r="J2487" s="300">
        <v>1.0</v>
      </c>
      <c r="K2487" s="300">
        <v>1.0</v>
      </c>
      <c r="L2487" s="300">
        <v>1.0</v>
      </c>
      <c r="M2487" s="300">
        <v>1.0</v>
      </c>
      <c r="N2487" s="300">
        <v>8.0</v>
      </c>
      <c r="O2487" s="300" t="s">
        <v>915</v>
      </c>
      <c r="P2487" s="300">
        <v>6.0</v>
      </c>
    </row>
    <row r="2488">
      <c r="A2488">
        <f>IFERROR(__xludf.DUMMYFUNCTION("""COMPUTED_VALUE"""),12.0)</f>
        <v>12</v>
      </c>
      <c r="B2488">
        <f>IFERROR(__xludf.DUMMYFUNCTION("""COMPUTED_VALUE"""),26068.0)</f>
        <v>26068</v>
      </c>
      <c r="C2488" t="str">
        <f>IFERROR(__xludf.DUMMYFUNCTION("""COMPUTED_VALUE"""),"LOPEZ RODRIGUEZ, SARA")</f>
        <v>LOPEZ RODRIGUEZ, SARA</v>
      </c>
      <c r="D2488" t="str">
        <f>IFERROR(__xludf.DUMMYFUNCTION("""COMPUTED_VALUE"""),"PE 12")</f>
        <v>PE 12</v>
      </c>
      <c r="E2488" s="3">
        <f>IFERROR(__xludf.DUMMYFUNCTION("""COMPUTED_VALUE"""),4.0)</f>
        <v>4</v>
      </c>
      <c r="F2488" s="300">
        <v>1.0</v>
      </c>
      <c r="G2488" s="300">
        <v>1.0</v>
      </c>
      <c r="H2488" s="300">
        <v>1.0</v>
      </c>
      <c r="I2488" s="300">
        <v>1.0</v>
      </c>
      <c r="J2488" s="300">
        <v>1.0</v>
      </c>
      <c r="K2488" s="300">
        <v>1.0</v>
      </c>
      <c r="L2488" s="300">
        <v>1.0</v>
      </c>
      <c r="M2488" s="300">
        <v>1.0</v>
      </c>
      <c r="N2488" s="300">
        <v>8.0</v>
      </c>
      <c r="O2488" s="300" t="s">
        <v>914</v>
      </c>
      <c r="P2488" s="300">
        <v>6.0</v>
      </c>
    </row>
    <row r="2489">
      <c r="A2489">
        <f>IFERROR(__xludf.DUMMYFUNCTION("""COMPUTED_VALUE"""),12.0)</f>
        <v>12</v>
      </c>
      <c r="B2489">
        <f>IFERROR(__xludf.DUMMYFUNCTION("""COMPUTED_VALUE"""),26013.0)</f>
        <v>26013</v>
      </c>
      <c r="C2489" t="str">
        <f>IFERROR(__xludf.DUMMYFUNCTION("""COMPUTED_VALUE"""),"BAQUERO GARCIA, ALICIA")</f>
        <v>BAQUERO GARCIA, ALICIA</v>
      </c>
      <c r="D2489" t="str">
        <f>IFERROR(__xludf.DUMMYFUNCTION("""COMPUTED_VALUE"""),"PE 12")</f>
        <v>PE 12</v>
      </c>
      <c r="E2489" s="3">
        <f>IFERROR(__xludf.DUMMYFUNCTION("""COMPUTED_VALUE"""),5.0)</f>
        <v>5</v>
      </c>
      <c r="F2489" s="300">
        <v>1.0</v>
      </c>
      <c r="G2489" s="300">
        <v>1.0</v>
      </c>
      <c r="H2489" s="300">
        <v>1.0</v>
      </c>
      <c r="I2489" s="300">
        <v>1.0</v>
      </c>
      <c r="J2489" s="300">
        <v>1.0</v>
      </c>
      <c r="K2489" s="300">
        <v>1.0</v>
      </c>
      <c r="L2489" s="300">
        <v>1.0</v>
      </c>
      <c r="M2489" s="300">
        <v>1.0</v>
      </c>
      <c r="N2489" s="300">
        <v>8.0</v>
      </c>
      <c r="O2489" s="300" t="s">
        <v>916</v>
      </c>
      <c r="P2489" s="300">
        <v>6.0</v>
      </c>
    </row>
    <row r="2490">
      <c r="A2490">
        <f>IFERROR(__xludf.DUMMYFUNCTION("""COMPUTED_VALUE"""),12.0)</f>
        <v>12</v>
      </c>
      <c r="B2490">
        <f>IFERROR(__xludf.DUMMYFUNCTION("""COMPUTED_VALUE"""),26159.0)</f>
        <v>26159</v>
      </c>
      <c r="C2490" t="str">
        <f>IFERROR(__xludf.DUMMYFUNCTION("""COMPUTED_VALUE"""),"PETTERSSON VANEGAS, ANNIKA")</f>
        <v>PETTERSSON VANEGAS, ANNIKA</v>
      </c>
      <c r="D2490" t="str">
        <f>IFERROR(__xludf.DUMMYFUNCTION("""COMPUTED_VALUE"""),"PE 12")</f>
        <v>PE 12</v>
      </c>
      <c r="E2490" s="3">
        <f>IFERROR(__xludf.DUMMYFUNCTION("""COMPUTED_VALUE"""),2.0)</f>
        <v>2</v>
      </c>
      <c r="F2490" s="300">
        <v>1.0</v>
      </c>
      <c r="G2490" s="300">
        <v>1.0</v>
      </c>
      <c r="H2490" s="300">
        <v>1.0</v>
      </c>
      <c r="I2490" s="300">
        <v>1.0</v>
      </c>
      <c r="J2490" s="300">
        <v>1.0</v>
      </c>
      <c r="K2490" s="300">
        <v>1.0</v>
      </c>
      <c r="L2490" s="300">
        <v>1.0</v>
      </c>
      <c r="M2490" s="300">
        <v>1.0</v>
      </c>
      <c r="N2490" s="300">
        <v>8.0</v>
      </c>
      <c r="O2490" s="300" t="s">
        <v>915</v>
      </c>
      <c r="P2490" s="300">
        <v>6.0</v>
      </c>
    </row>
    <row r="2491">
      <c r="A2491">
        <f>IFERROR(__xludf.DUMMYFUNCTION("""COMPUTED_VALUE"""),12.0)</f>
        <v>12</v>
      </c>
      <c r="B2491">
        <f>IFERROR(__xludf.DUMMYFUNCTION("""COMPUTED_VALUE"""),26050.0)</f>
        <v>26050</v>
      </c>
      <c r="C2491" t="str">
        <f>IFERROR(__xludf.DUMMYFUNCTION("""COMPUTED_VALUE"""),"HERRERA LONDOÑO, MANUELA")</f>
        <v>HERRERA LONDOÑO, MANUELA</v>
      </c>
      <c r="D2491" t="str">
        <f>IFERROR(__xludf.DUMMYFUNCTION("""COMPUTED_VALUE"""),"PE 12")</f>
        <v>PE 12</v>
      </c>
      <c r="E2491" s="3">
        <f>IFERROR(__xludf.DUMMYFUNCTION("""COMPUTED_VALUE"""),8.0)</f>
        <v>8</v>
      </c>
      <c r="F2491" s="300">
        <v>1.0</v>
      </c>
      <c r="G2491" s="300">
        <v>1.0</v>
      </c>
      <c r="H2491" s="300">
        <v>1.0</v>
      </c>
      <c r="I2491" s="300">
        <v>1.0</v>
      </c>
      <c r="J2491" s="300">
        <v>1.0</v>
      </c>
      <c r="K2491" s="300">
        <v>1.0</v>
      </c>
      <c r="L2491" s="300">
        <v>1.0</v>
      </c>
      <c r="M2491" s="300">
        <v>1.0</v>
      </c>
      <c r="N2491" s="300">
        <v>8.0</v>
      </c>
      <c r="O2491" s="300" t="s">
        <v>918</v>
      </c>
      <c r="P2491" s="300">
        <v>6.0</v>
      </c>
    </row>
    <row r="2492">
      <c r="A2492">
        <f>IFERROR(__xludf.DUMMYFUNCTION("""COMPUTED_VALUE"""),12.0)</f>
        <v>12</v>
      </c>
      <c r="B2492">
        <f>IFERROR(__xludf.DUMMYFUNCTION("""COMPUTED_VALUE"""),26054.0)</f>
        <v>26054</v>
      </c>
      <c r="C2492" t="str">
        <f>IFERROR(__xludf.DUMMYFUNCTION("""COMPUTED_VALUE"""),"HOYOS GOMEZ, LUCIANA")</f>
        <v>HOYOS GOMEZ, LUCIANA</v>
      </c>
      <c r="D2492" t="str">
        <f>IFERROR(__xludf.DUMMYFUNCTION("""COMPUTED_VALUE"""),"PE 12")</f>
        <v>PE 12</v>
      </c>
      <c r="E2492" s="3">
        <f>IFERROR(__xludf.DUMMYFUNCTION("""COMPUTED_VALUE"""),1.0)</f>
        <v>1</v>
      </c>
      <c r="F2492" s="300">
        <v>1.0</v>
      </c>
      <c r="G2492" s="300">
        <v>1.0</v>
      </c>
      <c r="H2492" s="300">
        <v>1.0</v>
      </c>
      <c r="I2492" s="300">
        <v>1.0</v>
      </c>
      <c r="J2492" s="300">
        <v>1.0</v>
      </c>
      <c r="K2492" s="300">
        <v>1.0</v>
      </c>
      <c r="L2492" s="300">
        <v>1.0</v>
      </c>
      <c r="M2492" s="300">
        <v>1.0</v>
      </c>
      <c r="N2492" s="300">
        <v>8.0</v>
      </c>
      <c r="O2492" s="300" t="s">
        <v>919</v>
      </c>
      <c r="P2492" s="300">
        <v>6.0</v>
      </c>
    </row>
    <row r="2493">
      <c r="A2493">
        <f>IFERROR(__xludf.DUMMYFUNCTION("""COMPUTED_VALUE"""),12.0)</f>
        <v>12</v>
      </c>
      <c r="B2493">
        <f>IFERROR(__xludf.DUMMYFUNCTION("""COMPUTED_VALUE"""),26098.0)</f>
        <v>26098</v>
      </c>
      <c r="C2493" t="str">
        <f>IFERROR(__xludf.DUMMYFUNCTION("""COMPUTED_VALUE"""),"RESTREPO OCHOA, EMMA")</f>
        <v>RESTREPO OCHOA, EMMA</v>
      </c>
      <c r="D2493" t="str">
        <f>IFERROR(__xludf.DUMMYFUNCTION("""COMPUTED_VALUE"""),"PE 12")</f>
        <v>PE 12</v>
      </c>
      <c r="E2493" s="3">
        <f>IFERROR(__xludf.DUMMYFUNCTION("""COMPUTED_VALUE"""),2.0)</f>
        <v>2</v>
      </c>
      <c r="F2493" s="300">
        <v>1.0</v>
      </c>
      <c r="G2493" s="300">
        <v>1.0</v>
      </c>
      <c r="H2493" s="300">
        <v>1.0</v>
      </c>
      <c r="I2493" s="300">
        <v>1.0</v>
      </c>
      <c r="J2493" s="300">
        <v>1.0</v>
      </c>
      <c r="K2493" s="300">
        <v>1.0</v>
      </c>
      <c r="L2493" s="300">
        <v>1.0</v>
      </c>
      <c r="M2493" s="300">
        <v>1.0</v>
      </c>
      <c r="N2493" s="300">
        <v>8.0</v>
      </c>
      <c r="O2493" s="300" t="s">
        <v>915</v>
      </c>
      <c r="P2493" s="300">
        <v>6.0</v>
      </c>
    </row>
    <row r="2494">
      <c r="A2494">
        <f>IFERROR(__xludf.DUMMYFUNCTION("""COMPUTED_VALUE"""),12.0)</f>
        <v>12</v>
      </c>
      <c r="B2494">
        <f>IFERROR(__xludf.DUMMYFUNCTION("""COMPUTED_VALUE"""),26084.0)</f>
        <v>26084</v>
      </c>
      <c r="C2494" t="str">
        <f>IFERROR(__xludf.DUMMYFUNCTION("""COMPUTED_VALUE"""),"OSPINA RUIZ, PAULINA")</f>
        <v>OSPINA RUIZ, PAULINA</v>
      </c>
      <c r="D2494" t="str">
        <f>IFERROR(__xludf.DUMMYFUNCTION("""COMPUTED_VALUE"""),"PE 12")</f>
        <v>PE 12</v>
      </c>
      <c r="E2494" s="3">
        <f>IFERROR(__xludf.DUMMYFUNCTION("""COMPUTED_VALUE"""),4.0)</f>
        <v>4</v>
      </c>
      <c r="F2494" s="300">
        <v>1.0</v>
      </c>
      <c r="G2494" s="300">
        <v>1.0</v>
      </c>
      <c r="H2494" s="300">
        <v>1.0</v>
      </c>
      <c r="I2494" s="300">
        <v>1.0</v>
      </c>
      <c r="J2494" s="300">
        <v>1.0</v>
      </c>
      <c r="K2494" s="300">
        <v>1.0</v>
      </c>
      <c r="L2494" s="300">
        <v>1.0</v>
      </c>
      <c r="M2494" s="300">
        <v>1.0</v>
      </c>
      <c r="N2494" s="300">
        <v>8.0</v>
      </c>
      <c r="O2494" s="300" t="s">
        <v>914</v>
      </c>
      <c r="P2494" s="300">
        <v>6.0</v>
      </c>
    </row>
    <row r="2495">
      <c r="A2495">
        <f>IFERROR(__xludf.DUMMYFUNCTION("""COMPUTED_VALUE"""),12.0)</f>
        <v>12</v>
      </c>
      <c r="B2495">
        <f>IFERROR(__xludf.DUMMYFUNCTION("""COMPUTED_VALUE"""),26004.0)</f>
        <v>26004</v>
      </c>
      <c r="C2495" t="str">
        <f>IFERROR(__xludf.DUMMYFUNCTION("""COMPUTED_VALUE"""),"ALVAREZ GOMEZ, EMILIANA")</f>
        <v>ALVAREZ GOMEZ, EMILIANA</v>
      </c>
      <c r="D2495" t="str">
        <f>IFERROR(__xludf.DUMMYFUNCTION("""COMPUTED_VALUE"""),"PE 12")</f>
        <v>PE 12</v>
      </c>
      <c r="E2495" s="3">
        <f>IFERROR(__xludf.DUMMYFUNCTION("""COMPUTED_VALUE"""),1.0)</f>
        <v>1</v>
      </c>
      <c r="F2495" s="300">
        <v>1.0</v>
      </c>
      <c r="G2495" s="300">
        <v>1.0</v>
      </c>
      <c r="H2495" s="300">
        <v>1.0</v>
      </c>
      <c r="I2495" s="300">
        <v>1.0</v>
      </c>
      <c r="J2495" s="300">
        <v>1.0</v>
      </c>
      <c r="K2495" s="300">
        <v>1.0</v>
      </c>
      <c r="L2495" s="300">
        <v>1.0</v>
      </c>
      <c r="M2495" s="300">
        <v>1.0</v>
      </c>
      <c r="N2495" s="300">
        <v>8.0</v>
      </c>
      <c r="O2495" s="300" t="s">
        <v>919</v>
      </c>
      <c r="P2495" s="300">
        <v>6.0</v>
      </c>
    </row>
    <row r="2496">
      <c r="A2496">
        <f>IFERROR(__xludf.DUMMYFUNCTION("""COMPUTED_VALUE"""),12.0)</f>
        <v>12</v>
      </c>
      <c r="B2496">
        <f>IFERROR(__xludf.DUMMYFUNCTION("""COMPUTED_VALUE"""),26085.0)</f>
        <v>26085</v>
      </c>
      <c r="C2496" t="str">
        <f>IFERROR(__xludf.DUMMYFUNCTION("""COMPUTED_VALUE"""),"PALACIO RAMIREZ, SUSANA")</f>
        <v>PALACIO RAMIREZ, SUSANA</v>
      </c>
      <c r="D2496" t="str">
        <f>IFERROR(__xludf.DUMMYFUNCTION("""COMPUTED_VALUE"""),"PE 12")</f>
        <v>PE 12</v>
      </c>
      <c r="E2496" s="3">
        <f>IFERROR(__xludf.DUMMYFUNCTION("""COMPUTED_VALUE"""),1.0)</f>
        <v>1</v>
      </c>
      <c r="F2496" s="300">
        <v>1.0</v>
      </c>
      <c r="G2496" s="300">
        <v>1.0</v>
      </c>
      <c r="H2496" s="300">
        <v>1.0</v>
      </c>
      <c r="I2496" s="300">
        <v>1.0</v>
      </c>
      <c r="J2496" s="300">
        <v>1.0</v>
      </c>
      <c r="K2496" s="300">
        <v>1.0</v>
      </c>
      <c r="L2496" s="300">
        <v>1.0</v>
      </c>
      <c r="M2496" s="300">
        <v>1.0</v>
      </c>
      <c r="N2496" s="300">
        <v>8.0</v>
      </c>
      <c r="O2496" s="300" t="s">
        <v>919</v>
      </c>
      <c r="P2496" s="300">
        <v>6.0</v>
      </c>
    </row>
    <row r="2497">
      <c r="A2497">
        <f>IFERROR(__xludf.DUMMYFUNCTION("""COMPUTED_VALUE"""),12.0)</f>
        <v>12</v>
      </c>
      <c r="B2497">
        <f>IFERROR(__xludf.DUMMYFUNCTION("""COMPUTED_VALUE"""),26074.0)</f>
        <v>26074</v>
      </c>
      <c r="C2497" t="str">
        <f>IFERROR(__xludf.DUMMYFUNCTION("""COMPUTED_VALUE"""),"MESA GIRALDO, MARIA JOSE")</f>
        <v>MESA GIRALDO, MARIA JOSE</v>
      </c>
      <c r="D2497" t="str">
        <f>IFERROR(__xludf.DUMMYFUNCTION("""COMPUTED_VALUE"""),"PE 12")</f>
        <v>PE 12</v>
      </c>
      <c r="E2497" s="3">
        <f>IFERROR(__xludf.DUMMYFUNCTION("""COMPUTED_VALUE"""),1.0)</f>
        <v>1</v>
      </c>
      <c r="F2497" s="300">
        <v>1.0</v>
      </c>
      <c r="G2497" s="300">
        <v>1.0</v>
      </c>
      <c r="H2497" s="300">
        <v>1.0</v>
      </c>
      <c r="I2497" s="300">
        <v>1.0</v>
      </c>
      <c r="J2497" s="300">
        <v>1.0</v>
      </c>
      <c r="K2497" s="300">
        <v>1.0</v>
      </c>
      <c r="L2497" s="300">
        <v>1.0</v>
      </c>
      <c r="M2497" s="300">
        <v>1.0</v>
      </c>
      <c r="N2497" s="300">
        <v>8.0</v>
      </c>
      <c r="O2497" s="300" t="s">
        <v>919</v>
      </c>
      <c r="P2497" s="300">
        <v>6.0</v>
      </c>
    </row>
    <row r="2498">
      <c r="A2498">
        <f>IFERROR(__xludf.DUMMYFUNCTION("""COMPUTED_VALUE"""),12.0)</f>
        <v>12</v>
      </c>
      <c r="B2498">
        <f>IFERROR(__xludf.DUMMYFUNCTION("""COMPUTED_VALUE"""),26146.0)</f>
        <v>26146</v>
      </c>
      <c r="C2498" t="str">
        <f>IFERROR(__xludf.DUMMYFUNCTION("""COMPUTED_VALUE"""),"MOLINA CASAS, MARIA DEL MAR")</f>
        <v>MOLINA CASAS, MARIA DEL MAR</v>
      </c>
      <c r="D2498" t="str">
        <f>IFERROR(__xludf.DUMMYFUNCTION("""COMPUTED_VALUE"""),"PE 12")</f>
        <v>PE 12</v>
      </c>
      <c r="E2498" s="3">
        <f>IFERROR(__xludf.DUMMYFUNCTION("""COMPUTED_VALUE"""),8.0)</f>
        <v>8</v>
      </c>
      <c r="F2498" s="300">
        <v>1.0</v>
      </c>
      <c r="G2498" s="300">
        <v>1.0</v>
      </c>
      <c r="H2498" s="300">
        <v>1.0</v>
      </c>
      <c r="I2498" s="300">
        <v>1.0</v>
      </c>
      <c r="J2498" s="300">
        <v>1.0</v>
      </c>
      <c r="K2498" s="300">
        <v>1.0</v>
      </c>
      <c r="L2498" s="300">
        <v>1.0</v>
      </c>
      <c r="M2498" s="300">
        <v>1.0</v>
      </c>
      <c r="N2498" s="300">
        <v>8.0</v>
      </c>
      <c r="O2498" s="300" t="s">
        <v>918</v>
      </c>
      <c r="P2498" s="300">
        <v>6.0</v>
      </c>
    </row>
    <row r="2499">
      <c r="A2499">
        <f>IFERROR(__xludf.DUMMYFUNCTION("""COMPUTED_VALUE"""),12.0)</f>
        <v>12</v>
      </c>
      <c r="B2499">
        <f>IFERROR(__xludf.DUMMYFUNCTION("""COMPUTED_VALUE"""),26029.0)</f>
        <v>26029</v>
      </c>
      <c r="C2499" t="str">
        <f>IFERROR(__xludf.DUMMYFUNCTION("""COMPUTED_VALUE"""),"FAJARDO YEPES, ELISA")</f>
        <v>FAJARDO YEPES, ELISA</v>
      </c>
      <c r="D2499" t="str">
        <f>IFERROR(__xludf.DUMMYFUNCTION("""COMPUTED_VALUE"""),"PE 12")</f>
        <v>PE 12</v>
      </c>
      <c r="E2499" s="3">
        <f>IFERROR(__xludf.DUMMYFUNCTION("""COMPUTED_VALUE"""),6.0)</f>
        <v>6</v>
      </c>
      <c r="F2499" s="300">
        <v>1.0</v>
      </c>
      <c r="G2499" s="300">
        <v>1.0</v>
      </c>
      <c r="H2499" s="300">
        <v>1.0</v>
      </c>
      <c r="I2499" s="300">
        <v>1.0</v>
      </c>
      <c r="J2499" s="300">
        <v>1.0</v>
      </c>
      <c r="K2499" s="300">
        <v>1.0</v>
      </c>
      <c r="L2499" s="300">
        <v>1.0</v>
      </c>
      <c r="M2499" s="300">
        <v>1.0</v>
      </c>
      <c r="N2499" s="300">
        <v>8.0</v>
      </c>
      <c r="O2499" s="300" t="s">
        <v>917</v>
      </c>
      <c r="P2499" s="300">
        <v>6.0</v>
      </c>
    </row>
    <row r="2500">
      <c r="A2500">
        <f>IFERROR(__xludf.DUMMYFUNCTION("""COMPUTED_VALUE"""),12.0)</f>
        <v>12</v>
      </c>
      <c r="B2500">
        <f>IFERROR(__xludf.DUMMYFUNCTION("""COMPUTED_VALUE"""),26092.0)</f>
        <v>26092</v>
      </c>
      <c r="C2500" t="str">
        <f>IFERROR(__xludf.DUMMYFUNCTION("""COMPUTED_VALUE"""),"PLATA BOLAÑOS, SOFIA")</f>
        <v>PLATA BOLAÑOS, SOFIA</v>
      </c>
      <c r="D2500" t="str">
        <f>IFERROR(__xludf.DUMMYFUNCTION("""COMPUTED_VALUE"""),"PE 12")</f>
        <v>PE 12</v>
      </c>
      <c r="E2500" s="3">
        <f>IFERROR(__xludf.DUMMYFUNCTION("""COMPUTED_VALUE"""),6.0)</f>
        <v>6</v>
      </c>
      <c r="F2500" s="300">
        <v>1.0</v>
      </c>
      <c r="G2500" s="300">
        <v>1.0</v>
      </c>
      <c r="H2500" s="300">
        <v>1.0</v>
      </c>
      <c r="I2500" s="300">
        <v>1.0</v>
      </c>
      <c r="J2500" s="300">
        <v>1.0</v>
      </c>
      <c r="K2500" s="300">
        <v>1.0</v>
      </c>
      <c r="L2500" s="300">
        <v>1.0</v>
      </c>
      <c r="M2500" s="300">
        <v>1.0</v>
      </c>
      <c r="N2500" s="300">
        <v>8.0</v>
      </c>
      <c r="O2500" s="300" t="s">
        <v>917</v>
      </c>
      <c r="P2500" s="300">
        <v>6.0</v>
      </c>
    </row>
    <row r="2501">
      <c r="A2501">
        <f>IFERROR(__xludf.DUMMYFUNCTION("""COMPUTED_VALUE"""),12.0)</f>
        <v>12</v>
      </c>
      <c r="B2501">
        <f>IFERROR(__xludf.DUMMYFUNCTION("""COMPUTED_VALUE"""),26136.0)</f>
        <v>26136</v>
      </c>
      <c r="C2501" t="str">
        <f>IFERROR(__xludf.DUMMYFUNCTION("""COMPUTED_VALUE"""),"VASQUEZ MUÑOZ, MANUELA")</f>
        <v>VASQUEZ MUÑOZ, MANUELA</v>
      </c>
      <c r="D2501" t="str">
        <f>IFERROR(__xludf.DUMMYFUNCTION("""COMPUTED_VALUE"""),"PE 12")</f>
        <v>PE 12</v>
      </c>
      <c r="E2501" s="3">
        <f>IFERROR(__xludf.DUMMYFUNCTION("""COMPUTED_VALUE"""),1.0)</f>
        <v>1</v>
      </c>
      <c r="F2501" s="300">
        <v>1.0</v>
      </c>
      <c r="G2501" s="300">
        <v>1.0</v>
      </c>
      <c r="H2501" s="300">
        <v>1.0</v>
      </c>
      <c r="I2501" s="300">
        <v>1.0</v>
      </c>
      <c r="J2501" s="300">
        <v>1.0</v>
      </c>
      <c r="K2501" s="300">
        <v>1.0</v>
      </c>
      <c r="L2501" s="300">
        <v>1.0</v>
      </c>
      <c r="M2501" s="300">
        <v>1.0</v>
      </c>
      <c r="N2501" s="300">
        <v>8.0</v>
      </c>
      <c r="O2501" s="300" t="s">
        <v>919</v>
      </c>
      <c r="P2501" s="300">
        <v>6.0</v>
      </c>
    </row>
    <row r="2502">
      <c r="A2502">
        <f>IFERROR(__xludf.DUMMYFUNCTION("""COMPUTED_VALUE"""),12.0)</f>
        <v>12</v>
      </c>
      <c r="B2502">
        <f>IFERROR(__xludf.DUMMYFUNCTION("""COMPUTED_VALUE"""),26170.0)</f>
        <v>26170</v>
      </c>
      <c r="C2502" t="str">
        <f>IFERROR(__xludf.DUMMYFUNCTION("""COMPUTED_VALUE"""),"BOTERO SPERA, EMMA")</f>
        <v>BOTERO SPERA, EMMA</v>
      </c>
      <c r="D2502" t="str">
        <f>IFERROR(__xludf.DUMMYFUNCTION("""COMPUTED_VALUE"""),"PE 12")</f>
        <v>PE 12</v>
      </c>
      <c r="E2502" s="3">
        <f>IFERROR(__xludf.DUMMYFUNCTION("""COMPUTED_VALUE"""),8.0)</f>
        <v>8</v>
      </c>
      <c r="F2502" s="300">
        <v>1.0</v>
      </c>
      <c r="G2502" s="300">
        <v>1.0</v>
      </c>
      <c r="H2502" s="300">
        <v>1.0</v>
      </c>
      <c r="I2502" s="300">
        <v>1.0</v>
      </c>
      <c r="J2502" s="300">
        <v>1.0</v>
      </c>
      <c r="K2502" s="300">
        <v>1.0</v>
      </c>
      <c r="L2502" s="300">
        <v>1.0</v>
      </c>
      <c r="M2502" s="300">
        <v>1.0</v>
      </c>
      <c r="N2502" s="300">
        <v>8.0</v>
      </c>
      <c r="O2502" s="300" t="s">
        <v>918</v>
      </c>
      <c r="P2502" s="300">
        <v>6.0</v>
      </c>
    </row>
    <row r="2503">
      <c r="A2503">
        <f>IFERROR(__xludf.DUMMYFUNCTION("""COMPUTED_VALUE"""),12.0)</f>
        <v>12</v>
      </c>
      <c r="B2503">
        <f>IFERROR(__xludf.DUMMYFUNCTION("""COMPUTED_VALUE"""),26093.0)</f>
        <v>26093</v>
      </c>
      <c r="C2503" t="str">
        <f>IFERROR(__xludf.DUMMYFUNCTION("""COMPUTED_VALUE"""),"PUERTA PAZ, JUANITA")</f>
        <v>PUERTA PAZ, JUANITA</v>
      </c>
      <c r="D2503" t="str">
        <f>IFERROR(__xludf.DUMMYFUNCTION("""COMPUTED_VALUE"""),"PE 12")</f>
        <v>PE 12</v>
      </c>
      <c r="E2503" s="3">
        <f>IFERROR(__xludf.DUMMYFUNCTION("""COMPUTED_VALUE"""),6.0)</f>
        <v>6</v>
      </c>
      <c r="F2503" s="300">
        <v>1.0</v>
      </c>
      <c r="G2503" s="300">
        <v>1.0</v>
      </c>
      <c r="H2503" s="300">
        <v>1.0</v>
      </c>
      <c r="I2503" s="300">
        <v>1.0</v>
      </c>
      <c r="J2503" s="300">
        <v>1.0</v>
      </c>
      <c r="K2503" s="300">
        <v>1.0</v>
      </c>
      <c r="L2503" s="300">
        <v>1.0</v>
      </c>
      <c r="M2503" s="300">
        <v>1.0</v>
      </c>
      <c r="N2503" s="300">
        <v>8.0</v>
      </c>
      <c r="O2503" s="300" t="s">
        <v>917</v>
      </c>
      <c r="P2503" s="300">
        <v>6.0</v>
      </c>
    </row>
    <row r="2504">
      <c r="A2504">
        <f>IFERROR(__xludf.DUMMYFUNCTION("""COMPUTED_VALUE"""),12.0)</f>
        <v>12</v>
      </c>
      <c r="B2504">
        <f>IFERROR(__xludf.DUMMYFUNCTION("""COMPUTED_VALUE"""),26055.0)</f>
        <v>26055</v>
      </c>
      <c r="C2504" t="str">
        <f>IFERROR(__xludf.DUMMYFUNCTION("""COMPUTED_VALUE"""),"ISAZA CADAVID, RAQUEL")</f>
        <v>ISAZA CADAVID, RAQUEL</v>
      </c>
      <c r="D2504" t="str">
        <f>IFERROR(__xludf.DUMMYFUNCTION("""COMPUTED_VALUE"""),"PE 12")</f>
        <v>PE 12</v>
      </c>
      <c r="E2504" s="3">
        <f>IFERROR(__xludf.DUMMYFUNCTION("""COMPUTED_VALUE"""),5.0)</f>
        <v>5</v>
      </c>
      <c r="F2504" s="300">
        <v>1.0</v>
      </c>
      <c r="G2504" s="300">
        <v>1.0</v>
      </c>
      <c r="H2504" s="300">
        <v>1.0</v>
      </c>
      <c r="I2504" s="300">
        <v>1.0</v>
      </c>
      <c r="J2504" s="300">
        <v>1.0</v>
      </c>
      <c r="K2504" s="300">
        <v>1.0</v>
      </c>
      <c r="L2504" s="300">
        <v>1.0</v>
      </c>
      <c r="M2504" s="300">
        <v>1.0</v>
      </c>
      <c r="N2504" s="300">
        <v>8.0</v>
      </c>
      <c r="O2504" s="300" t="s">
        <v>916</v>
      </c>
      <c r="P2504" s="300">
        <v>6.0</v>
      </c>
    </row>
    <row r="2505">
      <c r="A2505">
        <f>IFERROR(__xludf.DUMMYFUNCTION("""COMPUTED_VALUE"""),12.0)</f>
        <v>12</v>
      </c>
      <c r="B2505">
        <f>IFERROR(__xludf.DUMMYFUNCTION("""COMPUTED_VALUE"""),26060.0)</f>
        <v>26060</v>
      </c>
      <c r="C2505" t="str">
        <f>IFERROR(__xludf.DUMMYFUNCTION("""COMPUTED_VALUE"""),"JARAMILLO OSPINA, ANTONIA")</f>
        <v>JARAMILLO OSPINA, ANTONIA</v>
      </c>
      <c r="D2505" t="str">
        <f>IFERROR(__xludf.DUMMYFUNCTION("""COMPUTED_VALUE"""),"PE 12")</f>
        <v>PE 12</v>
      </c>
      <c r="E2505" s="3">
        <f>IFERROR(__xludf.DUMMYFUNCTION("""COMPUTED_VALUE"""),2.0)</f>
        <v>2</v>
      </c>
      <c r="F2505" s="300">
        <v>1.0</v>
      </c>
      <c r="G2505" s="300">
        <v>1.0</v>
      </c>
      <c r="H2505" s="300">
        <v>1.0</v>
      </c>
      <c r="I2505" s="300">
        <v>1.0</v>
      </c>
      <c r="J2505" s="300">
        <v>1.0</v>
      </c>
      <c r="K2505" s="300">
        <v>1.0</v>
      </c>
      <c r="L2505" s="300">
        <v>1.0</v>
      </c>
      <c r="M2505" s="300">
        <v>1.0</v>
      </c>
      <c r="N2505" s="300">
        <v>8.0</v>
      </c>
      <c r="O2505" s="300" t="s">
        <v>915</v>
      </c>
      <c r="P2505" s="300">
        <v>6.0</v>
      </c>
    </row>
    <row r="2506">
      <c r="A2506">
        <f>IFERROR(__xludf.DUMMYFUNCTION("""COMPUTED_VALUE"""),12.0)</f>
        <v>12</v>
      </c>
      <c r="B2506">
        <f>IFERROR(__xludf.DUMMYFUNCTION("""COMPUTED_VALUE"""),26134.0)</f>
        <v>26134</v>
      </c>
      <c r="C2506" t="str">
        <f>IFERROR(__xludf.DUMMYFUNCTION("""COMPUTED_VALUE"""),"BOHORQUEZ GOMEZ, GABRIELA")</f>
        <v>BOHORQUEZ GOMEZ, GABRIELA</v>
      </c>
      <c r="D2506" t="str">
        <f>IFERROR(__xludf.DUMMYFUNCTION("""COMPUTED_VALUE"""),"PE 12")</f>
        <v>PE 12</v>
      </c>
      <c r="E2506" s="3">
        <f>IFERROR(__xludf.DUMMYFUNCTION("""COMPUTED_VALUE"""),6.0)</f>
        <v>6</v>
      </c>
      <c r="F2506" s="300">
        <v>1.0</v>
      </c>
      <c r="G2506" s="300">
        <v>1.0</v>
      </c>
      <c r="H2506" s="300">
        <v>1.0</v>
      </c>
      <c r="I2506" s="300">
        <v>1.0</v>
      </c>
      <c r="J2506" s="300">
        <v>1.0</v>
      </c>
      <c r="K2506" s="300">
        <v>1.0</v>
      </c>
      <c r="L2506" s="300">
        <v>1.0</v>
      </c>
      <c r="M2506" s="300">
        <v>1.0</v>
      </c>
      <c r="N2506" s="300">
        <v>8.0</v>
      </c>
      <c r="O2506" s="300" t="s">
        <v>917</v>
      </c>
      <c r="P2506" s="300">
        <v>6.0</v>
      </c>
    </row>
    <row r="2507">
      <c r="A2507">
        <f>IFERROR(__xludf.DUMMYFUNCTION("""COMPUTED_VALUE"""),12.0)</f>
        <v>12</v>
      </c>
      <c r="B2507">
        <f>IFERROR(__xludf.DUMMYFUNCTION("""COMPUTED_VALUE"""),26143.0)</f>
        <v>26143</v>
      </c>
      <c r="C2507" t="str">
        <f>IFERROR(__xludf.DUMMYFUNCTION("""COMPUTED_VALUE"""),"BEDOYA JIMENEZ, SEBASTIAN")</f>
        <v>BEDOYA JIMENEZ, SEBASTIAN</v>
      </c>
      <c r="D2507" t="str">
        <f>IFERROR(__xludf.DUMMYFUNCTION("""COMPUTED_VALUE"""),"PE 12")</f>
        <v>PE 12</v>
      </c>
      <c r="E2507" s="3">
        <f>IFERROR(__xludf.DUMMYFUNCTION("""COMPUTED_VALUE"""),2.0)</f>
        <v>2</v>
      </c>
      <c r="F2507" s="300">
        <v>1.0</v>
      </c>
      <c r="G2507" s="300">
        <v>1.0</v>
      </c>
      <c r="H2507" s="300">
        <v>1.0</v>
      </c>
      <c r="I2507" s="300">
        <v>1.0</v>
      </c>
      <c r="J2507" s="300">
        <v>1.0</v>
      </c>
      <c r="K2507" s="300">
        <v>1.0</v>
      </c>
      <c r="L2507" s="300">
        <v>1.0</v>
      </c>
      <c r="M2507" s="300">
        <v>1.0</v>
      </c>
      <c r="N2507" s="300">
        <v>8.0</v>
      </c>
      <c r="O2507" s="300" t="s">
        <v>915</v>
      </c>
      <c r="P2507" s="300">
        <v>6.0</v>
      </c>
    </row>
    <row r="2508">
      <c r="A2508">
        <f>IFERROR(__xludf.DUMMYFUNCTION("""COMPUTED_VALUE"""),12.0)</f>
        <v>12</v>
      </c>
      <c r="B2508">
        <f>IFERROR(__xludf.DUMMYFUNCTION("""COMPUTED_VALUE"""),26063.0)</f>
        <v>26063</v>
      </c>
      <c r="C2508" t="str">
        <f>IFERROR(__xludf.DUMMYFUNCTION("""COMPUTED_VALUE"""),"KIM LEE, SAE-YOUNG PABLO")</f>
        <v>KIM LEE, SAE-YOUNG PABLO</v>
      </c>
      <c r="D2508" t="str">
        <f>IFERROR(__xludf.DUMMYFUNCTION("""COMPUTED_VALUE"""),"PE 12")</f>
        <v>PE 12</v>
      </c>
      <c r="E2508" s="3">
        <f>IFERROR(__xludf.DUMMYFUNCTION("""COMPUTED_VALUE"""),8.0)</f>
        <v>8</v>
      </c>
      <c r="F2508" s="300">
        <v>1.0</v>
      </c>
      <c r="G2508" s="300">
        <v>1.0</v>
      </c>
      <c r="H2508" s="300">
        <v>1.0</v>
      </c>
      <c r="I2508" s="300">
        <v>1.0</v>
      </c>
      <c r="J2508" s="300">
        <v>1.0</v>
      </c>
      <c r="K2508" s="300">
        <v>1.0</v>
      </c>
      <c r="L2508" s="300">
        <v>1.0</v>
      </c>
      <c r="M2508" s="300">
        <v>1.0</v>
      </c>
      <c r="N2508" s="300">
        <v>8.0</v>
      </c>
      <c r="O2508" s="300" t="s">
        <v>918</v>
      </c>
      <c r="P2508" s="300">
        <v>6.0</v>
      </c>
    </row>
    <row r="2509">
      <c r="A2509">
        <f>IFERROR(__xludf.DUMMYFUNCTION("""COMPUTED_VALUE"""),12.0)</f>
        <v>12</v>
      </c>
      <c r="B2509">
        <f>IFERROR(__xludf.DUMMYFUNCTION("""COMPUTED_VALUE"""),26018.0)</f>
        <v>26018</v>
      </c>
      <c r="C2509" t="str">
        <f>IFERROR(__xludf.DUMMYFUNCTION("""COMPUTED_VALUE"""),"BOTERO TOQUICA, REBECA")</f>
        <v>BOTERO TOQUICA, REBECA</v>
      </c>
      <c r="D2509" t="str">
        <f>IFERROR(__xludf.DUMMYFUNCTION("""COMPUTED_VALUE"""),"PE 12")</f>
        <v>PE 12</v>
      </c>
      <c r="E2509" s="3">
        <f>IFERROR(__xludf.DUMMYFUNCTION("""COMPUTED_VALUE"""),8.0)</f>
        <v>8</v>
      </c>
      <c r="F2509" s="300">
        <v>1.0</v>
      </c>
      <c r="G2509" s="300">
        <v>1.0</v>
      </c>
      <c r="H2509" s="300">
        <v>1.0</v>
      </c>
      <c r="I2509" s="300">
        <v>1.0</v>
      </c>
      <c r="J2509" s="300">
        <v>1.0</v>
      </c>
      <c r="K2509" s="300">
        <v>1.0</v>
      </c>
      <c r="L2509" s="300">
        <v>1.0</v>
      </c>
      <c r="M2509" s="300">
        <v>1.0</v>
      </c>
      <c r="N2509" s="300">
        <v>8.0</v>
      </c>
      <c r="O2509" s="300" t="s">
        <v>918</v>
      </c>
      <c r="P2509" s="300">
        <v>6.0</v>
      </c>
    </row>
    <row r="2510">
      <c r="A2510">
        <f>IFERROR(__xludf.DUMMYFUNCTION("""COMPUTED_VALUE"""),12.0)</f>
        <v>12</v>
      </c>
      <c r="B2510">
        <f>IFERROR(__xludf.DUMMYFUNCTION("""COMPUTED_VALUE"""),26087.0)</f>
        <v>26087</v>
      </c>
      <c r="C2510" t="str">
        <f>IFERROR(__xludf.DUMMYFUNCTION("""COMPUTED_VALUE"""),"PELAEZ BORDA, ELIAS")</f>
        <v>PELAEZ BORDA, ELIAS</v>
      </c>
      <c r="D2510" t="str">
        <f>IFERROR(__xludf.DUMMYFUNCTION("""COMPUTED_VALUE"""),"PE 12")</f>
        <v>PE 12</v>
      </c>
      <c r="E2510" s="3">
        <f>IFERROR(__xludf.DUMMYFUNCTION("""COMPUTED_VALUE"""),1.0)</f>
        <v>1</v>
      </c>
      <c r="F2510" s="300">
        <v>1.0</v>
      </c>
      <c r="G2510" s="300">
        <v>1.0</v>
      </c>
      <c r="H2510" s="300">
        <v>1.0</v>
      </c>
      <c r="I2510" s="300">
        <v>1.0</v>
      </c>
      <c r="J2510" s="300">
        <v>1.0</v>
      </c>
      <c r="K2510" s="300">
        <v>1.0</v>
      </c>
      <c r="L2510" s="300">
        <v>1.0</v>
      </c>
      <c r="M2510" s="300">
        <v>1.0</v>
      </c>
      <c r="N2510" s="300">
        <v>8.0</v>
      </c>
      <c r="O2510" s="300" t="s">
        <v>919</v>
      </c>
      <c r="P2510" s="300">
        <v>6.0</v>
      </c>
    </row>
    <row r="2511">
      <c r="A2511">
        <f>IFERROR(__xludf.DUMMYFUNCTION("""COMPUTED_VALUE"""),12.0)</f>
        <v>12</v>
      </c>
      <c r="B2511">
        <f>IFERROR(__xludf.DUMMYFUNCTION("""COMPUTED_VALUE"""),26065.0)</f>
        <v>26065</v>
      </c>
      <c r="C2511" t="str">
        <f>IFERROR(__xludf.DUMMYFUNCTION("""COMPUTED_VALUE"""),"LONDOÑO CONGOTE, SANTIAGO")</f>
        <v>LONDOÑO CONGOTE, SANTIAGO</v>
      </c>
      <c r="D2511" t="str">
        <f>IFERROR(__xludf.DUMMYFUNCTION("""COMPUTED_VALUE"""),"PE 12")</f>
        <v>PE 12</v>
      </c>
      <c r="E2511" s="3">
        <f>IFERROR(__xludf.DUMMYFUNCTION("""COMPUTED_VALUE"""),6.0)</f>
        <v>6</v>
      </c>
      <c r="F2511" s="300">
        <v>1.0</v>
      </c>
      <c r="G2511" s="300">
        <v>1.0</v>
      </c>
      <c r="H2511" s="300">
        <v>1.0</v>
      </c>
      <c r="I2511" s="300">
        <v>1.0</v>
      </c>
      <c r="J2511" s="300">
        <v>1.0</v>
      </c>
      <c r="K2511" s="300">
        <v>1.0</v>
      </c>
      <c r="L2511" s="300">
        <v>1.0</v>
      </c>
      <c r="M2511" s="300">
        <v>1.0</v>
      </c>
      <c r="N2511" s="300">
        <v>8.0</v>
      </c>
      <c r="O2511" s="300" t="s">
        <v>917</v>
      </c>
      <c r="P2511" s="300">
        <v>6.0</v>
      </c>
    </row>
    <row r="2512">
      <c r="A2512">
        <f>IFERROR(__xludf.DUMMYFUNCTION("""COMPUTED_VALUE"""),12.0)</f>
        <v>12</v>
      </c>
      <c r="B2512">
        <f>IFERROR(__xludf.DUMMYFUNCTION("""COMPUTED_VALUE"""),26150.0)</f>
        <v>26150</v>
      </c>
      <c r="C2512" t="str">
        <f>IFERROR(__xludf.DUMMYFUNCTION("""COMPUTED_VALUE"""),"MOLANO MESA, CANDELARIA")</f>
        <v>MOLANO MESA, CANDELARIA</v>
      </c>
      <c r="D2512" t="str">
        <f>IFERROR(__xludf.DUMMYFUNCTION("""COMPUTED_VALUE"""),"PE 12")</f>
        <v>PE 12</v>
      </c>
      <c r="E2512" s="3">
        <f>IFERROR(__xludf.DUMMYFUNCTION("""COMPUTED_VALUE"""),4.0)</f>
        <v>4</v>
      </c>
      <c r="F2512" s="300">
        <v>1.0</v>
      </c>
      <c r="G2512" s="300">
        <v>1.0</v>
      </c>
      <c r="H2512" s="300">
        <v>1.0</v>
      </c>
      <c r="I2512" s="300">
        <v>1.0</v>
      </c>
      <c r="J2512" s="300">
        <v>1.0</v>
      </c>
      <c r="K2512" s="300">
        <v>1.0</v>
      </c>
      <c r="L2512" s="300">
        <v>1.0</v>
      </c>
      <c r="M2512" s="300">
        <v>1.0</v>
      </c>
      <c r="N2512" s="300">
        <v>8.0</v>
      </c>
      <c r="O2512" s="300" t="s">
        <v>914</v>
      </c>
      <c r="P2512" s="300">
        <v>6.0</v>
      </c>
    </row>
    <row r="2513">
      <c r="A2513">
        <f>IFERROR(__xludf.DUMMYFUNCTION("""COMPUTED_VALUE"""),12.0)</f>
        <v>12</v>
      </c>
      <c r="B2513">
        <f>IFERROR(__xludf.DUMMYFUNCTION("""COMPUTED_VALUE"""),26061.0)</f>
        <v>26061</v>
      </c>
      <c r="C2513" t="str">
        <f>IFERROR(__xludf.DUMMYFUNCTION("""COMPUTED_VALUE"""),"JARAMILLO RUIZ, BENJAMIN")</f>
        <v>JARAMILLO RUIZ, BENJAMIN</v>
      </c>
      <c r="D2513" t="str">
        <f>IFERROR(__xludf.DUMMYFUNCTION("""COMPUTED_VALUE"""),"PE 12")</f>
        <v>PE 12</v>
      </c>
      <c r="E2513" s="3">
        <f>IFERROR(__xludf.DUMMYFUNCTION("""COMPUTED_VALUE"""),6.0)</f>
        <v>6</v>
      </c>
      <c r="F2513" s="300">
        <v>1.0</v>
      </c>
      <c r="G2513" s="300">
        <v>1.0</v>
      </c>
      <c r="H2513" s="300">
        <v>1.0</v>
      </c>
      <c r="I2513" s="300">
        <v>1.0</v>
      </c>
      <c r="J2513" s="300">
        <v>1.0</v>
      </c>
      <c r="K2513" s="300">
        <v>1.0</v>
      </c>
      <c r="L2513" s="300">
        <v>1.0</v>
      </c>
      <c r="M2513" s="300">
        <v>1.0</v>
      </c>
      <c r="N2513" s="300">
        <v>8.0</v>
      </c>
      <c r="O2513" s="300" t="s">
        <v>917</v>
      </c>
      <c r="P2513" s="300">
        <v>6.0</v>
      </c>
    </row>
    <row r="2514">
      <c r="A2514">
        <f>IFERROR(__xludf.DUMMYFUNCTION("""COMPUTED_VALUE"""),12.0)</f>
        <v>12</v>
      </c>
      <c r="B2514">
        <f>IFERROR(__xludf.DUMMYFUNCTION("""COMPUTED_VALUE"""),26157.0)</f>
        <v>26157</v>
      </c>
      <c r="C2514" t="str">
        <f>IFERROR(__xludf.DUMMYFUNCTION("""COMPUTED_VALUE"""),"CARVAJAL PEREZ, JERONIMO")</f>
        <v>CARVAJAL PEREZ, JERONIMO</v>
      </c>
      <c r="D2514" t="str">
        <f>IFERROR(__xludf.DUMMYFUNCTION("""COMPUTED_VALUE"""),"PE 12")</f>
        <v>PE 12</v>
      </c>
      <c r="E2514" s="3">
        <f>IFERROR(__xludf.DUMMYFUNCTION("""COMPUTED_VALUE"""),2.0)</f>
        <v>2</v>
      </c>
      <c r="F2514" s="300">
        <v>1.0</v>
      </c>
      <c r="G2514" s="300">
        <v>1.0</v>
      </c>
      <c r="H2514" s="300">
        <v>1.0</v>
      </c>
      <c r="I2514" s="300">
        <v>1.0</v>
      </c>
      <c r="J2514" s="300">
        <v>1.0</v>
      </c>
      <c r="K2514" s="300">
        <v>1.0</v>
      </c>
      <c r="L2514" s="300">
        <v>1.0</v>
      </c>
      <c r="M2514" s="300">
        <v>1.0</v>
      </c>
      <c r="N2514" s="300">
        <v>8.0</v>
      </c>
      <c r="O2514" s="300" t="s">
        <v>915</v>
      </c>
      <c r="P2514" s="300">
        <v>6.0</v>
      </c>
    </row>
    <row r="2515">
      <c r="A2515">
        <f>IFERROR(__xludf.DUMMYFUNCTION("""COMPUTED_VALUE"""),12.0)</f>
        <v>12</v>
      </c>
      <c r="B2515">
        <f>IFERROR(__xludf.DUMMYFUNCTION("""COMPUTED_VALUE"""),26062.0)</f>
        <v>26062</v>
      </c>
      <c r="C2515" t="str">
        <f>IFERROR(__xludf.DUMMYFUNCTION("""COMPUTED_VALUE"""),"JIMENEZ ESCOBAR, NICOLAS")</f>
        <v>JIMENEZ ESCOBAR, NICOLAS</v>
      </c>
      <c r="D2515" t="str">
        <f>IFERROR(__xludf.DUMMYFUNCTION("""COMPUTED_VALUE"""),"PE 12")</f>
        <v>PE 12</v>
      </c>
      <c r="E2515" s="3">
        <f>IFERROR(__xludf.DUMMYFUNCTION("""COMPUTED_VALUE"""),1.0)</f>
        <v>1</v>
      </c>
      <c r="F2515" s="300">
        <v>1.0</v>
      </c>
      <c r="G2515" s="300">
        <v>1.0</v>
      </c>
      <c r="H2515" s="300">
        <v>1.0</v>
      </c>
      <c r="I2515" s="300">
        <v>1.0</v>
      </c>
      <c r="J2515" s="300">
        <v>1.0</v>
      </c>
      <c r="K2515" s="300">
        <v>1.0</v>
      </c>
      <c r="L2515" s="300">
        <v>1.0</v>
      </c>
      <c r="M2515" s="300">
        <v>1.0</v>
      </c>
      <c r="N2515" s="300">
        <v>8.0</v>
      </c>
      <c r="O2515" s="300" t="s">
        <v>919</v>
      </c>
      <c r="P2515" s="300">
        <v>6.0</v>
      </c>
    </row>
    <row r="2516">
      <c r="A2516">
        <f>IFERROR(__xludf.DUMMYFUNCTION("""COMPUTED_VALUE"""),12.0)</f>
        <v>12</v>
      </c>
      <c r="B2516">
        <f>IFERROR(__xludf.DUMMYFUNCTION("""COMPUTED_VALUE"""),26096.0)</f>
        <v>26096</v>
      </c>
      <c r="C2516" t="str">
        <f>IFERROR(__xludf.DUMMYFUNCTION("""COMPUTED_VALUE"""),"RAMOS TRUJILLO, MARIA JOSE")</f>
        <v>RAMOS TRUJILLO, MARIA JOSE</v>
      </c>
      <c r="D2516" t="str">
        <f>IFERROR(__xludf.DUMMYFUNCTION("""COMPUTED_VALUE"""),"PE 12")</f>
        <v>PE 12</v>
      </c>
      <c r="E2516" s="3">
        <f>IFERROR(__xludf.DUMMYFUNCTION("""COMPUTED_VALUE"""),8.0)</f>
        <v>8</v>
      </c>
      <c r="F2516" s="300">
        <v>1.0</v>
      </c>
      <c r="G2516" s="300">
        <v>1.0</v>
      </c>
      <c r="H2516" s="300">
        <v>1.0</v>
      </c>
      <c r="I2516" s="300">
        <v>1.0</v>
      </c>
      <c r="J2516" s="300">
        <v>1.0</v>
      </c>
      <c r="K2516" s="300">
        <v>1.0</v>
      </c>
      <c r="L2516" s="300">
        <v>1.0</v>
      </c>
      <c r="M2516" s="300">
        <v>1.0</v>
      </c>
      <c r="N2516" s="300">
        <v>8.0</v>
      </c>
      <c r="O2516" s="300" t="s">
        <v>918</v>
      </c>
      <c r="P2516" s="300">
        <v>6.0</v>
      </c>
    </row>
    <row r="2517">
      <c r="A2517">
        <f>IFERROR(__xludf.DUMMYFUNCTION("""COMPUTED_VALUE"""),12.0)</f>
        <v>12</v>
      </c>
      <c r="B2517">
        <f>IFERROR(__xludf.DUMMYFUNCTION("""COMPUTED_VALUE"""),26045.0)</f>
        <v>26045</v>
      </c>
      <c r="C2517" t="str">
        <f>IFERROR(__xludf.DUMMYFUNCTION("""COMPUTED_VALUE"""),"GRISALES PINEDA, JULIANA")</f>
        <v>GRISALES PINEDA, JULIANA</v>
      </c>
      <c r="D2517" t="str">
        <f>IFERROR(__xludf.DUMMYFUNCTION("""COMPUTED_VALUE"""),"PE 12")</f>
        <v>PE 12</v>
      </c>
      <c r="E2517" s="3">
        <f>IFERROR(__xludf.DUMMYFUNCTION("""COMPUTED_VALUE"""),8.0)</f>
        <v>8</v>
      </c>
      <c r="F2517" s="300">
        <v>1.0</v>
      </c>
      <c r="G2517" s="300">
        <v>1.0</v>
      </c>
      <c r="H2517" s="300">
        <v>1.0</v>
      </c>
      <c r="I2517" s="300">
        <v>1.0</v>
      </c>
      <c r="J2517" s="300">
        <v>1.0</v>
      </c>
      <c r="K2517" s="300">
        <v>1.0</v>
      </c>
      <c r="L2517" s="300">
        <v>1.0</v>
      </c>
      <c r="M2517" s="300">
        <v>1.0</v>
      </c>
      <c r="N2517" s="300">
        <v>8.0</v>
      </c>
      <c r="O2517" s="300" t="s">
        <v>918</v>
      </c>
      <c r="P2517" s="300">
        <v>6.0</v>
      </c>
    </row>
    <row r="2518">
      <c r="A2518">
        <f>IFERROR(__xludf.DUMMYFUNCTION("""COMPUTED_VALUE"""),12.0)</f>
        <v>12</v>
      </c>
      <c r="B2518">
        <f>IFERROR(__xludf.DUMMYFUNCTION("""COMPUTED_VALUE"""),26126.0)</f>
        <v>26126</v>
      </c>
      <c r="C2518" t="str">
        <f>IFERROR(__xludf.DUMMYFUNCTION("""COMPUTED_VALUE"""),"ZAPATA SALDARRIAGA, TOMAS")</f>
        <v>ZAPATA SALDARRIAGA, TOMAS</v>
      </c>
      <c r="D2518" t="str">
        <f>IFERROR(__xludf.DUMMYFUNCTION("""COMPUTED_VALUE"""),"PE 12")</f>
        <v>PE 12</v>
      </c>
      <c r="E2518" s="3">
        <f>IFERROR(__xludf.DUMMYFUNCTION("""COMPUTED_VALUE"""),4.0)</f>
        <v>4</v>
      </c>
      <c r="F2518" s="300">
        <v>1.0</v>
      </c>
      <c r="G2518" s="300">
        <v>1.0</v>
      </c>
      <c r="H2518" s="300">
        <v>1.0</v>
      </c>
      <c r="I2518" s="300">
        <v>1.0</v>
      </c>
      <c r="J2518" s="300">
        <v>1.0</v>
      </c>
      <c r="K2518" s="300">
        <v>1.0</v>
      </c>
      <c r="L2518" s="300">
        <v>1.0</v>
      </c>
      <c r="M2518" s="300">
        <v>1.0</v>
      </c>
      <c r="N2518" s="300">
        <v>8.0</v>
      </c>
      <c r="O2518" s="300" t="s">
        <v>914</v>
      </c>
      <c r="P2518" s="300">
        <v>6.0</v>
      </c>
    </row>
    <row r="2519">
      <c r="A2519">
        <f>IFERROR(__xludf.DUMMYFUNCTION("""COMPUTED_VALUE"""),12.0)</f>
        <v>12</v>
      </c>
      <c r="B2519">
        <f>IFERROR(__xludf.DUMMYFUNCTION("""COMPUTED_VALUE"""),26151.0)</f>
        <v>26151</v>
      </c>
      <c r="C2519" t="str">
        <f>IFERROR(__xludf.DUMMYFUNCTION("""COMPUTED_VALUE"""),"CADAVID ECHAVARRIA, SUSANA")</f>
        <v>CADAVID ECHAVARRIA, SUSANA</v>
      </c>
      <c r="D2519" t="str">
        <f>IFERROR(__xludf.DUMMYFUNCTION("""COMPUTED_VALUE"""),"PE 12")</f>
        <v>PE 12</v>
      </c>
      <c r="E2519" s="3">
        <f>IFERROR(__xludf.DUMMYFUNCTION("""COMPUTED_VALUE"""),4.0)</f>
        <v>4</v>
      </c>
      <c r="F2519" s="300">
        <v>1.0</v>
      </c>
      <c r="G2519" s="300">
        <v>1.0</v>
      </c>
      <c r="H2519" s="300">
        <v>1.0</v>
      </c>
      <c r="I2519" s="300">
        <v>1.0</v>
      </c>
      <c r="J2519" s="300">
        <v>1.0</v>
      </c>
      <c r="K2519" s="300">
        <v>1.0</v>
      </c>
      <c r="L2519" s="300">
        <v>1.0</v>
      </c>
      <c r="M2519" s="300">
        <v>1.0</v>
      </c>
      <c r="N2519" s="300">
        <v>8.0</v>
      </c>
      <c r="O2519" s="300" t="s">
        <v>914</v>
      </c>
      <c r="P2519" s="300">
        <v>6.0</v>
      </c>
    </row>
    <row r="2520">
      <c r="A2520">
        <f>IFERROR(__xludf.DUMMYFUNCTION("""COMPUTED_VALUE"""),12.0)</f>
        <v>12</v>
      </c>
      <c r="B2520">
        <f>IFERROR(__xludf.DUMMYFUNCTION("""COMPUTED_VALUE"""),26175.0)</f>
        <v>26175</v>
      </c>
      <c r="C2520" t="str">
        <f>IFERROR(__xludf.DUMMYFUNCTION("""COMPUTED_VALUE"""),"GRULLON SANTOS, DIEGO")</f>
        <v>GRULLON SANTOS, DIEGO</v>
      </c>
      <c r="D2520" t="str">
        <f>IFERROR(__xludf.DUMMYFUNCTION("""COMPUTED_VALUE"""),"PE 12")</f>
        <v>PE 12</v>
      </c>
      <c r="E2520" s="3">
        <f>IFERROR(__xludf.DUMMYFUNCTION("""COMPUTED_VALUE"""),2.0)</f>
        <v>2</v>
      </c>
      <c r="F2520" s="300">
        <v>1.0</v>
      </c>
      <c r="G2520" s="300">
        <v>1.0</v>
      </c>
      <c r="H2520" s="300">
        <v>1.0</v>
      </c>
      <c r="I2520" s="300">
        <v>1.0</v>
      </c>
      <c r="J2520" s="300">
        <v>1.0</v>
      </c>
      <c r="K2520" s="300">
        <v>1.0</v>
      </c>
      <c r="L2520" s="300">
        <v>1.0</v>
      </c>
      <c r="M2520" s="300">
        <v>1.0</v>
      </c>
      <c r="N2520" s="300">
        <v>8.0</v>
      </c>
      <c r="O2520" s="300" t="s">
        <v>915</v>
      </c>
      <c r="P2520" s="300">
        <v>6.0</v>
      </c>
    </row>
    <row r="2521">
      <c r="A2521">
        <f>IFERROR(__xludf.DUMMYFUNCTION("""COMPUTED_VALUE"""),12.0)</f>
        <v>12</v>
      </c>
      <c r="B2521">
        <f>IFERROR(__xludf.DUMMYFUNCTION("""COMPUTED_VALUE"""),26164.0)</f>
        <v>26164</v>
      </c>
      <c r="C2521" t="str">
        <f>IFERROR(__xludf.DUMMYFUNCTION("""COMPUTED_VALUE"""),"HARRIS, ROWEN IAN")</f>
        <v>HARRIS, ROWEN IAN</v>
      </c>
      <c r="D2521" t="str">
        <f>IFERROR(__xludf.DUMMYFUNCTION("""COMPUTED_VALUE"""),"PE 12")</f>
        <v>PE 12</v>
      </c>
      <c r="E2521" s="3">
        <f>IFERROR(__xludf.DUMMYFUNCTION("""COMPUTED_VALUE"""),5.0)</f>
        <v>5</v>
      </c>
      <c r="F2521" s="300">
        <v>1.0</v>
      </c>
      <c r="G2521" s="300">
        <v>1.0</v>
      </c>
      <c r="H2521" s="300">
        <v>1.0</v>
      </c>
      <c r="I2521" s="300">
        <v>1.0</v>
      </c>
      <c r="J2521" s="300">
        <v>1.0</v>
      </c>
      <c r="K2521" s="300">
        <v>1.0</v>
      </c>
      <c r="L2521" s="300">
        <v>1.0</v>
      </c>
      <c r="M2521" s="300">
        <v>1.0</v>
      </c>
      <c r="N2521" s="300">
        <v>8.0</v>
      </c>
      <c r="O2521" s="300" t="s">
        <v>916</v>
      </c>
      <c r="P2521" s="300">
        <v>6.0</v>
      </c>
    </row>
    <row r="2522">
      <c r="A2522">
        <f>IFERROR(__xludf.DUMMYFUNCTION("""COMPUTED_VALUE"""),12.0)</f>
        <v>12</v>
      </c>
      <c r="B2522">
        <f>IFERROR(__xludf.DUMMYFUNCTION("""COMPUTED_VALUE"""),26016.0)</f>
        <v>26016</v>
      </c>
      <c r="C2522" t="str">
        <f>IFERROR(__xludf.DUMMYFUNCTION("""COMPUTED_VALUE"""),"BETANCUR VILLEGAS, SOFIA")</f>
        <v>BETANCUR VILLEGAS, SOFIA</v>
      </c>
      <c r="D2522" t="str">
        <f>IFERROR(__xludf.DUMMYFUNCTION("""COMPUTED_VALUE"""),"PE 12")</f>
        <v>PE 12</v>
      </c>
      <c r="E2522" s="3">
        <f>IFERROR(__xludf.DUMMYFUNCTION("""COMPUTED_VALUE"""),8.0)</f>
        <v>8</v>
      </c>
      <c r="F2522" s="300">
        <v>1.0</v>
      </c>
      <c r="G2522" s="300">
        <v>1.0</v>
      </c>
      <c r="H2522" s="300">
        <v>1.0</v>
      </c>
      <c r="I2522" s="300">
        <v>1.0</v>
      </c>
      <c r="J2522" s="300">
        <v>1.0</v>
      </c>
      <c r="K2522" s="300">
        <v>1.0</v>
      </c>
      <c r="L2522" s="300">
        <v>1.0</v>
      </c>
      <c r="M2522" s="300">
        <v>1.0</v>
      </c>
      <c r="N2522" s="300">
        <v>8.0</v>
      </c>
      <c r="O2522" s="300" t="s">
        <v>918</v>
      </c>
      <c r="P2522" s="300">
        <v>6.0</v>
      </c>
    </row>
    <row r="2523">
      <c r="A2523">
        <f>IFERROR(__xludf.DUMMYFUNCTION("""COMPUTED_VALUE"""),12.0)</f>
        <v>12</v>
      </c>
      <c r="B2523">
        <f>IFERROR(__xludf.DUMMYFUNCTION("""COMPUTED_VALUE"""),26057.0)</f>
        <v>26057</v>
      </c>
      <c r="C2523" t="str">
        <f>IFERROR(__xludf.DUMMYFUNCTION("""COMPUTED_VALUE"""),"JARAMILLO ARANGO, AMALIA")</f>
        <v>JARAMILLO ARANGO, AMALIA</v>
      </c>
      <c r="D2523" t="str">
        <f>IFERROR(__xludf.DUMMYFUNCTION("""COMPUTED_VALUE"""),"PE 12")</f>
        <v>PE 12</v>
      </c>
      <c r="E2523" s="3">
        <f>IFERROR(__xludf.DUMMYFUNCTION("""COMPUTED_VALUE"""),4.0)</f>
        <v>4</v>
      </c>
      <c r="F2523" s="300">
        <v>1.0</v>
      </c>
      <c r="G2523" s="300">
        <v>1.0</v>
      </c>
      <c r="H2523" s="300">
        <v>1.0</v>
      </c>
      <c r="I2523" s="300">
        <v>1.0</v>
      </c>
      <c r="J2523" s="300">
        <v>1.0</v>
      </c>
      <c r="K2523" s="300">
        <v>1.0</v>
      </c>
      <c r="L2523" s="300">
        <v>1.0</v>
      </c>
      <c r="M2523" s="300">
        <v>1.0</v>
      </c>
      <c r="N2523" s="300">
        <v>8.0</v>
      </c>
      <c r="O2523" s="300" t="s">
        <v>914</v>
      </c>
      <c r="P2523" s="300">
        <v>6.0</v>
      </c>
    </row>
    <row r="2524">
      <c r="A2524">
        <f>IFERROR(__xludf.DUMMYFUNCTION("""COMPUTED_VALUE"""),12.0)</f>
        <v>12</v>
      </c>
      <c r="B2524">
        <f>IFERROR(__xludf.DUMMYFUNCTION("""COMPUTED_VALUE"""),26059.0)</f>
        <v>26059</v>
      </c>
      <c r="C2524" t="str">
        <f>IFERROR(__xludf.DUMMYFUNCTION("""COMPUTED_VALUE"""),"JARAMILLO NARANJO, SARA")</f>
        <v>JARAMILLO NARANJO, SARA</v>
      </c>
      <c r="D2524" t="str">
        <f>IFERROR(__xludf.DUMMYFUNCTION("""COMPUTED_VALUE"""),"PE 12")</f>
        <v>PE 12</v>
      </c>
      <c r="E2524" s="3">
        <f>IFERROR(__xludf.DUMMYFUNCTION("""COMPUTED_VALUE"""),6.0)</f>
        <v>6</v>
      </c>
      <c r="F2524" s="300">
        <v>1.0</v>
      </c>
      <c r="G2524" s="300">
        <v>1.0</v>
      </c>
      <c r="H2524" s="300">
        <v>1.0</v>
      </c>
      <c r="I2524" s="300">
        <v>1.0</v>
      </c>
      <c r="J2524" s="300">
        <v>1.0</v>
      </c>
      <c r="K2524" s="300">
        <v>1.0</v>
      </c>
      <c r="L2524" s="300">
        <v>1.0</v>
      </c>
      <c r="M2524" s="300">
        <v>1.0</v>
      </c>
      <c r="N2524" s="300">
        <v>8.0</v>
      </c>
      <c r="O2524" s="300" t="s">
        <v>917</v>
      </c>
      <c r="P2524" s="300">
        <v>6.0</v>
      </c>
    </row>
    <row r="2525">
      <c r="A2525">
        <f>IFERROR(__xludf.DUMMYFUNCTION("""COMPUTED_VALUE"""),12.0)</f>
        <v>12</v>
      </c>
      <c r="B2525">
        <f>IFERROR(__xludf.DUMMYFUNCTION("""COMPUTED_VALUE"""),26094.0)</f>
        <v>26094</v>
      </c>
      <c r="C2525" t="str">
        <f>IFERROR(__xludf.DUMMYFUNCTION("""COMPUTED_VALUE"""),"PULGARIN HUERTAS, AMELIA")</f>
        <v>PULGARIN HUERTAS, AMELIA</v>
      </c>
      <c r="D2525" t="str">
        <f>IFERROR(__xludf.DUMMYFUNCTION("""COMPUTED_VALUE"""),"PE 12")</f>
        <v>PE 12</v>
      </c>
      <c r="E2525" s="3">
        <f>IFERROR(__xludf.DUMMYFUNCTION("""COMPUTED_VALUE"""),4.0)</f>
        <v>4</v>
      </c>
      <c r="F2525" s="300">
        <v>1.0</v>
      </c>
      <c r="G2525" s="300">
        <v>1.0</v>
      </c>
      <c r="H2525" s="300">
        <v>1.0</v>
      </c>
      <c r="I2525" s="300">
        <v>1.0</v>
      </c>
      <c r="J2525" s="300">
        <v>1.0</v>
      </c>
      <c r="K2525" s="300">
        <v>1.0</v>
      </c>
      <c r="L2525" s="300">
        <v>1.0</v>
      </c>
      <c r="M2525" s="300">
        <v>1.0</v>
      </c>
      <c r="N2525" s="300">
        <v>8.0</v>
      </c>
      <c r="O2525" s="300" t="s">
        <v>914</v>
      </c>
      <c r="P2525" s="300">
        <v>6.0</v>
      </c>
    </row>
    <row r="2526">
      <c r="A2526">
        <f>IFERROR(__xludf.DUMMYFUNCTION("""COMPUTED_VALUE"""),12.0)</f>
        <v>12</v>
      </c>
      <c r="B2526">
        <f>IFERROR(__xludf.DUMMYFUNCTION("""COMPUTED_VALUE"""),26007.0)</f>
        <v>26007</v>
      </c>
      <c r="C2526" t="str">
        <f>IFERROR(__xludf.DUMMYFUNCTION("""COMPUTED_VALUE"""),"ARANGO ESCOBAR, JULIANA")</f>
        <v>ARANGO ESCOBAR, JULIANA</v>
      </c>
      <c r="D2526" t="str">
        <f>IFERROR(__xludf.DUMMYFUNCTION("""COMPUTED_VALUE"""),"PE 12")</f>
        <v>PE 12</v>
      </c>
      <c r="E2526" s="3">
        <f>IFERROR(__xludf.DUMMYFUNCTION("""COMPUTED_VALUE"""),6.0)</f>
        <v>6</v>
      </c>
      <c r="F2526" s="300">
        <v>1.0</v>
      </c>
      <c r="G2526" s="300">
        <v>1.0</v>
      </c>
      <c r="H2526" s="300">
        <v>1.0</v>
      </c>
      <c r="I2526" s="300">
        <v>1.0</v>
      </c>
      <c r="J2526" s="300">
        <v>1.0</v>
      </c>
      <c r="K2526" s="300">
        <v>1.0</v>
      </c>
      <c r="L2526" s="300">
        <v>1.0</v>
      </c>
      <c r="M2526" s="300">
        <v>1.0</v>
      </c>
      <c r="N2526" s="300">
        <v>8.0</v>
      </c>
      <c r="O2526" s="300" t="s">
        <v>917</v>
      </c>
      <c r="P2526" s="300">
        <v>6.0</v>
      </c>
    </row>
    <row r="2527">
      <c r="A2527">
        <f>IFERROR(__xludf.DUMMYFUNCTION("""COMPUTED_VALUE"""),12.0)</f>
        <v>12</v>
      </c>
      <c r="B2527">
        <f>IFERROR(__xludf.DUMMYFUNCTION("""COMPUTED_VALUE"""),26176.0)</f>
        <v>26176</v>
      </c>
      <c r="C2527" t="str">
        <f>IFERROR(__xludf.DUMMYFUNCTION("""COMPUTED_VALUE"""),"FORTICH ANGULO, SERGIO")</f>
        <v>FORTICH ANGULO, SERGIO</v>
      </c>
      <c r="D2527" t="str">
        <f>IFERROR(__xludf.DUMMYFUNCTION("""COMPUTED_VALUE"""),"PE 12")</f>
        <v>PE 12</v>
      </c>
      <c r="E2527" s="3">
        <f>IFERROR(__xludf.DUMMYFUNCTION("""COMPUTED_VALUE"""),1.0)</f>
        <v>1</v>
      </c>
      <c r="F2527" s="300">
        <v>1.0</v>
      </c>
      <c r="G2527" s="300">
        <v>1.0</v>
      </c>
      <c r="H2527" s="300">
        <v>1.0</v>
      </c>
      <c r="I2527" s="300">
        <v>1.0</v>
      </c>
      <c r="J2527" s="300">
        <v>1.0</v>
      </c>
      <c r="K2527" s="300">
        <v>1.0</v>
      </c>
      <c r="L2527" s="300">
        <v>1.0</v>
      </c>
      <c r="M2527" s="300">
        <v>1.0</v>
      </c>
      <c r="N2527" s="300">
        <v>8.0</v>
      </c>
      <c r="O2527" s="300" t="s">
        <v>919</v>
      </c>
      <c r="P2527" s="300">
        <v>6.0</v>
      </c>
    </row>
    <row r="2528">
      <c r="A2528">
        <f>IFERROR(__xludf.DUMMYFUNCTION("""COMPUTED_VALUE"""),12.0)</f>
        <v>12</v>
      </c>
      <c r="B2528">
        <f>IFERROR(__xludf.DUMMYFUNCTION("""COMPUTED_VALUE"""),26070.0)</f>
        <v>26070</v>
      </c>
      <c r="C2528" t="str">
        <f>IFERROR(__xludf.DUMMYFUNCTION("""COMPUTED_VALUE"""),"MEJIA MEJIA, LUCAS")</f>
        <v>MEJIA MEJIA, LUCAS</v>
      </c>
      <c r="D2528" t="str">
        <f>IFERROR(__xludf.DUMMYFUNCTION("""COMPUTED_VALUE"""),"PE 12")</f>
        <v>PE 12</v>
      </c>
      <c r="E2528" s="3">
        <f>IFERROR(__xludf.DUMMYFUNCTION("""COMPUTED_VALUE"""),5.0)</f>
        <v>5</v>
      </c>
      <c r="F2528" s="300">
        <v>1.0</v>
      </c>
      <c r="G2528" s="300">
        <v>1.0</v>
      </c>
      <c r="H2528" s="300">
        <v>1.0</v>
      </c>
      <c r="I2528" s="300">
        <v>1.0</v>
      </c>
      <c r="J2528" s="300">
        <v>1.0</v>
      </c>
      <c r="K2528" s="300">
        <v>1.0</v>
      </c>
      <c r="L2528" s="300">
        <v>1.0</v>
      </c>
      <c r="M2528" s="300">
        <v>1.0</v>
      </c>
      <c r="N2528" s="300">
        <v>8.0</v>
      </c>
      <c r="O2528" s="300" t="s">
        <v>916</v>
      </c>
      <c r="P2528" s="300">
        <v>6.0</v>
      </c>
    </row>
    <row r="2529">
      <c r="A2529">
        <f>IFERROR(__xludf.DUMMYFUNCTION("""COMPUTED_VALUE"""),12.0)</f>
        <v>12</v>
      </c>
      <c r="B2529">
        <f>IFERROR(__xludf.DUMMYFUNCTION("""COMPUTED_VALUE"""),26052.0)</f>
        <v>26052</v>
      </c>
      <c r="C2529" t="str">
        <f>IFERROR(__xludf.DUMMYFUNCTION("""COMPUTED_VALUE"""),"HINESTROSA SIERRA, AMALIA")</f>
        <v>HINESTROSA SIERRA, AMALIA</v>
      </c>
      <c r="D2529" t="str">
        <f>IFERROR(__xludf.DUMMYFUNCTION("""COMPUTED_VALUE"""),"PE 12")</f>
        <v>PE 12</v>
      </c>
      <c r="E2529" s="3">
        <f>IFERROR(__xludf.DUMMYFUNCTION("""COMPUTED_VALUE"""),2.0)</f>
        <v>2</v>
      </c>
      <c r="F2529" s="300">
        <v>1.0</v>
      </c>
      <c r="G2529" s="300">
        <v>1.0</v>
      </c>
      <c r="H2529" s="300">
        <v>1.0</v>
      </c>
      <c r="I2529" s="300">
        <v>1.0</v>
      </c>
      <c r="J2529" s="300">
        <v>1.0</v>
      </c>
      <c r="K2529" s="300">
        <v>1.0</v>
      </c>
      <c r="L2529" s="300">
        <v>1.0</v>
      </c>
      <c r="M2529" s="300">
        <v>1.0</v>
      </c>
      <c r="N2529" s="300">
        <v>8.0</v>
      </c>
      <c r="O2529" s="300" t="s">
        <v>915</v>
      </c>
      <c r="P2529" s="300">
        <v>6.0</v>
      </c>
    </row>
    <row r="2530">
      <c r="A2530">
        <f>IFERROR(__xludf.DUMMYFUNCTION("""COMPUTED_VALUE"""),12.0)</f>
        <v>12</v>
      </c>
      <c r="B2530">
        <f>IFERROR(__xludf.DUMMYFUNCTION("""COMPUTED_VALUE"""),26123.0)</f>
        <v>26123</v>
      </c>
      <c r="C2530" t="str">
        <f>IFERROR(__xludf.DUMMYFUNCTION("""COMPUTED_VALUE"""),"WOLFF RAMIREZ, MARIA")</f>
        <v>WOLFF RAMIREZ, MARIA</v>
      </c>
      <c r="D2530" t="str">
        <f>IFERROR(__xludf.DUMMYFUNCTION("""COMPUTED_VALUE"""),"PE 12")</f>
        <v>PE 12</v>
      </c>
      <c r="E2530" s="3">
        <f>IFERROR(__xludf.DUMMYFUNCTION("""COMPUTED_VALUE"""),2.0)</f>
        <v>2</v>
      </c>
      <c r="F2530" s="300">
        <v>1.0</v>
      </c>
      <c r="G2530" s="300">
        <v>1.0</v>
      </c>
      <c r="H2530" s="300">
        <v>1.0</v>
      </c>
      <c r="I2530" s="300">
        <v>1.0</v>
      </c>
      <c r="J2530" s="300">
        <v>1.0</v>
      </c>
      <c r="K2530" s="300">
        <v>1.0</v>
      </c>
      <c r="L2530" s="300">
        <v>1.0</v>
      </c>
      <c r="M2530" s="300">
        <v>1.0</v>
      </c>
      <c r="N2530" s="300">
        <v>8.0</v>
      </c>
      <c r="O2530" s="300" t="s">
        <v>915</v>
      </c>
      <c r="P2530" s="300">
        <v>6.0</v>
      </c>
    </row>
    <row r="2531">
      <c r="A2531">
        <f>IFERROR(__xludf.DUMMYFUNCTION("""COMPUTED_VALUE"""),12.0)</f>
        <v>12</v>
      </c>
      <c r="B2531">
        <f>IFERROR(__xludf.DUMMYFUNCTION("""COMPUTED_VALUE"""),26042.0)</f>
        <v>26042</v>
      </c>
      <c r="C2531" t="str">
        <f>IFERROR(__xludf.DUMMYFUNCTION("""COMPUTED_VALUE"""),"GOMEZ VELEZ, MIGUEL")</f>
        <v>GOMEZ VELEZ, MIGUEL</v>
      </c>
      <c r="D2531" t="str">
        <f>IFERROR(__xludf.DUMMYFUNCTION("""COMPUTED_VALUE"""),"PE 12")</f>
        <v>PE 12</v>
      </c>
      <c r="E2531" s="3">
        <f>IFERROR(__xludf.DUMMYFUNCTION("""COMPUTED_VALUE"""),4.0)</f>
        <v>4</v>
      </c>
      <c r="F2531" s="300">
        <v>1.0</v>
      </c>
      <c r="G2531" s="300">
        <v>1.0</v>
      </c>
      <c r="H2531" s="300">
        <v>1.0</v>
      </c>
      <c r="I2531" s="300">
        <v>1.0</v>
      </c>
      <c r="J2531" s="300">
        <v>1.0</v>
      </c>
      <c r="K2531" s="300">
        <v>1.0</v>
      </c>
      <c r="L2531" s="300">
        <v>1.0</v>
      </c>
      <c r="M2531" s="300">
        <v>1.0</v>
      </c>
      <c r="N2531" s="300">
        <v>8.0</v>
      </c>
      <c r="O2531" s="300" t="s">
        <v>914</v>
      </c>
      <c r="P2531" s="300">
        <v>6.0</v>
      </c>
    </row>
    <row r="2532">
      <c r="A2532">
        <f>IFERROR(__xludf.DUMMYFUNCTION("""COMPUTED_VALUE"""),12.0)</f>
        <v>12</v>
      </c>
      <c r="B2532">
        <f>IFERROR(__xludf.DUMMYFUNCTION("""COMPUTED_VALUE"""),26116.0)</f>
        <v>26116</v>
      </c>
      <c r="C2532" t="str">
        <f>IFERROR(__xludf.DUMMYFUNCTION("""COMPUTED_VALUE"""),"VELEZ FERRER, AGUSTIN")</f>
        <v>VELEZ FERRER, AGUSTIN</v>
      </c>
      <c r="D2532" t="str">
        <f>IFERROR(__xludf.DUMMYFUNCTION("""COMPUTED_VALUE"""),"PE 12")</f>
        <v>PE 12</v>
      </c>
      <c r="E2532" s="3">
        <f>IFERROR(__xludf.DUMMYFUNCTION("""COMPUTED_VALUE"""),5.0)</f>
        <v>5</v>
      </c>
      <c r="F2532" s="300">
        <v>1.0</v>
      </c>
      <c r="G2532" s="300">
        <v>1.0</v>
      </c>
      <c r="H2532" s="300">
        <v>1.0</v>
      </c>
      <c r="I2532" s="300">
        <v>1.0</v>
      </c>
      <c r="J2532" s="300">
        <v>1.0</v>
      </c>
      <c r="K2532" s="300">
        <v>1.0</v>
      </c>
      <c r="L2532" s="300">
        <v>1.0</v>
      </c>
      <c r="M2532" s="300">
        <v>1.0</v>
      </c>
      <c r="N2532" s="300">
        <v>8.0</v>
      </c>
      <c r="O2532" s="300" t="s">
        <v>916</v>
      </c>
      <c r="P2532" s="300">
        <v>6.0</v>
      </c>
    </row>
    <row r="2533">
      <c r="A2533">
        <f>IFERROR(__xludf.DUMMYFUNCTION("""COMPUTED_VALUE"""),12.0)</f>
        <v>12</v>
      </c>
      <c r="B2533">
        <f>IFERROR(__xludf.DUMMYFUNCTION("""COMPUTED_VALUE"""),26039.0)</f>
        <v>26039</v>
      </c>
      <c r="C2533" t="str">
        <f>IFERROR(__xludf.DUMMYFUNCTION("""COMPUTED_VALUE"""),"GOMEZ LINCE, MARIA")</f>
        <v>GOMEZ LINCE, MARIA</v>
      </c>
      <c r="D2533" t="str">
        <f>IFERROR(__xludf.DUMMYFUNCTION("""COMPUTED_VALUE"""),"PE 12")</f>
        <v>PE 12</v>
      </c>
      <c r="E2533" s="3">
        <f>IFERROR(__xludf.DUMMYFUNCTION("""COMPUTED_VALUE"""),1.0)</f>
        <v>1</v>
      </c>
      <c r="F2533" s="300">
        <v>1.0</v>
      </c>
      <c r="G2533" s="300">
        <v>1.0</v>
      </c>
      <c r="H2533" s="300">
        <v>1.0</v>
      </c>
      <c r="I2533" s="300">
        <v>1.0</v>
      </c>
      <c r="J2533" s="300">
        <v>1.0</v>
      </c>
      <c r="K2533" s="300">
        <v>1.0</v>
      </c>
      <c r="L2533" s="300">
        <v>1.0</v>
      </c>
      <c r="M2533" s="300">
        <v>1.0</v>
      </c>
      <c r="N2533" s="300">
        <v>8.0</v>
      </c>
      <c r="O2533" s="300" t="s">
        <v>919</v>
      </c>
      <c r="P2533" s="300">
        <v>6.0</v>
      </c>
    </row>
    <row r="2534">
      <c r="A2534">
        <f>IFERROR(__xludf.DUMMYFUNCTION("""COMPUTED_VALUE"""),12.0)</f>
        <v>12</v>
      </c>
      <c r="B2534">
        <f>IFERROR(__xludf.DUMMYFUNCTION("""COMPUTED_VALUE"""),26030.0)</f>
        <v>26030</v>
      </c>
      <c r="C2534" t="str">
        <f>IFERROR(__xludf.DUMMYFUNCTION("""COMPUTED_VALUE"""),"FERNANDEZ DUQUE, CANDELARIA")</f>
        <v>FERNANDEZ DUQUE, CANDELARIA</v>
      </c>
      <c r="D2534" t="str">
        <f>IFERROR(__xludf.DUMMYFUNCTION("""COMPUTED_VALUE"""),"PE 12")</f>
        <v>PE 12</v>
      </c>
      <c r="E2534" s="3">
        <f>IFERROR(__xludf.DUMMYFUNCTION("""COMPUTED_VALUE"""),4.0)</f>
        <v>4</v>
      </c>
      <c r="F2534" s="300">
        <v>1.0</v>
      </c>
      <c r="G2534" s="300">
        <v>1.0</v>
      </c>
      <c r="H2534" s="300">
        <v>1.0</v>
      </c>
      <c r="I2534" s="300">
        <v>1.0</v>
      </c>
      <c r="J2534" s="300">
        <v>1.0</v>
      </c>
      <c r="K2534" s="300">
        <v>1.0</v>
      </c>
      <c r="L2534" s="300">
        <v>1.0</v>
      </c>
      <c r="M2534" s="300">
        <v>1.0</v>
      </c>
      <c r="N2534" s="300">
        <v>8.0</v>
      </c>
      <c r="O2534" s="300" t="s">
        <v>914</v>
      </c>
      <c r="P2534" s="300">
        <v>6.0</v>
      </c>
    </row>
    <row r="2535">
      <c r="A2535">
        <f>IFERROR(__xludf.DUMMYFUNCTION("""COMPUTED_VALUE"""),12.0)</f>
        <v>12</v>
      </c>
      <c r="B2535">
        <f>IFERROR(__xludf.DUMMYFUNCTION("""COMPUTED_VALUE"""),26003.0)</f>
        <v>26003</v>
      </c>
      <c r="C2535" t="str">
        <f>IFERROR(__xludf.DUMMYFUNCTION("""COMPUTED_VALUE"""),"AGUDELO ECHEVERRI, MATIAS")</f>
        <v>AGUDELO ECHEVERRI, MATIAS</v>
      </c>
      <c r="D2535" t="str">
        <f>IFERROR(__xludf.DUMMYFUNCTION("""COMPUTED_VALUE"""),"PE 12")</f>
        <v>PE 12</v>
      </c>
      <c r="E2535" s="3">
        <f>IFERROR(__xludf.DUMMYFUNCTION("""COMPUTED_VALUE"""),2.0)</f>
        <v>2</v>
      </c>
      <c r="F2535" s="300">
        <v>1.0</v>
      </c>
      <c r="G2535" s="300">
        <v>1.0</v>
      </c>
      <c r="H2535" s="300">
        <v>1.0</v>
      </c>
      <c r="I2535" s="300">
        <v>1.0</v>
      </c>
      <c r="J2535" s="300">
        <v>1.0</v>
      </c>
      <c r="K2535" s="300">
        <v>1.0</v>
      </c>
      <c r="L2535" s="300">
        <v>1.0</v>
      </c>
      <c r="M2535" s="300">
        <v>1.0</v>
      </c>
      <c r="N2535" s="300">
        <v>8.0</v>
      </c>
      <c r="O2535" s="300" t="s">
        <v>915</v>
      </c>
      <c r="P2535" s="300">
        <v>6.0</v>
      </c>
    </row>
    <row r="2536">
      <c r="A2536">
        <f>IFERROR(__xludf.DUMMYFUNCTION("""COMPUTED_VALUE"""),12.0)</f>
        <v>12</v>
      </c>
      <c r="B2536" s="406">
        <f>IFERROR(__xludf.DUMMYFUNCTION("""COMPUTED_VALUE"""),26053.0)</f>
        <v>26053</v>
      </c>
      <c r="C2536" t="str">
        <f>IFERROR(__xludf.DUMMYFUNCTION("""COMPUTED_VALUE"""),"HODEK RESTREPO, MIA")</f>
        <v>HODEK RESTREPO, MIA</v>
      </c>
      <c r="D2536" t="str">
        <f>IFERROR(__xludf.DUMMYFUNCTION("""COMPUTED_VALUE"""),"PE 12")</f>
        <v>PE 12</v>
      </c>
      <c r="E2536" s="3">
        <f>IFERROR(__xludf.DUMMYFUNCTION("""COMPUTED_VALUE"""),1.0)</f>
        <v>1</v>
      </c>
      <c r="F2536" s="300">
        <v>1.0</v>
      </c>
      <c r="G2536" s="300">
        <v>1.0</v>
      </c>
      <c r="H2536" s="300">
        <v>1.0</v>
      </c>
      <c r="I2536" s="300">
        <v>1.0</v>
      </c>
      <c r="J2536" s="300">
        <v>1.0</v>
      </c>
      <c r="K2536" s="300">
        <v>1.0</v>
      </c>
      <c r="L2536" s="300">
        <v>1.0</v>
      </c>
      <c r="M2536" s="300">
        <v>1.0</v>
      </c>
      <c r="N2536" s="300">
        <v>8.0</v>
      </c>
      <c r="O2536" s="300" t="s">
        <v>919</v>
      </c>
      <c r="P2536" s="300">
        <v>6.0</v>
      </c>
    </row>
    <row r="2537">
      <c r="A2537">
        <f>IFERROR(__xludf.DUMMYFUNCTION("""COMPUTED_VALUE"""),12.0)</f>
        <v>12</v>
      </c>
      <c r="B2537">
        <f>IFERROR(__xludf.DUMMYFUNCTION("""COMPUTED_VALUE"""),26021.0)</f>
        <v>26021</v>
      </c>
      <c r="C2537" t="str">
        <f>IFERROR(__xludf.DUMMYFUNCTION("""COMPUTED_VALUE"""),"CARDONA OCHOA, CAMILA")</f>
        <v>CARDONA OCHOA, CAMILA</v>
      </c>
      <c r="D2537" t="str">
        <f>IFERROR(__xludf.DUMMYFUNCTION("""COMPUTED_VALUE"""),"PE 12")</f>
        <v>PE 12</v>
      </c>
      <c r="E2537" s="3">
        <f>IFERROR(__xludf.DUMMYFUNCTION("""COMPUTED_VALUE"""),6.0)</f>
        <v>6</v>
      </c>
      <c r="F2537" s="300">
        <v>1.0</v>
      </c>
      <c r="G2537" s="300">
        <v>1.0</v>
      </c>
      <c r="H2537" s="300">
        <v>1.0</v>
      </c>
      <c r="I2537" s="300">
        <v>1.0</v>
      </c>
      <c r="J2537" s="300">
        <v>1.0</v>
      </c>
      <c r="K2537" s="300">
        <v>1.0</v>
      </c>
      <c r="L2537" s="300">
        <v>1.0</v>
      </c>
      <c r="M2537" s="300">
        <v>1.0</v>
      </c>
      <c r="N2537" s="300">
        <v>8.0</v>
      </c>
      <c r="O2537" s="300" t="s">
        <v>917</v>
      </c>
      <c r="P2537" s="300">
        <v>6.0</v>
      </c>
    </row>
    <row r="2538">
      <c r="A2538">
        <f>IFERROR(__xludf.DUMMYFUNCTION("""COMPUTED_VALUE"""),12.0)</f>
        <v>12</v>
      </c>
      <c r="B2538">
        <f>IFERROR(__xludf.DUMMYFUNCTION("""COMPUTED_VALUE"""),26089.0)</f>
        <v>26089</v>
      </c>
      <c r="C2538" t="str">
        <f>IFERROR(__xludf.DUMMYFUNCTION("""COMPUTED_VALUE"""),"PEREZ YEPES, EMILIANO")</f>
        <v>PEREZ YEPES, EMILIANO</v>
      </c>
      <c r="D2538" t="str">
        <f>IFERROR(__xludf.DUMMYFUNCTION("""COMPUTED_VALUE"""),"PE 12")</f>
        <v>PE 12</v>
      </c>
      <c r="E2538" s="3">
        <f>IFERROR(__xludf.DUMMYFUNCTION("""COMPUTED_VALUE"""),8.0)</f>
        <v>8</v>
      </c>
      <c r="F2538" s="300">
        <v>1.0</v>
      </c>
      <c r="G2538" s="300">
        <v>1.0</v>
      </c>
      <c r="H2538" s="300">
        <v>1.0</v>
      </c>
      <c r="I2538" s="300">
        <v>1.0</v>
      </c>
      <c r="J2538" s="300">
        <v>1.0</v>
      </c>
      <c r="K2538" s="300">
        <v>1.0</v>
      </c>
      <c r="L2538" s="300">
        <v>1.0</v>
      </c>
      <c r="M2538" s="300">
        <v>1.0</v>
      </c>
      <c r="N2538" s="300">
        <v>8.0</v>
      </c>
      <c r="O2538" s="300" t="s">
        <v>918</v>
      </c>
      <c r="P2538" s="300">
        <v>6.0</v>
      </c>
    </row>
    <row r="2539">
      <c r="A2539">
        <f>IFERROR(__xludf.DUMMYFUNCTION("""COMPUTED_VALUE"""),12.0)</f>
        <v>12</v>
      </c>
      <c r="B2539">
        <f>IFERROR(__xludf.DUMMYFUNCTION("""COMPUTED_VALUE"""),26035.0)</f>
        <v>26035</v>
      </c>
      <c r="C2539" t="str">
        <f>IFERROR(__xludf.DUMMYFUNCTION("""COMPUTED_VALUE"""),"GAVIRIA GONZALEZ, MATIAS")</f>
        <v>GAVIRIA GONZALEZ, MATIAS</v>
      </c>
      <c r="D2539" t="str">
        <f>IFERROR(__xludf.DUMMYFUNCTION("""COMPUTED_VALUE"""),"PE 12")</f>
        <v>PE 12</v>
      </c>
      <c r="E2539" s="3">
        <f>IFERROR(__xludf.DUMMYFUNCTION("""COMPUTED_VALUE"""),8.0)</f>
        <v>8</v>
      </c>
      <c r="F2539" s="300">
        <v>1.0</v>
      </c>
      <c r="G2539" s="300">
        <v>1.0</v>
      </c>
      <c r="H2539" s="300">
        <v>1.0</v>
      </c>
      <c r="I2539" s="300">
        <v>1.0</v>
      </c>
      <c r="J2539" s="300">
        <v>1.0</v>
      </c>
      <c r="K2539" s="300">
        <v>1.0</v>
      </c>
      <c r="L2539" s="300">
        <v>1.0</v>
      </c>
      <c r="M2539" s="300">
        <v>1.0</v>
      </c>
      <c r="N2539" s="300">
        <v>8.0</v>
      </c>
      <c r="O2539" s="300" t="s">
        <v>918</v>
      </c>
      <c r="P2539" s="300">
        <v>6.0</v>
      </c>
    </row>
    <row r="2540">
      <c r="A2540">
        <f>IFERROR(__xludf.DUMMYFUNCTION("""COMPUTED_VALUE"""),12.0)</f>
        <v>12</v>
      </c>
      <c r="B2540">
        <f>IFERROR(__xludf.DUMMYFUNCTION("""COMPUTED_VALUE"""),26171.0)</f>
        <v>26171</v>
      </c>
      <c r="C2540" t="str">
        <f>IFERROR(__xludf.DUMMYFUNCTION("""COMPUTED_VALUE"""),"GOMEZ AMADOR, MATIAS")</f>
        <v>GOMEZ AMADOR, MATIAS</v>
      </c>
      <c r="D2540" t="str">
        <f>IFERROR(__xludf.DUMMYFUNCTION("""COMPUTED_VALUE"""),"PE 12")</f>
        <v>PE 12</v>
      </c>
      <c r="E2540" s="3">
        <f>IFERROR(__xludf.DUMMYFUNCTION("""COMPUTED_VALUE"""),5.0)</f>
        <v>5</v>
      </c>
      <c r="F2540" s="300">
        <v>1.0</v>
      </c>
      <c r="G2540" s="300">
        <v>1.0</v>
      </c>
      <c r="H2540" s="300">
        <v>1.0</v>
      </c>
      <c r="I2540" s="300">
        <v>1.0</v>
      </c>
      <c r="J2540" s="300">
        <v>1.0</v>
      </c>
      <c r="K2540" s="300">
        <v>1.0</v>
      </c>
      <c r="L2540" s="300">
        <v>1.0</v>
      </c>
      <c r="M2540" s="300">
        <v>1.0</v>
      </c>
      <c r="N2540" s="300">
        <v>8.0</v>
      </c>
      <c r="O2540" s="300" t="s">
        <v>916</v>
      </c>
      <c r="P2540" s="300">
        <v>6.0</v>
      </c>
    </row>
    <row r="2541">
      <c r="A2541">
        <f>IFERROR(__xludf.DUMMYFUNCTION("""COMPUTED_VALUE"""),12.0)</f>
        <v>12</v>
      </c>
      <c r="B2541">
        <f>IFERROR(__xludf.DUMMYFUNCTION("""COMPUTED_VALUE"""),26066.0)</f>
        <v>26066</v>
      </c>
      <c r="C2541" t="str">
        <f>IFERROR(__xludf.DUMMYFUNCTION("""COMPUTED_VALUE"""),"LONDOÑO CUARTAS, MANUEL")</f>
        <v>LONDOÑO CUARTAS, MANUEL</v>
      </c>
      <c r="D2541" t="str">
        <f>IFERROR(__xludf.DUMMYFUNCTION("""COMPUTED_VALUE"""),"PE 12")</f>
        <v>PE 12</v>
      </c>
      <c r="E2541" s="3">
        <f>IFERROR(__xludf.DUMMYFUNCTION("""COMPUTED_VALUE"""),5.0)</f>
        <v>5</v>
      </c>
      <c r="F2541" s="300">
        <v>1.0</v>
      </c>
      <c r="G2541" s="300">
        <v>1.0</v>
      </c>
      <c r="H2541" s="300">
        <v>1.0</v>
      </c>
      <c r="I2541" s="300">
        <v>1.0</v>
      </c>
      <c r="J2541" s="300">
        <v>1.0</v>
      </c>
      <c r="K2541" s="300">
        <v>1.0</v>
      </c>
      <c r="L2541" s="300">
        <v>1.0</v>
      </c>
      <c r="M2541" s="300">
        <v>1.0</v>
      </c>
      <c r="N2541" s="300">
        <v>8.0</v>
      </c>
      <c r="O2541" s="300" t="s">
        <v>916</v>
      </c>
      <c r="P2541" s="300">
        <v>6.0</v>
      </c>
    </row>
    <row r="2542">
      <c r="A2542">
        <f>IFERROR(__xludf.DUMMYFUNCTION("""COMPUTED_VALUE"""),12.0)</f>
        <v>12</v>
      </c>
      <c r="B2542">
        <f>IFERROR(__xludf.DUMMYFUNCTION("""COMPUTED_VALUE"""),26101.0)</f>
        <v>26101</v>
      </c>
      <c r="C2542" t="str">
        <f>IFERROR(__xludf.DUMMYFUNCTION("""COMPUTED_VALUE"""),"ROBLES RESTREPO, MANOLO")</f>
        <v>ROBLES RESTREPO, MANOLO</v>
      </c>
      <c r="D2542" t="str">
        <f>IFERROR(__xludf.DUMMYFUNCTION("""COMPUTED_VALUE"""),"PE 12")</f>
        <v>PE 12</v>
      </c>
      <c r="E2542" s="3">
        <f>IFERROR(__xludf.DUMMYFUNCTION("""COMPUTED_VALUE"""),5.0)</f>
        <v>5</v>
      </c>
      <c r="F2542" s="300">
        <v>1.0</v>
      </c>
      <c r="G2542" s="300">
        <v>1.0</v>
      </c>
      <c r="H2542" s="300">
        <v>1.0</v>
      </c>
      <c r="I2542" s="300">
        <v>1.0</v>
      </c>
      <c r="J2542" s="300">
        <v>1.0</v>
      </c>
      <c r="K2542" s="300">
        <v>1.0</v>
      </c>
      <c r="L2542" s="300">
        <v>1.0</v>
      </c>
      <c r="M2542" s="300">
        <v>1.0</v>
      </c>
      <c r="N2542" s="300">
        <v>8.0</v>
      </c>
      <c r="O2542" s="300" t="s">
        <v>916</v>
      </c>
      <c r="P2542" s="300">
        <v>6.0</v>
      </c>
    </row>
    <row r="2543">
      <c r="A2543">
        <f>IFERROR(__xludf.DUMMYFUNCTION("""COMPUTED_VALUE"""),12.0)</f>
        <v>12</v>
      </c>
      <c r="B2543">
        <f>IFERROR(__xludf.DUMMYFUNCTION("""COMPUTED_VALUE"""),26008.0)</f>
        <v>26008</v>
      </c>
      <c r="C2543" t="str">
        <f>IFERROR(__xludf.DUMMYFUNCTION("""COMPUTED_VALUE"""),"ARANGO FERNANDEZ, JUAN")</f>
        <v>ARANGO FERNANDEZ, JUAN</v>
      </c>
      <c r="D2543" t="str">
        <f>IFERROR(__xludf.DUMMYFUNCTION("""COMPUTED_VALUE"""),"PE 12")</f>
        <v>PE 12</v>
      </c>
      <c r="E2543" s="3">
        <f>IFERROR(__xludf.DUMMYFUNCTION("""COMPUTED_VALUE"""),6.0)</f>
        <v>6</v>
      </c>
      <c r="F2543" s="300">
        <v>1.0</v>
      </c>
      <c r="G2543" s="300">
        <v>1.0</v>
      </c>
      <c r="H2543" s="300">
        <v>1.0</v>
      </c>
      <c r="I2543" s="300">
        <v>1.0</v>
      </c>
      <c r="J2543" s="300">
        <v>1.0</v>
      </c>
      <c r="K2543" s="300">
        <v>1.0</v>
      </c>
      <c r="L2543" s="300">
        <v>1.0</v>
      </c>
      <c r="M2543" s="300">
        <v>1.0</v>
      </c>
      <c r="N2543" s="300">
        <v>8.0</v>
      </c>
      <c r="O2543" s="300" t="s">
        <v>917</v>
      </c>
      <c r="P2543" s="300">
        <v>6.0</v>
      </c>
    </row>
    <row r="2544">
      <c r="A2544">
        <f>IFERROR(__xludf.DUMMYFUNCTION("""COMPUTED_VALUE"""),12.0)</f>
        <v>12</v>
      </c>
      <c r="B2544">
        <f>IFERROR(__xludf.DUMMYFUNCTION("""COMPUTED_VALUE"""),26011.0)</f>
        <v>26011</v>
      </c>
      <c r="C2544" t="str">
        <f>IFERROR(__xludf.DUMMYFUNCTION("""COMPUTED_VALUE"""),"ARROYAVE RESTREPO, CAMILO")</f>
        <v>ARROYAVE RESTREPO, CAMILO</v>
      </c>
      <c r="D2544" t="str">
        <f>IFERROR(__xludf.DUMMYFUNCTION("""COMPUTED_VALUE"""),"PE 12")</f>
        <v>PE 12</v>
      </c>
      <c r="E2544" s="3">
        <f>IFERROR(__xludf.DUMMYFUNCTION("""COMPUTED_VALUE"""),1.0)</f>
        <v>1</v>
      </c>
      <c r="F2544" s="300">
        <v>1.0</v>
      </c>
      <c r="G2544" s="300">
        <v>1.0</v>
      </c>
      <c r="H2544" s="300">
        <v>1.0</v>
      </c>
      <c r="I2544" s="300">
        <v>1.0</v>
      </c>
      <c r="J2544" s="300">
        <v>1.0</v>
      </c>
      <c r="K2544" s="300">
        <v>1.0</v>
      </c>
      <c r="L2544" s="300">
        <v>1.0</v>
      </c>
      <c r="M2544" s="300">
        <v>1.0</v>
      </c>
      <c r="N2544" s="300">
        <v>8.0</v>
      </c>
      <c r="O2544" s="300" t="s">
        <v>919</v>
      </c>
      <c r="P2544" s="300">
        <v>6.0</v>
      </c>
    </row>
    <row r="2545">
      <c r="A2545">
        <f>IFERROR(__xludf.DUMMYFUNCTION("""COMPUTED_VALUE"""),12.0)</f>
        <v>12</v>
      </c>
      <c r="B2545">
        <f>IFERROR(__xludf.DUMMYFUNCTION("""COMPUTED_VALUE"""),26086.0)</f>
        <v>26086</v>
      </c>
      <c r="C2545" t="str">
        <f>IFERROR(__xludf.DUMMYFUNCTION("""COMPUTED_VALUE"""),"PALACIO SALAZAR, TOMAS")</f>
        <v>PALACIO SALAZAR, TOMAS</v>
      </c>
      <c r="D2545" t="str">
        <f>IFERROR(__xludf.DUMMYFUNCTION("""COMPUTED_VALUE"""),"PE 12")</f>
        <v>PE 12</v>
      </c>
      <c r="E2545" s="3">
        <f>IFERROR(__xludf.DUMMYFUNCTION("""COMPUTED_VALUE"""),4.0)</f>
        <v>4</v>
      </c>
      <c r="F2545" s="300">
        <v>1.0</v>
      </c>
      <c r="G2545" s="300">
        <v>1.0</v>
      </c>
      <c r="H2545" s="300">
        <v>1.0</v>
      </c>
      <c r="I2545" s="300">
        <v>1.0</v>
      </c>
      <c r="J2545" s="300">
        <v>1.0</v>
      </c>
      <c r="K2545" s="300">
        <v>1.0</v>
      </c>
      <c r="L2545" s="300">
        <v>1.0</v>
      </c>
      <c r="M2545" s="300">
        <v>1.0</v>
      </c>
      <c r="N2545" s="300">
        <v>8.0</v>
      </c>
      <c r="O2545" s="300" t="s">
        <v>914</v>
      </c>
      <c r="P2545" s="300">
        <v>6.0</v>
      </c>
    </row>
    <row r="2546">
      <c r="A2546">
        <f>IFERROR(__xludf.DUMMYFUNCTION("""COMPUTED_VALUE"""),12.0)</f>
        <v>12</v>
      </c>
      <c r="B2546">
        <f>IFERROR(__xludf.DUMMYFUNCTION("""COMPUTED_VALUE"""),25060.0)</f>
        <v>25060</v>
      </c>
      <c r="C2546" t="str">
        <f>IFERROR(__xludf.DUMMYFUNCTION("""COMPUTED_VALUE"""),"LOPEZ MEJIA, SAMUEL")</f>
        <v>LOPEZ MEJIA, SAMUEL</v>
      </c>
      <c r="D2546" t="str">
        <f>IFERROR(__xludf.DUMMYFUNCTION("""COMPUTED_VALUE"""),"PE 12")</f>
        <v>PE 12</v>
      </c>
      <c r="E2546" s="3">
        <f>IFERROR(__xludf.DUMMYFUNCTION("""COMPUTED_VALUE"""),1.0)</f>
        <v>1</v>
      </c>
      <c r="F2546" s="300">
        <v>1.0</v>
      </c>
      <c r="G2546" s="300">
        <v>1.0</v>
      </c>
      <c r="H2546" s="300">
        <v>1.0</v>
      </c>
      <c r="I2546" s="300">
        <v>1.0</v>
      </c>
      <c r="J2546" s="300">
        <v>1.0</v>
      </c>
      <c r="K2546" s="300">
        <v>1.0</v>
      </c>
      <c r="L2546" s="300">
        <v>1.0</v>
      </c>
      <c r="M2546" s="300">
        <v>1.0</v>
      </c>
      <c r="N2546" s="300">
        <v>8.0</v>
      </c>
      <c r="O2546" s="300" t="s">
        <v>919</v>
      </c>
      <c r="P2546" s="300">
        <v>6.0</v>
      </c>
    </row>
    <row r="2547">
      <c r="A2547">
        <f>IFERROR(__xludf.DUMMYFUNCTION("""COMPUTED_VALUE"""),12.0)</f>
        <v>12</v>
      </c>
      <c r="B2547">
        <f>IFERROR(__xludf.DUMMYFUNCTION("""COMPUTED_VALUE"""),26058.0)</f>
        <v>26058</v>
      </c>
      <c r="C2547" t="str">
        <f>IFERROR(__xludf.DUMMYFUNCTION("""COMPUTED_VALUE"""),"JARAMILLO FERNANDEZ, JULIAN")</f>
        <v>JARAMILLO FERNANDEZ, JULIAN</v>
      </c>
      <c r="D2547" t="str">
        <f>IFERROR(__xludf.DUMMYFUNCTION("""COMPUTED_VALUE"""),"PE 12")</f>
        <v>PE 12</v>
      </c>
      <c r="E2547" s="3">
        <f>IFERROR(__xludf.DUMMYFUNCTION("""COMPUTED_VALUE"""),1.0)</f>
        <v>1</v>
      </c>
      <c r="F2547" s="300">
        <v>1.0</v>
      </c>
      <c r="G2547" s="300">
        <v>1.0</v>
      </c>
      <c r="H2547" s="300">
        <v>1.0</v>
      </c>
      <c r="I2547" s="300">
        <v>1.0</v>
      </c>
      <c r="J2547" s="300">
        <v>1.0</v>
      </c>
      <c r="K2547" s="300">
        <v>1.0</v>
      </c>
      <c r="L2547" s="300">
        <v>1.0</v>
      </c>
      <c r="M2547" s="300">
        <v>1.0</v>
      </c>
      <c r="N2547" s="300">
        <v>8.0</v>
      </c>
      <c r="O2547" s="300" t="s">
        <v>919</v>
      </c>
      <c r="P2547" s="300">
        <v>6.0</v>
      </c>
    </row>
    <row r="2548">
      <c r="A2548">
        <f>IFERROR(__xludf.DUMMYFUNCTION("""COMPUTED_VALUE"""),12.0)</f>
        <v>12</v>
      </c>
      <c r="B2548">
        <f>IFERROR(__xludf.DUMMYFUNCTION("""COMPUTED_VALUE"""),26121.0)</f>
        <v>26121</v>
      </c>
      <c r="C2548" t="str">
        <f>IFERROR(__xludf.DUMMYFUNCTION("""COMPUTED_VALUE"""),"VILLA MORENO, VICENTE")</f>
        <v>VILLA MORENO, VICENTE</v>
      </c>
      <c r="D2548" t="str">
        <f>IFERROR(__xludf.DUMMYFUNCTION("""COMPUTED_VALUE"""),"PE 12")</f>
        <v>PE 12</v>
      </c>
      <c r="E2548" s="3">
        <f>IFERROR(__xludf.DUMMYFUNCTION("""COMPUTED_VALUE"""),5.0)</f>
        <v>5</v>
      </c>
      <c r="F2548" s="300">
        <v>1.0</v>
      </c>
      <c r="G2548" s="300">
        <v>1.0</v>
      </c>
      <c r="H2548" s="300">
        <v>1.0</v>
      </c>
      <c r="I2548" s="300">
        <v>1.0</v>
      </c>
      <c r="J2548" s="300">
        <v>1.0</v>
      </c>
      <c r="K2548" s="300">
        <v>1.0</v>
      </c>
      <c r="L2548" s="300">
        <v>1.0</v>
      </c>
      <c r="M2548" s="300">
        <v>1.0</v>
      </c>
      <c r="N2548" s="300">
        <v>8.0</v>
      </c>
      <c r="O2548" s="300" t="s">
        <v>916</v>
      </c>
      <c r="P2548" s="300">
        <v>6.0</v>
      </c>
    </row>
    <row r="2549">
      <c r="A2549">
        <f>IFERROR(__xludf.DUMMYFUNCTION("""COMPUTED_VALUE"""),12.0)</f>
        <v>12</v>
      </c>
      <c r="B2549">
        <f>IFERROR(__xludf.DUMMYFUNCTION("""COMPUTED_VALUE"""),26025.0)</f>
        <v>26025</v>
      </c>
      <c r="C2549" t="str">
        <f>IFERROR(__xludf.DUMMYFUNCTION("""COMPUTED_VALUE"""),"DIEZ RENDON, MARIA ANTONIA")</f>
        <v>DIEZ RENDON, MARIA ANTONIA</v>
      </c>
      <c r="D2549" t="str">
        <f>IFERROR(__xludf.DUMMYFUNCTION("""COMPUTED_VALUE"""),"PE 12")</f>
        <v>PE 12</v>
      </c>
      <c r="E2549" s="3">
        <f>IFERROR(__xludf.DUMMYFUNCTION("""COMPUTED_VALUE"""),4.0)</f>
        <v>4</v>
      </c>
      <c r="F2549" s="300">
        <v>1.0</v>
      </c>
      <c r="G2549" s="300">
        <v>1.0</v>
      </c>
      <c r="H2549" s="300">
        <v>1.0</v>
      </c>
      <c r="I2549" s="300">
        <v>1.0</v>
      </c>
      <c r="J2549" s="300">
        <v>1.0</v>
      </c>
      <c r="K2549" s="300">
        <v>1.0</v>
      </c>
      <c r="L2549" s="300">
        <v>1.0</v>
      </c>
      <c r="M2549" s="300">
        <v>1.0</v>
      </c>
      <c r="N2549" s="300">
        <v>8.0</v>
      </c>
      <c r="O2549" s="300" t="s">
        <v>914</v>
      </c>
      <c r="P2549" s="300">
        <v>6.0</v>
      </c>
    </row>
    <row r="2550">
      <c r="A2550">
        <f>IFERROR(__xludf.DUMMYFUNCTION("""COMPUTED_VALUE"""),12.0)</f>
        <v>12</v>
      </c>
      <c r="B2550">
        <f>IFERROR(__xludf.DUMMYFUNCTION("""COMPUTED_VALUE"""),26014.0)</f>
        <v>26014</v>
      </c>
      <c r="C2550" t="str">
        <f>IFERROR(__xludf.DUMMYFUNCTION("""COMPUTED_VALUE"""),"BARRIENTOS BUSTAMANTE, VALENTINA")</f>
        <v>BARRIENTOS BUSTAMANTE, VALENTINA</v>
      </c>
      <c r="D2550" t="str">
        <f>IFERROR(__xludf.DUMMYFUNCTION("""COMPUTED_VALUE"""),"PE 12")</f>
        <v>PE 12</v>
      </c>
      <c r="E2550" s="3">
        <f>IFERROR(__xludf.DUMMYFUNCTION("""COMPUTED_VALUE"""),5.0)</f>
        <v>5</v>
      </c>
      <c r="F2550" s="300">
        <v>1.0</v>
      </c>
      <c r="G2550" s="300">
        <v>1.0</v>
      </c>
      <c r="H2550" s="300">
        <v>1.0</v>
      </c>
      <c r="I2550" s="300">
        <v>1.0</v>
      </c>
      <c r="J2550" s="300">
        <v>1.0</v>
      </c>
      <c r="K2550" s="300">
        <v>1.0</v>
      </c>
      <c r="L2550" s="300">
        <v>1.0</v>
      </c>
      <c r="M2550" s="300">
        <v>1.0</v>
      </c>
      <c r="N2550" s="300">
        <v>8.0</v>
      </c>
      <c r="O2550" s="300" t="s">
        <v>916</v>
      </c>
      <c r="P2550" s="300">
        <v>6.0</v>
      </c>
    </row>
    <row r="2551">
      <c r="A2551">
        <f>IFERROR(__xludf.DUMMYFUNCTION("""COMPUTED_VALUE"""),12.0)</f>
        <v>12</v>
      </c>
      <c r="B2551">
        <f>IFERROR(__xludf.DUMMYFUNCTION("""COMPUTED_VALUE"""),26071.0)</f>
        <v>26071</v>
      </c>
      <c r="C2551" t="str">
        <f>IFERROR(__xludf.DUMMYFUNCTION("""COMPUTED_VALUE"""),"MENA TELLEZ, TOMAS FELIPE")</f>
        <v>MENA TELLEZ, TOMAS FELIPE</v>
      </c>
      <c r="D2551" t="str">
        <f>IFERROR(__xludf.DUMMYFUNCTION("""COMPUTED_VALUE"""),"PE 12")</f>
        <v>PE 12</v>
      </c>
      <c r="E2551" s="3">
        <f>IFERROR(__xludf.DUMMYFUNCTION("""COMPUTED_VALUE"""),2.0)</f>
        <v>2</v>
      </c>
      <c r="F2551" s="300">
        <v>1.0</v>
      </c>
      <c r="G2551" s="300">
        <v>1.0</v>
      </c>
      <c r="H2551" s="300">
        <v>1.0</v>
      </c>
      <c r="I2551" s="300">
        <v>1.0</v>
      </c>
      <c r="J2551" s="300">
        <v>1.0</v>
      </c>
      <c r="K2551" s="300">
        <v>1.0</v>
      </c>
      <c r="L2551" s="300">
        <v>1.0</v>
      </c>
      <c r="M2551" s="300">
        <v>1.0</v>
      </c>
      <c r="N2551" s="300">
        <v>8.0</v>
      </c>
      <c r="O2551" s="300" t="s">
        <v>915</v>
      </c>
      <c r="P2551" s="300">
        <v>6.0</v>
      </c>
    </row>
    <row r="2552">
      <c r="A2552">
        <f>IFERROR(__xludf.DUMMYFUNCTION("""COMPUTED_VALUE"""),12.0)</f>
        <v>12</v>
      </c>
      <c r="B2552">
        <f>IFERROR(__xludf.DUMMYFUNCTION("""COMPUTED_VALUE"""),26108.0)</f>
        <v>26108</v>
      </c>
      <c r="C2552" t="str">
        <f>IFERROR(__xludf.DUMMYFUNCTION("""COMPUTED_VALUE"""),"THIRIEZ VILLA, SOFIA")</f>
        <v>THIRIEZ VILLA, SOFIA</v>
      </c>
      <c r="D2552" t="str">
        <f>IFERROR(__xludf.DUMMYFUNCTION("""COMPUTED_VALUE"""),"PE 12")</f>
        <v>PE 12</v>
      </c>
      <c r="E2552" s="3">
        <f>IFERROR(__xludf.DUMMYFUNCTION("""COMPUTED_VALUE"""),1.0)</f>
        <v>1</v>
      </c>
      <c r="F2552" s="300">
        <v>1.0</v>
      </c>
      <c r="G2552" s="300">
        <v>1.0</v>
      </c>
      <c r="H2552" s="300">
        <v>1.0</v>
      </c>
      <c r="I2552" s="300">
        <v>1.0</v>
      </c>
      <c r="J2552" s="300">
        <v>1.0</v>
      </c>
      <c r="K2552" s="300">
        <v>1.0</v>
      </c>
      <c r="L2552" s="300">
        <v>1.0</v>
      </c>
      <c r="M2552" s="300">
        <v>1.0</v>
      </c>
      <c r="N2552" s="300">
        <v>8.0</v>
      </c>
      <c r="O2552" s="300" t="s">
        <v>919</v>
      </c>
      <c r="P2552" s="300">
        <v>6.0</v>
      </c>
    </row>
    <row r="2553">
      <c r="A2553">
        <f>IFERROR(__xludf.DUMMYFUNCTION("""COMPUTED_VALUE"""),12.0)</f>
        <v>12</v>
      </c>
      <c r="B2553">
        <f>IFERROR(__xludf.DUMMYFUNCTION("""COMPUTED_VALUE"""),26082.0)</f>
        <v>26082</v>
      </c>
      <c r="C2553" t="str">
        <f>IFERROR(__xludf.DUMMYFUNCTION("""COMPUTED_VALUE"""),"OREJUELA GAVIRIA, MATILDA")</f>
        <v>OREJUELA GAVIRIA, MATILDA</v>
      </c>
      <c r="D2553" t="str">
        <f>IFERROR(__xludf.DUMMYFUNCTION("""COMPUTED_VALUE"""),"PE 12")</f>
        <v>PE 12</v>
      </c>
      <c r="E2553" s="3">
        <f>IFERROR(__xludf.DUMMYFUNCTION("""COMPUTED_VALUE"""),1.0)</f>
        <v>1</v>
      </c>
      <c r="F2553" s="300">
        <v>1.0</v>
      </c>
      <c r="G2553" s="300">
        <v>1.0</v>
      </c>
      <c r="H2553" s="300">
        <v>1.0</v>
      </c>
      <c r="I2553" s="300">
        <v>1.0</v>
      </c>
      <c r="J2553" s="300">
        <v>1.0</v>
      </c>
      <c r="K2553" s="300">
        <v>1.0</v>
      </c>
      <c r="L2553" s="300">
        <v>1.0</v>
      </c>
      <c r="M2553" s="300">
        <v>1.0</v>
      </c>
      <c r="N2553" s="300">
        <v>8.0</v>
      </c>
      <c r="O2553" s="300" t="s">
        <v>919</v>
      </c>
      <c r="P2553" s="300">
        <v>6.0</v>
      </c>
    </row>
    <row r="2554">
      <c r="A2554">
        <f>IFERROR(__xludf.DUMMYFUNCTION("""COMPUTED_VALUE"""),12.0)</f>
        <v>12</v>
      </c>
      <c r="B2554">
        <f>IFERROR(__xludf.DUMMYFUNCTION("""COMPUTED_VALUE"""),26073.0)</f>
        <v>26073</v>
      </c>
      <c r="C2554" t="str">
        <f>IFERROR(__xludf.DUMMYFUNCTION("""COMPUTED_VALUE"""),"MESA ARISTIZABAL, SARA")</f>
        <v>MESA ARISTIZABAL, SARA</v>
      </c>
      <c r="D2554" t="str">
        <f>IFERROR(__xludf.DUMMYFUNCTION("""COMPUTED_VALUE"""),"PE 12")</f>
        <v>PE 12</v>
      </c>
      <c r="E2554" s="3">
        <f>IFERROR(__xludf.DUMMYFUNCTION("""COMPUTED_VALUE"""),1.0)</f>
        <v>1</v>
      </c>
      <c r="F2554" s="300">
        <v>1.0</v>
      </c>
      <c r="G2554" s="300">
        <v>1.0</v>
      </c>
      <c r="H2554" s="300">
        <v>1.0</v>
      </c>
      <c r="I2554" s="300">
        <v>1.0</v>
      </c>
      <c r="J2554" s="300">
        <v>1.0</v>
      </c>
      <c r="K2554" s="300">
        <v>1.0</v>
      </c>
      <c r="L2554" s="300">
        <v>1.0</v>
      </c>
      <c r="M2554" s="300">
        <v>1.0</v>
      </c>
      <c r="N2554" s="300">
        <v>8.0</v>
      </c>
      <c r="O2554" s="300" t="s">
        <v>919</v>
      </c>
      <c r="P2554" s="300">
        <v>6.0</v>
      </c>
    </row>
    <row r="2555">
      <c r="A2555">
        <f>IFERROR(__xludf.DUMMYFUNCTION("""COMPUTED_VALUE"""),12.0)</f>
        <v>12</v>
      </c>
      <c r="B2555">
        <f>IFERROR(__xludf.DUMMYFUNCTION("""COMPUTED_VALUE"""),26026.0)</f>
        <v>26026</v>
      </c>
      <c r="C2555" t="str">
        <f>IFERROR(__xludf.DUMMYFUNCTION("""COMPUTED_VALUE"""),"ECHAVARRIA JARAMILLO, VICENTE")</f>
        <v>ECHAVARRIA JARAMILLO, VICENTE</v>
      </c>
      <c r="D2555" t="str">
        <f>IFERROR(__xludf.DUMMYFUNCTION("""COMPUTED_VALUE"""),"PE 12")</f>
        <v>PE 12</v>
      </c>
      <c r="E2555" s="3">
        <f>IFERROR(__xludf.DUMMYFUNCTION("""COMPUTED_VALUE"""),5.0)</f>
        <v>5</v>
      </c>
      <c r="F2555" s="300">
        <v>1.0</v>
      </c>
      <c r="G2555" s="300">
        <v>1.0</v>
      </c>
      <c r="H2555" s="300">
        <v>1.0</v>
      </c>
      <c r="I2555" s="300">
        <v>1.0</v>
      </c>
      <c r="J2555" s="300">
        <v>1.0</v>
      </c>
      <c r="K2555" s="300">
        <v>1.0</v>
      </c>
      <c r="L2555" s="300">
        <v>1.0</v>
      </c>
      <c r="M2555" s="300">
        <v>1.0</v>
      </c>
      <c r="N2555" s="300">
        <v>8.0</v>
      </c>
      <c r="O2555" s="300" t="s">
        <v>916</v>
      </c>
      <c r="P2555" s="300">
        <v>6.0</v>
      </c>
    </row>
    <row r="2556">
      <c r="A2556">
        <f>IFERROR(__xludf.DUMMYFUNCTION("""COMPUTED_VALUE"""),12.0)</f>
        <v>12</v>
      </c>
      <c r="B2556">
        <f>IFERROR(__xludf.DUMMYFUNCTION("""COMPUTED_VALUE"""),25008.0)</f>
        <v>25008</v>
      </c>
      <c r="C2556" t="str">
        <f>IFERROR(__xludf.DUMMYFUNCTION("""COMPUTED_VALUE"""),"ARANGO CASTRO, IVAN SANTIAGO")</f>
        <v>ARANGO CASTRO, IVAN SANTIAGO</v>
      </c>
      <c r="D2556" t="str">
        <f>IFERROR(__xludf.DUMMYFUNCTION("""COMPUTED_VALUE"""),"PE 12")</f>
        <v>PE 12</v>
      </c>
      <c r="E2556" s="3">
        <f>IFERROR(__xludf.DUMMYFUNCTION("""COMPUTED_VALUE"""),4.0)</f>
        <v>4</v>
      </c>
      <c r="F2556" s="300">
        <v>1.0</v>
      </c>
      <c r="G2556" s="300">
        <v>1.0</v>
      </c>
      <c r="H2556" s="300">
        <v>1.0</v>
      </c>
      <c r="I2556" s="300">
        <v>1.0</v>
      </c>
      <c r="J2556" s="300">
        <v>1.0</v>
      </c>
      <c r="K2556" s="300">
        <v>1.0</v>
      </c>
      <c r="L2556" s="300">
        <v>1.0</v>
      </c>
      <c r="M2556" s="300">
        <v>1.0</v>
      </c>
      <c r="N2556" s="300">
        <v>8.0</v>
      </c>
      <c r="O2556" s="300" t="s">
        <v>914</v>
      </c>
      <c r="P2556" s="300">
        <v>6.0</v>
      </c>
    </row>
    <row r="2557">
      <c r="A2557">
        <f>IFERROR(__xludf.DUMMYFUNCTION("""COMPUTED_VALUE"""),12.0)</f>
        <v>12</v>
      </c>
      <c r="B2557">
        <f>IFERROR(__xludf.DUMMYFUNCTION("""COMPUTED_VALUE"""),26079.0)</f>
        <v>26079</v>
      </c>
      <c r="C2557" t="str">
        <f>IFERROR(__xludf.DUMMYFUNCTION("""COMPUTED_VALUE"""),"OCHOA PODESTA, CAMILA")</f>
        <v>OCHOA PODESTA, CAMILA</v>
      </c>
      <c r="D2557" t="str">
        <f>IFERROR(__xludf.DUMMYFUNCTION("""COMPUTED_VALUE"""),"PE 12")</f>
        <v>PE 12</v>
      </c>
      <c r="E2557" s="3">
        <f>IFERROR(__xludf.DUMMYFUNCTION("""COMPUTED_VALUE"""),4.0)</f>
        <v>4</v>
      </c>
      <c r="F2557" s="300">
        <v>1.0</v>
      </c>
      <c r="G2557" s="300">
        <v>1.0</v>
      </c>
      <c r="H2557" s="300">
        <v>1.0</v>
      </c>
      <c r="I2557" s="300">
        <v>1.0</v>
      </c>
      <c r="J2557" s="300">
        <v>1.0</v>
      </c>
      <c r="K2557" s="300">
        <v>1.0</v>
      </c>
      <c r="L2557" s="300">
        <v>1.0</v>
      </c>
      <c r="M2557" s="300">
        <v>1.0</v>
      </c>
      <c r="N2557" s="300">
        <v>8.0</v>
      </c>
      <c r="O2557" s="300" t="s">
        <v>914</v>
      </c>
      <c r="P2557" s="300">
        <v>6.0</v>
      </c>
    </row>
    <row r="2558">
      <c r="A2558">
        <f>IFERROR(__xludf.DUMMYFUNCTION("""COMPUTED_VALUE"""),12.0)</f>
        <v>12</v>
      </c>
      <c r="B2558">
        <f>IFERROR(__xludf.DUMMYFUNCTION("""COMPUTED_VALUE"""),26051.0)</f>
        <v>26051</v>
      </c>
      <c r="C2558" t="str">
        <f>IFERROR(__xludf.DUMMYFUNCTION("""COMPUTED_VALUE"""),"HINESTROZA ESCOBAR, IRENE")</f>
        <v>HINESTROZA ESCOBAR, IRENE</v>
      </c>
      <c r="D2558" t="str">
        <f>IFERROR(__xludf.DUMMYFUNCTION("""COMPUTED_VALUE"""),"PE 12")</f>
        <v>PE 12</v>
      </c>
      <c r="E2558" s="3">
        <f>IFERROR(__xludf.DUMMYFUNCTION("""COMPUTED_VALUE"""),1.0)</f>
        <v>1</v>
      </c>
      <c r="F2558" s="300">
        <v>1.0</v>
      </c>
      <c r="G2558" s="300">
        <v>1.0</v>
      </c>
      <c r="H2558" s="300">
        <v>1.0</v>
      </c>
      <c r="I2558" s="300">
        <v>1.0</v>
      </c>
      <c r="J2558" s="300">
        <v>1.0</v>
      </c>
      <c r="K2558" s="300">
        <v>1.0</v>
      </c>
      <c r="L2558" s="300">
        <v>1.0</v>
      </c>
      <c r="M2558" s="300">
        <v>1.0</v>
      </c>
      <c r="N2558" s="300">
        <v>8.0</v>
      </c>
      <c r="O2558" s="300" t="s">
        <v>919</v>
      </c>
      <c r="P2558" s="300">
        <v>6.0</v>
      </c>
    </row>
    <row r="2559">
      <c r="A2559">
        <f>IFERROR(__xludf.DUMMYFUNCTION("""COMPUTED_VALUE"""),12.0)</f>
        <v>12</v>
      </c>
      <c r="B2559">
        <f>IFERROR(__xludf.DUMMYFUNCTION("""COMPUTED_VALUE"""),26036.0)</f>
        <v>26036</v>
      </c>
      <c r="C2559" t="str">
        <f>IFERROR(__xludf.DUMMYFUNCTION("""COMPUTED_VALUE"""),"GAVIRIA LONDOÑO, ALEJANDRO")</f>
        <v>GAVIRIA LONDOÑO, ALEJANDRO</v>
      </c>
      <c r="D2559" t="str">
        <f>IFERROR(__xludf.DUMMYFUNCTION("""COMPUTED_VALUE"""),"PE 12")</f>
        <v>PE 12</v>
      </c>
      <c r="E2559" s="3">
        <f>IFERROR(__xludf.DUMMYFUNCTION("""COMPUTED_VALUE"""),2.0)</f>
        <v>2</v>
      </c>
      <c r="F2559" s="300">
        <v>1.0</v>
      </c>
      <c r="G2559" s="300">
        <v>1.0</v>
      </c>
      <c r="H2559" s="300">
        <v>1.0</v>
      </c>
      <c r="I2559" s="300">
        <v>1.0</v>
      </c>
      <c r="J2559" s="300">
        <v>1.0</v>
      </c>
      <c r="K2559" s="300">
        <v>1.0</v>
      </c>
      <c r="L2559" s="300">
        <v>1.0</v>
      </c>
      <c r="M2559" s="300">
        <v>1.0</v>
      </c>
      <c r="N2559" s="300">
        <v>8.0</v>
      </c>
      <c r="O2559" s="300" t="s">
        <v>915</v>
      </c>
      <c r="P2559" s="300">
        <v>6.0</v>
      </c>
    </row>
    <row r="2560">
      <c r="A2560">
        <f>IFERROR(__xludf.DUMMYFUNCTION("""COMPUTED_VALUE"""),12.0)</f>
        <v>12</v>
      </c>
      <c r="B2560" s="406">
        <f>IFERROR(__xludf.DUMMYFUNCTION("""COMPUTED_VALUE"""),26100.0)</f>
        <v>26100</v>
      </c>
      <c r="C2560" t="str">
        <f>IFERROR(__xludf.DUMMYFUNCTION("""COMPUTED_VALUE"""),"RESTREPO TORO, LUCIANO")</f>
        <v>RESTREPO TORO, LUCIANO</v>
      </c>
      <c r="D2560" t="str">
        <f>IFERROR(__xludf.DUMMYFUNCTION("""COMPUTED_VALUE"""),"PE 12")</f>
        <v>PE 12</v>
      </c>
      <c r="E2560" s="3">
        <f>IFERROR(__xludf.DUMMYFUNCTION("""COMPUTED_VALUE"""),5.0)</f>
        <v>5</v>
      </c>
      <c r="F2560" s="300">
        <v>1.0</v>
      </c>
      <c r="G2560" s="300">
        <v>1.0</v>
      </c>
      <c r="H2560" s="300">
        <v>1.0</v>
      </c>
      <c r="I2560" s="300">
        <v>1.0</v>
      </c>
      <c r="J2560" s="300">
        <v>1.0</v>
      </c>
      <c r="K2560" s="300">
        <v>1.0</v>
      </c>
      <c r="L2560" s="300">
        <v>1.0</v>
      </c>
      <c r="M2560" s="300">
        <v>1.0</v>
      </c>
      <c r="N2560" s="300">
        <v>8.0</v>
      </c>
      <c r="O2560" s="300" t="s">
        <v>916</v>
      </c>
      <c r="P2560" s="300">
        <v>6.0</v>
      </c>
    </row>
    <row r="2561">
      <c r="A2561">
        <f>IFERROR(__xludf.DUMMYFUNCTION("""COMPUTED_VALUE"""),12.0)</f>
        <v>12</v>
      </c>
      <c r="B2561">
        <f>IFERROR(__xludf.DUMMYFUNCTION("""COMPUTED_VALUE"""),26122.0)</f>
        <v>26122</v>
      </c>
      <c r="C2561" t="str">
        <f>IFERROR(__xludf.DUMMYFUNCTION("""COMPUTED_VALUE"""),"VILLEGAS PELAEZ, CRISTOBAL")</f>
        <v>VILLEGAS PELAEZ, CRISTOBAL</v>
      </c>
      <c r="D2561" t="str">
        <f>IFERROR(__xludf.DUMMYFUNCTION("""COMPUTED_VALUE"""),"PE 12")</f>
        <v>PE 12</v>
      </c>
      <c r="E2561" s="3">
        <f>IFERROR(__xludf.DUMMYFUNCTION("""COMPUTED_VALUE"""),6.0)</f>
        <v>6</v>
      </c>
      <c r="F2561" s="300">
        <v>1.0</v>
      </c>
      <c r="G2561" s="300">
        <v>1.0</v>
      </c>
      <c r="H2561" s="300">
        <v>1.0</v>
      </c>
      <c r="I2561" s="300">
        <v>1.0</v>
      </c>
      <c r="J2561" s="300">
        <v>1.0</v>
      </c>
      <c r="K2561" s="300">
        <v>1.0</v>
      </c>
      <c r="L2561" s="300">
        <v>1.0</v>
      </c>
      <c r="M2561" s="300">
        <v>1.0</v>
      </c>
      <c r="N2561" s="300">
        <v>8.0</v>
      </c>
      <c r="O2561" s="300" t="s">
        <v>917</v>
      </c>
      <c r="P2561" s="300">
        <v>6.0</v>
      </c>
    </row>
    <row r="2562">
      <c r="A2562">
        <f>IFERROR(__xludf.DUMMYFUNCTION("""COMPUTED_VALUE"""),12.0)</f>
        <v>12</v>
      </c>
      <c r="B2562">
        <f>IFERROR(__xludf.DUMMYFUNCTION("""COMPUTED_VALUE"""),26142.0)</f>
        <v>26142</v>
      </c>
      <c r="C2562" t="str">
        <f>IFERROR(__xludf.DUMMYFUNCTION("""COMPUTED_VALUE"""),"BERNAL ESTRADA, JERONIMO")</f>
        <v>BERNAL ESTRADA, JERONIMO</v>
      </c>
      <c r="D2562" t="str">
        <f>IFERROR(__xludf.DUMMYFUNCTION("""COMPUTED_VALUE"""),"PE 12")</f>
        <v>PE 12</v>
      </c>
      <c r="E2562" s="3">
        <f>IFERROR(__xludf.DUMMYFUNCTION("""COMPUTED_VALUE"""),5.0)</f>
        <v>5</v>
      </c>
      <c r="F2562" s="300">
        <v>1.0</v>
      </c>
      <c r="G2562" s="300">
        <v>1.0</v>
      </c>
      <c r="H2562" s="300">
        <v>1.0</v>
      </c>
      <c r="I2562" s="300">
        <v>1.0</v>
      </c>
      <c r="J2562" s="300">
        <v>1.0</v>
      </c>
      <c r="K2562" s="300">
        <v>1.0</v>
      </c>
      <c r="L2562" s="300">
        <v>1.0</v>
      </c>
      <c r="M2562" s="300">
        <v>1.0</v>
      </c>
      <c r="N2562" s="300">
        <v>8.0</v>
      </c>
      <c r="O2562" s="300" t="s">
        <v>916</v>
      </c>
      <c r="P2562" s="300">
        <v>6.0</v>
      </c>
    </row>
    <row r="2563">
      <c r="A2563">
        <f>IFERROR(__xludf.DUMMYFUNCTION("""COMPUTED_VALUE"""),12.0)</f>
        <v>12</v>
      </c>
      <c r="B2563">
        <f>IFERROR(__xludf.DUMMYFUNCTION("""COMPUTED_VALUE"""),26090.0)</f>
        <v>26090</v>
      </c>
      <c r="C2563" t="str">
        <f>IFERROR(__xludf.DUMMYFUNCTION("""COMPUTED_VALUE"""),"PETTIT PELAEZ, JUANITA")</f>
        <v>PETTIT PELAEZ, JUANITA</v>
      </c>
      <c r="D2563" t="str">
        <f>IFERROR(__xludf.DUMMYFUNCTION("""COMPUTED_VALUE"""),"PE 12")</f>
        <v>PE 12</v>
      </c>
      <c r="E2563" s="3">
        <f>IFERROR(__xludf.DUMMYFUNCTION("""COMPUTED_VALUE"""),4.0)</f>
        <v>4</v>
      </c>
      <c r="F2563" s="300">
        <v>1.0</v>
      </c>
      <c r="G2563" s="300">
        <v>1.0</v>
      </c>
      <c r="H2563" s="300">
        <v>1.0</v>
      </c>
      <c r="I2563" s="300">
        <v>1.0</v>
      </c>
      <c r="J2563" s="300">
        <v>1.0</v>
      </c>
      <c r="K2563" s="300">
        <v>1.0</v>
      </c>
      <c r="L2563" s="300">
        <v>1.0</v>
      </c>
      <c r="M2563" s="300">
        <v>1.0</v>
      </c>
      <c r="N2563" s="300">
        <v>8.0</v>
      </c>
      <c r="O2563" s="300" t="s">
        <v>914</v>
      </c>
      <c r="P2563" s="300">
        <v>6.0</v>
      </c>
    </row>
    <row r="2564">
      <c r="A2564">
        <f>IFERROR(__xludf.DUMMYFUNCTION("""COMPUTED_VALUE"""),12.0)</f>
        <v>12</v>
      </c>
      <c r="B2564">
        <f>IFERROR(__xludf.DUMMYFUNCTION("""COMPUTED_VALUE"""),26132.0)</f>
        <v>26132</v>
      </c>
      <c r="C2564" t="str">
        <f>IFERROR(__xludf.DUMMYFUNCTION("""COMPUTED_VALUE"""),"OLIVEIRA CASTAÑO, MIRANDA")</f>
        <v>OLIVEIRA CASTAÑO, MIRANDA</v>
      </c>
      <c r="D2564" t="str">
        <f>IFERROR(__xludf.DUMMYFUNCTION("""COMPUTED_VALUE"""),"PE 12")</f>
        <v>PE 12</v>
      </c>
      <c r="E2564" s="3">
        <f>IFERROR(__xludf.DUMMYFUNCTION("""COMPUTED_VALUE"""),1.0)</f>
        <v>1</v>
      </c>
      <c r="F2564" s="300">
        <v>1.0</v>
      </c>
      <c r="G2564" s="300">
        <v>1.0</v>
      </c>
      <c r="H2564" s="300">
        <v>1.0</v>
      </c>
      <c r="I2564" s="300">
        <v>1.0</v>
      </c>
      <c r="J2564" s="300">
        <v>1.0</v>
      </c>
      <c r="K2564" s="300">
        <v>1.0</v>
      </c>
      <c r="L2564" s="300">
        <v>1.0</v>
      </c>
      <c r="M2564" s="300">
        <v>1.0</v>
      </c>
      <c r="N2564" s="300">
        <v>8.0</v>
      </c>
      <c r="O2564" s="300" t="s">
        <v>919</v>
      </c>
      <c r="P2564" s="300">
        <v>6.0</v>
      </c>
    </row>
    <row r="2565">
      <c r="A2565">
        <f>IFERROR(__xludf.DUMMYFUNCTION("""COMPUTED_VALUE"""),12.0)</f>
        <v>12</v>
      </c>
      <c r="B2565">
        <f>IFERROR(__xludf.DUMMYFUNCTION("""COMPUTED_VALUE"""),26109.0)</f>
        <v>26109</v>
      </c>
      <c r="C2565" t="str">
        <f>IFERROR(__xludf.DUMMYFUNCTION("""COMPUTED_VALUE"""),"TORRES GAVIRIA, MARIANA")</f>
        <v>TORRES GAVIRIA, MARIANA</v>
      </c>
      <c r="D2565" t="str">
        <f>IFERROR(__xludf.DUMMYFUNCTION("""COMPUTED_VALUE"""),"PE 12")</f>
        <v>PE 12</v>
      </c>
      <c r="E2565" s="3">
        <f>IFERROR(__xludf.DUMMYFUNCTION("""COMPUTED_VALUE"""),1.0)</f>
        <v>1</v>
      </c>
      <c r="F2565" s="300">
        <v>1.0</v>
      </c>
      <c r="G2565" s="300">
        <v>1.0</v>
      </c>
      <c r="H2565" s="300">
        <v>1.0</v>
      </c>
      <c r="I2565" s="300">
        <v>1.0</v>
      </c>
      <c r="J2565" s="300">
        <v>1.0</v>
      </c>
      <c r="K2565" s="300">
        <v>1.0</v>
      </c>
      <c r="L2565" s="300">
        <v>1.0</v>
      </c>
      <c r="M2565" s="300">
        <v>1.0</v>
      </c>
      <c r="N2565" s="300">
        <v>8.0</v>
      </c>
      <c r="O2565" s="300" t="s">
        <v>919</v>
      </c>
      <c r="P2565" s="300">
        <v>6.0</v>
      </c>
    </row>
    <row r="2566">
      <c r="A2566">
        <f>IFERROR(__xludf.DUMMYFUNCTION("""COMPUTED_VALUE"""),12.0)</f>
        <v>12</v>
      </c>
      <c r="B2566">
        <f>IFERROR(__xludf.DUMMYFUNCTION("""COMPUTED_VALUE"""),26027.0)</f>
        <v>26027</v>
      </c>
      <c r="C2566" t="str">
        <f>IFERROR(__xludf.DUMMYFUNCTION("""COMPUTED_VALUE"""),"ESCANDON LIBOS, MARIA")</f>
        <v>ESCANDON LIBOS, MARIA</v>
      </c>
      <c r="D2566" t="str">
        <f>IFERROR(__xludf.DUMMYFUNCTION("""COMPUTED_VALUE"""),"PE 12")</f>
        <v>PE 12</v>
      </c>
      <c r="E2566" s="3">
        <f>IFERROR(__xludf.DUMMYFUNCTION("""COMPUTED_VALUE"""),2.0)</f>
        <v>2</v>
      </c>
      <c r="F2566" s="300">
        <v>1.0</v>
      </c>
      <c r="G2566" s="300">
        <v>1.0</v>
      </c>
      <c r="H2566" s="300">
        <v>1.0</v>
      </c>
      <c r="I2566" s="300">
        <v>1.0</v>
      </c>
      <c r="J2566" s="300">
        <v>1.0</v>
      </c>
      <c r="K2566" s="300">
        <v>1.0</v>
      </c>
      <c r="L2566" s="300">
        <v>1.0</v>
      </c>
      <c r="M2566" s="300">
        <v>1.0</v>
      </c>
      <c r="N2566" s="300">
        <v>8.0</v>
      </c>
      <c r="O2566" s="300" t="s">
        <v>915</v>
      </c>
      <c r="P2566" s="300">
        <v>6.0</v>
      </c>
    </row>
    <row r="2567">
      <c r="A2567">
        <f>IFERROR(__xludf.DUMMYFUNCTION("""COMPUTED_VALUE"""),12.0)</f>
        <v>12</v>
      </c>
      <c r="B2567">
        <f>IFERROR(__xludf.DUMMYFUNCTION("""COMPUTED_VALUE"""),26019.0)</f>
        <v>26019</v>
      </c>
      <c r="C2567" t="str">
        <f>IFERROR(__xludf.DUMMYFUNCTION("""COMPUTED_VALUE"""),"CADAVID VELASQUEZ, MARTIN")</f>
        <v>CADAVID VELASQUEZ, MARTIN</v>
      </c>
      <c r="D2567" t="str">
        <f>IFERROR(__xludf.DUMMYFUNCTION("""COMPUTED_VALUE"""),"PE 12")</f>
        <v>PE 12</v>
      </c>
      <c r="E2567" s="3">
        <f>IFERROR(__xludf.DUMMYFUNCTION("""COMPUTED_VALUE"""),5.0)</f>
        <v>5</v>
      </c>
      <c r="F2567" s="300">
        <v>1.0</v>
      </c>
      <c r="G2567" s="300">
        <v>1.0</v>
      </c>
      <c r="H2567" s="300">
        <v>1.0</v>
      </c>
      <c r="I2567" s="300">
        <v>1.0</v>
      </c>
      <c r="J2567" s="300">
        <v>1.0</v>
      </c>
      <c r="K2567" s="300">
        <v>1.0</v>
      </c>
      <c r="L2567" s="300">
        <v>1.0</v>
      </c>
      <c r="M2567" s="300">
        <v>1.0</v>
      </c>
      <c r="N2567" s="300">
        <v>8.0</v>
      </c>
      <c r="O2567" s="300" t="s">
        <v>916</v>
      </c>
      <c r="P2567" s="300">
        <v>6.0</v>
      </c>
    </row>
    <row r="2568">
      <c r="A2568">
        <f>IFERROR(__xludf.DUMMYFUNCTION("""COMPUTED_VALUE"""),12.0)</f>
        <v>12</v>
      </c>
      <c r="B2568">
        <f>IFERROR(__xludf.DUMMYFUNCTION("""COMPUTED_VALUE"""),26031.0)</f>
        <v>26031</v>
      </c>
      <c r="C2568" t="str">
        <f>IFERROR(__xludf.DUMMYFUNCTION("""COMPUTED_VALUE"""),"FRANCO GOMEZ, DANIEL")</f>
        <v>FRANCO GOMEZ, DANIEL</v>
      </c>
      <c r="D2568" t="str">
        <f>IFERROR(__xludf.DUMMYFUNCTION("""COMPUTED_VALUE"""),"PE 12")</f>
        <v>PE 12</v>
      </c>
      <c r="E2568" s="3">
        <f>IFERROR(__xludf.DUMMYFUNCTION("""COMPUTED_VALUE"""),8.0)</f>
        <v>8</v>
      </c>
      <c r="F2568" s="300">
        <v>1.0</v>
      </c>
      <c r="G2568" s="300">
        <v>1.0</v>
      </c>
      <c r="H2568" s="300">
        <v>1.0</v>
      </c>
      <c r="I2568" s="300">
        <v>1.0</v>
      </c>
      <c r="J2568" s="300">
        <v>1.0</v>
      </c>
      <c r="K2568" s="300">
        <v>1.0</v>
      </c>
      <c r="L2568" s="300">
        <v>1.0</v>
      </c>
      <c r="M2568" s="300">
        <v>1.0</v>
      </c>
      <c r="N2568" s="300">
        <v>8.0</v>
      </c>
      <c r="O2568" s="300" t="s">
        <v>918</v>
      </c>
      <c r="P2568" s="300">
        <v>6.0</v>
      </c>
    </row>
    <row r="2569">
      <c r="A2569">
        <f>IFERROR(__xludf.DUMMYFUNCTION("""COMPUTED_VALUE"""),12.0)</f>
        <v>12</v>
      </c>
      <c r="B2569">
        <f>IFERROR(__xludf.DUMMYFUNCTION("""COMPUTED_VALUE"""),26047.0)</f>
        <v>26047</v>
      </c>
      <c r="C2569" t="str">
        <f>IFERROR(__xludf.DUMMYFUNCTION("""COMPUTED_VALUE"""),"HENAO ISAZA, LUCIANO")</f>
        <v>HENAO ISAZA, LUCIANO</v>
      </c>
      <c r="D2569" t="str">
        <f>IFERROR(__xludf.DUMMYFUNCTION("""COMPUTED_VALUE"""),"PE 12")</f>
        <v>PE 12</v>
      </c>
      <c r="E2569" s="3">
        <f>IFERROR(__xludf.DUMMYFUNCTION("""COMPUTED_VALUE"""),5.0)</f>
        <v>5</v>
      </c>
      <c r="F2569" s="300">
        <v>1.0</v>
      </c>
      <c r="G2569" s="300">
        <v>1.0</v>
      </c>
      <c r="H2569" s="300">
        <v>1.0</v>
      </c>
      <c r="I2569" s="300">
        <v>1.0</v>
      </c>
      <c r="J2569" s="300">
        <v>1.0</v>
      </c>
      <c r="K2569" s="300">
        <v>1.0</v>
      </c>
      <c r="L2569" s="300">
        <v>1.0</v>
      </c>
      <c r="M2569" s="300">
        <v>1.0</v>
      </c>
      <c r="N2569" s="300">
        <v>8.0</v>
      </c>
      <c r="O2569" s="300" t="s">
        <v>916</v>
      </c>
      <c r="P2569" s="300">
        <v>6.0</v>
      </c>
    </row>
    <row r="2570">
      <c r="A2570">
        <f>IFERROR(__xludf.DUMMYFUNCTION("""COMPUTED_VALUE"""),12.0)</f>
        <v>12</v>
      </c>
      <c r="B2570">
        <f>IFERROR(__xludf.DUMMYFUNCTION("""COMPUTED_VALUE"""),26095.0)</f>
        <v>26095</v>
      </c>
      <c r="C2570" t="str">
        <f>IFERROR(__xludf.DUMMYFUNCTION("""COMPUTED_VALUE"""),"RAMIREZ PELAEZ, LUCIANA")</f>
        <v>RAMIREZ PELAEZ, LUCIANA</v>
      </c>
      <c r="D2570" t="str">
        <f>IFERROR(__xludf.DUMMYFUNCTION("""COMPUTED_VALUE"""),"PE 12")</f>
        <v>PE 12</v>
      </c>
      <c r="E2570" s="3">
        <f>IFERROR(__xludf.DUMMYFUNCTION("""COMPUTED_VALUE"""),6.0)</f>
        <v>6</v>
      </c>
      <c r="F2570" s="300">
        <v>1.0</v>
      </c>
      <c r="G2570" s="300">
        <v>1.0</v>
      </c>
      <c r="H2570" s="300">
        <v>1.0</v>
      </c>
      <c r="I2570" s="300">
        <v>1.0</v>
      </c>
      <c r="J2570" s="300">
        <v>1.0</v>
      </c>
      <c r="K2570" s="300">
        <v>1.0</v>
      </c>
      <c r="L2570" s="300">
        <v>1.0</v>
      </c>
      <c r="M2570" s="300">
        <v>1.0</v>
      </c>
      <c r="N2570" s="300">
        <v>8.0</v>
      </c>
      <c r="O2570" s="300" t="s">
        <v>917</v>
      </c>
      <c r="P2570" s="300">
        <v>6.0</v>
      </c>
    </row>
    <row r="2571">
      <c r="A2571">
        <f>IFERROR(__xludf.DUMMYFUNCTION("""COMPUTED_VALUE"""),12.0)</f>
        <v>12</v>
      </c>
      <c r="B2571">
        <f>IFERROR(__xludf.DUMMYFUNCTION("""COMPUTED_VALUE"""),26032.0)</f>
        <v>26032</v>
      </c>
      <c r="C2571" t="str">
        <f>IFERROR(__xludf.DUMMYFUNCTION("""COMPUTED_VALUE"""),"FRANCO SALDARRIAGA, EDUARDO")</f>
        <v>FRANCO SALDARRIAGA, EDUARDO</v>
      </c>
      <c r="D2571" t="str">
        <f>IFERROR(__xludf.DUMMYFUNCTION("""COMPUTED_VALUE"""),"PE 12")</f>
        <v>PE 12</v>
      </c>
      <c r="E2571" s="3">
        <f>IFERROR(__xludf.DUMMYFUNCTION("""COMPUTED_VALUE"""),2.0)</f>
        <v>2</v>
      </c>
      <c r="F2571" s="300">
        <v>1.0</v>
      </c>
      <c r="G2571" s="300">
        <v>1.0</v>
      </c>
      <c r="H2571" s="300">
        <v>1.0</v>
      </c>
      <c r="I2571" s="300">
        <v>1.0</v>
      </c>
      <c r="J2571" s="300">
        <v>1.0</v>
      </c>
      <c r="K2571" s="300">
        <v>1.0</v>
      </c>
      <c r="L2571" s="300">
        <v>1.0</v>
      </c>
      <c r="M2571" s="300">
        <v>1.0</v>
      </c>
      <c r="N2571" s="300">
        <v>8.0</v>
      </c>
      <c r="O2571" s="300" t="s">
        <v>915</v>
      </c>
      <c r="P2571" s="300">
        <v>6.0</v>
      </c>
    </row>
    <row r="2572">
      <c r="A2572">
        <f>IFERROR(__xludf.DUMMYFUNCTION("""COMPUTED_VALUE"""),12.0)</f>
        <v>12</v>
      </c>
      <c r="B2572">
        <f>IFERROR(__xludf.DUMMYFUNCTION("""COMPUTED_VALUE"""),26072.0)</f>
        <v>26072</v>
      </c>
      <c r="C2572" t="str">
        <f>IFERROR(__xludf.DUMMYFUNCTION("""COMPUTED_VALUE"""),"MERINO VALENCIA, CAMILO")</f>
        <v>MERINO VALENCIA, CAMILO</v>
      </c>
      <c r="D2572" t="str">
        <f>IFERROR(__xludf.DUMMYFUNCTION("""COMPUTED_VALUE"""),"PE 12")</f>
        <v>PE 12</v>
      </c>
      <c r="E2572" s="3">
        <f>IFERROR(__xludf.DUMMYFUNCTION("""COMPUTED_VALUE"""),5.0)</f>
        <v>5</v>
      </c>
      <c r="F2572" s="300">
        <v>1.0</v>
      </c>
      <c r="G2572" s="300">
        <v>1.0</v>
      </c>
      <c r="H2572" s="300">
        <v>1.0</v>
      </c>
      <c r="I2572" s="300">
        <v>1.0</v>
      </c>
      <c r="J2572" s="300">
        <v>1.0</v>
      </c>
      <c r="K2572" s="300">
        <v>1.0</v>
      </c>
      <c r="L2572" s="300">
        <v>1.0</v>
      </c>
      <c r="M2572" s="300">
        <v>1.0</v>
      </c>
      <c r="N2572" s="300">
        <v>8.0</v>
      </c>
      <c r="O2572" s="300" t="s">
        <v>916</v>
      </c>
      <c r="P2572" s="300">
        <v>6.0</v>
      </c>
    </row>
    <row r="2573">
      <c r="A2573">
        <f>IFERROR(__xludf.DUMMYFUNCTION("""COMPUTED_VALUE"""),12.0)</f>
        <v>12</v>
      </c>
      <c r="B2573">
        <f>IFERROR(__xludf.DUMMYFUNCTION("""COMPUTED_VALUE"""),26139.0)</f>
        <v>26139</v>
      </c>
      <c r="C2573" t="str">
        <f>IFERROR(__xludf.DUMMYFUNCTION("""COMPUTED_VALUE"""),"POSADA VILLALOBOS, VERONICA")</f>
        <v>POSADA VILLALOBOS, VERONICA</v>
      </c>
      <c r="D2573" t="str">
        <f>IFERROR(__xludf.DUMMYFUNCTION("""COMPUTED_VALUE"""),"PE 12")</f>
        <v>PE 12</v>
      </c>
      <c r="E2573" s="3">
        <f>IFERROR(__xludf.DUMMYFUNCTION("""COMPUTED_VALUE"""),8.0)</f>
        <v>8</v>
      </c>
      <c r="F2573" s="300">
        <v>1.0</v>
      </c>
      <c r="G2573" s="300">
        <v>1.0</v>
      </c>
      <c r="H2573" s="300">
        <v>1.0</v>
      </c>
      <c r="I2573" s="300">
        <v>1.0</v>
      </c>
      <c r="J2573" s="300">
        <v>1.0</v>
      </c>
      <c r="K2573" s="300">
        <v>1.0</v>
      </c>
      <c r="L2573" s="300">
        <v>1.0</v>
      </c>
      <c r="M2573" s="300">
        <v>1.0</v>
      </c>
      <c r="N2573" s="300">
        <v>8.0</v>
      </c>
      <c r="O2573" s="300" t="s">
        <v>918</v>
      </c>
      <c r="P2573" s="300">
        <v>6.0</v>
      </c>
    </row>
    <row r="2574">
      <c r="A2574">
        <f>IFERROR(__xludf.DUMMYFUNCTION("""COMPUTED_VALUE"""),12.0)</f>
        <v>12</v>
      </c>
      <c r="B2574" s="406">
        <f>IFERROR(__xludf.DUMMYFUNCTION("""COMPUTED_VALUE"""),26129.0)</f>
        <v>26129</v>
      </c>
      <c r="C2574" t="str">
        <f>IFERROR(__xludf.DUMMYFUNCTION("""COMPUTED_VALUE"""),"CALLE BUITRAGO, MARTIN")</f>
        <v>CALLE BUITRAGO, MARTIN</v>
      </c>
      <c r="D2574" t="str">
        <f>IFERROR(__xludf.DUMMYFUNCTION("""COMPUTED_VALUE"""),"PE 12")</f>
        <v>PE 12</v>
      </c>
      <c r="E2574" s="3">
        <f>IFERROR(__xludf.DUMMYFUNCTION("""COMPUTED_VALUE"""),1.0)</f>
        <v>1</v>
      </c>
      <c r="F2574" s="300">
        <v>1.0</v>
      </c>
      <c r="G2574" s="300">
        <v>1.0</v>
      </c>
      <c r="H2574" s="300">
        <v>1.0</v>
      </c>
      <c r="I2574" s="300">
        <v>1.0</v>
      </c>
      <c r="J2574" s="300">
        <v>1.0</v>
      </c>
      <c r="K2574" s="300">
        <v>1.0</v>
      </c>
      <c r="L2574" s="300">
        <v>1.0</v>
      </c>
      <c r="M2574" s="300">
        <v>1.0</v>
      </c>
      <c r="N2574" s="300">
        <v>8.0</v>
      </c>
      <c r="O2574" s="300" t="s">
        <v>919</v>
      </c>
      <c r="P2574" s="300">
        <v>6.0</v>
      </c>
    </row>
    <row r="2575">
      <c r="A2575">
        <f>IFERROR(__xludf.DUMMYFUNCTION("""COMPUTED_VALUE"""),12.0)</f>
        <v>12</v>
      </c>
      <c r="B2575">
        <f>IFERROR(__xludf.DUMMYFUNCTION("""COMPUTED_VALUE"""),26125.0)</f>
        <v>26125</v>
      </c>
      <c r="C2575" t="str">
        <f>IFERROR(__xludf.DUMMYFUNCTION("""COMPUTED_VALUE"""),"YEPES RAMIREZ, MARTIN")</f>
        <v>YEPES RAMIREZ, MARTIN</v>
      </c>
      <c r="D2575" t="str">
        <f>IFERROR(__xludf.DUMMYFUNCTION("""COMPUTED_VALUE"""),"PE 12")</f>
        <v>PE 12</v>
      </c>
      <c r="E2575" s="3">
        <f>IFERROR(__xludf.DUMMYFUNCTION("""COMPUTED_VALUE"""),6.0)</f>
        <v>6</v>
      </c>
      <c r="F2575" s="300">
        <v>1.0</v>
      </c>
      <c r="G2575" s="300">
        <v>1.0</v>
      </c>
      <c r="H2575" s="300">
        <v>1.0</v>
      </c>
      <c r="I2575" s="300">
        <v>1.0</v>
      </c>
      <c r="J2575" s="300">
        <v>1.0</v>
      </c>
      <c r="K2575" s="300">
        <v>1.0</v>
      </c>
      <c r="L2575" s="300">
        <v>1.0</v>
      </c>
      <c r="M2575" s="300">
        <v>1.0</v>
      </c>
      <c r="N2575" s="300">
        <v>8.0</v>
      </c>
      <c r="O2575" s="300" t="s">
        <v>917</v>
      </c>
      <c r="P2575" s="300">
        <v>6.0</v>
      </c>
    </row>
    <row r="2576">
      <c r="A2576">
        <f>IFERROR(__xludf.DUMMYFUNCTION("""COMPUTED_VALUE"""),12.0)</f>
        <v>12</v>
      </c>
      <c r="B2576">
        <f>IFERROR(__xludf.DUMMYFUNCTION("""COMPUTED_VALUE"""),25039.0)</f>
        <v>25039</v>
      </c>
      <c r="C2576" t="str">
        <f>IFERROR(__xludf.DUMMYFUNCTION("""COMPUTED_VALUE"""),"GARZA PATIÑO, MARCO")</f>
        <v>GARZA PATIÑO, MARCO</v>
      </c>
      <c r="D2576" t="str">
        <f>IFERROR(__xludf.DUMMYFUNCTION("""COMPUTED_VALUE"""),"PE 12")</f>
        <v>PE 12</v>
      </c>
      <c r="E2576" s="3">
        <f>IFERROR(__xludf.DUMMYFUNCTION("""COMPUTED_VALUE"""),8.0)</f>
        <v>8</v>
      </c>
      <c r="F2576" s="300">
        <v>1.0</v>
      </c>
      <c r="G2576" s="300">
        <v>1.0</v>
      </c>
      <c r="H2576" s="300">
        <v>1.0</v>
      </c>
      <c r="I2576" s="300">
        <v>1.0</v>
      </c>
      <c r="J2576" s="300">
        <v>1.0</v>
      </c>
      <c r="K2576" s="300">
        <v>1.0</v>
      </c>
      <c r="L2576" s="300">
        <v>1.0</v>
      </c>
      <c r="M2576" s="300">
        <v>1.0</v>
      </c>
      <c r="N2576" s="300">
        <v>8.0</v>
      </c>
      <c r="O2576" s="300" t="s">
        <v>918</v>
      </c>
      <c r="P2576" s="300">
        <v>6.0</v>
      </c>
    </row>
    <row r="2577">
      <c r="A2577">
        <f>IFERROR(__xludf.DUMMYFUNCTION("""COMPUTED_VALUE"""),12.0)</f>
        <v>12</v>
      </c>
      <c r="B2577">
        <f>IFERROR(__xludf.DUMMYFUNCTION("""COMPUTED_VALUE"""),26133.0)</f>
        <v>26133</v>
      </c>
      <c r="C2577" t="str">
        <f>IFERROR(__xludf.DUMMYFUNCTION("""COMPUTED_VALUE"""),"SUAREZ MARTINEZ, PABLO")</f>
        <v>SUAREZ MARTINEZ, PABLO</v>
      </c>
      <c r="D2577" t="str">
        <f>IFERROR(__xludf.DUMMYFUNCTION("""COMPUTED_VALUE"""),"PE 12")</f>
        <v>PE 12</v>
      </c>
      <c r="E2577" s="3">
        <f>IFERROR(__xludf.DUMMYFUNCTION("""COMPUTED_VALUE"""),5.0)</f>
        <v>5</v>
      </c>
      <c r="F2577" s="300">
        <v>1.0</v>
      </c>
      <c r="G2577" s="300">
        <v>1.0</v>
      </c>
      <c r="H2577" s="300">
        <v>1.0</v>
      </c>
      <c r="I2577" s="300">
        <v>1.0</v>
      </c>
      <c r="J2577" s="300">
        <v>1.0</v>
      </c>
      <c r="K2577" s="300">
        <v>1.0</v>
      </c>
      <c r="L2577" s="300">
        <v>1.0</v>
      </c>
      <c r="M2577" s="300">
        <v>1.0</v>
      </c>
      <c r="N2577" s="300">
        <v>8.0</v>
      </c>
      <c r="O2577" s="300" t="s">
        <v>916</v>
      </c>
      <c r="P2577" s="300">
        <v>6.0</v>
      </c>
    </row>
    <row r="2578">
      <c r="A2578">
        <f>IFERROR(__xludf.DUMMYFUNCTION("""COMPUTED_VALUE"""),12.0)</f>
        <v>12</v>
      </c>
      <c r="B2578">
        <f>IFERROR(__xludf.DUMMYFUNCTION("""COMPUTED_VALUE"""),26110.0)</f>
        <v>26110</v>
      </c>
      <c r="C2578" t="str">
        <f>IFERROR(__xludf.DUMMYFUNCTION("""COMPUTED_VALUE"""),"URIBE CORREA, VICENTE")</f>
        <v>URIBE CORREA, VICENTE</v>
      </c>
      <c r="D2578" t="str">
        <f>IFERROR(__xludf.DUMMYFUNCTION("""COMPUTED_VALUE"""),"PE 12")</f>
        <v>PE 12</v>
      </c>
      <c r="E2578" s="3">
        <f>IFERROR(__xludf.DUMMYFUNCTION("""COMPUTED_VALUE"""),5.0)</f>
        <v>5</v>
      </c>
      <c r="F2578" s="300">
        <v>1.0</v>
      </c>
      <c r="G2578" s="300">
        <v>1.0</v>
      </c>
      <c r="H2578" s="300">
        <v>1.0</v>
      </c>
      <c r="I2578" s="300">
        <v>1.0</v>
      </c>
      <c r="J2578" s="300">
        <v>1.0</v>
      </c>
      <c r="K2578" s="300">
        <v>1.0</v>
      </c>
      <c r="L2578" s="300">
        <v>1.0</v>
      </c>
      <c r="M2578" s="300">
        <v>1.0</v>
      </c>
      <c r="N2578" s="300">
        <v>8.0</v>
      </c>
      <c r="O2578" s="300" t="s">
        <v>916</v>
      </c>
      <c r="P2578" s="300">
        <v>6.0</v>
      </c>
    </row>
    <row r="2579">
      <c r="A2579">
        <f>IFERROR(__xludf.DUMMYFUNCTION("""COMPUTED_VALUE"""),12.0)</f>
        <v>12</v>
      </c>
      <c r="B2579">
        <f>IFERROR(__xludf.DUMMYFUNCTION("""COMPUTED_VALUE"""),26022.0)</f>
        <v>26022</v>
      </c>
      <c r="C2579" t="str">
        <f>IFERROR(__xludf.DUMMYFUNCTION("""COMPUTED_VALUE"""),"CAROLI ABAD, MASSIMILIANO")</f>
        <v>CAROLI ABAD, MASSIMILIANO</v>
      </c>
      <c r="D2579" t="str">
        <f>IFERROR(__xludf.DUMMYFUNCTION("""COMPUTED_VALUE"""),"PE 12")</f>
        <v>PE 12</v>
      </c>
      <c r="E2579" s="3">
        <f>IFERROR(__xludf.DUMMYFUNCTION("""COMPUTED_VALUE"""),6.0)</f>
        <v>6</v>
      </c>
      <c r="F2579" s="300">
        <v>1.0</v>
      </c>
      <c r="G2579" s="300">
        <v>1.0</v>
      </c>
      <c r="H2579" s="300">
        <v>1.0</v>
      </c>
      <c r="I2579" s="300">
        <v>1.0</v>
      </c>
      <c r="J2579" s="300">
        <v>1.0</v>
      </c>
      <c r="K2579" s="300">
        <v>1.0</v>
      </c>
      <c r="L2579" s="300">
        <v>1.0</v>
      </c>
      <c r="M2579" s="300">
        <v>1.0</v>
      </c>
      <c r="N2579" s="300">
        <v>8.0</v>
      </c>
      <c r="O2579" s="300" t="s">
        <v>917</v>
      </c>
      <c r="P2579" s="300">
        <v>6.0</v>
      </c>
    </row>
    <row r="2580">
      <c r="A2580">
        <f>IFERROR(__xludf.DUMMYFUNCTION("""COMPUTED_VALUE"""),12.0)</f>
        <v>12</v>
      </c>
      <c r="B2580">
        <f>IFERROR(__xludf.DUMMYFUNCTION("""COMPUTED_VALUE"""),26102.0)</f>
        <v>26102</v>
      </c>
      <c r="C2580" t="str">
        <f>IFERROR(__xludf.DUMMYFUNCTION("""COMPUTED_VALUE"""),"RODRIGUEZ NAVARRO, MIGUEL")</f>
        <v>RODRIGUEZ NAVARRO, MIGUEL</v>
      </c>
      <c r="D2580" t="str">
        <f>IFERROR(__xludf.DUMMYFUNCTION("""COMPUTED_VALUE"""),"PE 12")</f>
        <v>PE 12</v>
      </c>
      <c r="E2580" s="3">
        <f>IFERROR(__xludf.DUMMYFUNCTION("""COMPUTED_VALUE"""),6.0)</f>
        <v>6</v>
      </c>
      <c r="F2580" s="300">
        <v>1.0</v>
      </c>
      <c r="G2580" s="300">
        <v>1.0</v>
      </c>
      <c r="H2580" s="300">
        <v>1.0</v>
      </c>
      <c r="I2580" s="300">
        <v>1.0</v>
      </c>
      <c r="J2580" s="300">
        <v>1.0</v>
      </c>
      <c r="K2580" s="300">
        <v>1.0</v>
      </c>
      <c r="L2580" s="300">
        <v>1.0</v>
      </c>
      <c r="M2580" s="300">
        <v>1.0</v>
      </c>
      <c r="N2580" s="300">
        <v>8.0</v>
      </c>
      <c r="O2580" s="300" t="s">
        <v>917</v>
      </c>
      <c r="P2580" s="300">
        <v>6.0</v>
      </c>
    </row>
    <row r="2581">
      <c r="A2581">
        <f>IFERROR(__xludf.DUMMYFUNCTION("""COMPUTED_VALUE"""),12.0)</f>
        <v>12</v>
      </c>
      <c r="B2581">
        <f>IFERROR(__xludf.DUMMYFUNCTION("""COMPUTED_VALUE"""),26107.0)</f>
        <v>26107</v>
      </c>
      <c r="C2581" t="str">
        <f>IFERROR(__xludf.DUMMYFUNCTION("""COMPUTED_VALUE"""),"SUAREZ PEREZ ROSARIO")</f>
        <v>SUAREZ PEREZ ROSARIO</v>
      </c>
      <c r="D2581" t="str">
        <f>IFERROR(__xludf.DUMMYFUNCTION("""COMPUTED_VALUE"""),"PE 12")</f>
        <v>PE 12</v>
      </c>
      <c r="E2581" s="3">
        <f>IFERROR(__xludf.DUMMYFUNCTION("""COMPUTED_VALUE"""),2.0)</f>
        <v>2</v>
      </c>
      <c r="F2581" s="300">
        <v>1.0</v>
      </c>
      <c r="G2581" s="300">
        <v>1.0</v>
      </c>
      <c r="H2581" s="300">
        <v>1.0</v>
      </c>
      <c r="I2581" s="300">
        <v>1.0</v>
      </c>
      <c r="J2581" s="300">
        <v>1.0</v>
      </c>
      <c r="K2581" s="300">
        <v>1.0</v>
      </c>
      <c r="L2581" s="300">
        <v>1.0</v>
      </c>
      <c r="M2581" s="300">
        <v>1.0</v>
      </c>
      <c r="N2581" s="300">
        <v>8.0</v>
      </c>
      <c r="O2581" s="300" t="s">
        <v>915</v>
      </c>
      <c r="P2581" s="300">
        <v>6.0</v>
      </c>
    </row>
    <row r="2582">
      <c r="A2582">
        <f>IFERROR(__xludf.DUMMYFUNCTION("""COMPUTED_VALUE"""),11.0)</f>
        <v>11</v>
      </c>
      <c r="B2582">
        <f>IFERROR(__xludf.DUMMYFUNCTION("""COMPUTED_VALUE"""),27148.0)</f>
        <v>27148</v>
      </c>
      <c r="C2582" t="str">
        <f>IFERROR(__xludf.DUMMYFUNCTION("""COMPUTED_VALUE"""),"TALUKDAR, JIGYASHA")</f>
        <v>TALUKDAR, JIGYASHA</v>
      </c>
      <c r="D2582" t="str">
        <f>IFERROR(__xludf.DUMMYFUNCTION("""COMPUTED_VALUE"""),"PE 11")</f>
        <v>PE 11</v>
      </c>
      <c r="E2582" s="3">
        <f>IFERROR(__xludf.DUMMYFUNCTION("""COMPUTED_VALUE"""),7.0)</f>
        <v>7</v>
      </c>
      <c r="F2582" s="300">
        <v>1.0</v>
      </c>
      <c r="G2582" s="300">
        <v>1.0</v>
      </c>
      <c r="H2582" s="300">
        <v>1.0</v>
      </c>
      <c r="I2582" s="300">
        <v>1.0</v>
      </c>
      <c r="J2582" s="300">
        <v>1.0</v>
      </c>
      <c r="K2582" s="300">
        <v>1.0</v>
      </c>
      <c r="L2582" s="300">
        <v>1.0</v>
      </c>
      <c r="M2582" s="300">
        <v>1.0</v>
      </c>
      <c r="N2582" s="300">
        <v>8.0</v>
      </c>
      <c r="O2582" s="300" t="s">
        <v>913</v>
      </c>
      <c r="P2582" s="300">
        <v>6.0</v>
      </c>
    </row>
    <row r="2583">
      <c r="A2583">
        <f>IFERROR(__xludf.DUMMYFUNCTION("""COMPUTED_VALUE"""),11.0)</f>
        <v>11</v>
      </c>
      <c r="B2583">
        <f>IFERROR(__xludf.DUMMYFUNCTION("""COMPUTED_VALUE"""),27180.0)</f>
        <v>27180</v>
      </c>
      <c r="C2583" t="str">
        <f>IFERROR(__xludf.DUMMYFUNCTION("""COMPUTED_VALUE"""),"CANDELA SÁNCHEZ, LORENZO")</f>
        <v>CANDELA SÁNCHEZ, LORENZO</v>
      </c>
      <c r="D2583" t="str">
        <f>IFERROR(__xludf.DUMMYFUNCTION("""COMPUTED_VALUE"""),"PE 11")</f>
        <v>PE 11</v>
      </c>
      <c r="E2583" s="3">
        <f>IFERROR(__xludf.DUMMYFUNCTION("""COMPUTED_VALUE"""),2.0)</f>
        <v>2</v>
      </c>
      <c r="F2583" s="300">
        <v>1.0</v>
      </c>
      <c r="G2583" s="300">
        <v>1.0</v>
      </c>
      <c r="H2583" s="300">
        <v>1.0</v>
      </c>
      <c r="I2583" s="300">
        <v>1.0</v>
      </c>
      <c r="J2583" s="300">
        <v>1.0</v>
      </c>
      <c r="K2583" s="300">
        <v>1.0</v>
      </c>
      <c r="L2583" s="300">
        <v>1.0</v>
      </c>
      <c r="M2583" s="300">
        <v>1.0</v>
      </c>
      <c r="N2583" s="300">
        <v>8.0</v>
      </c>
      <c r="O2583" s="300" t="s">
        <v>912</v>
      </c>
      <c r="P2583" s="300">
        <v>6.0</v>
      </c>
    </row>
    <row r="2584">
      <c r="A2584">
        <f>IFERROR(__xludf.DUMMYFUNCTION("""COMPUTED_VALUE"""),11.0)</f>
        <v>11</v>
      </c>
      <c r="B2584" s="406">
        <f>IFERROR(__xludf.DUMMYFUNCTION("""COMPUTED_VALUE"""),27183.0)</f>
        <v>27183</v>
      </c>
      <c r="C2584" s="406" t="str">
        <f>IFERROR(__xludf.DUMMYFUNCTION("""COMPUTED_VALUE"""),"JOORIS-ANCION, ALEXANDRE")</f>
        <v>JOORIS-ANCION, ALEXANDRE</v>
      </c>
      <c r="D2584" t="str">
        <f>IFERROR(__xludf.DUMMYFUNCTION("""COMPUTED_VALUE"""),"PE 11")</f>
        <v>PE 11</v>
      </c>
      <c r="E2584" s="3">
        <f>IFERROR(__xludf.DUMMYFUNCTION("""COMPUTED_VALUE"""),1.0)</f>
        <v>1</v>
      </c>
      <c r="F2584" s="300">
        <v>1.0</v>
      </c>
      <c r="G2584" s="300">
        <v>1.0</v>
      </c>
      <c r="H2584" s="300">
        <v>1.0</v>
      </c>
      <c r="I2584" s="300">
        <v>1.0</v>
      </c>
      <c r="J2584" s="300">
        <v>1.0</v>
      </c>
      <c r="K2584" s="300">
        <v>1.0</v>
      </c>
      <c r="L2584" s="300">
        <v>1.0</v>
      </c>
      <c r="M2584" s="300">
        <v>1.0</v>
      </c>
      <c r="N2584" s="300">
        <v>8.0</v>
      </c>
      <c r="O2584" s="300" t="s">
        <v>911</v>
      </c>
      <c r="P2584" s="300">
        <v>6.0</v>
      </c>
    </row>
    <row r="2585">
      <c r="A2585">
        <f>IFERROR(__xludf.DUMMYFUNCTION("""COMPUTED_VALUE"""),10.0)</f>
        <v>10</v>
      </c>
      <c r="B2585">
        <f>IFERROR(__xludf.DUMMYFUNCTION("""COMPUTED_VALUE"""),28176.0)</f>
        <v>28176</v>
      </c>
      <c r="C2585" s="406" t="str">
        <f>IFERROR(__xludf.DUMMYFUNCTION("""COMPUTED_VALUE"""),"SILVA MONTOYA, SEBASTIÁN")</f>
        <v>SILVA MONTOYA, SEBASTIÁN</v>
      </c>
      <c r="D2585" t="str">
        <f>IFERROR(__xludf.DUMMYFUNCTION("""COMPUTED_VALUE"""),"PE 10")</f>
        <v>PE 10</v>
      </c>
      <c r="E2585" s="3">
        <f>IFERROR(__xludf.DUMMYFUNCTION("""COMPUTED_VALUE"""),7.0)</f>
        <v>7</v>
      </c>
      <c r="F2585" s="300">
        <v>1.0</v>
      </c>
      <c r="G2585" s="300">
        <v>1.0</v>
      </c>
      <c r="H2585" s="300">
        <v>1.0</v>
      </c>
      <c r="I2585" s="300">
        <v>1.0</v>
      </c>
      <c r="J2585" s="300">
        <v>1.0</v>
      </c>
      <c r="K2585" s="300">
        <v>1.0</v>
      </c>
      <c r="L2585" s="300">
        <v>1.0</v>
      </c>
      <c r="M2585" s="300">
        <v>1.0</v>
      </c>
      <c r="N2585" s="300">
        <v>8.0</v>
      </c>
      <c r="O2585" s="300" t="s">
        <v>904</v>
      </c>
      <c r="P2585" s="300">
        <v>6.0</v>
      </c>
    </row>
    <row r="2586">
      <c r="A2586">
        <f>IFERROR(__xludf.DUMMYFUNCTION("""COMPUTED_VALUE"""),9.0)</f>
        <v>9</v>
      </c>
      <c r="B2586">
        <f>IFERROR(__xludf.DUMMYFUNCTION("""COMPUTED_VALUE"""),29173.0)</f>
        <v>29173</v>
      </c>
      <c r="C2586" s="406" t="str">
        <f>IFERROR(__xludf.DUMMYFUNCTION("""COMPUTED_VALUE"""),"GRACIANO VÉLEZ, MARÍA DE LOS ÁNGELES")</f>
        <v>GRACIANO VÉLEZ, MARÍA DE LOS ÁNGELES</v>
      </c>
      <c r="D2586" t="str">
        <f>IFERROR(__xludf.DUMMYFUNCTION("""COMPUTED_VALUE"""),"PE 9")</f>
        <v>PE 9</v>
      </c>
      <c r="E2586" s="3">
        <f>IFERROR(__xludf.DUMMYFUNCTION("""COMPUTED_VALUE"""),2.0)</f>
        <v>2</v>
      </c>
      <c r="F2586" s="300">
        <v>1.0</v>
      </c>
      <c r="G2586" s="300">
        <v>1.0</v>
      </c>
      <c r="H2586" s="300">
        <v>1.0</v>
      </c>
      <c r="I2586" s="300">
        <v>1.0</v>
      </c>
      <c r="J2586" s="300">
        <v>1.0</v>
      </c>
      <c r="K2586" s="300">
        <v>1.0</v>
      </c>
      <c r="L2586" s="300">
        <v>1.0</v>
      </c>
      <c r="M2586" s="300">
        <v>1.0</v>
      </c>
      <c r="N2586" s="300">
        <v>8.0</v>
      </c>
      <c r="O2586" s="300" t="s">
        <v>899</v>
      </c>
      <c r="P2586" s="300">
        <v>6.0</v>
      </c>
    </row>
    <row r="2587">
      <c r="A2587">
        <f>IFERROR(__xludf.DUMMYFUNCTION("""COMPUTED_VALUE"""),9.0)</f>
        <v>9</v>
      </c>
      <c r="B2587">
        <f>IFERROR(__xludf.DUMMYFUNCTION("""COMPUTED_VALUE"""),29174.0)</f>
        <v>29174</v>
      </c>
      <c r="C2587" s="406" t="str">
        <f>IFERROR(__xludf.DUMMYFUNCTION("""COMPUTED_VALUE"""),"CANDELA SÁNCHEZ, EVA")</f>
        <v>CANDELA SÁNCHEZ, EVA</v>
      </c>
      <c r="D2587" t="str">
        <f>IFERROR(__xludf.DUMMYFUNCTION("""COMPUTED_VALUE"""),"PE 9")</f>
        <v>PE 9</v>
      </c>
      <c r="E2587" s="3">
        <f>IFERROR(__xludf.DUMMYFUNCTION("""COMPUTED_VALUE"""),2.0)</f>
        <v>2</v>
      </c>
      <c r="F2587" s="300">
        <v>1.0</v>
      </c>
      <c r="G2587" s="300">
        <v>1.0</v>
      </c>
      <c r="H2587" s="300">
        <v>1.0</v>
      </c>
      <c r="I2587" s="300">
        <v>1.0</v>
      </c>
      <c r="J2587" s="300">
        <v>1.0</v>
      </c>
      <c r="K2587" s="300">
        <v>1.0</v>
      </c>
      <c r="L2587" s="300">
        <v>1.0</v>
      </c>
      <c r="M2587" s="300">
        <v>1.0</v>
      </c>
      <c r="N2587" s="300">
        <v>8.0</v>
      </c>
      <c r="O2587" s="300" t="s">
        <v>899</v>
      </c>
      <c r="P2587" s="300">
        <v>6.0</v>
      </c>
    </row>
    <row r="2588">
      <c r="A2588">
        <f>IFERROR(__xludf.DUMMYFUNCTION("""COMPUTED_VALUE"""),11.0)</f>
        <v>11</v>
      </c>
      <c r="B2588" s="406">
        <f>IFERROR(__xludf.DUMMYFUNCTION("""COMPUTED_VALUE"""),27179.0)</f>
        <v>27179</v>
      </c>
      <c r="C2588" s="406" t="str">
        <f>IFERROR(__xludf.DUMMYFUNCTION("""COMPUTED_VALUE"""),"GRACIANO VÉLEZ, MARÍA DEL MAR")</f>
        <v>GRACIANO VÉLEZ, MARÍA DEL MAR</v>
      </c>
      <c r="D2588" t="str">
        <f>IFERROR(__xludf.DUMMYFUNCTION("""COMPUTED_VALUE"""),"PE 11")</f>
        <v>PE 11</v>
      </c>
      <c r="E2588" s="3">
        <f>IFERROR(__xludf.DUMMYFUNCTION("""COMPUTED_VALUE"""),3.0)</f>
        <v>3</v>
      </c>
      <c r="F2588" s="300">
        <v>1.0</v>
      </c>
      <c r="G2588" s="300">
        <v>1.0</v>
      </c>
      <c r="H2588" s="300">
        <v>1.0</v>
      </c>
      <c r="I2588" s="300">
        <v>1.0</v>
      </c>
      <c r="J2588" s="300">
        <v>1.0</v>
      </c>
      <c r="K2588" s="300">
        <v>1.0</v>
      </c>
      <c r="L2588" s="300">
        <v>1.0</v>
      </c>
      <c r="M2588" s="300">
        <v>1.0</v>
      </c>
      <c r="N2588" s="300">
        <v>8.0</v>
      </c>
      <c r="O2588" s="300" t="s">
        <v>909</v>
      </c>
      <c r="P2588" s="300">
        <v>6.0</v>
      </c>
    </row>
    <row r="2589">
      <c r="A2589">
        <f>IFERROR(__xludf.DUMMYFUNCTION("""COMPUTED_VALUE"""),10.0)</f>
        <v>10</v>
      </c>
      <c r="B2589" s="406">
        <f>IFERROR(__xludf.DUMMYFUNCTION("""COMPUTED_VALUE"""),28178.0)</f>
        <v>28178</v>
      </c>
      <c r="C2589" s="406" t="str">
        <f>IFERROR(__xludf.DUMMYFUNCTION("""COMPUTED_VALUE"""),"CANOVA DOMINGUES, JOAO PEDRO")</f>
        <v>CANOVA DOMINGUES, JOAO PEDRO</v>
      </c>
      <c r="D2589" t="str">
        <f>IFERROR(__xludf.DUMMYFUNCTION("""COMPUTED_VALUE"""),"PE 10")</f>
        <v>PE 10</v>
      </c>
      <c r="E2589" s="3">
        <f>IFERROR(__xludf.DUMMYFUNCTION("""COMPUTED_VALUE"""),5.0)</f>
        <v>5</v>
      </c>
      <c r="F2589" s="300">
        <v>1.0</v>
      </c>
      <c r="G2589" s="300">
        <v>1.0</v>
      </c>
      <c r="H2589" s="300">
        <v>1.0</v>
      </c>
      <c r="I2589" s="300">
        <v>1.0</v>
      </c>
      <c r="J2589" s="300">
        <v>1.0</v>
      </c>
      <c r="K2589" s="300">
        <v>1.0</v>
      </c>
      <c r="L2589" s="300">
        <v>1.0</v>
      </c>
      <c r="M2589" s="300">
        <v>1.0</v>
      </c>
      <c r="N2589" s="300">
        <v>8.0</v>
      </c>
      <c r="O2589" s="300" t="s">
        <v>902</v>
      </c>
      <c r="P2589" s="300">
        <v>6.0</v>
      </c>
    </row>
    <row r="2590">
      <c r="A2590">
        <f>IFERROR(__xludf.DUMMYFUNCTION("""COMPUTED_VALUE"""),10.0)</f>
        <v>10</v>
      </c>
      <c r="B2590" s="406">
        <f>IFERROR(__xludf.DUMMYFUNCTION("""COMPUTED_VALUE"""),28177.0)</f>
        <v>28177</v>
      </c>
      <c r="C2590" s="406" t="str">
        <f>IFERROR(__xludf.DUMMYFUNCTION("""COMPUTED_VALUE"""),"CUBILLOS GÓMEZ, ROBERTO")</f>
        <v>CUBILLOS GÓMEZ, ROBERTO</v>
      </c>
      <c r="D2590" t="str">
        <f>IFERROR(__xludf.DUMMYFUNCTION("""COMPUTED_VALUE"""),"PE 10")</f>
        <v>PE 10</v>
      </c>
      <c r="E2590" s="3">
        <f>IFERROR(__xludf.DUMMYFUNCTION("""COMPUTED_VALUE"""),5.0)</f>
        <v>5</v>
      </c>
      <c r="F2590" s="300">
        <v>1.0</v>
      </c>
      <c r="G2590" s="300">
        <v>1.0</v>
      </c>
      <c r="H2590" s="300">
        <v>1.0</v>
      </c>
      <c r="I2590" s="300">
        <v>1.0</v>
      </c>
      <c r="J2590" s="300">
        <v>1.0</v>
      </c>
      <c r="K2590" s="300">
        <v>1.0</v>
      </c>
      <c r="L2590" s="300">
        <v>1.0</v>
      </c>
      <c r="M2590" s="300">
        <v>1.0</v>
      </c>
      <c r="N2590" s="300">
        <v>8.0</v>
      </c>
      <c r="O2590" s="300" t="s">
        <v>902</v>
      </c>
      <c r="P2590" s="300">
        <v>6.0</v>
      </c>
    </row>
    <row r="2591">
      <c r="A2591">
        <f>IFERROR(__xludf.DUMMYFUNCTION("""COMPUTED_VALUE"""),10.0)</f>
        <v>10</v>
      </c>
      <c r="B2591" s="406">
        <f>IFERROR(__xludf.DUMMYFUNCTION("""COMPUTED_VALUE"""),28146.0)</f>
        <v>28146</v>
      </c>
      <c r="C2591" s="406" t="str">
        <f>IFERROR(__xludf.DUMMYFUNCTION("""COMPUTED_VALUE"""),"MORA MORENO, MARÍA LUISA")</f>
        <v>MORA MORENO, MARÍA LUISA</v>
      </c>
      <c r="D2591" t="str">
        <f>IFERROR(__xludf.DUMMYFUNCTION("""COMPUTED_VALUE"""),"PE 10")</f>
        <v>PE 10</v>
      </c>
      <c r="E2591" s="3">
        <f>IFERROR(__xludf.DUMMYFUNCTION("""COMPUTED_VALUE"""),4.0)</f>
        <v>4</v>
      </c>
      <c r="F2591" s="300">
        <v>1.0</v>
      </c>
      <c r="G2591" s="300">
        <v>1.0</v>
      </c>
      <c r="H2591" s="300">
        <v>1.0</v>
      </c>
      <c r="I2591" s="300">
        <v>1.0</v>
      </c>
      <c r="J2591" s="300">
        <v>1.0</v>
      </c>
      <c r="K2591" s="300">
        <v>1.0</v>
      </c>
      <c r="L2591" s="300">
        <v>1.0</v>
      </c>
      <c r="M2591" s="300">
        <v>1.0</v>
      </c>
      <c r="N2591" s="300">
        <v>8.0</v>
      </c>
      <c r="O2591" s="300" t="s">
        <v>906</v>
      </c>
      <c r="P2591" s="300">
        <v>6.0</v>
      </c>
    </row>
    <row r="2592">
      <c r="A2592">
        <f>IFERROR(__xludf.DUMMYFUNCTION("""COMPUTED_VALUE"""),10.0)</f>
        <v>10</v>
      </c>
      <c r="B2592" s="406">
        <f>IFERROR(__xludf.DUMMYFUNCTION("""COMPUTED_VALUE"""),28175.0)</f>
        <v>28175</v>
      </c>
      <c r="C2592" s="406" t="str">
        <f>IFERROR(__xludf.DUMMYFUNCTION("""COMPUTED_VALUE"""),"DELSOL, ANTOINE")</f>
        <v>DELSOL, ANTOINE</v>
      </c>
      <c r="D2592" t="str">
        <f>IFERROR(__xludf.DUMMYFUNCTION("""COMPUTED_VALUE"""),"PE 10")</f>
        <v>PE 10</v>
      </c>
      <c r="E2592" s="3">
        <f>IFERROR(__xludf.DUMMYFUNCTION("""COMPUTED_VALUE"""),1.0)</f>
        <v>1</v>
      </c>
      <c r="F2592" s="300">
        <v>1.0</v>
      </c>
      <c r="G2592" s="300">
        <v>1.0</v>
      </c>
      <c r="H2592" s="300">
        <v>1.0</v>
      </c>
      <c r="I2592" s="300">
        <v>1.0</v>
      </c>
      <c r="J2592" s="300">
        <v>1.0</v>
      </c>
      <c r="K2592" s="300">
        <v>1.0</v>
      </c>
      <c r="L2592" s="300">
        <v>1.0</v>
      </c>
      <c r="M2592" s="300">
        <v>1.0</v>
      </c>
      <c r="N2592" s="300">
        <v>8.0</v>
      </c>
      <c r="O2592" s="300" t="s">
        <v>903</v>
      </c>
      <c r="P2592" s="300">
        <v>6.0</v>
      </c>
    </row>
    <row r="2593">
      <c r="A2593">
        <f>IFERROR(__xludf.DUMMYFUNCTION("""COMPUTED_VALUE"""),10.0)</f>
        <v>10</v>
      </c>
      <c r="B2593" s="406">
        <f>IFERROR(__xludf.DUMMYFUNCTION("""COMPUTED_VALUE"""),100052.0)</f>
        <v>100052</v>
      </c>
      <c r="C2593" s="406" t="str">
        <f>IFERROR(__xludf.DUMMYFUNCTION("""COMPUTED_VALUE"""),"ECHEVERRI SALAZAR CAMILA")</f>
        <v>ECHEVERRI SALAZAR CAMILA</v>
      </c>
      <c r="D2593" t="str">
        <f>IFERROR(__xludf.DUMMYFUNCTION("""COMPUTED_VALUE"""),"PE 10")</f>
        <v>PE 10</v>
      </c>
      <c r="E2593" s="3">
        <f>IFERROR(__xludf.DUMMYFUNCTION("""COMPUTED_VALUE"""),6.0)</f>
        <v>6</v>
      </c>
      <c r="F2593" s="300">
        <v>1.0</v>
      </c>
      <c r="G2593" s="300">
        <v>1.0</v>
      </c>
      <c r="H2593" s="300">
        <v>1.0</v>
      </c>
      <c r="I2593" s="300">
        <v>1.0</v>
      </c>
      <c r="J2593" s="300">
        <v>1.0</v>
      </c>
      <c r="K2593" s="300">
        <v>1.0</v>
      </c>
      <c r="L2593" s="300">
        <v>1.0</v>
      </c>
      <c r="M2593" s="300">
        <v>1.0</v>
      </c>
      <c r="N2593" s="300">
        <v>8.0</v>
      </c>
      <c r="O2593" s="300" t="s">
        <v>907</v>
      </c>
      <c r="P2593" s="300">
        <v>6.0</v>
      </c>
    </row>
    <row r="2594">
      <c r="A2594">
        <f>IFERROR(__xludf.DUMMYFUNCTION("""COMPUTED_VALUE"""),10.0)</f>
        <v>10</v>
      </c>
      <c r="B2594" s="406">
        <f>IFERROR(__xludf.DUMMYFUNCTION("""COMPUTED_VALUE"""),28180.0)</f>
        <v>28180</v>
      </c>
      <c r="C2594" s="406" t="str">
        <f>IFERROR(__xludf.DUMMYFUNCTION("""COMPUTED_VALUE"""),"VÉLEZ GÓMEZ, MATIAS")</f>
        <v>VÉLEZ GÓMEZ, MATIAS</v>
      </c>
      <c r="D2594" t="str">
        <f>IFERROR(__xludf.DUMMYFUNCTION("""COMPUTED_VALUE"""),"PE 10")</f>
        <v>PE 10</v>
      </c>
      <c r="E2594" s="3">
        <f>IFERROR(__xludf.DUMMYFUNCTION("""COMPUTED_VALUE"""),6.0)</f>
        <v>6</v>
      </c>
      <c r="F2594" s="300">
        <v>1.0</v>
      </c>
      <c r="G2594" s="300">
        <v>1.0</v>
      </c>
      <c r="H2594" s="300">
        <v>1.0</v>
      </c>
      <c r="I2594" s="300">
        <v>1.0</v>
      </c>
      <c r="J2594" s="300">
        <v>1.0</v>
      </c>
      <c r="K2594" s="300">
        <v>1.0</v>
      </c>
      <c r="L2594" s="300">
        <v>1.0</v>
      </c>
      <c r="M2594" s="300">
        <v>1.0</v>
      </c>
      <c r="N2594" s="300">
        <v>8.0</v>
      </c>
      <c r="O2594" s="300" t="s">
        <v>907</v>
      </c>
      <c r="P2594" s="300">
        <v>6.0</v>
      </c>
    </row>
    <row r="2595">
      <c r="A2595">
        <f>IFERROR(__xludf.DUMMYFUNCTION("""COMPUTED_VALUE"""),10.0)</f>
        <v>10</v>
      </c>
      <c r="B2595" s="406">
        <f>IFERROR(__xludf.DUMMYFUNCTION("""COMPUTED_VALUE"""),28141.0)</f>
        <v>28141</v>
      </c>
      <c r="C2595" s="406" t="str">
        <f>IFERROR(__xludf.DUMMYFUNCTION("""COMPUTED_VALUE"""),"GONZALEZ TRABOULSI SOFIA")</f>
        <v>GONZALEZ TRABOULSI SOFIA</v>
      </c>
      <c r="D2595" t="str">
        <f>IFERROR(__xludf.DUMMYFUNCTION("""COMPUTED_VALUE"""),"PE 10")</f>
        <v>PE 10</v>
      </c>
      <c r="E2595" s="3">
        <f>IFERROR(__xludf.DUMMYFUNCTION("""COMPUTED_VALUE"""),7.0)</f>
        <v>7</v>
      </c>
      <c r="F2595" s="300">
        <v>1.0</v>
      </c>
      <c r="G2595" s="300">
        <v>1.0</v>
      </c>
      <c r="H2595" s="300">
        <v>1.0</v>
      </c>
      <c r="I2595" s="300">
        <v>1.0</v>
      </c>
      <c r="J2595" s="300">
        <v>1.0</v>
      </c>
      <c r="K2595" s="300">
        <v>1.0</v>
      </c>
      <c r="L2595" s="300">
        <v>1.0</v>
      </c>
      <c r="M2595" s="300">
        <v>1.0</v>
      </c>
      <c r="N2595" s="300">
        <v>8.0</v>
      </c>
      <c r="O2595" s="300" t="s">
        <v>904</v>
      </c>
      <c r="P2595" s="300">
        <v>6.0</v>
      </c>
    </row>
    <row r="2596">
      <c r="A2596">
        <f>IFERROR(__xludf.DUMMYFUNCTION("""COMPUTED_VALUE"""),10.0)</f>
        <v>10</v>
      </c>
      <c r="B2596" s="406">
        <f>IFERROR(__xludf.DUMMYFUNCTION("""COMPUTED_VALUE"""),12345.0)</f>
        <v>12345</v>
      </c>
      <c r="C2596" s="406" t="str">
        <f>IFERROR(__xludf.DUMMYFUNCTION("""COMPUTED_VALUE"""),"TRIVELIN JUAN IGNACIO")</f>
        <v>TRIVELIN JUAN IGNACIO</v>
      </c>
      <c r="D2596" t="str">
        <f>IFERROR(__xludf.DUMMYFUNCTION("""COMPUTED_VALUE"""),"PE 10")</f>
        <v>PE 10</v>
      </c>
      <c r="E2596" s="3">
        <f>IFERROR(__xludf.DUMMYFUNCTION("""COMPUTED_VALUE"""),4.0)</f>
        <v>4</v>
      </c>
      <c r="F2596" s="300">
        <v>1.0</v>
      </c>
      <c r="G2596" s="300">
        <v>1.0</v>
      </c>
      <c r="H2596" s="300">
        <v>1.0</v>
      </c>
      <c r="I2596" s="300">
        <v>1.0</v>
      </c>
      <c r="J2596" s="300">
        <v>1.0</v>
      </c>
      <c r="K2596" s="300">
        <v>1.0</v>
      </c>
      <c r="L2596" s="300">
        <v>1.0</v>
      </c>
      <c r="M2596" s="300">
        <v>1.0</v>
      </c>
      <c r="N2596" s="300">
        <v>8.0</v>
      </c>
      <c r="O2596" s="300" t="s">
        <v>906</v>
      </c>
      <c r="P2596" s="300">
        <v>6.0</v>
      </c>
    </row>
    <row r="2597">
      <c r="A2597">
        <f>IFERROR(__xludf.DUMMYFUNCTION("""COMPUTED_VALUE"""),11.0)</f>
        <v>11</v>
      </c>
      <c r="B2597" s="406">
        <f>IFERROR(__xludf.DUMMYFUNCTION("""COMPUTED_VALUE"""),27169.0)</f>
        <v>27169</v>
      </c>
      <c r="C2597" s="406" t="str">
        <f>IFERROR(__xludf.DUMMYFUNCTION("""COMPUTED_VALUE"""),"RAMOS RODRIGUEZ, ELENA")</f>
        <v>RAMOS RODRIGUEZ, ELENA</v>
      </c>
      <c r="D2597" t="str">
        <f>IFERROR(__xludf.DUMMYFUNCTION("""COMPUTED_VALUE"""),"PE 11")</f>
        <v>PE 11</v>
      </c>
      <c r="E2597" s="3">
        <f>IFERROR(__xludf.DUMMYFUNCTION("""COMPUTED_VALUE"""),3.0)</f>
        <v>3</v>
      </c>
      <c r="F2597" s="300">
        <v>1.0</v>
      </c>
      <c r="G2597" s="300">
        <v>1.0</v>
      </c>
      <c r="H2597" s="300">
        <v>1.0</v>
      </c>
      <c r="I2597" s="300">
        <v>1.0</v>
      </c>
      <c r="J2597" s="300">
        <v>1.0</v>
      </c>
      <c r="K2597" s="300">
        <v>1.0</v>
      </c>
      <c r="L2597" s="300">
        <v>1.0</v>
      </c>
      <c r="M2597" s="300">
        <v>1.0</v>
      </c>
      <c r="N2597" s="300">
        <v>8.0</v>
      </c>
      <c r="O2597" s="300" t="s">
        <v>909</v>
      </c>
      <c r="P2597" s="300">
        <v>6.0</v>
      </c>
    </row>
    <row r="2598">
      <c r="A2598">
        <f>IFERROR(__xludf.DUMMYFUNCTION("""COMPUTED_VALUE"""),9.0)</f>
        <v>9</v>
      </c>
      <c r="B2598" s="406">
        <f>IFERROR(__xludf.DUMMYFUNCTION("""COMPUTED_VALUE"""),29070.0)</f>
        <v>29070</v>
      </c>
      <c r="C2598" t="str">
        <f>IFERROR(__xludf.DUMMYFUNCTION("""COMPUTED_VALUE"""),"MANRIQUE CUESTA, ISABELLA")</f>
        <v>MANRIQUE CUESTA, ISABELLA</v>
      </c>
      <c r="D2598" t="str">
        <f>IFERROR(__xludf.DUMMYFUNCTION("""COMPUTED_VALUE"""),"Social Studies 9")</f>
        <v>Social Studies 9</v>
      </c>
      <c r="E2598" s="3">
        <f>IFERROR(__xludf.DUMMYFUNCTION("""COMPUTED_VALUE"""),2.0)</f>
        <v>2</v>
      </c>
      <c r="F2598" s="300">
        <v>1.0</v>
      </c>
      <c r="G2598" s="300">
        <v>1.0</v>
      </c>
      <c r="H2598" s="300">
        <v>1.0</v>
      </c>
      <c r="I2598" s="300">
        <v>1.0</v>
      </c>
      <c r="J2598" s="300">
        <v>1.0</v>
      </c>
      <c r="K2598" s="300">
        <v>1.0</v>
      </c>
      <c r="L2598" s="300">
        <v>1.0</v>
      </c>
      <c r="M2598" s="300">
        <v>1.0</v>
      </c>
      <c r="N2598" s="300">
        <v>8.0</v>
      </c>
      <c r="O2598" s="300" t="s">
        <v>920</v>
      </c>
      <c r="P2598" s="300">
        <v>6.0</v>
      </c>
    </row>
    <row r="2599">
      <c r="A2599">
        <f>IFERROR(__xludf.DUMMYFUNCTION("""COMPUTED_VALUE"""),9.0)</f>
        <v>9</v>
      </c>
      <c r="B2599" s="406">
        <f>IFERROR(__xludf.DUMMYFUNCTION("""COMPUTED_VALUE"""),29075.0)</f>
        <v>29075</v>
      </c>
      <c r="C2599" t="str">
        <f>IFERROR(__xludf.DUMMYFUNCTION("""COMPUTED_VALUE"""),"MEJIA BUSTAMANTE, ANTONIA")</f>
        <v>MEJIA BUSTAMANTE, ANTONIA</v>
      </c>
      <c r="D2599" t="str">
        <f>IFERROR(__xludf.DUMMYFUNCTION("""COMPUTED_VALUE"""),"Social Studies 9")</f>
        <v>Social Studies 9</v>
      </c>
      <c r="E2599" s="3">
        <f>IFERROR(__xludf.DUMMYFUNCTION("""COMPUTED_VALUE"""),2.0)</f>
        <v>2</v>
      </c>
      <c r="F2599" s="300">
        <v>1.0</v>
      </c>
      <c r="G2599" s="300">
        <v>1.0</v>
      </c>
      <c r="H2599" s="300">
        <v>1.0</v>
      </c>
      <c r="I2599" s="300">
        <v>1.0</v>
      </c>
      <c r="J2599" s="300">
        <v>1.0</v>
      </c>
      <c r="K2599" s="300">
        <v>1.0</v>
      </c>
      <c r="L2599" s="300">
        <v>1.0</v>
      </c>
      <c r="M2599" s="300">
        <v>1.0</v>
      </c>
      <c r="N2599" s="300">
        <v>8.0</v>
      </c>
      <c r="O2599" s="300" t="s">
        <v>920</v>
      </c>
      <c r="P2599" s="300">
        <v>6.0</v>
      </c>
    </row>
    <row r="2600">
      <c r="A2600">
        <f>IFERROR(__xludf.DUMMYFUNCTION("""COMPUTED_VALUE"""),9.0)</f>
        <v>9</v>
      </c>
      <c r="B2600" s="406">
        <f>IFERROR(__xludf.DUMMYFUNCTION("""COMPUTED_VALUE"""),29149.0)</f>
        <v>29149</v>
      </c>
      <c r="C2600" t="str">
        <f>IFERROR(__xludf.DUMMYFUNCTION("""COMPUTED_VALUE"""),"SALEMME GUTIERREZ, AMALIA")</f>
        <v>SALEMME GUTIERREZ, AMALIA</v>
      </c>
      <c r="D2600" t="str">
        <f>IFERROR(__xludf.DUMMYFUNCTION("""COMPUTED_VALUE"""),"Social Studies 9")</f>
        <v>Social Studies 9</v>
      </c>
      <c r="E2600" s="3">
        <f>IFERROR(__xludf.DUMMYFUNCTION("""COMPUTED_VALUE"""),4.0)</f>
        <v>4</v>
      </c>
      <c r="F2600" s="300">
        <v>1.0</v>
      </c>
      <c r="G2600" s="300">
        <v>1.0</v>
      </c>
      <c r="H2600" s="300">
        <v>1.0</v>
      </c>
      <c r="I2600" s="300">
        <v>1.0</v>
      </c>
      <c r="J2600" s="300">
        <v>1.0</v>
      </c>
      <c r="K2600" s="300">
        <v>1.0</v>
      </c>
      <c r="L2600" s="300">
        <v>1.0</v>
      </c>
      <c r="M2600" s="300">
        <v>1.0</v>
      </c>
      <c r="N2600" s="300">
        <v>8.0</v>
      </c>
      <c r="O2600" s="300" t="s">
        <v>921</v>
      </c>
      <c r="P2600" s="300">
        <v>6.0</v>
      </c>
    </row>
    <row r="2601">
      <c r="A2601">
        <f>IFERROR(__xludf.DUMMYFUNCTION("""COMPUTED_VALUE"""),9.0)</f>
        <v>9</v>
      </c>
      <c r="B2601" s="406">
        <f>IFERROR(__xludf.DUMMYFUNCTION("""COMPUTED_VALUE"""),29113.0)</f>
        <v>29113</v>
      </c>
      <c r="C2601" t="str">
        <f>IFERROR(__xludf.DUMMYFUNCTION("""COMPUTED_VALUE"""),"THIRIEZ VILLA, EMMA")</f>
        <v>THIRIEZ VILLA, EMMA</v>
      </c>
      <c r="D2601" t="str">
        <f>IFERROR(__xludf.DUMMYFUNCTION("""COMPUTED_VALUE"""),"Social Studies 9")</f>
        <v>Social Studies 9</v>
      </c>
      <c r="E2601" s="3">
        <f>IFERROR(__xludf.DUMMYFUNCTION("""COMPUTED_VALUE"""),8.0)</f>
        <v>8</v>
      </c>
      <c r="F2601" s="300">
        <v>1.0</v>
      </c>
      <c r="G2601" s="300">
        <v>1.0</v>
      </c>
      <c r="H2601" s="300">
        <v>1.0</v>
      </c>
      <c r="I2601" s="300">
        <v>1.0</v>
      </c>
      <c r="J2601" s="300">
        <v>1.0</v>
      </c>
      <c r="K2601" s="300">
        <v>1.0</v>
      </c>
      <c r="L2601" s="300">
        <v>1.0</v>
      </c>
      <c r="M2601" s="300">
        <v>1.0</v>
      </c>
      <c r="N2601" s="300">
        <v>8.0</v>
      </c>
      <c r="O2601" s="300" t="s">
        <v>922</v>
      </c>
      <c r="P2601" s="300">
        <v>6.0</v>
      </c>
    </row>
    <row r="2602">
      <c r="A2602">
        <f>IFERROR(__xludf.DUMMYFUNCTION("""COMPUTED_VALUE"""),9.0)</f>
        <v>9</v>
      </c>
      <c r="B2602" s="406">
        <f>IFERROR(__xludf.DUMMYFUNCTION("""COMPUTED_VALUE"""),29131.0)</f>
        <v>29131</v>
      </c>
      <c r="C2602" t="str">
        <f>IFERROR(__xludf.DUMMYFUNCTION("""COMPUTED_VALUE"""),"VILLEGAS HINCAPIE, CANDELARIA")</f>
        <v>VILLEGAS HINCAPIE, CANDELARIA</v>
      </c>
      <c r="D2602" t="str">
        <f>IFERROR(__xludf.DUMMYFUNCTION("""COMPUTED_VALUE"""),"Social Studies 9")</f>
        <v>Social Studies 9</v>
      </c>
      <c r="E2602" s="3">
        <f>IFERROR(__xludf.DUMMYFUNCTION("""COMPUTED_VALUE"""),2.0)</f>
        <v>2</v>
      </c>
      <c r="F2602" s="300">
        <v>1.0</v>
      </c>
      <c r="G2602" s="300">
        <v>1.0</v>
      </c>
      <c r="H2602" s="300">
        <v>1.0</v>
      </c>
      <c r="I2602" s="300">
        <v>1.0</v>
      </c>
      <c r="J2602" s="300">
        <v>1.0</v>
      </c>
      <c r="K2602" s="300">
        <v>1.0</v>
      </c>
      <c r="L2602" s="300">
        <v>1.0</v>
      </c>
      <c r="M2602" s="300">
        <v>1.0</v>
      </c>
      <c r="N2602" s="300">
        <v>8.0</v>
      </c>
      <c r="O2602" s="300" t="s">
        <v>920</v>
      </c>
      <c r="P2602" s="300">
        <v>6.0</v>
      </c>
    </row>
    <row r="2603">
      <c r="A2603">
        <f>IFERROR(__xludf.DUMMYFUNCTION("""COMPUTED_VALUE"""),9.0)</f>
        <v>9</v>
      </c>
      <c r="B2603" s="406">
        <f>IFERROR(__xludf.DUMMYFUNCTION("""COMPUTED_VALUE"""),29077.0)</f>
        <v>29077</v>
      </c>
      <c r="C2603" t="str">
        <f>IFERROR(__xludf.DUMMYFUNCTION("""COMPUTED_VALUE"""),"MEJIA VILLEGAS, CANDELARIA")</f>
        <v>MEJIA VILLEGAS, CANDELARIA</v>
      </c>
      <c r="D2603" t="str">
        <f>IFERROR(__xludf.DUMMYFUNCTION("""COMPUTED_VALUE"""),"Social Studies 9")</f>
        <v>Social Studies 9</v>
      </c>
      <c r="E2603" s="3">
        <f>IFERROR(__xludf.DUMMYFUNCTION("""COMPUTED_VALUE"""),4.0)</f>
        <v>4</v>
      </c>
      <c r="F2603" s="300">
        <v>1.0</v>
      </c>
      <c r="G2603" s="300">
        <v>1.0</v>
      </c>
      <c r="H2603" s="300">
        <v>1.0</v>
      </c>
      <c r="I2603" s="300">
        <v>1.0</v>
      </c>
      <c r="J2603" s="300">
        <v>1.0</v>
      </c>
      <c r="K2603" s="300">
        <v>1.0</v>
      </c>
      <c r="L2603" s="300">
        <v>1.0</v>
      </c>
      <c r="M2603" s="300">
        <v>1.0</v>
      </c>
      <c r="N2603" s="300">
        <v>8.0</v>
      </c>
      <c r="O2603" s="300" t="s">
        <v>921</v>
      </c>
      <c r="P2603" s="300">
        <v>6.0</v>
      </c>
    </row>
    <row r="2604">
      <c r="A2604">
        <f>IFERROR(__xludf.DUMMYFUNCTION("""COMPUTED_VALUE"""),9.0)</f>
        <v>9</v>
      </c>
      <c r="B2604" s="406">
        <f>IFERROR(__xludf.DUMMYFUNCTION("""COMPUTED_VALUE"""),28006.0)</f>
        <v>28006</v>
      </c>
      <c r="C2604" t="str">
        <f>IFERROR(__xludf.DUMMYFUNCTION("""COMPUTED_VALUE"""),"ARISTIZABAL ECHAVARRIA, CRISTOBAL")</f>
        <v>ARISTIZABAL ECHAVARRIA, CRISTOBAL</v>
      </c>
      <c r="D2604" t="str">
        <f>IFERROR(__xludf.DUMMYFUNCTION("""COMPUTED_VALUE"""),"Social Studies 9")</f>
        <v>Social Studies 9</v>
      </c>
      <c r="E2604" s="3">
        <f>IFERROR(__xludf.DUMMYFUNCTION("""COMPUTED_VALUE"""),8.0)</f>
        <v>8</v>
      </c>
      <c r="F2604" s="300">
        <v>1.0</v>
      </c>
      <c r="G2604" s="300">
        <v>1.0</v>
      </c>
      <c r="H2604" s="300">
        <v>1.0</v>
      </c>
      <c r="I2604" s="300">
        <v>1.0</v>
      </c>
      <c r="J2604" s="300">
        <v>1.0</v>
      </c>
      <c r="K2604" s="300">
        <v>1.0</v>
      </c>
      <c r="L2604" s="300">
        <v>1.0</v>
      </c>
      <c r="M2604" s="300">
        <v>1.0</v>
      </c>
      <c r="N2604" s="300">
        <v>8.0</v>
      </c>
      <c r="O2604" s="300" t="s">
        <v>922</v>
      </c>
      <c r="P2604" s="300">
        <v>6.0</v>
      </c>
    </row>
    <row r="2605">
      <c r="A2605">
        <f>IFERROR(__xludf.DUMMYFUNCTION("""COMPUTED_VALUE"""),9.0)</f>
        <v>9</v>
      </c>
      <c r="B2605" s="406">
        <f>IFERROR(__xludf.DUMMYFUNCTION("""COMPUTED_VALUE"""),29089.0)</f>
        <v>29089</v>
      </c>
      <c r="C2605" t="str">
        <f>IFERROR(__xludf.DUMMYFUNCTION("""COMPUTED_VALUE"""),"PEREZ BEDOYA, ELENA")</f>
        <v>PEREZ BEDOYA, ELENA</v>
      </c>
      <c r="D2605" t="str">
        <f>IFERROR(__xludf.DUMMYFUNCTION("""COMPUTED_VALUE"""),"Social Studies 9")</f>
        <v>Social Studies 9</v>
      </c>
      <c r="E2605" s="3">
        <f>IFERROR(__xludf.DUMMYFUNCTION("""COMPUTED_VALUE"""),8.0)</f>
        <v>8</v>
      </c>
      <c r="F2605" s="300">
        <v>1.0</v>
      </c>
      <c r="G2605" s="300">
        <v>1.0</v>
      </c>
      <c r="H2605" s="300">
        <v>1.0</v>
      </c>
      <c r="I2605" s="300">
        <v>1.0</v>
      </c>
      <c r="J2605" s="300">
        <v>1.0</v>
      </c>
      <c r="K2605" s="300">
        <v>1.0</v>
      </c>
      <c r="L2605" s="300">
        <v>1.0</v>
      </c>
      <c r="M2605" s="300">
        <v>1.0</v>
      </c>
      <c r="N2605" s="300">
        <v>8.0</v>
      </c>
      <c r="O2605" s="300" t="s">
        <v>922</v>
      </c>
      <c r="P2605" s="300">
        <v>6.0</v>
      </c>
    </row>
    <row r="2606">
      <c r="A2606">
        <f>IFERROR(__xludf.DUMMYFUNCTION("""COMPUTED_VALUE"""),9.0)</f>
        <v>9</v>
      </c>
      <c r="B2606" s="406">
        <f>IFERROR(__xludf.DUMMYFUNCTION("""COMPUTED_VALUE"""),29048.0)</f>
        <v>29048</v>
      </c>
      <c r="C2606" t="str">
        <f>IFERROR(__xludf.DUMMYFUNCTION("""COMPUTED_VALUE"""),"HENAO RESTREPO, ANTONIA")</f>
        <v>HENAO RESTREPO, ANTONIA</v>
      </c>
      <c r="D2606" t="str">
        <f>IFERROR(__xludf.DUMMYFUNCTION("""COMPUTED_VALUE"""),"Social Studies 9")</f>
        <v>Social Studies 9</v>
      </c>
      <c r="E2606" s="3">
        <f>IFERROR(__xludf.DUMMYFUNCTION("""COMPUTED_VALUE"""),5.0)</f>
        <v>5</v>
      </c>
      <c r="F2606" s="300">
        <v>1.0</v>
      </c>
      <c r="G2606" s="300">
        <v>1.0</v>
      </c>
      <c r="H2606" s="300">
        <v>1.0</v>
      </c>
      <c r="I2606" s="300">
        <v>1.0</v>
      </c>
      <c r="J2606" s="300">
        <v>1.0</v>
      </c>
      <c r="K2606" s="300">
        <v>1.0</v>
      </c>
      <c r="L2606" s="300">
        <v>1.0</v>
      </c>
      <c r="M2606" s="300">
        <v>1.0</v>
      </c>
      <c r="N2606" s="300">
        <v>8.0</v>
      </c>
      <c r="O2606" s="300" t="s">
        <v>923</v>
      </c>
      <c r="P2606" s="300">
        <v>6.0</v>
      </c>
    </row>
    <row r="2607">
      <c r="A2607">
        <f>IFERROR(__xludf.DUMMYFUNCTION("""COMPUTED_VALUE"""),9.0)</f>
        <v>9</v>
      </c>
      <c r="B2607" s="406">
        <f>IFERROR(__xludf.DUMMYFUNCTION("""COMPUTED_VALUE"""),29019.0)</f>
        <v>29019</v>
      </c>
      <c r="C2607" t="str">
        <f>IFERROR(__xludf.DUMMYFUNCTION("""COMPUTED_VALUE"""),"BARRIENTOS ALVAREZ, ELISA")</f>
        <v>BARRIENTOS ALVAREZ, ELISA</v>
      </c>
      <c r="D2607" t="str">
        <f>IFERROR(__xludf.DUMMYFUNCTION("""COMPUTED_VALUE"""),"Social Studies 9")</f>
        <v>Social Studies 9</v>
      </c>
      <c r="E2607" s="3">
        <f>IFERROR(__xludf.DUMMYFUNCTION("""COMPUTED_VALUE"""),2.0)</f>
        <v>2</v>
      </c>
      <c r="F2607" s="300">
        <v>1.0</v>
      </c>
      <c r="G2607" s="300">
        <v>1.0</v>
      </c>
      <c r="H2607" s="300">
        <v>1.0</v>
      </c>
      <c r="I2607" s="300">
        <v>1.0</v>
      </c>
      <c r="J2607" s="300">
        <v>1.0</v>
      </c>
      <c r="K2607" s="300">
        <v>1.0</v>
      </c>
      <c r="L2607" s="300">
        <v>1.0</v>
      </c>
      <c r="M2607" s="300">
        <v>1.0</v>
      </c>
      <c r="N2607" s="300">
        <v>8.0</v>
      </c>
      <c r="O2607" s="300" t="s">
        <v>920</v>
      </c>
      <c r="P2607" s="300">
        <v>6.0</v>
      </c>
    </row>
    <row r="2608">
      <c r="A2608">
        <f>IFERROR(__xludf.DUMMYFUNCTION("""COMPUTED_VALUE"""),9.0)</f>
        <v>9</v>
      </c>
      <c r="B2608" s="406">
        <f>IFERROR(__xludf.DUMMYFUNCTION("""COMPUTED_VALUE"""),29079.0)</f>
        <v>29079</v>
      </c>
      <c r="C2608" t="str">
        <f>IFERROR(__xludf.DUMMYFUNCTION("""COMPUTED_VALUE"""),"MISAS MESA, ALICIA")</f>
        <v>MISAS MESA, ALICIA</v>
      </c>
      <c r="D2608" t="str">
        <f>IFERROR(__xludf.DUMMYFUNCTION("""COMPUTED_VALUE"""),"Social Studies 9")</f>
        <v>Social Studies 9</v>
      </c>
      <c r="E2608" s="3">
        <f>IFERROR(__xludf.DUMMYFUNCTION("""COMPUTED_VALUE"""),2.0)</f>
        <v>2</v>
      </c>
      <c r="F2608" s="300">
        <v>1.0</v>
      </c>
      <c r="G2608" s="300">
        <v>1.0</v>
      </c>
      <c r="H2608" s="300">
        <v>1.0</v>
      </c>
      <c r="I2608" s="300">
        <v>1.0</v>
      </c>
      <c r="J2608" s="300">
        <v>1.0</v>
      </c>
      <c r="K2608" s="300">
        <v>1.0</v>
      </c>
      <c r="L2608" s="300">
        <v>1.0</v>
      </c>
      <c r="M2608" s="300">
        <v>1.0</v>
      </c>
      <c r="N2608" s="300">
        <v>8.0</v>
      </c>
      <c r="O2608" s="300" t="s">
        <v>920</v>
      </c>
      <c r="P2608" s="300">
        <v>6.0</v>
      </c>
    </row>
    <row r="2609">
      <c r="A2609">
        <f>IFERROR(__xludf.DUMMYFUNCTION("""COMPUTED_VALUE"""),9.0)</f>
        <v>9</v>
      </c>
      <c r="B2609" s="406">
        <f>IFERROR(__xludf.DUMMYFUNCTION("""COMPUTED_VALUE"""),29010.0)</f>
        <v>29010</v>
      </c>
      <c r="C2609" t="str">
        <f>IFERROR(__xludf.DUMMYFUNCTION("""COMPUTED_VALUE"""),"ARANGO NAVARRO, MANUELA")</f>
        <v>ARANGO NAVARRO, MANUELA</v>
      </c>
      <c r="D2609" t="str">
        <f>IFERROR(__xludf.DUMMYFUNCTION("""COMPUTED_VALUE"""),"Social Studies 9")</f>
        <v>Social Studies 9</v>
      </c>
      <c r="E2609" s="3">
        <f>IFERROR(__xludf.DUMMYFUNCTION("""COMPUTED_VALUE"""),4.0)</f>
        <v>4</v>
      </c>
      <c r="F2609" s="300">
        <v>1.0</v>
      </c>
      <c r="G2609" s="300">
        <v>1.0</v>
      </c>
      <c r="H2609" s="300">
        <v>1.0</v>
      </c>
      <c r="I2609" s="300">
        <v>1.0</v>
      </c>
      <c r="J2609" s="300">
        <v>1.0</v>
      </c>
      <c r="K2609" s="300">
        <v>1.0</v>
      </c>
      <c r="L2609" s="300">
        <v>1.0</v>
      </c>
      <c r="M2609" s="300">
        <v>1.0</v>
      </c>
      <c r="N2609" s="300">
        <v>8.0</v>
      </c>
      <c r="O2609" s="300" t="s">
        <v>921</v>
      </c>
      <c r="P2609" s="300">
        <v>6.0</v>
      </c>
    </row>
    <row r="2610">
      <c r="A2610">
        <f>IFERROR(__xludf.DUMMYFUNCTION("""COMPUTED_VALUE"""),9.0)</f>
        <v>9</v>
      </c>
      <c r="B2610" s="406">
        <f>IFERROR(__xludf.DUMMYFUNCTION("""COMPUTED_VALUE"""),29074.0)</f>
        <v>29074</v>
      </c>
      <c r="C2610" t="str">
        <f>IFERROR(__xludf.DUMMYFUNCTION("""COMPUTED_VALUE"""),"MEDINA JARAMILLO, ALICIA")</f>
        <v>MEDINA JARAMILLO, ALICIA</v>
      </c>
      <c r="D2610" t="str">
        <f>IFERROR(__xludf.DUMMYFUNCTION("""COMPUTED_VALUE"""),"Social Studies 9")</f>
        <v>Social Studies 9</v>
      </c>
      <c r="E2610" s="3">
        <f>IFERROR(__xludf.DUMMYFUNCTION("""COMPUTED_VALUE"""),3.0)</f>
        <v>3</v>
      </c>
      <c r="F2610" s="300">
        <v>1.0</v>
      </c>
      <c r="G2610" s="300">
        <v>1.0</v>
      </c>
      <c r="H2610" s="300">
        <v>1.0</v>
      </c>
      <c r="I2610" s="300">
        <v>1.0</v>
      </c>
      <c r="J2610" s="300">
        <v>1.0</v>
      </c>
      <c r="K2610" s="300">
        <v>1.0</v>
      </c>
      <c r="L2610" s="300">
        <v>1.0</v>
      </c>
      <c r="M2610" s="300">
        <v>1.0</v>
      </c>
      <c r="N2610" s="300">
        <v>8.0</v>
      </c>
      <c r="O2610" s="300" t="s">
        <v>924</v>
      </c>
      <c r="P2610" s="300">
        <v>6.0</v>
      </c>
    </row>
    <row r="2611">
      <c r="A2611">
        <f>IFERROR(__xludf.DUMMYFUNCTION("""COMPUTED_VALUE"""),9.0)</f>
        <v>9</v>
      </c>
      <c r="B2611" s="406">
        <f>IFERROR(__xludf.DUMMYFUNCTION("""COMPUTED_VALUE"""),29001.0)</f>
        <v>29001</v>
      </c>
      <c r="C2611" t="str">
        <f>IFERROR(__xludf.DUMMYFUNCTION("""COMPUTED_VALUE"""),"ACEVEDO ARANGO, ROSARIO")</f>
        <v>ACEVEDO ARANGO, ROSARIO</v>
      </c>
      <c r="D2611" t="str">
        <f>IFERROR(__xludf.DUMMYFUNCTION("""COMPUTED_VALUE"""),"Social Studies 9")</f>
        <v>Social Studies 9</v>
      </c>
      <c r="E2611" s="3">
        <f>IFERROR(__xludf.DUMMYFUNCTION("""COMPUTED_VALUE"""),4.0)</f>
        <v>4</v>
      </c>
      <c r="F2611" s="300">
        <v>1.0</v>
      </c>
      <c r="G2611" s="300">
        <v>1.0</v>
      </c>
      <c r="H2611" s="300">
        <v>1.0</v>
      </c>
      <c r="I2611" s="300">
        <v>1.0</v>
      </c>
      <c r="J2611" s="300">
        <v>1.0</v>
      </c>
      <c r="K2611" s="300">
        <v>1.0</v>
      </c>
      <c r="L2611" s="300">
        <v>1.0</v>
      </c>
      <c r="M2611" s="300">
        <v>1.0</v>
      </c>
      <c r="N2611" s="300">
        <v>8.0</v>
      </c>
      <c r="O2611" s="300" t="s">
        <v>921</v>
      </c>
      <c r="P2611" s="300">
        <v>6.0</v>
      </c>
    </row>
    <row r="2612">
      <c r="A2612">
        <f>IFERROR(__xludf.DUMMYFUNCTION("""COMPUTED_VALUE"""),9.0)</f>
        <v>9</v>
      </c>
      <c r="B2612" s="406">
        <f>IFERROR(__xludf.DUMMYFUNCTION("""COMPUTED_VALUE"""),29043.0)</f>
        <v>29043</v>
      </c>
      <c r="C2612" t="str">
        <f>IFERROR(__xludf.DUMMYFUNCTION("""COMPUTED_VALUE"""),"GOMEZ PASCHKE, VALERIA")</f>
        <v>GOMEZ PASCHKE, VALERIA</v>
      </c>
      <c r="D2612" t="str">
        <f>IFERROR(__xludf.DUMMYFUNCTION("""COMPUTED_VALUE"""),"Social Studies 9")</f>
        <v>Social Studies 9</v>
      </c>
      <c r="E2612" s="3">
        <f>IFERROR(__xludf.DUMMYFUNCTION("""COMPUTED_VALUE"""),7.0)</f>
        <v>7</v>
      </c>
      <c r="F2612" s="300">
        <v>1.0</v>
      </c>
      <c r="G2612" s="300">
        <v>1.0</v>
      </c>
      <c r="H2612" s="300">
        <v>1.0</v>
      </c>
      <c r="I2612" s="300">
        <v>1.0</v>
      </c>
      <c r="J2612" s="300">
        <v>1.0</v>
      </c>
      <c r="K2612" s="300">
        <v>1.0</v>
      </c>
      <c r="L2612" s="300">
        <v>1.0</v>
      </c>
      <c r="M2612" s="300">
        <v>1.0</v>
      </c>
      <c r="N2612" s="300">
        <v>8.0</v>
      </c>
      <c r="O2612" s="300" t="s">
        <v>925</v>
      </c>
      <c r="P2612" s="300">
        <v>6.0</v>
      </c>
    </row>
    <row r="2613">
      <c r="A2613">
        <f>IFERROR(__xludf.DUMMYFUNCTION("""COMPUTED_VALUE"""),9.0)</f>
        <v>9</v>
      </c>
      <c r="B2613" s="406">
        <f>IFERROR(__xludf.DUMMYFUNCTION("""COMPUTED_VALUE"""),29114.0)</f>
        <v>29114</v>
      </c>
      <c r="C2613" t="str">
        <f>IFERROR(__xludf.DUMMYFUNCTION("""COMPUTED_VALUE"""),"THIRIEZ VILLA, MARIA")</f>
        <v>THIRIEZ VILLA, MARIA</v>
      </c>
      <c r="D2613" t="str">
        <f>IFERROR(__xludf.DUMMYFUNCTION("""COMPUTED_VALUE"""),"Social Studies 9")</f>
        <v>Social Studies 9</v>
      </c>
      <c r="E2613" s="3">
        <f>IFERROR(__xludf.DUMMYFUNCTION("""COMPUTED_VALUE"""),4.0)</f>
        <v>4</v>
      </c>
      <c r="F2613" s="300">
        <v>1.0</v>
      </c>
      <c r="G2613" s="300">
        <v>1.0</v>
      </c>
      <c r="H2613" s="300">
        <v>1.0</v>
      </c>
      <c r="I2613" s="300">
        <v>1.0</v>
      </c>
      <c r="J2613" s="300">
        <v>1.0</v>
      </c>
      <c r="K2613" s="300">
        <v>1.0</v>
      </c>
      <c r="L2613" s="300">
        <v>1.0</v>
      </c>
      <c r="M2613" s="300">
        <v>1.0</v>
      </c>
      <c r="N2613" s="300">
        <v>8.0</v>
      </c>
      <c r="O2613" s="300" t="s">
        <v>921</v>
      </c>
      <c r="P2613" s="300">
        <v>6.0</v>
      </c>
    </row>
    <row r="2614">
      <c r="A2614">
        <f>IFERROR(__xludf.DUMMYFUNCTION("""COMPUTED_VALUE"""),9.0)</f>
        <v>9</v>
      </c>
      <c r="B2614" s="406">
        <f>IFERROR(__xludf.DUMMYFUNCTION("""COMPUTED_VALUE"""),29091.0)</f>
        <v>29091</v>
      </c>
      <c r="C2614" t="str">
        <f>IFERROR(__xludf.DUMMYFUNCTION("""COMPUTED_VALUE"""),"PLATA BOLAÑOS, CAMILA")</f>
        <v>PLATA BOLAÑOS, CAMILA</v>
      </c>
      <c r="D2614" t="str">
        <f>IFERROR(__xludf.DUMMYFUNCTION("""COMPUTED_VALUE"""),"Social Studies 9")</f>
        <v>Social Studies 9</v>
      </c>
      <c r="E2614" s="3">
        <f>IFERROR(__xludf.DUMMYFUNCTION("""COMPUTED_VALUE"""),5.0)</f>
        <v>5</v>
      </c>
      <c r="F2614" s="300">
        <v>1.0</v>
      </c>
      <c r="G2614" s="300">
        <v>1.0</v>
      </c>
      <c r="H2614" s="300">
        <v>1.0</v>
      </c>
      <c r="I2614" s="300">
        <v>1.0</v>
      </c>
      <c r="J2614" s="300">
        <v>1.0</v>
      </c>
      <c r="K2614" s="300">
        <v>1.0</v>
      </c>
      <c r="L2614" s="300">
        <v>1.0</v>
      </c>
      <c r="M2614" s="300">
        <v>1.0</v>
      </c>
      <c r="N2614" s="300">
        <v>8.0</v>
      </c>
      <c r="O2614" s="300" t="s">
        <v>923</v>
      </c>
      <c r="P2614" s="300">
        <v>6.0</v>
      </c>
    </row>
    <row r="2615">
      <c r="A2615">
        <f>IFERROR(__xludf.DUMMYFUNCTION("""COMPUTED_VALUE"""),9.0)</f>
        <v>9</v>
      </c>
      <c r="B2615" s="406">
        <f>IFERROR(__xludf.DUMMYFUNCTION("""COMPUTED_VALUE"""),29034.0)</f>
        <v>29034</v>
      </c>
      <c r="C2615" t="str">
        <f>IFERROR(__xludf.DUMMYFUNCTION("""COMPUTED_VALUE"""),"DUQUE BONNETT, ELISA")</f>
        <v>DUQUE BONNETT, ELISA</v>
      </c>
      <c r="D2615" t="str">
        <f>IFERROR(__xludf.DUMMYFUNCTION("""COMPUTED_VALUE"""),"Social Studies 9")</f>
        <v>Social Studies 9</v>
      </c>
      <c r="E2615" s="3">
        <f>IFERROR(__xludf.DUMMYFUNCTION("""COMPUTED_VALUE"""),8.0)</f>
        <v>8</v>
      </c>
      <c r="F2615" s="300">
        <v>1.0</v>
      </c>
      <c r="G2615" s="300">
        <v>1.0</v>
      </c>
      <c r="H2615" s="300">
        <v>1.0</v>
      </c>
      <c r="I2615" s="300">
        <v>1.0</v>
      </c>
      <c r="J2615" s="300">
        <v>1.0</v>
      </c>
      <c r="K2615" s="300">
        <v>1.0</v>
      </c>
      <c r="L2615" s="300">
        <v>1.0</v>
      </c>
      <c r="M2615" s="300">
        <v>1.0</v>
      </c>
      <c r="N2615" s="300">
        <v>8.0</v>
      </c>
      <c r="O2615" s="300" t="s">
        <v>922</v>
      </c>
      <c r="P2615" s="300">
        <v>6.0</v>
      </c>
    </row>
    <row r="2616">
      <c r="A2616">
        <f>IFERROR(__xludf.DUMMYFUNCTION("""COMPUTED_VALUE"""),9.0)</f>
        <v>9</v>
      </c>
      <c r="B2616" s="406">
        <f>IFERROR(__xludf.DUMMYFUNCTION("""COMPUTED_VALUE"""),29080.0)</f>
        <v>29080</v>
      </c>
      <c r="C2616" t="str">
        <f>IFERROR(__xludf.DUMMYFUNCTION("""COMPUTED_VALUE"""),"MONTES LOPEZ, MANUELA")</f>
        <v>MONTES LOPEZ, MANUELA</v>
      </c>
      <c r="D2616" t="str">
        <f>IFERROR(__xludf.DUMMYFUNCTION("""COMPUTED_VALUE"""),"Social Studies 9")</f>
        <v>Social Studies 9</v>
      </c>
      <c r="E2616" s="3">
        <f>IFERROR(__xludf.DUMMYFUNCTION("""COMPUTED_VALUE"""),2.0)</f>
        <v>2</v>
      </c>
      <c r="F2616" s="300">
        <v>1.0</v>
      </c>
      <c r="G2616" s="300">
        <v>1.0</v>
      </c>
      <c r="H2616" s="300">
        <v>1.0</v>
      </c>
      <c r="I2616" s="300">
        <v>1.0</v>
      </c>
      <c r="J2616" s="300">
        <v>1.0</v>
      </c>
      <c r="K2616" s="300">
        <v>1.0</v>
      </c>
      <c r="L2616" s="300">
        <v>1.0</v>
      </c>
      <c r="M2616" s="300">
        <v>1.0</v>
      </c>
      <c r="N2616" s="300">
        <v>8.0</v>
      </c>
      <c r="O2616" s="300" t="s">
        <v>920</v>
      </c>
      <c r="P2616" s="300">
        <v>6.0</v>
      </c>
    </row>
    <row r="2617">
      <c r="A2617">
        <f>IFERROR(__xludf.DUMMYFUNCTION("""COMPUTED_VALUE"""),9.0)</f>
        <v>9</v>
      </c>
      <c r="B2617" s="406">
        <f>IFERROR(__xludf.DUMMYFUNCTION("""COMPUTED_VALUE"""),29157.0)</f>
        <v>29157</v>
      </c>
      <c r="C2617" t="str">
        <f>IFERROR(__xludf.DUMMYFUNCTION("""COMPUTED_VALUE"""),"PETTERSSON VANEGAS, DOMINIQUE")</f>
        <v>PETTERSSON VANEGAS, DOMINIQUE</v>
      </c>
      <c r="D2617" t="str">
        <f>IFERROR(__xludf.DUMMYFUNCTION("""COMPUTED_VALUE"""),"Social Studies 9")</f>
        <v>Social Studies 9</v>
      </c>
      <c r="E2617" s="3">
        <f>IFERROR(__xludf.DUMMYFUNCTION("""COMPUTED_VALUE"""),7.0)</f>
        <v>7</v>
      </c>
      <c r="F2617" s="300">
        <v>1.0</v>
      </c>
      <c r="G2617" s="300">
        <v>1.0</v>
      </c>
      <c r="H2617" s="300">
        <v>1.0</v>
      </c>
      <c r="I2617" s="300">
        <v>1.0</v>
      </c>
      <c r="J2617" s="300">
        <v>1.0</v>
      </c>
      <c r="K2617" s="300">
        <v>1.0</v>
      </c>
      <c r="L2617" s="300">
        <v>1.0</v>
      </c>
      <c r="M2617" s="300">
        <v>1.0</v>
      </c>
      <c r="N2617" s="300">
        <v>8.0</v>
      </c>
      <c r="O2617" s="300" t="s">
        <v>925</v>
      </c>
      <c r="P2617" s="300">
        <v>6.0</v>
      </c>
    </row>
    <row r="2618">
      <c r="A2618">
        <f>IFERROR(__xludf.DUMMYFUNCTION("""COMPUTED_VALUE"""),9.0)</f>
        <v>9</v>
      </c>
      <c r="B2618" s="406">
        <f>IFERROR(__xludf.DUMMYFUNCTION("""COMPUTED_VALUE"""),29111.0)</f>
        <v>29111</v>
      </c>
      <c r="C2618" t="str">
        <f>IFERROR(__xludf.DUMMYFUNCTION("""COMPUTED_VALUE"""),"SOTO ANGEL, GABRIELA")</f>
        <v>SOTO ANGEL, GABRIELA</v>
      </c>
      <c r="D2618" t="str">
        <f>IFERROR(__xludf.DUMMYFUNCTION("""COMPUTED_VALUE"""),"Social Studies 9")</f>
        <v>Social Studies 9</v>
      </c>
      <c r="E2618" s="3">
        <f>IFERROR(__xludf.DUMMYFUNCTION("""COMPUTED_VALUE"""),2.0)</f>
        <v>2</v>
      </c>
      <c r="F2618" s="300">
        <v>1.0</v>
      </c>
      <c r="G2618" s="300">
        <v>1.0</v>
      </c>
      <c r="H2618" s="300">
        <v>1.0</v>
      </c>
      <c r="I2618" s="300">
        <v>1.0</v>
      </c>
      <c r="J2618" s="300">
        <v>1.0</v>
      </c>
      <c r="K2618" s="300">
        <v>1.0</v>
      </c>
      <c r="L2618" s="300">
        <v>1.0</v>
      </c>
      <c r="M2618" s="300">
        <v>1.0</v>
      </c>
      <c r="N2618" s="300">
        <v>8.0</v>
      </c>
      <c r="O2618" s="300" t="s">
        <v>920</v>
      </c>
      <c r="P2618" s="300">
        <v>6.0</v>
      </c>
    </row>
    <row r="2619">
      <c r="A2619">
        <f>IFERROR(__xludf.DUMMYFUNCTION("""COMPUTED_VALUE"""),9.0)</f>
        <v>9</v>
      </c>
      <c r="B2619" s="406">
        <f>IFERROR(__xludf.DUMMYFUNCTION("""COMPUTED_VALUE"""),29107.0)</f>
        <v>29107</v>
      </c>
      <c r="C2619" t="str">
        <f>IFERROR(__xludf.DUMMYFUNCTION("""COMPUTED_VALUE"""),"SANIN JARAMILLO, PEDRO")</f>
        <v>SANIN JARAMILLO, PEDRO</v>
      </c>
      <c r="D2619" t="str">
        <f>IFERROR(__xludf.DUMMYFUNCTION("""COMPUTED_VALUE"""),"Social Studies 9")</f>
        <v>Social Studies 9</v>
      </c>
      <c r="E2619" s="3">
        <f>IFERROR(__xludf.DUMMYFUNCTION("""COMPUTED_VALUE"""),2.0)</f>
        <v>2</v>
      </c>
      <c r="F2619" s="300">
        <v>1.0</v>
      </c>
      <c r="G2619" s="300">
        <v>1.0</v>
      </c>
      <c r="H2619" s="300">
        <v>1.0</v>
      </c>
      <c r="I2619" s="300">
        <v>1.0</v>
      </c>
      <c r="J2619" s="300">
        <v>1.0</v>
      </c>
      <c r="K2619" s="300">
        <v>1.0</v>
      </c>
      <c r="L2619" s="300">
        <v>1.0</v>
      </c>
      <c r="M2619" s="300">
        <v>1.0</v>
      </c>
      <c r="N2619" s="300">
        <v>8.0</v>
      </c>
      <c r="O2619" s="300" t="s">
        <v>920</v>
      </c>
      <c r="P2619" s="300">
        <v>6.0</v>
      </c>
    </row>
    <row r="2620">
      <c r="A2620">
        <f>IFERROR(__xludf.DUMMYFUNCTION("""COMPUTED_VALUE"""),9.0)</f>
        <v>9</v>
      </c>
      <c r="B2620" s="406">
        <f>IFERROR(__xludf.DUMMYFUNCTION("""COMPUTED_VALUE"""),29066.0)</f>
        <v>29066</v>
      </c>
      <c r="C2620" t="str">
        <f>IFERROR(__xludf.DUMMYFUNCTION("""COMPUTED_VALUE"""),"LONDOÑO JARAMILLO, MARTINA")</f>
        <v>LONDOÑO JARAMILLO, MARTINA</v>
      </c>
      <c r="D2620" t="str">
        <f>IFERROR(__xludf.DUMMYFUNCTION("""COMPUTED_VALUE"""),"Social Studies 9")</f>
        <v>Social Studies 9</v>
      </c>
      <c r="E2620" s="3">
        <f>IFERROR(__xludf.DUMMYFUNCTION("""COMPUTED_VALUE"""),2.0)</f>
        <v>2</v>
      </c>
      <c r="F2620" s="300">
        <v>1.0</v>
      </c>
      <c r="G2620" s="300">
        <v>1.0</v>
      </c>
      <c r="H2620" s="300">
        <v>1.0</v>
      </c>
      <c r="I2620" s="300">
        <v>1.0</v>
      </c>
      <c r="J2620" s="300">
        <v>1.0</v>
      </c>
      <c r="K2620" s="300">
        <v>1.0</v>
      </c>
      <c r="L2620" s="300">
        <v>1.0</v>
      </c>
      <c r="M2620" s="300">
        <v>1.0</v>
      </c>
      <c r="N2620" s="300">
        <v>8.0</v>
      </c>
      <c r="O2620" s="300" t="s">
        <v>920</v>
      </c>
      <c r="P2620" s="300">
        <v>6.0</v>
      </c>
    </row>
    <row r="2621">
      <c r="A2621">
        <f>IFERROR(__xludf.DUMMYFUNCTION("""COMPUTED_VALUE"""),9.0)</f>
        <v>9</v>
      </c>
      <c r="B2621" s="406">
        <f>IFERROR(__xludf.DUMMYFUNCTION("""COMPUTED_VALUE"""),29071.0)</f>
        <v>29071</v>
      </c>
      <c r="C2621" t="str">
        <f>IFERROR(__xludf.DUMMYFUNCTION("""COMPUTED_VALUE"""),"MARQUEZ BARRERA, MIRANDA")</f>
        <v>MARQUEZ BARRERA, MIRANDA</v>
      </c>
      <c r="D2621" t="str">
        <f>IFERROR(__xludf.DUMMYFUNCTION("""COMPUTED_VALUE"""),"Social Studies 9")</f>
        <v>Social Studies 9</v>
      </c>
      <c r="E2621" s="3">
        <f>IFERROR(__xludf.DUMMYFUNCTION("""COMPUTED_VALUE"""),7.0)</f>
        <v>7</v>
      </c>
      <c r="F2621" s="300">
        <v>1.0</v>
      </c>
      <c r="G2621" s="300">
        <v>1.0</v>
      </c>
      <c r="H2621" s="300">
        <v>1.0</v>
      </c>
      <c r="I2621" s="300">
        <v>1.0</v>
      </c>
      <c r="J2621" s="300">
        <v>1.0</v>
      </c>
      <c r="K2621" s="300">
        <v>1.0</v>
      </c>
      <c r="L2621" s="300">
        <v>1.0</v>
      </c>
      <c r="M2621" s="300">
        <v>1.0</v>
      </c>
      <c r="N2621" s="300">
        <v>8.0</v>
      </c>
      <c r="O2621" s="300" t="s">
        <v>925</v>
      </c>
      <c r="P2621" s="300">
        <v>6.0</v>
      </c>
    </row>
    <row r="2622">
      <c r="A2622">
        <f>IFERROR(__xludf.DUMMYFUNCTION("""COMPUTED_VALUE"""),9.0)</f>
        <v>9</v>
      </c>
      <c r="B2622" s="406">
        <f>IFERROR(__xludf.DUMMYFUNCTION("""COMPUTED_VALUE"""),29008.0)</f>
        <v>29008</v>
      </c>
      <c r="C2622" t="str">
        <f>IFERROR(__xludf.DUMMYFUNCTION("""COMPUTED_VALUE"""),"APA ECHAVARRIA, LORENZO")</f>
        <v>APA ECHAVARRIA, LORENZO</v>
      </c>
      <c r="D2622" t="str">
        <f>IFERROR(__xludf.DUMMYFUNCTION("""COMPUTED_VALUE"""),"Social Studies 9")</f>
        <v>Social Studies 9</v>
      </c>
      <c r="E2622" s="3">
        <f>IFERROR(__xludf.DUMMYFUNCTION("""COMPUTED_VALUE"""),2.0)</f>
        <v>2</v>
      </c>
      <c r="F2622" s="300">
        <v>1.0</v>
      </c>
      <c r="G2622" s="300">
        <v>1.0</v>
      </c>
      <c r="H2622" s="300">
        <v>1.0</v>
      </c>
      <c r="I2622" s="300">
        <v>1.0</v>
      </c>
      <c r="J2622" s="300">
        <v>1.0</v>
      </c>
      <c r="K2622" s="300">
        <v>1.0</v>
      </c>
      <c r="L2622" s="300">
        <v>1.0</v>
      </c>
      <c r="M2622" s="300">
        <v>1.0</v>
      </c>
      <c r="N2622" s="300">
        <v>8.0</v>
      </c>
      <c r="O2622" s="300" t="s">
        <v>920</v>
      </c>
      <c r="P2622" s="300">
        <v>6.0</v>
      </c>
    </row>
    <row r="2623">
      <c r="A2623">
        <f>IFERROR(__xludf.DUMMYFUNCTION("""COMPUTED_VALUE"""),9.0)</f>
        <v>9</v>
      </c>
      <c r="B2623" s="406">
        <f>IFERROR(__xludf.DUMMYFUNCTION("""COMPUTED_VALUE"""),29016.0)</f>
        <v>29016</v>
      </c>
      <c r="C2623" t="str">
        <f>IFERROR(__xludf.DUMMYFUNCTION("""COMPUTED_VALUE"""),"ARROYAVE LONDOÑO, ELISA")</f>
        <v>ARROYAVE LONDOÑO, ELISA</v>
      </c>
      <c r="D2623" t="str">
        <f>IFERROR(__xludf.DUMMYFUNCTION("""COMPUTED_VALUE"""),"Social Studies 9")</f>
        <v>Social Studies 9</v>
      </c>
      <c r="E2623" s="3">
        <f>IFERROR(__xludf.DUMMYFUNCTION("""COMPUTED_VALUE"""),2.0)</f>
        <v>2</v>
      </c>
      <c r="F2623" s="300">
        <v>1.0</v>
      </c>
      <c r="G2623" s="300">
        <v>1.0</v>
      </c>
      <c r="H2623" s="300">
        <v>1.0</v>
      </c>
      <c r="I2623" s="300">
        <v>1.0</v>
      </c>
      <c r="J2623" s="300">
        <v>1.0</v>
      </c>
      <c r="K2623" s="300">
        <v>1.0</v>
      </c>
      <c r="L2623" s="300">
        <v>1.0</v>
      </c>
      <c r="M2623" s="300">
        <v>1.0</v>
      </c>
      <c r="N2623" s="300">
        <v>8.0</v>
      </c>
      <c r="O2623" s="300" t="s">
        <v>920</v>
      </c>
      <c r="P2623" s="300">
        <v>6.0</v>
      </c>
    </row>
    <row r="2624">
      <c r="A2624">
        <f>IFERROR(__xludf.DUMMYFUNCTION("""COMPUTED_VALUE"""),9.0)</f>
        <v>9</v>
      </c>
      <c r="B2624" s="406">
        <f>IFERROR(__xludf.DUMMYFUNCTION("""COMPUTED_VALUE"""),29053.0)</f>
        <v>29053</v>
      </c>
      <c r="C2624" t="str">
        <f>IFERROR(__xludf.DUMMYFUNCTION("""COMPUTED_VALUE"""),"HURTADO FAJARDO, JUANITA")</f>
        <v>HURTADO FAJARDO, JUANITA</v>
      </c>
      <c r="D2624" t="str">
        <f>IFERROR(__xludf.DUMMYFUNCTION("""COMPUTED_VALUE"""),"Social Studies 9")</f>
        <v>Social Studies 9</v>
      </c>
      <c r="E2624" s="3">
        <f>IFERROR(__xludf.DUMMYFUNCTION("""COMPUTED_VALUE"""),5.0)</f>
        <v>5</v>
      </c>
      <c r="F2624" s="300">
        <v>1.0</v>
      </c>
      <c r="G2624" s="300">
        <v>1.0</v>
      </c>
      <c r="H2624" s="300">
        <v>1.0</v>
      </c>
      <c r="I2624" s="300">
        <v>1.0</v>
      </c>
      <c r="J2624" s="300">
        <v>1.0</v>
      </c>
      <c r="K2624" s="300">
        <v>1.0</v>
      </c>
      <c r="L2624" s="300">
        <v>1.0</v>
      </c>
      <c r="M2624" s="300">
        <v>1.0</v>
      </c>
      <c r="N2624" s="300">
        <v>8.0</v>
      </c>
      <c r="O2624" s="300" t="s">
        <v>923</v>
      </c>
      <c r="P2624" s="300">
        <v>6.0</v>
      </c>
    </row>
    <row r="2625">
      <c r="A2625">
        <f>IFERROR(__xludf.DUMMYFUNCTION("""COMPUTED_VALUE"""),9.0)</f>
        <v>9</v>
      </c>
      <c r="B2625" s="406">
        <f>IFERROR(__xludf.DUMMYFUNCTION("""COMPUTED_VALUE"""),29124.0)</f>
        <v>29124</v>
      </c>
      <c r="C2625" t="str">
        <f>IFERROR(__xludf.DUMMYFUNCTION("""COMPUTED_VALUE"""),"VALLEJO HOYOS, JUAN")</f>
        <v>VALLEJO HOYOS, JUAN</v>
      </c>
      <c r="D2625" t="str">
        <f>IFERROR(__xludf.DUMMYFUNCTION("""COMPUTED_VALUE"""),"Social Studies 9")</f>
        <v>Social Studies 9</v>
      </c>
      <c r="E2625" s="3">
        <f>IFERROR(__xludf.DUMMYFUNCTION("""COMPUTED_VALUE"""),7.0)</f>
        <v>7</v>
      </c>
      <c r="F2625" s="300">
        <v>1.0</v>
      </c>
      <c r="G2625" s="300">
        <v>1.0</v>
      </c>
      <c r="H2625" s="300">
        <v>1.0</v>
      </c>
      <c r="I2625" s="300">
        <v>1.0</v>
      </c>
      <c r="J2625" s="300">
        <v>1.0</v>
      </c>
      <c r="K2625" s="300">
        <v>1.0</v>
      </c>
      <c r="L2625" s="300">
        <v>1.0</v>
      </c>
      <c r="M2625" s="300">
        <v>1.0</v>
      </c>
      <c r="N2625" s="300">
        <v>8.0</v>
      </c>
      <c r="O2625" s="300" t="s">
        <v>925</v>
      </c>
      <c r="P2625" s="300">
        <v>6.0</v>
      </c>
    </row>
    <row r="2626">
      <c r="A2626">
        <f>IFERROR(__xludf.DUMMYFUNCTION("""COMPUTED_VALUE"""),9.0)</f>
        <v>9</v>
      </c>
      <c r="B2626" s="406">
        <f>IFERROR(__xludf.DUMMYFUNCTION("""COMPUTED_VALUE"""),29135.0)</f>
        <v>29135</v>
      </c>
      <c r="C2626" t="str">
        <f>IFERROR(__xludf.DUMMYFUNCTION("""COMPUTED_VALUE"""),"ECHAVARRIA MUÑOZ, NICOLAS")</f>
        <v>ECHAVARRIA MUÑOZ, NICOLAS</v>
      </c>
      <c r="D2626" t="str">
        <f>IFERROR(__xludf.DUMMYFUNCTION("""COMPUTED_VALUE"""),"Social Studies 9")</f>
        <v>Social Studies 9</v>
      </c>
      <c r="E2626" s="3">
        <f>IFERROR(__xludf.DUMMYFUNCTION("""COMPUTED_VALUE"""),4.0)</f>
        <v>4</v>
      </c>
      <c r="F2626" s="300">
        <v>1.0</v>
      </c>
      <c r="G2626" s="300">
        <v>1.0</v>
      </c>
      <c r="H2626" s="300">
        <v>1.0</v>
      </c>
      <c r="I2626" s="300">
        <v>1.0</v>
      </c>
      <c r="J2626" s="300">
        <v>1.0</v>
      </c>
      <c r="K2626" s="300">
        <v>1.0</v>
      </c>
      <c r="L2626" s="300">
        <v>1.0</v>
      </c>
      <c r="M2626" s="300">
        <v>1.0</v>
      </c>
      <c r="N2626" s="300">
        <v>8.0</v>
      </c>
      <c r="O2626" s="300" t="s">
        <v>921</v>
      </c>
      <c r="P2626" s="300">
        <v>6.0</v>
      </c>
    </row>
    <row r="2627">
      <c r="A2627">
        <f>IFERROR(__xludf.DUMMYFUNCTION("""COMPUTED_VALUE"""),9.0)</f>
        <v>9</v>
      </c>
      <c r="B2627" s="406">
        <f>IFERROR(__xludf.DUMMYFUNCTION("""COMPUTED_VALUE"""),29112.0)</f>
        <v>29112</v>
      </c>
      <c r="C2627" t="str">
        <f>IFERROR(__xludf.DUMMYFUNCTION("""COMPUTED_VALUE"""),"SUAREZ MARTINEZ, ANA")</f>
        <v>SUAREZ MARTINEZ, ANA</v>
      </c>
      <c r="D2627" t="str">
        <f>IFERROR(__xludf.DUMMYFUNCTION("""COMPUTED_VALUE"""),"Social Studies 9")</f>
        <v>Social Studies 9</v>
      </c>
      <c r="E2627" s="3">
        <f>IFERROR(__xludf.DUMMYFUNCTION("""COMPUTED_VALUE"""),3.0)</f>
        <v>3</v>
      </c>
      <c r="F2627" s="300">
        <v>1.0</v>
      </c>
      <c r="G2627" s="300">
        <v>1.0</v>
      </c>
      <c r="H2627" s="300">
        <v>1.0</v>
      </c>
      <c r="I2627" s="300">
        <v>1.0</v>
      </c>
      <c r="J2627" s="300">
        <v>1.0</v>
      </c>
      <c r="K2627" s="300">
        <v>1.0</v>
      </c>
      <c r="L2627" s="300">
        <v>1.0</v>
      </c>
      <c r="M2627" s="300">
        <v>1.0</v>
      </c>
      <c r="N2627" s="300">
        <v>8.0</v>
      </c>
      <c r="O2627" s="300" t="s">
        <v>924</v>
      </c>
      <c r="P2627" s="300">
        <v>6.0</v>
      </c>
    </row>
    <row r="2628">
      <c r="A2628">
        <f>IFERROR(__xludf.DUMMYFUNCTION("""COMPUTED_VALUE"""),9.0)</f>
        <v>9</v>
      </c>
      <c r="B2628" s="406">
        <f>IFERROR(__xludf.DUMMYFUNCTION("""COMPUTED_VALUE"""),29022.0)</f>
        <v>29022</v>
      </c>
      <c r="C2628" t="str">
        <f>IFERROR(__xludf.DUMMYFUNCTION("""COMPUTED_VALUE"""),"BETANCUR ROBLEDO, PEDRO")</f>
        <v>BETANCUR ROBLEDO, PEDRO</v>
      </c>
      <c r="D2628" t="str">
        <f>IFERROR(__xludf.DUMMYFUNCTION("""COMPUTED_VALUE"""),"Social Studies 9")</f>
        <v>Social Studies 9</v>
      </c>
      <c r="E2628" s="3">
        <f>IFERROR(__xludf.DUMMYFUNCTION("""COMPUTED_VALUE"""),8.0)</f>
        <v>8</v>
      </c>
      <c r="F2628" s="300">
        <v>1.0</v>
      </c>
      <c r="G2628" s="300">
        <v>1.0</v>
      </c>
      <c r="H2628" s="300">
        <v>1.0</v>
      </c>
      <c r="I2628" s="300">
        <v>1.0</v>
      </c>
      <c r="J2628" s="300">
        <v>1.0</v>
      </c>
      <c r="K2628" s="300">
        <v>1.0</v>
      </c>
      <c r="L2628" s="300">
        <v>1.0</v>
      </c>
      <c r="M2628" s="300">
        <v>1.0</v>
      </c>
      <c r="N2628" s="300">
        <v>8.0</v>
      </c>
      <c r="O2628" s="300" t="s">
        <v>922</v>
      </c>
      <c r="P2628" s="300">
        <v>6.0</v>
      </c>
    </row>
    <row r="2629">
      <c r="A2629">
        <f>IFERROR(__xludf.DUMMYFUNCTION("""COMPUTED_VALUE"""),9.0)</f>
        <v>9</v>
      </c>
      <c r="B2629" s="406">
        <f>IFERROR(__xludf.DUMMYFUNCTION("""COMPUTED_VALUE"""),29085.0)</f>
        <v>29085</v>
      </c>
      <c r="C2629" t="str">
        <f>IFERROR(__xludf.DUMMYFUNCTION("""COMPUTED_VALUE"""),"OTALVARO ABAD, JUAN MARTIN")</f>
        <v>OTALVARO ABAD, JUAN MARTIN</v>
      </c>
      <c r="D2629" t="str">
        <f>IFERROR(__xludf.DUMMYFUNCTION("""COMPUTED_VALUE"""),"Social Studies 9")</f>
        <v>Social Studies 9</v>
      </c>
      <c r="E2629" s="3">
        <f>IFERROR(__xludf.DUMMYFUNCTION("""COMPUTED_VALUE"""),4.0)</f>
        <v>4</v>
      </c>
      <c r="F2629" s="300">
        <v>1.0</v>
      </c>
      <c r="G2629" s="300">
        <v>1.0</v>
      </c>
      <c r="H2629" s="300">
        <v>1.0</v>
      </c>
      <c r="I2629" s="300">
        <v>1.0</v>
      </c>
      <c r="J2629" s="300">
        <v>1.0</v>
      </c>
      <c r="K2629" s="300">
        <v>1.0</v>
      </c>
      <c r="L2629" s="300">
        <v>1.0</v>
      </c>
      <c r="M2629" s="300">
        <v>1.0</v>
      </c>
      <c r="N2629" s="300">
        <v>8.0</v>
      </c>
      <c r="O2629" s="300" t="s">
        <v>921</v>
      </c>
      <c r="P2629" s="300">
        <v>6.0</v>
      </c>
    </row>
    <row r="2630">
      <c r="A2630">
        <f>IFERROR(__xludf.DUMMYFUNCTION("""COMPUTED_VALUE"""),9.0)</f>
        <v>9</v>
      </c>
      <c r="B2630" s="406">
        <f>IFERROR(__xludf.DUMMYFUNCTION("""COMPUTED_VALUE"""),29081.0)</f>
        <v>29081</v>
      </c>
      <c r="C2630" t="str">
        <f>IFERROR(__xludf.DUMMYFUNCTION("""COMPUTED_VALUE"""),"MORA JARAMILLO, ALICIA")</f>
        <v>MORA JARAMILLO, ALICIA</v>
      </c>
      <c r="D2630" t="str">
        <f>IFERROR(__xludf.DUMMYFUNCTION("""COMPUTED_VALUE"""),"Social Studies 9")</f>
        <v>Social Studies 9</v>
      </c>
      <c r="E2630" s="3">
        <f>IFERROR(__xludf.DUMMYFUNCTION("""COMPUTED_VALUE"""),2.0)</f>
        <v>2</v>
      </c>
      <c r="F2630" s="300">
        <v>1.0</v>
      </c>
      <c r="G2630" s="300">
        <v>1.0</v>
      </c>
      <c r="H2630" s="300">
        <v>1.0</v>
      </c>
      <c r="I2630" s="300">
        <v>1.0</v>
      </c>
      <c r="J2630" s="300">
        <v>1.0</v>
      </c>
      <c r="K2630" s="300">
        <v>1.0</v>
      </c>
      <c r="L2630" s="300">
        <v>1.0</v>
      </c>
      <c r="M2630" s="300">
        <v>1.0</v>
      </c>
      <c r="N2630" s="300">
        <v>8.0</v>
      </c>
      <c r="O2630" s="300" t="s">
        <v>920</v>
      </c>
      <c r="P2630" s="300">
        <v>6.0</v>
      </c>
    </row>
    <row r="2631">
      <c r="A2631">
        <f>IFERROR(__xludf.DUMMYFUNCTION("""COMPUTED_VALUE"""),9.0)</f>
        <v>9</v>
      </c>
      <c r="B2631" s="406">
        <f>IFERROR(__xludf.DUMMYFUNCTION("""COMPUTED_VALUE"""),29147.0)</f>
        <v>29147</v>
      </c>
      <c r="C2631" t="str">
        <f>IFERROR(__xludf.DUMMYFUNCTION("""COMPUTED_VALUE"""),"JIMENO ARISTIZABAL, ISABELLA")</f>
        <v>JIMENO ARISTIZABAL, ISABELLA</v>
      </c>
      <c r="D2631" t="str">
        <f>IFERROR(__xludf.DUMMYFUNCTION("""COMPUTED_VALUE"""),"Social Studies 9")</f>
        <v>Social Studies 9</v>
      </c>
      <c r="E2631" s="3">
        <f>IFERROR(__xludf.DUMMYFUNCTION("""COMPUTED_VALUE"""),5.0)</f>
        <v>5</v>
      </c>
      <c r="F2631" s="300">
        <v>1.0</v>
      </c>
      <c r="G2631" s="300">
        <v>1.0</v>
      </c>
      <c r="H2631" s="300">
        <v>1.0</v>
      </c>
      <c r="I2631" s="300">
        <v>1.0</v>
      </c>
      <c r="J2631" s="300">
        <v>1.0</v>
      </c>
      <c r="K2631" s="300">
        <v>1.0</v>
      </c>
      <c r="L2631" s="300">
        <v>1.0</v>
      </c>
      <c r="M2631" s="300">
        <v>1.0</v>
      </c>
      <c r="N2631" s="300">
        <v>8.0</v>
      </c>
      <c r="O2631" s="300" t="s">
        <v>923</v>
      </c>
      <c r="P2631" s="300">
        <v>6.0</v>
      </c>
    </row>
    <row r="2632">
      <c r="A2632">
        <f>IFERROR(__xludf.DUMMYFUNCTION("""COMPUTED_VALUE"""),9.0)</f>
        <v>9</v>
      </c>
      <c r="B2632" s="406">
        <f>IFERROR(__xludf.DUMMYFUNCTION("""COMPUTED_VALUE"""),29007.0)</f>
        <v>29007</v>
      </c>
      <c r="C2632" t="str">
        <f>IFERROR(__xludf.DUMMYFUNCTION("""COMPUTED_VALUE"""),"ALZATE GARCIA, LUCIANA")</f>
        <v>ALZATE GARCIA, LUCIANA</v>
      </c>
      <c r="D2632" t="str">
        <f>IFERROR(__xludf.DUMMYFUNCTION("""COMPUTED_VALUE"""),"Social Studies 9")</f>
        <v>Social Studies 9</v>
      </c>
      <c r="E2632" s="3">
        <f>IFERROR(__xludf.DUMMYFUNCTION("""COMPUTED_VALUE"""),2.0)</f>
        <v>2</v>
      </c>
      <c r="F2632" s="300">
        <v>1.0</v>
      </c>
      <c r="G2632" s="300">
        <v>1.0</v>
      </c>
      <c r="H2632" s="300">
        <v>1.0</v>
      </c>
      <c r="I2632" s="300">
        <v>1.0</v>
      </c>
      <c r="J2632" s="300">
        <v>1.0</v>
      </c>
      <c r="K2632" s="300">
        <v>1.0</v>
      </c>
      <c r="L2632" s="300">
        <v>1.0</v>
      </c>
      <c r="M2632" s="300">
        <v>1.0</v>
      </c>
      <c r="N2632" s="300">
        <v>8.0</v>
      </c>
      <c r="O2632" s="300" t="s">
        <v>920</v>
      </c>
      <c r="P2632" s="300">
        <v>6.0</v>
      </c>
    </row>
    <row r="2633">
      <c r="A2633">
        <f>IFERROR(__xludf.DUMMYFUNCTION("""COMPUTED_VALUE"""),9.0)</f>
        <v>9</v>
      </c>
      <c r="B2633" s="406">
        <f>IFERROR(__xludf.DUMMYFUNCTION("""COMPUTED_VALUE"""),29032.0)</f>
        <v>29032</v>
      </c>
      <c r="C2633" t="str">
        <f>IFERROR(__xludf.DUMMYFUNCTION("""COMPUTED_VALUE"""),"CORTES SIERRA, TOMAS")</f>
        <v>CORTES SIERRA, TOMAS</v>
      </c>
      <c r="D2633" t="str">
        <f>IFERROR(__xludf.DUMMYFUNCTION("""COMPUTED_VALUE"""),"Social Studies 9")</f>
        <v>Social Studies 9</v>
      </c>
      <c r="E2633" s="3">
        <f>IFERROR(__xludf.DUMMYFUNCTION("""COMPUTED_VALUE"""),4.0)</f>
        <v>4</v>
      </c>
      <c r="F2633" s="300">
        <v>1.0</v>
      </c>
      <c r="G2633" s="300">
        <v>1.0</v>
      </c>
      <c r="H2633" s="300">
        <v>1.0</v>
      </c>
      <c r="I2633" s="300">
        <v>1.0</v>
      </c>
      <c r="J2633" s="300">
        <v>1.0</v>
      </c>
      <c r="K2633" s="300">
        <v>1.0</v>
      </c>
      <c r="L2633" s="300">
        <v>1.0</v>
      </c>
      <c r="M2633" s="300">
        <v>1.0</v>
      </c>
      <c r="N2633" s="300">
        <v>8.0</v>
      </c>
      <c r="O2633" s="300" t="s">
        <v>921</v>
      </c>
      <c r="P2633" s="300">
        <v>6.0</v>
      </c>
    </row>
    <row r="2634">
      <c r="A2634">
        <f>IFERROR(__xludf.DUMMYFUNCTION("""COMPUTED_VALUE"""),9.0)</f>
        <v>9</v>
      </c>
      <c r="B2634" s="406">
        <f>IFERROR(__xludf.DUMMYFUNCTION("""COMPUTED_VALUE"""),29076.0)</f>
        <v>29076</v>
      </c>
      <c r="C2634" t="str">
        <f>IFERROR(__xludf.DUMMYFUNCTION("""COMPUTED_VALUE"""),"MEJIA MANTILLA, MATEO")</f>
        <v>MEJIA MANTILLA, MATEO</v>
      </c>
      <c r="D2634" t="str">
        <f>IFERROR(__xludf.DUMMYFUNCTION("""COMPUTED_VALUE"""),"Social Studies 9")</f>
        <v>Social Studies 9</v>
      </c>
      <c r="E2634" s="3">
        <f>IFERROR(__xludf.DUMMYFUNCTION("""COMPUTED_VALUE"""),8.0)</f>
        <v>8</v>
      </c>
      <c r="F2634" s="300">
        <v>1.0</v>
      </c>
      <c r="G2634" s="300">
        <v>1.0</v>
      </c>
      <c r="H2634" s="300">
        <v>1.0</v>
      </c>
      <c r="I2634" s="300">
        <v>1.0</v>
      </c>
      <c r="J2634" s="300">
        <v>1.0</v>
      </c>
      <c r="K2634" s="300">
        <v>1.0</v>
      </c>
      <c r="L2634" s="300">
        <v>1.0</v>
      </c>
      <c r="M2634" s="300">
        <v>1.0</v>
      </c>
      <c r="N2634" s="300">
        <v>8.0</v>
      </c>
      <c r="O2634" s="300" t="s">
        <v>922</v>
      </c>
      <c r="P2634" s="300">
        <v>6.0</v>
      </c>
    </row>
    <row r="2635">
      <c r="A2635">
        <f>IFERROR(__xludf.DUMMYFUNCTION("""COMPUTED_VALUE"""),9.0)</f>
        <v>9</v>
      </c>
      <c r="B2635" s="406">
        <f>IFERROR(__xludf.DUMMYFUNCTION("""COMPUTED_VALUE"""),29025.0)</f>
        <v>29025</v>
      </c>
      <c r="C2635" t="str">
        <f>IFERROR(__xludf.DUMMYFUNCTION("""COMPUTED_VALUE"""),"CALLE BUITRAGO, ESTEBAN")</f>
        <v>CALLE BUITRAGO, ESTEBAN</v>
      </c>
      <c r="D2635" t="str">
        <f>IFERROR(__xludf.DUMMYFUNCTION("""COMPUTED_VALUE"""),"Social Studies 9")</f>
        <v>Social Studies 9</v>
      </c>
      <c r="E2635" s="3">
        <f>IFERROR(__xludf.DUMMYFUNCTION("""COMPUTED_VALUE"""),2.0)</f>
        <v>2</v>
      </c>
      <c r="F2635" s="300">
        <v>1.0</v>
      </c>
      <c r="G2635" s="300">
        <v>1.0</v>
      </c>
      <c r="H2635" s="300">
        <v>1.0</v>
      </c>
      <c r="I2635" s="300">
        <v>1.0</v>
      </c>
      <c r="J2635" s="300">
        <v>1.0</v>
      </c>
      <c r="K2635" s="300">
        <v>1.0</v>
      </c>
      <c r="L2635" s="300">
        <v>1.0</v>
      </c>
      <c r="M2635" s="300">
        <v>1.0</v>
      </c>
      <c r="N2635" s="300">
        <v>8.0</v>
      </c>
      <c r="O2635" s="300" t="s">
        <v>920</v>
      </c>
      <c r="P2635" s="300">
        <v>6.0</v>
      </c>
    </row>
    <row r="2636">
      <c r="A2636">
        <f>IFERROR(__xludf.DUMMYFUNCTION("""COMPUTED_VALUE"""),9.0)</f>
        <v>9</v>
      </c>
      <c r="B2636" s="406">
        <f>IFERROR(__xludf.DUMMYFUNCTION("""COMPUTED_VALUE"""),29038.0)</f>
        <v>29038</v>
      </c>
      <c r="C2636" t="str">
        <f>IFERROR(__xludf.DUMMYFUNCTION("""COMPUTED_VALUE"""),"ESCOBAR MADRID, MAXIMILIANO")</f>
        <v>ESCOBAR MADRID, MAXIMILIANO</v>
      </c>
      <c r="D2636" t="str">
        <f>IFERROR(__xludf.DUMMYFUNCTION("""COMPUTED_VALUE"""),"Social Studies 9")</f>
        <v>Social Studies 9</v>
      </c>
      <c r="E2636" s="3">
        <f>IFERROR(__xludf.DUMMYFUNCTION("""COMPUTED_VALUE"""),5.0)</f>
        <v>5</v>
      </c>
      <c r="F2636" s="300">
        <v>1.0</v>
      </c>
      <c r="G2636" s="300">
        <v>1.0</v>
      </c>
      <c r="H2636" s="300">
        <v>1.0</v>
      </c>
      <c r="I2636" s="300">
        <v>1.0</v>
      </c>
      <c r="J2636" s="300">
        <v>1.0</v>
      </c>
      <c r="K2636" s="300">
        <v>1.0</v>
      </c>
      <c r="L2636" s="300">
        <v>1.0</v>
      </c>
      <c r="M2636" s="300">
        <v>1.0</v>
      </c>
      <c r="N2636" s="300">
        <v>8.0</v>
      </c>
      <c r="O2636" s="300" t="s">
        <v>923</v>
      </c>
      <c r="P2636" s="300">
        <v>6.0</v>
      </c>
    </row>
    <row r="2637">
      <c r="A2637">
        <f>IFERROR(__xludf.DUMMYFUNCTION("""COMPUTED_VALUE"""),9.0)</f>
        <v>9</v>
      </c>
      <c r="B2637" s="406">
        <f>IFERROR(__xludf.DUMMYFUNCTION("""COMPUTED_VALUE"""),28077.0)</f>
        <v>28077</v>
      </c>
      <c r="C2637" t="str">
        <f>IFERROR(__xludf.DUMMYFUNCTION("""COMPUTED_VALUE"""),"OLIVEIRA CASTAÑO, MARIANA")</f>
        <v>OLIVEIRA CASTAÑO, MARIANA</v>
      </c>
      <c r="D2637" t="str">
        <f>IFERROR(__xludf.DUMMYFUNCTION("""COMPUTED_VALUE"""),"Social Studies 9")</f>
        <v>Social Studies 9</v>
      </c>
      <c r="E2637" s="3">
        <f>IFERROR(__xludf.DUMMYFUNCTION("""COMPUTED_VALUE"""),5.0)</f>
        <v>5</v>
      </c>
      <c r="F2637" s="300">
        <v>1.0</v>
      </c>
      <c r="G2637" s="300">
        <v>1.0</v>
      </c>
      <c r="H2637" s="300">
        <v>1.0</v>
      </c>
      <c r="I2637" s="300">
        <v>1.0</v>
      </c>
      <c r="J2637" s="300">
        <v>1.0</v>
      </c>
      <c r="K2637" s="300">
        <v>1.0</v>
      </c>
      <c r="L2637" s="300">
        <v>1.0</v>
      </c>
      <c r="M2637" s="300">
        <v>1.0</v>
      </c>
      <c r="N2637" s="300">
        <v>8.0</v>
      </c>
      <c r="O2637" s="300" t="s">
        <v>923</v>
      </c>
      <c r="P2637" s="300">
        <v>6.0</v>
      </c>
    </row>
    <row r="2638">
      <c r="A2638">
        <f>IFERROR(__xludf.DUMMYFUNCTION("""COMPUTED_VALUE"""),9.0)</f>
        <v>9</v>
      </c>
      <c r="B2638" s="406">
        <f>IFERROR(__xludf.DUMMYFUNCTION("""COMPUTED_VALUE"""),29041.0)</f>
        <v>29041</v>
      </c>
      <c r="C2638" t="str">
        <f>IFERROR(__xludf.DUMMYFUNCTION("""COMPUTED_VALUE"""),"FAJARDO VILLA, LUCIANA")</f>
        <v>FAJARDO VILLA, LUCIANA</v>
      </c>
      <c r="D2638" t="str">
        <f>IFERROR(__xludf.DUMMYFUNCTION("""COMPUTED_VALUE"""),"Social Studies 9")</f>
        <v>Social Studies 9</v>
      </c>
      <c r="E2638" s="3">
        <f>IFERROR(__xludf.DUMMYFUNCTION("""COMPUTED_VALUE"""),3.0)</f>
        <v>3</v>
      </c>
      <c r="F2638" s="300">
        <v>1.0</v>
      </c>
      <c r="G2638" s="300">
        <v>1.0</v>
      </c>
      <c r="H2638" s="300">
        <v>1.0</v>
      </c>
      <c r="I2638" s="300">
        <v>1.0</v>
      </c>
      <c r="J2638" s="300">
        <v>1.0</v>
      </c>
      <c r="K2638" s="300">
        <v>1.0</v>
      </c>
      <c r="L2638" s="300">
        <v>1.0</v>
      </c>
      <c r="M2638" s="300">
        <v>1.0</v>
      </c>
      <c r="N2638" s="300">
        <v>8.0</v>
      </c>
      <c r="O2638" s="300" t="s">
        <v>924</v>
      </c>
      <c r="P2638" s="300">
        <v>6.0</v>
      </c>
    </row>
    <row r="2639">
      <c r="A2639">
        <f>IFERROR(__xludf.DUMMYFUNCTION("""COMPUTED_VALUE"""),9.0)</f>
        <v>9</v>
      </c>
      <c r="B2639" s="406">
        <f>IFERROR(__xludf.DUMMYFUNCTION("""COMPUTED_VALUE"""),29021.0)</f>
        <v>29021</v>
      </c>
      <c r="C2639" t="str">
        <f>IFERROR(__xludf.DUMMYFUNCTION("""COMPUTED_VALUE"""),"BETANCOURT QUINTERO, SIMON")</f>
        <v>BETANCOURT QUINTERO, SIMON</v>
      </c>
      <c r="D2639" t="str">
        <f>IFERROR(__xludf.DUMMYFUNCTION("""COMPUTED_VALUE"""),"Social Studies 9")</f>
        <v>Social Studies 9</v>
      </c>
      <c r="E2639" s="3">
        <f>IFERROR(__xludf.DUMMYFUNCTION("""COMPUTED_VALUE"""),3.0)</f>
        <v>3</v>
      </c>
      <c r="F2639" s="300">
        <v>1.0</v>
      </c>
      <c r="G2639" s="300">
        <v>1.0</v>
      </c>
      <c r="H2639" s="300">
        <v>1.0</v>
      </c>
      <c r="I2639" s="300">
        <v>1.0</v>
      </c>
      <c r="J2639" s="300">
        <v>1.0</v>
      </c>
      <c r="K2639" s="300">
        <v>1.0</v>
      </c>
      <c r="L2639" s="300">
        <v>1.0</v>
      </c>
      <c r="M2639" s="300">
        <v>1.0</v>
      </c>
      <c r="N2639" s="300">
        <v>8.0</v>
      </c>
      <c r="O2639" s="300" t="s">
        <v>924</v>
      </c>
      <c r="P2639" s="300">
        <v>6.0</v>
      </c>
    </row>
    <row r="2640">
      <c r="A2640">
        <f>IFERROR(__xludf.DUMMYFUNCTION("""COMPUTED_VALUE"""),9.0)</f>
        <v>9</v>
      </c>
      <c r="B2640" s="406">
        <f>IFERROR(__xludf.DUMMYFUNCTION("""COMPUTED_VALUE"""),29029.0)</f>
        <v>29029</v>
      </c>
      <c r="C2640" t="str">
        <f>IFERROR(__xludf.DUMMYFUNCTION("""COMPUTED_VALUE"""),"CHAVARRIAGA MESA, GREGORIO")</f>
        <v>CHAVARRIAGA MESA, GREGORIO</v>
      </c>
      <c r="D2640" t="str">
        <f>IFERROR(__xludf.DUMMYFUNCTION("""COMPUTED_VALUE"""),"Social Studies 9")</f>
        <v>Social Studies 9</v>
      </c>
      <c r="E2640" s="3">
        <f>IFERROR(__xludf.DUMMYFUNCTION("""COMPUTED_VALUE"""),8.0)</f>
        <v>8</v>
      </c>
      <c r="F2640" s="300">
        <v>1.0</v>
      </c>
      <c r="G2640" s="300">
        <v>1.0</v>
      </c>
      <c r="H2640" s="300">
        <v>1.0</v>
      </c>
      <c r="I2640" s="300">
        <v>1.0</v>
      </c>
      <c r="J2640" s="300">
        <v>1.0</v>
      </c>
      <c r="K2640" s="300">
        <v>1.0</v>
      </c>
      <c r="L2640" s="300">
        <v>1.0</v>
      </c>
      <c r="M2640" s="300">
        <v>1.0</v>
      </c>
      <c r="N2640" s="300">
        <v>8.0</v>
      </c>
      <c r="O2640" s="300" t="s">
        <v>922</v>
      </c>
      <c r="P2640" s="300">
        <v>6.0</v>
      </c>
    </row>
    <row r="2641">
      <c r="A2641">
        <f>IFERROR(__xludf.DUMMYFUNCTION("""COMPUTED_VALUE"""),9.0)</f>
        <v>9</v>
      </c>
      <c r="B2641" s="406">
        <f>IFERROR(__xludf.DUMMYFUNCTION("""COMPUTED_VALUE"""),29148.0)</f>
        <v>29148</v>
      </c>
      <c r="C2641" t="str">
        <f>IFERROR(__xludf.DUMMYFUNCTION("""COMPUTED_VALUE"""),"OSORIO ARISTIZABAL, MATIAS")</f>
        <v>OSORIO ARISTIZABAL, MATIAS</v>
      </c>
      <c r="D2641" t="str">
        <f>IFERROR(__xludf.DUMMYFUNCTION("""COMPUTED_VALUE"""),"Social Studies 9")</f>
        <v>Social Studies 9</v>
      </c>
      <c r="E2641" s="3">
        <f>IFERROR(__xludf.DUMMYFUNCTION("""COMPUTED_VALUE"""),8.0)</f>
        <v>8</v>
      </c>
      <c r="F2641" s="300">
        <v>1.0</v>
      </c>
      <c r="G2641" s="300">
        <v>1.0</v>
      </c>
      <c r="H2641" s="300">
        <v>1.0</v>
      </c>
      <c r="I2641" s="300">
        <v>1.0</v>
      </c>
      <c r="J2641" s="300">
        <v>1.0</v>
      </c>
      <c r="K2641" s="300">
        <v>1.0</v>
      </c>
      <c r="L2641" s="300">
        <v>1.0</v>
      </c>
      <c r="M2641" s="300">
        <v>1.0</v>
      </c>
      <c r="N2641" s="300">
        <v>8.0</v>
      </c>
      <c r="O2641" s="300" t="s">
        <v>922</v>
      </c>
      <c r="P2641" s="300">
        <v>6.0</v>
      </c>
    </row>
    <row r="2642">
      <c r="A2642">
        <f>IFERROR(__xludf.DUMMYFUNCTION("""COMPUTED_VALUE"""),9.0)</f>
        <v>9</v>
      </c>
      <c r="B2642" s="406">
        <f>IFERROR(__xludf.DUMMYFUNCTION("""COMPUTED_VALUE"""),29170.0)</f>
        <v>29170</v>
      </c>
      <c r="C2642" t="str">
        <f>IFERROR(__xludf.DUMMYFUNCTION("""COMPUTED_VALUE"""),"ALVAREZ CARDENAS, JUAN EMILIO")</f>
        <v>ALVAREZ CARDENAS, JUAN EMILIO</v>
      </c>
      <c r="D2642" t="str">
        <f>IFERROR(__xludf.DUMMYFUNCTION("""COMPUTED_VALUE"""),"Social Studies 9")</f>
        <v>Social Studies 9</v>
      </c>
      <c r="E2642" s="3">
        <f>IFERROR(__xludf.DUMMYFUNCTION("""COMPUTED_VALUE"""),4.0)</f>
        <v>4</v>
      </c>
      <c r="F2642" s="300">
        <v>1.0</v>
      </c>
      <c r="G2642" s="300">
        <v>1.0</v>
      </c>
      <c r="H2642" s="300">
        <v>1.0</v>
      </c>
      <c r="I2642" s="300">
        <v>1.0</v>
      </c>
      <c r="J2642" s="300">
        <v>1.0</v>
      </c>
      <c r="K2642" s="300">
        <v>1.0</v>
      </c>
      <c r="L2642" s="300">
        <v>1.0</v>
      </c>
      <c r="M2642" s="300">
        <v>1.0</v>
      </c>
      <c r="N2642" s="300">
        <v>8.0</v>
      </c>
      <c r="O2642" s="300" t="s">
        <v>921</v>
      </c>
      <c r="P2642" s="300">
        <v>6.0</v>
      </c>
    </row>
    <row r="2643">
      <c r="A2643">
        <f>IFERROR(__xludf.DUMMYFUNCTION("""COMPUTED_VALUE"""),9.0)</f>
        <v>9</v>
      </c>
      <c r="B2643" s="406">
        <f>IFERROR(__xludf.DUMMYFUNCTION("""COMPUTED_VALUE"""),29058.0)</f>
        <v>29058</v>
      </c>
      <c r="C2643" t="str">
        <f>IFERROR(__xludf.DUMMYFUNCTION("""COMPUTED_VALUE"""),"JARAMILLO DONADO, AMELIA")</f>
        <v>JARAMILLO DONADO, AMELIA</v>
      </c>
      <c r="D2643" t="str">
        <f>IFERROR(__xludf.DUMMYFUNCTION("""COMPUTED_VALUE"""),"Social Studies 9")</f>
        <v>Social Studies 9</v>
      </c>
      <c r="E2643" s="3">
        <f>IFERROR(__xludf.DUMMYFUNCTION("""COMPUTED_VALUE"""),4.0)</f>
        <v>4</v>
      </c>
      <c r="F2643" s="300">
        <v>1.0</v>
      </c>
      <c r="G2643" s="300">
        <v>1.0</v>
      </c>
      <c r="H2643" s="300">
        <v>1.0</v>
      </c>
      <c r="I2643" s="300">
        <v>1.0</v>
      </c>
      <c r="J2643" s="300">
        <v>1.0</v>
      </c>
      <c r="K2643" s="300">
        <v>1.0</v>
      </c>
      <c r="L2643" s="300">
        <v>1.0</v>
      </c>
      <c r="M2643" s="300">
        <v>1.0</v>
      </c>
      <c r="N2643" s="300">
        <v>8.0</v>
      </c>
      <c r="O2643" s="300" t="s">
        <v>921</v>
      </c>
      <c r="P2643" s="300">
        <v>6.0</v>
      </c>
    </row>
    <row r="2644">
      <c r="A2644">
        <f>IFERROR(__xludf.DUMMYFUNCTION("""COMPUTED_VALUE"""),9.0)</f>
        <v>9</v>
      </c>
      <c r="B2644" s="406">
        <f>IFERROR(__xludf.DUMMYFUNCTION("""COMPUTED_VALUE"""),29072.0)</f>
        <v>29072</v>
      </c>
      <c r="C2644" t="str">
        <f>IFERROR(__xludf.DUMMYFUNCTION("""COMPUTED_VALUE"""),"MARQUEZ RAHAL, PEDRO")</f>
        <v>MARQUEZ RAHAL, PEDRO</v>
      </c>
      <c r="D2644" t="str">
        <f>IFERROR(__xludf.DUMMYFUNCTION("""COMPUTED_VALUE"""),"Social Studies 9")</f>
        <v>Social Studies 9</v>
      </c>
      <c r="E2644" s="3">
        <f>IFERROR(__xludf.DUMMYFUNCTION("""COMPUTED_VALUE"""),3.0)</f>
        <v>3</v>
      </c>
      <c r="F2644" s="300">
        <v>1.0</v>
      </c>
      <c r="G2644" s="300">
        <v>1.0</v>
      </c>
      <c r="H2644" s="300">
        <v>1.0</v>
      </c>
      <c r="I2644" s="300">
        <v>1.0</v>
      </c>
      <c r="J2644" s="300">
        <v>1.0</v>
      </c>
      <c r="K2644" s="300">
        <v>1.0</v>
      </c>
      <c r="L2644" s="300">
        <v>1.0</v>
      </c>
      <c r="M2644" s="300">
        <v>1.0</v>
      </c>
      <c r="N2644" s="300">
        <v>8.0</v>
      </c>
      <c r="O2644" s="300" t="s">
        <v>924</v>
      </c>
      <c r="P2644" s="300">
        <v>6.0</v>
      </c>
    </row>
    <row r="2645">
      <c r="A2645">
        <f>IFERROR(__xludf.DUMMYFUNCTION("""COMPUTED_VALUE"""),9.0)</f>
        <v>9</v>
      </c>
      <c r="B2645" s="406">
        <f>IFERROR(__xludf.DUMMYFUNCTION("""COMPUTED_VALUE"""),29125.0)</f>
        <v>29125</v>
      </c>
      <c r="C2645" t="str">
        <f>IFERROR(__xludf.DUMMYFUNCTION("""COMPUTED_VALUE"""),"VALLEJO LONDOÑO, TOMAS")</f>
        <v>VALLEJO LONDOÑO, TOMAS</v>
      </c>
      <c r="D2645" t="str">
        <f>IFERROR(__xludf.DUMMYFUNCTION("""COMPUTED_VALUE"""),"Social Studies 9")</f>
        <v>Social Studies 9</v>
      </c>
      <c r="E2645" s="3">
        <f>IFERROR(__xludf.DUMMYFUNCTION("""COMPUTED_VALUE"""),4.0)</f>
        <v>4</v>
      </c>
      <c r="F2645" s="300">
        <v>1.0</v>
      </c>
      <c r="G2645" s="300">
        <v>1.0</v>
      </c>
      <c r="H2645" s="300">
        <v>1.0</v>
      </c>
      <c r="I2645" s="300">
        <v>1.0</v>
      </c>
      <c r="J2645" s="300">
        <v>1.0</v>
      </c>
      <c r="K2645" s="300">
        <v>1.0</v>
      </c>
      <c r="L2645" s="300">
        <v>1.0</v>
      </c>
      <c r="M2645" s="300">
        <v>1.0</v>
      </c>
      <c r="N2645" s="300">
        <v>8.0</v>
      </c>
      <c r="O2645" s="300" t="s">
        <v>921</v>
      </c>
      <c r="P2645" s="300">
        <v>6.0</v>
      </c>
    </row>
    <row r="2646">
      <c r="A2646">
        <f>IFERROR(__xludf.DUMMYFUNCTION("""COMPUTED_VALUE"""),9.0)</f>
        <v>9</v>
      </c>
      <c r="B2646" s="406">
        <f>IFERROR(__xludf.DUMMYFUNCTION("""COMPUTED_VALUE"""),29045.0)</f>
        <v>29045</v>
      </c>
      <c r="C2646" t="str">
        <f>IFERROR(__xludf.DUMMYFUNCTION("""COMPUTED_VALUE"""),"GOMEZ ZULUAGA, JUAN JOSE")</f>
        <v>GOMEZ ZULUAGA, JUAN JOSE</v>
      </c>
      <c r="D2646" t="str">
        <f>IFERROR(__xludf.DUMMYFUNCTION("""COMPUTED_VALUE"""),"Social Studies 9")</f>
        <v>Social Studies 9</v>
      </c>
      <c r="E2646" s="3">
        <f>IFERROR(__xludf.DUMMYFUNCTION("""COMPUTED_VALUE"""),4.0)</f>
        <v>4</v>
      </c>
      <c r="F2646" s="300">
        <v>1.0</v>
      </c>
      <c r="G2646" s="300">
        <v>1.0</v>
      </c>
      <c r="H2646" s="300">
        <v>1.0</v>
      </c>
      <c r="I2646" s="300">
        <v>1.0</v>
      </c>
      <c r="J2646" s="300">
        <v>1.0</v>
      </c>
      <c r="K2646" s="300">
        <v>1.0</v>
      </c>
      <c r="L2646" s="300">
        <v>1.0</v>
      </c>
      <c r="M2646" s="300">
        <v>1.0</v>
      </c>
      <c r="N2646" s="300">
        <v>8.0</v>
      </c>
      <c r="O2646" s="300" t="s">
        <v>921</v>
      </c>
      <c r="P2646" s="300">
        <v>6.0</v>
      </c>
    </row>
    <row r="2647">
      <c r="A2647">
        <f>IFERROR(__xludf.DUMMYFUNCTION("""COMPUTED_VALUE"""),9.0)</f>
        <v>9</v>
      </c>
      <c r="B2647" s="406">
        <f>IFERROR(__xludf.DUMMYFUNCTION("""COMPUTED_VALUE"""),28032.0)</f>
        <v>28032</v>
      </c>
      <c r="C2647" t="str">
        <f>IFERROR(__xludf.DUMMYFUNCTION("""COMPUTED_VALUE"""),"GALLON TOBON, GERONIMO")</f>
        <v>GALLON TOBON, GERONIMO</v>
      </c>
      <c r="D2647" t="str">
        <f>IFERROR(__xludf.DUMMYFUNCTION("""COMPUTED_VALUE"""),"Social Studies 9")</f>
        <v>Social Studies 9</v>
      </c>
      <c r="E2647" s="3">
        <f>IFERROR(__xludf.DUMMYFUNCTION("""COMPUTED_VALUE"""),2.0)</f>
        <v>2</v>
      </c>
      <c r="F2647" s="300">
        <v>1.0</v>
      </c>
      <c r="G2647" s="300">
        <v>1.0</v>
      </c>
      <c r="H2647" s="300">
        <v>1.0</v>
      </c>
      <c r="I2647" s="300">
        <v>1.0</v>
      </c>
      <c r="J2647" s="300">
        <v>1.0</v>
      </c>
      <c r="K2647" s="300">
        <v>1.0</v>
      </c>
      <c r="L2647" s="300">
        <v>1.0</v>
      </c>
      <c r="M2647" s="300">
        <v>1.0</v>
      </c>
      <c r="N2647" s="300">
        <v>8.0</v>
      </c>
      <c r="O2647" s="300" t="s">
        <v>920</v>
      </c>
      <c r="P2647" s="300">
        <v>6.0</v>
      </c>
    </row>
    <row r="2648">
      <c r="A2648">
        <f>IFERROR(__xludf.DUMMYFUNCTION("""COMPUTED_VALUE"""),9.0)</f>
        <v>9</v>
      </c>
      <c r="B2648" s="406">
        <f>IFERROR(__xludf.DUMMYFUNCTION("""COMPUTED_VALUE"""),29012.0)</f>
        <v>29012</v>
      </c>
      <c r="C2648" t="str">
        <f>IFERROR(__xludf.DUMMYFUNCTION("""COMPUTED_VALUE"""),"ARANGO VILLA, TOMAS")</f>
        <v>ARANGO VILLA, TOMAS</v>
      </c>
      <c r="D2648" t="str">
        <f>IFERROR(__xludf.DUMMYFUNCTION("""COMPUTED_VALUE"""),"Social Studies 9")</f>
        <v>Social Studies 9</v>
      </c>
      <c r="E2648" s="3">
        <f>IFERROR(__xludf.DUMMYFUNCTION("""COMPUTED_VALUE"""),7.0)</f>
        <v>7</v>
      </c>
      <c r="F2648" s="300">
        <v>1.0</v>
      </c>
      <c r="G2648" s="300">
        <v>1.0</v>
      </c>
      <c r="H2648" s="300">
        <v>1.0</v>
      </c>
      <c r="I2648" s="300">
        <v>1.0</v>
      </c>
      <c r="J2648" s="300">
        <v>1.0</v>
      </c>
      <c r="K2648" s="300">
        <v>1.0</v>
      </c>
      <c r="L2648" s="300">
        <v>1.0</v>
      </c>
      <c r="M2648" s="300">
        <v>1.0</v>
      </c>
      <c r="N2648" s="300">
        <v>8.0</v>
      </c>
      <c r="O2648" s="300" t="s">
        <v>925</v>
      </c>
      <c r="P2648" s="300">
        <v>6.0</v>
      </c>
    </row>
    <row r="2649">
      <c r="A2649">
        <f>IFERROR(__xludf.DUMMYFUNCTION("""COMPUTED_VALUE"""),9.0)</f>
        <v>9</v>
      </c>
      <c r="B2649" s="406">
        <f>IFERROR(__xludf.DUMMYFUNCTION("""COMPUTED_VALUE"""),29138.0)</f>
        <v>29138</v>
      </c>
      <c r="C2649" t="str">
        <f>IFERROR(__xludf.DUMMYFUNCTION("""COMPUTED_VALUE"""),"ECHAVARRIA ROLDAN, TOMAS")</f>
        <v>ECHAVARRIA ROLDAN, TOMAS</v>
      </c>
      <c r="D2649" t="str">
        <f>IFERROR(__xludf.DUMMYFUNCTION("""COMPUTED_VALUE"""),"Social Studies 9")</f>
        <v>Social Studies 9</v>
      </c>
      <c r="E2649" s="3">
        <f>IFERROR(__xludf.DUMMYFUNCTION("""COMPUTED_VALUE"""),7.0)</f>
        <v>7</v>
      </c>
      <c r="F2649" s="300">
        <v>1.0</v>
      </c>
      <c r="G2649" s="300">
        <v>1.0</v>
      </c>
      <c r="H2649" s="300">
        <v>1.0</v>
      </c>
      <c r="I2649" s="300">
        <v>1.0</v>
      </c>
      <c r="J2649" s="300">
        <v>1.0</v>
      </c>
      <c r="K2649" s="300">
        <v>1.0</v>
      </c>
      <c r="L2649" s="300">
        <v>1.0</v>
      </c>
      <c r="M2649" s="300">
        <v>1.0</v>
      </c>
      <c r="N2649" s="300">
        <v>8.0</v>
      </c>
      <c r="O2649" s="300" t="s">
        <v>925</v>
      </c>
      <c r="P2649" s="300">
        <v>6.0</v>
      </c>
    </row>
    <row r="2650">
      <c r="A2650">
        <f>IFERROR(__xludf.DUMMYFUNCTION("""COMPUTED_VALUE"""),9.0)</f>
        <v>9</v>
      </c>
      <c r="B2650" s="406">
        <f>IFERROR(__xludf.DUMMYFUNCTION("""COMPUTED_VALUE"""),29003.0)</f>
        <v>29003</v>
      </c>
      <c r="C2650" t="str">
        <f>IFERROR(__xludf.DUMMYFUNCTION("""COMPUTED_VALUE"""),"ACEVEDO OROZCO, MARIA CELESTE")</f>
        <v>ACEVEDO OROZCO, MARIA CELESTE</v>
      </c>
      <c r="D2650" t="str">
        <f>IFERROR(__xludf.DUMMYFUNCTION("""COMPUTED_VALUE"""),"Social Studies 9")</f>
        <v>Social Studies 9</v>
      </c>
      <c r="E2650" s="3">
        <f>IFERROR(__xludf.DUMMYFUNCTION("""COMPUTED_VALUE"""),2.0)</f>
        <v>2</v>
      </c>
      <c r="F2650" s="300">
        <v>1.0</v>
      </c>
      <c r="G2650" s="300">
        <v>1.0</v>
      </c>
      <c r="H2650" s="300">
        <v>1.0</v>
      </c>
      <c r="I2650" s="300">
        <v>1.0</v>
      </c>
      <c r="J2650" s="300">
        <v>1.0</v>
      </c>
      <c r="K2650" s="300">
        <v>1.0</v>
      </c>
      <c r="L2650" s="300">
        <v>1.0</v>
      </c>
      <c r="M2650" s="300">
        <v>1.0</v>
      </c>
      <c r="N2650" s="300">
        <v>8.0</v>
      </c>
      <c r="O2650" s="300" t="s">
        <v>920</v>
      </c>
      <c r="P2650" s="300">
        <v>6.0</v>
      </c>
    </row>
    <row r="2651">
      <c r="A2651">
        <f>IFERROR(__xludf.DUMMYFUNCTION("""COMPUTED_VALUE"""),9.0)</f>
        <v>9</v>
      </c>
      <c r="B2651" s="406">
        <f>IFERROR(__xludf.DUMMYFUNCTION("""COMPUTED_VALUE"""),29158.0)</f>
        <v>29158</v>
      </c>
      <c r="C2651" t="str">
        <f>IFERROR(__xludf.DUMMYFUNCTION("""COMPUTED_VALUE"""),"NIEHAUS TRUJILLO, MICHELLE")</f>
        <v>NIEHAUS TRUJILLO, MICHELLE</v>
      </c>
      <c r="D2651" t="str">
        <f>IFERROR(__xludf.DUMMYFUNCTION("""COMPUTED_VALUE"""),"Social Studies 9")</f>
        <v>Social Studies 9</v>
      </c>
      <c r="E2651" s="3">
        <f>IFERROR(__xludf.DUMMYFUNCTION("""COMPUTED_VALUE"""),2.0)</f>
        <v>2</v>
      </c>
      <c r="F2651" s="300">
        <v>1.0</v>
      </c>
      <c r="G2651" s="300">
        <v>1.0</v>
      </c>
      <c r="H2651" s="300">
        <v>1.0</v>
      </c>
      <c r="I2651" s="300">
        <v>1.0</v>
      </c>
      <c r="J2651" s="300">
        <v>1.0</v>
      </c>
      <c r="K2651" s="300">
        <v>1.0</v>
      </c>
      <c r="L2651" s="300">
        <v>1.0</v>
      </c>
      <c r="M2651" s="300">
        <v>1.0</v>
      </c>
      <c r="N2651" s="300">
        <v>8.0</v>
      </c>
      <c r="O2651" s="300" t="s">
        <v>920</v>
      </c>
      <c r="P2651" s="300">
        <v>6.0</v>
      </c>
    </row>
    <row r="2652">
      <c r="A2652">
        <f>IFERROR(__xludf.DUMMYFUNCTION("""COMPUTED_VALUE"""),9.0)</f>
        <v>9</v>
      </c>
      <c r="B2652" s="406">
        <f>IFERROR(__xludf.DUMMYFUNCTION("""COMPUTED_VALUE"""),29088.0)</f>
        <v>29088</v>
      </c>
      <c r="C2652" t="str">
        <f>IFERROR(__xludf.DUMMYFUNCTION("""COMPUTED_VALUE"""),"PEREZ ALVARADO, SARA")</f>
        <v>PEREZ ALVARADO, SARA</v>
      </c>
      <c r="D2652" t="str">
        <f>IFERROR(__xludf.DUMMYFUNCTION("""COMPUTED_VALUE"""),"Social Studies 9")</f>
        <v>Social Studies 9</v>
      </c>
      <c r="E2652" s="3">
        <f>IFERROR(__xludf.DUMMYFUNCTION("""COMPUTED_VALUE"""),4.0)</f>
        <v>4</v>
      </c>
      <c r="F2652" s="300">
        <v>1.0</v>
      </c>
      <c r="G2652" s="300">
        <v>1.0</v>
      </c>
      <c r="H2652" s="300">
        <v>1.0</v>
      </c>
      <c r="I2652" s="300">
        <v>1.0</v>
      </c>
      <c r="J2652" s="300">
        <v>1.0</v>
      </c>
      <c r="K2652" s="300">
        <v>1.0</v>
      </c>
      <c r="L2652" s="300">
        <v>1.0</v>
      </c>
      <c r="M2652" s="300">
        <v>1.0</v>
      </c>
      <c r="N2652" s="300">
        <v>8.0</v>
      </c>
      <c r="O2652" s="300" t="s">
        <v>921</v>
      </c>
      <c r="P2652" s="300">
        <v>6.0</v>
      </c>
    </row>
    <row r="2653">
      <c r="A2653">
        <f>IFERROR(__xludf.DUMMYFUNCTION("""COMPUTED_VALUE"""),9.0)</f>
        <v>9</v>
      </c>
      <c r="B2653" s="406">
        <f>IFERROR(__xludf.DUMMYFUNCTION("""COMPUTED_VALUE"""),29164.0)</f>
        <v>29164</v>
      </c>
      <c r="C2653" t="str">
        <f>IFERROR(__xludf.DUMMYFUNCTION("""COMPUTED_VALUE"""),"CONCHA VELASCO, LORENZO")</f>
        <v>CONCHA VELASCO, LORENZO</v>
      </c>
      <c r="D2653" t="str">
        <f>IFERROR(__xludf.DUMMYFUNCTION("""COMPUTED_VALUE"""),"Social Studies 9")</f>
        <v>Social Studies 9</v>
      </c>
      <c r="E2653" s="3">
        <f>IFERROR(__xludf.DUMMYFUNCTION("""COMPUTED_VALUE"""),2.0)</f>
        <v>2</v>
      </c>
      <c r="F2653" s="300">
        <v>1.0</v>
      </c>
      <c r="G2653" s="300">
        <v>1.0</v>
      </c>
      <c r="H2653" s="300">
        <v>1.0</v>
      </c>
      <c r="I2653" s="300">
        <v>1.0</v>
      </c>
      <c r="J2653" s="300">
        <v>1.0</v>
      </c>
      <c r="K2653" s="300">
        <v>1.0</v>
      </c>
      <c r="L2653" s="300">
        <v>1.0</v>
      </c>
      <c r="M2653" s="300">
        <v>1.0</v>
      </c>
      <c r="N2653" s="300">
        <v>8.0</v>
      </c>
      <c r="O2653" s="300" t="s">
        <v>920</v>
      </c>
      <c r="P2653" s="300">
        <v>6.0</v>
      </c>
    </row>
    <row r="2654">
      <c r="A2654">
        <f>IFERROR(__xludf.DUMMYFUNCTION("""COMPUTED_VALUE"""),9.0)</f>
        <v>9</v>
      </c>
      <c r="B2654" s="406">
        <f>IFERROR(__xludf.DUMMYFUNCTION("""COMPUTED_VALUE"""),29011.0)</f>
        <v>29011</v>
      </c>
      <c r="C2654" t="str">
        <f>IFERROR(__xludf.DUMMYFUNCTION("""COMPUTED_VALUE"""),"ARANGO RUBIO, ROSARIO")</f>
        <v>ARANGO RUBIO, ROSARIO</v>
      </c>
      <c r="D2654" t="str">
        <f>IFERROR(__xludf.DUMMYFUNCTION("""COMPUTED_VALUE"""),"Social Studies 9")</f>
        <v>Social Studies 9</v>
      </c>
      <c r="E2654" s="3">
        <f>IFERROR(__xludf.DUMMYFUNCTION("""COMPUTED_VALUE"""),3.0)</f>
        <v>3</v>
      </c>
      <c r="F2654" s="300">
        <v>1.0</v>
      </c>
      <c r="G2654" s="300">
        <v>1.0</v>
      </c>
      <c r="H2654" s="300">
        <v>1.0</v>
      </c>
      <c r="I2654" s="300">
        <v>1.0</v>
      </c>
      <c r="J2654" s="300">
        <v>1.0</v>
      </c>
      <c r="K2654" s="300">
        <v>1.0</v>
      </c>
      <c r="L2654" s="300">
        <v>1.0</v>
      </c>
      <c r="M2654" s="300">
        <v>1.0</v>
      </c>
      <c r="N2654" s="300">
        <v>8.0</v>
      </c>
      <c r="O2654" s="300" t="s">
        <v>924</v>
      </c>
      <c r="P2654" s="300">
        <v>6.0</v>
      </c>
    </row>
    <row r="2655">
      <c r="A2655">
        <f>IFERROR(__xludf.DUMMYFUNCTION("""COMPUTED_VALUE"""),9.0)</f>
        <v>9</v>
      </c>
      <c r="B2655" s="406">
        <f>IFERROR(__xludf.DUMMYFUNCTION("""COMPUTED_VALUE"""),29161.0)</f>
        <v>29161</v>
      </c>
      <c r="C2655" t="str">
        <f>IFERROR(__xludf.DUMMYFUNCTION("""COMPUTED_VALUE"""),"BURKHALTER, ESPERANZA JOY")</f>
        <v>BURKHALTER, ESPERANZA JOY</v>
      </c>
      <c r="D2655" t="str">
        <f>IFERROR(__xludf.DUMMYFUNCTION("""COMPUTED_VALUE"""),"Social Studies 9")</f>
        <v>Social Studies 9</v>
      </c>
      <c r="E2655" s="3">
        <f>IFERROR(__xludf.DUMMYFUNCTION("""COMPUTED_VALUE"""),3.0)</f>
        <v>3</v>
      </c>
      <c r="F2655" s="300">
        <v>1.0</v>
      </c>
      <c r="G2655" s="300">
        <v>1.0</v>
      </c>
      <c r="H2655" s="300">
        <v>1.0</v>
      </c>
      <c r="I2655" s="300">
        <v>1.0</v>
      </c>
      <c r="J2655" s="300">
        <v>1.0</v>
      </c>
      <c r="K2655" s="300">
        <v>1.0</v>
      </c>
      <c r="L2655" s="300">
        <v>1.0</v>
      </c>
      <c r="M2655" s="300">
        <v>1.0</v>
      </c>
      <c r="N2655" s="300">
        <v>8.0</v>
      </c>
      <c r="O2655" s="300" t="s">
        <v>924</v>
      </c>
      <c r="P2655" s="300">
        <v>6.0</v>
      </c>
    </row>
    <row r="2656">
      <c r="A2656">
        <f>IFERROR(__xludf.DUMMYFUNCTION("""COMPUTED_VALUE"""),9.0)</f>
        <v>9</v>
      </c>
      <c r="B2656" s="406">
        <f>IFERROR(__xludf.DUMMYFUNCTION("""COMPUTED_VALUE"""),29103.0)</f>
        <v>29103</v>
      </c>
      <c r="C2656" t="str">
        <f>IFERROR(__xludf.DUMMYFUNCTION("""COMPUTED_VALUE"""),"SALAZAR ECHEVERRI, ANTONIA")</f>
        <v>SALAZAR ECHEVERRI, ANTONIA</v>
      </c>
      <c r="D2656" t="str">
        <f>IFERROR(__xludf.DUMMYFUNCTION("""COMPUTED_VALUE"""),"Social Studies 9")</f>
        <v>Social Studies 9</v>
      </c>
      <c r="E2656" s="3">
        <f>IFERROR(__xludf.DUMMYFUNCTION("""COMPUTED_VALUE"""),5.0)</f>
        <v>5</v>
      </c>
      <c r="F2656" s="300">
        <v>1.0</v>
      </c>
      <c r="G2656" s="300">
        <v>1.0</v>
      </c>
      <c r="H2656" s="300">
        <v>1.0</v>
      </c>
      <c r="I2656" s="300">
        <v>1.0</v>
      </c>
      <c r="J2656" s="300">
        <v>1.0</v>
      </c>
      <c r="K2656" s="300">
        <v>1.0</v>
      </c>
      <c r="L2656" s="300">
        <v>1.0</v>
      </c>
      <c r="M2656" s="300">
        <v>1.0</v>
      </c>
      <c r="N2656" s="300">
        <v>8.0</v>
      </c>
      <c r="O2656" s="300" t="s">
        <v>923</v>
      </c>
      <c r="P2656" s="300">
        <v>6.0</v>
      </c>
    </row>
    <row r="2657">
      <c r="A2657">
        <f>IFERROR(__xludf.DUMMYFUNCTION("""COMPUTED_VALUE"""),9.0)</f>
        <v>9</v>
      </c>
      <c r="B2657" s="406">
        <f>IFERROR(__xludf.DUMMYFUNCTION("""COMPUTED_VALUE"""),29004.0)</f>
        <v>29004</v>
      </c>
      <c r="C2657" t="str">
        <f>IFERROR(__xludf.DUMMYFUNCTION("""COMPUTED_VALUE"""),"AGUIRRE ARANGO, DAVID")</f>
        <v>AGUIRRE ARANGO, DAVID</v>
      </c>
      <c r="D2657" t="str">
        <f>IFERROR(__xludf.DUMMYFUNCTION("""COMPUTED_VALUE"""),"Social Studies 9")</f>
        <v>Social Studies 9</v>
      </c>
      <c r="E2657" s="3">
        <f>IFERROR(__xludf.DUMMYFUNCTION("""COMPUTED_VALUE"""),8.0)</f>
        <v>8</v>
      </c>
      <c r="F2657" s="300">
        <v>1.0</v>
      </c>
      <c r="G2657" s="300">
        <v>1.0</v>
      </c>
      <c r="H2657" s="300">
        <v>1.0</v>
      </c>
      <c r="I2657" s="300">
        <v>1.0</v>
      </c>
      <c r="J2657" s="300">
        <v>1.0</v>
      </c>
      <c r="K2657" s="300">
        <v>1.0</v>
      </c>
      <c r="L2657" s="300">
        <v>1.0</v>
      </c>
      <c r="M2657" s="300">
        <v>1.0</v>
      </c>
      <c r="N2657" s="300">
        <v>8.0</v>
      </c>
      <c r="O2657" s="300" t="s">
        <v>922</v>
      </c>
      <c r="P2657" s="300">
        <v>6.0</v>
      </c>
    </row>
    <row r="2658">
      <c r="A2658">
        <f>IFERROR(__xludf.DUMMYFUNCTION("""COMPUTED_VALUE"""),9.0)</f>
        <v>9</v>
      </c>
      <c r="B2658" s="406">
        <f>IFERROR(__xludf.DUMMYFUNCTION("""COMPUTED_VALUE"""),29015.0)</f>
        <v>29015</v>
      </c>
      <c r="C2658" t="str">
        <f>IFERROR(__xludf.DUMMYFUNCTION("""COMPUTED_VALUE"""),"ARISTIZABAL URIBE, MATIAS")</f>
        <v>ARISTIZABAL URIBE, MATIAS</v>
      </c>
      <c r="D2658" t="str">
        <f>IFERROR(__xludf.DUMMYFUNCTION("""COMPUTED_VALUE"""),"Social Studies 9")</f>
        <v>Social Studies 9</v>
      </c>
      <c r="E2658" s="3">
        <f>IFERROR(__xludf.DUMMYFUNCTION("""COMPUTED_VALUE"""),5.0)</f>
        <v>5</v>
      </c>
      <c r="F2658" s="300">
        <v>1.0</v>
      </c>
      <c r="G2658" s="300">
        <v>1.0</v>
      </c>
      <c r="H2658" s="300">
        <v>1.0</v>
      </c>
      <c r="I2658" s="300">
        <v>1.0</v>
      </c>
      <c r="J2658" s="300">
        <v>1.0</v>
      </c>
      <c r="K2658" s="300">
        <v>1.0</v>
      </c>
      <c r="L2658" s="300">
        <v>1.0</v>
      </c>
      <c r="M2658" s="300">
        <v>1.0</v>
      </c>
      <c r="N2658" s="300">
        <v>8.0</v>
      </c>
      <c r="O2658" s="300" t="s">
        <v>923</v>
      </c>
      <c r="P2658" s="300">
        <v>6.0</v>
      </c>
    </row>
    <row r="2659">
      <c r="A2659">
        <f>IFERROR(__xludf.DUMMYFUNCTION("""COMPUTED_VALUE"""),9.0)</f>
        <v>9</v>
      </c>
      <c r="B2659" s="406">
        <f>IFERROR(__xludf.DUMMYFUNCTION("""COMPUTED_VALUE"""),29052.0)</f>
        <v>29052</v>
      </c>
      <c r="C2659" t="str">
        <f>IFERROR(__xludf.DUMMYFUNCTION("""COMPUTED_VALUE"""),"HURTADO ARISTIZABAL, CAMILA")</f>
        <v>HURTADO ARISTIZABAL, CAMILA</v>
      </c>
      <c r="D2659" t="str">
        <f>IFERROR(__xludf.DUMMYFUNCTION("""COMPUTED_VALUE"""),"Social Studies 9")</f>
        <v>Social Studies 9</v>
      </c>
      <c r="E2659" s="3">
        <f>IFERROR(__xludf.DUMMYFUNCTION("""COMPUTED_VALUE"""),5.0)</f>
        <v>5</v>
      </c>
      <c r="F2659" s="300">
        <v>1.0</v>
      </c>
      <c r="G2659" s="300">
        <v>1.0</v>
      </c>
      <c r="H2659" s="300">
        <v>1.0</v>
      </c>
      <c r="I2659" s="300">
        <v>1.0</v>
      </c>
      <c r="J2659" s="300">
        <v>1.0</v>
      </c>
      <c r="K2659" s="300">
        <v>1.0</v>
      </c>
      <c r="L2659" s="300">
        <v>1.0</v>
      </c>
      <c r="M2659" s="300">
        <v>1.0</v>
      </c>
      <c r="N2659" s="300">
        <v>8.0</v>
      </c>
      <c r="O2659" s="300" t="s">
        <v>923</v>
      </c>
      <c r="P2659" s="300">
        <v>6.0</v>
      </c>
    </row>
    <row r="2660">
      <c r="A2660">
        <f>IFERROR(__xludf.DUMMYFUNCTION("""COMPUTED_VALUE"""),9.0)</f>
        <v>9</v>
      </c>
      <c r="B2660" s="406">
        <f>IFERROR(__xludf.DUMMYFUNCTION("""COMPUTED_VALUE"""),29056.0)</f>
        <v>29056</v>
      </c>
      <c r="C2660" t="str">
        <f>IFERROR(__xludf.DUMMYFUNCTION("""COMPUTED_VALUE"""),"JAILLIER PINZON, MAXIMILIANO")</f>
        <v>JAILLIER PINZON, MAXIMILIANO</v>
      </c>
      <c r="D2660" t="str">
        <f>IFERROR(__xludf.DUMMYFUNCTION("""COMPUTED_VALUE"""),"Social Studies 9")</f>
        <v>Social Studies 9</v>
      </c>
      <c r="E2660" s="3">
        <f>IFERROR(__xludf.DUMMYFUNCTION("""COMPUTED_VALUE"""),5.0)</f>
        <v>5</v>
      </c>
      <c r="F2660" s="300">
        <v>1.0</v>
      </c>
      <c r="G2660" s="300">
        <v>1.0</v>
      </c>
      <c r="H2660" s="300">
        <v>1.0</v>
      </c>
      <c r="I2660" s="300">
        <v>1.0</v>
      </c>
      <c r="J2660" s="300">
        <v>1.0</v>
      </c>
      <c r="K2660" s="300">
        <v>1.0</v>
      </c>
      <c r="L2660" s="300">
        <v>1.0</v>
      </c>
      <c r="M2660" s="300">
        <v>1.0</v>
      </c>
      <c r="N2660" s="300">
        <v>8.0</v>
      </c>
      <c r="O2660" s="300" t="s">
        <v>923</v>
      </c>
      <c r="P2660" s="300">
        <v>6.0</v>
      </c>
    </row>
    <row r="2661">
      <c r="A2661">
        <f>IFERROR(__xludf.DUMMYFUNCTION("""COMPUTED_VALUE"""),9.0)</f>
        <v>9</v>
      </c>
      <c r="B2661" s="406">
        <f>IFERROR(__xludf.DUMMYFUNCTION("""COMPUTED_VALUE"""),29073.0)</f>
        <v>29073</v>
      </c>
      <c r="C2661" t="str">
        <f>IFERROR(__xludf.DUMMYFUNCTION("""COMPUTED_VALUE"""),"MARRERO MARTA, ALINA")</f>
        <v>MARRERO MARTA, ALINA</v>
      </c>
      <c r="D2661" t="str">
        <f>IFERROR(__xludf.DUMMYFUNCTION("""COMPUTED_VALUE"""),"Social Studies 9")</f>
        <v>Social Studies 9</v>
      </c>
      <c r="E2661" s="3">
        <f>IFERROR(__xludf.DUMMYFUNCTION("""COMPUTED_VALUE"""),7.0)</f>
        <v>7</v>
      </c>
      <c r="F2661" s="300">
        <v>1.0</v>
      </c>
      <c r="G2661" s="300">
        <v>1.0</v>
      </c>
      <c r="H2661" s="300">
        <v>1.0</v>
      </c>
      <c r="I2661" s="300">
        <v>1.0</v>
      </c>
      <c r="J2661" s="300">
        <v>1.0</v>
      </c>
      <c r="K2661" s="300">
        <v>1.0</v>
      </c>
      <c r="L2661" s="300">
        <v>1.0</v>
      </c>
      <c r="M2661" s="300">
        <v>1.0</v>
      </c>
      <c r="N2661" s="300">
        <v>8.0</v>
      </c>
      <c r="O2661" s="300" t="s">
        <v>925</v>
      </c>
      <c r="P2661" s="300">
        <v>6.0</v>
      </c>
    </row>
    <row r="2662">
      <c r="A2662">
        <f>IFERROR(__xludf.DUMMYFUNCTION("""COMPUTED_VALUE"""),9.0)</f>
        <v>9</v>
      </c>
      <c r="B2662" s="406">
        <f>IFERROR(__xludf.DUMMYFUNCTION("""COMPUTED_VALUE"""),29065.0)</f>
        <v>29065</v>
      </c>
      <c r="C2662" t="str">
        <f>IFERROR(__xludf.DUMMYFUNCTION("""COMPUTED_VALUE"""),"LONDOÑO CUARTAS, TOMAS")</f>
        <v>LONDOÑO CUARTAS, TOMAS</v>
      </c>
      <c r="D2662" t="str">
        <f>IFERROR(__xludf.DUMMYFUNCTION("""COMPUTED_VALUE"""),"Social Studies 9")</f>
        <v>Social Studies 9</v>
      </c>
      <c r="E2662" s="3">
        <f>IFERROR(__xludf.DUMMYFUNCTION("""COMPUTED_VALUE"""),3.0)</f>
        <v>3</v>
      </c>
      <c r="F2662" s="300">
        <v>1.0</v>
      </c>
      <c r="G2662" s="300">
        <v>1.0</v>
      </c>
      <c r="H2662" s="300">
        <v>1.0</v>
      </c>
      <c r="I2662" s="300">
        <v>1.0</v>
      </c>
      <c r="J2662" s="300">
        <v>1.0</v>
      </c>
      <c r="K2662" s="300">
        <v>1.0</v>
      </c>
      <c r="L2662" s="300">
        <v>1.0</v>
      </c>
      <c r="M2662" s="300">
        <v>1.0</v>
      </c>
      <c r="N2662" s="300">
        <v>8.0</v>
      </c>
      <c r="O2662" s="300" t="s">
        <v>924</v>
      </c>
      <c r="P2662" s="300">
        <v>6.0</v>
      </c>
    </row>
    <row r="2663">
      <c r="A2663">
        <f>IFERROR(__xludf.DUMMYFUNCTION("""COMPUTED_VALUE"""),9.0)</f>
        <v>9</v>
      </c>
      <c r="B2663" s="406">
        <f>IFERROR(__xludf.DUMMYFUNCTION("""COMPUTED_VALUE"""),29101.0)</f>
        <v>29101</v>
      </c>
      <c r="C2663" t="str">
        <f>IFERROR(__xludf.DUMMYFUNCTION("""COMPUTED_VALUE"""),"ROBLES MARTINEZ, MARIA")</f>
        <v>ROBLES MARTINEZ, MARIA</v>
      </c>
      <c r="D2663" t="str">
        <f>IFERROR(__xludf.DUMMYFUNCTION("""COMPUTED_VALUE"""),"Social Studies 9")</f>
        <v>Social Studies 9</v>
      </c>
      <c r="E2663" s="3">
        <f>IFERROR(__xludf.DUMMYFUNCTION("""COMPUTED_VALUE"""),3.0)</f>
        <v>3</v>
      </c>
      <c r="F2663" s="300">
        <v>1.0</v>
      </c>
      <c r="G2663" s="300">
        <v>1.0</v>
      </c>
      <c r="H2663" s="300">
        <v>1.0</v>
      </c>
      <c r="I2663" s="300">
        <v>1.0</v>
      </c>
      <c r="J2663" s="300">
        <v>1.0</v>
      </c>
      <c r="K2663" s="300">
        <v>1.0</v>
      </c>
      <c r="L2663" s="300">
        <v>1.0</v>
      </c>
      <c r="M2663" s="300">
        <v>1.0</v>
      </c>
      <c r="N2663" s="300">
        <v>8.0</v>
      </c>
      <c r="O2663" s="300" t="s">
        <v>924</v>
      </c>
      <c r="P2663" s="300">
        <v>6.0</v>
      </c>
    </row>
    <row r="2664">
      <c r="A2664">
        <f>IFERROR(__xludf.DUMMYFUNCTION("""COMPUTED_VALUE"""),9.0)</f>
        <v>9</v>
      </c>
      <c r="B2664" s="406">
        <f>IFERROR(__xludf.DUMMYFUNCTION("""COMPUTED_VALUE"""),29036.0)</f>
        <v>29036</v>
      </c>
      <c r="C2664" t="str">
        <f>IFERROR(__xludf.DUMMYFUNCTION("""COMPUTED_VALUE"""),"ECHEVERRI ESCOBAR, RODRIGO")</f>
        <v>ECHEVERRI ESCOBAR, RODRIGO</v>
      </c>
      <c r="D2664" t="str">
        <f>IFERROR(__xludf.DUMMYFUNCTION("""COMPUTED_VALUE"""),"Social Studies 9")</f>
        <v>Social Studies 9</v>
      </c>
      <c r="E2664" s="3">
        <f>IFERROR(__xludf.DUMMYFUNCTION("""COMPUTED_VALUE"""),3.0)</f>
        <v>3</v>
      </c>
      <c r="F2664" s="300">
        <v>1.0</v>
      </c>
      <c r="G2664" s="300">
        <v>1.0</v>
      </c>
      <c r="H2664" s="300">
        <v>1.0</v>
      </c>
      <c r="I2664" s="300">
        <v>1.0</v>
      </c>
      <c r="J2664" s="300">
        <v>1.0</v>
      </c>
      <c r="K2664" s="300">
        <v>1.0</v>
      </c>
      <c r="L2664" s="300">
        <v>1.0</v>
      </c>
      <c r="M2664" s="300">
        <v>1.0</v>
      </c>
      <c r="N2664" s="300">
        <v>8.0</v>
      </c>
      <c r="O2664" s="300" t="s">
        <v>924</v>
      </c>
      <c r="P2664" s="300">
        <v>6.0</v>
      </c>
    </row>
    <row r="2665">
      <c r="A2665">
        <f>IFERROR(__xludf.DUMMYFUNCTION("""COMPUTED_VALUE"""),9.0)</f>
        <v>9</v>
      </c>
      <c r="B2665" s="406">
        <f>IFERROR(__xludf.DUMMYFUNCTION("""COMPUTED_VALUE"""),29106.0)</f>
        <v>29106</v>
      </c>
      <c r="C2665" t="str">
        <f>IFERROR(__xludf.DUMMYFUNCTION("""COMPUTED_VALUE"""),"SANCHEZ DIAZ, SIMON")</f>
        <v>SANCHEZ DIAZ, SIMON</v>
      </c>
      <c r="D2665" t="str">
        <f>IFERROR(__xludf.DUMMYFUNCTION("""COMPUTED_VALUE"""),"Social Studies 9")</f>
        <v>Social Studies 9</v>
      </c>
      <c r="E2665" s="3">
        <f>IFERROR(__xludf.DUMMYFUNCTION("""COMPUTED_VALUE"""),3.0)</f>
        <v>3</v>
      </c>
      <c r="F2665" s="300">
        <v>1.0</v>
      </c>
      <c r="G2665" s="300">
        <v>1.0</v>
      </c>
      <c r="H2665" s="300">
        <v>1.0</v>
      </c>
      <c r="I2665" s="300">
        <v>1.0</v>
      </c>
      <c r="J2665" s="300">
        <v>1.0</v>
      </c>
      <c r="K2665" s="300">
        <v>1.0</v>
      </c>
      <c r="L2665" s="300">
        <v>1.0</v>
      </c>
      <c r="M2665" s="300">
        <v>1.0</v>
      </c>
      <c r="N2665" s="300">
        <v>8.0</v>
      </c>
      <c r="O2665" s="300" t="s">
        <v>924</v>
      </c>
      <c r="P2665" s="300">
        <v>6.0</v>
      </c>
    </row>
    <row r="2666">
      <c r="A2666">
        <f>IFERROR(__xludf.DUMMYFUNCTION("""COMPUTED_VALUE"""),9.0)</f>
        <v>9</v>
      </c>
      <c r="B2666" s="406">
        <f>IFERROR(__xludf.DUMMYFUNCTION("""COMPUTED_VALUE"""),29067.0)</f>
        <v>29067</v>
      </c>
      <c r="C2666" t="str">
        <f>IFERROR(__xludf.DUMMYFUNCTION("""COMPUTED_VALUE"""),"LOPEZ ESCOBAR, VALENTIN")</f>
        <v>LOPEZ ESCOBAR, VALENTIN</v>
      </c>
      <c r="D2666" t="str">
        <f>IFERROR(__xludf.DUMMYFUNCTION("""COMPUTED_VALUE"""),"Social Studies 9")</f>
        <v>Social Studies 9</v>
      </c>
      <c r="E2666" s="3">
        <f>IFERROR(__xludf.DUMMYFUNCTION("""COMPUTED_VALUE"""),7.0)</f>
        <v>7</v>
      </c>
      <c r="F2666" s="300">
        <v>1.0</v>
      </c>
      <c r="G2666" s="300">
        <v>1.0</v>
      </c>
      <c r="H2666" s="300">
        <v>1.0</v>
      </c>
      <c r="I2666" s="300">
        <v>1.0</v>
      </c>
      <c r="J2666" s="300">
        <v>1.0</v>
      </c>
      <c r="K2666" s="300">
        <v>1.0</v>
      </c>
      <c r="L2666" s="300">
        <v>1.0</v>
      </c>
      <c r="M2666" s="300">
        <v>1.0</v>
      </c>
      <c r="N2666" s="300">
        <v>8.0</v>
      </c>
      <c r="O2666" s="300" t="s">
        <v>925</v>
      </c>
      <c r="P2666" s="300">
        <v>6.0</v>
      </c>
    </row>
    <row r="2667">
      <c r="A2667">
        <f>IFERROR(__xludf.DUMMYFUNCTION("""COMPUTED_VALUE"""),9.0)</f>
        <v>9</v>
      </c>
      <c r="B2667" s="406">
        <f>IFERROR(__xludf.DUMMYFUNCTION("""COMPUTED_VALUE"""),28023.0)</f>
        <v>28023</v>
      </c>
      <c r="C2667" t="str">
        <f>IFERROR(__xludf.DUMMYFUNCTION("""COMPUTED_VALUE"""),"CLAVIJO GIRALDO, LORENZO")</f>
        <v>CLAVIJO GIRALDO, LORENZO</v>
      </c>
      <c r="D2667" t="str">
        <f>IFERROR(__xludf.DUMMYFUNCTION("""COMPUTED_VALUE"""),"Social Studies 9")</f>
        <v>Social Studies 9</v>
      </c>
      <c r="E2667" s="3">
        <f>IFERROR(__xludf.DUMMYFUNCTION("""COMPUTED_VALUE"""),7.0)</f>
        <v>7</v>
      </c>
      <c r="F2667" s="300">
        <v>1.0</v>
      </c>
      <c r="G2667" s="300">
        <v>1.0</v>
      </c>
      <c r="H2667" s="300">
        <v>1.0</v>
      </c>
      <c r="I2667" s="300">
        <v>1.0</v>
      </c>
      <c r="J2667" s="300">
        <v>1.0</v>
      </c>
      <c r="K2667" s="300">
        <v>1.0</v>
      </c>
      <c r="L2667" s="300">
        <v>1.0</v>
      </c>
      <c r="M2667" s="300">
        <v>1.0</v>
      </c>
      <c r="N2667" s="300">
        <v>8.0</v>
      </c>
      <c r="O2667" s="300" t="s">
        <v>925</v>
      </c>
      <c r="P2667" s="300">
        <v>6.0</v>
      </c>
    </row>
    <row r="2668">
      <c r="A2668">
        <f>IFERROR(__xludf.DUMMYFUNCTION("""COMPUTED_VALUE"""),9.0)</f>
        <v>9</v>
      </c>
      <c r="B2668" s="406">
        <f>IFERROR(__xludf.DUMMYFUNCTION("""COMPUTED_VALUE"""),29145.0)</f>
        <v>29145</v>
      </c>
      <c r="C2668" t="str">
        <f>IFERROR(__xludf.DUMMYFUNCTION("""COMPUTED_VALUE"""),"VELASQUEZ GUTIERREZ, SAMUEL")</f>
        <v>VELASQUEZ GUTIERREZ, SAMUEL</v>
      </c>
      <c r="D2668" t="str">
        <f>IFERROR(__xludf.DUMMYFUNCTION("""COMPUTED_VALUE"""),"Social Studies 9")</f>
        <v>Social Studies 9</v>
      </c>
      <c r="E2668" s="3">
        <f>IFERROR(__xludf.DUMMYFUNCTION("""COMPUTED_VALUE"""),8.0)</f>
        <v>8</v>
      </c>
      <c r="F2668" s="300">
        <v>1.0</v>
      </c>
      <c r="G2668" s="300">
        <v>1.0</v>
      </c>
      <c r="H2668" s="300">
        <v>1.0</v>
      </c>
      <c r="I2668" s="300">
        <v>1.0</v>
      </c>
      <c r="J2668" s="300">
        <v>1.0</v>
      </c>
      <c r="K2668" s="300">
        <v>1.0</v>
      </c>
      <c r="L2668" s="300">
        <v>1.0</v>
      </c>
      <c r="M2668" s="300">
        <v>1.0</v>
      </c>
      <c r="N2668" s="300">
        <v>8.0</v>
      </c>
      <c r="O2668" s="300" t="s">
        <v>922</v>
      </c>
      <c r="P2668" s="300">
        <v>6.0</v>
      </c>
    </row>
    <row r="2669">
      <c r="A2669">
        <f>IFERROR(__xludf.DUMMYFUNCTION("""COMPUTED_VALUE"""),9.0)</f>
        <v>9</v>
      </c>
      <c r="B2669" s="406">
        <f>IFERROR(__xludf.DUMMYFUNCTION("""COMPUTED_VALUE"""),29061.0)</f>
        <v>29061</v>
      </c>
      <c r="C2669" t="str">
        <f>IFERROR(__xludf.DUMMYFUNCTION("""COMPUTED_VALUE"""),"JARAMILLO OSPINA, MANUEL")</f>
        <v>JARAMILLO OSPINA, MANUEL</v>
      </c>
      <c r="D2669" t="str">
        <f>IFERROR(__xludf.DUMMYFUNCTION("""COMPUTED_VALUE"""),"Social Studies 9")</f>
        <v>Social Studies 9</v>
      </c>
      <c r="E2669" s="3">
        <f>IFERROR(__xludf.DUMMYFUNCTION("""COMPUTED_VALUE"""),8.0)</f>
        <v>8</v>
      </c>
      <c r="F2669" s="300">
        <v>1.0</v>
      </c>
      <c r="G2669" s="300">
        <v>1.0</v>
      </c>
      <c r="H2669" s="300">
        <v>1.0</v>
      </c>
      <c r="I2669" s="300">
        <v>1.0</v>
      </c>
      <c r="J2669" s="300">
        <v>1.0</v>
      </c>
      <c r="K2669" s="300">
        <v>1.0</v>
      </c>
      <c r="L2669" s="300">
        <v>1.0</v>
      </c>
      <c r="M2669" s="300">
        <v>1.0</v>
      </c>
      <c r="N2669" s="300">
        <v>8.0</v>
      </c>
      <c r="O2669" s="300" t="s">
        <v>922</v>
      </c>
      <c r="P2669" s="300">
        <v>6.0</v>
      </c>
    </row>
    <row r="2670">
      <c r="A2670">
        <f>IFERROR(__xludf.DUMMYFUNCTION("""COMPUTED_VALUE"""),9.0)</f>
        <v>9</v>
      </c>
      <c r="B2670" s="406">
        <f>IFERROR(__xludf.DUMMYFUNCTION("""COMPUTED_VALUE"""),29046.0)</f>
        <v>29046</v>
      </c>
      <c r="C2670" t="str">
        <f>IFERROR(__xludf.DUMMYFUNCTION("""COMPUTED_VALUE"""),"GONZALEZ LOPEZ, SAMUEL")</f>
        <v>GONZALEZ LOPEZ, SAMUEL</v>
      </c>
      <c r="D2670" t="str">
        <f>IFERROR(__xludf.DUMMYFUNCTION("""COMPUTED_VALUE"""),"Social Studies 9")</f>
        <v>Social Studies 9</v>
      </c>
      <c r="E2670" s="3">
        <f>IFERROR(__xludf.DUMMYFUNCTION("""COMPUTED_VALUE"""),8.0)</f>
        <v>8</v>
      </c>
      <c r="F2670" s="300">
        <v>1.0</v>
      </c>
      <c r="G2670" s="300">
        <v>1.0</v>
      </c>
      <c r="H2670" s="300">
        <v>1.0</v>
      </c>
      <c r="I2670" s="300">
        <v>1.0</v>
      </c>
      <c r="J2670" s="300">
        <v>1.0</v>
      </c>
      <c r="K2670" s="300">
        <v>1.0</v>
      </c>
      <c r="L2670" s="300">
        <v>1.0</v>
      </c>
      <c r="M2670" s="300">
        <v>1.0</v>
      </c>
      <c r="N2670" s="300">
        <v>8.0</v>
      </c>
      <c r="O2670" s="300" t="s">
        <v>922</v>
      </c>
      <c r="P2670" s="300">
        <v>6.0</v>
      </c>
    </row>
    <row r="2671">
      <c r="A2671">
        <f>IFERROR(__xludf.DUMMYFUNCTION("""COMPUTED_VALUE"""),9.0)</f>
        <v>9</v>
      </c>
      <c r="B2671" s="406">
        <f>IFERROR(__xludf.DUMMYFUNCTION("""COMPUTED_VALUE"""),29143.0)</f>
        <v>29143</v>
      </c>
      <c r="C2671" t="str">
        <f>IFERROR(__xludf.DUMMYFUNCTION("""COMPUTED_VALUE"""),"MOLANO MESA, CARMEN")</f>
        <v>MOLANO MESA, CARMEN</v>
      </c>
      <c r="D2671" t="str">
        <f>IFERROR(__xludf.DUMMYFUNCTION("""COMPUTED_VALUE"""),"Social Studies 9")</f>
        <v>Social Studies 9</v>
      </c>
      <c r="E2671" s="3">
        <f>IFERROR(__xludf.DUMMYFUNCTION("""COMPUTED_VALUE"""),8.0)</f>
        <v>8</v>
      </c>
      <c r="F2671" s="300">
        <v>1.0</v>
      </c>
      <c r="G2671" s="300">
        <v>1.0</v>
      </c>
      <c r="H2671" s="300">
        <v>1.0</v>
      </c>
      <c r="I2671" s="300">
        <v>1.0</v>
      </c>
      <c r="J2671" s="300">
        <v>1.0</v>
      </c>
      <c r="K2671" s="300">
        <v>1.0</v>
      </c>
      <c r="L2671" s="300">
        <v>1.0</v>
      </c>
      <c r="M2671" s="300">
        <v>1.0</v>
      </c>
      <c r="N2671" s="300">
        <v>8.0</v>
      </c>
      <c r="O2671" s="300" t="s">
        <v>922</v>
      </c>
      <c r="P2671" s="300">
        <v>6.0</v>
      </c>
    </row>
    <row r="2672">
      <c r="A2672">
        <f>IFERROR(__xludf.DUMMYFUNCTION("""COMPUTED_VALUE"""),9.0)</f>
        <v>9</v>
      </c>
      <c r="B2672" s="406">
        <f>IFERROR(__xludf.DUMMYFUNCTION("""COMPUTED_VALUE"""),29109.0)</f>
        <v>29109</v>
      </c>
      <c r="C2672" t="str">
        <f>IFERROR(__xludf.DUMMYFUNCTION("""COMPUTED_VALUE"""),"SERANI ANGEL, LUCIANA")</f>
        <v>SERANI ANGEL, LUCIANA</v>
      </c>
      <c r="D2672" t="str">
        <f>IFERROR(__xludf.DUMMYFUNCTION("""COMPUTED_VALUE"""),"Social Studies 9")</f>
        <v>Social Studies 9</v>
      </c>
      <c r="E2672" s="3">
        <f>IFERROR(__xludf.DUMMYFUNCTION("""COMPUTED_VALUE"""),7.0)</f>
        <v>7</v>
      </c>
      <c r="F2672" s="300">
        <v>1.0</v>
      </c>
      <c r="G2672" s="300">
        <v>1.0</v>
      </c>
      <c r="H2672" s="300">
        <v>1.0</v>
      </c>
      <c r="I2672" s="300">
        <v>1.0</v>
      </c>
      <c r="J2672" s="300">
        <v>1.0</v>
      </c>
      <c r="K2672" s="300">
        <v>1.0</v>
      </c>
      <c r="L2672" s="300">
        <v>1.0</v>
      </c>
      <c r="M2672" s="300">
        <v>1.0</v>
      </c>
      <c r="N2672" s="300">
        <v>8.0</v>
      </c>
      <c r="O2672" s="300" t="s">
        <v>925</v>
      </c>
      <c r="P2672" s="300">
        <v>6.0</v>
      </c>
    </row>
    <row r="2673">
      <c r="A2673">
        <f>IFERROR(__xludf.DUMMYFUNCTION("""COMPUTED_VALUE"""),9.0)</f>
        <v>9</v>
      </c>
      <c r="B2673" s="406">
        <f>IFERROR(__xludf.DUMMYFUNCTION("""COMPUTED_VALUE"""),29037.0)</f>
        <v>29037</v>
      </c>
      <c r="C2673" t="str">
        <f>IFERROR(__xludf.DUMMYFUNCTION("""COMPUTED_VALUE"""),"ESCOBAR INFANTINO, RAQUEL")</f>
        <v>ESCOBAR INFANTINO, RAQUEL</v>
      </c>
      <c r="D2673" t="str">
        <f>IFERROR(__xludf.DUMMYFUNCTION("""COMPUTED_VALUE"""),"Social Studies 9")</f>
        <v>Social Studies 9</v>
      </c>
      <c r="E2673" s="3">
        <f>IFERROR(__xludf.DUMMYFUNCTION("""COMPUTED_VALUE"""),5.0)</f>
        <v>5</v>
      </c>
      <c r="F2673" s="300">
        <v>1.0</v>
      </c>
      <c r="G2673" s="300">
        <v>1.0</v>
      </c>
      <c r="H2673" s="300">
        <v>1.0</v>
      </c>
      <c r="I2673" s="300">
        <v>1.0</v>
      </c>
      <c r="J2673" s="300">
        <v>1.0</v>
      </c>
      <c r="K2673" s="300">
        <v>1.0</v>
      </c>
      <c r="L2673" s="300">
        <v>1.0</v>
      </c>
      <c r="M2673" s="300">
        <v>1.0</v>
      </c>
      <c r="N2673" s="300">
        <v>8.0</v>
      </c>
      <c r="O2673" s="300" t="s">
        <v>923</v>
      </c>
      <c r="P2673" s="300">
        <v>6.0</v>
      </c>
    </row>
    <row r="2674">
      <c r="A2674">
        <f>IFERROR(__xludf.DUMMYFUNCTION("""COMPUTED_VALUE"""),9.0)</f>
        <v>9</v>
      </c>
      <c r="B2674" s="406">
        <f>IFERROR(__xludf.DUMMYFUNCTION("""COMPUTED_VALUE"""),29159.0)</f>
        <v>29159</v>
      </c>
      <c r="C2674" t="str">
        <f>IFERROR(__xludf.DUMMYFUNCTION("""COMPUTED_VALUE"""),"PACHECO GARCIA, MARIANA")</f>
        <v>PACHECO GARCIA, MARIANA</v>
      </c>
      <c r="D2674" t="str">
        <f>IFERROR(__xludf.DUMMYFUNCTION("""COMPUTED_VALUE"""),"Social Studies 9")</f>
        <v>Social Studies 9</v>
      </c>
      <c r="E2674" s="3">
        <f>IFERROR(__xludf.DUMMYFUNCTION("""COMPUTED_VALUE"""),4.0)</f>
        <v>4</v>
      </c>
      <c r="F2674" s="300">
        <v>1.0</v>
      </c>
      <c r="G2674" s="300">
        <v>1.0</v>
      </c>
      <c r="H2674" s="300">
        <v>1.0</v>
      </c>
      <c r="I2674" s="300">
        <v>1.0</v>
      </c>
      <c r="J2674" s="300">
        <v>1.0</v>
      </c>
      <c r="K2674" s="300">
        <v>1.0</v>
      </c>
      <c r="L2674" s="300">
        <v>1.0</v>
      </c>
      <c r="M2674" s="300">
        <v>1.0</v>
      </c>
      <c r="N2674" s="300">
        <v>8.0</v>
      </c>
      <c r="O2674" s="300" t="s">
        <v>921</v>
      </c>
      <c r="P2674" s="300">
        <v>6.0</v>
      </c>
    </row>
    <row r="2675">
      <c r="A2675">
        <f>IFERROR(__xludf.DUMMYFUNCTION("""COMPUTED_VALUE"""),9.0)</f>
        <v>9</v>
      </c>
      <c r="B2675" s="406">
        <f>IFERROR(__xludf.DUMMYFUNCTION("""COMPUTED_VALUE"""),29142.0)</f>
        <v>29142</v>
      </c>
      <c r="C2675" t="str">
        <f>IFERROR(__xludf.DUMMYFUNCTION("""COMPUTED_VALUE"""),"TOBON CARMONA, JACOBO")</f>
        <v>TOBON CARMONA, JACOBO</v>
      </c>
      <c r="D2675" t="str">
        <f>IFERROR(__xludf.DUMMYFUNCTION("""COMPUTED_VALUE"""),"Social Studies 9")</f>
        <v>Social Studies 9</v>
      </c>
      <c r="E2675" s="3">
        <f>IFERROR(__xludf.DUMMYFUNCTION("""COMPUTED_VALUE"""),4.0)</f>
        <v>4</v>
      </c>
      <c r="F2675" s="300">
        <v>1.0</v>
      </c>
      <c r="G2675" s="300">
        <v>1.0</v>
      </c>
      <c r="H2675" s="300">
        <v>1.0</v>
      </c>
      <c r="I2675" s="300">
        <v>1.0</v>
      </c>
      <c r="J2675" s="300">
        <v>1.0</v>
      </c>
      <c r="K2675" s="300">
        <v>1.0</v>
      </c>
      <c r="L2675" s="300">
        <v>1.0</v>
      </c>
      <c r="M2675" s="300">
        <v>1.0</v>
      </c>
      <c r="N2675" s="300">
        <v>8.0</v>
      </c>
      <c r="O2675" s="300" t="s">
        <v>921</v>
      </c>
      <c r="P2675" s="300">
        <v>6.0</v>
      </c>
    </row>
    <row r="2676">
      <c r="A2676">
        <f>IFERROR(__xludf.DUMMYFUNCTION("""COMPUTED_VALUE"""),9.0)</f>
        <v>9</v>
      </c>
      <c r="B2676" s="406">
        <f>IFERROR(__xludf.DUMMYFUNCTION("""COMPUTED_VALUE"""),29132.0)</f>
        <v>29132</v>
      </c>
      <c r="C2676" t="str">
        <f>IFERROR(__xludf.DUMMYFUNCTION("""COMPUTED_VALUE"""),"VILLEGAS MEJIA, SIMON")</f>
        <v>VILLEGAS MEJIA, SIMON</v>
      </c>
      <c r="D2676" t="str">
        <f>IFERROR(__xludf.DUMMYFUNCTION("""COMPUTED_VALUE"""),"Social Studies 9")</f>
        <v>Social Studies 9</v>
      </c>
      <c r="E2676" s="3">
        <f>IFERROR(__xludf.DUMMYFUNCTION("""COMPUTED_VALUE"""),3.0)</f>
        <v>3</v>
      </c>
      <c r="F2676" s="300">
        <v>1.0</v>
      </c>
      <c r="G2676" s="300">
        <v>1.0</v>
      </c>
      <c r="H2676" s="300">
        <v>1.0</v>
      </c>
      <c r="I2676" s="300">
        <v>1.0</v>
      </c>
      <c r="J2676" s="300">
        <v>1.0</v>
      </c>
      <c r="K2676" s="300">
        <v>1.0</v>
      </c>
      <c r="L2676" s="300">
        <v>1.0</v>
      </c>
      <c r="M2676" s="300">
        <v>1.0</v>
      </c>
      <c r="N2676" s="300">
        <v>8.0</v>
      </c>
      <c r="O2676" s="300" t="s">
        <v>924</v>
      </c>
      <c r="P2676" s="300">
        <v>6.0</v>
      </c>
    </row>
    <row r="2677">
      <c r="A2677">
        <f>IFERROR(__xludf.DUMMYFUNCTION("""COMPUTED_VALUE"""),9.0)</f>
        <v>9</v>
      </c>
      <c r="B2677" s="406">
        <f>IFERROR(__xludf.DUMMYFUNCTION("""COMPUTED_VALUE"""),29027.0)</f>
        <v>29027</v>
      </c>
      <c r="C2677" t="str">
        <f>IFERROR(__xludf.DUMMYFUNCTION("""COMPUTED_VALUE"""),"CARDONA VELEZ, MATIAS")</f>
        <v>CARDONA VELEZ, MATIAS</v>
      </c>
      <c r="D2677" t="str">
        <f>IFERROR(__xludf.DUMMYFUNCTION("""COMPUTED_VALUE"""),"Social Studies 9")</f>
        <v>Social Studies 9</v>
      </c>
      <c r="E2677" s="3">
        <f>IFERROR(__xludf.DUMMYFUNCTION("""COMPUTED_VALUE"""),3.0)</f>
        <v>3</v>
      </c>
      <c r="F2677" s="300">
        <v>1.0</v>
      </c>
      <c r="G2677" s="300">
        <v>1.0</v>
      </c>
      <c r="H2677" s="300">
        <v>1.0</v>
      </c>
      <c r="I2677" s="300">
        <v>1.0</v>
      </c>
      <c r="J2677" s="300">
        <v>1.0</v>
      </c>
      <c r="K2677" s="300">
        <v>1.0</v>
      </c>
      <c r="L2677" s="300">
        <v>1.0</v>
      </c>
      <c r="M2677" s="300">
        <v>1.0</v>
      </c>
      <c r="N2677" s="300">
        <v>8.0</v>
      </c>
      <c r="O2677" s="300" t="s">
        <v>924</v>
      </c>
      <c r="P2677" s="300">
        <v>6.0</v>
      </c>
    </row>
    <row r="2678">
      <c r="A2678">
        <f>IFERROR(__xludf.DUMMYFUNCTION("""COMPUTED_VALUE"""),9.0)</f>
        <v>9</v>
      </c>
      <c r="B2678" s="406">
        <f>IFERROR(__xludf.DUMMYFUNCTION("""COMPUTED_VALUE"""),29024.0)</f>
        <v>29024</v>
      </c>
      <c r="C2678" t="str">
        <f>IFERROR(__xludf.DUMMYFUNCTION("""COMPUTED_VALUE"""),"CADAVID RESTREPO, LUIS FERNANDO")</f>
        <v>CADAVID RESTREPO, LUIS FERNANDO</v>
      </c>
      <c r="D2678" t="str">
        <f>IFERROR(__xludf.DUMMYFUNCTION("""COMPUTED_VALUE"""),"Social Studies 9")</f>
        <v>Social Studies 9</v>
      </c>
      <c r="E2678" s="3">
        <f>IFERROR(__xludf.DUMMYFUNCTION("""COMPUTED_VALUE"""),8.0)</f>
        <v>8</v>
      </c>
      <c r="F2678" s="300">
        <v>1.0</v>
      </c>
      <c r="G2678" s="300">
        <v>1.0</v>
      </c>
      <c r="H2678" s="300">
        <v>1.0</v>
      </c>
      <c r="I2678" s="300">
        <v>1.0</v>
      </c>
      <c r="J2678" s="300">
        <v>1.0</v>
      </c>
      <c r="K2678" s="300">
        <v>1.0</v>
      </c>
      <c r="L2678" s="300">
        <v>1.0</v>
      </c>
      <c r="M2678" s="300">
        <v>1.0</v>
      </c>
      <c r="N2678" s="300">
        <v>8.0</v>
      </c>
      <c r="O2678" s="300" t="s">
        <v>922</v>
      </c>
      <c r="P2678" s="300">
        <v>6.0</v>
      </c>
    </row>
    <row r="2679">
      <c r="A2679">
        <f>IFERROR(__xludf.DUMMYFUNCTION("""COMPUTED_VALUE"""),9.0)</f>
        <v>9</v>
      </c>
      <c r="B2679" s="406">
        <f>IFERROR(__xludf.DUMMYFUNCTION("""COMPUTED_VALUE"""),29042.0)</f>
        <v>29042</v>
      </c>
      <c r="C2679" t="str">
        <f>IFERROR(__xludf.DUMMYFUNCTION("""COMPUTED_VALUE"""),"GOMEZ MIRA, GREGORIO")</f>
        <v>GOMEZ MIRA, GREGORIO</v>
      </c>
      <c r="D2679" t="str">
        <f>IFERROR(__xludf.DUMMYFUNCTION("""COMPUTED_VALUE"""),"Social Studies 9")</f>
        <v>Social Studies 9</v>
      </c>
      <c r="E2679" s="3">
        <f>IFERROR(__xludf.DUMMYFUNCTION("""COMPUTED_VALUE"""),7.0)</f>
        <v>7</v>
      </c>
      <c r="F2679" s="300">
        <v>1.0</v>
      </c>
      <c r="G2679" s="300">
        <v>1.0</v>
      </c>
      <c r="H2679" s="300">
        <v>1.0</v>
      </c>
      <c r="I2679" s="300">
        <v>1.0</v>
      </c>
      <c r="J2679" s="300">
        <v>1.0</v>
      </c>
      <c r="K2679" s="300">
        <v>1.0</v>
      </c>
      <c r="L2679" s="300">
        <v>1.0</v>
      </c>
      <c r="M2679" s="300">
        <v>1.0</v>
      </c>
      <c r="N2679" s="300">
        <v>8.0</v>
      </c>
      <c r="O2679" s="300" t="s">
        <v>925</v>
      </c>
      <c r="P2679" s="300">
        <v>6.0</v>
      </c>
    </row>
    <row r="2680">
      <c r="A2680">
        <f>IFERROR(__xludf.DUMMYFUNCTION("""COMPUTED_VALUE"""),9.0)</f>
        <v>9</v>
      </c>
      <c r="B2680" s="406">
        <f>IFERROR(__xludf.DUMMYFUNCTION("""COMPUTED_VALUE"""),29120.0)</f>
        <v>29120</v>
      </c>
      <c r="C2680" t="str">
        <f>IFERROR(__xludf.DUMMYFUNCTION("""COMPUTED_VALUE"""),"URIBE JARAMILLO, PEDRO JUAN")</f>
        <v>URIBE JARAMILLO, PEDRO JUAN</v>
      </c>
      <c r="D2680" t="str">
        <f>IFERROR(__xludf.DUMMYFUNCTION("""COMPUTED_VALUE"""),"Social Studies 9")</f>
        <v>Social Studies 9</v>
      </c>
      <c r="E2680" s="3">
        <f>IFERROR(__xludf.DUMMYFUNCTION("""COMPUTED_VALUE"""),7.0)</f>
        <v>7</v>
      </c>
      <c r="F2680" s="300">
        <v>1.0</v>
      </c>
      <c r="G2680" s="300">
        <v>1.0</v>
      </c>
      <c r="H2680" s="300">
        <v>1.0</v>
      </c>
      <c r="I2680" s="300">
        <v>1.0</v>
      </c>
      <c r="J2680" s="300">
        <v>1.0</v>
      </c>
      <c r="K2680" s="300">
        <v>1.0</v>
      </c>
      <c r="L2680" s="300">
        <v>1.0</v>
      </c>
      <c r="M2680" s="300">
        <v>1.0</v>
      </c>
      <c r="N2680" s="300">
        <v>8.0</v>
      </c>
      <c r="O2680" s="300" t="s">
        <v>925</v>
      </c>
      <c r="P2680" s="300">
        <v>6.0</v>
      </c>
    </row>
    <row r="2681">
      <c r="A2681">
        <f>IFERROR(__xludf.DUMMYFUNCTION("""COMPUTED_VALUE"""),9.0)</f>
        <v>9</v>
      </c>
      <c r="B2681" s="406">
        <f>IFERROR(__xludf.DUMMYFUNCTION("""COMPUTED_VALUE"""),29040.0)</f>
        <v>29040</v>
      </c>
      <c r="C2681" t="str">
        <f>IFERROR(__xludf.DUMMYFUNCTION("""COMPUTED_VALUE"""),"ESTRADA ZAPATA, MARTIN")</f>
        <v>ESTRADA ZAPATA, MARTIN</v>
      </c>
      <c r="D2681" t="str">
        <f>IFERROR(__xludf.DUMMYFUNCTION("""COMPUTED_VALUE"""),"Social Studies 9")</f>
        <v>Social Studies 9</v>
      </c>
      <c r="E2681" s="3">
        <f>IFERROR(__xludf.DUMMYFUNCTION("""COMPUTED_VALUE"""),4.0)</f>
        <v>4</v>
      </c>
      <c r="F2681" s="300">
        <v>1.0</v>
      </c>
      <c r="G2681" s="300">
        <v>1.0</v>
      </c>
      <c r="H2681" s="300">
        <v>1.0</v>
      </c>
      <c r="I2681" s="300">
        <v>1.0</v>
      </c>
      <c r="J2681" s="300">
        <v>1.0</v>
      </c>
      <c r="K2681" s="300">
        <v>1.0</v>
      </c>
      <c r="L2681" s="300">
        <v>1.0</v>
      </c>
      <c r="M2681" s="300">
        <v>1.0</v>
      </c>
      <c r="N2681" s="300">
        <v>8.0</v>
      </c>
      <c r="O2681" s="300" t="s">
        <v>921</v>
      </c>
      <c r="P2681" s="300">
        <v>6.0</v>
      </c>
    </row>
    <row r="2682">
      <c r="A2682">
        <f>IFERROR(__xludf.DUMMYFUNCTION("""COMPUTED_VALUE"""),9.0)</f>
        <v>9</v>
      </c>
      <c r="B2682" s="406">
        <f>IFERROR(__xludf.DUMMYFUNCTION("""COMPUTED_VALUE"""),29057.0)</f>
        <v>29057</v>
      </c>
      <c r="C2682" t="str">
        <f>IFERROR(__xludf.DUMMYFUNCTION("""COMPUTED_VALUE"""),"JALLER TRUJILLO, KAMEL")</f>
        <v>JALLER TRUJILLO, KAMEL</v>
      </c>
      <c r="D2682" t="str">
        <f>IFERROR(__xludf.DUMMYFUNCTION("""COMPUTED_VALUE"""),"Social Studies 9")</f>
        <v>Social Studies 9</v>
      </c>
      <c r="E2682" s="3">
        <f>IFERROR(__xludf.DUMMYFUNCTION("""COMPUTED_VALUE"""),3.0)</f>
        <v>3</v>
      </c>
      <c r="F2682" s="300">
        <v>1.0</v>
      </c>
      <c r="G2682" s="300">
        <v>1.0</v>
      </c>
      <c r="H2682" s="300">
        <v>1.0</v>
      </c>
      <c r="I2682" s="300">
        <v>1.0</v>
      </c>
      <c r="J2682" s="300">
        <v>1.0</v>
      </c>
      <c r="K2682" s="300">
        <v>1.0</v>
      </c>
      <c r="L2682" s="300">
        <v>1.0</v>
      </c>
      <c r="M2682" s="300">
        <v>1.0</v>
      </c>
      <c r="N2682" s="300">
        <v>8.0</v>
      </c>
      <c r="O2682" s="300" t="s">
        <v>924</v>
      </c>
      <c r="P2682" s="300">
        <v>6.0</v>
      </c>
    </row>
    <row r="2683">
      <c r="A2683">
        <f>IFERROR(__xludf.DUMMYFUNCTION("""COMPUTED_VALUE"""),9.0)</f>
        <v>9</v>
      </c>
      <c r="B2683" s="406">
        <f>IFERROR(__xludf.DUMMYFUNCTION("""COMPUTED_VALUE"""),29092.0)</f>
        <v>29092</v>
      </c>
      <c r="C2683" t="str">
        <f>IFERROR(__xludf.DUMMYFUNCTION("""COMPUTED_VALUE"""),"TURIZZO BORRERO, CAMILO ANDRES")</f>
        <v>TURIZZO BORRERO, CAMILO ANDRES</v>
      </c>
      <c r="D2683" t="str">
        <f>IFERROR(__xludf.DUMMYFUNCTION("""COMPUTED_VALUE"""),"Social Studies 9")</f>
        <v>Social Studies 9</v>
      </c>
      <c r="E2683" s="3">
        <f>IFERROR(__xludf.DUMMYFUNCTION("""COMPUTED_VALUE"""),8.0)</f>
        <v>8</v>
      </c>
      <c r="F2683" s="300">
        <v>1.0</v>
      </c>
      <c r="G2683" s="300">
        <v>1.0</v>
      </c>
      <c r="H2683" s="300">
        <v>1.0</v>
      </c>
      <c r="I2683" s="300">
        <v>1.0</v>
      </c>
      <c r="J2683" s="300">
        <v>1.0</v>
      </c>
      <c r="K2683" s="300">
        <v>1.0</v>
      </c>
      <c r="L2683" s="300">
        <v>1.0</v>
      </c>
      <c r="M2683" s="300">
        <v>1.0</v>
      </c>
      <c r="N2683" s="300">
        <v>8.0</v>
      </c>
      <c r="O2683" s="300" t="s">
        <v>922</v>
      </c>
      <c r="P2683" s="300">
        <v>6.0</v>
      </c>
    </row>
    <row r="2684">
      <c r="A2684">
        <f>IFERROR(__xludf.DUMMYFUNCTION("""COMPUTED_VALUE"""),9.0)</f>
        <v>9</v>
      </c>
      <c r="B2684" s="406">
        <f>IFERROR(__xludf.DUMMYFUNCTION("""COMPUTED_VALUE"""),29129.0)</f>
        <v>29129</v>
      </c>
      <c r="C2684" t="str">
        <f>IFERROR(__xludf.DUMMYFUNCTION("""COMPUTED_VALUE"""),"VELEZ RESTREPO, SIMON")</f>
        <v>VELEZ RESTREPO, SIMON</v>
      </c>
      <c r="D2684" t="str">
        <f>IFERROR(__xludf.DUMMYFUNCTION("""COMPUTED_VALUE"""),"Social Studies 9")</f>
        <v>Social Studies 9</v>
      </c>
      <c r="E2684" s="3">
        <f>IFERROR(__xludf.DUMMYFUNCTION("""COMPUTED_VALUE"""),3.0)</f>
        <v>3</v>
      </c>
      <c r="F2684" s="300">
        <v>1.0</v>
      </c>
      <c r="G2684" s="300">
        <v>1.0</v>
      </c>
      <c r="H2684" s="300">
        <v>1.0</v>
      </c>
      <c r="I2684" s="300">
        <v>1.0</v>
      </c>
      <c r="J2684" s="300">
        <v>1.0</v>
      </c>
      <c r="K2684" s="300">
        <v>1.0</v>
      </c>
      <c r="L2684" s="300">
        <v>1.0</v>
      </c>
      <c r="M2684" s="300">
        <v>1.0</v>
      </c>
      <c r="N2684" s="300">
        <v>8.0</v>
      </c>
      <c r="O2684" s="300" t="s">
        <v>924</v>
      </c>
      <c r="P2684" s="300">
        <v>6.0</v>
      </c>
    </row>
    <row r="2685">
      <c r="A2685">
        <f>IFERROR(__xludf.DUMMYFUNCTION("""COMPUTED_VALUE"""),9.0)</f>
        <v>9</v>
      </c>
      <c r="B2685" s="406">
        <f>IFERROR(__xludf.DUMMYFUNCTION("""COMPUTED_VALUE"""),29002.0)</f>
        <v>29002</v>
      </c>
      <c r="C2685" t="str">
        <f>IFERROR(__xludf.DUMMYFUNCTION("""COMPUTED_VALUE"""),"ACEVEDO OCHOA, MARIA DEL MAR")</f>
        <v>ACEVEDO OCHOA, MARIA DEL MAR</v>
      </c>
      <c r="D2685" t="str">
        <f>IFERROR(__xludf.DUMMYFUNCTION("""COMPUTED_VALUE"""),"Social Studies 9")</f>
        <v>Social Studies 9</v>
      </c>
      <c r="E2685" s="3">
        <f>IFERROR(__xludf.DUMMYFUNCTION("""COMPUTED_VALUE"""),3.0)</f>
        <v>3</v>
      </c>
      <c r="F2685" s="300">
        <v>1.0</v>
      </c>
      <c r="G2685" s="300">
        <v>1.0</v>
      </c>
      <c r="H2685" s="300">
        <v>1.0</v>
      </c>
      <c r="I2685" s="300">
        <v>1.0</v>
      </c>
      <c r="J2685" s="300">
        <v>1.0</v>
      </c>
      <c r="K2685" s="300">
        <v>1.0</v>
      </c>
      <c r="L2685" s="300">
        <v>1.0</v>
      </c>
      <c r="M2685" s="300">
        <v>1.0</v>
      </c>
      <c r="N2685" s="300">
        <v>8.0</v>
      </c>
      <c r="O2685" s="300" t="s">
        <v>924</v>
      </c>
      <c r="P2685" s="300">
        <v>6.0</v>
      </c>
    </row>
    <row r="2686">
      <c r="A2686">
        <f>IFERROR(__xludf.DUMMYFUNCTION("""COMPUTED_VALUE"""),9.0)</f>
        <v>9</v>
      </c>
      <c r="B2686" s="406">
        <f>IFERROR(__xludf.DUMMYFUNCTION("""COMPUTED_VALUE"""),29099.0)</f>
        <v>29099</v>
      </c>
      <c r="C2686" t="str">
        <f>IFERROR(__xludf.DUMMYFUNCTION("""COMPUTED_VALUE"""),"RESTREPO RESTREPO, MATIAS")</f>
        <v>RESTREPO RESTREPO, MATIAS</v>
      </c>
      <c r="D2686" t="str">
        <f>IFERROR(__xludf.DUMMYFUNCTION("""COMPUTED_VALUE"""),"Social Studies 9")</f>
        <v>Social Studies 9</v>
      </c>
      <c r="E2686" s="3">
        <f>IFERROR(__xludf.DUMMYFUNCTION("""COMPUTED_VALUE"""),2.0)</f>
        <v>2</v>
      </c>
      <c r="F2686" s="300">
        <v>1.0</v>
      </c>
      <c r="G2686" s="300">
        <v>1.0</v>
      </c>
      <c r="H2686" s="300">
        <v>1.0</v>
      </c>
      <c r="I2686" s="300">
        <v>1.0</v>
      </c>
      <c r="J2686" s="300">
        <v>1.0</v>
      </c>
      <c r="K2686" s="300">
        <v>1.0</v>
      </c>
      <c r="L2686" s="300">
        <v>1.0</v>
      </c>
      <c r="M2686" s="300">
        <v>1.0</v>
      </c>
      <c r="N2686" s="300">
        <v>8.0</v>
      </c>
      <c r="O2686" s="300" t="s">
        <v>920</v>
      </c>
      <c r="P2686" s="300">
        <v>6.0</v>
      </c>
    </row>
    <row r="2687">
      <c r="A2687">
        <f>IFERROR(__xludf.DUMMYFUNCTION("""COMPUTED_VALUE"""),9.0)</f>
        <v>9</v>
      </c>
      <c r="B2687" s="406">
        <f>IFERROR(__xludf.DUMMYFUNCTION("""COMPUTED_VALUE"""),29087.0)</f>
        <v>29087</v>
      </c>
      <c r="C2687" t="str">
        <f>IFERROR(__xludf.DUMMYFUNCTION("""COMPUTED_VALUE"""),"PALACIO BOTERO, MATIAS")</f>
        <v>PALACIO BOTERO, MATIAS</v>
      </c>
      <c r="D2687" t="str">
        <f>IFERROR(__xludf.DUMMYFUNCTION("""COMPUTED_VALUE"""),"Social Studies 9")</f>
        <v>Social Studies 9</v>
      </c>
      <c r="E2687" s="3">
        <f>IFERROR(__xludf.DUMMYFUNCTION("""COMPUTED_VALUE"""),8.0)</f>
        <v>8</v>
      </c>
      <c r="F2687" s="300">
        <v>1.0</v>
      </c>
      <c r="G2687" s="300">
        <v>1.0</v>
      </c>
      <c r="H2687" s="300">
        <v>1.0</v>
      </c>
      <c r="I2687" s="300">
        <v>1.0</v>
      </c>
      <c r="J2687" s="300">
        <v>1.0</v>
      </c>
      <c r="K2687" s="300">
        <v>1.0</v>
      </c>
      <c r="L2687" s="300">
        <v>1.0</v>
      </c>
      <c r="M2687" s="300">
        <v>1.0</v>
      </c>
      <c r="N2687" s="300">
        <v>8.0</v>
      </c>
      <c r="O2687" s="300" t="s">
        <v>922</v>
      </c>
      <c r="P2687" s="300">
        <v>6.0</v>
      </c>
    </row>
    <row r="2688">
      <c r="A2688">
        <f>IFERROR(__xludf.DUMMYFUNCTION("""COMPUTED_VALUE"""),9.0)</f>
        <v>9</v>
      </c>
      <c r="B2688" s="406">
        <f>IFERROR(__xludf.DUMMYFUNCTION("""COMPUTED_VALUE"""),28087.0)</f>
        <v>28087</v>
      </c>
      <c r="C2688" t="str">
        <f>IFERROR(__xludf.DUMMYFUNCTION("""COMPUTED_VALUE"""),"QUINTERO HENAO, MATEO")</f>
        <v>QUINTERO HENAO, MATEO</v>
      </c>
      <c r="D2688" t="str">
        <f>IFERROR(__xludf.DUMMYFUNCTION("""COMPUTED_VALUE"""),"Social Studies 9")</f>
        <v>Social Studies 9</v>
      </c>
      <c r="E2688" s="3">
        <f>IFERROR(__xludf.DUMMYFUNCTION("""COMPUTED_VALUE"""),4.0)</f>
        <v>4</v>
      </c>
      <c r="F2688" s="300">
        <v>1.0</v>
      </c>
      <c r="G2688" s="300">
        <v>1.0</v>
      </c>
      <c r="H2688" s="300">
        <v>1.0</v>
      </c>
      <c r="I2688" s="300">
        <v>1.0</v>
      </c>
      <c r="J2688" s="300">
        <v>1.0</v>
      </c>
      <c r="K2688" s="300">
        <v>1.0</v>
      </c>
      <c r="L2688" s="300">
        <v>1.0</v>
      </c>
      <c r="M2688" s="300">
        <v>1.0</v>
      </c>
      <c r="N2688" s="300">
        <v>8.0</v>
      </c>
      <c r="O2688" s="300" t="s">
        <v>921</v>
      </c>
      <c r="P2688" s="300">
        <v>6.0</v>
      </c>
    </row>
    <row r="2689">
      <c r="A2689">
        <f>IFERROR(__xludf.DUMMYFUNCTION("""COMPUTED_VALUE"""),9.0)</f>
        <v>9</v>
      </c>
      <c r="B2689" s="406">
        <f>IFERROR(__xludf.DUMMYFUNCTION("""COMPUTED_VALUE"""),29133.0)</f>
        <v>29133</v>
      </c>
      <c r="C2689" t="str">
        <f>IFERROR(__xludf.DUMMYFUNCTION("""COMPUTED_VALUE"""),"ZAPATA URIBE, RAFAEL")</f>
        <v>ZAPATA URIBE, RAFAEL</v>
      </c>
      <c r="D2689" t="str">
        <f>IFERROR(__xludf.DUMMYFUNCTION("""COMPUTED_VALUE"""),"Social Studies 9")</f>
        <v>Social Studies 9</v>
      </c>
      <c r="E2689" s="3">
        <f>IFERROR(__xludf.DUMMYFUNCTION("""COMPUTED_VALUE"""),8.0)</f>
        <v>8</v>
      </c>
      <c r="F2689" s="300">
        <v>1.0</v>
      </c>
      <c r="G2689" s="300">
        <v>1.0</v>
      </c>
      <c r="H2689" s="300">
        <v>1.0</v>
      </c>
      <c r="I2689" s="300">
        <v>1.0</v>
      </c>
      <c r="J2689" s="300">
        <v>1.0</v>
      </c>
      <c r="K2689" s="300">
        <v>1.0</v>
      </c>
      <c r="L2689" s="300">
        <v>1.0</v>
      </c>
      <c r="M2689" s="300">
        <v>1.0</v>
      </c>
      <c r="N2689" s="300">
        <v>8.0</v>
      </c>
      <c r="O2689" s="300" t="s">
        <v>922</v>
      </c>
      <c r="P2689" s="300">
        <v>6.0</v>
      </c>
    </row>
    <row r="2690">
      <c r="A2690">
        <f>IFERROR(__xludf.DUMMYFUNCTION("""COMPUTED_VALUE"""),9.0)</f>
        <v>9</v>
      </c>
      <c r="B2690" s="406">
        <f>IFERROR(__xludf.DUMMYFUNCTION("""COMPUTED_VALUE"""),29059.0)</f>
        <v>29059</v>
      </c>
      <c r="C2690" t="str">
        <f>IFERROR(__xludf.DUMMYFUNCTION("""COMPUTED_VALUE"""),"JARAMILLO GONZALEZ, PASCUAL")</f>
        <v>JARAMILLO GONZALEZ, PASCUAL</v>
      </c>
      <c r="D2690" t="str">
        <f>IFERROR(__xludf.DUMMYFUNCTION("""COMPUTED_VALUE"""),"Social Studies 9")</f>
        <v>Social Studies 9</v>
      </c>
      <c r="E2690" s="3">
        <f>IFERROR(__xludf.DUMMYFUNCTION("""COMPUTED_VALUE"""),7.0)</f>
        <v>7</v>
      </c>
      <c r="F2690" s="300">
        <v>1.0</v>
      </c>
      <c r="G2690" s="300">
        <v>1.0</v>
      </c>
      <c r="H2690" s="300">
        <v>1.0</v>
      </c>
      <c r="I2690" s="300">
        <v>1.0</v>
      </c>
      <c r="J2690" s="300">
        <v>1.0</v>
      </c>
      <c r="K2690" s="300">
        <v>1.0</v>
      </c>
      <c r="L2690" s="300">
        <v>1.0</v>
      </c>
      <c r="M2690" s="300">
        <v>1.0</v>
      </c>
      <c r="N2690" s="300">
        <v>8.0</v>
      </c>
      <c r="O2690" s="300" t="s">
        <v>925</v>
      </c>
      <c r="P2690" s="300">
        <v>6.0</v>
      </c>
    </row>
    <row r="2691">
      <c r="A2691">
        <f>IFERROR(__xludf.DUMMYFUNCTION("""COMPUTED_VALUE"""),9.0)</f>
        <v>9</v>
      </c>
      <c r="B2691" s="406">
        <f>IFERROR(__xludf.DUMMYFUNCTION("""COMPUTED_VALUE"""),29050.0)</f>
        <v>29050</v>
      </c>
      <c r="C2691" t="str">
        <f>IFERROR(__xludf.DUMMYFUNCTION("""COMPUTED_VALUE"""),"HINESTROSA SIERRA, PEDRO")</f>
        <v>HINESTROSA SIERRA, PEDRO</v>
      </c>
      <c r="D2691" t="str">
        <f>IFERROR(__xludf.DUMMYFUNCTION("""COMPUTED_VALUE"""),"Social Studies 9")</f>
        <v>Social Studies 9</v>
      </c>
      <c r="E2691" s="3">
        <f>IFERROR(__xludf.DUMMYFUNCTION("""COMPUTED_VALUE"""),5.0)</f>
        <v>5</v>
      </c>
      <c r="F2691" s="300">
        <v>1.0</v>
      </c>
      <c r="G2691" s="300">
        <v>1.0</v>
      </c>
      <c r="H2691" s="300">
        <v>1.0</v>
      </c>
      <c r="I2691" s="300">
        <v>1.0</v>
      </c>
      <c r="J2691" s="300">
        <v>1.0</v>
      </c>
      <c r="K2691" s="300">
        <v>1.0</v>
      </c>
      <c r="L2691" s="300">
        <v>1.0</v>
      </c>
      <c r="M2691" s="300">
        <v>1.0</v>
      </c>
      <c r="N2691" s="300">
        <v>8.0</v>
      </c>
      <c r="O2691" s="300" t="s">
        <v>923</v>
      </c>
      <c r="P2691" s="300">
        <v>6.0</v>
      </c>
    </row>
    <row r="2692">
      <c r="A2692">
        <f>IFERROR(__xludf.DUMMYFUNCTION("""COMPUTED_VALUE"""),9.0)</f>
        <v>9</v>
      </c>
      <c r="B2692" s="406">
        <f>IFERROR(__xludf.DUMMYFUNCTION("""COMPUTED_VALUE"""),29068.0)</f>
        <v>29068</v>
      </c>
      <c r="C2692" t="str">
        <f>IFERROR(__xludf.DUMMYFUNCTION("""COMPUTED_VALUE"""),"LOPEZ JAIMES, VICENTE")</f>
        <v>LOPEZ JAIMES, VICENTE</v>
      </c>
      <c r="D2692" t="str">
        <f>IFERROR(__xludf.DUMMYFUNCTION("""COMPUTED_VALUE"""),"Social Studies 9")</f>
        <v>Social Studies 9</v>
      </c>
      <c r="E2692" s="3">
        <f>IFERROR(__xludf.DUMMYFUNCTION("""COMPUTED_VALUE"""),3.0)</f>
        <v>3</v>
      </c>
      <c r="F2692" s="300">
        <v>1.0</v>
      </c>
      <c r="G2692" s="300">
        <v>1.0</v>
      </c>
      <c r="H2692" s="300">
        <v>1.0</v>
      </c>
      <c r="I2692" s="300">
        <v>1.0</v>
      </c>
      <c r="J2692" s="300">
        <v>1.0</v>
      </c>
      <c r="K2692" s="300">
        <v>1.0</v>
      </c>
      <c r="L2692" s="300">
        <v>1.0</v>
      </c>
      <c r="M2692" s="300">
        <v>1.0</v>
      </c>
      <c r="N2692" s="300">
        <v>8.0</v>
      </c>
      <c r="O2692" s="300" t="s">
        <v>924</v>
      </c>
      <c r="P2692" s="300">
        <v>6.0</v>
      </c>
    </row>
    <row r="2693">
      <c r="A2693">
        <f>IFERROR(__xludf.DUMMYFUNCTION("""COMPUTED_VALUE"""),9.0)</f>
        <v>9</v>
      </c>
      <c r="B2693" s="406">
        <f>IFERROR(__xludf.DUMMYFUNCTION("""COMPUTED_VALUE"""),29136.0)</f>
        <v>29136</v>
      </c>
      <c r="C2693" t="str">
        <f>IFERROR(__xludf.DUMMYFUNCTION("""COMPUTED_VALUE"""),"CHOPRA, HARSHUL")</f>
        <v>CHOPRA, HARSHUL</v>
      </c>
      <c r="D2693" t="str">
        <f>IFERROR(__xludf.DUMMYFUNCTION("""COMPUTED_VALUE"""),"Social Studies 9")</f>
        <v>Social Studies 9</v>
      </c>
      <c r="E2693" s="3">
        <f>IFERROR(__xludf.DUMMYFUNCTION("""COMPUTED_VALUE"""),5.0)</f>
        <v>5</v>
      </c>
      <c r="F2693" s="300">
        <v>1.0</v>
      </c>
      <c r="G2693" s="300">
        <v>1.0</v>
      </c>
      <c r="H2693" s="300">
        <v>1.0</v>
      </c>
      <c r="I2693" s="300">
        <v>1.0</v>
      </c>
      <c r="J2693" s="300">
        <v>1.0</v>
      </c>
      <c r="K2693" s="300">
        <v>1.0</v>
      </c>
      <c r="L2693" s="300">
        <v>1.0</v>
      </c>
      <c r="M2693" s="300">
        <v>1.0</v>
      </c>
      <c r="N2693" s="300">
        <v>8.0</v>
      </c>
      <c r="O2693" s="300" t="s">
        <v>923</v>
      </c>
      <c r="P2693" s="300">
        <v>6.0</v>
      </c>
    </row>
    <row r="2694">
      <c r="A2694">
        <f>IFERROR(__xludf.DUMMYFUNCTION("""COMPUTED_VALUE"""),9.0)</f>
        <v>9</v>
      </c>
      <c r="B2694" s="406">
        <f>IFERROR(__xludf.DUMMYFUNCTION("""COMPUTED_VALUE"""),28160.0)</f>
        <v>28160</v>
      </c>
      <c r="C2694" t="str">
        <f>IFERROR(__xludf.DUMMYFUNCTION("""COMPUTED_VALUE"""),"ROJAS REYES, JERONIMO")</f>
        <v>ROJAS REYES, JERONIMO</v>
      </c>
      <c r="D2694" t="str">
        <f>IFERROR(__xludf.DUMMYFUNCTION("""COMPUTED_VALUE"""),"Social Studies 9")</f>
        <v>Social Studies 9</v>
      </c>
      <c r="E2694" s="3">
        <f>IFERROR(__xludf.DUMMYFUNCTION("""COMPUTED_VALUE"""),8.0)</f>
        <v>8</v>
      </c>
      <c r="F2694" s="300">
        <v>1.0</v>
      </c>
      <c r="G2694" s="300">
        <v>1.0</v>
      </c>
      <c r="H2694" s="300">
        <v>1.0</v>
      </c>
      <c r="I2694" s="300">
        <v>1.0</v>
      </c>
      <c r="J2694" s="300">
        <v>1.0</v>
      </c>
      <c r="K2694" s="300">
        <v>1.0</v>
      </c>
      <c r="L2694" s="300">
        <v>1.0</v>
      </c>
      <c r="M2694" s="300">
        <v>1.0</v>
      </c>
      <c r="N2694" s="300">
        <v>8.0</v>
      </c>
      <c r="O2694" s="300" t="s">
        <v>922</v>
      </c>
      <c r="P2694" s="300">
        <v>6.0</v>
      </c>
    </row>
    <row r="2695">
      <c r="A2695">
        <f>IFERROR(__xludf.DUMMYFUNCTION("""COMPUTED_VALUE"""),9.0)</f>
        <v>9</v>
      </c>
      <c r="B2695" s="406">
        <f>IFERROR(__xludf.DUMMYFUNCTION("""COMPUTED_VALUE"""),28046.0)</f>
        <v>28046</v>
      </c>
      <c r="C2695" t="str">
        <f>IFERROR(__xludf.DUMMYFUNCTION("""COMPUTED_VALUE"""),"HOYOS SARAVIA, TOMAS")</f>
        <v>HOYOS SARAVIA, TOMAS</v>
      </c>
      <c r="D2695" t="str">
        <f>IFERROR(__xludf.DUMMYFUNCTION("""COMPUTED_VALUE"""),"Social Studies 9")</f>
        <v>Social Studies 9</v>
      </c>
      <c r="E2695" s="3">
        <f>IFERROR(__xludf.DUMMYFUNCTION("""COMPUTED_VALUE"""),5.0)</f>
        <v>5</v>
      </c>
      <c r="F2695" s="300">
        <v>1.0</v>
      </c>
      <c r="G2695" s="300">
        <v>1.0</v>
      </c>
      <c r="H2695" s="300">
        <v>1.0</v>
      </c>
      <c r="I2695" s="300">
        <v>1.0</v>
      </c>
      <c r="J2695" s="300">
        <v>1.0</v>
      </c>
      <c r="K2695" s="300">
        <v>1.0</v>
      </c>
      <c r="L2695" s="300">
        <v>1.0</v>
      </c>
      <c r="M2695" s="300">
        <v>1.0</v>
      </c>
      <c r="N2695" s="300">
        <v>8.0</v>
      </c>
      <c r="O2695" s="300" t="s">
        <v>923</v>
      </c>
      <c r="P2695" s="300">
        <v>6.0</v>
      </c>
    </row>
    <row r="2696">
      <c r="A2696">
        <f>IFERROR(__xludf.DUMMYFUNCTION("""COMPUTED_VALUE"""),9.0)</f>
        <v>9</v>
      </c>
      <c r="B2696" s="406">
        <f>IFERROR(__xludf.DUMMYFUNCTION("""COMPUTED_VALUE"""),29039.0)</f>
        <v>29039</v>
      </c>
      <c r="C2696" t="str">
        <f>IFERROR(__xludf.DUMMYFUNCTION("""COMPUTED_VALUE"""),"ESPINOSA ABAD, GREGORIO")</f>
        <v>ESPINOSA ABAD, GREGORIO</v>
      </c>
      <c r="D2696" t="str">
        <f>IFERROR(__xludf.DUMMYFUNCTION("""COMPUTED_VALUE"""),"Social Studies 9")</f>
        <v>Social Studies 9</v>
      </c>
      <c r="E2696" s="3">
        <f>IFERROR(__xludf.DUMMYFUNCTION("""COMPUTED_VALUE"""),2.0)</f>
        <v>2</v>
      </c>
      <c r="F2696" s="300">
        <v>1.0</v>
      </c>
      <c r="G2696" s="300">
        <v>1.0</v>
      </c>
      <c r="H2696" s="300">
        <v>1.0</v>
      </c>
      <c r="I2696" s="300">
        <v>1.0</v>
      </c>
      <c r="J2696" s="300">
        <v>1.0</v>
      </c>
      <c r="K2696" s="300">
        <v>1.0</v>
      </c>
      <c r="L2696" s="300">
        <v>1.0</v>
      </c>
      <c r="M2696" s="300">
        <v>1.0</v>
      </c>
      <c r="N2696" s="300">
        <v>8.0</v>
      </c>
      <c r="O2696" s="300" t="s">
        <v>920</v>
      </c>
      <c r="P2696" s="300">
        <v>6.0</v>
      </c>
    </row>
    <row r="2697">
      <c r="A2697">
        <f>IFERROR(__xludf.DUMMYFUNCTION("""COMPUTED_VALUE"""),9.0)</f>
        <v>9</v>
      </c>
      <c r="B2697" s="406">
        <f>IFERROR(__xludf.DUMMYFUNCTION("""COMPUTED_VALUE"""),29116.0)</f>
        <v>29116</v>
      </c>
      <c r="C2697" t="str">
        <f>IFERROR(__xludf.DUMMYFUNCTION("""COMPUTED_VALUE"""),"TOBAR MEJIA, CAMILO")</f>
        <v>TOBAR MEJIA, CAMILO</v>
      </c>
      <c r="D2697" t="str">
        <f>IFERROR(__xludf.DUMMYFUNCTION("""COMPUTED_VALUE"""),"Social Studies 9")</f>
        <v>Social Studies 9</v>
      </c>
      <c r="E2697" s="3">
        <f>IFERROR(__xludf.DUMMYFUNCTION("""COMPUTED_VALUE"""),8.0)</f>
        <v>8</v>
      </c>
      <c r="F2697" s="300">
        <v>1.0</v>
      </c>
      <c r="G2697" s="300">
        <v>1.0</v>
      </c>
      <c r="H2697" s="300">
        <v>1.0</v>
      </c>
      <c r="I2697" s="300">
        <v>1.0</v>
      </c>
      <c r="J2697" s="300">
        <v>1.0</v>
      </c>
      <c r="K2697" s="300">
        <v>1.0</v>
      </c>
      <c r="L2697" s="300">
        <v>1.0</v>
      </c>
      <c r="M2697" s="300">
        <v>1.0</v>
      </c>
      <c r="N2697" s="300">
        <v>8.0</v>
      </c>
      <c r="O2697" s="300" t="s">
        <v>922</v>
      </c>
      <c r="P2697" s="300">
        <v>6.0</v>
      </c>
    </row>
    <row r="2698">
      <c r="A2698">
        <f>IFERROR(__xludf.DUMMYFUNCTION("""COMPUTED_VALUE"""),9.0)</f>
        <v>9</v>
      </c>
      <c r="B2698" s="406">
        <f>IFERROR(__xludf.DUMMYFUNCTION("""COMPUTED_VALUE"""),29137.0)</f>
        <v>29137</v>
      </c>
      <c r="C2698" t="str">
        <f>IFERROR(__xludf.DUMMYFUNCTION("""COMPUTED_VALUE"""),"OLARTE JARAMILLO, EMILIO")</f>
        <v>OLARTE JARAMILLO, EMILIO</v>
      </c>
      <c r="D2698" t="str">
        <f>IFERROR(__xludf.DUMMYFUNCTION("""COMPUTED_VALUE"""),"Social Studies 9")</f>
        <v>Social Studies 9</v>
      </c>
      <c r="E2698" s="3">
        <f>IFERROR(__xludf.DUMMYFUNCTION("""COMPUTED_VALUE"""),5.0)</f>
        <v>5</v>
      </c>
      <c r="F2698" s="300">
        <v>1.0</v>
      </c>
      <c r="G2698" s="300">
        <v>1.0</v>
      </c>
      <c r="H2698" s="300">
        <v>1.0</v>
      </c>
      <c r="I2698" s="300">
        <v>1.0</v>
      </c>
      <c r="J2698" s="300">
        <v>1.0</v>
      </c>
      <c r="K2698" s="300">
        <v>1.0</v>
      </c>
      <c r="L2698" s="300">
        <v>1.0</v>
      </c>
      <c r="M2698" s="300">
        <v>1.0</v>
      </c>
      <c r="N2698" s="300">
        <v>8.0</v>
      </c>
      <c r="O2698" s="300" t="s">
        <v>923</v>
      </c>
      <c r="P2698" s="300">
        <v>6.0</v>
      </c>
    </row>
    <row r="2699">
      <c r="A2699">
        <f>IFERROR(__xludf.DUMMYFUNCTION("""COMPUTED_VALUE"""),9.0)</f>
        <v>9</v>
      </c>
      <c r="B2699" s="406">
        <f>IFERROR(__xludf.DUMMYFUNCTION("""COMPUTED_VALUE"""),29172.0)</f>
        <v>29172</v>
      </c>
      <c r="C2699" t="str">
        <f>IFERROR(__xludf.DUMMYFUNCTION("""COMPUTED_VALUE"""),"CESPEDES GARCIA, PABLO")</f>
        <v>CESPEDES GARCIA, PABLO</v>
      </c>
      <c r="D2699" t="str">
        <f>IFERROR(__xludf.DUMMYFUNCTION("""COMPUTED_VALUE"""),"Social Studies 9")</f>
        <v>Social Studies 9</v>
      </c>
      <c r="E2699" s="3">
        <f>IFERROR(__xludf.DUMMYFUNCTION("""COMPUTED_VALUE"""),2.0)</f>
        <v>2</v>
      </c>
      <c r="F2699" s="300">
        <v>1.0</v>
      </c>
      <c r="G2699" s="300">
        <v>1.0</v>
      </c>
      <c r="H2699" s="300">
        <v>1.0</v>
      </c>
      <c r="I2699" s="300">
        <v>1.0</v>
      </c>
      <c r="J2699" s="300">
        <v>1.0</v>
      </c>
      <c r="K2699" s="300">
        <v>1.0</v>
      </c>
      <c r="L2699" s="300">
        <v>1.0</v>
      </c>
      <c r="M2699" s="300">
        <v>1.0</v>
      </c>
      <c r="N2699" s="300">
        <v>8.0</v>
      </c>
      <c r="O2699" s="300" t="s">
        <v>920</v>
      </c>
      <c r="P2699" s="300">
        <v>6.0</v>
      </c>
    </row>
    <row r="2700">
      <c r="A2700">
        <f>IFERROR(__xludf.DUMMYFUNCTION("""COMPUTED_VALUE"""),9.0)</f>
        <v>9</v>
      </c>
      <c r="B2700" s="406">
        <f>IFERROR(__xludf.DUMMYFUNCTION("""COMPUTED_VALUE"""),29020.0)</f>
        <v>29020</v>
      </c>
      <c r="C2700" t="str">
        <f>IFERROR(__xludf.DUMMYFUNCTION("""COMPUTED_VALUE"""),"BETANCOURT QUINTERO, LUCAS")</f>
        <v>BETANCOURT QUINTERO, LUCAS</v>
      </c>
      <c r="D2700" t="str">
        <f>IFERROR(__xludf.DUMMYFUNCTION("""COMPUTED_VALUE"""),"Social Studies 9")</f>
        <v>Social Studies 9</v>
      </c>
      <c r="E2700" s="3">
        <f>IFERROR(__xludf.DUMMYFUNCTION("""COMPUTED_VALUE"""),7.0)</f>
        <v>7</v>
      </c>
      <c r="F2700" s="300">
        <v>1.0</v>
      </c>
      <c r="G2700" s="300">
        <v>1.0</v>
      </c>
      <c r="H2700" s="300">
        <v>1.0</v>
      </c>
      <c r="I2700" s="300">
        <v>1.0</v>
      </c>
      <c r="J2700" s="300">
        <v>1.0</v>
      </c>
      <c r="K2700" s="300">
        <v>1.0</v>
      </c>
      <c r="L2700" s="300">
        <v>1.0</v>
      </c>
      <c r="M2700" s="300">
        <v>1.0</v>
      </c>
      <c r="N2700" s="300">
        <v>8.0</v>
      </c>
      <c r="O2700" s="300" t="s">
        <v>925</v>
      </c>
      <c r="P2700" s="300">
        <v>6.0</v>
      </c>
    </row>
    <row r="2701">
      <c r="A2701">
        <f>IFERROR(__xludf.DUMMYFUNCTION("""COMPUTED_VALUE"""),9.0)</f>
        <v>9</v>
      </c>
      <c r="B2701" s="406">
        <f>IFERROR(__xludf.DUMMYFUNCTION("""COMPUTED_VALUE"""),29069.0)</f>
        <v>29069</v>
      </c>
      <c r="C2701" t="str">
        <f>IFERROR(__xludf.DUMMYFUNCTION("""COMPUTED_VALUE"""),"LUNA ALZATE, AMALIA")</f>
        <v>LUNA ALZATE, AMALIA</v>
      </c>
      <c r="D2701" t="str">
        <f>IFERROR(__xludf.DUMMYFUNCTION("""COMPUTED_VALUE"""),"Social Studies 9")</f>
        <v>Social Studies 9</v>
      </c>
      <c r="E2701" s="3">
        <f>IFERROR(__xludf.DUMMYFUNCTION("""COMPUTED_VALUE"""),4.0)</f>
        <v>4</v>
      </c>
      <c r="F2701" s="300">
        <v>1.0</v>
      </c>
      <c r="G2701" s="300">
        <v>1.0</v>
      </c>
      <c r="H2701" s="300">
        <v>1.0</v>
      </c>
      <c r="I2701" s="300">
        <v>1.0</v>
      </c>
      <c r="J2701" s="300">
        <v>1.0</v>
      </c>
      <c r="K2701" s="300">
        <v>1.0</v>
      </c>
      <c r="L2701" s="300">
        <v>1.0</v>
      </c>
      <c r="M2701" s="300">
        <v>1.0</v>
      </c>
      <c r="N2701" s="300">
        <v>8.0</v>
      </c>
      <c r="O2701" s="300" t="s">
        <v>921</v>
      </c>
      <c r="P2701" s="300">
        <v>6.0</v>
      </c>
    </row>
    <row r="2702">
      <c r="A2702">
        <f>IFERROR(__xludf.DUMMYFUNCTION("""COMPUTED_VALUE"""),9.0)</f>
        <v>9</v>
      </c>
      <c r="B2702" s="406">
        <f>IFERROR(__xludf.DUMMYFUNCTION("""COMPUTED_VALUE"""),29160.0)</f>
        <v>29160</v>
      </c>
      <c r="C2702" t="str">
        <f>IFERROR(__xludf.DUMMYFUNCTION("""COMPUTED_VALUE"""),"BARRIOS CASTILLO, NICOLAS GUILLERMO")</f>
        <v>BARRIOS CASTILLO, NICOLAS GUILLERMO</v>
      </c>
      <c r="D2702" t="str">
        <f>IFERROR(__xludf.DUMMYFUNCTION("""COMPUTED_VALUE"""),"Social Studies 9")</f>
        <v>Social Studies 9</v>
      </c>
      <c r="E2702" s="3">
        <f>IFERROR(__xludf.DUMMYFUNCTION("""COMPUTED_VALUE"""),5.0)</f>
        <v>5</v>
      </c>
      <c r="F2702" s="300">
        <v>1.0</v>
      </c>
      <c r="G2702" s="300">
        <v>1.0</v>
      </c>
      <c r="H2702" s="300">
        <v>1.0</v>
      </c>
      <c r="I2702" s="300">
        <v>1.0</v>
      </c>
      <c r="J2702" s="300">
        <v>1.0</v>
      </c>
      <c r="K2702" s="300">
        <v>1.0</v>
      </c>
      <c r="L2702" s="300">
        <v>1.0</v>
      </c>
      <c r="M2702" s="300">
        <v>1.0</v>
      </c>
      <c r="N2702" s="300">
        <v>8.0</v>
      </c>
      <c r="O2702" s="300" t="s">
        <v>923</v>
      </c>
      <c r="P2702" s="300">
        <v>6.0</v>
      </c>
    </row>
    <row r="2703">
      <c r="A2703">
        <f>IFERROR(__xludf.DUMMYFUNCTION("""COMPUTED_VALUE"""),9.0)</f>
        <v>9</v>
      </c>
      <c r="B2703" s="406">
        <f>IFERROR(__xludf.DUMMYFUNCTION("""COMPUTED_VALUE"""),29155.0)</f>
        <v>29155</v>
      </c>
      <c r="C2703" t="str">
        <f>IFERROR(__xludf.DUMMYFUNCTION("""COMPUTED_VALUE"""),"FERNANDEZ CALDERON, HANNA")</f>
        <v>FERNANDEZ CALDERON, HANNA</v>
      </c>
      <c r="D2703" t="str">
        <f>IFERROR(__xludf.DUMMYFUNCTION("""COMPUTED_VALUE"""),"Social Studies 9")</f>
        <v>Social Studies 9</v>
      </c>
      <c r="E2703" s="3">
        <f>IFERROR(__xludf.DUMMYFUNCTION("""COMPUTED_VALUE"""),3.0)</f>
        <v>3</v>
      </c>
      <c r="F2703" s="300">
        <v>1.0</v>
      </c>
      <c r="G2703" s="300">
        <v>1.0</v>
      </c>
      <c r="H2703" s="300">
        <v>1.0</v>
      </c>
      <c r="I2703" s="300">
        <v>1.0</v>
      </c>
      <c r="J2703" s="300">
        <v>1.0</v>
      </c>
      <c r="K2703" s="300">
        <v>1.0</v>
      </c>
      <c r="L2703" s="300">
        <v>1.0</v>
      </c>
      <c r="M2703" s="300">
        <v>1.0</v>
      </c>
      <c r="N2703" s="300">
        <v>8.0</v>
      </c>
      <c r="O2703" s="300" t="s">
        <v>924</v>
      </c>
      <c r="P2703" s="300">
        <v>6.0</v>
      </c>
    </row>
    <row r="2704">
      <c r="A2704">
        <f>IFERROR(__xludf.DUMMYFUNCTION("""COMPUTED_VALUE"""),9.0)</f>
        <v>9</v>
      </c>
      <c r="B2704" s="406">
        <f>IFERROR(__xludf.DUMMYFUNCTION("""COMPUTED_VALUE"""),29153.0)</f>
        <v>29153</v>
      </c>
      <c r="C2704" t="str">
        <f>IFERROR(__xludf.DUMMYFUNCTION("""COMPUTED_VALUE"""),"MISERENDINO MUÑOZ, GABRIEL")</f>
        <v>MISERENDINO MUÑOZ, GABRIEL</v>
      </c>
      <c r="D2704" t="str">
        <f>IFERROR(__xludf.DUMMYFUNCTION("""COMPUTED_VALUE"""),"Social Studies 9")</f>
        <v>Social Studies 9</v>
      </c>
      <c r="E2704" s="3">
        <f>IFERROR(__xludf.DUMMYFUNCTION("""COMPUTED_VALUE"""),5.0)</f>
        <v>5</v>
      </c>
      <c r="F2704" s="300">
        <v>1.0</v>
      </c>
      <c r="G2704" s="300">
        <v>1.0</v>
      </c>
      <c r="H2704" s="300">
        <v>1.0</v>
      </c>
      <c r="I2704" s="300">
        <v>1.0</v>
      </c>
      <c r="J2704" s="300">
        <v>1.0</v>
      </c>
      <c r="K2704" s="300">
        <v>1.0</v>
      </c>
      <c r="L2704" s="300">
        <v>1.0</v>
      </c>
      <c r="M2704" s="300">
        <v>1.0</v>
      </c>
      <c r="N2704" s="300">
        <v>8.0</v>
      </c>
      <c r="O2704" s="300" t="s">
        <v>923</v>
      </c>
      <c r="P2704" s="300">
        <v>6.0</v>
      </c>
    </row>
    <row r="2705">
      <c r="A2705">
        <f>IFERROR(__xludf.DUMMYFUNCTION("""COMPUTED_VALUE"""),9.0)</f>
        <v>9</v>
      </c>
      <c r="B2705" s="406">
        <f>IFERROR(__xludf.DUMMYFUNCTION("""COMPUTED_VALUE"""),29030.0)</f>
        <v>29030</v>
      </c>
      <c r="C2705" t="str">
        <f>IFERROR(__xludf.DUMMYFUNCTION("""COMPUTED_VALUE"""),"COCK ECHEVERRI, JULIETA")</f>
        <v>COCK ECHEVERRI, JULIETA</v>
      </c>
      <c r="D2705" t="str">
        <f>IFERROR(__xludf.DUMMYFUNCTION("""COMPUTED_VALUE"""),"Social Studies 9")</f>
        <v>Social Studies 9</v>
      </c>
      <c r="E2705" s="3">
        <f>IFERROR(__xludf.DUMMYFUNCTION("""COMPUTED_VALUE"""),4.0)</f>
        <v>4</v>
      </c>
      <c r="F2705" s="300">
        <v>1.0</v>
      </c>
      <c r="G2705" s="300">
        <v>1.0</v>
      </c>
      <c r="H2705" s="300">
        <v>1.0</v>
      </c>
      <c r="I2705" s="300">
        <v>1.0</v>
      </c>
      <c r="J2705" s="300">
        <v>1.0</v>
      </c>
      <c r="K2705" s="300">
        <v>1.0</v>
      </c>
      <c r="L2705" s="300">
        <v>1.0</v>
      </c>
      <c r="M2705" s="300">
        <v>1.0</v>
      </c>
      <c r="N2705" s="300">
        <v>8.0</v>
      </c>
      <c r="O2705" s="300" t="s">
        <v>921</v>
      </c>
      <c r="P2705" s="300">
        <v>6.0</v>
      </c>
    </row>
    <row r="2706">
      <c r="A2706">
        <f>IFERROR(__xludf.DUMMYFUNCTION("""COMPUTED_VALUE"""),9.0)</f>
        <v>9</v>
      </c>
      <c r="B2706" s="406">
        <f>IFERROR(__xludf.DUMMYFUNCTION("""COMPUTED_VALUE"""),29108.0)</f>
        <v>29108</v>
      </c>
      <c r="C2706" t="str">
        <f>IFERROR(__xludf.DUMMYFUNCTION("""COMPUTED_VALUE"""),"SCHOBER OCAMPO, DANIEL")</f>
        <v>SCHOBER OCAMPO, DANIEL</v>
      </c>
      <c r="D2706" t="str">
        <f>IFERROR(__xludf.DUMMYFUNCTION("""COMPUTED_VALUE"""),"Social Studies 9")</f>
        <v>Social Studies 9</v>
      </c>
      <c r="E2706" s="3">
        <f>IFERROR(__xludf.DUMMYFUNCTION("""COMPUTED_VALUE"""),5.0)</f>
        <v>5</v>
      </c>
      <c r="F2706" s="300">
        <v>1.0</v>
      </c>
      <c r="G2706" s="300">
        <v>1.0</v>
      </c>
      <c r="H2706" s="300">
        <v>1.0</v>
      </c>
      <c r="I2706" s="300">
        <v>1.0</v>
      </c>
      <c r="J2706" s="300">
        <v>1.0</v>
      </c>
      <c r="K2706" s="300">
        <v>1.0</v>
      </c>
      <c r="L2706" s="300">
        <v>1.0</v>
      </c>
      <c r="M2706" s="300">
        <v>1.0</v>
      </c>
      <c r="N2706" s="300">
        <v>8.0</v>
      </c>
      <c r="O2706" s="300" t="s">
        <v>923</v>
      </c>
      <c r="P2706" s="300">
        <v>6.0</v>
      </c>
    </row>
    <row r="2707">
      <c r="A2707">
        <f>IFERROR(__xludf.DUMMYFUNCTION("""COMPUTED_VALUE"""),9.0)</f>
        <v>9</v>
      </c>
      <c r="B2707" s="406">
        <f>IFERROR(__xludf.DUMMYFUNCTION("""COMPUTED_VALUE"""),29062.0)</f>
        <v>29062</v>
      </c>
      <c r="C2707" t="str">
        <f>IFERROR(__xludf.DUMMYFUNCTION("""COMPUTED_VALUE"""),"KIM LEE, SAE YOON LUCAS")</f>
        <v>KIM LEE, SAE YOON LUCAS</v>
      </c>
      <c r="D2707" t="str">
        <f>IFERROR(__xludf.DUMMYFUNCTION("""COMPUTED_VALUE"""),"Social Studies 9")</f>
        <v>Social Studies 9</v>
      </c>
      <c r="E2707" s="3">
        <f>IFERROR(__xludf.DUMMYFUNCTION("""COMPUTED_VALUE"""),7.0)</f>
        <v>7</v>
      </c>
      <c r="F2707" s="300">
        <v>1.0</v>
      </c>
      <c r="G2707" s="300">
        <v>1.0</v>
      </c>
      <c r="H2707" s="300">
        <v>1.0</v>
      </c>
      <c r="I2707" s="300">
        <v>1.0</v>
      </c>
      <c r="J2707" s="300">
        <v>1.0</v>
      </c>
      <c r="K2707" s="300">
        <v>1.0</v>
      </c>
      <c r="L2707" s="300">
        <v>1.0</v>
      </c>
      <c r="M2707" s="300">
        <v>1.0</v>
      </c>
      <c r="N2707" s="300">
        <v>8.0</v>
      </c>
      <c r="O2707" s="300" t="s">
        <v>925</v>
      </c>
      <c r="P2707" s="300">
        <v>6.0</v>
      </c>
    </row>
    <row r="2708">
      <c r="A2708">
        <f>IFERROR(__xludf.DUMMYFUNCTION("""COMPUTED_VALUE"""),9.0)</f>
        <v>9</v>
      </c>
      <c r="B2708" s="406">
        <f>IFERROR(__xludf.DUMMYFUNCTION("""COMPUTED_VALUE"""),29115.0)</f>
        <v>29115</v>
      </c>
      <c r="C2708" t="str">
        <f>IFERROR(__xludf.DUMMYFUNCTION("""COMPUTED_VALUE"""),"TIRADO SANIN, ELENA")</f>
        <v>TIRADO SANIN, ELENA</v>
      </c>
      <c r="D2708" t="str">
        <f>IFERROR(__xludf.DUMMYFUNCTION("""COMPUTED_VALUE"""),"Social Studies 9")</f>
        <v>Social Studies 9</v>
      </c>
      <c r="E2708" s="3">
        <f>IFERROR(__xludf.DUMMYFUNCTION("""COMPUTED_VALUE"""),7.0)</f>
        <v>7</v>
      </c>
      <c r="F2708" s="300">
        <v>1.0</v>
      </c>
      <c r="G2708" s="300">
        <v>1.0</v>
      </c>
      <c r="H2708" s="300">
        <v>1.0</v>
      </c>
      <c r="I2708" s="300">
        <v>1.0</v>
      </c>
      <c r="J2708" s="300">
        <v>1.0</v>
      </c>
      <c r="K2708" s="300">
        <v>1.0</v>
      </c>
      <c r="L2708" s="300">
        <v>1.0</v>
      </c>
      <c r="M2708" s="300">
        <v>1.0</v>
      </c>
      <c r="N2708" s="300">
        <v>8.0</v>
      </c>
      <c r="O2708" s="300" t="s">
        <v>925</v>
      </c>
      <c r="P2708" s="300">
        <v>6.0</v>
      </c>
    </row>
    <row r="2709">
      <c r="A2709">
        <f>IFERROR(__xludf.DUMMYFUNCTION("""COMPUTED_VALUE"""),9.0)</f>
        <v>9</v>
      </c>
      <c r="B2709" s="406">
        <f>IFERROR(__xludf.DUMMYFUNCTION("""COMPUTED_VALUE"""),29018.0)</f>
        <v>29018</v>
      </c>
      <c r="C2709" t="str">
        <f>IFERROR(__xludf.DUMMYFUNCTION("""COMPUTED_VALUE"""),"BAENA GIRALDO, VIOLETA")</f>
        <v>BAENA GIRALDO, VIOLETA</v>
      </c>
      <c r="D2709" t="str">
        <f>IFERROR(__xludf.DUMMYFUNCTION("""COMPUTED_VALUE"""),"Social Studies 9")</f>
        <v>Social Studies 9</v>
      </c>
      <c r="E2709" s="3">
        <f>IFERROR(__xludf.DUMMYFUNCTION("""COMPUTED_VALUE"""),8.0)</f>
        <v>8</v>
      </c>
      <c r="F2709" s="300">
        <v>1.0</v>
      </c>
      <c r="G2709" s="300">
        <v>1.0</v>
      </c>
      <c r="H2709" s="300">
        <v>1.0</v>
      </c>
      <c r="I2709" s="300">
        <v>1.0</v>
      </c>
      <c r="J2709" s="300">
        <v>1.0</v>
      </c>
      <c r="K2709" s="300">
        <v>1.0</v>
      </c>
      <c r="L2709" s="300">
        <v>1.0</v>
      </c>
      <c r="M2709" s="300">
        <v>1.0</v>
      </c>
      <c r="N2709" s="300">
        <v>8.0</v>
      </c>
      <c r="O2709" s="300" t="s">
        <v>922</v>
      </c>
      <c r="P2709" s="300">
        <v>6.0</v>
      </c>
    </row>
    <row r="2710">
      <c r="A2710">
        <f>IFERROR(__xludf.DUMMYFUNCTION("""COMPUTED_VALUE"""),9.0)</f>
        <v>9</v>
      </c>
      <c r="B2710" s="406">
        <f>IFERROR(__xludf.DUMMYFUNCTION("""COMPUTED_VALUE"""),29122.0)</f>
        <v>29122</v>
      </c>
      <c r="C2710" t="str">
        <f>IFERROR(__xludf.DUMMYFUNCTION("""COMPUTED_VALUE"""),"URIBE RODRIGUEZ, MARIA LUISA")</f>
        <v>URIBE RODRIGUEZ, MARIA LUISA</v>
      </c>
      <c r="D2710" t="str">
        <f>IFERROR(__xludf.DUMMYFUNCTION("""COMPUTED_VALUE"""),"Social Studies 9")</f>
        <v>Social Studies 9</v>
      </c>
      <c r="E2710" s="3">
        <f>IFERROR(__xludf.DUMMYFUNCTION("""COMPUTED_VALUE"""),2.0)</f>
        <v>2</v>
      </c>
      <c r="F2710" s="300">
        <v>1.0</v>
      </c>
      <c r="G2710" s="300">
        <v>1.0</v>
      </c>
      <c r="H2710" s="300">
        <v>1.0</v>
      </c>
      <c r="I2710" s="300">
        <v>1.0</v>
      </c>
      <c r="J2710" s="300">
        <v>1.0</v>
      </c>
      <c r="K2710" s="300">
        <v>1.0</v>
      </c>
      <c r="L2710" s="300">
        <v>1.0</v>
      </c>
      <c r="M2710" s="300">
        <v>1.0</v>
      </c>
      <c r="N2710" s="300">
        <v>8.0</v>
      </c>
      <c r="O2710" s="300" t="s">
        <v>920</v>
      </c>
      <c r="P2710" s="300">
        <v>6.0</v>
      </c>
    </row>
    <row r="2711">
      <c r="A2711">
        <f>IFERROR(__xludf.DUMMYFUNCTION("""COMPUTED_VALUE"""),9.0)</f>
        <v>9</v>
      </c>
      <c r="B2711" s="406">
        <f>IFERROR(__xludf.DUMMYFUNCTION("""COMPUTED_VALUE"""),29128.0)</f>
        <v>29128</v>
      </c>
      <c r="C2711" t="str">
        <f>IFERROR(__xludf.DUMMYFUNCTION("""COMPUTED_VALUE"""),"VELASQUEZ JARAMILLO, MARIA")</f>
        <v>VELASQUEZ JARAMILLO, MARIA</v>
      </c>
      <c r="D2711" t="str">
        <f>IFERROR(__xludf.DUMMYFUNCTION("""COMPUTED_VALUE"""),"Social Studies 9")</f>
        <v>Social Studies 9</v>
      </c>
      <c r="E2711" s="3">
        <f>IFERROR(__xludf.DUMMYFUNCTION("""COMPUTED_VALUE"""),8.0)</f>
        <v>8</v>
      </c>
      <c r="F2711" s="300">
        <v>1.0</v>
      </c>
      <c r="G2711" s="300">
        <v>1.0</v>
      </c>
      <c r="H2711" s="300">
        <v>1.0</v>
      </c>
      <c r="I2711" s="300">
        <v>1.0</v>
      </c>
      <c r="J2711" s="300">
        <v>1.0</v>
      </c>
      <c r="K2711" s="300">
        <v>1.0</v>
      </c>
      <c r="L2711" s="300">
        <v>1.0</v>
      </c>
      <c r="M2711" s="300">
        <v>1.0</v>
      </c>
      <c r="N2711" s="300">
        <v>8.0</v>
      </c>
      <c r="O2711" s="300" t="s">
        <v>922</v>
      </c>
      <c r="P2711" s="300">
        <v>6.0</v>
      </c>
    </row>
    <row r="2712">
      <c r="A2712">
        <f>IFERROR(__xludf.DUMMYFUNCTION("""COMPUTED_VALUE"""),9.0)</f>
        <v>9</v>
      </c>
      <c r="B2712" s="406">
        <f>IFERROR(__xludf.DUMMYFUNCTION("""COMPUTED_VALUE"""),29049.0)</f>
        <v>29049</v>
      </c>
      <c r="C2712" t="str">
        <f>IFERROR(__xludf.DUMMYFUNCTION("""COMPUTED_VALUE"""),"HINESTROSA SIERRA, MIGUEL")</f>
        <v>HINESTROSA SIERRA, MIGUEL</v>
      </c>
      <c r="D2712" t="str">
        <f>IFERROR(__xludf.DUMMYFUNCTION("""COMPUTED_VALUE"""),"Social Studies 9")</f>
        <v>Social Studies 9</v>
      </c>
      <c r="E2712" s="3">
        <f>IFERROR(__xludf.DUMMYFUNCTION("""COMPUTED_VALUE"""),3.0)</f>
        <v>3</v>
      </c>
      <c r="F2712" s="300">
        <v>1.0</v>
      </c>
      <c r="G2712" s="300">
        <v>1.0</v>
      </c>
      <c r="H2712" s="300">
        <v>1.0</v>
      </c>
      <c r="I2712" s="300">
        <v>1.0</v>
      </c>
      <c r="J2712" s="300">
        <v>1.0</v>
      </c>
      <c r="K2712" s="300">
        <v>1.0</v>
      </c>
      <c r="L2712" s="300">
        <v>1.0</v>
      </c>
      <c r="M2712" s="300">
        <v>1.0</v>
      </c>
      <c r="N2712" s="300">
        <v>8.0</v>
      </c>
      <c r="O2712" s="300" t="s">
        <v>924</v>
      </c>
      <c r="P2712" s="300">
        <v>6.0</v>
      </c>
    </row>
    <row r="2713">
      <c r="A2713">
        <f>IFERROR(__xludf.DUMMYFUNCTION("""COMPUTED_VALUE"""),9.0)</f>
        <v>9</v>
      </c>
      <c r="B2713" s="406">
        <f>IFERROR(__xludf.DUMMYFUNCTION("""COMPUTED_VALUE"""),29118.0)</f>
        <v>29118</v>
      </c>
      <c r="C2713" t="str">
        <f>IFERROR(__xludf.DUMMYFUNCTION("""COMPUTED_VALUE"""),"TRUJILLO RUIZ, SAMUEL")</f>
        <v>TRUJILLO RUIZ, SAMUEL</v>
      </c>
      <c r="D2713" t="str">
        <f>IFERROR(__xludf.DUMMYFUNCTION("""COMPUTED_VALUE"""),"Social Studies 9")</f>
        <v>Social Studies 9</v>
      </c>
      <c r="E2713" s="3">
        <f>IFERROR(__xludf.DUMMYFUNCTION("""COMPUTED_VALUE"""),8.0)</f>
        <v>8</v>
      </c>
      <c r="F2713" s="300">
        <v>1.0</v>
      </c>
      <c r="G2713" s="300">
        <v>1.0</v>
      </c>
      <c r="H2713" s="300">
        <v>1.0</v>
      </c>
      <c r="I2713" s="300">
        <v>1.0</v>
      </c>
      <c r="J2713" s="300">
        <v>1.0</v>
      </c>
      <c r="K2713" s="300">
        <v>1.0</v>
      </c>
      <c r="L2713" s="300">
        <v>1.0</v>
      </c>
      <c r="M2713" s="300">
        <v>1.0</v>
      </c>
      <c r="N2713" s="300">
        <v>8.0</v>
      </c>
      <c r="O2713" s="300" t="s">
        <v>922</v>
      </c>
      <c r="P2713" s="300">
        <v>6.0</v>
      </c>
    </row>
    <row r="2714">
      <c r="A2714">
        <f>IFERROR(__xludf.DUMMYFUNCTION("""COMPUTED_VALUE"""),9.0)</f>
        <v>9</v>
      </c>
      <c r="B2714" s="406">
        <f>IFERROR(__xludf.DUMMYFUNCTION("""COMPUTED_VALUE"""),29096.0)</f>
        <v>29096</v>
      </c>
      <c r="C2714" t="str">
        <f>IFERROR(__xludf.DUMMYFUNCTION("""COMPUTED_VALUE"""),"RAMIREZ PELAEZ, ANTONIA")</f>
        <v>RAMIREZ PELAEZ, ANTONIA</v>
      </c>
      <c r="D2714" t="str">
        <f>IFERROR(__xludf.DUMMYFUNCTION("""COMPUTED_VALUE"""),"Social Studies 9")</f>
        <v>Social Studies 9</v>
      </c>
      <c r="E2714" s="3">
        <f>IFERROR(__xludf.DUMMYFUNCTION("""COMPUTED_VALUE"""),4.0)</f>
        <v>4</v>
      </c>
      <c r="F2714" s="300">
        <v>1.0</v>
      </c>
      <c r="G2714" s="300">
        <v>1.0</v>
      </c>
      <c r="H2714" s="300">
        <v>1.0</v>
      </c>
      <c r="I2714" s="300">
        <v>1.0</v>
      </c>
      <c r="J2714" s="300">
        <v>1.0</v>
      </c>
      <c r="K2714" s="300">
        <v>1.0</v>
      </c>
      <c r="L2714" s="300">
        <v>1.0</v>
      </c>
      <c r="M2714" s="300">
        <v>1.0</v>
      </c>
      <c r="N2714" s="300">
        <v>8.0</v>
      </c>
      <c r="O2714" s="300" t="s">
        <v>921</v>
      </c>
      <c r="P2714" s="300">
        <v>6.0</v>
      </c>
    </row>
    <row r="2715">
      <c r="A2715">
        <f>IFERROR(__xludf.DUMMYFUNCTION("""COMPUTED_VALUE"""),9.0)</f>
        <v>9</v>
      </c>
      <c r="B2715" s="406">
        <f>IFERROR(__xludf.DUMMYFUNCTION("""COMPUTED_VALUE"""),29119.0)</f>
        <v>29119</v>
      </c>
      <c r="C2715" t="str">
        <f>IFERROR(__xludf.DUMMYFUNCTION("""COMPUTED_VALUE"""),"TRUJILLO RUIZ, SARA")</f>
        <v>TRUJILLO RUIZ, SARA</v>
      </c>
      <c r="D2715" t="str">
        <f>IFERROR(__xludf.DUMMYFUNCTION("""COMPUTED_VALUE"""),"Social Studies 9")</f>
        <v>Social Studies 9</v>
      </c>
      <c r="E2715" s="3">
        <f>IFERROR(__xludf.DUMMYFUNCTION("""COMPUTED_VALUE"""),3.0)</f>
        <v>3</v>
      </c>
      <c r="F2715" s="300">
        <v>1.0</v>
      </c>
      <c r="G2715" s="300">
        <v>1.0</v>
      </c>
      <c r="H2715" s="300">
        <v>1.0</v>
      </c>
      <c r="I2715" s="300">
        <v>1.0</v>
      </c>
      <c r="J2715" s="300">
        <v>1.0</v>
      </c>
      <c r="K2715" s="300">
        <v>1.0</v>
      </c>
      <c r="L2715" s="300">
        <v>1.0</v>
      </c>
      <c r="M2715" s="300">
        <v>1.0</v>
      </c>
      <c r="N2715" s="300">
        <v>8.0</v>
      </c>
      <c r="O2715" s="300" t="s">
        <v>924</v>
      </c>
      <c r="P2715" s="300">
        <v>6.0</v>
      </c>
    </row>
    <row r="2716">
      <c r="A2716">
        <f>IFERROR(__xludf.DUMMYFUNCTION("""COMPUTED_VALUE"""),9.0)</f>
        <v>9</v>
      </c>
      <c r="B2716" s="406">
        <f>IFERROR(__xludf.DUMMYFUNCTION("""COMPUTED_VALUE"""),29097.0)</f>
        <v>29097</v>
      </c>
      <c r="C2716" t="str">
        <f>IFERROR(__xludf.DUMMYFUNCTION("""COMPUTED_VALUE"""),"RAMIREZ PELAEZ, ELENA")</f>
        <v>RAMIREZ PELAEZ, ELENA</v>
      </c>
      <c r="D2716" t="str">
        <f>IFERROR(__xludf.DUMMYFUNCTION("""COMPUTED_VALUE"""),"Social Studies 9")</f>
        <v>Social Studies 9</v>
      </c>
      <c r="E2716" s="3">
        <f>IFERROR(__xludf.DUMMYFUNCTION("""COMPUTED_VALUE"""),7.0)</f>
        <v>7</v>
      </c>
      <c r="F2716" s="300">
        <v>1.0</v>
      </c>
      <c r="G2716" s="300">
        <v>1.0</v>
      </c>
      <c r="H2716" s="300">
        <v>1.0</v>
      </c>
      <c r="I2716" s="300">
        <v>1.0</v>
      </c>
      <c r="J2716" s="300">
        <v>1.0</v>
      </c>
      <c r="K2716" s="300">
        <v>1.0</v>
      </c>
      <c r="L2716" s="300">
        <v>1.0</v>
      </c>
      <c r="M2716" s="300">
        <v>1.0</v>
      </c>
      <c r="N2716" s="300">
        <v>8.0</v>
      </c>
      <c r="O2716" s="300" t="s">
        <v>925</v>
      </c>
      <c r="P2716" s="300">
        <v>6.0</v>
      </c>
    </row>
    <row r="2717">
      <c r="A2717">
        <f>IFERROR(__xludf.DUMMYFUNCTION("""COMPUTED_VALUE"""),9.0)</f>
        <v>9</v>
      </c>
      <c r="B2717" s="406">
        <f>IFERROR(__xludf.DUMMYFUNCTION("""COMPUTED_VALUE"""),29169.0)</f>
        <v>29169</v>
      </c>
      <c r="C2717" t="str">
        <f>IFERROR(__xludf.DUMMYFUNCTION("""COMPUTED_VALUE"""),"REPETTO LARROSA, FAUSTINO")</f>
        <v>REPETTO LARROSA, FAUSTINO</v>
      </c>
      <c r="D2717" t="str">
        <f>IFERROR(__xludf.DUMMYFUNCTION("""COMPUTED_VALUE"""),"Social Studies 9")</f>
        <v>Social Studies 9</v>
      </c>
      <c r="E2717" s="3">
        <f>IFERROR(__xludf.DUMMYFUNCTION("""COMPUTED_VALUE"""),2.0)</f>
        <v>2</v>
      </c>
      <c r="F2717" s="300">
        <v>1.0</v>
      </c>
      <c r="G2717" s="300">
        <v>1.0</v>
      </c>
      <c r="H2717" s="300">
        <v>1.0</v>
      </c>
      <c r="I2717" s="300">
        <v>1.0</v>
      </c>
      <c r="J2717" s="300">
        <v>1.0</v>
      </c>
      <c r="K2717" s="300">
        <v>1.0</v>
      </c>
      <c r="L2717" s="300">
        <v>1.0</v>
      </c>
      <c r="M2717" s="300">
        <v>1.0</v>
      </c>
      <c r="N2717" s="300">
        <v>8.0</v>
      </c>
      <c r="O2717" s="300" t="s">
        <v>920</v>
      </c>
      <c r="P2717" s="300">
        <v>6.0</v>
      </c>
    </row>
    <row r="2718">
      <c r="A2718">
        <f>IFERROR(__xludf.DUMMYFUNCTION("""COMPUTED_VALUE"""),9.0)</f>
        <v>9</v>
      </c>
      <c r="B2718" s="406">
        <f>IFERROR(__xludf.DUMMYFUNCTION("""COMPUTED_VALUE"""),29156.0)</f>
        <v>29156</v>
      </c>
      <c r="C2718" t="str">
        <f>IFERROR(__xludf.DUMMYFUNCTION("""COMPUTED_VALUE"""),"FERNANDEZ CALDERON, TAMARA")</f>
        <v>FERNANDEZ CALDERON, TAMARA</v>
      </c>
      <c r="D2718" t="str">
        <f>IFERROR(__xludf.DUMMYFUNCTION("""COMPUTED_VALUE"""),"Social Studies 9")</f>
        <v>Social Studies 9</v>
      </c>
      <c r="E2718" s="3">
        <f>IFERROR(__xludf.DUMMYFUNCTION("""COMPUTED_VALUE"""),3.0)</f>
        <v>3</v>
      </c>
      <c r="F2718" s="300">
        <v>1.0</v>
      </c>
      <c r="G2718" s="300">
        <v>1.0</v>
      </c>
      <c r="H2718" s="300">
        <v>1.0</v>
      </c>
      <c r="I2718" s="300">
        <v>1.0</v>
      </c>
      <c r="J2718" s="300">
        <v>1.0</v>
      </c>
      <c r="K2718" s="300">
        <v>1.0</v>
      </c>
      <c r="L2718" s="300">
        <v>1.0</v>
      </c>
      <c r="M2718" s="300">
        <v>1.0</v>
      </c>
      <c r="N2718" s="300">
        <v>8.0</v>
      </c>
      <c r="O2718" s="300" t="s">
        <v>924</v>
      </c>
      <c r="P2718" s="300">
        <v>6.0</v>
      </c>
    </row>
    <row r="2719">
      <c r="A2719">
        <f>IFERROR(__xludf.DUMMYFUNCTION("""COMPUTED_VALUE"""),9.0)</f>
        <v>9</v>
      </c>
      <c r="B2719" s="406">
        <f>IFERROR(__xludf.DUMMYFUNCTION("""COMPUTED_VALUE"""),29035.0)</f>
        <v>29035</v>
      </c>
      <c r="C2719" t="str">
        <f>IFERROR(__xludf.DUMMYFUNCTION("""COMPUTED_VALUE"""),"DURAN CALAD, MIGUEL")</f>
        <v>DURAN CALAD, MIGUEL</v>
      </c>
      <c r="D2719" t="str">
        <f>IFERROR(__xludf.DUMMYFUNCTION("""COMPUTED_VALUE"""),"Social Studies 9")</f>
        <v>Social Studies 9</v>
      </c>
      <c r="E2719" s="3">
        <f>IFERROR(__xludf.DUMMYFUNCTION("""COMPUTED_VALUE"""),5.0)</f>
        <v>5</v>
      </c>
      <c r="F2719" s="300">
        <v>1.0</v>
      </c>
      <c r="G2719" s="300">
        <v>1.0</v>
      </c>
      <c r="H2719" s="300">
        <v>1.0</v>
      </c>
      <c r="I2719" s="300">
        <v>1.0</v>
      </c>
      <c r="J2719" s="300">
        <v>1.0</v>
      </c>
      <c r="K2719" s="300">
        <v>1.0</v>
      </c>
      <c r="L2719" s="300">
        <v>1.0</v>
      </c>
      <c r="M2719" s="300">
        <v>1.0</v>
      </c>
      <c r="N2719" s="300">
        <v>8.0</v>
      </c>
      <c r="O2719" s="300" t="s">
        <v>923</v>
      </c>
      <c r="P2719" s="300">
        <v>6.0</v>
      </c>
    </row>
    <row r="2720">
      <c r="A2720">
        <f>IFERROR(__xludf.DUMMYFUNCTION("""COMPUTED_VALUE"""),9.0)</f>
        <v>9</v>
      </c>
      <c r="B2720" s="406">
        <f>IFERROR(__xludf.DUMMYFUNCTION("""COMPUTED_VALUE"""),29028.0)</f>
        <v>29028</v>
      </c>
      <c r="C2720" t="str">
        <f>IFERROR(__xludf.DUMMYFUNCTION("""COMPUTED_VALUE"""),"CARVAJAL ACOSTA, MARTIN")</f>
        <v>CARVAJAL ACOSTA, MARTIN</v>
      </c>
      <c r="D2720" t="str">
        <f>IFERROR(__xludf.DUMMYFUNCTION("""COMPUTED_VALUE"""),"Social Studies 9")</f>
        <v>Social Studies 9</v>
      </c>
      <c r="E2720" s="3">
        <f>IFERROR(__xludf.DUMMYFUNCTION("""COMPUTED_VALUE"""),3.0)</f>
        <v>3</v>
      </c>
      <c r="F2720" s="300">
        <v>1.0</v>
      </c>
      <c r="G2720" s="300">
        <v>1.0</v>
      </c>
      <c r="H2720" s="300">
        <v>1.0</v>
      </c>
      <c r="I2720" s="300">
        <v>1.0</v>
      </c>
      <c r="J2720" s="300">
        <v>1.0</v>
      </c>
      <c r="K2720" s="300">
        <v>1.0</v>
      </c>
      <c r="L2720" s="300">
        <v>1.0</v>
      </c>
      <c r="M2720" s="300">
        <v>1.0</v>
      </c>
      <c r="N2720" s="300">
        <v>8.0</v>
      </c>
      <c r="O2720" s="300" t="s">
        <v>924</v>
      </c>
      <c r="P2720" s="300">
        <v>6.0</v>
      </c>
    </row>
    <row r="2721">
      <c r="A2721">
        <f>IFERROR(__xludf.DUMMYFUNCTION("""COMPUTED_VALUE"""),9.0)</f>
        <v>9</v>
      </c>
      <c r="B2721" s="406">
        <f>IFERROR(__xludf.DUMMYFUNCTION("""COMPUTED_VALUE"""),29110.0)</f>
        <v>29110</v>
      </c>
      <c r="C2721" t="str">
        <f>IFERROR(__xludf.DUMMYFUNCTION("""COMPUTED_VALUE"""),"SOSA ECHAVARRIA, EMILIO")</f>
        <v>SOSA ECHAVARRIA, EMILIO</v>
      </c>
      <c r="D2721" t="str">
        <f>IFERROR(__xludf.DUMMYFUNCTION("""COMPUTED_VALUE"""),"Social Studies 9")</f>
        <v>Social Studies 9</v>
      </c>
      <c r="E2721" s="3">
        <f>IFERROR(__xludf.DUMMYFUNCTION("""COMPUTED_VALUE"""),4.0)</f>
        <v>4</v>
      </c>
      <c r="F2721" s="300">
        <v>1.0</v>
      </c>
      <c r="G2721" s="300">
        <v>1.0</v>
      </c>
      <c r="H2721" s="300">
        <v>1.0</v>
      </c>
      <c r="I2721" s="300">
        <v>1.0</v>
      </c>
      <c r="J2721" s="300">
        <v>1.0</v>
      </c>
      <c r="K2721" s="300">
        <v>1.0</v>
      </c>
      <c r="L2721" s="300">
        <v>1.0</v>
      </c>
      <c r="M2721" s="300">
        <v>1.0</v>
      </c>
      <c r="N2721" s="300">
        <v>8.0</v>
      </c>
      <c r="O2721" s="300" t="s">
        <v>921</v>
      </c>
      <c r="P2721" s="300">
        <v>6.0</v>
      </c>
    </row>
    <row r="2722">
      <c r="A2722">
        <f>IFERROR(__xludf.DUMMYFUNCTION("""COMPUTED_VALUE"""),9.0)</f>
        <v>9</v>
      </c>
      <c r="B2722" s="406">
        <f>IFERROR(__xludf.DUMMYFUNCTION("""COMPUTED_VALUE"""),28144.0)</f>
        <v>28144</v>
      </c>
      <c r="C2722" t="str">
        <f>IFERROR(__xludf.DUMMYFUNCTION("""COMPUTED_VALUE"""),"JIMENEZ PATIÑO, EMILIO")</f>
        <v>JIMENEZ PATIÑO, EMILIO</v>
      </c>
      <c r="D2722" t="str">
        <f>IFERROR(__xludf.DUMMYFUNCTION("""COMPUTED_VALUE"""),"Social Studies 9")</f>
        <v>Social Studies 9</v>
      </c>
      <c r="E2722" s="3">
        <f>IFERROR(__xludf.DUMMYFUNCTION("""COMPUTED_VALUE"""),7.0)</f>
        <v>7</v>
      </c>
      <c r="F2722" s="300">
        <v>1.0</v>
      </c>
      <c r="G2722" s="300">
        <v>1.0</v>
      </c>
      <c r="H2722" s="300">
        <v>1.0</v>
      </c>
      <c r="I2722" s="300">
        <v>1.0</v>
      </c>
      <c r="J2722" s="300">
        <v>1.0</v>
      </c>
      <c r="K2722" s="300">
        <v>1.0</v>
      </c>
      <c r="L2722" s="300">
        <v>1.0</v>
      </c>
      <c r="M2722" s="300">
        <v>1.0</v>
      </c>
      <c r="N2722" s="300">
        <v>8.0</v>
      </c>
      <c r="O2722" s="300" t="s">
        <v>925</v>
      </c>
      <c r="P2722" s="300">
        <v>6.0</v>
      </c>
    </row>
    <row r="2723">
      <c r="A2723">
        <f>IFERROR(__xludf.DUMMYFUNCTION("""COMPUTED_VALUE"""),9.0)</f>
        <v>9</v>
      </c>
      <c r="B2723" s="406">
        <f>IFERROR(__xludf.DUMMYFUNCTION("""COMPUTED_VALUE"""),29126.0)</f>
        <v>29126</v>
      </c>
      <c r="C2723" t="str">
        <f>IFERROR(__xludf.DUMMYFUNCTION("""COMPUTED_VALUE"""),"VASQUEZ ANGEL, JUANITA")</f>
        <v>VASQUEZ ANGEL, JUANITA</v>
      </c>
      <c r="D2723" t="str">
        <f>IFERROR(__xludf.DUMMYFUNCTION("""COMPUTED_VALUE"""),"Social Studies 9")</f>
        <v>Social Studies 9</v>
      </c>
      <c r="E2723" s="3">
        <f>IFERROR(__xludf.DUMMYFUNCTION("""COMPUTED_VALUE"""),4.0)</f>
        <v>4</v>
      </c>
      <c r="F2723" s="300">
        <v>1.0</v>
      </c>
      <c r="G2723" s="300">
        <v>1.0</v>
      </c>
      <c r="H2723" s="300">
        <v>1.0</v>
      </c>
      <c r="I2723" s="300">
        <v>1.0</v>
      </c>
      <c r="J2723" s="300">
        <v>1.0</v>
      </c>
      <c r="K2723" s="300">
        <v>1.0</v>
      </c>
      <c r="L2723" s="300">
        <v>1.0</v>
      </c>
      <c r="M2723" s="300">
        <v>1.0</v>
      </c>
      <c r="N2723" s="300">
        <v>8.0</v>
      </c>
      <c r="O2723" s="300" t="s">
        <v>921</v>
      </c>
      <c r="P2723" s="300">
        <v>6.0</v>
      </c>
    </row>
    <row r="2724">
      <c r="A2724">
        <f>IFERROR(__xludf.DUMMYFUNCTION("""COMPUTED_VALUE"""),9.0)</f>
        <v>9</v>
      </c>
      <c r="B2724" s="406">
        <f>IFERROR(__xludf.DUMMYFUNCTION("""COMPUTED_VALUE"""),29098.0)</f>
        <v>29098</v>
      </c>
      <c r="C2724" t="str">
        <f>IFERROR(__xludf.DUMMYFUNCTION("""COMPUTED_VALUE"""),"RESTREPO ESCOBAR, ISABELA")</f>
        <v>RESTREPO ESCOBAR, ISABELA</v>
      </c>
      <c r="D2724" t="str">
        <f>IFERROR(__xludf.DUMMYFUNCTION("""COMPUTED_VALUE"""),"Social Studies 9")</f>
        <v>Social Studies 9</v>
      </c>
      <c r="E2724" s="3">
        <f>IFERROR(__xludf.DUMMYFUNCTION("""COMPUTED_VALUE"""),7.0)</f>
        <v>7</v>
      </c>
      <c r="F2724" s="300">
        <v>1.0</v>
      </c>
      <c r="G2724" s="300">
        <v>1.0</v>
      </c>
      <c r="H2724" s="300">
        <v>1.0</v>
      </c>
      <c r="I2724" s="300">
        <v>1.0</v>
      </c>
      <c r="J2724" s="300">
        <v>1.0</v>
      </c>
      <c r="K2724" s="300">
        <v>1.0</v>
      </c>
      <c r="L2724" s="300">
        <v>1.0</v>
      </c>
      <c r="M2724" s="300">
        <v>1.0</v>
      </c>
      <c r="N2724" s="300">
        <v>8.0</v>
      </c>
      <c r="O2724" s="300" t="s">
        <v>925</v>
      </c>
      <c r="P2724" s="300">
        <v>6.0</v>
      </c>
    </row>
    <row r="2725">
      <c r="A2725">
        <f>IFERROR(__xludf.DUMMYFUNCTION("""COMPUTED_VALUE"""),9.0)</f>
        <v>9</v>
      </c>
      <c r="B2725" s="406">
        <f>IFERROR(__xludf.DUMMYFUNCTION("""COMPUTED_VALUE"""),29083.0)</f>
        <v>29083</v>
      </c>
      <c r="C2725" t="str">
        <f>IFERROR(__xludf.DUMMYFUNCTION("""COMPUTED_VALUE"""),"NAVARRO ZULUAGA, SOFIA")</f>
        <v>NAVARRO ZULUAGA, SOFIA</v>
      </c>
      <c r="D2725" t="str">
        <f>IFERROR(__xludf.DUMMYFUNCTION("""COMPUTED_VALUE"""),"Social Studies 9")</f>
        <v>Social Studies 9</v>
      </c>
      <c r="E2725" s="3">
        <f>IFERROR(__xludf.DUMMYFUNCTION("""COMPUTED_VALUE"""),2.0)</f>
        <v>2</v>
      </c>
      <c r="F2725" s="300">
        <v>1.0</v>
      </c>
      <c r="G2725" s="300">
        <v>1.0</v>
      </c>
      <c r="H2725" s="300">
        <v>1.0</v>
      </c>
      <c r="I2725" s="300">
        <v>1.0</v>
      </c>
      <c r="J2725" s="300">
        <v>1.0</v>
      </c>
      <c r="K2725" s="300">
        <v>1.0</v>
      </c>
      <c r="L2725" s="300">
        <v>1.0</v>
      </c>
      <c r="M2725" s="300">
        <v>1.0</v>
      </c>
      <c r="N2725" s="300">
        <v>8.0</v>
      </c>
      <c r="O2725" s="300" t="s">
        <v>920</v>
      </c>
      <c r="P2725" s="300">
        <v>6.0</v>
      </c>
    </row>
    <row r="2726">
      <c r="A2726">
        <f>IFERROR(__xludf.DUMMYFUNCTION("""COMPUTED_VALUE"""),9.0)</f>
        <v>9</v>
      </c>
      <c r="B2726" s="406">
        <f>IFERROR(__xludf.DUMMYFUNCTION("""COMPUTED_VALUE"""),29023.0)</f>
        <v>29023</v>
      </c>
      <c r="C2726" t="str">
        <f>IFERROR(__xludf.DUMMYFUNCTION("""COMPUTED_VALUE"""),"BOTERO DEL CORRAL, EMILIANA")</f>
        <v>BOTERO DEL CORRAL, EMILIANA</v>
      </c>
      <c r="D2726" t="str">
        <f>IFERROR(__xludf.DUMMYFUNCTION("""COMPUTED_VALUE"""),"Social Studies 9")</f>
        <v>Social Studies 9</v>
      </c>
      <c r="E2726" s="3">
        <f>IFERROR(__xludf.DUMMYFUNCTION("""COMPUTED_VALUE"""),4.0)</f>
        <v>4</v>
      </c>
      <c r="F2726" s="300">
        <v>1.0</v>
      </c>
      <c r="G2726" s="300">
        <v>1.0</v>
      </c>
      <c r="H2726" s="300">
        <v>1.0</v>
      </c>
      <c r="I2726" s="300">
        <v>1.0</v>
      </c>
      <c r="J2726" s="300">
        <v>1.0</v>
      </c>
      <c r="K2726" s="300">
        <v>1.0</v>
      </c>
      <c r="L2726" s="300">
        <v>1.0</v>
      </c>
      <c r="M2726" s="300">
        <v>1.0</v>
      </c>
      <c r="N2726" s="300">
        <v>8.0</v>
      </c>
      <c r="O2726" s="300" t="s">
        <v>921</v>
      </c>
      <c r="P2726" s="300">
        <v>6.0</v>
      </c>
    </row>
    <row r="2727">
      <c r="A2727">
        <f>IFERROR(__xludf.DUMMYFUNCTION("""COMPUTED_VALUE"""),10.0)</f>
        <v>10</v>
      </c>
      <c r="B2727" s="406">
        <f>IFERROR(__xludf.DUMMYFUNCTION("""COMPUTED_VALUE"""),28042.0)</f>
        <v>28042</v>
      </c>
      <c r="C2727" t="str">
        <f>IFERROR(__xludf.DUMMYFUNCTION("""COMPUTED_VALUE"""),"GUERRA MARTINEZ, REBECCA")</f>
        <v>GUERRA MARTINEZ, REBECCA</v>
      </c>
      <c r="D2727" t="str">
        <f>IFERROR(__xludf.DUMMYFUNCTION("""COMPUTED_VALUE"""),"AP Human Geography")</f>
        <v>AP Human Geography</v>
      </c>
      <c r="E2727" s="3">
        <f>IFERROR(__xludf.DUMMYFUNCTION("""COMPUTED_VALUE"""),3.0)</f>
        <v>3</v>
      </c>
      <c r="F2727" s="300">
        <v>1.0</v>
      </c>
      <c r="G2727" s="300">
        <v>1.0</v>
      </c>
      <c r="H2727" s="300">
        <v>1.0</v>
      </c>
      <c r="I2727" s="300">
        <v>1.0</v>
      </c>
      <c r="J2727" s="300">
        <v>1.0</v>
      </c>
      <c r="K2727" s="300">
        <v>1.0</v>
      </c>
      <c r="L2727" s="300">
        <v>1.0</v>
      </c>
      <c r="M2727" s="300">
        <v>1.0</v>
      </c>
      <c r="N2727" s="300">
        <v>8.0</v>
      </c>
      <c r="O2727" s="300" t="s">
        <v>926</v>
      </c>
      <c r="P2727" s="300">
        <v>4.0</v>
      </c>
    </row>
    <row r="2728">
      <c r="A2728">
        <f>IFERROR(__xludf.DUMMYFUNCTION("""COMPUTED_VALUE"""),10.0)</f>
        <v>10</v>
      </c>
      <c r="B2728" s="406">
        <f>IFERROR(__xludf.DUMMYFUNCTION("""COMPUTED_VALUE"""),28116.0)</f>
        <v>28116</v>
      </c>
      <c r="C2728" t="str">
        <f>IFERROR(__xludf.DUMMYFUNCTION("""COMPUTED_VALUE"""),"VELEZ ZAPATA, SARA")</f>
        <v>VELEZ ZAPATA, SARA</v>
      </c>
      <c r="D2728" t="str">
        <f>IFERROR(__xludf.DUMMYFUNCTION("""COMPUTED_VALUE"""),"AP Human Geography")</f>
        <v>AP Human Geography</v>
      </c>
      <c r="E2728" s="3">
        <f>IFERROR(__xludf.DUMMYFUNCTION("""COMPUTED_VALUE"""),2.0)</f>
        <v>2</v>
      </c>
      <c r="F2728" s="300">
        <v>1.0</v>
      </c>
      <c r="G2728" s="300">
        <v>1.0</v>
      </c>
      <c r="H2728" s="300">
        <v>1.0</v>
      </c>
      <c r="I2728" s="300">
        <v>1.0</v>
      </c>
      <c r="J2728" s="300">
        <v>1.0</v>
      </c>
      <c r="K2728" s="300">
        <v>1.0</v>
      </c>
      <c r="L2728" s="300">
        <v>1.0</v>
      </c>
      <c r="M2728" s="300">
        <v>1.0</v>
      </c>
      <c r="N2728" s="300">
        <v>8.0</v>
      </c>
      <c r="O2728" s="300" t="s">
        <v>927</v>
      </c>
      <c r="P2728" s="300">
        <v>4.0</v>
      </c>
    </row>
    <row r="2729">
      <c r="A2729">
        <f>IFERROR(__xludf.DUMMYFUNCTION("""COMPUTED_VALUE"""),10.0)</f>
        <v>10</v>
      </c>
      <c r="B2729" s="406">
        <f>IFERROR(__xludf.DUMMYFUNCTION("""COMPUTED_VALUE"""),28013.0)</f>
        <v>28013</v>
      </c>
      <c r="C2729" t="str">
        <f>IFERROR(__xludf.DUMMYFUNCTION("""COMPUTED_VALUE"""),"BERDUGO RESTREPO, ROSARIO")</f>
        <v>BERDUGO RESTREPO, ROSARIO</v>
      </c>
      <c r="D2729" t="str">
        <f>IFERROR(__xludf.DUMMYFUNCTION("""COMPUTED_VALUE"""),"Global")</f>
        <v>Global</v>
      </c>
      <c r="E2729" s="3">
        <f>IFERROR(__xludf.DUMMYFUNCTION("""COMPUTED_VALUE"""),4.0)</f>
        <v>4</v>
      </c>
      <c r="F2729" s="300">
        <v>1.0</v>
      </c>
      <c r="G2729" s="300">
        <v>1.0</v>
      </c>
      <c r="H2729" s="300">
        <v>1.0</v>
      </c>
      <c r="I2729" s="300">
        <v>1.0</v>
      </c>
      <c r="J2729" s="300">
        <v>1.0</v>
      </c>
      <c r="K2729" s="300">
        <v>1.0</v>
      </c>
      <c r="L2729" s="300">
        <v>1.0</v>
      </c>
      <c r="M2729" s="300">
        <v>1.0</v>
      </c>
      <c r="N2729" s="300">
        <v>8.0</v>
      </c>
      <c r="O2729" s="300" t="s">
        <v>928</v>
      </c>
      <c r="P2729" s="300">
        <v>3.0</v>
      </c>
    </row>
    <row r="2730">
      <c r="A2730">
        <f>IFERROR(__xludf.DUMMYFUNCTION("""COMPUTED_VALUE"""),10.0)</f>
        <v>10</v>
      </c>
      <c r="B2730" s="406">
        <f>IFERROR(__xludf.DUMMYFUNCTION("""COMPUTED_VALUE"""),28045.0)</f>
        <v>28045</v>
      </c>
      <c r="C2730" t="str">
        <f>IFERROR(__xludf.DUMMYFUNCTION("""COMPUTED_VALUE"""),"HINESTROZA ESCOBAR, LUCIANA")</f>
        <v>HINESTROZA ESCOBAR, LUCIANA</v>
      </c>
      <c r="D2730" t="str">
        <f>IFERROR(__xludf.DUMMYFUNCTION("""COMPUTED_VALUE"""),"Global")</f>
        <v>Global</v>
      </c>
      <c r="E2730" s="3">
        <f>IFERROR(__xludf.DUMMYFUNCTION("""COMPUTED_VALUE"""),7.0)</f>
        <v>7</v>
      </c>
      <c r="F2730" s="300">
        <v>1.0</v>
      </c>
      <c r="G2730" s="300">
        <v>1.0</v>
      </c>
      <c r="H2730" s="300">
        <v>1.0</v>
      </c>
      <c r="I2730" s="300">
        <v>1.0</v>
      </c>
      <c r="J2730" s="300">
        <v>1.0</v>
      </c>
      <c r="K2730" s="300">
        <v>1.0</v>
      </c>
      <c r="L2730" s="300">
        <v>1.0</v>
      </c>
      <c r="M2730" s="300">
        <v>1.0</v>
      </c>
      <c r="N2730" s="300">
        <v>8.0</v>
      </c>
      <c r="O2730" s="300" t="s">
        <v>929</v>
      </c>
      <c r="P2730" s="300">
        <v>3.0</v>
      </c>
    </row>
    <row r="2731">
      <c r="A2731">
        <f>IFERROR(__xludf.DUMMYFUNCTION("""COMPUTED_VALUE"""),10.0)</f>
        <v>10</v>
      </c>
      <c r="B2731" s="406">
        <f>IFERROR(__xludf.DUMMYFUNCTION("""COMPUTED_VALUE"""),28022.0)</f>
        <v>28022</v>
      </c>
      <c r="C2731" t="str">
        <f>IFERROR(__xludf.DUMMYFUNCTION("""COMPUTED_VALUE"""),"CARVAJAL BOTERO, SIMON")</f>
        <v>CARVAJAL BOTERO, SIMON</v>
      </c>
      <c r="D2731" t="str">
        <f>IFERROR(__xludf.DUMMYFUNCTION("""COMPUTED_VALUE"""),"AP Human Geography")</f>
        <v>AP Human Geography</v>
      </c>
      <c r="E2731" s="3">
        <f>IFERROR(__xludf.DUMMYFUNCTION("""COMPUTED_VALUE"""),4.0)</f>
        <v>4</v>
      </c>
      <c r="F2731" s="300">
        <v>1.0</v>
      </c>
      <c r="G2731" s="300">
        <v>1.0</v>
      </c>
      <c r="H2731" s="300">
        <v>1.0</v>
      </c>
      <c r="I2731" s="300">
        <v>1.0</v>
      </c>
      <c r="J2731" s="300">
        <v>1.0</v>
      </c>
      <c r="K2731" s="300">
        <v>1.0</v>
      </c>
      <c r="L2731" s="300">
        <v>1.0</v>
      </c>
      <c r="M2731" s="300">
        <v>1.0</v>
      </c>
      <c r="N2731" s="300">
        <v>8.0</v>
      </c>
      <c r="O2731" s="300" t="s">
        <v>930</v>
      </c>
      <c r="P2731" s="300">
        <v>4.0</v>
      </c>
    </row>
    <row r="2732">
      <c r="A2732">
        <f>IFERROR(__xludf.DUMMYFUNCTION("""COMPUTED_VALUE"""),10.0)</f>
        <v>10</v>
      </c>
      <c r="B2732" s="406">
        <f>IFERROR(__xludf.DUMMYFUNCTION("""COMPUTED_VALUE"""),28166.0)</f>
        <v>28166</v>
      </c>
      <c r="C2732" t="str">
        <f>IFERROR(__xludf.DUMMYFUNCTION("""COMPUTED_VALUE"""),"VELEZ RAMIREZ, MIGUEL")</f>
        <v>VELEZ RAMIREZ, MIGUEL</v>
      </c>
      <c r="D2732" t="str">
        <f>IFERROR(__xludf.DUMMYFUNCTION("""COMPUTED_VALUE"""),"AP Human Geography")</f>
        <v>AP Human Geography</v>
      </c>
      <c r="E2732" s="3">
        <f>IFERROR(__xludf.DUMMYFUNCTION("""COMPUTED_VALUE"""),6.0)</f>
        <v>6</v>
      </c>
      <c r="F2732" s="300">
        <v>1.0</v>
      </c>
      <c r="G2732" s="300">
        <v>1.0</v>
      </c>
      <c r="H2732" s="300">
        <v>1.0</v>
      </c>
      <c r="I2732" s="300">
        <v>1.0</v>
      </c>
      <c r="J2732" s="300">
        <v>1.0</v>
      </c>
      <c r="K2732" s="300">
        <v>1.0</v>
      </c>
      <c r="L2732" s="300">
        <v>1.0</v>
      </c>
      <c r="M2732" s="300">
        <v>1.0</v>
      </c>
      <c r="N2732" s="300">
        <v>8.0</v>
      </c>
      <c r="O2732" s="300" t="s">
        <v>931</v>
      </c>
      <c r="P2732" s="300">
        <v>4.0</v>
      </c>
    </row>
    <row r="2733">
      <c r="A2733">
        <f>IFERROR(__xludf.DUMMYFUNCTION("""COMPUTED_VALUE"""),10.0)</f>
        <v>10</v>
      </c>
      <c r="B2733" s="406">
        <f>IFERROR(__xludf.DUMMYFUNCTION("""COMPUTED_VALUE"""),28083.0)</f>
        <v>28083</v>
      </c>
      <c r="C2733" t="str">
        <f>IFERROR(__xludf.DUMMYFUNCTION("""COMPUTED_VALUE"""),"PENAGOS VELEZ, EMILIO")</f>
        <v>PENAGOS VELEZ, EMILIO</v>
      </c>
      <c r="D2733" t="str">
        <f>IFERROR(__xludf.DUMMYFUNCTION("""COMPUTED_VALUE"""),"AP Human Geography")</f>
        <v>AP Human Geography</v>
      </c>
      <c r="E2733" s="3">
        <f>IFERROR(__xludf.DUMMYFUNCTION("""COMPUTED_VALUE"""),6.0)</f>
        <v>6</v>
      </c>
      <c r="F2733" s="300">
        <v>1.0</v>
      </c>
      <c r="G2733" s="300">
        <v>1.0</v>
      </c>
      <c r="H2733" s="300">
        <v>1.0</v>
      </c>
      <c r="I2733" s="300">
        <v>1.0</v>
      </c>
      <c r="J2733" s="300">
        <v>1.0</v>
      </c>
      <c r="K2733" s="300">
        <v>1.0</v>
      </c>
      <c r="L2733" s="300">
        <v>1.0</v>
      </c>
      <c r="M2733" s="300">
        <v>1.0</v>
      </c>
      <c r="N2733" s="300">
        <v>8.0</v>
      </c>
      <c r="O2733" s="300" t="s">
        <v>931</v>
      </c>
      <c r="P2733" s="300">
        <v>4.0</v>
      </c>
    </row>
    <row r="2734">
      <c r="A2734">
        <f>IFERROR(__xludf.DUMMYFUNCTION("""COMPUTED_VALUE"""),10.0)</f>
        <v>10</v>
      </c>
      <c r="B2734" s="406">
        <f>IFERROR(__xludf.DUMMYFUNCTION("""COMPUTED_VALUE"""),28105.0)</f>
        <v>28105</v>
      </c>
      <c r="C2734" t="str">
        <f>IFERROR(__xludf.DUMMYFUNCTION("""COMPUTED_VALUE"""),"TABARES MORENO, LUCAS")</f>
        <v>TABARES MORENO, LUCAS</v>
      </c>
      <c r="D2734" t="str">
        <f>IFERROR(__xludf.DUMMYFUNCTION("""COMPUTED_VALUE"""),"AP Human Geography")</f>
        <v>AP Human Geography</v>
      </c>
      <c r="E2734" s="3">
        <f>IFERROR(__xludf.DUMMYFUNCTION("""COMPUTED_VALUE"""),6.0)</f>
        <v>6</v>
      </c>
      <c r="F2734" s="300">
        <v>1.0</v>
      </c>
      <c r="G2734" s="300">
        <v>1.0</v>
      </c>
      <c r="H2734" s="300">
        <v>1.0</v>
      </c>
      <c r="I2734" s="300">
        <v>1.0</v>
      </c>
      <c r="J2734" s="300">
        <v>1.0</v>
      </c>
      <c r="K2734" s="300">
        <v>1.0</v>
      </c>
      <c r="L2734" s="300">
        <v>1.0</v>
      </c>
      <c r="M2734" s="300">
        <v>1.0</v>
      </c>
      <c r="N2734" s="300">
        <v>8.0</v>
      </c>
      <c r="O2734" s="300" t="s">
        <v>931</v>
      </c>
      <c r="P2734" s="300">
        <v>4.0</v>
      </c>
    </row>
    <row r="2735">
      <c r="A2735">
        <f>IFERROR(__xludf.DUMMYFUNCTION("""COMPUTED_VALUE"""),10.0)</f>
        <v>10</v>
      </c>
      <c r="B2735" s="406">
        <f>IFERROR(__xludf.DUMMYFUNCTION("""COMPUTED_VALUE"""),28017.0)</f>
        <v>28017</v>
      </c>
      <c r="C2735" t="str">
        <f>IFERROR(__xludf.DUMMYFUNCTION("""COMPUTED_VALUE"""),"BUHOFER DUQUE, ANDREAS EMILIO")</f>
        <v>BUHOFER DUQUE, ANDREAS EMILIO</v>
      </c>
      <c r="D2735" t="str">
        <f>IFERROR(__xludf.DUMMYFUNCTION("""COMPUTED_VALUE"""),"AP Human Geography")</f>
        <v>AP Human Geography</v>
      </c>
      <c r="E2735" s="3">
        <f>IFERROR(__xludf.DUMMYFUNCTION("""COMPUTED_VALUE"""),6.0)</f>
        <v>6</v>
      </c>
      <c r="F2735" s="300">
        <v>1.0</v>
      </c>
      <c r="G2735" s="300">
        <v>1.0</v>
      </c>
      <c r="H2735" s="300">
        <v>1.0</v>
      </c>
      <c r="I2735" s="300">
        <v>1.0</v>
      </c>
      <c r="J2735" s="300">
        <v>1.0</v>
      </c>
      <c r="K2735" s="300">
        <v>1.0</v>
      </c>
      <c r="L2735" s="300">
        <v>1.0</v>
      </c>
      <c r="M2735" s="300">
        <v>1.0</v>
      </c>
      <c r="N2735" s="300">
        <v>8.0</v>
      </c>
      <c r="O2735" s="300" t="s">
        <v>931</v>
      </c>
      <c r="P2735" s="300">
        <v>4.0</v>
      </c>
    </row>
    <row r="2736">
      <c r="A2736">
        <f>IFERROR(__xludf.DUMMYFUNCTION("""COMPUTED_VALUE"""),10.0)</f>
        <v>10</v>
      </c>
      <c r="B2736" s="406">
        <f>IFERROR(__xludf.DUMMYFUNCTION("""COMPUTED_VALUE"""),28056.0)</f>
        <v>28056</v>
      </c>
      <c r="C2736" t="str">
        <f>IFERROR(__xludf.DUMMYFUNCTION("""COMPUTED_VALUE"""),"LOPEZ RODRIGUEZ, MAR")</f>
        <v>LOPEZ RODRIGUEZ, MAR</v>
      </c>
      <c r="D2736" t="str">
        <f>IFERROR(__xludf.DUMMYFUNCTION("""COMPUTED_VALUE"""),"AP Human Geography")</f>
        <v>AP Human Geography</v>
      </c>
      <c r="E2736" s="3">
        <f>IFERROR(__xludf.DUMMYFUNCTION("""COMPUTED_VALUE"""),3.0)</f>
        <v>3</v>
      </c>
      <c r="F2736" s="300">
        <v>1.0</v>
      </c>
      <c r="G2736" s="300">
        <v>1.0</v>
      </c>
      <c r="H2736" s="300">
        <v>1.0</v>
      </c>
      <c r="I2736" s="300">
        <v>1.0</v>
      </c>
      <c r="J2736" s="300">
        <v>1.0</v>
      </c>
      <c r="K2736" s="300">
        <v>1.0</v>
      </c>
      <c r="L2736" s="300">
        <v>1.0</v>
      </c>
      <c r="M2736" s="300">
        <v>1.0</v>
      </c>
      <c r="N2736" s="300">
        <v>8.0</v>
      </c>
      <c r="O2736" s="300" t="s">
        <v>926</v>
      </c>
      <c r="P2736" s="300">
        <v>4.0</v>
      </c>
    </row>
    <row r="2737">
      <c r="A2737">
        <f>IFERROR(__xludf.DUMMYFUNCTION("""COMPUTED_VALUE"""),10.0)</f>
        <v>10</v>
      </c>
      <c r="B2737" s="406">
        <f>IFERROR(__xludf.DUMMYFUNCTION("""COMPUTED_VALUE"""),27041.0)</f>
        <v>27041</v>
      </c>
      <c r="C2737" t="str">
        <f>IFERROR(__xludf.DUMMYFUNCTION("""COMPUTED_VALUE"""),"GALVEZ ATEHORTUA, JUANITA")</f>
        <v>GALVEZ ATEHORTUA, JUANITA</v>
      </c>
      <c r="D2737" t="str">
        <f>IFERROR(__xludf.DUMMYFUNCTION("""COMPUTED_VALUE"""),"AP Human Geography")</f>
        <v>AP Human Geography</v>
      </c>
      <c r="E2737" s="3">
        <f>IFERROR(__xludf.DUMMYFUNCTION("""COMPUTED_VALUE"""),3.0)</f>
        <v>3</v>
      </c>
      <c r="F2737" s="300">
        <v>1.0</v>
      </c>
      <c r="G2737" s="300">
        <v>1.0</v>
      </c>
      <c r="H2737" s="300">
        <v>1.0</v>
      </c>
      <c r="I2737" s="300">
        <v>1.0</v>
      </c>
      <c r="J2737" s="300">
        <v>1.0</v>
      </c>
      <c r="K2737" s="300">
        <v>1.0</v>
      </c>
      <c r="L2737" s="300">
        <v>1.0</v>
      </c>
      <c r="M2737" s="300">
        <v>1.0</v>
      </c>
      <c r="N2737" s="300">
        <v>8.0</v>
      </c>
      <c r="O2737" s="300" t="s">
        <v>926</v>
      </c>
      <c r="P2737" s="300">
        <v>4.0</v>
      </c>
    </row>
    <row r="2738">
      <c r="A2738">
        <f>IFERROR(__xludf.DUMMYFUNCTION("""COMPUTED_VALUE"""),10.0)</f>
        <v>10</v>
      </c>
      <c r="B2738" s="406">
        <f>IFERROR(__xludf.DUMMYFUNCTION("""COMPUTED_VALUE"""),28058.0)</f>
        <v>28058</v>
      </c>
      <c r="C2738" t="str">
        <f>IFERROR(__xludf.DUMMYFUNCTION("""COMPUTED_VALUE"""),"MARULANDA VARGAS, ELISA")</f>
        <v>MARULANDA VARGAS, ELISA</v>
      </c>
      <c r="D2738" t="str">
        <f>IFERROR(__xludf.DUMMYFUNCTION("""COMPUTED_VALUE"""),"AP Human Geography")</f>
        <v>AP Human Geography</v>
      </c>
      <c r="E2738" s="3">
        <f>IFERROR(__xludf.DUMMYFUNCTION("""COMPUTED_VALUE"""),3.0)</f>
        <v>3</v>
      </c>
      <c r="F2738" s="300">
        <v>1.0</v>
      </c>
      <c r="G2738" s="300">
        <v>1.0</v>
      </c>
      <c r="H2738" s="300">
        <v>1.0</v>
      </c>
      <c r="I2738" s="300">
        <v>1.0</v>
      </c>
      <c r="J2738" s="300">
        <v>1.0</v>
      </c>
      <c r="K2738" s="300">
        <v>1.0</v>
      </c>
      <c r="L2738" s="300">
        <v>1.0</v>
      </c>
      <c r="M2738" s="300">
        <v>1.0</v>
      </c>
      <c r="N2738" s="300">
        <v>8.0</v>
      </c>
      <c r="O2738" s="300" t="s">
        <v>926</v>
      </c>
      <c r="P2738" s="300">
        <v>4.0</v>
      </c>
    </row>
    <row r="2739">
      <c r="A2739">
        <f>IFERROR(__xludf.DUMMYFUNCTION("""COMPUTED_VALUE"""),10.0)</f>
        <v>10</v>
      </c>
      <c r="B2739" s="406">
        <f>IFERROR(__xludf.DUMMYFUNCTION("""COMPUTED_VALUE"""),28043.0)</f>
        <v>28043</v>
      </c>
      <c r="C2739" t="str">
        <f>IFERROR(__xludf.DUMMYFUNCTION("""COMPUTED_VALUE"""),"GUTIERREZ ABUCHAR, TOMAS")</f>
        <v>GUTIERREZ ABUCHAR, TOMAS</v>
      </c>
      <c r="D2739" t="str">
        <f>IFERROR(__xludf.DUMMYFUNCTION("""COMPUTED_VALUE"""),"Global")</f>
        <v>Global</v>
      </c>
      <c r="E2739" s="3">
        <f>IFERROR(__xludf.DUMMYFUNCTION("""COMPUTED_VALUE"""),4.0)</f>
        <v>4</v>
      </c>
      <c r="F2739" s="300">
        <v>1.0</v>
      </c>
      <c r="G2739" s="300">
        <v>1.0</v>
      </c>
      <c r="H2739" s="300">
        <v>1.0</v>
      </c>
      <c r="I2739" s="300">
        <v>1.0</v>
      </c>
      <c r="J2739" s="300">
        <v>1.0</v>
      </c>
      <c r="K2739" s="300">
        <v>1.0</v>
      </c>
      <c r="L2739" s="300">
        <v>1.0</v>
      </c>
      <c r="M2739" s="300">
        <v>1.0</v>
      </c>
      <c r="N2739" s="300">
        <v>8.0</v>
      </c>
      <c r="O2739" s="300" t="s">
        <v>928</v>
      </c>
      <c r="P2739" s="300">
        <v>3.0</v>
      </c>
    </row>
    <row r="2740">
      <c r="A2740">
        <f>IFERROR(__xludf.DUMMYFUNCTION("""COMPUTED_VALUE"""),10.0)</f>
        <v>10</v>
      </c>
      <c r="B2740" s="406">
        <f>IFERROR(__xludf.DUMMYFUNCTION("""COMPUTED_VALUE"""),28113.0)</f>
        <v>28113</v>
      </c>
      <c r="C2740" t="str">
        <f>IFERROR(__xludf.DUMMYFUNCTION("""COMPUTED_VALUE"""),"VELEZ COCK, ELISA")</f>
        <v>VELEZ COCK, ELISA</v>
      </c>
      <c r="D2740" t="str">
        <f>IFERROR(__xludf.DUMMYFUNCTION("""COMPUTED_VALUE"""),"AP Human Geography")</f>
        <v>AP Human Geography</v>
      </c>
      <c r="E2740" s="3">
        <f>IFERROR(__xludf.DUMMYFUNCTION("""COMPUTED_VALUE"""),4.0)</f>
        <v>4</v>
      </c>
      <c r="F2740" s="300">
        <v>1.0</v>
      </c>
      <c r="G2740" s="300">
        <v>1.0</v>
      </c>
      <c r="H2740" s="300">
        <v>1.0</v>
      </c>
      <c r="I2740" s="300">
        <v>1.0</v>
      </c>
      <c r="J2740" s="300">
        <v>1.0</v>
      </c>
      <c r="K2740" s="300">
        <v>1.0</v>
      </c>
      <c r="L2740" s="300">
        <v>1.0</v>
      </c>
      <c r="M2740" s="300">
        <v>1.0</v>
      </c>
      <c r="N2740" s="300">
        <v>8.0</v>
      </c>
      <c r="O2740" s="300" t="s">
        <v>930</v>
      </c>
      <c r="P2740" s="300">
        <v>4.0</v>
      </c>
    </row>
    <row r="2741">
      <c r="A2741">
        <f>IFERROR(__xludf.DUMMYFUNCTION("""COMPUTED_VALUE"""),10.0)</f>
        <v>10</v>
      </c>
      <c r="B2741" s="406">
        <f>IFERROR(__xludf.DUMMYFUNCTION("""COMPUTED_VALUE"""),28157.0)</f>
        <v>28157</v>
      </c>
      <c r="C2741" t="str">
        <f>IFERROR(__xludf.DUMMYFUNCTION("""COMPUTED_VALUE"""),"ORTEGA OCHOA, FEDERICO")</f>
        <v>ORTEGA OCHOA, FEDERICO</v>
      </c>
      <c r="D2741" t="str">
        <f>IFERROR(__xludf.DUMMYFUNCTION("""COMPUTED_VALUE"""),"AP Human Geography")</f>
        <v>AP Human Geography</v>
      </c>
      <c r="E2741" s="3">
        <f>IFERROR(__xludf.DUMMYFUNCTION("""COMPUTED_VALUE"""),4.0)</f>
        <v>4</v>
      </c>
      <c r="F2741" s="300">
        <v>1.0</v>
      </c>
      <c r="G2741" s="300">
        <v>1.0</v>
      </c>
      <c r="H2741" s="300">
        <v>1.0</v>
      </c>
      <c r="I2741" s="300">
        <v>1.0</v>
      </c>
      <c r="J2741" s="300">
        <v>1.0</v>
      </c>
      <c r="K2741" s="300">
        <v>1.0</v>
      </c>
      <c r="L2741" s="300">
        <v>1.0</v>
      </c>
      <c r="M2741" s="300">
        <v>1.0</v>
      </c>
      <c r="N2741" s="300">
        <v>8.0</v>
      </c>
      <c r="O2741" s="300" t="s">
        <v>930</v>
      </c>
      <c r="P2741" s="300">
        <v>4.0</v>
      </c>
    </row>
    <row r="2742">
      <c r="A2742">
        <f>IFERROR(__xludf.DUMMYFUNCTION("""COMPUTED_VALUE"""),10.0)</f>
        <v>10</v>
      </c>
      <c r="B2742" s="406">
        <f>IFERROR(__xludf.DUMMYFUNCTION("""COMPUTED_VALUE"""),28098.0)</f>
        <v>28098</v>
      </c>
      <c r="C2742" t="str">
        <f>IFERROR(__xludf.DUMMYFUNCTION("""COMPUTED_VALUE"""),"ROBLEDO LLANO, MAXIMILIANO")</f>
        <v>ROBLEDO LLANO, MAXIMILIANO</v>
      </c>
      <c r="D2742" t="str">
        <f>IFERROR(__xludf.DUMMYFUNCTION("""COMPUTED_VALUE"""),"AP Human Geography")</f>
        <v>AP Human Geography</v>
      </c>
      <c r="E2742" s="3">
        <f>IFERROR(__xludf.DUMMYFUNCTION("""COMPUTED_VALUE"""),3.0)</f>
        <v>3</v>
      </c>
      <c r="F2742" s="300">
        <v>1.0</v>
      </c>
      <c r="G2742" s="300">
        <v>1.0</v>
      </c>
      <c r="H2742" s="300">
        <v>1.0</v>
      </c>
      <c r="I2742" s="300">
        <v>1.0</v>
      </c>
      <c r="J2742" s="300">
        <v>1.0</v>
      </c>
      <c r="K2742" s="300">
        <v>1.0</v>
      </c>
      <c r="L2742" s="300">
        <v>1.0</v>
      </c>
      <c r="M2742" s="300">
        <v>1.0</v>
      </c>
      <c r="N2742" s="300">
        <v>8.0</v>
      </c>
      <c r="O2742" s="300" t="s">
        <v>926</v>
      </c>
      <c r="P2742" s="300">
        <v>4.0</v>
      </c>
    </row>
    <row r="2743">
      <c r="A2743">
        <f>IFERROR(__xludf.DUMMYFUNCTION("""COMPUTED_VALUE"""),10.0)</f>
        <v>10</v>
      </c>
      <c r="B2743" s="406">
        <f>IFERROR(__xludf.DUMMYFUNCTION("""COMPUTED_VALUE"""),28117.0)</f>
        <v>28117</v>
      </c>
      <c r="C2743" t="str">
        <f>IFERROR(__xludf.DUMMYFUNCTION("""COMPUTED_VALUE"""),"VILLEGAS BOTERO, MARIANA")</f>
        <v>VILLEGAS BOTERO, MARIANA</v>
      </c>
      <c r="D2743" t="str">
        <f>IFERROR(__xludf.DUMMYFUNCTION("""COMPUTED_VALUE"""),"AP Human Geography")</f>
        <v>AP Human Geography</v>
      </c>
      <c r="E2743" s="3">
        <f>IFERROR(__xludf.DUMMYFUNCTION("""COMPUTED_VALUE"""),3.0)</f>
        <v>3</v>
      </c>
      <c r="F2743" s="300">
        <v>1.0</v>
      </c>
      <c r="G2743" s="300">
        <v>1.0</v>
      </c>
      <c r="H2743" s="300">
        <v>1.0</v>
      </c>
      <c r="I2743" s="300">
        <v>1.0</v>
      </c>
      <c r="J2743" s="300">
        <v>1.0</v>
      </c>
      <c r="K2743" s="300">
        <v>1.0</v>
      </c>
      <c r="L2743" s="300">
        <v>1.0</v>
      </c>
      <c r="M2743" s="300">
        <v>1.0</v>
      </c>
      <c r="N2743" s="300">
        <v>8.0</v>
      </c>
      <c r="O2743" s="300" t="s">
        <v>926</v>
      </c>
      <c r="P2743" s="300">
        <v>4.0</v>
      </c>
    </row>
    <row r="2744">
      <c r="A2744">
        <f>IFERROR(__xludf.DUMMYFUNCTION("""COMPUTED_VALUE"""),10.0)</f>
        <v>10</v>
      </c>
      <c r="B2744" s="406">
        <f>IFERROR(__xludf.DUMMYFUNCTION("""COMPUTED_VALUE"""),28100.0)</f>
        <v>28100</v>
      </c>
      <c r="C2744" t="str">
        <f>IFERROR(__xludf.DUMMYFUNCTION("""COMPUTED_VALUE"""),"RODRIGUEZ SALDARRIAGA, SOFIA")</f>
        <v>RODRIGUEZ SALDARRIAGA, SOFIA</v>
      </c>
      <c r="D2744" t="str">
        <f>IFERROR(__xludf.DUMMYFUNCTION("""COMPUTED_VALUE"""),"AP Human Geography")</f>
        <v>AP Human Geography</v>
      </c>
      <c r="E2744" s="3">
        <f>IFERROR(__xludf.DUMMYFUNCTION("""COMPUTED_VALUE"""),4.0)</f>
        <v>4</v>
      </c>
      <c r="F2744" s="300">
        <v>1.0</v>
      </c>
      <c r="G2744" s="300">
        <v>1.0</v>
      </c>
      <c r="H2744" s="300">
        <v>1.0</v>
      </c>
      <c r="I2744" s="300">
        <v>1.0</v>
      </c>
      <c r="J2744" s="300">
        <v>1.0</v>
      </c>
      <c r="K2744" s="300">
        <v>1.0</v>
      </c>
      <c r="L2744" s="300">
        <v>1.0</v>
      </c>
      <c r="M2744" s="300">
        <v>1.0</v>
      </c>
      <c r="N2744" s="300">
        <v>8.0</v>
      </c>
      <c r="O2744" s="300" t="s">
        <v>930</v>
      </c>
      <c r="P2744" s="300">
        <v>4.0</v>
      </c>
    </row>
    <row r="2745">
      <c r="A2745">
        <f>IFERROR(__xludf.DUMMYFUNCTION("""COMPUTED_VALUE"""),10.0)</f>
        <v>10</v>
      </c>
      <c r="B2745" s="406">
        <f>IFERROR(__xludf.DUMMYFUNCTION("""COMPUTED_VALUE"""),28097.0)</f>
        <v>28097</v>
      </c>
      <c r="C2745" t="str">
        <f>IFERROR(__xludf.DUMMYFUNCTION("""COMPUTED_VALUE"""),"RINCON URIBE, CAMILA")</f>
        <v>RINCON URIBE, CAMILA</v>
      </c>
      <c r="D2745" t="str">
        <f>IFERROR(__xludf.DUMMYFUNCTION("""COMPUTED_VALUE"""),"AP Human Geography")</f>
        <v>AP Human Geography</v>
      </c>
      <c r="E2745" s="3">
        <f>IFERROR(__xludf.DUMMYFUNCTION("""COMPUTED_VALUE"""),2.0)</f>
        <v>2</v>
      </c>
      <c r="F2745" s="300">
        <v>1.0</v>
      </c>
      <c r="G2745" s="300">
        <v>1.0</v>
      </c>
      <c r="H2745" s="300">
        <v>1.0</v>
      </c>
      <c r="I2745" s="300">
        <v>1.0</v>
      </c>
      <c r="J2745" s="300">
        <v>1.0</v>
      </c>
      <c r="K2745" s="300">
        <v>1.0</v>
      </c>
      <c r="L2745" s="300">
        <v>1.0</v>
      </c>
      <c r="M2745" s="300">
        <v>1.0</v>
      </c>
      <c r="N2745" s="300">
        <v>8.0</v>
      </c>
      <c r="O2745" s="300" t="s">
        <v>927</v>
      </c>
      <c r="P2745" s="300">
        <v>4.0</v>
      </c>
    </row>
    <row r="2746">
      <c r="A2746">
        <f>IFERROR(__xludf.DUMMYFUNCTION("""COMPUTED_VALUE"""),10.0)</f>
        <v>10</v>
      </c>
      <c r="B2746" s="406">
        <f>IFERROR(__xludf.DUMMYFUNCTION("""COMPUTED_VALUE"""),28053.0)</f>
        <v>28053</v>
      </c>
      <c r="C2746" t="str">
        <f>IFERROR(__xludf.DUMMYFUNCTION("""COMPUTED_VALUE"""),"LOPERA VILLA, ELENA")</f>
        <v>LOPERA VILLA, ELENA</v>
      </c>
      <c r="D2746" t="str">
        <f>IFERROR(__xludf.DUMMYFUNCTION("""COMPUTED_VALUE"""),"AP Human Geography")</f>
        <v>AP Human Geography</v>
      </c>
      <c r="E2746" s="3">
        <f>IFERROR(__xludf.DUMMYFUNCTION("""COMPUTED_VALUE"""),2.0)</f>
        <v>2</v>
      </c>
      <c r="F2746" s="300">
        <v>1.0</v>
      </c>
      <c r="G2746" s="300">
        <v>1.0</v>
      </c>
      <c r="H2746" s="300">
        <v>1.0</v>
      </c>
      <c r="I2746" s="300">
        <v>1.0</v>
      </c>
      <c r="J2746" s="300">
        <v>1.0</v>
      </c>
      <c r="K2746" s="300">
        <v>1.0</v>
      </c>
      <c r="L2746" s="300">
        <v>1.0</v>
      </c>
      <c r="M2746" s="300">
        <v>1.0</v>
      </c>
      <c r="N2746" s="300">
        <v>8.0</v>
      </c>
      <c r="O2746" s="300" t="s">
        <v>927</v>
      </c>
      <c r="P2746" s="300">
        <v>4.0</v>
      </c>
    </row>
    <row r="2747">
      <c r="A2747">
        <f>IFERROR(__xludf.DUMMYFUNCTION("""COMPUTED_VALUE"""),10.0)</f>
        <v>10</v>
      </c>
      <c r="B2747" s="406">
        <f>IFERROR(__xludf.DUMMYFUNCTION("""COMPUTED_VALUE"""),28090.0)</f>
        <v>28090</v>
      </c>
      <c r="C2747" t="str">
        <f>IFERROR(__xludf.DUMMYFUNCTION("""COMPUTED_VALUE"""),"REINOSO TRUJILLO, TOMAS")</f>
        <v>REINOSO TRUJILLO, TOMAS</v>
      </c>
      <c r="D2747" t="str">
        <f>IFERROR(__xludf.DUMMYFUNCTION("""COMPUTED_VALUE"""),"Global")</f>
        <v>Global</v>
      </c>
      <c r="E2747" s="3">
        <f>IFERROR(__xludf.DUMMYFUNCTION("""COMPUTED_VALUE"""),4.0)</f>
        <v>4</v>
      </c>
      <c r="F2747" s="300">
        <v>1.0</v>
      </c>
      <c r="G2747" s="300">
        <v>1.0</v>
      </c>
      <c r="H2747" s="300">
        <v>1.0</v>
      </c>
      <c r="I2747" s="300">
        <v>1.0</v>
      </c>
      <c r="J2747" s="300">
        <v>1.0</v>
      </c>
      <c r="K2747" s="300">
        <v>1.0</v>
      </c>
      <c r="L2747" s="300">
        <v>1.0</v>
      </c>
      <c r="M2747" s="300">
        <v>1.0</v>
      </c>
      <c r="N2747" s="300">
        <v>8.0</v>
      </c>
      <c r="O2747" s="300" t="s">
        <v>928</v>
      </c>
      <c r="P2747" s="300">
        <v>3.0</v>
      </c>
    </row>
    <row r="2748">
      <c r="A2748">
        <f>IFERROR(__xludf.DUMMYFUNCTION("""COMPUTED_VALUE"""),10.0)</f>
        <v>10</v>
      </c>
      <c r="B2748" s="406">
        <f>IFERROR(__xludf.DUMMYFUNCTION("""COMPUTED_VALUE"""),28050.0)</f>
        <v>28050</v>
      </c>
      <c r="C2748" t="str">
        <f>IFERROR(__xludf.DUMMYFUNCTION("""COMPUTED_VALUE"""),"JARAMILLO FERNANDEZ, EMILIO")</f>
        <v>JARAMILLO FERNANDEZ, EMILIO</v>
      </c>
      <c r="D2748" t="str">
        <f>IFERROR(__xludf.DUMMYFUNCTION("""COMPUTED_VALUE"""),"AP Human Geography")</f>
        <v>AP Human Geography</v>
      </c>
      <c r="E2748" s="3">
        <f>IFERROR(__xludf.DUMMYFUNCTION("""COMPUTED_VALUE"""),3.0)</f>
        <v>3</v>
      </c>
      <c r="F2748" s="300">
        <v>1.0</v>
      </c>
      <c r="G2748" s="300">
        <v>1.0</v>
      </c>
      <c r="H2748" s="300">
        <v>1.0</v>
      </c>
      <c r="I2748" s="300">
        <v>1.0</v>
      </c>
      <c r="J2748" s="300">
        <v>1.0</v>
      </c>
      <c r="K2748" s="300">
        <v>1.0</v>
      </c>
      <c r="L2748" s="300">
        <v>1.0</v>
      </c>
      <c r="M2748" s="300">
        <v>1.0</v>
      </c>
      <c r="N2748" s="300">
        <v>8.0</v>
      </c>
      <c r="O2748" s="300" t="s">
        <v>926</v>
      </c>
      <c r="P2748" s="300">
        <v>4.0</v>
      </c>
    </row>
    <row r="2749">
      <c r="A2749">
        <f>IFERROR(__xludf.DUMMYFUNCTION("""COMPUTED_VALUE"""),10.0)</f>
        <v>10</v>
      </c>
      <c r="B2749" s="406">
        <f>IFERROR(__xludf.DUMMYFUNCTION("""COMPUTED_VALUE"""),28031.0)</f>
        <v>28031</v>
      </c>
      <c r="C2749" t="str">
        <f>IFERROR(__xludf.DUMMYFUNCTION("""COMPUTED_VALUE"""),"GALLEGO CUARTAS, NICOLAS")</f>
        <v>GALLEGO CUARTAS, NICOLAS</v>
      </c>
      <c r="D2749" t="str">
        <f>IFERROR(__xludf.DUMMYFUNCTION("""COMPUTED_VALUE"""),"Global")</f>
        <v>Global</v>
      </c>
      <c r="E2749" s="3">
        <f>IFERROR(__xludf.DUMMYFUNCTION("""COMPUTED_VALUE"""),7.0)</f>
        <v>7</v>
      </c>
      <c r="F2749" s="300">
        <v>1.0</v>
      </c>
      <c r="G2749" s="300">
        <v>1.0</v>
      </c>
      <c r="H2749" s="300">
        <v>1.0</v>
      </c>
      <c r="I2749" s="300">
        <v>1.0</v>
      </c>
      <c r="J2749" s="300">
        <v>1.0</v>
      </c>
      <c r="K2749" s="300">
        <v>1.0</v>
      </c>
      <c r="L2749" s="300">
        <v>1.0</v>
      </c>
      <c r="M2749" s="300">
        <v>1.0</v>
      </c>
      <c r="N2749" s="300">
        <v>8.0</v>
      </c>
      <c r="O2749" s="300" t="s">
        <v>929</v>
      </c>
      <c r="P2749" s="300">
        <v>3.0</v>
      </c>
    </row>
    <row r="2750">
      <c r="A2750">
        <f>IFERROR(__xludf.DUMMYFUNCTION("""COMPUTED_VALUE"""),10.0)</f>
        <v>10</v>
      </c>
      <c r="B2750" s="406">
        <f>IFERROR(__xludf.DUMMYFUNCTION("""COMPUTED_VALUE"""),28162.0)</f>
        <v>28162</v>
      </c>
      <c r="C2750" t="str">
        <f>IFERROR(__xludf.DUMMYFUNCTION("""COMPUTED_VALUE"""),"OSPINA BENEDETI, AGUSTIN")</f>
        <v>OSPINA BENEDETI, AGUSTIN</v>
      </c>
      <c r="D2750" t="str">
        <f>IFERROR(__xludf.DUMMYFUNCTION("""COMPUTED_VALUE"""),"Global")</f>
        <v>Global</v>
      </c>
      <c r="E2750" s="3">
        <f>IFERROR(__xludf.DUMMYFUNCTION("""COMPUTED_VALUE"""),7.0)</f>
        <v>7</v>
      </c>
      <c r="F2750" s="300">
        <v>1.0</v>
      </c>
      <c r="G2750" s="300">
        <v>1.0</v>
      </c>
      <c r="H2750" s="300">
        <v>1.0</v>
      </c>
      <c r="I2750" s="300">
        <v>1.0</v>
      </c>
      <c r="J2750" s="300">
        <v>1.0</v>
      </c>
      <c r="K2750" s="300">
        <v>1.0</v>
      </c>
      <c r="L2750" s="300">
        <v>1.0</v>
      </c>
      <c r="M2750" s="300">
        <v>1.0</v>
      </c>
      <c r="N2750" s="300">
        <v>8.0</v>
      </c>
      <c r="O2750" s="300" t="s">
        <v>929</v>
      </c>
      <c r="P2750" s="300">
        <v>3.0</v>
      </c>
    </row>
    <row r="2751">
      <c r="A2751">
        <f>IFERROR(__xludf.DUMMYFUNCTION("""COMPUTED_VALUE"""),10.0)</f>
        <v>10</v>
      </c>
      <c r="B2751" s="406">
        <f>IFERROR(__xludf.DUMMYFUNCTION("""COMPUTED_VALUE"""),28121.0)</f>
        <v>28121</v>
      </c>
      <c r="C2751" t="str">
        <f>IFERROR(__xludf.DUMMYFUNCTION("""COMPUTED_VALUE"""),"MC LEAN HIDRON, LUCAS")</f>
        <v>MC LEAN HIDRON, LUCAS</v>
      </c>
      <c r="D2751" t="str">
        <f>IFERROR(__xludf.DUMMYFUNCTION("""COMPUTED_VALUE"""),"AP Human Geography")</f>
        <v>AP Human Geography</v>
      </c>
      <c r="E2751" s="3">
        <f>IFERROR(__xludf.DUMMYFUNCTION("""COMPUTED_VALUE"""),6.0)</f>
        <v>6</v>
      </c>
      <c r="F2751" s="300">
        <v>1.0</v>
      </c>
      <c r="G2751" s="300">
        <v>1.0</v>
      </c>
      <c r="H2751" s="300">
        <v>1.0</v>
      </c>
      <c r="I2751" s="300">
        <v>1.0</v>
      </c>
      <c r="J2751" s="300">
        <v>1.0</v>
      </c>
      <c r="K2751" s="300">
        <v>1.0</v>
      </c>
      <c r="L2751" s="300">
        <v>1.0</v>
      </c>
      <c r="M2751" s="300">
        <v>1.0</v>
      </c>
      <c r="N2751" s="300">
        <v>8.0</v>
      </c>
      <c r="O2751" s="300" t="s">
        <v>931</v>
      </c>
      <c r="P2751" s="300">
        <v>4.0</v>
      </c>
    </row>
    <row r="2752">
      <c r="A2752">
        <f>IFERROR(__xludf.DUMMYFUNCTION("""COMPUTED_VALUE"""),10.0)</f>
        <v>10</v>
      </c>
      <c r="B2752" s="406">
        <f>IFERROR(__xludf.DUMMYFUNCTION("""COMPUTED_VALUE"""),28016.0)</f>
        <v>28016</v>
      </c>
      <c r="C2752" t="str">
        <f>IFERROR(__xludf.DUMMYFUNCTION("""COMPUTED_VALUE"""),"BOTERO CASTAÑEDA, CARMEN")</f>
        <v>BOTERO CASTAÑEDA, CARMEN</v>
      </c>
      <c r="D2752" t="str">
        <f>IFERROR(__xludf.DUMMYFUNCTION("""COMPUTED_VALUE"""),"Global")</f>
        <v>Global</v>
      </c>
      <c r="E2752" s="3">
        <f>IFERROR(__xludf.DUMMYFUNCTION("""COMPUTED_VALUE"""),4.0)</f>
        <v>4</v>
      </c>
      <c r="F2752" s="300">
        <v>1.0</v>
      </c>
      <c r="G2752" s="300">
        <v>1.0</v>
      </c>
      <c r="H2752" s="300">
        <v>1.0</v>
      </c>
      <c r="I2752" s="300">
        <v>1.0</v>
      </c>
      <c r="J2752" s="300">
        <v>1.0</v>
      </c>
      <c r="K2752" s="300">
        <v>1.0</v>
      </c>
      <c r="L2752" s="300">
        <v>1.0</v>
      </c>
      <c r="M2752" s="300">
        <v>1.0</v>
      </c>
      <c r="N2752" s="300">
        <v>8.0</v>
      </c>
      <c r="O2752" s="300" t="s">
        <v>928</v>
      </c>
      <c r="P2752" s="300">
        <v>3.0</v>
      </c>
    </row>
    <row r="2753">
      <c r="A2753">
        <f>IFERROR(__xludf.DUMMYFUNCTION("""COMPUTED_VALUE"""),10.0)</f>
        <v>10</v>
      </c>
      <c r="B2753" s="406">
        <f>IFERROR(__xludf.DUMMYFUNCTION("""COMPUTED_VALUE"""),28170.0)</f>
        <v>28170</v>
      </c>
      <c r="C2753" t="str">
        <f>IFERROR(__xludf.DUMMYFUNCTION("""COMPUTED_VALUE"""),"GOMEZ AMADOR, EMMA")</f>
        <v>GOMEZ AMADOR, EMMA</v>
      </c>
      <c r="D2753" t="str">
        <f>IFERROR(__xludf.DUMMYFUNCTION("""COMPUTED_VALUE"""),"Global")</f>
        <v>Global</v>
      </c>
      <c r="E2753" s="3">
        <f>IFERROR(__xludf.DUMMYFUNCTION("""COMPUTED_VALUE"""),2.0)</f>
        <v>2</v>
      </c>
      <c r="F2753" s="300">
        <v>1.0</v>
      </c>
      <c r="G2753" s="300">
        <v>1.0</v>
      </c>
      <c r="H2753" s="300">
        <v>1.0</v>
      </c>
      <c r="I2753" s="300">
        <v>1.0</v>
      </c>
      <c r="J2753" s="300">
        <v>1.0</v>
      </c>
      <c r="K2753" s="300">
        <v>1.0</v>
      </c>
      <c r="L2753" s="300">
        <v>1.0</v>
      </c>
      <c r="M2753" s="300">
        <v>1.0</v>
      </c>
      <c r="N2753" s="300">
        <v>8.0</v>
      </c>
      <c r="O2753" s="300" t="s">
        <v>932</v>
      </c>
      <c r="P2753" s="300">
        <v>3.0</v>
      </c>
    </row>
    <row r="2754">
      <c r="A2754">
        <f>IFERROR(__xludf.DUMMYFUNCTION("""COMPUTED_VALUE"""),10.0)</f>
        <v>10</v>
      </c>
      <c r="B2754" s="406">
        <f>IFERROR(__xludf.DUMMYFUNCTION("""COMPUTED_VALUE"""),28054.0)</f>
        <v>28054</v>
      </c>
      <c r="C2754" t="str">
        <f>IFERROR(__xludf.DUMMYFUNCTION("""COMPUTED_VALUE"""),"LOPEZ ESCOBAR, CLEMENTE")</f>
        <v>LOPEZ ESCOBAR, CLEMENTE</v>
      </c>
      <c r="D2754" t="str">
        <f>IFERROR(__xludf.DUMMYFUNCTION("""COMPUTED_VALUE"""),"AP Human Geography")</f>
        <v>AP Human Geography</v>
      </c>
      <c r="E2754" s="3">
        <f>IFERROR(__xludf.DUMMYFUNCTION("""COMPUTED_VALUE"""),6.0)</f>
        <v>6</v>
      </c>
      <c r="F2754" s="300">
        <v>1.0</v>
      </c>
      <c r="G2754" s="300">
        <v>1.0</v>
      </c>
      <c r="H2754" s="300">
        <v>1.0</v>
      </c>
      <c r="I2754" s="300">
        <v>1.0</v>
      </c>
      <c r="J2754" s="300">
        <v>1.0</v>
      </c>
      <c r="K2754" s="300">
        <v>1.0</v>
      </c>
      <c r="L2754" s="300">
        <v>1.0</v>
      </c>
      <c r="M2754" s="300">
        <v>1.0</v>
      </c>
      <c r="N2754" s="300">
        <v>8.0</v>
      </c>
      <c r="O2754" s="300" t="s">
        <v>931</v>
      </c>
      <c r="P2754" s="300">
        <v>4.0</v>
      </c>
    </row>
    <row r="2755">
      <c r="A2755">
        <f>IFERROR(__xludf.DUMMYFUNCTION("""COMPUTED_VALUE"""),10.0)</f>
        <v>10</v>
      </c>
      <c r="B2755" s="406">
        <f>IFERROR(__xludf.DUMMYFUNCTION("""COMPUTED_VALUE"""),28003.0)</f>
        <v>28003</v>
      </c>
      <c r="C2755" t="str">
        <f>IFERROR(__xludf.DUMMYFUNCTION("""COMPUTED_VALUE"""),"ARANGO DUQUE, TOMAS")</f>
        <v>ARANGO DUQUE, TOMAS</v>
      </c>
      <c r="D2755" t="str">
        <f>IFERROR(__xludf.DUMMYFUNCTION("""COMPUTED_VALUE"""),"AP Human Geography")</f>
        <v>AP Human Geography</v>
      </c>
      <c r="E2755" s="3">
        <f>IFERROR(__xludf.DUMMYFUNCTION("""COMPUTED_VALUE"""),4.0)</f>
        <v>4</v>
      </c>
      <c r="F2755" s="300">
        <v>1.0</v>
      </c>
      <c r="G2755" s="300">
        <v>1.0</v>
      </c>
      <c r="H2755" s="300">
        <v>1.0</v>
      </c>
      <c r="I2755" s="300">
        <v>1.0</v>
      </c>
      <c r="J2755" s="300">
        <v>1.0</v>
      </c>
      <c r="K2755" s="300">
        <v>1.0</v>
      </c>
      <c r="L2755" s="300">
        <v>1.0</v>
      </c>
      <c r="M2755" s="300">
        <v>1.0</v>
      </c>
      <c r="N2755" s="300">
        <v>8.0</v>
      </c>
      <c r="O2755" s="300" t="s">
        <v>930</v>
      </c>
      <c r="P2755" s="300">
        <v>4.0</v>
      </c>
    </row>
    <row r="2756">
      <c r="A2756">
        <f>IFERROR(__xludf.DUMMYFUNCTION("""COMPUTED_VALUE"""),10.0)</f>
        <v>10</v>
      </c>
      <c r="B2756" s="406">
        <f>IFERROR(__xludf.DUMMYFUNCTION("""COMPUTED_VALUE"""),28103.0)</f>
        <v>28103</v>
      </c>
      <c r="C2756" t="str">
        <f>IFERROR(__xludf.DUMMYFUNCTION("""COMPUTED_VALUE"""),"SANIN VELASQUEZ, ISRAEL")</f>
        <v>SANIN VELASQUEZ, ISRAEL</v>
      </c>
      <c r="D2756" t="str">
        <f>IFERROR(__xludf.DUMMYFUNCTION("""COMPUTED_VALUE"""),"AP Human Geography")</f>
        <v>AP Human Geography</v>
      </c>
      <c r="E2756" s="3">
        <f>IFERROR(__xludf.DUMMYFUNCTION("""COMPUTED_VALUE"""),2.0)</f>
        <v>2</v>
      </c>
      <c r="F2756" s="300">
        <v>1.0</v>
      </c>
      <c r="G2756" s="300">
        <v>1.0</v>
      </c>
      <c r="H2756" s="300">
        <v>1.0</v>
      </c>
      <c r="I2756" s="300">
        <v>1.0</v>
      </c>
      <c r="J2756" s="300">
        <v>1.0</v>
      </c>
      <c r="K2756" s="300">
        <v>1.0</v>
      </c>
      <c r="L2756" s="300">
        <v>1.0</v>
      </c>
      <c r="M2756" s="300">
        <v>1.0</v>
      </c>
      <c r="N2756" s="300">
        <v>8.0</v>
      </c>
      <c r="O2756" s="300" t="s">
        <v>927</v>
      </c>
      <c r="P2756" s="300">
        <v>4.0</v>
      </c>
    </row>
    <row r="2757">
      <c r="A2757">
        <f>IFERROR(__xludf.DUMMYFUNCTION("""COMPUTED_VALUE"""),10.0)</f>
        <v>10</v>
      </c>
      <c r="B2757" s="406">
        <f>IFERROR(__xludf.DUMMYFUNCTION("""COMPUTED_VALUE"""),28163.0)</f>
        <v>28163</v>
      </c>
      <c r="C2757" t="str">
        <f>IFERROR(__xludf.DUMMYFUNCTION("""COMPUTED_VALUE"""),"GARCIA VALENCIA, EMILIO")</f>
        <v>GARCIA VALENCIA, EMILIO</v>
      </c>
      <c r="D2757" t="str">
        <f>IFERROR(__xludf.DUMMYFUNCTION("""COMPUTED_VALUE"""),"Global")</f>
        <v>Global</v>
      </c>
      <c r="E2757" s="3">
        <f>IFERROR(__xludf.DUMMYFUNCTION("""COMPUTED_VALUE"""),4.0)</f>
        <v>4</v>
      </c>
      <c r="F2757" s="300">
        <v>1.0</v>
      </c>
      <c r="G2757" s="300">
        <v>1.0</v>
      </c>
      <c r="H2757" s="300">
        <v>1.0</v>
      </c>
      <c r="I2757" s="300">
        <v>1.0</v>
      </c>
      <c r="J2757" s="300">
        <v>1.0</v>
      </c>
      <c r="K2757" s="300">
        <v>1.0</v>
      </c>
      <c r="L2757" s="300">
        <v>1.0</v>
      </c>
      <c r="M2757" s="300">
        <v>1.0</v>
      </c>
      <c r="N2757" s="300">
        <v>8.0</v>
      </c>
      <c r="O2757" s="300" t="s">
        <v>928</v>
      </c>
      <c r="P2757" s="300">
        <v>3.0</v>
      </c>
    </row>
    <row r="2758">
      <c r="A2758">
        <f>IFERROR(__xludf.DUMMYFUNCTION("""COMPUTED_VALUE"""),10.0)</f>
        <v>10</v>
      </c>
      <c r="B2758" s="406">
        <f>IFERROR(__xludf.DUMMYFUNCTION("""COMPUTED_VALUE"""),28074.0)</f>
        <v>28074</v>
      </c>
      <c r="C2758" t="str">
        <f>IFERROR(__xludf.DUMMYFUNCTION("""COMPUTED_VALUE"""),"NAVARRO VILLA, JUAN MARTIN")</f>
        <v>NAVARRO VILLA, JUAN MARTIN</v>
      </c>
      <c r="D2758" t="str">
        <f>IFERROR(__xludf.DUMMYFUNCTION("""COMPUTED_VALUE"""),"AP Human Geography")</f>
        <v>AP Human Geography</v>
      </c>
      <c r="E2758" s="3">
        <f>IFERROR(__xludf.DUMMYFUNCTION("""COMPUTED_VALUE"""),6.0)</f>
        <v>6</v>
      </c>
      <c r="F2758" s="300">
        <v>1.0</v>
      </c>
      <c r="G2758" s="300">
        <v>1.0</v>
      </c>
      <c r="H2758" s="300">
        <v>1.0</v>
      </c>
      <c r="I2758" s="300">
        <v>1.0</v>
      </c>
      <c r="J2758" s="300">
        <v>1.0</v>
      </c>
      <c r="K2758" s="300">
        <v>1.0</v>
      </c>
      <c r="L2758" s="300">
        <v>1.0</v>
      </c>
      <c r="M2758" s="300">
        <v>1.0</v>
      </c>
      <c r="N2758" s="300">
        <v>8.0</v>
      </c>
      <c r="O2758" s="300" t="s">
        <v>931</v>
      </c>
      <c r="P2758" s="300">
        <v>4.0</v>
      </c>
    </row>
    <row r="2759">
      <c r="A2759">
        <f>IFERROR(__xludf.DUMMYFUNCTION("""COMPUTED_VALUE"""),10.0)</f>
        <v>10</v>
      </c>
      <c r="B2759" s="406">
        <f>IFERROR(__xludf.DUMMYFUNCTION("""COMPUTED_VALUE"""),28173.0)</f>
        <v>28173</v>
      </c>
      <c r="C2759" t="str">
        <f>IFERROR(__xludf.DUMMYFUNCTION("""COMPUTED_VALUE"""),"RUIZ RAMIREZ, JACOBO")</f>
        <v>RUIZ RAMIREZ, JACOBO</v>
      </c>
      <c r="D2759" t="str">
        <f>IFERROR(__xludf.DUMMYFUNCTION("""COMPUTED_VALUE"""),"AP Human Geography")</f>
        <v>AP Human Geography</v>
      </c>
      <c r="E2759" s="3">
        <f>IFERROR(__xludf.DUMMYFUNCTION("""COMPUTED_VALUE"""),6.0)</f>
        <v>6</v>
      </c>
      <c r="F2759" s="300">
        <v>1.0</v>
      </c>
      <c r="G2759" s="300">
        <v>1.0</v>
      </c>
      <c r="H2759" s="300">
        <v>1.0</v>
      </c>
      <c r="I2759" s="300">
        <v>1.0</v>
      </c>
      <c r="J2759" s="300">
        <v>1.0</v>
      </c>
      <c r="K2759" s="300">
        <v>1.0</v>
      </c>
      <c r="L2759" s="300">
        <v>1.0</v>
      </c>
      <c r="M2759" s="300">
        <v>1.0</v>
      </c>
      <c r="N2759" s="300">
        <v>8.0</v>
      </c>
      <c r="O2759" s="300" t="s">
        <v>931</v>
      </c>
      <c r="P2759" s="300">
        <v>4.0</v>
      </c>
    </row>
    <row r="2760">
      <c r="A2760">
        <f>IFERROR(__xludf.DUMMYFUNCTION("""COMPUTED_VALUE"""),10.0)</f>
        <v>10</v>
      </c>
      <c r="B2760" s="406">
        <f>IFERROR(__xludf.DUMMYFUNCTION("""COMPUTED_VALUE"""),28159.0)</f>
        <v>28159</v>
      </c>
      <c r="C2760" t="str">
        <f>IFERROR(__xludf.DUMMYFUNCTION("""COMPUTED_VALUE"""),"OROZCO RINCON, JUAN SEBASTIAN")</f>
        <v>OROZCO RINCON, JUAN SEBASTIAN</v>
      </c>
      <c r="D2760" t="str">
        <f>IFERROR(__xludf.DUMMYFUNCTION("""COMPUTED_VALUE"""),"Global")</f>
        <v>Global</v>
      </c>
      <c r="E2760" s="3">
        <f>IFERROR(__xludf.DUMMYFUNCTION("""COMPUTED_VALUE"""),4.0)</f>
        <v>4</v>
      </c>
      <c r="F2760" s="300">
        <v>1.0</v>
      </c>
      <c r="G2760" s="300">
        <v>1.0</v>
      </c>
      <c r="H2760" s="300">
        <v>1.0</v>
      </c>
      <c r="I2760" s="300">
        <v>1.0</v>
      </c>
      <c r="J2760" s="300">
        <v>1.0</v>
      </c>
      <c r="K2760" s="300">
        <v>1.0</v>
      </c>
      <c r="L2760" s="300">
        <v>1.0</v>
      </c>
      <c r="M2760" s="300">
        <v>1.0</v>
      </c>
      <c r="N2760" s="300">
        <v>8.0</v>
      </c>
      <c r="O2760" s="300" t="s">
        <v>928</v>
      </c>
      <c r="P2760" s="300">
        <v>3.0</v>
      </c>
    </row>
    <row r="2761">
      <c r="A2761">
        <f>IFERROR(__xludf.DUMMYFUNCTION("""COMPUTED_VALUE"""),10.0)</f>
        <v>10</v>
      </c>
      <c r="B2761" s="406">
        <f>IFERROR(__xludf.DUMMYFUNCTION("""COMPUTED_VALUE"""),28063.0)</f>
        <v>28063</v>
      </c>
      <c r="C2761" t="str">
        <f>IFERROR(__xludf.DUMMYFUNCTION("""COMPUTED_VALUE"""),"MEJIA GONZALEZ, ISMAEL IGNACIO")</f>
        <v>MEJIA GONZALEZ, ISMAEL IGNACIO</v>
      </c>
      <c r="D2761" t="str">
        <f>IFERROR(__xludf.DUMMYFUNCTION("""COMPUTED_VALUE"""),"AP Human Geography")</f>
        <v>AP Human Geography</v>
      </c>
      <c r="E2761" s="3">
        <f>IFERROR(__xludf.DUMMYFUNCTION("""COMPUTED_VALUE"""),2.0)</f>
        <v>2</v>
      </c>
      <c r="F2761" s="300">
        <v>1.0</v>
      </c>
      <c r="G2761" s="300">
        <v>1.0</v>
      </c>
      <c r="H2761" s="300">
        <v>1.0</v>
      </c>
      <c r="I2761" s="300">
        <v>1.0</v>
      </c>
      <c r="J2761" s="300">
        <v>1.0</v>
      </c>
      <c r="K2761" s="300">
        <v>1.0</v>
      </c>
      <c r="L2761" s="300">
        <v>1.0</v>
      </c>
      <c r="M2761" s="300">
        <v>1.0</v>
      </c>
      <c r="N2761" s="300">
        <v>8.0</v>
      </c>
      <c r="O2761" s="300" t="s">
        <v>927</v>
      </c>
      <c r="P2761" s="300">
        <v>4.0</v>
      </c>
    </row>
    <row r="2762">
      <c r="A2762">
        <f>IFERROR(__xludf.DUMMYFUNCTION("""COMPUTED_VALUE"""),10.0)</f>
        <v>10</v>
      </c>
      <c r="B2762" s="406">
        <f>IFERROR(__xludf.DUMMYFUNCTION("""COMPUTED_VALUE"""),28155.0)</f>
        <v>28155</v>
      </c>
      <c r="C2762" t="str">
        <f>IFERROR(__xludf.DUMMYFUNCTION("""COMPUTED_VALUE"""),"URIBE CERON, MANUELA")</f>
        <v>URIBE CERON, MANUELA</v>
      </c>
      <c r="D2762" t="str">
        <f>IFERROR(__xludf.DUMMYFUNCTION("""COMPUTED_VALUE"""),"AP Human Geography")</f>
        <v>AP Human Geography</v>
      </c>
      <c r="E2762" s="3">
        <f>IFERROR(__xludf.DUMMYFUNCTION("""COMPUTED_VALUE"""),4.0)</f>
        <v>4</v>
      </c>
      <c r="F2762" s="300">
        <v>1.0</v>
      </c>
      <c r="G2762" s="300">
        <v>1.0</v>
      </c>
      <c r="H2762" s="300">
        <v>1.0</v>
      </c>
      <c r="I2762" s="300">
        <v>1.0</v>
      </c>
      <c r="J2762" s="300">
        <v>1.0</v>
      </c>
      <c r="K2762" s="300">
        <v>1.0</v>
      </c>
      <c r="L2762" s="300">
        <v>1.0</v>
      </c>
      <c r="M2762" s="300">
        <v>1.0</v>
      </c>
      <c r="N2762" s="300">
        <v>8.0</v>
      </c>
      <c r="O2762" s="300" t="s">
        <v>930</v>
      </c>
      <c r="P2762" s="300">
        <v>4.0</v>
      </c>
    </row>
    <row r="2763">
      <c r="A2763">
        <f>IFERROR(__xludf.DUMMYFUNCTION("""COMPUTED_VALUE"""),10.0)</f>
        <v>10</v>
      </c>
      <c r="B2763" s="406">
        <f>IFERROR(__xludf.DUMMYFUNCTION("""COMPUTED_VALUE"""),28109.0)</f>
        <v>28109</v>
      </c>
      <c r="C2763" t="str">
        <f>IFERROR(__xludf.DUMMYFUNCTION("""COMPUTED_VALUE"""),"TRUJILLO VELEZ, MARIANA")</f>
        <v>TRUJILLO VELEZ, MARIANA</v>
      </c>
      <c r="D2763" t="str">
        <f>IFERROR(__xludf.DUMMYFUNCTION("""COMPUTED_VALUE"""),"Global")</f>
        <v>Global</v>
      </c>
      <c r="E2763" s="3">
        <f>IFERROR(__xludf.DUMMYFUNCTION("""COMPUTED_VALUE"""),7.0)</f>
        <v>7</v>
      </c>
      <c r="F2763" s="300">
        <v>1.0</v>
      </c>
      <c r="G2763" s="300">
        <v>1.0</v>
      </c>
      <c r="H2763" s="300">
        <v>1.0</v>
      </c>
      <c r="I2763" s="300">
        <v>1.0</v>
      </c>
      <c r="J2763" s="300">
        <v>1.0</v>
      </c>
      <c r="K2763" s="300">
        <v>1.0</v>
      </c>
      <c r="L2763" s="300">
        <v>1.0</v>
      </c>
      <c r="M2763" s="300">
        <v>1.0</v>
      </c>
      <c r="N2763" s="300">
        <v>8.0</v>
      </c>
      <c r="O2763" s="300" t="s">
        <v>929</v>
      </c>
      <c r="P2763" s="300">
        <v>3.0</v>
      </c>
    </row>
    <row r="2764">
      <c r="A2764">
        <f>IFERROR(__xludf.DUMMYFUNCTION("""COMPUTED_VALUE"""),10.0)</f>
        <v>10</v>
      </c>
      <c r="B2764" s="406">
        <f>IFERROR(__xludf.DUMMYFUNCTION("""COMPUTED_VALUE"""),28108.0)</f>
        <v>28108</v>
      </c>
      <c r="C2764" t="str">
        <f>IFERROR(__xludf.DUMMYFUNCTION("""COMPUTED_VALUE"""),"TRUJILLO SOTO, SUSANA")</f>
        <v>TRUJILLO SOTO, SUSANA</v>
      </c>
      <c r="D2764" t="str">
        <f>IFERROR(__xludf.DUMMYFUNCTION("""COMPUTED_VALUE"""),"Global")</f>
        <v>Global</v>
      </c>
      <c r="E2764" s="3">
        <f>IFERROR(__xludf.DUMMYFUNCTION("""COMPUTED_VALUE"""),7.0)</f>
        <v>7</v>
      </c>
      <c r="F2764" s="300">
        <v>1.0</v>
      </c>
      <c r="G2764" s="300">
        <v>1.0</v>
      </c>
      <c r="H2764" s="300">
        <v>1.0</v>
      </c>
      <c r="I2764" s="300">
        <v>1.0</v>
      </c>
      <c r="J2764" s="300">
        <v>1.0</v>
      </c>
      <c r="K2764" s="300">
        <v>1.0</v>
      </c>
      <c r="L2764" s="300">
        <v>1.0</v>
      </c>
      <c r="M2764" s="300">
        <v>1.0</v>
      </c>
      <c r="N2764" s="300">
        <v>8.0</v>
      </c>
      <c r="O2764" s="300" t="s">
        <v>929</v>
      </c>
      <c r="P2764" s="300">
        <v>3.0</v>
      </c>
    </row>
    <row r="2765">
      <c r="A2765">
        <f>IFERROR(__xludf.DUMMYFUNCTION("""COMPUTED_VALUE"""),10.0)</f>
        <v>10</v>
      </c>
      <c r="B2765" s="406">
        <f>IFERROR(__xludf.DUMMYFUNCTION("""COMPUTED_VALUE"""),27094.0)</f>
        <v>27094</v>
      </c>
      <c r="C2765" t="str">
        <f>IFERROR(__xludf.DUMMYFUNCTION("""COMPUTED_VALUE"""),"RAMIREZ CORREA, TOMAS")</f>
        <v>RAMIREZ CORREA, TOMAS</v>
      </c>
      <c r="D2765" t="str">
        <f>IFERROR(__xludf.DUMMYFUNCTION("""COMPUTED_VALUE"""),"Global")</f>
        <v>Global</v>
      </c>
      <c r="E2765" s="3">
        <f>IFERROR(__xludf.DUMMYFUNCTION("""COMPUTED_VALUE"""),4.0)</f>
        <v>4</v>
      </c>
      <c r="F2765" s="300">
        <v>1.0</v>
      </c>
      <c r="G2765" s="300">
        <v>1.0</v>
      </c>
      <c r="H2765" s="300">
        <v>1.0</v>
      </c>
      <c r="I2765" s="300">
        <v>1.0</v>
      </c>
      <c r="J2765" s="300">
        <v>1.0</v>
      </c>
      <c r="K2765" s="300">
        <v>1.0</v>
      </c>
      <c r="L2765" s="300">
        <v>1.0</v>
      </c>
      <c r="M2765" s="300">
        <v>1.0</v>
      </c>
      <c r="N2765" s="300">
        <v>8.0</v>
      </c>
      <c r="O2765" s="300" t="s">
        <v>928</v>
      </c>
      <c r="P2765" s="300">
        <v>3.0</v>
      </c>
    </row>
    <row r="2766">
      <c r="A2766">
        <f>IFERROR(__xludf.DUMMYFUNCTION("""COMPUTED_VALUE"""),10.0)</f>
        <v>10</v>
      </c>
      <c r="B2766" s="406">
        <f>IFERROR(__xludf.DUMMYFUNCTION("""COMPUTED_VALUE"""),28171.0)</f>
        <v>28171</v>
      </c>
      <c r="C2766" t="str">
        <f>IFERROR(__xludf.DUMMYFUNCTION("""COMPUTED_VALUE"""),"DE MUNCK MORTIER, JULIE")</f>
        <v>DE MUNCK MORTIER, JULIE</v>
      </c>
      <c r="D2766" t="str">
        <f>IFERROR(__xludf.DUMMYFUNCTION("""COMPUTED_VALUE"""),"AP Human Geography")</f>
        <v>AP Human Geography</v>
      </c>
      <c r="E2766" s="3">
        <f>IFERROR(__xludf.DUMMYFUNCTION("""COMPUTED_VALUE"""),3.0)</f>
        <v>3</v>
      </c>
      <c r="F2766" s="300">
        <v>1.0</v>
      </c>
      <c r="G2766" s="300">
        <v>1.0</v>
      </c>
      <c r="H2766" s="300">
        <v>1.0</v>
      </c>
      <c r="I2766" s="300">
        <v>1.0</v>
      </c>
      <c r="J2766" s="300">
        <v>1.0</v>
      </c>
      <c r="K2766" s="300">
        <v>1.0</v>
      </c>
      <c r="L2766" s="300">
        <v>1.0</v>
      </c>
      <c r="M2766" s="300">
        <v>1.0</v>
      </c>
      <c r="N2766" s="300">
        <v>8.0</v>
      </c>
      <c r="O2766" s="300" t="s">
        <v>926</v>
      </c>
      <c r="P2766" s="300">
        <v>4.0</v>
      </c>
    </row>
    <row r="2767">
      <c r="A2767">
        <f>IFERROR(__xludf.DUMMYFUNCTION("""COMPUTED_VALUE"""),10.0)</f>
        <v>10</v>
      </c>
      <c r="B2767" s="406">
        <f>IFERROR(__xludf.DUMMYFUNCTION("""COMPUTED_VALUE"""),28174.0)</f>
        <v>28174</v>
      </c>
      <c r="C2767" t="str">
        <f>IFERROR(__xludf.DUMMYFUNCTION("""COMPUTED_VALUE"""),"SANCHEZ HAVARD, VANESA FAITH")</f>
        <v>SANCHEZ HAVARD, VANESA FAITH</v>
      </c>
      <c r="D2767" t="str">
        <f>IFERROR(__xludf.DUMMYFUNCTION("""COMPUTED_VALUE"""),"AP Human Geography")</f>
        <v>AP Human Geography</v>
      </c>
      <c r="E2767" s="3">
        <f>IFERROR(__xludf.DUMMYFUNCTION("""COMPUTED_VALUE"""),3.0)</f>
        <v>3</v>
      </c>
      <c r="F2767" s="300">
        <v>1.0</v>
      </c>
      <c r="G2767" s="300">
        <v>1.0</v>
      </c>
      <c r="H2767" s="300">
        <v>1.0</v>
      </c>
      <c r="I2767" s="300">
        <v>1.0</v>
      </c>
      <c r="J2767" s="300">
        <v>1.0</v>
      </c>
      <c r="K2767" s="300">
        <v>1.0</v>
      </c>
      <c r="L2767" s="300">
        <v>1.0</v>
      </c>
      <c r="M2767" s="300">
        <v>1.0</v>
      </c>
      <c r="N2767" s="300">
        <v>8.0</v>
      </c>
      <c r="O2767" s="300" t="s">
        <v>926</v>
      </c>
      <c r="P2767" s="300">
        <v>4.0</v>
      </c>
    </row>
    <row r="2768">
      <c r="A2768">
        <f>IFERROR(__xludf.DUMMYFUNCTION("""COMPUTED_VALUE"""),10.0)</f>
        <v>10</v>
      </c>
      <c r="B2768" s="406">
        <f>IFERROR(__xludf.DUMMYFUNCTION("""COMPUTED_VALUE"""),28158.0)</f>
        <v>28158</v>
      </c>
      <c r="C2768" t="str">
        <f>IFERROR(__xludf.DUMMYFUNCTION("""COMPUTED_VALUE"""),"ZARRUK BELTRAN, MARTIN")</f>
        <v>ZARRUK BELTRAN, MARTIN</v>
      </c>
      <c r="D2768" t="str">
        <f>IFERROR(__xludf.DUMMYFUNCTION("""COMPUTED_VALUE"""),"Global")</f>
        <v>Global</v>
      </c>
      <c r="E2768" s="3">
        <f>IFERROR(__xludf.DUMMYFUNCTION("""COMPUTED_VALUE"""),4.0)</f>
        <v>4</v>
      </c>
      <c r="F2768" s="300">
        <v>1.0</v>
      </c>
      <c r="G2768" s="300">
        <v>1.0</v>
      </c>
      <c r="H2768" s="300">
        <v>1.0</v>
      </c>
      <c r="I2768" s="300">
        <v>1.0</v>
      </c>
      <c r="J2768" s="300">
        <v>1.0</v>
      </c>
      <c r="K2768" s="300">
        <v>1.0</v>
      </c>
      <c r="L2768" s="300">
        <v>1.0</v>
      </c>
      <c r="M2768" s="300">
        <v>1.0</v>
      </c>
      <c r="N2768" s="300">
        <v>8.0</v>
      </c>
      <c r="O2768" s="300" t="s">
        <v>928</v>
      </c>
      <c r="P2768" s="300">
        <v>3.0</v>
      </c>
    </row>
    <row r="2769">
      <c r="A2769">
        <f>IFERROR(__xludf.DUMMYFUNCTION("""COMPUTED_VALUE"""),10.0)</f>
        <v>10</v>
      </c>
      <c r="B2769" s="406">
        <f>IFERROR(__xludf.DUMMYFUNCTION("""COMPUTED_VALUE"""),28140.0)</f>
        <v>28140</v>
      </c>
      <c r="C2769" t="str">
        <f>IFERROR(__xludf.DUMMYFUNCTION("""COMPUTED_VALUE"""),"ARISTIZABAL VILLEGAS, EMILIO")</f>
        <v>ARISTIZABAL VILLEGAS, EMILIO</v>
      </c>
      <c r="D2769" t="str">
        <f>IFERROR(__xludf.DUMMYFUNCTION("""COMPUTED_VALUE"""),"Global")</f>
        <v>Global</v>
      </c>
      <c r="E2769" s="3">
        <f>IFERROR(__xludf.DUMMYFUNCTION("""COMPUTED_VALUE"""),4.0)</f>
        <v>4</v>
      </c>
      <c r="F2769" s="300">
        <v>1.0</v>
      </c>
      <c r="G2769" s="300">
        <v>1.0</v>
      </c>
      <c r="H2769" s="300">
        <v>1.0</v>
      </c>
      <c r="I2769" s="300">
        <v>1.0</v>
      </c>
      <c r="J2769" s="300">
        <v>1.0</v>
      </c>
      <c r="K2769" s="300">
        <v>1.0</v>
      </c>
      <c r="L2769" s="300">
        <v>1.0</v>
      </c>
      <c r="M2769" s="300">
        <v>1.0</v>
      </c>
      <c r="N2769" s="300">
        <v>8.0</v>
      </c>
      <c r="O2769" s="300" t="s">
        <v>928</v>
      </c>
      <c r="P2769" s="300">
        <v>3.0</v>
      </c>
    </row>
    <row r="2770">
      <c r="A2770">
        <f>IFERROR(__xludf.DUMMYFUNCTION("""COMPUTED_VALUE"""),10.0)</f>
        <v>10</v>
      </c>
      <c r="B2770" s="406">
        <f>IFERROR(__xludf.DUMMYFUNCTION("""COMPUTED_VALUE"""),28020.0)</f>
        <v>28020</v>
      </c>
      <c r="C2770" t="str">
        <f>IFERROR(__xludf.DUMMYFUNCTION("""COMPUTED_VALUE"""),"CADAVID RESTREPO, ANTONIO")</f>
        <v>CADAVID RESTREPO, ANTONIO</v>
      </c>
      <c r="D2770" t="str">
        <f>IFERROR(__xludf.DUMMYFUNCTION("""COMPUTED_VALUE"""),"Global")</f>
        <v>Global</v>
      </c>
      <c r="E2770" s="3">
        <f>IFERROR(__xludf.DUMMYFUNCTION("""COMPUTED_VALUE"""),4.0)</f>
        <v>4</v>
      </c>
      <c r="F2770" s="300">
        <v>1.0</v>
      </c>
      <c r="G2770" s="300">
        <v>1.0</v>
      </c>
      <c r="H2770" s="300">
        <v>1.0</v>
      </c>
      <c r="I2770" s="300">
        <v>1.0</v>
      </c>
      <c r="J2770" s="300">
        <v>1.0</v>
      </c>
      <c r="K2770" s="300">
        <v>1.0</v>
      </c>
      <c r="L2770" s="300">
        <v>1.0</v>
      </c>
      <c r="M2770" s="300">
        <v>1.0</v>
      </c>
      <c r="N2770" s="300">
        <v>8.0</v>
      </c>
      <c r="O2770" s="300" t="s">
        <v>928</v>
      </c>
      <c r="P2770" s="300">
        <v>3.0</v>
      </c>
    </row>
    <row r="2771">
      <c r="A2771">
        <f>IFERROR(__xludf.DUMMYFUNCTION("""COMPUTED_VALUE"""),10.0)</f>
        <v>10</v>
      </c>
      <c r="B2771" s="406">
        <f>IFERROR(__xludf.DUMMYFUNCTION("""COMPUTED_VALUE"""),28095.0)</f>
        <v>28095</v>
      </c>
      <c r="C2771" t="str">
        <f>IFERROR(__xludf.DUMMYFUNCTION("""COMPUTED_VALUE"""),"RESTREPO QUINTERO, ANTONIO")</f>
        <v>RESTREPO QUINTERO, ANTONIO</v>
      </c>
      <c r="D2771" t="str">
        <f>IFERROR(__xludf.DUMMYFUNCTION("""COMPUTED_VALUE"""),"Global")</f>
        <v>Global</v>
      </c>
      <c r="E2771" s="3">
        <f>IFERROR(__xludf.DUMMYFUNCTION("""COMPUTED_VALUE"""),7.0)</f>
        <v>7</v>
      </c>
      <c r="F2771" s="300">
        <v>1.0</v>
      </c>
      <c r="G2771" s="300">
        <v>1.0</v>
      </c>
      <c r="H2771" s="300">
        <v>1.0</v>
      </c>
      <c r="I2771" s="300">
        <v>1.0</v>
      </c>
      <c r="J2771" s="300">
        <v>1.0</v>
      </c>
      <c r="K2771" s="300">
        <v>1.0</v>
      </c>
      <c r="L2771" s="300">
        <v>1.0</v>
      </c>
      <c r="M2771" s="300">
        <v>1.0</v>
      </c>
      <c r="N2771" s="300">
        <v>8.0</v>
      </c>
      <c r="O2771" s="300" t="s">
        <v>929</v>
      </c>
      <c r="P2771" s="300">
        <v>3.0</v>
      </c>
    </row>
    <row r="2772">
      <c r="A2772">
        <f>IFERROR(__xludf.DUMMYFUNCTION("""COMPUTED_VALUE"""),10.0)</f>
        <v>10</v>
      </c>
      <c r="B2772" s="406">
        <f>IFERROR(__xludf.DUMMYFUNCTION("""COMPUTED_VALUE"""),28002.0)</f>
        <v>28002</v>
      </c>
      <c r="C2772" t="str">
        <f>IFERROR(__xludf.DUMMYFUNCTION("""COMPUTED_VALUE"""),"ANGEL MESA, PEDRO")</f>
        <v>ANGEL MESA, PEDRO</v>
      </c>
      <c r="D2772" t="str">
        <f>IFERROR(__xludf.DUMMYFUNCTION("""COMPUTED_VALUE"""),"AP Human Geography")</f>
        <v>AP Human Geography</v>
      </c>
      <c r="E2772" s="3">
        <f>IFERROR(__xludf.DUMMYFUNCTION("""COMPUTED_VALUE"""),6.0)</f>
        <v>6</v>
      </c>
      <c r="F2772" s="300">
        <v>1.0</v>
      </c>
      <c r="G2772" s="300">
        <v>1.0</v>
      </c>
      <c r="H2772" s="300">
        <v>1.0</v>
      </c>
      <c r="I2772" s="300">
        <v>1.0</v>
      </c>
      <c r="J2772" s="300">
        <v>1.0</v>
      </c>
      <c r="K2772" s="300">
        <v>1.0</v>
      </c>
      <c r="L2772" s="300">
        <v>1.0</v>
      </c>
      <c r="M2772" s="300">
        <v>1.0</v>
      </c>
      <c r="N2772" s="300">
        <v>8.0</v>
      </c>
      <c r="O2772" s="300" t="s">
        <v>931</v>
      </c>
      <c r="P2772" s="300">
        <v>4.0</v>
      </c>
    </row>
    <row r="2773">
      <c r="A2773">
        <f>IFERROR(__xludf.DUMMYFUNCTION("""COMPUTED_VALUE"""),10.0)</f>
        <v>10</v>
      </c>
      <c r="B2773" s="406">
        <f>IFERROR(__xludf.DUMMYFUNCTION("""COMPUTED_VALUE"""),28052.0)</f>
        <v>28052</v>
      </c>
      <c r="C2773" t="str">
        <f>IFERROR(__xludf.DUMMYFUNCTION("""COMPUTED_VALUE"""),"LONDOÑO VILLA, PEDRO")</f>
        <v>LONDOÑO VILLA, PEDRO</v>
      </c>
      <c r="D2773" t="str">
        <f>IFERROR(__xludf.DUMMYFUNCTION("""COMPUTED_VALUE"""),"AP Human Geography")</f>
        <v>AP Human Geography</v>
      </c>
      <c r="E2773" s="3">
        <f>IFERROR(__xludf.DUMMYFUNCTION("""COMPUTED_VALUE"""),6.0)</f>
        <v>6</v>
      </c>
      <c r="F2773" s="300">
        <v>1.0</v>
      </c>
      <c r="G2773" s="300">
        <v>1.0</v>
      </c>
      <c r="H2773" s="300">
        <v>1.0</v>
      </c>
      <c r="I2773" s="300">
        <v>1.0</v>
      </c>
      <c r="J2773" s="300">
        <v>1.0</v>
      </c>
      <c r="K2773" s="300">
        <v>1.0</v>
      </c>
      <c r="L2773" s="300">
        <v>1.0</v>
      </c>
      <c r="M2773" s="300">
        <v>1.0</v>
      </c>
      <c r="N2773" s="300">
        <v>8.0</v>
      </c>
      <c r="O2773" s="300" t="s">
        <v>931</v>
      </c>
      <c r="P2773" s="300">
        <v>4.0</v>
      </c>
    </row>
    <row r="2774">
      <c r="A2774">
        <f>IFERROR(__xludf.DUMMYFUNCTION("""COMPUTED_VALUE"""),10.0)</f>
        <v>10</v>
      </c>
      <c r="B2774" s="406">
        <f>IFERROR(__xludf.DUMMYFUNCTION("""COMPUTED_VALUE"""),28101.0)</f>
        <v>28101</v>
      </c>
      <c r="C2774" t="str">
        <f>IFERROR(__xludf.DUMMYFUNCTION("""COMPUTED_VALUE"""),"ROJAS VELEZ, LUCIANA")</f>
        <v>ROJAS VELEZ, LUCIANA</v>
      </c>
      <c r="D2774" t="str">
        <f>IFERROR(__xludf.DUMMYFUNCTION("""COMPUTED_VALUE"""),"AP Human Geography")</f>
        <v>AP Human Geography</v>
      </c>
      <c r="E2774" s="3">
        <f>IFERROR(__xludf.DUMMYFUNCTION("""COMPUTED_VALUE"""),4.0)</f>
        <v>4</v>
      </c>
      <c r="F2774" s="300">
        <v>1.0</v>
      </c>
      <c r="G2774" s="300">
        <v>1.0</v>
      </c>
      <c r="H2774" s="300">
        <v>1.0</v>
      </c>
      <c r="I2774" s="300">
        <v>1.0</v>
      </c>
      <c r="J2774" s="300">
        <v>1.0</v>
      </c>
      <c r="K2774" s="300">
        <v>1.0</v>
      </c>
      <c r="L2774" s="300">
        <v>1.0</v>
      </c>
      <c r="M2774" s="300">
        <v>1.0</v>
      </c>
      <c r="N2774" s="300">
        <v>8.0</v>
      </c>
      <c r="O2774" s="300" t="s">
        <v>930</v>
      </c>
      <c r="P2774" s="300">
        <v>4.0</v>
      </c>
    </row>
    <row r="2775">
      <c r="A2775">
        <f>IFERROR(__xludf.DUMMYFUNCTION("""COMPUTED_VALUE"""),10.0)</f>
        <v>10</v>
      </c>
      <c r="B2775" s="406">
        <f>IFERROR(__xludf.DUMMYFUNCTION("""COMPUTED_VALUE"""),28061.0)</f>
        <v>28061</v>
      </c>
      <c r="C2775" t="str">
        <f>IFERROR(__xludf.DUMMYFUNCTION("""COMPUTED_VALUE"""),"MEDINA NOREÑA, MANUELA")</f>
        <v>MEDINA NOREÑA, MANUELA</v>
      </c>
      <c r="D2775" t="str">
        <f>IFERROR(__xludf.DUMMYFUNCTION("""COMPUTED_VALUE"""),"AP Human Geography")</f>
        <v>AP Human Geography</v>
      </c>
      <c r="E2775" s="3">
        <f>IFERROR(__xludf.DUMMYFUNCTION("""COMPUTED_VALUE"""),3.0)</f>
        <v>3</v>
      </c>
      <c r="F2775" s="300">
        <v>1.0</v>
      </c>
      <c r="G2775" s="300">
        <v>1.0</v>
      </c>
      <c r="H2775" s="300">
        <v>1.0</v>
      </c>
      <c r="I2775" s="300">
        <v>1.0</v>
      </c>
      <c r="J2775" s="300">
        <v>1.0</v>
      </c>
      <c r="K2775" s="300">
        <v>1.0</v>
      </c>
      <c r="L2775" s="300">
        <v>1.0</v>
      </c>
      <c r="M2775" s="300">
        <v>1.0</v>
      </c>
      <c r="N2775" s="300">
        <v>8.0</v>
      </c>
      <c r="O2775" s="300" t="s">
        <v>926</v>
      </c>
      <c r="P2775" s="300">
        <v>4.0</v>
      </c>
    </row>
    <row r="2776">
      <c r="A2776">
        <f>IFERROR(__xludf.DUMMYFUNCTION("""COMPUTED_VALUE"""),10.0)</f>
        <v>10</v>
      </c>
      <c r="B2776" s="406">
        <f>IFERROR(__xludf.DUMMYFUNCTION("""COMPUTED_VALUE"""),28136.0)</f>
        <v>28136</v>
      </c>
      <c r="C2776" t="str">
        <f>IFERROR(__xludf.DUMMYFUNCTION("""COMPUTED_VALUE"""),"SALAZAR ECHEVERRI, ELISA")</f>
        <v>SALAZAR ECHEVERRI, ELISA</v>
      </c>
      <c r="D2776" t="str">
        <f>IFERROR(__xludf.DUMMYFUNCTION("""COMPUTED_VALUE"""),"Global")</f>
        <v>Global</v>
      </c>
      <c r="E2776" s="3">
        <f>IFERROR(__xludf.DUMMYFUNCTION("""COMPUTED_VALUE"""),2.0)</f>
        <v>2</v>
      </c>
      <c r="F2776" s="300">
        <v>1.0</v>
      </c>
      <c r="G2776" s="300">
        <v>1.0</v>
      </c>
      <c r="H2776" s="300">
        <v>1.0</v>
      </c>
      <c r="I2776" s="300">
        <v>1.0</v>
      </c>
      <c r="J2776" s="300">
        <v>1.0</v>
      </c>
      <c r="K2776" s="300">
        <v>1.0</v>
      </c>
      <c r="L2776" s="300">
        <v>1.0</v>
      </c>
      <c r="M2776" s="300">
        <v>1.0</v>
      </c>
      <c r="N2776" s="300">
        <v>8.0</v>
      </c>
      <c r="O2776" s="300" t="s">
        <v>932</v>
      </c>
      <c r="P2776" s="300">
        <v>3.0</v>
      </c>
    </row>
    <row r="2777">
      <c r="A2777">
        <f>IFERROR(__xludf.DUMMYFUNCTION("""COMPUTED_VALUE"""),10.0)</f>
        <v>10</v>
      </c>
      <c r="B2777" s="406">
        <f>IFERROR(__xludf.DUMMYFUNCTION("""COMPUTED_VALUE"""),28010.0)</f>
        <v>28010</v>
      </c>
      <c r="C2777" t="str">
        <f>IFERROR(__xludf.DUMMYFUNCTION("""COMPUTED_VALUE"""),"ATEHORTUA MORENO, SOFIA")</f>
        <v>ATEHORTUA MORENO, SOFIA</v>
      </c>
      <c r="D2777" t="str">
        <f>IFERROR(__xludf.DUMMYFUNCTION("""COMPUTED_VALUE"""),"Global")</f>
        <v>Global</v>
      </c>
      <c r="E2777" s="3">
        <f>IFERROR(__xludf.DUMMYFUNCTION("""COMPUTED_VALUE"""),7.0)</f>
        <v>7</v>
      </c>
      <c r="F2777" s="300">
        <v>1.0</v>
      </c>
      <c r="G2777" s="300">
        <v>1.0</v>
      </c>
      <c r="H2777" s="300">
        <v>1.0</v>
      </c>
      <c r="I2777" s="300">
        <v>1.0</v>
      </c>
      <c r="J2777" s="300">
        <v>1.0</v>
      </c>
      <c r="K2777" s="300">
        <v>1.0</v>
      </c>
      <c r="L2777" s="300">
        <v>1.0</v>
      </c>
      <c r="M2777" s="300">
        <v>1.0</v>
      </c>
      <c r="N2777" s="300">
        <v>8.0</v>
      </c>
      <c r="O2777" s="300" t="s">
        <v>929</v>
      </c>
      <c r="P2777" s="300">
        <v>3.0</v>
      </c>
    </row>
    <row r="2778">
      <c r="A2778">
        <f>IFERROR(__xludf.DUMMYFUNCTION("""COMPUTED_VALUE"""),10.0)</f>
        <v>10</v>
      </c>
      <c r="B2778" s="406">
        <f>IFERROR(__xludf.DUMMYFUNCTION("""COMPUTED_VALUE"""),28035.0)</f>
        <v>28035</v>
      </c>
      <c r="C2778" t="str">
        <f>IFERROR(__xludf.DUMMYFUNCTION("""COMPUTED_VALUE"""),"GAVIRIA GONZALEZ, MARIA JOSE")</f>
        <v>GAVIRIA GONZALEZ, MARIA JOSE</v>
      </c>
      <c r="D2778" t="str">
        <f>IFERROR(__xludf.DUMMYFUNCTION("""COMPUTED_VALUE"""),"Global")</f>
        <v>Global</v>
      </c>
      <c r="E2778" s="3">
        <f>IFERROR(__xludf.DUMMYFUNCTION("""COMPUTED_VALUE"""),4.0)</f>
        <v>4</v>
      </c>
      <c r="F2778" s="300">
        <v>1.0</v>
      </c>
      <c r="G2778" s="300">
        <v>1.0</v>
      </c>
      <c r="H2778" s="300">
        <v>1.0</v>
      </c>
      <c r="I2778" s="300">
        <v>1.0</v>
      </c>
      <c r="J2778" s="300">
        <v>1.0</v>
      </c>
      <c r="K2778" s="300">
        <v>1.0</v>
      </c>
      <c r="L2778" s="300">
        <v>1.0</v>
      </c>
      <c r="M2778" s="300">
        <v>1.0</v>
      </c>
      <c r="N2778" s="300">
        <v>8.0</v>
      </c>
      <c r="O2778" s="300" t="s">
        <v>928</v>
      </c>
      <c r="P2778" s="300">
        <v>3.0</v>
      </c>
    </row>
    <row r="2779">
      <c r="A2779">
        <f>IFERROR(__xludf.DUMMYFUNCTION("""COMPUTED_VALUE"""),10.0)</f>
        <v>10</v>
      </c>
      <c r="B2779" s="406">
        <f>IFERROR(__xludf.DUMMYFUNCTION("""COMPUTED_VALUE"""),28027.0)</f>
        <v>28027</v>
      </c>
      <c r="C2779" t="str">
        <f>IFERROR(__xludf.DUMMYFUNCTION("""COMPUTED_VALUE"""),"ESTRADA JIMENEZ, MARIA")</f>
        <v>ESTRADA JIMENEZ, MARIA</v>
      </c>
      <c r="D2779" t="str">
        <f>IFERROR(__xludf.DUMMYFUNCTION("""COMPUTED_VALUE"""),"AP Human Geography")</f>
        <v>AP Human Geography</v>
      </c>
      <c r="E2779" s="3">
        <f>IFERROR(__xludf.DUMMYFUNCTION("""COMPUTED_VALUE"""),2.0)</f>
        <v>2</v>
      </c>
      <c r="F2779" s="300">
        <v>1.0</v>
      </c>
      <c r="G2779" s="300">
        <v>1.0</v>
      </c>
      <c r="H2779" s="300">
        <v>1.0</v>
      </c>
      <c r="I2779" s="300">
        <v>1.0</v>
      </c>
      <c r="J2779" s="300">
        <v>1.0</v>
      </c>
      <c r="K2779" s="300">
        <v>1.0</v>
      </c>
      <c r="L2779" s="300">
        <v>1.0</v>
      </c>
      <c r="M2779" s="300">
        <v>1.0</v>
      </c>
      <c r="N2779" s="300">
        <v>8.0</v>
      </c>
      <c r="O2779" s="300" t="s">
        <v>927</v>
      </c>
      <c r="P2779" s="300">
        <v>4.0</v>
      </c>
    </row>
    <row r="2780">
      <c r="A2780">
        <f>IFERROR(__xludf.DUMMYFUNCTION("""COMPUTED_VALUE"""),10.0)</f>
        <v>10</v>
      </c>
      <c r="B2780" s="406">
        <f>IFERROR(__xludf.DUMMYFUNCTION("""COMPUTED_VALUE"""),27152.0)</f>
        <v>27152</v>
      </c>
      <c r="C2780" t="str">
        <f>IFERROR(__xludf.DUMMYFUNCTION("""COMPUTED_VALUE"""),"GARCIA GONZALEZ, MARIA ANTONIA")</f>
        <v>GARCIA GONZALEZ, MARIA ANTONIA</v>
      </c>
      <c r="D2780" t="str">
        <f>IFERROR(__xludf.DUMMYFUNCTION("""COMPUTED_VALUE"""),"Global")</f>
        <v>Global</v>
      </c>
      <c r="E2780" s="3">
        <f>IFERROR(__xludf.DUMMYFUNCTION("""COMPUTED_VALUE"""),2.0)</f>
        <v>2</v>
      </c>
      <c r="F2780" s="300">
        <v>1.0</v>
      </c>
      <c r="G2780" s="300">
        <v>1.0</v>
      </c>
      <c r="H2780" s="300">
        <v>1.0</v>
      </c>
      <c r="I2780" s="300">
        <v>1.0</v>
      </c>
      <c r="J2780" s="300">
        <v>1.0</v>
      </c>
      <c r="K2780" s="300">
        <v>1.0</v>
      </c>
      <c r="L2780" s="300">
        <v>1.0</v>
      </c>
      <c r="M2780" s="300">
        <v>1.0</v>
      </c>
      <c r="N2780" s="300">
        <v>8.0</v>
      </c>
      <c r="O2780" s="300" t="s">
        <v>932</v>
      </c>
      <c r="P2780" s="300">
        <v>3.0</v>
      </c>
    </row>
    <row r="2781">
      <c r="A2781">
        <f>IFERROR(__xludf.DUMMYFUNCTION("""COMPUTED_VALUE"""),10.0)</f>
        <v>10</v>
      </c>
      <c r="B2781" s="406">
        <f>IFERROR(__xludf.DUMMYFUNCTION("""COMPUTED_VALUE"""),28026.0)</f>
        <v>28026</v>
      </c>
      <c r="C2781" t="str">
        <f>IFERROR(__xludf.DUMMYFUNCTION("""COMPUTED_VALUE"""),"ESPINAL MONTOYA, JULIETA")</f>
        <v>ESPINAL MONTOYA, JULIETA</v>
      </c>
      <c r="D2781" t="str">
        <f>IFERROR(__xludf.DUMMYFUNCTION("""COMPUTED_VALUE"""),"Global")</f>
        <v>Global</v>
      </c>
      <c r="E2781" s="3">
        <f>IFERROR(__xludf.DUMMYFUNCTION("""COMPUTED_VALUE"""),7.0)</f>
        <v>7</v>
      </c>
      <c r="F2781" s="300">
        <v>1.0</v>
      </c>
      <c r="G2781" s="300">
        <v>1.0</v>
      </c>
      <c r="H2781" s="300">
        <v>1.0</v>
      </c>
      <c r="I2781" s="300">
        <v>1.0</v>
      </c>
      <c r="J2781" s="300">
        <v>1.0</v>
      </c>
      <c r="K2781" s="300">
        <v>1.0</v>
      </c>
      <c r="L2781" s="300">
        <v>1.0</v>
      </c>
      <c r="M2781" s="300">
        <v>1.0</v>
      </c>
      <c r="N2781" s="300">
        <v>8.0</v>
      </c>
      <c r="O2781" s="300" t="s">
        <v>929</v>
      </c>
      <c r="P2781" s="300">
        <v>3.0</v>
      </c>
    </row>
    <row r="2782">
      <c r="A2782">
        <f>IFERROR(__xludf.DUMMYFUNCTION("""COMPUTED_VALUE"""),10.0)</f>
        <v>10</v>
      </c>
      <c r="B2782" s="406">
        <f>IFERROR(__xludf.DUMMYFUNCTION("""COMPUTED_VALUE"""),28025.0)</f>
        <v>28025</v>
      </c>
      <c r="C2782" t="str">
        <f>IFERROR(__xludf.DUMMYFUNCTION("""COMPUTED_VALUE"""),"ESCOBAR INFANTINO, SAMUEL")</f>
        <v>ESCOBAR INFANTINO, SAMUEL</v>
      </c>
      <c r="D2782" t="str">
        <f>IFERROR(__xludf.DUMMYFUNCTION("""COMPUTED_VALUE"""),"Global")</f>
        <v>Global</v>
      </c>
      <c r="E2782" s="3">
        <f>IFERROR(__xludf.DUMMYFUNCTION("""COMPUTED_VALUE"""),7.0)</f>
        <v>7</v>
      </c>
      <c r="F2782" s="300">
        <v>1.0</v>
      </c>
      <c r="G2782" s="300">
        <v>1.0</v>
      </c>
      <c r="H2782" s="300">
        <v>1.0</v>
      </c>
      <c r="I2782" s="300">
        <v>1.0</v>
      </c>
      <c r="J2782" s="300">
        <v>1.0</v>
      </c>
      <c r="K2782" s="300">
        <v>1.0</v>
      </c>
      <c r="L2782" s="300">
        <v>1.0</v>
      </c>
      <c r="M2782" s="300">
        <v>1.0</v>
      </c>
      <c r="N2782" s="300">
        <v>8.0</v>
      </c>
      <c r="O2782" s="300" t="s">
        <v>929</v>
      </c>
      <c r="P2782" s="300">
        <v>3.0</v>
      </c>
    </row>
    <row r="2783">
      <c r="A2783">
        <f>IFERROR(__xludf.DUMMYFUNCTION("""COMPUTED_VALUE"""),10.0)</f>
        <v>10</v>
      </c>
      <c r="B2783" s="406">
        <f>IFERROR(__xludf.DUMMYFUNCTION("""COMPUTED_VALUE"""),27100.0)</f>
        <v>27100</v>
      </c>
      <c r="C2783" t="str">
        <f>IFERROR(__xludf.DUMMYFUNCTION("""COMPUTED_VALUE"""),"ROJAS SANCHEZ, SUSANA")</f>
        <v>ROJAS SANCHEZ, SUSANA</v>
      </c>
      <c r="D2783" t="str">
        <f>IFERROR(__xludf.DUMMYFUNCTION("""COMPUTED_VALUE"""),"Global")</f>
        <v>Global</v>
      </c>
      <c r="E2783" s="3">
        <f>IFERROR(__xludf.DUMMYFUNCTION("""COMPUTED_VALUE"""),7.0)</f>
        <v>7</v>
      </c>
      <c r="F2783" s="300">
        <v>1.0</v>
      </c>
      <c r="G2783" s="300">
        <v>1.0</v>
      </c>
      <c r="H2783" s="300">
        <v>1.0</v>
      </c>
      <c r="I2783" s="300">
        <v>1.0</v>
      </c>
      <c r="J2783" s="300">
        <v>1.0</v>
      </c>
      <c r="K2783" s="300">
        <v>1.0</v>
      </c>
      <c r="L2783" s="300">
        <v>1.0</v>
      </c>
      <c r="M2783" s="300">
        <v>1.0</v>
      </c>
      <c r="N2783" s="300">
        <v>8.0</v>
      </c>
      <c r="O2783" s="300" t="s">
        <v>929</v>
      </c>
      <c r="P2783" s="300">
        <v>3.0</v>
      </c>
    </row>
    <row r="2784">
      <c r="A2784">
        <f>IFERROR(__xludf.DUMMYFUNCTION("""COMPUTED_VALUE"""),10.0)</f>
        <v>10</v>
      </c>
      <c r="B2784" s="406">
        <f>IFERROR(__xludf.DUMMYFUNCTION("""COMPUTED_VALUE"""),28139.0)</f>
        <v>28139</v>
      </c>
      <c r="C2784" t="str">
        <f>IFERROR(__xludf.DUMMYFUNCTION("""COMPUTED_VALUE"""),"BERNAL ESTRADA, MATIAS")</f>
        <v>BERNAL ESTRADA, MATIAS</v>
      </c>
      <c r="D2784" t="str">
        <f>IFERROR(__xludf.DUMMYFUNCTION("""COMPUTED_VALUE"""),"Global")</f>
        <v>Global</v>
      </c>
      <c r="E2784" s="3">
        <f>IFERROR(__xludf.DUMMYFUNCTION("""COMPUTED_VALUE"""),7.0)</f>
        <v>7</v>
      </c>
      <c r="F2784" s="300">
        <v>1.0</v>
      </c>
      <c r="G2784" s="300">
        <v>1.0</v>
      </c>
      <c r="H2784" s="300">
        <v>1.0</v>
      </c>
      <c r="I2784" s="300">
        <v>1.0</v>
      </c>
      <c r="J2784" s="300">
        <v>1.0</v>
      </c>
      <c r="K2784" s="300">
        <v>1.0</v>
      </c>
      <c r="L2784" s="300">
        <v>1.0</v>
      </c>
      <c r="M2784" s="300">
        <v>1.0</v>
      </c>
      <c r="N2784" s="300">
        <v>8.0</v>
      </c>
      <c r="O2784" s="300" t="s">
        <v>929</v>
      </c>
      <c r="P2784" s="300">
        <v>3.0</v>
      </c>
    </row>
    <row r="2785">
      <c r="A2785">
        <f>IFERROR(__xludf.DUMMYFUNCTION("""COMPUTED_VALUE"""),10.0)</f>
        <v>10</v>
      </c>
      <c r="B2785" s="406">
        <f>IFERROR(__xludf.DUMMYFUNCTION("""COMPUTED_VALUE"""),28048.0)</f>
        <v>28048</v>
      </c>
      <c r="C2785" t="str">
        <f>IFERROR(__xludf.DUMMYFUNCTION("""COMPUTED_VALUE"""),"ISAZA VELASQUEZ, EMILIANA")</f>
        <v>ISAZA VELASQUEZ, EMILIANA</v>
      </c>
      <c r="D2785" t="str">
        <f>IFERROR(__xludf.DUMMYFUNCTION("""COMPUTED_VALUE"""),"AP Human Geography")</f>
        <v>AP Human Geography</v>
      </c>
      <c r="E2785" s="3">
        <f>IFERROR(__xludf.DUMMYFUNCTION("""COMPUTED_VALUE"""),3.0)</f>
        <v>3</v>
      </c>
      <c r="F2785" s="300">
        <v>1.0</v>
      </c>
      <c r="G2785" s="300">
        <v>1.0</v>
      </c>
      <c r="H2785" s="300">
        <v>1.0</v>
      </c>
      <c r="I2785" s="300">
        <v>1.0</v>
      </c>
      <c r="J2785" s="300">
        <v>1.0</v>
      </c>
      <c r="K2785" s="300">
        <v>1.0</v>
      </c>
      <c r="L2785" s="300">
        <v>1.0</v>
      </c>
      <c r="M2785" s="300">
        <v>1.0</v>
      </c>
      <c r="N2785" s="300">
        <v>8.0</v>
      </c>
      <c r="O2785" s="300" t="s">
        <v>926</v>
      </c>
      <c r="P2785" s="300">
        <v>4.0</v>
      </c>
    </row>
    <row r="2786">
      <c r="A2786">
        <f>IFERROR(__xludf.DUMMYFUNCTION("""COMPUTED_VALUE"""),10.0)</f>
        <v>10</v>
      </c>
      <c r="B2786" s="406">
        <f>IFERROR(__xludf.DUMMYFUNCTION("""COMPUTED_VALUE"""),27024.0)</f>
        <v>27024</v>
      </c>
      <c r="C2786" t="str">
        <f>IFERROR(__xludf.DUMMYFUNCTION("""COMPUTED_VALUE"""),"CASTRO CASTAÑEDA, CYAN")</f>
        <v>CASTRO CASTAÑEDA, CYAN</v>
      </c>
      <c r="D2786" t="str">
        <f>IFERROR(__xludf.DUMMYFUNCTION("""COMPUTED_VALUE"""),"Global")</f>
        <v>Global</v>
      </c>
      <c r="E2786" s="3">
        <f>IFERROR(__xludf.DUMMYFUNCTION("""COMPUTED_VALUE"""),4.0)</f>
        <v>4</v>
      </c>
      <c r="F2786" s="300">
        <v>1.0</v>
      </c>
      <c r="G2786" s="300">
        <v>1.0</v>
      </c>
      <c r="H2786" s="300">
        <v>1.0</v>
      </c>
      <c r="I2786" s="300">
        <v>1.0</v>
      </c>
      <c r="J2786" s="300">
        <v>1.0</v>
      </c>
      <c r="K2786" s="300">
        <v>1.0</v>
      </c>
      <c r="L2786" s="300">
        <v>1.0</v>
      </c>
      <c r="M2786" s="300">
        <v>1.0</v>
      </c>
      <c r="N2786" s="300">
        <v>8.0</v>
      </c>
      <c r="O2786" s="300" t="s">
        <v>928</v>
      </c>
      <c r="P2786" s="300">
        <v>3.0</v>
      </c>
    </row>
    <row r="2787">
      <c r="A2787">
        <f>IFERROR(__xludf.DUMMYFUNCTION("""COMPUTED_VALUE"""),10.0)</f>
        <v>10</v>
      </c>
      <c r="B2787" s="406">
        <f>IFERROR(__xludf.DUMMYFUNCTION("""COMPUTED_VALUE"""),28044.0)</f>
        <v>28044</v>
      </c>
      <c r="C2787" t="str">
        <f>IFERROR(__xludf.DUMMYFUNCTION("""COMPUTED_VALUE"""),"GUTIERREZ OCAMPO, VALENTINA")</f>
        <v>GUTIERREZ OCAMPO, VALENTINA</v>
      </c>
      <c r="D2787" t="str">
        <f>IFERROR(__xludf.DUMMYFUNCTION("""COMPUTED_VALUE"""),"AP Human Geography")</f>
        <v>AP Human Geography</v>
      </c>
      <c r="E2787" s="3">
        <f>IFERROR(__xludf.DUMMYFUNCTION("""COMPUTED_VALUE"""),2.0)</f>
        <v>2</v>
      </c>
      <c r="F2787" s="300">
        <v>1.0</v>
      </c>
      <c r="G2787" s="300">
        <v>1.0</v>
      </c>
      <c r="H2787" s="300">
        <v>1.0</v>
      </c>
      <c r="I2787" s="300">
        <v>1.0</v>
      </c>
      <c r="J2787" s="300">
        <v>1.0</v>
      </c>
      <c r="K2787" s="300">
        <v>1.0</v>
      </c>
      <c r="L2787" s="300">
        <v>1.0</v>
      </c>
      <c r="M2787" s="300">
        <v>1.0</v>
      </c>
      <c r="N2787" s="300">
        <v>8.0</v>
      </c>
      <c r="O2787" s="300" t="s">
        <v>927</v>
      </c>
      <c r="P2787" s="300">
        <v>4.0</v>
      </c>
    </row>
    <row r="2788">
      <c r="A2788">
        <f>IFERROR(__xludf.DUMMYFUNCTION("""COMPUTED_VALUE"""),10.0)</f>
        <v>10</v>
      </c>
      <c r="B2788" s="406">
        <f>IFERROR(__xludf.DUMMYFUNCTION("""COMPUTED_VALUE"""),27058.0)</f>
        <v>27058</v>
      </c>
      <c r="C2788" t="str">
        <f>IFERROR(__xludf.DUMMYFUNCTION("""COMPUTED_VALUE"""),"LOPEZ MEJIA, MIGUEL")</f>
        <v>LOPEZ MEJIA, MIGUEL</v>
      </c>
      <c r="D2788" t="str">
        <f>IFERROR(__xludf.DUMMYFUNCTION("""COMPUTED_VALUE"""),"Global")</f>
        <v>Global</v>
      </c>
      <c r="E2788" s="3">
        <f>IFERROR(__xludf.DUMMYFUNCTION("""COMPUTED_VALUE"""),2.0)</f>
        <v>2</v>
      </c>
      <c r="F2788" s="300">
        <v>1.0</v>
      </c>
      <c r="G2788" s="300">
        <v>1.0</v>
      </c>
      <c r="H2788" s="300">
        <v>1.0</v>
      </c>
      <c r="I2788" s="300">
        <v>1.0</v>
      </c>
      <c r="J2788" s="300">
        <v>1.0</v>
      </c>
      <c r="K2788" s="300">
        <v>1.0</v>
      </c>
      <c r="L2788" s="300">
        <v>1.0</v>
      </c>
      <c r="M2788" s="300">
        <v>1.0</v>
      </c>
      <c r="N2788" s="300">
        <v>8.0</v>
      </c>
      <c r="O2788" s="300" t="s">
        <v>932</v>
      </c>
      <c r="P2788" s="300">
        <v>3.0</v>
      </c>
    </row>
    <row r="2789">
      <c r="A2789">
        <f>IFERROR(__xludf.DUMMYFUNCTION("""COMPUTED_VALUE"""),10.0)</f>
        <v>10</v>
      </c>
      <c r="B2789" s="406">
        <f>IFERROR(__xludf.DUMMYFUNCTION("""COMPUTED_VALUE"""),28038.0)</f>
        <v>28038</v>
      </c>
      <c r="C2789" t="str">
        <f>IFERROR(__xludf.DUMMYFUNCTION("""COMPUTED_VALUE"""),"GOMEZ TORRES, MARIA")</f>
        <v>GOMEZ TORRES, MARIA</v>
      </c>
      <c r="D2789" t="str">
        <f>IFERROR(__xludf.DUMMYFUNCTION("""COMPUTED_VALUE"""),"AP Human Geography")</f>
        <v>AP Human Geography</v>
      </c>
      <c r="E2789" s="3">
        <f>IFERROR(__xludf.DUMMYFUNCTION("""COMPUTED_VALUE"""),6.0)</f>
        <v>6</v>
      </c>
      <c r="F2789" s="300">
        <v>1.0</v>
      </c>
      <c r="G2789" s="300">
        <v>1.0</v>
      </c>
      <c r="H2789" s="300">
        <v>1.0</v>
      </c>
      <c r="I2789" s="300">
        <v>1.0</v>
      </c>
      <c r="J2789" s="300">
        <v>1.0</v>
      </c>
      <c r="K2789" s="300">
        <v>1.0</v>
      </c>
      <c r="L2789" s="300">
        <v>1.0</v>
      </c>
      <c r="M2789" s="300">
        <v>1.0</v>
      </c>
      <c r="N2789" s="300">
        <v>8.0</v>
      </c>
      <c r="O2789" s="300" t="s">
        <v>931</v>
      </c>
      <c r="P2789" s="300">
        <v>4.0</v>
      </c>
    </row>
    <row r="2790">
      <c r="A2790">
        <f>IFERROR(__xludf.DUMMYFUNCTION("""COMPUTED_VALUE"""),10.0)</f>
        <v>10</v>
      </c>
      <c r="B2790" s="406">
        <f>IFERROR(__xludf.DUMMYFUNCTION("""COMPUTED_VALUE"""),28094.0)</f>
        <v>28094</v>
      </c>
      <c r="C2790" t="str">
        <f>IFERROR(__xludf.DUMMYFUNCTION("""COMPUTED_VALUE"""),"RESTREPO OCHOA, PASCUAL")</f>
        <v>RESTREPO OCHOA, PASCUAL</v>
      </c>
      <c r="D2790" t="str">
        <f>IFERROR(__xludf.DUMMYFUNCTION("""COMPUTED_VALUE"""),"Global")</f>
        <v>Global</v>
      </c>
      <c r="E2790" s="3">
        <f>IFERROR(__xludf.DUMMYFUNCTION("""COMPUTED_VALUE"""),2.0)</f>
        <v>2</v>
      </c>
      <c r="F2790" s="300">
        <v>1.0</v>
      </c>
      <c r="G2790" s="300">
        <v>1.0</v>
      </c>
      <c r="H2790" s="300">
        <v>1.0</v>
      </c>
      <c r="I2790" s="300">
        <v>1.0</v>
      </c>
      <c r="J2790" s="300">
        <v>1.0</v>
      </c>
      <c r="K2790" s="300">
        <v>1.0</v>
      </c>
      <c r="L2790" s="300">
        <v>1.0</v>
      </c>
      <c r="M2790" s="300">
        <v>1.0</v>
      </c>
      <c r="N2790" s="300">
        <v>8.0</v>
      </c>
      <c r="O2790" s="300" t="s">
        <v>932</v>
      </c>
      <c r="P2790" s="300">
        <v>3.0</v>
      </c>
    </row>
    <row r="2791">
      <c r="A2791">
        <f>IFERROR(__xludf.DUMMYFUNCTION("""COMPUTED_VALUE"""),10.0)</f>
        <v>10</v>
      </c>
      <c r="B2791" s="406">
        <f>IFERROR(__xludf.DUMMYFUNCTION("""COMPUTED_VALUE"""),28041.0)</f>
        <v>28041</v>
      </c>
      <c r="C2791" t="str">
        <f>IFERROR(__xludf.DUMMYFUNCTION("""COMPUTED_VALUE"""),"GONZALEZ MIRA, MATIAS")</f>
        <v>GONZALEZ MIRA, MATIAS</v>
      </c>
      <c r="D2791" t="str">
        <f>IFERROR(__xludf.DUMMYFUNCTION("""COMPUTED_VALUE"""),"AP Human Geography")</f>
        <v>AP Human Geography</v>
      </c>
      <c r="E2791" s="3">
        <f>IFERROR(__xludf.DUMMYFUNCTION("""COMPUTED_VALUE"""),2.0)</f>
        <v>2</v>
      </c>
      <c r="F2791" s="300">
        <v>1.0</v>
      </c>
      <c r="G2791" s="300">
        <v>1.0</v>
      </c>
      <c r="H2791" s="300">
        <v>1.0</v>
      </c>
      <c r="I2791" s="300">
        <v>1.0</v>
      </c>
      <c r="J2791" s="300">
        <v>1.0</v>
      </c>
      <c r="K2791" s="300">
        <v>1.0</v>
      </c>
      <c r="L2791" s="300">
        <v>1.0</v>
      </c>
      <c r="M2791" s="300">
        <v>1.0</v>
      </c>
      <c r="N2791" s="300">
        <v>8.0</v>
      </c>
      <c r="O2791" s="300" t="s">
        <v>927</v>
      </c>
      <c r="P2791" s="300">
        <v>4.0</v>
      </c>
    </row>
    <row r="2792">
      <c r="A2792">
        <f>IFERROR(__xludf.DUMMYFUNCTION("""COMPUTED_VALUE"""),10.0)</f>
        <v>10</v>
      </c>
      <c r="B2792" s="406">
        <f>IFERROR(__xludf.DUMMYFUNCTION("""COMPUTED_VALUE"""),28112.0)</f>
        <v>28112</v>
      </c>
      <c r="C2792" t="str">
        <f>IFERROR(__xludf.DUMMYFUNCTION("""COMPUTED_VALUE"""),"VELASQUEZ OCHOA, MIGUEL")</f>
        <v>VELASQUEZ OCHOA, MIGUEL</v>
      </c>
      <c r="D2792" t="str">
        <f>IFERROR(__xludf.DUMMYFUNCTION("""COMPUTED_VALUE"""),"AP Human Geography")</f>
        <v>AP Human Geography</v>
      </c>
      <c r="E2792" s="3">
        <f>IFERROR(__xludf.DUMMYFUNCTION("""COMPUTED_VALUE"""),4.0)</f>
        <v>4</v>
      </c>
      <c r="F2792" s="300">
        <v>1.0</v>
      </c>
      <c r="G2792" s="300">
        <v>1.0</v>
      </c>
      <c r="H2792" s="300">
        <v>1.0</v>
      </c>
      <c r="I2792" s="300">
        <v>1.0</v>
      </c>
      <c r="J2792" s="300">
        <v>1.0</v>
      </c>
      <c r="K2792" s="300">
        <v>1.0</v>
      </c>
      <c r="L2792" s="300">
        <v>1.0</v>
      </c>
      <c r="M2792" s="300">
        <v>1.0</v>
      </c>
      <c r="N2792" s="300">
        <v>8.0</v>
      </c>
      <c r="O2792" s="300" t="s">
        <v>930</v>
      </c>
      <c r="P2792" s="300">
        <v>4.0</v>
      </c>
    </row>
    <row r="2793">
      <c r="A2793">
        <f>IFERROR(__xludf.DUMMYFUNCTION("""COMPUTED_VALUE"""),10.0)</f>
        <v>10</v>
      </c>
      <c r="B2793" s="406">
        <f>IFERROR(__xludf.DUMMYFUNCTION("""COMPUTED_VALUE"""),28156.0)</f>
        <v>28156</v>
      </c>
      <c r="C2793" t="str">
        <f>IFERROR(__xludf.DUMMYFUNCTION("""COMPUTED_VALUE"""),"URIBE CERON, SIMON")</f>
        <v>URIBE CERON, SIMON</v>
      </c>
      <c r="D2793" t="str">
        <f>IFERROR(__xludf.DUMMYFUNCTION("""COMPUTED_VALUE"""),"AP Human Geography")</f>
        <v>AP Human Geography</v>
      </c>
      <c r="E2793" s="3">
        <f>IFERROR(__xludf.DUMMYFUNCTION("""COMPUTED_VALUE"""),6.0)</f>
        <v>6</v>
      </c>
      <c r="F2793" s="300">
        <v>1.0</v>
      </c>
      <c r="G2793" s="300">
        <v>1.0</v>
      </c>
      <c r="H2793" s="300">
        <v>1.0</v>
      </c>
      <c r="I2793" s="300">
        <v>1.0</v>
      </c>
      <c r="J2793" s="300">
        <v>1.0</v>
      </c>
      <c r="K2793" s="300">
        <v>1.0</v>
      </c>
      <c r="L2793" s="300">
        <v>1.0</v>
      </c>
      <c r="M2793" s="300">
        <v>1.0</v>
      </c>
      <c r="N2793" s="300">
        <v>8.0</v>
      </c>
      <c r="O2793" s="300" t="s">
        <v>931</v>
      </c>
      <c r="P2793" s="300">
        <v>4.0</v>
      </c>
    </row>
    <row r="2794">
      <c r="A2794">
        <f>IFERROR(__xludf.DUMMYFUNCTION("""COMPUTED_VALUE"""),10.0)</f>
        <v>10</v>
      </c>
      <c r="B2794" s="406">
        <f>IFERROR(__xludf.DUMMYFUNCTION("""COMPUTED_VALUE"""),27009.0)</f>
        <v>27009</v>
      </c>
      <c r="C2794" t="str">
        <f>IFERROR(__xludf.DUMMYFUNCTION("""COMPUTED_VALUE"""),"ARBELAEZ VELASQUEZ, ANTONIO")</f>
        <v>ARBELAEZ VELASQUEZ, ANTONIO</v>
      </c>
      <c r="D2794" t="str">
        <f>IFERROR(__xludf.DUMMYFUNCTION("""COMPUTED_VALUE"""),"AP Human Geography")</f>
        <v>AP Human Geography</v>
      </c>
      <c r="E2794" s="3">
        <f>IFERROR(__xludf.DUMMYFUNCTION("""COMPUTED_VALUE"""),3.0)</f>
        <v>3</v>
      </c>
      <c r="F2794" s="300">
        <v>1.0</v>
      </c>
      <c r="G2794" s="300">
        <v>1.0</v>
      </c>
      <c r="H2794" s="300">
        <v>1.0</v>
      </c>
      <c r="I2794" s="300">
        <v>1.0</v>
      </c>
      <c r="J2794" s="300">
        <v>1.0</v>
      </c>
      <c r="K2794" s="300">
        <v>1.0</v>
      </c>
      <c r="L2794" s="300">
        <v>1.0</v>
      </c>
      <c r="M2794" s="300">
        <v>1.0</v>
      </c>
      <c r="N2794" s="300">
        <v>8.0</v>
      </c>
      <c r="O2794" s="300" t="s">
        <v>926</v>
      </c>
      <c r="P2794" s="300">
        <v>4.0</v>
      </c>
    </row>
    <row r="2795">
      <c r="A2795">
        <f>IFERROR(__xludf.DUMMYFUNCTION("""COMPUTED_VALUE"""),10.0)</f>
        <v>10</v>
      </c>
      <c r="B2795" s="406">
        <f>IFERROR(__xludf.DUMMYFUNCTION("""COMPUTED_VALUE"""),28079.0)</f>
        <v>28079</v>
      </c>
      <c r="C2795" t="str">
        <f>IFERROR(__xludf.DUMMYFUNCTION("""COMPUTED_VALUE"""),"OSPINA RESTREPO, INES")</f>
        <v>OSPINA RESTREPO, INES</v>
      </c>
      <c r="D2795" t="str">
        <f>IFERROR(__xludf.DUMMYFUNCTION("""COMPUTED_VALUE"""),"Global")</f>
        <v>Global</v>
      </c>
      <c r="E2795" s="3">
        <f>IFERROR(__xludf.DUMMYFUNCTION("""COMPUTED_VALUE"""),7.0)</f>
        <v>7</v>
      </c>
      <c r="F2795" s="300">
        <v>1.0</v>
      </c>
      <c r="G2795" s="300">
        <v>1.0</v>
      </c>
      <c r="H2795" s="300">
        <v>1.0</v>
      </c>
      <c r="I2795" s="300">
        <v>1.0</v>
      </c>
      <c r="J2795" s="300">
        <v>1.0</v>
      </c>
      <c r="K2795" s="300">
        <v>1.0</v>
      </c>
      <c r="L2795" s="300">
        <v>1.0</v>
      </c>
      <c r="M2795" s="300">
        <v>1.0</v>
      </c>
      <c r="N2795" s="300">
        <v>8.0</v>
      </c>
      <c r="O2795" s="300" t="s">
        <v>929</v>
      </c>
      <c r="P2795" s="300">
        <v>3.0</v>
      </c>
    </row>
    <row r="2796">
      <c r="A2796">
        <f>IFERROR(__xludf.DUMMYFUNCTION("""COMPUTED_VALUE"""),10.0)</f>
        <v>10</v>
      </c>
      <c r="B2796" s="406">
        <f>IFERROR(__xludf.DUMMYFUNCTION("""COMPUTED_VALUE"""),28062.0)</f>
        <v>28062</v>
      </c>
      <c r="C2796" t="str">
        <f>IFERROR(__xludf.DUMMYFUNCTION("""COMPUTED_VALUE"""),"MEJIA DUQUE, JERONIMO")</f>
        <v>MEJIA DUQUE, JERONIMO</v>
      </c>
      <c r="D2796" t="str">
        <f>IFERROR(__xludf.DUMMYFUNCTION("""COMPUTED_VALUE"""),"AP Human Geography")</f>
        <v>AP Human Geography</v>
      </c>
      <c r="E2796" s="3">
        <f>IFERROR(__xludf.DUMMYFUNCTION("""COMPUTED_VALUE"""),3.0)</f>
        <v>3</v>
      </c>
      <c r="F2796" s="300">
        <v>1.0</v>
      </c>
      <c r="G2796" s="300">
        <v>1.0</v>
      </c>
      <c r="H2796" s="300">
        <v>1.0</v>
      </c>
      <c r="I2796" s="300">
        <v>1.0</v>
      </c>
      <c r="J2796" s="300">
        <v>1.0</v>
      </c>
      <c r="K2796" s="300">
        <v>1.0</v>
      </c>
      <c r="L2796" s="300">
        <v>1.0</v>
      </c>
      <c r="M2796" s="300">
        <v>1.0</v>
      </c>
      <c r="N2796" s="300">
        <v>8.0</v>
      </c>
      <c r="O2796" s="300" t="s">
        <v>926</v>
      </c>
      <c r="P2796" s="300">
        <v>4.0</v>
      </c>
    </row>
    <row r="2797">
      <c r="A2797">
        <f>IFERROR(__xludf.DUMMYFUNCTION("""COMPUTED_VALUE"""),10.0)</f>
        <v>10</v>
      </c>
      <c r="B2797" s="406">
        <f>IFERROR(__xludf.DUMMYFUNCTION("""COMPUTED_VALUE"""),28118.0)</f>
        <v>28118</v>
      </c>
      <c r="C2797" t="str">
        <f>IFERROR(__xludf.DUMMYFUNCTION("""COMPUTED_VALUE"""),"VILLEGAS LONDOÑO, VIOLETA")</f>
        <v>VILLEGAS LONDOÑO, VIOLETA</v>
      </c>
      <c r="D2797" t="str">
        <f>IFERROR(__xludf.DUMMYFUNCTION("""COMPUTED_VALUE"""),"AP Human Geography")</f>
        <v>AP Human Geography</v>
      </c>
      <c r="E2797" s="3">
        <f>IFERROR(__xludf.DUMMYFUNCTION("""COMPUTED_VALUE"""),4.0)</f>
        <v>4</v>
      </c>
      <c r="F2797" s="300">
        <v>1.0</v>
      </c>
      <c r="G2797" s="300">
        <v>1.0</v>
      </c>
      <c r="H2797" s="300">
        <v>1.0</v>
      </c>
      <c r="I2797" s="300">
        <v>1.0</v>
      </c>
      <c r="J2797" s="300">
        <v>1.0</v>
      </c>
      <c r="K2797" s="300">
        <v>1.0</v>
      </c>
      <c r="L2797" s="300">
        <v>1.0</v>
      </c>
      <c r="M2797" s="300">
        <v>1.0</v>
      </c>
      <c r="N2797" s="300">
        <v>8.0</v>
      </c>
      <c r="O2797" s="300" t="s">
        <v>930</v>
      </c>
      <c r="P2797" s="300">
        <v>4.0</v>
      </c>
    </row>
    <row r="2798">
      <c r="A2798">
        <f>IFERROR(__xludf.DUMMYFUNCTION("""COMPUTED_VALUE"""),10.0)</f>
        <v>10</v>
      </c>
      <c r="B2798" s="406">
        <f>IFERROR(__xludf.DUMMYFUNCTION("""COMPUTED_VALUE"""),28030.0)</f>
        <v>28030</v>
      </c>
      <c r="C2798" t="str">
        <f>IFERROR(__xludf.DUMMYFUNCTION("""COMPUTED_VALUE"""),"FRANCO USUGA, MARIA JOSE")</f>
        <v>FRANCO USUGA, MARIA JOSE</v>
      </c>
      <c r="D2798" t="str">
        <f>IFERROR(__xludf.DUMMYFUNCTION("""COMPUTED_VALUE"""),"AP Human Geography")</f>
        <v>AP Human Geography</v>
      </c>
      <c r="E2798" s="3">
        <f>IFERROR(__xludf.DUMMYFUNCTION("""COMPUTED_VALUE"""),6.0)</f>
        <v>6</v>
      </c>
      <c r="F2798" s="300">
        <v>1.0</v>
      </c>
      <c r="G2798" s="300">
        <v>1.0</v>
      </c>
      <c r="H2798" s="300">
        <v>1.0</v>
      </c>
      <c r="I2798" s="300">
        <v>1.0</v>
      </c>
      <c r="J2798" s="300">
        <v>1.0</v>
      </c>
      <c r="K2798" s="300">
        <v>1.0</v>
      </c>
      <c r="L2798" s="300">
        <v>1.0</v>
      </c>
      <c r="M2798" s="300">
        <v>1.0</v>
      </c>
      <c r="N2798" s="300">
        <v>8.0</v>
      </c>
      <c r="O2798" s="300" t="s">
        <v>931</v>
      </c>
      <c r="P2798" s="300">
        <v>4.0</v>
      </c>
    </row>
    <row r="2799">
      <c r="A2799">
        <f>IFERROR(__xludf.DUMMYFUNCTION("""COMPUTED_VALUE"""),10.0)</f>
        <v>10</v>
      </c>
      <c r="B2799" s="406">
        <f>IFERROR(__xludf.DUMMYFUNCTION("""COMPUTED_VALUE"""),28107.0)</f>
        <v>28107</v>
      </c>
      <c r="C2799" t="str">
        <f>IFERROR(__xludf.DUMMYFUNCTION("""COMPUTED_VALUE"""),"TORO PEREZ, AMALIA")</f>
        <v>TORO PEREZ, AMALIA</v>
      </c>
      <c r="D2799" t="str">
        <f>IFERROR(__xludf.DUMMYFUNCTION("""COMPUTED_VALUE"""),"Global")</f>
        <v>Global</v>
      </c>
      <c r="E2799" s="3">
        <f>IFERROR(__xludf.DUMMYFUNCTION("""COMPUTED_VALUE"""),4.0)</f>
        <v>4</v>
      </c>
      <c r="F2799" s="300">
        <v>1.0</v>
      </c>
      <c r="G2799" s="300">
        <v>1.0</v>
      </c>
      <c r="H2799" s="300">
        <v>1.0</v>
      </c>
      <c r="I2799" s="300">
        <v>1.0</v>
      </c>
      <c r="J2799" s="300">
        <v>1.0</v>
      </c>
      <c r="K2799" s="300">
        <v>1.0</v>
      </c>
      <c r="L2799" s="300">
        <v>1.0</v>
      </c>
      <c r="M2799" s="300">
        <v>1.0</v>
      </c>
      <c r="N2799" s="300">
        <v>8.0</v>
      </c>
      <c r="O2799" s="300" t="s">
        <v>928</v>
      </c>
      <c r="P2799" s="300">
        <v>3.0</v>
      </c>
    </row>
    <row r="2800">
      <c r="A2800">
        <f>IFERROR(__xludf.DUMMYFUNCTION("""COMPUTED_VALUE"""),10.0)</f>
        <v>10</v>
      </c>
      <c r="B2800" s="406">
        <f>IFERROR(__xludf.DUMMYFUNCTION("""COMPUTED_VALUE"""),27057.0)</f>
        <v>27057</v>
      </c>
      <c r="C2800" t="str">
        <f>IFERROR(__xludf.DUMMYFUNCTION("""COMPUTED_VALUE"""),"LAVERDE GIRALDO, MAXIMILIANO")</f>
        <v>LAVERDE GIRALDO, MAXIMILIANO</v>
      </c>
      <c r="D2800" t="str">
        <f>IFERROR(__xludf.DUMMYFUNCTION("""COMPUTED_VALUE"""),"Global")</f>
        <v>Global</v>
      </c>
      <c r="E2800" s="3">
        <f>IFERROR(__xludf.DUMMYFUNCTION("""COMPUTED_VALUE"""),2.0)</f>
        <v>2</v>
      </c>
      <c r="F2800" s="300">
        <v>1.0</v>
      </c>
      <c r="G2800" s="300">
        <v>1.0</v>
      </c>
      <c r="H2800" s="300">
        <v>1.0</v>
      </c>
      <c r="I2800" s="300">
        <v>1.0</v>
      </c>
      <c r="J2800" s="300">
        <v>1.0</v>
      </c>
      <c r="K2800" s="300">
        <v>1.0</v>
      </c>
      <c r="L2800" s="300">
        <v>1.0</v>
      </c>
      <c r="M2800" s="300">
        <v>1.0</v>
      </c>
      <c r="N2800" s="300">
        <v>8.0</v>
      </c>
      <c r="O2800" s="300" t="s">
        <v>932</v>
      </c>
      <c r="P2800" s="300">
        <v>3.0</v>
      </c>
    </row>
    <row r="2801">
      <c r="A2801">
        <f>IFERROR(__xludf.DUMMYFUNCTION("""COMPUTED_VALUE"""),10.0)</f>
        <v>10</v>
      </c>
      <c r="B2801" s="406">
        <f>IFERROR(__xludf.DUMMYFUNCTION("""COMPUTED_VALUE"""),28169.0)</f>
        <v>28169</v>
      </c>
      <c r="C2801" t="str">
        <f>IFERROR(__xludf.DUMMYFUNCTION("""COMPUTED_VALUE"""),"BOTERO SPERA, ROSA")</f>
        <v>BOTERO SPERA, ROSA</v>
      </c>
      <c r="D2801" t="str">
        <f>IFERROR(__xludf.DUMMYFUNCTION("""COMPUTED_VALUE"""),"AP Human Geography")</f>
        <v>AP Human Geography</v>
      </c>
      <c r="E2801" s="3">
        <f>IFERROR(__xludf.DUMMYFUNCTION("""COMPUTED_VALUE"""),6.0)</f>
        <v>6</v>
      </c>
      <c r="F2801" s="300">
        <v>1.0</v>
      </c>
      <c r="G2801" s="300">
        <v>1.0</v>
      </c>
      <c r="H2801" s="300">
        <v>1.0</v>
      </c>
      <c r="I2801" s="300">
        <v>1.0</v>
      </c>
      <c r="J2801" s="300">
        <v>1.0</v>
      </c>
      <c r="K2801" s="300">
        <v>1.0</v>
      </c>
      <c r="L2801" s="300">
        <v>1.0</v>
      </c>
      <c r="M2801" s="300">
        <v>1.0</v>
      </c>
      <c r="N2801" s="300">
        <v>8.0</v>
      </c>
      <c r="O2801" s="300" t="s">
        <v>931</v>
      </c>
      <c r="P2801" s="300">
        <v>4.0</v>
      </c>
    </row>
    <row r="2802">
      <c r="A2802">
        <f>IFERROR(__xludf.DUMMYFUNCTION("""COMPUTED_VALUE"""),10.0)</f>
        <v>10</v>
      </c>
      <c r="B2802" s="406">
        <f>IFERROR(__xludf.DUMMYFUNCTION("""COMPUTED_VALUE"""),28015.0)</f>
        <v>28015</v>
      </c>
      <c r="C2802" t="str">
        <f>IFERROR(__xludf.DUMMYFUNCTION("""COMPUTED_VALUE"""),"BOTERO BOTERO, EULALIA")</f>
        <v>BOTERO BOTERO, EULALIA</v>
      </c>
      <c r="D2802" t="str">
        <f>IFERROR(__xludf.DUMMYFUNCTION("""COMPUTED_VALUE"""),"Global")</f>
        <v>Global</v>
      </c>
      <c r="E2802" s="3">
        <f>IFERROR(__xludf.DUMMYFUNCTION("""COMPUTED_VALUE"""),2.0)</f>
        <v>2</v>
      </c>
      <c r="F2802" s="300">
        <v>1.0</v>
      </c>
      <c r="G2802" s="300">
        <v>1.0</v>
      </c>
      <c r="H2802" s="300">
        <v>1.0</v>
      </c>
      <c r="I2802" s="300">
        <v>1.0</v>
      </c>
      <c r="J2802" s="300">
        <v>1.0</v>
      </c>
      <c r="K2802" s="300">
        <v>1.0</v>
      </c>
      <c r="L2802" s="300">
        <v>1.0</v>
      </c>
      <c r="M2802" s="300">
        <v>1.0</v>
      </c>
      <c r="N2802" s="300">
        <v>8.0</v>
      </c>
      <c r="O2802" s="300" t="s">
        <v>932</v>
      </c>
      <c r="P2802" s="300">
        <v>3.0</v>
      </c>
    </row>
    <row r="2803">
      <c r="A2803">
        <f>IFERROR(__xludf.DUMMYFUNCTION("""COMPUTED_VALUE"""),10.0)</f>
        <v>10</v>
      </c>
      <c r="B2803" s="406">
        <f>IFERROR(__xludf.DUMMYFUNCTION("""COMPUTED_VALUE"""),28057.0)</f>
        <v>28057</v>
      </c>
      <c r="C2803" t="str">
        <f>IFERROR(__xludf.DUMMYFUNCTION("""COMPUTED_VALUE"""),"MARTINEZ AGUILAR, AMELIA")</f>
        <v>MARTINEZ AGUILAR, AMELIA</v>
      </c>
      <c r="D2803" t="str">
        <f>IFERROR(__xludf.DUMMYFUNCTION("""COMPUTED_VALUE"""),"AP Human Geography")</f>
        <v>AP Human Geography</v>
      </c>
      <c r="E2803" s="3">
        <f>IFERROR(__xludf.DUMMYFUNCTION("""COMPUTED_VALUE"""),2.0)</f>
        <v>2</v>
      </c>
      <c r="F2803" s="300">
        <v>1.0</v>
      </c>
      <c r="G2803" s="300">
        <v>1.0</v>
      </c>
      <c r="H2803" s="300">
        <v>1.0</v>
      </c>
      <c r="I2803" s="300">
        <v>1.0</v>
      </c>
      <c r="J2803" s="300">
        <v>1.0</v>
      </c>
      <c r="K2803" s="300">
        <v>1.0</v>
      </c>
      <c r="L2803" s="300">
        <v>1.0</v>
      </c>
      <c r="M2803" s="300">
        <v>1.0</v>
      </c>
      <c r="N2803" s="300">
        <v>8.0</v>
      </c>
      <c r="O2803" s="300" t="s">
        <v>927</v>
      </c>
      <c r="P2803" s="300">
        <v>4.0</v>
      </c>
    </row>
    <row r="2804">
      <c r="A2804">
        <f>IFERROR(__xludf.DUMMYFUNCTION("""COMPUTED_VALUE"""),10.0)</f>
        <v>10</v>
      </c>
      <c r="B2804" s="406">
        <f>IFERROR(__xludf.DUMMYFUNCTION("""COMPUTED_VALUE"""),28135.0)</f>
        <v>28135</v>
      </c>
      <c r="C2804" t="str">
        <f>IFERROR(__xludf.DUMMYFUNCTION("""COMPUTED_VALUE"""),"VELEZ RESTREPO, EMILIA")</f>
        <v>VELEZ RESTREPO, EMILIA</v>
      </c>
      <c r="D2804" t="str">
        <f>IFERROR(__xludf.DUMMYFUNCTION("""COMPUTED_VALUE"""),"AP Human Geography")</f>
        <v>AP Human Geography</v>
      </c>
      <c r="E2804" s="3">
        <f>IFERROR(__xludf.DUMMYFUNCTION("""COMPUTED_VALUE"""),2.0)</f>
        <v>2</v>
      </c>
      <c r="F2804" s="300">
        <v>1.0</v>
      </c>
      <c r="G2804" s="300">
        <v>1.0</v>
      </c>
      <c r="H2804" s="300">
        <v>1.0</v>
      </c>
      <c r="I2804" s="300">
        <v>1.0</v>
      </c>
      <c r="J2804" s="300">
        <v>1.0</v>
      </c>
      <c r="K2804" s="300">
        <v>1.0</v>
      </c>
      <c r="L2804" s="300">
        <v>1.0</v>
      </c>
      <c r="M2804" s="300">
        <v>1.0</v>
      </c>
      <c r="N2804" s="300">
        <v>8.0</v>
      </c>
      <c r="O2804" s="300" t="s">
        <v>927</v>
      </c>
      <c r="P2804" s="300">
        <v>4.0</v>
      </c>
    </row>
    <row r="2805">
      <c r="A2805">
        <f>IFERROR(__xludf.DUMMYFUNCTION("""COMPUTED_VALUE"""),10.0)</f>
        <v>10</v>
      </c>
      <c r="B2805" s="406">
        <f>IFERROR(__xludf.DUMMYFUNCTION("""COMPUTED_VALUE"""),28137.0)</f>
        <v>28137</v>
      </c>
      <c r="C2805" t="str">
        <f>IFERROR(__xludf.DUMMYFUNCTION("""COMPUTED_VALUE"""),"JARAMILLO PEÑA, PAULA ANDREA")</f>
        <v>JARAMILLO PEÑA, PAULA ANDREA</v>
      </c>
      <c r="D2805" t="str">
        <f>IFERROR(__xludf.DUMMYFUNCTION("""COMPUTED_VALUE"""),"Global")</f>
        <v>Global</v>
      </c>
      <c r="E2805" s="3">
        <f>IFERROR(__xludf.DUMMYFUNCTION("""COMPUTED_VALUE"""),2.0)</f>
        <v>2</v>
      </c>
      <c r="F2805" s="300">
        <v>1.0</v>
      </c>
      <c r="G2805" s="300">
        <v>1.0</v>
      </c>
      <c r="H2805" s="300">
        <v>1.0</v>
      </c>
      <c r="I2805" s="300">
        <v>1.0</v>
      </c>
      <c r="J2805" s="300">
        <v>1.0</v>
      </c>
      <c r="K2805" s="300">
        <v>1.0</v>
      </c>
      <c r="L2805" s="300">
        <v>1.0</v>
      </c>
      <c r="M2805" s="300">
        <v>1.0</v>
      </c>
      <c r="N2805" s="300">
        <v>8.0</v>
      </c>
      <c r="O2805" s="300" t="s">
        <v>932</v>
      </c>
      <c r="P2805" s="300">
        <v>3.0</v>
      </c>
    </row>
    <row r="2806">
      <c r="A2806">
        <f>IFERROR(__xludf.DUMMYFUNCTION("""COMPUTED_VALUE"""),10.0)</f>
        <v>10</v>
      </c>
      <c r="B2806" s="406">
        <f>IFERROR(__xludf.DUMMYFUNCTION("""COMPUTED_VALUE"""),28028.0)</f>
        <v>28028</v>
      </c>
      <c r="C2806" t="str">
        <f>IFERROR(__xludf.DUMMYFUNCTION("""COMPUTED_VALUE"""),"FERRER ESCOBAR, JUAN MARTIN")</f>
        <v>FERRER ESCOBAR, JUAN MARTIN</v>
      </c>
      <c r="D2806" t="str">
        <f>IFERROR(__xludf.DUMMYFUNCTION("""COMPUTED_VALUE"""),"Global")</f>
        <v>Global</v>
      </c>
      <c r="E2806" s="3">
        <f>IFERROR(__xludf.DUMMYFUNCTION("""COMPUTED_VALUE"""),4.0)</f>
        <v>4</v>
      </c>
      <c r="F2806" s="300">
        <v>1.0</v>
      </c>
      <c r="G2806" s="300">
        <v>1.0</v>
      </c>
      <c r="H2806" s="300">
        <v>1.0</v>
      </c>
      <c r="I2806" s="300">
        <v>1.0</v>
      </c>
      <c r="J2806" s="300">
        <v>1.0</v>
      </c>
      <c r="K2806" s="300">
        <v>1.0</v>
      </c>
      <c r="L2806" s="300">
        <v>1.0</v>
      </c>
      <c r="M2806" s="300">
        <v>1.0</v>
      </c>
      <c r="N2806" s="300">
        <v>8.0</v>
      </c>
      <c r="O2806" s="300" t="s">
        <v>928</v>
      </c>
      <c r="P2806" s="300">
        <v>3.0</v>
      </c>
    </row>
    <row r="2807">
      <c r="A2807">
        <f>IFERROR(__xludf.DUMMYFUNCTION("""COMPUTED_VALUE"""),10.0)</f>
        <v>10</v>
      </c>
      <c r="B2807" s="406">
        <f>IFERROR(__xludf.DUMMYFUNCTION("""COMPUTED_VALUE"""),28014.0)</f>
        <v>28014</v>
      </c>
      <c r="C2807" t="str">
        <f>IFERROR(__xludf.DUMMYFUNCTION("""COMPUTED_VALUE"""),"BETANCUR VILLEGAS, MIGUEL")</f>
        <v>BETANCUR VILLEGAS, MIGUEL</v>
      </c>
      <c r="D2807" t="str">
        <f>IFERROR(__xludf.DUMMYFUNCTION("""COMPUTED_VALUE"""),"AP Human Geography")</f>
        <v>AP Human Geography</v>
      </c>
      <c r="E2807" s="3">
        <f>IFERROR(__xludf.DUMMYFUNCTION("""COMPUTED_VALUE"""),4.0)</f>
        <v>4</v>
      </c>
      <c r="F2807" s="300">
        <v>1.0</v>
      </c>
      <c r="G2807" s="300">
        <v>1.0</v>
      </c>
      <c r="H2807" s="300">
        <v>1.0</v>
      </c>
      <c r="I2807" s="300">
        <v>1.0</v>
      </c>
      <c r="J2807" s="300">
        <v>1.0</v>
      </c>
      <c r="K2807" s="300">
        <v>1.0</v>
      </c>
      <c r="L2807" s="300">
        <v>1.0</v>
      </c>
      <c r="M2807" s="300">
        <v>1.0</v>
      </c>
      <c r="N2807" s="300">
        <v>8.0</v>
      </c>
      <c r="O2807" s="300" t="s">
        <v>930</v>
      </c>
      <c r="P2807" s="300">
        <v>4.0</v>
      </c>
    </row>
    <row r="2808">
      <c r="A2808">
        <f>IFERROR(__xludf.DUMMYFUNCTION("""COMPUTED_VALUE"""),10.0)</f>
        <v>10</v>
      </c>
      <c r="B2808" s="406">
        <f>IFERROR(__xludf.DUMMYFUNCTION("""COMPUTED_VALUE"""),28075.0)</f>
        <v>28075</v>
      </c>
      <c r="C2808" t="str">
        <f>IFERROR(__xludf.DUMMYFUNCTION("""COMPUTED_VALUE"""),"OCHOA HURTADO, ELENA")</f>
        <v>OCHOA HURTADO, ELENA</v>
      </c>
      <c r="D2808" t="str">
        <f>IFERROR(__xludf.DUMMYFUNCTION("""COMPUTED_VALUE"""),"AP Human Geography")</f>
        <v>AP Human Geography</v>
      </c>
      <c r="E2808" s="3">
        <f>IFERROR(__xludf.DUMMYFUNCTION("""COMPUTED_VALUE"""),6.0)</f>
        <v>6</v>
      </c>
      <c r="F2808" s="300">
        <v>1.0</v>
      </c>
      <c r="G2808" s="300">
        <v>1.0</v>
      </c>
      <c r="H2808" s="300">
        <v>1.0</v>
      </c>
      <c r="I2808" s="300">
        <v>1.0</v>
      </c>
      <c r="J2808" s="300">
        <v>1.0</v>
      </c>
      <c r="K2808" s="300">
        <v>1.0</v>
      </c>
      <c r="L2808" s="300">
        <v>1.0</v>
      </c>
      <c r="M2808" s="300">
        <v>1.0</v>
      </c>
      <c r="N2808" s="300">
        <v>8.0</v>
      </c>
      <c r="O2808" s="300" t="s">
        <v>931</v>
      </c>
      <c r="P2808" s="300">
        <v>4.0</v>
      </c>
    </row>
    <row r="2809">
      <c r="A2809">
        <f>IFERROR(__xludf.DUMMYFUNCTION("""COMPUTED_VALUE"""),10.0)</f>
        <v>10</v>
      </c>
      <c r="B2809" s="406">
        <f>IFERROR(__xludf.DUMMYFUNCTION("""COMPUTED_VALUE"""),28165.0)</f>
        <v>28165</v>
      </c>
      <c r="C2809" t="str">
        <f>IFERROR(__xludf.DUMMYFUNCTION("""COMPUTED_VALUE"""),"ARANA CARREÑO, MARIA ANTONIA")</f>
        <v>ARANA CARREÑO, MARIA ANTONIA</v>
      </c>
      <c r="D2809" t="str">
        <f>IFERROR(__xludf.DUMMYFUNCTION("""COMPUTED_VALUE"""),"Global")</f>
        <v>Global</v>
      </c>
      <c r="E2809" s="3">
        <f>IFERROR(__xludf.DUMMYFUNCTION("""COMPUTED_VALUE"""),2.0)</f>
        <v>2</v>
      </c>
      <c r="F2809" s="300">
        <v>1.0</v>
      </c>
      <c r="G2809" s="300">
        <v>1.0</v>
      </c>
      <c r="H2809" s="300">
        <v>1.0</v>
      </c>
      <c r="I2809" s="300">
        <v>1.0</v>
      </c>
      <c r="J2809" s="300">
        <v>1.0</v>
      </c>
      <c r="K2809" s="300">
        <v>1.0</v>
      </c>
      <c r="L2809" s="300">
        <v>1.0</v>
      </c>
      <c r="M2809" s="300">
        <v>1.0</v>
      </c>
      <c r="N2809" s="300">
        <v>8.0</v>
      </c>
      <c r="O2809" s="300" t="s">
        <v>932</v>
      </c>
      <c r="P2809" s="300">
        <v>3.0</v>
      </c>
    </row>
    <row r="2810">
      <c r="A2810">
        <f>IFERROR(__xludf.DUMMYFUNCTION("""COMPUTED_VALUE"""),10.0)</f>
        <v>10</v>
      </c>
      <c r="B2810" s="406">
        <f>IFERROR(__xludf.DUMMYFUNCTION("""COMPUTED_VALUE"""),28142.0)</f>
        <v>28142</v>
      </c>
      <c r="C2810" t="str">
        <f>IFERROR(__xludf.DUMMYFUNCTION("""COMPUTED_VALUE"""),"BOTERO BETANCOURT, NICOLAS")</f>
        <v>BOTERO BETANCOURT, NICOLAS</v>
      </c>
      <c r="D2810" t="str">
        <f>IFERROR(__xludf.DUMMYFUNCTION("""COMPUTED_VALUE"""),"Global")</f>
        <v>Global</v>
      </c>
      <c r="E2810" s="3">
        <f>IFERROR(__xludf.DUMMYFUNCTION("""COMPUTED_VALUE"""),7.0)</f>
        <v>7</v>
      </c>
      <c r="F2810" s="300">
        <v>1.0</v>
      </c>
      <c r="G2810" s="300">
        <v>1.0</v>
      </c>
      <c r="H2810" s="300">
        <v>1.0</v>
      </c>
      <c r="I2810" s="300">
        <v>1.0</v>
      </c>
      <c r="J2810" s="300">
        <v>1.0</v>
      </c>
      <c r="K2810" s="300">
        <v>1.0</v>
      </c>
      <c r="L2810" s="300">
        <v>1.0</v>
      </c>
      <c r="M2810" s="300">
        <v>1.0</v>
      </c>
      <c r="N2810" s="300">
        <v>8.0</v>
      </c>
      <c r="O2810" s="300" t="s">
        <v>929</v>
      </c>
      <c r="P2810" s="300">
        <v>3.0</v>
      </c>
    </row>
    <row r="2811">
      <c r="A2811">
        <f>IFERROR(__xludf.DUMMYFUNCTION("""COMPUTED_VALUE"""),10.0)</f>
        <v>10</v>
      </c>
      <c r="B2811" s="406">
        <f>IFERROR(__xludf.DUMMYFUNCTION("""COMPUTED_VALUE"""),27008.0)</f>
        <v>27008</v>
      </c>
      <c r="C2811" t="str">
        <f>IFERROR(__xludf.DUMMYFUNCTION("""COMPUTED_VALUE"""),"ARBELAEZ VELASQUEZ, AGUSTIN")</f>
        <v>ARBELAEZ VELASQUEZ, AGUSTIN</v>
      </c>
      <c r="D2811" t="str">
        <f>IFERROR(__xludf.DUMMYFUNCTION("""COMPUTED_VALUE"""),"AP Human Geography")</f>
        <v>AP Human Geography</v>
      </c>
      <c r="E2811" s="3">
        <f>IFERROR(__xludf.DUMMYFUNCTION("""COMPUTED_VALUE"""),6.0)</f>
        <v>6</v>
      </c>
      <c r="F2811" s="300">
        <v>1.0</v>
      </c>
      <c r="G2811" s="300">
        <v>1.0</v>
      </c>
      <c r="H2811" s="300">
        <v>1.0</v>
      </c>
      <c r="I2811" s="300">
        <v>1.0</v>
      </c>
      <c r="J2811" s="300">
        <v>1.0</v>
      </c>
      <c r="K2811" s="300">
        <v>1.0</v>
      </c>
      <c r="L2811" s="300">
        <v>1.0</v>
      </c>
      <c r="M2811" s="300">
        <v>1.0</v>
      </c>
      <c r="N2811" s="300">
        <v>8.0</v>
      </c>
      <c r="O2811" s="300" t="s">
        <v>931</v>
      </c>
      <c r="P2811" s="300">
        <v>4.0</v>
      </c>
    </row>
    <row r="2812">
      <c r="A2812">
        <f>IFERROR(__xludf.DUMMYFUNCTION("""COMPUTED_VALUE"""),10.0)</f>
        <v>10</v>
      </c>
      <c r="B2812" s="406">
        <f>IFERROR(__xludf.DUMMYFUNCTION("""COMPUTED_VALUE"""),28161.0)</f>
        <v>28161</v>
      </c>
      <c r="C2812" t="str">
        <f>IFERROR(__xludf.DUMMYFUNCTION("""COMPUTED_VALUE"""),"GAVIRIA GOMEZ, JUAN ANDRES")</f>
        <v>GAVIRIA GOMEZ, JUAN ANDRES</v>
      </c>
      <c r="D2812" t="str">
        <f>IFERROR(__xludf.DUMMYFUNCTION("""COMPUTED_VALUE"""),"AP Human Geography")</f>
        <v>AP Human Geography</v>
      </c>
      <c r="E2812" s="3">
        <f>IFERROR(__xludf.DUMMYFUNCTION("""COMPUTED_VALUE"""),6.0)</f>
        <v>6</v>
      </c>
      <c r="F2812" s="300">
        <v>1.0</v>
      </c>
      <c r="G2812" s="300">
        <v>1.0</v>
      </c>
      <c r="H2812" s="300">
        <v>1.0</v>
      </c>
      <c r="I2812" s="300">
        <v>1.0</v>
      </c>
      <c r="J2812" s="300">
        <v>1.0</v>
      </c>
      <c r="K2812" s="300">
        <v>1.0</v>
      </c>
      <c r="L2812" s="300">
        <v>1.0</v>
      </c>
      <c r="M2812" s="300">
        <v>1.0</v>
      </c>
      <c r="N2812" s="300">
        <v>8.0</v>
      </c>
      <c r="O2812" s="300" t="s">
        <v>931</v>
      </c>
      <c r="P2812" s="300">
        <v>4.0</v>
      </c>
    </row>
    <row r="2813">
      <c r="A2813">
        <f>IFERROR(__xludf.DUMMYFUNCTION("""COMPUTED_VALUE"""),10.0)</f>
        <v>10</v>
      </c>
      <c r="B2813" s="406">
        <f>IFERROR(__xludf.DUMMYFUNCTION("""COMPUTED_VALUE"""),28040.0)</f>
        <v>28040</v>
      </c>
      <c r="C2813" t="str">
        <f>IFERROR(__xludf.DUMMYFUNCTION("""COMPUTED_VALUE"""),"GONZALEZ MARIN, MANUELA")</f>
        <v>GONZALEZ MARIN, MANUELA</v>
      </c>
      <c r="D2813" t="str">
        <f>IFERROR(__xludf.DUMMYFUNCTION("""COMPUTED_VALUE"""),"AP Human Geography")</f>
        <v>AP Human Geography</v>
      </c>
      <c r="E2813" s="3">
        <f>IFERROR(__xludf.DUMMYFUNCTION("""COMPUTED_VALUE"""),3.0)</f>
        <v>3</v>
      </c>
      <c r="F2813" s="300">
        <v>1.0</v>
      </c>
      <c r="G2813" s="300">
        <v>1.0</v>
      </c>
      <c r="H2813" s="300">
        <v>1.0</v>
      </c>
      <c r="I2813" s="300">
        <v>1.0</v>
      </c>
      <c r="J2813" s="300">
        <v>1.0</v>
      </c>
      <c r="K2813" s="300">
        <v>1.0</v>
      </c>
      <c r="L2813" s="300">
        <v>1.0</v>
      </c>
      <c r="M2813" s="300">
        <v>1.0</v>
      </c>
      <c r="N2813" s="300">
        <v>8.0</v>
      </c>
      <c r="O2813" s="300" t="s">
        <v>926</v>
      </c>
      <c r="P2813" s="300">
        <v>4.0</v>
      </c>
    </row>
    <row r="2814">
      <c r="A2814">
        <f>IFERROR(__xludf.DUMMYFUNCTION("""COMPUTED_VALUE"""),10.0)</f>
        <v>10</v>
      </c>
      <c r="B2814" s="406">
        <f>IFERROR(__xludf.DUMMYFUNCTION("""COMPUTED_VALUE"""),28007.0)</f>
        <v>28007</v>
      </c>
      <c r="C2814" t="str">
        <f>IFERROR(__xludf.DUMMYFUNCTION("""COMPUTED_VALUE"""),"ARISTIZABAL SALAZAR, MIGUEL")</f>
        <v>ARISTIZABAL SALAZAR, MIGUEL</v>
      </c>
      <c r="D2814" t="str">
        <f>IFERROR(__xludf.DUMMYFUNCTION("""COMPUTED_VALUE"""),"Global")</f>
        <v>Global</v>
      </c>
      <c r="E2814" s="3">
        <f>IFERROR(__xludf.DUMMYFUNCTION("""COMPUTED_VALUE"""),7.0)</f>
        <v>7</v>
      </c>
      <c r="F2814" s="300">
        <v>1.0</v>
      </c>
      <c r="G2814" s="300">
        <v>1.0</v>
      </c>
      <c r="H2814" s="300">
        <v>1.0</v>
      </c>
      <c r="I2814" s="300">
        <v>1.0</v>
      </c>
      <c r="J2814" s="300">
        <v>1.0</v>
      </c>
      <c r="K2814" s="300">
        <v>1.0</v>
      </c>
      <c r="L2814" s="300">
        <v>1.0</v>
      </c>
      <c r="M2814" s="300">
        <v>1.0</v>
      </c>
      <c r="N2814" s="300">
        <v>8.0</v>
      </c>
      <c r="O2814" s="300" t="s">
        <v>929</v>
      </c>
      <c r="P2814" s="300">
        <v>3.0</v>
      </c>
    </row>
    <row r="2815">
      <c r="A2815">
        <f>IFERROR(__xludf.DUMMYFUNCTION("""COMPUTED_VALUE"""),10.0)</f>
        <v>10</v>
      </c>
      <c r="B2815" s="406">
        <f>IFERROR(__xludf.DUMMYFUNCTION("""COMPUTED_VALUE"""),28047.0)</f>
        <v>28047</v>
      </c>
      <c r="C2815" t="str">
        <f>IFERROR(__xludf.DUMMYFUNCTION("""COMPUTED_VALUE"""),"ISAZA BETANCUR, CRISTOBAL")</f>
        <v>ISAZA BETANCUR, CRISTOBAL</v>
      </c>
      <c r="D2815" t="str">
        <f>IFERROR(__xludf.DUMMYFUNCTION("""COMPUTED_VALUE"""),"Global")</f>
        <v>Global</v>
      </c>
      <c r="E2815" s="3">
        <f>IFERROR(__xludf.DUMMYFUNCTION("""COMPUTED_VALUE"""),2.0)</f>
        <v>2</v>
      </c>
      <c r="F2815" s="300">
        <v>1.0</v>
      </c>
      <c r="G2815" s="300">
        <v>1.0</v>
      </c>
      <c r="H2815" s="300">
        <v>1.0</v>
      </c>
      <c r="I2815" s="300">
        <v>1.0</v>
      </c>
      <c r="J2815" s="300">
        <v>1.0</v>
      </c>
      <c r="K2815" s="300">
        <v>1.0</v>
      </c>
      <c r="L2815" s="300">
        <v>1.0</v>
      </c>
      <c r="M2815" s="300">
        <v>1.0</v>
      </c>
      <c r="N2815" s="300">
        <v>8.0</v>
      </c>
      <c r="O2815" s="300" t="s">
        <v>932</v>
      </c>
      <c r="P2815" s="300">
        <v>3.0</v>
      </c>
    </row>
    <row r="2816">
      <c r="A2816">
        <f>IFERROR(__xludf.DUMMYFUNCTION("""COMPUTED_VALUE"""),10.0)</f>
        <v>10</v>
      </c>
      <c r="B2816" s="406">
        <f>IFERROR(__xludf.DUMMYFUNCTION("""COMPUTED_VALUE"""),28111.0)</f>
        <v>28111</v>
      </c>
      <c r="C2816" t="str">
        <f>IFERROR(__xludf.DUMMYFUNCTION("""COMPUTED_VALUE"""),"GARCES RIVERA, MATHIAS")</f>
        <v>GARCES RIVERA, MATHIAS</v>
      </c>
      <c r="D2816" t="str">
        <f>IFERROR(__xludf.DUMMYFUNCTION("""COMPUTED_VALUE"""),"AP Human Geography")</f>
        <v>AP Human Geography</v>
      </c>
      <c r="E2816" s="3">
        <f>IFERROR(__xludf.DUMMYFUNCTION("""COMPUTED_VALUE"""),4.0)</f>
        <v>4</v>
      </c>
      <c r="F2816" s="300">
        <v>1.0</v>
      </c>
      <c r="G2816" s="300">
        <v>1.0</v>
      </c>
      <c r="H2816" s="300">
        <v>1.0</v>
      </c>
      <c r="I2816" s="300">
        <v>1.0</v>
      </c>
      <c r="J2816" s="300">
        <v>1.0</v>
      </c>
      <c r="K2816" s="300">
        <v>1.0</v>
      </c>
      <c r="L2816" s="300">
        <v>1.0</v>
      </c>
      <c r="M2816" s="300">
        <v>1.0</v>
      </c>
      <c r="N2816" s="300">
        <v>8.0</v>
      </c>
      <c r="O2816" s="300" t="s">
        <v>930</v>
      </c>
      <c r="P2816" s="300">
        <v>4.0</v>
      </c>
    </row>
    <row r="2817">
      <c r="A2817">
        <f>IFERROR(__xludf.DUMMYFUNCTION("""COMPUTED_VALUE"""),10.0)</f>
        <v>10</v>
      </c>
      <c r="B2817" s="406">
        <f>IFERROR(__xludf.DUMMYFUNCTION("""COMPUTED_VALUE"""),28011.0)</f>
        <v>28011</v>
      </c>
      <c r="C2817" t="str">
        <f>IFERROR(__xludf.DUMMYFUNCTION("""COMPUTED_VALUE"""),"BAQUERO GARCIA, PASCUAL")</f>
        <v>BAQUERO GARCIA, PASCUAL</v>
      </c>
      <c r="D2817" t="str">
        <f>IFERROR(__xludf.DUMMYFUNCTION("""COMPUTED_VALUE"""),"AP Human Geography")</f>
        <v>AP Human Geography</v>
      </c>
      <c r="E2817" s="3">
        <f>IFERROR(__xludf.DUMMYFUNCTION("""COMPUTED_VALUE"""),6.0)</f>
        <v>6</v>
      </c>
      <c r="F2817" s="300">
        <v>1.0</v>
      </c>
      <c r="G2817" s="300">
        <v>1.0</v>
      </c>
      <c r="H2817" s="300">
        <v>1.0</v>
      </c>
      <c r="I2817" s="300">
        <v>1.0</v>
      </c>
      <c r="J2817" s="300">
        <v>1.0</v>
      </c>
      <c r="K2817" s="300">
        <v>1.0</v>
      </c>
      <c r="L2817" s="300">
        <v>1.0</v>
      </c>
      <c r="M2817" s="300">
        <v>1.0</v>
      </c>
      <c r="N2817" s="300">
        <v>8.0</v>
      </c>
      <c r="O2817" s="300" t="s">
        <v>931</v>
      </c>
      <c r="P2817" s="300">
        <v>4.0</v>
      </c>
    </row>
    <row r="2818">
      <c r="A2818">
        <f>IFERROR(__xludf.DUMMYFUNCTION("""COMPUTED_VALUE"""),10.0)</f>
        <v>10</v>
      </c>
      <c r="B2818" s="406">
        <f>IFERROR(__xludf.DUMMYFUNCTION("""COMPUTED_VALUE"""),28115.0)</f>
        <v>28115</v>
      </c>
      <c r="C2818" t="str">
        <f>IFERROR(__xludf.DUMMYFUNCTION("""COMPUTED_VALUE"""),"VELEZ ECHAVARRIA, AMELIA")</f>
        <v>VELEZ ECHAVARRIA, AMELIA</v>
      </c>
      <c r="D2818" t="str">
        <f>IFERROR(__xludf.DUMMYFUNCTION("""COMPUTED_VALUE"""),"Global")</f>
        <v>Global</v>
      </c>
      <c r="E2818" s="3">
        <f>IFERROR(__xludf.DUMMYFUNCTION("""COMPUTED_VALUE"""),7.0)</f>
        <v>7</v>
      </c>
      <c r="F2818" s="300">
        <v>1.0</v>
      </c>
      <c r="G2818" s="300">
        <v>1.0</v>
      </c>
      <c r="H2818" s="300">
        <v>1.0</v>
      </c>
      <c r="I2818" s="300">
        <v>1.0</v>
      </c>
      <c r="J2818" s="300">
        <v>1.0</v>
      </c>
      <c r="K2818" s="300">
        <v>1.0</v>
      </c>
      <c r="L2818" s="300">
        <v>1.0</v>
      </c>
      <c r="M2818" s="300">
        <v>1.0</v>
      </c>
      <c r="N2818" s="300">
        <v>8.0</v>
      </c>
      <c r="O2818" s="300" t="s">
        <v>929</v>
      </c>
      <c r="P2818" s="300">
        <v>3.0</v>
      </c>
    </row>
    <row r="2819">
      <c r="A2819">
        <f>IFERROR(__xludf.DUMMYFUNCTION("""COMPUTED_VALUE"""),10.0)</f>
        <v>10</v>
      </c>
      <c r="B2819" s="406">
        <f>IFERROR(__xludf.DUMMYFUNCTION("""COMPUTED_VALUE"""),28106.0)</f>
        <v>28106</v>
      </c>
      <c r="C2819" t="str">
        <f>IFERROR(__xludf.DUMMYFUNCTION("""COMPUTED_VALUE"""),"TOBON PEÑALOZA, PEDRO")</f>
        <v>TOBON PEÑALOZA, PEDRO</v>
      </c>
      <c r="D2819" t="str">
        <f>IFERROR(__xludf.DUMMYFUNCTION("""COMPUTED_VALUE"""),"Global")</f>
        <v>Global</v>
      </c>
      <c r="E2819" s="3">
        <f>IFERROR(__xludf.DUMMYFUNCTION("""COMPUTED_VALUE"""),4.0)</f>
        <v>4</v>
      </c>
      <c r="F2819" s="300">
        <v>1.0</v>
      </c>
      <c r="G2819" s="300">
        <v>1.0</v>
      </c>
      <c r="H2819" s="300">
        <v>1.0</v>
      </c>
      <c r="I2819" s="300">
        <v>1.0</v>
      </c>
      <c r="J2819" s="300">
        <v>1.0</v>
      </c>
      <c r="K2819" s="300">
        <v>1.0</v>
      </c>
      <c r="L2819" s="300">
        <v>1.0</v>
      </c>
      <c r="M2819" s="300">
        <v>1.0</v>
      </c>
      <c r="N2819" s="300">
        <v>8.0</v>
      </c>
      <c r="O2819" s="300" t="s">
        <v>928</v>
      </c>
      <c r="P2819" s="300">
        <v>3.0</v>
      </c>
    </row>
    <row r="2820">
      <c r="A2820">
        <f>IFERROR(__xludf.DUMMYFUNCTION("""COMPUTED_VALUE"""),10.0)</f>
        <v>10</v>
      </c>
      <c r="B2820" s="406">
        <f>IFERROR(__xludf.DUMMYFUNCTION("""COMPUTED_VALUE"""),28004.0)</f>
        <v>28004</v>
      </c>
      <c r="C2820" t="str">
        <f>IFERROR(__xludf.DUMMYFUNCTION("""COMPUTED_VALUE"""),"ARANGO FERNANDEZ, AGUSTIN")</f>
        <v>ARANGO FERNANDEZ, AGUSTIN</v>
      </c>
      <c r="D2820" t="str">
        <f>IFERROR(__xludf.DUMMYFUNCTION("""COMPUTED_VALUE"""),"Global")</f>
        <v>Global</v>
      </c>
      <c r="E2820" s="3">
        <f>IFERROR(__xludf.DUMMYFUNCTION("""COMPUTED_VALUE"""),2.0)</f>
        <v>2</v>
      </c>
      <c r="F2820" s="300">
        <v>1.0</v>
      </c>
      <c r="G2820" s="300">
        <v>1.0</v>
      </c>
      <c r="H2820" s="300">
        <v>1.0</v>
      </c>
      <c r="I2820" s="300">
        <v>1.0</v>
      </c>
      <c r="J2820" s="300">
        <v>1.0</v>
      </c>
      <c r="K2820" s="300">
        <v>1.0</v>
      </c>
      <c r="L2820" s="300">
        <v>1.0</v>
      </c>
      <c r="M2820" s="300">
        <v>1.0</v>
      </c>
      <c r="N2820" s="300">
        <v>8.0</v>
      </c>
      <c r="O2820" s="300" t="s">
        <v>932</v>
      </c>
      <c r="P2820" s="300">
        <v>3.0</v>
      </c>
    </row>
    <row r="2821">
      <c r="A2821">
        <f>IFERROR(__xludf.DUMMYFUNCTION("""COMPUTED_VALUE"""),10.0)</f>
        <v>10</v>
      </c>
      <c r="B2821" s="406">
        <f>IFERROR(__xludf.DUMMYFUNCTION("""COMPUTED_VALUE"""),28001.0)</f>
        <v>28001</v>
      </c>
      <c r="C2821" t="str">
        <f>IFERROR(__xludf.DUMMYFUNCTION("""COMPUTED_VALUE"""),"ABAD OLARTE, LUCIA")</f>
        <v>ABAD OLARTE, LUCIA</v>
      </c>
      <c r="D2821" t="str">
        <f>IFERROR(__xludf.DUMMYFUNCTION("""COMPUTED_VALUE"""),"Global")</f>
        <v>Global</v>
      </c>
      <c r="E2821" s="3">
        <f>IFERROR(__xludf.DUMMYFUNCTION("""COMPUTED_VALUE"""),7.0)</f>
        <v>7</v>
      </c>
      <c r="F2821" s="300">
        <v>1.0</v>
      </c>
      <c r="G2821" s="300">
        <v>1.0</v>
      </c>
      <c r="H2821" s="300">
        <v>1.0</v>
      </c>
      <c r="I2821" s="300">
        <v>1.0</v>
      </c>
      <c r="J2821" s="300">
        <v>1.0</v>
      </c>
      <c r="K2821" s="300">
        <v>1.0</v>
      </c>
      <c r="L2821" s="300">
        <v>1.0</v>
      </c>
      <c r="M2821" s="300">
        <v>1.0</v>
      </c>
      <c r="N2821" s="300">
        <v>8.0</v>
      </c>
      <c r="O2821" s="300" t="s">
        <v>929</v>
      </c>
      <c r="P2821" s="300">
        <v>3.0</v>
      </c>
    </row>
    <row r="2822">
      <c r="A2822">
        <f>IFERROR(__xludf.DUMMYFUNCTION("""COMPUTED_VALUE"""),10.0)</f>
        <v>10</v>
      </c>
      <c r="B2822" s="406">
        <f>IFERROR(__xludf.DUMMYFUNCTION("""COMPUTED_VALUE"""),28055.0)</f>
        <v>28055</v>
      </c>
      <c r="C2822" t="str">
        <f>IFERROR(__xludf.DUMMYFUNCTION("""COMPUTED_VALUE"""),"JARAMILLO OCHOA, LUCIANA")</f>
        <v>JARAMILLO OCHOA, LUCIANA</v>
      </c>
      <c r="D2822" t="str">
        <f>IFERROR(__xludf.DUMMYFUNCTION("""COMPUTED_VALUE"""),"Global")</f>
        <v>Global</v>
      </c>
      <c r="E2822" s="3">
        <f>IFERROR(__xludf.DUMMYFUNCTION("""COMPUTED_VALUE"""),2.0)</f>
        <v>2</v>
      </c>
      <c r="F2822" s="300">
        <v>1.0</v>
      </c>
      <c r="G2822" s="300">
        <v>1.0</v>
      </c>
      <c r="H2822" s="300">
        <v>1.0</v>
      </c>
      <c r="I2822" s="300">
        <v>1.0</v>
      </c>
      <c r="J2822" s="300">
        <v>1.0</v>
      </c>
      <c r="K2822" s="300">
        <v>1.0</v>
      </c>
      <c r="L2822" s="300">
        <v>1.0</v>
      </c>
      <c r="M2822" s="300">
        <v>1.0</v>
      </c>
      <c r="N2822" s="300">
        <v>8.0</v>
      </c>
      <c r="O2822" s="300" t="s">
        <v>932</v>
      </c>
      <c r="P2822" s="300">
        <v>3.0</v>
      </c>
    </row>
    <row r="2823">
      <c r="A2823">
        <f>IFERROR(__xludf.DUMMYFUNCTION("""COMPUTED_VALUE"""),10.0)</f>
        <v>10</v>
      </c>
      <c r="B2823" s="406">
        <f>IFERROR(__xludf.DUMMYFUNCTION("""COMPUTED_VALUE"""),28009.0)</f>
        <v>28009</v>
      </c>
      <c r="C2823" t="str">
        <f>IFERROR(__xludf.DUMMYFUNCTION("""COMPUTED_VALUE"""),"ARISTIZABAL ZULUAGA, MATILDE")</f>
        <v>ARISTIZABAL ZULUAGA, MATILDE</v>
      </c>
      <c r="D2823" t="str">
        <f>IFERROR(__xludf.DUMMYFUNCTION("""COMPUTED_VALUE"""),"Global")</f>
        <v>Global</v>
      </c>
      <c r="E2823" s="3">
        <f>IFERROR(__xludf.DUMMYFUNCTION("""COMPUTED_VALUE"""),4.0)</f>
        <v>4</v>
      </c>
      <c r="F2823" s="300">
        <v>1.0</v>
      </c>
      <c r="G2823" s="300">
        <v>1.0</v>
      </c>
      <c r="H2823" s="300">
        <v>1.0</v>
      </c>
      <c r="I2823" s="300">
        <v>1.0</v>
      </c>
      <c r="J2823" s="300">
        <v>1.0</v>
      </c>
      <c r="K2823" s="300">
        <v>1.0</v>
      </c>
      <c r="L2823" s="300">
        <v>1.0</v>
      </c>
      <c r="M2823" s="300">
        <v>1.0</v>
      </c>
      <c r="N2823" s="300">
        <v>8.0</v>
      </c>
      <c r="O2823" s="300" t="s">
        <v>928</v>
      </c>
      <c r="P2823" s="300">
        <v>3.0</v>
      </c>
    </row>
    <row r="2824">
      <c r="A2824">
        <f>IFERROR(__xludf.DUMMYFUNCTION("""COMPUTED_VALUE"""),10.0)</f>
        <v>10</v>
      </c>
      <c r="B2824" s="406">
        <f>IFERROR(__xludf.DUMMYFUNCTION("""COMPUTED_VALUE"""),28089.0)</f>
        <v>28089</v>
      </c>
      <c r="C2824" t="str">
        <f>IFERROR(__xludf.DUMMYFUNCTION("""COMPUTED_VALUE"""),"RAMIREZ OSORIO, ELENA")</f>
        <v>RAMIREZ OSORIO, ELENA</v>
      </c>
      <c r="D2824" t="str">
        <f>IFERROR(__xludf.DUMMYFUNCTION("""COMPUTED_VALUE"""),"Global")</f>
        <v>Global</v>
      </c>
      <c r="E2824" s="3">
        <f>IFERROR(__xludf.DUMMYFUNCTION("""COMPUTED_VALUE"""),2.0)</f>
        <v>2</v>
      </c>
      <c r="F2824" s="300">
        <v>1.0</v>
      </c>
      <c r="G2824" s="300">
        <v>1.0</v>
      </c>
      <c r="H2824" s="300">
        <v>1.0</v>
      </c>
      <c r="I2824" s="300">
        <v>1.0</v>
      </c>
      <c r="J2824" s="300">
        <v>1.0</v>
      </c>
      <c r="K2824" s="300">
        <v>1.0</v>
      </c>
      <c r="L2824" s="300">
        <v>1.0</v>
      </c>
      <c r="M2824" s="300">
        <v>1.0</v>
      </c>
      <c r="N2824" s="300">
        <v>8.0</v>
      </c>
      <c r="O2824" s="300" t="s">
        <v>932</v>
      </c>
      <c r="P2824" s="300">
        <v>3.0</v>
      </c>
    </row>
    <row r="2825">
      <c r="A2825">
        <f>IFERROR(__xludf.DUMMYFUNCTION("""COMPUTED_VALUE"""),10.0)</f>
        <v>10</v>
      </c>
      <c r="B2825" s="406">
        <f>IFERROR(__xludf.DUMMYFUNCTION("""COMPUTED_VALUE"""),28072.0)</f>
        <v>28072</v>
      </c>
      <c r="C2825" t="str">
        <f>IFERROR(__xludf.DUMMYFUNCTION("""COMPUTED_VALUE"""),"NAVARRO ISAZA, SOFIA")</f>
        <v>NAVARRO ISAZA, SOFIA</v>
      </c>
      <c r="D2825" t="str">
        <f>IFERROR(__xludf.DUMMYFUNCTION("""COMPUTED_VALUE"""),"Global")</f>
        <v>Global</v>
      </c>
      <c r="E2825" s="3">
        <f>IFERROR(__xludf.DUMMYFUNCTION("""COMPUTED_VALUE"""),7.0)</f>
        <v>7</v>
      </c>
      <c r="F2825" s="300">
        <v>1.0</v>
      </c>
      <c r="G2825" s="300">
        <v>1.0</v>
      </c>
      <c r="H2825" s="300">
        <v>1.0</v>
      </c>
      <c r="I2825" s="300">
        <v>1.0</v>
      </c>
      <c r="J2825" s="300">
        <v>1.0</v>
      </c>
      <c r="K2825" s="300">
        <v>1.0</v>
      </c>
      <c r="L2825" s="300">
        <v>1.0</v>
      </c>
      <c r="M2825" s="300">
        <v>1.0</v>
      </c>
      <c r="N2825" s="300">
        <v>8.0</v>
      </c>
      <c r="O2825" s="300" t="s">
        <v>929</v>
      </c>
      <c r="P2825" s="300">
        <v>3.0</v>
      </c>
    </row>
    <row r="2826">
      <c r="A2826">
        <f>IFERROR(__xludf.DUMMYFUNCTION("""COMPUTED_VALUE"""),10.0)</f>
        <v>10</v>
      </c>
      <c r="B2826" s="406">
        <f>IFERROR(__xludf.DUMMYFUNCTION("""COMPUTED_VALUE"""),28005.0)</f>
        <v>28005</v>
      </c>
      <c r="C2826" t="str">
        <f>IFERROR(__xludf.DUMMYFUNCTION("""COMPUTED_VALUE"""),"ARBELAEZ RODADO, SILVIA")</f>
        <v>ARBELAEZ RODADO, SILVIA</v>
      </c>
      <c r="D2826" t="str">
        <f>IFERROR(__xludf.DUMMYFUNCTION("""COMPUTED_VALUE"""),"AP Human Geography")</f>
        <v>AP Human Geography</v>
      </c>
      <c r="E2826" s="3">
        <f>IFERROR(__xludf.DUMMYFUNCTION("""COMPUTED_VALUE"""),2.0)</f>
        <v>2</v>
      </c>
      <c r="F2826" s="300">
        <v>1.0</v>
      </c>
      <c r="G2826" s="300">
        <v>1.0</v>
      </c>
      <c r="H2826" s="300">
        <v>1.0</v>
      </c>
      <c r="I2826" s="300">
        <v>1.0</v>
      </c>
      <c r="J2826" s="300">
        <v>1.0</v>
      </c>
      <c r="K2826" s="300">
        <v>1.0</v>
      </c>
      <c r="L2826" s="300">
        <v>1.0</v>
      </c>
      <c r="M2826" s="300">
        <v>1.0</v>
      </c>
      <c r="N2826" s="300">
        <v>8.0</v>
      </c>
      <c r="O2826" s="300" t="s">
        <v>927</v>
      </c>
      <c r="P2826" s="300">
        <v>4.0</v>
      </c>
    </row>
    <row r="2827">
      <c r="A2827">
        <f>IFERROR(__xludf.DUMMYFUNCTION("""COMPUTED_VALUE"""),10.0)</f>
        <v>10</v>
      </c>
      <c r="B2827" s="406">
        <f>IFERROR(__xludf.DUMMYFUNCTION("""COMPUTED_VALUE"""),28051.0)</f>
        <v>28051</v>
      </c>
      <c r="C2827" t="str">
        <f>IFERROR(__xludf.DUMMYFUNCTION("""COMPUTED_VALUE"""),"JIMENEZ ESCOBAR, MARIANA")</f>
        <v>JIMENEZ ESCOBAR, MARIANA</v>
      </c>
      <c r="D2827" t="str">
        <f>IFERROR(__xludf.DUMMYFUNCTION("""COMPUTED_VALUE"""),"AP Human Geography")</f>
        <v>AP Human Geography</v>
      </c>
      <c r="E2827" s="3">
        <f>IFERROR(__xludf.DUMMYFUNCTION("""COMPUTED_VALUE"""),4.0)</f>
        <v>4</v>
      </c>
      <c r="F2827" s="300">
        <v>1.0</v>
      </c>
      <c r="G2827" s="300">
        <v>1.0</v>
      </c>
      <c r="H2827" s="300">
        <v>1.0</v>
      </c>
      <c r="I2827" s="300">
        <v>1.0</v>
      </c>
      <c r="J2827" s="300">
        <v>1.0</v>
      </c>
      <c r="K2827" s="300">
        <v>1.0</v>
      </c>
      <c r="L2827" s="300">
        <v>1.0</v>
      </c>
      <c r="M2827" s="300">
        <v>1.0</v>
      </c>
      <c r="N2827" s="300">
        <v>8.0</v>
      </c>
      <c r="O2827" s="300" t="s">
        <v>930</v>
      </c>
      <c r="P2827" s="300">
        <v>4.0</v>
      </c>
    </row>
    <row r="2828">
      <c r="A2828">
        <f>IFERROR(__xludf.DUMMYFUNCTION("""COMPUTED_VALUE"""),10.0)</f>
        <v>10</v>
      </c>
      <c r="B2828" s="406">
        <f>IFERROR(__xludf.DUMMYFUNCTION("""COMPUTED_VALUE"""),27007.0)</f>
        <v>27007</v>
      </c>
      <c r="C2828" t="str">
        <f>IFERROR(__xludf.DUMMYFUNCTION("""COMPUTED_VALUE"""),"ARANGO VELEZ, MATEO")</f>
        <v>ARANGO VELEZ, MATEO</v>
      </c>
      <c r="D2828" t="str">
        <f>IFERROR(__xludf.DUMMYFUNCTION("""COMPUTED_VALUE"""),"AP Human Geography")</f>
        <v>AP Human Geography</v>
      </c>
      <c r="E2828" s="3">
        <f>IFERROR(__xludf.DUMMYFUNCTION("""COMPUTED_VALUE"""),6.0)</f>
        <v>6</v>
      </c>
      <c r="F2828" s="300">
        <v>1.0</v>
      </c>
      <c r="G2828" s="300">
        <v>1.0</v>
      </c>
      <c r="H2828" s="300">
        <v>1.0</v>
      </c>
      <c r="I2828" s="300">
        <v>1.0</v>
      </c>
      <c r="J2828" s="300">
        <v>1.0</v>
      </c>
      <c r="K2828" s="300">
        <v>1.0</v>
      </c>
      <c r="L2828" s="300">
        <v>1.0</v>
      </c>
      <c r="M2828" s="300">
        <v>1.0</v>
      </c>
      <c r="N2828" s="300">
        <v>8.0</v>
      </c>
      <c r="O2828" s="300" t="s">
        <v>931</v>
      </c>
      <c r="P2828" s="300">
        <v>4.0</v>
      </c>
    </row>
    <row r="2829">
      <c r="A2829">
        <f>IFERROR(__xludf.DUMMYFUNCTION("""COMPUTED_VALUE"""),10.0)</f>
        <v>10</v>
      </c>
      <c r="B2829" s="406">
        <f>IFERROR(__xludf.DUMMYFUNCTION("""COMPUTED_VALUE"""),28102.0)</f>
        <v>28102</v>
      </c>
      <c r="C2829" t="str">
        <f>IFERROR(__xludf.DUMMYFUNCTION("""COMPUTED_VALUE"""),"SALAZAR BOTERO, GABRIELA")</f>
        <v>SALAZAR BOTERO, GABRIELA</v>
      </c>
      <c r="D2829" t="str">
        <f>IFERROR(__xludf.DUMMYFUNCTION("""COMPUTED_VALUE"""),"Global")</f>
        <v>Global</v>
      </c>
      <c r="E2829" s="3">
        <f>IFERROR(__xludf.DUMMYFUNCTION("""COMPUTED_VALUE"""),4.0)</f>
        <v>4</v>
      </c>
      <c r="F2829" s="300">
        <v>1.0</v>
      </c>
      <c r="G2829" s="300">
        <v>1.0</v>
      </c>
      <c r="H2829" s="300">
        <v>1.0</v>
      </c>
      <c r="I2829" s="300">
        <v>1.0</v>
      </c>
      <c r="J2829" s="300">
        <v>1.0</v>
      </c>
      <c r="K2829" s="300">
        <v>1.0</v>
      </c>
      <c r="L2829" s="300">
        <v>1.0</v>
      </c>
      <c r="M2829" s="300">
        <v>1.0</v>
      </c>
      <c r="N2829" s="300">
        <v>8.0</v>
      </c>
      <c r="O2829" s="300" t="s">
        <v>928</v>
      </c>
      <c r="P2829" s="300">
        <v>3.0</v>
      </c>
    </row>
    <row r="2830">
      <c r="A2830">
        <f>IFERROR(__xludf.DUMMYFUNCTION("""COMPUTED_VALUE"""),10.0)</f>
        <v>10</v>
      </c>
      <c r="B2830" s="406">
        <f>IFERROR(__xludf.DUMMYFUNCTION("""COMPUTED_VALUE"""),28104.0)</f>
        <v>28104</v>
      </c>
      <c r="C2830" t="str">
        <f>IFERROR(__xludf.DUMMYFUNCTION("""COMPUTED_VALUE"""),"SERRANO SERRANO, SIMON")</f>
        <v>SERRANO SERRANO, SIMON</v>
      </c>
      <c r="D2830" t="str">
        <f>IFERROR(__xludf.DUMMYFUNCTION("""COMPUTED_VALUE"""),"Global")</f>
        <v>Global</v>
      </c>
      <c r="E2830" s="3">
        <f>IFERROR(__xludf.DUMMYFUNCTION("""COMPUTED_VALUE"""),7.0)</f>
        <v>7</v>
      </c>
      <c r="F2830" s="300">
        <v>1.0</v>
      </c>
      <c r="G2830" s="300">
        <v>1.0</v>
      </c>
      <c r="H2830" s="300">
        <v>1.0</v>
      </c>
      <c r="I2830" s="300">
        <v>1.0</v>
      </c>
      <c r="J2830" s="300">
        <v>1.0</v>
      </c>
      <c r="K2830" s="300">
        <v>1.0</v>
      </c>
      <c r="L2830" s="300">
        <v>1.0</v>
      </c>
      <c r="M2830" s="300">
        <v>1.0</v>
      </c>
      <c r="N2830" s="300">
        <v>8.0</v>
      </c>
      <c r="O2830" s="300" t="s">
        <v>929</v>
      </c>
      <c r="P2830" s="300">
        <v>3.0</v>
      </c>
    </row>
    <row r="2831">
      <c r="A2831">
        <f>IFERROR(__xludf.DUMMYFUNCTION("""COMPUTED_VALUE"""),10.0)</f>
        <v>10</v>
      </c>
      <c r="B2831" s="406">
        <f>IFERROR(__xludf.DUMMYFUNCTION("""COMPUTED_VALUE"""),28008.0)</f>
        <v>28008</v>
      </c>
      <c r="C2831" t="str">
        <f>IFERROR(__xludf.DUMMYFUNCTION("""COMPUTED_VALUE"""),"ARISTIZABAL TOBON, MATIAS")</f>
        <v>ARISTIZABAL TOBON, MATIAS</v>
      </c>
      <c r="D2831" t="str">
        <f>IFERROR(__xludf.DUMMYFUNCTION("""COMPUTED_VALUE"""),"Global")</f>
        <v>Global</v>
      </c>
      <c r="E2831" s="3">
        <f>IFERROR(__xludf.DUMMYFUNCTION("""COMPUTED_VALUE"""),7.0)</f>
        <v>7</v>
      </c>
      <c r="F2831" s="300">
        <v>1.0</v>
      </c>
      <c r="G2831" s="300">
        <v>1.0</v>
      </c>
      <c r="H2831" s="300">
        <v>1.0</v>
      </c>
      <c r="I2831" s="300">
        <v>1.0</v>
      </c>
      <c r="J2831" s="300">
        <v>1.0</v>
      </c>
      <c r="K2831" s="300">
        <v>1.0</v>
      </c>
      <c r="L2831" s="300">
        <v>1.0</v>
      </c>
      <c r="M2831" s="300">
        <v>1.0</v>
      </c>
      <c r="N2831" s="300">
        <v>8.0</v>
      </c>
      <c r="O2831" s="300" t="s">
        <v>929</v>
      </c>
      <c r="P2831" s="300">
        <v>3.0</v>
      </c>
    </row>
    <row r="2832">
      <c r="A2832">
        <f>IFERROR(__xludf.DUMMYFUNCTION("""COMPUTED_VALUE"""),10.0)</f>
        <v>10</v>
      </c>
      <c r="B2832" s="406">
        <f>IFERROR(__xludf.DUMMYFUNCTION("""COMPUTED_VALUE"""),28065.0)</f>
        <v>28065</v>
      </c>
      <c r="C2832" t="str">
        <f>IFERROR(__xludf.DUMMYFUNCTION("""COMPUTED_VALUE"""),"MEJIA MEJIA, TOMAS")</f>
        <v>MEJIA MEJIA, TOMAS</v>
      </c>
      <c r="D2832" t="str">
        <f>IFERROR(__xludf.DUMMYFUNCTION("""COMPUTED_VALUE"""),"AP Human Geography")</f>
        <v>AP Human Geography</v>
      </c>
      <c r="E2832" s="3">
        <f>IFERROR(__xludf.DUMMYFUNCTION("""COMPUTED_VALUE"""),4.0)</f>
        <v>4</v>
      </c>
      <c r="F2832" s="300">
        <v>1.0</v>
      </c>
      <c r="G2832" s="300">
        <v>1.0</v>
      </c>
      <c r="H2832" s="300">
        <v>1.0</v>
      </c>
      <c r="I2832" s="300">
        <v>1.0</v>
      </c>
      <c r="J2832" s="300">
        <v>1.0</v>
      </c>
      <c r="K2832" s="300">
        <v>1.0</v>
      </c>
      <c r="L2832" s="300">
        <v>1.0</v>
      </c>
      <c r="M2832" s="300">
        <v>1.0</v>
      </c>
      <c r="N2832" s="300">
        <v>8.0</v>
      </c>
      <c r="O2832" s="300" t="s">
        <v>930</v>
      </c>
      <c r="P2832" s="300">
        <v>4.0</v>
      </c>
    </row>
    <row r="2833">
      <c r="A2833">
        <f>IFERROR(__xludf.DUMMYFUNCTION("""COMPUTED_VALUE"""),10.0)</f>
        <v>10</v>
      </c>
      <c r="B2833" s="406">
        <f>IFERROR(__xludf.DUMMYFUNCTION("""COMPUTED_VALUE"""),28073.0)</f>
        <v>28073</v>
      </c>
      <c r="C2833" t="str">
        <f>IFERROR(__xludf.DUMMYFUNCTION("""COMPUTED_VALUE"""),"NAVARRO RAMIREZ, MARIA")</f>
        <v>NAVARRO RAMIREZ, MARIA</v>
      </c>
      <c r="D2833" t="str">
        <f>IFERROR(__xludf.DUMMYFUNCTION("""COMPUTED_VALUE"""),"Global")</f>
        <v>Global</v>
      </c>
      <c r="E2833" s="3">
        <f>IFERROR(__xludf.DUMMYFUNCTION("""COMPUTED_VALUE"""),2.0)</f>
        <v>2</v>
      </c>
      <c r="F2833" s="300">
        <v>1.0</v>
      </c>
      <c r="G2833" s="300">
        <v>1.0</v>
      </c>
      <c r="H2833" s="300">
        <v>1.0</v>
      </c>
      <c r="I2833" s="300">
        <v>1.0</v>
      </c>
      <c r="J2833" s="300">
        <v>1.0</v>
      </c>
      <c r="K2833" s="300">
        <v>1.0</v>
      </c>
      <c r="L2833" s="300">
        <v>1.0</v>
      </c>
      <c r="M2833" s="300">
        <v>1.0</v>
      </c>
      <c r="N2833" s="300">
        <v>8.0</v>
      </c>
      <c r="O2833" s="300" t="s">
        <v>932</v>
      </c>
      <c r="P2833" s="300">
        <v>3.0</v>
      </c>
    </row>
    <row r="2834">
      <c r="A2834">
        <f>IFERROR(__xludf.DUMMYFUNCTION("""COMPUTED_VALUE"""),10.0)</f>
        <v>10</v>
      </c>
      <c r="B2834" s="406">
        <f>IFERROR(__xludf.DUMMYFUNCTION("""COMPUTED_VALUE"""),28081.0)</f>
        <v>28081</v>
      </c>
      <c r="C2834" t="str">
        <f>IFERROR(__xludf.DUMMYFUNCTION("""COMPUTED_VALUE"""),"PALACIO RUIZ, LUCAS")</f>
        <v>PALACIO RUIZ, LUCAS</v>
      </c>
      <c r="D2834" t="str">
        <f>IFERROR(__xludf.DUMMYFUNCTION("""COMPUTED_VALUE"""),"Global")</f>
        <v>Global</v>
      </c>
      <c r="E2834" s="3">
        <f>IFERROR(__xludf.DUMMYFUNCTION("""COMPUTED_VALUE"""),2.0)</f>
        <v>2</v>
      </c>
      <c r="F2834" s="300">
        <v>1.0</v>
      </c>
      <c r="G2834" s="300">
        <v>1.0</v>
      </c>
      <c r="H2834" s="300">
        <v>1.0</v>
      </c>
      <c r="I2834" s="300">
        <v>1.0</v>
      </c>
      <c r="J2834" s="300">
        <v>1.0</v>
      </c>
      <c r="K2834" s="300">
        <v>1.0</v>
      </c>
      <c r="L2834" s="300">
        <v>1.0</v>
      </c>
      <c r="M2834" s="300">
        <v>1.0</v>
      </c>
      <c r="N2834" s="300">
        <v>8.0</v>
      </c>
      <c r="O2834" s="300" t="s">
        <v>932</v>
      </c>
      <c r="P2834" s="300">
        <v>3.0</v>
      </c>
    </row>
    <row r="2835">
      <c r="A2835">
        <f>IFERROR(__xludf.DUMMYFUNCTION("""COMPUTED_VALUE"""),10.0)</f>
        <v>10</v>
      </c>
      <c r="B2835" s="406">
        <f>IFERROR(__xludf.DUMMYFUNCTION("""COMPUTED_VALUE"""),28039.0)</f>
        <v>28039</v>
      </c>
      <c r="C2835" t="str">
        <f>IFERROR(__xludf.DUMMYFUNCTION("""COMPUTED_VALUE"""),"GONZALEZ LOPEZ, ISABEL")</f>
        <v>GONZALEZ LOPEZ, ISABEL</v>
      </c>
      <c r="D2835" t="str">
        <f>IFERROR(__xludf.DUMMYFUNCTION("""COMPUTED_VALUE"""),"AP Human Geography")</f>
        <v>AP Human Geography</v>
      </c>
      <c r="E2835" s="3">
        <f>IFERROR(__xludf.DUMMYFUNCTION("""COMPUTED_VALUE"""),3.0)</f>
        <v>3</v>
      </c>
      <c r="F2835" s="300">
        <v>1.0</v>
      </c>
      <c r="G2835" s="300">
        <v>1.0</v>
      </c>
      <c r="H2835" s="300">
        <v>1.0</v>
      </c>
      <c r="I2835" s="300">
        <v>1.0</v>
      </c>
      <c r="J2835" s="300">
        <v>1.0</v>
      </c>
      <c r="K2835" s="300">
        <v>1.0</v>
      </c>
      <c r="L2835" s="300">
        <v>1.0</v>
      </c>
      <c r="M2835" s="300">
        <v>1.0</v>
      </c>
      <c r="N2835" s="300">
        <v>8.0</v>
      </c>
      <c r="O2835" s="300" t="s">
        <v>926</v>
      </c>
      <c r="P2835" s="300">
        <v>4.0</v>
      </c>
    </row>
    <row r="2836">
      <c r="A2836">
        <f>IFERROR(__xludf.DUMMYFUNCTION("""COMPUTED_VALUE"""),10.0)</f>
        <v>10</v>
      </c>
      <c r="B2836" s="406">
        <f>IFERROR(__xludf.DUMMYFUNCTION("""COMPUTED_VALUE"""),28147.0)</f>
        <v>28147</v>
      </c>
      <c r="C2836" t="str">
        <f>IFERROR(__xludf.DUMMYFUNCTION("""COMPUTED_VALUE"""),"OSPINA STERLING, DULCE MARIA")</f>
        <v>OSPINA STERLING, DULCE MARIA</v>
      </c>
      <c r="D2836" t="str">
        <f>IFERROR(__xludf.DUMMYFUNCTION("""COMPUTED_VALUE"""),"Global")</f>
        <v>Global</v>
      </c>
      <c r="E2836" s="3">
        <f>IFERROR(__xludf.DUMMYFUNCTION("""COMPUTED_VALUE"""),2.0)</f>
        <v>2</v>
      </c>
      <c r="F2836" s="300">
        <v>1.0</v>
      </c>
      <c r="G2836" s="300">
        <v>1.0</v>
      </c>
      <c r="H2836" s="300">
        <v>1.0</v>
      </c>
      <c r="I2836" s="300">
        <v>1.0</v>
      </c>
      <c r="J2836" s="300">
        <v>1.0</v>
      </c>
      <c r="K2836" s="300">
        <v>1.0</v>
      </c>
      <c r="L2836" s="300">
        <v>1.0</v>
      </c>
      <c r="M2836" s="300">
        <v>1.0</v>
      </c>
      <c r="N2836" s="300">
        <v>8.0</v>
      </c>
      <c r="O2836" s="300" t="s">
        <v>932</v>
      </c>
      <c r="P2836" s="300">
        <v>3.0</v>
      </c>
    </row>
    <row r="2837">
      <c r="A2837">
        <f>IFERROR(__xludf.DUMMYFUNCTION("""COMPUTED_VALUE"""),10.0)</f>
        <v>10</v>
      </c>
      <c r="B2837" s="406">
        <f>IFERROR(__xludf.DUMMYFUNCTION("""COMPUTED_VALUE"""),28088.0)</f>
        <v>28088</v>
      </c>
      <c r="C2837" t="str">
        <f>IFERROR(__xludf.DUMMYFUNCTION("""COMPUTED_VALUE"""),"QUINTERO VARGAS, ALICIA")</f>
        <v>QUINTERO VARGAS, ALICIA</v>
      </c>
      <c r="D2837" t="str">
        <f>IFERROR(__xludf.DUMMYFUNCTION("""COMPUTED_VALUE"""),"AP Human Geography")</f>
        <v>AP Human Geography</v>
      </c>
      <c r="E2837" s="3">
        <f>IFERROR(__xludf.DUMMYFUNCTION("""COMPUTED_VALUE"""),3.0)</f>
        <v>3</v>
      </c>
      <c r="F2837" s="300">
        <v>1.0</v>
      </c>
      <c r="G2837" s="300">
        <v>1.0</v>
      </c>
      <c r="H2837" s="300">
        <v>1.0</v>
      </c>
      <c r="I2837" s="300">
        <v>1.0</v>
      </c>
      <c r="J2837" s="300">
        <v>1.0</v>
      </c>
      <c r="K2837" s="300">
        <v>1.0</v>
      </c>
      <c r="L2837" s="300">
        <v>1.0</v>
      </c>
      <c r="M2837" s="300">
        <v>1.0</v>
      </c>
      <c r="N2837" s="300">
        <v>8.0</v>
      </c>
      <c r="O2837" s="300" t="s">
        <v>926</v>
      </c>
      <c r="P2837" s="300">
        <v>4.0</v>
      </c>
    </row>
    <row r="2838">
      <c r="A2838">
        <f>IFERROR(__xludf.DUMMYFUNCTION("""COMPUTED_VALUE"""),10.0)</f>
        <v>10</v>
      </c>
      <c r="B2838" s="406">
        <f>IFERROR(__xludf.DUMMYFUNCTION("""COMPUTED_VALUE"""),28029.0)</f>
        <v>28029</v>
      </c>
      <c r="C2838" t="str">
        <f>IFERROR(__xludf.DUMMYFUNCTION("""COMPUTED_VALUE"""),"FORERO MEJIA, EMILIO")</f>
        <v>FORERO MEJIA, EMILIO</v>
      </c>
      <c r="D2838" t="str">
        <f>IFERROR(__xludf.DUMMYFUNCTION("""COMPUTED_VALUE"""),"Global")</f>
        <v>Global</v>
      </c>
      <c r="E2838" s="3">
        <f>IFERROR(__xludf.DUMMYFUNCTION("""COMPUTED_VALUE"""),7.0)</f>
        <v>7</v>
      </c>
      <c r="F2838" s="300">
        <v>1.0</v>
      </c>
      <c r="G2838" s="300">
        <v>1.0</v>
      </c>
      <c r="H2838" s="300">
        <v>1.0</v>
      </c>
      <c r="I2838" s="300">
        <v>1.0</v>
      </c>
      <c r="J2838" s="300">
        <v>1.0</v>
      </c>
      <c r="K2838" s="300">
        <v>1.0</v>
      </c>
      <c r="L2838" s="300">
        <v>1.0</v>
      </c>
      <c r="M2838" s="300">
        <v>1.0</v>
      </c>
      <c r="N2838" s="300">
        <v>8.0</v>
      </c>
      <c r="O2838" s="300" t="s">
        <v>929</v>
      </c>
      <c r="P2838" s="300">
        <v>3.0</v>
      </c>
    </row>
    <row r="2839">
      <c r="A2839">
        <f>IFERROR(__xludf.DUMMYFUNCTION("""COMPUTED_VALUE"""),10.0)</f>
        <v>10</v>
      </c>
      <c r="B2839" s="406">
        <f>IFERROR(__xludf.DUMMYFUNCTION("""COMPUTED_VALUE"""),28084.0)</f>
        <v>28084</v>
      </c>
      <c r="C2839" t="str">
        <f>IFERROR(__xludf.DUMMYFUNCTION("""COMPUTED_VALUE"""),"PINEDA ARANGO, JERONIMO")</f>
        <v>PINEDA ARANGO, JERONIMO</v>
      </c>
      <c r="D2839" t="str">
        <f>IFERROR(__xludf.DUMMYFUNCTION("""COMPUTED_VALUE"""),"AP Human Geography")</f>
        <v>AP Human Geography</v>
      </c>
      <c r="E2839" s="3">
        <f>IFERROR(__xludf.DUMMYFUNCTION("""COMPUTED_VALUE"""),2.0)</f>
        <v>2</v>
      </c>
      <c r="F2839" s="300">
        <v>1.0</v>
      </c>
      <c r="G2839" s="300">
        <v>1.0</v>
      </c>
      <c r="H2839" s="300">
        <v>1.0</v>
      </c>
      <c r="I2839" s="300">
        <v>1.0</v>
      </c>
      <c r="J2839" s="300">
        <v>1.0</v>
      </c>
      <c r="K2839" s="300">
        <v>1.0</v>
      </c>
      <c r="L2839" s="300">
        <v>1.0</v>
      </c>
      <c r="M2839" s="300">
        <v>1.0</v>
      </c>
      <c r="N2839" s="300">
        <v>8.0</v>
      </c>
      <c r="O2839" s="300" t="s">
        <v>927</v>
      </c>
      <c r="P2839" s="300">
        <v>4.0</v>
      </c>
    </row>
    <row r="2840">
      <c r="A2840">
        <f>IFERROR(__xludf.DUMMYFUNCTION("""COMPUTED_VALUE"""),10.0)</f>
        <v>10</v>
      </c>
      <c r="B2840" s="406">
        <f>IFERROR(__xludf.DUMMYFUNCTION("""COMPUTED_VALUE"""),28114.0)</f>
        <v>28114</v>
      </c>
      <c r="C2840" t="str">
        <f>IFERROR(__xludf.DUMMYFUNCTION("""COMPUTED_VALUE"""),"VELEZ CORREA, SAMUEL")</f>
        <v>VELEZ CORREA, SAMUEL</v>
      </c>
      <c r="D2840" t="str">
        <f>IFERROR(__xludf.DUMMYFUNCTION("""COMPUTED_VALUE"""),"AP Human Geography")</f>
        <v>AP Human Geography</v>
      </c>
      <c r="E2840" s="3">
        <f>IFERROR(__xludf.DUMMYFUNCTION("""COMPUTED_VALUE"""),2.0)</f>
        <v>2</v>
      </c>
      <c r="F2840" s="300">
        <v>1.0</v>
      </c>
      <c r="G2840" s="300">
        <v>1.0</v>
      </c>
      <c r="H2840" s="300">
        <v>1.0</v>
      </c>
      <c r="I2840" s="300">
        <v>1.0</v>
      </c>
      <c r="J2840" s="300">
        <v>1.0</v>
      </c>
      <c r="K2840" s="300">
        <v>1.0</v>
      </c>
      <c r="L2840" s="300">
        <v>1.0</v>
      </c>
      <c r="M2840" s="300">
        <v>1.0</v>
      </c>
      <c r="N2840" s="300">
        <v>8.0</v>
      </c>
      <c r="O2840" s="300" t="s">
        <v>927</v>
      </c>
      <c r="P2840" s="300">
        <v>4.0</v>
      </c>
    </row>
    <row r="2841">
      <c r="A2841">
        <f>IFERROR(__xludf.DUMMYFUNCTION("""COMPUTED_VALUE"""),10.0)</f>
        <v>10</v>
      </c>
      <c r="B2841" s="406">
        <f>IFERROR(__xludf.DUMMYFUNCTION("""COMPUTED_VALUE"""),28064.0)</f>
        <v>28064</v>
      </c>
      <c r="C2841" t="str">
        <f>IFERROR(__xludf.DUMMYFUNCTION("""COMPUTED_VALUE"""),"MEJIA MANTILLA, TOMAS")</f>
        <v>MEJIA MANTILLA, TOMAS</v>
      </c>
      <c r="D2841" t="str">
        <f>IFERROR(__xludf.DUMMYFUNCTION("""COMPUTED_VALUE"""),"AP Human Geography")</f>
        <v>AP Human Geography</v>
      </c>
      <c r="E2841" s="3">
        <f>IFERROR(__xludf.DUMMYFUNCTION("""COMPUTED_VALUE"""),6.0)</f>
        <v>6</v>
      </c>
      <c r="F2841" s="300">
        <v>1.0</v>
      </c>
      <c r="G2841" s="300">
        <v>1.0</v>
      </c>
      <c r="H2841" s="300">
        <v>1.0</v>
      </c>
      <c r="I2841" s="300">
        <v>1.0</v>
      </c>
      <c r="J2841" s="300">
        <v>1.0</v>
      </c>
      <c r="K2841" s="300">
        <v>1.0</v>
      </c>
      <c r="L2841" s="300">
        <v>1.0</v>
      </c>
      <c r="M2841" s="300">
        <v>1.0</v>
      </c>
      <c r="N2841" s="300">
        <v>8.0</v>
      </c>
      <c r="O2841" s="300" t="s">
        <v>931</v>
      </c>
      <c r="P2841" s="300">
        <v>4.0</v>
      </c>
    </row>
    <row r="2842">
      <c r="A2842">
        <f>IFERROR(__xludf.DUMMYFUNCTION("""COMPUTED_VALUE"""),10.0)</f>
        <v>10</v>
      </c>
      <c r="B2842" s="406">
        <f>IFERROR(__xludf.DUMMYFUNCTION("""COMPUTED_VALUE"""),28036.0)</f>
        <v>28036</v>
      </c>
      <c r="C2842" t="str">
        <f>IFERROR(__xludf.DUMMYFUNCTION("""COMPUTED_VALUE"""),"GOMEZ LINCE, NICOLAS")</f>
        <v>GOMEZ LINCE, NICOLAS</v>
      </c>
      <c r="D2842" t="str">
        <f>IFERROR(__xludf.DUMMYFUNCTION("""COMPUTED_VALUE"""),"Global")</f>
        <v>Global</v>
      </c>
      <c r="E2842" s="3">
        <f>IFERROR(__xludf.DUMMYFUNCTION("""COMPUTED_VALUE"""),2.0)</f>
        <v>2</v>
      </c>
      <c r="F2842" s="300">
        <v>1.0</v>
      </c>
      <c r="G2842" s="300">
        <v>1.0</v>
      </c>
      <c r="H2842" s="300">
        <v>1.0</v>
      </c>
      <c r="I2842" s="300">
        <v>1.0</v>
      </c>
      <c r="J2842" s="300">
        <v>1.0</v>
      </c>
      <c r="K2842" s="300">
        <v>1.0</v>
      </c>
      <c r="L2842" s="300">
        <v>1.0</v>
      </c>
      <c r="M2842" s="300">
        <v>1.0</v>
      </c>
      <c r="N2842" s="300">
        <v>8.0</v>
      </c>
      <c r="O2842" s="300" t="s">
        <v>932</v>
      </c>
      <c r="P2842" s="300">
        <v>3.0</v>
      </c>
    </row>
    <row r="2843">
      <c r="A2843">
        <f>IFERROR(__xludf.DUMMYFUNCTION("""COMPUTED_VALUE"""),10.0)</f>
        <v>10</v>
      </c>
      <c r="B2843" s="406">
        <f>IFERROR(__xludf.DUMMYFUNCTION("""COMPUTED_VALUE"""),28076.0)</f>
        <v>28076</v>
      </c>
      <c r="C2843" t="str">
        <f>IFERROR(__xludf.DUMMYFUNCTION("""COMPUTED_VALUE"""),"OLAYA CARDENAS, CAMILA")</f>
        <v>OLAYA CARDENAS, CAMILA</v>
      </c>
      <c r="D2843" t="str">
        <f>IFERROR(__xludf.DUMMYFUNCTION("""COMPUTED_VALUE"""),"AP Human Geography")</f>
        <v>AP Human Geography</v>
      </c>
      <c r="E2843" s="3">
        <f>IFERROR(__xludf.DUMMYFUNCTION("""COMPUTED_VALUE"""),4.0)</f>
        <v>4</v>
      </c>
      <c r="F2843" s="300">
        <v>1.0</v>
      </c>
      <c r="G2843" s="300">
        <v>1.0</v>
      </c>
      <c r="H2843" s="300">
        <v>1.0</v>
      </c>
      <c r="I2843" s="300">
        <v>1.0</v>
      </c>
      <c r="J2843" s="300">
        <v>1.0</v>
      </c>
      <c r="K2843" s="300">
        <v>1.0</v>
      </c>
      <c r="L2843" s="300">
        <v>1.0</v>
      </c>
      <c r="M2843" s="300">
        <v>1.0</v>
      </c>
      <c r="N2843" s="300">
        <v>8.0</v>
      </c>
      <c r="O2843" s="300" t="s">
        <v>930</v>
      </c>
      <c r="P2843" s="300">
        <v>4.0</v>
      </c>
    </row>
    <row r="2844">
      <c r="A2844">
        <f>IFERROR(__xludf.DUMMYFUNCTION("""COMPUTED_VALUE"""),10.0)</f>
        <v>10</v>
      </c>
      <c r="B2844" s="406">
        <f>IFERROR(__xludf.DUMMYFUNCTION("""COMPUTED_VALUE"""),28164.0)</f>
        <v>28164</v>
      </c>
      <c r="C2844" s="406" t="str">
        <f>IFERROR(__xludf.DUMMYFUNCTION("""COMPUTED_VALUE"""),"WOODWORTH, MIA ISABELLA")</f>
        <v>WOODWORTH, MIA ISABELLA</v>
      </c>
      <c r="D2844" t="str">
        <f>IFERROR(__xludf.DUMMYFUNCTION("""COMPUTED_VALUE"""),"AP Human Geography")</f>
        <v>AP Human Geography</v>
      </c>
      <c r="E2844" s="3">
        <f>IFERROR(__xludf.DUMMYFUNCTION("""COMPUTED_VALUE"""),2.0)</f>
        <v>2</v>
      </c>
      <c r="F2844" s="300">
        <v>1.0</v>
      </c>
      <c r="G2844" s="300">
        <v>1.0</v>
      </c>
      <c r="H2844" s="300">
        <v>1.0</v>
      </c>
      <c r="I2844" s="300">
        <v>1.0</v>
      </c>
      <c r="J2844" s="300">
        <v>1.0</v>
      </c>
      <c r="K2844" s="300">
        <v>1.0</v>
      </c>
      <c r="L2844" s="300">
        <v>1.0</v>
      </c>
      <c r="M2844" s="300">
        <v>1.0</v>
      </c>
      <c r="N2844" s="300">
        <v>8.0</v>
      </c>
      <c r="O2844" s="300" t="s">
        <v>927</v>
      </c>
      <c r="P2844" s="300">
        <v>4.0</v>
      </c>
    </row>
    <row r="2845">
      <c r="A2845">
        <f>IFERROR(__xludf.DUMMYFUNCTION("""COMPUTED_VALUE"""),10.0)</f>
        <v>10</v>
      </c>
      <c r="B2845" s="406">
        <f>IFERROR(__xludf.DUMMYFUNCTION("""COMPUTED_VALUE"""),27088.0)</f>
        <v>27088</v>
      </c>
      <c r="C2845" t="str">
        <f>IFERROR(__xludf.DUMMYFUNCTION("""COMPUTED_VALUE"""),"PEREZ JARAMILLO, AGUSTIN")</f>
        <v>PEREZ JARAMILLO, AGUSTIN</v>
      </c>
      <c r="D2845" t="str">
        <f>IFERROR(__xludf.DUMMYFUNCTION("""COMPUTED_VALUE"""),"Global")</f>
        <v>Global</v>
      </c>
      <c r="E2845" s="3">
        <f>IFERROR(__xludf.DUMMYFUNCTION("""COMPUTED_VALUE"""),4.0)</f>
        <v>4</v>
      </c>
      <c r="F2845" s="300">
        <v>1.0</v>
      </c>
      <c r="G2845" s="300">
        <v>1.0</v>
      </c>
      <c r="H2845" s="300">
        <v>1.0</v>
      </c>
      <c r="I2845" s="300">
        <v>1.0</v>
      </c>
      <c r="J2845" s="300">
        <v>1.0</v>
      </c>
      <c r="K2845" s="300">
        <v>1.0</v>
      </c>
      <c r="L2845" s="300">
        <v>1.0</v>
      </c>
      <c r="M2845" s="300">
        <v>1.0</v>
      </c>
      <c r="N2845" s="300">
        <v>8.0</v>
      </c>
      <c r="O2845" s="300" t="s">
        <v>928</v>
      </c>
      <c r="P2845" s="300">
        <v>3.0</v>
      </c>
    </row>
    <row r="2846">
      <c r="A2846">
        <f>IFERROR(__xludf.DUMMYFUNCTION("""COMPUTED_VALUE"""),10.0)</f>
        <v>10</v>
      </c>
      <c r="B2846" s="406">
        <f>IFERROR(__xludf.DUMMYFUNCTION("""COMPUTED_VALUE"""),28060.0)</f>
        <v>28060</v>
      </c>
      <c r="C2846" t="str">
        <f>IFERROR(__xludf.DUMMYFUNCTION("""COMPUTED_VALUE"""),"MEDINA LONDOÑO, PABLO")</f>
        <v>MEDINA LONDOÑO, PABLO</v>
      </c>
      <c r="D2846" t="str">
        <f>IFERROR(__xludf.DUMMYFUNCTION("""COMPUTED_VALUE"""),"AP Human Geography")</f>
        <v>AP Human Geography</v>
      </c>
      <c r="E2846" s="3">
        <f>IFERROR(__xludf.DUMMYFUNCTION("""COMPUTED_VALUE"""),4.0)</f>
        <v>4</v>
      </c>
      <c r="F2846" s="300">
        <v>1.0</v>
      </c>
      <c r="G2846" s="300">
        <v>1.0</v>
      </c>
      <c r="H2846" s="300">
        <v>1.0</v>
      </c>
      <c r="I2846" s="300">
        <v>1.0</v>
      </c>
      <c r="J2846" s="300">
        <v>1.0</v>
      </c>
      <c r="K2846" s="300">
        <v>1.0</v>
      </c>
      <c r="L2846" s="300">
        <v>1.0</v>
      </c>
      <c r="M2846" s="300">
        <v>1.0</v>
      </c>
      <c r="N2846" s="300">
        <v>8.0</v>
      </c>
      <c r="O2846" s="300" t="s">
        <v>930</v>
      </c>
      <c r="P2846" s="300">
        <v>4.0</v>
      </c>
    </row>
    <row r="2847">
      <c r="A2847">
        <f>IFERROR(__xludf.DUMMYFUNCTION("""COMPUTED_VALUE"""),10.0)</f>
        <v>10</v>
      </c>
      <c r="B2847" s="406">
        <f>IFERROR(__xludf.DUMMYFUNCTION("""COMPUTED_VALUE"""),28034.0)</f>
        <v>28034</v>
      </c>
      <c r="C2847" t="str">
        <f>IFERROR(__xludf.DUMMYFUNCTION("""COMPUTED_VALUE"""),"GARCIA ISAZA, TOMAS")</f>
        <v>GARCIA ISAZA, TOMAS</v>
      </c>
      <c r="D2847" t="str">
        <f>IFERROR(__xludf.DUMMYFUNCTION("""COMPUTED_VALUE"""),"Global")</f>
        <v>Global</v>
      </c>
      <c r="E2847" s="3">
        <f>IFERROR(__xludf.DUMMYFUNCTION("""COMPUTED_VALUE"""),4.0)</f>
        <v>4</v>
      </c>
      <c r="F2847" s="300">
        <v>1.0</v>
      </c>
      <c r="G2847" s="300">
        <v>1.0</v>
      </c>
      <c r="H2847" s="300">
        <v>1.0</v>
      </c>
      <c r="I2847" s="300">
        <v>1.0</v>
      </c>
      <c r="J2847" s="300">
        <v>1.0</v>
      </c>
      <c r="K2847" s="300">
        <v>1.0</v>
      </c>
      <c r="L2847" s="300">
        <v>1.0</v>
      </c>
      <c r="M2847" s="300">
        <v>1.0</v>
      </c>
      <c r="N2847" s="300">
        <v>8.0</v>
      </c>
      <c r="O2847" s="300" t="s">
        <v>928</v>
      </c>
      <c r="P2847" s="300">
        <v>3.0</v>
      </c>
    </row>
    <row r="2848">
      <c r="A2848">
        <f>IFERROR(__xludf.DUMMYFUNCTION("""COMPUTED_VALUE"""),10.0)</f>
        <v>10</v>
      </c>
      <c r="B2848" s="406">
        <f>IFERROR(__xludf.DUMMYFUNCTION("""COMPUTED_VALUE"""),28049.0)</f>
        <v>28049</v>
      </c>
      <c r="C2848" t="str">
        <f>IFERROR(__xludf.DUMMYFUNCTION("""COMPUTED_VALUE"""),"JARAMILLO ARANGO, ELENA")</f>
        <v>JARAMILLO ARANGO, ELENA</v>
      </c>
      <c r="D2848" t="str">
        <f>IFERROR(__xludf.DUMMYFUNCTION("""COMPUTED_VALUE"""),"Global")</f>
        <v>Global</v>
      </c>
      <c r="E2848" s="3">
        <f>IFERROR(__xludf.DUMMYFUNCTION("""COMPUTED_VALUE"""),2.0)</f>
        <v>2</v>
      </c>
      <c r="F2848" s="300">
        <v>1.0</v>
      </c>
      <c r="G2848" s="300">
        <v>1.0</v>
      </c>
      <c r="H2848" s="300">
        <v>1.0</v>
      </c>
      <c r="I2848" s="300">
        <v>1.0</v>
      </c>
      <c r="J2848" s="300">
        <v>1.0</v>
      </c>
      <c r="K2848" s="300">
        <v>1.0</v>
      </c>
      <c r="L2848" s="300">
        <v>1.0</v>
      </c>
      <c r="M2848" s="300">
        <v>1.0</v>
      </c>
      <c r="N2848" s="300">
        <v>8.0</v>
      </c>
      <c r="O2848" s="300" t="s">
        <v>932</v>
      </c>
      <c r="P2848" s="300">
        <v>3.0</v>
      </c>
    </row>
    <row r="2849">
      <c r="A2849">
        <f>IFERROR(__xludf.DUMMYFUNCTION("""COMPUTED_VALUE"""),10.0)</f>
        <v>10</v>
      </c>
      <c r="B2849" s="406">
        <f>IFERROR(__xludf.DUMMYFUNCTION("""COMPUTED_VALUE"""),28024.0)</f>
        <v>28024</v>
      </c>
      <c r="C2849" t="str">
        <f>IFERROR(__xludf.DUMMYFUNCTION("""COMPUTED_VALUE"""),"ESCOBAR CASTAÑO, NICOLAS")</f>
        <v>ESCOBAR CASTAÑO, NICOLAS</v>
      </c>
      <c r="D2849" t="str">
        <f>IFERROR(__xludf.DUMMYFUNCTION("""COMPUTED_VALUE"""),"AP Human Geography")</f>
        <v>AP Human Geography</v>
      </c>
      <c r="E2849" s="3">
        <f>IFERROR(__xludf.DUMMYFUNCTION("""COMPUTED_VALUE"""),3.0)</f>
        <v>3</v>
      </c>
      <c r="F2849" s="300">
        <v>1.0</v>
      </c>
      <c r="G2849" s="300">
        <v>1.0</v>
      </c>
      <c r="H2849" s="300">
        <v>1.0</v>
      </c>
      <c r="I2849" s="300">
        <v>1.0</v>
      </c>
      <c r="J2849" s="300">
        <v>1.0</v>
      </c>
      <c r="K2849" s="300">
        <v>1.0</v>
      </c>
      <c r="L2849" s="300">
        <v>1.0</v>
      </c>
      <c r="M2849" s="300">
        <v>1.0</v>
      </c>
      <c r="N2849" s="300">
        <v>8.0</v>
      </c>
      <c r="O2849" s="300" t="s">
        <v>926</v>
      </c>
      <c r="P2849" s="300">
        <v>4.0</v>
      </c>
    </row>
    <row r="2850">
      <c r="A2850">
        <f>IFERROR(__xludf.DUMMYFUNCTION("""COMPUTED_VALUE"""),10.0)</f>
        <v>10</v>
      </c>
      <c r="B2850" s="406">
        <f>IFERROR(__xludf.DUMMYFUNCTION("""COMPUTED_VALUE"""),28093.0)</f>
        <v>28093</v>
      </c>
      <c r="C2850" t="str">
        <f>IFERROR(__xludf.DUMMYFUNCTION("""COMPUTED_VALUE"""),"RESTREPO ELEJALDE, LUCIANO")</f>
        <v>RESTREPO ELEJALDE, LUCIANO</v>
      </c>
      <c r="D2850" t="str">
        <f>IFERROR(__xludf.DUMMYFUNCTION("""COMPUTED_VALUE"""),"AP Human Geography")</f>
        <v>AP Human Geography</v>
      </c>
      <c r="E2850" s="3">
        <f>IFERROR(__xludf.DUMMYFUNCTION("""COMPUTED_VALUE"""),2.0)</f>
        <v>2</v>
      </c>
      <c r="F2850" s="300">
        <v>1.0</v>
      </c>
      <c r="G2850" s="300">
        <v>1.0</v>
      </c>
      <c r="H2850" s="300">
        <v>1.0</v>
      </c>
      <c r="I2850" s="300">
        <v>1.0</v>
      </c>
      <c r="J2850" s="300">
        <v>1.0</v>
      </c>
      <c r="K2850" s="300">
        <v>1.0</v>
      </c>
      <c r="L2850" s="300">
        <v>1.0</v>
      </c>
      <c r="M2850" s="300">
        <v>1.0</v>
      </c>
      <c r="N2850" s="300">
        <v>8.0</v>
      </c>
      <c r="O2850" s="300" t="s">
        <v>927</v>
      </c>
      <c r="P2850" s="300">
        <v>4.0</v>
      </c>
    </row>
    <row r="2851">
      <c r="A2851">
        <f>IFERROR(__xludf.DUMMYFUNCTION("""COMPUTED_VALUE"""),10.0)</f>
        <v>10</v>
      </c>
      <c r="B2851" s="406">
        <f>IFERROR(__xludf.DUMMYFUNCTION("""COMPUTED_VALUE"""),28070.0)</f>
        <v>28070</v>
      </c>
      <c r="C2851" t="str">
        <f>IFERROR(__xludf.DUMMYFUNCTION("""COMPUTED_VALUE"""),"MORENO RESTREPO, MARTIN")</f>
        <v>MORENO RESTREPO, MARTIN</v>
      </c>
      <c r="D2851" t="str">
        <f>IFERROR(__xludf.DUMMYFUNCTION("""COMPUTED_VALUE"""),"Global")</f>
        <v>Global</v>
      </c>
      <c r="E2851" s="3">
        <f>IFERROR(__xludf.DUMMYFUNCTION("""COMPUTED_VALUE"""),4.0)</f>
        <v>4</v>
      </c>
      <c r="F2851" s="300">
        <v>1.0</v>
      </c>
      <c r="G2851" s="300">
        <v>1.0</v>
      </c>
      <c r="H2851" s="300">
        <v>1.0</v>
      </c>
      <c r="I2851" s="300">
        <v>1.0</v>
      </c>
      <c r="J2851" s="300">
        <v>1.0</v>
      </c>
      <c r="K2851" s="300">
        <v>1.0</v>
      </c>
      <c r="L2851" s="300">
        <v>1.0</v>
      </c>
      <c r="M2851" s="300">
        <v>1.0</v>
      </c>
      <c r="N2851" s="300">
        <v>8.0</v>
      </c>
      <c r="O2851" s="300" t="s">
        <v>928</v>
      </c>
      <c r="P2851" s="300">
        <v>3.0</v>
      </c>
    </row>
    <row r="2852">
      <c r="A2852">
        <f>IFERROR(__xludf.DUMMYFUNCTION("""COMPUTED_VALUE"""),10.0)</f>
        <v>10</v>
      </c>
      <c r="B2852" s="406">
        <f>IFERROR(__xludf.DUMMYFUNCTION("""COMPUTED_VALUE"""),28110.0)</f>
        <v>28110</v>
      </c>
      <c r="C2852" t="str">
        <f>IFERROR(__xludf.DUMMYFUNCTION("""COMPUTED_VALUE"""),"VARGAS URIBE, LORENZO")</f>
        <v>VARGAS URIBE, LORENZO</v>
      </c>
      <c r="D2852" t="str">
        <f>IFERROR(__xludf.DUMMYFUNCTION("""COMPUTED_VALUE"""),"AP Human Geography")</f>
        <v>AP Human Geography</v>
      </c>
      <c r="E2852" s="3">
        <f>IFERROR(__xludf.DUMMYFUNCTION("""COMPUTED_VALUE"""),3.0)</f>
        <v>3</v>
      </c>
      <c r="F2852" s="300">
        <v>1.0</v>
      </c>
      <c r="G2852" s="300">
        <v>1.0</v>
      </c>
      <c r="H2852" s="300">
        <v>1.0</v>
      </c>
      <c r="I2852" s="300">
        <v>1.0</v>
      </c>
      <c r="J2852" s="300">
        <v>1.0</v>
      </c>
      <c r="K2852" s="300">
        <v>1.0</v>
      </c>
      <c r="L2852" s="300">
        <v>1.0</v>
      </c>
      <c r="M2852" s="300">
        <v>1.0</v>
      </c>
      <c r="N2852" s="300">
        <v>8.0</v>
      </c>
      <c r="O2852" s="300" t="s">
        <v>926</v>
      </c>
      <c r="P2852" s="300">
        <v>4.0</v>
      </c>
    </row>
    <row r="2853">
      <c r="A2853">
        <f>IFERROR(__xludf.DUMMYFUNCTION("""COMPUTED_VALUE"""),10.0)</f>
        <v>10</v>
      </c>
      <c r="B2853" s="406">
        <f>IFERROR(__xludf.DUMMYFUNCTION("""COMPUTED_VALUE"""),28066.0)</f>
        <v>28066</v>
      </c>
      <c r="C2853" t="str">
        <f>IFERROR(__xludf.DUMMYFUNCTION("""COMPUTED_VALUE"""),"MEJIA VELEZ, CANDELARIA")</f>
        <v>MEJIA VELEZ, CANDELARIA</v>
      </c>
      <c r="D2853" t="str">
        <f>IFERROR(__xludf.DUMMYFUNCTION("""COMPUTED_VALUE"""),"Global")</f>
        <v>Global</v>
      </c>
      <c r="E2853" s="3">
        <f>IFERROR(__xludf.DUMMYFUNCTION("""COMPUTED_VALUE"""),2.0)</f>
        <v>2</v>
      </c>
      <c r="F2853" s="300">
        <v>1.0</v>
      </c>
      <c r="G2853" s="300">
        <v>1.0</v>
      </c>
      <c r="H2853" s="300">
        <v>1.0</v>
      </c>
      <c r="I2853" s="300">
        <v>1.0</v>
      </c>
      <c r="J2853" s="300">
        <v>1.0</v>
      </c>
      <c r="K2853" s="300">
        <v>1.0</v>
      </c>
      <c r="L2853" s="300">
        <v>1.0</v>
      </c>
      <c r="M2853" s="300">
        <v>1.0</v>
      </c>
      <c r="N2853" s="300">
        <v>8.0</v>
      </c>
      <c r="O2853" s="300" t="s">
        <v>932</v>
      </c>
      <c r="P2853" s="300">
        <v>3.0</v>
      </c>
    </row>
    <row r="2854">
      <c r="A2854">
        <f>IFERROR(__xludf.DUMMYFUNCTION("""COMPUTED_VALUE"""),10.0)</f>
        <v>10</v>
      </c>
      <c r="B2854" s="406">
        <f>IFERROR(__xludf.DUMMYFUNCTION("""COMPUTED_VALUE"""),28071.0)</f>
        <v>28071</v>
      </c>
      <c r="C2854" t="str">
        <f>IFERROR(__xludf.DUMMYFUNCTION("""COMPUTED_VALUE"""),"NARANJO PINO, MARTIN")</f>
        <v>NARANJO PINO, MARTIN</v>
      </c>
      <c r="D2854" t="str">
        <f>IFERROR(__xludf.DUMMYFUNCTION("""COMPUTED_VALUE"""),"Global")</f>
        <v>Global</v>
      </c>
      <c r="E2854" s="3">
        <f>IFERROR(__xludf.DUMMYFUNCTION("""COMPUTED_VALUE"""),2.0)</f>
        <v>2</v>
      </c>
      <c r="F2854" s="300">
        <v>1.0</v>
      </c>
      <c r="G2854" s="300">
        <v>1.0</v>
      </c>
      <c r="H2854" s="300">
        <v>1.0</v>
      </c>
      <c r="I2854" s="300">
        <v>1.0</v>
      </c>
      <c r="J2854" s="300">
        <v>1.0</v>
      </c>
      <c r="K2854" s="300">
        <v>1.0</v>
      </c>
      <c r="L2854" s="300">
        <v>1.0</v>
      </c>
      <c r="M2854" s="300">
        <v>1.0</v>
      </c>
      <c r="N2854" s="300">
        <v>8.0</v>
      </c>
      <c r="O2854" s="300" t="s">
        <v>932</v>
      </c>
      <c r="P2854" s="300">
        <v>3.0</v>
      </c>
    </row>
    <row r="2855">
      <c r="A2855">
        <f>IFERROR(__xludf.DUMMYFUNCTION("""COMPUTED_VALUE"""),10.0)</f>
        <v>10</v>
      </c>
      <c r="B2855" s="406">
        <f>IFERROR(__xludf.DUMMYFUNCTION("""COMPUTED_VALUE"""),28168.0)</f>
        <v>28168</v>
      </c>
      <c r="C2855" t="str">
        <f>IFERROR(__xludf.DUMMYFUNCTION("""COMPUTED_VALUE"""),"KEILON GRAHAM")</f>
        <v>KEILON GRAHAM</v>
      </c>
      <c r="D2855" t="str">
        <f>IFERROR(__xludf.DUMMYFUNCTION("""COMPUTED_VALUE"""),"AP Human Geography")</f>
        <v>AP Human Geography</v>
      </c>
      <c r="E2855" s="3">
        <f>IFERROR(__xludf.DUMMYFUNCTION("""COMPUTED_VALUE"""),6.0)</f>
        <v>6</v>
      </c>
      <c r="F2855" s="300">
        <v>1.0</v>
      </c>
      <c r="G2855" s="300">
        <v>1.0</v>
      </c>
      <c r="H2855" s="300">
        <v>1.0</v>
      </c>
      <c r="I2855" s="300">
        <v>1.0</v>
      </c>
      <c r="J2855" s="300">
        <v>1.0</v>
      </c>
      <c r="K2855" s="300">
        <v>1.0</v>
      </c>
      <c r="L2855" s="300">
        <v>1.0</v>
      </c>
      <c r="M2855" s="300">
        <v>1.0</v>
      </c>
      <c r="N2855" s="300">
        <v>8.0</v>
      </c>
      <c r="O2855" s="300" t="s">
        <v>931</v>
      </c>
      <c r="P2855" s="300">
        <v>4.0</v>
      </c>
    </row>
    <row r="2856">
      <c r="A2856">
        <f>IFERROR(__xludf.DUMMYFUNCTION("""COMPUTED_VALUE"""),11.0)</f>
        <v>11</v>
      </c>
      <c r="B2856" s="406">
        <f>IFERROR(__xludf.DUMMYFUNCTION("""COMPUTED_VALUE"""),27118.0)</f>
        <v>27118</v>
      </c>
      <c r="C2856" t="str">
        <f>IFERROR(__xludf.DUMMYFUNCTION("""COMPUTED_VALUE"""),"URIBE SIERRA, SOFIA")</f>
        <v>URIBE SIERRA, SOFIA</v>
      </c>
      <c r="D2856" t="str">
        <f>IFERROR(__xludf.DUMMYFUNCTION("""COMPUTED_VALUE"""),"AP Drawing")</f>
        <v>AP Drawing</v>
      </c>
      <c r="E2856" s="3">
        <f>IFERROR(__xludf.DUMMYFUNCTION("""COMPUTED_VALUE"""),8.0)</f>
        <v>8</v>
      </c>
      <c r="F2856" s="300">
        <v>1.0</v>
      </c>
      <c r="G2856" s="300">
        <v>1.0</v>
      </c>
      <c r="H2856" s="300">
        <v>1.0</v>
      </c>
      <c r="I2856" s="300">
        <v>1.0</v>
      </c>
      <c r="J2856" s="300">
        <v>1.0</v>
      </c>
      <c r="K2856" s="300">
        <v>1.0</v>
      </c>
      <c r="L2856" s="300">
        <v>1.0</v>
      </c>
      <c r="M2856" s="300">
        <v>1.0</v>
      </c>
      <c r="N2856" s="300">
        <v>8.0</v>
      </c>
      <c r="O2856" s="300" t="s">
        <v>933</v>
      </c>
      <c r="P2856" s="300">
        <v>1.0</v>
      </c>
    </row>
    <row r="2857">
      <c r="A2857">
        <f>IFERROR(__xludf.DUMMYFUNCTION("""COMPUTED_VALUE"""),11.0)</f>
        <v>11</v>
      </c>
      <c r="B2857" s="406">
        <f>IFERROR(__xludf.DUMMYFUNCTION("""COMPUTED_VALUE"""),27039.0)</f>
        <v>27039</v>
      </c>
      <c r="C2857" t="str">
        <f>IFERROR(__xludf.DUMMYFUNCTION("""COMPUTED_VALUE"""),"GALLEGO LOPEZ, SUSSANA")</f>
        <v>GALLEGO LOPEZ, SUSSANA</v>
      </c>
      <c r="D2857" t="str">
        <f>IFERROR(__xludf.DUMMYFUNCTION("""COMPUTED_VALUE"""),"Painting I")</f>
        <v>Painting I</v>
      </c>
      <c r="E2857" s="3">
        <f>IFERROR(__xludf.DUMMYFUNCTION("""COMPUTED_VALUE"""),7.0)</f>
        <v>7</v>
      </c>
      <c r="F2857" s="300">
        <v>1.0</v>
      </c>
      <c r="G2857" s="300">
        <v>1.0</v>
      </c>
      <c r="H2857" s="300">
        <v>1.0</v>
      </c>
      <c r="I2857" s="300">
        <v>1.0</v>
      </c>
      <c r="J2857" s="300">
        <v>1.0</v>
      </c>
      <c r="K2857" s="300">
        <v>1.0</v>
      </c>
      <c r="L2857" s="300">
        <v>1.0</v>
      </c>
      <c r="M2857" s="300">
        <v>1.0</v>
      </c>
      <c r="N2857" s="300">
        <v>8.0</v>
      </c>
      <c r="O2857" s="300" t="s">
        <v>934</v>
      </c>
      <c r="P2857" s="300">
        <v>4.0</v>
      </c>
    </row>
    <row r="2858">
      <c r="A2858">
        <f>IFERROR(__xludf.DUMMYFUNCTION("""COMPUTED_VALUE"""),11.0)</f>
        <v>11</v>
      </c>
      <c r="B2858" s="406">
        <f>IFERROR(__xludf.DUMMYFUNCTION("""COMPUTED_VALUE"""),27171.0)</f>
        <v>27171</v>
      </c>
      <c r="C2858" t="str">
        <f>IFERROR(__xludf.DUMMYFUNCTION("""COMPUTED_VALUE"""),"BEDOYA PARRA, LAURA")</f>
        <v>BEDOYA PARRA, LAURA</v>
      </c>
      <c r="D2858" t="str">
        <f>IFERROR(__xludf.DUMMYFUNCTION("""COMPUTED_VALUE"""),"Painting II")</f>
        <v>Painting II</v>
      </c>
      <c r="E2858" s="3">
        <f>IFERROR(__xludf.DUMMYFUNCTION("""COMPUTED_VALUE"""),7.0)</f>
        <v>7</v>
      </c>
      <c r="F2858" s="300">
        <v>1.0</v>
      </c>
      <c r="G2858" s="300">
        <v>1.0</v>
      </c>
      <c r="H2858" s="300">
        <v>1.0</v>
      </c>
      <c r="I2858" s="300">
        <v>1.0</v>
      </c>
      <c r="J2858" s="300">
        <v>1.0</v>
      </c>
      <c r="K2858" s="300">
        <v>1.0</v>
      </c>
      <c r="L2858" s="300">
        <v>1.0</v>
      </c>
      <c r="M2858" s="300">
        <v>1.0</v>
      </c>
      <c r="N2858" s="300">
        <v>8.0</v>
      </c>
      <c r="O2858" s="300" t="s">
        <v>935</v>
      </c>
      <c r="P2858" s="300">
        <v>2.0</v>
      </c>
    </row>
    <row r="2859">
      <c r="A2859">
        <f>IFERROR(__xludf.DUMMYFUNCTION("""COMPUTED_VALUE"""),11.0)</f>
        <v>11</v>
      </c>
      <c r="B2859" s="406">
        <f>IFERROR(__xludf.DUMMYFUNCTION("""COMPUTED_VALUE"""),27146.0)</f>
        <v>27146</v>
      </c>
      <c r="C2859" t="str">
        <f>IFERROR(__xludf.DUMMYFUNCTION("""COMPUTED_VALUE"""),"MORALES BAYONA, AMELIA")</f>
        <v>MORALES BAYONA, AMELIA</v>
      </c>
      <c r="D2859" t="str">
        <f>IFERROR(__xludf.DUMMYFUNCTION("""COMPUTED_VALUE"""),"Band Level I")</f>
        <v>Band Level I</v>
      </c>
      <c r="E2859" s="3">
        <f>IFERROR(__xludf.DUMMYFUNCTION("""COMPUTED_VALUE"""),7.0)</f>
        <v>7</v>
      </c>
      <c r="F2859" s="300">
        <v>1.0</v>
      </c>
      <c r="G2859" s="300">
        <v>1.0</v>
      </c>
      <c r="H2859" s="300">
        <v>1.0</v>
      </c>
      <c r="I2859" s="300">
        <v>1.0</v>
      </c>
      <c r="J2859" s="300">
        <v>1.0</v>
      </c>
      <c r="K2859" s="300">
        <v>1.0</v>
      </c>
      <c r="L2859" s="300">
        <v>1.0</v>
      </c>
      <c r="M2859" s="300">
        <v>1.0</v>
      </c>
      <c r="N2859" s="300">
        <v>8.0</v>
      </c>
      <c r="O2859" s="300" t="s">
        <v>936</v>
      </c>
      <c r="P2859" s="300">
        <v>4.0</v>
      </c>
    </row>
    <row r="2860">
      <c r="A2860">
        <f>IFERROR(__xludf.DUMMYFUNCTION("""COMPUTED_VALUE"""),11.0)</f>
        <v>11</v>
      </c>
      <c r="B2860" s="406">
        <f>IFERROR(__xludf.DUMMYFUNCTION("""COMPUTED_VALUE"""),27073.0)</f>
        <v>27073</v>
      </c>
      <c r="C2860" t="str">
        <f>IFERROR(__xludf.DUMMYFUNCTION("""COMPUTED_VALUE"""),"MONTES LOPEZ, SOFIA")</f>
        <v>MONTES LOPEZ, SOFIA</v>
      </c>
      <c r="D2860" t="str">
        <f>IFERROR(__xludf.DUMMYFUNCTION("""COMPUTED_VALUE"""),"Band Level I")</f>
        <v>Band Level I</v>
      </c>
      <c r="E2860" s="3">
        <f>IFERROR(__xludf.DUMMYFUNCTION("""COMPUTED_VALUE"""),4.0)</f>
        <v>4</v>
      </c>
      <c r="F2860" s="300">
        <v>1.0</v>
      </c>
      <c r="G2860" s="300">
        <v>1.0</v>
      </c>
      <c r="H2860" s="300">
        <v>1.0</v>
      </c>
      <c r="I2860" s="300">
        <v>1.0</v>
      </c>
      <c r="J2860" s="300">
        <v>1.0</v>
      </c>
      <c r="K2860" s="300">
        <v>1.0</v>
      </c>
      <c r="L2860" s="300">
        <v>1.0</v>
      </c>
      <c r="M2860" s="300">
        <v>1.0</v>
      </c>
      <c r="N2860" s="300">
        <v>8.0</v>
      </c>
      <c r="O2860" s="300" t="s">
        <v>937</v>
      </c>
      <c r="P2860" s="300">
        <v>4.0</v>
      </c>
    </row>
    <row r="2861">
      <c r="A2861">
        <f>IFERROR(__xludf.DUMMYFUNCTION("""COMPUTED_VALUE"""),11.0)</f>
        <v>11</v>
      </c>
      <c r="B2861" s="406">
        <f>IFERROR(__xludf.DUMMYFUNCTION("""COMPUTED_VALUE"""),27139.0)</f>
        <v>27139</v>
      </c>
      <c r="C2861" t="str">
        <f>IFERROR(__xludf.DUMMYFUNCTION("""COMPUTED_VALUE"""),"OCAMPO CEBALLOS, JULIA")</f>
        <v>OCAMPO CEBALLOS, JULIA</v>
      </c>
      <c r="D2861" t="str">
        <f>IFERROR(__xludf.DUMMYFUNCTION("""COMPUTED_VALUE"""),"Drawing I")</f>
        <v>Drawing I</v>
      </c>
      <c r="E2861" s="3">
        <f>IFERROR(__xludf.DUMMYFUNCTION("""COMPUTED_VALUE"""),3.0)</f>
        <v>3</v>
      </c>
      <c r="F2861" s="300">
        <v>1.0</v>
      </c>
      <c r="G2861" s="300">
        <v>1.0</v>
      </c>
      <c r="H2861" s="300">
        <v>1.0</v>
      </c>
      <c r="I2861" s="300">
        <v>1.0</v>
      </c>
      <c r="J2861" s="300">
        <v>1.0</v>
      </c>
      <c r="K2861" s="300">
        <v>1.0</v>
      </c>
      <c r="L2861" s="300">
        <v>1.0</v>
      </c>
      <c r="M2861" s="300">
        <v>1.0</v>
      </c>
      <c r="N2861" s="300">
        <v>8.0</v>
      </c>
      <c r="O2861" s="300" t="s">
        <v>938</v>
      </c>
      <c r="P2861" s="300">
        <v>2.0</v>
      </c>
    </row>
    <row r="2862">
      <c r="A2862">
        <f>IFERROR(__xludf.DUMMYFUNCTION("""COMPUTED_VALUE"""),11.0)</f>
        <v>11</v>
      </c>
      <c r="B2862" s="406">
        <f>IFERROR(__xludf.DUMMYFUNCTION("""COMPUTED_VALUE"""),27020.0)</f>
        <v>27020</v>
      </c>
      <c r="C2862" t="str">
        <f>IFERROR(__xludf.DUMMYFUNCTION("""COMPUTED_VALUE"""),"BOTERO LAVERDE, MARTINA")</f>
        <v>BOTERO LAVERDE, MARTINA</v>
      </c>
      <c r="D2862" t="str">
        <f>IFERROR(__xludf.DUMMYFUNCTION("""COMPUTED_VALUE"""),"Band Level I")</f>
        <v>Band Level I</v>
      </c>
      <c r="E2862" s="3">
        <f>IFERROR(__xludf.DUMMYFUNCTION("""COMPUTED_VALUE"""),4.0)</f>
        <v>4</v>
      </c>
      <c r="F2862" s="300">
        <v>1.0</v>
      </c>
      <c r="G2862" s="300">
        <v>1.0</v>
      </c>
      <c r="H2862" s="300">
        <v>1.0</v>
      </c>
      <c r="I2862" s="300">
        <v>1.0</v>
      </c>
      <c r="J2862" s="300">
        <v>1.0</v>
      </c>
      <c r="K2862" s="300">
        <v>1.0</v>
      </c>
      <c r="L2862" s="300">
        <v>1.0</v>
      </c>
      <c r="M2862" s="300">
        <v>1.0</v>
      </c>
      <c r="N2862" s="300">
        <v>8.0</v>
      </c>
      <c r="O2862" s="300" t="s">
        <v>937</v>
      </c>
      <c r="P2862" s="300">
        <v>4.0</v>
      </c>
    </row>
    <row r="2863">
      <c r="A2863">
        <f>IFERROR(__xludf.DUMMYFUNCTION("""COMPUTED_VALUE"""),11.0)</f>
        <v>11</v>
      </c>
      <c r="B2863" s="406">
        <f>IFERROR(__xludf.DUMMYFUNCTION("""COMPUTED_VALUE"""),27059.0)</f>
        <v>27059</v>
      </c>
      <c r="C2863" t="str">
        <f>IFERROR(__xludf.DUMMYFUNCTION("""COMPUTED_VALUE"""),"LOPEZ VELEZ, PAULINA")</f>
        <v>LOPEZ VELEZ, PAULINA</v>
      </c>
      <c r="D2863" t="str">
        <f>IFERROR(__xludf.DUMMYFUNCTION("""COMPUTED_VALUE"""),"Painting II")</f>
        <v>Painting II</v>
      </c>
      <c r="E2863" s="3">
        <f>IFERROR(__xludf.DUMMYFUNCTION("""COMPUTED_VALUE"""),1.0)</f>
        <v>1</v>
      </c>
      <c r="F2863" s="300">
        <v>1.0</v>
      </c>
      <c r="G2863" s="300">
        <v>1.0</v>
      </c>
      <c r="H2863" s="300">
        <v>1.0</v>
      </c>
      <c r="I2863" s="300">
        <v>1.0</v>
      </c>
      <c r="J2863" s="300">
        <v>1.0</v>
      </c>
      <c r="K2863" s="300">
        <v>1.0</v>
      </c>
      <c r="L2863" s="300">
        <v>1.0</v>
      </c>
      <c r="M2863" s="300">
        <v>1.0</v>
      </c>
      <c r="N2863" s="300">
        <v>8.0</v>
      </c>
      <c r="O2863" s="300" t="s">
        <v>939</v>
      </c>
      <c r="P2863" s="300">
        <v>2.0</v>
      </c>
    </row>
    <row r="2864">
      <c r="A2864">
        <f>IFERROR(__xludf.DUMMYFUNCTION("""COMPUTED_VALUE"""),11.0)</f>
        <v>11</v>
      </c>
      <c r="B2864" s="406">
        <f>IFERROR(__xludf.DUMMYFUNCTION("""COMPUTED_VALUE"""),27051.0)</f>
        <v>27051</v>
      </c>
      <c r="C2864" t="str">
        <f>IFERROR(__xludf.DUMMYFUNCTION("""COMPUTED_VALUE"""),"ISAZA GOMEZ, ELISA")</f>
        <v>ISAZA GOMEZ, ELISA</v>
      </c>
      <c r="D2864" t="str">
        <f>IFERROR(__xludf.DUMMYFUNCTION("""COMPUTED_VALUE"""),"Band Level I")</f>
        <v>Band Level I</v>
      </c>
      <c r="E2864" s="3">
        <f>IFERROR(__xludf.DUMMYFUNCTION("""COMPUTED_VALUE"""),4.0)</f>
        <v>4</v>
      </c>
      <c r="F2864" s="300">
        <v>1.0</v>
      </c>
      <c r="G2864" s="300">
        <v>1.0</v>
      </c>
      <c r="H2864" s="300">
        <v>1.0</v>
      </c>
      <c r="I2864" s="300">
        <v>1.0</v>
      </c>
      <c r="J2864" s="300">
        <v>1.0</v>
      </c>
      <c r="K2864" s="300">
        <v>1.0</v>
      </c>
      <c r="L2864" s="300">
        <v>1.0</v>
      </c>
      <c r="M2864" s="300">
        <v>1.0</v>
      </c>
      <c r="N2864" s="300">
        <v>8.0</v>
      </c>
      <c r="O2864" s="300" t="s">
        <v>937</v>
      </c>
      <c r="P2864" s="300">
        <v>4.0</v>
      </c>
    </row>
    <row r="2865">
      <c r="A2865">
        <f>IFERROR(__xludf.DUMMYFUNCTION("""COMPUTED_VALUE"""),11.0)</f>
        <v>11</v>
      </c>
      <c r="B2865" s="406">
        <f>IFERROR(__xludf.DUMMYFUNCTION("""COMPUTED_VALUE"""),27119.0)</f>
        <v>27119</v>
      </c>
      <c r="C2865" t="str">
        <f>IFERROR(__xludf.DUMMYFUNCTION("""COMPUTED_VALUE"""),"VALENCIA RODRIGUEZ, EMILIA")</f>
        <v>VALENCIA RODRIGUEZ, EMILIA</v>
      </c>
      <c r="D2865" t="str">
        <f>IFERROR(__xludf.DUMMYFUNCTION("""COMPUTED_VALUE"""),"Band Level II")</f>
        <v>Band Level II</v>
      </c>
      <c r="E2865" s="3">
        <f>IFERROR(__xludf.DUMMYFUNCTION("""COMPUTED_VALUE"""),2.0)</f>
        <v>2</v>
      </c>
      <c r="F2865" s="300">
        <v>1.0</v>
      </c>
      <c r="G2865" s="300">
        <v>1.0</v>
      </c>
      <c r="H2865" s="300">
        <v>1.0</v>
      </c>
      <c r="I2865" s="300">
        <v>1.0</v>
      </c>
      <c r="J2865" s="300">
        <v>1.0</v>
      </c>
      <c r="K2865" s="300">
        <v>1.0</v>
      </c>
      <c r="L2865" s="300">
        <v>1.0</v>
      </c>
      <c r="M2865" s="300">
        <v>1.0</v>
      </c>
      <c r="N2865" s="300">
        <v>8.0</v>
      </c>
      <c r="O2865" s="300" t="s">
        <v>940</v>
      </c>
      <c r="P2865" s="300">
        <v>2.0</v>
      </c>
    </row>
    <row r="2866">
      <c r="A2866">
        <f>IFERROR(__xludf.DUMMYFUNCTION("""COMPUTED_VALUE"""),11.0)</f>
        <v>11</v>
      </c>
      <c r="B2866" s="406">
        <f>IFERROR(__xludf.DUMMYFUNCTION("""COMPUTED_VALUE"""),27074.0)</f>
        <v>27074</v>
      </c>
      <c r="C2866" t="str">
        <f>IFERROR(__xludf.DUMMYFUNCTION("""COMPUTED_VALUE"""),"MONTORSI GOMEZ, LUCIA")</f>
        <v>MONTORSI GOMEZ, LUCIA</v>
      </c>
      <c r="D2866" t="str">
        <f>IFERROR(__xludf.DUMMYFUNCTION("""COMPUTED_VALUE"""),"Band Level II")</f>
        <v>Band Level II</v>
      </c>
      <c r="E2866" s="3">
        <f>IFERROR(__xludf.DUMMYFUNCTION("""COMPUTED_VALUE"""),2.0)</f>
        <v>2</v>
      </c>
      <c r="F2866" s="300">
        <v>1.0</v>
      </c>
      <c r="G2866" s="300">
        <v>1.0</v>
      </c>
      <c r="H2866" s="300">
        <v>1.0</v>
      </c>
      <c r="I2866" s="300">
        <v>1.0</v>
      </c>
      <c r="J2866" s="300">
        <v>1.0</v>
      </c>
      <c r="K2866" s="300">
        <v>1.0</v>
      </c>
      <c r="L2866" s="300">
        <v>1.0</v>
      </c>
      <c r="M2866" s="300">
        <v>1.0</v>
      </c>
      <c r="N2866" s="300">
        <v>8.0</v>
      </c>
      <c r="O2866" s="300" t="s">
        <v>940</v>
      </c>
      <c r="P2866" s="300">
        <v>2.0</v>
      </c>
    </row>
    <row r="2867">
      <c r="A2867">
        <f>IFERROR(__xludf.DUMMYFUNCTION("""COMPUTED_VALUE"""),11.0)</f>
        <v>11</v>
      </c>
      <c r="B2867" s="406">
        <f>IFERROR(__xludf.DUMMYFUNCTION("""COMPUTED_VALUE"""),27124.0)</f>
        <v>27124</v>
      </c>
      <c r="C2867" t="str">
        <f>IFERROR(__xludf.DUMMYFUNCTION("""COMPUTED_VALUE"""),"VELEZ RAMIREZ, JULIETA")</f>
        <v>VELEZ RAMIREZ, JULIETA</v>
      </c>
      <c r="D2867" t="str">
        <f>IFERROR(__xludf.DUMMYFUNCTION("""COMPUTED_VALUE"""),"Band Level II")</f>
        <v>Band Level II</v>
      </c>
      <c r="E2867" s="3">
        <f>IFERROR(__xludf.DUMMYFUNCTION("""COMPUTED_VALUE"""),2.0)</f>
        <v>2</v>
      </c>
      <c r="F2867" s="300">
        <v>1.0</v>
      </c>
      <c r="G2867" s="300">
        <v>1.0</v>
      </c>
      <c r="H2867" s="300">
        <v>1.0</v>
      </c>
      <c r="I2867" s="300">
        <v>1.0</v>
      </c>
      <c r="J2867" s="300">
        <v>1.0</v>
      </c>
      <c r="K2867" s="300">
        <v>1.0</v>
      </c>
      <c r="L2867" s="300">
        <v>1.0</v>
      </c>
      <c r="M2867" s="300">
        <v>1.0</v>
      </c>
      <c r="N2867" s="300">
        <v>8.0</v>
      </c>
      <c r="O2867" s="300" t="s">
        <v>940</v>
      </c>
      <c r="P2867" s="300">
        <v>2.0</v>
      </c>
    </row>
    <row r="2868">
      <c r="A2868">
        <f>IFERROR(__xludf.DUMMYFUNCTION("""COMPUTED_VALUE"""),11.0)</f>
        <v>11</v>
      </c>
      <c r="B2868" s="406">
        <f>IFERROR(__xludf.DUMMYFUNCTION("""COMPUTED_VALUE"""),27095.0)</f>
        <v>27095</v>
      </c>
      <c r="C2868" t="str">
        <f>IFERROR(__xludf.DUMMYFUNCTION("""COMPUTED_VALUE"""),"RESTREPO BECERRA, ALINA")</f>
        <v>RESTREPO BECERRA, ALINA</v>
      </c>
      <c r="D2868" t="str">
        <f>IFERROR(__xludf.DUMMYFUNCTION("""COMPUTED_VALUE"""),"Band Level II")</f>
        <v>Band Level II</v>
      </c>
      <c r="E2868" s="3">
        <f>IFERROR(__xludf.DUMMYFUNCTION("""COMPUTED_VALUE"""),2.0)</f>
        <v>2</v>
      </c>
      <c r="F2868" s="300">
        <v>1.0</v>
      </c>
      <c r="G2868" s="300">
        <v>1.0</v>
      </c>
      <c r="H2868" s="300">
        <v>1.0</v>
      </c>
      <c r="I2868" s="300">
        <v>1.0</v>
      </c>
      <c r="J2868" s="300">
        <v>1.0</v>
      </c>
      <c r="K2868" s="300">
        <v>1.0</v>
      </c>
      <c r="L2868" s="300">
        <v>1.0</v>
      </c>
      <c r="M2868" s="300">
        <v>1.0</v>
      </c>
      <c r="N2868" s="300">
        <v>8.0</v>
      </c>
      <c r="O2868" s="300" t="s">
        <v>940</v>
      </c>
      <c r="P2868" s="300">
        <v>2.0</v>
      </c>
    </row>
    <row r="2869">
      <c r="A2869">
        <f>IFERROR(__xludf.DUMMYFUNCTION("""COMPUTED_VALUE"""),11.0)</f>
        <v>11</v>
      </c>
      <c r="B2869" s="406">
        <f>IFERROR(__xludf.DUMMYFUNCTION("""COMPUTED_VALUE"""),27080.0)</f>
        <v>27080</v>
      </c>
      <c r="C2869" t="str">
        <f>IFERROR(__xludf.DUMMYFUNCTION("""COMPUTED_VALUE"""),"OSORIO GAVIRIA, MARIA CLARA")</f>
        <v>OSORIO GAVIRIA, MARIA CLARA</v>
      </c>
      <c r="D2869" t="str">
        <f>IFERROR(__xludf.DUMMYFUNCTION("""COMPUTED_VALUE"""),"Mixed Media Art")</f>
        <v>Mixed Media Art</v>
      </c>
      <c r="E2869" s="3">
        <f>IFERROR(__xludf.DUMMYFUNCTION("""COMPUTED_VALUE"""),6.0)</f>
        <v>6</v>
      </c>
      <c r="F2869" s="300">
        <v>1.0</v>
      </c>
      <c r="G2869" s="300">
        <v>1.0</v>
      </c>
      <c r="H2869" s="300">
        <v>1.0</v>
      </c>
      <c r="I2869" s="300">
        <v>1.0</v>
      </c>
      <c r="J2869" s="300">
        <v>1.0</v>
      </c>
      <c r="K2869" s="300">
        <v>1.0</v>
      </c>
      <c r="L2869" s="300">
        <v>1.0</v>
      </c>
      <c r="M2869" s="300">
        <v>1.0</v>
      </c>
      <c r="N2869" s="300">
        <v>8.0</v>
      </c>
      <c r="O2869" s="300" t="s">
        <v>941</v>
      </c>
      <c r="P2869" s="300">
        <v>1.0</v>
      </c>
    </row>
    <row r="2870">
      <c r="A2870">
        <f>IFERROR(__xludf.DUMMYFUNCTION("""COMPUTED_VALUE"""),11.0)</f>
        <v>11</v>
      </c>
      <c r="B2870" s="406">
        <f>IFERROR(__xludf.DUMMYFUNCTION("""COMPUTED_VALUE"""),27140.0)</f>
        <v>27140</v>
      </c>
      <c r="C2870" t="str">
        <f>IFERROR(__xludf.DUMMYFUNCTION("""COMPUTED_VALUE"""),"CORREA URIBE, PABLO")</f>
        <v>CORREA URIBE, PABLO</v>
      </c>
      <c r="D2870" t="str">
        <f>IFERROR(__xludf.DUMMYFUNCTION("""COMPUTED_VALUE"""),"Band Level II")</f>
        <v>Band Level II</v>
      </c>
      <c r="E2870" s="3">
        <f>IFERROR(__xludf.DUMMYFUNCTION("""COMPUTED_VALUE"""),6.0)</f>
        <v>6</v>
      </c>
      <c r="F2870" s="300">
        <v>1.0</v>
      </c>
      <c r="G2870" s="300">
        <v>1.0</v>
      </c>
      <c r="H2870" s="300">
        <v>1.0</v>
      </c>
      <c r="I2870" s="300">
        <v>1.0</v>
      </c>
      <c r="J2870" s="300">
        <v>1.0</v>
      </c>
      <c r="K2870" s="300">
        <v>1.0</v>
      </c>
      <c r="L2870" s="300">
        <v>1.0</v>
      </c>
      <c r="M2870" s="300">
        <v>1.0</v>
      </c>
      <c r="N2870" s="300">
        <v>8.0</v>
      </c>
      <c r="O2870" s="300" t="s">
        <v>942</v>
      </c>
      <c r="P2870" s="300">
        <v>2.0</v>
      </c>
    </row>
    <row r="2871">
      <c r="A2871">
        <f>IFERROR(__xludf.DUMMYFUNCTION("""COMPUTED_VALUE"""),11.0)</f>
        <v>11</v>
      </c>
      <c r="B2871" s="406">
        <f>IFERROR(__xludf.DUMMYFUNCTION("""COMPUTED_VALUE"""),27106.0)</f>
        <v>27106</v>
      </c>
      <c r="C2871" t="str">
        <f>IFERROR(__xludf.DUMMYFUNCTION("""COMPUTED_VALUE"""),"SANCHEZ HURTADO, CRISTOBAL")</f>
        <v>SANCHEZ HURTADO, CRISTOBAL</v>
      </c>
      <c r="D2871" t="str">
        <f>IFERROR(__xludf.DUMMYFUNCTION("""COMPUTED_VALUE"""),"Band Level I")</f>
        <v>Band Level I</v>
      </c>
      <c r="E2871" s="3">
        <f>IFERROR(__xludf.DUMMYFUNCTION("""COMPUTED_VALUE"""),8.0)</f>
        <v>8</v>
      </c>
      <c r="F2871" s="300">
        <v>1.0</v>
      </c>
      <c r="G2871" s="300">
        <v>1.0</v>
      </c>
      <c r="H2871" s="300">
        <v>1.0</v>
      </c>
      <c r="I2871" s="300">
        <v>1.0</v>
      </c>
      <c r="J2871" s="300">
        <v>1.0</v>
      </c>
      <c r="K2871" s="300">
        <v>1.0</v>
      </c>
      <c r="L2871" s="300">
        <v>1.0</v>
      </c>
      <c r="M2871" s="300">
        <v>1.0</v>
      </c>
      <c r="N2871" s="300">
        <v>8.0</v>
      </c>
      <c r="O2871" s="300" t="s">
        <v>943</v>
      </c>
      <c r="P2871" s="300">
        <v>4.0</v>
      </c>
    </row>
    <row r="2872">
      <c r="A2872">
        <f>IFERROR(__xludf.DUMMYFUNCTION("""COMPUTED_VALUE"""),11.0)</f>
        <v>11</v>
      </c>
      <c r="B2872" s="406">
        <f>IFERROR(__xludf.DUMMYFUNCTION("""COMPUTED_VALUE"""),27002.0)</f>
        <v>27002</v>
      </c>
      <c r="C2872" t="str">
        <f>IFERROR(__xludf.DUMMYFUNCTION("""COMPUTED_VALUE"""),"AGUDELO LUJAN, ARIANA")</f>
        <v>AGUDELO LUJAN, ARIANA</v>
      </c>
      <c r="D2872" t="str">
        <f>IFERROR(__xludf.DUMMYFUNCTION("""COMPUTED_VALUE"""),"Drawing I")</f>
        <v>Drawing I</v>
      </c>
      <c r="E2872" s="3">
        <f>IFERROR(__xludf.DUMMYFUNCTION("""COMPUTED_VALUE"""),8.0)</f>
        <v>8</v>
      </c>
      <c r="F2872" s="300">
        <v>1.0</v>
      </c>
      <c r="G2872" s="300">
        <v>1.0</v>
      </c>
      <c r="H2872" s="300">
        <v>1.0</v>
      </c>
      <c r="I2872" s="300">
        <v>1.0</v>
      </c>
      <c r="J2872" s="300">
        <v>1.0</v>
      </c>
      <c r="K2872" s="300">
        <v>1.0</v>
      </c>
      <c r="L2872" s="300">
        <v>1.0</v>
      </c>
      <c r="M2872" s="300">
        <v>1.0</v>
      </c>
      <c r="N2872" s="300">
        <v>8.0</v>
      </c>
      <c r="O2872" s="300" t="s">
        <v>944</v>
      </c>
      <c r="P2872" s="300">
        <v>2.0</v>
      </c>
    </row>
    <row r="2873">
      <c r="A2873">
        <f>IFERROR(__xludf.DUMMYFUNCTION("""COMPUTED_VALUE"""),11.0)</f>
        <v>11</v>
      </c>
      <c r="B2873" s="406">
        <f>IFERROR(__xludf.DUMMYFUNCTION("""COMPUTED_VALUE"""),27001.0)</f>
        <v>27001</v>
      </c>
      <c r="C2873" t="str">
        <f>IFERROR(__xludf.DUMMYFUNCTION("""COMPUTED_VALUE"""),"ACOSTA VILLA, LUCIANO")</f>
        <v>ACOSTA VILLA, LUCIANO</v>
      </c>
      <c r="D2873" t="str">
        <f>IFERROR(__xludf.DUMMYFUNCTION("""COMPUTED_VALUE"""),"Painting II")</f>
        <v>Painting II</v>
      </c>
      <c r="E2873" s="3">
        <f>IFERROR(__xludf.DUMMYFUNCTION("""COMPUTED_VALUE"""),1.0)</f>
        <v>1</v>
      </c>
      <c r="F2873" s="300">
        <v>1.0</v>
      </c>
      <c r="G2873" s="300">
        <v>1.0</v>
      </c>
      <c r="H2873" s="300">
        <v>1.0</v>
      </c>
      <c r="I2873" s="300">
        <v>1.0</v>
      </c>
      <c r="J2873" s="300">
        <v>1.0</v>
      </c>
      <c r="K2873" s="300">
        <v>1.0</v>
      </c>
      <c r="L2873" s="300">
        <v>1.0</v>
      </c>
      <c r="M2873" s="300">
        <v>1.0</v>
      </c>
      <c r="N2873" s="300">
        <v>8.0</v>
      </c>
      <c r="O2873" s="300" t="s">
        <v>939</v>
      </c>
      <c r="P2873" s="300">
        <v>2.0</v>
      </c>
    </row>
    <row r="2874">
      <c r="A2874">
        <f>IFERROR(__xludf.DUMMYFUNCTION("""COMPUTED_VALUE"""),11.0)</f>
        <v>11</v>
      </c>
      <c r="B2874" s="406">
        <f>IFERROR(__xludf.DUMMYFUNCTION("""COMPUTED_VALUE"""),26040.0)</f>
        <v>26040</v>
      </c>
      <c r="C2874" t="str">
        <f>IFERROR(__xludf.DUMMYFUNCTION("""COMPUTED_VALUE"""),"GOMEZ VASQUEZ, MATIAS")</f>
        <v>GOMEZ VASQUEZ, MATIAS</v>
      </c>
      <c r="D2874" t="str">
        <f>IFERROR(__xludf.DUMMYFUNCTION("""COMPUTED_VALUE"""),"Band Level I")</f>
        <v>Band Level I</v>
      </c>
      <c r="E2874" s="3">
        <f>IFERROR(__xludf.DUMMYFUNCTION("""COMPUTED_VALUE"""),4.0)</f>
        <v>4</v>
      </c>
      <c r="F2874" s="300">
        <v>1.0</v>
      </c>
      <c r="G2874" s="300">
        <v>1.0</v>
      </c>
      <c r="H2874" s="300">
        <v>1.0</v>
      </c>
      <c r="I2874" s="300">
        <v>1.0</v>
      </c>
      <c r="J2874" s="300">
        <v>1.0</v>
      </c>
      <c r="K2874" s="300">
        <v>1.0</v>
      </c>
      <c r="L2874" s="300">
        <v>1.0</v>
      </c>
      <c r="M2874" s="300">
        <v>1.0</v>
      </c>
      <c r="N2874" s="300">
        <v>8.0</v>
      </c>
      <c r="O2874" s="300" t="s">
        <v>937</v>
      </c>
      <c r="P2874" s="300">
        <v>4.0</v>
      </c>
    </row>
    <row r="2875">
      <c r="A2875">
        <f>IFERROR(__xludf.DUMMYFUNCTION("""COMPUTED_VALUE"""),11.0)</f>
        <v>11</v>
      </c>
      <c r="B2875" s="406">
        <f>IFERROR(__xludf.DUMMYFUNCTION("""COMPUTED_VALUE"""),27086.0)</f>
        <v>27086</v>
      </c>
      <c r="C2875" t="str">
        <f>IFERROR(__xludf.DUMMYFUNCTION("""COMPUTED_VALUE"""),"PEREZ ECHAVARRIA, TOMAS")</f>
        <v>PEREZ ECHAVARRIA, TOMAS</v>
      </c>
      <c r="D2875" t="str">
        <f>IFERROR(__xludf.DUMMYFUNCTION("""COMPUTED_VALUE"""),"Painting I")</f>
        <v>Painting I</v>
      </c>
      <c r="E2875" s="3">
        <f>IFERROR(__xludf.DUMMYFUNCTION("""COMPUTED_VALUE"""),5.0)</f>
        <v>5</v>
      </c>
      <c r="F2875" s="300">
        <v>1.0</v>
      </c>
      <c r="G2875" s="300">
        <v>1.0</v>
      </c>
      <c r="H2875" s="300">
        <v>1.0</v>
      </c>
      <c r="I2875" s="300">
        <v>1.0</v>
      </c>
      <c r="J2875" s="300">
        <v>1.0</v>
      </c>
      <c r="K2875" s="300">
        <v>1.0</v>
      </c>
      <c r="L2875" s="300">
        <v>1.0</v>
      </c>
      <c r="M2875" s="300">
        <v>1.0</v>
      </c>
      <c r="N2875" s="300">
        <v>8.0</v>
      </c>
      <c r="O2875" s="300" t="s">
        <v>945</v>
      </c>
      <c r="P2875" s="300">
        <v>4.0</v>
      </c>
    </row>
    <row r="2876">
      <c r="A2876">
        <f>IFERROR(__xludf.DUMMYFUNCTION("""COMPUTED_VALUE"""),11.0)</f>
        <v>11</v>
      </c>
      <c r="B2876" s="406">
        <f>IFERROR(__xludf.DUMMYFUNCTION("""COMPUTED_VALUE"""),27060.0)</f>
        <v>27060</v>
      </c>
      <c r="C2876" t="str">
        <f>IFERROR(__xludf.DUMMYFUNCTION("""COMPUTED_VALUE"""),"MALDONADO SALDARRIAGA, ALEJANDRO")</f>
        <v>MALDONADO SALDARRIAGA, ALEJANDRO</v>
      </c>
      <c r="D2876" t="str">
        <f>IFERROR(__xludf.DUMMYFUNCTION("""COMPUTED_VALUE"""),"Band Level I")</f>
        <v>Band Level I</v>
      </c>
      <c r="E2876" s="3">
        <f>IFERROR(__xludf.DUMMYFUNCTION("""COMPUTED_VALUE"""),8.0)</f>
        <v>8</v>
      </c>
      <c r="F2876" s="300">
        <v>1.0</v>
      </c>
      <c r="G2876" s="300">
        <v>1.0</v>
      </c>
      <c r="H2876" s="300">
        <v>1.0</v>
      </c>
      <c r="I2876" s="300">
        <v>1.0</v>
      </c>
      <c r="J2876" s="300">
        <v>1.0</v>
      </c>
      <c r="K2876" s="300">
        <v>1.0</v>
      </c>
      <c r="L2876" s="300">
        <v>1.0</v>
      </c>
      <c r="M2876" s="300">
        <v>1.0</v>
      </c>
      <c r="N2876" s="300">
        <v>8.0</v>
      </c>
      <c r="O2876" s="300" t="s">
        <v>943</v>
      </c>
      <c r="P2876" s="300">
        <v>4.0</v>
      </c>
    </row>
    <row r="2877">
      <c r="A2877">
        <f>IFERROR(__xludf.DUMMYFUNCTION("""COMPUTED_VALUE"""),11.0)</f>
        <v>11</v>
      </c>
      <c r="B2877" s="406">
        <f>IFERROR(__xludf.DUMMYFUNCTION("""COMPUTED_VALUE"""),27043.0)</f>
        <v>27043</v>
      </c>
      <c r="C2877" t="str">
        <f>IFERROR(__xludf.DUMMYFUNCTION("""COMPUTED_VALUE"""),"GAVIRIA ISAZA, TOMAS")</f>
        <v>GAVIRIA ISAZA, TOMAS</v>
      </c>
      <c r="D2877" t="str">
        <f>IFERROR(__xludf.DUMMYFUNCTION("""COMPUTED_VALUE"""),"Drawing I")</f>
        <v>Drawing I</v>
      </c>
      <c r="E2877" s="3">
        <f>IFERROR(__xludf.DUMMYFUNCTION("""COMPUTED_VALUE"""),3.0)</f>
        <v>3</v>
      </c>
      <c r="F2877" s="300">
        <v>1.0</v>
      </c>
      <c r="G2877" s="300">
        <v>1.0</v>
      </c>
      <c r="H2877" s="300">
        <v>1.0</v>
      </c>
      <c r="I2877" s="300">
        <v>1.0</v>
      </c>
      <c r="J2877" s="300">
        <v>1.0</v>
      </c>
      <c r="K2877" s="300">
        <v>1.0</v>
      </c>
      <c r="L2877" s="300">
        <v>1.0</v>
      </c>
      <c r="M2877" s="300">
        <v>1.0</v>
      </c>
      <c r="N2877" s="300">
        <v>8.0</v>
      </c>
      <c r="O2877" s="300" t="s">
        <v>938</v>
      </c>
      <c r="P2877" s="300">
        <v>2.0</v>
      </c>
    </row>
    <row r="2878">
      <c r="A2878">
        <f>IFERROR(__xludf.DUMMYFUNCTION("""COMPUTED_VALUE"""),11.0)</f>
        <v>11</v>
      </c>
      <c r="B2878" s="406">
        <f>IFERROR(__xludf.DUMMYFUNCTION("""COMPUTED_VALUE"""),27050.0)</f>
        <v>27050</v>
      </c>
      <c r="C2878" t="str">
        <f>IFERROR(__xludf.DUMMYFUNCTION("""COMPUTED_VALUE"""),"HURTADO ARISTIZABAL, PAULINA")</f>
        <v>HURTADO ARISTIZABAL, PAULINA</v>
      </c>
      <c r="D2878" t="str">
        <f>IFERROR(__xludf.DUMMYFUNCTION("""COMPUTED_VALUE"""),"Band Level I")</f>
        <v>Band Level I</v>
      </c>
      <c r="E2878" s="3">
        <f>IFERROR(__xludf.DUMMYFUNCTION("""COMPUTED_VALUE"""),4.0)</f>
        <v>4</v>
      </c>
      <c r="F2878" s="300">
        <v>1.0</v>
      </c>
      <c r="G2878" s="300">
        <v>1.0</v>
      </c>
      <c r="H2878" s="300">
        <v>1.0</v>
      </c>
      <c r="I2878" s="300">
        <v>1.0</v>
      </c>
      <c r="J2878" s="300">
        <v>1.0</v>
      </c>
      <c r="K2878" s="300">
        <v>1.0</v>
      </c>
      <c r="L2878" s="300">
        <v>1.0</v>
      </c>
      <c r="M2878" s="300">
        <v>1.0</v>
      </c>
      <c r="N2878" s="300">
        <v>8.0</v>
      </c>
      <c r="O2878" s="300" t="s">
        <v>937</v>
      </c>
      <c r="P2878" s="300">
        <v>4.0</v>
      </c>
    </row>
    <row r="2879">
      <c r="A2879">
        <f>IFERROR(__xludf.DUMMYFUNCTION("""COMPUTED_VALUE"""),11.0)</f>
        <v>11</v>
      </c>
      <c r="B2879" s="406">
        <f>IFERROR(__xludf.DUMMYFUNCTION("""COMPUTED_VALUE"""),27038.0)</f>
        <v>27038</v>
      </c>
      <c r="C2879" t="str">
        <f>IFERROR(__xludf.DUMMYFUNCTION("""COMPUTED_VALUE"""),"GALLEGO CUARTAS, FELIPE")</f>
        <v>GALLEGO CUARTAS, FELIPE</v>
      </c>
      <c r="D2879" t="str">
        <f>IFERROR(__xludf.DUMMYFUNCTION("""COMPUTED_VALUE"""),"Band Level I")</f>
        <v>Band Level I</v>
      </c>
      <c r="E2879" s="3">
        <f>IFERROR(__xludf.DUMMYFUNCTION("""COMPUTED_VALUE"""),7.0)</f>
        <v>7</v>
      </c>
      <c r="F2879" s="300">
        <v>1.0</v>
      </c>
      <c r="G2879" s="300">
        <v>1.0</v>
      </c>
      <c r="H2879" s="300">
        <v>1.0</v>
      </c>
      <c r="I2879" s="300">
        <v>1.0</v>
      </c>
      <c r="J2879" s="300">
        <v>1.0</v>
      </c>
      <c r="K2879" s="300">
        <v>1.0</v>
      </c>
      <c r="L2879" s="300">
        <v>1.0</v>
      </c>
      <c r="M2879" s="300">
        <v>1.0</v>
      </c>
      <c r="N2879" s="300">
        <v>8.0</v>
      </c>
      <c r="O2879" s="300" t="s">
        <v>936</v>
      </c>
      <c r="P2879" s="300">
        <v>4.0</v>
      </c>
    </row>
    <row r="2880">
      <c r="A2880">
        <f>IFERROR(__xludf.DUMMYFUNCTION("""COMPUTED_VALUE"""),11.0)</f>
        <v>11</v>
      </c>
      <c r="B2880" s="406">
        <f>IFERROR(__xludf.DUMMYFUNCTION("""COMPUTED_VALUE"""),27078.0)</f>
        <v>27078</v>
      </c>
      <c r="C2880" t="str">
        <f>IFERROR(__xludf.DUMMYFUNCTION("""COMPUTED_VALUE"""),"ORSINI COCK, TOMMASO MARIA")</f>
        <v>ORSINI COCK, TOMMASO MARIA</v>
      </c>
      <c r="D2880" t="str">
        <f>IFERROR(__xludf.DUMMYFUNCTION("""COMPUTED_VALUE"""),"Band Level II")</f>
        <v>Band Level II</v>
      </c>
      <c r="E2880" s="3">
        <f>IFERROR(__xludf.DUMMYFUNCTION("""COMPUTED_VALUE"""),2.0)</f>
        <v>2</v>
      </c>
      <c r="F2880" s="300">
        <v>1.0</v>
      </c>
      <c r="G2880" s="300">
        <v>1.0</v>
      </c>
      <c r="H2880" s="300">
        <v>1.0</v>
      </c>
      <c r="I2880" s="300">
        <v>1.0</v>
      </c>
      <c r="J2880" s="300">
        <v>1.0</v>
      </c>
      <c r="K2880" s="300">
        <v>1.0</v>
      </c>
      <c r="L2880" s="300">
        <v>1.0</v>
      </c>
      <c r="M2880" s="300">
        <v>1.0</v>
      </c>
      <c r="N2880" s="300">
        <v>8.0</v>
      </c>
      <c r="O2880" s="300" t="s">
        <v>940</v>
      </c>
      <c r="P2880" s="300">
        <v>2.0</v>
      </c>
    </row>
    <row r="2881">
      <c r="A2881">
        <f>IFERROR(__xludf.DUMMYFUNCTION("""COMPUTED_VALUE"""),11.0)</f>
        <v>11</v>
      </c>
      <c r="B2881" s="406">
        <f>IFERROR(__xludf.DUMMYFUNCTION("""COMPUTED_VALUE"""),26023.0)</f>
        <v>26023</v>
      </c>
      <c r="C2881" t="str">
        <f>IFERROR(__xludf.DUMMYFUNCTION("""COMPUTED_VALUE"""),"CORREA VELEZ, ALEJANDRO")</f>
        <v>CORREA VELEZ, ALEJANDRO</v>
      </c>
      <c r="D2881" t="str">
        <f>IFERROR(__xludf.DUMMYFUNCTION("""COMPUTED_VALUE"""),"Painting II")</f>
        <v>Painting II</v>
      </c>
      <c r="E2881" s="3">
        <f>IFERROR(__xludf.DUMMYFUNCTION("""COMPUTED_VALUE"""),7.0)</f>
        <v>7</v>
      </c>
      <c r="F2881" s="300">
        <v>1.0</v>
      </c>
      <c r="G2881" s="300">
        <v>1.0</v>
      </c>
      <c r="H2881" s="300">
        <v>1.0</v>
      </c>
      <c r="I2881" s="300">
        <v>1.0</v>
      </c>
      <c r="J2881" s="300">
        <v>1.0</v>
      </c>
      <c r="K2881" s="300">
        <v>1.0</v>
      </c>
      <c r="L2881" s="300">
        <v>1.0</v>
      </c>
      <c r="M2881" s="300">
        <v>1.0</v>
      </c>
      <c r="N2881" s="300">
        <v>8.0</v>
      </c>
      <c r="O2881" s="300" t="s">
        <v>935</v>
      </c>
      <c r="P2881" s="300">
        <v>2.0</v>
      </c>
    </row>
    <row r="2882">
      <c r="A2882">
        <f>IFERROR(__xludf.DUMMYFUNCTION("""COMPUTED_VALUE"""),11.0)</f>
        <v>11</v>
      </c>
      <c r="B2882" s="406">
        <f>IFERROR(__xludf.DUMMYFUNCTION("""COMPUTED_VALUE"""),27012.0)</f>
        <v>27012</v>
      </c>
      <c r="C2882" t="str">
        <f>IFERROR(__xludf.DUMMYFUNCTION("""COMPUTED_VALUE"""),"ATEHORTUA MORENO, TOMAS")</f>
        <v>ATEHORTUA MORENO, TOMAS</v>
      </c>
      <c r="D2882" t="str">
        <f>IFERROR(__xludf.DUMMYFUNCTION("""COMPUTED_VALUE"""),"Painting II")</f>
        <v>Painting II</v>
      </c>
      <c r="E2882" s="3">
        <f>IFERROR(__xludf.DUMMYFUNCTION("""COMPUTED_VALUE"""),1.0)</f>
        <v>1</v>
      </c>
      <c r="F2882" s="300">
        <v>1.0</v>
      </c>
      <c r="G2882" s="300">
        <v>1.0</v>
      </c>
      <c r="H2882" s="300">
        <v>1.0</v>
      </c>
      <c r="I2882" s="300">
        <v>1.0</v>
      </c>
      <c r="J2882" s="300">
        <v>1.0</v>
      </c>
      <c r="K2882" s="300">
        <v>1.0</v>
      </c>
      <c r="L2882" s="300">
        <v>1.0</v>
      </c>
      <c r="M2882" s="300">
        <v>1.0</v>
      </c>
      <c r="N2882" s="300">
        <v>8.0</v>
      </c>
      <c r="O2882" s="300" t="s">
        <v>939</v>
      </c>
      <c r="P2882" s="300">
        <v>2.0</v>
      </c>
    </row>
    <row r="2883">
      <c r="A2883">
        <f>IFERROR(__xludf.DUMMYFUNCTION("""COMPUTED_VALUE"""),11.0)</f>
        <v>11</v>
      </c>
      <c r="B2883" s="406">
        <f>IFERROR(__xludf.DUMMYFUNCTION("""COMPUTED_VALUE"""),28120.0)</f>
        <v>28120</v>
      </c>
      <c r="C2883" t="str">
        <f>IFERROR(__xludf.DUMMYFUNCTION("""COMPUTED_VALUE"""),"SALCEDO PERICO, JUAN MARTIN")</f>
        <v>SALCEDO PERICO, JUAN MARTIN</v>
      </c>
      <c r="D2883" t="str">
        <f>IFERROR(__xludf.DUMMYFUNCTION("""COMPUTED_VALUE"""),"Painting I")</f>
        <v>Painting I</v>
      </c>
      <c r="E2883" s="3">
        <f>IFERROR(__xludf.DUMMYFUNCTION("""COMPUTED_VALUE"""),4.0)</f>
        <v>4</v>
      </c>
      <c r="F2883" s="300">
        <v>1.0</v>
      </c>
      <c r="G2883" s="300">
        <v>1.0</v>
      </c>
      <c r="H2883" s="300">
        <v>1.0</v>
      </c>
      <c r="I2883" s="300">
        <v>1.0</v>
      </c>
      <c r="J2883" s="300">
        <v>1.0</v>
      </c>
      <c r="K2883" s="300">
        <v>1.0</v>
      </c>
      <c r="L2883" s="300">
        <v>1.0</v>
      </c>
      <c r="M2883" s="300">
        <v>1.0</v>
      </c>
      <c r="N2883" s="300">
        <v>8.0</v>
      </c>
      <c r="O2883" s="300" t="s">
        <v>946</v>
      </c>
      <c r="P2883" s="300">
        <v>4.0</v>
      </c>
    </row>
    <row r="2884">
      <c r="A2884">
        <f>IFERROR(__xludf.DUMMYFUNCTION("""COMPUTED_VALUE"""),11.0)</f>
        <v>11</v>
      </c>
      <c r="B2884" s="406">
        <f>IFERROR(__xludf.DUMMYFUNCTION("""COMPUTED_VALUE"""),27089.0)</f>
        <v>27089</v>
      </c>
      <c r="C2884" t="str">
        <f>IFERROR(__xludf.DUMMYFUNCTION("""COMPUTED_VALUE"""),"PEREZ VELEZ, JERONIMO")</f>
        <v>PEREZ VELEZ, JERONIMO</v>
      </c>
      <c r="D2884" t="str">
        <f>IFERROR(__xludf.DUMMYFUNCTION("""COMPUTED_VALUE"""),"Painting II")</f>
        <v>Painting II</v>
      </c>
      <c r="E2884" s="3">
        <f>IFERROR(__xludf.DUMMYFUNCTION("""COMPUTED_VALUE"""),1.0)</f>
        <v>1</v>
      </c>
      <c r="F2884" s="300">
        <v>1.0</v>
      </c>
      <c r="G2884" s="300">
        <v>1.0</v>
      </c>
      <c r="H2884" s="300">
        <v>1.0</v>
      </c>
      <c r="I2884" s="300">
        <v>1.0</v>
      </c>
      <c r="J2884" s="300">
        <v>1.0</v>
      </c>
      <c r="K2884" s="300">
        <v>1.0</v>
      </c>
      <c r="L2884" s="300">
        <v>1.0</v>
      </c>
      <c r="M2884" s="300">
        <v>1.0</v>
      </c>
      <c r="N2884" s="300">
        <v>8.0</v>
      </c>
      <c r="O2884" s="300" t="s">
        <v>939</v>
      </c>
      <c r="P2884" s="300">
        <v>2.0</v>
      </c>
    </row>
    <row r="2885">
      <c r="A2885">
        <f>IFERROR(__xludf.DUMMYFUNCTION("""COMPUTED_VALUE"""),11.0)</f>
        <v>11</v>
      </c>
      <c r="B2885" s="406">
        <f>IFERROR(__xludf.DUMMYFUNCTION("""COMPUTED_VALUE"""),27142.0)</f>
        <v>27142</v>
      </c>
      <c r="C2885" t="str">
        <f>IFERROR(__xludf.DUMMYFUNCTION("""COMPUTED_VALUE"""),"ECHAVARRIA OCHOA, MARIANA")</f>
        <v>ECHAVARRIA OCHOA, MARIANA</v>
      </c>
      <c r="D2885" t="str">
        <f>IFERROR(__xludf.DUMMYFUNCTION("""COMPUTED_VALUE"""),"Painting I")</f>
        <v>Painting I</v>
      </c>
      <c r="E2885" s="3">
        <f>IFERROR(__xludf.DUMMYFUNCTION("""COMPUTED_VALUE"""),5.0)</f>
        <v>5</v>
      </c>
      <c r="F2885" s="300">
        <v>1.0</v>
      </c>
      <c r="G2885" s="300">
        <v>1.0</v>
      </c>
      <c r="H2885" s="300">
        <v>1.0</v>
      </c>
      <c r="I2885" s="300">
        <v>1.0</v>
      </c>
      <c r="J2885" s="300">
        <v>1.0</v>
      </c>
      <c r="K2885" s="300">
        <v>1.0</v>
      </c>
      <c r="L2885" s="300">
        <v>1.0</v>
      </c>
      <c r="M2885" s="300">
        <v>1.0</v>
      </c>
      <c r="N2885" s="300">
        <v>8.0</v>
      </c>
      <c r="O2885" s="300" t="s">
        <v>945</v>
      </c>
      <c r="P2885" s="300">
        <v>4.0</v>
      </c>
    </row>
    <row r="2886">
      <c r="A2886">
        <f>IFERROR(__xludf.DUMMYFUNCTION("""COMPUTED_VALUE"""),11.0)</f>
        <v>11</v>
      </c>
      <c r="B2886" s="406">
        <f>IFERROR(__xludf.DUMMYFUNCTION("""COMPUTED_VALUE"""),27044.0)</f>
        <v>27044</v>
      </c>
      <c r="C2886" t="str">
        <f>IFERROR(__xludf.DUMMYFUNCTION("""COMPUTED_VALUE"""),"GOMEZ GOMEZ, EMILIO")</f>
        <v>GOMEZ GOMEZ, EMILIO</v>
      </c>
      <c r="D2886" t="str">
        <f>IFERROR(__xludf.DUMMYFUNCTION("""COMPUTED_VALUE"""),"Drawing I")</f>
        <v>Drawing I</v>
      </c>
      <c r="E2886" s="3">
        <f>IFERROR(__xludf.DUMMYFUNCTION("""COMPUTED_VALUE"""),8.0)</f>
        <v>8</v>
      </c>
      <c r="F2886" s="300">
        <v>1.0</v>
      </c>
      <c r="G2886" s="300">
        <v>1.0</v>
      </c>
      <c r="H2886" s="300">
        <v>1.0</v>
      </c>
      <c r="I2886" s="300">
        <v>1.0</v>
      </c>
      <c r="J2886" s="300">
        <v>1.0</v>
      </c>
      <c r="K2886" s="300">
        <v>1.0</v>
      </c>
      <c r="L2886" s="300">
        <v>1.0</v>
      </c>
      <c r="M2886" s="300">
        <v>1.0</v>
      </c>
      <c r="N2886" s="300">
        <v>8.0</v>
      </c>
      <c r="O2886" s="300" t="s">
        <v>944</v>
      </c>
      <c r="P2886" s="300">
        <v>2.0</v>
      </c>
    </row>
    <row r="2887">
      <c r="A2887">
        <f>IFERROR(__xludf.DUMMYFUNCTION("""COMPUTED_VALUE"""),11.0)</f>
        <v>11</v>
      </c>
      <c r="B2887" s="406">
        <f>IFERROR(__xludf.DUMMYFUNCTION("""COMPUTED_VALUE"""),27029.0)</f>
        <v>27029</v>
      </c>
      <c r="C2887" t="str">
        <f>IFERROR(__xludf.DUMMYFUNCTION("""COMPUTED_VALUE"""),"DUQUE OCHOA, MARIANA")</f>
        <v>DUQUE OCHOA, MARIANA</v>
      </c>
      <c r="D2887" t="str">
        <f>IFERROR(__xludf.DUMMYFUNCTION("""COMPUTED_VALUE"""),"Painting II")</f>
        <v>Painting II</v>
      </c>
      <c r="E2887" s="3">
        <f>IFERROR(__xludf.DUMMYFUNCTION("""COMPUTED_VALUE"""),7.0)</f>
        <v>7</v>
      </c>
      <c r="F2887" s="300">
        <v>1.0</v>
      </c>
      <c r="G2887" s="300">
        <v>1.0</v>
      </c>
      <c r="H2887" s="300">
        <v>1.0</v>
      </c>
      <c r="I2887" s="300">
        <v>1.0</v>
      </c>
      <c r="J2887" s="300">
        <v>1.0</v>
      </c>
      <c r="K2887" s="300">
        <v>1.0</v>
      </c>
      <c r="L2887" s="300">
        <v>1.0</v>
      </c>
      <c r="M2887" s="300">
        <v>1.0</v>
      </c>
      <c r="N2887" s="300">
        <v>8.0</v>
      </c>
      <c r="O2887" s="300" t="s">
        <v>935</v>
      </c>
      <c r="P2887" s="300">
        <v>2.0</v>
      </c>
    </row>
    <row r="2888">
      <c r="A2888">
        <f>IFERROR(__xludf.DUMMYFUNCTION("""COMPUTED_VALUE"""),11.0)</f>
        <v>11</v>
      </c>
      <c r="B2888" s="406">
        <f>IFERROR(__xludf.DUMMYFUNCTION("""COMPUTED_VALUE"""),27036.0)</f>
        <v>27036</v>
      </c>
      <c r="C2888" t="str">
        <f>IFERROR(__xludf.DUMMYFUNCTION("""COMPUTED_VALUE"""),"FERNANDEZ DUQUE, BENJAMIN")</f>
        <v>FERNANDEZ DUQUE, BENJAMIN</v>
      </c>
      <c r="D2888" t="str">
        <f>IFERROR(__xludf.DUMMYFUNCTION("""COMPUTED_VALUE"""),"Band Level I")</f>
        <v>Band Level I</v>
      </c>
      <c r="E2888" s="3">
        <f>IFERROR(__xludf.DUMMYFUNCTION("""COMPUTED_VALUE"""),4.0)</f>
        <v>4</v>
      </c>
      <c r="F2888" s="300">
        <v>1.0</v>
      </c>
      <c r="G2888" s="300">
        <v>1.0</v>
      </c>
      <c r="H2888" s="300">
        <v>1.0</v>
      </c>
      <c r="I2888" s="300">
        <v>1.0</v>
      </c>
      <c r="J2888" s="300">
        <v>1.0</v>
      </c>
      <c r="K2888" s="300">
        <v>1.0</v>
      </c>
      <c r="L2888" s="300">
        <v>1.0</v>
      </c>
      <c r="M2888" s="300">
        <v>1.0</v>
      </c>
      <c r="N2888" s="300">
        <v>8.0</v>
      </c>
      <c r="O2888" s="300" t="s">
        <v>937</v>
      </c>
      <c r="P2888" s="300">
        <v>4.0</v>
      </c>
    </row>
    <row r="2889">
      <c r="A2889">
        <f>IFERROR(__xludf.DUMMYFUNCTION("""COMPUTED_VALUE"""),11.0)</f>
        <v>11</v>
      </c>
      <c r="B2889" s="406">
        <f>IFERROR(__xludf.DUMMYFUNCTION("""COMPUTED_VALUE"""),27076.0)</f>
        <v>27076</v>
      </c>
      <c r="C2889" t="str">
        <f>IFERROR(__xludf.DUMMYFUNCTION("""COMPUTED_VALUE"""),"MORA SERANI, LAURA")</f>
        <v>MORA SERANI, LAURA</v>
      </c>
      <c r="D2889" t="str">
        <f>IFERROR(__xludf.DUMMYFUNCTION("""COMPUTED_VALUE"""),"Band Level I")</f>
        <v>Band Level I</v>
      </c>
      <c r="E2889" s="3">
        <f>IFERROR(__xludf.DUMMYFUNCTION("""COMPUTED_VALUE"""),8.0)</f>
        <v>8</v>
      </c>
      <c r="F2889" s="300">
        <v>1.0</v>
      </c>
      <c r="G2889" s="300">
        <v>1.0</v>
      </c>
      <c r="H2889" s="300">
        <v>1.0</v>
      </c>
      <c r="I2889" s="300">
        <v>1.0</v>
      </c>
      <c r="J2889" s="300">
        <v>1.0</v>
      </c>
      <c r="K2889" s="300">
        <v>1.0</v>
      </c>
      <c r="L2889" s="300">
        <v>1.0</v>
      </c>
      <c r="M2889" s="300">
        <v>1.0</v>
      </c>
      <c r="N2889" s="300">
        <v>8.0</v>
      </c>
      <c r="O2889" s="300" t="s">
        <v>943</v>
      </c>
      <c r="P2889" s="300">
        <v>4.0</v>
      </c>
    </row>
    <row r="2890">
      <c r="A2890">
        <f>IFERROR(__xludf.DUMMYFUNCTION("""COMPUTED_VALUE"""),11.0)</f>
        <v>11</v>
      </c>
      <c r="B2890" s="406">
        <f>IFERROR(__xludf.DUMMYFUNCTION("""COMPUTED_VALUE"""),26024.0)</f>
        <v>26024</v>
      </c>
      <c r="C2890" t="str">
        <f>IFERROR(__xludf.DUMMYFUNCTION("""COMPUTED_VALUE"""),"DIAZ RIVERA, TOMAS")</f>
        <v>DIAZ RIVERA, TOMAS</v>
      </c>
      <c r="D2890" t="str">
        <f>IFERROR(__xludf.DUMMYFUNCTION("""COMPUTED_VALUE"""),"Painting I")</f>
        <v>Painting I</v>
      </c>
      <c r="E2890" s="3">
        <f>IFERROR(__xludf.DUMMYFUNCTION("""COMPUTED_VALUE"""),5.0)</f>
        <v>5</v>
      </c>
      <c r="F2890" s="300">
        <v>1.0</v>
      </c>
      <c r="G2890" s="300">
        <v>1.0</v>
      </c>
      <c r="H2890" s="300">
        <v>1.0</v>
      </c>
      <c r="I2890" s="300">
        <v>1.0</v>
      </c>
      <c r="J2890" s="300">
        <v>1.0</v>
      </c>
      <c r="K2890" s="300">
        <v>1.0</v>
      </c>
      <c r="L2890" s="300">
        <v>1.0</v>
      </c>
      <c r="M2890" s="300">
        <v>1.0</v>
      </c>
      <c r="N2890" s="300">
        <v>8.0</v>
      </c>
      <c r="O2890" s="300" t="s">
        <v>945</v>
      </c>
      <c r="P2890" s="300">
        <v>4.0</v>
      </c>
    </row>
    <row r="2891">
      <c r="A2891">
        <f>IFERROR(__xludf.DUMMYFUNCTION("""COMPUTED_VALUE"""),11.0)</f>
        <v>11</v>
      </c>
      <c r="B2891" s="406">
        <f>IFERROR(__xludf.DUMMYFUNCTION("""COMPUTED_VALUE"""),27067.0)</f>
        <v>27067</v>
      </c>
      <c r="C2891" t="str">
        <f>IFERROR(__xludf.DUMMYFUNCTION("""COMPUTED_VALUE"""),"MENDIVELSO JARAMILLO, SAMUEL")</f>
        <v>MENDIVELSO JARAMILLO, SAMUEL</v>
      </c>
      <c r="D2891" t="str">
        <f>IFERROR(__xludf.DUMMYFUNCTION("""COMPUTED_VALUE"""),"Painting I")</f>
        <v>Painting I</v>
      </c>
      <c r="E2891" s="3">
        <f>IFERROR(__xludf.DUMMYFUNCTION("""COMPUTED_VALUE"""),5.0)</f>
        <v>5</v>
      </c>
      <c r="F2891" s="300">
        <v>1.0</v>
      </c>
      <c r="G2891" s="300">
        <v>1.0</v>
      </c>
      <c r="H2891" s="300">
        <v>1.0</v>
      </c>
      <c r="I2891" s="300">
        <v>1.0</v>
      </c>
      <c r="J2891" s="300">
        <v>1.0</v>
      </c>
      <c r="K2891" s="300">
        <v>1.0</v>
      </c>
      <c r="L2891" s="300">
        <v>1.0</v>
      </c>
      <c r="M2891" s="300">
        <v>1.0</v>
      </c>
      <c r="N2891" s="300">
        <v>8.0</v>
      </c>
      <c r="O2891" s="300" t="s">
        <v>945</v>
      </c>
      <c r="P2891" s="300">
        <v>4.0</v>
      </c>
    </row>
    <row r="2892">
      <c r="A2892">
        <f>IFERROR(__xludf.DUMMYFUNCTION("""COMPUTED_VALUE"""),11.0)</f>
        <v>11</v>
      </c>
      <c r="B2892" s="406">
        <f>IFERROR(__xludf.DUMMYFUNCTION("""COMPUTED_VALUE"""),27048.0)</f>
        <v>27048</v>
      </c>
      <c r="C2892" t="str">
        <f>IFERROR(__xludf.DUMMYFUNCTION("""COMPUTED_VALUE"""),"HARRY DURAN, MANUELA")</f>
        <v>HARRY DURAN, MANUELA</v>
      </c>
      <c r="D2892" t="str">
        <f>IFERROR(__xludf.DUMMYFUNCTION("""COMPUTED_VALUE"""),"Painting I")</f>
        <v>Painting I</v>
      </c>
      <c r="E2892" s="3">
        <f>IFERROR(__xludf.DUMMYFUNCTION("""COMPUTED_VALUE"""),7.0)</f>
        <v>7</v>
      </c>
      <c r="F2892" s="300">
        <v>1.0</v>
      </c>
      <c r="G2892" s="300">
        <v>1.0</v>
      </c>
      <c r="H2892" s="300">
        <v>1.0</v>
      </c>
      <c r="I2892" s="300">
        <v>1.0</v>
      </c>
      <c r="J2892" s="300">
        <v>1.0</v>
      </c>
      <c r="K2892" s="300">
        <v>1.0</v>
      </c>
      <c r="L2892" s="300">
        <v>1.0</v>
      </c>
      <c r="M2892" s="300">
        <v>1.0</v>
      </c>
      <c r="N2892" s="300">
        <v>8.0</v>
      </c>
      <c r="O2892" s="300" t="s">
        <v>934</v>
      </c>
      <c r="P2892" s="300">
        <v>4.0</v>
      </c>
    </row>
    <row r="2893">
      <c r="A2893">
        <f>IFERROR(__xludf.DUMMYFUNCTION("""COMPUTED_VALUE"""),11.0)</f>
        <v>11</v>
      </c>
      <c r="B2893" s="406">
        <f>IFERROR(__xludf.DUMMYFUNCTION("""COMPUTED_VALUE"""),27132.0)</f>
        <v>27132</v>
      </c>
      <c r="C2893" t="str">
        <f>IFERROR(__xludf.DUMMYFUNCTION("""COMPUTED_VALUE"""),"BARRERA GUZMAN, DANIELA")</f>
        <v>BARRERA GUZMAN, DANIELA</v>
      </c>
      <c r="D2893" t="str">
        <f>IFERROR(__xludf.DUMMYFUNCTION("""COMPUTED_VALUE"""),"Painting I")</f>
        <v>Painting I</v>
      </c>
      <c r="E2893" s="3">
        <f>IFERROR(__xludf.DUMMYFUNCTION("""COMPUTED_VALUE"""),4.0)</f>
        <v>4</v>
      </c>
      <c r="F2893" s="300">
        <v>1.0</v>
      </c>
      <c r="G2893" s="300">
        <v>1.0</v>
      </c>
      <c r="H2893" s="300">
        <v>1.0</v>
      </c>
      <c r="I2893" s="300">
        <v>1.0</v>
      </c>
      <c r="J2893" s="300">
        <v>1.0</v>
      </c>
      <c r="K2893" s="300">
        <v>1.0</v>
      </c>
      <c r="L2893" s="300">
        <v>1.0</v>
      </c>
      <c r="M2893" s="300">
        <v>1.0</v>
      </c>
      <c r="N2893" s="300">
        <v>8.0</v>
      </c>
      <c r="O2893" s="300" t="s">
        <v>946</v>
      </c>
      <c r="P2893" s="300">
        <v>4.0</v>
      </c>
    </row>
    <row r="2894">
      <c r="A2894">
        <f>IFERROR(__xludf.DUMMYFUNCTION("""COMPUTED_VALUE"""),11.0)</f>
        <v>11</v>
      </c>
      <c r="B2894" s="406">
        <f>IFERROR(__xludf.DUMMYFUNCTION("""COMPUTED_VALUE"""),27107.0)</f>
        <v>27107</v>
      </c>
      <c r="C2894" t="str">
        <f>IFERROR(__xludf.DUMMYFUNCTION("""COMPUTED_VALUE"""),"SANIN VELASQUEZ, MONTSERRAT")</f>
        <v>SANIN VELASQUEZ, MONTSERRAT</v>
      </c>
      <c r="D2894" t="str">
        <f>IFERROR(__xludf.DUMMYFUNCTION("""COMPUTED_VALUE"""),"Painting I")</f>
        <v>Painting I</v>
      </c>
      <c r="E2894" s="3">
        <f>IFERROR(__xludf.DUMMYFUNCTION("""COMPUTED_VALUE"""),4.0)</f>
        <v>4</v>
      </c>
      <c r="F2894" s="300">
        <v>1.0</v>
      </c>
      <c r="G2894" s="300">
        <v>1.0</v>
      </c>
      <c r="H2894" s="300">
        <v>1.0</v>
      </c>
      <c r="I2894" s="300">
        <v>1.0</v>
      </c>
      <c r="J2894" s="300">
        <v>1.0</v>
      </c>
      <c r="K2894" s="300">
        <v>1.0</v>
      </c>
      <c r="L2894" s="300">
        <v>1.0</v>
      </c>
      <c r="M2894" s="300">
        <v>1.0</v>
      </c>
      <c r="N2894" s="300">
        <v>8.0</v>
      </c>
      <c r="O2894" s="300" t="s">
        <v>946</v>
      </c>
      <c r="P2894" s="300">
        <v>4.0</v>
      </c>
    </row>
    <row r="2895">
      <c r="A2895">
        <f>IFERROR(__xludf.DUMMYFUNCTION("""COMPUTED_VALUE"""),11.0)</f>
        <v>11</v>
      </c>
      <c r="B2895" s="406">
        <f>IFERROR(__xludf.DUMMYFUNCTION("""COMPUTED_VALUE"""),27134.0)</f>
        <v>27134</v>
      </c>
      <c r="C2895" t="str">
        <f>IFERROR(__xludf.DUMMYFUNCTION("""COMPUTED_VALUE"""),"MONTOYA JARAMILLO, TOMAS")</f>
        <v>MONTOYA JARAMILLO, TOMAS</v>
      </c>
      <c r="D2895" t="str">
        <f>IFERROR(__xludf.DUMMYFUNCTION("""COMPUTED_VALUE"""),"Band Level II")</f>
        <v>Band Level II</v>
      </c>
      <c r="E2895" s="3">
        <f>IFERROR(__xludf.DUMMYFUNCTION("""COMPUTED_VALUE"""),6.0)</f>
        <v>6</v>
      </c>
      <c r="F2895" s="300">
        <v>1.0</v>
      </c>
      <c r="G2895" s="300">
        <v>1.0</v>
      </c>
      <c r="H2895" s="300">
        <v>1.0</v>
      </c>
      <c r="I2895" s="300">
        <v>1.0</v>
      </c>
      <c r="J2895" s="300">
        <v>1.0</v>
      </c>
      <c r="K2895" s="300">
        <v>1.0</v>
      </c>
      <c r="L2895" s="300">
        <v>1.0</v>
      </c>
      <c r="M2895" s="300">
        <v>1.0</v>
      </c>
      <c r="N2895" s="300">
        <v>8.0</v>
      </c>
      <c r="O2895" s="300" t="s">
        <v>942</v>
      </c>
      <c r="P2895" s="300">
        <v>2.0</v>
      </c>
    </row>
    <row r="2896">
      <c r="A2896">
        <f>IFERROR(__xludf.DUMMYFUNCTION("""COMPUTED_VALUE"""),11.0)</f>
        <v>11</v>
      </c>
      <c r="B2896" s="406">
        <f>IFERROR(__xludf.DUMMYFUNCTION("""COMPUTED_VALUE"""),27126.0)</f>
        <v>27126</v>
      </c>
      <c r="C2896" t="str">
        <f>IFERROR(__xludf.DUMMYFUNCTION("""COMPUTED_VALUE"""),"YACAMAN RESTREPO, PEDRO")</f>
        <v>YACAMAN RESTREPO, PEDRO</v>
      </c>
      <c r="D2896" t="str">
        <f>IFERROR(__xludf.DUMMYFUNCTION("""COMPUTED_VALUE"""),"Painting I")</f>
        <v>Painting I</v>
      </c>
      <c r="E2896" s="3">
        <f>IFERROR(__xludf.DUMMYFUNCTION("""COMPUTED_VALUE"""),5.0)</f>
        <v>5</v>
      </c>
      <c r="F2896" s="300">
        <v>1.0</v>
      </c>
      <c r="G2896" s="300">
        <v>1.0</v>
      </c>
      <c r="H2896" s="300">
        <v>1.0</v>
      </c>
      <c r="I2896" s="300">
        <v>1.0</v>
      </c>
      <c r="J2896" s="300">
        <v>1.0</v>
      </c>
      <c r="K2896" s="300">
        <v>1.0</v>
      </c>
      <c r="L2896" s="300">
        <v>1.0</v>
      </c>
      <c r="M2896" s="300">
        <v>1.0</v>
      </c>
      <c r="N2896" s="300">
        <v>8.0</v>
      </c>
      <c r="O2896" s="300" t="s">
        <v>945</v>
      </c>
      <c r="P2896" s="300">
        <v>4.0</v>
      </c>
    </row>
    <row r="2897">
      <c r="A2897">
        <f>IFERROR(__xludf.DUMMYFUNCTION("""COMPUTED_VALUE"""),11.0)</f>
        <v>11</v>
      </c>
      <c r="B2897" s="406">
        <f>IFERROR(__xludf.DUMMYFUNCTION("""COMPUTED_VALUE"""),27114.0)</f>
        <v>27114</v>
      </c>
      <c r="C2897" t="str">
        <f>IFERROR(__xludf.DUMMYFUNCTION("""COMPUTED_VALUE"""),"TORO PEREZ, CRISTOBAL")</f>
        <v>TORO PEREZ, CRISTOBAL</v>
      </c>
      <c r="D2897" t="str">
        <f>IFERROR(__xludf.DUMMYFUNCTION("""COMPUTED_VALUE"""),"Band Level II")</f>
        <v>Band Level II</v>
      </c>
      <c r="E2897" s="3">
        <f>IFERROR(__xludf.DUMMYFUNCTION("""COMPUTED_VALUE"""),6.0)</f>
        <v>6</v>
      </c>
      <c r="F2897" s="300">
        <v>1.0</v>
      </c>
      <c r="G2897" s="300">
        <v>1.0</v>
      </c>
      <c r="H2897" s="300">
        <v>1.0</v>
      </c>
      <c r="I2897" s="300">
        <v>1.0</v>
      </c>
      <c r="J2897" s="300">
        <v>1.0</v>
      </c>
      <c r="K2897" s="300">
        <v>1.0</v>
      </c>
      <c r="L2897" s="300">
        <v>1.0</v>
      </c>
      <c r="M2897" s="300">
        <v>1.0</v>
      </c>
      <c r="N2897" s="300">
        <v>8.0</v>
      </c>
      <c r="O2897" s="300" t="s">
        <v>942</v>
      </c>
      <c r="P2897" s="300">
        <v>2.0</v>
      </c>
    </row>
    <row r="2898">
      <c r="A2898">
        <f>IFERROR(__xludf.DUMMYFUNCTION("""COMPUTED_VALUE"""),11.0)</f>
        <v>11</v>
      </c>
      <c r="B2898" s="406">
        <f>IFERROR(__xludf.DUMMYFUNCTION("""COMPUTED_VALUE"""),26106.0)</f>
        <v>26106</v>
      </c>
      <c r="C2898" t="str">
        <f>IFERROR(__xludf.DUMMYFUNCTION("""COMPUTED_VALUE"""),"ROMERO LOPERA, JUAN SEBASTIAN")</f>
        <v>ROMERO LOPERA, JUAN SEBASTIAN</v>
      </c>
      <c r="D2898" t="str">
        <f>IFERROR(__xludf.DUMMYFUNCTION("""COMPUTED_VALUE"""),"Drawing I")</f>
        <v>Drawing I</v>
      </c>
      <c r="E2898" s="3">
        <f>IFERROR(__xludf.DUMMYFUNCTION("""COMPUTED_VALUE"""),8.0)</f>
        <v>8</v>
      </c>
      <c r="F2898" s="300">
        <v>1.0</v>
      </c>
      <c r="G2898" s="300">
        <v>1.0</v>
      </c>
      <c r="H2898" s="300">
        <v>1.0</v>
      </c>
      <c r="I2898" s="300">
        <v>1.0</v>
      </c>
      <c r="J2898" s="300">
        <v>1.0</v>
      </c>
      <c r="K2898" s="300">
        <v>1.0</v>
      </c>
      <c r="L2898" s="300">
        <v>1.0</v>
      </c>
      <c r="M2898" s="300">
        <v>1.0</v>
      </c>
      <c r="N2898" s="300">
        <v>8.0</v>
      </c>
      <c r="O2898" s="300" t="s">
        <v>944</v>
      </c>
      <c r="P2898" s="300">
        <v>2.0</v>
      </c>
    </row>
    <row r="2899">
      <c r="A2899">
        <f>IFERROR(__xludf.DUMMYFUNCTION("""COMPUTED_VALUE"""),11.0)</f>
        <v>11</v>
      </c>
      <c r="B2899" s="406">
        <f>IFERROR(__xludf.DUMMYFUNCTION("""COMPUTED_VALUE"""),27014.0)</f>
        <v>27014</v>
      </c>
      <c r="C2899" t="str">
        <f>IFERROR(__xludf.DUMMYFUNCTION("""COMPUTED_VALUE"""),"BEDOYA JIMENEZ, NICOLAS")</f>
        <v>BEDOYA JIMENEZ, NICOLAS</v>
      </c>
      <c r="D2899" t="str">
        <f>IFERROR(__xludf.DUMMYFUNCTION("""COMPUTED_VALUE"""),"Painting I")</f>
        <v>Painting I</v>
      </c>
      <c r="E2899" s="3">
        <f>IFERROR(__xludf.DUMMYFUNCTION("""COMPUTED_VALUE"""),4.0)</f>
        <v>4</v>
      </c>
      <c r="F2899" s="300">
        <v>1.0</v>
      </c>
      <c r="G2899" s="300">
        <v>1.0</v>
      </c>
      <c r="H2899" s="300">
        <v>1.0</v>
      </c>
      <c r="I2899" s="300">
        <v>1.0</v>
      </c>
      <c r="J2899" s="300">
        <v>1.0</v>
      </c>
      <c r="K2899" s="300">
        <v>1.0</v>
      </c>
      <c r="L2899" s="300">
        <v>1.0</v>
      </c>
      <c r="M2899" s="300">
        <v>1.0</v>
      </c>
      <c r="N2899" s="300">
        <v>8.0</v>
      </c>
      <c r="O2899" s="300" t="s">
        <v>946</v>
      </c>
      <c r="P2899" s="300">
        <v>4.0</v>
      </c>
    </row>
    <row r="2900">
      <c r="A2900">
        <f>IFERROR(__xludf.DUMMYFUNCTION("""COMPUTED_VALUE"""),11.0)</f>
        <v>11</v>
      </c>
      <c r="B2900" s="406">
        <f>IFERROR(__xludf.DUMMYFUNCTION("""COMPUTED_VALUE"""),27160.0)</f>
        <v>27160</v>
      </c>
      <c r="C2900" t="str">
        <f>IFERROR(__xludf.DUMMYFUNCTION("""COMPUTED_VALUE"""),"SUDETTI, ISABELLA")</f>
        <v>SUDETTI, ISABELLA</v>
      </c>
      <c r="D2900" t="str">
        <f>IFERROR(__xludf.DUMMYFUNCTION("""COMPUTED_VALUE"""),"Drawing I")</f>
        <v>Drawing I</v>
      </c>
      <c r="E2900" s="3">
        <f>IFERROR(__xludf.DUMMYFUNCTION("""COMPUTED_VALUE"""),8.0)</f>
        <v>8</v>
      </c>
      <c r="F2900" s="300">
        <v>1.0</v>
      </c>
      <c r="G2900" s="300">
        <v>1.0</v>
      </c>
      <c r="H2900" s="300">
        <v>1.0</v>
      </c>
      <c r="I2900" s="300">
        <v>1.0</v>
      </c>
      <c r="J2900" s="300">
        <v>1.0</v>
      </c>
      <c r="K2900" s="300">
        <v>1.0</v>
      </c>
      <c r="L2900" s="300">
        <v>1.0</v>
      </c>
      <c r="M2900" s="300">
        <v>1.0</v>
      </c>
      <c r="N2900" s="300">
        <v>8.0</v>
      </c>
      <c r="O2900" s="300" t="s">
        <v>944</v>
      </c>
      <c r="P2900" s="300">
        <v>2.0</v>
      </c>
    </row>
    <row r="2901">
      <c r="A2901">
        <f>IFERROR(__xludf.DUMMYFUNCTION("""COMPUTED_VALUE"""),11.0)</f>
        <v>11</v>
      </c>
      <c r="B2901" s="406">
        <f>IFERROR(__xludf.DUMMYFUNCTION("""COMPUTED_VALUE"""),27030.0)</f>
        <v>27030</v>
      </c>
      <c r="C2901" t="str">
        <f>IFERROR(__xludf.DUMMYFUNCTION("""COMPUTED_VALUE"""),"DURAN CALAD, PABLO")</f>
        <v>DURAN CALAD, PABLO</v>
      </c>
      <c r="D2901" t="str">
        <f>IFERROR(__xludf.DUMMYFUNCTION("""COMPUTED_VALUE"""),"Painting II")</f>
        <v>Painting II</v>
      </c>
      <c r="E2901" s="3">
        <f>IFERROR(__xludf.DUMMYFUNCTION("""COMPUTED_VALUE"""),1.0)</f>
        <v>1</v>
      </c>
      <c r="F2901" s="300">
        <v>1.0</v>
      </c>
      <c r="G2901" s="300">
        <v>1.0</v>
      </c>
      <c r="H2901" s="300">
        <v>1.0</v>
      </c>
      <c r="I2901" s="300">
        <v>1.0</v>
      </c>
      <c r="J2901" s="300">
        <v>1.0</v>
      </c>
      <c r="K2901" s="300">
        <v>1.0</v>
      </c>
      <c r="L2901" s="300">
        <v>1.0</v>
      </c>
      <c r="M2901" s="300">
        <v>1.0</v>
      </c>
      <c r="N2901" s="300">
        <v>8.0</v>
      </c>
      <c r="O2901" s="300" t="s">
        <v>939</v>
      </c>
      <c r="P2901" s="300">
        <v>2.0</v>
      </c>
    </row>
    <row r="2902">
      <c r="A2902">
        <f>IFERROR(__xludf.DUMMYFUNCTION("""COMPUTED_VALUE"""),11.0)</f>
        <v>11</v>
      </c>
      <c r="B2902" s="406">
        <f>IFERROR(__xludf.DUMMYFUNCTION("""COMPUTED_VALUE"""),27023.0)</f>
        <v>27023</v>
      </c>
      <c r="C2902" t="str">
        <f>IFERROR(__xludf.DUMMYFUNCTION("""COMPUTED_VALUE"""),"CASTAÑO VASQUEZ, DANIEL")</f>
        <v>CASTAÑO VASQUEZ, DANIEL</v>
      </c>
      <c r="D2902" t="str">
        <f>IFERROR(__xludf.DUMMYFUNCTION("""COMPUTED_VALUE"""),"Sculpture I")</f>
        <v>Sculpture I</v>
      </c>
      <c r="E2902" s="3">
        <f>IFERROR(__xludf.DUMMYFUNCTION("""COMPUTED_VALUE"""),3.0)</f>
        <v>3</v>
      </c>
      <c r="F2902" s="300">
        <v>1.0</v>
      </c>
      <c r="G2902" s="300">
        <v>1.0</v>
      </c>
      <c r="H2902" s="300">
        <v>1.0</v>
      </c>
      <c r="I2902" s="300">
        <v>1.0</v>
      </c>
      <c r="J2902" s="300">
        <v>1.0</v>
      </c>
      <c r="K2902" s="300">
        <v>1.0</v>
      </c>
      <c r="L2902" s="300">
        <v>1.0</v>
      </c>
      <c r="M2902" s="300">
        <v>1.0</v>
      </c>
      <c r="N2902" s="300">
        <v>8.0</v>
      </c>
      <c r="O2902" s="300" t="s">
        <v>947</v>
      </c>
      <c r="P2902" s="300">
        <v>2.0</v>
      </c>
    </row>
    <row r="2903">
      <c r="A2903">
        <f>IFERROR(__xludf.DUMMYFUNCTION("""COMPUTED_VALUE"""),11.0)</f>
        <v>11</v>
      </c>
      <c r="B2903" s="406">
        <f>IFERROR(__xludf.DUMMYFUNCTION("""COMPUTED_VALUE"""),27138.0)</f>
        <v>27138</v>
      </c>
      <c r="C2903" t="str">
        <f>IFERROR(__xludf.DUMMYFUNCTION("""COMPUTED_VALUE"""),"ALMEIDA CARMONA, LUISA MARIA")</f>
        <v>ALMEIDA CARMONA, LUISA MARIA</v>
      </c>
      <c r="D2903" t="str">
        <f>IFERROR(__xludf.DUMMYFUNCTION("""COMPUTED_VALUE"""),"Painting I")</f>
        <v>Painting I</v>
      </c>
      <c r="E2903" s="3">
        <f>IFERROR(__xludf.DUMMYFUNCTION("""COMPUTED_VALUE"""),4.0)</f>
        <v>4</v>
      </c>
      <c r="F2903" s="300">
        <v>1.0</v>
      </c>
      <c r="G2903" s="300">
        <v>1.0</v>
      </c>
      <c r="H2903" s="300">
        <v>1.0</v>
      </c>
      <c r="I2903" s="300">
        <v>1.0</v>
      </c>
      <c r="J2903" s="300">
        <v>1.0</v>
      </c>
      <c r="K2903" s="300">
        <v>1.0</v>
      </c>
      <c r="L2903" s="300">
        <v>1.0</v>
      </c>
      <c r="M2903" s="300">
        <v>1.0</v>
      </c>
      <c r="N2903" s="300">
        <v>8.0</v>
      </c>
      <c r="O2903" s="300" t="s">
        <v>946</v>
      </c>
      <c r="P2903" s="300">
        <v>4.0</v>
      </c>
    </row>
    <row r="2904">
      <c r="A2904">
        <f>IFERROR(__xludf.DUMMYFUNCTION("""COMPUTED_VALUE"""),11.0)</f>
        <v>11</v>
      </c>
      <c r="B2904" s="406">
        <f>IFERROR(__xludf.DUMMYFUNCTION("""COMPUTED_VALUE"""),27091.0)</f>
        <v>27091</v>
      </c>
      <c r="C2904" t="str">
        <f>IFERROR(__xludf.DUMMYFUNCTION("""COMPUTED_VALUE"""),"PUERTA PAZ, DAVID")</f>
        <v>PUERTA PAZ, DAVID</v>
      </c>
      <c r="D2904" t="str">
        <f>IFERROR(__xludf.DUMMYFUNCTION("""COMPUTED_VALUE"""),"Band Level II")</f>
        <v>Band Level II</v>
      </c>
      <c r="E2904" s="3">
        <f>IFERROR(__xludf.DUMMYFUNCTION("""COMPUTED_VALUE"""),2.0)</f>
        <v>2</v>
      </c>
      <c r="F2904" s="300">
        <v>1.0</v>
      </c>
      <c r="G2904" s="300">
        <v>1.0</v>
      </c>
      <c r="H2904" s="300">
        <v>1.0</v>
      </c>
      <c r="I2904" s="300">
        <v>1.0</v>
      </c>
      <c r="J2904" s="300">
        <v>1.0</v>
      </c>
      <c r="K2904" s="300">
        <v>1.0</v>
      </c>
      <c r="L2904" s="300">
        <v>1.0</v>
      </c>
      <c r="M2904" s="300">
        <v>1.0</v>
      </c>
      <c r="N2904" s="300">
        <v>8.0</v>
      </c>
      <c r="O2904" s="300" t="s">
        <v>940</v>
      </c>
      <c r="P2904" s="300">
        <v>2.0</v>
      </c>
    </row>
    <row r="2905">
      <c r="A2905">
        <f>IFERROR(__xludf.DUMMYFUNCTION("""COMPUTED_VALUE"""),11.0)</f>
        <v>11</v>
      </c>
      <c r="B2905" s="406">
        <f>IFERROR(__xludf.DUMMYFUNCTION("""COMPUTED_VALUE"""),27063.0)</f>
        <v>27063</v>
      </c>
      <c r="C2905" t="str">
        <f>IFERROR(__xludf.DUMMYFUNCTION("""COMPUTED_VALUE"""),"MARTINEZ AGUILAR, ALICIA")</f>
        <v>MARTINEZ AGUILAR, ALICIA</v>
      </c>
      <c r="D2905" t="str">
        <f>IFERROR(__xludf.DUMMYFUNCTION("""COMPUTED_VALUE"""),"Mixed Media Art")</f>
        <v>Mixed Media Art</v>
      </c>
      <c r="E2905" s="3">
        <f>IFERROR(__xludf.DUMMYFUNCTION("""COMPUTED_VALUE"""),6.0)</f>
        <v>6</v>
      </c>
      <c r="F2905" s="300">
        <v>1.0</v>
      </c>
      <c r="G2905" s="300">
        <v>1.0</v>
      </c>
      <c r="H2905" s="300">
        <v>1.0</v>
      </c>
      <c r="I2905" s="300">
        <v>1.0</v>
      </c>
      <c r="J2905" s="300">
        <v>1.0</v>
      </c>
      <c r="K2905" s="300">
        <v>1.0</v>
      </c>
      <c r="L2905" s="300">
        <v>1.0</v>
      </c>
      <c r="M2905" s="300">
        <v>1.0</v>
      </c>
      <c r="N2905" s="300">
        <v>8.0</v>
      </c>
      <c r="O2905" s="300" t="s">
        <v>941</v>
      </c>
      <c r="P2905" s="300">
        <v>1.0</v>
      </c>
    </row>
    <row r="2906">
      <c r="A2906">
        <f>IFERROR(__xludf.DUMMYFUNCTION("""COMPUTED_VALUE"""),11.0)</f>
        <v>11</v>
      </c>
      <c r="B2906" s="406">
        <f>IFERROR(__xludf.DUMMYFUNCTION("""COMPUTED_VALUE"""),27147.0)</f>
        <v>27147</v>
      </c>
      <c r="C2906" t="str">
        <f>IFERROR(__xludf.DUMMYFUNCTION("""COMPUTED_VALUE"""),"MESA FLOREZ, SALOMON")</f>
        <v>MESA FLOREZ, SALOMON</v>
      </c>
      <c r="D2906" t="str">
        <f>IFERROR(__xludf.DUMMYFUNCTION("""COMPUTED_VALUE"""),"Band Level II")</f>
        <v>Band Level II</v>
      </c>
      <c r="E2906" s="3">
        <f>IFERROR(__xludf.DUMMYFUNCTION("""COMPUTED_VALUE"""),6.0)</f>
        <v>6</v>
      </c>
      <c r="F2906" s="300">
        <v>1.0</v>
      </c>
      <c r="G2906" s="300">
        <v>1.0</v>
      </c>
      <c r="H2906" s="300">
        <v>1.0</v>
      </c>
      <c r="I2906" s="300">
        <v>1.0</v>
      </c>
      <c r="J2906" s="300">
        <v>1.0</v>
      </c>
      <c r="K2906" s="300">
        <v>1.0</v>
      </c>
      <c r="L2906" s="300">
        <v>1.0</v>
      </c>
      <c r="M2906" s="300">
        <v>1.0</v>
      </c>
      <c r="N2906" s="300">
        <v>8.0</v>
      </c>
      <c r="O2906" s="300" t="s">
        <v>942</v>
      </c>
      <c r="P2906" s="300">
        <v>2.0</v>
      </c>
    </row>
    <row r="2907">
      <c r="A2907">
        <f>IFERROR(__xludf.DUMMYFUNCTION("""COMPUTED_VALUE"""),11.0)</f>
        <v>11</v>
      </c>
      <c r="B2907" s="406">
        <f>IFERROR(__xludf.DUMMYFUNCTION("""COMPUTED_VALUE"""),27129.0)</f>
        <v>27129</v>
      </c>
      <c r="C2907" t="str">
        <f>IFERROR(__xludf.DUMMYFUNCTION("""COMPUTED_VALUE"""),"VALLEJO HOYOS, MIGUEL")</f>
        <v>VALLEJO HOYOS, MIGUEL</v>
      </c>
      <c r="D2907" t="str">
        <f>IFERROR(__xludf.DUMMYFUNCTION("""COMPUTED_VALUE"""),"AP Drawing")</f>
        <v>AP Drawing</v>
      </c>
      <c r="E2907" s="3">
        <f>IFERROR(__xludf.DUMMYFUNCTION("""COMPUTED_VALUE"""),8.0)</f>
        <v>8</v>
      </c>
      <c r="F2907" s="300">
        <v>1.0</v>
      </c>
      <c r="G2907" s="300">
        <v>1.0</v>
      </c>
      <c r="H2907" s="300">
        <v>1.0</v>
      </c>
      <c r="I2907" s="300">
        <v>1.0</v>
      </c>
      <c r="J2907" s="300">
        <v>1.0</v>
      </c>
      <c r="K2907" s="300">
        <v>1.0</v>
      </c>
      <c r="L2907" s="300">
        <v>1.0</v>
      </c>
      <c r="M2907" s="300">
        <v>1.0</v>
      </c>
      <c r="N2907" s="300">
        <v>8.0</v>
      </c>
      <c r="O2907" s="300" t="s">
        <v>933</v>
      </c>
      <c r="P2907" s="300">
        <v>1.0</v>
      </c>
    </row>
    <row r="2908">
      <c r="A2908">
        <f>IFERROR(__xludf.DUMMYFUNCTION("""COMPUTED_VALUE"""),11.0)</f>
        <v>11</v>
      </c>
      <c r="B2908" s="406">
        <f>IFERROR(__xludf.DUMMYFUNCTION("""COMPUTED_VALUE"""),27015.0)</f>
        <v>27015</v>
      </c>
      <c r="C2908" t="str">
        <f>IFERROR(__xludf.DUMMYFUNCTION("""COMPUTED_VALUE"""),"BERNAL OCHOA, MARIANA")</f>
        <v>BERNAL OCHOA, MARIANA</v>
      </c>
      <c r="D2908" t="str">
        <f>IFERROR(__xludf.DUMMYFUNCTION("""COMPUTED_VALUE"""),"Band Level I")</f>
        <v>Band Level I</v>
      </c>
      <c r="E2908" s="3">
        <f>IFERROR(__xludf.DUMMYFUNCTION("""COMPUTED_VALUE"""),8.0)</f>
        <v>8</v>
      </c>
      <c r="F2908" s="300">
        <v>1.0</v>
      </c>
      <c r="G2908" s="300">
        <v>1.0</v>
      </c>
      <c r="H2908" s="300">
        <v>1.0</v>
      </c>
      <c r="I2908" s="300">
        <v>1.0</v>
      </c>
      <c r="J2908" s="300">
        <v>1.0</v>
      </c>
      <c r="K2908" s="300">
        <v>1.0</v>
      </c>
      <c r="L2908" s="300">
        <v>1.0</v>
      </c>
      <c r="M2908" s="300">
        <v>1.0</v>
      </c>
      <c r="N2908" s="300">
        <v>8.0</v>
      </c>
      <c r="O2908" s="300" t="s">
        <v>943</v>
      </c>
      <c r="P2908" s="300">
        <v>4.0</v>
      </c>
    </row>
    <row r="2909">
      <c r="A2909">
        <f>IFERROR(__xludf.DUMMYFUNCTION("""COMPUTED_VALUE"""),11.0)</f>
        <v>11</v>
      </c>
      <c r="B2909" s="406">
        <f>IFERROR(__xludf.DUMMYFUNCTION("""COMPUTED_VALUE"""),27104.0)</f>
        <v>27104</v>
      </c>
      <c r="C2909" t="str">
        <f>IFERROR(__xludf.DUMMYFUNCTION("""COMPUTED_VALUE"""),"SANCHEZ GONZALEZ, JUANITA")</f>
        <v>SANCHEZ GONZALEZ, JUANITA</v>
      </c>
      <c r="D2909" t="str">
        <f>IFERROR(__xludf.DUMMYFUNCTION("""COMPUTED_VALUE"""),"Painting I")</f>
        <v>Painting I</v>
      </c>
      <c r="E2909" s="3">
        <f>IFERROR(__xludf.DUMMYFUNCTION("""COMPUTED_VALUE"""),5.0)</f>
        <v>5</v>
      </c>
      <c r="F2909" s="300">
        <v>1.0</v>
      </c>
      <c r="G2909" s="300">
        <v>1.0</v>
      </c>
      <c r="H2909" s="300">
        <v>1.0</v>
      </c>
      <c r="I2909" s="300">
        <v>1.0</v>
      </c>
      <c r="J2909" s="300">
        <v>1.0</v>
      </c>
      <c r="K2909" s="300">
        <v>1.0</v>
      </c>
      <c r="L2909" s="300">
        <v>1.0</v>
      </c>
      <c r="M2909" s="300">
        <v>1.0</v>
      </c>
      <c r="N2909" s="300">
        <v>8.0</v>
      </c>
      <c r="O2909" s="300" t="s">
        <v>945</v>
      </c>
      <c r="P2909" s="300">
        <v>4.0</v>
      </c>
    </row>
    <row r="2910">
      <c r="A2910">
        <f>IFERROR(__xludf.DUMMYFUNCTION("""COMPUTED_VALUE"""),11.0)</f>
        <v>11</v>
      </c>
      <c r="B2910" s="406">
        <f>IFERROR(__xludf.DUMMYFUNCTION("""COMPUTED_VALUE"""),27130.0)</f>
        <v>27130</v>
      </c>
      <c r="C2910" t="str">
        <f>IFERROR(__xludf.DUMMYFUNCTION("""COMPUTED_VALUE"""),"EASTMAN BETANCUR, VIOLETA")</f>
        <v>EASTMAN BETANCUR, VIOLETA</v>
      </c>
      <c r="D2910" t="str">
        <f>IFERROR(__xludf.DUMMYFUNCTION("""COMPUTED_VALUE"""),"Painting I")</f>
        <v>Painting I</v>
      </c>
      <c r="E2910" s="3">
        <f>IFERROR(__xludf.DUMMYFUNCTION("""COMPUTED_VALUE"""),4.0)</f>
        <v>4</v>
      </c>
      <c r="F2910" s="300">
        <v>1.0</v>
      </c>
      <c r="G2910" s="300">
        <v>1.0</v>
      </c>
      <c r="H2910" s="300">
        <v>1.0</v>
      </c>
      <c r="I2910" s="300">
        <v>1.0</v>
      </c>
      <c r="J2910" s="300">
        <v>1.0</v>
      </c>
      <c r="K2910" s="300">
        <v>1.0</v>
      </c>
      <c r="L2910" s="300">
        <v>1.0</v>
      </c>
      <c r="M2910" s="300">
        <v>1.0</v>
      </c>
      <c r="N2910" s="300">
        <v>8.0</v>
      </c>
      <c r="O2910" s="300" t="s">
        <v>946</v>
      </c>
      <c r="P2910" s="300">
        <v>4.0</v>
      </c>
    </row>
    <row r="2911">
      <c r="A2911">
        <f>IFERROR(__xludf.DUMMYFUNCTION("""COMPUTED_VALUE"""),11.0)</f>
        <v>11</v>
      </c>
      <c r="B2911" s="406">
        <f>IFERROR(__xludf.DUMMYFUNCTION("""COMPUTED_VALUE"""),27096.0)</f>
        <v>27096</v>
      </c>
      <c r="C2911" t="str">
        <f>IFERROR(__xludf.DUMMYFUNCTION("""COMPUTED_VALUE"""),"RICO SALDARRIAGA, MARTINA")</f>
        <v>RICO SALDARRIAGA, MARTINA</v>
      </c>
      <c r="D2911" t="str">
        <f>IFERROR(__xludf.DUMMYFUNCTION("""COMPUTED_VALUE"""),"AP Drawing")</f>
        <v>AP Drawing</v>
      </c>
      <c r="E2911" s="3">
        <f>IFERROR(__xludf.DUMMYFUNCTION("""COMPUTED_VALUE"""),8.0)</f>
        <v>8</v>
      </c>
      <c r="F2911" s="300">
        <v>1.0</v>
      </c>
      <c r="G2911" s="300">
        <v>1.0</v>
      </c>
      <c r="H2911" s="300">
        <v>1.0</v>
      </c>
      <c r="I2911" s="300">
        <v>1.0</v>
      </c>
      <c r="J2911" s="300">
        <v>1.0</v>
      </c>
      <c r="K2911" s="300">
        <v>1.0</v>
      </c>
      <c r="L2911" s="300">
        <v>1.0</v>
      </c>
      <c r="M2911" s="300">
        <v>1.0</v>
      </c>
      <c r="N2911" s="300">
        <v>8.0</v>
      </c>
      <c r="O2911" s="300" t="s">
        <v>933</v>
      </c>
      <c r="P2911" s="300">
        <v>1.0</v>
      </c>
    </row>
    <row r="2912">
      <c r="A2912">
        <f>IFERROR(__xludf.DUMMYFUNCTION("""COMPUTED_VALUE"""),11.0)</f>
        <v>11</v>
      </c>
      <c r="B2912" s="406">
        <f>IFERROR(__xludf.DUMMYFUNCTION("""COMPUTED_VALUE"""),27131.0)</f>
        <v>27131</v>
      </c>
      <c r="C2912" t="str">
        <f>IFERROR(__xludf.DUMMYFUNCTION("""COMPUTED_VALUE"""),"BARRERA GUZMAN, CAMILA")</f>
        <v>BARRERA GUZMAN, CAMILA</v>
      </c>
      <c r="D2912" t="str">
        <f>IFERROR(__xludf.DUMMYFUNCTION("""COMPUTED_VALUE"""),"Painting II")</f>
        <v>Painting II</v>
      </c>
      <c r="E2912" s="3">
        <f>IFERROR(__xludf.DUMMYFUNCTION("""COMPUTED_VALUE"""),7.0)</f>
        <v>7</v>
      </c>
      <c r="F2912" s="300">
        <v>1.0</v>
      </c>
      <c r="G2912" s="300">
        <v>1.0</v>
      </c>
      <c r="H2912" s="300">
        <v>1.0</v>
      </c>
      <c r="I2912" s="300">
        <v>1.0</v>
      </c>
      <c r="J2912" s="300">
        <v>1.0</v>
      </c>
      <c r="K2912" s="300">
        <v>1.0</v>
      </c>
      <c r="L2912" s="300">
        <v>1.0</v>
      </c>
      <c r="M2912" s="300">
        <v>1.0</v>
      </c>
      <c r="N2912" s="300">
        <v>8.0</v>
      </c>
      <c r="O2912" s="300" t="s">
        <v>935</v>
      </c>
      <c r="P2912" s="300">
        <v>2.0</v>
      </c>
    </row>
    <row r="2913">
      <c r="A2913">
        <f>IFERROR(__xludf.DUMMYFUNCTION("""COMPUTED_VALUE"""),11.0)</f>
        <v>11</v>
      </c>
      <c r="B2913" s="406">
        <f>IFERROR(__xludf.DUMMYFUNCTION("""COMPUTED_VALUE"""),27068.0)</f>
        <v>27068</v>
      </c>
      <c r="C2913" t="str">
        <f>IFERROR(__xludf.DUMMYFUNCTION("""COMPUTED_VALUE"""),"MESA ACOSTA, ESTEBAN")</f>
        <v>MESA ACOSTA, ESTEBAN</v>
      </c>
      <c r="D2913" t="str">
        <f>IFERROR(__xludf.DUMMYFUNCTION("""COMPUTED_VALUE"""),"Drawing I")</f>
        <v>Drawing I</v>
      </c>
      <c r="E2913" s="3">
        <f>IFERROR(__xludf.DUMMYFUNCTION("""COMPUTED_VALUE"""),3.0)</f>
        <v>3</v>
      </c>
      <c r="F2913" s="300">
        <v>1.0</v>
      </c>
      <c r="G2913" s="300">
        <v>1.0</v>
      </c>
      <c r="H2913" s="300">
        <v>1.0</v>
      </c>
      <c r="I2913" s="300">
        <v>1.0</v>
      </c>
      <c r="J2913" s="300">
        <v>1.0</v>
      </c>
      <c r="K2913" s="300">
        <v>1.0</v>
      </c>
      <c r="L2913" s="300">
        <v>1.0</v>
      </c>
      <c r="M2913" s="300">
        <v>1.0</v>
      </c>
      <c r="N2913" s="300">
        <v>8.0</v>
      </c>
      <c r="O2913" s="300" t="s">
        <v>938</v>
      </c>
      <c r="P2913" s="300">
        <v>2.0</v>
      </c>
    </row>
    <row r="2914">
      <c r="A2914">
        <f>IFERROR(__xludf.DUMMYFUNCTION("""COMPUTED_VALUE"""),11.0)</f>
        <v>11</v>
      </c>
      <c r="B2914" s="406">
        <f>IFERROR(__xludf.DUMMYFUNCTION("""COMPUTED_VALUE"""),27127.0)</f>
        <v>27127</v>
      </c>
      <c r="C2914" t="str">
        <f>IFERROR(__xludf.DUMMYFUNCTION("""COMPUTED_VALUE"""),"YUSTY MOSQUERA, MATEO")</f>
        <v>YUSTY MOSQUERA, MATEO</v>
      </c>
      <c r="D2914" t="str">
        <f>IFERROR(__xludf.DUMMYFUNCTION("""COMPUTED_VALUE"""),"Drawing I")</f>
        <v>Drawing I</v>
      </c>
      <c r="E2914" s="3">
        <f>IFERROR(__xludf.DUMMYFUNCTION("""COMPUTED_VALUE"""),8.0)</f>
        <v>8</v>
      </c>
      <c r="F2914" s="300">
        <v>1.0</v>
      </c>
      <c r="G2914" s="300">
        <v>1.0</v>
      </c>
      <c r="H2914" s="300">
        <v>1.0</v>
      </c>
      <c r="I2914" s="300">
        <v>1.0</v>
      </c>
      <c r="J2914" s="300">
        <v>1.0</v>
      </c>
      <c r="K2914" s="300">
        <v>1.0</v>
      </c>
      <c r="L2914" s="300">
        <v>1.0</v>
      </c>
      <c r="M2914" s="300">
        <v>1.0</v>
      </c>
      <c r="N2914" s="300">
        <v>8.0</v>
      </c>
      <c r="O2914" s="300" t="s">
        <v>944</v>
      </c>
      <c r="P2914" s="300">
        <v>2.0</v>
      </c>
    </row>
    <row r="2915">
      <c r="A2915">
        <f>IFERROR(__xludf.DUMMYFUNCTION("""COMPUTED_VALUE"""),11.0)</f>
        <v>11</v>
      </c>
      <c r="B2915" s="406">
        <f>IFERROR(__xludf.DUMMYFUNCTION("""COMPUTED_VALUE"""),27172.0)</f>
        <v>27172</v>
      </c>
      <c r="C2915" t="str">
        <f>IFERROR(__xludf.DUMMYFUNCTION("""COMPUTED_VALUE"""),"PASCUAL CUMELLAS, IGNACIO")</f>
        <v>PASCUAL CUMELLAS, IGNACIO</v>
      </c>
      <c r="D2915" t="str">
        <f>IFERROR(__xludf.DUMMYFUNCTION("""COMPUTED_VALUE"""),"Mixed Media Art")</f>
        <v>Mixed Media Art</v>
      </c>
      <c r="E2915" s="3">
        <f>IFERROR(__xludf.DUMMYFUNCTION("""COMPUTED_VALUE"""),6.0)</f>
        <v>6</v>
      </c>
      <c r="F2915" s="300">
        <v>1.0</v>
      </c>
      <c r="G2915" s="300">
        <v>1.0</v>
      </c>
      <c r="H2915" s="300">
        <v>1.0</v>
      </c>
      <c r="I2915" s="300">
        <v>1.0</v>
      </c>
      <c r="J2915" s="300">
        <v>1.0</v>
      </c>
      <c r="K2915" s="300">
        <v>1.0</v>
      </c>
      <c r="L2915" s="300">
        <v>1.0</v>
      </c>
      <c r="M2915" s="300">
        <v>1.0</v>
      </c>
      <c r="N2915" s="300">
        <v>8.0</v>
      </c>
      <c r="O2915" s="300" t="s">
        <v>941</v>
      </c>
      <c r="P2915" s="300">
        <v>1.0</v>
      </c>
    </row>
    <row r="2916">
      <c r="A2916">
        <f>IFERROR(__xludf.DUMMYFUNCTION("""COMPUTED_VALUE"""),11.0)</f>
        <v>11</v>
      </c>
      <c r="B2916" s="406">
        <f>IFERROR(__xludf.DUMMYFUNCTION("""COMPUTED_VALUE"""),27018.0)</f>
        <v>27018</v>
      </c>
      <c r="C2916" t="str">
        <f>IFERROR(__xludf.DUMMYFUNCTION("""COMPUTED_VALUE"""),"BEYER VELEZ, JACOBO")</f>
        <v>BEYER VELEZ, JACOBO</v>
      </c>
      <c r="D2916" t="str">
        <f>IFERROR(__xludf.DUMMYFUNCTION("""COMPUTED_VALUE"""),"Band Level I")</f>
        <v>Band Level I</v>
      </c>
      <c r="E2916" s="3">
        <f>IFERROR(__xludf.DUMMYFUNCTION("""COMPUTED_VALUE"""),4.0)</f>
        <v>4</v>
      </c>
      <c r="F2916" s="300">
        <v>1.0</v>
      </c>
      <c r="G2916" s="300">
        <v>1.0</v>
      </c>
      <c r="H2916" s="300">
        <v>1.0</v>
      </c>
      <c r="I2916" s="300">
        <v>1.0</v>
      </c>
      <c r="J2916" s="300">
        <v>1.0</v>
      </c>
      <c r="K2916" s="300">
        <v>1.0</v>
      </c>
      <c r="L2916" s="300">
        <v>1.0</v>
      </c>
      <c r="M2916" s="300">
        <v>1.0</v>
      </c>
      <c r="N2916" s="300">
        <v>8.0</v>
      </c>
      <c r="O2916" s="300" t="s">
        <v>937</v>
      </c>
      <c r="P2916" s="300">
        <v>4.0</v>
      </c>
    </row>
    <row r="2917">
      <c r="A2917">
        <f>IFERROR(__xludf.DUMMYFUNCTION("""COMPUTED_VALUE"""),11.0)</f>
        <v>11</v>
      </c>
      <c r="B2917" s="406">
        <f>IFERROR(__xludf.DUMMYFUNCTION("""COMPUTED_VALUE"""),27017.0)</f>
        <v>27017</v>
      </c>
      <c r="C2917" t="str">
        <f>IFERROR(__xludf.DUMMYFUNCTION("""COMPUTED_VALUE"""),"BETANCUR ROBLEDO, ELISA")</f>
        <v>BETANCUR ROBLEDO, ELISA</v>
      </c>
      <c r="D2917" t="str">
        <f>IFERROR(__xludf.DUMMYFUNCTION("""COMPUTED_VALUE"""),"Mixed Media Art")</f>
        <v>Mixed Media Art</v>
      </c>
      <c r="E2917" s="3">
        <f>IFERROR(__xludf.DUMMYFUNCTION("""COMPUTED_VALUE"""),6.0)</f>
        <v>6</v>
      </c>
      <c r="F2917" s="300">
        <v>1.0</v>
      </c>
      <c r="G2917" s="300">
        <v>1.0</v>
      </c>
      <c r="H2917" s="300">
        <v>1.0</v>
      </c>
      <c r="I2917" s="300">
        <v>1.0</v>
      </c>
      <c r="J2917" s="300">
        <v>1.0</v>
      </c>
      <c r="K2917" s="300">
        <v>1.0</v>
      </c>
      <c r="L2917" s="300">
        <v>1.0</v>
      </c>
      <c r="M2917" s="300">
        <v>1.0</v>
      </c>
      <c r="N2917" s="300">
        <v>8.0</v>
      </c>
      <c r="O2917" s="300" t="s">
        <v>941</v>
      </c>
      <c r="P2917" s="300">
        <v>1.0</v>
      </c>
    </row>
    <row r="2918">
      <c r="A2918">
        <f>IFERROR(__xludf.DUMMYFUNCTION("""COMPUTED_VALUE"""),11.0)</f>
        <v>11</v>
      </c>
      <c r="B2918" s="406">
        <f>IFERROR(__xludf.DUMMYFUNCTION("""COMPUTED_VALUE"""),27113.0)</f>
        <v>27113</v>
      </c>
      <c r="C2918" t="str">
        <f>IFERROR(__xludf.DUMMYFUNCTION("""COMPUTED_VALUE"""),"TORO LOPERA, VIOLETA")</f>
        <v>TORO LOPERA, VIOLETA</v>
      </c>
      <c r="D2918" t="str">
        <f>IFERROR(__xludf.DUMMYFUNCTION("""COMPUTED_VALUE"""),"Mixed Media Art")</f>
        <v>Mixed Media Art</v>
      </c>
      <c r="E2918" s="3">
        <f>IFERROR(__xludf.DUMMYFUNCTION("""COMPUTED_VALUE"""),6.0)</f>
        <v>6</v>
      </c>
      <c r="F2918" s="300">
        <v>1.0</v>
      </c>
      <c r="G2918" s="300">
        <v>1.0</v>
      </c>
      <c r="H2918" s="300">
        <v>1.0</v>
      </c>
      <c r="I2918" s="300">
        <v>1.0</v>
      </c>
      <c r="J2918" s="300">
        <v>1.0</v>
      </c>
      <c r="K2918" s="300">
        <v>1.0</v>
      </c>
      <c r="L2918" s="300">
        <v>1.0</v>
      </c>
      <c r="M2918" s="300">
        <v>1.0</v>
      </c>
      <c r="N2918" s="300">
        <v>8.0</v>
      </c>
      <c r="O2918" s="300" t="s">
        <v>941</v>
      </c>
      <c r="P2918" s="300">
        <v>1.0</v>
      </c>
    </row>
    <row r="2919">
      <c r="A2919">
        <f>IFERROR(__xludf.DUMMYFUNCTION("""COMPUTED_VALUE"""),11.0)</f>
        <v>11</v>
      </c>
      <c r="B2919" s="406">
        <f>IFERROR(__xludf.DUMMYFUNCTION("""COMPUTED_VALUE"""),27042.0)</f>
        <v>27042</v>
      </c>
      <c r="C2919" t="str">
        <f>IFERROR(__xludf.DUMMYFUNCTION("""COMPUTED_VALUE"""),"BONILLA NAVARRO, SOFIA")</f>
        <v>BONILLA NAVARRO, SOFIA</v>
      </c>
      <c r="D2919" t="str">
        <f>IFERROR(__xludf.DUMMYFUNCTION("""COMPUTED_VALUE"""),"Painting II")</f>
        <v>Painting II</v>
      </c>
      <c r="E2919" s="3">
        <f>IFERROR(__xludf.DUMMYFUNCTION("""COMPUTED_VALUE"""),7.0)</f>
        <v>7</v>
      </c>
      <c r="F2919" s="300">
        <v>1.0</v>
      </c>
      <c r="G2919" s="300">
        <v>1.0</v>
      </c>
      <c r="H2919" s="300">
        <v>1.0</v>
      </c>
      <c r="I2919" s="300">
        <v>1.0</v>
      </c>
      <c r="J2919" s="300">
        <v>1.0</v>
      </c>
      <c r="K2919" s="300">
        <v>1.0</v>
      </c>
      <c r="L2919" s="300">
        <v>1.0</v>
      </c>
      <c r="M2919" s="300">
        <v>1.0</v>
      </c>
      <c r="N2919" s="300">
        <v>8.0</v>
      </c>
      <c r="O2919" s="300" t="s">
        <v>935</v>
      </c>
      <c r="P2919" s="300">
        <v>2.0</v>
      </c>
    </row>
    <row r="2920">
      <c r="A2920">
        <f>IFERROR(__xludf.DUMMYFUNCTION("""COMPUTED_VALUE"""),11.0)</f>
        <v>11</v>
      </c>
      <c r="B2920" s="406">
        <f>IFERROR(__xludf.DUMMYFUNCTION("""COMPUTED_VALUE"""),27105.0)</f>
        <v>27105</v>
      </c>
      <c r="C2920" t="str">
        <f>IFERROR(__xludf.DUMMYFUNCTION("""COMPUTED_VALUE"""),"SANCHEZ GONZALEZ, SARA")</f>
        <v>SANCHEZ GONZALEZ, SARA</v>
      </c>
      <c r="D2920" t="str">
        <f>IFERROR(__xludf.DUMMYFUNCTION("""COMPUTED_VALUE"""),"Band Level I")</f>
        <v>Band Level I</v>
      </c>
      <c r="E2920" s="3">
        <f>IFERROR(__xludf.DUMMYFUNCTION("""COMPUTED_VALUE"""),8.0)</f>
        <v>8</v>
      </c>
      <c r="F2920" s="300">
        <v>1.0</v>
      </c>
      <c r="G2920" s="300">
        <v>1.0</v>
      </c>
      <c r="H2920" s="300">
        <v>1.0</v>
      </c>
      <c r="I2920" s="300">
        <v>1.0</v>
      </c>
      <c r="J2920" s="300">
        <v>1.0</v>
      </c>
      <c r="K2920" s="300">
        <v>1.0</v>
      </c>
      <c r="L2920" s="300">
        <v>1.0</v>
      </c>
      <c r="M2920" s="300">
        <v>1.0</v>
      </c>
      <c r="N2920" s="300">
        <v>8.0</v>
      </c>
      <c r="O2920" s="300" t="s">
        <v>943</v>
      </c>
      <c r="P2920" s="300">
        <v>4.0</v>
      </c>
    </row>
    <row r="2921">
      <c r="A2921">
        <f>IFERROR(__xludf.DUMMYFUNCTION("""COMPUTED_VALUE"""),11.0)</f>
        <v>11</v>
      </c>
      <c r="B2921" s="406">
        <f>IFERROR(__xludf.DUMMYFUNCTION("""COMPUTED_VALUE"""),27035.0)</f>
        <v>27035</v>
      </c>
      <c r="C2921" t="str">
        <f>IFERROR(__xludf.DUMMYFUNCTION("""COMPUTED_VALUE"""),"FERNANDEZ CALDERON, PABLO")</f>
        <v>FERNANDEZ CALDERON, PABLO</v>
      </c>
      <c r="D2921" t="str">
        <f>IFERROR(__xludf.DUMMYFUNCTION("""COMPUTED_VALUE"""),"Drawing I")</f>
        <v>Drawing I</v>
      </c>
      <c r="E2921" s="3">
        <f>IFERROR(__xludf.DUMMYFUNCTION("""COMPUTED_VALUE"""),8.0)</f>
        <v>8</v>
      </c>
      <c r="F2921" s="300">
        <v>1.0</v>
      </c>
      <c r="G2921" s="300">
        <v>1.0</v>
      </c>
      <c r="H2921" s="300">
        <v>1.0</v>
      </c>
      <c r="I2921" s="300">
        <v>1.0</v>
      </c>
      <c r="J2921" s="300">
        <v>1.0</v>
      </c>
      <c r="K2921" s="300">
        <v>1.0</v>
      </c>
      <c r="L2921" s="300">
        <v>1.0</v>
      </c>
      <c r="M2921" s="300">
        <v>1.0</v>
      </c>
      <c r="N2921" s="300">
        <v>8.0</v>
      </c>
      <c r="O2921" s="300" t="s">
        <v>944</v>
      </c>
      <c r="P2921" s="300">
        <v>2.0</v>
      </c>
    </row>
    <row r="2922">
      <c r="A2922">
        <f>IFERROR(__xludf.DUMMYFUNCTION("""COMPUTED_VALUE"""),11.0)</f>
        <v>11</v>
      </c>
      <c r="B2922" s="406">
        <f>IFERROR(__xludf.DUMMYFUNCTION("""COMPUTED_VALUE"""),27085.0)</f>
        <v>27085</v>
      </c>
      <c r="C2922" t="str">
        <f>IFERROR(__xludf.DUMMYFUNCTION("""COMPUTED_VALUE"""),"PEREZ ALVARADO, EMILIO")</f>
        <v>PEREZ ALVARADO, EMILIO</v>
      </c>
      <c r="D2922" t="str">
        <f>IFERROR(__xludf.DUMMYFUNCTION("""COMPUTED_VALUE"""),"Painting I")</f>
        <v>Painting I</v>
      </c>
      <c r="E2922" s="3">
        <f>IFERROR(__xludf.DUMMYFUNCTION("""COMPUTED_VALUE"""),5.0)</f>
        <v>5</v>
      </c>
      <c r="F2922" s="300">
        <v>1.0</v>
      </c>
      <c r="G2922" s="300">
        <v>1.0</v>
      </c>
      <c r="H2922" s="300">
        <v>1.0</v>
      </c>
      <c r="I2922" s="300">
        <v>1.0</v>
      </c>
      <c r="J2922" s="300">
        <v>1.0</v>
      </c>
      <c r="K2922" s="300">
        <v>1.0</v>
      </c>
      <c r="L2922" s="300">
        <v>1.0</v>
      </c>
      <c r="M2922" s="300">
        <v>1.0</v>
      </c>
      <c r="N2922" s="300">
        <v>8.0</v>
      </c>
      <c r="O2922" s="300" t="s">
        <v>945</v>
      </c>
      <c r="P2922" s="300">
        <v>4.0</v>
      </c>
    </row>
    <row r="2923">
      <c r="A2923">
        <f>IFERROR(__xludf.DUMMYFUNCTION("""COMPUTED_VALUE"""),11.0)</f>
        <v>11</v>
      </c>
      <c r="B2923" s="406">
        <f>IFERROR(__xludf.DUMMYFUNCTION("""COMPUTED_VALUE"""),27054.0)</f>
        <v>27054</v>
      </c>
      <c r="C2923" t="str">
        <f>IFERROR(__xludf.DUMMYFUNCTION("""COMPUTED_VALUE"""),"JARAMILLO PELAEZ, VIOLETA")</f>
        <v>JARAMILLO PELAEZ, VIOLETA</v>
      </c>
      <c r="D2923" t="str">
        <f>IFERROR(__xludf.DUMMYFUNCTION("""COMPUTED_VALUE"""),"Mixed Media Art")</f>
        <v>Mixed Media Art</v>
      </c>
      <c r="E2923" s="3">
        <f>IFERROR(__xludf.DUMMYFUNCTION("""COMPUTED_VALUE"""),6.0)</f>
        <v>6</v>
      </c>
      <c r="F2923" s="300">
        <v>1.0</v>
      </c>
      <c r="G2923" s="300">
        <v>1.0</v>
      </c>
      <c r="H2923" s="300">
        <v>1.0</v>
      </c>
      <c r="I2923" s="300">
        <v>1.0</v>
      </c>
      <c r="J2923" s="300">
        <v>1.0</v>
      </c>
      <c r="K2923" s="300">
        <v>1.0</v>
      </c>
      <c r="L2923" s="300">
        <v>1.0</v>
      </c>
      <c r="M2923" s="300">
        <v>1.0</v>
      </c>
      <c r="N2923" s="300">
        <v>8.0</v>
      </c>
      <c r="O2923" s="300" t="s">
        <v>941</v>
      </c>
      <c r="P2923" s="300">
        <v>1.0</v>
      </c>
    </row>
    <row r="2924">
      <c r="A2924">
        <f>IFERROR(__xludf.DUMMYFUNCTION("""COMPUTED_VALUE"""),11.0)</f>
        <v>11</v>
      </c>
      <c r="B2924" s="406">
        <f>IFERROR(__xludf.DUMMYFUNCTION("""COMPUTED_VALUE"""),27053.0)</f>
        <v>27053</v>
      </c>
      <c r="C2924" t="str">
        <f>IFERROR(__xludf.DUMMYFUNCTION("""COMPUTED_VALUE"""),"JARAMILLO PELAEZ, MARTINA")</f>
        <v>JARAMILLO PELAEZ, MARTINA</v>
      </c>
      <c r="D2924" t="str">
        <f>IFERROR(__xludf.DUMMYFUNCTION("""COMPUTED_VALUE"""),"Painting II")</f>
        <v>Painting II</v>
      </c>
      <c r="E2924" s="3">
        <f>IFERROR(__xludf.DUMMYFUNCTION("""COMPUTED_VALUE"""),1.0)</f>
        <v>1</v>
      </c>
      <c r="F2924" s="300">
        <v>1.0</v>
      </c>
      <c r="G2924" s="300">
        <v>1.0</v>
      </c>
      <c r="H2924" s="300">
        <v>1.0</v>
      </c>
      <c r="I2924" s="300">
        <v>1.0</v>
      </c>
      <c r="J2924" s="300">
        <v>1.0</v>
      </c>
      <c r="K2924" s="300">
        <v>1.0</v>
      </c>
      <c r="L2924" s="300">
        <v>1.0</v>
      </c>
      <c r="M2924" s="300">
        <v>1.0</v>
      </c>
      <c r="N2924" s="300">
        <v>8.0</v>
      </c>
      <c r="O2924" s="300" t="s">
        <v>939</v>
      </c>
      <c r="P2924" s="300">
        <v>2.0</v>
      </c>
    </row>
    <row r="2925">
      <c r="A2925">
        <f>IFERROR(__xludf.DUMMYFUNCTION("""COMPUTED_VALUE"""),11.0)</f>
        <v>11</v>
      </c>
      <c r="B2925" s="406">
        <f>IFERROR(__xludf.DUMMYFUNCTION("""COMPUTED_VALUE"""),26012.0)</f>
        <v>26012</v>
      </c>
      <c r="C2925" t="str">
        <f>IFERROR(__xludf.DUMMYFUNCTION("""COMPUTED_VALUE"""),"BAENA GIRALDO, AGUSTIN")</f>
        <v>BAENA GIRALDO, AGUSTIN</v>
      </c>
      <c r="D2925" t="str">
        <f>IFERROR(__xludf.DUMMYFUNCTION("""COMPUTED_VALUE"""),"Sculpture I")</f>
        <v>Sculpture I</v>
      </c>
      <c r="E2925" s="3">
        <f>IFERROR(__xludf.DUMMYFUNCTION("""COMPUTED_VALUE"""),3.0)</f>
        <v>3</v>
      </c>
      <c r="F2925" s="300">
        <v>1.0</v>
      </c>
      <c r="G2925" s="300">
        <v>1.0</v>
      </c>
      <c r="H2925" s="300">
        <v>1.0</v>
      </c>
      <c r="I2925" s="300">
        <v>1.0</v>
      </c>
      <c r="J2925" s="300">
        <v>1.0</v>
      </c>
      <c r="K2925" s="300">
        <v>1.0</v>
      </c>
      <c r="L2925" s="300">
        <v>1.0</v>
      </c>
      <c r="M2925" s="300">
        <v>1.0</v>
      </c>
      <c r="N2925" s="300">
        <v>8.0</v>
      </c>
      <c r="O2925" s="300" t="s">
        <v>947</v>
      </c>
      <c r="P2925" s="300">
        <v>2.0</v>
      </c>
    </row>
    <row r="2926">
      <c r="A2926">
        <f>IFERROR(__xludf.DUMMYFUNCTION("""COMPUTED_VALUE"""),11.0)</f>
        <v>11</v>
      </c>
      <c r="B2926" s="406">
        <f>IFERROR(__xludf.DUMMYFUNCTION("""COMPUTED_VALUE"""),27022.0)</f>
        <v>27022</v>
      </c>
      <c r="C2926" t="str">
        <f>IFERROR(__xludf.DUMMYFUNCTION("""COMPUTED_VALUE"""),"CARDONA GIRALDO, MATHIAS")</f>
        <v>CARDONA GIRALDO, MATHIAS</v>
      </c>
      <c r="D2926" t="str">
        <f>IFERROR(__xludf.DUMMYFUNCTION("""COMPUTED_VALUE"""),"Band Level II")</f>
        <v>Band Level II</v>
      </c>
      <c r="E2926" s="3">
        <f>IFERROR(__xludf.DUMMYFUNCTION("""COMPUTED_VALUE"""),6.0)</f>
        <v>6</v>
      </c>
      <c r="F2926" s="300">
        <v>1.0</v>
      </c>
      <c r="G2926" s="300">
        <v>1.0</v>
      </c>
      <c r="H2926" s="300">
        <v>1.0</v>
      </c>
      <c r="I2926" s="300">
        <v>1.0</v>
      </c>
      <c r="J2926" s="300">
        <v>1.0</v>
      </c>
      <c r="K2926" s="300">
        <v>1.0</v>
      </c>
      <c r="L2926" s="300">
        <v>1.0</v>
      </c>
      <c r="M2926" s="300">
        <v>1.0</v>
      </c>
      <c r="N2926" s="300">
        <v>8.0</v>
      </c>
      <c r="O2926" s="300" t="s">
        <v>942</v>
      </c>
      <c r="P2926" s="300">
        <v>2.0</v>
      </c>
    </row>
    <row r="2927">
      <c r="A2927">
        <f>IFERROR(__xludf.DUMMYFUNCTION("""COMPUTED_VALUE"""),11.0)</f>
        <v>11</v>
      </c>
      <c r="B2927" s="406">
        <f>IFERROR(__xludf.DUMMYFUNCTION("""COMPUTED_VALUE"""),27071.0)</f>
        <v>27071</v>
      </c>
      <c r="C2927" t="str">
        <f>IFERROR(__xludf.DUMMYFUNCTION("""COMPUTED_VALUE"""),"MONSALVE LOPERA, FEDERICO")</f>
        <v>MONSALVE LOPERA, FEDERICO</v>
      </c>
      <c r="D2927" t="str">
        <f>IFERROR(__xludf.DUMMYFUNCTION("""COMPUTED_VALUE"""),"Painting I")</f>
        <v>Painting I</v>
      </c>
      <c r="E2927" s="3">
        <f>IFERROR(__xludf.DUMMYFUNCTION("""COMPUTED_VALUE"""),4.0)</f>
        <v>4</v>
      </c>
      <c r="F2927" s="300">
        <v>1.0</v>
      </c>
      <c r="G2927" s="300">
        <v>1.0</v>
      </c>
      <c r="H2927" s="300">
        <v>1.0</v>
      </c>
      <c r="I2927" s="300">
        <v>1.0</v>
      </c>
      <c r="J2927" s="300">
        <v>1.0</v>
      </c>
      <c r="K2927" s="300">
        <v>1.0</v>
      </c>
      <c r="L2927" s="300">
        <v>1.0</v>
      </c>
      <c r="M2927" s="300">
        <v>1.0</v>
      </c>
      <c r="N2927" s="300">
        <v>8.0</v>
      </c>
      <c r="O2927" s="300" t="s">
        <v>946</v>
      </c>
      <c r="P2927" s="300">
        <v>4.0</v>
      </c>
    </row>
    <row r="2928">
      <c r="A2928">
        <f>IFERROR(__xludf.DUMMYFUNCTION("""COMPUTED_VALUE"""),11.0)</f>
        <v>11</v>
      </c>
      <c r="B2928" s="406">
        <f>IFERROR(__xludf.DUMMYFUNCTION("""COMPUTED_VALUE"""),27006.0)</f>
        <v>27006</v>
      </c>
      <c r="C2928" t="str">
        <f>IFERROR(__xludf.DUMMYFUNCTION("""COMPUTED_VALUE"""),"ARANGO RUBIO, MIGUEL")</f>
        <v>ARANGO RUBIO, MIGUEL</v>
      </c>
      <c r="D2928" t="str">
        <f>IFERROR(__xludf.DUMMYFUNCTION("""COMPUTED_VALUE"""),"Painting I")</f>
        <v>Painting I</v>
      </c>
      <c r="E2928" s="3">
        <f>IFERROR(__xludf.DUMMYFUNCTION("""COMPUTED_VALUE"""),7.0)</f>
        <v>7</v>
      </c>
      <c r="F2928" s="300">
        <v>1.0</v>
      </c>
      <c r="G2928" s="300">
        <v>1.0</v>
      </c>
      <c r="H2928" s="300">
        <v>1.0</v>
      </c>
      <c r="I2928" s="300">
        <v>1.0</v>
      </c>
      <c r="J2928" s="300">
        <v>1.0</v>
      </c>
      <c r="K2928" s="300">
        <v>1.0</v>
      </c>
      <c r="L2928" s="300">
        <v>1.0</v>
      </c>
      <c r="M2928" s="300">
        <v>1.0</v>
      </c>
      <c r="N2928" s="300">
        <v>8.0</v>
      </c>
      <c r="O2928" s="300" t="s">
        <v>934</v>
      </c>
      <c r="P2928" s="300">
        <v>4.0</v>
      </c>
    </row>
    <row r="2929">
      <c r="A2929">
        <f>IFERROR(__xludf.DUMMYFUNCTION("""COMPUTED_VALUE"""),11.0)</f>
        <v>11</v>
      </c>
      <c r="B2929" s="406">
        <f>IFERROR(__xludf.DUMMYFUNCTION("""COMPUTED_VALUE"""),27101.0)</f>
        <v>27101</v>
      </c>
      <c r="C2929" t="str">
        <f>IFERROR(__xludf.DUMMYFUNCTION("""COMPUTED_VALUE"""),"RUIZ ROLDAN, PABLO")</f>
        <v>RUIZ ROLDAN, PABLO</v>
      </c>
      <c r="D2929" t="str">
        <f>IFERROR(__xludf.DUMMYFUNCTION("""COMPUTED_VALUE"""),"Band Level II")</f>
        <v>Band Level II</v>
      </c>
      <c r="E2929" s="3">
        <f>IFERROR(__xludf.DUMMYFUNCTION("""COMPUTED_VALUE"""),6.0)</f>
        <v>6</v>
      </c>
      <c r="F2929" s="300">
        <v>1.0</v>
      </c>
      <c r="G2929" s="300">
        <v>1.0</v>
      </c>
      <c r="H2929" s="300">
        <v>1.0</v>
      </c>
      <c r="I2929" s="300">
        <v>1.0</v>
      </c>
      <c r="J2929" s="300">
        <v>1.0</v>
      </c>
      <c r="K2929" s="300">
        <v>1.0</v>
      </c>
      <c r="L2929" s="300">
        <v>1.0</v>
      </c>
      <c r="M2929" s="300">
        <v>1.0</v>
      </c>
      <c r="N2929" s="300">
        <v>8.0</v>
      </c>
      <c r="O2929" s="300" t="s">
        <v>942</v>
      </c>
      <c r="P2929" s="300">
        <v>2.0</v>
      </c>
    </row>
    <row r="2930">
      <c r="A2930">
        <f>IFERROR(__xludf.DUMMYFUNCTION("""COMPUTED_VALUE"""),11.0)</f>
        <v>11</v>
      </c>
      <c r="B2930" s="406">
        <f>IFERROR(__xludf.DUMMYFUNCTION("""COMPUTED_VALUE"""),27046.0)</f>
        <v>27046</v>
      </c>
      <c r="C2930" t="str">
        <f>IFERROR(__xludf.DUMMYFUNCTION("""COMPUTED_VALUE"""),"GOMEZ TRUJILLO, MIGUEL")</f>
        <v>GOMEZ TRUJILLO, MIGUEL</v>
      </c>
      <c r="D2930" t="str">
        <f>IFERROR(__xludf.DUMMYFUNCTION("""COMPUTED_VALUE"""),"Painting I")</f>
        <v>Painting I</v>
      </c>
      <c r="E2930" s="3">
        <f>IFERROR(__xludf.DUMMYFUNCTION("""COMPUTED_VALUE"""),4.0)</f>
        <v>4</v>
      </c>
      <c r="F2930" s="300">
        <v>1.0</v>
      </c>
      <c r="G2930" s="300">
        <v>1.0</v>
      </c>
      <c r="H2930" s="300">
        <v>1.0</v>
      </c>
      <c r="I2930" s="300">
        <v>1.0</v>
      </c>
      <c r="J2930" s="300">
        <v>1.0</v>
      </c>
      <c r="K2930" s="300">
        <v>1.0</v>
      </c>
      <c r="L2930" s="300">
        <v>1.0</v>
      </c>
      <c r="M2930" s="300">
        <v>1.0</v>
      </c>
      <c r="N2930" s="300">
        <v>8.0</v>
      </c>
      <c r="O2930" s="300" t="s">
        <v>946</v>
      </c>
      <c r="P2930" s="300">
        <v>4.0</v>
      </c>
    </row>
    <row r="2931">
      <c r="A2931">
        <f>IFERROR(__xludf.DUMMYFUNCTION("""COMPUTED_VALUE"""),11.0)</f>
        <v>11</v>
      </c>
      <c r="B2931" s="406">
        <f>IFERROR(__xludf.DUMMYFUNCTION("""COMPUTED_VALUE"""),27151.0)</f>
        <v>27151</v>
      </c>
      <c r="C2931" t="str">
        <f>IFERROR(__xludf.DUMMYFUNCTION("""COMPUTED_VALUE"""),"RANNI, FABRIZIO")</f>
        <v>RANNI, FABRIZIO</v>
      </c>
      <c r="D2931" t="str">
        <f>IFERROR(__xludf.DUMMYFUNCTION("""COMPUTED_VALUE"""),"Drawing I")</f>
        <v>Drawing I</v>
      </c>
      <c r="E2931" s="3">
        <f>IFERROR(__xludf.DUMMYFUNCTION("""COMPUTED_VALUE"""),8.0)</f>
        <v>8</v>
      </c>
      <c r="F2931" s="300">
        <v>1.0</v>
      </c>
      <c r="G2931" s="300">
        <v>1.0</v>
      </c>
      <c r="H2931" s="300">
        <v>1.0</v>
      </c>
      <c r="I2931" s="300">
        <v>1.0</v>
      </c>
      <c r="J2931" s="300">
        <v>1.0</v>
      </c>
      <c r="K2931" s="300">
        <v>1.0</v>
      </c>
      <c r="L2931" s="300">
        <v>1.0</v>
      </c>
      <c r="M2931" s="300">
        <v>1.0</v>
      </c>
      <c r="N2931" s="300">
        <v>8.0</v>
      </c>
      <c r="O2931" s="300" t="s">
        <v>944</v>
      </c>
      <c r="P2931" s="300">
        <v>2.0</v>
      </c>
    </row>
    <row r="2932">
      <c r="A2932">
        <f>IFERROR(__xludf.DUMMYFUNCTION("""COMPUTED_VALUE"""),11.0)</f>
        <v>11</v>
      </c>
      <c r="B2932" s="406">
        <f>IFERROR(__xludf.DUMMYFUNCTION("""COMPUTED_VALUE"""),27081.0)</f>
        <v>27081</v>
      </c>
      <c r="C2932" t="str">
        <f>IFERROR(__xludf.DUMMYFUNCTION("""COMPUTED_VALUE"""),"OSPINA ESCOBAR, GABRIEL")</f>
        <v>OSPINA ESCOBAR, GABRIEL</v>
      </c>
      <c r="D2932" t="str">
        <f>IFERROR(__xludf.DUMMYFUNCTION("""COMPUTED_VALUE"""),"Painting I")</f>
        <v>Painting I</v>
      </c>
      <c r="E2932" s="3">
        <f>IFERROR(__xludf.DUMMYFUNCTION("""COMPUTED_VALUE"""),5.0)</f>
        <v>5</v>
      </c>
      <c r="F2932" s="300">
        <v>1.0</v>
      </c>
      <c r="G2932" s="300">
        <v>1.0</v>
      </c>
      <c r="H2932" s="300">
        <v>1.0</v>
      </c>
      <c r="I2932" s="300">
        <v>1.0</v>
      </c>
      <c r="J2932" s="300">
        <v>1.0</v>
      </c>
      <c r="K2932" s="300">
        <v>1.0</v>
      </c>
      <c r="L2932" s="300">
        <v>1.0</v>
      </c>
      <c r="M2932" s="300">
        <v>1.0</v>
      </c>
      <c r="N2932" s="300">
        <v>8.0</v>
      </c>
      <c r="O2932" s="300" t="s">
        <v>945</v>
      </c>
      <c r="P2932" s="300">
        <v>4.0</v>
      </c>
    </row>
    <row r="2933">
      <c r="A2933">
        <f>IFERROR(__xludf.DUMMYFUNCTION("""COMPUTED_VALUE"""),11.0)</f>
        <v>11</v>
      </c>
      <c r="B2933" s="406">
        <f>IFERROR(__xludf.DUMMYFUNCTION("""COMPUTED_VALUE"""),26154.0)</f>
        <v>26154</v>
      </c>
      <c r="C2933" t="str">
        <f>IFERROR(__xludf.DUMMYFUNCTION("""COMPUTED_VALUE"""),"GARRIDO TAMAYO, NICOLAS")</f>
        <v>GARRIDO TAMAYO, NICOLAS</v>
      </c>
      <c r="D2933" t="str">
        <f>IFERROR(__xludf.DUMMYFUNCTION("""COMPUTED_VALUE"""),"Band Level I")</f>
        <v>Band Level I</v>
      </c>
      <c r="E2933" s="3">
        <f>IFERROR(__xludf.DUMMYFUNCTION("""COMPUTED_VALUE"""),8.0)</f>
        <v>8</v>
      </c>
      <c r="F2933" s="300">
        <v>1.0</v>
      </c>
      <c r="G2933" s="300">
        <v>1.0</v>
      </c>
      <c r="H2933" s="300">
        <v>1.0</v>
      </c>
      <c r="I2933" s="300">
        <v>1.0</v>
      </c>
      <c r="J2933" s="300">
        <v>1.0</v>
      </c>
      <c r="K2933" s="300">
        <v>1.0</v>
      </c>
      <c r="L2933" s="300">
        <v>1.0</v>
      </c>
      <c r="M2933" s="300">
        <v>1.0</v>
      </c>
      <c r="N2933" s="300">
        <v>8.0</v>
      </c>
      <c r="O2933" s="300" t="s">
        <v>943</v>
      </c>
      <c r="P2933" s="300">
        <v>4.0</v>
      </c>
    </row>
    <row r="2934">
      <c r="A2934">
        <f>IFERROR(__xludf.DUMMYFUNCTION("""COMPUTED_VALUE"""),11.0)</f>
        <v>11</v>
      </c>
      <c r="B2934" s="406">
        <f>IFERROR(__xludf.DUMMYFUNCTION("""COMPUTED_VALUE"""),27040.0)</f>
        <v>27040</v>
      </c>
      <c r="C2934" t="str">
        <f>IFERROR(__xludf.DUMMYFUNCTION("""COMPUTED_VALUE"""),"GALLON MUÑOZ, VIOLETA")</f>
        <v>GALLON MUÑOZ, VIOLETA</v>
      </c>
      <c r="D2934" t="str">
        <f>IFERROR(__xludf.DUMMYFUNCTION("""COMPUTED_VALUE"""),"Painting I")</f>
        <v>Painting I</v>
      </c>
      <c r="E2934" s="3">
        <f>IFERROR(__xludf.DUMMYFUNCTION("""COMPUTED_VALUE"""),5.0)</f>
        <v>5</v>
      </c>
      <c r="F2934" s="300">
        <v>1.0</v>
      </c>
      <c r="G2934" s="300">
        <v>1.0</v>
      </c>
      <c r="H2934" s="300">
        <v>1.0</v>
      </c>
      <c r="I2934" s="300">
        <v>1.0</v>
      </c>
      <c r="J2934" s="300">
        <v>1.0</v>
      </c>
      <c r="K2934" s="300">
        <v>1.0</v>
      </c>
      <c r="L2934" s="300">
        <v>1.0</v>
      </c>
      <c r="M2934" s="300">
        <v>1.0</v>
      </c>
      <c r="N2934" s="300">
        <v>8.0</v>
      </c>
      <c r="O2934" s="300" t="s">
        <v>945</v>
      </c>
      <c r="P2934" s="300">
        <v>4.0</v>
      </c>
    </row>
    <row r="2935">
      <c r="A2935">
        <f>IFERROR(__xludf.DUMMYFUNCTION("""COMPUTED_VALUE"""),11.0)</f>
        <v>11</v>
      </c>
      <c r="B2935" s="406">
        <f>IFERROR(__xludf.DUMMYFUNCTION("""COMPUTED_VALUE"""),27093.0)</f>
        <v>27093</v>
      </c>
      <c r="C2935" t="str">
        <f>IFERROR(__xludf.DUMMYFUNCTION("""COMPUTED_VALUE"""),"RADA ECHANDIA, CAMILA")</f>
        <v>RADA ECHANDIA, CAMILA</v>
      </c>
      <c r="D2935" t="str">
        <f>IFERROR(__xludf.DUMMYFUNCTION("""COMPUTED_VALUE"""),"Painting II")</f>
        <v>Painting II</v>
      </c>
      <c r="E2935" s="3">
        <f>IFERROR(__xludf.DUMMYFUNCTION("""COMPUTED_VALUE"""),7.0)</f>
        <v>7</v>
      </c>
      <c r="F2935" s="300">
        <v>1.0</v>
      </c>
      <c r="G2935" s="300">
        <v>1.0</v>
      </c>
      <c r="H2935" s="300">
        <v>1.0</v>
      </c>
      <c r="I2935" s="300">
        <v>1.0</v>
      </c>
      <c r="J2935" s="300">
        <v>1.0</v>
      </c>
      <c r="K2935" s="300">
        <v>1.0</v>
      </c>
      <c r="L2935" s="300">
        <v>1.0</v>
      </c>
      <c r="M2935" s="300">
        <v>1.0</v>
      </c>
      <c r="N2935" s="300">
        <v>8.0</v>
      </c>
      <c r="O2935" s="300" t="s">
        <v>935</v>
      </c>
      <c r="P2935" s="300">
        <v>2.0</v>
      </c>
    </row>
    <row r="2936">
      <c r="A2936">
        <f>IFERROR(__xludf.DUMMYFUNCTION("""COMPUTED_VALUE"""),11.0)</f>
        <v>11</v>
      </c>
      <c r="B2936" s="406">
        <f>IFERROR(__xludf.DUMMYFUNCTION("""COMPUTED_VALUE"""),27112.0)</f>
        <v>27112</v>
      </c>
      <c r="C2936" t="str">
        <f>IFERROR(__xludf.DUMMYFUNCTION("""COMPUTED_VALUE"""),"TOBON RESTREPO, NICOLAS")</f>
        <v>TOBON RESTREPO, NICOLAS</v>
      </c>
      <c r="D2936" t="str">
        <f>IFERROR(__xludf.DUMMYFUNCTION("""COMPUTED_VALUE"""),"Drawing I")</f>
        <v>Drawing I</v>
      </c>
      <c r="E2936" s="3">
        <f>IFERROR(__xludf.DUMMYFUNCTION("""COMPUTED_VALUE"""),3.0)</f>
        <v>3</v>
      </c>
      <c r="F2936" s="300">
        <v>1.0</v>
      </c>
      <c r="G2936" s="300">
        <v>1.0</v>
      </c>
      <c r="H2936" s="300">
        <v>1.0</v>
      </c>
      <c r="I2936" s="300">
        <v>1.0</v>
      </c>
      <c r="J2936" s="300">
        <v>1.0</v>
      </c>
      <c r="K2936" s="300">
        <v>1.0</v>
      </c>
      <c r="L2936" s="300">
        <v>1.0</v>
      </c>
      <c r="M2936" s="300">
        <v>1.0</v>
      </c>
      <c r="N2936" s="300">
        <v>8.0</v>
      </c>
      <c r="O2936" s="300" t="s">
        <v>938</v>
      </c>
      <c r="P2936" s="300">
        <v>2.0</v>
      </c>
    </row>
    <row r="2937">
      <c r="A2937">
        <f>IFERROR(__xludf.DUMMYFUNCTION("""COMPUTED_VALUE"""),11.0)</f>
        <v>11</v>
      </c>
      <c r="B2937" s="406">
        <f>IFERROR(__xludf.DUMMYFUNCTION("""COMPUTED_VALUE"""),27083.0)</f>
        <v>27083</v>
      </c>
      <c r="C2937" t="str">
        <f>IFERROR(__xludf.DUMMYFUNCTION("""COMPUTED_VALUE"""),"PALACIO RUIZ, MATIAS")</f>
        <v>PALACIO RUIZ, MATIAS</v>
      </c>
      <c r="D2937" t="str">
        <f>IFERROR(__xludf.DUMMYFUNCTION("""COMPUTED_VALUE"""),"Drawing I")</f>
        <v>Drawing I</v>
      </c>
      <c r="E2937" s="3">
        <f>IFERROR(__xludf.DUMMYFUNCTION("""COMPUTED_VALUE"""),3.0)</f>
        <v>3</v>
      </c>
      <c r="F2937" s="300">
        <v>1.0</v>
      </c>
      <c r="G2937" s="300">
        <v>1.0</v>
      </c>
      <c r="H2937" s="300">
        <v>1.0</v>
      </c>
      <c r="I2937" s="300">
        <v>1.0</v>
      </c>
      <c r="J2937" s="300">
        <v>1.0</v>
      </c>
      <c r="K2937" s="300">
        <v>1.0</v>
      </c>
      <c r="L2937" s="300">
        <v>1.0</v>
      </c>
      <c r="M2937" s="300">
        <v>1.0</v>
      </c>
      <c r="N2937" s="300">
        <v>8.0</v>
      </c>
      <c r="O2937" s="300" t="s">
        <v>938</v>
      </c>
      <c r="P2937" s="300">
        <v>2.0</v>
      </c>
    </row>
    <row r="2938">
      <c r="A2938">
        <f>IFERROR(__xludf.DUMMYFUNCTION("""COMPUTED_VALUE"""),11.0)</f>
        <v>11</v>
      </c>
      <c r="B2938" s="406">
        <f>IFERROR(__xludf.DUMMYFUNCTION("""COMPUTED_VALUE"""),26041.0)</f>
        <v>26041</v>
      </c>
      <c r="C2938" t="str">
        <f>IFERROR(__xludf.DUMMYFUNCTION("""COMPUTED_VALUE"""),"GOMEZ VASQUEZ, SOFIA")</f>
        <v>GOMEZ VASQUEZ, SOFIA</v>
      </c>
      <c r="D2938" t="str">
        <f>IFERROR(__xludf.DUMMYFUNCTION("""COMPUTED_VALUE"""),"Painting I")</f>
        <v>Painting I</v>
      </c>
      <c r="E2938" s="3">
        <f>IFERROR(__xludf.DUMMYFUNCTION("""COMPUTED_VALUE"""),7.0)</f>
        <v>7</v>
      </c>
      <c r="F2938" s="300">
        <v>1.0</v>
      </c>
      <c r="G2938" s="300">
        <v>1.0</v>
      </c>
      <c r="H2938" s="300">
        <v>1.0</v>
      </c>
      <c r="I2938" s="300">
        <v>1.0</v>
      </c>
      <c r="J2938" s="300">
        <v>1.0</v>
      </c>
      <c r="K2938" s="300">
        <v>1.0</v>
      </c>
      <c r="L2938" s="300">
        <v>1.0</v>
      </c>
      <c r="M2938" s="300">
        <v>1.0</v>
      </c>
      <c r="N2938" s="300">
        <v>8.0</v>
      </c>
      <c r="O2938" s="300" t="s">
        <v>934</v>
      </c>
      <c r="P2938" s="300">
        <v>4.0</v>
      </c>
    </row>
    <row r="2939">
      <c r="A2939">
        <f>IFERROR(__xludf.DUMMYFUNCTION("""COMPUTED_VALUE"""),11.0)</f>
        <v>11</v>
      </c>
      <c r="B2939" s="406">
        <f>IFERROR(__xludf.DUMMYFUNCTION("""COMPUTED_VALUE"""),27092.0)</f>
        <v>27092</v>
      </c>
      <c r="C2939" t="str">
        <f>IFERROR(__xludf.DUMMYFUNCTION("""COMPUTED_VALUE"""),"PULGARIN HUERTAS, ELOISA")</f>
        <v>PULGARIN HUERTAS, ELOISA</v>
      </c>
      <c r="D2939" t="str">
        <f>IFERROR(__xludf.DUMMYFUNCTION("""COMPUTED_VALUE"""),"AP 2-D Art and Design")</f>
        <v>AP 2-D Art and Design</v>
      </c>
      <c r="E2939" s="3">
        <f>IFERROR(__xludf.DUMMYFUNCTION("""COMPUTED_VALUE"""),1.0)</f>
        <v>1</v>
      </c>
      <c r="F2939" s="300">
        <v>1.0</v>
      </c>
      <c r="G2939" s="300">
        <v>1.0</v>
      </c>
      <c r="H2939" s="300">
        <v>1.0</v>
      </c>
      <c r="I2939" s="300">
        <v>1.0</v>
      </c>
      <c r="J2939" s="300">
        <v>1.0</v>
      </c>
      <c r="K2939" s="300">
        <v>1.0</v>
      </c>
      <c r="L2939" s="300">
        <v>1.0</v>
      </c>
      <c r="M2939" s="300">
        <v>1.0</v>
      </c>
      <c r="N2939" s="300">
        <v>8.0</v>
      </c>
      <c r="O2939" s="300" t="s">
        <v>948</v>
      </c>
      <c r="P2939" s="300">
        <v>1.0</v>
      </c>
    </row>
    <row r="2940">
      <c r="A2940">
        <f>IFERROR(__xludf.DUMMYFUNCTION("""COMPUTED_VALUE"""),11.0)</f>
        <v>11</v>
      </c>
      <c r="B2940" s="406">
        <f>IFERROR(__xludf.DUMMYFUNCTION("""COMPUTED_VALUE"""),27055.0)</f>
        <v>27055</v>
      </c>
      <c r="C2940" t="str">
        <f>IFERROR(__xludf.DUMMYFUNCTION("""COMPUTED_VALUE"""),"JARAMILLO URIBE, EMILIANO")</f>
        <v>JARAMILLO URIBE, EMILIANO</v>
      </c>
      <c r="D2940" t="str">
        <f>IFERROR(__xludf.DUMMYFUNCTION("""COMPUTED_VALUE"""),"Drawing I")</f>
        <v>Drawing I</v>
      </c>
      <c r="E2940" s="3">
        <f>IFERROR(__xludf.DUMMYFUNCTION("""COMPUTED_VALUE"""),8.0)</f>
        <v>8</v>
      </c>
      <c r="F2940" s="300">
        <v>1.0</v>
      </c>
      <c r="G2940" s="300">
        <v>1.0</v>
      </c>
      <c r="H2940" s="300">
        <v>1.0</v>
      </c>
      <c r="I2940" s="300">
        <v>1.0</v>
      </c>
      <c r="J2940" s="300">
        <v>1.0</v>
      </c>
      <c r="K2940" s="300">
        <v>1.0</v>
      </c>
      <c r="L2940" s="300">
        <v>1.0</v>
      </c>
      <c r="M2940" s="300">
        <v>1.0</v>
      </c>
      <c r="N2940" s="300">
        <v>8.0</v>
      </c>
      <c r="O2940" s="300" t="s">
        <v>944</v>
      </c>
      <c r="P2940" s="300">
        <v>2.0</v>
      </c>
    </row>
    <row r="2941">
      <c r="A2941">
        <f>IFERROR(__xludf.DUMMYFUNCTION("""COMPUTED_VALUE"""),11.0)</f>
        <v>11</v>
      </c>
      <c r="B2941">
        <f>IFERROR(__xludf.DUMMYFUNCTION("""COMPUTED_VALUE"""),27162.0)</f>
        <v>27162</v>
      </c>
      <c r="C2941" t="str">
        <f>IFERROR(__xludf.DUMMYFUNCTION("""COMPUTED_VALUE"""),"SUTTON ROITER, JACQUES")</f>
        <v>SUTTON ROITER, JACQUES</v>
      </c>
      <c r="D2941" t="str">
        <f>IFERROR(__xludf.DUMMYFUNCTION("""COMPUTED_VALUE"""),"Painting I")</f>
        <v>Painting I</v>
      </c>
      <c r="E2941" s="3">
        <f>IFERROR(__xludf.DUMMYFUNCTION("""COMPUTED_VALUE"""),4.0)</f>
        <v>4</v>
      </c>
      <c r="F2941" s="300">
        <v>1.0</v>
      </c>
      <c r="G2941" s="300">
        <v>1.0</v>
      </c>
      <c r="H2941" s="300">
        <v>1.0</v>
      </c>
      <c r="I2941" s="300">
        <v>1.0</v>
      </c>
      <c r="J2941" s="300">
        <v>1.0</v>
      </c>
      <c r="K2941" s="300">
        <v>1.0</v>
      </c>
      <c r="L2941" s="300">
        <v>1.0</v>
      </c>
      <c r="M2941" s="300">
        <v>1.0</v>
      </c>
      <c r="N2941" s="300">
        <v>8.0</v>
      </c>
      <c r="O2941" s="300" t="s">
        <v>946</v>
      </c>
      <c r="P2941" s="300">
        <v>4.0</v>
      </c>
    </row>
    <row r="2942">
      <c r="A2942">
        <f>IFERROR(__xludf.DUMMYFUNCTION("""COMPUTED_VALUE"""),11.0)</f>
        <v>11</v>
      </c>
      <c r="B2942">
        <f>IFERROR(__xludf.DUMMYFUNCTION("""COMPUTED_VALUE"""),27090.0)</f>
        <v>27090</v>
      </c>
      <c r="C2942" t="str">
        <f>IFERROR(__xludf.DUMMYFUNCTION("""COMPUTED_VALUE"""),"PERTUZ MUNERA, LUCIANA")</f>
        <v>PERTUZ MUNERA, LUCIANA</v>
      </c>
      <c r="D2942" t="str">
        <f>IFERROR(__xludf.DUMMYFUNCTION("""COMPUTED_VALUE"""),"Band Level II")</f>
        <v>Band Level II</v>
      </c>
      <c r="E2942" s="3">
        <f>IFERROR(__xludf.DUMMYFUNCTION("""COMPUTED_VALUE"""),2.0)</f>
        <v>2</v>
      </c>
      <c r="F2942" s="300">
        <v>1.0</v>
      </c>
      <c r="G2942" s="300">
        <v>1.0</v>
      </c>
      <c r="H2942" s="300">
        <v>1.0</v>
      </c>
      <c r="I2942" s="300">
        <v>1.0</v>
      </c>
      <c r="J2942" s="300">
        <v>1.0</v>
      </c>
      <c r="K2942" s="300">
        <v>1.0</v>
      </c>
      <c r="L2942" s="300">
        <v>1.0</v>
      </c>
      <c r="M2942" s="300">
        <v>1.0</v>
      </c>
      <c r="N2942" s="300">
        <v>8.0</v>
      </c>
      <c r="O2942" s="300" t="s">
        <v>940</v>
      </c>
      <c r="P2942" s="300">
        <v>2.0</v>
      </c>
    </row>
    <row r="2943">
      <c r="A2943">
        <f>IFERROR(__xludf.DUMMYFUNCTION("""COMPUTED_VALUE"""),11.0)</f>
        <v>11</v>
      </c>
      <c r="B2943">
        <f>IFERROR(__xludf.DUMMYFUNCTION("""COMPUTED_VALUE"""),27120.0)</f>
        <v>27120</v>
      </c>
      <c r="C2943" t="str">
        <f>IFERROR(__xludf.DUMMYFUNCTION("""COMPUTED_VALUE"""),"VARGAS ARBOLEDA, AMALIA")</f>
        <v>VARGAS ARBOLEDA, AMALIA</v>
      </c>
      <c r="D2943" t="str">
        <f>IFERROR(__xludf.DUMMYFUNCTION("""COMPUTED_VALUE"""),"AP 3-D Art and Design")</f>
        <v>AP 3-D Art and Design</v>
      </c>
      <c r="E2943" s="3">
        <f>IFERROR(__xludf.DUMMYFUNCTION("""COMPUTED_VALUE"""),6.0)</f>
        <v>6</v>
      </c>
      <c r="F2943" s="300">
        <v>1.0</v>
      </c>
      <c r="G2943" s="300">
        <v>1.0</v>
      </c>
      <c r="H2943" s="300">
        <v>1.0</v>
      </c>
      <c r="I2943" s="300">
        <v>1.0</v>
      </c>
      <c r="J2943" s="300">
        <v>1.0</v>
      </c>
      <c r="K2943" s="300">
        <v>1.0</v>
      </c>
      <c r="L2943" s="300">
        <v>1.0</v>
      </c>
      <c r="M2943" s="300">
        <v>1.0</v>
      </c>
      <c r="N2943" s="300">
        <v>8.0</v>
      </c>
      <c r="O2943" s="300" t="s">
        <v>949</v>
      </c>
      <c r="P2943" s="300">
        <v>1.0</v>
      </c>
    </row>
    <row r="2944">
      <c r="A2944">
        <f>IFERROR(__xludf.DUMMYFUNCTION("""COMPUTED_VALUE"""),11.0)</f>
        <v>11</v>
      </c>
      <c r="B2944">
        <f>IFERROR(__xludf.DUMMYFUNCTION("""COMPUTED_VALUE"""),27103.0)</f>
        <v>27103</v>
      </c>
      <c r="C2944" t="str">
        <f>IFERROR(__xludf.DUMMYFUNCTION("""COMPUTED_VALUE"""),"SANCHEZ DIAZ, TOMAS")</f>
        <v>SANCHEZ DIAZ, TOMAS</v>
      </c>
      <c r="D2944" t="str">
        <f>IFERROR(__xludf.DUMMYFUNCTION("""COMPUTED_VALUE"""),"Band Level II")</f>
        <v>Band Level II</v>
      </c>
      <c r="E2944" s="3">
        <f>IFERROR(__xludf.DUMMYFUNCTION("""COMPUTED_VALUE"""),2.0)</f>
        <v>2</v>
      </c>
      <c r="F2944" s="300">
        <v>1.0</v>
      </c>
      <c r="G2944" s="300">
        <v>1.0</v>
      </c>
      <c r="H2944" s="300">
        <v>1.0</v>
      </c>
      <c r="I2944" s="300">
        <v>1.0</v>
      </c>
      <c r="J2944" s="300">
        <v>1.0</v>
      </c>
      <c r="K2944" s="300">
        <v>1.0</v>
      </c>
      <c r="L2944" s="300">
        <v>1.0</v>
      </c>
      <c r="M2944" s="300">
        <v>1.0</v>
      </c>
      <c r="N2944" s="300">
        <v>8.0</v>
      </c>
      <c r="O2944" s="300" t="s">
        <v>940</v>
      </c>
      <c r="P2944" s="300">
        <v>2.0</v>
      </c>
    </row>
    <row r="2945">
      <c r="A2945">
        <f>IFERROR(__xludf.DUMMYFUNCTION("""COMPUTED_VALUE"""),11.0)</f>
        <v>11</v>
      </c>
      <c r="B2945">
        <f>IFERROR(__xludf.DUMMYFUNCTION("""COMPUTED_VALUE"""),27003.0)</f>
        <v>27003</v>
      </c>
      <c r="C2945" t="str">
        <f>IFERROR(__xludf.DUMMYFUNCTION("""COMPUTED_VALUE"""),"ANGEL GIRALDO, DANIELA")</f>
        <v>ANGEL GIRALDO, DANIELA</v>
      </c>
      <c r="D2945" t="str">
        <f>IFERROR(__xludf.DUMMYFUNCTION("""COMPUTED_VALUE"""),"Band Level I")</f>
        <v>Band Level I</v>
      </c>
      <c r="E2945" s="3">
        <f>IFERROR(__xludf.DUMMYFUNCTION("""COMPUTED_VALUE"""),4.0)</f>
        <v>4</v>
      </c>
      <c r="F2945" s="300">
        <v>1.0</v>
      </c>
      <c r="G2945" s="300">
        <v>1.0</v>
      </c>
      <c r="H2945" s="300">
        <v>1.0</v>
      </c>
      <c r="I2945" s="300">
        <v>1.0</v>
      </c>
      <c r="J2945" s="300">
        <v>1.0</v>
      </c>
      <c r="K2945" s="300">
        <v>1.0</v>
      </c>
      <c r="L2945" s="300">
        <v>1.0</v>
      </c>
      <c r="M2945" s="300">
        <v>1.0</v>
      </c>
      <c r="N2945" s="300">
        <v>8.0</v>
      </c>
      <c r="O2945" s="300" t="s">
        <v>937</v>
      </c>
      <c r="P2945" s="300">
        <v>4.0</v>
      </c>
    </row>
    <row r="2946">
      <c r="A2946">
        <f>IFERROR(__xludf.DUMMYFUNCTION("""COMPUTED_VALUE"""),11.0)</f>
        <v>11</v>
      </c>
      <c r="B2946">
        <f>IFERROR(__xludf.DUMMYFUNCTION("""COMPUTED_VALUE"""),27061.0)</f>
        <v>27061</v>
      </c>
      <c r="C2946" t="str">
        <f>IFERROR(__xludf.DUMMYFUNCTION("""COMPUTED_VALUE"""),"MANTILLA LONDOÑO, EMILIO")</f>
        <v>MANTILLA LONDOÑO, EMILIO</v>
      </c>
      <c r="D2946" t="str">
        <f>IFERROR(__xludf.DUMMYFUNCTION("""COMPUTED_VALUE"""),"Painting II")</f>
        <v>Painting II</v>
      </c>
      <c r="E2946" s="3">
        <f>IFERROR(__xludf.DUMMYFUNCTION("""COMPUTED_VALUE"""),1.0)</f>
        <v>1</v>
      </c>
      <c r="F2946" s="300">
        <v>1.0</v>
      </c>
      <c r="G2946" s="300">
        <v>1.0</v>
      </c>
      <c r="H2946" s="300">
        <v>1.0</v>
      </c>
      <c r="I2946" s="300">
        <v>1.0</v>
      </c>
      <c r="J2946" s="300">
        <v>1.0</v>
      </c>
      <c r="K2946" s="300">
        <v>1.0</v>
      </c>
      <c r="L2946" s="300">
        <v>1.0</v>
      </c>
      <c r="M2946" s="300">
        <v>1.0</v>
      </c>
      <c r="N2946" s="300">
        <v>8.0</v>
      </c>
      <c r="O2946" s="300" t="s">
        <v>939</v>
      </c>
      <c r="P2946" s="300">
        <v>2.0</v>
      </c>
    </row>
    <row r="2947">
      <c r="A2947">
        <f>IFERROR(__xludf.DUMMYFUNCTION("""COMPUTED_VALUE"""),11.0)</f>
        <v>11</v>
      </c>
      <c r="B2947">
        <f>IFERROR(__xludf.DUMMYFUNCTION("""COMPUTED_VALUE"""),27028.0)</f>
        <v>27028</v>
      </c>
      <c r="C2947" t="str">
        <f>IFERROR(__xludf.DUMMYFUNCTION("""COMPUTED_VALUE"""),"DUQUE LUENGAS, CAROLINA")</f>
        <v>DUQUE LUENGAS, CAROLINA</v>
      </c>
      <c r="D2947" t="str">
        <f>IFERROR(__xludf.DUMMYFUNCTION("""COMPUTED_VALUE"""),"Band Level I")</f>
        <v>Band Level I</v>
      </c>
      <c r="E2947" s="3">
        <f>IFERROR(__xludf.DUMMYFUNCTION("""COMPUTED_VALUE"""),8.0)</f>
        <v>8</v>
      </c>
      <c r="F2947" s="300">
        <v>1.0</v>
      </c>
      <c r="G2947" s="300">
        <v>1.0</v>
      </c>
      <c r="H2947" s="300">
        <v>1.0</v>
      </c>
      <c r="I2947" s="300">
        <v>1.0</v>
      </c>
      <c r="J2947" s="300">
        <v>1.0</v>
      </c>
      <c r="K2947" s="300">
        <v>1.0</v>
      </c>
      <c r="L2947" s="300">
        <v>1.0</v>
      </c>
      <c r="M2947" s="300">
        <v>1.0</v>
      </c>
      <c r="N2947" s="300">
        <v>8.0</v>
      </c>
      <c r="O2947" s="300" t="s">
        <v>943</v>
      </c>
      <c r="P2947" s="300">
        <v>4.0</v>
      </c>
    </row>
    <row r="2948">
      <c r="A2948">
        <f>IFERROR(__xludf.DUMMYFUNCTION("""COMPUTED_VALUE"""),11.0)</f>
        <v>11</v>
      </c>
      <c r="B2948">
        <f>IFERROR(__xludf.DUMMYFUNCTION("""COMPUTED_VALUE"""),27097.0)</f>
        <v>27097</v>
      </c>
      <c r="C2948" t="str">
        <f>IFERROR(__xludf.DUMMYFUNCTION("""COMPUTED_VALUE"""),"ROBLEDO BETANCOURTH, JUAN FELIPE")</f>
        <v>ROBLEDO BETANCOURTH, JUAN FELIPE</v>
      </c>
      <c r="D2948" t="str">
        <f>IFERROR(__xludf.DUMMYFUNCTION("""COMPUTED_VALUE"""),"Painting I")</f>
        <v>Painting I</v>
      </c>
      <c r="E2948" s="3">
        <f>IFERROR(__xludf.DUMMYFUNCTION("""COMPUTED_VALUE"""),4.0)</f>
        <v>4</v>
      </c>
      <c r="F2948" s="300">
        <v>1.0</v>
      </c>
      <c r="G2948" s="300">
        <v>1.0</v>
      </c>
      <c r="H2948" s="300">
        <v>1.0</v>
      </c>
      <c r="I2948" s="300">
        <v>1.0</v>
      </c>
      <c r="J2948" s="300">
        <v>1.0</v>
      </c>
      <c r="K2948" s="300">
        <v>1.0</v>
      </c>
      <c r="L2948" s="300">
        <v>1.0</v>
      </c>
      <c r="M2948" s="300">
        <v>1.0</v>
      </c>
      <c r="N2948" s="300">
        <v>8.0</v>
      </c>
      <c r="O2948" s="300" t="s">
        <v>946</v>
      </c>
      <c r="P2948" s="300">
        <v>4.0</v>
      </c>
    </row>
    <row r="2949">
      <c r="A2949">
        <f>IFERROR(__xludf.DUMMYFUNCTION("""COMPUTED_VALUE"""),11.0)</f>
        <v>11</v>
      </c>
      <c r="B2949">
        <f>IFERROR(__xludf.DUMMYFUNCTION("""COMPUTED_VALUE"""),27116.0)</f>
        <v>27116</v>
      </c>
      <c r="C2949" t="str">
        <f>IFERROR(__xludf.DUMMYFUNCTION("""COMPUTED_VALUE"""),"TRUJILLO CHICA, MANUELA")</f>
        <v>TRUJILLO CHICA, MANUELA</v>
      </c>
      <c r="D2949" t="str">
        <f>IFERROR(__xludf.DUMMYFUNCTION("""COMPUTED_VALUE"""),"AP 2-D Art and Design")</f>
        <v>AP 2-D Art and Design</v>
      </c>
      <c r="E2949" s="3">
        <f>IFERROR(__xludf.DUMMYFUNCTION("""COMPUTED_VALUE"""),1.0)</f>
        <v>1</v>
      </c>
      <c r="F2949" s="300">
        <v>1.0</v>
      </c>
      <c r="G2949" s="300">
        <v>1.0</v>
      </c>
      <c r="H2949" s="300">
        <v>1.0</v>
      </c>
      <c r="I2949" s="300">
        <v>1.0</v>
      </c>
      <c r="J2949" s="300">
        <v>1.0</v>
      </c>
      <c r="K2949" s="300">
        <v>1.0</v>
      </c>
      <c r="L2949" s="300">
        <v>1.0</v>
      </c>
      <c r="M2949" s="300">
        <v>1.0</v>
      </c>
      <c r="N2949" s="300">
        <v>8.0</v>
      </c>
      <c r="O2949" s="300" t="s">
        <v>948</v>
      </c>
      <c r="P2949" s="300">
        <v>1.0</v>
      </c>
    </row>
    <row r="2950">
      <c r="A2950">
        <f>IFERROR(__xludf.DUMMYFUNCTION("""COMPUTED_VALUE"""),11.0)</f>
        <v>11</v>
      </c>
      <c r="B2950">
        <f>IFERROR(__xludf.DUMMYFUNCTION("""COMPUTED_VALUE"""),27019.0)</f>
        <v>27019</v>
      </c>
      <c r="C2950" t="str">
        <f>IFERROR(__xludf.DUMMYFUNCTION("""COMPUTED_VALUE"""),"BOTERO ESCOBAR, PEDRO")</f>
        <v>BOTERO ESCOBAR, PEDRO</v>
      </c>
      <c r="D2950" t="str">
        <f>IFERROR(__xludf.DUMMYFUNCTION("""COMPUTED_VALUE"""),"Band Level I")</f>
        <v>Band Level I</v>
      </c>
      <c r="E2950" s="3">
        <f>IFERROR(__xludf.DUMMYFUNCTION("""COMPUTED_VALUE"""),4.0)</f>
        <v>4</v>
      </c>
      <c r="F2950" s="300">
        <v>1.0</v>
      </c>
      <c r="G2950" s="300">
        <v>1.0</v>
      </c>
      <c r="H2950" s="300">
        <v>1.0</v>
      </c>
      <c r="I2950" s="300">
        <v>1.0</v>
      </c>
      <c r="J2950" s="300">
        <v>1.0</v>
      </c>
      <c r="K2950" s="300">
        <v>1.0</v>
      </c>
      <c r="L2950" s="300">
        <v>1.0</v>
      </c>
      <c r="M2950" s="300">
        <v>1.0</v>
      </c>
      <c r="N2950" s="300">
        <v>8.0</v>
      </c>
      <c r="O2950" s="300" t="s">
        <v>937</v>
      </c>
      <c r="P2950" s="300">
        <v>4.0</v>
      </c>
    </row>
    <row r="2951">
      <c r="A2951">
        <f>IFERROR(__xludf.DUMMYFUNCTION("""COMPUTED_VALUE"""),11.0)</f>
        <v>11</v>
      </c>
      <c r="B2951">
        <f>IFERROR(__xludf.DUMMYFUNCTION("""COMPUTED_VALUE"""),27052.0)</f>
        <v>27052</v>
      </c>
      <c r="C2951" t="str">
        <f>IFERROR(__xludf.DUMMYFUNCTION("""COMPUTED_VALUE"""),"JARAMILLO CADAVID, GABRIEL")</f>
        <v>JARAMILLO CADAVID, GABRIEL</v>
      </c>
      <c r="D2951" t="str">
        <f>IFERROR(__xludf.DUMMYFUNCTION("""COMPUTED_VALUE"""),"Band Level I")</f>
        <v>Band Level I</v>
      </c>
      <c r="E2951" s="3">
        <f>IFERROR(__xludf.DUMMYFUNCTION("""COMPUTED_VALUE"""),8.0)</f>
        <v>8</v>
      </c>
      <c r="F2951" s="300">
        <v>1.0</v>
      </c>
      <c r="G2951" s="300">
        <v>1.0</v>
      </c>
      <c r="H2951" s="300">
        <v>1.0</v>
      </c>
      <c r="I2951" s="300">
        <v>1.0</v>
      </c>
      <c r="J2951" s="300">
        <v>1.0</v>
      </c>
      <c r="K2951" s="300">
        <v>1.0</v>
      </c>
      <c r="L2951" s="300">
        <v>1.0</v>
      </c>
      <c r="M2951" s="300">
        <v>1.0</v>
      </c>
      <c r="N2951" s="300">
        <v>8.0</v>
      </c>
      <c r="O2951" s="300" t="s">
        <v>943</v>
      </c>
      <c r="P2951" s="300">
        <v>4.0</v>
      </c>
    </row>
    <row r="2952">
      <c r="A2952">
        <f>IFERROR(__xludf.DUMMYFUNCTION("""COMPUTED_VALUE"""),11.0)</f>
        <v>11</v>
      </c>
      <c r="B2952">
        <f>IFERROR(__xludf.DUMMYFUNCTION("""COMPUTED_VALUE"""),27027.0)</f>
        <v>27027</v>
      </c>
      <c r="C2952" t="str">
        <f>IFERROR(__xludf.DUMMYFUNCTION("""COMPUTED_VALUE"""),"DUQUE LOTERO, GREGORIO")</f>
        <v>DUQUE LOTERO, GREGORIO</v>
      </c>
      <c r="D2952" t="str">
        <f>IFERROR(__xludf.DUMMYFUNCTION("""COMPUTED_VALUE"""),"Band Level I")</f>
        <v>Band Level I</v>
      </c>
      <c r="E2952" s="3">
        <f>IFERROR(__xludf.DUMMYFUNCTION("""COMPUTED_VALUE"""),4.0)</f>
        <v>4</v>
      </c>
      <c r="F2952" s="300">
        <v>1.0</v>
      </c>
      <c r="G2952" s="300">
        <v>1.0</v>
      </c>
      <c r="H2952" s="300">
        <v>1.0</v>
      </c>
      <c r="I2952" s="300">
        <v>1.0</v>
      </c>
      <c r="J2952" s="300">
        <v>1.0</v>
      </c>
      <c r="K2952" s="300">
        <v>1.0</v>
      </c>
      <c r="L2952" s="300">
        <v>1.0</v>
      </c>
      <c r="M2952" s="300">
        <v>1.0</v>
      </c>
      <c r="N2952" s="300">
        <v>8.0</v>
      </c>
      <c r="O2952" s="300" t="s">
        <v>937</v>
      </c>
      <c r="P2952" s="300">
        <v>4.0</v>
      </c>
    </row>
    <row r="2953">
      <c r="A2953">
        <f>IFERROR(__xludf.DUMMYFUNCTION("""COMPUTED_VALUE"""),11.0)</f>
        <v>11</v>
      </c>
      <c r="B2953">
        <f>IFERROR(__xludf.DUMMYFUNCTION("""COMPUTED_VALUE"""),27110.0)</f>
        <v>27110</v>
      </c>
      <c r="C2953" t="str">
        <f>IFERROR(__xludf.DUMMYFUNCTION("""COMPUTED_VALUE"""),"TABARES MORENO, PABLO ANDRES")</f>
        <v>TABARES MORENO, PABLO ANDRES</v>
      </c>
      <c r="D2953" t="str">
        <f>IFERROR(__xludf.DUMMYFUNCTION("""COMPUTED_VALUE"""),"Band Level I")</f>
        <v>Band Level I</v>
      </c>
      <c r="E2953" s="3">
        <f>IFERROR(__xludf.DUMMYFUNCTION("""COMPUTED_VALUE"""),8.0)</f>
        <v>8</v>
      </c>
      <c r="F2953" s="300">
        <v>1.0</v>
      </c>
      <c r="G2953" s="300">
        <v>1.0</v>
      </c>
      <c r="H2953" s="300">
        <v>1.0</v>
      </c>
      <c r="I2953" s="300">
        <v>1.0</v>
      </c>
      <c r="J2953" s="300">
        <v>1.0</v>
      </c>
      <c r="K2953" s="300">
        <v>1.0</v>
      </c>
      <c r="L2953" s="300">
        <v>1.0</v>
      </c>
      <c r="M2953" s="300">
        <v>1.0</v>
      </c>
      <c r="N2953" s="300">
        <v>8.0</v>
      </c>
      <c r="O2953" s="300" t="s">
        <v>943</v>
      </c>
      <c r="P2953" s="300">
        <v>4.0</v>
      </c>
    </row>
    <row r="2954">
      <c r="A2954">
        <f>IFERROR(__xludf.DUMMYFUNCTION("""COMPUTED_VALUE"""),11.0)</f>
        <v>11</v>
      </c>
      <c r="B2954">
        <f>IFERROR(__xludf.DUMMYFUNCTION("""COMPUTED_VALUE"""),27026.0)</f>
        <v>27026</v>
      </c>
      <c r="C2954" t="str">
        <f>IFERROR(__xludf.DUMMYFUNCTION("""COMPUTED_VALUE"""),"CORREA MEJIA, AMALIA")</f>
        <v>CORREA MEJIA, AMALIA</v>
      </c>
      <c r="D2954" t="str">
        <f>IFERROR(__xludf.DUMMYFUNCTION("""COMPUTED_VALUE"""),"Painting II")</f>
        <v>Painting II</v>
      </c>
      <c r="E2954" s="3">
        <f>IFERROR(__xludf.DUMMYFUNCTION("""COMPUTED_VALUE"""),1.0)</f>
        <v>1</v>
      </c>
      <c r="F2954" s="300">
        <v>1.0</v>
      </c>
      <c r="G2954" s="300">
        <v>1.0</v>
      </c>
      <c r="H2954" s="300">
        <v>1.0</v>
      </c>
      <c r="I2954" s="300">
        <v>1.0</v>
      </c>
      <c r="J2954" s="300">
        <v>1.0</v>
      </c>
      <c r="K2954" s="300">
        <v>1.0</v>
      </c>
      <c r="L2954" s="300">
        <v>1.0</v>
      </c>
      <c r="M2954" s="300">
        <v>1.0</v>
      </c>
      <c r="N2954" s="300">
        <v>8.0</v>
      </c>
      <c r="O2954" s="300" t="s">
        <v>939</v>
      </c>
      <c r="P2954" s="300">
        <v>2.0</v>
      </c>
    </row>
    <row r="2955">
      <c r="A2955">
        <f>IFERROR(__xludf.DUMMYFUNCTION("""COMPUTED_VALUE"""),11.0)</f>
        <v>11</v>
      </c>
      <c r="B2955">
        <f>IFERROR(__xludf.DUMMYFUNCTION("""COMPUTED_VALUE"""),27079.0)</f>
        <v>27079</v>
      </c>
      <c r="C2955" t="str">
        <f>IFERROR(__xludf.DUMMYFUNCTION("""COMPUTED_VALUE"""),"ORTEGA TOBON, ESTEBAN")</f>
        <v>ORTEGA TOBON, ESTEBAN</v>
      </c>
      <c r="D2955" t="str">
        <f>IFERROR(__xludf.DUMMYFUNCTION("""COMPUTED_VALUE"""),"Mixed Media Art")</f>
        <v>Mixed Media Art</v>
      </c>
      <c r="E2955" s="3">
        <f>IFERROR(__xludf.DUMMYFUNCTION("""COMPUTED_VALUE"""),6.0)</f>
        <v>6</v>
      </c>
      <c r="F2955" s="300">
        <v>1.0</v>
      </c>
      <c r="G2955" s="300">
        <v>1.0</v>
      </c>
      <c r="H2955" s="300">
        <v>1.0</v>
      </c>
      <c r="I2955" s="300">
        <v>1.0</v>
      </c>
      <c r="J2955" s="300">
        <v>1.0</v>
      </c>
      <c r="K2955" s="300">
        <v>1.0</v>
      </c>
      <c r="L2955" s="300">
        <v>1.0</v>
      </c>
      <c r="M2955" s="300">
        <v>1.0</v>
      </c>
      <c r="N2955" s="300">
        <v>8.0</v>
      </c>
      <c r="O2955" s="300" t="s">
        <v>941</v>
      </c>
      <c r="P2955" s="300">
        <v>1.0</v>
      </c>
    </row>
    <row r="2956">
      <c r="A2956">
        <f>IFERROR(__xludf.DUMMYFUNCTION("""COMPUTED_VALUE"""),11.0)</f>
        <v>11</v>
      </c>
      <c r="B2956">
        <f>IFERROR(__xludf.DUMMYFUNCTION("""COMPUTED_VALUE"""),27032.0)</f>
        <v>27032</v>
      </c>
      <c r="C2956" t="str">
        <f>IFERROR(__xludf.DUMMYFUNCTION("""COMPUTED_VALUE"""),"ECHEVERRI ZAPATA, MATIAS")</f>
        <v>ECHEVERRI ZAPATA, MATIAS</v>
      </c>
      <c r="D2956" t="str">
        <f>IFERROR(__xludf.DUMMYFUNCTION("""COMPUTED_VALUE"""),"Painting I")</f>
        <v>Painting I</v>
      </c>
      <c r="E2956" s="3">
        <f>IFERROR(__xludf.DUMMYFUNCTION("""COMPUTED_VALUE"""),4.0)</f>
        <v>4</v>
      </c>
      <c r="F2956" s="300">
        <v>1.0</v>
      </c>
      <c r="G2956" s="300">
        <v>1.0</v>
      </c>
      <c r="H2956" s="300">
        <v>1.0</v>
      </c>
      <c r="I2956" s="300">
        <v>1.0</v>
      </c>
      <c r="J2956" s="300">
        <v>1.0</v>
      </c>
      <c r="K2956" s="300">
        <v>1.0</v>
      </c>
      <c r="L2956" s="300">
        <v>1.0</v>
      </c>
      <c r="M2956" s="300">
        <v>1.0</v>
      </c>
      <c r="N2956" s="300">
        <v>8.0</v>
      </c>
      <c r="O2956" s="300" t="s">
        <v>946</v>
      </c>
      <c r="P2956" s="300">
        <v>4.0</v>
      </c>
    </row>
    <row r="2957">
      <c r="A2957">
        <f>IFERROR(__xludf.DUMMYFUNCTION("""COMPUTED_VALUE"""),11.0)</f>
        <v>11</v>
      </c>
      <c r="B2957">
        <f>IFERROR(__xludf.DUMMYFUNCTION("""COMPUTED_VALUE"""),27174.0)</f>
        <v>27174</v>
      </c>
      <c r="C2957" t="str">
        <f>IFERROR(__xludf.DUMMYFUNCTION("""COMPUTED_VALUE"""),"GAITAN, LUCIA")</f>
        <v>GAITAN, LUCIA</v>
      </c>
      <c r="D2957" t="str">
        <f>IFERROR(__xludf.DUMMYFUNCTION("""COMPUTED_VALUE"""),"AP 2-D Art and Design")</f>
        <v>AP 2-D Art and Design</v>
      </c>
      <c r="E2957" s="3">
        <f>IFERROR(__xludf.DUMMYFUNCTION("""COMPUTED_VALUE"""),1.0)</f>
        <v>1</v>
      </c>
      <c r="F2957" s="300">
        <v>1.0</v>
      </c>
      <c r="G2957" s="300">
        <v>1.0</v>
      </c>
      <c r="H2957" s="300">
        <v>1.0</v>
      </c>
      <c r="I2957" s="300">
        <v>1.0</v>
      </c>
      <c r="J2957" s="300">
        <v>1.0</v>
      </c>
      <c r="K2957" s="300">
        <v>1.0</v>
      </c>
      <c r="L2957" s="300">
        <v>1.0</v>
      </c>
      <c r="M2957" s="300">
        <v>1.0</v>
      </c>
      <c r="N2957" s="300">
        <v>8.0</v>
      </c>
      <c r="O2957" s="300" t="s">
        <v>948</v>
      </c>
      <c r="P2957" s="300">
        <v>1.0</v>
      </c>
    </row>
    <row r="2958">
      <c r="A2958">
        <f>IFERROR(__xludf.DUMMYFUNCTION("""COMPUTED_VALUE"""),11.0)</f>
        <v>11</v>
      </c>
      <c r="B2958">
        <f>IFERROR(__xludf.DUMMYFUNCTION("""COMPUTED_VALUE"""),27108.0)</f>
        <v>27108</v>
      </c>
      <c r="C2958" t="str">
        <f>IFERROR(__xludf.DUMMYFUNCTION("""COMPUTED_VALUE"""),"SANTAMARIA VILLA, MARCO")</f>
        <v>SANTAMARIA VILLA, MARCO</v>
      </c>
      <c r="D2958" t="str">
        <f>IFERROR(__xludf.DUMMYFUNCTION("""COMPUTED_VALUE"""),"Drawing I")</f>
        <v>Drawing I</v>
      </c>
      <c r="E2958" s="3">
        <f>IFERROR(__xludf.DUMMYFUNCTION("""COMPUTED_VALUE"""),8.0)</f>
        <v>8</v>
      </c>
      <c r="F2958" s="300">
        <v>1.0</v>
      </c>
      <c r="G2958" s="300">
        <v>1.0</v>
      </c>
      <c r="H2958" s="300">
        <v>1.0</v>
      </c>
      <c r="I2958" s="300">
        <v>1.0</v>
      </c>
      <c r="J2958" s="300">
        <v>1.0</v>
      </c>
      <c r="K2958" s="300">
        <v>1.0</v>
      </c>
      <c r="L2958" s="300">
        <v>1.0</v>
      </c>
      <c r="M2958" s="300">
        <v>1.0</v>
      </c>
      <c r="N2958" s="300">
        <v>8.0</v>
      </c>
      <c r="O2958" s="300" t="s">
        <v>944</v>
      </c>
      <c r="P2958" s="300">
        <v>2.0</v>
      </c>
    </row>
    <row r="2959">
      <c r="A2959">
        <f>IFERROR(__xludf.DUMMYFUNCTION("""COMPUTED_VALUE"""),11.0)</f>
        <v>11</v>
      </c>
      <c r="B2959">
        <f>IFERROR(__xludf.DUMMYFUNCTION("""COMPUTED_VALUE"""),27010.0)</f>
        <v>27010</v>
      </c>
      <c r="C2959" t="str">
        <f>IFERROR(__xludf.DUMMYFUNCTION("""COMPUTED_VALUE"""),"ARRUBLA OSPINA, MANOLO")</f>
        <v>ARRUBLA OSPINA, MANOLO</v>
      </c>
      <c r="D2959" t="str">
        <f>IFERROR(__xludf.DUMMYFUNCTION("""COMPUTED_VALUE"""),"Band Level I")</f>
        <v>Band Level I</v>
      </c>
      <c r="E2959" s="3">
        <f>IFERROR(__xludf.DUMMYFUNCTION("""COMPUTED_VALUE"""),4.0)</f>
        <v>4</v>
      </c>
      <c r="F2959" s="300">
        <v>1.0</v>
      </c>
      <c r="G2959" s="300">
        <v>1.0</v>
      </c>
      <c r="H2959" s="300">
        <v>1.0</v>
      </c>
      <c r="I2959" s="300">
        <v>1.0</v>
      </c>
      <c r="J2959" s="300">
        <v>1.0</v>
      </c>
      <c r="K2959" s="300">
        <v>1.0</v>
      </c>
      <c r="L2959" s="300">
        <v>1.0</v>
      </c>
      <c r="M2959" s="300">
        <v>1.0</v>
      </c>
      <c r="N2959" s="300">
        <v>8.0</v>
      </c>
      <c r="O2959" s="300" t="s">
        <v>937</v>
      </c>
      <c r="P2959" s="300">
        <v>4.0</v>
      </c>
    </row>
    <row r="2960">
      <c r="A2960">
        <f>IFERROR(__xludf.DUMMYFUNCTION("""COMPUTED_VALUE"""),11.0)</f>
        <v>11</v>
      </c>
      <c r="B2960">
        <f>IFERROR(__xludf.DUMMYFUNCTION("""COMPUTED_VALUE"""),27163.0)</f>
        <v>27163</v>
      </c>
      <c r="C2960" t="str">
        <f>IFERROR(__xludf.DUMMYFUNCTION("""COMPUTED_VALUE"""),"NIEHAUS TRUJILLO, ARIANNA DE LOS ANGELES")</f>
        <v>NIEHAUS TRUJILLO, ARIANNA DE LOS ANGELES</v>
      </c>
      <c r="D2960" t="str">
        <f>IFERROR(__xludf.DUMMYFUNCTION("""COMPUTED_VALUE"""),"Band Level II")</f>
        <v>Band Level II</v>
      </c>
      <c r="E2960" s="3">
        <f>IFERROR(__xludf.DUMMYFUNCTION("""COMPUTED_VALUE"""),6.0)</f>
        <v>6</v>
      </c>
      <c r="F2960" s="300">
        <v>1.0</v>
      </c>
      <c r="G2960" s="300">
        <v>1.0</v>
      </c>
      <c r="H2960" s="300">
        <v>1.0</v>
      </c>
      <c r="I2960" s="300">
        <v>1.0</v>
      </c>
      <c r="J2960" s="300">
        <v>1.0</v>
      </c>
      <c r="K2960" s="300">
        <v>1.0</v>
      </c>
      <c r="L2960" s="300">
        <v>1.0</v>
      </c>
      <c r="M2960" s="300">
        <v>1.0</v>
      </c>
      <c r="N2960" s="300">
        <v>8.0</v>
      </c>
      <c r="O2960" s="300" t="s">
        <v>942</v>
      </c>
      <c r="P2960" s="300">
        <v>2.0</v>
      </c>
    </row>
    <row r="2961">
      <c r="A2961">
        <f>IFERROR(__xludf.DUMMYFUNCTION("""COMPUTED_VALUE"""),11.0)</f>
        <v>11</v>
      </c>
      <c r="B2961">
        <f>IFERROR(__xludf.DUMMYFUNCTION("""COMPUTED_VALUE"""),27141.0)</f>
        <v>27141</v>
      </c>
      <c r="C2961" t="str">
        <f>IFERROR(__xludf.DUMMYFUNCTION("""COMPUTED_VALUE"""),"MEJIA RESTREPO, PABLO")</f>
        <v>MEJIA RESTREPO, PABLO</v>
      </c>
      <c r="D2961" t="str">
        <f>IFERROR(__xludf.DUMMYFUNCTION("""COMPUTED_VALUE"""),"Painting I")</f>
        <v>Painting I</v>
      </c>
      <c r="E2961" s="3">
        <f>IFERROR(__xludf.DUMMYFUNCTION("""COMPUTED_VALUE"""),4.0)</f>
        <v>4</v>
      </c>
      <c r="F2961" s="300">
        <v>1.0</v>
      </c>
      <c r="G2961" s="300">
        <v>1.0</v>
      </c>
      <c r="H2961" s="300">
        <v>1.0</v>
      </c>
      <c r="I2961" s="300">
        <v>1.0</v>
      </c>
      <c r="J2961" s="300">
        <v>1.0</v>
      </c>
      <c r="K2961" s="300">
        <v>1.0</v>
      </c>
      <c r="L2961" s="300">
        <v>1.0</v>
      </c>
      <c r="M2961" s="300">
        <v>1.0</v>
      </c>
      <c r="N2961" s="300">
        <v>8.0</v>
      </c>
      <c r="O2961" s="300" t="s">
        <v>946</v>
      </c>
      <c r="P2961" s="300">
        <v>4.0</v>
      </c>
    </row>
    <row r="2962">
      <c r="A2962">
        <f>IFERROR(__xludf.DUMMYFUNCTION("""COMPUTED_VALUE"""),11.0)</f>
        <v>11</v>
      </c>
      <c r="B2962">
        <f>IFERROR(__xludf.DUMMYFUNCTION("""COMPUTED_VALUE"""),27025.0)</f>
        <v>27025</v>
      </c>
      <c r="C2962" t="str">
        <f>IFERROR(__xludf.DUMMYFUNCTION("""COMPUTED_VALUE"""),"COCK HENAO, MATIAS")</f>
        <v>COCK HENAO, MATIAS</v>
      </c>
      <c r="D2962" t="str">
        <f>IFERROR(__xludf.DUMMYFUNCTION("""COMPUTED_VALUE"""),"Band Level II")</f>
        <v>Band Level II</v>
      </c>
      <c r="E2962" s="3">
        <f>IFERROR(__xludf.DUMMYFUNCTION("""COMPUTED_VALUE"""),2.0)</f>
        <v>2</v>
      </c>
      <c r="F2962" s="300">
        <v>1.0</v>
      </c>
      <c r="G2962" s="300">
        <v>1.0</v>
      </c>
      <c r="H2962" s="300">
        <v>1.0</v>
      </c>
      <c r="I2962" s="300">
        <v>1.0</v>
      </c>
      <c r="J2962" s="300">
        <v>1.0</v>
      </c>
      <c r="K2962" s="300">
        <v>1.0</v>
      </c>
      <c r="L2962" s="300">
        <v>1.0</v>
      </c>
      <c r="M2962" s="300">
        <v>1.0</v>
      </c>
      <c r="N2962" s="300">
        <v>8.0</v>
      </c>
      <c r="O2962" s="300" t="s">
        <v>940</v>
      </c>
      <c r="P2962" s="300">
        <v>2.0</v>
      </c>
    </row>
    <row r="2963">
      <c r="A2963">
        <f>IFERROR(__xludf.DUMMYFUNCTION("""COMPUTED_VALUE"""),11.0)</f>
        <v>11</v>
      </c>
      <c r="B2963">
        <f>IFERROR(__xludf.DUMMYFUNCTION("""COMPUTED_VALUE"""),26009.0)</f>
        <v>26009</v>
      </c>
      <c r="C2963" t="str">
        <f>IFERROR(__xludf.DUMMYFUNCTION("""COMPUTED_VALUE"""),"ARANGO NAVARRO, PEDRO")</f>
        <v>ARANGO NAVARRO, PEDRO</v>
      </c>
      <c r="D2963" t="str">
        <f>IFERROR(__xludf.DUMMYFUNCTION("""COMPUTED_VALUE"""),"Band Level I")</f>
        <v>Band Level I</v>
      </c>
      <c r="E2963" s="3">
        <f>IFERROR(__xludf.DUMMYFUNCTION("""COMPUTED_VALUE"""),7.0)</f>
        <v>7</v>
      </c>
      <c r="F2963" s="300">
        <v>1.0</v>
      </c>
      <c r="G2963" s="300">
        <v>1.0</v>
      </c>
      <c r="H2963" s="300">
        <v>1.0</v>
      </c>
      <c r="I2963" s="300">
        <v>1.0</v>
      </c>
      <c r="J2963" s="300">
        <v>1.0</v>
      </c>
      <c r="K2963" s="300">
        <v>1.0</v>
      </c>
      <c r="L2963" s="300">
        <v>1.0</v>
      </c>
      <c r="M2963" s="300">
        <v>1.0</v>
      </c>
      <c r="N2963" s="300">
        <v>8.0</v>
      </c>
      <c r="O2963" s="300" t="s">
        <v>936</v>
      </c>
      <c r="P2963" s="300">
        <v>4.0</v>
      </c>
    </row>
    <row r="2964">
      <c r="A2964">
        <f>IFERROR(__xludf.DUMMYFUNCTION("""COMPUTED_VALUE"""),11.0)</f>
        <v>11</v>
      </c>
      <c r="B2964">
        <f>IFERROR(__xludf.DUMMYFUNCTION("""COMPUTED_VALUE"""),27077.0)</f>
        <v>27077</v>
      </c>
      <c r="C2964" t="str">
        <f>IFERROR(__xludf.DUMMYFUNCTION("""COMPUTED_VALUE"""),"MORENO MUNERA, MATILDA")</f>
        <v>MORENO MUNERA, MATILDA</v>
      </c>
      <c r="D2964" t="str">
        <f>IFERROR(__xludf.DUMMYFUNCTION("""COMPUTED_VALUE"""),"Band Level I")</f>
        <v>Band Level I</v>
      </c>
      <c r="E2964" s="3">
        <f>IFERROR(__xludf.DUMMYFUNCTION("""COMPUTED_VALUE"""),7.0)</f>
        <v>7</v>
      </c>
      <c r="F2964" s="300">
        <v>1.0</v>
      </c>
      <c r="G2964" s="300">
        <v>1.0</v>
      </c>
      <c r="H2964" s="300">
        <v>1.0</v>
      </c>
      <c r="I2964" s="300">
        <v>1.0</v>
      </c>
      <c r="J2964" s="300">
        <v>1.0</v>
      </c>
      <c r="K2964" s="300">
        <v>1.0</v>
      </c>
      <c r="L2964" s="300">
        <v>1.0</v>
      </c>
      <c r="M2964" s="300">
        <v>1.0</v>
      </c>
      <c r="N2964" s="300">
        <v>8.0</v>
      </c>
      <c r="O2964" s="300" t="s">
        <v>936</v>
      </c>
      <c r="P2964" s="300">
        <v>4.0</v>
      </c>
    </row>
    <row r="2965">
      <c r="A2965">
        <f>IFERROR(__xludf.DUMMYFUNCTION("""COMPUTED_VALUE"""),11.0)</f>
        <v>11</v>
      </c>
      <c r="B2965">
        <f>IFERROR(__xludf.DUMMYFUNCTION("""COMPUTED_VALUE"""),27098.0)</f>
        <v>27098</v>
      </c>
      <c r="C2965" t="str">
        <f>IFERROR(__xludf.DUMMYFUNCTION("""COMPUTED_VALUE"""),"ROJAS LOPEZ, EMILIANA")</f>
        <v>ROJAS LOPEZ, EMILIANA</v>
      </c>
      <c r="D2965" t="str">
        <f>IFERROR(__xludf.DUMMYFUNCTION("""COMPUTED_VALUE"""),"AP 2-D Art and Design")</f>
        <v>AP 2-D Art and Design</v>
      </c>
      <c r="E2965" s="3">
        <f>IFERROR(__xludf.DUMMYFUNCTION("""COMPUTED_VALUE"""),1.0)</f>
        <v>1</v>
      </c>
      <c r="F2965" s="300">
        <v>1.0</v>
      </c>
      <c r="G2965" s="300">
        <v>1.0</v>
      </c>
      <c r="H2965" s="300">
        <v>1.0</v>
      </c>
      <c r="I2965" s="300">
        <v>1.0</v>
      </c>
      <c r="J2965" s="300">
        <v>1.0</v>
      </c>
      <c r="K2965" s="300">
        <v>1.0</v>
      </c>
      <c r="L2965" s="300">
        <v>1.0</v>
      </c>
      <c r="M2965" s="300">
        <v>1.0</v>
      </c>
      <c r="N2965" s="300">
        <v>8.0</v>
      </c>
      <c r="O2965" s="300" t="s">
        <v>948</v>
      </c>
      <c r="P2965" s="300">
        <v>1.0</v>
      </c>
    </row>
    <row r="2966">
      <c r="A2966">
        <f>IFERROR(__xludf.DUMMYFUNCTION("""COMPUTED_VALUE"""),11.0)</f>
        <v>11</v>
      </c>
      <c r="B2966">
        <f>IFERROR(__xludf.DUMMYFUNCTION("""COMPUTED_VALUE"""),27049.0)</f>
        <v>27049</v>
      </c>
      <c r="C2966" t="str">
        <f>IFERROR(__xludf.DUMMYFUNCTION("""COMPUTED_VALUE"""),"HENAO RESTREPO, ELENA")</f>
        <v>HENAO RESTREPO, ELENA</v>
      </c>
      <c r="D2966" t="str">
        <f>IFERROR(__xludf.DUMMYFUNCTION("""COMPUTED_VALUE"""),"Mixed Media Art")</f>
        <v>Mixed Media Art</v>
      </c>
      <c r="E2966" s="3">
        <f>IFERROR(__xludf.DUMMYFUNCTION("""COMPUTED_VALUE"""),6.0)</f>
        <v>6</v>
      </c>
      <c r="F2966" s="300">
        <v>1.0</v>
      </c>
      <c r="G2966" s="300">
        <v>1.0</v>
      </c>
      <c r="H2966" s="300">
        <v>1.0</v>
      </c>
      <c r="I2966" s="300">
        <v>1.0</v>
      </c>
      <c r="J2966" s="300">
        <v>1.0</v>
      </c>
      <c r="K2966" s="300">
        <v>1.0</v>
      </c>
      <c r="L2966" s="300">
        <v>1.0</v>
      </c>
      <c r="M2966" s="300">
        <v>1.0</v>
      </c>
      <c r="N2966" s="300">
        <v>8.0</v>
      </c>
      <c r="O2966" s="300" t="s">
        <v>941</v>
      </c>
      <c r="P2966" s="300">
        <v>1.0</v>
      </c>
    </row>
    <row r="2967">
      <c r="A2967">
        <f>IFERROR(__xludf.DUMMYFUNCTION("""COMPUTED_VALUE"""),11.0)</f>
        <v>11</v>
      </c>
      <c r="B2967">
        <f>IFERROR(__xludf.DUMMYFUNCTION("""COMPUTED_VALUE"""),27066.0)</f>
        <v>27066</v>
      </c>
      <c r="C2967" t="str">
        <f>IFERROR(__xludf.DUMMYFUNCTION("""COMPUTED_VALUE"""),"MEJIA URIBE, DANIEL")</f>
        <v>MEJIA URIBE, DANIEL</v>
      </c>
      <c r="D2967" t="str">
        <f>IFERROR(__xludf.DUMMYFUNCTION("""COMPUTED_VALUE"""),"Band Level I")</f>
        <v>Band Level I</v>
      </c>
      <c r="E2967" s="3">
        <f>IFERROR(__xludf.DUMMYFUNCTION("""COMPUTED_VALUE"""),4.0)</f>
        <v>4</v>
      </c>
      <c r="F2967" s="300">
        <v>1.0</v>
      </c>
      <c r="G2967" s="300">
        <v>1.0</v>
      </c>
      <c r="H2967" s="300">
        <v>1.0</v>
      </c>
      <c r="I2967" s="300">
        <v>1.0</v>
      </c>
      <c r="J2967" s="300">
        <v>1.0</v>
      </c>
      <c r="K2967" s="300">
        <v>1.0</v>
      </c>
      <c r="L2967" s="300">
        <v>1.0</v>
      </c>
      <c r="M2967" s="300">
        <v>1.0</v>
      </c>
      <c r="N2967" s="300">
        <v>8.0</v>
      </c>
      <c r="O2967" s="300" t="s">
        <v>937</v>
      </c>
      <c r="P2967" s="300">
        <v>4.0</v>
      </c>
    </row>
    <row r="2968">
      <c r="A2968">
        <f>IFERROR(__xludf.DUMMYFUNCTION("""COMPUTED_VALUE"""),11.0)</f>
        <v>11</v>
      </c>
      <c r="B2968">
        <f>IFERROR(__xludf.DUMMYFUNCTION("""COMPUTED_VALUE"""),27123.0)</f>
        <v>27123</v>
      </c>
      <c r="C2968" t="str">
        <f>IFERROR(__xludf.DUMMYFUNCTION("""COMPUTED_VALUE"""),"VELEZ PODESTA, SIMON")</f>
        <v>VELEZ PODESTA, SIMON</v>
      </c>
      <c r="D2968" t="str">
        <f>IFERROR(__xludf.DUMMYFUNCTION("""COMPUTED_VALUE"""),"Band Level II")</f>
        <v>Band Level II</v>
      </c>
      <c r="E2968" s="3">
        <f>IFERROR(__xludf.DUMMYFUNCTION("""COMPUTED_VALUE"""),6.0)</f>
        <v>6</v>
      </c>
      <c r="F2968" s="300">
        <v>1.0</v>
      </c>
      <c r="G2968" s="300">
        <v>1.0</v>
      </c>
      <c r="H2968" s="300">
        <v>1.0</v>
      </c>
      <c r="I2968" s="300">
        <v>1.0</v>
      </c>
      <c r="J2968" s="300">
        <v>1.0</v>
      </c>
      <c r="K2968" s="300">
        <v>1.0</v>
      </c>
      <c r="L2968" s="300">
        <v>1.0</v>
      </c>
      <c r="M2968" s="300">
        <v>1.0</v>
      </c>
      <c r="N2968" s="300">
        <v>8.0</v>
      </c>
      <c r="O2968" s="300" t="s">
        <v>942</v>
      </c>
      <c r="P2968" s="300">
        <v>2.0</v>
      </c>
    </row>
    <row r="2969">
      <c r="A2969">
        <f>IFERROR(__xludf.DUMMYFUNCTION("""COMPUTED_VALUE"""),11.0)</f>
        <v>11</v>
      </c>
      <c r="B2969">
        <f>IFERROR(__xludf.DUMMYFUNCTION("""COMPUTED_VALUE"""),27109.0)</f>
        <v>27109</v>
      </c>
      <c r="C2969" t="str">
        <f>IFERROR(__xludf.DUMMYFUNCTION("""COMPUTED_VALUE"""),"SIERRA TIRADO, PEDRO")</f>
        <v>SIERRA TIRADO, PEDRO</v>
      </c>
      <c r="D2969" t="str">
        <f>IFERROR(__xludf.DUMMYFUNCTION("""COMPUTED_VALUE"""),"Sculpture I")</f>
        <v>Sculpture I</v>
      </c>
      <c r="E2969" s="3">
        <f>IFERROR(__xludf.DUMMYFUNCTION("""COMPUTED_VALUE"""),3.0)</f>
        <v>3</v>
      </c>
      <c r="F2969" s="300">
        <v>1.0</v>
      </c>
      <c r="G2969" s="300">
        <v>1.0</v>
      </c>
      <c r="H2969" s="300">
        <v>1.0</v>
      </c>
      <c r="I2969" s="300">
        <v>1.0</v>
      </c>
      <c r="J2969" s="300">
        <v>1.0</v>
      </c>
      <c r="K2969" s="300">
        <v>1.0</v>
      </c>
      <c r="L2969" s="300">
        <v>1.0</v>
      </c>
      <c r="M2969" s="300">
        <v>1.0</v>
      </c>
      <c r="N2969" s="300">
        <v>8.0</v>
      </c>
      <c r="O2969" s="300" t="s">
        <v>947</v>
      </c>
      <c r="P2969" s="300">
        <v>2.0</v>
      </c>
    </row>
    <row r="2970">
      <c r="A2970">
        <f>IFERROR(__xludf.DUMMYFUNCTION("""COMPUTED_VALUE"""),11.0)</f>
        <v>11</v>
      </c>
      <c r="B2970">
        <f>IFERROR(__xludf.DUMMYFUNCTION("""COMPUTED_VALUE"""),27005.0)</f>
        <v>27005</v>
      </c>
      <c r="C2970" t="str">
        <f>IFERROR(__xludf.DUMMYFUNCTION("""COMPUTED_VALUE"""),"ANGEL MESA, EMILIO")</f>
        <v>ANGEL MESA, EMILIO</v>
      </c>
      <c r="D2970" t="str">
        <f>IFERROR(__xludf.DUMMYFUNCTION("""COMPUTED_VALUE"""),"Painting I")</f>
        <v>Painting I</v>
      </c>
      <c r="E2970" s="3">
        <f>IFERROR(__xludf.DUMMYFUNCTION("""COMPUTED_VALUE"""),5.0)</f>
        <v>5</v>
      </c>
      <c r="F2970" s="300">
        <v>1.0</v>
      </c>
      <c r="G2970" s="300">
        <v>1.0</v>
      </c>
      <c r="H2970" s="300">
        <v>1.0</v>
      </c>
      <c r="I2970" s="300">
        <v>1.0</v>
      </c>
      <c r="J2970" s="300">
        <v>1.0</v>
      </c>
      <c r="K2970" s="300">
        <v>1.0</v>
      </c>
      <c r="L2970" s="300">
        <v>1.0</v>
      </c>
      <c r="M2970" s="300">
        <v>1.0</v>
      </c>
      <c r="N2970" s="300">
        <v>8.0</v>
      </c>
      <c r="O2970" s="300" t="s">
        <v>945</v>
      </c>
      <c r="P2970" s="300">
        <v>4.0</v>
      </c>
    </row>
    <row r="2971">
      <c r="A2971">
        <f>IFERROR(__xludf.DUMMYFUNCTION("""COMPUTED_VALUE"""),11.0)</f>
        <v>11</v>
      </c>
      <c r="B2971">
        <f>IFERROR(__xludf.DUMMYFUNCTION("""COMPUTED_VALUE"""),27111.0)</f>
        <v>27111</v>
      </c>
      <c r="C2971" t="str">
        <f>IFERROR(__xludf.DUMMYFUNCTION("""COMPUTED_VALUE"""),"TOBON PEÑALOZA, MARTIN")</f>
        <v>TOBON PEÑALOZA, MARTIN</v>
      </c>
      <c r="D2971" t="str">
        <f>IFERROR(__xludf.DUMMYFUNCTION("""COMPUTED_VALUE"""),"Mixed Media Art")</f>
        <v>Mixed Media Art</v>
      </c>
      <c r="E2971" s="3">
        <f>IFERROR(__xludf.DUMMYFUNCTION("""COMPUTED_VALUE"""),6.0)</f>
        <v>6</v>
      </c>
      <c r="F2971" s="300">
        <v>1.0</v>
      </c>
      <c r="G2971" s="300">
        <v>1.0</v>
      </c>
      <c r="H2971" s="300">
        <v>1.0</v>
      </c>
      <c r="I2971" s="300">
        <v>1.0</v>
      </c>
      <c r="J2971" s="300">
        <v>1.0</v>
      </c>
      <c r="K2971" s="300">
        <v>1.0</v>
      </c>
      <c r="L2971" s="300">
        <v>1.0</v>
      </c>
      <c r="M2971" s="300">
        <v>1.0</v>
      </c>
      <c r="N2971" s="300">
        <v>8.0</v>
      </c>
      <c r="O2971" s="300" t="s">
        <v>941</v>
      </c>
      <c r="P2971" s="300">
        <v>1.0</v>
      </c>
    </row>
    <row r="2972">
      <c r="A2972">
        <f>IFERROR(__xludf.DUMMYFUNCTION("""COMPUTED_VALUE"""),11.0)</f>
        <v>11</v>
      </c>
      <c r="B2972">
        <f>IFERROR(__xludf.DUMMYFUNCTION("""COMPUTED_VALUE"""),27164.0)</f>
        <v>27164</v>
      </c>
      <c r="C2972" t="str">
        <f>IFERROR(__xludf.DUMMYFUNCTION("""COMPUTED_VALUE"""),"JARAMILLO URIBE, MAR")</f>
        <v>JARAMILLO URIBE, MAR</v>
      </c>
      <c r="D2972" t="str">
        <f>IFERROR(__xludf.DUMMYFUNCTION("""COMPUTED_VALUE"""),"Band Level I")</f>
        <v>Band Level I</v>
      </c>
      <c r="E2972" s="3">
        <f>IFERROR(__xludf.DUMMYFUNCTION("""COMPUTED_VALUE"""),4.0)</f>
        <v>4</v>
      </c>
      <c r="F2972" s="300">
        <v>1.0</v>
      </c>
      <c r="G2972" s="300">
        <v>1.0</v>
      </c>
      <c r="H2972" s="300">
        <v>1.0</v>
      </c>
      <c r="I2972" s="300">
        <v>1.0</v>
      </c>
      <c r="J2972" s="300">
        <v>1.0</v>
      </c>
      <c r="K2972" s="300">
        <v>1.0</v>
      </c>
      <c r="L2972" s="300">
        <v>1.0</v>
      </c>
      <c r="M2972" s="300">
        <v>1.0</v>
      </c>
      <c r="N2972" s="300">
        <v>8.0</v>
      </c>
      <c r="O2972" s="300" t="s">
        <v>937</v>
      </c>
      <c r="P2972" s="300">
        <v>4.0</v>
      </c>
    </row>
    <row r="2973">
      <c r="A2973">
        <f>IFERROR(__xludf.DUMMYFUNCTION("""COMPUTED_VALUE"""),11.0)</f>
        <v>11</v>
      </c>
      <c r="B2973">
        <f>IFERROR(__xludf.DUMMYFUNCTION("""COMPUTED_VALUE"""),27037.0)</f>
        <v>27037</v>
      </c>
      <c r="C2973" t="str">
        <f>IFERROR(__xludf.DUMMYFUNCTION("""COMPUTED_VALUE"""),"GALEANO SALAZAR, SARA")</f>
        <v>GALEANO SALAZAR, SARA</v>
      </c>
      <c r="D2973" t="str">
        <f>IFERROR(__xludf.DUMMYFUNCTION("""COMPUTED_VALUE"""),"Band Level II")</f>
        <v>Band Level II</v>
      </c>
      <c r="E2973" s="3">
        <f>IFERROR(__xludf.DUMMYFUNCTION("""COMPUTED_VALUE"""),2.0)</f>
        <v>2</v>
      </c>
      <c r="F2973" s="300">
        <v>1.0</v>
      </c>
      <c r="G2973" s="300">
        <v>1.0</v>
      </c>
      <c r="H2973" s="300">
        <v>1.0</v>
      </c>
      <c r="I2973" s="300">
        <v>1.0</v>
      </c>
      <c r="J2973" s="300">
        <v>1.0</v>
      </c>
      <c r="K2973" s="300">
        <v>1.0</v>
      </c>
      <c r="L2973" s="300">
        <v>1.0</v>
      </c>
      <c r="M2973" s="300">
        <v>1.0</v>
      </c>
      <c r="N2973" s="300">
        <v>8.0</v>
      </c>
      <c r="O2973" s="300" t="s">
        <v>940</v>
      </c>
      <c r="P2973" s="300">
        <v>2.0</v>
      </c>
    </row>
    <row r="2974">
      <c r="A2974">
        <f>IFERROR(__xludf.DUMMYFUNCTION("""COMPUTED_VALUE"""),12.0)</f>
        <v>12</v>
      </c>
      <c r="B2974">
        <f>IFERROR(__xludf.DUMMYFUNCTION("""COMPUTED_VALUE"""),25084.0)</f>
        <v>25084</v>
      </c>
      <c r="C2974" t="str">
        <f>IFERROR(__xludf.DUMMYFUNCTION("""COMPUTED_VALUE"""),"PELAEZ KLINKERT, ALICIA")</f>
        <v>PELAEZ KLINKERT, ALICIA</v>
      </c>
      <c r="D2974" t="str">
        <f>IFERROR(__xludf.DUMMYFUNCTION("""COMPUTED_VALUE"""),"AP Research")</f>
        <v>AP Research</v>
      </c>
      <c r="E2974" s="3">
        <f>IFERROR(__xludf.DUMMYFUNCTION("""COMPUTED_VALUE"""),1.0)</f>
        <v>1</v>
      </c>
      <c r="F2974" s="300">
        <v>1.0</v>
      </c>
      <c r="G2974" s="300">
        <v>1.0</v>
      </c>
      <c r="H2974" s="300">
        <v>1.0</v>
      </c>
      <c r="I2974" s="300">
        <v>1.0</v>
      </c>
      <c r="J2974" s="300">
        <v>1.0</v>
      </c>
      <c r="K2974" s="300">
        <v>1.0</v>
      </c>
      <c r="L2974" s="300">
        <v>1.0</v>
      </c>
      <c r="M2974" s="300">
        <v>1.0</v>
      </c>
      <c r="N2974" s="300">
        <v>8.0</v>
      </c>
      <c r="O2974" s="300" t="s">
        <v>950</v>
      </c>
      <c r="P2974" s="300">
        <v>1.0</v>
      </c>
    </row>
    <row r="2975">
      <c r="A2975">
        <f>IFERROR(__xludf.DUMMYFUNCTION("""COMPUTED_VALUE"""),12.0)</f>
        <v>12</v>
      </c>
      <c r="B2975">
        <f>IFERROR(__xludf.DUMMYFUNCTION("""COMPUTED_VALUE"""),26105.0)</f>
        <v>26105</v>
      </c>
      <c r="C2975" t="str">
        <f>IFERROR(__xludf.DUMMYFUNCTION("""COMPUTED_VALUE"""),"ROJAS LONDOÑO, SARA")</f>
        <v>ROJAS LONDOÑO, SARA</v>
      </c>
      <c r="D2975" t="str">
        <f>IFERROR(__xludf.DUMMYFUNCTION("""COMPUTED_VALUE"""),"ISC")</f>
        <v>ISC</v>
      </c>
      <c r="E2975" s="3">
        <f>IFERROR(__xludf.DUMMYFUNCTION("""COMPUTED_VALUE"""),8.0)</f>
        <v>8</v>
      </c>
      <c r="F2975" s="300">
        <v>1.0</v>
      </c>
      <c r="G2975" s="300">
        <v>1.0</v>
      </c>
      <c r="H2975" s="300">
        <v>1.0</v>
      </c>
      <c r="I2975" s="300">
        <v>1.0</v>
      </c>
      <c r="J2975" s="300">
        <v>1.0</v>
      </c>
      <c r="K2975" s="300">
        <v>1.0</v>
      </c>
      <c r="L2975" s="300">
        <v>1.0</v>
      </c>
      <c r="M2975" s="300">
        <v>1.0</v>
      </c>
      <c r="N2975" s="300">
        <v>8.0</v>
      </c>
      <c r="O2975" s="300" t="s">
        <v>951</v>
      </c>
      <c r="P2975" s="300">
        <v>5.0</v>
      </c>
    </row>
    <row r="2976">
      <c r="A2976">
        <f>IFERROR(__xludf.DUMMYFUNCTION("""COMPUTED_VALUE"""),12.0)</f>
        <v>12</v>
      </c>
      <c r="B2976">
        <f>IFERROR(__xludf.DUMMYFUNCTION("""COMPUTED_VALUE"""),26046.0)</f>
        <v>26046</v>
      </c>
      <c r="C2976" t="str">
        <f>IFERROR(__xludf.DUMMYFUNCTION("""COMPUTED_VALUE"""),"HENAO GARZON, NICOLAS")</f>
        <v>HENAO GARZON, NICOLAS</v>
      </c>
      <c r="D2976" t="str">
        <f>IFERROR(__xludf.DUMMYFUNCTION("""COMPUTED_VALUE"""),"ISC")</f>
        <v>ISC</v>
      </c>
      <c r="E2976" s="3">
        <f>IFERROR(__xludf.DUMMYFUNCTION("""COMPUTED_VALUE"""),6.0)</f>
        <v>6</v>
      </c>
      <c r="F2976" s="300">
        <v>1.0</v>
      </c>
      <c r="G2976" s="300">
        <v>1.0</v>
      </c>
      <c r="H2976" s="300">
        <v>1.0</v>
      </c>
      <c r="I2976" s="300">
        <v>1.0</v>
      </c>
      <c r="J2976" s="300">
        <v>1.0</v>
      </c>
      <c r="K2976" s="300">
        <v>1.0</v>
      </c>
      <c r="L2976" s="300">
        <v>1.0</v>
      </c>
      <c r="M2976" s="300">
        <v>1.0</v>
      </c>
      <c r="N2976" s="300">
        <v>8.0</v>
      </c>
      <c r="O2976" s="300" t="s">
        <v>952</v>
      </c>
      <c r="P2976" s="300">
        <v>5.0</v>
      </c>
    </row>
    <row r="2977">
      <c r="A2977">
        <f>IFERROR(__xludf.DUMMYFUNCTION("""COMPUTED_VALUE"""),12.0)</f>
        <v>12</v>
      </c>
      <c r="B2977">
        <f>IFERROR(__xludf.DUMMYFUNCTION("""COMPUTED_VALUE"""),26165.0)</f>
        <v>26165</v>
      </c>
      <c r="C2977" t="str">
        <f>IFERROR(__xludf.DUMMYFUNCTION("""COMPUTED_VALUE"""),"BURKHALTER, ISAAC STEPHEN")</f>
        <v>BURKHALTER, ISAAC STEPHEN</v>
      </c>
      <c r="D2977" t="str">
        <f>IFERROR(__xludf.DUMMYFUNCTION("""COMPUTED_VALUE"""),"ISC")</f>
        <v>ISC</v>
      </c>
      <c r="E2977" s="3">
        <f>IFERROR(__xludf.DUMMYFUNCTION("""COMPUTED_VALUE"""),8.0)</f>
        <v>8</v>
      </c>
      <c r="F2977" s="300">
        <v>1.0</v>
      </c>
      <c r="G2977" s="300">
        <v>1.0</v>
      </c>
      <c r="H2977" s="300">
        <v>1.0</v>
      </c>
      <c r="I2977" s="300">
        <v>1.0</v>
      </c>
      <c r="J2977" s="300">
        <v>1.0</v>
      </c>
      <c r="K2977" s="300">
        <v>1.0</v>
      </c>
      <c r="L2977" s="300">
        <v>1.0</v>
      </c>
      <c r="M2977" s="300">
        <v>1.0</v>
      </c>
      <c r="N2977" s="300">
        <v>8.0</v>
      </c>
      <c r="O2977" s="300" t="s">
        <v>951</v>
      </c>
      <c r="P2977" s="300">
        <v>5.0</v>
      </c>
    </row>
    <row r="2978">
      <c r="A2978">
        <f>IFERROR(__xludf.DUMMYFUNCTION("""COMPUTED_VALUE"""),12.0)</f>
        <v>12</v>
      </c>
      <c r="B2978">
        <f>IFERROR(__xludf.DUMMYFUNCTION("""COMPUTED_VALUE"""),26120.0)</f>
        <v>26120</v>
      </c>
      <c r="C2978" t="str">
        <f>IFERROR(__xludf.DUMMYFUNCTION("""COMPUTED_VALUE"""),"VERGARA ROZO, JERONIMO")</f>
        <v>VERGARA ROZO, JERONIMO</v>
      </c>
      <c r="D2978" t="str">
        <f>IFERROR(__xludf.DUMMYFUNCTION("""COMPUTED_VALUE"""),"AP Research")</f>
        <v>AP Research</v>
      </c>
      <c r="E2978" s="3">
        <f>IFERROR(__xludf.DUMMYFUNCTION("""COMPUTED_VALUE"""),1.0)</f>
        <v>1</v>
      </c>
      <c r="F2978" s="300">
        <v>1.0</v>
      </c>
      <c r="G2978" s="300">
        <v>1.0</v>
      </c>
      <c r="H2978" s="300">
        <v>1.0</v>
      </c>
      <c r="I2978" s="300">
        <v>1.0</v>
      </c>
      <c r="J2978" s="300">
        <v>1.0</v>
      </c>
      <c r="K2978" s="300">
        <v>1.0</v>
      </c>
      <c r="L2978" s="300">
        <v>1.0</v>
      </c>
      <c r="M2978" s="300">
        <v>1.0</v>
      </c>
      <c r="N2978" s="300">
        <v>8.0</v>
      </c>
      <c r="O2978" s="300" t="s">
        <v>950</v>
      </c>
      <c r="P2978" s="300">
        <v>1.0</v>
      </c>
    </row>
    <row r="2979">
      <c r="A2979">
        <f>IFERROR(__xludf.DUMMYFUNCTION("""COMPUTED_VALUE"""),12.0)</f>
        <v>12</v>
      </c>
      <c r="B2979">
        <f>IFERROR(__xludf.DUMMYFUNCTION("""COMPUTED_VALUE"""),26130.0)</f>
        <v>26130</v>
      </c>
      <c r="C2979" t="str">
        <f>IFERROR(__xludf.DUMMYFUNCTION("""COMPUTED_VALUE"""),"IBAÑEZ MONTOYA, DANIEL")</f>
        <v>IBAÑEZ MONTOYA, DANIEL</v>
      </c>
      <c r="D2979" t="str">
        <f>IFERROR(__xludf.DUMMYFUNCTION("""COMPUTED_VALUE"""),"ISC")</f>
        <v>ISC</v>
      </c>
      <c r="E2979" s="3">
        <f>IFERROR(__xludf.DUMMYFUNCTION("""COMPUTED_VALUE"""),1.0)</f>
        <v>1</v>
      </c>
      <c r="F2979" s="300">
        <v>1.0</v>
      </c>
      <c r="G2979" s="300">
        <v>1.0</v>
      </c>
      <c r="H2979" s="300">
        <v>1.0</v>
      </c>
      <c r="I2979" s="300">
        <v>1.0</v>
      </c>
      <c r="J2979" s="300">
        <v>1.0</v>
      </c>
      <c r="K2979" s="300">
        <v>1.0</v>
      </c>
      <c r="L2979" s="300">
        <v>1.0</v>
      </c>
      <c r="M2979" s="300">
        <v>1.0</v>
      </c>
      <c r="N2979" s="300">
        <v>8.0</v>
      </c>
      <c r="O2979" s="300" t="s">
        <v>953</v>
      </c>
      <c r="P2979" s="300">
        <v>5.0</v>
      </c>
    </row>
    <row r="2980">
      <c r="A2980">
        <f>IFERROR(__xludf.DUMMYFUNCTION("""COMPUTED_VALUE"""),12.0)</f>
        <v>12</v>
      </c>
      <c r="B2980">
        <f>IFERROR(__xludf.DUMMYFUNCTION("""COMPUTED_VALUE"""),26117.0)</f>
        <v>26117</v>
      </c>
      <c r="C2980" t="str">
        <f>IFERROR(__xludf.DUMMYFUNCTION("""COMPUTED_VALUE"""),"VELEZ RESTREPO, LUCAS")</f>
        <v>VELEZ RESTREPO, LUCAS</v>
      </c>
      <c r="D2980" t="str">
        <f>IFERROR(__xludf.DUMMYFUNCTION("""COMPUTED_VALUE"""),"AP Research")</f>
        <v>AP Research</v>
      </c>
      <c r="E2980" s="3">
        <f>IFERROR(__xludf.DUMMYFUNCTION("""COMPUTED_VALUE"""),1.0)</f>
        <v>1</v>
      </c>
      <c r="F2980" s="300">
        <v>1.0</v>
      </c>
      <c r="G2980" s="300">
        <v>1.0</v>
      </c>
      <c r="H2980" s="300">
        <v>1.0</v>
      </c>
      <c r="I2980" s="300">
        <v>1.0</v>
      </c>
      <c r="J2980" s="300">
        <v>1.0</v>
      </c>
      <c r="K2980" s="300">
        <v>1.0</v>
      </c>
      <c r="L2980" s="300">
        <v>1.0</v>
      </c>
      <c r="M2980" s="300">
        <v>1.0</v>
      </c>
      <c r="N2980" s="300">
        <v>8.0</v>
      </c>
      <c r="O2980" s="300" t="s">
        <v>950</v>
      </c>
      <c r="P2980" s="300">
        <v>1.0</v>
      </c>
    </row>
    <row r="2981">
      <c r="A2981">
        <f>IFERROR(__xludf.DUMMYFUNCTION("""COMPUTED_VALUE"""),12.0)</f>
        <v>12</v>
      </c>
      <c r="B2981">
        <f>IFERROR(__xludf.DUMMYFUNCTION("""COMPUTED_VALUE"""),26168.0)</f>
        <v>26168</v>
      </c>
      <c r="C2981" t="str">
        <f>IFERROR(__xludf.DUMMYFUNCTION("""COMPUTED_VALUE"""),"NARANJO ARANA, LETICIA")</f>
        <v>NARANJO ARANA, LETICIA</v>
      </c>
      <c r="D2981" t="str">
        <f>IFERROR(__xludf.DUMMYFUNCTION("""COMPUTED_VALUE"""),"ISC")</f>
        <v>ISC</v>
      </c>
      <c r="E2981" s="3">
        <f>IFERROR(__xludf.DUMMYFUNCTION("""COMPUTED_VALUE"""),4.0)</f>
        <v>4</v>
      </c>
      <c r="F2981" s="300">
        <v>1.0</v>
      </c>
      <c r="G2981" s="300">
        <v>1.0</v>
      </c>
      <c r="H2981" s="300">
        <v>1.0</v>
      </c>
      <c r="I2981" s="300">
        <v>1.0</v>
      </c>
      <c r="J2981" s="300">
        <v>1.0</v>
      </c>
      <c r="K2981" s="300">
        <v>1.0</v>
      </c>
      <c r="L2981" s="300">
        <v>1.0</v>
      </c>
      <c r="M2981" s="300">
        <v>1.0</v>
      </c>
      <c r="N2981" s="300">
        <v>8.0</v>
      </c>
      <c r="O2981" s="300" t="s">
        <v>954</v>
      </c>
      <c r="P2981" s="300">
        <v>5.0</v>
      </c>
    </row>
    <row r="2982">
      <c r="A2982">
        <f>IFERROR(__xludf.DUMMYFUNCTION("""COMPUTED_VALUE"""),12.0)</f>
        <v>12</v>
      </c>
      <c r="B2982">
        <f>IFERROR(__xludf.DUMMYFUNCTION("""COMPUTED_VALUE"""),26156.0)</f>
        <v>26156</v>
      </c>
      <c r="C2982" t="str">
        <f>IFERROR(__xludf.DUMMYFUNCTION("""COMPUTED_VALUE"""),"CORTES CARDONA, MARIANA")</f>
        <v>CORTES CARDONA, MARIANA</v>
      </c>
      <c r="D2982" t="str">
        <f>IFERROR(__xludf.DUMMYFUNCTION("""COMPUTED_VALUE"""),"ISC")</f>
        <v>ISC</v>
      </c>
      <c r="E2982" s="3">
        <f>IFERROR(__xludf.DUMMYFUNCTION("""COMPUTED_VALUE"""),1.0)</f>
        <v>1</v>
      </c>
      <c r="F2982" s="300">
        <v>1.0</v>
      </c>
      <c r="G2982" s="300">
        <v>1.0</v>
      </c>
      <c r="H2982" s="300">
        <v>1.0</v>
      </c>
      <c r="I2982" s="300">
        <v>1.0</v>
      </c>
      <c r="J2982" s="300">
        <v>1.0</v>
      </c>
      <c r="K2982" s="300">
        <v>1.0</v>
      </c>
      <c r="L2982" s="300">
        <v>1.0</v>
      </c>
      <c r="M2982" s="300">
        <v>1.0</v>
      </c>
      <c r="N2982" s="300">
        <v>8.0</v>
      </c>
      <c r="O2982" s="300" t="s">
        <v>953</v>
      </c>
      <c r="P2982" s="300">
        <v>5.0</v>
      </c>
    </row>
    <row r="2983">
      <c r="A2983">
        <f>IFERROR(__xludf.DUMMYFUNCTION("""COMPUTED_VALUE"""),12.0)</f>
        <v>12</v>
      </c>
      <c r="B2983">
        <f>IFERROR(__xludf.DUMMYFUNCTION("""COMPUTED_VALUE"""),26127.0)</f>
        <v>26127</v>
      </c>
      <c r="C2983" t="str">
        <f>IFERROR(__xludf.DUMMYFUNCTION("""COMPUTED_VALUE"""),"ZULOAGA AYUB, CAMILA")</f>
        <v>ZULOAGA AYUB, CAMILA</v>
      </c>
      <c r="D2983" t="str">
        <f>IFERROR(__xludf.DUMMYFUNCTION("""COMPUTED_VALUE"""),"ISC")</f>
        <v>ISC</v>
      </c>
      <c r="E2983" s="3">
        <f>IFERROR(__xludf.DUMMYFUNCTION("""COMPUTED_VALUE"""),4.0)</f>
        <v>4</v>
      </c>
      <c r="F2983" s="300">
        <v>1.0</v>
      </c>
      <c r="G2983" s="300">
        <v>1.0</v>
      </c>
      <c r="H2983" s="300">
        <v>1.0</v>
      </c>
      <c r="I2983" s="300">
        <v>1.0</v>
      </c>
      <c r="J2983" s="300">
        <v>1.0</v>
      </c>
      <c r="K2983" s="300">
        <v>1.0</v>
      </c>
      <c r="L2983" s="300">
        <v>1.0</v>
      </c>
      <c r="M2983" s="300">
        <v>1.0</v>
      </c>
      <c r="N2983" s="300">
        <v>8.0</v>
      </c>
      <c r="O2983" s="300" t="s">
        <v>954</v>
      </c>
      <c r="P2983" s="300">
        <v>5.0</v>
      </c>
    </row>
    <row r="2984">
      <c r="A2984">
        <f>IFERROR(__xludf.DUMMYFUNCTION("""COMPUTED_VALUE"""),12.0)</f>
        <v>12</v>
      </c>
      <c r="B2984">
        <f>IFERROR(__xludf.DUMMYFUNCTION("""COMPUTED_VALUE"""),26099.0)</f>
        <v>26099</v>
      </c>
      <c r="C2984" t="str">
        <f>IFERROR(__xludf.DUMMYFUNCTION("""COMPUTED_VALUE"""),"RESTREPO RESTREPO, MAXIMILIANO")</f>
        <v>RESTREPO RESTREPO, MAXIMILIANO</v>
      </c>
      <c r="D2984" t="str">
        <f>IFERROR(__xludf.DUMMYFUNCTION("""COMPUTED_VALUE"""),"ISC")</f>
        <v>ISC</v>
      </c>
      <c r="E2984" s="3">
        <f>IFERROR(__xludf.DUMMYFUNCTION("""COMPUTED_VALUE"""),8.0)</f>
        <v>8</v>
      </c>
      <c r="F2984" s="300">
        <v>1.0</v>
      </c>
      <c r="G2984" s="300">
        <v>1.0</v>
      </c>
      <c r="H2984" s="300">
        <v>1.0</v>
      </c>
      <c r="I2984" s="300">
        <v>1.0</v>
      </c>
      <c r="J2984" s="300">
        <v>1.0</v>
      </c>
      <c r="K2984" s="300">
        <v>1.0</v>
      </c>
      <c r="L2984" s="300">
        <v>1.0</v>
      </c>
      <c r="M2984" s="300">
        <v>1.0</v>
      </c>
      <c r="N2984" s="300">
        <v>8.0</v>
      </c>
      <c r="O2984" s="300" t="s">
        <v>951</v>
      </c>
      <c r="P2984" s="300">
        <v>5.0</v>
      </c>
    </row>
    <row r="2985">
      <c r="A2985">
        <f>IFERROR(__xludf.DUMMYFUNCTION("""COMPUTED_VALUE"""),12.0)</f>
        <v>12</v>
      </c>
      <c r="B2985">
        <f>IFERROR(__xludf.DUMMYFUNCTION("""COMPUTED_VALUE"""),26043.0)</f>
        <v>26043</v>
      </c>
      <c r="C2985" t="str">
        <f>IFERROR(__xludf.DUMMYFUNCTION("""COMPUTED_VALUE"""),"GONZALEZ MARIN, MATIAS")</f>
        <v>GONZALEZ MARIN, MATIAS</v>
      </c>
      <c r="D2985" t="str">
        <f>IFERROR(__xludf.DUMMYFUNCTION("""COMPUTED_VALUE"""),"ISC")</f>
        <v>ISC</v>
      </c>
      <c r="E2985" s="3">
        <f>IFERROR(__xludf.DUMMYFUNCTION("""COMPUTED_VALUE"""),3.0)</f>
        <v>3</v>
      </c>
      <c r="F2985" s="300">
        <v>1.0</v>
      </c>
      <c r="G2985" s="300">
        <v>1.0</v>
      </c>
      <c r="H2985" s="300">
        <v>1.0</v>
      </c>
      <c r="I2985" s="300">
        <v>1.0</v>
      </c>
      <c r="J2985" s="300">
        <v>1.0</v>
      </c>
      <c r="K2985" s="300">
        <v>1.0</v>
      </c>
      <c r="L2985" s="300">
        <v>1.0</v>
      </c>
      <c r="M2985" s="300">
        <v>1.0</v>
      </c>
      <c r="N2985" s="300">
        <v>8.0</v>
      </c>
      <c r="O2985" s="300" t="s">
        <v>955</v>
      </c>
      <c r="P2985" s="300">
        <v>5.0</v>
      </c>
    </row>
    <row r="2986">
      <c r="A2986">
        <f>IFERROR(__xludf.DUMMYFUNCTION("""COMPUTED_VALUE"""),12.0)</f>
        <v>12</v>
      </c>
      <c r="B2986">
        <f>IFERROR(__xludf.DUMMYFUNCTION("""COMPUTED_VALUE"""),26081.0)</f>
        <v>26081</v>
      </c>
      <c r="C2986" t="str">
        <f>IFERROR(__xludf.DUMMYFUNCTION("""COMPUTED_VALUE"""),"OLAYA CARDENAS, SAMUEL")</f>
        <v>OLAYA CARDENAS, SAMUEL</v>
      </c>
      <c r="D2986" t="str">
        <f>IFERROR(__xludf.DUMMYFUNCTION("""COMPUTED_VALUE"""),"ISC")</f>
        <v>ISC</v>
      </c>
      <c r="E2986" s="3">
        <f>IFERROR(__xludf.DUMMYFUNCTION("""COMPUTED_VALUE"""),3.0)</f>
        <v>3</v>
      </c>
      <c r="F2986" s="300">
        <v>1.0</v>
      </c>
      <c r="G2986" s="300">
        <v>1.0</v>
      </c>
      <c r="H2986" s="300">
        <v>1.0</v>
      </c>
      <c r="I2986" s="300">
        <v>1.0</v>
      </c>
      <c r="J2986" s="300">
        <v>1.0</v>
      </c>
      <c r="K2986" s="300">
        <v>1.0</v>
      </c>
      <c r="L2986" s="300">
        <v>1.0</v>
      </c>
      <c r="M2986" s="300">
        <v>1.0</v>
      </c>
      <c r="N2986" s="300">
        <v>8.0</v>
      </c>
      <c r="O2986" s="300" t="s">
        <v>955</v>
      </c>
      <c r="P2986" s="300">
        <v>5.0</v>
      </c>
    </row>
    <row r="2987">
      <c r="A2987">
        <f>IFERROR(__xludf.DUMMYFUNCTION("""COMPUTED_VALUE"""),12.0)</f>
        <v>12</v>
      </c>
      <c r="B2987">
        <f>IFERROR(__xludf.DUMMYFUNCTION("""COMPUTED_VALUE"""),26115.0)</f>
        <v>26115</v>
      </c>
      <c r="C2987" t="str">
        <f>IFERROR(__xludf.DUMMYFUNCTION("""COMPUTED_VALUE"""),"VELASQUEZ URIBE, JOSE MANUEL")</f>
        <v>VELASQUEZ URIBE, JOSE MANUEL</v>
      </c>
      <c r="D2987" t="str">
        <f>IFERROR(__xludf.DUMMYFUNCTION("""COMPUTED_VALUE"""),"ISC")</f>
        <v>ISC</v>
      </c>
      <c r="E2987" s="3">
        <f>IFERROR(__xludf.DUMMYFUNCTION("""COMPUTED_VALUE"""),8.0)</f>
        <v>8</v>
      </c>
      <c r="F2987" s="300">
        <v>1.0</v>
      </c>
      <c r="G2987" s="300">
        <v>1.0</v>
      </c>
      <c r="H2987" s="300">
        <v>1.0</v>
      </c>
      <c r="I2987" s="300">
        <v>1.0</v>
      </c>
      <c r="J2987" s="300">
        <v>1.0</v>
      </c>
      <c r="K2987" s="300">
        <v>1.0</v>
      </c>
      <c r="L2987" s="300">
        <v>1.0</v>
      </c>
      <c r="M2987" s="300">
        <v>1.0</v>
      </c>
      <c r="N2987" s="300">
        <v>8.0</v>
      </c>
      <c r="O2987" s="300" t="s">
        <v>951</v>
      </c>
      <c r="P2987" s="300">
        <v>5.0</v>
      </c>
    </row>
    <row r="2988">
      <c r="A2988">
        <f>IFERROR(__xludf.DUMMYFUNCTION("""COMPUTED_VALUE"""),12.0)</f>
        <v>12</v>
      </c>
      <c r="B2988">
        <f>IFERROR(__xludf.DUMMYFUNCTION("""COMPUTED_VALUE"""),26069.0)</f>
        <v>26069</v>
      </c>
      <c r="C2988" t="str">
        <f>IFERROR(__xludf.DUMMYFUNCTION("""COMPUTED_VALUE"""),"MANTILLA DURANGO, VALERIA")</f>
        <v>MANTILLA DURANGO, VALERIA</v>
      </c>
      <c r="D2988" t="str">
        <f>IFERROR(__xludf.DUMMYFUNCTION("""COMPUTED_VALUE"""),"AP Research")</f>
        <v>AP Research</v>
      </c>
      <c r="E2988" s="3">
        <f>IFERROR(__xludf.DUMMYFUNCTION("""COMPUTED_VALUE"""),1.0)</f>
        <v>1</v>
      </c>
      <c r="F2988" s="300">
        <v>1.0</v>
      </c>
      <c r="G2988" s="300">
        <v>1.0</v>
      </c>
      <c r="H2988" s="300">
        <v>1.0</v>
      </c>
      <c r="I2988" s="300">
        <v>1.0</v>
      </c>
      <c r="J2988" s="300">
        <v>1.0</v>
      </c>
      <c r="K2988" s="300">
        <v>1.0</v>
      </c>
      <c r="L2988" s="300">
        <v>1.0</v>
      </c>
      <c r="M2988" s="300">
        <v>1.0</v>
      </c>
      <c r="N2988" s="300">
        <v>8.0</v>
      </c>
      <c r="O2988" s="300" t="s">
        <v>950</v>
      </c>
      <c r="P2988" s="300">
        <v>1.0</v>
      </c>
    </row>
    <row r="2989">
      <c r="A2989">
        <f>IFERROR(__xludf.DUMMYFUNCTION("""COMPUTED_VALUE"""),12.0)</f>
        <v>12</v>
      </c>
      <c r="B2989">
        <f>IFERROR(__xludf.DUMMYFUNCTION("""COMPUTED_VALUE"""),26103.0)</f>
        <v>26103</v>
      </c>
      <c r="C2989" t="str">
        <f>IFERROR(__xludf.DUMMYFUNCTION("""COMPUTED_VALUE"""),"RODRIGUEZ OSORIO, JERONIMO")</f>
        <v>RODRIGUEZ OSORIO, JERONIMO</v>
      </c>
      <c r="D2989" t="str">
        <f>IFERROR(__xludf.DUMMYFUNCTION("""COMPUTED_VALUE"""),"ISC")</f>
        <v>ISC</v>
      </c>
      <c r="E2989" s="3">
        <f>IFERROR(__xludf.DUMMYFUNCTION("""COMPUTED_VALUE"""),4.0)</f>
        <v>4</v>
      </c>
      <c r="F2989" s="300">
        <v>1.0</v>
      </c>
      <c r="G2989" s="300">
        <v>1.0</v>
      </c>
      <c r="H2989" s="300">
        <v>1.0</v>
      </c>
      <c r="I2989" s="300">
        <v>1.0</v>
      </c>
      <c r="J2989" s="300">
        <v>1.0</v>
      </c>
      <c r="K2989" s="300">
        <v>1.0</v>
      </c>
      <c r="L2989" s="300">
        <v>1.0</v>
      </c>
      <c r="M2989" s="300">
        <v>1.0</v>
      </c>
      <c r="N2989" s="300">
        <v>8.0</v>
      </c>
      <c r="O2989" s="300" t="s">
        <v>954</v>
      </c>
      <c r="P2989" s="300">
        <v>5.0</v>
      </c>
    </row>
    <row r="2990">
      <c r="A2990">
        <f>IFERROR(__xludf.DUMMYFUNCTION("""COMPUTED_VALUE"""),12.0)</f>
        <v>12</v>
      </c>
      <c r="B2990">
        <f>IFERROR(__xludf.DUMMYFUNCTION("""COMPUTED_VALUE"""),26163.0)</f>
        <v>26163</v>
      </c>
      <c r="C2990" t="str">
        <f>IFERROR(__xludf.DUMMYFUNCTION("""COMPUTED_VALUE"""),"SALAS VELEZ, AMELIA")</f>
        <v>SALAS VELEZ, AMELIA</v>
      </c>
      <c r="D2990" t="str">
        <f>IFERROR(__xludf.DUMMYFUNCTION("""COMPUTED_VALUE"""),"AP Research")</f>
        <v>AP Research</v>
      </c>
      <c r="E2990" s="3">
        <f>IFERROR(__xludf.DUMMYFUNCTION("""COMPUTED_VALUE"""),1.0)</f>
        <v>1</v>
      </c>
      <c r="F2990" s="300">
        <v>1.0</v>
      </c>
      <c r="G2990" s="300">
        <v>1.0</v>
      </c>
      <c r="H2990" s="300">
        <v>1.0</v>
      </c>
      <c r="I2990" s="300">
        <v>1.0</v>
      </c>
      <c r="J2990" s="300">
        <v>1.0</v>
      </c>
      <c r="K2990" s="300">
        <v>1.0</v>
      </c>
      <c r="L2990" s="300">
        <v>1.0</v>
      </c>
      <c r="M2990" s="300">
        <v>1.0</v>
      </c>
      <c r="N2990" s="300">
        <v>8.0</v>
      </c>
      <c r="O2990" s="300" t="s">
        <v>950</v>
      </c>
      <c r="P2990" s="300">
        <v>1.0</v>
      </c>
    </row>
    <row r="2991">
      <c r="A2991">
        <f>IFERROR(__xludf.DUMMYFUNCTION("""COMPUTED_VALUE"""),12.0)</f>
        <v>12</v>
      </c>
      <c r="B2991">
        <f>IFERROR(__xludf.DUMMYFUNCTION("""COMPUTED_VALUE"""),26118.0)</f>
        <v>26118</v>
      </c>
      <c r="C2991" t="str">
        <f>IFERROR(__xludf.DUMMYFUNCTION("""COMPUTED_VALUE"""),"VELEZ ZAPATA, MANUELA")</f>
        <v>VELEZ ZAPATA, MANUELA</v>
      </c>
      <c r="D2991" t="str">
        <f>IFERROR(__xludf.DUMMYFUNCTION("""COMPUTED_VALUE"""),"ISC")</f>
        <v>ISC</v>
      </c>
      <c r="E2991" s="3">
        <f>IFERROR(__xludf.DUMMYFUNCTION("""COMPUTED_VALUE"""),1.0)</f>
        <v>1</v>
      </c>
      <c r="F2991" s="300">
        <v>1.0</v>
      </c>
      <c r="G2991" s="300">
        <v>1.0</v>
      </c>
      <c r="H2991" s="300">
        <v>1.0</v>
      </c>
      <c r="I2991" s="300">
        <v>1.0</v>
      </c>
      <c r="J2991" s="300">
        <v>1.0</v>
      </c>
      <c r="K2991" s="300">
        <v>1.0</v>
      </c>
      <c r="L2991" s="300">
        <v>1.0</v>
      </c>
      <c r="M2991" s="300">
        <v>1.0</v>
      </c>
      <c r="N2991" s="300">
        <v>8.0</v>
      </c>
      <c r="O2991" s="300" t="s">
        <v>953</v>
      </c>
      <c r="P2991" s="300">
        <v>5.0</v>
      </c>
    </row>
    <row r="2992">
      <c r="A2992">
        <f>IFERROR(__xludf.DUMMYFUNCTION("""COMPUTED_VALUE"""),12.0)</f>
        <v>12</v>
      </c>
      <c r="B2992">
        <f>IFERROR(__xludf.DUMMYFUNCTION("""COMPUTED_VALUE"""),26112.0)</f>
        <v>26112</v>
      </c>
      <c r="C2992" t="str">
        <f>IFERROR(__xludf.DUMMYFUNCTION("""COMPUTED_VALUE"""),"URIBE FERNANDEZ, ANDRES")</f>
        <v>URIBE FERNANDEZ, ANDRES</v>
      </c>
      <c r="D2992" t="str">
        <f>IFERROR(__xludf.DUMMYFUNCTION("""COMPUTED_VALUE"""),"ISC")</f>
        <v>ISC</v>
      </c>
      <c r="E2992" s="3">
        <f>IFERROR(__xludf.DUMMYFUNCTION("""COMPUTED_VALUE"""),3.0)</f>
        <v>3</v>
      </c>
      <c r="F2992" s="300">
        <v>1.0</v>
      </c>
      <c r="G2992" s="300">
        <v>1.0</v>
      </c>
      <c r="H2992" s="300">
        <v>1.0</v>
      </c>
      <c r="I2992" s="300">
        <v>1.0</v>
      </c>
      <c r="J2992" s="300">
        <v>1.0</v>
      </c>
      <c r="K2992" s="300">
        <v>1.0</v>
      </c>
      <c r="L2992" s="300">
        <v>1.0</v>
      </c>
      <c r="M2992" s="300">
        <v>1.0</v>
      </c>
      <c r="N2992" s="300">
        <v>8.0</v>
      </c>
      <c r="O2992" s="300" t="s">
        <v>955</v>
      </c>
      <c r="P2992" s="300">
        <v>5.0</v>
      </c>
    </row>
    <row r="2993">
      <c r="A2993">
        <f>IFERROR(__xludf.DUMMYFUNCTION("""COMPUTED_VALUE"""),12.0)</f>
        <v>12</v>
      </c>
      <c r="B2993">
        <f>IFERROR(__xludf.DUMMYFUNCTION("""COMPUTED_VALUE"""),26006.0)</f>
        <v>26006</v>
      </c>
      <c r="C2993" t="str">
        <f>IFERROR(__xludf.DUMMYFUNCTION("""COMPUTED_VALUE"""),"AMAR JARAMILLO, NICHOLAS")</f>
        <v>AMAR JARAMILLO, NICHOLAS</v>
      </c>
      <c r="D2993" t="str">
        <f>IFERROR(__xludf.DUMMYFUNCTION("""COMPUTED_VALUE"""),"ISC")</f>
        <v>ISC</v>
      </c>
      <c r="E2993" s="3">
        <f>IFERROR(__xludf.DUMMYFUNCTION("""COMPUTED_VALUE"""),8.0)</f>
        <v>8</v>
      </c>
      <c r="F2993" s="300">
        <v>1.0</v>
      </c>
      <c r="G2993" s="300">
        <v>1.0</v>
      </c>
      <c r="H2993" s="300">
        <v>1.0</v>
      </c>
      <c r="I2993" s="300">
        <v>1.0</v>
      </c>
      <c r="J2993" s="300">
        <v>1.0</v>
      </c>
      <c r="K2993" s="300">
        <v>1.0</v>
      </c>
      <c r="L2993" s="300">
        <v>1.0</v>
      </c>
      <c r="M2993" s="300">
        <v>1.0</v>
      </c>
      <c r="N2993" s="300">
        <v>8.0</v>
      </c>
      <c r="O2993" s="300" t="s">
        <v>951</v>
      </c>
      <c r="P2993" s="300">
        <v>5.0</v>
      </c>
    </row>
    <row r="2994">
      <c r="A2994">
        <f>IFERROR(__xludf.DUMMYFUNCTION("""COMPUTED_VALUE"""),12.0)</f>
        <v>12</v>
      </c>
      <c r="B2994">
        <f>IFERROR(__xludf.DUMMYFUNCTION("""COMPUTED_VALUE"""),26034.0)</f>
        <v>26034</v>
      </c>
      <c r="C2994" t="str">
        <f>IFERROR(__xludf.DUMMYFUNCTION("""COMPUTED_VALUE"""),"GARCIA CORREA, MARIA CLARA")</f>
        <v>GARCIA CORREA, MARIA CLARA</v>
      </c>
      <c r="D2994" t="str">
        <f>IFERROR(__xludf.DUMMYFUNCTION("""COMPUTED_VALUE"""),"ISC")</f>
        <v>ISC</v>
      </c>
      <c r="E2994" s="3">
        <f>IFERROR(__xludf.DUMMYFUNCTION("""COMPUTED_VALUE"""),3.0)</f>
        <v>3</v>
      </c>
      <c r="F2994" s="300">
        <v>1.0</v>
      </c>
      <c r="G2994" s="300">
        <v>1.0</v>
      </c>
      <c r="H2994" s="300">
        <v>1.0</v>
      </c>
      <c r="I2994" s="300">
        <v>1.0</v>
      </c>
      <c r="J2994" s="300">
        <v>1.0</v>
      </c>
      <c r="K2994" s="300">
        <v>1.0</v>
      </c>
      <c r="L2994" s="300">
        <v>1.0</v>
      </c>
      <c r="M2994" s="300">
        <v>1.0</v>
      </c>
      <c r="N2994" s="300">
        <v>8.0</v>
      </c>
      <c r="O2994" s="300" t="s">
        <v>955</v>
      </c>
      <c r="P2994" s="300">
        <v>5.0</v>
      </c>
    </row>
    <row r="2995">
      <c r="A2995">
        <f>IFERROR(__xludf.DUMMYFUNCTION("""COMPUTED_VALUE"""),12.0)</f>
        <v>12</v>
      </c>
      <c r="B2995">
        <f>IFERROR(__xludf.DUMMYFUNCTION("""COMPUTED_VALUE"""),26028.0)</f>
        <v>26028</v>
      </c>
      <c r="C2995" t="str">
        <f>IFERROR(__xludf.DUMMYFUNCTION("""COMPUTED_VALUE"""),"ESCOBAR BURGOS, SANTIAGO")</f>
        <v>ESCOBAR BURGOS, SANTIAGO</v>
      </c>
      <c r="D2995" t="str">
        <f>IFERROR(__xludf.DUMMYFUNCTION("""COMPUTED_VALUE"""),"AP Research")</f>
        <v>AP Research</v>
      </c>
      <c r="E2995" s="3">
        <f>IFERROR(__xludf.DUMMYFUNCTION("""COMPUTED_VALUE"""),1.0)</f>
        <v>1</v>
      </c>
      <c r="F2995" s="300">
        <v>1.0</v>
      </c>
      <c r="G2995" s="300">
        <v>1.0</v>
      </c>
      <c r="H2995" s="300">
        <v>1.0</v>
      </c>
      <c r="I2995" s="300">
        <v>1.0</v>
      </c>
      <c r="J2995" s="300">
        <v>1.0</v>
      </c>
      <c r="K2995" s="300">
        <v>1.0</v>
      </c>
      <c r="L2995" s="300">
        <v>1.0</v>
      </c>
      <c r="M2995" s="300">
        <v>1.0</v>
      </c>
      <c r="N2995" s="300">
        <v>8.0</v>
      </c>
      <c r="O2995" s="300" t="s">
        <v>950</v>
      </c>
      <c r="P2995" s="300">
        <v>1.0</v>
      </c>
    </row>
    <row r="2996">
      <c r="A2996">
        <f>IFERROR(__xludf.DUMMYFUNCTION("""COMPUTED_VALUE"""),12.0)</f>
        <v>12</v>
      </c>
      <c r="B2996">
        <f>IFERROR(__xludf.DUMMYFUNCTION("""COMPUTED_VALUE"""),26049.0)</f>
        <v>26049</v>
      </c>
      <c r="C2996" t="str">
        <f>IFERROR(__xludf.DUMMYFUNCTION("""COMPUTED_VALUE"""),"HERRERA GOMEZ, MIGUEL")</f>
        <v>HERRERA GOMEZ, MIGUEL</v>
      </c>
      <c r="D2996" t="str">
        <f>IFERROR(__xludf.DUMMYFUNCTION("""COMPUTED_VALUE"""),"AP Research")</f>
        <v>AP Research</v>
      </c>
      <c r="E2996" s="3">
        <f>IFERROR(__xludf.DUMMYFUNCTION("""COMPUTED_VALUE"""),1.0)</f>
        <v>1</v>
      </c>
      <c r="F2996" s="300">
        <v>1.0</v>
      </c>
      <c r="G2996" s="300">
        <v>1.0</v>
      </c>
      <c r="H2996" s="300">
        <v>1.0</v>
      </c>
      <c r="I2996" s="300">
        <v>1.0</v>
      </c>
      <c r="J2996" s="300">
        <v>1.0</v>
      </c>
      <c r="K2996" s="300">
        <v>1.0</v>
      </c>
      <c r="L2996" s="300">
        <v>1.0</v>
      </c>
      <c r="M2996" s="300">
        <v>1.0</v>
      </c>
      <c r="N2996" s="300">
        <v>8.0</v>
      </c>
      <c r="O2996" s="300" t="s">
        <v>950</v>
      </c>
      <c r="P2996" s="300">
        <v>1.0</v>
      </c>
    </row>
    <row r="2997">
      <c r="A2997">
        <f>IFERROR(__xludf.DUMMYFUNCTION("""COMPUTED_VALUE"""),12.0)</f>
        <v>12</v>
      </c>
      <c r="B2997">
        <f>IFERROR(__xludf.DUMMYFUNCTION("""COMPUTED_VALUE"""),26044.0)</f>
        <v>26044</v>
      </c>
      <c r="C2997" t="str">
        <f>IFERROR(__xludf.DUMMYFUNCTION("""COMPUTED_VALUE"""),"GONZALEZ NAVARRO, MIGUEL")</f>
        <v>GONZALEZ NAVARRO, MIGUEL</v>
      </c>
      <c r="D2997" t="str">
        <f>IFERROR(__xludf.DUMMYFUNCTION("""COMPUTED_VALUE"""),"ISC")</f>
        <v>ISC</v>
      </c>
      <c r="E2997" s="3">
        <f>IFERROR(__xludf.DUMMYFUNCTION("""COMPUTED_VALUE"""),6.0)</f>
        <v>6</v>
      </c>
      <c r="F2997" s="300">
        <v>1.0</v>
      </c>
      <c r="G2997" s="300">
        <v>1.0</v>
      </c>
      <c r="H2997" s="300">
        <v>1.0</v>
      </c>
      <c r="I2997" s="300">
        <v>1.0</v>
      </c>
      <c r="J2997" s="300">
        <v>1.0</v>
      </c>
      <c r="K2997" s="300">
        <v>1.0</v>
      </c>
      <c r="L2997" s="300">
        <v>1.0</v>
      </c>
      <c r="M2997" s="300">
        <v>1.0</v>
      </c>
      <c r="N2997" s="300">
        <v>8.0</v>
      </c>
      <c r="O2997" s="300" t="s">
        <v>952</v>
      </c>
      <c r="P2997" s="300">
        <v>5.0</v>
      </c>
    </row>
    <row r="2998">
      <c r="A2998">
        <f>IFERROR(__xludf.DUMMYFUNCTION("""COMPUTED_VALUE"""),12.0)</f>
        <v>12</v>
      </c>
      <c r="B2998">
        <f>IFERROR(__xludf.DUMMYFUNCTION("""COMPUTED_VALUE"""),26056.0)</f>
        <v>26056</v>
      </c>
      <c r="C2998" t="str">
        <f>IFERROR(__xludf.DUMMYFUNCTION("""COMPUTED_VALUE"""),"ISAZA VELASQUEZ, SALOME")</f>
        <v>ISAZA VELASQUEZ, SALOME</v>
      </c>
      <c r="D2998" t="str">
        <f>IFERROR(__xludf.DUMMYFUNCTION("""COMPUTED_VALUE"""),"AP Research")</f>
        <v>AP Research</v>
      </c>
      <c r="E2998" s="3">
        <f>IFERROR(__xludf.DUMMYFUNCTION("""COMPUTED_VALUE"""),1.0)</f>
        <v>1</v>
      </c>
      <c r="F2998" s="300">
        <v>1.0</v>
      </c>
      <c r="G2998" s="300">
        <v>1.0</v>
      </c>
      <c r="H2998" s="300">
        <v>1.0</v>
      </c>
      <c r="I2998" s="300">
        <v>1.0</v>
      </c>
      <c r="J2998" s="300">
        <v>1.0</v>
      </c>
      <c r="K2998" s="300">
        <v>1.0</v>
      </c>
      <c r="L2998" s="300">
        <v>1.0</v>
      </c>
      <c r="M2998" s="300">
        <v>1.0</v>
      </c>
      <c r="N2998" s="300">
        <v>8.0</v>
      </c>
      <c r="O2998" s="300" t="s">
        <v>950</v>
      </c>
      <c r="P2998" s="300">
        <v>1.0</v>
      </c>
    </row>
    <row r="2999">
      <c r="A2999">
        <f>IFERROR(__xludf.DUMMYFUNCTION("""COMPUTED_VALUE"""),12.0)</f>
        <v>12</v>
      </c>
      <c r="B2999">
        <f>IFERROR(__xludf.DUMMYFUNCTION("""COMPUTED_VALUE"""),26001.0)</f>
        <v>26001</v>
      </c>
      <c r="C2999" t="str">
        <f>IFERROR(__xludf.DUMMYFUNCTION("""COMPUTED_VALUE"""),"AARON VASQUEZ, MARIA DEL MAR")</f>
        <v>AARON VASQUEZ, MARIA DEL MAR</v>
      </c>
      <c r="D2999" t="str">
        <f>IFERROR(__xludf.DUMMYFUNCTION("""COMPUTED_VALUE"""),"ISC")</f>
        <v>ISC</v>
      </c>
      <c r="E2999" s="3">
        <f>IFERROR(__xludf.DUMMYFUNCTION("""COMPUTED_VALUE"""),1.0)</f>
        <v>1</v>
      </c>
      <c r="F2999" s="300">
        <v>1.0</v>
      </c>
      <c r="G2999" s="300">
        <v>1.0</v>
      </c>
      <c r="H2999" s="300">
        <v>1.0</v>
      </c>
      <c r="I2999" s="300">
        <v>1.0</v>
      </c>
      <c r="J2999" s="300">
        <v>1.0</v>
      </c>
      <c r="K2999" s="300">
        <v>1.0</v>
      </c>
      <c r="L2999" s="300">
        <v>1.0</v>
      </c>
      <c r="M2999" s="300">
        <v>1.0</v>
      </c>
      <c r="N2999" s="300">
        <v>8.0</v>
      </c>
      <c r="O2999" s="300" t="s">
        <v>953</v>
      </c>
      <c r="P2999" s="300">
        <v>5.0</v>
      </c>
    </row>
    <row r="3000">
      <c r="A3000">
        <f>IFERROR(__xludf.DUMMYFUNCTION("""COMPUTED_VALUE"""),12.0)</f>
        <v>12</v>
      </c>
      <c r="B3000">
        <f>IFERROR(__xludf.DUMMYFUNCTION("""COMPUTED_VALUE"""),26038.0)</f>
        <v>26038</v>
      </c>
      <c r="C3000" t="str">
        <f>IFERROR(__xludf.DUMMYFUNCTION("""COMPUTED_VALUE"""),"GOMEZ LALINDE, SARA")</f>
        <v>GOMEZ LALINDE, SARA</v>
      </c>
      <c r="D3000" t="str">
        <f>IFERROR(__xludf.DUMMYFUNCTION("""COMPUTED_VALUE"""),"ISC")</f>
        <v>ISC</v>
      </c>
      <c r="E3000" s="3">
        <f>IFERROR(__xludf.DUMMYFUNCTION("""COMPUTED_VALUE"""),4.0)</f>
        <v>4</v>
      </c>
      <c r="F3000" s="300">
        <v>1.0</v>
      </c>
      <c r="G3000" s="300">
        <v>1.0</v>
      </c>
      <c r="H3000" s="300">
        <v>1.0</v>
      </c>
      <c r="I3000" s="300">
        <v>1.0</v>
      </c>
      <c r="J3000" s="300">
        <v>1.0</v>
      </c>
      <c r="K3000" s="300">
        <v>1.0</v>
      </c>
      <c r="L3000" s="300">
        <v>1.0</v>
      </c>
      <c r="M3000" s="300">
        <v>1.0</v>
      </c>
      <c r="N3000" s="300">
        <v>8.0</v>
      </c>
      <c r="O3000" s="300" t="s">
        <v>954</v>
      </c>
      <c r="P3000" s="300">
        <v>5.0</v>
      </c>
    </row>
    <row r="3001">
      <c r="A3001">
        <f>IFERROR(__xludf.DUMMYFUNCTION("""COMPUTED_VALUE"""),12.0)</f>
        <v>12</v>
      </c>
      <c r="B3001">
        <f>IFERROR(__xludf.DUMMYFUNCTION("""COMPUTED_VALUE"""),26088.0)</f>
        <v>26088</v>
      </c>
      <c r="C3001" t="str">
        <f>IFERROR(__xludf.DUMMYFUNCTION("""COMPUTED_VALUE"""),"PEREZ ECHAVARRIA, SAMUEL")</f>
        <v>PEREZ ECHAVARRIA, SAMUEL</v>
      </c>
      <c r="D3001" t="str">
        <f>IFERROR(__xludf.DUMMYFUNCTION("""COMPUTED_VALUE"""),"ISC")</f>
        <v>ISC</v>
      </c>
      <c r="E3001" s="3">
        <f>IFERROR(__xludf.DUMMYFUNCTION("""COMPUTED_VALUE"""),1.0)</f>
        <v>1</v>
      </c>
      <c r="F3001" s="300">
        <v>1.0</v>
      </c>
      <c r="G3001" s="300">
        <v>1.0</v>
      </c>
      <c r="H3001" s="300">
        <v>1.0</v>
      </c>
      <c r="I3001" s="300">
        <v>1.0</v>
      </c>
      <c r="J3001" s="300">
        <v>1.0</v>
      </c>
      <c r="K3001" s="300">
        <v>1.0</v>
      </c>
      <c r="L3001" s="300">
        <v>1.0</v>
      </c>
      <c r="M3001" s="300">
        <v>1.0</v>
      </c>
      <c r="N3001" s="300">
        <v>8.0</v>
      </c>
      <c r="O3001" s="300" t="s">
        <v>953</v>
      </c>
      <c r="P3001" s="300">
        <v>5.0</v>
      </c>
    </row>
    <row r="3002">
      <c r="A3002">
        <f>IFERROR(__xludf.DUMMYFUNCTION("""COMPUTED_VALUE"""),12.0)</f>
        <v>12</v>
      </c>
      <c r="B3002">
        <f>IFERROR(__xludf.DUMMYFUNCTION("""COMPUTED_VALUE"""),26010.0)</f>
        <v>26010</v>
      </c>
      <c r="C3002" t="str">
        <f>IFERROR(__xludf.DUMMYFUNCTION("""COMPUTED_VALUE"""),"ARISTIZABAL BOLIVAR, JUAN JOSE")</f>
        <v>ARISTIZABAL BOLIVAR, JUAN JOSE</v>
      </c>
      <c r="D3002" t="str">
        <f>IFERROR(__xludf.DUMMYFUNCTION("""COMPUTED_VALUE"""),"ISC")</f>
        <v>ISC</v>
      </c>
      <c r="E3002" s="3">
        <f>IFERROR(__xludf.DUMMYFUNCTION("""COMPUTED_VALUE"""),4.0)</f>
        <v>4</v>
      </c>
      <c r="F3002" s="300">
        <v>1.0</v>
      </c>
      <c r="G3002" s="300">
        <v>1.0</v>
      </c>
      <c r="H3002" s="300">
        <v>1.0</v>
      </c>
      <c r="I3002" s="300">
        <v>1.0</v>
      </c>
      <c r="J3002" s="300">
        <v>1.0</v>
      </c>
      <c r="K3002" s="300">
        <v>1.0</v>
      </c>
      <c r="L3002" s="300">
        <v>1.0</v>
      </c>
      <c r="M3002" s="300">
        <v>1.0</v>
      </c>
      <c r="N3002" s="300">
        <v>8.0</v>
      </c>
      <c r="O3002" s="300" t="s">
        <v>954</v>
      </c>
      <c r="P3002" s="300">
        <v>5.0</v>
      </c>
    </row>
    <row r="3003">
      <c r="A3003">
        <f>IFERROR(__xludf.DUMMYFUNCTION("""COMPUTED_VALUE"""),12.0)</f>
        <v>12</v>
      </c>
      <c r="B3003">
        <f>IFERROR(__xludf.DUMMYFUNCTION("""COMPUTED_VALUE"""),26077.0)</f>
        <v>26077</v>
      </c>
      <c r="C3003" t="str">
        <f>IFERROR(__xludf.DUMMYFUNCTION("""COMPUTED_VALUE"""),"MORENO RESTREPO, PEDRO JUAN")</f>
        <v>MORENO RESTREPO, PEDRO JUAN</v>
      </c>
      <c r="D3003" t="str">
        <f>IFERROR(__xludf.DUMMYFUNCTION("""COMPUTED_VALUE"""),"ISC")</f>
        <v>ISC</v>
      </c>
      <c r="E3003" s="3">
        <f>IFERROR(__xludf.DUMMYFUNCTION("""COMPUTED_VALUE"""),6.0)</f>
        <v>6</v>
      </c>
      <c r="F3003" s="300">
        <v>1.0</v>
      </c>
      <c r="G3003" s="300">
        <v>1.0</v>
      </c>
      <c r="H3003" s="300">
        <v>1.0</v>
      </c>
      <c r="I3003" s="300">
        <v>1.0</v>
      </c>
      <c r="J3003" s="300">
        <v>1.0</v>
      </c>
      <c r="K3003" s="300">
        <v>1.0</v>
      </c>
      <c r="L3003" s="300">
        <v>1.0</v>
      </c>
      <c r="M3003" s="300">
        <v>1.0</v>
      </c>
      <c r="N3003" s="300">
        <v>8.0</v>
      </c>
      <c r="O3003" s="300" t="s">
        <v>952</v>
      </c>
      <c r="P3003" s="300">
        <v>5.0</v>
      </c>
    </row>
    <row r="3004">
      <c r="A3004">
        <f>IFERROR(__xludf.DUMMYFUNCTION("""COMPUTED_VALUE"""),12.0)</f>
        <v>12</v>
      </c>
      <c r="B3004">
        <f>IFERROR(__xludf.DUMMYFUNCTION("""COMPUTED_VALUE"""),26005.0)</f>
        <v>26005</v>
      </c>
      <c r="C3004" t="str">
        <f>IFERROR(__xludf.DUMMYFUNCTION("""COMPUTED_VALUE"""),"ALVAREZ MOLINA, SOFIA")</f>
        <v>ALVAREZ MOLINA, SOFIA</v>
      </c>
      <c r="D3004" t="str">
        <f>IFERROR(__xludf.DUMMYFUNCTION("""COMPUTED_VALUE"""),"ISC")</f>
        <v>ISC</v>
      </c>
      <c r="E3004" s="3">
        <f>IFERROR(__xludf.DUMMYFUNCTION("""COMPUTED_VALUE"""),3.0)</f>
        <v>3</v>
      </c>
      <c r="F3004" s="300">
        <v>1.0</v>
      </c>
      <c r="G3004" s="300">
        <v>1.0</v>
      </c>
      <c r="H3004" s="300">
        <v>1.0</v>
      </c>
      <c r="I3004" s="300">
        <v>1.0</v>
      </c>
      <c r="J3004" s="300">
        <v>1.0</v>
      </c>
      <c r="K3004" s="300">
        <v>1.0</v>
      </c>
      <c r="L3004" s="300">
        <v>1.0</v>
      </c>
      <c r="M3004" s="300">
        <v>1.0</v>
      </c>
      <c r="N3004" s="300">
        <v>8.0</v>
      </c>
      <c r="O3004" s="300" t="s">
        <v>955</v>
      </c>
      <c r="P3004" s="300">
        <v>5.0</v>
      </c>
    </row>
    <row r="3005">
      <c r="A3005">
        <f>IFERROR(__xludf.DUMMYFUNCTION("""COMPUTED_VALUE"""),12.0)</f>
        <v>12</v>
      </c>
      <c r="B3005">
        <f>IFERROR(__xludf.DUMMYFUNCTION("""COMPUTED_VALUE"""),26124.0)</f>
        <v>26124</v>
      </c>
      <c r="C3005" t="str">
        <f>IFERROR(__xludf.DUMMYFUNCTION("""COMPUTED_VALUE"""),"YEPES EUSSE, MATIAS")</f>
        <v>YEPES EUSSE, MATIAS</v>
      </c>
      <c r="D3005" t="str">
        <f>IFERROR(__xludf.DUMMYFUNCTION("""COMPUTED_VALUE"""),"ISC")</f>
        <v>ISC</v>
      </c>
      <c r="E3005" s="3">
        <f>IFERROR(__xludf.DUMMYFUNCTION("""COMPUTED_VALUE"""),8.0)</f>
        <v>8</v>
      </c>
      <c r="F3005" s="300">
        <v>1.0</v>
      </c>
      <c r="G3005" s="300">
        <v>1.0</v>
      </c>
      <c r="H3005" s="300">
        <v>1.0</v>
      </c>
      <c r="I3005" s="300">
        <v>1.0</v>
      </c>
      <c r="J3005" s="300">
        <v>1.0</v>
      </c>
      <c r="K3005" s="300">
        <v>1.0</v>
      </c>
      <c r="L3005" s="300">
        <v>1.0</v>
      </c>
      <c r="M3005" s="300">
        <v>1.0</v>
      </c>
      <c r="N3005" s="300">
        <v>8.0</v>
      </c>
      <c r="O3005" s="300" t="s">
        <v>951</v>
      </c>
      <c r="P3005" s="300">
        <v>5.0</v>
      </c>
    </row>
    <row r="3006">
      <c r="A3006">
        <f>IFERROR(__xludf.DUMMYFUNCTION("""COMPUTED_VALUE"""),12.0)</f>
        <v>12</v>
      </c>
      <c r="B3006">
        <f>IFERROR(__xludf.DUMMYFUNCTION("""COMPUTED_VALUE"""),26020.0)</f>
        <v>26020</v>
      </c>
      <c r="C3006" t="str">
        <f>IFERROR(__xludf.DUMMYFUNCTION("""COMPUTED_VALUE"""),"CALDWELL VALLEJO, JACK")</f>
        <v>CALDWELL VALLEJO, JACK</v>
      </c>
      <c r="D3006" t="str">
        <f>IFERROR(__xludf.DUMMYFUNCTION("""COMPUTED_VALUE"""),"AP Research")</f>
        <v>AP Research</v>
      </c>
      <c r="E3006" s="3">
        <f>IFERROR(__xludf.DUMMYFUNCTION("""COMPUTED_VALUE"""),1.0)</f>
        <v>1</v>
      </c>
      <c r="F3006" s="300">
        <v>1.0</v>
      </c>
      <c r="G3006" s="300">
        <v>1.0</v>
      </c>
      <c r="H3006" s="300">
        <v>1.0</v>
      </c>
      <c r="I3006" s="300">
        <v>1.0</v>
      </c>
      <c r="J3006" s="300">
        <v>1.0</v>
      </c>
      <c r="K3006" s="300">
        <v>1.0</v>
      </c>
      <c r="L3006" s="300">
        <v>1.0</v>
      </c>
      <c r="M3006" s="300">
        <v>1.0</v>
      </c>
      <c r="N3006" s="300">
        <v>8.0</v>
      </c>
      <c r="O3006" s="300" t="s">
        <v>950</v>
      </c>
      <c r="P3006" s="300">
        <v>1.0</v>
      </c>
    </row>
    <row r="3007">
      <c r="A3007">
        <f>IFERROR(__xludf.DUMMYFUNCTION("""COMPUTED_VALUE"""),12.0)</f>
        <v>12</v>
      </c>
      <c r="B3007">
        <f>IFERROR(__xludf.DUMMYFUNCTION("""COMPUTED_VALUE"""),26068.0)</f>
        <v>26068</v>
      </c>
      <c r="C3007" t="str">
        <f>IFERROR(__xludf.DUMMYFUNCTION("""COMPUTED_VALUE"""),"LOPEZ RODRIGUEZ, SARA")</f>
        <v>LOPEZ RODRIGUEZ, SARA</v>
      </c>
      <c r="D3007" t="str">
        <f>IFERROR(__xludf.DUMMYFUNCTION("""COMPUTED_VALUE"""),"ISC")</f>
        <v>ISC</v>
      </c>
      <c r="E3007" s="3">
        <f>IFERROR(__xludf.DUMMYFUNCTION("""COMPUTED_VALUE"""),8.0)</f>
        <v>8</v>
      </c>
      <c r="F3007" s="300">
        <v>1.0</v>
      </c>
      <c r="G3007" s="300">
        <v>1.0</v>
      </c>
      <c r="H3007" s="300">
        <v>1.0</v>
      </c>
      <c r="I3007" s="300">
        <v>1.0</v>
      </c>
      <c r="J3007" s="300">
        <v>1.0</v>
      </c>
      <c r="K3007" s="300">
        <v>1.0</v>
      </c>
      <c r="L3007" s="300">
        <v>1.0</v>
      </c>
      <c r="M3007" s="300">
        <v>1.0</v>
      </c>
      <c r="N3007" s="300">
        <v>8.0</v>
      </c>
      <c r="O3007" s="300" t="s">
        <v>951</v>
      </c>
      <c r="P3007" s="300">
        <v>5.0</v>
      </c>
    </row>
    <row r="3008">
      <c r="A3008">
        <f>IFERROR(__xludf.DUMMYFUNCTION("""COMPUTED_VALUE"""),12.0)</f>
        <v>12</v>
      </c>
      <c r="B3008">
        <f>IFERROR(__xludf.DUMMYFUNCTION("""COMPUTED_VALUE"""),26013.0)</f>
        <v>26013</v>
      </c>
      <c r="C3008" t="str">
        <f>IFERROR(__xludf.DUMMYFUNCTION("""COMPUTED_VALUE"""),"BAQUERO GARCIA, ALICIA")</f>
        <v>BAQUERO GARCIA, ALICIA</v>
      </c>
      <c r="D3008" t="str">
        <f>IFERROR(__xludf.DUMMYFUNCTION("""COMPUTED_VALUE"""),"ISC")</f>
        <v>ISC</v>
      </c>
      <c r="E3008" s="3">
        <f>IFERROR(__xludf.DUMMYFUNCTION("""COMPUTED_VALUE"""),4.0)</f>
        <v>4</v>
      </c>
      <c r="F3008" s="300">
        <v>1.0</v>
      </c>
      <c r="G3008" s="300">
        <v>1.0</v>
      </c>
      <c r="H3008" s="300">
        <v>1.0</v>
      </c>
      <c r="I3008" s="300">
        <v>1.0</v>
      </c>
      <c r="J3008" s="300">
        <v>1.0</v>
      </c>
      <c r="K3008" s="300">
        <v>1.0</v>
      </c>
      <c r="L3008" s="300">
        <v>1.0</v>
      </c>
      <c r="M3008" s="300">
        <v>1.0</v>
      </c>
      <c r="N3008" s="300">
        <v>8.0</v>
      </c>
      <c r="O3008" s="300" t="s">
        <v>954</v>
      </c>
      <c r="P3008" s="300">
        <v>5.0</v>
      </c>
    </row>
    <row r="3009">
      <c r="A3009">
        <f>IFERROR(__xludf.DUMMYFUNCTION("""COMPUTED_VALUE"""),12.0)</f>
        <v>12</v>
      </c>
      <c r="B3009">
        <f>IFERROR(__xludf.DUMMYFUNCTION("""COMPUTED_VALUE"""),26159.0)</f>
        <v>26159</v>
      </c>
      <c r="C3009" t="str">
        <f>IFERROR(__xludf.DUMMYFUNCTION("""COMPUTED_VALUE"""),"PETTERSSON VANEGAS, ANNIKA")</f>
        <v>PETTERSSON VANEGAS, ANNIKA</v>
      </c>
      <c r="D3009" t="str">
        <f>IFERROR(__xludf.DUMMYFUNCTION("""COMPUTED_VALUE"""),"ISC")</f>
        <v>ISC</v>
      </c>
      <c r="E3009" s="3">
        <f>IFERROR(__xludf.DUMMYFUNCTION("""COMPUTED_VALUE"""),3.0)</f>
        <v>3</v>
      </c>
      <c r="F3009" s="300">
        <v>1.0</v>
      </c>
      <c r="G3009" s="300">
        <v>1.0</v>
      </c>
      <c r="H3009" s="300">
        <v>1.0</v>
      </c>
      <c r="I3009" s="300">
        <v>1.0</v>
      </c>
      <c r="J3009" s="300">
        <v>1.0</v>
      </c>
      <c r="K3009" s="300">
        <v>1.0</v>
      </c>
      <c r="L3009" s="300">
        <v>1.0</v>
      </c>
      <c r="M3009" s="300">
        <v>1.0</v>
      </c>
      <c r="N3009" s="300">
        <v>8.0</v>
      </c>
      <c r="O3009" s="300" t="s">
        <v>955</v>
      </c>
      <c r="P3009" s="300">
        <v>5.0</v>
      </c>
    </row>
    <row r="3010">
      <c r="A3010">
        <f>IFERROR(__xludf.DUMMYFUNCTION("""COMPUTED_VALUE"""),12.0)</f>
        <v>12</v>
      </c>
      <c r="B3010">
        <f>IFERROR(__xludf.DUMMYFUNCTION("""COMPUTED_VALUE"""),26050.0)</f>
        <v>26050</v>
      </c>
      <c r="C3010" t="str">
        <f>IFERROR(__xludf.DUMMYFUNCTION("""COMPUTED_VALUE"""),"HERRERA LONDOÑO, MANUELA")</f>
        <v>HERRERA LONDOÑO, MANUELA</v>
      </c>
      <c r="D3010" t="str">
        <f>IFERROR(__xludf.DUMMYFUNCTION("""COMPUTED_VALUE"""),"AP Research")</f>
        <v>AP Research</v>
      </c>
      <c r="E3010" s="3">
        <f>IFERROR(__xludf.DUMMYFUNCTION("""COMPUTED_VALUE"""),1.0)</f>
        <v>1</v>
      </c>
      <c r="F3010" s="300">
        <v>1.0</v>
      </c>
      <c r="G3010" s="300">
        <v>1.0</v>
      </c>
      <c r="H3010" s="300">
        <v>1.0</v>
      </c>
      <c r="I3010" s="300">
        <v>1.0</v>
      </c>
      <c r="J3010" s="300">
        <v>1.0</v>
      </c>
      <c r="K3010" s="300">
        <v>1.0</v>
      </c>
      <c r="L3010" s="300">
        <v>1.0</v>
      </c>
      <c r="M3010" s="300">
        <v>1.0</v>
      </c>
      <c r="N3010" s="300">
        <v>8.0</v>
      </c>
      <c r="O3010" s="300" t="s">
        <v>950</v>
      </c>
      <c r="P3010" s="300">
        <v>1.0</v>
      </c>
    </row>
    <row r="3011">
      <c r="A3011">
        <f>IFERROR(__xludf.DUMMYFUNCTION("""COMPUTED_VALUE"""),12.0)</f>
        <v>12</v>
      </c>
      <c r="B3011">
        <f>IFERROR(__xludf.DUMMYFUNCTION("""COMPUTED_VALUE"""),26054.0)</f>
        <v>26054</v>
      </c>
      <c r="C3011" t="str">
        <f>IFERROR(__xludf.DUMMYFUNCTION("""COMPUTED_VALUE"""),"HOYOS GOMEZ, LUCIANA")</f>
        <v>HOYOS GOMEZ, LUCIANA</v>
      </c>
      <c r="D3011" t="str">
        <f>IFERROR(__xludf.DUMMYFUNCTION("""COMPUTED_VALUE"""),"ISC")</f>
        <v>ISC</v>
      </c>
      <c r="E3011" s="3">
        <f>IFERROR(__xludf.DUMMYFUNCTION("""COMPUTED_VALUE"""),3.0)</f>
        <v>3</v>
      </c>
      <c r="F3011" s="300">
        <v>1.0</v>
      </c>
      <c r="G3011" s="300">
        <v>1.0</v>
      </c>
      <c r="H3011" s="300">
        <v>1.0</v>
      </c>
      <c r="I3011" s="300">
        <v>1.0</v>
      </c>
      <c r="J3011" s="300">
        <v>1.0</v>
      </c>
      <c r="K3011" s="300">
        <v>1.0</v>
      </c>
      <c r="L3011" s="300">
        <v>1.0</v>
      </c>
      <c r="M3011" s="300">
        <v>1.0</v>
      </c>
      <c r="N3011" s="300">
        <v>8.0</v>
      </c>
      <c r="O3011" s="300" t="s">
        <v>955</v>
      </c>
      <c r="P3011" s="300">
        <v>5.0</v>
      </c>
    </row>
    <row r="3012">
      <c r="A3012">
        <f>IFERROR(__xludf.DUMMYFUNCTION("""COMPUTED_VALUE"""),12.0)</f>
        <v>12</v>
      </c>
      <c r="B3012">
        <f>IFERROR(__xludf.DUMMYFUNCTION("""COMPUTED_VALUE"""),26098.0)</f>
        <v>26098</v>
      </c>
      <c r="C3012" t="str">
        <f>IFERROR(__xludf.DUMMYFUNCTION("""COMPUTED_VALUE"""),"RESTREPO OCHOA, EMMA")</f>
        <v>RESTREPO OCHOA, EMMA</v>
      </c>
      <c r="D3012" t="str">
        <f>IFERROR(__xludf.DUMMYFUNCTION("""COMPUTED_VALUE"""),"ISC")</f>
        <v>ISC</v>
      </c>
      <c r="E3012" s="3">
        <f>IFERROR(__xludf.DUMMYFUNCTION("""COMPUTED_VALUE"""),8.0)</f>
        <v>8</v>
      </c>
      <c r="F3012" s="300">
        <v>1.0</v>
      </c>
      <c r="G3012" s="300">
        <v>1.0</v>
      </c>
      <c r="H3012" s="300">
        <v>1.0</v>
      </c>
      <c r="I3012" s="300">
        <v>1.0</v>
      </c>
      <c r="J3012" s="300">
        <v>1.0</v>
      </c>
      <c r="K3012" s="300">
        <v>1.0</v>
      </c>
      <c r="L3012" s="300">
        <v>1.0</v>
      </c>
      <c r="M3012" s="300">
        <v>1.0</v>
      </c>
      <c r="N3012" s="300">
        <v>8.0</v>
      </c>
      <c r="O3012" s="300" t="s">
        <v>951</v>
      </c>
      <c r="P3012" s="300">
        <v>5.0</v>
      </c>
    </row>
    <row r="3013">
      <c r="A3013">
        <f>IFERROR(__xludf.DUMMYFUNCTION("""COMPUTED_VALUE"""),12.0)</f>
        <v>12</v>
      </c>
      <c r="B3013">
        <f>IFERROR(__xludf.DUMMYFUNCTION("""COMPUTED_VALUE"""),26084.0)</f>
        <v>26084</v>
      </c>
      <c r="C3013" t="str">
        <f>IFERROR(__xludf.DUMMYFUNCTION("""COMPUTED_VALUE"""),"OSPINA RUIZ, PAULINA")</f>
        <v>OSPINA RUIZ, PAULINA</v>
      </c>
      <c r="D3013" t="str">
        <f>IFERROR(__xludf.DUMMYFUNCTION("""COMPUTED_VALUE"""),"ISC")</f>
        <v>ISC</v>
      </c>
      <c r="E3013" s="3">
        <f>IFERROR(__xludf.DUMMYFUNCTION("""COMPUTED_VALUE"""),3.0)</f>
        <v>3</v>
      </c>
      <c r="F3013" s="300">
        <v>1.0</v>
      </c>
      <c r="G3013" s="300">
        <v>1.0</v>
      </c>
      <c r="H3013" s="300">
        <v>1.0</v>
      </c>
      <c r="I3013" s="300">
        <v>1.0</v>
      </c>
      <c r="J3013" s="300">
        <v>1.0</v>
      </c>
      <c r="K3013" s="300">
        <v>1.0</v>
      </c>
      <c r="L3013" s="300">
        <v>1.0</v>
      </c>
      <c r="M3013" s="300">
        <v>1.0</v>
      </c>
      <c r="N3013" s="300">
        <v>8.0</v>
      </c>
      <c r="O3013" s="300" t="s">
        <v>955</v>
      </c>
      <c r="P3013" s="300">
        <v>5.0</v>
      </c>
    </row>
    <row r="3014">
      <c r="A3014">
        <f>IFERROR(__xludf.DUMMYFUNCTION("""COMPUTED_VALUE"""),12.0)</f>
        <v>12</v>
      </c>
      <c r="B3014">
        <f>IFERROR(__xludf.DUMMYFUNCTION("""COMPUTED_VALUE"""),26004.0)</f>
        <v>26004</v>
      </c>
      <c r="C3014" t="str">
        <f>IFERROR(__xludf.DUMMYFUNCTION("""COMPUTED_VALUE"""),"ALVAREZ GOMEZ, EMILIANA")</f>
        <v>ALVAREZ GOMEZ, EMILIANA</v>
      </c>
      <c r="D3014" t="str">
        <f>IFERROR(__xludf.DUMMYFUNCTION("""COMPUTED_VALUE"""),"ISC")</f>
        <v>ISC</v>
      </c>
      <c r="E3014" s="3">
        <f>IFERROR(__xludf.DUMMYFUNCTION("""COMPUTED_VALUE"""),3.0)</f>
        <v>3</v>
      </c>
      <c r="F3014" s="300">
        <v>1.0</v>
      </c>
      <c r="G3014" s="300">
        <v>1.0</v>
      </c>
      <c r="H3014" s="300">
        <v>1.0</v>
      </c>
      <c r="I3014" s="300">
        <v>1.0</v>
      </c>
      <c r="J3014" s="300">
        <v>1.0</v>
      </c>
      <c r="K3014" s="300">
        <v>1.0</v>
      </c>
      <c r="L3014" s="300">
        <v>1.0</v>
      </c>
      <c r="M3014" s="300">
        <v>1.0</v>
      </c>
      <c r="N3014" s="300">
        <v>8.0</v>
      </c>
      <c r="O3014" s="300" t="s">
        <v>955</v>
      </c>
      <c r="P3014" s="300">
        <v>5.0</v>
      </c>
    </row>
    <row r="3015">
      <c r="A3015">
        <f>IFERROR(__xludf.DUMMYFUNCTION("""COMPUTED_VALUE"""),12.0)</f>
        <v>12</v>
      </c>
      <c r="B3015">
        <f>IFERROR(__xludf.DUMMYFUNCTION("""COMPUTED_VALUE"""),26085.0)</f>
        <v>26085</v>
      </c>
      <c r="C3015" t="str">
        <f>IFERROR(__xludf.DUMMYFUNCTION("""COMPUTED_VALUE"""),"PALACIO RAMIREZ, SUSANA")</f>
        <v>PALACIO RAMIREZ, SUSANA</v>
      </c>
      <c r="D3015" t="str">
        <f>IFERROR(__xludf.DUMMYFUNCTION("""COMPUTED_VALUE"""),"ISC")</f>
        <v>ISC</v>
      </c>
      <c r="E3015" s="3">
        <f>IFERROR(__xludf.DUMMYFUNCTION("""COMPUTED_VALUE"""),3.0)</f>
        <v>3</v>
      </c>
      <c r="F3015" s="300">
        <v>1.0</v>
      </c>
      <c r="G3015" s="300">
        <v>1.0</v>
      </c>
      <c r="H3015" s="300">
        <v>1.0</v>
      </c>
      <c r="I3015" s="300">
        <v>1.0</v>
      </c>
      <c r="J3015" s="300">
        <v>1.0</v>
      </c>
      <c r="K3015" s="300">
        <v>1.0</v>
      </c>
      <c r="L3015" s="300">
        <v>1.0</v>
      </c>
      <c r="M3015" s="300">
        <v>1.0</v>
      </c>
      <c r="N3015" s="300">
        <v>8.0</v>
      </c>
      <c r="O3015" s="300" t="s">
        <v>955</v>
      </c>
      <c r="P3015" s="300">
        <v>5.0</v>
      </c>
    </row>
    <row r="3016">
      <c r="A3016">
        <f>IFERROR(__xludf.DUMMYFUNCTION("""COMPUTED_VALUE"""),12.0)</f>
        <v>12</v>
      </c>
      <c r="B3016">
        <f>IFERROR(__xludf.DUMMYFUNCTION("""COMPUTED_VALUE"""),26074.0)</f>
        <v>26074</v>
      </c>
      <c r="C3016" t="str">
        <f>IFERROR(__xludf.DUMMYFUNCTION("""COMPUTED_VALUE"""),"MESA GIRALDO, MARIA JOSE")</f>
        <v>MESA GIRALDO, MARIA JOSE</v>
      </c>
      <c r="D3016" t="str">
        <f>IFERROR(__xludf.DUMMYFUNCTION("""COMPUTED_VALUE"""),"ISC")</f>
        <v>ISC</v>
      </c>
      <c r="E3016" s="3">
        <f>IFERROR(__xludf.DUMMYFUNCTION("""COMPUTED_VALUE"""),3.0)</f>
        <v>3</v>
      </c>
      <c r="F3016" s="300">
        <v>1.0</v>
      </c>
      <c r="G3016" s="300">
        <v>1.0</v>
      </c>
      <c r="H3016" s="300">
        <v>1.0</v>
      </c>
      <c r="I3016" s="300">
        <v>1.0</v>
      </c>
      <c r="J3016" s="300">
        <v>1.0</v>
      </c>
      <c r="K3016" s="300">
        <v>1.0</v>
      </c>
      <c r="L3016" s="300">
        <v>1.0</v>
      </c>
      <c r="M3016" s="300">
        <v>1.0</v>
      </c>
      <c r="N3016" s="300">
        <v>8.0</v>
      </c>
      <c r="O3016" s="300" t="s">
        <v>955</v>
      </c>
      <c r="P3016" s="300">
        <v>5.0</v>
      </c>
    </row>
    <row r="3017">
      <c r="A3017">
        <f>IFERROR(__xludf.DUMMYFUNCTION("""COMPUTED_VALUE"""),12.0)</f>
        <v>12</v>
      </c>
      <c r="B3017">
        <f>IFERROR(__xludf.DUMMYFUNCTION("""COMPUTED_VALUE"""),26146.0)</f>
        <v>26146</v>
      </c>
      <c r="C3017" t="str">
        <f>IFERROR(__xludf.DUMMYFUNCTION("""COMPUTED_VALUE"""),"MOLINA CASAS, MARIA DEL MAR")</f>
        <v>MOLINA CASAS, MARIA DEL MAR</v>
      </c>
      <c r="D3017" t="str">
        <f>IFERROR(__xludf.DUMMYFUNCTION("""COMPUTED_VALUE"""),"ISC")</f>
        <v>ISC</v>
      </c>
      <c r="E3017" s="3">
        <f>IFERROR(__xludf.DUMMYFUNCTION("""COMPUTED_VALUE"""),3.0)</f>
        <v>3</v>
      </c>
      <c r="F3017" s="300">
        <v>1.0</v>
      </c>
      <c r="G3017" s="300">
        <v>1.0</v>
      </c>
      <c r="H3017" s="300">
        <v>1.0</v>
      </c>
      <c r="I3017" s="300">
        <v>1.0</v>
      </c>
      <c r="J3017" s="300">
        <v>1.0</v>
      </c>
      <c r="K3017" s="300">
        <v>1.0</v>
      </c>
      <c r="L3017" s="300">
        <v>1.0</v>
      </c>
      <c r="M3017" s="300">
        <v>1.0</v>
      </c>
      <c r="N3017" s="300">
        <v>8.0</v>
      </c>
      <c r="O3017" s="300" t="s">
        <v>955</v>
      </c>
      <c r="P3017" s="300">
        <v>5.0</v>
      </c>
    </row>
    <row r="3018">
      <c r="A3018">
        <f>IFERROR(__xludf.DUMMYFUNCTION("""COMPUTED_VALUE"""),12.0)</f>
        <v>12</v>
      </c>
      <c r="B3018">
        <f>IFERROR(__xludf.DUMMYFUNCTION("""COMPUTED_VALUE"""),26029.0)</f>
        <v>26029</v>
      </c>
      <c r="C3018" t="str">
        <f>IFERROR(__xludf.DUMMYFUNCTION("""COMPUTED_VALUE"""),"FAJARDO YEPES, ELISA")</f>
        <v>FAJARDO YEPES, ELISA</v>
      </c>
      <c r="D3018" t="str">
        <f>IFERROR(__xludf.DUMMYFUNCTION("""COMPUTED_VALUE"""),"ISC")</f>
        <v>ISC</v>
      </c>
      <c r="E3018" s="3">
        <f>IFERROR(__xludf.DUMMYFUNCTION("""COMPUTED_VALUE"""),1.0)</f>
        <v>1</v>
      </c>
      <c r="F3018" s="300">
        <v>1.0</v>
      </c>
      <c r="G3018" s="300">
        <v>1.0</v>
      </c>
      <c r="H3018" s="300">
        <v>1.0</v>
      </c>
      <c r="I3018" s="300">
        <v>1.0</v>
      </c>
      <c r="J3018" s="300">
        <v>1.0</v>
      </c>
      <c r="K3018" s="300">
        <v>1.0</v>
      </c>
      <c r="L3018" s="300">
        <v>1.0</v>
      </c>
      <c r="M3018" s="300">
        <v>1.0</v>
      </c>
      <c r="N3018" s="300">
        <v>8.0</v>
      </c>
      <c r="O3018" s="300" t="s">
        <v>953</v>
      </c>
      <c r="P3018" s="300">
        <v>5.0</v>
      </c>
    </row>
    <row r="3019">
      <c r="A3019">
        <f>IFERROR(__xludf.DUMMYFUNCTION("""COMPUTED_VALUE"""),12.0)</f>
        <v>12</v>
      </c>
      <c r="B3019">
        <f>IFERROR(__xludf.DUMMYFUNCTION("""COMPUTED_VALUE"""),26092.0)</f>
        <v>26092</v>
      </c>
      <c r="C3019" t="str">
        <f>IFERROR(__xludf.DUMMYFUNCTION("""COMPUTED_VALUE"""),"PLATA BOLAÑOS, SOFIA")</f>
        <v>PLATA BOLAÑOS, SOFIA</v>
      </c>
      <c r="D3019" t="str">
        <f>IFERROR(__xludf.DUMMYFUNCTION("""COMPUTED_VALUE"""),"ISC")</f>
        <v>ISC</v>
      </c>
      <c r="E3019" s="3">
        <f>IFERROR(__xludf.DUMMYFUNCTION("""COMPUTED_VALUE"""),4.0)</f>
        <v>4</v>
      </c>
      <c r="F3019" s="300">
        <v>1.0</v>
      </c>
      <c r="G3019" s="300">
        <v>1.0</v>
      </c>
      <c r="H3019" s="300">
        <v>1.0</v>
      </c>
      <c r="I3019" s="300">
        <v>1.0</v>
      </c>
      <c r="J3019" s="300">
        <v>1.0</v>
      </c>
      <c r="K3019" s="300">
        <v>1.0</v>
      </c>
      <c r="L3019" s="300">
        <v>1.0</v>
      </c>
      <c r="M3019" s="300">
        <v>1.0</v>
      </c>
      <c r="N3019" s="300">
        <v>8.0</v>
      </c>
      <c r="O3019" s="300" t="s">
        <v>954</v>
      </c>
      <c r="P3019" s="300">
        <v>5.0</v>
      </c>
    </row>
    <row r="3020">
      <c r="A3020">
        <f>IFERROR(__xludf.DUMMYFUNCTION("""COMPUTED_VALUE"""),12.0)</f>
        <v>12</v>
      </c>
      <c r="B3020">
        <f>IFERROR(__xludf.DUMMYFUNCTION("""COMPUTED_VALUE"""),26136.0)</f>
        <v>26136</v>
      </c>
      <c r="C3020" t="str">
        <f>IFERROR(__xludf.DUMMYFUNCTION("""COMPUTED_VALUE"""),"VASQUEZ MUÑOZ, MANUELA")</f>
        <v>VASQUEZ MUÑOZ, MANUELA</v>
      </c>
      <c r="D3020" t="str">
        <f>IFERROR(__xludf.DUMMYFUNCTION("""COMPUTED_VALUE"""),"ISC")</f>
        <v>ISC</v>
      </c>
      <c r="E3020" s="3">
        <f>IFERROR(__xludf.DUMMYFUNCTION("""COMPUTED_VALUE"""),6.0)</f>
        <v>6</v>
      </c>
      <c r="F3020" s="300">
        <v>1.0</v>
      </c>
      <c r="G3020" s="300">
        <v>1.0</v>
      </c>
      <c r="H3020" s="300">
        <v>1.0</v>
      </c>
      <c r="I3020" s="300">
        <v>1.0</v>
      </c>
      <c r="J3020" s="300">
        <v>1.0</v>
      </c>
      <c r="K3020" s="300">
        <v>1.0</v>
      </c>
      <c r="L3020" s="300">
        <v>1.0</v>
      </c>
      <c r="M3020" s="300">
        <v>1.0</v>
      </c>
      <c r="N3020" s="300">
        <v>8.0</v>
      </c>
      <c r="O3020" s="300" t="s">
        <v>952</v>
      </c>
      <c r="P3020" s="300">
        <v>5.0</v>
      </c>
    </row>
    <row r="3021">
      <c r="A3021">
        <f>IFERROR(__xludf.DUMMYFUNCTION("""COMPUTED_VALUE"""),12.0)</f>
        <v>12</v>
      </c>
      <c r="B3021">
        <f>IFERROR(__xludf.DUMMYFUNCTION("""COMPUTED_VALUE"""),26170.0)</f>
        <v>26170</v>
      </c>
      <c r="C3021" t="str">
        <f>IFERROR(__xludf.DUMMYFUNCTION("""COMPUTED_VALUE"""),"BOTERO SPERA, EMMA")</f>
        <v>BOTERO SPERA, EMMA</v>
      </c>
      <c r="D3021" t="str">
        <f>IFERROR(__xludf.DUMMYFUNCTION("""COMPUTED_VALUE"""),"AP Research")</f>
        <v>AP Research</v>
      </c>
      <c r="E3021" s="3">
        <f>IFERROR(__xludf.DUMMYFUNCTION("""COMPUTED_VALUE"""),1.0)</f>
        <v>1</v>
      </c>
      <c r="F3021" s="300">
        <v>1.0</v>
      </c>
      <c r="G3021" s="300">
        <v>1.0</v>
      </c>
      <c r="H3021" s="300">
        <v>1.0</v>
      </c>
      <c r="I3021" s="300">
        <v>1.0</v>
      </c>
      <c r="J3021" s="300">
        <v>1.0</v>
      </c>
      <c r="K3021" s="300">
        <v>1.0</v>
      </c>
      <c r="L3021" s="300">
        <v>1.0</v>
      </c>
      <c r="M3021" s="300">
        <v>1.0</v>
      </c>
      <c r="N3021" s="300">
        <v>8.0</v>
      </c>
      <c r="O3021" s="300" t="s">
        <v>950</v>
      </c>
      <c r="P3021" s="300">
        <v>1.0</v>
      </c>
    </row>
    <row r="3022">
      <c r="A3022">
        <f>IFERROR(__xludf.DUMMYFUNCTION("""COMPUTED_VALUE"""),12.0)</f>
        <v>12</v>
      </c>
      <c r="B3022">
        <f>IFERROR(__xludf.DUMMYFUNCTION("""COMPUTED_VALUE"""),26093.0)</f>
        <v>26093</v>
      </c>
      <c r="C3022" t="str">
        <f>IFERROR(__xludf.DUMMYFUNCTION("""COMPUTED_VALUE"""),"PUERTA PAZ, JUANITA")</f>
        <v>PUERTA PAZ, JUANITA</v>
      </c>
      <c r="D3022" t="str">
        <f>IFERROR(__xludf.DUMMYFUNCTION("""COMPUTED_VALUE"""),"AP Research")</f>
        <v>AP Research</v>
      </c>
      <c r="E3022" s="3">
        <f>IFERROR(__xludf.DUMMYFUNCTION("""COMPUTED_VALUE"""),1.0)</f>
        <v>1</v>
      </c>
      <c r="F3022" s="300">
        <v>1.0</v>
      </c>
      <c r="G3022" s="300">
        <v>1.0</v>
      </c>
      <c r="H3022" s="300">
        <v>1.0</v>
      </c>
      <c r="I3022" s="300">
        <v>1.0</v>
      </c>
      <c r="J3022" s="300">
        <v>1.0</v>
      </c>
      <c r="K3022" s="300">
        <v>1.0</v>
      </c>
      <c r="L3022" s="300">
        <v>1.0</v>
      </c>
      <c r="M3022" s="300">
        <v>1.0</v>
      </c>
      <c r="N3022" s="300">
        <v>8.0</v>
      </c>
      <c r="O3022" s="300" t="s">
        <v>950</v>
      </c>
      <c r="P3022" s="300">
        <v>1.0</v>
      </c>
    </row>
    <row r="3023">
      <c r="A3023">
        <f>IFERROR(__xludf.DUMMYFUNCTION("""COMPUTED_VALUE"""),12.0)</f>
        <v>12</v>
      </c>
      <c r="B3023">
        <f>IFERROR(__xludf.DUMMYFUNCTION("""COMPUTED_VALUE"""),26055.0)</f>
        <v>26055</v>
      </c>
      <c r="C3023" t="str">
        <f>IFERROR(__xludf.DUMMYFUNCTION("""COMPUTED_VALUE"""),"ISAZA CADAVID, RAQUEL")</f>
        <v>ISAZA CADAVID, RAQUEL</v>
      </c>
      <c r="D3023" t="str">
        <f>IFERROR(__xludf.DUMMYFUNCTION("""COMPUTED_VALUE"""),"ISC")</f>
        <v>ISC</v>
      </c>
      <c r="E3023" s="3">
        <f>IFERROR(__xludf.DUMMYFUNCTION("""COMPUTED_VALUE"""),1.0)</f>
        <v>1</v>
      </c>
      <c r="F3023" s="300">
        <v>1.0</v>
      </c>
      <c r="G3023" s="300">
        <v>1.0</v>
      </c>
      <c r="H3023" s="300">
        <v>1.0</v>
      </c>
      <c r="I3023" s="300">
        <v>1.0</v>
      </c>
      <c r="J3023" s="300">
        <v>1.0</v>
      </c>
      <c r="K3023" s="300">
        <v>1.0</v>
      </c>
      <c r="L3023" s="300">
        <v>1.0</v>
      </c>
      <c r="M3023" s="300">
        <v>1.0</v>
      </c>
      <c r="N3023" s="300">
        <v>8.0</v>
      </c>
      <c r="O3023" s="300" t="s">
        <v>953</v>
      </c>
      <c r="P3023" s="300">
        <v>5.0</v>
      </c>
    </row>
    <row r="3024">
      <c r="A3024">
        <f>IFERROR(__xludf.DUMMYFUNCTION("""COMPUTED_VALUE"""),12.0)</f>
        <v>12</v>
      </c>
      <c r="B3024">
        <f>IFERROR(__xludf.DUMMYFUNCTION("""COMPUTED_VALUE"""),26060.0)</f>
        <v>26060</v>
      </c>
      <c r="C3024" t="str">
        <f>IFERROR(__xludf.DUMMYFUNCTION("""COMPUTED_VALUE"""),"JARAMILLO OSPINA, ANTONIA")</f>
        <v>JARAMILLO OSPINA, ANTONIA</v>
      </c>
      <c r="D3024" t="str">
        <f>IFERROR(__xludf.DUMMYFUNCTION("""COMPUTED_VALUE"""),"AP Research")</f>
        <v>AP Research</v>
      </c>
      <c r="E3024" s="3">
        <f>IFERROR(__xludf.DUMMYFUNCTION("""COMPUTED_VALUE"""),1.0)</f>
        <v>1</v>
      </c>
      <c r="F3024" s="300">
        <v>1.0</v>
      </c>
      <c r="G3024" s="300">
        <v>1.0</v>
      </c>
      <c r="H3024" s="300">
        <v>1.0</v>
      </c>
      <c r="I3024" s="300">
        <v>1.0</v>
      </c>
      <c r="J3024" s="300">
        <v>1.0</v>
      </c>
      <c r="K3024" s="300">
        <v>1.0</v>
      </c>
      <c r="L3024" s="300">
        <v>1.0</v>
      </c>
      <c r="M3024" s="300">
        <v>1.0</v>
      </c>
      <c r="N3024" s="300">
        <v>8.0</v>
      </c>
      <c r="O3024" s="300" t="s">
        <v>950</v>
      </c>
      <c r="P3024" s="300">
        <v>1.0</v>
      </c>
    </row>
    <row r="3025">
      <c r="A3025">
        <f>IFERROR(__xludf.DUMMYFUNCTION("""COMPUTED_VALUE"""),12.0)</f>
        <v>12</v>
      </c>
      <c r="B3025">
        <f>IFERROR(__xludf.DUMMYFUNCTION("""COMPUTED_VALUE"""),26134.0)</f>
        <v>26134</v>
      </c>
      <c r="C3025" t="str">
        <f>IFERROR(__xludf.DUMMYFUNCTION("""COMPUTED_VALUE"""),"BOHORQUEZ GOMEZ, GABRIELA")</f>
        <v>BOHORQUEZ GOMEZ, GABRIELA</v>
      </c>
      <c r="D3025" t="str">
        <f>IFERROR(__xludf.DUMMYFUNCTION("""COMPUTED_VALUE"""),"AP Research")</f>
        <v>AP Research</v>
      </c>
      <c r="E3025" s="3">
        <f>IFERROR(__xludf.DUMMYFUNCTION("""COMPUTED_VALUE"""),1.0)</f>
        <v>1</v>
      </c>
      <c r="F3025" s="300">
        <v>1.0</v>
      </c>
      <c r="G3025" s="300">
        <v>1.0</v>
      </c>
      <c r="H3025" s="300">
        <v>1.0</v>
      </c>
      <c r="I3025" s="300">
        <v>1.0</v>
      </c>
      <c r="J3025" s="300">
        <v>1.0</v>
      </c>
      <c r="K3025" s="300">
        <v>1.0</v>
      </c>
      <c r="L3025" s="300">
        <v>1.0</v>
      </c>
      <c r="M3025" s="300">
        <v>1.0</v>
      </c>
      <c r="N3025" s="300">
        <v>8.0</v>
      </c>
      <c r="O3025" s="300" t="s">
        <v>950</v>
      </c>
      <c r="P3025" s="300">
        <v>1.0</v>
      </c>
    </row>
    <row r="3026">
      <c r="A3026">
        <f>IFERROR(__xludf.DUMMYFUNCTION("""COMPUTED_VALUE"""),12.0)</f>
        <v>12</v>
      </c>
      <c r="B3026">
        <f>IFERROR(__xludf.DUMMYFUNCTION("""COMPUTED_VALUE"""),26143.0)</f>
        <v>26143</v>
      </c>
      <c r="C3026" t="str">
        <f>IFERROR(__xludf.DUMMYFUNCTION("""COMPUTED_VALUE"""),"BEDOYA JIMENEZ, SEBASTIAN")</f>
        <v>BEDOYA JIMENEZ, SEBASTIAN</v>
      </c>
      <c r="D3026" t="str">
        <f>IFERROR(__xludf.DUMMYFUNCTION("""COMPUTED_VALUE"""),"ISC")</f>
        <v>ISC</v>
      </c>
      <c r="E3026" s="3">
        <f>IFERROR(__xludf.DUMMYFUNCTION("""COMPUTED_VALUE"""),1.0)</f>
        <v>1</v>
      </c>
      <c r="F3026" s="300">
        <v>1.0</v>
      </c>
      <c r="G3026" s="300">
        <v>1.0</v>
      </c>
      <c r="H3026" s="300">
        <v>1.0</v>
      </c>
      <c r="I3026" s="300">
        <v>1.0</v>
      </c>
      <c r="J3026" s="300">
        <v>1.0</v>
      </c>
      <c r="K3026" s="300">
        <v>1.0</v>
      </c>
      <c r="L3026" s="300">
        <v>1.0</v>
      </c>
      <c r="M3026" s="300">
        <v>1.0</v>
      </c>
      <c r="N3026" s="300">
        <v>8.0</v>
      </c>
      <c r="O3026" s="300" t="s">
        <v>953</v>
      </c>
      <c r="P3026" s="300">
        <v>5.0</v>
      </c>
    </row>
    <row r="3027">
      <c r="A3027">
        <f>IFERROR(__xludf.DUMMYFUNCTION("""COMPUTED_VALUE"""),12.0)</f>
        <v>12</v>
      </c>
      <c r="B3027">
        <f>IFERROR(__xludf.DUMMYFUNCTION("""COMPUTED_VALUE"""),26063.0)</f>
        <v>26063</v>
      </c>
      <c r="C3027" t="str">
        <f>IFERROR(__xludf.DUMMYFUNCTION("""COMPUTED_VALUE"""),"KIM LEE, SAE-YOUNG PABLO")</f>
        <v>KIM LEE, SAE-YOUNG PABLO</v>
      </c>
      <c r="D3027" t="str">
        <f>IFERROR(__xludf.DUMMYFUNCTION("""COMPUTED_VALUE"""),"AP Research")</f>
        <v>AP Research</v>
      </c>
      <c r="E3027" s="3">
        <f>IFERROR(__xludf.DUMMYFUNCTION("""COMPUTED_VALUE"""),1.0)</f>
        <v>1</v>
      </c>
      <c r="F3027" s="300">
        <v>1.0</v>
      </c>
      <c r="G3027" s="300">
        <v>1.0</v>
      </c>
      <c r="H3027" s="300">
        <v>1.0</v>
      </c>
      <c r="I3027" s="300">
        <v>1.0</v>
      </c>
      <c r="J3027" s="300">
        <v>1.0</v>
      </c>
      <c r="K3027" s="300">
        <v>1.0</v>
      </c>
      <c r="L3027" s="300">
        <v>1.0</v>
      </c>
      <c r="M3027" s="300">
        <v>1.0</v>
      </c>
      <c r="N3027" s="300">
        <v>8.0</v>
      </c>
      <c r="O3027" s="300" t="s">
        <v>950</v>
      </c>
      <c r="P3027" s="300">
        <v>1.0</v>
      </c>
    </row>
    <row r="3028">
      <c r="A3028">
        <f>IFERROR(__xludf.DUMMYFUNCTION("""COMPUTED_VALUE"""),12.0)</f>
        <v>12</v>
      </c>
      <c r="B3028">
        <f>IFERROR(__xludf.DUMMYFUNCTION("""COMPUTED_VALUE"""),26018.0)</f>
        <v>26018</v>
      </c>
      <c r="C3028" t="str">
        <f>IFERROR(__xludf.DUMMYFUNCTION("""COMPUTED_VALUE"""),"BOTERO TOQUICA, REBECA")</f>
        <v>BOTERO TOQUICA, REBECA</v>
      </c>
      <c r="D3028" t="str">
        <f>IFERROR(__xludf.DUMMYFUNCTION("""COMPUTED_VALUE"""),"ISC")</f>
        <v>ISC</v>
      </c>
      <c r="E3028" s="3">
        <f>IFERROR(__xludf.DUMMYFUNCTION("""COMPUTED_VALUE"""),3.0)</f>
        <v>3</v>
      </c>
      <c r="F3028" s="300">
        <v>1.0</v>
      </c>
      <c r="G3028" s="300">
        <v>1.0</v>
      </c>
      <c r="H3028" s="300">
        <v>1.0</v>
      </c>
      <c r="I3028" s="300">
        <v>1.0</v>
      </c>
      <c r="J3028" s="300">
        <v>1.0</v>
      </c>
      <c r="K3028" s="300">
        <v>1.0</v>
      </c>
      <c r="L3028" s="300">
        <v>1.0</v>
      </c>
      <c r="M3028" s="300">
        <v>1.0</v>
      </c>
      <c r="N3028" s="300">
        <v>8.0</v>
      </c>
      <c r="O3028" s="300" t="s">
        <v>955</v>
      </c>
      <c r="P3028" s="300">
        <v>5.0</v>
      </c>
    </row>
    <row r="3029">
      <c r="A3029">
        <f>IFERROR(__xludf.DUMMYFUNCTION("""COMPUTED_VALUE"""),12.0)</f>
        <v>12</v>
      </c>
      <c r="B3029">
        <f>IFERROR(__xludf.DUMMYFUNCTION("""COMPUTED_VALUE"""),26087.0)</f>
        <v>26087</v>
      </c>
      <c r="C3029" t="str">
        <f>IFERROR(__xludf.DUMMYFUNCTION("""COMPUTED_VALUE"""),"PELAEZ BORDA, ELIAS")</f>
        <v>PELAEZ BORDA, ELIAS</v>
      </c>
      <c r="D3029" t="str">
        <f>IFERROR(__xludf.DUMMYFUNCTION("""COMPUTED_VALUE"""),"ISC")</f>
        <v>ISC</v>
      </c>
      <c r="E3029" s="3">
        <f>IFERROR(__xludf.DUMMYFUNCTION("""COMPUTED_VALUE"""),8.0)</f>
        <v>8</v>
      </c>
      <c r="F3029" s="300">
        <v>1.0</v>
      </c>
      <c r="G3029" s="300">
        <v>1.0</v>
      </c>
      <c r="H3029" s="300">
        <v>1.0</v>
      </c>
      <c r="I3029" s="300">
        <v>1.0</v>
      </c>
      <c r="J3029" s="300">
        <v>1.0</v>
      </c>
      <c r="K3029" s="300">
        <v>1.0</v>
      </c>
      <c r="L3029" s="300">
        <v>1.0</v>
      </c>
      <c r="M3029" s="300">
        <v>1.0</v>
      </c>
      <c r="N3029" s="300">
        <v>8.0</v>
      </c>
      <c r="O3029" s="300" t="s">
        <v>951</v>
      </c>
      <c r="P3029" s="300">
        <v>5.0</v>
      </c>
    </row>
    <row r="3030">
      <c r="A3030">
        <f>IFERROR(__xludf.DUMMYFUNCTION("""COMPUTED_VALUE"""),12.0)</f>
        <v>12</v>
      </c>
      <c r="B3030">
        <f>IFERROR(__xludf.DUMMYFUNCTION("""COMPUTED_VALUE"""),26065.0)</f>
        <v>26065</v>
      </c>
      <c r="C3030" t="str">
        <f>IFERROR(__xludf.DUMMYFUNCTION("""COMPUTED_VALUE"""),"LONDOÑO CONGOTE, SANTIAGO")</f>
        <v>LONDOÑO CONGOTE, SANTIAGO</v>
      </c>
      <c r="D3030" t="str">
        <f>IFERROR(__xludf.DUMMYFUNCTION("""COMPUTED_VALUE"""),"AP Research")</f>
        <v>AP Research</v>
      </c>
      <c r="E3030" s="3">
        <f>IFERROR(__xludf.DUMMYFUNCTION("""COMPUTED_VALUE"""),1.0)</f>
        <v>1</v>
      </c>
      <c r="F3030" s="300">
        <v>1.0</v>
      </c>
      <c r="G3030" s="300">
        <v>1.0</v>
      </c>
      <c r="H3030" s="300">
        <v>1.0</v>
      </c>
      <c r="I3030" s="300">
        <v>1.0</v>
      </c>
      <c r="J3030" s="300">
        <v>1.0</v>
      </c>
      <c r="K3030" s="300">
        <v>1.0</v>
      </c>
      <c r="L3030" s="300">
        <v>1.0</v>
      </c>
      <c r="M3030" s="300">
        <v>1.0</v>
      </c>
      <c r="N3030" s="300">
        <v>8.0</v>
      </c>
      <c r="O3030" s="300" t="s">
        <v>950</v>
      </c>
      <c r="P3030" s="300">
        <v>1.0</v>
      </c>
    </row>
    <row r="3031">
      <c r="A3031">
        <f>IFERROR(__xludf.DUMMYFUNCTION("""COMPUTED_VALUE"""),12.0)</f>
        <v>12</v>
      </c>
      <c r="B3031">
        <f>IFERROR(__xludf.DUMMYFUNCTION("""COMPUTED_VALUE"""),26150.0)</f>
        <v>26150</v>
      </c>
      <c r="C3031" t="str">
        <f>IFERROR(__xludf.DUMMYFUNCTION("""COMPUTED_VALUE"""),"MOLANO MESA, CANDELARIA")</f>
        <v>MOLANO MESA, CANDELARIA</v>
      </c>
      <c r="D3031" t="str">
        <f>IFERROR(__xludf.DUMMYFUNCTION("""COMPUTED_VALUE"""),"ISC")</f>
        <v>ISC</v>
      </c>
      <c r="E3031" s="3">
        <f>IFERROR(__xludf.DUMMYFUNCTION("""COMPUTED_VALUE"""),1.0)</f>
        <v>1</v>
      </c>
      <c r="F3031" s="300">
        <v>1.0</v>
      </c>
      <c r="G3031" s="300">
        <v>1.0</v>
      </c>
      <c r="H3031" s="300">
        <v>1.0</v>
      </c>
      <c r="I3031" s="300">
        <v>1.0</v>
      </c>
      <c r="J3031" s="300">
        <v>1.0</v>
      </c>
      <c r="K3031" s="300">
        <v>1.0</v>
      </c>
      <c r="L3031" s="300">
        <v>1.0</v>
      </c>
      <c r="M3031" s="300">
        <v>1.0</v>
      </c>
      <c r="N3031" s="300">
        <v>8.0</v>
      </c>
      <c r="O3031" s="300" t="s">
        <v>953</v>
      </c>
      <c r="P3031" s="300">
        <v>5.0</v>
      </c>
    </row>
    <row r="3032">
      <c r="A3032">
        <f>IFERROR(__xludf.DUMMYFUNCTION("""COMPUTED_VALUE"""),12.0)</f>
        <v>12</v>
      </c>
      <c r="B3032">
        <f>IFERROR(__xludf.DUMMYFUNCTION("""COMPUTED_VALUE"""),26061.0)</f>
        <v>26061</v>
      </c>
      <c r="C3032" t="str">
        <f>IFERROR(__xludf.DUMMYFUNCTION("""COMPUTED_VALUE"""),"JARAMILLO RUIZ, BENJAMIN")</f>
        <v>JARAMILLO RUIZ, BENJAMIN</v>
      </c>
      <c r="D3032" t="str">
        <f>IFERROR(__xludf.DUMMYFUNCTION("""COMPUTED_VALUE"""),"AP Research")</f>
        <v>AP Research</v>
      </c>
      <c r="E3032" s="3">
        <f>IFERROR(__xludf.DUMMYFUNCTION("""COMPUTED_VALUE"""),1.0)</f>
        <v>1</v>
      </c>
      <c r="F3032" s="300">
        <v>1.0</v>
      </c>
      <c r="G3032" s="300">
        <v>1.0</v>
      </c>
      <c r="H3032" s="300">
        <v>1.0</v>
      </c>
      <c r="I3032" s="300">
        <v>1.0</v>
      </c>
      <c r="J3032" s="300">
        <v>1.0</v>
      </c>
      <c r="K3032" s="300">
        <v>1.0</v>
      </c>
      <c r="L3032" s="300">
        <v>1.0</v>
      </c>
      <c r="M3032" s="300">
        <v>1.0</v>
      </c>
      <c r="N3032" s="300">
        <v>8.0</v>
      </c>
      <c r="O3032" s="300" t="s">
        <v>950</v>
      </c>
      <c r="P3032" s="300">
        <v>1.0</v>
      </c>
    </row>
    <row r="3033">
      <c r="A3033">
        <f>IFERROR(__xludf.DUMMYFUNCTION("""COMPUTED_VALUE"""),12.0)</f>
        <v>12</v>
      </c>
      <c r="B3033">
        <f>IFERROR(__xludf.DUMMYFUNCTION("""COMPUTED_VALUE"""),26157.0)</f>
        <v>26157</v>
      </c>
      <c r="C3033" t="str">
        <f>IFERROR(__xludf.DUMMYFUNCTION("""COMPUTED_VALUE"""),"CARVAJAL PEREZ, JERONIMO")</f>
        <v>CARVAJAL PEREZ, JERONIMO</v>
      </c>
      <c r="D3033" t="str">
        <f>IFERROR(__xludf.DUMMYFUNCTION("""COMPUTED_VALUE"""),"ISC")</f>
        <v>ISC</v>
      </c>
      <c r="E3033" s="3">
        <f>IFERROR(__xludf.DUMMYFUNCTION("""COMPUTED_VALUE"""),8.0)</f>
        <v>8</v>
      </c>
      <c r="F3033" s="300">
        <v>1.0</v>
      </c>
      <c r="G3033" s="300">
        <v>1.0</v>
      </c>
      <c r="H3033" s="300">
        <v>1.0</v>
      </c>
      <c r="I3033" s="300">
        <v>1.0</v>
      </c>
      <c r="J3033" s="300">
        <v>1.0</v>
      </c>
      <c r="K3033" s="300">
        <v>1.0</v>
      </c>
      <c r="L3033" s="300">
        <v>1.0</v>
      </c>
      <c r="M3033" s="300">
        <v>1.0</v>
      </c>
      <c r="N3033" s="300">
        <v>8.0</v>
      </c>
      <c r="O3033" s="300" t="s">
        <v>951</v>
      </c>
      <c r="P3033" s="300">
        <v>5.0</v>
      </c>
    </row>
    <row r="3034">
      <c r="A3034">
        <f>IFERROR(__xludf.DUMMYFUNCTION("""COMPUTED_VALUE"""),12.0)</f>
        <v>12</v>
      </c>
      <c r="B3034">
        <f>IFERROR(__xludf.DUMMYFUNCTION("""COMPUTED_VALUE"""),26062.0)</f>
        <v>26062</v>
      </c>
      <c r="C3034" t="str">
        <f>IFERROR(__xludf.DUMMYFUNCTION("""COMPUTED_VALUE"""),"JIMENEZ ESCOBAR, NICOLAS")</f>
        <v>JIMENEZ ESCOBAR, NICOLAS</v>
      </c>
      <c r="D3034" t="str">
        <f>IFERROR(__xludf.DUMMYFUNCTION("""COMPUTED_VALUE"""),"ISC")</f>
        <v>ISC</v>
      </c>
      <c r="E3034" s="3">
        <f>IFERROR(__xludf.DUMMYFUNCTION("""COMPUTED_VALUE"""),6.0)</f>
        <v>6</v>
      </c>
      <c r="F3034" s="300">
        <v>1.0</v>
      </c>
      <c r="G3034" s="300">
        <v>1.0</v>
      </c>
      <c r="H3034" s="300">
        <v>1.0</v>
      </c>
      <c r="I3034" s="300">
        <v>1.0</v>
      </c>
      <c r="J3034" s="300">
        <v>1.0</v>
      </c>
      <c r="K3034" s="300">
        <v>1.0</v>
      </c>
      <c r="L3034" s="300">
        <v>1.0</v>
      </c>
      <c r="M3034" s="300">
        <v>1.0</v>
      </c>
      <c r="N3034" s="300">
        <v>8.0</v>
      </c>
      <c r="O3034" s="300" t="s">
        <v>952</v>
      </c>
      <c r="P3034" s="300">
        <v>5.0</v>
      </c>
    </row>
    <row r="3035">
      <c r="A3035">
        <f>IFERROR(__xludf.DUMMYFUNCTION("""COMPUTED_VALUE"""),12.0)</f>
        <v>12</v>
      </c>
      <c r="B3035">
        <f>IFERROR(__xludf.DUMMYFUNCTION("""COMPUTED_VALUE"""),26096.0)</f>
        <v>26096</v>
      </c>
      <c r="C3035" t="str">
        <f>IFERROR(__xludf.DUMMYFUNCTION("""COMPUTED_VALUE"""),"RAMOS TRUJILLO, MARIA JOSE")</f>
        <v>RAMOS TRUJILLO, MARIA JOSE</v>
      </c>
      <c r="D3035" t="str">
        <f>IFERROR(__xludf.DUMMYFUNCTION("""COMPUTED_VALUE"""),"ISC")</f>
        <v>ISC</v>
      </c>
      <c r="E3035" s="3">
        <f>IFERROR(__xludf.DUMMYFUNCTION("""COMPUTED_VALUE"""),4.0)</f>
        <v>4</v>
      </c>
      <c r="F3035" s="300">
        <v>1.0</v>
      </c>
      <c r="G3035" s="300">
        <v>1.0</v>
      </c>
      <c r="H3035" s="300">
        <v>1.0</v>
      </c>
      <c r="I3035" s="300">
        <v>1.0</v>
      </c>
      <c r="J3035" s="300">
        <v>1.0</v>
      </c>
      <c r="K3035" s="300">
        <v>1.0</v>
      </c>
      <c r="L3035" s="300">
        <v>1.0</v>
      </c>
      <c r="M3035" s="300">
        <v>1.0</v>
      </c>
      <c r="N3035" s="300">
        <v>8.0</v>
      </c>
      <c r="O3035" s="300" t="s">
        <v>954</v>
      </c>
      <c r="P3035" s="300">
        <v>5.0</v>
      </c>
    </row>
    <row r="3036">
      <c r="A3036">
        <f>IFERROR(__xludf.DUMMYFUNCTION("""COMPUTED_VALUE"""),12.0)</f>
        <v>12</v>
      </c>
      <c r="B3036">
        <f>IFERROR(__xludf.DUMMYFUNCTION("""COMPUTED_VALUE"""),26045.0)</f>
        <v>26045</v>
      </c>
      <c r="C3036" t="str">
        <f>IFERROR(__xludf.DUMMYFUNCTION("""COMPUTED_VALUE"""),"GRISALES PINEDA, JULIANA")</f>
        <v>GRISALES PINEDA, JULIANA</v>
      </c>
      <c r="D3036" t="str">
        <f>IFERROR(__xludf.DUMMYFUNCTION("""COMPUTED_VALUE"""),"ISC")</f>
        <v>ISC</v>
      </c>
      <c r="E3036" s="3">
        <f>IFERROR(__xludf.DUMMYFUNCTION("""COMPUTED_VALUE"""),4.0)</f>
        <v>4</v>
      </c>
      <c r="F3036" s="300">
        <v>1.0</v>
      </c>
      <c r="G3036" s="300">
        <v>1.0</v>
      </c>
      <c r="H3036" s="300">
        <v>1.0</v>
      </c>
      <c r="I3036" s="300">
        <v>1.0</v>
      </c>
      <c r="J3036" s="300">
        <v>1.0</v>
      </c>
      <c r="K3036" s="300">
        <v>1.0</v>
      </c>
      <c r="L3036" s="300">
        <v>1.0</v>
      </c>
      <c r="M3036" s="300">
        <v>1.0</v>
      </c>
      <c r="N3036" s="300">
        <v>8.0</v>
      </c>
      <c r="O3036" s="300" t="s">
        <v>954</v>
      </c>
      <c r="P3036" s="300">
        <v>5.0</v>
      </c>
    </row>
    <row r="3037">
      <c r="A3037">
        <f>IFERROR(__xludf.DUMMYFUNCTION("""COMPUTED_VALUE"""),12.0)</f>
        <v>12</v>
      </c>
      <c r="B3037">
        <f>IFERROR(__xludf.DUMMYFUNCTION("""COMPUTED_VALUE"""),26126.0)</f>
        <v>26126</v>
      </c>
      <c r="C3037" t="str">
        <f>IFERROR(__xludf.DUMMYFUNCTION("""COMPUTED_VALUE"""),"ZAPATA SALDARRIAGA, TOMAS")</f>
        <v>ZAPATA SALDARRIAGA, TOMAS</v>
      </c>
      <c r="D3037" t="str">
        <f>IFERROR(__xludf.DUMMYFUNCTION("""COMPUTED_VALUE"""),"AP Research")</f>
        <v>AP Research</v>
      </c>
      <c r="E3037" s="3">
        <f>IFERROR(__xludf.DUMMYFUNCTION("""COMPUTED_VALUE"""),1.0)</f>
        <v>1</v>
      </c>
      <c r="F3037" s="300">
        <v>1.0</v>
      </c>
      <c r="G3037" s="300">
        <v>1.0</v>
      </c>
      <c r="H3037" s="300">
        <v>1.0</v>
      </c>
      <c r="I3037" s="300">
        <v>1.0</v>
      </c>
      <c r="J3037" s="300">
        <v>1.0</v>
      </c>
      <c r="K3037" s="300">
        <v>1.0</v>
      </c>
      <c r="L3037" s="300">
        <v>1.0</v>
      </c>
      <c r="M3037" s="300">
        <v>1.0</v>
      </c>
      <c r="N3037" s="300">
        <v>8.0</v>
      </c>
      <c r="O3037" s="300" t="s">
        <v>950</v>
      </c>
      <c r="P3037" s="300">
        <v>1.0</v>
      </c>
    </row>
    <row r="3038">
      <c r="A3038">
        <f>IFERROR(__xludf.DUMMYFUNCTION("""COMPUTED_VALUE"""),12.0)</f>
        <v>12</v>
      </c>
      <c r="B3038">
        <f>IFERROR(__xludf.DUMMYFUNCTION("""COMPUTED_VALUE"""),26151.0)</f>
        <v>26151</v>
      </c>
      <c r="C3038" t="str">
        <f>IFERROR(__xludf.DUMMYFUNCTION("""COMPUTED_VALUE"""),"CADAVID ECHAVARRIA, SUSANA")</f>
        <v>CADAVID ECHAVARRIA, SUSANA</v>
      </c>
      <c r="D3038" t="str">
        <f>IFERROR(__xludf.DUMMYFUNCTION("""COMPUTED_VALUE"""),"ISC")</f>
        <v>ISC</v>
      </c>
      <c r="E3038" s="3">
        <f>IFERROR(__xludf.DUMMYFUNCTION("""COMPUTED_VALUE"""),3.0)</f>
        <v>3</v>
      </c>
      <c r="F3038" s="300">
        <v>1.0</v>
      </c>
      <c r="G3038" s="300">
        <v>1.0</v>
      </c>
      <c r="H3038" s="300">
        <v>1.0</v>
      </c>
      <c r="I3038" s="300">
        <v>1.0</v>
      </c>
      <c r="J3038" s="300">
        <v>1.0</v>
      </c>
      <c r="K3038" s="300">
        <v>1.0</v>
      </c>
      <c r="L3038" s="300">
        <v>1.0</v>
      </c>
      <c r="M3038" s="300">
        <v>1.0</v>
      </c>
      <c r="N3038" s="300">
        <v>8.0</v>
      </c>
      <c r="O3038" s="300" t="s">
        <v>955</v>
      </c>
      <c r="P3038" s="300">
        <v>5.0</v>
      </c>
    </row>
    <row r="3039">
      <c r="A3039">
        <f>IFERROR(__xludf.DUMMYFUNCTION("""COMPUTED_VALUE"""),12.0)</f>
        <v>12</v>
      </c>
      <c r="B3039">
        <f>IFERROR(__xludf.DUMMYFUNCTION("""COMPUTED_VALUE"""),26175.0)</f>
        <v>26175</v>
      </c>
      <c r="C3039" t="str">
        <f>IFERROR(__xludf.DUMMYFUNCTION("""COMPUTED_VALUE"""),"GRULLON SANTOS, DIEGO")</f>
        <v>GRULLON SANTOS, DIEGO</v>
      </c>
      <c r="D3039" t="str">
        <f>IFERROR(__xludf.DUMMYFUNCTION("""COMPUTED_VALUE"""),"ISC")</f>
        <v>ISC</v>
      </c>
      <c r="E3039" s="3">
        <f>IFERROR(__xludf.DUMMYFUNCTION("""COMPUTED_VALUE"""),8.0)</f>
        <v>8</v>
      </c>
      <c r="F3039" s="300">
        <v>1.0</v>
      </c>
      <c r="G3039" s="300">
        <v>1.0</v>
      </c>
      <c r="H3039" s="300">
        <v>1.0</v>
      </c>
      <c r="I3039" s="300">
        <v>1.0</v>
      </c>
      <c r="J3039" s="300">
        <v>1.0</v>
      </c>
      <c r="K3039" s="300">
        <v>1.0</v>
      </c>
      <c r="L3039" s="300">
        <v>1.0</v>
      </c>
      <c r="M3039" s="300">
        <v>1.0</v>
      </c>
      <c r="N3039" s="300">
        <v>8.0</v>
      </c>
      <c r="O3039" s="300" t="s">
        <v>951</v>
      </c>
      <c r="P3039" s="300">
        <v>5.0</v>
      </c>
    </row>
    <row r="3040">
      <c r="A3040">
        <f>IFERROR(__xludf.DUMMYFUNCTION("""COMPUTED_VALUE"""),12.0)</f>
        <v>12</v>
      </c>
      <c r="B3040">
        <f>IFERROR(__xludf.DUMMYFUNCTION("""COMPUTED_VALUE"""),26164.0)</f>
        <v>26164</v>
      </c>
      <c r="C3040" t="str">
        <f>IFERROR(__xludf.DUMMYFUNCTION("""COMPUTED_VALUE"""),"HARRIS, ROWEN IAN")</f>
        <v>HARRIS, ROWEN IAN</v>
      </c>
      <c r="D3040" t="str">
        <f>IFERROR(__xludf.DUMMYFUNCTION("""COMPUTED_VALUE"""),"ISC")</f>
        <v>ISC</v>
      </c>
      <c r="E3040" s="3">
        <f>IFERROR(__xludf.DUMMYFUNCTION("""COMPUTED_VALUE"""),1.0)</f>
        <v>1</v>
      </c>
      <c r="F3040" s="300">
        <v>1.0</v>
      </c>
      <c r="G3040" s="300">
        <v>1.0</v>
      </c>
      <c r="H3040" s="300">
        <v>1.0</v>
      </c>
      <c r="I3040" s="300">
        <v>1.0</v>
      </c>
      <c r="J3040" s="300">
        <v>1.0</v>
      </c>
      <c r="K3040" s="300">
        <v>1.0</v>
      </c>
      <c r="L3040" s="300">
        <v>1.0</v>
      </c>
      <c r="M3040" s="300">
        <v>1.0</v>
      </c>
      <c r="N3040" s="300">
        <v>8.0</v>
      </c>
      <c r="O3040" s="300" t="s">
        <v>953</v>
      </c>
      <c r="P3040" s="300">
        <v>5.0</v>
      </c>
    </row>
    <row r="3041">
      <c r="A3041">
        <f>IFERROR(__xludf.DUMMYFUNCTION("""COMPUTED_VALUE"""),12.0)</f>
        <v>12</v>
      </c>
      <c r="B3041">
        <f>IFERROR(__xludf.DUMMYFUNCTION("""COMPUTED_VALUE"""),26016.0)</f>
        <v>26016</v>
      </c>
      <c r="C3041" t="str">
        <f>IFERROR(__xludf.DUMMYFUNCTION("""COMPUTED_VALUE"""),"BETANCUR VILLEGAS, SOFIA")</f>
        <v>BETANCUR VILLEGAS, SOFIA</v>
      </c>
      <c r="D3041" t="str">
        <f>IFERROR(__xludf.DUMMYFUNCTION("""COMPUTED_VALUE"""),"AP Research")</f>
        <v>AP Research</v>
      </c>
      <c r="E3041" s="3">
        <f>IFERROR(__xludf.DUMMYFUNCTION("""COMPUTED_VALUE"""),1.0)</f>
        <v>1</v>
      </c>
      <c r="F3041" s="300">
        <v>1.0</v>
      </c>
      <c r="G3041" s="300">
        <v>1.0</v>
      </c>
      <c r="H3041" s="300">
        <v>1.0</v>
      </c>
      <c r="I3041" s="300">
        <v>1.0</v>
      </c>
      <c r="J3041" s="300">
        <v>1.0</v>
      </c>
      <c r="K3041" s="300">
        <v>1.0</v>
      </c>
      <c r="L3041" s="300">
        <v>1.0</v>
      </c>
      <c r="M3041" s="300">
        <v>1.0</v>
      </c>
      <c r="N3041" s="300">
        <v>8.0</v>
      </c>
      <c r="O3041" s="300" t="s">
        <v>950</v>
      </c>
      <c r="P3041" s="300">
        <v>1.0</v>
      </c>
    </row>
    <row r="3042">
      <c r="A3042">
        <f>IFERROR(__xludf.DUMMYFUNCTION("""COMPUTED_VALUE"""),12.0)</f>
        <v>12</v>
      </c>
      <c r="B3042">
        <f>IFERROR(__xludf.DUMMYFUNCTION("""COMPUTED_VALUE"""),26057.0)</f>
        <v>26057</v>
      </c>
      <c r="C3042" t="str">
        <f>IFERROR(__xludf.DUMMYFUNCTION("""COMPUTED_VALUE"""),"JARAMILLO ARANGO, AMALIA")</f>
        <v>JARAMILLO ARANGO, AMALIA</v>
      </c>
      <c r="D3042" t="str">
        <f>IFERROR(__xludf.DUMMYFUNCTION("""COMPUTED_VALUE"""),"ISC")</f>
        <v>ISC</v>
      </c>
      <c r="E3042" s="3">
        <f>IFERROR(__xludf.DUMMYFUNCTION("""COMPUTED_VALUE"""),1.0)</f>
        <v>1</v>
      </c>
      <c r="F3042" s="300">
        <v>1.0</v>
      </c>
      <c r="G3042" s="300">
        <v>1.0</v>
      </c>
      <c r="H3042" s="300">
        <v>1.0</v>
      </c>
      <c r="I3042" s="300">
        <v>1.0</v>
      </c>
      <c r="J3042" s="300">
        <v>1.0</v>
      </c>
      <c r="K3042" s="300">
        <v>1.0</v>
      </c>
      <c r="L3042" s="300">
        <v>1.0</v>
      </c>
      <c r="M3042" s="300">
        <v>1.0</v>
      </c>
      <c r="N3042" s="300">
        <v>8.0</v>
      </c>
      <c r="O3042" s="300" t="s">
        <v>953</v>
      </c>
      <c r="P3042" s="300">
        <v>5.0</v>
      </c>
    </row>
    <row r="3043">
      <c r="A3043">
        <f>IFERROR(__xludf.DUMMYFUNCTION("""COMPUTED_VALUE"""),12.0)</f>
        <v>12</v>
      </c>
      <c r="B3043">
        <f>IFERROR(__xludf.DUMMYFUNCTION("""COMPUTED_VALUE"""),26059.0)</f>
        <v>26059</v>
      </c>
      <c r="C3043" t="str">
        <f>IFERROR(__xludf.DUMMYFUNCTION("""COMPUTED_VALUE"""),"JARAMILLO NARANJO, SARA")</f>
        <v>JARAMILLO NARANJO, SARA</v>
      </c>
      <c r="D3043" t="str">
        <f>IFERROR(__xludf.DUMMYFUNCTION("""COMPUTED_VALUE"""),"ISC")</f>
        <v>ISC</v>
      </c>
      <c r="E3043" s="3">
        <f>IFERROR(__xludf.DUMMYFUNCTION("""COMPUTED_VALUE"""),8.0)</f>
        <v>8</v>
      </c>
      <c r="F3043" s="300">
        <v>1.0</v>
      </c>
      <c r="G3043" s="300">
        <v>1.0</v>
      </c>
      <c r="H3043" s="300">
        <v>1.0</v>
      </c>
      <c r="I3043" s="300">
        <v>1.0</v>
      </c>
      <c r="J3043" s="300">
        <v>1.0</v>
      </c>
      <c r="K3043" s="300">
        <v>1.0</v>
      </c>
      <c r="L3043" s="300">
        <v>1.0</v>
      </c>
      <c r="M3043" s="300">
        <v>1.0</v>
      </c>
      <c r="N3043" s="300">
        <v>8.0</v>
      </c>
      <c r="O3043" s="300" t="s">
        <v>951</v>
      </c>
      <c r="P3043" s="300">
        <v>5.0</v>
      </c>
    </row>
    <row r="3044">
      <c r="A3044">
        <f>IFERROR(__xludf.DUMMYFUNCTION("""COMPUTED_VALUE"""),12.0)</f>
        <v>12</v>
      </c>
      <c r="B3044">
        <f>IFERROR(__xludf.DUMMYFUNCTION("""COMPUTED_VALUE"""),26094.0)</f>
        <v>26094</v>
      </c>
      <c r="C3044" t="str">
        <f>IFERROR(__xludf.DUMMYFUNCTION("""COMPUTED_VALUE"""),"PULGARIN HUERTAS, AMELIA")</f>
        <v>PULGARIN HUERTAS, AMELIA</v>
      </c>
      <c r="D3044" t="str">
        <f>IFERROR(__xludf.DUMMYFUNCTION("""COMPUTED_VALUE"""),"ISC")</f>
        <v>ISC</v>
      </c>
      <c r="E3044" s="3">
        <f>IFERROR(__xludf.DUMMYFUNCTION("""COMPUTED_VALUE"""),1.0)</f>
        <v>1</v>
      </c>
      <c r="F3044" s="300">
        <v>1.0</v>
      </c>
      <c r="G3044" s="300">
        <v>1.0</v>
      </c>
      <c r="H3044" s="300">
        <v>1.0</v>
      </c>
      <c r="I3044" s="300">
        <v>1.0</v>
      </c>
      <c r="J3044" s="300">
        <v>1.0</v>
      </c>
      <c r="K3044" s="300">
        <v>1.0</v>
      </c>
      <c r="L3044" s="300">
        <v>1.0</v>
      </c>
      <c r="M3044" s="300">
        <v>1.0</v>
      </c>
      <c r="N3044" s="300">
        <v>8.0</v>
      </c>
      <c r="O3044" s="300" t="s">
        <v>953</v>
      </c>
      <c r="P3044" s="300">
        <v>5.0</v>
      </c>
    </row>
    <row r="3045">
      <c r="A3045">
        <f>IFERROR(__xludf.DUMMYFUNCTION("""COMPUTED_VALUE"""),12.0)</f>
        <v>12</v>
      </c>
      <c r="B3045">
        <f>IFERROR(__xludf.DUMMYFUNCTION("""COMPUTED_VALUE"""),26007.0)</f>
        <v>26007</v>
      </c>
      <c r="C3045" t="str">
        <f>IFERROR(__xludf.DUMMYFUNCTION("""COMPUTED_VALUE"""),"ARANGO ESCOBAR, JULIANA")</f>
        <v>ARANGO ESCOBAR, JULIANA</v>
      </c>
      <c r="D3045" t="str">
        <f>IFERROR(__xludf.DUMMYFUNCTION("""COMPUTED_VALUE"""),"ISC")</f>
        <v>ISC</v>
      </c>
      <c r="E3045" s="3">
        <f>IFERROR(__xludf.DUMMYFUNCTION("""COMPUTED_VALUE"""),1.0)</f>
        <v>1</v>
      </c>
      <c r="F3045" s="300">
        <v>1.0</v>
      </c>
      <c r="G3045" s="300">
        <v>1.0</v>
      </c>
      <c r="H3045" s="300">
        <v>1.0</v>
      </c>
      <c r="I3045" s="300">
        <v>1.0</v>
      </c>
      <c r="J3045" s="300">
        <v>1.0</v>
      </c>
      <c r="K3045" s="300">
        <v>1.0</v>
      </c>
      <c r="L3045" s="300">
        <v>1.0</v>
      </c>
      <c r="M3045" s="300">
        <v>1.0</v>
      </c>
      <c r="N3045" s="300">
        <v>8.0</v>
      </c>
      <c r="O3045" s="300" t="s">
        <v>953</v>
      </c>
      <c r="P3045" s="300">
        <v>5.0</v>
      </c>
    </row>
    <row r="3046">
      <c r="A3046">
        <f>IFERROR(__xludf.DUMMYFUNCTION("""COMPUTED_VALUE"""),12.0)</f>
        <v>12</v>
      </c>
      <c r="B3046">
        <f>IFERROR(__xludf.DUMMYFUNCTION("""COMPUTED_VALUE"""),26176.0)</f>
        <v>26176</v>
      </c>
      <c r="C3046" t="str">
        <f>IFERROR(__xludf.DUMMYFUNCTION("""COMPUTED_VALUE"""),"FORTICH ANGULO, SERGIO")</f>
        <v>FORTICH ANGULO, SERGIO</v>
      </c>
      <c r="D3046" t="str">
        <f>IFERROR(__xludf.DUMMYFUNCTION("""COMPUTED_VALUE"""),"ISC")</f>
        <v>ISC</v>
      </c>
      <c r="E3046" s="3">
        <f>IFERROR(__xludf.DUMMYFUNCTION("""COMPUTED_VALUE"""),6.0)</f>
        <v>6</v>
      </c>
      <c r="F3046" s="300">
        <v>1.0</v>
      </c>
      <c r="G3046" s="300">
        <v>1.0</v>
      </c>
      <c r="H3046" s="300">
        <v>1.0</v>
      </c>
      <c r="I3046" s="300">
        <v>1.0</v>
      </c>
      <c r="J3046" s="300">
        <v>1.0</v>
      </c>
      <c r="K3046" s="300">
        <v>1.0</v>
      </c>
      <c r="L3046" s="300">
        <v>1.0</v>
      </c>
      <c r="M3046" s="300">
        <v>1.0</v>
      </c>
      <c r="N3046" s="300">
        <v>8.0</v>
      </c>
      <c r="O3046" s="300" t="s">
        <v>952</v>
      </c>
      <c r="P3046" s="300">
        <v>5.0</v>
      </c>
    </row>
    <row r="3047">
      <c r="A3047">
        <f>IFERROR(__xludf.DUMMYFUNCTION("""COMPUTED_VALUE"""),12.0)</f>
        <v>12</v>
      </c>
      <c r="B3047">
        <f>IFERROR(__xludf.DUMMYFUNCTION("""COMPUTED_VALUE"""),26070.0)</f>
        <v>26070</v>
      </c>
      <c r="C3047" t="str">
        <f>IFERROR(__xludf.DUMMYFUNCTION("""COMPUTED_VALUE"""),"MEJIA MEJIA, LUCAS")</f>
        <v>MEJIA MEJIA, LUCAS</v>
      </c>
      <c r="D3047" t="str">
        <f>IFERROR(__xludf.DUMMYFUNCTION("""COMPUTED_VALUE"""),"ISC")</f>
        <v>ISC</v>
      </c>
      <c r="E3047" s="3">
        <f>IFERROR(__xludf.DUMMYFUNCTION("""COMPUTED_VALUE"""),1.0)</f>
        <v>1</v>
      </c>
      <c r="F3047" s="300">
        <v>1.0</v>
      </c>
      <c r="G3047" s="300">
        <v>1.0</v>
      </c>
      <c r="H3047" s="300">
        <v>1.0</v>
      </c>
      <c r="I3047" s="300">
        <v>1.0</v>
      </c>
      <c r="J3047" s="300">
        <v>1.0</v>
      </c>
      <c r="K3047" s="300">
        <v>1.0</v>
      </c>
      <c r="L3047" s="300">
        <v>1.0</v>
      </c>
      <c r="M3047" s="300">
        <v>1.0</v>
      </c>
      <c r="N3047" s="300">
        <v>8.0</v>
      </c>
      <c r="O3047" s="300" t="s">
        <v>953</v>
      </c>
      <c r="P3047" s="300">
        <v>5.0</v>
      </c>
    </row>
    <row r="3048">
      <c r="A3048">
        <f>IFERROR(__xludf.DUMMYFUNCTION("""COMPUTED_VALUE"""),12.0)</f>
        <v>12</v>
      </c>
      <c r="B3048">
        <f>IFERROR(__xludf.DUMMYFUNCTION("""COMPUTED_VALUE"""),26052.0)</f>
        <v>26052</v>
      </c>
      <c r="C3048" t="str">
        <f>IFERROR(__xludf.DUMMYFUNCTION("""COMPUTED_VALUE"""),"HINESTROSA SIERRA, AMALIA")</f>
        <v>HINESTROSA SIERRA, AMALIA</v>
      </c>
      <c r="D3048" t="str">
        <f>IFERROR(__xludf.DUMMYFUNCTION("""COMPUTED_VALUE"""),"ISC")</f>
        <v>ISC</v>
      </c>
      <c r="E3048" s="3">
        <f>IFERROR(__xludf.DUMMYFUNCTION("""COMPUTED_VALUE"""),4.0)</f>
        <v>4</v>
      </c>
      <c r="F3048" s="300">
        <v>1.0</v>
      </c>
      <c r="G3048" s="300">
        <v>1.0</v>
      </c>
      <c r="H3048" s="300">
        <v>1.0</v>
      </c>
      <c r="I3048" s="300">
        <v>1.0</v>
      </c>
      <c r="J3048" s="300">
        <v>1.0</v>
      </c>
      <c r="K3048" s="300">
        <v>1.0</v>
      </c>
      <c r="L3048" s="300">
        <v>1.0</v>
      </c>
      <c r="M3048" s="300">
        <v>1.0</v>
      </c>
      <c r="N3048" s="300">
        <v>8.0</v>
      </c>
      <c r="O3048" s="300" t="s">
        <v>954</v>
      </c>
      <c r="P3048" s="300">
        <v>5.0</v>
      </c>
    </row>
    <row r="3049">
      <c r="A3049">
        <f>IFERROR(__xludf.DUMMYFUNCTION("""COMPUTED_VALUE"""),12.0)</f>
        <v>12</v>
      </c>
      <c r="B3049">
        <f>IFERROR(__xludf.DUMMYFUNCTION("""COMPUTED_VALUE"""),26123.0)</f>
        <v>26123</v>
      </c>
      <c r="C3049" t="str">
        <f>IFERROR(__xludf.DUMMYFUNCTION("""COMPUTED_VALUE"""),"WOLFF RAMIREZ, MARIA")</f>
        <v>WOLFF RAMIREZ, MARIA</v>
      </c>
      <c r="D3049" t="str">
        <f>IFERROR(__xludf.DUMMYFUNCTION("""COMPUTED_VALUE"""),"ISC")</f>
        <v>ISC</v>
      </c>
      <c r="E3049" s="3">
        <f>IFERROR(__xludf.DUMMYFUNCTION("""COMPUTED_VALUE"""),1.0)</f>
        <v>1</v>
      </c>
      <c r="F3049" s="300">
        <v>1.0</v>
      </c>
      <c r="G3049" s="300">
        <v>1.0</v>
      </c>
      <c r="H3049" s="300">
        <v>1.0</v>
      </c>
      <c r="I3049" s="300">
        <v>1.0</v>
      </c>
      <c r="J3049" s="300">
        <v>1.0</v>
      </c>
      <c r="K3049" s="300">
        <v>1.0</v>
      </c>
      <c r="L3049" s="300">
        <v>1.0</v>
      </c>
      <c r="M3049" s="300">
        <v>1.0</v>
      </c>
      <c r="N3049" s="300">
        <v>8.0</v>
      </c>
      <c r="O3049" s="300" t="s">
        <v>953</v>
      </c>
      <c r="P3049" s="300">
        <v>5.0</v>
      </c>
    </row>
    <row r="3050">
      <c r="A3050">
        <f>IFERROR(__xludf.DUMMYFUNCTION("""COMPUTED_VALUE"""),12.0)</f>
        <v>12</v>
      </c>
      <c r="B3050">
        <f>IFERROR(__xludf.DUMMYFUNCTION("""COMPUTED_VALUE"""),26042.0)</f>
        <v>26042</v>
      </c>
      <c r="C3050" t="str">
        <f>IFERROR(__xludf.DUMMYFUNCTION("""COMPUTED_VALUE"""),"GOMEZ VELEZ, MIGUEL")</f>
        <v>GOMEZ VELEZ, MIGUEL</v>
      </c>
      <c r="D3050" t="str">
        <f>IFERROR(__xludf.DUMMYFUNCTION("""COMPUTED_VALUE"""),"ISC")</f>
        <v>ISC</v>
      </c>
      <c r="E3050" s="3">
        <f>IFERROR(__xludf.DUMMYFUNCTION("""COMPUTED_VALUE"""),8.0)</f>
        <v>8</v>
      </c>
      <c r="F3050" s="300">
        <v>1.0</v>
      </c>
      <c r="G3050" s="300">
        <v>1.0</v>
      </c>
      <c r="H3050" s="300">
        <v>1.0</v>
      </c>
      <c r="I3050" s="300">
        <v>1.0</v>
      </c>
      <c r="J3050" s="300">
        <v>1.0</v>
      </c>
      <c r="K3050" s="300">
        <v>1.0</v>
      </c>
      <c r="L3050" s="300">
        <v>1.0</v>
      </c>
      <c r="M3050" s="300">
        <v>1.0</v>
      </c>
      <c r="N3050" s="300">
        <v>8.0</v>
      </c>
      <c r="O3050" s="300" t="s">
        <v>951</v>
      </c>
      <c r="P3050" s="300">
        <v>5.0</v>
      </c>
    </row>
    <row r="3051">
      <c r="A3051">
        <f>IFERROR(__xludf.DUMMYFUNCTION("""COMPUTED_VALUE"""),12.0)</f>
        <v>12</v>
      </c>
      <c r="B3051">
        <f>IFERROR(__xludf.DUMMYFUNCTION("""COMPUTED_VALUE"""),26116.0)</f>
        <v>26116</v>
      </c>
      <c r="C3051" t="str">
        <f>IFERROR(__xludf.DUMMYFUNCTION("""COMPUTED_VALUE"""),"VELEZ FERRER, AGUSTIN")</f>
        <v>VELEZ FERRER, AGUSTIN</v>
      </c>
      <c r="D3051" t="str">
        <f>IFERROR(__xludf.DUMMYFUNCTION("""COMPUTED_VALUE"""),"ISC")</f>
        <v>ISC</v>
      </c>
      <c r="E3051" s="3">
        <f>IFERROR(__xludf.DUMMYFUNCTION("""COMPUTED_VALUE"""),1.0)</f>
        <v>1</v>
      </c>
      <c r="F3051" s="300">
        <v>1.0</v>
      </c>
      <c r="G3051" s="300">
        <v>1.0</v>
      </c>
      <c r="H3051" s="300">
        <v>1.0</v>
      </c>
      <c r="I3051" s="300">
        <v>1.0</v>
      </c>
      <c r="J3051" s="300">
        <v>1.0</v>
      </c>
      <c r="K3051" s="300">
        <v>1.0</v>
      </c>
      <c r="L3051" s="300">
        <v>1.0</v>
      </c>
      <c r="M3051" s="300">
        <v>1.0</v>
      </c>
      <c r="N3051" s="300">
        <v>8.0</v>
      </c>
      <c r="O3051" s="300" t="s">
        <v>953</v>
      </c>
      <c r="P3051" s="300">
        <v>5.0</v>
      </c>
    </row>
    <row r="3052">
      <c r="A3052">
        <f>IFERROR(__xludf.DUMMYFUNCTION("""COMPUTED_VALUE"""),12.0)</f>
        <v>12</v>
      </c>
      <c r="B3052">
        <f>IFERROR(__xludf.DUMMYFUNCTION("""COMPUTED_VALUE"""),26039.0)</f>
        <v>26039</v>
      </c>
      <c r="C3052" t="str">
        <f>IFERROR(__xludf.DUMMYFUNCTION("""COMPUTED_VALUE"""),"GOMEZ LINCE, MARIA")</f>
        <v>GOMEZ LINCE, MARIA</v>
      </c>
      <c r="D3052" t="str">
        <f>IFERROR(__xludf.DUMMYFUNCTION("""COMPUTED_VALUE"""),"ISC")</f>
        <v>ISC</v>
      </c>
      <c r="E3052" s="3">
        <f>IFERROR(__xludf.DUMMYFUNCTION("""COMPUTED_VALUE"""),4.0)</f>
        <v>4</v>
      </c>
      <c r="F3052" s="300">
        <v>1.0</v>
      </c>
      <c r="G3052" s="300">
        <v>1.0</v>
      </c>
      <c r="H3052" s="300">
        <v>1.0</v>
      </c>
      <c r="I3052" s="300">
        <v>1.0</v>
      </c>
      <c r="J3052" s="300">
        <v>1.0</v>
      </c>
      <c r="K3052" s="300">
        <v>1.0</v>
      </c>
      <c r="L3052" s="300">
        <v>1.0</v>
      </c>
      <c r="M3052" s="300">
        <v>1.0</v>
      </c>
      <c r="N3052" s="300">
        <v>8.0</v>
      </c>
      <c r="O3052" s="300" t="s">
        <v>954</v>
      </c>
      <c r="P3052" s="300">
        <v>5.0</v>
      </c>
    </row>
    <row r="3053">
      <c r="A3053">
        <f>IFERROR(__xludf.DUMMYFUNCTION("""COMPUTED_VALUE"""),12.0)</f>
        <v>12</v>
      </c>
      <c r="B3053">
        <f>IFERROR(__xludf.DUMMYFUNCTION("""COMPUTED_VALUE"""),26030.0)</f>
        <v>26030</v>
      </c>
      <c r="C3053" t="str">
        <f>IFERROR(__xludf.DUMMYFUNCTION("""COMPUTED_VALUE"""),"FERNANDEZ DUQUE, CANDELARIA")</f>
        <v>FERNANDEZ DUQUE, CANDELARIA</v>
      </c>
      <c r="D3053" t="str">
        <f>IFERROR(__xludf.DUMMYFUNCTION("""COMPUTED_VALUE"""),"ISC")</f>
        <v>ISC</v>
      </c>
      <c r="E3053" s="3">
        <f>IFERROR(__xludf.DUMMYFUNCTION("""COMPUTED_VALUE"""),1.0)</f>
        <v>1</v>
      </c>
      <c r="F3053" s="300">
        <v>1.0</v>
      </c>
      <c r="G3053" s="300">
        <v>1.0</v>
      </c>
      <c r="H3053" s="300">
        <v>1.0</v>
      </c>
      <c r="I3053" s="300">
        <v>1.0</v>
      </c>
      <c r="J3053" s="300">
        <v>1.0</v>
      </c>
      <c r="K3053" s="300">
        <v>1.0</v>
      </c>
      <c r="L3053" s="300">
        <v>1.0</v>
      </c>
      <c r="M3053" s="300">
        <v>1.0</v>
      </c>
      <c r="N3053" s="300">
        <v>8.0</v>
      </c>
      <c r="O3053" s="300" t="s">
        <v>953</v>
      </c>
      <c r="P3053" s="300">
        <v>5.0</v>
      </c>
    </row>
    <row r="3054">
      <c r="A3054">
        <f>IFERROR(__xludf.DUMMYFUNCTION("""COMPUTED_VALUE"""),12.0)</f>
        <v>12</v>
      </c>
      <c r="B3054">
        <f>IFERROR(__xludf.DUMMYFUNCTION("""COMPUTED_VALUE"""),26003.0)</f>
        <v>26003</v>
      </c>
      <c r="C3054" t="str">
        <f>IFERROR(__xludf.DUMMYFUNCTION("""COMPUTED_VALUE"""),"AGUDELO ECHEVERRI, MATIAS")</f>
        <v>AGUDELO ECHEVERRI, MATIAS</v>
      </c>
      <c r="D3054" t="str">
        <f>IFERROR(__xludf.DUMMYFUNCTION("""COMPUTED_VALUE"""),"ISC")</f>
        <v>ISC</v>
      </c>
      <c r="E3054" s="3">
        <f>IFERROR(__xludf.DUMMYFUNCTION("""COMPUTED_VALUE"""),4.0)</f>
        <v>4</v>
      </c>
      <c r="F3054" s="300">
        <v>1.0</v>
      </c>
      <c r="G3054" s="300">
        <v>1.0</v>
      </c>
      <c r="H3054" s="300">
        <v>1.0</v>
      </c>
      <c r="I3054" s="300">
        <v>1.0</v>
      </c>
      <c r="J3054" s="300">
        <v>1.0</v>
      </c>
      <c r="K3054" s="300">
        <v>1.0</v>
      </c>
      <c r="L3054" s="300">
        <v>1.0</v>
      </c>
      <c r="M3054" s="300">
        <v>1.0</v>
      </c>
      <c r="N3054" s="300">
        <v>8.0</v>
      </c>
      <c r="O3054" s="300" t="s">
        <v>954</v>
      </c>
      <c r="P3054" s="300">
        <v>5.0</v>
      </c>
    </row>
    <row r="3055">
      <c r="A3055">
        <f>IFERROR(__xludf.DUMMYFUNCTION("""COMPUTED_VALUE"""),12.0)</f>
        <v>12</v>
      </c>
      <c r="B3055" s="406">
        <f>IFERROR(__xludf.DUMMYFUNCTION("""COMPUTED_VALUE"""),26053.0)</f>
        <v>26053</v>
      </c>
      <c r="C3055" t="str">
        <f>IFERROR(__xludf.DUMMYFUNCTION("""COMPUTED_VALUE"""),"HODEK RESTREPO, MIA")</f>
        <v>HODEK RESTREPO, MIA</v>
      </c>
      <c r="D3055" t="str">
        <f>IFERROR(__xludf.DUMMYFUNCTION("""COMPUTED_VALUE"""),"ISC")</f>
        <v>ISC</v>
      </c>
      <c r="E3055" s="3">
        <f>IFERROR(__xludf.DUMMYFUNCTION("""COMPUTED_VALUE"""),6.0)</f>
        <v>6</v>
      </c>
      <c r="F3055" s="300">
        <v>1.0</v>
      </c>
      <c r="G3055" s="300">
        <v>1.0</v>
      </c>
      <c r="H3055" s="300">
        <v>1.0</v>
      </c>
      <c r="I3055" s="300">
        <v>1.0</v>
      </c>
      <c r="J3055" s="300">
        <v>1.0</v>
      </c>
      <c r="K3055" s="300">
        <v>1.0</v>
      </c>
      <c r="L3055" s="300">
        <v>1.0</v>
      </c>
      <c r="M3055" s="300">
        <v>1.0</v>
      </c>
      <c r="N3055" s="300">
        <v>8.0</v>
      </c>
      <c r="O3055" s="300" t="s">
        <v>952</v>
      </c>
      <c r="P3055" s="300">
        <v>5.0</v>
      </c>
    </row>
    <row r="3056">
      <c r="A3056">
        <f>IFERROR(__xludf.DUMMYFUNCTION("""COMPUTED_VALUE"""),12.0)</f>
        <v>12</v>
      </c>
      <c r="B3056">
        <f>IFERROR(__xludf.DUMMYFUNCTION("""COMPUTED_VALUE"""),26021.0)</f>
        <v>26021</v>
      </c>
      <c r="C3056" t="str">
        <f>IFERROR(__xludf.DUMMYFUNCTION("""COMPUTED_VALUE"""),"CARDONA OCHOA, CAMILA")</f>
        <v>CARDONA OCHOA, CAMILA</v>
      </c>
      <c r="D3056" t="str">
        <f>IFERROR(__xludf.DUMMYFUNCTION("""COMPUTED_VALUE"""),"ISC")</f>
        <v>ISC</v>
      </c>
      <c r="E3056" s="3">
        <f>IFERROR(__xludf.DUMMYFUNCTION("""COMPUTED_VALUE"""),1.0)</f>
        <v>1</v>
      </c>
      <c r="F3056" s="300">
        <v>1.0</v>
      </c>
      <c r="G3056" s="300">
        <v>1.0</v>
      </c>
      <c r="H3056" s="300">
        <v>1.0</v>
      </c>
      <c r="I3056" s="300">
        <v>1.0</v>
      </c>
      <c r="J3056" s="300">
        <v>1.0</v>
      </c>
      <c r="K3056" s="300">
        <v>1.0</v>
      </c>
      <c r="L3056" s="300">
        <v>1.0</v>
      </c>
      <c r="M3056" s="300">
        <v>1.0</v>
      </c>
      <c r="N3056" s="300">
        <v>8.0</v>
      </c>
      <c r="O3056" s="300" t="s">
        <v>953</v>
      </c>
      <c r="P3056" s="300">
        <v>5.0</v>
      </c>
    </row>
    <row r="3057">
      <c r="A3057">
        <f>IFERROR(__xludf.DUMMYFUNCTION("""COMPUTED_VALUE"""),12.0)</f>
        <v>12</v>
      </c>
      <c r="B3057">
        <f>IFERROR(__xludf.DUMMYFUNCTION("""COMPUTED_VALUE"""),26089.0)</f>
        <v>26089</v>
      </c>
      <c r="C3057" t="str">
        <f>IFERROR(__xludf.DUMMYFUNCTION("""COMPUTED_VALUE"""),"PEREZ YEPES, EMILIANO")</f>
        <v>PEREZ YEPES, EMILIANO</v>
      </c>
      <c r="D3057" t="str">
        <f>IFERROR(__xludf.DUMMYFUNCTION("""COMPUTED_VALUE"""),"ISC")</f>
        <v>ISC</v>
      </c>
      <c r="E3057" s="3">
        <f>IFERROR(__xludf.DUMMYFUNCTION("""COMPUTED_VALUE"""),6.0)</f>
        <v>6</v>
      </c>
      <c r="F3057" s="300">
        <v>1.0</v>
      </c>
      <c r="G3057" s="300">
        <v>1.0</v>
      </c>
      <c r="H3057" s="300">
        <v>1.0</v>
      </c>
      <c r="I3057" s="300">
        <v>1.0</v>
      </c>
      <c r="J3057" s="300">
        <v>1.0</v>
      </c>
      <c r="K3057" s="300">
        <v>1.0</v>
      </c>
      <c r="L3057" s="300">
        <v>1.0</v>
      </c>
      <c r="M3057" s="300">
        <v>1.0</v>
      </c>
      <c r="N3057" s="300">
        <v>8.0</v>
      </c>
      <c r="O3057" s="300" t="s">
        <v>952</v>
      </c>
      <c r="P3057" s="300">
        <v>5.0</v>
      </c>
    </row>
    <row r="3058">
      <c r="A3058">
        <f>IFERROR(__xludf.DUMMYFUNCTION("""COMPUTED_VALUE"""),12.0)</f>
        <v>12</v>
      </c>
      <c r="B3058">
        <f>IFERROR(__xludf.DUMMYFUNCTION("""COMPUTED_VALUE"""),26035.0)</f>
        <v>26035</v>
      </c>
      <c r="C3058" t="str">
        <f>IFERROR(__xludf.DUMMYFUNCTION("""COMPUTED_VALUE"""),"GAVIRIA GONZALEZ, MATIAS")</f>
        <v>GAVIRIA GONZALEZ, MATIAS</v>
      </c>
      <c r="D3058" t="str">
        <f>IFERROR(__xludf.DUMMYFUNCTION("""COMPUTED_VALUE"""),"ISC")</f>
        <v>ISC</v>
      </c>
      <c r="E3058" s="3">
        <f>IFERROR(__xludf.DUMMYFUNCTION("""COMPUTED_VALUE"""),6.0)</f>
        <v>6</v>
      </c>
      <c r="F3058" s="300">
        <v>1.0</v>
      </c>
      <c r="G3058" s="300">
        <v>1.0</v>
      </c>
      <c r="H3058" s="300">
        <v>1.0</v>
      </c>
      <c r="I3058" s="300">
        <v>1.0</v>
      </c>
      <c r="J3058" s="300">
        <v>1.0</v>
      </c>
      <c r="K3058" s="300">
        <v>1.0</v>
      </c>
      <c r="L3058" s="300">
        <v>1.0</v>
      </c>
      <c r="M3058" s="300">
        <v>1.0</v>
      </c>
      <c r="N3058" s="300">
        <v>8.0</v>
      </c>
      <c r="O3058" s="300" t="s">
        <v>952</v>
      </c>
      <c r="P3058" s="300">
        <v>5.0</v>
      </c>
    </row>
    <row r="3059">
      <c r="A3059">
        <f>IFERROR(__xludf.DUMMYFUNCTION("""COMPUTED_VALUE"""),12.0)</f>
        <v>12</v>
      </c>
      <c r="B3059">
        <f>IFERROR(__xludf.DUMMYFUNCTION("""COMPUTED_VALUE"""),26171.0)</f>
        <v>26171</v>
      </c>
      <c r="C3059" t="str">
        <f>IFERROR(__xludf.DUMMYFUNCTION("""COMPUTED_VALUE"""),"GOMEZ AMADOR, MATIAS")</f>
        <v>GOMEZ AMADOR, MATIAS</v>
      </c>
      <c r="D3059" t="str">
        <f>IFERROR(__xludf.DUMMYFUNCTION("""COMPUTED_VALUE"""),"ISC")</f>
        <v>ISC</v>
      </c>
      <c r="E3059" s="3">
        <f>IFERROR(__xludf.DUMMYFUNCTION("""COMPUTED_VALUE"""),6.0)</f>
        <v>6</v>
      </c>
      <c r="F3059" s="300">
        <v>1.0</v>
      </c>
      <c r="G3059" s="300">
        <v>1.0</v>
      </c>
      <c r="H3059" s="300">
        <v>1.0</v>
      </c>
      <c r="I3059" s="300">
        <v>1.0</v>
      </c>
      <c r="J3059" s="300">
        <v>1.0</v>
      </c>
      <c r="K3059" s="300">
        <v>1.0</v>
      </c>
      <c r="L3059" s="300">
        <v>1.0</v>
      </c>
      <c r="M3059" s="300">
        <v>1.0</v>
      </c>
      <c r="N3059" s="300">
        <v>8.0</v>
      </c>
      <c r="O3059" s="300" t="s">
        <v>952</v>
      </c>
      <c r="P3059" s="300">
        <v>5.0</v>
      </c>
    </row>
    <row r="3060">
      <c r="A3060">
        <f>IFERROR(__xludf.DUMMYFUNCTION("""COMPUTED_VALUE"""),12.0)</f>
        <v>12</v>
      </c>
      <c r="B3060">
        <f>IFERROR(__xludf.DUMMYFUNCTION("""COMPUTED_VALUE"""),26066.0)</f>
        <v>26066</v>
      </c>
      <c r="C3060" t="str">
        <f>IFERROR(__xludf.DUMMYFUNCTION("""COMPUTED_VALUE"""),"LONDOÑO CUARTAS, MANUEL")</f>
        <v>LONDOÑO CUARTAS, MANUEL</v>
      </c>
      <c r="D3060" t="str">
        <f>IFERROR(__xludf.DUMMYFUNCTION("""COMPUTED_VALUE"""),"ISC")</f>
        <v>ISC</v>
      </c>
      <c r="E3060" s="3">
        <f>IFERROR(__xludf.DUMMYFUNCTION("""COMPUTED_VALUE"""),1.0)</f>
        <v>1</v>
      </c>
      <c r="F3060" s="300">
        <v>1.0</v>
      </c>
      <c r="G3060" s="300">
        <v>1.0</v>
      </c>
      <c r="H3060" s="300">
        <v>1.0</v>
      </c>
      <c r="I3060" s="300">
        <v>1.0</v>
      </c>
      <c r="J3060" s="300">
        <v>1.0</v>
      </c>
      <c r="K3060" s="300">
        <v>1.0</v>
      </c>
      <c r="L3060" s="300">
        <v>1.0</v>
      </c>
      <c r="M3060" s="300">
        <v>1.0</v>
      </c>
      <c r="N3060" s="300">
        <v>8.0</v>
      </c>
      <c r="O3060" s="300" t="s">
        <v>953</v>
      </c>
      <c r="P3060" s="300">
        <v>5.0</v>
      </c>
    </row>
    <row r="3061">
      <c r="A3061">
        <f>IFERROR(__xludf.DUMMYFUNCTION("""COMPUTED_VALUE"""),12.0)</f>
        <v>12</v>
      </c>
      <c r="B3061">
        <f>IFERROR(__xludf.DUMMYFUNCTION("""COMPUTED_VALUE"""),26101.0)</f>
        <v>26101</v>
      </c>
      <c r="C3061" t="str">
        <f>IFERROR(__xludf.DUMMYFUNCTION("""COMPUTED_VALUE"""),"ROBLES RESTREPO, MANOLO")</f>
        <v>ROBLES RESTREPO, MANOLO</v>
      </c>
      <c r="D3061" t="str">
        <f>IFERROR(__xludf.DUMMYFUNCTION("""COMPUTED_VALUE"""),"ISC")</f>
        <v>ISC</v>
      </c>
      <c r="E3061" s="3">
        <f>IFERROR(__xludf.DUMMYFUNCTION("""COMPUTED_VALUE"""),3.0)</f>
        <v>3</v>
      </c>
      <c r="F3061" s="300">
        <v>1.0</v>
      </c>
      <c r="G3061" s="300">
        <v>1.0</v>
      </c>
      <c r="H3061" s="300">
        <v>1.0</v>
      </c>
      <c r="I3061" s="300">
        <v>1.0</v>
      </c>
      <c r="J3061" s="300">
        <v>1.0</v>
      </c>
      <c r="K3061" s="300">
        <v>1.0</v>
      </c>
      <c r="L3061" s="300">
        <v>1.0</v>
      </c>
      <c r="M3061" s="300">
        <v>1.0</v>
      </c>
      <c r="N3061" s="300">
        <v>8.0</v>
      </c>
      <c r="O3061" s="300" t="s">
        <v>955</v>
      </c>
      <c r="P3061" s="300">
        <v>5.0</v>
      </c>
    </row>
    <row r="3062">
      <c r="A3062">
        <f>IFERROR(__xludf.DUMMYFUNCTION("""COMPUTED_VALUE"""),12.0)</f>
        <v>12</v>
      </c>
      <c r="B3062">
        <f>IFERROR(__xludf.DUMMYFUNCTION("""COMPUTED_VALUE"""),26008.0)</f>
        <v>26008</v>
      </c>
      <c r="C3062" t="str">
        <f>IFERROR(__xludf.DUMMYFUNCTION("""COMPUTED_VALUE"""),"ARANGO FERNANDEZ, JUAN")</f>
        <v>ARANGO FERNANDEZ, JUAN</v>
      </c>
      <c r="D3062" t="str">
        <f>IFERROR(__xludf.DUMMYFUNCTION("""COMPUTED_VALUE"""),"ISC")</f>
        <v>ISC</v>
      </c>
      <c r="E3062" s="3">
        <f>IFERROR(__xludf.DUMMYFUNCTION("""COMPUTED_VALUE"""),1.0)</f>
        <v>1</v>
      </c>
      <c r="F3062" s="300">
        <v>1.0</v>
      </c>
      <c r="G3062" s="300">
        <v>1.0</v>
      </c>
      <c r="H3062" s="300">
        <v>1.0</v>
      </c>
      <c r="I3062" s="300">
        <v>1.0</v>
      </c>
      <c r="J3062" s="300">
        <v>1.0</v>
      </c>
      <c r="K3062" s="300">
        <v>1.0</v>
      </c>
      <c r="L3062" s="300">
        <v>1.0</v>
      </c>
      <c r="M3062" s="300">
        <v>1.0</v>
      </c>
      <c r="N3062" s="300">
        <v>8.0</v>
      </c>
      <c r="O3062" s="300" t="s">
        <v>953</v>
      </c>
      <c r="P3062" s="300">
        <v>5.0</v>
      </c>
    </row>
    <row r="3063">
      <c r="A3063">
        <f>IFERROR(__xludf.DUMMYFUNCTION("""COMPUTED_VALUE"""),12.0)</f>
        <v>12</v>
      </c>
      <c r="B3063">
        <f>IFERROR(__xludf.DUMMYFUNCTION("""COMPUTED_VALUE"""),26011.0)</f>
        <v>26011</v>
      </c>
      <c r="C3063" t="str">
        <f>IFERROR(__xludf.DUMMYFUNCTION("""COMPUTED_VALUE"""),"ARROYAVE RESTREPO, CAMILO")</f>
        <v>ARROYAVE RESTREPO, CAMILO</v>
      </c>
      <c r="D3063" t="str">
        <f>IFERROR(__xludf.DUMMYFUNCTION("""COMPUTED_VALUE"""),"ISC")</f>
        <v>ISC</v>
      </c>
      <c r="E3063" s="3">
        <f>IFERROR(__xludf.DUMMYFUNCTION("""COMPUTED_VALUE"""),8.0)</f>
        <v>8</v>
      </c>
      <c r="F3063" s="300">
        <v>1.0</v>
      </c>
      <c r="G3063" s="300">
        <v>1.0</v>
      </c>
      <c r="H3063" s="300">
        <v>1.0</v>
      </c>
      <c r="I3063" s="300">
        <v>1.0</v>
      </c>
      <c r="J3063" s="300">
        <v>1.0</v>
      </c>
      <c r="K3063" s="300">
        <v>1.0</v>
      </c>
      <c r="L3063" s="300">
        <v>1.0</v>
      </c>
      <c r="M3063" s="300">
        <v>1.0</v>
      </c>
      <c r="N3063" s="300">
        <v>8.0</v>
      </c>
      <c r="O3063" s="300" t="s">
        <v>951</v>
      </c>
      <c r="P3063" s="300">
        <v>5.0</v>
      </c>
    </row>
    <row r="3064">
      <c r="A3064">
        <f>IFERROR(__xludf.DUMMYFUNCTION("""COMPUTED_VALUE"""),12.0)</f>
        <v>12</v>
      </c>
      <c r="B3064">
        <f>IFERROR(__xludf.DUMMYFUNCTION("""COMPUTED_VALUE"""),26086.0)</f>
        <v>26086</v>
      </c>
      <c r="C3064" t="str">
        <f>IFERROR(__xludf.DUMMYFUNCTION("""COMPUTED_VALUE"""),"PALACIO SALAZAR, TOMAS")</f>
        <v>PALACIO SALAZAR, TOMAS</v>
      </c>
      <c r="D3064" t="str">
        <f>IFERROR(__xludf.DUMMYFUNCTION("""COMPUTED_VALUE"""),"ISC")</f>
        <v>ISC</v>
      </c>
      <c r="E3064" s="3">
        <f>IFERROR(__xludf.DUMMYFUNCTION("""COMPUTED_VALUE"""),3.0)</f>
        <v>3</v>
      </c>
      <c r="F3064" s="300">
        <v>1.0</v>
      </c>
      <c r="G3064" s="300">
        <v>1.0</v>
      </c>
      <c r="H3064" s="300">
        <v>1.0</v>
      </c>
      <c r="I3064" s="300">
        <v>1.0</v>
      </c>
      <c r="J3064" s="300">
        <v>1.0</v>
      </c>
      <c r="K3064" s="300">
        <v>1.0</v>
      </c>
      <c r="L3064" s="300">
        <v>1.0</v>
      </c>
      <c r="M3064" s="300">
        <v>1.0</v>
      </c>
      <c r="N3064" s="300">
        <v>8.0</v>
      </c>
      <c r="O3064" s="300" t="s">
        <v>955</v>
      </c>
      <c r="P3064" s="300">
        <v>5.0</v>
      </c>
    </row>
    <row r="3065">
      <c r="A3065">
        <f>IFERROR(__xludf.DUMMYFUNCTION("""COMPUTED_VALUE"""),12.0)</f>
        <v>12</v>
      </c>
      <c r="B3065">
        <f>IFERROR(__xludf.DUMMYFUNCTION("""COMPUTED_VALUE"""),25060.0)</f>
        <v>25060</v>
      </c>
      <c r="C3065" t="str">
        <f>IFERROR(__xludf.DUMMYFUNCTION("""COMPUTED_VALUE"""),"LOPEZ MEJIA, SAMUEL")</f>
        <v>LOPEZ MEJIA, SAMUEL</v>
      </c>
      <c r="D3065" t="str">
        <f>IFERROR(__xludf.DUMMYFUNCTION("""COMPUTED_VALUE"""),"ISC")</f>
        <v>ISC</v>
      </c>
      <c r="E3065" s="3">
        <f>IFERROR(__xludf.DUMMYFUNCTION("""COMPUTED_VALUE"""),6.0)</f>
        <v>6</v>
      </c>
      <c r="F3065" s="300">
        <v>1.0</v>
      </c>
      <c r="G3065" s="300">
        <v>1.0</v>
      </c>
      <c r="H3065" s="300">
        <v>1.0</v>
      </c>
      <c r="I3065" s="300">
        <v>1.0</v>
      </c>
      <c r="J3065" s="300">
        <v>1.0</v>
      </c>
      <c r="K3065" s="300">
        <v>1.0</v>
      </c>
      <c r="L3065" s="300">
        <v>1.0</v>
      </c>
      <c r="M3065" s="300">
        <v>1.0</v>
      </c>
      <c r="N3065" s="300">
        <v>8.0</v>
      </c>
      <c r="O3065" s="300" t="s">
        <v>952</v>
      </c>
      <c r="P3065" s="300">
        <v>5.0</v>
      </c>
    </row>
    <row r="3066">
      <c r="A3066">
        <f>IFERROR(__xludf.DUMMYFUNCTION("""COMPUTED_VALUE"""),12.0)</f>
        <v>12</v>
      </c>
      <c r="B3066">
        <f>IFERROR(__xludf.DUMMYFUNCTION("""COMPUTED_VALUE"""),26058.0)</f>
        <v>26058</v>
      </c>
      <c r="C3066" t="str">
        <f>IFERROR(__xludf.DUMMYFUNCTION("""COMPUTED_VALUE"""),"JARAMILLO FERNANDEZ, JULIAN")</f>
        <v>JARAMILLO FERNANDEZ, JULIAN</v>
      </c>
      <c r="D3066" t="str">
        <f>IFERROR(__xludf.DUMMYFUNCTION("""COMPUTED_VALUE"""),"ISC")</f>
        <v>ISC</v>
      </c>
      <c r="E3066" s="3">
        <f>IFERROR(__xludf.DUMMYFUNCTION("""COMPUTED_VALUE"""),3.0)</f>
        <v>3</v>
      </c>
      <c r="F3066" s="300">
        <v>1.0</v>
      </c>
      <c r="G3066" s="300">
        <v>1.0</v>
      </c>
      <c r="H3066" s="300">
        <v>1.0</v>
      </c>
      <c r="I3066" s="300">
        <v>1.0</v>
      </c>
      <c r="J3066" s="300">
        <v>1.0</v>
      </c>
      <c r="K3066" s="300">
        <v>1.0</v>
      </c>
      <c r="L3066" s="300">
        <v>1.0</v>
      </c>
      <c r="M3066" s="300">
        <v>1.0</v>
      </c>
      <c r="N3066" s="300">
        <v>8.0</v>
      </c>
      <c r="O3066" s="300" t="s">
        <v>955</v>
      </c>
      <c r="P3066" s="300">
        <v>5.0</v>
      </c>
    </row>
    <row r="3067">
      <c r="A3067">
        <f>IFERROR(__xludf.DUMMYFUNCTION("""COMPUTED_VALUE"""),12.0)</f>
        <v>12</v>
      </c>
      <c r="B3067">
        <f>IFERROR(__xludf.DUMMYFUNCTION("""COMPUTED_VALUE"""),26121.0)</f>
        <v>26121</v>
      </c>
      <c r="C3067" t="str">
        <f>IFERROR(__xludf.DUMMYFUNCTION("""COMPUTED_VALUE"""),"VILLA MORENO, VICENTE")</f>
        <v>VILLA MORENO, VICENTE</v>
      </c>
      <c r="D3067" t="str">
        <f>IFERROR(__xludf.DUMMYFUNCTION("""COMPUTED_VALUE"""),"ISC")</f>
        <v>ISC</v>
      </c>
      <c r="E3067" s="3">
        <f>IFERROR(__xludf.DUMMYFUNCTION("""COMPUTED_VALUE"""),3.0)</f>
        <v>3</v>
      </c>
      <c r="F3067" s="300">
        <v>1.0</v>
      </c>
      <c r="G3067" s="300">
        <v>1.0</v>
      </c>
      <c r="H3067" s="300">
        <v>1.0</v>
      </c>
      <c r="I3067" s="300">
        <v>1.0</v>
      </c>
      <c r="J3067" s="300">
        <v>1.0</v>
      </c>
      <c r="K3067" s="300">
        <v>1.0</v>
      </c>
      <c r="L3067" s="300">
        <v>1.0</v>
      </c>
      <c r="M3067" s="300">
        <v>1.0</v>
      </c>
      <c r="N3067" s="300">
        <v>8.0</v>
      </c>
      <c r="O3067" s="300" t="s">
        <v>955</v>
      </c>
      <c r="P3067" s="300">
        <v>5.0</v>
      </c>
    </row>
    <row r="3068">
      <c r="A3068">
        <f>IFERROR(__xludf.DUMMYFUNCTION("""COMPUTED_VALUE"""),12.0)</f>
        <v>12</v>
      </c>
      <c r="B3068">
        <f>IFERROR(__xludf.DUMMYFUNCTION("""COMPUTED_VALUE"""),26025.0)</f>
        <v>26025</v>
      </c>
      <c r="C3068" t="str">
        <f>IFERROR(__xludf.DUMMYFUNCTION("""COMPUTED_VALUE"""),"DIEZ RENDON, MARIA ANTONIA")</f>
        <v>DIEZ RENDON, MARIA ANTONIA</v>
      </c>
      <c r="D3068" t="str">
        <f>IFERROR(__xludf.DUMMYFUNCTION("""COMPUTED_VALUE"""),"ISC")</f>
        <v>ISC</v>
      </c>
      <c r="E3068" s="3">
        <f>IFERROR(__xludf.DUMMYFUNCTION("""COMPUTED_VALUE"""),8.0)</f>
        <v>8</v>
      </c>
      <c r="F3068" s="300">
        <v>1.0</v>
      </c>
      <c r="G3068" s="300">
        <v>1.0</v>
      </c>
      <c r="H3068" s="300">
        <v>1.0</v>
      </c>
      <c r="I3068" s="300">
        <v>1.0</v>
      </c>
      <c r="J3068" s="300">
        <v>1.0</v>
      </c>
      <c r="K3068" s="300">
        <v>1.0</v>
      </c>
      <c r="L3068" s="300">
        <v>1.0</v>
      </c>
      <c r="M3068" s="300">
        <v>1.0</v>
      </c>
      <c r="N3068" s="300">
        <v>8.0</v>
      </c>
      <c r="O3068" s="300" t="s">
        <v>951</v>
      </c>
      <c r="P3068" s="300">
        <v>5.0</v>
      </c>
    </row>
    <row r="3069">
      <c r="A3069">
        <f>IFERROR(__xludf.DUMMYFUNCTION("""COMPUTED_VALUE"""),12.0)</f>
        <v>12</v>
      </c>
      <c r="B3069">
        <f>IFERROR(__xludf.DUMMYFUNCTION("""COMPUTED_VALUE"""),26014.0)</f>
        <v>26014</v>
      </c>
      <c r="C3069" t="str">
        <f>IFERROR(__xludf.DUMMYFUNCTION("""COMPUTED_VALUE"""),"BARRIENTOS BUSTAMANTE, VALENTINA")</f>
        <v>BARRIENTOS BUSTAMANTE, VALENTINA</v>
      </c>
      <c r="D3069" t="str">
        <f>IFERROR(__xludf.DUMMYFUNCTION("""COMPUTED_VALUE"""),"AP Research")</f>
        <v>AP Research</v>
      </c>
      <c r="E3069" s="3">
        <f>IFERROR(__xludf.DUMMYFUNCTION("""COMPUTED_VALUE"""),1.0)</f>
        <v>1</v>
      </c>
      <c r="F3069" s="300">
        <v>1.0</v>
      </c>
      <c r="G3069" s="300">
        <v>1.0</v>
      </c>
      <c r="H3069" s="300">
        <v>1.0</v>
      </c>
      <c r="I3069" s="300">
        <v>1.0</v>
      </c>
      <c r="J3069" s="300">
        <v>1.0</v>
      </c>
      <c r="K3069" s="300">
        <v>1.0</v>
      </c>
      <c r="L3069" s="300">
        <v>1.0</v>
      </c>
      <c r="M3069" s="300">
        <v>1.0</v>
      </c>
      <c r="N3069" s="300">
        <v>8.0</v>
      </c>
      <c r="O3069" s="300" t="s">
        <v>950</v>
      </c>
      <c r="P3069" s="300">
        <v>1.0</v>
      </c>
    </row>
    <row r="3070">
      <c r="A3070">
        <f>IFERROR(__xludf.DUMMYFUNCTION("""COMPUTED_VALUE"""),12.0)</f>
        <v>12</v>
      </c>
      <c r="B3070">
        <f>IFERROR(__xludf.DUMMYFUNCTION("""COMPUTED_VALUE"""),26071.0)</f>
        <v>26071</v>
      </c>
      <c r="C3070" t="str">
        <f>IFERROR(__xludf.DUMMYFUNCTION("""COMPUTED_VALUE"""),"MENA TELLEZ, TOMAS FELIPE")</f>
        <v>MENA TELLEZ, TOMAS FELIPE</v>
      </c>
      <c r="D3070" t="str">
        <f>IFERROR(__xludf.DUMMYFUNCTION("""COMPUTED_VALUE"""),"AP Research")</f>
        <v>AP Research</v>
      </c>
      <c r="E3070" s="3">
        <f>IFERROR(__xludf.DUMMYFUNCTION("""COMPUTED_VALUE"""),1.0)</f>
        <v>1</v>
      </c>
      <c r="F3070" s="300">
        <v>1.0</v>
      </c>
      <c r="G3070" s="300">
        <v>1.0</v>
      </c>
      <c r="H3070" s="300">
        <v>1.0</v>
      </c>
      <c r="I3070" s="300">
        <v>1.0</v>
      </c>
      <c r="J3070" s="300">
        <v>1.0</v>
      </c>
      <c r="K3070" s="300">
        <v>1.0</v>
      </c>
      <c r="L3070" s="300">
        <v>1.0</v>
      </c>
      <c r="M3070" s="300">
        <v>1.0</v>
      </c>
      <c r="N3070" s="300">
        <v>8.0</v>
      </c>
      <c r="O3070" s="300" t="s">
        <v>950</v>
      </c>
      <c r="P3070" s="300">
        <v>1.0</v>
      </c>
    </row>
    <row r="3071">
      <c r="A3071">
        <f>IFERROR(__xludf.DUMMYFUNCTION("""COMPUTED_VALUE"""),12.0)</f>
        <v>12</v>
      </c>
      <c r="B3071">
        <f>IFERROR(__xludf.DUMMYFUNCTION("""COMPUTED_VALUE"""),26108.0)</f>
        <v>26108</v>
      </c>
      <c r="C3071" t="str">
        <f>IFERROR(__xludf.DUMMYFUNCTION("""COMPUTED_VALUE"""),"THIRIEZ VILLA, SOFIA")</f>
        <v>THIRIEZ VILLA, SOFIA</v>
      </c>
      <c r="D3071" t="str">
        <f>IFERROR(__xludf.DUMMYFUNCTION("""COMPUTED_VALUE"""),"ISC")</f>
        <v>ISC</v>
      </c>
      <c r="E3071" s="3">
        <f>IFERROR(__xludf.DUMMYFUNCTION("""COMPUTED_VALUE"""),6.0)</f>
        <v>6</v>
      </c>
      <c r="F3071" s="300">
        <v>1.0</v>
      </c>
      <c r="G3071" s="300">
        <v>1.0</v>
      </c>
      <c r="H3071" s="300">
        <v>1.0</v>
      </c>
      <c r="I3071" s="300">
        <v>1.0</v>
      </c>
      <c r="J3071" s="300">
        <v>1.0</v>
      </c>
      <c r="K3071" s="300">
        <v>1.0</v>
      </c>
      <c r="L3071" s="300">
        <v>1.0</v>
      </c>
      <c r="M3071" s="300">
        <v>1.0</v>
      </c>
      <c r="N3071" s="300">
        <v>8.0</v>
      </c>
      <c r="O3071" s="300" t="s">
        <v>952</v>
      </c>
      <c r="P3071" s="300">
        <v>5.0</v>
      </c>
    </row>
    <row r="3072">
      <c r="A3072">
        <f>IFERROR(__xludf.DUMMYFUNCTION("""COMPUTED_VALUE"""),12.0)</f>
        <v>12</v>
      </c>
      <c r="B3072">
        <f>IFERROR(__xludf.DUMMYFUNCTION("""COMPUTED_VALUE"""),26082.0)</f>
        <v>26082</v>
      </c>
      <c r="C3072" t="str">
        <f>IFERROR(__xludf.DUMMYFUNCTION("""COMPUTED_VALUE"""),"OREJUELA GAVIRIA, MATILDA")</f>
        <v>OREJUELA GAVIRIA, MATILDA</v>
      </c>
      <c r="D3072" t="str">
        <f>IFERROR(__xludf.DUMMYFUNCTION("""COMPUTED_VALUE"""),"ISC")</f>
        <v>ISC</v>
      </c>
      <c r="E3072" s="3">
        <f>IFERROR(__xludf.DUMMYFUNCTION("""COMPUTED_VALUE"""),6.0)</f>
        <v>6</v>
      </c>
      <c r="F3072" s="300">
        <v>1.0</v>
      </c>
      <c r="G3072" s="300">
        <v>1.0</v>
      </c>
      <c r="H3072" s="300">
        <v>1.0</v>
      </c>
      <c r="I3072" s="300">
        <v>1.0</v>
      </c>
      <c r="J3072" s="300">
        <v>1.0</v>
      </c>
      <c r="K3072" s="300">
        <v>1.0</v>
      </c>
      <c r="L3072" s="300">
        <v>1.0</v>
      </c>
      <c r="M3072" s="300">
        <v>1.0</v>
      </c>
      <c r="N3072" s="300">
        <v>8.0</v>
      </c>
      <c r="O3072" s="300" t="s">
        <v>952</v>
      </c>
      <c r="P3072" s="300">
        <v>5.0</v>
      </c>
    </row>
    <row r="3073">
      <c r="A3073">
        <f>IFERROR(__xludf.DUMMYFUNCTION("""COMPUTED_VALUE"""),12.0)</f>
        <v>12</v>
      </c>
      <c r="B3073">
        <f>IFERROR(__xludf.DUMMYFUNCTION("""COMPUTED_VALUE"""),26073.0)</f>
        <v>26073</v>
      </c>
      <c r="C3073" t="str">
        <f>IFERROR(__xludf.DUMMYFUNCTION("""COMPUTED_VALUE"""),"MESA ARISTIZABAL, SARA")</f>
        <v>MESA ARISTIZABAL, SARA</v>
      </c>
      <c r="D3073" t="str">
        <f>IFERROR(__xludf.DUMMYFUNCTION("""COMPUTED_VALUE"""),"ISC")</f>
        <v>ISC</v>
      </c>
      <c r="E3073" s="3">
        <f>IFERROR(__xludf.DUMMYFUNCTION("""COMPUTED_VALUE"""),6.0)</f>
        <v>6</v>
      </c>
      <c r="F3073" s="300">
        <v>1.0</v>
      </c>
      <c r="G3073" s="300">
        <v>1.0</v>
      </c>
      <c r="H3073" s="300">
        <v>1.0</v>
      </c>
      <c r="I3073" s="300">
        <v>1.0</v>
      </c>
      <c r="J3073" s="300">
        <v>1.0</v>
      </c>
      <c r="K3073" s="300">
        <v>1.0</v>
      </c>
      <c r="L3073" s="300">
        <v>1.0</v>
      </c>
      <c r="M3073" s="300">
        <v>1.0</v>
      </c>
      <c r="N3073" s="300">
        <v>8.0</v>
      </c>
      <c r="O3073" s="300" t="s">
        <v>952</v>
      </c>
      <c r="P3073" s="300">
        <v>5.0</v>
      </c>
    </row>
    <row r="3074">
      <c r="A3074">
        <f>IFERROR(__xludf.DUMMYFUNCTION("""COMPUTED_VALUE"""),12.0)</f>
        <v>12</v>
      </c>
      <c r="B3074">
        <f>IFERROR(__xludf.DUMMYFUNCTION("""COMPUTED_VALUE"""),26026.0)</f>
        <v>26026</v>
      </c>
      <c r="C3074" t="str">
        <f>IFERROR(__xludf.DUMMYFUNCTION("""COMPUTED_VALUE"""),"ECHAVARRIA JARAMILLO, VICENTE")</f>
        <v>ECHAVARRIA JARAMILLO, VICENTE</v>
      </c>
      <c r="D3074" t="str">
        <f>IFERROR(__xludf.DUMMYFUNCTION("""COMPUTED_VALUE"""),"AP Research")</f>
        <v>AP Research</v>
      </c>
      <c r="E3074" s="3">
        <f>IFERROR(__xludf.DUMMYFUNCTION("""COMPUTED_VALUE"""),1.0)</f>
        <v>1</v>
      </c>
      <c r="F3074" s="300">
        <v>1.0</v>
      </c>
      <c r="G3074" s="300">
        <v>1.0</v>
      </c>
      <c r="H3074" s="300">
        <v>1.0</v>
      </c>
      <c r="I3074" s="300">
        <v>1.0</v>
      </c>
      <c r="J3074" s="300">
        <v>1.0</v>
      </c>
      <c r="K3074" s="300">
        <v>1.0</v>
      </c>
      <c r="L3074" s="300">
        <v>1.0</v>
      </c>
      <c r="M3074" s="300">
        <v>1.0</v>
      </c>
      <c r="N3074" s="300">
        <v>8.0</v>
      </c>
      <c r="O3074" s="300" t="s">
        <v>950</v>
      </c>
      <c r="P3074" s="300">
        <v>1.0</v>
      </c>
    </row>
    <row r="3075">
      <c r="A3075">
        <f>IFERROR(__xludf.DUMMYFUNCTION("""COMPUTED_VALUE"""),12.0)</f>
        <v>12</v>
      </c>
      <c r="B3075">
        <f>IFERROR(__xludf.DUMMYFUNCTION("""COMPUTED_VALUE"""),25008.0)</f>
        <v>25008</v>
      </c>
      <c r="C3075" t="str">
        <f>IFERROR(__xludf.DUMMYFUNCTION("""COMPUTED_VALUE"""),"ARANGO CASTRO, IVAN SANTIAGO")</f>
        <v>ARANGO CASTRO, IVAN SANTIAGO</v>
      </c>
      <c r="D3075" t="str">
        <f>IFERROR(__xludf.DUMMYFUNCTION("""COMPUTED_VALUE"""),"ISC")</f>
        <v>ISC</v>
      </c>
      <c r="E3075" s="3">
        <f>IFERROR(__xludf.DUMMYFUNCTION("""COMPUTED_VALUE"""),6.0)</f>
        <v>6</v>
      </c>
      <c r="F3075" s="300">
        <v>1.0</v>
      </c>
      <c r="G3075" s="300">
        <v>1.0</v>
      </c>
      <c r="H3075" s="300">
        <v>1.0</v>
      </c>
      <c r="I3075" s="300">
        <v>1.0</v>
      </c>
      <c r="J3075" s="300">
        <v>1.0</v>
      </c>
      <c r="K3075" s="300">
        <v>1.0</v>
      </c>
      <c r="L3075" s="300">
        <v>1.0</v>
      </c>
      <c r="M3075" s="300">
        <v>1.0</v>
      </c>
      <c r="N3075" s="300">
        <v>8.0</v>
      </c>
      <c r="O3075" s="300" t="s">
        <v>952</v>
      </c>
      <c r="P3075" s="300">
        <v>5.0</v>
      </c>
    </row>
    <row r="3076">
      <c r="A3076">
        <f>IFERROR(__xludf.DUMMYFUNCTION("""COMPUTED_VALUE"""),12.0)</f>
        <v>12</v>
      </c>
      <c r="B3076">
        <f>IFERROR(__xludf.DUMMYFUNCTION("""COMPUTED_VALUE"""),26079.0)</f>
        <v>26079</v>
      </c>
      <c r="C3076" t="str">
        <f>IFERROR(__xludf.DUMMYFUNCTION("""COMPUTED_VALUE"""),"OCHOA PODESTA, CAMILA")</f>
        <v>OCHOA PODESTA, CAMILA</v>
      </c>
      <c r="D3076" t="str">
        <f>IFERROR(__xludf.DUMMYFUNCTION("""COMPUTED_VALUE"""),"ISC")</f>
        <v>ISC</v>
      </c>
      <c r="E3076" s="3">
        <f>IFERROR(__xludf.DUMMYFUNCTION("""COMPUTED_VALUE"""),3.0)</f>
        <v>3</v>
      </c>
      <c r="F3076" s="300">
        <v>1.0</v>
      </c>
      <c r="G3076" s="300">
        <v>1.0</v>
      </c>
      <c r="H3076" s="300">
        <v>1.0</v>
      </c>
      <c r="I3076" s="300">
        <v>1.0</v>
      </c>
      <c r="J3076" s="300">
        <v>1.0</v>
      </c>
      <c r="K3076" s="300">
        <v>1.0</v>
      </c>
      <c r="L3076" s="300">
        <v>1.0</v>
      </c>
      <c r="M3076" s="300">
        <v>1.0</v>
      </c>
      <c r="N3076" s="300">
        <v>8.0</v>
      </c>
      <c r="O3076" s="300" t="s">
        <v>955</v>
      </c>
      <c r="P3076" s="300">
        <v>5.0</v>
      </c>
    </row>
    <row r="3077">
      <c r="A3077">
        <f>IFERROR(__xludf.DUMMYFUNCTION("""COMPUTED_VALUE"""),12.0)</f>
        <v>12</v>
      </c>
      <c r="B3077">
        <f>IFERROR(__xludf.DUMMYFUNCTION("""COMPUTED_VALUE"""),26051.0)</f>
        <v>26051</v>
      </c>
      <c r="C3077" t="str">
        <f>IFERROR(__xludf.DUMMYFUNCTION("""COMPUTED_VALUE"""),"HINESTROZA ESCOBAR, IRENE")</f>
        <v>HINESTROZA ESCOBAR, IRENE</v>
      </c>
      <c r="D3077" t="str">
        <f>IFERROR(__xludf.DUMMYFUNCTION("""COMPUTED_VALUE"""),"ISC")</f>
        <v>ISC</v>
      </c>
      <c r="E3077" s="3">
        <f>IFERROR(__xludf.DUMMYFUNCTION("""COMPUTED_VALUE"""),4.0)</f>
        <v>4</v>
      </c>
      <c r="F3077" s="300">
        <v>1.0</v>
      </c>
      <c r="G3077" s="300">
        <v>1.0</v>
      </c>
      <c r="H3077" s="300">
        <v>1.0</v>
      </c>
      <c r="I3077" s="300">
        <v>1.0</v>
      </c>
      <c r="J3077" s="300">
        <v>1.0</v>
      </c>
      <c r="K3077" s="300">
        <v>1.0</v>
      </c>
      <c r="L3077" s="300">
        <v>1.0</v>
      </c>
      <c r="M3077" s="300">
        <v>1.0</v>
      </c>
      <c r="N3077" s="300">
        <v>8.0</v>
      </c>
      <c r="O3077" s="300" t="s">
        <v>954</v>
      </c>
      <c r="P3077" s="300">
        <v>5.0</v>
      </c>
    </row>
    <row r="3078">
      <c r="A3078">
        <f>IFERROR(__xludf.DUMMYFUNCTION("""COMPUTED_VALUE"""),12.0)</f>
        <v>12</v>
      </c>
      <c r="B3078">
        <f>IFERROR(__xludf.DUMMYFUNCTION("""COMPUTED_VALUE"""),26036.0)</f>
        <v>26036</v>
      </c>
      <c r="C3078" t="str">
        <f>IFERROR(__xludf.DUMMYFUNCTION("""COMPUTED_VALUE"""),"GAVIRIA LONDOÑO, ALEJANDRO")</f>
        <v>GAVIRIA LONDOÑO, ALEJANDRO</v>
      </c>
      <c r="D3078" t="str">
        <f>IFERROR(__xludf.DUMMYFUNCTION("""COMPUTED_VALUE"""),"ISC")</f>
        <v>ISC</v>
      </c>
      <c r="E3078" s="3">
        <f>IFERROR(__xludf.DUMMYFUNCTION("""COMPUTED_VALUE"""),6.0)</f>
        <v>6</v>
      </c>
      <c r="F3078" s="300">
        <v>1.0</v>
      </c>
      <c r="G3078" s="300">
        <v>1.0</v>
      </c>
      <c r="H3078" s="300">
        <v>1.0</v>
      </c>
      <c r="I3078" s="300">
        <v>1.0</v>
      </c>
      <c r="J3078" s="300">
        <v>1.0</v>
      </c>
      <c r="K3078" s="300">
        <v>1.0</v>
      </c>
      <c r="L3078" s="300">
        <v>1.0</v>
      </c>
      <c r="M3078" s="300">
        <v>1.0</v>
      </c>
      <c r="N3078" s="300">
        <v>8.0</v>
      </c>
      <c r="O3078" s="300" t="s">
        <v>952</v>
      </c>
      <c r="P3078" s="300">
        <v>5.0</v>
      </c>
    </row>
    <row r="3079">
      <c r="A3079">
        <f>IFERROR(__xludf.DUMMYFUNCTION("""COMPUTED_VALUE"""),12.0)</f>
        <v>12</v>
      </c>
      <c r="B3079" s="406">
        <f>IFERROR(__xludf.DUMMYFUNCTION("""COMPUTED_VALUE"""),26100.0)</f>
        <v>26100</v>
      </c>
      <c r="C3079" t="str">
        <f>IFERROR(__xludf.DUMMYFUNCTION("""COMPUTED_VALUE"""),"RESTREPO TORO, LUCIANO")</f>
        <v>RESTREPO TORO, LUCIANO</v>
      </c>
      <c r="D3079" t="str">
        <f>IFERROR(__xludf.DUMMYFUNCTION("""COMPUTED_VALUE"""),"ISC")</f>
        <v>ISC</v>
      </c>
      <c r="E3079" s="3">
        <f>IFERROR(__xludf.DUMMYFUNCTION("""COMPUTED_VALUE"""),4.0)</f>
        <v>4</v>
      </c>
      <c r="F3079" s="300">
        <v>1.0</v>
      </c>
      <c r="G3079" s="300">
        <v>1.0</v>
      </c>
      <c r="H3079" s="300">
        <v>1.0</v>
      </c>
      <c r="I3079" s="300">
        <v>1.0</v>
      </c>
      <c r="J3079" s="300">
        <v>1.0</v>
      </c>
      <c r="K3079" s="300">
        <v>1.0</v>
      </c>
      <c r="L3079" s="300">
        <v>1.0</v>
      </c>
      <c r="M3079" s="300">
        <v>1.0</v>
      </c>
      <c r="N3079" s="300">
        <v>8.0</v>
      </c>
      <c r="O3079" s="300" t="s">
        <v>954</v>
      </c>
      <c r="P3079" s="300">
        <v>5.0</v>
      </c>
    </row>
    <row r="3080">
      <c r="A3080">
        <f>IFERROR(__xludf.DUMMYFUNCTION("""COMPUTED_VALUE"""),12.0)</f>
        <v>12</v>
      </c>
      <c r="B3080">
        <f>IFERROR(__xludf.DUMMYFUNCTION("""COMPUTED_VALUE"""),26122.0)</f>
        <v>26122</v>
      </c>
      <c r="C3080" t="str">
        <f>IFERROR(__xludf.DUMMYFUNCTION("""COMPUTED_VALUE"""),"VILLEGAS PELAEZ, CRISTOBAL")</f>
        <v>VILLEGAS PELAEZ, CRISTOBAL</v>
      </c>
      <c r="D3080" t="str">
        <f>IFERROR(__xludf.DUMMYFUNCTION("""COMPUTED_VALUE"""),"ISC")</f>
        <v>ISC</v>
      </c>
      <c r="E3080" s="3">
        <f>IFERROR(__xludf.DUMMYFUNCTION("""COMPUTED_VALUE"""),4.0)</f>
        <v>4</v>
      </c>
      <c r="F3080" s="300">
        <v>1.0</v>
      </c>
      <c r="G3080" s="300">
        <v>1.0</v>
      </c>
      <c r="H3080" s="300">
        <v>1.0</v>
      </c>
      <c r="I3080" s="300">
        <v>1.0</v>
      </c>
      <c r="J3080" s="300">
        <v>1.0</v>
      </c>
      <c r="K3080" s="300">
        <v>1.0</v>
      </c>
      <c r="L3080" s="300">
        <v>1.0</v>
      </c>
      <c r="M3080" s="300">
        <v>1.0</v>
      </c>
      <c r="N3080" s="300">
        <v>8.0</v>
      </c>
      <c r="O3080" s="300" t="s">
        <v>954</v>
      </c>
      <c r="P3080" s="300">
        <v>5.0</v>
      </c>
    </row>
    <row r="3081">
      <c r="A3081">
        <f>IFERROR(__xludf.DUMMYFUNCTION("""COMPUTED_VALUE"""),12.0)</f>
        <v>12</v>
      </c>
      <c r="B3081">
        <f>IFERROR(__xludf.DUMMYFUNCTION("""COMPUTED_VALUE"""),26142.0)</f>
        <v>26142</v>
      </c>
      <c r="C3081" t="str">
        <f>IFERROR(__xludf.DUMMYFUNCTION("""COMPUTED_VALUE"""),"BERNAL ESTRADA, JERONIMO")</f>
        <v>BERNAL ESTRADA, JERONIMO</v>
      </c>
      <c r="D3081" t="str">
        <f>IFERROR(__xludf.DUMMYFUNCTION("""COMPUTED_VALUE"""),"ISC")</f>
        <v>ISC</v>
      </c>
      <c r="E3081" s="3">
        <f>IFERROR(__xludf.DUMMYFUNCTION("""COMPUTED_VALUE"""),6.0)</f>
        <v>6</v>
      </c>
      <c r="F3081" s="300">
        <v>1.0</v>
      </c>
      <c r="G3081" s="300">
        <v>1.0</v>
      </c>
      <c r="H3081" s="300">
        <v>1.0</v>
      </c>
      <c r="I3081" s="300">
        <v>1.0</v>
      </c>
      <c r="J3081" s="300">
        <v>1.0</v>
      </c>
      <c r="K3081" s="300">
        <v>1.0</v>
      </c>
      <c r="L3081" s="300">
        <v>1.0</v>
      </c>
      <c r="M3081" s="300">
        <v>1.0</v>
      </c>
      <c r="N3081" s="300">
        <v>8.0</v>
      </c>
      <c r="O3081" s="300" t="s">
        <v>952</v>
      </c>
      <c r="P3081" s="300">
        <v>5.0</v>
      </c>
    </row>
    <row r="3082">
      <c r="A3082">
        <f>IFERROR(__xludf.DUMMYFUNCTION("""COMPUTED_VALUE"""),12.0)</f>
        <v>12</v>
      </c>
      <c r="B3082">
        <f>IFERROR(__xludf.DUMMYFUNCTION("""COMPUTED_VALUE"""),26090.0)</f>
        <v>26090</v>
      </c>
      <c r="C3082" t="str">
        <f>IFERROR(__xludf.DUMMYFUNCTION("""COMPUTED_VALUE"""),"PETTIT PELAEZ, JUANITA")</f>
        <v>PETTIT PELAEZ, JUANITA</v>
      </c>
      <c r="D3082" t="str">
        <f>IFERROR(__xludf.DUMMYFUNCTION("""COMPUTED_VALUE"""),"ISC")</f>
        <v>ISC</v>
      </c>
      <c r="E3082" s="3">
        <f>IFERROR(__xludf.DUMMYFUNCTION("""COMPUTED_VALUE"""),3.0)</f>
        <v>3</v>
      </c>
      <c r="F3082" s="300">
        <v>1.0</v>
      </c>
      <c r="G3082" s="300">
        <v>1.0</v>
      </c>
      <c r="H3082" s="300">
        <v>1.0</v>
      </c>
      <c r="I3082" s="300">
        <v>1.0</v>
      </c>
      <c r="J3082" s="300">
        <v>1.0</v>
      </c>
      <c r="K3082" s="300">
        <v>1.0</v>
      </c>
      <c r="L3082" s="300">
        <v>1.0</v>
      </c>
      <c r="M3082" s="300">
        <v>1.0</v>
      </c>
      <c r="N3082" s="300">
        <v>8.0</v>
      </c>
      <c r="O3082" s="300" t="s">
        <v>955</v>
      </c>
      <c r="P3082" s="300">
        <v>5.0</v>
      </c>
    </row>
    <row r="3083">
      <c r="A3083">
        <f>IFERROR(__xludf.DUMMYFUNCTION("""COMPUTED_VALUE"""),12.0)</f>
        <v>12</v>
      </c>
      <c r="B3083">
        <f>IFERROR(__xludf.DUMMYFUNCTION("""COMPUTED_VALUE"""),26132.0)</f>
        <v>26132</v>
      </c>
      <c r="C3083" t="str">
        <f>IFERROR(__xludf.DUMMYFUNCTION("""COMPUTED_VALUE"""),"OLIVEIRA CASTAÑO, MIRANDA")</f>
        <v>OLIVEIRA CASTAÑO, MIRANDA</v>
      </c>
      <c r="D3083" t="str">
        <f>IFERROR(__xludf.DUMMYFUNCTION("""COMPUTED_VALUE"""),"ISC")</f>
        <v>ISC</v>
      </c>
      <c r="E3083" s="3">
        <f>IFERROR(__xludf.DUMMYFUNCTION("""COMPUTED_VALUE"""),3.0)</f>
        <v>3</v>
      </c>
      <c r="F3083" s="300">
        <v>1.0</v>
      </c>
      <c r="G3083" s="300">
        <v>1.0</v>
      </c>
      <c r="H3083" s="300">
        <v>1.0</v>
      </c>
      <c r="I3083" s="300">
        <v>1.0</v>
      </c>
      <c r="J3083" s="300">
        <v>1.0</v>
      </c>
      <c r="K3083" s="300">
        <v>1.0</v>
      </c>
      <c r="L3083" s="300">
        <v>1.0</v>
      </c>
      <c r="M3083" s="300">
        <v>1.0</v>
      </c>
      <c r="N3083" s="300">
        <v>8.0</v>
      </c>
      <c r="O3083" s="300" t="s">
        <v>955</v>
      </c>
      <c r="P3083" s="300">
        <v>5.0</v>
      </c>
    </row>
    <row r="3084">
      <c r="A3084">
        <f>IFERROR(__xludf.DUMMYFUNCTION("""COMPUTED_VALUE"""),12.0)</f>
        <v>12</v>
      </c>
      <c r="B3084">
        <f>IFERROR(__xludf.DUMMYFUNCTION("""COMPUTED_VALUE"""),26109.0)</f>
        <v>26109</v>
      </c>
      <c r="C3084" t="str">
        <f>IFERROR(__xludf.DUMMYFUNCTION("""COMPUTED_VALUE"""),"TORRES GAVIRIA, MARIANA")</f>
        <v>TORRES GAVIRIA, MARIANA</v>
      </c>
      <c r="D3084" t="str">
        <f>IFERROR(__xludf.DUMMYFUNCTION("""COMPUTED_VALUE"""),"ISC")</f>
        <v>ISC</v>
      </c>
      <c r="E3084" s="3">
        <f>IFERROR(__xludf.DUMMYFUNCTION("""COMPUTED_VALUE"""),6.0)</f>
        <v>6</v>
      </c>
      <c r="F3084" s="300">
        <v>1.0</v>
      </c>
      <c r="G3084" s="300">
        <v>1.0</v>
      </c>
      <c r="H3084" s="300">
        <v>1.0</v>
      </c>
      <c r="I3084" s="300">
        <v>1.0</v>
      </c>
      <c r="J3084" s="300">
        <v>1.0</v>
      </c>
      <c r="K3084" s="300">
        <v>1.0</v>
      </c>
      <c r="L3084" s="300">
        <v>1.0</v>
      </c>
      <c r="M3084" s="300">
        <v>1.0</v>
      </c>
      <c r="N3084" s="300">
        <v>8.0</v>
      </c>
      <c r="O3084" s="300" t="s">
        <v>952</v>
      </c>
      <c r="P3084" s="300">
        <v>5.0</v>
      </c>
    </row>
    <row r="3085">
      <c r="A3085">
        <f>IFERROR(__xludf.DUMMYFUNCTION("""COMPUTED_VALUE"""),12.0)</f>
        <v>12</v>
      </c>
      <c r="B3085">
        <f>IFERROR(__xludf.DUMMYFUNCTION("""COMPUTED_VALUE"""),26027.0)</f>
        <v>26027</v>
      </c>
      <c r="C3085" t="str">
        <f>IFERROR(__xludf.DUMMYFUNCTION("""COMPUTED_VALUE"""),"ESCANDON LIBOS, MARIA")</f>
        <v>ESCANDON LIBOS, MARIA</v>
      </c>
      <c r="D3085" t="str">
        <f>IFERROR(__xludf.DUMMYFUNCTION("""COMPUTED_VALUE"""),"ISC")</f>
        <v>ISC</v>
      </c>
      <c r="E3085" s="3">
        <f>IFERROR(__xludf.DUMMYFUNCTION("""COMPUTED_VALUE"""),6.0)</f>
        <v>6</v>
      </c>
      <c r="F3085" s="300">
        <v>1.0</v>
      </c>
      <c r="G3085" s="300">
        <v>1.0</v>
      </c>
      <c r="H3085" s="300">
        <v>1.0</v>
      </c>
      <c r="I3085" s="300">
        <v>1.0</v>
      </c>
      <c r="J3085" s="300">
        <v>1.0</v>
      </c>
      <c r="K3085" s="300">
        <v>1.0</v>
      </c>
      <c r="L3085" s="300">
        <v>1.0</v>
      </c>
      <c r="M3085" s="300">
        <v>1.0</v>
      </c>
      <c r="N3085" s="300">
        <v>8.0</v>
      </c>
      <c r="O3085" s="300" t="s">
        <v>952</v>
      </c>
      <c r="P3085" s="300">
        <v>5.0</v>
      </c>
    </row>
    <row r="3086">
      <c r="A3086">
        <f>IFERROR(__xludf.DUMMYFUNCTION("""COMPUTED_VALUE"""),12.0)</f>
        <v>12</v>
      </c>
      <c r="B3086">
        <f>IFERROR(__xludf.DUMMYFUNCTION("""COMPUTED_VALUE"""),26019.0)</f>
        <v>26019</v>
      </c>
      <c r="C3086" t="str">
        <f>IFERROR(__xludf.DUMMYFUNCTION("""COMPUTED_VALUE"""),"CADAVID VELASQUEZ, MARTIN")</f>
        <v>CADAVID VELASQUEZ, MARTIN</v>
      </c>
      <c r="D3086" t="str">
        <f>IFERROR(__xludf.DUMMYFUNCTION("""COMPUTED_VALUE"""),"ISC")</f>
        <v>ISC</v>
      </c>
      <c r="E3086" s="3">
        <f>IFERROR(__xludf.DUMMYFUNCTION("""COMPUTED_VALUE"""),4.0)</f>
        <v>4</v>
      </c>
      <c r="F3086" s="300">
        <v>1.0</v>
      </c>
      <c r="G3086" s="300">
        <v>1.0</v>
      </c>
      <c r="H3086" s="300">
        <v>1.0</v>
      </c>
      <c r="I3086" s="300">
        <v>1.0</v>
      </c>
      <c r="J3086" s="300">
        <v>1.0</v>
      </c>
      <c r="K3086" s="300">
        <v>1.0</v>
      </c>
      <c r="L3086" s="300">
        <v>1.0</v>
      </c>
      <c r="M3086" s="300">
        <v>1.0</v>
      </c>
      <c r="N3086" s="300">
        <v>8.0</v>
      </c>
      <c r="O3086" s="300" t="s">
        <v>954</v>
      </c>
      <c r="P3086" s="300">
        <v>5.0</v>
      </c>
    </row>
    <row r="3087">
      <c r="A3087">
        <f>IFERROR(__xludf.DUMMYFUNCTION("""COMPUTED_VALUE"""),12.0)</f>
        <v>12</v>
      </c>
      <c r="B3087">
        <f>IFERROR(__xludf.DUMMYFUNCTION("""COMPUTED_VALUE"""),26031.0)</f>
        <v>26031</v>
      </c>
      <c r="C3087" t="str">
        <f>IFERROR(__xludf.DUMMYFUNCTION("""COMPUTED_VALUE"""),"FRANCO GOMEZ, DANIEL")</f>
        <v>FRANCO GOMEZ, DANIEL</v>
      </c>
      <c r="D3087" t="str">
        <f>IFERROR(__xludf.DUMMYFUNCTION("""COMPUTED_VALUE"""),"ISC")</f>
        <v>ISC</v>
      </c>
      <c r="E3087" s="3">
        <f>IFERROR(__xludf.DUMMYFUNCTION("""COMPUTED_VALUE"""),6.0)</f>
        <v>6</v>
      </c>
      <c r="F3087" s="300">
        <v>1.0</v>
      </c>
      <c r="G3087" s="300">
        <v>1.0</v>
      </c>
      <c r="H3087" s="300">
        <v>1.0</v>
      </c>
      <c r="I3087" s="300">
        <v>1.0</v>
      </c>
      <c r="J3087" s="300">
        <v>1.0</v>
      </c>
      <c r="K3087" s="300">
        <v>1.0</v>
      </c>
      <c r="L3087" s="300">
        <v>1.0</v>
      </c>
      <c r="M3087" s="300">
        <v>1.0</v>
      </c>
      <c r="N3087" s="300">
        <v>8.0</v>
      </c>
      <c r="O3087" s="300" t="s">
        <v>952</v>
      </c>
      <c r="P3087" s="300">
        <v>5.0</v>
      </c>
    </row>
    <row r="3088">
      <c r="A3088">
        <f>IFERROR(__xludf.DUMMYFUNCTION("""COMPUTED_VALUE"""),12.0)</f>
        <v>12</v>
      </c>
      <c r="B3088">
        <f>IFERROR(__xludf.DUMMYFUNCTION("""COMPUTED_VALUE"""),26047.0)</f>
        <v>26047</v>
      </c>
      <c r="C3088" t="str">
        <f>IFERROR(__xludf.DUMMYFUNCTION("""COMPUTED_VALUE"""),"HENAO ISAZA, LUCIANO")</f>
        <v>HENAO ISAZA, LUCIANO</v>
      </c>
      <c r="D3088" t="str">
        <f>IFERROR(__xludf.DUMMYFUNCTION("""COMPUTED_VALUE"""),"ISC")</f>
        <v>ISC</v>
      </c>
      <c r="E3088" s="3">
        <f>IFERROR(__xludf.DUMMYFUNCTION("""COMPUTED_VALUE"""),6.0)</f>
        <v>6</v>
      </c>
      <c r="F3088" s="300">
        <v>1.0</v>
      </c>
      <c r="G3088" s="300">
        <v>1.0</v>
      </c>
      <c r="H3088" s="300">
        <v>1.0</v>
      </c>
      <c r="I3088" s="300">
        <v>1.0</v>
      </c>
      <c r="J3088" s="300">
        <v>1.0</v>
      </c>
      <c r="K3088" s="300">
        <v>1.0</v>
      </c>
      <c r="L3088" s="300">
        <v>1.0</v>
      </c>
      <c r="M3088" s="300">
        <v>1.0</v>
      </c>
      <c r="N3088" s="300">
        <v>8.0</v>
      </c>
      <c r="O3088" s="300" t="s">
        <v>952</v>
      </c>
      <c r="P3088" s="300">
        <v>5.0</v>
      </c>
    </row>
    <row r="3089">
      <c r="A3089">
        <f>IFERROR(__xludf.DUMMYFUNCTION("""COMPUTED_VALUE"""),12.0)</f>
        <v>12</v>
      </c>
      <c r="B3089">
        <f>IFERROR(__xludf.DUMMYFUNCTION("""COMPUTED_VALUE"""),26095.0)</f>
        <v>26095</v>
      </c>
      <c r="C3089" t="str">
        <f>IFERROR(__xludf.DUMMYFUNCTION("""COMPUTED_VALUE"""),"RAMIREZ PELAEZ, LUCIANA")</f>
        <v>RAMIREZ PELAEZ, LUCIANA</v>
      </c>
      <c r="D3089" t="str">
        <f>IFERROR(__xludf.DUMMYFUNCTION("""COMPUTED_VALUE"""),"AP Research")</f>
        <v>AP Research</v>
      </c>
      <c r="E3089" s="3">
        <f>IFERROR(__xludf.DUMMYFUNCTION("""COMPUTED_VALUE"""),1.0)</f>
        <v>1</v>
      </c>
      <c r="F3089" s="300">
        <v>1.0</v>
      </c>
      <c r="G3089" s="300">
        <v>1.0</v>
      </c>
      <c r="H3089" s="300">
        <v>1.0</v>
      </c>
      <c r="I3089" s="300">
        <v>1.0</v>
      </c>
      <c r="J3089" s="300">
        <v>1.0</v>
      </c>
      <c r="K3089" s="300">
        <v>1.0</v>
      </c>
      <c r="L3089" s="300">
        <v>1.0</v>
      </c>
      <c r="M3089" s="300">
        <v>1.0</v>
      </c>
      <c r="N3089" s="300">
        <v>8.0</v>
      </c>
      <c r="O3089" s="300" t="s">
        <v>950</v>
      </c>
      <c r="P3089" s="300">
        <v>1.0</v>
      </c>
    </row>
    <row r="3090">
      <c r="A3090">
        <f>IFERROR(__xludf.DUMMYFUNCTION("""COMPUTED_VALUE"""),12.0)</f>
        <v>12</v>
      </c>
      <c r="B3090">
        <f>IFERROR(__xludf.DUMMYFUNCTION("""COMPUTED_VALUE"""),26032.0)</f>
        <v>26032</v>
      </c>
      <c r="C3090" t="str">
        <f>IFERROR(__xludf.DUMMYFUNCTION("""COMPUTED_VALUE"""),"FRANCO SALDARRIAGA, EDUARDO")</f>
        <v>FRANCO SALDARRIAGA, EDUARDO</v>
      </c>
      <c r="D3090" t="str">
        <f>IFERROR(__xludf.DUMMYFUNCTION("""COMPUTED_VALUE"""),"ISC")</f>
        <v>ISC</v>
      </c>
      <c r="E3090" s="3">
        <f>IFERROR(__xludf.DUMMYFUNCTION("""COMPUTED_VALUE"""),3.0)</f>
        <v>3</v>
      </c>
      <c r="F3090" s="300">
        <v>1.0</v>
      </c>
      <c r="G3090" s="300">
        <v>1.0</v>
      </c>
      <c r="H3090" s="300">
        <v>1.0</v>
      </c>
      <c r="I3090" s="300">
        <v>1.0</v>
      </c>
      <c r="J3090" s="300">
        <v>1.0</v>
      </c>
      <c r="K3090" s="300">
        <v>1.0</v>
      </c>
      <c r="L3090" s="300">
        <v>1.0</v>
      </c>
      <c r="M3090" s="300">
        <v>1.0</v>
      </c>
      <c r="N3090" s="300">
        <v>8.0</v>
      </c>
      <c r="O3090" s="300" t="s">
        <v>955</v>
      </c>
      <c r="P3090" s="300">
        <v>5.0</v>
      </c>
    </row>
    <row r="3091">
      <c r="A3091">
        <f>IFERROR(__xludf.DUMMYFUNCTION("""COMPUTED_VALUE"""),12.0)</f>
        <v>12</v>
      </c>
      <c r="B3091">
        <f>IFERROR(__xludf.DUMMYFUNCTION("""COMPUTED_VALUE"""),26072.0)</f>
        <v>26072</v>
      </c>
      <c r="C3091" t="str">
        <f>IFERROR(__xludf.DUMMYFUNCTION("""COMPUTED_VALUE"""),"MERINO VALENCIA, CAMILO")</f>
        <v>MERINO VALENCIA, CAMILO</v>
      </c>
      <c r="D3091" t="str">
        <f>IFERROR(__xludf.DUMMYFUNCTION("""COMPUTED_VALUE"""),"ISC")</f>
        <v>ISC</v>
      </c>
      <c r="E3091" s="3">
        <f>IFERROR(__xludf.DUMMYFUNCTION("""COMPUTED_VALUE"""),6.0)</f>
        <v>6</v>
      </c>
      <c r="F3091" s="300">
        <v>1.0</v>
      </c>
      <c r="G3091" s="300">
        <v>1.0</v>
      </c>
      <c r="H3091" s="300">
        <v>1.0</v>
      </c>
      <c r="I3091" s="300">
        <v>1.0</v>
      </c>
      <c r="J3091" s="300">
        <v>1.0</v>
      </c>
      <c r="K3091" s="300">
        <v>1.0</v>
      </c>
      <c r="L3091" s="300">
        <v>1.0</v>
      </c>
      <c r="M3091" s="300">
        <v>1.0</v>
      </c>
      <c r="N3091" s="300">
        <v>8.0</v>
      </c>
      <c r="O3091" s="300" t="s">
        <v>952</v>
      </c>
      <c r="P3091" s="300">
        <v>5.0</v>
      </c>
    </row>
    <row r="3092">
      <c r="A3092">
        <f>IFERROR(__xludf.DUMMYFUNCTION("""COMPUTED_VALUE"""),12.0)</f>
        <v>12</v>
      </c>
      <c r="B3092">
        <f>IFERROR(__xludf.DUMMYFUNCTION("""COMPUTED_VALUE"""),26139.0)</f>
        <v>26139</v>
      </c>
      <c r="C3092" t="str">
        <f>IFERROR(__xludf.DUMMYFUNCTION("""COMPUTED_VALUE"""),"POSADA VILLALOBOS, VERONICA")</f>
        <v>POSADA VILLALOBOS, VERONICA</v>
      </c>
      <c r="D3092" t="str">
        <f>IFERROR(__xludf.DUMMYFUNCTION("""COMPUTED_VALUE"""),"ISC")</f>
        <v>ISC</v>
      </c>
      <c r="E3092" s="3">
        <f>IFERROR(__xludf.DUMMYFUNCTION("""COMPUTED_VALUE"""),1.0)</f>
        <v>1</v>
      </c>
      <c r="F3092" s="300">
        <v>1.0</v>
      </c>
      <c r="G3092" s="300">
        <v>1.0</v>
      </c>
      <c r="H3092" s="300">
        <v>1.0</v>
      </c>
      <c r="I3092" s="300">
        <v>1.0</v>
      </c>
      <c r="J3092" s="300">
        <v>1.0</v>
      </c>
      <c r="K3092" s="300">
        <v>1.0</v>
      </c>
      <c r="L3092" s="300">
        <v>1.0</v>
      </c>
      <c r="M3092" s="300">
        <v>1.0</v>
      </c>
      <c r="N3092" s="300">
        <v>8.0</v>
      </c>
      <c r="O3092" s="300" t="s">
        <v>953</v>
      </c>
      <c r="P3092" s="300">
        <v>5.0</v>
      </c>
    </row>
    <row r="3093">
      <c r="A3093">
        <f>IFERROR(__xludf.DUMMYFUNCTION("""COMPUTED_VALUE"""),12.0)</f>
        <v>12</v>
      </c>
      <c r="B3093" s="406">
        <f>IFERROR(__xludf.DUMMYFUNCTION("""COMPUTED_VALUE"""),26129.0)</f>
        <v>26129</v>
      </c>
      <c r="C3093" t="str">
        <f>IFERROR(__xludf.DUMMYFUNCTION("""COMPUTED_VALUE"""),"CALLE BUITRAGO, MARTIN")</f>
        <v>CALLE BUITRAGO, MARTIN</v>
      </c>
      <c r="D3093" t="str">
        <f>IFERROR(__xludf.DUMMYFUNCTION("""COMPUTED_VALUE"""),"ISC")</f>
        <v>ISC</v>
      </c>
      <c r="E3093" s="3">
        <f>IFERROR(__xludf.DUMMYFUNCTION("""COMPUTED_VALUE"""),8.0)</f>
        <v>8</v>
      </c>
      <c r="F3093" s="300">
        <v>1.0</v>
      </c>
      <c r="G3093" s="300">
        <v>1.0</v>
      </c>
      <c r="H3093" s="300">
        <v>1.0</v>
      </c>
      <c r="I3093" s="300">
        <v>1.0</v>
      </c>
      <c r="J3093" s="300">
        <v>1.0</v>
      </c>
      <c r="K3093" s="300">
        <v>1.0</v>
      </c>
      <c r="L3093" s="300">
        <v>1.0</v>
      </c>
      <c r="M3093" s="300">
        <v>1.0</v>
      </c>
      <c r="N3093" s="300">
        <v>8.0</v>
      </c>
      <c r="O3093" s="300" t="s">
        <v>951</v>
      </c>
      <c r="P3093" s="300">
        <v>5.0</v>
      </c>
    </row>
    <row r="3094">
      <c r="A3094">
        <f>IFERROR(__xludf.DUMMYFUNCTION("""COMPUTED_VALUE"""),12.0)</f>
        <v>12</v>
      </c>
      <c r="B3094">
        <f>IFERROR(__xludf.DUMMYFUNCTION("""COMPUTED_VALUE"""),26125.0)</f>
        <v>26125</v>
      </c>
      <c r="C3094" t="str">
        <f>IFERROR(__xludf.DUMMYFUNCTION("""COMPUTED_VALUE"""),"YEPES RAMIREZ, MARTIN")</f>
        <v>YEPES RAMIREZ, MARTIN</v>
      </c>
      <c r="D3094" t="str">
        <f>IFERROR(__xludf.DUMMYFUNCTION("""COMPUTED_VALUE"""),"ISC")</f>
        <v>ISC</v>
      </c>
      <c r="E3094" s="3">
        <f>IFERROR(__xludf.DUMMYFUNCTION("""COMPUTED_VALUE"""),4.0)</f>
        <v>4</v>
      </c>
      <c r="F3094" s="300">
        <v>1.0</v>
      </c>
      <c r="G3094" s="300">
        <v>1.0</v>
      </c>
      <c r="H3094" s="300">
        <v>1.0</v>
      </c>
      <c r="I3094" s="300">
        <v>1.0</v>
      </c>
      <c r="J3094" s="300">
        <v>1.0</v>
      </c>
      <c r="K3094" s="300">
        <v>1.0</v>
      </c>
      <c r="L3094" s="300">
        <v>1.0</v>
      </c>
      <c r="M3094" s="300">
        <v>1.0</v>
      </c>
      <c r="N3094" s="300">
        <v>8.0</v>
      </c>
      <c r="O3094" s="300" t="s">
        <v>954</v>
      </c>
      <c r="P3094" s="300">
        <v>5.0</v>
      </c>
    </row>
    <row r="3095">
      <c r="A3095">
        <f>IFERROR(__xludf.DUMMYFUNCTION("""COMPUTED_VALUE"""),12.0)</f>
        <v>12</v>
      </c>
      <c r="B3095">
        <f>IFERROR(__xludf.DUMMYFUNCTION("""COMPUTED_VALUE"""),25039.0)</f>
        <v>25039</v>
      </c>
      <c r="C3095" t="str">
        <f>IFERROR(__xludf.DUMMYFUNCTION("""COMPUTED_VALUE"""),"GARZA PATIÑO, MARCO")</f>
        <v>GARZA PATIÑO, MARCO</v>
      </c>
      <c r="D3095" t="str">
        <f>IFERROR(__xludf.DUMMYFUNCTION("""COMPUTED_VALUE"""),"ISC")</f>
        <v>ISC</v>
      </c>
      <c r="E3095" s="3">
        <f>IFERROR(__xludf.DUMMYFUNCTION("""COMPUTED_VALUE"""),6.0)</f>
        <v>6</v>
      </c>
      <c r="F3095" s="300">
        <v>1.0</v>
      </c>
      <c r="G3095" s="300">
        <v>1.0</v>
      </c>
      <c r="H3095" s="300">
        <v>1.0</v>
      </c>
      <c r="I3095" s="300">
        <v>1.0</v>
      </c>
      <c r="J3095" s="300">
        <v>1.0</v>
      </c>
      <c r="K3095" s="300">
        <v>1.0</v>
      </c>
      <c r="L3095" s="300">
        <v>1.0</v>
      </c>
      <c r="M3095" s="300">
        <v>1.0</v>
      </c>
      <c r="N3095" s="300">
        <v>8.0</v>
      </c>
      <c r="O3095" s="300" t="s">
        <v>952</v>
      </c>
      <c r="P3095" s="300">
        <v>5.0</v>
      </c>
    </row>
    <row r="3096">
      <c r="A3096">
        <f>IFERROR(__xludf.DUMMYFUNCTION("""COMPUTED_VALUE"""),12.0)</f>
        <v>12</v>
      </c>
      <c r="B3096">
        <f>IFERROR(__xludf.DUMMYFUNCTION("""COMPUTED_VALUE"""),26133.0)</f>
        <v>26133</v>
      </c>
      <c r="C3096" t="str">
        <f>IFERROR(__xludf.DUMMYFUNCTION("""COMPUTED_VALUE"""),"SUAREZ MARTINEZ, PABLO")</f>
        <v>SUAREZ MARTINEZ, PABLO</v>
      </c>
      <c r="D3096" t="str">
        <f>IFERROR(__xludf.DUMMYFUNCTION("""COMPUTED_VALUE"""),"ISC")</f>
        <v>ISC</v>
      </c>
      <c r="E3096" s="3">
        <f>IFERROR(__xludf.DUMMYFUNCTION("""COMPUTED_VALUE"""),3.0)</f>
        <v>3</v>
      </c>
      <c r="F3096" s="300">
        <v>1.0</v>
      </c>
      <c r="G3096" s="300">
        <v>1.0</v>
      </c>
      <c r="H3096" s="300">
        <v>1.0</v>
      </c>
      <c r="I3096" s="300">
        <v>1.0</v>
      </c>
      <c r="J3096" s="300">
        <v>1.0</v>
      </c>
      <c r="K3096" s="300">
        <v>1.0</v>
      </c>
      <c r="L3096" s="300">
        <v>1.0</v>
      </c>
      <c r="M3096" s="300">
        <v>1.0</v>
      </c>
      <c r="N3096" s="300">
        <v>8.0</v>
      </c>
      <c r="O3096" s="300" t="s">
        <v>955</v>
      </c>
      <c r="P3096" s="300">
        <v>5.0</v>
      </c>
    </row>
    <row r="3097">
      <c r="A3097">
        <f>IFERROR(__xludf.DUMMYFUNCTION("""COMPUTED_VALUE"""),12.0)</f>
        <v>12</v>
      </c>
      <c r="B3097">
        <f>IFERROR(__xludf.DUMMYFUNCTION("""COMPUTED_VALUE"""),26110.0)</f>
        <v>26110</v>
      </c>
      <c r="C3097" t="str">
        <f>IFERROR(__xludf.DUMMYFUNCTION("""COMPUTED_VALUE"""),"URIBE CORREA, VICENTE")</f>
        <v>URIBE CORREA, VICENTE</v>
      </c>
      <c r="D3097" t="str">
        <f>IFERROR(__xludf.DUMMYFUNCTION("""COMPUTED_VALUE"""),"ISC")</f>
        <v>ISC</v>
      </c>
      <c r="E3097" s="3">
        <f>IFERROR(__xludf.DUMMYFUNCTION("""COMPUTED_VALUE"""),4.0)</f>
        <v>4</v>
      </c>
      <c r="F3097" s="300">
        <v>1.0</v>
      </c>
      <c r="G3097" s="300">
        <v>1.0</v>
      </c>
      <c r="H3097" s="300">
        <v>1.0</v>
      </c>
      <c r="I3097" s="300">
        <v>1.0</v>
      </c>
      <c r="J3097" s="300">
        <v>1.0</v>
      </c>
      <c r="K3097" s="300">
        <v>1.0</v>
      </c>
      <c r="L3097" s="300">
        <v>1.0</v>
      </c>
      <c r="M3097" s="300">
        <v>1.0</v>
      </c>
      <c r="N3097" s="300">
        <v>8.0</v>
      </c>
      <c r="O3097" s="300" t="s">
        <v>954</v>
      </c>
      <c r="P3097" s="300">
        <v>5.0</v>
      </c>
    </row>
    <row r="3098">
      <c r="A3098">
        <f>IFERROR(__xludf.DUMMYFUNCTION("""COMPUTED_VALUE"""),12.0)</f>
        <v>12</v>
      </c>
      <c r="B3098">
        <f>IFERROR(__xludf.DUMMYFUNCTION("""COMPUTED_VALUE"""),26022.0)</f>
        <v>26022</v>
      </c>
      <c r="C3098" t="str">
        <f>IFERROR(__xludf.DUMMYFUNCTION("""COMPUTED_VALUE"""),"CAROLI ABAD, MASSIMILIANO")</f>
        <v>CAROLI ABAD, MASSIMILIANO</v>
      </c>
      <c r="D3098" t="str">
        <f>IFERROR(__xludf.DUMMYFUNCTION("""COMPUTED_VALUE"""),"ISC")</f>
        <v>ISC</v>
      </c>
      <c r="E3098" s="3">
        <f>IFERROR(__xludf.DUMMYFUNCTION("""COMPUTED_VALUE"""),4.0)</f>
        <v>4</v>
      </c>
      <c r="F3098" s="300">
        <v>1.0</v>
      </c>
      <c r="G3098" s="300">
        <v>1.0</v>
      </c>
      <c r="H3098" s="300">
        <v>1.0</v>
      </c>
      <c r="I3098" s="300">
        <v>1.0</v>
      </c>
      <c r="J3098" s="300">
        <v>1.0</v>
      </c>
      <c r="K3098" s="300">
        <v>1.0</v>
      </c>
      <c r="L3098" s="300">
        <v>1.0</v>
      </c>
      <c r="M3098" s="300">
        <v>1.0</v>
      </c>
      <c r="N3098" s="300">
        <v>8.0</v>
      </c>
      <c r="O3098" s="300" t="s">
        <v>954</v>
      </c>
      <c r="P3098" s="300">
        <v>5.0</v>
      </c>
    </row>
    <row r="3099">
      <c r="A3099">
        <f>IFERROR(__xludf.DUMMYFUNCTION("""COMPUTED_VALUE"""),12.0)</f>
        <v>12</v>
      </c>
      <c r="B3099">
        <f>IFERROR(__xludf.DUMMYFUNCTION("""COMPUTED_VALUE"""),26102.0)</f>
        <v>26102</v>
      </c>
      <c r="C3099" t="str">
        <f>IFERROR(__xludf.DUMMYFUNCTION("""COMPUTED_VALUE"""),"RODRIGUEZ NAVARRO, MIGUEL")</f>
        <v>RODRIGUEZ NAVARRO, MIGUEL</v>
      </c>
      <c r="D3099" t="str">
        <f>IFERROR(__xludf.DUMMYFUNCTION("""COMPUTED_VALUE"""),"ISC")</f>
        <v>ISC</v>
      </c>
      <c r="E3099" s="3">
        <f>IFERROR(__xludf.DUMMYFUNCTION("""COMPUTED_VALUE"""),4.0)</f>
        <v>4</v>
      </c>
      <c r="F3099" s="300">
        <v>1.0</v>
      </c>
      <c r="G3099" s="300">
        <v>1.0</v>
      </c>
      <c r="H3099" s="300">
        <v>1.0</v>
      </c>
      <c r="I3099" s="300">
        <v>1.0</v>
      </c>
      <c r="J3099" s="300">
        <v>1.0</v>
      </c>
      <c r="K3099" s="300">
        <v>1.0</v>
      </c>
      <c r="L3099" s="300">
        <v>1.0</v>
      </c>
      <c r="M3099" s="300">
        <v>1.0</v>
      </c>
      <c r="N3099" s="300">
        <v>8.0</v>
      </c>
      <c r="O3099" s="300" t="s">
        <v>954</v>
      </c>
      <c r="P3099" s="300">
        <v>5.0</v>
      </c>
    </row>
    <row r="3100">
      <c r="A3100">
        <f>IFERROR(__xludf.DUMMYFUNCTION("""COMPUTED_VALUE"""),12.0)</f>
        <v>12</v>
      </c>
      <c r="B3100">
        <f>IFERROR(__xludf.DUMMYFUNCTION("""COMPUTED_VALUE"""),26107.0)</f>
        <v>26107</v>
      </c>
      <c r="C3100" t="str">
        <f>IFERROR(__xludf.DUMMYFUNCTION("""COMPUTED_VALUE"""),"SUAREZ PEREZ ROSARIO")</f>
        <v>SUAREZ PEREZ ROSARIO</v>
      </c>
      <c r="D3100" t="str">
        <f>IFERROR(__xludf.DUMMYFUNCTION("""COMPUTED_VALUE"""),"ISC")</f>
        <v>ISC</v>
      </c>
      <c r="E3100" s="3">
        <f>IFERROR(__xludf.DUMMYFUNCTION("""COMPUTED_VALUE"""),8.0)</f>
        <v>8</v>
      </c>
      <c r="F3100" s="300">
        <v>1.0</v>
      </c>
      <c r="G3100" s="300">
        <v>1.0</v>
      </c>
      <c r="H3100" s="300">
        <v>1.0</v>
      </c>
      <c r="I3100" s="300">
        <v>1.0</v>
      </c>
      <c r="J3100" s="300">
        <v>1.0</v>
      </c>
      <c r="K3100" s="300">
        <v>1.0</v>
      </c>
      <c r="L3100" s="300">
        <v>1.0</v>
      </c>
      <c r="M3100" s="300">
        <v>1.0</v>
      </c>
      <c r="N3100" s="300">
        <v>8.0</v>
      </c>
      <c r="O3100" s="300" t="s">
        <v>951</v>
      </c>
      <c r="P3100" s="300">
        <v>5.0</v>
      </c>
    </row>
    <row r="3101">
      <c r="A3101">
        <f>IFERROR(__xludf.DUMMYFUNCTION("""COMPUTED_VALUE"""),11.0)</f>
        <v>11</v>
      </c>
      <c r="B3101">
        <f>IFERROR(__xludf.DUMMYFUNCTION("""COMPUTED_VALUE"""),27148.0)</f>
        <v>27148</v>
      </c>
      <c r="C3101" t="str">
        <f>IFERROR(__xludf.DUMMYFUNCTION("""COMPUTED_VALUE"""),"TALUKDAR, JIGYASHA")</f>
        <v>TALUKDAR, JIGYASHA</v>
      </c>
      <c r="D3101" t="str">
        <f>IFERROR(__xludf.DUMMYFUNCTION("""COMPUTED_VALUE"""),"Mixed Media Art")</f>
        <v>Mixed Media Art</v>
      </c>
      <c r="E3101" s="3">
        <f>IFERROR(__xludf.DUMMYFUNCTION("""COMPUTED_VALUE"""),6.0)</f>
        <v>6</v>
      </c>
      <c r="F3101" s="300">
        <v>1.0</v>
      </c>
      <c r="G3101" s="300">
        <v>1.0</v>
      </c>
      <c r="H3101" s="300">
        <v>1.0</v>
      </c>
      <c r="I3101" s="300">
        <v>1.0</v>
      </c>
      <c r="J3101" s="300">
        <v>1.0</v>
      </c>
      <c r="K3101" s="300">
        <v>1.0</v>
      </c>
      <c r="L3101" s="300">
        <v>1.0</v>
      </c>
      <c r="M3101" s="300">
        <v>1.0</v>
      </c>
      <c r="N3101" s="300">
        <v>8.0</v>
      </c>
      <c r="O3101" s="300" t="s">
        <v>941</v>
      </c>
      <c r="P3101" s="300">
        <v>1.0</v>
      </c>
    </row>
    <row r="3102">
      <c r="A3102">
        <f>IFERROR(__xludf.DUMMYFUNCTION("""COMPUTED_VALUE"""),11.0)</f>
        <v>11</v>
      </c>
      <c r="B3102">
        <f>IFERROR(__xludf.DUMMYFUNCTION("""COMPUTED_VALUE"""),27180.0)</f>
        <v>27180</v>
      </c>
      <c r="C3102" t="str">
        <f>IFERROR(__xludf.DUMMYFUNCTION("""COMPUTED_VALUE"""),"CANDELA SÁNCHEZ, LORENZO")</f>
        <v>CANDELA SÁNCHEZ, LORENZO</v>
      </c>
      <c r="D3102" t="str">
        <f>IFERROR(__xludf.DUMMYFUNCTION("""COMPUTED_VALUE"""),"Drawing I")</f>
        <v>Drawing I</v>
      </c>
      <c r="E3102" s="3">
        <f>IFERROR(__xludf.DUMMYFUNCTION("""COMPUTED_VALUE"""),3.0)</f>
        <v>3</v>
      </c>
      <c r="F3102" s="300">
        <v>1.0</v>
      </c>
      <c r="G3102" s="300">
        <v>1.0</v>
      </c>
      <c r="H3102" s="300">
        <v>1.0</v>
      </c>
      <c r="I3102" s="300">
        <v>1.0</v>
      </c>
      <c r="J3102" s="300">
        <v>1.0</v>
      </c>
      <c r="K3102" s="300">
        <v>1.0</v>
      </c>
      <c r="L3102" s="300">
        <v>1.0</v>
      </c>
      <c r="M3102" s="300">
        <v>1.0</v>
      </c>
      <c r="N3102" s="300">
        <v>8.0</v>
      </c>
      <c r="O3102" s="300" t="s">
        <v>938</v>
      </c>
      <c r="P3102" s="300">
        <v>2.0</v>
      </c>
    </row>
    <row r="3103">
      <c r="A3103">
        <f>IFERROR(__xludf.DUMMYFUNCTION("""COMPUTED_VALUE"""),11.0)</f>
        <v>11</v>
      </c>
      <c r="B3103" s="406">
        <f>IFERROR(__xludf.DUMMYFUNCTION("""COMPUTED_VALUE"""),27183.0)</f>
        <v>27183</v>
      </c>
      <c r="C3103" s="406" t="str">
        <f>IFERROR(__xludf.DUMMYFUNCTION("""COMPUTED_VALUE"""),"JOORIS-ANCION, ALEXANDRE")</f>
        <v>JOORIS-ANCION, ALEXANDRE</v>
      </c>
      <c r="D3103" t="str">
        <f>IFERROR(__xludf.DUMMYFUNCTION("""COMPUTED_VALUE"""),"Drawing I")</f>
        <v>Drawing I</v>
      </c>
      <c r="E3103" s="3">
        <f>IFERROR(__xludf.DUMMYFUNCTION("""COMPUTED_VALUE"""),3.0)</f>
        <v>3</v>
      </c>
      <c r="F3103" s="300">
        <v>1.0</v>
      </c>
      <c r="G3103" s="300">
        <v>1.0</v>
      </c>
      <c r="H3103" s="300">
        <v>1.0</v>
      </c>
      <c r="I3103" s="300">
        <v>1.0</v>
      </c>
      <c r="J3103" s="300">
        <v>1.0</v>
      </c>
      <c r="K3103" s="300">
        <v>1.0</v>
      </c>
      <c r="L3103" s="300">
        <v>1.0</v>
      </c>
      <c r="M3103" s="300">
        <v>1.0</v>
      </c>
      <c r="N3103" s="300">
        <v>8.0</v>
      </c>
      <c r="O3103" s="300" t="s">
        <v>938</v>
      </c>
      <c r="P3103" s="300">
        <v>2.0</v>
      </c>
    </row>
    <row r="3104">
      <c r="A3104">
        <f>IFERROR(__xludf.DUMMYFUNCTION("""COMPUTED_VALUE"""),10.0)</f>
        <v>10</v>
      </c>
      <c r="B3104">
        <f>IFERROR(__xludf.DUMMYFUNCTION("""COMPUTED_VALUE"""),28176.0)</f>
        <v>28176</v>
      </c>
      <c r="C3104" s="406" t="str">
        <f>IFERROR(__xludf.DUMMYFUNCTION("""COMPUTED_VALUE"""),"SILVA MONTOYA, SEBASTIÁN")</f>
        <v>SILVA MONTOYA, SEBASTIÁN</v>
      </c>
      <c r="D3104" t="str">
        <f>IFERROR(__xludf.DUMMYFUNCTION("""COMPUTED_VALUE"""),"Global")</f>
        <v>Global</v>
      </c>
      <c r="E3104" s="3">
        <f>IFERROR(__xludf.DUMMYFUNCTION("""COMPUTED_VALUE"""),4.0)</f>
        <v>4</v>
      </c>
      <c r="F3104" s="300">
        <v>1.0</v>
      </c>
      <c r="G3104" s="300">
        <v>1.0</v>
      </c>
      <c r="H3104" s="300">
        <v>1.0</v>
      </c>
      <c r="I3104" s="300">
        <v>1.0</v>
      </c>
      <c r="J3104" s="300">
        <v>1.0</v>
      </c>
      <c r="K3104" s="300">
        <v>1.0</v>
      </c>
      <c r="L3104" s="300">
        <v>1.0</v>
      </c>
      <c r="M3104" s="300">
        <v>1.0</v>
      </c>
      <c r="N3104" s="300">
        <v>8.0</v>
      </c>
      <c r="O3104" s="300" t="s">
        <v>928</v>
      </c>
      <c r="P3104" s="300">
        <v>3.0</v>
      </c>
    </row>
    <row r="3105">
      <c r="A3105">
        <f>IFERROR(__xludf.DUMMYFUNCTION("""COMPUTED_VALUE"""),9.0)</f>
        <v>9</v>
      </c>
      <c r="B3105">
        <f>IFERROR(__xludf.DUMMYFUNCTION("""COMPUTED_VALUE"""),29173.0)</f>
        <v>29173</v>
      </c>
      <c r="C3105" s="406" t="str">
        <f>IFERROR(__xludf.DUMMYFUNCTION("""COMPUTED_VALUE"""),"GRACIANO VÉLEZ, MARÍA DE LOS ÁNGELES")</f>
        <v>GRACIANO VÉLEZ, MARÍA DE LOS ÁNGELES</v>
      </c>
      <c r="D3105" t="str">
        <f>IFERROR(__xludf.DUMMYFUNCTION("""COMPUTED_VALUE"""),"Social Studies 9")</f>
        <v>Social Studies 9</v>
      </c>
      <c r="E3105" s="3">
        <f>IFERROR(__xludf.DUMMYFUNCTION("""COMPUTED_VALUE"""),8.0)</f>
        <v>8</v>
      </c>
      <c r="F3105" s="300">
        <v>1.0</v>
      </c>
      <c r="G3105" s="300">
        <v>1.0</v>
      </c>
      <c r="H3105" s="300">
        <v>1.0</v>
      </c>
      <c r="I3105" s="300">
        <v>1.0</v>
      </c>
      <c r="J3105" s="300">
        <v>1.0</v>
      </c>
      <c r="K3105" s="300">
        <v>1.0</v>
      </c>
      <c r="L3105" s="300">
        <v>1.0</v>
      </c>
      <c r="M3105" s="300">
        <v>1.0</v>
      </c>
      <c r="N3105" s="300">
        <v>8.0</v>
      </c>
      <c r="O3105" s="300" t="s">
        <v>922</v>
      </c>
      <c r="P3105" s="300">
        <v>6.0</v>
      </c>
    </row>
    <row r="3106">
      <c r="A3106">
        <f>IFERROR(__xludf.DUMMYFUNCTION("""COMPUTED_VALUE"""),9.0)</f>
        <v>9</v>
      </c>
      <c r="B3106">
        <f>IFERROR(__xludf.DUMMYFUNCTION("""COMPUTED_VALUE"""),29174.0)</f>
        <v>29174</v>
      </c>
      <c r="C3106" s="406" t="str">
        <f>IFERROR(__xludf.DUMMYFUNCTION("""COMPUTED_VALUE"""),"CANDELA SÁNCHEZ, EVA")</f>
        <v>CANDELA SÁNCHEZ, EVA</v>
      </c>
      <c r="D3106" t="str">
        <f>IFERROR(__xludf.DUMMYFUNCTION("""COMPUTED_VALUE"""),"Social Studies 9")</f>
        <v>Social Studies 9</v>
      </c>
      <c r="E3106" s="3">
        <f>IFERROR(__xludf.DUMMYFUNCTION("""COMPUTED_VALUE"""),3.0)</f>
        <v>3</v>
      </c>
      <c r="F3106" s="300">
        <v>1.0</v>
      </c>
      <c r="G3106" s="300">
        <v>1.0</v>
      </c>
      <c r="H3106" s="300">
        <v>1.0</v>
      </c>
      <c r="I3106" s="300">
        <v>1.0</v>
      </c>
      <c r="J3106" s="300">
        <v>1.0</v>
      </c>
      <c r="K3106" s="300">
        <v>1.0</v>
      </c>
      <c r="L3106" s="300">
        <v>1.0</v>
      </c>
      <c r="M3106" s="300">
        <v>1.0</v>
      </c>
      <c r="N3106" s="300">
        <v>8.0</v>
      </c>
      <c r="O3106" s="300" t="s">
        <v>924</v>
      </c>
      <c r="P3106" s="300">
        <v>6.0</v>
      </c>
    </row>
    <row r="3107">
      <c r="A3107">
        <f>IFERROR(__xludf.DUMMYFUNCTION("""COMPUTED_VALUE"""),11.0)</f>
        <v>11</v>
      </c>
      <c r="B3107" s="406">
        <f>IFERROR(__xludf.DUMMYFUNCTION("""COMPUTED_VALUE"""),27179.0)</f>
        <v>27179</v>
      </c>
      <c r="C3107" s="406" t="str">
        <f>IFERROR(__xludf.DUMMYFUNCTION("""COMPUTED_VALUE"""),"GRACIANO VÉLEZ, MARÍA DEL MAR")</f>
        <v>GRACIANO VÉLEZ, MARÍA DEL MAR</v>
      </c>
      <c r="D3107" t="str">
        <f>IFERROR(__xludf.DUMMYFUNCTION("""COMPUTED_VALUE"""),"Painting I")</f>
        <v>Painting I</v>
      </c>
      <c r="E3107" s="3">
        <f>IFERROR(__xludf.DUMMYFUNCTION("""COMPUTED_VALUE"""),4.0)</f>
        <v>4</v>
      </c>
      <c r="F3107" s="300">
        <v>1.0</v>
      </c>
      <c r="G3107" s="300">
        <v>1.0</v>
      </c>
      <c r="H3107" s="300">
        <v>1.0</v>
      </c>
      <c r="I3107" s="300">
        <v>1.0</v>
      </c>
      <c r="J3107" s="300">
        <v>1.0</v>
      </c>
      <c r="K3107" s="300">
        <v>1.0</v>
      </c>
      <c r="L3107" s="300">
        <v>1.0</v>
      </c>
      <c r="M3107" s="300">
        <v>1.0</v>
      </c>
      <c r="N3107" s="300">
        <v>8.0</v>
      </c>
      <c r="O3107" s="300" t="s">
        <v>946</v>
      </c>
      <c r="P3107" s="300">
        <v>4.0</v>
      </c>
    </row>
    <row r="3108">
      <c r="A3108">
        <f>IFERROR(__xludf.DUMMYFUNCTION("""COMPUTED_VALUE"""),10.0)</f>
        <v>10</v>
      </c>
      <c r="B3108" s="406">
        <f>IFERROR(__xludf.DUMMYFUNCTION("""COMPUTED_VALUE"""),28178.0)</f>
        <v>28178</v>
      </c>
      <c r="C3108" s="406" t="str">
        <f>IFERROR(__xludf.DUMMYFUNCTION("""COMPUTED_VALUE"""),"CANOVA DOMINGUES, JOAO PEDRO")</f>
        <v>CANOVA DOMINGUES, JOAO PEDRO</v>
      </c>
      <c r="D3108" t="str">
        <f>IFERROR(__xludf.DUMMYFUNCTION("""COMPUTED_VALUE"""),"Global")</f>
        <v>Global</v>
      </c>
      <c r="E3108" s="3">
        <f>IFERROR(__xludf.DUMMYFUNCTION("""COMPUTED_VALUE"""),4.0)</f>
        <v>4</v>
      </c>
      <c r="F3108" s="300">
        <v>1.0</v>
      </c>
      <c r="G3108" s="300">
        <v>1.0</v>
      </c>
      <c r="H3108" s="300">
        <v>1.0</v>
      </c>
      <c r="I3108" s="300">
        <v>1.0</v>
      </c>
      <c r="J3108" s="300">
        <v>1.0</v>
      </c>
      <c r="K3108" s="300">
        <v>1.0</v>
      </c>
      <c r="L3108" s="300">
        <v>1.0</v>
      </c>
      <c r="M3108" s="300">
        <v>1.0</v>
      </c>
      <c r="N3108" s="300">
        <v>8.0</v>
      </c>
      <c r="O3108" s="300" t="s">
        <v>928</v>
      </c>
      <c r="P3108" s="300">
        <v>3.0</v>
      </c>
    </row>
    <row r="3109">
      <c r="A3109">
        <f>IFERROR(__xludf.DUMMYFUNCTION("""COMPUTED_VALUE"""),10.0)</f>
        <v>10</v>
      </c>
      <c r="B3109" s="406">
        <f>IFERROR(__xludf.DUMMYFUNCTION("""COMPUTED_VALUE"""),28177.0)</f>
        <v>28177</v>
      </c>
      <c r="C3109" s="406" t="str">
        <f>IFERROR(__xludf.DUMMYFUNCTION("""COMPUTED_VALUE"""),"CUBILLOS GÓMEZ, ROBERTO")</f>
        <v>CUBILLOS GÓMEZ, ROBERTO</v>
      </c>
      <c r="D3109" t="str">
        <f>IFERROR(__xludf.DUMMYFUNCTION("""COMPUTED_VALUE"""),"AP Human Geography")</f>
        <v>AP Human Geography</v>
      </c>
      <c r="E3109" s="3">
        <f>IFERROR(__xludf.DUMMYFUNCTION("""COMPUTED_VALUE"""),4.0)</f>
        <v>4</v>
      </c>
      <c r="F3109" s="300">
        <v>1.0</v>
      </c>
      <c r="G3109" s="300">
        <v>1.0</v>
      </c>
      <c r="H3109" s="300">
        <v>1.0</v>
      </c>
      <c r="I3109" s="300">
        <v>1.0</v>
      </c>
      <c r="J3109" s="300">
        <v>1.0</v>
      </c>
      <c r="K3109" s="300">
        <v>1.0</v>
      </c>
      <c r="L3109" s="300">
        <v>1.0</v>
      </c>
      <c r="M3109" s="300">
        <v>1.0</v>
      </c>
      <c r="N3109" s="300">
        <v>8.0</v>
      </c>
      <c r="O3109" s="300" t="s">
        <v>930</v>
      </c>
      <c r="P3109" s="300">
        <v>4.0</v>
      </c>
    </row>
    <row r="3110">
      <c r="A3110">
        <f>IFERROR(__xludf.DUMMYFUNCTION("""COMPUTED_VALUE"""),10.0)</f>
        <v>10</v>
      </c>
      <c r="B3110" s="406">
        <f>IFERROR(__xludf.DUMMYFUNCTION("""COMPUTED_VALUE"""),28146.0)</f>
        <v>28146</v>
      </c>
      <c r="C3110" s="406" t="str">
        <f>IFERROR(__xludf.DUMMYFUNCTION("""COMPUTED_VALUE"""),"MORA MORENO, MARÍA LUISA")</f>
        <v>MORA MORENO, MARÍA LUISA</v>
      </c>
      <c r="D3110" t="str">
        <f>IFERROR(__xludf.DUMMYFUNCTION("""COMPUTED_VALUE"""),"Global")</f>
        <v>Global</v>
      </c>
      <c r="E3110" s="3">
        <f>IFERROR(__xludf.DUMMYFUNCTION("""COMPUTED_VALUE"""),7.0)</f>
        <v>7</v>
      </c>
      <c r="F3110" s="300">
        <v>1.0</v>
      </c>
      <c r="G3110" s="300">
        <v>1.0</v>
      </c>
      <c r="H3110" s="300">
        <v>1.0</v>
      </c>
      <c r="I3110" s="300">
        <v>1.0</v>
      </c>
      <c r="J3110" s="300">
        <v>1.0</v>
      </c>
      <c r="K3110" s="300">
        <v>1.0</v>
      </c>
      <c r="L3110" s="300">
        <v>1.0</v>
      </c>
      <c r="M3110" s="300">
        <v>1.0</v>
      </c>
      <c r="N3110" s="300">
        <v>8.0</v>
      </c>
      <c r="O3110" s="300" t="s">
        <v>929</v>
      </c>
      <c r="P3110" s="300">
        <v>3.0</v>
      </c>
    </row>
    <row r="3111">
      <c r="A3111">
        <f>IFERROR(__xludf.DUMMYFUNCTION("""COMPUTED_VALUE"""),10.0)</f>
        <v>10</v>
      </c>
      <c r="B3111" s="406">
        <f>IFERROR(__xludf.DUMMYFUNCTION("""COMPUTED_VALUE"""),28175.0)</f>
        <v>28175</v>
      </c>
      <c r="C3111" s="406" t="str">
        <f>IFERROR(__xludf.DUMMYFUNCTION("""COMPUTED_VALUE"""),"DELSOL, ANTOINE")</f>
        <v>DELSOL, ANTOINE</v>
      </c>
      <c r="D3111" t="str">
        <f>IFERROR(__xludf.DUMMYFUNCTION("""COMPUTED_VALUE"""),"Global")</f>
        <v>Global</v>
      </c>
      <c r="E3111" s="3">
        <f>IFERROR(__xludf.DUMMYFUNCTION("""COMPUTED_VALUE"""),2.0)</f>
        <v>2</v>
      </c>
      <c r="F3111" s="300">
        <v>1.0</v>
      </c>
      <c r="G3111" s="300">
        <v>1.0</v>
      </c>
      <c r="H3111" s="300">
        <v>1.0</v>
      </c>
      <c r="I3111" s="300">
        <v>1.0</v>
      </c>
      <c r="J3111" s="300">
        <v>1.0</v>
      </c>
      <c r="K3111" s="300">
        <v>1.0</v>
      </c>
      <c r="L3111" s="300">
        <v>1.0</v>
      </c>
      <c r="M3111" s="300">
        <v>1.0</v>
      </c>
      <c r="N3111" s="300">
        <v>8.0</v>
      </c>
      <c r="O3111" s="300" t="s">
        <v>932</v>
      </c>
      <c r="P3111" s="300">
        <v>3.0</v>
      </c>
    </row>
    <row r="3112">
      <c r="A3112">
        <f>IFERROR(__xludf.DUMMYFUNCTION("""COMPUTED_VALUE"""),10.0)</f>
        <v>10</v>
      </c>
      <c r="B3112" s="406">
        <f>IFERROR(__xludf.DUMMYFUNCTION("""COMPUTED_VALUE"""),100052.0)</f>
        <v>100052</v>
      </c>
      <c r="C3112" s="406" t="str">
        <f>IFERROR(__xludf.DUMMYFUNCTION("""COMPUTED_VALUE"""),"ECHEVERRI SALAZAR CAMILA")</f>
        <v>ECHEVERRI SALAZAR CAMILA</v>
      </c>
      <c r="D3112" t="str">
        <f>IFERROR(__xludf.DUMMYFUNCTION("""COMPUTED_VALUE"""),"AP Human Geography")</f>
        <v>AP Human Geography</v>
      </c>
      <c r="E3112" s="3">
        <f>IFERROR(__xludf.DUMMYFUNCTION("""COMPUTED_VALUE"""),4.0)</f>
        <v>4</v>
      </c>
      <c r="F3112" s="300">
        <v>1.0</v>
      </c>
      <c r="G3112" s="300">
        <v>1.0</v>
      </c>
      <c r="H3112" s="300">
        <v>1.0</v>
      </c>
      <c r="I3112" s="300">
        <v>1.0</v>
      </c>
      <c r="J3112" s="300">
        <v>1.0</v>
      </c>
      <c r="K3112" s="300">
        <v>1.0</v>
      </c>
      <c r="L3112" s="300">
        <v>1.0</v>
      </c>
      <c r="M3112" s="300">
        <v>1.0</v>
      </c>
      <c r="N3112" s="300">
        <v>8.0</v>
      </c>
      <c r="O3112" s="300" t="s">
        <v>930</v>
      </c>
      <c r="P3112" s="300">
        <v>4.0</v>
      </c>
    </row>
    <row r="3113">
      <c r="A3113">
        <f>IFERROR(__xludf.DUMMYFUNCTION("""COMPUTED_VALUE"""),10.0)</f>
        <v>10</v>
      </c>
      <c r="B3113" s="406">
        <f>IFERROR(__xludf.DUMMYFUNCTION("""COMPUTED_VALUE"""),28180.0)</f>
        <v>28180</v>
      </c>
      <c r="C3113" s="406" t="str">
        <f>IFERROR(__xludf.DUMMYFUNCTION("""COMPUTED_VALUE"""),"VÉLEZ GÓMEZ, MATIAS")</f>
        <v>VÉLEZ GÓMEZ, MATIAS</v>
      </c>
      <c r="D3113" t="str">
        <f>IFERROR(__xludf.DUMMYFUNCTION("""COMPUTED_VALUE"""),"AP Human Geography")</f>
        <v>AP Human Geography</v>
      </c>
      <c r="E3113" s="3">
        <f>IFERROR(__xludf.DUMMYFUNCTION("""COMPUTED_VALUE"""),3.0)</f>
        <v>3</v>
      </c>
      <c r="F3113" s="300">
        <v>1.0</v>
      </c>
      <c r="G3113" s="300">
        <v>1.0</v>
      </c>
      <c r="H3113" s="300">
        <v>1.0</v>
      </c>
      <c r="I3113" s="300">
        <v>1.0</v>
      </c>
      <c r="J3113" s="300">
        <v>1.0</v>
      </c>
      <c r="K3113" s="300">
        <v>1.0</v>
      </c>
      <c r="L3113" s="300">
        <v>1.0</v>
      </c>
      <c r="M3113" s="300">
        <v>1.0</v>
      </c>
      <c r="N3113" s="300">
        <v>8.0</v>
      </c>
      <c r="O3113" s="300" t="s">
        <v>926</v>
      </c>
      <c r="P3113" s="300">
        <v>4.0</v>
      </c>
    </row>
    <row r="3114">
      <c r="A3114">
        <f>IFERROR(__xludf.DUMMYFUNCTION("""COMPUTED_VALUE"""),10.0)</f>
        <v>10</v>
      </c>
      <c r="B3114" s="406">
        <f>IFERROR(__xludf.DUMMYFUNCTION("""COMPUTED_VALUE"""),28141.0)</f>
        <v>28141</v>
      </c>
      <c r="C3114" s="406" t="str">
        <f>IFERROR(__xludf.DUMMYFUNCTION("""COMPUTED_VALUE"""),"GONZALEZ TRABOULSI SOFIA")</f>
        <v>GONZALEZ TRABOULSI SOFIA</v>
      </c>
      <c r="D3114" t="str">
        <f>IFERROR(__xludf.DUMMYFUNCTION("""COMPUTED_VALUE"""),"AP Human Geography")</f>
        <v>AP Human Geography</v>
      </c>
      <c r="E3114" s="3">
        <f>IFERROR(__xludf.DUMMYFUNCTION("""COMPUTED_VALUE"""),4.0)</f>
        <v>4</v>
      </c>
      <c r="F3114" s="300">
        <v>1.0</v>
      </c>
      <c r="G3114" s="300">
        <v>1.0</v>
      </c>
      <c r="H3114" s="300">
        <v>1.0</v>
      </c>
      <c r="I3114" s="300">
        <v>1.0</v>
      </c>
      <c r="J3114" s="300">
        <v>1.0</v>
      </c>
      <c r="K3114" s="300">
        <v>1.0</v>
      </c>
      <c r="L3114" s="300">
        <v>1.0</v>
      </c>
      <c r="M3114" s="300">
        <v>1.0</v>
      </c>
      <c r="N3114" s="300">
        <v>8.0</v>
      </c>
      <c r="O3114" s="300" t="s">
        <v>930</v>
      </c>
      <c r="P3114" s="300">
        <v>4.0</v>
      </c>
    </row>
    <row r="3115">
      <c r="A3115">
        <f>IFERROR(__xludf.DUMMYFUNCTION("""COMPUTED_VALUE"""),10.0)</f>
        <v>10</v>
      </c>
      <c r="B3115" s="406">
        <f>IFERROR(__xludf.DUMMYFUNCTION("""COMPUTED_VALUE"""),12345.0)</f>
        <v>12345</v>
      </c>
      <c r="C3115" s="406" t="str">
        <f>IFERROR(__xludf.DUMMYFUNCTION("""COMPUTED_VALUE"""),"TRIVELIN JUAN IGNACIO")</f>
        <v>TRIVELIN JUAN IGNACIO</v>
      </c>
      <c r="D3115" t="str">
        <f>IFERROR(__xludf.DUMMYFUNCTION("""COMPUTED_VALUE"""),"Global")</f>
        <v>Global</v>
      </c>
      <c r="E3115" s="3">
        <f>IFERROR(__xludf.DUMMYFUNCTION("""COMPUTED_VALUE"""),7.0)</f>
        <v>7</v>
      </c>
      <c r="F3115" s="300">
        <v>1.0</v>
      </c>
      <c r="G3115" s="300">
        <v>1.0</v>
      </c>
      <c r="H3115" s="300">
        <v>1.0</v>
      </c>
      <c r="I3115" s="300">
        <v>1.0</v>
      </c>
      <c r="J3115" s="300">
        <v>1.0</v>
      </c>
      <c r="K3115" s="300">
        <v>1.0</v>
      </c>
      <c r="L3115" s="300">
        <v>1.0</v>
      </c>
      <c r="M3115" s="300">
        <v>1.0</v>
      </c>
      <c r="N3115" s="300">
        <v>8.0</v>
      </c>
      <c r="O3115" s="300" t="s">
        <v>929</v>
      </c>
      <c r="P3115" s="300">
        <v>3.0</v>
      </c>
    </row>
    <row r="3116">
      <c r="A3116">
        <f>IFERROR(__xludf.DUMMYFUNCTION("""COMPUTED_VALUE"""),11.0)</f>
        <v>11</v>
      </c>
      <c r="B3116" s="406">
        <f>IFERROR(__xludf.DUMMYFUNCTION("""COMPUTED_VALUE"""),27169.0)</f>
        <v>27169</v>
      </c>
      <c r="C3116" s="406" t="str">
        <f>IFERROR(__xludf.DUMMYFUNCTION("""COMPUTED_VALUE"""),"RAMOS RODRIGUEZ, ELENA")</f>
        <v>RAMOS RODRIGUEZ, ELENA</v>
      </c>
      <c r="D3116" t="str">
        <f>IFERROR(__xludf.DUMMYFUNCTION("""COMPUTED_VALUE"""),"Painting II")</f>
        <v>Painting II</v>
      </c>
      <c r="E3116" s="3">
        <f>IFERROR(__xludf.DUMMYFUNCTION("""COMPUTED_VALUE"""),7.0)</f>
        <v>7</v>
      </c>
      <c r="F3116" s="300">
        <v>1.0</v>
      </c>
      <c r="G3116" s="300">
        <v>1.0</v>
      </c>
      <c r="H3116" s="300">
        <v>1.0</v>
      </c>
      <c r="I3116" s="300">
        <v>1.0</v>
      </c>
      <c r="J3116" s="300">
        <v>1.0</v>
      </c>
      <c r="K3116" s="300">
        <v>1.0</v>
      </c>
      <c r="L3116" s="300">
        <v>1.0</v>
      </c>
      <c r="M3116" s="300">
        <v>1.0</v>
      </c>
      <c r="N3116" s="300">
        <v>8.0</v>
      </c>
      <c r="O3116" s="300" t="s">
        <v>935</v>
      </c>
      <c r="P3116" s="300">
        <v>2.0</v>
      </c>
    </row>
    <row r="3117">
      <c r="A3117">
        <f>IFERROR(__xludf.DUMMYFUNCTION("""COMPUTED_VALUE"""),9.0)</f>
        <v>9</v>
      </c>
      <c r="B3117" s="406">
        <f>IFERROR(__xludf.DUMMYFUNCTION("""COMPUTED_VALUE"""),29070.0)</f>
        <v>29070</v>
      </c>
      <c r="C3117" t="str">
        <f>IFERROR(__xludf.DUMMYFUNCTION("""COMPUTED_VALUE"""),"MANRIQUE CUESTA, ISABELLA")</f>
        <v>MANRIQUE CUESTA, ISABELLA</v>
      </c>
      <c r="D3117" t="str">
        <f>IFERROR(__xludf.DUMMYFUNCTION("""COMPUTED_VALUE"""),"FRC 9 Robotics")</f>
        <v>FRC 9 Robotics</v>
      </c>
      <c r="E3117" s="3">
        <f>IFERROR(__xludf.DUMMYFUNCTION("""COMPUTED_VALUE"""),5.0)</f>
        <v>5</v>
      </c>
      <c r="F3117" s="300">
        <v>1.0</v>
      </c>
      <c r="G3117" s="300">
        <v>1.0</v>
      </c>
      <c r="H3117" s="300">
        <v>1.0</v>
      </c>
      <c r="I3117" s="300">
        <v>1.0</v>
      </c>
      <c r="J3117" s="300">
        <v>1.0</v>
      </c>
      <c r="K3117" s="300">
        <v>1.0</v>
      </c>
      <c r="L3117" s="300">
        <v>1.0</v>
      </c>
      <c r="M3117" s="300">
        <v>1.0</v>
      </c>
      <c r="N3117" s="300">
        <v>8.0</v>
      </c>
      <c r="O3117" s="300" t="s">
        <v>956</v>
      </c>
      <c r="P3117" s="300">
        <v>4.0</v>
      </c>
    </row>
    <row r="3118">
      <c r="A3118">
        <f>IFERROR(__xludf.DUMMYFUNCTION("""COMPUTED_VALUE"""),9.0)</f>
        <v>9</v>
      </c>
      <c r="B3118" s="406">
        <f>IFERROR(__xludf.DUMMYFUNCTION("""COMPUTED_VALUE"""),29075.0)</f>
        <v>29075</v>
      </c>
      <c r="C3118" t="str">
        <f>IFERROR(__xludf.DUMMYFUNCTION("""COMPUTED_VALUE"""),"MEJIA BUSTAMANTE, ANTONIA")</f>
        <v>MEJIA BUSTAMANTE, ANTONIA</v>
      </c>
      <c r="D3118" t="str">
        <f>IFERROR(__xludf.DUMMYFUNCTION("""COMPUTED_VALUE"""),"Technology 9")</f>
        <v>Technology 9</v>
      </c>
      <c r="E3118" s="3">
        <f>IFERROR(__xludf.DUMMYFUNCTION("""COMPUTED_VALUE"""),5.0)</f>
        <v>5</v>
      </c>
      <c r="F3118" s="300">
        <v>1.0</v>
      </c>
      <c r="G3118" s="300">
        <v>1.0</v>
      </c>
      <c r="H3118" s="300">
        <v>1.0</v>
      </c>
      <c r="I3118" s="300">
        <v>1.0</v>
      </c>
      <c r="J3118" s="300">
        <v>1.0</v>
      </c>
      <c r="K3118" s="300">
        <v>1.0</v>
      </c>
      <c r="L3118" s="300">
        <v>1.0</v>
      </c>
      <c r="M3118" s="300">
        <v>1.0</v>
      </c>
      <c r="N3118" s="300">
        <v>8.0</v>
      </c>
      <c r="O3118" s="300" t="s">
        <v>957</v>
      </c>
      <c r="P3118" s="300">
        <v>3.0</v>
      </c>
    </row>
    <row r="3119">
      <c r="A3119">
        <f>IFERROR(__xludf.DUMMYFUNCTION("""COMPUTED_VALUE"""),9.0)</f>
        <v>9</v>
      </c>
      <c r="B3119" s="406">
        <f>IFERROR(__xludf.DUMMYFUNCTION("""COMPUTED_VALUE"""),29149.0)</f>
        <v>29149</v>
      </c>
      <c r="C3119" t="str">
        <f>IFERROR(__xludf.DUMMYFUNCTION("""COMPUTED_VALUE"""),"SALEMME GUTIERREZ, AMALIA")</f>
        <v>SALEMME GUTIERREZ, AMALIA</v>
      </c>
      <c r="D3119" t="str">
        <f>IFERROR(__xludf.DUMMYFUNCTION("""COMPUTED_VALUE"""),"FRC 9 Robotics")</f>
        <v>FRC 9 Robotics</v>
      </c>
      <c r="E3119" s="3">
        <f>IFERROR(__xludf.DUMMYFUNCTION("""COMPUTED_VALUE"""),6.0)</f>
        <v>6</v>
      </c>
      <c r="F3119" s="300">
        <v>1.0</v>
      </c>
      <c r="G3119" s="300">
        <v>1.0</v>
      </c>
      <c r="H3119" s="300">
        <v>1.0</v>
      </c>
      <c r="I3119" s="300">
        <v>1.0</v>
      </c>
      <c r="J3119" s="300">
        <v>1.0</v>
      </c>
      <c r="K3119" s="300">
        <v>1.0</v>
      </c>
      <c r="L3119" s="300">
        <v>1.0</v>
      </c>
      <c r="M3119" s="300">
        <v>1.0</v>
      </c>
      <c r="N3119" s="300">
        <v>8.0</v>
      </c>
      <c r="O3119" s="300" t="s">
        <v>958</v>
      </c>
      <c r="P3119" s="300">
        <v>4.0</v>
      </c>
    </row>
    <row r="3120">
      <c r="A3120">
        <f>IFERROR(__xludf.DUMMYFUNCTION("""COMPUTED_VALUE"""),9.0)</f>
        <v>9</v>
      </c>
      <c r="B3120" s="406">
        <f>IFERROR(__xludf.DUMMYFUNCTION("""COMPUTED_VALUE"""),29113.0)</f>
        <v>29113</v>
      </c>
      <c r="C3120" t="str">
        <f>IFERROR(__xludf.DUMMYFUNCTION("""COMPUTED_VALUE"""),"THIRIEZ VILLA, EMMA")</f>
        <v>THIRIEZ VILLA, EMMA</v>
      </c>
      <c r="D3120" t="str">
        <f>IFERROR(__xludf.DUMMYFUNCTION("""COMPUTED_VALUE"""),"Technology 9")</f>
        <v>Technology 9</v>
      </c>
      <c r="E3120" s="3">
        <f>IFERROR(__xludf.DUMMYFUNCTION("""COMPUTED_VALUE"""),5.0)</f>
        <v>5</v>
      </c>
      <c r="F3120" s="300">
        <v>1.0</v>
      </c>
      <c r="G3120" s="300">
        <v>1.0</v>
      </c>
      <c r="H3120" s="300">
        <v>1.0</v>
      </c>
      <c r="I3120" s="300">
        <v>1.0</v>
      </c>
      <c r="J3120" s="300">
        <v>1.0</v>
      </c>
      <c r="K3120" s="300">
        <v>1.0</v>
      </c>
      <c r="L3120" s="300">
        <v>1.0</v>
      </c>
      <c r="M3120" s="300">
        <v>1.0</v>
      </c>
      <c r="N3120" s="300">
        <v>8.0</v>
      </c>
      <c r="O3120" s="300" t="s">
        <v>957</v>
      </c>
      <c r="P3120" s="300">
        <v>3.0</v>
      </c>
    </row>
    <row r="3121">
      <c r="A3121">
        <f>IFERROR(__xludf.DUMMYFUNCTION("""COMPUTED_VALUE"""),9.0)</f>
        <v>9</v>
      </c>
      <c r="B3121" s="406">
        <f>IFERROR(__xludf.DUMMYFUNCTION("""COMPUTED_VALUE"""),29131.0)</f>
        <v>29131</v>
      </c>
      <c r="C3121" t="str">
        <f>IFERROR(__xludf.DUMMYFUNCTION("""COMPUTED_VALUE"""),"VILLEGAS HINCAPIE, CANDELARIA")</f>
        <v>VILLEGAS HINCAPIE, CANDELARIA</v>
      </c>
      <c r="D3121" t="str">
        <f>IFERROR(__xludf.DUMMYFUNCTION("""COMPUTED_VALUE"""),"Technology 9")</f>
        <v>Technology 9</v>
      </c>
      <c r="E3121" s="3">
        <f>IFERROR(__xludf.DUMMYFUNCTION("""COMPUTED_VALUE"""),3.0)</f>
        <v>3</v>
      </c>
      <c r="F3121" s="300">
        <v>1.0</v>
      </c>
      <c r="G3121" s="300">
        <v>1.0</v>
      </c>
      <c r="H3121" s="300">
        <v>1.0</v>
      </c>
      <c r="I3121" s="300">
        <v>1.0</v>
      </c>
      <c r="J3121" s="300">
        <v>1.0</v>
      </c>
      <c r="K3121" s="300">
        <v>1.0</v>
      </c>
      <c r="L3121" s="300">
        <v>1.0</v>
      </c>
      <c r="M3121" s="300">
        <v>1.0</v>
      </c>
      <c r="N3121" s="300">
        <v>8.0</v>
      </c>
      <c r="O3121" s="300" t="s">
        <v>959</v>
      </c>
      <c r="P3121" s="300">
        <v>3.0</v>
      </c>
    </row>
    <row r="3122">
      <c r="A3122">
        <f>IFERROR(__xludf.DUMMYFUNCTION("""COMPUTED_VALUE"""),9.0)</f>
        <v>9</v>
      </c>
      <c r="B3122" s="406">
        <f>IFERROR(__xludf.DUMMYFUNCTION("""COMPUTED_VALUE"""),29077.0)</f>
        <v>29077</v>
      </c>
      <c r="C3122" t="str">
        <f>IFERROR(__xludf.DUMMYFUNCTION("""COMPUTED_VALUE"""),"MEJIA VILLEGAS, CANDELARIA")</f>
        <v>MEJIA VILLEGAS, CANDELARIA</v>
      </c>
      <c r="D3122" t="str">
        <f>IFERROR(__xludf.DUMMYFUNCTION("""COMPUTED_VALUE"""),"Technology 9")</f>
        <v>Technology 9</v>
      </c>
      <c r="E3122" s="3">
        <f>IFERROR(__xludf.DUMMYFUNCTION("""COMPUTED_VALUE"""),3.0)</f>
        <v>3</v>
      </c>
      <c r="F3122" s="300">
        <v>1.0</v>
      </c>
      <c r="G3122" s="300">
        <v>1.0</v>
      </c>
      <c r="H3122" s="300">
        <v>1.0</v>
      </c>
      <c r="I3122" s="300">
        <v>1.0</v>
      </c>
      <c r="J3122" s="300">
        <v>1.0</v>
      </c>
      <c r="K3122" s="300">
        <v>1.0</v>
      </c>
      <c r="L3122" s="300">
        <v>1.0</v>
      </c>
      <c r="M3122" s="300">
        <v>1.0</v>
      </c>
      <c r="N3122" s="300">
        <v>8.0</v>
      </c>
      <c r="O3122" s="300" t="s">
        <v>959</v>
      </c>
      <c r="P3122" s="300">
        <v>3.0</v>
      </c>
    </row>
    <row r="3123">
      <c r="A3123">
        <f>IFERROR(__xludf.DUMMYFUNCTION("""COMPUTED_VALUE"""),9.0)</f>
        <v>9</v>
      </c>
      <c r="B3123" s="406">
        <f>IFERROR(__xludf.DUMMYFUNCTION("""COMPUTED_VALUE"""),28006.0)</f>
        <v>28006</v>
      </c>
      <c r="C3123" t="str">
        <f>IFERROR(__xludf.DUMMYFUNCTION("""COMPUTED_VALUE"""),"ARISTIZABAL ECHAVARRIA, CRISTOBAL")</f>
        <v>ARISTIZABAL ECHAVARRIA, CRISTOBAL</v>
      </c>
      <c r="D3123" t="str">
        <f>IFERROR(__xludf.DUMMYFUNCTION("""COMPUTED_VALUE"""),"FRC 9")</f>
        <v>FRC 9</v>
      </c>
      <c r="E3123" s="3">
        <f>IFERROR(__xludf.DUMMYFUNCTION("""COMPUTED_VALUE"""),6.0)</f>
        <v>6</v>
      </c>
      <c r="F3123" s="300">
        <v>1.0</v>
      </c>
      <c r="G3123" s="300">
        <v>1.0</v>
      </c>
      <c r="H3123" s="300">
        <v>1.0</v>
      </c>
      <c r="I3123" s="300">
        <v>1.0</v>
      </c>
      <c r="J3123" s="300">
        <v>1.0</v>
      </c>
      <c r="K3123" s="300">
        <v>1.0</v>
      </c>
      <c r="L3123" s="300">
        <v>1.0</v>
      </c>
      <c r="M3123" s="300">
        <v>1.0</v>
      </c>
      <c r="N3123" s="300">
        <v>8.0</v>
      </c>
      <c r="O3123" s="300" t="s">
        <v>960</v>
      </c>
      <c r="P3123" s="300">
        <v>1.0</v>
      </c>
    </row>
    <row r="3124">
      <c r="A3124">
        <f>IFERROR(__xludf.DUMMYFUNCTION("""COMPUTED_VALUE"""),9.0)</f>
        <v>9</v>
      </c>
      <c r="B3124" s="406">
        <f>IFERROR(__xludf.DUMMYFUNCTION("""COMPUTED_VALUE"""),29089.0)</f>
        <v>29089</v>
      </c>
      <c r="C3124" t="str">
        <f>IFERROR(__xludf.DUMMYFUNCTION("""COMPUTED_VALUE"""),"PEREZ BEDOYA, ELENA")</f>
        <v>PEREZ BEDOYA, ELENA</v>
      </c>
      <c r="D3124" t="str">
        <f>IFERROR(__xludf.DUMMYFUNCTION("""COMPUTED_VALUE"""),"Technology 9")</f>
        <v>Technology 9</v>
      </c>
      <c r="E3124" s="3">
        <f>IFERROR(__xludf.DUMMYFUNCTION("""COMPUTED_VALUE"""),5.0)</f>
        <v>5</v>
      </c>
      <c r="F3124" s="300">
        <v>1.0</v>
      </c>
      <c r="G3124" s="300">
        <v>1.0</v>
      </c>
      <c r="H3124" s="300">
        <v>1.0</v>
      </c>
      <c r="I3124" s="300">
        <v>1.0</v>
      </c>
      <c r="J3124" s="300">
        <v>1.0</v>
      </c>
      <c r="K3124" s="300">
        <v>1.0</v>
      </c>
      <c r="L3124" s="300">
        <v>1.0</v>
      </c>
      <c r="M3124" s="300">
        <v>1.0</v>
      </c>
      <c r="N3124" s="300">
        <v>8.0</v>
      </c>
      <c r="O3124" s="300" t="s">
        <v>957</v>
      </c>
      <c r="P3124" s="300">
        <v>3.0</v>
      </c>
    </row>
    <row r="3125">
      <c r="A3125">
        <f>IFERROR(__xludf.DUMMYFUNCTION("""COMPUTED_VALUE"""),9.0)</f>
        <v>9</v>
      </c>
      <c r="B3125" s="406">
        <f>IFERROR(__xludf.DUMMYFUNCTION("""COMPUTED_VALUE"""),29048.0)</f>
        <v>29048</v>
      </c>
      <c r="C3125" t="str">
        <f>IFERROR(__xludf.DUMMYFUNCTION("""COMPUTED_VALUE"""),"HENAO RESTREPO, ANTONIA")</f>
        <v>HENAO RESTREPO, ANTONIA</v>
      </c>
      <c r="D3125" t="str">
        <f>IFERROR(__xludf.DUMMYFUNCTION("""COMPUTED_VALUE"""),"Technology 9")</f>
        <v>Technology 9</v>
      </c>
      <c r="E3125" s="3">
        <f>IFERROR(__xludf.DUMMYFUNCTION("""COMPUTED_VALUE"""),1.0)</f>
        <v>1</v>
      </c>
      <c r="F3125" s="300">
        <v>1.0</v>
      </c>
      <c r="G3125" s="300">
        <v>1.0</v>
      </c>
      <c r="H3125" s="300">
        <v>1.0</v>
      </c>
      <c r="I3125" s="300">
        <v>1.0</v>
      </c>
      <c r="J3125" s="300">
        <v>1.0</v>
      </c>
      <c r="K3125" s="300">
        <v>1.0</v>
      </c>
      <c r="L3125" s="300">
        <v>1.0</v>
      </c>
      <c r="M3125" s="300">
        <v>1.0</v>
      </c>
      <c r="N3125" s="300">
        <v>8.0</v>
      </c>
      <c r="O3125" s="300" t="s">
        <v>961</v>
      </c>
      <c r="P3125" s="300">
        <v>3.0</v>
      </c>
    </row>
    <row r="3126">
      <c r="A3126">
        <f>IFERROR(__xludf.DUMMYFUNCTION("""COMPUTED_VALUE"""),9.0)</f>
        <v>9</v>
      </c>
      <c r="B3126" s="406">
        <f>IFERROR(__xludf.DUMMYFUNCTION("""COMPUTED_VALUE"""),29019.0)</f>
        <v>29019</v>
      </c>
      <c r="C3126" t="str">
        <f>IFERROR(__xludf.DUMMYFUNCTION("""COMPUTED_VALUE"""),"BARRIENTOS ALVAREZ, ELISA")</f>
        <v>BARRIENTOS ALVAREZ, ELISA</v>
      </c>
      <c r="D3126" t="str">
        <f>IFERROR(__xludf.DUMMYFUNCTION("""COMPUTED_VALUE"""),"Technology 9")</f>
        <v>Technology 9</v>
      </c>
      <c r="E3126" s="3">
        <f>IFERROR(__xludf.DUMMYFUNCTION("""COMPUTED_VALUE"""),3.0)</f>
        <v>3</v>
      </c>
      <c r="F3126" s="300">
        <v>1.0</v>
      </c>
      <c r="G3126" s="300">
        <v>1.0</v>
      </c>
      <c r="H3126" s="300">
        <v>1.0</v>
      </c>
      <c r="I3126" s="300">
        <v>1.0</v>
      </c>
      <c r="J3126" s="300">
        <v>1.0</v>
      </c>
      <c r="K3126" s="300">
        <v>1.0</v>
      </c>
      <c r="L3126" s="300">
        <v>1.0</v>
      </c>
      <c r="M3126" s="300">
        <v>1.0</v>
      </c>
      <c r="N3126" s="300">
        <v>8.0</v>
      </c>
      <c r="O3126" s="300" t="s">
        <v>959</v>
      </c>
      <c r="P3126" s="300">
        <v>3.0</v>
      </c>
    </row>
    <row r="3127">
      <c r="A3127">
        <f>IFERROR(__xludf.DUMMYFUNCTION("""COMPUTED_VALUE"""),9.0)</f>
        <v>9</v>
      </c>
      <c r="B3127" s="406">
        <f>IFERROR(__xludf.DUMMYFUNCTION("""COMPUTED_VALUE"""),29079.0)</f>
        <v>29079</v>
      </c>
      <c r="C3127" t="str">
        <f>IFERROR(__xludf.DUMMYFUNCTION("""COMPUTED_VALUE"""),"MISAS MESA, ALICIA")</f>
        <v>MISAS MESA, ALICIA</v>
      </c>
      <c r="D3127" t="str">
        <f>IFERROR(__xludf.DUMMYFUNCTION("""COMPUTED_VALUE"""),"Technology 9")</f>
        <v>Technology 9</v>
      </c>
      <c r="E3127" s="3">
        <f>IFERROR(__xludf.DUMMYFUNCTION("""COMPUTED_VALUE"""),3.0)</f>
        <v>3</v>
      </c>
      <c r="F3127" s="300">
        <v>1.0</v>
      </c>
      <c r="G3127" s="300">
        <v>1.0</v>
      </c>
      <c r="H3127" s="300">
        <v>1.0</v>
      </c>
      <c r="I3127" s="300">
        <v>1.0</v>
      </c>
      <c r="J3127" s="300">
        <v>1.0</v>
      </c>
      <c r="K3127" s="300">
        <v>1.0</v>
      </c>
      <c r="L3127" s="300">
        <v>1.0</v>
      </c>
      <c r="M3127" s="300">
        <v>1.0</v>
      </c>
      <c r="N3127" s="300">
        <v>8.0</v>
      </c>
      <c r="O3127" s="300" t="s">
        <v>959</v>
      </c>
      <c r="P3127" s="300">
        <v>3.0</v>
      </c>
    </row>
    <row r="3128">
      <c r="A3128">
        <f>IFERROR(__xludf.DUMMYFUNCTION("""COMPUTED_VALUE"""),9.0)</f>
        <v>9</v>
      </c>
      <c r="B3128" s="406">
        <f>IFERROR(__xludf.DUMMYFUNCTION("""COMPUTED_VALUE"""),29010.0)</f>
        <v>29010</v>
      </c>
      <c r="C3128" t="str">
        <f>IFERROR(__xludf.DUMMYFUNCTION("""COMPUTED_VALUE"""),"ARANGO NAVARRO, MANUELA")</f>
        <v>ARANGO NAVARRO, MANUELA</v>
      </c>
      <c r="D3128" t="str">
        <f>IFERROR(__xludf.DUMMYFUNCTION("""COMPUTED_VALUE"""),"Technology 9")</f>
        <v>Technology 9</v>
      </c>
      <c r="E3128" s="3">
        <f>IFERROR(__xludf.DUMMYFUNCTION("""COMPUTED_VALUE"""),3.0)</f>
        <v>3</v>
      </c>
      <c r="F3128" s="300">
        <v>1.0</v>
      </c>
      <c r="G3128" s="300">
        <v>1.0</v>
      </c>
      <c r="H3128" s="300">
        <v>1.0</v>
      </c>
      <c r="I3128" s="300">
        <v>1.0</v>
      </c>
      <c r="J3128" s="300">
        <v>1.0</v>
      </c>
      <c r="K3128" s="300">
        <v>1.0</v>
      </c>
      <c r="L3128" s="300">
        <v>1.0</v>
      </c>
      <c r="M3128" s="300">
        <v>1.0</v>
      </c>
      <c r="N3128" s="300">
        <v>8.0</v>
      </c>
      <c r="O3128" s="300" t="s">
        <v>959</v>
      </c>
      <c r="P3128" s="300">
        <v>3.0</v>
      </c>
    </row>
    <row r="3129">
      <c r="A3129">
        <f>IFERROR(__xludf.DUMMYFUNCTION("""COMPUTED_VALUE"""),9.0)</f>
        <v>9</v>
      </c>
      <c r="B3129" s="406">
        <f>IFERROR(__xludf.DUMMYFUNCTION("""COMPUTED_VALUE"""),29074.0)</f>
        <v>29074</v>
      </c>
      <c r="C3129" t="str">
        <f>IFERROR(__xludf.DUMMYFUNCTION("""COMPUTED_VALUE"""),"MEDINA JARAMILLO, ALICIA")</f>
        <v>MEDINA JARAMILLO, ALICIA</v>
      </c>
      <c r="D3129" t="str">
        <f>IFERROR(__xludf.DUMMYFUNCTION("""COMPUTED_VALUE"""),"Technology 9")</f>
        <v>Technology 9</v>
      </c>
      <c r="E3129" s="3">
        <f>IFERROR(__xludf.DUMMYFUNCTION("""COMPUTED_VALUE"""),5.0)</f>
        <v>5</v>
      </c>
      <c r="F3129" s="300">
        <v>1.0</v>
      </c>
      <c r="G3129" s="300">
        <v>1.0</v>
      </c>
      <c r="H3129" s="300">
        <v>1.0</v>
      </c>
      <c r="I3129" s="300">
        <v>1.0</v>
      </c>
      <c r="J3129" s="300">
        <v>1.0</v>
      </c>
      <c r="K3129" s="300">
        <v>1.0</v>
      </c>
      <c r="L3129" s="300">
        <v>1.0</v>
      </c>
      <c r="M3129" s="300">
        <v>1.0</v>
      </c>
      <c r="N3129" s="300">
        <v>8.0</v>
      </c>
      <c r="O3129" s="300" t="s">
        <v>957</v>
      </c>
      <c r="P3129" s="300">
        <v>3.0</v>
      </c>
    </row>
    <row r="3130">
      <c r="A3130">
        <f>IFERROR(__xludf.DUMMYFUNCTION("""COMPUTED_VALUE"""),9.0)</f>
        <v>9</v>
      </c>
      <c r="B3130" s="406">
        <f>IFERROR(__xludf.DUMMYFUNCTION("""COMPUTED_VALUE"""),29001.0)</f>
        <v>29001</v>
      </c>
      <c r="C3130" t="str">
        <f>IFERROR(__xludf.DUMMYFUNCTION("""COMPUTED_VALUE"""),"ACEVEDO ARANGO, ROSARIO")</f>
        <v>ACEVEDO ARANGO, ROSARIO</v>
      </c>
      <c r="D3130" t="str">
        <f>IFERROR(__xludf.DUMMYFUNCTION("""COMPUTED_VALUE"""),"Technology 9")</f>
        <v>Technology 9</v>
      </c>
      <c r="E3130" s="3">
        <f>IFERROR(__xludf.DUMMYFUNCTION("""COMPUTED_VALUE"""),3.0)</f>
        <v>3</v>
      </c>
      <c r="F3130" s="300">
        <v>1.0</v>
      </c>
      <c r="G3130" s="300">
        <v>1.0</v>
      </c>
      <c r="H3130" s="300">
        <v>1.0</v>
      </c>
      <c r="I3130" s="300">
        <v>1.0</v>
      </c>
      <c r="J3130" s="300">
        <v>1.0</v>
      </c>
      <c r="K3130" s="300">
        <v>1.0</v>
      </c>
      <c r="L3130" s="300">
        <v>1.0</v>
      </c>
      <c r="M3130" s="300">
        <v>1.0</v>
      </c>
      <c r="N3130" s="300">
        <v>8.0</v>
      </c>
      <c r="O3130" s="300" t="s">
        <v>959</v>
      </c>
      <c r="P3130" s="300">
        <v>3.0</v>
      </c>
    </row>
    <row r="3131">
      <c r="A3131">
        <f>IFERROR(__xludf.DUMMYFUNCTION("""COMPUTED_VALUE"""),9.0)</f>
        <v>9</v>
      </c>
      <c r="B3131" s="406">
        <f>IFERROR(__xludf.DUMMYFUNCTION("""COMPUTED_VALUE"""),29043.0)</f>
        <v>29043</v>
      </c>
      <c r="C3131" t="str">
        <f>IFERROR(__xludf.DUMMYFUNCTION("""COMPUTED_VALUE"""),"GOMEZ PASCHKE, VALERIA")</f>
        <v>GOMEZ PASCHKE, VALERIA</v>
      </c>
      <c r="D3131" t="str">
        <f>IFERROR(__xludf.DUMMYFUNCTION("""COMPUTED_VALUE"""),"Technology 9")</f>
        <v>Technology 9</v>
      </c>
      <c r="E3131" s="3">
        <f>IFERROR(__xludf.DUMMYFUNCTION("""COMPUTED_VALUE"""),5.0)</f>
        <v>5</v>
      </c>
      <c r="F3131" s="300">
        <v>1.0</v>
      </c>
      <c r="G3131" s="300">
        <v>1.0</v>
      </c>
      <c r="H3131" s="300">
        <v>1.0</v>
      </c>
      <c r="I3131" s="300">
        <v>1.0</v>
      </c>
      <c r="J3131" s="300">
        <v>1.0</v>
      </c>
      <c r="K3131" s="300">
        <v>1.0</v>
      </c>
      <c r="L3131" s="300">
        <v>1.0</v>
      </c>
      <c r="M3131" s="300">
        <v>1.0</v>
      </c>
      <c r="N3131" s="300">
        <v>8.0</v>
      </c>
      <c r="O3131" s="300" t="s">
        <v>957</v>
      </c>
      <c r="P3131" s="300">
        <v>3.0</v>
      </c>
    </row>
    <row r="3132">
      <c r="A3132">
        <f>IFERROR(__xludf.DUMMYFUNCTION("""COMPUTED_VALUE"""),9.0)</f>
        <v>9</v>
      </c>
      <c r="B3132" s="406">
        <f>IFERROR(__xludf.DUMMYFUNCTION("""COMPUTED_VALUE"""),29114.0)</f>
        <v>29114</v>
      </c>
      <c r="C3132" t="str">
        <f>IFERROR(__xludf.DUMMYFUNCTION("""COMPUTED_VALUE"""),"THIRIEZ VILLA, MARIA")</f>
        <v>THIRIEZ VILLA, MARIA</v>
      </c>
      <c r="D3132" t="str">
        <f>IFERROR(__xludf.DUMMYFUNCTION("""COMPUTED_VALUE"""),"Technology 9")</f>
        <v>Technology 9</v>
      </c>
      <c r="E3132" s="3">
        <f>IFERROR(__xludf.DUMMYFUNCTION("""COMPUTED_VALUE"""),3.0)</f>
        <v>3</v>
      </c>
      <c r="F3132" s="300">
        <v>1.0</v>
      </c>
      <c r="G3132" s="300">
        <v>1.0</v>
      </c>
      <c r="H3132" s="300">
        <v>1.0</v>
      </c>
      <c r="I3132" s="300">
        <v>1.0</v>
      </c>
      <c r="J3132" s="300">
        <v>1.0</v>
      </c>
      <c r="K3132" s="300">
        <v>1.0</v>
      </c>
      <c r="L3132" s="300">
        <v>1.0</v>
      </c>
      <c r="M3132" s="300">
        <v>1.0</v>
      </c>
      <c r="N3132" s="300">
        <v>8.0</v>
      </c>
      <c r="O3132" s="300" t="s">
        <v>959</v>
      </c>
      <c r="P3132" s="300">
        <v>3.0</v>
      </c>
    </row>
    <row r="3133">
      <c r="A3133">
        <f>IFERROR(__xludf.DUMMYFUNCTION("""COMPUTED_VALUE"""),9.0)</f>
        <v>9</v>
      </c>
      <c r="B3133" s="406">
        <f>IFERROR(__xludf.DUMMYFUNCTION("""COMPUTED_VALUE"""),29091.0)</f>
        <v>29091</v>
      </c>
      <c r="C3133" t="str">
        <f>IFERROR(__xludf.DUMMYFUNCTION("""COMPUTED_VALUE"""),"PLATA BOLAÑOS, CAMILA")</f>
        <v>PLATA BOLAÑOS, CAMILA</v>
      </c>
      <c r="D3133" t="str">
        <f>IFERROR(__xludf.DUMMYFUNCTION("""COMPUTED_VALUE"""),"Technology 9")</f>
        <v>Technology 9</v>
      </c>
      <c r="E3133" s="3">
        <f>IFERROR(__xludf.DUMMYFUNCTION("""COMPUTED_VALUE"""),3.0)</f>
        <v>3</v>
      </c>
      <c r="F3133" s="300">
        <v>1.0</v>
      </c>
      <c r="G3133" s="300">
        <v>1.0</v>
      </c>
      <c r="H3133" s="300">
        <v>1.0</v>
      </c>
      <c r="I3133" s="300">
        <v>1.0</v>
      </c>
      <c r="J3133" s="300">
        <v>1.0</v>
      </c>
      <c r="K3133" s="300">
        <v>1.0</v>
      </c>
      <c r="L3133" s="300">
        <v>1.0</v>
      </c>
      <c r="M3133" s="300">
        <v>1.0</v>
      </c>
      <c r="N3133" s="300">
        <v>8.0</v>
      </c>
      <c r="O3133" s="300" t="s">
        <v>959</v>
      </c>
      <c r="P3133" s="300">
        <v>3.0</v>
      </c>
    </row>
    <row r="3134">
      <c r="A3134">
        <f>IFERROR(__xludf.DUMMYFUNCTION("""COMPUTED_VALUE"""),9.0)</f>
        <v>9</v>
      </c>
      <c r="B3134" s="406">
        <f>IFERROR(__xludf.DUMMYFUNCTION("""COMPUTED_VALUE"""),29034.0)</f>
        <v>29034</v>
      </c>
      <c r="C3134" t="str">
        <f>IFERROR(__xludf.DUMMYFUNCTION("""COMPUTED_VALUE"""),"DUQUE BONNETT, ELISA")</f>
        <v>DUQUE BONNETT, ELISA</v>
      </c>
      <c r="D3134" t="str">
        <f>IFERROR(__xludf.DUMMYFUNCTION("""COMPUTED_VALUE"""),"FRC 9 Robotics")</f>
        <v>FRC 9 Robotics</v>
      </c>
      <c r="E3134" s="3">
        <f>IFERROR(__xludf.DUMMYFUNCTION("""COMPUTED_VALUE"""),2.0)</f>
        <v>2</v>
      </c>
      <c r="F3134" s="300">
        <v>1.0</v>
      </c>
      <c r="G3134" s="300">
        <v>1.0</v>
      </c>
      <c r="H3134" s="300">
        <v>1.0</v>
      </c>
      <c r="I3134" s="300">
        <v>1.0</v>
      </c>
      <c r="J3134" s="300">
        <v>1.0</v>
      </c>
      <c r="K3134" s="300">
        <v>1.0</v>
      </c>
      <c r="L3134" s="300">
        <v>1.0</v>
      </c>
      <c r="M3134" s="300">
        <v>1.0</v>
      </c>
      <c r="N3134" s="300">
        <v>8.0</v>
      </c>
      <c r="O3134" s="300" t="s">
        <v>962</v>
      </c>
      <c r="P3134" s="300">
        <v>4.0</v>
      </c>
    </row>
    <row r="3135">
      <c r="A3135">
        <f>IFERROR(__xludf.DUMMYFUNCTION("""COMPUTED_VALUE"""),9.0)</f>
        <v>9</v>
      </c>
      <c r="B3135" s="406">
        <f>IFERROR(__xludf.DUMMYFUNCTION("""COMPUTED_VALUE"""),29080.0)</f>
        <v>29080</v>
      </c>
      <c r="C3135" t="str">
        <f>IFERROR(__xludf.DUMMYFUNCTION("""COMPUTED_VALUE"""),"MONTES LOPEZ, MANUELA")</f>
        <v>MONTES LOPEZ, MANUELA</v>
      </c>
      <c r="D3135" t="str">
        <f>IFERROR(__xludf.DUMMYFUNCTION("""COMPUTED_VALUE"""),"Technology 9")</f>
        <v>Technology 9</v>
      </c>
      <c r="E3135" s="3">
        <f>IFERROR(__xludf.DUMMYFUNCTION("""COMPUTED_VALUE"""),5.0)</f>
        <v>5</v>
      </c>
      <c r="F3135" s="300">
        <v>1.0</v>
      </c>
      <c r="G3135" s="300">
        <v>1.0</v>
      </c>
      <c r="H3135" s="300">
        <v>1.0</v>
      </c>
      <c r="I3135" s="300">
        <v>1.0</v>
      </c>
      <c r="J3135" s="300">
        <v>1.0</v>
      </c>
      <c r="K3135" s="300">
        <v>1.0</v>
      </c>
      <c r="L3135" s="300">
        <v>1.0</v>
      </c>
      <c r="M3135" s="300">
        <v>1.0</v>
      </c>
      <c r="N3135" s="300">
        <v>8.0</v>
      </c>
      <c r="O3135" s="300" t="s">
        <v>957</v>
      </c>
      <c r="P3135" s="300">
        <v>3.0</v>
      </c>
    </row>
    <row r="3136">
      <c r="A3136">
        <f>IFERROR(__xludf.DUMMYFUNCTION("""COMPUTED_VALUE"""),9.0)</f>
        <v>9</v>
      </c>
      <c r="B3136" s="406">
        <f>IFERROR(__xludf.DUMMYFUNCTION("""COMPUTED_VALUE"""),29157.0)</f>
        <v>29157</v>
      </c>
      <c r="C3136" t="str">
        <f>IFERROR(__xludf.DUMMYFUNCTION("""COMPUTED_VALUE"""),"PETTERSSON VANEGAS, DOMINIQUE")</f>
        <v>PETTERSSON VANEGAS, DOMINIQUE</v>
      </c>
      <c r="D3136" t="str">
        <f>IFERROR(__xludf.DUMMYFUNCTION("""COMPUTED_VALUE"""),"Technology 9")</f>
        <v>Technology 9</v>
      </c>
      <c r="E3136" s="3">
        <f>IFERROR(__xludf.DUMMYFUNCTION("""COMPUTED_VALUE"""),1.0)</f>
        <v>1</v>
      </c>
      <c r="F3136" s="300">
        <v>1.0</v>
      </c>
      <c r="G3136" s="300">
        <v>1.0</v>
      </c>
      <c r="H3136" s="300">
        <v>1.0</v>
      </c>
      <c r="I3136" s="300">
        <v>1.0</v>
      </c>
      <c r="J3136" s="300">
        <v>1.0</v>
      </c>
      <c r="K3136" s="300">
        <v>1.0</v>
      </c>
      <c r="L3136" s="300">
        <v>1.0</v>
      </c>
      <c r="M3136" s="300">
        <v>1.0</v>
      </c>
      <c r="N3136" s="300">
        <v>8.0</v>
      </c>
      <c r="O3136" s="300" t="s">
        <v>961</v>
      </c>
      <c r="P3136" s="300">
        <v>3.0</v>
      </c>
    </row>
    <row r="3137">
      <c r="A3137">
        <f>IFERROR(__xludf.DUMMYFUNCTION("""COMPUTED_VALUE"""),9.0)</f>
        <v>9</v>
      </c>
      <c r="B3137" s="406">
        <f>IFERROR(__xludf.DUMMYFUNCTION("""COMPUTED_VALUE"""),29111.0)</f>
        <v>29111</v>
      </c>
      <c r="C3137" t="str">
        <f>IFERROR(__xludf.DUMMYFUNCTION("""COMPUTED_VALUE"""),"SOTO ANGEL, GABRIELA")</f>
        <v>SOTO ANGEL, GABRIELA</v>
      </c>
      <c r="D3137" t="str">
        <f>IFERROR(__xludf.DUMMYFUNCTION("""COMPUTED_VALUE"""),"FRC 9 Robotics")</f>
        <v>FRC 9 Robotics</v>
      </c>
      <c r="E3137" s="3">
        <f>IFERROR(__xludf.DUMMYFUNCTION("""COMPUTED_VALUE"""),5.0)</f>
        <v>5</v>
      </c>
      <c r="F3137" s="300">
        <v>1.0</v>
      </c>
      <c r="G3137" s="300">
        <v>1.0</v>
      </c>
      <c r="H3137" s="300">
        <v>1.0</v>
      </c>
      <c r="I3137" s="300">
        <v>1.0</v>
      </c>
      <c r="J3137" s="300">
        <v>1.0</v>
      </c>
      <c r="K3137" s="300">
        <v>1.0</v>
      </c>
      <c r="L3137" s="300">
        <v>1.0</v>
      </c>
      <c r="M3137" s="300">
        <v>1.0</v>
      </c>
      <c r="N3137" s="300">
        <v>8.0</v>
      </c>
      <c r="O3137" s="300" t="s">
        <v>956</v>
      </c>
      <c r="P3137" s="300">
        <v>4.0</v>
      </c>
    </row>
    <row r="3138">
      <c r="A3138">
        <f>IFERROR(__xludf.DUMMYFUNCTION("""COMPUTED_VALUE"""),9.0)</f>
        <v>9</v>
      </c>
      <c r="B3138" s="406">
        <f>IFERROR(__xludf.DUMMYFUNCTION("""COMPUTED_VALUE"""),29107.0)</f>
        <v>29107</v>
      </c>
      <c r="C3138" t="str">
        <f>IFERROR(__xludf.DUMMYFUNCTION("""COMPUTED_VALUE"""),"SANIN JARAMILLO, PEDRO")</f>
        <v>SANIN JARAMILLO, PEDRO</v>
      </c>
      <c r="D3138" t="str">
        <f>IFERROR(__xludf.DUMMYFUNCTION("""COMPUTED_VALUE"""),"FRC 9")</f>
        <v>FRC 9</v>
      </c>
      <c r="E3138" s="3">
        <f>IFERROR(__xludf.DUMMYFUNCTION("""COMPUTED_VALUE"""),6.0)</f>
        <v>6</v>
      </c>
      <c r="F3138" s="300">
        <v>1.0</v>
      </c>
      <c r="G3138" s="300">
        <v>1.0</v>
      </c>
      <c r="H3138" s="300">
        <v>1.0</v>
      </c>
      <c r="I3138" s="300">
        <v>1.0</v>
      </c>
      <c r="J3138" s="300">
        <v>1.0</v>
      </c>
      <c r="K3138" s="300">
        <v>1.0</v>
      </c>
      <c r="L3138" s="300">
        <v>1.0</v>
      </c>
      <c r="M3138" s="300">
        <v>1.0</v>
      </c>
      <c r="N3138" s="300">
        <v>8.0</v>
      </c>
      <c r="O3138" s="300" t="s">
        <v>960</v>
      </c>
      <c r="P3138" s="300">
        <v>1.0</v>
      </c>
    </row>
    <row r="3139">
      <c r="A3139">
        <f>IFERROR(__xludf.DUMMYFUNCTION("""COMPUTED_VALUE"""),9.0)</f>
        <v>9</v>
      </c>
      <c r="B3139" s="406">
        <f>IFERROR(__xludf.DUMMYFUNCTION("""COMPUTED_VALUE"""),29066.0)</f>
        <v>29066</v>
      </c>
      <c r="C3139" t="str">
        <f>IFERROR(__xludf.DUMMYFUNCTION("""COMPUTED_VALUE"""),"LONDOÑO JARAMILLO, MARTINA")</f>
        <v>LONDOÑO JARAMILLO, MARTINA</v>
      </c>
      <c r="D3139" t="str">
        <f>IFERROR(__xludf.DUMMYFUNCTION("""COMPUTED_VALUE"""),"Technology 9")</f>
        <v>Technology 9</v>
      </c>
      <c r="E3139" s="3">
        <f>IFERROR(__xludf.DUMMYFUNCTION("""COMPUTED_VALUE"""),5.0)</f>
        <v>5</v>
      </c>
      <c r="F3139" s="300">
        <v>1.0</v>
      </c>
      <c r="G3139" s="300">
        <v>1.0</v>
      </c>
      <c r="H3139" s="300">
        <v>1.0</v>
      </c>
      <c r="I3139" s="300">
        <v>1.0</v>
      </c>
      <c r="J3139" s="300">
        <v>1.0</v>
      </c>
      <c r="K3139" s="300">
        <v>1.0</v>
      </c>
      <c r="L3139" s="300">
        <v>1.0</v>
      </c>
      <c r="M3139" s="300">
        <v>1.0</v>
      </c>
      <c r="N3139" s="300">
        <v>8.0</v>
      </c>
      <c r="O3139" s="300" t="s">
        <v>957</v>
      </c>
      <c r="P3139" s="300">
        <v>3.0</v>
      </c>
    </row>
    <row r="3140">
      <c r="A3140">
        <f>IFERROR(__xludf.DUMMYFUNCTION("""COMPUTED_VALUE"""),9.0)</f>
        <v>9</v>
      </c>
      <c r="B3140" s="406">
        <f>IFERROR(__xludf.DUMMYFUNCTION("""COMPUTED_VALUE"""),29071.0)</f>
        <v>29071</v>
      </c>
      <c r="C3140" t="str">
        <f>IFERROR(__xludf.DUMMYFUNCTION("""COMPUTED_VALUE"""),"MARQUEZ BARRERA, MIRANDA")</f>
        <v>MARQUEZ BARRERA, MIRANDA</v>
      </c>
      <c r="D3140" t="str">
        <f>IFERROR(__xludf.DUMMYFUNCTION("""COMPUTED_VALUE"""),"Technology 9")</f>
        <v>Technology 9</v>
      </c>
      <c r="E3140" s="3">
        <f>IFERROR(__xludf.DUMMYFUNCTION("""COMPUTED_VALUE"""),1.0)</f>
        <v>1</v>
      </c>
      <c r="F3140" s="300">
        <v>1.0</v>
      </c>
      <c r="G3140" s="300">
        <v>1.0</v>
      </c>
      <c r="H3140" s="300">
        <v>1.0</v>
      </c>
      <c r="I3140" s="300">
        <v>1.0</v>
      </c>
      <c r="J3140" s="300">
        <v>1.0</v>
      </c>
      <c r="K3140" s="300">
        <v>1.0</v>
      </c>
      <c r="L3140" s="300">
        <v>1.0</v>
      </c>
      <c r="M3140" s="300">
        <v>1.0</v>
      </c>
      <c r="N3140" s="300">
        <v>8.0</v>
      </c>
      <c r="O3140" s="300" t="s">
        <v>961</v>
      </c>
      <c r="P3140" s="300">
        <v>3.0</v>
      </c>
    </row>
    <row r="3141">
      <c r="A3141">
        <f>IFERROR(__xludf.DUMMYFUNCTION("""COMPUTED_VALUE"""),9.0)</f>
        <v>9</v>
      </c>
      <c r="B3141" s="406">
        <f>IFERROR(__xludf.DUMMYFUNCTION("""COMPUTED_VALUE"""),29008.0)</f>
        <v>29008</v>
      </c>
      <c r="C3141" t="str">
        <f>IFERROR(__xludf.DUMMYFUNCTION("""COMPUTED_VALUE"""),"APA ECHAVARRIA, LORENZO")</f>
        <v>APA ECHAVARRIA, LORENZO</v>
      </c>
      <c r="D3141" t="str">
        <f>IFERROR(__xludf.DUMMYFUNCTION("""COMPUTED_VALUE"""),"FRC 9 Robotics")</f>
        <v>FRC 9 Robotics</v>
      </c>
      <c r="E3141" s="3">
        <f>IFERROR(__xludf.DUMMYFUNCTION("""COMPUTED_VALUE"""),1.0)</f>
        <v>1</v>
      </c>
      <c r="F3141" s="300">
        <v>1.0</v>
      </c>
      <c r="G3141" s="300">
        <v>1.0</v>
      </c>
      <c r="H3141" s="300">
        <v>1.0</v>
      </c>
      <c r="I3141" s="300">
        <v>1.0</v>
      </c>
      <c r="J3141" s="300">
        <v>1.0</v>
      </c>
      <c r="K3141" s="300">
        <v>1.0</v>
      </c>
      <c r="L3141" s="300">
        <v>1.0</v>
      </c>
      <c r="M3141" s="300">
        <v>1.0</v>
      </c>
      <c r="N3141" s="300">
        <v>8.0</v>
      </c>
      <c r="O3141" s="300" t="s">
        <v>963</v>
      </c>
      <c r="P3141" s="300">
        <v>4.0</v>
      </c>
    </row>
    <row r="3142">
      <c r="A3142">
        <f>IFERROR(__xludf.DUMMYFUNCTION("""COMPUTED_VALUE"""),9.0)</f>
        <v>9</v>
      </c>
      <c r="B3142" s="406">
        <f>IFERROR(__xludf.DUMMYFUNCTION("""COMPUTED_VALUE"""),29016.0)</f>
        <v>29016</v>
      </c>
      <c r="C3142" t="str">
        <f>IFERROR(__xludf.DUMMYFUNCTION("""COMPUTED_VALUE"""),"ARROYAVE LONDOÑO, ELISA")</f>
        <v>ARROYAVE LONDOÑO, ELISA</v>
      </c>
      <c r="D3142" t="str">
        <f>IFERROR(__xludf.DUMMYFUNCTION("""COMPUTED_VALUE"""),"Technology 9")</f>
        <v>Technology 9</v>
      </c>
      <c r="E3142" s="3">
        <f>IFERROR(__xludf.DUMMYFUNCTION("""COMPUTED_VALUE"""),5.0)</f>
        <v>5</v>
      </c>
      <c r="F3142" s="300">
        <v>1.0</v>
      </c>
      <c r="G3142" s="300">
        <v>1.0</v>
      </c>
      <c r="H3142" s="300">
        <v>1.0</v>
      </c>
      <c r="I3142" s="300">
        <v>1.0</v>
      </c>
      <c r="J3142" s="300">
        <v>1.0</v>
      </c>
      <c r="K3142" s="300">
        <v>1.0</v>
      </c>
      <c r="L3142" s="300">
        <v>1.0</v>
      </c>
      <c r="M3142" s="300">
        <v>1.0</v>
      </c>
      <c r="N3142" s="300">
        <v>8.0</v>
      </c>
      <c r="O3142" s="300" t="s">
        <v>957</v>
      </c>
      <c r="P3142" s="300">
        <v>3.0</v>
      </c>
    </row>
    <row r="3143">
      <c r="A3143">
        <f>IFERROR(__xludf.DUMMYFUNCTION("""COMPUTED_VALUE"""),9.0)</f>
        <v>9</v>
      </c>
      <c r="B3143" s="406">
        <f>IFERROR(__xludf.DUMMYFUNCTION("""COMPUTED_VALUE"""),29053.0)</f>
        <v>29053</v>
      </c>
      <c r="C3143" t="str">
        <f>IFERROR(__xludf.DUMMYFUNCTION("""COMPUTED_VALUE"""),"HURTADO FAJARDO, JUANITA")</f>
        <v>HURTADO FAJARDO, JUANITA</v>
      </c>
      <c r="D3143" t="str">
        <f>IFERROR(__xludf.DUMMYFUNCTION("""COMPUTED_VALUE"""),"Technology 9")</f>
        <v>Technology 9</v>
      </c>
      <c r="E3143" s="3">
        <f>IFERROR(__xludf.DUMMYFUNCTION("""COMPUTED_VALUE"""),3.0)</f>
        <v>3</v>
      </c>
      <c r="F3143" s="300">
        <v>1.0</v>
      </c>
      <c r="G3143" s="300">
        <v>1.0</v>
      </c>
      <c r="H3143" s="300">
        <v>1.0</v>
      </c>
      <c r="I3143" s="300">
        <v>1.0</v>
      </c>
      <c r="J3143" s="300">
        <v>1.0</v>
      </c>
      <c r="K3143" s="300">
        <v>1.0</v>
      </c>
      <c r="L3143" s="300">
        <v>1.0</v>
      </c>
      <c r="M3143" s="300">
        <v>1.0</v>
      </c>
      <c r="N3143" s="300">
        <v>8.0</v>
      </c>
      <c r="O3143" s="300" t="s">
        <v>959</v>
      </c>
      <c r="P3143" s="300">
        <v>3.0</v>
      </c>
    </row>
    <row r="3144">
      <c r="A3144">
        <f>IFERROR(__xludf.DUMMYFUNCTION("""COMPUTED_VALUE"""),9.0)</f>
        <v>9</v>
      </c>
      <c r="B3144" s="406">
        <f>IFERROR(__xludf.DUMMYFUNCTION("""COMPUTED_VALUE"""),29124.0)</f>
        <v>29124</v>
      </c>
      <c r="C3144" t="str">
        <f>IFERROR(__xludf.DUMMYFUNCTION("""COMPUTED_VALUE"""),"VALLEJO HOYOS, JUAN")</f>
        <v>VALLEJO HOYOS, JUAN</v>
      </c>
      <c r="D3144" t="str">
        <f>IFERROR(__xludf.DUMMYFUNCTION("""COMPUTED_VALUE"""),"FRC 9")</f>
        <v>FRC 9</v>
      </c>
      <c r="E3144" s="3">
        <f>IFERROR(__xludf.DUMMYFUNCTION("""COMPUTED_VALUE"""),6.0)</f>
        <v>6</v>
      </c>
      <c r="F3144" s="300">
        <v>1.0</v>
      </c>
      <c r="G3144" s="300">
        <v>1.0</v>
      </c>
      <c r="H3144" s="300">
        <v>1.0</v>
      </c>
      <c r="I3144" s="300">
        <v>1.0</v>
      </c>
      <c r="J3144" s="300">
        <v>1.0</v>
      </c>
      <c r="K3144" s="300">
        <v>1.0</v>
      </c>
      <c r="L3144" s="300">
        <v>1.0</v>
      </c>
      <c r="M3144" s="300">
        <v>1.0</v>
      </c>
      <c r="N3144" s="300">
        <v>8.0</v>
      </c>
      <c r="O3144" s="300" t="s">
        <v>960</v>
      </c>
      <c r="P3144" s="300">
        <v>1.0</v>
      </c>
    </row>
    <row r="3145">
      <c r="A3145">
        <f>IFERROR(__xludf.DUMMYFUNCTION("""COMPUTED_VALUE"""),9.0)</f>
        <v>9</v>
      </c>
      <c r="B3145" s="406">
        <f>IFERROR(__xludf.DUMMYFUNCTION("""COMPUTED_VALUE"""),29135.0)</f>
        <v>29135</v>
      </c>
      <c r="C3145" t="str">
        <f>IFERROR(__xludf.DUMMYFUNCTION("""COMPUTED_VALUE"""),"ECHAVARRIA MUÑOZ, NICOLAS")</f>
        <v>ECHAVARRIA MUÑOZ, NICOLAS</v>
      </c>
      <c r="D3145" t="str">
        <f>IFERROR(__xludf.DUMMYFUNCTION("""COMPUTED_VALUE"""),"FRC 9")</f>
        <v>FRC 9</v>
      </c>
      <c r="E3145" s="3">
        <f>IFERROR(__xludf.DUMMYFUNCTION("""COMPUTED_VALUE"""),6.0)</f>
        <v>6</v>
      </c>
      <c r="F3145" s="300">
        <v>1.0</v>
      </c>
      <c r="G3145" s="300">
        <v>1.0</v>
      </c>
      <c r="H3145" s="300">
        <v>1.0</v>
      </c>
      <c r="I3145" s="300">
        <v>1.0</v>
      </c>
      <c r="J3145" s="300">
        <v>1.0</v>
      </c>
      <c r="K3145" s="300">
        <v>1.0</v>
      </c>
      <c r="L3145" s="300">
        <v>1.0</v>
      </c>
      <c r="M3145" s="300">
        <v>1.0</v>
      </c>
      <c r="N3145" s="300">
        <v>8.0</v>
      </c>
      <c r="O3145" s="300" t="s">
        <v>960</v>
      </c>
      <c r="P3145" s="300">
        <v>1.0</v>
      </c>
    </row>
    <row r="3146">
      <c r="A3146">
        <f>IFERROR(__xludf.DUMMYFUNCTION("""COMPUTED_VALUE"""),9.0)</f>
        <v>9</v>
      </c>
      <c r="B3146" s="406">
        <f>IFERROR(__xludf.DUMMYFUNCTION("""COMPUTED_VALUE"""),29112.0)</f>
        <v>29112</v>
      </c>
      <c r="C3146" t="str">
        <f>IFERROR(__xludf.DUMMYFUNCTION("""COMPUTED_VALUE"""),"SUAREZ MARTINEZ, ANA")</f>
        <v>SUAREZ MARTINEZ, ANA</v>
      </c>
      <c r="D3146" t="str">
        <f>IFERROR(__xludf.DUMMYFUNCTION("""COMPUTED_VALUE"""),"Technology 9")</f>
        <v>Technology 9</v>
      </c>
      <c r="E3146" s="3">
        <f>IFERROR(__xludf.DUMMYFUNCTION("""COMPUTED_VALUE"""),5.0)</f>
        <v>5</v>
      </c>
      <c r="F3146" s="300">
        <v>1.0</v>
      </c>
      <c r="G3146" s="300">
        <v>1.0</v>
      </c>
      <c r="H3146" s="300">
        <v>1.0</v>
      </c>
      <c r="I3146" s="300">
        <v>1.0</v>
      </c>
      <c r="J3146" s="300">
        <v>1.0</v>
      </c>
      <c r="K3146" s="300">
        <v>1.0</v>
      </c>
      <c r="L3146" s="300">
        <v>1.0</v>
      </c>
      <c r="M3146" s="300">
        <v>1.0</v>
      </c>
      <c r="N3146" s="300">
        <v>8.0</v>
      </c>
      <c r="O3146" s="300" t="s">
        <v>957</v>
      </c>
      <c r="P3146" s="300">
        <v>3.0</v>
      </c>
    </row>
    <row r="3147">
      <c r="A3147">
        <f>IFERROR(__xludf.DUMMYFUNCTION("""COMPUTED_VALUE"""),9.0)</f>
        <v>9</v>
      </c>
      <c r="B3147" s="406">
        <f>IFERROR(__xludf.DUMMYFUNCTION("""COMPUTED_VALUE"""),29022.0)</f>
        <v>29022</v>
      </c>
      <c r="C3147" t="str">
        <f>IFERROR(__xludf.DUMMYFUNCTION("""COMPUTED_VALUE"""),"BETANCUR ROBLEDO, PEDRO")</f>
        <v>BETANCUR ROBLEDO, PEDRO</v>
      </c>
      <c r="D3147" t="str">
        <f>IFERROR(__xludf.DUMMYFUNCTION("""COMPUTED_VALUE"""),"FRC 9 Robotics")</f>
        <v>FRC 9 Robotics</v>
      </c>
      <c r="E3147" s="3">
        <f>IFERROR(__xludf.DUMMYFUNCTION("""COMPUTED_VALUE"""),2.0)</f>
        <v>2</v>
      </c>
      <c r="F3147" s="300">
        <v>1.0</v>
      </c>
      <c r="G3147" s="300">
        <v>1.0</v>
      </c>
      <c r="H3147" s="300">
        <v>1.0</v>
      </c>
      <c r="I3147" s="300">
        <v>1.0</v>
      </c>
      <c r="J3147" s="300">
        <v>1.0</v>
      </c>
      <c r="K3147" s="300">
        <v>1.0</v>
      </c>
      <c r="L3147" s="300">
        <v>1.0</v>
      </c>
      <c r="M3147" s="300">
        <v>1.0</v>
      </c>
      <c r="N3147" s="300">
        <v>8.0</v>
      </c>
      <c r="O3147" s="300" t="s">
        <v>962</v>
      </c>
      <c r="P3147" s="300">
        <v>4.0</v>
      </c>
    </row>
    <row r="3148">
      <c r="A3148">
        <f>IFERROR(__xludf.DUMMYFUNCTION("""COMPUTED_VALUE"""),9.0)</f>
        <v>9</v>
      </c>
      <c r="B3148" s="406">
        <f>IFERROR(__xludf.DUMMYFUNCTION("""COMPUTED_VALUE"""),29085.0)</f>
        <v>29085</v>
      </c>
      <c r="C3148" t="str">
        <f>IFERROR(__xludf.DUMMYFUNCTION("""COMPUTED_VALUE"""),"OTALVARO ABAD, JUAN MARTIN")</f>
        <v>OTALVARO ABAD, JUAN MARTIN</v>
      </c>
      <c r="D3148" t="str">
        <f>IFERROR(__xludf.DUMMYFUNCTION("""COMPUTED_VALUE"""),"Technology 9")</f>
        <v>Technology 9</v>
      </c>
      <c r="E3148" s="3">
        <f>IFERROR(__xludf.DUMMYFUNCTION("""COMPUTED_VALUE"""),5.0)</f>
        <v>5</v>
      </c>
      <c r="F3148" s="300">
        <v>1.0</v>
      </c>
      <c r="G3148" s="300">
        <v>1.0</v>
      </c>
      <c r="H3148" s="300">
        <v>1.0</v>
      </c>
      <c r="I3148" s="300">
        <v>1.0</v>
      </c>
      <c r="J3148" s="300">
        <v>1.0</v>
      </c>
      <c r="K3148" s="300">
        <v>1.0</v>
      </c>
      <c r="L3148" s="300">
        <v>1.0</v>
      </c>
      <c r="M3148" s="300">
        <v>1.0</v>
      </c>
      <c r="N3148" s="300">
        <v>8.0</v>
      </c>
      <c r="O3148" s="300" t="s">
        <v>957</v>
      </c>
      <c r="P3148" s="300">
        <v>3.0</v>
      </c>
    </row>
    <row r="3149">
      <c r="A3149">
        <f>IFERROR(__xludf.DUMMYFUNCTION("""COMPUTED_VALUE"""),9.0)</f>
        <v>9</v>
      </c>
      <c r="B3149" s="406">
        <f>IFERROR(__xludf.DUMMYFUNCTION("""COMPUTED_VALUE"""),29081.0)</f>
        <v>29081</v>
      </c>
      <c r="C3149" t="str">
        <f>IFERROR(__xludf.DUMMYFUNCTION("""COMPUTED_VALUE"""),"MORA JARAMILLO, ALICIA")</f>
        <v>MORA JARAMILLO, ALICIA</v>
      </c>
      <c r="D3149" t="str">
        <f>IFERROR(__xludf.DUMMYFUNCTION("""COMPUTED_VALUE"""),"FRC 9 Robotics")</f>
        <v>FRC 9 Robotics</v>
      </c>
      <c r="E3149" s="3">
        <f>IFERROR(__xludf.DUMMYFUNCTION("""COMPUTED_VALUE"""),1.0)</f>
        <v>1</v>
      </c>
      <c r="F3149" s="300">
        <v>1.0</v>
      </c>
      <c r="G3149" s="300">
        <v>1.0</v>
      </c>
      <c r="H3149" s="300">
        <v>1.0</v>
      </c>
      <c r="I3149" s="300">
        <v>1.0</v>
      </c>
      <c r="J3149" s="300">
        <v>1.0</v>
      </c>
      <c r="K3149" s="300">
        <v>1.0</v>
      </c>
      <c r="L3149" s="300">
        <v>1.0</v>
      </c>
      <c r="M3149" s="300">
        <v>1.0</v>
      </c>
      <c r="N3149" s="300">
        <v>8.0</v>
      </c>
      <c r="O3149" s="300" t="s">
        <v>963</v>
      </c>
      <c r="P3149" s="300">
        <v>4.0</v>
      </c>
    </row>
    <row r="3150">
      <c r="A3150">
        <f>IFERROR(__xludf.DUMMYFUNCTION("""COMPUTED_VALUE"""),9.0)</f>
        <v>9</v>
      </c>
      <c r="B3150" s="406">
        <f>IFERROR(__xludf.DUMMYFUNCTION("""COMPUTED_VALUE"""),29147.0)</f>
        <v>29147</v>
      </c>
      <c r="C3150" t="str">
        <f>IFERROR(__xludf.DUMMYFUNCTION("""COMPUTED_VALUE"""),"JIMENO ARISTIZABAL, ISABELLA")</f>
        <v>JIMENO ARISTIZABAL, ISABELLA</v>
      </c>
      <c r="D3150" t="str">
        <f>IFERROR(__xludf.DUMMYFUNCTION("""COMPUTED_VALUE"""),"Technology 9")</f>
        <v>Technology 9</v>
      </c>
      <c r="E3150" s="3">
        <f>IFERROR(__xludf.DUMMYFUNCTION("""COMPUTED_VALUE"""),1.0)</f>
        <v>1</v>
      </c>
      <c r="F3150" s="300">
        <v>1.0</v>
      </c>
      <c r="G3150" s="300">
        <v>1.0</v>
      </c>
      <c r="H3150" s="300">
        <v>1.0</v>
      </c>
      <c r="I3150" s="300">
        <v>1.0</v>
      </c>
      <c r="J3150" s="300">
        <v>1.0</v>
      </c>
      <c r="K3150" s="300">
        <v>1.0</v>
      </c>
      <c r="L3150" s="300">
        <v>1.0</v>
      </c>
      <c r="M3150" s="300">
        <v>1.0</v>
      </c>
      <c r="N3150" s="300">
        <v>8.0</v>
      </c>
      <c r="O3150" s="300" t="s">
        <v>961</v>
      </c>
      <c r="P3150" s="300">
        <v>3.0</v>
      </c>
    </row>
    <row r="3151">
      <c r="A3151">
        <f>IFERROR(__xludf.DUMMYFUNCTION("""COMPUTED_VALUE"""),9.0)</f>
        <v>9</v>
      </c>
      <c r="B3151" s="406">
        <f>IFERROR(__xludf.DUMMYFUNCTION("""COMPUTED_VALUE"""),29007.0)</f>
        <v>29007</v>
      </c>
      <c r="C3151" t="str">
        <f>IFERROR(__xludf.DUMMYFUNCTION("""COMPUTED_VALUE"""),"ALZATE GARCIA, LUCIANA")</f>
        <v>ALZATE GARCIA, LUCIANA</v>
      </c>
      <c r="D3151" t="str">
        <f>IFERROR(__xludf.DUMMYFUNCTION("""COMPUTED_VALUE"""),"Technology 9")</f>
        <v>Technology 9</v>
      </c>
      <c r="E3151" s="3">
        <f>IFERROR(__xludf.DUMMYFUNCTION("""COMPUTED_VALUE"""),3.0)</f>
        <v>3</v>
      </c>
      <c r="F3151" s="300">
        <v>1.0</v>
      </c>
      <c r="G3151" s="300">
        <v>1.0</v>
      </c>
      <c r="H3151" s="300">
        <v>1.0</v>
      </c>
      <c r="I3151" s="300">
        <v>1.0</v>
      </c>
      <c r="J3151" s="300">
        <v>1.0</v>
      </c>
      <c r="K3151" s="300">
        <v>1.0</v>
      </c>
      <c r="L3151" s="300">
        <v>1.0</v>
      </c>
      <c r="M3151" s="300">
        <v>1.0</v>
      </c>
      <c r="N3151" s="300">
        <v>8.0</v>
      </c>
      <c r="O3151" s="300" t="s">
        <v>959</v>
      </c>
      <c r="P3151" s="300">
        <v>3.0</v>
      </c>
    </row>
    <row r="3152">
      <c r="A3152">
        <f>IFERROR(__xludf.DUMMYFUNCTION("""COMPUTED_VALUE"""),9.0)</f>
        <v>9</v>
      </c>
      <c r="B3152" s="406">
        <f>IFERROR(__xludf.DUMMYFUNCTION("""COMPUTED_VALUE"""),29032.0)</f>
        <v>29032</v>
      </c>
      <c r="C3152" t="str">
        <f>IFERROR(__xludf.DUMMYFUNCTION("""COMPUTED_VALUE"""),"CORTES SIERRA, TOMAS")</f>
        <v>CORTES SIERRA, TOMAS</v>
      </c>
      <c r="D3152" t="str">
        <f>IFERROR(__xludf.DUMMYFUNCTION("""COMPUTED_VALUE"""),"FRC 9")</f>
        <v>FRC 9</v>
      </c>
      <c r="E3152" s="3">
        <f>IFERROR(__xludf.DUMMYFUNCTION("""COMPUTED_VALUE"""),6.0)</f>
        <v>6</v>
      </c>
      <c r="F3152" s="300">
        <v>1.0</v>
      </c>
      <c r="G3152" s="300">
        <v>1.0</v>
      </c>
      <c r="H3152" s="300">
        <v>1.0</v>
      </c>
      <c r="I3152" s="300">
        <v>1.0</v>
      </c>
      <c r="J3152" s="300">
        <v>1.0</v>
      </c>
      <c r="K3152" s="300">
        <v>1.0</v>
      </c>
      <c r="L3152" s="300">
        <v>1.0</v>
      </c>
      <c r="M3152" s="300">
        <v>1.0</v>
      </c>
      <c r="N3152" s="300">
        <v>8.0</v>
      </c>
      <c r="O3152" s="300" t="s">
        <v>960</v>
      </c>
      <c r="P3152" s="300">
        <v>1.0</v>
      </c>
    </row>
    <row r="3153">
      <c r="A3153">
        <f>IFERROR(__xludf.DUMMYFUNCTION("""COMPUTED_VALUE"""),9.0)</f>
        <v>9</v>
      </c>
      <c r="B3153" s="406">
        <f>IFERROR(__xludf.DUMMYFUNCTION("""COMPUTED_VALUE"""),29076.0)</f>
        <v>29076</v>
      </c>
      <c r="C3153" t="str">
        <f>IFERROR(__xludf.DUMMYFUNCTION("""COMPUTED_VALUE"""),"MEJIA MANTILLA, MATEO")</f>
        <v>MEJIA MANTILLA, MATEO</v>
      </c>
      <c r="D3153" t="str">
        <f>IFERROR(__xludf.DUMMYFUNCTION("""COMPUTED_VALUE"""),"FRC 9 Robotics")</f>
        <v>FRC 9 Robotics</v>
      </c>
      <c r="E3153" s="3">
        <f>IFERROR(__xludf.DUMMYFUNCTION("""COMPUTED_VALUE"""),1.0)</f>
        <v>1</v>
      </c>
      <c r="F3153" s="300">
        <v>1.0</v>
      </c>
      <c r="G3153" s="300">
        <v>1.0</v>
      </c>
      <c r="H3153" s="300">
        <v>1.0</v>
      </c>
      <c r="I3153" s="300">
        <v>1.0</v>
      </c>
      <c r="J3153" s="300">
        <v>1.0</v>
      </c>
      <c r="K3153" s="300">
        <v>1.0</v>
      </c>
      <c r="L3153" s="300">
        <v>1.0</v>
      </c>
      <c r="M3153" s="300">
        <v>1.0</v>
      </c>
      <c r="N3153" s="300">
        <v>8.0</v>
      </c>
      <c r="O3153" s="300" t="s">
        <v>963</v>
      </c>
      <c r="P3153" s="300">
        <v>4.0</v>
      </c>
    </row>
    <row r="3154">
      <c r="A3154">
        <f>IFERROR(__xludf.DUMMYFUNCTION("""COMPUTED_VALUE"""),9.0)</f>
        <v>9</v>
      </c>
      <c r="B3154" s="406">
        <f>IFERROR(__xludf.DUMMYFUNCTION("""COMPUTED_VALUE"""),29025.0)</f>
        <v>29025</v>
      </c>
      <c r="C3154" t="str">
        <f>IFERROR(__xludf.DUMMYFUNCTION("""COMPUTED_VALUE"""),"CALLE BUITRAGO, ESTEBAN")</f>
        <v>CALLE BUITRAGO, ESTEBAN</v>
      </c>
      <c r="D3154" t="str">
        <f>IFERROR(__xludf.DUMMYFUNCTION("""COMPUTED_VALUE"""),"FRC 9")</f>
        <v>FRC 9</v>
      </c>
      <c r="E3154" s="3">
        <f>IFERROR(__xludf.DUMMYFUNCTION("""COMPUTED_VALUE"""),6.0)</f>
        <v>6</v>
      </c>
      <c r="F3154" s="300">
        <v>1.0</v>
      </c>
      <c r="G3154" s="300">
        <v>1.0</v>
      </c>
      <c r="H3154" s="300">
        <v>1.0</v>
      </c>
      <c r="I3154" s="300">
        <v>1.0</v>
      </c>
      <c r="J3154" s="300">
        <v>1.0</v>
      </c>
      <c r="K3154" s="300">
        <v>1.0</v>
      </c>
      <c r="L3154" s="300">
        <v>1.0</v>
      </c>
      <c r="M3154" s="300">
        <v>1.0</v>
      </c>
      <c r="N3154" s="300">
        <v>8.0</v>
      </c>
      <c r="O3154" s="300" t="s">
        <v>960</v>
      </c>
      <c r="P3154" s="300">
        <v>1.0</v>
      </c>
    </row>
    <row r="3155">
      <c r="A3155">
        <f>IFERROR(__xludf.DUMMYFUNCTION("""COMPUTED_VALUE"""),9.0)</f>
        <v>9</v>
      </c>
      <c r="B3155" s="406">
        <f>IFERROR(__xludf.DUMMYFUNCTION("""COMPUTED_VALUE"""),29038.0)</f>
        <v>29038</v>
      </c>
      <c r="C3155" t="str">
        <f>IFERROR(__xludf.DUMMYFUNCTION("""COMPUTED_VALUE"""),"ESCOBAR MADRID, MAXIMILIANO")</f>
        <v>ESCOBAR MADRID, MAXIMILIANO</v>
      </c>
      <c r="D3155" t="str">
        <f>IFERROR(__xludf.DUMMYFUNCTION("""COMPUTED_VALUE"""),"Technology 9")</f>
        <v>Technology 9</v>
      </c>
      <c r="E3155" s="3">
        <f>IFERROR(__xludf.DUMMYFUNCTION("""COMPUTED_VALUE"""),1.0)</f>
        <v>1</v>
      </c>
      <c r="F3155" s="300">
        <v>1.0</v>
      </c>
      <c r="G3155" s="300">
        <v>1.0</v>
      </c>
      <c r="H3155" s="300">
        <v>1.0</v>
      </c>
      <c r="I3155" s="300">
        <v>1.0</v>
      </c>
      <c r="J3155" s="300">
        <v>1.0</v>
      </c>
      <c r="K3155" s="300">
        <v>1.0</v>
      </c>
      <c r="L3155" s="300">
        <v>1.0</v>
      </c>
      <c r="M3155" s="300">
        <v>1.0</v>
      </c>
      <c r="N3155" s="300">
        <v>8.0</v>
      </c>
      <c r="O3155" s="300" t="s">
        <v>961</v>
      </c>
      <c r="P3155" s="300">
        <v>3.0</v>
      </c>
    </row>
    <row r="3156">
      <c r="A3156">
        <f>IFERROR(__xludf.DUMMYFUNCTION("""COMPUTED_VALUE"""),9.0)</f>
        <v>9</v>
      </c>
      <c r="B3156" s="406">
        <f>IFERROR(__xludf.DUMMYFUNCTION("""COMPUTED_VALUE"""),28077.0)</f>
        <v>28077</v>
      </c>
      <c r="C3156" t="str">
        <f>IFERROR(__xludf.DUMMYFUNCTION("""COMPUTED_VALUE"""),"OLIVEIRA CASTAÑO, MARIANA")</f>
        <v>OLIVEIRA CASTAÑO, MARIANA</v>
      </c>
      <c r="D3156" t="str">
        <f>IFERROR(__xludf.DUMMYFUNCTION("""COMPUTED_VALUE"""),"Technology 9")</f>
        <v>Technology 9</v>
      </c>
      <c r="E3156" s="3">
        <f>IFERROR(__xludf.DUMMYFUNCTION("""COMPUTED_VALUE"""),3.0)</f>
        <v>3</v>
      </c>
      <c r="F3156" s="300">
        <v>1.0</v>
      </c>
      <c r="G3156" s="300">
        <v>1.0</v>
      </c>
      <c r="H3156" s="300">
        <v>1.0</v>
      </c>
      <c r="I3156" s="300">
        <v>1.0</v>
      </c>
      <c r="J3156" s="300">
        <v>1.0</v>
      </c>
      <c r="K3156" s="300">
        <v>1.0</v>
      </c>
      <c r="L3156" s="300">
        <v>1.0</v>
      </c>
      <c r="M3156" s="300">
        <v>1.0</v>
      </c>
      <c r="N3156" s="300">
        <v>8.0</v>
      </c>
      <c r="O3156" s="300" t="s">
        <v>959</v>
      </c>
      <c r="P3156" s="300">
        <v>3.0</v>
      </c>
    </row>
    <row r="3157">
      <c r="A3157">
        <f>IFERROR(__xludf.DUMMYFUNCTION("""COMPUTED_VALUE"""),9.0)</f>
        <v>9</v>
      </c>
      <c r="B3157" s="406">
        <f>IFERROR(__xludf.DUMMYFUNCTION("""COMPUTED_VALUE"""),29041.0)</f>
        <v>29041</v>
      </c>
      <c r="C3157" t="str">
        <f>IFERROR(__xludf.DUMMYFUNCTION("""COMPUTED_VALUE"""),"FAJARDO VILLA, LUCIANA")</f>
        <v>FAJARDO VILLA, LUCIANA</v>
      </c>
      <c r="D3157" t="str">
        <f>IFERROR(__xludf.DUMMYFUNCTION("""COMPUTED_VALUE"""),"Technology 9")</f>
        <v>Technology 9</v>
      </c>
      <c r="E3157" s="3">
        <f>IFERROR(__xludf.DUMMYFUNCTION("""COMPUTED_VALUE"""),5.0)</f>
        <v>5</v>
      </c>
      <c r="F3157" s="300">
        <v>1.0</v>
      </c>
      <c r="G3157" s="300">
        <v>1.0</v>
      </c>
      <c r="H3157" s="300">
        <v>1.0</v>
      </c>
      <c r="I3157" s="300">
        <v>1.0</v>
      </c>
      <c r="J3157" s="300">
        <v>1.0</v>
      </c>
      <c r="K3157" s="300">
        <v>1.0</v>
      </c>
      <c r="L3157" s="300">
        <v>1.0</v>
      </c>
      <c r="M3157" s="300">
        <v>1.0</v>
      </c>
      <c r="N3157" s="300">
        <v>8.0</v>
      </c>
      <c r="O3157" s="300" t="s">
        <v>957</v>
      </c>
      <c r="P3157" s="300">
        <v>3.0</v>
      </c>
    </row>
    <row r="3158">
      <c r="A3158">
        <f>IFERROR(__xludf.DUMMYFUNCTION("""COMPUTED_VALUE"""),9.0)</f>
        <v>9</v>
      </c>
      <c r="B3158" s="406">
        <f>IFERROR(__xludf.DUMMYFUNCTION("""COMPUTED_VALUE"""),29021.0)</f>
        <v>29021</v>
      </c>
      <c r="C3158" t="str">
        <f>IFERROR(__xludf.DUMMYFUNCTION("""COMPUTED_VALUE"""),"BETANCOURT QUINTERO, SIMON")</f>
        <v>BETANCOURT QUINTERO, SIMON</v>
      </c>
      <c r="D3158" t="str">
        <f>IFERROR(__xludf.DUMMYFUNCTION("""COMPUTED_VALUE"""),"FRC 9 Robotics")</f>
        <v>FRC 9 Robotics</v>
      </c>
      <c r="E3158" s="3">
        <f>IFERROR(__xludf.DUMMYFUNCTION("""COMPUTED_VALUE"""),5.0)</f>
        <v>5</v>
      </c>
      <c r="F3158" s="300">
        <v>1.0</v>
      </c>
      <c r="G3158" s="300">
        <v>1.0</v>
      </c>
      <c r="H3158" s="300">
        <v>1.0</v>
      </c>
      <c r="I3158" s="300">
        <v>1.0</v>
      </c>
      <c r="J3158" s="300">
        <v>1.0</v>
      </c>
      <c r="K3158" s="300">
        <v>1.0</v>
      </c>
      <c r="L3158" s="300">
        <v>1.0</v>
      </c>
      <c r="M3158" s="300">
        <v>1.0</v>
      </c>
      <c r="N3158" s="300">
        <v>8.0</v>
      </c>
      <c r="O3158" s="300" t="s">
        <v>956</v>
      </c>
      <c r="P3158" s="300">
        <v>4.0</v>
      </c>
    </row>
    <row r="3159">
      <c r="A3159">
        <f>IFERROR(__xludf.DUMMYFUNCTION("""COMPUTED_VALUE"""),9.0)</f>
        <v>9</v>
      </c>
      <c r="B3159" s="406">
        <f>IFERROR(__xludf.DUMMYFUNCTION("""COMPUTED_VALUE"""),29029.0)</f>
        <v>29029</v>
      </c>
      <c r="C3159" t="str">
        <f>IFERROR(__xludf.DUMMYFUNCTION("""COMPUTED_VALUE"""),"CHAVARRIAGA MESA, GREGORIO")</f>
        <v>CHAVARRIAGA MESA, GREGORIO</v>
      </c>
      <c r="D3159" t="str">
        <f>IFERROR(__xludf.DUMMYFUNCTION("""COMPUTED_VALUE"""),"Technology 9")</f>
        <v>Technology 9</v>
      </c>
      <c r="E3159" s="3">
        <f>IFERROR(__xludf.DUMMYFUNCTION("""COMPUTED_VALUE"""),1.0)</f>
        <v>1</v>
      </c>
      <c r="F3159" s="300">
        <v>1.0</v>
      </c>
      <c r="G3159" s="300">
        <v>1.0</v>
      </c>
      <c r="H3159" s="300">
        <v>1.0</v>
      </c>
      <c r="I3159" s="300">
        <v>1.0</v>
      </c>
      <c r="J3159" s="300">
        <v>1.0</v>
      </c>
      <c r="K3159" s="300">
        <v>1.0</v>
      </c>
      <c r="L3159" s="300">
        <v>1.0</v>
      </c>
      <c r="M3159" s="300">
        <v>1.0</v>
      </c>
      <c r="N3159" s="300">
        <v>8.0</v>
      </c>
      <c r="O3159" s="300" t="s">
        <v>961</v>
      </c>
      <c r="P3159" s="300">
        <v>3.0</v>
      </c>
    </row>
    <row r="3160">
      <c r="A3160">
        <f>IFERROR(__xludf.DUMMYFUNCTION("""COMPUTED_VALUE"""),9.0)</f>
        <v>9</v>
      </c>
      <c r="B3160" s="406">
        <f>IFERROR(__xludf.DUMMYFUNCTION("""COMPUTED_VALUE"""),29148.0)</f>
        <v>29148</v>
      </c>
      <c r="C3160" t="str">
        <f>IFERROR(__xludf.DUMMYFUNCTION("""COMPUTED_VALUE"""),"OSORIO ARISTIZABAL, MATIAS")</f>
        <v>OSORIO ARISTIZABAL, MATIAS</v>
      </c>
      <c r="D3160" t="str">
        <f>IFERROR(__xludf.DUMMYFUNCTION("""COMPUTED_VALUE"""),"FRC 9 Robotics")</f>
        <v>FRC 9 Robotics</v>
      </c>
      <c r="E3160" s="3">
        <f>IFERROR(__xludf.DUMMYFUNCTION("""COMPUTED_VALUE"""),1.0)</f>
        <v>1</v>
      </c>
      <c r="F3160" s="300">
        <v>1.0</v>
      </c>
      <c r="G3160" s="300">
        <v>1.0</v>
      </c>
      <c r="H3160" s="300">
        <v>1.0</v>
      </c>
      <c r="I3160" s="300">
        <v>1.0</v>
      </c>
      <c r="J3160" s="300">
        <v>1.0</v>
      </c>
      <c r="K3160" s="300">
        <v>1.0</v>
      </c>
      <c r="L3160" s="300">
        <v>1.0</v>
      </c>
      <c r="M3160" s="300">
        <v>1.0</v>
      </c>
      <c r="N3160" s="300">
        <v>8.0</v>
      </c>
      <c r="O3160" s="300" t="s">
        <v>963</v>
      </c>
      <c r="P3160" s="300">
        <v>4.0</v>
      </c>
    </row>
    <row r="3161">
      <c r="A3161">
        <f>IFERROR(__xludf.DUMMYFUNCTION("""COMPUTED_VALUE"""),9.0)</f>
        <v>9</v>
      </c>
      <c r="B3161" s="406">
        <f>IFERROR(__xludf.DUMMYFUNCTION("""COMPUTED_VALUE"""),29170.0)</f>
        <v>29170</v>
      </c>
      <c r="C3161" t="str">
        <f>IFERROR(__xludf.DUMMYFUNCTION("""COMPUTED_VALUE"""),"ALVAREZ CARDENAS, JUAN EMILIO")</f>
        <v>ALVAREZ CARDENAS, JUAN EMILIO</v>
      </c>
      <c r="D3161" t="str">
        <f>IFERROR(__xludf.DUMMYFUNCTION("""COMPUTED_VALUE"""),"FRC 9 Robotics")</f>
        <v>FRC 9 Robotics</v>
      </c>
      <c r="E3161" s="3">
        <f>IFERROR(__xludf.DUMMYFUNCTION("""COMPUTED_VALUE"""),1.0)</f>
        <v>1</v>
      </c>
      <c r="F3161" s="300">
        <v>1.0</v>
      </c>
      <c r="G3161" s="300">
        <v>1.0</v>
      </c>
      <c r="H3161" s="300">
        <v>1.0</v>
      </c>
      <c r="I3161" s="300">
        <v>1.0</v>
      </c>
      <c r="J3161" s="300">
        <v>1.0</v>
      </c>
      <c r="K3161" s="300">
        <v>1.0</v>
      </c>
      <c r="L3161" s="300">
        <v>1.0</v>
      </c>
      <c r="M3161" s="300">
        <v>1.0</v>
      </c>
      <c r="N3161" s="300">
        <v>8.0</v>
      </c>
      <c r="O3161" s="300" t="s">
        <v>963</v>
      </c>
      <c r="P3161" s="300">
        <v>4.0</v>
      </c>
    </row>
    <row r="3162">
      <c r="A3162">
        <f>IFERROR(__xludf.DUMMYFUNCTION("""COMPUTED_VALUE"""),9.0)</f>
        <v>9</v>
      </c>
      <c r="B3162" s="406">
        <f>IFERROR(__xludf.DUMMYFUNCTION("""COMPUTED_VALUE"""),29058.0)</f>
        <v>29058</v>
      </c>
      <c r="C3162" t="str">
        <f>IFERROR(__xludf.DUMMYFUNCTION("""COMPUTED_VALUE"""),"JARAMILLO DONADO, AMELIA")</f>
        <v>JARAMILLO DONADO, AMELIA</v>
      </c>
      <c r="D3162" t="str">
        <f>IFERROR(__xludf.DUMMYFUNCTION("""COMPUTED_VALUE"""),"FRC 9 Robotics")</f>
        <v>FRC 9 Robotics</v>
      </c>
      <c r="E3162" s="3">
        <f>IFERROR(__xludf.DUMMYFUNCTION("""COMPUTED_VALUE"""),1.0)</f>
        <v>1</v>
      </c>
      <c r="F3162" s="300">
        <v>1.0</v>
      </c>
      <c r="G3162" s="300">
        <v>1.0</v>
      </c>
      <c r="H3162" s="300">
        <v>1.0</v>
      </c>
      <c r="I3162" s="300">
        <v>1.0</v>
      </c>
      <c r="J3162" s="300">
        <v>1.0</v>
      </c>
      <c r="K3162" s="300">
        <v>1.0</v>
      </c>
      <c r="L3162" s="300">
        <v>1.0</v>
      </c>
      <c r="M3162" s="300">
        <v>1.0</v>
      </c>
      <c r="N3162" s="300">
        <v>8.0</v>
      </c>
      <c r="O3162" s="300" t="s">
        <v>963</v>
      </c>
      <c r="P3162" s="300">
        <v>4.0</v>
      </c>
    </row>
    <row r="3163">
      <c r="A3163">
        <f>IFERROR(__xludf.DUMMYFUNCTION("""COMPUTED_VALUE"""),9.0)</f>
        <v>9</v>
      </c>
      <c r="B3163" s="406">
        <f>IFERROR(__xludf.DUMMYFUNCTION("""COMPUTED_VALUE"""),29072.0)</f>
        <v>29072</v>
      </c>
      <c r="C3163" t="str">
        <f>IFERROR(__xludf.DUMMYFUNCTION("""COMPUTED_VALUE"""),"MARQUEZ RAHAL, PEDRO")</f>
        <v>MARQUEZ RAHAL, PEDRO</v>
      </c>
      <c r="D3163" t="str">
        <f>IFERROR(__xludf.DUMMYFUNCTION("""COMPUTED_VALUE"""),"FRC 9 Robotics")</f>
        <v>FRC 9 Robotics</v>
      </c>
      <c r="E3163" s="3">
        <f>IFERROR(__xludf.DUMMYFUNCTION("""COMPUTED_VALUE"""),2.0)</f>
        <v>2</v>
      </c>
      <c r="F3163" s="300">
        <v>1.0</v>
      </c>
      <c r="G3163" s="300">
        <v>1.0</v>
      </c>
      <c r="H3163" s="300">
        <v>1.0</v>
      </c>
      <c r="I3163" s="300">
        <v>1.0</v>
      </c>
      <c r="J3163" s="300">
        <v>1.0</v>
      </c>
      <c r="K3163" s="300">
        <v>1.0</v>
      </c>
      <c r="L3163" s="300">
        <v>1.0</v>
      </c>
      <c r="M3163" s="300">
        <v>1.0</v>
      </c>
      <c r="N3163" s="300">
        <v>8.0</v>
      </c>
      <c r="O3163" s="300" t="s">
        <v>962</v>
      </c>
      <c r="P3163" s="300">
        <v>4.0</v>
      </c>
    </row>
    <row r="3164">
      <c r="A3164">
        <f>IFERROR(__xludf.DUMMYFUNCTION("""COMPUTED_VALUE"""),9.0)</f>
        <v>9</v>
      </c>
      <c r="B3164" s="406">
        <f>IFERROR(__xludf.DUMMYFUNCTION("""COMPUTED_VALUE"""),29125.0)</f>
        <v>29125</v>
      </c>
      <c r="C3164" t="str">
        <f>IFERROR(__xludf.DUMMYFUNCTION("""COMPUTED_VALUE"""),"VALLEJO LONDOÑO, TOMAS")</f>
        <v>VALLEJO LONDOÑO, TOMAS</v>
      </c>
      <c r="D3164" t="str">
        <f>IFERROR(__xludf.DUMMYFUNCTION("""COMPUTED_VALUE"""),"FRC 9")</f>
        <v>FRC 9</v>
      </c>
      <c r="E3164" s="3">
        <f>IFERROR(__xludf.DUMMYFUNCTION("""COMPUTED_VALUE"""),6.0)</f>
        <v>6</v>
      </c>
      <c r="F3164" s="300">
        <v>1.0</v>
      </c>
      <c r="G3164" s="300">
        <v>1.0</v>
      </c>
      <c r="H3164" s="300">
        <v>1.0</v>
      </c>
      <c r="I3164" s="300">
        <v>1.0</v>
      </c>
      <c r="J3164" s="300">
        <v>1.0</v>
      </c>
      <c r="K3164" s="300">
        <v>1.0</v>
      </c>
      <c r="L3164" s="300">
        <v>1.0</v>
      </c>
      <c r="M3164" s="300">
        <v>1.0</v>
      </c>
      <c r="N3164" s="300">
        <v>8.0</v>
      </c>
      <c r="O3164" s="300" t="s">
        <v>960</v>
      </c>
      <c r="P3164" s="300">
        <v>1.0</v>
      </c>
    </row>
    <row r="3165">
      <c r="A3165">
        <f>IFERROR(__xludf.DUMMYFUNCTION("""COMPUTED_VALUE"""),9.0)</f>
        <v>9</v>
      </c>
      <c r="B3165" s="406">
        <f>IFERROR(__xludf.DUMMYFUNCTION("""COMPUTED_VALUE"""),29045.0)</f>
        <v>29045</v>
      </c>
      <c r="C3165" t="str">
        <f>IFERROR(__xludf.DUMMYFUNCTION("""COMPUTED_VALUE"""),"GOMEZ ZULUAGA, JUAN JOSE")</f>
        <v>GOMEZ ZULUAGA, JUAN JOSE</v>
      </c>
      <c r="D3165" t="str">
        <f>IFERROR(__xludf.DUMMYFUNCTION("""COMPUTED_VALUE"""),"FRC 9 Robotics")</f>
        <v>FRC 9 Robotics</v>
      </c>
      <c r="E3165" s="3">
        <f>IFERROR(__xludf.DUMMYFUNCTION("""COMPUTED_VALUE"""),5.0)</f>
        <v>5</v>
      </c>
      <c r="F3165" s="300">
        <v>1.0</v>
      </c>
      <c r="G3165" s="300">
        <v>1.0</v>
      </c>
      <c r="H3165" s="300">
        <v>1.0</v>
      </c>
      <c r="I3165" s="300">
        <v>1.0</v>
      </c>
      <c r="J3165" s="300">
        <v>1.0</v>
      </c>
      <c r="K3165" s="300">
        <v>1.0</v>
      </c>
      <c r="L3165" s="300">
        <v>1.0</v>
      </c>
      <c r="M3165" s="300">
        <v>1.0</v>
      </c>
      <c r="N3165" s="300">
        <v>8.0</v>
      </c>
      <c r="O3165" s="300" t="s">
        <v>956</v>
      </c>
      <c r="P3165" s="300">
        <v>4.0</v>
      </c>
    </row>
    <row r="3166">
      <c r="A3166">
        <f>IFERROR(__xludf.DUMMYFUNCTION("""COMPUTED_VALUE"""),9.0)</f>
        <v>9</v>
      </c>
      <c r="B3166" s="406">
        <f>IFERROR(__xludf.DUMMYFUNCTION("""COMPUTED_VALUE"""),28032.0)</f>
        <v>28032</v>
      </c>
      <c r="C3166" t="str">
        <f>IFERROR(__xludf.DUMMYFUNCTION("""COMPUTED_VALUE"""),"GALLON TOBON, GERONIMO")</f>
        <v>GALLON TOBON, GERONIMO</v>
      </c>
      <c r="D3166" t="str">
        <f>IFERROR(__xludf.DUMMYFUNCTION("""COMPUTED_VALUE"""),"FRC 9")</f>
        <v>FRC 9</v>
      </c>
      <c r="E3166" s="3">
        <f>IFERROR(__xludf.DUMMYFUNCTION("""COMPUTED_VALUE"""),6.0)</f>
        <v>6</v>
      </c>
      <c r="F3166" s="300">
        <v>1.0</v>
      </c>
      <c r="G3166" s="300">
        <v>1.0</v>
      </c>
      <c r="H3166" s="300">
        <v>1.0</v>
      </c>
      <c r="I3166" s="300">
        <v>1.0</v>
      </c>
      <c r="J3166" s="300">
        <v>1.0</v>
      </c>
      <c r="K3166" s="300">
        <v>1.0</v>
      </c>
      <c r="L3166" s="300">
        <v>1.0</v>
      </c>
      <c r="M3166" s="300">
        <v>1.0</v>
      </c>
      <c r="N3166" s="300">
        <v>8.0</v>
      </c>
      <c r="O3166" s="300" t="s">
        <v>960</v>
      </c>
      <c r="P3166" s="300">
        <v>1.0</v>
      </c>
    </row>
    <row r="3167">
      <c r="A3167">
        <f>IFERROR(__xludf.DUMMYFUNCTION("""COMPUTED_VALUE"""),9.0)</f>
        <v>9</v>
      </c>
      <c r="B3167" s="406">
        <f>IFERROR(__xludf.DUMMYFUNCTION("""COMPUTED_VALUE"""),29012.0)</f>
        <v>29012</v>
      </c>
      <c r="C3167" t="str">
        <f>IFERROR(__xludf.DUMMYFUNCTION("""COMPUTED_VALUE"""),"ARANGO VILLA, TOMAS")</f>
        <v>ARANGO VILLA, TOMAS</v>
      </c>
      <c r="D3167" t="str">
        <f>IFERROR(__xludf.DUMMYFUNCTION("""COMPUTED_VALUE"""),"FRC 9")</f>
        <v>FRC 9</v>
      </c>
      <c r="E3167" s="3">
        <f>IFERROR(__xludf.DUMMYFUNCTION("""COMPUTED_VALUE"""),6.0)</f>
        <v>6</v>
      </c>
      <c r="F3167" s="300">
        <v>1.0</v>
      </c>
      <c r="G3167" s="300">
        <v>1.0</v>
      </c>
      <c r="H3167" s="300">
        <v>1.0</v>
      </c>
      <c r="I3167" s="300">
        <v>1.0</v>
      </c>
      <c r="J3167" s="300">
        <v>1.0</v>
      </c>
      <c r="K3167" s="300">
        <v>1.0</v>
      </c>
      <c r="L3167" s="300">
        <v>1.0</v>
      </c>
      <c r="M3167" s="300">
        <v>1.0</v>
      </c>
      <c r="N3167" s="300">
        <v>8.0</v>
      </c>
      <c r="O3167" s="300" t="s">
        <v>960</v>
      </c>
      <c r="P3167" s="300">
        <v>1.0</v>
      </c>
    </row>
    <row r="3168">
      <c r="A3168">
        <f>IFERROR(__xludf.DUMMYFUNCTION("""COMPUTED_VALUE"""),9.0)</f>
        <v>9</v>
      </c>
      <c r="B3168" s="406">
        <f>IFERROR(__xludf.DUMMYFUNCTION("""COMPUTED_VALUE"""),29138.0)</f>
        <v>29138</v>
      </c>
      <c r="C3168" t="str">
        <f>IFERROR(__xludf.DUMMYFUNCTION("""COMPUTED_VALUE"""),"ECHAVARRIA ROLDAN, TOMAS")</f>
        <v>ECHAVARRIA ROLDAN, TOMAS</v>
      </c>
      <c r="D3168" t="str">
        <f>IFERROR(__xludf.DUMMYFUNCTION("""COMPUTED_VALUE"""),"FRC 9 Robotics")</f>
        <v>FRC 9 Robotics</v>
      </c>
      <c r="E3168" s="3">
        <f>IFERROR(__xludf.DUMMYFUNCTION("""COMPUTED_VALUE"""),6.0)</f>
        <v>6</v>
      </c>
      <c r="F3168" s="300">
        <v>1.0</v>
      </c>
      <c r="G3168" s="300">
        <v>1.0</v>
      </c>
      <c r="H3168" s="300">
        <v>1.0</v>
      </c>
      <c r="I3168" s="300">
        <v>1.0</v>
      </c>
      <c r="J3168" s="300">
        <v>1.0</v>
      </c>
      <c r="K3168" s="300">
        <v>1.0</v>
      </c>
      <c r="L3168" s="300">
        <v>1.0</v>
      </c>
      <c r="M3168" s="300">
        <v>1.0</v>
      </c>
      <c r="N3168" s="300">
        <v>8.0</v>
      </c>
      <c r="O3168" s="300" t="s">
        <v>958</v>
      </c>
      <c r="P3168" s="300">
        <v>4.0</v>
      </c>
    </row>
    <row r="3169">
      <c r="A3169">
        <f>IFERROR(__xludf.DUMMYFUNCTION("""COMPUTED_VALUE"""),9.0)</f>
        <v>9</v>
      </c>
      <c r="B3169" s="406">
        <f>IFERROR(__xludf.DUMMYFUNCTION("""COMPUTED_VALUE"""),29003.0)</f>
        <v>29003</v>
      </c>
      <c r="C3169" t="str">
        <f>IFERROR(__xludf.DUMMYFUNCTION("""COMPUTED_VALUE"""),"ACEVEDO OROZCO, MARIA CELESTE")</f>
        <v>ACEVEDO OROZCO, MARIA CELESTE</v>
      </c>
      <c r="D3169" t="str">
        <f>IFERROR(__xludf.DUMMYFUNCTION("""COMPUTED_VALUE"""),"Technology 9")</f>
        <v>Technology 9</v>
      </c>
      <c r="E3169" s="3">
        <f>IFERROR(__xludf.DUMMYFUNCTION("""COMPUTED_VALUE"""),3.0)</f>
        <v>3</v>
      </c>
      <c r="F3169" s="300">
        <v>1.0</v>
      </c>
      <c r="G3169" s="300">
        <v>1.0</v>
      </c>
      <c r="H3169" s="300">
        <v>1.0</v>
      </c>
      <c r="I3169" s="300">
        <v>1.0</v>
      </c>
      <c r="J3169" s="300">
        <v>1.0</v>
      </c>
      <c r="K3169" s="300">
        <v>1.0</v>
      </c>
      <c r="L3169" s="300">
        <v>1.0</v>
      </c>
      <c r="M3169" s="300">
        <v>1.0</v>
      </c>
      <c r="N3169" s="300">
        <v>8.0</v>
      </c>
      <c r="O3169" s="300" t="s">
        <v>959</v>
      </c>
      <c r="P3169" s="300">
        <v>3.0</v>
      </c>
    </row>
    <row r="3170">
      <c r="A3170">
        <f>IFERROR(__xludf.DUMMYFUNCTION("""COMPUTED_VALUE"""),9.0)</f>
        <v>9</v>
      </c>
      <c r="B3170" s="406">
        <f>IFERROR(__xludf.DUMMYFUNCTION("""COMPUTED_VALUE"""),29158.0)</f>
        <v>29158</v>
      </c>
      <c r="C3170" t="str">
        <f>IFERROR(__xludf.DUMMYFUNCTION("""COMPUTED_VALUE"""),"NIEHAUS TRUJILLO, MICHELLE")</f>
        <v>NIEHAUS TRUJILLO, MICHELLE</v>
      </c>
      <c r="D3170" t="str">
        <f>IFERROR(__xludf.DUMMYFUNCTION("""COMPUTED_VALUE"""),"Technology 9")</f>
        <v>Technology 9</v>
      </c>
      <c r="E3170" s="3">
        <f>IFERROR(__xludf.DUMMYFUNCTION("""COMPUTED_VALUE"""),1.0)</f>
        <v>1</v>
      </c>
      <c r="F3170" s="300">
        <v>1.0</v>
      </c>
      <c r="G3170" s="300">
        <v>1.0</v>
      </c>
      <c r="H3170" s="300">
        <v>1.0</v>
      </c>
      <c r="I3170" s="300">
        <v>1.0</v>
      </c>
      <c r="J3170" s="300">
        <v>1.0</v>
      </c>
      <c r="K3170" s="300">
        <v>1.0</v>
      </c>
      <c r="L3170" s="300">
        <v>1.0</v>
      </c>
      <c r="M3170" s="300">
        <v>1.0</v>
      </c>
      <c r="N3170" s="300">
        <v>8.0</v>
      </c>
      <c r="O3170" s="300" t="s">
        <v>961</v>
      </c>
      <c r="P3170" s="300">
        <v>3.0</v>
      </c>
    </row>
    <row r="3171">
      <c r="A3171">
        <f>IFERROR(__xludf.DUMMYFUNCTION("""COMPUTED_VALUE"""),9.0)</f>
        <v>9</v>
      </c>
      <c r="B3171" s="406">
        <f>IFERROR(__xludf.DUMMYFUNCTION("""COMPUTED_VALUE"""),29088.0)</f>
        <v>29088</v>
      </c>
      <c r="C3171" t="str">
        <f>IFERROR(__xludf.DUMMYFUNCTION("""COMPUTED_VALUE"""),"PEREZ ALVARADO, SARA")</f>
        <v>PEREZ ALVARADO, SARA</v>
      </c>
      <c r="D3171" t="str">
        <f>IFERROR(__xludf.DUMMYFUNCTION("""COMPUTED_VALUE"""),"FRC 9 Robotics")</f>
        <v>FRC 9 Robotics</v>
      </c>
      <c r="E3171" s="3">
        <f>IFERROR(__xludf.DUMMYFUNCTION("""COMPUTED_VALUE"""),6.0)</f>
        <v>6</v>
      </c>
      <c r="F3171" s="300">
        <v>1.0</v>
      </c>
      <c r="G3171" s="300">
        <v>1.0</v>
      </c>
      <c r="H3171" s="300">
        <v>1.0</v>
      </c>
      <c r="I3171" s="300">
        <v>1.0</v>
      </c>
      <c r="J3171" s="300">
        <v>1.0</v>
      </c>
      <c r="K3171" s="300">
        <v>1.0</v>
      </c>
      <c r="L3171" s="300">
        <v>1.0</v>
      </c>
      <c r="M3171" s="300">
        <v>1.0</v>
      </c>
      <c r="N3171" s="300">
        <v>8.0</v>
      </c>
      <c r="O3171" s="300" t="s">
        <v>958</v>
      </c>
      <c r="P3171" s="300">
        <v>4.0</v>
      </c>
    </row>
    <row r="3172">
      <c r="A3172">
        <f>IFERROR(__xludf.DUMMYFUNCTION("""COMPUTED_VALUE"""),9.0)</f>
        <v>9</v>
      </c>
      <c r="B3172" s="406">
        <f>IFERROR(__xludf.DUMMYFUNCTION("""COMPUTED_VALUE"""),29164.0)</f>
        <v>29164</v>
      </c>
      <c r="C3172" t="str">
        <f>IFERROR(__xludf.DUMMYFUNCTION("""COMPUTED_VALUE"""),"CONCHA VELASCO, LORENZO")</f>
        <v>CONCHA VELASCO, LORENZO</v>
      </c>
      <c r="D3172" t="str">
        <f>IFERROR(__xludf.DUMMYFUNCTION("""COMPUTED_VALUE"""),"FRC 9 Robotics")</f>
        <v>FRC 9 Robotics</v>
      </c>
      <c r="E3172" s="3">
        <f>IFERROR(__xludf.DUMMYFUNCTION("""COMPUTED_VALUE"""),5.0)</f>
        <v>5</v>
      </c>
      <c r="F3172" s="300">
        <v>1.0</v>
      </c>
      <c r="G3172" s="300">
        <v>1.0</v>
      </c>
      <c r="H3172" s="300">
        <v>1.0</v>
      </c>
      <c r="I3172" s="300">
        <v>1.0</v>
      </c>
      <c r="J3172" s="300">
        <v>1.0</v>
      </c>
      <c r="K3172" s="300">
        <v>1.0</v>
      </c>
      <c r="L3172" s="300">
        <v>1.0</v>
      </c>
      <c r="M3172" s="300">
        <v>1.0</v>
      </c>
      <c r="N3172" s="300">
        <v>8.0</v>
      </c>
      <c r="O3172" s="300" t="s">
        <v>956</v>
      </c>
      <c r="P3172" s="300">
        <v>4.0</v>
      </c>
    </row>
    <row r="3173">
      <c r="A3173">
        <f>IFERROR(__xludf.DUMMYFUNCTION("""COMPUTED_VALUE"""),9.0)</f>
        <v>9</v>
      </c>
      <c r="B3173" s="406">
        <f>IFERROR(__xludf.DUMMYFUNCTION("""COMPUTED_VALUE"""),29011.0)</f>
        <v>29011</v>
      </c>
      <c r="C3173" t="str">
        <f>IFERROR(__xludf.DUMMYFUNCTION("""COMPUTED_VALUE"""),"ARANGO RUBIO, ROSARIO")</f>
        <v>ARANGO RUBIO, ROSARIO</v>
      </c>
      <c r="D3173" t="str">
        <f>IFERROR(__xludf.DUMMYFUNCTION("""COMPUTED_VALUE"""),"FRC 9 Robotics")</f>
        <v>FRC 9 Robotics</v>
      </c>
      <c r="E3173" s="3">
        <f>IFERROR(__xludf.DUMMYFUNCTION("""COMPUTED_VALUE"""),6.0)</f>
        <v>6</v>
      </c>
      <c r="F3173" s="300">
        <v>1.0</v>
      </c>
      <c r="G3173" s="300">
        <v>1.0</v>
      </c>
      <c r="H3173" s="300">
        <v>1.0</v>
      </c>
      <c r="I3173" s="300">
        <v>1.0</v>
      </c>
      <c r="J3173" s="300">
        <v>1.0</v>
      </c>
      <c r="K3173" s="300">
        <v>1.0</v>
      </c>
      <c r="L3173" s="300">
        <v>1.0</v>
      </c>
      <c r="M3173" s="300">
        <v>1.0</v>
      </c>
      <c r="N3173" s="300">
        <v>8.0</v>
      </c>
      <c r="O3173" s="300" t="s">
        <v>958</v>
      </c>
      <c r="P3173" s="300">
        <v>4.0</v>
      </c>
    </row>
    <row r="3174">
      <c r="A3174">
        <f>IFERROR(__xludf.DUMMYFUNCTION("""COMPUTED_VALUE"""),9.0)</f>
        <v>9</v>
      </c>
      <c r="B3174" s="406">
        <f>IFERROR(__xludf.DUMMYFUNCTION("""COMPUTED_VALUE"""),29161.0)</f>
        <v>29161</v>
      </c>
      <c r="C3174" t="str">
        <f>IFERROR(__xludf.DUMMYFUNCTION("""COMPUTED_VALUE"""),"BURKHALTER, ESPERANZA JOY")</f>
        <v>BURKHALTER, ESPERANZA JOY</v>
      </c>
      <c r="D3174" t="str">
        <f>IFERROR(__xludf.DUMMYFUNCTION("""COMPUTED_VALUE"""),"FRC 9 Robotics")</f>
        <v>FRC 9 Robotics</v>
      </c>
      <c r="E3174" s="3">
        <f>IFERROR(__xludf.DUMMYFUNCTION("""COMPUTED_VALUE"""),6.0)</f>
        <v>6</v>
      </c>
      <c r="F3174" s="300">
        <v>1.0</v>
      </c>
      <c r="G3174" s="300">
        <v>1.0</v>
      </c>
      <c r="H3174" s="300">
        <v>1.0</v>
      </c>
      <c r="I3174" s="300">
        <v>1.0</v>
      </c>
      <c r="J3174" s="300">
        <v>1.0</v>
      </c>
      <c r="K3174" s="300">
        <v>1.0</v>
      </c>
      <c r="L3174" s="300">
        <v>1.0</v>
      </c>
      <c r="M3174" s="300">
        <v>1.0</v>
      </c>
      <c r="N3174" s="300">
        <v>8.0</v>
      </c>
      <c r="O3174" s="300" t="s">
        <v>958</v>
      </c>
      <c r="P3174" s="300">
        <v>4.0</v>
      </c>
    </row>
    <row r="3175">
      <c r="A3175">
        <f>IFERROR(__xludf.DUMMYFUNCTION("""COMPUTED_VALUE"""),9.0)</f>
        <v>9</v>
      </c>
      <c r="B3175" s="406">
        <f>IFERROR(__xludf.DUMMYFUNCTION("""COMPUTED_VALUE"""),29103.0)</f>
        <v>29103</v>
      </c>
      <c r="C3175" t="str">
        <f>IFERROR(__xludf.DUMMYFUNCTION("""COMPUTED_VALUE"""),"SALAZAR ECHEVERRI, ANTONIA")</f>
        <v>SALAZAR ECHEVERRI, ANTONIA</v>
      </c>
      <c r="D3175" t="str">
        <f>IFERROR(__xludf.DUMMYFUNCTION("""COMPUTED_VALUE"""),"FRC 9 Robotics")</f>
        <v>FRC 9 Robotics</v>
      </c>
      <c r="E3175" s="3">
        <f>IFERROR(__xludf.DUMMYFUNCTION("""COMPUTED_VALUE"""),1.0)</f>
        <v>1</v>
      </c>
      <c r="F3175" s="300">
        <v>1.0</v>
      </c>
      <c r="G3175" s="300">
        <v>1.0</v>
      </c>
      <c r="H3175" s="300">
        <v>1.0</v>
      </c>
      <c r="I3175" s="300">
        <v>1.0</v>
      </c>
      <c r="J3175" s="300">
        <v>1.0</v>
      </c>
      <c r="K3175" s="300">
        <v>1.0</v>
      </c>
      <c r="L3175" s="300">
        <v>1.0</v>
      </c>
      <c r="M3175" s="300">
        <v>1.0</v>
      </c>
      <c r="N3175" s="300">
        <v>8.0</v>
      </c>
      <c r="O3175" s="300" t="s">
        <v>963</v>
      </c>
      <c r="P3175" s="300">
        <v>4.0</v>
      </c>
    </row>
    <row r="3176">
      <c r="A3176">
        <f>IFERROR(__xludf.DUMMYFUNCTION("""COMPUTED_VALUE"""),9.0)</f>
        <v>9</v>
      </c>
      <c r="B3176" s="406">
        <f>IFERROR(__xludf.DUMMYFUNCTION("""COMPUTED_VALUE"""),29004.0)</f>
        <v>29004</v>
      </c>
      <c r="C3176" t="str">
        <f>IFERROR(__xludf.DUMMYFUNCTION("""COMPUTED_VALUE"""),"AGUIRRE ARANGO, DAVID")</f>
        <v>AGUIRRE ARANGO, DAVID</v>
      </c>
      <c r="D3176" t="str">
        <f>IFERROR(__xludf.DUMMYFUNCTION("""COMPUTED_VALUE"""),"FRC 9 Robotics")</f>
        <v>FRC 9 Robotics</v>
      </c>
      <c r="E3176" s="3">
        <f>IFERROR(__xludf.DUMMYFUNCTION("""COMPUTED_VALUE"""),1.0)</f>
        <v>1</v>
      </c>
      <c r="F3176" s="300">
        <v>1.0</v>
      </c>
      <c r="G3176" s="300">
        <v>1.0</v>
      </c>
      <c r="H3176" s="300">
        <v>1.0</v>
      </c>
      <c r="I3176" s="300">
        <v>1.0</v>
      </c>
      <c r="J3176" s="300">
        <v>1.0</v>
      </c>
      <c r="K3176" s="300">
        <v>1.0</v>
      </c>
      <c r="L3176" s="300">
        <v>1.0</v>
      </c>
      <c r="M3176" s="300">
        <v>1.0</v>
      </c>
      <c r="N3176" s="300">
        <v>8.0</v>
      </c>
      <c r="O3176" s="300" t="s">
        <v>963</v>
      </c>
      <c r="P3176" s="300">
        <v>4.0</v>
      </c>
    </row>
    <row r="3177">
      <c r="A3177">
        <f>IFERROR(__xludf.DUMMYFUNCTION("""COMPUTED_VALUE"""),9.0)</f>
        <v>9</v>
      </c>
      <c r="B3177" s="406">
        <f>IFERROR(__xludf.DUMMYFUNCTION("""COMPUTED_VALUE"""),29015.0)</f>
        <v>29015</v>
      </c>
      <c r="C3177" t="str">
        <f>IFERROR(__xludf.DUMMYFUNCTION("""COMPUTED_VALUE"""),"ARISTIZABAL URIBE, MATIAS")</f>
        <v>ARISTIZABAL URIBE, MATIAS</v>
      </c>
      <c r="D3177" t="str">
        <f>IFERROR(__xludf.DUMMYFUNCTION("""COMPUTED_VALUE"""),"FRC 9 Robotics")</f>
        <v>FRC 9 Robotics</v>
      </c>
      <c r="E3177" s="3">
        <f>IFERROR(__xludf.DUMMYFUNCTION("""COMPUTED_VALUE"""),2.0)</f>
        <v>2</v>
      </c>
      <c r="F3177" s="300">
        <v>1.0</v>
      </c>
      <c r="G3177" s="300">
        <v>1.0</v>
      </c>
      <c r="H3177" s="300">
        <v>1.0</v>
      </c>
      <c r="I3177" s="300">
        <v>1.0</v>
      </c>
      <c r="J3177" s="300">
        <v>1.0</v>
      </c>
      <c r="K3177" s="300">
        <v>1.0</v>
      </c>
      <c r="L3177" s="300">
        <v>1.0</v>
      </c>
      <c r="M3177" s="300">
        <v>1.0</v>
      </c>
      <c r="N3177" s="300">
        <v>8.0</v>
      </c>
      <c r="O3177" s="300" t="s">
        <v>962</v>
      </c>
      <c r="P3177" s="300">
        <v>4.0</v>
      </c>
    </row>
    <row r="3178">
      <c r="A3178">
        <f>IFERROR(__xludf.DUMMYFUNCTION("""COMPUTED_VALUE"""),9.0)</f>
        <v>9</v>
      </c>
      <c r="B3178" s="406">
        <f>IFERROR(__xludf.DUMMYFUNCTION("""COMPUTED_VALUE"""),29052.0)</f>
        <v>29052</v>
      </c>
      <c r="C3178" t="str">
        <f>IFERROR(__xludf.DUMMYFUNCTION("""COMPUTED_VALUE"""),"HURTADO ARISTIZABAL, CAMILA")</f>
        <v>HURTADO ARISTIZABAL, CAMILA</v>
      </c>
      <c r="D3178" t="str">
        <f>IFERROR(__xludf.DUMMYFUNCTION("""COMPUTED_VALUE"""),"FRC 9 Robotics")</f>
        <v>FRC 9 Robotics</v>
      </c>
      <c r="E3178" s="3">
        <f>IFERROR(__xludf.DUMMYFUNCTION("""COMPUTED_VALUE"""),2.0)</f>
        <v>2</v>
      </c>
      <c r="F3178" s="300">
        <v>1.0</v>
      </c>
      <c r="G3178" s="300">
        <v>1.0</v>
      </c>
      <c r="H3178" s="300">
        <v>1.0</v>
      </c>
      <c r="I3178" s="300">
        <v>1.0</v>
      </c>
      <c r="J3178" s="300">
        <v>1.0</v>
      </c>
      <c r="K3178" s="300">
        <v>1.0</v>
      </c>
      <c r="L3178" s="300">
        <v>1.0</v>
      </c>
      <c r="M3178" s="300">
        <v>1.0</v>
      </c>
      <c r="N3178" s="300">
        <v>8.0</v>
      </c>
      <c r="O3178" s="300" t="s">
        <v>962</v>
      </c>
      <c r="P3178" s="300">
        <v>4.0</v>
      </c>
    </row>
    <row r="3179">
      <c r="A3179">
        <f>IFERROR(__xludf.DUMMYFUNCTION("""COMPUTED_VALUE"""),9.0)</f>
        <v>9</v>
      </c>
      <c r="B3179" s="406">
        <f>IFERROR(__xludf.DUMMYFUNCTION("""COMPUTED_VALUE"""),29056.0)</f>
        <v>29056</v>
      </c>
      <c r="C3179" t="str">
        <f>IFERROR(__xludf.DUMMYFUNCTION("""COMPUTED_VALUE"""),"JAILLIER PINZON, MAXIMILIANO")</f>
        <v>JAILLIER PINZON, MAXIMILIANO</v>
      </c>
      <c r="D3179" t="str">
        <f>IFERROR(__xludf.DUMMYFUNCTION("""COMPUTED_VALUE"""),"FRC 9 Robotics")</f>
        <v>FRC 9 Robotics</v>
      </c>
      <c r="E3179" s="3">
        <f>IFERROR(__xludf.DUMMYFUNCTION("""COMPUTED_VALUE"""),6.0)</f>
        <v>6</v>
      </c>
      <c r="F3179" s="300">
        <v>1.0</v>
      </c>
      <c r="G3179" s="300">
        <v>1.0</v>
      </c>
      <c r="H3179" s="300">
        <v>1.0</v>
      </c>
      <c r="I3179" s="300">
        <v>1.0</v>
      </c>
      <c r="J3179" s="300">
        <v>1.0</v>
      </c>
      <c r="K3179" s="300">
        <v>1.0</v>
      </c>
      <c r="L3179" s="300">
        <v>1.0</v>
      </c>
      <c r="M3179" s="300">
        <v>1.0</v>
      </c>
      <c r="N3179" s="300">
        <v>8.0</v>
      </c>
      <c r="O3179" s="300" t="s">
        <v>958</v>
      </c>
      <c r="P3179" s="300">
        <v>4.0</v>
      </c>
    </row>
    <row r="3180">
      <c r="A3180">
        <f>IFERROR(__xludf.DUMMYFUNCTION("""COMPUTED_VALUE"""),9.0)</f>
        <v>9</v>
      </c>
      <c r="B3180" s="406">
        <f>IFERROR(__xludf.DUMMYFUNCTION("""COMPUTED_VALUE"""),29073.0)</f>
        <v>29073</v>
      </c>
      <c r="C3180" t="str">
        <f>IFERROR(__xludf.DUMMYFUNCTION("""COMPUTED_VALUE"""),"MARRERO MARTA, ALINA")</f>
        <v>MARRERO MARTA, ALINA</v>
      </c>
      <c r="D3180" t="str">
        <f>IFERROR(__xludf.DUMMYFUNCTION("""COMPUTED_VALUE"""),"FRC 9 Robotics")</f>
        <v>FRC 9 Robotics</v>
      </c>
      <c r="E3180" s="3">
        <f>IFERROR(__xludf.DUMMYFUNCTION("""COMPUTED_VALUE"""),1.0)</f>
        <v>1</v>
      </c>
      <c r="F3180" s="300">
        <v>1.0</v>
      </c>
      <c r="G3180" s="300">
        <v>1.0</v>
      </c>
      <c r="H3180" s="300">
        <v>1.0</v>
      </c>
      <c r="I3180" s="300">
        <v>1.0</v>
      </c>
      <c r="J3180" s="300">
        <v>1.0</v>
      </c>
      <c r="K3180" s="300">
        <v>1.0</v>
      </c>
      <c r="L3180" s="300">
        <v>1.0</v>
      </c>
      <c r="M3180" s="300">
        <v>1.0</v>
      </c>
      <c r="N3180" s="300">
        <v>8.0</v>
      </c>
      <c r="O3180" s="300" t="s">
        <v>963</v>
      </c>
      <c r="P3180" s="300">
        <v>4.0</v>
      </c>
    </row>
    <row r="3181">
      <c r="A3181">
        <f>IFERROR(__xludf.DUMMYFUNCTION("""COMPUTED_VALUE"""),9.0)</f>
        <v>9</v>
      </c>
      <c r="B3181" s="406">
        <f>IFERROR(__xludf.DUMMYFUNCTION("""COMPUTED_VALUE"""),29065.0)</f>
        <v>29065</v>
      </c>
      <c r="C3181" t="str">
        <f>IFERROR(__xludf.DUMMYFUNCTION("""COMPUTED_VALUE"""),"LONDOÑO CUARTAS, TOMAS")</f>
        <v>LONDOÑO CUARTAS, TOMAS</v>
      </c>
      <c r="D3181" t="str">
        <f>IFERROR(__xludf.DUMMYFUNCTION("""COMPUTED_VALUE"""),"FRC 9 Robotics")</f>
        <v>FRC 9 Robotics</v>
      </c>
      <c r="E3181" s="3">
        <f>IFERROR(__xludf.DUMMYFUNCTION("""COMPUTED_VALUE"""),5.0)</f>
        <v>5</v>
      </c>
      <c r="F3181" s="300">
        <v>1.0</v>
      </c>
      <c r="G3181" s="300">
        <v>1.0</v>
      </c>
      <c r="H3181" s="300">
        <v>1.0</v>
      </c>
      <c r="I3181" s="300">
        <v>1.0</v>
      </c>
      <c r="J3181" s="300">
        <v>1.0</v>
      </c>
      <c r="K3181" s="300">
        <v>1.0</v>
      </c>
      <c r="L3181" s="300">
        <v>1.0</v>
      </c>
      <c r="M3181" s="300">
        <v>1.0</v>
      </c>
      <c r="N3181" s="300">
        <v>8.0</v>
      </c>
      <c r="O3181" s="300" t="s">
        <v>956</v>
      </c>
      <c r="P3181" s="300">
        <v>4.0</v>
      </c>
    </row>
    <row r="3182">
      <c r="A3182">
        <f>IFERROR(__xludf.DUMMYFUNCTION("""COMPUTED_VALUE"""),9.0)</f>
        <v>9</v>
      </c>
      <c r="B3182" s="406">
        <f>IFERROR(__xludf.DUMMYFUNCTION("""COMPUTED_VALUE"""),29101.0)</f>
        <v>29101</v>
      </c>
      <c r="C3182" t="str">
        <f>IFERROR(__xludf.DUMMYFUNCTION("""COMPUTED_VALUE"""),"ROBLES MARTINEZ, MARIA")</f>
        <v>ROBLES MARTINEZ, MARIA</v>
      </c>
      <c r="D3182" t="str">
        <f>IFERROR(__xludf.DUMMYFUNCTION("""COMPUTED_VALUE"""),"FRC 9 Robotics")</f>
        <v>FRC 9 Robotics</v>
      </c>
      <c r="E3182" s="3">
        <f>IFERROR(__xludf.DUMMYFUNCTION("""COMPUTED_VALUE"""),1.0)</f>
        <v>1</v>
      </c>
      <c r="F3182" s="300">
        <v>1.0</v>
      </c>
      <c r="G3182" s="300">
        <v>1.0</v>
      </c>
      <c r="H3182" s="300">
        <v>1.0</v>
      </c>
      <c r="I3182" s="300">
        <v>1.0</v>
      </c>
      <c r="J3182" s="300">
        <v>1.0</v>
      </c>
      <c r="K3182" s="300">
        <v>1.0</v>
      </c>
      <c r="L3182" s="300">
        <v>1.0</v>
      </c>
      <c r="M3182" s="300">
        <v>1.0</v>
      </c>
      <c r="N3182" s="300">
        <v>8.0</v>
      </c>
      <c r="O3182" s="300" t="s">
        <v>963</v>
      </c>
      <c r="P3182" s="300">
        <v>4.0</v>
      </c>
    </row>
    <row r="3183">
      <c r="A3183">
        <f>IFERROR(__xludf.DUMMYFUNCTION("""COMPUTED_VALUE"""),9.0)</f>
        <v>9</v>
      </c>
      <c r="B3183" s="406">
        <f>IFERROR(__xludf.DUMMYFUNCTION("""COMPUTED_VALUE"""),29036.0)</f>
        <v>29036</v>
      </c>
      <c r="C3183" t="str">
        <f>IFERROR(__xludf.DUMMYFUNCTION("""COMPUTED_VALUE"""),"ECHEVERRI ESCOBAR, RODRIGO")</f>
        <v>ECHEVERRI ESCOBAR, RODRIGO</v>
      </c>
      <c r="D3183" t="str">
        <f>IFERROR(__xludf.DUMMYFUNCTION("""COMPUTED_VALUE"""),"FRC 9 Robotics")</f>
        <v>FRC 9 Robotics</v>
      </c>
      <c r="E3183" s="3">
        <f>IFERROR(__xludf.DUMMYFUNCTION("""COMPUTED_VALUE"""),2.0)</f>
        <v>2</v>
      </c>
      <c r="F3183" s="300">
        <v>1.0</v>
      </c>
      <c r="G3183" s="300">
        <v>1.0</v>
      </c>
      <c r="H3183" s="300">
        <v>1.0</v>
      </c>
      <c r="I3183" s="300">
        <v>1.0</v>
      </c>
      <c r="J3183" s="300">
        <v>1.0</v>
      </c>
      <c r="K3183" s="300">
        <v>1.0</v>
      </c>
      <c r="L3183" s="300">
        <v>1.0</v>
      </c>
      <c r="M3183" s="300">
        <v>1.0</v>
      </c>
      <c r="N3183" s="300">
        <v>8.0</v>
      </c>
      <c r="O3183" s="300" t="s">
        <v>962</v>
      </c>
      <c r="P3183" s="300">
        <v>4.0</v>
      </c>
    </row>
    <row r="3184">
      <c r="A3184">
        <f>IFERROR(__xludf.DUMMYFUNCTION("""COMPUTED_VALUE"""),9.0)</f>
        <v>9</v>
      </c>
      <c r="B3184" s="406">
        <f>IFERROR(__xludf.DUMMYFUNCTION("""COMPUTED_VALUE"""),29106.0)</f>
        <v>29106</v>
      </c>
      <c r="C3184" t="str">
        <f>IFERROR(__xludf.DUMMYFUNCTION("""COMPUTED_VALUE"""),"SANCHEZ DIAZ, SIMON")</f>
        <v>SANCHEZ DIAZ, SIMON</v>
      </c>
      <c r="D3184" t="str">
        <f>IFERROR(__xludf.DUMMYFUNCTION("""COMPUTED_VALUE"""),"FRC 9")</f>
        <v>FRC 9</v>
      </c>
      <c r="E3184" s="3">
        <f>IFERROR(__xludf.DUMMYFUNCTION("""COMPUTED_VALUE"""),6.0)</f>
        <v>6</v>
      </c>
      <c r="F3184" s="300">
        <v>1.0</v>
      </c>
      <c r="G3184" s="300">
        <v>1.0</v>
      </c>
      <c r="H3184" s="300">
        <v>1.0</v>
      </c>
      <c r="I3184" s="300">
        <v>1.0</v>
      </c>
      <c r="J3184" s="300">
        <v>1.0</v>
      </c>
      <c r="K3184" s="300">
        <v>1.0</v>
      </c>
      <c r="L3184" s="300">
        <v>1.0</v>
      </c>
      <c r="M3184" s="300">
        <v>1.0</v>
      </c>
      <c r="N3184" s="300">
        <v>8.0</v>
      </c>
      <c r="O3184" s="300" t="s">
        <v>960</v>
      </c>
      <c r="P3184" s="300">
        <v>1.0</v>
      </c>
    </row>
    <row r="3185">
      <c r="A3185">
        <f>IFERROR(__xludf.DUMMYFUNCTION("""COMPUTED_VALUE"""),9.0)</f>
        <v>9</v>
      </c>
      <c r="B3185" s="406">
        <f>IFERROR(__xludf.DUMMYFUNCTION("""COMPUTED_VALUE"""),29067.0)</f>
        <v>29067</v>
      </c>
      <c r="C3185" t="str">
        <f>IFERROR(__xludf.DUMMYFUNCTION("""COMPUTED_VALUE"""),"LOPEZ ESCOBAR, VALENTIN")</f>
        <v>LOPEZ ESCOBAR, VALENTIN</v>
      </c>
      <c r="D3185" t="str">
        <f>IFERROR(__xludf.DUMMYFUNCTION("""COMPUTED_VALUE"""),"FRC 9 Robotics")</f>
        <v>FRC 9 Robotics</v>
      </c>
      <c r="E3185" s="3">
        <f>IFERROR(__xludf.DUMMYFUNCTION("""COMPUTED_VALUE"""),5.0)</f>
        <v>5</v>
      </c>
      <c r="F3185" s="300">
        <v>1.0</v>
      </c>
      <c r="G3185" s="300">
        <v>1.0</v>
      </c>
      <c r="H3185" s="300">
        <v>1.0</v>
      </c>
      <c r="I3185" s="300">
        <v>1.0</v>
      </c>
      <c r="J3185" s="300">
        <v>1.0</v>
      </c>
      <c r="K3185" s="300">
        <v>1.0</v>
      </c>
      <c r="L3185" s="300">
        <v>1.0</v>
      </c>
      <c r="M3185" s="300">
        <v>1.0</v>
      </c>
      <c r="N3185" s="300">
        <v>8.0</v>
      </c>
      <c r="O3185" s="300" t="s">
        <v>956</v>
      </c>
      <c r="P3185" s="300">
        <v>4.0</v>
      </c>
    </row>
    <row r="3186">
      <c r="A3186">
        <f>IFERROR(__xludf.DUMMYFUNCTION("""COMPUTED_VALUE"""),9.0)</f>
        <v>9</v>
      </c>
      <c r="B3186" s="406">
        <f>IFERROR(__xludf.DUMMYFUNCTION("""COMPUTED_VALUE"""),28023.0)</f>
        <v>28023</v>
      </c>
      <c r="C3186" t="str">
        <f>IFERROR(__xludf.DUMMYFUNCTION("""COMPUTED_VALUE"""),"CLAVIJO GIRALDO, LORENZO")</f>
        <v>CLAVIJO GIRALDO, LORENZO</v>
      </c>
      <c r="D3186" t="str">
        <f>IFERROR(__xludf.DUMMYFUNCTION("""COMPUTED_VALUE"""),"FRC 9 Robotics")</f>
        <v>FRC 9 Robotics</v>
      </c>
      <c r="E3186" s="3">
        <f>IFERROR(__xludf.DUMMYFUNCTION("""COMPUTED_VALUE"""),2.0)</f>
        <v>2</v>
      </c>
      <c r="F3186" s="300">
        <v>1.0</v>
      </c>
      <c r="G3186" s="300">
        <v>1.0</v>
      </c>
      <c r="H3186" s="300">
        <v>1.0</v>
      </c>
      <c r="I3186" s="300">
        <v>1.0</v>
      </c>
      <c r="J3186" s="300">
        <v>1.0</v>
      </c>
      <c r="K3186" s="300">
        <v>1.0</v>
      </c>
      <c r="L3186" s="300">
        <v>1.0</v>
      </c>
      <c r="M3186" s="300">
        <v>1.0</v>
      </c>
      <c r="N3186" s="300">
        <v>8.0</v>
      </c>
      <c r="O3186" s="300" t="s">
        <v>962</v>
      </c>
      <c r="P3186" s="300">
        <v>4.0</v>
      </c>
    </row>
    <row r="3187">
      <c r="A3187">
        <f>IFERROR(__xludf.DUMMYFUNCTION("""COMPUTED_VALUE"""),9.0)</f>
        <v>9</v>
      </c>
      <c r="B3187" s="406">
        <f>IFERROR(__xludf.DUMMYFUNCTION("""COMPUTED_VALUE"""),29145.0)</f>
        <v>29145</v>
      </c>
      <c r="C3187" t="str">
        <f>IFERROR(__xludf.DUMMYFUNCTION("""COMPUTED_VALUE"""),"VELASQUEZ GUTIERREZ, SAMUEL")</f>
        <v>VELASQUEZ GUTIERREZ, SAMUEL</v>
      </c>
      <c r="D3187" t="str">
        <f>IFERROR(__xludf.DUMMYFUNCTION("""COMPUTED_VALUE"""),"FRC 9 Robotics")</f>
        <v>FRC 9 Robotics</v>
      </c>
      <c r="E3187" s="3">
        <f>IFERROR(__xludf.DUMMYFUNCTION("""COMPUTED_VALUE"""),5.0)</f>
        <v>5</v>
      </c>
      <c r="F3187" s="300">
        <v>1.0</v>
      </c>
      <c r="G3187" s="300">
        <v>1.0</v>
      </c>
      <c r="H3187" s="300">
        <v>1.0</v>
      </c>
      <c r="I3187" s="300">
        <v>1.0</v>
      </c>
      <c r="J3187" s="300">
        <v>1.0</v>
      </c>
      <c r="K3187" s="300">
        <v>1.0</v>
      </c>
      <c r="L3187" s="300">
        <v>1.0</v>
      </c>
      <c r="M3187" s="300">
        <v>1.0</v>
      </c>
      <c r="N3187" s="300">
        <v>8.0</v>
      </c>
      <c r="O3187" s="300" t="s">
        <v>956</v>
      </c>
      <c r="P3187" s="300">
        <v>4.0</v>
      </c>
    </row>
    <row r="3188">
      <c r="A3188">
        <f>IFERROR(__xludf.DUMMYFUNCTION("""COMPUTED_VALUE"""),9.0)</f>
        <v>9</v>
      </c>
      <c r="B3188" s="406">
        <f>IFERROR(__xludf.DUMMYFUNCTION("""COMPUTED_VALUE"""),29061.0)</f>
        <v>29061</v>
      </c>
      <c r="C3188" t="str">
        <f>IFERROR(__xludf.DUMMYFUNCTION("""COMPUTED_VALUE"""),"JARAMILLO OSPINA, MANUEL")</f>
        <v>JARAMILLO OSPINA, MANUEL</v>
      </c>
      <c r="D3188" t="str">
        <f>IFERROR(__xludf.DUMMYFUNCTION("""COMPUTED_VALUE"""),"FRC 9 Robotics")</f>
        <v>FRC 9 Robotics</v>
      </c>
      <c r="E3188" s="3">
        <f>IFERROR(__xludf.DUMMYFUNCTION("""COMPUTED_VALUE"""),1.0)</f>
        <v>1</v>
      </c>
      <c r="F3188" s="300">
        <v>1.0</v>
      </c>
      <c r="G3188" s="300">
        <v>1.0</v>
      </c>
      <c r="H3188" s="300">
        <v>1.0</v>
      </c>
      <c r="I3188" s="300">
        <v>1.0</v>
      </c>
      <c r="J3188" s="300">
        <v>1.0</v>
      </c>
      <c r="K3188" s="300">
        <v>1.0</v>
      </c>
      <c r="L3188" s="300">
        <v>1.0</v>
      </c>
      <c r="M3188" s="300">
        <v>1.0</v>
      </c>
      <c r="N3188" s="300">
        <v>8.0</v>
      </c>
      <c r="O3188" s="300" t="s">
        <v>963</v>
      </c>
      <c r="P3188" s="300">
        <v>4.0</v>
      </c>
    </row>
    <row r="3189">
      <c r="A3189">
        <f>IFERROR(__xludf.DUMMYFUNCTION("""COMPUTED_VALUE"""),9.0)</f>
        <v>9</v>
      </c>
      <c r="B3189" s="406">
        <f>IFERROR(__xludf.DUMMYFUNCTION("""COMPUTED_VALUE"""),29046.0)</f>
        <v>29046</v>
      </c>
      <c r="C3189" t="str">
        <f>IFERROR(__xludf.DUMMYFUNCTION("""COMPUTED_VALUE"""),"GONZALEZ LOPEZ, SAMUEL")</f>
        <v>GONZALEZ LOPEZ, SAMUEL</v>
      </c>
      <c r="D3189" t="str">
        <f>IFERROR(__xludf.DUMMYFUNCTION("""COMPUTED_VALUE"""),"FRC 9 Robotics")</f>
        <v>FRC 9 Robotics</v>
      </c>
      <c r="E3189" s="3">
        <f>IFERROR(__xludf.DUMMYFUNCTION("""COMPUTED_VALUE"""),5.0)</f>
        <v>5</v>
      </c>
      <c r="F3189" s="300">
        <v>1.0</v>
      </c>
      <c r="G3189" s="300">
        <v>1.0</v>
      </c>
      <c r="H3189" s="300">
        <v>1.0</v>
      </c>
      <c r="I3189" s="300">
        <v>1.0</v>
      </c>
      <c r="J3189" s="300">
        <v>1.0</v>
      </c>
      <c r="K3189" s="300">
        <v>1.0</v>
      </c>
      <c r="L3189" s="300">
        <v>1.0</v>
      </c>
      <c r="M3189" s="300">
        <v>1.0</v>
      </c>
      <c r="N3189" s="300">
        <v>8.0</v>
      </c>
      <c r="O3189" s="300" t="s">
        <v>956</v>
      </c>
      <c r="P3189" s="300">
        <v>4.0</v>
      </c>
    </row>
    <row r="3190">
      <c r="A3190">
        <f>IFERROR(__xludf.DUMMYFUNCTION("""COMPUTED_VALUE"""),9.0)</f>
        <v>9</v>
      </c>
      <c r="B3190" s="406">
        <f>IFERROR(__xludf.DUMMYFUNCTION("""COMPUTED_VALUE"""),29143.0)</f>
        <v>29143</v>
      </c>
      <c r="C3190" t="str">
        <f>IFERROR(__xludf.DUMMYFUNCTION("""COMPUTED_VALUE"""),"MOLANO MESA, CARMEN")</f>
        <v>MOLANO MESA, CARMEN</v>
      </c>
      <c r="D3190" t="str">
        <f>IFERROR(__xludf.DUMMYFUNCTION("""COMPUTED_VALUE"""),"Technology 9")</f>
        <v>Technology 9</v>
      </c>
      <c r="E3190" s="3">
        <f>IFERROR(__xludf.DUMMYFUNCTION("""COMPUTED_VALUE"""),5.0)</f>
        <v>5</v>
      </c>
      <c r="F3190" s="300">
        <v>1.0</v>
      </c>
      <c r="G3190" s="300">
        <v>1.0</v>
      </c>
      <c r="H3190" s="300">
        <v>1.0</v>
      </c>
      <c r="I3190" s="300">
        <v>1.0</v>
      </c>
      <c r="J3190" s="300">
        <v>1.0</v>
      </c>
      <c r="K3190" s="300">
        <v>1.0</v>
      </c>
      <c r="L3190" s="300">
        <v>1.0</v>
      </c>
      <c r="M3190" s="300">
        <v>1.0</v>
      </c>
      <c r="N3190" s="300">
        <v>8.0</v>
      </c>
      <c r="O3190" s="300" t="s">
        <v>957</v>
      </c>
      <c r="P3190" s="300">
        <v>3.0</v>
      </c>
    </row>
    <row r="3191">
      <c r="A3191">
        <f>IFERROR(__xludf.DUMMYFUNCTION("""COMPUTED_VALUE"""),9.0)</f>
        <v>9</v>
      </c>
      <c r="B3191" s="406">
        <f>IFERROR(__xludf.DUMMYFUNCTION("""COMPUTED_VALUE"""),29109.0)</f>
        <v>29109</v>
      </c>
      <c r="C3191" t="str">
        <f>IFERROR(__xludf.DUMMYFUNCTION("""COMPUTED_VALUE"""),"SERANI ANGEL, LUCIANA")</f>
        <v>SERANI ANGEL, LUCIANA</v>
      </c>
      <c r="D3191" t="str">
        <f>IFERROR(__xludf.DUMMYFUNCTION("""COMPUTED_VALUE"""),"Technology 9")</f>
        <v>Technology 9</v>
      </c>
      <c r="E3191" s="3">
        <f>IFERROR(__xludf.DUMMYFUNCTION("""COMPUTED_VALUE"""),5.0)</f>
        <v>5</v>
      </c>
      <c r="F3191" s="300">
        <v>1.0</v>
      </c>
      <c r="G3191" s="300">
        <v>1.0</v>
      </c>
      <c r="H3191" s="300">
        <v>1.0</v>
      </c>
      <c r="I3191" s="300">
        <v>1.0</v>
      </c>
      <c r="J3191" s="300">
        <v>1.0</v>
      </c>
      <c r="K3191" s="300">
        <v>1.0</v>
      </c>
      <c r="L3191" s="300">
        <v>1.0</v>
      </c>
      <c r="M3191" s="300">
        <v>1.0</v>
      </c>
      <c r="N3191" s="300">
        <v>8.0</v>
      </c>
      <c r="O3191" s="300" t="s">
        <v>957</v>
      </c>
      <c r="P3191" s="300">
        <v>3.0</v>
      </c>
    </row>
    <row r="3192">
      <c r="A3192">
        <f>IFERROR(__xludf.DUMMYFUNCTION("""COMPUTED_VALUE"""),9.0)</f>
        <v>9</v>
      </c>
      <c r="B3192" s="406">
        <f>IFERROR(__xludf.DUMMYFUNCTION("""COMPUTED_VALUE"""),29037.0)</f>
        <v>29037</v>
      </c>
      <c r="C3192" t="str">
        <f>IFERROR(__xludf.DUMMYFUNCTION("""COMPUTED_VALUE"""),"ESCOBAR INFANTINO, RAQUEL")</f>
        <v>ESCOBAR INFANTINO, RAQUEL</v>
      </c>
      <c r="D3192" t="str">
        <f>IFERROR(__xludf.DUMMYFUNCTION("""COMPUTED_VALUE"""),"Technology 9")</f>
        <v>Technology 9</v>
      </c>
      <c r="E3192" s="3">
        <f>IFERROR(__xludf.DUMMYFUNCTION("""COMPUTED_VALUE"""),1.0)</f>
        <v>1</v>
      </c>
      <c r="F3192" s="300">
        <v>1.0</v>
      </c>
      <c r="G3192" s="300">
        <v>1.0</v>
      </c>
      <c r="H3192" s="300">
        <v>1.0</v>
      </c>
      <c r="I3192" s="300">
        <v>1.0</v>
      </c>
      <c r="J3192" s="300">
        <v>1.0</v>
      </c>
      <c r="K3192" s="300">
        <v>1.0</v>
      </c>
      <c r="L3192" s="300">
        <v>1.0</v>
      </c>
      <c r="M3192" s="300">
        <v>1.0</v>
      </c>
      <c r="N3192" s="300">
        <v>8.0</v>
      </c>
      <c r="O3192" s="300" t="s">
        <v>961</v>
      </c>
      <c r="P3192" s="300">
        <v>3.0</v>
      </c>
    </row>
    <row r="3193">
      <c r="A3193">
        <f>IFERROR(__xludf.DUMMYFUNCTION("""COMPUTED_VALUE"""),9.0)</f>
        <v>9</v>
      </c>
      <c r="B3193" s="406">
        <f>IFERROR(__xludf.DUMMYFUNCTION("""COMPUTED_VALUE"""),29159.0)</f>
        <v>29159</v>
      </c>
      <c r="C3193" t="str">
        <f>IFERROR(__xludf.DUMMYFUNCTION("""COMPUTED_VALUE"""),"PACHECO GARCIA, MARIANA")</f>
        <v>PACHECO GARCIA, MARIANA</v>
      </c>
      <c r="D3193" t="str">
        <f>IFERROR(__xludf.DUMMYFUNCTION("""COMPUTED_VALUE"""),"Technology 9")</f>
        <v>Technology 9</v>
      </c>
      <c r="E3193" s="3">
        <f>IFERROR(__xludf.DUMMYFUNCTION("""COMPUTED_VALUE"""),3.0)</f>
        <v>3</v>
      </c>
      <c r="F3193" s="300">
        <v>1.0</v>
      </c>
      <c r="G3193" s="300">
        <v>1.0</v>
      </c>
      <c r="H3193" s="300">
        <v>1.0</v>
      </c>
      <c r="I3193" s="300">
        <v>1.0</v>
      </c>
      <c r="J3193" s="300">
        <v>1.0</v>
      </c>
      <c r="K3193" s="300">
        <v>1.0</v>
      </c>
      <c r="L3193" s="300">
        <v>1.0</v>
      </c>
      <c r="M3193" s="300">
        <v>1.0</v>
      </c>
      <c r="N3193" s="300">
        <v>8.0</v>
      </c>
      <c r="O3193" s="300" t="s">
        <v>959</v>
      </c>
      <c r="P3193" s="300">
        <v>3.0</v>
      </c>
    </row>
    <row r="3194">
      <c r="A3194">
        <f>IFERROR(__xludf.DUMMYFUNCTION("""COMPUTED_VALUE"""),9.0)</f>
        <v>9</v>
      </c>
      <c r="B3194" s="406">
        <f>IFERROR(__xludf.DUMMYFUNCTION("""COMPUTED_VALUE"""),29142.0)</f>
        <v>29142</v>
      </c>
      <c r="C3194" t="str">
        <f>IFERROR(__xludf.DUMMYFUNCTION("""COMPUTED_VALUE"""),"TOBON CARMONA, JACOBO")</f>
        <v>TOBON CARMONA, JACOBO</v>
      </c>
      <c r="D3194" t="str">
        <f>IFERROR(__xludf.DUMMYFUNCTION("""COMPUTED_VALUE"""),"FRC 9 Robotics")</f>
        <v>FRC 9 Robotics</v>
      </c>
      <c r="E3194" s="3">
        <f>IFERROR(__xludf.DUMMYFUNCTION("""COMPUTED_VALUE"""),1.0)</f>
        <v>1</v>
      </c>
      <c r="F3194" s="300">
        <v>1.0</v>
      </c>
      <c r="G3194" s="300">
        <v>1.0</v>
      </c>
      <c r="H3194" s="300">
        <v>1.0</v>
      </c>
      <c r="I3194" s="300">
        <v>1.0</v>
      </c>
      <c r="J3194" s="300">
        <v>1.0</v>
      </c>
      <c r="K3194" s="300">
        <v>1.0</v>
      </c>
      <c r="L3194" s="300">
        <v>1.0</v>
      </c>
      <c r="M3194" s="300">
        <v>1.0</v>
      </c>
      <c r="N3194" s="300">
        <v>8.0</v>
      </c>
      <c r="O3194" s="300" t="s">
        <v>963</v>
      </c>
      <c r="P3194" s="300">
        <v>4.0</v>
      </c>
    </row>
    <row r="3195">
      <c r="A3195">
        <f>IFERROR(__xludf.DUMMYFUNCTION("""COMPUTED_VALUE"""),9.0)</f>
        <v>9</v>
      </c>
      <c r="B3195" s="406">
        <f>IFERROR(__xludf.DUMMYFUNCTION("""COMPUTED_VALUE"""),29132.0)</f>
        <v>29132</v>
      </c>
      <c r="C3195" t="str">
        <f>IFERROR(__xludf.DUMMYFUNCTION("""COMPUTED_VALUE"""),"VILLEGAS MEJIA, SIMON")</f>
        <v>VILLEGAS MEJIA, SIMON</v>
      </c>
      <c r="D3195" t="str">
        <f>IFERROR(__xludf.DUMMYFUNCTION("""COMPUTED_VALUE"""),"FRC 9 Robotics")</f>
        <v>FRC 9 Robotics</v>
      </c>
      <c r="E3195" s="3">
        <f>IFERROR(__xludf.DUMMYFUNCTION("""COMPUTED_VALUE"""),6.0)</f>
        <v>6</v>
      </c>
      <c r="F3195" s="300">
        <v>1.0</v>
      </c>
      <c r="G3195" s="300">
        <v>1.0</v>
      </c>
      <c r="H3195" s="300">
        <v>1.0</v>
      </c>
      <c r="I3195" s="300">
        <v>1.0</v>
      </c>
      <c r="J3195" s="300">
        <v>1.0</v>
      </c>
      <c r="K3195" s="300">
        <v>1.0</v>
      </c>
      <c r="L3195" s="300">
        <v>1.0</v>
      </c>
      <c r="M3195" s="300">
        <v>1.0</v>
      </c>
      <c r="N3195" s="300">
        <v>8.0</v>
      </c>
      <c r="O3195" s="300" t="s">
        <v>958</v>
      </c>
      <c r="P3195" s="300">
        <v>4.0</v>
      </c>
    </row>
    <row r="3196">
      <c r="A3196">
        <f>IFERROR(__xludf.DUMMYFUNCTION("""COMPUTED_VALUE"""),9.0)</f>
        <v>9</v>
      </c>
      <c r="B3196" s="406">
        <f>IFERROR(__xludf.DUMMYFUNCTION("""COMPUTED_VALUE"""),29027.0)</f>
        <v>29027</v>
      </c>
      <c r="C3196" t="str">
        <f>IFERROR(__xludf.DUMMYFUNCTION("""COMPUTED_VALUE"""),"CARDONA VELEZ, MATIAS")</f>
        <v>CARDONA VELEZ, MATIAS</v>
      </c>
      <c r="D3196" t="str">
        <f>IFERROR(__xludf.DUMMYFUNCTION("""COMPUTED_VALUE"""),"FRC 9")</f>
        <v>FRC 9</v>
      </c>
      <c r="E3196" s="3">
        <f>IFERROR(__xludf.DUMMYFUNCTION("""COMPUTED_VALUE"""),6.0)</f>
        <v>6</v>
      </c>
      <c r="F3196" s="300">
        <v>1.0</v>
      </c>
      <c r="G3196" s="300">
        <v>1.0</v>
      </c>
      <c r="H3196" s="300">
        <v>1.0</v>
      </c>
      <c r="I3196" s="300">
        <v>1.0</v>
      </c>
      <c r="J3196" s="300">
        <v>1.0</v>
      </c>
      <c r="K3196" s="300">
        <v>1.0</v>
      </c>
      <c r="L3196" s="300">
        <v>1.0</v>
      </c>
      <c r="M3196" s="300">
        <v>1.0</v>
      </c>
      <c r="N3196" s="300">
        <v>8.0</v>
      </c>
      <c r="O3196" s="300" t="s">
        <v>960</v>
      </c>
      <c r="P3196" s="300">
        <v>1.0</v>
      </c>
    </row>
    <row r="3197">
      <c r="A3197">
        <f>IFERROR(__xludf.DUMMYFUNCTION("""COMPUTED_VALUE"""),9.0)</f>
        <v>9</v>
      </c>
      <c r="B3197" s="406">
        <f>IFERROR(__xludf.DUMMYFUNCTION("""COMPUTED_VALUE"""),29024.0)</f>
        <v>29024</v>
      </c>
      <c r="C3197" t="str">
        <f>IFERROR(__xludf.DUMMYFUNCTION("""COMPUTED_VALUE"""),"CADAVID RESTREPO, LUIS FERNANDO")</f>
        <v>CADAVID RESTREPO, LUIS FERNANDO</v>
      </c>
      <c r="D3197" t="str">
        <f>IFERROR(__xludf.DUMMYFUNCTION("""COMPUTED_VALUE"""),"FRC 9 Robotics")</f>
        <v>FRC 9 Robotics</v>
      </c>
      <c r="E3197" s="3">
        <f>IFERROR(__xludf.DUMMYFUNCTION("""COMPUTED_VALUE"""),2.0)</f>
        <v>2</v>
      </c>
      <c r="F3197" s="300">
        <v>1.0</v>
      </c>
      <c r="G3197" s="300">
        <v>1.0</v>
      </c>
      <c r="H3197" s="300">
        <v>1.0</v>
      </c>
      <c r="I3197" s="300">
        <v>1.0</v>
      </c>
      <c r="J3197" s="300">
        <v>1.0</v>
      </c>
      <c r="K3197" s="300">
        <v>1.0</v>
      </c>
      <c r="L3197" s="300">
        <v>1.0</v>
      </c>
      <c r="M3197" s="300">
        <v>1.0</v>
      </c>
      <c r="N3197" s="300">
        <v>8.0</v>
      </c>
      <c r="O3197" s="300" t="s">
        <v>962</v>
      </c>
      <c r="P3197" s="300">
        <v>4.0</v>
      </c>
    </row>
    <row r="3198">
      <c r="A3198">
        <f>IFERROR(__xludf.DUMMYFUNCTION("""COMPUTED_VALUE"""),9.0)</f>
        <v>9</v>
      </c>
      <c r="B3198" s="406">
        <f>IFERROR(__xludf.DUMMYFUNCTION("""COMPUTED_VALUE"""),29042.0)</f>
        <v>29042</v>
      </c>
      <c r="C3198" t="str">
        <f>IFERROR(__xludf.DUMMYFUNCTION("""COMPUTED_VALUE"""),"GOMEZ MIRA, GREGORIO")</f>
        <v>GOMEZ MIRA, GREGORIO</v>
      </c>
      <c r="D3198" t="str">
        <f>IFERROR(__xludf.DUMMYFUNCTION("""COMPUTED_VALUE"""),"FRC 9 Robotics")</f>
        <v>FRC 9 Robotics</v>
      </c>
      <c r="E3198" s="3">
        <f>IFERROR(__xludf.DUMMYFUNCTION("""COMPUTED_VALUE"""),5.0)</f>
        <v>5</v>
      </c>
      <c r="F3198" s="300">
        <v>1.0</v>
      </c>
      <c r="G3198" s="300">
        <v>1.0</v>
      </c>
      <c r="H3198" s="300">
        <v>1.0</v>
      </c>
      <c r="I3198" s="300">
        <v>1.0</v>
      </c>
      <c r="J3198" s="300">
        <v>1.0</v>
      </c>
      <c r="K3198" s="300">
        <v>1.0</v>
      </c>
      <c r="L3198" s="300">
        <v>1.0</v>
      </c>
      <c r="M3198" s="300">
        <v>1.0</v>
      </c>
      <c r="N3198" s="300">
        <v>8.0</v>
      </c>
      <c r="O3198" s="300" t="s">
        <v>956</v>
      </c>
      <c r="P3198" s="300">
        <v>4.0</v>
      </c>
    </row>
    <row r="3199">
      <c r="A3199">
        <f>IFERROR(__xludf.DUMMYFUNCTION("""COMPUTED_VALUE"""),9.0)</f>
        <v>9</v>
      </c>
      <c r="B3199" s="406">
        <f>IFERROR(__xludf.DUMMYFUNCTION("""COMPUTED_VALUE"""),29120.0)</f>
        <v>29120</v>
      </c>
      <c r="C3199" t="str">
        <f>IFERROR(__xludf.DUMMYFUNCTION("""COMPUTED_VALUE"""),"URIBE JARAMILLO, PEDRO JUAN")</f>
        <v>URIBE JARAMILLO, PEDRO JUAN</v>
      </c>
      <c r="D3199" t="str">
        <f>IFERROR(__xludf.DUMMYFUNCTION("""COMPUTED_VALUE"""),"FRC 9 Robotics")</f>
        <v>FRC 9 Robotics</v>
      </c>
      <c r="E3199" s="3">
        <f>IFERROR(__xludf.DUMMYFUNCTION("""COMPUTED_VALUE"""),5.0)</f>
        <v>5</v>
      </c>
      <c r="F3199" s="300">
        <v>1.0</v>
      </c>
      <c r="G3199" s="300">
        <v>1.0</v>
      </c>
      <c r="H3199" s="300">
        <v>1.0</v>
      </c>
      <c r="I3199" s="300">
        <v>1.0</v>
      </c>
      <c r="J3199" s="300">
        <v>1.0</v>
      </c>
      <c r="K3199" s="300">
        <v>1.0</v>
      </c>
      <c r="L3199" s="300">
        <v>1.0</v>
      </c>
      <c r="M3199" s="300">
        <v>1.0</v>
      </c>
      <c r="N3199" s="300">
        <v>8.0</v>
      </c>
      <c r="O3199" s="300" t="s">
        <v>956</v>
      </c>
      <c r="P3199" s="300">
        <v>4.0</v>
      </c>
    </row>
    <row r="3200">
      <c r="A3200">
        <f>IFERROR(__xludf.DUMMYFUNCTION("""COMPUTED_VALUE"""),9.0)</f>
        <v>9</v>
      </c>
      <c r="B3200" s="406">
        <f>IFERROR(__xludf.DUMMYFUNCTION("""COMPUTED_VALUE"""),29040.0)</f>
        <v>29040</v>
      </c>
      <c r="C3200" t="str">
        <f>IFERROR(__xludf.DUMMYFUNCTION("""COMPUTED_VALUE"""),"ESTRADA ZAPATA, MARTIN")</f>
        <v>ESTRADA ZAPATA, MARTIN</v>
      </c>
      <c r="D3200" t="str">
        <f>IFERROR(__xludf.DUMMYFUNCTION("""COMPUTED_VALUE"""),"FRC 9 Robotics")</f>
        <v>FRC 9 Robotics</v>
      </c>
      <c r="E3200" s="3">
        <f>IFERROR(__xludf.DUMMYFUNCTION("""COMPUTED_VALUE"""),1.0)</f>
        <v>1</v>
      </c>
      <c r="F3200" s="300">
        <v>1.0</v>
      </c>
      <c r="G3200" s="300">
        <v>1.0</v>
      </c>
      <c r="H3200" s="300">
        <v>1.0</v>
      </c>
      <c r="I3200" s="300">
        <v>1.0</v>
      </c>
      <c r="J3200" s="300">
        <v>1.0</v>
      </c>
      <c r="K3200" s="300">
        <v>1.0</v>
      </c>
      <c r="L3200" s="300">
        <v>1.0</v>
      </c>
      <c r="M3200" s="300">
        <v>1.0</v>
      </c>
      <c r="N3200" s="300">
        <v>8.0</v>
      </c>
      <c r="O3200" s="300" t="s">
        <v>963</v>
      </c>
      <c r="P3200" s="300">
        <v>4.0</v>
      </c>
    </row>
    <row r="3201">
      <c r="A3201">
        <f>IFERROR(__xludf.DUMMYFUNCTION("""COMPUTED_VALUE"""),9.0)</f>
        <v>9</v>
      </c>
      <c r="B3201" s="406">
        <f>IFERROR(__xludf.DUMMYFUNCTION("""COMPUTED_VALUE"""),29057.0)</f>
        <v>29057</v>
      </c>
      <c r="C3201" t="str">
        <f>IFERROR(__xludf.DUMMYFUNCTION("""COMPUTED_VALUE"""),"JALLER TRUJILLO, KAMEL")</f>
        <v>JALLER TRUJILLO, KAMEL</v>
      </c>
      <c r="D3201" t="str">
        <f>IFERROR(__xludf.DUMMYFUNCTION("""COMPUTED_VALUE"""),"FRC 9 Robotics")</f>
        <v>FRC 9 Robotics</v>
      </c>
      <c r="E3201" s="3">
        <f>IFERROR(__xludf.DUMMYFUNCTION("""COMPUTED_VALUE"""),6.0)</f>
        <v>6</v>
      </c>
      <c r="F3201" s="300">
        <v>1.0</v>
      </c>
      <c r="G3201" s="300">
        <v>1.0</v>
      </c>
      <c r="H3201" s="300">
        <v>1.0</v>
      </c>
      <c r="I3201" s="300">
        <v>1.0</v>
      </c>
      <c r="J3201" s="300">
        <v>1.0</v>
      </c>
      <c r="K3201" s="300">
        <v>1.0</v>
      </c>
      <c r="L3201" s="300">
        <v>1.0</v>
      </c>
      <c r="M3201" s="300">
        <v>1.0</v>
      </c>
      <c r="N3201" s="300">
        <v>8.0</v>
      </c>
      <c r="O3201" s="300" t="s">
        <v>958</v>
      </c>
      <c r="P3201" s="300">
        <v>4.0</v>
      </c>
    </row>
    <row r="3202">
      <c r="A3202">
        <f>IFERROR(__xludf.DUMMYFUNCTION("""COMPUTED_VALUE"""),9.0)</f>
        <v>9</v>
      </c>
      <c r="B3202" s="406">
        <f>IFERROR(__xludf.DUMMYFUNCTION("""COMPUTED_VALUE"""),29092.0)</f>
        <v>29092</v>
      </c>
      <c r="C3202" t="str">
        <f>IFERROR(__xludf.DUMMYFUNCTION("""COMPUTED_VALUE"""),"TURIZZO BORRERO, CAMILO ANDRES")</f>
        <v>TURIZZO BORRERO, CAMILO ANDRES</v>
      </c>
      <c r="D3202" t="str">
        <f>IFERROR(__xludf.DUMMYFUNCTION("""COMPUTED_VALUE"""),"FRC 9")</f>
        <v>FRC 9</v>
      </c>
      <c r="E3202" s="3">
        <f>IFERROR(__xludf.DUMMYFUNCTION("""COMPUTED_VALUE"""),6.0)</f>
        <v>6</v>
      </c>
      <c r="F3202" s="300">
        <v>1.0</v>
      </c>
      <c r="G3202" s="300">
        <v>1.0</v>
      </c>
      <c r="H3202" s="300">
        <v>1.0</v>
      </c>
      <c r="I3202" s="300">
        <v>1.0</v>
      </c>
      <c r="J3202" s="300">
        <v>1.0</v>
      </c>
      <c r="K3202" s="300">
        <v>1.0</v>
      </c>
      <c r="L3202" s="300">
        <v>1.0</v>
      </c>
      <c r="M3202" s="300">
        <v>1.0</v>
      </c>
      <c r="N3202" s="300">
        <v>8.0</v>
      </c>
      <c r="O3202" s="300" t="s">
        <v>960</v>
      </c>
      <c r="P3202" s="300">
        <v>1.0</v>
      </c>
    </row>
    <row r="3203">
      <c r="A3203">
        <f>IFERROR(__xludf.DUMMYFUNCTION("""COMPUTED_VALUE"""),9.0)</f>
        <v>9</v>
      </c>
      <c r="B3203" s="406">
        <f>IFERROR(__xludf.DUMMYFUNCTION("""COMPUTED_VALUE"""),29129.0)</f>
        <v>29129</v>
      </c>
      <c r="C3203" t="str">
        <f>IFERROR(__xludf.DUMMYFUNCTION("""COMPUTED_VALUE"""),"VELEZ RESTREPO, SIMON")</f>
        <v>VELEZ RESTREPO, SIMON</v>
      </c>
      <c r="D3203" t="str">
        <f>IFERROR(__xludf.DUMMYFUNCTION("""COMPUTED_VALUE"""),"FRC 9 Robotics")</f>
        <v>FRC 9 Robotics</v>
      </c>
      <c r="E3203" s="3">
        <f>IFERROR(__xludf.DUMMYFUNCTION("""COMPUTED_VALUE"""),2.0)</f>
        <v>2</v>
      </c>
      <c r="F3203" s="300">
        <v>1.0</v>
      </c>
      <c r="G3203" s="300">
        <v>1.0</v>
      </c>
      <c r="H3203" s="300">
        <v>1.0</v>
      </c>
      <c r="I3203" s="300">
        <v>1.0</v>
      </c>
      <c r="J3203" s="300">
        <v>1.0</v>
      </c>
      <c r="K3203" s="300">
        <v>1.0</v>
      </c>
      <c r="L3203" s="300">
        <v>1.0</v>
      </c>
      <c r="M3203" s="300">
        <v>1.0</v>
      </c>
      <c r="N3203" s="300">
        <v>8.0</v>
      </c>
      <c r="O3203" s="300" t="s">
        <v>962</v>
      </c>
      <c r="P3203" s="300">
        <v>4.0</v>
      </c>
    </row>
    <row r="3204">
      <c r="A3204">
        <f>IFERROR(__xludf.DUMMYFUNCTION("""COMPUTED_VALUE"""),9.0)</f>
        <v>9</v>
      </c>
      <c r="B3204" s="406">
        <f>IFERROR(__xludf.DUMMYFUNCTION("""COMPUTED_VALUE"""),29002.0)</f>
        <v>29002</v>
      </c>
      <c r="C3204" t="str">
        <f>IFERROR(__xludf.DUMMYFUNCTION("""COMPUTED_VALUE"""),"ACEVEDO OCHOA, MARIA DEL MAR")</f>
        <v>ACEVEDO OCHOA, MARIA DEL MAR</v>
      </c>
      <c r="D3204" t="str">
        <f>IFERROR(__xludf.DUMMYFUNCTION("""COMPUTED_VALUE"""),"FRC 9 Robotics")</f>
        <v>FRC 9 Robotics</v>
      </c>
      <c r="E3204" s="3">
        <f>IFERROR(__xludf.DUMMYFUNCTION("""COMPUTED_VALUE"""),1.0)</f>
        <v>1</v>
      </c>
      <c r="F3204" s="300">
        <v>1.0</v>
      </c>
      <c r="G3204" s="300">
        <v>1.0</v>
      </c>
      <c r="H3204" s="300">
        <v>1.0</v>
      </c>
      <c r="I3204" s="300">
        <v>1.0</v>
      </c>
      <c r="J3204" s="300">
        <v>1.0</v>
      </c>
      <c r="K3204" s="300">
        <v>1.0</v>
      </c>
      <c r="L3204" s="300">
        <v>1.0</v>
      </c>
      <c r="M3204" s="300">
        <v>1.0</v>
      </c>
      <c r="N3204" s="300">
        <v>8.0</v>
      </c>
      <c r="O3204" s="300" t="s">
        <v>963</v>
      </c>
      <c r="P3204" s="300">
        <v>4.0</v>
      </c>
    </row>
    <row r="3205">
      <c r="A3205">
        <f>IFERROR(__xludf.DUMMYFUNCTION("""COMPUTED_VALUE"""),9.0)</f>
        <v>9</v>
      </c>
      <c r="B3205" s="406">
        <f>IFERROR(__xludf.DUMMYFUNCTION("""COMPUTED_VALUE"""),29099.0)</f>
        <v>29099</v>
      </c>
      <c r="C3205" t="str">
        <f>IFERROR(__xludf.DUMMYFUNCTION("""COMPUTED_VALUE"""),"RESTREPO RESTREPO, MATIAS")</f>
        <v>RESTREPO RESTREPO, MATIAS</v>
      </c>
      <c r="D3205" t="str">
        <f>IFERROR(__xludf.DUMMYFUNCTION("""COMPUTED_VALUE"""),"FRC 9")</f>
        <v>FRC 9</v>
      </c>
      <c r="E3205" s="3">
        <f>IFERROR(__xludf.DUMMYFUNCTION("""COMPUTED_VALUE"""),6.0)</f>
        <v>6</v>
      </c>
      <c r="F3205" s="300">
        <v>1.0</v>
      </c>
      <c r="G3205" s="300">
        <v>1.0</v>
      </c>
      <c r="H3205" s="300">
        <v>1.0</v>
      </c>
      <c r="I3205" s="300">
        <v>1.0</v>
      </c>
      <c r="J3205" s="300">
        <v>1.0</v>
      </c>
      <c r="K3205" s="300">
        <v>1.0</v>
      </c>
      <c r="L3205" s="300">
        <v>1.0</v>
      </c>
      <c r="M3205" s="300">
        <v>1.0</v>
      </c>
      <c r="N3205" s="300">
        <v>8.0</v>
      </c>
      <c r="O3205" s="300" t="s">
        <v>960</v>
      </c>
      <c r="P3205" s="300">
        <v>1.0</v>
      </c>
    </row>
    <row r="3206">
      <c r="A3206">
        <f>IFERROR(__xludf.DUMMYFUNCTION("""COMPUTED_VALUE"""),9.0)</f>
        <v>9</v>
      </c>
      <c r="B3206" s="406">
        <f>IFERROR(__xludf.DUMMYFUNCTION("""COMPUTED_VALUE"""),29087.0)</f>
        <v>29087</v>
      </c>
      <c r="C3206" t="str">
        <f>IFERROR(__xludf.DUMMYFUNCTION("""COMPUTED_VALUE"""),"PALACIO BOTERO, MATIAS")</f>
        <v>PALACIO BOTERO, MATIAS</v>
      </c>
      <c r="D3206" t="str">
        <f>IFERROR(__xludf.DUMMYFUNCTION("""COMPUTED_VALUE"""),"Technology 9")</f>
        <v>Technology 9</v>
      </c>
      <c r="E3206" s="3">
        <f>IFERROR(__xludf.DUMMYFUNCTION("""COMPUTED_VALUE"""),5.0)</f>
        <v>5</v>
      </c>
      <c r="F3206" s="300">
        <v>1.0</v>
      </c>
      <c r="G3206" s="300">
        <v>1.0</v>
      </c>
      <c r="H3206" s="300">
        <v>1.0</v>
      </c>
      <c r="I3206" s="300">
        <v>1.0</v>
      </c>
      <c r="J3206" s="300">
        <v>1.0</v>
      </c>
      <c r="K3206" s="300">
        <v>1.0</v>
      </c>
      <c r="L3206" s="300">
        <v>1.0</v>
      </c>
      <c r="M3206" s="300">
        <v>1.0</v>
      </c>
      <c r="N3206" s="300">
        <v>8.0</v>
      </c>
      <c r="O3206" s="300" t="s">
        <v>957</v>
      </c>
      <c r="P3206" s="300">
        <v>3.0</v>
      </c>
    </row>
    <row r="3207">
      <c r="A3207">
        <f>IFERROR(__xludf.DUMMYFUNCTION("""COMPUTED_VALUE"""),9.0)</f>
        <v>9</v>
      </c>
      <c r="B3207" s="406">
        <f>IFERROR(__xludf.DUMMYFUNCTION("""COMPUTED_VALUE"""),28087.0)</f>
        <v>28087</v>
      </c>
      <c r="C3207" t="str">
        <f>IFERROR(__xludf.DUMMYFUNCTION("""COMPUTED_VALUE"""),"QUINTERO HENAO, MATEO")</f>
        <v>QUINTERO HENAO, MATEO</v>
      </c>
      <c r="D3207" t="str">
        <f>IFERROR(__xludf.DUMMYFUNCTION("""COMPUTED_VALUE"""),"FRC 9 Robotics")</f>
        <v>FRC 9 Robotics</v>
      </c>
      <c r="E3207" s="3">
        <f>IFERROR(__xludf.DUMMYFUNCTION("""COMPUTED_VALUE"""),6.0)</f>
        <v>6</v>
      </c>
      <c r="F3207" s="300">
        <v>1.0</v>
      </c>
      <c r="G3207" s="300">
        <v>1.0</v>
      </c>
      <c r="H3207" s="300">
        <v>1.0</v>
      </c>
      <c r="I3207" s="300">
        <v>1.0</v>
      </c>
      <c r="J3207" s="300">
        <v>1.0</v>
      </c>
      <c r="K3207" s="300">
        <v>1.0</v>
      </c>
      <c r="L3207" s="300">
        <v>1.0</v>
      </c>
      <c r="M3207" s="300">
        <v>1.0</v>
      </c>
      <c r="N3207" s="300">
        <v>8.0</v>
      </c>
      <c r="O3207" s="300" t="s">
        <v>958</v>
      </c>
      <c r="P3207" s="300">
        <v>4.0</v>
      </c>
    </row>
    <row r="3208">
      <c r="A3208">
        <f>IFERROR(__xludf.DUMMYFUNCTION("""COMPUTED_VALUE"""),9.0)</f>
        <v>9</v>
      </c>
      <c r="B3208" s="406">
        <f>IFERROR(__xludf.DUMMYFUNCTION("""COMPUTED_VALUE"""),29133.0)</f>
        <v>29133</v>
      </c>
      <c r="C3208" t="str">
        <f>IFERROR(__xludf.DUMMYFUNCTION("""COMPUTED_VALUE"""),"ZAPATA URIBE, RAFAEL")</f>
        <v>ZAPATA URIBE, RAFAEL</v>
      </c>
      <c r="D3208" t="str">
        <f>IFERROR(__xludf.DUMMYFUNCTION("""COMPUTED_VALUE"""),"FRC 9 Robotics")</f>
        <v>FRC 9 Robotics</v>
      </c>
      <c r="E3208" s="3">
        <f>IFERROR(__xludf.DUMMYFUNCTION("""COMPUTED_VALUE"""),5.0)</f>
        <v>5</v>
      </c>
      <c r="F3208" s="300">
        <v>1.0</v>
      </c>
      <c r="G3208" s="300">
        <v>1.0</v>
      </c>
      <c r="H3208" s="300">
        <v>1.0</v>
      </c>
      <c r="I3208" s="300">
        <v>1.0</v>
      </c>
      <c r="J3208" s="300">
        <v>1.0</v>
      </c>
      <c r="K3208" s="300">
        <v>1.0</v>
      </c>
      <c r="L3208" s="300">
        <v>1.0</v>
      </c>
      <c r="M3208" s="300">
        <v>1.0</v>
      </c>
      <c r="N3208" s="300">
        <v>8.0</v>
      </c>
      <c r="O3208" s="300" t="s">
        <v>956</v>
      </c>
      <c r="P3208" s="300">
        <v>4.0</v>
      </c>
    </row>
    <row r="3209">
      <c r="A3209">
        <f>IFERROR(__xludf.DUMMYFUNCTION("""COMPUTED_VALUE"""),9.0)</f>
        <v>9</v>
      </c>
      <c r="B3209" s="406">
        <f>IFERROR(__xludf.DUMMYFUNCTION("""COMPUTED_VALUE"""),29059.0)</f>
        <v>29059</v>
      </c>
      <c r="C3209" t="str">
        <f>IFERROR(__xludf.DUMMYFUNCTION("""COMPUTED_VALUE"""),"JARAMILLO GONZALEZ, PASCUAL")</f>
        <v>JARAMILLO GONZALEZ, PASCUAL</v>
      </c>
      <c r="D3209" t="str">
        <f>IFERROR(__xludf.DUMMYFUNCTION("""COMPUTED_VALUE"""),"FRC 9 Robotics")</f>
        <v>FRC 9 Robotics</v>
      </c>
      <c r="E3209" s="3">
        <f>IFERROR(__xludf.DUMMYFUNCTION("""COMPUTED_VALUE"""),5.0)</f>
        <v>5</v>
      </c>
      <c r="F3209" s="300">
        <v>1.0</v>
      </c>
      <c r="G3209" s="300">
        <v>1.0</v>
      </c>
      <c r="H3209" s="300">
        <v>1.0</v>
      </c>
      <c r="I3209" s="300">
        <v>1.0</v>
      </c>
      <c r="J3209" s="300">
        <v>1.0</v>
      </c>
      <c r="K3209" s="300">
        <v>1.0</v>
      </c>
      <c r="L3209" s="300">
        <v>1.0</v>
      </c>
      <c r="M3209" s="300">
        <v>1.0</v>
      </c>
      <c r="N3209" s="300">
        <v>8.0</v>
      </c>
      <c r="O3209" s="300" t="s">
        <v>956</v>
      </c>
      <c r="P3209" s="300">
        <v>4.0</v>
      </c>
    </row>
    <row r="3210">
      <c r="A3210">
        <f>IFERROR(__xludf.DUMMYFUNCTION("""COMPUTED_VALUE"""),9.0)</f>
        <v>9</v>
      </c>
      <c r="B3210" s="406">
        <f>IFERROR(__xludf.DUMMYFUNCTION("""COMPUTED_VALUE"""),29050.0)</f>
        <v>29050</v>
      </c>
      <c r="C3210" t="str">
        <f>IFERROR(__xludf.DUMMYFUNCTION("""COMPUTED_VALUE"""),"HINESTROSA SIERRA, PEDRO")</f>
        <v>HINESTROSA SIERRA, PEDRO</v>
      </c>
      <c r="D3210" t="str">
        <f>IFERROR(__xludf.DUMMYFUNCTION("""COMPUTED_VALUE"""),"FRC 9 Robotics")</f>
        <v>FRC 9 Robotics</v>
      </c>
      <c r="E3210" s="3">
        <f>IFERROR(__xludf.DUMMYFUNCTION("""COMPUTED_VALUE"""),6.0)</f>
        <v>6</v>
      </c>
      <c r="F3210" s="300">
        <v>1.0</v>
      </c>
      <c r="G3210" s="300">
        <v>1.0</v>
      </c>
      <c r="H3210" s="300">
        <v>1.0</v>
      </c>
      <c r="I3210" s="300">
        <v>1.0</v>
      </c>
      <c r="J3210" s="300">
        <v>1.0</v>
      </c>
      <c r="K3210" s="300">
        <v>1.0</v>
      </c>
      <c r="L3210" s="300">
        <v>1.0</v>
      </c>
      <c r="M3210" s="300">
        <v>1.0</v>
      </c>
      <c r="N3210" s="300">
        <v>8.0</v>
      </c>
      <c r="O3210" s="300" t="s">
        <v>958</v>
      </c>
      <c r="P3210" s="300">
        <v>4.0</v>
      </c>
    </row>
    <row r="3211">
      <c r="A3211">
        <f>IFERROR(__xludf.DUMMYFUNCTION("""COMPUTED_VALUE"""),9.0)</f>
        <v>9</v>
      </c>
      <c r="B3211" s="406">
        <f>IFERROR(__xludf.DUMMYFUNCTION("""COMPUTED_VALUE"""),29068.0)</f>
        <v>29068</v>
      </c>
      <c r="C3211" t="str">
        <f>IFERROR(__xludf.DUMMYFUNCTION("""COMPUTED_VALUE"""),"LOPEZ JAIMES, VICENTE")</f>
        <v>LOPEZ JAIMES, VICENTE</v>
      </c>
      <c r="D3211" t="str">
        <f>IFERROR(__xludf.DUMMYFUNCTION("""COMPUTED_VALUE"""),"FRC 9 Robotics")</f>
        <v>FRC 9 Robotics</v>
      </c>
      <c r="E3211" s="3">
        <f>IFERROR(__xludf.DUMMYFUNCTION("""COMPUTED_VALUE"""),1.0)</f>
        <v>1</v>
      </c>
      <c r="F3211" s="300">
        <v>1.0</v>
      </c>
      <c r="G3211" s="300">
        <v>1.0</v>
      </c>
      <c r="H3211" s="300">
        <v>1.0</v>
      </c>
      <c r="I3211" s="300">
        <v>1.0</v>
      </c>
      <c r="J3211" s="300">
        <v>1.0</v>
      </c>
      <c r="K3211" s="300">
        <v>1.0</v>
      </c>
      <c r="L3211" s="300">
        <v>1.0</v>
      </c>
      <c r="M3211" s="300">
        <v>1.0</v>
      </c>
      <c r="N3211" s="300">
        <v>8.0</v>
      </c>
      <c r="O3211" s="300" t="s">
        <v>963</v>
      </c>
      <c r="P3211" s="300">
        <v>4.0</v>
      </c>
    </row>
    <row r="3212">
      <c r="A3212">
        <f>IFERROR(__xludf.DUMMYFUNCTION("""COMPUTED_VALUE"""),9.0)</f>
        <v>9</v>
      </c>
      <c r="B3212" s="406">
        <f>IFERROR(__xludf.DUMMYFUNCTION("""COMPUTED_VALUE"""),29136.0)</f>
        <v>29136</v>
      </c>
      <c r="C3212" t="str">
        <f>IFERROR(__xludf.DUMMYFUNCTION("""COMPUTED_VALUE"""),"CHOPRA, HARSHUL")</f>
        <v>CHOPRA, HARSHUL</v>
      </c>
      <c r="D3212" t="str">
        <f>IFERROR(__xludf.DUMMYFUNCTION("""COMPUTED_VALUE"""),"FRC 9")</f>
        <v>FRC 9</v>
      </c>
      <c r="E3212" s="3">
        <f>IFERROR(__xludf.DUMMYFUNCTION("""COMPUTED_VALUE"""),6.0)</f>
        <v>6</v>
      </c>
      <c r="F3212" s="300">
        <v>1.0</v>
      </c>
      <c r="G3212" s="300">
        <v>1.0</v>
      </c>
      <c r="H3212" s="300">
        <v>1.0</v>
      </c>
      <c r="I3212" s="300">
        <v>1.0</v>
      </c>
      <c r="J3212" s="300">
        <v>1.0</v>
      </c>
      <c r="K3212" s="300">
        <v>1.0</v>
      </c>
      <c r="L3212" s="300">
        <v>1.0</v>
      </c>
      <c r="M3212" s="300">
        <v>1.0</v>
      </c>
      <c r="N3212" s="300">
        <v>8.0</v>
      </c>
      <c r="O3212" s="300" t="s">
        <v>960</v>
      </c>
      <c r="P3212" s="300">
        <v>1.0</v>
      </c>
    </row>
    <row r="3213">
      <c r="A3213">
        <f>IFERROR(__xludf.DUMMYFUNCTION("""COMPUTED_VALUE"""),9.0)</f>
        <v>9</v>
      </c>
      <c r="B3213" s="406">
        <f>IFERROR(__xludf.DUMMYFUNCTION("""COMPUTED_VALUE"""),28160.0)</f>
        <v>28160</v>
      </c>
      <c r="C3213" t="str">
        <f>IFERROR(__xludf.DUMMYFUNCTION("""COMPUTED_VALUE"""),"ROJAS REYES, JERONIMO")</f>
        <v>ROJAS REYES, JERONIMO</v>
      </c>
      <c r="D3213" t="str">
        <f>IFERROR(__xludf.DUMMYFUNCTION("""COMPUTED_VALUE"""),"FRC 9 Robotics")</f>
        <v>FRC 9 Robotics</v>
      </c>
      <c r="E3213" s="3">
        <f>IFERROR(__xludf.DUMMYFUNCTION("""COMPUTED_VALUE"""),2.0)</f>
        <v>2</v>
      </c>
      <c r="F3213" s="300">
        <v>1.0</v>
      </c>
      <c r="G3213" s="300">
        <v>1.0</v>
      </c>
      <c r="H3213" s="300">
        <v>1.0</v>
      </c>
      <c r="I3213" s="300">
        <v>1.0</v>
      </c>
      <c r="J3213" s="300">
        <v>1.0</v>
      </c>
      <c r="K3213" s="300">
        <v>1.0</v>
      </c>
      <c r="L3213" s="300">
        <v>1.0</v>
      </c>
      <c r="M3213" s="300">
        <v>1.0</v>
      </c>
      <c r="N3213" s="300">
        <v>8.0</v>
      </c>
      <c r="O3213" s="300" t="s">
        <v>962</v>
      </c>
      <c r="P3213" s="300">
        <v>4.0</v>
      </c>
    </row>
    <row r="3214">
      <c r="A3214">
        <f>IFERROR(__xludf.DUMMYFUNCTION("""COMPUTED_VALUE"""),9.0)</f>
        <v>9</v>
      </c>
      <c r="B3214" s="406">
        <f>IFERROR(__xludf.DUMMYFUNCTION("""COMPUTED_VALUE"""),28046.0)</f>
        <v>28046</v>
      </c>
      <c r="C3214" t="str">
        <f>IFERROR(__xludf.DUMMYFUNCTION("""COMPUTED_VALUE"""),"HOYOS SARAVIA, TOMAS")</f>
        <v>HOYOS SARAVIA, TOMAS</v>
      </c>
      <c r="D3214" t="str">
        <f>IFERROR(__xludf.DUMMYFUNCTION("""COMPUTED_VALUE"""),"FRC 9")</f>
        <v>FRC 9</v>
      </c>
      <c r="E3214" s="3">
        <f>IFERROR(__xludf.DUMMYFUNCTION("""COMPUTED_VALUE"""),6.0)</f>
        <v>6</v>
      </c>
      <c r="F3214" s="300">
        <v>1.0</v>
      </c>
      <c r="G3214" s="300">
        <v>1.0</v>
      </c>
      <c r="H3214" s="300">
        <v>1.0</v>
      </c>
      <c r="I3214" s="300">
        <v>1.0</v>
      </c>
      <c r="J3214" s="300">
        <v>1.0</v>
      </c>
      <c r="K3214" s="300">
        <v>1.0</v>
      </c>
      <c r="L3214" s="300">
        <v>1.0</v>
      </c>
      <c r="M3214" s="300">
        <v>1.0</v>
      </c>
      <c r="N3214" s="300">
        <v>8.0</v>
      </c>
      <c r="O3214" s="300" t="s">
        <v>960</v>
      </c>
      <c r="P3214" s="300">
        <v>1.0</v>
      </c>
    </row>
    <row r="3215">
      <c r="A3215">
        <f>IFERROR(__xludf.DUMMYFUNCTION("""COMPUTED_VALUE"""),9.0)</f>
        <v>9</v>
      </c>
      <c r="B3215" s="406">
        <f>IFERROR(__xludf.DUMMYFUNCTION("""COMPUTED_VALUE"""),29039.0)</f>
        <v>29039</v>
      </c>
      <c r="C3215" t="str">
        <f>IFERROR(__xludf.DUMMYFUNCTION("""COMPUTED_VALUE"""),"ESPINOSA ABAD, GREGORIO")</f>
        <v>ESPINOSA ABAD, GREGORIO</v>
      </c>
      <c r="D3215" t="str">
        <f>IFERROR(__xludf.DUMMYFUNCTION("""COMPUTED_VALUE"""),"FRC 9 Robotics")</f>
        <v>FRC 9 Robotics</v>
      </c>
      <c r="E3215" s="3">
        <f>IFERROR(__xludf.DUMMYFUNCTION("""COMPUTED_VALUE"""),1.0)</f>
        <v>1</v>
      </c>
      <c r="F3215" s="300">
        <v>1.0</v>
      </c>
      <c r="G3215" s="300">
        <v>1.0</v>
      </c>
      <c r="H3215" s="300">
        <v>1.0</v>
      </c>
      <c r="I3215" s="300">
        <v>1.0</v>
      </c>
      <c r="J3215" s="300">
        <v>1.0</v>
      </c>
      <c r="K3215" s="300">
        <v>1.0</v>
      </c>
      <c r="L3215" s="300">
        <v>1.0</v>
      </c>
      <c r="M3215" s="300">
        <v>1.0</v>
      </c>
      <c r="N3215" s="300">
        <v>8.0</v>
      </c>
      <c r="O3215" s="300" t="s">
        <v>963</v>
      </c>
      <c r="P3215" s="300">
        <v>4.0</v>
      </c>
    </row>
    <row r="3216">
      <c r="A3216">
        <f>IFERROR(__xludf.DUMMYFUNCTION("""COMPUTED_VALUE"""),9.0)</f>
        <v>9</v>
      </c>
      <c r="B3216" s="406">
        <f>IFERROR(__xludf.DUMMYFUNCTION("""COMPUTED_VALUE"""),29116.0)</f>
        <v>29116</v>
      </c>
      <c r="C3216" t="str">
        <f>IFERROR(__xludf.DUMMYFUNCTION("""COMPUTED_VALUE"""),"TOBAR MEJIA, CAMILO")</f>
        <v>TOBAR MEJIA, CAMILO</v>
      </c>
      <c r="D3216" t="str">
        <f>IFERROR(__xludf.DUMMYFUNCTION("""COMPUTED_VALUE"""),"FRC 9 Robotics")</f>
        <v>FRC 9 Robotics</v>
      </c>
      <c r="E3216" s="3">
        <f>IFERROR(__xludf.DUMMYFUNCTION("""COMPUTED_VALUE"""),6.0)</f>
        <v>6</v>
      </c>
      <c r="F3216" s="300">
        <v>1.0</v>
      </c>
      <c r="G3216" s="300">
        <v>1.0</v>
      </c>
      <c r="H3216" s="300">
        <v>1.0</v>
      </c>
      <c r="I3216" s="300">
        <v>1.0</v>
      </c>
      <c r="J3216" s="300">
        <v>1.0</v>
      </c>
      <c r="K3216" s="300">
        <v>1.0</v>
      </c>
      <c r="L3216" s="300">
        <v>1.0</v>
      </c>
      <c r="M3216" s="300">
        <v>1.0</v>
      </c>
      <c r="N3216" s="300">
        <v>8.0</v>
      </c>
      <c r="O3216" s="300" t="s">
        <v>958</v>
      </c>
      <c r="P3216" s="300">
        <v>4.0</v>
      </c>
    </row>
    <row r="3217">
      <c r="A3217">
        <f>IFERROR(__xludf.DUMMYFUNCTION("""COMPUTED_VALUE"""),9.0)</f>
        <v>9</v>
      </c>
      <c r="B3217" s="406">
        <f>IFERROR(__xludf.DUMMYFUNCTION("""COMPUTED_VALUE"""),29137.0)</f>
        <v>29137</v>
      </c>
      <c r="C3217" t="str">
        <f>IFERROR(__xludf.DUMMYFUNCTION("""COMPUTED_VALUE"""),"OLARTE JARAMILLO, EMILIO")</f>
        <v>OLARTE JARAMILLO, EMILIO</v>
      </c>
      <c r="D3217" t="str">
        <f>IFERROR(__xludf.DUMMYFUNCTION("""COMPUTED_VALUE"""),"FRC 9")</f>
        <v>FRC 9</v>
      </c>
      <c r="E3217" s="3">
        <f>IFERROR(__xludf.DUMMYFUNCTION("""COMPUTED_VALUE"""),6.0)</f>
        <v>6</v>
      </c>
      <c r="F3217" s="300">
        <v>1.0</v>
      </c>
      <c r="G3217" s="300">
        <v>1.0</v>
      </c>
      <c r="H3217" s="300">
        <v>1.0</v>
      </c>
      <c r="I3217" s="300">
        <v>1.0</v>
      </c>
      <c r="J3217" s="300">
        <v>1.0</v>
      </c>
      <c r="K3217" s="300">
        <v>1.0</v>
      </c>
      <c r="L3217" s="300">
        <v>1.0</v>
      </c>
      <c r="M3217" s="300">
        <v>1.0</v>
      </c>
      <c r="N3217" s="300">
        <v>8.0</v>
      </c>
      <c r="O3217" s="300" t="s">
        <v>960</v>
      </c>
      <c r="P3217" s="300">
        <v>1.0</v>
      </c>
    </row>
    <row r="3218">
      <c r="A3218">
        <f>IFERROR(__xludf.DUMMYFUNCTION("""COMPUTED_VALUE"""),9.0)</f>
        <v>9</v>
      </c>
      <c r="B3218" s="406">
        <f>IFERROR(__xludf.DUMMYFUNCTION("""COMPUTED_VALUE"""),29172.0)</f>
        <v>29172</v>
      </c>
      <c r="C3218" t="str">
        <f>IFERROR(__xludf.DUMMYFUNCTION("""COMPUTED_VALUE"""),"CESPEDES GARCIA, PABLO")</f>
        <v>CESPEDES GARCIA, PABLO</v>
      </c>
      <c r="D3218" t="str">
        <f>IFERROR(__xludf.DUMMYFUNCTION("""COMPUTED_VALUE"""),"FRC 9 Robotics")</f>
        <v>FRC 9 Robotics</v>
      </c>
      <c r="E3218" s="3">
        <f>IFERROR(__xludf.DUMMYFUNCTION("""COMPUTED_VALUE"""),5.0)</f>
        <v>5</v>
      </c>
      <c r="F3218" s="300">
        <v>1.0</v>
      </c>
      <c r="G3218" s="300">
        <v>1.0</v>
      </c>
      <c r="H3218" s="300">
        <v>1.0</v>
      </c>
      <c r="I3218" s="300">
        <v>1.0</v>
      </c>
      <c r="J3218" s="300">
        <v>1.0</v>
      </c>
      <c r="K3218" s="300">
        <v>1.0</v>
      </c>
      <c r="L3218" s="300">
        <v>1.0</v>
      </c>
      <c r="M3218" s="300">
        <v>1.0</v>
      </c>
      <c r="N3218" s="300">
        <v>8.0</v>
      </c>
      <c r="O3218" s="300" t="s">
        <v>956</v>
      </c>
      <c r="P3218" s="300">
        <v>4.0</v>
      </c>
    </row>
    <row r="3219">
      <c r="A3219">
        <f>IFERROR(__xludf.DUMMYFUNCTION("""COMPUTED_VALUE"""),9.0)</f>
        <v>9</v>
      </c>
      <c r="B3219" s="406">
        <f>IFERROR(__xludf.DUMMYFUNCTION("""COMPUTED_VALUE"""),29020.0)</f>
        <v>29020</v>
      </c>
      <c r="C3219" t="str">
        <f>IFERROR(__xludf.DUMMYFUNCTION("""COMPUTED_VALUE"""),"BETANCOURT QUINTERO, LUCAS")</f>
        <v>BETANCOURT QUINTERO, LUCAS</v>
      </c>
      <c r="D3219" t="str">
        <f>IFERROR(__xludf.DUMMYFUNCTION("""COMPUTED_VALUE"""),"Technology 9")</f>
        <v>Technology 9</v>
      </c>
      <c r="E3219" s="3">
        <f>IFERROR(__xludf.DUMMYFUNCTION("""COMPUTED_VALUE"""),1.0)</f>
        <v>1</v>
      </c>
      <c r="F3219" s="300">
        <v>1.0</v>
      </c>
      <c r="G3219" s="300">
        <v>1.0</v>
      </c>
      <c r="H3219" s="300">
        <v>1.0</v>
      </c>
      <c r="I3219" s="300">
        <v>1.0</v>
      </c>
      <c r="J3219" s="300">
        <v>1.0</v>
      </c>
      <c r="K3219" s="300">
        <v>1.0</v>
      </c>
      <c r="L3219" s="300">
        <v>1.0</v>
      </c>
      <c r="M3219" s="300">
        <v>1.0</v>
      </c>
      <c r="N3219" s="300">
        <v>8.0</v>
      </c>
      <c r="O3219" s="300" t="s">
        <v>961</v>
      </c>
      <c r="P3219" s="300">
        <v>3.0</v>
      </c>
    </row>
    <row r="3220">
      <c r="A3220">
        <f>IFERROR(__xludf.DUMMYFUNCTION("""COMPUTED_VALUE"""),9.0)</f>
        <v>9</v>
      </c>
      <c r="B3220" s="406">
        <f>IFERROR(__xludf.DUMMYFUNCTION("""COMPUTED_VALUE"""),29069.0)</f>
        <v>29069</v>
      </c>
      <c r="C3220" t="str">
        <f>IFERROR(__xludf.DUMMYFUNCTION("""COMPUTED_VALUE"""),"LUNA ALZATE, AMALIA")</f>
        <v>LUNA ALZATE, AMALIA</v>
      </c>
      <c r="D3220" t="str">
        <f>IFERROR(__xludf.DUMMYFUNCTION("""COMPUTED_VALUE"""),"Technology 9")</f>
        <v>Technology 9</v>
      </c>
      <c r="E3220" s="3">
        <f>IFERROR(__xludf.DUMMYFUNCTION("""COMPUTED_VALUE"""),3.0)</f>
        <v>3</v>
      </c>
      <c r="F3220" s="300">
        <v>1.0</v>
      </c>
      <c r="G3220" s="300">
        <v>1.0</v>
      </c>
      <c r="H3220" s="300">
        <v>1.0</v>
      </c>
      <c r="I3220" s="300">
        <v>1.0</v>
      </c>
      <c r="J3220" s="300">
        <v>1.0</v>
      </c>
      <c r="K3220" s="300">
        <v>1.0</v>
      </c>
      <c r="L3220" s="300">
        <v>1.0</v>
      </c>
      <c r="M3220" s="300">
        <v>1.0</v>
      </c>
      <c r="N3220" s="300">
        <v>8.0</v>
      </c>
      <c r="O3220" s="300" t="s">
        <v>959</v>
      </c>
      <c r="P3220" s="300">
        <v>3.0</v>
      </c>
    </row>
    <row r="3221">
      <c r="A3221">
        <f>IFERROR(__xludf.DUMMYFUNCTION("""COMPUTED_VALUE"""),9.0)</f>
        <v>9</v>
      </c>
      <c r="B3221" s="406">
        <f>IFERROR(__xludf.DUMMYFUNCTION("""COMPUTED_VALUE"""),29160.0)</f>
        <v>29160</v>
      </c>
      <c r="C3221" t="str">
        <f>IFERROR(__xludf.DUMMYFUNCTION("""COMPUTED_VALUE"""),"BARRIOS CASTILLO, NICOLAS GUILLERMO")</f>
        <v>BARRIOS CASTILLO, NICOLAS GUILLERMO</v>
      </c>
      <c r="D3221" t="str">
        <f>IFERROR(__xludf.DUMMYFUNCTION("""COMPUTED_VALUE"""),"Technology 9")</f>
        <v>Technology 9</v>
      </c>
      <c r="E3221" s="3">
        <f>IFERROR(__xludf.DUMMYFUNCTION("""COMPUTED_VALUE"""),1.0)</f>
        <v>1</v>
      </c>
      <c r="F3221" s="300">
        <v>1.0</v>
      </c>
      <c r="G3221" s="300">
        <v>1.0</v>
      </c>
      <c r="H3221" s="300">
        <v>1.0</v>
      </c>
      <c r="I3221" s="300">
        <v>1.0</v>
      </c>
      <c r="J3221" s="300">
        <v>1.0</v>
      </c>
      <c r="K3221" s="300">
        <v>1.0</v>
      </c>
      <c r="L3221" s="300">
        <v>1.0</v>
      </c>
      <c r="M3221" s="300">
        <v>1.0</v>
      </c>
      <c r="N3221" s="300">
        <v>8.0</v>
      </c>
      <c r="O3221" s="300" t="s">
        <v>961</v>
      </c>
      <c r="P3221" s="300">
        <v>3.0</v>
      </c>
    </row>
    <row r="3222">
      <c r="A3222">
        <f>IFERROR(__xludf.DUMMYFUNCTION("""COMPUTED_VALUE"""),9.0)</f>
        <v>9</v>
      </c>
      <c r="B3222" s="406">
        <f>IFERROR(__xludf.DUMMYFUNCTION("""COMPUTED_VALUE"""),29155.0)</f>
        <v>29155</v>
      </c>
      <c r="C3222" t="str">
        <f>IFERROR(__xludf.DUMMYFUNCTION("""COMPUTED_VALUE"""),"FERNANDEZ CALDERON, HANNA")</f>
        <v>FERNANDEZ CALDERON, HANNA</v>
      </c>
      <c r="D3222" t="str">
        <f>IFERROR(__xludf.DUMMYFUNCTION("""COMPUTED_VALUE"""),"FRC 9 Robotics")</f>
        <v>FRC 9 Robotics</v>
      </c>
      <c r="E3222" s="3">
        <f>IFERROR(__xludf.DUMMYFUNCTION("""COMPUTED_VALUE"""),2.0)</f>
        <v>2</v>
      </c>
      <c r="F3222" s="300">
        <v>1.0</v>
      </c>
      <c r="G3222" s="300">
        <v>1.0</v>
      </c>
      <c r="H3222" s="300">
        <v>1.0</v>
      </c>
      <c r="I3222" s="300">
        <v>1.0</v>
      </c>
      <c r="J3222" s="300">
        <v>1.0</v>
      </c>
      <c r="K3222" s="300">
        <v>1.0</v>
      </c>
      <c r="L3222" s="300">
        <v>1.0</v>
      </c>
      <c r="M3222" s="300">
        <v>1.0</v>
      </c>
      <c r="N3222" s="300">
        <v>8.0</v>
      </c>
      <c r="O3222" s="300" t="s">
        <v>962</v>
      </c>
      <c r="P3222" s="300">
        <v>4.0</v>
      </c>
    </row>
    <row r="3223">
      <c r="A3223">
        <f>IFERROR(__xludf.DUMMYFUNCTION("""COMPUTED_VALUE"""),9.0)</f>
        <v>9</v>
      </c>
      <c r="B3223" s="406">
        <f>IFERROR(__xludf.DUMMYFUNCTION("""COMPUTED_VALUE"""),29153.0)</f>
        <v>29153</v>
      </c>
      <c r="C3223" t="str">
        <f>IFERROR(__xludf.DUMMYFUNCTION("""COMPUTED_VALUE"""),"MISERENDINO MUÑOZ, GABRIEL")</f>
        <v>MISERENDINO MUÑOZ, GABRIEL</v>
      </c>
      <c r="D3223" t="str">
        <f>IFERROR(__xludf.DUMMYFUNCTION("""COMPUTED_VALUE"""),"Technology 9")</f>
        <v>Technology 9</v>
      </c>
      <c r="E3223" s="3">
        <f>IFERROR(__xludf.DUMMYFUNCTION("""COMPUTED_VALUE"""),1.0)</f>
        <v>1</v>
      </c>
      <c r="F3223" s="300">
        <v>1.0</v>
      </c>
      <c r="G3223" s="300">
        <v>1.0</v>
      </c>
      <c r="H3223" s="300">
        <v>1.0</v>
      </c>
      <c r="I3223" s="300">
        <v>1.0</v>
      </c>
      <c r="J3223" s="300">
        <v>1.0</v>
      </c>
      <c r="K3223" s="300">
        <v>1.0</v>
      </c>
      <c r="L3223" s="300">
        <v>1.0</v>
      </c>
      <c r="M3223" s="300">
        <v>1.0</v>
      </c>
      <c r="N3223" s="300">
        <v>8.0</v>
      </c>
      <c r="O3223" s="300" t="s">
        <v>961</v>
      </c>
      <c r="P3223" s="300">
        <v>3.0</v>
      </c>
    </row>
    <row r="3224">
      <c r="A3224">
        <f>IFERROR(__xludf.DUMMYFUNCTION("""COMPUTED_VALUE"""),9.0)</f>
        <v>9</v>
      </c>
      <c r="B3224" s="406">
        <f>IFERROR(__xludf.DUMMYFUNCTION("""COMPUTED_VALUE"""),29030.0)</f>
        <v>29030</v>
      </c>
      <c r="C3224" t="str">
        <f>IFERROR(__xludf.DUMMYFUNCTION("""COMPUTED_VALUE"""),"COCK ECHEVERRI, JULIETA")</f>
        <v>COCK ECHEVERRI, JULIETA</v>
      </c>
      <c r="D3224" t="str">
        <f>IFERROR(__xludf.DUMMYFUNCTION("""COMPUTED_VALUE"""),"FRC 9 Robotics")</f>
        <v>FRC 9 Robotics</v>
      </c>
      <c r="E3224" s="3">
        <f>IFERROR(__xludf.DUMMYFUNCTION("""COMPUTED_VALUE"""),6.0)</f>
        <v>6</v>
      </c>
      <c r="F3224" s="300">
        <v>1.0</v>
      </c>
      <c r="G3224" s="300">
        <v>1.0</v>
      </c>
      <c r="H3224" s="300">
        <v>1.0</v>
      </c>
      <c r="I3224" s="300">
        <v>1.0</v>
      </c>
      <c r="J3224" s="300">
        <v>1.0</v>
      </c>
      <c r="K3224" s="300">
        <v>1.0</v>
      </c>
      <c r="L3224" s="300">
        <v>1.0</v>
      </c>
      <c r="M3224" s="300">
        <v>1.0</v>
      </c>
      <c r="N3224" s="300">
        <v>8.0</v>
      </c>
      <c r="O3224" s="300" t="s">
        <v>958</v>
      </c>
      <c r="P3224" s="300">
        <v>4.0</v>
      </c>
    </row>
    <row r="3225">
      <c r="A3225">
        <f>IFERROR(__xludf.DUMMYFUNCTION("""COMPUTED_VALUE"""),9.0)</f>
        <v>9</v>
      </c>
      <c r="B3225" s="406">
        <f>IFERROR(__xludf.DUMMYFUNCTION("""COMPUTED_VALUE"""),29108.0)</f>
        <v>29108</v>
      </c>
      <c r="C3225" t="str">
        <f>IFERROR(__xludf.DUMMYFUNCTION("""COMPUTED_VALUE"""),"SCHOBER OCAMPO, DANIEL")</f>
        <v>SCHOBER OCAMPO, DANIEL</v>
      </c>
      <c r="D3225" t="str">
        <f>IFERROR(__xludf.DUMMYFUNCTION("""COMPUTED_VALUE"""),"Technology 9")</f>
        <v>Technology 9</v>
      </c>
      <c r="E3225" s="3">
        <f>IFERROR(__xludf.DUMMYFUNCTION("""COMPUTED_VALUE"""),1.0)</f>
        <v>1</v>
      </c>
      <c r="F3225" s="300">
        <v>1.0</v>
      </c>
      <c r="G3225" s="300">
        <v>1.0</v>
      </c>
      <c r="H3225" s="300">
        <v>1.0</v>
      </c>
      <c r="I3225" s="300">
        <v>1.0</v>
      </c>
      <c r="J3225" s="300">
        <v>1.0</v>
      </c>
      <c r="K3225" s="300">
        <v>1.0</v>
      </c>
      <c r="L3225" s="300">
        <v>1.0</v>
      </c>
      <c r="M3225" s="300">
        <v>1.0</v>
      </c>
      <c r="N3225" s="300">
        <v>8.0</v>
      </c>
      <c r="O3225" s="300" t="s">
        <v>961</v>
      </c>
      <c r="P3225" s="300">
        <v>3.0</v>
      </c>
    </row>
    <row r="3226">
      <c r="A3226">
        <f>IFERROR(__xludf.DUMMYFUNCTION("""COMPUTED_VALUE"""),9.0)</f>
        <v>9</v>
      </c>
      <c r="B3226" s="406">
        <f>IFERROR(__xludf.DUMMYFUNCTION("""COMPUTED_VALUE"""),29062.0)</f>
        <v>29062</v>
      </c>
      <c r="C3226" t="str">
        <f>IFERROR(__xludf.DUMMYFUNCTION("""COMPUTED_VALUE"""),"KIM LEE, SAE YOON LUCAS")</f>
        <v>KIM LEE, SAE YOON LUCAS</v>
      </c>
      <c r="D3226" t="str">
        <f>IFERROR(__xludf.DUMMYFUNCTION("""COMPUTED_VALUE"""),"FRC 9")</f>
        <v>FRC 9</v>
      </c>
      <c r="E3226" s="3">
        <f>IFERROR(__xludf.DUMMYFUNCTION("""COMPUTED_VALUE"""),6.0)</f>
        <v>6</v>
      </c>
      <c r="F3226" s="300">
        <v>1.0</v>
      </c>
      <c r="G3226" s="300">
        <v>1.0</v>
      </c>
      <c r="H3226" s="300">
        <v>1.0</v>
      </c>
      <c r="I3226" s="300">
        <v>1.0</v>
      </c>
      <c r="J3226" s="300">
        <v>1.0</v>
      </c>
      <c r="K3226" s="300">
        <v>1.0</v>
      </c>
      <c r="L3226" s="300">
        <v>1.0</v>
      </c>
      <c r="M3226" s="300">
        <v>1.0</v>
      </c>
      <c r="N3226" s="300">
        <v>8.0</v>
      </c>
      <c r="O3226" s="300" t="s">
        <v>960</v>
      </c>
      <c r="P3226" s="300">
        <v>1.0</v>
      </c>
    </row>
    <row r="3227">
      <c r="A3227">
        <f>IFERROR(__xludf.DUMMYFUNCTION("""COMPUTED_VALUE"""),9.0)</f>
        <v>9</v>
      </c>
      <c r="B3227" s="406">
        <f>IFERROR(__xludf.DUMMYFUNCTION("""COMPUTED_VALUE"""),29115.0)</f>
        <v>29115</v>
      </c>
      <c r="C3227" t="str">
        <f>IFERROR(__xludf.DUMMYFUNCTION("""COMPUTED_VALUE"""),"TIRADO SANIN, ELENA")</f>
        <v>TIRADO SANIN, ELENA</v>
      </c>
      <c r="D3227" t="str">
        <f>IFERROR(__xludf.DUMMYFUNCTION("""COMPUTED_VALUE"""),"Technology 9")</f>
        <v>Technology 9</v>
      </c>
      <c r="E3227" s="3">
        <f>IFERROR(__xludf.DUMMYFUNCTION("""COMPUTED_VALUE"""),1.0)</f>
        <v>1</v>
      </c>
      <c r="F3227" s="300">
        <v>1.0</v>
      </c>
      <c r="G3227" s="300">
        <v>1.0</v>
      </c>
      <c r="H3227" s="300">
        <v>1.0</v>
      </c>
      <c r="I3227" s="300">
        <v>1.0</v>
      </c>
      <c r="J3227" s="300">
        <v>1.0</v>
      </c>
      <c r="K3227" s="300">
        <v>1.0</v>
      </c>
      <c r="L3227" s="300">
        <v>1.0</v>
      </c>
      <c r="M3227" s="300">
        <v>1.0</v>
      </c>
      <c r="N3227" s="300">
        <v>8.0</v>
      </c>
      <c r="O3227" s="300" t="s">
        <v>961</v>
      </c>
      <c r="P3227" s="300">
        <v>3.0</v>
      </c>
    </row>
    <row r="3228">
      <c r="A3228">
        <f>IFERROR(__xludf.DUMMYFUNCTION("""COMPUTED_VALUE"""),9.0)</f>
        <v>9</v>
      </c>
      <c r="B3228" s="406">
        <f>IFERROR(__xludf.DUMMYFUNCTION("""COMPUTED_VALUE"""),29018.0)</f>
        <v>29018</v>
      </c>
      <c r="C3228" t="str">
        <f>IFERROR(__xludf.DUMMYFUNCTION("""COMPUTED_VALUE"""),"BAENA GIRALDO, VIOLETA")</f>
        <v>BAENA GIRALDO, VIOLETA</v>
      </c>
      <c r="D3228" t="str">
        <f>IFERROR(__xludf.DUMMYFUNCTION("""COMPUTED_VALUE"""),"FRC 9 Robotics")</f>
        <v>FRC 9 Robotics</v>
      </c>
      <c r="E3228" s="3">
        <f>IFERROR(__xludf.DUMMYFUNCTION("""COMPUTED_VALUE"""),5.0)</f>
        <v>5</v>
      </c>
      <c r="F3228" s="300">
        <v>1.0</v>
      </c>
      <c r="G3228" s="300">
        <v>1.0</v>
      </c>
      <c r="H3228" s="300">
        <v>1.0</v>
      </c>
      <c r="I3228" s="300">
        <v>1.0</v>
      </c>
      <c r="J3228" s="300">
        <v>1.0</v>
      </c>
      <c r="K3228" s="300">
        <v>1.0</v>
      </c>
      <c r="L3228" s="300">
        <v>1.0</v>
      </c>
      <c r="M3228" s="300">
        <v>1.0</v>
      </c>
      <c r="N3228" s="300">
        <v>8.0</v>
      </c>
      <c r="O3228" s="300" t="s">
        <v>956</v>
      </c>
      <c r="P3228" s="300">
        <v>4.0</v>
      </c>
    </row>
    <row r="3229">
      <c r="A3229">
        <f>IFERROR(__xludf.DUMMYFUNCTION("""COMPUTED_VALUE"""),9.0)</f>
        <v>9</v>
      </c>
      <c r="B3229" s="406">
        <f>IFERROR(__xludf.DUMMYFUNCTION("""COMPUTED_VALUE"""),29122.0)</f>
        <v>29122</v>
      </c>
      <c r="C3229" t="str">
        <f>IFERROR(__xludf.DUMMYFUNCTION("""COMPUTED_VALUE"""),"URIBE RODRIGUEZ, MARIA LUISA")</f>
        <v>URIBE RODRIGUEZ, MARIA LUISA</v>
      </c>
      <c r="D3229" t="str">
        <f>IFERROR(__xludf.DUMMYFUNCTION("""COMPUTED_VALUE"""),"Technology 9")</f>
        <v>Technology 9</v>
      </c>
      <c r="E3229" s="3">
        <f>IFERROR(__xludf.DUMMYFUNCTION("""COMPUTED_VALUE"""),3.0)</f>
        <v>3</v>
      </c>
      <c r="F3229" s="300">
        <v>1.0</v>
      </c>
      <c r="G3229" s="300">
        <v>1.0</v>
      </c>
      <c r="H3229" s="300">
        <v>1.0</v>
      </c>
      <c r="I3229" s="300">
        <v>1.0</v>
      </c>
      <c r="J3229" s="300">
        <v>1.0</v>
      </c>
      <c r="K3229" s="300">
        <v>1.0</v>
      </c>
      <c r="L3229" s="300">
        <v>1.0</v>
      </c>
      <c r="M3229" s="300">
        <v>1.0</v>
      </c>
      <c r="N3229" s="300">
        <v>8.0</v>
      </c>
      <c r="O3229" s="300" t="s">
        <v>959</v>
      </c>
      <c r="P3229" s="300">
        <v>3.0</v>
      </c>
    </row>
    <row r="3230">
      <c r="A3230">
        <f>IFERROR(__xludf.DUMMYFUNCTION("""COMPUTED_VALUE"""),9.0)</f>
        <v>9</v>
      </c>
      <c r="B3230" s="406">
        <f>IFERROR(__xludf.DUMMYFUNCTION("""COMPUTED_VALUE"""),29128.0)</f>
        <v>29128</v>
      </c>
      <c r="C3230" t="str">
        <f>IFERROR(__xludf.DUMMYFUNCTION("""COMPUTED_VALUE"""),"VELASQUEZ JARAMILLO, MARIA")</f>
        <v>VELASQUEZ JARAMILLO, MARIA</v>
      </c>
      <c r="D3230" t="str">
        <f>IFERROR(__xludf.DUMMYFUNCTION("""COMPUTED_VALUE"""),"Technology 9")</f>
        <v>Technology 9</v>
      </c>
      <c r="E3230" s="3">
        <f>IFERROR(__xludf.DUMMYFUNCTION("""COMPUTED_VALUE"""),5.0)</f>
        <v>5</v>
      </c>
      <c r="F3230" s="300">
        <v>1.0</v>
      </c>
      <c r="G3230" s="300">
        <v>1.0</v>
      </c>
      <c r="H3230" s="300">
        <v>1.0</v>
      </c>
      <c r="I3230" s="300">
        <v>1.0</v>
      </c>
      <c r="J3230" s="300">
        <v>1.0</v>
      </c>
      <c r="K3230" s="300">
        <v>1.0</v>
      </c>
      <c r="L3230" s="300">
        <v>1.0</v>
      </c>
      <c r="M3230" s="300">
        <v>1.0</v>
      </c>
      <c r="N3230" s="300">
        <v>8.0</v>
      </c>
      <c r="O3230" s="300" t="s">
        <v>957</v>
      </c>
      <c r="P3230" s="300">
        <v>3.0</v>
      </c>
    </row>
    <row r="3231">
      <c r="A3231">
        <f>IFERROR(__xludf.DUMMYFUNCTION("""COMPUTED_VALUE"""),9.0)</f>
        <v>9</v>
      </c>
      <c r="B3231" s="406">
        <f>IFERROR(__xludf.DUMMYFUNCTION("""COMPUTED_VALUE"""),29049.0)</f>
        <v>29049</v>
      </c>
      <c r="C3231" t="str">
        <f>IFERROR(__xludf.DUMMYFUNCTION("""COMPUTED_VALUE"""),"HINESTROSA SIERRA, MIGUEL")</f>
        <v>HINESTROSA SIERRA, MIGUEL</v>
      </c>
      <c r="D3231" t="str">
        <f>IFERROR(__xludf.DUMMYFUNCTION("""COMPUTED_VALUE"""),"FRC 9 Robotics")</f>
        <v>FRC 9 Robotics</v>
      </c>
      <c r="E3231" s="3">
        <f>IFERROR(__xludf.DUMMYFUNCTION("""COMPUTED_VALUE"""),2.0)</f>
        <v>2</v>
      </c>
      <c r="F3231" s="300">
        <v>1.0</v>
      </c>
      <c r="G3231" s="300">
        <v>1.0</v>
      </c>
      <c r="H3231" s="300">
        <v>1.0</v>
      </c>
      <c r="I3231" s="300">
        <v>1.0</v>
      </c>
      <c r="J3231" s="300">
        <v>1.0</v>
      </c>
      <c r="K3231" s="300">
        <v>1.0</v>
      </c>
      <c r="L3231" s="300">
        <v>1.0</v>
      </c>
      <c r="M3231" s="300">
        <v>1.0</v>
      </c>
      <c r="N3231" s="300">
        <v>8.0</v>
      </c>
      <c r="O3231" s="300" t="s">
        <v>962</v>
      </c>
      <c r="P3231" s="300">
        <v>4.0</v>
      </c>
    </row>
    <row r="3232">
      <c r="A3232">
        <f>IFERROR(__xludf.DUMMYFUNCTION("""COMPUTED_VALUE"""),9.0)</f>
        <v>9</v>
      </c>
      <c r="B3232" s="406">
        <f>IFERROR(__xludf.DUMMYFUNCTION("""COMPUTED_VALUE"""),29118.0)</f>
        <v>29118</v>
      </c>
      <c r="C3232" t="str">
        <f>IFERROR(__xludf.DUMMYFUNCTION("""COMPUTED_VALUE"""),"TRUJILLO RUIZ, SAMUEL")</f>
        <v>TRUJILLO RUIZ, SAMUEL</v>
      </c>
      <c r="D3232" t="str">
        <f>IFERROR(__xludf.DUMMYFUNCTION("""COMPUTED_VALUE"""),"FRC 9")</f>
        <v>FRC 9</v>
      </c>
      <c r="E3232" s="3">
        <f>IFERROR(__xludf.DUMMYFUNCTION("""COMPUTED_VALUE"""),6.0)</f>
        <v>6</v>
      </c>
      <c r="F3232" s="300">
        <v>1.0</v>
      </c>
      <c r="G3232" s="300">
        <v>1.0</v>
      </c>
      <c r="H3232" s="300">
        <v>1.0</v>
      </c>
      <c r="I3232" s="300">
        <v>1.0</v>
      </c>
      <c r="J3232" s="300">
        <v>1.0</v>
      </c>
      <c r="K3232" s="300">
        <v>1.0</v>
      </c>
      <c r="L3232" s="300">
        <v>1.0</v>
      </c>
      <c r="M3232" s="300">
        <v>1.0</v>
      </c>
      <c r="N3232" s="300">
        <v>8.0</v>
      </c>
      <c r="O3232" s="300" t="s">
        <v>960</v>
      </c>
      <c r="P3232" s="300">
        <v>1.0</v>
      </c>
    </row>
    <row r="3233">
      <c r="A3233">
        <f>IFERROR(__xludf.DUMMYFUNCTION("""COMPUTED_VALUE"""),9.0)</f>
        <v>9</v>
      </c>
      <c r="B3233" s="406">
        <f>IFERROR(__xludf.DUMMYFUNCTION("""COMPUTED_VALUE"""),29096.0)</f>
        <v>29096</v>
      </c>
      <c r="C3233" t="str">
        <f>IFERROR(__xludf.DUMMYFUNCTION("""COMPUTED_VALUE"""),"RAMIREZ PELAEZ, ANTONIA")</f>
        <v>RAMIREZ PELAEZ, ANTONIA</v>
      </c>
      <c r="D3233" t="str">
        <f>IFERROR(__xludf.DUMMYFUNCTION("""COMPUTED_VALUE"""),"FRC 9 Robotics")</f>
        <v>FRC 9 Robotics</v>
      </c>
      <c r="E3233" s="3">
        <f>IFERROR(__xludf.DUMMYFUNCTION("""COMPUTED_VALUE"""),2.0)</f>
        <v>2</v>
      </c>
      <c r="F3233" s="300">
        <v>1.0</v>
      </c>
      <c r="G3233" s="300">
        <v>1.0</v>
      </c>
      <c r="H3233" s="300">
        <v>1.0</v>
      </c>
      <c r="I3233" s="300">
        <v>1.0</v>
      </c>
      <c r="J3233" s="300">
        <v>1.0</v>
      </c>
      <c r="K3233" s="300">
        <v>1.0</v>
      </c>
      <c r="L3233" s="300">
        <v>1.0</v>
      </c>
      <c r="M3233" s="300">
        <v>1.0</v>
      </c>
      <c r="N3233" s="300">
        <v>8.0</v>
      </c>
      <c r="O3233" s="300" t="s">
        <v>962</v>
      </c>
      <c r="P3233" s="300">
        <v>4.0</v>
      </c>
    </row>
    <row r="3234">
      <c r="A3234">
        <f>IFERROR(__xludf.DUMMYFUNCTION("""COMPUTED_VALUE"""),9.0)</f>
        <v>9</v>
      </c>
      <c r="B3234" s="406">
        <f>IFERROR(__xludf.DUMMYFUNCTION("""COMPUTED_VALUE"""),29119.0)</f>
        <v>29119</v>
      </c>
      <c r="C3234" t="str">
        <f>IFERROR(__xludf.DUMMYFUNCTION("""COMPUTED_VALUE"""),"TRUJILLO RUIZ, SARA")</f>
        <v>TRUJILLO RUIZ, SARA</v>
      </c>
      <c r="D3234" t="str">
        <f>IFERROR(__xludf.DUMMYFUNCTION("""COMPUTED_VALUE"""),"FRC 9 Robotics")</f>
        <v>FRC 9 Robotics</v>
      </c>
      <c r="E3234" s="3">
        <f>IFERROR(__xludf.DUMMYFUNCTION("""COMPUTED_VALUE"""),5.0)</f>
        <v>5</v>
      </c>
      <c r="F3234" s="300">
        <v>1.0</v>
      </c>
      <c r="G3234" s="300">
        <v>1.0</v>
      </c>
      <c r="H3234" s="300">
        <v>1.0</v>
      </c>
      <c r="I3234" s="300">
        <v>1.0</v>
      </c>
      <c r="J3234" s="300">
        <v>1.0</v>
      </c>
      <c r="K3234" s="300">
        <v>1.0</v>
      </c>
      <c r="L3234" s="300">
        <v>1.0</v>
      </c>
      <c r="M3234" s="300">
        <v>1.0</v>
      </c>
      <c r="N3234" s="300">
        <v>8.0</v>
      </c>
      <c r="O3234" s="300" t="s">
        <v>956</v>
      </c>
      <c r="P3234" s="300">
        <v>4.0</v>
      </c>
    </row>
    <row r="3235">
      <c r="A3235">
        <f>IFERROR(__xludf.DUMMYFUNCTION("""COMPUTED_VALUE"""),9.0)</f>
        <v>9</v>
      </c>
      <c r="B3235" s="406">
        <f>IFERROR(__xludf.DUMMYFUNCTION("""COMPUTED_VALUE"""),29097.0)</f>
        <v>29097</v>
      </c>
      <c r="C3235" t="str">
        <f>IFERROR(__xludf.DUMMYFUNCTION("""COMPUTED_VALUE"""),"RAMIREZ PELAEZ, ELENA")</f>
        <v>RAMIREZ PELAEZ, ELENA</v>
      </c>
      <c r="D3235" t="str">
        <f>IFERROR(__xludf.DUMMYFUNCTION("""COMPUTED_VALUE"""),"Technology 9")</f>
        <v>Technology 9</v>
      </c>
      <c r="E3235" s="3">
        <f>IFERROR(__xludf.DUMMYFUNCTION("""COMPUTED_VALUE"""),3.0)</f>
        <v>3</v>
      </c>
      <c r="F3235" s="300">
        <v>1.0</v>
      </c>
      <c r="G3235" s="300">
        <v>1.0</v>
      </c>
      <c r="H3235" s="300">
        <v>1.0</v>
      </c>
      <c r="I3235" s="300">
        <v>1.0</v>
      </c>
      <c r="J3235" s="300">
        <v>1.0</v>
      </c>
      <c r="K3235" s="300">
        <v>1.0</v>
      </c>
      <c r="L3235" s="300">
        <v>1.0</v>
      </c>
      <c r="M3235" s="300">
        <v>1.0</v>
      </c>
      <c r="N3235" s="300">
        <v>8.0</v>
      </c>
      <c r="O3235" s="300" t="s">
        <v>959</v>
      </c>
      <c r="P3235" s="300">
        <v>3.0</v>
      </c>
    </row>
    <row r="3236">
      <c r="A3236">
        <f>IFERROR(__xludf.DUMMYFUNCTION("""COMPUTED_VALUE"""),9.0)</f>
        <v>9</v>
      </c>
      <c r="B3236" s="406">
        <f>IFERROR(__xludf.DUMMYFUNCTION("""COMPUTED_VALUE"""),29169.0)</f>
        <v>29169</v>
      </c>
      <c r="C3236" t="str">
        <f>IFERROR(__xludf.DUMMYFUNCTION("""COMPUTED_VALUE"""),"REPETTO LARROSA, FAUSTINO")</f>
        <v>REPETTO LARROSA, FAUSTINO</v>
      </c>
      <c r="D3236" t="str">
        <f>IFERROR(__xludf.DUMMYFUNCTION("""COMPUTED_VALUE"""),"Technology 9")</f>
        <v>Technology 9</v>
      </c>
      <c r="E3236" s="3">
        <f>IFERROR(__xludf.DUMMYFUNCTION("""COMPUTED_VALUE"""),5.0)</f>
        <v>5</v>
      </c>
      <c r="F3236" s="300">
        <v>1.0</v>
      </c>
      <c r="G3236" s="300">
        <v>1.0</v>
      </c>
      <c r="H3236" s="300">
        <v>1.0</v>
      </c>
      <c r="I3236" s="300">
        <v>1.0</v>
      </c>
      <c r="J3236" s="300">
        <v>1.0</v>
      </c>
      <c r="K3236" s="300">
        <v>1.0</v>
      </c>
      <c r="L3236" s="300">
        <v>1.0</v>
      </c>
      <c r="M3236" s="300">
        <v>1.0</v>
      </c>
      <c r="N3236" s="300">
        <v>8.0</v>
      </c>
      <c r="O3236" s="300" t="s">
        <v>957</v>
      </c>
      <c r="P3236" s="300">
        <v>3.0</v>
      </c>
    </row>
    <row r="3237">
      <c r="A3237">
        <f>IFERROR(__xludf.DUMMYFUNCTION("""COMPUTED_VALUE"""),9.0)</f>
        <v>9</v>
      </c>
      <c r="B3237" s="406">
        <f>IFERROR(__xludf.DUMMYFUNCTION("""COMPUTED_VALUE"""),29156.0)</f>
        <v>29156</v>
      </c>
      <c r="C3237" t="str">
        <f>IFERROR(__xludf.DUMMYFUNCTION("""COMPUTED_VALUE"""),"FERNANDEZ CALDERON, TAMARA")</f>
        <v>FERNANDEZ CALDERON, TAMARA</v>
      </c>
      <c r="D3237" t="str">
        <f>IFERROR(__xludf.DUMMYFUNCTION("""COMPUTED_VALUE"""),"FRC 9 Robotics")</f>
        <v>FRC 9 Robotics</v>
      </c>
      <c r="E3237" s="3">
        <f>IFERROR(__xludf.DUMMYFUNCTION("""COMPUTED_VALUE"""),2.0)</f>
        <v>2</v>
      </c>
      <c r="F3237" s="300">
        <v>1.0</v>
      </c>
      <c r="G3237" s="300">
        <v>1.0</v>
      </c>
      <c r="H3237" s="300">
        <v>1.0</v>
      </c>
      <c r="I3237" s="300">
        <v>1.0</v>
      </c>
      <c r="J3237" s="300">
        <v>1.0</v>
      </c>
      <c r="K3237" s="300">
        <v>1.0</v>
      </c>
      <c r="L3237" s="300">
        <v>1.0</v>
      </c>
      <c r="M3237" s="300">
        <v>1.0</v>
      </c>
      <c r="N3237" s="300">
        <v>8.0</v>
      </c>
      <c r="O3237" s="300" t="s">
        <v>962</v>
      </c>
      <c r="P3237" s="300">
        <v>4.0</v>
      </c>
    </row>
    <row r="3238">
      <c r="A3238">
        <f>IFERROR(__xludf.DUMMYFUNCTION("""COMPUTED_VALUE"""),9.0)</f>
        <v>9</v>
      </c>
      <c r="B3238" s="406">
        <f>IFERROR(__xludf.DUMMYFUNCTION("""COMPUTED_VALUE"""),29035.0)</f>
        <v>29035</v>
      </c>
      <c r="C3238" t="str">
        <f>IFERROR(__xludf.DUMMYFUNCTION("""COMPUTED_VALUE"""),"DURAN CALAD, MIGUEL")</f>
        <v>DURAN CALAD, MIGUEL</v>
      </c>
      <c r="D3238" t="str">
        <f>IFERROR(__xludf.DUMMYFUNCTION("""COMPUTED_VALUE"""),"FRC 9 Robotics")</f>
        <v>FRC 9 Robotics</v>
      </c>
      <c r="E3238" s="3">
        <f>IFERROR(__xludf.DUMMYFUNCTION("""COMPUTED_VALUE"""),6.0)</f>
        <v>6</v>
      </c>
      <c r="F3238" s="300">
        <v>1.0</v>
      </c>
      <c r="G3238" s="300">
        <v>1.0</v>
      </c>
      <c r="H3238" s="300">
        <v>1.0</v>
      </c>
      <c r="I3238" s="300">
        <v>1.0</v>
      </c>
      <c r="J3238" s="300">
        <v>1.0</v>
      </c>
      <c r="K3238" s="300">
        <v>1.0</v>
      </c>
      <c r="L3238" s="300">
        <v>1.0</v>
      </c>
      <c r="M3238" s="300">
        <v>1.0</v>
      </c>
      <c r="N3238" s="300">
        <v>8.0</v>
      </c>
      <c r="O3238" s="300" t="s">
        <v>958</v>
      </c>
      <c r="P3238" s="300">
        <v>4.0</v>
      </c>
    </row>
    <row r="3239">
      <c r="A3239">
        <f>IFERROR(__xludf.DUMMYFUNCTION("""COMPUTED_VALUE"""),9.0)</f>
        <v>9</v>
      </c>
      <c r="B3239" s="406">
        <f>IFERROR(__xludf.DUMMYFUNCTION("""COMPUTED_VALUE"""),29028.0)</f>
        <v>29028</v>
      </c>
      <c r="C3239" t="str">
        <f>IFERROR(__xludf.DUMMYFUNCTION("""COMPUTED_VALUE"""),"CARVAJAL ACOSTA, MARTIN")</f>
        <v>CARVAJAL ACOSTA, MARTIN</v>
      </c>
      <c r="D3239" t="str">
        <f>IFERROR(__xludf.DUMMYFUNCTION("""COMPUTED_VALUE"""),"FRC 9")</f>
        <v>FRC 9</v>
      </c>
      <c r="E3239" s="3">
        <f>IFERROR(__xludf.DUMMYFUNCTION("""COMPUTED_VALUE"""),6.0)</f>
        <v>6</v>
      </c>
      <c r="F3239" s="300">
        <v>1.0</v>
      </c>
      <c r="G3239" s="300">
        <v>1.0</v>
      </c>
      <c r="H3239" s="300">
        <v>1.0</v>
      </c>
      <c r="I3239" s="300">
        <v>1.0</v>
      </c>
      <c r="J3239" s="300">
        <v>1.0</v>
      </c>
      <c r="K3239" s="300">
        <v>1.0</v>
      </c>
      <c r="L3239" s="300">
        <v>1.0</v>
      </c>
      <c r="M3239" s="300">
        <v>1.0</v>
      </c>
      <c r="N3239" s="300">
        <v>8.0</v>
      </c>
      <c r="O3239" s="300" t="s">
        <v>960</v>
      </c>
      <c r="P3239" s="300">
        <v>1.0</v>
      </c>
    </row>
    <row r="3240">
      <c r="A3240">
        <f>IFERROR(__xludf.DUMMYFUNCTION("""COMPUTED_VALUE"""),9.0)</f>
        <v>9</v>
      </c>
      <c r="B3240" s="406">
        <f>IFERROR(__xludf.DUMMYFUNCTION("""COMPUTED_VALUE"""),29110.0)</f>
        <v>29110</v>
      </c>
      <c r="C3240" t="str">
        <f>IFERROR(__xludf.DUMMYFUNCTION("""COMPUTED_VALUE"""),"SOSA ECHAVARRIA, EMILIO")</f>
        <v>SOSA ECHAVARRIA, EMILIO</v>
      </c>
      <c r="D3240" t="str">
        <f>IFERROR(__xludf.DUMMYFUNCTION("""COMPUTED_VALUE"""),"FRC 9 Robotics")</f>
        <v>FRC 9 Robotics</v>
      </c>
      <c r="E3240" s="3">
        <f>IFERROR(__xludf.DUMMYFUNCTION("""COMPUTED_VALUE"""),6.0)</f>
        <v>6</v>
      </c>
      <c r="F3240" s="300">
        <v>1.0</v>
      </c>
      <c r="G3240" s="300">
        <v>1.0</v>
      </c>
      <c r="H3240" s="300">
        <v>1.0</v>
      </c>
      <c r="I3240" s="300">
        <v>1.0</v>
      </c>
      <c r="J3240" s="300">
        <v>1.0</v>
      </c>
      <c r="K3240" s="300">
        <v>1.0</v>
      </c>
      <c r="L3240" s="300">
        <v>1.0</v>
      </c>
      <c r="M3240" s="300">
        <v>1.0</v>
      </c>
      <c r="N3240" s="300">
        <v>8.0</v>
      </c>
      <c r="O3240" s="300" t="s">
        <v>958</v>
      </c>
      <c r="P3240" s="300">
        <v>4.0</v>
      </c>
    </row>
    <row r="3241">
      <c r="A3241">
        <f>IFERROR(__xludf.DUMMYFUNCTION("""COMPUTED_VALUE"""),9.0)</f>
        <v>9</v>
      </c>
      <c r="B3241" s="406">
        <f>IFERROR(__xludf.DUMMYFUNCTION("""COMPUTED_VALUE"""),28144.0)</f>
        <v>28144</v>
      </c>
      <c r="C3241" t="str">
        <f>IFERROR(__xludf.DUMMYFUNCTION("""COMPUTED_VALUE"""),"JIMENEZ PATIÑO, EMILIO")</f>
        <v>JIMENEZ PATIÑO, EMILIO</v>
      </c>
      <c r="D3241" t="str">
        <f>IFERROR(__xludf.DUMMYFUNCTION("""COMPUTED_VALUE"""),"FRC 9 Robotics")</f>
        <v>FRC 9 Robotics</v>
      </c>
      <c r="E3241" s="3">
        <f>IFERROR(__xludf.DUMMYFUNCTION("""COMPUTED_VALUE"""),6.0)</f>
        <v>6</v>
      </c>
      <c r="F3241" s="300">
        <v>1.0</v>
      </c>
      <c r="G3241" s="300">
        <v>1.0</v>
      </c>
      <c r="H3241" s="300">
        <v>1.0</v>
      </c>
      <c r="I3241" s="300">
        <v>1.0</v>
      </c>
      <c r="J3241" s="300">
        <v>1.0</v>
      </c>
      <c r="K3241" s="300">
        <v>1.0</v>
      </c>
      <c r="L3241" s="300">
        <v>1.0</v>
      </c>
      <c r="M3241" s="300">
        <v>1.0</v>
      </c>
      <c r="N3241" s="300">
        <v>8.0</v>
      </c>
      <c r="O3241" s="300" t="s">
        <v>958</v>
      </c>
      <c r="P3241" s="300">
        <v>4.0</v>
      </c>
    </row>
    <row r="3242">
      <c r="A3242">
        <f>IFERROR(__xludf.DUMMYFUNCTION("""COMPUTED_VALUE"""),9.0)</f>
        <v>9</v>
      </c>
      <c r="B3242" s="406">
        <f>IFERROR(__xludf.DUMMYFUNCTION("""COMPUTED_VALUE"""),29126.0)</f>
        <v>29126</v>
      </c>
      <c r="C3242" t="str">
        <f>IFERROR(__xludf.DUMMYFUNCTION("""COMPUTED_VALUE"""),"VASQUEZ ANGEL, JUANITA")</f>
        <v>VASQUEZ ANGEL, JUANITA</v>
      </c>
      <c r="D3242" t="str">
        <f>IFERROR(__xludf.DUMMYFUNCTION("""COMPUTED_VALUE"""),"FRC 9 Robotics")</f>
        <v>FRC 9 Robotics</v>
      </c>
      <c r="E3242" s="3">
        <f>IFERROR(__xludf.DUMMYFUNCTION("""COMPUTED_VALUE"""),6.0)</f>
        <v>6</v>
      </c>
      <c r="F3242" s="300">
        <v>1.0</v>
      </c>
      <c r="G3242" s="300">
        <v>1.0</v>
      </c>
      <c r="H3242" s="300">
        <v>1.0</v>
      </c>
      <c r="I3242" s="300">
        <v>1.0</v>
      </c>
      <c r="J3242" s="300">
        <v>1.0</v>
      </c>
      <c r="K3242" s="300">
        <v>1.0</v>
      </c>
      <c r="L3242" s="300">
        <v>1.0</v>
      </c>
      <c r="M3242" s="300">
        <v>1.0</v>
      </c>
      <c r="N3242" s="300">
        <v>8.0</v>
      </c>
      <c r="O3242" s="300" t="s">
        <v>958</v>
      </c>
      <c r="P3242" s="300">
        <v>4.0</v>
      </c>
    </row>
    <row r="3243">
      <c r="A3243">
        <f>IFERROR(__xludf.DUMMYFUNCTION("""COMPUTED_VALUE"""),9.0)</f>
        <v>9</v>
      </c>
      <c r="B3243" s="406">
        <f>IFERROR(__xludf.DUMMYFUNCTION("""COMPUTED_VALUE"""),29098.0)</f>
        <v>29098</v>
      </c>
      <c r="C3243" t="str">
        <f>IFERROR(__xludf.DUMMYFUNCTION("""COMPUTED_VALUE"""),"RESTREPO ESCOBAR, ISABELA")</f>
        <v>RESTREPO ESCOBAR, ISABELA</v>
      </c>
      <c r="D3243" t="str">
        <f>IFERROR(__xludf.DUMMYFUNCTION("""COMPUTED_VALUE"""),"Technology 9")</f>
        <v>Technology 9</v>
      </c>
      <c r="E3243" s="3">
        <f>IFERROR(__xludf.DUMMYFUNCTION("""COMPUTED_VALUE"""),3.0)</f>
        <v>3</v>
      </c>
      <c r="F3243" s="300">
        <v>1.0</v>
      </c>
      <c r="G3243" s="300">
        <v>1.0</v>
      </c>
      <c r="H3243" s="300">
        <v>1.0</v>
      </c>
      <c r="I3243" s="300">
        <v>1.0</v>
      </c>
      <c r="J3243" s="300">
        <v>1.0</v>
      </c>
      <c r="K3243" s="300">
        <v>1.0</v>
      </c>
      <c r="L3243" s="300">
        <v>1.0</v>
      </c>
      <c r="M3243" s="300">
        <v>1.0</v>
      </c>
      <c r="N3243" s="300">
        <v>8.0</v>
      </c>
      <c r="O3243" s="300" t="s">
        <v>959</v>
      </c>
      <c r="P3243" s="300">
        <v>3.0</v>
      </c>
    </row>
    <row r="3244">
      <c r="A3244">
        <f>IFERROR(__xludf.DUMMYFUNCTION("""COMPUTED_VALUE"""),9.0)</f>
        <v>9</v>
      </c>
      <c r="B3244" s="406">
        <f>IFERROR(__xludf.DUMMYFUNCTION("""COMPUTED_VALUE"""),29083.0)</f>
        <v>29083</v>
      </c>
      <c r="C3244" t="str">
        <f>IFERROR(__xludf.DUMMYFUNCTION("""COMPUTED_VALUE"""),"NAVARRO ZULUAGA, SOFIA")</f>
        <v>NAVARRO ZULUAGA, SOFIA</v>
      </c>
      <c r="D3244" t="str">
        <f>IFERROR(__xludf.DUMMYFUNCTION("""COMPUTED_VALUE"""),"FRC 9 Robotics")</f>
        <v>FRC 9 Robotics</v>
      </c>
      <c r="E3244" s="3">
        <f>IFERROR(__xludf.DUMMYFUNCTION("""COMPUTED_VALUE"""),6.0)</f>
        <v>6</v>
      </c>
      <c r="F3244" s="300">
        <v>1.0</v>
      </c>
      <c r="G3244" s="300">
        <v>1.0</v>
      </c>
      <c r="H3244" s="300">
        <v>1.0</v>
      </c>
      <c r="I3244" s="300">
        <v>1.0</v>
      </c>
      <c r="J3244" s="300">
        <v>1.0</v>
      </c>
      <c r="K3244" s="300">
        <v>1.0</v>
      </c>
      <c r="L3244" s="300">
        <v>1.0</v>
      </c>
      <c r="M3244" s="300">
        <v>1.0</v>
      </c>
      <c r="N3244" s="300">
        <v>8.0</v>
      </c>
      <c r="O3244" s="300" t="s">
        <v>958</v>
      </c>
      <c r="P3244" s="300">
        <v>4.0</v>
      </c>
    </row>
    <row r="3245">
      <c r="A3245">
        <f>IFERROR(__xludf.DUMMYFUNCTION("""COMPUTED_VALUE"""),9.0)</f>
        <v>9</v>
      </c>
      <c r="B3245" s="406">
        <f>IFERROR(__xludf.DUMMYFUNCTION("""COMPUTED_VALUE"""),29023.0)</f>
        <v>29023</v>
      </c>
      <c r="C3245" t="str">
        <f>IFERROR(__xludf.DUMMYFUNCTION("""COMPUTED_VALUE"""),"BOTERO DEL CORRAL, EMILIANA")</f>
        <v>BOTERO DEL CORRAL, EMILIANA</v>
      </c>
      <c r="D3245" t="str">
        <f>IFERROR(__xludf.DUMMYFUNCTION("""COMPUTED_VALUE"""),"Technology 9")</f>
        <v>Technology 9</v>
      </c>
      <c r="E3245" s="3">
        <f>IFERROR(__xludf.DUMMYFUNCTION("""COMPUTED_VALUE"""),1.0)</f>
        <v>1</v>
      </c>
      <c r="F3245" s="300">
        <v>1.0</v>
      </c>
      <c r="G3245" s="300">
        <v>1.0</v>
      </c>
      <c r="H3245" s="300">
        <v>1.0</v>
      </c>
      <c r="I3245" s="300">
        <v>1.0</v>
      </c>
      <c r="J3245" s="300">
        <v>1.0</v>
      </c>
      <c r="K3245" s="300">
        <v>1.0</v>
      </c>
      <c r="L3245" s="300">
        <v>1.0</v>
      </c>
      <c r="M3245" s="300">
        <v>1.0</v>
      </c>
      <c r="N3245" s="300">
        <v>8.0</v>
      </c>
      <c r="O3245" s="300" t="s">
        <v>961</v>
      </c>
      <c r="P3245" s="300">
        <v>3.0</v>
      </c>
    </row>
    <row r="3246">
      <c r="A3246">
        <f>IFERROR(__xludf.DUMMYFUNCTION("""COMPUTED_VALUE"""),10.0)</f>
        <v>10</v>
      </c>
      <c r="B3246" s="406">
        <f>IFERROR(__xludf.DUMMYFUNCTION("""COMPUTED_VALUE"""),28042.0)</f>
        <v>28042</v>
      </c>
      <c r="C3246" t="str">
        <f>IFERROR(__xludf.DUMMYFUNCTION("""COMPUTED_VALUE"""),"GUERRA MARTINEZ, REBECCA")</f>
        <v>GUERRA MARTINEZ, REBECCA</v>
      </c>
      <c r="D3246" t="str">
        <f>IFERROR(__xludf.DUMMYFUNCTION("""COMPUTED_VALUE"""),"Sociales 10")</f>
        <v>Sociales 10</v>
      </c>
      <c r="E3246" s="3">
        <f>IFERROR(__xludf.DUMMYFUNCTION("""COMPUTED_VALUE"""),7.0)</f>
        <v>7</v>
      </c>
      <c r="F3246" s="300">
        <v>1.0</v>
      </c>
      <c r="G3246" s="300">
        <v>1.0</v>
      </c>
      <c r="H3246" s="300">
        <v>1.0</v>
      </c>
      <c r="I3246" s="300">
        <v>1.0</v>
      </c>
      <c r="J3246" s="300">
        <v>1.0</v>
      </c>
      <c r="K3246" s="300">
        <v>1.0</v>
      </c>
      <c r="L3246" s="300">
        <v>1.0</v>
      </c>
      <c r="M3246" s="300">
        <v>1.0</v>
      </c>
      <c r="N3246" s="300">
        <v>8.0</v>
      </c>
      <c r="O3246" s="300" t="s">
        <v>964</v>
      </c>
      <c r="P3246" s="300">
        <v>7.0</v>
      </c>
    </row>
    <row r="3247">
      <c r="A3247">
        <f>IFERROR(__xludf.DUMMYFUNCTION("""COMPUTED_VALUE"""),10.0)</f>
        <v>10</v>
      </c>
      <c r="B3247" s="406">
        <f>IFERROR(__xludf.DUMMYFUNCTION("""COMPUTED_VALUE"""),28116.0)</f>
        <v>28116</v>
      </c>
      <c r="C3247" t="str">
        <f>IFERROR(__xludf.DUMMYFUNCTION("""COMPUTED_VALUE"""),"VELEZ ZAPATA, SARA")</f>
        <v>VELEZ ZAPATA, SARA</v>
      </c>
      <c r="D3247" t="str">
        <f>IFERROR(__xludf.DUMMYFUNCTION("""COMPUTED_VALUE"""),"Sociales 10")</f>
        <v>Sociales 10</v>
      </c>
      <c r="E3247" s="3">
        <f>IFERROR(__xludf.DUMMYFUNCTION("""COMPUTED_VALUE"""),5.0)</f>
        <v>5</v>
      </c>
      <c r="F3247" s="300">
        <v>1.0</v>
      </c>
      <c r="G3247" s="300">
        <v>1.0</v>
      </c>
      <c r="H3247" s="300">
        <v>1.0</v>
      </c>
      <c r="I3247" s="300">
        <v>1.0</v>
      </c>
      <c r="J3247" s="300">
        <v>1.0</v>
      </c>
      <c r="K3247" s="300">
        <v>1.0</v>
      </c>
      <c r="L3247" s="300">
        <v>1.0</v>
      </c>
      <c r="M3247" s="300">
        <v>1.0</v>
      </c>
      <c r="N3247" s="300">
        <v>8.0</v>
      </c>
      <c r="O3247" s="300" t="s">
        <v>965</v>
      </c>
      <c r="P3247" s="300">
        <v>7.0</v>
      </c>
    </row>
    <row r="3248">
      <c r="A3248">
        <f>IFERROR(__xludf.DUMMYFUNCTION("""COMPUTED_VALUE"""),10.0)</f>
        <v>10</v>
      </c>
      <c r="B3248" s="406">
        <f>IFERROR(__xludf.DUMMYFUNCTION("""COMPUTED_VALUE"""),28013.0)</f>
        <v>28013</v>
      </c>
      <c r="C3248" t="str">
        <f>IFERROR(__xludf.DUMMYFUNCTION("""COMPUTED_VALUE"""),"BERDUGO RESTREPO, ROSARIO")</f>
        <v>BERDUGO RESTREPO, ROSARIO</v>
      </c>
      <c r="D3248" t="str">
        <f>IFERROR(__xludf.DUMMYFUNCTION("""COMPUTED_VALUE"""),"Sociales 10")</f>
        <v>Sociales 10</v>
      </c>
      <c r="E3248" s="3">
        <f>IFERROR(__xludf.DUMMYFUNCTION("""COMPUTED_VALUE"""),8.0)</f>
        <v>8</v>
      </c>
      <c r="F3248" s="300">
        <v>1.0</v>
      </c>
      <c r="G3248" s="300">
        <v>1.0</v>
      </c>
      <c r="H3248" s="300">
        <v>1.0</v>
      </c>
      <c r="I3248" s="300">
        <v>1.0</v>
      </c>
      <c r="J3248" s="300">
        <v>1.0</v>
      </c>
      <c r="K3248" s="300">
        <v>1.0</v>
      </c>
      <c r="L3248" s="300">
        <v>1.0</v>
      </c>
      <c r="M3248" s="300">
        <v>1.0</v>
      </c>
      <c r="N3248" s="300">
        <v>8.0</v>
      </c>
      <c r="O3248" s="300" t="s">
        <v>966</v>
      </c>
      <c r="P3248" s="300">
        <v>7.0</v>
      </c>
    </row>
    <row r="3249">
      <c r="A3249">
        <f>IFERROR(__xludf.DUMMYFUNCTION("""COMPUTED_VALUE"""),10.0)</f>
        <v>10</v>
      </c>
      <c r="B3249" s="406">
        <f>IFERROR(__xludf.DUMMYFUNCTION("""COMPUTED_VALUE"""),28045.0)</f>
        <v>28045</v>
      </c>
      <c r="C3249" t="str">
        <f>IFERROR(__xludf.DUMMYFUNCTION("""COMPUTED_VALUE"""),"HINESTROZA ESCOBAR, LUCIANA")</f>
        <v>HINESTROZA ESCOBAR, LUCIANA</v>
      </c>
      <c r="D3249" t="str">
        <f>IFERROR(__xludf.DUMMYFUNCTION("""COMPUTED_VALUE"""),"Sociales 10")</f>
        <v>Sociales 10</v>
      </c>
      <c r="E3249" s="3">
        <f>IFERROR(__xludf.DUMMYFUNCTION("""COMPUTED_VALUE"""),3.0)</f>
        <v>3</v>
      </c>
      <c r="F3249" s="300">
        <v>1.0</v>
      </c>
      <c r="G3249" s="300">
        <v>1.0</v>
      </c>
      <c r="H3249" s="300">
        <v>1.0</v>
      </c>
      <c r="I3249" s="300">
        <v>1.0</v>
      </c>
      <c r="J3249" s="300">
        <v>1.0</v>
      </c>
      <c r="K3249" s="300">
        <v>1.0</v>
      </c>
      <c r="L3249" s="300">
        <v>1.0</v>
      </c>
      <c r="M3249" s="300">
        <v>1.0</v>
      </c>
      <c r="N3249" s="300">
        <v>8.0</v>
      </c>
      <c r="O3249" s="300" t="s">
        <v>967</v>
      </c>
      <c r="P3249" s="300">
        <v>7.0</v>
      </c>
    </row>
    <row r="3250">
      <c r="A3250">
        <f>IFERROR(__xludf.DUMMYFUNCTION("""COMPUTED_VALUE"""),10.0)</f>
        <v>10</v>
      </c>
      <c r="B3250" s="406">
        <f>IFERROR(__xludf.DUMMYFUNCTION("""COMPUTED_VALUE"""),28022.0)</f>
        <v>28022</v>
      </c>
      <c r="C3250" t="str">
        <f>IFERROR(__xludf.DUMMYFUNCTION("""COMPUTED_VALUE"""),"CARVAJAL BOTERO, SIMON")</f>
        <v>CARVAJAL BOTERO, SIMON</v>
      </c>
      <c r="D3250" t="str">
        <f>IFERROR(__xludf.DUMMYFUNCTION("""COMPUTED_VALUE"""),"Sociales 10")</f>
        <v>Sociales 10</v>
      </c>
      <c r="E3250" s="3">
        <f>IFERROR(__xludf.DUMMYFUNCTION("""COMPUTED_VALUE"""),7.0)</f>
        <v>7</v>
      </c>
      <c r="F3250" s="300">
        <v>1.0</v>
      </c>
      <c r="G3250" s="300">
        <v>1.0</v>
      </c>
      <c r="H3250" s="300">
        <v>1.0</v>
      </c>
      <c r="I3250" s="300">
        <v>1.0</v>
      </c>
      <c r="J3250" s="300">
        <v>1.0</v>
      </c>
      <c r="K3250" s="300">
        <v>1.0</v>
      </c>
      <c r="L3250" s="300">
        <v>1.0</v>
      </c>
      <c r="M3250" s="300">
        <v>1.0</v>
      </c>
      <c r="N3250" s="300">
        <v>8.0</v>
      </c>
      <c r="O3250" s="300" t="s">
        <v>964</v>
      </c>
      <c r="P3250" s="300">
        <v>7.0</v>
      </c>
    </row>
    <row r="3251">
      <c r="A3251">
        <f>IFERROR(__xludf.DUMMYFUNCTION("""COMPUTED_VALUE"""),10.0)</f>
        <v>10</v>
      </c>
      <c r="B3251" s="406">
        <f>IFERROR(__xludf.DUMMYFUNCTION("""COMPUTED_VALUE"""),28166.0)</f>
        <v>28166</v>
      </c>
      <c r="C3251" t="str">
        <f>IFERROR(__xludf.DUMMYFUNCTION("""COMPUTED_VALUE"""),"VELEZ RAMIREZ, MIGUEL")</f>
        <v>VELEZ RAMIREZ, MIGUEL</v>
      </c>
      <c r="D3251" t="str">
        <f>IFERROR(__xludf.DUMMYFUNCTION("""COMPUTED_VALUE"""),"Sociales 10")</f>
        <v>Sociales 10</v>
      </c>
      <c r="E3251" s="3">
        <f>IFERROR(__xludf.DUMMYFUNCTION("""COMPUTED_VALUE"""),7.0)</f>
        <v>7</v>
      </c>
      <c r="F3251" s="300">
        <v>1.0</v>
      </c>
      <c r="G3251" s="300">
        <v>1.0</v>
      </c>
      <c r="H3251" s="300">
        <v>1.0</v>
      </c>
      <c r="I3251" s="300">
        <v>1.0</v>
      </c>
      <c r="J3251" s="300">
        <v>1.0</v>
      </c>
      <c r="K3251" s="300">
        <v>1.0</v>
      </c>
      <c r="L3251" s="300">
        <v>1.0</v>
      </c>
      <c r="M3251" s="300">
        <v>1.0</v>
      </c>
      <c r="N3251" s="300">
        <v>8.0</v>
      </c>
      <c r="O3251" s="300" t="s">
        <v>964</v>
      </c>
      <c r="P3251" s="300">
        <v>7.0</v>
      </c>
    </row>
    <row r="3252">
      <c r="A3252">
        <f>IFERROR(__xludf.DUMMYFUNCTION("""COMPUTED_VALUE"""),10.0)</f>
        <v>10</v>
      </c>
      <c r="B3252" s="406">
        <f>IFERROR(__xludf.DUMMYFUNCTION("""COMPUTED_VALUE"""),28083.0)</f>
        <v>28083</v>
      </c>
      <c r="C3252" t="str">
        <f>IFERROR(__xludf.DUMMYFUNCTION("""COMPUTED_VALUE"""),"PENAGOS VELEZ, EMILIO")</f>
        <v>PENAGOS VELEZ, EMILIO</v>
      </c>
      <c r="D3252" t="str">
        <f>IFERROR(__xludf.DUMMYFUNCTION("""COMPUTED_VALUE"""),"Sociales 10")</f>
        <v>Sociales 10</v>
      </c>
      <c r="E3252" s="3">
        <f>IFERROR(__xludf.DUMMYFUNCTION("""COMPUTED_VALUE"""),7.0)</f>
        <v>7</v>
      </c>
      <c r="F3252" s="300">
        <v>1.0</v>
      </c>
      <c r="G3252" s="300">
        <v>1.0</v>
      </c>
      <c r="H3252" s="300">
        <v>1.0</v>
      </c>
      <c r="I3252" s="300">
        <v>1.0</v>
      </c>
      <c r="J3252" s="300">
        <v>1.0</v>
      </c>
      <c r="K3252" s="300">
        <v>1.0</v>
      </c>
      <c r="L3252" s="300">
        <v>1.0</v>
      </c>
      <c r="M3252" s="300">
        <v>1.0</v>
      </c>
      <c r="N3252" s="300">
        <v>8.0</v>
      </c>
      <c r="O3252" s="300" t="s">
        <v>964</v>
      </c>
      <c r="P3252" s="300">
        <v>7.0</v>
      </c>
    </row>
    <row r="3253">
      <c r="A3253">
        <f>IFERROR(__xludf.DUMMYFUNCTION("""COMPUTED_VALUE"""),10.0)</f>
        <v>10</v>
      </c>
      <c r="B3253" s="406">
        <f>IFERROR(__xludf.DUMMYFUNCTION("""COMPUTED_VALUE"""),28105.0)</f>
        <v>28105</v>
      </c>
      <c r="C3253" t="str">
        <f>IFERROR(__xludf.DUMMYFUNCTION("""COMPUTED_VALUE"""),"TABARES MORENO, LUCAS")</f>
        <v>TABARES MORENO, LUCAS</v>
      </c>
      <c r="D3253" t="str">
        <f>IFERROR(__xludf.DUMMYFUNCTION("""COMPUTED_VALUE"""),"Sociales 10")</f>
        <v>Sociales 10</v>
      </c>
      <c r="E3253" s="3">
        <f>IFERROR(__xludf.DUMMYFUNCTION("""COMPUTED_VALUE"""),7.0)</f>
        <v>7</v>
      </c>
      <c r="F3253" s="300">
        <v>1.0</v>
      </c>
      <c r="G3253" s="300">
        <v>1.0</v>
      </c>
      <c r="H3253" s="300">
        <v>1.0</v>
      </c>
      <c r="I3253" s="300">
        <v>1.0</v>
      </c>
      <c r="J3253" s="300">
        <v>1.0</v>
      </c>
      <c r="K3253" s="300">
        <v>1.0</v>
      </c>
      <c r="L3253" s="300">
        <v>1.0</v>
      </c>
      <c r="M3253" s="300">
        <v>1.0</v>
      </c>
      <c r="N3253" s="300">
        <v>8.0</v>
      </c>
      <c r="O3253" s="300" t="s">
        <v>964</v>
      </c>
      <c r="P3253" s="300">
        <v>7.0</v>
      </c>
    </row>
    <row r="3254">
      <c r="A3254">
        <f>IFERROR(__xludf.DUMMYFUNCTION("""COMPUTED_VALUE"""),10.0)</f>
        <v>10</v>
      </c>
      <c r="B3254" s="406">
        <f>IFERROR(__xludf.DUMMYFUNCTION("""COMPUTED_VALUE"""),28017.0)</f>
        <v>28017</v>
      </c>
      <c r="C3254" t="str">
        <f>IFERROR(__xludf.DUMMYFUNCTION("""COMPUTED_VALUE"""),"BUHOFER DUQUE, ANDREAS EMILIO")</f>
        <v>BUHOFER DUQUE, ANDREAS EMILIO</v>
      </c>
      <c r="D3254" t="str">
        <f>IFERROR(__xludf.DUMMYFUNCTION("""COMPUTED_VALUE"""),"Sociales 10")</f>
        <v>Sociales 10</v>
      </c>
      <c r="E3254" s="3">
        <f>IFERROR(__xludf.DUMMYFUNCTION("""COMPUTED_VALUE"""),7.0)</f>
        <v>7</v>
      </c>
      <c r="F3254" s="300">
        <v>1.0</v>
      </c>
      <c r="G3254" s="300">
        <v>1.0</v>
      </c>
      <c r="H3254" s="300">
        <v>1.0</v>
      </c>
      <c r="I3254" s="300">
        <v>1.0</v>
      </c>
      <c r="J3254" s="300">
        <v>1.0</v>
      </c>
      <c r="K3254" s="300">
        <v>1.0</v>
      </c>
      <c r="L3254" s="300">
        <v>1.0</v>
      </c>
      <c r="M3254" s="300">
        <v>1.0</v>
      </c>
      <c r="N3254" s="300">
        <v>8.0</v>
      </c>
      <c r="O3254" s="300" t="s">
        <v>964</v>
      </c>
      <c r="P3254" s="300">
        <v>7.0</v>
      </c>
    </row>
    <row r="3255">
      <c r="A3255">
        <f>IFERROR(__xludf.DUMMYFUNCTION("""COMPUTED_VALUE"""),10.0)</f>
        <v>10</v>
      </c>
      <c r="B3255" s="406">
        <f>IFERROR(__xludf.DUMMYFUNCTION("""COMPUTED_VALUE"""),28056.0)</f>
        <v>28056</v>
      </c>
      <c r="C3255" t="str">
        <f>IFERROR(__xludf.DUMMYFUNCTION("""COMPUTED_VALUE"""),"LOPEZ RODRIGUEZ, MAR")</f>
        <v>LOPEZ RODRIGUEZ, MAR</v>
      </c>
      <c r="D3255" t="str">
        <f>IFERROR(__xludf.DUMMYFUNCTION("""COMPUTED_VALUE"""),"Sociales 10")</f>
        <v>Sociales 10</v>
      </c>
      <c r="E3255" s="3">
        <f>IFERROR(__xludf.DUMMYFUNCTION("""COMPUTED_VALUE"""),2.0)</f>
        <v>2</v>
      </c>
      <c r="F3255" s="300">
        <v>1.0</v>
      </c>
      <c r="G3255" s="300">
        <v>1.0</v>
      </c>
      <c r="H3255" s="300">
        <v>1.0</v>
      </c>
      <c r="I3255" s="300">
        <v>1.0</v>
      </c>
      <c r="J3255" s="300">
        <v>1.0</v>
      </c>
      <c r="K3255" s="300">
        <v>1.0</v>
      </c>
      <c r="L3255" s="300">
        <v>1.0</v>
      </c>
      <c r="M3255" s="300">
        <v>1.0</v>
      </c>
      <c r="N3255" s="300">
        <v>8.0</v>
      </c>
      <c r="O3255" s="300" t="s">
        <v>968</v>
      </c>
      <c r="P3255" s="300">
        <v>7.0</v>
      </c>
    </row>
    <row r="3256">
      <c r="A3256">
        <f>IFERROR(__xludf.DUMMYFUNCTION("""COMPUTED_VALUE"""),10.0)</f>
        <v>10</v>
      </c>
      <c r="B3256" s="406">
        <f>IFERROR(__xludf.DUMMYFUNCTION("""COMPUTED_VALUE"""),27041.0)</f>
        <v>27041</v>
      </c>
      <c r="C3256" t="str">
        <f>IFERROR(__xludf.DUMMYFUNCTION("""COMPUTED_VALUE"""),"GALVEZ ATEHORTUA, JUANITA")</f>
        <v>GALVEZ ATEHORTUA, JUANITA</v>
      </c>
      <c r="D3256" t="str">
        <f>IFERROR(__xludf.DUMMYFUNCTION("""COMPUTED_VALUE"""),"Sociales 10")</f>
        <v>Sociales 10</v>
      </c>
      <c r="E3256" s="3">
        <f>IFERROR(__xludf.DUMMYFUNCTION("""COMPUTED_VALUE"""),7.0)</f>
        <v>7</v>
      </c>
      <c r="F3256" s="300">
        <v>1.0</v>
      </c>
      <c r="G3256" s="300">
        <v>1.0</v>
      </c>
      <c r="H3256" s="300">
        <v>1.0</v>
      </c>
      <c r="I3256" s="300">
        <v>1.0</v>
      </c>
      <c r="J3256" s="300">
        <v>1.0</v>
      </c>
      <c r="K3256" s="300">
        <v>1.0</v>
      </c>
      <c r="L3256" s="300">
        <v>1.0</v>
      </c>
      <c r="M3256" s="300">
        <v>1.0</v>
      </c>
      <c r="N3256" s="300">
        <v>8.0</v>
      </c>
      <c r="O3256" s="300" t="s">
        <v>964</v>
      </c>
      <c r="P3256" s="300">
        <v>7.0</v>
      </c>
    </row>
    <row r="3257">
      <c r="A3257">
        <f>IFERROR(__xludf.DUMMYFUNCTION("""COMPUTED_VALUE"""),10.0)</f>
        <v>10</v>
      </c>
      <c r="B3257" s="406">
        <f>IFERROR(__xludf.DUMMYFUNCTION("""COMPUTED_VALUE"""),28058.0)</f>
        <v>28058</v>
      </c>
      <c r="C3257" t="str">
        <f>IFERROR(__xludf.DUMMYFUNCTION("""COMPUTED_VALUE"""),"MARULANDA VARGAS, ELISA")</f>
        <v>MARULANDA VARGAS, ELISA</v>
      </c>
      <c r="D3257" t="str">
        <f>IFERROR(__xludf.DUMMYFUNCTION("""COMPUTED_VALUE"""),"Sociales 10")</f>
        <v>Sociales 10</v>
      </c>
      <c r="E3257" s="3">
        <f>IFERROR(__xludf.DUMMYFUNCTION("""COMPUTED_VALUE"""),7.0)</f>
        <v>7</v>
      </c>
      <c r="F3257" s="300">
        <v>1.0</v>
      </c>
      <c r="G3257" s="300">
        <v>1.0</v>
      </c>
      <c r="H3257" s="300">
        <v>1.0</v>
      </c>
      <c r="I3257" s="300">
        <v>1.0</v>
      </c>
      <c r="J3257" s="300">
        <v>1.0</v>
      </c>
      <c r="K3257" s="300">
        <v>1.0</v>
      </c>
      <c r="L3257" s="300">
        <v>1.0</v>
      </c>
      <c r="M3257" s="300">
        <v>1.0</v>
      </c>
      <c r="N3257" s="300">
        <v>8.0</v>
      </c>
      <c r="O3257" s="300" t="s">
        <v>964</v>
      </c>
      <c r="P3257" s="300">
        <v>7.0</v>
      </c>
    </row>
    <row r="3258">
      <c r="A3258">
        <f>IFERROR(__xludf.DUMMYFUNCTION("""COMPUTED_VALUE"""),10.0)</f>
        <v>10</v>
      </c>
      <c r="B3258" s="406">
        <f>IFERROR(__xludf.DUMMYFUNCTION("""COMPUTED_VALUE"""),28043.0)</f>
        <v>28043</v>
      </c>
      <c r="C3258" t="str">
        <f>IFERROR(__xludf.DUMMYFUNCTION("""COMPUTED_VALUE"""),"GUTIERREZ ABUCHAR, TOMAS")</f>
        <v>GUTIERREZ ABUCHAR, TOMAS</v>
      </c>
      <c r="D3258" t="str">
        <f>IFERROR(__xludf.DUMMYFUNCTION("""COMPUTED_VALUE"""),"Sociales 10")</f>
        <v>Sociales 10</v>
      </c>
      <c r="E3258" s="3">
        <f>IFERROR(__xludf.DUMMYFUNCTION("""COMPUTED_VALUE"""),2.0)</f>
        <v>2</v>
      </c>
      <c r="F3258" s="300">
        <v>1.0</v>
      </c>
      <c r="G3258" s="300">
        <v>1.0</v>
      </c>
      <c r="H3258" s="300">
        <v>1.0</v>
      </c>
      <c r="I3258" s="300">
        <v>1.0</v>
      </c>
      <c r="J3258" s="300">
        <v>1.0</v>
      </c>
      <c r="K3258" s="300">
        <v>1.0</v>
      </c>
      <c r="L3258" s="300">
        <v>1.0</v>
      </c>
      <c r="M3258" s="300">
        <v>1.0</v>
      </c>
      <c r="N3258" s="300">
        <v>8.0</v>
      </c>
      <c r="O3258" s="300" t="s">
        <v>968</v>
      </c>
      <c r="P3258" s="300">
        <v>7.0</v>
      </c>
    </row>
    <row r="3259">
      <c r="A3259">
        <f>IFERROR(__xludf.DUMMYFUNCTION("""COMPUTED_VALUE"""),10.0)</f>
        <v>10</v>
      </c>
      <c r="B3259" s="406">
        <f>IFERROR(__xludf.DUMMYFUNCTION("""COMPUTED_VALUE"""),28113.0)</f>
        <v>28113</v>
      </c>
      <c r="C3259" t="str">
        <f>IFERROR(__xludf.DUMMYFUNCTION("""COMPUTED_VALUE"""),"VELEZ COCK, ELISA")</f>
        <v>VELEZ COCK, ELISA</v>
      </c>
      <c r="D3259" t="str">
        <f>IFERROR(__xludf.DUMMYFUNCTION("""COMPUTED_VALUE"""),"Sociales 10")</f>
        <v>Sociales 10</v>
      </c>
      <c r="E3259" s="3">
        <f>IFERROR(__xludf.DUMMYFUNCTION("""COMPUTED_VALUE"""),3.0)</f>
        <v>3</v>
      </c>
      <c r="F3259" s="300">
        <v>1.0</v>
      </c>
      <c r="G3259" s="300">
        <v>1.0</v>
      </c>
      <c r="H3259" s="300">
        <v>1.0</v>
      </c>
      <c r="I3259" s="300">
        <v>1.0</v>
      </c>
      <c r="J3259" s="300">
        <v>1.0</v>
      </c>
      <c r="K3259" s="300">
        <v>1.0</v>
      </c>
      <c r="L3259" s="300">
        <v>1.0</v>
      </c>
      <c r="M3259" s="300">
        <v>1.0</v>
      </c>
      <c r="N3259" s="300">
        <v>8.0</v>
      </c>
      <c r="O3259" s="300" t="s">
        <v>967</v>
      </c>
      <c r="P3259" s="300">
        <v>7.0</v>
      </c>
    </row>
    <row r="3260">
      <c r="A3260">
        <f>IFERROR(__xludf.DUMMYFUNCTION("""COMPUTED_VALUE"""),10.0)</f>
        <v>10</v>
      </c>
      <c r="B3260" s="406">
        <f>IFERROR(__xludf.DUMMYFUNCTION("""COMPUTED_VALUE"""),28157.0)</f>
        <v>28157</v>
      </c>
      <c r="C3260" t="str">
        <f>IFERROR(__xludf.DUMMYFUNCTION("""COMPUTED_VALUE"""),"ORTEGA OCHOA, FEDERICO")</f>
        <v>ORTEGA OCHOA, FEDERICO</v>
      </c>
      <c r="D3260" t="str">
        <f>IFERROR(__xludf.DUMMYFUNCTION("""COMPUTED_VALUE"""),"Sociales 10")</f>
        <v>Sociales 10</v>
      </c>
      <c r="E3260" s="3">
        <f>IFERROR(__xludf.DUMMYFUNCTION("""COMPUTED_VALUE"""),5.0)</f>
        <v>5</v>
      </c>
      <c r="F3260" s="300">
        <v>1.0</v>
      </c>
      <c r="G3260" s="300">
        <v>1.0</v>
      </c>
      <c r="H3260" s="300">
        <v>1.0</v>
      </c>
      <c r="I3260" s="300">
        <v>1.0</v>
      </c>
      <c r="J3260" s="300">
        <v>1.0</v>
      </c>
      <c r="K3260" s="300">
        <v>1.0</v>
      </c>
      <c r="L3260" s="300">
        <v>1.0</v>
      </c>
      <c r="M3260" s="300">
        <v>1.0</v>
      </c>
      <c r="N3260" s="300">
        <v>8.0</v>
      </c>
      <c r="O3260" s="300" t="s">
        <v>965</v>
      </c>
      <c r="P3260" s="300">
        <v>7.0</v>
      </c>
    </row>
    <row r="3261">
      <c r="A3261">
        <f>IFERROR(__xludf.DUMMYFUNCTION("""COMPUTED_VALUE"""),10.0)</f>
        <v>10</v>
      </c>
      <c r="B3261" s="406">
        <f>IFERROR(__xludf.DUMMYFUNCTION("""COMPUTED_VALUE"""),28098.0)</f>
        <v>28098</v>
      </c>
      <c r="C3261" t="str">
        <f>IFERROR(__xludf.DUMMYFUNCTION("""COMPUTED_VALUE"""),"ROBLEDO LLANO, MAXIMILIANO")</f>
        <v>ROBLEDO LLANO, MAXIMILIANO</v>
      </c>
      <c r="D3261" t="str">
        <f>IFERROR(__xludf.DUMMYFUNCTION("""COMPUTED_VALUE"""),"Sociales 10")</f>
        <v>Sociales 10</v>
      </c>
      <c r="E3261" s="3">
        <f>IFERROR(__xludf.DUMMYFUNCTION("""COMPUTED_VALUE"""),5.0)</f>
        <v>5</v>
      </c>
      <c r="F3261" s="300">
        <v>1.0</v>
      </c>
      <c r="G3261" s="300">
        <v>1.0</v>
      </c>
      <c r="H3261" s="300">
        <v>1.0</v>
      </c>
      <c r="I3261" s="300">
        <v>1.0</v>
      </c>
      <c r="J3261" s="300">
        <v>1.0</v>
      </c>
      <c r="K3261" s="300">
        <v>1.0</v>
      </c>
      <c r="L3261" s="300">
        <v>1.0</v>
      </c>
      <c r="M3261" s="300">
        <v>1.0</v>
      </c>
      <c r="N3261" s="300">
        <v>8.0</v>
      </c>
      <c r="O3261" s="300" t="s">
        <v>965</v>
      </c>
      <c r="P3261" s="300">
        <v>7.0</v>
      </c>
    </row>
    <row r="3262">
      <c r="A3262">
        <f>IFERROR(__xludf.DUMMYFUNCTION("""COMPUTED_VALUE"""),10.0)</f>
        <v>10</v>
      </c>
      <c r="B3262" s="406">
        <f>IFERROR(__xludf.DUMMYFUNCTION("""COMPUTED_VALUE"""),28117.0)</f>
        <v>28117</v>
      </c>
      <c r="C3262" t="str">
        <f>IFERROR(__xludf.DUMMYFUNCTION("""COMPUTED_VALUE"""),"VILLEGAS BOTERO, MARIANA")</f>
        <v>VILLEGAS BOTERO, MARIANA</v>
      </c>
      <c r="D3262" t="str">
        <f>IFERROR(__xludf.DUMMYFUNCTION("""COMPUTED_VALUE"""),"Sociales 10")</f>
        <v>Sociales 10</v>
      </c>
      <c r="E3262" s="3">
        <f>IFERROR(__xludf.DUMMYFUNCTION("""COMPUTED_VALUE"""),7.0)</f>
        <v>7</v>
      </c>
      <c r="F3262" s="300">
        <v>1.0</v>
      </c>
      <c r="G3262" s="300">
        <v>1.0</v>
      </c>
      <c r="H3262" s="300">
        <v>1.0</v>
      </c>
      <c r="I3262" s="300">
        <v>1.0</v>
      </c>
      <c r="J3262" s="300">
        <v>1.0</v>
      </c>
      <c r="K3262" s="300">
        <v>1.0</v>
      </c>
      <c r="L3262" s="300">
        <v>1.0</v>
      </c>
      <c r="M3262" s="300">
        <v>1.0</v>
      </c>
      <c r="N3262" s="300">
        <v>8.0</v>
      </c>
      <c r="O3262" s="300" t="s">
        <v>964</v>
      </c>
      <c r="P3262" s="300">
        <v>7.0</v>
      </c>
    </row>
    <row r="3263">
      <c r="A3263">
        <f>IFERROR(__xludf.DUMMYFUNCTION("""COMPUTED_VALUE"""),10.0)</f>
        <v>10</v>
      </c>
      <c r="B3263" s="406">
        <f>IFERROR(__xludf.DUMMYFUNCTION("""COMPUTED_VALUE"""),28100.0)</f>
        <v>28100</v>
      </c>
      <c r="C3263" t="str">
        <f>IFERROR(__xludf.DUMMYFUNCTION("""COMPUTED_VALUE"""),"RODRIGUEZ SALDARRIAGA, SOFIA")</f>
        <v>RODRIGUEZ SALDARRIAGA, SOFIA</v>
      </c>
      <c r="D3263" t="str">
        <f>IFERROR(__xludf.DUMMYFUNCTION("""COMPUTED_VALUE"""),"Sociales 10")</f>
        <v>Sociales 10</v>
      </c>
      <c r="E3263" s="3">
        <f>IFERROR(__xludf.DUMMYFUNCTION("""COMPUTED_VALUE"""),7.0)</f>
        <v>7</v>
      </c>
      <c r="F3263" s="300">
        <v>1.0</v>
      </c>
      <c r="G3263" s="300">
        <v>1.0</v>
      </c>
      <c r="H3263" s="300">
        <v>1.0</v>
      </c>
      <c r="I3263" s="300">
        <v>1.0</v>
      </c>
      <c r="J3263" s="300">
        <v>1.0</v>
      </c>
      <c r="K3263" s="300">
        <v>1.0</v>
      </c>
      <c r="L3263" s="300">
        <v>1.0</v>
      </c>
      <c r="M3263" s="300">
        <v>1.0</v>
      </c>
      <c r="N3263" s="300">
        <v>8.0</v>
      </c>
      <c r="O3263" s="300" t="s">
        <v>964</v>
      </c>
      <c r="P3263" s="300">
        <v>7.0</v>
      </c>
    </row>
    <row r="3264">
      <c r="A3264">
        <f>IFERROR(__xludf.DUMMYFUNCTION("""COMPUTED_VALUE"""),10.0)</f>
        <v>10</v>
      </c>
      <c r="B3264" s="406">
        <f>IFERROR(__xludf.DUMMYFUNCTION("""COMPUTED_VALUE"""),28097.0)</f>
        <v>28097</v>
      </c>
      <c r="C3264" t="str">
        <f>IFERROR(__xludf.DUMMYFUNCTION("""COMPUTED_VALUE"""),"RINCON URIBE, CAMILA")</f>
        <v>RINCON URIBE, CAMILA</v>
      </c>
      <c r="D3264" t="str">
        <f>IFERROR(__xludf.DUMMYFUNCTION("""COMPUTED_VALUE"""),"Sociales 10")</f>
        <v>Sociales 10</v>
      </c>
      <c r="E3264" s="3">
        <f>IFERROR(__xludf.DUMMYFUNCTION("""COMPUTED_VALUE"""),7.0)</f>
        <v>7</v>
      </c>
      <c r="F3264" s="300">
        <v>1.0</v>
      </c>
      <c r="G3264" s="300">
        <v>1.0</v>
      </c>
      <c r="H3264" s="300">
        <v>1.0</v>
      </c>
      <c r="I3264" s="300">
        <v>1.0</v>
      </c>
      <c r="J3264" s="300">
        <v>1.0</v>
      </c>
      <c r="K3264" s="300">
        <v>1.0</v>
      </c>
      <c r="L3264" s="300">
        <v>1.0</v>
      </c>
      <c r="M3264" s="300">
        <v>1.0</v>
      </c>
      <c r="N3264" s="300">
        <v>8.0</v>
      </c>
      <c r="O3264" s="300" t="s">
        <v>964</v>
      </c>
      <c r="P3264" s="300">
        <v>7.0</v>
      </c>
    </row>
    <row r="3265">
      <c r="A3265">
        <f>IFERROR(__xludf.DUMMYFUNCTION("""COMPUTED_VALUE"""),10.0)</f>
        <v>10</v>
      </c>
      <c r="B3265" s="406">
        <f>IFERROR(__xludf.DUMMYFUNCTION("""COMPUTED_VALUE"""),28053.0)</f>
        <v>28053</v>
      </c>
      <c r="C3265" t="str">
        <f>IFERROR(__xludf.DUMMYFUNCTION("""COMPUTED_VALUE"""),"LOPERA VILLA, ELENA")</f>
        <v>LOPERA VILLA, ELENA</v>
      </c>
      <c r="D3265" t="str">
        <f>IFERROR(__xludf.DUMMYFUNCTION("""COMPUTED_VALUE"""),"Sociales 10")</f>
        <v>Sociales 10</v>
      </c>
      <c r="E3265" s="3">
        <f>IFERROR(__xludf.DUMMYFUNCTION("""COMPUTED_VALUE"""),3.0)</f>
        <v>3</v>
      </c>
      <c r="F3265" s="300">
        <v>1.0</v>
      </c>
      <c r="G3265" s="300">
        <v>1.0</v>
      </c>
      <c r="H3265" s="300">
        <v>1.0</v>
      </c>
      <c r="I3265" s="300">
        <v>1.0</v>
      </c>
      <c r="J3265" s="300">
        <v>1.0</v>
      </c>
      <c r="K3265" s="300">
        <v>1.0</v>
      </c>
      <c r="L3265" s="300">
        <v>1.0</v>
      </c>
      <c r="M3265" s="300">
        <v>1.0</v>
      </c>
      <c r="N3265" s="300">
        <v>8.0</v>
      </c>
      <c r="O3265" s="300" t="s">
        <v>967</v>
      </c>
      <c r="P3265" s="300">
        <v>7.0</v>
      </c>
    </row>
    <row r="3266">
      <c r="A3266">
        <f>IFERROR(__xludf.DUMMYFUNCTION("""COMPUTED_VALUE"""),10.0)</f>
        <v>10</v>
      </c>
      <c r="B3266" s="406">
        <f>IFERROR(__xludf.DUMMYFUNCTION("""COMPUTED_VALUE"""),28090.0)</f>
        <v>28090</v>
      </c>
      <c r="C3266" t="str">
        <f>IFERROR(__xludf.DUMMYFUNCTION("""COMPUTED_VALUE"""),"REINOSO TRUJILLO, TOMAS")</f>
        <v>REINOSO TRUJILLO, TOMAS</v>
      </c>
      <c r="D3266" t="str">
        <f>IFERROR(__xludf.DUMMYFUNCTION("""COMPUTED_VALUE"""),"Sociales 10")</f>
        <v>Sociales 10</v>
      </c>
      <c r="E3266" s="3">
        <f>IFERROR(__xludf.DUMMYFUNCTION("""COMPUTED_VALUE"""),8.0)</f>
        <v>8</v>
      </c>
      <c r="F3266" s="300">
        <v>1.0</v>
      </c>
      <c r="G3266" s="300">
        <v>1.0</v>
      </c>
      <c r="H3266" s="300">
        <v>1.0</v>
      </c>
      <c r="I3266" s="300">
        <v>1.0</v>
      </c>
      <c r="J3266" s="300">
        <v>1.0</v>
      </c>
      <c r="K3266" s="300">
        <v>1.0</v>
      </c>
      <c r="L3266" s="300">
        <v>1.0</v>
      </c>
      <c r="M3266" s="300">
        <v>1.0</v>
      </c>
      <c r="N3266" s="300">
        <v>8.0</v>
      </c>
      <c r="O3266" s="300" t="s">
        <v>966</v>
      </c>
      <c r="P3266" s="300">
        <v>7.0</v>
      </c>
    </row>
    <row r="3267">
      <c r="A3267">
        <f>IFERROR(__xludf.DUMMYFUNCTION("""COMPUTED_VALUE"""),10.0)</f>
        <v>10</v>
      </c>
      <c r="B3267" s="406">
        <f>IFERROR(__xludf.DUMMYFUNCTION("""COMPUTED_VALUE"""),28050.0)</f>
        <v>28050</v>
      </c>
      <c r="C3267" t="str">
        <f>IFERROR(__xludf.DUMMYFUNCTION("""COMPUTED_VALUE"""),"JARAMILLO FERNANDEZ, EMILIO")</f>
        <v>JARAMILLO FERNANDEZ, EMILIO</v>
      </c>
      <c r="D3267" t="str">
        <f>IFERROR(__xludf.DUMMYFUNCTION("""COMPUTED_VALUE"""),"Sociales 10")</f>
        <v>Sociales 10</v>
      </c>
      <c r="E3267" s="3">
        <f>IFERROR(__xludf.DUMMYFUNCTION("""COMPUTED_VALUE"""),8.0)</f>
        <v>8</v>
      </c>
      <c r="F3267" s="300">
        <v>1.0</v>
      </c>
      <c r="G3267" s="300">
        <v>1.0</v>
      </c>
      <c r="H3267" s="300">
        <v>1.0</v>
      </c>
      <c r="I3267" s="300">
        <v>1.0</v>
      </c>
      <c r="J3267" s="300">
        <v>1.0</v>
      </c>
      <c r="K3267" s="300">
        <v>1.0</v>
      </c>
      <c r="L3267" s="300">
        <v>1.0</v>
      </c>
      <c r="M3267" s="300">
        <v>1.0</v>
      </c>
      <c r="N3267" s="300">
        <v>8.0</v>
      </c>
      <c r="O3267" s="300" t="s">
        <v>966</v>
      </c>
      <c r="P3267" s="300">
        <v>7.0</v>
      </c>
    </row>
    <row r="3268">
      <c r="A3268">
        <f>IFERROR(__xludf.DUMMYFUNCTION("""COMPUTED_VALUE"""),10.0)</f>
        <v>10</v>
      </c>
      <c r="B3268" s="406">
        <f>IFERROR(__xludf.DUMMYFUNCTION("""COMPUTED_VALUE"""),28031.0)</f>
        <v>28031</v>
      </c>
      <c r="C3268" t="str">
        <f>IFERROR(__xludf.DUMMYFUNCTION("""COMPUTED_VALUE"""),"GALLEGO CUARTAS, NICOLAS")</f>
        <v>GALLEGO CUARTAS, NICOLAS</v>
      </c>
      <c r="D3268" t="str">
        <f>IFERROR(__xludf.DUMMYFUNCTION("""COMPUTED_VALUE"""),"Sociales 10")</f>
        <v>Sociales 10</v>
      </c>
      <c r="E3268" s="3">
        <f>IFERROR(__xludf.DUMMYFUNCTION("""COMPUTED_VALUE"""),4.0)</f>
        <v>4</v>
      </c>
      <c r="F3268" s="300">
        <v>1.0</v>
      </c>
      <c r="G3268" s="300">
        <v>1.0</v>
      </c>
      <c r="H3268" s="300">
        <v>1.0</v>
      </c>
      <c r="I3268" s="300">
        <v>1.0</v>
      </c>
      <c r="J3268" s="300">
        <v>1.0</v>
      </c>
      <c r="K3268" s="300">
        <v>1.0</v>
      </c>
      <c r="L3268" s="300">
        <v>1.0</v>
      </c>
      <c r="M3268" s="300">
        <v>1.0</v>
      </c>
      <c r="N3268" s="300">
        <v>8.0</v>
      </c>
      <c r="O3268" s="300" t="s">
        <v>969</v>
      </c>
      <c r="P3268" s="300">
        <v>7.0</v>
      </c>
    </row>
    <row r="3269">
      <c r="A3269">
        <f>IFERROR(__xludf.DUMMYFUNCTION("""COMPUTED_VALUE"""),10.0)</f>
        <v>10</v>
      </c>
      <c r="B3269" s="406">
        <f>IFERROR(__xludf.DUMMYFUNCTION("""COMPUTED_VALUE"""),28162.0)</f>
        <v>28162</v>
      </c>
      <c r="C3269" t="str">
        <f>IFERROR(__xludf.DUMMYFUNCTION("""COMPUTED_VALUE"""),"OSPINA BENEDETI, AGUSTIN")</f>
        <v>OSPINA BENEDETI, AGUSTIN</v>
      </c>
      <c r="D3269" t="str">
        <f>IFERROR(__xludf.DUMMYFUNCTION("""COMPUTED_VALUE"""),"Sociales 10")</f>
        <v>Sociales 10</v>
      </c>
      <c r="E3269" s="3">
        <f>IFERROR(__xludf.DUMMYFUNCTION("""COMPUTED_VALUE"""),4.0)</f>
        <v>4</v>
      </c>
      <c r="F3269" s="300">
        <v>1.0</v>
      </c>
      <c r="G3269" s="300">
        <v>1.0</v>
      </c>
      <c r="H3269" s="300">
        <v>1.0</v>
      </c>
      <c r="I3269" s="300">
        <v>1.0</v>
      </c>
      <c r="J3269" s="300">
        <v>1.0</v>
      </c>
      <c r="K3269" s="300">
        <v>1.0</v>
      </c>
      <c r="L3269" s="300">
        <v>1.0</v>
      </c>
      <c r="M3269" s="300">
        <v>1.0</v>
      </c>
      <c r="N3269" s="300">
        <v>8.0</v>
      </c>
      <c r="O3269" s="300" t="s">
        <v>969</v>
      </c>
      <c r="P3269" s="300">
        <v>7.0</v>
      </c>
    </row>
    <row r="3270">
      <c r="A3270">
        <f>IFERROR(__xludf.DUMMYFUNCTION("""COMPUTED_VALUE"""),10.0)</f>
        <v>10</v>
      </c>
      <c r="B3270" s="406">
        <f>IFERROR(__xludf.DUMMYFUNCTION("""COMPUTED_VALUE"""),28121.0)</f>
        <v>28121</v>
      </c>
      <c r="C3270" t="str">
        <f>IFERROR(__xludf.DUMMYFUNCTION("""COMPUTED_VALUE"""),"MC LEAN HIDRON, LUCAS")</f>
        <v>MC LEAN HIDRON, LUCAS</v>
      </c>
      <c r="D3270" t="str">
        <f>IFERROR(__xludf.DUMMYFUNCTION("""COMPUTED_VALUE"""),"Sociales 10")</f>
        <v>Sociales 10</v>
      </c>
      <c r="E3270" s="3">
        <f>IFERROR(__xludf.DUMMYFUNCTION("""COMPUTED_VALUE"""),3.0)</f>
        <v>3</v>
      </c>
      <c r="F3270" s="300">
        <v>1.0</v>
      </c>
      <c r="G3270" s="300">
        <v>1.0</v>
      </c>
      <c r="H3270" s="300">
        <v>1.0</v>
      </c>
      <c r="I3270" s="300">
        <v>1.0</v>
      </c>
      <c r="J3270" s="300">
        <v>1.0</v>
      </c>
      <c r="K3270" s="300">
        <v>1.0</v>
      </c>
      <c r="L3270" s="300">
        <v>1.0</v>
      </c>
      <c r="M3270" s="300">
        <v>1.0</v>
      </c>
      <c r="N3270" s="300">
        <v>8.0</v>
      </c>
      <c r="O3270" s="300" t="s">
        <v>967</v>
      </c>
      <c r="P3270" s="300">
        <v>7.0</v>
      </c>
    </row>
    <row r="3271">
      <c r="A3271">
        <f>IFERROR(__xludf.DUMMYFUNCTION("""COMPUTED_VALUE"""),10.0)</f>
        <v>10</v>
      </c>
      <c r="B3271" s="406">
        <f>IFERROR(__xludf.DUMMYFUNCTION("""COMPUTED_VALUE"""),28016.0)</f>
        <v>28016</v>
      </c>
      <c r="C3271" t="str">
        <f>IFERROR(__xludf.DUMMYFUNCTION("""COMPUTED_VALUE"""),"BOTERO CASTAÑEDA, CARMEN")</f>
        <v>BOTERO CASTAÑEDA, CARMEN</v>
      </c>
      <c r="D3271" t="str">
        <f>IFERROR(__xludf.DUMMYFUNCTION("""COMPUTED_VALUE"""),"Sociales 10")</f>
        <v>Sociales 10</v>
      </c>
      <c r="E3271" s="3">
        <f>IFERROR(__xludf.DUMMYFUNCTION("""COMPUTED_VALUE"""),8.0)</f>
        <v>8</v>
      </c>
      <c r="F3271" s="300">
        <v>1.0</v>
      </c>
      <c r="G3271" s="300">
        <v>1.0</v>
      </c>
      <c r="H3271" s="300">
        <v>1.0</v>
      </c>
      <c r="I3271" s="300">
        <v>1.0</v>
      </c>
      <c r="J3271" s="300">
        <v>1.0</v>
      </c>
      <c r="K3271" s="300">
        <v>1.0</v>
      </c>
      <c r="L3271" s="300">
        <v>1.0</v>
      </c>
      <c r="M3271" s="300">
        <v>1.0</v>
      </c>
      <c r="N3271" s="300">
        <v>8.0</v>
      </c>
      <c r="O3271" s="300" t="s">
        <v>966</v>
      </c>
      <c r="P3271" s="300">
        <v>7.0</v>
      </c>
    </row>
    <row r="3272">
      <c r="A3272">
        <f>IFERROR(__xludf.DUMMYFUNCTION("""COMPUTED_VALUE"""),10.0)</f>
        <v>10</v>
      </c>
      <c r="B3272" s="406">
        <f>IFERROR(__xludf.DUMMYFUNCTION("""COMPUTED_VALUE"""),28170.0)</f>
        <v>28170</v>
      </c>
      <c r="C3272" t="str">
        <f>IFERROR(__xludf.DUMMYFUNCTION("""COMPUTED_VALUE"""),"GOMEZ AMADOR, EMMA")</f>
        <v>GOMEZ AMADOR, EMMA</v>
      </c>
      <c r="D3272" t="str">
        <f>IFERROR(__xludf.DUMMYFUNCTION("""COMPUTED_VALUE"""),"Sociales 10")</f>
        <v>Sociales 10</v>
      </c>
      <c r="E3272" s="3">
        <f>IFERROR(__xludf.DUMMYFUNCTION("""COMPUTED_VALUE"""),5.0)</f>
        <v>5</v>
      </c>
      <c r="F3272" s="300">
        <v>1.0</v>
      </c>
      <c r="G3272" s="300">
        <v>1.0</v>
      </c>
      <c r="H3272" s="300">
        <v>1.0</v>
      </c>
      <c r="I3272" s="300">
        <v>1.0</v>
      </c>
      <c r="J3272" s="300">
        <v>1.0</v>
      </c>
      <c r="K3272" s="300">
        <v>1.0</v>
      </c>
      <c r="L3272" s="300">
        <v>1.0</v>
      </c>
      <c r="M3272" s="300">
        <v>1.0</v>
      </c>
      <c r="N3272" s="300">
        <v>8.0</v>
      </c>
      <c r="O3272" s="300" t="s">
        <v>965</v>
      </c>
      <c r="P3272" s="300">
        <v>7.0</v>
      </c>
    </row>
    <row r="3273">
      <c r="A3273">
        <f>IFERROR(__xludf.DUMMYFUNCTION("""COMPUTED_VALUE"""),10.0)</f>
        <v>10</v>
      </c>
      <c r="B3273" s="406">
        <f>IFERROR(__xludf.DUMMYFUNCTION("""COMPUTED_VALUE"""),28054.0)</f>
        <v>28054</v>
      </c>
      <c r="C3273" t="str">
        <f>IFERROR(__xludf.DUMMYFUNCTION("""COMPUTED_VALUE"""),"LOPEZ ESCOBAR, CLEMENTE")</f>
        <v>LOPEZ ESCOBAR, CLEMENTE</v>
      </c>
      <c r="D3273" t="str">
        <f>IFERROR(__xludf.DUMMYFUNCTION("""COMPUTED_VALUE"""),"Sociales 10")</f>
        <v>Sociales 10</v>
      </c>
      <c r="E3273" s="3">
        <f>IFERROR(__xludf.DUMMYFUNCTION("""COMPUTED_VALUE"""),4.0)</f>
        <v>4</v>
      </c>
      <c r="F3273" s="300">
        <v>1.0</v>
      </c>
      <c r="G3273" s="300">
        <v>1.0</v>
      </c>
      <c r="H3273" s="300">
        <v>1.0</v>
      </c>
      <c r="I3273" s="300">
        <v>1.0</v>
      </c>
      <c r="J3273" s="300">
        <v>1.0</v>
      </c>
      <c r="K3273" s="300">
        <v>1.0</v>
      </c>
      <c r="L3273" s="300">
        <v>1.0</v>
      </c>
      <c r="M3273" s="300">
        <v>1.0</v>
      </c>
      <c r="N3273" s="300">
        <v>8.0</v>
      </c>
      <c r="O3273" s="300" t="s">
        <v>969</v>
      </c>
      <c r="P3273" s="300">
        <v>7.0</v>
      </c>
    </row>
    <row r="3274">
      <c r="A3274">
        <f>IFERROR(__xludf.DUMMYFUNCTION("""COMPUTED_VALUE"""),10.0)</f>
        <v>10</v>
      </c>
      <c r="B3274" s="406">
        <f>IFERROR(__xludf.DUMMYFUNCTION("""COMPUTED_VALUE"""),28003.0)</f>
        <v>28003</v>
      </c>
      <c r="C3274" t="str">
        <f>IFERROR(__xludf.DUMMYFUNCTION("""COMPUTED_VALUE"""),"ARANGO DUQUE, TOMAS")</f>
        <v>ARANGO DUQUE, TOMAS</v>
      </c>
      <c r="D3274" t="str">
        <f>IFERROR(__xludf.DUMMYFUNCTION("""COMPUTED_VALUE"""),"Sociales 10")</f>
        <v>Sociales 10</v>
      </c>
      <c r="E3274" s="3">
        <f>IFERROR(__xludf.DUMMYFUNCTION("""COMPUTED_VALUE"""),7.0)</f>
        <v>7</v>
      </c>
      <c r="F3274" s="300">
        <v>1.0</v>
      </c>
      <c r="G3274" s="300">
        <v>1.0</v>
      </c>
      <c r="H3274" s="300">
        <v>1.0</v>
      </c>
      <c r="I3274" s="300">
        <v>1.0</v>
      </c>
      <c r="J3274" s="300">
        <v>1.0</v>
      </c>
      <c r="K3274" s="300">
        <v>1.0</v>
      </c>
      <c r="L3274" s="300">
        <v>1.0</v>
      </c>
      <c r="M3274" s="300">
        <v>1.0</v>
      </c>
      <c r="N3274" s="300">
        <v>8.0</v>
      </c>
      <c r="O3274" s="300" t="s">
        <v>964</v>
      </c>
      <c r="P3274" s="300">
        <v>7.0</v>
      </c>
    </row>
    <row r="3275">
      <c r="A3275">
        <f>IFERROR(__xludf.DUMMYFUNCTION("""COMPUTED_VALUE"""),10.0)</f>
        <v>10</v>
      </c>
      <c r="B3275" s="406">
        <f>IFERROR(__xludf.DUMMYFUNCTION("""COMPUTED_VALUE"""),28103.0)</f>
        <v>28103</v>
      </c>
      <c r="C3275" t="str">
        <f>IFERROR(__xludf.DUMMYFUNCTION("""COMPUTED_VALUE"""),"SANIN VELASQUEZ, ISRAEL")</f>
        <v>SANIN VELASQUEZ, ISRAEL</v>
      </c>
      <c r="D3275" t="str">
        <f>IFERROR(__xludf.DUMMYFUNCTION("""COMPUTED_VALUE"""),"Sociales 10")</f>
        <v>Sociales 10</v>
      </c>
      <c r="E3275" s="3">
        <f>IFERROR(__xludf.DUMMYFUNCTION("""COMPUTED_VALUE"""),7.0)</f>
        <v>7</v>
      </c>
      <c r="F3275" s="300">
        <v>1.0</v>
      </c>
      <c r="G3275" s="300">
        <v>1.0</v>
      </c>
      <c r="H3275" s="300">
        <v>1.0</v>
      </c>
      <c r="I3275" s="300">
        <v>1.0</v>
      </c>
      <c r="J3275" s="300">
        <v>1.0</v>
      </c>
      <c r="K3275" s="300">
        <v>1.0</v>
      </c>
      <c r="L3275" s="300">
        <v>1.0</v>
      </c>
      <c r="M3275" s="300">
        <v>1.0</v>
      </c>
      <c r="N3275" s="300">
        <v>8.0</v>
      </c>
      <c r="O3275" s="300" t="s">
        <v>964</v>
      </c>
      <c r="P3275" s="300">
        <v>7.0</v>
      </c>
    </row>
    <row r="3276">
      <c r="A3276">
        <f>IFERROR(__xludf.DUMMYFUNCTION("""COMPUTED_VALUE"""),10.0)</f>
        <v>10</v>
      </c>
      <c r="B3276" s="406">
        <f>IFERROR(__xludf.DUMMYFUNCTION("""COMPUTED_VALUE"""),28163.0)</f>
        <v>28163</v>
      </c>
      <c r="C3276" t="str">
        <f>IFERROR(__xludf.DUMMYFUNCTION("""COMPUTED_VALUE"""),"GARCIA VALENCIA, EMILIO")</f>
        <v>GARCIA VALENCIA, EMILIO</v>
      </c>
      <c r="D3276" t="str">
        <f>IFERROR(__xludf.DUMMYFUNCTION("""COMPUTED_VALUE"""),"Sociales 10")</f>
        <v>Sociales 10</v>
      </c>
      <c r="E3276" s="3">
        <f>IFERROR(__xludf.DUMMYFUNCTION("""COMPUTED_VALUE"""),1.0)</f>
        <v>1</v>
      </c>
      <c r="F3276" s="300">
        <v>1.0</v>
      </c>
      <c r="G3276" s="300">
        <v>1.0</v>
      </c>
      <c r="H3276" s="300">
        <v>1.0</v>
      </c>
      <c r="I3276" s="300">
        <v>1.0</v>
      </c>
      <c r="J3276" s="300">
        <v>1.0</v>
      </c>
      <c r="K3276" s="300">
        <v>1.0</v>
      </c>
      <c r="L3276" s="300">
        <v>1.0</v>
      </c>
      <c r="M3276" s="300">
        <v>1.0</v>
      </c>
      <c r="N3276" s="300">
        <v>8.0</v>
      </c>
      <c r="O3276" s="300" t="s">
        <v>970</v>
      </c>
      <c r="P3276" s="300">
        <v>7.0</v>
      </c>
    </row>
    <row r="3277">
      <c r="A3277">
        <f>IFERROR(__xludf.DUMMYFUNCTION("""COMPUTED_VALUE"""),10.0)</f>
        <v>10</v>
      </c>
      <c r="B3277" s="406">
        <f>IFERROR(__xludf.DUMMYFUNCTION("""COMPUTED_VALUE"""),28074.0)</f>
        <v>28074</v>
      </c>
      <c r="C3277" t="str">
        <f>IFERROR(__xludf.DUMMYFUNCTION("""COMPUTED_VALUE"""),"NAVARRO VILLA, JUAN MARTIN")</f>
        <v>NAVARRO VILLA, JUAN MARTIN</v>
      </c>
      <c r="D3277" t="str">
        <f>IFERROR(__xludf.DUMMYFUNCTION("""COMPUTED_VALUE"""),"Sociales 10")</f>
        <v>Sociales 10</v>
      </c>
      <c r="E3277" s="3">
        <f>IFERROR(__xludf.DUMMYFUNCTION("""COMPUTED_VALUE"""),2.0)</f>
        <v>2</v>
      </c>
      <c r="F3277" s="300">
        <v>1.0</v>
      </c>
      <c r="G3277" s="300">
        <v>1.0</v>
      </c>
      <c r="H3277" s="300">
        <v>1.0</v>
      </c>
      <c r="I3277" s="300">
        <v>1.0</v>
      </c>
      <c r="J3277" s="300">
        <v>1.0</v>
      </c>
      <c r="K3277" s="300">
        <v>1.0</v>
      </c>
      <c r="L3277" s="300">
        <v>1.0</v>
      </c>
      <c r="M3277" s="300">
        <v>1.0</v>
      </c>
      <c r="N3277" s="300">
        <v>8.0</v>
      </c>
      <c r="O3277" s="300" t="s">
        <v>968</v>
      </c>
      <c r="P3277" s="300">
        <v>7.0</v>
      </c>
    </row>
    <row r="3278">
      <c r="A3278">
        <f>IFERROR(__xludf.DUMMYFUNCTION("""COMPUTED_VALUE"""),10.0)</f>
        <v>10</v>
      </c>
      <c r="B3278" s="406">
        <f>IFERROR(__xludf.DUMMYFUNCTION("""COMPUTED_VALUE"""),28173.0)</f>
        <v>28173</v>
      </c>
      <c r="C3278" t="str">
        <f>IFERROR(__xludf.DUMMYFUNCTION("""COMPUTED_VALUE"""),"RUIZ RAMIREZ, JACOBO")</f>
        <v>RUIZ RAMIREZ, JACOBO</v>
      </c>
      <c r="D3278" t="str">
        <f>IFERROR(__xludf.DUMMYFUNCTION("""COMPUTED_VALUE"""),"Sociales 10")</f>
        <v>Sociales 10</v>
      </c>
      <c r="E3278" s="3">
        <f>IFERROR(__xludf.DUMMYFUNCTION("""COMPUTED_VALUE"""),3.0)</f>
        <v>3</v>
      </c>
      <c r="F3278" s="300">
        <v>1.0</v>
      </c>
      <c r="G3278" s="300">
        <v>1.0</v>
      </c>
      <c r="H3278" s="300">
        <v>1.0</v>
      </c>
      <c r="I3278" s="300">
        <v>1.0</v>
      </c>
      <c r="J3278" s="300">
        <v>1.0</v>
      </c>
      <c r="K3278" s="300">
        <v>1.0</v>
      </c>
      <c r="L3278" s="300">
        <v>1.0</v>
      </c>
      <c r="M3278" s="300">
        <v>1.0</v>
      </c>
      <c r="N3278" s="300">
        <v>8.0</v>
      </c>
      <c r="O3278" s="300" t="s">
        <v>967</v>
      </c>
      <c r="P3278" s="300">
        <v>7.0</v>
      </c>
    </row>
    <row r="3279">
      <c r="A3279">
        <f>IFERROR(__xludf.DUMMYFUNCTION("""COMPUTED_VALUE"""),10.0)</f>
        <v>10</v>
      </c>
      <c r="B3279" s="406">
        <f>IFERROR(__xludf.DUMMYFUNCTION("""COMPUTED_VALUE"""),28159.0)</f>
        <v>28159</v>
      </c>
      <c r="C3279" t="str">
        <f>IFERROR(__xludf.DUMMYFUNCTION("""COMPUTED_VALUE"""),"OROZCO RINCON, JUAN SEBASTIAN")</f>
        <v>OROZCO RINCON, JUAN SEBASTIAN</v>
      </c>
      <c r="D3279" t="str">
        <f>IFERROR(__xludf.DUMMYFUNCTION("""COMPUTED_VALUE"""),"Sociales 10")</f>
        <v>Sociales 10</v>
      </c>
      <c r="E3279" s="3">
        <f>IFERROR(__xludf.DUMMYFUNCTION("""COMPUTED_VALUE"""),5.0)</f>
        <v>5</v>
      </c>
      <c r="F3279" s="300">
        <v>1.0</v>
      </c>
      <c r="G3279" s="300">
        <v>1.0</v>
      </c>
      <c r="H3279" s="300">
        <v>1.0</v>
      </c>
      <c r="I3279" s="300">
        <v>1.0</v>
      </c>
      <c r="J3279" s="300">
        <v>1.0</v>
      </c>
      <c r="K3279" s="300">
        <v>1.0</v>
      </c>
      <c r="L3279" s="300">
        <v>1.0</v>
      </c>
      <c r="M3279" s="300">
        <v>1.0</v>
      </c>
      <c r="N3279" s="300">
        <v>8.0</v>
      </c>
      <c r="O3279" s="300" t="s">
        <v>965</v>
      </c>
      <c r="P3279" s="300">
        <v>7.0</v>
      </c>
    </row>
    <row r="3280">
      <c r="A3280">
        <f>IFERROR(__xludf.DUMMYFUNCTION("""COMPUTED_VALUE"""),10.0)</f>
        <v>10</v>
      </c>
      <c r="B3280" s="406">
        <f>IFERROR(__xludf.DUMMYFUNCTION("""COMPUTED_VALUE"""),28063.0)</f>
        <v>28063</v>
      </c>
      <c r="C3280" t="str">
        <f>IFERROR(__xludf.DUMMYFUNCTION("""COMPUTED_VALUE"""),"MEJIA GONZALEZ, ISMAEL IGNACIO")</f>
        <v>MEJIA GONZALEZ, ISMAEL IGNACIO</v>
      </c>
      <c r="D3280" t="str">
        <f>IFERROR(__xludf.DUMMYFUNCTION("""COMPUTED_VALUE"""),"Sociales 10")</f>
        <v>Sociales 10</v>
      </c>
      <c r="E3280" s="3">
        <f>IFERROR(__xludf.DUMMYFUNCTION("""COMPUTED_VALUE"""),4.0)</f>
        <v>4</v>
      </c>
      <c r="F3280" s="300">
        <v>1.0</v>
      </c>
      <c r="G3280" s="300">
        <v>1.0</v>
      </c>
      <c r="H3280" s="300">
        <v>1.0</v>
      </c>
      <c r="I3280" s="300">
        <v>1.0</v>
      </c>
      <c r="J3280" s="300">
        <v>1.0</v>
      </c>
      <c r="K3280" s="300">
        <v>1.0</v>
      </c>
      <c r="L3280" s="300">
        <v>1.0</v>
      </c>
      <c r="M3280" s="300">
        <v>1.0</v>
      </c>
      <c r="N3280" s="300">
        <v>8.0</v>
      </c>
      <c r="O3280" s="300" t="s">
        <v>969</v>
      </c>
      <c r="P3280" s="300">
        <v>7.0</v>
      </c>
    </row>
    <row r="3281">
      <c r="A3281">
        <f>IFERROR(__xludf.DUMMYFUNCTION("""COMPUTED_VALUE"""),10.0)</f>
        <v>10</v>
      </c>
      <c r="B3281" s="406">
        <f>IFERROR(__xludf.DUMMYFUNCTION("""COMPUTED_VALUE"""),28155.0)</f>
        <v>28155</v>
      </c>
      <c r="C3281" t="str">
        <f>IFERROR(__xludf.DUMMYFUNCTION("""COMPUTED_VALUE"""),"URIBE CERON, MANUELA")</f>
        <v>URIBE CERON, MANUELA</v>
      </c>
      <c r="D3281" t="str">
        <f>IFERROR(__xludf.DUMMYFUNCTION("""COMPUTED_VALUE"""),"Sociales 10")</f>
        <v>Sociales 10</v>
      </c>
      <c r="E3281" s="3">
        <f>IFERROR(__xludf.DUMMYFUNCTION("""COMPUTED_VALUE"""),5.0)</f>
        <v>5</v>
      </c>
      <c r="F3281" s="300">
        <v>1.0</v>
      </c>
      <c r="G3281" s="300">
        <v>1.0</v>
      </c>
      <c r="H3281" s="300">
        <v>1.0</v>
      </c>
      <c r="I3281" s="300">
        <v>1.0</v>
      </c>
      <c r="J3281" s="300">
        <v>1.0</v>
      </c>
      <c r="K3281" s="300">
        <v>1.0</v>
      </c>
      <c r="L3281" s="300">
        <v>1.0</v>
      </c>
      <c r="M3281" s="300">
        <v>1.0</v>
      </c>
      <c r="N3281" s="300">
        <v>8.0</v>
      </c>
      <c r="O3281" s="300" t="s">
        <v>965</v>
      </c>
      <c r="P3281" s="300">
        <v>7.0</v>
      </c>
    </row>
    <row r="3282">
      <c r="A3282">
        <f>IFERROR(__xludf.DUMMYFUNCTION("""COMPUTED_VALUE"""),10.0)</f>
        <v>10</v>
      </c>
      <c r="B3282" s="406">
        <f>IFERROR(__xludf.DUMMYFUNCTION("""COMPUTED_VALUE"""),28109.0)</f>
        <v>28109</v>
      </c>
      <c r="C3282" t="str">
        <f>IFERROR(__xludf.DUMMYFUNCTION("""COMPUTED_VALUE"""),"TRUJILLO VELEZ, MARIANA")</f>
        <v>TRUJILLO VELEZ, MARIANA</v>
      </c>
      <c r="D3282" t="str">
        <f>IFERROR(__xludf.DUMMYFUNCTION("""COMPUTED_VALUE"""),"Sociales 10")</f>
        <v>Sociales 10</v>
      </c>
      <c r="E3282" s="3">
        <f>IFERROR(__xludf.DUMMYFUNCTION("""COMPUTED_VALUE"""),1.0)</f>
        <v>1</v>
      </c>
      <c r="F3282" s="300">
        <v>1.0</v>
      </c>
      <c r="G3282" s="300">
        <v>1.0</v>
      </c>
      <c r="H3282" s="300">
        <v>1.0</v>
      </c>
      <c r="I3282" s="300">
        <v>1.0</v>
      </c>
      <c r="J3282" s="300">
        <v>1.0</v>
      </c>
      <c r="K3282" s="300">
        <v>1.0</v>
      </c>
      <c r="L3282" s="300">
        <v>1.0</v>
      </c>
      <c r="M3282" s="300">
        <v>1.0</v>
      </c>
      <c r="N3282" s="300">
        <v>8.0</v>
      </c>
      <c r="O3282" s="300" t="s">
        <v>970</v>
      </c>
      <c r="P3282" s="300">
        <v>7.0</v>
      </c>
    </row>
    <row r="3283">
      <c r="A3283">
        <f>IFERROR(__xludf.DUMMYFUNCTION("""COMPUTED_VALUE"""),10.0)</f>
        <v>10</v>
      </c>
      <c r="B3283" s="406">
        <f>IFERROR(__xludf.DUMMYFUNCTION("""COMPUTED_VALUE"""),28108.0)</f>
        <v>28108</v>
      </c>
      <c r="C3283" t="str">
        <f>IFERROR(__xludf.DUMMYFUNCTION("""COMPUTED_VALUE"""),"TRUJILLO SOTO, SUSANA")</f>
        <v>TRUJILLO SOTO, SUSANA</v>
      </c>
      <c r="D3283" t="str">
        <f>IFERROR(__xludf.DUMMYFUNCTION("""COMPUTED_VALUE"""),"Sociales 10")</f>
        <v>Sociales 10</v>
      </c>
      <c r="E3283" s="3">
        <f>IFERROR(__xludf.DUMMYFUNCTION("""COMPUTED_VALUE"""),3.0)</f>
        <v>3</v>
      </c>
      <c r="F3283" s="300">
        <v>1.0</v>
      </c>
      <c r="G3283" s="300">
        <v>1.0</v>
      </c>
      <c r="H3283" s="300">
        <v>1.0</v>
      </c>
      <c r="I3283" s="300">
        <v>1.0</v>
      </c>
      <c r="J3283" s="300">
        <v>1.0</v>
      </c>
      <c r="K3283" s="300">
        <v>1.0</v>
      </c>
      <c r="L3283" s="300">
        <v>1.0</v>
      </c>
      <c r="M3283" s="300">
        <v>1.0</v>
      </c>
      <c r="N3283" s="300">
        <v>8.0</v>
      </c>
      <c r="O3283" s="300" t="s">
        <v>967</v>
      </c>
      <c r="P3283" s="300">
        <v>7.0</v>
      </c>
    </row>
    <row r="3284">
      <c r="A3284">
        <f>IFERROR(__xludf.DUMMYFUNCTION("""COMPUTED_VALUE"""),10.0)</f>
        <v>10</v>
      </c>
      <c r="B3284" s="406">
        <f>IFERROR(__xludf.DUMMYFUNCTION("""COMPUTED_VALUE"""),27094.0)</f>
        <v>27094</v>
      </c>
      <c r="C3284" t="str">
        <f>IFERROR(__xludf.DUMMYFUNCTION("""COMPUTED_VALUE"""),"RAMIREZ CORREA, TOMAS")</f>
        <v>RAMIREZ CORREA, TOMAS</v>
      </c>
      <c r="D3284" t="str">
        <f>IFERROR(__xludf.DUMMYFUNCTION("""COMPUTED_VALUE"""),"Sociales 10")</f>
        <v>Sociales 10</v>
      </c>
      <c r="E3284" s="3">
        <f>IFERROR(__xludf.DUMMYFUNCTION("""COMPUTED_VALUE"""),1.0)</f>
        <v>1</v>
      </c>
      <c r="F3284" s="300">
        <v>1.0</v>
      </c>
      <c r="G3284" s="300">
        <v>1.0</v>
      </c>
      <c r="H3284" s="300">
        <v>1.0</v>
      </c>
      <c r="I3284" s="300">
        <v>1.0</v>
      </c>
      <c r="J3284" s="300">
        <v>1.0</v>
      </c>
      <c r="K3284" s="300">
        <v>1.0</v>
      </c>
      <c r="L3284" s="300">
        <v>1.0</v>
      </c>
      <c r="M3284" s="300">
        <v>1.0</v>
      </c>
      <c r="N3284" s="300">
        <v>8.0</v>
      </c>
      <c r="O3284" s="300" t="s">
        <v>970</v>
      </c>
      <c r="P3284" s="300">
        <v>7.0</v>
      </c>
    </row>
    <row r="3285">
      <c r="A3285">
        <f>IFERROR(__xludf.DUMMYFUNCTION("""COMPUTED_VALUE"""),10.0)</f>
        <v>10</v>
      </c>
      <c r="B3285" s="406">
        <f>IFERROR(__xludf.DUMMYFUNCTION("""COMPUTED_VALUE"""),28171.0)</f>
        <v>28171</v>
      </c>
      <c r="C3285" t="str">
        <f>IFERROR(__xludf.DUMMYFUNCTION("""COMPUTED_VALUE"""),"DE MUNCK MORTIER, JULIE")</f>
        <v>DE MUNCK MORTIER, JULIE</v>
      </c>
      <c r="D3285" t="str">
        <f>IFERROR(__xludf.DUMMYFUNCTION("""COMPUTED_VALUE"""),"Creative Design")</f>
        <v>Creative Design</v>
      </c>
      <c r="E3285" s="3">
        <f>IFERROR(__xludf.DUMMYFUNCTION("""COMPUTED_VALUE"""),4.0)</f>
        <v>4</v>
      </c>
      <c r="F3285" s="300">
        <v>1.0</v>
      </c>
      <c r="G3285" s="300">
        <v>1.0</v>
      </c>
      <c r="H3285" s="300">
        <v>1.0</v>
      </c>
      <c r="I3285" s="300">
        <v>1.0</v>
      </c>
      <c r="J3285" s="300">
        <v>1.0</v>
      </c>
      <c r="K3285" s="300">
        <v>1.0</v>
      </c>
      <c r="L3285" s="300">
        <v>1.0</v>
      </c>
      <c r="M3285" s="300">
        <v>1.0</v>
      </c>
      <c r="N3285" s="300">
        <v>8.0</v>
      </c>
      <c r="O3285" s="300" t="s">
        <v>971</v>
      </c>
      <c r="P3285" s="300">
        <v>1.0</v>
      </c>
    </row>
    <row r="3286">
      <c r="A3286">
        <f>IFERROR(__xludf.DUMMYFUNCTION("""COMPUTED_VALUE"""),10.0)</f>
        <v>10</v>
      </c>
      <c r="B3286" s="406">
        <f>IFERROR(__xludf.DUMMYFUNCTION("""COMPUTED_VALUE"""),28174.0)</f>
        <v>28174</v>
      </c>
      <c r="C3286" t="str">
        <f>IFERROR(__xludf.DUMMYFUNCTION("""COMPUTED_VALUE"""),"SANCHEZ HAVARD, VANESA FAITH")</f>
        <v>SANCHEZ HAVARD, VANESA FAITH</v>
      </c>
      <c r="D3286" t="str">
        <f>IFERROR(__xludf.DUMMYFUNCTION("""COMPUTED_VALUE"""),"Creative Design")</f>
        <v>Creative Design</v>
      </c>
      <c r="E3286" s="3">
        <f>IFERROR(__xludf.DUMMYFUNCTION("""COMPUTED_VALUE"""),4.0)</f>
        <v>4</v>
      </c>
      <c r="F3286" s="300">
        <v>1.0</v>
      </c>
      <c r="G3286" s="300">
        <v>1.0</v>
      </c>
      <c r="H3286" s="300">
        <v>1.0</v>
      </c>
      <c r="I3286" s="300">
        <v>1.0</v>
      </c>
      <c r="J3286" s="300">
        <v>1.0</v>
      </c>
      <c r="K3286" s="300">
        <v>1.0</v>
      </c>
      <c r="L3286" s="300">
        <v>1.0</v>
      </c>
      <c r="M3286" s="300">
        <v>1.0</v>
      </c>
      <c r="N3286" s="300">
        <v>8.0</v>
      </c>
      <c r="O3286" s="300" t="s">
        <v>971</v>
      </c>
      <c r="P3286" s="300">
        <v>1.0</v>
      </c>
    </row>
    <row r="3287">
      <c r="A3287">
        <f>IFERROR(__xludf.DUMMYFUNCTION("""COMPUTED_VALUE"""),10.0)</f>
        <v>10</v>
      </c>
      <c r="B3287" s="406">
        <f>IFERROR(__xludf.DUMMYFUNCTION("""COMPUTED_VALUE"""),28158.0)</f>
        <v>28158</v>
      </c>
      <c r="C3287" t="str">
        <f>IFERROR(__xludf.DUMMYFUNCTION("""COMPUTED_VALUE"""),"ZARRUK BELTRAN, MARTIN")</f>
        <v>ZARRUK BELTRAN, MARTIN</v>
      </c>
      <c r="D3287" t="str">
        <f>IFERROR(__xludf.DUMMYFUNCTION("""COMPUTED_VALUE"""),"Sociales 10")</f>
        <v>Sociales 10</v>
      </c>
      <c r="E3287" s="3">
        <f>IFERROR(__xludf.DUMMYFUNCTION("""COMPUTED_VALUE"""),8.0)</f>
        <v>8</v>
      </c>
      <c r="F3287" s="300">
        <v>1.0</v>
      </c>
      <c r="G3287" s="300">
        <v>1.0</v>
      </c>
      <c r="H3287" s="300">
        <v>1.0</v>
      </c>
      <c r="I3287" s="300">
        <v>1.0</v>
      </c>
      <c r="J3287" s="300">
        <v>1.0</v>
      </c>
      <c r="K3287" s="300">
        <v>1.0</v>
      </c>
      <c r="L3287" s="300">
        <v>1.0</v>
      </c>
      <c r="M3287" s="300">
        <v>1.0</v>
      </c>
      <c r="N3287" s="300">
        <v>8.0</v>
      </c>
      <c r="O3287" s="300" t="s">
        <v>966</v>
      </c>
      <c r="P3287" s="300">
        <v>7.0</v>
      </c>
    </row>
    <row r="3288">
      <c r="A3288">
        <f>IFERROR(__xludf.DUMMYFUNCTION("""COMPUTED_VALUE"""),10.0)</f>
        <v>10</v>
      </c>
      <c r="B3288" s="406">
        <f>IFERROR(__xludf.DUMMYFUNCTION("""COMPUTED_VALUE"""),28140.0)</f>
        <v>28140</v>
      </c>
      <c r="C3288" t="str">
        <f>IFERROR(__xludf.DUMMYFUNCTION("""COMPUTED_VALUE"""),"ARISTIZABAL VILLEGAS, EMILIO")</f>
        <v>ARISTIZABAL VILLEGAS, EMILIO</v>
      </c>
      <c r="D3288" t="str">
        <f>IFERROR(__xludf.DUMMYFUNCTION("""COMPUTED_VALUE"""),"Sociales 10")</f>
        <v>Sociales 10</v>
      </c>
      <c r="E3288" s="3">
        <f>IFERROR(__xludf.DUMMYFUNCTION("""COMPUTED_VALUE"""),3.0)</f>
        <v>3</v>
      </c>
      <c r="F3288" s="300">
        <v>1.0</v>
      </c>
      <c r="G3288" s="300">
        <v>1.0</v>
      </c>
      <c r="H3288" s="300">
        <v>1.0</v>
      </c>
      <c r="I3288" s="300">
        <v>1.0</v>
      </c>
      <c r="J3288" s="300">
        <v>1.0</v>
      </c>
      <c r="K3288" s="300">
        <v>1.0</v>
      </c>
      <c r="L3288" s="300">
        <v>1.0</v>
      </c>
      <c r="M3288" s="300">
        <v>1.0</v>
      </c>
      <c r="N3288" s="300">
        <v>8.0</v>
      </c>
      <c r="O3288" s="300" t="s">
        <v>967</v>
      </c>
      <c r="P3288" s="300">
        <v>7.0</v>
      </c>
    </row>
    <row r="3289">
      <c r="A3289">
        <f>IFERROR(__xludf.DUMMYFUNCTION("""COMPUTED_VALUE"""),10.0)</f>
        <v>10</v>
      </c>
      <c r="B3289" s="406">
        <f>IFERROR(__xludf.DUMMYFUNCTION("""COMPUTED_VALUE"""),28020.0)</f>
        <v>28020</v>
      </c>
      <c r="C3289" t="str">
        <f>IFERROR(__xludf.DUMMYFUNCTION("""COMPUTED_VALUE"""),"CADAVID RESTREPO, ANTONIO")</f>
        <v>CADAVID RESTREPO, ANTONIO</v>
      </c>
      <c r="D3289" t="str">
        <f>IFERROR(__xludf.DUMMYFUNCTION("""COMPUTED_VALUE"""),"Sociales 10")</f>
        <v>Sociales 10</v>
      </c>
      <c r="E3289" s="3">
        <f>IFERROR(__xludf.DUMMYFUNCTION("""COMPUTED_VALUE"""),1.0)</f>
        <v>1</v>
      </c>
      <c r="F3289" s="300">
        <v>1.0</v>
      </c>
      <c r="G3289" s="300">
        <v>1.0</v>
      </c>
      <c r="H3289" s="300">
        <v>1.0</v>
      </c>
      <c r="I3289" s="300">
        <v>1.0</v>
      </c>
      <c r="J3289" s="300">
        <v>1.0</v>
      </c>
      <c r="K3289" s="300">
        <v>1.0</v>
      </c>
      <c r="L3289" s="300">
        <v>1.0</v>
      </c>
      <c r="M3289" s="300">
        <v>1.0</v>
      </c>
      <c r="N3289" s="300">
        <v>8.0</v>
      </c>
      <c r="O3289" s="300" t="s">
        <v>970</v>
      </c>
      <c r="P3289" s="300">
        <v>7.0</v>
      </c>
    </row>
    <row r="3290">
      <c r="A3290">
        <f>IFERROR(__xludf.DUMMYFUNCTION("""COMPUTED_VALUE"""),10.0)</f>
        <v>10</v>
      </c>
      <c r="B3290" s="406">
        <f>IFERROR(__xludf.DUMMYFUNCTION("""COMPUTED_VALUE"""),28095.0)</f>
        <v>28095</v>
      </c>
      <c r="C3290" t="str">
        <f>IFERROR(__xludf.DUMMYFUNCTION("""COMPUTED_VALUE"""),"RESTREPO QUINTERO, ANTONIO")</f>
        <v>RESTREPO QUINTERO, ANTONIO</v>
      </c>
      <c r="D3290" t="str">
        <f>IFERROR(__xludf.DUMMYFUNCTION("""COMPUTED_VALUE"""),"Sociales 10")</f>
        <v>Sociales 10</v>
      </c>
      <c r="E3290" s="3">
        <f>IFERROR(__xludf.DUMMYFUNCTION("""COMPUTED_VALUE"""),8.0)</f>
        <v>8</v>
      </c>
      <c r="F3290" s="300">
        <v>1.0</v>
      </c>
      <c r="G3290" s="300">
        <v>1.0</v>
      </c>
      <c r="H3290" s="300">
        <v>1.0</v>
      </c>
      <c r="I3290" s="300">
        <v>1.0</v>
      </c>
      <c r="J3290" s="300">
        <v>1.0</v>
      </c>
      <c r="K3290" s="300">
        <v>1.0</v>
      </c>
      <c r="L3290" s="300">
        <v>1.0</v>
      </c>
      <c r="M3290" s="300">
        <v>1.0</v>
      </c>
      <c r="N3290" s="300">
        <v>8.0</v>
      </c>
      <c r="O3290" s="300" t="s">
        <v>966</v>
      </c>
      <c r="P3290" s="300">
        <v>7.0</v>
      </c>
    </row>
    <row r="3291">
      <c r="A3291">
        <f>IFERROR(__xludf.DUMMYFUNCTION("""COMPUTED_VALUE"""),10.0)</f>
        <v>10</v>
      </c>
      <c r="B3291" s="406">
        <f>IFERROR(__xludf.DUMMYFUNCTION("""COMPUTED_VALUE"""),28002.0)</f>
        <v>28002</v>
      </c>
      <c r="C3291" t="str">
        <f>IFERROR(__xludf.DUMMYFUNCTION("""COMPUTED_VALUE"""),"ANGEL MESA, PEDRO")</f>
        <v>ANGEL MESA, PEDRO</v>
      </c>
      <c r="D3291" t="str">
        <f>IFERROR(__xludf.DUMMYFUNCTION("""COMPUTED_VALUE"""),"Sociales 10")</f>
        <v>Sociales 10</v>
      </c>
      <c r="E3291" s="3">
        <f>IFERROR(__xludf.DUMMYFUNCTION("""COMPUTED_VALUE"""),4.0)</f>
        <v>4</v>
      </c>
      <c r="F3291" s="300">
        <v>1.0</v>
      </c>
      <c r="G3291" s="300">
        <v>1.0</v>
      </c>
      <c r="H3291" s="300">
        <v>1.0</v>
      </c>
      <c r="I3291" s="300">
        <v>1.0</v>
      </c>
      <c r="J3291" s="300">
        <v>1.0</v>
      </c>
      <c r="K3291" s="300">
        <v>1.0</v>
      </c>
      <c r="L3291" s="300">
        <v>1.0</v>
      </c>
      <c r="M3291" s="300">
        <v>1.0</v>
      </c>
      <c r="N3291" s="300">
        <v>8.0</v>
      </c>
      <c r="O3291" s="300" t="s">
        <v>969</v>
      </c>
      <c r="P3291" s="300">
        <v>7.0</v>
      </c>
    </row>
    <row r="3292">
      <c r="A3292">
        <f>IFERROR(__xludf.DUMMYFUNCTION("""COMPUTED_VALUE"""),10.0)</f>
        <v>10</v>
      </c>
      <c r="B3292" s="406">
        <f>IFERROR(__xludf.DUMMYFUNCTION("""COMPUTED_VALUE"""),28052.0)</f>
        <v>28052</v>
      </c>
      <c r="C3292" t="str">
        <f>IFERROR(__xludf.DUMMYFUNCTION("""COMPUTED_VALUE"""),"LONDOÑO VILLA, PEDRO")</f>
        <v>LONDOÑO VILLA, PEDRO</v>
      </c>
      <c r="D3292" t="str">
        <f>IFERROR(__xludf.DUMMYFUNCTION("""COMPUTED_VALUE"""),"Sociales 10")</f>
        <v>Sociales 10</v>
      </c>
      <c r="E3292" s="3">
        <f>IFERROR(__xludf.DUMMYFUNCTION("""COMPUTED_VALUE"""),7.0)</f>
        <v>7</v>
      </c>
      <c r="F3292" s="300">
        <v>1.0</v>
      </c>
      <c r="G3292" s="300">
        <v>1.0</v>
      </c>
      <c r="H3292" s="300">
        <v>1.0</v>
      </c>
      <c r="I3292" s="300">
        <v>1.0</v>
      </c>
      <c r="J3292" s="300">
        <v>1.0</v>
      </c>
      <c r="K3292" s="300">
        <v>1.0</v>
      </c>
      <c r="L3292" s="300">
        <v>1.0</v>
      </c>
      <c r="M3292" s="300">
        <v>1.0</v>
      </c>
      <c r="N3292" s="300">
        <v>8.0</v>
      </c>
      <c r="O3292" s="300" t="s">
        <v>964</v>
      </c>
      <c r="P3292" s="300">
        <v>7.0</v>
      </c>
    </row>
    <row r="3293">
      <c r="A3293">
        <f>IFERROR(__xludf.DUMMYFUNCTION("""COMPUTED_VALUE"""),10.0)</f>
        <v>10</v>
      </c>
      <c r="B3293" s="406">
        <f>IFERROR(__xludf.DUMMYFUNCTION("""COMPUTED_VALUE"""),28101.0)</f>
        <v>28101</v>
      </c>
      <c r="C3293" t="str">
        <f>IFERROR(__xludf.DUMMYFUNCTION("""COMPUTED_VALUE"""),"ROJAS VELEZ, LUCIANA")</f>
        <v>ROJAS VELEZ, LUCIANA</v>
      </c>
      <c r="D3293" t="str">
        <f>IFERROR(__xludf.DUMMYFUNCTION("""COMPUTED_VALUE"""),"Sociales 10")</f>
        <v>Sociales 10</v>
      </c>
      <c r="E3293" s="3">
        <f>IFERROR(__xludf.DUMMYFUNCTION("""COMPUTED_VALUE"""),2.0)</f>
        <v>2</v>
      </c>
      <c r="F3293" s="300">
        <v>1.0</v>
      </c>
      <c r="G3293" s="300">
        <v>1.0</v>
      </c>
      <c r="H3293" s="300">
        <v>1.0</v>
      </c>
      <c r="I3293" s="300">
        <v>1.0</v>
      </c>
      <c r="J3293" s="300">
        <v>1.0</v>
      </c>
      <c r="K3293" s="300">
        <v>1.0</v>
      </c>
      <c r="L3293" s="300">
        <v>1.0</v>
      </c>
      <c r="M3293" s="300">
        <v>1.0</v>
      </c>
      <c r="N3293" s="300">
        <v>8.0</v>
      </c>
      <c r="O3293" s="300" t="s">
        <v>968</v>
      </c>
      <c r="P3293" s="300">
        <v>7.0</v>
      </c>
    </row>
    <row r="3294">
      <c r="A3294">
        <f>IFERROR(__xludf.DUMMYFUNCTION("""COMPUTED_VALUE"""),10.0)</f>
        <v>10</v>
      </c>
      <c r="B3294" s="406">
        <f>IFERROR(__xludf.DUMMYFUNCTION("""COMPUTED_VALUE"""),28061.0)</f>
        <v>28061</v>
      </c>
      <c r="C3294" t="str">
        <f>IFERROR(__xludf.DUMMYFUNCTION("""COMPUTED_VALUE"""),"MEDINA NOREÑA, MANUELA")</f>
        <v>MEDINA NOREÑA, MANUELA</v>
      </c>
      <c r="D3294" t="str">
        <f>IFERROR(__xludf.DUMMYFUNCTION("""COMPUTED_VALUE"""),"Sociales 10")</f>
        <v>Sociales 10</v>
      </c>
      <c r="E3294" s="3">
        <f>IFERROR(__xludf.DUMMYFUNCTION("""COMPUTED_VALUE"""),1.0)</f>
        <v>1</v>
      </c>
      <c r="F3294" s="300">
        <v>1.0</v>
      </c>
      <c r="G3294" s="300">
        <v>1.0</v>
      </c>
      <c r="H3294" s="300">
        <v>1.0</v>
      </c>
      <c r="I3294" s="300">
        <v>1.0</v>
      </c>
      <c r="J3294" s="300">
        <v>1.0</v>
      </c>
      <c r="K3294" s="300">
        <v>1.0</v>
      </c>
      <c r="L3294" s="300">
        <v>1.0</v>
      </c>
      <c r="M3294" s="300">
        <v>1.0</v>
      </c>
      <c r="N3294" s="300">
        <v>8.0</v>
      </c>
      <c r="O3294" s="300" t="s">
        <v>970</v>
      </c>
      <c r="P3294" s="300">
        <v>7.0</v>
      </c>
    </row>
    <row r="3295">
      <c r="A3295">
        <f>IFERROR(__xludf.DUMMYFUNCTION("""COMPUTED_VALUE"""),10.0)</f>
        <v>10</v>
      </c>
      <c r="B3295" s="406">
        <f>IFERROR(__xludf.DUMMYFUNCTION("""COMPUTED_VALUE"""),28136.0)</f>
        <v>28136</v>
      </c>
      <c r="C3295" t="str">
        <f>IFERROR(__xludf.DUMMYFUNCTION("""COMPUTED_VALUE"""),"SALAZAR ECHEVERRI, ELISA")</f>
        <v>SALAZAR ECHEVERRI, ELISA</v>
      </c>
      <c r="D3295" t="str">
        <f>IFERROR(__xludf.DUMMYFUNCTION("""COMPUTED_VALUE"""),"Sociales 10")</f>
        <v>Sociales 10</v>
      </c>
      <c r="E3295" s="3">
        <f>IFERROR(__xludf.DUMMYFUNCTION("""COMPUTED_VALUE"""),7.0)</f>
        <v>7</v>
      </c>
      <c r="F3295" s="300">
        <v>1.0</v>
      </c>
      <c r="G3295" s="300">
        <v>1.0</v>
      </c>
      <c r="H3295" s="300">
        <v>1.0</v>
      </c>
      <c r="I3295" s="300">
        <v>1.0</v>
      </c>
      <c r="J3295" s="300">
        <v>1.0</v>
      </c>
      <c r="K3295" s="300">
        <v>1.0</v>
      </c>
      <c r="L3295" s="300">
        <v>1.0</v>
      </c>
      <c r="M3295" s="300">
        <v>1.0</v>
      </c>
      <c r="N3295" s="300">
        <v>8.0</v>
      </c>
      <c r="O3295" s="300" t="s">
        <v>964</v>
      </c>
      <c r="P3295" s="300">
        <v>7.0</v>
      </c>
    </row>
    <row r="3296">
      <c r="A3296">
        <f>IFERROR(__xludf.DUMMYFUNCTION("""COMPUTED_VALUE"""),10.0)</f>
        <v>10</v>
      </c>
      <c r="B3296" s="406">
        <f>IFERROR(__xludf.DUMMYFUNCTION("""COMPUTED_VALUE"""),28010.0)</f>
        <v>28010</v>
      </c>
      <c r="C3296" t="str">
        <f>IFERROR(__xludf.DUMMYFUNCTION("""COMPUTED_VALUE"""),"ATEHORTUA MORENO, SOFIA")</f>
        <v>ATEHORTUA MORENO, SOFIA</v>
      </c>
      <c r="D3296" t="str">
        <f>IFERROR(__xludf.DUMMYFUNCTION("""COMPUTED_VALUE"""),"Sociales 10")</f>
        <v>Sociales 10</v>
      </c>
      <c r="E3296" s="3">
        <f>IFERROR(__xludf.DUMMYFUNCTION("""COMPUTED_VALUE"""),3.0)</f>
        <v>3</v>
      </c>
      <c r="F3296" s="300">
        <v>1.0</v>
      </c>
      <c r="G3296" s="300">
        <v>1.0</v>
      </c>
      <c r="H3296" s="300">
        <v>1.0</v>
      </c>
      <c r="I3296" s="300">
        <v>1.0</v>
      </c>
      <c r="J3296" s="300">
        <v>1.0</v>
      </c>
      <c r="K3296" s="300">
        <v>1.0</v>
      </c>
      <c r="L3296" s="300">
        <v>1.0</v>
      </c>
      <c r="M3296" s="300">
        <v>1.0</v>
      </c>
      <c r="N3296" s="300">
        <v>8.0</v>
      </c>
      <c r="O3296" s="300" t="s">
        <v>967</v>
      </c>
      <c r="P3296" s="300">
        <v>7.0</v>
      </c>
    </row>
    <row r="3297">
      <c r="A3297">
        <f>IFERROR(__xludf.DUMMYFUNCTION("""COMPUTED_VALUE"""),10.0)</f>
        <v>10</v>
      </c>
      <c r="B3297" s="406">
        <f>IFERROR(__xludf.DUMMYFUNCTION("""COMPUTED_VALUE"""),28035.0)</f>
        <v>28035</v>
      </c>
      <c r="C3297" t="str">
        <f>IFERROR(__xludf.DUMMYFUNCTION("""COMPUTED_VALUE"""),"GAVIRIA GONZALEZ, MARIA JOSE")</f>
        <v>GAVIRIA GONZALEZ, MARIA JOSE</v>
      </c>
      <c r="D3297" t="str">
        <f>IFERROR(__xludf.DUMMYFUNCTION("""COMPUTED_VALUE"""),"Sociales 10")</f>
        <v>Sociales 10</v>
      </c>
      <c r="E3297" s="3">
        <f>IFERROR(__xludf.DUMMYFUNCTION("""COMPUTED_VALUE"""),1.0)</f>
        <v>1</v>
      </c>
      <c r="F3297" s="300">
        <v>1.0</v>
      </c>
      <c r="G3297" s="300">
        <v>1.0</v>
      </c>
      <c r="H3297" s="300">
        <v>1.0</v>
      </c>
      <c r="I3297" s="300">
        <v>1.0</v>
      </c>
      <c r="J3297" s="300">
        <v>1.0</v>
      </c>
      <c r="K3297" s="300">
        <v>1.0</v>
      </c>
      <c r="L3297" s="300">
        <v>1.0</v>
      </c>
      <c r="M3297" s="300">
        <v>1.0</v>
      </c>
      <c r="N3297" s="300">
        <v>8.0</v>
      </c>
      <c r="O3297" s="300" t="s">
        <v>970</v>
      </c>
      <c r="P3297" s="300">
        <v>7.0</v>
      </c>
    </row>
    <row r="3298">
      <c r="A3298">
        <f>IFERROR(__xludf.DUMMYFUNCTION("""COMPUTED_VALUE"""),10.0)</f>
        <v>10</v>
      </c>
      <c r="B3298" s="406">
        <f>IFERROR(__xludf.DUMMYFUNCTION("""COMPUTED_VALUE"""),28027.0)</f>
        <v>28027</v>
      </c>
      <c r="C3298" t="str">
        <f>IFERROR(__xludf.DUMMYFUNCTION("""COMPUTED_VALUE"""),"ESTRADA JIMENEZ, MARIA")</f>
        <v>ESTRADA JIMENEZ, MARIA</v>
      </c>
      <c r="D3298" t="str">
        <f>IFERROR(__xludf.DUMMYFUNCTION("""COMPUTED_VALUE"""),"Sociales 10")</f>
        <v>Sociales 10</v>
      </c>
      <c r="E3298" s="3">
        <f>IFERROR(__xludf.DUMMYFUNCTION("""COMPUTED_VALUE"""),3.0)</f>
        <v>3</v>
      </c>
      <c r="F3298" s="300">
        <v>1.0</v>
      </c>
      <c r="G3298" s="300">
        <v>1.0</v>
      </c>
      <c r="H3298" s="300">
        <v>1.0</v>
      </c>
      <c r="I3298" s="300">
        <v>1.0</v>
      </c>
      <c r="J3298" s="300">
        <v>1.0</v>
      </c>
      <c r="K3298" s="300">
        <v>1.0</v>
      </c>
      <c r="L3298" s="300">
        <v>1.0</v>
      </c>
      <c r="M3298" s="300">
        <v>1.0</v>
      </c>
      <c r="N3298" s="300">
        <v>8.0</v>
      </c>
      <c r="O3298" s="300" t="s">
        <v>967</v>
      </c>
      <c r="P3298" s="300">
        <v>7.0</v>
      </c>
    </row>
    <row r="3299">
      <c r="A3299">
        <f>IFERROR(__xludf.DUMMYFUNCTION("""COMPUTED_VALUE"""),10.0)</f>
        <v>10</v>
      </c>
      <c r="B3299" s="406">
        <f>IFERROR(__xludf.DUMMYFUNCTION("""COMPUTED_VALUE"""),27152.0)</f>
        <v>27152</v>
      </c>
      <c r="C3299" t="str">
        <f>IFERROR(__xludf.DUMMYFUNCTION("""COMPUTED_VALUE"""),"GARCIA GONZALEZ, MARIA ANTONIA")</f>
        <v>GARCIA GONZALEZ, MARIA ANTONIA</v>
      </c>
      <c r="D3299" t="str">
        <f>IFERROR(__xludf.DUMMYFUNCTION("""COMPUTED_VALUE"""),"Sociales 10")</f>
        <v>Sociales 10</v>
      </c>
      <c r="E3299" s="3">
        <f>IFERROR(__xludf.DUMMYFUNCTION("""COMPUTED_VALUE"""),8.0)</f>
        <v>8</v>
      </c>
      <c r="F3299" s="300">
        <v>1.0</v>
      </c>
      <c r="G3299" s="300">
        <v>1.0</v>
      </c>
      <c r="H3299" s="300">
        <v>1.0</v>
      </c>
      <c r="I3299" s="300">
        <v>1.0</v>
      </c>
      <c r="J3299" s="300">
        <v>1.0</v>
      </c>
      <c r="K3299" s="300">
        <v>1.0</v>
      </c>
      <c r="L3299" s="300">
        <v>1.0</v>
      </c>
      <c r="M3299" s="300">
        <v>1.0</v>
      </c>
      <c r="N3299" s="300">
        <v>8.0</v>
      </c>
      <c r="O3299" s="300" t="s">
        <v>966</v>
      </c>
      <c r="P3299" s="300">
        <v>7.0</v>
      </c>
    </row>
    <row r="3300">
      <c r="A3300">
        <f>IFERROR(__xludf.DUMMYFUNCTION("""COMPUTED_VALUE"""),10.0)</f>
        <v>10</v>
      </c>
      <c r="B3300" s="406">
        <f>IFERROR(__xludf.DUMMYFUNCTION("""COMPUTED_VALUE"""),28026.0)</f>
        <v>28026</v>
      </c>
      <c r="C3300" t="str">
        <f>IFERROR(__xludf.DUMMYFUNCTION("""COMPUTED_VALUE"""),"ESPINAL MONTOYA, JULIETA")</f>
        <v>ESPINAL MONTOYA, JULIETA</v>
      </c>
      <c r="D3300" t="str">
        <f>IFERROR(__xludf.DUMMYFUNCTION("""COMPUTED_VALUE"""),"Sociales 10")</f>
        <v>Sociales 10</v>
      </c>
      <c r="E3300" s="3">
        <f>IFERROR(__xludf.DUMMYFUNCTION("""COMPUTED_VALUE"""),8.0)</f>
        <v>8</v>
      </c>
      <c r="F3300" s="300">
        <v>1.0</v>
      </c>
      <c r="G3300" s="300">
        <v>1.0</v>
      </c>
      <c r="H3300" s="300">
        <v>1.0</v>
      </c>
      <c r="I3300" s="300">
        <v>1.0</v>
      </c>
      <c r="J3300" s="300">
        <v>1.0</v>
      </c>
      <c r="K3300" s="300">
        <v>1.0</v>
      </c>
      <c r="L3300" s="300">
        <v>1.0</v>
      </c>
      <c r="M3300" s="300">
        <v>1.0</v>
      </c>
      <c r="N3300" s="300">
        <v>8.0</v>
      </c>
      <c r="O3300" s="300" t="s">
        <v>966</v>
      </c>
      <c r="P3300" s="300">
        <v>7.0</v>
      </c>
    </row>
    <row r="3301">
      <c r="A3301">
        <f>IFERROR(__xludf.DUMMYFUNCTION("""COMPUTED_VALUE"""),10.0)</f>
        <v>10</v>
      </c>
      <c r="B3301" s="406">
        <f>IFERROR(__xludf.DUMMYFUNCTION("""COMPUTED_VALUE"""),28025.0)</f>
        <v>28025</v>
      </c>
      <c r="C3301" t="str">
        <f>IFERROR(__xludf.DUMMYFUNCTION("""COMPUTED_VALUE"""),"ESCOBAR INFANTINO, SAMUEL")</f>
        <v>ESCOBAR INFANTINO, SAMUEL</v>
      </c>
      <c r="D3301" t="str">
        <f>IFERROR(__xludf.DUMMYFUNCTION("""COMPUTED_VALUE"""),"Sociales 10")</f>
        <v>Sociales 10</v>
      </c>
      <c r="E3301" s="3">
        <f>IFERROR(__xludf.DUMMYFUNCTION("""COMPUTED_VALUE"""),4.0)</f>
        <v>4</v>
      </c>
      <c r="F3301" s="300">
        <v>1.0</v>
      </c>
      <c r="G3301" s="300">
        <v>1.0</v>
      </c>
      <c r="H3301" s="300">
        <v>1.0</v>
      </c>
      <c r="I3301" s="300">
        <v>1.0</v>
      </c>
      <c r="J3301" s="300">
        <v>1.0</v>
      </c>
      <c r="K3301" s="300">
        <v>1.0</v>
      </c>
      <c r="L3301" s="300">
        <v>1.0</v>
      </c>
      <c r="M3301" s="300">
        <v>1.0</v>
      </c>
      <c r="N3301" s="300">
        <v>8.0</v>
      </c>
      <c r="O3301" s="300" t="s">
        <v>969</v>
      </c>
      <c r="P3301" s="300">
        <v>7.0</v>
      </c>
    </row>
    <row r="3302">
      <c r="A3302">
        <f>IFERROR(__xludf.DUMMYFUNCTION("""COMPUTED_VALUE"""),10.0)</f>
        <v>10</v>
      </c>
      <c r="B3302" s="406">
        <f>IFERROR(__xludf.DUMMYFUNCTION("""COMPUTED_VALUE"""),27100.0)</f>
        <v>27100</v>
      </c>
      <c r="C3302" t="str">
        <f>IFERROR(__xludf.DUMMYFUNCTION("""COMPUTED_VALUE"""),"ROJAS SANCHEZ, SUSANA")</f>
        <v>ROJAS SANCHEZ, SUSANA</v>
      </c>
      <c r="D3302" t="str">
        <f>IFERROR(__xludf.DUMMYFUNCTION("""COMPUTED_VALUE"""),"Sociales 10")</f>
        <v>Sociales 10</v>
      </c>
      <c r="E3302" s="3">
        <f>IFERROR(__xludf.DUMMYFUNCTION("""COMPUTED_VALUE"""),2.0)</f>
        <v>2</v>
      </c>
      <c r="F3302" s="300">
        <v>1.0</v>
      </c>
      <c r="G3302" s="300">
        <v>1.0</v>
      </c>
      <c r="H3302" s="300">
        <v>1.0</v>
      </c>
      <c r="I3302" s="300">
        <v>1.0</v>
      </c>
      <c r="J3302" s="300">
        <v>1.0</v>
      </c>
      <c r="K3302" s="300">
        <v>1.0</v>
      </c>
      <c r="L3302" s="300">
        <v>1.0</v>
      </c>
      <c r="M3302" s="300">
        <v>1.0</v>
      </c>
      <c r="N3302" s="300">
        <v>8.0</v>
      </c>
      <c r="O3302" s="300" t="s">
        <v>968</v>
      </c>
      <c r="P3302" s="300">
        <v>7.0</v>
      </c>
    </row>
    <row r="3303">
      <c r="A3303">
        <f>IFERROR(__xludf.DUMMYFUNCTION("""COMPUTED_VALUE"""),10.0)</f>
        <v>10</v>
      </c>
      <c r="B3303" s="406">
        <f>IFERROR(__xludf.DUMMYFUNCTION("""COMPUTED_VALUE"""),28139.0)</f>
        <v>28139</v>
      </c>
      <c r="C3303" t="str">
        <f>IFERROR(__xludf.DUMMYFUNCTION("""COMPUTED_VALUE"""),"BERNAL ESTRADA, MATIAS")</f>
        <v>BERNAL ESTRADA, MATIAS</v>
      </c>
      <c r="D3303" t="str">
        <f>IFERROR(__xludf.DUMMYFUNCTION("""COMPUTED_VALUE"""),"Sociales 10")</f>
        <v>Sociales 10</v>
      </c>
      <c r="E3303" s="3">
        <f>IFERROR(__xludf.DUMMYFUNCTION("""COMPUTED_VALUE"""),5.0)</f>
        <v>5</v>
      </c>
      <c r="F3303" s="300">
        <v>1.0</v>
      </c>
      <c r="G3303" s="300">
        <v>1.0</v>
      </c>
      <c r="H3303" s="300">
        <v>1.0</v>
      </c>
      <c r="I3303" s="300">
        <v>1.0</v>
      </c>
      <c r="J3303" s="300">
        <v>1.0</v>
      </c>
      <c r="K3303" s="300">
        <v>1.0</v>
      </c>
      <c r="L3303" s="300">
        <v>1.0</v>
      </c>
      <c r="M3303" s="300">
        <v>1.0</v>
      </c>
      <c r="N3303" s="300">
        <v>8.0</v>
      </c>
      <c r="O3303" s="300" t="s">
        <v>965</v>
      </c>
      <c r="P3303" s="300">
        <v>7.0</v>
      </c>
    </row>
    <row r="3304">
      <c r="A3304">
        <f>IFERROR(__xludf.DUMMYFUNCTION("""COMPUTED_VALUE"""),10.0)</f>
        <v>10</v>
      </c>
      <c r="B3304" s="406">
        <f>IFERROR(__xludf.DUMMYFUNCTION("""COMPUTED_VALUE"""),28048.0)</f>
        <v>28048</v>
      </c>
      <c r="C3304" t="str">
        <f>IFERROR(__xludf.DUMMYFUNCTION("""COMPUTED_VALUE"""),"ISAZA VELASQUEZ, EMILIANA")</f>
        <v>ISAZA VELASQUEZ, EMILIANA</v>
      </c>
      <c r="D3304" t="str">
        <f>IFERROR(__xludf.DUMMYFUNCTION("""COMPUTED_VALUE"""),"Sociales 10")</f>
        <v>Sociales 10</v>
      </c>
      <c r="E3304" s="3">
        <f>IFERROR(__xludf.DUMMYFUNCTION("""COMPUTED_VALUE"""),7.0)</f>
        <v>7</v>
      </c>
      <c r="F3304" s="300">
        <v>1.0</v>
      </c>
      <c r="G3304" s="300">
        <v>1.0</v>
      </c>
      <c r="H3304" s="300">
        <v>1.0</v>
      </c>
      <c r="I3304" s="300">
        <v>1.0</v>
      </c>
      <c r="J3304" s="300">
        <v>1.0</v>
      </c>
      <c r="K3304" s="300">
        <v>1.0</v>
      </c>
      <c r="L3304" s="300">
        <v>1.0</v>
      </c>
      <c r="M3304" s="300">
        <v>1.0</v>
      </c>
      <c r="N3304" s="300">
        <v>8.0</v>
      </c>
      <c r="O3304" s="300" t="s">
        <v>964</v>
      </c>
      <c r="P3304" s="300">
        <v>7.0</v>
      </c>
    </row>
    <row r="3305">
      <c r="A3305">
        <f>IFERROR(__xludf.DUMMYFUNCTION("""COMPUTED_VALUE"""),10.0)</f>
        <v>10</v>
      </c>
      <c r="B3305" s="406">
        <f>IFERROR(__xludf.DUMMYFUNCTION("""COMPUTED_VALUE"""),27024.0)</f>
        <v>27024</v>
      </c>
      <c r="C3305" t="str">
        <f>IFERROR(__xludf.DUMMYFUNCTION("""COMPUTED_VALUE"""),"CASTRO CASTAÑEDA, CYAN")</f>
        <v>CASTRO CASTAÑEDA, CYAN</v>
      </c>
      <c r="D3305" t="str">
        <f>IFERROR(__xludf.DUMMYFUNCTION("""COMPUTED_VALUE"""),"Sociales 10")</f>
        <v>Sociales 10</v>
      </c>
      <c r="E3305" s="3">
        <f>IFERROR(__xludf.DUMMYFUNCTION("""COMPUTED_VALUE"""),1.0)</f>
        <v>1</v>
      </c>
      <c r="F3305" s="300">
        <v>1.0</v>
      </c>
      <c r="G3305" s="300">
        <v>1.0</v>
      </c>
      <c r="H3305" s="300">
        <v>1.0</v>
      </c>
      <c r="I3305" s="300">
        <v>1.0</v>
      </c>
      <c r="J3305" s="300">
        <v>1.0</v>
      </c>
      <c r="K3305" s="300">
        <v>1.0</v>
      </c>
      <c r="L3305" s="300">
        <v>1.0</v>
      </c>
      <c r="M3305" s="300">
        <v>1.0</v>
      </c>
      <c r="N3305" s="300">
        <v>8.0</v>
      </c>
      <c r="O3305" s="300" t="s">
        <v>970</v>
      </c>
      <c r="P3305" s="300">
        <v>7.0</v>
      </c>
    </row>
    <row r="3306">
      <c r="A3306">
        <f>IFERROR(__xludf.DUMMYFUNCTION("""COMPUTED_VALUE"""),10.0)</f>
        <v>10</v>
      </c>
      <c r="B3306" s="406">
        <f>IFERROR(__xludf.DUMMYFUNCTION("""COMPUTED_VALUE"""),28044.0)</f>
        <v>28044</v>
      </c>
      <c r="C3306" t="str">
        <f>IFERROR(__xludf.DUMMYFUNCTION("""COMPUTED_VALUE"""),"GUTIERREZ OCAMPO, VALENTINA")</f>
        <v>GUTIERREZ OCAMPO, VALENTINA</v>
      </c>
      <c r="D3306" t="str">
        <f>IFERROR(__xludf.DUMMYFUNCTION("""COMPUTED_VALUE"""),"Sociales 10")</f>
        <v>Sociales 10</v>
      </c>
      <c r="E3306" s="3">
        <f>IFERROR(__xludf.DUMMYFUNCTION("""COMPUTED_VALUE"""),5.0)</f>
        <v>5</v>
      </c>
      <c r="F3306" s="300">
        <v>1.0</v>
      </c>
      <c r="G3306" s="300">
        <v>1.0</v>
      </c>
      <c r="H3306" s="300">
        <v>1.0</v>
      </c>
      <c r="I3306" s="300">
        <v>1.0</v>
      </c>
      <c r="J3306" s="300">
        <v>1.0</v>
      </c>
      <c r="K3306" s="300">
        <v>1.0</v>
      </c>
      <c r="L3306" s="300">
        <v>1.0</v>
      </c>
      <c r="M3306" s="300">
        <v>1.0</v>
      </c>
      <c r="N3306" s="300">
        <v>8.0</v>
      </c>
      <c r="O3306" s="300" t="s">
        <v>965</v>
      </c>
      <c r="P3306" s="300">
        <v>7.0</v>
      </c>
    </row>
    <row r="3307">
      <c r="A3307">
        <f>IFERROR(__xludf.DUMMYFUNCTION("""COMPUTED_VALUE"""),10.0)</f>
        <v>10</v>
      </c>
      <c r="B3307" s="406">
        <f>IFERROR(__xludf.DUMMYFUNCTION("""COMPUTED_VALUE"""),27058.0)</f>
        <v>27058</v>
      </c>
      <c r="C3307" t="str">
        <f>IFERROR(__xludf.DUMMYFUNCTION("""COMPUTED_VALUE"""),"LOPEZ MEJIA, MIGUEL")</f>
        <v>LOPEZ MEJIA, MIGUEL</v>
      </c>
      <c r="D3307" t="str">
        <f>IFERROR(__xludf.DUMMYFUNCTION("""COMPUTED_VALUE"""),"Sociales 10")</f>
        <v>Sociales 10</v>
      </c>
      <c r="E3307" s="3">
        <f>IFERROR(__xludf.DUMMYFUNCTION("""COMPUTED_VALUE"""),1.0)</f>
        <v>1</v>
      </c>
      <c r="F3307" s="300">
        <v>1.0</v>
      </c>
      <c r="G3307" s="300">
        <v>1.0</v>
      </c>
      <c r="H3307" s="300">
        <v>1.0</v>
      </c>
      <c r="I3307" s="300">
        <v>1.0</v>
      </c>
      <c r="J3307" s="300">
        <v>1.0</v>
      </c>
      <c r="K3307" s="300">
        <v>1.0</v>
      </c>
      <c r="L3307" s="300">
        <v>1.0</v>
      </c>
      <c r="M3307" s="300">
        <v>1.0</v>
      </c>
      <c r="N3307" s="300">
        <v>8.0</v>
      </c>
      <c r="O3307" s="300" t="s">
        <v>970</v>
      </c>
      <c r="P3307" s="300">
        <v>7.0</v>
      </c>
    </row>
    <row r="3308">
      <c r="A3308">
        <f>IFERROR(__xludf.DUMMYFUNCTION("""COMPUTED_VALUE"""),10.0)</f>
        <v>10</v>
      </c>
      <c r="B3308" s="406">
        <f>IFERROR(__xludf.DUMMYFUNCTION("""COMPUTED_VALUE"""),28038.0)</f>
        <v>28038</v>
      </c>
      <c r="C3308" t="str">
        <f>IFERROR(__xludf.DUMMYFUNCTION("""COMPUTED_VALUE"""),"GOMEZ TORRES, MARIA")</f>
        <v>GOMEZ TORRES, MARIA</v>
      </c>
      <c r="D3308" t="str">
        <f>IFERROR(__xludf.DUMMYFUNCTION("""COMPUTED_VALUE"""),"Sociales 10")</f>
        <v>Sociales 10</v>
      </c>
      <c r="E3308" s="3">
        <f>IFERROR(__xludf.DUMMYFUNCTION("""COMPUTED_VALUE"""),7.0)</f>
        <v>7</v>
      </c>
      <c r="F3308" s="300">
        <v>1.0</v>
      </c>
      <c r="G3308" s="300">
        <v>1.0</v>
      </c>
      <c r="H3308" s="300">
        <v>1.0</v>
      </c>
      <c r="I3308" s="300">
        <v>1.0</v>
      </c>
      <c r="J3308" s="300">
        <v>1.0</v>
      </c>
      <c r="K3308" s="300">
        <v>1.0</v>
      </c>
      <c r="L3308" s="300">
        <v>1.0</v>
      </c>
      <c r="M3308" s="300">
        <v>1.0</v>
      </c>
      <c r="N3308" s="300">
        <v>8.0</v>
      </c>
      <c r="O3308" s="300" t="s">
        <v>964</v>
      </c>
      <c r="P3308" s="300">
        <v>7.0</v>
      </c>
    </row>
    <row r="3309">
      <c r="A3309">
        <f>IFERROR(__xludf.DUMMYFUNCTION("""COMPUTED_VALUE"""),10.0)</f>
        <v>10</v>
      </c>
      <c r="B3309" s="406">
        <f>IFERROR(__xludf.DUMMYFUNCTION("""COMPUTED_VALUE"""),28094.0)</f>
        <v>28094</v>
      </c>
      <c r="C3309" t="str">
        <f>IFERROR(__xludf.DUMMYFUNCTION("""COMPUTED_VALUE"""),"RESTREPO OCHOA, PASCUAL")</f>
        <v>RESTREPO OCHOA, PASCUAL</v>
      </c>
      <c r="D3309" t="str">
        <f>IFERROR(__xludf.DUMMYFUNCTION("""COMPUTED_VALUE"""),"Sociales 10")</f>
        <v>Sociales 10</v>
      </c>
      <c r="E3309" s="3">
        <f>IFERROR(__xludf.DUMMYFUNCTION("""COMPUTED_VALUE"""),8.0)</f>
        <v>8</v>
      </c>
      <c r="F3309" s="300">
        <v>1.0</v>
      </c>
      <c r="G3309" s="300">
        <v>1.0</v>
      </c>
      <c r="H3309" s="300">
        <v>1.0</v>
      </c>
      <c r="I3309" s="300">
        <v>1.0</v>
      </c>
      <c r="J3309" s="300">
        <v>1.0</v>
      </c>
      <c r="K3309" s="300">
        <v>1.0</v>
      </c>
      <c r="L3309" s="300">
        <v>1.0</v>
      </c>
      <c r="M3309" s="300">
        <v>1.0</v>
      </c>
      <c r="N3309" s="300">
        <v>8.0</v>
      </c>
      <c r="O3309" s="300" t="s">
        <v>966</v>
      </c>
      <c r="P3309" s="300">
        <v>7.0</v>
      </c>
    </row>
    <row r="3310">
      <c r="A3310">
        <f>IFERROR(__xludf.DUMMYFUNCTION("""COMPUTED_VALUE"""),10.0)</f>
        <v>10</v>
      </c>
      <c r="B3310" s="406">
        <f>IFERROR(__xludf.DUMMYFUNCTION("""COMPUTED_VALUE"""),28041.0)</f>
        <v>28041</v>
      </c>
      <c r="C3310" t="str">
        <f>IFERROR(__xludf.DUMMYFUNCTION("""COMPUTED_VALUE"""),"GONZALEZ MIRA, MATIAS")</f>
        <v>GONZALEZ MIRA, MATIAS</v>
      </c>
      <c r="D3310" t="str">
        <f>IFERROR(__xludf.DUMMYFUNCTION("""COMPUTED_VALUE"""),"Sociales 10")</f>
        <v>Sociales 10</v>
      </c>
      <c r="E3310" s="3">
        <f>IFERROR(__xludf.DUMMYFUNCTION("""COMPUTED_VALUE"""),3.0)</f>
        <v>3</v>
      </c>
      <c r="F3310" s="300">
        <v>1.0</v>
      </c>
      <c r="G3310" s="300">
        <v>1.0</v>
      </c>
      <c r="H3310" s="300">
        <v>1.0</v>
      </c>
      <c r="I3310" s="300">
        <v>1.0</v>
      </c>
      <c r="J3310" s="300">
        <v>1.0</v>
      </c>
      <c r="K3310" s="300">
        <v>1.0</v>
      </c>
      <c r="L3310" s="300">
        <v>1.0</v>
      </c>
      <c r="M3310" s="300">
        <v>1.0</v>
      </c>
      <c r="N3310" s="300">
        <v>8.0</v>
      </c>
      <c r="O3310" s="300" t="s">
        <v>967</v>
      </c>
      <c r="P3310" s="300">
        <v>7.0</v>
      </c>
    </row>
    <row r="3311">
      <c r="A3311">
        <f>IFERROR(__xludf.DUMMYFUNCTION("""COMPUTED_VALUE"""),10.0)</f>
        <v>10</v>
      </c>
      <c r="B3311" s="406">
        <f>IFERROR(__xludf.DUMMYFUNCTION("""COMPUTED_VALUE"""),28112.0)</f>
        <v>28112</v>
      </c>
      <c r="C3311" t="str">
        <f>IFERROR(__xludf.DUMMYFUNCTION("""COMPUTED_VALUE"""),"VELASQUEZ OCHOA, MIGUEL")</f>
        <v>VELASQUEZ OCHOA, MIGUEL</v>
      </c>
      <c r="D3311" t="str">
        <f>IFERROR(__xludf.DUMMYFUNCTION("""COMPUTED_VALUE"""),"Sociales 10")</f>
        <v>Sociales 10</v>
      </c>
      <c r="E3311" s="3">
        <f>IFERROR(__xludf.DUMMYFUNCTION("""COMPUTED_VALUE"""),5.0)</f>
        <v>5</v>
      </c>
      <c r="F3311" s="300">
        <v>1.0</v>
      </c>
      <c r="G3311" s="300">
        <v>1.0</v>
      </c>
      <c r="H3311" s="300">
        <v>1.0</v>
      </c>
      <c r="I3311" s="300">
        <v>1.0</v>
      </c>
      <c r="J3311" s="300">
        <v>1.0</v>
      </c>
      <c r="K3311" s="300">
        <v>1.0</v>
      </c>
      <c r="L3311" s="300">
        <v>1.0</v>
      </c>
      <c r="M3311" s="300">
        <v>1.0</v>
      </c>
      <c r="N3311" s="300">
        <v>8.0</v>
      </c>
      <c r="O3311" s="300" t="s">
        <v>965</v>
      </c>
      <c r="P3311" s="300">
        <v>7.0</v>
      </c>
    </row>
    <row r="3312">
      <c r="A3312">
        <f>IFERROR(__xludf.DUMMYFUNCTION("""COMPUTED_VALUE"""),10.0)</f>
        <v>10</v>
      </c>
      <c r="B3312" s="406">
        <f>IFERROR(__xludf.DUMMYFUNCTION("""COMPUTED_VALUE"""),28156.0)</f>
        <v>28156</v>
      </c>
      <c r="C3312" t="str">
        <f>IFERROR(__xludf.DUMMYFUNCTION("""COMPUTED_VALUE"""),"URIBE CERON, SIMON")</f>
        <v>URIBE CERON, SIMON</v>
      </c>
      <c r="D3312" t="str">
        <f>IFERROR(__xludf.DUMMYFUNCTION("""COMPUTED_VALUE"""),"Sociales 10")</f>
        <v>Sociales 10</v>
      </c>
      <c r="E3312" s="3">
        <f>IFERROR(__xludf.DUMMYFUNCTION("""COMPUTED_VALUE"""),2.0)</f>
        <v>2</v>
      </c>
      <c r="F3312" s="300">
        <v>1.0</v>
      </c>
      <c r="G3312" s="300">
        <v>1.0</v>
      </c>
      <c r="H3312" s="300">
        <v>1.0</v>
      </c>
      <c r="I3312" s="300">
        <v>1.0</v>
      </c>
      <c r="J3312" s="300">
        <v>1.0</v>
      </c>
      <c r="K3312" s="300">
        <v>1.0</v>
      </c>
      <c r="L3312" s="300">
        <v>1.0</v>
      </c>
      <c r="M3312" s="300">
        <v>1.0</v>
      </c>
      <c r="N3312" s="300">
        <v>8.0</v>
      </c>
      <c r="O3312" s="300" t="s">
        <v>968</v>
      </c>
      <c r="P3312" s="300">
        <v>7.0</v>
      </c>
    </row>
    <row r="3313">
      <c r="A3313">
        <f>IFERROR(__xludf.DUMMYFUNCTION("""COMPUTED_VALUE"""),10.0)</f>
        <v>10</v>
      </c>
      <c r="B3313" s="406">
        <f>IFERROR(__xludf.DUMMYFUNCTION("""COMPUTED_VALUE"""),27009.0)</f>
        <v>27009</v>
      </c>
      <c r="C3313" t="str">
        <f>IFERROR(__xludf.DUMMYFUNCTION("""COMPUTED_VALUE"""),"ARBELAEZ VELASQUEZ, ANTONIO")</f>
        <v>ARBELAEZ VELASQUEZ, ANTONIO</v>
      </c>
      <c r="D3313" t="str">
        <f>IFERROR(__xludf.DUMMYFUNCTION("""COMPUTED_VALUE"""),"Sociales 10")</f>
        <v>Sociales 10</v>
      </c>
      <c r="E3313" s="3">
        <f>IFERROR(__xludf.DUMMYFUNCTION("""COMPUTED_VALUE"""),2.0)</f>
        <v>2</v>
      </c>
      <c r="F3313" s="300">
        <v>1.0</v>
      </c>
      <c r="G3313" s="300">
        <v>1.0</v>
      </c>
      <c r="H3313" s="300">
        <v>1.0</v>
      </c>
      <c r="I3313" s="300">
        <v>1.0</v>
      </c>
      <c r="J3313" s="300">
        <v>1.0</v>
      </c>
      <c r="K3313" s="300">
        <v>1.0</v>
      </c>
      <c r="L3313" s="300">
        <v>1.0</v>
      </c>
      <c r="M3313" s="300">
        <v>1.0</v>
      </c>
      <c r="N3313" s="300">
        <v>8.0</v>
      </c>
      <c r="O3313" s="300" t="s">
        <v>968</v>
      </c>
      <c r="P3313" s="300">
        <v>7.0</v>
      </c>
    </row>
    <row r="3314">
      <c r="A3314">
        <f>IFERROR(__xludf.DUMMYFUNCTION("""COMPUTED_VALUE"""),10.0)</f>
        <v>10</v>
      </c>
      <c r="B3314" s="406">
        <f>IFERROR(__xludf.DUMMYFUNCTION("""COMPUTED_VALUE"""),28079.0)</f>
        <v>28079</v>
      </c>
      <c r="C3314" t="str">
        <f>IFERROR(__xludf.DUMMYFUNCTION("""COMPUTED_VALUE"""),"OSPINA RESTREPO, INES")</f>
        <v>OSPINA RESTREPO, INES</v>
      </c>
      <c r="D3314" t="str">
        <f>IFERROR(__xludf.DUMMYFUNCTION("""COMPUTED_VALUE"""),"Sociales 10")</f>
        <v>Sociales 10</v>
      </c>
      <c r="E3314" s="3">
        <f>IFERROR(__xludf.DUMMYFUNCTION("""COMPUTED_VALUE"""),4.0)</f>
        <v>4</v>
      </c>
      <c r="F3314" s="300">
        <v>1.0</v>
      </c>
      <c r="G3314" s="300">
        <v>1.0</v>
      </c>
      <c r="H3314" s="300">
        <v>1.0</v>
      </c>
      <c r="I3314" s="300">
        <v>1.0</v>
      </c>
      <c r="J3314" s="300">
        <v>1.0</v>
      </c>
      <c r="K3314" s="300">
        <v>1.0</v>
      </c>
      <c r="L3314" s="300">
        <v>1.0</v>
      </c>
      <c r="M3314" s="300">
        <v>1.0</v>
      </c>
      <c r="N3314" s="300">
        <v>8.0</v>
      </c>
      <c r="O3314" s="300" t="s">
        <v>969</v>
      </c>
      <c r="P3314" s="300">
        <v>7.0</v>
      </c>
    </row>
    <row r="3315">
      <c r="A3315">
        <f>IFERROR(__xludf.DUMMYFUNCTION("""COMPUTED_VALUE"""),10.0)</f>
        <v>10</v>
      </c>
      <c r="B3315" s="406">
        <f>IFERROR(__xludf.DUMMYFUNCTION("""COMPUTED_VALUE"""),28062.0)</f>
        <v>28062</v>
      </c>
      <c r="C3315" t="str">
        <f>IFERROR(__xludf.DUMMYFUNCTION("""COMPUTED_VALUE"""),"MEJIA DUQUE, JERONIMO")</f>
        <v>MEJIA DUQUE, JERONIMO</v>
      </c>
      <c r="D3315" t="str">
        <f>IFERROR(__xludf.DUMMYFUNCTION("""COMPUTED_VALUE"""),"Sociales 10")</f>
        <v>Sociales 10</v>
      </c>
      <c r="E3315" s="3">
        <f>IFERROR(__xludf.DUMMYFUNCTION("""COMPUTED_VALUE"""),5.0)</f>
        <v>5</v>
      </c>
      <c r="F3315" s="300">
        <v>1.0</v>
      </c>
      <c r="G3315" s="300">
        <v>1.0</v>
      </c>
      <c r="H3315" s="300">
        <v>1.0</v>
      </c>
      <c r="I3315" s="300">
        <v>1.0</v>
      </c>
      <c r="J3315" s="300">
        <v>1.0</v>
      </c>
      <c r="K3315" s="300">
        <v>1.0</v>
      </c>
      <c r="L3315" s="300">
        <v>1.0</v>
      </c>
      <c r="M3315" s="300">
        <v>1.0</v>
      </c>
      <c r="N3315" s="300">
        <v>8.0</v>
      </c>
      <c r="O3315" s="300" t="s">
        <v>965</v>
      </c>
      <c r="P3315" s="300">
        <v>7.0</v>
      </c>
    </row>
    <row r="3316">
      <c r="A3316">
        <f>IFERROR(__xludf.DUMMYFUNCTION("""COMPUTED_VALUE"""),10.0)</f>
        <v>10</v>
      </c>
      <c r="B3316" s="406">
        <f>IFERROR(__xludf.DUMMYFUNCTION("""COMPUTED_VALUE"""),28118.0)</f>
        <v>28118</v>
      </c>
      <c r="C3316" t="str">
        <f>IFERROR(__xludf.DUMMYFUNCTION("""COMPUTED_VALUE"""),"VILLEGAS LONDOÑO, VIOLETA")</f>
        <v>VILLEGAS LONDOÑO, VIOLETA</v>
      </c>
      <c r="D3316" t="str">
        <f>IFERROR(__xludf.DUMMYFUNCTION("""COMPUTED_VALUE"""),"Sociales 10")</f>
        <v>Sociales 10</v>
      </c>
      <c r="E3316" s="3">
        <f>IFERROR(__xludf.DUMMYFUNCTION("""COMPUTED_VALUE"""),2.0)</f>
        <v>2</v>
      </c>
      <c r="F3316" s="300">
        <v>1.0</v>
      </c>
      <c r="G3316" s="300">
        <v>1.0</v>
      </c>
      <c r="H3316" s="300">
        <v>1.0</v>
      </c>
      <c r="I3316" s="300">
        <v>1.0</v>
      </c>
      <c r="J3316" s="300">
        <v>1.0</v>
      </c>
      <c r="K3316" s="300">
        <v>1.0</v>
      </c>
      <c r="L3316" s="300">
        <v>1.0</v>
      </c>
      <c r="M3316" s="300">
        <v>1.0</v>
      </c>
      <c r="N3316" s="300">
        <v>8.0</v>
      </c>
      <c r="O3316" s="300" t="s">
        <v>968</v>
      </c>
      <c r="P3316" s="300">
        <v>7.0</v>
      </c>
    </row>
    <row r="3317">
      <c r="A3317">
        <f>IFERROR(__xludf.DUMMYFUNCTION("""COMPUTED_VALUE"""),10.0)</f>
        <v>10</v>
      </c>
      <c r="B3317" s="406">
        <f>IFERROR(__xludf.DUMMYFUNCTION("""COMPUTED_VALUE"""),28030.0)</f>
        <v>28030</v>
      </c>
      <c r="C3317" t="str">
        <f>IFERROR(__xludf.DUMMYFUNCTION("""COMPUTED_VALUE"""),"FRANCO USUGA, MARIA JOSE")</f>
        <v>FRANCO USUGA, MARIA JOSE</v>
      </c>
      <c r="D3317" t="str">
        <f>IFERROR(__xludf.DUMMYFUNCTION("""COMPUTED_VALUE"""),"Sociales 10")</f>
        <v>Sociales 10</v>
      </c>
      <c r="E3317" s="3">
        <f>IFERROR(__xludf.DUMMYFUNCTION("""COMPUTED_VALUE"""),2.0)</f>
        <v>2</v>
      </c>
      <c r="F3317" s="300">
        <v>1.0</v>
      </c>
      <c r="G3317" s="300">
        <v>1.0</v>
      </c>
      <c r="H3317" s="300">
        <v>1.0</v>
      </c>
      <c r="I3317" s="300">
        <v>1.0</v>
      </c>
      <c r="J3317" s="300">
        <v>1.0</v>
      </c>
      <c r="K3317" s="300">
        <v>1.0</v>
      </c>
      <c r="L3317" s="300">
        <v>1.0</v>
      </c>
      <c r="M3317" s="300">
        <v>1.0</v>
      </c>
      <c r="N3317" s="300">
        <v>8.0</v>
      </c>
      <c r="O3317" s="300" t="s">
        <v>968</v>
      </c>
      <c r="P3317" s="300">
        <v>7.0</v>
      </c>
    </row>
    <row r="3318">
      <c r="A3318">
        <f>IFERROR(__xludf.DUMMYFUNCTION("""COMPUTED_VALUE"""),10.0)</f>
        <v>10</v>
      </c>
      <c r="B3318" s="406">
        <f>IFERROR(__xludf.DUMMYFUNCTION("""COMPUTED_VALUE"""),28107.0)</f>
        <v>28107</v>
      </c>
      <c r="C3318" t="str">
        <f>IFERROR(__xludf.DUMMYFUNCTION("""COMPUTED_VALUE"""),"TORO PEREZ, AMALIA")</f>
        <v>TORO PEREZ, AMALIA</v>
      </c>
      <c r="D3318" t="str">
        <f>IFERROR(__xludf.DUMMYFUNCTION("""COMPUTED_VALUE"""),"Sociales 10")</f>
        <v>Sociales 10</v>
      </c>
      <c r="E3318" s="3">
        <f>IFERROR(__xludf.DUMMYFUNCTION("""COMPUTED_VALUE"""),2.0)</f>
        <v>2</v>
      </c>
      <c r="F3318" s="300">
        <v>1.0</v>
      </c>
      <c r="G3318" s="300">
        <v>1.0</v>
      </c>
      <c r="H3318" s="300">
        <v>1.0</v>
      </c>
      <c r="I3318" s="300">
        <v>1.0</v>
      </c>
      <c r="J3318" s="300">
        <v>1.0</v>
      </c>
      <c r="K3318" s="300">
        <v>1.0</v>
      </c>
      <c r="L3318" s="300">
        <v>1.0</v>
      </c>
      <c r="M3318" s="300">
        <v>1.0</v>
      </c>
      <c r="N3318" s="300">
        <v>8.0</v>
      </c>
      <c r="O3318" s="300" t="s">
        <v>968</v>
      </c>
      <c r="P3318" s="300">
        <v>7.0</v>
      </c>
    </row>
    <row r="3319">
      <c r="A3319">
        <f>IFERROR(__xludf.DUMMYFUNCTION("""COMPUTED_VALUE"""),10.0)</f>
        <v>10</v>
      </c>
      <c r="B3319" s="406">
        <f>IFERROR(__xludf.DUMMYFUNCTION("""COMPUTED_VALUE"""),27057.0)</f>
        <v>27057</v>
      </c>
      <c r="C3319" t="str">
        <f>IFERROR(__xludf.DUMMYFUNCTION("""COMPUTED_VALUE"""),"LAVERDE GIRALDO, MAXIMILIANO")</f>
        <v>LAVERDE GIRALDO, MAXIMILIANO</v>
      </c>
      <c r="D3319" t="str">
        <f>IFERROR(__xludf.DUMMYFUNCTION("""COMPUTED_VALUE"""),"Sociales 10")</f>
        <v>Sociales 10</v>
      </c>
      <c r="E3319" s="3">
        <f>IFERROR(__xludf.DUMMYFUNCTION("""COMPUTED_VALUE"""),1.0)</f>
        <v>1</v>
      </c>
      <c r="F3319" s="300">
        <v>1.0</v>
      </c>
      <c r="G3319" s="300">
        <v>1.0</v>
      </c>
      <c r="H3319" s="300">
        <v>1.0</v>
      </c>
      <c r="I3319" s="300">
        <v>1.0</v>
      </c>
      <c r="J3319" s="300">
        <v>1.0</v>
      </c>
      <c r="K3319" s="300">
        <v>1.0</v>
      </c>
      <c r="L3319" s="300">
        <v>1.0</v>
      </c>
      <c r="M3319" s="300">
        <v>1.0</v>
      </c>
      <c r="N3319" s="300">
        <v>8.0</v>
      </c>
      <c r="O3319" s="300" t="s">
        <v>970</v>
      </c>
      <c r="P3319" s="300">
        <v>7.0</v>
      </c>
    </row>
    <row r="3320">
      <c r="A3320">
        <f>IFERROR(__xludf.DUMMYFUNCTION("""COMPUTED_VALUE"""),10.0)</f>
        <v>10</v>
      </c>
      <c r="B3320" s="406">
        <f>IFERROR(__xludf.DUMMYFUNCTION("""COMPUTED_VALUE"""),28169.0)</f>
        <v>28169</v>
      </c>
      <c r="C3320" t="str">
        <f>IFERROR(__xludf.DUMMYFUNCTION("""COMPUTED_VALUE"""),"BOTERO SPERA, ROSA")</f>
        <v>BOTERO SPERA, ROSA</v>
      </c>
      <c r="D3320" t="str">
        <f>IFERROR(__xludf.DUMMYFUNCTION("""COMPUTED_VALUE"""),"Sociales 10")</f>
        <v>Sociales 10</v>
      </c>
      <c r="E3320" s="3">
        <f>IFERROR(__xludf.DUMMYFUNCTION("""COMPUTED_VALUE"""),1.0)</f>
        <v>1</v>
      </c>
      <c r="F3320" s="300">
        <v>1.0</v>
      </c>
      <c r="G3320" s="300">
        <v>1.0</v>
      </c>
      <c r="H3320" s="300">
        <v>1.0</v>
      </c>
      <c r="I3320" s="300">
        <v>1.0</v>
      </c>
      <c r="J3320" s="300">
        <v>1.0</v>
      </c>
      <c r="K3320" s="300">
        <v>1.0</v>
      </c>
      <c r="L3320" s="300">
        <v>1.0</v>
      </c>
      <c r="M3320" s="300">
        <v>1.0</v>
      </c>
      <c r="N3320" s="300">
        <v>8.0</v>
      </c>
      <c r="O3320" s="300" t="s">
        <v>970</v>
      </c>
      <c r="P3320" s="300">
        <v>7.0</v>
      </c>
    </row>
    <row r="3321">
      <c r="A3321">
        <f>IFERROR(__xludf.DUMMYFUNCTION("""COMPUTED_VALUE"""),10.0)</f>
        <v>10</v>
      </c>
      <c r="B3321" s="406">
        <f>IFERROR(__xludf.DUMMYFUNCTION("""COMPUTED_VALUE"""),28015.0)</f>
        <v>28015</v>
      </c>
      <c r="C3321" t="str">
        <f>IFERROR(__xludf.DUMMYFUNCTION("""COMPUTED_VALUE"""),"BOTERO BOTERO, EULALIA")</f>
        <v>BOTERO BOTERO, EULALIA</v>
      </c>
      <c r="D3321" t="str">
        <f>IFERROR(__xludf.DUMMYFUNCTION("""COMPUTED_VALUE"""),"Sociales 10")</f>
        <v>Sociales 10</v>
      </c>
      <c r="E3321" s="3">
        <f>IFERROR(__xludf.DUMMYFUNCTION("""COMPUTED_VALUE"""),4.0)</f>
        <v>4</v>
      </c>
      <c r="F3321" s="300">
        <v>1.0</v>
      </c>
      <c r="G3321" s="300">
        <v>1.0</v>
      </c>
      <c r="H3321" s="300">
        <v>1.0</v>
      </c>
      <c r="I3321" s="300">
        <v>1.0</v>
      </c>
      <c r="J3321" s="300">
        <v>1.0</v>
      </c>
      <c r="K3321" s="300">
        <v>1.0</v>
      </c>
      <c r="L3321" s="300">
        <v>1.0</v>
      </c>
      <c r="M3321" s="300">
        <v>1.0</v>
      </c>
      <c r="N3321" s="300">
        <v>8.0</v>
      </c>
      <c r="O3321" s="300" t="s">
        <v>969</v>
      </c>
      <c r="P3321" s="300">
        <v>7.0</v>
      </c>
    </row>
    <row r="3322">
      <c r="A3322">
        <f>IFERROR(__xludf.DUMMYFUNCTION("""COMPUTED_VALUE"""),10.0)</f>
        <v>10</v>
      </c>
      <c r="B3322" s="406">
        <f>IFERROR(__xludf.DUMMYFUNCTION("""COMPUTED_VALUE"""),28057.0)</f>
        <v>28057</v>
      </c>
      <c r="C3322" t="str">
        <f>IFERROR(__xludf.DUMMYFUNCTION("""COMPUTED_VALUE"""),"MARTINEZ AGUILAR, AMELIA")</f>
        <v>MARTINEZ AGUILAR, AMELIA</v>
      </c>
      <c r="D3322" t="str">
        <f>IFERROR(__xludf.DUMMYFUNCTION("""COMPUTED_VALUE"""),"Sociales 10")</f>
        <v>Sociales 10</v>
      </c>
      <c r="E3322" s="3">
        <f>IFERROR(__xludf.DUMMYFUNCTION("""COMPUTED_VALUE"""),4.0)</f>
        <v>4</v>
      </c>
      <c r="F3322" s="300">
        <v>1.0</v>
      </c>
      <c r="G3322" s="300">
        <v>1.0</v>
      </c>
      <c r="H3322" s="300">
        <v>1.0</v>
      </c>
      <c r="I3322" s="300">
        <v>1.0</v>
      </c>
      <c r="J3322" s="300">
        <v>1.0</v>
      </c>
      <c r="K3322" s="300">
        <v>1.0</v>
      </c>
      <c r="L3322" s="300">
        <v>1.0</v>
      </c>
      <c r="M3322" s="300">
        <v>1.0</v>
      </c>
      <c r="N3322" s="300">
        <v>8.0</v>
      </c>
      <c r="O3322" s="300" t="s">
        <v>969</v>
      </c>
      <c r="P3322" s="300">
        <v>7.0</v>
      </c>
    </row>
    <row r="3323">
      <c r="A3323">
        <f>IFERROR(__xludf.DUMMYFUNCTION("""COMPUTED_VALUE"""),10.0)</f>
        <v>10</v>
      </c>
      <c r="B3323" s="406">
        <f>IFERROR(__xludf.DUMMYFUNCTION("""COMPUTED_VALUE"""),28135.0)</f>
        <v>28135</v>
      </c>
      <c r="C3323" t="str">
        <f>IFERROR(__xludf.DUMMYFUNCTION("""COMPUTED_VALUE"""),"VELEZ RESTREPO, EMILIA")</f>
        <v>VELEZ RESTREPO, EMILIA</v>
      </c>
      <c r="D3323" t="str">
        <f>IFERROR(__xludf.DUMMYFUNCTION("""COMPUTED_VALUE"""),"Sociales 10")</f>
        <v>Sociales 10</v>
      </c>
      <c r="E3323" s="3">
        <f>IFERROR(__xludf.DUMMYFUNCTION("""COMPUTED_VALUE"""),4.0)</f>
        <v>4</v>
      </c>
      <c r="F3323" s="300">
        <v>1.0</v>
      </c>
      <c r="G3323" s="300">
        <v>1.0</v>
      </c>
      <c r="H3323" s="300">
        <v>1.0</v>
      </c>
      <c r="I3323" s="300">
        <v>1.0</v>
      </c>
      <c r="J3323" s="300">
        <v>1.0</v>
      </c>
      <c r="K3323" s="300">
        <v>1.0</v>
      </c>
      <c r="L3323" s="300">
        <v>1.0</v>
      </c>
      <c r="M3323" s="300">
        <v>1.0</v>
      </c>
      <c r="N3323" s="300">
        <v>8.0</v>
      </c>
      <c r="O3323" s="300" t="s">
        <v>969</v>
      </c>
      <c r="P3323" s="300">
        <v>7.0</v>
      </c>
    </row>
    <row r="3324">
      <c r="A3324">
        <f>IFERROR(__xludf.DUMMYFUNCTION("""COMPUTED_VALUE"""),10.0)</f>
        <v>10</v>
      </c>
      <c r="B3324" s="406">
        <f>IFERROR(__xludf.DUMMYFUNCTION("""COMPUTED_VALUE"""),28137.0)</f>
        <v>28137</v>
      </c>
      <c r="C3324" t="str">
        <f>IFERROR(__xludf.DUMMYFUNCTION("""COMPUTED_VALUE"""),"JARAMILLO PEÑA, PAULA ANDREA")</f>
        <v>JARAMILLO PEÑA, PAULA ANDREA</v>
      </c>
      <c r="D3324" t="str">
        <f>IFERROR(__xludf.DUMMYFUNCTION("""COMPUTED_VALUE"""),"Sociales 10")</f>
        <v>Sociales 10</v>
      </c>
      <c r="E3324" s="3">
        <f>IFERROR(__xludf.DUMMYFUNCTION("""COMPUTED_VALUE"""),8.0)</f>
        <v>8</v>
      </c>
      <c r="F3324" s="300">
        <v>1.0</v>
      </c>
      <c r="G3324" s="300">
        <v>1.0</v>
      </c>
      <c r="H3324" s="300">
        <v>1.0</v>
      </c>
      <c r="I3324" s="300">
        <v>1.0</v>
      </c>
      <c r="J3324" s="300">
        <v>1.0</v>
      </c>
      <c r="K3324" s="300">
        <v>1.0</v>
      </c>
      <c r="L3324" s="300">
        <v>1.0</v>
      </c>
      <c r="M3324" s="300">
        <v>1.0</v>
      </c>
      <c r="N3324" s="300">
        <v>8.0</v>
      </c>
      <c r="O3324" s="300" t="s">
        <v>966</v>
      </c>
      <c r="P3324" s="300">
        <v>7.0</v>
      </c>
    </row>
    <row r="3325">
      <c r="A3325">
        <f>IFERROR(__xludf.DUMMYFUNCTION("""COMPUTED_VALUE"""),10.0)</f>
        <v>10</v>
      </c>
      <c r="B3325" s="406">
        <f>IFERROR(__xludf.DUMMYFUNCTION("""COMPUTED_VALUE"""),28028.0)</f>
        <v>28028</v>
      </c>
      <c r="C3325" t="str">
        <f>IFERROR(__xludf.DUMMYFUNCTION("""COMPUTED_VALUE"""),"FERRER ESCOBAR, JUAN MARTIN")</f>
        <v>FERRER ESCOBAR, JUAN MARTIN</v>
      </c>
      <c r="D3325" t="str">
        <f>IFERROR(__xludf.DUMMYFUNCTION("""COMPUTED_VALUE"""),"Sociales 10")</f>
        <v>Sociales 10</v>
      </c>
      <c r="E3325" s="3">
        <f>IFERROR(__xludf.DUMMYFUNCTION("""COMPUTED_VALUE"""),7.0)</f>
        <v>7</v>
      </c>
      <c r="F3325" s="300">
        <v>1.0</v>
      </c>
      <c r="G3325" s="300">
        <v>1.0</v>
      </c>
      <c r="H3325" s="300">
        <v>1.0</v>
      </c>
      <c r="I3325" s="300">
        <v>1.0</v>
      </c>
      <c r="J3325" s="300">
        <v>1.0</v>
      </c>
      <c r="K3325" s="300">
        <v>1.0</v>
      </c>
      <c r="L3325" s="300">
        <v>1.0</v>
      </c>
      <c r="M3325" s="300">
        <v>1.0</v>
      </c>
      <c r="N3325" s="300">
        <v>8.0</v>
      </c>
      <c r="O3325" s="300" t="s">
        <v>964</v>
      </c>
      <c r="P3325" s="300">
        <v>7.0</v>
      </c>
    </row>
    <row r="3326">
      <c r="A3326">
        <f>IFERROR(__xludf.DUMMYFUNCTION("""COMPUTED_VALUE"""),10.0)</f>
        <v>10</v>
      </c>
      <c r="B3326" s="406">
        <f>IFERROR(__xludf.DUMMYFUNCTION("""COMPUTED_VALUE"""),28014.0)</f>
        <v>28014</v>
      </c>
      <c r="C3326" t="str">
        <f>IFERROR(__xludf.DUMMYFUNCTION("""COMPUTED_VALUE"""),"BETANCUR VILLEGAS, MIGUEL")</f>
        <v>BETANCUR VILLEGAS, MIGUEL</v>
      </c>
      <c r="D3326" t="str">
        <f>IFERROR(__xludf.DUMMYFUNCTION("""COMPUTED_VALUE"""),"Sociales 10")</f>
        <v>Sociales 10</v>
      </c>
      <c r="E3326" s="3">
        <f>IFERROR(__xludf.DUMMYFUNCTION("""COMPUTED_VALUE"""),1.0)</f>
        <v>1</v>
      </c>
      <c r="F3326" s="300">
        <v>1.0</v>
      </c>
      <c r="G3326" s="300">
        <v>1.0</v>
      </c>
      <c r="H3326" s="300">
        <v>1.0</v>
      </c>
      <c r="I3326" s="300">
        <v>1.0</v>
      </c>
      <c r="J3326" s="300">
        <v>1.0</v>
      </c>
      <c r="K3326" s="300">
        <v>1.0</v>
      </c>
      <c r="L3326" s="300">
        <v>1.0</v>
      </c>
      <c r="M3326" s="300">
        <v>1.0</v>
      </c>
      <c r="N3326" s="300">
        <v>8.0</v>
      </c>
      <c r="O3326" s="300" t="s">
        <v>970</v>
      </c>
      <c r="P3326" s="300">
        <v>7.0</v>
      </c>
    </row>
    <row r="3327">
      <c r="A3327">
        <f>IFERROR(__xludf.DUMMYFUNCTION("""COMPUTED_VALUE"""),10.0)</f>
        <v>10</v>
      </c>
      <c r="B3327" s="406">
        <f>IFERROR(__xludf.DUMMYFUNCTION("""COMPUTED_VALUE"""),28075.0)</f>
        <v>28075</v>
      </c>
      <c r="C3327" t="str">
        <f>IFERROR(__xludf.DUMMYFUNCTION("""COMPUTED_VALUE"""),"OCHOA HURTADO, ELENA")</f>
        <v>OCHOA HURTADO, ELENA</v>
      </c>
      <c r="D3327" t="str">
        <f>IFERROR(__xludf.DUMMYFUNCTION("""COMPUTED_VALUE"""),"Sociales 10")</f>
        <v>Sociales 10</v>
      </c>
      <c r="E3327" s="3">
        <f>IFERROR(__xludf.DUMMYFUNCTION("""COMPUTED_VALUE"""),2.0)</f>
        <v>2</v>
      </c>
      <c r="F3327" s="300">
        <v>1.0</v>
      </c>
      <c r="G3327" s="300">
        <v>1.0</v>
      </c>
      <c r="H3327" s="300">
        <v>1.0</v>
      </c>
      <c r="I3327" s="300">
        <v>1.0</v>
      </c>
      <c r="J3327" s="300">
        <v>1.0</v>
      </c>
      <c r="K3327" s="300">
        <v>1.0</v>
      </c>
      <c r="L3327" s="300">
        <v>1.0</v>
      </c>
      <c r="M3327" s="300">
        <v>1.0</v>
      </c>
      <c r="N3327" s="300">
        <v>8.0</v>
      </c>
      <c r="O3327" s="300" t="s">
        <v>968</v>
      </c>
      <c r="P3327" s="300">
        <v>7.0</v>
      </c>
    </row>
    <row r="3328">
      <c r="A3328">
        <f>IFERROR(__xludf.DUMMYFUNCTION("""COMPUTED_VALUE"""),10.0)</f>
        <v>10</v>
      </c>
      <c r="B3328" s="406">
        <f>IFERROR(__xludf.DUMMYFUNCTION("""COMPUTED_VALUE"""),28165.0)</f>
        <v>28165</v>
      </c>
      <c r="C3328" t="str">
        <f>IFERROR(__xludf.DUMMYFUNCTION("""COMPUTED_VALUE"""),"ARANA CARREÑO, MARIA ANTONIA")</f>
        <v>ARANA CARREÑO, MARIA ANTONIA</v>
      </c>
      <c r="D3328" t="str">
        <f>IFERROR(__xludf.DUMMYFUNCTION("""COMPUTED_VALUE"""),"Sociales 10")</f>
        <v>Sociales 10</v>
      </c>
      <c r="E3328" s="3">
        <f>IFERROR(__xludf.DUMMYFUNCTION("""COMPUTED_VALUE"""),7.0)</f>
        <v>7</v>
      </c>
      <c r="F3328" s="300">
        <v>1.0</v>
      </c>
      <c r="G3328" s="300">
        <v>1.0</v>
      </c>
      <c r="H3328" s="300">
        <v>1.0</v>
      </c>
      <c r="I3328" s="300">
        <v>1.0</v>
      </c>
      <c r="J3328" s="300">
        <v>1.0</v>
      </c>
      <c r="K3328" s="300">
        <v>1.0</v>
      </c>
      <c r="L3328" s="300">
        <v>1.0</v>
      </c>
      <c r="M3328" s="300">
        <v>1.0</v>
      </c>
      <c r="N3328" s="300">
        <v>8.0</v>
      </c>
      <c r="O3328" s="300" t="s">
        <v>964</v>
      </c>
      <c r="P3328" s="300">
        <v>7.0</v>
      </c>
    </row>
    <row r="3329">
      <c r="A3329">
        <f>IFERROR(__xludf.DUMMYFUNCTION("""COMPUTED_VALUE"""),10.0)</f>
        <v>10</v>
      </c>
      <c r="B3329" s="406">
        <f>IFERROR(__xludf.DUMMYFUNCTION("""COMPUTED_VALUE"""),28142.0)</f>
        <v>28142</v>
      </c>
      <c r="C3329" t="str">
        <f>IFERROR(__xludf.DUMMYFUNCTION("""COMPUTED_VALUE"""),"BOTERO BETANCOURT, NICOLAS")</f>
        <v>BOTERO BETANCOURT, NICOLAS</v>
      </c>
      <c r="D3329" t="str">
        <f>IFERROR(__xludf.DUMMYFUNCTION("""COMPUTED_VALUE"""),"Sociales 10")</f>
        <v>Sociales 10</v>
      </c>
      <c r="E3329" s="3">
        <f>IFERROR(__xludf.DUMMYFUNCTION("""COMPUTED_VALUE"""),8.0)</f>
        <v>8</v>
      </c>
      <c r="F3329" s="300">
        <v>1.0</v>
      </c>
      <c r="G3329" s="300">
        <v>1.0</v>
      </c>
      <c r="H3329" s="300">
        <v>1.0</v>
      </c>
      <c r="I3329" s="300">
        <v>1.0</v>
      </c>
      <c r="J3329" s="300">
        <v>1.0</v>
      </c>
      <c r="K3329" s="300">
        <v>1.0</v>
      </c>
      <c r="L3329" s="300">
        <v>1.0</v>
      </c>
      <c r="M3329" s="300">
        <v>1.0</v>
      </c>
      <c r="N3329" s="300">
        <v>8.0</v>
      </c>
      <c r="O3329" s="300" t="s">
        <v>966</v>
      </c>
      <c r="P3329" s="300">
        <v>7.0</v>
      </c>
    </row>
    <row r="3330">
      <c r="A3330">
        <f>IFERROR(__xludf.DUMMYFUNCTION("""COMPUTED_VALUE"""),10.0)</f>
        <v>10</v>
      </c>
      <c r="B3330" s="406">
        <f>IFERROR(__xludf.DUMMYFUNCTION("""COMPUTED_VALUE"""),27008.0)</f>
        <v>27008</v>
      </c>
      <c r="C3330" t="str">
        <f>IFERROR(__xludf.DUMMYFUNCTION("""COMPUTED_VALUE"""),"ARBELAEZ VELASQUEZ, AGUSTIN")</f>
        <v>ARBELAEZ VELASQUEZ, AGUSTIN</v>
      </c>
      <c r="D3330" t="str">
        <f>IFERROR(__xludf.DUMMYFUNCTION("""COMPUTED_VALUE"""),"Sociales 10")</f>
        <v>Sociales 10</v>
      </c>
      <c r="E3330" s="3">
        <f>IFERROR(__xludf.DUMMYFUNCTION("""COMPUTED_VALUE"""),2.0)</f>
        <v>2</v>
      </c>
      <c r="F3330" s="300">
        <v>1.0</v>
      </c>
      <c r="G3330" s="300">
        <v>1.0</v>
      </c>
      <c r="H3330" s="300">
        <v>1.0</v>
      </c>
      <c r="I3330" s="300">
        <v>1.0</v>
      </c>
      <c r="J3330" s="300">
        <v>1.0</v>
      </c>
      <c r="K3330" s="300">
        <v>1.0</v>
      </c>
      <c r="L3330" s="300">
        <v>1.0</v>
      </c>
      <c r="M3330" s="300">
        <v>1.0</v>
      </c>
      <c r="N3330" s="300">
        <v>8.0</v>
      </c>
      <c r="O3330" s="300" t="s">
        <v>968</v>
      </c>
      <c r="P3330" s="300">
        <v>7.0</v>
      </c>
    </row>
    <row r="3331">
      <c r="A3331">
        <f>IFERROR(__xludf.DUMMYFUNCTION("""COMPUTED_VALUE"""),10.0)</f>
        <v>10</v>
      </c>
      <c r="B3331" s="406">
        <f>IFERROR(__xludf.DUMMYFUNCTION("""COMPUTED_VALUE"""),28161.0)</f>
        <v>28161</v>
      </c>
      <c r="C3331" t="str">
        <f>IFERROR(__xludf.DUMMYFUNCTION("""COMPUTED_VALUE"""),"GAVIRIA GOMEZ, JUAN ANDRES")</f>
        <v>GAVIRIA GOMEZ, JUAN ANDRES</v>
      </c>
      <c r="D3331" t="str">
        <f>IFERROR(__xludf.DUMMYFUNCTION("""COMPUTED_VALUE"""),"Sociales 10")</f>
        <v>Sociales 10</v>
      </c>
      <c r="E3331" s="3">
        <f>IFERROR(__xludf.DUMMYFUNCTION("""COMPUTED_VALUE"""),2.0)</f>
        <v>2</v>
      </c>
      <c r="F3331" s="300">
        <v>1.0</v>
      </c>
      <c r="G3331" s="300">
        <v>1.0</v>
      </c>
      <c r="H3331" s="300">
        <v>1.0</v>
      </c>
      <c r="I3331" s="300">
        <v>1.0</v>
      </c>
      <c r="J3331" s="300">
        <v>1.0</v>
      </c>
      <c r="K3331" s="300">
        <v>1.0</v>
      </c>
      <c r="L3331" s="300">
        <v>1.0</v>
      </c>
      <c r="M3331" s="300">
        <v>1.0</v>
      </c>
      <c r="N3331" s="300">
        <v>8.0</v>
      </c>
      <c r="O3331" s="300" t="s">
        <v>968</v>
      </c>
      <c r="P3331" s="300">
        <v>7.0</v>
      </c>
    </row>
    <row r="3332">
      <c r="A3332">
        <f>IFERROR(__xludf.DUMMYFUNCTION("""COMPUTED_VALUE"""),10.0)</f>
        <v>10</v>
      </c>
      <c r="B3332" s="406">
        <f>IFERROR(__xludf.DUMMYFUNCTION("""COMPUTED_VALUE"""),28040.0)</f>
        <v>28040</v>
      </c>
      <c r="C3332" t="str">
        <f>IFERROR(__xludf.DUMMYFUNCTION("""COMPUTED_VALUE"""),"GONZALEZ MARIN, MANUELA")</f>
        <v>GONZALEZ MARIN, MANUELA</v>
      </c>
      <c r="D3332" t="str">
        <f>IFERROR(__xludf.DUMMYFUNCTION("""COMPUTED_VALUE"""),"Sociales 10")</f>
        <v>Sociales 10</v>
      </c>
      <c r="E3332" s="3">
        <f>IFERROR(__xludf.DUMMYFUNCTION("""COMPUTED_VALUE"""),5.0)</f>
        <v>5</v>
      </c>
      <c r="F3332" s="300">
        <v>1.0</v>
      </c>
      <c r="G3332" s="300">
        <v>1.0</v>
      </c>
      <c r="H3332" s="300">
        <v>1.0</v>
      </c>
      <c r="I3332" s="300">
        <v>1.0</v>
      </c>
      <c r="J3332" s="300">
        <v>1.0</v>
      </c>
      <c r="K3332" s="300">
        <v>1.0</v>
      </c>
      <c r="L3332" s="300">
        <v>1.0</v>
      </c>
      <c r="M3332" s="300">
        <v>1.0</v>
      </c>
      <c r="N3332" s="300">
        <v>8.0</v>
      </c>
      <c r="O3332" s="300" t="s">
        <v>965</v>
      </c>
      <c r="P3332" s="300">
        <v>7.0</v>
      </c>
    </row>
    <row r="3333">
      <c r="A3333">
        <f>IFERROR(__xludf.DUMMYFUNCTION("""COMPUTED_VALUE"""),10.0)</f>
        <v>10</v>
      </c>
      <c r="B3333" s="406">
        <f>IFERROR(__xludf.DUMMYFUNCTION("""COMPUTED_VALUE"""),28007.0)</f>
        <v>28007</v>
      </c>
      <c r="C3333" t="str">
        <f>IFERROR(__xludf.DUMMYFUNCTION("""COMPUTED_VALUE"""),"ARISTIZABAL SALAZAR, MIGUEL")</f>
        <v>ARISTIZABAL SALAZAR, MIGUEL</v>
      </c>
      <c r="D3333" t="str">
        <f>IFERROR(__xludf.DUMMYFUNCTION("""COMPUTED_VALUE"""),"Sociales 10")</f>
        <v>Sociales 10</v>
      </c>
      <c r="E3333" s="3">
        <f>IFERROR(__xludf.DUMMYFUNCTION("""COMPUTED_VALUE"""),1.0)</f>
        <v>1</v>
      </c>
      <c r="F3333" s="300">
        <v>1.0</v>
      </c>
      <c r="G3333" s="300">
        <v>1.0</v>
      </c>
      <c r="H3333" s="300">
        <v>1.0</v>
      </c>
      <c r="I3333" s="300">
        <v>1.0</v>
      </c>
      <c r="J3333" s="300">
        <v>1.0</v>
      </c>
      <c r="K3333" s="300">
        <v>1.0</v>
      </c>
      <c r="L3333" s="300">
        <v>1.0</v>
      </c>
      <c r="M3333" s="300">
        <v>1.0</v>
      </c>
      <c r="N3333" s="300">
        <v>8.0</v>
      </c>
      <c r="O3333" s="300" t="s">
        <v>970</v>
      </c>
      <c r="P3333" s="300">
        <v>7.0</v>
      </c>
    </row>
    <row r="3334">
      <c r="A3334">
        <f>IFERROR(__xludf.DUMMYFUNCTION("""COMPUTED_VALUE"""),10.0)</f>
        <v>10</v>
      </c>
      <c r="B3334" s="406">
        <f>IFERROR(__xludf.DUMMYFUNCTION("""COMPUTED_VALUE"""),28047.0)</f>
        <v>28047</v>
      </c>
      <c r="C3334" t="str">
        <f>IFERROR(__xludf.DUMMYFUNCTION("""COMPUTED_VALUE"""),"ISAZA BETANCUR, CRISTOBAL")</f>
        <v>ISAZA BETANCUR, CRISTOBAL</v>
      </c>
      <c r="D3334" t="str">
        <f>IFERROR(__xludf.DUMMYFUNCTION("""COMPUTED_VALUE"""),"Sociales 10")</f>
        <v>Sociales 10</v>
      </c>
      <c r="E3334" s="3">
        <f>IFERROR(__xludf.DUMMYFUNCTION("""COMPUTED_VALUE"""),3.0)</f>
        <v>3</v>
      </c>
      <c r="F3334" s="300">
        <v>1.0</v>
      </c>
      <c r="G3334" s="300">
        <v>1.0</v>
      </c>
      <c r="H3334" s="300">
        <v>1.0</v>
      </c>
      <c r="I3334" s="300">
        <v>1.0</v>
      </c>
      <c r="J3334" s="300">
        <v>1.0</v>
      </c>
      <c r="K3334" s="300">
        <v>1.0</v>
      </c>
      <c r="L3334" s="300">
        <v>1.0</v>
      </c>
      <c r="M3334" s="300">
        <v>1.0</v>
      </c>
      <c r="N3334" s="300">
        <v>8.0</v>
      </c>
      <c r="O3334" s="300" t="s">
        <v>967</v>
      </c>
      <c r="P3334" s="300">
        <v>7.0</v>
      </c>
    </row>
    <row r="3335">
      <c r="A3335">
        <f>IFERROR(__xludf.DUMMYFUNCTION("""COMPUTED_VALUE"""),10.0)</f>
        <v>10</v>
      </c>
      <c r="B3335" s="406">
        <f>IFERROR(__xludf.DUMMYFUNCTION("""COMPUTED_VALUE"""),28111.0)</f>
        <v>28111</v>
      </c>
      <c r="C3335" t="str">
        <f>IFERROR(__xludf.DUMMYFUNCTION("""COMPUTED_VALUE"""),"GARCES RIVERA, MATHIAS")</f>
        <v>GARCES RIVERA, MATHIAS</v>
      </c>
      <c r="D3335" t="str">
        <f>IFERROR(__xludf.DUMMYFUNCTION("""COMPUTED_VALUE"""),"Sociales 10")</f>
        <v>Sociales 10</v>
      </c>
      <c r="E3335" s="3">
        <f>IFERROR(__xludf.DUMMYFUNCTION("""COMPUTED_VALUE"""),8.0)</f>
        <v>8</v>
      </c>
      <c r="F3335" s="300">
        <v>1.0</v>
      </c>
      <c r="G3335" s="300">
        <v>1.0</v>
      </c>
      <c r="H3335" s="300">
        <v>1.0</v>
      </c>
      <c r="I3335" s="300">
        <v>1.0</v>
      </c>
      <c r="J3335" s="300">
        <v>1.0</v>
      </c>
      <c r="K3335" s="300">
        <v>1.0</v>
      </c>
      <c r="L3335" s="300">
        <v>1.0</v>
      </c>
      <c r="M3335" s="300">
        <v>1.0</v>
      </c>
      <c r="N3335" s="300">
        <v>8.0</v>
      </c>
      <c r="O3335" s="300" t="s">
        <v>966</v>
      </c>
      <c r="P3335" s="300">
        <v>7.0</v>
      </c>
    </row>
    <row r="3336">
      <c r="A3336">
        <f>IFERROR(__xludf.DUMMYFUNCTION("""COMPUTED_VALUE"""),10.0)</f>
        <v>10</v>
      </c>
      <c r="B3336" s="406">
        <f>IFERROR(__xludf.DUMMYFUNCTION("""COMPUTED_VALUE"""),28011.0)</f>
        <v>28011</v>
      </c>
      <c r="C3336" t="str">
        <f>IFERROR(__xludf.DUMMYFUNCTION("""COMPUTED_VALUE"""),"BAQUERO GARCIA, PASCUAL")</f>
        <v>BAQUERO GARCIA, PASCUAL</v>
      </c>
      <c r="D3336" t="str">
        <f>IFERROR(__xludf.DUMMYFUNCTION("""COMPUTED_VALUE"""),"Sociales 10")</f>
        <v>Sociales 10</v>
      </c>
      <c r="E3336" s="3">
        <f>IFERROR(__xludf.DUMMYFUNCTION("""COMPUTED_VALUE"""),2.0)</f>
        <v>2</v>
      </c>
      <c r="F3336" s="300">
        <v>1.0</v>
      </c>
      <c r="G3336" s="300">
        <v>1.0</v>
      </c>
      <c r="H3336" s="300">
        <v>1.0</v>
      </c>
      <c r="I3336" s="300">
        <v>1.0</v>
      </c>
      <c r="J3336" s="300">
        <v>1.0</v>
      </c>
      <c r="K3336" s="300">
        <v>1.0</v>
      </c>
      <c r="L3336" s="300">
        <v>1.0</v>
      </c>
      <c r="M3336" s="300">
        <v>1.0</v>
      </c>
      <c r="N3336" s="300">
        <v>8.0</v>
      </c>
      <c r="O3336" s="300" t="s">
        <v>968</v>
      </c>
      <c r="P3336" s="300">
        <v>7.0</v>
      </c>
    </row>
    <row r="3337">
      <c r="A3337">
        <f>IFERROR(__xludf.DUMMYFUNCTION("""COMPUTED_VALUE"""),10.0)</f>
        <v>10</v>
      </c>
      <c r="B3337" s="406">
        <f>IFERROR(__xludf.DUMMYFUNCTION("""COMPUTED_VALUE"""),28115.0)</f>
        <v>28115</v>
      </c>
      <c r="C3337" t="str">
        <f>IFERROR(__xludf.DUMMYFUNCTION("""COMPUTED_VALUE"""),"VELEZ ECHAVARRIA, AMELIA")</f>
        <v>VELEZ ECHAVARRIA, AMELIA</v>
      </c>
      <c r="D3337" t="str">
        <f>IFERROR(__xludf.DUMMYFUNCTION("""COMPUTED_VALUE"""),"Sociales 10")</f>
        <v>Sociales 10</v>
      </c>
      <c r="E3337" s="3">
        <f>IFERROR(__xludf.DUMMYFUNCTION("""COMPUTED_VALUE"""),3.0)</f>
        <v>3</v>
      </c>
      <c r="F3337" s="300">
        <v>1.0</v>
      </c>
      <c r="G3337" s="300">
        <v>1.0</v>
      </c>
      <c r="H3337" s="300">
        <v>1.0</v>
      </c>
      <c r="I3337" s="300">
        <v>1.0</v>
      </c>
      <c r="J3337" s="300">
        <v>1.0</v>
      </c>
      <c r="K3337" s="300">
        <v>1.0</v>
      </c>
      <c r="L3337" s="300">
        <v>1.0</v>
      </c>
      <c r="M3337" s="300">
        <v>1.0</v>
      </c>
      <c r="N3337" s="300">
        <v>8.0</v>
      </c>
      <c r="O3337" s="300" t="s">
        <v>967</v>
      </c>
      <c r="P3337" s="300">
        <v>7.0</v>
      </c>
    </row>
    <row r="3338">
      <c r="A3338">
        <f>IFERROR(__xludf.DUMMYFUNCTION("""COMPUTED_VALUE"""),10.0)</f>
        <v>10</v>
      </c>
      <c r="B3338" s="406">
        <f>IFERROR(__xludf.DUMMYFUNCTION("""COMPUTED_VALUE"""),28106.0)</f>
        <v>28106</v>
      </c>
      <c r="C3338" t="str">
        <f>IFERROR(__xludf.DUMMYFUNCTION("""COMPUTED_VALUE"""),"TOBON PEÑALOZA, PEDRO")</f>
        <v>TOBON PEÑALOZA, PEDRO</v>
      </c>
      <c r="D3338" t="str">
        <f>IFERROR(__xludf.DUMMYFUNCTION("""COMPUTED_VALUE"""),"Sociales 10")</f>
        <v>Sociales 10</v>
      </c>
      <c r="E3338" s="3">
        <f>IFERROR(__xludf.DUMMYFUNCTION("""COMPUTED_VALUE"""),8.0)</f>
        <v>8</v>
      </c>
      <c r="F3338" s="300">
        <v>1.0</v>
      </c>
      <c r="G3338" s="300">
        <v>1.0</v>
      </c>
      <c r="H3338" s="300">
        <v>1.0</v>
      </c>
      <c r="I3338" s="300">
        <v>1.0</v>
      </c>
      <c r="J3338" s="300">
        <v>1.0</v>
      </c>
      <c r="K3338" s="300">
        <v>1.0</v>
      </c>
      <c r="L3338" s="300">
        <v>1.0</v>
      </c>
      <c r="M3338" s="300">
        <v>1.0</v>
      </c>
      <c r="N3338" s="300">
        <v>8.0</v>
      </c>
      <c r="O3338" s="300" t="s">
        <v>966</v>
      </c>
      <c r="P3338" s="300">
        <v>7.0</v>
      </c>
    </row>
    <row r="3339">
      <c r="A3339">
        <f>IFERROR(__xludf.DUMMYFUNCTION("""COMPUTED_VALUE"""),10.0)</f>
        <v>10</v>
      </c>
      <c r="B3339" s="406">
        <f>IFERROR(__xludf.DUMMYFUNCTION("""COMPUTED_VALUE"""),28004.0)</f>
        <v>28004</v>
      </c>
      <c r="C3339" t="str">
        <f>IFERROR(__xludf.DUMMYFUNCTION("""COMPUTED_VALUE"""),"ARANGO FERNANDEZ, AGUSTIN")</f>
        <v>ARANGO FERNANDEZ, AGUSTIN</v>
      </c>
      <c r="D3339" t="str">
        <f>IFERROR(__xludf.DUMMYFUNCTION("""COMPUTED_VALUE"""),"Sociales 10")</f>
        <v>Sociales 10</v>
      </c>
      <c r="E3339" s="3">
        <f>IFERROR(__xludf.DUMMYFUNCTION("""COMPUTED_VALUE"""),7.0)</f>
        <v>7</v>
      </c>
      <c r="F3339" s="300">
        <v>1.0</v>
      </c>
      <c r="G3339" s="300">
        <v>1.0</v>
      </c>
      <c r="H3339" s="300">
        <v>1.0</v>
      </c>
      <c r="I3339" s="300">
        <v>1.0</v>
      </c>
      <c r="J3339" s="300">
        <v>1.0</v>
      </c>
      <c r="K3339" s="300">
        <v>1.0</v>
      </c>
      <c r="L3339" s="300">
        <v>1.0</v>
      </c>
      <c r="M3339" s="300">
        <v>1.0</v>
      </c>
      <c r="N3339" s="300">
        <v>8.0</v>
      </c>
      <c r="O3339" s="300" t="s">
        <v>964</v>
      </c>
      <c r="P3339" s="300">
        <v>7.0</v>
      </c>
    </row>
    <row r="3340">
      <c r="A3340">
        <f>IFERROR(__xludf.DUMMYFUNCTION("""COMPUTED_VALUE"""),10.0)</f>
        <v>10</v>
      </c>
      <c r="B3340" s="406">
        <f>IFERROR(__xludf.DUMMYFUNCTION("""COMPUTED_VALUE"""),28001.0)</f>
        <v>28001</v>
      </c>
      <c r="C3340" t="str">
        <f>IFERROR(__xludf.DUMMYFUNCTION("""COMPUTED_VALUE"""),"ABAD OLARTE, LUCIA")</f>
        <v>ABAD OLARTE, LUCIA</v>
      </c>
      <c r="D3340" t="str">
        <f>IFERROR(__xludf.DUMMYFUNCTION("""COMPUTED_VALUE"""),"Sociales 10")</f>
        <v>Sociales 10</v>
      </c>
      <c r="E3340" s="3">
        <f>IFERROR(__xludf.DUMMYFUNCTION("""COMPUTED_VALUE"""),3.0)</f>
        <v>3</v>
      </c>
      <c r="F3340" s="300">
        <v>1.0</v>
      </c>
      <c r="G3340" s="300">
        <v>1.0</v>
      </c>
      <c r="H3340" s="300">
        <v>1.0</v>
      </c>
      <c r="I3340" s="300">
        <v>1.0</v>
      </c>
      <c r="J3340" s="300">
        <v>1.0</v>
      </c>
      <c r="K3340" s="300">
        <v>1.0</v>
      </c>
      <c r="L3340" s="300">
        <v>1.0</v>
      </c>
      <c r="M3340" s="300">
        <v>1.0</v>
      </c>
      <c r="N3340" s="300">
        <v>8.0</v>
      </c>
      <c r="O3340" s="300" t="s">
        <v>967</v>
      </c>
      <c r="P3340" s="300">
        <v>7.0</v>
      </c>
    </row>
    <row r="3341">
      <c r="A3341">
        <f>IFERROR(__xludf.DUMMYFUNCTION("""COMPUTED_VALUE"""),10.0)</f>
        <v>10</v>
      </c>
      <c r="B3341" s="406">
        <f>IFERROR(__xludf.DUMMYFUNCTION("""COMPUTED_VALUE"""),28055.0)</f>
        <v>28055</v>
      </c>
      <c r="C3341" t="str">
        <f>IFERROR(__xludf.DUMMYFUNCTION("""COMPUTED_VALUE"""),"JARAMILLO OCHOA, LUCIANA")</f>
        <v>JARAMILLO OCHOA, LUCIANA</v>
      </c>
      <c r="D3341" t="str">
        <f>IFERROR(__xludf.DUMMYFUNCTION("""COMPUTED_VALUE"""),"Sociales 10")</f>
        <v>Sociales 10</v>
      </c>
      <c r="E3341" s="3">
        <f>IFERROR(__xludf.DUMMYFUNCTION("""COMPUTED_VALUE"""),4.0)</f>
        <v>4</v>
      </c>
      <c r="F3341" s="300">
        <v>1.0</v>
      </c>
      <c r="G3341" s="300">
        <v>1.0</v>
      </c>
      <c r="H3341" s="300">
        <v>1.0</v>
      </c>
      <c r="I3341" s="300">
        <v>1.0</v>
      </c>
      <c r="J3341" s="300">
        <v>1.0</v>
      </c>
      <c r="K3341" s="300">
        <v>1.0</v>
      </c>
      <c r="L3341" s="300">
        <v>1.0</v>
      </c>
      <c r="M3341" s="300">
        <v>1.0</v>
      </c>
      <c r="N3341" s="300">
        <v>8.0</v>
      </c>
      <c r="O3341" s="300" t="s">
        <v>969</v>
      </c>
      <c r="P3341" s="300">
        <v>7.0</v>
      </c>
    </row>
    <row r="3342">
      <c r="A3342">
        <f>IFERROR(__xludf.DUMMYFUNCTION("""COMPUTED_VALUE"""),10.0)</f>
        <v>10</v>
      </c>
      <c r="B3342" s="406">
        <f>IFERROR(__xludf.DUMMYFUNCTION("""COMPUTED_VALUE"""),28009.0)</f>
        <v>28009</v>
      </c>
      <c r="C3342" t="str">
        <f>IFERROR(__xludf.DUMMYFUNCTION("""COMPUTED_VALUE"""),"ARISTIZABAL ZULUAGA, MATILDE")</f>
        <v>ARISTIZABAL ZULUAGA, MATILDE</v>
      </c>
      <c r="D3342" t="str">
        <f>IFERROR(__xludf.DUMMYFUNCTION("""COMPUTED_VALUE"""),"Sociales 10")</f>
        <v>Sociales 10</v>
      </c>
      <c r="E3342" s="3">
        <f>IFERROR(__xludf.DUMMYFUNCTION("""COMPUTED_VALUE"""),7.0)</f>
        <v>7</v>
      </c>
      <c r="F3342" s="300">
        <v>1.0</v>
      </c>
      <c r="G3342" s="300">
        <v>1.0</v>
      </c>
      <c r="H3342" s="300">
        <v>1.0</v>
      </c>
      <c r="I3342" s="300">
        <v>1.0</v>
      </c>
      <c r="J3342" s="300">
        <v>1.0</v>
      </c>
      <c r="K3342" s="300">
        <v>1.0</v>
      </c>
      <c r="L3342" s="300">
        <v>1.0</v>
      </c>
      <c r="M3342" s="300">
        <v>1.0</v>
      </c>
      <c r="N3342" s="300">
        <v>8.0</v>
      </c>
      <c r="O3342" s="300" t="s">
        <v>964</v>
      </c>
      <c r="P3342" s="300">
        <v>7.0</v>
      </c>
    </row>
    <row r="3343">
      <c r="A3343">
        <f>IFERROR(__xludf.DUMMYFUNCTION("""COMPUTED_VALUE"""),10.0)</f>
        <v>10</v>
      </c>
      <c r="B3343" s="406">
        <f>IFERROR(__xludf.DUMMYFUNCTION("""COMPUTED_VALUE"""),28089.0)</f>
        <v>28089</v>
      </c>
      <c r="C3343" t="str">
        <f>IFERROR(__xludf.DUMMYFUNCTION("""COMPUTED_VALUE"""),"RAMIREZ OSORIO, ELENA")</f>
        <v>RAMIREZ OSORIO, ELENA</v>
      </c>
      <c r="D3343" t="str">
        <f>IFERROR(__xludf.DUMMYFUNCTION("""COMPUTED_VALUE"""),"Sociales 10")</f>
        <v>Sociales 10</v>
      </c>
      <c r="E3343" s="3">
        <f>IFERROR(__xludf.DUMMYFUNCTION("""COMPUTED_VALUE"""),1.0)</f>
        <v>1</v>
      </c>
      <c r="F3343" s="300">
        <v>1.0</v>
      </c>
      <c r="G3343" s="300">
        <v>1.0</v>
      </c>
      <c r="H3343" s="300">
        <v>1.0</v>
      </c>
      <c r="I3343" s="300">
        <v>1.0</v>
      </c>
      <c r="J3343" s="300">
        <v>1.0</v>
      </c>
      <c r="K3343" s="300">
        <v>1.0</v>
      </c>
      <c r="L3343" s="300">
        <v>1.0</v>
      </c>
      <c r="M3343" s="300">
        <v>1.0</v>
      </c>
      <c r="N3343" s="300">
        <v>8.0</v>
      </c>
      <c r="O3343" s="300" t="s">
        <v>970</v>
      </c>
      <c r="P3343" s="300">
        <v>7.0</v>
      </c>
    </row>
    <row r="3344">
      <c r="A3344">
        <f>IFERROR(__xludf.DUMMYFUNCTION("""COMPUTED_VALUE"""),10.0)</f>
        <v>10</v>
      </c>
      <c r="B3344" s="406">
        <f>IFERROR(__xludf.DUMMYFUNCTION("""COMPUTED_VALUE"""),28072.0)</f>
        <v>28072</v>
      </c>
      <c r="C3344" t="str">
        <f>IFERROR(__xludf.DUMMYFUNCTION("""COMPUTED_VALUE"""),"NAVARRO ISAZA, SOFIA")</f>
        <v>NAVARRO ISAZA, SOFIA</v>
      </c>
      <c r="D3344" t="str">
        <f>IFERROR(__xludf.DUMMYFUNCTION("""COMPUTED_VALUE"""),"Sociales 10")</f>
        <v>Sociales 10</v>
      </c>
      <c r="E3344" s="3">
        <f>IFERROR(__xludf.DUMMYFUNCTION("""COMPUTED_VALUE"""),3.0)</f>
        <v>3</v>
      </c>
      <c r="F3344" s="300">
        <v>1.0</v>
      </c>
      <c r="G3344" s="300">
        <v>1.0</v>
      </c>
      <c r="H3344" s="300">
        <v>1.0</v>
      </c>
      <c r="I3344" s="300">
        <v>1.0</v>
      </c>
      <c r="J3344" s="300">
        <v>1.0</v>
      </c>
      <c r="K3344" s="300">
        <v>1.0</v>
      </c>
      <c r="L3344" s="300">
        <v>1.0</v>
      </c>
      <c r="M3344" s="300">
        <v>1.0</v>
      </c>
      <c r="N3344" s="300">
        <v>8.0</v>
      </c>
      <c r="O3344" s="300" t="s">
        <v>967</v>
      </c>
      <c r="P3344" s="300">
        <v>7.0</v>
      </c>
    </row>
    <row r="3345">
      <c r="A3345">
        <f>IFERROR(__xludf.DUMMYFUNCTION("""COMPUTED_VALUE"""),10.0)</f>
        <v>10</v>
      </c>
      <c r="B3345" s="406">
        <f>IFERROR(__xludf.DUMMYFUNCTION("""COMPUTED_VALUE"""),28005.0)</f>
        <v>28005</v>
      </c>
      <c r="C3345" t="str">
        <f>IFERROR(__xludf.DUMMYFUNCTION("""COMPUTED_VALUE"""),"ARBELAEZ RODADO, SILVIA")</f>
        <v>ARBELAEZ RODADO, SILVIA</v>
      </c>
      <c r="D3345" t="str">
        <f>IFERROR(__xludf.DUMMYFUNCTION("""COMPUTED_VALUE"""),"Sociales 10")</f>
        <v>Sociales 10</v>
      </c>
      <c r="E3345" s="3">
        <f>IFERROR(__xludf.DUMMYFUNCTION("""COMPUTED_VALUE"""),8.0)</f>
        <v>8</v>
      </c>
      <c r="F3345" s="300">
        <v>1.0</v>
      </c>
      <c r="G3345" s="300">
        <v>1.0</v>
      </c>
      <c r="H3345" s="300">
        <v>1.0</v>
      </c>
      <c r="I3345" s="300">
        <v>1.0</v>
      </c>
      <c r="J3345" s="300">
        <v>1.0</v>
      </c>
      <c r="K3345" s="300">
        <v>1.0</v>
      </c>
      <c r="L3345" s="300">
        <v>1.0</v>
      </c>
      <c r="M3345" s="300">
        <v>1.0</v>
      </c>
      <c r="N3345" s="300">
        <v>8.0</v>
      </c>
      <c r="O3345" s="300" t="s">
        <v>966</v>
      </c>
      <c r="P3345" s="300">
        <v>7.0</v>
      </c>
    </row>
    <row r="3346">
      <c r="A3346">
        <f>IFERROR(__xludf.DUMMYFUNCTION("""COMPUTED_VALUE"""),10.0)</f>
        <v>10</v>
      </c>
      <c r="B3346" s="406">
        <f>IFERROR(__xludf.DUMMYFUNCTION("""COMPUTED_VALUE"""),28051.0)</f>
        <v>28051</v>
      </c>
      <c r="C3346" t="str">
        <f>IFERROR(__xludf.DUMMYFUNCTION("""COMPUTED_VALUE"""),"JIMENEZ ESCOBAR, MARIANA")</f>
        <v>JIMENEZ ESCOBAR, MARIANA</v>
      </c>
      <c r="D3346" t="str">
        <f>IFERROR(__xludf.DUMMYFUNCTION("""COMPUTED_VALUE"""),"Sociales 10")</f>
        <v>Sociales 10</v>
      </c>
      <c r="E3346" s="3">
        <f>IFERROR(__xludf.DUMMYFUNCTION("""COMPUTED_VALUE"""),3.0)</f>
        <v>3</v>
      </c>
      <c r="F3346" s="300">
        <v>1.0</v>
      </c>
      <c r="G3346" s="300">
        <v>1.0</v>
      </c>
      <c r="H3346" s="300">
        <v>1.0</v>
      </c>
      <c r="I3346" s="300">
        <v>1.0</v>
      </c>
      <c r="J3346" s="300">
        <v>1.0</v>
      </c>
      <c r="K3346" s="300">
        <v>1.0</v>
      </c>
      <c r="L3346" s="300">
        <v>1.0</v>
      </c>
      <c r="M3346" s="300">
        <v>1.0</v>
      </c>
      <c r="N3346" s="300">
        <v>8.0</v>
      </c>
      <c r="O3346" s="300" t="s">
        <v>967</v>
      </c>
      <c r="P3346" s="300">
        <v>7.0</v>
      </c>
    </row>
    <row r="3347">
      <c r="A3347">
        <f>IFERROR(__xludf.DUMMYFUNCTION("""COMPUTED_VALUE"""),10.0)</f>
        <v>10</v>
      </c>
      <c r="B3347" s="406">
        <f>IFERROR(__xludf.DUMMYFUNCTION("""COMPUTED_VALUE"""),27007.0)</f>
        <v>27007</v>
      </c>
      <c r="C3347" t="str">
        <f>IFERROR(__xludf.DUMMYFUNCTION("""COMPUTED_VALUE"""),"ARANGO VELEZ, MATEO")</f>
        <v>ARANGO VELEZ, MATEO</v>
      </c>
      <c r="D3347" t="str">
        <f>IFERROR(__xludf.DUMMYFUNCTION("""COMPUTED_VALUE"""),"Sociales 10")</f>
        <v>Sociales 10</v>
      </c>
      <c r="E3347" s="3">
        <f>IFERROR(__xludf.DUMMYFUNCTION("""COMPUTED_VALUE"""),5.0)</f>
        <v>5</v>
      </c>
      <c r="F3347" s="300">
        <v>1.0</v>
      </c>
      <c r="G3347" s="300">
        <v>1.0</v>
      </c>
      <c r="H3347" s="300">
        <v>1.0</v>
      </c>
      <c r="I3347" s="300">
        <v>1.0</v>
      </c>
      <c r="J3347" s="300">
        <v>1.0</v>
      </c>
      <c r="K3347" s="300">
        <v>1.0</v>
      </c>
      <c r="L3347" s="300">
        <v>1.0</v>
      </c>
      <c r="M3347" s="300">
        <v>1.0</v>
      </c>
      <c r="N3347" s="300">
        <v>8.0</v>
      </c>
      <c r="O3347" s="300" t="s">
        <v>965</v>
      </c>
      <c r="P3347" s="300">
        <v>7.0</v>
      </c>
    </row>
    <row r="3348">
      <c r="A3348">
        <f>IFERROR(__xludf.DUMMYFUNCTION("""COMPUTED_VALUE"""),10.0)</f>
        <v>10</v>
      </c>
      <c r="B3348" s="406">
        <f>IFERROR(__xludf.DUMMYFUNCTION("""COMPUTED_VALUE"""),28102.0)</f>
        <v>28102</v>
      </c>
      <c r="C3348" t="str">
        <f>IFERROR(__xludf.DUMMYFUNCTION("""COMPUTED_VALUE"""),"SALAZAR BOTERO, GABRIELA")</f>
        <v>SALAZAR BOTERO, GABRIELA</v>
      </c>
      <c r="D3348" t="str">
        <f>IFERROR(__xludf.DUMMYFUNCTION("""COMPUTED_VALUE"""),"Sociales 10")</f>
        <v>Sociales 10</v>
      </c>
      <c r="E3348" s="3">
        <f>IFERROR(__xludf.DUMMYFUNCTION("""COMPUTED_VALUE"""),1.0)</f>
        <v>1</v>
      </c>
      <c r="F3348" s="300">
        <v>1.0</v>
      </c>
      <c r="G3348" s="300">
        <v>1.0</v>
      </c>
      <c r="H3348" s="300">
        <v>1.0</v>
      </c>
      <c r="I3348" s="300">
        <v>1.0</v>
      </c>
      <c r="J3348" s="300">
        <v>1.0</v>
      </c>
      <c r="K3348" s="300">
        <v>1.0</v>
      </c>
      <c r="L3348" s="300">
        <v>1.0</v>
      </c>
      <c r="M3348" s="300">
        <v>1.0</v>
      </c>
      <c r="N3348" s="300">
        <v>8.0</v>
      </c>
      <c r="O3348" s="300" t="s">
        <v>970</v>
      </c>
      <c r="P3348" s="300">
        <v>7.0</v>
      </c>
    </row>
    <row r="3349">
      <c r="A3349">
        <f>IFERROR(__xludf.DUMMYFUNCTION("""COMPUTED_VALUE"""),10.0)</f>
        <v>10</v>
      </c>
      <c r="B3349" s="406">
        <f>IFERROR(__xludf.DUMMYFUNCTION("""COMPUTED_VALUE"""),28104.0)</f>
        <v>28104</v>
      </c>
      <c r="C3349" t="str">
        <f>IFERROR(__xludf.DUMMYFUNCTION("""COMPUTED_VALUE"""),"SERRANO SERRANO, SIMON")</f>
        <v>SERRANO SERRANO, SIMON</v>
      </c>
      <c r="D3349" t="str">
        <f>IFERROR(__xludf.DUMMYFUNCTION("""COMPUTED_VALUE"""),"Sociales 10")</f>
        <v>Sociales 10</v>
      </c>
      <c r="E3349" s="3">
        <f>IFERROR(__xludf.DUMMYFUNCTION("""COMPUTED_VALUE"""),4.0)</f>
        <v>4</v>
      </c>
      <c r="F3349" s="300">
        <v>1.0</v>
      </c>
      <c r="G3349" s="300">
        <v>1.0</v>
      </c>
      <c r="H3349" s="300">
        <v>1.0</v>
      </c>
      <c r="I3349" s="300">
        <v>1.0</v>
      </c>
      <c r="J3349" s="300">
        <v>1.0</v>
      </c>
      <c r="K3349" s="300">
        <v>1.0</v>
      </c>
      <c r="L3349" s="300">
        <v>1.0</v>
      </c>
      <c r="M3349" s="300">
        <v>1.0</v>
      </c>
      <c r="N3349" s="300">
        <v>8.0</v>
      </c>
      <c r="O3349" s="300" t="s">
        <v>969</v>
      </c>
      <c r="P3349" s="300">
        <v>7.0</v>
      </c>
    </row>
    <row r="3350">
      <c r="A3350">
        <f>IFERROR(__xludf.DUMMYFUNCTION("""COMPUTED_VALUE"""),10.0)</f>
        <v>10</v>
      </c>
      <c r="B3350" s="406">
        <f>IFERROR(__xludf.DUMMYFUNCTION("""COMPUTED_VALUE"""),28008.0)</f>
        <v>28008</v>
      </c>
      <c r="C3350" t="str">
        <f>IFERROR(__xludf.DUMMYFUNCTION("""COMPUTED_VALUE"""),"ARISTIZABAL TOBON, MATIAS")</f>
        <v>ARISTIZABAL TOBON, MATIAS</v>
      </c>
      <c r="D3350" t="str">
        <f>IFERROR(__xludf.DUMMYFUNCTION("""COMPUTED_VALUE"""),"Sociales 10")</f>
        <v>Sociales 10</v>
      </c>
      <c r="E3350" s="3">
        <f>IFERROR(__xludf.DUMMYFUNCTION("""COMPUTED_VALUE"""),3.0)</f>
        <v>3</v>
      </c>
      <c r="F3350" s="300">
        <v>1.0</v>
      </c>
      <c r="G3350" s="300">
        <v>1.0</v>
      </c>
      <c r="H3350" s="300">
        <v>1.0</v>
      </c>
      <c r="I3350" s="300">
        <v>1.0</v>
      </c>
      <c r="J3350" s="300">
        <v>1.0</v>
      </c>
      <c r="K3350" s="300">
        <v>1.0</v>
      </c>
      <c r="L3350" s="300">
        <v>1.0</v>
      </c>
      <c r="M3350" s="300">
        <v>1.0</v>
      </c>
      <c r="N3350" s="300">
        <v>8.0</v>
      </c>
      <c r="O3350" s="300" t="s">
        <v>967</v>
      </c>
      <c r="P3350" s="300">
        <v>7.0</v>
      </c>
    </row>
    <row r="3351">
      <c r="A3351">
        <f>IFERROR(__xludf.DUMMYFUNCTION("""COMPUTED_VALUE"""),10.0)</f>
        <v>10</v>
      </c>
      <c r="B3351" s="406">
        <f>IFERROR(__xludf.DUMMYFUNCTION("""COMPUTED_VALUE"""),28065.0)</f>
        <v>28065</v>
      </c>
      <c r="C3351" t="str">
        <f>IFERROR(__xludf.DUMMYFUNCTION("""COMPUTED_VALUE"""),"MEJIA MEJIA, TOMAS")</f>
        <v>MEJIA MEJIA, TOMAS</v>
      </c>
      <c r="D3351" t="str">
        <f>IFERROR(__xludf.DUMMYFUNCTION("""COMPUTED_VALUE"""),"Sociales 10")</f>
        <v>Sociales 10</v>
      </c>
      <c r="E3351" s="3">
        <f>IFERROR(__xludf.DUMMYFUNCTION("""COMPUTED_VALUE"""),5.0)</f>
        <v>5</v>
      </c>
      <c r="F3351" s="300">
        <v>1.0</v>
      </c>
      <c r="G3351" s="300">
        <v>1.0</v>
      </c>
      <c r="H3351" s="300">
        <v>1.0</v>
      </c>
      <c r="I3351" s="300">
        <v>1.0</v>
      </c>
      <c r="J3351" s="300">
        <v>1.0</v>
      </c>
      <c r="K3351" s="300">
        <v>1.0</v>
      </c>
      <c r="L3351" s="300">
        <v>1.0</v>
      </c>
      <c r="M3351" s="300">
        <v>1.0</v>
      </c>
      <c r="N3351" s="300">
        <v>8.0</v>
      </c>
      <c r="O3351" s="300" t="s">
        <v>965</v>
      </c>
      <c r="P3351" s="300">
        <v>7.0</v>
      </c>
    </row>
    <row r="3352">
      <c r="A3352">
        <f>IFERROR(__xludf.DUMMYFUNCTION("""COMPUTED_VALUE"""),10.0)</f>
        <v>10</v>
      </c>
      <c r="B3352" s="406">
        <f>IFERROR(__xludf.DUMMYFUNCTION("""COMPUTED_VALUE"""),28073.0)</f>
        <v>28073</v>
      </c>
      <c r="C3352" t="str">
        <f>IFERROR(__xludf.DUMMYFUNCTION("""COMPUTED_VALUE"""),"NAVARRO RAMIREZ, MARIA")</f>
        <v>NAVARRO RAMIREZ, MARIA</v>
      </c>
      <c r="D3352" t="str">
        <f>IFERROR(__xludf.DUMMYFUNCTION("""COMPUTED_VALUE"""),"Sociales 10")</f>
        <v>Sociales 10</v>
      </c>
      <c r="E3352" s="3">
        <f>IFERROR(__xludf.DUMMYFUNCTION("""COMPUTED_VALUE"""),3.0)</f>
        <v>3</v>
      </c>
      <c r="F3352" s="300">
        <v>1.0</v>
      </c>
      <c r="G3352" s="300">
        <v>1.0</v>
      </c>
      <c r="H3352" s="300">
        <v>1.0</v>
      </c>
      <c r="I3352" s="300">
        <v>1.0</v>
      </c>
      <c r="J3352" s="300">
        <v>1.0</v>
      </c>
      <c r="K3352" s="300">
        <v>1.0</v>
      </c>
      <c r="L3352" s="300">
        <v>1.0</v>
      </c>
      <c r="M3352" s="300">
        <v>1.0</v>
      </c>
      <c r="N3352" s="300">
        <v>8.0</v>
      </c>
      <c r="O3352" s="300" t="s">
        <v>967</v>
      </c>
      <c r="P3352" s="300">
        <v>7.0</v>
      </c>
    </row>
    <row r="3353">
      <c r="A3353">
        <f>IFERROR(__xludf.DUMMYFUNCTION("""COMPUTED_VALUE"""),10.0)</f>
        <v>10</v>
      </c>
      <c r="B3353" s="406">
        <f>IFERROR(__xludf.DUMMYFUNCTION("""COMPUTED_VALUE"""),28081.0)</f>
        <v>28081</v>
      </c>
      <c r="C3353" t="str">
        <f>IFERROR(__xludf.DUMMYFUNCTION("""COMPUTED_VALUE"""),"PALACIO RUIZ, LUCAS")</f>
        <v>PALACIO RUIZ, LUCAS</v>
      </c>
      <c r="D3353" t="str">
        <f>IFERROR(__xludf.DUMMYFUNCTION("""COMPUTED_VALUE"""),"Sociales 10")</f>
        <v>Sociales 10</v>
      </c>
      <c r="E3353" s="3">
        <f>IFERROR(__xludf.DUMMYFUNCTION("""COMPUTED_VALUE"""),8.0)</f>
        <v>8</v>
      </c>
      <c r="F3353" s="300">
        <v>1.0</v>
      </c>
      <c r="G3353" s="300">
        <v>1.0</v>
      </c>
      <c r="H3353" s="300">
        <v>1.0</v>
      </c>
      <c r="I3353" s="300">
        <v>1.0</v>
      </c>
      <c r="J3353" s="300">
        <v>1.0</v>
      </c>
      <c r="K3353" s="300">
        <v>1.0</v>
      </c>
      <c r="L3353" s="300">
        <v>1.0</v>
      </c>
      <c r="M3353" s="300">
        <v>1.0</v>
      </c>
      <c r="N3353" s="300">
        <v>8.0</v>
      </c>
      <c r="O3353" s="300" t="s">
        <v>966</v>
      </c>
      <c r="P3353" s="300">
        <v>7.0</v>
      </c>
    </row>
    <row r="3354">
      <c r="A3354">
        <f>IFERROR(__xludf.DUMMYFUNCTION("""COMPUTED_VALUE"""),10.0)</f>
        <v>10</v>
      </c>
      <c r="B3354" s="406">
        <f>IFERROR(__xludf.DUMMYFUNCTION("""COMPUTED_VALUE"""),28039.0)</f>
        <v>28039</v>
      </c>
      <c r="C3354" t="str">
        <f>IFERROR(__xludf.DUMMYFUNCTION("""COMPUTED_VALUE"""),"GONZALEZ LOPEZ, ISABEL")</f>
        <v>GONZALEZ LOPEZ, ISABEL</v>
      </c>
      <c r="D3354" t="str">
        <f>IFERROR(__xludf.DUMMYFUNCTION("""COMPUTED_VALUE"""),"Sociales 10")</f>
        <v>Sociales 10</v>
      </c>
      <c r="E3354" s="3">
        <f>IFERROR(__xludf.DUMMYFUNCTION("""COMPUTED_VALUE"""),2.0)</f>
        <v>2</v>
      </c>
      <c r="F3354" s="300">
        <v>1.0</v>
      </c>
      <c r="G3354" s="300">
        <v>1.0</v>
      </c>
      <c r="H3354" s="300">
        <v>1.0</v>
      </c>
      <c r="I3354" s="300">
        <v>1.0</v>
      </c>
      <c r="J3354" s="300">
        <v>1.0</v>
      </c>
      <c r="K3354" s="300">
        <v>1.0</v>
      </c>
      <c r="L3354" s="300">
        <v>1.0</v>
      </c>
      <c r="M3354" s="300">
        <v>1.0</v>
      </c>
      <c r="N3354" s="300">
        <v>8.0</v>
      </c>
      <c r="O3354" s="300" t="s">
        <v>968</v>
      </c>
      <c r="P3354" s="300">
        <v>7.0</v>
      </c>
    </row>
    <row r="3355">
      <c r="A3355">
        <f>IFERROR(__xludf.DUMMYFUNCTION("""COMPUTED_VALUE"""),10.0)</f>
        <v>10</v>
      </c>
      <c r="B3355" s="406">
        <f>IFERROR(__xludf.DUMMYFUNCTION("""COMPUTED_VALUE"""),28147.0)</f>
        <v>28147</v>
      </c>
      <c r="C3355" t="str">
        <f>IFERROR(__xludf.DUMMYFUNCTION("""COMPUTED_VALUE"""),"OSPINA STERLING, DULCE MARIA")</f>
        <v>OSPINA STERLING, DULCE MARIA</v>
      </c>
      <c r="D3355" t="str">
        <f>IFERROR(__xludf.DUMMYFUNCTION("""COMPUTED_VALUE"""),"Sociales 10")</f>
        <v>Sociales 10</v>
      </c>
      <c r="E3355" s="3">
        <f>IFERROR(__xludf.DUMMYFUNCTION("""COMPUTED_VALUE"""),7.0)</f>
        <v>7</v>
      </c>
      <c r="F3355" s="300">
        <v>1.0</v>
      </c>
      <c r="G3355" s="300">
        <v>1.0</v>
      </c>
      <c r="H3355" s="300">
        <v>1.0</v>
      </c>
      <c r="I3355" s="300">
        <v>1.0</v>
      </c>
      <c r="J3355" s="300">
        <v>1.0</v>
      </c>
      <c r="K3355" s="300">
        <v>1.0</v>
      </c>
      <c r="L3355" s="300">
        <v>1.0</v>
      </c>
      <c r="M3355" s="300">
        <v>1.0</v>
      </c>
      <c r="N3355" s="300">
        <v>8.0</v>
      </c>
      <c r="O3355" s="300" t="s">
        <v>964</v>
      </c>
      <c r="P3355" s="300">
        <v>7.0</v>
      </c>
    </row>
    <row r="3356">
      <c r="A3356">
        <f>IFERROR(__xludf.DUMMYFUNCTION("""COMPUTED_VALUE"""),10.0)</f>
        <v>10</v>
      </c>
      <c r="B3356" s="406">
        <f>IFERROR(__xludf.DUMMYFUNCTION("""COMPUTED_VALUE"""),28088.0)</f>
        <v>28088</v>
      </c>
      <c r="C3356" t="str">
        <f>IFERROR(__xludf.DUMMYFUNCTION("""COMPUTED_VALUE"""),"QUINTERO VARGAS, ALICIA")</f>
        <v>QUINTERO VARGAS, ALICIA</v>
      </c>
      <c r="D3356" t="str">
        <f>IFERROR(__xludf.DUMMYFUNCTION("""COMPUTED_VALUE"""),"Sociales 10")</f>
        <v>Sociales 10</v>
      </c>
      <c r="E3356" s="3">
        <f>IFERROR(__xludf.DUMMYFUNCTION("""COMPUTED_VALUE"""),5.0)</f>
        <v>5</v>
      </c>
      <c r="F3356" s="300">
        <v>1.0</v>
      </c>
      <c r="G3356" s="300">
        <v>1.0</v>
      </c>
      <c r="H3356" s="300">
        <v>1.0</v>
      </c>
      <c r="I3356" s="300">
        <v>1.0</v>
      </c>
      <c r="J3356" s="300">
        <v>1.0</v>
      </c>
      <c r="K3356" s="300">
        <v>1.0</v>
      </c>
      <c r="L3356" s="300">
        <v>1.0</v>
      </c>
      <c r="M3356" s="300">
        <v>1.0</v>
      </c>
      <c r="N3356" s="300">
        <v>8.0</v>
      </c>
      <c r="O3356" s="300" t="s">
        <v>965</v>
      </c>
      <c r="P3356" s="300">
        <v>7.0</v>
      </c>
    </row>
    <row r="3357">
      <c r="A3357">
        <f>IFERROR(__xludf.DUMMYFUNCTION("""COMPUTED_VALUE"""),10.0)</f>
        <v>10</v>
      </c>
      <c r="B3357" s="406">
        <f>IFERROR(__xludf.DUMMYFUNCTION("""COMPUTED_VALUE"""),28029.0)</f>
        <v>28029</v>
      </c>
      <c r="C3357" t="str">
        <f>IFERROR(__xludf.DUMMYFUNCTION("""COMPUTED_VALUE"""),"FORERO MEJIA, EMILIO")</f>
        <v>FORERO MEJIA, EMILIO</v>
      </c>
      <c r="D3357" t="str">
        <f>IFERROR(__xludf.DUMMYFUNCTION("""COMPUTED_VALUE"""),"Sociales 10")</f>
        <v>Sociales 10</v>
      </c>
      <c r="E3357" s="3">
        <f>IFERROR(__xludf.DUMMYFUNCTION("""COMPUTED_VALUE"""),4.0)</f>
        <v>4</v>
      </c>
      <c r="F3357" s="300">
        <v>1.0</v>
      </c>
      <c r="G3357" s="300">
        <v>1.0</v>
      </c>
      <c r="H3357" s="300">
        <v>1.0</v>
      </c>
      <c r="I3357" s="300">
        <v>1.0</v>
      </c>
      <c r="J3357" s="300">
        <v>1.0</v>
      </c>
      <c r="K3357" s="300">
        <v>1.0</v>
      </c>
      <c r="L3357" s="300">
        <v>1.0</v>
      </c>
      <c r="M3357" s="300">
        <v>1.0</v>
      </c>
      <c r="N3357" s="300">
        <v>8.0</v>
      </c>
      <c r="O3357" s="300" t="s">
        <v>969</v>
      </c>
      <c r="P3357" s="300">
        <v>7.0</v>
      </c>
    </row>
    <row r="3358">
      <c r="A3358">
        <f>IFERROR(__xludf.DUMMYFUNCTION("""COMPUTED_VALUE"""),10.0)</f>
        <v>10</v>
      </c>
      <c r="B3358" s="406">
        <f>IFERROR(__xludf.DUMMYFUNCTION("""COMPUTED_VALUE"""),28084.0)</f>
        <v>28084</v>
      </c>
      <c r="C3358" t="str">
        <f>IFERROR(__xludf.DUMMYFUNCTION("""COMPUTED_VALUE"""),"PINEDA ARANGO, JERONIMO")</f>
        <v>PINEDA ARANGO, JERONIMO</v>
      </c>
      <c r="D3358" t="str">
        <f>IFERROR(__xludf.DUMMYFUNCTION("""COMPUTED_VALUE"""),"Sociales 10")</f>
        <v>Sociales 10</v>
      </c>
      <c r="E3358" s="3">
        <f>IFERROR(__xludf.DUMMYFUNCTION("""COMPUTED_VALUE"""),7.0)</f>
        <v>7</v>
      </c>
      <c r="F3358" s="300">
        <v>1.0</v>
      </c>
      <c r="G3358" s="300">
        <v>1.0</v>
      </c>
      <c r="H3358" s="300">
        <v>1.0</v>
      </c>
      <c r="I3358" s="300">
        <v>1.0</v>
      </c>
      <c r="J3358" s="300">
        <v>1.0</v>
      </c>
      <c r="K3358" s="300">
        <v>1.0</v>
      </c>
      <c r="L3358" s="300">
        <v>1.0</v>
      </c>
      <c r="M3358" s="300">
        <v>1.0</v>
      </c>
      <c r="N3358" s="300">
        <v>8.0</v>
      </c>
      <c r="O3358" s="300" t="s">
        <v>964</v>
      </c>
      <c r="P3358" s="300">
        <v>7.0</v>
      </c>
    </row>
    <row r="3359">
      <c r="A3359">
        <f>IFERROR(__xludf.DUMMYFUNCTION("""COMPUTED_VALUE"""),10.0)</f>
        <v>10</v>
      </c>
      <c r="B3359" s="406">
        <f>IFERROR(__xludf.DUMMYFUNCTION("""COMPUTED_VALUE"""),28114.0)</f>
        <v>28114</v>
      </c>
      <c r="C3359" t="str">
        <f>IFERROR(__xludf.DUMMYFUNCTION("""COMPUTED_VALUE"""),"VELEZ CORREA, SAMUEL")</f>
        <v>VELEZ CORREA, SAMUEL</v>
      </c>
      <c r="D3359" t="str">
        <f>IFERROR(__xludf.DUMMYFUNCTION("""COMPUTED_VALUE"""),"Sociales 10")</f>
        <v>Sociales 10</v>
      </c>
      <c r="E3359" s="3">
        <f>IFERROR(__xludf.DUMMYFUNCTION("""COMPUTED_VALUE"""),1.0)</f>
        <v>1</v>
      </c>
      <c r="F3359" s="300">
        <v>1.0</v>
      </c>
      <c r="G3359" s="300">
        <v>1.0</v>
      </c>
      <c r="H3359" s="300">
        <v>1.0</v>
      </c>
      <c r="I3359" s="300">
        <v>1.0</v>
      </c>
      <c r="J3359" s="300">
        <v>1.0</v>
      </c>
      <c r="K3359" s="300">
        <v>1.0</v>
      </c>
      <c r="L3359" s="300">
        <v>1.0</v>
      </c>
      <c r="M3359" s="300">
        <v>1.0</v>
      </c>
      <c r="N3359" s="300">
        <v>8.0</v>
      </c>
      <c r="O3359" s="300" t="s">
        <v>970</v>
      </c>
      <c r="P3359" s="300">
        <v>7.0</v>
      </c>
    </row>
    <row r="3360">
      <c r="A3360">
        <f>IFERROR(__xludf.DUMMYFUNCTION("""COMPUTED_VALUE"""),10.0)</f>
        <v>10</v>
      </c>
      <c r="B3360" s="406">
        <f>IFERROR(__xludf.DUMMYFUNCTION("""COMPUTED_VALUE"""),28064.0)</f>
        <v>28064</v>
      </c>
      <c r="C3360" t="str">
        <f>IFERROR(__xludf.DUMMYFUNCTION("""COMPUTED_VALUE"""),"MEJIA MANTILLA, TOMAS")</f>
        <v>MEJIA MANTILLA, TOMAS</v>
      </c>
      <c r="D3360" t="str">
        <f>IFERROR(__xludf.DUMMYFUNCTION("""COMPUTED_VALUE"""),"Sociales 10")</f>
        <v>Sociales 10</v>
      </c>
      <c r="E3360" s="3">
        <f>IFERROR(__xludf.DUMMYFUNCTION("""COMPUTED_VALUE"""),5.0)</f>
        <v>5</v>
      </c>
      <c r="F3360" s="300">
        <v>1.0</v>
      </c>
      <c r="G3360" s="300">
        <v>1.0</v>
      </c>
      <c r="H3360" s="300">
        <v>1.0</v>
      </c>
      <c r="I3360" s="300">
        <v>1.0</v>
      </c>
      <c r="J3360" s="300">
        <v>1.0</v>
      </c>
      <c r="K3360" s="300">
        <v>1.0</v>
      </c>
      <c r="L3360" s="300">
        <v>1.0</v>
      </c>
      <c r="M3360" s="300">
        <v>1.0</v>
      </c>
      <c r="N3360" s="300">
        <v>8.0</v>
      </c>
      <c r="O3360" s="300" t="s">
        <v>965</v>
      </c>
      <c r="P3360" s="300">
        <v>7.0</v>
      </c>
    </row>
    <row r="3361">
      <c r="A3361">
        <f>IFERROR(__xludf.DUMMYFUNCTION("""COMPUTED_VALUE"""),10.0)</f>
        <v>10</v>
      </c>
      <c r="B3361" s="406">
        <f>IFERROR(__xludf.DUMMYFUNCTION("""COMPUTED_VALUE"""),28036.0)</f>
        <v>28036</v>
      </c>
      <c r="C3361" t="str">
        <f>IFERROR(__xludf.DUMMYFUNCTION("""COMPUTED_VALUE"""),"GOMEZ LINCE, NICOLAS")</f>
        <v>GOMEZ LINCE, NICOLAS</v>
      </c>
      <c r="D3361" t="str">
        <f>IFERROR(__xludf.DUMMYFUNCTION("""COMPUTED_VALUE"""),"Sociales 10")</f>
        <v>Sociales 10</v>
      </c>
      <c r="E3361" s="3">
        <f>IFERROR(__xludf.DUMMYFUNCTION("""COMPUTED_VALUE"""),4.0)</f>
        <v>4</v>
      </c>
      <c r="F3361" s="300">
        <v>1.0</v>
      </c>
      <c r="G3361" s="300">
        <v>1.0</v>
      </c>
      <c r="H3361" s="300">
        <v>1.0</v>
      </c>
      <c r="I3361" s="300">
        <v>1.0</v>
      </c>
      <c r="J3361" s="300">
        <v>1.0</v>
      </c>
      <c r="K3361" s="300">
        <v>1.0</v>
      </c>
      <c r="L3361" s="300">
        <v>1.0</v>
      </c>
      <c r="M3361" s="300">
        <v>1.0</v>
      </c>
      <c r="N3361" s="300">
        <v>8.0</v>
      </c>
      <c r="O3361" s="300" t="s">
        <v>969</v>
      </c>
      <c r="P3361" s="300">
        <v>7.0</v>
      </c>
    </row>
    <row r="3362">
      <c r="A3362">
        <f>IFERROR(__xludf.DUMMYFUNCTION("""COMPUTED_VALUE"""),10.0)</f>
        <v>10</v>
      </c>
      <c r="B3362" s="406">
        <f>IFERROR(__xludf.DUMMYFUNCTION("""COMPUTED_VALUE"""),28076.0)</f>
        <v>28076</v>
      </c>
      <c r="C3362" t="str">
        <f>IFERROR(__xludf.DUMMYFUNCTION("""COMPUTED_VALUE"""),"OLAYA CARDENAS, CAMILA")</f>
        <v>OLAYA CARDENAS, CAMILA</v>
      </c>
      <c r="D3362" t="str">
        <f>IFERROR(__xludf.DUMMYFUNCTION("""COMPUTED_VALUE"""),"Sociales 10")</f>
        <v>Sociales 10</v>
      </c>
      <c r="E3362" s="3">
        <f>IFERROR(__xludf.DUMMYFUNCTION("""COMPUTED_VALUE"""),2.0)</f>
        <v>2</v>
      </c>
      <c r="F3362" s="300">
        <v>1.0</v>
      </c>
      <c r="G3362" s="300">
        <v>1.0</v>
      </c>
      <c r="H3362" s="300">
        <v>1.0</v>
      </c>
      <c r="I3362" s="300">
        <v>1.0</v>
      </c>
      <c r="J3362" s="300">
        <v>1.0</v>
      </c>
      <c r="K3362" s="300">
        <v>1.0</v>
      </c>
      <c r="L3362" s="300">
        <v>1.0</v>
      </c>
      <c r="M3362" s="300">
        <v>1.0</v>
      </c>
      <c r="N3362" s="300">
        <v>8.0</v>
      </c>
      <c r="O3362" s="300" t="s">
        <v>968</v>
      </c>
      <c r="P3362" s="300">
        <v>7.0</v>
      </c>
    </row>
    <row r="3363">
      <c r="A3363">
        <f>IFERROR(__xludf.DUMMYFUNCTION("""COMPUTED_VALUE"""),10.0)</f>
        <v>10</v>
      </c>
      <c r="B3363" s="406">
        <f>IFERROR(__xludf.DUMMYFUNCTION("""COMPUTED_VALUE"""),28164.0)</f>
        <v>28164</v>
      </c>
      <c r="C3363" s="406" t="str">
        <f>IFERROR(__xludf.DUMMYFUNCTION("""COMPUTED_VALUE"""),"WOODWORTH, MIA ISABELLA")</f>
        <v>WOODWORTH, MIA ISABELLA</v>
      </c>
      <c r="D3363" t="str">
        <f>IFERROR(__xludf.DUMMYFUNCTION("""COMPUTED_VALUE"""),"Sociales 10")</f>
        <v>Sociales 10</v>
      </c>
      <c r="E3363" s="3">
        <f>IFERROR(__xludf.DUMMYFUNCTION("""COMPUTED_VALUE"""),7.0)</f>
        <v>7</v>
      </c>
      <c r="F3363" s="300">
        <v>1.0</v>
      </c>
      <c r="G3363" s="300">
        <v>1.0</v>
      </c>
      <c r="H3363" s="300">
        <v>1.0</v>
      </c>
      <c r="I3363" s="300">
        <v>1.0</v>
      </c>
      <c r="J3363" s="300">
        <v>1.0</v>
      </c>
      <c r="K3363" s="300">
        <v>1.0</v>
      </c>
      <c r="L3363" s="300">
        <v>1.0</v>
      </c>
      <c r="M3363" s="300">
        <v>1.0</v>
      </c>
      <c r="N3363" s="300">
        <v>8.0</v>
      </c>
      <c r="O3363" s="300" t="s">
        <v>964</v>
      </c>
      <c r="P3363" s="300">
        <v>7.0</v>
      </c>
    </row>
    <row r="3364">
      <c r="A3364">
        <f>IFERROR(__xludf.DUMMYFUNCTION("""COMPUTED_VALUE"""),10.0)</f>
        <v>10</v>
      </c>
      <c r="B3364" s="406">
        <f>IFERROR(__xludf.DUMMYFUNCTION("""COMPUTED_VALUE"""),27088.0)</f>
        <v>27088</v>
      </c>
      <c r="C3364" t="str">
        <f>IFERROR(__xludf.DUMMYFUNCTION("""COMPUTED_VALUE"""),"PEREZ JARAMILLO, AGUSTIN")</f>
        <v>PEREZ JARAMILLO, AGUSTIN</v>
      </c>
      <c r="D3364" t="str">
        <f>IFERROR(__xludf.DUMMYFUNCTION("""COMPUTED_VALUE"""),"Sociales 10")</f>
        <v>Sociales 10</v>
      </c>
      <c r="E3364" s="3">
        <f>IFERROR(__xludf.DUMMYFUNCTION("""COMPUTED_VALUE"""),1.0)</f>
        <v>1</v>
      </c>
      <c r="F3364" s="300">
        <v>1.0</v>
      </c>
      <c r="G3364" s="300">
        <v>1.0</v>
      </c>
      <c r="H3364" s="300">
        <v>1.0</v>
      </c>
      <c r="I3364" s="300">
        <v>1.0</v>
      </c>
      <c r="J3364" s="300">
        <v>1.0</v>
      </c>
      <c r="K3364" s="300">
        <v>1.0</v>
      </c>
      <c r="L3364" s="300">
        <v>1.0</v>
      </c>
      <c r="M3364" s="300">
        <v>1.0</v>
      </c>
      <c r="N3364" s="300">
        <v>8.0</v>
      </c>
      <c r="O3364" s="300" t="s">
        <v>970</v>
      </c>
      <c r="P3364" s="300">
        <v>7.0</v>
      </c>
    </row>
    <row r="3365">
      <c r="A3365">
        <f>IFERROR(__xludf.DUMMYFUNCTION("""COMPUTED_VALUE"""),10.0)</f>
        <v>10</v>
      </c>
      <c r="B3365" s="406">
        <f>IFERROR(__xludf.DUMMYFUNCTION("""COMPUTED_VALUE"""),28060.0)</f>
        <v>28060</v>
      </c>
      <c r="C3365" t="str">
        <f>IFERROR(__xludf.DUMMYFUNCTION("""COMPUTED_VALUE"""),"MEDINA LONDOÑO, PABLO")</f>
        <v>MEDINA LONDOÑO, PABLO</v>
      </c>
      <c r="D3365" t="str">
        <f>IFERROR(__xludf.DUMMYFUNCTION("""COMPUTED_VALUE"""),"Sociales 10")</f>
        <v>Sociales 10</v>
      </c>
      <c r="E3365" s="3">
        <f>IFERROR(__xludf.DUMMYFUNCTION("""COMPUTED_VALUE"""),5.0)</f>
        <v>5</v>
      </c>
      <c r="F3365" s="300">
        <v>1.0</v>
      </c>
      <c r="G3365" s="300">
        <v>1.0</v>
      </c>
      <c r="H3365" s="300">
        <v>1.0</v>
      </c>
      <c r="I3365" s="300">
        <v>1.0</v>
      </c>
      <c r="J3365" s="300">
        <v>1.0</v>
      </c>
      <c r="K3365" s="300">
        <v>1.0</v>
      </c>
      <c r="L3365" s="300">
        <v>1.0</v>
      </c>
      <c r="M3365" s="300">
        <v>1.0</v>
      </c>
      <c r="N3365" s="300">
        <v>8.0</v>
      </c>
      <c r="O3365" s="300" t="s">
        <v>965</v>
      </c>
      <c r="P3365" s="300">
        <v>7.0</v>
      </c>
    </row>
    <row r="3366">
      <c r="A3366">
        <f>IFERROR(__xludf.DUMMYFUNCTION("""COMPUTED_VALUE"""),10.0)</f>
        <v>10</v>
      </c>
      <c r="B3366" s="406">
        <f>IFERROR(__xludf.DUMMYFUNCTION("""COMPUTED_VALUE"""),28034.0)</f>
        <v>28034</v>
      </c>
      <c r="C3366" t="str">
        <f>IFERROR(__xludf.DUMMYFUNCTION("""COMPUTED_VALUE"""),"GARCIA ISAZA, TOMAS")</f>
        <v>GARCIA ISAZA, TOMAS</v>
      </c>
      <c r="D3366" t="str">
        <f>IFERROR(__xludf.DUMMYFUNCTION("""COMPUTED_VALUE"""),"Sociales 10")</f>
        <v>Sociales 10</v>
      </c>
      <c r="E3366" s="3">
        <f>IFERROR(__xludf.DUMMYFUNCTION("""COMPUTED_VALUE"""),5.0)</f>
        <v>5</v>
      </c>
      <c r="F3366" s="300">
        <v>1.0</v>
      </c>
      <c r="G3366" s="300">
        <v>1.0</v>
      </c>
      <c r="H3366" s="300">
        <v>1.0</v>
      </c>
      <c r="I3366" s="300">
        <v>1.0</v>
      </c>
      <c r="J3366" s="300">
        <v>1.0</v>
      </c>
      <c r="K3366" s="300">
        <v>1.0</v>
      </c>
      <c r="L3366" s="300">
        <v>1.0</v>
      </c>
      <c r="M3366" s="300">
        <v>1.0</v>
      </c>
      <c r="N3366" s="300">
        <v>8.0</v>
      </c>
      <c r="O3366" s="300" t="s">
        <v>965</v>
      </c>
      <c r="P3366" s="300">
        <v>7.0</v>
      </c>
    </row>
    <row r="3367">
      <c r="A3367">
        <f>IFERROR(__xludf.DUMMYFUNCTION("""COMPUTED_VALUE"""),10.0)</f>
        <v>10</v>
      </c>
      <c r="B3367" s="406">
        <f>IFERROR(__xludf.DUMMYFUNCTION("""COMPUTED_VALUE"""),28049.0)</f>
        <v>28049</v>
      </c>
      <c r="C3367" t="str">
        <f>IFERROR(__xludf.DUMMYFUNCTION("""COMPUTED_VALUE"""),"JARAMILLO ARANGO, ELENA")</f>
        <v>JARAMILLO ARANGO, ELENA</v>
      </c>
      <c r="D3367" t="str">
        <f>IFERROR(__xludf.DUMMYFUNCTION("""COMPUTED_VALUE"""),"Sociales 10")</f>
        <v>Sociales 10</v>
      </c>
      <c r="E3367" s="3">
        <f>IFERROR(__xludf.DUMMYFUNCTION("""COMPUTED_VALUE"""),1.0)</f>
        <v>1</v>
      </c>
      <c r="F3367" s="300">
        <v>1.0</v>
      </c>
      <c r="G3367" s="300">
        <v>1.0</v>
      </c>
      <c r="H3367" s="300">
        <v>1.0</v>
      </c>
      <c r="I3367" s="300">
        <v>1.0</v>
      </c>
      <c r="J3367" s="300">
        <v>1.0</v>
      </c>
      <c r="K3367" s="300">
        <v>1.0</v>
      </c>
      <c r="L3367" s="300">
        <v>1.0</v>
      </c>
      <c r="M3367" s="300">
        <v>1.0</v>
      </c>
      <c r="N3367" s="300">
        <v>8.0</v>
      </c>
      <c r="O3367" s="300" t="s">
        <v>970</v>
      </c>
      <c r="P3367" s="300">
        <v>7.0</v>
      </c>
    </row>
    <row r="3368">
      <c r="A3368">
        <f>IFERROR(__xludf.DUMMYFUNCTION("""COMPUTED_VALUE"""),10.0)</f>
        <v>10</v>
      </c>
      <c r="B3368" s="406">
        <f>IFERROR(__xludf.DUMMYFUNCTION("""COMPUTED_VALUE"""),28024.0)</f>
        <v>28024</v>
      </c>
      <c r="C3368" t="str">
        <f>IFERROR(__xludf.DUMMYFUNCTION("""COMPUTED_VALUE"""),"ESCOBAR CASTAÑO, NICOLAS")</f>
        <v>ESCOBAR CASTAÑO, NICOLAS</v>
      </c>
      <c r="D3368" t="str">
        <f>IFERROR(__xludf.DUMMYFUNCTION("""COMPUTED_VALUE"""),"Sociales 10")</f>
        <v>Sociales 10</v>
      </c>
      <c r="E3368" s="3">
        <f>IFERROR(__xludf.DUMMYFUNCTION("""COMPUTED_VALUE"""),4.0)</f>
        <v>4</v>
      </c>
      <c r="F3368" s="300">
        <v>1.0</v>
      </c>
      <c r="G3368" s="300">
        <v>1.0</v>
      </c>
      <c r="H3368" s="300">
        <v>1.0</v>
      </c>
      <c r="I3368" s="300">
        <v>1.0</v>
      </c>
      <c r="J3368" s="300">
        <v>1.0</v>
      </c>
      <c r="K3368" s="300">
        <v>1.0</v>
      </c>
      <c r="L3368" s="300">
        <v>1.0</v>
      </c>
      <c r="M3368" s="300">
        <v>1.0</v>
      </c>
      <c r="N3368" s="300">
        <v>8.0</v>
      </c>
      <c r="O3368" s="300" t="s">
        <v>969</v>
      </c>
      <c r="P3368" s="300">
        <v>7.0</v>
      </c>
    </row>
    <row r="3369">
      <c r="A3369">
        <f>IFERROR(__xludf.DUMMYFUNCTION("""COMPUTED_VALUE"""),10.0)</f>
        <v>10</v>
      </c>
      <c r="B3369" s="406">
        <f>IFERROR(__xludf.DUMMYFUNCTION("""COMPUTED_VALUE"""),28093.0)</f>
        <v>28093</v>
      </c>
      <c r="C3369" t="str">
        <f>IFERROR(__xludf.DUMMYFUNCTION("""COMPUTED_VALUE"""),"RESTREPO ELEJALDE, LUCIANO")</f>
        <v>RESTREPO ELEJALDE, LUCIANO</v>
      </c>
      <c r="D3369" t="str">
        <f>IFERROR(__xludf.DUMMYFUNCTION("""COMPUTED_VALUE"""),"Sociales 10")</f>
        <v>Sociales 10</v>
      </c>
      <c r="E3369" s="3">
        <f>IFERROR(__xludf.DUMMYFUNCTION("""COMPUTED_VALUE"""),5.0)</f>
        <v>5</v>
      </c>
      <c r="F3369" s="300">
        <v>1.0</v>
      </c>
      <c r="G3369" s="300">
        <v>1.0</v>
      </c>
      <c r="H3369" s="300">
        <v>1.0</v>
      </c>
      <c r="I3369" s="300">
        <v>1.0</v>
      </c>
      <c r="J3369" s="300">
        <v>1.0</v>
      </c>
      <c r="K3369" s="300">
        <v>1.0</v>
      </c>
      <c r="L3369" s="300">
        <v>1.0</v>
      </c>
      <c r="M3369" s="300">
        <v>1.0</v>
      </c>
      <c r="N3369" s="300">
        <v>8.0</v>
      </c>
      <c r="O3369" s="300" t="s">
        <v>965</v>
      </c>
      <c r="P3369" s="300">
        <v>7.0</v>
      </c>
    </row>
    <row r="3370">
      <c r="A3370">
        <f>IFERROR(__xludf.DUMMYFUNCTION("""COMPUTED_VALUE"""),10.0)</f>
        <v>10</v>
      </c>
      <c r="B3370" s="406">
        <f>IFERROR(__xludf.DUMMYFUNCTION("""COMPUTED_VALUE"""),28070.0)</f>
        <v>28070</v>
      </c>
      <c r="C3370" t="str">
        <f>IFERROR(__xludf.DUMMYFUNCTION("""COMPUTED_VALUE"""),"MORENO RESTREPO, MARTIN")</f>
        <v>MORENO RESTREPO, MARTIN</v>
      </c>
      <c r="D3370" t="str">
        <f>IFERROR(__xludf.DUMMYFUNCTION("""COMPUTED_VALUE"""),"Sociales 10")</f>
        <v>Sociales 10</v>
      </c>
      <c r="E3370" s="3">
        <f>IFERROR(__xludf.DUMMYFUNCTION("""COMPUTED_VALUE"""),3.0)</f>
        <v>3</v>
      </c>
      <c r="F3370" s="300">
        <v>1.0</v>
      </c>
      <c r="G3370" s="300">
        <v>1.0</v>
      </c>
      <c r="H3370" s="300">
        <v>1.0</v>
      </c>
      <c r="I3370" s="300">
        <v>1.0</v>
      </c>
      <c r="J3370" s="300">
        <v>1.0</v>
      </c>
      <c r="K3370" s="300">
        <v>1.0</v>
      </c>
      <c r="L3370" s="300">
        <v>1.0</v>
      </c>
      <c r="M3370" s="300">
        <v>1.0</v>
      </c>
      <c r="N3370" s="300">
        <v>8.0</v>
      </c>
      <c r="O3370" s="300" t="s">
        <v>967</v>
      </c>
      <c r="P3370" s="300">
        <v>7.0</v>
      </c>
    </row>
    <row r="3371">
      <c r="A3371">
        <f>IFERROR(__xludf.DUMMYFUNCTION("""COMPUTED_VALUE"""),10.0)</f>
        <v>10</v>
      </c>
      <c r="B3371" s="406">
        <f>IFERROR(__xludf.DUMMYFUNCTION("""COMPUTED_VALUE"""),28110.0)</f>
        <v>28110</v>
      </c>
      <c r="C3371" t="str">
        <f>IFERROR(__xludf.DUMMYFUNCTION("""COMPUTED_VALUE"""),"VARGAS URIBE, LORENZO")</f>
        <v>VARGAS URIBE, LORENZO</v>
      </c>
      <c r="D3371" t="str">
        <f>IFERROR(__xludf.DUMMYFUNCTION("""COMPUTED_VALUE"""),"Sociales 10")</f>
        <v>Sociales 10</v>
      </c>
      <c r="E3371" s="3">
        <f>IFERROR(__xludf.DUMMYFUNCTION("""COMPUTED_VALUE"""),5.0)</f>
        <v>5</v>
      </c>
      <c r="F3371" s="300">
        <v>1.0</v>
      </c>
      <c r="G3371" s="300">
        <v>1.0</v>
      </c>
      <c r="H3371" s="300">
        <v>1.0</v>
      </c>
      <c r="I3371" s="300">
        <v>1.0</v>
      </c>
      <c r="J3371" s="300">
        <v>1.0</v>
      </c>
      <c r="K3371" s="300">
        <v>1.0</v>
      </c>
      <c r="L3371" s="300">
        <v>1.0</v>
      </c>
      <c r="M3371" s="300">
        <v>1.0</v>
      </c>
      <c r="N3371" s="300">
        <v>8.0</v>
      </c>
      <c r="O3371" s="300" t="s">
        <v>965</v>
      </c>
      <c r="P3371" s="300">
        <v>7.0</v>
      </c>
    </row>
    <row r="3372">
      <c r="A3372">
        <f>IFERROR(__xludf.DUMMYFUNCTION("""COMPUTED_VALUE"""),10.0)</f>
        <v>10</v>
      </c>
      <c r="B3372" s="406">
        <f>IFERROR(__xludf.DUMMYFUNCTION("""COMPUTED_VALUE"""),28066.0)</f>
        <v>28066</v>
      </c>
      <c r="C3372" t="str">
        <f>IFERROR(__xludf.DUMMYFUNCTION("""COMPUTED_VALUE"""),"MEJIA VELEZ, CANDELARIA")</f>
        <v>MEJIA VELEZ, CANDELARIA</v>
      </c>
      <c r="D3372" t="str">
        <f>IFERROR(__xludf.DUMMYFUNCTION("""COMPUTED_VALUE"""),"Sociales 10")</f>
        <v>Sociales 10</v>
      </c>
      <c r="E3372" s="3">
        <f>IFERROR(__xludf.DUMMYFUNCTION("""COMPUTED_VALUE"""),1.0)</f>
        <v>1</v>
      </c>
      <c r="F3372" s="300">
        <v>1.0</v>
      </c>
      <c r="G3372" s="300">
        <v>1.0</v>
      </c>
      <c r="H3372" s="300">
        <v>1.0</v>
      </c>
      <c r="I3372" s="300">
        <v>1.0</v>
      </c>
      <c r="J3372" s="300">
        <v>1.0</v>
      </c>
      <c r="K3372" s="300">
        <v>1.0</v>
      </c>
      <c r="L3372" s="300">
        <v>1.0</v>
      </c>
      <c r="M3372" s="300">
        <v>1.0</v>
      </c>
      <c r="N3372" s="300">
        <v>8.0</v>
      </c>
      <c r="O3372" s="300" t="s">
        <v>970</v>
      </c>
      <c r="P3372" s="300">
        <v>7.0</v>
      </c>
    </row>
    <row r="3373">
      <c r="A3373">
        <f>IFERROR(__xludf.DUMMYFUNCTION("""COMPUTED_VALUE"""),10.0)</f>
        <v>10</v>
      </c>
      <c r="B3373" s="406">
        <f>IFERROR(__xludf.DUMMYFUNCTION("""COMPUTED_VALUE"""),28071.0)</f>
        <v>28071</v>
      </c>
      <c r="C3373" t="str">
        <f>IFERROR(__xludf.DUMMYFUNCTION("""COMPUTED_VALUE"""),"NARANJO PINO, MARTIN")</f>
        <v>NARANJO PINO, MARTIN</v>
      </c>
      <c r="D3373" t="str">
        <f>IFERROR(__xludf.DUMMYFUNCTION("""COMPUTED_VALUE"""),"Sociales 10")</f>
        <v>Sociales 10</v>
      </c>
      <c r="E3373" s="3">
        <f>IFERROR(__xludf.DUMMYFUNCTION("""COMPUTED_VALUE"""),8.0)</f>
        <v>8</v>
      </c>
      <c r="F3373" s="300">
        <v>1.0</v>
      </c>
      <c r="G3373" s="300">
        <v>1.0</v>
      </c>
      <c r="H3373" s="300">
        <v>1.0</v>
      </c>
      <c r="I3373" s="300">
        <v>1.0</v>
      </c>
      <c r="J3373" s="300">
        <v>1.0</v>
      </c>
      <c r="K3373" s="300">
        <v>1.0</v>
      </c>
      <c r="L3373" s="300">
        <v>1.0</v>
      </c>
      <c r="M3373" s="300">
        <v>1.0</v>
      </c>
      <c r="N3373" s="300">
        <v>8.0</v>
      </c>
      <c r="O3373" s="300" t="s">
        <v>966</v>
      </c>
      <c r="P3373" s="300">
        <v>7.0</v>
      </c>
    </row>
    <row r="3374">
      <c r="A3374">
        <f>IFERROR(__xludf.DUMMYFUNCTION("""COMPUTED_VALUE"""),10.0)</f>
        <v>10</v>
      </c>
      <c r="B3374" s="406">
        <f>IFERROR(__xludf.DUMMYFUNCTION("""COMPUTED_VALUE"""),28168.0)</f>
        <v>28168</v>
      </c>
      <c r="C3374" t="str">
        <f>IFERROR(__xludf.DUMMYFUNCTION("""COMPUTED_VALUE"""),"KEILON GRAHAM")</f>
        <v>KEILON GRAHAM</v>
      </c>
      <c r="D3374" t="str">
        <f>IFERROR(__xludf.DUMMYFUNCTION("""COMPUTED_VALUE"""),"Anatomy and Physiology")</f>
        <v>Anatomy and Physiology</v>
      </c>
      <c r="E3374" s="3">
        <f>IFERROR(__xludf.DUMMYFUNCTION("""COMPUTED_VALUE"""),4.0)</f>
        <v>4</v>
      </c>
      <c r="F3374" s="300">
        <v>1.0</v>
      </c>
      <c r="G3374" s="300">
        <v>1.0</v>
      </c>
      <c r="H3374" s="300">
        <v>1.0</v>
      </c>
      <c r="I3374" s="300">
        <v>1.0</v>
      </c>
      <c r="J3374" s="300">
        <v>1.0</v>
      </c>
      <c r="K3374" s="300">
        <v>1.0</v>
      </c>
      <c r="L3374" s="300">
        <v>1.0</v>
      </c>
      <c r="M3374" s="300">
        <v>1.0</v>
      </c>
      <c r="N3374" s="300">
        <v>8.0</v>
      </c>
      <c r="O3374" s="300" t="s">
        <v>895</v>
      </c>
      <c r="P3374" s="300">
        <v>2.0</v>
      </c>
    </row>
    <row r="3375">
      <c r="A3375">
        <f>IFERROR(__xludf.DUMMYFUNCTION("""COMPUTED_VALUE"""),11.0)</f>
        <v>11</v>
      </c>
      <c r="B3375" s="406">
        <f>IFERROR(__xludf.DUMMYFUNCTION("""COMPUTED_VALUE"""),27118.0)</f>
        <v>27118</v>
      </c>
      <c r="C3375" t="str">
        <f>IFERROR(__xludf.DUMMYFUNCTION("""COMPUTED_VALUE"""),"URIBE SIERRA, SOFIA")</f>
        <v>URIBE SIERRA, SOFIA</v>
      </c>
      <c r="D3375" t="str">
        <f>IFERROR(__xludf.DUMMYFUNCTION("""COMPUTED_VALUE"""),"Life Purpose")</f>
        <v>Life Purpose</v>
      </c>
      <c r="E3375" s="3">
        <f>IFERROR(__xludf.DUMMYFUNCTION("""COMPUTED_VALUE"""),2.0)</f>
        <v>2</v>
      </c>
      <c r="F3375" s="300">
        <v>1.0</v>
      </c>
      <c r="G3375" s="300">
        <v>1.0</v>
      </c>
      <c r="H3375" s="300">
        <v>1.0</v>
      </c>
      <c r="I3375" s="300">
        <v>1.0</v>
      </c>
      <c r="J3375" s="300">
        <v>1.0</v>
      </c>
      <c r="K3375" s="300">
        <v>1.0</v>
      </c>
      <c r="L3375" s="300">
        <v>1.0</v>
      </c>
      <c r="M3375" s="300">
        <v>1.0</v>
      </c>
      <c r="N3375" s="300">
        <v>8.0</v>
      </c>
      <c r="O3375" s="300" t="s">
        <v>972</v>
      </c>
      <c r="P3375" s="300">
        <v>6.0</v>
      </c>
    </row>
    <row r="3376">
      <c r="A3376">
        <f>IFERROR(__xludf.DUMMYFUNCTION("""COMPUTED_VALUE"""),11.0)</f>
        <v>11</v>
      </c>
      <c r="B3376" s="406">
        <f>IFERROR(__xludf.DUMMYFUNCTION("""COMPUTED_VALUE"""),27039.0)</f>
        <v>27039</v>
      </c>
      <c r="C3376" t="str">
        <f>IFERROR(__xludf.DUMMYFUNCTION("""COMPUTED_VALUE"""),"GALLEGO LOPEZ, SUSSANA")</f>
        <v>GALLEGO LOPEZ, SUSSANA</v>
      </c>
      <c r="D3376" t="str">
        <f>IFERROR(__xludf.DUMMYFUNCTION("""COMPUTED_VALUE"""),"AP World History")</f>
        <v>AP World History</v>
      </c>
      <c r="E3376" s="3">
        <f>IFERROR(__xludf.DUMMYFUNCTION("""COMPUTED_VALUE"""),6.0)</f>
        <v>6</v>
      </c>
      <c r="F3376" s="300">
        <v>1.0</v>
      </c>
      <c r="G3376" s="300">
        <v>1.0</v>
      </c>
      <c r="H3376" s="300">
        <v>1.0</v>
      </c>
      <c r="I3376" s="300">
        <v>1.0</v>
      </c>
      <c r="J3376" s="300">
        <v>1.0</v>
      </c>
      <c r="K3376" s="300">
        <v>1.0</v>
      </c>
      <c r="L3376" s="300">
        <v>1.0</v>
      </c>
      <c r="M3376" s="300">
        <v>1.0</v>
      </c>
      <c r="N3376" s="300">
        <v>8.0</v>
      </c>
      <c r="O3376" s="300" t="s">
        <v>973</v>
      </c>
      <c r="P3376" s="300">
        <v>2.0</v>
      </c>
    </row>
    <row r="3377">
      <c r="A3377">
        <f>IFERROR(__xludf.DUMMYFUNCTION("""COMPUTED_VALUE"""),11.0)</f>
        <v>11</v>
      </c>
      <c r="B3377" s="406">
        <f>IFERROR(__xludf.DUMMYFUNCTION("""COMPUTED_VALUE"""),27171.0)</f>
        <v>27171</v>
      </c>
      <c r="C3377" t="str">
        <f>IFERROR(__xludf.DUMMYFUNCTION("""COMPUTED_VALUE"""),"BEDOYA PARRA, LAURA")</f>
        <v>BEDOYA PARRA, LAURA</v>
      </c>
      <c r="D3377" t="str">
        <f>IFERROR(__xludf.DUMMYFUNCTION("""COMPUTED_VALUE"""),"AP World History")</f>
        <v>AP World History</v>
      </c>
      <c r="E3377" s="3">
        <f>IFERROR(__xludf.DUMMYFUNCTION("""COMPUTED_VALUE"""),5.0)</f>
        <v>5</v>
      </c>
      <c r="F3377" s="300">
        <v>1.0</v>
      </c>
      <c r="G3377" s="300">
        <v>1.0</v>
      </c>
      <c r="H3377" s="300">
        <v>1.0</v>
      </c>
      <c r="I3377" s="300">
        <v>1.0</v>
      </c>
      <c r="J3377" s="300">
        <v>1.0</v>
      </c>
      <c r="K3377" s="300">
        <v>1.0</v>
      </c>
      <c r="L3377" s="300">
        <v>1.0</v>
      </c>
      <c r="M3377" s="300">
        <v>1.0</v>
      </c>
      <c r="N3377" s="300">
        <v>8.0</v>
      </c>
      <c r="O3377" s="300" t="s">
        <v>974</v>
      </c>
      <c r="P3377" s="300">
        <v>2.0</v>
      </c>
    </row>
    <row r="3378">
      <c r="A3378">
        <f>IFERROR(__xludf.DUMMYFUNCTION("""COMPUTED_VALUE"""),11.0)</f>
        <v>11</v>
      </c>
      <c r="B3378" s="406">
        <f>IFERROR(__xludf.DUMMYFUNCTION("""COMPUTED_VALUE"""),27146.0)</f>
        <v>27146</v>
      </c>
      <c r="C3378" t="str">
        <f>IFERROR(__xludf.DUMMYFUNCTION("""COMPUTED_VALUE"""),"MORALES BAYONA, AMELIA")</f>
        <v>MORALES BAYONA, AMELIA</v>
      </c>
      <c r="D3378" t="str">
        <f>IFERROR(__xludf.DUMMYFUNCTION("""COMPUTED_VALUE"""),"AP Economics")</f>
        <v>AP Economics</v>
      </c>
      <c r="E3378" s="3">
        <f>IFERROR(__xludf.DUMMYFUNCTION("""COMPUTED_VALUE"""),5.0)</f>
        <v>5</v>
      </c>
      <c r="F3378" s="300">
        <v>1.0</v>
      </c>
      <c r="G3378" s="300">
        <v>1.0</v>
      </c>
      <c r="H3378" s="300">
        <v>1.0</v>
      </c>
      <c r="I3378" s="300">
        <v>1.0</v>
      </c>
      <c r="J3378" s="300">
        <v>1.0</v>
      </c>
      <c r="K3378" s="300">
        <v>1.0</v>
      </c>
      <c r="L3378" s="300">
        <v>1.0</v>
      </c>
      <c r="M3378" s="300">
        <v>1.0</v>
      </c>
      <c r="N3378" s="300">
        <v>8.0</v>
      </c>
      <c r="O3378" s="300" t="s">
        <v>975</v>
      </c>
      <c r="P3378" s="300">
        <v>4.0</v>
      </c>
    </row>
    <row r="3379">
      <c r="A3379">
        <f>IFERROR(__xludf.DUMMYFUNCTION("""COMPUTED_VALUE"""),11.0)</f>
        <v>11</v>
      </c>
      <c r="B3379" s="406">
        <f>IFERROR(__xludf.DUMMYFUNCTION("""COMPUTED_VALUE"""),27073.0)</f>
        <v>27073</v>
      </c>
      <c r="C3379" t="str">
        <f>IFERROR(__xludf.DUMMYFUNCTION("""COMPUTED_VALUE"""),"MONTES LOPEZ, SOFIA")</f>
        <v>MONTES LOPEZ, SOFIA</v>
      </c>
      <c r="D3379" t="str">
        <f>IFERROR(__xludf.DUMMYFUNCTION("""COMPUTED_VALUE"""),"Pensar nuestro tiempo")</f>
        <v>Pensar nuestro tiempo</v>
      </c>
      <c r="E3379" s="3">
        <f>IFERROR(__xludf.DUMMYFUNCTION("""COMPUTED_VALUE"""),2.0)</f>
        <v>2</v>
      </c>
      <c r="F3379" s="300">
        <v>1.0</v>
      </c>
      <c r="G3379" s="300">
        <v>1.0</v>
      </c>
      <c r="H3379" s="300">
        <v>1.0</v>
      </c>
      <c r="I3379" s="300">
        <v>1.0</v>
      </c>
      <c r="J3379" s="300">
        <v>1.0</v>
      </c>
      <c r="K3379" s="300">
        <v>1.0</v>
      </c>
      <c r="L3379" s="300">
        <v>1.0</v>
      </c>
      <c r="M3379" s="300">
        <v>1.0</v>
      </c>
      <c r="N3379" s="300">
        <v>8.0</v>
      </c>
      <c r="O3379" s="300" t="s">
        <v>976</v>
      </c>
      <c r="P3379" s="300">
        <v>1.0</v>
      </c>
    </row>
    <row r="3380">
      <c r="A3380">
        <f>IFERROR(__xludf.DUMMYFUNCTION("""COMPUTED_VALUE"""),11.0)</f>
        <v>11</v>
      </c>
      <c r="B3380" s="406">
        <f>IFERROR(__xludf.DUMMYFUNCTION("""COMPUTED_VALUE"""),27139.0)</f>
        <v>27139</v>
      </c>
      <c r="C3380" t="str">
        <f>IFERROR(__xludf.DUMMYFUNCTION("""COMPUTED_VALUE"""),"OCAMPO CEBALLOS, JULIA")</f>
        <v>OCAMPO CEBALLOS, JULIA</v>
      </c>
      <c r="D3380" t="str">
        <f>IFERROR(__xludf.DUMMYFUNCTION("""COMPUTED_VALUE"""),"AP Economics")</f>
        <v>AP Economics</v>
      </c>
      <c r="E3380" s="3">
        <f>IFERROR(__xludf.DUMMYFUNCTION("""COMPUTED_VALUE"""),4.0)</f>
        <v>4</v>
      </c>
      <c r="F3380" s="300">
        <v>1.0</v>
      </c>
      <c r="G3380" s="300">
        <v>1.0</v>
      </c>
      <c r="H3380" s="300">
        <v>1.0</v>
      </c>
      <c r="I3380" s="300">
        <v>1.0</v>
      </c>
      <c r="J3380" s="300">
        <v>1.0</v>
      </c>
      <c r="K3380" s="300">
        <v>1.0</v>
      </c>
      <c r="L3380" s="300">
        <v>1.0</v>
      </c>
      <c r="M3380" s="300">
        <v>1.0</v>
      </c>
      <c r="N3380" s="300">
        <v>8.0</v>
      </c>
      <c r="O3380" s="300" t="s">
        <v>977</v>
      </c>
      <c r="P3380" s="300">
        <v>4.0</v>
      </c>
    </row>
    <row r="3381">
      <c r="A3381">
        <f>IFERROR(__xludf.DUMMYFUNCTION("""COMPUTED_VALUE"""),11.0)</f>
        <v>11</v>
      </c>
      <c r="B3381" s="406">
        <f>IFERROR(__xludf.DUMMYFUNCTION("""COMPUTED_VALUE"""),27020.0)</f>
        <v>27020</v>
      </c>
      <c r="C3381" t="str">
        <f>IFERROR(__xludf.DUMMYFUNCTION("""COMPUTED_VALUE"""),"BOTERO LAVERDE, MARTINA")</f>
        <v>BOTERO LAVERDE, MARTINA</v>
      </c>
      <c r="D3381" t="str">
        <f>IFERROR(__xludf.DUMMYFUNCTION("""COMPUTED_VALUE"""),"Life Purpose")</f>
        <v>Life Purpose</v>
      </c>
      <c r="E3381" s="3">
        <f>IFERROR(__xludf.DUMMYFUNCTION("""COMPUTED_VALUE"""),8.0)</f>
        <v>8</v>
      </c>
      <c r="F3381" s="300">
        <v>1.0</v>
      </c>
      <c r="G3381" s="300">
        <v>1.0</v>
      </c>
      <c r="H3381" s="300">
        <v>1.0</v>
      </c>
      <c r="I3381" s="300">
        <v>1.0</v>
      </c>
      <c r="J3381" s="300">
        <v>1.0</v>
      </c>
      <c r="K3381" s="300">
        <v>1.0</v>
      </c>
      <c r="L3381" s="300">
        <v>1.0</v>
      </c>
      <c r="M3381" s="300">
        <v>1.0</v>
      </c>
      <c r="N3381" s="300">
        <v>8.0</v>
      </c>
      <c r="O3381" s="300" t="s">
        <v>978</v>
      </c>
      <c r="P3381" s="300">
        <v>6.0</v>
      </c>
    </row>
    <row r="3382">
      <c r="A3382">
        <f>IFERROR(__xludf.DUMMYFUNCTION("""COMPUTED_VALUE"""),11.0)</f>
        <v>11</v>
      </c>
      <c r="B3382" s="406">
        <f>IFERROR(__xludf.DUMMYFUNCTION("""COMPUTED_VALUE"""),27059.0)</f>
        <v>27059</v>
      </c>
      <c r="C3382" t="str">
        <f>IFERROR(__xludf.DUMMYFUNCTION("""COMPUTED_VALUE"""),"LOPEZ VELEZ, PAULINA")</f>
        <v>LOPEZ VELEZ, PAULINA</v>
      </c>
      <c r="D3382" t="str">
        <f>IFERROR(__xludf.DUMMYFUNCTION("""COMPUTED_VALUE"""),"Life Purpose")</f>
        <v>Life Purpose</v>
      </c>
      <c r="E3382" s="3">
        <f>IFERROR(__xludf.DUMMYFUNCTION("""COMPUTED_VALUE"""),6.0)</f>
        <v>6</v>
      </c>
      <c r="F3382" s="300">
        <v>1.0</v>
      </c>
      <c r="G3382" s="300">
        <v>1.0</v>
      </c>
      <c r="H3382" s="300">
        <v>1.0</v>
      </c>
      <c r="I3382" s="300">
        <v>1.0</v>
      </c>
      <c r="J3382" s="300">
        <v>1.0</v>
      </c>
      <c r="K3382" s="300">
        <v>1.0</v>
      </c>
      <c r="L3382" s="300">
        <v>1.0</v>
      </c>
      <c r="M3382" s="300">
        <v>1.0</v>
      </c>
      <c r="N3382" s="300">
        <v>8.0</v>
      </c>
      <c r="O3382" s="300" t="s">
        <v>979</v>
      </c>
      <c r="P3382" s="300">
        <v>6.0</v>
      </c>
    </row>
    <row r="3383">
      <c r="A3383">
        <f>IFERROR(__xludf.DUMMYFUNCTION("""COMPUTED_VALUE"""),11.0)</f>
        <v>11</v>
      </c>
      <c r="B3383" s="406">
        <f>IFERROR(__xludf.DUMMYFUNCTION("""COMPUTED_VALUE"""),27051.0)</f>
        <v>27051</v>
      </c>
      <c r="C3383" t="str">
        <f>IFERROR(__xludf.DUMMYFUNCTION("""COMPUTED_VALUE"""),"ISAZA GOMEZ, ELISA")</f>
        <v>ISAZA GOMEZ, ELISA</v>
      </c>
      <c r="D3383" t="str">
        <f>IFERROR(__xludf.DUMMYFUNCTION("""COMPUTED_VALUE"""),"AP Economics")</f>
        <v>AP Economics</v>
      </c>
      <c r="E3383" s="3">
        <f>IFERROR(__xludf.DUMMYFUNCTION("""COMPUTED_VALUE"""),8.0)</f>
        <v>8</v>
      </c>
      <c r="F3383" s="300">
        <v>1.0</v>
      </c>
      <c r="G3383" s="300">
        <v>1.0</v>
      </c>
      <c r="H3383" s="300">
        <v>1.0</v>
      </c>
      <c r="I3383" s="300">
        <v>1.0</v>
      </c>
      <c r="J3383" s="300">
        <v>1.0</v>
      </c>
      <c r="K3383" s="300">
        <v>1.0</v>
      </c>
      <c r="L3383" s="300">
        <v>1.0</v>
      </c>
      <c r="M3383" s="300">
        <v>1.0</v>
      </c>
      <c r="N3383" s="300">
        <v>8.0</v>
      </c>
      <c r="O3383" s="300" t="s">
        <v>980</v>
      </c>
      <c r="P3383" s="300">
        <v>4.0</v>
      </c>
    </row>
    <row r="3384">
      <c r="A3384">
        <f>IFERROR(__xludf.DUMMYFUNCTION("""COMPUTED_VALUE"""),11.0)</f>
        <v>11</v>
      </c>
      <c r="B3384" s="406">
        <f>IFERROR(__xludf.DUMMYFUNCTION("""COMPUTED_VALUE"""),27119.0)</f>
        <v>27119</v>
      </c>
      <c r="C3384" t="str">
        <f>IFERROR(__xludf.DUMMYFUNCTION("""COMPUTED_VALUE"""),"VALENCIA RODRIGUEZ, EMILIA")</f>
        <v>VALENCIA RODRIGUEZ, EMILIA</v>
      </c>
      <c r="D3384" t="str">
        <f>IFERROR(__xludf.DUMMYFUNCTION("""COMPUTED_VALUE"""),"AP Psychology")</f>
        <v>AP Psychology</v>
      </c>
      <c r="E3384" s="3">
        <f>IFERROR(__xludf.DUMMYFUNCTION("""COMPUTED_VALUE"""),4.0)</f>
        <v>4</v>
      </c>
      <c r="F3384" s="300">
        <v>1.0</v>
      </c>
      <c r="G3384" s="300">
        <v>1.0</v>
      </c>
      <c r="H3384" s="300">
        <v>1.0</v>
      </c>
      <c r="I3384" s="300">
        <v>1.0</v>
      </c>
      <c r="J3384" s="300">
        <v>1.0</v>
      </c>
      <c r="K3384" s="300">
        <v>1.0</v>
      </c>
      <c r="L3384" s="300">
        <v>1.0</v>
      </c>
      <c r="M3384" s="300">
        <v>1.0</v>
      </c>
      <c r="N3384" s="300">
        <v>8.0</v>
      </c>
      <c r="O3384" s="300" t="s">
        <v>981</v>
      </c>
      <c r="P3384" s="300">
        <v>2.0</v>
      </c>
    </row>
    <row r="3385">
      <c r="A3385">
        <f>IFERROR(__xludf.DUMMYFUNCTION("""COMPUTED_VALUE"""),11.0)</f>
        <v>11</v>
      </c>
      <c r="B3385" s="406">
        <f>IFERROR(__xludf.DUMMYFUNCTION("""COMPUTED_VALUE"""),27074.0)</f>
        <v>27074</v>
      </c>
      <c r="C3385" t="str">
        <f>IFERROR(__xludf.DUMMYFUNCTION("""COMPUTED_VALUE"""),"MONTORSI GOMEZ, LUCIA")</f>
        <v>MONTORSI GOMEZ, LUCIA</v>
      </c>
      <c r="D3385" t="str">
        <f>IFERROR(__xludf.DUMMYFUNCTION("""COMPUTED_VALUE"""),"AP Economics")</f>
        <v>AP Economics</v>
      </c>
      <c r="E3385" s="3">
        <f>IFERROR(__xludf.DUMMYFUNCTION("""COMPUTED_VALUE"""),8.0)</f>
        <v>8</v>
      </c>
      <c r="F3385" s="300">
        <v>1.0</v>
      </c>
      <c r="G3385" s="300">
        <v>1.0</v>
      </c>
      <c r="H3385" s="300">
        <v>1.0</v>
      </c>
      <c r="I3385" s="300">
        <v>1.0</v>
      </c>
      <c r="J3385" s="300">
        <v>1.0</v>
      </c>
      <c r="K3385" s="300">
        <v>1.0</v>
      </c>
      <c r="L3385" s="300">
        <v>1.0</v>
      </c>
      <c r="M3385" s="300">
        <v>1.0</v>
      </c>
      <c r="N3385" s="300">
        <v>8.0</v>
      </c>
      <c r="O3385" s="300" t="s">
        <v>980</v>
      </c>
      <c r="P3385" s="300">
        <v>4.0</v>
      </c>
    </row>
    <row r="3386">
      <c r="A3386">
        <f>IFERROR(__xludf.DUMMYFUNCTION("""COMPUTED_VALUE"""),11.0)</f>
        <v>11</v>
      </c>
      <c r="B3386" s="406">
        <f>IFERROR(__xludf.DUMMYFUNCTION("""COMPUTED_VALUE"""),27124.0)</f>
        <v>27124</v>
      </c>
      <c r="C3386" t="str">
        <f>IFERROR(__xludf.DUMMYFUNCTION("""COMPUTED_VALUE"""),"VELEZ RAMIREZ, JULIETA")</f>
        <v>VELEZ RAMIREZ, JULIETA</v>
      </c>
      <c r="D3386" t="str">
        <f>IFERROR(__xludf.DUMMYFUNCTION("""COMPUTED_VALUE"""),"Introduction to Law")</f>
        <v>Introduction to Law</v>
      </c>
      <c r="E3386" s="3">
        <f>IFERROR(__xludf.DUMMYFUNCTION("""COMPUTED_VALUE"""),4.0)</f>
        <v>4</v>
      </c>
      <c r="F3386" s="300">
        <v>1.0</v>
      </c>
      <c r="G3386" s="300">
        <v>1.0</v>
      </c>
      <c r="H3386" s="300">
        <v>1.0</v>
      </c>
      <c r="I3386" s="300">
        <v>1.0</v>
      </c>
      <c r="J3386" s="300">
        <v>1.0</v>
      </c>
      <c r="K3386" s="300">
        <v>1.0</v>
      </c>
      <c r="L3386" s="300">
        <v>1.0</v>
      </c>
      <c r="M3386" s="300">
        <v>1.0</v>
      </c>
      <c r="N3386" s="300">
        <v>8.0</v>
      </c>
      <c r="O3386" s="300" t="s">
        <v>982</v>
      </c>
      <c r="P3386" s="300">
        <v>1.0</v>
      </c>
    </row>
    <row r="3387">
      <c r="A3387">
        <f>IFERROR(__xludf.DUMMYFUNCTION("""COMPUTED_VALUE"""),11.0)</f>
        <v>11</v>
      </c>
      <c r="B3387" s="406">
        <f>IFERROR(__xludf.DUMMYFUNCTION("""COMPUTED_VALUE"""),27095.0)</f>
        <v>27095</v>
      </c>
      <c r="C3387" t="str">
        <f>IFERROR(__xludf.DUMMYFUNCTION("""COMPUTED_VALUE"""),"RESTREPO BECERRA, ALINA")</f>
        <v>RESTREPO BECERRA, ALINA</v>
      </c>
      <c r="D3387" t="str">
        <f>IFERROR(__xludf.DUMMYFUNCTION("""COMPUTED_VALUE"""),"Life Purpose")</f>
        <v>Life Purpose</v>
      </c>
      <c r="E3387" s="3">
        <f>IFERROR(__xludf.DUMMYFUNCTION("""COMPUTED_VALUE"""),8.0)</f>
        <v>8</v>
      </c>
      <c r="F3387" s="300">
        <v>1.0</v>
      </c>
      <c r="G3387" s="300">
        <v>1.0</v>
      </c>
      <c r="H3387" s="300">
        <v>1.0</v>
      </c>
      <c r="I3387" s="300">
        <v>1.0</v>
      </c>
      <c r="J3387" s="300">
        <v>1.0</v>
      </c>
      <c r="K3387" s="300">
        <v>1.0</v>
      </c>
      <c r="L3387" s="300">
        <v>1.0</v>
      </c>
      <c r="M3387" s="300">
        <v>1.0</v>
      </c>
      <c r="N3387" s="300">
        <v>8.0</v>
      </c>
      <c r="O3387" s="300" t="s">
        <v>978</v>
      </c>
      <c r="P3387" s="300">
        <v>6.0</v>
      </c>
    </row>
    <row r="3388">
      <c r="A3388">
        <f>IFERROR(__xludf.DUMMYFUNCTION("""COMPUTED_VALUE"""),11.0)</f>
        <v>11</v>
      </c>
      <c r="B3388" s="406">
        <f>IFERROR(__xludf.DUMMYFUNCTION("""COMPUTED_VALUE"""),27080.0)</f>
        <v>27080</v>
      </c>
      <c r="C3388" t="str">
        <f>IFERROR(__xludf.DUMMYFUNCTION("""COMPUTED_VALUE"""),"OSORIO GAVIRIA, MARIA CLARA")</f>
        <v>OSORIO GAVIRIA, MARIA CLARA</v>
      </c>
      <c r="D3388" t="str">
        <f>IFERROR(__xludf.DUMMYFUNCTION("""COMPUTED_VALUE"""),"AP Psychology")</f>
        <v>AP Psychology</v>
      </c>
      <c r="E3388" s="3">
        <f>IFERROR(__xludf.DUMMYFUNCTION("""COMPUTED_VALUE"""),4.0)</f>
        <v>4</v>
      </c>
      <c r="F3388" s="300">
        <v>1.0</v>
      </c>
      <c r="G3388" s="300">
        <v>1.0</v>
      </c>
      <c r="H3388" s="300">
        <v>1.0</v>
      </c>
      <c r="I3388" s="300">
        <v>1.0</v>
      </c>
      <c r="J3388" s="300">
        <v>1.0</v>
      </c>
      <c r="K3388" s="300">
        <v>1.0</v>
      </c>
      <c r="L3388" s="300">
        <v>1.0</v>
      </c>
      <c r="M3388" s="300">
        <v>1.0</v>
      </c>
      <c r="N3388" s="300">
        <v>8.0</v>
      </c>
      <c r="O3388" s="300" t="s">
        <v>981</v>
      </c>
      <c r="P3388" s="300">
        <v>2.0</v>
      </c>
    </row>
    <row r="3389">
      <c r="A3389">
        <f>IFERROR(__xludf.DUMMYFUNCTION("""COMPUTED_VALUE"""),11.0)</f>
        <v>11</v>
      </c>
      <c r="B3389" s="406">
        <f>IFERROR(__xludf.DUMMYFUNCTION("""COMPUTED_VALUE"""),27140.0)</f>
        <v>27140</v>
      </c>
      <c r="C3389" t="str">
        <f>IFERROR(__xludf.DUMMYFUNCTION("""COMPUTED_VALUE"""),"CORREA URIBE, PABLO")</f>
        <v>CORREA URIBE, PABLO</v>
      </c>
      <c r="D3389" t="str">
        <f>IFERROR(__xludf.DUMMYFUNCTION("""COMPUTED_VALUE"""),"AP Economics")</f>
        <v>AP Economics</v>
      </c>
      <c r="E3389" s="3">
        <f>IFERROR(__xludf.DUMMYFUNCTION("""COMPUTED_VALUE"""),7.0)</f>
        <v>7</v>
      </c>
      <c r="F3389" s="300">
        <v>1.0</v>
      </c>
      <c r="G3389" s="300">
        <v>1.0</v>
      </c>
      <c r="H3389" s="300">
        <v>1.0</v>
      </c>
      <c r="I3389" s="300">
        <v>1.0</v>
      </c>
      <c r="J3389" s="300">
        <v>1.0</v>
      </c>
      <c r="K3389" s="300">
        <v>1.0</v>
      </c>
      <c r="L3389" s="300">
        <v>1.0</v>
      </c>
      <c r="M3389" s="300">
        <v>1.0</v>
      </c>
      <c r="N3389" s="300">
        <v>8.0</v>
      </c>
      <c r="O3389" s="300" t="s">
        <v>983</v>
      </c>
      <c r="P3389" s="300">
        <v>4.0</v>
      </c>
    </row>
    <row r="3390">
      <c r="A3390">
        <f>IFERROR(__xludf.DUMMYFUNCTION("""COMPUTED_VALUE"""),11.0)</f>
        <v>11</v>
      </c>
      <c r="B3390" s="406">
        <f>IFERROR(__xludf.DUMMYFUNCTION("""COMPUTED_VALUE"""),27106.0)</f>
        <v>27106</v>
      </c>
      <c r="C3390" t="str">
        <f>IFERROR(__xludf.DUMMYFUNCTION("""COMPUTED_VALUE"""),"SANCHEZ HURTADO, CRISTOBAL")</f>
        <v>SANCHEZ HURTADO, CRISTOBAL</v>
      </c>
      <c r="D3390" t="str">
        <f>IFERROR(__xludf.DUMMYFUNCTION("""COMPUTED_VALUE"""),"Introduction to Law")</f>
        <v>Introduction to Law</v>
      </c>
      <c r="E3390" s="3">
        <f>IFERROR(__xludf.DUMMYFUNCTION("""COMPUTED_VALUE"""),4.0)</f>
        <v>4</v>
      </c>
      <c r="F3390" s="300">
        <v>1.0</v>
      </c>
      <c r="G3390" s="300">
        <v>1.0</v>
      </c>
      <c r="H3390" s="300">
        <v>1.0</v>
      </c>
      <c r="I3390" s="300">
        <v>1.0</v>
      </c>
      <c r="J3390" s="300">
        <v>1.0</v>
      </c>
      <c r="K3390" s="300">
        <v>1.0</v>
      </c>
      <c r="L3390" s="300">
        <v>1.0</v>
      </c>
      <c r="M3390" s="300">
        <v>1.0</v>
      </c>
      <c r="N3390" s="300">
        <v>8.0</v>
      </c>
      <c r="O3390" s="300" t="s">
        <v>982</v>
      </c>
      <c r="P3390" s="300">
        <v>1.0</v>
      </c>
    </row>
    <row r="3391">
      <c r="A3391">
        <f>IFERROR(__xludf.DUMMYFUNCTION("""COMPUTED_VALUE"""),11.0)</f>
        <v>11</v>
      </c>
      <c r="B3391" s="406">
        <f>IFERROR(__xludf.DUMMYFUNCTION("""COMPUTED_VALUE"""),27002.0)</f>
        <v>27002</v>
      </c>
      <c r="C3391" t="str">
        <f>IFERROR(__xludf.DUMMYFUNCTION("""COMPUTED_VALUE"""),"AGUDELO LUJAN, ARIANA")</f>
        <v>AGUDELO LUJAN, ARIANA</v>
      </c>
      <c r="D3391" t="str">
        <f>IFERROR(__xludf.DUMMYFUNCTION("""COMPUTED_VALUE"""),"AP Economics")</f>
        <v>AP Economics</v>
      </c>
      <c r="E3391" s="3">
        <f>IFERROR(__xludf.DUMMYFUNCTION("""COMPUTED_VALUE"""),7.0)</f>
        <v>7</v>
      </c>
      <c r="F3391" s="300">
        <v>1.0</v>
      </c>
      <c r="G3391" s="300">
        <v>1.0</v>
      </c>
      <c r="H3391" s="300">
        <v>1.0</v>
      </c>
      <c r="I3391" s="300">
        <v>1.0</v>
      </c>
      <c r="J3391" s="300">
        <v>1.0</v>
      </c>
      <c r="K3391" s="300">
        <v>1.0</v>
      </c>
      <c r="L3391" s="300">
        <v>1.0</v>
      </c>
      <c r="M3391" s="300">
        <v>1.0</v>
      </c>
      <c r="N3391" s="300">
        <v>8.0</v>
      </c>
      <c r="O3391" s="300" t="s">
        <v>983</v>
      </c>
      <c r="P3391" s="300">
        <v>4.0</v>
      </c>
    </row>
    <row r="3392">
      <c r="A3392">
        <f>IFERROR(__xludf.DUMMYFUNCTION("""COMPUTED_VALUE"""),11.0)</f>
        <v>11</v>
      </c>
      <c r="B3392" s="406">
        <f>IFERROR(__xludf.DUMMYFUNCTION("""COMPUTED_VALUE"""),27001.0)</f>
        <v>27001</v>
      </c>
      <c r="C3392" t="str">
        <f>IFERROR(__xludf.DUMMYFUNCTION("""COMPUTED_VALUE"""),"ACOSTA VILLA, LUCIANO")</f>
        <v>ACOSTA VILLA, LUCIANO</v>
      </c>
      <c r="D3392" t="str">
        <f>IFERROR(__xludf.DUMMYFUNCTION("""COMPUTED_VALUE"""),"AP Economics")</f>
        <v>AP Economics</v>
      </c>
      <c r="E3392" s="3">
        <f>IFERROR(__xludf.DUMMYFUNCTION("""COMPUTED_VALUE"""),7.0)</f>
        <v>7</v>
      </c>
      <c r="F3392" s="300">
        <v>1.0</v>
      </c>
      <c r="G3392" s="300">
        <v>1.0</v>
      </c>
      <c r="H3392" s="300">
        <v>1.0</v>
      </c>
      <c r="I3392" s="300">
        <v>1.0</v>
      </c>
      <c r="J3392" s="300">
        <v>1.0</v>
      </c>
      <c r="K3392" s="300">
        <v>1.0</v>
      </c>
      <c r="L3392" s="300">
        <v>1.0</v>
      </c>
      <c r="M3392" s="300">
        <v>1.0</v>
      </c>
      <c r="N3392" s="300">
        <v>8.0</v>
      </c>
      <c r="O3392" s="300" t="s">
        <v>983</v>
      </c>
      <c r="P3392" s="300">
        <v>4.0</v>
      </c>
    </row>
    <row r="3393">
      <c r="A3393">
        <f>IFERROR(__xludf.DUMMYFUNCTION("""COMPUTED_VALUE"""),11.0)</f>
        <v>11</v>
      </c>
      <c r="B3393" s="406">
        <f>IFERROR(__xludf.DUMMYFUNCTION("""COMPUTED_VALUE"""),26040.0)</f>
        <v>26040</v>
      </c>
      <c r="C3393" t="str">
        <f>IFERROR(__xludf.DUMMYFUNCTION("""COMPUTED_VALUE"""),"GOMEZ VASQUEZ, MATIAS")</f>
        <v>GOMEZ VASQUEZ, MATIAS</v>
      </c>
      <c r="D3393" t="str">
        <f>IFERROR(__xludf.DUMMYFUNCTION("""COMPUTED_VALUE"""),"Life Purpose")</f>
        <v>Life Purpose</v>
      </c>
      <c r="E3393" s="3">
        <f>IFERROR(__xludf.DUMMYFUNCTION("""COMPUTED_VALUE"""),7.0)</f>
        <v>7</v>
      </c>
      <c r="F3393" s="300">
        <v>1.0</v>
      </c>
      <c r="G3393" s="300">
        <v>1.0</v>
      </c>
      <c r="H3393" s="300">
        <v>1.0</v>
      </c>
      <c r="I3393" s="300">
        <v>1.0</v>
      </c>
      <c r="J3393" s="300">
        <v>1.0</v>
      </c>
      <c r="K3393" s="300">
        <v>1.0</v>
      </c>
      <c r="L3393" s="300">
        <v>1.0</v>
      </c>
      <c r="M3393" s="300">
        <v>1.0</v>
      </c>
      <c r="N3393" s="300">
        <v>8.0</v>
      </c>
      <c r="O3393" s="300" t="s">
        <v>984</v>
      </c>
      <c r="P3393" s="300">
        <v>6.0</v>
      </c>
    </row>
    <row r="3394">
      <c r="A3394">
        <f>IFERROR(__xludf.DUMMYFUNCTION("""COMPUTED_VALUE"""),11.0)</f>
        <v>11</v>
      </c>
      <c r="B3394" s="406">
        <f>IFERROR(__xludf.DUMMYFUNCTION("""COMPUTED_VALUE"""),27086.0)</f>
        <v>27086</v>
      </c>
      <c r="C3394" t="str">
        <f>IFERROR(__xludf.DUMMYFUNCTION("""COMPUTED_VALUE"""),"PEREZ ECHAVARRIA, TOMAS")</f>
        <v>PEREZ ECHAVARRIA, TOMAS</v>
      </c>
      <c r="D3394" t="str">
        <f>IFERROR(__xludf.DUMMYFUNCTION("""COMPUTED_VALUE"""),"Life Purpose")</f>
        <v>Life Purpose</v>
      </c>
      <c r="E3394" s="3">
        <f>IFERROR(__xludf.DUMMYFUNCTION("""COMPUTED_VALUE"""),8.0)</f>
        <v>8</v>
      </c>
      <c r="F3394" s="300">
        <v>1.0</v>
      </c>
      <c r="G3394" s="300">
        <v>1.0</v>
      </c>
      <c r="H3394" s="300">
        <v>1.0</v>
      </c>
      <c r="I3394" s="300">
        <v>1.0</v>
      </c>
      <c r="J3394" s="300">
        <v>1.0</v>
      </c>
      <c r="K3394" s="300">
        <v>1.0</v>
      </c>
      <c r="L3394" s="300">
        <v>1.0</v>
      </c>
      <c r="M3394" s="300">
        <v>1.0</v>
      </c>
      <c r="N3394" s="300">
        <v>8.0</v>
      </c>
      <c r="O3394" s="300" t="s">
        <v>978</v>
      </c>
      <c r="P3394" s="300">
        <v>6.0</v>
      </c>
    </row>
    <row r="3395">
      <c r="A3395">
        <f>IFERROR(__xludf.DUMMYFUNCTION("""COMPUTED_VALUE"""),11.0)</f>
        <v>11</v>
      </c>
      <c r="B3395" s="406">
        <f>IFERROR(__xludf.DUMMYFUNCTION("""COMPUTED_VALUE"""),27060.0)</f>
        <v>27060</v>
      </c>
      <c r="C3395" t="str">
        <f>IFERROR(__xludf.DUMMYFUNCTION("""COMPUTED_VALUE"""),"MALDONADO SALDARRIAGA, ALEJANDRO")</f>
        <v>MALDONADO SALDARRIAGA, ALEJANDRO</v>
      </c>
      <c r="D3395" t="str">
        <f>IFERROR(__xludf.DUMMYFUNCTION("""COMPUTED_VALUE"""),"Life Purpose")</f>
        <v>Life Purpose</v>
      </c>
      <c r="E3395" s="3">
        <f>IFERROR(__xludf.DUMMYFUNCTION("""COMPUTED_VALUE"""),2.0)</f>
        <v>2</v>
      </c>
      <c r="F3395" s="300">
        <v>1.0</v>
      </c>
      <c r="G3395" s="300">
        <v>1.0</v>
      </c>
      <c r="H3395" s="300">
        <v>1.0</v>
      </c>
      <c r="I3395" s="300">
        <v>1.0</v>
      </c>
      <c r="J3395" s="300">
        <v>1.0</v>
      </c>
      <c r="K3395" s="300">
        <v>1.0</v>
      </c>
      <c r="L3395" s="300">
        <v>1.0</v>
      </c>
      <c r="M3395" s="300">
        <v>1.0</v>
      </c>
      <c r="N3395" s="300">
        <v>8.0</v>
      </c>
      <c r="O3395" s="300" t="s">
        <v>972</v>
      </c>
      <c r="P3395" s="300">
        <v>6.0</v>
      </c>
    </row>
    <row r="3396">
      <c r="A3396">
        <f>IFERROR(__xludf.DUMMYFUNCTION("""COMPUTED_VALUE"""),11.0)</f>
        <v>11</v>
      </c>
      <c r="B3396" s="406">
        <f>IFERROR(__xludf.DUMMYFUNCTION("""COMPUTED_VALUE"""),27043.0)</f>
        <v>27043</v>
      </c>
      <c r="C3396" t="str">
        <f>IFERROR(__xludf.DUMMYFUNCTION("""COMPUTED_VALUE"""),"GAVIRIA ISAZA, TOMAS")</f>
        <v>GAVIRIA ISAZA, TOMAS</v>
      </c>
      <c r="D3396" t="str">
        <f>IFERROR(__xludf.DUMMYFUNCTION("""COMPUTED_VALUE"""),"AP World History")</f>
        <v>AP World History</v>
      </c>
      <c r="E3396" s="3">
        <f>IFERROR(__xludf.DUMMYFUNCTION("""COMPUTED_VALUE"""),6.0)</f>
        <v>6</v>
      </c>
      <c r="F3396" s="300">
        <v>1.0</v>
      </c>
      <c r="G3396" s="300">
        <v>1.0</v>
      </c>
      <c r="H3396" s="300">
        <v>1.0</v>
      </c>
      <c r="I3396" s="300">
        <v>1.0</v>
      </c>
      <c r="J3396" s="300">
        <v>1.0</v>
      </c>
      <c r="K3396" s="300">
        <v>1.0</v>
      </c>
      <c r="L3396" s="300">
        <v>1.0</v>
      </c>
      <c r="M3396" s="300">
        <v>1.0</v>
      </c>
      <c r="N3396" s="300">
        <v>8.0</v>
      </c>
      <c r="O3396" s="300" t="s">
        <v>973</v>
      </c>
      <c r="P3396" s="300">
        <v>2.0</v>
      </c>
    </row>
    <row r="3397">
      <c r="A3397">
        <f>IFERROR(__xludf.DUMMYFUNCTION("""COMPUTED_VALUE"""),11.0)</f>
        <v>11</v>
      </c>
      <c r="B3397" s="406">
        <f>IFERROR(__xludf.DUMMYFUNCTION("""COMPUTED_VALUE"""),27050.0)</f>
        <v>27050</v>
      </c>
      <c r="C3397" t="str">
        <f>IFERROR(__xludf.DUMMYFUNCTION("""COMPUTED_VALUE"""),"HURTADO ARISTIZABAL, PAULINA")</f>
        <v>HURTADO ARISTIZABAL, PAULINA</v>
      </c>
      <c r="D3397" t="str">
        <f>IFERROR(__xludf.DUMMYFUNCTION("""COMPUTED_VALUE"""),"AP Economics")</f>
        <v>AP Economics</v>
      </c>
      <c r="E3397" s="3">
        <f>IFERROR(__xludf.DUMMYFUNCTION("""COMPUTED_VALUE"""),7.0)</f>
        <v>7</v>
      </c>
      <c r="F3397" s="300">
        <v>1.0</v>
      </c>
      <c r="G3397" s="300">
        <v>1.0</v>
      </c>
      <c r="H3397" s="300">
        <v>1.0</v>
      </c>
      <c r="I3397" s="300">
        <v>1.0</v>
      </c>
      <c r="J3397" s="300">
        <v>1.0</v>
      </c>
      <c r="K3397" s="300">
        <v>1.0</v>
      </c>
      <c r="L3397" s="300">
        <v>1.0</v>
      </c>
      <c r="M3397" s="300">
        <v>1.0</v>
      </c>
      <c r="N3397" s="300">
        <v>8.0</v>
      </c>
      <c r="O3397" s="300" t="s">
        <v>983</v>
      </c>
      <c r="P3397" s="300">
        <v>4.0</v>
      </c>
    </row>
    <row r="3398">
      <c r="A3398">
        <f>IFERROR(__xludf.DUMMYFUNCTION("""COMPUTED_VALUE"""),11.0)</f>
        <v>11</v>
      </c>
      <c r="B3398" s="406">
        <f>IFERROR(__xludf.DUMMYFUNCTION("""COMPUTED_VALUE"""),27038.0)</f>
        <v>27038</v>
      </c>
      <c r="C3398" t="str">
        <f>IFERROR(__xludf.DUMMYFUNCTION("""COMPUTED_VALUE"""),"GALLEGO CUARTAS, FELIPE")</f>
        <v>GALLEGO CUARTAS, FELIPE</v>
      </c>
      <c r="D3398" t="str">
        <f>IFERROR(__xludf.DUMMYFUNCTION("""COMPUTED_VALUE"""),"Life Purpose")</f>
        <v>Life Purpose</v>
      </c>
      <c r="E3398" s="3">
        <f>IFERROR(__xludf.DUMMYFUNCTION("""COMPUTED_VALUE"""),2.0)</f>
        <v>2</v>
      </c>
      <c r="F3398" s="300">
        <v>1.0</v>
      </c>
      <c r="G3398" s="300">
        <v>1.0</v>
      </c>
      <c r="H3398" s="300">
        <v>1.0</v>
      </c>
      <c r="I3398" s="300">
        <v>1.0</v>
      </c>
      <c r="J3398" s="300">
        <v>1.0</v>
      </c>
      <c r="K3398" s="300">
        <v>1.0</v>
      </c>
      <c r="L3398" s="300">
        <v>1.0</v>
      </c>
      <c r="M3398" s="300">
        <v>1.0</v>
      </c>
      <c r="N3398" s="300">
        <v>8.0</v>
      </c>
      <c r="O3398" s="300" t="s">
        <v>972</v>
      </c>
      <c r="P3398" s="300">
        <v>6.0</v>
      </c>
    </row>
    <row r="3399">
      <c r="A3399">
        <f>IFERROR(__xludf.DUMMYFUNCTION("""COMPUTED_VALUE"""),11.0)</f>
        <v>11</v>
      </c>
      <c r="B3399" s="406">
        <f>IFERROR(__xludf.DUMMYFUNCTION("""COMPUTED_VALUE"""),27078.0)</f>
        <v>27078</v>
      </c>
      <c r="C3399" t="str">
        <f>IFERROR(__xludf.DUMMYFUNCTION("""COMPUTED_VALUE"""),"ORSINI COCK, TOMMASO MARIA")</f>
        <v>ORSINI COCK, TOMMASO MARIA</v>
      </c>
      <c r="D3399" t="str">
        <f>IFERROR(__xludf.DUMMYFUNCTION("""COMPUTED_VALUE"""),"AP Psychology")</f>
        <v>AP Psychology</v>
      </c>
      <c r="E3399" s="3">
        <f>IFERROR(__xludf.DUMMYFUNCTION("""COMPUTED_VALUE"""),4.0)</f>
        <v>4</v>
      </c>
      <c r="F3399" s="300">
        <v>1.0</v>
      </c>
      <c r="G3399" s="300">
        <v>1.0</v>
      </c>
      <c r="H3399" s="300">
        <v>1.0</v>
      </c>
      <c r="I3399" s="300">
        <v>1.0</v>
      </c>
      <c r="J3399" s="300">
        <v>1.0</v>
      </c>
      <c r="K3399" s="300">
        <v>1.0</v>
      </c>
      <c r="L3399" s="300">
        <v>1.0</v>
      </c>
      <c r="M3399" s="300">
        <v>1.0</v>
      </c>
      <c r="N3399" s="300">
        <v>8.0</v>
      </c>
      <c r="O3399" s="300" t="s">
        <v>981</v>
      </c>
      <c r="P3399" s="300">
        <v>2.0</v>
      </c>
    </row>
    <row r="3400">
      <c r="A3400">
        <f>IFERROR(__xludf.DUMMYFUNCTION("""COMPUTED_VALUE"""),11.0)</f>
        <v>11</v>
      </c>
      <c r="B3400" s="406">
        <f>IFERROR(__xludf.DUMMYFUNCTION("""COMPUTED_VALUE"""),26023.0)</f>
        <v>26023</v>
      </c>
      <c r="C3400" t="str">
        <f>IFERROR(__xludf.DUMMYFUNCTION("""COMPUTED_VALUE"""),"CORREA VELEZ, ALEJANDRO")</f>
        <v>CORREA VELEZ, ALEJANDRO</v>
      </c>
      <c r="D3400" t="str">
        <f>IFERROR(__xludf.DUMMYFUNCTION("""COMPUTED_VALUE"""),"AP World History")</f>
        <v>AP World History</v>
      </c>
      <c r="E3400" s="3">
        <f>IFERROR(__xludf.DUMMYFUNCTION("""COMPUTED_VALUE"""),6.0)</f>
        <v>6</v>
      </c>
      <c r="F3400" s="300">
        <v>1.0</v>
      </c>
      <c r="G3400" s="300">
        <v>1.0</v>
      </c>
      <c r="H3400" s="300">
        <v>1.0</v>
      </c>
      <c r="I3400" s="300">
        <v>1.0</v>
      </c>
      <c r="J3400" s="300">
        <v>1.0</v>
      </c>
      <c r="K3400" s="300">
        <v>1.0</v>
      </c>
      <c r="L3400" s="300">
        <v>1.0</v>
      </c>
      <c r="M3400" s="300">
        <v>1.0</v>
      </c>
      <c r="N3400" s="300">
        <v>8.0</v>
      </c>
      <c r="O3400" s="300" t="s">
        <v>973</v>
      </c>
      <c r="P3400" s="300">
        <v>2.0</v>
      </c>
    </row>
    <row r="3401">
      <c r="A3401">
        <f>IFERROR(__xludf.DUMMYFUNCTION("""COMPUTED_VALUE"""),11.0)</f>
        <v>11</v>
      </c>
      <c r="B3401" s="406">
        <f>IFERROR(__xludf.DUMMYFUNCTION("""COMPUTED_VALUE"""),27012.0)</f>
        <v>27012</v>
      </c>
      <c r="C3401" t="str">
        <f>IFERROR(__xludf.DUMMYFUNCTION("""COMPUTED_VALUE"""),"ATEHORTUA MORENO, TOMAS")</f>
        <v>ATEHORTUA MORENO, TOMAS</v>
      </c>
      <c r="D3401" t="str">
        <f>IFERROR(__xludf.DUMMYFUNCTION("""COMPUTED_VALUE"""),"AP World History")</f>
        <v>AP World History</v>
      </c>
      <c r="E3401" s="3">
        <f>IFERROR(__xludf.DUMMYFUNCTION("""COMPUTED_VALUE"""),6.0)</f>
        <v>6</v>
      </c>
      <c r="F3401" s="300">
        <v>1.0</v>
      </c>
      <c r="G3401" s="300">
        <v>1.0</v>
      </c>
      <c r="H3401" s="300">
        <v>1.0</v>
      </c>
      <c r="I3401" s="300">
        <v>1.0</v>
      </c>
      <c r="J3401" s="300">
        <v>1.0</v>
      </c>
      <c r="K3401" s="300">
        <v>1.0</v>
      </c>
      <c r="L3401" s="300">
        <v>1.0</v>
      </c>
      <c r="M3401" s="300">
        <v>1.0</v>
      </c>
      <c r="N3401" s="300">
        <v>8.0</v>
      </c>
      <c r="O3401" s="300" t="s">
        <v>973</v>
      </c>
      <c r="P3401" s="300">
        <v>2.0</v>
      </c>
    </row>
    <row r="3402">
      <c r="A3402">
        <f>IFERROR(__xludf.DUMMYFUNCTION("""COMPUTED_VALUE"""),11.0)</f>
        <v>11</v>
      </c>
      <c r="B3402" s="406">
        <f>IFERROR(__xludf.DUMMYFUNCTION("""COMPUTED_VALUE"""),28120.0)</f>
        <v>28120</v>
      </c>
      <c r="C3402" t="str">
        <f>IFERROR(__xludf.DUMMYFUNCTION("""COMPUTED_VALUE"""),"SALCEDO PERICO, JUAN MARTIN")</f>
        <v>SALCEDO PERICO, JUAN MARTIN</v>
      </c>
      <c r="D3402" t="str">
        <f>IFERROR(__xludf.DUMMYFUNCTION("""COMPUTED_VALUE"""),"AP World History")</f>
        <v>AP World History</v>
      </c>
      <c r="E3402" s="3">
        <f>IFERROR(__xludf.DUMMYFUNCTION("""COMPUTED_VALUE"""),5.0)</f>
        <v>5</v>
      </c>
      <c r="F3402" s="300">
        <v>1.0</v>
      </c>
      <c r="G3402" s="300">
        <v>1.0</v>
      </c>
      <c r="H3402" s="300">
        <v>1.0</v>
      </c>
      <c r="I3402" s="300">
        <v>1.0</v>
      </c>
      <c r="J3402" s="300">
        <v>1.0</v>
      </c>
      <c r="K3402" s="300">
        <v>1.0</v>
      </c>
      <c r="L3402" s="300">
        <v>1.0</v>
      </c>
      <c r="M3402" s="300">
        <v>1.0</v>
      </c>
      <c r="N3402" s="300">
        <v>8.0</v>
      </c>
      <c r="O3402" s="300" t="s">
        <v>974</v>
      </c>
      <c r="P3402" s="300">
        <v>2.0</v>
      </c>
    </row>
    <row r="3403">
      <c r="A3403">
        <f>IFERROR(__xludf.DUMMYFUNCTION("""COMPUTED_VALUE"""),11.0)</f>
        <v>11</v>
      </c>
      <c r="B3403" s="406">
        <f>IFERROR(__xludf.DUMMYFUNCTION("""COMPUTED_VALUE"""),27089.0)</f>
        <v>27089</v>
      </c>
      <c r="C3403" t="str">
        <f>IFERROR(__xludf.DUMMYFUNCTION("""COMPUTED_VALUE"""),"PEREZ VELEZ, JERONIMO")</f>
        <v>PEREZ VELEZ, JERONIMO</v>
      </c>
      <c r="D3403" t="str">
        <f>IFERROR(__xludf.DUMMYFUNCTION("""COMPUTED_VALUE"""),"AP Economics")</f>
        <v>AP Economics</v>
      </c>
      <c r="E3403" s="3">
        <f>IFERROR(__xludf.DUMMYFUNCTION("""COMPUTED_VALUE"""),8.0)</f>
        <v>8</v>
      </c>
      <c r="F3403" s="300">
        <v>1.0</v>
      </c>
      <c r="G3403" s="300">
        <v>1.0</v>
      </c>
      <c r="H3403" s="300">
        <v>1.0</v>
      </c>
      <c r="I3403" s="300">
        <v>1.0</v>
      </c>
      <c r="J3403" s="300">
        <v>1.0</v>
      </c>
      <c r="K3403" s="300">
        <v>1.0</v>
      </c>
      <c r="L3403" s="300">
        <v>1.0</v>
      </c>
      <c r="M3403" s="300">
        <v>1.0</v>
      </c>
      <c r="N3403" s="300">
        <v>8.0</v>
      </c>
      <c r="O3403" s="300" t="s">
        <v>980</v>
      </c>
      <c r="P3403" s="300">
        <v>4.0</v>
      </c>
    </row>
    <row r="3404">
      <c r="A3404">
        <f>IFERROR(__xludf.DUMMYFUNCTION("""COMPUTED_VALUE"""),11.0)</f>
        <v>11</v>
      </c>
      <c r="B3404" s="406">
        <f>IFERROR(__xludf.DUMMYFUNCTION("""COMPUTED_VALUE"""),27142.0)</f>
        <v>27142</v>
      </c>
      <c r="C3404" t="str">
        <f>IFERROR(__xludf.DUMMYFUNCTION("""COMPUTED_VALUE"""),"ECHAVARRIA OCHOA, MARIANA")</f>
        <v>ECHAVARRIA OCHOA, MARIANA</v>
      </c>
      <c r="D3404" t="str">
        <f>IFERROR(__xludf.DUMMYFUNCTION("""COMPUTED_VALUE"""),"AP Psychology")</f>
        <v>AP Psychology</v>
      </c>
      <c r="E3404" s="3">
        <f>IFERROR(__xludf.DUMMYFUNCTION("""COMPUTED_VALUE"""),4.0)</f>
        <v>4</v>
      </c>
      <c r="F3404" s="300">
        <v>1.0</v>
      </c>
      <c r="G3404" s="300">
        <v>1.0</v>
      </c>
      <c r="H3404" s="300">
        <v>1.0</v>
      </c>
      <c r="I3404" s="300">
        <v>1.0</v>
      </c>
      <c r="J3404" s="300">
        <v>1.0</v>
      </c>
      <c r="K3404" s="300">
        <v>1.0</v>
      </c>
      <c r="L3404" s="300">
        <v>1.0</v>
      </c>
      <c r="M3404" s="300">
        <v>1.0</v>
      </c>
      <c r="N3404" s="300">
        <v>8.0</v>
      </c>
      <c r="O3404" s="300" t="s">
        <v>981</v>
      </c>
      <c r="P3404" s="300">
        <v>2.0</v>
      </c>
    </row>
    <row r="3405">
      <c r="A3405">
        <f>IFERROR(__xludf.DUMMYFUNCTION("""COMPUTED_VALUE"""),11.0)</f>
        <v>11</v>
      </c>
      <c r="B3405" s="406">
        <f>IFERROR(__xludf.DUMMYFUNCTION("""COMPUTED_VALUE"""),27044.0)</f>
        <v>27044</v>
      </c>
      <c r="C3405" t="str">
        <f>IFERROR(__xludf.DUMMYFUNCTION("""COMPUTED_VALUE"""),"GOMEZ GOMEZ, EMILIO")</f>
        <v>GOMEZ GOMEZ, EMILIO</v>
      </c>
      <c r="D3405" t="str">
        <f>IFERROR(__xludf.DUMMYFUNCTION("""COMPUTED_VALUE"""),"AP Economics")</f>
        <v>AP Economics</v>
      </c>
      <c r="E3405" s="3">
        <f>IFERROR(__xludf.DUMMYFUNCTION("""COMPUTED_VALUE"""),4.0)</f>
        <v>4</v>
      </c>
      <c r="F3405" s="300">
        <v>1.0</v>
      </c>
      <c r="G3405" s="300">
        <v>1.0</v>
      </c>
      <c r="H3405" s="300">
        <v>1.0</v>
      </c>
      <c r="I3405" s="300">
        <v>1.0</v>
      </c>
      <c r="J3405" s="300">
        <v>1.0</v>
      </c>
      <c r="K3405" s="300">
        <v>1.0</v>
      </c>
      <c r="L3405" s="300">
        <v>1.0</v>
      </c>
      <c r="M3405" s="300">
        <v>1.0</v>
      </c>
      <c r="N3405" s="300">
        <v>8.0</v>
      </c>
      <c r="O3405" s="300" t="s">
        <v>977</v>
      </c>
      <c r="P3405" s="300">
        <v>4.0</v>
      </c>
    </row>
    <row r="3406">
      <c r="A3406">
        <f>IFERROR(__xludf.DUMMYFUNCTION("""COMPUTED_VALUE"""),11.0)</f>
        <v>11</v>
      </c>
      <c r="B3406" s="406">
        <f>IFERROR(__xludf.DUMMYFUNCTION("""COMPUTED_VALUE"""),27029.0)</f>
        <v>27029</v>
      </c>
      <c r="C3406" t="str">
        <f>IFERROR(__xludf.DUMMYFUNCTION("""COMPUTED_VALUE"""),"DUQUE OCHOA, MARIANA")</f>
        <v>DUQUE OCHOA, MARIANA</v>
      </c>
      <c r="D3406" t="str">
        <f>IFERROR(__xludf.DUMMYFUNCTION("""COMPUTED_VALUE"""),"AP Economics")</f>
        <v>AP Economics</v>
      </c>
      <c r="E3406" s="3">
        <f>IFERROR(__xludf.DUMMYFUNCTION("""COMPUTED_VALUE"""),4.0)</f>
        <v>4</v>
      </c>
      <c r="F3406" s="300">
        <v>1.0</v>
      </c>
      <c r="G3406" s="300">
        <v>1.0</v>
      </c>
      <c r="H3406" s="300">
        <v>1.0</v>
      </c>
      <c r="I3406" s="300">
        <v>1.0</v>
      </c>
      <c r="J3406" s="300">
        <v>1.0</v>
      </c>
      <c r="K3406" s="300">
        <v>1.0</v>
      </c>
      <c r="L3406" s="300">
        <v>1.0</v>
      </c>
      <c r="M3406" s="300">
        <v>1.0</v>
      </c>
      <c r="N3406" s="300">
        <v>8.0</v>
      </c>
      <c r="O3406" s="300" t="s">
        <v>977</v>
      </c>
      <c r="P3406" s="300">
        <v>4.0</v>
      </c>
    </row>
    <row r="3407">
      <c r="A3407">
        <f>IFERROR(__xludf.DUMMYFUNCTION("""COMPUTED_VALUE"""),11.0)</f>
        <v>11</v>
      </c>
      <c r="B3407" s="406">
        <f>IFERROR(__xludf.DUMMYFUNCTION("""COMPUTED_VALUE"""),27036.0)</f>
        <v>27036</v>
      </c>
      <c r="C3407" t="str">
        <f>IFERROR(__xludf.DUMMYFUNCTION("""COMPUTED_VALUE"""),"FERNANDEZ DUQUE, BENJAMIN")</f>
        <v>FERNANDEZ DUQUE, BENJAMIN</v>
      </c>
      <c r="D3407" t="str">
        <f>IFERROR(__xludf.DUMMYFUNCTION("""COMPUTED_VALUE"""),"Life Purpose")</f>
        <v>Life Purpose</v>
      </c>
      <c r="E3407" s="3">
        <f>IFERROR(__xludf.DUMMYFUNCTION("""COMPUTED_VALUE"""),8.0)</f>
        <v>8</v>
      </c>
      <c r="F3407" s="300">
        <v>1.0</v>
      </c>
      <c r="G3407" s="300">
        <v>1.0</v>
      </c>
      <c r="H3407" s="300">
        <v>1.0</v>
      </c>
      <c r="I3407" s="300">
        <v>1.0</v>
      </c>
      <c r="J3407" s="300">
        <v>1.0</v>
      </c>
      <c r="K3407" s="300">
        <v>1.0</v>
      </c>
      <c r="L3407" s="300">
        <v>1.0</v>
      </c>
      <c r="M3407" s="300">
        <v>1.0</v>
      </c>
      <c r="N3407" s="300">
        <v>8.0</v>
      </c>
      <c r="O3407" s="300" t="s">
        <v>978</v>
      </c>
      <c r="P3407" s="300">
        <v>6.0</v>
      </c>
    </row>
    <row r="3408">
      <c r="A3408">
        <f>IFERROR(__xludf.DUMMYFUNCTION("""COMPUTED_VALUE"""),11.0)</f>
        <v>11</v>
      </c>
      <c r="B3408" s="406">
        <f>IFERROR(__xludf.DUMMYFUNCTION("""COMPUTED_VALUE"""),27076.0)</f>
        <v>27076</v>
      </c>
      <c r="C3408" t="str">
        <f>IFERROR(__xludf.DUMMYFUNCTION("""COMPUTED_VALUE"""),"MORA SERANI, LAURA")</f>
        <v>MORA SERANI, LAURA</v>
      </c>
      <c r="D3408" t="str">
        <f>IFERROR(__xludf.DUMMYFUNCTION("""COMPUTED_VALUE"""),"AP Psychology")</f>
        <v>AP Psychology</v>
      </c>
      <c r="E3408" s="3">
        <f>IFERROR(__xludf.DUMMYFUNCTION("""COMPUTED_VALUE"""),4.0)</f>
        <v>4</v>
      </c>
      <c r="F3408" s="300">
        <v>1.0</v>
      </c>
      <c r="G3408" s="300">
        <v>1.0</v>
      </c>
      <c r="H3408" s="300">
        <v>1.0</v>
      </c>
      <c r="I3408" s="300">
        <v>1.0</v>
      </c>
      <c r="J3408" s="300">
        <v>1.0</v>
      </c>
      <c r="K3408" s="300">
        <v>1.0</v>
      </c>
      <c r="L3408" s="300">
        <v>1.0</v>
      </c>
      <c r="M3408" s="300">
        <v>1.0</v>
      </c>
      <c r="N3408" s="300">
        <v>8.0</v>
      </c>
      <c r="O3408" s="300" t="s">
        <v>981</v>
      </c>
      <c r="P3408" s="300">
        <v>2.0</v>
      </c>
    </row>
    <row r="3409">
      <c r="A3409">
        <f>IFERROR(__xludf.DUMMYFUNCTION("""COMPUTED_VALUE"""),11.0)</f>
        <v>11</v>
      </c>
      <c r="B3409" s="406">
        <f>IFERROR(__xludf.DUMMYFUNCTION("""COMPUTED_VALUE"""),26024.0)</f>
        <v>26024</v>
      </c>
      <c r="C3409" t="str">
        <f>IFERROR(__xludf.DUMMYFUNCTION("""COMPUTED_VALUE"""),"DIAZ RIVERA, TOMAS")</f>
        <v>DIAZ RIVERA, TOMAS</v>
      </c>
      <c r="D3409" t="str">
        <f>IFERROR(__xludf.DUMMYFUNCTION("""COMPUTED_VALUE"""),"Life Purpose")</f>
        <v>Life Purpose</v>
      </c>
      <c r="E3409" s="3">
        <f>IFERROR(__xludf.DUMMYFUNCTION("""COMPUTED_VALUE"""),2.0)</f>
        <v>2</v>
      </c>
      <c r="F3409" s="300">
        <v>1.0</v>
      </c>
      <c r="G3409" s="300">
        <v>1.0</v>
      </c>
      <c r="H3409" s="300">
        <v>1.0</v>
      </c>
      <c r="I3409" s="300">
        <v>1.0</v>
      </c>
      <c r="J3409" s="300">
        <v>1.0</v>
      </c>
      <c r="K3409" s="300">
        <v>1.0</v>
      </c>
      <c r="L3409" s="300">
        <v>1.0</v>
      </c>
      <c r="M3409" s="300">
        <v>1.0</v>
      </c>
      <c r="N3409" s="300">
        <v>8.0</v>
      </c>
      <c r="O3409" s="300" t="s">
        <v>972</v>
      </c>
      <c r="P3409" s="300">
        <v>6.0</v>
      </c>
    </row>
    <row r="3410">
      <c r="A3410">
        <f>IFERROR(__xludf.DUMMYFUNCTION("""COMPUTED_VALUE"""),11.0)</f>
        <v>11</v>
      </c>
      <c r="B3410" s="406">
        <f>IFERROR(__xludf.DUMMYFUNCTION("""COMPUTED_VALUE"""),27067.0)</f>
        <v>27067</v>
      </c>
      <c r="C3410" t="str">
        <f>IFERROR(__xludf.DUMMYFUNCTION("""COMPUTED_VALUE"""),"MENDIVELSO JARAMILLO, SAMUEL")</f>
        <v>MENDIVELSO JARAMILLO, SAMUEL</v>
      </c>
      <c r="D3410" t="str">
        <f>IFERROR(__xludf.DUMMYFUNCTION("""COMPUTED_VALUE"""),"Life Purpose")</f>
        <v>Life Purpose</v>
      </c>
      <c r="E3410" s="3">
        <f>IFERROR(__xludf.DUMMYFUNCTION("""COMPUTED_VALUE"""),2.0)</f>
        <v>2</v>
      </c>
      <c r="F3410" s="300">
        <v>1.0</v>
      </c>
      <c r="G3410" s="300">
        <v>1.0</v>
      </c>
      <c r="H3410" s="300">
        <v>1.0</v>
      </c>
      <c r="I3410" s="300">
        <v>1.0</v>
      </c>
      <c r="J3410" s="300">
        <v>1.0</v>
      </c>
      <c r="K3410" s="300">
        <v>1.0</v>
      </c>
      <c r="L3410" s="300">
        <v>1.0</v>
      </c>
      <c r="M3410" s="300">
        <v>1.0</v>
      </c>
      <c r="N3410" s="300">
        <v>8.0</v>
      </c>
      <c r="O3410" s="300" t="s">
        <v>972</v>
      </c>
      <c r="P3410" s="300">
        <v>6.0</v>
      </c>
    </row>
    <row r="3411">
      <c r="A3411">
        <f>IFERROR(__xludf.DUMMYFUNCTION("""COMPUTED_VALUE"""),11.0)</f>
        <v>11</v>
      </c>
      <c r="B3411" s="406">
        <f>IFERROR(__xludf.DUMMYFUNCTION("""COMPUTED_VALUE"""),27048.0)</f>
        <v>27048</v>
      </c>
      <c r="C3411" t="str">
        <f>IFERROR(__xludf.DUMMYFUNCTION("""COMPUTED_VALUE"""),"HARRY DURAN, MANUELA")</f>
        <v>HARRY DURAN, MANUELA</v>
      </c>
      <c r="D3411" t="str">
        <f>IFERROR(__xludf.DUMMYFUNCTION("""COMPUTED_VALUE"""),"AP Psychology")</f>
        <v>AP Psychology</v>
      </c>
      <c r="E3411" s="3">
        <f>IFERROR(__xludf.DUMMYFUNCTION("""COMPUTED_VALUE"""),4.0)</f>
        <v>4</v>
      </c>
      <c r="F3411" s="300">
        <v>1.0</v>
      </c>
      <c r="G3411" s="300">
        <v>1.0</v>
      </c>
      <c r="H3411" s="300">
        <v>1.0</v>
      </c>
      <c r="I3411" s="300">
        <v>1.0</v>
      </c>
      <c r="J3411" s="300">
        <v>1.0</v>
      </c>
      <c r="K3411" s="300">
        <v>1.0</v>
      </c>
      <c r="L3411" s="300">
        <v>1.0</v>
      </c>
      <c r="M3411" s="300">
        <v>1.0</v>
      </c>
      <c r="N3411" s="300">
        <v>8.0</v>
      </c>
      <c r="O3411" s="300" t="s">
        <v>981</v>
      </c>
      <c r="P3411" s="300">
        <v>2.0</v>
      </c>
    </row>
    <row r="3412">
      <c r="A3412">
        <f>IFERROR(__xludf.DUMMYFUNCTION("""COMPUTED_VALUE"""),11.0)</f>
        <v>11</v>
      </c>
      <c r="B3412" s="406">
        <f>IFERROR(__xludf.DUMMYFUNCTION("""COMPUTED_VALUE"""),27132.0)</f>
        <v>27132</v>
      </c>
      <c r="C3412" t="str">
        <f>IFERROR(__xludf.DUMMYFUNCTION("""COMPUTED_VALUE"""),"BARRERA GUZMAN, DANIELA")</f>
        <v>BARRERA GUZMAN, DANIELA</v>
      </c>
      <c r="D3412" t="str">
        <f>IFERROR(__xludf.DUMMYFUNCTION("""COMPUTED_VALUE"""),"AP Economics")</f>
        <v>AP Economics</v>
      </c>
      <c r="E3412" s="3">
        <f>IFERROR(__xludf.DUMMYFUNCTION("""COMPUTED_VALUE"""),8.0)</f>
        <v>8</v>
      </c>
      <c r="F3412" s="300">
        <v>1.0</v>
      </c>
      <c r="G3412" s="300">
        <v>1.0</v>
      </c>
      <c r="H3412" s="300">
        <v>1.0</v>
      </c>
      <c r="I3412" s="300">
        <v>1.0</v>
      </c>
      <c r="J3412" s="300">
        <v>1.0</v>
      </c>
      <c r="K3412" s="300">
        <v>1.0</v>
      </c>
      <c r="L3412" s="300">
        <v>1.0</v>
      </c>
      <c r="M3412" s="300">
        <v>1.0</v>
      </c>
      <c r="N3412" s="300">
        <v>8.0</v>
      </c>
      <c r="O3412" s="300" t="s">
        <v>980</v>
      </c>
      <c r="P3412" s="300">
        <v>4.0</v>
      </c>
    </row>
    <row r="3413">
      <c r="A3413">
        <f>IFERROR(__xludf.DUMMYFUNCTION("""COMPUTED_VALUE"""),11.0)</f>
        <v>11</v>
      </c>
      <c r="B3413" s="406">
        <f>IFERROR(__xludf.DUMMYFUNCTION("""COMPUTED_VALUE"""),27107.0)</f>
        <v>27107</v>
      </c>
      <c r="C3413" t="str">
        <f>IFERROR(__xludf.DUMMYFUNCTION("""COMPUTED_VALUE"""),"SANIN VELASQUEZ, MONTSERRAT")</f>
        <v>SANIN VELASQUEZ, MONTSERRAT</v>
      </c>
      <c r="D3413" t="str">
        <f>IFERROR(__xludf.DUMMYFUNCTION("""COMPUTED_VALUE"""),"Life Purpose")</f>
        <v>Life Purpose</v>
      </c>
      <c r="E3413" s="3">
        <f>IFERROR(__xludf.DUMMYFUNCTION("""COMPUTED_VALUE"""),2.0)</f>
        <v>2</v>
      </c>
      <c r="F3413" s="300">
        <v>1.0</v>
      </c>
      <c r="G3413" s="300">
        <v>1.0</v>
      </c>
      <c r="H3413" s="300">
        <v>1.0</v>
      </c>
      <c r="I3413" s="300">
        <v>1.0</v>
      </c>
      <c r="J3413" s="300">
        <v>1.0</v>
      </c>
      <c r="K3413" s="300">
        <v>1.0</v>
      </c>
      <c r="L3413" s="300">
        <v>1.0</v>
      </c>
      <c r="M3413" s="300">
        <v>1.0</v>
      </c>
      <c r="N3413" s="300">
        <v>8.0</v>
      </c>
      <c r="O3413" s="300" t="s">
        <v>972</v>
      </c>
      <c r="P3413" s="300">
        <v>6.0</v>
      </c>
    </row>
    <row r="3414">
      <c r="A3414">
        <f>IFERROR(__xludf.DUMMYFUNCTION("""COMPUTED_VALUE"""),11.0)</f>
        <v>11</v>
      </c>
      <c r="B3414" s="406">
        <f>IFERROR(__xludf.DUMMYFUNCTION("""COMPUTED_VALUE"""),27134.0)</f>
        <v>27134</v>
      </c>
      <c r="C3414" t="str">
        <f>IFERROR(__xludf.DUMMYFUNCTION("""COMPUTED_VALUE"""),"MONTOYA JARAMILLO, TOMAS")</f>
        <v>MONTOYA JARAMILLO, TOMAS</v>
      </c>
      <c r="D3414" t="str">
        <f>IFERROR(__xludf.DUMMYFUNCTION("""COMPUTED_VALUE"""),"AP Psychology")</f>
        <v>AP Psychology</v>
      </c>
      <c r="E3414" s="3">
        <f>IFERROR(__xludf.DUMMYFUNCTION("""COMPUTED_VALUE"""),5.0)</f>
        <v>5</v>
      </c>
      <c r="F3414" s="300">
        <v>1.0</v>
      </c>
      <c r="G3414" s="300">
        <v>1.0</v>
      </c>
      <c r="H3414" s="300">
        <v>1.0</v>
      </c>
      <c r="I3414" s="300">
        <v>1.0</v>
      </c>
      <c r="J3414" s="300">
        <v>1.0</v>
      </c>
      <c r="K3414" s="300">
        <v>1.0</v>
      </c>
      <c r="L3414" s="300">
        <v>1.0</v>
      </c>
      <c r="M3414" s="300">
        <v>1.0</v>
      </c>
      <c r="N3414" s="300">
        <v>8.0</v>
      </c>
      <c r="O3414" s="300" t="s">
        <v>985</v>
      </c>
      <c r="P3414" s="300">
        <v>2.0</v>
      </c>
    </row>
    <row r="3415">
      <c r="A3415">
        <f>IFERROR(__xludf.DUMMYFUNCTION("""COMPUTED_VALUE"""),11.0)</f>
        <v>11</v>
      </c>
      <c r="B3415" s="406">
        <f>IFERROR(__xludf.DUMMYFUNCTION("""COMPUTED_VALUE"""),27126.0)</f>
        <v>27126</v>
      </c>
      <c r="C3415" t="str">
        <f>IFERROR(__xludf.DUMMYFUNCTION("""COMPUTED_VALUE"""),"YACAMAN RESTREPO, PEDRO")</f>
        <v>YACAMAN RESTREPO, PEDRO</v>
      </c>
      <c r="D3415" t="str">
        <f>IFERROR(__xludf.DUMMYFUNCTION("""COMPUTED_VALUE"""),"Life Purpose")</f>
        <v>Life Purpose</v>
      </c>
      <c r="E3415" s="3">
        <f>IFERROR(__xludf.DUMMYFUNCTION("""COMPUTED_VALUE"""),1.0)</f>
        <v>1</v>
      </c>
      <c r="F3415" s="300">
        <v>1.0</v>
      </c>
      <c r="G3415" s="300">
        <v>1.0</v>
      </c>
      <c r="H3415" s="300">
        <v>1.0</v>
      </c>
      <c r="I3415" s="300">
        <v>1.0</v>
      </c>
      <c r="J3415" s="300">
        <v>1.0</v>
      </c>
      <c r="K3415" s="300">
        <v>1.0</v>
      </c>
      <c r="L3415" s="300">
        <v>1.0</v>
      </c>
      <c r="M3415" s="300">
        <v>1.0</v>
      </c>
      <c r="N3415" s="300">
        <v>8.0</v>
      </c>
      <c r="O3415" s="300" t="s">
        <v>986</v>
      </c>
      <c r="P3415" s="300">
        <v>6.0</v>
      </c>
    </row>
    <row r="3416">
      <c r="A3416">
        <f>IFERROR(__xludf.DUMMYFUNCTION("""COMPUTED_VALUE"""),11.0)</f>
        <v>11</v>
      </c>
      <c r="B3416" s="406">
        <f>IFERROR(__xludf.DUMMYFUNCTION("""COMPUTED_VALUE"""),27114.0)</f>
        <v>27114</v>
      </c>
      <c r="C3416" t="str">
        <f>IFERROR(__xludf.DUMMYFUNCTION("""COMPUTED_VALUE"""),"TORO PEREZ, CRISTOBAL")</f>
        <v>TORO PEREZ, CRISTOBAL</v>
      </c>
      <c r="D3416" t="str">
        <f>IFERROR(__xludf.DUMMYFUNCTION("""COMPUTED_VALUE"""),"Life Purpose")</f>
        <v>Life Purpose</v>
      </c>
      <c r="E3416" s="3">
        <f>IFERROR(__xludf.DUMMYFUNCTION("""COMPUTED_VALUE"""),1.0)</f>
        <v>1</v>
      </c>
      <c r="F3416" s="300">
        <v>1.0</v>
      </c>
      <c r="G3416" s="300">
        <v>1.0</v>
      </c>
      <c r="H3416" s="300">
        <v>1.0</v>
      </c>
      <c r="I3416" s="300">
        <v>1.0</v>
      </c>
      <c r="J3416" s="300">
        <v>1.0</v>
      </c>
      <c r="K3416" s="300">
        <v>1.0</v>
      </c>
      <c r="L3416" s="300">
        <v>1.0</v>
      </c>
      <c r="M3416" s="300">
        <v>1.0</v>
      </c>
      <c r="N3416" s="300">
        <v>8.0</v>
      </c>
      <c r="O3416" s="300" t="s">
        <v>986</v>
      </c>
      <c r="P3416" s="300">
        <v>6.0</v>
      </c>
    </row>
    <row r="3417">
      <c r="A3417">
        <f>IFERROR(__xludf.DUMMYFUNCTION("""COMPUTED_VALUE"""),11.0)</f>
        <v>11</v>
      </c>
      <c r="B3417" s="406">
        <f>IFERROR(__xludf.DUMMYFUNCTION("""COMPUTED_VALUE"""),26106.0)</f>
        <v>26106</v>
      </c>
      <c r="C3417" t="str">
        <f>IFERROR(__xludf.DUMMYFUNCTION("""COMPUTED_VALUE"""),"ROMERO LOPERA, JUAN SEBASTIAN")</f>
        <v>ROMERO LOPERA, JUAN SEBASTIAN</v>
      </c>
      <c r="D3417" t="str">
        <f>IFERROR(__xludf.DUMMYFUNCTION("""COMPUTED_VALUE"""),"Life Purpose")</f>
        <v>Life Purpose</v>
      </c>
      <c r="E3417" s="3">
        <f>IFERROR(__xludf.DUMMYFUNCTION("""COMPUTED_VALUE"""),2.0)</f>
        <v>2</v>
      </c>
      <c r="F3417" s="300">
        <v>1.0</v>
      </c>
      <c r="G3417" s="300">
        <v>1.0</v>
      </c>
      <c r="H3417" s="300">
        <v>1.0</v>
      </c>
      <c r="I3417" s="300">
        <v>1.0</v>
      </c>
      <c r="J3417" s="300">
        <v>1.0</v>
      </c>
      <c r="K3417" s="300">
        <v>1.0</v>
      </c>
      <c r="L3417" s="300">
        <v>1.0</v>
      </c>
      <c r="M3417" s="300">
        <v>1.0</v>
      </c>
      <c r="N3417" s="300">
        <v>8.0</v>
      </c>
      <c r="O3417" s="300" t="s">
        <v>972</v>
      </c>
      <c r="P3417" s="300">
        <v>6.0</v>
      </c>
    </row>
    <row r="3418">
      <c r="A3418">
        <f>IFERROR(__xludf.DUMMYFUNCTION("""COMPUTED_VALUE"""),11.0)</f>
        <v>11</v>
      </c>
      <c r="B3418" s="406">
        <f>IFERROR(__xludf.DUMMYFUNCTION("""COMPUTED_VALUE"""),27014.0)</f>
        <v>27014</v>
      </c>
      <c r="C3418" t="str">
        <f>IFERROR(__xludf.DUMMYFUNCTION("""COMPUTED_VALUE"""),"BEDOYA JIMENEZ, NICOLAS")</f>
        <v>BEDOYA JIMENEZ, NICOLAS</v>
      </c>
      <c r="D3418" t="str">
        <f>IFERROR(__xludf.DUMMYFUNCTION("""COMPUTED_VALUE"""),"AP Economics")</f>
        <v>AP Economics</v>
      </c>
      <c r="E3418" s="3">
        <f>IFERROR(__xludf.DUMMYFUNCTION("""COMPUTED_VALUE"""),8.0)</f>
        <v>8</v>
      </c>
      <c r="F3418" s="300">
        <v>1.0</v>
      </c>
      <c r="G3418" s="300">
        <v>1.0</v>
      </c>
      <c r="H3418" s="300">
        <v>1.0</v>
      </c>
      <c r="I3418" s="300">
        <v>1.0</v>
      </c>
      <c r="J3418" s="300">
        <v>1.0</v>
      </c>
      <c r="K3418" s="300">
        <v>1.0</v>
      </c>
      <c r="L3418" s="300">
        <v>1.0</v>
      </c>
      <c r="M3418" s="300">
        <v>1.0</v>
      </c>
      <c r="N3418" s="300">
        <v>8.0</v>
      </c>
      <c r="O3418" s="300" t="s">
        <v>980</v>
      </c>
      <c r="P3418" s="300">
        <v>4.0</v>
      </c>
    </row>
    <row r="3419">
      <c r="A3419">
        <f>IFERROR(__xludf.DUMMYFUNCTION("""COMPUTED_VALUE"""),11.0)</f>
        <v>11</v>
      </c>
      <c r="B3419" s="406">
        <f>IFERROR(__xludf.DUMMYFUNCTION("""COMPUTED_VALUE"""),27160.0)</f>
        <v>27160</v>
      </c>
      <c r="C3419" t="str">
        <f>IFERROR(__xludf.DUMMYFUNCTION("""COMPUTED_VALUE"""),"SUDETTI, ISABELLA")</f>
        <v>SUDETTI, ISABELLA</v>
      </c>
      <c r="D3419" t="str">
        <f>IFERROR(__xludf.DUMMYFUNCTION("""COMPUTED_VALUE"""),"AP Economics")</f>
        <v>AP Economics</v>
      </c>
      <c r="E3419" s="3">
        <f>IFERROR(__xludf.DUMMYFUNCTION("""COMPUTED_VALUE"""),4.0)</f>
        <v>4</v>
      </c>
      <c r="F3419" s="300">
        <v>1.0</v>
      </c>
      <c r="G3419" s="300">
        <v>1.0</v>
      </c>
      <c r="H3419" s="300">
        <v>1.0</v>
      </c>
      <c r="I3419" s="300">
        <v>1.0</v>
      </c>
      <c r="J3419" s="300">
        <v>1.0</v>
      </c>
      <c r="K3419" s="300">
        <v>1.0</v>
      </c>
      <c r="L3419" s="300">
        <v>1.0</v>
      </c>
      <c r="M3419" s="300">
        <v>1.0</v>
      </c>
      <c r="N3419" s="300">
        <v>8.0</v>
      </c>
      <c r="O3419" s="300" t="s">
        <v>977</v>
      </c>
      <c r="P3419" s="300">
        <v>4.0</v>
      </c>
    </row>
    <row r="3420">
      <c r="A3420">
        <f>IFERROR(__xludf.DUMMYFUNCTION("""COMPUTED_VALUE"""),11.0)</f>
        <v>11</v>
      </c>
      <c r="B3420" s="406">
        <f>IFERROR(__xludf.DUMMYFUNCTION("""COMPUTED_VALUE"""),27030.0)</f>
        <v>27030</v>
      </c>
      <c r="C3420" t="str">
        <f>IFERROR(__xludf.DUMMYFUNCTION("""COMPUTED_VALUE"""),"DURAN CALAD, PABLO")</f>
        <v>DURAN CALAD, PABLO</v>
      </c>
      <c r="D3420" t="str">
        <f>IFERROR(__xludf.DUMMYFUNCTION("""COMPUTED_VALUE"""),"AP World History")</f>
        <v>AP World History</v>
      </c>
      <c r="E3420" s="3">
        <f>IFERROR(__xludf.DUMMYFUNCTION("""COMPUTED_VALUE"""),6.0)</f>
        <v>6</v>
      </c>
      <c r="F3420" s="300">
        <v>1.0</v>
      </c>
      <c r="G3420" s="300">
        <v>1.0</v>
      </c>
      <c r="H3420" s="300">
        <v>1.0</v>
      </c>
      <c r="I3420" s="300">
        <v>1.0</v>
      </c>
      <c r="J3420" s="300">
        <v>1.0</v>
      </c>
      <c r="K3420" s="300">
        <v>1.0</v>
      </c>
      <c r="L3420" s="300">
        <v>1.0</v>
      </c>
      <c r="M3420" s="300">
        <v>1.0</v>
      </c>
      <c r="N3420" s="300">
        <v>8.0</v>
      </c>
      <c r="O3420" s="300" t="s">
        <v>973</v>
      </c>
      <c r="P3420" s="300">
        <v>2.0</v>
      </c>
    </row>
    <row r="3421">
      <c r="A3421">
        <f>IFERROR(__xludf.DUMMYFUNCTION("""COMPUTED_VALUE"""),11.0)</f>
        <v>11</v>
      </c>
      <c r="B3421" s="406">
        <f>IFERROR(__xludf.DUMMYFUNCTION("""COMPUTED_VALUE"""),27023.0)</f>
        <v>27023</v>
      </c>
      <c r="C3421" t="str">
        <f>IFERROR(__xludf.DUMMYFUNCTION("""COMPUTED_VALUE"""),"CASTAÑO VASQUEZ, DANIEL")</f>
        <v>CASTAÑO VASQUEZ, DANIEL</v>
      </c>
      <c r="D3421" t="str">
        <f>IFERROR(__xludf.DUMMYFUNCTION("""COMPUTED_VALUE"""),"Life Purpose")</f>
        <v>Life Purpose</v>
      </c>
      <c r="E3421" s="3">
        <f>IFERROR(__xludf.DUMMYFUNCTION("""COMPUTED_VALUE"""),6.0)</f>
        <v>6</v>
      </c>
      <c r="F3421" s="300">
        <v>1.0</v>
      </c>
      <c r="G3421" s="300">
        <v>1.0</v>
      </c>
      <c r="H3421" s="300">
        <v>1.0</v>
      </c>
      <c r="I3421" s="300">
        <v>1.0</v>
      </c>
      <c r="J3421" s="300">
        <v>1.0</v>
      </c>
      <c r="K3421" s="300">
        <v>1.0</v>
      </c>
      <c r="L3421" s="300">
        <v>1.0</v>
      </c>
      <c r="M3421" s="300">
        <v>1.0</v>
      </c>
      <c r="N3421" s="300">
        <v>8.0</v>
      </c>
      <c r="O3421" s="300" t="s">
        <v>979</v>
      </c>
      <c r="P3421" s="300">
        <v>6.0</v>
      </c>
    </row>
    <row r="3422">
      <c r="A3422">
        <f>IFERROR(__xludf.DUMMYFUNCTION("""COMPUTED_VALUE"""),11.0)</f>
        <v>11</v>
      </c>
      <c r="B3422" s="406">
        <f>IFERROR(__xludf.DUMMYFUNCTION("""COMPUTED_VALUE"""),27138.0)</f>
        <v>27138</v>
      </c>
      <c r="C3422" t="str">
        <f>IFERROR(__xludf.DUMMYFUNCTION("""COMPUTED_VALUE"""),"ALMEIDA CARMONA, LUISA MARIA")</f>
        <v>ALMEIDA CARMONA, LUISA MARIA</v>
      </c>
      <c r="D3422" t="str">
        <f>IFERROR(__xludf.DUMMYFUNCTION("""COMPUTED_VALUE"""),"AP Psychology")</f>
        <v>AP Psychology</v>
      </c>
      <c r="E3422" s="3">
        <f>IFERROR(__xludf.DUMMYFUNCTION("""COMPUTED_VALUE"""),5.0)</f>
        <v>5</v>
      </c>
      <c r="F3422" s="300">
        <v>1.0</v>
      </c>
      <c r="G3422" s="300">
        <v>1.0</v>
      </c>
      <c r="H3422" s="300">
        <v>1.0</v>
      </c>
      <c r="I3422" s="300">
        <v>1.0</v>
      </c>
      <c r="J3422" s="300">
        <v>1.0</v>
      </c>
      <c r="K3422" s="300">
        <v>1.0</v>
      </c>
      <c r="L3422" s="300">
        <v>1.0</v>
      </c>
      <c r="M3422" s="300">
        <v>1.0</v>
      </c>
      <c r="N3422" s="300">
        <v>8.0</v>
      </c>
      <c r="O3422" s="300" t="s">
        <v>985</v>
      </c>
      <c r="P3422" s="300">
        <v>2.0</v>
      </c>
    </row>
    <row r="3423">
      <c r="A3423">
        <f>IFERROR(__xludf.DUMMYFUNCTION("""COMPUTED_VALUE"""),11.0)</f>
        <v>11</v>
      </c>
      <c r="B3423" s="406">
        <f>IFERROR(__xludf.DUMMYFUNCTION("""COMPUTED_VALUE"""),27091.0)</f>
        <v>27091</v>
      </c>
      <c r="C3423" t="str">
        <f>IFERROR(__xludf.DUMMYFUNCTION("""COMPUTED_VALUE"""),"PUERTA PAZ, DAVID")</f>
        <v>PUERTA PAZ, DAVID</v>
      </c>
      <c r="D3423" t="str">
        <f>IFERROR(__xludf.DUMMYFUNCTION("""COMPUTED_VALUE"""),"Life Purpose")</f>
        <v>Life Purpose</v>
      </c>
      <c r="E3423" s="3">
        <f>IFERROR(__xludf.DUMMYFUNCTION("""COMPUTED_VALUE"""),1.0)</f>
        <v>1</v>
      </c>
      <c r="F3423" s="300">
        <v>1.0</v>
      </c>
      <c r="G3423" s="300">
        <v>1.0</v>
      </c>
      <c r="H3423" s="300">
        <v>1.0</v>
      </c>
      <c r="I3423" s="300">
        <v>1.0</v>
      </c>
      <c r="J3423" s="300">
        <v>1.0</v>
      </c>
      <c r="K3423" s="300">
        <v>1.0</v>
      </c>
      <c r="L3423" s="300">
        <v>1.0</v>
      </c>
      <c r="M3423" s="300">
        <v>1.0</v>
      </c>
      <c r="N3423" s="300">
        <v>8.0</v>
      </c>
      <c r="O3423" s="300" t="s">
        <v>986</v>
      </c>
      <c r="P3423" s="300">
        <v>6.0</v>
      </c>
    </row>
    <row r="3424">
      <c r="A3424">
        <f>IFERROR(__xludf.DUMMYFUNCTION("""COMPUTED_VALUE"""),11.0)</f>
        <v>11</v>
      </c>
      <c r="B3424" s="406">
        <f>IFERROR(__xludf.DUMMYFUNCTION("""COMPUTED_VALUE"""),27063.0)</f>
        <v>27063</v>
      </c>
      <c r="C3424" t="str">
        <f>IFERROR(__xludf.DUMMYFUNCTION("""COMPUTED_VALUE"""),"MARTINEZ AGUILAR, ALICIA")</f>
        <v>MARTINEZ AGUILAR, ALICIA</v>
      </c>
      <c r="D3424" t="str">
        <f>IFERROR(__xludf.DUMMYFUNCTION("""COMPUTED_VALUE"""),"AP Economics")</f>
        <v>AP Economics</v>
      </c>
      <c r="E3424" s="3">
        <f>IFERROR(__xludf.DUMMYFUNCTION("""COMPUTED_VALUE"""),8.0)</f>
        <v>8</v>
      </c>
      <c r="F3424" s="300">
        <v>1.0</v>
      </c>
      <c r="G3424" s="300">
        <v>1.0</v>
      </c>
      <c r="H3424" s="300">
        <v>1.0</v>
      </c>
      <c r="I3424" s="300">
        <v>1.0</v>
      </c>
      <c r="J3424" s="300">
        <v>1.0</v>
      </c>
      <c r="K3424" s="300">
        <v>1.0</v>
      </c>
      <c r="L3424" s="300">
        <v>1.0</v>
      </c>
      <c r="M3424" s="300">
        <v>1.0</v>
      </c>
      <c r="N3424" s="300">
        <v>8.0</v>
      </c>
      <c r="O3424" s="300" t="s">
        <v>980</v>
      </c>
      <c r="P3424" s="300">
        <v>4.0</v>
      </c>
    </row>
    <row r="3425">
      <c r="A3425">
        <f>IFERROR(__xludf.DUMMYFUNCTION("""COMPUTED_VALUE"""),11.0)</f>
        <v>11</v>
      </c>
      <c r="B3425" s="406">
        <f>IFERROR(__xludf.DUMMYFUNCTION("""COMPUTED_VALUE"""),27147.0)</f>
        <v>27147</v>
      </c>
      <c r="C3425" t="str">
        <f>IFERROR(__xludf.DUMMYFUNCTION("""COMPUTED_VALUE"""),"MESA FLOREZ, SALOMON")</f>
        <v>MESA FLOREZ, SALOMON</v>
      </c>
      <c r="D3425" t="str">
        <f>IFERROR(__xludf.DUMMYFUNCTION("""COMPUTED_VALUE"""),"Life Purpose")</f>
        <v>Life Purpose</v>
      </c>
      <c r="E3425" s="3">
        <f>IFERROR(__xludf.DUMMYFUNCTION("""COMPUTED_VALUE"""),7.0)</f>
        <v>7</v>
      </c>
      <c r="F3425" s="300">
        <v>1.0</v>
      </c>
      <c r="G3425" s="300">
        <v>1.0</v>
      </c>
      <c r="H3425" s="300">
        <v>1.0</v>
      </c>
      <c r="I3425" s="300">
        <v>1.0</v>
      </c>
      <c r="J3425" s="300">
        <v>1.0</v>
      </c>
      <c r="K3425" s="300">
        <v>1.0</v>
      </c>
      <c r="L3425" s="300">
        <v>1.0</v>
      </c>
      <c r="M3425" s="300">
        <v>1.0</v>
      </c>
      <c r="N3425" s="300">
        <v>8.0</v>
      </c>
      <c r="O3425" s="300" t="s">
        <v>984</v>
      </c>
      <c r="P3425" s="300">
        <v>6.0</v>
      </c>
    </row>
    <row r="3426">
      <c r="A3426">
        <f>IFERROR(__xludf.DUMMYFUNCTION("""COMPUTED_VALUE"""),11.0)</f>
        <v>11</v>
      </c>
      <c r="B3426" s="406">
        <f>IFERROR(__xludf.DUMMYFUNCTION("""COMPUTED_VALUE"""),27129.0)</f>
        <v>27129</v>
      </c>
      <c r="C3426" t="str">
        <f>IFERROR(__xludf.DUMMYFUNCTION("""COMPUTED_VALUE"""),"VALLEJO HOYOS, MIGUEL")</f>
        <v>VALLEJO HOYOS, MIGUEL</v>
      </c>
      <c r="D3426" t="str">
        <f>IFERROR(__xludf.DUMMYFUNCTION("""COMPUTED_VALUE"""),"AP Economics")</f>
        <v>AP Economics</v>
      </c>
      <c r="E3426" s="3">
        <f>IFERROR(__xludf.DUMMYFUNCTION("""COMPUTED_VALUE"""),7.0)</f>
        <v>7</v>
      </c>
      <c r="F3426" s="300">
        <v>1.0</v>
      </c>
      <c r="G3426" s="300">
        <v>1.0</v>
      </c>
      <c r="H3426" s="300">
        <v>1.0</v>
      </c>
      <c r="I3426" s="300">
        <v>1.0</v>
      </c>
      <c r="J3426" s="300">
        <v>1.0</v>
      </c>
      <c r="K3426" s="300">
        <v>1.0</v>
      </c>
      <c r="L3426" s="300">
        <v>1.0</v>
      </c>
      <c r="M3426" s="300">
        <v>1.0</v>
      </c>
      <c r="N3426" s="300">
        <v>8.0</v>
      </c>
      <c r="O3426" s="300" t="s">
        <v>983</v>
      </c>
      <c r="P3426" s="300">
        <v>4.0</v>
      </c>
    </row>
    <row r="3427">
      <c r="A3427">
        <f>IFERROR(__xludf.DUMMYFUNCTION("""COMPUTED_VALUE"""),11.0)</f>
        <v>11</v>
      </c>
      <c r="B3427" s="406">
        <f>IFERROR(__xludf.DUMMYFUNCTION("""COMPUTED_VALUE"""),27015.0)</f>
        <v>27015</v>
      </c>
      <c r="C3427" t="str">
        <f>IFERROR(__xludf.DUMMYFUNCTION("""COMPUTED_VALUE"""),"BERNAL OCHOA, MARIANA")</f>
        <v>BERNAL OCHOA, MARIANA</v>
      </c>
      <c r="D3427" t="str">
        <f>IFERROR(__xludf.DUMMYFUNCTION("""COMPUTED_VALUE"""),"AP Economics")</f>
        <v>AP Economics</v>
      </c>
      <c r="E3427" s="3">
        <f>IFERROR(__xludf.DUMMYFUNCTION("""COMPUTED_VALUE"""),4.0)</f>
        <v>4</v>
      </c>
      <c r="F3427" s="300">
        <v>1.0</v>
      </c>
      <c r="G3427" s="300">
        <v>1.0</v>
      </c>
      <c r="H3427" s="300">
        <v>1.0</v>
      </c>
      <c r="I3427" s="300">
        <v>1.0</v>
      </c>
      <c r="J3427" s="300">
        <v>1.0</v>
      </c>
      <c r="K3427" s="300">
        <v>1.0</v>
      </c>
      <c r="L3427" s="300">
        <v>1.0</v>
      </c>
      <c r="M3427" s="300">
        <v>1.0</v>
      </c>
      <c r="N3427" s="300">
        <v>8.0</v>
      </c>
      <c r="O3427" s="300" t="s">
        <v>977</v>
      </c>
      <c r="P3427" s="300">
        <v>4.0</v>
      </c>
    </row>
    <row r="3428">
      <c r="A3428">
        <f>IFERROR(__xludf.DUMMYFUNCTION("""COMPUTED_VALUE"""),11.0)</f>
        <v>11</v>
      </c>
      <c r="B3428" s="406">
        <f>IFERROR(__xludf.DUMMYFUNCTION("""COMPUTED_VALUE"""),27104.0)</f>
        <v>27104</v>
      </c>
      <c r="C3428" t="str">
        <f>IFERROR(__xludf.DUMMYFUNCTION("""COMPUTED_VALUE"""),"SANCHEZ GONZALEZ, JUANITA")</f>
        <v>SANCHEZ GONZALEZ, JUANITA</v>
      </c>
      <c r="D3428" t="str">
        <f>IFERROR(__xludf.DUMMYFUNCTION("""COMPUTED_VALUE"""),"AP Psychology")</f>
        <v>AP Psychology</v>
      </c>
      <c r="E3428" s="3">
        <f>IFERROR(__xludf.DUMMYFUNCTION("""COMPUTED_VALUE"""),4.0)</f>
        <v>4</v>
      </c>
      <c r="F3428" s="300">
        <v>1.0</v>
      </c>
      <c r="G3428" s="300">
        <v>1.0</v>
      </c>
      <c r="H3428" s="300">
        <v>1.0</v>
      </c>
      <c r="I3428" s="300">
        <v>1.0</v>
      </c>
      <c r="J3428" s="300">
        <v>1.0</v>
      </c>
      <c r="K3428" s="300">
        <v>1.0</v>
      </c>
      <c r="L3428" s="300">
        <v>1.0</v>
      </c>
      <c r="M3428" s="300">
        <v>1.0</v>
      </c>
      <c r="N3428" s="300">
        <v>8.0</v>
      </c>
      <c r="O3428" s="300" t="s">
        <v>981</v>
      </c>
      <c r="P3428" s="300">
        <v>2.0</v>
      </c>
    </row>
    <row r="3429">
      <c r="A3429">
        <f>IFERROR(__xludf.DUMMYFUNCTION("""COMPUTED_VALUE"""),11.0)</f>
        <v>11</v>
      </c>
      <c r="B3429" s="406">
        <f>IFERROR(__xludf.DUMMYFUNCTION("""COMPUTED_VALUE"""),27130.0)</f>
        <v>27130</v>
      </c>
      <c r="C3429" t="str">
        <f>IFERROR(__xludf.DUMMYFUNCTION("""COMPUTED_VALUE"""),"EASTMAN BETANCUR, VIOLETA")</f>
        <v>EASTMAN BETANCUR, VIOLETA</v>
      </c>
      <c r="D3429" t="str">
        <f>IFERROR(__xludf.DUMMYFUNCTION("""COMPUTED_VALUE"""),"AP Psychology")</f>
        <v>AP Psychology</v>
      </c>
      <c r="E3429" s="3">
        <f>IFERROR(__xludf.DUMMYFUNCTION("""COMPUTED_VALUE"""),5.0)</f>
        <v>5</v>
      </c>
      <c r="F3429" s="300">
        <v>1.0</v>
      </c>
      <c r="G3429" s="300">
        <v>1.0</v>
      </c>
      <c r="H3429" s="300">
        <v>1.0</v>
      </c>
      <c r="I3429" s="300">
        <v>1.0</v>
      </c>
      <c r="J3429" s="300">
        <v>1.0</v>
      </c>
      <c r="K3429" s="300">
        <v>1.0</v>
      </c>
      <c r="L3429" s="300">
        <v>1.0</v>
      </c>
      <c r="M3429" s="300">
        <v>1.0</v>
      </c>
      <c r="N3429" s="300">
        <v>8.0</v>
      </c>
      <c r="O3429" s="300" t="s">
        <v>985</v>
      </c>
      <c r="P3429" s="300">
        <v>2.0</v>
      </c>
    </row>
    <row r="3430">
      <c r="A3430">
        <f>IFERROR(__xludf.DUMMYFUNCTION("""COMPUTED_VALUE"""),11.0)</f>
        <v>11</v>
      </c>
      <c r="B3430" s="406">
        <f>IFERROR(__xludf.DUMMYFUNCTION("""COMPUTED_VALUE"""),27096.0)</f>
        <v>27096</v>
      </c>
      <c r="C3430" t="str">
        <f>IFERROR(__xludf.DUMMYFUNCTION("""COMPUTED_VALUE"""),"RICO SALDARRIAGA, MARTINA")</f>
        <v>RICO SALDARRIAGA, MARTINA</v>
      </c>
      <c r="D3430" t="str">
        <f>IFERROR(__xludf.DUMMYFUNCTION("""COMPUTED_VALUE"""),"Life Purpose")</f>
        <v>Life Purpose</v>
      </c>
      <c r="E3430" s="3">
        <f>IFERROR(__xludf.DUMMYFUNCTION("""COMPUTED_VALUE"""),2.0)</f>
        <v>2</v>
      </c>
      <c r="F3430" s="300">
        <v>1.0</v>
      </c>
      <c r="G3430" s="300">
        <v>1.0</v>
      </c>
      <c r="H3430" s="300">
        <v>1.0</v>
      </c>
      <c r="I3430" s="300">
        <v>1.0</v>
      </c>
      <c r="J3430" s="300">
        <v>1.0</v>
      </c>
      <c r="K3430" s="300">
        <v>1.0</v>
      </c>
      <c r="L3430" s="300">
        <v>1.0</v>
      </c>
      <c r="M3430" s="300">
        <v>1.0</v>
      </c>
      <c r="N3430" s="300">
        <v>8.0</v>
      </c>
      <c r="O3430" s="300" t="s">
        <v>972</v>
      </c>
      <c r="P3430" s="300">
        <v>6.0</v>
      </c>
    </row>
    <row r="3431">
      <c r="A3431">
        <f>IFERROR(__xludf.DUMMYFUNCTION("""COMPUTED_VALUE"""),11.0)</f>
        <v>11</v>
      </c>
      <c r="B3431" s="406">
        <f>IFERROR(__xludf.DUMMYFUNCTION("""COMPUTED_VALUE"""),27131.0)</f>
        <v>27131</v>
      </c>
      <c r="C3431" t="str">
        <f>IFERROR(__xludf.DUMMYFUNCTION("""COMPUTED_VALUE"""),"BARRERA GUZMAN, CAMILA")</f>
        <v>BARRERA GUZMAN, CAMILA</v>
      </c>
      <c r="D3431" t="str">
        <f>IFERROR(__xludf.DUMMYFUNCTION("""COMPUTED_VALUE"""),"AP Economics")</f>
        <v>AP Economics</v>
      </c>
      <c r="E3431" s="3">
        <f>IFERROR(__xludf.DUMMYFUNCTION("""COMPUTED_VALUE"""),8.0)</f>
        <v>8</v>
      </c>
      <c r="F3431" s="300">
        <v>1.0</v>
      </c>
      <c r="G3431" s="300">
        <v>1.0</v>
      </c>
      <c r="H3431" s="300">
        <v>1.0</v>
      </c>
      <c r="I3431" s="300">
        <v>1.0</v>
      </c>
      <c r="J3431" s="300">
        <v>1.0</v>
      </c>
      <c r="K3431" s="300">
        <v>1.0</v>
      </c>
      <c r="L3431" s="300">
        <v>1.0</v>
      </c>
      <c r="M3431" s="300">
        <v>1.0</v>
      </c>
      <c r="N3431" s="300">
        <v>8.0</v>
      </c>
      <c r="O3431" s="300" t="s">
        <v>980</v>
      </c>
      <c r="P3431" s="300">
        <v>4.0</v>
      </c>
    </row>
    <row r="3432">
      <c r="A3432">
        <f>IFERROR(__xludf.DUMMYFUNCTION("""COMPUTED_VALUE"""),11.0)</f>
        <v>11</v>
      </c>
      <c r="B3432" s="406">
        <f>IFERROR(__xludf.DUMMYFUNCTION("""COMPUTED_VALUE"""),27068.0)</f>
        <v>27068</v>
      </c>
      <c r="C3432" t="str">
        <f>IFERROR(__xludf.DUMMYFUNCTION("""COMPUTED_VALUE"""),"MESA ACOSTA, ESTEBAN")</f>
        <v>MESA ACOSTA, ESTEBAN</v>
      </c>
      <c r="D3432" t="str">
        <f>IFERROR(__xludf.DUMMYFUNCTION("""COMPUTED_VALUE"""),"AP Economics")</f>
        <v>AP Economics</v>
      </c>
      <c r="E3432" s="3">
        <f>IFERROR(__xludf.DUMMYFUNCTION("""COMPUTED_VALUE"""),4.0)</f>
        <v>4</v>
      </c>
      <c r="F3432" s="300">
        <v>1.0</v>
      </c>
      <c r="G3432" s="300">
        <v>1.0</v>
      </c>
      <c r="H3432" s="300">
        <v>1.0</v>
      </c>
      <c r="I3432" s="300">
        <v>1.0</v>
      </c>
      <c r="J3432" s="300">
        <v>1.0</v>
      </c>
      <c r="K3432" s="300">
        <v>1.0</v>
      </c>
      <c r="L3432" s="300">
        <v>1.0</v>
      </c>
      <c r="M3432" s="300">
        <v>1.0</v>
      </c>
      <c r="N3432" s="300">
        <v>8.0</v>
      </c>
      <c r="O3432" s="300" t="s">
        <v>977</v>
      </c>
      <c r="P3432" s="300">
        <v>4.0</v>
      </c>
    </row>
    <row r="3433">
      <c r="A3433">
        <f>IFERROR(__xludf.DUMMYFUNCTION("""COMPUTED_VALUE"""),11.0)</f>
        <v>11</v>
      </c>
      <c r="B3433" s="406">
        <f>IFERROR(__xludf.DUMMYFUNCTION("""COMPUTED_VALUE"""),27127.0)</f>
        <v>27127</v>
      </c>
      <c r="C3433" t="str">
        <f>IFERROR(__xludf.DUMMYFUNCTION("""COMPUTED_VALUE"""),"YUSTY MOSQUERA, MATEO")</f>
        <v>YUSTY MOSQUERA, MATEO</v>
      </c>
      <c r="D3433" t="str">
        <f>IFERROR(__xludf.DUMMYFUNCTION("""COMPUTED_VALUE"""),"AP Economics")</f>
        <v>AP Economics</v>
      </c>
      <c r="E3433" s="3">
        <f>IFERROR(__xludf.DUMMYFUNCTION("""COMPUTED_VALUE"""),5.0)</f>
        <v>5</v>
      </c>
      <c r="F3433" s="300">
        <v>1.0</v>
      </c>
      <c r="G3433" s="300">
        <v>1.0</v>
      </c>
      <c r="H3433" s="300">
        <v>1.0</v>
      </c>
      <c r="I3433" s="300">
        <v>1.0</v>
      </c>
      <c r="J3433" s="300">
        <v>1.0</v>
      </c>
      <c r="K3433" s="300">
        <v>1.0</v>
      </c>
      <c r="L3433" s="300">
        <v>1.0</v>
      </c>
      <c r="M3433" s="300">
        <v>1.0</v>
      </c>
      <c r="N3433" s="300">
        <v>8.0</v>
      </c>
      <c r="O3433" s="300" t="s">
        <v>975</v>
      </c>
      <c r="P3433" s="300">
        <v>4.0</v>
      </c>
    </row>
    <row r="3434">
      <c r="A3434">
        <f>IFERROR(__xludf.DUMMYFUNCTION("""COMPUTED_VALUE"""),11.0)</f>
        <v>11</v>
      </c>
      <c r="B3434" s="406">
        <f>IFERROR(__xludf.DUMMYFUNCTION("""COMPUTED_VALUE"""),27172.0)</f>
        <v>27172</v>
      </c>
      <c r="C3434" t="str">
        <f>IFERROR(__xludf.DUMMYFUNCTION("""COMPUTED_VALUE"""),"PASCUAL CUMELLAS, IGNACIO")</f>
        <v>PASCUAL CUMELLAS, IGNACIO</v>
      </c>
      <c r="D3434" t="str">
        <f>IFERROR(__xludf.DUMMYFUNCTION("""COMPUTED_VALUE"""),"Life Purpose")</f>
        <v>Life Purpose</v>
      </c>
      <c r="E3434" s="3">
        <f>IFERROR(__xludf.DUMMYFUNCTION("""COMPUTED_VALUE"""),7.0)</f>
        <v>7</v>
      </c>
      <c r="F3434" s="300">
        <v>1.0</v>
      </c>
      <c r="G3434" s="300">
        <v>1.0</v>
      </c>
      <c r="H3434" s="300">
        <v>1.0</v>
      </c>
      <c r="I3434" s="300">
        <v>1.0</v>
      </c>
      <c r="J3434" s="300">
        <v>1.0</v>
      </c>
      <c r="K3434" s="300">
        <v>1.0</v>
      </c>
      <c r="L3434" s="300">
        <v>1.0</v>
      </c>
      <c r="M3434" s="300">
        <v>1.0</v>
      </c>
      <c r="N3434" s="300">
        <v>8.0</v>
      </c>
      <c r="O3434" s="300" t="s">
        <v>984</v>
      </c>
      <c r="P3434" s="300">
        <v>6.0</v>
      </c>
    </row>
    <row r="3435">
      <c r="A3435">
        <f>IFERROR(__xludf.DUMMYFUNCTION("""COMPUTED_VALUE"""),11.0)</f>
        <v>11</v>
      </c>
      <c r="B3435" s="406">
        <f>IFERROR(__xludf.DUMMYFUNCTION("""COMPUTED_VALUE"""),27018.0)</f>
        <v>27018</v>
      </c>
      <c r="C3435" t="str">
        <f>IFERROR(__xludf.DUMMYFUNCTION("""COMPUTED_VALUE"""),"BEYER VELEZ, JACOBO")</f>
        <v>BEYER VELEZ, JACOBO</v>
      </c>
      <c r="D3435" t="str">
        <f>IFERROR(__xludf.DUMMYFUNCTION("""COMPUTED_VALUE"""),"AP Economics")</f>
        <v>AP Economics</v>
      </c>
      <c r="E3435" s="3">
        <f>IFERROR(__xludf.DUMMYFUNCTION("""COMPUTED_VALUE"""),7.0)</f>
        <v>7</v>
      </c>
      <c r="F3435" s="300">
        <v>1.0</v>
      </c>
      <c r="G3435" s="300">
        <v>1.0</v>
      </c>
      <c r="H3435" s="300">
        <v>1.0</v>
      </c>
      <c r="I3435" s="300">
        <v>1.0</v>
      </c>
      <c r="J3435" s="300">
        <v>1.0</v>
      </c>
      <c r="K3435" s="300">
        <v>1.0</v>
      </c>
      <c r="L3435" s="300">
        <v>1.0</v>
      </c>
      <c r="M3435" s="300">
        <v>1.0</v>
      </c>
      <c r="N3435" s="300">
        <v>8.0</v>
      </c>
      <c r="O3435" s="300" t="s">
        <v>983</v>
      </c>
      <c r="P3435" s="300">
        <v>4.0</v>
      </c>
    </row>
    <row r="3436">
      <c r="A3436">
        <f>IFERROR(__xludf.DUMMYFUNCTION("""COMPUTED_VALUE"""),11.0)</f>
        <v>11</v>
      </c>
      <c r="B3436" s="406">
        <f>IFERROR(__xludf.DUMMYFUNCTION("""COMPUTED_VALUE"""),27017.0)</f>
        <v>27017</v>
      </c>
      <c r="C3436" t="str">
        <f>IFERROR(__xludf.DUMMYFUNCTION("""COMPUTED_VALUE"""),"BETANCUR ROBLEDO, ELISA")</f>
        <v>BETANCUR ROBLEDO, ELISA</v>
      </c>
      <c r="D3436" t="str">
        <f>IFERROR(__xludf.DUMMYFUNCTION("""COMPUTED_VALUE"""),"AP Economics")</f>
        <v>AP Economics</v>
      </c>
      <c r="E3436" s="3">
        <f>IFERROR(__xludf.DUMMYFUNCTION("""COMPUTED_VALUE"""),7.0)</f>
        <v>7</v>
      </c>
      <c r="F3436" s="300">
        <v>1.0</v>
      </c>
      <c r="G3436" s="300">
        <v>1.0</v>
      </c>
      <c r="H3436" s="300">
        <v>1.0</v>
      </c>
      <c r="I3436" s="300">
        <v>1.0</v>
      </c>
      <c r="J3436" s="300">
        <v>1.0</v>
      </c>
      <c r="K3436" s="300">
        <v>1.0</v>
      </c>
      <c r="L3436" s="300">
        <v>1.0</v>
      </c>
      <c r="M3436" s="300">
        <v>1.0</v>
      </c>
      <c r="N3436" s="300">
        <v>8.0</v>
      </c>
      <c r="O3436" s="300" t="s">
        <v>983</v>
      </c>
      <c r="P3436" s="300">
        <v>4.0</v>
      </c>
    </row>
    <row r="3437">
      <c r="A3437">
        <f>IFERROR(__xludf.DUMMYFUNCTION("""COMPUTED_VALUE"""),11.0)</f>
        <v>11</v>
      </c>
      <c r="B3437" s="406">
        <f>IFERROR(__xludf.DUMMYFUNCTION("""COMPUTED_VALUE"""),27113.0)</f>
        <v>27113</v>
      </c>
      <c r="C3437" t="str">
        <f>IFERROR(__xludf.DUMMYFUNCTION("""COMPUTED_VALUE"""),"TORO LOPERA, VIOLETA")</f>
        <v>TORO LOPERA, VIOLETA</v>
      </c>
      <c r="D3437" t="str">
        <f>IFERROR(__xludf.DUMMYFUNCTION("""COMPUTED_VALUE"""),"Life Purpose")</f>
        <v>Life Purpose</v>
      </c>
      <c r="E3437" s="3">
        <f>IFERROR(__xludf.DUMMYFUNCTION("""COMPUTED_VALUE"""),8.0)</f>
        <v>8</v>
      </c>
      <c r="F3437" s="300">
        <v>1.0</v>
      </c>
      <c r="G3437" s="300">
        <v>1.0</v>
      </c>
      <c r="H3437" s="300">
        <v>1.0</v>
      </c>
      <c r="I3437" s="300">
        <v>1.0</v>
      </c>
      <c r="J3437" s="300">
        <v>1.0</v>
      </c>
      <c r="K3437" s="300">
        <v>1.0</v>
      </c>
      <c r="L3437" s="300">
        <v>1.0</v>
      </c>
      <c r="M3437" s="300">
        <v>1.0</v>
      </c>
      <c r="N3437" s="300">
        <v>8.0</v>
      </c>
      <c r="O3437" s="300" t="s">
        <v>978</v>
      </c>
      <c r="P3437" s="300">
        <v>6.0</v>
      </c>
    </row>
    <row r="3438">
      <c r="A3438">
        <f>IFERROR(__xludf.DUMMYFUNCTION("""COMPUTED_VALUE"""),11.0)</f>
        <v>11</v>
      </c>
      <c r="B3438" s="406">
        <f>IFERROR(__xludf.DUMMYFUNCTION("""COMPUTED_VALUE"""),27042.0)</f>
        <v>27042</v>
      </c>
      <c r="C3438" t="str">
        <f>IFERROR(__xludf.DUMMYFUNCTION("""COMPUTED_VALUE"""),"BONILLA NAVARRO, SOFIA")</f>
        <v>BONILLA NAVARRO, SOFIA</v>
      </c>
      <c r="D3438" t="str">
        <f>IFERROR(__xludf.DUMMYFUNCTION("""COMPUTED_VALUE"""),"AP Economics")</f>
        <v>AP Economics</v>
      </c>
      <c r="E3438" s="3">
        <f>IFERROR(__xludf.DUMMYFUNCTION("""COMPUTED_VALUE"""),4.0)</f>
        <v>4</v>
      </c>
      <c r="F3438" s="300">
        <v>1.0</v>
      </c>
      <c r="G3438" s="300">
        <v>1.0</v>
      </c>
      <c r="H3438" s="300">
        <v>1.0</v>
      </c>
      <c r="I3438" s="300">
        <v>1.0</v>
      </c>
      <c r="J3438" s="300">
        <v>1.0</v>
      </c>
      <c r="K3438" s="300">
        <v>1.0</v>
      </c>
      <c r="L3438" s="300">
        <v>1.0</v>
      </c>
      <c r="M3438" s="300">
        <v>1.0</v>
      </c>
      <c r="N3438" s="300">
        <v>8.0</v>
      </c>
      <c r="O3438" s="300" t="s">
        <v>977</v>
      </c>
      <c r="P3438" s="300">
        <v>4.0</v>
      </c>
    </row>
    <row r="3439">
      <c r="A3439">
        <f>IFERROR(__xludf.DUMMYFUNCTION("""COMPUTED_VALUE"""),11.0)</f>
        <v>11</v>
      </c>
      <c r="B3439" s="406">
        <f>IFERROR(__xludf.DUMMYFUNCTION("""COMPUTED_VALUE"""),27105.0)</f>
        <v>27105</v>
      </c>
      <c r="C3439" t="str">
        <f>IFERROR(__xludf.DUMMYFUNCTION("""COMPUTED_VALUE"""),"SANCHEZ GONZALEZ, SARA")</f>
        <v>SANCHEZ GONZALEZ, SARA</v>
      </c>
      <c r="D3439" t="str">
        <f>IFERROR(__xludf.DUMMYFUNCTION("""COMPUTED_VALUE"""),"AP Psychology")</f>
        <v>AP Psychology</v>
      </c>
      <c r="E3439" s="3">
        <f>IFERROR(__xludf.DUMMYFUNCTION("""COMPUTED_VALUE"""),4.0)</f>
        <v>4</v>
      </c>
      <c r="F3439" s="300">
        <v>1.0</v>
      </c>
      <c r="G3439" s="300">
        <v>1.0</v>
      </c>
      <c r="H3439" s="300">
        <v>1.0</v>
      </c>
      <c r="I3439" s="300">
        <v>1.0</v>
      </c>
      <c r="J3439" s="300">
        <v>1.0</v>
      </c>
      <c r="K3439" s="300">
        <v>1.0</v>
      </c>
      <c r="L3439" s="300">
        <v>1.0</v>
      </c>
      <c r="M3439" s="300">
        <v>1.0</v>
      </c>
      <c r="N3439" s="300">
        <v>8.0</v>
      </c>
      <c r="O3439" s="300" t="s">
        <v>981</v>
      </c>
      <c r="P3439" s="300">
        <v>2.0</v>
      </c>
    </row>
    <row r="3440">
      <c r="A3440">
        <f>IFERROR(__xludf.DUMMYFUNCTION("""COMPUTED_VALUE"""),11.0)</f>
        <v>11</v>
      </c>
      <c r="B3440" s="406">
        <f>IFERROR(__xludf.DUMMYFUNCTION("""COMPUTED_VALUE"""),27035.0)</f>
        <v>27035</v>
      </c>
      <c r="C3440" t="str">
        <f>IFERROR(__xludf.DUMMYFUNCTION("""COMPUTED_VALUE"""),"FERNANDEZ CALDERON, PABLO")</f>
        <v>FERNANDEZ CALDERON, PABLO</v>
      </c>
      <c r="D3440" t="str">
        <f>IFERROR(__xludf.DUMMYFUNCTION("""COMPUTED_VALUE"""),"AP Economics")</f>
        <v>AP Economics</v>
      </c>
      <c r="E3440" s="3">
        <f>IFERROR(__xludf.DUMMYFUNCTION("""COMPUTED_VALUE"""),5.0)</f>
        <v>5</v>
      </c>
      <c r="F3440" s="300">
        <v>1.0</v>
      </c>
      <c r="G3440" s="300">
        <v>1.0</v>
      </c>
      <c r="H3440" s="300">
        <v>1.0</v>
      </c>
      <c r="I3440" s="300">
        <v>1.0</v>
      </c>
      <c r="J3440" s="300">
        <v>1.0</v>
      </c>
      <c r="K3440" s="300">
        <v>1.0</v>
      </c>
      <c r="L3440" s="300">
        <v>1.0</v>
      </c>
      <c r="M3440" s="300">
        <v>1.0</v>
      </c>
      <c r="N3440" s="300">
        <v>8.0</v>
      </c>
      <c r="O3440" s="300" t="s">
        <v>975</v>
      </c>
      <c r="P3440" s="300">
        <v>4.0</v>
      </c>
    </row>
    <row r="3441">
      <c r="A3441">
        <f>IFERROR(__xludf.DUMMYFUNCTION("""COMPUTED_VALUE"""),11.0)</f>
        <v>11</v>
      </c>
      <c r="B3441" s="406">
        <f>IFERROR(__xludf.DUMMYFUNCTION("""COMPUTED_VALUE"""),27085.0)</f>
        <v>27085</v>
      </c>
      <c r="C3441" t="str">
        <f>IFERROR(__xludf.DUMMYFUNCTION("""COMPUTED_VALUE"""),"PEREZ ALVARADO, EMILIO")</f>
        <v>PEREZ ALVARADO, EMILIO</v>
      </c>
      <c r="D3441" t="str">
        <f>IFERROR(__xludf.DUMMYFUNCTION("""COMPUTED_VALUE"""),"AP Economics")</f>
        <v>AP Economics</v>
      </c>
      <c r="E3441" s="3">
        <f>IFERROR(__xludf.DUMMYFUNCTION("""COMPUTED_VALUE"""),8.0)</f>
        <v>8</v>
      </c>
      <c r="F3441" s="300">
        <v>1.0</v>
      </c>
      <c r="G3441" s="300">
        <v>1.0</v>
      </c>
      <c r="H3441" s="300">
        <v>1.0</v>
      </c>
      <c r="I3441" s="300">
        <v>1.0</v>
      </c>
      <c r="J3441" s="300">
        <v>1.0</v>
      </c>
      <c r="K3441" s="300">
        <v>1.0</v>
      </c>
      <c r="L3441" s="300">
        <v>1.0</v>
      </c>
      <c r="M3441" s="300">
        <v>1.0</v>
      </c>
      <c r="N3441" s="300">
        <v>8.0</v>
      </c>
      <c r="O3441" s="300" t="s">
        <v>980</v>
      </c>
      <c r="P3441" s="300">
        <v>4.0</v>
      </c>
    </row>
    <row r="3442">
      <c r="A3442">
        <f>IFERROR(__xludf.DUMMYFUNCTION("""COMPUTED_VALUE"""),11.0)</f>
        <v>11</v>
      </c>
      <c r="B3442" s="406">
        <f>IFERROR(__xludf.DUMMYFUNCTION("""COMPUTED_VALUE"""),27054.0)</f>
        <v>27054</v>
      </c>
      <c r="C3442" t="str">
        <f>IFERROR(__xludf.DUMMYFUNCTION("""COMPUTED_VALUE"""),"JARAMILLO PELAEZ, VIOLETA")</f>
        <v>JARAMILLO PELAEZ, VIOLETA</v>
      </c>
      <c r="D3442" t="str">
        <f>IFERROR(__xludf.DUMMYFUNCTION("""COMPUTED_VALUE"""),"Life Purpose")</f>
        <v>Life Purpose</v>
      </c>
      <c r="E3442" s="3">
        <f>IFERROR(__xludf.DUMMYFUNCTION("""COMPUTED_VALUE"""),2.0)</f>
        <v>2</v>
      </c>
      <c r="F3442" s="300">
        <v>1.0</v>
      </c>
      <c r="G3442" s="300">
        <v>1.0</v>
      </c>
      <c r="H3442" s="300">
        <v>1.0</v>
      </c>
      <c r="I3442" s="300">
        <v>1.0</v>
      </c>
      <c r="J3442" s="300">
        <v>1.0</v>
      </c>
      <c r="K3442" s="300">
        <v>1.0</v>
      </c>
      <c r="L3442" s="300">
        <v>1.0</v>
      </c>
      <c r="M3442" s="300">
        <v>1.0</v>
      </c>
      <c r="N3442" s="300">
        <v>8.0</v>
      </c>
      <c r="O3442" s="300" t="s">
        <v>972</v>
      </c>
      <c r="P3442" s="300">
        <v>6.0</v>
      </c>
    </row>
    <row r="3443">
      <c r="A3443">
        <f>IFERROR(__xludf.DUMMYFUNCTION("""COMPUTED_VALUE"""),11.0)</f>
        <v>11</v>
      </c>
      <c r="B3443" s="406">
        <f>IFERROR(__xludf.DUMMYFUNCTION("""COMPUTED_VALUE"""),27053.0)</f>
        <v>27053</v>
      </c>
      <c r="C3443" t="str">
        <f>IFERROR(__xludf.DUMMYFUNCTION("""COMPUTED_VALUE"""),"JARAMILLO PELAEZ, MARTINA")</f>
        <v>JARAMILLO PELAEZ, MARTINA</v>
      </c>
      <c r="D3443" t="str">
        <f>IFERROR(__xludf.DUMMYFUNCTION("""COMPUTED_VALUE"""),"Life Purpose")</f>
        <v>Life Purpose</v>
      </c>
      <c r="E3443" s="3">
        <f>IFERROR(__xludf.DUMMYFUNCTION("""COMPUTED_VALUE"""),8.0)</f>
        <v>8</v>
      </c>
      <c r="F3443" s="300">
        <v>1.0</v>
      </c>
      <c r="G3443" s="300">
        <v>1.0</v>
      </c>
      <c r="H3443" s="300">
        <v>1.0</v>
      </c>
      <c r="I3443" s="300">
        <v>1.0</v>
      </c>
      <c r="J3443" s="300">
        <v>1.0</v>
      </c>
      <c r="K3443" s="300">
        <v>1.0</v>
      </c>
      <c r="L3443" s="300">
        <v>1.0</v>
      </c>
      <c r="M3443" s="300">
        <v>1.0</v>
      </c>
      <c r="N3443" s="300">
        <v>8.0</v>
      </c>
      <c r="O3443" s="300" t="s">
        <v>978</v>
      </c>
      <c r="P3443" s="300">
        <v>6.0</v>
      </c>
    </row>
    <row r="3444">
      <c r="A3444">
        <f>IFERROR(__xludf.DUMMYFUNCTION("""COMPUTED_VALUE"""),11.0)</f>
        <v>11</v>
      </c>
      <c r="B3444" s="406">
        <f>IFERROR(__xludf.DUMMYFUNCTION("""COMPUTED_VALUE"""),26012.0)</f>
        <v>26012</v>
      </c>
      <c r="C3444" t="str">
        <f>IFERROR(__xludf.DUMMYFUNCTION("""COMPUTED_VALUE"""),"BAENA GIRALDO, AGUSTIN")</f>
        <v>BAENA GIRALDO, AGUSTIN</v>
      </c>
      <c r="D3444" t="str">
        <f>IFERROR(__xludf.DUMMYFUNCTION("""COMPUTED_VALUE"""),"Life Purpose")</f>
        <v>Life Purpose</v>
      </c>
      <c r="E3444" s="3">
        <f>IFERROR(__xludf.DUMMYFUNCTION("""COMPUTED_VALUE"""),2.0)</f>
        <v>2</v>
      </c>
      <c r="F3444" s="300">
        <v>1.0</v>
      </c>
      <c r="G3444" s="300">
        <v>1.0</v>
      </c>
      <c r="H3444" s="300">
        <v>1.0</v>
      </c>
      <c r="I3444" s="300">
        <v>1.0</v>
      </c>
      <c r="J3444" s="300">
        <v>1.0</v>
      </c>
      <c r="K3444" s="300">
        <v>1.0</v>
      </c>
      <c r="L3444" s="300">
        <v>1.0</v>
      </c>
      <c r="M3444" s="300">
        <v>1.0</v>
      </c>
      <c r="N3444" s="300">
        <v>8.0</v>
      </c>
      <c r="O3444" s="300" t="s">
        <v>972</v>
      </c>
      <c r="P3444" s="300">
        <v>6.0</v>
      </c>
    </row>
    <row r="3445">
      <c r="A3445">
        <f>IFERROR(__xludf.DUMMYFUNCTION("""COMPUTED_VALUE"""),11.0)</f>
        <v>11</v>
      </c>
      <c r="B3445" s="406">
        <f>IFERROR(__xludf.DUMMYFUNCTION("""COMPUTED_VALUE"""),27022.0)</f>
        <v>27022</v>
      </c>
      <c r="C3445" t="str">
        <f>IFERROR(__xludf.DUMMYFUNCTION("""COMPUTED_VALUE"""),"CARDONA GIRALDO, MATHIAS")</f>
        <v>CARDONA GIRALDO, MATHIAS</v>
      </c>
      <c r="D3445" t="str">
        <f>IFERROR(__xludf.DUMMYFUNCTION("""COMPUTED_VALUE"""),"Pensar nuestro tiempo")</f>
        <v>Pensar nuestro tiempo</v>
      </c>
      <c r="E3445" s="3">
        <f>IFERROR(__xludf.DUMMYFUNCTION("""COMPUTED_VALUE"""),2.0)</f>
        <v>2</v>
      </c>
      <c r="F3445" s="300">
        <v>1.0</v>
      </c>
      <c r="G3445" s="300">
        <v>1.0</v>
      </c>
      <c r="H3445" s="300">
        <v>1.0</v>
      </c>
      <c r="I3445" s="300">
        <v>1.0</v>
      </c>
      <c r="J3445" s="300">
        <v>1.0</v>
      </c>
      <c r="K3445" s="300">
        <v>1.0</v>
      </c>
      <c r="L3445" s="300">
        <v>1.0</v>
      </c>
      <c r="M3445" s="300">
        <v>1.0</v>
      </c>
      <c r="N3445" s="300">
        <v>8.0</v>
      </c>
      <c r="O3445" s="300" t="s">
        <v>976</v>
      </c>
      <c r="P3445" s="300">
        <v>1.0</v>
      </c>
    </row>
    <row r="3446">
      <c r="A3446">
        <f>IFERROR(__xludf.DUMMYFUNCTION("""COMPUTED_VALUE"""),11.0)</f>
        <v>11</v>
      </c>
      <c r="B3446" s="406">
        <f>IFERROR(__xludf.DUMMYFUNCTION("""COMPUTED_VALUE"""),27071.0)</f>
        <v>27071</v>
      </c>
      <c r="C3446" t="str">
        <f>IFERROR(__xludf.DUMMYFUNCTION("""COMPUTED_VALUE"""),"MONSALVE LOPERA, FEDERICO")</f>
        <v>MONSALVE LOPERA, FEDERICO</v>
      </c>
      <c r="D3446" t="str">
        <f>IFERROR(__xludf.DUMMYFUNCTION("""COMPUTED_VALUE"""),"AP Economics")</f>
        <v>AP Economics</v>
      </c>
      <c r="E3446" s="3">
        <f>IFERROR(__xludf.DUMMYFUNCTION("""COMPUTED_VALUE"""),7.0)</f>
        <v>7</v>
      </c>
      <c r="F3446" s="300">
        <v>1.0</v>
      </c>
      <c r="G3446" s="300">
        <v>1.0</v>
      </c>
      <c r="H3446" s="300">
        <v>1.0</v>
      </c>
      <c r="I3446" s="300">
        <v>1.0</v>
      </c>
      <c r="J3446" s="300">
        <v>1.0</v>
      </c>
      <c r="K3446" s="300">
        <v>1.0</v>
      </c>
      <c r="L3446" s="300">
        <v>1.0</v>
      </c>
      <c r="M3446" s="300">
        <v>1.0</v>
      </c>
      <c r="N3446" s="300">
        <v>8.0</v>
      </c>
      <c r="O3446" s="300" t="s">
        <v>983</v>
      </c>
      <c r="P3446" s="300">
        <v>4.0</v>
      </c>
    </row>
    <row r="3447">
      <c r="A3447">
        <f>IFERROR(__xludf.DUMMYFUNCTION("""COMPUTED_VALUE"""),11.0)</f>
        <v>11</v>
      </c>
      <c r="B3447" s="406">
        <f>IFERROR(__xludf.DUMMYFUNCTION("""COMPUTED_VALUE"""),27006.0)</f>
        <v>27006</v>
      </c>
      <c r="C3447" t="str">
        <f>IFERROR(__xludf.DUMMYFUNCTION("""COMPUTED_VALUE"""),"ARANGO RUBIO, MIGUEL")</f>
        <v>ARANGO RUBIO, MIGUEL</v>
      </c>
      <c r="D3447" t="str">
        <f>IFERROR(__xludf.DUMMYFUNCTION("""COMPUTED_VALUE"""),"AP World History")</f>
        <v>AP World History</v>
      </c>
      <c r="E3447" s="3">
        <f>IFERROR(__xludf.DUMMYFUNCTION("""COMPUTED_VALUE"""),6.0)</f>
        <v>6</v>
      </c>
      <c r="F3447" s="300">
        <v>1.0</v>
      </c>
      <c r="G3447" s="300">
        <v>1.0</v>
      </c>
      <c r="H3447" s="300">
        <v>1.0</v>
      </c>
      <c r="I3447" s="300">
        <v>1.0</v>
      </c>
      <c r="J3447" s="300">
        <v>1.0</v>
      </c>
      <c r="K3447" s="300">
        <v>1.0</v>
      </c>
      <c r="L3447" s="300">
        <v>1.0</v>
      </c>
      <c r="M3447" s="300">
        <v>1.0</v>
      </c>
      <c r="N3447" s="300">
        <v>8.0</v>
      </c>
      <c r="O3447" s="300" t="s">
        <v>973</v>
      </c>
      <c r="P3447" s="300">
        <v>2.0</v>
      </c>
    </row>
    <row r="3448">
      <c r="A3448">
        <f>IFERROR(__xludf.DUMMYFUNCTION("""COMPUTED_VALUE"""),11.0)</f>
        <v>11</v>
      </c>
      <c r="B3448" s="406">
        <f>IFERROR(__xludf.DUMMYFUNCTION("""COMPUTED_VALUE"""),27101.0)</f>
        <v>27101</v>
      </c>
      <c r="C3448" t="str">
        <f>IFERROR(__xludf.DUMMYFUNCTION("""COMPUTED_VALUE"""),"RUIZ ROLDAN, PABLO")</f>
        <v>RUIZ ROLDAN, PABLO</v>
      </c>
      <c r="D3448" t="str">
        <f>IFERROR(__xludf.DUMMYFUNCTION("""COMPUTED_VALUE"""),"AP Economics")</f>
        <v>AP Economics</v>
      </c>
      <c r="E3448" s="3">
        <f>IFERROR(__xludf.DUMMYFUNCTION("""COMPUTED_VALUE"""),8.0)</f>
        <v>8</v>
      </c>
      <c r="F3448" s="300">
        <v>1.0</v>
      </c>
      <c r="G3448" s="300">
        <v>1.0</v>
      </c>
      <c r="H3448" s="300">
        <v>1.0</v>
      </c>
      <c r="I3448" s="300">
        <v>1.0</v>
      </c>
      <c r="J3448" s="300">
        <v>1.0</v>
      </c>
      <c r="K3448" s="300">
        <v>1.0</v>
      </c>
      <c r="L3448" s="300">
        <v>1.0</v>
      </c>
      <c r="M3448" s="300">
        <v>1.0</v>
      </c>
      <c r="N3448" s="300">
        <v>8.0</v>
      </c>
      <c r="O3448" s="300" t="s">
        <v>980</v>
      </c>
      <c r="P3448" s="300">
        <v>4.0</v>
      </c>
    </row>
    <row r="3449">
      <c r="A3449">
        <f>IFERROR(__xludf.DUMMYFUNCTION("""COMPUTED_VALUE"""),11.0)</f>
        <v>11</v>
      </c>
      <c r="B3449" s="406">
        <f>IFERROR(__xludf.DUMMYFUNCTION("""COMPUTED_VALUE"""),27046.0)</f>
        <v>27046</v>
      </c>
      <c r="C3449" t="str">
        <f>IFERROR(__xludf.DUMMYFUNCTION("""COMPUTED_VALUE"""),"GOMEZ TRUJILLO, MIGUEL")</f>
        <v>GOMEZ TRUJILLO, MIGUEL</v>
      </c>
      <c r="D3449" t="str">
        <f>IFERROR(__xludf.DUMMYFUNCTION("""COMPUTED_VALUE"""),"Life Purpose")</f>
        <v>Life Purpose</v>
      </c>
      <c r="E3449" s="3">
        <f>IFERROR(__xludf.DUMMYFUNCTION("""COMPUTED_VALUE"""),1.0)</f>
        <v>1</v>
      </c>
      <c r="F3449" s="300">
        <v>1.0</v>
      </c>
      <c r="G3449" s="300">
        <v>1.0</v>
      </c>
      <c r="H3449" s="300">
        <v>1.0</v>
      </c>
      <c r="I3449" s="300">
        <v>1.0</v>
      </c>
      <c r="J3449" s="300">
        <v>1.0</v>
      </c>
      <c r="K3449" s="300">
        <v>1.0</v>
      </c>
      <c r="L3449" s="300">
        <v>1.0</v>
      </c>
      <c r="M3449" s="300">
        <v>1.0</v>
      </c>
      <c r="N3449" s="300">
        <v>8.0</v>
      </c>
      <c r="O3449" s="300" t="s">
        <v>986</v>
      </c>
      <c r="P3449" s="300">
        <v>6.0</v>
      </c>
    </row>
    <row r="3450">
      <c r="A3450">
        <f>IFERROR(__xludf.DUMMYFUNCTION("""COMPUTED_VALUE"""),11.0)</f>
        <v>11</v>
      </c>
      <c r="B3450" s="406">
        <f>IFERROR(__xludf.DUMMYFUNCTION("""COMPUTED_VALUE"""),27151.0)</f>
        <v>27151</v>
      </c>
      <c r="C3450" t="str">
        <f>IFERROR(__xludf.DUMMYFUNCTION("""COMPUTED_VALUE"""),"RANNI, FABRIZIO")</f>
        <v>RANNI, FABRIZIO</v>
      </c>
      <c r="D3450" t="str">
        <f>IFERROR(__xludf.DUMMYFUNCTION("""COMPUTED_VALUE"""),"AP Economics")</f>
        <v>AP Economics</v>
      </c>
      <c r="E3450" s="3">
        <f>IFERROR(__xludf.DUMMYFUNCTION("""COMPUTED_VALUE"""),5.0)</f>
        <v>5</v>
      </c>
      <c r="F3450" s="300">
        <v>1.0</v>
      </c>
      <c r="G3450" s="300">
        <v>1.0</v>
      </c>
      <c r="H3450" s="300">
        <v>1.0</v>
      </c>
      <c r="I3450" s="300">
        <v>1.0</v>
      </c>
      <c r="J3450" s="300">
        <v>1.0</v>
      </c>
      <c r="K3450" s="300">
        <v>1.0</v>
      </c>
      <c r="L3450" s="300">
        <v>1.0</v>
      </c>
      <c r="M3450" s="300">
        <v>1.0</v>
      </c>
      <c r="N3450" s="300">
        <v>8.0</v>
      </c>
      <c r="O3450" s="300" t="s">
        <v>975</v>
      </c>
      <c r="P3450" s="300">
        <v>4.0</v>
      </c>
    </row>
    <row r="3451">
      <c r="A3451">
        <f>IFERROR(__xludf.DUMMYFUNCTION("""COMPUTED_VALUE"""),11.0)</f>
        <v>11</v>
      </c>
      <c r="B3451" s="406">
        <f>IFERROR(__xludf.DUMMYFUNCTION("""COMPUTED_VALUE"""),27081.0)</f>
        <v>27081</v>
      </c>
      <c r="C3451" t="str">
        <f>IFERROR(__xludf.DUMMYFUNCTION("""COMPUTED_VALUE"""),"OSPINA ESCOBAR, GABRIEL")</f>
        <v>OSPINA ESCOBAR, GABRIEL</v>
      </c>
      <c r="D3451" t="str">
        <f>IFERROR(__xludf.DUMMYFUNCTION("""COMPUTED_VALUE"""),"Life Purpose")</f>
        <v>Life Purpose</v>
      </c>
      <c r="E3451" s="3">
        <f>IFERROR(__xludf.DUMMYFUNCTION("""COMPUTED_VALUE"""),8.0)</f>
        <v>8</v>
      </c>
      <c r="F3451" s="300">
        <v>1.0</v>
      </c>
      <c r="G3451" s="300">
        <v>1.0</v>
      </c>
      <c r="H3451" s="300">
        <v>1.0</v>
      </c>
      <c r="I3451" s="300">
        <v>1.0</v>
      </c>
      <c r="J3451" s="300">
        <v>1.0</v>
      </c>
      <c r="K3451" s="300">
        <v>1.0</v>
      </c>
      <c r="L3451" s="300">
        <v>1.0</v>
      </c>
      <c r="M3451" s="300">
        <v>1.0</v>
      </c>
      <c r="N3451" s="300">
        <v>8.0</v>
      </c>
      <c r="O3451" s="300" t="s">
        <v>978</v>
      </c>
      <c r="P3451" s="300">
        <v>6.0</v>
      </c>
    </row>
    <row r="3452">
      <c r="A3452">
        <f>IFERROR(__xludf.DUMMYFUNCTION("""COMPUTED_VALUE"""),11.0)</f>
        <v>11</v>
      </c>
      <c r="B3452" s="406">
        <f>IFERROR(__xludf.DUMMYFUNCTION("""COMPUTED_VALUE"""),26154.0)</f>
        <v>26154</v>
      </c>
      <c r="C3452" t="str">
        <f>IFERROR(__xludf.DUMMYFUNCTION("""COMPUTED_VALUE"""),"GARRIDO TAMAYO, NICOLAS")</f>
        <v>GARRIDO TAMAYO, NICOLAS</v>
      </c>
      <c r="D3452" t="str">
        <f>IFERROR(__xludf.DUMMYFUNCTION("""COMPUTED_VALUE"""),"AP Economics")</f>
        <v>AP Economics</v>
      </c>
      <c r="E3452" s="3">
        <f>IFERROR(__xludf.DUMMYFUNCTION("""COMPUTED_VALUE"""),7.0)</f>
        <v>7</v>
      </c>
      <c r="F3452" s="300">
        <v>1.0</v>
      </c>
      <c r="G3452" s="300">
        <v>1.0</v>
      </c>
      <c r="H3452" s="300">
        <v>1.0</v>
      </c>
      <c r="I3452" s="300">
        <v>1.0</v>
      </c>
      <c r="J3452" s="300">
        <v>1.0</v>
      </c>
      <c r="K3452" s="300">
        <v>1.0</v>
      </c>
      <c r="L3452" s="300">
        <v>1.0</v>
      </c>
      <c r="M3452" s="300">
        <v>1.0</v>
      </c>
      <c r="N3452" s="300">
        <v>8.0</v>
      </c>
      <c r="O3452" s="300" t="s">
        <v>983</v>
      </c>
      <c r="P3452" s="300">
        <v>4.0</v>
      </c>
    </row>
    <row r="3453">
      <c r="A3453">
        <f>IFERROR(__xludf.DUMMYFUNCTION("""COMPUTED_VALUE"""),11.0)</f>
        <v>11</v>
      </c>
      <c r="B3453" s="406">
        <f>IFERROR(__xludf.DUMMYFUNCTION("""COMPUTED_VALUE"""),27040.0)</f>
        <v>27040</v>
      </c>
      <c r="C3453" t="str">
        <f>IFERROR(__xludf.DUMMYFUNCTION("""COMPUTED_VALUE"""),"GALLON MUÑOZ, VIOLETA")</f>
        <v>GALLON MUÑOZ, VIOLETA</v>
      </c>
      <c r="D3453" t="str">
        <f>IFERROR(__xludf.DUMMYFUNCTION("""COMPUTED_VALUE"""),"AP Psychology")</f>
        <v>AP Psychology</v>
      </c>
      <c r="E3453" s="3">
        <f>IFERROR(__xludf.DUMMYFUNCTION("""COMPUTED_VALUE"""),4.0)</f>
        <v>4</v>
      </c>
      <c r="F3453" s="300">
        <v>1.0</v>
      </c>
      <c r="G3453" s="300">
        <v>1.0</v>
      </c>
      <c r="H3453" s="300">
        <v>1.0</v>
      </c>
      <c r="I3453" s="300">
        <v>1.0</v>
      </c>
      <c r="J3453" s="300">
        <v>1.0</v>
      </c>
      <c r="K3453" s="300">
        <v>1.0</v>
      </c>
      <c r="L3453" s="300">
        <v>1.0</v>
      </c>
      <c r="M3453" s="300">
        <v>1.0</v>
      </c>
      <c r="N3453" s="300">
        <v>8.0</v>
      </c>
      <c r="O3453" s="300" t="s">
        <v>981</v>
      </c>
      <c r="P3453" s="300">
        <v>2.0</v>
      </c>
    </row>
    <row r="3454">
      <c r="A3454">
        <f>IFERROR(__xludf.DUMMYFUNCTION("""COMPUTED_VALUE"""),11.0)</f>
        <v>11</v>
      </c>
      <c r="B3454" s="406">
        <f>IFERROR(__xludf.DUMMYFUNCTION("""COMPUTED_VALUE"""),27093.0)</f>
        <v>27093</v>
      </c>
      <c r="C3454" t="str">
        <f>IFERROR(__xludf.DUMMYFUNCTION("""COMPUTED_VALUE"""),"RADA ECHANDIA, CAMILA")</f>
        <v>RADA ECHANDIA, CAMILA</v>
      </c>
      <c r="D3454" t="str">
        <f>IFERROR(__xludf.DUMMYFUNCTION("""COMPUTED_VALUE"""),"AP Economics")</f>
        <v>AP Economics</v>
      </c>
      <c r="E3454" s="3">
        <f>IFERROR(__xludf.DUMMYFUNCTION("""COMPUTED_VALUE"""),5.0)</f>
        <v>5</v>
      </c>
      <c r="F3454" s="300">
        <v>1.0</v>
      </c>
      <c r="G3454" s="300">
        <v>1.0</v>
      </c>
      <c r="H3454" s="300">
        <v>1.0</v>
      </c>
      <c r="I3454" s="300">
        <v>1.0</v>
      </c>
      <c r="J3454" s="300">
        <v>1.0</v>
      </c>
      <c r="K3454" s="300">
        <v>1.0</v>
      </c>
      <c r="L3454" s="300">
        <v>1.0</v>
      </c>
      <c r="M3454" s="300">
        <v>1.0</v>
      </c>
      <c r="N3454" s="300">
        <v>8.0</v>
      </c>
      <c r="O3454" s="300" t="s">
        <v>975</v>
      </c>
      <c r="P3454" s="300">
        <v>4.0</v>
      </c>
    </row>
    <row r="3455">
      <c r="A3455">
        <f>IFERROR(__xludf.DUMMYFUNCTION("""COMPUTED_VALUE"""),11.0)</f>
        <v>11</v>
      </c>
      <c r="B3455" s="406">
        <f>IFERROR(__xludf.DUMMYFUNCTION("""COMPUTED_VALUE"""),27112.0)</f>
        <v>27112</v>
      </c>
      <c r="C3455" t="str">
        <f>IFERROR(__xludf.DUMMYFUNCTION("""COMPUTED_VALUE"""),"TOBON RESTREPO, NICOLAS")</f>
        <v>TOBON RESTREPO, NICOLAS</v>
      </c>
      <c r="D3455" t="str">
        <f>IFERROR(__xludf.DUMMYFUNCTION("""COMPUTED_VALUE"""),"Life Purpose")</f>
        <v>Life Purpose</v>
      </c>
      <c r="E3455" s="3">
        <f>IFERROR(__xludf.DUMMYFUNCTION("""COMPUTED_VALUE"""),2.0)</f>
        <v>2</v>
      </c>
      <c r="F3455" s="300">
        <v>1.0</v>
      </c>
      <c r="G3455" s="300">
        <v>1.0</v>
      </c>
      <c r="H3455" s="300">
        <v>1.0</v>
      </c>
      <c r="I3455" s="300">
        <v>1.0</v>
      </c>
      <c r="J3455" s="300">
        <v>1.0</v>
      </c>
      <c r="K3455" s="300">
        <v>1.0</v>
      </c>
      <c r="L3455" s="300">
        <v>1.0</v>
      </c>
      <c r="M3455" s="300">
        <v>1.0</v>
      </c>
      <c r="N3455" s="300">
        <v>8.0</v>
      </c>
      <c r="O3455" s="300" t="s">
        <v>972</v>
      </c>
      <c r="P3455" s="300">
        <v>6.0</v>
      </c>
    </row>
    <row r="3456">
      <c r="A3456">
        <f>IFERROR(__xludf.DUMMYFUNCTION("""COMPUTED_VALUE"""),11.0)</f>
        <v>11</v>
      </c>
      <c r="B3456" s="406">
        <f>IFERROR(__xludf.DUMMYFUNCTION("""COMPUTED_VALUE"""),27083.0)</f>
        <v>27083</v>
      </c>
      <c r="C3456" t="str">
        <f>IFERROR(__xludf.DUMMYFUNCTION("""COMPUTED_VALUE"""),"PALACIO RUIZ, MATIAS")</f>
        <v>PALACIO RUIZ, MATIAS</v>
      </c>
      <c r="D3456" t="str">
        <f>IFERROR(__xludf.DUMMYFUNCTION("""COMPUTED_VALUE"""),"Life Purpose")</f>
        <v>Life Purpose</v>
      </c>
      <c r="E3456" s="3">
        <f>IFERROR(__xludf.DUMMYFUNCTION("""COMPUTED_VALUE"""),1.0)</f>
        <v>1</v>
      </c>
      <c r="F3456" s="300">
        <v>1.0</v>
      </c>
      <c r="G3456" s="300">
        <v>1.0</v>
      </c>
      <c r="H3456" s="300">
        <v>1.0</v>
      </c>
      <c r="I3456" s="300">
        <v>1.0</v>
      </c>
      <c r="J3456" s="300">
        <v>1.0</v>
      </c>
      <c r="K3456" s="300">
        <v>1.0</v>
      </c>
      <c r="L3456" s="300">
        <v>1.0</v>
      </c>
      <c r="M3456" s="300">
        <v>1.0</v>
      </c>
      <c r="N3456" s="300">
        <v>8.0</v>
      </c>
      <c r="O3456" s="300" t="s">
        <v>986</v>
      </c>
      <c r="P3456" s="300">
        <v>6.0</v>
      </c>
    </row>
    <row r="3457">
      <c r="A3457">
        <f>IFERROR(__xludf.DUMMYFUNCTION("""COMPUTED_VALUE"""),11.0)</f>
        <v>11</v>
      </c>
      <c r="B3457" s="406">
        <f>IFERROR(__xludf.DUMMYFUNCTION("""COMPUTED_VALUE"""),26041.0)</f>
        <v>26041</v>
      </c>
      <c r="C3457" t="str">
        <f>IFERROR(__xludf.DUMMYFUNCTION("""COMPUTED_VALUE"""),"GOMEZ VASQUEZ, SOFIA")</f>
        <v>GOMEZ VASQUEZ, SOFIA</v>
      </c>
      <c r="D3457" t="str">
        <f>IFERROR(__xludf.DUMMYFUNCTION("""COMPUTED_VALUE"""),"AP Psychology")</f>
        <v>AP Psychology</v>
      </c>
      <c r="E3457" s="3">
        <f>IFERROR(__xludf.DUMMYFUNCTION("""COMPUTED_VALUE"""),4.0)</f>
        <v>4</v>
      </c>
      <c r="F3457" s="300">
        <v>1.0</v>
      </c>
      <c r="G3457" s="300">
        <v>1.0</v>
      </c>
      <c r="H3457" s="300">
        <v>1.0</v>
      </c>
      <c r="I3457" s="300">
        <v>1.0</v>
      </c>
      <c r="J3457" s="300">
        <v>1.0</v>
      </c>
      <c r="K3457" s="300">
        <v>1.0</v>
      </c>
      <c r="L3457" s="300">
        <v>1.0</v>
      </c>
      <c r="M3457" s="300">
        <v>1.0</v>
      </c>
      <c r="N3457" s="300">
        <v>8.0</v>
      </c>
      <c r="O3457" s="300" t="s">
        <v>981</v>
      </c>
      <c r="P3457" s="300">
        <v>2.0</v>
      </c>
    </row>
    <row r="3458">
      <c r="A3458">
        <f>IFERROR(__xludf.DUMMYFUNCTION("""COMPUTED_VALUE"""),11.0)</f>
        <v>11</v>
      </c>
      <c r="B3458" s="406">
        <f>IFERROR(__xludf.DUMMYFUNCTION("""COMPUTED_VALUE"""),27092.0)</f>
        <v>27092</v>
      </c>
      <c r="C3458" t="str">
        <f>IFERROR(__xludf.DUMMYFUNCTION("""COMPUTED_VALUE"""),"PULGARIN HUERTAS, ELOISA")</f>
        <v>PULGARIN HUERTAS, ELOISA</v>
      </c>
      <c r="D3458" t="str">
        <f>IFERROR(__xludf.DUMMYFUNCTION("""COMPUTED_VALUE"""),"AP Psychology")</f>
        <v>AP Psychology</v>
      </c>
      <c r="E3458" s="3">
        <f>IFERROR(__xludf.DUMMYFUNCTION("""COMPUTED_VALUE"""),5.0)</f>
        <v>5</v>
      </c>
      <c r="F3458" s="300">
        <v>1.0</v>
      </c>
      <c r="G3458" s="300">
        <v>1.0</v>
      </c>
      <c r="H3458" s="300">
        <v>1.0</v>
      </c>
      <c r="I3458" s="300">
        <v>1.0</v>
      </c>
      <c r="J3458" s="300">
        <v>1.0</v>
      </c>
      <c r="K3458" s="300">
        <v>1.0</v>
      </c>
      <c r="L3458" s="300">
        <v>1.0</v>
      </c>
      <c r="M3458" s="300">
        <v>1.0</v>
      </c>
      <c r="N3458" s="300">
        <v>8.0</v>
      </c>
      <c r="O3458" s="300" t="s">
        <v>985</v>
      </c>
      <c r="P3458" s="300">
        <v>2.0</v>
      </c>
    </row>
    <row r="3459">
      <c r="A3459">
        <f>IFERROR(__xludf.DUMMYFUNCTION("""COMPUTED_VALUE"""),11.0)</f>
        <v>11</v>
      </c>
      <c r="B3459" s="406">
        <f>IFERROR(__xludf.DUMMYFUNCTION("""COMPUTED_VALUE"""),27055.0)</f>
        <v>27055</v>
      </c>
      <c r="C3459" t="str">
        <f>IFERROR(__xludf.DUMMYFUNCTION("""COMPUTED_VALUE"""),"JARAMILLO URIBE, EMILIANO")</f>
        <v>JARAMILLO URIBE, EMILIANO</v>
      </c>
      <c r="D3459" t="str">
        <f>IFERROR(__xludf.DUMMYFUNCTION("""COMPUTED_VALUE"""),"Life Purpose")</f>
        <v>Life Purpose</v>
      </c>
      <c r="E3459" s="3">
        <f>IFERROR(__xludf.DUMMYFUNCTION("""COMPUTED_VALUE"""),7.0)</f>
        <v>7</v>
      </c>
      <c r="F3459" s="300">
        <v>1.0</v>
      </c>
      <c r="G3459" s="300">
        <v>1.0</v>
      </c>
      <c r="H3459" s="300">
        <v>1.0</v>
      </c>
      <c r="I3459" s="300">
        <v>1.0</v>
      </c>
      <c r="J3459" s="300">
        <v>1.0</v>
      </c>
      <c r="K3459" s="300">
        <v>1.0</v>
      </c>
      <c r="L3459" s="300">
        <v>1.0</v>
      </c>
      <c r="M3459" s="300">
        <v>1.0</v>
      </c>
      <c r="N3459" s="300">
        <v>8.0</v>
      </c>
      <c r="O3459" s="300" t="s">
        <v>984</v>
      </c>
      <c r="P3459" s="300">
        <v>6.0</v>
      </c>
    </row>
    <row r="3460">
      <c r="A3460">
        <f>IFERROR(__xludf.DUMMYFUNCTION("""COMPUTED_VALUE"""),11.0)</f>
        <v>11</v>
      </c>
      <c r="B3460">
        <f>IFERROR(__xludf.DUMMYFUNCTION("""COMPUTED_VALUE"""),27162.0)</f>
        <v>27162</v>
      </c>
      <c r="C3460" t="str">
        <f>IFERROR(__xludf.DUMMYFUNCTION("""COMPUTED_VALUE"""),"SUTTON ROITER, JACQUES")</f>
        <v>SUTTON ROITER, JACQUES</v>
      </c>
      <c r="D3460" t="str">
        <f>IFERROR(__xludf.DUMMYFUNCTION("""COMPUTED_VALUE"""),"AP Economics")</f>
        <v>AP Economics</v>
      </c>
      <c r="E3460" s="3">
        <f>IFERROR(__xludf.DUMMYFUNCTION("""COMPUTED_VALUE"""),8.0)</f>
        <v>8</v>
      </c>
      <c r="F3460" s="300">
        <v>1.0</v>
      </c>
      <c r="G3460" s="300">
        <v>1.0</v>
      </c>
      <c r="H3460" s="300">
        <v>1.0</v>
      </c>
      <c r="I3460" s="300">
        <v>1.0</v>
      </c>
      <c r="J3460" s="300">
        <v>1.0</v>
      </c>
      <c r="K3460" s="300">
        <v>1.0</v>
      </c>
      <c r="L3460" s="300">
        <v>1.0</v>
      </c>
      <c r="M3460" s="300">
        <v>1.0</v>
      </c>
      <c r="N3460" s="300">
        <v>8.0</v>
      </c>
      <c r="O3460" s="300" t="s">
        <v>980</v>
      </c>
      <c r="P3460" s="300">
        <v>4.0</v>
      </c>
    </row>
    <row r="3461">
      <c r="A3461">
        <f>IFERROR(__xludf.DUMMYFUNCTION("""COMPUTED_VALUE"""),11.0)</f>
        <v>11</v>
      </c>
      <c r="B3461">
        <f>IFERROR(__xludf.DUMMYFUNCTION("""COMPUTED_VALUE"""),27090.0)</f>
        <v>27090</v>
      </c>
      <c r="C3461" t="str">
        <f>IFERROR(__xludf.DUMMYFUNCTION("""COMPUTED_VALUE"""),"PERTUZ MUNERA, LUCIANA")</f>
        <v>PERTUZ MUNERA, LUCIANA</v>
      </c>
      <c r="D3461" t="str">
        <f>IFERROR(__xludf.DUMMYFUNCTION("""COMPUTED_VALUE"""),"AP Economics")</f>
        <v>AP Economics</v>
      </c>
      <c r="E3461" s="3">
        <f>IFERROR(__xludf.DUMMYFUNCTION("""COMPUTED_VALUE"""),4.0)</f>
        <v>4</v>
      </c>
      <c r="F3461" s="300">
        <v>1.0</v>
      </c>
      <c r="G3461" s="300">
        <v>1.0</v>
      </c>
      <c r="H3461" s="300">
        <v>1.0</v>
      </c>
      <c r="I3461" s="300">
        <v>1.0</v>
      </c>
      <c r="J3461" s="300">
        <v>1.0</v>
      </c>
      <c r="K3461" s="300">
        <v>1.0</v>
      </c>
      <c r="L3461" s="300">
        <v>1.0</v>
      </c>
      <c r="M3461" s="300">
        <v>1.0</v>
      </c>
      <c r="N3461" s="300">
        <v>8.0</v>
      </c>
      <c r="O3461" s="300" t="s">
        <v>977</v>
      </c>
      <c r="P3461" s="300">
        <v>4.0</v>
      </c>
    </row>
    <row r="3462">
      <c r="A3462">
        <f>IFERROR(__xludf.DUMMYFUNCTION("""COMPUTED_VALUE"""),11.0)</f>
        <v>11</v>
      </c>
      <c r="B3462">
        <f>IFERROR(__xludf.DUMMYFUNCTION("""COMPUTED_VALUE"""),27120.0)</f>
        <v>27120</v>
      </c>
      <c r="C3462" t="str">
        <f>IFERROR(__xludf.DUMMYFUNCTION("""COMPUTED_VALUE"""),"VARGAS ARBOLEDA, AMALIA")</f>
        <v>VARGAS ARBOLEDA, AMALIA</v>
      </c>
      <c r="D3462" t="str">
        <f>IFERROR(__xludf.DUMMYFUNCTION("""COMPUTED_VALUE"""),"Pensar nuestro tiempo")</f>
        <v>Pensar nuestro tiempo</v>
      </c>
      <c r="E3462" s="3">
        <f>IFERROR(__xludf.DUMMYFUNCTION("""COMPUTED_VALUE"""),2.0)</f>
        <v>2</v>
      </c>
      <c r="F3462" s="300">
        <v>1.0</v>
      </c>
      <c r="G3462" s="300">
        <v>1.0</v>
      </c>
      <c r="H3462" s="300">
        <v>1.0</v>
      </c>
      <c r="I3462" s="300">
        <v>1.0</v>
      </c>
      <c r="J3462" s="300">
        <v>1.0</v>
      </c>
      <c r="K3462" s="300">
        <v>1.0</v>
      </c>
      <c r="L3462" s="300">
        <v>1.0</v>
      </c>
      <c r="M3462" s="300">
        <v>1.0</v>
      </c>
      <c r="N3462" s="300">
        <v>8.0</v>
      </c>
      <c r="O3462" s="300" t="s">
        <v>976</v>
      </c>
      <c r="P3462" s="300">
        <v>1.0</v>
      </c>
    </row>
    <row r="3463">
      <c r="A3463">
        <f>IFERROR(__xludf.DUMMYFUNCTION("""COMPUTED_VALUE"""),11.0)</f>
        <v>11</v>
      </c>
      <c r="B3463">
        <f>IFERROR(__xludf.DUMMYFUNCTION("""COMPUTED_VALUE"""),27103.0)</f>
        <v>27103</v>
      </c>
      <c r="C3463" t="str">
        <f>IFERROR(__xludf.DUMMYFUNCTION("""COMPUTED_VALUE"""),"SANCHEZ DIAZ, TOMAS")</f>
        <v>SANCHEZ DIAZ, TOMAS</v>
      </c>
      <c r="D3463" t="str">
        <f>IFERROR(__xludf.DUMMYFUNCTION("""COMPUTED_VALUE"""),"AP Economics")</f>
        <v>AP Economics</v>
      </c>
      <c r="E3463" s="3">
        <f>IFERROR(__xludf.DUMMYFUNCTION("""COMPUTED_VALUE"""),4.0)</f>
        <v>4</v>
      </c>
      <c r="F3463" s="300">
        <v>1.0</v>
      </c>
      <c r="G3463" s="300">
        <v>1.0</v>
      </c>
      <c r="H3463" s="300">
        <v>1.0</v>
      </c>
      <c r="I3463" s="300">
        <v>1.0</v>
      </c>
      <c r="J3463" s="300">
        <v>1.0</v>
      </c>
      <c r="K3463" s="300">
        <v>1.0</v>
      </c>
      <c r="L3463" s="300">
        <v>1.0</v>
      </c>
      <c r="M3463" s="300">
        <v>1.0</v>
      </c>
      <c r="N3463" s="300">
        <v>8.0</v>
      </c>
      <c r="O3463" s="300" t="s">
        <v>977</v>
      </c>
      <c r="P3463" s="300">
        <v>4.0</v>
      </c>
    </row>
    <row r="3464">
      <c r="A3464">
        <f>IFERROR(__xludf.DUMMYFUNCTION("""COMPUTED_VALUE"""),11.0)</f>
        <v>11</v>
      </c>
      <c r="B3464">
        <f>IFERROR(__xludf.DUMMYFUNCTION("""COMPUTED_VALUE"""),27003.0)</f>
        <v>27003</v>
      </c>
      <c r="C3464" t="str">
        <f>IFERROR(__xludf.DUMMYFUNCTION("""COMPUTED_VALUE"""),"ANGEL GIRALDO, DANIELA")</f>
        <v>ANGEL GIRALDO, DANIELA</v>
      </c>
      <c r="D3464" t="str">
        <f>IFERROR(__xludf.DUMMYFUNCTION("""COMPUTED_VALUE"""),"AP Economics")</f>
        <v>AP Economics</v>
      </c>
      <c r="E3464" s="3">
        <f>IFERROR(__xludf.DUMMYFUNCTION("""COMPUTED_VALUE"""),5.0)</f>
        <v>5</v>
      </c>
      <c r="F3464" s="300">
        <v>1.0</v>
      </c>
      <c r="G3464" s="300">
        <v>1.0</v>
      </c>
      <c r="H3464" s="300">
        <v>1.0</v>
      </c>
      <c r="I3464" s="300">
        <v>1.0</v>
      </c>
      <c r="J3464" s="300">
        <v>1.0</v>
      </c>
      <c r="K3464" s="300">
        <v>1.0</v>
      </c>
      <c r="L3464" s="300">
        <v>1.0</v>
      </c>
      <c r="M3464" s="300">
        <v>1.0</v>
      </c>
      <c r="N3464" s="300">
        <v>8.0</v>
      </c>
      <c r="O3464" s="300" t="s">
        <v>975</v>
      </c>
      <c r="P3464" s="300">
        <v>4.0</v>
      </c>
    </row>
    <row r="3465">
      <c r="A3465">
        <f>IFERROR(__xludf.DUMMYFUNCTION("""COMPUTED_VALUE"""),11.0)</f>
        <v>11</v>
      </c>
      <c r="B3465">
        <f>IFERROR(__xludf.DUMMYFUNCTION("""COMPUTED_VALUE"""),27061.0)</f>
        <v>27061</v>
      </c>
      <c r="C3465" t="str">
        <f>IFERROR(__xludf.DUMMYFUNCTION("""COMPUTED_VALUE"""),"MANTILLA LONDOÑO, EMILIO")</f>
        <v>MANTILLA LONDOÑO, EMILIO</v>
      </c>
      <c r="D3465" t="str">
        <f>IFERROR(__xludf.DUMMYFUNCTION("""COMPUTED_VALUE"""),"AP Economics")</f>
        <v>AP Economics</v>
      </c>
      <c r="E3465" s="3">
        <f>IFERROR(__xludf.DUMMYFUNCTION("""COMPUTED_VALUE"""),4.0)</f>
        <v>4</v>
      </c>
      <c r="F3465" s="300">
        <v>1.0</v>
      </c>
      <c r="G3465" s="300">
        <v>1.0</v>
      </c>
      <c r="H3465" s="300">
        <v>1.0</v>
      </c>
      <c r="I3465" s="300">
        <v>1.0</v>
      </c>
      <c r="J3465" s="300">
        <v>1.0</v>
      </c>
      <c r="K3465" s="300">
        <v>1.0</v>
      </c>
      <c r="L3465" s="300">
        <v>1.0</v>
      </c>
      <c r="M3465" s="300">
        <v>1.0</v>
      </c>
      <c r="N3465" s="300">
        <v>8.0</v>
      </c>
      <c r="O3465" s="300" t="s">
        <v>977</v>
      </c>
      <c r="P3465" s="300">
        <v>4.0</v>
      </c>
    </row>
    <row r="3466">
      <c r="A3466">
        <f>IFERROR(__xludf.DUMMYFUNCTION("""COMPUTED_VALUE"""),11.0)</f>
        <v>11</v>
      </c>
      <c r="B3466">
        <f>IFERROR(__xludf.DUMMYFUNCTION("""COMPUTED_VALUE"""),27028.0)</f>
        <v>27028</v>
      </c>
      <c r="C3466" t="str">
        <f>IFERROR(__xludf.DUMMYFUNCTION("""COMPUTED_VALUE"""),"DUQUE LUENGAS, CAROLINA")</f>
        <v>DUQUE LUENGAS, CAROLINA</v>
      </c>
      <c r="D3466" t="str">
        <f>IFERROR(__xludf.DUMMYFUNCTION("""COMPUTED_VALUE"""),"Life Purpose")</f>
        <v>Life Purpose</v>
      </c>
      <c r="E3466" s="3">
        <f>IFERROR(__xludf.DUMMYFUNCTION("""COMPUTED_VALUE"""),2.0)</f>
        <v>2</v>
      </c>
      <c r="F3466" s="300">
        <v>1.0</v>
      </c>
      <c r="G3466" s="300">
        <v>1.0</v>
      </c>
      <c r="H3466" s="300">
        <v>1.0</v>
      </c>
      <c r="I3466" s="300">
        <v>1.0</v>
      </c>
      <c r="J3466" s="300">
        <v>1.0</v>
      </c>
      <c r="K3466" s="300">
        <v>1.0</v>
      </c>
      <c r="L3466" s="300">
        <v>1.0</v>
      </c>
      <c r="M3466" s="300">
        <v>1.0</v>
      </c>
      <c r="N3466" s="300">
        <v>8.0</v>
      </c>
      <c r="O3466" s="300" t="s">
        <v>972</v>
      </c>
      <c r="P3466" s="300">
        <v>6.0</v>
      </c>
    </row>
    <row r="3467">
      <c r="A3467">
        <f>IFERROR(__xludf.DUMMYFUNCTION("""COMPUTED_VALUE"""),11.0)</f>
        <v>11</v>
      </c>
      <c r="B3467">
        <f>IFERROR(__xludf.DUMMYFUNCTION("""COMPUTED_VALUE"""),27097.0)</f>
        <v>27097</v>
      </c>
      <c r="C3467" t="str">
        <f>IFERROR(__xludf.DUMMYFUNCTION("""COMPUTED_VALUE"""),"ROBLEDO BETANCOURTH, JUAN FELIPE")</f>
        <v>ROBLEDO BETANCOURTH, JUAN FELIPE</v>
      </c>
      <c r="D3467" t="str">
        <f>IFERROR(__xludf.DUMMYFUNCTION("""COMPUTED_VALUE"""),"AP Economics")</f>
        <v>AP Economics</v>
      </c>
      <c r="E3467" s="3">
        <f>IFERROR(__xludf.DUMMYFUNCTION("""COMPUTED_VALUE"""),7.0)</f>
        <v>7</v>
      </c>
      <c r="F3467" s="300">
        <v>1.0</v>
      </c>
      <c r="G3467" s="300">
        <v>1.0</v>
      </c>
      <c r="H3467" s="300">
        <v>1.0</v>
      </c>
      <c r="I3467" s="300">
        <v>1.0</v>
      </c>
      <c r="J3467" s="300">
        <v>1.0</v>
      </c>
      <c r="K3467" s="300">
        <v>1.0</v>
      </c>
      <c r="L3467" s="300">
        <v>1.0</v>
      </c>
      <c r="M3467" s="300">
        <v>1.0</v>
      </c>
      <c r="N3467" s="300">
        <v>8.0</v>
      </c>
      <c r="O3467" s="300" t="s">
        <v>983</v>
      </c>
      <c r="P3467" s="300">
        <v>4.0</v>
      </c>
    </row>
    <row r="3468">
      <c r="A3468">
        <f>IFERROR(__xludf.DUMMYFUNCTION("""COMPUTED_VALUE"""),11.0)</f>
        <v>11</v>
      </c>
      <c r="B3468">
        <f>IFERROR(__xludf.DUMMYFUNCTION("""COMPUTED_VALUE"""),27116.0)</f>
        <v>27116</v>
      </c>
      <c r="C3468" t="str">
        <f>IFERROR(__xludf.DUMMYFUNCTION("""COMPUTED_VALUE"""),"TRUJILLO CHICA, MANUELA")</f>
        <v>TRUJILLO CHICA, MANUELA</v>
      </c>
      <c r="D3468" t="str">
        <f>IFERROR(__xludf.DUMMYFUNCTION("""COMPUTED_VALUE"""),"Life Purpose")</f>
        <v>Life Purpose</v>
      </c>
      <c r="E3468" s="3">
        <f>IFERROR(__xludf.DUMMYFUNCTION("""COMPUTED_VALUE"""),8.0)</f>
        <v>8</v>
      </c>
      <c r="F3468" s="300">
        <v>1.0</v>
      </c>
      <c r="G3468" s="300">
        <v>1.0</v>
      </c>
      <c r="H3468" s="300">
        <v>1.0</v>
      </c>
      <c r="I3468" s="300">
        <v>1.0</v>
      </c>
      <c r="J3468" s="300">
        <v>1.0</v>
      </c>
      <c r="K3468" s="300">
        <v>1.0</v>
      </c>
      <c r="L3468" s="300">
        <v>1.0</v>
      </c>
      <c r="M3468" s="300">
        <v>1.0</v>
      </c>
      <c r="N3468" s="300">
        <v>8.0</v>
      </c>
      <c r="O3468" s="300" t="s">
        <v>978</v>
      </c>
      <c r="P3468" s="300">
        <v>6.0</v>
      </c>
    </row>
    <row r="3469">
      <c r="A3469">
        <f>IFERROR(__xludf.DUMMYFUNCTION("""COMPUTED_VALUE"""),11.0)</f>
        <v>11</v>
      </c>
      <c r="B3469">
        <f>IFERROR(__xludf.DUMMYFUNCTION("""COMPUTED_VALUE"""),27019.0)</f>
        <v>27019</v>
      </c>
      <c r="C3469" t="str">
        <f>IFERROR(__xludf.DUMMYFUNCTION("""COMPUTED_VALUE"""),"BOTERO ESCOBAR, PEDRO")</f>
        <v>BOTERO ESCOBAR, PEDRO</v>
      </c>
      <c r="D3469" t="str">
        <f>IFERROR(__xludf.DUMMYFUNCTION("""COMPUTED_VALUE"""),"Life Purpose")</f>
        <v>Life Purpose</v>
      </c>
      <c r="E3469" s="3">
        <f>IFERROR(__xludf.DUMMYFUNCTION("""COMPUTED_VALUE"""),1.0)</f>
        <v>1</v>
      </c>
      <c r="F3469" s="300">
        <v>1.0</v>
      </c>
      <c r="G3469" s="300">
        <v>1.0</v>
      </c>
      <c r="H3469" s="300">
        <v>1.0</v>
      </c>
      <c r="I3469" s="300">
        <v>1.0</v>
      </c>
      <c r="J3469" s="300">
        <v>1.0</v>
      </c>
      <c r="K3469" s="300">
        <v>1.0</v>
      </c>
      <c r="L3469" s="300">
        <v>1.0</v>
      </c>
      <c r="M3469" s="300">
        <v>1.0</v>
      </c>
      <c r="N3469" s="300">
        <v>8.0</v>
      </c>
      <c r="O3469" s="300" t="s">
        <v>986</v>
      </c>
      <c r="P3469" s="300">
        <v>6.0</v>
      </c>
    </row>
    <row r="3470">
      <c r="A3470">
        <f>IFERROR(__xludf.DUMMYFUNCTION("""COMPUTED_VALUE"""),11.0)</f>
        <v>11</v>
      </c>
      <c r="B3470">
        <f>IFERROR(__xludf.DUMMYFUNCTION("""COMPUTED_VALUE"""),27052.0)</f>
        <v>27052</v>
      </c>
      <c r="C3470" t="str">
        <f>IFERROR(__xludf.DUMMYFUNCTION("""COMPUTED_VALUE"""),"JARAMILLO CADAVID, GABRIEL")</f>
        <v>JARAMILLO CADAVID, GABRIEL</v>
      </c>
      <c r="D3470" t="str">
        <f>IFERROR(__xludf.DUMMYFUNCTION("""COMPUTED_VALUE"""),"Life Purpose")</f>
        <v>Life Purpose</v>
      </c>
      <c r="E3470" s="3">
        <f>IFERROR(__xludf.DUMMYFUNCTION("""COMPUTED_VALUE"""),6.0)</f>
        <v>6</v>
      </c>
      <c r="F3470" s="300">
        <v>1.0</v>
      </c>
      <c r="G3470" s="300">
        <v>1.0</v>
      </c>
      <c r="H3470" s="300">
        <v>1.0</v>
      </c>
      <c r="I3470" s="300">
        <v>1.0</v>
      </c>
      <c r="J3470" s="300">
        <v>1.0</v>
      </c>
      <c r="K3470" s="300">
        <v>1.0</v>
      </c>
      <c r="L3470" s="300">
        <v>1.0</v>
      </c>
      <c r="M3470" s="300">
        <v>1.0</v>
      </c>
      <c r="N3470" s="300">
        <v>8.0</v>
      </c>
      <c r="O3470" s="300" t="s">
        <v>979</v>
      </c>
      <c r="P3470" s="300">
        <v>6.0</v>
      </c>
    </row>
    <row r="3471">
      <c r="A3471">
        <f>IFERROR(__xludf.DUMMYFUNCTION("""COMPUTED_VALUE"""),11.0)</f>
        <v>11</v>
      </c>
      <c r="B3471">
        <f>IFERROR(__xludf.DUMMYFUNCTION("""COMPUTED_VALUE"""),27027.0)</f>
        <v>27027</v>
      </c>
      <c r="C3471" t="str">
        <f>IFERROR(__xludf.DUMMYFUNCTION("""COMPUTED_VALUE"""),"DUQUE LOTERO, GREGORIO")</f>
        <v>DUQUE LOTERO, GREGORIO</v>
      </c>
      <c r="D3471" t="str">
        <f>IFERROR(__xludf.DUMMYFUNCTION("""COMPUTED_VALUE"""),"Life Purpose")</f>
        <v>Life Purpose</v>
      </c>
      <c r="E3471" s="3">
        <f>IFERROR(__xludf.DUMMYFUNCTION("""COMPUTED_VALUE"""),7.0)</f>
        <v>7</v>
      </c>
      <c r="F3471" s="300">
        <v>1.0</v>
      </c>
      <c r="G3471" s="300">
        <v>1.0</v>
      </c>
      <c r="H3471" s="300">
        <v>1.0</v>
      </c>
      <c r="I3471" s="300">
        <v>1.0</v>
      </c>
      <c r="J3471" s="300">
        <v>1.0</v>
      </c>
      <c r="K3471" s="300">
        <v>1.0</v>
      </c>
      <c r="L3471" s="300">
        <v>1.0</v>
      </c>
      <c r="M3471" s="300">
        <v>1.0</v>
      </c>
      <c r="N3471" s="300">
        <v>8.0</v>
      </c>
      <c r="O3471" s="300" t="s">
        <v>984</v>
      </c>
      <c r="P3471" s="300">
        <v>6.0</v>
      </c>
    </row>
    <row r="3472">
      <c r="A3472">
        <f>IFERROR(__xludf.DUMMYFUNCTION("""COMPUTED_VALUE"""),11.0)</f>
        <v>11</v>
      </c>
      <c r="B3472">
        <f>IFERROR(__xludf.DUMMYFUNCTION("""COMPUTED_VALUE"""),27110.0)</f>
        <v>27110</v>
      </c>
      <c r="C3472" t="str">
        <f>IFERROR(__xludf.DUMMYFUNCTION("""COMPUTED_VALUE"""),"TABARES MORENO, PABLO ANDRES")</f>
        <v>TABARES MORENO, PABLO ANDRES</v>
      </c>
      <c r="D3472" t="str">
        <f>IFERROR(__xludf.DUMMYFUNCTION("""COMPUTED_VALUE"""),"Life Purpose")</f>
        <v>Life Purpose</v>
      </c>
      <c r="E3472" s="3">
        <f>IFERROR(__xludf.DUMMYFUNCTION("""COMPUTED_VALUE"""),1.0)</f>
        <v>1</v>
      </c>
      <c r="F3472" s="300">
        <v>1.0</v>
      </c>
      <c r="G3472" s="300">
        <v>1.0</v>
      </c>
      <c r="H3472" s="300">
        <v>1.0</v>
      </c>
      <c r="I3472" s="300">
        <v>1.0</v>
      </c>
      <c r="J3472" s="300">
        <v>1.0</v>
      </c>
      <c r="K3472" s="300">
        <v>1.0</v>
      </c>
      <c r="L3472" s="300">
        <v>1.0</v>
      </c>
      <c r="M3472" s="300">
        <v>1.0</v>
      </c>
      <c r="N3472" s="300">
        <v>8.0</v>
      </c>
      <c r="O3472" s="300" t="s">
        <v>986</v>
      </c>
      <c r="P3472" s="300">
        <v>6.0</v>
      </c>
    </row>
    <row r="3473">
      <c r="A3473">
        <f>IFERROR(__xludf.DUMMYFUNCTION("""COMPUTED_VALUE"""),11.0)</f>
        <v>11</v>
      </c>
      <c r="B3473">
        <f>IFERROR(__xludf.DUMMYFUNCTION("""COMPUTED_VALUE"""),27026.0)</f>
        <v>27026</v>
      </c>
      <c r="C3473" t="str">
        <f>IFERROR(__xludf.DUMMYFUNCTION("""COMPUTED_VALUE"""),"CORREA MEJIA, AMALIA")</f>
        <v>CORREA MEJIA, AMALIA</v>
      </c>
      <c r="D3473" t="str">
        <f>IFERROR(__xludf.DUMMYFUNCTION("""COMPUTED_VALUE"""),"AP Psychology")</f>
        <v>AP Psychology</v>
      </c>
      <c r="E3473" s="3">
        <f>IFERROR(__xludf.DUMMYFUNCTION("""COMPUTED_VALUE"""),5.0)</f>
        <v>5</v>
      </c>
      <c r="F3473" s="300">
        <v>1.0</v>
      </c>
      <c r="G3473" s="300">
        <v>1.0</v>
      </c>
      <c r="H3473" s="300">
        <v>1.0</v>
      </c>
      <c r="I3473" s="300">
        <v>1.0</v>
      </c>
      <c r="J3473" s="300">
        <v>1.0</v>
      </c>
      <c r="K3473" s="300">
        <v>1.0</v>
      </c>
      <c r="L3473" s="300">
        <v>1.0</v>
      </c>
      <c r="M3473" s="300">
        <v>1.0</v>
      </c>
      <c r="N3473" s="300">
        <v>8.0</v>
      </c>
      <c r="O3473" s="300" t="s">
        <v>985</v>
      </c>
      <c r="P3473" s="300">
        <v>2.0</v>
      </c>
    </row>
    <row r="3474">
      <c r="A3474">
        <f>IFERROR(__xludf.DUMMYFUNCTION("""COMPUTED_VALUE"""),11.0)</f>
        <v>11</v>
      </c>
      <c r="B3474">
        <f>IFERROR(__xludf.DUMMYFUNCTION("""COMPUTED_VALUE"""),27079.0)</f>
        <v>27079</v>
      </c>
      <c r="C3474" t="str">
        <f>IFERROR(__xludf.DUMMYFUNCTION("""COMPUTED_VALUE"""),"ORTEGA TOBON, ESTEBAN")</f>
        <v>ORTEGA TOBON, ESTEBAN</v>
      </c>
      <c r="D3474" t="str">
        <f>IFERROR(__xludf.DUMMYFUNCTION("""COMPUTED_VALUE"""),"Life Purpose")</f>
        <v>Life Purpose</v>
      </c>
      <c r="E3474" s="3">
        <f>IFERROR(__xludf.DUMMYFUNCTION("""COMPUTED_VALUE"""),8.0)</f>
        <v>8</v>
      </c>
      <c r="F3474" s="300">
        <v>1.0</v>
      </c>
      <c r="G3474" s="300">
        <v>1.0</v>
      </c>
      <c r="H3474" s="300">
        <v>1.0</v>
      </c>
      <c r="I3474" s="300">
        <v>1.0</v>
      </c>
      <c r="J3474" s="300">
        <v>1.0</v>
      </c>
      <c r="K3474" s="300">
        <v>1.0</v>
      </c>
      <c r="L3474" s="300">
        <v>1.0</v>
      </c>
      <c r="M3474" s="300">
        <v>1.0</v>
      </c>
      <c r="N3474" s="300">
        <v>8.0</v>
      </c>
      <c r="O3474" s="300" t="s">
        <v>978</v>
      </c>
      <c r="P3474" s="300">
        <v>6.0</v>
      </c>
    </row>
    <row r="3475">
      <c r="A3475">
        <f>IFERROR(__xludf.DUMMYFUNCTION("""COMPUTED_VALUE"""),11.0)</f>
        <v>11</v>
      </c>
      <c r="B3475">
        <f>IFERROR(__xludf.DUMMYFUNCTION("""COMPUTED_VALUE"""),27032.0)</f>
        <v>27032</v>
      </c>
      <c r="C3475" t="str">
        <f>IFERROR(__xludf.DUMMYFUNCTION("""COMPUTED_VALUE"""),"ECHEVERRI ZAPATA, MATIAS")</f>
        <v>ECHEVERRI ZAPATA, MATIAS</v>
      </c>
      <c r="D3475" t="str">
        <f>IFERROR(__xludf.DUMMYFUNCTION("""COMPUTED_VALUE"""),"AP World History")</f>
        <v>AP World History</v>
      </c>
      <c r="E3475" s="3">
        <f>IFERROR(__xludf.DUMMYFUNCTION("""COMPUTED_VALUE"""),5.0)</f>
        <v>5</v>
      </c>
      <c r="F3475" s="300">
        <v>1.0</v>
      </c>
      <c r="G3475" s="300">
        <v>1.0</v>
      </c>
      <c r="H3475" s="300">
        <v>1.0</v>
      </c>
      <c r="I3475" s="300">
        <v>1.0</v>
      </c>
      <c r="J3475" s="300">
        <v>1.0</v>
      </c>
      <c r="K3475" s="300">
        <v>1.0</v>
      </c>
      <c r="L3475" s="300">
        <v>1.0</v>
      </c>
      <c r="M3475" s="300">
        <v>1.0</v>
      </c>
      <c r="N3475" s="300">
        <v>8.0</v>
      </c>
      <c r="O3475" s="300" t="s">
        <v>974</v>
      </c>
      <c r="P3475" s="300">
        <v>2.0</v>
      </c>
    </row>
    <row r="3476">
      <c r="A3476">
        <f>IFERROR(__xludf.DUMMYFUNCTION("""COMPUTED_VALUE"""),11.0)</f>
        <v>11</v>
      </c>
      <c r="B3476">
        <f>IFERROR(__xludf.DUMMYFUNCTION("""COMPUTED_VALUE"""),27174.0)</f>
        <v>27174</v>
      </c>
      <c r="C3476" t="str">
        <f>IFERROR(__xludf.DUMMYFUNCTION("""COMPUTED_VALUE"""),"GAITAN, LUCIA")</f>
        <v>GAITAN, LUCIA</v>
      </c>
      <c r="D3476" t="str">
        <f>IFERROR(__xludf.DUMMYFUNCTION("""COMPUTED_VALUE"""),"AP Psychology")</f>
        <v>AP Psychology</v>
      </c>
      <c r="E3476" s="3">
        <f>IFERROR(__xludf.DUMMYFUNCTION("""COMPUTED_VALUE"""),5.0)</f>
        <v>5</v>
      </c>
      <c r="F3476" s="300">
        <v>1.0</v>
      </c>
      <c r="G3476" s="300">
        <v>1.0</v>
      </c>
      <c r="H3476" s="300">
        <v>1.0</v>
      </c>
      <c r="I3476" s="300">
        <v>1.0</v>
      </c>
      <c r="J3476" s="300">
        <v>1.0</v>
      </c>
      <c r="K3476" s="300">
        <v>1.0</v>
      </c>
      <c r="L3476" s="300">
        <v>1.0</v>
      </c>
      <c r="M3476" s="300">
        <v>1.0</v>
      </c>
      <c r="N3476" s="300">
        <v>8.0</v>
      </c>
      <c r="O3476" s="300" t="s">
        <v>985</v>
      </c>
      <c r="P3476" s="300">
        <v>2.0</v>
      </c>
    </row>
    <row r="3477">
      <c r="A3477">
        <f>IFERROR(__xludf.DUMMYFUNCTION("""COMPUTED_VALUE"""),11.0)</f>
        <v>11</v>
      </c>
      <c r="B3477">
        <f>IFERROR(__xludf.DUMMYFUNCTION("""COMPUTED_VALUE"""),27108.0)</f>
        <v>27108</v>
      </c>
      <c r="C3477" t="str">
        <f>IFERROR(__xludf.DUMMYFUNCTION("""COMPUTED_VALUE"""),"SANTAMARIA VILLA, MARCO")</f>
        <v>SANTAMARIA VILLA, MARCO</v>
      </c>
      <c r="D3477" t="str">
        <f>IFERROR(__xludf.DUMMYFUNCTION("""COMPUTED_VALUE"""),"Life Purpose")</f>
        <v>Life Purpose</v>
      </c>
      <c r="E3477" s="3">
        <f>IFERROR(__xludf.DUMMYFUNCTION("""COMPUTED_VALUE"""),2.0)</f>
        <v>2</v>
      </c>
      <c r="F3477" s="300">
        <v>1.0</v>
      </c>
      <c r="G3477" s="300">
        <v>1.0</v>
      </c>
      <c r="H3477" s="300">
        <v>1.0</v>
      </c>
      <c r="I3477" s="300">
        <v>1.0</v>
      </c>
      <c r="J3477" s="300">
        <v>1.0</v>
      </c>
      <c r="K3477" s="300">
        <v>1.0</v>
      </c>
      <c r="L3477" s="300">
        <v>1.0</v>
      </c>
      <c r="M3477" s="300">
        <v>1.0</v>
      </c>
      <c r="N3477" s="300">
        <v>8.0</v>
      </c>
      <c r="O3477" s="300" t="s">
        <v>972</v>
      </c>
      <c r="P3477" s="300">
        <v>6.0</v>
      </c>
    </row>
    <row r="3478">
      <c r="A3478">
        <f>IFERROR(__xludf.DUMMYFUNCTION("""COMPUTED_VALUE"""),11.0)</f>
        <v>11</v>
      </c>
      <c r="B3478">
        <f>IFERROR(__xludf.DUMMYFUNCTION("""COMPUTED_VALUE"""),27010.0)</f>
        <v>27010</v>
      </c>
      <c r="C3478" t="str">
        <f>IFERROR(__xludf.DUMMYFUNCTION("""COMPUTED_VALUE"""),"ARRUBLA OSPINA, MANOLO")</f>
        <v>ARRUBLA OSPINA, MANOLO</v>
      </c>
      <c r="D3478" t="str">
        <f>IFERROR(__xludf.DUMMYFUNCTION("""COMPUTED_VALUE"""),"Life Purpose")</f>
        <v>Life Purpose</v>
      </c>
      <c r="E3478" s="3">
        <f>IFERROR(__xludf.DUMMYFUNCTION("""COMPUTED_VALUE"""),2.0)</f>
        <v>2</v>
      </c>
      <c r="F3478" s="300">
        <v>1.0</v>
      </c>
      <c r="G3478" s="300">
        <v>1.0</v>
      </c>
      <c r="H3478" s="300">
        <v>1.0</v>
      </c>
      <c r="I3478" s="300">
        <v>1.0</v>
      </c>
      <c r="J3478" s="300">
        <v>1.0</v>
      </c>
      <c r="K3478" s="300">
        <v>1.0</v>
      </c>
      <c r="L3478" s="300">
        <v>1.0</v>
      </c>
      <c r="M3478" s="300">
        <v>1.0</v>
      </c>
      <c r="N3478" s="300">
        <v>8.0</v>
      </c>
      <c r="O3478" s="300" t="s">
        <v>972</v>
      </c>
      <c r="P3478" s="300">
        <v>6.0</v>
      </c>
    </row>
    <row r="3479">
      <c r="A3479">
        <f>IFERROR(__xludf.DUMMYFUNCTION("""COMPUTED_VALUE"""),11.0)</f>
        <v>11</v>
      </c>
      <c r="B3479">
        <f>IFERROR(__xludf.DUMMYFUNCTION("""COMPUTED_VALUE"""),27163.0)</f>
        <v>27163</v>
      </c>
      <c r="C3479" t="str">
        <f>IFERROR(__xludf.DUMMYFUNCTION("""COMPUTED_VALUE"""),"NIEHAUS TRUJILLO, ARIANNA DE LOS ANGELES")</f>
        <v>NIEHAUS TRUJILLO, ARIANNA DE LOS ANGELES</v>
      </c>
      <c r="D3479" t="str">
        <f>IFERROR(__xludf.DUMMYFUNCTION("""COMPUTED_VALUE"""),"Pensar nuestro tiempo")</f>
        <v>Pensar nuestro tiempo</v>
      </c>
      <c r="E3479" s="3">
        <f>IFERROR(__xludf.DUMMYFUNCTION("""COMPUTED_VALUE"""),2.0)</f>
        <v>2</v>
      </c>
      <c r="F3479" s="300">
        <v>1.0</v>
      </c>
      <c r="G3479" s="300">
        <v>1.0</v>
      </c>
      <c r="H3479" s="300">
        <v>1.0</v>
      </c>
      <c r="I3479" s="300">
        <v>1.0</v>
      </c>
      <c r="J3479" s="300">
        <v>1.0</v>
      </c>
      <c r="K3479" s="300">
        <v>1.0</v>
      </c>
      <c r="L3479" s="300">
        <v>1.0</v>
      </c>
      <c r="M3479" s="300">
        <v>1.0</v>
      </c>
      <c r="N3479" s="300">
        <v>8.0</v>
      </c>
      <c r="O3479" s="300" t="s">
        <v>976</v>
      </c>
      <c r="P3479" s="300">
        <v>1.0</v>
      </c>
    </row>
    <row r="3480">
      <c r="A3480">
        <f>IFERROR(__xludf.DUMMYFUNCTION("""COMPUTED_VALUE"""),11.0)</f>
        <v>11</v>
      </c>
      <c r="B3480">
        <f>IFERROR(__xludf.DUMMYFUNCTION("""COMPUTED_VALUE"""),27141.0)</f>
        <v>27141</v>
      </c>
      <c r="C3480" t="str">
        <f>IFERROR(__xludf.DUMMYFUNCTION("""COMPUTED_VALUE"""),"MEJIA RESTREPO, PABLO")</f>
        <v>MEJIA RESTREPO, PABLO</v>
      </c>
      <c r="D3480" t="str">
        <f>IFERROR(__xludf.DUMMYFUNCTION("""COMPUTED_VALUE"""),"Life Purpose")</f>
        <v>Life Purpose</v>
      </c>
      <c r="E3480" s="3">
        <f>IFERROR(__xludf.DUMMYFUNCTION("""COMPUTED_VALUE"""),7.0)</f>
        <v>7</v>
      </c>
      <c r="F3480" s="300">
        <v>1.0</v>
      </c>
      <c r="G3480" s="300">
        <v>1.0</v>
      </c>
      <c r="H3480" s="300">
        <v>1.0</v>
      </c>
      <c r="I3480" s="300">
        <v>1.0</v>
      </c>
      <c r="J3480" s="300">
        <v>1.0</v>
      </c>
      <c r="K3480" s="300">
        <v>1.0</v>
      </c>
      <c r="L3480" s="300">
        <v>1.0</v>
      </c>
      <c r="M3480" s="300">
        <v>1.0</v>
      </c>
      <c r="N3480" s="300">
        <v>8.0</v>
      </c>
      <c r="O3480" s="300" t="s">
        <v>984</v>
      </c>
      <c r="P3480" s="300">
        <v>6.0</v>
      </c>
    </row>
    <row r="3481">
      <c r="A3481">
        <f>IFERROR(__xludf.DUMMYFUNCTION("""COMPUTED_VALUE"""),11.0)</f>
        <v>11</v>
      </c>
      <c r="B3481">
        <f>IFERROR(__xludf.DUMMYFUNCTION("""COMPUTED_VALUE"""),27025.0)</f>
        <v>27025</v>
      </c>
      <c r="C3481" t="str">
        <f>IFERROR(__xludf.DUMMYFUNCTION("""COMPUTED_VALUE"""),"COCK HENAO, MATIAS")</f>
        <v>COCK HENAO, MATIAS</v>
      </c>
      <c r="D3481" t="str">
        <f>IFERROR(__xludf.DUMMYFUNCTION("""COMPUTED_VALUE"""),"Life Purpose")</f>
        <v>Life Purpose</v>
      </c>
      <c r="E3481" s="3">
        <f>IFERROR(__xludf.DUMMYFUNCTION("""COMPUTED_VALUE"""),8.0)</f>
        <v>8</v>
      </c>
      <c r="F3481" s="300">
        <v>1.0</v>
      </c>
      <c r="G3481" s="300">
        <v>1.0</v>
      </c>
      <c r="H3481" s="300">
        <v>1.0</v>
      </c>
      <c r="I3481" s="300">
        <v>1.0</v>
      </c>
      <c r="J3481" s="300">
        <v>1.0</v>
      </c>
      <c r="K3481" s="300">
        <v>1.0</v>
      </c>
      <c r="L3481" s="300">
        <v>1.0</v>
      </c>
      <c r="M3481" s="300">
        <v>1.0</v>
      </c>
      <c r="N3481" s="300">
        <v>8.0</v>
      </c>
      <c r="O3481" s="300" t="s">
        <v>978</v>
      </c>
      <c r="P3481" s="300">
        <v>6.0</v>
      </c>
    </row>
    <row r="3482">
      <c r="A3482">
        <f>IFERROR(__xludf.DUMMYFUNCTION("""COMPUTED_VALUE"""),11.0)</f>
        <v>11</v>
      </c>
      <c r="B3482">
        <f>IFERROR(__xludf.DUMMYFUNCTION("""COMPUTED_VALUE"""),26009.0)</f>
        <v>26009</v>
      </c>
      <c r="C3482" t="str">
        <f>IFERROR(__xludf.DUMMYFUNCTION("""COMPUTED_VALUE"""),"ARANGO NAVARRO, PEDRO")</f>
        <v>ARANGO NAVARRO, PEDRO</v>
      </c>
      <c r="D3482" t="str">
        <f>IFERROR(__xludf.DUMMYFUNCTION("""COMPUTED_VALUE"""),"Life Purpose")</f>
        <v>Life Purpose</v>
      </c>
      <c r="E3482" s="3">
        <f>IFERROR(__xludf.DUMMYFUNCTION("""COMPUTED_VALUE"""),2.0)</f>
        <v>2</v>
      </c>
      <c r="F3482" s="300">
        <v>1.0</v>
      </c>
      <c r="G3482" s="300">
        <v>1.0</v>
      </c>
      <c r="H3482" s="300">
        <v>1.0</v>
      </c>
      <c r="I3482" s="300">
        <v>1.0</v>
      </c>
      <c r="J3482" s="300">
        <v>1.0</v>
      </c>
      <c r="K3482" s="300">
        <v>1.0</v>
      </c>
      <c r="L3482" s="300">
        <v>1.0</v>
      </c>
      <c r="M3482" s="300">
        <v>1.0</v>
      </c>
      <c r="N3482" s="300">
        <v>8.0</v>
      </c>
      <c r="O3482" s="300" t="s">
        <v>972</v>
      </c>
      <c r="P3482" s="300">
        <v>6.0</v>
      </c>
    </row>
    <row r="3483">
      <c r="A3483">
        <f>IFERROR(__xludf.DUMMYFUNCTION("""COMPUTED_VALUE"""),11.0)</f>
        <v>11</v>
      </c>
      <c r="B3483">
        <f>IFERROR(__xludf.DUMMYFUNCTION("""COMPUTED_VALUE"""),27077.0)</f>
        <v>27077</v>
      </c>
      <c r="C3483" t="str">
        <f>IFERROR(__xludf.DUMMYFUNCTION("""COMPUTED_VALUE"""),"MORENO MUNERA, MATILDA")</f>
        <v>MORENO MUNERA, MATILDA</v>
      </c>
      <c r="D3483" t="str">
        <f>IFERROR(__xludf.DUMMYFUNCTION("""COMPUTED_VALUE"""),"AP Economics")</f>
        <v>AP Economics</v>
      </c>
      <c r="E3483" s="3">
        <f>IFERROR(__xludf.DUMMYFUNCTION("""COMPUTED_VALUE"""),5.0)</f>
        <v>5</v>
      </c>
      <c r="F3483" s="300">
        <v>1.0</v>
      </c>
      <c r="G3483" s="300">
        <v>1.0</v>
      </c>
      <c r="H3483" s="300">
        <v>1.0</v>
      </c>
      <c r="I3483" s="300">
        <v>1.0</v>
      </c>
      <c r="J3483" s="300">
        <v>1.0</v>
      </c>
      <c r="K3483" s="300">
        <v>1.0</v>
      </c>
      <c r="L3483" s="300">
        <v>1.0</v>
      </c>
      <c r="M3483" s="300">
        <v>1.0</v>
      </c>
      <c r="N3483" s="300">
        <v>8.0</v>
      </c>
      <c r="O3483" s="300" t="s">
        <v>975</v>
      </c>
      <c r="P3483" s="300">
        <v>4.0</v>
      </c>
    </row>
    <row r="3484">
      <c r="A3484">
        <f>IFERROR(__xludf.DUMMYFUNCTION("""COMPUTED_VALUE"""),11.0)</f>
        <v>11</v>
      </c>
      <c r="B3484">
        <f>IFERROR(__xludf.DUMMYFUNCTION("""COMPUTED_VALUE"""),27098.0)</f>
        <v>27098</v>
      </c>
      <c r="C3484" t="str">
        <f>IFERROR(__xludf.DUMMYFUNCTION("""COMPUTED_VALUE"""),"ROJAS LOPEZ, EMILIANA")</f>
        <v>ROJAS LOPEZ, EMILIANA</v>
      </c>
      <c r="D3484" t="str">
        <f>IFERROR(__xludf.DUMMYFUNCTION("""COMPUTED_VALUE"""),"AP Economics")</f>
        <v>AP Economics</v>
      </c>
      <c r="E3484" s="3">
        <f>IFERROR(__xludf.DUMMYFUNCTION("""COMPUTED_VALUE"""),5.0)</f>
        <v>5</v>
      </c>
      <c r="F3484" s="300">
        <v>1.0</v>
      </c>
      <c r="G3484" s="300">
        <v>1.0</v>
      </c>
      <c r="H3484" s="300">
        <v>1.0</v>
      </c>
      <c r="I3484" s="300">
        <v>1.0</v>
      </c>
      <c r="J3484" s="300">
        <v>1.0</v>
      </c>
      <c r="K3484" s="300">
        <v>1.0</v>
      </c>
      <c r="L3484" s="300">
        <v>1.0</v>
      </c>
      <c r="M3484" s="300">
        <v>1.0</v>
      </c>
      <c r="N3484" s="300">
        <v>8.0</v>
      </c>
      <c r="O3484" s="300" t="s">
        <v>975</v>
      </c>
      <c r="P3484" s="300">
        <v>4.0</v>
      </c>
    </row>
    <row r="3485">
      <c r="A3485">
        <f>IFERROR(__xludf.DUMMYFUNCTION("""COMPUTED_VALUE"""),11.0)</f>
        <v>11</v>
      </c>
      <c r="B3485">
        <f>IFERROR(__xludf.DUMMYFUNCTION("""COMPUTED_VALUE"""),27049.0)</f>
        <v>27049</v>
      </c>
      <c r="C3485" t="str">
        <f>IFERROR(__xludf.DUMMYFUNCTION("""COMPUTED_VALUE"""),"HENAO RESTREPO, ELENA")</f>
        <v>HENAO RESTREPO, ELENA</v>
      </c>
      <c r="D3485" t="str">
        <f>IFERROR(__xludf.DUMMYFUNCTION("""COMPUTED_VALUE"""),"Life Purpose")</f>
        <v>Life Purpose</v>
      </c>
      <c r="E3485" s="3">
        <f>IFERROR(__xludf.DUMMYFUNCTION("""COMPUTED_VALUE"""),7.0)</f>
        <v>7</v>
      </c>
      <c r="F3485" s="300">
        <v>1.0</v>
      </c>
      <c r="G3485" s="300">
        <v>1.0</v>
      </c>
      <c r="H3485" s="300">
        <v>1.0</v>
      </c>
      <c r="I3485" s="300">
        <v>1.0</v>
      </c>
      <c r="J3485" s="300">
        <v>1.0</v>
      </c>
      <c r="K3485" s="300">
        <v>1.0</v>
      </c>
      <c r="L3485" s="300">
        <v>1.0</v>
      </c>
      <c r="M3485" s="300">
        <v>1.0</v>
      </c>
      <c r="N3485" s="300">
        <v>8.0</v>
      </c>
      <c r="O3485" s="300" t="s">
        <v>984</v>
      </c>
      <c r="P3485" s="300">
        <v>6.0</v>
      </c>
    </row>
    <row r="3486">
      <c r="A3486">
        <f>IFERROR(__xludf.DUMMYFUNCTION("""COMPUTED_VALUE"""),11.0)</f>
        <v>11</v>
      </c>
      <c r="B3486">
        <f>IFERROR(__xludf.DUMMYFUNCTION("""COMPUTED_VALUE"""),27066.0)</f>
        <v>27066</v>
      </c>
      <c r="C3486" t="str">
        <f>IFERROR(__xludf.DUMMYFUNCTION("""COMPUTED_VALUE"""),"MEJIA URIBE, DANIEL")</f>
        <v>MEJIA URIBE, DANIEL</v>
      </c>
      <c r="D3486" t="str">
        <f>IFERROR(__xludf.DUMMYFUNCTION("""COMPUTED_VALUE"""),"AP World History")</f>
        <v>AP World History</v>
      </c>
      <c r="E3486" s="3">
        <f>IFERROR(__xludf.DUMMYFUNCTION("""COMPUTED_VALUE"""),5.0)</f>
        <v>5</v>
      </c>
      <c r="F3486" s="300">
        <v>1.0</v>
      </c>
      <c r="G3486" s="300">
        <v>1.0</v>
      </c>
      <c r="H3486" s="300">
        <v>1.0</v>
      </c>
      <c r="I3486" s="300">
        <v>1.0</v>
      </c>
      <c r="J3486" s="300">
        <v>1.0</v>
      </c>
      <c r="K3486" s="300">
        <v>1.0</v>
      </c>
      <c r="L3486" s="300">
        <v>1.0</v>
      </c>
      <c r="M3486" s="300">
        <v>1.0</v>
      </c>
      <c r="N3486" s="300">
        <v>8.0</v>
      </c>
      <c r="O3486" s="300" t="s">
        <v>974</v>
      </c>
      <c r="P3486" s="300">
        <v>2.0</v>
      </c>
    </row>
    <row r="3487">
      <c r="A3487">
        <f>IFERROR(__xludf.DUMMYFUNCTION("""COMPUTED_VALUE"""),11.0)</f>
        <v>11</v>
      </c>
      <c r="B3487">
        <f>IFERROR(__xludf.DUMMYFUNCTION("""COMPUTED_VALUE"""),27123.0)</f>
        <v>27123</v>
      </c>
      <c r="C3487" t="str">
        <f>IFERROR(__xludf.DUMMYFUNCTION("""COMPUTED_VALUE"""),"VELEZ PODESTA, SIMON")</f>
        <v>VELEZ PODESTA, SIMON</v>
      </c>
      <c r="D3487" t="str">
        <f>IFERROR(__xludf.DUMMYFUNCTION("""COMPUTED_VALUE"""),"Life Purpose")</f>
        <v>Life Purpose</v>
      </c>
      <c r="E3487" s="3">
        <f>IFERROR(__xludf.DUMMYFUNCTION("""COMPUTED_VALUE"""),2.0)</f>
        <v>2</v>
      </c>
      <c r="F3487" s="300">
        <v>1.0</v>
      </c>
      <c r="G3487" s="300">
        <v>1.0</v>
      </c>
      <c r="H3487" s="300">
        <v>1.0</v>
      </c>
      <c r="I3487" s="300">
        <v>1.0</v>
      </c>
      <c r="J3487" s="300">
        <v>1.0</v>
      </c>
      <c r="K3487" s="300">
        <v>1.0</v>
      </c>
      <c r="L3487" s="300">
        <v>1.0</v>
      </c>
      <c r="M3487" s="300">
        <v>1.0</v>
      </c>
      <c r="N3487" s="300">
        <v>8.0</v>
      </c>
      <c r="O3487" s="300" t="s">
        <v>972</v>
      </c>
      <c r="P3487" s="300">
        <v>6.0</v>
      </c>
    </row>
    <row r="3488">
      <c r="A3488">
        <f>IFERROR(__xludf.DUMMYFUNCTION("""COMPUTED_VALUE"""),11.0)</f>
        <v>11</v>
      </c>
      <c r="B3488">
        <f>IFERROR(__xludf.DUMMYFUNCTION("""COMPUTED_VALUE"""),27109.0)</f>
        <v>27109</v>
      </c>
      <c r="C3488" t="str">
        <f>IFERROR(__xludf.DUMMYFUNCTION("""COMPUTED_VALUE"""),"SIERRA TIRADO, PEDRO")</f>
        <v>SIERRA TIRADO, PEDRO</v>
      </c>
      <c r="D3488" t="str">
        <f>IFERROR(__xludf.DUMMYFUNCTION("""COMPUTED_VALUE"""),"AP World History")</f>
        <v>AP World History</v>
      </c>
      <c r="E3488" s="3">
        <f>IFERROR(__xludf.DUMMYFUNCTION("""COMPUTED_VALUE"""),6.0)</f>
        <v>6</v>
      </c>
      <c r="F3488" s="300">
        <v>1.0</v>
      </c>
      <c r="G3488" s="300">
        <v>1.0</v>
      </c>
      <c r="H3488" s="300">
        <v>1.0</v>
      </c>
      <c r="I3488" s="300">
        <v>1.0</v>
      </c>
      <c r="J3488" s="300">
        <v>1.0</v>
      </c>
      <c r="K3488" s="300">
        <v>1.0</v>
      </c>
      <c r="L3488" s="300">
        <v>1.0</v>
      </c>
      <c r="M3488" s="300">
        <v>1.0</v>
      </c>
      <c r="N3488" s="300">
        <v>8.0</v>
      </c>
      <c r="O3488" s="300" t="s">
        <v>973</v>
      </c>
      <c r="P3488" s="300">
        <v>2.0</v>
      </c>
    </row>
    <row r="3489">
      <c r="A3489">
        <f>IFERROR(__xludf.DUMMYFUNCTION("""COMPUTED_VALUE"""),11.0)</f>
        <v>11</v>
      </c>
      <c r="B3489">
        <f>IFERROR(__xludf.DUMMYFUNCTION("""COMPUTED_VALUE"""),27005.0)</f>
        <v>27005</v>
      </c>
      <c r="C3489" t="str">
        <f>IFERROR(__xludf.DUMMYFUNCTION("""COMPUTED_VALUE"""),"ANGEL MESA, EMILIO")</f>
        <v>ANGEL MESA, EMILIO</v>
      </c>
      <c r="D3489" t="str">
        <f>IFERROR(__xludf.DUMMYFUNCTION("""COMPUTED_VALUE"""),"AP Economics")</f>
        <v>AP Economics</v>
      </c>
      <c r="E3489" s="3">
        <f>IFERROR(__xludf.DUMMYFUNCTION("""COMPUTED_VALUE"""),7.0)</f>
        <v>7</v>
      </c>
      <c r="F3489" s="300">
        <v>1.0</v>
      </c>
      <c r="G3489" s="300">
        <v>1.0</v>
      </c>
      <c r="H3489" s="300">
        <v>1.0</v>
      </c>
      <c r="I3489" s="300">
        <v>1.0</v>
      </c>
      <c r="J3489" s="300">
        <v>1.0</v>
      </c>
      <c r="K3489" s="300">
        <v>1.0</v>
      </c>
      <c r="L3489" s="300">
        <v>1.0</v>
      </c>
      <c r="M3489" s="300">
        <v>1.0</v>
      </c>
      <c r="N3489" s="300">
        <v>8.0</v>
      </c>
      <c r="O3489" s="300" t="s">
        <v>983</v>
      </c>
      <c r="P3489" s="300">
        <v>4.0</v>
      </c>
    </row>
    <row r="3490">
      <c r="A3490">
        <f>IFERROR(__xludf.DUMMYFUNCTION("""COMPUTED_VALUE"""),11.0)</f>
        <v>11</v>
      </c>
      <c r="B3490">
        <f>IFERROR(__xludf.DUMMYFUNCTION("""COMPUTED_VALUE"""),27111.0)</f>
        <v>27111</v>
      </c>
      <c r="C3490" t="str">
        <f>IFERROR(__xludf.DUMMYFUNCTION("""COMPUTED_VALUE"""),"TOBON PEÑALOZA, MARTIN")</f>
        <v>TOBON PEÑALOZA, MARTIN</v>
      </c>
      <c r="D3490" t="str">
        <f>IFERROR(__xludf.DUMMYFUNCTION("""COMPUTED_VALUE"""),"Life Purpose")</f>
        <v>Life Purpose</v>
      </c>
      <c r="E3490" s="3">
        <f>IFERROR(__xludf.DUMMYFUNCTION("""COMPUTED_VALUE"""),2.0)</f>
        <v>2</v>
      </c>
      <c r="F3490" s="300">
        <v>1.0</v>
      </c>
      <c r="G3490" s="300">
        <v>1.0</v>
      </c>
      <c r="H3490" s="300">
        <v>1.0</v>
      </c>
      <c r="I3490" s="300">
        <v>1.0</v>
      </c>
      <c r="J3490" s="300">
        <v>1.0</v>
      </c>
      <c r="K3490" s="300">
        <v>1.0</v>
      </c>
      <c r="L3490" s="300">
        <v>1.0</v>
      </c>
      <c r="M3490" s="300">
        <v>1.0</v>
      </c>
      <c r="N3490" s="300">
        <v>8.0</v>
      </c>
      <c r="O3490" s="300" t="s">
        <v>972</v>
      </c>
      <c r="P3490" s="300">
        <v>6.0</v>
      </c>
    </row>
    <row r="3491">
      <c r="A3491">
        <f>IFERROR(__xludf.DUMMYFUNCTION("""COMPUTED_VALUE"""),11.0)</f>
        <v>11</v>
      </c>
      <c r="B3491">
        <f>IFERROR(__xludf.DUMMYFUNCTION("""COMPUTED_VALUE"""),27164.0)</f>
        <v>27164</v>
      </c>
      <c r="C3491" t="str">
        <f>IFERROR(__xludf.DUMMYFUNCTION("""COMPUTED_VALUE"""),"JARAMILLO URIBE, MAR")</f>
        <v>JARAMILLO URIBE, MAR</v>
      </c>
      <c r="D3491" t="str">
        <f>IFERROR(__xludf.DUMMYFUNCTION("""COMPUTED_VALUE"""),"AP Economics")</f>
        <v>AP Economics</v>
      </c>
      <c r="E3491" s="3">
        <f>IFERROR(__xludf.DUMMYFUNCTION("""COMPUTED_VALUE"""),5.0)</f>
        <v>5</v>
      </c>
      <c r="F3491" s="300">
        <v>1.0</v>
      </c>
      <c r="G3491" s="300">
        <v>1.0</v>
      </c>
      <c r="H3491" s="300">
        <v>1.0</v>
      </c>
      <c r="I3491" s="300">
        <v>1.0</v>
      </c>
      <c r="J3491" s="300">
        <v>1.0</v>
      </c>
      <c r="K3491" s="300">
        <v>1.0</v>
      </c>
      <c r="L3491" s="300">
        <v>1.0</v>
      </c>
      <c r="M3491" s="300">
        <v>1.0</v>
      </c>
      <c r="N3491" s="300">
        <v>8.0</v>
      </c>
      <c r="O3491" s="300" t="s">
        <v>975</v>
      </c>
      <c r="P3491" s="300">
        <v>4.0</v>
      </c>
    </row>
    <row r="3492">
      <c r="A3492">
        <f>IFERROR(__xludf.DUMMYFUNCTION("""COMPUTED_VALUE"""),11.0)</f>
        <v>11</v>
      </c>
      <c r="B3492">
        <f>IFERROR(__xludf.DUMMYFUNCTION("""COMPUTED_VALUE"""),27037.0)</f>
        <v>27037</v>
      </c>
      <c r="C3492" t="str">
        <f>IFERROR(__xludf.DUMMYFUNCTION("""COMPUTED_VALUE"""),"GALEANO SALAZAR, SARA")</f>
        <v>GALEANO SALAZAR, SARA</v>
      </c>
      <c r="D3492" t="str">
        <f>IFERROR(__xludf.DUMMYFUNCTION("""COMPUTED_VALUE"""),"AP Psychology")</f>
        <v>AP Psychology</v>
      </c>
      <c r="E3492" s="3">
        <f>IFERROR(__xludf.DUMMYFUNCTION("""COMPUTED_VALUE"""),5.0)</f>
        <v>5</v>
      </c>
      <c r="F3492" s="300">
        <v>1.0</v>
      </c>
      <c r="G3492" s="300">
        <v>1.0</v>
      </c>
      <c r="H3492" s="300">
        <v>1.0</v>
      </c>
      <c r="I3492" s="300">
        <v>1.0</v>
      </c>
      <c r="J3492" s="300">
        <v>1.0</v>
      </c>
      <c r="K3492" s="300">
        <v>1.0</v>
      </c>
      <c r="L3492" s="300">
        <v>1.0</v>
      </c>
      <c r="M3492" s="300">
        <v>1.0</v>
      </c>
      <c r="N3492" s="300">
        <v>8.0</v>
      </c>
      <c r="O3492" s="300" t="s">
        <v>985</v>
      </c>
      <c r="P3492" s="300">
        <v>2.0</v>
      </c>
    </row>
    <row r="3493">
      <c r="A3493">
        <f>IFERROR(__xludf.DUMMYFUNCTION("""COMPUTED_VALUE"""),12.0)</f>
        <v>12</v>
      </c>
      <c r="B3493">
        <f>IFERROR(__xludf.DUMMYFUNCTION("""COMPUTED_VALUE"""),25084.0)</f>
        <v>25084</v>
      </c>
      <c r="C3493" t="str">
        <f>IFERROR(__xludf.DUMMYFUNCTION("""COMPUTED_VALUE"""),"PELAEZ KLINKERT, ALICIA")</f>
        <v>PELAEZ KLINKERT, ALICIA</v>
      </c>
      <c r="D3493" t="str">
        <f>IFERROR(__xludf.DUMMYFUNCTION("""COMPUTED_VALUE"""),"Life Purpose")</f>
        <v>Life Purpose</v>
      </c>
      <c r="E3493" s="3">
        <f>IFERROR(__xludf.DUMMYFUNCTION("""COMPUTED_VALUE"""),7.0)</f>
        <v>7</v>
      </c>
      <c r="F3493" s="300">
        <v>1.0</v>
      </c>
      <c r="G3493" s="300">
        <v>1.0</v>
      </c>
      <c r="H3493" s="300">
        <v>1.0</v>
      </c>
      <c r="I3493" s="300">
        <v>1.0</v>
      </c>
      <c r="J3493" s="300">
        <v>1.0</v>
      </c>
      <c r="K3493" s="300">
        <v>1.0</v>
      </c>
      <c r="L3493" s="300">
        <v>1.0</v>
      </c>
      <c r="M3493" s="300">
        <v>1.0</v>
      </c>
      <c r="N3493" s="300">
        <v>8.0</v>
      </c>
      <c r="O3493" s="300" t="s">
        <v>984</v>
      </c>
      <c r="P3493" s="300">
        <v>6.0</v>
      </c>
    </row>
    <row r="3494">
      <c r="A3494">
        <f>IFERROR(__xludf.DUMMYFUNCTION("""COMPUTED_VALUE"""),12.0)</f>
        <v>12</v>
      </c>
      <c r="B3494">
        <f>IFERROR(__xludf.DUMMYFUNCTION("""COMPUTED_VALUE"""),26105.0)</f>
        <v>26105</v>
      </c>
      <c r="C3494" t="str">
        <f>IFERROR(__xludf.DUMMYFUNCTION("""COMPUTED_VALUE"""),"ROJAS LONDOÑO, SARA")</f>
        <v>ROJAS LONDOÑO, SARA</v>
      </c>
      <c r="D3494" t="str">
        <f>IFERROR(__xludf.DUMMYFUNCTION("""COMPUTED_VALUE"""),"Life Purpose")</f>
        <v>Life Purpose</v>
      </c>
      <c r="E3494" s="3">
        <f>IFERROR(__xludf.DUMMYFUNCTION("""COMPUTED_VALUE"""),3.0)</f>
        <v>3</v>
      </c>
      <c r="F3494" s="300">
        <v>1.0</v>
      </c>
      <c r="G3494" s="300">
        <v>1.0</v>
      </c>
      <c r="H3494" s="300">
        <v>1.0</v>
      </c>
      <c r="I3494" s="300">
        <v>1.0</v>
      </c>
      <c r="J3494" s="300">
        <v>1.0</v>
      </c>
      <c r="K3494" s="300">
        <v>1.0</v>
      </c>
      <c r="L3494" s="300">
        <v>1.0</v>
      </c>
      <c r="M3494" s="300">
        <v>1.0</v>
      </c>
      <c r="N3494" s="300">
        <v>8.0</v>
      </c>
      <c r="O3494" s="300" t="s">
        <v>987</v>
      </c>
      <c r="P3494" s="300">
        <v>6.0</v>
      </c>
    </row>
    <row r="3495">
      <c r="A3495">
        <f>IFERROR(__xludf.DUMMYFUNCTION("""COMPUTED_VALUE"""),12.0)</f>
        <v>12</v>
      </c>
      <c r="B3495">
        <f>IFERROR(__xludf.DUMMYFUNCTION("""COMPUTED_VALUE"""),26046.0)</f>
        <v>26046</v>
      </c>
      <c r="C3495" t="str">
        <f>IFERROR(__xludf.DUMMYFUNCTION("""COMPUTED_VALUE"""),"HENAO GARZON, NICOLAS")</f>
        <v>HENAO GARZON, NICOLAS</v>
      </c>
      <c r="D3495" t="str">
        <f>IFERROR(__xludf.DUMMYFUNCTION("""COMPUTED_VALUE"""),"Life Purpose")</f>
        <v>Life Purpose</v>
      </c>
      <c r="E3495" s="3">
        <f>IFERROR(__xludf.DUMMYFUNCTION("""COMPUTED_VALUE"""),8.0)</f>
        <v>8</v>
      </c>
      <c r="F3495" s="300">
        <v>1.0</v>
      </c>
      <c r="G3495" s="300">
        <v>1.0</v>
      </c>
      <c r="H3495" s="300">
        <v>1.0</v>
      </c>
      <c r="I3495" s="300">
        <v>1.0</v>
      </c>
      <c r="J3495" s="300">
        <v>1.0</v>
      </c>
      <c r="K3495" s="300">
        <v>1.0</v>
      </c>
      <c r="L3495" s="300">
        <v>1.0</v>
      </c>
      <c r="M3495" s="300">
        <v>1.0</v>
      </c>
      <c r="N3495" s="300">
        <v>8.0</v>
      </c>
      <c r="O3495" s="300" t="s">
        <v>978</v>
      </c>
      <c r="P3495" s="300">
        <v>6.0</v>
      </c>
    </row>
    <row r="3496">
      <c r="A3496">
        <f>IFERROR(__xludf.DUMMYFUNCTION("""COMPUTED_VALUE"""),12.0)</f>
        <v>12</v>
      </c>
      <c r="B3496">
        <f>IFERROR(__xludf.DUMMYFUNCTION("""COMPUTED_VALUE"""),26165.0)</f>
        <v>26165</v>
      </c>
      <c r="C3496" t="str">
        <f>IFERROR(__xludf.DUMMYFUNCTION("""COMPUTED_VALUE"""),"BURKHALTER, ISAAC STEPHEN")</f>
        <v>BURKHALTER, ISAAC STEPHEN</v>
      </c>
      <c r="D3496" t="str">
        <f>IFERROR(__xludf.DUMMYFUNCTION("""COMPUTED_VALUE"""),"AP Psychology")</f>
        <v>AP Psychology</v>
      </c>
      <c r="E3496" s="3">
        <f>IFERROR(__xludf.DUMMYFUNCTION("""COMPUTED_VALUE"""),4.0)</f>
        <v>4</v>
      </c>
      <c r="F3496" s="300">
        <v>1.0</v>
      </c>
      <c r="G3496" s="300">
        <v>1.0</v>
      </c>
      <c r="H3496" s="300">
        <v>1.0</v>
      </c>
      <c r="I3496" s="300">
        <v>1.0</v>
      </c>
      <c r="J3496" s="300">
        <v>1.0</v>
      </c>
      <c r="K3496" s="300">
        <v>1.0</v>
      </c>
      <c r="L3496" s="300">
        <v>1.0</v>
      </c>
      <c r="M3496" s="300">
        <v>1.0</v>
      </c>
      <c r="N3496" s="300">
        <v>8.0</v>
      </c>
      <c r="O3496" s="300" t="s">
        <v>981</v>
      </c>
      <c r="P3496" s="300">
        <v>2.0</v>
      </c>
    </row>
    <row r="3497">
      <c r="A3497">
        <f>IFERROR(__xludf.DUMMYFUNCTION("""COMPUTED_VALUE"""),12.0)</f>
        <v>12</v>
      </c>
      <c r="B3497">
        <f>IFERROR(__xludf.DUMMYFUNCTION("""COMPUTED_VALUE"""),26120.0)</f>
        <v>26120</v>
      </c>
      <c r="C3497" t="str">
        <f>IFERROR(__xludf.DUMMYFUNCTION("""COMPUTED_VALUE"""),"VERGARA ROZO, JERONIMO")</f>
        <v>VERGARA ROZO, JERONIMO</v>
      </c>
      <c r="D3497" t="str">
        <f>IFERROR(__xludf.DUMMYFUNCTION("""COMPUTED_VALUE"""),"Pensar nuestro tiempo")</f>
        <v>Pensar nuestro tiempo</v>
      </c>
      <c r="E3497" s="3">
        <f>IFERROR(__xludf.DUMMYFUNCTION("""COMPUTED_VALUE"""),2.0)</f>
        <v>2</v>
      </c>
      <c r="F3497" s="300">
        <v>1.0</v>
      </c>
      <c r="G3497" s="300">
        <v>1.0</v>
      </c>
      <c r="H3497" s="300">
        <v>1.0</v>
      </c>
      <c r="I3497" s="300">
        <v>1.0</v>
      </c>
      <c r="J3497" s="300">
        <v>1.0</v>
      </c>
      <c r="K3497" s="300">
        <v>1.0</v>
      </c>
      <c r="L3497" s="300">
        <v>1.0</v>
      </c>
      <c r="M3497" s="300">
        <v>1.0</v>
      </c>
      <c r="N3497" s="300">
        <v>8.0</v>
      </c>
      <c r="O3497" s="300" t="s">
        <v>976</v>
      </c>
      <c r="P3497" s="300">
        <v>1.0</v>
      </c>
    </row>
    <row r="3498">
      <c r="A3498">
        <f>IFERROR(__xludf.DUMMYFUNCTION("""COMPUTED_VALUE"""),12.0)</f>
        <v>12</v>
      </c>
      <c r="B3498">
        <f>IFERROR(__xludf.DUMMYFUNCTION("""COMPUTED_VALUE"""),26130.0)</f>
        <v>26130</v>
      </c>
      <c r="C3498" t="str">
        <f>IFERROR(__xludf.DUMMYFUNCTION("""COMPUTED_VALUE"""),"IBAÑEZ MONTOYA, DANIEL")</f>
        <v>IBAÑEZ MONTOYA, DANIEL</v>
      </c>
      <c r="D3498" t="str">
        <f>IFERROR(__xludf.DUMMYFUNCTION("""COMPUTED_VALUE"""),"Pensar nuestro tiempo")</f>
        <v>Pensar nuestro tiempo</v>
      </c>
      <c r="E3498" s="3">
        <f>IFERROR(__xludf.DUMMYFUNCTION("""COMPUTED_VALUE"""),2.0)</f>
        <v>2</v>
      </c>
      <c r="F3498" s="300">
        <v>1.0</v>
      </c>
      <c r="G3498" s="300">
        <v>1.0</v>
      </c>
      <c r="H3498" s="300">
        <v>1.0</v>
      </c>
      <c r="I3498" s="300">
        <v>1.0</v>
      </c>
      <c r="J3498" s="300">
        <v>1.0</v>
      </c>
      <c r="K3498" s="300">
        <v>1.0</v>
      </c>
      <c r="L3498" s="300">
        <v>1.0</v>
      </c>
      <c r="M3498" s="300">
        <v>1.0</v>
      </c>
      <c r="N3498" s="300">
        <v>8.0</v>
      </c>
      <c r="O3498" s="300" t="s">
        <v>976</v>
      </c>
      <c r="P3498" s="300">
        <v>1.0</v>
      </c>
    </row>
    <row r="3499">
      <c r="A3499">
        <f>IFERROR(__xludf.DUMMYFUNCTION("""COMPUTED_VALUE"""),12.0)</f>
        <v>12</v>
      </c>
      <c r="B3499">
        <f>IFERROR(__xludf.DUMMYFUNCTION("""COMPUTED_VALUE"""),26117.0)</f>
        <v>26117</v>
      </c>
      <c r="C3499" t="str">
        <f>IFERROR(__xludf.DUMMYFUNCTION("""COMPUTED_VALUE"""),"VELEZ RESTREPO, LUCAS")</f>
        <v>VELEZ RESTREPO, LUCAS</v>
      </c>
      <c r="D3499" t="str">
        <f>IFERROR(__xludf.DUMMYFUNCTION("""COMPUTED_VALUE"""),"Pensar nuestro tiempo")</f>
        <v>Pensar nuestro tiempo</v>
      </c>
      <c r="E3499" s="3">
        <f>IFERROR(__xludf.DUMMYFUNCTION("""COMPUTED_VALUE"""),2.0)</f>
        <v>2</v>
      </c>
      <c r="F3499" s="300">
        <v>1.0</v>
      </c>
      <c r="G3499" s="300">
        <v>1.0</v>
      </c>
      <c r="H3499" s="300">
        <v>1.0</v>
      </c>
      <c r="I3499" s="300">
        <v>1.0</v>
      </c>
      <c r="J3499" s="300">
        <v>1.0</v>
      </c>
      <c r="K3499" s="300">
        <v>1.0</v>
      </c>
      <c r="L3499" s="300">
        <v>1.0</v>
      </c>
      <c r="M3499" s="300">
        <v>1.0</v>
      </c>
      <c r="N3499" s="300">
        <v>8.0</v>
      </c>
      <c r="O3499" s="300" t="s">
        <v>976</v>
      </c>
      <c r="P3499" s="300">
        <v>1.0</v>
      </c>
    </row>
    <row r="3500">
      <c r="A3500">
        <f>IFERROR(__xludf.DUMMYFUNCTION("""COMPUTED_VALUE"""),12.0)</f>
        <v>12</v>
      </c>
      <c r="B3500">
        <f>IFERROR(__xludf.DUMMYFUNCTION("""COMPUTED_VALUE"""),26168.0)</f>
        <v>26168</v>
      </c>
      <c r="C3500" t="str">
        <f>IFERROR(__xludf.DUMMYFUNCTION("""COMPUTED_VALUE"""),"NARANJO ARANA, LETICIA")</f>
        <v>NARANJO ARANA, LETICIA</v>
      </c>
      <c r="D3500" t="str">
        <f>IFERROR(__xludf.DUMMYFUNCTION("""COMPUTED_VALUE"""),"Life Purpose")</f>
        <v>Life Purpose</v>
      </c>
      <c r="E3500" s="3">
        <f>IFERROR(__xludf.DUMMYFUNCTION("""COMPUTED_VALUE"""),1.0)</f>
        <v>1</v>
      </c>
      <c r="F3500" s="300">
        <v>1.0</v>
      </c>
      <c r="G3500" s="300">
        <v>1.0</v>
      </c>
      <c r="H3500" s="300">
        <v>1.0</v>
      </c>
      <c r="I3500" s="300">
        <v>1.0</v>
      </c>
      <c r="J3500" s="300">
        <v>1.0</v>
      </c>
      <c r="K3500" s="300">
        <v>1.0</v>
      </c>
      <c r="L3500" s="300">
        <v>1.0</v>
      </c>
      <c r="M3500" s="300">
        <v>1.0</v>
      </c>
      <c r="N3500" s="300">
        <v>8.0</v>
      </c>
      <c r="O3500" s="300" t="s">
        <v>986</v>
      </c>
      <c r="P3500" s="300">
        <v>6.0</v>
      </c>
    </row>
    <row r="3501">
      <c r="A3501">
        <f>IFERROR(__xludf.DUMMYFUNCTION("""COMPUTED_VALUE"""),12.0)</f>
        <v>12</v>
      </c>
      <c r="B3501">
        <f>IFERROR(__xludf.DUMMYFUNCTION("""COMPUTED_VALUE"""),26156.0)</f>
        <v>26156</v>
      </c>
      <c r="C3501" t="str">
        <f>IFERROR(__xludf.DUMMYFUNCTION("""COMPUTED_VALUE"""),"CORTES CARDONA, MARIANA")</f>
        <v>CORTES CARDONA, MARIANA</v>
      </c>
      <c r="D3501" t="str">
        <f>IFERROR(__xludf.DUMMYFUNCTION("""COMPUTED_VALUE"""),"AP Economics")</f>
        <v>AP Economics</v>
      </c>
      <c r="E3501" s="3">
        <f>IFERROR(__xludf.DUMMYFUNCTION("""COMPUTED_VALUE"""),5.0)</f>
        <v>5</v>
      </c>
      <c r="F3501" s="300">
        <v>1.0</v>
      </c>
      <c r="G3501" s="300">
        <v>1.0</v>
      </c>
      <c r="H3501" s="300">
        <v>1.0</v>
      </c>
      <c r="I3501" s="300">
        <v>1.0</v>
      </c>
      <c r="J3501" s="300">
        <v>1.0</v>
      </c>
      <c r="K3501" s="300">
        <v>1.0</v>
      </c>
      <c r="L3501" s="300">
        <v>1.0</v>
      </c>
      <c r="M3501" s="300">
        <v>1.0</v>
      </c>
      <c r="N3501" s="300">
        <v>8.0</v>
      </c>
      <c r="O3501" s="300" t="s">
        <v>975</v>
      </c>
      <c r="P3501" s="300">
        <v>4.0</v>
      </c>
    </row>
    <row r="3502">
      <c r="A3502">
        <f>IFERROR(__xludf.DUMMYFUNCTION("""COMPUTED_VALUE"""),12.0)</f>
        <v>12</v>
      </c>
      <c r="B3502">
        <f>IFERROR(__xludf.DUMMYFUNCTION("""COMPUTED_VALUE"""),26127.0)</f>
        <v>26127</v>
      </c>
      <c r="C3502" t="str">
        <f>IFERROR(__xludf.DUMMYFUNCTION("""COMPUTED_VALUE"""),"ZULOAGA AYUB, CAMILA")</f>
        <v>ZULOAGA AYUB, CAMILA</v>
      </c>
      <c r="D3502" t="str">
        <f>IFERROR(__xludf.DUMMYFUNCTION("""COMPUTED_VALUE"""),"Life Purpose")</f>
        <v>Life Purpose</v>
      </c>
      <c r="E3502" s="3">
        <f>IFERROR(__xludf.DUMMYFUNCTION("""COMPUTED_VALUE"""),6.0)</f>
        <v>6</v>
      </c>
      <c r="F3502" s="300">
        <v>1.0</v>
      </c>
      <c r="G3502" s="300">
        <v>1.0</v>
      </c>
      <c r="H3502" s="300">
        <v>1.0</v>
      </c>
      <c r="I3502" s="300">
        <v>1.0</v>
      </c>
      <c r="J3502" s="300">
        <v>1.0</v>
      </c>
      <c r="K3502" s="300">
        <v>1.0</v>
      </c>
      <c r="L3502" s="300">
        <v>1.0</v>
      </c>
      <c r="M3502" s="300">
        <v>1.0</v>
      </c>
      <c r="N3502" s="300">
        <v>8.0</v>
      </c>
      <c r="O3502" s="300" t="s">
        <v>979</v>
      </c>
      <c r="P3502" s="300">
        <v>6.0</v>
      </c>
    </row>
    <row r="3503">
      <c r="A3503">
        <f>IFERROR(__xludf.DUMMYFUNCTION("""COMPUTED_VALUE"""),12.0)</f>
        <v>12</v>
      </c>
      <c r="B3503">
        <f>IFERROR(__xludf.DUMMYFUNCTION("""COMPUTED_VALUE"""),26099.0)</f>
        <v>26099</v>
      </c>
      <c r="C3503" t="str">
        <f>IFERROR(__xludf.DUMMYFUNCTION("""COMPUTED_VALUE"""),"RESTREPO RESTREPO, MAXIMILIANO")</f>
        <v>RESTREPO RESTREPO, MAXIMILIANO</v>
      </c>
      <c r="D3503" t="str">
        <f>IFERROR(__xludf.DUMMYFUNCTION("""COMPUTED_VALUE"""),"Life Purpose")</f>
        <v>Life Purpose</v>
      </c>
      <c r="E3503" s="3">
        <f>IFERROR(__xludf.DUMMYFUNCTION("""COMPUTED_VALUE"""),7.0)</f>
        <v>7</v>
      </c>
      <c r="F3503" s="300">
        <v>1.0</v>
      </c>
      <c r="G3503" s="300">
        <v>1.0</v>
      </c>
      <c r="H3503" s="300">
        <v>1.0</v>
      </c>
      <c r="I3503" s="300">
        <v>1.0</v>
      </c>
      <c r="J3503" s="300">
        <v>1.0</v>
      </c>
      <c r="K3503" s="300">
        <v>1.0</v>
      </c>
      <c r="L3503" s="300">
        <v>1.0</v>
      </c>
      <c r="M3503" s="300">
        <v>1.0</v>
      </c>
      <c r="N3503" s="300">
        <v>8.0</v>
      </c>
      <c r="O3503" s="300" t="s">
        <v>984</v>
      </c>
      <c r="P3503" s="300">
        <v>6.0</v>
      </c>
    </row>
    <row r="3504">
      <c r="A3504">
        <f>IFERROR(__xludf.DUMMYFUNCTION("""COMPUTED_VALUE"""),12.0)</f>
        <v>12</v>
      </c>
      <c r="B3504">
        <f>IFERROR(__xludf.DUMMYFUNCTION("""COMPUTED_VALUE"""),26043.0)</f>
        <v>26043</v>
      </c>
      <c r="C3504" t="str">
        <f>IFERROR(__xludf.DUMMYFUNCTION("""COMPUTED_VALUE"""),"GONZALEZ MARIN, MATIAS")</f>
        <v>GONZALEZ MARIN, MATIAS</v>
      </c>
      <c r="D3504" t="str">
        <f>IFERROR(__xludf.DUMMYFUNCTION("""COMPUTED_VALUE"""),"AP World History")</f>
        <v>AP World History</v>
      </c>
      <c r="E3504" s="3">
        <f>IFERROR(__xludf.DUMMYFUNCTION("""COMPUTED_VALUE"""),6.0)</f>
        <v>6</v>
      </c>
      <c r="F3504" s="300">
        <v>1.0</v>
      </c>
      <c r="G3504" s="300">
        <v>1.0</v>
      </c>
      <c r="H3504" s="300">
        <v>1.0</v>
      </c>
      <c r="I3504" s="300">
        <v>1.0</v>
      </c>
      <c r="J3504" s="300">
        <v>1.0</v>
      </c>
      <c r="K3504" s="300">
        <v>1.0</v>
      </c>
      <c r="L3504" s="300">
        <v>1.0</v>
      </c>
      <c r="M3504" s="300">
        <v>1.0</v>
      </c>
      <c r="N3504" s="300">
        <v>8.0</v>
      </c>
      <c r="O3504" s="300" t="s">
        <v>973</v>
      </c>
      <c r="P3504" s="300">
        <v>2.0</v>
      </c>
    </row>
    <row r="3505">
      <c r="A3505">
        <f>IFERROR(__xludf.DUMMYFUNCTION("""COMPUTED_VALUE"""),12.0)</f>
        <v>12</v>
      </c>
      <c r="B3505">
        <f>IFERROR(__xludf.DUMMYFUNCTION("""COMPUTED_VALUE"""),26081.0)</f>
        <v>26081</v>
      </c>
      <c r="C3505" t="str">
        <f>IFERROR(__xludf.DUMMYFUNCTION("""COMPUTED_VALUE"""),"OLAYA CARDENAS, SAMUEL")</f>
        <v>OLAYA CARDENAS, SAMUEL</v>
      </c>
      <c r="D3505" t="str">
        <f>IFERROR(__xludf.DUMMYFUNCTION("""COMPUTED_VALUE"""),"AP World History")</f>
        <v>AP World History</v>
      </c>
      <c r="E3505" s="3">
        <f>IFERROR(__xludf.DUMMYFUNCTION("""COMPUTED_VALUE"""),5.0)</f>
        <v>5</v>
      </c>
      <c r="F3505" s="300">
        <v>1.0</v>
      </c>
      <c r="G3505" s="300">
        <v>1.0</v>
      </c>
      <c r="H3505" s="300">
        <v>1.0</v>
      </c>
      <c r="I3505" s="300">
        <v>1.0</v>
      </c>
      <c r="J3505" s="300">
        <v>1.0</v>
      </c>
      <c r="K3505" s="300">
        <v>1.0</v>
      </c>
      <c r="L3505" s="300">
        <v>1.0</v>
      </c>
      <c r="M3505" s="300">
        <v>1.0</v>
      </c>
      <c r="N3505" s="300">
        <v>8.0</v>
      </c>
      <c r="O3505" s="300" t="s">
        <v>974</v>
      </c>
      <c r="P3505" s="300">
        <v>2.0</v>
      </c>
    </row>
    <row r="3506">
      <c r="A3506">
        <f>IFERROR(__xludf.DUMMYFUNCTION("""COMPUTED_VALUE"""),12.0)</f>
        <v>12</v>
      </c>
      <c r="B3506">
        <f>IFERROR(__xludf.DUMMYFUNCTION("""COMPUTED_VALUE"""),26115.0)</f>
        <v>26115</v>
      </c>
      <c r="C3506" t="str">
        <f>IFERROR(__xludf.DUMMYFUNCTION("""COMPUTED_VALUE"""),"VELASQUEZ URIBE, JOSE MANUEL")</f>
        <v>VELASQUEZ URIBE, JOSE MANUEL</v>
      </c>
      <c r="D3506" t="str">
        <f>IFERROR(__xludf.DUMMYFUNCTION("""COMPUTED_VALUE"""),"AP Economics")</f>
        <v>AP Economics</v>
      </c>
      <c r="E3506" s="3">
        <f>IFERROR(__xludf.DUMMYFUNCTION("""COMPUTED_VALUE"""),4.0)</f>
        <v>4</v>
      </c>
      <c r="F3506" s="300">
        <v>1.0</v>
      </c>
      <c r="G3506" s="300">
        <v>1.0</v>
      </c>
      <c r="H3506" s="300">
        <v>1.0</v>
      </c>
      <c r="I3506" s="300">
        <v>1.0</v>
      </c>
      <c r="J3506" s="300">
        <v>1.0</v>
      </c>
      <c r="K3506" s="300">
        <v>1.0</v>
      </c>
      <c r="L3506" s="300">
        <v>1.0</v>
      </c>
      <c r="M3506" s="300">
        <v>1.0</v>
      </c>
      <c r="N3506" s="300">
        <v>8.0</v>
      </c>
      <c r="O3506" s="300" t="s">
        <v>977</v>
      </c>
      <c r="P3506" s="300">
        <v>4.0</v>
      </c>
    </row>
    <row r="3507">
      <c r="A3507">
        <f>IFERROR(__xludf.DUMMYFUNCTION("""COMPUTED_VALUE"""),12.0)</f>
        <v>12</v>
      </c>
      <c r="B3507">
        <f>IFERROR(__xludf.DUMMYFUNCTION("""COMPUTED_VALUE"""),26069.0)</f>
        <v>26069</v>
      </c>
      <c r="C3507" t="str">
        <f>IFERROR(__xludf.DUMMYFUNCTION("""COMPUTED_VALUE"""),"MANTILLA DURANGO, VALERIA")</f>
        <v>MANTILLA DURANGO, VALERIA</v>
      </c>
      <c r="D3507" t="str">
        <f>IFERROR(__xludf.DUMMYFUNCTION("""COMPUTED_VALUE"""),"Life Purpose")</f>
        <v>Life Purpose</v>
      </c>
      <c r="E3507" s="3">
        <f>IFERROR(__xludf.DUMMYFUNCTION("""COMPUTED_VALUE"""),8.0)</f>
        <v>8</v>
      </c>
      <c r="F3507" s="300">
        <v>1.0</v>
      </c>
      <c r="G3507" s="300">
        <v>1.0</v>
      </c>
      <c r="H3507" s="300">
        <v>1.0</v>
      </c>
      <c r="I3507" s="300">
        <v>1.0</v>
      </c>
      <c r="J3507" s="300">
        <v>1.0</v>
      </c>
      <c r="K3507" s="300">
        <v>1.0</v>
      </c>
      <c r="L3507" s="300">
        <v>1.0</v>
      </c>
      <c r="M3507" s="300">
        <v>1.0</v>
      </c>
      <c r="N3507" s="300">
        <v>8.0</v>
      </c>
      <c r="O3507" s="300" t="s">
        <v>978</v>
      </c>
      <c r="P3507" s="300">
        <v>6.0</v>
      </c>
    </row>
    <row r="3508">
      <c r="A3508">
        <f>IFERROR(__xludf.DUMMYFUNCTION("""COMPUTED_VALUE"""),12.0)</f>
        <v>12</v>
      </c>
      <c r="B3508">
        <f>IFERROR(__xludf.DUMMYFUNCTION("""COMPUTED_VALUE"""),26103.0)</f>
        <v>26103</v>
      </c>
      <c r="C3508" t="str">
        <f>IFERROR(__xludf.DUMMYFUNCTION("""COMPUTED_VALUE"""),"RODRIGUEZ OSORIO, JERONIMO")</f>
        <v>RODRIGUEZ OSORIO, JERONIMO</v>
      </c>
      <c r="D3508" t="str">
        <f>IFERROR(__xludf.DUMMYFUNCTION("""COMPUTED_VALUE"""),"Life Purpose")</f>
        <v>Life Purpose</v>
      </c>
      <c r="E3508" s="3">
        <f>IFERROR(__xludf.DUMMYFUNCTION("""COMPUTED_VALUE"""),3.0)</f>
        <v>3</v>
      </c>
      <c r="F3508" s="300">
        <v>1.0</v>
      </c>
      <c r="G3508" s="300">
        <v>1.0</v>
      </c>
      <c r="H3508" s="300">
        <v>1.0</v>
      </c>
      <c r="I3508" s="300">
        <v>1.0</v>
      </c>
      <c r="J3508" s="300">
        <v>1.0</v>
      </c>
      <c r="K3508" s="300">
        <v>1.0</v>
      </c>
      <c r="L3508" s="300">
        <v>1.0</v>
      </c>
      <c r="M3508" s="300">
        <v>1.0</v>
      </c>
      <c r="N3508" s="300">
        <v>8.0</v>
      </c>
      <c r="O3508" s="300" t="s">
        <v>987</v>
      </c>
      <c r="P3508" s="300">
        <v>6.0</v>
      </c>
    </row>
    <row r="3509">
      <c r="A3509">
        <f>IFERROR(__xludf.DUMMYFUNCTION("""COMPUTED_VALUE"""),12.0)</f>
        <v>12</v>
      </c>
      <c r="B3509">
        <f>IFERROR(__xludf.DUMMYFUNCTION("""COMPUTED_VALUE"""),26163.0)</f>
        <v>26163</v>
      </c>
      <c r="C3509" t="str">
        <f>IFERROR(__xludf.DUMMYFUNCTION("""COMPUTED_VALUE"""),"SALAS VELEZ, AMELIA")</f>
        <v>SALAS VELEZ, AMELIA</v>
      </c>
      <c r="D3509" t="str">
        <f>IFERROR(__xludf.DUMMYFUNCTION("""COMPUTED_VALUE"""),"Pensar nuestro tiempo")</f>
        <v>Pensar nuestro tiempo</v>
      </c>
      <c r="E3509" s="3">
        <f>IFERROR(__xludf.DUMMYFUNCTION("""COMPUTED_VALUE"""),2.0)</f>
        <v>2</v>
      </c>
      <c r="F3509" s="300">
        <v>1.0</v>
      </c>
      <c r="G3509" s="300">
        <v>1.0</v>
      </c>
      <c r="H3509" s="300">
        <v>1.0</v>
      </c>
      <c r="I3509" s="300">
        <v>1.0</v>
      </c>
      <c r="J3509" s="300">
        <v>1.0</v>
      </c>
      <c r="K3509" s="300">
        <v>1.0</v>
      </c>
      <c r="L3509" s="300">
        <v>1.0</v>
      </c>
      <c r="M3509" s="300">
        <v>1.0</v>
      </c>
      <c r="N3509" s="300">
        <v>8.0</v>
      </c>
      <c r="O3509" s="300" t="s">
        <v>976</v>
      </c>
      <c r="P3509" s="300">
        <v>1.0</v>
      </c>
    </row>
    <row r="3510">
      <c r="A3510">
        <f>IFERROR(__xludf.DUMMYFUNCTION("""COMPUTED_VALUE"""),12.0)</f>
        <v>12</v>
      </c>
      <c r="B3510">
        <f>IFERROR(__xludf.DUMMYFUNCTION("""COMPUTED_VALUE"""),26118.0)</f>
        <v>26118</v>
      </c>
      <c r="C3510" t="str">
        <f>IFERROR(__xludf.DUMMYFUNCTION("""COMPUTED_VALUE"""),"VELEZ ZAPATA, MANUELA")</f>
        <v>VELEZ ZAPATA, MANUELA</v>
      </c>
      <c r="D3510" t="str">
        <f>IFERROR(__xludf.DUMMYFUNCTION("""COMPUTED_VALUE"""),"Life Purpose")</f>
        <v>Life Purpose</v>
      </c>
      <c r="E3510" s="3">
        <f>IFERROR(__xludf.DUMMYFUNCTION("""COMPUTED_VALUE"""),6.0)</f>
        <v>6</v>
      </c>
      <c r="F3510" s="300">
        <v>1.0</v>
      </c>
      <c r="G3510" s="300">
        <v>1.0</v>
      </c>
      <c r="H3510" s="300">
        <v>1.0</v>
      </c>
      <c r="I3510" s="300">
        <v>1.0</v>
      </c>
      <c r="J3510" s="300">
        <v>1.0</v>
      </c>
      <c r="K3510" s="300">
        <v>1.0</v>
      </c>
      <c r="L3510" s="300">
        <v>1.0</v>
      </c>
      <c r="M3510" s="300">
        <v>1.0</v>
      </c>
      <c r="N3510" s="300">
        <v>8.0</v>
      </c>
      <c r="O3510" s="300" t="s">
        <v>979</v>
      </c>
      <c r="P3510" s="300">
        <v>6.0</v>
      </c>
    </row>
    <row r="3511">
      <c r="A3511">
        <f>IFERROR(__xludf.DUMMYFUNCTION("""COMPUTED_VALUE"""),12.0)</f>
        <v>12</v>
      </c>
      <c r="B3511">
        <f>IFERROR(__xludf.DUMMYFUNCTION("""COMPUTED_VALUE"""),26112.0)</f>
        <v>26112</v>
      </c>
      <c r="C3511" t="str">
        <f>IFERROR(__xludf.DUMMYFUNCTION("""COMPUTED_VALUE"""),"URIBE FERNANDEZ, ANDRES")</f>
        <v>URIBE FERNANDEZ, ANDRES</v>
      </c>
      <c r="D3511" t="str">
        <f>IFERROR(__xludf.DUMMYFUNCTION("""COMPUTED_VALUE"""),"Introduction to Law")</f>
        <v>Introduction to Law</v>
      </c>
      <c r="E3511" s="3">
        <f>IFERROR(__xludf.DUMMYFUNCTION("""COMPUTED_VALUE"""),4.0)</f>
        <v>4</v>
      </c>
      <c r="F3511" s="300">
        <v>1.0</v>
      </c>
      <c r="G3511" s="300">
        <v>1.0</v>
      </c>
      <c r="H3511" s="300">
        <v>1.0</v>
      </c>
      <c r="I3511" s="300">
        <v>1.0</v>
      </c>
      <c r="J3511" s="300">
        <v>1.0</v>
      </c>
      <c r="K3511" s="300">
        <v>1.0</v>
      </c>
      <c r="L3511" s="300">
        <v>1.0</v>
      </c>
      <c r="M3511" s="300">
        <v>1.0</v>
      </c>
      <c r="N3511" s="300">
        <v>8.0</v>
      </c>
      <c r="O3511" s="300" t="s">
        <v>982</v>
      </c>
      <c r="P3511" s="300">
        <v>1.0</v>
      </c>
    </row>
    <row r="3512">
      <c r="A3512">
        <f>IFERROR(__xludf.DUMMYFUNCTION("""COMPUTED_VALUE"""),12.0)</f>
        <v>12</v>
      </c>
      <c r="B3512">
        <f>IFERROR(__xludf.DUMMYFUNCTION("""COMPUTED_VALUE"""),26006.0)</f>
        <v>26006</v>
      </c>
      <c r="C3512" t="str">
        <f>IFERROR(__xludf.DUMMYFUNCTION("""COMPUTED_VALUE"""),"AMAR JARAMILLO, NICHOLAS")</f>
        <v>AMAR JARAMILLO, NICHOLAS</v>
      </c>
      <c r="D3512" t="str">
        <f>IFERROR(__xludf.DUMMYFUNCTION("""COMPUTED_VALUE"""),"AP Psychology")</f>
        <v>AP Psychology</v>
      </c>
      <c r="E3512" s="3">
        <f>IFERROR(__xludf.DUMMYFUNCTION("""COMPUTED_VALUE"""),4.0)</f>
        <v>4</v>
      </c>
      <c r="F3512" s="300">
        <v>1.0</v>
      </c>
      <c r="G3512" s="300">
        <v>1.0</v>
      </c>
      <c r="H3512" s="300">
        <v>1.0</v>
      </c>
      <c r="I3512" s="300">
        <v>1.0</v>
      </c>
      <c r="J3512" s="300">
        <v>1.0</v>
      </c>
      <c r="K3512" s="300">
        <v>1.0</v>
      </c>
      <c r="L3512" s="300">
        <v>1.0</v>
      </c>
      <c r="M3512" s="300">
        <v>1.0</v>
      </c>
      <c r="N3512" s="300">
        <v>8.0</v>
      </c>
      <c r="O3512" s="300" t="s">
        <v>981</v>
      </c>
      <c r="P3512" s="300">
        <v>2.0</v>
      </c>
    </row>
    <row r="3513">
      <c r="A3513">
        <f>IFERROR(__xludf.DUMMYFUNCTION("""COMPUTED_VALUE"""),12.0)</f>
        <v>12</v>
      </c>
      <c r="B3513">
        <f>IFERROR(__xludf.DUMMYFUNCTION("""COMPUTED_VALUE"""),26034.0)</f>
        <v>26034</v>
      </c>
      <c r="C3513" t="str">
        <f>IFERROR(__xludf.DUMMYFUNCTION("""COMPUTED_VALUE"""),"GARCIA CORREA, MARIA CLARA")</f>
        <v>GARCIA CORREA, MARIA CLARA</v>
      </c>
      <c r="D3513" t="str">
        <f>IFERROR(__xludf.DUMMYFUNCTION("""COMPUTED_VALUE"""),"Pensar nuestro tiempo")</f>
        <v>Pensar nuestro tiempo</v>
      </c>
      <c r="E3513" s="3">
        <f>IFERROR(__xludf.DUMMYFUNCTION("""COMPUTED_VALUE"""),2.0)</f>
        <v>2</v>
      </c>
      <c r="F3513" s="300">
        <v>1.0</v>
      </c>
      <c r="G3513" s="300">
        <v>1.0</v>
      </c>
      <c r="H3513" s="300">
        <v>1.0</v>
      </c>
      <c r="I3513" s="300">
        <v>1.0</v>
      </c>
      <c r="J3513" s="300">
        <v>1.0</v>
      </c>
      <c r="K3513" s="300">
        <v>1.0</v>
      </c>
      <c r="L3513" s="300">
        <v>1.0</v>
      </c>
      <c r="M3513" s="300">
        <v>1.0</v>
      </c>
      <c r="N3513" s="300">
        <v>8.0</v>
      </c>
      <c r="O3513" s="300" t="s">
        <v>976</v>
      </c>
      <c r="P3513" s="300">
        <v>1.0</v>
      </c>
    </row>
    <row r="3514">
      <c r="A3514">
        <f>IFERROR(__xludf.DUMMYFUNCTION("""COMPUTED_VALUE"""),12.0)</f>
        <v>12</v>
      </c>
      <c r="B3514">
        <f>IFERROR(__xludf.DUMMYFUNCTION("""COMPUTED_VALUE"""),26028.0)</f>
        <v>26028</v>
      </c>
      <c r="C3514" t="str">
        <f>IFERROR(__xludf.DUMMYFUNCTION("""COMPUTED_VALUE"""),"ESCOBAR BURGOS, SANTIAGO")</f>
        <v>ESCOBAR BURGOS, SANTIAGO</v>
      </c>
      <c r="D3514" t="str">
        <f>IFERROR(__xludf.DUMMYFUNCTION("""COMPUTED_VALUE"""),"Life Purpose")</f>
        <v>Life Purpose</v>
      </c>
      <c r="E3514" s="3">
        <f>IFERROR(__xludf.DUMMYFUNCTION("""COMPUTED_VALUE"""),3.0)</f>
        <v>3</v>
      </c>
      <c r="F3514" s="300">
        <v>1.0</v>
      </c>
      <c r="G3514" s="300">
        <v>1.0</v>
      </c>
      <c r="H3514" s="300">
        <v>1.0</v>
      </c>
      <c r="I3514" s="300">
        <v>1.0</v>
      </c>
      <c r="J3514" s="300">
        <v>1.0</v>
      </c>
      <c r="K3514" s="300">
        <v>1.0</v>
      </c>
      <c r="L3514" s="300">
        <v>1.0</v>
      </c>
      <c r="M3514" s="300">
        <v>1.0</v>
      </c>
      <c r="N3514" s="300">
        <v>8.0</v>
      </c>
      <c r="O3514" s="300" t="s">
        <v>987</v>
      </c>
      <c r="P3514" s="300">
        <v>6.0</v>
      </c>
    </row>
    <row r="3515">
      <c r="A3515">
        <f>IFERROR(__xludf.DUMMYFUNCTION("""COMPUTED_VALUE"""),12.0)</f>
        <v>12</v>
      </c>
      <c r="B3515">
        <f>IFERROR(__xludf.DUMMYFUNCTION("""COMPUTED_VALUE"""),26049.0)</f>
        <v>26049</v>
      </c>
      <c r="C3515" t="str">
        <f>IFERROR(__xludf.DUMMYFUNCTION("""COMPUTED_VALUE"""),"HERRERA GOMEZ, MIGUEL")</f>
        <v>HERRERA GOMEZ, MIGUEL</v>
      </c>
      <c r="D3515" t="str">
        <f>IFERROR(__xludf.DUMMYFUNCTION("""COMPUTED_VALUE"""),"Life Purpose")</f>
        <v>Life Purpose</v>
      </c>
      <c r="E3515" s="3">
        <f>IFERROR(__xludf.DUMMYFUNCTION("""COMPUTED_VALUE"""),3.0)</f>
        <v>3</v>
      </c>
      <c r="F3515" s="300">
        <v>1.0</v>
      </c>
      <c r="G3515" s="300">
        <v>1.0</v>
      </c>
      <c r="H3515" s="300">
        <v>1.0</v>
      </c>
      <c r="I3515" s="300">
        <v>1.0</v>
      </c>
      <c r="J3515" s="300">
        <v>1.0</v>
      </c>
      <c r="K3515" s="300">
        <v>1.0</v>
      </c>
      <c r="L3515" s="300">
        <v>1.0</v>
      </c>
      <c r="M3515" s="300">
        <v>1.0</v>
      </c>
      <c r="N3515" s="300">
        <v>8.0</v>
      </c>
      <c r="O3515" s="300" t="s">
        <v>987</v>
      </c>
      <c r="P3515" s="300">
        <v>6.0</v>
      </c>
    </row>
    <row r="3516">
      <c r="A3516">
        <f>IFERROR(__xludf.DUMMYFUNCTION("""COMPUTED_VALUE"""),12.0)</f>
        <v>12</v>
      </c>
      <c r="B3516">
        <f>IFERROR(__xludf.DUMMYFUNCTION("""COMPUTED_VALUE"""),26044.0)</f>
        <v>26044</v>
      </c>
      <c r="C3516" t="str">
        <f>IFERROR(__xludf.DUMMYFUNCTION("""COMPUTED_VALUE"""),"GONZALEZ NAVARRO, MIGUEL")</f>
        <v>GONZALEZ NAVARRO, MIGUEL</v>
      </c>
      <c r="D3516" t="str">
        <f>IFERROR(__xludf.DUMMYFUNCTION("""COMPUTED_VALUE"""),"Introduction to Law")</f>
        <v>Introduction to Law</v>
      </c>
      <c r="E3516" s="3">
        <f>IFERROR(__xludf.DUMMYFUNCTION("""COMPUTED_VALUE"""),4.0)</f>
        <v>4</v>
      </c>
      <c r="F3516" s="300">
        <v>1.0</v>
      </c>
      <c r="G3516" s="300">
        <v>1.0</v>
      </c>
      <c r="H3516" s="300">
        <v>1.0</v>
      </c>
      <c r="I3516" s="300">
        <v>1.0</v>
      </c>
      <c r="J3516" s="300">
        <v>1.0</v>
      </c>
      <c r="K3516" s="300">
        <v>1.0</v>
      </c>
      <c r="L3516" s="300">
        <v>1.0</v>
      </c>
      <c r="M3516" s="300">
        <v>1.0</v>
      </c>
      <c r="N3516" s="300">
        <v>8.0</v>
      </c>
      <c r="O3516" s="300" t="s">
        <v>982</v>
      </c>
      <c r="P3516" s="300">
        <v>1.0</v>
      </c>
    </row>
    <row r="3517">
      <c r="A3517">
        <f>IFERROR(__xludf.DUMMYFUNCTION("""COMPUTED_VALUE"""),12.0)</f>
        <v>12</v>
      </c>
      <c r="B3517">
        <f>IFERROR(__xludf.DUMMYFUNCTION("""COMPUTED_VALUE"""),26056.0)</f>
        <v>26056</v>
      </c>
      <c r="C3517" t="str">
        <f>IFERROR(__xludf.DUMMYFUNCTION("""COMPUTED_VALUE"""),"ISAZA VELASQUEZ, SALOME")</f>
        <v>ISAZA VELASQUEZ, SALOME</v>
      </c>
      <c r="D3517" t="str">
        <f>IFERROR(__xludf.DUMMYFUNCTION("""COMPUTED_VALUE"""),"Life Purpose")</f>
        <v>Life Purpose</v>
      </c>
      <c r="E3517" s="3">
        <f>IFERROR(__xludf.DUMMYFUNCTION("""COMPUTED_VALUE"""),6.0)</f>
        <v>6</v>
      </c>
      <c r="F3517" s="300">
        <v>1.0</v>
      </c>
      <c r="G3517" s="300">
        <v>1.0</v>
      </c>
      <c r="H3517" s="300">
        <v>1.0</v>
      </c>
      <c r="I3517" s="300">
        <v>1.0</v>
      </c>
      <c r="J3517" s="300">
        <v>1.0</v>
      </c>
      <c r="K3517" s="300">
        <v>1.0</v>
      </c>
      <c r="L3517" s="300">
        <v>1.0</v>
      </c>
      <c r="M3517" s="300">
        <v>1.0</v>
      </c>
      <c r="N3517" s="300">
        <v>8.0</v>
      </c>
      <c r="O3517" s="300" t="s">
        <v>979</v>
      </c>
      <c r="P3517" s="300">
        <v>6.0</v>
      </c>
    </row>
    <row r="3518">
      <c r="A3518">
        <f>IFERROR(__xludf.DUMMYFUNCTION("""COMPUTED_VALUE"""),12.0)</f>
        <v>12</v>
      </c>
      <c r="B3518">
        <f>IFERROR(__xludf.DUMMYFUNCTION("""COMPUTED_VALUE"""),26001.0)</f>
        <v>26001</v>
      </c>
      <c r="C3518" t="str">
        <f>IFERROR(__xludf.DUMMYFUNCTION("""COMPUTED_VALUE"""),"AARON VASQUEZ, MARIA DEL MAR")</f>
        <v>AARON VASQUEZ, MARIA DEL MAR</v>
      </c>
      <c r="D3518" t="str">
        <f>IFERROR(__xludf.DUMMYFUNCTION("""COMPUTED_VALUE"""),"AP World History")</f>
        <v>AP World History</v>
      </c>
      <c r="E3518" s="3">
        <f>IFERROR(__xludf.DUMMYFUNCTION("""COMPUTED_VALUE"""),6.0)</f>
        <v>6</v>
      </c>
      <c r="F3518" s="300">
        <v>1.0</v>
      </c>
      <c r="G3518" s="300">
        <v>1.0</v>
      </c>
      <c r="H3518" s="300">
        <v>1.0</v>
      </c>
      <c r="I3518" s="300">
        <v>1.0</v>
      </c>
      <c r="J3518" s="300">
        <v>1.0</v>
      </c>
      <c r="K3518" s="300">
        <v>1.0</v>
      </c>
      <c r="L3518" s="300">
        <v>1.0</v>
      </c>
      <c r="M3518" s="300">
        <v>1.0</v>
      </c>
      <c r="N3518" s="300">
        <v>8.0</v>
      </c>
      <c r="O3518" s="300" t="s">
        <v>973</v>
      </c>
      <c r="P3518" s="300">
        <v>2.0</v>
      </c>
    </row>
    <row r="3519">
      <c r="A3519">
        <f>IFERROR(__xludf.DUMMYFUNCTION("""COMPUTED_VALUE"""),12.0)</f>
        <v>12</v>
      </c>
      <c r="B3519">
        <f>IFERROR(__xludf.DUMMYFUNCTION("""COMPUTED_VALUE"""),26038.0)</f>
        <v>26038</v>
      </c>
      <c r="C3519" t="str">
        <f>IFERROR(__xludf.DUMMYFUNCTION("""COMPUTED_VALUE"""),"GOMEZ LALINDE, SARA")</f>
        <v>GOMEZ LALINDE, SARA</v>
      </c>
      <c r="D3519" t="str">
        <f>IFERROR(__xludf.DUMMYFUNCTION("""COMPUTED_VALUE"""),"AP Economics")</f>
        <v>AP Economics</v>
      </c>
      <c r="E3519" s="3">
        <f>IFERROR(__xludf.DUMMYFUNCTION("""COMPUTED_VALUE"""),5.0)</f>
        <v>5</v>
      </c>
      <c r="F3519" s="300">
        <v>1.0</v>
      </c>
      <c r="G3519" s="300">
        <v>1.0</v>
      </c>
      <c r="H3519" s="300">
        <v>1.0</v>
      </c>
      <c r="I3519" s="300">
        <v>1.0</v>
      </c>
      <c r="J3519" s="300">
        <v>1.0</v>
      </c>
      <c r="K3519" s="300">
        <v>1.0</v>
      </c>
      <c r="L3519" s="300">
        <v>1.0</v>
      </c>
      <c r="M3519" s="300">
        <v>1.0</v>
      </c>
      <c r="N3519" s="300">
        <v>8.0</v>
      </c>
      <c r="O3519" s="300" t="s">
        <v>975</v>
      </c>
      <c r="P3519" s="300">
        <v>4.0</v>
      </c>
    </row>
    <row r="3520">
      <c r="A3520">
        <f>IFERROR(__xludf.DUMMYFUNCTION("""COMPUTED_VALUE"""),12.0)</f>
        <v>12</v>
      </c>
      <c r="B3520">
        <f>IFERROR(__xludf.DUMMYFUNCTION("""COMPUTED_VALUE"""),26088.0)</f>
        <v>26088</v>
      </c>
      <c r="C3520" t="str">
        <f>IFERROR(__xludf.DUMMYFUNCTION("""COMPUTED_VALUE"""),"PEREZ ECHAVARRIA, SAMUEL")</f>
        <v>PEREZ ECHAVARRIA, SAMUEL</v>
      </c>
      <c r="D3520" t="str">
        <f>IFERROR(__xludf.DUMMYFUNCTION("""COMPUTED_VALUE"""),"Life Purpose")</f>
        <v>Life Purpose</v>
      </c>
      <c r="E3520" s="3">
        <f>IFERROR(__xludf.DUMMYFUNCTION("""COMPUTED_VALUE"""),3.0)</f>
        <v>3</v>
      </c>
      <c r="F3520" s="300">
        <v>1.0</v>
      </c>
      <c r="G3520" s="300">
        <v>1.0</v>
      </c>
      <c r="H3520" s="300">
        <v>1.0</v>
      </c>
      <c r="I3520" s="300">
        <v>1.0</v>
      </c>
      <c r="J3520" s="300">
        <v>1.0</v>
      </c>
      <c r="K3520" s="300">
        <v>1.0</v>
      </c>
      <c r="L3520" s="300">
        <v>1.0</v>
      </c>
      <c r="M3520" s="300">
        <v>1.0</v>
      </c>
      <c r="N3520" s="300">
        <v>8.0</v>
      </c>
      <c r="O3520" s="300" t="s">
        <v>987</v>
      </c>
      <c r="P3520" s="300">
        <v>6.0</v>
      </c>
    </row>
    <row r="3521">
      <c r="A3521">
        <f>IFERROR(__xludf.DUMMYFUNCTION("""COMPUTED_VALUE"""),12.0)</f>
        <v>12</v>
      </c>
      <c r="B3521">
        <f>IFERROR(__xludf.DUMMYFUNCTION("""COMPUTED_VALUE"""),26010.0)</f>
        <v>26010</v>
      </c>
      <c r="C3521" t="str">
        <f>IFERROR(__xludf.DUMMYFUNCTION("""COMPUTED_VALUE"""),"ARISTIZABAL BOLIVAR, JUAN JOSE")</f>
        <v>ARISTIZABAL BOLIVAR, JUAN JOSE</v>
      </c>
      <c r="D3521" t="str">
        <f>IFERROR(__xludf.DUMMYFUNCTION("""COMPUTED_VALUE"""),"Life Purpose")</f>
        <v>Life Purpose</v>
      </c>
      <c r="E3521" s="3">
        <f>IFERROR(__xludf.DUMMYFUNCTION("""COMPUTED_VALUE"""),3.0)</f>
        <v>3</v>
      </c>
      <c r="F3521" s="300">
        <v>1.0</v>
      </c>
      <c r="G3521" s="300">
        <v>1.0</v>
      </c>
      <c r="H3521" s="300">
        <v>1.0</v>
      </c>
      <c r="I3521" s="300">
        <v>1.0</v>
      </c>
      <c r="J3521" s="300">
        <v>1.0</v>
      </c>
      <c r="K3521" s="300">
        <v>1.0</v>
      </c>
      <c r="L3521" s="300">
        <v>1.0</v>
      </c>
      <c r="M3521" s="300">
        <v>1.0</v>
      </c>
      <c r="N3521" s="300">
        <v>8.0</v>
      </c>
      <c r="O3521" s="300" t="s">
        <v>987</v>
      </c>
      <c r="P3521" s="300">
        <v>6.0</v>
      </c>
    </row>
    <row r="3522">
      <c r="A3522">
        <f>IFERROR(__xludf.DUMMYFUNCTION("""COMPUTED_VALUE"""),12.0)</f>
        <v>12</v>
      </c>
      <c r="B3522">
        <f>IFERROR(__xludf.DUMMYFUNCTION("""COMPUTED_VALUE"""),26077.0)</f>
        <v>26077</v>
      </c>
      <c r="C3522" t="str">
        <f>IFERROR(__xludf.DUMMYFUNCTION("""COMPUTED_VALUE"""),"MORENO RESTREPO, PEDRO JUAN")</f>
        <v>MORENO RESTREPO, PEDRO JUAN</v>
      </c>
      <c r="D3522" t="str">
        <f>IFERROR(__xludf.DUMMYFUNCTION("""COMPUTED_VALUE"""),"AP Economics")</f>
        <v>AP Economics</v>
      </c>
      <c r="E3522" s="3">
        <f>IFERROR(__xludf.DUMMYFUNCTION("""COMPUTED_VALUE"""),4.0)</f>
        <v>4</v>
      </c>
      <c r="F3522" s="300">
        <v>1.0</v>
      </c>
      <c r="G3522" s="300">
        <v>1.0</v>
      </c>
      <c r="H3522" s="300">
        <v>1.0</v>
      </c>
      <c r="I3522" s="300">
        <v>1.0</v>
      </c>
      <c r="J3522" s="300">
        <v>1.0</v>
      </c>
      <c r="K3522" s="300">
        <v>1.0</v>
      </c>
      <c r="L3522" s="300">
        <v>1.0</v>
      </c>
      <c r="M3522" s="300">
        <v>1.0</v>
      </c>
      <c r="N3522" s="300">
        <v>8.0</v>
      </c>
      <c r="O3522" s="300" t="s">
        <v>977</v>
      </c>
      <c r="P3522" s="300">
        <v>4.0</v>
      </c>
    </row>
    <row r="3523">
      <c r="A3523">
        <f>IFERROR(__xludf.DUMMYFUNCTION("""COMPUTED_VALUE"""),12.0)</f>
        <v>12</v>
      </c>
      <c r="B3523">
        <f>IFERROR(__xludf.DUMMYFUNCTION("""COMPUTED_VALUE"""),26005.0)</f>
        <v>26005</v>
      </c>
      <c r="C3523" t="str">
        <f>IFERROR(__xludf.DUMMYFUNCTION("""COMPUTED_VALUE"""),"ALVAREZ MOLINA, SOFIA")</f>
        <v>ALVAREZ MOLINA, SOFIA</v>
      </c>
      <c r="D3523" t="str">
        <f>IFERROR(__xludf.DUMMYFUNCTION("""COMPUTED_VALUE"""),"AP World History")</f>
        <v>AP World History</v>
      </c>
      <c r="E3523" s="3">
        <f>IFERROR(__xludf.DUMMYFUNCTION("""COMPUTED_VALUE"""),5.0)</f>
        <v>5</v>
      </c>
      <c r="F3523" s="300">
        <v>1.0</v>
      </c>
      <c r="G3523" s="300">
        <v>1.0</v>
      </c>
      <c r="H3523" s="300">
        <v>1.0</v>
      </c>
      <c r="I3523" s="300">
        <v>1.0</v>
      </c>
      <c r="J3523" s="300">
        <v>1.0</v>
      </c>
      <c r="K3523" s="300">
        <v>1.0</v>
      </c>
      <c r="L3523" s="300">
        <v>1.0</v>
      </c>
      <c r="M3523" s="300">
        <v>1.0</v>
      </c>
      <c r="N3523" s="300">
        <v>8.0</v>
      </c>
      <c r="O3523" s="300" t="s">
        <v>974</v>
      </c>
      <c r="P3523" s="300">
        <v>2.0</v>
      </c>
    </row>
    <row r="3524">
      <c r="A3524">
        <f>IFERROR(__xludf.DUMMYFUNCTION("""COMPUTED_VALUE"""),12.0)</f>
        <v>12</v>
      </c>
      <c r="B3524">
        <f>IFERROR(__xludf.DUMMYFUNCTION("""COMPUTED_VALUE"""),26124.0)</f>
        <v>26124</v>
      </c>
      <c r="C3524" t="str">
        <f>IFERROR(__xludf.DUMMYFUNCTION("""COMPUTED_VALUE"""),"YEPES EUSSE, MATIAS")</f>
        <v>YEPES EUSSE, MATIAS</v>
      </c>
      <c r="D3524" t="str">
        <f>IFERROR(__xludf.DUMMYFUNCTION("""COMPUTED_VALUE"""),"Life Purpose")</f>
        <v>Life Purpose</v>
      </c>
      <c r="E3524" s="3">
        <f>IFERROR(__xludf.DUMMYFUNCTION("""COMPUTED_VALUE"""),3.0)</f>
        <v>3</v>
      </c>
      <c r="F3524" s="300">
        <v>1.0</v>
      </c>
      <c r="G3524" s="300">
        <v>1.0</v>
      </c>
      <c r="H3524" s="300">
        <v>1.0</v>
      </c>
      <c r="I3524" s="300">
        <v>1.0</v>
      </c>
      <c r="J3524" s="300">
        <v>1.0</v>
      </c>
      <c r="K3524" s="300">
        <v>1.0</v>
      </c>
      <c r="L3524" s="300">
        <v>1.0</v>
      </c>
      <c r="M3524" s="300">
        <v>1.0</v>
      </c>
      <c r="N3524" s="300">
        <v>8.0</v>
      </c>
      <c r="O3524" s="300" t="s">
        <v>987</v>
      </c>
      <c r="P3524" s="300">
        <v>6.0</v>
      </c>
    </row>
    <row r="3525">
      <c r="A3525">
        <f>IFERROR(__xludf.DUMMYFUNCTION("""COMPUTED_VALUE"""),12.0)</f>
        <v>12</v>
      </c>
      <c r="B3525">
        <f>IFERROR(__xludf.DUMMYFUNCTION("""COMPUTED_VALUE"""),26020.0)</f>
        <v>26020</v>
      </c>
      <c r="C3525" t="str">
        <f>IFERROR(__xludf.DUMMYFUNCTION("""COMPUTED_VALUE"""),"CALDWELL VALLEJO, JACK")</f>
        <v>CALDWELL VALLEJO, JACK</v>
      </c>
      <c r="D3525" t="str">
        <f>IFERROR(__xludf.DUMMYFUNCTION("""COMPUTED_VALUE"""),"Life Purpose")</f>
        <v>Life Purpose</v>
      </c>
      <c r="E3525" s="3">
        <f>IFERROR(__xludf.DUMMYFUNCTION("""COMPUTED_VALUE"""),6.0)</f>
        <v>6</v>
      </c>
      <c r="F3525" s="300">
        <v>1.0</v>
      </c>
      <c r="G3525" s="300">
        <v>1.0</v>
      </c>
      <c r="H3525" s="300">
        <v>1.0</v>
      </c>
      <c r="I3525" s="300">
        <v>1.0</v>
      </c>
      <c r="J3525" s="300">
        <v>1.0</v>
      </c>
      <c r="K3525" s="300">
        <v>1.0</v>
      </c>
      <c r="L3525" s="300">
        <v>1.0</v>
      </c>
      <c r="M3525" s="300">
        <v>1.0</v>
      </c>
      <c r="N3525" s="300">
        <v>8.0</v>
      </c>
      <c r="O3525" s="300" t="s">
        <v>979</v>
      </c>
      <c r="P3525" s="300">
        <v>6.0</v>
      </c>
    </row>
    <row r="3526">
      <c r="A3526">
        <f>IFERROR(__xludf.DUMMYFUNCTION("""COMPUTED_VALUE"""),12.0)</f>
        <v>12</v>
      </c>
      <c r="B3526">
        <f>IFERROR(__xludf.DUMMYFUNCTION("""COMPUTED_VALUE"""),26068.0)</f>
        <v>26068</v>
      </c>
      <c r="C3526" t="str">
        <f>IFERROR(__xludf.DUMMYFUNCTION("""COMPUTED_VALUE"""),"LOPEZ RODRIGUEZ, SARA")</f>
        <v>LOPEZ RODRIGUEZ, SARA</v>
      </c>
      <c r="D3526" t="str">
        <f>IFERROR(__xludf.DUMMYFUNCTION("""COMPUTED_VALUE"""),"Life Purpose")</f>
        <v>Life Purpose</v>
      </c>
      <c r="E3526" s="3">
        <f>IFERROR(__xludf.DUMMYFUNCTION("""COMPUTED_VALUE"""),7.0)</f>
        <v>7</v>
      </c>
      <c r="F3526" s="300">
        <v>1.0</v>
      </c>
      <c r="G3526" s="300">
        <v>1.0</v>
      </c>
      <c r="H3526" s="300">
        <v>1.0</v>
      </c>
      <c r="I3526" s="300">
        <v>1.0</v>
      </c>
      <c r="J3526" s="300">
        <v>1.0</v>
      </c>
      <c r="K3526" s="300">
        <v>1.0</v>
      </c>
      <c r="L3526" s="300">
        <v>1.0</v>
      </c>
      <c r="M3526" s="300">
        <v>1.0</v>
      </c>
      <c r="N3526" s="300">
        <v>8.0</v>
      </c>
      <c r="O3526" s="300" t="s">
        <v>984</v>
      </c>
      <c r="P3526" s="300">
        <v>6.0</v>
      </c>
    </row>
    <row r="3527">
      <c r="A3527">
        <f>IFERROR(__xludf.DUMMYFUNCTION("""COMPUTED_VALUE"""),12.0)</f>
        <v>12</v>
      </c>
      <c r="B3527">
        <f>IFERROR(__xludf.DUMMYFUNCTION("""COMPUTED_VALUE"""),26013.0)</f>
        <v>26013</v>
      </c>
      <c r="C3527" t="str">
        <f>IFERROR(__xludf.DUMMYFUNCTION("""COMPUTED_VALUE"""),"BAQUERO GARCIA, ALICIA")</f>
        <v>BAQUERO GARCIA, ALICIA</v>
      </c>
      <c r="D3527" t="str">
        <f>IFERROR(__xludf.DUMMYFUNCTION("""COMPUTED_VALUE"""),"Life Purpose")</f>
        <v>Life Purpose</v>
      </c>
      <c r="E3527" s="3">
        <f>IFERROR(__xludf.DUMMYFUNCTION("""COMPUTED_VALUE"""),6.0)</f>
        <v>6</v>
      </c>
      <c r="F3527" s="300">
        <v>1.0</v>
      </c>
      <c r="G3527" s="300">
        <v>1.0</v>
      </c>
      <c r="H3527" s="300">
        <v>1.0</v>
      </c>
      <c r="I3527" s="300">
        <v>1.0</v>
      </c>
      <c r="J3527" s="300">
        <v>1.0</v>
      </c>
      <c r="K3527" s="300">
        <v>1.0</v>
      </c>
      <c r="L3527" s="300">
        <v>1.0</v>
      </c>
      <c r="M3527" s="300">
        <v>1.0</v>
      </c>
      <c r="N3527" s="300">
        <v>8.0</v>
      </c>
      <c r="O3527" s="300" t="s">
        <v>979</v>
      </c>
      <c r="P3527" s="300">
        <v>6.0</v>
      </c>
    </row>
    <row r="3528">
      <c r="A3528">
        <f>IFERROR(__xludf.DUMMYFUNCTION("""COMPUTED_VALUE"""),12.0)</f>
        <v>12</v>
      </c>
      <c r="B3528">
        <f>IFERROR(__xludf.DUMMYFUNCTION("""COMPUTED_VALUE"""),26159.0)</f>
        <v>26159</v>
      </c>
      <c r="C3528" t="str">
        <f>IFERROR(__xludf.DUMMYFUNCTION("""COMPUTED_VALUE"""),"PETTERSSON VANEGAS, ANNIKA")</f>
        <v>PETTERSSON VANEGAS, ANNIKA</v>
      </c>
      <c r="D3528" t="str">
        <f>IFERROR(__xludf.DUMMYFUNCTION("""COMPUTED_VALUE"""),"AP Economics")</f>
        <v>AP Economics</v>
      </c>
      <c r="E3528" s="3">
        <f>IFERROR(__xludf.DUMMYFUNCTION("""COMPUTED_VALUE"""),4.0)</f>
        <v>4</v>
      </c>
      <c r="F3528" s="300">
        <v>1.0</v>
      </c>
      <c r="G3528" s="300">
        <v>1.0</v>
      </c>
      <c r="H3528" s="300">
        <v>1.0</v>
      </c>
      <c r="I3528" s="300">
        <v>1.0</v>
      </c>
      <c r="J3528" s="300">
        <v>1.0</v>
      </c>
      <c r="K3528" s="300">
        <v>1.0</v>
      </c>
      <c r="L3528" s="300">
        <v>1.0</v>
      </c>
      <c r="M3528" s="300">
        <v>1.0</v>
      </c>
      <c r="N3528" s="300">
        <v>8.0</v>
      </c>
      <c r="O3528" s="300" t="s">
        <v>977</v>
      </c>
      <c r="P3528" s="300">
        <v>4.0</v>
      </c>
    </row>
    <row r="3529">
      <c r="A3529">
        <f>IFERROR(__xludf.DUMMYFUNCTION("""COMPUTED_VALUE"""),12.0)</f>
        <v>12</v>
      </c>
      <c r="B3529">
        <f>IFERROR(__xludf.DUMMYFUNCTION("""COMPUTED_VALUE"""),26050.0)</f>
        <v>26050</v>
      </c>
      <c r="C3529" t="str">
        <f>IFERROR(__xludf.DUMMYFUNCTION("""COMPUTED_VALUE"""),"HERRERA LONDOÑO, MANUELA")</f>
        <v>HERRERA LONDOÑO, MANUELA</v>
      </c>
      <c r="D3529" t="str">
        <f>IFERROR(__xludf.DUMMYFUNCTION("""COMPUTED_VALUE"""),"Life Purpose")</f>
        <v>Life Purpose</v>
      </c>
      <c r="E3529" s="3">
        <f>IFERROR(__xludf.DUMMYFUNCTION("""COMPUTED_VALUE"""),3.0)</f>
        <v>3</v>
      </c>
      <c r="F3529" s="300">
        <v>1.0</v>
      </c>
      <c r="G3529" s="300">
        <v>1.0</v>
      </c>
      <c r="H3529" s="300">
        <v>1.0</v>
      </c>
      <c r="I3529" s="300">
        <v>1.0</v>
      </c>
      <c r="J3529" s="300">
        <v>1.0</v>
      </c>
      <c r="K3529" s="300">
        <v>1.0</v>
      </c>
      <c r="L3529" s="300">
        <v>1.0</v>
      </c>
      <c r="M3529" s="300">
        <v>1.0</v>
      </c>
      <c r="N3529" s="300">
        <v>8.0</v>
      </c>
      <c r="O3529" s="300" t="s">
        <v>987</v>
      </c>
      <c r="P3529" s="300">
        <v>6.0</v>
      </c>
    </row>
    <row r="3530">
      <c r="A3530">
        <f>IFERROR(__xludf.DUMMYFUNCTION("""COMPUTED_VALUE"""),12.0)</f>
        <v>12</v>
      </c>
      <c r="B3530">
        <f>IFERROR(__xludf.DUMMYFUNCTION("""COMPUTED_VALUE"""),26054.0)</f>
        <v>26054</v>
      </c>
      <c r="C3530" t="str">
        <f>IFERROR(__xludf.DUMMYFUNCTION("""COMPUTED_VALUE"""),"HOYOS GOMEZ, LUCIANA")</f>
        <v>HOYOS GOMEZ, LUCIANA</v>
      </c>
      <c r="D3530" t="str">
        <f>IFERROR(__xludf.DUMMYFUNCTION("""COMPUTED_VALUE"""),"Introduction to Law")</f>
        <v>Introduction to Law</v>
      </c>
      <c r="E3530" s="3">
        <f>IFERROR(__xludf.DUMMYFUNCTION("""COMPUTED_VALUE"""),4.0)</f>
        <v>4</v>
      </c>
      <c r="F3530" s="300">
        <v>1.0</v>
      </c>
      <c r="G3530" s="300">
        <v>1.0</v>
      </c>
      <c r="H3530" s="300">
        <v>1.0</v>
      </c>
      <c r="I3530" s="300">
        <v>1.0</v>
      </c>
      <c r="J3530" s="300">
        <v>1.0</v>
      </c>
      <c r="K3530" s="300">
        <v>1.0</v>
      </c>
      <c r="L3530" s="300">
        <v>1.0</v>
      </c>
      <c r="M3530" s="300">
        <v>1.0</v>
      </c>
      <c r="N3530" s="300">
        <v>8.0</v>
      </c>
      <c r="O3530" s="300" t="s">
        <v>982</v>
      </c>
      <c r="P3530" s="300">
        <v>1.0</v>
      </c>
    </row>
    <row r="3531">
      <c r="A3531">
        <f>IFERROR(__xludf.DUMMYFUNCTION("""COMPUTED_VALUE"""),12.0)</f>
        <v>12</v>
      </c>
      <c r="B3531">
        <f>IFERROR(__xludf.DUMMYFUNCTION("""COMPUTED_VALUE"""),26098.0)</f>
        <v>26098</v>
      </c>
      <c r="C3531" t="str">
        <f>IFERROR(__xludf.DUMMYFUNCTION("""COMPUTED_VALUE"""),"RESTREPO OCHOA, EMMA")</f>
        <v>RESTREPO OCHOA, EMMA</v>
      </c>
      <c r="D3531" t="str">
        <f>IFERROR(__xludf.DUMMYFUNCTION("""COMPUTED_VALUE"""),"Introduction to Law")</f>
        <v>Introduction to Law</v>
      </c>
      <c r="E3531" s="3">
        <f>IFERROR(__xludf.DUMMYFUNCTION("""COMPUTED_VALUE"""),4.0)</f>
        <v>4</v>
      </c>
      <c r="F3531" s="300">
        <v>1.0</v>
      </c>
      <c r="G3531" s="300">
        <v>1.0</v>
      </c>
      <c r="H3531" s="300">
        <v>1.0</v>
      </c>
      <c r="I3531" s="300">
        <v>1.0</v>
      </c>
      <c r="J3531" s="300">
        <v>1.0</v>
      </c>
      <c r="K3531" s="300">
        <v>1.0</v>
      </c>
      <c r="L3531" s="300">
        <v>1.0</v>
      </c>
      <c r="M3531" s="300">
        <v>1.0</v>
      </c>
      <c r="N3531" s="300">
        <v>8.0</v>
      </c>
      <c r="O3531" s="300" t="s">
        <v>982</v>
      </c>
      <c r="P3531" s="300">
        <v>1.0</v>
      </c>
    </row>
    <row r="3532">
      <c r="A3532">
        <f>IFERROR(__xludf.DUMMYFUNCTION("""COMPUTED_VALUE"""),12.0)</f>
        <v>12</v>
      </c>
      <c r="B3532">
        <f>IFERROR(__xludf.DUMMYFUNCTION("""COMPUTED_VALUE"""),26084.0)</f>
        <v>26084</v>
      </c>
      <c r="C3532" t="str">
        <f>IFERROR(__xludf.DUMMYFUNCTION("""COMPUTED_VALUE"""),"OSPINA RUIZ, PAULINA")</f>
        <v>OSPINA RUIZ, PAULINA</v>
      </c>
      <c r="D3532" t="str">
        <f>IFERROR(__xludf.DUMMYFUNCTION("""COMPUTED_VALUE"""),"Pensar nuestro tiempo")</f>
        <v>Pensar nuestro tiempo</v>
      </c>
      <c r="E3532" s="3">
        <f>IFERROR(__xludf.DUMMYFUNCTION("""COMPUTED_VALUE"""),2.0)</f>
        <v>2</v>
      </c>
      <c r="F3532" s="300">
        <v>1.0</v>
      </c>
      <c r="G3532" s="300">
        <v>1.0</v>
      </c>
      <c r="H3532" s="300">
        <v>1.0</v>
      </c>
      <c r="I3532" s="300">
        <v>1.0</v>
      </c>
      <c r="J3532" s="300">
        <v>1.0</v>
      </c>
      <c r="K3532" s="300">
        <v>1.0</v>
      </c>
      <c r="L3532" s="300">
        <v>1.0</v>
      </c>
      <c r="M3532" s="300">
        <v>1.0</v>
      </c>
      <c r="N3532" s="300">
        <v>8.0</v>
      </c>
      <c r="O3532" s="300" t="s">
        <v>976</v>
      </c>
      <c r="P3532" s="300">
        <v>1.0</v>
      </c>
    </row>
    <row r="3533">
      <c r="A3533">
        <f>IFERROR(__xludf.DUMMYFUNCTION("""COMPUTED_VALUE"""),12.0)</f>
        <v>12</v>
      </c>
      <c r="B3533">
        <f>IFERROR(__xludf.DUMMYFUNCTION("""COMPUTED_VALUE"""),26004.0)</f>
        <v>26004</v>
      </c>
      <c r="C3533" t="str">
        <f>IFERROR(__xludf.DUMMYFUNCTION("""COMPUTED_VALUE"""),"ALVAREZ GOMEZ, EMILIANA")</f>
        <v>ALVAREZ GOMEZ, EMILIANA</v>
      </c>
      <c r="D3533" t="str">
        <f>IFERROR(__xludf.DUMMYFUNCTION("""COMPUTED_VALUE"""),"Introduction to Law")</f>
        <v>Introduction to Law</v>
      </c>
      <c r="E3533" s="3">
        <f>IFERROR(__xludf.DUMMYFUNCTION("""COMPUTED_VALUE"""),4.0)</f>
        <v>4</v>
      </c>
      <c r="F3533" s="300">
        <v>1.0</v>
      </c>
      <c r="G3533" s="300">
        <v>1.0</v>
      </c>
      <c r="H3533" s="300">
        <v>1.0</v>
      </c>
      <c r="I3533" s="300">
        <v>1.0</v>
      </c>
      <c r="J3533" s="300">
        <v>1.0</v>
      </c>
      <c r="K3533" s="300">
        <v>1.0</v>
      </c>
      <c r="L3533" s="300">
        <v>1.0</v>
      </c>
      <c r="M3533" s="300">
        <v>1.0</v>
      </c>
      <c r="N3533" s="300">
        <v>8.0</v>
      </c>
      <c r="O3533" s="300" t="s">
        <v>982</v>
      </c>
      <c r="P3533" s="300">
        <v>1.0</v>
      </c>
    </row>
    <row r="3534">
      <c r="A3534">
        <f>IFERROR(__xludf.DUMMYFUNCTION("""COMPUTED_VALUE"""),12.0)</f>
        <v>12</v>
      </c>
      <c r="B3534">
        <f>IFERROR(__xludf.DUMMYFUNCTION("""COMPUTED_VALUE"""),26085.0)</f>
        <v>26085</v>
      </c>
      <c r="C3534" t="str">
        <f>IFERROR(__xludf.DUMMYFUNCTION("""COMPUTED_VALUE"""),"PALACIO RAMIREZ, SUSANA")</f>
        <v>PALACIO RAMIREZ, SUSANA</v>
      </c>
      <c r="D3534" t="str">
        <f>IFERROR(__xludf.DUMMYFUNCTION("""COMPUTED_VALUE"""),"AP Economics")</f>
        <v>AP Economics</v>
      </c>
      <c r="E3534" s="3">
        <f>IFERROR(__xludf.DUMMYFUNCTION("""COMPUTED_VALUE"""),4.0)</f>
        <v>4</v>
      </c>
      <c r="F3534" s="300">
        <v>1.0</v>
      </c>
      <c r="G3534" s="300">
        <v>1.0</v>
      </c>
      <c r="H3534" s="300">
        <v>1.0</v>
      </c>
      <c r="I3534" s="300">
        <v>1.0</v>
      </c>
      <c r="J3534" s="300">
        <v>1.0</v>
      </c>
      <c r="K3534" s="300">
        <v>1.0</v>
      </c>
      <c r="L3534" s="300">
        <v>1.0</v>
      </c>
      <c r="M3534" s="300">
        <v>1.0</v>
      </c>
      <c r="N3534" s="300">
        <v>8.0</v>
      </c>
      <c r="O3534" s="300" t="s">
        <v>977</v>
      </c>
      <c r="P3534" s="300">
        <v>4.0</v>
      </c>
    </row>
    <row r="3535">
      <c r="A3535">
        <f>IFERROR(__xludf.DUMMYFUNCTION("""COMPUTED_VALUE"""),12.0)</f>
        <v>12</v>
      </c>
      <c r="B3535">
        <f>IFERROR(__xludf.DUMMYFUNCTION("""COMPUTED_VALUE"""),26074.0)</f>
        <v>26074</v>
      </c>
      <c r="C3535" t="str">
        <f>IFERROR(__xludf.DUMMYFUNCTION("""COMPUTED_VALUE"""),"MESA GIRALDO, MARIA JOSE")</f>
        <v>MESA GIRALDO, MARIA JOSE</v>
      </c>
      <c r="D3535" t="str">
        <f>IFERROR(__xludf.DUMMYFUNCTION("""COMPUTED_VALUE"""),"Pensar nuestro tiempo")</f>
        <v>Pensar nuestro tiempo</v>
      </c>
      <c r="E3535" s="3">
        <f>IFERROR(__xludf.DUMMYFUNCTION("""COMPUTED_VALUE"""),2.0)</f>
        <v>2</v>
      </c>
      <c r="F3535" s="300">
        <v>1.0</v>
      </c>
      <c r="G3535" s="300">
        <v>1.0</v>
      </c>
      <c r="H3535" s="300">
        <v>1.0</v>
      </c>
      <c r="I3535" s="300">
        <v>1.0</v>
      </c>
      <c r="J3535" s="300">
        <v>1.0</v>
      </c>
      <c r="K3535" s="300">
        <v>1.0</v>
      </c>
      <c r="L3535" s="300">
        <v>1.0</v>
      </c>
      <c r="M3535" s="300">
        <v>1.0</v>
      </c>
      <c r="N3535" s="300">
        <v>8.0</v>
      </c>
      <c r="O3535" s="300" t="s">
        <v>976</v>
      </c>
      <c r="P3535" s="300">
        <v>1.0</v>
      </c>
    </row>
    <row r="3536">
      <c r="A3536">
        <f>IFERROR(__xludf.DUMMYFUNCTION("""COMPUTED_VALUE"""),12.0)</f>
        <v>12</v>
      </c>
      <c r="B3536">
        <f>IFERROR(__xludf.DUMMYFUNCTION("""COMPUTED_VALUE"""),26146.0)</f>
        <v>26146</v>
      </c>
      <c r="C3536" t="str">
        <f>IFERROR(__xludf.DUMMYFUNCTION("""COMPUTED_VALUE"""),"MOLINA CASAS, MARIA DEL MAR")</f>
        <v>MOLINA CASAS, MARIA DEL MAR</v>
      </c>
      <c r="D3536" t="str">
        <f>IFERROR(__xludf.DUMMYFUNCTION("""COMPUTED_VALUE"""),"AP Economics")</f>
        <v>AP Economics</v>
      </c>
      <c r="E3536" s="3">
        <f>IFERROR(__xludf.DUMMYFUNCTION("""COMPUTED_VALUE"""),4.0)</f>
        <v>4</v>
      </c>
      <c r="F3536" s="300">
        <v>1.0</v>
      </c>
      <c r="G3536" s="300">
        <v>1.0</v>
      </c>
      <c r="H3536" s="300">
        <v>1.0</v>
      </c>
      <c r="I3536" s="300">
        <v>1.0</v>
      </c>
      <c r="J3536" s="300">
        <v>1.0</v>
      </c>
      <c r="K3536" s="300">
        <v>1.0</v>
      </c>
      <c r="L3536" s="300">
        <v>1.0</v>
      </c>
      <c r="M3536" s="300">
        <v>1.0</v>
      </c>
      <c r="N3536" s="300">
        <v>8.0</v>
      </c>
      <c r="O3536" s="300" t="s">
        <v>977</v>
      </c>
      <c r="P3536" s="300">
        <v>4.0</v>
      </c>
    </row>
    <row r="3537">
      <c r="A3537">
        <f>IFERROR(__xludf.DUMMYFUNCTION("""COMPUTED_VALUE"""),12.0)</f>
        <v>12</v>
      </c>
      <c r="B3537">
        <f>IFERROR(__xludf.DUMMYFUNCTION("""COMPUTED_VALUE"""),26029.0)</f>
        <v>26029</v>
      </c>
      <c r="C3537" t="str">
        <f>IFERROR(__xludf.DUMMYFUNCTION("""COMPUTED_VALUE"""),"FAJARDO YEPES, ELISA")</f>
        <v>FAJARDO YEPES, ELISA</v>
      </c>
      <c r="D3537" t="str">
        <f>IFERROR(__xludf.DUMMYFUNCTION("""COMPUTED_VALUE"""),"Life Purpose")</f>
        <v>Life Purpose</v>
      </c>
      <c r="E3537" s="3">
        <f>IFERROR(__xludf.DUMMYFUNCTION("""COMPUTED_VALUE"""),2.0)</f>
        <v>2</v>
      </c>
      <c r="F3537" s="300">
        <v>1.0</v>
      </c>
      <c r="G3537" s="300">
        <v>1.0</v>
      </c>
      <c r="H3537" s="300">
        <v>1.0</v>
      </c>
      <c r="I3537" s="300">
        <v>1.0</v>
      </c>
      <c r="J3537" s="300">
        <v>1.0</v>
      </c>
      <c r="K3537" s="300">
        <v>1.0</v>
      </c>
      <c r="L3537" s="300">
        <v>1.0</v>
      </c>
      <c r="M3537" s="300">
        <v>1.0</v>
      </c>
      <c r="N3537" s="300">
        <v>8.0</v>
      </c>
      <c r="O3537" s="300" t="s">
        <v>972</v>
      </c>
      <c r="P3537" s="300">
        <v>6.0</v>
      </c>
    </row>
    <row r="3538">
      <c r="A3538">
        <f>IFERROR(__xludf.DUMMYFUNCTION("""COMPUTED_VALUE"""),12.0)</f>
        <v>12</v>
      </c>
      <c r="B3538">
        <f>IFERROR(__xludf.DUMMYFUNCTION("""COMPUTED_VALUE"""),26092.0)</f>
        <v>26092</v>
      </c>
      <c r="C3538" t="str">
        <f>IFERROR(__xludf.DUMMYFUNCTION("""COMPUTED_VALUE"""),"PLATA BOLAÑOS, SOFIA")</f>
        <v>PLATA BOLAÑOS, SOFIA</v>
      </c>
      <c r="D3538" t="str">
        <f>IFERROR(__xludf.DUMMYFUNCTION("""COMPUTED_VALUE"""),"Life Purpose")</f>
        <v>Life Purpose</v>
      </c>
      <c r="E3538" s="3">
        <f>IFERROR(__xludf.DUMMYFUNCTION("""COMPUTED_VALUE"""),3.0)</f>
        <v>3</v>
      </c>
      <c r="F3538" s="300">
        <v>1.0</v>
      </c>
      <c r="G3538" s="300">
        <v>1.0</v>
      </c>
      <c r="H3538" s="300">
        <v>1.0</v>
      </c>
      <c r="I3538" s="300">
        <v>1.0</v>
      </c>
      <c r="J3538" s="300">
        <v>1.0</v>
      </c>
      <c r="K3538" s="300">
        <v>1.0</v>
      </c>
      <c r="L3538" s="300">
        <v>1.0</v>
      </c>
      <c r="M3538" s="300">
        <v>1.0</v>
      </c>
      <c r="N3538" s="300">
        <v>8.0</v>
      </c>
      <c r="O3538" s="300" t="s">
        <v>987</v>
      </c>
      <c r="P3538" s="300">
        <v>6.0</v>
      </c>
    </row>
    <row r="3539">
      <c r="A3539">
        <f>IFERROR(__xludf.DUMMYFUNCTION("""COMPUTED_VALUE"""),12.0)</f>
        <v>12</v>
      </c>
      <c r="B3539">
        <f>IFERROR(__xludf.DUMMYFUNCTION("""COMPUTED_VALUE"""),26136.0)</f>
        <v>26136</v>
      </c>
      <c r="C3539" t="str">
        <f>IFERROR(__xludf.DUMMYFUNCTION("""COMPUTED_VALUE"""),"VASQUEZ MUÑOZ, MANUELA")</f>
        <v>VASQUEZ MUÑOZ, MANUELA</v>
      </c>
      <c r="D3539" t="str">
        <f>IFERROR(__xludf.DUMMYFUNCTION("""COMPUTED_VALUE"""),"Pensar nuestro tiempo")</f>
        <v>Pensar nuestro tiempo</v>
      </c>
      <c r="E3539" s="3">
        <f>IFERROR(__xludf.DUMMYFUNCTION("""COMPUTED_VALUE"""),2.0)</f>
        <v>2</v>
      </c>
      <c r="F3539" s="300">
        <v>1.0</v>
      </c>
      <c r="G3539" s="300">
        <v>1.0</v>
      </c>
      <c r="H3539" s="300">
        <v>1.0</v>
      </c>
      <c r="I3539" s="300">
        <v>1.0</v>
      </c>
      <c r="J3539" s="300">
        <v>1.0</v>
      </c>
      <c r="K3539" s="300">
        <v>1.0</v>
      </c>
      <c r="L3539" s="300">
        <v>1.0</v>
      </c>
      <c r="M3539" s="300">
        <v>1.0</v>
      </c>
      <c r="N3539" s="300">
        <v>8.0</v>
      </c>
      <c r="O3539" s="300" t="s">
        <v>976</v>
      </c>
      <c r="P3539" s="300">
        <v>1.0</v>
      </c>
    </row>
    <row r="3540">
      <c r="A3540">
        <f>IFERROR(__xludf.DUMMYFUNCTION("""COMPUTED_VALUE"""),12.0)</f>
        <v>12</v>
      </c>
      <c r="B3540">
        <f>IFERROR(__xludf.DUMMYFUNCTION("""COMPUTED_VALUE"""),26170.0)</f>
        <v>26170</v>
      </c>
      <c r="C3540" t="str">
        <f>IFERROR(__xludf.DUMMYFUNCTION("""COMPUTED_VALUE"""),"BOTERO SPERA, EMMA")</f>
        <v>BOTERO SPERA, EMMA</v>
      </c>
      <c r="D3540" t="str">
        <f>IFERROR(__xludf.DUMMYFUNCTION("""COMPUTED_VALUE"""),"Introduction to Law")</f>
        <v>Introduction to Law</v>
      </c>
      <c r="E3540" s="3">
        <f>IFERROR(__xludf.DUMMYFUNCTION("""COMPUTED_VALUE"""),4.0)</f>
        <v>4</v>
      </c>
      <c r="F3540" s="300">
        <v>1.0</v>
      </c>
      <c r="G3540" s="300">
        <v>1.0</v>
      </c>
      <c r="H3540" s="300">
        <v>1.0</v>
      </c>
      <c r="I3540" s="300">
        <v>1.0</v>
      </c>
      <c r="J3540" s="300">
        <v>1.0</v>
      </c>
      <c r="K3540" s="300">
        <v>1.0</v>
      </c>
      <c r="L3540" s="300">
        <v>1.0</v>
      </c>
      <c r="M3540" s="300">
        <v>1.0</v>
      </c>
      <c r="N3540" s="300">
        <v>8.0</v>
      </c>
      <c r="O3540" s="300" t="s">
        <v>982</v>
      </c>
      <c r="P3540" s="300">
        <v>1.0</v>
      </c>
    </row>
    <row r="3541">
      <c r="A3541">
        <f>IFERROR(__xludf.DUMMYFUNCTION("""COMPUTED_VALUE"""),12.0)</f>
        <v>12</v>
      </c>
      <c r="B3541">
        <f>IFERROR(__xludf.DUMMYFUNCTION("""COMPUTED_VALUE"""),26093.0)</f>
        <v>26093</v>
      </c>
      <c r="C3541" t="str">
        <f>IFERROR(__xludf.DUMMYFUNCTION("""COMPUTED_VALUE"""),"PUERTA PAZ, JUANITA")</f>
        <v>PUERTA PAZ, JUANITA</v>
      </c>
      <c r="D3541" t="str">
        <f>IFERROR(__xludf.DUMMYFUNCTION("""COMPUTED_VALUE"""),"Pensar nuestro tiempo")</f>
        <v>Pensar nuestro tiempo</v>
      </c>
      <c r="E3541" s="3">
        <f>IFERROR(__xludf.DUMMYFUNCTION("""COMPUTED_VALUE"""),2.0)</f>
        <v>2</v>
      </c>
      <c r="F3541" s="300">
        <v>1.0</v>
      </c>
      <c r="G3541" s="300">
        <v>1.0</v>
      </c>
      <c r="H3541" s="300">
        <v>1.0</v>
      </c>
      <c r="I3541" s="300">
        <v>1.0</v>
      </c>
      <c r="J3541" s="300">
        <v>1.0</v>
      </c>
      <c r="K3541" s="300">
        <v>1.0</v>
      </c>
      <c r="L3541" s="300">
        <v>1.0</v>
      </c>
      <c r="M3541" s="300">
        <v>1.0</v>
      </c>
      <c r="N3541" s="300">
        <v>8.0</v>
      </c>
      <c r="O3541" s="300" t="s">
        <v>976</v>
      </c>
      <c r="P3541" s="300">
        <v>1.0</v>
      </c>
    </row>
    <row r="3542">
      <c r="A3542">
        <f>IFERROR(__xludf.DUMMYFUNCTION("""COMPUTED_VALUE"""),12.0)</f>
        <v>12</v>
      </c>
      <c r="B3542">
        <f>IFERROR(__xludf.DUMMYFUNCTION("""COMPUTED_VALUE"""),26055.0)</f>
        <v>26055</v>
      </c>
      <c r="C3542" t="str">
        <f>IFERROR(__xludf.DUMMYFUNCTION("""COMPUTED_VALUE"""),"ISAZA CADAVID, RAQUEL")</f>
        <v>ISAZA CADAVID, RAQUEL</v>
      </c>
      <c r="D3542" t="str">
        <f>IFERROR(__xludf.DUMMYFUNCTION("""COMPUTED_VALUE"""),"Pensar nuestro tiempo")</f>
        <v>Pensar nuestro tiempo</v>
      </c>
      <c r="E3542" s="3">
        <f>IFERROR(__xludf.DUMMYFUNCTION("""COMPUTED_VALUE"""),2.0)</f>
        <v>2</v>
      </c>
      <c r="F3542" s="300">
        <v>1.0</v>
      </c>
      <c r="G3542" s="300">
        <v>1.0</v>
      </c>
      <c r="H3542" s="300">
        <v>1.0</v>
      </c>
      <c r="I3542" s="300">
        <v>1.0</v>
      </c>
      <c r="J3542" s="300">
        <v>1.0</v>
      </c>
      <c r="K3542" s="300">
        <v>1.0</v>
      </c>
      <c r="L3542" s="300">
        <v>1.0</v>
      </c>
      <c r="M3542" s="300">
        <v>1.0</v>
      </c>
      <c r="N3542" s="300">
        <v>8.0</v>
      </c>
      <c r="O3542" s="300" t="s">
        <v>976</v>
      </c>
      <c r="P3542" s="300">
        <v>1.0</v>
      </c>
    </row>
    <row r="3543">
      <c r="A3543">
        <f>IFERROR(__xludf.DUMMYFUNCTION("""COMPUTED_VALUE"""),12.0)</f>
        <v>12</v>
      </c>
      <c r="B3543">
        <f>IFERROR(__xludf.DUMMYFUNCTION("""COMPUTED_VALUE"""),26060.0)</f>
        <v>26060</v>
      </c>
      <c r="C3543" t="str">
        <f>IFERROR(__xludf.DUMMYFUNCTION("""COMPUTED_VALUE"""),"JARAMILLO OSPINA, ANTONIA")</f>
        <v>JARAMILLO OSPINA, ANTONIA</v>
      </c>
      <c r="D3543" t="str">
        <f>IFERROR(__xludf.DUMMYFUNCTION("""COMPUTED_VALUE"""),"Life Purpose")</f>
        <v>Life Purpose</v>
      </c>
      <c r="E3543" s="3">
        <f>IFERROR(__xludf.DUMMYFUNCTION("""COMPUTED_VALUE"""),6.0)</f>
        <v>6</v>
      </c>
      <c r="F3543" s="300">
        <v>1.0</v>
      </c>
      <c r="G3543" s="300">
        <v>1.0</v>
      </c>
      <c r="H3543" s="300">
        <v>1.0</v>
      </c>
      <c r="I3543" s="300">
        <v>1.0</v>
      </c>
      <c r="J3543" s="300">
        <v>1.0</v>
      </c>
      <c r="K3543" s="300">
        <v>1.0</v>
      </c>
      <c r="L3543" s="300">
        <v>1.0</v>
      </c>
      <c r="M3543" s="300">
        <v>1.0</v>
      </c>
      <c r="N3543" s="300">
        <v>8.0</v>
      </c>
      <c r="O3543" s="300" t="s">
        <v>979</v>
      </c>
      <c r="P3543" s="300">
        <v>6.0</v>
      </c>
    </row>
    <row r="3544">
      <c r="A3544">
        <f>IFERROR(__xludf.DUMMYFUNCTION("""COMPUTED_VALUE"""),12.0)</f>
        <v>12</v>
      </c>
      <c r="B3544">
        <f>IFERROR(__xludf.DUMMYFUNCTION("""COMPUTED_VALUE"""),26134.0)</f>
        <v>26134</v>
      </c>
      <c r="C3544" t="str">
        <f>IFERROR(__xludf.DUMMYFUNCTION("""COMPUTED_VALUE"""),"BOHORQUEZ GOMEZ, GABRIELA")</f>
        <v>BOHORQUEZ GOMEZ, GABRIELA</v>
      </c>
      <c r="D3544" t="str">
        <f>IFERROR(__xludf.DUMMYFUNCTION("""COMPUTED_VALUE"""),"Life Purpose")</f>
        <v>Life Purpose</v>
      </c>
      <c r="E3544" s="3">
        <f>IFERROR(__xludf.DUMMYFUNCTION("""COMPUTED_VALUE"""),2.0)</f>
        <v>2</v>
      </c>
      <c r="F3544" s="300">
        <v>1.0</v>
      </c>
      <c r="G3544" s="300">
        <v>1.0</v>
      </c>
      <c r="H3544" s="300">
        <v>1.0</v>
      </c>
      <c r="I3544" s="300">
        <v>1.0</v>
      </c>
      <c r="J3544" s="300">
        <v>1.0</v>
      </c>
      <c r="K3544" s="300">
        <v>1.0</v>
      </c>
      <c r="L3544" s="300">
        <v>1.0</v>
      </c>
      <c r="M3544" s="300">
        <v>1.0</v>
      </c>
      <c r="N3544" s="300">
        <v>8.0</v>
      </c>
      <c r="O3544" s="300" t="s">
        <v>972</v>
      </c>
      <c r="P3544" s="300">
        <v>6.0</v>
      </c>
    </row>
    <row r="3545">
      <c r="A3545">
        <f>IFERROR(__xludf.DUMMYFUNCTION("""COMPUTED_VALUE"""),12.0)</f>
        <v>12</v>
      </c>
      <c r="B3545">
        <f>IFERROR(__xludf.DUMMYFUNCTION("""COMPUTED_VALUE"""),26143.0)</f>
        <v>26143</v>
      </c>
      <c r="C3545" t="str">
        <f>IFERROR(__xludf.DUMMYFUNCTION("""COMPUTED_VALUE"""),"BEDOYA JIMENEZ, SEBASTIAN")</f>
        <v>BEDOYA JIMENEZ, SEBASTIAN</v>
      </c>
      <c r="D3545" t="str">
        <f>IFERROR(__xludf.DUMMYFUNCTION("""COMPUTED_VALUE"""),"Life Purpose")</f>
        <v>Life Purpose</v>
      </c>
      <c r="E3545" s="3">
        <f>IFERROR(__xludf.DUMMYFUNCTION("""COMPUTED_VALUE"""),6.0)</f>
        <v>6</v>
      </c>
      <c r="F3545" s="300">
        <v>1.0</v>
      </c>
      <c r="G3545" s="300">
        <v>1.0</v>
      </c>
      <c r="H3545" s="300">
        <v>1.0</v>
      </c>
      <c r="I3545" s="300">
        <v>1.0</v>
      </c>
      <c r="J3545" s="300">
        <v>1.0</v>
      </c>
      <c r="K3545" s="300">
        <v>1.0</v>
      </c>
      <c r="L3545" s="300">
        <v>1.0</v>
      </c>
      <c r="M3545" s="300">
        <v>1.0</v>
      </c>
      <c r="N3545" s="300">
        <v>8.0</v>
      </c>
      <c r="O3545" s="300" t="s">
        <v>979</v>
      </c>
      <c r="P3545" s="300">
        <v>6.0</v>
      </c>
    </row>
    <row r="3546">
      <c r="A3546">
        <f>IFERROR(__xludf.DUMMYFUNCTION("""COMPUTED_VALUE"""),12.0)</f>
        <v>12</v>
      </c>
      <c r="B3546">
        <f>IFERROR(__xludf.DUMMYFUNCTION("""COMPUTED_VALUE"""),26063.0)</f>
        <v>26063</v>
      </c>
      <c r="C3546" t="str">
        <f>IFERROR(__xludf.DUMMYFUNCTION("""COMPUTED_VALUE"""),"KIM LEE, SAE-YOUNG PABLO")</f>
        <v>KIM LEE, SAE-YOUNG PABLO</v>
      </c>
      <c r="D3546" t="str">
        <f>IFERROR(__xludf.DUMMYFUNCTION("""COMPUTED_VALUE"""),"Life Purpose")</f>
        <v>Life Purpose</v>
      </c>
      <c r="E3546" s="3">
        <f>IFERROR(__xludf.DUMMYFUNCTION("""COMPUTED_VALUE"""),6.0)</f>
        <v>6</v>
      </c>
      <c r="F3546" s="300">
        <v>1.0</v>
      </c>
      <c r="G3546" s="300">
        <v>1.0</v>
      </c>
      <c r="H3546" s="300">
        <v>1.0</v>
      </c>
      <c r="I3546" s="300">
        <v>1.0</v>
      </c>
      <c r="J3546" s="300">
        <v>1.0</v>
      </c>
      <c r="K3546" s="300">
        <v>1.0</v>
      </c>
      <c r="L3546" s="300">
        <v>1.0</v>
      </c>
      <c r="M3546" s="300">
        <v>1.0</v>
      </c>
      <c r="N3546" s="300">
        <v>8.0</v>
      </c>
      <c r="O3546" s="300" t="s">
        <v>979</v>
      </c>
      <c r="P3546" s="300">
        <v>6.0</v>
      </c>
    </row>
    <row r="3547">
      <c r="A3547">
        <f>IFERROR(__xludf.DUMMYFUNCTION("""COMPUTED_VALUE"""),12.0)</f>
        <v>12</v>
      </c>
      <c r="B3547">
        <f>IFERROR(__xludf.DUMMYFUNCTION("""COMPUTED_VALUE"""),26018.0)</f>
        <v>26018</v>
      </c>
      <c r="C3547" t="str">
        <f>IFERROR(__xludf.DUMMYFUNCTION("""COMPUTED_VALUE"""),"BOTERO TOQUICA, REBECA")</f>
        <v>BOTERO TOQUICA, REBECA</v>
      </c>
      <c r="D3547" t="str">
        <f>IFERROR(__xludf.DUMMYFUNCTION("""COMPUTED_VALUE"""),"Life Purpose")</f>
        <v>Life Purpose</v>
      </c>
      <c r="E3547" s="3">
        <f>IFERROR(__xludf.DUMMYFUNCTION("""COMPUTED_VALUE"""),1.0)</f>
        <v>1</v>
      </c>
      <c r="F3547" s="300">
        <v>1.0</v>
      </c>
      <c r="G3547" s="300">
        <v>1.0</v>
      </c>
      <c r="H3547" s="300">
        <v>1.0</v>
      </c>
      <c r="I3547" s="300">
        <v>1.0</v>
      </c>
      <c r="J3547" s="300">
        <v>1.0</v>
      </c>
      <c r="K3547" s="300">
        <v>1.0</v>
      </c>
      <c r="L3547" s="300">
        <v>1.0</v>
      </c>
      <c r="M3547" s="300">
        <v>1.0</v>
      </c>
      <c r="N3547" s="300">
        <v>8.0</v>
      </c>
      <c r="O3547" s="300" t="s">
        <v>986</v>
      </c>
      <c r="P3547" s="300">
        <v>6.0</v>
      </c>
    </row>
    <row r="3548">
      <c r="A3548">
        <f>IFERROR(__xludf.DUMMYFUNCTION("""COMPUTED_VALUE"""),12.0)</f>
        <v>12</v>
      </c>
      <c r="B3548">
        <f>IFERROR(__xludf.DUMMYFUNCTION("""COMPUTED_VALUE"""),26087.0)</f>
        <v>26087</v>
      </c>
      <c r="C3548" t="str">
        <f>IFERROR(__xludf.DUMMYFUNCTION("""COMPUTED_VALUE"""),"PELAEZ BORDA, ELIAS")</f>
        <v>PELAEZ BORDA, ELIAS</v>
      </c>
      <c r="D3548" t="str">
        <f>IFERROR(__xludf.DUMMYFUNCTION("""COMPUTED_VALUE"""),"Life Purpose")</f>
        <v>Life Purpose</v>
      </c>
      <c r="E3548" s="3">
        <f>IFERROR(__xludf.DUMMYFUNCTION("""COMPUTED_VALUE"""),6.0)</f>
        <v>6</v>
      </c>
      <c r="F3548" s="300">
        <v>1.0</v>
      </c>
      <c r="G3548" s="300">
        <v>1.0</v>
      </c>
      <c r="H3548" s="300">
        <v>1.0</v>
      </c>
      <c r="I3548" s="300">
        <v>1.0</v>
      </c>
      <c r="J3548" s="300">
        <v>1.0</v>
      </c>
      <c r="K3548" s="300">
        <v>1.0</v>
      </c>
      <c r="L3548" s="300">
        <v>1.0</v>
      </c>
      <c r="M3548" s="300">
        <v>1.0</v>
      </c>
      <c r="N3548" s="300">
        <v>8.0</v>
      </c>
      <c r="O3548" s="300" t="s">
        <v>979</v>
      </c>
      <c r="P3548" s="300">
        <v>6.0</v>
      </c>
    </row>
    <row r="3549">
      <c r="A3549">
        <f>IFERROR(__xludf.DUMMYFUNCTION("""COMPUTED_VALUE"""),12.0)</f>
        <v>12</v>
      </c>
      <c r="B3549">
        <f>IFERROR(__xludf.DUMMYFUNCTION("""COMPUTED_VALUE"""),26065.0)</f>
        <v>26065</v>
      </c>
      <c r="C3549" t="str">
        <f>IFERROR(__xludf.DUMMYFUNCTION("""COMPUTED_VALUE"""),"LONDOÑO CONGOTE, SANTIAGO")</f>
        <v>LONDOÑO CONGOTE, SANTIAGO</v>
      </c>
      <c r="D3549" t="str">
        <f>IFERROR(__xludf.DUMMYFUNCTION("""COMPUTED_VALUE"""),"Life Purpose")</f>
        <v>Life Purpose</v>
      </c>
      <c r="E3549" s="3">
        <f>IFERROR(__xludf.DUMMYFUNCTION("""COMPUTED_VALUE"""),3.0)</f>
        <v>3</v>
      </c>
      <c r="F3549" s="300">
        <v>1.0</v>
      </c>
      <c r="G3549" s="300">
        <v>1.0</v>
      </c>
      <c r="H3549" s="300">
        <v>1.0</v>
      </c>
      <c r="I3549" s="300">
        <v>1.0</v>
      </c>
      <c r="J3549" s="300">
        <v>1.0</v>
      </c>
      <c r="K3549" s="300">
        <v>1.0</v>
      </c>
      <c r="L3549" s="300">
        <v>1.0</v>
      </c>
      <c r="M3549" s="300">
        <v>1.0</v>
      </c>
      <c r="N3549" s="300">
        <v>8.0</v>
      </c>
      <c r="O3549" s="300" t="s">
        <v>987</v>
      </c>
      <c r="P3549" s="300">
        <v>6.0</v>
      </c>
    </row>
    <row r="3550">
      <c r="A3550">
        <f>IFERROR(__xludf.DUMMYFUNCTION("""COMPUTED_VALUE"""),12.0)</f>
        <v>12</v>
      </c>
      <c r="B3550">
        <f>IFERROR(__xludf.DUMMYFUNCTION("""COMPUTED_VALUE"""),26150.0)</f>
        <v>26150</v>
      </c>
      <c r="C3550" t="str">
        <f>IFERROR(__xludf.DUMMYFUNCTION("""COMPUTED_VALUE"""),"MOLANO MESA, CANDELARIA")</f>
        <v>MOLANO MESA, CANDELARIA</v>
      </c>
      <c r="D3550" t="str">
        <f>IFERROR(__xludf.DUMMYFUNCTION("""COMPUTED_VALUE"""),"AP Economics")</f>
        <v>AP Economics</v>
      </c>
      <c r="E3550" s="3">
        <f>IFERROR(__xludf.DUMMYFUNCTION("""COMPUTED_VALUE"""),5.0)</f>
        <v>5</v>
      </c>
      <c r="F3550" s="300">
        <v>1.0</v>
      </c>
      <c r="G3550" s="300">
        <v>1.0</v>
      </c>
      <c r="H3550" s="300">
        <v>1.0</v>
      </c>
      <c r="I3550" s="300">
        <v>1.0</v>
      </c>
      <c r="J3550" s="300">
        <v>1.0</v>
      </c>
      <c r="K3550" s="300">
        <v>1.0</v>
      </c>
      <c r="L3550" s="300">
        <v>1.0</v>
      </c>
      <c r="M3550" s="300">
        <v>1.0</v>
      </c>
      <c r="N3550" s="300">
        <v>8.0</v>
      </c>
      <c r="O3550" s="300" t="s">
        <v>975</v>
      </c>
      <c r="P3550" s="300">
        <v>4.0</v>
      </c>
    </row>
    <row r="3551">
      <c r="A3551">
        <f>IFERROR(__xludf.DUMMYFUNCTION("""COMPUTED_VALUE"""),12.0)</f>
        <v>12</v>
      </c>
      <c r="B3551">
        <f>IFERROR(__xludf.DUMMYFUNCTION("""COMPUTED_VALUE"""),26061.0)</f>
        <v>26061</v>
      </c>
      <c r="C3551" t="str">
        <f>IFERROR(__xludf.DUMMYFUNCTION("""COMPUTED_VALUE"""),"JARAMILLO RUIZ, BENJAMIN")</f>
        <v>JARAMILLO RUIZ, BENJAMIN</v>
      </c>
      <c r="D3551" t="str">
        <f>IFERROR(__xludf.DUMMYFUNCTION("""COMPUTED_VALUE"""),"Pensar nuestro tiempo")</f>
        <v>Pensar nuestro tiempo</v>
      </c>
      <c r="E3551" s="3">
        <f>IFERROR(__xludf.DUMMYFUNCTION("""COMPUTED_VALUE"""),2.0)</f>
        <v>2</v>
      </c>
      <c r="F3551" s="300">
        <v>1.0</v>
      </c>
      <c r="G3551" s="300">
        <v>1.0</v>
      </c>
      <c r="H3551" s="300">
        <v>1.0</v>
      </c>
      <c r="I3551" s="300">
        <v>1.0</v>
      </c>
      <c r="J3551" s="300">
        <v>1.0</v>
      </c>
      <c r="K3551" s="300">
        <v>1.0</v>
      </c>
      <c r="L3551" s="300">
        <v>1.0</v>
      </c>
      <c r="M3551" s="300">
        <v>1.0</v>
      </c>
      <c r="N3551" s="300">
        <v>8.0</v>
      </c>
      <c r="O3551" s="300" t="s">
        <v>976</v>
      </c>
      <c r="P3551" s="300">
        <v>1.0</v>
      </c>
    </row>
    <row r="3552">
      <c r="A3552">
        <f>IFERROR(__xludf.DUMMYFUNCTION("""COMPUTED_VALUE"""),12.0)</f>
        <v>12</v>
      </c>
      <c r="B3552">
        <f>IFERROR(__xludf.DUMMYFUNCTION("""COMPUTED_VALUE"""),26157.0)</f>
        <v>26157</v>
      </c>
      <c r="C3552" t="str">
        <f>IFERROR(__xludf.DUMMYFUNCTION("""COMPUTED_VALUE"""),"CARVAJAL PEREZ, JERONIMO")</f>
        <v>CARVAJAL PEREZ, JERONIMO</v>
      </c>
      <c r="D3552" t="str">
        <f>IFERROR(__xludf.DUMMYFUNCTION("""COMPUTED_VALUE"""),"Life Purpose")</f>
        <v>Life Purpose</v>
      </c>
      <c r="E3552" s="3">
        <f>IFERROR(__xludf.DUMMYFUNCTION("""COMPUTED_VALUE"""),3.0)</f>
        <v>3</v>
      </c>
      <c r="F3552" s="300">
        <v>1.0</v>
      </c>
      <c r="G3552" s="300">
        <v>1.0</v>
      </c>
      <c r="H3552" s="300">
        <v>1.0</v>
      </c>
      <c r="I3552" s="300">
        <v>1.0</v>
      </c>
      <c r="J3552" s="300">
        <v>1.0</v>
      </c>
      <c r="K3552" s="300">
        <v>1.0</v>
      </c>
      <c r="L3552" s="300">
        <v>1.0</v>
      </c>
      <c r="M3552" s="300">
        <v>1.0</v>
      </c>
      <c r="N3552" s="300">
        <v>8.0</v>
      </c>
      <c r="O3552" s="300" t="s">
        <v>987</v>
      </c>
      <c r="P3552" s="300">
        <v>6.0</v>
      </c>
    </row>
    <row r="3553">
      <c r="A3553">
        <f>IFERROR(__xludf.DUMMYFUNCTION("""COMPUTED_VALUE"""),12.0)</f>
        <v>12</v>
      </c>
      <c r="B3553">
        <f>IFERROR(__xludf.DUMMYFUNCTION("""COMPUTED_VALUE"""),26062.0)</f>
        <v>26062</v>
      </c>
      <c r="C3553" t="str">
        <f>IFERROR(__xludf.DUMMYFUNCTION("""COMPUTED_VALUE"""),"JIMENEZ ESCOBAR, NICOLAS")</f>
        <v>JIMENEZ ESCOBAR, NICOLAS</v>
      </c>
      <c r="D3553" t="str">
        <f>IFERROR(__xludf.DUMMYFUNCTION("""COMPUTED_VALUE"""),"Life Purpose")</f>
        <v>Life Purpose</v>
      </c>
      <c r="E3553" s="3">
        <f>IFERROR(__xludf.DUMMYFUNCTION("""COMPUTED_VALUE"""),3.0)</f>
        <v>3</v>
      </c>
      <c r="F3553" s="300">
        <v>1.0</v>
      </c>
      <c r="G3553" s="300">
        <v>1.0</v>
      </c>
      <c r="H3553" s="300">
        <v>1.0</v>
      </c>
      <c r="I3553" s="300">
        <v>1.0</v>
      </c>
      <c r="J3553" s="300">
        <v>1.0</v>
      </c>
      <c r="K3553" s="300">
        <v>1.0</v>
      </c>
      <c r="L3553" s="300">
        <v>1.0</v>
      </c>
      <c r="M3553" s="300">
        <v>1.0</v>
      </c>
      <c r="N3553" s="300">
        <v>8.0</v>
      </c>
      <c r="O3553" s="300" t="s">
        <v>987</v>
      </c>
      <c r="P3553" s="300">
        <v>6.0</v>
      </c>
    </row>
    <row r="3554">
      <c r="A3554">
        <f>IFERROR(__xludf.DUMMYFUNCTION("""COMPUTED_VALUE"""),12.0)</f>
        <v>12</v>
      </c>
      <c r="B3554">
        <f>IFERROR(__xludf.DUMMYFUNCTION("""COMPUTED_VALUE"""),26096.0)</f>
        <v>26096</v>
      </c>
      <c r="C3554" t="str">
        <f>IFERROR(__xludf.DUMMYFUNCTION("""COMPUTED_VALUE"""),"RAMOS TRUJILLO, MARIA JOSE")</f>
        <v>RAMOS TRUJILLO, MARIA JOSE</v>
      </c>
      <c r="D3554" t="str">
        <f>IFERROR(__xludf.DUMMYFUNCTION("""COMPUTED_VALUE"""),"Life Purpose")</f>
        <v>Life Purpose</v>
      </c>
      <c r="E3554" s="3">
        <f>IFERROR(__xludf.DUMMYFUNCTION("""COMPUTED_VALUE"""),7.0)</f>
        <v>7</v>
      </c>
      <c r="F3554" s="300">
        <v>1.0</v>
      </c>
      <c r="G3554" s="300">
        <v>1.0</v>
      </c>
      <c r="H3554" s="300">
        <v>1.0</v>
      </c>
      <c r="I3554" s="300">
        <v>1.0</v>
      </c>
      <c r="J3554" s="300">
        <v>1.0</v>
      </c>
      <c r="K3554" s="300">
        <v>1.0</v>
      </c>
      <c r="L3554" s="300">
        <v>1.0</v>
      </c>
      <c r="M3554" s="300">
        <v>1.0</v>
      </c>
      <c r="N3554" s="300">
        <v>8.0</v>
      </c>
      <c r="O3554" s="300" t="s">
        <v>984</v>
      </c>
      <c r="P3554" s="300">
        <v>6.0</v>
      </c>
    </row>
    <row r="3555">
      <c r="A3555">
        <f>IFERROR(__xludf.DUMMYFUNCTION("""COMPUTED_VALUE"""),12.0)</f>
        <v>12</v>
      </c>
      <c r="B3555">
        <f>IFERROR(__xludf.DUMMYFUNCTION("""COMPUTED_VALUE"""),26045.0)</f>
        <v>26045</v>
      </c>
      <c r="C3555" t="str">
        <f>IFERROR(__xludf.DUMMYFUNCTION("""COMPUTED_VALUE"""),"GRISALES PINEDA, JULIANA")</f>
        <v>GRISALES PINEDA, JULIANA</v>
      </c>
      <c r="D3555" t="str">
        <f>IFERROR(__xludf.DUMMYFUNCTION("""COMPUTED_VALUE"""),"Life Purpose")</f>
        <v>Life Purpose</v>
      </c>
      <c r="E3555" s="3">
        <f>IFERROR(__xludf.DUMMYFUNCTION("""COMPUTED_VALUE"""),1.0)</f>
        <v>1</v>
      </c>
      <c r="F3555" s="300">
        <v>1.0</v>
      </c>
      <c r="G3555" s="300">
        <v>1.0</v>
      </c>
      <c r="H3555" s="300">
        <v>1.0</v>
      </c>
      <c r="I3555" s="300">
        <v>1.0</v>
      </c>
      <c r="J3555" s="300">
        <v>1.0</v>
      </c>
      <c r="K3555" s="300">
        <v>1.0</v>
      </c>
      <c r="L3555" s="300">
        <v>1.0</v>
      </c>
      <c r="M3555" s="300">
        <v>1.0</v>
      </c>
      <c r="N3555" s="300">
        <v>8.0</v>
      </c>
      <c r="O3555" s="300" t="s">
        <v>986</v>
      </c>
      <c r="P3555" s="300">
        <v>6.0</v>
      </c>
    </row>
    <row r="3556">
      <c r="A3556">
        <f>IFERROR(__xludf.DUMMYFUNCTION("""COMPUTED_VALUE"""),12.0)</f>
        <v>12</v>
      </c>
      <c r="B3556">
        <f>IFERROR(__xludf.DUMMYFUNCTION("""COMPUTED_VALUE"""),26126.0)</f>
        <v>26126</v>
      </c>
      <c r="C3556" t="str">
        <f>IFERROR(__xludf.DUMMYFUNCTION("""COMPUTED_VALUE"""),"ZAPATA SALDARRIAGA, TOMAS")</f>
        <v>ZAPATA SALDARRIAGA, TOMAS</v>
      </c>
      <c r="D3556" t="str">
        <f>IFERROR(__xludf.DUMMYFUNCTION("""COMPUTED_VALUE"""),"Life Purpose")</f>
        <v>Life Purpose</v>
      </c>
      <c r="E3556" s="3">
        <f>IFERROR(__xludf.DUMMYFUNCTION("""COMPUTED_VALUE"""),6.0)</f>
        <v>6</v>
      </c>
      <c r="F3556" s="300">
        <v>1.0</v>
      </c>
      <c r="G3556" s="300">
        <v>1.0</v>
      </c>
      <c r="H3556" s="300">
        <v>1.0</v>
      </c>
      <c r="I3556" s="300">
        <v>1.0</v>
      </c>
      <c r="J3556" s="300">
        <v>1.0</v>
      </c>
      <c r="K3556" s="300">
        <v>1.0</v>
      </c>
      <c r="L3556" s="300">
        <v>1.0</v>
      </c>
      <c r="M3556" s="300">
        <v>1.0</v>
      </c>
      <c r="N3556" s="300">
        <v>8.0</v>
      </c>
      <c r="O3556" s="300" t="s">
        <v>979</v>
      </c>
      <c r="P3556" s="300">
        <v>6.0</v>
      </c>
    </row>
    <row r="3557">
      <c r="A3557">
        <f>IFERROR(__xludf.DUMMYFUNCTION("""COMPUTED_VALUE"""),12.0)</f>
        <v>12</v>
      </c>
      <c r="B3557">
        <f>IFERROR(__xludf.DUMMYFUNCTION("""COMPUTED_VALUE"""),26151.0)</f>
        <v>26151</v>
      </c>
      <c r="C3557" t="str">
        <f>IFERROR(__xludf.DUMMYFUNCTION("""COMPUTED_VALUE"""),"CADAVID ECHAVARRIA, SUSANA")</f>
        <v>CADAVID ECHAVARRIA, SUSANA</v>
      </c>
      <c r="D3557" t="str">
        <f>IFERROR(__xludf.DUMMYFUNCTION("""COMPUTED_VALUE"""),"Pensar nuestro tiempo")</f>
        <v>Pensar nuestro tiempo</v>
      </c>
      <c r="E3557" s="3">
        <f>IFERROR(__xludf.DUMMYFUNCTION("""COMPUTED_VALUE"""),2.0)</f>
        <v>2</v>
      </c>
      <c r="F3557" s="300">
        <v>1.0</v>
      </c>
      <c r="G3557" s="300">
        <v>1.0</v>
      </c>
      <c r="H3557" s="300">
        <v>1.0</v>
      </c>
      <c r="I3557" s="300">
        <v>1.0</v>
      </c>
      <c r="J3557" s="300">
        <v>1.0</v>
      </c>
      <c r="K3557" s="300">
        <v>1.0</v>
      </c>
      <c r="L3557" s="300">
        <v>1.0</v>
      </c>
      <c r="M3557" s="300">
        <v>1.0</v>
      </c>
      <c r="N3557" s="300">
        <v>8.0</v>
      </c>
      <c r="O3557" s="300" t="s">
        <v>976</v>
      </c>
      <c r="P3557" s="300">
        <v>1.0</v>
      </c>
    </row>
    <row r="3558">
      <c r="A3558">
        <f>IFERROR(__xludf.DUMMYFUNCTION("""COMPUTED_VALUE"""),12.0)</f>
        <v>12</v>
      </c>
      <c r="B3558">
        <f>IFERROR(__xludf.DUMMYFUNCTION("""COMPUTED_VALUE"""),26175.0)</f>
        <v>26175</v>
      </c>
      <c r="C3558" t="str">
        <f>IFERROR(__xludf.DUMMYFUNCTION("""COMPUTED_VALUE"""),"GRULLON SANTOS, DIEGO")</f>
        <v>GRULLON SANTOS, DIEGO</v>
      </c>
      <c r="D3558" t="str">
        <f>IFERROR(__xludf.DUMMYFUNCTION("""COMPUTED_VALUE"""),"Life Purpose")</f>
        <v>Life Purpose</v>
      </c>
      <c r="E3558" s="3">
        <f>IFERROR(__xludf.DUMMYFUNCTION("""COMPUTED_VALUE"""),6.0)</f>
        <v>6</v>
      </c>
      <c r="F3558" s="300">
        <v>1.0</v>
      </c>
      <c r="G3558" s="300">
        <v>1.0</v>
      </c>
      <c r="H3558" s="300">
        <v>1.0</v>
      </c>
      <c r="I3558" s="300">
        <v>1.0</v>
      </c>
      <c r="J3558" s="300">
        <v>1.0</v>
      </c>
      <c r="K3558" s="300">
        <v>1.0</v>
      </c>
      <c r="L3558" s="300">
        <v>1.0</v>
      </c>
      <c r="M3558" s="300">
        <v>1.0</v>
      </c>
      <c r="N3558" s="300">
        <v>8.0</v>
      </c>
      <c r="O3558" s="300" t="s">
        <v>979</v>
      </c>
      <c r="P3558" s="300">
        <v>6.0</v>
      </c>
    </row>
    <row r="3559">
      <c r="A3559">
        <f>IFERROR(__xludf.DUMMYFUNCTION("""COMPUTED_VALUE"""),12.0)</f>
        <v>12</v>
      </c>
      <c r="B3559">
        <f>IFERROR(__xludf.DUMMYFUNCTION("""COMPUTED_VALUE"""),26164.0)</f>
        <v>26164</v>
      </c>
      <c r="C3559" t="str">
        <f>IFERROR(__xludf.DUMMYFUNCTION("""COMPUTED_VALUE"""),"HARRIS, ROWEN IAN")</f>
        <v>HARRIS, ROWEN IAN</v>
      </c>
      <c r="D3559" t="str">
        <f>IFERROR(__xludf.DUMMYFUNCTION("""COMPUTED_VALUE"""),"AP Psychology")</f>
        <v>AP Psychology</v>
      </c>
      <c r="E3559" s="3">
        <f>IFERROR(__xludf.DUMMYFUNCTION("""COMPUTED_VALUE"""),4.0)</f>
        <v>4</v>
      </c>
      <c r="F3559" s="300">
        <v>1.0</v>
      </c>
      <c r="G3559" s="300">
        <v>1.0</v>
      </c>
      <c r="H3559" s="300">
        <v>1.0</v>
      </c>
      <c r="I3559" s="300">
        <v>1.0</v>
      </c>
      <c r="J3559" s="300">
        <v>1.0</v>
      </c>
      <c r="K3559" s="300">
        <v>1.0</v>
      </c>
      <c r="L3559" s="300">
        <v>1.0</v>
      </c>
      <c r="M3559" s="300">
        <v>1.0</v>
      </c>
      <c r="N3559" s="300">
        <v>8.0</v>
      </c>
      <c r="O3559" s="300" t="s">
        <v>981</v>
      </c>
      <c r="P3559" s="300">
        <v>2.0</v>
      </c>
    </row>
    <row r="3560">
      <c r="A3560">
        <f>IFERROR(__xludf.DUMMYFUNCTION("""COMPUTED_VALUE"""),12.0)</f>
        <v>12</v>
      </c>
      <c r="B3560">
        <f>IFERROR(__xludf.DUMMYFUNCTION("""COMPUTED_VALUE"""),26016.0)</f>
        <v>26016</v>
      </c>
      <c r="C3560" t="str">
        <f>IFERROR(__xludf.DUMMYFUNCTION("""COMPUTED_VALUE"""),"BETANCUR VILLEGAS, SOFIA")</f>
        <v>BETANCUR VILLEGAS, SOFIA</v>
      </c>
      <c r="D3560" t="str">
        <f>IFERROR(__xludf.DUMMYFUNCTION("""COMPUTED_VALUE"""),"AP World History")</f>
        <v>AP World History</v>
      </c>
      <c r="E3560" s="3">
        <f>IFERROR(__xludf.DUMMYFUNCTION("""COMPUTED_VALUE"""),6.0)</f>
        <v>6</v>
      </c>
      <c r="F3560" s="300">
        <v>1.0</v>
      </c>
      <c r="G3560" s="300">
        <v>1.0</v>
      </c>
      <c r="H3560" s="300">
        <v>1.0</v>
      </c>
      <c r="I3560" s="300">
        <v>1.0</v>
      </c>
      <c r="J3560" s="300">
        <v>1.0</v>
      </c>
      <c r="K3560" s="300">
        <v>1.0</v>
      </c>
      <c r="L3560" s="300">
        <v>1.0</v>
      </c>
      <c r="M3560" s="300">
        <v>1.0</v>
      </c>
      <c r="N3560" s="300">
        <v>8.0</v>
      </c>
      <c r="O3560" s="300" t="s">
        <v>973</v>
      </c>
      <c r="P3560" s="300">
        <v>2.0</v>
      </c>
    </row>
    <row r="3561">
      <c r="A3561">
        <f>IFERROR(__xludf.DUMMYFUNCTION("""COMPUTED_VALUE"""),12.0)</f>
        <v>12</v>
      </c>
      <c r="B3561">
        <f>IFERROR(__xludf.DUMMYFUNCTION("""COMPUTED_VALUE"""),26057.0)</f>
        <v>26057</v>
      </c>
      <c r="C3561" t="str">
        <f>IFERROR(__xludf.DUMMYFUNCTION("""COMPUTED_VALUE"""),"JARAMILLO ARANGO, AMALIA")</f>
        <v>JARAMILLO ARANGO, AMALIA</v>
      </c>
      <c r="D3561" t="str">
        <f>IFERROR(__xludf.DUMMYFUNCTION("""COMPUTED_VALUE"""),"Life Purpose")</f>
        <v>Life Purpose</v>
      </c>
      <c r="E3561" s="3">
        <f>IFERROR(__xludf.DUMMYFUNCTION("""COMPUTED_VALUE"""),6.0)</f>
        <v>6</v>
      </c>
      <c r="F3561" s="300">
        <v>1.0</v>
      </c>
      <c r="G3561" s="300">
        <v>1.0</v>
      </c>
      <c r="H3561" s="300">
        <v>1.0</v>
      </c>
      <c r="I3561" s="300">
        <v>1.0</v>
      </c>
      <c r="J3561" s="300">
        <v>1.0</v>
      </c>
      <c r="K3561" s="300">
        <v>1.0</v>
      </c>
      <c r="L3561" s="300">
        <v>1.0</v>
      </c>
      <c r="M3561" s="300">
        <v>1.0</v>
      </c>
      <c r="N3561" s="300">
        <v>8.0</v>
      </c>
      <c r="O3561" s="300" t="s">
        <v>979</v>
      </c>
      <c r="P3561" s="300">
        <v>6.0</v>
      </c>
    </row>
    <row r="3562">
      <c r="A3562">
        <f>IFERROR(__xludf.DUMMYFUNCTION("""COMPUTED_VALUE"""),12.0)</f>
        <v>12</v>
      </c>
      <c r="B3562">
        <f>IFERROR(__xludf.DUMMYFUNCTION("""COMPUTED_VALUE"""),26059.0)</f>
        <v>26059</v>
      </c>
      <c r="C3562" t="str">
        <f>IFERROR(__xludf.DUMMYFUNCTION("""COMPUTED_VALUE"""),"JARAMILLO NARANJO, SARA")</f>
        <v>JARAMILLO NARANJO, SARA</v>
      </c>
      <c r="D3562" t="str">
        <f>IFERROR(__xludf.DUMMYFUNCTION("""COMPUTED_VALUE"""),"Life Purpose")</f>
        <v>Life Purpose</v>
      </c>
      <c r="E3562" s="3">
        <f>IFERROR(__xludf.DUMMYFUNCTION("""COMPUTED_VALUE"""),3.0)</f>
        <v>3</v>
      </c>
      <c r="F3562" s="300">
        <v>1.0</v>
      </c>
      <c r="G3562" s="300">
        <v>1.0</v>
      </c>
      <c r="H3562" s="300">
        <v>1.0</v>
      </c>
      <c r="I3562" s="300">
        <v>1.0</v>
      </c>
      <c r="J3562" s="300">
        <v>1.0</v>
      </c>
      <c r="K3562" s="300">
        <v>1.0</v>
      </c>
      <c r="L3562" s="300">
        <v>1.0</v>
      </c>
      <c r="M3562" s="300">
        <v>1.0</v>
      </c>
      <c r="N3562" s="300">
        <v>8.0</v>
      </c>
      <c r="O3562" s="300" t="s">
        <v>987</v>
      </c>
      <c r="P3562" s="300">
        <v>6.0</v>
      </c>
    </row>
    <row r="3563">
      <c r="A3563">
        <f>IFERROR(__xludf.DUMMYFUNCTION("""COMPUTED_VALUE"""),12.0)</f>
        <v>12</v>
      </c>
      <c r="B3563">
        <f>IFERROR(__xludf.DUMMYFUNCTION("""COMPUTED_VALUE"""),26094.0)</f>
        <v>26094</v>
      </c>
      <c r="C3563" t="str">
        <f>IFERROR(__xludf.DUMMYFUNCTION("""COMPUTED_VALUE"""),"PULGARIN HUERTAS, AMELIA")</f>
        <v>PULGARIN HUERTAS, AMELIA</v>
      </c>
      <c r="D3563" t="str">
        <f>IFERROR(__xludf.DUMMYFUNCTION("""COMPUTED_VALUE"""),"Life Purpose")</f>
        <v>Life Purpose</v>
      </c>
      <c r="E3563" s="3">
        <f>IFERROR(__xludf.DUMMYFUNCTION("""COMPUTED_VALUE"""),3.0)</f>
        <v>3</v>
      </c>
      <c r="F3563" s="300">
        <v>1.0</v>
      </c>
      <c r="G3563" s="300">
        <v>1.0</v>
      </c>
      <c r="H3563" s="300">
        <v>1.0</v>
      </c>
      <c r="I3563" s="300">
        <v>1.0</v>
      </c>
      <c r="J3563" s="300">
        <v>1.0</v>
      </c>
      <c r="K3563" s="300">
        <v>1.0</v>
      </c>
      <c r="L3563" s="300">
        <v>1.0</v>
      </c>
      <c r="M3563" s="300">
        <v>1.0</v>
      </c>
      <c r="N3563" s="300">
        <v>8.0</v>
      </c>
      <c r="O3563" s="300" t="s">
        <v>987</v>
      </c>
      <c r="P3563" s="300">
        <v>6.0</v>
      </c>
    </row>
    <row r="3564">
      <c r="A3564">
        <f>IFERROR(__xludf.DUMMYFUNCTION("""COMPUTED_VALUE"""),12.0)</f>
        <v>12</v>
      </c>
      <c r="B3564">
        <f>IFERROR(__xludf.DUMMYFUNCTION("""COMPUTED_VALUE"""),26007.0)</f>
        <v>26007</v>
      </c>
      <c r="C3564" t="str">
        <f>IFERROR(__xludf.DUMMYFUNCTION("""COMPUTED_VALUE"""),"ARANGO ESCOBAR, JULIANA")</f>
        <v>ARANGO ESCOBAR, JULIANA</v>
      </c>
      <c r="D3564" t="str">
        <f>IFERROR(__xludf.DUMMYFUNCTION("""COMPUTED_VALUE"""),"Life Purpose")</f>
        <v>Life Purpose</v>
      </c>
      <c r="E3564" s="3">
        <f>IFERROR(__xludf.DUMMYFUNCTION("""COMPUTED_VALUE"""),8.0)</f>
        <v>8</v>
      </c>
      <c r="F3564" s="300">
        <v>1.0</v>
      </c>
      <c r="G3564" s="300">
        <v>1.0</v>
      </c>
      <c r="H3564" s="300">
        <v>1.0</v>
      </c>
      <c r="I3564" s="300">
        <v>1.0</v>
      </c>
      <c r="J3564" s="300">
        <v>1.0</v>
      </c>
      <c r="K3564" s="300">
        <v>1.0</v>
      </c>
      <c r="L3564" s="300">
        <v>1.0</v>
      </c>
      <c r="M3564" s="300">
        <v>1.0</v>
      </c>
      <c r="N3564" s="300">
        <v>8.0</v>
      </c>
      <c r="O3564" s="300" t="s">
        <v>978</v>
      </c>
      <c r="P3564" s="300">
        <v>6.0</v>
      </c>
    </row>
    <row r="3565">
      <c r="A3565">
        <f>IFERROR(__xludf.DUMMYFUNCTION("""COMPUTED_VALUE"""),12.0)</f>
        <v>12</v>
      </c>
      <c r="B3565">
        <f>IFERROR(__xludf.DUMMYFUNCTION("""COMPUTED_VALUE"""),26176.0)</f>
        <v>26176</v>
      </c>
      <c r="C3565" t="str">
        <f>IFERROR(__xludf.DUMMYFUNCTION("""COMPUTED_VALUE"""),"FORTICH ANGULO, SERGIO")</f>
        <v>FORTICH ANGULO, SERGIO</v>
      </c>
      <c r="D3565" t="str">
        <f>IFERROR(__xludf.DUMMYFUNCTION("""COMPUTED_VALUE"""),"Introduction to Law")</f>
        <v>Introduction to Law</v>
      </c>
      <c r="E3565" s="3">
        <f>IFERROR(__xludf.DUMMYFUNCTION("""COMPUTED_VALUE"""),4.0)</f>
        <v>4</v>
      </c>
      <c r="F3565" s="300">
        <v>1.0</v>
      </c>
      <c r="G3565" s="300">
        <v>1.0</v>
      </c>
      <c r="H3565" s="300">
        <v>1.0</v>
      </c>
      <c r="I3565" s="300">
        <v>1.0</v>
      </c>
      <c r="J3565" s="300">
        <v>1.0</v>
      </c>
      <c r="K3565" s="300">
        <v>1.0</v>
      </c>
      <c r="L3565" s="300">
        <v>1.0</v>
      </c>
      <c r="M3565" s="300">
        <v>1.0</v>
      </c>
      <c r="N3565" s="300">
        <v>8.0</v>
      </c>
      <c r="O3565" s="300" t="s">
        <v>982</v>
      </c>
      <c r="P3565" s="300">
        <v>1.0</v>
      </c>
    </row>
    <row r="3566">
      <c r="A3566">
        <f>IFERROR(__xludf.DUMMYFUNCTION("""COMPUTED_VALUE"""),12.0)</f>
        <v>12</v>
      </c>
      <c r="B3566">
        <f>IFERROR(__xludf.DUMMYFUNCTION("""COMPUTED_VALUE"""),26070.0)</f>
        <v>26070</v>
      </c>
      <c r="C3566" t="str">
        <f>IFERROR(__xludf.DUMMYFUNCTION("""COMPUTED_VALUE"""),"MEJIA MEJIA, LUCAS")</f>
        <v>MEJIA MEJIA, LUCAS</v>
      </c>
      <c r="D3566" t="str">
        <f>IFERROR(__xludf.DUMMYFUNCTION("""COMPUTED_VALUE"""),"Introduction to Law")</f>
        <v>Introduction to Law</v>
      </c>
      <c r="E3566" s="3">
        <f>IFERROR(__xludf.DUMMYFUNCTION("""COMPUTED_VALUE"""),4.0)</f>
        <v>4</v>
      </c>
      <c r="F3566" s="300">
        <v>1.0</v>
      </c>
      <c r="G3566" s="300">
        <v>1.0</v>
      </c>
      <c r="H3566" s="300">
        <v>1.0</v>
      </c>
      <c r="I3566" s="300">
        <v>1.0</v>
      </c>
      <c r="J3566" s="300">
        <v>1.0</v>
      </c>
      <c r="K3566" s="300">
        <v>1.0</v>
      </c>
      <c r="L3566" s="300">
        <v>1.0</v>
      </c>
      <c r="M3566" s="300">
        <v>1.0</v>
      </c>
      <c r="N3566" s="300">
        <v>8.0</v>
      </c>
      <c r="O3566" s="300" t="s">
        <v>982</v>
      </c>
      <c r="P3566" s="300">
        <v>1.0</v>
      </c>
    </row>
    <row r="3567">
      <c r="A3567">
        <f>IFERROR(__xludf.DUMMYFUNCTION("""COMPUTED_VALUE"""),12.0)</f>
        <v>12</v>
      </c>
      <c r="B3567">
        <f>IFERROR(__xludf.DUMMYFUNCTION("""COMPUTED_VALUE"""),26052.0)</f>
        <v>26052</v>
      </c>
      <c r="C3567" t="str">
        <f>IFERROR(__xludf.DUMMYFUNCTION("""COMPUTED_VALUE"""),"HINESTROSA SIERRA, AMALIA")</f>
        <v>HINESTROSA SIERRA, AMALIA</v>
      </c>
      <c r="D3567" t="str">
        <f>IFERROR(__xludf.DUMMYFUNCTION("""COMPUTED_VALUE"""),"Life Purpose")</f>
        <v>Life Purpose</v>
      </c>
      <c r="E3567" s="3">
        <f>IFERROR(__xludf.DUMMYFUNCTION("""COMPUTED_VALUE"""),6.0)</f>
        <v>6</v>
      </c>
      <c r="F3567" s="300">
        <v>1.0</v>
      </c>
      <c r="G3567" s="300">
        <v>1.0</v>
      </c>
      <c r="H3567" s="300">
        <v>1.0</v>
      </c>
      <c r="I3567" s="300">
        <v>1.0</v>
      </c>
      <c r="J3567" s="300">
        <v>1.0</v>
      </c>
      <c r="K3567" s="300">
        <v>1.0</v>
      </c>
      <c r="L3567" s="300">
        <v>1.0</v>
      </c>
      <c r="M3567" s="300">
        <v>1.0</v>
      </c>
      <c r="N3567" s="300">
        <v>8.0</v>
      </c>
      <c r="O3567" s="300" t="s">
        <v>979</v>
      </c>
      <c r="P3567" s="300">
        <v>6.0</v>
      </c>
    </row>
    <row r="3568">
      <c r="A3568">
        <f>IFERROR(__xludf.DUMMYFUNCTION("""COMPUTED_VALUE"""),12.0)</f>
        <v>12</v>
      </c>
      <c r="B3568">
        <f>IFERROR(__xludf.DUMMYFUNCTION("""COMPUTED_VALUE"""),26123.0)</f>
        <v>26123</v>
      </c>
      <c r="C3568" t="str">
        <f>IFERROR(__xludf.DUMMYFUNCTION("""COMPUTED_VALUE"""),"WOLFF RAMIREZ, MARIA")</f>
        <v>WOLFF RAMIREZ, MARIA</v>
      </c>
      <c r="D3568" t="str">
        <f>IFERROR(__xludf.DUMMYFUNCTION("""COMPUTED_VALUE"""),"Life Purpose")</f>
        <v>Life Purpose</v>
      </c>
      <c r="E3568" s="3">
        <f>IFERROR(__xludf.DUMMYFUNCTION("""COMPUTED_VALUE"""),7.0)</f>
        <v>7</v>
      </c>
      <c r="F3568" s="300">
        <v>1.0</v>
      </c>
      <c r="G3568" s="300">
        <v>1.0</v>
      </c>
      <c r="H3568" s="300">
        <v>1.0</v>
      </c>
      <c r="I3568" s="300">
        <v>1.0</v>
      </c>
      <c r="J3568" s="300">
        <v>1.0</v>
      </c>
      <c r="K3568" s="300">
        <v>1.0</v>
      </c>
      <c r="L3568" s="300">
        <v>1.0</v>
      </c>
      <c r="M3568" s="300">
        <v>1.0</v>
      </c>
      <c r="N3568" s="300">
        <v>8.0</v>
      </c>
      <c r="O3568" s="300" t="s">
        <v>984</v>
      </c>
      <c r="P3568" s="300">
        <v>6.0</v>
      </c>
    </row>
    <row r="3569">
      <c r="A3569">
        <f>IFERROR(__xludf.DUMMYFUNCTION("""COMPUTED_VALUE"""),12.0)</f>
        <v>12</v>
      </c>
      <c r="B3569">
        <f>IFERROR(__xludf.DUMMYFUNCTION("""COMPUTED_VALUE"""),26042.0)</f>
        <v>26042</v>
      </c>
      <c r="C3569" t="str">
        <f>IFERROR(__xludf.DUMMYFUNCTION("""COMPUTED_VALUE"""),"GOMEZ VELEZ, MIGUEL")</f>
        <v>GOMEZ VELEZ, MIGUEL</v>
      </c>
      <c r="D3569" t="str">
        <f>IFERROR(__xludf.DUMMYFUNCTION("""COMPUTED_VALUE"""),"Life Purpose")</f>
        <v>Life Purpose</v>
      </c>
      <c r="E3569" s="3">
        <f>IFERROR(__xludf.DUMMYFUNCTION("""COMPUTED_VALUE"""),6.0)</f>
        <v>6</v>
      </c>
      <c r="F3569" s="300">
        <v>1.0</v>
      </c>
      <c r="G3569" s="300">
        <v>1.0</v>
      </c>
      <c r="H3569" s="300">
        <v>1.0</v>
      </c>
      <c r="I3569" s="300">
        <v>1.0</v>
      </c>
      <c r="J3569" s="300">
        <v>1.0</v>
      </c>
      <c r="K3569" s="300">
        <v>1.0</v>
      </c>
      <c r="L3569" s="300">
        <v>1.0</v>
      </c>
      <c r="M3569" s="300">
        <v>1.0</v>
      </c>
      <c r="N3569" s="300">
        <v>8.0</v>
      </c>
      <c r="O3569" s="300" t="s">
        <v>979</v>
      </c>
      <c r="P3569" s="300">
        <v>6.0</v>
      </c>
    </row>
    <row r="3570">
      <c r="A3570">
        <f>IFERROR(__xludf.DUMMYFUNCTION("""COMPUTED_VALUE"""),12.0)</f>
        <v>12</v>
      </c>
      <c r="B3570">
        <f>IFERROR(__xludf.DUMMYFUNCTION("""COMPUTED_VALUE"""),26116.0)</f>
        <v>26116</v>
      </c>
      <c r="C3570" t="str">
        <f>IFERROR(__xludf.DUMMYFUNCTION("""COMPUTED_VALUE"""),"VELEZ FERRER, AGUSTIN")</f>
        <v>VELEZ FERRER, AGUSTIN</v>
      </c>
      <c r="D3570" t="str">
        <f>IFERROR(__xludf.DUMMYFUNCTION("""COMPUTED_VALUE"""),"Introduction to Law")</f>
        <v>Introduction to Law</v>
      </c>
      <c r="E3570" s="3">
        <f>IFERROR(__xludf.DUMMYFUNCTION("""COMPUTED_VALUE"""),4.0)</f>
        <v>4</v>
      </c>
      <c r="F3570" s="300">
        <v>1.0</v>
      </c>
      <c r="G3570" s="300">
        <v>1.0</v>
      </c>
      <c r="H3570" s="300">
        <v>1.0</v>
      </c>
      <c r="I3570" s="300">
        <v>1.0</v>
      </c>
      <c r="J3570" s="300">
        <v>1.0</v>
      </c>
      <c r="K3570" s="300">
        <v>1.0</v>
      </c>
      <c r="L3570" s="300">
        <v>1.0</v>
      </c>
      <c r="M3570" s="300">
        <v>1.0</v>
      </c>
      <c r="N3570" s="300">
        <v>8.0</v>
      </c>
      <c r="O3570" s="300" t="s">
        <v>982</v>
      </c>
      <c r="P3570" s="300">
        <v>1.0</v>
      </c>
    </row>
    <row r="3571">
      <c r="A3571">
        <f>IFERROR(__xludf.DUMMYFUNCTION("""COMPUTED_VALUE"""),12.0)</f>
        <v>12</v>
      </c>
      <c r="B3571">
        <f>IFERROR(__xludf.DUMMYFUNCTION("""COMPUTED_VALUE"""),26039.0)</f>
        <v>26039</v>
      </c>
      <c r="C3571" t="str">
        <f>IFERROR(__xludf.DUMMYFUNCTION("""COMPUTED_VALUE"""),"GOMEZ LINCE, MARIA")</f>
        <v>GOMEZ LINCE, MARIA</v>
      </c>
      <c r="D3571" t="str">
        <f>IFERROR(__xludf.DUMMYFUNCTION("""COMPUTED_VALUE"""),"AP World History")</f>
        <v>AP World History</v>
      </c>
      <c r="E3571" s="3">
        <f>IFERROR(__xludf.DUMMYFUNCTION("""COMPUTED_VALUE"""),5.0)</f>
        <v>5</v>
      </c>
      <c r="F3571" s="300">
        <v>1.0</v>
      </c>
      <c r="G3571" s="300">
        <v>1.0</v>
      </c>
      <c r="H3571" s="300">
        <v>1.0</v>
      </c>
      <c r="I3571" s="300">
        <v>1.0</v>
      </c>
      <c r="J3571" s="300">
        <v>1.0</v>
      </c>
      <c r="K3571" s="300">
        <v>1.0</v>
      </c>
      <c r="L3571" s="300">
        <v>1.0</v>
      </c>
      <c r="M3571" s="300">
        <v>1.0</v>
      </c>
      <c r="N3571" s="300">
        <v>8.0</v>
      </c>
      <c r="O3571" s="300" t="s">
        <v>974</v>
      </c>
      <c r="P3571" s="300">
        <v>2.0</v>
      </c>
    </row>
    <row r="3572">
      <c r="A3572">
        <f>IFERROR(__xludf.DUMMYFUNCTION("""COMPUTED_VALUE"""),12.0)</f>
        <v>12</v>
      </c>
      <c r="B3572">
        <f>IFERROR(__xludf.DUMMYFUNCTION("""COMPUTED_VALUE"""),26030.0)</f>
        <v>26030</v>
      </c>
      <c r="C3572" t="str">
        <f>IFERROR(__xludf.DUMMYFUNCTION("""COMPUTED_VALUE"""),"FERNANDEZ DUQUE, CANDELARIA")</f>
        <v>FERNANDEZ DUQUE, CANDELARIA</v>
      </c>
      <c r="D3572" t="str">
        <f>IFERROR(__xludf.DUMMYFUNCTION("""COMPUTED_VALUE"""),"AP World History")</f>
        <v>AP World History</v>
      </c>
      <c r="E3572" s="3">
        <f>IFERROR(__xludf.DUMMYFUNCTION("""COMPUTED_VALUE"""),6.0)</f>
        <v>6</v>
      </c>
      <c r="F3572" s="300">
        <v>1.0</v>
      </c>
      <c r="G3572" s="300">
        <v>1.0</v>
      </c>
      <c r="H3572" s="300">
        <v>1.0</v>
      </c>
      <c r="I3572" s="300">
        <v>1.0</v>
      </c>
      <c r="J3572" s="300">
        <v>1.0</v>
      </c>
      <c r="K3572" s="300">
        <v>1.0</v>
      </c>
      <c r="L3572" s="300">
        <v>1.0</v>
      </c>
      <c r="M3572" s="300">
        <v>1.0</v>
      </c>
      <c r="N3572" s="300">
        <v>8.0</v>
      </c>
      <c r="O3572" s="300" t="s">
        <v>973</v>
      </c>
      <c r="P3572" s="300">
        <v>2.0</v>
      </c>
    </row>
    <row r="3573">
      <c r="A3573">
        <f>IFERROR(__xludf.DUMMYFUNCTION("""COMPUTED_VALUE"""),12.0)</f>
        <v>12</v>
      </c>
      <c r="B3573">
        <f>IFERROR(__xludf.DUMMYFUNCTION("""COMPUTED_VALUE"""),26003.0)</f>
        <v>26003</v>
      </c>
      <c r="C3573" t="str">
        <f>IFERROR(__xludf.DUMMYFUNCTION("""COMPUTED_VALUE"""),"AGUDELO ECHEVERRI, MATIAS")</f>
        <v>AGUDELO ECHEVERRI, MATIAS</v>
      </c>
      <c r="D3573" t="str">
        <f>IFERROR(__xludf.DUMMYFUNCTION("""COMPUTED_VALUE"""),"AP World History")</f>
        <v>AP World History</v>
      </c>
      <c r="E3573" s="3">
        <f>IFERROR(__xludf.DUMMYFUNCTION("""COMPUTED_VALUE"""),6.0)</f>
        <v>6</v>
      </c>
      <c r="F3573" s="300">
        <v>1.0</v>
      </c>
      <c r="G3573" s="300">
        <v>1.0</v>
      </c>
      <c r="H3573" s="300">
        <v>1.0</v>
      </c>
      <c r="I3573" s="300">
        <v>1.0</v>
      </c>
      <c r="J3573" s="300">
        <v>1.0</v>
      </c>
      <c r="K3573" s="300">
        <v>1.0</v>
      </c>
      <c r="L3573" s="300">
        <v>1.0</v>
      </c>
      <c r="M3573" s="300">
        <v>1.0</v>
      </c>
      <c r="N3573" s="300">
        <v>8.0</v>
      </c>
      <c r="O3573" s="300" t="s">
        <v>973</v>
      </c>
      <c r="P3573" s="300">
        <v>2.0</v>
      </c>
    </row>
    <row r="3574">
      <c r="A3574">
        <f>IFERROR(__xludf.DUMMYFUNCTION("""COMPUTED_VALUE"""),12.0)</f>
        <v>12</v>
      </c>
      <c r="B3574" s="406">
        <f>IFERROR(__xludf.DUMMYFUNCTION("""COMPUTED_VALUE"""),26053.0)</f>
        <v>26053</v>
      </c>
      <c r="C3574" t="str">
        <f>IFERROR(__xludf.DUMMYFUNCTION("""COMPUTED_VALUE"""),"HODEK RESTREPO, MIA")</f>
        <v>HODEK RESTREPO, MIA</v>
      </c>
      <c r="D3574" t="str">
        <f>IFERROR(__xludf.DUMMYFUNCTION("""COMPUTED_VALUE"""),"AP World History")</f>
        <v>AP World History</v>
      </c>
      <c r="E3574" s="3">
        <f>IFERROR(__xludf.DUMMYFUNCTION("""COMPUTED_VALUE"""),5.0)</f>
        <v>5</v>
      </c>
      <c r="F3574" s="300">
        <v>1.0</v>
      </c>
      <c r="G3574" s="300">
        <v>1.0</v>
      </c>
      <c r="H3574" s="300">
        <v>1.0</v>
      </c>
      <c r="I3574" s="300">
        <v>1.0</v>
      </c>
      <c r="J3574" s="300">
        <v>1.0</v>
      </c>
      <c r="K3574" s="300">
        <v>1.0</v>
      </c>
      <c r="L3574" s="300">
        <v>1.0</v>
      </c>
      <c r="M3574" s="300">
        <v>1.0</v>
      </c>
      <c r="N3574" s="300">
        <v>8.0</v>
      </c>
      <c r="O3574" s="300" t="s">
        <v>974</v>
      </c>
      <c r="P3574" s="300">
        <v>2.0</v>
      </c>
    </row>
    <row r="3575">
      <c r="A3575">
        <f>IFERROR(__xludf.DUMMYFUNCTION("""COMPUTED_VALUE"""),12.0)</f>
        <v>12</v>
      </c>
      <c r="B3575">
        <f>IFERROR(__xludf.DUMMYFUNCTION("""COMPUTED_VALUE"""),26021.0)</f>
        <v>26021</v>
      </c>
      <c r="C3575" t="str">
        <f>IFERROR(__xludf.DUMMYFUNCTION("""COMPUTED_VALUE"""),"CARDONA OCHOA, CAMILA")</f>
        <v>CARDONA OCHOA, CAMILA</v>
      </c>
      <c r="D3575" t="str">
        <f>IFERROR(__xludf.DUMMYFUNCTION("""COMPUTED_VALUE"""),"Pensar nuestro tiempo")</f>
        <v>Pensar nuestro tiempo</v>
      </c>
      <c r="E3575" s="3">
        <f>IFERROR(__xludf.DUMMYFUNCTION("""COMPUTED_VALUE"""),2.0)</f>
        <v>2</v>
      </c>
      <c r="F3575" s="300">
        <v>1.0</v>
      </c>
      <c r="G3575" s="300">
        <v>1.0</v>
      </c>
      <c r="H3575" s="300">
        <v>1.0</v>
      </c>
      <c r="I3575" s="300">
        <v>1.0</v>
      </c>
      <c r="J3575" s="300">
        <v>1.0</v>
      </c>
      <c r="K3575" s="300">
        <v>1.0</v>
      </c>
      <c r="L3575" s="300">
        <v>1.0</v>
      </c>
      <c r="M3575" s="300">
        <v>1.0</v>
      </c>
      <c r="N3575" s="300">
        <v>8.0</v>
      </c>
      <c r="O3575" s="300" t="s">
        <v>976</v>
      </c>
      <c r="P3575" s="300">
        <v>1.0</v>
      </c>
    </row>
    <row r="3576">
      <c r="A3576">
        <f>IFERROR(__xludf.DUMMYFUNCTION("""COMPUTED_VALUE"""),12.0)</f>
        <v>12</v>
      </c>
      <c r="B3576">
        <f>IFERROR(__xludf.DUMMYFUNCTION("""COMPUTED_VALUE"""),26089.0)</f>
        <v>26089</v>
      </c>
      <c r="C3576" t="str">
        <f>IFERROR(__xludf.DUMMYFUNCTION("""COMPUTED_VALUE"""),"PEREZ YEPES, EMILIANO")</f>
        <v>PEREZ YEPES, EMILIANO</v>
      </c>
      <c r="D3576" t="str">
        <f>IFERROR(__xludf.DUMMYFUNCTION("""COMPUTED_VALUE"""),"Life Purpose")</f>
        <v>Life Purpose</v>
      </c>
      <c r="E3576" s="3">
        <f>IFERROR(__xludf.DUMMYFUNCTION("""COMPUTED_VALUE"""),7.0)</f>
        <v>7</v>
      </c>
      <c r="F3576" s="300">
        <v>1.0</v>
      </c>
      <c r="G3576" s="300">
        <v>1.0</v>
      </c>
      <c r="H3576" s="300">
        <v>1.0</v>
      </c>
      <c r="I3576" s="300">
        <v>1.0</v>
      </c>
      <c r="J3576" s="300">
        <v>1.0</v>
      </c>
      <c r="K3576" s="300">
        <v>1.0</v>
      </c>
      <c r="L3576" s="300">
        <v>1.0</v>
      </c>
      <c r="M3576" s="300">
        <v>1.0</v>
      </c>
      <c r="N3576" s="300">
        <v>8.0</v>
      </c>
      <c r="O3576" s="300" t="s">
        <v>984</v>
      </c>
      <c r="P3576" s="300">
        <v>6.0</v>
      </c>
    </row>
    <row r="3577">
      <c r="A3577">
        <f>IFERROR(__xludf.DUMMYFUNCTION("""COMPUTED_VALUE"""),12.0)</f>
        <v>12</v>
      </c>
      <c r="B3577">
        <f>IFERROR(__xludf.DUMMYFUNCTION("""COMPUTED_VALUE"""),26035.0)</f>
        <v>26035</v>
      </c>
      <c r="C3577" t="str">
        <f>IFERROR(__xludf.DUMMYFUNCTION("""COMPUTED_VALUE"""),"GAVIRIA GONZALEZ, MATIAS")</f>
        <v>GAVIRIA GONZALEZ, MATIAS</v>
      </c>
      <c r="D3577" t="str">
        <f>IFERROR(__xludf.DUMMYFUNCTION("""COMPUTED_VALUE"""),"Life Purpose")</f>
        <v>Life Purpose</v>
      </c>
      <c r="E3577" s="3">
        <f>IFERROR(__xludf.DUMMYFUNCTION("""COMPUTED_VALUE"""),3.0)</f>
        <v>3</v>
      </c>
      <c r="F3577" s="300">
        <v>1.0</v>
      </c>
      <c r="G3577" s="300">
        <v>1.0</v>
      </c>
      <c r="H3577" s="300">
        <v>1.0</v>
      </c>
      <c r="I3577" s="300">
        <v>1.0</v>
      </c>
      <c r="J3577" s="300">
        <v>1.0</v>
      </c>
      <c r="K3577" s="300">
        <v>1.0</v>
      </c>
      <c r="L3577" s="300">
        <v>1.0</v>
      </c>
      <c r="M3577" s="300">
        <v>1.0</v>
      </c>
      <c r="N3577" s="300">
        <v>8.0</v>
      </c>
      <c r="O3577" s="300" t="s">
        <v>987</v>
      </c>
      <c r="P3577" s="300">
        <v>6.0</v>
      </c>
    </row>
    <row r="3578">
      <c r="A3578">
        <f>IFERROR(__xludf.DUMMYFUNCTION("""COMPUTED_VALUE"""),12.0)</f>
        <v>12</v>
      </c>
      <c r="B3578">
        <f>IFERROR(__xludf.DUMMYFUNCTION("""COMPUTED_VALUE"""),26171.0)</f>
        <v>26171</v>
      </c>
      <c r="C3578" t="str">
        <f>IFERROR(__xludf.DUMMYFUNCTION("""COMPUTED_VALUE"""),"GOMEZ AMADOR, MATIAS")</f>
        <v>GOMEZ AMADOR, MATIAS</v>
      </c>
      <c r="D3578" t="str">
        <f>IFERROR(__xludf.DUMMYFUNCTION("""COMPUTED_VALUE"""),"Life Purpose")</f>
        <v>Life Purpose</v>
      </c>
      <c r="E3578" s="3">
        <f>IFERROR(__xludf.DUMMYFUNCTION("""COMPUTED_VALUE"""),3.0)</f>
        <v>3</v>
      </c>
      <c r="F3578" s="300">
        <v>1.0</v>
      </c>
      <c r="G3578" s="300">
        <v>1.0</v>
      </c>
      <c r="H3578" s="300">
        <v>1.0</v>
      </c>
      <c r="I3578" s="300">
        <v>1.0</v>
      </c>
      <c r="J3578" s="300">
        <v>1.0</v>
      </c>
      <c r="K3578" s="300">
        <v>1.0</v>
      </c>
      <c r="L3578" s="300">
        <v>1.0</v>
      </c>
      <c r="M3578" s="300">
        <v>1.0</v>
      </c>
      <c r="N3578" s="300">
        <v>8.0</v>
      </c>
      <c r="O3578" s="300" t="s">
        <v>987</v>
      </c>
      <c r="P3578" s="300">
        <v>6.0</v>
      </c>
    </row>
    <row r="3579">
      <c r="A3579">
        <f>IFERROR(__xludf.DUMMYFUNCTION("""COMPUTED_VALUE"""),12.0)</f>
        <v>12</v>
      </c>
      <c r="B3579">
        <f>IFERROR(__xludf.DUMMYFUNCTION("""COMPUTED_VALUE"""),26066.0)</f>
        <v>26066</v>
      </c>
      <c r="C3579" t="str">
        <f>IFERROR(__xludf.DUMMYFUNCTION("""COMPUTED_VALUE"""),"LONDOÑO CUARTAS, MANUEL")</f>
        <v>LONDOÑO CUARTAS, MANUEL</v>
      </c>
      <c r="D3579" t="str">
        <f>IFERROR(__xludf.DUMMYFUNCTION("""COMPUTED_VALUE"""),"Life Purpose")</f>
        <v>Life Purpose</v>
      </c>
      <c r="E3579" s="3">
        <f>IFERROR(__xludf.DUMMYFUNCTION("""COMPUTED_VALUE"""),6.0)</f>
        <v>6</v>
      </c>
      <c r="F3579" s="300">
        <v>1.0</v>
      </c>
      <c r="G3579" s="300">
        <v>1.0</v>
      </c>
      <c r="H3579" s="300">
        <v>1.0</v>
      </c>
      <c r="I3579" s="300">
        <v>1.0</v>
      </c>
      <c r="J3579" s="300">
        <v>1.0</v>
      </c>
      <c r="K3579" s="300">
        <v>1.0</v>
      </c>
      <c r="L3579" s="300">
        <v>1.0</v>
      </c>
      <c r="M3579" s="300">
        <v>1.0</v>
      </c>
      <c r="N3579" s="300">
        <v>8.0</v>
      </c>
      <c r="O3579" s="300" t="s">
        <v>979</v>
      </c>
      <c r="P3579" s="300">
        <v>6.0</v>
      </c>
    </row>
    <row r="3580">
      <c r="A3580">
        <f>IFERROR(__xludf.DUMMYFUNCTION("""COMPUTED_VALUE"""),12.0)</f>
        <v>12</v>
      </c>
      <c r="B3580">
        <f>IFERROR(__xludf.DUMMYFUNCTION("""COMPUTED_VALUE"""),26101.0)</f>
        <v>26101</v>
      </c>
      <c r="C3580" t="str">
        <f>IFERROR(__xludf.DUMMYFUNCTION("""COMPUTED_VALUE"""),"ROBLES RESTREPO, MANOLO")</f>
        <v>ROBLES RESTREPO, MANOLO</v>
      </c>
      <c r="D3580" t="str">
        <f>IFERROR(__xludf.DUMMYFUNCTION("""COMPUTED_VALUE"""),"Introduction to Law")</f>
        <v>Introduction to Law</v>
      </c>
      <c r="E3580" s="3">
        <f>IFERROR(__xludf.DUMMYFUNCTION("""COMPUTED_VALUE"""),4.0)</f>
        <v>4</v>
      </c>
      <c r="F3580" s="300">
        <v>1.0</v>
      </c>
      <c r="G3580" s="300">
        <v>1.0</v>
      </c>
      <c r="H3580" s="300">
        <v>1.0</v>
      </c>
      <c r="I3580" s="300">
        <v>1.0</v>
      </c>
      <c r="J3580" s="300">
        <v>1.0</v>
      </c>
      <c r="K3580" s="300">
        <v>1.0</v>
      </c>
      <c r="L3580" s="300">
        <v>1.0</v>
      </c>
      <c r="M3580" s="300">
        <v>1.0</v>
      </c>
      <c r="N3580" s="300">
        <v>8.0</v>
      </c>
      <c r="O3580" s="300" t="s">
        <v>982</v>
      </c>
      <c r="P3580" s="300">
        <v>1.0</v>
      </c>
    </row>
    <row r="3581">
      <c r="A3581">
        <f>IFERROR(__xludf.DUMMYFUNCTION("""COMPUTED_VALUE"""),12.0)</f>
        <v>12</v>
      </c>
      <c r="B3581">
        <f>IFERROR(__xludf.DUMMYFUNCTION("""COMPUTED_VALUE"""),26008.0)</f>
        <v>26008</v>
      </c>
      <c r="C3581" t="str">
        <f>IFERROR(__xludf.DUMMYFUNCTION("""COMPUTED_VALUE"""),"ARANGO FERNANDEZ, JUAN")</f>
        <v>ARANGO FERNANDEZ, JUAN</v>
      </c>
      <c r="D3581" t="str">
        <f>IFERROR(__xludf.DUMMYFUNCTION("""COMPUTED_VALUE"""),"Introduction to Law")</f>
        <v>Introduction to Law</v>
      </c>
      <c r="E3581" s="3">
        <f>IFERROR(__xludf.DUMMYFUNCTION("""COMPUTED_VALUE"""),4.0)</f>
        <v>4</v>
      </c>
      <c r="F3581" s="300">
        <v>1.0</v>
      </c>
      <c r="G3581" s="300">
        <v>1.0</v>
      </c>
      <c r="H3581" s="300">
        <v>1.0</v>
      </c>
      <c r="I3581" s="300">
        <v>1.0</v>
      </c>
      <c r="J3581" s="300">
        <v>1.0</v>
      </c>
      <c r="K3581" s="300">
        <v>1.0</v>
      </c>
      <c r="L3581" s="300">
        <v>1.0</v>
      </c>
      <c r="M3581" s="300">
        <v>1.0</v>
      </c>
      <c r="N3581" s="300">
        <v>8.0</v>
      </c>
      <c r="O3581" s="300" t="s">
        <v>982</v>
      </c>
      <c r="P3581" s="300">
        <v>1.0</v>
      </c>
    </row>
    <row r="3582">
      <c r="A3582">
        <f>IFERROR(__xludf.DUMMYFUNCTION("""COMPUTED_VALUE"""),12.0)</f>
        <v>12</v>
      </c>
      <c r="B3582">
        <f>IFERROR(__xludf.DUMMYFUNCTION("""COMPUTED_VALUE"""),26011.0)</f>
        <v>26011</v>
      </c>
      <c r="C3582" t="str">
        <f>IFERROR(__xludf.DUMMYFUNCTION("""COMPUTED_VALUE"""),"ARROYAVE RESTREPO, CAMILO")</f>
        <v>ARROYAVE RESTREPO, CAMILO</v>
      </c>
      <c r="D3582" t="str">
        <f>IFERROR(__xludf.DUMMYFUNCTION("""COMPUTED_VALUE"""),"Life Purpose")</f>
        <v>Life Purpose</v>
      </c>
      <c r="E3582" s="3">
        <f>IFERROR(__xludf.DUMMYFUNCTION("""COMPUTED_VALUE"""),6.0)</f>
        <v>6</v>
      </c>
      <c r="F3582" s="300">
        <v>1.0</v>
      </c>
      <c r="G3582" s="300">
        <v>1.0</v>
      </c>
      <c r="H3582" s="300">
        <v>1.0</v>
      </c>
      <c r="I3582" s="300">
        <v>1.0</v>
      </c>
      <c r="J3582" s="300">
        <v>1.0</v>
      </c>
      <c r="K3582" s="300">
        <v>1.0</v>
      </c>
      <c r="L3582" s="300">
        <v>1.0</v>
      </c>
      <c r="M3582" s="300">
        <v>1.0</v>
      </c>
      <c r="N3582" s="300">
        <v>8.0</v>
      </c>
      <c r="O3582" s="300" t="s">
        <v>979</v>
      </c>
      <c r="P3582" s="300">
        <v>6.0</v>
      </c>
    </row>
    <row r="3583">
      <c r="A3583">
        <f>IFERROR(__xludf.DUMMYFUNCTION("""COMPUTED_VALUE"""),12.0)</f>
        <v>12</v>
      </c>
      <c r="B3583">
        <f>IFERROR(__xludf.DUMMYFUNCTION("""COMPUTED_VALUE"""),26086.0)</f>
        <v>26086</v>
      </c>
      <c r="C3583" t="str">
        <f>IFERROR(__xludf.DUMMYFUNCTION("""COMPUTED_VALUE"""),"PALACIO SALAZAR, TOMAS")</f>
        <v>PALACIO SALAZAR, TOMAS</v>
      </c>
      <c r="D3583" t="str">
        <f>IFERROR(__xludf.DUMMYFUNCTION("""COMPUTED_VALUE"""),"Pensar nuestro tiempo")</f>
        <v>Pensar nuestro tiempo</v>
      </c>
      <c r="E3583" s="3">
        <f>IFERROR(__xludf.DUMMYFUNCTION("""COMPUTED_VALUE"""),2.0)</f>
        <v>2</v>
      </c>
      <c r="F3583" s="300">
        <v>1.0</v>
      </c>
      <c r="G3583" s="300">
        <v>1.0</v>
      </c>
      <c r="H3583" s="300">
        <v>1.0</v>
      </c>
      <c r="I3583" s="300">
        <v>1.0</v>
      </c>
      <c r="J3583" s="300">
        <v>1.0</v>
      </c>
      <c r="K3583" s="300">
        <v>1.0</v>
      </c>
      <c r="L3583" s="300">
        <v>1.0</v>
      </c>
      <c r="M3583" s="300">
        <v>1.0</v>
      </c>
      <c r="N3583" s="300">
        <v>8.0</v>
      </c>
      <c r="O3583" s="300" t="s">
        <v>976</v>
      </c>
      <c r="P3583" s="300">
        <v>1.0</v>
      </c>
    </row>
    <row r="3584">
      <c r="A3584">
        <f>IFERROR(__xludf.DUMMYFUNCTION("""COMPUTED_VALUE"""),12.0)</f>
        <v>12</v>
      </c>
      <c r="B3584">
        <f>IFERROR(__xludf.DUMMYFUNCTION("""COMPUTED_VALUE"""),25060.0)</f>
        <v>25060</v>
      </c>
      <c r="C3584" t="str">
        <f>IFERROR(__xludf.DUMMYFUNCTION("""COMPUTED_VALUE"""),"LOPEZ MEJIA, SAMUEL")</f>
        <v>LOPEZ MEJIA, SAMUEL</v>
      </c>
      <c r="D3584" t="str">
        <f>IFERROR(__xludf.DUMMYFUNCTION("""COMPUTED_VALUE"""),"AP World History")</f>
        <v>AP World History</v>
      </c>
      <c r="E3584" s="3">
        <f>IFERROR(__xludf.DUMMYFUNCTION("""COMPUTED_VALUE"""),5.0)</f>
        <v>5</v>
      </c>
      <c r="F3584" s="300">
        <v>1.0</v>
      </c>
      <c r="G3584" s="300">
        <v>1.0</v>
      </c>
      <c r="H3584" s="300">
        <v>1.0</v>
      </c>
      <c r="I3584" s="300">
        <v>1.0</v>
      </c>
      <c r="J3584" s="300">
        <v>1.0</v>
      </c>
      <c r="K3584" s="300">
        <v>1.0</v>
      </c>
      <c r="L3584" s="300">
        <v>1.0</v>
      </c>
      <c r="M3584" s="300">
        <v>1.0</v>
      </c>
      <c r="N3584" s="300">
        <v>8.0</v>
      </c>
      <c r="O3584" s="300" t="s">
        <v>974</v>
      </c>
      <c r="P3584" s="300">
        <v>2.0</v>
      </c>
    </row>
    <row r="3585">
      <c r="A3585">
        <f>IFERROR(__xludf.DUMMYFUNCTION("""COMPUTED_VALUE"""),12.0)</f>
        <v>12</v>
      </c>
      <c r="B3585">
        <f>IFERROR(__xludf.DUMMYFUNCTION("""COMPUTED_VALUE"""),26058.0)</f>
        <v>26058</v>
      </c>
      <c r="C3585" t="str">
        <f>IFERROR(__xludf.DUMMYFUNCTION("""COMPUTED_VALUE"""),"JARAMILLO FERNANDEZ, JULIAN")</f>
        <v>JARAMILLO FERNANDEZ, JULIAN</v>
      </c>
      <c r="D3585" t="str">
        <f>IFERROR(__xludf.DUMMYFUNCTION("""COMPUTED_VALUE"""),"Life Purpose")</f>
        <v>Life Purpose</v>
      </c>
      <c r="E3585" s="3">
        <f>IFERROR(__xludf.DUMMYFUNCTION("""COMPUTED_VALUE"""),8.0)</f>
        <v>8</v>
      </c>
      <c r="F3585" s="300">
        <v>1.0</v>
      </c>
      <c r="G3585" s="300">
        <v>1.0</v>
      </c>
      <c r="H3585" s="300">
        <v>1.0</v>
      </c>
      <c r="I3585" s="300">
        <v>1.0</v>
      </c>
      <c r="J3585" s="300">
        <v>1.0</v>
      </c>
      <c r="K3585" s="300">
        <v>1.0</v>
      </c>
      <c r="L3585" s="300">
        <v>1.0</v>
      </c>
      <c r="M3585" s="300">
        <v>1.0</v>
      </c>
      <c r="N3585" s="300">
        <v>8.0</v>
      </c>
      <c r="O3585" s="300" t="s">
        <v>978</v>
      </c>
      <c r="P3585" s="300">
        <v>6.0</v>
      </c>
    </row>
    <row r="3586">
      <c r="A3586">
        <f>IFERROR(__xludf.DUMMYFUNCTION("""COMPUTED_VALUE"""),12.0)</f>
        <v>12</v>
      </c>
      <c r="B3586">
        <f>IFERROR(__xludf.DUMMYFUNCTION("""COMPUTED_VALUE"""),26121.0)</f>
        <v>26121</v>
      </c>
      <c r="C3586" t="str">
        <f>IFERROR(__xludf.DUMMYFUNCTION("""COMPUTED_VALUE"""),"VILLA MORENO, VICENTE")</f>
        <v>VILLA MORENO, VICENTE</v>
      </c>
      <c r="D3586" t="str">
        <f>IFERROR(__xludf.DUMMYFUNCTION("""COMPUTED_VALUE"""),"AP World History")</f>
        <v>AP World History</v>
      </c>
      <c r="E3586" s="3">
        <f>IFERROR(__xludf.DUMMYFUNCTION("""COMPUTED_VALUE"""),6.0)</f>
        <v>6</v>
      </c>
      <c r="F3586" s="300">
        <v>1.0</v>
      </c>
      <c r="G3586" s="300">
        <v>1.0</v>
      </c>
      <c r="H3586" s="300">
        <v>1.0</v>
      </c>
      <c r="I3586" s="300">
        <v>1.0</v>
      </c>
      <c r="J3586" s="300">
        <v>1.0</v>
      </c>
      <c r="K3586" s="300">
        <v>1.0</v>
      </c>
      <c r="L3586" s="300">
        <v>1.0</v>
      </c>
      <c r="M3586" s="300">
        <v>1.0</v>
      </c>
      <c r="N3586" s="300">
        <v>8.0</v>
      </c>
      <c r="O3586" s="300" t="s">
        <v>973</v>
      </c>
      <c r="P3586" s="300">
        <v>2.0</v>
      </c>
    </row>
    <row r="3587">
      <c r="A3587">
        <f>IFERROR(__xludf.DUMMYFUNCTION("""COMPUTED_VALUE"""),12.0)</f>
        <v>12</v>
      </c>
      <c r="B3587">
        <f>IFERROR(__xludf.DUMMYFUNCTION("""COMPUTED_VALUE"""),26025.0)</f>
        <v>26025</v>
      </c>
      <c r="C3587" t="str">
        <f>IFERROR(__xludf.DUMMYFUNCTION("""COMPUTED_VALUE"""),"DIEZ RENDON, MARIA ANTONIA")</f>
        <v>DIEZ RENDON, MARIA ANTONIA</v>
      </c>
      <c r="D3587" t="str">
        <f>IFERROR(__xludf.DUMMYFUNCTION("""COMPUTED_VALUE"""),"AP World History")</f>
        <v>AP World History</v>
      </c>
      <c r="E3587" s="3">
        <f>IFERROR(__xludf.DUMMYFUNCTION("""COMPUTED_VALUE"""),5.0)</f>
        <v>5</v>
      </c>
      <c r="F3587" s="300">
        <v>1.0</v>
      </c>
      <c r="G3587" s="300">
        <v>1.0</v>
      </c>
      <c r="H3587" s="300">
        <v>1.0</v>
      </c>
      <c r="I3587" s="300">
        <v>1.0</v>
      </c>
      <c r="J3587" s="300">
        <v>1.0</v>
      </c>
      <c r="K3587" s="300">
        <v>1.0</v>
      </c>
      <c r="L3587" s="300">
        <v>1.0</v>
      </c>
      <c r="M3587" s="300">
        <v>1.0</v>
      </c>
      <c r="N3587" s="300">
        <v>8.0</v>
      </c>
      <c r="O3587" s="300" t="s">
        <v>974</v>
      </c>
      <c r="P3587" s="300">
        <v>2.0</v>
      </c>
    </row>
    <row r="3588">
      <c r="A3588">
        <f>IFERROR(__xludf.DUMMYFUNCTION("""COMPUTED_VALUE"""),12.0)</f>
        <v>12</v>
      </c>
      <c r="B3588">
        <f>IFERROR(__xludf.DUMMYFUNCTION("""COMPUTED_VALUE"""),26014.0)</f>
        <v>26014</v>
      </c>
      <c r="C3588" t="str">
        <f>IFERROR(__xludf.DUMMYFUNCTION("""COMPUTED_VALUE"""),"BARRIENTOS BUSTAMANTE, VALENTINA")</f>
        <v>BARRIENTOS BUSTAMANTE, VALENTINA</v>
      </c>
      <c r="D3588" t="str">
        <f>IFERROR(__xludf.DUMMYFUNCTION("""COMPUTED_VALUE"""),"Life Purpose")</f>
        <v>Life Purpose</v>
      </c>
      <c r="E3588" s="3">
        <f>IFERROR(__xludf.DUMMYFUNCTION("""COMPUTED_VALUE"""),7.0)</f>
        <v>7</v>
      </c>
      <c r="F3588" s="300">
        <v>1.0</v>
      </c>
      <c r="G3588" s="300">
        <v>1.0</v>
      </c>
      <c r="H3588" s="300">
        <v>1.0</v>
      </c>
      <c r="I3588" s="300">
        <v>1.0</v>
      </c>
      <c r="J3588" s="300">
        <v>1.0</v>
      </c>
      <c r="K3588" s="300">
        <v>1.0</v>
      </c>
      <c r="L3588" s="300">
        <v>1.0</v>
      </c>
      <c r="M3588" s="300">
        <v>1.0</v>
      </c>
      <c r="N3588" s="300">
        <v>8.0</v>
      </c>
      <c r="O3588" s="300" t="s">
        <v>984</v>
      </c>
      <c r="P3588" s="300">
        <v>6.0</v>
      </c>
    </row>
    <row r="3589">
      <c r="A3589">
        <f>IFERROR(__xludf.DUMMYFUNCTION("""COMPUTED_VALUE"""),12.0)</f>
        <v>12</v>
      </c>
      <c r="B3589">
        <f>IFERROR(__xludf.DUMMYFUNCTION("""COMPUTED_VALUE"""),26071.0)</f>
        <v>26071</v>
      </c>
      <c r="C3589" t="str">
        <f>IFERROR(__xludf.DUMMYFUNCTION("""COMPUTED_VALUE"""),"MENA TELLEZ, TOMAS FELIPE")</f>
        <v>MENA TELLEZ, TOMAS FELIPE</v>
      </c>
      <c r="D3589" t="str">
        <f>IFERROR(__xludf.DUMMYFUNCTION("""COMPUTED_VALUE"""),"AP World History")</f>
        <v>AP World History</v>
      </c>
      <c r="E3589" s="3">
        <f>IFERROR(__xludf.DUMMYFUNCTION("""COMPUTED_VALUE"""),6.0)</f>
        <v>6</v>
      </c>
      <c r="F3589" s="300">
        <v>1.0</v>
      </c>
      <c r="G3589" s="300">
        <v>1.0</v>
      </c>
      <c r="H3589" s="300">
        <v>1.0</v>
      </c>
      <c r="I3589" s="300">
        <v>1.0</v>
      </c>
      <c r="J3589" s="300">
        <v>1.0</v>
      </c>
      <c r="K3589" s="300">
        <v>1.0</v>
      </c>
      <c r="L3589" s="300">
        <v>1.0</v>
      </c>
      <c r="M3589" s="300">
        <v>1.0</v>
      </c>
      <c r="N3589" s="300">
        <v>8.0</v>
      </c>
      <c r="O3589" s="300" t="s">
        <v>973</v>
      </c>
      <c r="P3589" s="300">
        <v>2.0</v>
      </c>
    </row>
    <row r="3590">
      <c r="A3590">
        <f>IFERROR(__xludf.DUMMYFUNCTION("""COMPUTED_VALUE"""),12.0)</f>
        <v>12</v>
      </c>
      <c r="B3590">
        <f>IFERROR(__xludf.DUMMYFUNCTION("""COMPUTED_VALUE"""),26108.0)</f>
        <v>26108</v>
      </c>
      <c r="C3590" t="str">
        <f>IFERROR(__xludf.DUMMYFUNCTION("""COMPUTED_VALUE"""),"THIRIEZ VILLA, SOFIA")</f>
        <v>THIRIEZ VILLA, SOFIA</v>
      </c>
      <c r="D3590" t="str">
        <f>IFERROR(__xludf.DUMMYFUNCTION("""COMPUTED_VALUE"""),"AP World History")</f>
        <v>AP World History</v>
      </c>
      <c r="E3590" s="3">
        <f>IFERROR(__xludf.DUMMYFUNCTION("""COMPUTED_VALUE"""),5.0)</f>
        <v>5</v>
      </c>
      <c r="F3590" s="300">
        <v>1.0</v>
      </c>
      <c r="G3590" s="300">
        <v>1.0</v>
      </c>
      <c r="H3590" s="300">
        <v>1.0</v>
      </c>
      <c r="I3590" s="300">
        <v>1.0</v>
      </c>
      <c r="J3590" s="300">
        <v>1.0</v>
      </c>
      <c r="K3590" s="300">
        <v>1.0</v>
      </c>
      <c r="L3590" s="300">
        <v>1.0</v>
      </c>
      <c r="M3590" s="300">
        <v>1.0</v>
      </c>
      <c r="N3590" s="300">
        <v>8.0</v>
      </c>
      <c r="O3590" s="300" t="s">
        <v>974</v>
      </c>
      <c r="P3590" s="300">
        <v>2.0</v>
      </c>
    </row>
    <row r="3591">
      <c r="A3591">
        <f>IFERROR(__xludf.DUMMYFUNCTION("""COMPUTED_VALUE"""),12.0)</f>
        <v>12</v>
      </c>
      <c r="B3591">
        <f>IFERROR(__xludf.DUMMYFUNCTION("""COMPUTED_VALUE"""),26082.0)</f>
        <v>26082</v>
      </c>
      <c r="C3591" t="str">
        <f>IFERROR(__xludf.DUMMYFUNCTION("""COMPUTED_VALUE"""),"OREJUELA GAVIRIA, MATILDA")</f>
        <v>OREJUELA GAVIRIA, MATILDA</v>
      </c>
      <c r="D3591" t="str">
        <f>IFERROR(__xludf.DUMMYFUNCTION("""COMPUTED_VALUE"""),"AP World History")</f>
        <v>AP World History</v>
      </c>
      <c r="E3591" s="3">
        <f>IFERROR(__xludf.DUMMYFUNCTION("""COMPUTED_VALUE"""),5.0)</f>
        <v>5</v>
      </c>
      <c r="F3591" s="300">
        <v>1.0</v>
      </c>
      <c r="G3591" s="300">
        <v>1.0</v>
      </c>
      <c r="H3591" s="300">
        <v>1.0</v>
      </c>
      <c r="I3591" s="300">
        <v>1.0</v>
      </c>
      <c r="J3591" s="300">
        <v>1.0</v>
      </c>
      <c r="K3591" s="300">
        <v>1.0</v>
      </c>
      <c r="L3591" s="300">
        <v>1.0</v>
      </c>
      <c r="M3591" s="300">
        <v>1.0</v>
      </c>
      <c r="N3591" s="300">
        <v>8.0</v>
      </c>
      <c r="O3591" s="300" t="s">
        <v>974</v>
      </c>
      <c r="P3591" s="300">
        <v>2.0</v>
      </c>
    </row>
    <row r="3592">
      <c r="A3592">
        <f>IFERROR(__xludf.DUMMYFUNCTION("""COMPUTED_VALUE"""),12.0)</f>
        <v>12</v>
      </c>
      <c r="B3592">
        <f>IFERROR(__xludf.DUMMYFUNCTION("""COMPUTED_VALUE"""),26073.0)</f>
        <v>26073</v>
      </c>
      <c r="C3592" t="str">
        <f>IFERROR(__xludf.DUMMYFUNCTION("""COMPUTED_VALUE"""),"MESA ARISTIZABAL, SARA")</f>
        <v>MESA ARISTIZABAL, SARA</v>
      </c>
      <c r="D3592" t="str">
        <f>IFERROR(__xludf.DUMMYFUNCTION("""COMPUTED_VALUE"""),"AP World History")</f>
        <v>AP World History</v>
      </c>
      <c r="E3592" s="3">
        <f>IFERROR(__xludf.DUMMYFUNCTION("""COMPUTED_VALUE"""),5.0)</f>
        <v>5</v>
      </c>
      <c r="F3592" s="300">
        <v>1.0</v>
      </c>
      <c r="G3592" s="300">
        <v>1.0</v>
      </c>
      <c r="H3592" s="300">
        <v>1.0</v>
      </c>
      <c r="I3592" s="300">
        <v>1.0</v>
      </c>
      <c r="J3592" s="300">
        <v>1.0</v>
      </c>
      <c r="K3592" s="300">
        <v>1.0</v>
      </c>
      <c r="L3592" s="300">
        <v>1.0</v>
      </c>
      <c r="M3592" s="300">
        <v>1.0</v>
      </c>
      <c r="N3592" s="300">
        <v>8.0</v>
      </c>
      <c r="O3592" s="300" t="s">
        <v>974</v>
      </c>
      <c r="P3592" s="300">
        <v>2.0</v>
      </c>
    </row>
    <row r="3593">
      <c r="A3593">
        <f>IFERROR(__xludf.DUMMYFUNCTION("""COMPUTED_VALUE"""),12.0)</f>
        <v>12</v>
      </c>
      <c r="B3593">
        <f>IFERROR(__xludf.DUMMYFUNCTION("""COMPUTED_VALUE"""),26026.0)</f>
        <v>26026</v>
      </c>
      <c r="C3593" t="str">
        <f>IFERROR(__xludf.DUMMYFUNCTION("""COMPUTED_VALUE"""),"ECHAVARRIA JARAMILLO, VICENTE")</f>
        <v>ECHAVARRIA JARAMILLO, VICENTE</v>
      </c>
      <c r="D3593" t="str">
        <f>IFERROR(__xludf.DUMMYFUNCTION("""COMPUTED_VALUE"""),"Life Purpose")</f>
        <v>Life Purpose</v>
      </c>
      <c r="E3593" s="3">
        <f>IFERROR(__xludf.DUMMYFUNCTION("""COMPUTED_VALUE"""),2.0)</f>
        <v>2</v>
      </c>
      <c r="F3593" s="300">
        <v>1.0</v>
      </c>
      <c r="G3593" s="300">
        <v>1.0</v>
      </c>
      <c r="H3593" s="300">
        <v>1.0</v>
      </c>
      <c r="I3593" s="300">
        <v>1.0</v>
      </c>
      <c r="J3593" s="300">
        <v>1.0</v>
      </c>
      <c r="K3593" s="300">
        <v>1.0</v>
      </c>
      <c r="L3593" s="300">
        <v>1.0</v>
      </c>
      <c r="M3593" s="300">
        <v>1.0</v>
      </c>
      <c r="N3593" s="300">
        <v>8.0</v>
      </c>
      <c r="O3593" s="300" t="s">
        <v>972</v>
      </c>
      <c r="P3593" s="300">
        <v>6.0</v>
      </c>
    </row>
    <row r="3594">
      <c r="A3594">
        <f>IFERROR(__xludf.DUMMYFUNCTION("""COMPUTED_VALUE"""),12.0)</f>
        <v>12</v>
      </c>
      <c r="B3594">
        <f>IFERROR(__xludf.DUMMYFUNCTION("""COMPUTED_VALUE"""),25008.0)</f>
        <v>25008</v>
      </c>
      <c r="C3594" t="str">
        <f>IFERROR(__xludf.DUMMYFUNCTION("""COMPUTED_VALUE"""),"ARANGO CASTRO, IVAN SANTIAGO")</f>
        <v>ARANGO CASTRO, IVAN SANTIAGO</v>
      </c>
      <c r="D3594" t="str">
        <f>IFERROR(__xludf.DUMMYFUNCTION("""COMPUTED_VALUE"""),"Life Purpose")</f>
        <v>Life Purpose</v>
      </c>
      <c r="E3594" s="3">
        <f>IFERROR(__xludf.DUMMYFUNCTION("""COMPUTED_VALUE"""),1.0)</f>
        <v>1</v>
      </c>
      <c r="F3594" s="300">
        <v>1.0</v>
      </c>
      <c r="G3594" s="300">
        <v>1.0</v>
      </c>
      <c r="H3594" s="300">
        <v>1.0</v>
      </c>
      <c r="I3594" s="300">
        <v>1.0</v>
      </c>
      <c r="J3594" s="300">
        <v>1.0</v>
      </c>
      <c r="K3594" s="300">
        <v>1.0</v>
      </c>
      <c r="L3594" s="300">
        <v>1.0</v>
      </c>
      <c r="M3594" s="300">
        <v>1.0</v>
      </c>
      <c r="N3594" s="300">
        <v>8.0</v>
      </c>
      <c r="O3594" s="300" t="s">
        <v>986</v>
      </c>
      <c r="P3594" s="300">
        <v>6.0</v>
      </c>
    </row>
    <row r="3595">
      <c r="A3595">
        <f>IFERROR(__xludf.DUMMYFUNCTION("""COMPUTED_VALUE"""),12.0)</f>
        <v>12</v>
      </c>
      <c r="B3595">
        <f>IFERROR(__xludf.DUMMYFUNCTION("""COMPUTED_VALUE"""),26079.0)</f>
        <v>26079</v>
      </c>
      <c r="C3595" t="str">
        <f>IFERROR(__xludf.DUMMYFUNCTION("""COMPUTED_VALUE"""),"OCHOA PODESTA, CAMILA")</f>
        <v>OCHOA PODESTA, CAMILA</v>
      </c>
      <c r="D3595" t="str">
        <f>IFERROR(__xludf.DUMMYFUNCTION("""COMPUTED_VALUE"""),"AP World History")</f>
        <v>AP World History</v>
      </c>
      <c r="E3595" s="3">
        <f>IFERROR(__xludf.DUMMYFUNCTION("""COMPUTED_VALUE"""),6.0)</f>
        <v>6</v>
      </c>
      <c r="F3595" s="300">
        <v>1.0</v>
      </c>
      <c r="G3595" s="300">
        <v>1.0</v>
      </c>
      <c r="H3595" s="300">
        <v>1.0</v>
      </c>
      <c r="I3595" s="300">
        <v>1.0</v>
      </c>
      <c r="J3595" s="300">
        <v>1.0</v>
      </c>
      <c r="K3595" s="300">
        <v>1.0</v>
      </c>
      <c r="L3595" s="300">
        <v>1.0</v>
      </c>
      <c r="M3595" s="300">
        <v>1.0</v>
      </c>
      <c r="N3595" s="300">
        <v>8.0</v>
      </c>
      <c r="O3595" s="300" t="s">
        <v>973</v>
      </c>
      <c r="P3595" s="300">
        <v>2.0</v>
      </c>
    </row>
    <row r="3596">
      <c r="A3596">
        <f>IFERROR(__xludf.DUMMYFUNCTION("""COMPUTED_VALUE"""),12.0)</f>
        <v>12</v>
      </c>
      <c r="B3596">
        <f>IFERROR(__xludf.DUMMYFUNCTION("""COMPUTED_VALUE"""),26051.0)</f>
        <v>26051</v>
      </c>
      <c r="C3596" t="str">
        <f>IFERROR(__xludf.DUMMYFUNCTION("""COMPUTED_VALUE"""),"HINESTROZA ESCOBAR, IRENE")</f>
        <v>HINESTROZA ESCOBAR, IRENE</v>
      </c>
      <c r="D3596" t="str">
        <f>IFERROR(__xludf.DUMMYFUNCTION("""COMPUTED_VALUE"""),"Life Purpose")</f>
        <v>Life Purpose</v>
      </c>
      <c r="E3596" s="3">
        <f>IFERROR(__xludf.DUMMYFUNCTION("""COMPUTED_VALUE"""),3.0)</f>
        <v>3</v>
      </c>
      <c r="F3596" s="300">
        <v>1.0</v>
      </c>
      <c r="G3596" s="300">
        <v>1.0</v>
      </c>
      <c r="H3596" s="300">
        <v>1.0</v>
      </c>
      <c r="I3596" s="300">
        <v>1.0</v>
      </c>
      <c r="J3596" s="300">
        <v>1.0</v>
      </c>
      <c r="K3596" s="300">
        <v>1.0</v>
      </c>
      <c r="L3596" s="300">
        <v>1.0</v>
      </c>
      <c r="M3596" s="300">
        <v>1.0</v>
      </c>
      <c r="N3596" s="300">
        <v>8.0</v>
      </c>
      <c r="O3596" s="300" t="s">
        <v>987</v>
      </c>
      <c r="P3596" s="300">
        <v>6.0</v>
      </c>
    </row>
    <row r="3597">
      <c r="A3597">
        <f>IFERROR(__xludf.DUMMYFUNCTION("""COMPUTED_VALUE"""),12.0)</f>
        <v>12</v>
      </c>
      <c r="B3597">
        <f>IFERROR(__xludf.DUMMYFUNCTION("""COMPUTED_VALUE"""),26036.0)</f>
        <v>26036</v>
      </c>
      <c r="C3597" t="str">
        <f>IFERROR(__xludf.DUMMYFUNCTION("""COMPUTED_VALUE"""),"GAVIRIA LONDOÑO, ALEJANDRO")</f>
        <v>GAVIRIA LONDOÑO, ALEJANDRO</v>
      </c>
      <c r="D3597" t="str">
        <f>IFERROR(__xludf.DUMMYFUNCTION("""COMPUTED_VALUE"""),"Life Purpose")</f>
        <v>Life Purpose</v>
      </c>
      <c r="E3597" s="3">
        <f>IFERROR(__xludf.DUMMYFUNCTION("""COMPUTED_VALUE"""),7.0)</f>
        <v>7</v>
      </c>
      <c r="F3597" s="300">
        <v>1.0</v>
      </c>
      <c r="G3597" s="300">
        <v>1.0</v>
      </c>
      <c r="H3597" s="300">
        <v>1.0</v>
      </c>
      <c r="I3597" s="300">
        <v>1.0</v>
      </c>
      <c r="J3597" s="300">
        <v>1.0</v>
      </c>
      <c r="K3597" s="300">
        <v>1.0</v>
      </c>
      <c r="L3597" s="300">
        <v>1.0</v>
      </c>
      <c r="M3597" s="300">
        <v>1.0</v>
      </c>
      <c r="N3597" s="300">
        <v>8.0</v>
      </c>
      <c r="O3597" s="300" t="s">
        <v>984</v>
      </c>
      <c r="P3597" s="300">
        <v>6.0</v>
      </c>
    </row>
    <row r="3598">
      <c r="A3598">
        <f>IFERROR(__xludf.DUMMYFUNCTION("""COMPUTED_VALUE"""),12.0)</f>
        <v>12</v>
      </c>
      <c r="B3598" s="406">
        <f>IFERROR(__xludf.DUMMYFUNCTION("""COMPUTED_VALUE"""),26100.0)</f>
        <v>26100</v>
      </c>
      <c r="C3598" t="str">
        <f>IFERROR(__xludf.DUMMYFUNCTION("""COMPUTED_VALUE"""),"RESTREPO TORO, LUCIANO")</f>
        <v>RESTREPO TORO, LUCIANO</v>
      </c>
      <c r="D3598" t="str">
        <f>IFERROR(__xludf.DUMMYFUNCTION("""COMPUTED_VALUE"""),"Life Purpose")</f>
        <v>Life Purpose</v>
      </c>
      <c r="E3598" s="3">
        <f>IFERROR(__xludf.DUMMYFUNCTION("""COMPUTED_VALUE"""),1.0)</f>
        <v>1</v>
      </c>
      <c r="F3598" s="300">
        <v>1.0</v>
      </c>
      <c r="G3598" s="300">
        <v>1.0</v>
      </c>
      <c r="H3598" s="300">
        <v>1.0</v>
      </c>
      <c r="I3598" s="300">
        <v>1.0</v>
      </c>
      <c r="J3598" s="300">
        <v>1.0</v>
      </c>
      <c r="K3598" s="300">
        <v>1.0</v>
      </c>
      <c r="L3598" s="300">
        <v>1.0</v>
      </c>
      <c r="M3598" s="300">
        <v>1.0</v>
      </c>
      <c r="N3598" s="300">
        <v>8.0</v>
      </c>
      <c r="O3598" s="300" t="s">
        <v>986</v>
      </c>
      <c r="P3598" s="300">
        <v>6.0</v>
      </c>
    </row>
    <row r="3599">
      <c r="A3599">
        <f>IFERROR(__xludf.DUMMYFUNCTION("""COMPUTED_VALUE"""),12.0)</f>
        <v>12</v>
      </c>
      <c r="B3599">
        <f>IFERROR(__xludf.DUMMYFUNCTION("""COMPUTED_VALUE"""),26122.0)</f>
        <v>26122</v>
      </c>
      <c r="C3599" t="str">
        <f>IFERROR(__xludf.DUMMYFUNCTION("""COMPUTED_VALUE"""),"VILLEGAS PELAEZ, CRISTOBAL")</f>
        <v>VILLEGAS PELAEZ, CRISTOBAL</v>
      </c>
      <c r="D3599" t="str">
        <f>IFERROR(__xludf.DUMMYFUNCTION("""COMPUTED_VALUE"""),"Life Purpose")</f>
        <v>Life Purpose</v>
      </c>
      <c r="E3599" s="3">
        <f>IFERROR(__xludf.DUMMYFUNCTION("""COMPUTED_VALUE"""),1.0)</f>
        <v>1</v>
      </c>
      <c r="F3599" s="300">
        <v>1.0</v>
      </c>
      <c r="G3599" s="300">
        <v>1.0</v>
      </c>
      <c r="H3599" s="300">
        <v>1.0</v>
      </c>
      <c r="I3599" s="300">
        <v>1.0</v>
      </c>
      <c r="J3599" s="300">
        <v>1.0</v>
      </c>
      <c r="K3599" s="300">
        <v>1.0</v>
      </c>
      <c r="L3599" s="300">
        <v>1.0</v>
      </c>
      <c r="M3599" s="300">
        <v>1.0</v>
      </c>
      <c r="N3599" s="300">
        <v>8.0</v>
      </c>
      <c r="O3599" s="300" t="s">
        <v>986</v>
      </c>
      <c r="P3599" s="300">
        <v>6.0</v>
      </c>
    </row>
    <row r="3600">
      <c r="A3600">
        <f>IFERROR(__xludf.DUMMYFUNCTION("""COMPUTED_VALUE"""),12.0)</f>
        <v>12</v>
      </c>
      <c r="B3600">
        <f>IFERROR(__xludf.DUMMYFUNCTION("""COMPUTED_VALUE"""),26142.0)</f>
        <v>26142</v>
      </c>
      <c r="C3600" t="str">
        <f>IFERROR(__xludf.DUMMYFUNCTION("""COMPUTED_VALUE"""),"BERNAL ESTRADA, JERONIMO")</f>
        <v>BERNAL ESTRADA, JERONIMO</v>
      </c>
      <c r="D3600" t="str">
        <f>IFERROR(__xludf.DUMMYFUNCTION("""COMPUTED_VALUE"""),"Life Purpose")</f>
        <v>Life Purpose</v>
      </c>
      <c r="E3600" s="3">
        <f>IFERROR(__xludf.DUMMYFUNCTION("""COMPUTED_VALUE"""),1.0)</f>
        <v>1</v>
      </c>
      <c r="F3600" s="300">
        <v>1.0</v>
      </c>
      <c r="G3600" s="300">
        <v>1.0</v>
      </c>
      <c r="H3600" s="300">
        <v>1.0</v>
      </c>
      <c r="I3600" s="300">
        <v>1.0</v>
      </c>
      <c r="J3600" s="300">
        <v>1.0</v>
      </c>
      <c r="K3600" s="300">
        <v>1.0</v>
      </c>
      <c r="L3600" s="300">
        <v>1.0</v>
      </c>
      <c r="M3600" s="300">
        <v>1.0</v>
      </c>
      <c r="N3600" s="300">
        <v>8.0</v>
      </c>
      <c r="O3600" s="300" t="s">
        <v>986</v>
      </c>
      <c r="P3600" s="300">
        <v>6.0</v>
      </c>
    </row>
    <row r="3601">
      <c r="A3601">
        <f>IFERROR(__xludf.DUMMYFUNCTION("""COMPUTED_VALUE"""),12.0)</f>
        <v>12</v>
      </c>
      <c r="B3601">
        <f>IFERROR(__xludf.DUMMYFUNCTION("""COMPUTED_VALUE"""),26090.0)</f>
        <v>26090</v>
      </c>
      <c r="C3601" t="str">
        <f>IFERROR(__xludf.DUMMYFUNCTION("""COMPUTED_VALUE"""),"PETTIT PELAEZ, JUANITA")</f>
        <v>PETTIT PELAEZ, JUANITA</v>
      </c>
      <c r="D3601" t="str">
        <f>IFERROR(__xludf.DUMMYFUNCTION("""COMPUTED_VALUE"""),"AP Psychology")</f>
        <v>AP Psychology</v>
      </c>
      <c r="E3601" s="3">
        <f>IFERROR(__xludf.DUMMYFUNCTION("""COMPUTED_VALUE"""),5.0)</f>
        <v>5</v>
      </c>
      <c r="F3601" s="300">
        <v>1.0</v>
      </c>
      <c r="G3601" s="300">
        <v>1.0</v>
      </c>
      <c r="H3601" s="300">
        <v>1.0</v>
      </c>
      <c r="I3601" s="300">
        <v>1.0</v>
      </c>
      <c r="J3601" s="300">
        <v>1.0</v>
      </c>
      <c r="K3601" s="300">
        <v>1.0</v>
      </c>
      <c r="L3601" s="300">
        <v>1.0</v>
      </c>
      <c r="M3601" s="300">
        <v>1.0</v>
      </c>
      <c r="N3601" s="300">
        <v>8.0</v>
      </c>
      <c r="O3601" s="300" t="s">
        <v>985</v>
      </c>
      <c r="P3601" s="300">
        <v>2.0</v>
      </c>
    </row>
    <row r="3602">
      <c r="A3602">
        <f>IFERROR(__xludf.DUMMYFUNCTION("""COMPUTED_VALUE"""),12.0)</f>
        <v>12</v>
      </c>
      <c r="B3602">
        <f>IFERROR(__xludf.DUMMYFUNCTION("""COMPUTED_VALUE"""),26132.0)</f>
        <v>26132</v>
      </c>
      <c r="C3602" t="str">
        <f>IFERROR(__xludf.DUMMYFUNCTION("""COMPUTED_VALUE"""),"OLIVEIRA CASTAÑO, MIRANDA")</f>
        <v>OLIVEIRA CASTAÑO, MIRANDA</v>
      </c>
      <c r="D3602" t="str">
        <f>IFERROR(__xludf.DUMMYFUNCTION("""COMPUTED_VALUE"""),"Introduction to Law")</f>
        <v>Introduction to Law</v>
      </c>
      <c r="E3602" s="3">
        <f>IFERROR(__xludf.DUMMYFUNCTION("""COMPUTED_VALUE"""),4.0)</f>
        <v>4</v>
      </c>
      <c r="F3602" s="300">
        <v>1.0</v>
      </c>
      <c r="G3602" s="300">
        <v>1.0</v>
      </c>
      <c r="H3602" s="300">
        <v>1.0</v>
      </c>
      <c r="I3602" s="300">
        <v>1.0</v>
      </c>
      <c r="J3602" s="300">
        <v>1.0</v>
      </c>
      <c r="K3602" s="300">
        <v>1.0</v>
      </c>
      <c r="L3602" s="300">
        <v>1.0</v>
      </c>
      <c r="M3602" s="300">
        <v>1.0</v>
      </c>
      <c r="N3602" s="300">
        <v>8.0</v>
      </c>
      <c r="O3602" s="300" t="s">
        <v>982</v>
      </c>
      <c r="P3602" s="300">
        <v>1.0</v>
      </c>
    </row>
    <row r="3603">
      <c r="A3603">
        <f>IFERROR(__xludf.DUMMYFUNCTION("""COMPUTED_VALUE"""),12.0)</f>
        <v>12</v>
      </c>
      <c r="B3603">
        <f>IFERROR(__xludf.DUMMYFUNCTION("""COMPUTED_VALUE"""),26109.0)</f>
        <v>26109</v>
      </c>
      <c r="C3603" t="str">
        <f>IFERROR(__xludf.DUMMYFUNCTION("""COMPUTED_VALUE"""),"TORRES GAVIRIA, MARIANA")</f>
        <v>TORRES GAVIRIA, MARIANA</v>
      </c>
      <c r="D3603" t="str">
        <f>IFERROR(__xludf.DUMMYFUNCTION("""COMPUTED_VALUE"""),"AP Psychology")</f>
        <v>AP Psychology</v>
      </c>
      <c r="E3603" s="3">
        <f>IFERROR(__xludf.DUMMYFUNCTION("""COMPUTED_VALUE"""),4.0)</f>
        <v>4</v>
      </c>
      <c r="F3603" s="300">
        <v>1.0</v>
      </c>
      <c r="G3603" s="300">
        <v>1.0</v>
      </c>
      <c r="H3603" s="300">
        <v>1.0</v>
      </c>
      <c r="I3603" s="300">
        <v>1.0</v>
      </c>
      <c r="J3603" s="300">
        <v>1.0</v>
      </c>
      <c r="K3603" s="300">
        <v>1.0</v>
      </c>
      <c r="L3603" s="300">
        <v>1.0</v>
      </c>
      <c r="M3603" s="300">
        <v>1.0</v>
      </c>
      <c r="N3603" s="300">
        <v>8.0</v>
      </c>
      <c r="O3603" s="300" t="s">
        <v>981</v>
      </c>
      <c r="P3603" s="300">
        <v>2.0</v>
      </c>
    </row>
    <row r="3604">
      <c r="A3604">
        <f>IFERROR(__xludf.DUMMYFUNCTION("""COMPUTED_VALUE"""),12.0)</f>
        <v>12</v>
      </c>
      <c r="B3604">
        <f>IFERROR(__xludf.DUMMYFUNCTION("""COMPUTED_VALUE"""),26027.0)</f>
        <v>26027</v>
      </c>
      <c r="C3604" t="str">
        <f>IFERROR(__xludf.DUMMYFUNCTION("""COMPUTED_VALUE"""),"ESCANDON LIBOS, MARIA")</f>
        <v>ESCANDON LIBOS, MARIA</v>
      </c>
      <c r="D3604" t="str">
        <f>IFERROR(__xludf.DUMMYFUNCTION("""COMPUTED_VALUE"""),"AP Economics")</f>
        <v>AP Economics</v>
      </c>
      <c r="E3604" s="3">
        <f>IFERROR(__xludf.DUMMYFUNCTION("""COMPUTED_VALUE"""),7.0)</f>
        <v>7</v>
      </c>
      <c r="F3604" s="300">
        <v>1.0</v>
      </c>
      <c r="G3604" s="300">
        <v>1.0</v>
      </c>
      <c r="H3604" s="300">
        <v>1.0</v>
      </c>
      <c r="I3604" s="300">
        <v>1.0</v>
      </c>
      <c r="J3604" s="300">
        <v>1.0</v>
      </c>
      <c r="K3604" s="300">
        <v>1.0</v>
      </c>
      <c r="L3604" s="300">
        <v>1.0</v>
      </c>
      <c r="M3604" s="300">
        <v>1.0</v>
      </c>
      <c r="N3604" s="300">
        <v>8.0</v>
      </c>
      <c r="O3604" s="300" t="s">
        <v>983</v>
      </c>
      <c r="P3604" s="300">
        <v>4.0</v>
      </c>
    </row>
    <row r="3605">
      <c r="A3605">
        <f>IFERROR(__xludf.DUMMYFUNCTION("""COMPUTED_VALUE"""),12.0)</f>
        <v>12</v>
      </c>
      <c r="B3605">
        <f>IFERROR(__xludf.DUMMYFUNCTION("""COMPUTED_VALUE"""),26019.0)</f>
        <v>26019</v>
      </c>
      <c r="C3605" t="str">
        <f>IFERROR(__xludf.DUMMYFUNCTION("""COMPUTED_VALUE"""),"CADAVID VELASQUEZ, MARTIN")</f>
        <v>CADAVID VELASQUEZ, MARTIN</v>
      </c>
      <c r="D3605" t="str">
        <f>IFERROR(__xludf.DUMMYFUNCTION("""COMPUTED_VALUE"""),"Pensar nuestro tiempo")</f>
        <v>Pensar nuestro tiempo</v>
      </c>
      <c r="E3605" s="3">
        <f>IFERROR(__xludf.DUMMYFUNCTION("""COMPUTED_VALUE"""),2.0)</f>
        <v>2</v>
      </c>
      <c r="F3605" s="300">
        <v>1.0</v>
      </c>
      <c r="G3605" s="300">
        <v>1.0</v>
      </c>
      <c r="H3605" s="300">
        <v>1.0</v>
      </c>
      <c r="I3605" s="300">
        <v>1.0</v>
      </c>
      <c r="J3605" s="300">
        <v>1.0</v>
      </c>
      <c r="K3605" s="300">
        <v>1.0</v>
      </c>
      <c r="L3605" s="300">
        <v>1.0</v>
      </c>
      <c r="M3605" s="300">
        <v>1.0</v>
      </c>
      <c r="N3605" s="300">
        <v>8.0</v>
      </c>
      <c r="O3605" s="300" t="s">
        <v>976</v>
      </c>
      <c r="P3605" s="300">
        <v>1.0</v>
      </c>
    </row>
    <row r="3606">
      <c r="A3606">
        <f>IFERROR(__xludf.DUMMYFUNCTION("""COMPUTED_VALUE"""),12.0)</f>
        <v>12</v>
      </c>
      <c r="B3606">
        <f>IFERROR(__xludf.DUMMYFUNCTION("""COMPUTED_VALUE"""),26031.0)</f>
        <v>26031</v>
      </c>
      <c r="C3606" t="str">
        <f>IFERROR(__xludf.DUMMYFUNCTION("""COMPUTED_VALUE"""),"FRANCO GOMEZ, DANIEL")</f>
        <v>FRANCO GOMEZ, DANIEL</v>
      </c>
      <c r="D3606" t="str">
        <f>IFERROR(__xludf.DUMMYFUNCTION("""COMPUTED_VALUE"""),"AP World History")</f>
        <v>AP World History</v>
      </c>
      <c r="E3606" s="3">
        <f>IFERROR(__xludf.DUMMYFUNCTION("""COMPUTED_VALUE"""),5.0)</f>
        <v>5</v>
      </c>
      <c r="F3606" s="300">
        <v>1.0</v>
      </c>
      <c r="G3606" s="300">
        <v>1.0</v>
      </c>
      <c r="H3606" s="300">
        <v>1.0</v>
      </c>
      <c r="I3606" s="300">
        <v>1.0</v>
      </c>
      <c r="J3606" s="300">
        <v>1.0</v>
      </c>
      <c r="K3606" s="300">
        <v>1.0</v>
      </c>
      <c r="L3606" s="300">
        <v>1.0</v>
      </c>
      <c r="M3606" s="300">
        <v>1.0</v>
      </c>
      <c r="N3606" s="300">
        <v>8.0</v>
      </c>
      <c r="O3606" s="300" t="s">
        <v>974</v>
      </c>
      <c r="P3606" s="300">
        <v>2.0</v>
      </c>
    </row>
    <row r="3607">
      <c r="A3607">
        <f>IFERROR(__xludf.DUMMYFUNCTION("""COMPUTED_VALUE"""),12.0)</f>
        <v>12</v>
      </c>
      <c r="B3607">
        <f>IFERROR(__xludf.DUMMYFUNCTION("""COMPUTED_VALUE"""),26047.0)</f>
        <v>26047</v>
      </c>
      <c r="C3607" t="str">
        <f>IFERROR(__xludf.DUMMYFUNCTION("""COMPUTED_VALUE"""),"HENAO ISAZA, LUCIANO")</f>
        <v>HENAO ISAZA, LUCIANO</v>
      </c>
      <c r="D3607" t="str">
        <f>IFERROR(__xludf.DUMMYFUNCTION("""COMPUTED_VALUE"""),"Introduction to Law")</f>
        <v>Introduction to Law</v>
      </c>
      <c r="E3607" s="3">
        <f>IFERROR(__xludf.DUMMYFUNCTION("""COMPUTED_VALUE"""),4.0)</f>
        <v>4</v>
      </c>
      <c r="F3607" s="300">
        <v>1.0</v>
      </c>
      <c r="G3607" s="300">
        <v>1.0</v>
      </c>
      <c r="H3607" s="300">
        <v>1.0</v>
      </c>
      <c r="I3607" s="300">
        <v>1.0</v>
      </c>
      <c r="J3607" s="300">
        <v>1.0</v>
      </c>
      <c r="K3607" s="300">
        <v>1.0</v>
      </c>
      <c r="L3607" s="300">
        <v>1.0</v>
      </c>
      <c r="M3607" s="300">
        <v>1.0</v>
      </c>
      <c r="N3607" s="300">
        <v>8.0</v>
      </c>
      <c r="O3607" s="300" t="s">
        <v>982</v>
      </c>
      <c r="P3607" s="300">
        <v>1.0</v>
      </c>
    </row>
    <row r="3608">
      <c r="A3608">
        <f>IFERROR(__xludf.DUMMYFUNCTION("""COMPUTED_VALUE"""),12.0)</f>
        <v>12</v>
      </c>
      <c r="B3608">
        <f>IFERROR(__xludf.DUMMYFUNCTION("""COMPUTED_VALUE"""),26095.0)</f>
        <v>26095</v>
      </c>
      <c r="C3608" t="str">
        <f>IFERROR(__xludf.DUMMYFUNCTION("""COMPUTED_VALUE"""),"RAMIREZ PELAEZ, LUCIANA")</f>
        <v>RAMIREZ PELAEZ, LUCIANA</v>
      </c>
      <c r="D3608" t="str">
        <f>IFERROR(__xludf.DUMMYFUNCTION("""COMPUTED_VALUE"""),"Pensar nuestro tiempo")</f>
        <v>Pensar nuestro tiempo</v>
      </c>
      <c r="E3608" s="3">
        <f>IFERROR(__xludf.DUMMYFUNCTION("""COMPUTED_VALUE"""),2.0)</f>
        <v>2</v>
      </c>
      <c r="F3608" s="300">
        <v>1.0</v>
      </c>
      <c r="G3608" s="300">
        <v>1.0</v>
      </c>
      <c r="H3608" s="300">
        <v>1.0</v>
      </c>
      <c r="I3608" s="300">
        <v>1.0</v>
      </c>
      <c r="J3608" s="300">
        <v>1.0</v>
      </c>
      <c r="K3608" s="300">
        <v>1.0</v>
      </c>
      <c r="L3608" s="300">
        <v>1.0</v>
      </c>
      <c r="M3608" s="300">
        <v>1.0</v>
      </c>
      <c r="N3608" s="300">
        <v>8.0</v>
      </c>
      <c r="O3608" s="300" t="s">
        <v>976</v>
      </c>
      <c r="P3608" s="300">
        <v>1.0</v>
      </c>
    </row>
    <row r="3609">
      <c r="A3609">
        <f>IFERROR(__xludf.DUMMYFUNCTION("""COMPUTED_VALUE"""),12.0)</f>
        <v>12</v>
      </c>
      <c r="B3609">
        <f>IFERROR(__xludf.DUMMYFUNCTION("""COMPUTED_VALUE"""),26032.0)</f>
        <v>26032</v>
      </c>
      <c r="C3609" t="str">
        <f>IFERROR(__xludf.DUMMYFUNCTION("""COMPUTED_VALUE"""),"FRANCO SALDARRIAGA, EDUARDO")</f>
        <v>FRANCO SALDARRIAGA, EDUARDO</v>
      </c>
      <c r="D3609" t="str">
        <f>IFERROR(__xludf.DUMMYFUNCTION("""COMPUTED_VALUE"""),"AP Psychology")</f>
        <v>AP Psychology</v>
      </c>
      <c r="E3609" s="3">
        <f>IFERROR(__xludf.DUMMYFUNCTION("""COMPUTED_VALUE"""),5.0)</f>
        <v>5</v>
      </c>
      <c r="F3609" s="300">
        <v>1.0</v>
      </c>
      <c r="G3609" s="300">
        <v>1.0</v>
      </c>
      <c r="H3609" s="300">
        <v>1.0</v>
      </c>
      <c r="I3609" s="300">
        <v>1.0</v>
      </c>
      <c r="J3609" s="300">
        <v>1.0</v>
      </c>
      <c r="K3609" s="300">
        <v>1.0</v>
      </c>
      <c r="L3609" s="300">
        <v>1.0</v>
      </c>
      <c r="M3609" s="300">
        <v>1.0</v>
      </c>
      <c r="N3609" s="300">
        <v>8.0</v>
      </c>
      <c r="O3609" s="300" t="s">
        <v>985</v>
      </c>
      <c r="P3609" s="300">
        <v>2.0</v>
      </c>
    </row>
    <row r="3610">
      <c r="A3610">
        <f>IFERROR(__xludf.DUMMYFUNCTION("""COMPUTED_VALUE"""),12.0)</f>
        <v>12</v>
      </c>
      <c r="B3610">
        <f>IFERROR(__xludf.DUMMYFUNCTION("""COMPUTED_VALUE"""),26072.0)</f>
        <v>26072</v>
      </c>
      <c r="C3610" t="str">
        <f>IFERROR(__xludf.DUMMYFUNCTION("""COMPUTED_VALUE"""),"MERINO VALENCIA, CAMILO")</f>
        <v>MERINO VALENCIA, CAMILO</v>
      </c>
      <c r="D3610" t="str">
        <f>IFERROR(__xludf.DUMMYFUNCTION("""COMPUTED_VALUE"""),"Life Purpose")</f>
        <v>Life Purpose</v>
      </c>
      <c r="E3610" s="3">
        <f>IFERROR(__xludf.DUMMYFUNCTION("""COMPUTED_VALUE"""),3.0)</f>
        <v>3</v>
      </c>
      <c r="F3610" s="300">
        <v>1.0</v>
      </c>
      <c r="G3610" s="300">
        <v>1.0</v>
      </c>
      <c r="H3610" s="300">
        <v>1.0</v>
      </c>
      <c r="I3610" s="300">
        <v>1.0</v>
      </c>
      <c r="J3610" s="300">
        <v>1.0</v>
      </c>
      <c r="K3610" s="300">
        <v>1.0</v>
      </c>
      <c r="L3610" s="300">
        <v>1.0</v>
      </c>
      <c r="M3610" s="300">
        <v>1.0</v>
      </c>
      <c r="N3610" s="300">
        <v>8.0</v>
      </c>
      <c r="O3610" s="300" t="s">
        <v>987</v>
      </c>
      <c r="P3610" s="300">
        <v>6.0</v>
      </c>
    </row>
    <row r="3611">
      <c r="A3611">
        <f>IFERROR(__xludf.DUMMYFUNCTION("""COMPUTED_VALUE"""),12.0)</f>
        <v>12</v>
      </c>
      <c r="B3611">
        <f>IFERROR(__xludf.DUMMYFUNCTION("""COMPUTED_VALUE"""),26139.0)</f>
        <v>26139</v>
      </c>
      <c r="C3611" t="str">
        <f>IFERROR(__xludf.DUMMYFUNCTION("""COMPUTED_VALUE"""),"POSADA VILLALOBOS, VERONICA")</f>
        <v>POSADA VILLALOBOS, VERONICA</v>
      </c>
      <c r="D3611" t="str">
        <f>IFERROR(__xludf.DUMMYFUNCTION("""COMPUTED_VALUE"""),"AP World History")</f>
        <v>AP World History</v>
      </c>
      <c r="E3611" s="3">
        <f>IFERROR(__xludf.DUMMYFUNCTION("""COMPUTED_VALUE"""),5.0)</f>
        <v>5</v>
      </c>
      <c r="F3611" s="300">
        <v>1.0</v>
      </c>
      <c r="G3611" s="300">
        <v>1.0</v>
      </c>
      <c r="H3611" s="300">
        <v>1.0</v>
      </c>
      <c r="I3611" s="300">
        <v>1.0</v>
      </c>
      <c r="J3611" s="300">
        <v>1.0</v>
      </c>
      <c r="K3611" s="300">
        <v>1.0</v>
      </c>
      <c r="L3611" s="300">
        <v>1.0</v>
      </c>
      <c r="M3611" s="300">
        <v>1.0</v>
      </c>
      <c r="N3611" s="300">
        <v>8.0</v>
      </c>
      <c r="O3611" s="300" t="s">
        <v>974</v>
      </c>
      <c r="P3611" s="300">
        <v>2.0</v>
      </c>
    </row>
    <row r="3612">
      <c r="A3612">
        <f>IFERROR(__xludf.DUMMYFUNCTION("""COMPUTED_VALUE"""),12.0)</f>
        <v>12</v>
      </c>
      <c r="B3612" s="406">
        <f>IFERROR(__xludf.DUMMYFUNCTION("""COMPUTED_VALUE"""),26129.0)</f>
        <v>26129</v>
      </c>
      <c r="C3612" t="str">
        <f>IFERROR(__xludf.DUMMYFUNCTION("""COMPUTED_VALUE"""),"CALLE BUITRAGO, MARTIN")</f>
        <v>CALLE BUITRAGO, MARTIN</v>
      </c>
      <c r="D3612" t="str">
        <f>IFERROR(__xludf.DUMMYFUNCTION("""COMPUTED_VALUE"""),"AP Economics")</f>
        <v>AP Economics</v>
      </c>
      <c r="E3612" s="3">
        <f>IFERROR(__xludf.DUMMYFUNCTION("""COMPUTED_VALUE"""),5.0)</f>
        <v>5</v>
      </c>
      <c r="F3612" s="300">
        <v>1.0</v>
      </c>
      <c r="G3612" s="300">
        <v>1.0</v>
      </c>
      <c r="H3612" s="300">
        <v>1.0</v>
      </c>
      <c r="I3612" s="300">
        <v>1.0</v>
      </c>
      <c r="J3612" s="300">
        <v>1.0</v>
      </c>
      <c r="K3612" s="300">
        <v>1.0</v>
      </c>
      <c r="L3612" s="300">
        <v>1.0</v>
      </c>
      <c r="M3612" s="300">
        <v>1.0</v>
      </c>
      <c r="N3612" s="300">
        <v>8.0</v>
      </c>
      <c r="O3612" s="300" t="s">
        <v>975</v>
      </c>
      <c r="P3612" s="300">
        <v>4.0</v>
      </c>
    </row>
    <row r="3613">
      <c r="A3613">
        <f>IFERROR(__xludf.DUMMYFUNCTION("""COMPUTED_VALUE"""),12.0)</f>
        <v>12</v>
      </c>
      <c r="B3613">
        <f>IFERROR(__xludf.DUMMYFUNCTION("""COMPUTED_VALUE"""),26125.0)</f>
        <v>26125</v>
      </c>
      <c r="C3613" t="str">
        <f>IFERROR(__xludf.DUMMYFUNCTION("""COMPUTED_VALUE"""),"YEPES RAMIREZ, MARTIN")</f>
        <v>YEPES RAMIREZ, MARTIN</v>
      </c>
      <c r="D3613" t="str">
        <f>IFERROR(__xludf.DUMMYFUNCTION("""COMPUTED_VALUE"""),"Life Purpose")</f>
        <v>Life Purpose</v>
      </c>
      <c r="E3613" s="3">
        <f>IFERROR(__xludf.DUMMYFUNCTION("""COMPUTED_VALUE"""),8.0)</f>
        <v>8</v>
      </c>
      <c r="F3613" s="300">
        <v>1.0</v>
      </c>
      <c r="G3613" s="300">
        <v>1.0</v>
      </c>
      <c r="H3613" s="300">
        <v>1.0</v>
      </c>
      <c r="I3613" s="300">
        <v>1.0</v>
      </c>
      <c r="J3613" s="300">
        <v>1.0</v>
      </c>
      <c r="K3613" s="300">
        <v>1.0</v>
      </c>
      <c r="L3613" s="300">
        <v>1.0</v>
      </c>
      <c r="M3613" s="300">
        <v>1.0</v>
      </c>
      <c r="N3613" s="300">
        <v>8.0</v>
      </c>
      <c r="O3613" s="300" t="s">
        <v>978</v>
      </c>
      <c r="P3613" s="300">
        <v>6.0</v>
      </c>
    </row>
    <row r="3614">
      <c r="A3614">
        <f>IFERROR(__xludf.DUMMYFUNCTION("""COMPUTED_VALUE"""),12.0)</f>
        <v>12</v>
      </c>
      <c r="B3614">
        <f>IFERROR(__xludf.DUMMYFUNCTION("""COMPUTED_VALUE"""),25039.0)</f>
        <v>25039</v>
      </c>
      <c r="C3614" t="str">
        <f>IFERROR(__xludf.DUMMYFUNCTION("""COMPUTED_VALUE"""),"GARZA PATIÑO, MARCO")</f>
        <v>GARZA PATIÑO, MARCO</v>
      </c>
      <c r="D3614" t="str">
        <f>IFERROR(__xludf.DUMMYFUNCTION("""COMPUTED_VALUE"""),"AP Psychology")</f>
        <v>AP Psychology</v>
      </c>
      <c r="E3614" s="3">
        <f>IFERROR(__xludf.DUMMYFUNCTION("""COMPUTED_VALUE"""),4.0)</f>
        <v>4</v>
      </c>
      <c r="F3614" s="300">
        <v>1.0</v>
      </c>
      <c r="G3614" s="300">
        <v>1.0</v>
      </c>
      <c r="H3614" s="300">
        <v>1.0</v>
      </c>
      <c r="I3614" s="300">
        <v>1.0</v>
      </c>
      <c r="J3614" s="300">
        <v>1.0</v>
      </c>
      <c r="K3614" s="300">
        <v>1.0</v>
      </c>
      <c r="L3614" s="300">
        <v>1.0</v>
      </c>
      <c r="M3614" s="300">
        <v>1.0</v>
      </c>
      <c r="N3614" s="300">
        <v>8.0</v>
      </c>
      <c r="O3614" s="300" t="s">
        <v>981</v>
      </c>
      <c r="P3614" s="300">
        <v>2.0</v>
      </c>
    </row>
    <row r="3615">
      <c r="A3615">
        <f>IFERROR(__xludf.DUMMYFUNCTION("""COMPUTED_VALUE"""),12.0)</f>
        <v>12</v>
      </c>
      <c r="B3615">
        <f>IFERROR(__xludf.DUMMYFUNCTION("""COMPUTED_VALUE"""),26133.0)</f>
        <v>26133</v>
      </c>
      <c r="C3615" t="str">
        <f>IFERROR(__xludf.DUMMYFUNCTION("""COMPUTED_VALUE"""),"SUAREZ MARTINEZ, PABLO")</f>
        <v>SUAREZ MARTINEZ, PABLO</v>
      </c>
      <c r="D3615" t="str">
        <f>IFERROR(__xludf.DUMMYFUNCTION("""COMPUTED_VALUE"""),"Introduction to Law")</f>
        <v>Introduction to Law</v>
      </c>
      <c r="E3615" s="3">
        <f>IFERROR(__xludf.DUMMYFUNCTION("""COMPUTED_VALUE"""),4.0)</f>
        <v>4</v>
      </c>
      <c r="F3615" s="300">
        <v>1.0</v>
      </c>
      <c r="G3615" s="300">
        <v>1.0</v>
      </c>
      <c r="H3615" s="300">
        <v>1.0</v>
      </c>
      <c r="I3615" s="300">
        <v>1.0</v>
      </c>
      <c r="J3615" s="300">
        <v>1.0</v>
      </c>
      <c r="K3615" s="300">
        <v>1.0</v>
      </c>
      <c r="L3615" s="300">
        <v>1.0</v>
      </c>
      <c r="M3615" s="300">
        <v>1.0</v>
      </c>
      <c r="N3615" s="300">
        <v>8.0</v>
      </c>
      <c r="O3615" s="300" t="s">
        <v>982</v>
      </c>
      <c r="P3615" s="300">
        <v>1.0</v>
      </c>
    </row>
    <row r="3616">
      <c r="A3616">
        <f>IFERROR(__xludf.DUMMYFUNCTION("""COMPUTED_VALUE"""),12.0)</f>
        <v>12</v>
      </c>
      <c r="B3616">
        <f>IFERROR(__xludf.DUMMYFUNCTION("""COMPUTED_VALUE"""),26110.0)</f>
        <v>26110</v>
      </c>
      <c r="C3616" t="str">
        <f>IFERROR(__xludf.DUMMYFUNCTION("""COMPUTED_VALUE"""),"URIBE CORREA, VICENTE")</f>
        <v>URIBE CORREA, VICENTE</v>
      </c>
      <c r="D3616" t="str">
        <f>IFERROR(__xludf.DUMMYFUNCTION("""COMPUTED_VALUE"""),"Life Purpose")</f>
        <v>Life Purpose</v>
      </c>
      <c r="E3616" s="3">
        <f>IFERROR(__xludf.DUMMYFUNCTION("""COMPUTED_VALUE"""),8.0)</f>
        <v>8</v>
      </c>
      <c r="F3616" s="300">
        <v>1.0</v>
      </c>
      <c r="G3616" s="300">
        <v>1.0</v>
      </c>
      <c r="H3616" s="300">
        <v>1.0</v>
      </c>
      <c r="I3616" s="300">
        <v>1.0</v>
      </c>
      <c r="J3616" s="300">
        <v>1.0</v>
      </c>
      <c r="K3616" s="300">
        <v>1.0</v>
      </c>
      <c r="L3616" s="300">
        <v>1.0</v>
      </c>
      <c r="M3616" s="300">
        <v>1.0</v>
      </c>
      <c r="N3616" s="300">
        <v>8.0</v>
      </c>
      <c r="O3616" s="300" t="s">
        <v>978</v>
      </c>
      <c r="P3616" s="300">
        <v>6.0</v>
      </c>
    </row>
    <row r="3617">
      <c r="A3617">
        <f>IFERROR(__xludf.DUMMYFUNCTION("""COMPUTED_VALUE"""),12.0)</f>
        <v>12</v>
      </c>
      <c r="B3617">
        <f>IFERROR(__xludf.DUMMYFUNCTION("""COMPUTED_VALUE"""),26022.0)</f>
        <v>26022</v>
      </c>
      <c r="C3617" t="str">
        <f>IFERROR(__xludf.DUMMYFUNCTION("""COMPUTED_VALUE"""),"CAROLI ABAD, MASSIMILIANO")</f>
        <v>CAROLI ABAD, MASSIMILIANO</v>
      </c>
      <c r="D3617" t="str">
        <f>IFERROR(__xludf.DUMMYFUNCTION("""COMPUTED_VALUE"""),"Life Purpose")</f>
        <v>Life Purpose</v>
      </c>
      <c r="E3617" s="3">
        <f>IFERROR(__xludf.DUMMYFUNCTION("""COMPUTED_VALUE"""),1.0)</f>
        <v>1</v>
      </c>
      <c r="F3617" s="300">
        <v>1.0</v>
      </c>
      <c r="G3617" s="300">
        <v>1.0</v>
      </c>
      <c r="H3617" s="300">
        <v>1.0</v>
      </c>
      <c r="I3617" s="300">
        <v>1.0</v>
      </c>
      <c r="J3617" s="300">
        <v>1.0</v>
      </c>
      <c r="K3617" s="300">
        <v>1.0</v>
      </c>
      <c r="L3617" s="300">
        <v>1.0</v>
      </c>
      <c r="M3617" s="300">
        <v>1.0</v>
      </c>
      <c r="N3617" s="300">
        <v>8.0</v>
      </c>
      <c r="O3617" s="300" t="s">
        <v>986</v>
      </c>
      <c r="P3617" s="300">
        <v>6.0</v>
      </c>
    </row>
    <row r="3618">
      <c r="A3618">
        <f>IFERROR(__xludf.DUMMYFUNCTION("""COMPUTED_VALUE"""),12.0)</f>
        <v>12</v>
      </c>
      <c r="B3618">
        <f>IFERROR(__xludf.DUMMYFUNCTION("""COMPUTED_VALUE"""),26102.0)</f>
        <v>26102</v>
      </c>
      <c r="C3618" t="str">
        <f>IFERROR(__xludf.DUMMYFUNCTION("""COMPUTED_VALUE"""),"RODRIGUEZ NAVARRO, MIGUEL")</f>
        <v>RODRIGUEZ NAVARRO, MIGUEL</v>
      </c>
      <c r="D3618" t="str">
        <f>IFERROR(__xludf.DUMMYFUNCTION("""COMPUTED_VALUE"""),"Life Purpose")</f>
        <v>Life Purpose</v>
      </c>
      <c r="E3618" s="3">
        <f>IFERROR(__xludf.DUMMYFUNCTION("""COMPUTED_VALUE"""),3.0)</f>
        <v>3</v>
      </c>
      <c r="F3618" s="300">
        <v>1.0</v>
      </c>
      <c r="G3618" s="300">
        <v>1.0</v>
      </c>
      <c r="H3618" s="300">
        <v>1.0</v>
      </c>
      <c r="I3618" s="300">
        <v>1.0</v>
      </c>
      <c r="J3618" s="300">
        <v>1.0</v>
      </c>
      <c r="K3618" s="300">
        <v>1.0</v>
      </c>
      <c r="L3618" s="300">
        <v>1.0</v>
      </c>
      <c r="M3618" s="300">
        <v>1.0</v>
      </c>
      <c r="N3618" s="300">
        <v>8.0</v>
      </c>
      <c r="O3618" s="300" t="s">
        <v>987</v>
      </c>
      <c r="P3618" s="300">
        <v>6.0</v>
      </c>
    </row>
    <row r="3619">
      <c r="A3619">
        <f>IFERROR(__xludf.DUMMYFUNCTION("""COMPUTED_VALUE"""),12.0)</f>
        <v>12</v>
      </c>
      <c r="B3619">
        <f>IFERROR(__xludf.DUMMYFUNCTION("""COMPUTED_VALUE"""),26107.0)</f>
        <v>26107</v>
      </c>
      <c r="C3619" t="str">
        <f>IFERROR(__xludf.DUMMYFUNCTION("""COMPUTED_VALUE"""),"SUAREZ PEREZ ROSARIO")</f>
        <v>SUAREZ PEREZ ROSARIO</v>
      </c>
      <c r="D3619" t="str">
        <f>IFERROR(__xludf.DUMMYFUNCTION("""COMPUTED_VALUE"""),"AP World History")</f>
        <v>AP World History</v>
      </c>
      <c r="E3619" s="3">
        <f>IFERROR(__xludf.DUMMYFUNCTION("""COMPUTED_VALUE"""),5.0)</f>
        <v>5</v>
      </c>
      <c r="F3619" s="300">
        <v>1.0</v>
      </c>
      <c r="G3619" s="300">
        <v>1.0</v>
      </c>
      <c r="H3619" s="300">
        <v>1.0</v>
      </c>
      <c r="I3619" s="300">
        <v>1.0</v>
      </c>
      <c r="J3619" s="300">
        <v>1.0</v>
      </c>
      <c r="K3619" s="300">
        <v>1.0</v>
      </c>
      <c r="L3619" s="300">
        <v>1.0</v>
      </c>
      <c r="M3619" s="300">
        <v>1.0</v>
      </c>
      <c r="N3619" s="300">
        <v>8.0</v>
      </c>
      <c r="O3619" s="300" t="s">
        <v>974</v>
      </c>
      <c r="P3619" s="300">
        <v>2.0</v>
      </c>
    </row>
    <row r="3620">
      <c r="A3620">
        <f>IFERROR(__xludf.DUMMYFUNCTION("""COMPUTED_VALUE"""),11.0)</f>
        <v>11</v>
      </c>
      <c r="B3620">
        <f>IFERROR(__xludf.DUMMYFUNCTION("""COMPUTED_VALUE"""),27148.0)</f>
        <v>27148</v>
      </c>
      <c r="C3620" t="str">
        <f>IFERROR(__xludf.DUMMYFUNCTION("""COMPUTED_VALUE"""),"TALUKDAR, JIGYASHA")</f>
        <v>TALUKDAR, JIGYASHA</v>
      </c>
      <c r="D3620" t="str">
        <f>IFERROR(__xludf.DUMMYFUNCTION("""COMPUTED_VALUE"""),"AP Psychology")</f>
        <v>AP Psychology</v>
      </c>
      <c r="E3620" s="3">
        <f>IFERROR(__xludf.DUMMYFUNCTION("""COMPUTED_VALUE"""),4.0)</f>
        <v>4</v>
      </c>
      <c r="F3620" s="300">
        <v>1.0</v>
      </c>
      <c r="G3620" s="300">
        <v>1.0</v>
      </c>
      <c r="H3620" s="300">
        <v>1.0</v>
      </c>
      <c r="I3620" s="300">
        <v>1.0</v>
      </c>
      <c r="J3620" s="300">
        <v>1.0</v>
      </c>
      <c r="K3620" s="300">
        <v>1.0</v>
      </c>
      <c r="L3620" s="300">
        <v>1.0</v>
      </c>
      <c r="M3620" s="300">
        <v>1.0</v>
      </c>
      <c r="N3620" s="300">
        <v>8.0</v>
      </c>
      <c r="O3620" s="300" t="s">
        <v>981</v>
      </c>
      <c r="P3620" s="300">
        <v>2.0</v>
      </c>
    </row>
    <row r="3621">
      <c r="A3621">
        <f>IFERROR(__xludf.DUMMYFUNCTION("""COMPUTED_VALUE"""),11.0)</f>
        <v>11</v>
      </c>
      <c r="B3621">
        <f>IFERROR(__xludf.DUMMYFUNCTION("""COMPUTED_VALUE"""),27180.0)</f>
        <v>27180</v>
      </c>
      <c r="C3621" t="str">
        <f>IFERROR(__xludf.DUMMYFUNCTION("""COMPUTED_VALUE"""),"CANDELA SÁNCHEZ, LORENZO")</f>
        <v>CANDELA SÁNCHEZ, LORENZO</v>
      </c>
      <c r="D3621" t="str">
        <f>IFERROR(__xludf.DUMMYFUNCTION("""COMPUTED_VALUE"""),"AP World History")</f>
        <v>AP World History</v>
      </c>
      <c r="E3621" s="3">
        <f>IFERROR(__xludf.DUMMYFUNCTION("""COMPUTED_VALUE"""),6.0)</f>
        <v>6</v>
      </c>
      <c r="F3621" s="300">
        <v>1.0</v>
      </c>
      <c r="G3621" s="300">
        <v>1.0</v>
      </c>
      <c r="H3621" s="300">
        <v>1.0</v>
      </c>
      <c r="I3621" s="300">
        <v>1.0</v>
      </c>
      <c r="J3621" s="300">
        <v>1.0</v>
      </c>
      <c r="K3621" s="300">
        <v>1.0</v>
      </c>
      <c r="L3621" s="300">
        <v>1.0</v>
      </c>
      <c r="M3621" s="300">
        <v>1.0</v>
      </c>
      <c r="N3621" s="300">
        <v>8.0</v>
      </c>
      <c r="O3621" s="300" t="s">
        <v>973</v>
      </c>
      <c r="P3621" s="300">
        <v>2.0</v>
      </c>
    </row>
    <row r="3622">
      <c r="A3622">
        <f>IFERROR(__xludf.DUMMYFUNCTION("""COMPUTED_VALUE"""),11.0)</f>
        <v>11</v>
      </c>
      <c r="B3622" s="406">
        <f>IFERROR(__xludf.DUMMYFUNCTION("""COMPUTED_VALUE"""),27183.0)</f>
        <v>27183</v>
      </c>
      <c r="C3622" s="406" t="str">
        <f>IFERROR(__xludf.DUMMYFUNCTION("""COMPUTED_VALUE"""),"JOORIS-ANCION, ALEXANDRE")</f>
        <v>JOORIS-ANCION, ALEXANDRE</v>
      </c>
      <c r="D3622" t="str">
        <f>IFERROR(__xludf.DUMMYFUNCTION("""COMPUTED_VALUE"""),"AP World History")</f>
        <v>AP World History</v>
      </c>
      <c r="E3622" s="3">
        <f>IFERROR(__xludf.DUMMYFUNCTION("""COMPUTED_VALUE"""),5.0)</f>
        <v>5</v>
      </c>
      <c r="F3622" s="300">
        <v>1.0</v>
      </c>
      <c r="G3622" s="300">
        <v>1.0</v>
      </c>
      <c r="H3622" s="300">
        <v>1.0</v>
      </c>
      <c r="I3622" s="300">
        <v>1.0</v>
      </c>
      <c r="J3622" s="300">
        <v>1.0</v>
      </c>
      <c r="K3622" s="300">
        <v>1.0</v>
      </c>
      <c r="L3622" s="300">
        <v>1.0</v>
      </c>
      <c r="M3622" s="300">
        <v>1.0</v>
      </c>
      <c r="N3622" s="300">
        <v>8.0</v>
      </c>
      <c r="O3622" s="300" t="s">
        <v>974</v>
      </c>
      <c r="P3622" s="300">
        <v>2.0</v>
      </c>
    </row>
    <row r="3623">
      <c r="A3623">
        <f>IFERROR(__xludf.DUMMYFUNCTION("""COMPUTED_VALUE"""),10.0)</f>
        <v>10</v>
      </c>
      <c r="B3623">
        <f>IFERROR(__xludf.DUMMYFUNCTION("""COMPUTED_VALUE"""),28176.0)</f>
        <v>28176</v>
      </c>
      <c r="C3623" s="406" t="str">
        <f>IFERROR(__xludf.DUMMYFUNCTION("""COMPUTED_VALUE"""),"SILVA MONTOYA, SEBASTIÁN")</f>
        <v>SILVA MONTOYA, SEBASTIÁN</v>
      </c>
      <c r="D3623" t="str">
        <f>IFERROR(__xludf.DUMMYFUNCTION("""COMPUTED_VALUE"""),"Sociales 10")</f>
        <v>Sociales 10</v>
      </c>
      <c r="E3623" s="3">
        <f>IFERROR(__xludf.DUMMYFUNCTION("""COMPUTED_VALUE"""),8.0)</f>
        <v>8</v>
      </c>
      <c r="F3623" s="300">
        <v>1.0</v>
      </c>
      <c r="G3623" s="300">
        <v>1.0</v>
      </c>
      <c r="H3623" s="300">
        <v>1.0</v>
      </c>
      <c r="I3623" s="300">
        <v>1.0</v>
      </c>
      <c r="J3623" s="300">
        <v>1.0</v>
      </c>
      <c r="K3623" s="300">
        <v>1.0</v>
      </c>
      <c r="L3623" s="300">
        <v>1.0</v>
      </c>
      <c r="M3623" s="300">
        <v>1.0</v>
      </c>
      <c r="N3623" s="300">
        <v>8.0</v>
      </c>
      <c r="O3623" s="300" t="s">
        <v>966</v>
      </c>
      <c r="P3623" s="300">
        <v>7.0</v>
      </c>
    </row>
    <row r="3624">
      <c r="A3624">
        <f>IFERROR(__xludf.DUMMYFUNCTION("""COMPUTED_VALUE"""),9.0)</f>
        <v>9</v>
      </c>
      <c r="B3624">
        <f>IFERROR(__xludf.DUMMYFUNCTION("""COMPUTED_VALUE"""),29173.0)</f>
        <v>29173</v>
      </c>
      <c r="C3624" s="406" t="str">
        <f>IFERROR(__xludf.DUMMYFUNCTION("""COMPUTED_VALUE"""),"GRACIANO VÉLEZ, MARÍA DE LOS ÁNGELES")</f>
        <v>GRACIANO VÉLEZ, MARÍA DE LOS ÁNGELES</v>
      </c>
      <c r="D3624" t="str">
        <f>IFERROR(__xludf.DUMMYFUNCTION("""COMPUTED_VALUE"""),"Technology 9")</f>
        <v>Technology 9</v>
      </c>
      <c r="E3624" s="3">
        <f>IFERROR(__xludf.DUMMYFUNCTION("""COMPUTED_VALUE"""),5.0)</f>
        <v>5</v>
      </c>
      <c r="F3624" s="300">
        <v>1.0</v>
      </c>
      <c r="G3624" s="300">
        <v>1.0</v>
      </c>
      <c r="H3624" s="300">
        <v>1.0</v>
      </c>
      <c r="I3624" s="300">
        <v>1.0</v>
      </c>
      <c r="J3624" s="300">
        <v>1.0</v>
      </c>
      <c r="K3624" s="300">
        <v>1.0</v>
      </c>
      <c r="L3624" s="300">
        <v>1.0</v>
      </c>
      <c r="M3624" s="300">
        <v>1.0</v>
      </c>
      <c r="N3624" s="300">
        <v>8.0</v>
      </c>
      <c r="O3624" s="300" t="s">
        <v>957</v>
      </c>
      <c r="P3624" s="300">
        <v>3.0</v>
      </c>
    </row>
    <row r="3625">
      <c r="A3625">
        <f>IFERROR(__xludf.DUMMYFUNCTION("""COMPUTED_VALUE"""),9.0)</f>
        <v>9</v>
      </c>
      <c r="B3625">
        <f>IFERROR(__xludf.DUMMYFUNCTION("""COMPUTED_VALUE"""),29174.0)</f>
        <v>29174</v>
      </c>
      <c r="C3625" s="406" t="str">
        <f>IFERROR(__xludf.DUMMYFUNCTION("""COMPUTED_VALUE"""),"CANDELA SÁNCHEZ, EVA")</f>
        <v>CANDELA SÁNCHEZ, EVA</v>
      </c>
      <c r="D3625" t="str">
        <f>IFERROR(__xludf.DUMMYFUNCTION("""COMPUTED_VALUE"""),"Technology 9")</f>
        <v>Technology 9</v>
      </c>
      <c r="E3625" s="3">
        <f>IFERROR(__xludf.DUMMYFUNCTION("""COMPUTED_VALUE"""),5.0)</f>
        <v>5</v>
      </c>
      <c r="F3625" s="300">
        <v>1.0</v>
      </c>
      <c r="G3625" s="300">
        <v>1.0</v>
      </c>
      <c r="H3625" s="300">
        <v>1.0</v>
      </c>
      <c r="I3625" s="300">
        <v>1.0</v>
      </c>
      <c r="J3625" s="300">
        <v>1.0</v>
      </c>
      <c r="K3625" s="300">
        <v>1.0</v>
      </c>
      <c r="L3625" s="300">
        <v>1.0</v>
      </c>
      <c r="M3625" s="300">
        <v>1.0</v>
      </c>
      <c r="N3625" s="300">
        <v>8.0</v>
      </c>
      <c r="O3625" s="300" t="s">
        <v>957</v>
      </c>
      <c r="P3625" s="300">
        <v>3.0</v>
      </c>
    </row>
    <row r="3626">
      <c r="A3626">
        <f>IFERROR(__xludf.DUMMYFUNCTION("""COMPUTED_VALUE"""),11.0)</f>
        <v>11</v>
      </c>
      <c r="B3626" s="406">
        <f>IFERROR(__xludf.DUMMYFUNCTION("""COMPUTED_VALUE"""),27179.0)</f>
        <v>27179</v>
      </c>
      <c r="C3626" s="406" t="str">
        <f>IFERROR(__xludf.DUMMYFUNCTION("""COMPUTED_VALUE"""),"GRACIANO VÉLEZ, MARÍA DEL MAR")</f>
        <v>GRACIANO VÉLEZ, MARÍA DEL MAR</v>
      </c>
      <c r="D3626" t="str">
        <f>IFERROR(__xludf.DUMMYFUNCTION("""COMPUTED_VALUE"""),"Life Purpose")</f>
        <v>Life Purpose</v>
      </c>
      <c r="E3626" s="3">
        <f>IFERROR(__xludf.DUMMYFUNCTION("""COMPUTED_VALUE"""),8.0)</f>
        <v>8</v>
      </c>
      <c r="F3626" s="300">
        <v>1.0</v>
      </c>
      <c r="G3626" s="300">
        <v>1.0</v>
      </c>
      <c r="H3626" s="300">
        <v>1.0</v>
      </c>
      <c r="I3626" s="300">
        <v>1.0</v>
      </c>
      <c r="J3626" s="300">
        <v>1.0</v>
      </c>
      <c r="K3626" s="300">
        <v>1.0</v>
      </c>
      <c r="L3626" s="300">
        <v>1.0</v>
      </c>
      <c r="M3626" s="300">
        <v>1.0</v>
      </c>
      <c r="N3626" s="300">
        <v>8.0</v>
      </c>
      <c r="O3626" s="300" t="s">
        <v>978</v>
      </c>
      <c r="P3626" s="300">
        <v>6.0</v>
      </c>
    </row>
    <row r="3627">
      <c r="A3627">
        <f>IFERROR(__xludf.DUMMYFUNCTION("""COMPUTED_VALUE"""),10.0)</f>
        <v>10</v>
      </c>
      <c r="B3627" s="406">
        <f>IFERROR(__xludf.DUMMYFUNCTION("""COMPUTED_VALUE"""),28178.0)</f>
        <v>28178</v>
      </c>
      <c r="C3627" s="406" t="str">
        <f>IFERROR(__xludf.DUMMYFUNCTION("""COMPUTED_VALUE"""),"CANOVA DOMINGUES, JOAO PEDRO")</f>
        <v>CANOVA DOMINGUES, JOAO PEDRO</v>
      </c>
      <c r="D3627" t="str">
        <f>IFERROR(__xludf.DUMMYFUNCTION("""COMPUTED_VALUE"""),"Sociales 10")</f>
        <v>Sociales 10</v>
      </c>
      <c r="E3627" s="3">
        <f>IFERROR(__xludf.DUMMYFUNCTION("""COMPUTED_VALUE"""),8.0)</f>
        <v>8</v>
      </c>
      <c r="F3627" s="300">
        <v>1.0</v>
      </c>
      <c r="G3627" s="300">
        <v>1.0</v>
      </c>
      <c r="H3627" s="300">
        <v>1.0</v>
      </c>
      <c r="I3627" s="300">
        <v>1.0</v>
      </c>
      <c r="J3627" s="300">
        <v>1.0</v>
      </c>
      <c r="K3627" s="300">
        <v>1.0</v>
      </c>
      <c r="L3627" s="300">
        <v>1.0</v>
      </c>
      <c r="M3627" s="300">
        <v>1.0</v>
      </c>
      <c r="N3627" s="300">
        <v>8.0</v>
      </c>
      <c r="O3627" s="300" t="s">
        <v>966</v>
      </c>
      <c r="P3627" s="300">
        <v>7.0</v>
      </c>
    </row>
    <row r="3628">
      <c r="A3628">
        <f>IFERROR(__xludf.DUMMYFUNCTION("""COMPUTED_VALUE"""),10.0)</f>
        <v>10</v>
      </c>
      <c r="B3628" s="406">
        <f>IFERROR(__xludf.DUMMYFUNCTION("""COMPUTED_VALUE"""),28177.0)</f>
        <v>28177</v>
      </c>
      <c r="C3628" s="406" t="str">
        <f>IFERROR(__xludf.DUMMYFUNCTION("""COMPUTED_VALUE"""),"CUBILLOS GÓMEZ, ROBERTO")</f>
        <v>CUBILLOS GÓMEZ, ROBERTO</v>
      </c>
      <c r="D3628" t="str">
        <f>IFERROR(__xludf.DUMMYFUNCTION("""COMPUTED_VALUE"""),"Sociales 10")</f>
        <v>Sociales 10</v>
      </c>
      <c r="E3628" s="3">
        <f>IFERROR(__xludf.DUMMYFUNCTION("""COMPUTED_VALUE"""),8.0)</f>
        <v>8</v>
      </c>
      <c r="F3628" s="300">
        <v>1.0</v>
      </c>
      <c r="G3628" s="300">
        <v>1.0</v>
      </c>
      <c r="H3628" s="300">
        <v>1.0</v>
      </c>
      <c r="I3628" s="300">
        <v>1.0</v>
      </c>
      <c r="J3628" s="300">
        <v>1.0</v>
      </c>
      <c r="K3628" s="300">
        <v>1.0</v>
      </c>
      <c r="L3628" s="300">
        <v>1.0</v>
      </c>
      <c r="M3628" s="300">
        <v>1.0</v>
      </c>
      <c r="N3628" s="300">
        <v>8.0</v>
      </c>
      <c r="O3628" s="300" t="s">
        <v>966</v>
      </c>
      <c r="P3628" s="300">
        <v>7.0</v>
      </c>
    </row>
    <row r="3629">
      <c r="A3629">
        <f>IFERROR(__xludf.DUMMYFUNCTION("""COMPUTED_VALUE"""),10.0)</f>
        <v>10</v>
      </c>
      <c r="B3629" s="406">
        <f>IFERROR(__xludf.DUMMYFUNCTION("""COMPUTED_VALUE"""),28146.0)</f>
        <v>28146</v>
      </c>
      <c r="C3629" s="406" t="str">
        <f>IFERROR(__xludf.DUMMYFUNCTION("""COMPUTED_VALUE"""),"MORA MORENO, MARÍA LUISA")</f>
        <v>MORA MORENO, MARÍA LUISA</v>
      </c>
      <c r="D3629" t="str">
        <f>IFERROR(__xludf.DUMMYFUNCTION("""COMPUTED_VALUE"""),"Sociales 10")</f>
        <v>Sociales 10</v>
      </c>
      <c r="E3629" s="3">
        <f>IFERROR(__xludf.DUMMYFUNCTION("""COMPUTED_VALUE"""),8.0)</f>
        <v>8</v>
      </c>
      <c r="F3629" s="300">
        <v>1.0</v>
      </c>
      <c r="G3629" s="300">
        <v>1.0</v>
      </c>
      <c r="H3629" s="300">
        <v>1.0</v>
      </c>
      <c r="I3629" s="300">
        <v>1.0</v>
      </c>
      <c r="J3629" s="300">
        <v>1.0</v>
      </c>
      <c r="K3629" s="300">
        <v>1.0</v>
      </c>
      <c r="L3629" s="300">
        <v>1.0</v>
      </c>
      <c r="M3629" s="300">
        <v>1.0</v>
      </c>
      <c r="N3629" s="300">
        <v>8.0</v>
      </c>
      <c r="O3629" s="300" t="s">
        <v>966</v>
      </c>
      <c r="P3629" s="300">
        <v>7.0</v>
      </c>
    </row>
    <row r="3630">
      <c r="A3630">
        <f>IFERROR(__xludf.DUMMYFUNCTION("""COMPUTED_VALUE"""),10.0)</f>
        <v>10</v>
      </c>
      <c r="B3630" s="406">
        <f>IFERROR(__xludf.DUMMYFUNCTION("""COMPUTED_VALUE"""),28175.0)</f>
        <v>28175</v>
      </c>
      <c r="C3630" s="406" t="str">
        <f>IFERROR(__xludf.DUMMYFUNCTION("""COMPUTED_VALUE"""),"DELSOL, ANTOINE")</f>
        <v>DELSOL, ANTOINE</v>
      </c>
      <c r="D3630" t="str">
        <f>IFERROR(__xludf.DUMMYFUNCTION("""COMPUTED_VALUE"""),"Creative Design")</f>
        <v>Creative Design</v>
      </c>
      <c r="E3630" s="3">
        <f>IFERROR(__xludf.DUMMYFUNCTION("""COMPUTED_VALUE"""),4.0)</f>
        <v>4</v>
      </c>
      <c r="F3630" s="300">
        <v>1.0</v>
      </c>
      <c r="G3630" s="300">
        <v>1.0</v>
      </c>
      <c r="H3630" s="300">
        <v>1.0</v>
      </c>
      <c r="I3630" s="300">
        <v>1.0</v>
      </c>
      <c r="J3630" s="300">
        <v>1.0</v>
      </c>
      <c r="K3630" s="300">
        <v>1.0</v>
      </c>
      <c r="L3630" s="300">
        <v>1.0</v>
      </c>
      <c r="M3630" s="300">
        <v>1.0</v>
      </c>
      <c r="N3630" s="300">
        <v>8.0</v>
      </c>
      <c r="O3630" s="300" t="s">
        <v>971</v>
      </c>
      <c r="P3630" s="300">
        <v>1.0</v>
      </c>
    </row>
    <row r="3631">
      <c r="A3631">
        <f>IFERROR(__xludf.DUMMYFUNCTION("""COMPUTED_VALUE"""),10.0)</f>
        <v>10</v>
      </c>
      <c r="B3631" s="406">
        <f>IFERROR(__xludf.DUMMYFUNCTION("""COMPUTED_VALUE"""),100052.0)</f>
        <v>100052</v>
      </c>
      <c r="C3631" s="406" t="str">
        <f>IFERROR(__xludf.DUMMYFUNCTION("""COMPUTED_VALUE"""),"ECHEVERRI SALAZAR CAMILA")</f>
        <v>ECHEVERRI SALAZAR CAMILA</v>
      </c>
      <c r="D3631" t="str">
        <f>IFERROR(__xludf.DUMMYFUNCTION("""COMPUTED_VALUE"""),"Sociales 10")</f>
        <v>Sociales 10</v>
      </c>
      <c r="E3631" s="3">
        <f>IFERROR(__xludf.DUMMYFUNCTION("""COMPUTED_VALUE"""),8.0)</f>
        <v>8</v>
      </c>
      <c r="F3631" s="300">
        <v>1.0</v>
      </c>
      <c r="G3631" s="300">
        <v>1.0</v>
      </c>
      <c r="H3631" s="300">
        <v>1.0</v>
      </c>
      <c r="I3631" s="300">
        <v>1.0</v>
      </c>
      <c r="J3631" s="300">
        <v>1.0</v>
      </c>
      <c r="K3631" s="300">
        <v>1.0</v>
      </c>
      <c r="L3631" s="300">
        <v>1.0</v>
      </c>
      <c r="M3631" s="300">
        <v>1.0</v>
      </c>
      <c r="N3631" s="300">
        <v>8.0</v>
      </c>
      <c r="O3631" s="300" t="s">
        <v>966</v>
      </c>
      <c r="P3631" s="300">
        <v>7.0</v>
      </c>
    </row>
    <row r="3632">
      <c r="A3632">
        <f>IFERROR(__xludf.DUMMYFUNCTION("""COMPUTED_VALUE"""),10.0)</f>
        <v>10</v>
      </c>
      <c r="B3632" s="406">
        <f>IFERROR(__xludf.DUMMYFUNCTION("""COMPUTED_VALUE"""),28180.0)</f>
        <v>28180</v>
      </c>
      <c r="C3632" s="406" t="str">
        <f>IFERROR(__xludf.DUMMYFUNCTION("""COMPUTED_VALUE"""),"VÉLEZ GÓMEZ, MATIAS")</f>
        <v>VÉLEZ GÓMEZ, MATIAS</v>
      </c>
      <c r="D3632" t="str">
        <f>IFERROR(__xludf.DUMMYFUNCTION("""COMPUTED_VALUE"""),"Sociales 10")</f>
        <v>Sociales 10</v>
      </c>
      <c r="E3632" s="3">
        <f>IFERROR(__xludf.DUMMYFUNCTION("""COMPUTED_VALUE"""),2.0)</f>
        <v>2</v>
      </c>
      <c r="F3632" s="300">
        <v>1.0</v>
      </c>
      <c r="G3632" s="300">
        <v>1.0</v>
      </c>
      <c r="H3632" s="300">
        <v>1.0</v>
      </c>
      <c r="I3632" s="300">
        <v>1.0</v>
      </c>
      <c r="J3632" s="300">
        <v>1.0</v>
      </c>
      <c r="K3632" s="300">
        <v>1.0</v>
      </c>
      <c r="L3632" s="300">
        <v>1.0</v>
      </c>
      <c r="M3632" s="300">
        <v>1.0</v>
      </c>
      <c r="N3632" s="300">
        <v>8.0</v>
      </c>
      <c r="O3632" s="300" t="s">
        <v>968</v>
      </c>
      <c r="P3632" s="300">
        <v>7.0</v>
      </c>
    </row>
    <row r="3633">
      <c r="A3633">
        <f>IFERROR(__xludf.DUMMYFUNCTION("""COMPUTED_VALUE"""),10.0)</f>
        <v>10</v>
      </c>
      <c r="B3633" s="406">
        <f>IFERROR(__xludf.DUMMYFUNCTION("""COMPUTED_VALUE"""),28141.0)</f>
        <v>28141</v>
      </c>
      <c r="C3633" s="406" t="str">
        <f>IFERROR(__xludf.DUMMYFUNCTION("""COMPUTED_VALUE"""),"GONZALEZ TRABOULSI SOFIA")</f>
        <v>GONZALEZ TRABOULSI SOFIA</v>
      </c>
      <c r="D3633" t="str">
        <f>IFERROR(__xludf.DUMMYFUNCTION("""COMPUTED_VALUE"""),"Sociales 10")</f>
        <v>Sociales 10</v>
      </c>
      <c r="E3633" s="3">
        <f>IFERROR(__xludf.DUMMYFUNCTION("""COMPUTED_VALUE"""),3.0)</f>
        <v>3</v>
      </c>
      <c r="F3633" s="300">
        <v>1.0</v>
      </c>
      <c r="G3633" s="300">
        <v>1.0</v>
      </c>
      <c r="H3633" s="300">
        <v>1.0</v>
      </c>
      <c r="I3633" s="300">
        <v>1.0</v>
      </c>
      <c r="J3633" s="300">
        <v>1.0</v>
      </c>
      <c r="K3633" s="300">
        <v>1.0</v>
      </c>
      <c r="L3633" s="300">
        <v>1.0</v>
      </c>
      <c r="M3633" s="300">
        <v>1.0</v>
      </c>
      <c r="N3633" s="300">
        <v>8.0</v>
      </c>
      <c r="O3633" s="300" t="s">
        <v>967</v>
      </c>
      <c r="P3633" s="300">
        <v>7.0</v>
      </c>
    </row>
    <row r="3634">
      <c r="A3634">
        <f>IFERROR(__xludf.DUMMYFUNCTION("""COMPUTED_VALUE"""),10.0)</f>
        <v>10</v>
      </c>
      <c r="B3634" s="406">
        <f>IFERROR(__xludf.DUMMYFUNCTION("""COMPUTED_VALUE"""),12345.0)</f>
        <v>12345</v>
      </c>
      <c r="C3634" s="406" t="str">
        <f>IFERROR(__xludf.DUMMYFUNCTION("""COMPUTED_VALUE"""),"TRIVELIN JUAN IGNACIO")</f>
        <v>TRIVELIN JUAN IGNACIO</v>
      </c>
      <c r="D3634" t="str">
        <f>IFERROR(__xludf.DUMMYFUNCTION("""COMPUTED_VALUE"""),"Sociales 10")</f>
        <v>Sociales 10</v>
      </c>
      <c r="E3634" s="3">
        <f>IFERROR(__xludf.DUMMYFUNCTION("""COMPUTED_VALUE"""),3.0)</f>
        <v>3</v>
      </c>
      <c r="F3634" s="300">
        <v>1.0</v>
      </c>
      <c r="G3634" s="300">
        <v>1.0</v>
      </c>
      <c r="H3634" s="300">
        <v>1.0</v>
      </c>
      <c r="I3634" s="300">
        <v>1.0</v>
      </c>
      <c r="J3634" s="300">
        <v>1.0</v>
      </c>
      <c r="K3634" s="300">
        <v>1.0</v>
      </c>
      <c r="L3634" s="300">
        <v>1.0</v>
      </c>
      <c r="M3634" s="300">
        <v>1.0</v>
      </c>
      <c r="N3634" s="300">
        <v>8.0</v>
      </c>
      <c r="O3634" s="300" t="s">
        <v>967</v>
      </c>
      <c r="P3634" s="300">
        <v>7.0</v>
      </c>
    </row>
    <row r="3635">
      <c r="A3635">
        <f>IFERROR(__xludf.DUMMYFUNCTION("""COMPUTED_VALUE"""),11.0)</f>
        <v>11</v>
      </c>
      <c r="B3635" s="406">
        <f>IFERROR(__xludf.DUMMYFUNCTION("""COMPUTED_VALUE"""),27169.0)</f>
        <v>27169</v>
      </c>
      <c r="C3635" s="406" t="str">
        <f>IFERROR(__xludf.DUMMYFUNCTION("""COMPUTED_VALUE"""),"RAMOS RODRIGUEZ, ELENA")</f>
        <v>RAMOS RODRIGUEZ, ELENA</v>
      </c>
      <c r="D3635" t="str">
        <f>IFERROR(__xludf.DUMMYFUNCTION("""COMPUTED_VALUE"""),"Life Purpose")</f>
        <v>Life Purpose</v>
      </c>
      <c r="E3635" s="3">
        <f>IFERROR(__xludf.DUMMYFUNCTION("""COMPUTED_VALUE"""),8.0)</f>
        <v>8</v>
      </c>
      <c r="F3635" s="300">
        <v>1.0</v>
      </c>
      <c r="G3635" s="300">
        <v>1.0</v>
      </c>
      <c r="H3635" s="300">
        <v>1.0</v>
      </c>
      <c r="I3635" s="300">
        <v>1.0</v>
      </c>
      <c r="J3635" s="300">
        <v>1.0</v>
      </c>
      <c r="K3635" s="300">
        <v>1.0</v>
      </c>
      <c r="L3635" s="300">
        <v>1.0</v>
      </c>
      <c r="M3635" s="300">
        <v>1.0</v>
      </c>
      <c r="N3635" s="300">
        <v>8.0</v>
      </c>
      <c r="O3635" s="300" t="s">
        <v>978</v>
      </c>
      <c r="P3635" s="300">
        <v>6.0</v>
      </c>
    </row>
    <row r="3636">
      <c r="A3636">
        <f>IFERROR(__xludf.DUMMYFUNCTION("""COMPUTED_VALUE"""),9.0)</f>
        <v>9</v>
      </c>
      <c r="B3636" s="406">
        <f>IFERROR(__xludf.DUMMYFUNCTION("""COMPUTED_VALUE"""),29070.0)</f>
        <v>29070</v>
      </c>
      <c r="C3636" t="str">
        <f>IFERROR(__xludf.DUMMYFUNCTION("""COMPUTED_VALUE"""),"MANRIQUE CUESTA, ISABELLA")</f>
        <v>MANRIQUE CUESTA, ISABELLA</v>
      </c>
      <c r="D3636" t="str">
        <f>IFERROR(__xludf.DUMMYFUNCTION("""COMPUTED_VALUE"""),"AAA")</f>
        <v>AAA</v>
      </c>
      <c r="E3636" s="3"/>
      <c r="F3636" s="300">
        <v>1.0</v>
      </c>
      <c r="G3636" s="300">
        <v>1.0</v>
      </c>
      <c r="H3636" s="300">
        <v>1.0</v>
      </c>
      <c r="I3636" s="300">
        <v>1.0</v>
      </c>
      <c r="J3636" s="300">
        <v>1.0</v>
      </c>
      <c r="K3636" s="300">
        <v>1.0</v>
      </c>
      <c r="L3636" s="300">
        <v>1.0</v>
      </c>
      <c r="M3636" s="300">
        <v>1.0</v>
      </c>
      <c r="N3636" s="300">
        <v>8.0</v>
      </c>
      <c r="O3636" s="300" t="s">
        <v>22</v>
      </c>
      <c r="P3636" s="300" t="s">
        <v>22</v>
      </c>
    </row>
    <row r="3637">
      <c r="A3637">
        <f>IFERROR(__xludf.DUMMYFUNCTION("""COMPUTED_VALUE"""),9.0)</f>
        <v>9</v>
      </c>
      <c r="B3637" s="406">
        <f>IFERROR(__xludf.DUMMYFUNCTION("""COMPUTED_VALUE"""),29070.0)</f>
        <v>29070</v>
      </c>
      <c r="C3637" t="str">
        <f>IFERROR(__xludf.DUMMYFUNCTION("""COMPUTED_VALUE"""),"MANRIQUE CUESTA, ISABELLA")</f>
        <v>MANRIQUE CUESTA, ISABELLA</v>
      </c>
      <c r="D3637" t="str">
        <f>IFERROR(__xludf.DUMMYFUNCTION("""COMPUTED_VALUE"""),"Sculpture I")</f>
        <v>Sculpture I</v>
      </c>
      <c r="E3637" s="3">
        <f>IFERROR(__xludf.DUMMYFUNCTION("""COMPUTED_VALUE"""),3.0)</f>
        <v>3</v>
      </c>
      <c r="F3637" s="300">
        <v>1.0</v>
      </c>
      <c r="G3637" s="300">
        <v>1.0</v>
      </c>
      <c r="H3637" s="300">
        <v>1.0</v>
      </c>
      <c r="I3637" s="300">
        <v>1.0</v>
      </c>
      <c r="J3637" s="300">
        <v>1.0</v>
      </c>
      <c r="K3637" s="300">
        <v>1.0</v>
      </c>
      <c r="L3637" s="300">
        <v>1.0</v>
      </c>
      <c r="M3637" s="300">
        <v>1.0</v>
      </c>
      <c r="N3637" s="300">
        <v>8.0</v>
      </c>
      <c r="O3637" s="300" t="s">
        <v>947</v>
      </c>
      <c r="P3637" s="300">
        <v>2.0</v>
      </c>
    </row>
    <row r="3638">
      <c r="A3638">
        <f>IFERROR(__xludf.DUMMYFUNCTION("""COMPUTED_VALUE"""),9.0)</f>
        <v>9</v>
      </c>
      <c r="B3638" s="406">
        <f>IFERROR(__xludf.DUMMYFUNCTION("""COMPUTED_VALUE"""),29075.0)</f>
        <v>29075</v>
      </c>
      <c r="C3638" t="str">
        <f>IFERROR(__xludf.DUMMYFUNCTION("""COMPUTED_VALUE"""),"MEJIA BUSTAMANTE, ANTONIA")</f>
        <v>MEJIA BUSTAMANTE, ANTONIA</v>
      </c>
      <c r="D3638" t="str">
        <f>IFERROR(__xludf.DUMMYFUNCTION("""COMPUTED_VALUE"""),"Painting I")</f>
        <v>Painting I</v>
      </c>
      <c r="E3638" s="3">
        <f>IFERROR(__xludf.DUMMYFUNCTION("""COMPUTED_VALUE"""),8.0)</f>
        <v>8</v>
      </c>
      <c r="F3638" s="300">
        <v>1.0</v>
      </c>
      <c r="G3638" s="300">
        <v>1.0</v>
      </c>
      <c r="H3638" s="300">
        <v>1.0</v>
      </c>
      <c r="I3638" s="300">
        <v>1.0</v>
      </c>
      <c r="J3638" s="300">
        <v>1.0</v>
      </c>
      <c r="K3638" s="300">
        <v>1.0</v>
      </c>
      <c r="L3638" s="300">
        <v>1.0</v>
      </c>
      <c r="M3638" s="300">
        <v>1.0</v>
      </c>
      <c r="N3638" s="300">
        <v>8.0</v>
      </c>
      <c r="O3638" s="300" t="s">
        <v>988</v>
      </c>
      <c r="P3638" s="300">
        <v>4.0</v>
      </c>
    </row>
    <row r="3639">
      <c r="A3639">
        <f>IFERROR(__xludf.DUMMYFUNCTION("""COMPUTED_VALUE"""),9.0)</f>
        <v>9</v>
      </c>
      <c r="B3639" s="406">
        <f>IFERROR(__xludf.DUMMYFUNCTION("""COMPUTED_VALUE"""),29149.0)</f>
        <v>29149</v>
      </c>
      <c r="C3639" t="str">
        <f>IFERROR(__xludf.DUMMYFUNCTION("""COMPUTED_VALUE"""),"SALEMME GUTIERREZ, AMALIA")</f>
        <v>SALEMME GUTIERREZ, AMALIA</v>
      </c>
      <c r="D3639" t="str">
        <f>IFERROR(__xludf.DUMMYFUNCTION("""COMPUTED_VALUE"""),"Sculpture I")</f>
        <v>Sculpture I</v>
      </c>
      <c r="E3639" s="3">
        <f>IFERROR(__xludf.DUMMYFUNCTION("""COMPUTED_VALUE"""),3.0)</f>
        <v>3</v>
      </c>
      <c r="F3639" s="300">
        <v>1.0</v>
      </c>
      <c r="G3639" s="300">
        <v>1.0</v>
      </c>
      <c r="H3639" s="300">
        <v>1.0</v>
      </c>
      <c r="I3639" s="300">
        <v>1.0</v>
      </c>
      <c r="J3639" s="300">
        <v>1.0</v>
      </c>
      <c r="K3639" s="300">
        <v>1.0</v>
      </c>
      <c r="L3639" s="300">
        <v>1.0</v>
      </c>
      <c r="M3639" s="300">
        <v>1.0</v>
      </c>
      <c r="N3639" s="300">
        <v>8.0</v>
      </c>
      <c r="O3639" s="300" t="s">
        <v>947</v>
      </c>
      <c r="P3639" s="300">
        <v>2.0</v>
      </c>
    </row>
    <row r="3640">
      <c r="A3640">
        <f>IFERROR(__xludf.DUMMYFUNCTION("""COMPUTED_VALUE"""),9.0)</f>
        <v>9</v>
      </c>
      <c r="B3640" s="406">
        <f>IFERROR(__xludf.DUMMYFUNCTION("""COMPUTED_VALUE"""),29113.0)</f>
        <v>29113</v>
      </c>
      <c r="C3640" t="str">
        <f>IFERROR(__xludf.DUMMYFUNCTION("""COMPUTED_VALUE"""),"THIRIEZ VILLA, EMMA")</f>
        <v>THIRIEZ VILLA, EMMA</v>
      </c>
      <c r="D3640" t="str">
        <f>IFERROR(__xludf.DUMMYFUNCTION("""COMPUTED_VALUE"""),"Painting I")</f>
        <v>Painting I</v>
      </c>
      <c r="E3640" s="3">
        <f>IFERROR(__xludf.DUMMYFUNCTION("""COMPUTED_VALUE"""),7.0)</f>
        <v>7</v>
      </c>
      <c r="F3640" s="300">
        <v>1.0</v>
      </c>
      <c r="G3640" s="300">
        <v>1.0</v>
      </c>
      <c r="H3640" s="300">
        <v>1.0</v>
      </c>
      <c r="I3640" s="300">
        <v>1.0</v>
      </c>
      <c r="J3640" s="300">
        <v>1.0</v>
      </c>
      <c r="K3640" s="300">
        <v>1.0</v>
      </c>
      <c r="L3640" s="300">
        <v>1.0</v>
      </c>
      <c r="M3640" s="300">
        <v>1.0</v>
      </c>
      <c r="N3640" s="300">
        <v>8.0</v>
      </c>
      <c r="O3640" s="300" t="s">
        <v>934</v>
      </c>
      <c r="P3640" s="300">
        <v>4.0</v>
      </c>
    </row>
    <row r="3641">
      <c r="A3641">
        <f>IFERROR(__xludf.DUMMYFUNCTION("""COMPUTED_VALUE"""),9.0)</f>
        <v>9</v>
      </c>
      <c r="B3641" s="406">
        <f>IFERROR(__xludf.DUMMYFUNCTION("""COMPUTED_VALUE"""),29131.0)</f>
        <v>29131</v>
      </c>
      <c r="C3641" t="str">
        <f>IFERROR(__xludf.DUMMYFUNCTION("""COMPUTED_VALUE"""),"VILLEGAS HINCAPIE, CANDELARIA")</f>
        <v>VILLEGAS HINCAPIE, CANDELARIA</v>
      </c>
      <c r="D3641" t="str">
        <f>IFERROR(__xludf.DUMMYFUNCTION("""COMPUTED_VALUE"""),"Painting I")</f>
        <v>Painting I</v>
      </c>
      <c r="E3641" s="3">
        <f>IFERROR(__xludf.DUMMYFUNCTION("""COMPUTED_VALUE"""),4.0)</f>
        <v>4</v>
      </c>
      <c r="F3641" s="300">
        <v>1.0</v>
      </c>
      <c r="G3641" s="300">
        <v>1.0</v>
      </c>
      <c r="H3641" s="300">
        <v>1.0</v>
      </c>
      <c r="I3641" s="300">
        <v>1.0</v>
      </c>
      <c r="J3641" s="300">
        <v>1.0</v>
      </c>
      <c r="K3641" s="300">
        <v>1.0</v>
      </c>
      <c r="L3641" s="300">
        <v>1.0</v>
      </c>
      <c r="M3641" s="300">
        <v>1.0</v>
      </c>
      <c r="N3641" s="300">
        <v>8.0</v>
      </c>
      <c r="O3641" s="300" t="s">
        <v>946</v>
      </c>
      <c r="P3641" s="300">
        <v>4.0</v>
      </c>
    </row>
    <row r="3642">
      <c r="A3642">
        <f>IFERROR(__xludf.DUMMYFUNCTION("""COMPUTED_VALUE"""),9.0)</f>
        <v>9</v>
      </c>
      <c r="B3642" s="406">
        <f>IFERROR(__xludf.DUMMYFUNCTION("""COMPUTED_VALUE"""),29077.0)</f>
        <v>29077</v>
      </c>
      <c r="C3642" t="str">
        <f>IFERROR(__xludf.DUMMYFUNCTION("""COMPUTED_VALUE"""),"MEJIA VILLEGAS, CANDELARIA")</f>
        <v>MEJIA VILLEGAS, CANDELARIA</v>
      </c>
      <c r="D3642" t="str">
        <f>IFERROR(__xludf.DUMMYFUNCTION("""COMPUTED_VALUE"""),"Painting I")</f>
        <v>Painting I</v>
      </c>
      <c r="E3642" s="3">
        <f>IFERROR(__xludf.DUMMYFUNCTION("""COMPUTED_VALUE"""),8.0)</f>
        <v>8</v>
      </c>
      <c r="F3642" s="300">
        <v>1.0</v>
      </c>
      <c r="G3642" s="300">
        <v>1.0</v>
      </c>
      <c r="H3642" s="300">
        <v>1.0</v>
      </c>
      <c r="I3642" s="300">
        <v>1.0</v>
      </c>
      <c r="J3642" s="300">
        <v>1.0</v>
      </c>
      <c r="K3642" s="300">
        <v>1.0</v>
      </c>
      <c r="L3642" s="300">
        <v>1.0</v>
      </c>
      <c r="M3642" s="300">
        <v>1.0</v>
      </c>
      <c r="N3642" s="300">
        <v>8.0</v>
      </c>
      <c r="O3642" s="300" t="s">
        <v>988</v>
      </c>
      <c r="P3642" s="300">
        <v>4.0</v>
      </c>
    </row>
    <row r="3643">
      <c r="A3643">
        <f>IFERROR(__xludf.DUMMYFUNCTION("""COMPUTED_VALUE"""),9.0)</f>
        <v>9</v>
      </c>
      <c r="B3643" s="406">
        <f>IFERROR(__xludf.DUMMYFUNCTION("""COMPUTED_VALUE"""),28006.0)</f>
        <v>28006</v>
      </c>
      <c r="C3643" t="str">
        <f>IFERROR(__xludf.DUMMYFUNCTION("""COMPUTED_VALUE"""),"ARISTIZABAL ECHAVARRIA, CRISTOBAL")</f>
        <v>ARISTIZABAL ECHAVARRIA, CRISTOBAL</v>
      </c>
      <c r="D3643" t="str">
        <f>IFERROR(__xludf.DUMMYFUNCTION("""COMPUTED_VALUE"""),"Sculpture I")</f>
        <v>Sculpture I</v>
      </c>
      <c r="E3643" s="3">
        <f>IFERROR(__xludf.DUMMYFUNCTION("""COMPUTED_VALUE"""),4.0)</f>
        <v>4</v>
      </c>
      <c r="F3643" s="300">
        <v>1.0</v>
      </c>
      <c r="G3643" s="300">
        <v>1.0</v>
      </c>
      <c r="H3643" s="300">
        <v>1.0</v>
      </c>
      <c r="I3643" s="300">
        <v>1.0</v>
      </c>
      <c r="J3643" s="300">
        <v>1.0</v>
      </c>
      <c r="K3643" s="300">
        <v>1.0</v>
      </c>
      <c r="L3643" s="300">
        <v>1.0</v>
      </c>
      <c r="M3643" s="300">
        <v>1.0</v>
      </c>
      <c r="N3643" s="300">
        <v>8.0</v>
      </c>
      <c r="O3643" s="300" t="s">
        <v>989</v>
      </c>
      <c r="P3643" s="300">
        <v>2.0</v>
      </c>
    </row>
    <row r="3644">
      <c r="A3644">
        <f>IFERROR(__xludf.DUMMYFUNCTION("""COMPUTED_VALUE"""),9.0)</f>
        <v>9</v>
      </c>
      <c r="B3644" s="406">
        <f>IFERROR(__xludf.DUMMYFUNCTION("""COMPUTED_VALUE"""),29089.0)</f>
        <v>29089</v>
      </c>
      <c r="C3644" t="str">
        <f>IFERROR(__xludf.DUMMYFUNCTION("""COMPUTED_VALUE"""),"PEREZ BEDOYA, ELENA")</f>
        <v>PEREZ BEDOYA, ELENA</v>
      </c>
      <c r="D3644" t="str">
        <f>IFERROR(__xludf.DUMMYFUNCTION("""COMPUTED_VALUE"""),"Painting I")</f>
        <v>Painting I</v>
      </c>
      <c r="E3644" s="3">
        <f>IFERROR(__xludf.DUMMYFUNCTION("""COMPUTED_VALUE"""),7.0)</f>
        <v>7</v>
      </c>
      <c r="F3644" s="300">
        <v>1.0</v>
      </c>
      <c r="G3644" s="300">
        <v>1.0</v>
      </c>
      <c r="H3644" s="300">
        <v>1.0</v>
      </c>
      <c r="I3644" s="300">
        <v>1.0</v>
      </c>
      <c r="J3644" s="300">
        <v>1.0</v>
      </c>
      <c r="K3644" s="300">
        <v>1.0</v>
      </c>
      <c r="L3644" s="300">
        <v>1.0</v>
      </c>
      <c r="M3644" s="300">
        <v>1.0</v>
      </c>
      <c r="N3644" s="300">
        <v>8.0</v>
      </c>
      <c r="O3644" s="300" t="s">
        <v>934</v>
      </c>
      <c r="P3644" s="300">
        <v>4.0</v>
      </c>
    </row>
    <row r="3645">
      <c r="A3645">
        <f>IFERROR(__xludf.DUMMYFUNCTION("""COMPUTED_VALUE"""),9.0)</f>
        <v>9</v>
      </c>
      <c r="B3645" s="406">
        <f>IFERROR(__xludf.DUMMYFUNCTION("""COMPUTED_VALUE"""),29048.0)</f>
        <v>29048</v>
      </c>
      <c r="C3645" t="str">
        <f>IFERROR(__xludf.DUMMYFUNCTION("""COMPUTED_VALUE"""),"HENAO RESTREPO, ANTONIA")</f>
        <v>HENAO RESTREPO, ANTONIA</v>
      </c>
      <c r="D3645" t="str">
        <f>IFERROR(__xludf.DUMMYFUNCTION("""COMPUTED_VALUE"""),"Painting I")</f>
        <v>Painting I</v>
      </c>
      <c r="E3645" s="3">
        <f>IFERROR(__xludf.DUMMYFUNCTION("""COMPUTED_VALUE"""),8.0)</f>
        <v>8</v>
      </c>
      <c r="F3645" s="300">
        <v>1.0</v>
      </c>
      <c r="G3645" s="300">
        <v>1.0</v>
      </c>
      <c r="H3645" s="300">
        <v>1.0</v>
      </c>
      <c r="I3645" s="300">
        <v>1.0</v>
      </c>
      <c r="J3645" s="300">
        <v>1.0</v>
      </c>
      <c r="K3645" s="300">
        <v>1.0</v>
      </c>
      <c r="L3645" s="300">
        <v>1.0</v>
      </c>
      <c r="M3645" s="300">
        <v>1.0</v>
      </c>
      <c r="N3645" s="300">
        <v>8.0</v>
      </c>
      <c r="O3645" s="300" t="s">
        <v>988</v>
      </c>
      <c r="P3645" s="300">
        <v>4.0</v>
      </c>
    </row>
    <row r="3646">
      <c r="A3646">
        <f>IFERROR(__xludf.DUMMYFUNCTION("""COMPUTED_VALUE"""),9.0)</f>
        <v>9</v>
      </c>
      <c r="B3646" s="406">
        <f>IFERROR(__xludf.DUMMYFUNCTION("""COMPUTED_VALUE"""),29019.0)</f>
        <v>29019</v>
      </c>
      <c r="C3646" t="str">
        <f>IFERROR(__xludf.DUMMYFUNCTION("""COMPUTED_VALUE"""),"BARRIENTOS ALVAREZ, ELISA")</f>
        <v>BARRIENTOS ALVAREZ, ELISA</v>
      </c>
      <c r="D3646" t="str">
        <f>IFERROR(__xludf.DUMMYFUNCTION("""COMPUTED_VALUE"""),"Painting I")</f>
        <v>Painting I</v>
      </c>
      <c r="E3646" s="3">
        <f>IFERROR(__xludf.DUMMYFUNCTION("""COMPUTED_VALUE"""),7.0)</f>
        <v>7</v>
      </c>
      <c r="F3646" s="300">
        <v>1.0</v>
      </c>
      <c r="G3646" s="300">
        <v>1.0</v>
      </c>
      <c r="H3646" s="300">
        <v>1.0</v>
      </c>
      <c r="I3646" s="300">
        <v>1.0</v>
      </c>
      <c r="J3646" s="300">
        <v>1.0</v>
      </c>
      <c r="K3646" s="300">
        <v>1.0</v>
      </c>
      <c r="L3646" s="300">
        <v>1.0</v>
      </c>
      <c r="M3646" s="300">
        <v>1.0</v>
      </c>
      <c r="N3646" s="300">
        <v>8.0</v>
      </c>
      <c r="O3646" s="300" t="s">
        <v>934</v>
      </c>
      <c r="P3646" s="300">
        <v>4.0</v>
      </c>
    </row>
    <row r="3647">
      <c r="A3647">
        <f>IFERROR(__xludf.DUMMYFUNCTION("""COMPUTED_VALUE"""),9.0)</f>
        <v>9</v>
      </c>
      <c r="B3647" s="406">
        <f>IFERROR(__xludf.DUMMYFUNCTION("""COMPUTED_VALUE"""),29079.0)</f>
        <v>29079</v>
      </c>
      <c r="C3647" t="str">
        <f>IFERROR(__xludf.DUMMYFUNCTION("""COMPUTED_VALUE"""),"MISAS MESA, ALICIA")</f>
        <v>MISAS MESA, ALICIA</v>
      </c>
      <c r="D3647" t="str">
        <f>IFERROR(__xludf.DUMMYFUNCTION("""COMPUTED_VALUE"""),"Painting I")</f>
        <v>Painting I</v>
      </c>
      <c r="E3647" s="3">
        <f>IFERROR(__xludf.DUMMYFUNCTION("""COMPUTED_VALUE"""),8.0)</f>
        <v>8</v>
      </c>
      <c r="F3647" s="300">
        <v>1.0</v>
      </c>
      <c r="G3647" s="300">
        <v>1.0</v>
      </c>
      <c r="H3647" s="300">
        <v>1.0</v>
      </c>
      <c r="I3647" s="300">
        <v>1.0</v>
      </c>
      <c r="J3647" s="300">
        <v>1.0</v>
      </c>
      <c r="K3647" s="300">
        <v>1.0</v>
      </c>
      <c r="L3647" s="300">
        <v>1.0</v>
      </c>
      <c r="M3647" s="300">
        <v>1.0</v>
      </c>
      <c r="N3647" s="300">
        <v>8.0</v>
      </c>
      <c r="O3647" s="300" t="s">
        <v>988</v>
      </c>
      <c r="P3647" s="300">
        <v>4.0</v>
      </c>
    </row>
    <row r="3648">
      <c r="A3648">
        <f>IFERROR(__xludf.DUMMYFUNCTION("""COMPUTED_VALUE"""),9.0)</f>
        <v>9</v>
      </c>
      <c r="B3648" s="406">
        <f>IFERROR(__xludf.DUMMYFUNCTION("""COMPUTED_VALUE"""),29010.0)</f>
        <v>29010</v>
      </c>
      <c r="C3648" t="str">
        <f>IFERROR(__xludf.DUMMYFUNCTION("""COMPUTED_VALUE"""),"ARANGO NAVARRO, MANUELA")</f>
        <v>ARANGO NAVARRO, MANUELA</v>
      </c>
      <c r="D3648" t="str">
        <f>IFERROR(__xludf.DUMMYFUNCTION("""COMPUTED_VALUE"""),"Painting I")</f>
        <v>Painting I</v>
      </c>
      <c r="E3648" s="3">
        <f>IFERROR(__xludf.DUMMYFUNCTION("""COMPUTED_VALUE"""),7.0)</f>
        <v>7</v>
      </c>
      <c r="F3648" s="300">
        <v>1.0</v>
      </c>
      <c r="G3648" s="300">
        <v>1.0</v>
      </c>
      <c r="H3648" s="300">
        <v>1.0</v>
      </c>
      <c r="I3648" s="300">
        <v>1.0</v>
      </c>
      <c r="J3648" s="300">
        <v>1.0</v>
      </c>
      <c r="K3648" s="300">
        <v>1.0</v>
      </c>
      <c r="L3648" s="300">
        <v>1.0</v>
      </c>
      <c r="M3648" s="300">
        <v>1.0</v>
      </c>
      <c r="N3648" s="300">
        <v>8.0</v>
      </c>
      <c r="O3648" s="300" t="s">
        <v>934</v>
      </c>
      <c r="P3648" s="300">
        <v>4.0</v>
      </c>
    </row>
    <row r="3649">
      <c r="A3649">
        <f>IFERROR(__xludf.DUMMYFUNCTION("""COMPUTED_VALUE"""),9.0)</f>
        <v>9</v>
      </c>
      <c r="B3649" s="406">
        <f>IFERROR(__xludf.DUMMYFUNCTION("""COMPUTED_VALUE"""),29074.0)</f>
        <v>29074</v>
      </c>
      <c r="C3649" t="str">
        <f>IFERROR(__xludf.DUMMYFUNCTION("""COMPUTED_VALUE"""),"MEDINA JARAMILLO, ALICIA")</f>
        <v>MEDINA JARAMILLO, ALICIA</v>
      </c>
      <c r="D3649" t="str">
        <f>IFERROR(__xludf.DUMMYFUNCTION("""COMPUTED_VALUE"""),"Painting I")</f>
        <v>Painting I</v>
      </c>
      <c r="E3649" s="3">
        <f>IFERROR(__xludf.DUMMYFUNCTION("""COMPUTED_VALUE"""),8.0)</f>
        <v>8</v>
      </c>
      <c r="F3649" s="300">
        <v>1.0</v>
      </c>
      <c r="G3649" s="300">
        <v>1.0</v>
      </c>
      <c r="H3649" s="300">
        <v>1.0</v>
      </c>
      <c r="I3649" s="300">
        <v>1.0</v>
      </c>
      <c r="J3649" s="300">
        <v>1.0</v>
      </c>
      <c r="K3649" s="300">
        <v>1.0</v>
      </c>
      <c r="L3649" s="300">
        <v>1.0</v>
      </c>
      <c r="M3649" s="300">
        <v>1.0</v>
      </c>
      <c r="N3649" s="300">
        <v>8.0</v>
      </c>
      <c r="O3649" s="300" t="s">
        <v>988</v>
      </c>
      <c r="P3649" s="300">
        <v>4.0</v>
      </c>
    </row>
    <row r="3650">
      <c r="A3650">
        <f>IFERROR(__xludf.DUMMYFUNCTION("""COMPUTED_VALUE"""),9.0)</f>
        <v>9</v>
      </c>
      <c r="B3650" s="406">
        <f>IFERROR(__xludf.DUMMYFUNCTION("""COMPUTED_VALUE"""),29001.0)</f>
        <v>29001</v>
      </c>
      <c r="C3650" t="str">
        <f>IFERROR(__xludf.DUMMYFUNCTION("""COMPUTED_VALUE"""),"ACEVEDO ARANGO, ROSARIO")</f>
        <v>ACEVEDO ARANGO, ROSARIO</v>
      </c>
      <c r="D3650" t="str">
        <f>IFERROR(__xludf.DUMMYFUNCTION("""COMPUTED_VALUE"""),"Painting I")</f>
        <v>Painting I</v>
      </c>
      <c r="E3650" s="3">
        <f>IFERROR(__xludf.DUMMYFUNCTION("""COMPUTED_VALUE"""),7.0)</f>
        <v>7</v>
      </c>
      <c r="F3650" s="300">
        <v>1.0</v>
      </c>
      <c r="G3650" s="300">
        <v>1.0</v>
      </c>
      <c r="H3650" s="300">
        <v>1.0</v>
      </c>
      <c r="I3650" s="300">
        <v>1.0</v>
      </c>
      <c r="J3650" s="300">
        <v>1.0</v>
      </c>
      <c r="K3650" s="300">
        <v>1.0</v>
      </c>
      <c r="L3650" s="300">
        <v>1.0</v>
      </c>
      <c r="M3650" s="300">
        <v>1.0</v>
      </c>
      <c r="N3650" s="300">
        <v>8.0</v>
      </c>
      <c r="O3650" s="300" t="s">
        <v>934</v>
      </c>
      <c r="P3650" s="300">
        <v>4.0</v>
      </c>
    </row>
    <row r="3651">
      <c r="A3651">
        <f>IFERROR(__xludf.DUMMYFUNCTION("""COMPUTED_VALUE"""),9.0)</f>
        <v>9</v>
      </c>
      <c r="B3651" s="406">
        <f>IFERROR(__xludf.DUMMYFUNCTION("""COMPUTED_VALUE"""),29043.0)</f>
        <v>29043</v>
      </c>
      <c r="C3651" t="str">
        <f>IFERROR(__xludf.DUMMYFUNCTION("""COMPUTED_VALUE"""),"GOMEZ PASCHKE, VALERIA")</f>
        <v>GOMEZ PASCHKE, VALERIA</v>
      </c>
      <c r="D3651" t="str">
        <f>IFERROR(__xludf.DUMMYFUNCTION("""COMPUTED_VALUE"""),"Painting I")</f>
        <v>Painting I</v>
      </c>
      <c r="E3651" s="3">
        <f>IFERROR(__xludf.DUMMYFUNCTION("""COMPUTED_VALUE"""),8.0)</f>
        <v>8</v>
      </c>
      <c r="F3651" s="300">
        <v>1.0</v>
      </c>
      <c r="G3651" s="300">
        <v>1.0</v>
      </c>
      <c r="H3651" s="300">
        <v>1.0</v>
      </c>
      <c r="I3651" s="300">
        <v>1.0</v>
      </c>
      <c r="J3651" s="300">
        <v>1.0</v>
      </c>
      <c r="K3651" s="300">
        <v>1.0</v>
      </c>
      <c r="L3651" s="300">
        <v>1.0</v>
      </c>
      <c r="M3651" s="300">
        <v>1.0</v>
      </c>
      <c r="N3651" s="300">
        <v>8.0</v>
      </c>
      <c r="O3651" s="300" t="s">
        <v>988</v>
      </c>
      <c r="P3651" s="300">
        <v>4.0</v>
      </c>
    </row>
    <row r="3652">
      <c r="A3652">
        <f>IFERROR(__xludf.DUMMYFUNCTION("""COMPUTED_VALUE"""),9.0)</f>
        <v>9</v>
      </c>
      <c r="B3652" s="406">
        <f>IFERROR(__xludf.DUMMYFUNCTION("""COMPUTED_VALUE"""),29114.0)</f>
        <v>29114</v>
      </c>
      <c r="C3652" t="str">
        <f>IFERROR(__xludf.DUMMYFUNCTION("""COMPUTED_VALUE"""),"THIRIEZ VILLA, MARIA")</f>
        <v>THIRIEZ VILLA, MARIA</v>
      </c>
      <c r="D3652" t="str">
        <f>IFERROR(__xludf.DUMMYFUNCTION("""COMPUTED_VALUE"""),"Painting I")</f>
        <v>Painting I</v>
      </c>
      <c r="E3652" s="3">
        <f>IFERROR(__xludf.DUMMYFUNCTION("""COMPUTED_VALUE"""),7.0)</f>
        <v>7</v>
      </c>
      <c r="F3652" s="300">
        <v>1.0</v>
      </c>
      <c r="G3652" s="300">
        <v>1.0</v>
      </c>
      <c r="H3652" s="300">
        <v>1.0</v>
      </c>
      <c r="I3652" s="300">
        <v>1.0</v>
      </c>
      <c r="J3652" s="300">
        <v>1.0</v>
      </c>
      <c r="K3652" s="300">
        <v>1.0</v>
      </c>
      <c r="L3652" s="300">
        <v>1.0</v>
      </c>
      <c r="M3652" s="300">
        <v>1.0</v>
      </c>
      <c r="N3652" s="300">
        <v>8.0</v>
      </c>
      <c r="O3652" s="300" t="s">
        <v>934</v>
      </c>
      <c r="P3652" s="300">
        <v>4.0</v>
      </c>
    </row>
    <row r="3653">
      <c r="A3653">
        <f>IFERROR(__xludf.DUMMYFUNCTION("""COMPUTED_VALUE"""),9.0)</f>
        <v>9</v>
      </c>
      <c r="B3653" s="406">
        <f>IFERROR(__xludf.DUMMYFUNCTION("""COMPUTED_VALUE"""),29091.0)</f>
        <v>29091</v>
      </c>
      <c r="C3653" t="str">
        <f>IFERROR(__xludf.DUMMYFUNCTION("""COMPUTED_VALUE"""),"PLATA BOLAÑOS, CAMILA")</f>
        <v>PLATA BOLAÑOS, CAMILA</v>
      </c>
      <c r="D3653" t="str">
        <f>IFERROR(__xludf.DUMMYFUNCTION("""COMPUTED_VALUE"""),"Painting I")</f>
        <v>Painting I</v>
      </c>
      <c r="E3653" s="3">
        <f>IFERROR(__xludf.DUMMYFUNCTION("""COMPUTED_VALUE"""),8.0)</f>
        <v>8</v>
      </c>
      <c r="F3653" s="300">
        <v>1.0</v>
      </c>
      <c r="G3653" s="300">
        <v>1.0</v>
      </c>
      <c r="H3653" s="300">
        <v>1.0</v>
      </c>
      <c r="I3653" s="300">
        <v>1.0</v>
      </c>
      <c r="J3653" s="300">
        <v>1.0</v>
      </c>
      <c r="K3653" s="300">
        <v>1.0</v>
      </c>
      <c r="L3653" s="300">
        <v>1.0</v>
      </c>
      <c r="M3653" s="300">
        <v>1.0</v>
      </c>
      <c r="N3653" s="300">
        <v>8.0</v>
      </c>
      <c r="O3653" s="300" t="s">
        <v>988</v>
      </c>
      <c r="P3653" s="300">
        <v>4.0</v>
      </c>
    </row>
    <row r="3654">
      <c r="A3654">
        <f>IFERROR(__xludf.DUMMYFUNCTION("""COMPUTED_VALUE"""),9.0)</f>
        <v>9</v>
      </c>
      <c r="B3654" s="406">
        <f>IFERROR(__xludf.DUMMYFUNCTION("""COMPUTED_VALUE"""),29034.0)</f>
        <v>29034</v>
      </c>
      <c r="C3654" t="str">
        <f>IFERROR(__xludf.DUMMYFUNCTION("""COMPUTED_VALUE"""),"DUQUE BONNETT, ELISA")</f>
        <v>DUQUE BONNETT, ELISA</v>
      </c>
      <c r="D3654" t="str">
        <f>IFERROR(__xludf.DUMMYFUNCTION("""COMPUTED_VALUE"""),"Painting I")</f>
        <v>Painting I</v>
      </c>
      <c r="E3654" s="3">
        <f>IFERROR(__xludf.DUMMYFUNCTION("""COMPUTED_VALUE"""),7.0)</f>
        <v>7</v>
      </c>
      <c r="F3654" s="300">
        <v>1.0</v>
      </c>
      <c r="G3654" s="300">
        <v>1.0</v>
      </c>
      <c r="H3654" s="300">
        <v>1.0</v>
      </c>
      <c r="I3654" s="300">
        <v>1.0</v>
      </c>
      <c r="J3654" s="300">
        <v>1.0</v>
      </c>
      <c r="K3654" s="300">
        <v>1.0</v>
      </c>
      <c r="L3654" s="300">
        <v>1.0</v>
      </c>
      <c r="M3654" s="300">
        <v>1.0</v>
      </c>
      <c r="N3654" s="300">
        <v>8.0</v>
      </c>
      <c r="O3654" s="300" t="s">
        <v>934</v>
      </c>
      <c r="P3654" s="300">
        <v>4.0</v>
      </c>
    </row>
    <row r="3655">
      <c r="A3655">
        <f>IFERROR(__xludf.DUMMYFUNCTION("""COMPUTED_VALUE"""),9.0)</f>
        <v>9</v>
      </c>
      <c r="B3655" s="406">
        <f>IFERROR(__xludf.DUMMYFUNCTION("""COMPUTED_VALUE"""),29080.0)</f>
        <v>29080</v>
      </c>
      <c r="C3655" t="str">
        <f>IFERROR(__xludf.DUMMYFUNCTION("""COMPUTED_VALUE"""),"MONTES LOPEZ, MANUELA")</f>
        <v>MONTES LOPEZ, MANUELA</v>
      </c>
      <c r="D3655" t="str">
        <f>IFERROR(__xludf.DUMMYFUNCTION("""COMPUTED_VALUE"""),"Band Level I")</f>
        <v>Band Level I</v>
      </c>
      <c r="E3655" s="3">
        <f>IFERROR(__xludf.DUMMYFUNCTION("""COMPUTED_VALUE"""),3.0)</f>
        <v>3</v>
      </c>
      <c r="F3655" s="300">
        <v>1.0</v>
      </c>
      <c r="G3655" s="300">
        <v>1.0</v>
      </c>
      <c r="H3655" s="300">
        <v>1.0</v>
      </c>
      <c r="I3655" s="300">
        <v>1.0</v>
      </c>
      <c r="J3655" s="300">
        <v>1.0</v>
      </c>
      <c r="K3655" s="300">
        <v>1.0</v>
      </c>
      <c r="L3655" s="300">
        <v>1.0</v>
      </c>
      <c r="M3655" s="300">
        <v>1.0</v>
      </c>
      <c r="N3655" s="300">
        <v>8.0</v>
      </c>
      <c r="O3655" s="300" t="s">
        <v>990</v>
      </c>
      <c r="P3655" s="300">
        <v>4.0</v>
      </c>
    </row>
    <row r="3656">
      <c r="A3656">
        <f>IFERROR(__xludf.DUMMYFUNCTION("""COMPUTED_VALUE"""),9.0)</f>
        <v>9</v>
      </c>
      <c r="B3656" s="406">
        <f>IFERROR(__xludf.DUMMYFUNCTION("""COMPUTED_VALUE"""),29157.0)</f>
        <v>29157</v>
      </c>
      <c r="C3656" t="str">
        <f>IFERROR(__xludf.DUMMYFUNCTION("""COMPUTED_VALUE"""),"PETTERSSON VANEGAS, DOMINIQUE")</f>
        <v>PETTERSSON VANEGAS, DOMINIQUE</v>
      </c>
      <c r="D3656" t="str">
        <f>IFERROR(__xludf.DUMMYFUNCTION("""COMPUTED_VALUE"""),"Painting I")</f>
        <v>Painting I</v>
      </c>
      <c r="E3656" s="3">
        <f>IFERROR(__xludf.DUMMYFUNCTION("""COMPUTED_VALUE"""),8.0)</f>
        <v>8</v>
      </c>
      <c r="F3656" s="300">
        <v>1.0</v>
      </c>
      <c r="G3656" s="300">
        <v>1.0</v>
      </c>
      <c r="H3656" s="300">
        <v>1.0</v>
      </c>
      <c r="I3656" s="300">
        <v>1.0</v>
      </c>
      <c r="J3656" s="300">
        <v>1.0</v>
      </c>
      <c r="K3656" s="300">
        <v>1.0</v>
      </c>
      <c r="L3656" s="300">
        <v>1.0</v>
      </c>
      <c r="M3656" s="300">
        <v>1.0</v>
      </c>
      <c r="N3656" s="300">
        <v>8.0</v>
      </c>
      <c r="O3656" s="300" t="s">
        <v>988</v>
      </c>
      <c r="P3656" s="300">
        <v>4.0</v>
      </c>
    </row>
    <row r="3657">
      <c r="A3657">
        <f>IFERROR(__xludf.DUMMYFUNCTION("""COMPUTED_VALUE"""),9.0)</f>
        <v>9</v>
      </c>
      <c r="B3657" s="406">
        <f>IFERROR(__xludf.DUMMYFUNCTION("""COMPUTED_VALUE"""),29111.0)</f>
        <v>29111</v>
      </c>
      <c r="C3657" t="str">
        <f>IFERROR(__xludf.DUMMYFUNCTION("""COMPUTED_VALUE"""),"SOTO ANGEL, GABRIELA")</f>
        <v>SOTO ANGEL, GABRIELA</v>
      </c>
      <c r="D3657" t="str">
        <f>IFERROR(__xludf.DUMMYFUNCTION("""COMPUTED_VALUE"""),"Sculpture I")</f>
        <v>Sculpture I</v>
      </c>
      <c r="E3657" s="3">
        <f>IFERROR(__xludf.DUMMYFUNCTION("""COMPUTED_VALUE"""),3.0)</f>
        <v>3</v>
      </c>
      <c r="F3657" s="300">
        <v>1.0</v>
      </c>
      <c r="G3657" s="300">
        <v>1.0</v>
      </c>
      <c r="H3657" s="300">
        <v>1.0</v>
      </c>
      <c r="I3657" s="300">
        <v>1.0</v>
      </c>
      <c r="J3657" s="300">
        <v>1.0</v>
      </c>
      <c r="K3657" s="300">
        <v>1.0</v>
      </c>
      <c r="L3657" s="300">
        <v>1.0</v>
      </c>
      <c r="M3657" s="300">
        <v>1.0</v>
      </c>
      <c r="N3657" s="300">
        <v>8.0</v>
      </c>
      <c r="O3657" s="300" t="s">
        <v>947</v>
      </c>
      <c r="P3657" s="300">
        <v>2.0</v>
      </c>
    </row>
    <row r="3658">
      <c r="A3658">
        <f>IFERROR(__xludf.DUMMYFUNCTION("""COMPUTED_VALUE"""),9.0)</f>
        <v>9</v>
      </c>
      <c r="B3658" s="406">
        <f>IFERROR(__xludf.DUMMYFUNCTION("""COMPUTED_VALUE"""),29107.0)</f>
        <v>29107</v>
      </c>
      <c r="C3658" t="str">
        <f>IFERROR(__xludf.DUMMYFUNCTION("""COMPUTED_VALUE"""),"SANIN JARAMILLO, PEDRO")</f>
        <v>SANIN JARAMILLO, PEDRO</v>
      </c>
      <c r="D3658" t="str">
        <f>IFERROR(__xludf.DUMMYFUNCTION("""COMPUTED_VALUE"""),"Painting I")</f>
        <v>Painting I</v>
      </c>
      <c r="E3658" s="3">
        <f>IFERROR(__xludf.DUMMYFUNCTION("""COMPUTED_VALUE"""),7.0)</f>
        <v>7</v>
      </c>
      <c r="F3658" s="300">
        <v>1.0</v>
      </c>
      <c r="G3658" s="300">
        <v>1.0</v>
      </c>
      <c r="H3658" s="300">
        <v>1.0</v>
      </c>
      <c r="I3658" s="300">
        <v>1.0</v>
      </c>
      <c r="J3658" s="300">
        <v>1.0</v>
      </c>
      <c r="K3658" s="300">
        <v>1.0</v>
      </c>
      <c r="L3658" s="300">
        <v>1.0</v>
      </c>
      <c r="M3658" s="300">
        <v>1.0</v>
      </c>
      <c r="N3658" s="300">
        <v>8.0</v>
      </c>
      <c r="O3658" s="300" t="s">
        <v>934</v>
      </c>
      <c r="P3658" s="300">
        <v>4.0</v>
      </c>
    </row>
    <row r="3659">
      <c r="A3659">
        <f>IFERROR(__xludf.DUMMYFUNCTION("""COMPUTED_VALUE"""),9.0)</f>
        <v>9</v>
      </c>
      <c r="B3659" s="406">
        <f>IFERROR(__xludf.DUMMYFUNCTION("""COMPUTED_VALUE"""),29066.0)</f>
        <v>29066</v>
      </c>
      <c r="C3659" t="str">
        <f>IFERROR(__xludf.DUMMYFUNCTION("""COMPUTED_VALUE"""),"LONDOÑO JARAMILLO, MARTINA")</f>
        <v>LONDOÑO JARAMILLO, MARTINA</v>
      </c>
      <c r="D3659" t="str">
        <f>IFERROR(__xludf.DUMMYFUNCTION("""COMPUTED_VALUE"""),"Band Level I")</f>
        <v>Band Level I</v>
      </c>
      <c r="E3659" s="3">
        <f>IFERROR(__xludf.DUMMYFUNCTION("""COMPUTED_VALUE"""),3.0)</f>
        <v>3</v>
      </c>
      <c r="F3659" s="300">
        <v>1.0</v>
      </c>
      <c r="G3659" s="300">
        <v>1.0</v>
      </c>
      <c r="H3659" s="300">
        <v>1.0</v>
      </c>
      <c r="I3659" s="300">
        <v>1.0</v>
      </c>
      <c r="J3659" s="300">
        <v>1.0</v>
      </c>
      <c r="K3659" s="300">
        <v>1.0</v>
      </c>
      <c r="L3659" s="300">
        <v>1.0</v>
      </c>
      <c r="M3659" s="300">
        <v>1.0</v>
      </c>
      <c r="N3659" s="300">
        <v>8.0</v>
      </c>
      <c r="O3659" s="300" t="s">
        <v>990</v>
      </c>
      <c r="P3659" s="300">
        <v>4.0</v>
      </c>
    </row>
    <row r="3660">
      <c r="A3660">
        <f>IFERROR(__xludf.DUMMYFUNCTION("""COMPUTED_VALUE"""),9.0)</f>
        <v>9</v>
      </c>
      <c r="B3660" s="406">
        <f>IFERROR(__xludf.DUMMYFUNCTION("""COMPUTED_VALUE"""),29071.0)</f>
        <v>29071</v>
      </c>
      <c r="C3660" t="str">
        <f>IFERROR(__xludf.DUMMYFUNCTION("""COMPUTED_VALUE"""),"MARQUEZ BARRERA, MIRANDA")</f>
        <v>MARQUEZ BARRERA, MIRANDA</v>
      </c>
      <c r="D3660" t="str">
        <f>IFERROR(__xludf.DUMMYFUNCTION("""COMPUTED_VALUE"""),"Painting I")</f>
        <v>Painting I</v>
      </c>
      <c r="E3660" s="3">
        <f>IFERROR(__xludf.DUMMYFUNCTION("""COMPUTED_VALUE"""),8.0)</f>
        <v>8</v>
      </c>
      <c r="F3660" s="300">
        <v>1.0</v>
      </c>
      <c r="G3660" s="300">
        <v>1.0</v>
      </c>
      <c r="H3660" s="300">
        <v>1.0</v>
      </c>
      <c r="I3660" s="300">
        <v>1.0</v>
      </c>
      <c r="J3660" s="300">
        <v>1.0</v>
      </c>
      <c r="K3660" s="300">
        <v>1.0</v>
      </c>
      <c r="L3660" s="300">
        <v>1.0</v>
      </c>
      <c r="M3660" s="300">
        <v>1.0</v>
      </c>
      <c r="N3660" s="300">
        <v>8.0</v>
      </c>
      <c r="O3660" s="300" t="s">
        <v>988</v>
      </c>
      <c r="P3660" s="300">
        <v>4.0</v>
      </c>
    </row>
    <row r="3661">
      <c r="A3661">
        <f>IFERROR(__xludf.DUMMYFUNCTION("""COMPUTED_VALUE"""),9.0)</f>
        <v>9</v>
      </c>
      <c r="B3661" s="406">
        <f>IFERROR(__xludf.DUMMYFUNCTION("""COMPUTED_VALUE"""),29008.0)</f>
        <v>29008</v>
      </c>
      <c r="C3661" t="str">
        <f>IFERROR(__xludf.DUMMYFUNCTION("""COMPUTED_VALUE"""),"APA ECHAVARRIA, LORENZO")</f>
        <v>APA ECHAVARRIA, LORENZO</v>
      </c>
      <c r="D3661" t="str">
        <f>IFERROR(__xludf.DUMMYFUNCTION("""COMPUTED_VALUE"""),"Band Level I")</f>
        <v>Band Level I</v>
      </c>
      <c r="E3661" s="3">
        <f>IFERROR(__xludf.DUMMYFUNCTION("""COMPUTED_VALUE"""),7.0)</f>
        <v>7</v>
      </c>
      <c r="F3661" s="300">
        <v>1.0</v>
      </c>
      <c r="G3661" s="300">
        <v>1.0</v>
      </c>
      <c r="H3661" s="300">
        <v>1.0</v>
      </c>
      <c r="I3661" s="300">
        <v>1.0</v>
      </c>
      <c r="J3661" s="300">
        <v>1.0</v>
      </c>
      <c r="K3661" s="300">
        <v>1.0</v>
      </c>
      <c r="L3661" s="300">
        <v>1.0</v>
      </c>
      <c r="M3661" s="300">
        <v>1.0</v>
      </c>
      <c r="N3661" s="300">
        <v>8.0</v>
      </c>
      <c r="O3661" s="300" t="s">
        <v>936</v>
      </c>
      <c r="P3661" s="300">
        <v>4.0</v>
      </c>
    </row>
    <row r="3662">
      <c r="A3662">
        <f>IFERROR(__xludf.DUMMYFUNCTION("""COMPUTED_VALUE"""),9.0)</f>
        <v>9</v>
      </c>
      <c r="B3662" s="406">
        <f>IFERROR(__xludf.DUMMYFUNCTION("""COMPUTED_VALUE"""),29016.0)</f>
        <v>29016</v>
      </c>
      <c r="C3662" t="str">
        <f>IFERROR(__xludf.DUMMYFUNCTION("""COMPUTED_VALUE"""),"ARROYAVE LONDOÑO, ELISA")</f>
        <v>ARROYAVE LONDOÑO, ELISA</v>
      </c>
      <c r="D3662" t="str">
        <f>IFERROR(__xludf.DUMMYFUNCTION("""COMPUTED_VALUE"""),"Painting I")</f>
        <v>Painting I</v>
      </c>
      <c r="E3662" s="3">
        <f>IFERROR(__xludf.DUMMYFUNCTION("""COMPUTED_VALUE"""),7.0)</f>
        <v>7</v>
      </c>
      <c r="F3662" s="300">
        <v>1.0</v>
      </c>
      <c r="G3662" s="300">
        <v>1.0</v>
      </c>
      <c r="H3662" s="300">
        <v>1.0</v>
      </c>
      <c r="I3662" s="300">
        <v>1.0</v>
      </c>
      <c r="J3662" s="300">
        <v>1.0</v>
      </c>
      <c r="K3662" s="300">
        <v>1.0</v>
      </c>
      <c r="L3662" s="300">
        <v>1.0</v>
      </c>
      <c r="M3662" s="300">
        <v>1.0</v>
      </c>
      <c r="N3662" s="300">
        <v>8.0</v>
      </c>
      <c r="O3662" s="300" t="s">
        <v>934</v>
      </c>
      <c r="P3662" s="300">
        <v>4.0</v>
      </c>
    </row>
    <row r="3663">
      <c r="A3663">
        <f>IFERROR(__xludf.DUMMYFUNCTION("""COMPUTED_VALUE"""),9.0)</f>
        <v>9</v>
      </c>
      <c r="B3663" s="406">
        <f>IFERROR(__xludf.DUMMYFUNCTION("""COMPUTED_VALUE"""),29053.0)</f>
        <v>29053</v>
      </c>
      <c r="C3663" t="str">
        <f>IFERROR(__xludf.DUMMYFUNCTION("""COMPUTED_VALUE"""),"HURTADO FAJARDO, JUANITA")</f>
        <v>HURTADO FAJARDO, JUANITA</v>
      </c>
      <c r="D3663" t="str">
        <f>IFERROR(__xludf.DUMMYFUNCTION("""COMPUTED_VALUE"""),"Painting I")</f>
        <v>Painting I</v>
      </c>
      <c r="E3663" s="3">
        <f>IFERROR(__xludf.DUMMYFUNCTION("""COMPUTED_VALUE"""),8.0)</f>
        <v>8</v>
      </c>
      <c r="F3663" s="300">
        <v>1.0</v>
      </c>
      <c r="G3663" s="300">
        <v>1.0</v>
      </c>
      <c r="H3663" s="300">
        <v>1.0</v>
      </c>
      <c r="I3663" s="300">
        <v>1.0</v>
      </c>
      <c r="J3663" s="300">
        <v>1.0</v>
      </c>
      <c r="K3663" s="300">
        <v>1.0</v>
      </c>
      <c r="L3663" s="300">
        <v>1.0</v>
      </c>
      <c r="M3663" s="300">
        <v>1.0</v>
      </c>
      <c r="N3663" s="300">
        <v>8.0</v>
      </c>
      <c r="O3663" s="300" t="s">
        <v>988</v>
      </c>
      <c r="P3663" s="300">
        <v>4.0</v>
      </c>
    </row>
    <row r="3664">
      <c r="A3664">
        <f>IFERROR(__xludf.DUMMYFUNCTION("""COMPUTED_VALUE"""),9.0)</f>
        <v>9</v>
      </c>
      <c r="B3664" s="406">
        <f>IFERROR(__xludf.DUMMYFUNCTION("""COMPUTED_VALUE"""),29124.0)</f>
        <v>29124</v>
      </c>
      <c r="C3664" t="str">
        <f>IFERROR(__xludf.DUMMYFUNCTION("""COMPUTED_VALUE"""),"VALLEJO HOYOS, JUAN")</f>
        <v>VALLEJO HOYOS, JUAN</v>
      </c>
      <c r="D3664" t="str">
        <f>IFERROR(__xludf.DUMMYFUNCTION("""COMPUTED_VALUE"""),"Band Level I")</f>
        <v>Band Level I</v>
      </c>
      <c r="E3664" s="3">
        <f>IFERROR(__xludf.DUMMYFUNCTION("""COMPUTED_VALUE"""),8.0)</f>
        <v>8</v>
      </c>
      <c r="F3664" s="300">
        <v>1.0</v>
      </c>
      <c r="G3664" s="300">
        <v>1.0</v>
      </c>
      <c r="H3664" s="300">
        <v>1.0</v>
      </c>
      <c r="I3664" s="300">
        <v>1.0</v>
      </c>
      <c r="J3664" s="300">
        <v>1.0</v>
      </c>
      <c r="K3664" s="300">
        <v>1.0</v>
      </c>
      <c r="L3664" s="300">
        <v>1.0</v>
      </c>
      <c r="M3664" s="300">
        <v>1.0</v>
      </c>
      <c r="N3664" s="300">
        <v>8.0</v>
      </c>
      <c r="O3664" s="300" t="s">
        <v>943</v>
      </c>
      <c r="P3664" s="300">
        <v>4.0</v>
      </c>
    </row>
    <row r="3665">
      <c r="A3665">
        <f>IFERROR(__xludf.DUMMYFUNCTION("""COMPUTED_VALUE"""),9.0)</f>
        <v>9</v>
      </c>
      <c r="B3665" s="406">
        <f>IFERROR(__xludf.DUMMYFUNCTION("""COMPUTED_VALUE"""),29135.0)</f>
        <v>29135</v>
      </c>
      <c r="C3665" t="str">
        <f>IFERROR(__xludf.DUMMYFUNCTION("""COMPUTED_VALUE"""),"ECHAVARRIA MUÑOZ, NICOLAS")</f>
        <v>ECHAVARRIA MUÑOZ, NICOLAS</v>
      </c>
      <c r="D3665" t="str">
        <f>IFERROR(__xludf.DUMMYFUNCTION("""COMPUTED_VALUE"""),"Band Level I")</f>
        <v>Band Level I</v>
      </c>
      <c r="E3665" s="3">
        <f>IFERROR(__xludf.DUMMYFUNCTION("""COMPUTED_VALUE"""),3.0)</f>
        <v>3</v>
      </c>
      <c r="F3665" s="300">
        <v>1.0</v>
      </c>
      <c r="G3665" s="300">
        <v>1.0</v>
      </c>
      <c r="H3665" s="300">
        <v>1.0</v>
      </c>
      <c r="I3665" s="300">
        <v>1.0</v>
      </c>
      <c r="J3665" s="300">
        <v>1.0</v>
      </c>
      <c r="K3665" s="300">
        <v>1.0</v>
      </c>
      <c r="L3665" s="300">
        <v>1.0</v>
      </c>
      <c r="M3665" s="300">
        <v>1.0</v>
      </c>
      <c r="N3665" s="300">
        <v>8.0</v>
      </c>
      <c r="O3665" s="300" t="s">
        <v>990</v>
      </c>
      <c r="P3665" s="300">
        <v>4.0</v>
      </c>
    </row>
    <row r="3666">
      <c r="A3666">
        <f>IFERROR(__xludf.DUMMYFUNCTION("""COMPUTED_VALUE"""),9.0)</f>
        <v>9</v>
      </c>
      <c r="B3666" s="406">
        <f>IFERROR(__xludf.DUMMYFUNCTION("""COMPUTED_VALUE"""),29112.0)</f>
        <v>29112</v>
      </c>
      <c r="C3666" t="str">
        <f>IFERROR(__xludf.DUMMYFUNCTION("""COMPUTED_VALUE"""),"SUAREZ MARTINEZ, ANA")</f>
        <v>SUAREZ MARTINEZ, ANA</v>
      </c>
      <c r="D3666" t="str">
        <f>IFERROR(__xludf.DUMMYFUNCTION("""COMPUTED_VALUE"""),"Painting I")</f>
        <v>Painting I</v>
      </c>
      <c r="E3666" s="3">
        <f>IFERROR(__xludf.DUMMYFUNCTION("""COMPUTED_VALUE"""),7.0)</f>
        <v>7</v>
      </c>
      <c r="F3666" s="300">
        <v>1.0</v>
      </c>
      <c r="G3666" s="300">
        <v>1.0</v>
      </c>
      <c r="H3666" s="300">
        <v>1.0</v>
      </c>
      <c r="I3666" s="300">
        <v>1.0</v>
      </c>
      <c r="J3666" s="300">
        <v>1.0</v>
      </c>
      <c r="K3666" s="300">
        <v>1.0</v>
      </c>
      <c r="L3666" s="300">
        <v>1.0</v>
      </c>
      <c r="M3666" s="300">
        <v>1.0</v>
      </c>
      <c r="N3666" s="300">
        <v>8.0</v>
      </c>
      <c r="O3666" s="300" t="s">
        <v>934</v>
      </c>
      <c r="P3666" s="300">
        <v>4.0</v>
      </c>
    </row>
    <row r="3667">
      <c r="A3667">
        <f>IFERROR(__xludf.DUMMYFUNCTION("""COMPUTED_VALUE"""),9.0)</f>
        <v>9</v>
      </c>
      <c r="B3667" s="406">
        <f>IFERROR(__xludf.DUMMYFUNCTION("""COMPUTED_VALUE"""),29022.0)</f>
        <v>29022</v>
      </c>
      <c r="C3667" t="str">
        <f>IFERROR(__xludf.DUMMYFUNCTION("""COMPUTED_VALUE"""),"BETANCUR ROBLEDO, PEDRO")</f>
        <v>BETANCUR ROBLEDO, PEDRO</v>
      </c>
      <c r="D3667" t="str">
        <f>IFERROR(__xludf.DUMMYFUNCTION("""COMPUTED_VALUE"""),"Sculpture I")</f>
        <v>Sculpture I</v>
      </c>
      <c r="E3667" s="3">
        <f>IFERROR(__xludf.DUMMYFUNCTION("""COMPUTED_VALUE"""),3.0)</f>
        <v>3</v>
      </c>
      <c r="F3667" s="300">
        <v>1.0</v>
      </c>
      <c r="G3667" s="300">
        <v>1.0</v>
      </c>
      <c r="H3667" s="300">
        <v>1.0</v>
      </c>
      <c r="I3667" s="300">
        <v>1.0</v>
      </c>
      <c r="J3667" s="300">
        <v>1.0</v>
      </c>
      <c r="K3667" s="300">
        <v>1.0</v>
      </c>
      <c r="L3667" s="300">
        <v>1.0</v>
      </c>
      <c r="M3667" s="300">
        <v>1.0</v>
      </c>
      <c r="N3667" s="300">
        <v>8.0</v>
      </c>
      <c r="O3667" s="300" t="s">
        <v>947</v>
      </c>
      <c r="P3667" s="300">
        <v>2.0</v>
      </c>
    </row>
    <row r="3668">
      <c r="A3668">
        <f>IFERROR(__xludf.DUMMYFUNCTION("""COMPUTED_VALUE"""),9.0)</f>
        <v>9</v>
      </c>
      <c r="B3668" s="406">
        <f>IFERROR(__xludf.DUMMYFUNCTION("""COMPUTED_VALUE"""),29085.0)</f>
        <v>29085</v>
      </c>
      <c r="C3668" t="str">
        <f>IFERROR(__xludf.DUMMYFUNCTION("""COMPUTED_VALUE"""),"OTALVARO ABAD, JUAN MARTIN")</f>
        <v>OTALVARO ABAD, JUAN MARTIN</v>
      </c>
      <c r="D3668" t="str">
        <f>IFERROR(__xludf.DUMMYFUNCTION("""COMPUTED_VALUE"""),"Painting I")</f>
        <v>Painting I</v>
      </c>
      <c r="E3668" s="3">
        <f>IFERROR(__xludf.DUMMYFUNCTION("""COMPUTED_VALUE"""),8.0)</f>
        <v>8</v>
      </c>
      <c r="F3668" s="300">
        <v>1.0</v>
      </c>
      <c r="G3668" s="300">
        <v>1.0</v>
      </c>
      <c r="H3668" s="300">
        <v>1.0</v>
      </c>
      <c r="I3668" s="300">
        <v>1.0</v>
      </c>
      <c r="J3668" s="300">
        <v>1.0</v>
      </c>
      <c r="K3668" s="300">
        <v>1.0</v>
      </c>
      <c r="L3668" s="300">
        <v>1.0</v>
      </c>
      <c r="M3668" s="300">
        <v>1.0</v>
      </c>
      <c r="N3668" s="300">
        <v>8.0</v>
      </c>
      <c r="O3668" s="300" t="s">
        <v>988</v>
      </c>
      <c r="P3668" s="300">
        <v>4.0</v>
      </c>
    </row>
    <row r="3669">
      <c r="A3669">
        <f>IFERROR(__xludf.DUMMYFUNCTION("""COMPUTED_VALUE"""),9.0)</f>
        <v>9</v>
      </c>
      <c r="B3669" s="406">
        <f>IFERROR(__xludf.DUMMYFUNCTION("""COMPUTED_VALUE"""),29081.0)</f>
        <v>29081</v>
      </c>
      <c r="C3669" t="str">
        <f>IFERROR(__xludf.DUMMYFUNCTION("""COMPUTED_VALUE"""),"MORA JARAMILLO, ALICIA")</f>
        <v>MORA JARAMILLO, ALICIA</v>
      </c>
      <c r="D3669" t="str">
        <f>IFERROR(__xludf.DUMMYFUNCTION("""COMPUTED_VALUE"""),"Painting I")</f>
        <v>Painting I</v>
      </c>
      <c r="E3669" s="3">
        <f>IFERROR(__xludf.DUMMYFUNCTION("""COMPUTED_VALUE"""),7.0)</f>
        <v>7</v>
      </c>
      <c r="F3669" s="300">
        <v>1.0</v>
      </c>
      <c r="G3669" s="300">
        <v>1.0</v>
      </c>
      <c r="H3669" s="300">
        <v>1.0</v>
      </c>
      <c r="I3669" s="300">
        <v>1.0</v>
      </c>
      <c r="J3669" s="300">
        <v>1.0</v>
      </c>
      <c r="K3669" s="300">
        <v>1.0</v>
      </c>
      <c r="L3669" s="300">
        <v>1.0</v>
      </c>
      <c r="M3669" s="300">
        <v>1.0</v>
      </c>
      <c r="N3669" s="300">
        <v>8.0</v>
      </c>
      <c r="O3669" s="300" t="s">
        <v>934</v>
      </c>
      <c r="P3669" s="300">
        <v>4.0</v>
      </c>
    </row>
    <row r="3670">
      <c r="A3670">
        <f>IFERROR(__xludf.DUMMYFUNCTION("""COMPUTED_VALUE"""),9.0)</f>
        <v>9</v>
      </c>
      <c r="B3670" s="406">
        <f>IFERROR(__xludf.DUMMYFUNCTION("""COMPUTED_VALUE"""),29147.0)</f>
        <v>29147</v>
      </c>
      <c r="C3670" t="str">
        <f>IFERROR(__xludf.DUMMYFUNCTION("""COMPUTED_VALUE"""),"JIMENO ARISTIZABAL, ISABELLA")</f>
        <v>JIMENO ARISTIZABAL, ISABELLA</v>
      </c>
      <c r="D3670" t="str">
        <f>IFERROR(__xludf.DUMMYFUNCTION("""COMPUTED_VALUE"""),"Painting I")</f>
        <v>Painting I</v>
      </c>
      <c r="E3670" s="3">
        <f>IFERROR(__xludf.DUMMYFUNCTION("""COMPUTED_VALUE"""),8.0)</f>
        <v>8</v>
      </c>
      <c r="F3670" s="300">
        <v>1.0</v>
      </c>
      <c r="G3670" s="300">
        <v>1.0</v>
      </c>
      <c r="H3670" s="300">
        <v>1.0</v>
      </c>
      <c r="I3670" s="300">
        <v>1.0</v>
      </c>
      <c r="J3670" s="300">
        <v>1.0</v>
      </c>
      <c r="K3670" s="300">
        <v>1.0</v>
      </c>
      <c r="L3670" s="300">
        <v>1.0</v>
      </c>
      <c r="M3670" s="300">
        <v>1.0</v>
      </c>
      <c r="N3670" s="300">
        <v>8.0</v>
      </c>
      <c r="O3670" s="300" t="s">
        <v>988</v>
      </c>
      <c r="P3670" s="300">
        <v>4.0</v>
      </c>
    </row>
    <row r="3671">
      <c r="A3671">
        <f>IFERROR(__xludf.DUMMYFUNCTION("""COMPUTED_VALUE"""),9.0)</f>
        <v>9</v>
      </c>
      <c r="B3671" s="406">
        <f>IFERROR(__xludf.DUMMYFUNCTION("""COMPUTED_VALUE"""),29007.0)</f>
        <v>29007</v>
      </c>
      <c r="C3671" t="str">
        <f>IFERROR(__xludf.DUMMYFUNCTION("""COMPUTED_VALUE"""),"ALZATE GARCIA, LUCIANA")</f>
        <v>ALZATE GARCIA, LUCIANA</v>
      </c>
      <c r="D3671" t="str">
        <f>IFERROR(__xludf.DUMMYFUNCTION("""COMPUTED_VALUE"""),"Band Level I")</f>
        <v>Band Level I</v>
      </c>
      <c r="E3671" s="3">
        <f>IFERROR(__xludf.DUMMYFUNCTION("""COMPUTED_VALUE"""),7.0)</f>
        <v>7</v>
      </c>
      <c r="F3671" s="300">
        <v>1.0</v>
      </c>
      <c r="G3671" s="300">
        <v>1.0</v>
      </c>
      <c r="H3671" s="300">
        <v>1.0</v>
      </c>
      <c r="I3671" s="300">
        <v>1.0</v>
      </c>
      <c r="J3671" s="300">
        <v>1.0</v>
      </c>
      <c r="K3671" s="300">
        <v>1.0</v>
      </c>
      <c r="L3671" s="300">
        <v>1.0</v>
      </c>
      <c r="M3671" s="300">
        <v>1.0</v>
      </c>
      <c r="N3671" s="300">
        <v>8.0</v>
      </c>
      <c r="O3671" s="300" t="s">
        <v>936</v>
      </c>
      <c r="P3671" s="300">
        <v>4.0</v>
      </c>
    </row>
    <row r="3672">
      <c r="A3672">
        <f>IFERROR(__xludf.DUMMYFUNCTION("""COMPUTED_VALUE"""),9.0)</f>
        <v>9</v>
      </c>
      <c r="B3672" s="406">
        <f>IFERROR(__xludf.DUMMYFUNCTION("""COMPUTED_VALUE"""),29032.0)</f>
        <v>29032</v>
      </c>
      <c r="C3672" t="str">
        <f>IFERROR(__xludf.DUMMYFUNCTION("""COMPUTED_VALUE"""),"CORTES SIERRA, TOMAS")</f>
        <v>CORTES SIERRA, TOMAS</v>
      </c>
      <c r="D3672" t="str">
        <f>IFERROR(__xludf.DUMMYFUNCTION("""COMPUTED_VALUE"""),"Band Level II")</f>
        <v>Band Level II</v>
      </c>
      <c r="E3672" s="3">
        <f>IFERROR(__xludf.DUMMYFUNCTION("""COMPUTED_VALUE"""),2.0)</f>
        <v>2</v>
      </c>
      <c r="F3672" s="300">
        <v>1.0</v>
      </c>
      <c r="G3672" s="300">
        <v>1.0</v>
      </c>
      <c r="H3672" s="300">
        <v>1.0</v>
      </c>
      <c r="I3672" s="300">
        <v>1.0</v>
      </c>
      <c r="J3672" s="300">
        <v>1.0</v>
      </c>
      <c r="K3672" s="300">
        <v>1.0</v>
      </c>
      <c r="L3672" s="300">
        <v>1.0</v>
      </c>
      <c r="M3672" s="300">
        <v>1.0</v>
      </c>
      <c r="N3672" s="300">
        <v>8.0</v>
      </c>
      <c r="O3672" s="300" t="s">
        <v>940</v>
      </c>
      <c r="P3672" s="300">
        <v>2.0</v>
      </c>
    </row>
    <row r="3673">
      <c r="A3673">
        <f>IFERROR(__xludf.DUMMYFUNCTION("""COMPUTED_VALUE"""),9.0)</f>
        <v>9</v>
      </c>
      <c r="B3673" s="406">
        <f>IFERROR(__xludf.DUMMYFUNCTION("""COMPUTED_VALUE"""),29076.0)</f>
        <v>29076</v>
      </c>
      <c r="C3673" t="str">
        <f>IFERROR(__xludf.DUMMYFUNCTION("""COMPUTED_VALUE"""),"MEJIA MANTILLA, MATEO")</f>
        <v>MEJIA MANTILLA, MATEO</v>
      </c>
      <c r="D3673" t="str">
        <f>IFERROR(__xludf.DUMMYFUNCTION("""COMPUTED_VALUE"""),"Drawing I")</f>
        <v>Drawing I</v>
      </c>
      <c r="E3673" s="3">
        <f>IFERROR(__xludf.DUMMYFUNCTION("""COMPUTED_VALUE"""),3.0)</f>
        <v>3</v>
      </c>
      <c r="F3673" s="300">
        <v>1.0</v>
      </c>
      <c r="G3673" s="300">
        <v>1.0</v>
      </c>
      <c r="H3673" s="300">
        <v>1.0</v>
      </c>
      <c r="I3673" s="300">
        <v>1.0</v>
      </c>
      <c r="J3673" s="300">
        <v>1.0</v>
      </c>
      <c r="K3673" s="300">
        <v>1.0</v>
      </c>
      <c r="L3673" s="300">
        <v>1.0</v>
      </c>
      <c r="M3673" s="300">
        <v>1.0</v>
      </c>
      <c r="N3673" s="300">
        <v>8.0</v>
      </c>
      <c r="O3673" s="300" t="s">
        <v>938</v>
      </c>
      <c r="P3673" s="300">
        <v>2.0</v>
      </c>
    </row>
    <row r="3674">
      <c r="A3674">
        <f>IFERROR(__xludf.DUMMYFUNCTION("""COMPUTED_VALUE"""),9.0)</f>
        <v>9</v>
      </c>
      <c r="B3674" s="406">
        <f>IFERROR(__xludf.DUMMYFUNCTION("""COMPUTED_VALUE"""),29025.0)</f>
        <v>29025</v>
      </c>
      <c r="C3674" t="str">
        <f>IFERROR(__xludf.DUMMYFUNCTION("""COMPUTED_VALUE"""),"CALLE BUITRAGO, ESTEBAN")</f>
        <v>CALLE BUITRAGO, ESTEBAN</v>
      </c>
      <c r="D3674" t="str">
        <f>IFERROR(__xludf.DUMMYFUNCTION("""COMPUTED_VALUE"""),"Band Level I")</f>
        <v>Band Level I</v>
      </c>
      <c r="E3674" s="3">
        <f>IFERROR(__xludf.DUMMYFUNCTION("""COMPUTED_VALUE"""),8.0)</f>
        <v>8</v>
      </c>
      <c r="F3674" s="300">
        <v>1.0</v>
      </c>
      <c r="G3674" s="300">
        <v>1.0</v>
      </c>
      <c r="H3674" s="300">
        <v>1.0</v>
      </c>
      <c r="I3674" s="300">
        <v>1.0</v>
      </c>
      <c r="J3674" s="300">
        <v>1.0</v>
      </c>
      <c r="K3674" s="300">
        <v>1.0</v>
      </c>
      <c r="L3674" s="300">
        <v>1.0</v>
      </c>
      <c r="M3674" s="300">
        <v>1.0</v>
      </c>
      <c r="N3674" s="300">
        <v>8.0</v>
      </c>
      <c r="O3674" s="300" t="s">
        <v>943</v>
      </c>
      <c r="P3674" s="300">
        <v>4.0</v>
      </c>
    </row>
    <row r="3675">
      <c r="A3675">
        <f>IFERROR(__xludf.DUMMYFUNCTION("""COMPUTED_VALUE"""),9.0)</f>
        <v>9</v>
      </c>
      <c r="B3675" s="406">
        <f>IFERROR(__xludf.DUMMYFUNCTION("""COMPUTED_VALUE"""),29038.0)</f>
        <v>29038</v>
      </c>
      <c r="C3675" t="str">
        <f>IFERROR(__xludf.DUMMYFUNCTION("""COMPUTED_VALUE"""),"ESCOBAR MADRID, MAXIMILIANO")</f>
        <v>ESCOBAR MADRID, MAXIMILIANO</v>
      </c>
      <c r="D3675" t="str">
        <f>IFERROR(__xludf.DUMMYFUNCTION("""COMPUTED_VALUE"""),"Drawing I")</f>
        <v>Drawing I</v>
      </c>
      <c r="E3675" s="3">
        <f>IFERROR(__xludf.DUMMYFUNCTION("""COMPUTED_VALUE"""),3.0)</f>
        <v>3</v>
      </c>
      <c r="F3675" s="300">
        <v>1.0</v>
      </c>
      <c r="G3675" s="300">
        <v>1.0</v>
      </c>
      <c r="H3675" s="300">
        <v>1.0</v>
      </c>
      <c r="I3675" s="300">
        <v>1.0</v>
      </c>
      <c r="J3675" s="300">
        <v>1.0</v>
      </c>
      <c r="K3675" s="300">
        <v>1.0</v>
      </c>
      <c r="L3675" s="300">
        <v>1.0</v>
      </c>
      <c r="M3675" s="300">
        <v>1.0</v>
      </c>
      <c r="N3675" s="300">
        <v>8.0</v>
      </c>
      <c r="O3675" s="300" t="s">
        <v>938</v>
      </c>
      <c r="P3675" s="300">
        <v>2.0</v>
      </c>
    </row>
    <row r="3676">
      <c r="A3676">
        <f>IFERROR(__xludf.DUMMYFUNCTION("""COMPUTED_VALUE"""),9.0)</f>
        <v>9</v>
      </c>
      <c r="B3676" s="406">
        <f>IFERROR(__xludf.DUMMYFUNCTION("""COMPUTED_VALUE"""),28077.0)</f>
        <v>28077</v>
      </c>
      <c r="C3676" t="str">
        <f>IFERROR(__xludf.DUMMYFUNCTION("""COMPUTED_VALUE"""),"OLIVEIRA CASTAÑO, MARIANA")</f>
        <v>OLIVEIRA CASTAÑO, MARIANA</v>
      </c>
      <c r="D3676" t="str">
        <f>IFERROR(__xludf.DUMMYFUNCTION("""COMPUTED_VALUE"""),"Painting I")</f>
        <v>Painting I</v>
      </c>
      <c r="E3676" s="3">
        <f>IFERROR(__xludf.DUMMYFUNCTION("""COMPUTED_VALUE"""),8.0)</f>
        <v>8</v>
      </c>
      <c r="F3676" s="300">
        <v>1.0</v>
      </c>
      <c r="G3676" s="300">
        <v>1.0</v>
      </c>
      <c r="H3676" s="300">
        <v>1.0</v>
      </c>
      <c r="I3676" s="300">
        <v>1.0</v>
      </c>
      <c r="J3676" s="300">
        <v>1.0</v>
      </c>
      <c r="K3676" s="300">
        <v>1.0</v>
      </c>
      <c r="L3676" s="300">
        <v>1.0</v>
      </c>
      <c r="M3676" s="300">
        <v>1.0</v>
      </c>
      <c r="N3676" s="300">
        <v>8.0</v>
      </c>
      <c r="O3676" s="300" t="s">
        <v>988</v>
      </c>
      <c r="P3676" s="300">
        <v>4.0</v>
      </c>
    </row>
    <row r="3677">
      <c r="A3677">
        <f>IFERROR(__xludf.DUMMYFUNCTION("""COMPUTED_VALUE"""),9.0)</f>
        <v>9</v>
      </c>
      <c r="B3677" s="406">
        <f>IFERROR(__xludf.DUMMYFUNCTION("""COMPUTED_VALUE"""),29041.0)</f>
        <v>29041</v>
      </c>
      <c r="C3677" t="str">
        <f>IFERROR(__xludf.DUMMYFUNCTION("""COMPUTED_VALUE"""),"FAJARDO VILLA, LUCIANA")</f>
        <v>FAJARDO VILLA, LUCIANA</v>
      </c>
      <c r="D3677" t="str">
        <f>IFERROR(__xludf.DUMMYFUNCTION("""COMPUTED_VALUE"""),"Painting I")</f>
        <v>Painting I</v>
      </c>
      <c r="E3677" s="3">
        <f>IFERROR(__xludf.DUMMYFUNCTION("""COMPUTED_VALUE"""),7.0)</f>
        <v>7</v>
      </c>
      <c r="F3677" s="300">
        <v>1.0</v>
      </c>
      <c r="G3677" s="300">
        <v>1.0</v>
      </c>
      <c r="H3677" s="300">
        <v>1.0</v>
      </c>
      <c r="I3677" s="300">
        <v>1.0</v>
      </c>
      <c r="J3677" s="300">
        <v>1.0</v>
      </c>
      <c r="K3677" s="300">
        <v>1.0</v>
      </c>
      <c r="L3677" s="300">
        <v>1.0</v>
      </c>
      <c r="M3677" s="300">
        <v>1.0</v>
      </c>
      <c r="N3677" s="300">
        <v>8.0</v>
      </c>
      <c r="O3677" s="300" t="s">
        <v>934</v>
      </c>
      <c r="P3677" s="300">
        <v>4.0</v>
      </c>
    </row>
    <row r="3678">
      <c r="A3678">
        <f>IFERROR(__xludf.DUMMYFUNCTION("""COMPUTED_VALUE"""),9.0)</f>
        <v>9</v>
      </c>
      <c r="B3678" s="406">
        <f>IFERROR(__xludf.DUMMYFUNCTION("""COMPUTED_VALUE"""),29021.0)</f>
        <v>29021</v>
      </c>
      <c r="C3678" t="str">
        <f>IFERROR(__xludf.DUMMYFUNCTION("""COMPUTED_VALUE"""),"BETANCOURT QUINTERO, SIMON")</f>
        <v>BETANCOURT QUINTERO, SIMON</v>
      </c>
      <c r="D3678" t="str">
        <f>IFERROR(__xludf.DUMMYFUNCTION("""COMPUTED_VALUE"""),"Band Level II")</f>
        <v>Band Level II</v>
      </c>
      <c r="E3678" s="3">
        <f>IFERROR(__xludf.DUMMYFUNCTION("""COMPUTED_VALUE"""),2.0)</f>
        <v>2</v>
      </c>
      <c r="F3678" s="300">
        <v>1.0</v>
      </c>
      <c r="G3678" s="300">
        <v>1.0</v>
      </c>
      <c r="H3678" s="300">
        <v>1.0</v>
      </c>
      <c r="I3678" s="300">
        <v>1.0</v>
      </c>
      <c r="J3678" s="300">
        <v>1.0</v>
      </c>
      <c r="K3678" s="300">
        <v>1.0</v>
      </c>
      <c r="L3678" s="300">
        <v>1.0</v>
      </c>
      <c r="M3678" s="300">
        <v>1.0</v>
      </c>
      <c r="N3678" s="300">
        <v>8.0</v>
      </c>
      <c r="O3678" s="300" t="s">
        <v>940</v>
      </c>
      <c r="P3678" s="300">
        <v>2.0</v>
      </c>
    </row>
    <row r="3679">
      <c r="A3679">
        <f>IFERROR(__xludf.DUMMYFUNCTION("""COMPUTED_VALUE"""),9.0)</f>
        <v>9</v>
      </c>
      <c r="B3679" s="406">
        <f>IFERROR(__xludf.DUMMYFUNCTION("""COMPUTED_VALUE"""),29029.0)</f>
        <v>29029</v>
      </c>
      <c r="C3679" t="str">
        <f>IFERROR(__xludf.DUMMYFUNCTION("""COMPUTED_VALUE"""),"CHAVARRIAGA MESA, GREGORIO")</f>
        <v>CHAVARRIAGA MESA, GREGORIO</v>
      </c>
      <c r="D3679" t="str">
        <f>IFERROR(__xludf.DUMMYFUNCTION("""COMPUTED_VALUE"""),"Sculpture I")</f>
        <v>Sculpture I</v>
      </c>
      <c r="E3679" s="3">
        <f>IFERROR(__xludf.DUMMYFUNCTION("""COMPUTED_VALUE"""),4.0)</f>
        <v>4</v>
      </c>
      <c r="F3679" s="300">
        <v>1.0</v>
      </c>
      <c r="G3679" s="300">
        <v>1.0</v>
      </c>
      <c r="H3679" s="300">
        <v>1.0</v>
      </c>
      <c r="I3679" s="300">
        <v>1.0</v>
      </c>
      <c r="J3679" s="300">
        <v>1.0</v>
      </c>
      <c r="K3679" s="300">
        <v>1.0</v>
      </c>
      <c r="L3679" s="300">
        <v>1.0</v>
      </c>
      <c r="M3679" s="300">
        <v>1.0</v>
      </c>
      <c r="N3679" s="300">
        <v>8.0</v>
      </c>
      <c r="O3679" s="300" t="s">
        <v>989</v>
      </c>
      <c r="P3679" s="300">
        <v>2.0</v>
      </c>
    </row>
    <row r="3680">
      <c r="A3680">
        <f>IFERROR(__xludf.DUMMYFUNCTION("""COMPUTED_VALUE"""),9.0)</f>
        <v>9</v>
      </c>
      <c r="B3680" s="406">
        <f>IFERROR(__xludf.DUMMYFUNCTION("""COMPUTED_VALUE"""),29148.0)</f>
        <v>29148</v>
      </c>
      <c r="C3680" t="str">
        <f>IFERROR(__xludf.DUMMYFUNCTION("""COMPUTED_VALUE"""),"OSORIO ARISTIZABAL, MATIAS")</f>
        <v>OSORIO ARISTIZABAL, MATIAS</v>
      </c>
      <c r="D3680" t="str">
        <f>IFERROR(__xludf.DUMMYFUNCTION("""COMPUTED_VALUE"""),"Sculpture I")</f>
        <v>Sculpture I</v>
      </c>
      <c r="E3680" s="3">
        <f>IFERROR(__xludf.DUMMYFUNCTION("""COMPUTED_VALUE"""),4.0)</f>
        <v>4</v>
      </c>
      <c r="F3680" s="300">
        <v>1.0</v>
      </c>
      <c r="G3680" s="300">
        <v>1.0</v>
      </c>
      <c r="H3680" s="300">
        <v>1.0</v>
      </c>
      <c r="I3680" s="300">
        <v>1.0</v>
      </c>
      <c r="J3680" s="300">
        <v>1.0</v>
      </c>
      <c r="K3680" s="300">
        <v>1.0</v>
      </c>
      <c r="L3680" s="300">
        <v>1.0</v>
      </c>
      <c r="M3680" s="300">
        <v>1.0</v>
      </c>
      <c r="N3680" s="300">
        <v>8.0</v>
      </c>
      <c r="O3680" s="300" t="s">
        <v>989</v>
      </c>
      <c r="P3680" s="300">
        <v>2.0</v>
      </c>
    </row>
    <row r="3681">
      <c r="A3681">
        <f>IFERROR(__xludf.DUMMYFUNCTION("""COMPUTED_VALUE"""),9.0)</f>
        <v>9</v>
      </c>
      <c r="B3681" s="406">
        <f>IFERROR(__xludf.DUMMYFUNCTION("""COMPUTED_VALUE"""),29170.0)</f>
        <v>29170</v>
      </c>
      <c r="C3681" t="str">
        <f>IFERROR(__xludf.DUMMYFUNCTION("""COMPUTED_VALUE"""),"ALVAREZ CARDENAS, JUAN EMILIO")</f>
        <v>ALVAREZ CARDENAS, JUAN EMILIO</v>
      </c>
      <c r="D3681" t="str">
        <f>IFERROR(__xludf.DUMMYFUNCTION("""COMPUTED_VALUE"""),"Band Level II")</f>
        <v>Band Level II</v>
      </c>
      <c r="E3681" s="3">
        <f>IFERROR(__xludf.DUMMYFUNCTION("""COMPUTED_VALUE"""),2.0)</f>
        <v>2</v>
      </c>
      <c r="F3681" s="300">
        <v>1.0</v>
      </c>
      <c r="G3681" s="300">
        <v>1.0</v>
      </c>
      <c r="H3681" s="300">
        <v>1.0</v>
      </c>
      <c r="I3681" s="300">
        <v>1.0</v>
      </c>
      <c r="J3681" s="300">
        <v>1.0</v>
      </c>
      <c r="K3681" s="300">
        <v>1.0</v>
      </c>
      <c r="L3681" s="300">
        <v>1.0</v>
      </c>
      <c r="M3681" s="300">
        <v>1.0</v>
      </c>
      <c r="N3681" s="300">
        <v>8.0</v>
      </c>
      <c r="O3681" s="300" t="s">
        <v>940</v>
      </c>
      <c r="P3681" s="300">
        <v>2.0</v>
      </c>
    </row>
    <row r="3682">
      <c r="A3682">
        <f>IFERROR(__xludf.DUMMYFUNCTION("""COMPUTED_VALUE"""),9.0)</f>
        <v>9</v>
      </c>
      <c r="B3682" s="406">
        <f>IFERROR(__xludf.DUMMYFUNCTION("""COMPUTED_VALUE"""),29058.0)</f>
        <v>29058</v>
      </c>
      <c r="C3682" t="str">
        <f>IFERROR(__xludf.DUMMYFUNCTION("""COMPUTED_VALUE"""),"JARAMILLO DONADO, AMELIA")</f>
        <v>JARAMILLO DONADO, AMELIA</v>
      </c>
      <c r="D3682" t="str">
        <f>IFERROR(__xludf.DUMMYFUNCTION("""COMPUTED_VALUE"""),"Band Level II")</f>
        <v>Band Level II</v>
      </c>
      <c r="E3682" s="3">
        <f>IFERROR(__xludf.DUMMYFUNCTION("""COMPUTED_VALUE"""),2.0)</f>
        <v>2</v>
      </c>
      <c r="F3682" s="300">
        <v>1.0</v>
      </c>
      <c r="G3682" s="300">
        <v>1.0</v>
      </c>
      <c r="H3682" s="300">
        <v>1.0</v>
      </c>
      <c r="I3682" s="300">
        <v>1.0</v>
      </c>
      <c r="J3682" s="300">
        <v>1.0</v>
      </c>
      <c r="K3682" s="300">
        <v>1.0</v>
      </c>
      <c r="L3682" s="300">
        <v>1.0</v>
      </c>
      <c r="M3682" s="300">
        <v>1.0</v>
      </c>
      <c r="N3682" s="300">
        <v>8.0</v>
      </c>
      <c r="O3682" s="300" t="s">
        <v>940</v>
      </c>
      <c r="P3682" s="300">
        <v>2.0</v>
      </c>
    </row>
    <row r="3683">
      <c r="A3683">
        <f>IFERROR(__xludf.DUMMYFUNCTION("""COMPUTED_VALUE"""),9.0)</f>
        <v>9</v>
      </c>
      <c r="B3683" s="406">
        <f>IFERROR(__xludf.DUMMYFUNCTION("""COMPUTED_VALUE"""),29072.0)</f>
        <v>29072</v>
      </c>
      <c r="C3683" t="str">
        <f>IFERROR(__xludf.DUMMYFUNCTION("""COMPUTED_VALUE"""),"MARQUEZ RAHAL, PEDRO")</f>
        <v>MARQUEZ RAHAL, PEDRO</v>
      </c>
      <c r="D3683" t="str">
        <f>IFERROR(__xludf.DUMMYFUNCTION("""COMPUTED_VALUE"""),"Band Level I")</f>
        <v>Band Level I</v>
      </c>
      <c r="E3683" s="3">
        <f>IFERROR(__xludf.DUMMYFUNCTION("""COMPUTED_VALUE"""),7.0)</f>
        <v>7</v>
      </c>
      <c r="F3683" s="300">
        <v>1.0</v>
      </c>
      <c r="G3683" s="300">
        <v>1.0</v>
      </c>
      <c r="H3683" s="300">
        <v>1.0</v>
      </c>
      <c r="I3683" s="300">
        <v>1.0</v>
      </c>
      <c r="J3683" s="300">
        <v>1.0</v>
      </c>
      <c r="K3683" s="300">
        <v>1.0</v>
      </c>
      <c r="L3683" s="300">
        <v>1.0</v>
      </c>
      <c r="M3683" s="300">
        <v>1.0</v>
      </c>
      <c r="N3683" s="300">
        <v>8.0</v>
      </c>
      <c r="O3683" s="300" t="s">
        <v>936</v>
      </c>
      <c r="P3683" s="300">
        <v>4.0</v>
      </c>
    </row>
    <row r="3684">
      <c r="A3684">
        <f>IFERROR(__xludf.DUMMYFUNCTION("""COMPUTED_VALUE"""),9.0)</f>
        <v>9</v>
      </c>
      <c r="B3684" s="406">
        <f>IFERROR(__xludf.DUMMYFUNCTION("""COMPUTED_VALUE"""),29125.0)</f>
        <v>29125</v>
      </c>
      <c r="C3684" t="str">
        <f>IFERROR(__xludf.DUMMYFUNCTION("""COMPUTED_VALUE"""),"VALLEJO LONDOÑO, TOMAS")</f>
        <v>VALLEJO LONDOÑO, TOMAS</v>
      </c>
      <c r="D3684" t="str">
        <f>IFERROR(__xludf.DUMMYFUNCTION("""COMPUTED_VALUE"""),"Band Level I")</f>
        <v>Band Level I</v>
      </c>
      <c r="E3684" s="3">
        <f>IFERROR(__xludf.DUMMYFUNCTION("""COMPUTED_VALUE"""),3.0)</f>
        <v>3</v>
      </c>
      <c r="F3684" s="300">
        <v>1.0</v>
      </c>
      <c r="G3684" s="300">
        <v>1.0</v>
      </c>
      <c r="H3684" s="300">
        <v>1.0</v>
      </c>
      <c r="I3684" s="300">
        <v>1.0</v>
      </c>
      <c r="J3684" s="300">
        <v>1.0</v>
      </c>
      <c r="K3684" s="300">
        <v>1.0</v>
      </c>
      <c r="L3684" s="300">
        <v>1.0</v>
      </c>
      <c r="M3684" s="300">
        <v>1.0</v>
      </c>
      <c r="N3684" s="300">
        <v>8.0</v>
      </c>
      <c r="O3684" s="300" t="s">
        <v>990</v>
      </c>
      <c r="P3684" s="300">
        <v>4.0</v>
      </c>
    </row>
    <row r="3685">
      <c r="A3685">
        <f>IFERROR(__xludf.DUMMYFUNCTION("""COMPUTED_VALUE"""),9.0)</f>
        <v>9</v>
      </c>
      <c r="B3685" s="406">
        <f>IFERROR(__xludf.DUMMYFUNCTION("""COMPUTED_VALUE"""),29045.0)</f>
        <v>29045</v>
      </c>
      <c r="C3685" t="str">
        <f>IFERROR(__xludf.DUMMYFUNCTION("""COMPUTED_VALUE"""),"GOMEZ ZULUAGA, JUAN JOSE")</f>
        <v>GOMEZ ZULUAGA, JUAN JOSE</v>
      </c>
      <c r="D3685" t="str">
        <f>IFERROR(__xludf.DUMMYFUNCTION("""COMPUTED_VALUE"""),"Band Level I")</f>
        <v>Band Level I</v>
      </c>
      <c r="E3685" s="3">
        <f>IFERROR(__xludf.DUMMYFUNCTION("""COMPUTED_VALUE"""),8.0)</f>
        <v>8</v>
      </c>
      <c r="F3685" s="300">
        <v>1.0</v>
      </c>
      <c r="G3685" s="300">
        <v>1.0</v>
      </c>
      <c r="H3685" s="300">
        <v>1.0</v>
      </c>
      <c r="I3685" s="300">
        <v>1.0</v>
      </c>
      <c r="J3685" s="300">
        <v>1.0</v>
      </c>
      <c r="K3685" s="300">
        <v>1.0</v>
      </c>
      <c r="L3685" s="300">
        <v>1.0</v>
      </c>
      <c r="M3685" s="300">
        <v>1.0</v>
      </c>
      <c r="N3685" s="300">
        <v>8.0</v>
      </c>
      <c r="O3685" s="300" t="s">
        <v>943</v>
      </c>
      <c r="P3685" s="300">
        <v>4.0</v>
      </c>
    </row>
    <row r="3686">
      <c r="A3686">
        <f>IFERROR(__xludf.DUMMYFUNCTION("""COMPUTED_VALUE"""),9.0)</f>
        <v>9</v>
      </c>
      <c r="B3686" s="406">
        <f>IFERROR(__xludf.DUMMYFUNCTION("""COMPUTED_VALUE"""),28032.0)</f>
        <v>28032</v>
      </c>
      <c r="C3686" t="str">
        <f>IFERROR(__xludf.DUMMYFUNCTION("""COMPUTED_VALUE"""),"GALLON TOBON, GERONIMO")</f>
        <v>GALLON TOBON, GERONIMO</v>
      </c>
      <c r="D3686" t="str">
        <f>IFERROR(__xludf.DUMMYFUNCTION("""COMPUTED_VALUE"""),"Drawing I")</f>
        <v>Drawing I</v>
      </c>
      <c r="E3686" s="3">
        <f>IFERROR(__xludf.DUMMYFUNCTION("""COMPUTED_VALUE"""),3.0)</f>
        <v>3</v>
      </c>
      <c r="F3686" s="300">
        <v>1.0</v>
      </c>
      <c r="G3686" s="300">
        <v>1.0</v>
      </c>
      <c r="H3686" s="300">
        <v>1.0</v>
      </c>
      <c r="I3686" s="300">
        <v>1.0</v>
      </c>
      <c r="J3686" s="300">
        <v>1.0</v>
      </c>
      <c r="K3686" s="300">
        <v>1.0</v>
      </c>
      <c r="L3686" s="300">
        <v>1.0</v>
      </c>
      <c r="M3686" s="300">
        <v>1.0</v>
      </c>
      <c r="N3686" s="300">
        <v>8.0</v>
      </c>
      <c r="O3686" s="300" t="s">
        <v>938</v>
      </c>
      <c r="P3686" s="300">
        <v>2.0</v>
      </c>
    </row>
    <row r="3687">
      <c r="A3687">
        <f>IFERROR(__xludf.DUMMYFUNCTION("""COMPUTED_VALUE"""),9.0)</f>
        <v>9</v>
      </c>
      <c r="B3687" s="406">
        <f>IFERROR(__xludf.DUMMYFUNCTION("""COMPUTED_VALUE"""),29012.0)</f>
        <v>29012</v>
      </c>
      <c r="C3687" t="str">
        <f>IFERROR(__xludf.DUMMYFUNCTION("""COMPUTED_VALUE"""),"ARANGO VILLA, TOMAS")</f>
        <v>ARANGO VILLA, TOMAS</v>
      </c>
      <c r="D3687" t="str">
        <f>IFERROR(__xludf.DUMMYFUNCTION("""COMPUTED_VALUE"""),"Band Level I")</f>
        <v>Band Level I</v>
      </c>
      <c r="E3687" s="3">
        <f>IFERROR(__xludf.DUMMYFUNCTION("""COMPUTED_VALUE"""),3.0)</f>
        <v>3</v>
      </c>
      <c r="F3687" s="300">
        <v>1.0</v>
      </c>
      <c r="G3687" s="300">
        <v>1.0</v>
      </c>
      <c r="H3687" s="300">
        <v>1.0</v>
      </c>
      <c r="I3687" s="300">
        <v>1.0</v>
      </c>
      <c r="J3687" s="300">
        <v>1.0</v>
      </c>
      <c r="K3687" s="300">
        <v>1.0</v>
      </c>
      <c r="L3687" s="300">
        <v>1.0</v>
      </c>
      <c r="M3687" s="300">
        <v>1.0</v>
      </c>
      <c r="N3687" s="300">
        <v>8.0</v>
      </c>
      <c r="O3687" s="300" t="s">
        <v>990</v>
      </c>
      <c r="P3687" s="300">
        <v>4.0</v>
      </c>
    </row>
    <row r="3688">
      <c r="A3688">
        <f>IFERROR(__xludf.DUMMYFUNCTION("""COMPUTED_VALUE"""),9.0)</f>
        <v>9</v>
      </c>
      <c r="B3688" s="406">
        <f>IFERROR(__xludf.DUMMYFUNCTION("""COMPUTED_VALUE"""),29138.0)</f>
        <v>29138</v>
      </c>
      <c r="C3688" t="str">
        <f>IFERROR(__xludf.DUMMYFUNCTION("""COMPUTED_VALUE"""),"ECHAVARRIA ROLDAN, TOMAS")</f>
        <v>ECHAVARRIA ROLDAN, TOMAS</v>
      </c>
      <c r="D3688" t="str">
        <f>IFERROR(__xludf.DUMMYFUNCTION("""COMPUTED_VALUE"""),"Band Level I")</f>
        <v>Band Level I</v>
      </c>
      <c r="E3688" s="3">
        <f>IFERROR(__xludf.DUMMYFUNCTION("""COMPUTED_VALUE"""),8.0)</f>
        <v>8</v>
      </c>
      <c r="F3688" s="300">
        <v>1.0</v>
      </c>
      <c r="G3688" s="300">
        <v>1.0</v>
      </c>
      <c r="H3688" s="300">
        <v>1.0</v>
      </c>
      <c r="I3688" s="300">
        <v>1.0</v>
      </c>
      <c r="J3688" s="300">
        <v>1.0</v>
      </c>
      <c r="K3688" s="300">
        <v>1.0</v>
      </c>
      <c r="L3688" s="300">
        <v>1.0</v>
      </c>
      <c r="M3688" s="300">
        <v>1.0</v>
      </c>
      <c r="N3688" s="300">
        <v>8.0</v>
      </c>
      <c r="O3688" s="300" t="s">
        <v>943</v>
      </c>
      <c r="P3688" s="300">
        <v>4.0</v>
      </c>
    </row>
    <row r="3689">
      <c r="A3689">
        <f>IFERROR(__xludf.DUMMYFUNCTION("""COMPUTED_VALUE"""),9.0)</f>
        <v>9</v>
      </c>
      <c r="B3689" s="406">
        <f>IFERROR(__xludf.DUMMYFUNCTION("""COMPUTED_VALUE"""),29003.0)</f>
        <v>29003</v>
      </c>
      <c r="C3689" t="str">
        <f>IFERROR(__xludf.DUMMYFUNCTION("""COMPUTED_VALUE"""),"ACEVEDO OROZCO, MARIA CELESTE")</f>
        <v>ACEVEDO OROZCO, MARIA CELESTE</v>
      </c>
      <c r="D3689" t="str">
        <f>IFERROR(__xludf.DUMMYFUNCTION("""COMPUTED_VALUE"""),"Painting I")</f>
        <v>Painting I</v>
      </c>
      <c r="E3689" s="3">
        <f>IFERROR(__xludf.DUMMYFUNCTION("""COMPUTED_VALUE"""),8.0)</f>
        <v>8</v>
      </c>
      <c r="F3689" s="300">
        <v>1.0</v>
      </c>
      <c r="G3689" s="300">
        <v>1.0</v>
      </c>
      <c r="H3689" s="300">
        <v>1.0</v>
      </c>
      <c r="I3689" s="300">
        <v>1.0</v>
      </c>
      <c r="J3689" s="300">
        <v>1.0</v>
      </c>
      <c r="K3689" s="300">
        <v>1.0</v>
      </c>
      <c r="L3689" s="300">
        <v>1.0</v>
      </c>
      <c r="M3689" s="300">
        <v>1.0</v>
      </c>
      <c r="N3689" s="300">
        <v>8.0</v>
      </c>
      <c r="O3689" s="300" t="s">
        <v>988</v>
      </c>
      <c r="P3689" s="300">
        <v>4.0</v>
      </c>
    </row>
    <row r="3690">
      <c r="A3690">
        <f>IFERROR(__xludf.DUMMYFUNCTION("""COMPUTED_VALUE"""),9.0)</f>
        <v>9</v>
      </c>
      <c r="B3690" s="406">
        <f>IFERROR(__xludf.DUMMYFUNCTION("""COMPUTED_VALUE"""),29158.0)</f>
        <v>29158</v>
      </c>
      <c r="C3690" t="str">
        <f>IFERROR(__xludf.DUMMYFUNCTION("""COMPUTED_VALUE"""),"NIEHAUS TRUJILLO, MICHELLE")</f>
        <v>NIEHAUS TRUJILLO, MICHELLE</v>
      </c>
      <c r="D3690" t="str">
        <f>IFERROR(__xludf.DUMMYFUNCTION("""COMPUTED_VALUE"""),"Band Level I")</f>
        <v>Band Level I</v>
      </c>
      <c r="E3690" s="3">
        <f>IFERROR(__xludf.DUMMYFUNCTION("""COMPUTED_VALUE"""),3.0)</f>
        <v>3</v>
      </c>
      <c r="F3690" s="300">
        <v>1.0</v>
      </c>
      <c r="G3690" s="300">
        <v>1.0</v>
      </c>
      <c r="H3690" s="300">
        <v>1.0</v>
      </c>
      <c r="I3690" s="300">
        <v>1.0</v>
      </c>
      <c r="J3690" s="300">
        <v>1.0</v>
      </c>
      <c r="K3690" s="300">
        <v>1.0</v>
      </c>
      <c r="L3690" s="300">
        <v>1.0</v>
      </c>
      <c r="M3690" s="300">
        <v>1.0</v>
      </c>
      <c r="N3690" s="300">
        <v>8.0</v>
      </c>
      <c r="O3690" s="300" t="s">
        <v>990</v>
      </c>
      <c r="P3690" s="300">
        <v>4.0</v>
      </c>
    </row>
    <row r="3691">
      <c r="A3691">
        <f>IFERROR(__xludf.DUMMYFUNCTION("""COMPUTED_VALUE"""),9.0)</f>
        <v>9</v>
      </c>
      <c r="B3691" s="406">
        <f>IFERROR(__xludf.DUMMYFUNCTION("""COMPUTED_VALUE"""),29088.0)</f>
        <v>29088</v>
      </c>
      <c r="C3691" t="str">
        <f>IFERROR(__xludf.DUMMYFUNCTION("""COMPUTED_VALUE"""),"PEREZ ALVARADO, SARA")</f>
        <v>PEREZ ALVARADO, SARA</v>
      </c>
      <c r="D3691" t="str">
        <f>IFERROR(__xludf.DUMMYFUNCTION("""COMPUTED_VALUE"""),"Band Level I")</f>
        <v>Band Level I</v>
      </c>
      <c r="E3691" s="3">
        <f>IFERROR(__xludf.DUMMYFUNCTION("""COMPUTED_VALUE"""),3.0)</f>
        <v>3</v>
      </c>
      <c r="F3691" s="300">
        <v>1.0</v>
      </c>
      <c r="G3691" s="300">
        <v>1.0</v>
      </c>
      <c r="H3691" s="300">
        <v>1.0</v>
      </c>
      <c r="I3691" s="300">
        <v>1.0</v>
      </c>
      <c r="J3691" s="300">
        <v>1.0</v>
      </c>
      <c r="K3691" s="300">
        <v>1.0</v>
      </c>
      <c r="L3691" s="300">
        <v>1.0</v>
      </c>
      <c r="M3691" s="300">
        <v>1.0</v>
      </c>
      <c r="N3691" s="300">
        <v>8.0</v>
      </c>
      <c r="O3691" s="300" t="s">
        <v>990</v>
      </c>
      <c r="P3691" s="300">
        <v>4.0</v>
      </c>
    </row>
    <row r="3692">
      <c r="A3692">
        <f>IFERROR(__xludf.DUMMYFUNCTION("""COMPUTED_VALUE"""),9.0)</f>
        <v>9</v>
      </c>
      <c r="B3692" s="406">
        <f>IFERROR(__xludf.DUMMYFUNCTION("""COMPUTED_VALUE"""),29164.0)</f>
        <v>29164</v>
      </c>
      <c r="C3692" t="str">
        <f>IFERROR(__xludf.DUMMYFUNCTION("""COMPUTED_VALUE"""),"CONCHA VELASCO, LORENZO")</f>
        <v>CONCHA VELASCO, LORENZO</v>
      </c>
      <c r="D3692" t="str">
        <f>IFERROR(__xludf.DUMMYFUNCTION("""COMPUTED_VALUE"""),"Sculpture I")</f>
        <v>Sculpture I</v>
      </c>
      <c r="E3692" s="3">
        <f>IFERROR(__xludf.DUMMYFUNCTION("""COMPUTED_VALUE"""),4.0)</f>
        <v>4</v>
      </c>
      <c r="F3692" s="300">
        <v>1.0</v>
      </c>
      <c r="G3692" s="300">
        <v>1.0</v>
      </c>
      <c r="H3692" s="300">
        <v>1.0</v>
      </c>
      <c r="I3692" s="300">
        <v>1.0</v>
      </c>
      <c r="J3692" s="300">
        <v>1.0</v>
      </c>
      <c r="K3692" s="300">
        <v>1.0</v>
      </c>
      <c r="L3692" s="300">
        <v>1.0</v>
      </c>
      <c r="M3692" s="300">
        <v>1.0</v>
      </c>
      <c r="N3692" s="300">
        <v>8.0</v>
      </c>
      <c r="O3692" s="300" t="s">
        <v>989</v>
      </c>
      <c r="P3692" s="300">
        <v>2.0</v>
      </c>
    </row>
    <row r="3693">
      <c r="A3693">
        <f>IFERROR(__xludf.DUMMYFUNCTION("""COMPUTED_VALUE"""),9.0)</f>
        <v>9</v>
      </c>
      <c r="B3693" s="406">
        <f>IFERROR(__xludf.DUMMYFUNCTION("""COMPUTED_VALUE"""),29011.0)</f>
        <v>29011</v>
      </c>
      <c r="C3693" t="str">
        <f>IFERROR(__xludf.DUMMYFUNCTION("""COMPUTED_VALUE"""),"ARANGO RUBIO, ROSARIO")</f>
        <v>ARANGO RUBIO, ROSARIO</v>
      </c>
      <c r="D3693" t="str">
        <f>IFERROR(__xludf.DUMMYFUNCTION("""COMPUTED_VALUE"""),"Band Level I")</f>
        <v>Band Level I</v>
      </c>
      <c r="E3693" s="3">
        <f>IFERROR(__xludf.DUMMYFUNCTION("""COMPUTED_VALUE"""),7.0)</f>
        <v>7</v>
      </c>
      <c r="F3693" s="300">
        <v>1.0</v>
      </c>
      <c r="G3693" s="300">
        <v>1.0</v>
      </c>
      <c r="H3693" s="300">
        <v>1.0</v>
      </c>
      <c r="I3693" s="300">
        <v>1.0</v>
      </c>
      <c r="J3693" s="300">
        <v>1.0</v>
      </c>
      <c r="K3693" s="300">
        <v>1.0</v>
      </c>
      <c r="L3693" s="300">
        <v>1.0</v>
      </c>
      <c r="M3693" s="300">
        <v>1.0</v>
      </c>
      <c r="N3693" s="300">
        <v>8.0</v>
      </c>
      <c r="O3693" s="300" t="s">
        <v>936</v>
      </c>
      <c r="P3693" s="300">
        <v>4.0</v>
      </c>
    </row>
    <row r="3694">
      <c r="A3694">
        <f>IFERROR(__xludf.DUMMYFUNCTION("""COMPUTED_VALUE"""),9.0)</f>
        <v>9</v>
      </c>
      <c r="B3694" s="406">
        <f>IFERROR(__xludf.DUMMYFUNCTION("""COMPUTED_VALUE"""),29161.0)</f>
        <v>29161</v>
      </c>
      <c r="C3694" t="str">
        <f>IFERROR(__xludf.DUMMYFUNCTION("""COMPUTED_VALUE"""),"BURKHALTER, ESPERANZA JOY")</f>
        <v>BURKHALTER, ESPERANZA JOY</v>
      </c>
      <c r="D3694" t="str">
        <f>IFERROR(__xludf.DUMMYFUNCTION("""COMPUTED_VALUE"""),"Band Level I")</f>
        <v>Band Level I</v>
      </c>
      <c r="E3694" s="3">
        <f>IFERROR(__xludf.DUMMYFUNCTION("""COMPUTED_VALUE"""),7.0)</f>
        <v>7</v>
      </c>
      <c r="F3694" s="300">
        <v>1.0</v>
      </c>
      <c r="G3694" s="300">
        <v>1.0</v>
      </c>
      <c r="H3694" s="300">
        <v>1.0</v>
      </c>
      <c r="I3694" s="300">
        <v>1.0</v>
      </c>
      <c r="J3694" s="300">
        <v>1.0</v>
      </c>
      <c r="K3694" s="300">
        <v>1.0</v>
      </c>
      <c r="L3694" s="300">
        <v>1.0</v>
      </c>
      <c r="M3694" s="300">
        <v>1.0</v>
      </c>
      <c r="N3694" s="300">
        <v>8.0</v>
      </c>
      <c r="O3694" s="300" t="s">
        <v>936</v>
      </c>
      <c r="P3694" s="300">
        <v>4.0</v>
      </c>
    </row>
    <row r="3695">
      <c r="A3695">
        <f>IFERROR(__xludf.DUMMYFUNCTION("""COMPUTED_VALUE"""),9.0)</f>
        <v>9</v>
      </c>
      <c r="B3695" s="406">
        <f>IFERROR(__xludf.DUMMYFUNCTION("""COMPUTED_VALUE"""),29103.0)</f>
        <v>29103</v>
      </c>
      <c r="C3695" t="str">
        <f>IFERROR(__xludf.DUMMYFUNCTION("""COMPUTED_VALUE"""),"SALAZAR ECHEVERRI, ANTONIA")</f>
        <v>SALAZAR ECHEVERRI, ANTONIA</v>
      </c>
      <c r="D3695" t="str">
        <f>IFERROR(__xludf.DUMMYFUNCTION("""COMPUTED_VALUE"""),"Painting I")</f>
        <v>Painting I</v>
      </c>
      <c r="E3695" s="3">
        <f>IFERROR(__xludf.DUMMYFUNCTION("""COMPUTED_VALUE"""),7.0)</f>
        <v>7</v>
      </c>
      <c r="F3695" s="300">
        <v>1.0</v>
      </c>
      <c r="G3695" s="300">
        <v>1.0</v>
      </c>
      <c r="H3695" s="300">
        <v>1.0</v>
      </c>
      <c r="I3695" s="300">
        <v>1.0</v>
      </c>
      <c r="J3695" s="300">
        <v>1.0</v>
      </c>
      <c r="K3695" s="300">
        <v>1.0</v>
      </c>
      <c r="L3695" s="300">
        <v>1.0</v>
      </c>
      <c r="M3695" s="300">
        <v>1.0</v>
      </c>
      <c r="N3695" s="300">
        <v>8.0</v>
      </c>
      <c r="O3695" s="300" t="s">
        <v>934</v>
      </c>
      <c r="P3695" s="300">
        <v>4.0</v>
      </c>
    </row>
    <row r="3696">
      <c r="A3696">
        <f>IFERROR(__xludf.DUMMYFUNCTION("""COMPUTED_VALUE"""),9.0)</f>
        <v>9</v>
      </c>
      <c r="B3696" s="406">
        <f>IFERROR(__xludf.DUMMYFUNCTION("""COMPUTED_VALUE"""),29004.0)</f>
        <v>29004</v>
      </c>
      <c r="C3696" t="str">
        <f>IFERROR(__xludf.DUMMYFUNCTION("""COMPUTED_VALUE"""),"AGUIRRE ARANGO, DAVID")</f>
        <v>AGUIRRE ARANGO, DAVID</v>
      </c>
      <c r="D3696" t="str">
        <f>IFERROR(__xludf.DUMMYFUNCTION("""COMPUTED_VALUE"""),"Band Level I")</f>
        <v>Band Level I</v>
      </c>
      <c r="E3696" s="3">
        <f>IFERROR(__xludf.DUMMYFUNCTION("""COMPUTED_VALUE"""),3.0)</f>
        <v>3</v>
      </c>
      <c r="F3696" s="300">
        <v>1.0</v>
      </c>
      <c r="G3696" s="300">
        <v>1.0</v>
      </c>
      <c r="H3696" s="300">
        <v>1.0</v>
      </c>
      <c r="I3696" s="300">
        <v>1.0</v>
      </c>
      <c r="J3696" s="300">
        <v>1.0</v>
      </c>
      <c r="K3696" s="300">
        <v>1.0</v>
      </c>
      <c r="L3696" s="300">
        <v>1.0</v>
      </c>
      <c r="M3696" s="300">
        <v>1.0</v>
      </c>
      <c r="N3696" s="300">
        <v>8.0</v>
      </c>
      <c r="O3696" s="300" t="s">
        <v>990</v>
      </c>
      <c r="P3696" s="300">
        <v>4.0</v>
      </c>
    </row>
    <row r="3697">
      <c r="A3697">
        <f>IFERROR(__xludf.DUMMYFUNCTION("""COMPUTED_VALUE"""),9.0)</f>
        <v>9</v>
      </c>
      <c r="B3697" s="406">
        <f>IFERROR(__xludf.DUMMYFUNCTION("""COMPUTED_VALUE"""),29015.0)</f>
        <v>29015</v>
      </c>
      <c r="C3697" t="str">
        <f>IFERROR(__xludf.DUMMYFUNCTION("""COMPUTED_VALUE"""),"ARISTIZABAL URIBE, MATIAS")</f>
        <v>ARISTIZABAL URIBE, MATIAS</v>
      </c>
      <c r="D3697" t="str">
        <f>IFERROR(__xludf.DUMMYFUNCTION("""COMPUTED_VALUE"""),"Sculpture I")</f>
        <v>Sculpture I</v>
      </c>
      <c r="E3697" s="3">
        <f>IFERROR(__xludf.DUMMYFUNCTION("""COMPUTED_VALUE"""),4.0)</f>
        <v>4</v>
      </c>
      <c r="F3697" s="300">
        <v>1.0</v>
      </c>
      <c r="G3697" s="300">
        <v>1.0</v>
      </c>
      <c r="H3697" s="300">
        <v>1.0</v>
      </c>
      <c r="I3697" s="300">
        <v>1.0</v>
      </c>
      <c r="J3697" s="300">
        <v>1.0</v>
      </c>
      <c r="K3697" s="300">
        <v>1.0</v>
      </c>
      <c r="L3697" s="300">
        <v>1.0</v>
      </c>
      <c r="M3697" s="300">
        <v>1.0</v>
      </c>
      <c r="N3697" s="300">
        <v>8.0</v>
      </c>
      <c r="O3697" s="300" t="s">
        <v>989</v>
      </c>
      <c r="P3697" s="300">
        <v>2.0</v>
      </c>
    </row>
    <row r="3698">
      <c r="A3698">
        <f>IFERROR(__xludf.DUMMYFUNCTION("""COMPUTED_VALUE"""),9.0)</f>
        <v>9</v>
      </c>
      <c r="B3698" s="406">
        <f>IFERROR(__xludf.DUMMYFUNCTION("""COMPUTED_VALUE"""),29052.0)</f>
        <v>29052</v>
      </c>
      <c r="C3698" t="str">
        <f>IFERROR(__xludf.DUMMYFUNCTION("""COMPUTED_VALUE"""),"HURTADO ARISTIZABAL, CAMILA")</f>
        <v>HURTADO ARISTIZABAL, CAMILA</v>
      </c>
      <c r="D3698" t="str">
        <f>IFERROR(__xludf.DUMMYFUNCTION("""COMPUTED_VALUE"""),"Painting I")</f>
        <v>Painting I</v>
      </c>
      <c r="E3698" s="3">
        <f>IFERROR(__xludf.DUMMYFUNCTION("""COMPUTED_VALUE"""),8.0)</f>
        <v>8</v>
      </c>
      <c r="F3698" s="300">
        <v>1.0</v>
      </c>
      <c r="G3698" s="300">
        <v>1.0</v>
      </c>
      <c r="H3698" s="300">
        <v>1.0</v>
      </c>
      <c r="I3698" s="300">
        <v>1.0</v>
      </c>
      <c r="J3698" s="300">
        <v>1.0</v>
      </c>
      <c r="K3698" s="300">
        <v>1.0</v>
      </c>
      <c r="L3698" s="300">
        <v>1.0</v>
      </c>
      <c r="M3698" s="300">
        <v>1.0</v>
      </c>
      <c r="N3698" s="300">
        <v>8.0</v>
      </c>
      <c r="O3698" s="300" t="s">
        <v>988</v>
      </c>
      <c r="P3698" s="300">
        <v>4.0</v>
      </c>
    </row>
    <row r="3699">
      <c r="A3699">
        <f>IFERROR(__xludf.DUMMYFUNCTION("""COMPUTED_VALUE"""),9.0)</f>
        <v>9</v>
      </c>
      <c r="B3699" s="406">
        <f>IFERROR(__xludf.DUMMYFUNCTION("""COMPUTED_VALUE"""),29056.0)</f>
        <v>29056</v>
      </c>
      <c r="C3699" t="str">
        <f>IFERROR(__xludf.DUMMYFUNCTION("""COMPUTED_VALUE"""),"JAILLIER PINZON, MAXIMILIANO")</f>
        <v>JAILLIER PINZON, MAXIMILIANO</v>
      </c>
      <c r="D3699" t="str">
        <f>IFERROR(__xludf.DUMMYFUNCTION("""COMPUTED_VALUE"""),"Band Level I")</f>
        <v>Band Level I</v>
      </c>
      <c r="E3699" s="3">
        <f>IFERROR(__xludf.DUMMYFUNCTION("""COMPUTED_VALUE"""),8.0)</f>
        <v>8</v>
      </c>
      <c r="F3699" s="300">
        <v>1.0</v>
      </c>
      <c r="G3699" s="300">
        <v>1.0</v>
      </c>
      <c r="H3699" s="300">
        <v>1.0</v>
      </c>
      <c r="I3699" s="300">
        <v>1.0</v>
      </c>
      <c r="J3699" s="300">
        <v>1.0</v>
      </c>
      <c r="K3699" s="300">
        <v>1.0</v>
      </c>
      <c r="L3699" s="300">
        <v>1.0</v>
      </c>
      <c r="M3699" s="300">
        <v>1.0</v>
      </c>
      <c r="N3699" s="300">
        <v>8.0</v>
      </c>
      <c r="O3699" s="300" t="s">
        <v>943</v>
      </c>
      <c r="P3699" s="300">
        <v>4.0</v>
      </c>
    </row>
    <row r="3700">
      <c r="A3700">
        <f>IFERROR(__xludf.DUMMYFUNCTION("""COMPUTED_VALUE"""),9.0)</f>
        <v>9</v>
      </c>
      <c r="B3700" s="406">
        <f>IFERROR(__xludf.DUMMYFUNCTION("""COMPUTED_VALUE"""),29073.0)</f>
        <v>29073</v>
      </c>
      <c r="C3700" t="str">
        <f>IFERROR(__xludf.DUMMYFUNCTION("""COMPUTED_VALUE"""),"MARRERO MARTA, ALINA")</f>
        <v>MARRERO MARTA, ALINA</v>
      </c>
      <c r="D3700" t="str">
        <f>IFERROR(__xludf.DUMMYFUNCTION("""COMPUTED_VALUE"""),"Band Level II")</f>
        <v>Band Level II</v>
      </c>
      <c r="E3700" s="3">
        <f>IFERROR(__xludf.DUMMYFUNCTION("""COMPUTED_VALUE"""),6.0)</f>
        <v>6</v>
      </c>
      <c r="F3700" s="300">
        <v>1.0</v>
      </c>
      <c r="G3700" s="300">
        <v>1.0</v>
      </c>
      <c r="H3700" s="300">
        <v>1.0</v>
      </c>
      <c r="I3700" s="300">
        <v>1.0</v>
      </c>
      <c r="J3700" s="300">
        <v>1.0</v>
      </c>
      <c r="K3700" s="300">
        <v>1.0</v>
      </c>
      <c r="L3700" s="300">
        <v>1.0</v>
      </c>
      <c r="M3700" s="300">
        <v>1.0</v>
      </c>
      <c r="N3700" s="300">
        <v>8.0</v>
      </c>
      <c r="O3700" s="300" t="s">
        <v>942</v>
      </c>
      <c r="P3700" s="300">
        <v>2.0</v>
      </c>
    </row>
    <row r="3701">
      <c r="A3701">
        <f>IFERROR(__xludf.DUMMYFUNCTION("""COMPUTED_VALUE"""),9.0)</f>
        <v>9</v>
      </c>
      <c r="B3701" s="406">
        <f>IFERROR(__xludf.DUMMYFUNCTION("""COMPUTED_VALUE"""),29065.0)</f>
        <v>29065</v>
      </c>
      <c r="C3701" t="str">
        <f>IFERROR(__xludf.DUMMYFUNCTION("""COMPUTED_VALUE"""),"LONDOÑO CUARTAS, TOMAS")</f>
        <v>LONDOÑO CUARTAS, TOMAS</v>
      </c>
      <c r="D3701" t="str">
        <f>IFERROR(__xludf.DUMMYFUNCTION("""COMPUTED_VALUE"""),"Painting I")</f>
        <v>Painting I</v>
      </c>
      <c r="E3701" s="3">
        <f>IFERROR(__xludf.DUMMYFUNCTION("""COMPUTED_VALUE"""),4.0)</f>
        <v>4</v>
      </c>
      <c r="F3701" s="300">
        <v>1.0</v>
      </c>
      <c r="G3701" s="300">
        <v>1.0</v>
      </c>
      <c r="H3701" s="300">
        <v>1.0</v>
      </c>
      <c r="I3701" s="300">
        <v>1.0</v>
      </c>
      <c r="J3701" s="300">
        <v>1.0</v>
      </c>
      <c r="K3701" s="300">
        <v>1.0</v>
      </c>
      <c r="L3701" s="300">
        <v>1.0</v>
      </c>
      <c r="M3701" s="300">
        <v>1.0</v>
      </c>
      <c r="N3701" s="300">
        <v>8.0</v>
      </c>
      <c r="O3701" s="300" t="s">
        <v>946</v>
      </c>
      <c r="P3701" s="300">
        <v>4.0</v>
      </c>
    </row>
    <row r="3702">
      <c r="A3702">
        <f>IFERROR(__xludf.DUMMYFUNCTION("""COMPUTED_VALUE"""),9.0)</f>
        <v>9</v>
      </c>
      <c r="B3702" s="406">
        <f>IFERROR(__xludf.DUMMYFUNCTION("""COMPUTED_VALUE"""),29101.0)</f>
        <v>29101</v>
      </c>
      <c r="C3702" t="str">
        <f>IFERROR(__xludf.DUMMYFUNCTION("""COMPUTED_VALUE"""),"ROBLES MARTINEZ, MARIA")</f>
        <v>ROBLES MARTINEZ, MARIA</v>
      </c>
      <c r="D3702" t="str">
        <f>IFERROR(__xludf.DUMMYFUNCTION("""COMPUTED_VALUE"""),"Painting I")</f>
        <v>Painting I</v>
      </c>
      <c r="E3702" s="3">
        <f>IFERROR(__xludf.DUMMYFUNCTION("""COMPUTED_VALUE"""),8.0)</f>
        <v>8</v>
      </c>
      <c r="F3702" s="300">
        <v>1.0</v>
      </c>
      <c r="G3702" s="300">
        <v>1.0</v>
      </c>
      <c r="H3702" s="300">
        <v>1.0</v>
      </c>
      <c r="I3702" s="300">
        <v>1.0</v>
      </c>
      <c r="J3702" s="300">
        <v>1.0</v>
      </c>
      <c r="K3702" s="300">
        <v>1.0</v>
      </c>
      <c r="L3702" s="300">
        <v>1.0</v>
      </c>
      <c r="M3702" s="300">
        <v>1.0</v>
      </c>
      <c r="N3702" s="300">
        <v>8.0</v>
      </c>
      <c r="O3702" s="300" t="s">
        <v>988</v>
      </c>
      <c r="P3702" s="300">
        <v>4.0</v>
      </c>
    </row>
    <row r="3703">
      <c r="A3703">
        <f>IFERROR(__xludf.DUMMYFUNCTION("""COMPUTED_VALUE"""),9.0)</f>
        <v>9</v>
      </c>
      <c r="B3703" s="406">
        <f>IFERROR(__xludf.DUMMYFUNCTION("""COMPUTED_VALUE"""),29036.0)</f>
        <v>29036</v>
      </c>
      <c r="C3703" t="str">
        <f>IFERROR(__xludf.DUMMYFUNCTION("""COMPUTED_VALUE"""),"ECHEVERRI ESCOBAR, RODRIGO")</f>
        <v>ECHEVERRI ESCOBAR, RODRIGO</v>
      </c>
      <c r="D3703" t="str">
        <f>IFERROR(__xludf.DUMMYFUNCTION("""COMPUTED_VALUE"""),"Band Level I")</f>
        <v>Band Level I</v>
      </c>
      <c r="E3703" s="3">
        <f>IFERROR(__xludf.DUMMYFUNCTION("""COMPUTED_VALUE"""),4.0)</f>
        <v>4</v>
      </c>
      <c r="F3703" s="300">
        <v>1.0</v>
      </c>
      <c r="G3703" s="300">
        <v>1.0</v>
      </c>
      <c r="H3703" s="300">
        <v>1.0</v>
      </c>
      <c r="I3703" s="300">
        <v>1.0</v>
      </c>
      <c r="J3703" s="300">
        <v>1.0</v>
      </c>
      <c r="K3703" s="300">
        <v>1.0</v>
      </c>
      <c r="L3703" s="300">
        <v>1.0</v>
      </c>
      <c r="M3703" s="300">
        <v>1.0</v>
      </c>
      <c r="N3703" s="300">
        <v>8.0</v>
      </c>
      <c r="O3703" s="300" t="s">
        <v>937</v>
      </c>
      <c r="P3703" s="300">
        <v>4.0</v>
      </c>
    </row>
    <row r="3704">
      <c r="A3704">
        <f>IFERROR(__xludf.DUMMYFUNCTION("""COMPUTED_VALUE"""),9.0)</f>
        <v>9</v>
      </c>
      <c r="B3704" s="406">
        <f>IFERROR(__xludf.DUMMYFUNCTION("""COMPUTED_VALUE"""),29106.0)</f>
        <v>29106</v>
      </c>
      <c r="C3704" t="str">
        <f>IFERROR(__xludf.DUMMYFUNCTION("""COMPUTED_VALUE"""),"SANCHEZ DIAZ, SIMON")</f>
        <v>SANCHEZ DIAZ, SIMON</v>
      </c>
      <c r="D3704" t="str">
        <f>IFERROR(__xludf.DUMMYFUNCTION("""COMPUTED_VALUE"""),"Band Level II")</f>
        <v>Band Level II</v>
      </c>
      <c r="E3704" s="3">
        <f>IFERROR(__xludf.DUMMYFUNCTION("""COMPUTED_VALUE"""),2.0)</f>
        <v>2</v>
      </c>
      <c r="F3704" s="300">
        <v>1.0</v>
      </c>
      <c r="G3704" s="300">
        <v>1.0</v>
      </c>
      <c r="H3704" s="300">
        <v>1.0</v>
      </c>
      <c r="I3704" s="300">
        <v>1.0</v>
      </c>
      <c r="J3704" s="300">
        <v>1.0</v>
      </c>
      <c r="K3704" s="300">
        <v>1.0</v>
      </c>
      <c r="L3704" s="300">
        <v>1.0</v>
      </c>
      <c r="M3704" s="300">
        <v>1.0</v>
      </c>
      <c r="N3704" s="300">
        <v>8.0</v>
      </c>
      <c r="O3704" s="300" t="s">
        <v>940</v>
      </c>
      <c r="P3704" s="300">
        <v>2.0</v>
      </c>
    </row>
    <row r="3705">
      <c r="A3705">
        <f>IFERROR(__xludf.DUMMYFUNCTION("""COMPUTED_VALUE"""),9.0)</f>
        <v>9</v>
      </c>
      <c r="B3705" s="406">
        <f>IFERROR(__xludf.DUMMYFUNCTION("""COMPUTED_VALUE"""),29067.0)</f>
        <v>29067</v>
      </c>
      <c r="C3705" t="str">
        <f>IFERROR(__xludf.DUMMYFUNCTION("""COMPUTED_VALUE"""),"LOPEZ ESCOBAR, VALENTIN")</f>
        <v>LOPEZ ESCOBAR, VALENTIN</v>
      </c>
      <c r="D3705" t="str">
        <f>IFERROR(__xludf.DUMMYFUNCTION("""COMPUTED_VALUE"""),"Sculpture I")</f>
        <v>Sculpture I</v>
      </c>
      <c r="E3705" s="3">
        <f>IFERROR(__xludf.DUMMYFUNCTION("""COMPUTED_VALUE"""),4.0)</f>
        <v>4</v>
      </c>
      <c r="F3705" s="300">
        <v>1.0</v>
      </c>
      <c r="G3705" s="300">
        <v>1.0</v>
      </c>
      <c r="H3705" s="300">
        <v>1.0</v>
      </c>
      <c r="I3705" s="300">
        <v>1.0</v>
      </c>
      <c r="J3705" s="300">
        <v>1.0</v>
      </c>
      <c r="K3705" s="300">
        <v>1.0</v>
      </c>
      <c r="L3705" s="300">
        <v>1.0</v>
      </c>
      <c r="M3705" s="300">
        <v>1.0</v>
      </c>
      <c r="N3705" s="300">
        <v>8.0</v>
      </c>
      <c r="O3705" s="300" t="s">
        <v>989</v>
      </c>
      <c r="P3705" s="300">
        <v>2.0</v>
      </c>
    </row>
    <row r="3706">
      <c r="A3706">
        <f>IFERROR(__xludf.DUMMYFUNCTION("""COMPUTED_VALUE"""),9.0)</f>
        <v>9</v>
      </c>
      <c r="B3706" s="406">
        <f>IFERROR(__xludf.DUMMYFUNCTION("""COMPUTED_VALUE"""),28023.0)</f>
        <v>28023</v>
      </c>
      <c r="C3706" t="str">
        <f>IFERROR(__xludf.DUMMYFUNCTION("""COMPUTED_VALUE"""),"CLAVIJO GIRALDO, LORENZO")</f>
        <v>CLAVIJO GIRALDO, LORENZO</v>
      </c>
      <c r="D3706" t="str">
        <f>IFERROR(__xludf.DUMMYFUNCTION("""COMPUTED_VALUE"""),"Sculpture I")</f>
        <v>Sculpture I</v>
      </c>
      <c r="E3706" s="3">
        <f>IFERROR(__xludf.DUMMYFUNCTION("""COMPUTED_VALUE"""),4.0)</f>
        <v>4</v>
      </c>
      <c r="F3706" s="300">
        <v>1.0</v>
      </c>
      <c r="G3706" s="300">
        <v>1.0</v>
      </c>
      <c r="H3706" s="300">
        <v>1.0</v>
      </c>
      <c r="I3706" s="300">
        <v>1.0</v>
      </c>
      <c r="J3706" s="300">
        <v>1.0</v>
      </c>
      <c r="K3706" s="300">
        <v>1.0</v>
      </c>
      <c r="L3706" s="300">
        <v>1.0</v>
      </c>
      <c r="M3706" s="300">
        <v>1.0</v>
      </c>
      <c r="N3706" s="300">
        <v>8.0</v>
      </c>
      <c r="O3706" s="300" t="s">
        <v>989</v>
      </c>
      <c r="P3706" s="300">
        <v>2.0</v>
      </c>
    </row>
    <row r="3707">
      <c r="A3707">
        <f>IFERROR(__xludf.DUMMYFUNCTION("""COMPUTED_VALUE"""),9.0)</f>
        <v>9</v>
      </c>
      <c r="B3707" s="406">
        <f>IFERROR(__xludf.DUMMYFUNCTION("""COMPUTED_VALUE"""),29145.0)</f>
        <v>29145</v>
      </c>
      <c r="C3707" t="str">
        <f>IFERROR(__xludf.DUMMYFUNCTION("""COMPUTED_VALUE"""),"VELASQUEZ GUTIERREZ, SAMUEL")</f>
        <v>VELASQUEZ GUTIERREZ, SAMUEL</v>
      </c>
      <c r="D3707" t="str">
        <f>IFERROR(__xludf.DUMMYFUNCTION("""COMPUTED_VALUE"""),"Sculpture I")</f>
        <v>Sculpture I</v>
      </c>
      <c r="E3707" s="3">
        <f>IFERROR(__xludf.DUMMYFUNCTION("""COMPUTED_VALUE"""),4.0)</f>
        <v>4</v>
      </c>
      <c r="F3707" s="300">
        <v>1.0</v>
      </c>
      <c r="G3707" s="300">
        <v>1.0</v>
      </c>
      <c r="H3707" s="300">
        <v>1.0</v>
      </c>
      <c r="I3707" s="300">
        <v>1.0</v>
      </c>
      <c r="J3707" s="300">
        <v>1.0</v>
      </c>
      <c r="K3707" s="300">
        <v>1.0</v>
      </c>
      <c r="L3707" s="300">
        <v>1.0</v>
      </c>
      <c r="M3707" s="300">
        <v>1.0</v>
      </c>
      <c r="N3707" s="300">
        <v>8.0</v>
      </c>
      <c r="O3707" s="300" t="s">
        <v>989</v>
      </c>
      <c r="P3707" s="300">
        <v>2.0</v>
      </c>
    </row>
    <row r="3708">
      <c r="A3708">
        <f>IFERROR(__xludf.DUMMYFUNCTION("""COMPUTED_VALUE"""),9.0)</f>
        <v>9</v>
      </c>
      <c r="B3708" s="406">
        <f>IFERROR(__xludf.DUMMYFUNCTION("""COMPUTED_VALUE"""),29061.0)</f>
        <v>29061</v>
      </c>
      <c r="C3708" t="str">
        <f>IFERROR(__xludf.DUMMYFUNCTION("""COMPUTED_VALUE"""),"JARAMILLO OSPINA, MANUEL")</f>
        <v>JARAMILLO OSPINA, MANUEL</v>
      </c>
      <c r="D3708" t="str">
        <f>IFERROR(__xludf.DUMMYFUNCTION("""COMPUTED_VALUE"""),"Band Level II")</f>
        <v>Band Level II</v>
      </c>
      <c r="E3708" s="3">
        <f>IFERROR(__xludf.DUMMYFUNCTION("""COMPUTED_VALUE"""),6.0)</f>
        <v>6</v>
      </c>
      <c r="F3708" s="300">
        <v>1.0</v>
      </c>
      <c r="G3708" s="300">
        <v>1.0</v>
      </c>
      <c r="H3708" s="300">
        <v>1.0</v>
      </c>
      <c r="I3708" s="300">
        <v>1.0</v>
      </c>
      <c r="J3708" s="300">
        <v>1.0</v>
      </c>
      <c r="K3708" s="300">
        <v>1.0</v>
      </c>
      <c r="L3708" s="300">
        <v>1.0</v>
      </c>
      <c r="M3708" s="300">
        <v>1.0</v>
      </c>
      <c r="N3708" s="300">
        <v>8.0</v>
      </c>
      <c r="O3708" s="300" t="s">
        <v>942</v>
      </c>
      <c r="P3708" s="300">
        <v>2.0</v>
      </c>
    </row>
    <row r="3709">
      <c r="A3709">
        <f>IFERROR(__xludf.DUMMYFUNCTION("""COMPUTED_VALUE"""),9.0)</f>
        <v>9</v>
      </c>
      <c r="B3709" s="406">
        <f>IFERROR(__xludf.DUMMYFUNCTION("""COMPUTED_VALUE"""),29046.0)</f>
        <v>29046</v>
      </c>
      <c r="C3709" t="str">
        <f>IFERROR(__xludf.DUMMYFUNCTION("""COMPUTED_VALUE"""),"GONZALEZ LOPEZ, SAMUEL")</f>
        <v>GONZALEZ LOPEZ, SAMUEL</v>
      </c>
      <c r="D3709" t="str">
        <f>IFERROR(__xludf.DUMMYFUNCTION("""COMPUTED_VALUE"""),"Band Level I")</f>
        <v>Band Level I</v>
      </c>
      <c r="E3709" s="3">
        <f>IFERROR(__xludf.DUMMYFUNCTION("""COMPUTED_VALUE"""),3.0)</f>
        <v>3</v>
      </c>
      <c r="F3709" s="300">
        <v>1.0</v>
      </c>
      <c r="G3709" s="300">
        <v>1.0</v>
      </c>
      <c r="H3709" s="300">
        <v>1.0</v>
      </c>
      <c r="I3709" s="300">
        <v>1.0</v>
      </c>
      <c r="J3709" s="300">
        <v>1.0</v>
      </c>
      <c r="K3709" s="300">
        <v>1.0</v>
      </c>
      <c r="L3709" s="300">
        <v>1.0</v>
      </c>
      <c r="M3709" s="300">
        <v>1.0</v>
      </c>
      <c r="N3709" s="300">
        <v>8.0</v>
      </c>
      <c r="O3709" s="300" t="s">
        <v>990</v>
      </c>
      <c r="P3709" s="300">
        <v>4.0</v>
      </c>
    </row>
    <row r="3710">
      <c r="A3710">
        <f>IFERROR(__xludf.DUMMYFUNCTION("""COMPUTED_VALUE"""),9.0)</f>
        <v>9</v>
      </c>
      <c r="B3710" s="406">
        <f>IFERROR(__xludf.DUMMYFUNCTION("""COMPUTED_VALUE"""),29143.0)</f>
        <v>29143</v>
      </c>
      <c r="C3710" t="str">
        <f>IFERROR(__xludf.DUMMYFUNCTION("""COMPUTED_VALUE"""),"MOLANO MESA, CARMEN")</f>
        <v>MOLANO MESA, CARMEN</v>
      </c>
      <c r="D3710" t="str">
        <f>IFERROR(__xludf.DUMMYFUNCTION("""COMPUTED_VALUE"""),"Sculpture I")</f>
        <v>Sculpture I</v>
      </c>
      <c r="E3710" s="3">
        <f>IFERROR(__xludf.DUMMYFUNCTION("""COMPUTED_VALUE"""),3.0)</f>
        <v>3</v>
      </c>
      <c r="F3710" s="300">
        <v>1.0</v>
      </c>
      <c r="G3710" s="300">
        <v>1.0</v>
      </c>
      <c r="H3710" s="300">
        <v>1.0</v>
      </c>
      <c r="I3710" s="300">
        <v>1.0</v>
      </c>
      <c r="J3710" s="300">
        <v>1.0</v>
      </c>
      <c r="K3710" s="300">
        <v>1.0</v>
      </c>
      <c r="L3710" s="300">
        <v>1.0</v>
      </c>
      <c r="M3710" s="300">
        <v>1.0</v>
      </c>
      <c r="N3710" s="300">
        <v>8.0</v>
      </c>
      <c r="O3710" s="300" t="s">
        <v>947</v>
      </c>
      <c r="P3710" s="300">
        <v>2.0</v>
      </c>
    </row>
    <row r="3711">
      <c r="A3711">
        <f>IFERROR(__xludf.DUMMYFUNCTION("""COMPUTED_VALUE"""),9.0)</f>
        <v>9</v>
      </c>
      <c r="B3711" s="406">
        <f>IFERROR(__xludf.DUMMYFUNCTION("""COMPUTED_VALUE"""),29109.0)</f>
        <v>29109</v>
      </c>
      <c r="C3711" t="str">
        <f>IFERROR(__xludf.DUMMYFUNCTION("""COMPUTED_VALUE"""),"SERANI ANGEL, LUCIANA")</f>
        <v>SERANI ANGEL, LUCIANA</v>
      </c>
      <c r="D3711" t="str">
        <f>IFERROR(__xludf.DUMMYFUNCTION("""COMPUTED_VALUE"""),"Sculpture I")</f>
        <v>Sculpture I</v>
      </c>
      <c r="E3711" s="3">
        <f>IFERROR(__xludf.DUMMYFUNCTION("""COMPUTED_VALUE"""),4.0)</f>
        <v>4</v>
      </c>
      <c r="F3711" s="300">
        <v>1.0</v>
      </c>
      <c r="G3711" s="300">
        <v>1.0</v>
      </c>
      <c r="H3711" s="300">
        <v>1.0</v>
      </c>
      <c r="I3711" s="300">
        <v>1.0</v>
      </c>
      <c r="J3711" s="300">
        <v>1.0</v>
      </c>
      <c r="K3711" s="300">
        <v>1.0</v>
      </c>
      <c r="L3711" s="300">
        <v>1.0</v>
      </c>
      <c r="M3711" s="300">
        <v>1.0</v>
      </c>
      <c r="N3711" s="300">
        <v>8.0</v>
      </c>
      <c r="O3711" s="300" t="s">
        <v>989</v>
      </c>
      <c r="P3711" s="300">
        <v>2.0</v>
      </c>
    </row>
    <row r="3712">
      <c r="A3712">
        <f>IFERROR(__xludf.DUMMYFUNCTION("""COMPUTED_VALUE"""),9.0)</f>
        <v>9</v>
      </c>
      <c r="B3712" s="406">
        <f>IFERROR(__xludf.DUMMYFUNCTION("""COMPUTED_VALUE"""),29037.0)</f>
        <v>29037</v>
      </c>
      <c r="C3712" t="str">
        <f>IFERROR(__xludf.DUMMYFUNCTION("""COMPUTED_VALUE"""),"ESCOBAR INFANTINO, RAQUEL")</f>
        <v>ESCOBAR INFANTINO, RAQUEL</v>
      </c>
      <c r="D3712" t="str">
        <f>IFERROR(__xludf.DUMMYFUNCTION("""COMPUTED_VALUE"""),"Sculpture I")</f>
        <v>Sculpture I</v>
      </c>
      <c r="E3712" s="3">
        <f>IFERROR(__xludf.DUMMYFUNCTION("""COMPUTED_VALUE"""),3.0)</f>
        <v>3</v>
      </c>
      <c r="F3712" s="300">
        <v>1.0</v>
      </c>
      <c r="G3712" s="300">
        <v>1.0</v>
      </c>
      <c r="H3712" s="300">
        <v>1.0</v>
      </c>
      <c r="I3712" s="300">
        <v>1.0</v>
      </c>
      <c r="J3712" s="300">
        <v>1.0</v>
      </c>
      <c r="K3712" s="300">
        <v>1.0</v>
      </c>
      <c r="L3712" s="300">
        <v>1.0</v>
      </c>
      <c r="M3712" s="300">
        <v>1.0</v>
      </c>
      <c r="N3712" s="300">
        <v>8.0</v>
      </c>
      <c r="O3712" s="300" t="s">
        <v>947</v>
      </c>
      <c r="P3712" s="300">
        <v>2.0</v>
      </c>
    </row>
    <row r="3713">
      <c r="A3713">
        <f>IFERROR(__xludf.DUMMYFUNCTION("""COMPUTED_VALUE"""),9.0)</f>
        <v>9</v>
      </c>
      <c r="B3713" s="406">
        <f>IFERROR(__xludf.DUMMYFUNCTION("""COMPUTED_VALUE"""),29159.0)</f>
        <v>29159</v>
      </c>
      <c r="C3713" t="str">
        <f>IFERROR(__xludf.DUMMYFUNCTION("""COMPUTED_VALUE"""),"PACHECO GARCIA, MARIANA")</f>
        <v>PACHECO GARCIA, MARIANA</v>
      </c>
      <c r="D3713" t="str">
        <f>IFERROR(__xludf.DUMMYFUNCTION("""COMPUTED_VALUE"""),"Painting I")</f>
        <v>Painting I</v>
      </c>
      <c r="E3713" s="3">
        <f>IFERROR(__xludf.DUMMYFUNCTION("""COMPUTED_VALUE"""),7.0)</f>
        <v>7</v>
      </c>
      <c r="F3713" s="300">
        <v>1.0</v>
      </c>
      <c r="G3713" s="300">
        <v>1.0</v>
      </c>
      <c r="H3713" s="300">
        <v>1.0</v>
      </c>
      <c r="I3713" s="300">
        <v>1.0</v>
      </c>
      <c r="J3713" s="300">
        <v>1.0</v>
      </c>
      <c r="K3713" s="300">
        <v>1.0</v>
      </c>
      <c r="L3713" s="300">
        <v>1.0</v>
      </c>
      <c r="M3713" s="300">
        <v>1.0</v>
      </c>
      <c r="N3713" s="300">
        <v>8.0</v>
      </c>
      <c r="O3713" s="300" t="s">
        <v>934</v>
      </c>
      <c r="P3713" s="300">
        <v>4.0</v>
      </c>
    </row>
    <row r="3714">
      <c r="A3714">
        <f>IFERROR(__xludf.DUMMYFUNCTION("""COMPUTED_VALUE"""),9.0)</f>
        <v>9</v>
      </c>
      <c r="B3714" s="406">
        <f>IFERROR(__xludf.DUMMYFUNCTION("""COMPUTED_VALUE"""),29142.0)</f>
        <v>29142</v>
      </c>
      <c r="C3714" t="str">
        <f>IFERROR(__xludf.DUMMYFUNCTION("""COMPUTED_VALUE"""),"TOBON CARMONA, JACOBO")</f>
        <v>TOBON CARMONA, JACOBO</v>
      </c>
      <c r="D3714" t="str">
        <f>IFERROR(__xludf.DUMMYFUNCTION("""COMPUTED_VALUE"""),"Band Level I")</f>
        <v>Band Level I</v>
      </c>
      <c r="E3714" s="3">
        <f>IFERROR(__xludf.DUMMYFUNCTION("""COMPUTED_VALUE"""),8.0)</f>
        <v>8</v>
      </c>
      <c r="F3714" s="300">
        <v>1.0</v>
      </c>
      <c r="G3714" s="300">
        <v>1.0</v>
      </c>
      <c r="H3714" s="300">
        <v>1.0</v>
      </c>
      <c r="I3714" s="300">
        <v>1.0</v>
      </c>
      <c r="J3714" s="300">
        <v>1.0</v>
      </c>
      <c r="K3714" s="300">
        <v>1.0</v>
      </c>
      <c r="L3714" s="300">
        <v>1.0</v>
      </c>
      <c r="M3714" s="300">
        <v>1.0</v>
      </c>
      <c r="N3714" s="300">
        <v>8.0</v>
      </c>
      <c r="O3714" s="300" t="s">
        <v>943</v>
      </c>
      <c r="P3714" s="300">
        <v>4.0</v>
      </c>
    </row>
    <row r="3715">
      <c r="A3715">
        <f>IFERROR(__xludf.DUMMYFUNCTION("""COMPUTED_VALUE"""),9.0)</f>
        <v>9</v>
      </c>
      <c r="B3715" s="406">
        <f>IFERROR(__xludf.DUMMYFUNCTION("""COMPUTED_VALUE"""),29132.0)</f>
        <v>29132</v>
      </c>
      <c r="C3715" t="str">
        <f>IFERROR(__xludf.DUMMYFUNCTION("""COMPUTED_VALUE"""),"VILLEGAS MEJIA, SIMON")</f>
        <v>VILLEGAS MEJIA, SIMON</v>
      </c>
      <c r="D3715" t="str">
        <f>IFERROR(__xludf.DUMMYFUNCTION("""COMPUTED_VALUE"""),"Band Level I")</f>
        <v>Band Level I</v>
      </c>
      <c r="E3715" s="3">
        <f>IFERROR(__xludf.DUMMYFUNCTION("""COMPUTED_VALUE"""),8.0)</f>
        <v>8</v>
      </c>
      <c r="F3715" s="300">
        <v>1.0</v>
      </c>
      <c r="G3715" s="300">
        <v>1.0</v>
      </c>
      <c r="H3715" s="300">
        <v>1.0</v>
      </c>
      <c r="I3715" s="300">
        <v>1.0</v>
      </c>
      <c r="J3715" s="300">
        <v>1.0</v>
      </c>
      <c r="K3715" s="300">
        <v>1.0</v>
      </c>
      <c r="L3715" s="300">
        <v>1.0</v>
      </c>
      <c r="M3715" s="300">
        <v>1.0</v>
      </c>
      <c r="N3715" s="300">
        <v>8.0</v>
      </c>
      <c r="O3715" s="300" t="s">
        <v>943</v>
      </c>
      <c r="P3715" s="300">
        <v>4.0</v>
      </c>
    </row>
    <row r="3716">
      <c r="A3716">
        <f>IFERROR(__xludf.DUMMYFUNCTION("""COMPUTED_VALUE"""),9.0)</f>
        <v>9</v>
      </c>
      <c r="B3716" s="406">
        <f>IFERROR(__xludf.DUMMYFUNCTION("""COMPUTED_VALUE"""),29027.0)</f>
        <v>29027</v>
      </c>
      <c r="C3716" t="str">
        <f>IFERROR(__xludf.DUMMYFUNCTION("""COMPUTED_VALUE"""),"CARDONA VELEZ, MATIAS")</f>
        <v>CARDONA VELEZ, MATIAS</v>
      </c>
      <c r="D3716" t="str">
        <f>IFERROR(__xludf.DUMMYFUNCTION("""COMPUTED_VALUE"""),"Sculpture I")</f>
        <v>Sculpture I</v>
      </c>
      <c r="E3716" s="3">
        <f>IFERROR(__xludf.DUMMYFUNCTION("""COMPUTED_VALUE"""),4.0)</f>
        <v>4</v>
      </c>
      <c r="F3716" s="300">
        <v>1.0</v>
      </c>
      <c r="G3716" s="300">
        <v>1.0</v>
      </c>
      <c r="H3716" s="300">
        <v>1.0</v>
      </c>
      <c r="I3716" s="300">
        <v>1.0</v>
      </c>
      <c r="J3716" s="300">
        <v>1.0</v>
      </c>
      <c r="K3716" s="300">
        <v>1.0</v>
      </c>
      <c r="L3716" s="300">
        <v>1.0</v>
      </c>
      <c r="M3716" s="300">
        <v>1.0</v>
      </c>
      <c r="N3716" s="300">
        <v>8.0</v>
      </c>
      <c r="O3716" s="300" t="s">
        <v>989</v>
      </c>
      <c r="P3716" s="300">
        <v>2.0</v>
      </c>
    </row>
    <row r="3717">
      <c r="A3717">
        <f>IFERROR(__xludf.DUMMYFUNCTION("""COMPUTED_VALUE"""),9.0)</f>
        <v>9</v>
      </c>
      <c r="B3717" s="406">
        <f>IFERROR(__xludf.DUMMYFUNCTION("""COMPUTED_VALUE"""),29024.0)</f>
        <v>29024</v>
      </c>
      <c r="C3717" t="str">
        <f>IFERROR(__xludf.DUMMYFUNCTION("""COMPUTED_VALUE"""),"CADAVID RESTREPO, LUIS FERNANDO")</f>
        <v>CADAVID RESTREPO, LUIS FERNANDO</v>
      </c>
      <c r="D3717" t="str">
        <f>IFERROR(__xludf.DUMMYFUNCTION("""COMPUTED_VALUE"""),"Drawing I")</f>
        <v>Drawing I</v>
      </c>
      <c r="E3717" s="3">
        <f>IFERROR(__xludf.DUMMYFUNCTION("""COMPUTED_VALUE"""),3.0)</f>
        <v>3</v>
      </c>
      <c r="F3717" s="300">
        <v>1.0</v>
      </c>
      <c r="G3717" s="300">
        <v>1.0</v>
      </c>
      <c r="H3717" s="300">
        <v>1.0</v>
      </c>
      <c r="I3717" s="300">
        <v>1.0</v>
      </c>
      <c r="J3717" s="300">
        <v>1.0</v>
      </c>
      <c r="K3717" s="300">
        <v>1.0</v>
      </c>
      <c r="L3717" s="300">
        <v>1.0</v>
      </c>
      <c r="M3717" s="300">
        <v>1.0</v>
      </c>
      <c r="N3717" s="300">
        <v>8.0</v>
      </c>
      <c r="O3717" s="300" t="s">
        <v>938</v>
      </c>
      <c r="P3717" s="300">
        <v>2.0</v>
      </c>
    </row>
    <row r="3718">
      <c r="A3718">
        <f>IFERROR(__xludf.DUMMYFUNCTION("""COMPUTED_VALUE"""),9.0)</f>
        <v>9</v>
      </c>
      <c r="B3718" s="406">
        <f>IFERROR(__xludf.DUMMYFUNCTION("""COMPUTED_VALUE"""),29042.0)</f>
        <v>29042</v>
      </c>
      <c r="C3718" t="str">
        <f>IFERROR(__xludf.DUMMYFUNCTION("""COMPUTED_VALUE"""),"GOMEZ MIRA, GREGORIO")</f>
        <v>GOMEZ MIRA, GREGORIO</v>
      </c>
      <c r="D3718" t="str">
        <f>IFERROR(__xludf.DUMMYFUNCTION("""COMPUTED_VALUE"""),"Sculpture I")</f>
        <v>Sculpture I</v>
      </c>
      <c r="E3718" s="3">
        <f>IFERROR(__xludf.DUMMYFUNCTION("""COMPUTED_VALUE"""),3.0)</f>
        <v>3</v>
      </c>
      <c r="F3718" s="300">
        <v>1.0</v>
      </c>
      <c r="G3718" s="300">
        <v>1.0</v>
      </c>
      <c r="H3718" s="300">
        <v>1.0</v>
      </c>
      <c r="I3718" s="300">
        <v>1.0</v>
      </c>
      <c r="J3718" s="300">
        <v>1.0</v>
      </c>
      <c r="K3718" s="300">
        <v>1.0</v>
      </c>
      <c r="L3718" s="300">
        <v>1.0</v>
      </c>
      <c r="M3718" s="300">
        <v>1.0</v>
      </c>
      <c r="N3718" s="300">
        <v>8.0</v>
      </c>
      <c r="O3718" s="300" t="s">
        <v>947</v>
      </c>
      <c r="P3718" s="300">
        <v>2.0</v>
      </c>
    </row>
    <row r="3719">
      <c r="A3719">
        <f>IFERROR(__xludf.DUMMYFUNCTION("""COMPUTED_VALUE"""),9.0)</f>
        <v>9</v>
      </c>
      <c r="B3719" s="406">
        <f>IFERROR(__xludf.DUMMYFUNCTION("""COMPUTED_VALUE"""),29120.0)</f>
        <v>29120</v>
      </c>
      <c r="C3719" t="str">
        <f>IFERROR(__xludf.DUMMYFUNCTION("""COMPUTED_VALUE"""),"URIBE JARAMILLO, PEDRO JUAN")</f>
        <v>URIBE JARAMILLO, PEDRO JUAN</v>
      </c>
      <c r="D3719" t="str">
        <f>IFERROR(__xludf.DUMMYFUNCTION("""COMPUTED_VALUE"""),"Painting I")</f>
        <v>Painting I</v>
      </c>
      <c r="E3719" s="3">
        <f>IFERROR(__xludf.DUMMYFUNCTION("""COMPUTED_VALUE"""),4.0)</f>
        <v>4</v>
      </c>
      <c r="F3719" s="300">
        <v>1.0</v>
      </c>
      <c r="G3719" s="300">
        <v>1.0</v>
      </c>
      <c r="H3719" s="300">
        <v>1.0</v>
      </c>
      <c r="I3719" s="300">
        <v>1.0</v>
      </c>
      <c r="J3719" s="300">
        <v>1.0</v>
      </c>
      <c r="K3719" s="300">
        <v>1.0</v>
      </c>
      <c r="L3719" s="300">
        <v>1.0</v>
      </c>
      <c r="M3719" s="300">
        <v>1.0</v>
      </c>
      <c r="N3719" s="300">
        <v>8.0</v>
      </c>
      <c r="O3719" s="300" t="s">
        <v>946</v>
      </c>
      <c r="P3719" s="300">
        <v>4.0</v>
      </c>
    </row>
    <row r="3720">
      <c r="A3720">
        <f>IFERROR(__xludf.DUMMYFUNCTION("""COMPUTED_VALUE"""),9.0)</f>
        <v>9</v>
      </c>
      <c r="B3720" s="406">
        <f>IFERROR(__xludf.DUMMYFUNCTION("""COMPUTED_VALUE"""),29040.0)</f>
        <v>29040</v>
      </c>
      <c r="C3720" t="str">
        <f>IFERROR(__xludf.DUMMYFUNCTION("""COMPUTED_VALUE"""),"ESTRADA ZAPATA, MARTIN")</f>
        <v>ESTRADA ZAPATA, MARTIN</v>
      </c>
      <c r="D3720" t="str">
        <f>IFERROR(__xludf.DUMMYFUNCTION("""COMPUTED_VALUE"""),"Band Level I")</f>
        <v>Band Level I</v>
      </c>
      <c r="E3720" s="3">
        <f>IFERROR(__xludf.DUMMYFUNCTION("""COMPUTED_VALUE"""),3.0)</f>
        <v>3</v>
      </c>
      <c r="F3720" s="300">
        <v>1.0</v>
      </c>
      <c r="G3720" s="300">
        <v>1.0</v>
      </c>
      <c r="H3720" s="300">
        <v>1.0</v>
      </c>
      <c r="I3720" s="300">
        <v>1.0</v>
      </c>
      <c r="J3720" s="300">
        <v>1.0</v>
      </c>
      <c r="K3720" s="300">
        <v>1.0</v>
      </c>
      <c r="L3720" s="300">
        <v>1.0</v>
      </c>
      <c r="M3720" s="300">
        <v>1.0</v>
      </c>
      <c r="N3720" s="300">
        <v>8.0</v>
      </c>
      <c r="O3720" s="300" t="s">
        <v>990</v>
      </c>
      <c r="P3720" s="300">
        <v>4.0</v>
      </c>
    </row>
    <row r="3721">
      <c r="A3721">
        <f>IFERROR(__xludf.DUMMYFUNCTION("""COMPUTED_VALUE"""),9.0)</f>
        <v>9</v>
      </c>
      <c r="B3721" s="406">
        <f>IFERROR(__xludf.DUMMYFUNCTION("""COMPUTED_VALUE"""),29057.0)</f>
        <v>29057</v>
      </c>
      <c r="C3721" t="str">
        <f>IFERROR(__xludf.DUMMYFUNCTION("""COMPUTED_VALUE"""),"JALLER TRUJILLO, KAMEL")</f>
        <v>JALLER TRUJILLO, KAMEL</v>
      </c>
      <c r="D3721" t="str">
        <f>IFERROR(__xludf.DUMMYFUNCTION("""COMPUTED_VALUE"""),"Painting I")</f>
        <v>Painting I</v>
      </c>
      <c r="E3721" s="3">
        <f>IFERROR(__xludf.DUMMYFUNCTION("""COMPUTED_VALUE"""),8.0)</f>
        <v>8</v>
      </c>
      <c r="F3721" s="300">
        <v>1.0</v>
      </c>
      <c r="G3721" s="300">
        <v>1.0</v>
      </c>
      <c r="H3721" s="300">
        <v>1.0</v>
      </c>
      <c r="I3721" s="300">
        <v>1.0</v>
      </c>
      <c r="J3721" s="300">
        <v>1.0</v>
      </c>
      <c r="K3721" s="300">
        <v>1.0</v>
      </c>
      <c r="L3721" s="300">
        <v>1.0</v>
      </c>
      <c r="M3721" s="300">
        <v>1.0</v>
      </c>
      <c r="N3721" s="300">
        <v>8.0</v>
      </c>
      <c r="O3721" s="300" t="s">
        <v>988</v>
      </c>
      <c r="P3721" s="300">
        <v>4.0</v>
      </c>
    </row>
    <row r="3722">
      <c r="A3722">
        <f>IFERROR(__xludf.DUMMYFUNCTION("""COMPUTED_VALUE"""),9.0)</f>
        <v>9</v>
      </c>
      <c r="B3722" s="406">
        <f>IFERROR(__xludf.DUMMYFUNCTION("""COMPUTED_VALUE"""),29092.0)</f>
        <v>29092</v>
      </c>
      <c r="C3722" t="str">
        <f>IFERROR(__xludf.DUMMYFUNCTION("""COMPUTED_VALUE"""),"TURIZZO BORRERO, CAMILO ANDRES")</f>
        <v>TURIZZO BORRERO, CAMILO ANDRES</v>
      </c>
      <c r="D3722" t="str">
        <f>IFERROR(__xludf.DUMMYFUNCTION("""COMPUTED_VALUE"""),"Band Level I")</f>
        <v>Band Level I</v>
      </c>
      <c r="E3722" s="3">
        <f>IFERROR(__xludf.DUMMYFUNCTION("""COMPUTED_VALUE"""),4.0)</f>
        <v>4</v>
      </c>
      <c r="F3722" s="300">
        <v>1.0</v>
      </c>
      <c r="G3722" s="300">
        <v>1.0</v>
      </c>
      <c r="H3722" s="300">
        <v>1.0</v>
      </c>
      <c r="I3722" s="300">
        <v>1.0</v>
      </c>
      <c r="J3722" s="300">
        <v>1.0</v>
      </c>
      <c r="K3722" s="300">
        <v>1.0</v>
      </c>
      <c r="L3722" s="300">
        <v>1.0</v>
      </c>
      <c r="M3722" s="300">
        <v>1.0</v>
      </c>
      <c r="N3722" s="300">
        <v>8.0</v>
      </c>
      <c r="O3722" s="300" t="s">
        <v>937</v>
      </c>
      <c r="P3722" s="300">
        <v>4.0</v>
      </c>
    </row>
    <row r="3723">
      <c r="A3723">
        <f>IFERROR(__xludf.DUMMYFUNCTION("""COMPUTED_VALUE"""),9.0)</f>
        <v>9</v>
      </c>
      <c r="B3723" s="406">
        <f>IFERROR(__xludf.DUMMYFUNCTION("""COMPUTED_VALUE"""),29129.0)</f>
        <v>29129</v>
      </c>
      <c r="C3723" t="str">
        <f>IFERROR(__xludf.DUMMYFUNCTION("""COMPUTED_VALUE"""),"VELEZ RESTREPO, SIMON")</f>
        <v>VELEZ RESTREPO, SIMON</v>
      </c>
      <c r="D3723" t="str">
        <f>IFERROR(__xludf.DUMMYFUNCTION("""COMPUTED_VALUE"""),"Painting I")</f>
        <v>Painting I</v>
      </c>
      <c r="E3723" s="3">
        <f>IFERROR(__xludf.DUMMYFUNCTION("""COMPUTED_VALUE"""),4.0)</f>
        <v>4</v>
      </c>
      <c r="F3723" s="300">
        <v>1.0</v>
      </c>
      <c r="G3723" s="300">
        <v>1.0</v>
      </c>
      <c r="H3723" s="300">
        <v>1.0</v>
      </c>
      <c r="I3723" s="300">
        <v>1.0</v>
      </c>
      <c r="J3723" s="300">
        <v>1.0</v>
      </c>
      <c r="K3723" s="300">
        <v>1.0</v>
      </c>
      <c r="L3723" s="300">
        <v>1.0</v>
      </c>
      <c r="M3723" s="300">
        <v>1.0</v>
      </c>
      <c r="N3723" s="300">
        <v>8.0</v>
      </c>
      <c r="O3723" s="300" t="s">
        <v>946</v>
      </c>
      <c r="P3723" s="300">
        <v>4.0</v>
      </c>
    </row>
    <row r="3724">
      <c r="A3724">
        <f>IFERROR(__xludf.DUMMYFUNCTION("""COMPUTED_VALUE"""),9.0)</f>
        <v>9</v>
      </c>
      <c r="B3724" s="406">
        <f>IFERROR(__xludf.DUMMYFUNCTION("""COMPUTED_VALUE"""),29002.0)</f>
        <v>29002</v>
      </c>
      <c r="C3724" t="str">
        <f>IFERROR(__xludf.DUMMYFUNCTION("""COMPUTED_VALUE"""),"ACEVEDO OCHOA, MARIA DEL MAR")</f>
        <v>ACEVEDO OCHOA, MARIA DEL MAR</v>
      </c>
      <c r="D3724" t="str">
        <f>IFERROR(__xludf.DUMMYFUNCTION("""COMPUTED_VALUE"""),"Band Level II")</f>
        <v>Band Level II</v>
      </c>
      <c r="E3724" s="3">
        <f>IFERROR(__xludf.DUMMYFUNCTION("""COMPUTED_VALUE"""),6.0)</f>
        <v>6</v>
      </c>
      <c r="F3724" s="300">
        <v>1.0</v>
      </c>
      <c r="G3724" s="300">
        <v>1.0</v>
      </c>
      <c r="H3724" s="300">
        <v>1.0</v>
      </c>
      <c r="I3724" s="300">
        <v>1.0</v>
      </c>
      <c r="J3724" s="300">
        <v>1.0</v>
      </c>
      <c r="K3724" s="300">
        <v>1.0</v>
      </c>
      <c r="L3724" s="300">
        <v>1.0</v>
      </c>
      <c r="M3724" s="300">
        <v>1.0</v>
      </c>
      <c r="N3724" s="300">
        <v>8.0</v>
      </c>
      <c r="O3724" s="300" t="s">
        <v>942</v>
      </c>
      <c r="P3724" s="300">
        <v>2.0</v>
      </c>
    </row>
    <row r="3725">
      <c r="A3725">
        <f>IFERROR(__xludf.DUMMYFUNCTION("""COMPUTED_VALUE"""),9.0)</f>
        <v>9</v>
      </c>
      <c r="B3725" s="406">
        <f>IFERROR(__xludf.DUMMYFUNCTION("""COMPUTED_VALUE"""),29099.0)</f>
        <v>29099</v>
      </c>
      <c r="C3725" t="str">
        <f>IFERROR(__xludf.DUMMYFUNCTION("""COMPUTED_VALUE"""),"RESTREPO RESTREPO, MATIAS")</f>
        <v>RESTREPO RESTREPO, MATIAS</v>
      </c>
      <c r="D3725" t="str">
        <f>IFERROR(__xludf.DUMMYFUNCTION("""COMPUTED_VALUE"""),"Sculpture I")</f>
        <v>Sculpture I</v>
      </c>
      <c r="E3725" s="3">
        <f>IFERROR(__xludf.DUMMYFUNCTION("""COMPUTED_VALUE"""),4.0)</f>
        <v>4</v>
      </c>
      <c r="F3725" s="300">
        <v>1.0</v>
      </c>
      <c r="G3725" s="300">
        <v>1.0</v>
      </c>
      <c r="H3725" s="300">
        <v>1.0</v>
      </c>
      <c r="I3725" s="300">
        <v>1.0</v>
      </c>
      <c r="J3725" s="300">
        <v>1.0</v>
      </c>
      <c r="K3725" s="300">
        <v>1.0</v>
      </c>
      <c r="L3725" s="300">
        <v>1.0</v>
      </c>
      <c r="M3725" s="300">
        <v>1.0</v>
      </c>
      <c r="N3725" s="300">
        <v>8.0</v>
      </c>
      <c r="O3725" s="300" t="s">
        <v>989</v>
      </c>
      <c r="P3725" s="300">
        <v>2.0</v>
      </c>
    </row>
    <row r="3726">
      <c r="A3726">
        <f>IFERROR(__xludf.DUMMYFUNCTION("""COMPUTED_VALUE"""),9.0)</f>
        <v>9</v>
      </c>
      <c r="B3726" s="406">
        <f>IFERROR(__xludf.DUMMYFUNCTION("""COMPUTED_VALUE"""),29087.0)</f>
        <v>29087</v>
      </c>
      <c r="C3726" t="str">
        <f>IFERROR(__xludf.DUMMYFUNCTION("""COMPUTED_VALUE"""),"PALACIO BOTERO, MATIAS")</f>
        <v>PALACIO BOTERO, MATIAS</v>
      </c>
      <c r="D3726" t="str">
        <f>IFERROR(__xludf.DUMMYFUNCTION("""COMPUTED_VALUE"""),"Drawing I")</f>
        <v>Drawing I</v>
      </c>
      <c r="E3726" s="3">
        <f>IFERROR(__xludf.DUMMYFUNCTION("""COMPUTED_VALUE"""),3.0)</f>
        <v>3</v>
      </c>
      <c r="F3726" s="300">
        <v>1.0</v>
      </c>
      <c r="G3726" s="300">
        <v>1.0</v>
      </c>
      <c r="H3726" s="300">
        <v>1.0</v>
      </c>
      <c r="I3726" s="300">
        <v>1.0</v>
      </c>
      <c r="J3726" s="300">
        <v>1.0</v>
      </c>
      <c r="K3726" s="300">
        <v>1.0</v>
      </c>
      <c r="L3726" s="300">
        <v>1.0</v>
      </c>
      <c r="M3726" s="300">
        <v>1.0</v>
      </c>
      <c r="N3726" s="300">
        <v>8.0</v>
      </c>
      <c r="O3726" s="300" t="s">
        <v>938</v>
      </c>
      <c r="P3726" s="300">
        <v>2.0</v>
      </c>
    </row>
    <row r="3727">
      <c r="A3727">
        <f>IFERROR(__xludf.DUMMYFUNCTION("""COMPUTED_VALUE"""),9.0)</f>
        <v>9</v>
      </c>
      <c r="B3727" s="406">
        <f>IFERROR(__xludf.DUMMYFUNCTION("""COMPUTED_VALUE"""),28087.0)</f>
        <v>28087</v>
      </c>
      <c r="C3727" t="str">
        <f>IFERROR(__xludf.DUMMYFUNCTION("""COMPUTED_VALUE"""),"QUINTERO HENAO, MATEO")</f>
        <v>QUINTERO HENAO, MATEO</v>
      </c>
      <c r="D3727" t="str">
        <f>IFERROR(__xludf.DUMMYFUNCTION("""COMPUTED_VALUE"""),"Band Level I")</f>
        <v>Band Level I</v>
      </c>
      <c r="E3727" s="3">
        <f>IFERROR(__xludf.DUMMYFUNCTION("""COMPUTED_VALUE"""),3.0)</f>
        <v>3</v>
      </c>
      <c r="F3727" s="300">
        <v>1.0</v>
      </c>
      <c r="G3727" s="300">
        <v>1.0</v>
      </c>
      <c r="H3727" s="300">
        <v>1.0</v>
      </c>
      <c r="I3727" s="300">
        <v>1.0</v>
      </c>
      <c r="J3727" s="300">
        <v>1.0</v>
      </c>
      <c r="K3727" s="300">
        <v>1.0</v>
      </c>
      <c r="L3727" s="300">
        <v>1.0</v>
      </c>
      <c r="M3727" s="300">
        <v>1.0</v>
      </c>
      <c r="N3727" s="300">
        <v>8.0</v>
      </c>
      <c r="O3727" s="300" t="s">
        <v>990</v>
      </c>
      <c r="P3727" s="300">
        <v>4.0</v>
      </c>
    </row>
    <row r="3728">
      <c r="A3728">
        <f>IFERROR(__xludf.DUMMYFUNCTION("""COMPUTED_VALUE"""),9.0)</f>
        <v>9</v>
      </c>
      <c r="B3728" s="406">
        <f>IFERROR(__xludf.DUMMYFUNCTION("""COMPUTED_VALUE"""),29133.0)</f>
        <v>29133</v>
      </c>
      <c r="C3728" t="str">
        <f>IFERROR(__xludf.DUMMYFUNCTION("""COMPUTED_VALUE"""),"ZAPATA URIBE, RAFAEL")</f>
        <v>ZAPATA URIBE, RAFAEL</v>
      </c>
      <c r="D3728" t="str">
        <f>IFERROR(__xludf.DUMMYFUNCTION("""COMPUTED_VALUE"""),"Band Level I")</f>
        <v>Band Level I</v>
      </c>
      <c r="E3728" s="3">
        <f>IFERROR(__xludf.DUMMYFUNCTION("""COMPUTED_VALUE"""),3.0)</f>
        <v>3</v>
      </c>
      <c r="F3728" s="300">
        <v>1.0</v>
      </c>
      <c r="G3728" s="300">
        <v>1.0</v>
      </c>
      <c r="H3728" s="300">
        <v>1.0</v>
      </c>
      <c r="I3728" s="300">
        <v>1.0</v>
      </c>
      <c r="J3728" s="300">
        <v>1.0</v>
      </c>
      <c r="K3728" s="300">
        <v>1.0</v>
      </c>
      <c r="L3728" s="300">
        <v>1.0</v>
      </c>
      <c r="M3728" s="300">
        <v>1.0</v>
      </c>
      <c r="N3728" s="300">
        <v>8.0</v>
      </c>
      <c r="O3728" s="300" t="s">
        <v>990</v>
      </c>
      <c r="P3728" s="300">
        <v>4.0</v>
      </c>
    </row>
    <row r="3729">
      <c r="A3729">
        <f>IFERROR(__xludf.DUMMYFUNCTION("""COMPUTED_VALUE"""),9.0)</f>
        <v>9</v>
      </c>
      <c r="B3729" s="406">
        <f>IFERROR(__xludf.DUMMYFUNCTION("""COMPUTED_VALUE"""),29059.0)</f>
        <v>29059</v>
      </c>
      <c r="C3729" t="str">
        <f>IFERROR(__xludf.DUMMYFUNCTION("""COMPUTED_VALUE"""),"JARAMILLO GONZALEZ, PASCUAL")</f>
        <v>JARAMILLO GONZALEZ, PASCUAL</v>
      </c>
      <c r="D3729" t="str">
        <f>IFERROR(__xludf.DUMMYFUNCTION("""COMPUTED_VALUE"""),"Sculpture I")</f>
        <v>Sculpture I</v>
      </c>
      <c r="E3729" s="3">
        <f>IFERROR(__xludf.DUMMYFUNCTION("""COMPUTED_VALUE"""),3.0)</f>
        <v>3</v>
      </c>
      <c r="F3729" s="300">
        <v>1.0</v>
      </c>
      <c r="G3729" s="300">
        <v>1.0</v>
      </c>
      <c r="H3729" s="300">
        <v>1.0</v>
      </c>
      <c r="I3729" s="300">
        <v>1.0</v>
      </c>
      <c r="J3729" s="300">
        <v>1.0</v>
      </c>
      <c r="K3729" s="300">
        <v>1.0</v>
      </c>
      <c r="L3729" s="300">
        <v>1.0</v>
      </c>
      <c r="M3729" s="300">
        <v>1.0</v>
      </c>
      <c r="N3729" s="300">
        <v>8.0</v>
      </c>
      <c r="O3729" s="300" t="s">
        <v>947</v>
      </c>
      <c r="P3729" s="300">
        <v>2.0</v>
      </c>
    </row>
    <row r="3730">
      <c r="A3730">
        <f>IFERROR(__xludf.DUMMYFUNCTION("""COMPUTED_VALUE"""),9.0)</f>
        <v>9</v>
      </c>
      <c r="B3730" s="406">
        <f>IFERROR(__xludf.DUMMYFUNCTION("""COMPUTED_VALUE"""),29050.0)</f>
        <v>29050</v>
      </c>
      <c r="C3730" t="str">
        <f>IFERROR(__xludf.DUMMYFUNCTION("""COMPUTED_VALUE"""),"HINESTROSA SIERRA, PEDRO")</f>
        <v>HINESTROSA SIERRA, PEDRO</v>
      </c>
      <c r="D3730" t="str">
        <f>IFERROR(__xludf.DUMMYFUNCTION("""COMPUTED_VALUE"""),"Painting I")</f>
        <v>Painting I</v>
      </c>
      <c r="E3730" s="3">
        <f>IFERROR(__xludf.DUMMYFUNCTION("""COMPUTED_VALUE"""),7.0)</f>
        <v>7</v>
      </c>
      <c r="F3730" s="300">
        <v>1.0</v>
      </c>
      <c r="G3730" s="300">
        <v>1.0</v>
      </c>
      <c r="H3730" s="300">
        <v>1.0</v>
      </c>
      <c r="I3730" s="300">
        <v>1.0</v>
      </c>
      <c r="J3730" s="300">
        <v>1.0</v>
      </c>
      <c r="K3730" s="300">
        <v>1.0</v>
      </c>
      <c r="L3730" s="300">
        <v>1.0</v>
      </c>
      <c r="M3730" s="300">
        <v>1.0</v>
      </c>
      <c r="N3730" s="300">
        <v>8.0</v>
      </c>
      <c r="O3730" s="300" t="s">
        <v>934</v>
      </c>
      <c r="P3730" s="300">
        <v>4.0</v>
      </c>
    </row>
    <row r="3731">
      <c r="A3731">
        <f>IFERROR(__xludf.DUMMYFUNCTION("""COMPUTED_VALUE"""),9.0)</f>
        <v>9</v>
      </c>
      <c r="B3731" s="406">
        <f>IFERROR(__xludf.DUMMYFUNCTION("""COMPUTED_VALUE"""),29068.0)</f>
        <v>29068</v>
      </c>
      <c r="C3731" t="str">
        <f>IFERROR(__xludf.DUMMYFUNCTION("""COMPUTED_VALUE"""),"LOPEZ JAIMES, VICENTE")</f>
        <v>LOPEZ JAIMES, VICENTE</v>
      </c>
      <c r="D3731" t="str">
        <f>IFERROR(__xludf.DUMMYFUNCTION("""COMPUTED_VALUE"""),"Sculpture I")</f>
        <v>Sculpture I</v>
      </c>
      <c r="E3731" s="3">
        <f>IFERROR(__xludf.DUMMYFUNCTION("""COMPUTED_VALUE"""),4.0)</f>
        <v>4</v>
      </c>
      <c r="F3731" s="300">
        <v>1.0</v>
      </c>
      <c r="G3731" s="300">
        <v>1.0</v>
      </c>
      <c r="H3731" s="300">
        <v>1.0</v>
      </c>
      <c r="I3731" s="300">
        <v>1.0</v>
      </c>
      <c r="J3731" s="300">
        <v>1.0</v>
      </c>
      <c r="K3731" s="300">
        <v>1.0</v>
      </c>
      <c r="L3731" s="300">
        <v>1.0</v>
      </c>
      <c r="M3731" s="300">
        <v>1.0</v>
      </c>
      <c r="N3731" s="300">
        <v>8.0</v>
      </c>
      <c r="O3731" s="300" t="s">
        <v>989</v>
      </c>
      <c r="P3731" s="300">
        <v>2.0</v>
      </c>
    </row>
    <row r="3732">
      <c r="A3732">
        <f>IFERROR(__xludf.DUMMYFUNCTION("""COMPUTED_VALUE"""),9.0)</f>
        <v>9</v>
      </c>
      <c r="B3732" s="406">
        <f>IFERROR(__xludf.DUMMYFUNCTION("""COMPUTED_VALUE"""),29136.0)</f>
        <v>29136</v>
      </c>
      <c r="C3732" t="str">
        <f>IFERROR(__xludf.DUMMYFUNCTION("""COMPUTED_VALUE"""),"CHOPRA, HARSHUL")</f>
        <v>CHOPRA, HARSHUL</v>
      </c>
      <c r="D3732" t="str">
        <f>IFERROR(__xludf.DUMMYFUNCTION("""COMPUTED_VALUE"""),"Band Level I")</f>
        <v>Band Level I</v>
      </c>
      <c r="E3732" s="3">
        <f>IFERROR(__xludf.DUMMYFUNCTION("""COMPUTED_VALUE"""),4.0)</f>
        <v>4</v>
      </c>
      <c r="F3732" s="300">
        <v>1.0</v>
      </c>
      <c r="G3732" s="300">
        <v>1.0</v>
      </c>
      <c r="H3732" s="300">
        <v>1.0</v>
      </c>
      <c r="I3732" s="300">
        <v>1.0</v>
      </c>
      <c r="J3732" s="300">
        <v>1.0</v>
      </c>
      <c r="K3732" s="300">
        <v>1.0</v>
      </c>
      <c r="L3732" s="300">
        <v>1.0</v>
      </c>
      <c r="M3732" s="300">
        <v>1.0</v>
      </c>
      <c r="N3732" s="300">
        <v>8.0</v>
      </c>
      <c r="O3732" s="300" t="s">
        <v>937</v>
      </c>
      <c r="P3732" s="300">
        <v>4.0</v>
      </c>
    </row>
    <row r="3733">
      <c r="A3733">
        <f>IFERROR(__xludf.DUMMYFUNCTION("""COMPUTED_VALUE"""),9.0)</f>
        <v>9</v>
      </c>
      <c r="B3733" s="406">
        <f>IFERROR(__xludf.DUMMYFUNCTION("""COMPUTED_VALUE"""),28160.0)</f>
        <v>28160</v>
      </c>
      <c r="C3733" t="str">
        <f>IFERROR(__xludf.DUMMYFUNCTION("""COMPUTED_VALUE"""),"ROJAS REYES, JERONIMO")</f>
        <v>ROJAS REYES, JERONIMO</v>
      </c>
      <c r="D3733" t="str">
        <f>IFERROR(__xludf.DUMMYFUNCTION("""COMPUTED_VALUE"""),"Band Level I")</f>
        <v>Band Level I</v>
      </c>
      <c r="E3733" s="3">
        <f>IFERROR(__xludf.DUMMYFUNCTION("""COMPUTED_VALUE"""),7.0)</f>
        <v>7</v>
      </c>
      <c r="F3733" s="300">
        <v>1.0</v>
      </c>
      <c r="G3733" s="300">
        <v>1.0</v>
      </c>
      <c r="H3733" s="300">
        <v>1.0</v>
      </c>
      <c r="I3733" s="300">
        <v>1.0</v>
      </c>
      <c r="J3733" s="300">
        <v>1.0</v>
      </c>
      <c r="K3733" s="300">
        <v>1.0</v>
      </c>
      <c r="L3733" s="300">
        <v>1.0</v>
      </c>
      <c r="M3733" s="300">
        <v>1.0</v>
      </c>
      <c r="N3733" s="300">
        <v>8.0</v>
      </c>
      <c r="O3733" s="300" t="s">
        <v>936</v>
      </c>
      <c r="P3733" s="300">
        <v>4.0</v>
      </c>
    </row>
    <row r="3734">
      <c r="A3734">
        <f>IFERROR(__xludf.DUMMYFUNCTION("""COMPUTED_VALUE"""),9.0)</f>
        <v>9</v>
      </c>
      <c r="B3734" s="406">
        <f>IFERROR(__xludf.DUMMYFUNCTION("""COMPUTED_VALUE"""),28046.0)</f>
        <v>28046</v>
      </c>
      <c r="C3734" t="str">
        <f>IFERROR(__xludf.DUMMYFUNCTION("""COMPUTED_VALUE"""),"HOYOS SARAVIA, TOMAS")</f>
        <v>HOYOS SARAVIA, TOMAS</v>
      </c>
      <c r="D3734" t="str">
        <f>IFERROR(__xludf.DUMMYFUNCTION("""COMPUTED_VALUE"""),"Band Level I")</f>
        <v>Band Level I</v>
      </c>
      <c r="E3734" s="3">
        <f>IFERROR(__xludf.DUMMYFUNCTION("""COMPUTED_VALUE"""),3.0)</f>
        <v>3</v>
      </c>
      <c r="F3734" s="300">
        <v>1.0</v>
      </c>
      <c r="G3734" s="300">
        <v>1.0</v>
      </c>
      <c r="H3734" s="300">
        <v>1.0</v>
      </c>
      <c r="I3734" s="300">
        <v>1.0</v>
      </c>
      <c r="J3734" s="300">
        <v>1.0</v>
      </c>
      <c r="K3734" s="300">
        <v>1.0</v>
      </c>
      <c r="L3734" s="300">
        <v>1.0</v>
      </c>
      <c r="M3734" s="300">
        <v>1.0</v>
      </c>
      <c r="N3734" s="300">
        <v>8.0</v>
      </c>
      <c r="O3734" s="300" t="s">
        <v>990</v>
      </c>
      <c r="P3734" s="300">
        <v>4.0</v>
      </c>
    </row>
    <row r="3735">
      <c r="A3735">
        <f>IFERROR(__xludf.DUMMYFUNCTION("""COMPUTED_VALUE"""),9.0)</f>
        <v>9</v>
      </c>
      <c r="B3735" s="406">
        <f>IFERROR(__xludf.DUMMYFUNCTION("""COMPUTED_VALUE"""),29039.0)</f>
        <v>29039</v>
      </c>
      <c r="C3735" t="str">
        <f>IFERROR(__xludf.DUMMYFUNCTION("""COMPUTED_VALUE"""),"ESPINOSA ABAD, GREGORIO")</f>
        <v>ESPINOSA ABAD, GREGORIO</v>
      </c>
      <c r="D3735" t="str">
        <f>IFERROR(__xludf.DUMMYFUNCTION("""COMPUTED_VALUE"""),"Sculpture I")</f>
        <v>Sculpture I</v>
      </c>
      <c r="E3735" s="3">
        <f>IFERROR(__xludf.DUMMYFUNCTION("""COMPUTED_VALUE"""),4.0)</f>
        <v>4</v>
      </c>
      <c r="F3735" s="300">
        <v>1.0</v>
      </c>
      <c r="G3735" s="300">
        <v>1.0</v>
      </c>
      <c r="H3735" s="300">
        <v>1.0</v>
      </c>
      <c r="I3735" s="300">
        <v>1.0</v>
      </c>
      <c r="J3735" s="300">
        <v>1.0</v>
      </c>
      <c r="K3735" s="300">
        <v>1.0</v>
      </c>
      <c r="L3735" s="300">
        <v>1.0</v>
      </c>
      <c r="M3735" s="300">
        <v>1.0</v>
      </c>
      <c r="N3735" s="300">
        <v>8.0</v>
      </c>
      <c r="O3735" s="300" t="s">
        <v>989</v>
      </c>
      <c r="P3735" s="300">
        <v>2.0</v>
      </c>
    </row>
    <row r="3736">
      <c r="A3736">
        <f>IFERROR(__xludf.DUMMYFUNCTION("""COMPUTED_VALUE"""),9.0)</f>
        <v>9</v>
      </c>
      <c r="B3736" s="406">
        <f>IFERROR(__xludf.DUMMYFUNCTION("""COMPUTED_VALUE"""),29116.0)</f>
        <v>29116</v>
      </c>
      <c r="C3736" t="str">
        <f>IFERROR(__xludf.DUMMYFUNCTION("""COMPUTED_VALUE"""),"TOBAR MEJIA, CAMILO")</f>
        <v>TOBAR MEJIA, CAMILO</v>
      </c>
      <c r="D3736" t="str">
        <f>IFERROR(__xludf.DUMMYFUNCTION("""COMPUTED_VALUE"""),"Band Level I")</f>
        <v>Band Level I</v>
      </c>
      <c r="E3736" s="3">
        <f>IFERROR(__xludf.DUMMYFUNCTION("""COMPUTED_VALUE"""),7.0)</f>
        <v>7</v>
      </c>
      <c r="F3736" s="300">
        <v>1.0</v>
      </c>
      <c r="G3736" s="300">
        <v>1.0</v>
      </c>
      <c r="H3736" s="300">
        <v>1.0</v>
      </c>
      <c r="I3736" s="300">
        <v>1.0</v>
      </c>
      <c r="J3736" s="300">
        <v>1.0</v>
      </c>
      <c r="K3736" s="300">
        <v>1.0</v>
      </c>
      <c r="L3736" s="300">
        <v>1.0</v>
      </c>
      <c r="M3736" s="300">
        <v>1.0</v>
      </c>
      <c r="N3736" s="300">
        <v>8.0</v>
      </c>
      <c r="O3736" s="300" t="s">
        <v>936</v>
      </c>
      <c r="P3736" s="300">
        <v>4.0</v>
      </c>
    </row>
    <row r="3737">
      <c r="A3737">
        <f>IFERROR(__xludf.DUMMYFUNCTION("""COMPUTED_VALUE"""),9.0)</f>
        <v>9</v>
      </c>
      <c r="B3737" s="406">
        <f>IFERROR(__xludf.DUMMYFUNCTION("""COMPUTED_VALUE"""),29137.0)</f>
        <v>29137</v>
      </c>
      <c r="C3737" t="str">
        <f>IFERROR(__xludf.DUMMYFUNCTION("""COMPUTED_VALUE"""),"OLARTE JARAMILLO, EMILIO")</f>
        <v>OLARTE JARAMILLO, EMILIO</v>
      </c>
      <c r="D3737" t="str">
        <f>IFERROR(__xludf.DUMMYFUNCTION("""COMPUTED_VALUE"""),"Band Level I")</f>
        <v>Band Level I</v>
      </c>
      <c r="E3737" s="3">
        <f>IFERROR(__xludf.DUMMYFUNCTION("""COMPUTED_VALUE"""),3.0)</f>
        <v>3</v>
      </c>
      <c r="F3737" s="300">
        <v>1.0</v>
      </c>
      <c r="G3737" s="300">
        <v>1.0</v>
      </c>
      <c r="H3737" s="300">
        <v>1.0</v>
      </c>
      <c r="I3737" s="300">
        <v>1.0</v>
      </c>
      <c r="J3737" s="300">
        <v>1.0</v>
      </c>
      <c r="K3737" s="300">
        <v>1.0</v>
      </c>
      <c r="L3737" s="300">
        <v>1.0</v>
      </c>
      <c r="M3737" s="300">
        <v>1.0</v>
      </c>
      <c r="N3737" s="300">
        <v>8.0</v>
      </c>
      <c r="O3737" s="300" t="s">
        <v>990</v>
      </c>
      <c r="P3737" s="300">
        <v>4.0</v>
      </c>
    </row>
    <row r="3738">
      <c r="A3738">
        <f>IFERROR(__xludf.DUMMYFUNCTION("""COMPUTED_VALUE"""),9.0)</f>
        <v>9</v>
      </c>
      <c r="B3738" s="406">
        <f>IFERROR(__xludf.DUMMYFUNCTION("""COMPUTED_VALUE"""),29172.0)</f>
        <v>29172</v>
      </c>
      <c r="C3738" t="str">
        <f>IFERROR(__xludf.DUMMYFUNCTION("""COMPUTED_VALUE"""),"CESPEDES GARCIA, PABLO")</f>
        <v>CESPEDES GARCIA, PABLO</v>
      </c>
      <c r="D3738" t="str">
        <f>IFERROR(__xludf.DUMMYFUNCTION("""COMPUTED_VALUE"""),"Band Level I")</f>
        <v>Band Level I</v>
      </c>
      <c r="E3738" s="3">
        <f>IFERROR(__xludf.DUMMYFUNCTION("""COMPUTED_VALUE"""),3.0)</f>
        <v>3</v>
      </c>
      <c r="F3738" s="300">
        <v>1.0</v>
      </c>
      <c r="G3738" s="300">
        <v>1.0</v>
      </c>
      <c r="H3738" s="300">
        <v>1.0</v>
      </c>
      <c r="I3738" s="300">
        <v>1.0</v>
      </c>
      <c r="J3738" s="300">
        <v>1.0</v>
      </c>
      <c r="K3738" s="300">
        <v>1.0</v>
      </c>
      <c r="L3738" s="300">
        <v>1.0</v>
      </c>
      <c r="M3738" s="300">
        <v>1.0</v>
      </c>
      <c r="N3738" s="300">
        <v>8.0</v>
      </c>
      <c r="O3738" s="300" t="s">
        <v>990</v>
      </c>
      <c r="P3738" s="300">
        <v>4.0</v>
      </c>
    </row>
    <row r="3739">
      <c r="A3739">
        <f>IFERROR(__xludf.DUMMYFUNCTION("""COMPUTED_VALUE"""),9.0)</f>
        <v>9</v>
      </c>
      <c r="B3739" s="406">
        <f>IFERROR(__xludf.DUMMYFUNCTION("""COMPUTED_VALUE"""),29020.0)</f>
        <v>29020</v>
      </c>
      <c r="C3739" t="str">
        <f>IFERROR(__xludf.DUMMYFUNCTION("""COMPUTED_VALUE"""),"BETANCOURT QUINTERO, LUCAS")</f>
        <v>BETANCOURT QUINTERO, LUCAS</v>
      </c>
      <c r="D3739" t="str">
        <f>IFERROR(__xludf.DUMMYFUNCTION("""COMPUTED_VALUE"""),"Band Level II")</f>
        <v>Band Level II</v>
      </c>
      <c r="E3739" s="3">
        <f>IFERROR(__xludf.DUMMYFUNCTION("""COMPUTED_VALUE"""),6.0)</f>
        <v>6</v>
      </c>
      <c r="F3739" s="300">
        <v>1.0</v>
      </c>
      <c r="G3739" s="300">
        <v>1.0</v>
      </c>
      <c r="H3739" s="300">
        <v>1.0</v>
      </c>
      <c r="I3739" s="300">
        <v>1.0</v>
      </c>
      <c r="J3739" s="300">
        <v>1.0</v>
      </c>
      <c r="K3739" s="300">
        <v>1.0</v>
      </c>
      <c r="L3739" s="300">
        <v>1.0</v>
      </c>
      <c r="M3739" s="300">
        <v>1.0</v>
      </c>
      <c r="N3739" s="300">
        <v>8.0</v>
      </c>
      <c r="O3739" s="300" t="s">
        <v>942</v>
      </c>
      <c r="P3739" s="300">
        <v>2.0</v>
      </c>
    </row>
    <row r="3740">
      <c r="A3740">
        <f>IFERROR(__xludf.DUMMYFUNCTION("""COMPUTED_VALUE"""),9.0)</f>
        <v>9</v>
      </c>
      <c r="B3740" s="406">
        <f>IFERROR(__xludf.DUMMYFUNCTION("""COMPUTED_VALUE"""),29069.0)</f>
        <v>29069</v>
      </c>
      <c r="C3740" t="str">
        <f>IFERROR(__xludf.DUMMYFUNCTION("""COMPUTED_VALUE"""),"LUNA ALZATE, AMALIA")</f>
        <v>LUNA ALZATE, AMALIA</v>
      </c>
      <c r="D3740" t="str">
        <f>IFERROR(__xludf.DUMMYFUNCTION("""COMPUTED_VALUE"""),"Painting I")</f>
        <v>Painting I</v>
      </c>
      <c r="E3740" s="3">
        <f>IFERROR(__xludf.DUMMYFUNCTION("""COMPUTED_VALUE"""),5.0)</f>
        <v>5</v>
      </c>
      <c r="F3740" s="300">
        <v>1.0</v>
      </c>
      <c r="G3740" s="300">
        <v>1.0</v>
      </c>
      <c r="H3740" s="300">
        <v>1.0</v>
      </c>
      <c r="I3740" s="300">
        <v>1.0</v>
      </c>
      <c r="J3740" s="300">
        <v>1.0</v>
      </c>
      <c r="K3740" s="300">
        <v>1.0</v>
      </c>
      <c r="L3740" s="300">
        <v>1.0</v>
      </c>
      <c r="M3740" s="300">
        <v>1.0</v>
      </c>
      <c r="N3740" s="300">
        <v>8.0</v>
      </c>
      <c r="O3740" s="300" t="s">
        <v>945</v>
      </c>
      <c r="P3740" s="300">
        <v>4.0</v>
      </c>
    </row>
    <row r="3741">
      <c r="A3741">
        <f>IFERROR(__xludf.DUMMYFUNCTION("""COMPUTED_VALUE"""),9.0)</f>
        <v>9</v>
      </c>
      <c r="B3741" s="406">
        <f>IFERROR(__xludf.DUMMYFUNCTION("""COMPUTED_VALUE"""),29160.0)</f>
        <v>29160</v>
      </c>
      <c r="C3741" t="str">
        <f>IFERROR(__xludf.DUMMYFUNCTION("""COMPUTED_VALUE"""),"BARRIOS CASTILLO, NICOLAS GUILLERMO")</f>
        <v>BARRIOS CASTILLO, NICOLAS GUILLERMO</v>
      </c>
      <c r="D3741" t="str">
        <f>IFERROR(__xludf.DUMMYFUNCTION("""COMPUTED_VALUE"""),"Drawing I")</f>
        <v>Drawing I</v>
      </c>
      <c r="E3741" s="3">
        <f>IFERROR(__xludf.DUMMYFUNCTION("""COMPUTED_VALUE"""),3.0)</f>
        <v>3</v>
      </c>
      <c r="F3741" s="300">
        <v>1.0</v>
      </c>
      <c r="G3741" s="300">
        <v>1.0</v>
      </c>
      <c r="H3741" s="300">
        <v>1.0</v>
      </c>
      <c r="I3741" s="300">
        <v>1.0</v>
      </c>
      <c r="J3741" s="300">
        <v>1.0</v>
      </c>
      <c r="K3741" s="300">
        <v>1.0</v>
      </c>
      <c r="L3741" s="300">
        <v>1.0</v>
      </c>
      <c r="M3741" s="300">
        <v>1.0</v>
      </c>
      <c r="N3741" s="300">
        <v>8.0</v>
      </c>
      <c r="O3741" s="300" t="s">
        <v>938</v>
      </c>
      <c r="P3741" s="300">
        <v>2.0</v>
      </c>
    </row>
    <row r="3742">
      <c r="A3742">
        <f>IFERROR(__xludf.DUMMYFUNCTION("""COMPUTED_VALUE"""),9.0)</f>
        <v>9</v>
      </c>
      <c r="B3742" s="406">
        <f>IFERROR(__xludf.DUMMYFUNCTION("""COMPUTED_VALUE"""),29155.0)</f>
        <v>29155</v>
      </c>
      <c r="C3742" t="str">
        <f>IFERROR(__xludf.DUMMYFUNCTION("""COMPUTED_VALUE"""),"FERNANDEZ CALDERON, HANNA")</f>
        <v>FERNANDEZ CALDERON, HANNA</v>
      </c>
      <c r="D3742" t="str">
        <f>IFERROR(__xludf.DUMMYFUNCTION("""COMPUTED_VALUE"""),"Sculpture I")</f>
        <v>Sculpture I</v>
      </c>
      <c r="E3742" s="3">
        <f>IFERROR(__xludf.DUMMYFUNCTION("""COMPUTED_VALUE"""),4.0)</f>
        <v>4</v>
      </c>
      <c r="F3742" s="300">
        <v>1.0</v>
      </c>
      <c r="G3742" s="300">
        <v>1.0</v>
      </c>
      <c r="H3742" s="300">
        <v>1.0</v>
      </c>
      <c r="I3742" s="300">
        <v>1.0</v>
      </c>
      <c r="J3742" s="300">
        <v>1.0</v>
      </c>
      <c r="K3742" s="300">
        <v>1.0</v>
      </c>
      <c r="L3742" s="300">
        <v>1.0</v>
      </c>
      <c r="M3742" s="300">
        <v>1.0</v>
      </c>
      <c r="N3742" s="300">
        <v>8.0</v>
      </c>
      <c r="O3742" s="300" t="s">
        <v>989</v>
      </c>
      <c r="P3742" s="300">
        <v>2.0</v>
      </c>
    </row>
    <row r="3743">
      <c r="A3743">
        <f>IFERROR(__xludf.DUMMYFUNCTION("""COMPUTED_VALUE"""),9.0)</f>
        <v>9</v>
      </c>
      <c r="B3743" s="406">
        <f>IFERROR(__xludf.DUMMYFUNCTION("""COMPUTED_VALUE"""),29153.0)</f>
        <v>29153</v>
      </c>
      <c r="C3743" t="str">
        <f>IFERROR(__xludf.DUMMYFUNCTION("""COMPUTED_VALUE"""),"MISERENDINO MUÑOZ, GABRIEL")</f>
        <v>MISERENDINO MUÑOZ, GABRIEL</v>
      </c>
      <c r="D3743" t="str">
        <f>IFERROR(__xludf.DUMMYFUNCTION("""COMPUTED_VALUE"""),"Drawing I")</f>
        <v>Drawing I</v>
      </c>
      <c r="E3743" s="3">
        <f>IFERROR(__xludf.DUMMYFUNCTION("""COMPUTED_VALUE"""),3.0)</f>
        <v>3</v>
      </c>
      <c r="F3743" s="300">
        <v>1.0</v>
      </c>
      <c r="G3743" s="300">
        <v>1.0</v>
      </c>
      <c r="H3743" s="300">
        <v>1.0</v>
      </c>
      <c r="I3743" s="300">
        <v>1.0</v>
      </c>
      <c r="J3743" s="300">
        <v>1.0</v>
      </c>
      <c r="K3743" s="300">
        <v>1.0</v>
      </c>
      <c r="L3743" s="300">
        <v>1.0</v>
      </c>
      <c r="M3743" s="300">
        <v>1.0</v>
      </c>
      <c r="N3743" s="300">
        <v>8.0</v>
      </c>
      <c r="O3743" s="300" t="s">
        <v>938</v>
      </c>
      <c r="P3743" s="300">
        <v>2.0</v>
      </c>
    </row>
    <row r="3744">
      <c r="A3744">
        <f>IFERROR(__xludf.DUMMYFUNCTION("""COMPUTED_VALUE"""),9.0)</f>
        <v>9</v>
      </c>
      <c r="B3744" s="406">
        <f>IFERROR(__xludf.DUMMYFUNCTION("""COMPUTED_VALUE"""),29030.0)</f>
        <v>29030</v>
      </c>
      <c r="C3744" t="str">
        <f>IFERROR(__xludf.DUMMYFUNCTION("""COMPUTED_VALUE"""),"COCK ECHEVERRI, JULIETA")</f>
        <v>COCK ECHEVERRI, JULIETA</v>
      </c>
      <c r="D3744" t="str">
        <f>IFERROR(__xludf.DUMMYFUNCTION("""COMPUTED_VALUE"""),"Band Level I")</f>
        <v>Band Level I</v>
      </c>
      <c r="E3744" s="3">
        <f>IFERROR(__xludf.DUMMYFUNCTION("""COMPUTED_VALUE"""),7.0)</f>
        <v>7</v>
      </c>
      <c r="F3744" s="300">
        <v>1.0</v>
      </c>
      <c r="G3744" s="300">
        <v>1.0</v>
      </c>
      <c r="H3744" s="300">
        <v>1.0</v>
      </c>
      <c r="I3744" s="300">
        <v>1.0</v>
      </c>
      <c r="J3744" s="300">
        <v>1.0</v>
      </c>
      <c r="K3744" s="300">
        <v>1.0</v>
      </c>
      <c r="L3744" s="300">
        <v>1.0</v>
      </c>
      <c r="M3744" s="300">
        <v>1.0</v>
      </c>
      <c r="N3744" s="300">
        <v>8.0</v>
      </c>
      <c r="O3744" s="300" t="s">
        <v>936</v>
      </c>
      <c r="P3744" s="300">
        <v>4.0</v>
      </c>
    </row>
    <row r="3745">
      <c r="A3745">
        <f>IFERROR(__xludf.DUMMYFUNCTION("""COMPUTED_VALUE"""),9.0)</f>
        <v>9</v>
      </c>
      <c r="B3745" s="406">
        <f>IFERROR(__xludf.DUMMYFUNCTION("""COMPUTED_VALUE"""),29108.0)</f>
        <v>29108</v>
      </c>
      <c r="C3745" t="str">
        <f>IFERROR(__xludf.DUMMYFUNCTION("""COMPUTED_VALUE"""),"SCHOBER OCAMPO, DANIEL")</f>
        <v>SCHOBER OCAMPO, DANIEL</v>
      </c>
      <c r="D3745" t="str">
        <f>IFERROR(__xludf.DUMMYFUNCTION("""COMPUTED_VALUE"""),"Drawing I")</f>
        <v>Drawing I</v>
      </c>
      <c r="E3745" s="3">
        <f>IFERROR(__xludf.DUMMYFUNCTION("""COMPUTED_VALUE"""),3.0)</f>
        <v>3</v>
      </c>
      <c r="F3745" s="300">
        <v>1.0</v>
      </c>
      <c r="G3745" s="300">
        <v>1.0</v>
      </c>
      <c r="H3745" s="300">
        <v>1.0</v>
      </c>
      <c r="I3745" s="300">
        <v>1.0</v>
      </c>
      <c r="J3745" s="300">
        <v>1.0</v>
      </c>
      <c r="K3745" s="300">
        <v>1.0</v>
      </c>
      <c r="L3745" s="300">
        <v>1.0</v>
      </c>
      <c r="M3745" s="300">
        <v>1.0</v>
      </c>
      <c r="N3745" s="300">
        <v>8.0</v>
      </c>
      <c r="O3745" s="300" t="s">
        <v>938</v>
      </c>
      <c r="P3745" s="300">
        <v>2.0</v>
      </c>
    </row>
    <row r="3746">
      <c r="A3746">
        <f>IFERROR(__xludf.DUMMYFUNCTION("""COMPUTED_VALUE"""),9.0)</f>
        <v>9</v>
      </c>
      <c r="B3746" s="406">
        <f>IFERROR(__xludf.DUMMYFUNCTION("""COMPUTED_VALUE"""),29062.0)</f>
        <v>29062</v>
      </c>
      <c r="C3746" t="str">
        <f>IFERROR(__xludf.DUMMYFUNCTION("""COMPUTED_VALUE"""),"KIM LEE, SAE YOON LUCAS")</f>
        <v>KIM LEE, SAE YOON LUCAS</v>
      </c>
      <c r="D3746" t="str">
        <f>IFERROR(__xludf.DUMMYFUNCTION("""COMPUTED_VALUE"""),"Sculpture I")</f>
        <v>Sculpture I</v>
      </c>
      <c r="E3746" s="3">
        <f>IFERROR(__xludf.DUMMYFUNCTION("""COMPUTED_VALUE"""),4.0)</f>
        <v>4</v>
      </c>
      <c r="F3746" s="300">
        <v>1.0</v>
      </c>
      <c r="G3746" s="300">
        <v>1.0</v>
      </c>
      <c r="H3746" s="300">
        <v>1.0</v>
      </c>
      <c r="I3746" s="300">
        <v>1.0</v>
      </c>
      <c r="J3746" s="300">
        <v>1.0</v>
      </c>
      <c r="K3746" s="300">
        <v>1.0</v>
      </c>
      <c r="L3746" s="300">
        <v>1.0</v>
      </c>
      <c r="M3746" s="300">
        <v>1.0</v>
      </c>
      <c r="N3746" s="300">
        <v>8.0</v>
      </c>
      <c r="O3746" s="300" t="s">
        <v>989</v>
      </c>
      <c r="P3746" s="300">
        <v>2.0</v>
      </c>
    </row>
    <row r="3747">
      <c r="A3747">
        <f>IFERROR(__xludf.DUMMYFUNCTION("""COMPUTED_VALUE"""),9.0)</f>
        <v>9</v>
      </c>
      <c r="B3747" s="406">
        <f>IFERROR(__xludf.DUMMYFUNCTION("""COMPUTED_VALUE"""),29115.0)</f>
        <v>29115</v>
      </c>
      <c r="C3747" t="str">
        <f>IFERROR(__xludf.DUMMYFUNCTION("""COMPUTED_VALUE"""),"TIRADO SANIN, ELENA")</f>
        <v>TIRADO SANIN, ELENA</v>
      </c>
      <c r="D3747" t="str">
        <f>IFERROR(__xludf.DUMMYFUNCTION("""COMPUTED_VALUE"""),"Sculpture I")</f>
        <v>Sculpture I</v>
      </c>
      <c r="E3747" s="3">
        <f>IFERROR(__xludf.DUMMYFUNCTION("""COMPUTED_VALUE"""),4.0)</f>
        <v>4</v>
      </c>
      <c r="F3747" s="300">
        <v>1.0</v>
      </c>
      <c r="G3747" s="300">
        <v>1.0</v>
      </c>
      <c r="H3747" s="300">
        <v>1.0</v>
      </c>
      <c r="I3747" s="300">
        <v>1.0</v>
      </c>
      <c r="J3747" s="300">
        <v>1.0</v>
      </c>
      <c r="K3747" s="300">
        <v>1.0</v>
      </c>
      <c r="L3747" s="300">
        <v>1.0</v>
      </c>
      <c r="M3747" s="300">
        <v>1.0</v>
      </c>
      <c r="N3747" s="300">
        <v>8.0</v>
      </c>
      <c r="O3747" s="300" t="s">
        <v>989</v>
      </c>
      <c r="P3747" s="300">
        <v>2.0</v>
      </c>
    </row>
    <row r="3748">
      <c r="A3748">
        <f>IFERROR(__xludf.DUMMYFUNCTION("""COMPUTED_VALUE"""),9.0)</f>
        <v>9</v>
      </c>
      <c r="B3748" s="406">
        <f>IFERROR(__xludf.DUMMYFUNCTION("""COMPUTED_VALUE"""),29018.0)</f>
        <v>29018</v>
      </c>
      <c r="C3748" t="str">
        <f>IFERROR(__xludf.DUMMYFUNCTION("""COMPUTED_VALUE"""),"BAENA GIRALDO, VIOLETA")</f>
        <v>BAENA GIRALDO, VIOLETA</v>
      </c>
      <c r="D3748" t="str">
        <f>IFERROR(__xludf.DUMMYFUNCTION("""COMPUTED_VALUE"""),"Sculpture I")</f>
        <v>Sculpture I</v>
      </c>
      <c r="E3748" s="3">
        <f>IFERROR(__xludf.DUMMYFUNCTION("""COMPUTED_VALUE"""),3.0)</f>
        <v>3</v>
      </c>
      <c r="F3748" s="300">
        <v>1.0</v>
      </c>
      <c r="G3748" s="300">
        <v>1.0</v>
      </c>
      <c r="H3748" s="300">
        <v>1.0</v>
      </c>
      <c r="I3748" s="300">
        <v>1.0</v>
      </c>
      <c r="J3748" s="300">
        <v>1.0</v>
      </c>
      <c r="K3748" s="300">
        <v>1.0</v>
      </c>
      <c r="L3748" s="300">
        <v>1.0</v>
      </c>
      <c r="M3748" s="300">
        <v>1.0</v>
      </c>
      <c r="N3748" s="300">
        <v>8.0</v>
      </c>
      <c r="O3748" s="300" t="s">
        <v>947</v>
      </c>
      <c r="P3748" s="300">
        <v>2.0</v>
      </c>
    </row>
    <row r="3749">
      <c r="A3749">
        <f>IFERROR(__xludf.DUMMYFUNCTION("""COMPUTED_VALUE"""),9.0)</f>
        <v>9</v>
      </c>
      <c r="B3749" s="406">
        <f>IFERROR(__xludf.DUMMYFUNCTION("""COMPUTED_VALUE"""),29122.0)</f>
        <v>29122</v>
      </c>
      <c r="C3749" t="str">
        <f>IFERROR(__xludf.DUMMYFUNCTION("""COMPUTED_VALUE"""),"URIBE RODRIGUEZ, MARIA LUISA")</f>
        <v>URIBE RODRIGUEZ, MARIA LUISA</v>
      </c>
      <c r="D3749" t="str">
        <f>IFERROR(__xludf.DUMMYFUNCTION("""COMPUTED_VALUE"""),"Band Level I")</f>
        <v>Band Level I</v>
      </c>
      <c r="E3749" s="3">
        <f>IFERROR(__xludf.DUMMYFUNCTION("""COMPUTED_VALUE"""),7.0)</f>
        <v>7</v>
      </c>
      <c r="F3749" s="300">
        <v>1.0</v>
      </c>
      <c r="G3749" s="300">
        <v>1.0</v>
      </c>
      <c r="H3749" s="300">
        <v>1.0</v>
      </c>
      <c r="I3749" s="300">
        <v>1.0</v>
      </c>
      <c r="J3749" s="300">
        <v>1.0</v>
      </c>
      <c r="K3749" s="300">
        <v>1.0</v>
      </c>
      <c r="L3749" s="300">
        <v>1.0</v>
      </c>
      <c r="M3749" s="300">
        <v>1.0</v>
      </c>
      <c r="N3749" s="300">
        <v>8.0</v>
      </c>
      <c r="O3749" s="300" t="s">
        <v>936</v>
      </c>
      <c r="P3749" s="300">
        <v>4.0</v>
      </c>
    </row>
    <row r="3750">
      <c r="A3750">
        <f>IFERROR(__xludf.DUMMYFUNCTION("""COMPUTED_VALUE"""),9.0)</f>
        <v>9</v>
      </c>
      <c r="B3750" s="406">
        <f>IFERROR(__xludf.DUMMYFUNCTION("""COMPUTED_VALUE"""),29128.0)</f>
        <v>29128</v>
      </c>
      <c r="C3750" t="str">
        <f>IFERROR(__xludf.DUMMYFUNCTION("""COMPUTED_VALUE"""),"VELASQUEZ JARAMILLO, MARIA")</f>
        <v>VELASQUEZ JARAMILLO, MARIA</v>
      </c>
      <c r="D3750" t="str">
        <f>IFERROR(__xludf.DUMMYFUNCTION("""COMPUTED_VALUE"""),"Band Level I")</f>
        <v>Band Level I</v>
      </c>
      <c r="E3750" s="3">
        <f>IFERROR(__xludf.DUMMYFUNCTION("""COMPUTED_VALUE"""),7.0)</f>
        <v>7</v>
      </c>
      <c r="F3750" s="300">
        <v>1.0</v>
      </c>
      <c r="G3750" s="300">
        <v>1.0</v>
      </c>
      <c r="H3750" s="300">
        <v>1.0</v>
      </c>
      <c r="I3750" s="300">
        <v>1.0</v>
      </c>
      <c r="J3750" s="300">
        <v>1.0</v>
      </c>
      <c r="K3750" s="300">
        <v>1.0</v>
      </c>
      <c r="L3750" s="300">
        <v>1.0</v>
      </c>
      <c r="M3750" s="300">
        <v>1.0</v>
      </c>
      <c r="N3750" s="300">
        <v>8.0</v>
      </c>
      <c r="O3750" s="300" t="s">
        <v>936</v>
      </c>
      <c r="P3750" s="300">
        <v>4.0</v>
      </c>
    </row>
    <row r="3751">
      <c r="A3751">
        <f>IFERROR(__xludf.DUMMYFUNCTION("""COMPUTED_VALUE"""),9.0)</f>
        <v>9</v>
      </c>
      <c r="B3751" s="406">
        <f>IFERROR(__xludf.DUMMYFUNCTION("""COMPUTED_VALUE"""),29049.0)</f>
        <v>29049</v>
      </c>
      <c r="C3751" t="str">
        <f>IFERROR(__xludf.DUMMYFUNCTION("""COMPUTED_VALUE"""),"HINESTROSA SIERRA, MIGUEL")</f>
        <v>HINESTROSA SIERRA, MIGUEL</v>
      </c>
      <c r="D3751" t="str">
        <f>IFERROR(__xludf.DUMMYFUNCTION("""COMPUTED_VALUE"""),"Painting I")</f>
        <v>Painting I</v>
      </c>
      <c r="E3751" s="3">
        <f>IFERROR(__xludf.DUMMYFUNCTION("""COMPUTED_VALUE"""),5.0)</f>
        <v>5</v>
      </c>
      <c r="F3751" s="300">
        <v>1.0</v>
      </c>
      <c r="G3751" s="300">
        <v>1.0</v>
      </c>
      <c r="H3751" s="300">
        <v>1.0</v>
      </c>
      <c r="I3751" s="300">
        <v>1.0</v>
      </c>
      <c r="J3751" s="300">
        <v>1.0</v>
      </c>
      <c r="K3751" s="300">
        <v>1.0</v>
      </c>
      <c r="L3751" s="300">
        <v>1.0</v>
      </c>
      <c r="M3751" s="300">
        <v>1.0</v>
      </c>
      <c r="N3751" s="300">
        <v>8.0</v>
      </c>
      <c r="O3751" s="300" t="s">
        <v>945</v>
      </c>
      <c r="P3751" s="300">
        <v>4.0</v>
      </c>
    </row>
    <row r="3752">
      <c r="A3752">
        <f>IFERROR(__xludf.DUMMYFUNCTION("""COMPUTED_VALUE"""),9.0)</f>
        <v>9</v>
      </c>
      <c r="B3752" s="406">
        <f>IFERROR(__xludf.DUMMYFUNCTION("""COMPUTED_VALUE"""),29118.0)</f>
        <v>29118</v>
      </c>
      <c r="C3752" t="str">
        <f>IFERROR(__xludf.DUMMYFUNCTION("""COMPUTED_VALUE"""),"TRUJILLO RUIZ, SAMUEL")</f>
        <v>TRUJILLO RUIZ, SAMUEL</v>
      </c>
      <c r="D3752" t="str">
        <f>IFERROR(__xludf.DUMMYFUNCTION("""COMPUTED_VALUE"""),"Band Level I")</f>
        <v>Band Level I</v>
      </c>
      <c r="E3752" s="3">
        <f>IFERROR(__xludf.DUMMYFUNCTION("""COMPUTED_VALUE"""),3.0)</f>
        <v>3</v>
      </c>
      <c r="F3752" s="300">
        <v>1.0</v>
      </c>
      <c r="G3752" s="300">
        <v>1.0</v>
      </c>
      <c r="H3752" s="300">
        <v>1.0</v>
      </c>
      <c r="I3752" s="300">
        <v>1.0</v>
      </c>
      <c r="J3752" s="300">
        <v>1.0</v>
      </c>
      <c r="K3752" s="300">
        <v>1.0</v>
      </c>
      <c r="L3752" s="300">
        <v>1.0</v>
      </c>
      <c r="M3752" s="300">
        <v>1.0</v>
      </c>
      <c r="N3752" s="300">
        <v>8.0</v>
      </c>
      <c r="O3752" s="300" t="s">
        <v>990</v>
      </c>
      <c r="P3752" s="300">
        <v>4.0</v>
      </c>
    </row>
    <row r="3753">
      <c r="A3753">
        <f>IFERROR(__xludf.DUMMYFUNCTION("""COMPUTED_VALUE"""),9.0)</f>
        <v>9</v>
      </c>
      <c r="B3753" s="406">
        <f>IFERROR(__xludf.DUMMYFUNCTION("""COMPUTED_VALUE"""),29096.0)</f>
        <v>29096</v>
      </c>
      <c r="C3753" t="str">
        <f>IFERROR(__xludf.DUMMYFUNCTION("""COMPUTED_VALUE"""),"RAMIREZ PELAEZ, ANTONIA")</f>
        <v>RAMIREZ PELAEZ, ANTONIA</v>
      </c>
      <c r="D3753" t="str">
        <f>IFERROR(__xludf.DUMMYFUNCTION("""COMPUTED_VALUE"""),"Painting I")</f>
        <v>Painting I</v>
      </c>
      <c r="E3753" s="3">
        <f>IFERROR(__xludf.DUMMYFUNCTION("""COMPUTED_VALUE"""),7.0)</f>
        <v>7</v>
      </c>
      <c r="F3753" s="300">
        <v>1.0</v>
      </c>
      <c r="G3753" s="300">
        <v>1.0</v>
      </c>
      <c r="H3753" s="300">
        <v>1.0</v>
      </c>
      <c r="I3753" s="300">
        <v>1.0</v>
      </c>
      <c r="J3753" s="300">
        <v>1.0</v>
      </c>
      <c r="K3753" s="300">
        <v>1.0</v>
      </c>
      <c r="L3753" s="300">
        <v>1.0</v>
      </c>
      <c r="M3753" s="300">
        <v>1.0</v>
      </c>
      <c r="N3753" s="300">
        <v>8.0</v>
      </c>
      <c r="O3753" s="300" t="s">
        <v>934</v>
      </c>
      <c r="P3753" s="300">
        <v>4.0</v>
      </c>
    </row>
    <row r="3754">
      <c r="A3754">
        <f>IFERROR(__xludf.DUMMYFUNCTION("""COMPUTED_VALUE"""),9.0)</f>
        <v>9</v>
      </c>
      <c r="B3754" s="406">
        <f>IFERROR(__xludf.DUMMYFUNCTION("""COMPUTED_VALUE"""),29119.0)</f>
        <v>29119</v>
      </c>
      <c r="C3754" t="str">
        <f>IFERROR(__xludf.DUMMYFUNCTION("""COMPUTED_VALUE"""),"TRUJILLO RUIZ, SARA")</f>
        <v>TRUJILLO RUIZ, SARA</v>
      </c>
      <c r="D3754" t="str">
        <f>IFERROR(__xludf.DUMMYFUNCTION("""COMPUTED_VALUE"""),"Painting I")</f>
        <v>Painting I</v>
      </c>
      <c r="E3754" s="3">
        <f>IFERROR(__xludf.DUMMYFUNCTION("""COMPUTED_VALUE"""),4.0)</f>
        <v>4</v>
      </c>
      <c r="F3754" s="300">
        <v>1.0</v>
      </c>
      <c r="G3754" s="300">
        <v>1.0</v>
      </c>
      <c r="H3754" s="300">
        <v>1.0</v>
      </c>
      <c r="I3754" s="300">
        <v>1.0</v>
      </c>
      <c r="J3754" s="300">
        <v>1.0</v>
      </c>
      <c r="K3754" s="300">
        <v>1.0</v>
      </c>
      <c r="L3754" s="300">
        <v>1.0</v>
      </c>
      <c r="M3754" s="300">
        <v>1.0</v>
      </c>
      <c r="N3754" s="300">
        <v>8.0</v>
      </c>
      <c r="O3754" s="300" t="s">
        <v>946</v>
      </c>
      <c r="P3754" s="300">
        <v>4.0</v>
      </c>
    </row>
    <row r="3755">
      <c r="A3755">
        <f>IFERROR(__xludf.DUMMYFUNCTION("""COMPUTED_VALUE"""),9.0)</f>
        <v>9</v>
      </c>
      <c r="B3755" s="406">
        <f>IFERROR(__xludf.DUMMYFUNCTION("""COMPUTED_VALUE"""),29097.0)</f>
        <v>29097</v>
      </c>
      <c r="C3755" t="str">
        <f>IFERROR(__xludf.DUMMYFUNCTION("""COMPUTED_VALUE"""),"RAMIREZ PELAEZ, ELENA")</f>
        <v>RAMIREZ PELAEZ, ELENA</v>
      </c>
      <c r="D3755" t="str">
        <f>IFERROR(__xludf.DUMMYFUNCTION("""COMPUTED_VALUE"""),"Painting I")</f>
        <v>Painting I</v>
      </c>
      <c r="E3755" s="3">
        <f>IFERROR(__xludf.DUMMYFUNCTION("""COMPUTED_VALUE"""),5.0)</f>
        <v>5</v>
      </c>
      <c r="F3755" s="300">
        <v>1.0</v>
      </c>
      <c r="G3755" s="300">
        <v>1.0</v>
      </c>
      <c r="H3755" s="300">
        <v>1.0</v>
      </c>
      <c r="I3755" s="300">
        <v>1.0</v>
      </c>
      <c r="J3755" s="300">
        <v>1.0</v>
      </c>
      <c r="K3755" s="300">
        <v>1.0</v>
      </c>
      <c r="L3755" s="300">
        <v>1.0</v>
      </c>
      <c r="M3755" s="300">
        <v>1.0</v>
      </c>
      <c r="N3755" s="300">
        <v>8.0</v>
      </c>
      <c r="O3755" s="300" t="s">
        <v>945</v>
      </c>
      <c r="P3755" s="300">
        <v>4.0</v>
      </c>
    </row>
    <row r="3756">
      <c r="A3756">
        <f>IFERROR(__xludf.DUMMYFUNCTION("""COMPUTED_VALUE"""),9.0)</f>
        <v>9</v>
      </c>
      <c r="B3756" s="406">
        <f>IFERROR(__xludf.DUMMYFUNCTION("""COMPUTED_VALUE"""),29169.0)</f>
        <v>29169</v>
      </c>
      <c r="C3756" t="str">
        <f>IFERROR(__xludf.DUMMYFUNCTION("""COMPUTED_VALUE"""),"REPETTO LARROSA, FAUSTINO")</f>
        <v>REPETTO LARROSA, FAUSTINO</v>
      </c>
      <c r="D3756" t="str">
        <f>IFERROR(__xludf.DUMMYFUNCTION("""COMPUTED_VALUE"""),"Sculpture I")</f>
        <v>Sculpture I</v>
      </c>
      <c r="E3756" s="3">
        <f>IFERROR(__xludf.DUMMYFUNCTION("""COMPUTED_VALUE"""),3.0)</f>
        <v>3</v>
      </c>
      <c r="F3756" s="300">
        <v>1.0</v>
      </c>
      <c r="G3756" s="300">
        <v>1.0</v>
      </c>
      <c r="H3756" s="300">
        <v>1.0</v>
      </c>
      <c r="I3756" s="300">
        <v>1.0</v>
      </c>
      <c r="J3756" s="300">
        <v>1.0</v>
      </c>
      <c r="K3756" s="300">
        <v>1.0</v>
      </c>
      <c r="L3756" s="300">
        <v>1.0</v>
      </c>
      <c r="M3756" s="300">
        <v>1.0</v>
      </c>
      <c r="N3756" s="300">
        <v>8.0</v>
      </c>
      <c r="O3756" s="300" t="s">
        <v>947</v>
      </c>
      <c r="P3756" s="300">
        <v>2.0</v>
      </c>
    </row>
    <row r="3757">
      <c r="A3757">
        <f>IFERROR(__xludf.DUMMYFUNCTION("""COMPUTED_VALUE"""),9.0)</f>
        <v>9</v>
      </c>
      <c r="B3757" s="406">
        <f>IFERROR(__xludf.DUMMYFUNCTION("""COMPUTED_VALUE"""),29156.0)</f>
        <v>29156</v>
      </c>
      <c r="C3757" t="str">
        <f>IFERROR(__xludf.DUMMYFUNCTION("""COMPUTED_VALUE"""),"FERNANDEZ CALDERON, TAMARA")</f>
        <v>FERNANDEZ CALDERON, TAMARA</v>
      </c>
      <c r="D3757" t="str">
        <f>IFERROR(__xludf.DUMMYFUNCTION("""COMPUTED_VALUE"""),"Painting I")</f>
        <v>Painting I</v>
      </c>
      <c r="E3757" s="3">
        <f>IFERROR(__xludf.DUMMYFUNCTION("""COMPUTED_VALUE"""),8.0)</f>
        <v>8</v>
      </c>
      <c r="F3757" s="300">
        <v>1.0</v>
      </c>
      <c r="G3757" s="300">
        <v>1.0</v>
      </c>
      <c r="H3757" s="300">
        <v>1.0</v>
      </c>
      <c r="I3757" s="300">
        <v>1.0</v>
      </c>
      <c r="J3757" s="300">
        <v>1.0</v>
      </c>
      <c r="K3757" s="300">
        <v>1.0</v>
      </c>
      <c r="L3757" s="300">
        <v>1.0</v>
      </c>
      <c r="M3757" s="300">
        <v>1.0</v>
      </c>
      <c r="N3757" s="300">
        <v>8.0</v>
      </c>
      <c r="O3757" s="300" t="s">
        <v>988</v>
      </c>
      <c r="P3757" s="300">
        <v>4.0</v>
      </c>
    </row>
    <row r="3758">
      <c r="A3758">
        <f>IFERROR(__xludf.DUMMYFUNCTION("""COMPUTED_VALUE"""),9.0)</f>
        <v>9</v>
      </c>
      <c r="B3758" s="406">
        <f>IFERROR(__xludf.DUMMYFUNCTION("""COMPUTED_VALUE"""),29035.0)</f>
        <v>29035</v>
      </c>
      <c r="C3758" t="str">
        <f>IFERROR(__xludf.DUMMYFUNCTION("""COMPUTED_VALUE"""),"DURAN CALAD, MIGUEL")</f>
        <v>DURAN CALAD, MIGUEL</v>
      </c>
      <c r="D3758" t="str">
        <f>IFERROR(__xludf.DUMMYFUNCTION("""COMPUTED_VALUE"""),"Painting I")</f>
        <v>Painting I</v>
      </c>
      <c r="E3758" s="3">
        <f>IFERROR(__xludf.DUMMYFUNCTION("""COMPUTED_VALUE"""),7.0)</f>
        <v>7</v>
      </c>
      <c r="F3758" s="300">
        <v>1.0</v>
      </c>
      <c r="G3758" s="300">
        <v>1.0</v>
      </c>
      <c r="H3758" s="300">
        <v>1.0</v>
      </c>
      <c r="I3758" s="300">
        <v>1.0</v>
      </c>
      <c r="J3758" s="300">
        <v>1.0</v>
      </c>
      <c r="K3758" s="300">
        <v>1.0</v>
      </c>
      <c r="L3758" s="300">
        <v>1.0</v>
      </c>
      <c r="M3758" s="300">
        <v>1.0</v>
      </c>
      <c r="N3758" s="300">
        <v>8.0</v>
      </c>
      <c r="O3758" s="300" t="s">
        <v>934</v>
      </c>
      <c r="P3758" s="300">
        <v>4.0</v>
      </c>
    </row>
    <row r="3759">
      <c r="A3759">
        <f>IFERROR(__xludf.DUMMYFUNCTION("""COMPUTED_VALUE"""),9.0)</f>
        <v>9</v>
      </c>
      <c r="B3759" s="406">
        <f>IFERROR(__xludf.DUMMYFUNCTION("""COMPUTED_VALUE"""),29028.0)</f>
        <v>29028</v>
      </c>
      <c r="C3759" t="str">
        <f>IFERROR(__xludf.DUMMYFUNCTION("""COMPUTED_VALUE"""),"CARVAJAL ACOSTA, MARTIN")</f>
        <v>CARVAJAL ACOSTA, MARTIN</v>
      </c>
      <c r="D3759" t="str">
        <f>IFERROR(__xludf.DUMMYFUNCTION("""COMPUTED_VALUE"""),"Sculpture I")</f>
        <v>Sculpture I</v>
      </c>
      <c r="E3759" s="3">
        <f>IFERROR(__xludf.DUMMYFUNCTION("""COMPUTED_VALUE"""),4.0)</f>
        <v>4</v>
      </c>
      <c r="F3759" s="300">
        <v>1.0</v>
      </c>
      <c r="G3759" s="300">
        <v>1.0</v>
      </c>
      <c r="H3759" s="300">
        <v>1.0</v>
      </c>
      <c r="I3759" s="300">
        <v>1.0</v>
      </c>
      <c r="J3759" s="300">
        <v>1.0</v>
      </c>
      <c r="K3759" s="300">
        <v>1.0</v>
      </c>
      <c r="L3759" s="300">
        <v>1.0</v>
      </c>
      <c r="M3759" s="300">
        <v>1.0</v>
      </c>
      <c r="N3759" s="300">
        <v>8.0</v>
      </c>
      <c r="O3759" s="300" t="s">
        <v>989</v>
      </c>
      <c r="P3759" s="300">
        <v>2.0</v>
      </c>
    </row>
    <row r="3760">
      <c r="A3760">
        <f>IFERROR(__xludf.DUMMYFUNCTION("""COMPUTED_VALUE"""),9.0)</f>
        <v>9</v>
      </c>
      <c r="B3760" s="406">
        <f>IFERROR(__xludf.DUMMYFUNCTION("""COMPUTED_VALUE"""),29110.0)</f>
        <v>29110</v>
      </c>
      <c r="C3760" t="str">
        <f>IFERROR(__xludf.DUMMYFUNCTION("""COMPUTED_VALUE"""),"SOSA ECHAVARRIA, EMILIO")</f>
        <v>SOSA ECHAVARRIA, EMILIO</v>
      </c>
      <c r="D3760" t="str">
        <f>IFERROR(__xludf.DUMMYFUNCTION("""COMPUTED_VALUE"""),"Sculpture I")</f>
        <v>Sculpture I</v>
      </c>
      <c r="E3760" s="3">
        <f>IFERROR(__xludf.DUMMYFUNCTION("""COMPUTED_VALUE"""),3.0)</f>
        <v>3</v>
      </c>
      <c r="F3760" s="300">
        <v>1.0</v>
      </c>
      <c r="G3760" s="300">
        <v>1.0</v>
      </c>
      <c r="H3760" s="300">
        <v>1.0</v>
      </c>
      <c r="I3760" s="300">
        <v>1.0</v>
      </c>
      <c r="J3760" s="300">
        <v>1.0</v>
      </c>
      <c r="K3760" s="300">
        <v>1.0</v>
      </c>
      <c r="L3760" s="300">
        <v>1.0</v>
      </c>
      <c r="M3760" s="300">
        <v>1.0</v>
      </c>
      <c r="N3760" s="300">
        <v>8.0</v>
      </c>
      <c r="O3760" s="300" t="s">
        <v>947</v>
      </c>
      <c r="P3760" s="300">
        <v>2.0</v>
      </c>
    </row>
    <row r="3761">
      <c r="A3761">
        <f>IFERROR(__xludf.DUMMYFUNCTION("""COMPUTED_VALUE"""),9.0)</f>
        <v>9</v>
      </c>
      <c r="B3761" s="406">
        <f>IFERROR(__xludf.DUMMYFUNCTION("""COMPUTED_VALUE"""),28144.0)</f>
        <v>28144</v>
      </c>
      <c r="C3761" t="str">
        <f>IFERROR(__xludf.DUMMYFUNCTION("""COMPUTED_VALUE"""),"JIMENEZ PATIÑO, EMILIO")</f>
        <v>JIMENEZ PATIÑO, EMILIO</v>
      </c>
      <c r="D3761" t="str">
        <f>IFERROR(__xludf.DUMMYFUNCTION("""COMPUTED_VALUE"""),"Band Level I")</f>
        <v>Band Level I</v>
      </c>
      <c r="E3761" s="3">
        <f>IFERROR(__xludf.DUMMYFUNCTION("""COMPUTED_VALUE"""),3.0)</f>
        <v>3</v>
      </c>
      <c r="F3761" s="300">
        <v>1.0</v>
      </c>
      <c r="G3761" s="300">
        <v>1.0</v>
      </c>
      <c r="H3761" s="300">
        <v>1.0</v>
      </c>
      <c r="I3761" s="300">
        <v>1.0</v>
      </c>
      <c r="J3761" s="300">
        <v>1.0</v>
      </c>
      <c r="K3761" s="300">
        <v>1.0</v>
      </c>
      <c r="L3761" s="300">
        <v>1.0</v>
      </c>
      <c r="M3761" s="300">
        <v>1.0</v>
      </c>
      <c r="N3761" s="300">
        <v>8.0</v>
      </c>
      <c r="O3761" s="300" t="s">
        <v>990</v>
      </c>
      <c r="P3761" s="300">
        <v>4.0</v>
      </c>
    </row>
    <row r="3762">
      <c r="A3762">
        <f>IFERROR(__xludf.DUMMYFUNCTION("""COMPUTED_VALUE"""),9.0)</f>
        <v>9</v>
      </c>
      <c r="B3762" s="406">
        <f>IFERROR(__xludf.DUMMYFUNCTION("""COMPUTED_VALUE"""),29126.0)</f>
        <v>29126</v>
      </c>
      <c r="C3762" t="str">
        <f>IFERROR(__xludf.DUMMYFUNCTION("""COMPUTED_VALUE"""),"VASQUEZ ANGEL, JUANITA")</f>
        <v>VASQUEZ ANGEL, JUANITA</v>
      </c>
      <c r="D3762" t="str">
        <f>IFERROR(__xludf.DUMMYFUNCTION("""COMPUTED_VALUE"""),"Band Level I")</f>
        <v>Band Level I</v>
      </c>
      <c r="E3762" s="3">
        <f>IFERROR(__xludf.DUMMYFUNCTION("""COMPUTED_VALUE"""),7.0)</f>
        <v>7</v>
      </c>
      <c r="F3762" s="300">
        <v>1.0</v>
      </c>
      <c r="G3762" s="300">
        <v>1.0</v>
      </c>
      <c r="H3762" s="300">
        <v>1.0</v>
      </c>
      <c r="I3762" s="300">
        <v>1.0</v>
      </c>
      <c r="J3762" s="300">
        <v>1.0</v>
      </c>
      <c r="K3762" s="300">
        <v>1.0</v>
      </c>
      <c r="L3762" s="300">
        <v>1.0</v>
      </c>
      <c r="M3762" s="300">
        <v>1.0</v>
      </c>
      <c r="N3762" s="300">
        <v>8.0</v>
      </c>
      <c r="O3762" s="300" t="s">
        <v>936</v>
      </c>
      <c r="P3762" s="300">
        <v>4.0</v>
      </c>
    </row>
    <row r="3763">
      <c r="A3763">
        <f>IFERROR(__xludf.DUMMYFUNCTION("""COMPUTED_VALUE"""),9.0)</f>
        <v>9</v>
      </c>
      <c r="B3763" s="406">
        <f>IFERROR(__xludf.DUMMYFUNCTION("""COMPUTED_VALUE"""),29098.0)</f>
        <v>29098</v>
      </c>
      <c r="C3763" t="str">
        <f>IFERROR(__xludf.DUMMYFUNCTION("""COMPUTED_VALUE"""),"RESTREPO ESCOBAR, ISABELA")</f>
        <v>RESTREPO ESCOBAR, ISABELA</v>
      </c>
      <c r="D3763" t="str">
        <f>IFERROR(__xludf.DUMMYFUNCTION("""COMPUTED_VALUE"""),"Painting I")</f>
        <v>Painting I</v>
      </c>
      <c r="E3763" s="3">
        <f>IFERROR(__xludf.DUMMYFUNCTION("""COMPUTED_VALUE"""),5.0)</f>
        <v>5</v>
      </c>
      <c r="F3763" s="300">
        <v>1.0</v>
      </c>
      <c r="G3763" s="300">
        <v>1.0</v>
      </c>
      <c r="H3763" s="300">
        <v>1.0</v>
      </c>
      <c r="I3763" s="300">
        <v>1.0</v>
      </c>
      <c r="J3763" s="300">
        <v>1.0</v>
      </c>
      <c r="K3763" s="300">
        <v>1.0</v>
      </c>
      <c r="L3763" s="300">
        <v>1.0</v>
      </c>
      <c r="M3763" s="300">
        <v>1.0</v>
      </c>
      <c r="N3763" s="300">
        <v>8.0</v>
      </c>
      <c r="O3763" s="300" t="s">
        <v>945</v>
      </c>
      <c r="P3763" s="300">
        <v>4.0</v>
      </c>
    </row>
    <row r="3764">
      <c r="A3764">
        <f>IFERROR(__xludf.DUMMYFUNCTION("""COMPUTED_VALUE"""),9.0)</f>
        <v>9</v>
      </c>
      <c r="B3764" s="406">
        <f>IFERROR(__xludf.DUMMYFUNCTION("""COMPUTED_VALUE"""),29083.0)</f>
        <v>29083</v>
      </c>
      <c r="C3764" t="str">
        <f>IFERROR(__xludf.DUMMYFUNCTION("""COMPUTED_VALUE"""),"NAVARRO ZULUAGA, SOFIA")</f>
        <v>NAVARRO ZULUAGA, SOFIA</v>
      </c>
      <c r="D3764" t="str">
        <f>IFERROR(__xludf.DUMMYFUNCTION("""COMPUTED_VALUE"""),"Painting I")</f>
        <v>Painting I</v>
      </c>
      <c r="E3764" s="3">
        <f>IFERROR(__xludf.DUMMYFUNCTION("""COMPUTED_VALUE"""),8.0)</f>
        <v>8</v>
      </c>
      <c r="F3764" s="300">
        <v>1.0</v>
      </c>
      <c r="G3764" s="300">
        <v>1.0</v>
      </c>
      <c r="H3764" s="300">
        <v>1.0</v>
      </c>
      <c r="I3764" s="300">
        <v>1.0</v>
      </c>
      <c r="J3764" s="300">
        <v>1.0</v>
      </c>
      <c r="K3764" s="300">
        <v>1.0</v>
      </c>
      <c r="L3764" s="300">
        <v>1.0</v>
      </c>
      <c r="M3764" s="300">
        <v>1.0</v>
      </c>
      <c r="N3764" s="300">
        <v>8.0</v>
      </c>
      <c r="O3764" s="300" t="s">
        <v>988</v>
      </c>
      <c r="P3764" s="300">
        <v>4.0</v>
      </c>
    </row>
    <row r="3765">
      <c r="A3765">
        <f>IFERROR(__xludf.DUMMYFUNCTION("""COMPUTED_VALUE"""),9.0)</f>
        <v>9</v>
      </c>
      <c r="B3765" s="406">
        <f>IFERROR(__xludf.DUMMYFUNCTION("""COMPUTED_VALUE"""),29023.0)</f>
        <v>29023</v>
      </c>
      <c r="C3765" t="str">
        <f>IFERROR(__xludf.DUMMYFUNCTION("""COMPUTED_VALUE"""),"BOTERO DEL CORRAL, EMILIANA")</f>
        <v>BOTERO DEL CORRAL, EMILIANA</v>
      </c>
      <c r="D3765" t="str">
        <f>IFERROR(__xludf.DUMMYFUNCTION("""COMPUTED_VALUE"""),"Painting I")</f>
        <v>Painting I</v>
      </c>
      <c r="E3765" s="3">
        <f>IFERROR(__xludf.DUMMYFUNCTION("""COMPUTED_VALUE"""),7.0)</f>
        <v>7</v>
      </c>
      <c r="F3765" s="300">
        <v>1.0</v>
      </c>
      <c r="G3765" s="300">
        <v>1.0</v>
      </c>
      <c r="H3765" s="300">
        <v>1.0</v>
      </c>
      <c r="I3765" s="300">
        <v>1.0</v>
      </c>
      <c r="J3765" s="300">
        <v>1.0</v>
      </c>
      <c r="K3765" s="300">
        <v>1.0</v>
      </c>
      <c r="L3765" s="300">
        <v>1.0</v>
      </c>
      <c r="M3765" s="300">
        <v>1.0</v>
      </c>
      <c r="N3765" s="300">
        <v>8.0</v>
      </c>
      <c r="O3765" s="300" t="s">
        <v>934</v>
      </c>
      <c r="P3765" s="300">
        <v>4.0</v>
      </c>
    </row>
    <row r="3766">
      <c r="A3766">
        <f>IFERROR(__xludf.DUMMYFUNCTION("""COMPUTED_VALUE"""),10.0)</f>
        <v>10</v>
      </c>
      <c r="B3766" s="406">
        <f>IFERROR(__xludf.DUMMYFUNCTION("""COMPUTED_VALUE"""),28042.0)</f>
        <v>28042</v>
      </c>
      <c r="C3766" t="str">
        <f>IFERROR(__xludf.DUMMYFUNCTION("""COMPUTED_VALUE"""),"GUERRA MARTINEZ, REBECCA")</f>
        <v>GUERRA MARTINEZ, REBECCA</v>
      </c>
      <c r="D3766" t="str">
        <f>IFERROR(__xludf.DUMMYFUNCTION("""COMPUTED_VALUE"""),"Anatomy and Physiology")</f>
        <v>Anatomy and Physiology</v>
      </c>
      <c r="E3766" s="3">
        <f>IFERROR(__xludf.DUMMYFUNCTION("""COMPUTED_VALUE"""),4.0)</f>
        <v>4</v>
      </c>
      <c r="F3766" s="300">
        <v>1.0</v>
      </c>
      <c r="G3766" s="300">
        <v>1.0</v>
      </c>
      <c r="H3766" s="300">
        <v>1.0</v>
      </c>
      <c r="I3766" s="300">
        <v>1.0</v>
      </c>
      <c r="J3766" s="300">
        <v>1.0</v>
      </c>
      <c r="K3766" s="300">
        <v>1.0</v>
      </c>
      <c r="L3766" s="300">
        <v>1.0</v>
      </c>
      <c r="M3766" s="300">
        <v>1.0</v>
      </c>
      <c r="N3766" s="300">
        <v>8.0</v>
      </c>
      <c r="O3766" s="300" t="s">
        <v>895</v>
      </c>
      <c r="P3766" s="300">
        <v>2.0</v>
      </c>
    </row>
    <row r="3767">
      <c r="A3767">
        <f>IFERROR(__xludf.DUMMYFUNCTION("""COMPUTED_VALUE"""),10.0)</f>
        <v>10</v>
      </c>
      <c r="B3767" s="406">
        <f>IFERROR(__xludf.DUMMYFUNCTION("""COMPUTED_VALUE"""),28116.0)</f>
        <v>28116</v>
      </c>
      <c r="C3767" t="str">
        <f>IFERROR(__xludf.DUMMYFUNCTION("""COMPUTED_VALUE"""),"VELEZ ZAPATA, SARA")</f>
        <v>VELEZ ZAPATA, SARA</v>
      </c>
      <c r="D3767" t="str">
        <f>IFERROR(__xludf.DUMMYFUNCTION("""COMPUTED_VALUE"""),"Anatomy and Physiology")</f>
        <v>Anatomy and Physiology</v>
      </c>
      <c r="E3767" s="3">
        <f>IFERROR(__xludf.DUMMYFUNCTION("""COMPUTED_VALUE"""),8.0)</f>
        <v>8</v>
      </c>
      <c r="F3767" s="300">
        <v>1.0</v>
      </c>
      <c r="G3767" s="300">
        <v>1.0</v>
      </c>
      <c r="H3767" s="300">
        <v>1.0</v>
      </c>
      <c r="I3767" s="300">
        <v>1.0</v>
      </c>
      <c r="J3767" s="300">
        <v>1.0</v>
      </c>
      <c r="K3767" s="300">
        <v>1.0</v>
      </c>
      <c r="L3767" s="300">
        <v>1.0</v>
      </c>
      <c r="M3767" s="300">
        <v>1.0</v>
      </c>
      <c r="N3767" s="300">
        <v>8.0</v>
      </c>
      <c r="O3767" s="300" t="s">
        <v>894</v>
      </c>
      <c r="P3767" s="300">
        <v>2.0</v>
      </c>
    </row>
    <row r="3768">
      <c r="A3768">
        <f>IFERROR(__xludf.DUMMYFUNCTION("""COMPUTED_VALUE"""),10.0)</f>
        <v>10</v>
      </c>
      <c r="B3768" s="406">
        <f>IFERROR(__xludf.DUMMYFUNCTION("""COMPUTED_VALUE"""),28013.0)</f>
        <v>28013</v>
      </c>
      <c r="C3768" t="str">
        <f>IFERROR(__xludf.DUMMYFUNCTION("""COMPUTED_VALUE"""),"BERDUGO RESTREPO, ROSARIO")</f>
        <v>BERDUGO RESTREPO, ROSARIO</v>
      </c>
      <c r="D3768" t="str">
        <f>IFERROR(__xludf.DUMMYFUNCTION("""COMPUTED_VALUE"""),"AP Computer Science Principles")</f>
        <v>AP Computer Science Principles</v>
      </c>
      <c r="E3768" s="3">
        <f>IFERROR(__xludf.DUMMYFUNCTION("""COMPUTED_VALUE"""),3.0)</f>
        <v>3</v>
      </c>
      <c r="F3768" s="300">
        <v>1.0</v>
      </c>
      <c r="G3768" s="300">
        <v>1.0</v>
      </c>
      <c r="H3768" s="300">
        <v>1.0</v>
      </c>
      <c r="I3768" s="300">
        <v>1.0</v>
      </c>
      <c r="J3768" s="300">
        <v>1.0</v>
      </c>
      <c r="K3768" s="300">
        <v>1.0</v>
      </c>
      <c r="L3768" s="300">
        <v>1.0</v>
      </c>
      <c r="M3768" s="300">
        <v>1.0</v>
      </c>
      <c r="N3768" s="300">
        <v>8.0</v>
      </c>
      <c r="O3768" s="300" t="s">
        <v>836</v>
      </c>
      <c r="P3768" s="300">
        <v>1.0</v>
      </c>
    </row>
    <row r="3769">
      <c r="A3769">
        <f>IFERROR(__xludf.DUMMYFUNCTION("""COMPUTED_VALUE"""),10.0)</f>
        <v>10</v>
      </c>
      <c r="B3769" s="406">
        <f>IFERROR(__xludf.DUMMYFUNCTION("""COMPUTED_VALUE"""),28045.0)</f>
        <v>28045</v>
      </c>
      <c r="C3769" t="str">
        <f>IFERROR(__xludf.DUMMYFUNCTION("""COMPUTED_VALUE"""),"HINESTROZA ESCOBAR, LUCIANA")</f>
        <v>HINESTROZA ESCOBAR, LUCIANA</v>
      </c>
      <c r="D3769" t="str">
        <f>IFERROR(__xludf.DUMMYFUNCTION("""COMPUTED_VALUE"""),"Anatomy and Physiology")</f>
        <v>Anatomy and Physiology</v>
      </c>
      <c r="E3769" s="3">
        <f>IFERROR(__xludf.DUMMYFUNCTION("""COMPUTED_VALUE"""),4.0)</f>
        <v>4</v>
      </c>
      <c r="F3769" s="300">
        <v>1.0</v>
      </c>
      <c r="G3769" s="300">
        <v>1.0</v>
      </c>
      <c r="H3769" s="300">
        <v>1.0</v>
      </c>
      <c r="I3769" s="300">
        <v>1.0</v>
      </c>
      <c r="J3769" s="300">
        <v>1.0</v>
      </c>
      <c r="K3769" s="300">
        <v>1.0</v>
      </c>
      <c r="L3769" s="300">
        <v>1.0</v>
      </c>
      <c r="M3769" s="300">
        <v>1.0</v>
      </c>
      <c r="N3769" s="300">
        <v>8.0</v>
      </c>
      <c r="O3769" s="300" t="s">
        <v>895</v>
      </c>
      <c r="P3769" s="300">
        <v>2.0</v>
      </c>
    </row>
    <row r="3770">
      <c r="A3770">
        <f>IFERROR(__xludf.DUMMYFUNCTION("""COMPUTED_VALUE"""),10.0)</f>
        <v>10</v>
      </c>
      <c r="B3770" s="406">
        <f>IFERROR(__xludf.DUMMYFUNCTION("""COMPUTED_VALUE"""),28022.0)</f>
        <v>28022</v>
      </c>
      <c r="C3770" t="str">
        <f>IFERROR(__xludf.DUMMYFUNCTION("""COMPUTED_VALUE"""),"CARVAJAL BOTERO, SIMON")</f>
        <v>CARVAJAL BOTERO, SIMON</v>
      </c>
      <c r="D3770" t="str">
        <f>IFERROR(__xludf.DUMMYFUNCTION("""COMPUTED_VALUE"""),"Anatomy and Physiology")</f>
        <v>Anatomy and Physiology</v>
      </c>
      <c r="E3770" s="3">
        <f>IFERROR(__xludf.DUMMYFUNCTION("""COMPUTED_VALUE"""),8.0)</f>
        <v>8</v>
      </c>
      <c r="F3770" s="300">
        <v>1.0</v>
      </c>
      <c r="G3770" s="300">
        <v>1.0</v>
      </c>
      <c r="H3770" s="300">
        <v>1.0</v>
      </c>
      <c r="I3770" s="300">
        <v>1.0</v>
      </c>
      <c r="J3770" s="300">
        <v>1.0</v>
      </c>
      <c r="K3770" s="300">
        <v>1.0</v>
      </c>
      <c r="L3770" s="300">
        <v>1.0</v>
      </c>
      <c r="M3770" s="300">
        <v>1.0</v>
      </c>
      <c r="N3770" s="300">
        <v>8.0</v>
      </c>
      <c r="O3770" s="300" t="s">
        <v>894</v>
      </c>
      <c r="P3770" s="300">
        <v>2.0</v>
      </c>
    </row>
    <row r="3771">
      <c r="A3771">
        <f>IFERROR(__xludf.DUMMYFUNCTION("""COMPUTED_VALUE"""),10.0)</f>
        <v>10</v>
      </c>
      <c r="B3771" s="406">
        <f>IFERROR(__xludf.DUMMYFUNCTION("""COMPUTED_VALUE"""),28166.0)</f>
        <v>28166</v>
      </c>
      <c r="C3771" t="str">
        <f>IFERROR(__xludf.DUMMYFUNCTION("""COMPUTED_VALUE"""),"VELEZ RAMIREZ, MIGUEL")</f>
        <v>VELEZ RAMIREZ, MIGUEL</v>
      </c>
      <c r="D3771" t="str">
        <f>IFERROR(__xludf.DUMMYFUNCTION("""COMPUTED_VALUE"""),"Painting I")</f>
        <v>Painting I</v>
      </c>
      <c r="E3771" s="3">
        <f>IFERROR(__xludf.DUMMYFUNCTION("""COMPUTED_VALUE"""),8.0)</f>
        <v>8</v>
      </c>
      <c r="F3771" s="300">
        <v>1.0</v>
      </c>
      <c r="G3771" s="300">
        <v>1.0</v>
      </c>
      <c r="H3771" s="300">
        <v>1.0</v>
      </c>
      <c r="I3771" s="300">
        <v>1.0</v>
      </c>
      <c r="J3771" s="300">
        <v>1.0</v>
      </c>
      <c r="K3771" s="300">
        <v>1.0</v>
      </c>
      <c r="L3771" s="300">
        <v>1.0</v>
      </c>
      <c r="M3771" s="300">
        <v>1.0</v>
      </c>
      <c r="N3771" s="300">
        <v>8.0</v>
      </c>
      <c r="O3771" s="300" t="s">
        <v>988</v>
      </c>
      <c r="P3771" s="300">
        <v>4.0</v>
      </c>
    </row>
    <row r="3772">
      <c r="A3772">
        <f>IFERROR(__xludf.DUMMYFUNCTION("""COMPUTED_VALUE"""),10.0)</f>
        <v>10</v>
      </c>
      <c r="B3772" s="406">
        <f>IFERROR(__xludf.DUMMYFUNCTION("""COMPUTED_VALUE"""),28083.0)</f>
        <v>28083</v>
      </c>
      <c r="C3772" t="str">
        <f>IFERROR(__xludf.DUMMYFUNCTION("""COMPUTED_VALUE"""),"PENAGOS VELEZ, EMILIO")</f>
        <v>PENAGOS VELEZ, EMILIO</v>
      </c>
      <c r="D3772" t="str">
        <f>IFERROR(__xludf.DUMMYFUNCTION("""COMPUTED_VALUE"""),"Painting I")</f>
        <v>Painting I</v>
      </c>
      <c r="E3772" s="3">
        <f>IFERROR(__xludf.DUMMYFUNCTION("""COMPUTED_VALUE"""),8.0)</f>
        <v>8</v>
      </c>
      <c r="F3772" s="300">
        <v>1.0</v>
      </c>
      <c r="G3772" s="300">
        <v>1.0</v>
      </c>
      <c r="H3772" s="300">
        <v>1.0</v>
      </c>
      <c r="I3772" s="300">
        <v>1.0</v>
      </c>
      <c r="J3772" s="300">
        <v>1.0</v>
      </c>
      <c r="K3772" s="300">
        <v>1.0</v>
      </c>
      <c r="L3772" s="300">
        <v>1.0</v>
      </c>
      <c r="M3772" s="300">
        <v>1.0</v>
      </c>
      <c r="N3772" s="300">
        <v>8.0</v>
      </c>
      <c r="O3772" s="300" t="s">
        <v>988</v>
      </c>
      <c r="P3772" s="300">
        <v>4.0</v>
      </c>
    </row>
    <row r="3773">
      <c r="A3773">
        <f>IFERROR(__xludf.DUMMYFUNCTION("""COMPUTED_VALUE"""),10.0)</f>
        <v>10</v>
      </c>
      <c r="B3773" s="406">
        <f>IFERROR(__xludf.DUMMYFUNCTION("""COMPUTED_VALUE"""),28105.0)</f>
        <v>28105</v>
      </c>
      <c r="C3773" t="str">
        <f>IFERROR(__xludf.DUMMYFUNCTION("""COMPUTED_VALUE"""),"TABARES MORENO, LUCAS")</f>
        <v>TABARES MORENO, LUCAS</v>
      </c>
      <c r="D3773" t="str">
        <f>IFERROR(__xludf.DUMMYFUNCTION("""COMPUTED_VALUE"""),"AP Computer Science Principles")</f>
        <v>AP Computer Science Principles</v>
      </c>
      <c r="E3773" s="3">
        <f>IFERROR(__xludf.DUMMYFUNCTION("""COMPUTED_VALUE"""),3.0)</f>
        <v>3</v>
      </c>
      <c r="F3773" s="300">
        <v>1.0</v>
      </c>
      <c r="G3773" s="300">
        <v>1.0</v>
      </c>
      <c r="H3773" s="300">
        <v>1.0</v>
      </c>
      <c r="I3773" s="300">
        <v>1.0</v>
      </c>
      <c r="J3773" s="300">
        <v>1.0</v>
      </c>
      <c r="K3773" s="300">
        <v>1.0</v>
      </c>
      <c r="L3773" s="300">
        <v>1.0</v>
      </c>
      <c r="M3773" s="300">
        <v>1.0</v>
      </c>
      <c r="N3773" s="300">
        <v>8.0</v>
      </c>
      <c r="O3773" s="300" t="s">
        <v>836</v>
      </c>
      <c r="P3773" s="300">
        <v>1.0</v>
      </c>
    </row>
    <row r="3774">
      <c r="A3774">
        <f>IFERROR(__xludf.DUMMYFUNCTION("""COMPUTED_VALUE"""),10.0)</f>
        <v>10</v>
      </c>
      <c r="B3774" s="406">
        <f>IFERROR(__xludf.DUMMYFUNCTION("""COMPUTED_VALUE"""),28017.0)</f>
        <v>28017</v>
      </c>
      <c r="C3774" t="str">
        <f>IFERROR(__xludf.DUMMYFUNCTION("""COMPUTED_VALUE"""),"BUHOFER DUQUE, ANDREAS EMILIO")</f>
        <v>BUHOFER DUQUE, ANDREAS EMILIO</v>
      </c>
      <c r="D3774" t="str">
        <f>IFERROR(__xludf.DUMMYFUNCTION("""COMPUTED_VALUE"""),"Anatomy and Physiology")</f>
        <v>Anatomy and Physiology</v>
      </c>
      <c r="E3774" s="3">
        <f>IFERROR(__xludf.DUMMYFUNCTION("""COMPUTED_VALUE"""),8.0)</f>
        <v>8</v>
      </c>
      <c r="F3774" s="300">
        <v>1.0</v>
      </c>
      <c r="G3774" s="300">
        <v>1.0</v>
      </c>
      <c r="H3774" s="300">
        <v>1.0</v>
      </c>
      <c r="I3774" s="300">
        <v>1.0</v>
      </c>
      <c r="J3774" s="300">
        <v>1.0</v>
      </c>
      <c r="K3774" s="300">
        <v>1.0</v>
      </c>
      <c r="L3774" s="300">
        <v>1.0</v>
      </c>
      <c r="M3774" s="300">
        <v>1.0</v>
      </c>
      <c r="N3774" s="300">
        <v>8.0</v>
      </c>
      <c r="O3774" s="300" t="s">
        <v>894</v>
      </c>
      <c r="P3774" s="300">
        <v>2.0</v>
      </c>
    </row>
    <row r="3775">
      <c r="A3775">
        <f>IFERROR(__xludf.DUMMYFUNCTION("""COMPUTED_VALUE"""),10.0)</f>
        <v>10</v>
      </c>
      <c r="B3775" s="406">
        <f>IFERROR(__xludf.DUMMYFUNCTION("""COMPUTED_VALUE"""),28056.0)</f>
        <v>28056</v>
      </c>
      <c r="C3775" t="str">
        <f>IFERROR(__xludf.DUMMYFUNCTION("""COMPUTED_VALUE"""),"LOPEZ RODRIGUEZ, MAR")</f>
        <v>LOPEZ RODRIGUEZ, MAR</v>
      </c>
      <c r="D3775" t="str">
        <f>IFERROR(__xludf.DUMMYFUNCTION("""COMPUTED_VALUE"""),"AP 2-D Art and Design")</f>
        <v>AP 2-D Art and Design</v>
      </c>
      <c r="E3775" s="3">
        <f>IFERROR(__xludf.DUMMYFUNCTION("""COMPUTED_VALUE"""),1.0)</f>
        <v>1</v>
      </c>
      <c r="F3775" s="300">
        <v>1.0</v>
      </c>
      <c r="G3775" s="300">
        <v>1.0</v>
      </c>
      <c r="H3775" s="300">
        <v>1.0</v>
      </c>
      <c r="I3775" s="300">
        <v>1.0</v>
      </c>
      <c r="J3775" s="300">
        <v>1.0</v>
      </c>
      <c r="K3775" s="300">
        <v>1.0</v>
      </c>
      <c r="L3775" s="300">
        <v>1.0</v>
      </c>
      <c r="M3775" s="300">
        <v>1.0</v>
      </c>
      <c r="N3775" s="300">
        <v>8.0</v>
      </c>
      <c r="O3775" s="300" t="s">
        <v>948</v>
      </c>
      <c r="P3775" s="300">
        <v>1.0</v>
      </c>
    </row>
    <row r="3776">
      <c r="A3776">
        <f>IFERROR(__xludf.DUMMYFUNCTION("""COMPUTED_VALUE"""),10.0)</f>
        <v>10</v>
      </c>
      <c r="B3776" s="406">
        <f>IFERROR(__xludf.DUMMYFUNCTION("""COMPUTED_VALUE"""),27041.0)</f>
        <v>27041</v>
      </c>
      <c r="C3776" t="str">
        <f>IFERROR(__xludf.DUMMYFUNCTION("""COMPUTED_VALUE"""),"GALVEZ ATEHORTUA, JUANITA")</f>
        <v>GALVEZ ATEHORTUA, JUANITA</v>
      </c>
      <c r="D3776" t="str">
        <f>IFERROR(__xludf.DUMMYFUNCTION("""COMPUTED_VALUE"""),"Anatomy and Physiology")</f>
        <v>Anatomy and Physiology</v>
      </c>
      <c r="E3776" s="3">
        <f>IFERROR(__xludf.DUMMYFUNCTION("""COMPUTED_VALUE"""),4.0)</f>
        <v>4</v>
      </c>
      <c r="F3776" s="300">
        <v>1.0</v>
      </c>
      <c r="G3776" s="300">
        <v>1.0</v>
      </c>
      <c r="H3776" s="300">
        <v>1.0</v>
      </c>
      <c r="I3776" s="300">
        <v>1.0</v>
      </c>
      <c r="J3776" s="300">
        <v>1.0</v>
      </c>
      <c r="K3776" s="300">
        <v>1.0</v>
      </c>
      <c r="L3776" s="300">
        <v>1.0</v>
      </c>
      <c r="M3776" s="300">
        <v>1.0</v>
      </c>
      <c r="N3776" s="300">
        <v>8.0</v>
      </c>
      <c r="O3776" s="300" t="s">
        <v>895</v>
      </c>
      <c r="P3776" s="300">
        <v>2.0</v>
      </c>
    </row>
    <row r="3777">
      <c r="A3777">
        <f>IFERROR(__xludf.DUMMYFUNCTION("""COMPUTED_VALUE"""),10.0)</f>
        <v>10</v>
      </c>
      <c r="B3777" s="406">
        <f>IFERROR(__xludf.DUMMYFUNCTION("""COMPUTED_VALUE"""),28058.0)</f>
        <v>28058</v>
      </c>
      <c r="C3777" t="str">
        <f>IFERROR(__xludf.DUMMYFUNCTION("""COMPUTED_VALUE"""),"MARULANDA VARGAS, ELISA")</f>
        <v>MARULANDA VARGAS, ELISA</v>
      </c>
      <c r="D3777" t="str">
        <f>IFERROR(__xludf.DUMMYFUNCTION("""COMPUTED_VALUE"""),"Algebra II")</f>
        <v>Algebra II</v>
      </c>
      <c r="E3777" s="3">
        <f>IFERROR(__xludf.DUMMYFUNCTION("""COMPUTED_VALUE"""),8.0)</f>
        <v>8</v>
      </c>
      <c r="F3777" s="300">
        <v>1.0</v>
      </c>
      <c r="G3777" s="300">
        <v>1.0</v>
      </c>
      <c r="H3777" s="300">
        <v>1.0</v>
      </c>
      <c r="I3777" s="300">
        <v>1.0</v>
      </c>
      <c r="J3777" s="300">
        <v>1.0</v>
      </c>
      <c r="K3777" s="300">
        <v>1.0</v>
      </c>
      <c r="L3777" s="300">
        <v>1.0</v>
      </c>
      <c r="M3777" s="300">
        <v>1.0</v>
      </c>
      <c r="N3777" s="300">
        <v>8.0</v>
      </c>
      <c r="O3777" s="300" t="s">
        <v>850</v>
      </c>
      <c r="P3777" s="300">
        <v>5.0</v>
      </c>
    </row>
    <row r="3778">
      <c r="A3778">
        <f>IFERROR(__xludf.DUMMYFUNCTION("""COMPUTED_VALUE"""),10.0)</f>
        <v>10</v>
      </c>
      <c r="B3778" s="406">
        <f>IFERROR(__xludf.DUMMYFUNCTION("""COMPUTED_VALUE"""),28043.0)</f>
        <v>28043</v>
      </c>
      <c r="C3778" t="str">
        <f>IFERROR(__xludf.DUMMYFUNCTION("""COMPUTED_VALUE"""),"GUTIERREZ ABUCHAR, TOMAS")</f>
        <v>GUTIERREZ ABUCHAR, TOMAS</v>
      </c>
      <c r="D3778" t="str">
        <f>IFERROR(__xludf.DUMMYFUNCTION("""COMPUTED_VALUE"""),"AP Computer Science Principles")</f>
        <v>AP Computer Science Principles</v>
      </c>
      <c r="E3778" s="3">
        <f>IFERROR(__xludf.DUMMYFUNCTION("""COMPUTED_VALUE"""),3.0)</f>
        <v>3</v>
      </c>
      <c r="F3778" s="300">
        <v>1.0</v>
      </c>
      <c r="G3778" s="300">
        <v>1.0</v>
      </c>
      <c r="H3778" s="300">
        <v>1.0</v>
      </c>
      <c r="I3778" s="300">
        <v>1.0</v>
      </c>
      <c r="J3778" s="300">
        <v>1.0</v>
      </c>
      <c r="K3778" s="300">
        <v>1.0</v>
      </c>
      <c r="L3778" s="300">
        <v>1.0</v>
      </c>
      <c r="M3778" s="300">
        <v>1.0</v>
      </c>
      <c r="N3778" s="300">
        <v>8.0</v>
      </c>
      <c r="O3778" s="300" t="s">
        <v>836</v>
      </c>
      <c r="P3778" s="300">
        <v>1.0</v>
      </c>
    </row>
    <row r="3779">
      <c r="A3779">
        <f>IFERROR(__xludf.DUMMYFUNCTION("""COMPUTED_VALUE"""),10.0)</f>
        <v>10</v>
      </c>
      <c r="B3779" s="406">
        <f>IFERROR(__xludf.DUMMYFUNCTION("""COMPUTED_VALUE"""),28113.0)</f>
        <v>28113</v>
      </c>
      <c r="C3779" t="str">
        <f>IFERROR(__xludf.DUMMYFUNCTION("""COMPUTED_VALUE"""),"VELEZ COCK, ELISA")</f>
        <v>VELEZ COCK, ELISA</v>
      </c>
      <c r="D3779" t="str">
        <f>IFERROR(__xludf.DUMMYFUNCTION("""COMPUTED_VALUE"""),"Band Level I")</f>
        <v>Band Level I</v>
      </c>
      <c r="E3779" s="3">
        <f>IFERROR(__xludf.DUMMYFUNCTION("""COMPUTED_VALUE"""),7.0)</f>
        <v>7</v>
      </c>
      <c r="F3779" s="300">
        <v>1.0</v>
      </c>
      <c r="G3779" s="300">
        <v>1.0</v>
      </c>
      <c r="H3779" s="300">
        <v>1.0</v>
      </c>
      <c r="I3779" s="300">
        <v>1.0</v>
      </c>
      <c r="J3779" s="300">
        <v>1.0</v>
      </c>
      <c r="K3779" s="300">
        <v>1.0</v>
      </c>
      <c r="L3779" s="300">
        <v>1.0</v>
      </c>
      <c r="M3779" s="300">
        <v>1.0</v>
      </c>
      <c r="N3779" s="300">
        <v>8.0</v>
      </c>
      <c r="O3779" s="300" t="s">
        <v>936</v>
      </c>
      <c r="P3779" s="300">
        <v>4.0</v>
      </c>
    </row>
    <row r="3780">
      <c r="A3780">
        <f>IFERROR(__xludf.DUMMYFUNCTION("""COMPUTED_VALUE"""),10.0)</f>
        <v>10</v>
      </c>
      <c r="B3780" s="406">
        <f>IFERROR(__xludf.DUMMYFUNCTION("""COMPUTED_VALUE"""),28157.0)</f>
        <v>28157</v>
      </c>
      <c r="C3780" t="str">
        <f>IFERROR(__xludf.DUMMYFUNCTION("""COMPUTED_VALUE"""),"ORTEGA OCHOA, FEDERICO")</f>
        <v>ORTEGA OCHOA, FEDERICO</v>
      </c>
      <c r="D3780" t="str">
        <f>IFERROR(__xludf.DUMMYFUNCTION("""COMPUTED_VALUE"""),"AP Computer Science Principles")</f>
        <v>AP Computer Science Principles</v>
      </c>
      <c r="E3780" s="3">
        <f>IFERROR(__xludf.DUMMYFUNCTION("""COMPUTED_VALUE"""),3.0)</f>
        <v>3</v>
      </c>
      <c r="F3780" s="300">
        <v>1.0</v>
      </c>
      <c r="G3780" s="300">
        <v>1.0</v>
      </c>
      <c r="H3780" s="300">
        <v>1.0</v>
      </c>
      <c r="I3780" s="300">
        <v>1.0</v>
      </c>
      <c r="J3780" s="300">
        <v>1.0</v>
      </c>
      <c r="K3780" s="300">
        <v>1.0</v>
      </c>
      <c r="L3780" s="300">
        <v>1.0</v>
      </c>
      <c r="M3780" s="300">
        <v>1.0</v>
      </c>
      <c r="N3780" s="300">
        <v>8.0</v>
      </c>
      <c r="O3780" s="300" t="s">
        <v>836</v>
      </c>
      <c r="P3780" s="300">
        <v>1.0</v>
      </c>
    </row>
    <row r="3781">
      <c r="A3781">
        <f>IFERROR(__xludf.DUMMYFUNCTION("""COMPUTED_VALUE"""),10.0)</f>
        <v>10</v>
      </c>
      <c r="B3781" s="406">
        <f>IFERROR(__xludf.DUMMYFUNCTION("""COMPUTED_VALUE"""),28098.0)</f>
        <v>28098</v>
      </c>
      <c r="C3781" t="str">
        <f>IFERROR(__xludf.DUMMYFUNCTION("""COMPUTED_VALUE"""),"ROBLEDO LLANO, MAXIMILIANO")</f>
        <v>ROBLEDO LLANO, MAXIMILIANO</v>
      </c>
      <c r="D3781" t="str">
        <f>IFERROR(__xludf.DUMMYFUNCTION("""COMPUTED_VALUE"""),"Algebra II")</f>
        <v>Algebra II</v>
      </c>
      <c r="E3781" s="3">
        <f>IFERROR(__xludf.DUMMYFUNCTION("""COMPUTED_VALUE"""),6.0)</f>
        <v>6</v>
      </c>
      <c r="F3781" s="300">
        <v>1.0</v>
      </c>
      <c r="G3781" s="300">
        <v>1.0</v>
      </c>
      <c r="H3781" s="300">
        <v>1.0</v>
      </c>
      <c r="I3781" s="300">
        <v>1.0</v>
      </c>
      <c r="J3781" s="300">
        <v>1.0</v>
      </c>
      <c r="K3781" s="300">
        <v>1.0</v>
      </c>
      <c r="L3781" s="300">
        <v>1.0</v>
      </c>
      <c r="M3781" s="300">
        <v>1.0</v>
      </c>
      <c r="N3781" s="300">
        <v>8.0</v>
      </c>
      <c r="O3781" s="300" t="s">
        <v>854</v>
      </c>
      <c r="P3781" s="300">
        <v>5.0</v>
      </c>
    </row>
    <row r="3782">
      <c r="A3782">
        <f>IFERROR(__xludf.DUMMYFUNCTION("""COMPUTED_VALUE"""),10.0)</f>
        <v>10</v>
      </c>
      <c r="B3782" s="406">
        <f>IFERROR(__xludf.DUMMYFUNCTION("""COMPUTED_VALUE"""),28117.0)</f>
        <v>28117</v>
      </c>
      <c r="C3782" t="str">
        <f>IFERROR(__xludf.DUMMYFUNCTION("""COMPUTED_VALUE"""),"VILLEGAS BOTERO, MARIANA")</f>
        <v>VILLEGAS BOTERO, MARIANA</v>
      </c>
      <c r="D3782" t="str">
        <f>IFERROR(__xludf.DUMMYFUNCTION("""COMPUTED_VALUE"""),"Anatomy and Physiology")</f>
        <v>Anatomy and Physiology</v>
      </c>
      <c r="E3782" s="3">
        <f>IFERROR(__xludf.DUMMYFUNCTION("""COMPUTED_VALUE"""),8.0)</f>
        <v>8</v>
      </c>
      <c r="F3782" s="300">
        <v>1.0</v>
      </c>
      <c r="G3782" s="300">
        <v>1.0</v>
      </c>
      <c r="H3782" s="300">
        <v>1.0</v>
      </c>
      <c r="I3782" s="300">
        <v>1.0</v>
      </c>
      <c r="J3782" s="300">
        <v>1.0</v>
      </c>
      <c r="K3782" s="300">
        <v>1.0</v>
      </c>
      <c r="L3782" s="300">
        <v>1.0</v>
      </c>
      <c r="M3782" s="300">
        <v>1.0</v>
      </c>
      <c r="N3782" s="300">
        <v>8.0</v>
      </c>
      <c r="O3782" s="300" t="s">
        <v>894</v>
      </c>
      <c r="P3782" s="300">
        <v>2.0</v>
      </c>
    </row>
    <row r="3783">
      <c r="A3783">
        <f>IFERROR(__xludf.DUMMYFUNCTION("""COMPUTED_VALUE"""),10.0)</f>
        <v>10</v>
      </c>
      <c r="B3783" s="406">
        <f>IFERROR(__xludf.DUMMYFUNCTION("""COMPUTED_VALUE"""),28100.0)</f>
        <v>28100</v>
      </c>
      <c r="C3783" t="str">
        <f>IFERROR(__xludf.DUMMYFUNCTION("""COMPUTED_VALUE"""),"RODRIGUEZ SALDARRIAGA, SOFIA")</f>
        <v>RODRIGUEZ SALDARRIAGA, SOFIA</v>
      </c>
      <c r="D3783" t="str">
        <f>IFERROR(__xludf.DUMMYFUNCTION("""COMPUTED_VALUE"""),"Journalism Intermediate Level")</f>
        <v>Journalism Intermediate Level</v>
      </c>
      <c r="E3783" s="3">
        <f>IFERROR(__xludf.DUMMYFUNCTION("""COMPUTED_VALUE"""),2.0)</f>
        <v>2</v>
      </c>
      <c r="F3783" s="300">
        <v>1.0</v>
      </c>
      <c r="G3783" s="300">
        <v>1.0</v>
      </c>
      <c r="H3783" s="300">
        <v>1.0</v>
      </c>
      <c r="I3783" s="300">
        <v>1.0</v>
      </c>
      <c r="J3783" s="300">
        <v>1.0</v>
      </c>
      <c r="K3783" s="300">
        <v>1.0</v>
      </c>
      <c r="L3783" s="300">
        <v>1.0</v>
      </c>
      <c r="M3783" s="300">
        <v>1.0</v>
      </c>
      <c r="N3783" s="300">
        <v>8.0</v>
      </c>
      <c r="O3783" s="300" t="s">
        <v>802</v>
      </c>
      <c r="P3783" s="300">
        <v>2.0</v>
      </c>
    </row>
    <row r="3784">
      <c r="A3784">
        <f>IFERROR(__xludf.DUMMYFUNCTION("""COMPUTED_VALUE"""),10.0)</f>
        <v>10</v>
      </c>
      <c r="B3784" s="406">
        <f>IFERROR(__xludf.DUMMYFUNCTION("""COMPUTED_VALUE"""),28097.0)</f>
        <v>28097</v>
      </c>
      <c r="C3784" t="str">
        <f>IFERROR(__xludf.DUMMYFUNCTION("""COMPUTED_VALUE"""),"RINCON URIBE, CAMILA")</f>
        <v>RINCON URIBE, CAMILA</v>
      </c>
      <c r="D3784" t="str">
        <f>IFERROR(__xludf.DUMMYFUNCTION("""COMPUTED_VALUE"""),"Anatomy and Physiology")</f>
        <v>Anatomy and Physiology</v>
      </c>
      <c r="E3784" s="3">
        <f>IFERROR(__xludf.DUMMYFUNCTION("""COMPUTED_VALUE"""),4.0)</f>
        <v>4</v>
      </c>
      <c r="F3784" s="300">
        <v>1.0</v>
      </c>
      <c r="G3784" s="300">
        <v>1.0</v>
      </c>
      <c r="H3784" s="300">
        <v>1.0</v>
      </c>
      <c r="I3784" s="300">
        <v>1.0</v>
      </c>
      <c r="J3784" s="300">
        <v>1.0</v>
      </c>
      <c r="K3784" s="300">
        <v>1.0</v>
      </c>
      <c r="L3784" s="300">
        <v>1.0</v>
      </c>
      <c r="M3784" s="300">
        <v>1.0</v>
      </c>
      <c r="N3784" s="300">
        <v>8.0</v>
      </c>
      <c r="O3784" s="300" t="s">
        <v>895</v>
      </c>
      <c r="P3784" s="300">
        <v>2.0</v>
      </c>
    </row>
    <row r="3785">
      <c r="A3785">
        <f>IFERROR(__xludf.DUMMYFUNCTION("""COMPUTED_VALUE"""),10.0)</f>
        <v>10</v>
      </c>
      <c r="B3785" s="406">
        <f>IFERROR(__xludf.DUMMYFUNCTION("""COMPUTED_VALUE"""),28053.0)</f>
        <v>28053</v>
      </c>
      <c r="C3785" t="str">
        <f>IFERROR(__xludf.DUMMYFUNCTION("""COMPUTED_VALUE"""),"LOPERA VILLA, ELENA")</f>
        <v>LOPERA VILLA, ELENA</v>
      </c>
      <c r="D3785" t="str">
        <f>IFERROR(__xludf.DUMMYFUNCTION("""COMPUTED_VALUE"""),"Anatomy and Physiology")</f>
        <v>Anatomy and Physiology</v>
      </c>
      <c r="E3785" s="3">
        <f>IFERROR(__xludf.DUMMYFUNCTION("""COMPUTED_VALUE"""),4.0)</f>
        <v>4</v>
      </c>
      <c r="F3785" s="300">
        <v>1.0</v>
      </c>
      <c r="G3785" s="300">
        <v>1.0</v>
      </c>
      <c r="H3785" s="300">
        <v>1.0</v>
      </c>
      <c r="I3785" s="300">
        <v>1.0</v>
      </c>
      <c r="J3785" s="300">
        <v>1.0</v>
      </c>
      <c r="K3785" s="300">
        <v>1.0</v>
      </c>
      <c r="L3785" s="300">
        <v>1.0</v>
      </c>
      <c r="M3785" s="300">
        <v>1.0</v>
      </c>
      <c r="N3785" s="300">
        <v>8.0</v>
      </c>
      <c r="O3785" s="300" t="s">
        <v>895</v>
      </c>
      <c r="P3785" s="300">
        <v>2.0</v>
      </c>
    </row>
    <row r="3786">
      <c r="A3786">
        <f>IFERROR(__xludf.DUMMYFUNCTION("""COMPUTED_VALUE"""),10.0)</f>
        <v>10</v>
      </c>
      <c r="B3786" s="406">
        <f>IFERROR(__xludf.DUMMYFUNCTION("""COMPUTED_VALUE"""),28090.0)</f>
        <v>28090</v>
      </c>
      <c r="C3786" t="str">
        <f>IFERROR(__xludf.DUMMYFUNCTION("""COMPUTED_VALUE"""),"REINOSO TRUJILLO, TOMAS")</f>
        <v>REINOSO TRUJILLO, TOMAS</v>
      </c>
      <c r="D3786" t="str">
        <f>IFERROR(__xludf.DUMMYFUNCTION("""COMPUTED_VALUE"""),"Band Level II")</f>
        <v>Band Level II</v>
      </c>
      <c r="E3786" s="3">
        <f>IFERROR(__xludf.DUMMYFUNCTION("""COMPUTED_VALUE"""),2.0)</f>
        <v>2</v>
      </c>
      <c r="F3786" s="300">
        <v>1.0</v>
      </c>
      <c r="G3786" s="300">
        <v>1.0</v>
      </c>
      <c r="H3786" s="300">
        <v>1.0</v>
      </c>
      <c r="I3786" s="300">
        <v>1.0</v>
      </c>
      <c r="J3786" s="300">
        <v>1.0</v>
      </c>
      <c r="K3786" s="300">
        <v>1.0</v>
      </c>
      <c r="L3786" s="300">
        <v>1.0</v>
      </c>
      <c r="M3786" s="300">
        <v>1.0</v>
      </c>
      <c r="N3786" s="300">
        <v>8.0</v>
      </c>
      <c r="O3786" s="300" t="s">
        <v>940</v>
      </c>
      <c r="P3786" s="300">
        <v>2.0</v>
      </c>
    </row>
    <row r="3787">
      <c r="A3787">
        <f>IFERROR(__xludf.DUMMYFUNCTION("""COMPUTED_VALUE"""),10.0)</f>
        <v>10</v>
      </c>
      <c r="B3787" s="406">
        <f>IFERROR(__xludf.DUMMYFUNCTION("""COMPUTED_VALUE"""),28050.0)</f>
        <v>28050</v>
      </c>
      <c r="C3787" t="str">
        <f>IFERROR(__xludf.DUMMYFUNCTION("""COMPUTED_VALUE"""),"JARAMILLO FERNANDEZ, EMILIO")</f>
        <v>JARAMILLO FERNANDEZ, EMILIO</v>
      </c>
      <c r="D3787" t="str">
        <f>IFERROR(__xludf.DUMMYFUNCTION("""COMPUTED_VALUE"""),"Band Level II")</f>
        <v>Band Level II</v>
      </c>
      <c r="E3787" s="3">
        <f>IFERROR(__xludf.DUMMYFUNCTION("""COMPUTED_VALUE"""),6.0)</f>
        <v>6</v>
      </c>
      <c r="F3787" s="300">
        <v>1.0</v>
      </c>
      <c r="G3787" s="300">
        <v>1.0</v>
      </c>
      <c r="H3787" s="300">
        <v>1.0</v>
      </c>
      <c r="I3787" s="300">
        <v>1.0</v>
      </c>
      <c r="J3787" s="300">
        <v>1.0</v>
      </c>
      <c r="K3787" s="300">
        <v>1.0</v>
      </c>
      <c r="L3787" s="300">
        <v>1.0</v>
      </c>
      <c r="M3787" s="300">
        <v>1.0</v>
      </c>
      <c r="N3787" s="300">
        <v>8.0</v>
      </c>
      <c r="O3787" s="300" t="s">
        <v>942</v>
      </c>
      <c r="P3787" s="300">
        <v>2.0</v>
      </c>
    </row>
    <row r="3788">
      <c r="A3788">
        <f>IFERROR(__xludf.DUMMYFUNCTION("""COMPUTED_VALUE"""),10.0)</f>
        <v>10</v>
      </c>
      <c r="B3788" s="406">
        <f>IFERROR(__xludf.DUMMYFUNCTION("""COMPUTED_VALUE"""),28031.0)</f>
        <v>28031</v>
      </c>
      <c r="C3788" t="str">
        <f>IFERROR(__xludf.DUMMYFUNCTION("""COMPUTED_VALUE"""),"GALLEGO CUARTAS, NICOLAS")</f>
        <v>GALLEGO CUARTAS, NICOLAS</v>
      </c>
      <c r="D3788" t="str">
        <f>IFERROR(__xludf.DUMMYFUNCTION("""COMPUTED_VALUE"""),"Band Level I")</f>
        <v>Band Level I</v>
      </c>
      <c r="E3788" s="3">
        <f>IFERROR(__xludf.DUMMYFUNCTION("""COMPUTED_VALUE"""),8.0)</f>
        <v>8</v>
      </c>
      <c r="F3788" s="300">
        <v>1.0</v>
      </c>
      <c r="G3788" s="300">
        <v>1.0</v>
      </c>
      <c r="H3788" s="300">
        <v>1.0</v>
      </c>
      <c r="I3788" s="300">
        <v>1.0</v>
      </c>
      <c r="J3788" s="300">
        <v>1.0</v>
      </c>
      <c r="K3788" s="300">
        <v>1.0</v>
      </c>
      <c r="L3788" s="300">
        <v>1.0</v>
      </c>
      <c r="M3788" s="300">
        <v>1.0</v>
      </c>
      <c r="N3788" s="300">
        <v>8.0</v>
      </c>
      <c r="O3788" s="300" t="s">
        <v>943</v>
      </c>
      <c r="P3788" s="300">
        <v>4.0</v>
      </c>
    </row>
    <row r="3789">
      <c r="A3789">
        <f>IFERROR(__xludf.DUMMYFUNCTION("""COMPUTED_VALUE"""),10.0)</f>
        <v>10</v>
      </c>
      <c r="B3789" s="406">
        <f>IFERROR(__xludf.DUMMYFUNCTION("""COMPUTED_VALUE"""),28162.0)</f>
        <v>28162</v>
      </c>
      <c r="C3789" t="str">
        <f>IFERROR(__xludf.DUMMYFUNCTION("""COMPUTED_VALUE"""),"OSPINA BENEDETI, AGUSTIN")</f>
        <v>OSPINA BENEDETI, AGUSTIN</v>
      </c>
      <c r="D3789" t="str">
        <f>IFERROR(__xludf.DUMMYFUNCTION("""COMPUTED_VALUE"""),"Painting I")</f>
        <v>Painting I</v>
      </c>
      <c r="E3789" s="3">
        <f>IFERROR(__xludf.DUMMYFUNCTION("""COMPUTED_VALUE"""),5.0)</f>
        <v>5</v>
      </c>
      <c r="F3789" s="300">
        <v>1.0</v>
      </c>
      <c r="G3789" s="300">
        <v>1.0</v>
      </c>
      <c r="H3789" s="300">
        <v>1.0</v>
      </c>
      <c r="I3789" s="300">
        <v>1.0</v>
      </c>
      <c r="J3789" s="300">
        <v>1.0</v>
      </c>
      <c r="K3789" s="300">
        <v>1.0</v>
      </c>
      <c r="L3789" s="300">
        <v>1.0</v>
      </c>
      <c r="M3789" s="300">
        <v>1.0</v>
      </c>
      <c r="N3789" s="300">
        <v>8.0</v>
      </c>
      <c r="O3789" s="300" t="s">
        <v>945</v>
      </c>
      <c r="P3789" s="300">
        <v>4.0</v>
      </c>
    </row>
    <row r="3790">
      <c r="A3790">
        <f>IFERROR(__xludf.DUMMYFUNCTION("""COMPUTED_VALUE"""),10.0)</f>
        <v>10</v>
      </c>
      <c r="B3790" s="406">
        <f>IFERROR(__xludf.DUMMYFUNCTION("""COMPUTED_VALUE"""),28121.0)</f>
        <v>28121</v>
      </c>
      <c r="C3790" t="str">
        <f>IFERROR(__xludf.DUMMYFUNCTION("""COMPUTED_VALUE"""),"MC LEAN HIDRON, LUCAS")</f>
        <v>MC LEAN HIDRON, LUCAS</v>
      </c>
      <c r="D3790" t="str">
        <f>IFERROR(__xludf.DUMMYFUNCTION("""COMPUTED_VALUE"""),"Band Level I")</f>
        <v>Band Level I</v>
      </c>
      <c r="E3790" s="3">
        <f>IFERROR(__xludf.DUMMYFUNCTION("""COMPUTED_VALUE"""),4.0)</f>
        <v>4</v>
      </c>
      <c r="F3790" s="300">
        <v>1.0</v>
      </c>
      <c r="G3790" s="300">
        <v>1.0</v>
      </c>
      <c r="H3790" s="300">
        <v>1.0</v>
      </c>
      <c r="I3790" s="300">
        <v>1.0</v>
      </c>
      <c r="J3790" s="300">
        <v>1.0</v>
      </c>
      <c r="K3790" s="300">
        <v>1.0</v>
      </c>
      <c r="L3790" s="300">
        <v>1.0</v>
      </c>
      <c r="M3790" s="300">
        <v>1.0</v>
      </c>
      <c r="N3790" s="300">
        <v>8.0</v>
      </c>
      <c r="O3790" s="300" t="s">
        <v>937</v>
      </c>
      <c r="P3790" s="300">
        <v>4.0</v>
      </c>
    </row>
    <row r="3791">
      <c r="A3791">
        <f>IFERROR(__xludf.DUMMYFUNCTION("""COMPUTED_VALUE"""),10.0)</f>
        <v>10</v>
      </c>
      <c r="B3791" s="406">
        <f>IFERROR(__xludf.DUMMYFUNCTION("""COMPUTED_VALUE"""),28016.0)</f>
        <v>28016</v>
      </c>
      <c r="C3791" t="str">
        <f>IFERROR(__xludf.DUMMYFUNCTION("""COMPUTED_VALUE"""),"BOTERO CASTAÑEDA, CARMEN")</f>
        <v>BOTERO CASTAÑEDA, CARMEN</v>
      </c>
      <c r="D3791" t="str">
        <f>IFERROR(__xludf.DUMMYFUNCTION("""COMPUTED_VALUE"""),"Painting II")</f>
        <v>Painting II</v>
      </c>
      <c r="E3791" s="3">
        <f>IFERROR(__xludf.DUMMYFUNCTION("""COMPUTED_VALUE"""),7.0)</f>
        <v>7</v>
      </c>
      <c r="F3791" s="300">
        <v>1.0</v>
      </c>
      <c r="G3791" s="300">
        <v>1.0</v>
      </c>
      <c r="H3791" s="300">
        <v>1.0</v>
      </c>
      <c r="I3791" s="300">
        <v>1.0</v>
      </c>
      <c r="J3791" s="300">
        <v>1.0</v>
      </c>
      <c r="K3791" s="300">
        <v>1.0</v>
      </c>
      <c r="L3791" s="300">
        <v>1.0</v>
      </c>
      <c r="M3791" s="300">
        <v>1.0</v>
      </c>
      <c r="N3791" s="300">
        <v>8.0</v>
      </c>
      <c r="O3791" s="300" t="s">
        <v>935</v>
      </c>
      <c r="P3791" s="300">
        <v>2.0</v>
      </c>
    </row>
    <row r="3792">
      <c r="A3792">
        <f>IFERROR(__xludf.DUMMYFUNCTION("""COMPUTED_VALUE"""),10.0)</f>
        <v>10</v>
      </c>
      <c r="B3792" s="406">
        <f>IFERROR(__xludf.DUMMYFUNCTION("""COMPUTED_VALUE"""),28170.0)</f>
        <v>28170</v>
      </c>
      <c r="C3792" t="str">
        <f>IFERROR(__xludf.DUMMYFUNCTION("""COMPUTED_VALUE"""),"GOMEZ AMADOR, EMMA")</f>
        <v>GOMEZ AMADOR, EMMA</v>
      </c>
      <c r="D3792" t="str">
        <f>IFERROR(__xludf.DUMMYFUNCTION("""COMPUTED_VALUE"""),"Anatomy and Physiology")</f>
        <v>Anatomy and Physiology</v>
      </c>
      <c r="E3792" s="3">
        <f>IFERROR(__xludf.DUMMYFUNCTION("""COMPUTED_VALUE"""),8.0)</f>
        <v>8</v>
      </c>
      <c r="F3792" s="300">
        <v>1.0</v>
      </c>
      <c r="G3792" s="300">
        <v>1.0</v>
      </c>
      <c r="H3792" s="300">
        <v>1.0</v>
      </c>
      <c r="I3792" s="300">
        <v>1.0</v>
      </c>
      <c r="J3792" s="300">
        <v>1.0</v>
      </c>
      <c r="K3792" s="300">
        <v>1.0</v>
      </c>
      <c r="L3792" s="300">
        <v>1.0</v>
      </c>
      <c r="M3792" s="300">
        <v>1.0</v>
      </c>
      <c r="N3792" s="300">
        <v>8.0</v>
      </c>
      <c r="O3792" s="300" t="s">
        <v>894</v>
      </c>
      <c r="P3792" s="300">
        <v>2.0</v>
      </c>
    </row>
    <row r="3793">
      <c r="A3793">
        <f>IFERROR(__xludf.DUMMYFUNCTION("""COMPUTED_VALUE"""),10.0)</f>
        <v>10</v>
      </c>
      <c r="B3793" s="406">
        <f>IFERROR(__xludf.DUMMYFUNCTION("""COMPUTED_VALUE"""),28054.0)</f>
        <v>28054</v>
      </c>
      <c r="C3793" t="str">
        <f>IFERROR(__xludf.DUMMYFUNCTION("""COMPUTED_VALUE"""),"LOPEZ ESCOBAR, CLEMENTE")</f>
        <v>LOPEZ ESCOBAR, CLEMENTE</v>
      </c>
      <c r="D3793" t="str">
        <f>IFERROR(__xludf.DUMMYFUNCTION("""COMPUTED_VALUE"""),"Anatomy and Physiology")</f>
        <v>Anatomy and Physiology</v>
      </c>
      <c r="E3793" s="3">
        <f>IFERROR(__xludf.DUMMYFUNCTION("""COMPUTED_VALUE"""),8.0)</f>
        <v>8</v>
      </c>
      <c r="F3793" s="300">
        <v>1.0</v>
      </c>
      <c r="G3793" s="300">
        <v>1.0</v>
      </c>
      <c r="H3793" s="300">
        <v>1.0</v>
      </c>
      <c r="I3793" s="300">
        <v>1.0</v>
      </c>
      <c r="J3793" s="300">
        <v>1.0</v>
      </c>
      <c r="K3793" s="300">
        <v>1.0</v>
      </c>
      <c r="L3793" s="300">
        <v>1.0</v>
      </c>
      <c r="M3793" s="300">
        <v>1.0</v>
      </c>
      <c r="N3793" s="300">
        <v>8.0</v>
      </c>
      <c r="O3793" s="300" t="s">
        <v>894</v>
      </c>
      <c r="P3793" s="300">
        <v>2.0</v>
      </c>
    </row>
    <row r="3794">
      <c r="A3794">
        <f>IFERROR(__xludf.DUMMYFUNCTION("""COMPUTED_VALUE"""),10.0)</f>
        <v>10</v>
      </c>
      <c r="B3794" s="406">
        <f>IFERROR(__xludf.DUMMYFUNCTION("""COMPUTED_VALUE"""),28003.0)</f>
        <v>28003</v>
      </c>
      <c r="C3794" t="str">
        <f>IFERROR(__xludf.DUMMYFUNCTION("""COMPUTED_VALUE"""),"ARANGO DUQUE, TOMAS")</f>
        <v>ARANGO DUQUE, TOMAS</v>
      </c>
      <c r="D3794" t="str">
        <f>IFERROR(__xludf.DUMMYFUNCTION("""COMPUTED_VALUE"""),"Band Level I")</f>
        <v>Band Level I</v>
      </c>
      <c r="E3794" s="3">
        <f>IFERROR(__xludf.DUMMYFUNCTION("""COMPUTED_VALUE"""),3.0)</f>
        <v>3</v>
      </c>
      <c r="F3794" s="300">
        <v>1.0</v>
      </c>
      <c r="G3794" s="300">
        <v>1.0</v>
      </c>
      <c r="H3794" s="300">
        <v>1.0</v>
      </c>
      <c r="I3794" s="300">
        <v>1.0</v>
      </c>
      <c r="J3794" s="300">
        <v>1.0</v>
      </c>
      <c r="K3794" s="300">
        <v>1.0</v>
      </c>
      <c r="L3794" s="300">
        <v>1.0</v>
      </c>
      <c r="M3794" s="300">
        <v>1.0</v>
      </c>
      <c r="N3794" s="300">
        <v>8.0</v>
      </c>
      <c r="O3794" s="300" t="s">
        <v>990</v>
      </c>
      <c r="P3794" s="300">
        <v>4.0</v>
      </c>
    </row>
    <row r="3795">
      <c r="A3795">
        <f>IFERROR(__xludf.DUMMYFUNCTION("""COMPUTED_VALUE"""),10.0)</f>
        <v>10</v>
      </c>
      <c r="B3795" s="406">
        <f>IFERROR(__xludf.DUMMYFUNCTION("""COMPUTED_VALUE"""),28103.0)</f>
        <v>28103</v>
      </c>
      <c r="C3795" t="str">
        <f>IFERROR(__xludf.DUMMYFUNCTION("""COMPUTED_VALUE"""),"SANIN VELASQUEZ, ISRAEL")</f>
        <v>SANIN VELASQUEZ, ISRAEL</v>
      </c>
      <c r="D3795" t="str">
        <f>IFERROR(__xludf.DUMMYFUNCTION("""COMPUTED_VALUE"""),"Band Level I")</f>
        <v>Band Level I</v>
      </c>
      <c r="E3795" s="3">
        <f>IFERROR(__xludf.DUMMYFUNCTION("""COMPUTED_VALUE"""),4.0)</f>
        <v>4</v>
      </c>
      <c r="F3795" s="300">
        <v>1.0</v>
      </c>
      <c r="G3795" s="300">
        <v>1.0</v>
      </c>
      <c r="H3795" s="300">
        <v>1.0</v>
      </c>
      <c r="I3795" s="300">
        <v>1.0</v>
      </c>
      <c r="J3795" s="300">
        <v>1.0</v>
      </c>
      <c r="K3795" s="300">
        <v>1.0</v>
      </c>
      <c r="L3795" s="300">
        <v>1.0</v>
      </c>
      <c r="M3795" s="300">
        <v>1.0</v>
      </c>
      <c r="N3795" s="300">
        <v>8.0</v>
      </c>
      <c r="O3795" s="300" t="s">
        <v>937</v>
      </c>
      <c r="P3795" s="300">
        <v>4.0</v>
      </c>
    </row>
    <row r="3796">
      <c r="A3796">
        <f>IFERROR(__xludf.DUMMYFUNCTION("""COMPUTED_VALUE"""),10.0)</f>
        <v>10</v>
      </c>
      <c r="B3796" s="406">
        <f>IFERROR(__xludf.DUMMYFUNCTION("""COMPUTED_VALUE"""),28163.0)</f>
        <v>28163</v>
      </c>
      <c r="C3796" t="str">
        <f>IFERROR(__xludf.DUMMYFUNCTION("""COMPUTED_VALUE"""),"GARCIA VALENCIA, EMILIO")</f>
        <v>GARCIA VALENCIA, EMILIO</v>
      </c>
      <c r="D3796" t="str">
        <f>IFERROR(__xludf.DUMMYFUNCTION("""COMPUTED_VALUE"""),"Band Level I")</f>
        <v>Band Level I</v>
      </c>
      <c r="E3796" s="3">
        <f>IFERROR(__xludf.DUMMYFUNCTION("""COMPUTED_VALUE"""),8.0)</f>
        <v>8</v>
      </c>
      <c r="F3796" s="300">
        <v>1.0</v>
      </c>
      <c r="G3796" s="300">
        <v>1.0</v>
      </c>
      <c r="H3796" s="300">
        <v>1.0</v>
      </c>
      <c r="I3796" s="300">
        <v>1.0</v>
      </c>
      <c r="J3796" s="300">
        <v>1.0</v>
      </c>
      <c r="K3796" s="300">
        <v>1.0</v>
      </c>
      <c r="L3796" s="300">
        <v>1.0</v>
      </c>
      <c r="M3796" s="300">
        <v>1.0</v>
      </c>
      <c r="N3796" s="300">
        <v>8.0</v>
      </c>
      <c r="O3796" s="300" t="s">
        <v>943</v>
      </c>
      <c r="P3796" s="300">
        <v>4.0</v>
      </c>
    </row>
    <row r="3797">
      <c r="A3797">
        <f>IFERROR(__xludf.DUMMYFUNCTION("""COMPUTED_VALUE"""),10.0)</f>
        <v>10</v>
      </c>
      <c r="B3797" s="406">
        <f>IFERROR(__xludf.DUMMYFUNCTION("""COMPUTED_VALUE"""),28074.0)</f>
        <v>28074</v>
      </c>
      <c r="C3797" t="str">
        <f>IFERROR(__xludf.DUMMYFUNCTION("""COMPUTED_VALUE"""),"NAVARRO VILLA, JUAN MARTIN")</f>
        <v>NAVARRO VILLA, JUAN MARTIN</v>
      </c>
      <c r="D3797" t="str">
        <f>IFERROR(__xludf.DUMMYFUNCTION("""COMPUTED_VALUE"""),"Band Level I")</f>
        <v>Band Level I</v>
      </c>
      <c r="E3797" s="3">
        <f>IFERROR(__xludf.DUMMYFUNCTION("""COMPUTED_VALUE"""),3.0)</f>
        <v>3</v>
      </c>
      <c r="F3797" s="300">
        <v>1.0</v>
      </c>
      <c r="G3797" s="300">
        <v>1.0</v>
      </c>
      <c r="H3797" s="300">
        <v>1.0</v>
      </c>
      <c r="I3797" s="300">
        <v>1.0</v>
      </c>
      <c r="J3797" s="300">
        <v>1.0</v>
      </c>
      <c r="K3797" s="300">
        <v>1.0</v>
      </c>
      <c r="L3797" s="300">
        <v>1.0</v>
      </c>
      <c r="M3797" s="300">
        <v>1.0</v>
      </c>
      <c r="N3797" s="300">
        <v>8.0</v>
      </c>
      <c r="O3797" s="300" t="s">
        <v>990</v>
      </c>
      <c r="P3797" s="300">
        <v>4.0</v>
      </c>
    </row>
    <row r="3798">
      <c r="A3798">
        <f>IFERROR(__xludf.DUMMYFUNCTION("""COMPUTED_VALUE"""),10.0)</f>
        <v>10</v>
      </c>
      <c r="B3798" s="406">
        <f>IFERROR(__xludf.DUMMYFUNCTION("""COMPUTED_VALUE"""),28173.0)</f>
        <v>28173</v>
      </c>
      <c r="C3798" t="str">
        <f>IFERROR(__xludf.DUMMYFUNCTION("""COMPUTED_VALUE"""),"RUIZ RAMIREZ, JACOBO")</f>
        <v>RUIZ RAMIREZ, JACOBO</v>
      </c>
      <c r="D3798" t="str">
        <f>IFERROR(__xludf.DUMMYFUNCTION("""COMPUTED_VALUE"""),"Band Level I")</f>
        <v>Band Level I</v>
      </c>
      <c r="E3798" s="3">
        <f>IFERROR(__xludf.DUMMYFUNCTION("""COMPUTED_VALUE"""),7.0)</f>
        <v>7</v>
      </c>
      <c r="F3798" s="300">
        <v>1.0</v>
      </c>
      <c r="G3798" s="300">
        <v>1.0</v>
      </c>
      <c r="H3798" s="300">
        <v>1.0</v>
      </c>
      <c r="I3798" s="300">
        <v>1.0</v>
      </c>
      <c r="J3798" s="300">
        <v>1.0</v>
      </c>
      <c r="K3798" s="300">
        <v>1.0</v>
      </c>
      <c r="L3798" s="300">
        <v>1.0</v>
      </c>
      <c r="M3798" s="300">
        <v>1.0</v>
      </c>
      <c r="N3798" s="300">
        <v>8.0</v>
      </c>
      <c r="O3798" s="300" t="s">
        <v>936</v>
      </c>
      <c r="P3798" s="300">
        <v>4.0</v>
      </c>
    </row>
    <row r="3799">
      <c r="A3799">
        <f>IFERROR(__xludf.DUMMYFUNCTION("""COMPUTED_VALUE"""),10.0)</f>
        <v>10</v>
      </c>
      <c r="B3799" s="406">
        <f>IFERROR(__xludf.DUMMYFUNCTION("""COMPUTED_VALUE"""),28159.0)</f>
        <v>28159</v>
      </c>
      <c r="C3799" t="str">
        <f>IFERROR(__xludf.DUMMYFUNCTION("""COMPUTED_VALUE"""),"OROZCO RINCON, JUAN SEBASTIAN")</f>
        <v>OROZCO RINCON, JUAN SEBASTIAN</v>
      </c>
      <c r="D3799" t="str">
        <f>IFERROR(__xludf.DUMMYFUNCTION("""COMPUTED_VALUE"""),"AP Drawing")</f>
        <v>AP Drawing</v>
      </c>
      <c r="E3799" s="3">
        <f>IFERROR(__xludf.DUMMYFUNCTION("""COMPUTED_VALUE"""),8.0)</f>
        <v>8</v>
      </c>
      <c r="F3799" s="300">
        <v>1.0</v>
      </c>
      <c r="G3799" s="300">
        <v>1.0</v>
      </c>
      <c r="H3799" s="300">
        <v>1.0</v>
      </c>
      <c r="I3799" s="300">
        <v>1.0</v>
      </c>
      <c r="J3799" s="300">
        <v>1.0</v>
      </c>
      <c r="K3799" s="300">
        <v>1.0</v>
      </c>
      <c r="L3799" s="300">
        <v>1.0</v>
      </c>
      <c r="M3799" s="300">
        <v>1.0</v>
      </c>
      <c r="N3799" s="300">
        <v>8.0</v>
      </c>
      <c r="O3799" s="300" t="s">
        <v>933</v>
      </c>
      <c r="P3799" s="300">
        <v>1.0</v>
      </c>
    </row>
    <row r="3800">
      <c r="A3800">
        <f>IFERROR(__xludf.DUMMYFUNCTION("""COMPUTED_VALUE"""),10.0)</f>
        <v>10</v>
      </c>
      <c r="B3800" s="406">
        <f>IFERROR(__xludf.DUMMYFUNCTION("""COMPUTED_VALUE"""),28063.0)</f>
        <v>28063</v>
      </c>
      <c r="C3800" t="str">
        <f>IFERROR(__xludf.DUMMYFUNCTION("""COMPUTED_VALUE"""),"MEJIA GONZALEZ, ISMAEL IGNACIO")</f>
        <v>MEJIA GONZALEZ, ISMAEL IGNACIO</v>
      </c>
      <c r="D3800" t="str">
        <f>IFERROR(__xludf.DUMMYFUNCTION("""COMPUTED_VALUE"""),"Anatomy and Physiology")</f>
        <v>Anatomy and Physiology</v>
      </c>
      <c r="E3800" s="3">
        <f>IFERROR(__xludf.DUMMYFUNCTION("""COMPUTED_VALUE"""),8.0)</f>
        <v>8</v>
      </c>
      <c r="F3800" s="300">
        <v>1.0</v>
      </c>
      <c r="G3800" s="300">
        <v>1.0</v>
      </c>
      <c r="H3800" s="300">
        <v>1.0</v>
      </c>
      <c r="I3800" s="300">
        <v>1.0</v>
      </c>
      <c r="J3800" s="300">
        <v>1.0</v>
      </c>
      <c r="K3800" s="300">
        <v>1.0</v>
      </c>
      <c r="L3800" s="300">
        <v>1.0</v>
      </c>
      <c r="M3800" s="300">
        <v>1.0</v>
      </c>
      <c r="N3800" s="300">
        <v>8.0</v>
      </c>
      <c r="O3800" s="300" t="s">
        <v>894</v>
      </c>
      <c r="P3800" s="300">
        <v>2.0</v>
      </c>
    </row>
    <row r="3801">
      <c r="A3801">
        <f>IFERROR(__xludf.DUMMYFUNCTION("""COMPUTED_VALUE"""),10.0)</f>
        <v>10</v>
      </c>
      <c r="B3801" s="406">
        <f>IFERROR(__xludf.DUMMYFUNCTION("""COMPUTED_VALUE"""),28155.0)</f>
        <v>28155</v>
      </c>
      <c r="C3801" t="str">
        <f>IFERROR(__xludf.DUMMYFUNCTION("""COMPUTED_VALUE"""),"URIBE CERON, MANUELA")</f>
        <v>URIBE CERON, MANUELA</v>
      </c>
      <c r="D3801" t="str">
        <f>IFERROR(__xludf.DUMMYFUNCTION("""COMPUTED_VALUE"""),"Journalism Intermediate Level")</f>
        <v>Journalism Intermediate Level</v>
      </c>
      <c r="E3801" s="3">
        <f>IFERROR(__xludf.DUMMYFUNCTION("""COMPUTED_VALUE"""),2.0)</f>
        <v>2</v>
      </c>
      <c r="F3801" s="300">
        <v>1.0</v>
      </c>
      <c r="G3801" s="300">
        <v>1.0</v>
      </c>
      <c r="H3801" s="300">
        <v>1.0</v>
      </c>
      <c r="I3801" s="300">
        <v>1.0</v>
      </c>
      <c r="J3801" s="300">
        <v>1.0</v>
      </c>
      <c r="K3801" s="300">
        <v>1.0</v>
      </c>
      <c r="L3801" s="300">
        <v>1.0</v>
      </c>
      <c r="M3801" s="300">
        <v>1.0</v>
      </c>
      <c r="N3801" s="300">
        <v>8.0</v>
      </c>
      <c r="O3801" s="300" t="s">
        <v>802</v>
      </c>
      <c r="P3801" s="300">
        <v>2.0</v>
      </c>
    </row>
    <row r="3802">
      <c r="A3802">
        <f>IFERROR(__xludf.DUMMYFUNCTION("""COMPUTED_VALUE"""),10.0)</f>
        <v>10</v>
      </c>
      <c r="B3802" s="406">
        <f>IFERROR(__xludf.DUMMYFUNCTION("""COMPUTED_VALUE"""),28109.0)</f>
        <v>28109</v>
      </c>
      <c r="C3802" t="str">
        <f>IFERROR(__xludf.DUMMYFUNCTION("""COMPUTED_VALUE"""),"TRUJILLO VELEZ, MARIANA")</f>
        <v>TRUJILLO VELEZ, MARIANA</v>
      </c>
      <c r="D3802" t="str">
        <f>IFERROR(__xludf.DUMMYFUNCTION("""COMPUTED_VALUE"""),"Sculpture I")</f>
        <v>Sculpture I</v>
      </c>
      <c r="E3802" s="3">
        <f>IFERROR(__xludf.DUMMYFUNCTION("""COMPUTED_VALUE"""),4.0)</f>
        <v>4</v>
      </c>
      <c r="F3802" s="300">
        <v>1.0</v>
      </c>
      <c r="G3802" s="300">
        <v>1.0</v>
      </c>
      <c r="H3802" s="300">
        <v>1.0</v>
      </c>
      <c r="I3802" s="300">
        <v>1.0</v>
      </c>
      <c r="J3802" s="300">
        <v>1.0</v>
      </c>
      <c r="K3802" s="300">
        <v>1.0</v>
      </c>
      <c r="L3802" s="300">
        <v>1.0</v>
      </c>
      <c r="M3802" s="300">
        <v>1.0</v>
      </c>
      <c r="N3802" s="300">
        <v>8.0</v>
      </c>
      <c r="O3802" s="300" t="s">
        <v>989</v>
      </c>
      <c r="P3802" s="300">
        <v>2.0</v>
      </c>
    </row>
    <row r="3803">
      <c r="A3803">
        <f>IFERROR(__xludf.DUMMYFUNCTION("""COMPUTED_VALUE"""),10.0)</f>
        <v>10</v>
      </c>
      <c r="B3803" s="406">
        <f>IFERROR(__xludf.DUMMYFUNCTION("""COMPUTED_VALUE"""),28108.0)</f>
        <v>28108</v>
      </c>
      <c r="C3803" t="str">
        <f>IFERROR(__xludf.DUMMYFUNCTION("""COMPUTED_VALUE"""),"TRUJILLO SOTO, SUSANA")</f>
        <v>TRUJILLO SOTO, SUSANA</v>
      </c>
      <c r="D3803" t="str">
        <f>IFERROR(__xludf.DUMMYFUNCTION("""COMPUTED_VALUE"""),"Sculpture I")</f>
        <v>Sculpture I</v>
      </c>
      <c r="E3803" s="3">
        <f>IFERROR(__xludf.DUMMYFUNCTION("""COMPUTED_VALUE"""),4.0)</f>
        <v>4</v>
      </c>
      <c r="F3803" s="300">
        <v>1.0</v>
      </c>
      <c r="G3803" s="300">
        <v>1.0</v>
      </c>
      <c r="H3803" s="300">
        <v>1.0</v>
      </c>
      <c r="I3803" s="300">
        <v>1.0</v>
      </c>
      <c r="J3803" s="300">
        <v>1.0</v>
      </c>
      <c r="K3803" s="300">
        <v>1.0</v>
      </c>
      <c r="L3803" s="300">
        <v>1.0</v>
      </c>
      <c r="M3803" s="300">
        <v>1.0</v>
      </c>
      <c r="N3803" s="300">
        <v>8.0</v>
      </c>
      <c r="O3803" s="300" t="s">
        <v>989</v>
      </c>
      <c r="P3803" s="300">
        <v>2.0</v>
      </c>
    </row>
    <row r="3804">
      <c r="A3804">
        <f>IFERROR(__xludf.DUMMYFUNCTION("""COMPUTED_VALUE"""),10.0)</f>
        <v>10</v>
      </c>
      <c r="B3804" s="406">
        <f>IFERROR(__xludf.DUMMYFUNCTION("""COMPUTED_VALUE"""),27094.0)</f>
        <v>27094</v>
      </c>
      <c r="C3804" t="str">
        <f>IFERROR(__xludf.DUMMYFUNCTION("""COMPUTED_VALUE"""),"RAMIREZ CORREA, TOMAS")</f>
        <v>RAMIREZ CORREA, TOMAS</v>
      </c>
      <c r="D3804" t="str">
        <f>IFERROR(__xludf.DUMMYFUNCTION("""COMPUTED_VALUE"""),"AP Computer Science Principles")</f>
        <v>AP Computer Science Principles</v>
      </c>
      <c r="E3804" s="3">
        <f>IFERROR(__xludf.DUMMYFUNCTION("""COMPUTED_VALUE"""),3.0)</f>
        <v>3</v>
      </c>
      <c r="F3804" s="300">
        <v>1.0</v>
      </c>
      <c r="G3804" s="300">
        <v>1.0</v>
      </c>
      <c r="H3804" s="300">
        <v>1.0</v>
      </c>
      <c r="I3804" s="300">
        <v>1.0</v>
      </c>
      <c r="J3804" s="300">
        <v>1.0</v>
      </c>
      <c r="K3804" s="300">
        <v>1.0</v>
      </c>
      <c r="L3804" s="300">
        <v>1.0</v>
      </c>
      <c r="M3804" s="300">
        <v>1.0</v>
      </c>
      <c r="N3804" s="300">
        <v>8.0</v>
      </c>
      <c r="O3804" s="300" t="s">
        <v>836</v>
      </c>
      <c r="P3804" s="300">
        <v>1.0</v>
      </c>
    </row>
    <row r="3805">
      <c r="A3805">
        <f>IFERROR(__xludf.DUMMYFUNCTION("""COMPUTED_VALUE"""),10.0)</f>
        <v>10</v>
      </c>
      <c r="B3805" s="406">
        <f>IFERROR(__xludf.DUMMYFUNCTION("""COMPUTED_VALUE"""),28171.0)</f>
        <v>28171</v>
      </c>
      <c r="C3805" t="str">
        <f>IFERROR(__xludf.DUMMYFUNCTION("""COMPUTED_VALUE"""),"DE MUNCK MORTIER, JULIE")</f>
        <v>DE MUNCK MORTIER, JULIE</v>
      </c>
      <c r="D3805" t="str">
        <f>IFERROR(__xludf.DUMMYFUNCTION("""COMPUTED_VALUE"""),"Anatomy and Physiology")</f>
        <v>Anatomy and Physiology</v>
      </c>
      <c r="E3805" s="3">
        <f>IFERROR(__xludf.DUMMYFUNCTION("""COMPUTED_VALUE"""),8.0)</f>
        <v>8</v>
      </c>
      <c r="F3805" s="300">
        <v>1.0</v>
      </c>
      <c r="G3805" s="300">
        <v>1.0</v>
      </c>
      <c r="H3805" s="300">
        <v>1.0</v>
      </c>
      <c r="I3805" s="300">
        <v>1.0</v>
      </c>
      <c r="J3805" s="300">
        <v>1.0</v>
      </c>
      <c r="K3805" s="300">
        <v>1.0</v>
      </c>
      <c r="L3805" s="300">
        <v>1.0</v>
      </c>
      <c r="M3805" s="300">
        <v>1.0</v>
      </c>
      <c r="N3805" s="300">
        <v>8.0</v>
      </c>
      <c r="O3805" s="300" t="s">
        <v>894</v>
      </c>
      <c r="P3805" s="300">
        <v>2.0</v>
      </c>
    </row>
    <row r="3806">
      <c r="A3806">
        <f>IFERROR(__xludf.DUMMYFUNCTION("""COMPUTED_VALUE"""),10.0)</f>
        <v>10</v>
      </c>
      <c r="B3806" s="406">
        <f>IFERROR(__xludf.DUMMYFUNCTION("""COMPUTED_VALUE"""),28174.0)</f>
        <v>28174</v>
      </c>
      <c r="C3806" t="str">
        <f>IFERROR(__xludf.DUMMYFUNCTION("""COMPUTED_VALUE"""),"SANCHEZ HAVARD, VANESA FAITH")</f>
        <v>SANCHEZ HAVARD, VANESA FAITH</v>
      </c>
      <c r="D3806" t="str">
        <f>IFERROR(__xludf.DUMMYFUNCTION("""COMPUTED_VALUE"""),"Painting II")</f>
        <v>Painting II</v>
      </c>
      <c r="E3806" s="3">
        <f>IFERROR(__xludf.DUMMYFUNCTION("""COMPUTED_VALUE"""),1.0)</f>
        <v>1</v>
      </c>
      <c r="F3806" s="300">
        <v>1.0</v>
      </c>
      <c r="G3806" s="300">
        <v>1.0</v>
      </c>
      <c r="H3806" s="300">
        <v>1.0</v>
      </c>
      <c r="I3806" s="300">
        <v>1.0</v>
      </c>
      <c r="J3806" s="300">
        <v>1.0</v>
      </c>
      <c r="K3806" s="300">
        <v>1.0</v>
      </c>
      <c r="L3806" s="300">
        <v>1.0</v>
      </c>
      <c r="M3806" s="300">
        <v>1.0</v>
      </c>
      <c r="N3806" s="300">
        <v>8.0</v>
      </c>
      <c r="O3806" s="300" t="s">
        <v>939</v>
      </c>
      <c r="P3806" s="300">
        <v>2.0</v>
      </c>
    </row>
    <row r="3807">
      <c r="A3807">
        <f>IFERROR(__xludf.DUMMYFUNCTION("""COMPUTED_VALUE"""),10.0)</f>
        <v>10</v>
      </c>
      <c r="B3807" s="406">
        <f>IFERROR(__xludf.DUMMYFUNCTION("""COMPUTED_VALUE"""),28158.0)</f>
        <v>28158</v>
      </c>
      <c r="C3807" t="str">
        <f>IFERROR(__xludf.DUMMYFUNCTION("""COMPUTED_VALUE"""),"ZARRUK BELTRAN, MARTIN")</f>
        <v>ZARRUK BELTRAN, MARTIN</v>
      </c>
      <c r="D3807" t="str">
        <f>IFERROR(__xludf.DUMMYFUNCTION("""COMPUTED_VALUE"""),"AP Computer Science Principles")</f>
        <v>AP Computer Science Principles</v>
      </c>
      <c r="E3807" s="3">
        <f>IFERROR(__xludf.DUMMYFUNCTION("""COMPUTED_VALUE"""),3.0)</f>
        <v>3</v>
      </c>
      <c r="F3807" s="300">
        <v>1.0</v>
      </c>
      <c r="G3807" s="300">
        <v>1.0</v>
      </c>
      <c r="H3807" s="300">
        <v>1.0</v>
      </c>
      <c r="I3807" s="300">
        <v>1.0</v>
      </c>
      <c r="J3807" s="300">
        <v>1.0</v>
      </c>
      <c r="K3807" s="300">
        <v>1.0</v>
      </c>
      <c r="L3807" s="300">
        <v>1.0</v>
      </c>
      <c r="M3807" s="300">
        <v>1.0</v>
      </c>
      <c r="N3807" s="300">
        <v>8.0</v>
      </c>
      <c r="O3807" s="300" t="s">
        <v>836</v>
      </c>
      <c r="P3807" s="300">
        <v>1.0</v>
      </c>
    </row>
    <row r="3808">
      <c r="A3808">
        <f>IFERROR(__xludf.DUMMYFUNCTION("""COMPUTED_VALUE"""),10.0)</f>
        <v>10</v>
      </c>
      <c r="B3808" s="406">
        <f>IFERROR(__xludf.DUMMYFUNCTION("""COMPUTED_VALUE"""),28140.0)</f>
        <v>28140</v>
      </c>
      <c r="C3808" t="str">
        <f>IFERROR(__xludf.DUMMYFUNCTION("""COMPUTED_VALUE"""),"ARISTIZABAL VILLEGAS, EMILIO")</f>
        <v>ARISTIZABAL VILLEGAS, EMILIO</v>
      </c>
      <c r="D3808" t="str">
        <f>IFERROR(__xludf.DUMMYFUNCTION("""COMPUTED_VALUE"""),"Painting II")</f>
        <v>Painting II</v>
      </c>
      <c r="E3808" s="3">
        <f>IFERROR(__xludf.DUMMYFUNCTION("""COMPUTED_VALUE"""),1.0)</f>
        <v>1</v>
      </c>
      <c r="F3808" s="300">
        <v>1.0</v>
      </c>
      <c r="G3808" s="300">
        <v>1.0</v>
      </c>
      <c r="H3808" s="300">
        <v>1.0</v>
      </c>
      <c r="I3808" s="300">
        <v>1.0</v>
      </c>
      <c r="J3808" s="300">
        <v>1.0</v>
      </c>
      <c r="K3808" s="300">
        <v>1.0</v>
      </c>
      <c r="L3808" s="300">
        <v>1.0</v>
      </c>
      <c r="M3808" s="300">
        <v>1.0</v>
      </c>
      <c r="N3808" s="300">
        <v>8.0</v>
      </c>
      <c r="O3808" s="300" t="s">
        <v>939</v>
      </c>
      <c r="P3808" s="300">
        <v>2.0</v>
      </c>
    </row>
    <row r="3809">
      <c r="A3809">
        <f>IFERROR(__xludf.DUMMYFUNCTION("""COMPUTED_VALUE"""),10.0)</f>
        <v>10</v>
      </c>
      <c r="B3809" s="406">
        <f>IFERROR(__xludf.DUMMYFUNCTION("""COMPUTED_VALUE"""),28020.0)</f>
        <v>28020</v>
      </c>
      <c r="C3809" t="str">
        <f>IFERROR(__xludf.DUMMYFUNCTION("""COMPUTED_VALUE"""),"CADAVID RESTREPO, ANTONIO")</f>
        <v>CADAVID RESTREPO, ANTONIO</v>
      </c>
      <c r="D3809" t="str">
        <f>IFERROR(__xludf.DUMMYFUNCTION("""COMPUTED_VALUE"""),"AP Computer Science Principles")</f>
        <v>AP Computer Science Principles</v>
      </c>
      <c r="E3809" s="3">
        <f>IFERROR(__xludf.DUMMYFUNCTION("""COMPUTED_VALUE"""),3.0)</f>
        <v>3</v>
      </c>
      <c r="F3809" s="300">
        <v>1.0</v>
      </c>
      <c r="G3809" s="300">
        <v>1.0</v>
      </c>
      <c r="H3809" s="300">
        <v>1.0</v>
      </c>
      <c r="I3809" s="300">
        <v>1.0</v>
      </c>
      <c r="J3809" s="300">
        <v>1.0</v>
      </c>
      <c r="K3809" s="300">
        <v>1.0</v>
      </c>
      <c r="L3809" s="300">
        <v>1.0</v>
      </c>
      <c r="M3809" s="300">
        <v>1.0</v>
      </c>
      <c r="N3809" s="300">
        <v>8.0</v>
      </c>
      <c r="O3809" s="300" t="s">
        <v>836</v>
      </c>
      <c r="P3809" s="300">
        <v>1.0</v>
      </c>
    </row>
    <row r="3810">
      <c r="A3810">
        <f>IFERROR(__xludf.DUMMYFUNCTION("""COMPUTED_VALUE"""),10.0)</f>
        <v>10</v>
      </c>
      <c r="B3810" s="406">
        <f>IFERROR(__xludf.DUMMYFUNCTION("""COMPUTED_VALUE"""),28095.0)</f>
        <v>28095</v>
      </c>
      <c r="C3810" t="str">
        <f>IFERROR(__xludf.DUMMYFUNCTION("""COMPUTED_VALUE"""),"RESTREPO QUINTERO, ANTONIO")</f>
        <v>RESTREPO QUINTERO, ANTONIO</v>
      </c>
      <c r="D3810" t="str">
        <f>IFERROR(__xludf.DUMMYFUNCTION("""COMPUTED_VALUE"""),"AP Computer Science Principles")</f>
        <v>AP Computer Science Principles</v>
      </c>
      <c r="E3810" s="3">
        <f>IFERROR(__xludf.DUMMYFUNCTION("""COMPUTED_VALUE"""),3.0)</f>
        <v>3</v>
      </c>
      <c r="F3810" s="300">
        <v>1.0</v>
      </c>
      <c r="G3810" s="300">
        <v>1.0</v>
      </c>
      <c r="H3810" s="300">
        <v>1.0</v>
      </c>
      <c r="I3810" s="300">
        <v>1.0</v>
      </c>
      <c r="J3810" s="300">
        <v>1.0</v>
      </c>
      <c r="K3810" s="300">
        <v>1.0</v>
      </c>
      <c r="L3810" s="300">
        <v>1.0</v>
      </c>
      <c r="M3810" s="300">
        <v>1.0</v>
      </c>
      <c r="N3810" s="300">
        <v>8.0</v>
      </c>
      <c r="O3810" s="300" t="s">
        <v>836</v>
      </c>
      <c r="P3810" s="300">
        <v>1.0</v>
      </c>
    </row>
    <row r="3811">
      <c r="A3811">
        <f>IFERROR(__xludf.DUMMYFUNCTION("""COMPUTED_VALUE"""),10.0)</f>
        <v>10</v>
      </c>
      <c r="B3811" s="406">
        <f>IFERROR(__xludf.DUMMYFUNCTION("""COMPUTED_VALUE"""),28002.0)</f>
        <v>28002</v>
      </c>
      <c r="C3811" t="str">
        <f>IFERROR(__xludf.DUMMYFUNCTION("""COMPUTED_VALUE"""),"ANGEL MESA, PEDRO")</f>
        <v>ANGEL MESA, PEDRO</v>
      </c>
      <c r="D3811" t="str">
        <f>IFERROR(__xludf.DUMMYFUNCTION("""COMPUTED_VALUE"""),"Band Level I")</f>
        <v>Band Level I</v>
      </c>
      <c r="E3811" s="3">
        <f>IFERROR(__xludf.DUMMYFUNCTION("""COMPUTED_VALUE"""),3.0)</f>
        <v>3</v>
      </c>
      <c r="F3811" s="300">
        <v>1.0</v>
      </c>
      <c r="G3811" s="300">
        <v>1.0</v>
      </c>
      <c r="H3811" s="300">
        <v>1.0</v>
      </c>
      <c r="I3811" s="300">
        <v>1.0</v>
      </c>
      <c r="J3811" s="300">
        <v>1.0</v>
      </c>
      <c r="K3811" s="300">
        <v>1.0</v>
      </c>
      <c r="L3811" s="300">
        <v>1.0</v>
      </c>
      <c r="M3811" s="300">
        <v>1.0</v>
      </c>
      <c r="N3811" s="300">
        <v>8.0</v>
      </c>
      <c r="O3811" s="300" t="s">
        <v>990</v>
      </c>
      <c r="P3811" s="300">
        <v>4.0</v>
      </c>
    </row>
    <row r="3812">
      <c r="A3812">
        <f>IFERROR(__xludf.DUMMYFUNCTION("""COMPUTED_VALUE"""),10.0)</f>
        <v>10</v>
      </c>
      <c r="B3812" s="406">
        <f>IFERROR(__xludf.DUMMYFUNCTION("""COMPUTED_VALUE"""),28052.0)</f>
        <v>28052</v>
      </c>
      <c r="C3812" t="str">
        <f>IFERROR(__xludf.DUMMYFUNCTION("""COMPUTED_VALUE"""),"LONDOÑO VILLA, PEDRO")</f>
        <v>LONDOÑO VILLA, PEDRO</v>
      </c>
      <c r="D3812" t="str">
        <f>IFERROR(__xludf.DUMMYFUNCTION("""COMPUTED_VALUE"""),"AP Drawing")</f>
        <v>AP Drawing</v>
      </c>
      <c r="E3812" s="3">
        <f>IFERROR(__xludf.DUMMYFUNCTION("""COMPUTED_VALUE"""),8.0)</f>
        <v>8</v>
      </c>
      <c r="F3812" s="300">
        <v>1.0</v>
      </c>
      <c r="G3812" s="300">
        <v>1.0</v>
      </c>
      <c r="H3812" s="300">
        <v>1.0</v>
      </c>
      <c r="I3812" s="300">
        <v>1.0</v>
      </c>
      <c r="J3812" s="300">
        <v>1.0</v>
      </c>
      <c r="K3812" s="300">
        <v>1.0</v>
      </c>
      <c r="L3812" s="300">
        <v>1.0</v>
      </c>
      <c r="M3812" s="300">
        <v>1.0</v>
      </c>
      <c r="N3812" s="300">
        <v>8.0</v>
      </c>
      <c r="O3812" s="300" t="s">
        <v>933</v>
      </c>
      <c r="P3812" s="300">
        <v>1.0</v>
      </c>
    </row>
    <row r="3813">
      <c r="A3813">
        <f>IFERROR(__xludf.DUMMYFUNCTION("""COMPUTED_VALUE"""),10.0)</f>
        <v>10</v>
      </c>
      <c r="B3813" s="406">
        <f>IFERROR(__xludf.DUMMYFUNCTION("""COMPUTED_VALUE"""),28101.0)</f>
        <v>28101</v>
      </c>
      <c r="C3813" t="str">
        <f>IFERROR(__xludf.DUMMYFUNCTION("""COMPUTED_VALUE"""),"ROJAS VELEZ, LUCIANA")</f>
        <v>ROJAS VELEZ, LUCIANA</v>
      </c>
      <c r="D3813" t="str">
        <f>IFERROR(__xludf.DUMMYFUNCTION("""COMPUTED_VALUE"""),"Band Level I")</f>
        <v>Band Level I</v>
      </c>
      <c r="E3813" s="3">
        <f>IFERROR(__xludf.DUMMYFUNCTION("""COMPUTED_VALUE"""),7.0)</f>
        <v>7</v>
      </c>
      <c r="F3813" s="300">
        <v>1.0</v>
      </c>
      <c r="G3813" s="300">
        <v>1.0</v>
      </c>
      <c r="H3813" s="300">
        <v>1.0</v>
      </c>
      <c r="I3813" s="300">
        <v>1.0</v>
      </c>
      <c r="J3813" s="300">
        <v>1.0</v>
      </c>
      <c r="K3813" s="300">
        <v>1.0</v>
      </c>
      <c r="L3813" s="300">
        <v>1.0</v>
      </c>
      <c r="M3813" s="300">
        <v>1.0</v>
      </c>
      <c r="N3813" s="300">
        <v>8.0</v>
      </c>
      <c r="O3813" s="300" t="s">
        <v>936</v>
      </c>
      <c r="P3813" s="300">
        <v>4.0</v>
      </c>
    </row>
    <row r="3814">
      <c r="A3814">
        <f>IFERROR(__xludf.DUMMYFUNCTION("""COMPUTED_VALUE"""),10.0)</f>
        <v>10</v>
      </c>
      <c r="B3814" s="406">
        <f>IFERROR(__xludf.DUMMYFUNCTION("""COMPUTED_VALUE"""),28061.0)</f>
        <v>28061</v>
      </c>
      <c r="C3814" t="str">
        <f>IFERROR(__xludf.DUMMYFUNCTION("""COMPUTED_VALUE"""),"MEDINA NOREÑA, MANUELA")</f>
        <v>MEDINA NOREÑA, MANUELA</v>
      </c>
      <c r="D3814" t="str">
        <f>IFERROR(__xludf.DUMMYFUNCTION("""COMPUTED_VALUE"""),"Band Level I")</f>
        <v>Band Level I</v>
      </c>
      <c r="E3814" s="3">
        <f>IFERROR(__xludf.DUMMYFUNCTION("""COMPUTED_VALUE"""),8.0)</f>
        <v>8</v>
      </c>
      <c r="F3814" s="300">
        <v>1.0</v>
      </c>
      <c r="G3814" s="300">
        <v>1.0</v>
      </c>
      <c r="H3814" s="300">
        <v>1.0</v>
      </c>
      <c r="I3814" s="300">
        <v>1.0</v>
      </c>
      <c r="J3814" s="300">
        <v>1.0</v>
      </c>
      <c r="K3814" s="300">
        <v>1.0</v>
      </c>
      <c r="L3814" s="300">
        <v>1.0</v>
      </c>
      <c r="M3814" s="300">
        <v>1.0</v>
      </c>
      <c r="N3814" s="300">
        <v>8.0</v>
      </c>
      <c r="O3814" s="300" t="s">
        <v>943</v>
      </c>
      <c r="P3814" s="300">
        <v>4.0</v>
      </c>
    </row>
    <row r="3815">
      <c r="A3815">
        <f>IFERROR(__xludf.DUMMYFUNCTION("""COMPUTED_VALUE"""),10.0)</f>
        <v>10</v>
      </c>
      <c r="B3815" s="406">
        <f>IFERROR(__xludf.DUMMYFUNCTION("""COMPUTED_VALUE"""),28136.0)</f>
        <v>28136</v>
      </c>
      <c r="C3815" t="str">
        <f>IFERROR(__xludf.DUMMYFUNCTION("""COMPUTED_VALUE"""),"SALAZAR ECHEVERRI, ELISA")</f>
        <v>SALAZAR ECHEVERRI, ELISA</v>
      </c>
      <c r="D3815" t="str">
        <f>IFERROR(__xludf.DUMMYFUNCTION("""COMPUTED_VALUE"""),"Painting II")</f>
        <v>Painting II</v>
      </c>
      <c r="E3815" s="3">
        <f>IFERROR(__xludf.DUMMYFUNCTION("""COMPUTED_VALUE"""),1.0)</f>
        <v>1</v>
      </c>
      <c r="F3815" s="300">
        <v>1.0</v>
      </c>
      <c r="G3815" s="300">
        <v>1.0</v>
      </c>
      <c r="H3815" s="300">
        <v>1.0</v>
      </c>
      <c r="I3815" s="300">
        <v>1.0</v>
      </c>
      <c r="J3815" s="300">
        <v>1.0</v>
      </c>
      <c r="K3815" s="300">
        <v>1.0</v>
      </c>
      <c r="L3815" s="300">
        <v>1.0</v>
      </c>
      <c r="M3815" s="300">
        <v>1.0</v>
      </c>
      <c r="N3815" s="300">
        <v>8.0</v>
      </c>
      <c r="O3815" s="300" t="s">
        <v>939</v>
      </c>
      <c r="P3815" s="300">
        <v>2.0</v>
      </c>
    </row>
    <row r="3816">
      <c r="A3816">
        <f>IFERROR(__xludf.DUMMYFUNCTION("""COMPUTED_VALUE"""),10.0)</f>
        <v>10</v>
      </c>
      <c r="B3816" s="406">
        <f>IFERROR(__xludf.DUMMYFUNCTION("""COMPUTED_VALUE"""),28010.0)</f>
        <v>28010</v>
      </c>
      <c r="C3816" t="str">
        <f>IFERROR(__xludf.DUMMYFUNCTION("""COMPUTED_VALUE"""),"ATEHORTUA MORENO, SOFIA")</f>
        <v>ATEHORTUA MORENO, SOFIA</v>
      </c>
      <c r="D3816" t="str">
        <f>IFERROR(__xludf.DUMMYFUNCTION("""COMPUTED_VALUE"""),"Painting II")</f>
        <v>Painting II</v>
      </c>
      <c r="E3816" s="3">
        <f>IFERROR(__xludf.DUMMYFUNCTION("""COMPUTED_VALUE"""),1.0)</f>
        <v>1</v>
      </c>
      <c r="F3816" s="300">
        <v>1.0</v>
      </c>
      <c r="G3816" s="300">
        <v>1.0</v>
      </c>
      <c r="H3816" s="300">
        <v>1.0</v>
      </c>
      <c r="I3816" s="300">
        <v>1.0</v>
      </c>
      <c r="J3816" s="300">
        <v>1.0</v>
      </c>
      <c r="K3816" s="300">
        <v>1.0</v>
      </c>
      <c r="L3816" s="300">
        <v>1.0</v>
      </c>
      <c r="M3816" s="300">
        <v>1.0</v>
      </c>
      <c r="N3816" s="300">
        <v>8.0</v>
      </c>
      <c r="O3816" s="300" t="s">
        <v>939</v>
      </c>
      <c r="P3816" s="300">
        <v>2.0</v>
      </c>
    </row>
    <row r="3817">
      <c r="A3817">
        <f>IFERROR(__xludf.DUMMYFUNCTION("""COMPUTED_VALUE"""),10.0)</f>
        <v>10</v>
      </c>
      <c r="B3817" s="406">
        <f>IFERROR(__xludf.DUMMYFUNCTION("""COMPUTED_VALUE"""),28035.0)</f>
        <v>28035</v>
      </c>
      <c r="C3817" t="str">
        <f>IFERROR(__xludf.DUMMYFUNCTION("""COMPUTED_VALUE"""),"GAVIRIA GONZALEZ, MARIA JOSE")</f>
        <v>GAVIRIA GONZALEZ, MARIA JOSE</v>
      </c>
      <c r="D3817" t="str">
        <f>IFERROR(__xludf.DUMMYFUNCTION("""COMPUTED_VALUE"""),"Painting II")</f>
        <v>Painting II</v>
      </c>
      <c r="E3817" s="3">
        <f>IFERROR(__xludf.DUMMYFUNCTION("""COMPUTED_VALUE"""),7.0)</f>
        <v>7</v>
      </c>
      <c r="F3817" s="300">
        <v>1.0</v>
      </c>
      <c r="G3817" s="300">
        <v>1.0</v>
      </c>
      <c r="H3817" s="300">
        <v>1.0</v>
      </c>
      <c r="I3817" s="300">
        <v>1.0</v>
      </c>
      <c r="J3817" s="300">
        <v>1.0</v>
      </c>
      <c r="K3817" s="300">
        <v>1.0</v>
      </c>
      <c r="L3817" s="300">
        <v>1.0</v>
      </c>
      <c r="M3817" s="300">
        <v>1.0</v>
      </c>
      <c r="N3817" s="300">
        <v>8.0</v>
      </c>
      <c r="O3817" s="300" t="s">
        <v>935</v>
      </c>
      <c r="P3817" s="300">
        <v>2.0</v>
      </c>
    </row>
    <row r="3818">
      <c r="A3818">
        <f>IFERROR(__xludf.DUMMYFUNCTION("""COMPUTED_VALUE"""),10.0)</f>
        <v>10</v>
      </c>
      <c r="B3818" s="406">
        <f>IFERROR(__xludf.DUMMYFUNCTION("""COMPUTED_VALUE"""),28027.0)</f>
        <v>28027</v>
      </c>
      <c r="C3818" t="str">
        <f>IFERROR(__xludf.DUMMYFUNCTION("""COMPUTED_VALUE"""),"ESTRADA JIMENEZ, MARIA")</f>
        <v>ESTRADA JIMENEZ, MARIA</v>
      </c>
      <c r="D3818" t="str">
        <f>IFERROR(__xludf.DUMMYFUNCTION("""COMPUTED_VALUE"""),"Sculpture I")</f>
        <v>Sculpture I</v>
      </c>
      <c r="E3818" s="3">
        <f>IFERROR(__xludf.DUMMYFUNCTION("""COMPUTED_VALUE"""),4.0)</f>
        <v>4</v>
      </c>
      <c r="F3818" s="300">
        <v>1.0</v>
      </c>
      <c r="G3818" s="300">
        <v>1.0</v>
      </c>
      <c r="H3818" s="300">
        <v>1.0</v>
      </c>
      <c r="I3818" s="300">
        <v>1.0</v>
      </c>
      <c r="J3818" s="300">
        <v>1.0</v>
      </c>
      <c r="K3818" s="300">
        <v>1.0</v>
      </c>
      <c r="L3818" s="300">
        <v>1.0</v>
      </c>
      <c r="M3818" s="300">
        <v>1.0</v>
      </c>
      <c r="N3818" s="300">
        <v>8.0</v>
      </c>
      <c r="O3818" s="300" t="s">
        <v>989</v>
      </c>
      <c r="P3818" s="300">
        <v>2.0</v>
      </c>
    </row>
    <row r="3819">
      <c r="A3819">
        <f>IFERROR(__xludf.DUMMYFUNCTION("""COMPUTED_VALUE"""),10.0)</f>
        <v>10</v>
      </c>
      <c r="B3819" s="406">
        <f>IFERROR(__xludf.DUMMYFUNCTION("""COMPUTED_VALUE"""),27152.0)</f>
        <v>27152</v>
      </c>
      <c r="C3819" t="str">
        <f>IFERROR(__xludf.DUMMYFUNCTION("""COMPUTED_VALUE"""),"GARCIA GONZALEZ, MARIA ANTONIA")</f>
        <v>GARCIA GONZALEZ, MARIA ANTONIA</v>
      </c>
      <c r="D3819" t="str">
        <f>IFERROR(__xludf.DUMMYFUNCTION("""COMPUTED_VALUE"""),"AP 2-D Art and Design")</f>
        <v>AP 2-D Art and Design</v>
      </c>
      <c r="E3819" s="3">
        <f>IFERROR(__xludf.DUMMYFUNCTION("""COMPUTED_VALUE"""),1.0)</f>
        <v>1</v>
      </c>
      <c r="F3819" s="300">
        <v>1.0</v>
      </c>
      <c r="G3819" s="300">
        <v>1.0</v>
      </c>
      <c r="H3819" s="300">
        <v>1.0</v>
      </c>
      <c r="I3819" s="300">
        <v>1.0</v>
      </c>
      <c r="J3819" s="300">
        <v>1.0</v>
      </c>
      <c r="K3819" s="300">
        <v>1.0</v>
      </c>
      <c r="L3819" s="300">
        <v>1.0</v>
      </c>
      <c r="M3819" s="300">
        <v>1.0</v>
      </c>
      <c r="N3819" s="300">
        <v>8.0</v>
      </c>
      <c r="O3819" s="300" t="s">
        <v>948</v>
      </c>
      <c r="P3819" s="300">
        <v>1.0</v>
      </c>
    </row>
    <row r="3820">
      <c r="A3820">
        <f>IFERROR(__xludf.DUMMYFUNCTION("""COMPUTED_VALUE"""),10.0)</f>
        <v>10</v>
      </c>
      <c r="B3820" s="406">
        <f>IFERROR(__xludf.DUMMYFUNCTION("""COMPUTED_VALUE"""),28026.0)</f>
        <v>28026</v>
      </c>
      <c r="C3820" t="str">
        <f>IFERROR(__xludf.DUMMYFUNCTION("""COMPUTED_VALUE"""),"ESPINAL MONTOYA, JULIETA")</f>
        <v>ESPINAL MONTOYA, JULIETA</v>
      </c>
      <c r="D3820" t="str">
        <f>IFERROR(__xludf.DUMMYFUNCTION("""COMPUTED_VALUE"""),"Painting II")</f>
        <v>Painting II</v>
      </c>
      <c r="E3820" s="3">
        <f>IFERROR(__xludf.DUMMYFUNCTION("""COMPUTED_VALUE"""),1.0)</f>
        <v>1</v>
      </c>
      <c r="F3820" s="300">
        <v>1.0</v>
      </c>
      <c r="G3820" s="300">
        <v>1.0</v>
      </c>
      <c r="H3820" s="300">
        <v>1.0</v>
      </c>
      <c r="I3820" s="300">
        <v>1.0</v>
      </c>
      <c r="J3820" s="300">
        <v>1.0</v>
      </c>
      <c r="K3820" s="300">
        <v>1.0</v>
      </c>
      <c r="L3820" s="300">
        <v>1.0</v>
      </c>
      <c r="M3820" s="300">
        <v>1.0</v>
      </c>
      <c r="N3820" s="300">
        <v>8.0</v>
      </c>
      <c r="O3820" s="300" t="s">
        <v>939</v>
      </c>
      <c r="P3820" s="300">
        <v>2.0</v>
      </c>
    </row>
    <row r="3821">
      <c r="A3821">
        <f>IFERROR(__xludf.DUMMYFUNCTION("""COMPUTED_VALUE"""),10.0)</f>
        <v>10</v>
      </c>
      <c r="B3821" s="406">
        <f>IFERROR(__xludf.DUMMYFUNCTION("""COMPUTED_VALUE"""),28025.0)</f>
        <v>28025</v>
      </c>
      <c r="C3821" t="str">
        <f>IFERROR(__xludf.DUMMYFUNCTION("""COMPUTED_VALUE"""),"ESCOBAR INFANTINO, SAMUEL")</f>
        <v>ESCOBAR INFANTINO, SAMUEL</v>
      </c>
      <c r="D3821" t="str">
        <f>IFERROR(__xludf.DUMMYFUNCTION("""COMPUTED_VALUE"""),"AP Computer Science Principles")</f>
        <v>AP Computer Science Principles</v>
      </c>
      <c r="E3821" s="3">
        <f>IFERROR(__xludf.DUMMYFUNCTION("""COMPUTED_VALUE"""),3.0)</f>
        <v>3</v>
      </c>
      <c r="F3821" s="300">
        <v>1.0</v>
      </c>
      <c r="G3821" s="300">
        <v>1.0</v>
      </c>
      <c r="H3821" s="300">
        <v>1.0</v>
      </c>
      <c r="I3821" s="300">
        <v>1.0</v>
      </c>
      <c r="J3821" s="300">
        <v>1.0</v>
      </c>
      <c r="K3821" s="300">
        <v>1.0</v>
      </c>
      <c r="L3821" s="300">
        <v>1.0</v>
      </c>
      <c r="M3821" s="300">
        <v>1.0</v>
      </c>
      <c r="N3821" s="300">
        <v>8.0</v>
      </c>
      <c r="O3821" s="300" t="s">
        <v>836</v>
      </c>
      <c r="P3821" s="300">
        <v>1.0</v>
      </c>
    </row>
    <row r="3822">
      <c r="A3822">
        <f>IFERROR(__xludf.DUMMYFUNCTION("""COMPUTED_VALUE"""),10.0)</f>
        <v>10</v>
      </c>
      <c r="B3822" s="406">
        <f>IFERROR(__xludf.DUMMYFUNCTION("""COMPUTED_VALUE"""),27100.0)</f>
        <v>27100</v>
      </c>
      <c r="C3822" t="str">
        <f>IFERROR(__xludf.DUMMYFUNCTION("""COMPUTED_VALUE"""),"ROJAS SANCHEZ, SUSANA")</f>
        <v>ROJAS SANCHEZ, SUSANA</v>
      </c>
      <c r="D3822" t="str">
        <f>IFERROR(__xludf.DUMMYFUNCTION("""COMPUTED_VALUE"""),"Painting II")</f>
        <v>Painting II</v>
      </c>
      <c r="E3822" s="3">
        <f>IFERROR(__xludf.DUMMYFUNCTION("""COMPUTED_VALUE"""),1.0)</f>
        <v>1</v>
      </c>
      <c r="F3822" s="300">
        <v>1.0</v>
      </c>
      <c r="G3822" s="300">
        <v>1.0</v>
      </c>
      <c r="H3822" s="300">
        <v>1.0</v>
      </c>
      <c r="I3822" s="300">
        <v>1.0</v>
      </c>
      <c r="J3822" s="300">
        <v>1.0</v>
      </c>
      <c r="K3822" s="300">
        <v>1.0</v>
      </c>
      <c r="L3822" s="300">
        <v>1.0</v>
      </c>
      <c r="M3822" s="300">
        <v>1.0</v>
      </c>
      <c r="N3822" s="300">
        <v>8.0</v>
      </c>
      <c r="O3822" s="300" t="s">
        <v>939</v>
      </c>
      <c r="P3822" s="300">
        <v>2.0</v>
      </c>
    </row>
    <row r="3823">
      <c r="A3823">
        <f>IFERROR(__xludf.DUMMYFUNCTION("""COMPUTED_VALUE"""),10.0)</f>
        <v>10</v>
      </c>
      <c r="B3823" s="406">
        <f>IFERROR(__xludf.DUMMYFUNCTION("""COMPUTED_VALUE"""),28139.0)</f>
        <v>28139</v>
      </c>
      <c r="C3823" t="str">
        <f>IFERROR(__xludf.DUMMYFUNCTION("""COMPUTED_VALUE"""),"BERNAL ESTRADA, MATIAS")</f>
        <v>BERNAL ESTRADA, MATIAS</v>
      </c>
      <c r="D3823" t="str">
        <f>IFERROR(__xludf.DUMMYFUNCTION("""COMPUTED_VALUE"""),"Painting II")</f>
        <v>Painting II</v>
      </c>
      <c r="E3823" s="3">
        <f>IFERROR(__xludf.DUMMYFUNCTION("""COMPUTED_VALUE"""),1.0)</f>
        <v>1</v>
      </c>
      <c r="F3823" s="300">
        <v>1.0</v>
      </c>
      <c r="G3823" s="300">
        <v>1.0</v>
      </c>
      <c r="H3823" s="300">
        <v>1.0</v>
      </c>
      <c r="I3823" s="300">
        <v>1.0</v>
      </c>
      <c r="J3823" s="300">
        <v>1.0</v>
      </c>
      <c r="K3823" s="300">
        <v>1.0</v>
      </c>
      <c r="L3823" s="300">
        <v>1.0</v>
      </c>
      <c r="M3823" s="300">
        <v>1.0</v>
      </c>
      <c r="N3823" s="300">
        <v>8.0</v>
      </c>
      <c r="O3823" s="300" t="s">
        <v>939</v>
      </c>
      <c r="P3823" s="300">
        <v>2.0</v>
      </c>
    </row>
    <row r="3824">
      <c r="A3824">
        <f>IFERROR(__xludf.DUMMYFUNCTION("""COMPUTED_VALUE"""),10.0)</f>
        <v>10</v>
      </c>
      <c r="B3824" s="406">
        <f>IFERROR(__xludf.DUMMYFUNCTION("""COMPUTED_VALUE"""),28048.0)</f>
        <v>28048</v>
      </c>
      <c r="C3824" t="str">
        <f>IFERROR(__xludf.DUMMYFUNCTION("""COMPUTED_VALUE"""),"ISAZA VELASQUEZ, EMILIANA")</f>
        <v>ISAZA VELASQUEZ, EMILIANA</v>
      </c>
      <c r="D3824" t="str">
        <f>IFERROR(__xludf.DUMMYFUNCTION("""COMPUTED_VALUE"""),"Anatomy and Physiology")</f>
        <v>Anatomy and Physiology</v>
      </c>
      <c r="E3824" s="3">
        <f>IFERROR(__xludf.DUMMYFUNCTION("""COMPUTED_VALUE"""),4.0)</f>
        <v>4</v>
      </c>
      <c r="F3824" s="300">
        <v>1.0</v>
      </c>
      <c r="G3824" s="300">
        <v>1.0</v>
      </c>
      <c r="H3824" s="300">
        <v>1.0</v>
      </c>
      <c r="I3824" s="300">
        <v>1.0</v>
      </c>
      <c r="J3824" s="300">
        <v>1.0</v>
      </c>
      <c r="K3824" s="300">
        <v>1.0</v>
      </c>
      <c r="L3824" s="300">
        <v>1.0</v>
      </c>
      <c r="M3824" s="300">
        <v>1.0</v>
      </c>
      <c r="N3824" s="300">
        <v>8.0</v>
      </c>
      <c r="O3824" s="300" t="s">
        <v>895</v>
      </c>
      <c r="P3824" s="300">
        <v>2.0</v>
      </c>
    </row>
    <row r="3825">
      <c r="A3825">
        <f>IFERROR(__xludf.DUMMYFUNCTION("""COMPUTED_VALUE"""),10.0)</f>
        <v>10</v>
      </c>
      <c r="B3825" s="406">
        <f>IFERROR(__xludf.DUMMYFUNCTION("""COMPUTED_VALUE"""),27024.0)</f>
        <v>27024</v>
      </c>
      <c r="C3825" t="str">
        <f>IFERROR(__xludf.DUMMYFUNCTION("""COMPUTED_VALUE"""),"CASTRO CASTAÑEDA, CYAN")</f>
        <v>CASTRO CASTAÑEDA, CYAN</v>
      </c>
      <c r="D3825" t="str">
        <f>IFERROR(__xludf.DUMMYFUNCTION("""COMPUTED_VALUE"""),"Band Level II")</f>
        <v>Band Level II</v>
      </c>
      <c r="E3825" s="3">
        <f>IFERROR(__xludf.DUMMYFUNCTION("""COMPUTED_VALUE"""),2.0)</f>
        <v>2</v>
      </c>
      <c r="F3825" s="300">
        <v>1.0</v>
      </c>
      <c r="G3825" s="300">
        <v>1.0</v>
      </c>
      <c r="H3825" s="300">
        <v>1.0</v>
      </c>
      <c r="I3825" s="300">
        <v>1.0</v>
      </c>
      <c r="J3825" s="300">
        <v>1.0</v>
      </c>
      <c r="K3825" s="300">
        <v>1.0</v>
      </c>
      <c r="L3825" s="300">
        <v>1.0</v>
      </c>
      <c r="M3825" s="300">
        <v>1.0</v>
      </c>
      <c r="N3825" s="300">
        <v>8.0</v>
      </c>
      <c r="O3825" s="300" t="s">
        <v>940</v>
      </c>
      <c r="P3825" s="300">
        <v>2.0</v>
      </c>
    </row>
    <row r="3826">
      <c r="A3826">
        <f>IFERROR(__xludf.DUMMYFUNCTION("""COMPUTED_VALUE"""),10.0)</f>
        <v>10</v>
      </c>
      <c r="B3826" s="406">
        <f>IFERROR(__xludf.DUMMYFUNCTION("""COMPUTED_VALUE"""),28044.0)</f>
        <v>28044</v>
      </c>
      <c r="C3826" t="str">
        <f>IFERROR(__xludf.DUMMYFUNCTION("""COMPUTED_VALUE"""),"GUTIERREZ OCAMPO, VALENTINA")</f>
        <v>GUTIERREZ OCAMPO, VALENTINA</v>
      </c>
      <c r="D3826" t="str">
        <f>IFERROR(__xludf.DUMMYFUNCTION("""COMPUTED_VALUE"""),"Anatomy and Physiology")</f>
        <v>Anatomy and Physiology</v>
      </c>
      <c r="E3826" s="3">
        <f>IFERROR(__xludf.DUMMYFUNCTION("""COMPUTED_VALUE"""),8.0)</f>
        <v>8</v>
      </c>
      <c r="F3826" s="300">
        <v>1.0</v>
      </c>
      <c r="G3826" s="300">
        <v>1.0</v>
      </c>
      <c r="H3826" s="300">
        <v>1.0</v>
      </c>
      <c r="I3826" s="300">
        <v>1.0</v>
      </c>
      <c r="J3826" s="300">
        <v>1.0</v>
      </c>
      <c r="K3826" s="300">
        <v>1.0</v>
      </c>
      <c r="L3826" s="300">
        <v>1.0</v>
      </c>
      <c r="M3826" s="300">
        <v>1.0</v>
      </c>
      <c r="N3826" s="300">
        <v>8.0</v>
      </c>
      <c r="O3826" s="300" t="s">
        <v>894</v>
      </c>
      <c r="P3826" s="300">
        <v>2.0</v>
      </c>
    </row>
    <row r="3827">
      <c r="A3827">
        <f>IFERROR(__xludf.DUMMYFUNCTION("""COMPUTED_VALUE"""),10.0)</f>
        <v>10</v>
      </c>
      <c r="B3827" s="406">
        <f>IFERROR(__xludf.DUMMYFUNCTION("""COMPUTED_VALUE"""),27058.0)</f>
        <v>27058</v>
      </c>
      <c r="C3827" t="str">
        <f>IFERROR(__xludf.DUMMYFUNCTION("""COMPUTED_VALUE"""),"LOPEZ MEJIA, MIGUEL")</f>
        <v>LOPEZ MEJIA, MIGUEL</v>
      </c>
      <c r="D3827" t="str">
        <f>IFERROR(__xludf.DUMMYFUNCTION("""COMPUTED_VALUE"""),"Band Level I")</f>
        <v>Band Level I</v>
      </c>
      <c r="E3827" s="3">
        <f>IFERROR(__xludf.DUMMYFUNCTION("""COMPUTED_VALUE"""),4.0)</f>
        <v>4</v>
      </c>
      <c r="F3827" s="300">
        <v>1.0</v>
      </c>
      <c r="G3827" s="300">
        <v>1.0</v>
      </c>
      <c r="H3827" s="300">
        <v>1.0</v>
      </c>
      <c r="I3827" s="300">
        <v>1.0</v>
      </c>
      <c r="J3827" s="300">
        <v>1.0</v>
      </c>
      <c r="K3827" s="300">
        <v>1.0</v>
      </c>
      <c r="L3827" s="300">
        <v>1.0</v>
      </c>
      <c r="M3827" s="300">
        <v>1.0</v>
      </c>
      <c r="N3827" s="300">
        <v>8.0</v>
      </c>
      <c r="O3827" s="300" t="s">
        <v>937</v>
      </c>
      <c r="P3827" s="300">
        <v>4.0</v>
      </c>
    </row>
    <row r="3828">
      <c r="A3828">
        <f>IFERROR(__xludf.DUMMYFUNCTION("""COMPUTED_VALUE"""),10.0)</f>
        <v>10</v>
      </c>
      <c r="B3828" s="406">
        <f>IFERROR(__xludf.DUMMYFUNCTION("""COMPUTED_VALUE"""),28038.0)</f>
        <v>28038</v>
      </c>
      <c r="C3828" t="str">
        <f>IFERROR(__xludf.DUMMYFUNCTION("""COMPUTED_VALUE"""),"GOMEZ TORRES, MARIA")</f>
        <v>GOMEZ TORRES, MARIA</v>
      </c>
      <c r="D3828" t="str">
        <f>IFERROR(__xludf.DUMMYFUNCTION("""COMPUTED_VALUE"""),"Band Level I")</f>
        <v>Band Level I</v>
      </c>
      <c r="E3828" s="3">
        <f>IFERROR(__xludf.DUMMYFUNCTION("""COMPUTED_VALUE"""),8.0)</f>
        <v>8</v>
      </c>
      <c r="F3828" s="300">
        <v>1.0</v>
      </c>
      <c r="G3828" s="300">
        <v>1.0</v>
      </c>
      <c r="H3828" s="300">
        <v>1.0</v>
      </c>
      <c r="I3828" s="300">
        <v>1.0</v>
      </c>
      <c r="J3828" s="300">
        <v>1.0</v>
      </c>
      <c r="K3828" s="300">
        <v>1.0</v>
      </c>
      <c r="L3828" s="300">
        <v>1.0</v>
      </c>
      <c r="M3828" s="300">
        <v>1.0</v>
      </c>
      <c r="N3828" s="300">
        <v>8.0</v>
      </c>
      <c r="O3828" s="300" t="s">
        <v>943</v>
      </c>
      <c r="P3828" s="300">
        <v>4.0</v>
      </c>
    </row>
    <row r="3829">
      <c r="A3829">
        <f>IFERROR(__xludf.DUMMYFUNCTION("""COMPUTED_VALUE"""),10.0)</f>
        <v>10</v>
      </c>
      <c r="B3829" s="406">
        <f>IFERROR(__xludf.DUMMYFUNCTION("""COMPUTED_VALUE"""),28094.0)</f>
        <v>28094</v>
      </c>
      <c r="C3829" t="str">
        <f>IFERROR(__xludf.DUMMYFUNCTION("""COMPUTED_VALUE"""),"RESTREPO OCHOA, PASCUAL")</f>
        <v>RESTREPO OCHOA, PASCUAL</v>
      </c>
      <c r="D3829" t="str">
        <f>IFERROR(__xludf.DUMMYFUNCTION("""COMPUTED_VALUE"""),"Band Level I")</f>
        <v>Band Level I</v>
      </c>
      <c r="E3829" s="3">
        <f>IFERROR(__xludf.DUMMYFUNCTION("""COMPUTED_VALUE"""),3.0)</f>
        <v>3</v>
      </c>
      <c r="F3829" s="300">
        <v>1.0</v>
      </c>
      <c r="G3829" s="300">
        <v>1.0</v>
      </c>
      <c r="H3829" s="300">
        <v>1.0</v>
      </c>
      <c r="I3829" s="300">
        <v>1.0</v>
      </c>
      <c r="J3829" s="300">
        <v>1.0</v>
      </c>
      <c r="K3829" s="300">
        <v>1.0</v>
      </c>
      <c r="L3829" s="300">
        <v>1.0</v>
      </c>
      <c r="M3829" s="300">
        <v>1.0</v>
      </c>
      <c r="N3829" s="300">
        <v>8.0</v>
      </c>
      <c r="O3829" s="300" t="s">
        <v>990</v>
      </c>
      <c r="P3829" s="300">
        <v>4.0</v>
      </c>
    </row>
    <row r="3830">
      <c r="A3830">
        <f>IFERROR(__xludf.DUMMYFUNCTION("""COMPUTED_VALUE"""),10.0)</f>
        <v>10</v>
      </c>
      <c r="B3830" s="406">
        <f>IFERROR(__xludf.DUMMYFUNCTION("""COMPUTED_VALUE"""),28041.0)</f>
        <v>28041</v>
      </c>
      <c r="C3830" t="str">
        <f>IFERROR(__xludf.DUMMYFUNCTION("""COMPUTED_VALUE"""),"GONZALEZ MIRA, MATIAS")</f>
        <v>GONZALEZ MIRA, MATIAS</v>
      </c>
      <c r="D3830" t="str">
        <f>IFERROR(__xludf.DUMMYFUNCTION("""COMPUTED_VALUE"""),"Band Level I")</f>
        <v>Band Level I</v>
      </c>
      <c r="E3830" s="3">
        <f>IFERROR(__xludf.DUMMYFUNCTION("""COMPUTED_VALUE"""),7.0)</f>
        <v>7</v>
      </c>
      <c r="F3830" s="300">
        <v>1.0</v>
      </c>
      <c r="G3830" s="300">
        <v>1.0</v>
      </c>
      <c r="H3830" s="300">
        <v>1.0</v>
      </c>
      <c r="I3830" s="300">
        <v>1.0</v>
      </c>
      <c r="J3830" s="300">
        <v>1.0</v>
      </c>
      <c r="K3830" s="300">
        <v>1.0</v>
      </c>
      <c r="L3830" s="300">
        <v>1.0</v>
      </c>
      <c r="M3830" s="300">
        <v>1.0</v>
      </c>
      <c r="N3830" s="300">
        <v>8.0</v>
      </c>
      <c r="O3830" s="300" t="s">
        <v>936</v>
      </c>
      <c r="P3830" s="300">
        <v>4.0</v>
      </c>
    </row>
    <row r="3831">
      <c r="A3831">
        <f>IFERROR(__xludf.DUMMYFUNCTION("""COMPUTED_VALUE"""),10.0)</f>
        <v>10</v>
      </c>
      <c r="B3831" s="406">
        <f>IFERROR(__xludf.DUMMYFUNCTION("""COMPUTED_VALUE"""),28112.0)</f>
        <v>28112</v>
      </c>
      <c r="C3831" t="str">
        <f>IFERROR(__xludf.DUMMYFUNCTION("""COMPUTED_VALUE"""),"VELASQUEZ OCHOA, MIGUEL")</f>
        <v>VELASQUEZ OCHOA, MIGUEL</v>
      </c>
      <c r="D3831" t="str">
        <f>IFERROR(__xludf.DUMMYFUNCTION("""COMPUTED_VALUE"""),"Drawing I")</f>
        <v>Drawing I</v>
      </c>
      <c r="E3831" s="3">
        <f>IFERROR(__xludf.DUMMYFUNCTION("""COMPUTED_VALUE"""),3.0)</f>
        <v>3</v>
      </c>
      <c r="F3831" s="300">
        <v>1.0</v>
      </c>
      <c r="G3831" s="300">
        <v>1.0</v>
      </c>
      <c r="H3831" s="300">
        <v>1.0</v>
      </c>
      <c r="I3831" s="300">
        <v>1.0</v>
      </c>
      <c r="J3831" s="300">
        <v>1.0</v>
      </c>
      <c r="K3831" s="300">
        <v>1.0</v>
      </c>
      <c r="L3831" s="300">
        <v>1.0</v>
      </c>
      <c r="M3831" s="300">
        <v>1.0</v>
      </c>
      <c r="N3831" s="300">
        <v>8.0</v>
      </c>
      <c r="O3831" s="300" t="s">
        <v>938</v>
      </c>
      <c r="P3831" s="300">
        <v>2.0</v>
      </c>
    </row>
    <row r="3832">
      <c r="A3832">
        <f>IFERROR(__xludf.DUMMYFUNCTION("""COMPUTED_VALUE"""),10.0)</f>
        <v>10</v>
      </c>
      <c r="B3832" s="406">
        <f>IFERROR(__xludf.DUMMYFUNCTION("""COMPUTED_VALUE"""),28156.0)</f>
        <v>28156</v>
      </c>
      <c r="C3832" t="str">
        <f>IFERROR(__xludf.DUMMYFUNCTION("""COMPUTED_VALUE"""),"URIBE CERON, SIMON")</f>
        <v>URIBE CERON, SIMON</v>
      </c>
      <c r="D3832" t="str">
        <f>IFERROR(__xludf.DUMMYFUNCTION("""COMPUTED_VALUE"""),"Creative Design")</f>
        <v>Creative Design</v>
      </c>
      <c r="E3832" s="3">
        <f>IFERROR(__xludf.DUMMYFUNCTION("""COMPUTED_VALUE"""),4.0)</f>
        <v>4</v>
      </c>
      <c r="F3832" s="300">
        <v>1.0</v>
      </c>
      <c r="G3832" s="300">
        <v>1.0</v>
      </c>
      <c r="H3832" s="300">
        <v>1.0</v>
      </c>
      <c r="I3832" s="300">
        <v>1.0</v>
      </c>
      <c r="J3832" s="300">
        <v>1.0</v>
      </c>
      <c r="K3832" s="300">
        <v>1.0</v>
      </c>
      <c r="L3832" s="300">
        <v>1.0</v>
      </c>
      <c r="M3832" s="300">
        <v>1.0</v>
      </c>
      <c r="N3832" s="300">
        <v>8.0</v>
      </c>
      <c r="O3832" s="300" t="s">
        <v>971</v>
      </c>
      <c r="P3832" s="300">
        <v>1.0</v>
      </c>
    </row>
    <row r="3833">
      <c r="A3833">
        <f>IFERROR(__xludf.DUMMYFUNCTION("""COMPUTED_VALUE"""),10.0)</f>
        <v>10</v>
      </c>
      <c r="B3833" s="406">
        <f>IFERROR(__xludf.DUMMYFUNCTION("""COMPUTED_VALUE"""),27009.0)</f>
        <v>27009</v>
      </c>
      <c r="C3833" t="str">
        <f>IFERROR(__xludf.DUMMYFUNCTION("""COMPUTED_VALUE"""),"ARBELAEZ VELASQUEZ, ANTONIO")</f>
        <v>ARBELAEZ VELASQUEZ, ANTONIO</v>
      </c>
      <c r="D3833" t="str">
        <f>IFERROR(__xludf.DUMMYFUNCTION("""COMPUTED_VALUE"""),"Painting II")</f>
        <v>Painting II</v>
      </c>
      <c r="E3833" s="3">
        <f>IFERROR(__xludf.DUMMYFUNCTION("""COMPUTED_VALUE"""),7.0)</f>
        <v>7</v>
      </c>
      <c r="F3833" s="300">
        <v>1.0</v>
      </c>
      <c r="G3833" s="300">
        <v>1.0</v>
      </c>
      <c r="H3833" s="300">
        <v>1.0</v>
      </c>
      <c r="I3833" s="300">
        <v>1.0</v>
      </c>
      <c r="J3833" s="300">
        <v>1.0</v>
      </c>
      <c r="K3833" s="300">
        <v>1.0</v>
      </c>
      <c r="L3833" s="300">
        <v>1.0</v>
      </c>
      <c r="M3833" s="300">
        <v>1.0</v>
      </c>
      <c r="N3833" s="300">
        <v>8.0</v>
      </c>
      <c r="O3833" s="300" t="s">
        <v>935</v>
      </c>
      <c r="P3833" s="300">
        <v>2.0</v>
      </c>
    </row>
    <row r="3834">
      <c r="A3834">
        <f>IFERROR(__xludf.DUMMYFUNCTION("""COMPUTED_VALUE"""),10.0)</f>
        <v>10</v>
      </c>
      <c r="B3834" s="406">
        <f>IFERROR(__xludf.DUMMYFUNCTION("""COMPUTED_VALUE"""),28079.0)</f>
        <v>28079</v>
      </c>
      <c r="C3834" t="str">
        <f>IFERROR(__xludf.DUMMYFUNCTION("""COMPUTED_VALUE"""),"OSPINA RESTREPO, INES")</f>
        <v>OSPINA RESTREPO, INES</v>
      </c>
      <c r="D3834" t="str">
        <f>IFERROR(__xludf.DUMMYFUNCTION("""COMPUTED_VALUE"""),"Anatomy and Physiology")</f>
        <v>Anatomy and Physiology</v>
      </c>
      <c r="E3834" s="3">
        <f>IFERROR(__xludf.DUMMYFUNCTION("""COMPUTED_VALUE"""),8.0)</f>
        <v>8</v>
      </c>
      <c r="F3834" s="300">
        <v>1.0</v>
      </c>
      <c r="G3834" s="300">
        <v>1.0</v>
      </c>
      <c r="H3834" s="300">
        <v>1.0</v>
      </c>
      <c r="I3834" s="300">
        <v>1.0</v>
      </c>
      <c r="J3834" s="300">
        <v>1.0</v>
      </c>
      <c r="K3834" s="300">
        <v>1.0</v>
      </c>
      <c r="L3834" s="300">
        <v>1.0</v>
      </c>
      <c r="M3834" s="300">
        <v>1.0</v>
      </c>
      <c r="N3834" s="300">
        <v>8.0</v>
      </c>
      <c r="O3834" s="300" t="s">
        <v>894</v>
      </c>
      <c r="P3834" s="300">
        <v>2.0</v>
      </c>
    </row>
    <row r="3835">
      <c r="A3835">
        <f>IFERROR(__xludf.DUMMYFUNCTION("""COMPUTED_VALUE"""),10.0)</f>
        <v>10</v>
      </c>
      <c r="B3835" s="406">
        <f>IFERROR(__xludf.DUMMYFUNCTION("""COMPUTED_VALUE"""),28062.0)</f>
        <v>28062</v>
      </c>
      <c r="C3835" t="str">
        <f>IFERROR(__xludf.DUMMYFUNCTION("""COMPUTED_VALUE"""),"MEJIA DUQUE, JERONIMO")</f>
        <v>MEJIA DUQUE, JERONIMO</v>
      </c>
      <c r="D3835" t="str">
        <f>IFERROR(__xludf.DUMMYFUNCTION("""COMPUTED_VALUE"""),"Journalism Intermediate Level")</f>
        <v>Journalism Intermediate Level</v>
      </c>
      <c r="E3835" s="3">
        <f>IFERROR(__xludf.DUMMYFUNCTION("""COMPUTED_VALUE"""),2.0)</f>
        <v>2</v>
      </c>
      <c r="F3835" s="300">
        <v>1.0</v>
      </c>
      <c r="G3835" s="300">
        <v>1.0</v>
      </c>
      <c r="H3835" s="300">
        <v>1.0</v>
      </c>
      <c r="I3835" s="300">
        <v>1.0</v>
      </c>
      <c r="J3835" s="300">
        <v>1.0</v>
      </c>
      <c r="K3835" s="300">
        <v>1.0</v>
      </c>
      <c r="L3835" s="300">
        <v>1.0</v>
      </c>
      <c r="M3835" s="300">
        <v>1.0</v>
      </c>
      <c r="N3835" s="300">
        <v>8.0</v>
      </c>
      <c r="O3835" s="300" t="s">
        <v>802</v>
      </c>
      <c r="P3835" s="300">
        <v>2.0</v>
      </c>
    </row>
    <row r="3836">
      <c r="A3836">
        <f>IFERROR(__xludf.DUMMYFUNCTION("""COMPUTED_VALUE"""),10.0)</f>
        <v>10</v>
      </c>
      <c r="B3836" s="406">
        <f>IFERROR(__xludf.DUMMYFUNCTION("""COMPUTED_VALUE"""),28118.0)</f>
        <v>28118</v>
      </c>
      <c r="C3836" t="str">
        <f>IFERROR(__xludf.DUMMYFUNCTION("""COMPUTED_VALUE"""),"VILLEGAS LONDOÑO, VIOLETA")</f>
        <v>VILLEGAS LONDOÑO, VIOLETA</v>
      </c>
      <c r="D3836" t="str">
        <f>IFERROR(__xludf.DUMMYFUNCTION("""COMPUTED_VALUE"""),"Anatomy and Physiology")</f>
        <v>Anatomy and Physiology</v>
      </c>
      <c r="E3836" s="3">
        <f>IFERROR(__xludf.DUMMYFUNCTION("""COMPUTED_VALUE"""),8.0)</f>
        <v>8</v>
      </c>
      <c r="F3836" s="300">
        <v>1.0</v>
      </c>
      <c r="G3836" s="300">
        <v>1.0</v>
      </c>
      <c r="H3836" s="300">
        <v>1.0</v>
      </c>
      <c r="I3836" s="300">
        <v>1.0</v>
      </c>
      <c r="J3836" s="300">
        <v>1.0</v>
      </c>
      <c r="K3836" s="300">
        <v>1.0</v>
      </c>
      <c r="L3836" s="300">
        <v>1.0</v>
      </c>
      <c r="M3836" s="300">
        <v>1.0</v>
      </c>
      <c r="N3836" s="300">
        <v>8.0</v>
      </c>
      <c r="O3836" s="300" t="s">
        <v>894</v>
      </c>
      <c r="P3836" s="300">
        <v>2.0</v>
      </c>
    </row>
    <row r="3837">
      <c r="A3837">
        <f>IFERROR(__xludf.DUMMYFUNCTION("""COMPUTED_VALUE"""),10.0)</f>
        <v>10</v>
      </c>
      <c r="B3837" s="406">
        <f>IFERROR(__xludf.DUMMYFUNCTION("""COMPUTED_VALUE"""),28030.0)</f>
        <v>28030</v>
      </c>
      <c r="C3837" t="str">
        <f>IFERROR(__xludf.DUMMYFUNCTION("""COMPUTED_VALUE"""),"FRANCO USUGA, MARIA JOSE")</f>
        <v>FRANCO USUGA, MARIA JOSE</v>
      </c>
      <c r="D3837" t="str">
        <f>IFERROR(__xludf.DUMMYFUNCTION("""COMPUTED_VALUE"""),"Anatomy and Physiology")</f>
        <v>Anatomy and Physiology</v>
      </c>
      <c r="E3837" s="3">
        <f>IFERROR(__xludf.DUMMYFUNCTION("""COMPUTED_VALUE"""),8.0)</f>
        <v>8</v>
      </c>
      <c r="F3837" s="300">
        <v>1.0</v>
      </c>
      <c r="G3837" s="300">
        <v>1.0</v>
      </c>
      <c r="H3837" s="300">
        <v>1.0</v>
      </c>
      <c r="I3837" s="300">
        <v>1.0</v>
      </c>
      <c r="J3837" s="300">
        <v>1.0</v>
      </c>
      <c r="K3837" s="300">
        <v>1.0</v>
      </c>
      <c r="L3837" s="300">
        <v>1.0</v>
      </c>
      <c r="M3837" s="300">
        <v>1.0</v>
      </c>
      <c r="N3837" s="300">
        <v>8.0</v>
      </c>
      <c r="O3837" s="300" t="s">
        <v>894</v>
      </c>
      <c r="P3837" s="300">
        <v>2.0</v>
      </c>
    </row>
    <row r="3838">
      <c r="A3838">
        <f>IFERROR(__xludf.DUMMYFUNCTION("""COMPUTED_VALUE"""),10.0)</f>
        <v>10</v>
      </c>
      <c r="B3838" s="406">
        <f>IFERROR(__xludf.DUMMYFUNCTION("""COMPUTED_VALUE"""),28107.0)</f>
        <v>28107</v>
      </c>
      <c r="C3838" t="str">
        <f>IFERROR(__xludf.DUMMYFUNCTION("""COMPUTED_VALUE"""),"TORO PEREZ, AMALIA")</f>
        <v>TORO PEREZ, AMALIA</v>
      </c>
      <c r="D3838" t="str">
        <f>IFERROR(__xludf.DUMMYFUNCTION("""COMPUTED_VALUE"""),"Painting II")</f>
        <v>Painting II</v>
      </c>
      <c r="E3838" s="3">
        <f>IFERROR(__xludf.DUMMYFUNCTION("""COMPUTED_VALUE"""),7.0)</f>
        <v>7</v>
      </c>
      <c r="F3838" s="300">
        <v>1.0</v>
      </c>
      <c r="G3838" s="300">
        <v>1.0</v>
      </c>
      <c r="H3838" s="300">
        <v>1.0</v>
      </c>
      <c r="I3838" s="300">
        <v>1.0</v>
      </c>
      <c r="J3838" s="300">
        <v>1.0</v>
      </c>
      <c r="K3838" s="300">
        <v>1.0</v>
      </c>
      <c r="L3838" s="300">
        <v>1.0</v>
      </c>
      <c r="M3838" s="300">
        <v>1.0</v>
      </c>
      <c r="N3838" s="300">
        <v>8.0</v>
      </c>
      <c r="O3838" s="300" t="s">
        <v>935</v>
      </c>
      <c r="P3838" s="300">
        <v>2.0</v>
      </c>
    </row>
    <row r="3839">
      <c r="A3839">
        <f>IFERROR(__xludf.DUMMYFUNCTION("""COMPUTED_VALUE"""),10.0)</f>
        <v>10</v>
      </c>
      <c r="B3839" s="406">
        <f>IFERROR(__xludf.DUMMYFUNCTION("""COMPUTED_VALUE"""),27057.0)</f>
        <v>27057</v>
      </c>
      <c r="C3839" t="str">
        <f>IFERROR(__xludf.DUMMYFUNCTION("""COMPUTED_VALUE"""),"LAVERDE GIRALDO, MAXIMILIANO")</f>
        <v>LAVERDE GIRALDO, MAXIMILIANO</v>
      </c>
      <c r="D3839" t="str">
        <f>IFERROR(__xludf.DUMMYFUNCTION("""COMPUTED_VALUE"""),"Band Level II")</f>
        <v>Band Level II</v>
      </c>
      <c r="E3839" s="3">
        <f>IFERROR(__xludf.DUMMYFUNCTION("""COMPUTED_VALUE"""),6.0)</f>
        <v>6</v>
      </c>
      <c r="F3839" s="300">
        <v>1.0</v>
      </c>
      <c r="G3839" s="300">
        <v>1.0</v>
      </c>
      <c r="H3839" s="300">
        <v>1.0</v>
      </c>
      <c r="I3839" s="300">
        <v>1.0</v>
      </c>
      <c r="J3839" s="300">
        <v>1.0</v>
      </c>
      <c r="K3839" s="300">
        <v>1.0</v>
      </c>
      <c r="L3839" s="300">
        <v>1.0</v>
      </c>
      <c r="M3839" s="300">
        <v>1.0</v>
      </c>
      <c r="N3839" s="300">
        <v>8.0</v>
      </c>
      <c r="O3839" s="300" t="s">
        <v>942</v>
      </c>
      <c r="P3839" s="300">
        <v>2.0</v>
      </c>
    </row>
    <row r="3840">
      <c r="A3840">
        <f>IFERROR(__xludf.DUMMYFUNCTION("""COMPUTED_VALUE"""),10.0)</f>
        <v>10</v>
      </c>
      <c r="B3840" s="406">
        <f>IFERROR(__xludf.DUMMYFUNCTION("""COMPUTED_VALUE"""),28169.0)</f>
        <v>28169</v>
      </c>
      <c r="C3840" t="str">
        <f>IFERROR(__xludf.DUMMYFUNCTION("""COMPUTED_VALUE"""),"BOTERO SPERA, ROSA")</f>
        <v>BOTERO SPERA, ROSA</v>
      </c>
      <c r="D3840" t="str">
        <f>IFERROR(__xludf.DUMMYFUNCTION("""COMPUTED_VALUE"""),"Creative Design")</f>
        <v>Creative Design</v>
      </c>
      <c r="E3840" s="3">
        <f>IFERROR(__xludf.DUMMYFUNCTION("""COMPUTED_VALUE"""),4.0)</f>
        <v>4</v>
      </c>
      <c r="F3840" s="300">
        <v>1.0</v>
      </c>
      <c r="G3840" s="300">
        <v>1.0</v>
      </c>
      <c r="H3840" s="300">
        <v>1.0</v>
      </c>
      <c r="I3840" s="300">
        <v>1.0</v>
      </c>
      <c r="J3840" s="300">
        <v>1.0</v>
      </c>
      <c r="K3840" s="300">
        <v>1.0</v>
      </c>
      <c r="L3840" s="300">
        <v>1.0</v>
      </c>
      <c r="M3840" s="300">
        <v>1.0</v>
      </c>
      <c r="N3840" s="300">
        <v>8.0</v>
      </c>
      <c r="O3840" s="300" t="s">
        <v>971</v>
      </c>
      <c r="P3840" s="300">
        <v>1.0</v>
      </c>
    </row>
    <row r="3841">
      <c r="A3841">
        <f>IFERROR(__xludf.DUMMYFUNCTION("""COMPUTED_VALUE"""),10.0)</f>
        <v>10</v>
      </c>
      <c r="B3841" s="406">
        <f>IFERROR(__xludf.DUMMYFUNCTION("""COMPUTED_VALUE"""),28015.0)</f>
        <v>28015</v>
      </c>
      <c r="C3841" t="str">
        <f>IFERROR(__xludf.DUMMYFUNCTION("""COMPUTED_VALUE"""),"BOTERO BOTERO, EULALIA")</f>
        <v>BOTERO BOTERO, EULALIA</v>
      </c>
      <c r="D3841" t="str">
        <f>IFERROR(__xludf.DUMMYFUNCTION("""COMPUTED_VALUE"""),"Painting II")</f>
        <v>Painting II</v>
      </c>
      <c r="E3841" s="3">
        <f>IFERROR(__xludf.DUMMYFUNCTION("""COMPUTED_VALUE"""),7.0)</f>
        <v>7</v>
      </c>
      <c r="F3841" s="300">
        <v>1.0</v>
      </c>
      <c r="G3841" s="300">
        <v>1.0</v>
      </c>
      <c r="H3841" s="300">
        <v>1.0</v>
      </c>
      <c r="I3841" s="300">
        <v>1.0</v>
      </c>
      <c r="J3841" s="300">
        <v>1.0</v>
      </c>
      <c r="K3841" s="300">
        <v>1.0</v>
      </c>
      <c r="L3841" s="300">
        <v>1.0</v>
      </c>
      <c r="M3841" s="300">
        <v>1.0</v>
      </c>
      <c r="N3841" s="300">
        <v>8.0</v>
      </c>
      <c r="O3841" s="300" t="s">
        <v>935</v>
      </c>
      <c r="P3841" s="300">
        <v>2.0</v>
      </c>
    </row>
    <row r="3842">
      <c r="A3842">
        <f>IFERROR(__xludf.DUMMYFUNCTION("""COMPUTED_VALUE"""),10.0)</f>
        <v>10</v>
      </c>
      <c r="B3842" s="406">
        <f>IFERROR(__xludf.DUMMYFUNCTION("""COMPUTED_VALUE"""),28057.0)</f>
        <v>28057</v>
      </c>
      <c r="C3842" t="str">
        <f>IFERROR(__xludf.DUMMYFUNCTION("""COMPUTED_VALUE"""),"MARTINEZ AGUILAR, AMELIA")</f>
        <v>MARTINEZ AGUILAR, AMELIA</v>
      </c>
      <c r="D3842" t="str">
        <f>IFERROR(__xludf.DUMMYFUNCTION("""COMPUTED_VALUE"""),"Anatomy and Physiology")</f>
        <v>Anatomy and Physiology</v>
      </c>
      <c r="E3842" s="3">
        <f>IFERROR(__xludf.DUMMYFUNCTION("""COMPUTED_VALUE"""),8.0)</f>
        <v>8</v>
      </c>
      <c r="F3842" s="300">
        <v>1.0</v>
      </c>
      <c r="G3842" s="300">
        <v>1.0</v>
      </c>
      <c r="H3842" s="300">
        <v>1.0</v>
      </c>
      <c r="I3842" s="300">
        <v>1.0</v>
      </c>
      <c r="J3842" s="300">
        <v>1.0</v>
      </c>
      <c r="K3842" s="300">
        <v>1.0</v>
      </c>
      <c r="L3842" s="300">
        <v>1.0</v>
      </c>
      <c r="M3842" s="300">
        <v>1.0</v>
      </c>
      <c r="N3842" s="300">
        <v>8.0</v>
      </c>
      <c r="O3842" s="300" t="s">
        <v>894</v>
      </c>
      <c r="P3842" s="300">
        <v>2.0</v>
      </c>
    </row>
    <row r="3843">
      <c r="A3843">
        <f>IFERROR(__xludf.DUMMYFUNCTION("""COMPUTED_VALUE"""),10.0)</f>
        <v>10</v>
      </c>
      <c r="B3843" s="406">
        <f>IFERROR(__xludf.DUMMYFUNCTION("""COMPUTED_VALUE"""),28135.0)</f>
        <v>28135</v>
      </c>
      <c r="C3843" t="str">
        <f>IFERROR(__xludf.DUMMYFUNCTION("""COMPUTED_VALUE"""),"VELEZ RESTREPO, EMILIA")</f>
        <v>VELEZ RESTREPO, EMILIA</v>
      </c>
      <c r="D3843" t="str">
        <f>IFERROR(__xludf.DUMMYFUNCTION("""COMPUTED_VALUE"""),"Anatomy and Physiology")</f>
        <v>Anatomy and Physiology</v>
      </c>
      <c r="E3843" s="3">
        <f>IFERROR(__xludf.DUMMYFUNCTION("""COMPUTED_VALUE"""),8.0)</f>
        <v>8</v>
      </c>
      <c r="F3843" s="300">
        <v>1.0</v>
      </c>
      <c r="G3843" s="300">
        <v>1.0</v>
      </c>
      <c r="H3843" s="300">
        <v>1.0</v>
      </c>
      <c r="I3843" s="300">
        <v>1.0</v>
      </c>
      <c r="J3843" s="300">
        <v>1.0</v>
      </c>
      <c r="K3843" s="300">
        <v>1.0</v>
      </c>
      <c r="L3843" s="300">
        <v>1.0</v>
      </c>
      <c r="M3843" s="300">
        <v>1.0</v>
      </c>
      <c r="N3843" s="300">
        <v>8.0</v>
      </c>
      <c r="O3843" s="300" t="s">
        <v>894</v>
      </c>
      <c r="P3843" s="300">
        <v>2.0</v>
      </c>
    </row>
    <row r="3844">
      <c r="A3844">
        <f>IFERROR(__xludf.DUMMYFUNCTION("""COMPUTED_VALUE"""),10.0)</f>
        <v>10</v>
      </c>
      <c r="B3844" s="406">
        <f>IFERROR(__xludf.DUMMYFUNCTION("""COMPUTED_VALUE"""),28137.0)</f>
        <v>28137</v>
      </c>
      <c r="C3844" t="str">
        <f>IFERROR(__xludf.DUMMYFUNCTION("""COMPUTED_VALUE"""),"JARAMILLO PEÑA, PAULA ANDREA")</f>
        <v>JARAMILLO PEÑA, PAULA ANDREA</v>
      </c>
      <c r="D3844" t="str">
        <f>IFERROR(__xludf.DUMMYFUNCTION("""COMPUTED_VALUE"""),"AP 2-D Art and Design")</f>
        <v>AP 2-D Art and Design</v>
      </c>
      <c r="E3844" s="3">
        <f>IFERROR(__xludf.DUMMYFUNCTION("""COMPUTED_VALUE"""),1.0)</f>
        <v>1</v>
      </c>
      <c r="F3844" s="300">
        <v>1.0</v>
      </c>
      <c r="G3844" s="300">
        <v>1.0</v>
      </c>
      <c r="H3844" s="300">
        <v>1.0</v>
      </c>
      <c r="I3844" s="300">
        <v>1.0</v>
      </c>
      <c r="J3844" s="300">
        <v>1.0</v>
      </c>
      <c r="K3844" s="300">
        <v>1.0</v>
      </c>
      <c r="L3844" s="300">
        <v>1.0</v>
      </c>
      <c r="M3844" s="300">
        <v>1.0</v>
      </c>
      <c r="N3844" s="300">
        <v>8.0</v>
      </c>
      <c r="O3844" s="300" t="s">
        <v>948</v>
      </c>
      <c r="P3844" s="300">
        <v>1.0</v>
      </c>
    </row>
    <row r="3845">
      <c r="A3845">
        <f>IFERROR(__xludf.DUMMYFUNCTION("""COMPUTED_VALUE"""),10.0)</f>
        <v>10</v>
      </c>
      <c r="B3845" s="406">
        <f>IFERROR(__xludf.DUMMYFUNCTION("""COMPUTED_VALUE"""),28028.0)</f>
        <v>28028</v>
      </c>
      <c r="C3845" t="str">
        <f>IFERROR(__xludf.DUMMYFUNCTION("""COMPUTED_VALUE"""),"FERRER ESCOBAR, JUAN MARTIN")</f>
        <v>FERRER ESCOBAR, JUAN MARTIN</v>
      </c>
      <c r="D3845" t="str">
        <f>IFERROR(__xludf.DUMMYFUNCTION("""COMPUTED_VALUE"""),"Algebra II")</f>
        <v>Algebra II</v>
      </c>
      <c r="E3845" s="3">
        <f>IFERROR(__xludf.DUMMYFUNCTION("""COMPUTED_VALUE"""),1.0)</f>
        <v>1</v>
      </c>
      <c r="F3845" s="300">
        <v>1.0</v>
      </c>
      <c r="G3845" s="300">
        <v>1.0</v>
      </c>
      <c r="H3845" s="300">
        <v>1.0</v>
      </c>
      <c r="I3845" s="300">
        <v>1.0</v>
      </c>
      <c r="J3845" s="300">
        <v>1.0</v>
      </c>
      <c r="K3845" s="300">
        <v>1.0</v>
      </c>
      <c r="L3845" s="300">
        <v>1.0</v>
      </c>
      <c r="M3845" s="300">
        <v>1.0</v>
      </c>
      <c r="N3845" s="300">
        <v>8.0</v>
      </c>
      <c r="O3845" s="300" t="s">
        <v>852</v>
      </c>
      <c r="P3845" s="300">
        <v>5.0</v>
      </c>
    </row>
    <row r="3846">
      <c r="A3846">
        <f>IFERROR(__xludf.DUMMYFUNCTION("""COMPUTED_VALUE"""),10.0)</f>
        <v>10</v>
      </c>
      <c r="B3846" s="406">
        <f>IFERROR(__xludf.DUMMYFUNCTION("""COMPUTED_VALUE"""),28014.0)</f>
        <v>28014</v>
      </c>
      <c r="C3846" t="str">
        <f>IFERROR(__xludf.DUMMYFUNCTION("""COMPUTED_VALUE"""),"BETANCUR VILLEGAS, MIGUEL")</f>
        <v>BETANCUR VILLEGAS, MIGUEL</v>
      </c>
      <c r="D3846" t="str">
        <f>IFERROR(__xludf.DUMMYFUNCTION("""COMPUTED_VALUE"""),"Painting I")</f>
        <v>Painting I</v>
      </c>
      <c r="E3846" s="3">
        <f>IFERROR(__xludf.DUMMYFUNCTION("""COMPUTED_VALUE"""),8.0)</f>
        <v>8</v>
      </c>
      <c r="F3846" s="300">
        <v>1.0</v>
      </c>
      <c r="G3846" s="300">
        <v>1.0</v>
      </c>
      <c r="H3846" s="300">
        <v>1.0</v>
      </c>
      <c r="I3846" s="300">
        <v>1.0</v>
      </c>
      <c r="J3846" s="300">
        <v>1.0</v>
      </c>
      <c r="K3846" s="300">
        <v>1.0</v>
      </c>
      <c r="L3846" s="300">
        <v>1.0</v>
      </c>
      <c r="M3846" s="300">
        <v>1.0</v>
      </c>
      <c r="N3846" s="300">
        <v>8.0</v>
      </c>
      <c r="O3846" s="300" t="s">
        <v>988</v>
      </c>
      <c r="P3846" s="300">
        <v>4.0</v>
      </c>
    </row>
    <row r="3847">
      <c r="A3847">
        <f>IFERROR(__xludf.DUMMYFUNCTION("""COMPUTED_VALUE"""),10.0)</f>
        <v>10</v>
      </c>
      <c r="B3847" s="406">
        <f>IFERROR(__xludf.DUMMYFUNCTION("""COMPUTED_VALUE"""),28075.0)</f>
        <v>28075</v>
      </c>
      <c r="C3847" t="str">
        <f>IFERROR(__xludf.DUMMYFUNCTION("""COMPUTED_VALUE"""),"OCHOA HURTADO, ELENA")</f>
        <v>OCHOA HURTADO, ELENA</v>
      </c>
      <c r="D3847" t="str">
        <f>IFERROR(__xludf.DUMMYFUNCTION("""COMPUTED_VALUE"""),"Band Level I")</f>
        <v>Band Level I</v>
      </c>
      <c r="E3847" s="3">
        <f>IFERROR(__xludf.DUMMYFUNCTION("""COMPUTED_VALUE"""),7.0)</f>
        <v>7</v>
      </c>
      <c r="F3847" s="300">
        <v>1.0</v>
      </c>
      <c r="G3847" s="300">
        <v>1.0</v>
      </c>
      <c r="H3847" s="300">
        <v>1.0</v>
      </c>
      <c r="I3847" s="300">
        <v>1.0</v>
      </c>
      <c r="J3847" s="300">
        <v>1.0</v>
      </c>
      <c r="K3847" s="300">
        <v>1.0</v>
      </c>
      <c r="L3847" s="300">
        <v>1.0</v>
      </c>
      <c r="M3847" s="300">
        <v>1.0</v>
      </c>
      <c r="N3847" s="300">
        <v>8.0</v>
      </c>
      <c r="O3847" s="300" t="s">
        <v>936</v>
      </c>
      <c r="P3847" s="300">
        <v>4.0</v>
      </c>
    </row>
    <row r="3848">
      <c r="A3848">
        <f>IFERROR(__xludf.DUMMYFUNCTION("""COMPUTED_VALUE"""),10.0)</f>
        <v>10</v>
      </c>
      <c r="B3848" s="406">
        <f>IFERROR(__xludf.DUMMYFUNCTION("""COMPUTED_VALUE"""),28165.0)</f>
        <v>28165</v>
      </c>
      <c r="C3848" t="str">
        <f>IFERROR(__xludf.DUMMYFUNCTION("""COMPUTED_VALUE"""),"ARANA CARREÑO, MARIA ANTONIA")</f>
        <v>ARANA CARREÑO, MARIA ANTONIA</v>
      </c>
      <c r="D3848" t="str">
        <f>IFERROR(__xludf.DUMMYFUNCTION("""COMPUTED_VALUE"""),"AP 2-D Art and Design")</f>
        <v>AP 2-D Art and Design</v>
      </c>
      <c r="E3848" s="3">
        <f>IFERROR(__xludf.DUMMYFUNCTION("""COMPUTED_VALUE"""),1.0)</f>
        <v>1</v>
      </c>
      <c r="F3848" s="300">
        <v>1.0</v>
      </c>
      <c r="G3848" s="300">
        <v>1.0</v>
      </c>
      <c r="H3848" s="300">
        <v>1.0</v>
      </c>
      <c r="I3848" s="300">
        <v>1.0</v>
      </c>
      <c r="J3848" s="300">
        <v>1.0</v>
      </c>
      <c r="K3848" s="300">
        <v>1.0</v>
      </c>
      <c r="L3848" s="300">
        <v>1.0</v>
      </c>
      <c r="M3848" s="300">
        <v>1.0</v>
      </c>
      <c r="N3848" s="300">
        <v>8.0</v>
      </c>
      <c r="O3848" s="300" t="s">
        <v>948</v>
      </c>
      <c r="P3848" s="300">
        <v>1.0</v>
      </c>
    </row>
    <row r="3849">
      <c r="A3849">
        <f>IFERROR(__xludf.DUMMYFUNCTION("""COMPUTED_VALUE"""),10.0)</f>
        <v>10</v>
      </c>
      <c r="B3849" s="406">
        <f>IFERROR(__xludf.DUMMYFUNCTION("""COMPUTED_VALUE"""),28142.0)</f>
        <v>28142</v>
      </c>
      <c r="C3849" t="str">
        <f>IFERROR(__xludf.DUMMYFUNCTION("""COMPUTED_VALUE"""),"BOTERO BETANCOURT, NICOLAS")</f>
        <v>BOTERO BETANCOURT, NICOLAS</v>
      </c>
      <c r="D3849" t="str">
        <f>IFERROR(__xludf.DUMMYFUNCTION("""COMPUTED_VALUE"""),"Algebra II")</f>
        <v>Algebra II</v>
      </c>
      <c r="E3849" s="3">
        <f>IFERROR(__xludf.DUMMYFUNCTION("""COMPUTED_VALUE"""),5.0)</f>
        <v>5</v>
      </c>
      <c r="F3849" s="300">
        <v>1.0</v>
      </c>
      <c r="G3849" s="300">
        <v>1.0</v>
      </c>
      <c r="H3849" s="300">
        <v>1.0</v>
      </c>
      <c r="I3849" s="300">
        <v>1.0</v>
      </c>
      <c r="J3849" s="300">
        <v>1.0</v>
      </c>
      <c r="K3849" s="300">
        <v>1.0</v>
      </c>
      <c r="L3849" s="300">
        <v>1.0</v>
      </c>
      <c r="M3849" s="300">
        <v>1.0</v>
      </c>
      <c r="N3849" s="300">
        <v>8.0</v>
      </c>
      <c r="O3849" s="300" t="s">
        <v>851</v>
      </c>
      <c r="P3849" s="300">
        <v>5.0</v>
      </c>
    </row>
    <row r="3850">
      <c r="A3850">
        <f>IFERROR(__xludf.DUMMYFUNCTION("""COMPUTED_VALUE"""),10.0)</f>
        <v>10</v>
      </c>
      <c r="B3850" s="406">
        <f>IFERROR(__xludf.DUMMYFUNCTION("""COMPUTED_VALUE"""),27008.0)</f>
        <v>27008</v>
      </c>
      <c r="C3850" t="str">
        <f>IFERROR(__xludf.DUMMYFUNCTION("""COMPUTED_VALUE"""),"ARBELAEZ VELASQUEZ, AGUSTIN")</f>
        <v>ARBELAEZ VELASQUEZ, AGUSTIN</v>
      </c>
      <c r="D3850" t="str">
        <f>IFERROR(__xludf.DUMMYFUNCTION("""COMPUTED_VALUE"""),"Drawing I")</f>
        <v>Drawing I</v>
      </c>
      <c r="E3850" s="3">
        <f>IFERROR(__xludf.DUMMYFUNCTION("""COMPUTED_VALUE"""),3.0)</f>
        <v>3</v>
      </c>
      <c r="F3850" s="300">
        <v>1.0</v>
      </c>
      <c r="G3850" s="300">
        <v>1.0</v>
      </c>
      <c r="H3850" s="300">
        <v>1.0</v>
      </c>
      <c r="I3850" s="300">
        <v>1.0</v>
      </c>
      <c r="J3850" s="300">
        <v>1.0</v>
      </c>
      <c r="K3850" s="300">
        <v>1.0</v>
      </c>
      <c r="L3850" s="300">
        <v>1.0</v>
      </c>
      <c r="M3850" s="300">
        <v>1.0</v>
      </c>
      <c r="N3850" s="300">
        <v>8.0</v>
      </c>
      <c r="O3850" s="300" t="s">
        <v>938</v>
      </c>
      <c r="P3850" s="300">
        <v>2.0</v>
      </c>
    </row>
    <row r="3851">
      <c r="A3851">
        <f>IFERROR(__xludf.DUMMYFUNCTION("""COMPUTED_VALUE"""),10.0)</f>
        <v>10</v>
      </c>
      <c r="B3851" s="406">
        <f>IFERROR(__xludf.DUMMYFUNCTION("""COMPUTED_VALUE"""),28161.0)</f>
        <v>28161</v>
      </c>
      <c r="C3851" t="str">
        <f>IFERROR(__xludf.DUMMYFUNCTION("""COMPUTED_VALUE"""),"GAVIRIA GOMEZ, JUAN ANDRES")</f>
        <v>GAVIRIA GOMEZ, JUAN ANDRES</v>
      </c>
      <c r="D3851" t="str">
        <f>IFERROR(__xludf.DUMMYFUNCTION("""COMPUTED_VALUE"""),"Drawing I")</f>
        <v>Drawing I</v>
      </c>
      <c r="E3851" s="3">
        <f>IFERROR(__xludf.DUMMYFUNCTION("""COMPUTED_VALUE"""),8.0)</f>
        <v>8</v>
      </c>
      <c r="F3851" s="300">
        <v>1.0</v>
      </c>
      <c r="G3851" s="300">
        <v>1.0</v>
      </c>
      <c r="H3851" s="300">
        <v>1.0</v>
      </c>
      <c r="I3851" s="300">
        <v>1.0</v>
      </c>
      <c r="J3851" s="300">
        <v>1.0</v>
      </c>
      <c r="K3851" s="300">
        <v>1.0</v>
      </c>
      <c r="L3851" s="300">
        <v>1.0</v>
      </c>
      <c r="M3851" s="300">
        <v>1.0</v>
      </c>
      <c r="N3851" s="300">
        <v>8.0</v>
      </c>
      <c r="O3851" s="300" t="s">
        <v>944</v>
      </c>
      <c r="P3851" s="300">
        <v>2.0</v>
      </c>
    </row>
    <row r="3852">
      <c r="A3852">
        <f>IFERROR(__xludf.DUMMYFUNCTION("""COMPUTED_VALUE"""),10.0)</f>
        <v>10</v>
      </c>
      <c r="B3852" s="406">
        <f>IFERROR(__xludf.DUMMYFUNCTION("""COMPUTED_VALUE"""),28040.0)</f>
        <v>28040</v>
      </c>
      <c r="C3852" t="str">
        <f>IFERROR(__xludf.DUMMYFUNCTION("""COMPUTED_VALUE"""),"GONZALEZ MARIN, MANUELA")</f>
        <v>GONZALEZ MARIN, MANUELA</v>
      </c>
      <c r="D3852" t="str">
        <f>IFERROR(__xludf.DUMMYFUNCTION("""COMPUTED_VALUE"""),"Sculpture I")</f>
        <v>Sculpture I</v>
      </c>
      <c r="E3852" s="3">
        <f>IFERROR(__xludf.DUMMYFUNCTION("""COMPUTED_VALUE"""),4.0)</f>
        <v>4</v>
      </c>
      <c r="F3852" s="300">
        <v>1.0</v>
      </c>
      <c r="G3852" s="300">
        <v>1.0</v>
      </c>
      <c r="H3852" s="300">
        <v>1.0</v>
      </c>
      <c r="I3852" s="300">
        <v>1.0</v>
      </c>
      <c r="J3852" s="300">
        <v>1.0</v>
      </c>
      <c r="K3852" s="300">
        <v>1.0</v>
      </c>
      <c r="L3852" s="300">
        <v>1.0</v>
      </c>
      <c r="M3852" s="300">
        <v>1.0</v>
      </c>
      <c r="N3852" s="300">
        <v>8.0</v>
      </c>
      <c r="O3852" s="300" t="s">
        <v>989</v>
      </c>
      <c r="P3852" s="300">
        <v>2.0</v>
      </c>
    </row>
    <row r="3853">
      <c r="A3853">
        <f>IFERROR(__xludf.DUMMYFUNCTION("""COMPUTED_VALUE"""),10.0)</f>
        <v>10</v>
      </c>
      <c r="B3853" s="406">
        <f>IFERROR(__xludf.DUMMYFUNCTION("""COMPUTED_VALUE"""),28007.0)</f>
        <v>28007</v>
      </c>
      <c r="C3853" t="str">
        <f>IFERROR(__xludf.DUMMYFUNCTION("""COMPUTED_VALUE"""),"ARISTIZABAL SALAZAR, MIGUEL")</f>
        <v>ARISTIZABAL SALAZAR, MIGUEL</v>
      </c>
      <c r="D3853" t="str">
        <f>IFERROR(__xludf.DUMMYFUNCTION("""COMPUTED_VALUE"""),"Band Level I")</f>
        <v>Band Level I</v>
      </c>
      <c r="E3853" s="3">
        <f>IFERROR(__xludf.DUMMYFUNCTION("""COMPUTED_VALUE"""),3.0)</f>
        <v>3</v>
      </c>
      <c r="F3853" s="300">
        <v>1.0</v>
      </c>
      <c r="G3853" s="300">
        <v>1.0</v>
      </c>
      <c r="H3853" s="300">
        <v>1.0</v>
      </c>
      <c r="I3853" s="300">
        <v>1.0</v>
      </c>
      <c r="J3853" s="300">
        <v>1.0</v>
      </c>
      <c r="K3853" s="300">
        <v>1.0</v>
      </c>
      <c r="L3853" s="300">
        <v>1.0</v>
      </c>
      <c r="M3853" s="300">
        <v>1.0</v>
      </c>
      <c r="N3853" s="300">
        <v>8.0</v>
      </c>
      <c r="O3853" s="300" t="s">
        <v>990</v>
      </c>
      <c r="P3853" s="300">
        <v>4.0</v>
      </c>
    </row>
    <row r="3854">
      <c r="A3854">
        <f>IFERROR(__xludf.DUMMYFUNCTION("""COMPUTED_VALUE"""),10.0)</f>
        <v>10</v>
      </c>
      <c r="B3854" s="406">
        <f>IFERROR(__xludf.DUMMYFUNCTION("""COMPUTED_VALUE"""),28047.0)</f>
        <v>28047</v>
      </c>
      <c r="C3854" t="str">
        <f>IFERROR(__xludf.DUMMYFUNCTION("""COMPUTED_VALUE"""),"ISAZA BETANCUR, CRISTOBAL")</f>
        <v>ISAZA BETANCUR, CRISTOBAL</v>
      </c>
      <c r="D3854" t="str">
        <f>IFERROR(__xludf.DUMMYFUNCTION("""COMPUTED_VALUE"""),"Band Level I")</f>
        <v>Band Level I</v>
      </c>
      <c r="E3854" s="3">
        <f>IFERROR(__xludf.DUMMYFUNCTION("""COMPUTED_VALUE"""),4.0)</f>
        <v>4</v>
      </c>
      <c r="F3854" s="300">
        <v>1.0</v>
      </c>
      <c r="G3854" s="300">
        <v>1.0</v>
      </c>
      <c r="H3854" s="300">
        <v>1.0</v>
      </c>
      <c r="I3854" s="300">
        <v>1.0</v>
      </c>
      <c r="J3854" s="300">
        <v>1.0</v>
      </c>
      <c r="K3854" s="300">
        <v>1.0</v>
      </c>
      <c r="L3854" s="300">
        <v>1.0</v>
      </c>
      <c r="M3854" s="300">
        <v>1.0</v>
      </c>
      <c r="N3854" s="300">
        <v>8.0</v>
      </c>
      <c r="O3854" s="300" t="s">
        <v>937</v>
      </c>
      <c r="P3854" s="300">
        <v>4.0</v>
      </c>
    </row>
    <row r="3855">
      <c r="A3855">
        <f>IFERROR(__xludf.DUMMYFUNCTION("""COMPUTED_VALUE"""),10.0)</f>
        <v>10</v>
      </c>
      <c r="B3855" s="406">
        <f>IFERROR(__xludf.DUMMYFUNCTION("""COMPUTED_VALUE"""),28111.0)</f>
        <v>28111</v>
      </c>
      <c r="C3855" t="str">
        <f>IFERROR(__xludf.DUMMYFUNCTION("""COMPUTED_VALUE"""),"GARCES RIVERA, MATHIAS")</f>
        <v>GARCES RIVERA, MATHIAS</v>
      </c>
      <c r="D3855" t="str">
        <f>IFERROR(__xludf.DUMMYFUNCTION("""COMPUTED_VALUE"""),"Band Level I")</f>
        <v>Band Level I</v>
      </c>
      <c r="E3855" s="3">
        <f>IFERROR(__xludf.DUMMYFUNCTION("""COMPUTED_VALUE"""),7.0)</f>
        <v>7</v>
      </c>
      <c r="F3855" s="300">
        <v>1.0</v>
      </c>
      <c r="G3855" s="300">
        <v>1.0</v>
      </c>
      <c r="H3855" s="300">
        <v>1.0</v>
      </c>
      <c r="I3855" s="300">
        <v>1.0</v>
      </c>
      <c r="J3855" s="300">
        <v>1.0</v>
      </c>
      <c r="K3855" s="300">
        <v>1.0</v>
      </c>
      <c r="L3855" s="300">
        <v>1.0</v>
      </c>
      <c r="M3855" s="300">
        <v>1.0</v>
      </c>
      <c r="N3855" s="300">
        <v>8.0</v>
      </c>
      <c r="O3855" s="300" t="s">
        <v>936</v>
      </c>
      <c r="P3855" s="300">
        <v>4.0</v>
      </c>
    </row>
    <row r="3856">
      <c r="A3856">
        <f>IFERROR(__xludf.DUMMYFUNCTION("""COMPUTED_VALUE"""),10.0)</f>
        <v>10</v>
      </c>
      <c r="B3856" s="406">
        <f>IFERROR(__xludf.DUMMYFUNCTION("""COMPUTED_VALUE"""),28011.0)</f>
        <v>28011</v>
      </c>
      <c r="C3856" t="str">
        <f>IFERROR(__xludf.DUMMYFUNCTION("""COMPUTED_VALUE"""),"BAQUERO GARCIA, PASCUAL")</f>
        <v>BAQUERO GARCIA, PASCUAL</v>
      </c>
      <c r="D3856" t="str">
        <f>IFERROR(__xludf.DUMMYFUNCTION("""COMPUTED_VALUE"""),"Band Level I")</f>
        <v>Band Level I</v>
      </c>
      <c r="E3856" s="3">
        <f>IFERROR(__xludf.DUMMYFUNCTION("""COMPUTED_VALUE"""),8.0)</f>
        <v>8</v>
      </c>
      <c r="F3856" s="300">
        <v>1.0</v>
      </c>
      <c r="G3856" s="300">
        <v>1.0</v>
      </c>
      <c r="H3856" s="300">
        <v>1.0</v>
      </c>
      <c r="I3856" s="300">
        <v>1.0</v>
      </c>
      <c r="J3856" s="300">
        <v>1.0</v>
      </c>
      <c r="K3856" s="300">
        <v>1.0</v>
      </c>
      <c r="L3856" s="300">
        <v>1.0</v>
      </c>
      <c r="M3856" s="300">
        <v>1.0</v>
      </c>
      <c r="N3856" s="300">
        <v>8.0</v>
      </c>
      <c r="O3856" s="300" t="s">
        <v>943</v>
      </c>
      <c r="P3856" s="300">
        <v>4.0</v>
      </c>
    </row>
    <row r="3857">
      <c r="A3857">
        <f>IFERROR(__xludf.DUMMYFUNCTION("""COMPUTED_VALUE"""),10.0)</f>
        <v>10</v>
      </c>
      <c r="B3857" s="406">
        <f>IFERROR(__xludf.DUMMYFUNCTION("""COMPUTED_VALUE"""),28115.0)</f>
        <v>28115</v>
      </c>
      <c r="C3857" t="str">
        <f>IFERROR(__xludf.DUMMYFUNCTION("""COMPUTED_VALUE"""),"VELEZ ECHAVARRIA, AMELIA")</f>
        <v>VELEZ ECHAVARRIA, AMELIA</v>
      </c>
      <c r="D3857" t="str">
        <f>IFERROR(__xludf.DUMMYFUNCTION("""COMPUTED_VALUE"""),"AP 2-D Art and Design")</f>
        <v>AP 2-D Art and Design</v>
      </c>
      <c r="E3857" s="3">
        <f>IFERROR(__xludf.DUMMYFUNCTION("""COMPUTED_VALUE"""),1.0)</f>
        <v>1</v>
      </c>
      <c r="F3857" s="300">
        <v>1.0</v>
      </c>
      <c r="G3857" s="300">
        <v>1.0</v>
      </c>
      <c r="H3857" s="300">
        <v>1.0</v>
      </c>
      <c r="I3857" s="300">
        <v>1.0</v>
      </c>
      <c r="J3857" s="300">
        <v>1.0</v>
      </c>
      <c r="K3857" s="300">
        <v>1.0</v>
      </c>
      <c r="L3857" s="300">
        <v>1.0</v>
      </c>
      <c r="M3857" s="300">
        <v>1.0</v>
      </c>
      <c r="N3857" s="300">
        <v>8.0</v>
      </c>
      <c r="O3857" s="300" t="s">
        <v>948</v>
      </c>
      <c r="P3857" s="300">
        <v>1.0</v>
      </c>
    </row>
    <row r="3858">
      <c r="A3858">
        <f>IFERROR(__xludf.DUMMYFUNCTION("""COMPUTED_VALUE"""),10.0)</f>
        <v>10</v>
      </c>
      <c r="B3858" s="406">
        <f>IFERROR(__xludf.DUMMYFUNCTION("""COMPUTED_VALUE"""),28106.0)</f>
        <v>28106</v>
      </c>
      <c r="C3858" t="str">
        <f>IFERROR(__xludf.DUMMYFUNCTION("""COMPUTED_VALUE"""),"TOBON PEÑALOZA, PEDRO")</f>
        <v>TOBON PEÑALOZA, PEDRO</v>
      </c>
      <c r="D3858" t="str">
        <f>IFERROR(__xludf.DUMMYFUNCTION("""COMPUTED_VALUE"""),"AP Computer Science Principles")</f>
        <v>AP Computer Science Principles</v>
      </c>
      <c r="E3858" s="3">
        <f>IFERROR(__xludf.DUMMYFUNCTION("""COMPUTED_VALUE"""),3.0)</f>
        <v>3</v>
      </c>
      <c r="F3858" s="300">
        <v>1.0</v>
      </c>
      <c r="G3858" s="300">
        <v>1.0</v>
      </c>
      <c r="H3858" s="300">
        <v>1.0</v>
      </c>
      <c r="I3858" s="300">
        <v>1.0</v>
      </c>
      <c r="J3858" s="300">
        <v>1.0</v>
      </c>
      <c r="K3858" s="300">
        <v>1.0</v>
      </c>
      <c r="L3858" s="300">
        <v>1.0</v>
      </c>
      <c r="M3858" s="300">
        <v>1.0</v>
      </c>
      <c r="N3858" s="300">
        <v>8.0</v>
      </c>
      <c r="O3858" s="300" t="s">
        <v>836</v>
      </c>
      <c r="P3858" s="300">
        <v>1.0</v>
      </c>
    </row>
    <row r="3859">
      <c r="A3859">
        <f>IFERROR(__xludf.DUMMYFUNCTION("""COMPUTED_VALUE"""),10.0)</f>
        <v>10</v>
      </c>
      <c r="B3859" s="406">
        <f>IFERROR(__xludf.DUMMYFUNCTION("""COMPUTED_VALUE"""),28004.0)</f>
        <v>28004</v>
      </c>
      <c r="C3859" t="str">
        <f>IFERROR(__xludf.DUMMYFUNCTION("""COMPUTED_VALUE"""),"ARANGO FERNANDEZ, AGUSTIN")</f>
        <v>ARANGO FERNANDEZ, AGUSTIN</v>
      </c>
      <c r="D3859" t="str">
        <f>IFERROR(__xludf.DUMMYFUNCTION("""COMPUTED_VALUE"""),"Painting I")</f>
        <v>Painting I</v>
      </c>
      <c r="E3859" s="3">
        <f>IFERROR(__xludf.DUMMYFUNCTION("""COMPUTED_VALUE"""),5.0)</f>
        <v>5</v>
      </c>
      <c r="F3859" s="300">
        <v>1.0</v>
      </c>
      <c r="G3859" s="300">
        <v>1.0</v>
      </c>
      <c r="H3859" s="300">
        <v>1.0</v>
      </c>
      <c r="I3859" s="300">
        <v>1.0</v>
      </c>
      <c r="J3859" s="300">
        <v>1.0</v>
      </c>
      <c r="K3859" s="300">
        <v>1.0</v>
      </c>
      <c r="L3859" s="300">
        <v>1.0</v>
      </c>
      <c r="M3859" s="300">
        <v>1.0</v>
      </c>
      <c r="N3859" s="300">
        <v>8.0</v>
      </c>
      <c r="O3859" s="300" t="s">
        <v>945</v>
      </c>
      <c r="P3859" s="300">
        <v>4.0</v>
      </c>
    </row>
    <row r="3860">
      <c r="A3860">
        <f>IFERROR(__xludf.DUMMYFUNCTION("""COMPUTED_VALUE"""),10.0)</f>
        <v>10</v>
      </c>
      <c r="B3860" s="406">
        <f>IFERROR(__xludf.DUMMYFUNCTION("""COMPUTED_VALUE"""),28001.0)</f>
        <v>28001</v>
      </c>
      <c r="C3860" t="str">
        <f>IFERROR(__xludf.DUMMYFUNCTION("""COMPUTED_VALUE"""),"ABAD OLARTE, LUCIA")</f>
        <v>ABAD OLARTE, LUCIA</v>
      </c>
      <c r="D3860" t="str">
        <f>IFERROR(__xludf.DUMMYFUNCTION("""COMPUTED_VALUE"""),"AP 2-D Art and Design")</f>
        <v>AP 2-D Art and Design</v>
      </c>
      <c r="E3860" s="3">
        <f>IFERROR(__xludf.DUMMYFUNCTION("""COMPUTED_VALUE"""),1.0)</f>
        <v>1</v>
      </c>
      <c r="F3860" s="300">
        <v>1.0</v>
      </c>
      <c r="G3860" s="300">
        <v>1.0</v>
      </c>
      <c r="H3860" s="300">
        <v>1.0</v>
      </c>
      <c r="I3860" s="300">
        <v>1.0</v>
      </c>
      <c r="J3860" s="300">
        <v>1.0</v>
      </c>
      <c r="K3860" s="300">
        <v>1.0</v>
      </c>
      <c r="L3860" s="300">
        <v>1.0</v>
      </c>
      <c r="M3860" s="300">
        <v>1.0</v>
      </c>
      <c r="N3860" s="300">
        <v>8.0</v>
      </c>
      <c r="O3860" s="300" t="s">
        <v>948</v>
      </c>
      <c r="P3860" s="300">
        <v>1.0</v>
      </c>
    </row>
    <row r="3861">
      <c r="A3861">
        <f>IFERROR(__xludf.DUMMYFUNCTION("""COMPUTED_VALUE"""),10.0)</f>
        <v>10</v>
      </c>
      <c r="B3861" s="406">
        <f>IFERROR(__xludf.DUMMYFUNCTION("""COMPUTED_VALUE"""),28055.0)</f>
        <v>28055</v>
      </c>
      <c r="C3861" t="str">
        <f>IFERROR(__xludf.DUMMYFUNCTION("""COMPUTED_VALUE"""),"JARAMILLO OCHOA, LUCIANA")</f>
        <v>JARAMILLO OCHOA, LUCIANA</v>
      </c>
      <c r="D3861" t="str">
        <f>IFERROR(__xludf.DUMMYFUNCTION("""COMPUTED_VALUE"""),"AP 2-D Art and Design")</f>
        <v>AP 2-D Art and Design</v>
      </c>
      <c r="E3861" s="3">
        <f>IFERROR(__xludf.DUMMYFUNCTION("""COMPUTED_VALUE"""),1.0)</f>
        <v>1</v>
      </c>
      <c r="F3861" s="300">
        <v>1.0</v>
      </c>
      <c r="G3861" s="300">
        <v>1.0</v>
      </c>
      <c r="H3861" s="300">
        <v>1.0</v>
      </c>
      <c r="I3861" s="300">
        <v>1.0</v>
      </c>
      <c r="J3861" s="300">
        <v>1.0</v>
      </c>
      <c r="K3861" s="300">
        <v>1.0</v>
      </c>
      <c r="L3861" s="300">
        <v>1.0</v>
      </c>
      <c r="M3861" s="300">
        <v>1.0</v>
      </c>
      <c r="N3861" s="300">
        <v>8.0</v>
      </c>
      <c r="O3861" s="300" t="s">
        <v>948</v>
      </c>
      <c r="P3861" s="300">
        <v>1.0</v>
      </c>
    </row>
    <row r="3862">
      <c r="A3862">
        <f>IFERROR(__xludf.DUMMYFUNCTION("""COMPUTED_VALUE"""),10.0)</f>
        <v>10</v>
      </c>
      <c r="B3862" s="406">
        <f>IFERROR(__xludf.DUMMYFUNCTION("""COMPUTED_VALUE"""),28009.0)</f>
        <v>28009</v>
      </c>
      <c r="C3862" t="str">
        <f>IFERROR(__xludf.DUMMYFUNCTION("""COMPUTED_VALUE"""),"ARISTIZABAL ZULUAGA, MATILDE")</f>
        <v>ARISTIZABAL ZULUAGA, MATILDE</v>
      </c>
      <c r="D3862" t="str">
        <f>IFERROR(__xludf.DUMMYFUNCTION("""COMPUTED_VALUE"""),"AP 2-D Art and Design")</f>
        <v>AP 2-D Art and Design</v>
      </c>
      <c r="E3862" s="3">
        <f>IFERROR(__xludf.DUMMYFUNCTION("""COMPUTED_VALUE"""),1.0)</f>
        <v>1</v>
      </c>
      <c r="F3862" s="300">
        <v>1.0</v>
      </c>
      <c r="G3862" s="300">
        <v>1.0</v>
      </c>
      <c r="H3862" s="300">
        <v>1.0</v>
      </c>
      <c r="I3862" s="300">
        <v>1.0</v>
      </c>
      <c r="J3862" s="300">
        <v>1.0</v>
      </c>
      <c r="K3862" s="300">
        <v>1.0</v>
      </c>
      <c r="L3862" s="300">
        <v>1.0</v>
      </c>
      <c r="M3862" s="300">
        <v>1.0</v>
      </c>
      <c r="N3862" s="300">
        <v>8.0</v>
      </c>
      <c r="O3862" s="300" t="s">
        <v>948</v>
      </c>
      <c r="P3862" s="300">
        <v>1.0</v>
      </c>
    </row>
    <row r="3863">
      <c r="A3863">
        <f>IFERROR(__xludf.DUMMYFUNCTION("""COMPUTED_VALUE"""),10.0)</f>
        <v>10</v>
      </c>
      <c r="B3863" s="406">
        <f>IFERROR(__xludf.DUMMYFUNCTION("""COMPUTED_VALUE"""),28089.0)</f>
        <v>28089</v>
      </c>
      <c r="C3863" t="str">
        <f>IFERROR(__xludf.DUMMYFUNCTION("""COMPUTED_VALUE"""),"RAMIREZ OSORIO, ELENA")</f>
        <v>RAMIREZ OSORIO, ELENA</v>
      </c>
      <c r="D3863" t="str">
        <f>IFERROR(__xludf.DUMMYFUNCTION("""COMPUTED_VALUE"""),"Anatomy and Physiology")</f>
        <v>Anatomy and Physiology</v>
      </c>
      <c r="E3863" s="3">
        <f>IFERROR(__xludf.DUMMYFUNCTION("""COMPUTED_VALUE"""),4.0)</f>
        <v>4</v>
      </c>
      <c r="F3863" s="300">
        <v>1.0</v>
      </c>
      <c r="G3863" s="300">
        <v>1.0</v>
      </c>
      <c r="H3863" s="300">
        <v>1.0</v>
      </c>
      <c r="I3863" s="300">
        <v>1.0</v>
      </c>
      <c r="J3863" s="300">
        <v>1.0</v>
      </c>
      <c r="K3863" s="300">
        <v>1.0</v>
      </c>
      <c r="L3863" s="300">
        <v>1.0</v>
      </c>
      <c r="M3863" s="300">
        <v>1.0</v>
      </c>
      <c r="N3863" s="300">
        <v>8.0</v>
      </c>
      <c r="O3863" s="300" t="s">
        <v>895</v>
      </c>
      <c r="P3863" s="300">
        <v>2.0</v>
      </c>
    </row>
    <row r="3864">
      <c r="A3864">
        <f>IFERROR(__xludf.DUMMYFUNCTION("""COMPUTED_VALUE"""),10.0)</f>
        <v>10</v>
      </c>
      <c r="B3864" s="406">
        <f>IFERROR(__xludf.DUMMYFUNCTION("""COMPUTED_VALUE"""),28072.0)</f>
        <v>28072</v>
      </c>
      <c r="C3864" t="str">
        <f>IFERROR(__xludf.DUMMYFUNCTION("""COMPUTED_VALUE"""),"NAVARRO ISAZA, SOFIA")</f>
        <v>NAVARRO ISAZA, SOFIA</v>
      </c>
      <c r="D3864" t="str">
        <f>IFERROR(__xludf.DUMMYFUNCTION("""COMPUTED_VALUE"""),"Anatomy and Physiology")</f>
        <v>Anatomy and Physiology</v>
      </c>
      <c r="E3864" s="3">
        <f>IFERROR(__xludf.DUMMYFUNCTION("""COMPUTED_VALUE"""),4.0)</f>
        <v>4</v>
      </c>
      <c r="F3864" s="300">
        <v>1.0</v>
      </c>
      <c r="G3864" s="300">
        <v>1.0</v>
      </c>
      <c r="H3864" s="300">
        <v>1.0</v>
      </c>
      <c r="I3864" s="300">
        <v>1.0</v>
      </c>
      <c r="J3864" s="300">
        <v>1.0</v>
      </c>
      <c r="K3864" s="300">
        <v>1.0</v>
      </c>
      <c r="L3864" s="300">
        <v>1.0</v>
      </c>
      <c r="M3864" s="300">
        <v>1.0</v>
      </c>
      <c r="N3864" s="300">
        <v>8.0</v>
      </c>
      <c r="O3864" s="300" t="s">
        <v>895</v>
      </c>
      <c r="P3864" s="300">
        <v>2.0</v>
      </c>
    </row>
    <row r="3865">
      <c r="A3865">
        <f>IFERROR(__xludf.DUMMYFUNCTION("""COMPUTED_VALUE"""),10.0)</f>
        <v>10</v>
      </c>
      <c r="B3865" s="406">
        <f>IFERROR(__xludf.DUMMYFUNCTION("""COMPUTED_VALUE"""),28005.0)</f>
        <v>28005</v>
      </c>
      <c r="C3865" t="str">
        <f>IFERROR(__xludf.DUMMYFUNCTION("""COMPUTED_VALUE"""),"ARBELAEZ RODADO, SILVIA")</f>
        <v>ARBELAEZ RODADO, SILVIA</v>
      </c>
      <c r="D3865" t="str">
        <f>IFERROR(__xludf.DUMMYFUNCTION("""COMPUTED_VALUE"""),"Anatomy and Physiology")</f>
        <v>Anatomy and Physiology</v>
      </c>
      <c r="E3865" s="3">
        <f>IFERROR(__xludf.DUMMYFUNCTION("""COMPUTED_VALUE"""),4.0)</f>
        <v>4</v>
      </c>
      <c r="F3865" s="300">
        <v>1.0</v>
      </c>
      <c r="G3865" s="300">
        <v>1.0</v>
      </c>
      <c r="H3865" s="300">
        <v>1.0</v>
      </c>
      <c r="I3865" s="300">
        <v>1.0</v>
      </c>
      <c r="J3865" s="300">
        <v>1.0</v>
      </c>
      <c r="K3865" s="300">
        <v>1.0</v>
      </c>
      <c r="L3865" s="300">
        <v>1.0</v>
      </c>
      <c r="M3865" s="300">
        <v>1.0</v>
      </c>
      <c r="N3865" s="300">
        <v>8.0</v>
      </c>
      <c r="O3865" s="300" t="s">
        <v>895</v>
      </c>
      <c r="P3865" s="300">
        <v>2.0</v>
      </c>
    </row>
    <row r="3866">
      <c r="A3866">
        <f>IFERROR(__xludf.DUMMYFUNCTION("""COMPUTED_VALUE"""),10.0)</f>
        <v>10</v>
      </c>
      <c r="B3866" s="406">
        <f>IFERROR(__xludf.DUMMYFUNCTION("""COMPUTED_VALUE"""),28051.0)</f>
        <v>28051</v>
      </c>
      <c r="C3866" t="str">
        <f>IFERROR(__xludf.DUMMYFUNCTION("""COMPUTED_VALUE"""),"JIMENEZ ESCOBAR, MARIANA")</f>
        <v>JIMENEZ ESCOBAR, MARIANA</v>
      </c>
      <c r="D3866" t="str">
        <f>IFERROR(__xludf.DUMMYFUNCTION("""COMPUTED_VALUE"""),"Anatomy and Physiology")</f>
        <v>Anatomy and Physiology</v>
      </c>
      <c r="E3866" s="3">
        <f>IFERROR(__xludf.DUMMYFUNCTION("""COMPUTED_VALUE"""),8.0)</f>
        <v>8</v>
      </c>
      <c r="F3866" s="300">
        <v>1.0</v>
      </c>
      <c r="G3866" s="300">
        <v>1.0</v>
      </c>
      <c r="H3866" s="300">
        <v>1.0</v>
      </c>
      <c r="I3866" s="300">
        <v>1.0</v>
      </c>
      <c r="J3866" s="300">
        <v>1.0</v>
      </c>
      <c r="K3866" s="300">
        <v>1.0</v>
      </c>
      <c r="L3866" s="300">
        <v>1.0</v>
      </c>
      <c r="M3866" s="300">
        <v>1.0</v>
      </c>
      <c r="N3866" s="300">
        <v>8.0</v>
      </c>
      <c r="O3866" s="300" t="s">
        <v>894</v>
      </c>
      <c r="P3866" s="300">
        <v>2.0</v>
      </c>
    </row>
    <row r="3867">
      <c r="A3867">
        <f>IFERROR(__xludf.DUMMYFUNCTION("""COMPUTED_VALUE"""),10.0)</f>
        <v>10</v>
      </c>
      <c r="B3867" s="406">
        <f>IFERROR(__xludf.DUMMYFUNCTION("""COMPUTED_VALUE"""),27007.0)</f>
        <v>27007</v>
      </c>
      <c r="C3867" t="str">
        <f>IFERROR(__xludf.DUMMYFUNCTION("""COMPUTED_VALUE"""),"ARANGO VELEZ, MATEO")</f>
        <v>ARANGO VELEZ, MATEO</v>
      </c>
      <c r="D3867" t="str">
        <f>IFERROR(__xludf.DUMMYFUNCTION("""COMPUTED_VALUE"""),"Anatomy and Physiology")</f>
        <v>Anatomy and Physiology</v>
      </c>
      <c r="E3867" s="3">
        <f>IFERROR(__xludf.DUMMYFUNCTION("""COMPUTED_VALUE"""),8.0)</f>
        <v>8</v>
      </c>
      <c r="F3867" s="300">
        <v>1.0</v>
      </c>
      <c r="G3867" s="300">
        <v>1.0</v>
      </c>
      <c r="H3867" s="300">
        <v>1.0</v>
      </c>
      <c r="I3867" s="300">
        <v>1.0</v>
      </c>
      <c r="J3867" s="300">
        <v>1.0</v>
      </c>
      <c r="K3867" s="300">
        <v>1.0</v>
      </c>
      <c r="L3867" s="300">
        <v>1.0</v>
      </c>
      <c r="M3867" s="300">
        <v>1.0</v>
      </c>
      <c r="N3867" s="300">
        <v>8.0</v>
      </c>
      <c r="O3867" s="300" t="s">
        <v>894</v>
      </c>
      <c r="P3867" s="300">
        <v>2.0</v>
      </c>
    </row>
    <row r="3868">
      <c r="A3868">
        <f>IFERROR(__xludf.DUMMYFUNCTION("""COMPUTED_VALUE"""),10.0)</f>
        <v>10</v>
      </c>
      <c r="B3868" s="406">
        <f>IFERROR(__xludf.DUMMYFUNCTION("""COMPUTED_VALUE"""),28102.0)</f>
        <v>28102</v>
      </c>
      <c r="C3868" t="str">
        <f>IFERROR(__xludf.DUMMYFUNCTION("""COMPUTED_VALUE"""),"SALAZAR BOTERO, GABRIELA")</f>
        <v>SALAZAR BOTERO, GABRIELA</v>
      </c>
      <c r="D3868" t="str">
        <f>IFERROR(__xludf.DUMMYFUNCTION("""COMPUTED_VALUE"""),"Anatomy and Physiology")</f>
        <v>Anatomy and Physiology</v>
      </c>
      <c r="E3868" s="3">
        <f>IFERROR(__xludf.DUMMYFUNCTION("""COMPUTED_VALUE"""),8.0)</f>
        <v>8</v>
      </c>
      <c r="F3868" s="300">
        <v>1.0</v>
      </c>
      <c r="G3868" s="300">
        <v>1.0</v>
      </c>
      <c r="H3868" s="300">
        <v>1.0</v>
      </c>
      <c r="I3868" s="300">
        <v>1.0</v>
      </c>
      <c r="J3868" s="300">
        <v>1.0</v>
      </c>
      <c r="K3868" s="300">
        <v>1.0</v>
      </c>
      <c r="L3868" s="300">
        <v>1.0</v>
      </c>
      <c r="M3868" s="300">
        <v>1.0</v>
      </c>
      <c r="N3868" s="300">
        <v>8.0</v>
      </c>
      <c r="O3868" s="300" t="s">
        <v>894</v>
      </c>
      <c r="P3868" s="300">
        <v>2.0</v>
      </c>
    </row>
    <row r="3869">
      <c r="A3869">
        <f>IFERROR(__xludf.DUMMYFUNCTION("""COMPUTED_VALUE"""),10.0)</f>
        <v>10</v>
      </c>
      <c r="B3869" s="406">
        <f>IFERROR(__xludf.DUMMYFUNCTION("""COMPUTED_VALUE"""),28104.0)</f>
        <v>28104</v>
      </c>
      <c r="C3869" t="str">
        <f>IFERROR(__xludf.DUMMYFUNCTION("""COMPUTED_VALUE"""),"SERRANO SERRANO, SIMON")</f>
        <v>SERRANO SERRANO, SIMON</v>
      </c>
      <c r="D3869" t="str">
        <f>IFERROR(__xludf.DUMMYFUNCTION("""COMPUTED_VALUE"""),"AP Computer Science Principles")</f>
        <v>AP Computer Science Principles</v>
      </c>
      <c r="E3869" s="3">
        <f>IFERROR(__xludf.DUMMYFUNCTION("""COMPUTED_VALUE"""),3.0)</f>
        <v>3</v>
      </c>
      <c r="F3869" s="300">
        <v>1.0</v>
      </c>
      <c r="G3869" s="300">
        <v>1.0</v>
      </c>
      <c r="H3869" s="300">
        <v>1.0</v>
      </c>
      <c r="I3869" s="300">
        <v>1.0</v>
      </c>
      <c r="J3869" s="300">
        <v>1.0</v>
      </c>
      <c r="K3869" s="300">
        <v>1.0</v>
      </c>
      <c r="L3869" s="300">
        <v>1.0</v>
      </c>
      <c r="M3869" s="300">
        <v>1.0</v>
      </c>
      <c r="N3869" s="300">
        <v>8.0</v>
      </c>
      <c r="O3869" s="300" t="s">
        <v>836</v>
      </c>
      <c r="P3869" s="300">
        <v>1.0</v>
      </c>
    </row>
    <row r="3870">
      <c r="A3870">
        <f>IFERROR(__xludf.DUMMYFUNCTION("""COMPUTED_VALUE"""),10.0)</f>
        <v>10</v>
      </c>
      <c r="B3870" s="406">
        <f>IFERROR(__xludf.DUMMYFUNCTION("""COMPUTED_VALUE"""),28008.0)</f>
        <v>28008</v>
      </c>
      <c r="C3870" t="str">
        <f>IFERROR(__xludf.DUMMYFUNCTION("""COMPUTED_VALUE"""),"ARISTIZABAL TOBON, MATIAS")</f>
        <v>ARISTIZABAL TOBON, MATIAS</v>
      </c>
      <c r="D3870" t="str">
        <f>IFERROR(__xludf.DUMMYFUNCTION("""COMPUTED_VALUE"""),"Band Level II")</f>
        <v>Band Level II</v>
      </c>
      <c r="E3870" s="3">
        <f>IFERROR(__xludf.DUMMYFUNCTION("""COMPUTED_VALUE"""),2.0)</f>
        <v>2</v>
      </c>
      <c r="F3870" s="300">
        <v>1.0</v>
      </c>
      <c r="G3870" s="300">
        <v>1.0</v>
      </c>
      <c r="H3870" s="300">
        <v>1.0</v>
      </c>
      <c r="I3870" s="300">
        <v>1.0</v>
      </c>
      <c r="J3870" s="300">
        <v>1.0</v>
      </c>
      <c r="K3870" s="300">
        <v>1.0</v>
      </c>
      <c r="L3870" s="300">
        <v>1.0</v>
      </c>
      <c r="M3870" s="300">
        <v>1.0</v>
      </c>
      <c r="N3870" s="300">
        <v>8.0</v>
      </c>
      <c r="O3870" s="300" t="s">
        <v>940</v>
      </c>
      <c r="P3870" s="300">
        <v>2.0</v>
      </c>
    </row>
    <row r="3871">
      <c r="A3871">
        <f>IFERROR(__xludf.DUMMYFUNCTION("""COMPUTED_VALUE"""),10.0)</f>
        <v>10</v>
      </c>
      <c r="B3871" s="406">
        <f>IFERROR(__xludf.DUMMYFUNCTION("""COMPUTED_VALUE"""),28065.0)</f>
        <v>28065</v>
      </c>
      <c r="C3871" t="str">
        <f>IFERROR(__xludf.DUMMYFUNCTION("""COMPUTED_VALUE"""),"MEJIA MEJIA, TOMAS")</f>
        <v>MEJIA MEJIA, TOMAS</v>
      </c>
      <c r="D3871" t="str">
        <f>IFERROR(__xludf.DUMMYFUNCTION("""COMPUTED_VALUE"""),"Band Level I")</f>
        <v>Band Level I</v>
      </c>
      <c r="E3871" s="3">
        <f>IFERROR(__xludf.DUMMYFUNCTION("""COMPUTED_VALUE"""),8.0)</f>
        <v>8</v>
      </c>
      <c r="F3871" s="300">
        <v>1.0</v>
      </c>
      <c r="G3871" s="300">
        <v>1.0</v>
      </c>
      <c r="H3871" s="300">
        <v>1.0</v>
      </c>
      <c r="I3871" s="300">
        <v>1.0</v>
      </c>
      <c r="J3871" s="300">
        <v>1.0</v>
      </c>
      <c r="K3871" s="300">
        <v>1.0</v>
      </c>
      <c r="L3871" s="300">
        <v>1.0</v>
      </c>
      <c r="M3871" s="300">
        <v>1.0</v>
      </c>
      <c r="N3871" s="300">
        <v>8.0</v>
      </c>
      <c r="O3871" s="300" t="s">
        <v>943</v>
      </c>
      <c r="P3871" s="300">
        <v>4.0</v>
      </c>
    </row>
    <row r="3872">
      <c r="A3872">
        <f>IFERROR(__xludf.DUMMYFUNCTION("""COMPUTED_VALUE"""),10.0)</f>
        <v>10</v>
      </c>
      <c r="B3872" s="406">
        <f>IFERROR(__xludf.DUMMYFUNCTION("""COMPUTED_VALUE"""),28073.0)</f>
        <v>28073</v>
      </c>
      <c r="C3872" t="str">
        <f>IFERROR(__xludf.DUMMYFUNCTION("""COMPUTED_VALUE"""),"NAVARRO RAMIREZ, MARIA")</f>
        <v>NAVARRO RAMIREZ, MARIA</v>
      </c>
      <c r="D3872" t="str">
        <f>IFERROR(__xludf.DUMMYFUNCTION("""COMPUTED_VALUE"""),"Anatomy and Physiology")</f>
        <v>Anatomy and Physiology</v>
      </c>
      <c r="E3872" s="3">
        <f>IFERROR(__xludf.DUMMYFUNCTION("""COMPUTED_VALUE"""),4.0)</f>
        <v>4</v>
      </c>
      <c r="F3872" s="300">
        <v>1.0</v>
      </c>
      <c r="G3872" s="300">
        <v>1.0</v>
      </c>
      <c r="H3872" s="300">
        <v>1.0</v>
      </c>
      <c r="I3872" s="300">
        <v>1.0</v>
      </c>
      <c r="J3872" s="300">
        <v>1.0</v>
      </c>
      <c r="K3872" s="300">
        <v>1.0</v>
      </c>
      <c r="L3872" s="300">
        <v>1.0</v>
      </c>
      <c r="M3872" s="300">
        <v>1.0</v>
      </c>
      <c r="N3872" s="300">
        <v>8.0</v>
      </c>
      <c r="O3872" s="300" t="s">
        <v>895</v>
      </c>
      <c r="P3872" s="300">
        <v>2.0</v>
      </c>
    </row>
    <row r="3873">
      <c r="A3873">
        <f>IFERROR(__xludf.DUMMYFUNCTION("""COMPUTED_VALUE"""),10.0)</f>
        <v>10</v>
      </c>
      <c r="B3873" s="406">
        <f>IFERROR(__xludf.DUMMYFUNCTION("""COMPUTED_VALUE"""),28081.0)</f>
        <v>28081</v>
      </c>
      <c r="C3873" t="str">
        <f>IFERROR(__xludf.DUMMYFUNCTION("""COMPUTED_VALUE"""),"PALACIO RUIZ, LUCAS")</f>
        <v>PALACIO RUIZ, LUCAS</v>
      </c>
      <c r="D3873" t="str">
        <f>IFERROR(__xludf.DUMMYFUNCTION("""COMPUTED_VALUE"""),"Band Level I")</f>
        <v>Band Level I</v>
      </c>
      <c r="E3873" s="3">
        <f>IFERROR(__xludf.DUMMYFUNCTION("""COMPUTED_VALUE"""),3.0)</f>
        <v>3</v>
      </c>
      <c r="F3873" s="300">
        <v>1.0</v>
      </c>
      <c r="G3873" s="300">
        <v>1.0</v>
      </c>
      <c r="H3873" s="300">
        <v>1.0</v>
      </c>
      <c r="I3873" s="300">
        <v>1.0</v>
      </c>
      <c r="J3873" s="300">
        <v>1.0</v>
      </c>
      <c r="K3873" s="300">
        <v>1.0</v>
      </c>
      <c r="L3873" s="300">
        <v>1.0</v>
      </c>
      <c r="M3873" s="300">
        <v>1.0</v>
      </c>
      <c r="N3873" s="300">
        <v>8.0</v>
      </c>
      <c r="O3873" s="300" t="s">
        <v>990</v>
      </c>
      <c r="P3873" s="300">
        <v>4.0</v>
      </c>
    </row>
    <row r="3874">
      <c r="A3874">
        <f>IFERROR(__xludf.DUMMYFUNCTION("""COMPUTED_VALUE"""),10.0)</f>
        <v>10</v>
      </c>
      <c r="B3874" s="406">
        <f>IFERROR(__xludf.DUMMYFUNCTION("""COMPUTED_VALUE"""),28039.0)</f>
        <v>28039</v>
      </c>
      <c r="C3874" t="str">
        <f>IFERROR(__xludf.DUMMYFUNCTION("""COMPUTED_VALUE"""),"GONZALEZ LOPEZ, ISABEL")</f>
        <v>GONZALEZ LOPEZ, ISABEL</v>
      </c>
      <c r="D3874" t="str">
        <f>IFERROR(__xludf.DUMMYFUNCTION("""COMPUTED_VALUE"""),"Band Level I")</f>
        <v>Band Level I</v>
      </c>
      <c r="E3874" s="3">
        <f>IFERROR(__xludf.DUMMYFUNCTION("""COMPUTED_VALUE"""),7.0)</f>
        <v>7</v>
      </c>
      <c r="F3874" s="300">
        <v>1.0</v>
      </c>
      <c r="G3874" s="300">
        <v>1.0</v>
      </c>
      <c r="H3874" s="300">
        <v>1.0</v>
      </c>
      <c r="I3874" s="300">
        <v>1.0</v>
      </c>
      <c r="J3874" s="300">
        <v>1.0</v>
      </c>
      <c r="K3874" s="300">
        <v>1.0</v>
      </c>
      <c r="L3874" s="300">
        <v>1.0</v>
      </c>
      <c r="M3874" s="300">
        <v>1.0</v>
      </c>
      <c r="N3874" s="300">
        <v>8.0</v>
      </c>
      <c r="O3874" s="300" t="s">
        <v>936</v>
      </c>
      <c r="P3874" s="300">
        <v>4.0</v>
      </c>
    </row>
    <row r="3875">
      <c r="A3875">
        <f>IFERROR(__xludf.DUMMYFUNCTION("""COMPUTED_VALUE"""),10.0)</f>
        <v>10</v>
      </c>
      <c r="B3875" s="406">
        <f>IFERROR(__xludf.DUMMYFUNCTION("""COMPUTED_VALUE"""),28147.0)</f>
        <v>28147</v>
      </c>
      <c r="C3875" t="str">
        <f>IFERROR(__xludf.DUMMYFUNCTION("""COMPUTED_VALUE"""),"OSPINA STERLING, DULCE MARIA")</f>
        <v>OSPINA STERLING, DULCE MARIA</v>
      </c>
      <c r="D3875" t="str">
        <f>IFERROR(__xludf.DUMMYFUNCTION("""COMPUTED_VALUE"""),"AP 2-D Art and Design")</f>
        <v>AP 2-D Art and Design</v>
      </c>
      <c r="E3875" s="3">
        <f>IFERROR(__xludf.DUMMYFUNCTION("""COMPUTED_VALUE"""),1.0)</f>
        <v>1</v>
      </c>
      <c r="F3875" s="300">
        <v>1.0</v>
      </c>
      <c r="G3875" s="300">
        <v>1.0</v>
      </c>
      <c r="H3875" s="300">
        <v>1.0</v>
      </c>
      <c r="I3875" s="300">
        <v>1.0</v>
      </c>
      <c r="J3875" s="300">
        <v>1.0</v>
      </c>
      <c r="K3875" s="300">
        <v>1.0</v>
      </c>
      <c r="L3875" s="300">
        <v>1.0</v>
      </c>
      <c r="M3875" s="300">
        <v>1.0</v>
      </c>
      <c r="N3875" s="300">
        <v>8.0</v>
      </c>
      <c r="O3875" s="300" t="s">
        <v>948</v>
      </c>
      <c r="P3875" s="300">
        <v>1.0</v>
      </c>
    </row>
    <row r="3876">
      <c r="A3876">
        <f>IFERROR(__xludf.DUMMYFUNCTION("""COMPUTED_VALUE"""),10.0)</f>
        <v>10</v>
      </c>
      <c r="B3876" s="406">
        <f>IFERROR(__xludf.DUMMYFUNCTION("""COMPUTED_VALUE"""),28088.0)</f>
        <v>28088</v>
      </c>
      <c r="C3876" t="str">
        <f>IFERROR(__xludf.DUMMYFUNCTION("""COMPUTED_VALUE"""),"QUINTERO VARGAS, ALICIA")</f>
        <v>QUINTERO VARGAS, ALICIA</v>
      </c>
      <c r="D3876" t="str">
        <f>IFERROR(__xludf.DUMMYFUNCTION("""COMPUTED_VALUE"""),"Anatomy and Physiology")</f>
        <v>Anatomy and Physiology</v>
      </c>
      <c r="E3876" s="3">
        <f>IFERROR(__xludf.DUMMYFUNCTION("""COMPUTED_VALUE"""),4.0)</f>
        <v>4</v>
      </c>
      <c r="F3876" s="300">
        <v>1.0</v>
      </c>
      <c r="G3876" s="300">
        <v>1.0</v>
      </c>
      <c r="H3876" s="300">
        <v>1.0</v>
      </c>
      <c r="I3876" s="300">
        <v>1.0</v>
      </c>
      <c r="J3876" s="300">
        <v>1.0</v>
      </c>
      <c r="K3876" s="300">
        <v>1.0</v>
      </c>
      <c r="L3876" s="300">
        <v>1.0</v>
      </c>
      <c r="M3876" s="300">
        <v>1.0</v>
      </c>
      <c r="N3876" s="300">
        <v>8.0</v>
      </c>
      <c r="O3876" s="300" t="s">
        <v>895</v>
      </c>
      <c r="P3876" s="300">
        <v>2.0</v>
      </c>
    </row>
    <row r="3877">
      <c r="A3877">
        <f>IFERROR(__xludf.DUMMYFUNCTION("""COMPUTED_VALUE"""),10.0)</f>
        <v>10</v>
      </c>
      <c r="B3877" s="406">
        <f>IFERROR(__xludf.DUMMYFUNCTION("""COMPUTED_VALUE"""),28029.0)</f>
        <v>28029</v>
      </c>
      <c r="C3877" t="str">
        <f>IFERROR(__xludf.DUMMYFUNCTION("""COMPUTED_VALUE"""),"FORERO MEJIA, EMILIO")</f>
        <v>FORERO MEJIA, EMILIO</v>
      </c>
      <c r="D3877" t="str">
        <f>IFERROR(__xludf.DUMMYFUNCTION("""COMPUTED_VALUE"""),"Drawing I")</f>
        <v>Drawing I</v>
      </c>
      <c r="E3877" s="3">
        <f>IFERROR(__xludf.DUMMYFUNCTION("""COMPUTED_VALUE"""),8.0)</f>
        <v>8</v>
      </c>
      <c r="F3877" s="300">
        <v>1.0</v>
      </c>
      <c r="G3877" s="300">
        <v>1.0</v>
      </c>
      <c r="H3877" s="300">
        <v>1.0</v>
      </c>
      <c r="I3877" s="300">
        <v>1.0</v>
      </c>
      <c r="J3877" s="300">
        <v>1.0</v>
      </c>
      <c r="K3877" s="300">
        <v>1.0</v>
      </c>
      <c r="L3877" s="300">
        <v>1.0</v>
      </c>
      <c r="M3877" s="300">
        <v>1.0</v>
      </c>
      <c r="N3877" s="300">
        <v>8.0</v>
      </c>
      <c r="O3877" s="300" t="s">
        <v>944</v>
      </c>
      <c r="P3877" s="300">
        <v>2.0</v>
      </c>
    </row>
    <row r="3878">
      <c r="A3878">
        <f>IFERROR(__xludf.DUMMYFUNCTION("""COMPUTED_VALUE"""),10.0)</f>
        <v>10</v>
      </c>
      <c r="B3878" s="406">
        <f>IFERROR(__xludf.DUMMYFUNCTION("""COMPUTED_VALUE"""),28084.0)</f>
        <v>28084</v>
      </c>
      <c r="C3878" t="str">
        <f>IFERROR(__xludf.DUMMYFUNCTION("""COMPUTED_VALUE"""),"PINEDA ARANGO, JERONIMO")</f>
        <v>PINEDA ARANGO, JERONIMO</v>
      </c>
      <c r="D3878" t="str">
        <f>IFERROR(__xludf.DUMMYFUNCTION("""COMPUTED_VALUE"""),"Band Level I")</f>
        <v>Band Level I</v>
      </c>
      <c r="E3878" s="3">
        <f>IFERROR(__xludf.DUMMYFUNCTION("""COMPUTED_VALUE"""),3.0)</f>
        <v>3</v>
      </c>
      <c r="F3878" s="300">
        <v>1.0</v>
      </c>
      <c r="G3878" s="300">
        <v>1.0</v>
      </c>
      <c r="H3878" s="300">
        <v>1.0</v>
      </c>
      <c r="I3878" s="300">
        <v>1.0</v>
      </c>
      <c r="J3878" s="300">
        <v>1.0</v>
      </c>
      <c r="K3878" s="300">
        <v>1.0</v>
      </c>
      <c r="L3878" s="300">
        <v>1.0</v>
      </c>
      <c r="M3878" s="300">
        <v>1.0</v>
      </c>
      <c r="N3878" s="300">
        <v>8.0</v>
      </c>
      <c r="O3878" s="300" t="s">
        <v>990</v>
      </c>
      <c r="P3878" s="300">
        <v>4.0</v>
      </c>
    </row>
    <row r="3879">
      <c r="A3879">
        <f>IFERROR(__xludf.DUMMYFUNCTION("""COMPUTED_VALUE"""),10.0)</f>
        <v>10</v>
      </c>
      <c r="B3879" s="406">
        <f>IFERROR(__xludf.DUMMYFUNCTION("""COMPUTED_VALUE"""),28114.0)</f>
        <v>28114</v>
      </c>
      <c r="C3879" t="str">
        <f>IFERROR(__xludf.DUMMYFUNCTION("""COMPUTED_VALUE"""),"VELEZ CORREA, SAMUEL")</f>
        <v>VELEZ CORREA, SAMUEL</v>
      </c>
      <c r="D3879" t="str">
        <f>IFERROR(__xludf.DUMMYFUNCTION("""COMPUTED_VALUE"""),"Painting I")</f>
        <v>Painting I</v>
      </c>
      <c r="E3879" s="3">
        <f>IFERROR(__xludf.DUMMYFUNCTION("""COMPUTED_VALUE"""),8.0)</f>
        <v>8</v>
      </c>
      <c r="F3879" s="300">
        <v>1.0</v>
      </c>
      <c r="G3879" s="300">
        <v>1.0</v>
      </c>
      <c r="H3879" s="300">
        <v>1.0</v>
      </c>
      <c r="I3879" s="300">
        <v>1.0</v>
      </c>
      <c r="J3879" s="300">
        <v>1.0</v>
      </c>
      <c r="K3879" s="300">
        <v>1.0</v>
      </c>
      <c r="L3879" s="300">
        <v>1.0</v>
      </c>
      <c r="M3879" s="300">
        <v>1.0</v>
      </c>
      <c r="N3879" s="300">
        <v>8.0</v>
      </c>
      <c r="O3879" s="300" t="s">
        <v>988</v>
      </c>
      <c r="P3879" s="300">
        <v>4.0</v>
      </c>
    </row>
    <row r="3880">
      <c r="A3880">
        <f>IFERROR(__xludf.DUMMYFUNCTION("""COMPUTED_VALUE"""),10.0)</f>
        <v>10</v>
      </c>
      <c r="B3880" s="406">
        <f>IFERROR(__xludf.DUMMYFUNCTION("""COMPUTED_VALUE"""),28064.0)</f>
        <v>28064</v>
      </c>
      <c r="C3880" t="str">
        <f>IFERROR(__xludf.DUMMYFUNCTION("""COMPUTED_VALUE"""),"MEJIA MANTILLA, TOMAS")</f>
        <v>MEJIA MANTILLA, TOMAS</v>
      </c>
      <c r="D3880" t="str">
        <f>IFERROR(__xludf.DUMMYFUNCTION("""COMPUTED_VALUE"""),"Drawing I")</f>
        <v>Drawing I</v>
      </c>
      <c r="E3880" s="3">
        <f>IFERROR(__xludf.DUMMYFUNCTION("""COMPUTED_VALUE"""),3.0)</f>
        <v>3</v>
      </c>
      <c r="F3880" s="300">
        <v>1.0</v>
      </c>
      <c r="G3880" s="300">
        <v>1.0</v>
      </c>
      <c r="H3880" s="300">
        <v>1.0</v>
      </c>
      <c r="I3880" s="300">
        <v>1.0</v>
      </c>
      <c r="J3880" s="300">
        <v>1.0</v>
      </c>
      <c r="K3880" s="300">
        <v>1.0</v>
      </c>
      <c r="L3880" s="300">
        <v>1.0</v>
      </c>
      <c r="M3880" s="300">
        <v>1.0</v>
      </c>
      <c r="N3880" s="300">
        <v>8.0</v>
      </c>
      <c r="O3880" s="300" t="s">
        <v>938</v>
      </c>
      <c r="P3880" s="300">
        <v>2.0</v>
      </c>
    </row>
    <row r="3881">
      <c r="A3881">
        <f>IFERROR(__xludf.DUMMYFUNCTION("""COMPUTED_VALUE"""),10.0)</f>
        <v>10</v>
      </c>
      <c r="B3881" s="406">
        <f>IFERROR(__xludf.DUMMYFUNCTION("""COMPUTED_VALUE"""),28036.0)</f>
        <v>28036</v>
      </c>
      <c r="C3881" t="str">
        <f>IFERROR(__xludf.DUMMYFUNCTION("""COMPUTED_VALUE"""),"GOMEZ LINCE, NICOLAS")</f>
        <v>GOMEZ LINCE, NICOLAS</v>
      </c>
      <c r="D3881" t="str">
        <f>IFERROR(__xludf.DUMMYFUNCTION("""COMPUTED_VALUE"""),"Painting II")</f>
        <v>Painting II</v>
      </c>
      <c r="E3881" s="3">
        <f>IFERROR(__xludf.DUMMYFUNCTION("""COMPUTED_VALUE"""),1.0)</f>
        <v>1</v>
      </c>
      <c r="F3881" s="300">
        <v>1.0</v>
      </c>
      <c r="G3881" s="300">
        <v>1.0</v>
      </c>
      <c r="H3881" s="300">
        <v>1.0</v>
      </c>
      <c r="I3881" s="300">
        <v>1.0</v>
      </c>
      <c r="J3881" s="300">
        <v>1.0</v>
      </c>
      <c r="K3881" s="300">
        <v>1.0</v>
      </c>
      <c r="L3881" s="300">
        <v>1.0</v>
      </c>
      <c r="M3881" s="300">
        <v>1.0</v>
      </c>
      <c r="N3881" s="300">
        <v>8.0</v>
      </c>
      <c r="O3881" s="300" t="s">
        <v>939</v>
      </c>
      <c r="P3881" s="300">
        <v>2.0</v>
      </c>
    </row>
    <row r="3882">
      <c r="A3882">
        <f>IFERROR(__xludf.DUMMYFUNCTION("""COMPUTED_VALUE"""),10.0)</f>
        <v>10</v>
      </c>
      <c r="B3882" s="406">
        <f>IFERROR(__xludf.DUMMYFUNCTION("""COMPUTED_VALUE"""),28076.0)</f>
        <v>28076</v>
      </c>
      <c r="C3882" t="str">
        <f>IFERROR(__xludf.DUMMYFUNCTION("""COMPUTED_VALUE"""),"OLAYA CARDENAS, CAMILA")</f>
        <v>OLAYA CARDENAS, CAMILA</v>
      </c>
      <c r="D3882" t="str">
        <f>IFERROR(__xludf.DUMMYFUNCTION("""COMPUTED_VALUE"""),"Band Level II")</f>
        <v>Band Level II</v>
      </c>
      <c r="E3882" s="3">
        <f>IFERROR(__xludf.DUMMYFUNCTION("""COMPUTED_VALUE"""),6.0)</f>
        <v>6</v>
      </c>
      <c r="F3882" s="300">
        <v>1.0</v>
      </c>
      <c r="G3882" s="300">
        <v>1.0</v>
      </c>
      <c r="H3882" s="300">
        <v>1.0</v>
      </c>
      <c r="I3882" s="300">
        <v>1.0</v>
      </c>
      <c r="J3882" s="300">
        <v>1.0</v>
      </c>
      <c r="K3882" s="300">
        <v>1.0</v>
      </c>
      <c r="L3882" s="300">
        <v>1.0</v>
      </c>
      <c r="M3882" s="300">
        <v>1.0</v>
      </c>
      <c r="N3882" s="300">
        <v>8.0</v>
      </c>
      <c r="O3882" s="300" t="s">
        <v>942</v>
      </c>
      <c r="P3882" s="300">
        <v>2.0</v>
      </c>
    </row>
    <row r="3883">
      <c r="A3883">
        <f>IFERROR(__xludf.DUMMYFUNCTION("""COMPUTED_VALUE"""),10.0)</f>
        <v>10</v>
      </c>
      <c r="B3883" s="406">
        <f>IFERROR(__xludf.DUMMYFUNCTION("""COMPUTED_VALUE"""),28164.0)</f>
        <v>28164</v>
      </c>
      <c r="C3883" s="406" t="str">
        <f>IFERROR(__xludf.DUMMYFUNCTION("""COMPUTED_VALUE"""),"WOODWORTH, MIA ISABELLA")</f>
        <v>WOODWORTH, MIA ISABELLA</v>
      </c>
      <c r="D3883" t="str">
        <f>IFERROR(__xludf.DUMMYFUNCTION("""COMPUTED_VALUE"""),"Anatomy and Physiology")</f>
        <v>Anatomy and Physiology</v>
      </c>
      <c r="E3883" s="3">
        <f>IFERROR(__xludf.DUMMYFUNCTION("""COMPUTED_VALUE"""),8.0)</f>
        <v>8</v>
      </c>
      <c r="F3883" s="300">
        <v>1.0</v>
      </c>
      <c r="G3883" s="300">
        <v>1.0</v>
      </c>
      <c r="H3883" s="300">
        <v>1.0</v>
      </c>
      <c r="I3883" s="300">
        <v>1.0</v>
      </c>
      <c r="J3883" s="300">
        <v>1.0</v>
      </c>
      <c r="K3883" s="300">
        <v>1.0</v>
      </c>
      <c r="L3883" s="300">
        <v>1.0</v>
      </c>
      <c r="M3883" s="300">
        <v>1.0</v>
      </c>
      <c r="N3883" s="300">
        <v>8.0</v>
      </c>
      <c r="O3883" s="300" t="s">
        <v>894</v>
      </c>
      <c r="P3883" s="300">
        <v>2.0</v>
      </c>
    </row>
    <row r="3884">
      <c r="A3884">
        <f>IFERROR(__xludf.DUMMYFUNCTION("""COMPUTED_VALUE"""),10.0)</f>
        <v>10</v>
      </c>
      <c r="B3884" s="406">
        <f>IFERROR(__xludf.DUMMYFUNCTION("""COMPUTED_VALUE"""),27088.0)</f>
        <v>27088</v>
      </c>
      <c r="C3884" t="str">
        <f>IFERROR(__xludf.DUMMYFUNCTION("""COMPUTED_VALUE"""),"PEREZ JARAMILLO, AGUSTIN")</f>
        <v>PEREZ JARAMILLO, AGUSTIN</v>
      </c>
      <c r="D3884" t="str">
        <f>IFERROR(__xludf.DUMMYFUNCTION("""COMPUTED_VALUE"""),"Drawing I")</f>
        <v>Drawing I</v>
      </c>
      <c r="E3884" s="3">
        <f>IFERROR(__xludf.DUMMYFUNCTION("""COMPUTED_VALUE"""),8.0)</f>
        <v>8</v>
      </c>
      <c r="F3884" s="300">
        <v>1.0</v>
      </c>
      <c r="G3884" s="300">
        <v>1.0</v>
      </c>
      <c r="H3884" s="300">
        <v>1.0</v>
      </c>
      <c r="I3884" s="300">
        <v>1.0</v>
      </c>
      <c r="J3884" s="300">
        <v>1.0</v>
      </c>
      <c r="K3884" s="300">
        <v>1.0</v>
      </c>
      <c r="L3884" s="300">
        <v>1.0</v>
      </c>
      <c r="M3884" s="300">
        <v>1.0</v>
      </c>
      <c r="N3884" s="300">
        <v>8.0</v>
      </c>
      <c r="O3884" s="300" t="s">
        <v>944</v>
      </c>
      <c r="P3884" s="300">
        <v>2.0</v>
      </c>
    </row>
    <row r="3885">
      <c r="A3885">
        <f>IFERROR(__xludf.DUMMYFUNCTION("""COMPUTED_VALUE"""),10.0)</f>
        <v>10</v>
      </c>
      <c r="B3885" s="406">
        <f>IFERROR(__xludf.DUMMYFUNCTION("""COMPUTED_VALUE"""),28060.0)</f>
        <v>28060</v>
      </c>
      <c r="C3885" t="str">
        <f>IFERROR(__xludf.DUMMYFUNCTION("""COMPUTED_VALUE"""),"MEDINA LONDOÑO, PABLO")</f>
        <v>MEDINA LONDOÑO, PABLO</v>
      </c>
      <c r="D3885" t="str">
        <f>IFERROR(__xludf.DUMMYFUNCTION("""COMPUTED_VALUE"""),"AP Drawing")</f>
        <v>AP Drawing</v>
      </c>
      <c r="E3885" s="3">
        <f>IFERROR(__xludf.DUMMYFUNCTION("""COMPUTED_VALUE"""),8.0)</f>
        <v>8</v>
      </c>
      <c r="F3885" s="300">
        <v>1.0</v>
      </c>
      <c r="G3885" s="300">
        <v>1.0</v>
      </c>
      <c r="H3885" s="300">
        <v>1.0</v>
      </c>
      <c r="I3885" s="300">
        <v>1.0</v>
      </c>
      <c r="J3885" s="300">
        <v>1.0</v>
      </c>
      <c r="K3885" s="300">
        <v>1.0</v>
      </c>
      <c r="L3885" s="300">
        <v>1.0</v>
      </c>
      <c r="M3885" s="300">
        <v>1.0</v>
      </c>
      <c r="N3885" s="300">
        <v>8.0</v>
      </c>
      <c r="O3885" s="300" t="s">
        <v>933</v>
      </c>
      <c r="P3885" s="300">
        <v>1.0</v>
      </c>
    </row>
    <row r="3886">
      <c r="A3886">
        <f>IFERROR(__xludf.DUMMYFUNCTION("""COMPUTED_VALUE"""),10.0)</f>
        <v>10</v>
      </c>
      <c r="B3886" s="406">
        <f>IFERROR(__xludf.DUMMYFUNCTION("""COMPUTED_VALUE"""),28034.0)</f>
        <v>28034</v>
      </c>
      <c r="C3886" t="str">
        <f>IFERROR(__xludf.DUMMYFUNCTION("""COMPUTED_VALUE"""),"GARCIA ISAZA, TOMAS")</f>
        <v>GARCIA ISAZA, TOMAS</v>
      </c>
      <c r="D3886" t="str">
        <f>IFERROR(__xludf.DUMMYFUNCTION("""COMPUTED_VALUE"""),"Band Level I")</f>
        <v>Band Level I</v>
      </c>
      <c r="E3886" s="3">
        <f>IFERROR(__xludf.DUMMYFUNCTION("""COMPUTED_VALUE"""),7.0)</f>
        <v>7</v>
      </c>
      <c r="F3886" s="300">
        <v>1.0</v>
      </c>
      <c r="G3886" s="300">
        <v>1.0</v>
      </c>
      <c r="H3886" s="300">
        <v>1.0</v>
      </c>
      <c r="I3886" s="300">
        <v>1.0</v>
      </c>
      <c r="J3886" s="300">
        <v>1.0</v>
      </c>
      <c r="K3886" s="300">
        <v>1.0</v>
      </c>
      <c r="L3886" s="300">
        <v>1.0</v>
      </c>
      <c r="M3886" s="300">
        <v>1.0</v>
      </c>
      <c r="N3886" s="300">
        <v>8.0</v>
      </c>
      <c r="O3886" s="300" t="s">
        <v>936</v>
      </c>
      <c r="P3886" s="300">
        <v>4.0</v>
      </c>
    </row>
    <row r="3887">
      <c r="A3887">
        <f>IFERROR(__xludf.DUMMYFUNCTION("""COMPUTED_VALUE"""),10.0)</f>
        <v>10</v>
      </c>
      <c r="B3887" s="406">
        <f>IFERROR(__xludf.DUMMYFUNCTION("""COMPUTED_VALUE"""),28049.0)</f>
        <v>28049</v>
      </c>
      <c r="C3887" t="str">
        <f>IFERROR(__xludf.DUMMYFUNCTION("""COMPUTED_VALUE"""),"JARAMILLO ARANGO, ELENA")</f>
        <v>JARAMILLO ARANGO, ELENA</v>
      </c>
      <c r="D3887" t="str">
        <f>IFERROR(__xludf.DUMMYFUNCTION("""COMPUTED_VALUE"""),"Creative Design")</f>
        <v>Creative Design</v>
      </c>
      <c r="E3887" s="3">
        <f>IFERROR(__xludf.DUMMYFUNCTION("""COMPUTED_VALUE"""),4.0)</f>
        <v>4</v>
      </c>
      <c r="F3887" s="300">
        <v>1.0</v>
      </c>
      <c r="G3887" s="300">
        <v>1.0</v>
      </c>
      <c r="H3887" s="300">
        <v>1.0</v>
      </c>
      <c r="I3887" s="300">
        <v>1.0</v>
      </c>
      <c r="J3887" s="300">
        <v>1.0</v>
      </c>
      <c r="K3887" s="300">
        <v>1.0</v>
      </c>
      <c r="L3887" s="300">
        <v>1.0</v>
      </c>
      <c r="M3887" s="300">
        <v>1.0</v>
      </c>
      <c r="N3887" s="300">
        <v>8.0</v>
      </c>
      <c r="O3887" s="300" t="s">
        <v>971</v>
      </c>
      <c r="P3887" s="300">
        <v>1.0</v>
      </c>
    </row>
    <row r="3888">
      <c r="A3888">
        <f>IFERROR(__xludf.DUMMYFUNCTION("""COMPUTED_VALUE"""),10.0)</f>
        <v>10</v>
      </c>
      <c r="B3888" s="406">
        <f>IFERROR(__xludf.DUMMYFUNCTION("""COMPUTED_VALUE"""),28024.0)</f>
        <v>28024</v>
      </c>
      <c r="C3888" t="str">
        <f>IFERROR(__xludf.DUMMYFUNCTION("""COMPUTED_VALUE"""),"ESCOBAR CASTAÑO, NICOLAS")</f>
        <v>ESCOBAR CASTAÑO, NICOLAS</v>
      </c>
      <c r="D3888" t="str">
        <f>IFERROR(__xludf.DUMMYFUNCTION("""COMPUTED_VALUE"""),"Drawing I")</f>
        <v>Drawing I</v>
      </c>
      <c r="E3888" s="3">
        <f>IFERROR(__xludf.DUMMYFUNCTION("""COMPUTED_VALUE"""),8.0)</f>
        <v>8</v>
      </c>
      <c r="F3888" s="300">
        <v>1.0</v>
      </c>
      <c r="G3888" s="300">
        <v>1.0</v>
      </c>
      <c r="H3888" s="300">
        <v>1.0</v>
      </c>
      <c r="I3888" s="300">
        <v>1.0</v>
      </c>
      <c r="J3888" s="300">
        <v>1.0</v>
      </c>
      <c r="K3888" s="300">
        <v>1.0</v>
      </c>
      <c r="L3888" s="300">
        <v>1.0</v>
      </c>
      <c r="M3888" s="300">
        <v>1.0</v>
      </c>
      <c r="N3888" s="300">
        <v>8.0</v>
      </c>
      <c r="O3888" s="300" t="s">
        <v>944</v>
      </c>
      <c r="P3888" s="300">
        <v>2.0</v>
      </c>
    </row>
    <row r="3889">
      <c r="A3889">
        <f>IFERROR(__xludf.DUMMYFUNCTION("""COMPUTED_VALUE"""),10.0)</f>
        <v>10</v>
      </c>
      <c r="B3889" s="406">
        <f>IFERROR(__xludf.DUMMYFUNCTION("""COMPUTED_VALUE"""),28093.0)</f>
        <v>28093</v>
      </c>
      <c r="C3889" t="str">
        <f>IFERROR(__xludf.DUMMYFUNCTION("""COMPUTED_VALUE"""),"RESTREPO ELEJALDE, LUCIANO")</f>
        <v>RESTREPO ELEJALDE, LUCIANO</v>
      </c>
      <c r="D3889" t="str">
        <f>IFERROR(__xludf.DUMMYFUNCTION("""COMPUTED_VALUE"""),"Anatomy and Physiology")</f>
        <v>Anatomy and Physiology</v>
      </c>
      <c r="E3889" s="3">
        <f>IFERROR(__xludf.DUMMYFUNCTION("""COMPUTED_VALUE"""),4.0)</f>
        <v>4</v>
      </c>
      <c r="F3889" s="300">
        <v>1.0</v>
      </c>
      <c r="G3889" s="300">
        <v>1.0</v>
      </c>
      <c r="H3889" s="300">
        <v>1.0</v>
      </c>
      <c r="I3889" s="300">
        <v>1.0</v>
      </c>
      <c r="J3889" s="300">
        <v>1.0</v>
      </c>
      <c r="K3889" s="300">
        <v>1.0</v>
      </c>
      <c r="L3889" s="300">
        <v>1.0</v>
      </c>
      <c r="M3889" s="300">
        <v>1.0</v>
      </c>
      <c r="N3889" s="300">
        <v>8.0</v>
      </c>
      <c r="O3889" s="300" t="s">
        <v>895</v>
      </c>
      <c r="P3889" s="300">
        <v>2.0</v>
      </c>
    </row>
    <row r="3890">
      <c r="A3890">
        <f>IFERROR(__xludf.DUMMYFUNCTION("""COMPUTED_VALUE"""),10.0)</f>
        <v>10</v>
      </c>
      <c r="B3890" s="406">
        <f>IFERROR(__xludf.DUMMYFUNCTION("""COMPUTED_VALUE"""),28070.0)</f>
        <v>28070</v>
      </c>
      <c r="C3890" t="str">
        <f>IFERROR(__xludf.DUMMYFUNCTION("""COMPUTED_VALUE"""),"MORENO RESTREPO, MARTIN")</f>
        <v>MORENO RESTREPO, MARTIN</v>
      </c>
      <c r="D3890" t="str">
        <f>IFERROR(__xludf.DUMMYFUNCTION("""COMPUTED_VALUE"""),"Band Level I")</f>
        <v>Band Level I</v>
      </c>
      <c r="E3890" s="3">
        <f>IFERROR(__xludf.DUMMYFUNCTION("""COMPUTED_VALUE"""),7.0)</f>
        <v>7</v>
      </c>
      <c r="F3890" s="300">
        <v>1.0</v>
      </c>
      <c r="G3890" s="300">
        <v>1.0</v>
      </c>
      <c r="H3890" s="300">
        <v>1.0</v>
      </c>
      <c r="I3890" s="300">
        <v>1.0</v>
      </c>
      <c r="J3890" s="300">
        <v>1.0</v>
      </c>
      <c r="K3890" s="300">
        <v>1.0</v>
      </c>
      <c r="L3890" s="300">
        <v>1.0</v>
      </c>
      <c r="M3890" s="300">
        <v>1.0</v>
      </c>
      <c r="N3890" s="300">
        <v>8.0</v>
      </c>
      <c r="O3890" s="300" t="s">
        <v>936</v>
      </c>
      <c r="P3890" s="300">
        <v>4.0</v>
      </c>
    </row>
    <row r="3891">
      <c r="A3891">
        <f>IFERROR(__xludf.DUMMYFUNCTION("""COMPUTED_VALUE"""),10.0)</f>
        <v>10</v>
      </c>
      <c r="B3891" s="406">
        <f>IFERROR(__xludf.DUMMYFUNCTION("""COMPUTED_VALUE"""),28110.0)</f>
        <v>28110</v>
      </c>
      <c r="C3891" t="str">
        <f>IFERROR(__xludf.DUMMYFUNCTION("""COMPUTED_VALUE"""),"VARGAS URIBE, LORENZO")</f>
        <v>VARGAS URIBE, LORENZO</v>
      </c>
      <c r="D3891" t="str">
        <f>IFERROR(__xludf.DUMMYFUNCTION("""COMPUTED_VALUE"""),"Painting I")</f>
        <v>Painting I</v>
      </c>
      <c r="E3891" s="3">
        <f>IFERROR(__xludf.DUMMYFUNCTION("""COMPUTED_VALUE"""),8.0)</f>
        <v>8</v>
      </c>
      <c r="F3891" s="300">
        <v>1.0</v>
      </c>
      <c r="G3891" s="300">
        <v>1.0</v>
      </c>
      <c r="H3891" s="300">
        <v>1.0</v>
      </c>
      <c r="I3891" s="300">
        <v>1.0</v>
      </c>
      <c r="J3891" s="300">
        <v>1.0</v>
      </c>
      <c r="K3891" s="300">
        <v>1.0</v>
      </c>
      <c r="L3891" s="300">
        <v>1.0</v>
      </c>
      <c r="M3891" s="300">
        <v>1.0</v>
      </c>
      <c r="N3891" s="300">
        <v>8.0</v>
      </c>
      <c r="O3891" s="300" t="s">
        <v>988</v>
      </c>
      <c r="P3891" s="300">
        <v>4.0</v>
      </c>
    </row>
    <row r="3892">
      <c r="A3892">
        <f>IFERROR(__xludf.DUMMYFUNCTION("""COMPUTED_VALUE"""),10.0)</f>
        <v>10</v>
      </c>
      <c r="B3892" s="406">
        <f>IFERROR(__xludf.DUMMYFUNCTION("""COMPUTED_VALUE"""),28066.0)</f>
        <v>28066</v>
      </c>
      <c r="C3892" t="str">
        <f>IFERROR(__xludf.DUMMYFUNCTION("""COMPUTED_VALUE"""),"MEJIA VELEZ, CANDELARIA")</f>
        <v>MEJIA VELEZ, CANDELARIA</v>
      </c>
      <c r="D3892" t="str">
        <f>IFERROR(__xludf.DUMMYFUNCTION("""COMPUTED_VALUE"""),"AP 3-D Art and Design")</f>
        <v>AP 3-D Art and Design</v>
      </c>
      <c r="E3892" s="3">
        <f>IFERROR(__xludf.DUMMYFUNCTION("""COMPUTED_VALUE"""),6.0)</f>
        <v>6</v>
      </c>
      <c r="F3892" s="300">
        <v>1.0</v>
      </c>
      <c r="G3892" s="300">
        <v>1.0</v>
      </c>
      <c r="H3892" s="300">
        <v>1.0</v>
      </c>
      <c r="I3892" s="300">
        <v>1.0</v>
      </c>
      <c r="J3892" s="300">
        <v>1.0</v>
      </c>
      <c r="K3892" s="300">
        <v>1.0</v>
      </c>
      <c r="L3892" s="300">
        <v>1.0</v>
      </c>
      <c r="M3892" s="300">
        <v>1.0</v>
      </c>
      <c r="N3892" s="300">
        <v>8.0</v>
      </c>
      <c r="O3892" s="300" t="s">
        <v>949</v>
      </c>
      <c r="P3892" s="300">
        <v>1.0</v>
      </c>
    </row>
    <row r="3893">
      <c r="A3893">
        <f>IFERROR(__xludf.DUMMYFUNCTION("""COMPUTED_VALUE"""),10.0)</f>
        <v>10</v>
      </c>
      <c r="B3893" s="406">
        <f>IFERROR(__xludf.DUMMYFUNCTION("""COMPUTED_VALUE"""),28071.0)</f>
        <v>28071</v>
      </c>
      <c r="C3893" t="str">
        <f>IFERROR(__xludf.DUMMYFUNCTION("""COMPUTED_VALUE"""),"NARANJO PINO, MARTIN")</f>
        <v>NARANJO PINO, MARTIN</v>
      </c>
      <c r="D3893" t="str">
        <f>IFERROR(__xludf.DUMMYFUNCTION("""COMPUTED_VALUE"""),"Anatomy and Physiology")</f>
        <v>Anatomy and Physiology</v>
      </c>
      <c r="E3893" s="3">
        <f>IFERROR(__xludf.DUMMYFUNCTION("""COMPUTED_VALUE"""),4.0)</f>
        <v>4</v>
      </c>
      <c r="F3893" s="300">
        <v>1.0</v>
      </c>
      <c r="G3893" s="300">
        <v>1.0</v>
      </c>
      <c r="H3893" s="300">
        <v>1.0</v>
      </c>
      <c r="I3893" s="300">
        <v>1.0</v>
      </c>
      <c r="J3893" s="300">
        <v>1.0</v>
      </c>
      <c r="K3893" s="300">
        <v>1.0</v>
      </c>
      <c r="L3893" s="300">
        <v>1.0</v>
      </c>
      <c r="M3893" s="300">
        <v>1.0</v>
      </c>
      <c r="N3893" s="300">
        <v>8.0</v>
      </c>
      <c r="O3893" s="300" t="s">
        <v>895</v>
      </c>
      <c r="P3893" s="300">
        <v>2.0</v>
      </c>
    </row>
    <row r="3894">
      <c r="A3894">
        <f>IFERROR(__xludf.DUMMYFUNCTION("""COMPUTED_VALUE"""),10.0)</f>
        <v>10</v>
      </c>
      <c r="B3894" s="406">
        <f>IFERROR(__xludf.DUMMYFUNCTION("""COMPUTED_VALUE"""),28168.0)</f>
        <v>28168</v>
      </c>
      <c r="C3894" t="str">
        <f>IFERROR(__xludf.DUMMYFUNCTION("""COMPUTED_VALUE"""),"KEILON GRAHAM")</f>
        <v>KEILON GRAHAM</v>
      </c>
      <c r="D3894" t="str">
        <f>IFERROR(__xludf.DUMMYFUNCTION("""COMPUTED_VALUE"""),"Sculpture I")</f>
        <v>Sculpture I</v>
      </c>
      <c r="E3894" s="3">
        <f>IFERROR(__xludf.DUMMYFUNCTION("""COMPUTED_VALUE"""),3.0)</f>
        <v>3</v>
      </c>
      <c r="F3894" s="300">
        <v>1.0</v>
      </c>
      <c r="G3894" s="300">
        <v>1.0</v>
      </c>
      <c r="H3894" s="300">
        <v>1.0</v>
      </c>
      <c r="I3894" s="300">
        <v>1.0</v>
      </c>
      <c r="J3894" s="300">
        <v>1.0</v>
      </c>
      <c r="K3894" s="300">
        <v>1.0</v>
      </c>
      <c r="L3894" s="300">
        <v>1.0</v>
      </c>
      <c r="M3894" s="300">
        <v>1.0</v>
      </c>
      <c r="N3894" s="300">
        <v>8.0</v>
      </c>
      <c r="O3894" s="300" t="s">
        <v>947</v>
      </c>
      <c r="P3894" s="300">
        <v>2.0</v>
      </c>
    </row>
    <row r="3895">
      <c r="A3895">
        <f>IFERROR(__xludf.DUMMYFUNCTION("""COMPUTED_VALUE"""),11.0)</f>
        <v>11</v>
      </c>
      <c r="B3895" s="406">
        <f>IFERROR(__xludf.DUMMYFUNCTION("""COMPUTED_VALUE"""),27118.0)</f>
        <v>27118</v>
      </c>
      <c r="C3895" t="str">
        <f>IFERROR(__xludf.DUMMYFUNCTION("""COMPUTED_VALUE"""),"URIBE SIERRA, SOFIA")</f>
        <v>URIBE SIERRA, SOFIA</v>
      </c>
      <c r="D3895" t="str">
        <f>IFERROR(__xludf.DUMMYFUNCTION("""COMPUTED_VALUE"""),"AP Chemistry")</f>
        <v>AP Chemistry</v>
      </c>
      <c r="E3895" s="3">
        <f>IFERROR(__xludf.DUMMYFUNCTION("""COMPUTED_VALUE"""),7.0)</f>
        <v>7</v>
      </c>
      <c r="F3895" s="300">
        <v>1.0</v>
      </c>
      <c r="G3895" s="300">
        <v>1.0</v>
      </c>
      <c r="H3895" s="300">
        <v>1.0</v>
      </c>
      <c r="I3895" s="300">
        <v>1.0</v>
      </c>
      <c r="J3895" s="300">
        <v>1.0</v>
      </c>
      <c r="K3895" s="300">
        <v>1.0</v>
      </c>
      <c r="L3895" s="300">
        <v>1.0</v>
      </c>
      <c r="M3895" s="300">
        <v>1.0</v>
      </c>
      <c r="N3895" s="300">
        <v>8.0</v>
      </c>
      <c r="O3895" s="300" t="s">
        <v>893</v>
      </c>
      <c r="P3895" s="300">
        <v>1.0</v>
      </c>
    </row>
    <row r="3896">
      <c r="A3896">
        <f>IFERROR(__xludf.DUMMYFUNCTION("""COMPUTED_VALUE"""),11.0)</f>
        <v>11</v>
      </c>
      <c r="B3896" s="406">
        <f>IFERROR(__xludf.DUMMYFUNCTION("""COMPUTED_VALUE"""),27039.0)</f>
        <v>27039</v>
      </c>
      <c r="C3896" t="str">
        <f>IFERROR(__xludf.DUMMYFUNCTION("""COMPUTED_VALUE"""),"GALLEGO LOPEZ, SUSSANA")</f>
        <v>GALLEGO LOPEZ, SUSSANA</v>
      </c>
      <c r="D3896" t="str">
        <f>IFERROR(__xludf.DUMMYFUNCTION("""COMPUTED_VALUE"""),"AP Psychology")</f>
        <v>AP Psychology</v>
      </c>
      <c r="E3896" s="3">
        <f>IFERROR(__xludf.DUMMYFUNCTION("""COMPUTED_VALUE"""),5.0)</f>
        <v>5</v>
      </c>
      <c r="F3896" s="300">
        <v>1.0</v>
      </c>
      <c r="G3896" s="300">
        <v>1.0</v>
      </c>
      <c r="H3896" s="300">
        <v>1.0</v>
      </c>
      <c r="I3896" s="300">
        <v>1.0</v>
      </c>
      <c r="J3896" s="300">
        <v>1.0</v>
      </c>
      <c r="K3896" s="300">
        <v>1.0</v>
      </c>
      <c r="L3896" s="300">
        <v>1.0</v>
      </c>
      <c r="M3896" s="300">
        <v>1.0</v>
      </c>
      <c r="N3896" s="300">
        <v>8.0</v>
      </c>
      <c r="O3896" s="300" t="s">
        <v>985</v>
      </c>
      <c r="P3896" s="300">
        <v>2.0</v>
      </c>
    </row>
    <row r="3897">
      <c r="A3897">
        <f>IFERROR(__xludf.DUMMYFUNCTION("""COMPUTED_VALUE"""),11.0)</f>
        <v>11</v>
      </c>
      <c r="B3897" s="406">
        <f>IFERROR(__xludf.DUMMYFUNCTION("""COMPUTED_VALUE"""),27171.0)</f>
        <v>27171</v>
      </c>
      <c r="C3897" t="str">
        <f>IFERROR(__xludf.DUMMYFUNCTION("""COMPUTED_VALUE"""),"BEDOYA PARRA, LAURA")</f>
        <v>BEDOYA PARRA, LAURA</v>
      </c>
      <c r="D3897" t="str">
        <f>IFERROR(__xludf.DUMMYFUNCTION("""COMPUTED_VALUE"""),"AP 2-D Art and Design")</f>
        <v>AP 2-D Art and Design</v>
      </c>
      <c r="E3897" s="3">
        <f>IFERROR(__xludf.DUMMYFUNCTION("""COMPUTED_VALUE"""),1.0)</f>
        <v>1</v>
      </c>
      <c r="F3897" s="300">
        <v>1.0</v>
      </c>
      <c r="G3897" s="300">
        <v>1.0</v>
      </c>
      <c r="H3897" s="300">
        <v>1.0</v>
      </c>
      <c r="I3897" s="300">
        <v>1.0</v>
      </c>
      <c r="J3897" s="300">
        <v>1.0</v>
      </c>
      <c r="K3897" s="300">
        <v>1.0</v>
      </c>
      <c r="L3897" s="300">
        <v>1.0</v>
      </c>
      <c r="M3897" s="300">
        <v>1.0</v>
      </c>
      <c r="N3897" s="300">
        <v>8.0</v>
      </c>
      <c r="O3897" s="300" t="s">
        <v>948</v>
      </c>
      <c r="P3897" s="300">
        <v>1.0</v>
      </c>
    </row>
    <row r="3898">
      <c r="A3898">
        <f>IFERROR(__xludf.DUMMYFUNCTION("""COMPUTED_VALUE"""),11.0)</f>
        <v>11</v>
      </c>
      <c r="B3898" s="406">
        <f>IFERROR(__xludf.DUMMYFUNCTION("""COMPUTED_VALUE"""),27146.0)</f>
        <v>27146</v>
      </c>
      <c r="C3898" t="str">
        <f>IFERROR(__xludf.DUMMYFUNCTION("""COMPUTED_VALUE"""),"MORALES BAYONA, AMELIA")</f>
        <v>MORALES BAYONA, AMELIA</v>
      </c>
      <c r="D3898" t="str">
        <f>IFERROR(__xludf.DUMMYFUNCTION("""COMPUTED_VALUE"""),"AP Psychology")</f>
        <v>AP Psychology</v>
      </c>
      <c r="E3898" s="3">
        <f>IFERROR(__xludf.DUMMYFUNCTION("""COMPUTED_VALUE"""),4.0)</f>
        <v>4</v>
      </c>
      <c r="F3898" s="300">
        <v>1.0</v>
      </c>
      <c r="G3898" s="300">
        <v>1.0</v>
      </c>
      <c r="H3898" s="300">
        <v>1.0</v>
      </c>
      <c r="I3898" s="300">
        <v>1.0</v>
      </c>
      <c r="J3898" s="300">
        <v>1.0</v>
      </c>
      <c r="K3898" s="300">
        <v>1.0</v>
      </c>
      <c r="L3898" s="300">
        <v>1.0</v>
      </c>
      <c r="M3898" s="300">
        <v>1.0</v>
      </c>
      <c r="N3898" s="300">
        <v>8.0</v>
      </c>
      <c r="O3898" s="300" t="s">
        <v>981</v>
      </c>
      <c r="P3898" s="300">
        <v>2.0</v>
      </c>
    </row>
    <row r="3899">
      <c r="A3899">
        <f>IFERROR(__xludf.DUMMYFUNCTION("""COMPUTED_VALUE"""),11.0)</f>
        <v>11</v>
      </c>
      <c r="B3899" s="406">
        <f>IFERROR(__xludf.DUMMYFUNCTION("""COMPUTED_VALUE"""),27073.0)</f>
        <v>27073</v>
      </c>
      <c r="C3899" t="str">
        <f>IFERROR(__xludf.DUMMYFUNCTION("""COMPUTED_VALUE"""),"MONTES LOPEZ, SOFIA")</f>
        <v>MONTES LOPEZ, SOFIA</v>
      </c>
      <c r="D3899" t="str">
        <f>IFERROR(__xludf.DUMMYFUNCTION("""COMPUTED_VALUE"""),"AP Biology")</f>
        <v>AP Biology</v>
      </c>
      <c r="E3899" s="3">
        <f>IFERROR(__xludf.DUMMYFUNCTION("""COMPUTED_VALUE"""),5.0)</f>
        <v>5</v>
      </c>
      <c r="F3899" s="300">
        <v>1.0</v>
      </c>
      <c r="G3899" s="300">
        <v>1.0</v>
      </c>
      <c r="H3899" s="300">
        <v>1.0</v>
      </c>
      <c r="I3899" s="300">
        <v>1.0</v>
      </c>
      <c r="J3899" s="300">
        <v>1.0</v>
      </c>
      <c r="K3899" s="300">
        <v>1.0</v>
      </c>
      <c r="L3899" s="300">
        <v>1.0</v>
      </c>
      <c r="M3899" s="300">
        <v>1.0</v>
      </c>
      <c r="N3899" s="300">
        <v>8.0</v>
      </c>
      <c r="O3899" s="300" t="s">
        <v>892</v>
      </c>
      <c r="P3899" s="300">
        <v>1.0</v>
      </c>
    </row>
    <row r="3900">
      <c r="A3900">
        <f>IFERROR(__xludf.DUMMYFUNCTION("""COMPUTED_VALUE"""),11.0)</f>
        <v>11</v>
      </c>
      <c r="B3900" s="406">
        <f>IFERROR(__xludf.DUMMYFUNCTION("""COMPUTED_VALUE"""),27139.0)</f>
        <v>27139</v>
      </c>
      <c r="C3900" t="str">
        <f>IFERROR(__xludf.DUMMYFUNCTION("""COMPUTED_VALUE"""),"OCAMPO CEBALLOS, JULIA")</f>
        <v>OCAMPO CEBALLOS, JULIA</v>
      </c>
      <c r="D3900" t="str">
        <f>IFERROR(__xludf.DUMMYFUNCTION("""COMPUTED_VALUE"""),"Entrepreneurship - Business Tech")</f>
        <v>Entrepreneurship - Business Tech</v>
      </c>
      <c r="E3900" s="3">
        <f>IFERROR(__xludf.DUMMYFUNCTION("""COMPUTED_VALUE"""),5.0)</f>
        <v>5</v>
      </c>
      <c r="F3900" s="300">
        <v>1.0</v>
      </c>
      <c r="G3900" s="300">
        <v>1.0</v>
      </c>
      <c r="H3900" s="300">
        <v>1.0</v>
      </c>
      <c r="I3900" s="300">
        <v>1.0</v>
      </c>
      <c r="J3900" s="300">
        <v>1.0</v>
      </c>
      <c r="K3900" s="300">
        <v>1.0</v>
      </c>
      <c r="L3900" s="300">
        <v>1.0</v>
      </c>
      <c r="M3900" s="300">
        <v>1.0</v>
      </c>
      <c r="N3900" s="300">
        <v>8.0</v>
      </c>
      <c r="O3900" s="300" t="s">
        <v>991</v>
      </c>
      <c r="P3900" s="300">
        <v>2.0</v>
      </c>
    </row>
    <row r="3901">
      <c r="A3901">
        <f>IFERROR(__xludf.DUMMYFUNCTION("""COMPUTED_VALUE"""),11.0)</f>
        <v>11</v>
      </c>
      <c r="B3901" s="406">
        <f>IFERROR(__xludf.DUMMYFUNCTION("""COMPUTED_VALUE"""),27020.0)</f>
        <v>27020</v>
      </c>
      <c r="C3901" t="str">
        <f>IFERROR(__xludf.DUMMYFUNCTION("""COMPUTED_VALUE"""),"BOTERO LAVERDE, MARTINA")</f>
        <v>BOTERO LAVERDE, MARTINA</v>
      </c>
      <c r="D3901" t="str">
        <f>IFERROR(__xludf.DUMMYFUNCTION("""COMPUTED_VALUE"""),"AP Biology")</f>
        <v>AP Biology</v>
      </c>
      <c r="E3901" s="3">
        <f>IFERROR(__xludf.DUMMYFUNCTION("""COMPUTED_VALUE"""),5.0)</f>
        <v>5</v>
      </c>
      <c r="F3901" s="300">
        <v>1.0</v>
      </c>
      <c r="G3901" s="300">
        <v>1.0</v>
      </c>
      <c r="H3901" s="300">
        <v>1.0</v>
      </c>
      <c r="I3901" s="300">
        <v>1.0</v>
      </c>
      <c r="J3901" s="300">
        <v>1.0</v>
      </c>
      <c r="K3901" s="300">
        <v>1.0</v>
      </c>
      <c r="L3901" s="300">
        <v>1.0</v>
      </c>
      <c r="M3901" s="300">
        <v>1.0</v>
      </c>
      <c r="N3901" s="300">
        <v>8.0</v>
      </c>
      <c r="O3901" s="300" t="s">
        <v>892</v>
      </c>
      <c r="P3901" s="300">
        <v>1.0</v>
      </c>
    </row>
    <row r="3902">
      <c r="A3902">
        <f>IFERROR(__xludf.DUMMYFUNCTION("""COMPUTED_VALUE"""),11.0)</f>
        <v>11</v>
      </c>
      <c r="B3902" s="406">
        <f>IFERROR(__xludf.DUMMYFUNCTION("""COMPUTED_VALUE"""),27059.0)</f>
        <v>27059</v>
      </c>
      <c r="C3902" t="str">
        <f>IFERROR(__xludf.DUMMYFUNCTION("""COMPUTED_VALUE"""),"LOPEZ VELEZ, PAULINA")</f>
        <v>LOPEZ VELEZ, PAULINA</v>
      </c>
      <c r="D3902" t="str">
        <f>IFERROR(__xludf.DUMMYFUNCTION("""COMPUTED_VALUE"""),"Entrepreneurship - Business Tech")</f>
        <v>Entrepreneurship - Business Tech</v>
      </c>
      <c r="E3902" s="3">
        <f>IFERROR(__xludf.DUMMYFUNCTION("""COMPUTED_VALUE"""),5.0)</f>
        <v>5</v>
      </c>
      <c r="F3902" s="300">
        <v>1.0</v>
      </c>
      <c r="G3902" s="300">
        <v>1.0</v>
      </c>
      <c r="H3902" s="300">
        <v>1.0</v>
      </c>
      <c r="I3902" s="300">
        <v>1.0</v>
      </c>
      <c r="J3902" s="300">
        <v>1.0</v>
      </c>
      <c r="K3902" s="300">
        <v>1.0</v>
      </c>
      <c r="L3902" s="300">
        <v>1.0</v>
      </c>
      <c r="M3902" s="300">
        <v>1.0</v>
      </c>
      <c r="N3902" s="300">
        <v>8.0</v>
      </c>
      <c r="O3902" s="300" t="s">
        <v>991</v>
      </c>
      <c r="P3902" s="300">
        <v>2.0</v>
      </c>
    </row>
    <row r="3903">
      <c r="A3903">
        <f>IFERROR(__xludf.DUMMYFUNCTION("""COMPUTED_VALUE"""),11.0)</f>
        <v>11</v>
      </c>
      <c r="B3903" s="406">
        <f>IFERROR(__xludf.DUMMYFUNCTION("""COMPUTED_VALUE"""),27051.0)</f>
        <v>27051</v>
      </c>
      <c r="C3903" t="str">
        <f>IFERROR(__xludf.DUMMYFUNCTION("""COMPUTED_VALUE"""),"ISAZA GOMEZ, ELISA")</f>
        <v>ISAZA GOMEZ, ELISA</v>
      </c>
      <c r="D3903" t="str">
        <f>IFERROR(__xludf.DUMMYFUNCTION("""COMPUTED_VALUE"""),"AP Psychology")</f>
        <v>AP Psychology</v>
      </c>
      <c r="E3903" s="3">
        <f>IFERROR(__xludf.DUMMYFUNCTION("""COMPUTED_VALUE"""),5.0)</f>
        <v>5</v>
      </c>
      <c r="F3903" s="300">
        <v>1.0</v>
      </c>
      <c r="G3903" s="300">
        <v>1.0</v>
      </c>
      <c r="H3903" s="300">
        <v>1.0</v>
      </c>
      <c r="I3903" s="300">
        <v>1.0</v>
      </c>
      <c r="J3903" s="300">
        <v>1.0</v>
      </c>
      <c r="K3903" s="300">
        <v>1.0</v>
      </c>
      <c r="L3903" s="300">
        <v>1.0</v>
      </c>
      <c r="M3903" s="300">
        <v>1.0</v>
      </c>
      <c r="N3903" s="300">
        <v>8.0</v>
      </c>
      <c r="O3903" s="300" t="s">
        <v>985</v>
      </c>
      <c r="P3903" s="300">
        <v>2.0</v>
      </c>
    </row>
    <row r="3904">
      <c r="A3904">
        <f>IFERROR(__xludf.DUMMYFUNCTION("""COMPUTED_VALUE"""),11.0)</f>
        <v>11</v>
      </c>
      <c r="B3904" s="406">
        <f>IFERROR(__xludf.DUMMYFUNCTION("""COMPUTED_VALUE"""),27119.0)</f>
        <v>27119</v>
      </c>
      <c r="C3904" t="str">
        <f>IFERROR(__xludf.DUMMYFUNCTION("""COMPUTED_VALUE"""),"VALENCIA RODRIGUEZ, EMILIA")</f>
        <v>VALENCIA RODRIGUEZ, EMILIA</v>
      </c>
      <c r="D3904" t="str">
        <f>IFERROR(__xludf.DUMMYFUNCTION("""COMPUTED_VALUE"""),"Entrepreneurship - Business Tech")</f>
        <v>Entrepreneurship - Business Tech</v>
      </c>
      <c r="E3904" s="3">
        <f>IFERROR(__xludf.DUMMYFUNCTION("""COMPUTED_VALUE"""),5.0)</f>
        <v>5</v>
      </c>
      <c r="F3904" s="300">
        <v>1.0</v>
      </c>
      <c r="G3904" s="300">
        <v>1.0</v>
      </c>
      <c r="H3904" s="300">
        <v>1.0</v>
      </c>
      <c r="I3904" s="300">
        <v>1.0</v>
      </c>
      <c r="J3904" s="300">
        <v>1.0</v>
      </c>
      <c r="K3904" s="300">
        <v>1.0</v>
      </c>
      <c r="L3904" s="300">
        <v>1.0</v>
      </c>
      <c r="M3904" s="300">
        <v>1.0</v>
      </c>
      <c r="N3904" s="300">
        <v>8.0</v>
      </c>
      <c r="O3904" s="300" t="s">
        <v>991</v>
      </c>
      <c r="P3904" s="300">
        <v>2.0</v>
      </c>
    </row>
    <row r="3905">
      <c r="A3905">
        <f>IFERROR(__xludf.DUMMYFUNCTION("""COMPUTED_VALUE"""),11.0)</f>
        <v>11</v>
      </c>
      <c r="B3905" s="406">
        <f>IFERROR(__xludf.DUMMYFUNCTION("""COMPUTED_VALUE"""),27074.0)</f>
        <v>27074</v>
      </c>
      <c r="C3905" t="str">
        <f>IFERROR(__xludf.DUMMYFUNCTION("""COMPUTED_VALUE"""),"MONTORSI GOMEZ, LUCIA")</f>
        <v>MONTORSI GOMEZ, LUCIA</v>
      </c>
      <c r="D3905" t="str">
        <f>IFERROR(__xludf.DUMMYFUNCTION("""COMPUTED_VALUE"""),"AP Psychology")</f>
        <v>AP Psychology</v>
      </c>
      <c r="E3905" s="3">
        <f>IFERROR(__xludf.DUMMYFUNCTION("""COMPUTED_VALUE"""),4.0)</f>
        <v>4</v>
      </c>
      <c r="F3905" s="300">
        <v>1.0</v>
      </c>
      <c r="G3905" s="300">
        <v>1.0</v>
      </c>
      <c r="H3905" s="300">
        <v>1.0</v>
      </c>
      <c r="I3905" s="300">
        <v>1.0</v>
      </c>
      <c r="J3905" s="300">
        <v>1.0</v>
      </c>
      <c r="K3905" s="300">
        <v>1.0</v>
      </c>
      <c r="L3905" s="300">
        <v>1.0</v>
      </c>
      <c r="M3905" s="300">
        <v>1.0</v>
      </c>
      <c r="N3905" s="300">
        <v>8.0</v>
      </c>
      <c r="O3905" s="300" t="s">
        <v>981</v>
      </c>
      <c r="P3905" s="300">
        <v>2.0</v>
      </c>
    </row>
    <row r="3906">
      <c r="A3906">
        <f>IFERROR(__xludf.DUMMYFUNCTION("""COMPUTED_VALUE"""),11.0)</f>
        <v>11</v>
      </c>
      <c r="B3906" s="406">
        <f>IFERROR(__xludf.DUMMYFUNCTION("""COMPUTED_VALUE"""),27124.0)</f>
        <v>27124</v>
      </c>
      <c r="C3906" t="str">
        <f>IFERROR(__xludf.DUMMYFUNCTION("""COMPUTED_VALUE"""),"VELEZ RAMIREZ, JULIETA")</f>
        <v>VELEZ RAMIREZ, JULIETA</v>
      </c>
      <c r="D3906" t="str">
        <f>IFERROR(__xludf.DUMMYFUNCTION("""COMPUTED_VALUE"""),"AP Economics")</f>
        <v>AP Economics</v>
      </c>
      <c r="E3906" s="3">
        <f>IFERROR(__xludf.DUMMYFUNCTION("""COMPUTED_VALUE"""),5.0)</f>
        <v>5</v>
      </c>
      <c r="F3906" s="300">
        <v>1.0</v>
      </c>
      <c r="G3906" s="300">
        <v>1.0</v>
      </c>
      <c r="H3906" s="300">
        <v>1.0</v>
      </c>
      <c r="I3906" s="300">
        <v>1.0</v>
      </c>
      <c r="J3906" s="300">
        <v>1.0</v>
      </c>
      <c r="K3906" s="300">
        <v>1.0</v>
      </c>
      <c r="L3906" s="300">
        <v>1.0</v>
      </c>
      <c r="M3906" s="300">
        <v>1.0</v>
      </c>
      <c r="N3906" s="300">
        <v>8.0</v>
      </c>
      <c r="O3906" s="300" t="s">
        <v>975</v>
      </c>
      <c r="P3906" s="300">
        <v>4.0</v>
      </c>
    </row>
    <row r="3907">
      <c r="A3907">
        <f>IFERROR(__xludf.DUMMYFUNCTION("""COMPUTED_VALUE"""),11.0)</f>
        <v>11</v>
      </c>
      <c r="B3907" s="406">
        <f>IFERROR(__xludf.DUMMYFUNCTION("""COMPUTED_VALUE"""),27095.0)</f>
        <v>27095</v>
      </c>
      <c r="C3907" t="str">
        <f>IFERROR(__xludf.DUMMYFUNCTION("""COMPUTED_VALUE"""),"RESTREPO BECERRA, ALINA")</f>
        <v>RESTREPO BECERRA, ALINA</v>
      </c>
      <c r="D3907" t="str">
        <f>IFERROR(__xludf.DUMMYFUNCTION("""COMPUTED_VALUE"""),"AP Economics")</f>
        <v>AP Economics</v>
      </c>
      <c r="E3907" s="3">
        <f>IFERROR(__xludf.DUMMYFUNCTION("""COMPUTED_VALUE"""),4.0)</f>
        <v>4</v>
      </c>
      <c r="F3907" s="300">
        <v>1.0</v>
      </c>
      <c r="G3907" s="300">
        <v>1.0</v>
      </c>
      <c r="H3907" s="300">
        <v>1.0</v>
      </c>
      <c r="I3907" s="300">
        <v>1.0</v>
      </c>
      <c r="J3907" s="300">
        <v>1.0</v>
      </c>
      <c r="K3907" s="300">
        <v>1.0</v>
      </c>
      <c r="L3907" s="300">
        <v>1.0</v>
      </c>
      <c r="M3907" s="300">
        <v>1.0</v>
      </c>
      <c r="N3907" s="300">
        <v>8.0</v>
      </c>
      <c r="O3907" s="300" t="s">
        <v>977</v>
      </c>
      <c r="P3907" s="300">
        <v>4.0</v>
      </c>
    </row>
    <row r="3908">
      <c r="A3908">
        <f>IFERROR(__xludf.DUMMYFUNCTION("""COMPUTED_VALUE"""),11.0)</f>
        <v>11</v>
      </c>
      <c r="B3908" s="406">
        <f>IFERROR(__xludf.DUMMYFUNCTION("""COMPUTED_VALUE"""),27080.0)</f>
        <v>27080</v>
      </c>
      <c r="C3908" t="str">
        <f>IFERROR(__xludf.DUMMYFUNCTION("""COMPUTED_VALUE"""),"OSORIO GAVIRIA, MARIA CLARA")</f>
        <v>OSORIO GAVIRIA, MARIA CLARA</v>
      </c>
      <c r="D3908" t="str">
        <f>IFERROR(__xludf.DUMMYFUNCTION("""COMPUTED_VALUE"""),"AP Biology")</f>
        <v>AP Biology</v>
      </c>
      <c r="E3908" s="3">
        <f>IFERROR(__xludf.DUMMYFUNCTION("""COMPUTED_VALUE"""),5.0)</f>
        <v>5</v>
      </c>
      <c r="F3908" s="300">
        <v>1.0</v>
      </c>
      <c r="G3908" s="300">
        <v>1.0</v>
      </c>
      <c r="H3908" s="300">
        <v>1.0</v>
      </c>
      <c r="I3908" s="300">
        <v>1.0</v>
      </c>
      <c r="J3908" s="300">
        <v>1.0</v>
      </c>
      <c r="K3908" s="300">
        <v>1.0</v>
      </c>
      <c r="L3908" s="300">
        <v>1.0</v>
      </c>
      <c r="M3908" s="300">
        <v>1.0</v>
      </c>
      <c r="N3908" s="300">
        <v>8.0</v>
      </c>
      <c r="O3908" s="300" t="s">
        <v>892</v>
      </c>
      <c r="P3908" s="300">
        <v>1.0</v>
      </c>
    </row>
    <row r="3909">
      <c r="A3909">
        <f>IFERROR(__xludf.DUMMYFUNCTION("""COMPUTED_VALUE"""),11.0)</f>
        <v>11</v>
      </c>
      <c r="B3909" s="406">
        <f>IFERROR(__xludf.DUMMYFUNCTION("""COMPUTED_VALUE"""),27140.0)</f>
        <v>27140</v>
      </c>
      <c r="C3909" t="str">
        <f>IFERROR(__xludf.DUMMYFUNCTION("""COMPUTED_VALUE"""),"CORREA URIBE, PABLO")</f>
        <v>CORREA URIBE, PABLO</v>
      </c>
      <c r="D3909" t="str">
        <f>IFERROR(__xludf.DUMMYFUNCTION("""COMPUTED_VALUE"""),"Entrepreneurship - Business Tech")</f>
        <v>Entrepreneurship - Business Tech</v>
      </c>
      <c r="E3909" s="3">
        <f>IFERROR(__xludf.DUMMYFUNCTION("""COMPUTED_VALUE"""),3.0)</f>
        <v>3</v>
      </c>
      <c r="F3909" s="300">
        <v>1.0</v>
      </c>
      <c r="G3909" s="300">
        <v>1.0</v>
      </c>
      <c r="H3909" s="300">
        <v>1.0</v>
      </c>
      <c r="I3909" s="300">
        <v>1.0</v>
      </c>
      <c r="J3909" s="300">
        <v>1.0</v>
      </c>
      <c r="K3909" s="300">
        <v>1.0</v>
      </c>
      <c r="L3909" s="300">
        <v>1.0</v>
      </c>
      <c r="M3909" s="300">
        <v>1.0</v>
      </c>
      <c r="N3909" s="300">
        <v>8.0</v>
      </c>
      <c r="O3909" s="300" t="s">
        <v>992</v>
      </c>
      <c r="P3909" s="300">
        <v>2.0</v>
      </c>
    </row>
    <row r="3910">
      <c r="A3910">
        <f>IFERROR(__xludf.DUMMYFUNCTION("""COMPUTED_VALUE"""),11.0)</f>
        <v>11</v>
      </c>
      <c r="B3910" s="406">
        <f>IFERROR(__xludf.DUMMYFUNCTION("""COMPUTED_VALUE"""),27106.0)</f>
        <v>27106</v>
      </c>
      <c r="C3910" t="str">
        <f>IFERROR(__xludf.DUMMYFUNCTION("""COMPUTED_VALUE"""),"SANCHEZ HURTADO, CRISTOBAL")</f>
        <v>SANCHEZ HURTADO, CRISTOBAL</v>
      </c>
      <c r="D3910" t="str">
        <f>IFERROR(__xludf.DUMMYFUNCTION("""COMPUTED_VALUE"""),"Entrepreneurship - Business Tech")</f>
        <v>Entrepreneurship - Business Tech</v>
      </c>
      <c r="E3910" s="3">
        <f>IFERROR(__xludf.DUMMYFUNCTION("""COMPUTED_VALUE"""),3.0)</f>
        <v>3</v>
      </c>
      <c r="F3910" s="300">
        <v>1.0</v>
      </c>
      <c r="G3910" s="300">
        <v>1.0</v>
      </c>
      <c r="H3910" s="300">
        <v>1.0</v>
      </c>
      <c r="I3910" s="300">
        <v>1.0</v>
      </c>
      <c r="J3910" s="300">
        <v>1.0</v>
      </c>
      <c r="K3910" s="300">
        <v>1.0</v>
      </c>
      <c r="L3910" s="300">
        <v>1.0</v>
      </c>
      <c r="M3910" s="300">
        <v>1.0</v>
      </c>
      <c r="N3910" s="300">
        <v>8.0</v>
      </c>
      <c r="O3910" s="300" t="s">
        <v>992</v>
      </c>
      <c r="P3910" s="300">
        <v>2.0</v>
      </c>
    </row>
    <row r="3911">
      <c r="A3911">
        <f>IFERROR(__xludf.DUMMYFUNCTION("""COMPUTED_VALUE"""),11.0)</f>
        <v>11</v>
      </c>
      <c r="B3911" s="406">
        <f>IFERROR(__xludf.DUMMYFUNCTION("""COMPUTED_VALUE"""),27002.0)</f>
        <v>27002</v>
      </c>
      <c r="C3911" t="str">
        <f>IFERROR(__xludf.DUMMYFUNCTION("""COMPUTED_VALUE"""),"AGUDELO LUJAN, ARIANA")</f>
        <v>AGUDELO LUJAN, ARIANA</v>
      </c>
      <c r="D3911" t="str">
        <f>IFERROR(__xludf.DUMMYFUNCTION("""COMPUTED_VALUE"""),"Entrepreneurship - Business Tech")</f>
        <v>Entrepreneurship - Business Tech</v>
      </c>
      <c r="E3911" s="3">
        <f>IFERROR(__xludf.DUMMYFUNCTION("""COMPUTED_VALUE"""),5.0)</f>
        <v>5</v>
      </c>
      <c r="F3911" s="300">
        <v>1.0</v>
      </c>
      <c r="G3911" s="300">
        <v>1.0</v>
      </c>
      <c r="H3911" s="300">
        <v>1.0</v>
      </c>
      <c r="I3911" s="300">
        <v>1.0</v>
      </c>
      <c r="J3911" s="300">
        <v>1.0</v>
      </c>
      <c r="K3911" s="300">
        <v>1.0</v>
      </c>
      <c r="L3911" s="300">
        <v>1.0</v>
      </c>
      <c r="M3911" s="300">
        <v>1.0</v>
      </c>
      <c r="N3911" s="300">
        <v>8.0</v>
      </c>
      <c r="O3911" s="300" t="s">
        <v>991</v>
      </c>
      <c r="P3911" s="300">
        <v>2.0</v>
      </c>
    </row>
    <row r="3912">
      <c r="A3912">
        <f>IFERROR(__xludf.DUMMYFUNCTION("""COMPUTED_VALUE"""),11.0)</f>
        <v>11</v>
      </c>
      <c r="B3912" s="406">
        <f>IFERROR(__xludf.DUMMYFUNCTION("""COMPUTED_VALUE"""),27001.0)</f>
        <v>27001</v>
      </c>
      <c r="C3912" t="str">
        <f>IFERROR(__xludf.DUMMYFUNCTION("""COMPUTED_VALUE"""),"ACOSTA VILLA, LUCIANO")</f>
        <v>ACOSTA VILLA, LUCIANO</v>
      </c>
      <c r="D3912" t="str">
        <f>IFERROR(__xludf.DUMMYFUNCTION("""COMPUTED_VALUE"""),"AP World History")</f>
        <v>AP World History</v>
      </c>
      <c r="E3912" s="3">
        <f>IFERROR(__xludf.DUMMYFUNCTION("""COMPUTED_VALUE"""),6.0)</f>
        <v>6</v>
      </c>
      <c r="F3912" s="300">
        <v>1.0</v>
      </c>
      <c r="G3912" s="300">
        <v>1.0</v>
      </c>
      <c r="H3912" s="300">
        <v>1.0</v>
      </c>
      <c r="I3912" s="300">
        <v>1.0</v>
      </c>
      <c r="J3912" s="300">
        <v>1.0</v>
      </c>
      <c r="K3912" s="300">
        <v>1.0</v>
      </c>
      <c r="L3912" s="300">
        <v>1.0</v>
      </c>
      <c r="M3912" s="300">
        <v>1.0</v>
      </c>
      <c r="N3912" s="300">
        <v>8.0</v>
      </c>
      <c r="O3912" s="300" t="s">
        <v>973</v>
      </c>
      <c r="P3912" s="300">
        <v>2.0</v>
      </c>
    </row>
    <row r="3913">
      <c r="A3913">
        <f>IFERROR(__xludf.DUMMYFUNCTION("""COMPUTED_VALUE"""),11.0)</f>
        <v>11</v>
      </c>
      <c r="B3913" s="406">
        <f>IFERROR(__xludf.DUMMYFUNCTION("""COMPUTED_VALUE"""),26040.0)</f>
        <v>26040</v>
      </c>
      <c r="C3913" t="str">
        <f>IFERROR(__xludf.DUMMYFUNCTION("""COMPUTED_VALUE"""),"GOMEZ VASQUEZ, MATIAS")</f>
        <v>GOMEZ VASQUEZ, MATIAS</v>
      </c>
      <c r="D3913" t="str">
        <f>IFERROR(__xludf.DUMMYFUNCTION("""COMPUTED_VALUE"""),"Entrepreneurship - Business Tech")</f>
        <v>Entrepreneurship - Business Tech</v>
      </c>
      <c r="E3913" s="3">
        <f>IFERROR(__xludf.DUMMYFUNCTION("""COMPUTED_VALUE"""),5.0)</f>
        <v>5</v>
      </c>
      <c r="F3913" s="300">
        <v>1.0</v>
      </c>
      <c r="G3913" s="300">
        <v>1.0</v>
      </c>
      <c r="H3913" s="300">
        <v>1.0</v>
      </c>
      <c r="I3913" s="300">
        <v>1.0</v>
      </c>
      <c r="J3913" s="300">
        <v>1.0</v>
      </c>
      <c r="K3913" s="300">
        <v>1.0</v>
      </c>
      <c r="L3913" s="300">
        <v>1.0</v>
      </c>
      <c r="M3913" s="300">
        <v>1.0</v>
      </c>
      <c r="N3913" s="300">
        <v>8.0</v>
      </c>
      <c r="O3913" s="300" t="s">
        <v>991</v>
      </c>
      <c r="P3913" s="300">
        <v>2.0</v>
      </c>
    </row>
    <row r="3914">
      <c r="A3914">
        <f>IFERROR(__xludf.DUMMYFUNCTION("""COMPUTED_VALUE"""),11.0)</f>
        <v>11</v>
      </c>
      <c r="B3914" s="406">
        <f>IFERROR(__xludf.DUMMYFUNCTION("""COMPUTED_VALUE"""),27086.0)</f>
        <v>27086</v>
      </c>
      <c r="C3914" t="str">
        <f>IFERROR(__xludf.DUMMYFUNCTION("""COMPUTED_VALUE"""),"PEREZ ECHAVARRIA, TOMAS")</f>
        <v>PEREZ ECHAVARRIA, TOMAS</v>
      </c>
      <c r="D3914" t="str">
        <f>IFERROR(__xludf.DUMMYFUNCTION("""COMPUTED_VALUE"""),"Introduction to Law")</f>
        <v>Introduction to Law</v>
      </c>
      <c r="E3914" s="3">
        <f>IFERROR(__xludf.DUMMYFUNCTION("""COMPUTED_VALUE"""),4.0)</f>
        <v>4</v>
      </c>
      <c r="F3914" s="300">
        <v>1.0</v>
      </c>
      <c r="G3914" s="300">
        <v>1.0</v>
      </c>
      <c r="H3914" s="300">
        <v>1.0</v>
      </c>
      <c r="I3914" s="300">
        <v>1.0</v>
      </c>
      <c r="J3914" s="300">
        <v>1.0</v>
      </c>
      <c r="K3914" s="300">
        <v>1.0</v>
      </c>
      <c r="L3914" s="300">
        <v>1.0</v>
      </c>
      <c r="M3914" s="300">
        <v>1.0</v>
      </c>
      <c r="N3914" s="300">
        <v>8.0</v>
      </c>
      <c r="O3914" s="300" t="s">
        <v>982</v>
      </c>
      <c r="P3914" s="300">
        <v>1.0</v>
      </c>
    </row>
    <row r="3915">
      <c r="A3915">
        <f>IFERROR(__xludf.DUMMYFUNCTION("""COMPUTED_VALUE"""),11.0)</f>
        <v>11</v>
      </c>
      <c r="B3915" s="406">
        <f>IFERROR(__xludf.DUMMYFUNCTION("""COMPUTED_VALUE"""),27060.0)</f>
        <v>27060</v>
      </c>
      <c r="C3915" t="str">
        <f>IFERROR(__xludf.DUMMYFUNCTION("""COMPUTED_VALUE"""),"MALDONADO SALDARRIAGA, ALEJANDRO")</f>
        <v>MALDONADO SALDARRIAGA, ALEJANDRO</v>
      </c>
      <c r="D3915" t="str">
        <f>IFERROR(__xludf.DUMMYFUNCTION("""COMPUTED_VALUE"""),"AP Economics")</f>
        <v>AP Economics</v>
      </c>
      <c r="E3915" s="3">
        <f>IFERROR(__xludf.DUMMYFUNCTION("""COMPUTED_VALUE"""),7.0)</f>
        <v>7</v>
      </c>
      <c r="F3915" s="300">
        <v>1.0</v>
      </c>
      <c r="G3915" s="300">
        <v>1.0</v>
      </c>
      <c r="H3915" s="300">
        <v>1.0</v>
      </c>
      <c r="I3915" s="300">
        <v>1.0</v>
      </c>
      <c r="J3915" s="300">
        <v>1.0</v>
      </c>
      <c r="K3915" s="300">
        <v>1.0</v>
      </c>
      <c r="L3915" s="300">
        <v>1.0</v>
      </c>
      <c r="M3915" s="300">
        <v>1.0</v>
      </c>
      <c r="N3915" s="300">
        <v>8.0</v>
      </c>
      <c r="O3915" s="300" t="s">
        <v>983</v>
      </c>
      <c r="P3915" s="300">
        <v>4.0</v>
      </c>
    </row>
    <row r="3916">
      <c r="A3916">
        <f>IFERROR(__xludf.DUMMYFUNCTION("""COMPUTED_VALUE"""),11.0)</f>
        <v>11</v>
      </c>
      <c r="B3916" s="406">
        <f>IFERROR(__xludf.DUMMYFUNCTION("""COMPUTED_VALUE"""),27043.0)</f>
        <v>27043</v>
      </c>
      <c r="C3916" t="str">
        <f>IFERROR(__xludf.DUMMYFUNCTION("""COMPUTED_VALUE"""),"GAVIRIA ISAZA, TOMAS")</f>
        <v>GAVIRIA ISAZA, TOMAS</v>
      </c>
      <c r="D3916" t="str">
        <f>IFERROR(__xludf.DUMMYFUNCTION("""COMPUTED_VALUE"""),"Introduction to Law")</f>
        <v>Introduction to Law</v>
      </c>
      <c r="E3916" s="3">
        <f>IFERROR(__xludf.DUMMYFUNCTION("""COMPUTED_VALUE"""),4.0)</f>
        <v>4</v>
      </c>
      <c r="F3916" s="300">
        <v>1.0</v>
      </c>
      <c r="G3916" s="300">
        <v>1.0</v>
      </c>
      <c r="H3916" s="300">
        <v>1.0</v>
      </c>
      <c r="I3916" s="300">
        <v>1.0</v>
      </c>
      <c r="J3916" s="300">
        <v>1.0</v>
      </c>
      <c r="K3916" s="300">
        <v>1.0</v>
      </c>
      <c r="L3916" s="300">
        <v>1.0</v>
      </c>
      <c r="M3916" s="300">
        <v>1.0</v>
      </c>
      <c r="N3916" s="300">
        <v>8.0</v>
      </c>
      <c r="O3916" s="300" t="s">
        <v>982</v>
      </c>
      <c r="P3916" s="300">
        <v>1.0</v>
      </c>
    </row>
    <row r="3917">
      <c r="A3917">
        <f>IFERROR(__xludf.DUMMYFUNCTION("""COMPUTED_VALUE"""),11.0)</f>
        <v>11</v>
      </c>
      <c r="B3917" s="406">
        <f>IFERROR(__xludf.DUMMYFUNCTION("""COMPUTED_VALUE"""),27050.0)</f>
        <v>27050</v>
      </c>
      <c r="C3917" t="str">
        <f>IFERROR(__xludf.DUMMYFUNCTION("""COMPUTED_VALUE"""),"HURTADO ARISTIZABAL, PAULINA")</f>
        <v>HURTADO ARISTIZABAL, PAULINA</v>
      </c>
      <c r="D3917" t="str">
        <f>IFERROR(__xludf.DUMMYFUNCTION("""COMPUTED_VALUE"""),"AP Psychology")</f>
        <v>AP Psychology</v>
      </c>
      <c r="E3917" s="3">
        <f>IFERROR(__xludf.DUMMYFUNCTION("""COMPUTED_VALUE"""),5.0)</f>
        <v>5</v>
      </c>
      <c r="F3917" s="300">
        <v>1.0</v>
      </c>
      <c r="G3917" s="300">
        <v>1.0</v>
      </c>
      <c r="H3917" s="300">
        <v>1.0</v>
      </c>
      <c r="I3917" s="300">
        <v>1.0</v>
      </c>
      <c r="J3917" s="300">
        <v>1.0</v>
      </c>
      <c r="K3917" s="300">
        <v>1.0</v>
      </c>
      <c r="L3917" s="300">
        <v>1.0</v>
      </c>
      <c r="M3917" s="300">
        <v>1.0</v>
      </c>
      <c r="N3917" s="300">
        <v>8.0</v>
      </c>
      <c r="O3917" s="300" t="s">
        <v>985</v>
      </c>
      <c r="P3917" s="300">
        <v>2.0</v>
      </c>
    </row>
    <row r="3918">
      <c r="A3918">
        <f>IFERROR(__xludf.DUMMYFUNCTION("""COMPUTED_VALUE"""),11.0)</f>
        <v>11</v>
      </c>
      <c r="B3918" s="406">
        <f>IFERROR(__xludf.DUMMYFUNCTION("""COMPUTED_VALUE"""),27038.0)</f>
        <v>27038</v>
      </c>
      <c r="C3918" t="str">
        <f>IFERROR(__xludf.DUMMYFUNCTION("""COMPUTED_VALUE"""),"GALLEGO CUARTAS, FELIPE")</f>
        <v>GALLEGO CUARTAS, FELIPE</v>
      </c>
      <c r="D3918" t="str">
        <f>IFERROR(__xludf.DUMMYFUNCTION("""COMPUTED_VALUE"""),"Anatomy and Physiology")</f>
        <v>Anatomy and Physiology</v>
      </c>
      <c r="E3918" s="3">
        <f>IFERROR(__xludf.DUMMYFUNCTION("""COMPUTED_VALUE"""),4.0)</f>
        <v>4</v>
      </c>
      <c r="F3918" s="300">
        <v>1.0</v>
      </c>
      <c r="G3918" s="300">
        <v>1.0</v>
      </c>
      <c r="H3918" s="300">
        <v>1.0</v>
      </c>
      <c r="I3918" s="300">
        <v>1.0</v>
      </c>
      <c r="J3918" s="300">
        <v>1.0</v>
      </c>
      <c r="K3918" s="300">
        <v>1.0</v>
      </c>
      <c r="L3918" s="300">
        <v>1.0</v>
      </c>
      <c r="M3918" s="300">
        <v>1.0</v>
      </c>
      <c r="N3918" s="300">
        <v>8.0</v>
      </c>
      <c r="O3918" s="300" t="s">
        <v>895</v>
      </c>
      <c r="P3918" s="300">
        <v>2.0</v>
      </c>
    </row>
    <row r="3919">
      <c r="A3919">
        <f>IFERROR(__xludf.DUMMYFUNCTION("""COMPUTED_VALUE"""),11.0)</f>
        <v>11</v>
      </c>
      <c r="B3919" s="406">
        <f>IFERROR(__xludf.DUMMYFUNCTION("""COMPUTED_VALUE"""),27078.0)</f>
        <v>27078</v>
      </c>
      <c r="C3919" t="str">
        <f>IFERROR(__xludf.DUMMYFUNCTION("""COMPUTED_VALUE"""),"ORSINI COCK, TOMMASO MARIA")</f>
        <v>ORSINI COCK, TOMMASO MARIA</v>
      </c>
      <c r="D3919" t="str">
        <f>IFERROR(__xludf.DUMMYFUNCTION("""COMPUTED_VALUE"""),"AP Economics")</f>
        <v>AP Economics</v>
      </c>
      <c r="E3919" s="3">
        <f>IFERROR(__xludf.DUMMYFUNCTION("""COMPUTED_VALUE"""),8.0)</f>
        <v>8</v>
      </c>
      <c r="F3919" s="300">
        <v>1.0</v>
      </c>
      <c r="G3919" s="300">
        <v>1.0</v>
      </c>
      <c r="H3919" s="300">
        <v>1.0</v>
      </c>
      <c r="I3919" s="300">
        <v>1.0</v>
      </c>
      <c r="J3919" s="300">
        <v>1.0</v>
      </c>
      <c r="K3919" s="300">
        <v>1.0</v>
      </c>
      <c r="L3919" s="300">
        <v>1.0</v>
      </c>
      <c r="M3919" s="300">
        <v>1.0</v>
      </c>
      <c r="N3919" s="300">
        <v>8.0</v>
      </c>
      <c r="O3919" s="300" t="s">
        <v>980</v>
      </c>
      <c r="P3919" s="300">
        <v>4.0</v>
      </c>
    </row>
    <row r="3920">
      <c r="A3920">
        <f>IFERROR(__xludf.DUMMYFUNCTION("""COMPUTED_VALUE"""),11.0)</f>
        <v>11</v>
      </c>
      <c r="B3920" s="406">
        <f>IFERROR(__xludf.DUMMYFUNCTION("""COMPUTED_VALUE"""),26023.0)</f>
        <v>26023</v>
      </c>
      <c r="C3920" t="str">
        <f>IFERROR(__xludf.DUMMYFUNCTION("""COMPUTED_VALUE"""),"CORREA VELEZ, ALEJANDRO")</f>
        <v>CORREA VELEZ, ALEJANDRO</v>
      </c>
      <c r="D3920" t="str">
        <f>IFERROR(__xludf.DUMMYFUNCTION("""COMPUTED_VALUE"""),"Entrepreneurship - Business Tech")</f>
        <v>Entrepreneurship - Business Tech</v>
      </c>
      <c r="E3920" s="3">
        <f>IFERROR(__xludf.DUMMYFUNCTION("""COMPUTED_VALUE"""),5.0)</f>
        <v>5</v>
      </c>
      <c r="F3920" s="300">
        <v>1.0</v>
      </c>
      <c r="G3920" s="300">
        <v>1.0</v>
      </c>
      <c r="H3920" s="300">
        <v>1.0</v>
      </c>
      <c r="I3920" s="300">
        <v>1.0</v>
      </c>
      <c r="J3920" s="300">
        <v>1.0</v>
      </c>
      <c r="K3920" s="300">
        <v>1.0</v>
      </c>
      <c r="L3920" s="300">
        <v>1.0</v>
      </c>
      <c r="M3920" s="300">
        <v>1.0</v>
      </c>
      <c r="N3920" s="300">
        <v>8.0</v>
      </c>
      <c r="O3920" s="300" t="s">
        <v>991</v>
      </c>
      <c r="P3920" s="300">
        <v>2.0</v>
      </c>
    </row>
    <row r="3921">
      <c r="A3921">
        <f>IFERROR(__xludf.DUMMYFUNCTION("""COMPUTED_VALUE"""),11.0)</f>
        <v>11</v>
      </c>
      <c r="B3921" s="406">
        <f>IFERROR(__xludf.DUMMYFUNCTION("""COMPUTED_VALUE"""),27012.0)</f>
        <v>27012</v>
      </c>
      <c r="C3921" t="str">
        <f>IFERROR(__xludf.DUMMYFUNCTION("""COMPUTED_VALUE"""),"ATEHORTUA MORENO, TOMAS")</f>
        <v>ATEHORTUA MORENO, TOMAS</v>
      </c>
      <c r="D3921" t="str">
        <f>IFERROR(__xludf.DUMMYFUNCTION("""COMPUTED_VALUE"""),"Entrepreneurship - Business Tech")</f>
        <v>Entrepreneurship - Business Tech</v>
      </c>
      <c r="E3921" s="3">
        <f>IFERROR(__xludf.DUMMYFUNCTION("""COMPUTED_VALUE"""),3.0)</f>
        <v>3</v>
      </c>
      <c r="F3921" s="300">
        <v>1.0</v>
      </c>
      <c r="G3921" s="300">
        <v>1.0</v>
      </c>
      <c r="H3921" s="300">
        <v>1.0</v>
      </c>
      <c r="I3921" s="300">
        <v>1.0</v>
      </c>
      <c r="J3921" s="300">
        <v>1.0</v>
      </c>
      <c r="K3921" s="300">
        <v>1.0</v>
      </c>
      <c r="L3921" s="300">
        <v>1.0</v>
      </c>
      <c r="M3921" s="300">
        <v>1.0</v>
      </c>
      <c r="N3921" s="300">
        <v>8.0</v>
      </c>
      <c r="O3921" s="300" t="s">
        <v>992</v>
      </c>
      <c r="P3921" s="300">
        <v>2.0</v>
      </c>
    </row>
    <row r="3922">
      <c r="A3922">
        <f>IFERROR(__xludf.DUMMYFUNCTION("""COMPUTED_VALUE"""),11.0)</f>
        <v>11</v>
      </c>
      <c r="B3922" s="406">
        <f>IFERROR(__xludf.DUMMYFUNCTION("""COMPUTED_VALUE"""),28120.0)</f>
        <v>28120</v>
      </c>
      <c r="C3922" t="str">
        <f>IFERROR(__xludf.DUMMYFUNCTION("""COMPUTED_VALUE"""),"SALCEDO PERICO, JUAN MARTIN")</f>
        <v>SALCEDO PERICO, JUAN MARTIN</v>
      </c>
      <c r="D3922" t="str">
        <f>IFERROR(__xludf.DUMMYFUNCTION("""COMPUTED_VALUE"""),"Entrepreneurship - Business Tech")</f>
        <v>Entrepreneurship - Business Tech</v>
      </c>
      <c r="E3922" s="3">
        <f>IFERROR(__xludf.DUMMYFUNCTION("""COMPUTED_VALUE"""),3.0)</f>
        <v>3</v>
      </c>
      <c r="F3922" s="300">
        <v>1.0</v>
      </c>
      <c r="G3922" s="300">
        <v>1.0</v>
      </c>
      <c r="H3922" s="300">
        <v>1.0</v>
      </c>
      <c r="I3922" s="300">
        <v>1.0</v>
      </c>
      <c r="J3922" s="300">
        <v>1.0</v>
      </c>
      <c r="K3922" s="300">
        <v>1.0</v>
      </c>
      <c r="L3922" s="300">
        <v>1.0</v>
      </c>
      <c r="M3922" s="300">
        <v>1.0</v>
      </c>
      <c r="N3922" s="300">
        <v>8.0</v>
      </c>
      <c r="O3922" s="300" t="s">
        <v>992</v>
      </c>
      <c r="P3922" s="300">
        <v>2.0</v>
      </c>
    </row>
    <row r="3923">
      <c r="A3923">
        <f>IFERROR(__xludf.DUMMYFUNCTION("""COMPUTED_VALUE"""),11.0)</f>
        <v>11</v>
      </c>
      <c r="B3923" s="406">
        <f>IFERROR(__xludf.DUMMYFUNCTION("""COMPUTED_VALUE"""),27089.0)</f>
        <v>27089</v>
      </c>
      <c r="C3923" t="str">
        <f>IFERROR(__xludf.DUMMYFUNCTION("""COMPUTED_VALUE"""),"PEREZ VELEZ, JERONIMO")</f>
        <v>PEREZ VELEZ, JERONIMO</v>
      </c>
      <c r="D3923" t="str">
        <f>IFERROR(__xludf.DUMMYFUNCTION("""COMPUTED_VALUE"""),"Entrepreneurship - Business Tech")</f>
        <v>Entrepreneurship - Business Tech</v>
      </c>
      <c r="E3923" s="3">
        <f>IFERROR(__xludf.DUMMYFUNCTION("""COMPUTED_VALUE"""),3.0)</f>
        <v>3</v>
      </c>
      <c r="F3923" s="300">
        <v>1.0</v>
      </c>
      <c r="G3923" s="300">
        <v>1.0</v>
      </c>
      <c r="H3923" s="300">
        <v>1.0</v>
      </c>
      <c r="I3923" s="300">
        <v>1.0</v>
      </c>
      <c r="J3923" s="300">
        <v>1.0</v>
      </c>
      <c r="K3923" s="300">
        <v>1.0</v>
      </c>
      <c r="L3923" s="300">
        <v>1.0</v>
      </c>
      <c r="M3923" s="300">
        <v>1.0</v>
      </c>
      <c r="N3923" s="300">
        <v>8.0</v>
      </c>
      <c r="O3923" s="300" t="s">
        <v>992</v>
      </c>
      <c r="P3923" s="300">
        <v>2.0</v>
      </c>
    </row>
    <row r="3924">
      <c r="A3924">
        <f>IFERROR(__xludf.DUMMYFUNCTION("""COMPUTED_VALUE"""),11.0)</f>
        <v>11</v>
      </c>
      <c r="B3924" s="406">
        <f>IFERROR(__xludf.DUMMYFUNCTION("""COMPUTED_VALUE"""),27142.0)</f>
        <v>27142</v>
      </c>
      <c r="C3924" t="str">
        <f>IFERROR(__xludf.DUMMYFUNCTION("""COMPUTED_VALUE"""),"ECHAVARRIA OCHOA, MARIANA")</f>
        <v>ECHAVARRIA OCHOA, MARIANA</v>
      </c>
      <c r="D3924" t="str">
        <f>IFERROR(__xludf.DUMMYFUNCTION("""COMPUTED_VALUE"""),"AP Human Geography")</f>
        <v>AP Human Geography</v>
      </c>
      <c r="E3924" s="3">
        <f>IFERROR(__xludf.DUMMYFUNCTION("""COMPUTED_VALUE"""),2.0)</f>
        <v>2</v>
      </c>
      <c r="F3924" s="300">
        <v>1.0</v>
      </c>
      <c r="G3924" s="300">
        <v>1.0</v>
      </c>
      <c r="H3924" s="300">
        <v>1.0</v>
      </c>
      <c r="I3924" s="300">
        <v>1.0</v>
      </c>
      <c r="J3924" s="300">
        <v>1.0</v>
      </c>
      <c r="K3924" s="300">
        <v>1.0</v>
      </c>
      <c r="L3924" s="300">
        <v>1.0</v>
      </c>
      <c r="M3924" s="300">
        <v>1.0</v>
      </c>
      <c r="N3924" s="300">
        <v>8.0</v>
      </c>
      <c r="O3924" s="300" t="s">
        <v>927</v>
      </c>
      <c r="P3924" s="300">
        <v>4.0</v>
      </c>
    </row>
    <row r="3925">
      <c r="A3925">
        <f>IFERROR(__xludf.DUMMYFUNCTION("""COMPUTED_VALUE"""),11.0)</f>
        <v>11</v>
      </c>
      <c r="B3925" s="406">
        <f>IFERROR(__xludf.DUMMYFUNCTION("""COMPUTED_VALUE"""),27044.0)</f>
        <v>27044</v>
      </c>
      <c r="C3925" t="str">
        <f>IFERROR(__xludf.DUMMYFUNCTION("""COMPUTED_VALUE"""),"GOMEZ GOMEZ, EMILIO")</f>
        <v>GOMEZ GOMEZ, EMILIO</v>
      </c>
      <c r="D3925" t="str">
        <f>IFERROR(__xludf.DUMMYFUNCTION("""COMPUTED_VALUE"""),"AP Biology")</f>
        <v>AP Biology</v>
      </c>
      <c r="E3925" s="3">
        <f>IFERROR(__xludf.DUMMYFUNCTION("""COMPUTED_VALUE"""),5.0)</f>
        <v>5</v>
      </c>
      <c r="F3925" s="300">
        <v>1.0</v>
      </c>
      <c r="G3925" s="300">
        <v>1.0</v>
      </c>
      <c r="H3925" s="300">
        <v>1.0</v>
      </c>
      <c r="I3925" s="300">
        <v>1.0</v>
      </c>
      <c r="J3925" s="300">
        <v>1.0</v>
      </c>
      <c r="K3925" s="300">
        <v>1.0</v>
      </c>
      <c r="L3925" s="300">
        <v>1.0</v>
      </c>
      <c r="M3925" s="300">
        <v>1.0</v>
      </c>
      <c r="N3925" s="300">
        <v>8.0</v>
      </c>
      <c r="O3925" s="300" t="s">
        <v>892</v>
      </c>
      <c r="P3925" s="300">
        <v>1.0</v>
      </c>
    </row>
    <row r="3926">
      <c r="A3926">
        <f>IFERROR(__xludf.DUMMYFUNCTION("""COMPUTED_VALUE"""),11.0)</f>
        <v>11</v>
      </c>
      <c r="B3926" s="406">
        <f>IFERROR(__xludf.DUMMYFUNCTION("""COMPUTED_VALUE"""),27029.0)</f>
        <v>27029</v>
      </c>
      <c r="C3926" t="str">
        <f>IFERROR(__xludf.DUMMYFUNCTION("""COMPUTED_VALUE"""),"DUQUE OCHOA, MARIANA")</f>
        <v>DUQUE OCHOA, MARIANA</v>
      </c>
      <c r="D3926" t="str">
        <f>IFERROR(__xludf.DUMMYFUNCTION("""COMPUTED_VALUE"""),"Entrepreneurship - Business Tech")</f>
        <v>Entrepreneurship - Business Tech</v>
      </c>
      <c r="E3926" s="3">
        <f>IFERROR(__xludf.DUMMYFUNCTION("""COMPUTED_VALUE"""),5.0)</f>
        <v>5</v>
      </c>
      <c r="F3926" s="300">
        <v>1.0</v>
      </c>
      <c r="G3926" s="300">
        <v>1.0</v>
      </c>
      <c r="H3926" s="300">
        <v>1.0</v>
      </c>
      <c r="I3926" s="300">
        <v>1.0</v>
      </c>
      <c r="J3926" s="300">
        <v>1.0</v>
      </c>
      <c r="K3926" s="300">
        <v>1.0</v>
      </c>
      <c r="L3926" s="300">
        <v>1.0</v>
      </c>
      <c r="M3926" s="300">
        <v>1.0</v>
      </c>
      <c r="N3926" s="300">
        <v>8.0</v>
      </c>
      <c r="O3926" s="300" t="s">
        <v>991</v>
      </c>
      <c r="P3926" s="300">
        <v>2.0</v>
      </c>
    </row>
    <row r="3927">
      <c r="A3927">
        <f>IFERROR(__xludf.DUMMYFUNCTION("""COMPUTED_VALUE"""),11.0)</f>
        <v>11</v>
      </c>
      <c r="B3927" s="406">
        <f>IFERROR(__xludf.DUMMYFUNCTION("""COMPUTED_VALUE"""),27036.0)</f>
        <v>27036</v>
      </c>
      <c r="C3927" t="str">
        <f>IFERROR(__xludf.DUMMYFUNCTION("""COMPUTED_VALUE"""),"FERNANDEZ DUQUE, BENJAMIN")</f>
        <v>FERNANDEZ DUQUE, BENJAMIN</v>
      </c>
      <c r="D3927" t="str">
        <f>IFERROR(__xludf.DUMMYFUNCTION("""COMPUTED_VALUE"""),"AP Economics")</f>
        <v>AP Economics</v>
      </c>
      <c r="E3927" s="3">
        <f>IFERROR(__xludf.DUMMYFUNCTION("""COMPUTED_VALUE"""),7.0)</f>
        <v>7</v>
      </c>
      <c r="F3927" s="300">
        <v>1.0</v>
      </c>
      <c r="G3927" s="300">
        <v>1.0</v>
      </c>
      <c r="H3927" s="300">
        <v>1.0</v>
      </c>
      <c r="I3927" s="300">
        <v>1.0</v>
      </c>
      <c r="J3927" s="300">
        <v>1.0</v>
      </c>
      <c r="K3927" s="300">
        <v>1.0</v>
      </c>
      <c r="L3927" s="300">
        <v>1.0</v>
      </c>
      <c r="M3927" s="300">
        <v>1.0</v>
      </c>
      <c r="N3927" s="300">
        <v>8.0</v>
      </c>
      <c r="O3927" s="300" t="s">
        <v>983</v>
      </c>
      <c r="P3927" s="300">
        <v>4.0</v>
      </c>
    </row>
    <row r="3928">
      <c r="A3928">
        <f>IFERROR(__xludf.DUMMYFUNCTION("""COMPUTED_VALUE"""),11.0)</f>
        <v>11</v>
      </c>
      <c r="B3928" s="406">
        <f>IFERROR(__xludf.DUMMYFUNCTION("""COMPUTED_VALUE"""),27076.0)</f>
        <v>27076</v>
      </c>
      <c r="C3928" t="str">
        <f>IFERROR(__xludf.DUMMYFUNCTION("""COMPUTED_VALUE"""),"MORA SERANI, LAURA")</f>
        <v>MORA SERANI, LAURA</v>
      </c>
      <c r="D3928" t="str">
        <f>IFERROR(__xludf.DUMMYFUNCTION("""COMPUTED_VALUE"""),"AP Economics")</f>
        <v>AP Economics</v>
      </c>
      <c r="E3928" s="3">
        <f>IFERROR(__xludf.DUMMYFUNCTION("""COMPUTED_VALUE"""),7.0)</f>
        <v>7</v>
      </c>
      <c r="F3928" s="300">
        <v>1.0</v>
      </c>
      <c r="G3928" s="300">
        <v>1.0</v>
      </c>
      <c r="H3928" s="300">
        <v>1.0</v>
      </c>
      <c r="I3928" s="300">
        <v>1.0</v>
      </c>
      <c r="J3928" s="300">
        <v>1.0</v>
      </c>
      <c r="K3928" s="300">
        <v>1.0</v>
      </c>
      <c r="L3928" s="300">
        <v>1.0</v>
      </c>
      <c r="M3928" s="300">
        <v>1.0</v>
      </c>
      <c r="N3928" s="300">
        <v>8.0</v>
      </c>
      <c r="O3928" s="300" t="s">
        <v>983</v>
      </c>
      <c r="P3928" s="300">
        <v>4.0</v>
      </c>
    </row>
    <row r="3929">
      <c r="A3929">
        <f>IFERROR(__xludf.DUMMYFUNCTION("""COMPUTED_VALUE"""),11.0)</f>
        <v>11</v>
      </c>
      <c r="B3929" s="406">
        <f>IFERROR(__xludf.DUMMYFUNCTION("""COMPUTED_VALUE"""),26024.0)</f>
        <v>26024</v>
      </c>
      <c r="C3929" t="str">
        <f>IFERROR(__xludf.DUMMYFUNCTION("""COMPUTED_VALUE"""),"DIAZ RIVERA, TOMAS")</f>
        <v>DIAZ RIVERA, TOMAS</v>
      </c>
      <c r="D3929" t="str">
        <f>IFERROR(__xludf.DUMMYFUNCTION("""COMPUTED_VALUE"""),"Entrepreneurship - Business Tech")</f>
        <v>Entrepreneurship - Business Tech</v>
      </c>
      <c r="E3929" s="3">
        <f>IFERROR(__xludf.DUMMYFUNCTION("""COMPUTED_VALUE"""),3.0)</f>
        <v>3</v>
      </c>
      <c r="F3929" s="300">
        <v>1.0</v>
      </c>
      <c r="G3929" s="300">
        <v>1.0</v>
      </c>
      <c r="H3929" s="300">
        <v>1.0</v>
      </c>
      <c r="I3929" s="300">
        <v>1.0</v>
      </c>
      <c r="J3929" s="300">
        <v>1.0</v>
      </c>
      <c r="K3929" s="300">
        <v>1.0</v>
      </c>
      <c r="L3929" s="300">
        <v>1.0</v>
      </c>
      <c r="M3929" s="300">
        <v>1.0</v>
      </c>
      <c r="N3929" s="300">
        <v>8.0</v>
      </c>
      <c r="O3929" s="300" t="s">
        <v>992</v>
      </c>
      <c r="P3929" s="300">
        <v>2.0</v>
      </c>
    </row>
    <row r="3930">
      <c r="A3930">
        <f>IFERROR(__xludf.DUMMYFUNCTION("""COMPUTED_VALUE"""),11.0)</f>
        <v>11</v>
      </c>
      <c r="B3930" s="406">
        <f>IFERROR(__xludf.DUMMYFUNCTION("""COMPUTED_VALUE"""),27067.0)</f>
        <v>27067</v>
      </c>
      <c r="C3930" t="str">
        <f>IFERROR(__xludf.DUMMYFUNCTION("""COMPUTED_VALUE"""),"MENDIVELSO JARAMILLO, SAMUEL")</f>
        <v>MENDIVELSO JARAMILLO, SAMUEL</v>
      </c>
      <c r="D3930" t="str">
        <f>IFERROR(__xludf.DUMMYFUNCTION("""COMPUTED_VALUE"""),"AP World History")</f>
        <v>AP World History</v>
      </c>
      <c r="E3930" s="3">
        <f>IFERROR(__xludf.DUMMYFUNCTION("""COMPUTED_VALUE"""),6.0)</f>
        <v>6</v>
      </c>
      <c r="F3930" s="300">
        <v>1.0</v>
      </c>
      <c r="G3930" s="300">
        <v>1.0</v>
      </c>
      <c r="H3930" s="300">
        <v>1.0</v>
      </c>
      <c r="I3930" s="300">
        <v>1.0</v>
      </c>
      <c r="J3930" s="300">
        <v>1.0</v>
      </c>
      <c r="K3930" s="300">
        <v>1.0</v>
      </c>
      <c r="L3930" s="300">
        <v>1.0</v>
      </c>
      <c r="M3930" s="300">
        <v>1.0</v>
      </c>
      <c r="N3930" s="300">
        <v>8.0</v>
      </c>
      <c r="O3930" s="300" t="s">
        <v>973</v>
      </c>
      <c r="P3930" s="300">
        <v>2.0</v>
      </c>
    </row>
    <row r="3931">
      <c r="A3931">
        <f>IFERROR(__xludf.DUMMYFUNCTION("""COMPUTED_VALUE"""),11.0)</f>
        <v>11</v>
      </c>
      <c r="B3931" s="406">
        <f>IFERROR(__xludf.DUMMYFUNCTION("""COMPUTED_VALUE"""),27048.0)</f>
        <v>27048</v>
      </c>
      <c r="C3931" t="str">
        <f>IFERROR(__xludf.DUMMYFUNCTION("""COMPUTED_VALUE"""),"HARRY DURAN, MANUELA")</f>
        <v>HARRY DURAN, MANUELA</v>
      </c>
      <c r="D3931" t="str">
        <f>IFERROR(__xludf.DUMMYFUNCTION("""COMPUTED_VALUE"""),"AP Biology")</f>
        <v>AP Biology</v>
      </c>
      <c r="E3931" s="3">
        <f>IFERROR(__xludf.DUMMYFUNCTION("""COMPUTED_VALUE"""),5.0)</f>
        <v>5</v>
      </c>
      <c r="F3931" s="300">
        <v>1.0</v>
      </c>
      <c r="G3931" s="300">
        <v>1.0</v>
      </c>
      <c r="H3931" s="300">
        <v>1.0</v>
      </c>
      <c r="I3931" s="300">
        <v>1.0</v>
      </c>
      <c r="J3931" s="300">
        <v>1.0</v>
      </c>
      <c r="K3931" s="300">
        <v>1.0</v>
      </c>
      <c r="L3931" s="300">
        <v>1.0</v>
      </c>
      <c r="M3931" s="300">
        <v>1.0</v>
      </c>
      <c r="N3931" s="300">
        <v>8.0</v>
      </c>
      <c r="O3931" s="300" t="s">
        <v>892</v>
      </c>
      <c r="P3931" s="300">
        <v>1.0</v>
      </c>
    </row>
    <row r="3932">
      <c r="A3932">
        <f>IFERROR(__xludf.DUMMYFUNCTION("""COMPUTED_VALUE"""),11.0)</f>
        <v>11</v>
      </c>
      <c r="B3932" s="406">
        <f>IFERROR(__xludf.DUMMYFUNCTION("""COMPUTED_VALUE"""),27132.0)</f>
        <v>27132</v>
      </c>
      <c r="C3932" t="str">
        <f>IFERROR(__xludf.DUMMYFUNCTION("""COMPUTED_VALUE"""),"BARRERA GUZMAN, DANIELA")</f>
        <v>BARRERA GUZMAN, DANIELA</v>
      </c>
      <c r="D3932" t="str">
        <f>IFERROR(__xludf.DUMMYFUNCTION("""COMPUTED_VALUE"""),"AP Statistics")</f>
        <v>AP Statistics</v>
      </c>
      <c r="E3932" s="3">
        <f>IFERROR(__xludf.DUMMYFUNCTION("""COMPUTED_VALUE"""),7.0)</f>
        <v>7</v>
      </c>
      <c r="F3932" s="300">
        <v>1.0</v>
      </c>
      <c r="G3932" s="300">
        <v>1.0</v>
      </c>
      <c r="H3932" s="300">
        <v>1.0</v>
      </c>
      <c r="I3932" s="300">
        <v>1.0</v>
      </c>
      <c r="J3932" s="300">
        <v>1.0</v>
      </c>
      <c r="K3932" s="300">
        <v>1.0</v>
      </c>
      <c r="L3932" s="300">
        <v>1.0</v>
      </c>
      <c r="M3932" s="300">
        <v>1.0</v>
      </c>
      <c r="N3932" s="300">
        <v>8.0</v>
      </c>
      <c r="O3932" s="300" t="s">
        <v>860</v>
      </c>
      <c r="P3932" s="300">
        <v>1.0</v>
      </c>
    </row>
    <row r="3933">
      <c r="A3933">
        <f>IFERROR(__xludf.DUMMYFUNCTION("""COMPUTED_VALUE"""),11.0)</f>
        <v>11</v>
      </c>
      <c r="B3933" s="406">
        <f>IFERROR(__xludf.DUMMYFUNCTION("""COMPUTED_VALUE"""),27107.0)</f>
        <v>27107</v>
      </c>
      <c r="C3933" t="str">
        <f>IFERROR(__xludf.DUMMYFUNCTION("""COMPUTED_VALUE"""),"SANIN VELASQUEZ, MONTSERRAT")</f>
        <v>SANIN VELASQUEZ, MONTSERRAT</v>
      </c>
      <c r="D3933" t="str">
        <f>IFERROR(__xludf.DUMMYFUNCTION("""COMPUTED_VALUE"""),"AP Psychology")</f>
        <v>AP Psychology</v>
      </c>
      <c r="E3933" s="3">
        <f>IFERROR(__xludf.DUMMYFUNCTION("""COMPUTED_VALUE"""),5.0)</f>
        <v>5</v>
      </c>
      <c r="F3933" s="300">
        <v>1.0</v>
      </c>
      <c r="G3933" s="300">
        <v>1.0</v>
      </c>
      <c r="H3933" s="300">
        <v>1.0</v>
      </c>
      <c r="I3933" s="300">
        <v>1.0</v>
      </c>
      <c r="J3933" s="300">
        <v>1.0</v>
      </c>
      <c r="K3933" s="300">
        <v>1.0</v>
      </c>
      <c r="L3933" s="300">
        <v>1.0</v>
      </c>
      <c r="M3933" s="300">
        <v>1.0</v>
      </c>
      <c r="N3933" s="300">
        <v>8.0</v>
      </c>
      <c r="O3933" s="300" t="s">
        <v>985</v>
      </c>
      <c r="P3933" s="300">
        <v>2.0</v>
      </c>
    </row>
    <row r="3934">
      <c r="A3934">
        <f>IFERROR(__xludf.DUMMYFUNCTION("""COMPUTED_VALUE"""),11.0)</f>
        <v>11</v>
      </c>
      <c r="B3934" s="406">
        <f>IFERROR(__xludf.DUMMYFUNCTION("""COMPUTED_VALUE"""),27134.0)</f>
        <v>27134</v>
      </c>
      <c r="C3934" t="str">
        <f>IFERROR(__xludf.DUMMYFUNCTION("""COMPUTED_VALUE"""),"MONTOYA JARAMILLO, TOMAS")</f>
        <v>MONTOYA JARAMILLO, TOMAS</v>
      </c>
      <c r="D3934" t="str">
        <f>IFERROR(__xludf.DUMMYFUNCTION("""COMPUTED_VALUE"""),"AP Chemistry")</f>
        <v>AP Chemistry</v>
      </c>
      <c r="E3934" s="3">
        <f>IFERROR(__xludf.DUMMYFUNCTION("""COMPUTED_VALUE"""),7.0)</f>
        <v>7</v>
      </c>
      <c r="F3934" s="300">
        <v>1.0</v>
      </c>
      <c r="G3934" s="300">
        <v>1.0</v>
      </c>
      <c r="H3934" s="300">
        <v>1.0</v>
      </c>
      <c r="I3934" s="300">
        <v>1.0</v>
      </c>
      <c r="J3934" s="300">
        <v>1.0</v>
      </c>
      <c r="K3934" s="300">
        <v>1.0</v>
      </c>
      <c r="L3934" s="300">
        <v>1.0</v>
      </c>
      <c r="M3934" s="300">
        <v>1.0</v>
      </c>
      <c r="N3934" s="300">
        <v>8.0</v>
      </c>
      <c r="O3934" s="300" t="s">
        <v>893</v>
      </c>
      <c r="P3934" s="300">
        <v>1.0</v>
      </c>
    </row>
    <row r="3935">
      <c r="A3935">
        <f>IFERROR(__xludf.DUMMYFUNCTION("""COMPUTED_VALUE"""),11.0)</f>
        <v>11</v>
      </c>
      <c r="B3935" s="406">
        <f>IFERROR(__xludf.DUMMYFUNCTION("""COMPUTED_VALUE"""),27126.0)</f>
        <v>27126</v>
      </c>
      <c r="C3935" t="str">
        <f>IFERROR(__xludf.DUMMYFUNCTION("""COMPUTED_VALUE"""),"YACAMAN RESTREPO, PEDRO")</f>
        <v>YACAMAN RESTREPO, PEDRO</v>
      </c>
      <c r="D3935" t="str">
        <f>IFERROR(__xludf.DUMMYFUNCTION("""COMPUTED_VALUE"""),"AP Economics")</f>
        <v>AP Economics</v>
      </c>
      <c r="E3935" s="3">
        <f>IFERROR(__xludf.DUMMYFUNCTION("""COMPUTED_VALUE"""),8.0)</f>
        <v>8</v>
      </c>
      <c r="F3935" s="300">
        <v>1.0</v>
      </c>
      <c r="G3935" s="300">
        <v>1.0</v>
      </c>
      <c r="H3935" s="300">
        <v>1.0</v>
      </c>
      <c r="I3935" s="300">
        <v>1.0</v>
      </c>
      <c r="J3935" s="300">
        <v>1.0</v>
      </c>
      <c r="K3935" s="300">
        <v>1.0</v>
      </c>
      <c r="L3935" s="300">
        <v>1.0</v>
      </c>
      <c r="M3935" s="300">
        <v>1.0</v>
      </c>
      <c r="N3935" s="300">
        <v>8.0</v>
      </c>
      <c r="O3935" s="300" t="s">
        <v>980</v>
      </c>
      <c r="P3935" s="300">
        <v>4.0</v>
      </c>
    </row>
    <row r="3936">
      <c r="A3936">
        <f>IFERROR(__xludf.DUMMYFUNCTION("""COMPUTED_VALUE"""),11.0)</f>
        <v>11</v>
      </c>
      <c r="B3936" s="406">
        <f>IFERROR(__xludf.DUMMYFUNCTION("""COMPUTED_VALUE"""),27114.0)</f>
        <v>27114</v>
      </c>
      <c r="C3936" t="str">
        <f>IFERROR(__xludf.DUMMYFUNCTION("""COMPUTED_VALUE"""),"TORO PEREZ, CRISTOBAL")</f>
        <v>TORO PEREZ, CRISTOBAL</v>
      </c>
      <c r="D3936" t="str">
        <f>IFERROR(__xludf.DUMMYFUNCTION("""COMPUTED_VALUE"""),"Entrepreneurship - Business Tech")</f>
        <v>Entrepreneurship - Business Tech</v>
      </c>
      <c r="E3936" s="3">
        <f>IFERROR(__xludf.DUMMYFUNCTION("""COMPUTED_VALUE"""),3.0)</f>
        <v>3</v>
      </c>
      <c r="F3936" s="300">
        <v>1.0</v>
      </c>
      <c r="G3936" s="300">
        <v>1.0</v>
      </c>
      <c r="H3936" s="300">
        <v>1.0</v>
      </c>
      <c r="I3936" s="300">
        <v>1.0</v>
      </c>
      <c r="J3936" s="300">
        <v>1.0</v>
      </c>
      <c r="K3936" s="300">
        <v>1.0</v>
      </c>
      <c r="L3936" s="300">
        <v>1.0</v>
      </c>
      <c r="M3936" s="300">
        <v>1.0</v>
      </c>
      <c r="N3936" s="300">
        <v>8.0</v>
      </c>
      <c r="O3936" s="300" t="s">
        <v>992</v>
      </c>
      <c r="P3936" s="300">
        <v>2.0</v>
      </c>
    </row>
    <row r="3937">
      <c r="A3937">
        <f>IFERROR(__xludf.DUMMYFUNCTION("""COMPUTED_VALUE"""),11.0)</f>
        <v>11</v>
      </c>
      <c r="B3937" s="406">
        <f>IFERROR(__xludf.DUMMYFUNCTION("""COMPUTED_VALUE"""),26106.0)</f>
        <v>26106</v>
      </c>
      <c r="C3937" t="str">
        <f>IFERROR(__xludf.DUMMYFUNCTION("""COMPUTED_VALUE"""),"ROMERO LOPERA, JUAN SEBASTIAN")</f>
        <v>ROMERO LOPERA, JUAN SEBASTIAN</v>
      </c>
      <c r="D3937" t="str">
        <f>IFERROR(__xludf.DUMMYFUNCTION("""COMPUTED_VALUE"""),"AP Chemistry")</f>
        <v>AP Chemistry</v>
      </c>
      <c r="E3937" s="3">
        <f>IFERROR(__xludf.DUMMYFUNCTION("""COMPUTED_VALUE"""),7.0)</f>
        <v>7</v>
      </c>
      <c r="F3937" s="300">
        <v>1.0</v>
      </c>
      <c r="G3937" s="300">
        <v>1.0</v>
      </c>
      <c r="H3937" s="300">
        <v>1.0</v>
      </c>
      <c r="I3937" s="300">
        <v>1.0</v>
      </c>
      <c r="J3937" s="300">
        <v>1.0</v>
      </c>
      <c r="K3937" s="300">
        <v>1.0</v>
      </c>
      <c r="L3937" s="300">
        <v>1.0</v>
      </c>
      <c r="M3937" s="300">
        <v>1.0</v>
      </c>
      <c r="N3937" s="300">
        <v>8.0</v>
      </c>
      <c r="O3937" s="300" t="s">
        <v>893</v>
      </c>
      <c r="P3937" s="300">
        <v>1.0</v>
      </c>
    </row>
    <row r="3938">
      <c r="A3938">
        <f>IFERROR(__xludf.DUMMYFUNCTION("""COMPUTED_VALUE"""),11.0)</f>
        <v>11</v>
      </c>
      <c r="B3938" s="406">
        <f>IFERROR(__xludf.DUMMYFUNCTION("""COMPUTED_VALUE"""),27014.0)</f>
        <v>27014</v>
      </c>
      <c r="C3938" t="str">
        <f>IFERROR(__xludf.DUMMYFUNCTION("""COMPUTED_VALUE"""),"BEDOYA JIMENEZ, NICOLAS")</f>
        <v>BEDOYA JIMENEZ, NICOLAS</v>
      </c>
      <c r="D3938" t="str">
        <f>IFERROR(__xludf.DUMMYFUNCTION("""COMPUTED_VALUE"""),"Entrepreneurship - Business Tech")</f>
        <v>Entrepreneurship - Business Tech</v>
      </c>
      <c r="E3938" s="3">
        <f>IFERROR(__xludf.DUMMYFUNCTION("""COMPUTED_VALUE"""),5.0)</f>
        <v>5</v>
      </c>
      <c r="F3938" s="300">
        <v>1.0</v>
      </c>
      <c r="G3938" s="300">
        <v>1.0</v>
      </c>
      <c r="H3938" s="300">
        <v>1.0</v>
      </c>
      <c r="I3938" s="300">
        <v>1.0</v>
      </c>
      <c r="J3938" s="300">
        <v>1.0</v>
      </c>
      <c r="K3938" s="300">
        <v>1.0</v>
      </c>
      <c r="L3938" s="300">
        <v>1.0</v>
      </c>
      <c r="M3938" s="300">
        <v>1.0</v>
      </c>
      <c r="N3938" s="300">
        <v>8.0</v>
      </c>
      <c r="O3938" s="300" t="s">
        <v>991</v>
      </c>
      <c r="P3938" s="300">
        <v>2.0</v>
      </c>
    </row>
    <row r="3939">
      <c r="A3939">
        <f>IFERROR(__xludf.DUMMYFUNCTION("""COMPUTED_VALUE"""),11.0)</f>
        <v>11</v>
      </c>
      <c r="B3939" s="406">
        <f>IFERROR(__xludf.DUMMYFUNCTION("""COMPUTED_VALUE"""),27160.0)</f>
        <v>27160</v>
      </c>
      <c r="C3939" t="str">
        <f>IFERROR(__xludf.DUMMYFUNCTION("""COMPUTED_VALUE"""),"SUDETTI, ISABELLA")</f>
        <v>SUDETTI, ISABELLA</v>
      </c>
      <c r="D3939" t="str">
        <f>IFERROR(__xludf.DUMMYFUNCTION("""COMPUTED_VALUE"""),"AP Computer Science Principles")</f>
        <v>AP Computer Science Principles</v>
      </c>
      <c r="E3939" s="3">
        <f>IFERROR(__xludf.DUMMYFUNCTION("""COMPUTED_VALUE"""),3.0)</f>
        <v>3</v>
      </c>
      <c r="F3939" s="300">
        <v>1.0</v>
      </c>
      <c r="G3939" s="300">
        <v>1.0</v>
      </c>
      <c r="H3939" s="300">
        <v>1.0</v>
      </c>
      <c r="I3939" s="300">
        <v>1.0</v>
      </c>
      <c r="J3939" s="300">
        <v>1.0</v>
      </c>
      <c r="K3939" s="300">
        <v>1.0</v>
      </c>
      <c r="L3939" s="300">
        <v>1.0</v>
      </c>
      <c r="M3939" s="300">
        <v>1.0</v>
      </c>
      <c r="N3939" s="300">
        <v>8.0</v>
      </c>
      <c r="O3939" s="300" t="s">
        <v>836</v>
      </c>
      <c r="P3939" s="300">
        <v>1.0</v>
      </c>
    </row>
    <row r="3940">
      <c r="A3940">
        <f>IFERROR(__xludf.DUMMYFUNCTION("""COMPUTED_VALUE"""),11.0)</f>
        <v>11</v>
      </c>
      <c r="B3940" s="406">
        <f>IFERROR(__xludf.DUMMYFUNCTION("""COMPUTED_VALUE"""),27030.0)</f>
        <v>27030</v>
      </c>
      <c r="C3940" t="str">
        <f>IFERROR(__xludf.DUMMYFUNCTION("""COMPUTED_VALUE"""),"DURAN CALAD, PABLO")</f>
        <v>DURAN CALAD, PABLO</v>
      </c>
      <c r="D3940" t="str">
        <f>IFERROR(__xludf.DUMMYFUNCTION("""COMPUTED_VALUE"""),"Entrepreneurship - Business Tech")</f>
        <v>Entrepreneurship - Business Tech</v>
      </c>
      <c r="E3940" s="3">
        <f>IFERROR(__xludf.DUMMYFUNCTION("""COMPUTED_VALUE"""),5.0)</f>
        <v>5</v>
      </c>
      <c r="F3940" s="300">
        <v>1.0</v>
      </c>
      <c r="G3940" s="300">
        <v>1.0</v>
      </c>
      <c r="H3940" s="300">
        <v>1.0</v>
      </c>
      <c r="I3940" s="300">
        <v>1.0</v>
      </c>
      <c r="J3940" s="300">
        <v>1.0</v>
      </c>
      <c r="K3940" s="300">
        <v>1.0</v>
      </c>
      <c r="L3940" s="300">
        <v>1.0</v>
      </c>
      <c r="M3940" s="300">
        <v>1.0</v>
      </c>
      <c r="N3940" s="300">
        <v>8.0</v>
      </c>
      <c r="O3940" s="300" t="s">
        <v>991</v>
      </c>
      <c r="P3940" s="300">
        <v>2.0</v>
      </c>
    </row>
    <row r="3941">
      <c r="A3941">
        <f>IFERROR(__xludf.DUMMYFUNCTION("""COMPUTED_VALUE"""),11.0)</f>
        <v>11</v>
      </c>
      <c r="B3941" s="406">
        <f>IFERROR(__xludf.DUMMYFUNCTION("""COMPUTED_VALUE"""),27023.0)</f>
        <v>27023</v>
      </c>
      <c r="C3941" t="str">
        <f>IFERROR(__xludf.DUMMYFUNCTION("""COMPUTED_VALUE"""),"CASTAÑO VASQUEZ, DANIEL")</f>
        <v>CASTAÑO VASQUEZ, DANIEL</v>
      </c>
      <c r="D3941" t="str">
        <f>IFERROR(__xludf.DUMMYFUNCTION("""COMPUTED_VALUE"""),"AP Chemistry")</f>
        <v>AP Chemistry</v>
      </c>
      <c r="E3941" s="3">
        <f>IFERROR(__xludf.DUMMYFUNCTION("""COMPUTED_VALUE"""),7.0)</f>
        <v>7</v>
      </c>
      <c r="F3941" s="300">
        <v>1.0</v>
      </c>
      <c r="G3941" s="300">
        <v>1.0</v>
      </c>
      <c r="H3941" s="300">
        <v>1.0</v>
      </c>
      <c r="I3941" s="300">
        <v>1.0</v>
      </c>
      <c r="J3941" s="300">
        <v>1.0</v>
      </c>
      <c r="K3941" s="300">
        <v>1.0</v>
      </c>
      <c r="L3941" s="300">
        <v>1.0</v>
      </c>
      <c r="M3941" s="300">
        <v>1.0</v>
      </c>
      <c r="N3941" s="300">
        <v>8.0</v>
      </c>
      <c r="O3941" s="300" t="s">
        <v>893</v>
      </c>
      <c r="P3941" s="300">
        <v>1.0</v>
      </c>
    </row>
    <row r="3942">
      <c r="A3942">
        <f>IFERROR(__xludf.DUMMYFUNCTION("""COMPUTED_VALUE"""),11.0)</f>
        <v>11</v>
      </c>
      <c r="B3942" s="406">
        <f>IFERROR(__xludf.DUMMYFUNCTION("""COMPUTED_VALUE"""),27138.0)</f>
        <v>27138</v>
      </c>
      <c r="C3942" t="str">
        <f>IFERROR(__xludf.DUMMYFUNCTION("""COMPUTED_VALUE"""),"ALMEIDA CARMONA, LUISA MARIA")</f>
        <v>ALMEIDA CARMONA, LUISA MARIA</v>
      </c>
      <c r="D3942" t="str">
        <f>IFERROR(__xludf.DUMMYFUNCTION("""COMPUTED_VALUE"""),"AP Economics")</f>
        <v>AP Economics</v>
      </c>
      <c r="E3942" s="3">
        <f>IFERROR(__xludf.DUMMYFUNCTION("""COMPUTED_VALUE"""),7.0)</f>
        <v>7</v>
      </c>
      <c r="F3942" s="300">
        <v>1.0</v>
      </c>
      <c r="G3942" s="300">
        <v>1.0</v>
      </c>
      <c r="H3942" s="300">
        <v>1.0</v>
      </c>
      <c r="I3942" s="300">
        <v>1.0</v>
      </c>
      <c r="J3942" s="300">
        <v>1.0</v>
      </c>
      <c r="K3942" s="300">
        <v>1.0</v>
      </c>
      <c r="L3942" s="300">
        <v>1.0</v>
      </c>
      <c r="M3942" s="300">
        <v>1.0</v>
      </c>
      <c r="N3942" s="300">
        <v>8.0</v>
      </c>
      <c r="O3942" s="300" t="s">
        <v>983</v>
      </c>
      <c r="P3942" s="300">
        <v>4.0</v>
      </c>
    </row>
    <row r="3943">
      <c r="A3943">
        <f>IFERROR(__xludf.DUMMYFUNCTION("""COMPUTED_VALUE"""),11.0)</f>
        <v>11</v>
      </c>
      <c r="B3943" s="406">
        <f>IFERROR(__xludf.DUMMYFUNCTION("""COMPUTED_VALUE"""),27091.0)</f>
        <v>27091</v>
      </c>
      <c r="C3943" t="str">
        <f>IFERROR(__xludf.DUMMYFUNCTION("""COMPUTED_VALUE"""),"PUERTA PAZ, DAVID")</f>
        <v>PUERTA PAZ, DAVID</v>
      </c>
      <c r="D3943" t="str">
        <f>IFERROR(__xludf.DUMMYFUNCTION("""COMPUTED_VALUE"""),"Entrepreneurship - Business Tech")</f>
        <v>Entrepreneurship - Business Tech</v>
      </c>
      <c r="E3943" s="3">
        <f>IFERROR(__xludf.DUMMYFUNCTION("""COMPUTED_VALUE"""),3.0)</f>
        <v>3</v>
      </c>
      <c r="F3943" s="300">
        <v>1.0</v>
      </c>
      <c r="G3943" s="300">
        <v>1.0</v>
      </c>
      <c r="H3943" s="300">
        <v>1.0</v>
      </c>
      <c r="I3943" s="300">
        <v>1.0</v>
      </c>
      <c r="J3943" s="300">
        <v>1.0</v>
      </c>
      <c r="K3943" s="300">
        <v>1.0</v>
      </c>
      <c r="L3943" s="300">
        <v>1.0</v>
      </c>
      <c r="M3943" s="300">
        <v>1.0</v>
      </c>
      <c r="N3943" s="300">
        <v>8.0</v>
      </c>
      <c r="O3943" s="300" t="s">
        <v>992</v>
      </c>
      <c r="P3943" s="300">
        <v>2.0</v>
      </c>
    </row>
    <row r="3944">
      <c r="A3944">
        <f>IFERROR(__xludf.DUMMYFUNCTION("""COMPUTED_VALUE"""),11.0)</f>
        <v>11</v>
      </c>
      <c r="B3944" s="406">
        <f>IFERROR(__xludf.DUMMYFUNCTION("""COMPUTED_VALUE"""),27063.0)</f>
        <v>27063</v>
      </c>
      <c r="C3944" t="str">
        <f>IFERROR(__xludf.DUMMYFUNCTION("""COMPUTED_VALUE"""),"MARTINEZ AGUILAR, ALICIA")</f>
        <v>MARTINEZ AGUILAR, ALICIA</v>
      </c>
      <c r="D3944" t="str">
        <f>IFERROR(__xludf.DUMMYFUNCTION("""COMPUTED_VALUE"""),"Entrepreneurship - Business Tech")</f>
        <v>Entrepreneurship - Business Tech</v>
      </c>
      <c r="E3944" s="3">
        <f>IFERROR(__xludf.DUMMYFUNCTION("""COMPUTED_VALUE"""),5.0)</f>
        <v>5</v>
      </c>
      <c r="F3944" s="300">
        <v>1.0</v>
      </c>
      <c r="G3944" s="300">
        <v>1.0</v>
      </c>
      <c r="H3944" s="300">
        <v>1.0</v>
      </c>
      <c r="I3944" s="300">
        <v>1.0</v>
      </c>
      <c r="J3944" s="300">
        <v>1.0</v>
      </c>
      <c r="K3944" s="300">
        <v>1.0</v>
      </c>
      <c r="L3944" s="300">
        <v>1.0</v>
      </c>
      <c r="M3944" s="300">
        <v>1.0</v>
      </c>
      <c r="N3944" s="300">
        <v>8.0</v>
      </c>
      <c r="O3944" s="300" t="s">
        <v>991</v>
      </c>
      <c r="P3944" s="300">
        <v>2.0</v>
      </c>
    </row>
    <row r="3945">
      <c r="A3945">
        <f>IFERROR(__xludf.DUMMYFUNCTION("""COMPUTED_VALUE"""),11.0)</f>
        <v>11</v>
      </c>
      <c r="B3945" s="406">
        <f>IFERROR(__xludf.DUMMYFUNCTION("""COMPUTED_VALUE"""),27147.0)</f>
        <v>27147</v>
      </c>
      <c r="C3945" t="str">
        <f>IFERROR(__xludf.DUMMYFUNCTION("""COMPUTED_VALUE"""),"MESA FLOREZ, SALOMON")</f>
        <v>MESA FLOREZ, SALOMON</v>
      </c>
      <c r="D3945" t="str">
        <f>IFERROR(__xludf.DUMMYFUNCTION("""COMPUTED_VALUE"""),"AP Computer Science Principles")</f>
        <v>AP Computer Science Principles</v>
      </c>
      <c r="E3945" s="3">
        <f>IFERROR(__xludf.DUMMYFUNCTION("""COMPUTED_VALUE"""),3.0)</f>
        <v>3</v>
      </c>
      <c r="F3945" s="300">
        <v>1.0</v>
      </c>
      <c r="G3945" s="300">
        <v>1.0</v>
      </c>
      <c r="H3945" s="300">
        <v>1.0</v>
      </c>
      <c r="I3945" s="300">
        <v>1.0</v>
      </c>
      <c r="J3945" s="300">
        <v>1.0</v>
      </c>
      <c r="K3945" s="300">
        <v>1.0</v>
      </c>
      <c r="L3945" s="300">
        <v>1.0</v>
      </c>
      <c r="M3945" s="300">
        <v>1.0</v>
      </c>
      <c r="N3945" s="300">
        <v>8.0</v>
      </c>
      <c r="O3945" s="300" t="s">
        <v>836</v>
      </c>
      <c r="P3945" s="300">
        <v>1.0</v>
      </c>
    </row>
    <row r="3946">
      <c r="A3946">
        <f>IFERROR(__xludf.DUMMYFUNCTION("""COMPUTED_VALUE"""),11.0)</f>
        <v>11</v>
      </c>
      <c r="B3946" s="406">
        <f>IFERROR(__xludf.DUMMYFUNCTION("""COMPUTED_VALUE"""),27129.0)</f>
        <v>27129</v>
      </c>
      <c r="C3946" t="str">
        <f>IFERROR(__xludf.DUMMYFUNCTION("""COMPUTED_VALUE"""),"VALLEJO HOYOS, MIGUEL")</f>
        <v>VALLEJO HOYOS, MIGUEL</v>
      </c>
      <c r="D3946" t="str">
        <f>IFERROR(__xludf.DUMMYFUNCTION("""COMPUTED_VALUE"""),"Entrepreneurship - Business Tech")</f>
        <v>Entrepreneurship - Business Tech</v>
      </c>
      <c r="E3946" s="3">
        <f>IFERROR(__xludf.DUMMYFUNCTION("""COMPUTED_VALUE"""),3.0)</f>
        <v>3</v>
      </c>
      <c r="F3946" s="300">
        <v>1.0</v>
      </c>
      <c r="G3946" s="300">
        <v>1.0</v>
      </c>
      <c r="H3946" s="300">
        <v>1.0</v>
      </c>
      <c r="I3946" s="300">
        <v>1.0</v>
      </c>
      <c r="J3946" s="300">
        <v>1.0</v>
      </c>
      <c r="K3946" s="300">
        <v>1.0</v>
      </c>
      <c r="L3946" s="300">
        <v>1.0</v>
      </c>
      <c r="M3946" s="300">
        <v>1.0</v>
      </c>
      <c r="N3946" s="300">
        <v>8.0</v>
      </c>
      <c r="O3946" s="300" t="s">
        <v>992</v>
      </c>
      <c r="P3946" s="300">
        <v>2.0</v>
      </c>
    </row>
    <row r="3947">
      <c r="A3947">
        <f>IFERROR(__xludf.DUMMYFUNCTION("""COMPUTED_VALUE"""),11.0)</f>
        <v>11</v>
      </c>
      <c r="B3947" s="406">
        <f>IFERROR(__xludf.DUMMYFUNCTION("""COMPUTED_VALUE"""),27015.0)</f>
        <v>27015</v>
      </c>
      <c r="C3947" t="str">
        <f>IFERROR(__xludf.DUMMYFUNCTION("""COMPUTED_VALUE"""),"BERNAL OCHOA, MARIANA")</f>
        <v>BERNAL OCHOA, MARIANA</v>
      </c>
      <c r="D3947" t="str">
        <f>IFERROR(__xludf.DUMMYFUNCTION("""COMPUTED_VALUE"""),"AP Psychology")</f>
        <v>AP Psychology</v>
      </c>
      <c r="E3947" s="3">
        <f>IFERROR(__xludf.DUMMYFUNCTION("""COMPUTED_VALUE"""),5.0)</f>
        <v>5</v>
      </c>
      <c r="F3947" s="300">
        <v>1.0</v>
      </c>
      <c r="G3947" s="300">
        <v>1.0</v>
      </c>
      <c r="H3947" s="300">
        <v>1.0</v>
      </c>
      <c r="I3947" s="300">
        <v>1.0</v>
      </c>
      <c r="J3947" s="300">
        <v>1.0</v>
      </c>
      <c r="K3947" s="300">
        <v>1.0</v>
      </c>
      <c r="L3947" s="300">
        <v>1.0</v>
      </c>
      <c r="M3947" s="300">
        <v>1.0</v>
      </c>
      <c r="N3947" s="300">
        <v>8.0</v>
      </c>
      <c r="O3947" s="300" t="s">
        <v>985</v>
      </c>
      <c r="P3947" s="300">
        <v>2.0</v>
      </c>
    </row>
    <row r="3948">
      <c r="A3948">
        <f>IFERROR(__xludf.DUMMYFUNCTION("""COMPUTED_VALUE"""),11.0)</f>
        <v>11</v>
      </c>
      <c r="B3948" s="406">
        <f>IFERROR(__xludf.DUMMYFUNCTION("""COMPUTED_VALUE"""),27104.0)</f>
        <v>27104</v>
      </c>
      <c r="C3948" t="str">
        <f>IFERROR(__xludf.DUMMYFUNCTION("""COMPUTED_VALUE"""),"SANCHEZ GONZALEZ, JUANITA")</f>
        <v>SANCHEZ GONZALEZ, JUANITA</v>
      </c>
      <c r="D3948" t="str">
        <f>IFERROR(__xludf.DUMMYFUNCTION("""COMPUTED_VALUE"""),"AP 3-D Art and Design")</f>
        <v>AP 3-D Art and Design</v>
      </c>
      <c r="E3948" s="3">
        <f>IFERROR(__xludf.DUMMYFUNCTION("""COMPUTED_VALUE"""),6.0)</f>
        <v>6</v>
      </c>
      <c r="F3948" s="300">
        <v>1.0</v>
      </c>
      <c r="G3948" s="300">
        <v>1.0</v>
      </c>
      <c r="H3948" s="300">
        <v>1.0</v>
      </c>
      <c r="I3948" s="300">
        <v>1.0</v>
      </c>
      <c r="J3948" s="300">
        <v>1.0</v>
      </c>
      <c r="K3948" s="300">
        <v>1.0</v>
      </c>
      <c r="L3948" s="300">
        <v>1.0</v>
      </c>
      <c r="M3948" s="300">
        <v>1.0</v>
      </c>
      <c r="N3948" s="300">
        <v>8.0</v>
      </c>
      <c r="O3948" s="300" t="s">
        <v>949</v>
      </c>
      <c r="P3948" s="300">
        <v>1.0</v>
      </c>
    </row>
    <row r="3949">
      <c r="A3949">
        <f>IFERROR(__xludf.DUMMYFUNCTION("""COMPUTED_VALUE"""),11.0)</f>
        <v>11</v>
      </c>
      <c r="B3949" s="406">
        <f>IFERROR(__xludf.DUMMYFUNCTION("""COMPUTED_VALUE"""),27130.0)</f>
        <v>27130</v>
      </c>
      <c r="C3949" t="str">
        <f>IFERROR(__xludf.DUMMYFUNCTION("""COMPUTED_VALUE"""),"EASTMAN BETANCUR, VIOLETA")</f>
        <v>EASTMAN BETANCUR, VIOLETA</v>
      </c>
      <c r="D3949" t="str">
        <f>IFERROR(__xludf.DUMMYFUNCTION("""COMPUTED_VALUE"""),"AP 3-D Art and Design")</f>
        <v>AP 3-D Art and Design</v>
      </c>
      <c r="E3949" s="3">
        <f>IFERROR(__xludf.DUMMYFUNCTION("""COMPUTED_VALUE"""),6.0)</f>
        <v>6</v>
      </c>
      <c r="F3949" s="300">
        <v>1.0</v>
      </c>
      <c r="G3949" s="300">
        <v>1.0</v>
      </c>
      <c r="H3949" s="300">
        <v>1.0</v>
      </c>
      <c r="I3949" s="300">
        <v>1.0</v>
      </c>
      <c r="J3949" s="300">
        <v>1.0</v>
      </c>
      <c r="K3949" s="300">
        <v>1.0</v>
      </c>
      <c r="L3949" s="300">
        <v>1.0</v>
      </c>
      <c r="M3949" s="300">
        <v>1.0</v>
      </c>
      <c r="N3949" s="300">
        <v>8.0</v>
      </c>
      <c r="O3949" s="300" t="s">
        <v>949</v>
      </c>
      <c r="P3949" s="300">
        <v>1.0</v>
      </c>
    </row>
    <row r="3950">
      <c r="A3950">
        <f>IFERROR(__xludf.DUMMYFUNCTION("""COMPUTED_VALUE"""),11.0)</f>
        <v>11</v>
      </c>
      <c r="B3950" s="406">
        <f>IFERROR(__xludf.DUMMYFUNCTION("""COMPUTED_VALUE"""),27096.0)</f>
        <v>27096</v>
      </c>
      <c r="C3950" t="str">
        <f>IFERROR(__xludf.DUMMYFUNCTION("""COMPUTED_VALUE"""),"RICO SALDARRIAGA, MARTINA")</f>
        <v>RICO SALDARRIAGA, MARTINA</v>
      </c>
      <c r="D3950" t="str">
        <f>IFERROR(__xludf.DUMMYFUNCTION("""COMPUTED_VALUE"""),"AP Environmental Science")</f>
        <v>AP Environmental Science</v>
      </c>
      <c r="E3950" s="3">
        <f>IFERROR(__xludf.DUMMYFUNCTION("""COMPUTED_VALUE"""),3.0)</f>
        <v>3</v>
      </c>
      <c r="F3950" s="300">
        <v>1.0</v>
      </c>
      <c r="G3950" s="300">
        <v>1.0</v>
      </c>
      <c r="H3950" s="300">
        <v>1.0</v>
      </c>
      <c r="I3950" s="300">
        <v>1.0</v>
      </c>
      <c r="J3950" s="300">
        <v>1.0</v>
      </c>
      <c r="K3950" s="300">
        <v>1.0</v>
      </c>
      <c r="L3950" s="300">
        <v>1.0</v>
      </c>
      <c r="M3950" s="300">
        <v>1.0</v>
      </c>
      <c r="N3950" s="300">
        <v>8.0</v>
      </c>
      <c r="O3950" s="300" t="s">
        <v>890</v>
      </c>
      <c r="P3950" s="300">
        <v>1.0</v>
      </c>
    </row>
    <row r="3951">
      <c r="A3951">
        <f>IFERROR(__xludf.DUMMYFUNCTION("""COMPUTED_VALUE"""),11.0)</f>
        <v>11</v>
      </c>
      <c r="B3951" s="406">
        <f>IFERROR(__xludf.DUMMYFUNCTION("""COMPUTED_VALUE"""),27131.0)</f>
        <v>27131</v>
      </c>
      <c r="C3951" t="str">
        <f>IFERROR(__xludf.DUMMYFUNCTION("""COMPUTED_VALUE"""),"BARRERA GUZMAN, CAMILA")</f>
        <v>BARRERA GUZMAN, CAMILA</v>
      </c>
      <c r="D3951" t="str">
        <f>IFERROR(__xludf.DUMMYFUNCTION("""COMPUTED_VALUE"""),"AP Psychology")</f>
        <v>AP Psychology</v>
      </c>
      <c r="E3951" s="3">
        <f>IFERROR(__xludf.DUMMYFUNCTION("""COMPUTED_VALUE"""),5.0)</f>
        <v>5</v>
      </c>
      <c r="F3951" s="300">
        <v>1.0</v>
      </c>
      <c r="G3951" s="300">
        <v>1.0</v>
      </c>
      <c r="H3951" s="300">
        <v>1.0</v>
      </c>
      <c r="I3951" s="300">
        <v>1.0</v>
      </c>
      <c r="J3951" s="300">
        <v>1.0</v>
      </c>
      <c r="K3951" s="300">
        <v>1.0</v>
      </c>
      <c r="L3951" s="300">
        <v>1.0</v>
      </c>
      <c r="M3951" s="300">
        <v>1.0</v>
      </c>
      <c r="N3951" s="300">
        <v>8.0</v>
      </c>
      <c r="O3951" s="300" t="s">
        <v>985</v>
      </c>
      <c r="P3951" s="300">
        <v>2.0</v>
      </c>
    </row>
    <row r="3952">
      <c r="A3952">
        <f>IFERROR(__xludf.DUMMYFUNCTION("""COMPUTED_VALUE"""),11.0)</f>
        <v>11</v>
      </c>
      <c r="B3952" s="406">
        <f>IFERROR(__xludf.DUMMYFUNCTION("""COMPUTED_VALUE"""),27068.0)</f>
        <v>27068</v>
      </c>
      <c r="C3952" t="str">
        <f>IFERROR(__xludf.DUMMYFUNCTION("""COMPUTED_VALUE"""),"MESA ACOSTA, ESTEBAN")</f>
        <v>MESA ACOSTA, ESTEBAN</v>
      </c>
      <c r="D3952" t="str">
        <f>IFERROR(__xludf.DUMMYFUNCTION("""COMPUTED_VALUE"""),"AP World History")</f>
        <v>AP World History</v>
      </c>
      <c r="E3952" s="3">
        <f>IFERROR(__xludf.DUMMYFUNCTION("""COMPUTED_VALUE"""),6.0)</f>
        <v>6</v>
      </c>
      <c r="F3952" s="300">
        <v>1.0</v>
      </c>
      <c r="G3952" s="300">
        <v>1.0</v>
      </c>
      <c r="H3952" s="300">
        <v>1.0</v>
      </c>
      <c r="I3952" s="300">
        <v>1.0</v>
      </c>
      <c r="J3952" s="300">
        <v>1.0</v>
      </c>
      <c r="K3952" s="300">
        <v>1.0</v>
      </c>
      <c r="L3952" s="300">
        <v>1.0</v>
      </c>
      <c r="M3952" s="300">
        <v>1.0</v>
      </c>
      <c r="N3952" s="300">
        <v>8.0</v>
      </c>
      <c r="O3952" s="300" t="s">
        <v>973</v>
      </c>
      <c r="P3952" s="300">
        <v>2.0</v>
      </c>
    </row>
    <row r="3953">
      <c r="A3953">
        <f>IFERROR(__xludf.DUMMYFUNCTION("""COMPUTED_VALUE"""),11.0)</f>
        <v>11</v>
      </c>
      <c r="B3953" s="406">
        <f>IFERROR(__xludf.DUMMYFUNCTION("""COMPUTED_VALUE"""),27127.0)</f>
        <v>27127</v>
      </c>
      <c r="C3953" t="str">
        <f>IFERROR(__xludf.DUMMYFUNCTION("""COMPUTED_VALUE"""),"YUSTY MOSQUERA, MATEO")</f>
        <v>YUSTY MOSQUERA, MATEO</v>
      </c>
      <c r="D3953" t="str">
        <f>IFERROR(__xludf.DUMMYFUNCTION("""COMPUTED_VALUE"""),"Financial Math")</f>
        <v>Financial Math</v>
      </c>
      <c r="E3953" s="3">
        <f>IFERROR(__xludf.DUMMYFUNCTION("""COMPUTED_VALUE"""),4.0)</f>
        <v>4</v>
      </c>
      <c r="F3953" s="300">
        <v>1.0</v>
      </c>
      <c r="G3953" s="300">
        <v>1.0</v>
      </c>
      <c r="H3953" s="300">
        <v>1.0</v>
      </c>
      <c r="I3953" s="300">
        <v>1.0</v>
      </c>
      <c r="J3953" s="300">
        <v>1.0</v>
      </c>
      <c r="K3953" s="300">
        <v>1.0</v>
      </c>
      <c r="L3953" s="300">
        <v>1.0</v>
      </c>
      <c r="M3953" s="300">
        <v>1.0</v>
      </c>
      <c r="N3953" s="300">
        <v>8.0</v>
      </c>
      <c r="O3953" s="300" t="s">
        <v>865</v>
      </c>
      <c r="P3953" s="300">
        <v>3.0</v>
      </c>
    </row>
    <row r="3954">
      <c r="A3954">
        <f>IFERROR(__xludf.DUMMYFUNCTION("""COMPUTED_VALUE"""),11.0)</f>
        <v>11</v>
      </c>
      <c r="B3954" s="406">
        <f>IFERROR(__xludf.DUMMYFUNCTION("""COMPUTED_VALUE"""),27172.0)</f>
        <v>27172</v>
      </c>
      <c r="C3954" t="str">
        <f>IFERROR(__xludf.DUMMYFUNCTION("""COMPUTED_VALUE"""),"PASCUAL CUMELLAS, IGNACIO")</f>
        <v>PASCUAL CUMELLAS, IGNACIO</v>
      </c>
      <c r="D3954" t="str">
        <f>IFERROR(__xludf.DUMMYFUNCTION("""COMPUTED_VALUE"""),"AP Computer Science A")</f>
        <v>AP Computer Science A</v>
      </c>
      <c r="E3954" s="3">
        <f>IFERROR(__xludf.DUMMYFUNCTION("""COMPUTED_VALUE"""),4.0)</f>
        <v>4</v>
      </c>
      <c r="F3954" s="300">
        <v>1.0</v>
      </c>
      <c r="G3954" s="300">
        <v>1.0</v>
      </c>
      <c r="H3954" s="300">
        <v>1.0</v>
      </c>
      <c r="I3954" s="300">
        <v>1.0</v>
      </c>
      <c r="J3954" s="300">
        <v>1.0</v>
      </c>
      <c r="K3954" s="300">
        <v>1.0</v>
      </c>
      <c r="L3954" s="300">
        <v>1.0</v>
      </c>
      <c r="M3954" s="300">
        <v>1.0</v>
      </c>
      <c r="N3954" s="300">
        <v>8.0</v>
      </c>
      <c r="O3954" s="300" t="s">
        <v>993</v>
      </c>
      <c r="P3954" s="300">
        <v>1.0</v>
      </c>
    </row>
    <row r="3955">
      <c r="A3955">
        <f>IFERROR(__xludf.DUMMYFUNCTION("""COMPUTED_VALUE"""),11.0)</f>
        <v>11</v>
      </c>
      <c r="B3955" s="406">
        <f>IFERROR(__xludf.DUMMYFUNCTION("""COMPUTED_VALUE"""),27018.0)</f>
        <v>27018</v>
      </c>
      <c r="C3955" t="str">
        <f>IFERROR(__xludf.DUMMYFUNCTION("""COMPUTED_VALUE"""),"BEYER VELEZ, JACOBO")</f>
        <v>BEYER VELEZ, JACOBO</v>
      </c>
      <c r="D3955" t="str">
        <f>IFERROR(__xludf.DUMMYFUNCTION("""COMPUTED_VALUE"""),"Entrepreneurship - Business Tech")</f>
        <v>Entrepreneurship - Business Tech</v>
      </c>
      <c r="E3955" s="3">
        <f>IFERROR(__xludf.DUMMYFUNCTION("""COMPUTED_VALUE"""),3.0)</f>
        <v>3</v>
      </c>
      <c r="F3955" s="300">
        <v>1.0</v>
      </c>
      <c r="G3955" s="300">
        <v>1.0</v>
      </c>
      <c r="H3955" s="300">
        <v>1.0</v>
      </c>
      <c r="I3955" s="300">
        <v>1.0</v>
      </c>
      <c r="J3955" s="300">
        <v>1.0</v>
      </c>
      <c r="K3955" s="300">
        <v>1.0</v>
      </c>
      <c r="L3955" s="300">
        <v>1.0</v>
      </c>
      <c r="M3955" s="300">
        <v>1.0</v>
      </c>
      <c r="N3955" s="300">
        <v>8.0</v>
      </c>
      <c r="O3955" s="300" t="s">
        <v>992</v>
      </c>
      <c r="P3955" s="300">
        <v>2.0</v>
      </c>
    </row>
    <row r="3956">
      <c r="A3956">
        <f>IFERROR(__xludf.DUMMYFUNCTION("""COMPUTED_VALUE"""),11.0)</f>
        <v>11</v>
      </c>
      <c r="B3956" s="406">
        <f>IFERROR(__xludf.DUMMYFUNCTION("""COMPUTED_VALUE"""),27017.0)</f>
        <v>27017</v>
      </c>
      <c r="C3956" t="str">
        <f>IFERROR(__xludf.DUMMYFUNCTION("""COMPUTED_VALUE"""),"BETANCUR ROBLEDO, ELISA")</f>
        <v>BETANCUR ROBLEDO, ELISA</v>
      </c>
      <c r="D3956" t="str">
        <f>IFERROR(__xludf.DUMMYFUNCTION("""COMPUTED_VALUE"""),"Entrepreneurship - Business Tech")</f>
        <v>Entrepreneurship - Business Tech</v>
      </c>
      <c r="E3956" s="3">
        <f>IFERROR(__xludf.DUMMYFUNCTION("""COMPUTED_VALUE"""),3.0)</f>
        <v>3</v>
      </c>
      <c r="F3956" s="300">
        <v>1.0</v>
      </c>
      <c r="G3956" s="300">
        <v>1.0</v>
      </c>
      <c r="H3956" s="300">
        <v>1.0</v>
      </c>
      <c r="I3956" s="300">
        <v>1.0</v>
      </c>
      <c r="J3956" s="300">
        <v>1.0</v>
      </c>
      <c r="K3956" s="300">
        <v>1.0</v>
      </c>
      <c r="L3956" s="300">
        <v>1.0</v>
      </c>
      <c r="M3956" s="300">
        <v>1.0</v>
      </c>
      <c r="N3956" s="300">
        <v>8.0</v>
      </c>
      <c r="O3956" s="300" t="s">
        <v>992</v>
      </c>
      <c r="P3956" s="300">
        <v>2.0</v>
      </c>
    </row>
    <row r="3957">
      <c r="A3957">
        <f>IFERROR(__xludf.DUMMYFUNCTION("""COMPUTED_VALUE"""),11.0)</f>
        <v>11</v>
      </c>
      <c r="B3957" s="406">
        <f>IFERROR(__xludf.DUMMYFUNCTION("""COMPUTED_VALUE"""),27113.0)</f>
        <v>27113</v>
      </c>
      <c r="C3957" t="str">
        <f>IFERROR(__xludf.DUMMYFUNCTION("""COMPUTED_VALUE"""),"TORO LOPERA, VIOLETA")</f>
        <v>TORO LOPERA, VIOLETA</v>
      </c>
      <c r="D3957" t="str">
        <f>IFERROR(__xludf.DUMMYFUNCTION("""COMPUTED_VALUE"""),"AP Computer Science Principles")</f>
        <v>AP Computer Science Principles</v>
      </c>
      <c r="E3957" s="3">
        <f>IFERROR(__xludf.DUMMYFUNCTION("""COMPUTED_VALUE"""),3.0)</f>
        <v>3</v>
      </c>
      <c r="F3957" s="300">
        <v>1.0</v>
      </c>
      <c r="G3957" s="300">
        <v>1.0</v>
      </c>
      <c r="H3957" s="300">
        <v>1.0</v>
      </c>
      <c r="I3957" s="300">
        <v>1.0</v>
      </c>
      <c r="J3957" s="300">
        <v>1.0</v>
      </c>
      <c r="K3957" s="300">
        <v>1.0</v>
      </c>
      <c r="L3957" s="300">
        <v>1.0</v>
      </c>
      <c r="M3957" s="300">
        <v>1.0</v>
      </c>
      <c r="N3957" s="300">
        <v>8.0</v>
      </c>
      <c r="O3957" s="300" t="s">
        <v>836</v>
      </c>
      <c r="P3957" s="300">
        <v>1.0</v>
      </c>
    </row>
    <row r="3958">
      <c r="A3958">
        <f>IFERROR(__xludf.DUMMYFUNCTION("""COMPUTED_VALUE"""),11.0)</f>
        <v>11</v>
      </c>
      <c r="B3958" s="406">
        <f>IFERROR(__xludf.DUMMYFUNCTION("""COMPUTED_VALUE"""),27042.0)</f>
        <v>27042</v>
      </c>
      <c r="C3958" t="str">
        <f>IFERROR(__xludf.DUMMYFUNCTION("""COMPUTED_VALUE"""),"BONILLA NAVARRO, SOFIA")</f>
        <v>BONILLA NAVARRO, SOFIA</v>
      </c>
      <c r="D3958" t="str">
        <f>IFERROR(__xludf.DUMMYFUNCTION("""COMPUTED_VALUE"""),"Entrepreneurship - Business Tech")</f>
        <v>Entrepreneurship - Business Tech</v>
      </c>
      <c r="E3958" s="3">
        <f>IFERROR(__xludf.DUMMYFUNCTION("""COMPUTED_VALUE"""),5.0)</f>
        <v>5</v>
      </c>
      <c r="F3958" s="300">
        <v>1.0</v>
      </c>
      <c r="G3958" s="300">
        <v>1.0</v>
      </c>
      <c r="H3958" s="300">
        <v>1.0</v>
      </c>
      <c r="I3958" s="300">
        <v>1.0</v>
      </c>
      <c r="J3958" s="300">
        <v>1.0</v>
      </c>
      <c r="K3958" s="300">
        <v>1.0</v>
      </c>
      <c r="L3958" s="300">
        <v>1.0</v>
      </c>
      <c r="M3958" s="300">
        <v>1.0</v>
      </c>
      <c r="N3958" s="300">
        <v>8.0</v>
      </c>
      <c r="O3958" s="300" t="s">
        <v>991</v>
      </c>
      <c r="P3958" s="300">
        <v>2.0</v>
      </c>
    </row>
    <row r="3959">
      <c r="A3959">
        <f>IFERROR(__xludf.DUMMYFUNCTION("""COMPUTED_VALUE"""),11.0)</f>
        <v>11</v>
      </c>
      <c r="B3959" s="406">
        <f>IFERROR(__xludf.DUMMYFUNCTION("""COMPUTED_VALUE"""),27105.0)</f>
        <v>27105</v>
      </c>
      <c r="C3959" t="str">
        <f>IFERROR(__xludf.DUMMYFUNCTION("""COMPUTED_VALUE"""),"SANCHEZ GONZALEZ, SARA")</f>
        <v>SANCHEZ GONZALEZ, SARA</v>
      </c>
      <c r="D3959" t="str">
        <f>IFERROR(__xludf.DUMMYFUNCTION("""COMPUTED_VALUE"""),"Entrepreneurship - Business Tech")</f>
        <v>Entrepreneurship - Business Tech</v>
      </c>
      <c r="E3959" s="3">
        <f>IFERROR(__xludf.DUMMYFUNCTION("""COMPUTED_VALUE"""),3.0)</f>
        <v>3</v>
      </c>
      <c r="F3959" s="300">
        <v>1.0</v>
      </c>
      <c r="G3959" s="300">
        <v>1.0</v>
      </c>
      <c r="H3959" s="300">
        <v>1.0</v>
      </c>
      <c r="I3959" s="300">
        <v>1.0</v>
      </c>
      <c r="J3959" s="300">
        <v>1.0</v>
      </c>
      <c r="K3959" s="300">
        <v>1.0</v>
      </c>
      <c r="L3959" s="300">
        <v>1.0</v>
      </c>
      <c r="M3959" s="300">
        <v>1.0</v>
      </c>
      <c r="N3959" s="300">
        <v>8.0</v>
      </c>
      <c r="O3959" s="300" t="s">
        <v>992</v>
      </c>
      <c r="P3959" s="300">
        <v>2.0</v>
      </c>
    </row>
    <row r="3960">
      <c r="A3960">
        <f>IFERROR(__xludf.DUMMYFUNCTION("""COMPUTED_VALUE"""),11.0)</f>
        <v>11</v>
      </c>
      <c r="B3960" s="406">
        <f>IFERROR(__xludf.DUMMYFUNCTION("""COMPUTED_VALUE"""),27035.0)</f>
        <v>27035</v>
      </c>
      <c r="C3960" t="str">
        <f>IFERROR(__xludf.DUMMYFUNCTION("""COMPUTED_VALUE"""),"FERNANDEZ CALDERON, PABLO")</f>
        <v>FERNANDEZ CALDERON, PABLO</v>
      </c>
      <c r="D3960" t="str">
        <f>IFERROR(__xludf.DUMMYFUNCTION("""COMPUTED_VALUE"""),"Entrepreneurship - Business Tech")</f>
        <v>Entrepreneurship - Business Tech</v>
      </c>
      <c r="E3960" s="3">
        <f>IFERROR(__xludf.DUMMYFUNCTION("""COMPUTED_VALUE"""),3.0)</f>
        <v>3</v>
      </c>
      <c r="F3960" s="300">
        <v>1.0</v>
      </c>
      <c r="G3960" s="300">
        <v>1.0</v>
      </c>
      <c r="H3960" s="300">
        <v>1.0</v>
      </c>
      <c r="I3960" s="300">
        <v>1.0</v>
      </c>
      <c r="J3960" s="300">
        <v>1.0</v>
      </c>
      <c r="K3960" s="300">
        <v>1.0</v>
      </c>
      <c r="L3960" s="300">
        <v>1.0</v>
      </c>
      <c r="M3960" s="300">
        <v>1.0</v>
      </c>
      <c r="N3960" s="300">
        <v>8.0</v>
      </c>
      <c r="O3960" s="300" t="s">
        <v>992</v>
      </c>
      <c r="P3960" s="300">
        <v>2.0</v>
      </c>
    </row>
    <row r="3961">
      <c r="A3961">
        <f>IFERROR(__xludf.DUMMYFUNCTION("""COMPUTED_VALUE"""),11.0)</f>
        <v>11</v>
      </c>
      <c r="B3961" s="406">
        <f>IFERROR(__xludf.DUMMYFUNCTION("""COMPUTED_VALUE"""),27085.0)</f>
        <v>27085</v>
      </c>
      <c r="C3961" t="str">
        <f>IFERROR(__xludf.DUMMYFUNCTION("""COMPUTED_VALUE"""),"PEREZ ALVARADO, EMILIO")</f>
        <v>PEREZ ALVARADO, EMILIO</v>
      </c>
      <c r="D3961" t="str">
        <f>IFERROR(__xludf.DUMMYFUNCTION("""COMPUTED_VALUE"""),"Entrepreneurship - Business Tech")</f>
        <v>Entrepreneurship - Business Tech</v>
      </c>
      <c r="E3961" s="3">
        <f>IFERROR(__xludf.DUMMYFUNCTION("""COMPUTED_VALUE"""),3.0)</f>
        <v>3</v>
      </c>
      <c r="F3961" s="300">
        <v>1.0</v>
      </c>
      <c r="G3961" s="300">
        <v>1.0</v>
      </c>
      <c r="H3961" s="300">
        <v>1.0</v>
      </c>
      <c r="I3961" s="300">
        <v>1.0</v>
      </c>
      <c r="J3961" s="300">
        <v>1.0</v>
      </c>
      <c r="K3961" s="300">
        <v>1.0</v>
      </c>
      <c r="L3961" s="300">
        <v>1.0</v>
      </c>
      <c r="M3961" s="300">
        <v>1.0</v>
      </c>
      <c r="N3961" s="300">
        <v>8.0</v>
      </c>
      <c r="O3961" s="300" t="s">
        <v>992</v>
      </c>
      <c r="P3961" s="300">
        <v>2.0</v>
      </c>
    </row>
    <row r="3962">
      <c r="A3962">
        <f>IFERROR(__xludf.DUMMYFUNCTION("""COMPUTED_VALUE"""),11.0)</f>
        <v>11</v>
      </c>
      <c r="B3962" s="406">
        <f>IFERROR(__xludf.DUMMYFUNCTION("""COMPUTED_VALUE"""),27054.0)</f>
        <v>27054</v>
      </c>
      <c r="C3962" t="str">
        <f>IFERROR(__xludf.DUMMYFUNCTION("""COMPUTED_VALUE"""),"JARAMILLO PELAEZ, VIOLETA")</f>
        <v>JARAMILLO PELAEZ, VIOLETA</v>
      </c>
      <c r="D3962" t="str">
        <f>IFERROR(__xludf.DUMMYFUNCTION("""COMPUTED_VALUE"""),"AP Drawing")</f>
        <v>AP Drawing</v>
      </c>
      <c r="E3962" s="3">
        <f>IFERROR(__xludf.DUMMYFUNCTION("""COMPUTED_VALUE"""),8.0)</f>
        <v>8</v>
      </c>
      <c r="F3962" s="300">
        <v>1.0</v>
      </c>
      <c r="G3962" s="300">
        <v>1.0</v>
      </c>
      <c r="H3962" s="300">
        <v>1.0</v>
      </c>
      <c r="I3962" s="300">
        <v>1.0</v>
      </c>
      <c r="J3962" s="300">
        <v>1.0</v>
      </c>
      <c r="K3962" s="300">
        <v>1.0</v>
      </c>
      <c r="L3962" s="300">
        <v>1.0</v>
      </c>
      <c r="M3962" s="300">
        <v>1.0</v>
      </c>
      <c r="N3962" s="300">
        <v>8.0</v>
      </c>
      <c r="O3962" s="300" t="s">
        <v>933</v>
      </c>
      <c r="P3962" s="300">
        <v>1.0</v>
      </c>
    </row>
    <row r="3963">
      <c r="A3963">
        <f>IFERROR(__xludf.DUMMYFUNCTION("""COMPUTED_VALUE"""),11.0)</f>
        <v>11</v>
      </c>
      <c r="B3963" s="406">
        <f>IFERROR(__xludf.DUMMYFUNCTION("""COMPUTED_VALUE"""),27053.0)</f>
        <v>27053</v>
      </c>
      <c r="C3963" t="str">
        <f>IFERROR(__xludf.DUMMYFUNCTION("""COMPUTED_VALUE"""),"JARAMILLO PELAEZ, MARTINA")</f>
        <v>JARAMILLO PELAEZ, MARTINA</v>
      </c>
      <c r="D3963" t="str">
        <f>IFERROR(__xludf.DUMMYFUNCTION("""COMPUTED_VALUE"""),"Entrepreneurship - Business Tech")</f>
        <v>Entrepreneurship - Business Tech</v>
      </c>
      <c r="E3963" s="3">
        <f>IFERROR(__xludf.DUMMYFUNCTION("""COMPUTED_VALUE"""),5.0)</f>
        <v>5</v>
      </c>
      <c r="F3963" s="300">
        <v>1.0</v>
      </c>
      <c r="G3963" s="300">
        <v>1.0</v>
      </c>
      <c r="H3963" s="300">
        <v>1.0</v>
      </c>
      <c r="I3963" s="300">
        <v>1.0</v>
      </c>
      <c r="J3963" s="300">
        <v>1.0</v>
      </c>
      <c r="K3963" s="300">
        <v>1.0</v>
      </c>
      <c r="L3963" s="300">
        <v>1.0</v>
      </c>
      <c r="M3963" s="300">
        <v>1.0</v>
      </c>
      <c r="N3963" s="300">
        <v>8.0</v>
      </c>
      <c r="O3963" s="300" t="s">
        <v>991</v>
      </c>
      <c r="P3963" s="300">
        <v>2.0</v>
      </c>
    </row>
    <row r="3964">
      <c r="A3964">
        <f>IFERROR(__xludf.DUMMYFUNCTION("""COMPUTED_VALUE"""),11.0)</f>
        <v>11</v>
      </c>
      <c r="B3964" s="406">
        <f>IFERROR(__xludf.DUMMYFUNCTION("""COMPUTED_VALUE"""),26012.0)</f>
        <v>26012</v>
      </c>
      <c r="C3964" t="str">
        <f>IFERROR(__xludf.DUMMYFUNCTION("""COMPUTED_VALUE"""),"BAENA GIRALDO, AGUSTIN")</f>
        <v>BAENA GIRALDO, AGUSTIN</v>
      </c>
      <c r="D3964" t="str">
        <f>IFERROR(__xludf.DUMMYFUNCTION("""COMPUTED_VALUE"""),"AP Psychology")</f>
        <v>AP Psychology</v>
      </c>
      <c r="E3964" s="3">
        <f>IFERROR(__xludf.DUMMYFUNCTION("""COMPUTED_VALUE"""),4.0)</f>
        <v>4</v>
      </c>
      <c r="F3964" s="300">
        <v>1.0</v>
      </c>
      <c r="G3964" s="300">
        <v>1.0</v>
      </c>
      <c r="H3964" s="300">
        <v>1.0</v>
      </c>
      <c r="I3964" s="300">
        <v>1.0</v>
      </c>
      <c r="J3964" s="300">
        <v>1.0</v>
      </c>
      <c r="K3964" s="300">
        <v>1.0</v>
      </c>
      <c r="L3964" s="300">
        <v>1.0</v>
      </c>
      <c r="M3964" s="300">
        <v>1.0</v>
      </c>
      <c r="N3964" s="300">
        <v>8.0</v>
      </c>
      <c r="O3964" s="300" t="s">
        <v>981</v>
      </c>
      <c r="P3964" s="300">
        <v>2.0</v>
      </c>
    </row>
    <row r="3965">
      <c r="A3965">
        <f>IFERROR(__xludf.DUMMYFUNCTION("""COMPUTED_VALUE"""),11.0)</f>
        <v>11</v>
      </c>
      <c r="B3965" s="406">
        <f>IFERROR(__xludf.DUMMYFUNCTION("""COMPUTED_VALUE"""),27022.0)</f>
        <v>27022</v>
      </c>
      <c r="C3965" t="str">
        <f>IFERROR(__xludf.DUMMYFUNCTION("""COMPUTED_VALUE"""),"CARDONA GIRALDO, MATHIAS")</f>
        <v>CARDONA GIRALDO, MATHIAS</v>
      </c>
      <c r="D3965" t="str">
        <f>IFERROR(__xludf.DUMMYFUNCTION("""COMPUTED_VALUE"""),"Creative Design")</f>
        <v>Creative Design</v>
      </c>
      <c r="E3965" s="3">
        <f>IFERROR(__xludf.DUMMYFUNCTION("""COMPUTED_VALUE"""),4.0)</f>
        <v>4</v>
      </c>
      <c r="F3965" s="300">
        <v>1.0</v>
      </c>
      <c r="G3965" s="300">
        <v>1.0</v>
      </c>
      <c r="H3965" s="300">
        <v>1.0</v>
      </c>
      <c r="I3965" s="300">
        <v>1.0</v>
      </c>
      <c r="J3965" s="300">
        <v>1.0</v>
      </c>
      <c r="K3965" s="300">
        <v>1.0</v>
      </c>
      <c r="L3965" s="300">
        <v>1.0</v>
      </c>
      <c r="M3965" s="300">
        <v>1.0</v>
      </c>
      <c r="N3965" s="300">
        <v>8.0</v>
      </c>
      <c r="O3965" s="300" t="s">
        <v>971</v>
      </c>
      <c r="P3965" s="300">
        <v>1.0</v>
      </c>
    </row>
    <row r="3966">
      <c r="A3966">
        <f>IFERROR(__xludf.DUMMYFUNCTION("""COMPUTED_VALUE"""),11.0)</f>
        <v>11</v>
      </c>
      <c r="B3966" s="406">
        <f>IFERROR(__xludf.DUMMYFUNCTION("""COMPUTED_VALUE"""),27071.0)</f>
        <v>27071</v>
      </c>
      <c r="C3966" t="str">
        <f>IFERROR(__xludf.DUMMYFUNCTION("""COMPUTED_VALUE"""),"MONSALVE LOPERA, FEDERICO")</f>
        <v>MONSALVE LOPERA, FEDERICO</v>
      </c>
      <c r="D3966" t="str">
        <f>IFERROR(__xludf.DUMMYFUNCTION("""COMPUTED_VALUE"""),"AP Psychology")</f>
        <v>AP Psychology</v>
      </c>
      <c r="E3966" s="3">
        <f>IFERROR(__xludf.DUMMYFUNCTION("""COMPUTED_VALUE"""),5.0)</f>
        <v>5</v>
      </c>
      <c r="F3966" s="300">
        <v>1.0</v>
      </c>
      <c r="G3966" s="300">
        <v>1.0</v>
      </c>
      <c r="H3966" s="300">
        <v>1.0</v>
      </c>
      <c r="I3966" s="300">
        <v>1.0</v>
      </c>
      <c r="J3966" s="300">
        <v>1.0</v>
      </c>
      <c r="K3966" s="300">
        <v>1.0</v>
      </c>
      <c r="L3966" s="300">
        <v>1.0</v>
      </c>
      <c r="M3966" s="300">
        <v>1.0</v>
      </c>
      <c r="N3966" s="300">
        <v>8.0</v>
      </c>
      <c r="O3966" s="300" t="s">
        <v>985</v>
      </c>
      <c r="P3966" s="300">
        <v>2.0</v>
      </c>
    </row>
    <row r="3967">
      <c r="A3967">
        <f>IFERROR(__xludf.DUMMYFUNCTION("""COMPUTED_VALUE"""),11.0)</f>
        <v>11</v>
      </c>
      <c r="B3967" s="406">
        <f>IFERROR(__xludf.DUMMYFUNCTION("""COMPUTED_VALUE"""),27006.0)</f>
        <v>27006</v>
      </c>
      <c r="C3967" t="str">
        <f>IFERROR(__xludf.DUMMYFUNCTION("""COMPUTED_VALUE"""),"ARANGO RUBIO, MIGUEL")</f>
        <v>ARANGO RUBIO, MIGUEL</v>
      </c>
      <c r="D3967" t="str">
        <f>IFERROR(__xludf.DUMMYFUNCTION("""COMPUTED_VALUE"""),"AP Economics")</f>
        <v>AP Economics</v>
      </c>
      <c r="E3967" s="3">
        <f>IFERROR(__xludf.DUMMYFUNCTION("""COMPUTED_VALUE"""),5.0)</f>
        <v>5</v>
      </c>
      <c r="F3967" s="300">
        <v>1.0</v>
      </c>
      <c r="G3967" s="300">
        <v>1.0</v>
      </c>
      <c r="H3967" s="300">
        <v>1.0</v>
      </c>
      <c r="I3967" s="300">
        <v>1.0</v>
      </c>
      <c r="J3967" s="300">
        <v>1.0</v>
      </c>
      <c r="K3967" s="300">
        <v>1.0</v>
      </c>
      <c r="L3967" s="300">
        <v>1.0</v>
      </c>
      <c r="M3967" s="300">
        <v>1.0</v>
      </c>
      <c r="N3967" s="300">
        <v>8.0</v>
      </c>
      <c r="O3967" s="300" t="s">
        <v>975</v>
      </c>
      <c r="P3967" s="300">
        <v>4.0</v>
      </c>
    </row>
    <row r="3968">
      <c r="A3968">
        <f>IFERROR(__xludf.DUMMYFUNCTION("""COMPUTED_VALUE"""),11.0)</f>
        <v>11</v>
      </c>
      <c r="B3968" s="406">
        <f>IFERROR(__xludf.DUMMYFUNCTION("""COMPUTED_VALUE"""),27101.0)</f>
        <v>27101</v>
      </c>
      <c r="C3968" t="str">
        <f>IFERROR(__xludf.DUMMYFUNCTION("""COMPUTED_VALUE"""),"RUIZ ROLDAN, PABLO")</f>
        <v>RUIZ ROLDAN, PABLO</v>
      </c>
      <c r="D3968" t="str">
        <f>IFERROR(__xludf.DUMMYFUNCTION("""COMPUTED_VALUE"""),"AP Computer Science Principles")</f>
        <v>AP Computer Science Principles</v>
      </c>
      <c r="E3968" s="3">
        <f>IFERROR(__xludf.DUMMYFUNCTION("""COMPUTED_VALUE"""),3.0)</f>
        <v>3</v>
      </c>
      <c r="F3968" s="300">
        <v>1.0</v>
      </c>
      <c r="G3968" s="300">
        <v>1.0</v>
      </c>
      <c r="H3968" s="300">
        <v>1.0</v>
      </c>
      <c r="I3968" s="300">
        <v>1.0</v>
      </c>
      <c r="J3968" s="300">
        <v>1.0</v>
      </c>
      <c r="K3968" s="300">
        <v>1.0</v>
      </c>
      <c r="L3968" s="300">
        <v>1.0</v>
      </c>
      <c r="M3968" s="300">
        <v>1.0</v>
      </c>
      <c r="N3968" s="300">
        <v>8.0</v>
      </c>
      <c r="O3968" s="300" t="s">
        <v>836</v>
      </c>
      <c r="P3968" s="300">
        <v>1.0</v>
      </c>
    </row>
    <row r="3969">
      <c r="A3969">
        <f>IFERROR(__xludf.DUMMYFUNCTION("""COMPUTED_VALUE"""),11.0)</f>
        <v>11</v>
      </c>
      <c r="B3969" s="406">
        <f>IFERROR(__xludf.DUMMYFUNCTION("""COMPUTED_VALUE"""),27046.0)</f>
        <v>27046</v>
      </c>
      <c r="C3969" t="str">
        <f>IFERROR(__xludf.DUMMYFUNCTION("""COMPUTED_VALUE"""),"GOMEZ TRUJILLO, MIGUEL")</f>
        <v>GOMEZ TRUJILLO, MIGUEL</v>
      </c>
      <c r="D3969" t="str">
        <f>IFERROR(__xludf.DUMMYFUNCTION("""COMPUTED_VALUE"""),"AP Economics")</f>
        <v>AP Economics</v>
      </c>
      <c r="E3969" s="3">
        <f>IFERROR(__xludf.DUMMYFUNCTION("""COMPUTED_VALUE"""),8.0)</f>
        <v>8</v>
      </c>
      <c r="F3969" s="300">
        <v>1.0</v>
      </c>
      <c r="G3969" s="300">
        <v>1.0</v>
      </c>
      <c r="H3969" s="300">
        <v>1.0</v>
      </c>
      <c r="I3969" s="300">
        <v>1.0</v>
      </c>
      <c r="J3969" s="300">
        <v>1.0</v>
      </c>
      <c r="K3969" s="300">
        <v>1.0</v>
      </c>
      <c r="L3969" s="300">
        <v>1.0</v>
      </c>
      <c r="M3969" s="300">
        <v>1.0</v>
      </c>
      <c r="N3969" s="300">
        <v>8.0</v>
      </c>
      <c r="O3969" s="300" t="s">
        <v>980</v>
      </c>
      <c r="P3969" s="300">
        <v>4.0</v>
      </c>
    </row>
    <row r="3970">
      <c r="A3970">
        <f>IFERROR(__xludf.DUMMYFUNCTION("""COMPUTED_VALUE"""),11.0)</f>
        <v>11</v>
      </c>
      <c r="B3970" s="406">
        <f>IFERROR(__xludf.DUMMYFUNCTION("""COMPUTED_VALUE"""),27151.0)</f>
        <v>27151</v>
      </c>
      <c r="C3970" t="str">
        <f>IFERROR(__xludf.DUMMYFUNCTION("""COMPUTED_VALUE"""),"RANNI, FABRIZIO")</f>
        <v>RANNI, FABRIZIO</v>
      </c>
      <c r="D3970" t="str">
        <f>IFERROR(__xludf.DUMMYFUNCTION("""COMPUTED_VALUE"""),"AP Computer Science Principles")</f>
        <v>AP Computer Science Principles</v>
      </c>
      <c r="E3970" s="3">
        <f>IFERROR(__xludf.DUMMYFUNCTION("""COMPUTED_VALUE"""),3.0)</f>
        <v>3</v>
      </c>
      <c r="F3970" s="300">
        <v>1.0</v>
      </c>
      <c r="G3970" s="300">
        <v>1.0</v>
      </c>
      <c r="H3970" s="300">
        <v>1.0</v>
      </c>
      <c r="I3970" s="300">
        <v>1.0</v>
      </c>
      <c r="J3970" s="300">
        <v>1.0</v>
      </c>
      <c r="K3970" s="300">
        <v>1.0</v>
      </c>
      <c r="L3970" s="300">
        <v>1.0</v>
      </c>
      <c r="M3970" s="300">
        <v>1.0</v>
      </c>
      <c r="N3970" s="300">
        <v>8.0</v>
      </c>
      <c r="O3970" s="300" t="s">
        <v>836</v>
      </c>
      <c r="P3970" s="300">
        <v>1.0</v>
      </c>
    </row>
    <row r="3971">
      <c r="A3971">
        <f>IFERROR(__xludf.DUMMYFUNCTION("""COMPUTED_VALUE"""),11.0)</f>
        <v>11</v>
      </c>
      <c r="B3971" s="406">
        <f>IFERROR(__xludf.DUMMYFUNCTION("""COMPUTED_VALUE"""),27081.0)</f>
        <v>27081</v>
      </c>
      <c r="C3971" t="str">
        <f>IFERROR(__xludf.DUMMYFUNCTION("""COMPUTED_VALUE"""),"OSPINA ESCOBAR, GABRIEL")</f>
        <v>OSPINA ESCOBAR, GABRIEL</v>
      </c>
      <c r="D3971" t="str">
        <f>IFERROR(__xludf.DUMMYFUNCTION("""COMPUTED_VALUE"""),"Financial Math")</f>
        <v>Financial Math</v>
      </c>
      <c r="E3971" s="3">
        <f>IFERROR(__xludf.DUMMYFUNCTION("""COMPUTED_VALUE"""),4.0)</f>
        <v>4</v>
      </c>
      <c r="F3971" s="300">
        <v>1.0</v>
      </c>
      <c r="G3971" s="300">
        <v>1.0</v>
      </c>
      <c r="H3971" s="300">
        <v>1.0</v>
      </c>
      <c r="I3971" s="300">
        <v>1.0</v>
      </c>
      <c r="J3971" s="300">
        <v>1.0</v>
      </c>
      <c r="K3971" s="300">
        <v>1.0</v>
      </c>
      <c r="L3971" s="300">
        <v>1.0</v>
      </c>
      <c r="M3971" s="300">
        <v>1.0</v>
      </c>
      <c r="N3971" s="300">
        <v>8.0</v>
      </c>
      <c r="O3971" s="300" t="s">
        <v>865</v>
      </c>
      <c r="P3971" s="300">
        <v>3.0</v>
      </c>
    </row>
    <row r="3972">
      <c r="A3972">
        <f>IFERROR(__xludf.DUMMYFUNCTION("""COMPUTED_VALUE"""),11.0)</f>
        <v>11</v>
      </c>
      <c r="B3972" s="406">
        <f>IFERROR(__xludf.DUMMYFUNCTION("""COMPUTED_VALUE"""),26154.0)</f>
        <v>26154</v>
      </c>
      <c r="C3972" t="str">
        <f>IFERROR(__xludf.DUMMYFUNCTION("""COMPUTED_VALUE"""),"GARRIDO TAMAYO, NICOLAS")</f>
        <v>GARRIDO TAMAYO, NICOLAS</v>
      </c>
      <c r="D3972" t="str">
        <f>IFERROR(__xludf.DUMMYFUNCTION("""COMPUTED_VALUE"""),"AP World History")</f>
        <v>AP World History</v>
      </c>
      <c r="E3972" s="3">
        <f>IFERROR(__xludf.DUMMYFUNCTION("""COMPUTED_VALUE"""),6.0)</f>
        <v>6</v>
      </c>
      <c r="F3972" s="300">
        <v>1.0</v>
      </c>
      <c r="G3972" s="300">
        <v>1.0</v>
      </c>
      <c r="H3972" s="300">
        <v>1.0</v>
      </c>
      <c r="I3972" s="300">
        <v>1.0</v>
      </c>
      <c r="J3972" s="300">
        <v>1.0</v>
      </c>
      <c r="K3972" s="300">
        <v>1.0</v>
      </c>
      <c r="L3972" s="300">
        <v>1.0</v>
      </c>
      <c r="M3972" s="300">
        <v>1.0</v>
      </c>
      <c r="N3972" s="300">
        <v>8.0</v>
      </c>
      <c r="O3972" s="300" t="s">
        <v>973</v>
      </c>
      <c r="P3972" s="300">
        <v>2.0</v>
      </c>
    </row>
    <row r="3973">
      <c r="A3973">
        <f>IFERROR(__xludf.DUMMYFUNCTION("""COMPUTED_VALUE"""),11.0)</f>
        <v>11</v>
      </c>
      <c r="B3973" s="406">
        <f>IFERROR(__xludf.DUMMYFUNCTION("""COMPUTED_VALUE"""),27040.0)</f>
        <v>27040</v>
      </c>
      <c r="C3973" t="str">
        <f>IFERROR(__xludf.DUMMYFUNCTION("""COMPUTED_VALUE"""),"GALLON MUÑOZ, VIOLETA")</f>
        <v>GALLON MUÑOZ, VIOLETA</v>
      </c>
      <c r="D3973" t="str">
        <f>IFERROR(__xludf.DUMMYFUNCTION("""COMPUTED_VALUE"""),"AP Economics")</f>
        <v>AP Economics</v>
      </c>
      <c r="E3973" s="3">
        <f>IFERROR(__xludf.DUMMYFUNCTION("""COMPUTED_VALUE"""),7.0)</f>
        <v>7</v>
      </c>
      <c r="F3973" s="300">
        <v>1.0</v>
      </c>
      <c r="G3973" s="300">
        <v>1.0</v>
      </c>
      <c r="H3973" s="300">
        <v>1.0</v>
      </c>
      <c r="I3973" s="300">
        <v>1.0</v>
      </c>
      <c r="J3973" s="300">
        <v>1.0</v>
      </c>
      <c r="K3973" s="300">
        <v>1.0</v>
      </c>
      <c r="L3973" s="300">
        <v>1.0</v>
      </c>
      <c r="M3973" s="300">
        <v>1.0</v>
      </c>
      <c r="N3973" s="300">
        <v>8.0</v>
      </c>
      <c r="O3973" s="300" t="s">
        <v>983</v>
      </c>
      <c r="P3973" s="300">
        <v>4.0</v>
      </c>
    </row>
    <row r="3974">
      <c r="A3974">
        <f>IFERROR(__xludf.DUMMYFUNCTION("""COMPUTED_VALUE"""),11.0)</f>
        <v>11</v>
      </c>
      <c r="B3974" s="406">
        <f>IFERROR(__xludf.DUMMYFUNCTION("""COMPUTED_VALUE"""),27093.0)</f>
        <v>27093</v>
      </c>
      <c r="C3974" t="str">
        <f>IFERROR(__xludf.DUMMYFUNCTION("""COMPUTED_VALUE"""),"RADA ECHANDIA, CAMILA")</f>
        <v>RADA ECHANDIA, CAMILA</v>
      </c>
      <c r="D3974" t="str">
        <f>IFERROR(__xludf.DUMMYFUNCTION("""COMPUTED_VALUE"""),"AP 3-D Art and Design")</f>
        <v>AP 3-D Art and Design</v>
      </c>
      <c r="E3974" s="3">
        <f>IFERROR(__xludf.DUMMYFUNCTION("""COMPUTED_VALUE"""),6.0)</f>
        <v>6</v>
      </c>
      <c r="F3974" s="300">
        <v>1.0</v>
      </c>
      <c r="G3974" s="300">
        <v>1.0</v>
      </c>
      <c r="H3974" s="300">
        <v>1.0</v>
      </c>
      <c r="I3974" s="300">
        <v>1.0</v>
      </c>
      <c r="J3974" s="300">
        <v>1.0</v>
      </c>
      <c r="K3974" s="300">
        <v>1.0</v>
      </c>
      <c r="L3974" s="300">
        <v>1.0</v>
      </c>
      <c r="M3974" s="300">
        <v>1.0</v>
      </c>
      <c r="N3974" s="300">
        <v>8.0</v>
      </c>
      <c r="O3974" s="300" t="s">
        <v>949</v>
      </c>
      <c r="P3974" s="300">
        <v>1.0</v>
      </c>
    </row>
    <row r="3975">
      <c r="A3975">
        <f>IFERROR(__xludf.DUMMYFUNCTION("""COMPUTED_VALUE"""),11.0)</f>
        <v>11</v>
      </c>
      <c r="B3975" s="406">
        <f>IFERROR(__xludf.DUMMYFUNCTION("""COMPUTED_VALUE"""),27112.0)</f>
        <v>27112</v>
      </c>
      <c r="C3975" t="str">
        <f>IFERROR(__xludf.DUMMYFUNCTION("""COMPUTED_VALUE"""),"TOBON RESTREPO, NICOLAS")</f>
        <v>TOBON RESTREPO, NICOLAS</v>
      </c>
      <c r="D3975" t="str">
        <f>IFERROR(__xludf.DUMMYFUNCTION("""COMPUTED_VALUE"""),"AP Biology")</f>
        <v>AP Biology</v>
      </c>
      <c r="E3975" s="3">
        <f>IFERROR(__xludf.DUMMYFUNCTION("""COMPUTED_VALUE"""),5.0)</f>
        <v>5</v>
      </c>
      <c r="F3975" s="300">
        <v>1.0</v>
      </c>
      <c r="G3975" s="300">
        <v>1.0</v>
      </c>
      <c r="H3975" s="300">
        <v>1.0</v>
      </c>
      <c r="I3975" s="300">
        <v>1.0</v>
      </c>
      <c r="J3975" s="300">
        <v>1.0</v>
      </c>
      <c r="K3975" s="300">
        <v>1.0</v>
      </c>
      <c r="L3975" s="300">
        <v>1.0</v>
      </c>
      <c r="M3975" s="300">
        <v>1.0</v>
      </c>
      <c r="N3975" s="300">
        <v>8.0</v>
      </c>
      <c r="O3975" s="300" t="s">
        <v>892</v>
      </c>
      <c r="P3975" s="300">
        <v>1.0</v>
      </c>
    </row>
    <row r="3976">
      <c r="A3976">
        <f>IFERROR(__xludf.DUMMYFUNCTION("""COMPUTED_VALUE"""),11.0)</f>
        <v>11</v>
      </c>
      <c r="B3976" s="406">
        <f>IFERROR(__xludf.DUMMYFUNCTION("""COMPUTED_VALUE"""),27083.0)</f>
        <v>27083</v>
      </c>
      <c r="C3976" t="str">
        <f>IFERROR(__xludf.DUMMYFUNCTION("""COMPUTED_VALUE"""),"PALACIO RUIZ, MATIAS")</f>
        <v>PALACIO RUIZ, MATIAS</v>
      </c>
      <c r="D3976" t="str">
        <f>IFERROR(__xludf.DUMMYFUNCTION("""COMPUTED_VALUE"""),"AP Economics")</f>
        <v>AP Economics</v>
      </c>
      <c r="E3976" s="3">
        <f>IFERROR(__xludf.DUMMYFUNCTION("""COMPUTED_VALUE"""),8.0)</f>
        <v>8</v>
      </c>
      <c r="F3976" s="300">
        <v>1.0</v>
      </c>
      <c r="G3976" s="300">
        <v>1.0</v>
      </c>
      <c r="H3976" s="300">
        <v>1.0</v>
      </c>
      <c r="I3976" s="300">
        <v>1.0</v>
      </c>
      <c r="J3976" s="300">
        <v>1.0</v>
      </c>
      <c r="K3976" s="300">
        <v>1.0</v>
      </c>
      <c r="L3976" s="300">
        <v>1.0</v>
      </c>
      <c r="M3976" s="300">
        <v>1.0</v>
      </c>
      <c r="N3976" s="300">
        <v>8.0</v>
      </c>
      <c r="O3976" s="300" t="s">
        <v>980</v>
      </c>
      <c r="P3976" s="300">
        <v>4.0</v>
      </c>
    </row>
    <row r="3977">
      <c r="A3977">
        <f>IFERROR(__xludf.DUMMYFUNCTION("""COMPUTED_VALUE"""),11.0)</f>
        <v>11</v>
      </c>
      <c r="B3977" s="406">
        <f>IFERROR(__xludf.DUMMYFUNCTION("""COMPUTED_VALUE"""),26041.0)</f>
        <v>26041</v>
      </c>
      <c r="C3977" t="str">
        <f>IFERROR(__xludf.DUMMYFUNCTION("""COMPUTED_VALUE"""),"GOMEZ VASQUEZ, SOFIA")</f>
        <v>GOMEZ VASQUEZ, SOFIA</v>
      </c>
      <c r="D3977" t="str">
        <f>IFERROR(__xludf.DUMMYFUNCTION("""COMPUTED_VALUE"""),"Entrepreneurship - Business Tech")</f>
        <v>Entrepreneurship - Business Tech</v>
      </c>
      <c r="E3977" s="3">
        <f>IFERROR(__xludf.DUMMYFUNCTION("""COMPUTED_VALUE"""),3.0)</f>
        <v>3</v>
      </c>
      <c r="F3977" s="300">
        <v>1.0</v>
      </c>
      <c r="G3977" s="300">
        <v>1.0</v>
      </c>
      <c r="H3977" s="300">
        <v>1.0</v>
      </c>
      <c r="I3977" s="300">
        <v>1.0</v>
      </c>
      <c r="J3977" s="300">
        <v>1.0</v>
      </c>
      <c r="K3977" s="300">
        <v>1.0</v>
      </c>
      <c r="L3977" s="300">
        <v>1.0</v>
      </c>
      <c r="M3977" s="300">
        <v>1.0</v>
      </c>
      <c r="N3977" s="300">
        <v>8.0</v>
      </c>
      <c r="O3977" s="300" t="s">
        <v>992</v>
      </c>
      <c r="P3977" s="300">
        <v>2.0</v>
      </c>
    </row>
    <row r="3978">
      <c r="A3978">
        <f>IFERROR(__xludf.DUMMYFUNCTION("""COMPUTED_VALUE"""),11.0)</f>
        <v>11</v>
      </c>
      <c r="B3978" s="406">
        <f>IFERROR(__xludf.DUMMYFUNCTION("""COMPUTED_VALUE"""),27092.0)</f>
        <v>27092</v>
      </c>
      <c r="C3978" t="str">
        <f>IFERROR(__xludf.DUMMYFUNCTION("""COMPUTED_VALUE"""),"PULGARIN HUERTAS, ELOISA")</f>
        <v>PULGARIN HUERTAS, ELOISA</v>
      </c>
      <c r="D3978" t="str">
        <f>IFERROR(__xludf.DUMMYFUNCTION("""COMPUTED_VALUE"""),"Creative Design")</f>
        <v>Creative Design</v>
      </c>
      <c r="E3978" s="3">
        <f>IFERROR(__xludf.DUMMYFUNCTION("""COMPUTED_VALUE"""),4.0)</f>
        <v>4</v>
      </c>
      <c r="F3978" s="300">
        <v>1.0</v>
      </c>
      <c r="G3978" s="300">
        <v>1.0</v>
      </c>
      <c r="H3978" s="300">
        <v>1.0</v>
      </c>
      <c r="I3978" s="300">
        <v>1.0</v>
      </c>
      <c r="J3978" s="300">
        <v>1.0</v>
      </c>
      <c r="K3978" s="300">
        <v>1.0</v>
      </c>
      <c r="L3978" s="300">
        <v>1.0</v>
      </c>
      <c r="M3978" s="300">
        <v>1.0</v>
      </c>
      <c r="N3978" s="300">
        <v>8.0</v>
      </c>
      <c r="O3978" s="300" t="s">
        <v>971</v>
      </c>
      <c r="P3978" s="300">
        <v>1.0</v>
      </c>
    </row>
    <row r="3979">
      <c r="A3979">
        <f>IFERROR(__xludf.DUMMYFUNCTION("""COMPUTED_VALUE"""),11.0)</f>
        <v>11</v>
      </c>
      <c r="B3979" s="406">
        <f>IFERROR(__xludf.DUMMYFUNCTION("""COMPUTED_VALUE"""),27055.0)</f>
        <v>27055</v>
      </c>
      <c r="C3979" t="str">
        <f>IFERROR(__xludf.DUMMYFUNCTION("""COMPUTED_VALUE"""),"JARAMILLO URIBE, EMILIANO")</f>
        <v>JARAMILLO URIBE, EMILIANO</v>
      </c>
      <c r="D3979" t="str">
        <f>IFERROR(__xludf.DUMMYFUNCTION("""COMPUTED_VALUE"""),"Entrepreneurship - Business Tech")</f>
        <v>Entrepreneurship - Business Tech</v>
      </c>
      <c r="E3979" s="3">
        <f>IFERROR(__xludf.DUMMYFUNCTION("""COMPUTED_VALUE"""),3.0)</f>
        <v>3</v>
      </c>
      <c r="F3979" s="300">
        <v>1.0</v>
      </c>
      <c r="G3979" s="300">
        <v>1.0</v>
      </c>
      <c r="H3979" s="300">
        <v>1.0</v>
      </c>
      <c r="I3979" s="300">
        <v>1.0</v>
      </c>
      <c r="J3979" s="300">
        <v>1.0</v>
      </c>
      <c r="K3979" s="300">
        <v>1.0</v>
      </c>
      <c r="L3979" s="300">
        <v>1.0</v>
      </c>
      <c r="M3979" s="300">
        <v>1.0</v>
      </c>
      <c r="N3979" s="300">
        <v>8.0</v>
      </c>
      <c r="O3979" s="300" t="s">
        <v>992</v>
      </c>
      <c r="P3979" s="300">
        <v>2.0</v>
      </c>
    </row>
    <row r="3980">
      <c r="A3980">
        <f>IFERROR(__xludf.DUMMYFUNCTION("""COMPUTED_VALUE"""),11.0)</f>
        <v>11</v>
      </c>
      <c r="B3980">
        <f>IFERROR(__xludf.DUMMYFUNCTION("""COMPUTED_VALUE"""),27162.0)</f>
        <v>27162</v>
      </c>
      <c r="C3980" t="str">
        <f>IFERROR(__xludf.DUMMYFUNCTION("""COMPUTED_VALUE"""),"SUTTON ROITER, JACQUES")</f>
        <v>SUTTON ROITER, JACQUES</v>
      </c>
      <c r="D3980" t="str">
        <f>IFERROR(__xludf.DUMMYFUNCTION("""COMPUTED_VALUE"""),"AP Psychology")</f>
        <v>AP Psychology</v>
      </c>
      <c r="E3980" s="3">
        <f>IFERROR(__xludf.DUMMYFUNCTION("""COMPUTED_VALUE"""),5.0)</f>
        <v>5</v>
      </c>
      <c r="F3980" s="300">
        <v>1.0</v>
      </c>
      <c r="G3980" s="300">
        <v>1.0</v>
      </c>
      <c r="H3980" s="300">
        <v>1.0</v>
      </c>
      <c r="I3980" s="300">
        <v>1.0</v>
      </c>
      <c r="J3980" s="300">
        <v>1.0</v>
      </c>
      <c r="K3980" s="300">
        <v>1.0</v>
      </c>
      <c r="L3980" s="300">
        <v>1.0</v>
      </c>
      <c r="M3980" s="300">
        <v>1.0</v>
      </c>
      <c r="N3980" s="300">
        <v>8.0</v>
      </c>
      <c r="O3980" s="300" t="s">
        <v>985</v>
      </c>
      <c r="P3980" s="300">
        <v>2.0</v>
      </c>
    </row>
    <row r="3981">
      <c r="A3981">
        <f>IFERROR(__xludf.DUMMYFUNCTION("""COMPUTED_VALUE"""),11.0)</f>
        <v>11</v>
      </c>
      <c r="B3981">
        <f>IFERROR(__xludf.DUMMYFUNCTION("""COMPUTED_VALUE"""),27090.0)</f>
        <v>27090</v>
      </c>
      <c r="C3981" t="str">
        <f>IFERROR(__xludf.DUMMYFUNCTION("""COMPUTED_VALUE"""),"PERTUZ MUNERA, LUCIANA")</f>
        <v>PERTUZ MUNERA, LUCIANA</v>
      </c>
      <c r="D3981" t="str">
        <f>IFERROR(__xludf.DUMMYFUNCTION("""COMPUTED_VALUE"""),"Entrepreneurship - Business Tech")</f>
        <v>Entrepreneurship - Business Tech</v>
      </c>
      <c r="E3981" s="3">
        <f>IFERROR(__xludf.DUMMYFUNCTION("""COMPUTED_VALUE"""),5.0)</f>
        <v>5</v>
      </c>
      <c r="F3981" s="300">
        <v>1.0</v>
      </c>
      <c r="G3981" s="300">
        <v>1.0</v>
      </c>
      <c r="H3981" s="300">
        <v>1.0</v>
      </c>
      <c r="I3981" s="300">
        <v>1.0</v>
      </c>
      <c r="J3981" s="300">
        <v>1.0</v>
      </c>
      <c r="K3981" s="300">
        <v>1.0</v>
      </c>
      <c r="L3981" s="300">
        <v>1.0</v>
      </c>
      <c r="M3981" s="300">
        <v>1.0</v>
      </c>
      <c r="N3981" s="300">
        <v>8.0</v>
      </c>
      <c r="O3981" s="300" t="s">
        <v>991</v>
      </c>
      <c r="P3981" s="300">
        <v>2.0</v>
      </c>
    </row>
    <row r="3982">
      <c r="A3982">
        <f>IFERROR(__xludf.DUMMYFUNCTION("""COMPUTED_VALUE"""),11.0)</f>
        <v>11</v>
      </c>
      <c r="B3982">
        <f>IFERROR(__xludf.DUMMYFUNCTION("""COMPUTED_VALUE"""),27120.0)</f>
        <v>27120</v>
      </c>
      <c r="C3982" t="str">
        <f>IFERROR(__xludf.DUMMYFUNCTION("""COMPUTED_VALUE"""),"VARGAS ARBOLEDA, AMALIA")</f>
        <v>VARGAS ARBOLEDA, AMALIA</v>
      </c>
      <c r="D3982" t="str">
        <f>IFERROR(__xludf.DUMMYFUNCTION("""COMPUTED_VALUE"""),"AP Economics")</f>
        <v>AP Economics</v>
      </c>
      <c r="E3982" s="3">
        <f>IFERROR(__xludf.DUMMYFUNCTION("""COMPUTED_VALUE"""),8.0)</f>
        <v>8</v>
      </c>
      <c r="F3982" s="300">
        <v>1.0</v>
      </c>
      <c r="G3982" s="300">
        <v>1.0</v>
      </c>
      <c r="H3982" s="300">
        <v>1.0</v>
      </c>
      <c r="I3982" s="300">
        <v>1.0</v>
      </c>
      <c r="J3982" s="300">
        <v>1.0</v>
      </c>
      <c r="K3982" s="300">
        <v>1.0</v>
      </c>
      <c r="L3982" s="300">
        <v>1.0</v>
      </c>
      <c r="M3982" s="300">
        <v>1.0</v>
      </c>
      <c r="N3982" s="300">
        <v>8.0</v>
      </c>
      <c r="O3982" s="300" t="s">
        <v>980</v>
      </c>
      <c r="P3982" s="300">
        <v>4.0</v>
      </c>
    </row>
    <row r="3983">
      <c r="A3983">
        <f>IFERROR(__xludf.DUMMYFUNCTION("""COMPUTED_VALUE"""),11.0)</f>
        <v>11</v>
      </c>
      <c r="B3983">
        <f>IFERROR(__xludf.DUMMYFUNCTION("""COMPUTED_VALUE"""),27103.0)</f>
        <v>27103</v>
      </c>
      <c r="C3983" t="str">
        <f>IFERROR(__xludf.DUMMYFUNCTION("""COMPUTED_VALUE"""),"SANCHEZ DIAZ, TOMAS")</f>
        <v>SANCHEZ DIAZ, TOMAS</v>
      </c>
      <c r="D3983" t="str">
        <f>IFERROR(__xludf.DUMMYFUNCTION("""COMPUTED_VALUE"""),"AP Statistics")</f>
        <v>AP Statistics</v>
      </c>
      <c r="E3983" s="3">
        <f>IFERROR(__xludf.DUMMYFUNCTION("""COMPUTED_VALUE"""),7.0)</f>
        <v>7</v>
      </c>
      <c r="F3983" s="300">
        <v>1.0</v>
      </c>
      <c r="G3983" s="300">
        <v>1.0</v>
      </c>
      <c r="H3983" s="300">
        <v>1.0</v>
      </c>
      <c r="I3983" s="300">
        <v>1.0</v>
      </c>
      <c r="J3983" s="300">
        <v>1.0</v>
      </c>
      <c r="K3983" s="300">
        <v>1.0</v>
      </c>
      <c r="L3983" s="300">
        <v>1.0</v>
      </c>
      <c r="M3983" s="300">
        <v>1.0</v>
      </c>
      <c r="N3983" s="300">
        <v>8.0</v>
      </c>
      <c r="O3983" s="300" t="s">
        <v>860</v>
      </c>
      <c r="P3983" s="300">
        <v>1.0</v>
      </c>
    </row>
    <row r="3984">
      <c r="A3984">
        <f>IFERROR(__xludf.DUMMYFUNCTION("""COMPUTED_VALUE"""),11.0)</f>
        <v>11</v>
      </c>
      <c r="B3984">
        <f>IFERROR(__xludf.DUMMYFUNCTION("""COMPUTED_VALUE"""),27003.0)</f>
        <v>27003</v>
      </c>
      <c r="C3984" t="str">
        <f>IFERROR(__xludf.DUMMYFUNCTION("""COMPUTED_VALUE"""),"ANGEL GIRALDO, DANIELA")</f>
        <v>ANGEL GIRALDO, DANIELA</v>
      </c>
      <c r="D3984" t="str">
        <f>IFERROR(__xludf.DUMMYFUNCTION("""COMPUTED_VALUE"""),"Entrepreneurship - Business Tech")</f>
        <v>Entrepreneurship - Business Tech</v>
      </c>
      <c r="E3984" s="3">
        <f>IFERROR(__xludf.DUMMYFUNCTION("""COMPUTED_VALUE"""),3.0)</f>
        <v>3</v>
      </c>
      <c r="F3984" s="300">
        <v>1.0</v>
      </c>
      <c r="G3984" s="300">
        <v>1.0</v>
      </c>
      <c r="H3984" s="300">
        <v>1.0</v>
      </c>
      <c r="I3984" s="300">
        <v>1.0</v>
      </c>
      <c r="J3984" s="300">
        <v>1.0</v>
      </c>
      <c r="K3984" s="300">
        <v>1.0</v>
      </c>
      <c r="L3984" s="300">
        <v>1.0</v>
      </c>
      <c r="M3984" s="300">
        <v>1.0</v>
      </c>
      <c r="N3984" s="300">
        <v>8.0</v>
      </c>
      <c r="O3984" s="300" t="s">
        <v>992</v>
      </c>
      <c r="P3984" s="300">
        <v>2.0</v>
      </c>
    </row>
    <row r="3985">
      <c r="A3985">
        <f>IFERROR(__xludf.DUMMYFUNCTION("""COMPUTED_VALUE"""),11.0)</f>
        <v>11</v>
      </c>
      <c r="B3985">
        <f>IFERROR(__xludf.DUMMYFUNCTION("""COMPUTED_VALUE"""),27061.0)</f>
        <v>27061</v>
      </c>
      <c r="C3985" t="str">
        <f>IFERROR(__xludf.DUMMYFUNCTION("""COMPUTED_VALUE"""),"MANTILLA LONDOÑO, EMILIO")</f>
        <v>MANTILLA LONDOÑO, EMILIO</v>
      </c>
      <c r="D3985" t="str">
        <f>IFERROR(__xludf.DUMMYFUNCTION("""COMPUTED_VALUE"""),"Entrepreneurship - Business Tech")</f>
        <v>Entrepreneurship - Business Tech</v>
      </c>
      <c r="E3985" s="3">
        <f>IFERROR(__xludf.DUMMYFUNCTION("""COMPUTED_VALUE"""),5.0)</f>
        <v>5</v>
      </c>
      <c r="F3985" s="300">
        <v>1.0</v>
      </c>
      <c r="G3985" s="300">
        <v>1.0</v>
      </c>
      <c r="H3985" s="300">
        <v>1.0</v>
      </c>
      <c r="I3985" s="300">
        <v>1.0</v>
      </c>
      <c r="J3985" s="300">
        <v>1.0</v>
      </c>
      <c r="K3985" s="300">
        <v>1.0</v>
      </c>
      <c r="L3985" s="300">
        <v>1.0</v>
      </c>
      <c r="M3985" s="300">
        <v>1.0</v>
      </c>
      <c r="N3985" s="300">
        <v>8.0</v>
      </c>
      <c r="O3985" s="300" t="s">
        <v>991</v>
      </c>
      <c r="P3985" s="300">
        <v>2.0</v>
      </c>
    </row>
    <row r="3986">
      <c r="A3986">
        <f>IFERROR(__xludf.DUMMYFUNCTION("""COMPUTED_VALUE"""),11.0)</f>
        <v>11</v>
      </c>
      <c r="B3986">
        <f>IFERROR(__xludf.DUMMYFUNCTION("""COMPUTED_VALUE"""),27028.0)</f>
        <v>27028</v>
      </c>
      <c r="C3986" t="str">
        <f>IFERROR(__xludf.DUMMYFUNCTION("""COMPUTED_VALUE"""),"DUQUE LUENGAS, CAROLINA")</f>
        <v>DUQUE LUENGAS, CAROLINA</v>
      </c>
      <c r="D3986" t="str">
        <f>IFERROR(__xludf.DUMMYFUNCTION("""COMPUTED_VALUE"""),"AP Economics")</f>
        <v>AP Economics</v>
      </c>
      <c r="E3986" s="3">
        <f>IFERROR(__xludf.DUMMYFUNCTION("""COMPUTED_VALUE"""),7.0)</f>
        <v>7</v>
      </c>
      <c r="F3986" s="300">
        <v>1.0</v>
      </c>
      <c r="G3986" s="300">
        <v>1.0</v>
      </c>
      <c r="H3986" s="300">
        <v>1.0</v>
      </c>
      <c r="I3986" s="300">
        <v>1.0</v>
      </c>
      <c r="J3986" s="300">
        <v>1.0</v>
      </c>
      <c r="K3986" s="300">
        <v>1.0</v>
      </c>
      <c r="L3986" s="300">
        <v>1.0</v>
      </c>
      <c r="M3986" s="300">
        <v>1.0</v>
      </c>
      <c r="N3986" s="300">
        <v>8.0</v>
      </c>
      <c r="O3986" s="300" t="s">
        <v>983</v>
      </c>
      <c r="P3986" s="300">
        <v>4.0</v>
      </c>
    </row>
    <row r="3987">
      <c r="A3987">
        <f>IFERROR(__xludf.DUMMYFUNCTION("""COMPUTED_VALUE"""),11.0)</f>
        <v>11</v>
      </c>
      <c r="B3987">
        <f>IFERROR(__xludf.DUMMYFUNCTION("""COMPUTED_VALUE"""),27097.0)</f>
        <v>27097</v>
      </c>
      <c r="C3987" t="str">
        <f>IFERROR(__xludf.DUMMYFUNCTION("""COMPUTED_VALUE"""),"ROBLEDO BETANCOURTH, JUAN FELIPE")</f>
        <v>ROBLEDO BETANCOURTH, JUAN FELIPE</v>
      </c>
      <c r="D3987" t="str">
        <f>IFERROR(__xludf.DUMMYFUNCTION("""COMPUTED_VALUE"""),"Entrepreneurship - Business Tech")</f>
        <v>Entrepreneurship - Business Tech</v>
      </c>
      <c r="E3987" s="3">
        <f>IFERROR(__xludf.DUMMYFUNCTION("""COMPUTED_VALUE"""),5.0)</f>
        <v>5</v>
      </c>
      <c r="F3987" s="300">
        <v>1.0</v>
      </c>
      <c r="G3987" s="300">
        <v>1.0</v>
      </c>
      <c r="H3987" s="300">
        <v>1.0</v>
      </c>
      <c r="I3987" s="300">
        <v>1.0</v>
      </c>
      <c r="J3987" s="300">
        <v>1.0</v>
      </c>
      <c r="K3987" s="300">
        <v>1.0</v>
      </c>
      <c r="L3987" s="300">
        <v>1.0</v>
      </c>
      <c r="M3987" s="300">
        <v>1.0</v>
      </c>
      <c r="N3987" s="300">
        <v>8.0</v>
      </c>
      <c r="O3987" s="300" t="s">
        <v>991</v>
      </c>
      <c r="P3987" s="300">
        <v>2.0</v>
      </c>
    </row>
    <row r="3988">
      <c r="A3988">
        <f>IFERROR(__xludf.DUMMYFUNCTION("""COMPUTED_VALUE"""),11.0)</f>
        <v>11</v>
      </c>
      <c r="B3988">
        <f>IFERROR(__xludf.DUMMYFUNCTION("""COMPUTED_VALUE"""),27116.0)</f>
        <v>27116</v>
      </c>
      <c r="C3988" t="str">
        <f>IFERROR(__xludf.DUMMYFUNCTION("""COMPUTED_VALUE"""),"TRUJILLO CHICA, MANUELA")</f>
        <v>TRUJILLO CHICA, MANUELA</v>
      </c>
      <c r="D3988" t="str">
        <f>IFERROR(__xludf.DUMMYFUNCTION("""COMPUTED_VALUE"""),"AP Computer Science Principles")</f>
        <v>AP Computer Science Principles</v>
      </c>
      <c r="E3988" s="3">
        <f>IFERROR(__xludf.DUMMYFUNCTION("""COMPUTED_VALUE"""),3.0)</f>
        <v>3</v>
      </c>
      <c r="F3988" s="300">
        <v>1.0</v>
      </c>
      <c r="G3988" s="300">
        <v>1.0</v>
      </c>
      <c r="H3988" s="300">
        <v>1.0</v>
      </c>
      <c r="I3988" s="300">
        <v>1.0</v>
      </c>
      <c r="J3988" s="300">
        <v>1.0</v>
      </c>
      <c r="K3988" s="300">
        <v>1.0</v>
      </c>
      <c r="L3988" s="300">
        <v>1.0</v>
      </c>
      <c r="M3988" s="300">
        <v>1.0</v>
      </c>
      <c r="N3988" s="300">
        <v>8.0</v>
      </c>
      <c r="O3988" s="300" t="s">
        <v>836</v>
      </c>
      <c r="P3988" s="300">
        <v>1.0</v>
      </c>
    </row>
    <row r="3989">
      <c r="A3989">
        <f>IFERROR(__xludf.DUMMYFUNCTION("""COMPUTED_VALUE"""),11.0)</f>
        <v>11</v>
      </c>
      <c r="B3989">
        <f>IFERROR(__xludf.DUMMYFUNCTION("""COMPUTED_VALUE"""),27019.0)</f>
        <v>27019</v>
      </c>
      <c r="C3989" t="str">
        <f>IFERROR(__xludf.DUMMYFUNCTION("""COMPUTED_VALUE"""),"BOTERO ESCOBAR, PEDRO")</f>
        <v>BOTERO ESCOBAR, PEDRO</v>
      </c>
      <c r="D3989" t="str">
        <f>IFERROR(__xludf.DUMMYFUNCTION("""COMPUTED_VALUE"""),"AP Economics")</f>
        <v>AP Economics</v>
      </c>
      <c r="E3989" s="3">
        <f>IFERROR(__xludf.DUMMYFUNCTION("""COMPUTED_VALUE"""),8.0)</f>
        <v>8</v>
      </c>
      <c r="F3989" s="300">
        <v>1.0</v>
      </c>
      <c r="G3989" s="300">
        <v>1.0</v>
      </c>
      <c r="H3989" s="300">
        <v>1.0</v>
      </c>
      <c r="I3989" s="300">
        <v>1.0</v>
      </c>
      <c r="J3989" s="300">
        <v>1.0</v>
      </c>
      <c r="K3989" s="300">
        <v>1.0</v>
      </c>
      <c r="L3989" s="300">
        <v>1.0</v>
      </c>
      <c r="M3989" s="300">
        <v>1.0</v>
      </c>
      <c r="N3989" s="300">
        <v>8.0</v>
      </c>
      <c r="O3989" s="300" t="s">
        <v>980</v>
      </c>
      <c r="P3989" s="300">
        <v>4.0</v>
      </c>
    </row>
    <row r="3990">
      <c r="A3990">
        <f>IFERROR(__xludf.DUMMYFUNCTION("""COMPUTED_VALUE"""),11.0)</f>
        <v>11</v>
      </c>
      <c r="B3990">
        <f>IFERROR(__xludf.DUMMYFUNCTION("""COMPUTED_VALUE"""),27052.0)</f>
        <v>27052</v>
      </c>
      <c r="C3990" t="str">
        <f>IFERROR(__xludf.DUMMYFUNCTION("""COMPUTED_VALUE"""),"JARAMILLO CADAVID, GABRIEL")</f>
        <v>JARAMILLO CADAVID, GABRIEL</v>
      </c>
      <c r="D3990" t="str">
        <f>IFERROR(__xludf.DUMMYFUNCTION("""COMPUTED_VALUE"""),"Introduction to Law")</f>
        <v>Introduction to Law</v>
      </c>
      <c r="E3990" s="3">
        <f>IFERROR(__xludf.DUMMYFUNCTION("""COMPUTED_VALUE"""),4.0)</f>
        <v>4</v>
      </c>
      <c r="F3990" s="300">
        <v>1.0</v>
      </c>
      <c r="G3990" s="300">
        <v>1.0</v>
      </c>
      <c r="H3990" s="300">
        <v>1.0</v>
      </c>
      <c r="I3990" s="300">
        <v>1.0</v>
      </c>
      <c r="J3990" s="300">
        <v>1.0</v>
      </c>
      <c r="K3990" s="300">
        <v>1.0</v>
      </c>
      <c r="L3990" s="300">
        <v>1.0</v>
      </c>
      <c r="M3990" s="300">
        <v>1.0</v>
      </c>
      <c r="N3990" s="300">
        <v>8.0</v>
      </c>
      <c r="O3990" s="300" t="s">
        <v>982</v>
      </c>
      <c r="P3990" s="300">
        <v>1.0</v>
      </c>
    </row>
    <row r="3991">
      <c r="A3991">
        <f>IFERROR(__xludf.DUMMYFUNCTION("""COMPUTED_VALUE"""),11.0)</f>
        <v>11</v>
      </c>
      <c r="B3991">
        <f>IFERROR(__xludf.DUMMYFUNCTION("""COMPUTED_VALUE"""),27027.0)</f>
        <v>27027</v>
      </c>
      <c r="C3991" t="str">
        <f>IFERROR(__xludf.DUMMYFUNCTION("""COMPUTED_VALUE"""),"DUQUE LOTERO, GREGORIO")</f>
        <v>DUQUE LOTERO, GREGORIO</v>
      </c>
      <c r="D3991" t="str">
        <f>IFERROR(__xludf.DUMMYFUNCTION("""COMPUTED_VALUE"""),"Anatomy and Physiology")</f>
        <v>Anatomy and Physiology</v>
      </c>
      <c r="E3991" s="3">
        <f>IFERROR(__xludf.DUMMYFUNCTION("""COMPUTED_VALUE"""),8.0)</f>
        <v>8</v>
      </c>
      <c r="F3991" s="300">
        <v>1.0</v>
      </c>
      <c r="G3991" s="300">
        <v>1.0</v>
      </c>
      <c r="H3991" s="300">
        <v>1.0</v>
      </c>
      <c r="I3991" s="300">
        <v>1.0</v>
      </c>
      <c r="J3991" s="300">
        <v>1.0</v>
      </c>
      <c r="K3991" s="300">
        <v>1.0</v>
      </c>
      <c r="L3991" s="300">
        <v>1.0</v>
      </c>
      <c r="M3991" s="300">
        <v>1.0</v>
      </c>
      <c r="N3991" s="300">
        <v>8.0</v>
      </c>
      <c r="O3991" s="300" t="s">
        <v>894</v>
      </c>
      <c r="P3991" s="300">
        <v>2.0</v>
      </c>
    </row>
    <row r="3992">
      <c r="A3992">
        <f>IFERROR(__xludf.DUMMYFUNCTION("""COMPUTED_VALUE"""),11.0)</f>
        <v>11</v>
      </c>
      <c r="B3992">
        <f>IFERROR(__xludf.DUMMYFUNCTION("""COMPUTED_VALUE"""),27110.0)</f>
        <v>27110</v>
      </c>
      <c r="C3992" t="str">
        <f>IFERROR(__xludf.DUMMYFUNCTION("""COMPUTED_VALUE"""),"TABARES MORENO, PABLO ANDRES")</f>
        <v>TABARES MORENO, PABLO ANDRES</v>
      </c>
      <c r="D3992" t="str">
        <f>IFERROR(__xludf.DUMMYFUNCTION("""COMPUTED_VALUE"""),"AP Economics")</f>
        <v>AP Economics</v>
      </c>
      <c r="E3992" s="3">
        <f>IFERROR(__xludf.DUMMYFUNCTION("""COMPUTED_VALUE"""),4.0)</f>
        <v>4</v>
      </c>
      <c r="F3992" s="300">
        <v>1.0</v>
      </c>
      <c r="G3992" s="300">
        <v>1.0</v>
      </c>
      <c r="H3992" s="300">
        <v>1.0</v>
      </c>
      <c r="I3992" s="300">
        <v>1.0</v>
      </c>
      <c r="J3992" s="300">
        <v>1.0</v>
      </c>
      <c r="K3992" s="300">
        <v>1.0</v>
      </c>
      <c r="L3992" s="300">
        <v>1.0</v>
      </c>
      <c r="M3992" s="300">
        <v>1.0</v>
      </c>
      <c r="N3992" s="300">
        <v>8.0</v>
      </c>
      <c r="O3992" s="300" t="s">
        <v>977</v>
      </c>
      <c r="P3992" s="300">
        <v>4.0</v>
      </c>
    </row>
    <row r="3993">
      <c r="A3993">
        <f>IFERROR(__xludf.DUMMYFUNCTION("""COMPUTED_VALUE"""),11.0)</f>
        <v>11</v>
      </c>
      <c r="B3993">
        <f>IFERROR(__xludf.DUMMYFUNCTION("""COMPUTED_VALUE"""),27026.0)</f>
        <v>27026</v>
      </c>
      <c r="C3993" t="str">
        <f>IFERROR(__xludf.DUMMYFUNCTION("""COMPUTED_VALUE"""),"CORREA MEJIA, AMALIA")</f>
        <v>CORREA MEJIA, AMALIA</v>
      </c>
      <c r="D3993" t="str">
        <f>IFERROR(__xludf.DUMMYFUNCTION("""COMPUTED_VALUE"""),"AP Economics")</f>
        <v>AP Economics</v>
      </c>
      <c r="E3993" s="3">
        <f>IFERROR(__xludf.DUMMYFUNCTION("""COMPUTED_VALUE"""),8.0)</f>
        <v>8</v>
      </c>
      <c r="F3993" s="300">
        <v>1.0</v>
      </c>
      <c r="G3993" s="300">
        <v>1.0</v>
      </c>
      <c r="H3993" s="300">
        <v>1.0</v>
      </c>
      <c r="I3993" s="300">
        <v>1.0</v>
      </c>
      <c r="J3993" s="300">
        <v>1.0</v>
      </c>
      <c r="K3993" s="300">
        <v>1.0</v>
      </c>
      <c r="L3993" s="300">
        <v>1.0</v>
      </c>
      <c r="M3993" s="300">
        <v>1.0</v>
      </c>
      <c r="N3993" s="300">
        <v>8.0</v>
      </c>
      <c r="O3993" s="300" t="s">
        <v>980</v>
      </c>
      <c r="P3993" s="300">
        <v>4.0</v>
      </c>
    </row>
    <row r="3994">
      <c r="A3994">
        <f>IFERROR(__xludf.DUMMYFUNCTION("""COMPUTED_VALUE"""),11.0)</f>
        <v>11</v>
      </c>
      <c r="B3994">
        <f>IFERROR(__xludf.DUMMYFUNCTION("""COMPUTED_VALUE"""),27079.0)</f>
        <v>27079</v>
      </c>
      <c r="C3994" t="str">
        <f>IFERROR(__xludf.DUMMYFUNCTION("""COMPUTED_VALUE"""),"ORTEGA TOBON, ESTEBAN")</f>
        <v>ORTEGA TOBON, ESTEBAN</v>
      </c>
      <c r="D3994" t="str">
        <f>IFERROR(__xludf.DUMMYFUNCTION("""COMPUTED_VALUE"""),"Entrepreneurship - Business Tech")</f>
        <v>Entrepreneurship - Business Tech</v>
      </c>
      <c r="E3994" s="3">
        <f>IFERROR(__xludf.DUMMYFUNCTION("""COMPUTED_VALUE"""),5.0)</f>
        <v>5</v>
      </c>
      <c r="F3994" s="300">
        <v>1.0</v>
      </c>
      <c r="G3994" s="300">
        <v>1.0</v>
      </c>
      <c r="H3994" s="300">
        <v>1.0</v>
      </c>
      <c r="I3994" s="300">
        <v>1.0</v>
      </c>
      <c r="J3994" s="300">
        <v>1.0</v>
      </c>
      <c r="K3994" s="300">
        <v>1.0</v>
      </c>
      <c r="L3994" s="300">
        <v>1.0</v>
      </c>
      <c r="M3994" s="300">
        <v>1.0</v>
      </c>
      <c r="N3994" s="300">
        <v>8.0</v>
      </c>
      <c r="O3994" s="300" t="s">
        <v>991</v>
      </c>
      <c r="P3994" s="300">
        <v>2.0</v>
      </c>
    </row>
    <row r="3995">
      <c r="A3995">
        <f>IFERROR(__xludf.DUMMYFUNCTION("""COMPUTED_VALUE"""),11.0)</f>
        <v>11</v>
      </c>
      <c r="B3995">
        <f>IFERROR(__xludf.DUMMYFUNCTION("""COMPUTED_VALUE"""),27032.0)</f>
        <v>27032</v>
      </c>
      <c r="C3995" t="str">
        <f>IFERROR(__xludf.DUMMYFUNCTION("""COMPUTED_VALUE"""),"ECHEVERRI ZAPATA, MATIAS")</f>
        <v>ECHEVERRI ZAPATA, MATIAS</v>
      </c>
      <c r="D3995" t="str">
        <f>IFERROR(__xludf.DUMMYFUNCTION("""COMPUTED_VALUE"""),"Entrepreneurship - Business Tech")</f>
        <v>Entrepreneurship - Business Tech</v>
      </c>
      <c r="E3995" s="3">
        <f>IFERROR(__xludf.DUMMYFUNCTION("""COMPUTED_VALUE"""),3.0)</f>
        <v>3</v>
      </c>
      <c r="F3995" s="300">
        <v>1.0</v>
      </c>
      <c r="G3995" s="300">
        <v>1.0</v>
      </c>
      <c r="H3995" s="300">
        <v>1.0</v>
      </c>
      <c r="I3995" s="300">
        <v>1.0</v>
      </c>
      <c r="J3995" s="300">
        <v>1.0</v>
      </c>
      <c r="K3995" s="300">
        <v>1.0</v>
      </c>
      <c r="L3995" s="300">
        <v>1.0</v>
      </c>
      <c r="M3995" s="300">
        <v>1.0</v>
      </c>
      <c r="N3995" s="300">
        <v>8.0</v>
      </c>
      <c r="O3995" s="300" t="s">
        <v>992</v>
      </c>
      <c r="P3995" s="300">
        <v>2.0</v>
      </c>
    </row>
    <row r="3996">
      <c r="A3996">
        <f>IFERROR(__xludf.DUMMYFUNCTION("""COMPUTED_VALUE"""),11.0)</f>
        <v>11</v>
      </c>
      <c r="B3996">
        <f>IFERROR(__xludf.DUMMYFUNCTION("""COMPUTED_VALUE"""),27174.0)</f>
        <v>27174</v>
      </c>
      <c r="C3996" t="str">
        <f>IFERROR(__xludf.DUMMYFUNCTION("""COMPUTED_VALUE"""),"GAITAN, LUCIA")</f>
        <v>GAITAN, LUCIA</v>
      </c>
      <c r="D3996" t="str">
        <f>IFERROR(__xludf.DUMMYFUNCTION("""COMPUTED_VALUE"""),"Journalism Higher Level")</f>
        <v>Journalism Higher Level</v>
      </c>
      <c r="E3996" s="3">
        <f>IFERROR(__xludf.DUMMYFUNCTION("""COMPUTED_VALUE"""),7.0)</f>
        <v>7</v>
      </c>
      <c r="F3996" s="300">
        <v>1.0</v>
      </c>
      <c r="G3996" s="300">
        <v>1.0</v>
      </c>
      <c r="H3996" s="300">
        <v>1.0</v>
      </c>
      <c r="I3996" s="300">
        <v>1.0</v>
      </c>
      <c r="J3996" s="300">
        <v>1.0</v>
      </c>
      <c r="K3996" s="300">
        <v>1.0</v>
      </c>
      <c r="L3996" s="300">
        <v>1.0</v>
      </c>
      <c r="M3996" s="300">
        <v>1.0</v>
      </c>
      <c r="N3996" s="300">
        <v>8.0</v>
      </c>
      <c r="O3996" s="300" t="s">
        <v>805</v>
      </c>
      <c r="P3996" s="300">
        <v>3.0</v>
      </c>
    </row>
    <row r="3997">
      <c r="A3997">
        <f>IFERROR(__xludf.DUMMYFUNCTION("""COMPUTED_VALUE"""),11.0)</f>
        <v>11</v>
      </c>
      <c r="B3997">
        <f>IFERROR(__xludf.DUMMYFUNCTION("""COMPUTED_VALUE"""),27108.0)</f>
        <v>27108</v>
      </c>
      <c r="C3997" t="str">
        <f>IFERROR(__xludf.DUMMYFUNCTION("""COMPUTED_VALUE"""),"SANTAMARIA VILLA, MARCO")</f>
        <v>SANTAMARIA VILLA, MARCO</v>
      </c>
      <c r="D3997" t="str">
        <f>IFERROR(__xludf.DUMMYFUNCTION("""COMPUTED_VALUE"""),"AP Biology")</f>
        <v>AP Biology</v>
      </c>
      <c r="E3997" s="3">
        <f>IFERROR(__xludf.DUMMYFUNCTION("""COMPUTED_VALUE"""),5.0)</f>
        <v>5</v>
      </c>
      <c r="F3997" s="300">
        <v>1.0</v>
      </c>
      <c r="G3997" s="300">
        <v>1.0</v>
      </c>
      <c r="H3997" s="300">
        <v>1.0</v>
      </c>
      <c r="I3997" s="300">
        <v>1.0</v>
      </c>
      <c r="J3997" s="300">
        <v>1.0</v>
      </c>
      <c r="K3997" s="300">
        <v>1.0</v>
      </c>
      <c r="L3997" s="300">
        <v>1.0</v>
      </c>
      <c r="M3997" s="300">
        <v>1.0</v>
      </c>
      <c r="N3997" s="300">
        <v>8.0</v>
      </c>
      <c r="O3997" s="300" t="s">
        <v>892</v>
      </c>
      <c r="P3997" s="300">
        <v>1.0</v>
      </c>
    </row>
    <row r="3998">
      <c r="A3998">
        <f>IFERROR(__xludf.DUMMYFUNCTION("""COMPUTED_VALUE"""),11.0)</f>
        <v>11</v>
      </c>
      <c r="B3998">
        <f>IFERROR(__xludf.DUMMYFUNCTION("""COMPUTED_VALUE"""),27010.0)</f>
        <v>27010</v>
      </c>
      <c r="C3998" t="str">
        <f>IFERROR(__xludf.DUMMYFUNCTION("""COMPUTED_VALUE"""),"ARRUBLA OSPINA, MANOLO")</f>
        <v>ARRUBLA OSPINA, MANOLO</v>
      </c>
      <c r="D3998" t="str">
        <f>IFERROR(__xludf.DUMMYFUNCTION("""COMPUTED_VALUE"""),"Anatomy and Physiology")</f>
        <v>Anatomy and Physiology</v>
      </c>
      <c r="E3998" s="3">
        <f>IFERROR(__xludf.DUMMYFUNCTION("""COMPUTED_VALUE"""),8.0)</f>
        <v>8</v>
      </c>
      <c r="F3998" s="300">
        <v>1.0</v>
      </c>
      <c r="G3998" s="300">
        <v>1.0</v>
      </c>
      <c r="H3998" s="300">
        <v>1.0</v>
      </c>
      <c r="I3998" s="300">
        <v>1.0</v>
      </c>
      <c r="J3998" s="300">
        <v>1.0</v>
      </c>
      <c r="K3998" s="300">
        <v>1.0</v>
      </c>
      <c r="L3998" s="300">
        <v>1.0</v>
      </c>
      <c r="M3998" s="300">
        <v>1.0</v>
      </c>
      <c r="N3998" s="300">
        <v>8.0</v>
      </c>
      <c r="O3998" s="300" t="s">
        <v>894</v>
      </c>
      <c r="P3998" s="300">
        <v>2.0</v>
      </c>
    </row>
    <row r="3999">
      <c r="A3999">
        <f>IFERROR(__xludf.DUMMYFUNCTION("""COMPUTED_VALUE"""),11.0)</f>
        <v>11</v>
      </c>
      <c r="B3999">
        <f>IFERROR(__xludf.DUMMYFUNCTION("""COMPUTED_VALUE"""),27163.0)</f>
        <v>27163</v>
      </c>
      <c r="C3999" t="str">
        <f>IFERROR(__xludf.DUMMYFUNCTION("""COMPUTED_VALUE"""),"NIEHAUS TRUJILLO, ARIANNA DE LOS ANGELES")</f>
        <v>NIEHAUS TRUJILLO, ARIANNA DE LOS ANGELES</v>
      </c>
      <c r="D3999" t="str">
        <f>IFERROR(__xludf.DUMMYFUNCTION("""COMPUTED_VALUE"""),"AP Economics")</f>
        <v>AP Economics</v>
      </c>
      <c r="E3999" s="3">
        <f>IFERROR(__xludf.DUMMYFUNCTION("""COMPUTED_VALUE"""),8.0)</f>
        <v>8</v>
      </c>
      <c r="F3999" s="300">
        <v>1.0</v>
      </c>
      <c r="G3999" s="300">
        <v>1.0</v>
      </c>
      <c r="H3999" s="300">
        <v>1.0</v>
      </c>
      <c r="I3999" s="300">
        <v>1.0</v>
      </c>
      <c r="J3999" s="300">
        <v>1.0</v>
      </c>
      <c r="K3999" s="300">
        <v>1.0</v>
      </c>
      <c r="L3999" s="300">
        <v>1.0</v>
      </c>
      <c r="M3999" s="300">
        <v>1.0</v>
      </c>
      <c r="N3999" s="300">
        <v>8.0</v>
      </c>
      <c r="O3999" s="300" t="s">
        <v>980</v>
      </c>
      <c r="P3999" s="300">
        <v>4.0</v>
      </c>
    </row>
    <row r="4000">
      <c r="A4000">
        <f>IFERROR(__xludf.DUMMYFUNCTION("""COMPUTED_VALUE"""),11.0)</f>
        <v>11</v>
      </c>
      <c r="B4000">
        <f>IFERROR(__xludf.DUMMYFUNCTION("""COMPUTED_VALUE"""),27141.0)</f>
        <v>27141</v>
      </c>
      <c r="C4000" t="str">
        <f>IFERROR(__xludf.DUMMYFUNCTION("""COMPUTED_VALUE"""),"MEJIA RESTREPO, PABLO")</f>
        <v>MEJIA RESTREPO, PABLO</v>
      </c>
      <c r="D4000" t="str">
        <f>IFERROR(__xludf.DUMMYFUNCTION("""COMPUTED_VALUE"""),"Entrepreneurship - Business Tech")</f>
        <v>Entrepreneurship - Business Tech</v>
      </c>
      <c r="E4000" s="3">
        <f>IFERROR(__xludf.DUMMYFUNCTION("""COMPUTED_VALUE"""),5.0)</f>
        <v>5</v>
      </c>
      <c r="F4000" s="300">
        <v>1.0</v>
      </c>
      <c r="G4000" s="300">
        <v>1.0</v>
      </c>
      <c r="H4000" s="300">
        <v>1.0</v>
      </c>
      <c r="I4000" s="300">
        <v>1.0</v>
      </c>
      <c r="J4000" s="300">
        <v>1.0</v>
      </c>
      <c r="K4000" s="300">
        <v>1.0</v>
      </c>
      <c r="L4000" s="300">
        <v>1.0</v>
      </c>
      <c r="M4000" s="300">
        <v>1.0</v>
      </c>
      <c r="N4000" s="300">
        <v>8.0</v>
      </c>
      <c r="O4000" s="300" t="s">
        <v>991</v>
      </c>
      <c r="P4000" s="300">
        <v>2.0</v>
      </c>
    </row>
    <row r="4001">
      <c r="A4001">
        <f>IFERROR(__xludf.DUMMYFUNCTION("""COMPUTED_VALUE"""),11.0)</f>
        <v>11</v>
      </c>
      <c r="B4001">
        <f>IFERROR(__xludf.DUMMYFUNCTION("""COMPUTED_VALUE"""),27025.0)</f>
        <v>27025</v>
      </c>
      <c r="C4001" t="str">
        <f>IFERROR(__xludf.DUMMYFUNCTION("""COMPUTED_VALUE"""),"COCK HENAO, MATIAS")</f>
        <v>COCK HENAO, MATIAS</v>
      </c>
      <c r="D4001" t="str">
        <f>IFERROR(__xludf.DUMMYFUNCTION("""COMPUTED_VALUE"""),"AP Psychology")</f>
        <v>AP Psychology</v>
      </c>
      <c r="E4001" s="3">
        <f>IFERROR(__xludf.DUMMYFUNCTION("""COMPUTED_VALUE"""),4.0)</f>
        <v>4</v>
      </c>
      <c r="F4001" s="300">
        <v>1.0</v>
      </c>
      <c r="G4001" s="300">
        <v>1.0</v>
      </c>
      <c r="H4001" s="300">
        <v>1.0</v>
      </c>
      <c r="I4001" s="300">
        <v>1.0</v>
      </c>
      <c r="J4001" s="300">
        <v>1.0</v>
      </c>
      <c r="K4001" s="300">
        <v>1.0</v>
      </c>
      <c r="L4001" s="300">
        <v>1.0</v>
      </c>
      <c r="M4001" s="300">
        <v>1.0</v>
      </c>
      <c r="N4001" s="300">
        <v>8.0</v>
      </c>
      <c r="O4001" s="300" t="s">
        <v>981</v>
      </c>
      <c r="P4001" s="300">
        <v>2.0</v>
      </c>
    </row>
    <row r="4002">
      <c r="A4002">
        <f>IFERROR(__xludf.DUMMYFUNCTION("""COMPUTED_VALUE"""),11.0)</f>
        <v>11</v>
      </c>
      <c r="B4002">
        <f>IFERROR(__xludf.DUMMYFUNCTION("""COMPUTED_VALUE"""),26009.0)</f>
        <v>26009</v>
      </c>
      <c r="C4002" t="str">
        <f>IFERROR(__xludf.DUMMYFUNCTION("""COMPUTED_VALUE"""),"ARANGO NAVARRO, PEDRO")</f>
        <v>ARANGO NAVARRO, PEDRO</v>
      </c>
      <c r="D4002" t="str">
        <f>IFERROR(__xludf.DUMMYFUNCTION("""COMPUTED_VALUE"""),"Introduction to Law")</f>
        <v>Introduction to Law</v>
      </c>
      <c r="E4002" s="3">
        <f>IFERROR(__xludf.DUMMYFUNCTION("""COMPUTED_VALUE"""),4.0)</f>
        <v>4</v>
      </c>
      <c r="F4002" s="300">
        <v>1.0</v>
      </c>
      <c r="G4002" s="300">
        <v>1.0</v>
      </c>
      <c r="H4002" s="300">
        <v>1.0</v>
      </c>
      <c r="I4002" s="300">
        <v>1.0</v>
      </c>
      <c r="J4002" s="300">
        <v>1.0</v>
      </c>
      <c r="K4002" s="300">
        <v>1.0</v>
      </c>
      <c r="L4002" s="300">
        <v>1.0</v>
      </c>
      <c r="M4002" s="300">
        <v>1.0</v>
      </c>
      <c r="N4002" s="300">
        <v>8.0</v>
      </c>
      <c r="O4002" s="300" t="s">
        <v>982</v>
      </c>
      <c r="P4002" s="300">
        <v>1.0</v>
      </c>
    </row>
    <row r="4003">
      <c r="A4003">
        <f>IFERROR(__xludf.DUMMYFUNCTION("""COMPUTED_VALUE"""),11.0)</f>
        <v>11</v>
      </c>
      <c r="B4003">
        <f>IFERROR(__xludf.DUMMYFUNCTION("""COMPUTED_VALUE"""),27077.0)</f>
        <v>27077</v>
      </c>
      <c r="C4003" t="str">
        <f>IFERROR(__xludf.DUMMYFUNCTION("""COMPUTED_VALUE"""),"MORENO MUNERA, MATILDA")</f>
        <v>MORENO MUNERA, MATILDA</v>
      </c>
      <c r="D4003" t="str">
        <f>IFERROR(__xludf.DUMMYFUNCTION("""COMPUTED_VALUE"""),"AP Psychology")</f>
        <v>AP Psychology</v>
      </c>
      <c r="E4003" s="3">
        <f>IFERROR(__xludf.DUMMYFUNCTION("""COMPUTED_VALUE"""),4.0)</f>
        <v>4</v>
      </c>
      <c r="F4003" s="300">
        <v>1.0</v>
      </c>
      <c r="G4003" s="300">
        <v>1.0</v>
      </c>
      <c r="H4003" s="300">
        <v>1.0</v>
      </c>
      <c r="I4003" s="300">
        <v>1.0</v>
      </c>
      <c r="J4003" s="300">
        <v>1.0</v>
      </c>
      <c r="K4003" s="300">
        <v>1.0</v>
      </c>
      <c r="L4003" s="300">
        <v>1.0</v>
      </c>
      <c r="M4003" s="300">
        <v>1.0</v>
      </c>
      <c r="N4003" s="300">
        <v>8.0</v>
      </c>
      <c r="O4003" s="300" t="s">
        <v>981</v>
      </c>
      <c r="P4003" s="300">
        <v>2.0</v>
      </c>
    </row>
    <row r="4004">
      <c r="A4004">
        <f>IFERROR(__xludf.DUMMYFUNCTION("""COMPUTED_VALUE"""),11.0)</f>
        <v>11</v>
      </c>
      <c r="B4004">
        <f>IFERROR(__xludf.DUMMYFUNCTION("""COMPUTED_VALUE"""),27098.0)</f>
        <v>27098</v>
      </c>
      <c r="C4004" t="str">
        <f>IFERROR(__xludf.DUMMYFUNCTION("""COMPUTED_VALUE"""),"ROJAS LOPEZ, EMILIANA")</f>
        <v>ROJAS LOPEZ, EMILIANA</v>
      </c>
      <c r="D4004" t="str">
        <f>IFERROR(__xludf.DUMMYFUNCTION("""COMPUTED_VALUE"""),"Entrepreneurship - Business Tech")</f>
        <v>Entrepreneurship - Business Tech</v>
      </c>
      <c r="E4004" s="3">
        <f>IFERROR(__xludf.DUMMYFUNCTION("""COMPUTED_VALUE"""),3.0)</f>
        <v>3</v>
      </c>
      <c r="F4004" s="300">
        <v>1.0</v>
      </c>
      <c r="G4004" s="300">
        <v>1.0</v>
      </c>
      <c r="H4004" s="300">
        <v>1.0</v>
      </c>
      <c r="I4004" s="300">
        <v>1.0</v>
      </c>
      <c r="J4004" s="300">
        <v>1.0</v>
      </c>
      <c r="K4004" s="300">
        <v>1.0</v>
      </c>
      <c r="L4004" s="300">
        <v>1.0</v>
      </c>
      <c r="M4004" s="300">
        <v>1.0</v>
      </c>
      <c r="N4004" s="300">
        <v>8.0</v>
      </c>
      <c r="O4004" s="300" t="s">
        <v>992</v>
      </c>
      <c r="P4004" s="300">
        <v>2.0</v>
      </c>
    </row>
    <row r="4005">
      <c r="A4005">
        <f>IFERROR(__xludf.DUMMYFUNCTION("""COMPUTED_VALUE"""),11.0)</f>
        <v>11</v>
      </c>
      <c r="B4005">
        <f>IFERROR(__xludf.DUMMYFUNCTION("""COMPUTED_VALUE"""),27049.0)</f>
        <v>27049</v>
      </c>
      <c r="C4005" t="str">
        <f>IFERROR(__xludf.DUMMYFUNCTION("""COMPUTED_VALUE"""),"HENAO RESTREPO, ELENA")</f>
        <v>HENAO RESTREPO, ELENA</v>
      </c>
      <c r="D4005" t="str">
        <f>IFERROR(__xludf.DUMMYFUNCTION("""COMPUTED_VALUE"""),"AP Psychology")</f>
        <v>AP Psychology</v>
      </c>
      <c r="E4005" s="3">
        <f>IFERROR(__xludf.DUMMYFUNCTION("""COMPUTED_VALUE"""),5.0)</f>
        <v>5</v>
      </c>
      <c r="F4005" s="300">
        <v>1.0</v>
      </c>
      <c r="G4005" s="300">
        <v>1.0</v>
      </c>
      <c r="H4005" s="300">
        <v>1.0</v>
      </c>
      <c r="I4005" s="300">
        <v>1.0</v>
      </c>
      <c r="J4005" s="300">
        <v>1.0</v>
      </c>
      <c r="K4005" s="300">
        <v>1.0</v>
      </c>
      <c r="L4005" s="300">
        <v>1.0</v>
      </c>
      <c r="M4005" s="300">
        <v>1.0</v>
      </c>
      <c r="N4005" s="300">
        <v>8.0</v>
      </c>
      <c r="O4005" s="300" t="s">
        <v>985</v>
      </c>
      <c r="P4005" s="300">
        <v>2.0</v>
      </c>
    </row>
    <row r="4006">
      <c r="A4006">
        <f>IFERROR(__xludf.DUMMYFUNCTION("""COMPUTED_VALUE"""),11.0)</f>
        <v>11</v>
      </c>
      <c r="B4006">
        <f>IFERROR(__xludf.DUMMYFUNCTION("""COMPUTED_VALUE"""),27066.0)</f>
        <v>27066</v>
      </c>
      <c r="C4006" t="str">
        <f>IFERROR(__xludf.DUMMYFUNCTION("""COMPUTED_VALUE"""),"MEJIA URIBE, DANIEL")</f>
        <v>MEJIA URIBE, DANIEL</v>
      </c>
      <c r="D4006" t="str">
        <f>IFERROR(__xludf.DUMMYFUNCTION("""COMPUTED_VALUE"""),"AP Economics")</f>
        <v>AP Economics</v>
      </c>
      <c r="E4006" s="3">
        <f>IFERROR(__xludf.DUMMYFUNCTION("""COMPUTED_VALUE"""),8.0)</f>
        <v>8</v>
      </c>
      <c r="F4006" s="300">
        <v>1.0</v>
      </c>
      <c r="G4006" s="300">
        <v>1.0</v>
      </c>
      <c r="H4006" s="300">
        <v>1.0</v>
      </c>
      <c r="I4006" s="300">
        <v>1.0</v>
      </c>
      <c r="J4006" s="300">
        <v>1.0</v>
      </c>
      <c r="K4006" s="300">
        <v>1.0</v>
      </c>
      <c r="L4006" s="300">
        <v>1.0</v>
      </c>
      <c r="M4006" s="300">
        <v>1.0</v>
      </c>
      <c r="N4006" s="300">
        <v>8.0</v>
      </c>
      <c r="O4006" s="300" t="s">
        <v>980</v>
      </c>
      <c r="P4006" s="300">
        <v>4.0</v>
      </c>
    </row>
    <row r="4007">
      <c r="A4007">
        <f>IFERROR(__xludf.DUMMYFUNCTION("""COMPUTED_VALUE"""),11.0)</f>
        <v>11</v>
      </c>
      <c r="B4007">
        <f>IFERROR(__xludf.DUMMYFUNCTION("""COMPUTED_VALUE"""),27123.0)</f>
        <v>27123</v>
      </c>
      <c r="C4007" t="str">
        <f>IFERROR(__xludf.DUMMYFUNCTION("""COMPUTED_VALUE"""),"VELEZ PODESTA, SIMON")</f>
        <v>VELEZ PODESTA, SIMON</v>
      </c>
      <c r="D4007" t="str">
        <f>IFERROR(__xludf.DUMMYFUNCTION("""COMPUTED_VALUE"""),"Entrepreneurship - Business Tech")</f>
        <v>Entrepreneurship - Business Tech</v>
      </c>
      <c r="E4007" s="3">
        <f>IFERROR(__xludf.DUMMYFUNCTION("""COMPUTED_VALUE"""),3.0)</f>
        <v>3</v>
      </c>
      <c r="F4007" s="300">
        <v>1.0</v>
      </c>
      <c r="G4007" s="300">
        <v>1.0</v>
      </c>
      <c r="H4007" s="300">
        <v>1.0</v>
      </c>
      <c r="I4007" s="300">
        <v>1.0</v>
      </c>
      <c r="J4007" s="300">
        <v>1.0</v>
      </c>
      <c r="K4007" s="300">
        <v>1.0</v>
      </c>
      <c r="L4007" s="300">
        <v>1.0</v>
      </c>
      <c r="M4007" s="300">
        <v>1.0</v>
      </c>
      <c r="N4007" s="300">
        <v>8.0</v>
      </c>
      <c r="O4007" s="300" t="s">
        <v>992</v>
      </c>
      <c r="P4007" s="300">
        <v>2.0</v>
      </c>
    </row>
    <row r="4008">
      <c r="A4008">
        <f>IFERROR(__xludf.DUMMYFUNCTION("""COMPUTED_VALUE"""),11.0)</f>
        <v>11</v>
      </c>
      <c r="B4008">
        <f>IFERROR(__xludf.DUMMYFUNCTION("""COMPUTED_VALUE"""),27109.0)</f>
        <v>27109</v>
      </c>
      <c r="C4008" t="str">
        <f>IFERROR(__xludf.DUMMYFUNCTION("""COMPUTED_VALUE"""),"SIERRA TIRADO, PEDRO")</f>
        <v>SIERRA TIRADO, PEDRO</v>
      </c>
      <c r="D4008" t="str">
        <f>IFERROR(__xludf.DUMMYFUNCTION("""COMPUTED_VALUE"""),"AP Computer Science A")</f>
        <v>AP Computer Science A</v>
      </c>
      <c r="E4008" s="3">
        <f>IFERROR(__xludf.DUMMYFUNCTION("""COMPUTED_VALUE"""),4.0)</f>
        <v>4</v>
      </c>
      <c r="F4008" s="300">
        <v>1.0</v>
      </c>
      <c r="G4008" s="300">
        <v>1.0</v>
      </c>
      <c r="H4008" s="300">
        <v>1.0</v>
      </c>
      <c r="I4008" s="300">
        <v>1.0</v>
      </c>
      <c r="J4008" s="300">
        <v>1.0</v>
      </c>
      <c r="K4008" s="300">
        <v>1.0</v>
      </c>
      <c r="L4008" s="300">
        <v>1.0</v>
      </c>
      <c r="M4008" s="300">
        <v>1.0</v>
      </c>
      <c r="N4008" s="300">
        <v>8.0</v>
      </c>
      <c r="O4008" s="300" t="s">
        <v>993</v>
      </c>
      <c r="P4008" s="300">
        <v>1.0</v>
      </c>
    </row>
    <row r="4009">
      <c r="A4009">
        <f>IFERROR(__xludf.DUMMYFUNCTION("""COMPUTED_VALUE"""),11.0)</f>
        <v>11</v>
      </c>
      <c r="B4009">
        <f>IFERROR(__xludf.DUMMYFUNCTION("""COMPUTED_VALUE"""),27005.0)</f>
        <v>27005</v>
      </c>
      <c r="C4009" t="str">
        <f>IFERROR(__xludf.DUMMYFUNCTION("""COMPUTED_VALUE"""),"ANGEL MESA, EMILIO")</f>
        <v>ANGEL MESA, EMILIO</v>
      </c>
      <c r="D4009" t="str">
        <f>IFERROR(__xludf.DUMMYFUNCTION("""COMPUTED_VALUE"""),"AP Computer Science A")</f>
        <v>AP Computer Science A</v>
      </c>
      <c r="E4009" s="3">
        <f>IFERROR(__xludf.DUMMYFUNCTION("""COMPUTED_VALUE"""),4.0)</f>
        <v>4</v>
      </c>
      <c r="F4009" s="300">
        <v>1.0</v>
      </c>
      <c r="G4009" s="300">
        <v>1.0</v>
      </c>
      <c r="H4009" s="300">
        <v>1.0</v>
      </c>
      <c r="I4009" s="300">
        <v>1.0</v>
      </c>
      <c r="J4009" s="300">
        <v>1.0</v>
      </c>
      <c r="K4009" s="300">
        <v>1.0</v>
      </c>
      <c r="L4009" s="300">
        <v>1.0</v>
      </c>
      <c r="M4009" s="300">
        <v>1.0</v>
      </c>
      <c r="N4009" s="300">
        <v>8.0</v>
      </c>
      <c r="O4009" s="300" t="s">
        <v>993</v>
      </c>
      <c r="P4009" s="300">
        <v>1.0</v>
      </c>
    </row>
    <row r="4010">
      <c r="A4010">
        <f>IFERROR(__xludf.DUMMYFUNCTION("""COMPUTED_VALUE"""),11.0)</f>
        <v>11</v>
      </c>
      <c r="B4010">
        <f>IFERROR(__xludf.DUMMYFUNCTION("""COMPUTED_VALUE"""),27111.0)</f>
        <v>27111</v>
      </c>
      <c r="C4010" t="str">
        <f>IFERROR(__xludf.DUMMYFUNCTION("""COMPUTED_VALUE"""),"TOBON PEÑALOZA, MARTIN")</f>
        <v>TOBON PEÑALOZA, MARTIN</v>
      </c>
      <c r="D4010" t="str">
        <f>IFERROR(__xludf.DUMMYFUNCTION("""COMPUTED_VALUE"""),"Entrepreneurship - Business Tech")</f>
        <v>Entrepreneurship - Business Tech</v>
      </c>
      <c r="E4010" s="3">
        <f>IFERROR(__xludf.DUMMYFUNCTION("""COMPUTED_VALUE"""),5.0)</f>
        <v>5</v>
      </c>
      <c r="F4010" s="300">
        <v>1.0</v>
      </c>
      <c r="G4010" s="300">
        <v>1.0</v>
      </c>
      <c r="H4010" s="300">
        <v>1.0</v>
      </c>
      <c r="I4010" s="300">
        <v>1.0</v>
      </c>
      <c r="J4010" s="300">
        <v>1.0</v>
      </c>
      <c r="K4010" s="300">
        <v>1.0</v>
      </c>
      <c r="L4010" s="300">
        <v>1.0</v>
      </c>
      <c r="M4010" s="300">
        <v>1.0</v>
      </c>
      <c r="N4010" s="300">
        <v>8.0</v>
      </c>
      <c r="O4010" s="300" t="s">
        <v>991</v>
      </c>
      <c r="P4010" s="300">
        <v>2.0</v>
      </c>
    </row>
    <row r="4011">
      <c r="A4011">
        <f>IFERROR(__xludf.DUMMYFUNCTION("""COMPUTED_VALUE"""),11.0)</f>
        <v>11</v>
      </c>
      <c r="B4011">
        <f>IFERROR(__xludf.DUMMYFUNCTION("""COMPUTED_VALUE"""),27164.0)</f>
        <v>27164</v>
      </c>
      <c r="C4011" t="str">
        <f>IFERROR(__xludf.DUMMYFUNCTION("""COMPUTED_VALUE"""),"JARAMILLO URIBE, MAR")</f>
        <v>JARAMILLO URIBE, MAR</v>
      </c>
      <c r="D4011" t="str">
        <f>IFERROR(__xludf.DUMMYFUNCTION("""COMPUTED_VALUE"""),"Entrepreneurship - Business Tech")</f>
        <v>Entrepreneurship - Business Tech</v>
      </c>
      <c r="E4011" s="3">
        <f>IFERROR(__xludf.DUMMYFUNCTION("""COMPUTED_VALUE"""),3.0)</f>
        <v>3</v>
      </c>
      <c r="F4011" s="300">
        <v>1.0</v>
      </c>
      <c r="G4011" s="300">
        <v>1.0</v>
      </c>
      <c r="H4011" s="300">
        <v>1.0</v>
      </c>
      <c r="I4011" s="300">
        <v>1.0</v>
      </c>
      <c r="J4011" s="300">
        <v>1.0</v>
      </c>
      <c r="K4011" s="300">
        <v>1.0</v>
      </c>
      <c r="L4011" s="300">
        <v>1.0</v>
      </c>
      <c r="M4011" s="300">
        <v>1.0</v>
      </c>
      <c r="N4011" s="300">
        <v>8.0</v>
      </c>
      <c r="O4011" s="300" t="s">
        <v>992</v>
      </c>
      <c r="P4011" s="300">
        <v>2.0</v>
      </c>
    </row>
    <row r="4012">
      <c r="A4012">
        <f>IFERROR(__xludf.DUMMYFUNCTION("""COMPUTED_VALUE"""),11.0)</f>
        <v>11</v>
      </c>
      <c r="B4012">
        <f>IFERROR(__xludf.DUMMYFUNCTION("""COMPUTED_VALUE"""),27037.0)</f>
        <v>27037</v>
      </c>
      <c r="C4012" t="str">
        <f>IFERROR(__xludf.DUMMYFUNCTION("""COMPUTED_VALUE"""),"GALEANO SALAZAR, SARA")</f>
        <v>GALEANO SALAZAR, SARA</v>
      </c>
      <c r="D4012" t="str">
        <f>IFERROR(__xludf.DUMMYFUNCTION("""COMPUTED_VALUE"""),"Introduction to Law")</f>
        <v>Introduction to Law</v>
      </c>
      <c r="E4012" s="3">
        <f>IFERROR(__xludf.DUMMYFUNCTION("""COMPUTED_VALUE"""),4.0)</f>
        <v>4</v>
      </c>
      <c r="F4012" s="300">
        <v>1.0</v>
      </c>
      <c r="G4012" s="300">
        <v>1.0</v>
      </c>
      <c r="H4012" s="300">
        <v>1.0</v>
      </c>
      <c r="I4012" s="300">
        <v>1.0</v>
      </c>
      <c r="J4012" s="300">
        <v>1.0</v>
      </c>
      <c r="K4012" s="300">
        <v>1.0</v>
      </c>
      <c r="L4012" s="300">
        <v>1.0</v>
      </c>
      <c r="M4012" s="300">
        <v>1.0</v>
      </c>
      <c r="N4012" s="300">
        <v>8.0</v>
      </c>
      <c r="O4012" s="300" t="s">
        <v>982</v>
      </c>
      <c r="P4012" s="300">
        <v>1.0</v>
      </c>
    </row>
    <row r="4013">
      <c r="A4013">
        <f>IFERROR(__xludf.DUMMYFUNCTION("""COMPUTED_VALUE"""),12.0)</f>
        <v>12</v>
      </c>
      <c r="B4013">
        <f>IFERROR(__xludf.DUMMYFUNCTION("""COMPUTED_VALUE"""),25084.0)</f>
        <v>25084</v>
      </c>
      <c r="C4013" t="str">
        <f>IFERROR(__xludf.DUMMYFUNCTION("""COMPUTED_VALUE"""),"PELAEZ KLINKERT, ALICIA")</f>
        <v>PELAEZ KLINKERT, ALICIA</v>
      </c>
      <c r="D4013" t="str">
        <f>IFERROR(__xludf.DUMMYFUNCTION("""COMPUTED_VALUE"""),"AP 3-D Art and Design")</f>
        <v>AP 3-D Art and Design</v>
      </c>
      <c r="E4013" s="3">
        <f>IFERROR(__xludf.DUMMYFUNCTION("""COMPUTED_VALUE"""),6.0)</f>
        <v>6</v>
      </c>
      <c r="F4013" s="300">
        <v>1.0</v>
      </c>
      <c r="G4013" s="300">
        <v>1.0</v>
      </c>
      <c r="H4013" s="300">
        <v>1.0</v>
      </c>
      <c r="I4013" s="300">
        <v>1.0</v>
      </c>
      <c r="J4013" s="300">
        <v>1.0</v>
      </c>
      <c r="K4013" s="300">
        <v>1.0</v>
      </c>
      <c r="L4013" s="300">
        <v>1.0</v>
      </c>
      <c r="M4013" s="300">
        <v>1.0</v>
      </c>
      <c r="N4013" s="300">
        <v>8.0</v>
      </c>
      <c r="O4013" s="300" t="s">
        <v>949</v>
      </c>
      <c r="P4013" s="300">
        <v>1.0</v>
      </c>
    </row>
    <row r="4014">
      <c r="A4014">
        <f>IFERROR(__xludf.DUMMYFUNCTION("""COMPUTED_VALUE"""),12.0)</f>
        <v>12</v>
      </c>
      <c r="B4014">
        <f>IFERROR(__xludf.DUMMYFUNCTION("""COMPUTED_VALUE"""),26105.0)</f>
        <v>26105</v>
      </c>
      <c r="C4014" t="str">
        <f>IFERROR(__xludf.DUMMYFUNCTION("""COMPUTED_VALUE"""),"ROJAS LONDOÑO, SARA")</f>
        <v>ROJAS LONDOÑO, SARA</v>
      </c>
      <c r="D4014" t="str">
        <f>IFERROR(__xludf.DUMMYFUNCTION("""COMPUTED_VALUE"""),"Painting II")</f>
        <v>Painting II</v>
      </c>
      <c r="E4014" s="3">
        <f>IFERROR(__xludf.DUMMYFUNCTION("""COMPUTED_VALUE"""),7.0)</f>
        <v>7</v>
      </c>
      <c r="F4014" s="300">
        <v>1.0</v>
      </c>
      <c r="G4014" s="300">
        <v>1.0</v>
      </c>
      <c r="H4014" s="300">
        <v>1.0</v>
      </c>
      <c r="I4014" s="300">
        <v>1.0</v>
      </c>
      <c r="J4014" s="300">
        <v>1.0</v>
      </c>
      <c r="K4014" s="300">
        <v>1.0</v>
      </c>
      <c r="L4014" s="300">
        <v>1.0</v>
      </c>
      <c r="M4014" s="300">
        <v>1.0</v>
      </c>
      <c r="N4014" s="300">
        <v>8.0</v>
      </c>
      <c r="O4014" s="300" t="s">
        <v>935</v>
      </c>
      <c r="P4014" s="300">
        <v>2.0</v>
      </c>
    </row>
    <row r="4015">
      <c r="A4015">
        <f>IFERROR(__xludf.DUMMYFUNCTION("""COMPUTED_VALUE"""),12.0)</f>
        <v>12</v>
      </c>
      <c r="B4015">
        <f>IFERROR(__xludf.DUMMYFUNCTION("""COMPUTED_VALUE"""),26046.0)</f>
        <v>26046</v>
      </c>
      <c r="C4015" t="str">
        <f>IFERROR(__xludf.DUMMYFUNCTION("""COMPUTED_VALUE"""),"HENAO GARZON, NICOLAS")</f>
        <v>HENAO GARZON, NICOLAS</v>
      </c>
      <c r="D4015" t="str">
        <f>IFERROR(__xludf.DUMMYFUNCTION("""COMPUTED_VALUE"""),"AP Physics 1")</f>
        <v>AP Physics 1</v>
      </c>
      <c r="E4015" s="3">
        <f>IFERROR(__xludf.DUMMYFUNCTION("""COMPUTED_VALUE"""),1.0)</f>
        <v>1</v>
      </c>
      <c r="F4015" s="300">
        <v>1.0</v>
      </c>
      <c r="G4015" s="300">
        <v>1.0</v>
      </c>
      <c r="H4015" s="300">
        <v>1.0</v>
      </c>
      <c r="I4015" s="300">
        <v>1.0</v>
      </c>
      <c r="J4015" s="300">
        <v>1.0</v>
      </c>
      <c r="K4015" s="300">
        <v>1.0</v>
      </c>
      <c r="L4015" s="300">
        <v>1.0</v>
      </c>
      <c r="M4015" s="300">
        <v>1.0</v>
      </c>
      <c r="N4015" s="300">
        <v>8.0</v>
      </c>
      <c r="O4015" s="300" t="s">
        <v>882</v>
      </c>
      <c r="P4015" s="300">
        <v>1.0</v>
      </c>
    </row>
    <row r="4016">
      <c r="A4016">
        <f>IFERROR(__xludf.DUMMYFUNCTION("""COMPUTED_VALUE"""),12.0)</f>
        <v>12</v>
      </c>
      <c r="B4016">
        <f>IFERROR(__xludf.DUMMYFUNCTION("""COMPUTED_VALUE"""),26165.0)</f>
        <v>26165</v>
      </c>
      <c r="C4016" t="str">
        <f>IFERROR(__xludf.DUMMYFUNCTION("""COMPUTED_VALUE"""),"BURKHALTER, ISAAC STEPHEN")</f>
        <v>BURKHALTER, ISAAC STEPHEN</v>
      </c>
      <c r="D4016" t="str">
        <f>IFERROR(__xludf.DUMMYFUNCTION("""COMPUTED_VALUE"""),"Band Level II")</f>
        <v>Band Level II</v>
      </c>
      <c r="E4016" s="3">
        <f>IFERROR(__xludf.DUMMYFUNCTION("""COMPUTED_VALUE"""),6.0)</f>
        <v>6</v>
      </c>
      <c r="F4016" s="300">
        <v>1.0</v>
      </c>
      <c r="G4016" s="300">
        <v>1.0</v>
      </c>
      <c r="H4016" s="300">
        <v>1.0</v>
      </c>
      <c r="I4016" s="300">
        <v>1.0</v>
      </c>
      <c r="J4016" s="300">
        <v>1.0</v>
      </c>
      <c r="K4016" s="300">
        <v>1.0</v>
      </c>
      <c r="L4016" s="300">
        <v>1.0</v>
      </c>
      <c r="M4016" s="300">
        <v>1.0</v>
      </c>
      <c r="N4016" s="300">
        <v>8.0</v>
      </c>
      <c r="O4016" s="300" t="s">
        <v>942</v>
      </c>
      <c r="P4016" s="300">
        <v>2.0</v>
      </c>
    </row>
    <row r="4017">
      <c r="A4017">
        <f>IFERROR(__xludf.DUMMYFUNCTION("""COMPUTED_VALUE"""),12.0)</f>
        <v>12</v>
      </c>
      <c r="B4017">
        <f>IFERROR(__xludf.DUMMYFUNCTION("""COMPUTED_VALUE"""),26120.0)</f>
        <v>26120</v>
      </c>
      <c r="C4017" t="str">
        <f>IFERROR(__xludf.DUMMYFUNCTION("""COMPUTED_VALUE"""),"VERGARA ROZO, JERONIMO")</f>
        <v>VERGARA ROZO, JERONIMO</v>
      </c>
      <c r="D4017" t="str">
        <f>IFERROR(__xludf.DUMMYFUNCTION("""COMPUTED_VALUE"""),"Physics")</f>
        <v>Physics</v>
      </c>
      <c r="E4017" s="3">
        <f>IFERROR(__xludf.DUMMYFUNCTION("""COMPUTED_VALUE"""),8.0)</f>
        <v>8</v>
      </c>
      <c r="F4017" s="300">
        <v>1.0</v>
      </c>
      <c r="G4017" s="300">
        <v>1.0</v>
      </c>
      <c r="H4017" s="300">
        <v>1.0</v>
      </c>
      <c r="I4017" s="300">
        <v>1.0</v>
      </c>
      <c r="J4017" s="300">
        <v>1.0</v>
      </c>
      <c r="K4017" s="300">
        <v>1.0</v>
      </c>
      <c r="L4017" s="300">
        <v>1.0</v>
      </c>
      <c r="M4017" s="300">
        <v>1.0</v>
      </c>
      <c r="N4017" s="300">
        <v>8.0</v>
      </c>
      <c r="O4017" s="300" t="s">
        <v>883</v>
      </c>
      <c r="P4017" s="300">
        <v>5.0</v>
      </c>
    </row>
    <row r="4018">
      <c r="A4018">
        <f>IFERROR(__xludf.DUMMYFUNCTION("""COMPUTED_VALUE"""),12.0)</f>
        <v>12</v>
      </c>
      <c r="B4018">
        <f>IFERROR(__xludf.DUMMYFUNCTION("""COMPUTED_VALUE"""),26130.0)</f>
        <v>26130</v>
      </c>
      <c r="C4018" t="str">
        <f>IFERROR(__xludf.DUMMYFUNCTION("""COMPUTED_VALUE"""),"IBAÑEZ MONTOYA, DANIEL")</f>
        <v>IBAÑEZ MONTOYA, DANIEL</v>
      </c>
      <c r="D4018" t="str">
        <f>IFERROR(__xludf.DUMMYFUNCTION("""COMPUTED_VALUE"""),"Band Level II")</f>
        <v>Band Level II</v>
      </c>
      <c r="E4018" s="3">
        <f>IFERROR(__xludf.DUMMYFUNCTION("""COMPUTED_VALUE"""),6.0)</f>
        <v>6</v>
      </c>
      <c r="F4018" s="300">
        <v>1.0</v>
      </c>
      <c r="G4018" s="300">
        <v>1.0</v>
      </c>
      <c r="H4018" s="300">
        <v>1.0</v>
      </c>
      <c r="I4018" s="300">
        <v>1.0</v>
      </c>
      <c r="J4018" s="300">
        <v>1.0</v>
      </c>
      <c r="K4018" s="300">
        <v>1.0</v>
      </c>
      <c r="L4018" s="300">
        <v>1.0</v>
      </c>
      <c r="M4018" s="300">
        <v>1.0</v>
      </c>
      <c r="N4018" s="300">
        <v>8.0</v>
      </c>
      <c r="O4018" s="300" t="s">
        <v>942</v>
      </c>
      <c r="P4018" s="300">
        <v>2.0</v>
      </c>
    </row>
    <row r="4019">
      <c r="A4019">
        <f>IFERROR(__xludf.DUMMYFUNCTION("""COMPUTED_VALUE"""),12.0)</f>
        <v>12</v>
      </c>
      <c r="B4019">
        <f>IFERROR(__xludf.DUMMYFUNCTION("""COMPUTED_VALUE"""),26117.0)</f>
        <v>26117</v>
      </c>
      <c r="C4019" t="str">
        <f>IFERROR(__xludf.DUMMYFUNCTION("""COMPUTED_VALUE"""),"VELEZ RESTREPO, LUCAS")</f>
        <v>VELEZ RESTREPO, LUCAS</v>
      </c>
      <c r="D4019" t="str">
        <f>IFERROR(__xludf.DUMMYFUNCTION("""COMPUTED_VALUE"""),"Financial Math")</f>
        <v>Financial Math</v>
      </c>
      <c r="E4019" s="3">
        <f>IFERROR(__xludf.DUMMYFUNCTION("""COMPUTED_VALUE"""),5.0)</f>
        <v>5</v>
      </c>
      <c r="F4019" s="300">
        <v>1.0</v>
      </c>
      <c r="G4019" s="300">
        <v>1.0</v>
      </c>
      <c r="H4019" s="300">
        <v>1.0</v>
      </c>
      <c r="I4019" s="300">
        <v>1.0</v>
      </c>
      <c r="J4019" s="300">
        <v>1.0</v>
      </c>
      <c r="K4019" s="300">
        <v>1.0</v>
      </c>
      <c r="L4019" s="300">
        <v>1.0</v>
      </c>
      <c r="M4019" s="300">
        <v>1.0</v>
      </c>
      <c r="N4019" s="300">
        <v>8.0</v>
      </c>
      <c r="O4019" s="300" t="s">
        <v>862</v>
      </c>
      <c r="P4019" s="300">
        <v>3.0</v>
      </c>
    </row>
    <row r="4020">
      <c r="A4020">
        <f>IFERROR(__xludf.DUMMYFUNCTION("""COMPUTED_VALUE"""),12.0)</f>
        <v>12</v>
      </c>
      <c r="B4020">
        <f>IFERROR(__xludf.DUMMYFUNCTION("""COMPUTED_VALUE"""),26168.0)</f>
        <v>26168</v>
      </c>
      <c r="C4020" t="str">
        <f>IFERROR(__xludf.DUMMYFUNCTION("""COMPUTED_VALUE"""),"NARANJO ARANA, LETICIA")</f>
        <v>NARANJO ARANA, LETICIA</v>
      </c>
      <c r="D4020" t="str">
        <f>IFERROR(__xludf.DUMMYFUNCTION("""COMPUTED_VALUE"""),"AP 3-D Art and Design")</f>
        <v>AP 3-D Art and Design</v>
      </c>
      <c r="E4020" s="3">
        <f>IFERROR(__xludf.DUMMYFUNCTION("""COMPUTED_VALUE"""),6.0)</f>
        <v>6</v>
      </c>
      <c r="F4020" s="300">
        <v>1.0</v>
      </c>
      <c r="G4020" s="300">
        <v>1.0</v>
      </c>
      <c r="H4020" s="300">
        <v>1.0</v>
      </c>
      <c r="I4020" s="300">
        <v>1.0</v>
      </c>
      <c r="J4020" s="300">
        <v>1.0</v>
      </c>
      <c r="K4020" s="300">
        <v>1.0</v>
      </c>
      <c r="L4020" s="300">
        <v>1.0</v>
      </c>
      <c r="M4020" s="300">
        <v>1.0</v>
      </c>
      <c r="N4020" s="300">
        <v>8.0</v>
      </c>
      <c r="O4020" s="300" t="s">
        <v>949</v>
      </c>
      <c r="P4020" s="300">
        <v>1.0</v>
      </c>
    </row>
    <row r="4021">
      <c r="A4021">
        <f>IFERROR(__xludf.DUMMYFUNCTION("""COMPUTED_VALUE"""),12.0)</f>
        <v>12</v>
      </c>
      <c r="B4021">
        <f>IFERROR(__xludf.DUMMYFUNCTION("""COMPUTED_VALUE"""),26156.0)</f>
        <v>26156</v>
      </c>
      <c r="C4021" t="str">
        <f>IFERROR(__xludf.DUMMYFUNCTION("""COMPUTED_VALUE"""),"CORTES CARDONA, MARIANA")</f>
        <v>CORTES CARDONA, MARIANA</v>
      </c>
      <c r="D4021" t="str">
        <f>IFERROR(__xludf.DUMMYFUNCTION("""COMPUTED_VALUE"""),"Painting I")</f>
        <v>Painting I</v>
      </c>
      <c r="E4021" s="3">
        <f>IFERROR(__xludf.DUMMYFUNCTION("""COMPUTED_VALUE"""),4.0)</f>
        <v>4</v>
      </c>
      <c r="F4021" s="300">
        <v>1.0</v>
      </c>
      <c r="G4021" s="300">
        <v>1.0</v>
      </c>
      <c r="H4021" s="300">
        <v>1.0</v>
      </c>
      <c r="I4021" s="300">
        <v>1.0</v>
      </c>
      <c r="J4021" s="300">
        <v>1.0</v>
      </c>
      <c r="K4021" s="300">
        <v>1.0</v>
      </c>
      <c r="L4021" s="300">
        <v>1.0</v>
      </c>
      <c r="M4021" s="300">
        <v>1.0</v>
      </c>
      <c r="N4021" s="300">
        <v>8.0</v>
      </c>
      <c r="O4021" s="300" t="s">
        <v>946</v>
      </c>
      <c r="P4021" s="300">
        <v>4.0</v>
      </c>
    </row>
    <row r="4022">
      <c r="A4022">
        <f>IFERROR(__xludf.DUMMYFUNCTION("""COMPUTED_VALUE"""),12.0)</f>
        <v>12</v>
      </c>
      <c r="B4022">
        <f>IFERROR(__xludf.DUMMYFUNCTION("""COMPUTED_VALUE"""),26127.0)</f>
        <v>26127</v>
      </c>
      <c r="C4022" t="str">
        <f>IFERROR(__xludf.DUMMYFUNCTION("""COMPUTED_VALUE"""),"ZULOAGA AYUB, CAMILA")</f>
        <v>ZULOAGA AYUB, CAMILA</v>
      </c>
      <c r="D4022" t="str">
        <f>IFERROR(__xludf.DUMMYFUNCTION("""COMPUTED_VALUE"""),"Painting II")</f>
        <v>Painting II</v>
      </c>
      <c r="E4022" s="3">
        <f>IFERROR(__xludf.DUMMYFUNCTION("""COMPUTED_VALUE"""),7.0)</f>
        <v>7</v>
      </c>
      <c r="F4022" s="300">
        <v>1.0</v>
      </c>
      <c r="G4022" s="300">
        <v>1.0</v>
      </c>
      <c r="H4022" s="300">
        <v>1.0</v>
      </c>
      <c r="I4022" s="300">
        <v>1.0</v>
      </c>
      <c r="J4022" s="300">
        <v>1.0</v>
      </c>
      <c r="K4022" s="300">
        <v>1.0</v>
      </c>
      <c r="L4022" s="300">
        <v>1.0</v>
      </c>
      <c r="M4022" s="300">
        <v>1.0</v>
      </c>
      <c r="N4022" s="300">
        <v>8.0</v>
      </c>
      <c r="O4022" s="300" t="s">
        <v>935</v>
      </c>
      <c r="P4022" s="300">
        <v>2.0</v>
      </c>
    </row>
    <row r="4023">
      <c r="A4023">
        <f>IFERROR(__xludf.DUMMYFUNCTION("""COMPUTED_VALUE"""),12.0)</f>
        <v>12</v>
      </c>
      <c r="B4023">
        <f>IFERROR(__xludf.DUMMYFUNCTION("""COMPUTED_VALUE"""),26099.0)</f>
        <v>26099</v>
      </c>
      <c r="C4023" t="str">
        <f>IFERROR(__xludf.DUMMYFUNCTION("""COMPUTED_VALUE"""),"RESTREPO RESTREPO, MAXIMILIANO")</f>
        <v>RESTREPO RESTREPO, MAXIMILIANO</v>
      </c>
      <c r="D4023" t="str">
        <f>IFERROR(__xludf.DUMMYFUNCTION("""COMPUTED_VALUE"""),"Financial Math")</f>
        <v>Financial Math</v>
      </c>
      <c r="E4023" s="3">
        <f>IFERROR(__xludf.DUMMYFUNCTION("""COMPUTED_VALUE"""),5.0)</f>
        <v>5</v>
      </c>
      <c r="F4023" s="300">
        <v>1.0</v>
      </c>
      <c r="G4023" s="300">
        <v>1.0</v>
      </c>
      <c r="H4023" s="300">
        <v>1.0</v>
      </c>
      <c r="I4023" s="300">
        <v>1.0</v>
      </c>
      <c r="J4023" s="300">
        <v>1.0</v>
      </c>
      <c r="K4023" s="300">
        <v>1.0</v>
      </c>
      <c r="L4023" s="300">
        <v>1.0</v>
      </c>
      <c r="M4023" s="300">
        <v>1.0</v>
      </c>
      <c r="N4023" s="300">
        <v>8.0</v>
      </c>
      <c r="O4023" s="300" t="s">
        <v>862</v>
      </c>
      <c r="P4023" s="300">
        <v>3.0</v>
      </c>
    </row>
    <row r="4024">
      <c r="A4024">
        <f>IFERROR(__xludf.DUMMYFUNCTION("""COMPUTED_VALUE"""),12.0)</f>
        <v>12</v>
      </c>
      <c r="B4024">
        <f>IFERROR(__xludf.DUMMYFUNCTION("""COMPUTED_VALUE"""),26043.0)</f>
        <v>26043</v>
      </c>
      <c r="C4024" t="str">
        <f>IFERROR(__xludf.DUMMYFUNCTION("""COMPUTED_VALUE"""),"GONZALEZ MARIN, MATIAS")</f>
        <v>GONZALEZ MARIN, MATIAS</v>
      </c>
      <c r="D4024" t="str">
        <f>IFERROR(__xludf.DUMMYFUNCTION("""COMPUTED_VALUE"""),"PE 11")</f>
        <v>PE 11</v>
      </c>
      <c r="E4024" s="3">
        <f>IFERROR(__xludf.DUMMYFUNCTION("""COMPUTED_VALUE"""),2.0)</f>
        <v>2</v>
      </c>
      <c r="F4024" s="300">
        <v>1.0</v>
      </c>
      <c r="G4024" s="300">
        <v>1.0</v>
      </c>
      <c r="H4024" s="300">
        <v>1.0</v>
      </c>
      <c r="I4024" s="300">
        <v>1.0</v>
      </c>
      <c r="J4024" s="300">
        <v>1.0</v>
      </c>
      <c r="K4024" s="300">
        <v>1.0</v>
      </c>
      <c r="L4024" s="300">
        <v>1.0</v>
      </c>
      <c r="M4024" s="300">
        <v>1.0</v>
      </c>
      <c r="N4024" s="300">
        <v>8.0</v>
      </c>
      <c r="O4024" s="300" t="s">
        <v>912</v>
      </c>
      <c r="P4024" s="300">
        <v>6.0</v>
      </c>
    </row>
    <row r="4025">
      <c r="A4025">
        <f>IFERROR(__xludf.DUMMYFUNCTION("""COMPUTED_VALUE"""),12.0)</f>
        <v>12</v>
      </c>
      <c r="B4025">
        <f>IFERROR(__xludf.DUMMYFUNCTION("""COMPUTED_VALUE"""),26081.0)</f>
        <v>26081</v>
      </c>
      <c r="C4025" t="str">
        <f>IFERROR(__xludf.DUMMYFUNCTION("""COMPUTED_VALUE"""),"OLAYA CARDENAS, SAMUEL")</f>
        <v>OLAYA CARDENAS, SAMUEL</v>
      </c>
      <c r="D4025" t="str">
        <f>IFERROR(__xludf.DUMMYFUNCTION("""COMPUTED_VALUE"""),"Band Level II")</f>
        <v>Band Level II</v>
      </c>
      <c r="E4025" s="3">
        <f>IFERROR(__xludf.DUMMYFUNCTION("""COMPUTED_VALUE"""),6.0)</f>
        <v>6</v>
      </c>
      <c r="F4025" s="300">
        <v>1.0</v>
      </c>
      <c r="G4025" s="300">
        <v>1.0</v>
      </c>
      <c r="H4025" s="300">
        <v>1.0</v>
      </c>
      <c r="I4025" s="300">
        <v>1.0</v>
      </c>
      <c r="J4025" s="300">
        <v>1.0</v>
      </c>
      <c r="K4025" s="300">
        <v>1.0</v>
      </c>
      <c r="L4025" s="300">
        <v>1.0</v>
      </c>
      <c r="M4025" s="300">
        <v>1.0</v>
      </c>
      <c r="N4025" s="300">
        <v>8.0</v>
      </c>
      <c r="O4025" s="300" t="s">
        <v>942</v>
      </c>
      <c r="P4025" s="300">
        <v>2.0</v>
      </c>
    </row>
    <row r="4026">
      <c r="A4026">
        <f>IFERROR(__xludf.DUMMYFUNCTION("""COMPUTED_VALUE"""),12.0)</f>
        <v>12</v>
      </c>
      <c r="B4026">
        <f>IFERROR(__xludf.DUMMYFUNCTION("""COMPUTED_VALUE"""),26115.0)</f>
        <v>26115</v>
      </c>
      <c r="C4026" t="str">
        <f>IFERROR(__xludf.DUMMYFUNCTION("""COMPUTED_VALUE"""),"VELASQUEZ URIBE, JOSE MANUEL")</f>
        <v>VELASQUEZ URIBE, JOSE MANUEL</v>
      </c>
      <c r="D4026" t="str">
        <f>IFERROR(__xludf.DUMMYFUNCTION("""COMPUTED_VALUE"""),"Financial Math")</f>
        <v>Financial Math</v>
      </c>
      <c r="E4026" s="3">
        <f>IFERROR(__xludf.DUMMYFUNCTION("""COMPUTED_VALUE"""),5.0)</f>
        <v>5</v>
      </c>
      <c r="F4026" s="300">
        <v>1.0</v>
      </c>
      <c r="G4026" s="300">
        <v>1.0</v>
      </c>
      <c r="H4026" s="300">
        <v>1.0</v>
      </c>
      <c r="I4026" s="300">
        <v>1.0</v>
      </c>
      <c r="J4026" s="300">
        <v>1.0</v>
      </c>
      <c r="K4026" s="300">
        <v>1.0</v>
      </c>
      <c r="L4026" s="300">
        <v>1.0</v>
      </c>
      <c r="M4026" s="300">
        <v>1.0</v>
      </c>
      <c r="N4026" s="300">
        <v>8.0</v>
      </c>
      <c r="O4026" s="300" t="s">
        <v>862</v>
      </c>
      <c r="P4026" s="300">
        <v>3.0</v>
      </c>
    </row>
    <row r="4027">
      <c r="A4027">
        <f>IFERROR(__xludf.DUMMYFUNCTION("""COMPUTED_VALUE"""),12.0)</f>
        <v>12</v>
      </c>
      <c r="B4027">
        <f>IFERROR(__xludf.DUMMYFUNCTION("""COMPUTED_VALUE"""),26069.0)</f>
        <v>26069</v>
      </c>
      <c r="C4027" t="str">
        <f>IFERROR(__xludf.DUMMYFUNCTION("""COMPUTED_VALUE"""),"MANTILLA DURANGO, VALERIA")</f>
        <v>MANTILLA DURANGO, VALERIA</v>
      </c>
      <c r="D4027" t="str">
        <f>IFERROR(__xludf.DUMMYFUNCTION("""COMPUTED_VALUE"""),"Sociales 10")</f>
        <v>Sociales 10</v>
      </c>
      <c r="E4027" s="3">
        <f>IFERROR(__xludf.DUMMYFUNCTION("""COMPUTED_VALUE"""),4.0)</f>
        <v>4</v>
      </c>
      <c r="F4027" s="300">
        <v>1.0</v>
      </c>
      <c r="G4027" s="300">
        <v>1.0</v>
      </c>
      <c r="H4027" s="300">
        <v>1.0</v>
      </c>
      <c r="I4027" s="300">
        <v>1.0</v>
      </c>
      <c r="J4027" s="300">
        <v>1.0</v>
      </c>
      <c r="K4027" s="300">
        <v>1.0</v>
      </c>
      <c r="L4027" s="300">
        <v>1.0</v>
      </c>
      <c r="M4027" s="300">
        <v>1.0</v>
      </c>
      <c r="N4027" s="300">
        <v>8.0</v>
      </c>
      <c r="O4027" s="300" t="s">
        <v>969</v>
      </c>
      <c r="P4027" s="300">
        <v>7.0</v>
      </c>
    </row>
    <row r="4028">
      <c r="A4028">
        <f>IFERROR(__xludf.DUMMYFUNCTION("""COMPUTED_VALUE"""),12.0)</f>
        <v>12</v>
      </c>
      <c r="B4028">
        <f>IFERROR(__xludf.DUMMYFUNCTION("""COMPUTED_VALUE"""),26103.0)</f>
        <v>26103</v>
      </c>
      <c r="C4028" t="str">
        <f>IFERROR(__xludf.DUMMYFUNCTION("""COMPUTED_VALUE"""),"RODRIGUEZ OSORIO, JERONIMO")</f>
        <v>RODRIGUEZ OSORIO, JERONIMO</v>
      </c>
      <c r="D4028" t="str">
        <f>IFERROR(__xludf.DUMMYFUNCTION("""COMPUTED_VALUE"""),"Band Level II")</f>
        <v>Band Level II</v>
      </c>
      <c r="E4028" s="3">
        <f>IFERROR(__xludf.DUMMYFUNCTION("""COMPUTED_VALUE"""),2.0)</f>
        <v>2</v>
      </c>
      <c r="F4028" s="300">
        <v>1.0</v>
      </c>
      <c r="G4028" s="300">
        <v>1.0</v>
      </c>
      <c r="H4028" s="300">
        <v>1.0</v>
      </c>
      <c r="I4028" s="300">
        <v>1.0</v>
      </c>
      <c r="J4028" s="300">
        <v>1.0</v>
      </c>
      <c r="K4028" s="300">
        <v>1.0</v>
      </c>
      <c r="L4028" s="300">
        <v>1.0</v>
      </c>
      <c r="M4028" s="300">
        <v>1.0</v>
      </c>
      <c r="N4028" s="300">
        <v>8.0</v>
      </c>
      <c r="O4028" s="300" t="s">
        <v>940</v>
      </c>
      <c r="P4028" s="300">
        <v>2.0</v>
      </c>
    </row>
    <row r="4029">
      <c r="A4029">
        <f>IFERROR(__xludf.DUMMYFUNCTION("""COMPUTED_VALUE"""),12.0)</f>
        <v>12</v>
      </c>
      <c r="B4029">
        <f>IFERROR(__xludf.DUMMYFUNCTION("""COMPUTED_VALUE"""),26163.0)</f>
        <v>26163</v>
      </c>
      <c r="C4029" t="str">
        <f>IFERROR(__xludf.DUMMYFUNCTION("""COMPUTED_VALUE"""),"SALAS VELEZ, AMELIA")</f>
        <v>SALAS VELEZ, AMELIA</v>
      </c>
      <c r="D4029" t="str">
        <f>IFERROR(__xludf.DUMMYFUNCTION("""COMPUTED_VALUE"""),"Art of Fiction Higher Level")</f>
        <v>Art of Fiction Higher Level</v>
      </c>
      <c r="E4029" s="3">
        <f>IFERROR(__xludf.DUMMYFUNCTION("""COMPUTED_VALUE"""),8.0)</f>
        <v>8</v>
      </c>
      <c r="F4029" s="300">
        <v>1.0</v>
      </c>
      <c r="G4029" s="300">
        <v>1.0</v>
      </c>
      <c r="H4029" s="300">
        <v>1.0</v>
      </c>
      <c r="I4029" s="300">
        <v>1.0</v>
      </c>
      <c r="J4029" s="300">
        <v>1.0</v>
      </c>
      <c r="K4029" s="300">
        <v>1.0</v>
      </c>
      <c r="L4029" s="300">
        <v>1.0</v>
      </c>
      <c r="M4029" s="300">
        <v>1.0</v>
      </c>
      <c r="N4029" s="300">
        <v>8.0</v>
      </c>
      <c r="O4029" s="300" t="s">
        <v>804</v>
      </c>
      <c r="P4029" s="300">
        <v>3.0</v>
      </c>
    </row>
    <row r="4030">
      <c r="A4030">
        <f>IFERROR(__xludf.DUMMYFUNCTION("""COMPUTED_VALUE"""),12.0)</f>
        <v>12</v>
      </c>
      <c r="B4030">
        <f>IFERROR(__xludf.DUMMYFUNCTION("""COMPUTED_VALUE"""),26118.0)</f>
        <v>26118</v>
      </c>
      <c r="C4030" t="str">
        <f>IFERROR(__xludf.DUMMYFUNCTION("""COMPUTED_VALUE"""),"VELEZ ZAPATA, MANUELA")</f>
        <v>VELEZ ZAPATA, MANUELA</v>
      </c>
      <c r="D4030" t="str">
        <f>IFERROR(__xludf.DUMMYFUNCTION("""COMPUTED_VALUE"""),"Anatomy and Physiology")</f>
        <v>Anatomy and Physiology</v>
      </c>
      <c r="E4030" s="3">
        <f>IFERROR(__xludf.DUMMYFUNCTION("""COMPUTED_VALUE"""),4.0)</f>
        <v>4</v>
      </c>
      <c r="F4030" s="300">
        <v>1.0</v>
      </c>
      <c r="G4030" s="300">
        <v>1.0</v>
      </c>
      <c r="H4030" s="300">
        <v>1.0</v>
      </c>
      <c r="I4030" s="300">
        <v>1.0</v>
      </c>
      <c r="J4030" s="300">
        <v>1.0</v>
      </c>
      <c r="K4030" s="300">
        <v>1.0</v>
      </c>
      <c r="L4030" s="300">
        <v>1.0</v>
      </c>
      <c r="M4030" s="300">
        <v>1.0</v>
      </c>
      <c r="N4030" s="300">
        <v>8.0</v>
      </c>
      <c r="O4030" s="300" t="s">
        <v>895</v>
      </c>
      <c r="P4030" s="300">
        <v>2.0</v>
      </c>
    </row>
    <row r="4031">
      <c r="A4031">
        <f>IFERROR(__xludf.DUMMYFUNCTION("""COMPUTED_VALUE"""),12.0)</f>
        <v>12</v>
      </c>
      <c r="B4031">
        <f>IFERROR(__xludf.DUMMYFUNCTION("""COMPUTED_VALUE"""),26112.0)</f>
        <v>26112</v>
      </c>
      <c r="C4031" t="str">
        <f>IFERROR(__xludf.DUMMYFUNCTION("""COMPUTED_VALUE"""),"URIBE FERNANDEZ, ANDRES")</f>
        <v>URIBE FERNANDEZ, ANDRES</v>
      </c>
      <c r="D4031" t="str">
        <f>IFERROR(__xludf.DUMMYFUNCTION("""COMPUTED_VALUE"""),"Drawing I")</f>
        <v>Drawing I</v>
      </c>
      <c r="E4031" s="3">
        <f>IFERROR(__xludf.DUMMYFUNCTION("""COMPUTED_VALUE"""),8.0)</f>
        <v>8</v>
      </c>
      <c r="F4031" s="300">
        <v>1.0</v>
      </c>
      <c r="G4031" s="300">
        <v>1.0</v>
      </c>
      <c r="H4031" s="300">
        <v>1.0</v>
      </c>
      <c r="I4031" s="300">
        <v>1.0</v>
      </c>
      <c r="J4031" s="300">
        <v>1.0</v>
      </c>
      <c r="K4031" s="300">
        <v>1.0</v>
      </c>
      <c r="L4031" s="300">
        <v>1.0</v>
      </c>
      <c r="M4031" s="300">
        <v>1.0</v>
      </c>
      <c r="N4031" s="300">
        <v>8.0</v>
      </c>
      <c r="O4031" s="300" t="s">
        <v>944</v>
      </c>
      <c r="P4031" s="300">
        <v>2.0</v>
      </c>
    </row>
    <row r="4032">
      <c r="A4032">
        <f>IFERROR(__xludf.DUMMYFUNCTION("""COMPUTED_VALUE"""),12.0)</f>
        <v>12</v>
      </c>
      <c r="B4032">
        <f>IFERROR(__xludf.DUMMYFUNCTION("""COMPUTED_VALUE"""),26006.0)</f>
        <v>26006</v>
      </c>
      <c r="C4032" t="str">
        <f>IFERROR(__xludf.DUMMYFUNCTION("""COMPUTED_VALUE"""),"AMAR JARAMILLO, NICHOLAS")</f>
        <v>AMAR JARAMILLO, NICHOLAS</v>
      </c>
      <c r="D4032" t="str">
        <f>IFERROR(__xludf.DUMMYFUNCTION("""COMPUTED_VALUE"""),"AP English Language")</f>
        <v>AP English Language</v>
      </c>
      <c r="E4032" s="3">
        <f>IFERROR(__xludf.DUMMYFUNCTION("""COMPUTED_VALUE"""),3.0)</f>
        <v>3</v>
      </c>
      <c r="F4032" s="300">
        <v>1.0</v>
      </c>
      <c r="G4032" s="300">
        <v>1.0</v>
      </c>
      <c r="H4032" s="300">
        <v>1.0</v>
      </c>
      <c r="I4032" s="300">
        <v>1.0</v>
      </c>
      <c r="J4032" s="300">
        <v>1.0</v>
      </c>
      <c r="K4032" s="300">
        <v>1.0</v>
      </c>
      <c r="L4032" s="300">
        <v>1.0</v>
      </c>
      <c r="M4032" s="300">
        <v>1.0</v>
      </c>
      <c r="N4032" s="300">
        <v>8.0</v>
      </c>
      <c r="O4032" s="300" t="s">
        <v>795</v>
      </c>
      <c r="P4032" s="300">
        <v>2.0</v>
      </c>
    </row>
    <row r="4033">
      <c r="A4033">
        <f>IFERROR(__xludf.DUMMYFUNCTION("""COMPUTED_VALUE"""),12.0)</f>
        <v>12</v>
      </c>
      <c r="B4033">
        <f>IFERROR(__xludf.DUMMYFUNCTION("""COMPUTED_VALUE"""),26034.0)</f>
        <v>26034</v>
      </c>
      <c r="C4033" t="str">
        <f>IFERROR(__xludf.DUMMYFUNCTION("""COMPUTED_VALUE"""),"GARCIA CORREA, MARIA CLARA")</f>
        <v>GARCIA CORREA, MARIA CLARA</v>
      </c>
      <c r="D4033" t="str">
        <f>IFERROR(__xludf.DUMMYFUNCTION("""COMPUTED_VALUE"""),"Mixed Media Art")</f>
        <v>Mixed Media Art</v>
      </c>
      <c r="E4033" s="3">
        <f>IFERROR(__xludf.DUMMYFUNCTION("""COMPUTED_VALUE"""),6.0)</f>
        <v>6</v>
      </c>
      <c r="F4033" s="300">
        <v>1.0</v>
      </c>
      <c r="G4033" s="300">
        <v>1.0</v>
      </c>
      <c r="H4033" s="300">
        <v>1.0</v>
      </c>
      <c r="I4033" s="300">
        <v>1.0</v>
      </c>
      <c r="J4033" s="300">
        <v>1.0</v>
      </c>
      <c r="K4033" s="300">
        <v>1.0</v>
      </c>
      <c r="L4033" s="300">
        <v>1.0</v>
      </c>
      <c r="M4033" s="300">
        <v>1.0</v>
      </c>
      <c r="N4033" s="300">
        <v>8.0</v>
      </c>
      <c r="O4033" s="300" t="s">
        <v>941</v>
      </c>
      <c r="P4033" s="300">
        <v>1.0</v>
      </c>
    </row>
    <row r="4034">
      <c r="A4034">
        <f>IFERROR(__xludf.DUMMYFUNCTION("""COMPUTED_VALUE"""),12.0)</f>
        <v>12</v>
      </c>
      <c r="B4034">
        <f>IFERROR(__xludf.DUMMYFUNCTION("""COMPUTED_VALUE"""),26028.0)</f>
        <v>26028</v>
      </c>
      <c r="C4034" t="str">
        <f>IFERROR(__xludf.DUMMYFUNCTION("""COMPUTED_VALUE"""),"ESCOBAR BURGOS, SANTIAGO")</f>
        <v>ESCOBAR BURGOS, SANTIAGO</v>
      </c>
      <c r="D4034" t="str">
        <f>IFERROR(__xludf.DUMMYFUNCTION("""COMPUTED_VALUE"""),"Entrepreneurship - Business Tech")</f>
        <v>Entrepreneurship - Business Tech</v>
      </c>
      <c r="E4034" s="3">
        <f>IFERROR(__xludf.DUMMYFUNCTION("""COMPUTED_VALUE"""),5.0)</f>
        <v>5</v>
      </c>
      <c r="F4034" s="300">
        <v>1.0</v>
      </c>
      <c r="G4034" s="300">
        <v>1.0</v>
      </c>
      <c r="H4034" s="300">
        <v>1.0</v>
      </c>
      <c r="I4034" s="300">
        <v>1.0</v>
      </c>
      <c r="J4034" s="300">
        <v>1.0</v>
      </c>
      <c r="K4034" s="300">
        <v>1.0</v>
      </c>
      <c r="L4034" s="300">
        <v>1.0</v>
      </c>
      <c r="M4034" s="300">
        <v>1.0</v>
      </c>
      <c r="N4034" s="300">
        <v>8.0</v>
      </c>
      <c r="O4034" s="300" t="s">
        <v>991</v>
      </c>
      <c r="P4034" s="300">
        <v>2.0</v>
      </c>
    </row>
    <row r="4035">
      <c r="A4035">
        <f>IFERROR(__xludf.DUMMYFUNCTION("""COMPUTED_VALUE"""),12.0)</f>
        <v>12</v>
      </c>
      <c r="B4035">
        <f>IFERROR(__xludf.DUMMYFUNCTION("""COMPUTED_VALUE"""),26049.0)</f>
        <v>26049</v>
      </c>
      <c r="C4035" t="str">
        <f>IFERROR(__xludf.DUMMYFUNCTION("""COMPUTED_VALUE"""),"HERRERA GOMEZ, MIGUEL")</f>
        <v>HERRERA GOMEZ, MIGUEL</v>
      </c>
      <c r="D4035" t="str">
        <f>IFERROR(__xludf.DUMMYFUNCTION("""COMPUTED_VALUE"""),"Entrepreneurship - Business Tech")</f>
        <v>Entrepreneurship - Business Tech</v>
      </c>
      <c r="E4035" s="3">
        <f>IFERROR(__xludf.DUMMYFUNCTION("""COMPUTED_VALUE"""),5.0)</f>
        <v>5</v>
      </c>
      <c r="F4035" s="300">
        <v>1.0</v>
      </c>
      <c r="G4035" s="300">
        <v>1.0</v>
      </c>
      <c r="H4035" s="300">
        <v>1.0</v>
      </c>
      <c r="I4035" s="300">
        <v>1.0</v>
      </c>
      <c r="J4035" s="300">
        <v>1.0</v>
      </c>
      <c r="K4035" s="300">
        <v>1.0</v>
      </c>
      <c r="L4035" s="300">
        <v>1.0</v>
      </c>
      <c r="M4035" s="300">
        <v>1.0</v>
      </c>
      <c r="N4035" s="300">
        <v>8.0</v>
      </c>
      <c r="O4035" s="300" t="s">
        <v>991</v>
      </c>
      <c r="P4035" s="300">
        <v>2.0</v>
      </c>
    </row>
    <row r="4036">
      <c r="A4036">
        <f>IFERROR(__xludf.DUMMYFUNCTION("""COMPUTED_VALUE"""),12.0)</f>
        <v>12</v>
      </c>
      <c r="B4036">
        <f>IFERROR(__xludf.DUMMYFUNCTION("""COMPUTED_VALUE"""),26044.0)</f>
        <v>26044</v>
      </c>
      <c r="C4036" t="str">
        <f>IFERROR(__xludf.DUMMYFUNCTION("""COMPUTED_VALUE"""),"GONZALEZ NAVARRO, MIGUEL")</f>
        <v>GONZALEZ NAVARRO, MIGUEL</v>
      </c>
      <c r="D4036" t="str">
        <f>IFERROR(__xludf.DUMMYFUNCTION("""COMPUTED_VALUE"""),"Drawing I")</f>
        <v>Drawing I</v>
      </c>
      <c r="E4036" s="3">
        <f>IFERROR(__xludf.DUMMYFUNCTION("""COMPUTED_VALUE"""),8.0)</f>
        <v>8</v>
      </c>
      <c r="F4036" s="300">
        <v>1.0</v>
      </c>
      <c r="G4036" s="300">
        <v>1.0</v>
      </c>
      <c r="H4036" s="300">
        <v>1.0</v>
      </c>
      <c r="I4036" s="300">
        <v>1.0</v>
      </c>
      <c r="J4036" s="300">
        <v>1.0</v>
      </c>
      <c r="K4036" s="300">
        <v>1.0</v>
      </c>
      <c r="L4036" s="300">
        <v>1.0</v>
      </c>
      <c r="M4036" s="300">
        <v>1.0</v>
      </c>
      <c r="N4036" s="300">
        <v>8.0</v>
      </c>
      <c r="O4036" s="300" t="s">
        <v>944</v>
      </c>
      <c r="P4036" s="300">
        <v>2.0</v>
      </c>
    </row>
    <row r="4037">
      <c r="A4037">
        <f>IFERROR(__xludf.DUMMYFUNCTION("""COMPUTED_VALUE"""),12.0)</f>
        <v>12</v>
      </c>
      <c r="B4037">
        <f>IFERROR(__xludf.DUMMYFUNCTION("""COMPUTED_VALUE"""),26056.0)</f>
        <v>26056</v>
      </c>
      <c r="C4037" t="str">
        <f>IFERROR(__xludf.DUMMYFUNCTION("""COMPUTED_VALUE"""),"ISAZA VELASQUEZ, SALOME")</f>
        <v>ISAZA VELASQUEZ, SALOME</v>
      </c>
      <c r="D4037" t="str">
        <f>IFERROR(__xludf.DUMMYFUNCTION("""COMPUTED_VALUE"""),"Financial Math")</f>
        <v>Financial Math</v>
      </c>
      <c r="E4037" s="3">
        <f>IFERROR(__xludf.DUMMYFUNCTION("""COMPUTED_VALUE"""),4.0)</f>
        <v>4</v>
      </c>
      <c r="F4037" s="300">
        <v>1.0</v>
      </c>
      <c r="G4037" s="300">
        <v>1.0</v>
      </c>
      <c r="H4037" s="300">
        <v>1.0</v>
      </c>
      <c r="I4037" s="300">
        <v>1.0</v>
      </c>
      <c r="J4037" s="300">
        <v>1.0</v>
      </c>
      <c r="K4037" s="300">
        <v>1.0</v>
      </c>
      <c r="L4037" s="300">
        <v>1.0</v>
      </c>
      <c r="M4037" s="300">
        <v>1.0</v>
      </c>
      <c r="N4037" s="300">
        <v>8.0</v>
      </c>
      <c r="O4037" s="300" t="s">
        <v>865</v>
      </c>
      <c r="P4037" s="300">
        <v>3.0</v>
      </c>
    </row>
    <row r="4038">
      <c r="A4038">
        <f>IFERROR(__xludf.DUMMYFUNCTION("""COMPUTED_VALUE"""),12.0)</f>
        <v>12</v>
      </c>
      <c r="B4038">
        <f>IFERROR(__xludf.DUMMYFUNCTION("""COMPUTED_VALUE"""),26001.0)</f>
        <v>26001</v>
      </c>
      <c r="C4038" t="str">
        <f>IFERROR(__xludf.DUMMYFUNCTION("""COMPUTED_VALUE"""),"AARON VASQUEZ, MARIA DEL MAR")</f>
        <v>AARON VASQUEZ, MARIA DEL MAR</v>
      </c>
      <c r="D4038" t="str">
        <f>IFERROR(__xludf.DUMMYFUNCTION("""COMPUTED_VALUE"""),"Painting I")</f>
        <v>Painting I</v>
      </c>
      <c r="E4038" s="3">
        <f>IFERROR(__xludf.DUMMYFUNCTION("""COMPUTED_VALUE"""),4.0)</f>
        <v>4</v>
      </c>
      <c r="F4038" s="300">
        <v>1.0</v>
      </c>
      <c r="G4038" s="300">
        <v>1.0</v>
      </c>
      <c r="H4038" s="300">
        <v>1.0</v>
      </c>
      <c r="I4038" s="300">
        <v>1.0</v>
      </c>
      <c r="J4038" s="300">
        <v>1.0</v>
      </c>
      <c r="K4038" s="300">
        <v>1.0</v>
      </c>
      <c r="L4038" s="300">
        <v>1.0</v>
      </c>
      <c r="M4038" s="300">
        <v>1.0</v>
      </c>
      <c r="N4038" s="300">
        <v>8.0</v>
      </c>
      <c r="O4038" s="300" t="s">
        <v>946</v>
      </c>
      <c r="P4038" s="300">
        <v>4.0</v>
      </c>
    </row>
    <row r="4039">
      <c r="A4039">
        <f>IFERROR(__xludf.DUMMYFUNCTION("""COMPUTED_VALUE"""),12.0)</f>
        <v>12</v>
      </c>
      <c r="B4039">
        <f>IFERROR(__xludf.DUMMYFUNCTION("""COMPUTED_VALUE"""),26038.0)</f>
        <v>26038</v>
      </c>
      <c r="C4039" t="str">
        <f>IFERROR(__xludf.DUMMYFUNCTION("""COMPUTED_VALUE"""),"GOMEZ LALINDE, SARA")</f>
        <v>GOMEZ LALINDE, SARA</v>
      </c>
      <c r="D4039" t="str">
        <f>IFERROR(__xludf.DUMMYFUNCTION("""COMPUTED_VALUE"""),"Painting II")</f>
        <v>Painting II</v>
      </c>
      <c r="E4039" s="3">
        <f>IFERROR(__xludf.DUMMYFUNCTION("""COMPUTED_VALUE"""),1.0)</f>
        <v>1</v>
      </c>
      <c r="F4039" s="300">
        <v>1.0</v>
      </c>
      <c r="G4039" s="300">
        <v>1.0</v>
      </c>
      <c r="H4039" s="300">
        <v>1.0</v>
      </c>
      <c r="I4039" s="300">
        <v>1.0</v>
      </c>
      <c r="J4039" s="300">
        <v>1.0</v>
      </c>
      <c r="K4039" s="300">
        <v>1.0</v>
      </c>
      <c r="L4039" s="300">
        <v>1.0</v>
      </c>
      <c r="M4039" s="300">
        <v>1.0</v>
      </c>
      <c r="N4039" s="300">
        <v>8.0</v>
      </c>
      <c r="O4039" s="300" t="s">
        <v>939</v>
      </c>
      <c r="P4039" s="300">
        <v>2.0</v>
      </c>
    </row>
    <row r="4040">
      <c r="A4040">
        <f>IFERROR(__xludf.DUMMYFUNCTION("""COMPUTED_VALUE"""),12.0)</f>
        <v>12</v>
      </c>
      <c r="B4040">
        <f>IFERROR(__xludf.DUMMYFUNCTION("""COMPUTED_VALUE"""),26088.0)</f>
        <v>26088</v>
      </c>
      <c r="C4040" t="str">
        <f>IFERROR(__xludf.DUMMYFUNCTION("""COMPUTED_VALUE"""),"PEREZ ECHAVARRIA, SAMUEL")</f>
        <v>PEREZ ECHAVARRIA, SAMUEL</v>
      </c>
      <c r="D4040" t="str">
        <f>IFERROR(__xludf.DUMMYFUNCTION("""COMPUTED_VALUE"""),"Band Level II")</f>
        <v>Band Level II</v>
      </c>
      <c r="E4040" s="3">
        <f>IFERROR(__xludf.DUMMYFUNCTION("""COMPUTED_VALUE"""),6.0)</f>
        <v>6</v>
      </c>
      <c r="F4040" s="300">
        <v>1.0</v>
      </c>
      <c r="G4040" s="300">
        <v>1.0</v>
      </c>
      <c r="H4040" s="300">
        <v>1.0</v>
      </c>
      <c r="I4040" s="300">
        <v>1.0</v>
      </c>
      <c r="J4040" s="300">
        <v>1.0</v>
      </c>
      <c r="K4040" s="300">
        <v>1.0</v>
      </c>
      <c r="L4040" s="300">
        <v>1.0</v>
      </c>
      <c r="M4040" s="300">
        <v>1.0</v>
      </c>
      <c r="N4040" s="300">
        <v>8.0</v>
      </c>
      <c r="O4040" s="300" t="s">
        <v>942</v>
      </c>
      <c r="P4040" s="300">
        <v>2.0</v>
      </c>
    </row>
    <row r="4041">
      <c r="A4041">
        <f>IFERROR(__xludf.DUMMYFUNCTION("""COMPUTED_VALUE"""),12.0)</f>
        <v>12</v>
      </c>
      <c r="B4041">
        <f>IFERROR(__xludf.DUMMYFUNCTION("""COMPUTED_VALUE"""),26010.0)</f>
        <v>26010</v>
      </c>
      <c r="C4041" t="str">
        <f>IFERROR(__xludf.DUMMYFUNCTION("""COMPUTED_VALUE"""),"ARISTIZABAL BOLIVAR, JUAN JOSE")</f>
        <v>ARISTIZABAL BOLIVAR, JUAN JOSE</v>
      </c>
      <c r="D4041" t="str">
        <f>IFERROR(__xludf.DUMMYFUNCTION("""COMPUTED_VALUE"""),"Drawing I")</f>
        <v>Drawing I</v>
      </c>
      <c r="E4041" s="3">
        <f>IFERROR(__xludf.DUMMYFUNCTION("""COMPUTED_VALUE"""),8.0)</f>
        <v>8</v>
      </c>
      <c r="F4041" s="300">
        <v>1.0</v>
      </c>
      <c r="G4041" s="300">
        <v>1.0</v>
      </c>
      <c r="H4041" s="300">
        <v>1.0</v>
      </c>
      <c r="I4041" s="300">
        <v>1.0</v>
      </c>
      <c r="J4041" s="300">
        <v>1.0</v>
      </c>
      <c r="K4041" s="300">
        <v>1.0</v>
      </c>
      <c r="L4041" s="300">
        <v>1.0</v>
      </c>
      <c r="M4041" s="300">
        <v>1.0</v>
      </c>
      <c r="N4041" s="300">
        <v>8.0</v>
      </c>
      <c r="O4041" s="300" t="s">
        <v>944</v>
      </c>
      <c r="P4041" s="300">
        <v>2.0</v>
      </c>
    </row>
    <row r="4042">
      <c r="A4042">
        <f>IFERROR(__xludf.DUMMYFUNCTION("""COMPUTED_VALUE"""),12.0)</f>
        <v>12</v>
      </c>
      <c r="B4042">
        <f>IFERROR(__xludf.DUMMYFUNCTION("""COMPUTED_VALUE"""),26077.0)</f>
        <v>26077</v>
      </c>
      <c r="C4042" t="str">
        <f>IFERROR(__xludf.DUMMYFUNCTION("""COMPUTED_VALUE"""),"MORENO RESTREPO, PEDRO JUAN")</f>
        <v>MORENO RESTREPO, PEDRO JUAN</v>
      </c>
      <c r="D4042" t="str">
        <f>IFERROR(__xludf.DUMMYFUNCTION("""COMPUTED_VALUE"""),"Financial Math")</f>
        <v>Financial Math</v>
      </c>
      <c r="E4042" s="3">
        <f>IFERROR(__xludf.DUMMYFUNCTION("""COMPUTED_VALUE"""),5.0)</f>
        <v>5</v>
      </c>
      <c r="F4042" s="300">
        <v>1.0</v>
      </c>
      <c r="G4042" s="300">
        <v>1.0</v>
      </c>
      <c r="H4042" s="300">
        <v>1.0</v>
      </c>
      <c r="I4042" s="300">
        <v>1.0</v>
      </c>
      <c r="J4042" s="300">
        <v>1.0</v>
      </c>
      <c r="K4042" s="300">
        <v>1.0</v>
      </c>
      <c r="L4042" s="300">
        <v>1.0</v>
      </c>
      <c r="M4042" s="300">
        <v>1.0</v>
      </c>
      <c r="N4042" s="300">
        <v>8.0</v>
      </c>
      <c r="O4042" s="300" t="s">
        <v>862</v>
      </c>
      <c r="P4042" s="300">
        <v>3.0</v>
      </c>
    </row>
    <row r="4043">
      <c r="A4043">
        <f>IFERROR(__xludf.DUMMYFUNCTION("""COMPUTED_VALUE"""),12.0)</f>
        <v>12</v>
      </c>
      <c r="B4043">
        <f>IFERROR(__xludf.DUMMYFUNCTION("""COMPUTED_VALUE"""),26005.0)</f>
        <v>26005</v>
      </c>
      <c r="C4043" t="str">
        <f>IFERROR(__xludf.DUMMYFUNCTION("""COMPUTED_VALUE"""),"ALVAREZ MOLINA, SOFIA")</f>
        <v>ALVAREZ MOLINA, SOFIA</v>
      </c>
      <c r="D4043" t="str">
        <f>IFERROR(__xludf.DUMMYFUNCTION("""COMPUTED_VALUE"""),"Painting I")</f>
        <v>Painting I</v>
      </c>
      <c r="E4043" s="3">
        <f>IFERROR(__xludf.DUMMYFUNCTION("""COMPUTED_VALUE"""),4.0)</f>
        <v>4</v>
      </c>
      <c r="F4043" s="300">
        <v>1.0</v>
      </c>
      <c r="G4043" s="300">
        <v>1.0</v>
      </c>
      <c r="H4043" s="300">
        <v>1.0</v>
      </c>
      <c r="I4043" s="300">
        <v>1.0</v>
      </c>
      <c r="J4043" s="300">
        <v>1.0</v>
      </c>
      <c r="K4043" s="300">
        <v>1.0</v>
      </c>
      <c r="L4043" s="300">
        <v>1.0</v>
      </c>
      <c r="M4043" s="300">
        <v>1.0</v>
      </c>
      <c r="N4043" s="300">
        <v>8.0</v>
      </c>
      <c r="O4043" s="300" t="s">
        <v>946</v>
      </c>
      <c r="P4043" s="300">
        <v>4.0</v>
      </c>
    </row>
    <row r="4044">
      <c r="A4044">
        <f>IFERROR(__xludf.DUMMYFUNCTION("""COMPUTED_VALUE"""),12.0)</f>
        <v>12</v>
      </c>
      <c r="B4044">
        <f>IFERROR(__xludf.DUMMYFUNCTION("""COMPUTED_VALUE"""),26124.0)</f>
        <v>26124</v>
      </c>
      <c r="C4044" t="str">
        <f>IFERROR(__xludf.DUMMYFUNCTION("""COMPUTED_VALUE"""),"YEPES EUSSE, MATIAS")</f>
        <v>YEPES EUSSE, MATIAS</v>
      </c>
      <c r="D4044" t="str">
        <f>IFERROR(__xludf.DUMMYFUNCTION("""COMPUTED_VALUE"""),"Painting I")</f>
        <v>Painting I</v>
      </c>
      <c r="E4044" s="3">
        <f>IFERROR(__xludf.DUMMYFUNCTION("""COMPUTED_VALUE"""),5.0)</f>
        <v>5</v>
      </c>
      <c r="F4044" s="300">
        <v>1.0</v>
      </c>
      <c r="G4044" s="300">
        <v>1.0</v>
      </c>
      <c r="H4044" s="300">
        <v>1.0</v>
      </c>
      <c r="I4044" s="300">
        <v>1.0</v>
      </c>
      <c r="J4044" s="300">
        <v>1.0</v>
      </c>
      <c r="K4044" s="300">
        <v>1.0</v>
      </c>
      <c r="L4044" s="300">
        <v>1.0</v>
      </c>
      <c r="M4044" s="300">
        <v>1.0</v>
      </c>
      <c r="N4044" s="300">
        <v>8.0</v>
      </c>
      <c r="O4044" s="300" t="s">
        <v>945</v>
      </c>
      <c r="P4044" s="300">
        <v>4.0</v>
      </c>
    </row>
    <row r="4045">
      <c r="A4045">
        <f>IFERROR(__xludf.DUMMYFUNCTION("""COMPUTED_VALUE"""),12.0)</f>
        <v>12</v>
      </c>
      <c r="B4045">
        <f>IFERROR(__xludf.DUMMYFUNCTION("""COMPUTED_VALUE"""),26020.0)</f>
        <v>26020</v>
      </c>
      <c r="C4045" t="str">
        <f>IFERROR(__xludf.DUMMYFUNCTION("""COMPUTED_VALUE"""),"CALDWELL VALLEJO, JACK")</f>
        <v>CALDWELL VALLEJO, JACK</v>
      </c>
      <c r="D4045" t="str">
        <f>IFERROR(__xludf.DUMMYFUNCTION("""COMPUTED_VALUE"""),"AP World History")</f>
        <v>AP World History</v>
      </c>
      <c r="E4045" s="3">
        <f>IFERROR(__xludf.DUMMYFUNCTION("""COMPUTED_VALUE"""),5.0)</f>
        <v>5</v>
      </c>
      <c r="F4045" s="300">
        <v>1.0</v>
      </c>
      <c r="G4045" s="300">
        <v>1.0</v>
      </c>
      <c r="H4045" s="300">
        <v>1.0</v>
      </c>
      <c r="I4045" s="300">
        <v>1.0</v>
      </c>
      <c r="J4045" s="300">
        <v>1.0</v>
      </c>
      <c r="K4045" s="300">
        <v>1.0</v>
      </c>
      <c r="L4045" s="300">
        <v>1.0</v>
      </c>
      <c r="M4045" s="300">
        <v>1.0</v>
      </c>
      <c r="N4045" s="300">
        <v>8.0</v>
      </c>
      <c r="O4045" s="300" t="s">
        <v>974</v>
      </c>
      <c r="P4045" s="300">
        <v>2.0</v>
      </c>
    </row>
    <row r="4046">
      <c r="A4046">
        <f>IFERROR(__xludf.DUMMYFUNCTION("""COMPUTED_VALUE"""),12.0)</f>
        <v>12</v>
      </c>
      <c r="B4046">
        <f>IFERROR(__xludf.DUMMYFUNCTION("""COMPUTED_VALUE"""),26068.0)</f>
        <v>26068</v>
      </c>
      <c r="C4046" t="str">
        <f>IFERROR(__xludf.DUMMYFUNCTION("""COMPUTED_VALUE"""),"LOPEZ RODRIGUEZ, SARA")</f>
        <v>LOPEZ RODRIGUEZ, SARA</v>
      </c>
      <c r="D4046" t="str">
        <f>IFERROR(__xludf.DUMMYFUNCTION("""COMPUTED_VALUE"""),"Band Level II")</f>
        <v>Band Level II</v>
      </c>
      <c r="E4046" s="3">
        <f>IFERROR(__xludf.DUMMYFUNCTION("""COMPUTED_VALUE"""),2.0)</f>
        <v>2</v>
      </c>
      <c r="F4046" s="300">
        <v>1.0</v>
      </c>
      <c r="G4046" s="300">
        <v>1.0</v>
      </c>
      <c r="H4046" s="300">
        <v>1.0</v>
      </c>
      <c r="I4046" s="300">
        <v>1.0</v>
      </c>
      <c r="J4046" s="300">
        <v>1.0</v>
      </c>
      <c r="K4046" s="300">
        <v>1.0</v>
      </c>
      <c r="L4046" s="300">
        <v>1.0</v>
      </c>
      <c r="M4046" s="300">
        <v>1.0</v>
      </c>
      <c r="N4046" s="300">
        <v>8.0</v>
      </c>
      <c r="O4046" s="300" t="s">
        <v>940</v>
      </c>
      <c r="P4046" s="300">
        <v>2.0</v>
      </c>
    </row>
    <row r="4047">
      <c r="A4047">
        <f>IFERROR(__xludf.DUMMYFUNCTION("""COMPUTED_VALUE"""),12.0)</f>
        <v>12</v>
      </c>
      <c r="B4047">
        <f>IFERROR(__xludf.DUMMYFUNCTION("""COMPUTED_VALUE"""),26013.0)</f>
        <v>26013</v>
      </c>
      <c r="C4047" t="str">
        <f>IFERROR(__xludf.DUMMYFUNCTION("""COMPUTED_VALUE"""),"BAQUERO GARCIA, ALICIA")</f>
        <v>BAQUERO GARCIA, ALICIA</v>
      </c>
      <c r="D4047" t="str">
        <f>IFERROR(__xludf.DUMMYFUNCTION("""COMPUTED_VALUE"""),"Painting II")</f>
        <v>Painting II</v>
      </c>
      <c r="E4047" s="3">
        <f>IFERROR(__xludf.DUMMYFUNCTION("""COMPUTED_VALUE"""),1.0)</f>
        <v>1</v>
      </c>
      <c r="F4047" s="300">
        <v>1.0</v>
      </c>
      <c r="G4047" s="300">
        <v>1.0</v>
      </c>
      <c r="H4047" s="300">
        <v>1.0</v>
      </c>
      <c r="I4047" s="300">
        <v>1.0</v>
      </c>
      <c r="J4047" s="300">
        <v>1.0</v>
      </c>
      <c r="K4047" s="300">
        <v>1.0</v>
      </c>
      <c r="L4047" s="300">
        <v>1.0</v>
      </c>
      <c r="M4047" s="300">
        <v>1.0</v>
      </c>
      <c r="N4047" s="300">
        <v>8.0</v>
      </c>
      <c r="O4047" s="300" t="s">
        <v>939</v>
      </c>
      <c r="P4047" s="300">
        <v>2.0</v>
      </c>
    </row>
    <row r="4048">
      <c r="A4048">
        <f>IFERROR(__xludf.DUMMYFUNCTION("""COMPUTED_VALUE"""),12.0)</f>
        <v>12</v>
      </c>
      <c r="B4048">
        <f>IFERROR(__xludf.DUMMYFUNCTION("""COMPUTED_VALUE"""),26159.0)</f>
        <v>26159</v>
      </c>
      <c r="C4048" t="str">
        <f>IFERROR(__xludf.DUMMYFUNCTION("""COMPUTED_VALUE"""),"PETTERSSON VANEGAS, ANNIKA")</f>
        <v>PETTERSSON VANEGAS, ANNIKA</v>
      </c>
      <c r="D4048" t="str">
        <f>IFERROR(__xludf.DUMMYFUNCTION("""COMPUTED_VALUE"""),"Band Level II")</f>
        <v>Band Level II</v>
      </c>
      <c r="E4048" s="3">
        <f>IFERROR(__xludf.DUMMYFUNCTION("""COMPUTED_VALUE"""),6.0)</f>
        <v>6</v>
      </c>
      <c r="F4048" s="300">
        <v>1.0</v>
      </c>
      <c r="G4048" s="300">
        <v>1.0</v>
      </c>
      <c r="H4048" s="300">
        <v>1.0</v>
      </c>
      <c r="I4048" s="300">
        <v>1.0</v>
      </c>
      <c r="J4048" s="300">
        <v>1.0</v>
      </c>
      <c r="K4048" s="300">
        <v>1.0</v>
      </c>
      <c r="L4048" s="300">
        <v>1.0</v>
      </c>
      <c r="M4048" s="300">
        <v>1.0</v>
      </c>
      <c r="N4048" s="300">
        <v>8.0</v>
      </c>
      <c r="O4048" s="300" t="s">
        <v>942</v>
      </c>
      <c r="P4048" s="300">
        <v>2.0</v>
      </c>
    </row>
    <row r="4049">
      <c r="A4049">
        <f>IFERROR(__xludf.DUMMYFUNCTION("""COMPUTED_VALUE"""),12.0)</f>
        <v>12</v>
      </c>
      <c r="B4049">
        <f>IFERROR(__xludf.DUMMYFUNCTION("""COMPUTED_VALUE"""),26050.0)</f>
        <v>26050</v>
      </c>
      <c r="C4049" t="str">
        <f>IFERROR(__xludf.DUMMYFUNCTION("""COMPUTED_VALUE"""),"HERRERA LONDOÑO, MANUELA")</f>
        <v>HERRERA LONDOÑO, MANUELA</v>
      </c>
      <c r="D4049" t="str">
        <f>IFERROR(__xludf.DUMMYFUNCTION("""COMPUTED_VALUE"""),"Band Level II")</f>
        <v>Band Level II</v>
      </c>
      <c r="E4049" s="3">
        <f>IFERROR(__xludf.DUMMYFUNCTION("""COMPUTED_VALUE"""),2.0)</f>
        <v>2</v>
      </c>
      <c r="F4049" s="300">
        <v>1.0</v>
      </c>
      <c r="G4049" s="300">
        <v>1.0</v>
      </c>
      <c r="H4049" s="300">
        <v>1.0</v>
      </c>
      <c r="I4049" s="300">
        <v>1.0</v>
      </c>
      <c r="J4049" s="300">
        <v>1.0</v>
      </c>
      <c r="K4049" s="300">
        <v>1.0</v>
      </c>
      <c r="L4049" s="300">
        <v>1.0</v>
      </c>
      <c r="M4049" s="300">
        <v>1.0</v>
      </c>
      <c r="N4049" s="300">
        <v>8.0</v>
      </c>
      <c r="O4049" s="300" t="s">
        <v>940</v>
      </c>
      <c r="P4049" s="300">
        <v>2.0</v>
      </c>
    </row>
    <row r="4050">
      <c r="A4050">
        <f>IFERROR(__xludf.DUMMYFUNCTION("""COMPUTED_VALUE"""),12.0)</f>
        <v>12</v>
      </c>
      <c r="B4050">
        <f>IFERROR(__xludf.DUMMYFUNCTION("""COMPUTED_VALUE"""),26054.0)</f>
        <v>26054</v>
      </c>
      <c r="C4050" t="str">
        <f>IFERROR(__xludf.DUMMYFUNCTION("""COMPUTED_VALUE"""),"HOYOS GOMEZ, LUCIANA")</f>
        <v>HOYOS GOMEZ, LUCIANA</v>
      </c>
      <c r="D4050" t="str">
        <f>IFERROR(__xludf.DUMMYFUNCTION("""COMPUTED_VALUE"""),"Painting I")</f>
        <v>Painting I</v>
      </c>
      <c r="E4050" s="3">
        <f>IFERROR(__xludf.DUMMYFUNCTION("""COMPUTED_VALUE"""),5.0)</f>
        <v>5</v>
      </c>
      <c r="F4050" s="300">
        <v>1.0</v>
      </c>
      <c r="G4050" s="300">
        <v>1.0</v>
      </c>
      <c r="H4050" s="300">
        <v>1.0</v>
      </c>
      <c r="I4050" s="300">
        <v>1.0</v>
      </c>
      <c r="J4050" s="300">
        <v>1.0</v>
      </c>
      <c r="K4050" s="300">
        <v>1.0</v>
      </c>
      <c r="L4050" s="300">
        <v>1.0</v>
      </c>
      <c r="M4050" s="300">
        <v>1.0</v>
      </c>
      <c r="N4050" s="300">
        <v>8.0</v>
      </c>
      <c r="O4050" s="300" t="s">
        <v>945</v>
      </c>
      <c r="P4050" s="300">
        <v>4.0</v>
      </c>
    </row>
    <row r="4051">
      <c r="A4051">
        <f>IFERROR(__xludf.DUMMYFUNCTION("""COMPUTED_VALUE"""),12.0)</f>
        <v>12</v>
      </c>
      <c r="B4051">
        <f>IFERROR(__xludf.DUMMYFUNCTION("""COMPUTED_VALUE"""),26098.0)</f>
        <v>26098</v>
      </c>
      <c r="C4051" t="str">
        <f>IFERROR(__xludf.DUMMYFUNCTION("""COMPUTED_VALUE"""),"RESTREPO OCHOA, EMMA")</f>
        <v>RESTREPO OCHOA, EMMA</v>
      </c>
      <c r="D4051" t="str">
        <f>IFERROR(__xludf.DUMMYFUNCTION("""COMPUTED_VALUE"""),"Painting II")</f>
        <v>Painting II</v>
      </c>
      <c r="E4051" s="3">
        <f>IFERROR(__xludf.DUMMYFUNCTION("""COMPUTED_VALUE"""),1.0)</f>
        <v>1</v>
      </c>
      <c r="F4051" s="300">
        <v>1.0</v>
      </c>
      <c r="G4051" s="300">
        <v>1.0</v>
      </c>
      <c r="H4051" s="300">
        <v>1.0</v>
      </c>
      <c r="I4051" s="300">
        <v>1.0</v>
      </c>
      <c r="J4051" s="300">
        <v>1.0</v>
      </c>
      <c r="K4051" s="300">
        <v>1.0</v>
      </c>
      <c r="L4051" s="300">
        <v>1.0</v>
      </c>
      <c r="M4051" s="300">
        <v>1.0</v>
      </c>
      <c r="N4051" s="300">
        <v>8.0</v>
      </c>
      <c r="O4051" s="300" t="s">
        <v>939</v>
      </c>
      <c r="P4051" s="300">
        <v>2.0</v>
      </c>
    </row>
    <row r="4052">
      <c r="A4052">
        <f>IFERROR(__xludf.DUMMYFUNCTION("""COMPUTED_VALUE"""),12.0)</f>
        <v>12</v>
      </c>
      <c r="B4052">
        <f>IFERROR(__xludf.DUMMYFUNCTION("""COMPUTED_VALUE"""),26084.0)</f>
        <v>26084</v>
      </c>
      <c r="C4052" t="str">
        <f>IFERROR(__xludf.DUMMYFUNCTION("""COMPUTED_VALUE"""),"OSPINA RUIZ, PAULINA")</f>
        <v>OSPINA RUIZ, PAULINA</v>
      </c>
      <c r="D4052" t="str">
        <f>IFERROR(__xludf.DUMMYFUNCTION("""COMPUTED_VALUE"""),"Painting II")</f>
        <v>Painting II</v>
      </c>
      <c r="E4052" s="3">
        <f>IFERROR(__xludf.DUMMYFUNCTION("""COMPUTED_VALUE"""),1.0)</f>
        <v>1</v>
      </c>
      <c r="F4052" s="300">
        <v>1.0</v>
      </c>
      <c r="G4052" s="300">
        <v>1.0</v>
      </c>
      <c r="H4052" s="300">
        <v>1.0</v>
      </c>
      <c r="I4052" s="300">
        <v>1.0</v>
      </c>
      <c r="J4052" s="300">
        <v>1.0</v>
      </c>
      <c r="K4052" s="300">
        <v>1.0</v>
      </c>
      <c r="L4052" s="300">
        <v>1.0</v>
      </c>
      <c r="M4052" s="300">
        <v>1.0</v>
      </c>
      <c r="N4052" s="300">
        <v>8.0</v>
      </c>
      <c r="O4052" s="300" t="s">
        <v>939</v>
      </c>
      <c r="P4052" s="300">
        <v>2.0</v>
      </c>
    </row>
    <row r="4053">
      <c r="A4053">
        <f>IFERROR(__xludf.DUMMYFUNCTION("""COMPUTED_VALUE"""),12.0)</f>
        <v>12</v>
      </c>
      <c r="B4053">
        <f>IFERROR(__xludf.DUMMYFUNCTION("""COMPUTED_VALUE"""),26004.0)</f>
        <v>26004</v>
      </c>
      <c r="C4053" t="str">
        <f>IFERROR(__xludf.DUMMYFUNCTION("""COMPUTED_VALUE"""),"ALVAREZ GOMEZ, EMILIANA")</f>
        <v>ALVAREZ GOMEZ, EMILIANA</v>
      </c>
      <c r="D4053" t="str">
        <f>IFERROR(__xludf.DUMMYFUNCTION("""COMPUTED_VALUE"""),"Painting I")</f>
        <v>Painting I</v>
      </c>
      <c r="E4053" s="3">
        <f>IFERROR(__xludf.DUMMYFUNCTION("""COMPUTED_VALUE"""),5.0)</f>
        <v>5</v>
      </c>
      <c r="F4053" s="300">
        <v>1.0</v>
      </c>
      <c r="G4053" s="300">
        <v>1.0</v>
      </c>
      <c r="H4053" s="300">
        <v>1.0</v>
      </c>
      <c r="I4053" s="300">
        <v>1.0</v>
      </c>
      <c r="J4053" s="300">
        <v>1.0</v>
      </c>
      <c r="K4053" s="300">
        <v>1.0</v>
      </c>
      <c r="L4053" s="300">
        <v>1.0</v>
      </c>
      <c r="M4053" s="300">
        <v>1.0</v>
      </c>
      <c r="N4053" s="300">
        <v>8.0</v>
      </c>
      <c r="O4053" s="300" t="s">
        <v>945</v>
      </c>
      <c r="P4053" s="300">
        <v>4.0</v>
      </c>
    </row>
    <row r="4054">
      <c r="A4054">
        <f>IFERROR(__xludf.DUMMYFUNCTION("""COMPUTED_VALUE"""),12.0)</f>
        <v>12</v>
      </c>
      <c r="B4054">
        <f>IFERROR(__xludf.DUMMYFUNCTION("""COMPUTED_VALUE"""),26085.0)</f>
        <v>26085</v>
      </c>
      <c r="C4054" t="str">
        <f>IFERROR(__xludf.DUMMYFUNCTION("""COMPUTED_VALUE"""),"PALACIO RAMIREZ, SUSANA")</f>
        <v>PALACIO RAMIREZ, SUSANA</v>
      </c>
      <c r="D4054" t="str">
        <f>IFERROR(__xludf.DUMMYFUNCTION("""COMPUTED_VALUE"""),"Band Level II")</f>
        <v>Band Level II</v>
      </c>
      <c r="E4054" s="3">
        <f>IFERROR(__xludf.DUMMYFUNCTION("""COMPUTED_VALUE"""),6.0)</f>
        <v>6</v>
      </c>
      <c r="F4054" s="300">
        <v>1.0</v>
      </c>
      <c r="G4054" s="300">
        <v>1.0</v>
      </c>
      <c r="H4054" s="300">
        <v>1.0</v>
      </c>
      <c r="I4054" s="300">
        <v>1.0</v>
      </c>
      <c r="J4054" s="300">
        <v>1.0</v>
      </c>
      <c r="K4054" s="300">
        <v>1.0</v>
      </c>
      <c r="L4054" s="300">
        <v>1.0</v>
      </c>
      <c r="M4054" s="300">
        <v>1.0</v>
      </c>
      <c r="N4054" s="300">
        <v>8.0</v>
      </c>
      <c r="O4054" s="300" t="s">
        <v>942</v>
      </c>
      <c r="P4054" s="300">
        <v>2.0</v>
      </c>
    </row>
    <row r="4055">
      <c r="A4055">
        <f>IFERROR(__xludf.DUMMYFUNCTION("""COMPUTED_VALUE"""),12.0)</f>
        <v>12</v>
      </c>
      <c r="B4055">
        <f>IFERROR(__xludf.DUMMYFUNCTION("""COMPUTED_VALUE"""),26074.0)</f>
        <v>26074</v>
      </c>
      <c r="C4055" t="str">
        <f>IFERROR(__xludf.DUMMYFUNCTION("""COMPUTED_VALUE"""),"MESA GIRALDO, MARIA JOSE")</f>
        <v>MESA GIRALDO, MARIA JOSE</v>
      </c>
      <c r="D4055" t="str">
        <f>IFERROR(__xludf.DUMMYFUNCTION("""COMPUTED_VALUE"""),"Painting I")</f>
        <v>Painting I</v>
      </c>
      <c r="E4055" s="3">
        <f>IFERROR(__xludf.DUMMYFUNCTION("""COMPUTED_VALUE"""),4.0)</f>
        <v>4</v>
      </c>
      <c r="F4055" s="300">
        <v>1.0</v>
      </c>
      <c r="G4055" s="300">
        <v>1.0</v>
      </c>
      <c r="H4055" s="300">
        <v>1.0</v>
      </c>
      <c r="I4055" s="300">
        <v>1.0</v>
      </c>
      <c r="J4055" s="300">
        <v>1.0</v>
      </c>
      <c r="K4055" s="300">
        <v>1.0</v>
      </c>
      <c r="L4055" s="300">
        <v>1.0</v>
      </c>
      <c r="M4055" s="300">
        <v>1.0</v>
      </c>
      <c r="N4055" s="300">
        <v>8.0</v>
      </c>
      <c r="O4055" s="300" t="s">
        <v>946</v>
      </c>
      <c r="P4055" s="300">
        <v>4.0</v>
      </c>
    </row>
    <row r="4056">
      <c r="A4056">
        <f>IFERROR(__xludf.DUMMYFUNCTION("""COMPUTED_VALUE"""),12.0)</f>
        <v>12</v>
      </c>
      <c r="B4056">
        <f>IFERROR(__xludf.DUMMYFUNCTION("""COMPUTED_VALUE"""),26146.0)</f>
        <v>26146</v>
      </c>
      <c r="C4056" t="str">
        <f>IFERROR(__xludf.DUMMYFUNCTION("""COMPUTED_VALUE"""),"MOLINA CASAS, MARIA DEL MAR")</f>
        <v>MOLINA CASAS, MARIA DEL MAR</v>
      </c>
      <c r="D4056" t="str">
        <f>IFERROR(__xludf.DUMMYFUNCTION("""COMPUTED_VALUE"""),"Band Level II")</f>
        <v>Band Level II</v>
      </c>
      <c r="E4056" s="3">
        <f>IFERROR(__xludf.DUMMYFUNCTION("""COMPUTED_VALUE"""),2.0)</f>
        <v>2</v>
      </c>
      <c r="F4056" s="300">
        <v>1.0</v>
      </c>
      <c r="G4056" s="300">
        <v>1.0</v>
      </c>
      <c r="H4056" s="300">
        <v>1.0</v>
      </c>
      <c r="I4056" s="300">
        <v>1.0</v>
      </c>
      <c r="J4056" s="300">
        <v>1.0</v>
      </c>
      <c r="K4056" s="300">
        <v>1.0</v>
      </c>
      <c r="L4056" s="300">
        <v>1.0</v>
      </c>
      <c r="M4056" s="300">
        <v>1.0</v>
      </c>
      <c r="N4056" s="300">
        <v>8.0</v>
      </c>
      <c r="O4056" s="300" t="s">
        <v>940</v>
      </c>
      <c r="P4056" s="300">
        <v>2.0</v>
      </c>
    </row>
    <row r="4057">
      <c r="A4057">
        <f>IFERROR(__xludf.DUMMYFUNCTION("""COMPUTED_VALUE"""),12.0)</f>
        <v>12</v>
      </c>
      <c r="B4057">
        <f>IFERROR(__xludf.DUMMYFUNCTION("""COMPUTED_VALUE"""),26029.0)</f>
        <v>26029</v>
      </c>
      <c r="C4057" t="str">
        <f>IFERROR(__xludf.DUMMYFUNCTION("""COMPUTED_VALUE"""),"FAJARDO YEPES, ELISA")</f>
        <v>FAJARDO YEPES, ELISA</v>
      </c>
      <c r="D4057" t="str">
        <f>IFERROR(__xludf.DUMMYFUNCTION("""COMPUTED_VALUE"""),"Painting I")</f>
        <v>Painting I</v>
      </c>
      <c r="E4057" s="3">
        <f>IFERROR(__xludf.DUMMYFUNCTION("""COMPUTED_VALUE"""),5.0)</f>
        <v>5</v>
      </c>
      <c r="F4057" s="300">
        <v>1.0</v>
      </c>
      <c r="G4057" s="300">
        <v>1.0</v>
      </c>
      <c r="H4057" s="300">
        <v>1.0</v>
      </c>
      <c r="I4057" s="300">
        <v>1.0</v>
      </c>
      <c r="J4057" s="300">
        <v>1.0</v>
      </c>
      <c r="K4057" s="300">
        <v>1.0</v>
      </c>
      <c r="L4057" s="300">
        <v>1.0</v>
      </c>
      <c r="M4057" s="300">
        <v>1.0</v>
      </c>
      <c r="N4057" s="300">
        <v>8.0</v>
      </c>
      <c r="O4057" s="300" t="s">
        <v>945</v>
      </c>
      <c r="P4057" s="300">
        <v>4.0</v>
      </c>
    </row>
    <row r="4058">
      <c r="A4058">
        <f>IFERROR(__xludf.DUMMYFUNCTION("""COMPUTED_VALUE"""),12.0)</f>
        <v>12</v>
      </c>
      <c r="B4058">
        <f>IFERROR(__xludf.DUMMYFUNCTION("""COMPUTED_VALUE"""),26092.0)</f>
        <v>26092</v>
      </c>
      <c r="C4058" t="str">
        <f>IFERROR(__xludf.DUMMYFUNCTION("""COMPUTED_VALUE"""),"PLATA BOLAÑOS, SOFIA")</f>
        <v>PLATA BOLAÑOS, SOFIA</v>
      </c>
      <c r="D4058" t="str">
        <f>IFERROR(__xludf.DUMMYFUNCTION("""COMPUTED_VALUE"""),"Drawing I")</f>
        <v>Drawing I</v>
      </c>
      <c r="E4058" s="3">
        <f>IFERROR(__xludf.DUMMYFUNCTION("""COMPUTED_VALUE"""),8.0)</f>
        <v>8</v>
      </c>
      <c r="F4058" s="300">
        <v>1.0</v>
      </c>
      <c r="G4058" s="300">
        <v>1.0</v>
      </c>
      <c r="H4058" s="300">
        <v>1.0</v>
      </c>
      <c r="I4058" s="300">
        <v>1.0</v>
      </c>
      <c r="J4058" s="300">
        <v>1.0</v>
      </c>
      <c r="K4058" s="300">
        <v>1.0</v>
      </c>
      <c r="L4058" s="300">
        <v>1.0</v>
      </c>
      <c r="M4058" s="300">
        <v>1.0</v>
      </c>
      <c r="N4058" s="300">
        <v>8.0</v>
      </c>
      <c r="O4058" s="300" t="s">
        <v>944</v>
      </c>
      <c r="P4058" s="300">
        <v>2.0</v>
      </c>
    </row>
    <row r="4059">
      <c r="A4059">
        <f>IFERROR(__xludf.DUMMYFUNCTION("""COMPUTED_VALUE"""),12.0)</f>
        <v>12</v>
      </c>
      <c r="B4059">
        <f>IFERROR(__xludf.DUMMYFUNCTION("""COMPUTED_VALUE"""),26136.0)</f>
        <v>26136</v>
      </c>
      <c r="C4059" t="str">
        <f>IFERROR(__xludf.DUMMYFUNCTION("""COMPUTED_VALUE"""),"VASQUEZ MUÑOZ, MANUELA")</f>
        <v>VASQUEZ MUÑOZ, MANUELA</v>
      </c>
      <c r="D4059" t="str">
        <f>IFERROR(__xludf.DUMMYFUNCTION("""COMPUTED_VALUE"""),"AP Economics")</f>
        <v>AP Economics</v>
      </c>
      <c r="E4059" s="3">
        <f>IFERROR(__xludf.DUMMYFUNCTION("""COMPUTED_VALUE"""),4.0)</f>
        <v>4</v>
      </c>
      <c r="F4059" s="300">
        <v>1.0</v>
      </c>
      <c r="G4059" s="300">
        <v>1.0</v>
      </c>
      <c r="H4059" s="300">
        <v>1.0</v>
      </c>
      <c r="I4059" s="300">
        <v>1.0</v>
      </c>
      <c r="J4059" s="300">
        <v>1.0</v>
      </c>
      <c r="K4059" s="300">
        <v>1.0</v>
      </c>
      <c r="L4059" s="300">
        <v>1.0</v>
      </c>
      <c r="M4059" s="300">
        <v>1.0</v>
      </c>
      <c r="N4059" s="300">
        <v>8.0</v>
      </c>
      <c r="O4059" s="300" t="s">
        <v>977</v>
      </c>
      <c r="P4059" s="300">
        <v>4.0</v>
      </c>
    </row>
    <row r="4060">
      <c r="A4060">
        <f>IFERROR(__xludf.DUMMYFUNCTION("""COMPUTED_VALUE"""),12.0)</f>
        <v>12</v>
      </c>
      <c r="B4060">
        <f>IFERROR(__xludf.DUMMYFUNCTION("""COMPUTED_VALUE"""),26170.0)</f>
        <v>26170</v>
      </c>
      <c r="C4060" t="str">
        <f>IFERROR(__xludf.DUMMYFUNCTION("""COMPUTED_VALUE"""),"BOTERO SPERA, EMMA")</f>
        <v>BOTERO SPERA, EMMA</v>
      </c>
      <c r="D4060" t="str">
        <f>IFERROR(__xludf.DUMMYFUNCTION("""COMPUTED_VALUE"""),"Chemistry")</f>
        <v>Chemistry</v>
      </c>
      <c r="E4060" s="3">
        <f>IFERROR(__xludf.DUMMYFUNCTION("""COMPUTED_VALUE"""),6.0)</f>
        <v>6</v>
      </c>
      <c r="F4060" s="300">
        <v>1.0</v>
      </c>
      <c r="G4060" s="300">
        <v>1.0</v>
      </c>
      <c r="H4060" s="300">
        <v>1.0</v>
      </c>
      <c r="I4060" s="300">
        <v>1.0</v>
      </c>
      <c r="J4060" s="300">
        <v>1.0</v>
      </c>
      <c r="K4060" s="300">
        <v>1.0</v>
      </c>
      <c r="L4060" s="300">
        <v>1.0</v>
      </c>
      <c r="M4060" s="300">
        <v>1.0</v>
      </c>
      <c r="N4060" s="300">
        <v>8.0</v>
      </c>
      <c r="O4060" s="300" t="s">
        <v>878</v>
      </c>
      <c r="P4060" s="300">
        <v>7.0</v>
      </c>
    </row>
    <row r="4061">
      <c r="A4061">
        <f>IFERROR(__xludf.DUMMYFUNCTION("""COMPUTED_VALUE"""),12.0)</f>
        <v>12</v>
      </c>
      <c r="B4061">
        <f>IFERROR(__xludf.DUMMYFUNCTION("""COMPUTED_VALUE"""),26093.0)</f>
        <v>26093</v>
      </c>
      <c r="C4061" t="str">
        <f>IFERROR(__xludf.DUMMYFUNCTION("""COMPUTED_VALUE"""),"PUERTA PAZ, JUANITA")</f>
        <v>PUERTA PAZ, JUANITA</v>
      </c>
      <c r="D4061" t="str">
        <f>IFERROR(__xludf.DUMMYFUNCTION("""COMPUTED_VALUE"""),"AP Statistics")</f>
        <v>AP Statistics</v>
      </c>
      <c r="E4061" s="3">
        <f>IFERROR(__xludf.DUMMYFUNCTION("""COMPUTED_VALUE"""),7.0)</f>
        <v>7</v>
      </c>
      <c r="F4061" s="300">
        <v>1.0</v>
      </c>
      <c r="G4061" s="300">
        <v>1.0</v>
      </c>
      <c r="H4061" s="300">
        <v>1.0</v>
      </c>
      <c r="I4061" s="300">
        <v>1.0</v>
      </c>
      <c r="J4061" s="300">
        <v>1.0</v>
      </c>
      <c r="K4061" s="300">
        <v>1.0</v>
      </c>
      <c r="L4061" s="300">
        <v>1.0</v>
      </c>
      <c r="M4061" s="300">
        <v>1.0</v>
      </c>
      <c r="N4061" s="300">
        <v>8.0</v>
      </c>
      <c r="O4061" s="300" t="s">
        <v>860</v>
      </c>
      <c r="P4061" s="300">
        <v>1.0</v>
      </c>
    </row>
    <row r="4062">
      <c r="A4062">
        <f>IFERROR(__xludf.DUMMYFUNCTION("""COMPUTED_VALUE"""),12.0)</f>
        <v>12</v>
      </c>
      <c r="B4062">
        <f>IFERROR(__xludf.DUMMYFUNCTION("""COMPUTED_VALUE"""),26055.0)</f>
        <v>26055</v>
      </c>
      <c r="C4062" t="str">
        <f>IFERROR(__xludf.DUMMYFUNCTION("""COMPUTED_VALUE"""),"ISAZA CADAVID, RAQUEL")</f>
        <v>ISAZA CADAVID, RAQUEL</v>
      </c>
      <c r="D4062" t="str">
        <f>IFERROR(__xludf.DUMMYFUNCTION("""COMPUTED_VALUE"""),"Creative Design")</f>
        <v>Creative Design</v>
      </c>
      <c r="E4062" s="3">
        <f>IFERROR(__xludf.DUMMYFUNCTION("""COMPUTED_VALUE"""),4.0)</f>
        <v>4</v>
      </c>
      <c r="F4062" s="300">
        <v>1.0</v>
      </c>
      <c r="G4062" s="300">
        <v>1.0</v>
      </c>
      <c r="H4062" s="300">
        <v>1.0</v>
      </c>
      <c r="I4062" s="300">
        <v>1.0</v>
      </c>
      <c r="J4062" s="300">
        <v>1.0</v>
      </c>
      <c r="K4062" s="300">
        <v>1.0</v>
      </c>
      <c r="L4062" s="300">
        <v>1.0</v>
      </c>
      <c r="M4062" s="300">
        <v>1.0</v>
      </c>
      <c r="N4062" s="300">
        <v>8.0</v>
      </c>
      <c r="O4062" s="300" t="s">
        <v>971</v>
      </c>
      <c r="P4062" s="300">
        <v>1.0</v>
      </c>
    </row>
    <row r="4063">
      <c r="A4063">
        <f>IFERROR(__xludf.DUMMYFUNCTION("""COMPUTED_VALUE"""),12.0)</f>
        <v>12</v>
      </c>
      <c r="B4063">
        <f>IFERROR(__xludf.DUMMYFUNCTION("""COMPUTED_VALUE"""),26060.0)</f>
        <v>26060</v>
      </c>
      <c r="C4063" t="str">
        <f>IFERROR(__xludf.DUMMYFUNCTION("""COMPUTED_VALUE"""),"JARAMILLO OSPINA, ANTONIA")</f>
        <v>JARAMILLO OSPINA, ANTONIA</v>
      </c>
      <c r="D4063" t="str">
        <f>IFERROR(__xludf.DUMMYFUNCTION("""COMPUTED_VALUE"""),"AP Psychology")</f>
        <v>AP Psychology</v>
      </c>
      <c r="E4063" s="3">
        <f>IFERROR(__xludf.DUMMYFUNCTION("""COMPUTED_VALUE"""),5.0)</f>
        <v>5</v>
      </c>
      <c r="F4063" s="300">
        <v>1.0</v>
      </c>
      <c r="G4063" s="300">
        <v>1.0</v>
      </c>
      <c r="H4063" s="300">
        <v>1.0</v>
      </c>
      <c r="I4063" s="300">
        <v>1.0</v>
      </c>
      <c r="J4063" s="300">
        <v>1.0</v>
      </c>
      <c r="K4063" s="300">
        <v>1.0</v>
      </c>
      <c r="L4063" s="300">
        <v>1.0</v>
      </c>
      <c r="M4063" s="300">
        <v>1.0</v>
      </c>
      <c r="N4063" s="300">
        <v>8.0</v>
      </c>
      <c r="O4063" s="300" t="s">
        <v>985</v>
      </c>
      <c r="P4063" s="300">
        <v>2.0</v>
      </c>
    </row>
    <row r="4064">
      <c r="A4064">
        <f>IFERROR(__xludf.DUMMYFUNCTION("""COMPUTED_VALUE"""),12.0)</f>
        <v>12</v>
      </c>
      <c r="B4064">
        <f>IFERROR(__xludf.DUMMYFUNCTION("""COMPUTED_VALUE"""),26134.0)</f>
        <v>26134</v>
      </c>
      <c r="C4064" t="str">
        <f>IFERROR(__xludf.DUMMYFUNCTION("""COMPUTED_VALUE"""),"BOHORQUEZ GOMEZ, GABRIELA")</f>
        <v>BOHORQUEZ GOMEZ, GABRIELA</v>
      </c>
      <c r="D4064" t="str">
        <f>IFERROR(__xludf.DUMMYFUNCTION("""COMPUTED_VALUE"""),"AP Drawing")</f>
        <v>AP Drawing</v>
      </c>
      <c r="E4064" s="3">
        <f>IFERROR(__xludf.DUMMYFUNCTION("""COMPUTED_VALUE"""),8.0)</f>
        <v>8</v>
      </c>
      <c r="F4064" s="300">
        <v>1.0</v>
      </c>
      <c r="G4064" s="300">
        <v>1.0</v>
      </c>
      <c r="H4064" s="300">
        <v>1.0</v>
      </c>
      <c r="I4064" s="300">
        <v>1.0</v>
      </c>
      <c r="J4064" s="300">
        <v>1.0</v>
      </c>
      <c r="K4064" s="300">
        <v>1.0</v>
      </c>
      <c r="L4064" s="300">
        <v>1.0</v>
      </c>
      <c r="M4064" s="300">
        <v>1.0</v>
      </c>
      <c r="N4064" s="300">
        <v>8.0</v>
      </c>
      <c r="O4064" s="300" t="s">
        <v>933</v>
      </c>
      <c r="P4064" s="300">
        <v>1.0</v>
      </c>
    </row>
    <row r="4065">
      <c r="A4065">
        <f>IFERROR(__xludf.DUMMYFUNCTION("""COMPUTED_VALUE"""),12.0)</f>
        <v>12</v>
      </c>
      <c r="B4065">
        <f>IFERROR(__xludf.DUMMYFUNCTION("""COMPUTED_VALUE"""),26143.0)</f>
        <v>26143</v>
      </c>
      <c r="C4065" t="str">
        <f>IFERROR(__xludf.DUMMYFUNCTION("""COMPUTED_VALUE"""),"BEDOYA JIMENEZ, SEBASTIAN")</f>
        <v>BEDOYA JIMENEZ, SEBASTIAN</v>
      </c>
      <c r="D4065" t="str">
        <f>IFERROR(__xludf.DUMMYFUNCTION("""COMPUTED_VALUE"""),"Financial Math")</f>
        <v>Financial Math</v>
      </c>
      <c r="E4065" s="3">
        <f>IFERROR(__xludf.DUMMYFUNCTION("""COMPUTED_VALUE"""),4.0)</f>
        <v>4</v>
      </c>
      <c r="F4065" s="300">
        <v>1.0</v>
      </c>
      <c r="G4065" s="300">
        <v>1.0</v>
      </c>
      <c r="H4065" s="300">
        <v>1.0</v>
      </c>
      <c r="I4065" s="300">
        <v>1.0</v>
      </c>
      <c r="J4065" s="300">
        <v>1.0</v>
      </c>
      <c r="K4065" s="300">
        <v>1.0</v>
      </c>
      <c r="L4065" s="300">
        <v>1.0</v>
      </c>
      <c r="M4065" s="300">
        <v>1.0</v>
      </c>
      <c r="N4065" s="300">
        <v>8.0</v>
      </c>
      <c r="O4065" s="300" t="s">
        <v>865</v>
      </c>
      <c r="P4065" s="300">
        <v>3.0</v>
      </c>
    </row>
    <row r="4066">
      <c r="A4066">
        <f>IFERROR(__xludf.DUMMYFUNCTION("""COMPUTED_VALUE"""),12.0)</f>
        <v>12</v>
      </c>
      <c r="B4066">
        <f>IFERROR(__xludf.DUMMYFUNCTION("""COMPUTED_VALUE"""),26063.0)</f>
        <v>26063</v>
      </c>
      <c r="C4066" t="str">
        <f>IFERROR(__xludf.DUMMYFUNCTION("""COMPUTED_VALUE"""),"KIM LEE, SAE-YOUNG PABLO")</f>
        <v>KIM LEE, SAE-YOUNG PABLO</v>
      </c>
      <c r="D4066" t="str">
        <f>IFERROR(__xludf.DUMMYFUNCTION("""COMPUTED_VALUE"""),"Financial Math")</f>
        <v>Financial Math</v>
      </c>
      <c r="E4066" s="3">
        <f>IFERROR(__xludf.DUMMYFUNCTION("""COMPUTED_VALUE"""),4.0)</f>
        <v>4</v>
      </c>
      <c r="F4066" s="300">
        <v>1.0</v>
      </c>
      <c r="G4066" s="300">
        <v>1.0</v>
      </c>
      <c r="H4066" s="300">
        <v>1.0</v>
      </c>
      <c r="I4066" s="300">
        <v>1.0</v>
      </c>
      <c r="J4066" s="300">
        <v>1.0</v>
      </c>
      <c r="K4066" s="300">
        <v>1.0</v>
      </c>
      <c r="L4066" s="300">
        <v>1.0</v>
      </c>
      <c r="M4066" s="300">
        <v>1.0</v>
      </c>
      <c r="N4066" s="300">
        <v>8.0</v>
      </c>
      <c r="O4066" s="300" t="s">
        <v>865</v>
      </c>
      <c r="P4066" s="300">
        <v>3.0</v>
      </c>
    </row>
    <row r="4067">
      <c r="A4067">
        <f>IFERROR(__xludf.DUMMYFUNCTION("""COMPUTED_VALUE"""),12.0)</f>
        <v>12</v>
      </c>
      <c r="B4067">
        <f>IFERROR(__xludf.DUMMYFUNCTION("""COMPUTED_VALUE"""),26018.0)</f>
        <v>26018</v>
      </c>
      <c r="C4067" t="str">
        <f>IFERROR(__xludf.DUMMYFUNCTION("""COMPUTED_VALUE"""),"BOTERO TOQUICA, REBECA")</f>
        <v>BOTERO TOQUICA, REBECA</v>
      </c>
      <c r="D4067" t="str">
        <f>IFERROR(__xludf.DUMMYFUNCTION("""COMPUTED_VALUE"""),"AP World History")</f>
        <v>AP World History</v>
      </c>
      <c r="E4067" s="3">
        <f>IFERROR(__xludf.DUMMYFUNCTION("""COMPUTED_VALUE"""),5.0)</f>
        <v>5</v>
      </c>
      <c r="F4067" s="300">
        <v>1.0</v>
      </c>
      <c r="G4067" s="300">
        <v>1.0</v>
      </c>
      <c r="H4067" s="300">
        <v>1.0</v>
      </c>
      <c r="I4067" s="300">
        <v>1.0</v>
      </c>
      <c r="J4067" s="300">
        <v>1.0</v>
      </c>
      <c r="K4067" s="300">
        <v>1.0</v>
      </c>
      <c r="L4067" s="300">
        <v>1.0</v>
      </c>
      <c r="M4067" s="300">
        <v>1.0</v>
      </c>
      <c r="N4067" s="300">
        <v>8.0</v>
      </c>
      <c r="O4067" s="300" t="s">
        <v>974</v>
      </c>
      <c r="P4067" s="300">
        <v>2.0</v>
      </c>
    </row>
    <row r="4068">
      <c r="A4068">
        <f>IFERROR(__xludf.DUMMYFUNCTION("""COMPUTED_VALUE"""),12.0)</f>
        <v>12</v>
      </c>
      <c r="B4068">
        <f>IFERROR(__xludf.DUMMYFUNCTION("""COMPUTED_VALUE"""),26087.0)</f>
        <v>26087</v>
      </c>
      <c r="C4068" t="str">
        <f>IFERROR(__xludf.DUMMYFUNCTION("""COMPUTED_VALUE"""),"PELAEZ BORDA, ELIAS")</f>
        <v>PELAEZ BORDA, ELIAS</v>
      </c>
      <c r="D4068" t="str">
        <f>IFERROR(__xludf.DUMMYFUNCTION("""COMPUTED_VALUE"""),"Creative Design")</f>
        <v>Creative Design</v>
      </c>
      <c r="E4068" s="3">
        <f>IFERROR(__xludf.DUMMYFUNCTION("""COMPUTED_VALUE"""),4.0)</f>
        <v>4</v>
      </c>
      <c r="F4068" s="300">
        <v>1.0</v>
      </c>
      <c r="G4068" s="300">
        <v>1.0</v>
      </c>
      <c r="H4068" s="300">
        <v>1.0</v>
      </c>
      <c r="I4068" s="300">
        <v>1.0</v>
      </c>
      <c r="J4068" s="300">
        <v>1.0</v>
      </c>
      <c r="K4068" s="300">
        <v>1.0</v>
      </c>
      <c r="L4068" s="300">
        <v>1.0</v>
      </c>
      <c r="M4068" s="300">
        <v>1.0</v>
      </c>
      <c r="N4068" s="300">
        <v>8.0</v>
      </c>
      <c r="O4068" s="300" t="s">
        <v>971</v>
      </c>
      <c r="P4068" s="300">
        <v>1.0</v>
      </c>
    </row>
    <row r="4069">
      <c r="A4069">
        <f>IFERROR(__xludf.DUMMYFUNCTION("""COMPUTED_VALUE"""),12.0)</f>
        <v>12</v>
      </c>
      <c r="B4069">
        <f>IFERROR(__xludf.DUMMYFUNCTION("""COMPUTED_VALUE"""),26065.0)</f>
        <v>26065</v>
      </c>
      <c r="C4069" t="str">
        <f>IFERROR(__xludf.DUMMYFUNCTION("""COMPUTED_VALUE"""),"LONDOÑO CONGOTE, SANTIAGO")</f>
        <v>LONDOÑO CONGOTE, SANTIAGO</v>
      </c>
      <c r="D4069" t="str">
        <f>IFERROR(__xludf.DUMMYFUNCTION("""COMPUTED_VALUE"""),"Financial Math")</f>
        <v>Financial Math</v>
      </c>
      <c r="E4069" s="3">
        <f>IFERROR(__xludf.DUMMYFUNCTION("""COMPUTED_VALUE"""),7.0)</f>
        <v>7</v>
      </c>
      <c r="F4069" s="300">
        <v>1.0</v>
      </c>
      <c r="G4069" s="300">
        <v>1.0</v>
      </c>
      <c r="H4069" s="300">
        <v>1.0</v>
      </c>
      <c r="I4069" s="300">
        <v>1.0</v>
      </c>
      <c r="J4069" s="300">
        <v>1.0</v>
      </c>
      <c r="K4069" s="300">
        <v>1.0</v>
      </c>
      <c r="L4069" s="300">
        <v>1.0</v>
      </c>
      <c r="M4069" s="300">
        <v>1.0</v>
      </c>
      <c r="N4069" s="300">
        <v>8.0</v>
      </c>
      <c r="O4069" s="300" t="s">
        <v>864</v>
      </c>
      <c r="P4069" s="300">
        <v>3.0</v>
      </c>
    </row>
    <row r="4070">
      <c r="A4070">
        <f>IFERROR(__xludf.DUMMYFUNCTION("""COMPUTED_VALUE"""),12.0)</f>
        <v>12</v>
      </c>
      <c r="B4070">
        <f>IFERROR(__xludf.DUMMYFUNCTION("""COMPUTED_VALUE"""),26150.0)</f>
        <v>26150</v>
      </c>
      <c r="C4070" t="str">
        <f>IFERROR(__xludf.DUMMYFUNCTION("""COMPUTED_VALUE"""),"MOLANO MESA, CANDELARIA")</f>
        <v>MOLANO MESA, CANDELARIA</v>
      </c>
      <c r="D4070" t="str">
        <f>IFERROR(__xludf.DUMMYFUNCTION("""COMPUTED_VALUE"""),"Sculpture I")</f>
        <v>Sculpture I</v>
      </c>
      <c r="E4070" s="3">
        <f>IFERROR(__xludf.DUMMYFUNCTION("""COMPUTED_VALUE"""),3.0)</f>
        <v>3</v>
      </c>
      <c r="F4070" s="300">
        <v>1.0</v>
      </c>
      <c r="G4070" s="300">
        <v>1.0</v>
      </c>
      <c r="H4070" s="300">
        <v>1.0</v>
      </c>
      <c r="I4070" s="300">
        <v>1.0</v>
      </c>
      <c r="J4070" s="300">
        <v>1.0</v>
      </c>
      <c r="K4070" s="300">
        <v>1.0</v>
      </c>
      <c r="L4070" s="300">
        <v>1.0</v>
      </c>
      <c r="M4070" s="300">
        <v>1.0</v>
      </c>
      <c r="N4070" s="300">
        <v>8.0</v>
      </c>
      <c r="O4070" s="300" t="s">
        <v>947</v>
      </c>
      <c r="P4070" s="300">
        <v>2.0</v>
      </c>
    </row>
    <row r="4071">
      <c r="A4071">
        <f>IFERROR(__xludf.DUMMYFUNCTION("""COMPUTED_VALUE"""),12.0)</f>
        <v>12</v>
      </c>
      <c r="B4071">
        <f>IFERROR(__xludf.DUMMYFUNCTION("""COMPUTED_VALUE"""),26061.0)</f>
        <v>26061</v>
      </c>
      <c r="C4071" t="str">
        <f>IFERROR(__xludf.DUMMYFUNCTION("""COMPUTED_VALUE"""),"JARAMILLO RUIZ, BENJAMIN")</f>
        <v>JARAMILLO RUIZ, BENJAMIN</v>
      </c>
      <c r="D4071" t="str">
        <f>IFERROR(__xludf.DUMMYFUNCTION("""COMPUTED_VALUE"""),"AP Biology")</f>
        <v>AP Biology</v>
      </c>
      <c r="E4071" s="3">
        <f>IFERROR(__xludf.DUMMYFUNCTION("""COMPUTED_VALUE"""),5.0)</f>
        <v>5</v>
      </c>
      <c r="F4071" s="300">
        <v>1.0</v>
      </c>
      <c r="G4071" s="300">
        <v>1.0</v>
      </c>
      <c r="H4071" s="300">
        <v>1.0</v>
      </c>
      <c r="I4071" s="300">
        <v>1.0</v>
      </c>
      <c r="J4071" s="300">
        <v>1.0</v>
      </c>
      <c r="K4071" s="300">
        <v>1.0</v>
      </c>
      <c r="L4071" s="300">
        <v>1.0</v>
      </c>
      <c r="M4071" s="300">
        <v>1.0</v>
      </c>
      <c r="N4071" s="300">
        <v>8.0</v>
      </c>
      <c r="O4071" s="300" t="s">
        <v>892</v>
      </c>
      <c r="P4071" s="300">
        <v>1.0</v>
      </c>
    </row>
    <row r="4072">
      <c r="A4072">
        <f>IFERROR(__xludf.DUMMYFUNCTION("""COMPUTED_VALUE"""),12.0)</f>
        <v>12</v>
      </c>
      <c r="B4072">
        <f>IFERROR(__xludf.DUMMYFUNCTION("""COMPUTED_VALUE"""),26157.0)</f>
        <v>26157</v>
      </c>
      <c r="C4072" t="str">
        <f>IFERROR(__xludf.DUMMYFUNCTION("""COMPUTED_VALUE"""),"CARVAJAL PEREZ, JERONIMO")</f>
        <v>CARVAJAL PEREZ, JERONIMO</v>
      </c>
      <c r="D4072" t="str">
        <f>IFERROR(__xludf.DUMMYFUNCTION("""COMPUTED_VALUE"""),"Painting II")</f>
        <v>Painting II</v>
      </c>
      <c r="E4072" s="3">
        <f>IFERROR(__xludf.DUMMYFUNCTION("""COMPUTED_VALUE"""),1.0)</f>
        <v>1</v>
      </c>
      <c r="F4072" s="300">
        <v>1.0</v>
      </c>
      <c r="G4072" s="300">
        <v>1.0</v>
      </c>
      <c r="H4072" s="300">
        <v>1.0</v>
      </c>
      <c r="I4072" s="300">
        <v>1.0</v>
      </c>
      <c r="J4072" s="300">
        <v>1.0</v>
      </c>
      <c r="K4072" s="300">
        <v>1.0</v>
      </c>
      <c r="L4072" s="300">
        <v>1.0</v>
      </c>
      <c r="M4072" s="300">
        <v>1.0</v>
      </c>
      <c r="N4072" s="300">
        <v>8.0</v>
      </c>
      <c r="O4072" s="300" t="s">
        <v>939</v>
      </c>
      <c r="P4072" s="300">
        <v>2.0</v>
      </c>
    </row>
    <row r="4073">
      <c r="A4073">
        <f>IFERROR(__xludf.DUMMYFUNCTION("""COMPUTED_VALUE"""),12.0)</f>
        <v>12</v>
      </c>
      <c r="B4073">
        <f>IFERROR(__xludf.DUMMYFUNCTION("""COMPUTED_VALUE"""),26062.0)</f>
        <v>26062</v>
      </c>
      <c r="C4073" t="str">
        <f>IFERROR(__xludf.DUMMYFUNCTION("""COMPUTED_VALUE"""),"JIMENEZ ESCOBAR, NICOLAS")</f>
        <v>JIMENEZ ESCOBAR, NICOLAS</v>
      </c>
      <c r="D4073" t="str">
        <f>IFERROR(__xludf.DUMMYFUNCTION("""COMPUTED_VALUE"""),"Financial Math")</f>
        <v>Financial Math</v>
      </c>
      <c r="E4073" s="3">
        <f>IFERROR(__xludf.DUMMYFUNCTION("""COMPUTED_VALUE"""),4.0)</f>
        <v>4</v>
      </c>
      <c r="F4073" s="300">
        <v>1.0</v>
      </c>
      <c r="G4073" s="300">
        <v>1.0</v>
      </c>
      <c r="H4073" s="300">
        <v>1.0</v>
      </c>
      <c r="I4073" s="300">
        <v>1.0</v>
      </c>
      <c r="J4073" s="300">
        <v>1.0</v>
      </c>
      <c r="K4073" s="300">
        <v>1.0</v>
      </c>
      <c r="L4073" s="300">
        <v>1.0</v>
      </c>
      <c r="M4073" s="300">
        <v>1.0</v>
      </c>
      <c r="N4073" s="300">
        <v>8.0</v>
      </c>
      <c r="O4073" s="300" t="s">
        <v>865</v>
      </c>
      <c r="P4073" s="300">
        <v>3.0</v>
      </c>
    </row>
    <row r="4074">
      <c r="A4074">
        <f>IFERROR(__xludf.DUMMYFUNCTION("""COMPUTED_VALUE"""),12.0)</f>
        <v>12</v>
      </c>
      <c r="B4074">
        <f>IFERROR(__xludf.DUMMYFUNCTION("""COMPUTED_VALUE"""),26096.0)</f>
        <v>26096</v>
      </c>
      <c r="C4074" t="str">
        <f>IFERROR(__xludf.DUMMYFUNCTION("""COMPUTED_VALUE"""),"RAMOS TRUJILLO, MARIA JOSE")</f>
        <v>RAMOS TRUJILLO, MARIA JOSE</v>
      </c>
      <c r="D4074" t="str">
        <f>IFERROR(__xludf.DUMMYFUNCTION("""COMPUTED_VALUE"""),"AP 3-D Art and Design")</f>
        <v>AP 3-D Art and Design</v>
      </c>
      <c r="E4074" s="3">
        <f>IFERROR(__xludf.DUMMYFUNCTION("""COMPUTED_VALUE"""),6.0)</f>
        <v>6</v>
      </c>
      <c r="F4074" s="300">
        <v>1.0</v>
      </c>
      <c r="G4074" s="300">
        <v>1.0</v>
      </c>
      <c r="H4074" s="300">
        <v>1.0</v>
      </c>
      <c r="I4074" s="300">
        <v>1.0</v>
      </c>
      <c r="J4074" s="300">
        <v>1.0</v>
      </c>
      <c r="K4074" s="300">
        <v>1.0</v>
      </c>
      <c r="L4074" s="300">
        <v>1.0</v>
      </c>
      <c r="M4074" s="300">
        <v>1.0</v>
      </c>
      <c r="N4074" s="300">
        <v>8.0</v>
      </c>
      <c r="O4074" s="300" t="s">
        <v>949</v>
      </c>
      <c r="P4074" s="300">
        <v>1.0</v>
      </c>
    </row>
    <row r="4075">
      <c r="A4075">
        <f>IFERROR(__xludf.DUMMYFUNCTION("""COMPUTED_VALUE"""),12.0)</f>
        <v>12</v>
      </c>
      <c r="B4075">
        <f>IFERROR(__xludf.DUMMYFUNCTION("""COMPUTED_VALUE"""),26045.0)</f>
        <v>26045</v>
      </c>
      <c r="C4075" t="str">
        <f>IFERROR(__xludf.DUMMYFUNCTION("""COMPUTED_VALUE"""),"GRISALES PINEDA, JULIANA")</f>
        <v>GRISALES PINEDA, JULIANA</v>
      </c>
      <c r="D4075" t="str">
        <f>IFERROR(__xludf.DUMMYFUNCTION("""COMPUTED_VALUE"""),"AP World History")</f>
        <v>AP World History</v>
      </c>
      <c r="E4075" s="3">
        <f>IFERROR(__xludf.DUMMYFUNCTION("""COMPUTED_VALUE"""),6.0)</f>
        <v>6</v>
      </c>
      <c r="F4075" s="300">
        <v>1.0</v>
      </c>
      <c r="G4075" s="300">
        <v>1.0</v>
      </c>
      <c r="H4075" s="300">
        <v>1.0</v>
      </c>
      <c r="I4075" s="300">
        <v>1.0</v>
      </c>
      <c r="J4075" s="300">
        <v>1.0</v>
      </c>
      <c r="K4075" s="300">
        <v>1.0</v>
      </c>
      <c r="L4075" s="300">
        <v>1.0</v>
      </c>
      <c r="M4075" s="300">
        <v>1.0</v>
      </c>
      <c r="N4075" s="300">
        <v>8.0</v>
      </c>
      <c r="O4075" s="300" t="s">
        <v>973</v>
      </c>
      <c r="P4075" s="300">
        <v>2.0</v>
      </c>
    </row>
    <row r="4076">
      <c r="A4076">
        <f>IFERROR(__xludf.DUMMYFUNCTION("""COMPUTED_VALUE"""),12.0)</f>
        <v>12</v>
      </c>
      <c r="B4076">
        <f>IFERROR(__xludf.DUMMYFUNCTION("""COMPUTED_VALUE"""),26126.0)</f>
        <v>26126</v>
      </c>
      <c r="C4076" t="str">
        <f>IFERROR(__xludf.DUMMYFUNCTION("""COMPUTED_VALUE"""),"ZAPATA SALDARRIAGA, TOMAS")</f>
        <v>ZAPATA SALDARRIAGA, TOMAS</v>
      </c>
      <c r="D4076" t="str">
        <f>IFERROR(__xludf.DUMMYFUNCTION("""COMPUTED_VALUE"""),"AP Chemistry")</f>
        <v>AP Chemistry</v>
      </c>
      <c r="E4076" s="3">
        <f>IFERROR(__xludf.DUMMYFUNCTION("""COMPUTED_VALUE"""),7.0)</f>
        <v>7</v>
      </c>
      <c r="F4076" s="300">
        <v>1.0</v>
      </c>
      <c r="G4076" s="300">
        <v>1.0</v>
      </c>
      <c r="H4076" s="300">
        <v>1.0</v>
      </c>
      <c r="I4076" s="300">
        <v>1.0</v>
      </c>
      <c r="J4076" s="300">
        <v>1.0</v>
      </c>
      <c r="K4076" s="300">
        <v>1.0</v>
      </c>
      <c r="L4076" s="300">
        <v>1.0</v>
      </c>
      <c r="M4076" s="300">
        <v>1.0</v>
      </c>
      <c r="N4076" s="300">
        <v>8.0</v>
      </c>
      <c r="O4076" s="300" t="s">
        <v>893</v>
      </c>
      <c r="P4076" s="300">
        <v>1.0</v>
      </c>
    </row>
    <row r="4077">
      <c r="A4077">
        <f>IFERROR(__xludf.DUMMYFUNCTION("""COMPUTED_VALUE"""),12.0)</f>
        <v>12</v>
      </c>
      <c r="B4077">
        <f>IFERROR(__xludf.DUMMYFUNCTION("""COMPUTED_VALUE"""),26151.0)</f>
        <v>26151</v>
      </c>
      <c r="C4077" t="str">
        <f>IFERROR(__xludf.DUMMYFUNCTION("""COMPUTED_VALUE"""),"CADAVID ECHAVARRIA, SUSANA")</f>
        <v>CADAVID ECHAVARRIA, SUSANA</v>
      </c>
      <c r="D4077" t="str">
        <f>IFERROR(__xludf.DUMMYFUNCTION("""COMPUTED_VALUE"""),"AP Economics")</f>
        <v>AP Economics</v>
      </c>
      <c r="E4077" s="3">
        <f>IFERROR(__xludf.DUMMYFUNCTION("""COMPUTED_VALUE"""),5.0)</f>
        <v>5</v>
      </c>
      <c r="F4077" s="300">
        <v>1.0</v>
      </c>
      <c r="G4077" s="300">
        <v>1.0</v>
      </c>
      <c r="H4077" s="300">
        <v>1.0</v>
      </c>
      <c r="I4077" s="300">
        <v>1.0</v>
      </c>
      <c r="J4077" s="300">
        <v>1.0</v>
      </c>
      <c r="K4077" s="300">
        <v>1.0</v>
      </c>
      <c r="L4077" s="300">
        <v>1.0</v>
      </c>
      <c r="M4077" s="300">
        <v>1.0</v>
      </c>
      <c r="N4077" s="300">
        <v>8.0</v>
      </c>
      <c r="O4077" s="300" t="s">
        <v>975</v>
      </c>
      <c r="P4077" s="300">
        <v>4.0</v>
      </c>
    </row>
    <row r="4078">
      <c r="A4078">
        <f>IFERROR(__xludf.DUMMYFUNCTION("""COMPUTED_VALUE"""),12.0)</f>
        <v>12</v>
      </c>
      <c r="B4078">
        <f>IFERROR(__xludf.DUMMYFUNCTION("""COMPUTED_VALUE"""),26175.0)</f>
        <v>26175</v>
      </c>
      <c r="C4078" t="str">
        <f>IFERROR(__xludf.DUMMYFUNCTION("""COMPUTED_VALUE"""),"GRULLON SANTOS, DIEGO")</f>
        <v>GRULLON SANTOS, DIEGO</v>
      </c>
      <c r="D4078" t="str">
        <f>IFERROR(__xludf.DUMMYFUNCTION("""COMPUTED_VALUE"""),"AP Psychology")</f>
        <v>AP Psychology</v>
      </c>
      <c r="E4078" s="3">
        <f>IFERROR(__xludf.DUMMYFUNCTION("""COMPUTED_VALUE"""),5.0)</f>
        <v>5</v>
      </c>
      <c r="F4078" s="300">
        <v>1.0</v>
      </c>
      <c r="G4078" s="300">
        <v>1.0</v>
      </c>
      <c r="H4078" s="300">
        <v>1.0</v>
      </c>
      <c r="I4078" s="300">
        <v>1.0</v>
      </c>
      <c r="J4078" s="300">
        <v>1.0</v>
      </c>
      <c r="K4078" s="300">
        <v>1.0</v>
      </c>
      <c r="L4078" s="300">
        <v>1.0</v>
      </c>
      <c r="M4078" s="300">
        <v>1.0</v>
      </c>
      <c r="N4078" s="300">
        <v>8.0</v>
      </c>
      <c r="O4078" s="300" t="s">
        <v>985</v>
      </c>
      <c r="P4078" s="300">
        <v>2.0</v>
      </c>
    </row>
    <row r="4079">
      <c r="A4079">
        <f>IFERROR(__xludf.DUMMYFUNCTION("""COMPUTED_VALUE"""),12.0)</f>
        <v>12</v>
      </c>
      <c r="B4079">
        <f>IFERROR(__xludf.DUMMYFUNCTION("""COMPUTED_VALUE"""),26164.0)</f>
        <v>26164</v>
      </c>
      <c r="C4079" t="str">
        <f>IFERROR(__xludf.DUMMYFUNCTION("""COMPUTED_VALUE"""),"HARRIS, ROWEN IAN")</f>
        <v>HARRIS, ROWEN IAN</v>
      </c>
      <c r="D4079" t="str">
        <f>IFERROR(__xludf.DUMMYFUNCTION("""COMPUTED_VALUE"""),"Mixed Media Art")</f>
        <v>Mixed Media Art</v>
      </c>
      <c r="E4079" s="3">
        <f>IFERROR(__xludf.DUMMYFUNCTION("""COMPUTED_VALUE"""),6.0)</f>
        <v>6</v>
      </c>
      <c r="F4079" s="300">
        <v>1.0</v>
      </c>
      <c r="G4079" s="300">
        <v>1.0</v>
      </c>
      <c r="H4079" s="300">
        <v>1.0</v>
      </c>
      <c r="I4079" s="300">
        <v>1.0</v>
      </c>
      <c r="J4079" s="300">
        <v>1.0</v>
      </c>
      <c r="K4079" s="300">
        <v>1.0</v>
      </c>
      <c r="L4079" s="300">
        <v>1.0</v>
      </c>
      <c r="M4079" s="300">
        <v>1.0</v>
      </c>
      <c r="N4079" s="300">
        <v>8.0</v>
      </c>
      <c r="O4079" s="300" t="s">
        <v>941</v>
      </c>
      <c r="P4079" s="300">
        <v>1.0</v>
      </c>
    </row>
    <row r="4080">
      <c r="A4080">
        <f>IFERROR(__xludf.DUMMYFUNCTION("""COMPUTED_VALUE"""),12.0)</f>
        <v>12</v>
      </c>
      <c r="B4080">
        <f>IFERROR(__xludf.DUMMYFUNCTION("""COMPUTED_VALUE"""),26016.0)</f>
        <v>26016</v>
      </c>
      <c r="C4080" t="str">
        <f>IFERROR(__xludf.DUMMYFUNCTION("""COMPUTED_VALUE"""),"BETANCUR VILLEGAS, SOFIA")</f>
        <v>BETANCUR VILLEGAS, SOFIA</v>
      </c>
      <c r="D4080" t="str">
        <f>IFERROR(__xludf.DUMMYFUNCTION("""COMPUTED_VALUE"""),"Painting I")</f>
        <v>Painting I</v>
      </c>
      <c r="E4080" s="3">
        <f>IFERROR(__xludf.DUMMYFUNCTION("""COMPUTED_VALUE"""),4.0)</f>
        <v>4</v>
      </c>
      <c r="F4080" s="300">
        <v>1.0</v>
      </c>
      <c r="G4080" s="300">
        <v>1.0</v>
      </c>
      <c r="H4080" s="300">
        <v>1.0</v>
      </c>
      <c r="I4080" s="300">
        <v>1.0</v>
      </c>
      <c r="J4080" s="300">
        <v>1.0</v>
      </c>
      <c r="K4080" s="300">
        <v>1.0</v>
      </c>
      <c r="L4080" s="300">
        <v>1.0</v>
      </c>
      <c r="M4080" s="300">
        <v>1.0</v>
      </c>
      <c r="N4080" s="300">
        <v>8.0</v>
      </c>
      <c r="O4080" s="300" t="s">
        <v>946</v>
      </c>
      <c r="P4080" s="300">
        <v>4.0</v>
      </c>
    </row>
    <row r="4081">
      <c r="A4081">
        <f>IFERROR(__xludf.DUMMYFUNCTION("""COMPUTED_VALUE"""),12.0)</f>
        <v>12</v>
      </c>
      <c r="B4081">
        <f>IFERROR(__xludf.DUMMYFUNCTION("""COMPUTED_VALUE"""),26057.0)</f>
        <v>26057</v>
      </c>
      <c r="C4081" t="str">
        <f>IFERROR(__xludf.DUMMYFUNCTION("""COMPUTED_VALUE"""),"JARAMILLO ARANGO, AMALIA")</f>
        <v>JARAMILLO ARANGO, AMALIA</v>
      </c>
      <c r="D4081" t="str">
        <f>IFERROR(__xludf.DUMMYFUNCTION("""COMPUTED_VALUE"""),"Entrepreneurship - Business Tech")</f>
        <v>Entrepreneurship - Business Tech</v>
      </c>
      <c r="E4081" s="3">
        <f>IFERROR(__xludf.DUMMYFUNCTION("""COMPUTED_VALUE"""),3.0)</f>
        <v>3</v>
      </c>
      <c r="F4081" s="300">
        <v>1.0</v>
      </c>
      <c r="G4081" s="300">
        <v>1.0</v>
      </c>
      <c r="H4081" s="300">
        <v>1.0</v>
      </c>
      <c r="I4081" s="300">
        <v>1.0</v>
      </c>
      <c r="J4081" s="300">
        <v>1.0</v>
      </c>
      <c r="K4081" s="300">
        <v>1.0</v>
      </c>
      <c r="L4081" s="300">
        <v>1.0</v>
      </c>
      <c r="M4081" s="300">
        <v>1.0</v>
      </c>
      <c r="N4081" s="300">
        <v>8.0</v>
      </c>
      <c r="O4081" s="300" t="s">
        <v>992</v>
      </c>
      <c r="P4081" s="300">
        <v>2.0</v>
      </c>
    </row>
    <row r="4082">
      <c r="A4082">
        <f>IFERROR(__xludf.DUMMYFUNCTION("""COMPUTED_VALUE"""),12.0)</f>
        <v>12</v>
      </c>
      <c r="B4082">
        <f>IFERROR(__xludf.DUMMYFUNCTION("""COMPUTED_VALUE"""),26059.0)</f>
        <v>26059</v>
      </c>
      <c r="C4082" t="str">
        <f>IFERROR(__xludf.DUMMYFUNCTION("""COMPUTED_VALUE"""),"JARAMILLO NARANJO, SARA")</f>
        <v>JARAMILLO NARANJO, SARA</v>
      </c>
      <c r="D4082" t="str">
        <f>IFERROR(__xludf.DUMMYFUNCTION("""COMPUTED_VALUE"""),"AP 2-D Art and Design")</f>
        <v>AP 2-D Art and Design</v>
      </c>
      <c r="E4082" s="3">
        <f>IFERROR(__xludf.DUMMYFUNCTION("""COMPUTED_VALUE"""),1.0)</f>
        <v>1</v>
      </c>
      <c r="F4082" s="300">
        <v>1.0</v>
      </c>
      <c r="G4082" s="300">
        <v>1.0</v>
      </c>
      <c r="H4082" s="300">
        <v>1.0</v>
      </c>
      <c r="I4082" s="300">
        <v>1.0</v>
      </c>
      <c r="J4082" s="300">
        <v>1.0</v>
      </c>
      <c r="K4082" s="300">
        <v>1.0</v>
      </c>
      <c r="L4082" s="300">
        <v>1.0</v>
      </c>
      <c r="M4082" s="300">
        <v>1.0</v>
      </c>
      <c r="N4082" s="300">
        <v>8.0</v>
      </c>
      <c r="O4082" s="300" t="s">
        <v>948</v>
      </c>
      <c r="P4082" s="300">
        <v>1.0</v>
      </c>
    </row>
    <row r="4083">
      <c r="A4083">
        <f>IFERROR(__xludf.DUMMYFUNCTION("""COMPUTED_VALUE"""),12.0)</f>
        <v>12</v>
      </c>
      <c r="B4083">
        <f>IFERROR(__xludf.DUMMYFUNCTION("""COMPUTED_VALUE"""),26094.0)</f>
        <v>26094</v>
      </c>
      <c r="C4083" t="str">
        <f>IFERROR(__xludf.DUMMYFUNCTION("""COMPUTED_VALUE"""),"PULGARIN HUERTAS, AMELIA")</f>
        <v>PULGARIN HUERTAS, AMELIA</v>
      </c>
      <c r="D4083" t="str">
        <f>IFERROR(__xludf.DUMMYFUNCTION("""COMPUTED_VALUE"""),"AP World History")</f>
        <v>AP World History</v>
      </c>
      <c r="E4083" s="3">
        <f>IFERROR(__xludf.DUMMYFUNCTION("""COMPUTED_VALUE"""),6.0)</f>
        <v>6</v>
      </c>
      <c r="F4083" s="300">
        <v>1.0</v>
      </c>
      <c r="G4083" s="300">
        <v>1.0</v>
      </c>
      <c r="H4083" s="300">
        <v>1.0</v>
      </c>
      <c r="I4083" s="300">
        <v>1.0</v>
      </c>
      <c r="J4083" s="300">
        <v>1.0</v>
      </c>
      <c r="K4083" s="300">
        <v>1.0</v>
      </c>
      <c r="L4083" s="300">
        <v>1.0</v>
      </c>
      <c r="M4083" s="300">
        <v>1.0</v>
      </c>
      <c r="N4083" s="300">
        <v>8.0</v>
      </c>
      <c r="O4083" s="300" t="s">
        <v>973</v>
      </c>
      <c r="P4083" s="300">
        <v>2.0</v>
      </c>
    </row>
    <row r="4084">
      <c r="A4084">
        <f>IFERROR(__xludf.DUMMYFUNCTION("""COMPUTED_VALUE"""),12.0)</f>
        <v>12</v>
      </c>
      <c r="B4084">
        <f>IFERROR(__xludf.DUMMYFUNCTION("""COMPUTED_VALUE"""),26007.0)</f>
        <v>26007</v>
      </c>
      <c r="C4084" t="str">
        <f>IFERROR(__xludf.DUMMYFUNCTION("""COMPUTED_VALUE"""),"ARANGO ESCOBAR, JULIANA")</f>
        <v>ARANGO ESCOBAR, JULIANA</v>
      </c>
      <c r="D4084" t="str">
        <f>IFERROR(__xludf.DUMMYFUNCTION("""COMPUTED_VALUE"""),"Financial Math")</f>
        <v>Financial Math</v>
      </c>
      <c r="E4084" s="3">
        <f>IFERROR(__xludf.DUMMYFUNCTION("""COMPUTED_VALUE"""),7.0)</f>
        <v>7</v>
      </c>
      <c r="F4084" s="300">
        <v>1.0</v>
      </c>
      <c r="G4084" s="300">
        <v>1.0</v>
      </c>
      <c r="H4084" s="300">
        <v>1.0</v>
      </c>
      <c r="I4084" s="300">
        <v>1.0</v>
      </c>
      <c r="J4084" s="300">
        <v>1.0</v>
      </c>
      <c r="K4084" s="300">
        <v>1.0</v>
      </c>
      <c r="L4084" s="300">
        <v>1.0</v>
      </c>
      <c r="M4084" s="300">
        <v>1.0</v>
      </c>
      <c r="N4084" s="300">
        <v>8.0</v>
      </c>
      <c r="O4084" s="300" t="s">
        <v>864</v>
      </c>
      <c r="P4084" s="300">
        <v>3.0</v>
      </c>
    </row>
    <row r="4085">
      <c r="A4085">
        <f>IFERROR(__xludf.DUMMYFUNCTION("""COMPUTED_VALUE"""),12.0)</f>
        <v>12</v>
      </c>
      <c r="B4085">
        <f>IFERROR(__xludf.DUMMYFUNCTION("""COMPUTED_VALUE"""),26176.0)</f>
        <v>26176</v>
      </c>
      <c r="C4085" t="str">
        <f>IFERROR(__xludf.DUMMYFUNCTION("""COMPUTED_VALUE"""),"FORTICH ANGULO, SERGIO")</f>
        <v>FORTICH ANGULO, SERGIO</v>
      </c>
      <c r="D4085" t="str">
        <f>IFERROR(__xludf.DUMMYFUNCTION("""COMPUTED_VALUE"""),"Financial Math")</f>
        <v>Financial Math</v>
      </c>
      <c r="E4085" s="3">
        <f>IFERROR(__xludf.DUMMYFUNCTION("""COMPUTED_VALUE"""),5.0)</f>
        <v>5</v>
      </c>
      <c r="F4085" s="300">
        <v>1.0</v>
      </c>
      <c r="G4085" s="300">
        <v>1.0</v>
      </c>
      <c r="H4085" s="300">
        <v>1.0</v>
      </c>
      <c r="I4085" s="300">
        <v>1.0</v>
      </c>
      <c r="J4085" s="300">
        <v>1.0</v>
      </c>
      <c r="K4085" s="300">
        <v>1.0</v>
      </c>
      <c r="L4085" s="300">
        <v>1.0</v>
      </c>
      <c r="M4085" s="300">
        <v>1.0</v>
      </c>
      <c r="N4085" s="300">
        <v>8.0</v>
      </c>
      <c r="O4085" s="300" t="s">
        <v>862</v>
      </c>
      <c r="P4085" s="300">
        <v>3.0</v>
      </c>
    </row>
    <row r="4086">
      <c r="A4086">
        <f>IFERROR(__xludf.DUMMYFUNCTION("""COMPUTED_VALUE"""),12.0)</f>
        <v>12</v>
      </c>
      <c r="B4086">
        <f>IFERROR(__xludf.DUMMYFUNCTION("""COMPUTED_VALUE"""),26070.0)</f>
        <v>26070</v>
      </c>
      <c r="C4086" t="str">
        <f>IFERROR(__xludf.DUMMYFUNCTION("""COMPUTED_VALUE"""),"MEJIA MEJIA, LUCAS")</f>
        <v>MEJIA MEJIA, LUCAS</v>
      </c>
      <c r="D4086" t="str">
        <f>IFERROR(__xludf.DUMMYFUNCTION("""COMPUTED_VALUE"""),"Drawing I")</f>
        <v>Drawing I</v>
      </c>
      <c r="E4086" s="3">
        <f>IFERROR(__xludf.DUMMYFUNCTION("""COMPUTED_VALUE"""),8.0)</f>
        <v>8</v>
      </c>
      <c r="F4086" s="300">
        <v>1.0</v>
      </c>
      <c r="G4086" s="300">
        <v>1.0</v>
      </c>
      <c r="H4086" s="300">
        <v>1.0</v>
      </c>
      <c r="I4086" s="300">
        <v>1.0</v>
      </c>
      <c r="J4086" s="300">
        <v>1.0</v>
      </c>
      <c r="K4086" s="300">
        <v>1.0</v>
      </c>
      <c r="L4086" s="300">
        <v>1.0</v>
      </c>
      <c r="M4086" s="300">
        <v>1.0</v>
      </c>
      <c r="N4086" s="300">
        <v>8.0</v>
      </c>
      <c r="O4086" s="300" t="s">
        <v>944</v>
      </c>
      <c r="P4086" s="300">
        <v>2.0</v>
      </c>
    </row>
    <row r="4087">
      <c r="A4087">
        <f>IFERROR(__xludf.DUMMYFUNCTION("""COMPUTED_VALUE"""),12.0)</f>
        <v>12</v>
      </c>
      <c r="B4087">
        <f>IFERROR(__xludf.DUMMYFUNCTION("""COMPUTED_VALUE"""),26052.0)</f>
        <v>26052</v>
      </c>
      <c r="C4087" t="str">
        <f>IFERROR(__xludf.DUMMYFUNCTION("""COMPUTED_VALUE"""),"HINESTROSA SIERRA, AMALIA")</f>
        <v>HINESTROSA SIERRA, AMALIA</v>
      </c>
      <c r="D4087" t="str">
        <f>IFERROR(__xludf.DUMMYFUNCTION("""COMPUTED_VALUE"""),"Painting II")</f>
        <v>Painting II</v>
      </c>
      <c r="E4087" s="3">
        <f>IFERROR(__xludf.DUMMYFUNCTION("""COMPUTED_VALUE"""),1.0)</f>
        <v>1</v>
      </c>
      <c r="F4087" s="300">
        <v>1.0</v>
      </c>
      <c r="G4087" s="300">
        <v>1.0</v>
      </c>
      <c r="H4087" s="300">
        <v>1.0</v>
      </c>
      <c r="I4087" s="300">
        <v>1.0</v>
      </c>
      <c r="J4087" s="300">
        <v>1.0</v>
      </c>
      <c r="K4087" s="300">
        <v>1.0</v>
      </c>
      <c r="L4087" s="300">
        <v>1.0</v>
      </c>
      <c r="M4087" s="300">
        <v>1.0</v>
      </c>
      <c r="N4087" s="300">
        <v>8.0</v>
      </c>
      <c r="O4087" s="300" t="s">
        <v>939</v>
      </c>
      <c r="P4087" s="300">
        <v>2.0</v>
      </c>
    </row>
    <row r="4088">
      <c r="A4088">
        <f>IFERROR(__xludf.DUMMYFUNCTION("""COMPUTED_VALUE"""),12.0)</f>
        <v>12</v>
      </c>
      <c r="B4088">
        <f>IFERROR(__xludf.DUMMYFUNCTION("""COMPUTED_VALUE"""),26123.0)</f>
        <v>26123</v>
      </c>
      <c r="C4088" t="str">
        <f>IFERROR(__xludf.DUMMYFUNCTION("""COMPUTED_VALUE"""),"WOLFF RAMIREZ, MARIA")</f>
        <v>WOLFF RAMIREZ, MARIA</v>
      </c>
      <c r="D4088" t="str">
        <f>IFERROR(__xludf.DUMMYFUNCTION("""COMPUTED_VALUE"""),"AP World History")</f>
        <v>AP World History</v>
      </c>
      <c r="E4088" s="3">
        <f>IFERROR(__xludf.DUMMYFUNCTION("""COMPUTED_VALUE"""),6.0)</f>
        <v>6</v>
      </c>
      <c r="F4088" s="300">
        <v>1.0</v>
      </c>
      <c r="G4088" s="300">
        <v>1.0</v>
      </c>
      <c r="H4088" s="300">
        <v>1.0</v>
      </c>
      <c r="I4088" s="300">
        <v>1.0</v>
      </c>
      <c r="J4088" s="300">
        <v>1.0</v>
      </c>
      <c r="K4088" s="300">
        <v>1.0</v>
      </c>
      <c r="L4088" s="300">
        <v>1.0</v>
      </c>
      <c r="M4088" s="300">
        <v>1.0</v>
      </c>
      <c r="N4088" s="300">
        <v>8.0</v>
      </c>
      <c r="O4088" s="300" t="s">
        <v>973</v>
      </c>
      <c r="P4088" s="300">
        <v>2.0</v>
      </c>
    </row>
    <row r="4089">
      <c r="A4089">
        <f>IFERROR(__xludf.DUMMYFUNCTION("""COMPUTED_VALUE"""),12.0)</f>
        <v>12</v>
      </c>
      <c r="B4089">
        <f>IFERROR(__xludf.DUMMYFUNCTION("""COMPUTED_VALUE"""),26042.0)</f>
        <v>26042</v>
      </c>
      <c r="C4089" t="str">
        <f>IFERROR(__xludf.DUMMYFUNCTION("""COMPUTED_VALUE"""),"GOMEZ VELEZ, MIGUEL")</f>
        <v>GOMEZ VELEZ, MIGUEL</v>
      </c>
      <c r="D4089" t="str">
        <f>IFERROR(__xludf.DUMMYFUNCTION("""COMPUTED_VALUE"""),"PE 10")</f>
        <v>PE 10</v>
      </c>
      <c r="E4089" s="3">
        <f>IFERROR(__xludf.DUMMYFUNCTION("""COMPUTED_VALUE"""),1.0)</f>
        <v>1</v>
      </c>
      <c r="F4089" s="300">
        <v>1.0</v>
      </c>
      <c r="G4089" s="300">
        <v>1.0</v>
      </c>
      <c r="H4089" s="300">
        <v>1.0</v>
      </c>
      <c r="I4089" s="300">
        <v>1.0</v>
      </c>
      <c r="J4089" s="300">
        <v>1.0</v>
      </c>
      <c r="K4089" s="300">
        <v>1.0</v>
      </c>
      <c r="L4089" s="300">
        <v>1.0</v>
      </c>
      <c r="M4089" s="300">
        <v>1.0</v>
      </c>
      <c r="N4089" s="300">
        <v>8.0</v>
      </c>
      <c r="O4089" s="300" t="s">
        <v>903</v>
      </c>
      <c r="P4089" s="300">
        <v>6.0</v>
      </c>
    </row>
    <row r="4090">
      <c r="A4090">
        <f>IFERROR(__xludf.DUMMYFUNCTION("""COMPUTED_VALUE"""),12.0)</f>
        <v>12</v>
      </c>
      <c r="B4090">
        <f>IFERROR(__xludf.DUMMYFUNCTION("""COMPUTED_VALUE"""),26116.0)</f>
        <v>26116</v>
      </c>
      <c r="C4090" t="str">
        <f>IFERROR(__xludf.DUMMYFUNCTION("""COMPUTED_VALUE"""),"VELEZ FERRER, AGUSTIN")</f>
        <v>VELEZ FERRER, AGUSTIN</v>
      </c>
      <c r="D4090" t="str">
        <f>IFERROR(__xludf.DUMMYFUNCTION("""COMPUTED_VALUE"""),"Financial Math")</f>
        <v>Financial Math</v>
      </c>
      <c r="E4090" s="3">
        <f>IFERROR(__xludf.DUMMYFUNCTION("""COMPUTED_VALUE"""),7.0)</f>
        <v>7</v>
      </c>
      <c r="F4090" s="300">
        <v>1.0</v>
      </c>
      <c r="G4090" s="300">
        <v>1.0</v>
      </c>
      <c r="H4090" s="300">
        <v>1.0</v>
      </c>
      <c r="I4090" s="300">
        <v>1.0</v>
      </c>
      <c r="J4090" s="300">
        <v>1.0</v>
      </c>
      <c r="K4090" s="300">
        <v>1.0</v>
      </c>
      <c r="L4090" s="300">
        <v>1.0</v>
      </c>
      <c r="M4090" s="300">
        <v>1.0</v>
      </c>
      <c r="N4090" s="300">
        <v>8.0</v>
      </c>
      <c r="O4090" s="300" t="s">
        <v>864</v>
      </c>
      <c r="P4090" s="300">
        <v>3.0</v>
      </c>
    </row>
    <row r="4091">
      <c r="A4091">
        <f>IFERROR(__xludf.DUMMYFUNCTION("""COMPUTED_VALUE"""),12.0)</f>
        <v>12</v>
      </c>
      <c r="B4091">
        <f>IFERROR(__xludf.DUMMYFUNCTION("""COMPUTED_VALUE"""),26039.0)</f>
        <v>26039</v>
      </c>
      <c r="C4091" t="str">
        <f>IFERROR(__xludf.DUMMYFUNCTION("""COMPUTED_VALUE"""),"GOMEZ LINCE, MARIA")</f>
        <v>GOMEZ LINCE, MARIA</v>
      </c>
      <c r="D4091" t="str">
        <f>IFERROR(__xludf.DUMMYFUNCTION("""COMPUTED_VALUE"""),"Band Level II")</f>
        <v>Band Level II</v>
      </c>
      <c r="E4091" s="3">
        <f>IFERROR(__xludf.DUMMYFUNCTION("""COMPUTED_VALUE"""),6.0)</f>
        <v>6</v>
      </c>
      <c r="F4091" s="300">
        <v>1.0</v>
      </c>
      <c r="G4091" s="300">
        <v>1.0</v>
      </c>
      <c r="H4091" s="300">
        <v>1.0</v>
      </c>
      <c r="I4091" s="300">
        <v>1.0</v>
      </c>
      <c r="J4091" s="300">
        <v>1.0</v>
      </c>
      <c r="K4091" s="300">
        <v>1.0</v>
      </c>
      <c r="L4091" s="300">
        <v>1.0</v>
      </c>
      <c r="M4091" s="300">
        <v>1.0</v>
      </c>
      <c r="N4091" s="300">
        <v>8.0</v>
      </c>
      <c r="O4091" s="300" t="s">
        <v>942</v>
      </c>
      <c r="P4091" s="300">
        <v>2.0</v>
      </c>
    </row>
    <row r="4092">
      <c r="A4092">
        <f>IFERROR(__xludf.DUMMYFUNCTION("""COMPUTED_VALUE"""),12.0)</f>
        <v>12</v>
      </c>
      <c r="B4092">
        <f>IFERROR(__xludf.DUMMYFUNCTION("""COMPUTED_VALUE"""),26030.0)</f>
        <v>26030</v>
      </c>
      <c r="C4092" t="str">
        <f>IFERROR(__xludf.DUMMYFUNCTION("""COMPUTED_VALUE"""),"FERNANDEZ DUQUE, CANDELARIA")</f>
        <v>FERNANDEZ DUQUE, CANDELARIA</v>
      </c>
      <c r="D4092" t="str">
        <f>IFERROR(__xludf.DUMMYFUNCTION("""COMPUTED_VALUE"""),"Band Level II")</f>
        <v>Band Level II</v>
      </c>
      <c r="E4092" s="3">
        <f>IFERROR(__xludf.DUMMYFUNCTION("""COMPUTED_VALUE"""),2.0)</f>
        <v>2</v>
      </c>
      <c r="F4092" s="300">
        <v>1.0</v>
      </c>
      <c r="G4092" s="300">
        <v>1.0</v>
      </c>
      <c r="H4092" s="300">
        <v>1.0</v>
      </c>
      <c r="I4092" s="300">
        <v>1.0</v>
      </c>
      <c r="J4092" s="300">
        <v>1.0</v>
      </c>
      <c r="K4092" s="300">
        <v>1.0</v>
      </c>
      <c r="L4092" s="300">
        <v>1.0</v>
      </c>
      <c r="M4092" s="300">
        <v>1.0</v>
      </c>
      <c r="N4092" s="300">
        <v>8.0</v>
      </c>
      <c r="O4092" s="300" t="s">
        <v>940</v>
      </c>
      <c r="P4092" s="300">
        <v>2.0</v>
      </c>
    </row>
    <row r="4093">
      <c r="A4093">
        <f>IFERROR(__xludf.DUMMYFUNCTION("""COMPUTED_VALUE"""),12.0)</f>
        <v>12</v>
      </c>
      <c r="B4093">
        <f>IFERROR(__xludf.DUMMYFUNCTION("""COMPUTED_VALUE"""),26003.0)</f>
        <v>26003</v>
      </c>
      <c r="C4093" t="str">
        <f>IFERROR(__xludf.DUMMYFUNCTION("""COMPUTED_VALUE"""),"AGUDELO ECHEVERRI, MATIAS")</f>
        <v>AGUDELO ECHEVERRI, MATIAS</v>
      </c>
      <c r="D4093" t="str">
        <f>IFERROR(__xludf.DUMMYFUNCTION("""COMPUTED_VALUE"""),"Entrepreneurship - Business Tech")</f>
        <v>Entrepreneurship - Business Tech</v>
      </c>
      <c r="E4093" s="3">
        <f>IFERROR(__xludf.DUMMYFUNCTION("""COMPUTED_VALUE"""),3.0)</f>
        <v>3</v>
      </c>
      <c r="F4093" s="300">
        <v>1.0</v>
      </c>
      <c r="G4093" s="300">
        <v>1.0</v>
      </c>
      <c r="H4093" s="300">
        <v>1.0</v>
      </c>
      <c r="I4093" s="300">
        <v>1.0</v>
      </c>
      <c r="J4093" s="300">
        <v>1.0</v>
      </c>
      <c r="K4093" s="300">
        <v>1.0</v>
      </c>
      <c r="L4093" s="300">
        <v>1.0</v>
      </c>
      <c r="M4093" s="300">
        <v>1.0</v>
      </c>
      <c r="N4093" s="300">
        <v>8.0</v>
      </c>
      <c r="O4093" s="300" t="s">
        <v>992</v>
      </c>
      <c r="P4093" s="300">
        <v>2.0</v>
      </c>
    </row>
    <row r="4094">
      <c r="A4094">
        <f>IFERROR(__xludf.DUMMYFUNCTION("""COMPUTED_VALUE"""),12.0)</f>
        <v>12</v>
      </c>
      <c r="B4094" s="406">
        <f>IFERROR(__xludf.DUMMYFUNCTION("""COMPUTED_VALUE"""),26053.0)</f>
        <v>26053</v>
      </c>
      <c r="C4094" t="str">
        <f>IFERROR(__xludf.DUMMYFUNCTION("""COMPUTED_VALUE"""),"HODEK RESTREPO, MIA")</f>
        <v>HODEK RESTREPO, MIA</v>
      </c>
      <c r="D4094" t="str">
        <f>IFERROR(__xludf.DUMMYFUNCTION("""COMPUTED_VALUE"""),"AP Physics 2")</f>
        <v>AP Physics 2</v>
      </c>
      <c r="E4094" s="3">
        <f>IFERROR(__xludf.DUMMYFUNCTION("""COMPUTED_VALUE"""),3.0)</f>
        <v>3</v>
      </c>
      <c r="F4094" s="300">
        <v>1.0</v>
      </c>
      <c r="G4094" s="300">
        <v>1.0</v>
      </c>
      <c r="H4094" s="300">
        <v>1.0</v>
      </c>
      <c r="I4094" s="300">
        <v>1.0</v>
      </c>
      <c r="J4094" s="300">
        <v>1.0</v>
      </c>
      <c r="K4094" s="300">
        <v>1.0</v>
      </c>
      <c r="L4094" s="300">
        <v>1.0</v>
      </c>
      <c r="M4094" s="300">
        <v>1.0</v>
      </c>
      <c r="N4094" s="300">
        <v>8.0</v>
      </c>
      <c r="O4094" s="300" t="s">
        <v>886</v>
      </c>
      <c r="P4094" s="300">
        <v>2.0</v>
      </c>
    </row>
    <row r="4095">
      <c r="A4095">
        <f>IFERROR(__xludf.DUMMYFUNCTION("""COMPUTED_VALUE"""),12.0)</f>
        <v>12</v>
      </c>
      <c r="B4095">
        <f>IFERROR(__xludf.DUMMYFUNCTION("""COMPUTED_VALUE"""),26021.0)</f>
        <v>26021</v>
      </c>
      <c r="C4095" t="str">
        <f>IFERROR(__xludf.DUMMYFUNCTION("""COMPUTED_VALUE"""),"CARDONA OCHOA, CAMILA")</f>
        <v>CARDONA OCHOA, CAMILA</v>
      </c>
      <c r="D4095" t="str">
        <f>IFERROR(__xludf.DUMMYFUNCTION("""COMPUTED_VALUE"""),"Painting I")</f>
        <v>Painting I</v>
      </c>
      <c r="E4095" s="3">
        <f>IFERROR(__xludf.DUMMYFUNCTION("""COMPUTED_VALUE"""),4.0)</f>
        <v>4</v>
      </c>
      <c r="F4095" s="300">
        <v>1.0</v>
      </c>
      <c r="G4095" s="300">
        <v>1.0</v>
      </c>
      <c r="H4095" s="300">
        <v>1.0</v>
      </c>
      <c r="I4095" s="300">
        <v>1.0</v>
      </c>
      <c r="J4095" s="300">
        <v>1.0</v>
      </c>
      <c r="K4095" s="300">
        <v>1.0</v>
      </c>
      <c r="L4095" s="300">
        <v>1.0</v>
      </c>
      <c r="M4095" s="300">
        <v>1.0</v>
      </c>
      <c r="N4095" s="300">
        <v>8.0</v>
      </c>
      <c r="O4095" s="300" t="s">
        <v>946</v>
      </c>
      <c r="P4095" s="300">
        <v>4.0</v>
      </c>
    </row>
    <row r="4096">
      <c r="A4096">
        <f>IFERROR(__xludf.DUMMYFUNCTION("""COMPUTED_VALUE"""),12.0)</f>
        <v>12</v>
      </c>
      <c r="B4096">
        <f>IFERROR(__xludf.DUMMYFUNCTION("""COMPUTED_VALUE"""),26089.0)</f>
        <v>26089</v>
      </c>
      <c r="C4096" t="str">
        <f>IFERROR(__xludf.DUMMYFUNCTION("""COMPUTED_VALUE"""),"PEREZ YEPES, EMILIANO")</f>
        <v>PEREZ YEPES, EMILIANO</v>
      </c>
      <c r="D4096" t="str">
        <f>IFERROR(__xludf.DUMMYFUNCTION("""COMPUTED_VALUE"""),"Financial Math")</f>
        <v>Financial Math</v>
      </c>
      <c r="E4096" s="3">
        <f>IFERROR(__xludf.DUMMYFUNCTION("""COMPUTED_VALUE"""),5.0)</f>
        <v>5</v>
      </c>
      <c r="F4096" s="300">
        <v>1.0</v>
      </c>
      <c r="G4096" s="300">
        <v>1.0</v>
      </c>
      <c r="H4096" s="300">
        <v>1.0</v>
      </c>
      <c r="I4096" s="300">
        <v>1.0</v>
      </c>
      <c r="J4096" s="300">
        <v>1.0</v>
      </c>
      <c r="K4096" s="300">
        <v>1.0</v>
      </c>
      <c r="L4096" s="300">
        <v>1.0</v>
      </c>
      <c r="M4096" s="300">
        <v>1.0</v>
      </c>
      <c r="N4096" s="300">
        <v>8.0</v>
      </c>
      <c r="O4096" s="300" t="s">
        <v>862</v>
      </c>
      <c r="P4096" s="300">
        <v>3.0</v>
      </c>
    </row>
    <row r="4097">
      <c r="A4097">
        <f>IFERROR(__xludf.DUMMYFUNCTION("""COMPUTED_VALUE"""),12.0)</f>
        <v>12</v>
      </c>
      <c r="B4097">
        <f>IFERROR(__xludf.DUMMYFUNCTION("""COMPUTED_VALUE"""),26035.0)</f>
        <v>26035</v>
      </c>
      <c r="C4097" t="str">
        <f>IFERROR(__xludf.DUMMYFUNCTION("""COMPUTED_VALUE"""),"GAVIRIA GONZALEZ, MATIAS")</f>
        <v>GAVIRIA GONZALEZ, MATIAS</v>
      </c>
      <c r="D4097" t="str">
        <f>IFERROR(__xludf.DUMMYFUNCTION("""COMPUTED_VALUE"""),"Painting II")</f>
        <v>Painting II</v>
      </c>
      <c r="E4097" s="3">
        <f>IFERROR(__xludf.DUMMYFUNCTION("""COMPUTED_VALUE"""),7.0)</f>
        <v>7</v>
      </c>
      <c r="F4097" s="300">
        <v>1.0</v>
      </c>
      <c r="G4097" s="300">
        <v>1.0</v>
      </c>
      <c r="H4097" s="300">
        <v>1.0</v>
      </c>
      <c r="I4097" s="300">
        <v>1.0</v>
      </c>
      <c r="J4097" s="300">
        <v>1.0</v>
      </c>
      <c r="K4097" s="300">
        <v>1.0</v>
      </c>
      <c r="L4097" s="300">
        <v>1.0</v>
      </c>
      <c r="M4097" s="300">
        <v>1.0</v>
      </c>
      <c r="N4097" s="300">
        <v>8.0</v>
      </c>
      <c r="O4097" s="300" t="s">
        <v>935</v>
      </c>
      <c r="P4097" s="300">
        <v>2.0</v>
      </c>
    </row>
    <row r="4098">
      <c r="A4098">
        <f>IFERROR(__xludf.DUMMYFUNCTION("""COMPUTED_VALUE"""),12.0)</f>
        <v>12</v>
      </c>
      <c r="B4098">
        <f>IFERROR(__xludf.DUMMYFUNCTION("""COMPUTED_VALUE"""),26171.0)</f>
        <v>26171</v>
      </c>
      <c r="C4098" t="str">
        <f>IFERROR(__xludf.DUMMYFUNCTION("""COMPUTED_VALUE"""),"GOMEZ AMADOR, MATIAS")</f>
        <v>GOMEZ AMADOR, MATIAS</v>
      </c>
      <c r="D4098" t="str">
        <f>IFERROR(__xludf.DUMMYFUNCTION("""COMPUTED_VALUE"""),"Drawing I")</f>
        <v>Drawing I</v>
      </c>
      <c r="E4098" s="3">
        <f>IFERROR(__xludf.DUMMYFUNCTION("""COMPUTED_VALUE"""),8.0)</f>
        <v>8</v>
      </c>
      <c r="F4098" s="300">
        <v>1.0</v>
      </c>
      <c r="G4098" s="300">
        <v>1.0</v>
      </c>
      <c r="H4098" s="300">
        <v>1.0</v>
      </c>
      <c r="I4098" s="300">
        <v>1.0</v>
      </c>
      <c r="J4098" s="300">
        <v>1.0</v>
      </c>
      <c r="K4098" s="300">
        <v>1.0</v>
      </c>
      <c r="L4098" s="300">
        <v>1.0</v>
      </c>
      <c r="M4098" s="300">
        <v>1.0</v>
      </c>
      <c r="N4098" s="300">
        <v>8.0</v>
      </c>
      <c r="O4098" s="300" t="s">
        <v>944</v>
      </c>
      <c r="P4098" s="300">
        <v>2.0</v>
      </c>
    </row>
    <row r="4099">
      <c r="A4099">
        <f>IFERROR(__xludf.DUMMYFUNCTION("""COMPUTED_VALUE"""),12.0)</f>
        <v>12</v>
      </c>
      <c r="B4099">
        <f>IFERROR(__xludf.DUMMYFUNCTION("""COMPUTED_VALUE"""),26066.0)</f>
        <v>26066</v>
      </c>
      <c r="C4099" t="str">
        <f>IFERROR(__xludf.DUMMYFUNCTION("""COMPUTED_VALUE"""),"LONDOÑO CUARTAS, MANUEL")</f>
        <v>LONDOÑO CUARTAS, MANUEL</v>
      </c>
      <c r="D4099" t="str">
        <f>IFERROR(__xludf.DUMMYFUNCTION("""COMPUTED_VALUE"""),"Introduction to Law")</f>
        <v>Introduction to Law</v>
      </c>
      <c r="E4099" s="3">
        <f>IFERROR(__xludf.DUMMYFUNCTION("""COMPUTED_VALUE"""),4.0)</f>
        <v>4</v>
      </c>
      <c r="F4099" s="300">
        <v>1.0</v>
      </c>
      <c r="G4099" s="300">
        <v>1.0</v>
      </c>
      <c r="H4099" s="300">
        <v>1.0</v>
      </c>
      <c r="I4099" s="300">
        <v>1.0</v>
      </c>
      <c r="J4099" s="300">
        <v>1.0</v>
      </c>
      <c r="K4099" s="300">
        <v>1.0</v>
      </c>
      <c r="L4099" s="300">
        <v>1.0</v>
      </c>
      <c r="M4099" s="300">
        <v>1.0</v>
      </c>
      <c r="N4099" s="300">
        <v>8.0</v>
      </c>
      <c r="O4099" s="300" t="s">
        <v>982</v>
      </c>
      <c r="P4099" s="300">
        <v>1.0</v>
      </c>
    </row>
    <row r="4100">
      <c r="A4100">
        <f>IFERROR(__xludf.DUMMYFUNCTION("""COMPUTED_VALUE"""),12.0)</f>
        <v>12</v>
      </c>
      <c r="B4100">
        <f>IFERROR(__xludf.DUMMYFUNCTION("""COMPUTED_VALUE"""),26101.0)</f>
        <v>26101</v>
      </c>
      <c r="C4100" t="str">
        <f>IFERROR(__xludf.DUMMYFUNCTION("""COMPUTED_VALUE"""),"ROBLES RESTREPO, MANOLO")</f>
        <v>ROBLES RESTREPO, MANOLO</v>
      </c>
      <c r="D4100" t="str">
        <f>IFERROR(__xludf.DUMMYFUNCTION("""COMPUTED_VALUE"""),"Drawing I")</f>
        <v>Drawing I</v>
      </c>
      <c r="E4100" s="3">
        <f>IFERROR(__xludf.DUMMYFUNCTION("""COMPUTED_VALUE"""),8.0)</f>
        <v>8</v>
      </c>
      <c r="F4100" s="300">
        <v>1.0</v>
      </c>
      <c r="G4100" s="300">
        <v>1.0</v>
      </c>
      <c r="H4100" s="300">
        <v>1.0</v>
      </c>
      <c r="I4100" s="300">
        <v>1.0</v>
      </c>
      <c r="J4100" s="300">
        <v>1.0</v>
      </c>
      <c r="K4100" s="300">
        <v>1.0</v>
      </c>
      <c r="L4100" s="300">
        <v>1.0</v>
      </c>
      <c r="M4100" s="300">
        <v>1.0</v>
      </c>
      <c r="N4100" s="300">
        <v>8.0</v>
      </c>
      <c r="O4100" s="300" t="s">
        <v>944</v>
      </c>
      <c r="P4100" s="300">
        <v>2.0</v>
      </c>
    </row>
    <row r="4101">
      <c r="A4101">
        <f>IFERROR(__xludf.DUMMYFUNCTION("""COMPUTED_VALUE"""),12.0)</f>
        <v>12</v>
      </c>
      <c r="B4101">
        <f>IFERROR(__xludf.DUMMYFUNCTION("""COMPUTED_VALUE"""),26008.0)</f>
        <v>26008</v>
      </c>
      <c r="C4101" t="str">
        <f>IFERROR(__xludf.DUMMYFUNCTION("""COMPUTED_VALUE"""),"ARANGO FERNANDEZ, JUAN")</f>
        <v>ARANGO FERNANDEZ, JUAN</v>
      </c>
      <c r="D4101" t="str">
        <f>IFERROR(__xludf.DUMMYFUNCTION("""COMPUTED_VALUE"""),"Drawing I")</f>
        <v>Drawing I</v>
      </c>
      <c r="E4101" s="3">
        <f>IFERROR(__xludf.DUMMYFUNCTION("""COMPUTED_VALUE"""),3.0)</f>
        <v>3</v>
      </c>
      <c r="F4101" s="300">
        <v>1.0</v>
      </c>
      <c r="G4101" s="300">
        <v>1.0</v>
      </c>
      <c r="H4101" s="300">
        <v>1.0</v>
      </c>
      <c r="I4101" s="300">
        <v>1.0</v>
      </c>
      <c r="J4101" s="300">
        <v>1.0</v>
      </c>
      <c r="K4101" s="300">
        <v>1.0</v>
      </c>
      <c r="L4101" s="300">
        <v>1.0</v>
      </c>
      <c r="M4101" s="300">
        <v>1.0</v>
      </c>
      <c r="N4101" s="300">
        <v>8.0</v>
      </c>
      <c r="O4101" s="300" t="s">
        <v>938</v>
      </c>
      <c r="P4101" s="300">
        <v>2.0</v>
      </c>
    </row>
    <row r="4102">
      <c r="A4102">
        <f>IFERROR(__xludf.DUMMYFUNCTION("""COMPUTED_VALUE"""),12.0)</f>
        <v>12</v>
      </c>
      <c r="B4102">
        <f>IFERROR(__xludf.DUMMYFUNCTION("""COMPUTED_VALUE"""),26011.0)</f>
        <v>26011</v>
      </c>
      <c r="C4102" t="str">
        <f>IFERROR(__xludf.DUMMYFUNCTION("""COMPUTED_VALUE"""),"ARROYAVE RESTREPO, CAMILO")</f>
        <v>ARROYAVE RESTREPO, CAMILO</v>
      </c>
      <c r="D4102" t="str">
        <f>IFERROR(__xludf.DUMMYFUNCTION("""COMPUTED_VALUE"""),"Financial Math")</f>
        <v>Financial Math</v>
      </c>
      <c r="E4102" s="3">
        <f>IFERROR(__xludf.DUMMYFUNCTION("""COMPUTED_VALUE"""),7.0)</f>
        <v>7</v>
      </c>
      <c r="F4102" s="300">
        <v>1.0</v>
      </c>
      <c r="G4102" s="300">
        <v>1.0</v>
      </c>
      <c r="H4102" s="300">
        <v>1.0</v>
      </c>
      <c r="I4102" s="300">
        <v>1.0</v>
      </c>
      <c r="J4102" s="300">
        <v>1.0</v>
      </c>
      <c r="K4102" s="300">
        <v>1.0</v>
      </c>
      <c r="L4102" s="300">
        <v>1.0</v>
      </c>
      <c r="M4102" s="300">
        <v>1.0</v>
      </c>
      <c r="N4102" s="300">
        <v>8.0</v>
      </c>
      <c r="O4102" s="300" t="s">
        <v>864</v>
      </c>
      <c r="P4102" s="300">
        <v>3.0</v>
      </c>
    </row>
    <row r="4103">
      <c r="A4103">
        <f>IFERROR(__xludf.DUMMYFUNCTION("""COMPUTED_VALUE"""),12.0)</f>
        <v>12</v>
      </c>
      <c r="B4103">
        <f>IFERROR(__xludf.DUMMYFUNCTION("""COMPUTED_VALUE"""),26086.0)</f>
        <v>26086</v>
      </c>
      <c r="C4103" t="str">
        <f>IFERROR(__xludf.DUMMYFUNCTION("""COMPUTED_VALUE"""),"PALACIO SALAZAR, TOMAS")</f>
        <v>PALACIO SALAZAR, TOMAS</v>
      </c>
      <c r="D4103" t="str">
        <f>IFERROR(__xludf.DUMMYFUNCTION("""COMPUTED_VALUE"""),"Painting II")</f>
        <v>Painting II</v>
      </c>
      <c r="E4103" s="3">
        <f>IFERROR(__xludf.DUMMYFUNCTION("""COMPUTED_VALUE"""),7.0)</f>
        <v>7</v>
      </c>
      <c r="F4103" s="300">
        <v>1.0</v>
      </c>
      <c r="G4103" s="300">
        <v>1.0</v>
      </c>
      <c r="H4103" s="300">
        <v>1.0</v>
      </c>
      <c r="I4103" s="300">
        <v>1.0</v>
      </c>
      <c r="J4103" s="300">
        <v>1.0</v>
      </c>
      <c r="K4103" s="300">
        <v>1.0</v>
      </c>
      <c r="L4103" s="300">
        <v>1.0</v>
      </c>
      <c r="M4103" s="300">
        <v>1.0</v>
      </c>
      <c r="N4103" s="300">
        <v>8.0</v>
      </c>
      <c r="O4103" s="300" t="s">
        <v>935</v>
      </c>
      <c r="P4103" s="300">
        <v>2.0</v>
      </c>
    </row>
    <row r="4104">
      <c r="A4104">
        <f>IFERROR(__xludf.DUMMYFUNCTION("""COMPUTED_VALUE"""),12.0)</f>
        <v>12</v>
      </c>
      <c r="B4104">
        <f>IFERROR(__xludf.DUMMYFUNCTION("""COMPUTED_VALUE"""),25060.0)</f>
        <v>25060</v>
      </c>
      <c r="C4104" t="str">
        <f>IFERROR(__xludf.DUMMYFUNCTION("""COMPUTED_VALUE"""),"LOPEZ MEJIA, SAMUEL")</f>
        <v>LOPEZ MEJIA, SAMUEL</v>
      </c>
      <c r="D4104" t="str">
        <f>IFERROR(__xludf.DUMMYFUNCTION("""COMPUTED_VALUE"""),"Sociales 10")</f>
        <v>Sociales 10</v>
      </c>
      <c r="E4104" s="3">
        <f>IFERROR(__xludf.DUMMYFUNCTION("""COMPUTED_VALUE"""),2.0)</f>
        <v>2</v>
      </c>
      <c r="F4104" s="300">
        <v>1.0</v>
      </c>
      <c r="G4104" s="300">
        <v>1.0</v>
      </c>
      <c r="H4104" s="300">
        <v>1.0</v>
      </c>
      <c r="I4104" s="300">
        <v>1.0</v>
      </c>
      <c r="J4104" s="300">
        <v>1.0</v>
      </c>
      <c r="K4104" s="300">
        <v>1.0</v>
      </c>
      <c r="L4104" s="300">
        <v>1.0</v>
      </c>
      <c r="M4104" s="300">
        <v>1.0</v>
      </c>
      <c r="N4104" s="300">
        <v>8.0</v>
      </c>
      <c r="O4104" s="300" t="s">
        <v>968</v>
      </c>
      <c r="P4104" s="300">
        <v>7.0</v>
      </c>
    </row>
    <row r="4105">
      <c r="A4105">
        <f>IFERROR(__xludf.DUMMYFUNCTION("""COMPUTED_VALUE"""),12.0)</f>
        <v>12</v>
      </c>
      <c r="B4105">
        <f>IFERROR(__xludf.DUMMYFUNCTION("""COMPUTED_VALUE"""),26058.0)</f>
        <v>26058</v>
      </c>
      <c r="C4105" t="str">
        <f>IFERROR(__xludf.DUMMYFUNCTION("""COMPUTED_VALUE"""),"JARAMILLO FERNANDEZ, JULIAN")</f>
        <v>JARAMILLO FERNANDEZ, JULIAN</v>
      </c>
      <c r="D4105" t="str">
        <f>IFERROR(__xludf.DUMMYFUNCTION("""COMPUTED_VALUE"""),"Band Level II")</f>
        <v>Band Level II</v>
      </c>
      <c r="E4105" s="3">
        <f>IFERROR(__xludf.DUMMYFUNCTION("""COMPUTED_VALUE"""),6.0)</f>
        <v>6</v>
      </c>
      <c r="F4105" s="300">
        <v>1.0</v>
      </c>
      <c r="G4105" s="300">
        <v>1.0</v>
      </c>
      <c r="H4105" s="300">
        <v>1.0</v>
      </c>
      <c r="I4105" s="300">
        <v>1.0</v>
      </c>
      <c r="J4105" s="300">
        <v>1.0</v>
      </c>
      <c r="K4105" s="300">
        <v>1.0</v>
      </c>
      <c r="L4105" s="300">
        <v>1.0</v>
      </c>
      <c r="M4105" s="300">
        <v>1.0</v>
      </c>
      <c r="N4105" s="300">
        <v>8.0</v>
      </c>
      <c r="O4105" s="300" t="s">
        <v>942</v>
      </c>
      <c r="P4105" s="300">
        <v>2.0</v>
      </c>
    </row>
    <row r="4106">
      <c r="A4106">
        <f>IFERROR(__xludf.DUMMYFUNCTION("""COMPUTED_VALUE"""),12.0)</f>
        <v>12</v>
      </c>
      <c r="B4106">
        <f>IFERROR(__xludf.DUMMYFUNCTION("""COMPUTED_VALUE"""),26121.0)</f>
        <v>26121</v>
      </c>
      <c r="C4106" t="str">
        <f>IFERROR(__xludf.DUMMYFUNCTION("""COMPUTED_VALUE"""),"VILLA MORENO, VICENTE")</f>
        <v>VILLA MORENO, VICENTE</v>
      </c>
      <c r="D4106" t="str">
        <f>IFERROR(__xludf.DUMMYFUNCTION("""COMPUTED_VALUE"""),"Band Level II")</f>
        <v>Band Level II</v>
      </c>
      <c r="E4106" s="3">
        <f>IFERROR(__xludf.DUMMYFUNCTION("""COMPUTED_VALUE"""),2.0)</f>
        <v>2</v>
      </c>
      <c r="F4106" s="300">
        <v>1.0</v>
      </c>
      <c r="G4106" s="300">
        <v>1.0</v>
      </c>
      <c r="H4106" s="300">
        <v>1.0</v>
      </c>
      <c r="I4106" s="300">
        <v>1.0</v>
      </c>
      <c r="J4106" s="300">
        <v>1.0</v>
      </c>
      <c r="K4106" s="300">
        <v>1.0</v>
      </c>
      <c r="L4106" s="300">
        <v>1.0</v>
      </c>
      <c r="M4106" s="300">
        <v>1.0</v>
      </c>
      <c r="N4106" s="300">
        <v>8.0</v>
      </c>
      <c r="O4106" s="300" t="s">
        <v>940</v>
      </c>
      <c r="P4106" s="300">
        <v>2.0</v>
      </c>
    </row>
    <row r="4107">
      <c r="A4107">
        <f>IFERROR(__xludf.DUMMYFUNCTION("""COMPUTED_VALUE"""),12.0)</f>
        <v>12</v>
      </c>
      <c r="B4107">
        <f>IFERROR(__xludf.DUMMYFUNCTION("""COMPUTED_VALUE"""),26025.0)</f>
        <v>26025</v>
      </c>
      <c r="C4107" t="str">
        <f>IFERROR(__xludf.DUMMYFUNCTION("""COMPUTED_VALUE"""),"DIEZ RENDON, MARIA ANTONIA")</f>
        <v>DIEZ RENDON, MARIA ANTONIA</v>
      </c>
      <c r="D4107" t="str">
        <f>IFERROR(__xludf.DUMMYFUNCTION("""COMPUTED_VALUE"""),"AP 3-D Art and Design")</f>
        <v>AP 3-D Art and Design</v>
      </c>
      <c r="E4107" s="3">
        <f>IFERROR(__xludf.DUMMYFUNCTION("""COMPUTED_VALUE"""),6.0)</f>
        <v>6</v>
      </c>
      <c r="F4107" s="300">
        <v>1.0</v>
      </c>
      <c r="G4107" s="300">
        <v>1.0</v>
      </c>
      <c r="H4107" s="300">
        <v>1.0</v>
      </c>
      <c r="I4107" s="300">
        <v>1.0</v>
      </c>
      <c r="J4107" s="300">
        <v>1.0</v>
      </c>
      <c r="K4107" s="300">
        <v>1.0</v>
      </c>
      <c r="L4107" s="300">
        <v>1.0</v>
      </c>
      <c r="M4107" s="300">
        <v>1.0</v>
      </c>
      <c r="N4107" s="300">
        <v>8.0</v>
      </c>
      <c r="O4107" s="300" t="s">
        <v>949</v>
      </c>
      <c r="P4107" s="300">
        <v>1.0</v>
      </c>
    </row>
    <row r="4108">
      <c r="A4108">
        <f>IFERROR(__xludf.DUMMYFUNCTION("""COMPUTED_VALUE"""),12.0)</f>
        <v>12</v>
      </c>
      <c r="B4108">
        <f>IFERROR(__xludf.DUMMYFUNCTION("""COMPUTED_VALUE"""),26014.0)</f>
        <v>26014</v>
      </c>
      <c r="C4108" t="str">
        <f>IFERROR(__xludf.DUMMYFUNCTION("""COMPUTED_VALUE"""),"BARRIENTOS BUSTAMANTE, VALENTINA")</f>
        <v>BARRIENTOS BUSTAMANTE, VALENTINA</v>
      </c>
      <c r="D4108" t="str">
        <f>IFERROR(__xludf.DUMMYFUNCTION("""COMPUTED_VALUE"""),"Band Level II")</f>
        <v>Band Level II</v>
      </c>
      <c r="E4108" s="3">
        <f>IFERROR(__xludf.DUMMYFUNCTION("""COMPUTED_VALUE"""),6.0)</f>
        <v>6</v>
      </c>
      <c r="F4108" s="300">
        <v>1.0</v>
      </c>
      <c r="G4108" s="300">
        <v>1.0</v>
      </c>
      <c r="H4108" s="300">
        <v>1.0</v>
      </c>
      <c r="I4108" s="300">
        <v>1.0</v>
      </c>
      <c r="J4108" s="300">
        <v>1.0</v>
      </c>
      <c r="K4108" s="300">
        <v>1.0</v>
      </c>
      <c r="L4108" s="300">
        <v>1.0</v>
      </c>
      <c r="M4108" s="300">
        <v>1.0</v>
      </c>
      <c r="N4108" s="300">
        <v>8.0</v>
      </c>
      <c r="O4108" s="300" t="s">
        <v>942</v>
      </c>
      <c r="P4108" s="300">
        <v>2.0</v>
      </c>
    </row>
    <row r="4109">
      <c r="A4109">
        <f>IFERROR(__xludf.DUMMYFUNCTION("""COMPUTED_VALUE"""),12.0)</f>
        <v>12</v>
      </c>
      <c r="B4109">
        <f>IFERROR(__xludf.DUMMYFUNCTION("""COMPUTED_VALUE"""),26071.0)</f>
        <v>26071</v>
      </c>
      <c r="C4109" t="str">
        <f>IFERROR(__xludf.DUMMYFUNCTION("""COMPUTED_VALUE"""),"MENA TELLEZ, TOMAS FELIPE")</f>
        <v>MENA TELLEZ, TOMAS FELIPE</v>
      </c>
      <c r="D4109" t="str">
        <f>IFERROR(__xludf.DUMMYFUNCTION("""COMPUTED_VALUE"""),"AP Biology")</f>
        <v>AP Biology</v>
      </c>
      <c r="E4109" s="3">
        <f>IFERROR(__xludf.DUMMYFUNCTION("""COMPUTED_VALUE"""),5.0)</f>
        <v>5</v>
      </c>
      <c r="F4109" s="300">
        <v>1.0</v>
      </c>
      <c r="G4109" s="300">
        <v>1.0</v>
      </c>
      <c r="H4109" s="300">
        <v>1.0</v>
      </c>
      <c r="I4109" s="300">
        <v>1.0</v>
      </c>
      <c r="J4109" s="300">
        <v>1.0</v>
      </c>
      <c r="K4109" s="300">
        <v>1.0</v>
      </c>
      <c r="L4109" s="300">
        <v>1.0</v>
      </c>
      <c r="M4109" s="300">
        <v>1.0</v>
      </c>
      <c r="N4109" s="300">
        <v>8.0</v>
      </c>
      <c r="O4109" s="300" t="s">
        <v>892</v>
      </c>
      <c r="P4109" s="300">
        <v>1.0</v>
      </c>
    </row>
    <row r="4110">
      <c r="A4110">
        <f>IFERROR(__xludf.DUMMYFUNCTION("""COMPUTED_VALUE"""),12.0)</f>
        <v>12</v>
      </c>
      <c r="B4110">
        <f>IFERROR(__xludf.DUMMYFUNCTION("""COMPUTED_VALUE"""),26108.0)</f>
        <v>26108</v>
      </c>
      <c r="C4110" t="str">
        <f>IFERROR(__xludf.DUMMYFUNCTION("""COMPUTED_VALUE"""),"THIRIEZ VILLA, SOFIA")</f>
        <v>THIRIEZ VILLA, SOFIA</v>
      </c>
      <c r="D4110" t="str">
        <f>IFERROR(__xludf.DUMMYFUNCTION("""COMPUTED_VALUE"""),"Band Level II")</f>
        <v>Band Level II</v>
      </c>
      <c r="E4110" s="3">
        <f>IFERROR(__xludf.DUMMYFUNCTION("""COMPUTED_VALUE"""),2.0)</f>
        <v>2</v>
      </c>
      <c r="F4110" s="300">
        <v>1.0</v>
      </c>
      <c r="G4110" s="300">
        <v>1.0</v>
      </c>
      <c r="H4110" s="300">
        <v>1.0</v>
      </c>
      <c r="I4110" s="300">
        <v>1.0</v>
      </c>
      <c r="J4110" s="300">
        <v>1.0</v>
      </c>
      <c r="K4110" s="300">
        <v>1.0</v>
      </c>
      <c r="L4110" s="300">
        <v>1.0</v>
      </c>
      <c r="M4110" s="300">
        <v>1.0</v>
      </c>
      <c r="N4110" s="300">
        <v>8.0</v>
      </c>
      <c r="O4110" s="300" t="s">
        <v>940</v>
      </c>
      <c r="P4110" s="300">
        <v>2.0</v>
      </c>
    </row>
    <row r="4111">
      <c r="A4111">
        <f>IFERROR(__xludf.DUMMYFUNCTION("""COMPUTED_VALUE"""),12.0)</f>
        <v>12</v>
      </c>
      <c r="B4111">
        <f>IFERROR(__xludf.DUMMYFUNCTION("""COMPUTED_VALUE"""),26082.0)</f>
        <v>26082</v>
      </c>
      <c r="C4111" t="str">
        <f>IFERROR(__xludf.DUMMYFUNCTION("""COMPUTED_VALUE"""),"OREJUELA GAVIRIA, MATILDA")</f>
        <v>OREJUELA GAVIRIA, MATILDA</v>
      </c>
      <c r="D4111" t="str">
        <f>IFERROR(__xludf.DUMMYFUNCTION("""COMPUTED_VALUE"""),"Band Level II")</f>
        <v>Band Level II</v>
      </c>
      <c r="E4111" s="3">
        <f>IFERROR(__xludf.DUMMYFUNCTION("""COMPUTED_VALUE"""),2.0)</f>
        <v>2</v>
      </c>
      <c r="F4111" s="300">
        <v>1.0</v>
      </c>
      <c r="G4111" s="300">
        <v>1.0</v>
      </c>
      <c r="H4111" s="300">
        <v>1.0</v>
      </c>
      <c r="I4111" s="300">
        <v>1.0</v>
      </c>
      <c r="J4111" s="300">
        <v>1.0</v>
      </c>
      <c r="K4111" s="300">
        <v>1.0</v>
      </c>
      <c r="L4111" s="300">
        <v>1.0</v>
      </c>
      <c r="M4111" s="300">
        <v>1.0</v>
      </c>
      <c r="N4111" s="300">
        <v>8.0</v>
      </c>
      <c r="O4111" s="300" t="s">
        <v>940</v>
      </c>
      <c r="P4111" s="300">
        <v>2.0</v>
      </c>
    </row>
    <row r="4112">
      <c r="A4112">
        <f>IFERROR(__xludf.DUMMYFUNCTION("""COMPUTED_VALUE"""),12.0)</f>
        <v>12</v>
      </c>
      <c r="B4112">
        <f>IFERROR(__xludf.DUMMYFUNCTION("""COMPUTED_VALUE"""),26073.0)</f>
        <v>26073</v>
      </c>
      <c r="C4112" t="str">
        <f>IFERROR(__xludf.DUMMYFUNCTION("""COMPUTED_VALUE"""),"MESA ARISTIZABAL, SARA")</f>
        <v>MESA ARISTIZABAL, SARA</v>
      </c>
      <c r="D4112" t="str">
        <f>IFERROR(__xludf.DUMMYFUNCTION("""COMPUTED_VALUE"""),"Band Level II")</f>
        <v>Band Level II</v>
      </c>
      <c r="E4112" s="3">
        <f>IFERROR(__xludf.DUMMYFUNCTION("""COMPUTED_VALUE"""),2.0)</f>
        <v>2</v>
      </c>
      <c r="F4112" s="300">
        <v>1.0</v>
      </c>
      <c r="G4112" s="300">
        <v>1.0</v>
      </c>
      <c r="H4112" s="300">
        <v>1.0</v>
      </c>
      <c r="I4112" s="300">
        <v>1.0</v>
      </c>
      <c r="J4112" s="300">
        <v>1.0</v>
      </c>
      <c r="K4112" s="300">
        <v>1.0</v>
      </c>
      <c r="L4112" s="300">
        <v>1.0</v>
      </c>
      <c r="M4112" s="300">
        <v>1.0</v>
      </c>
      <c r="N4112" s="300">
        <v>8.0</v>
      </c>
      <c r="O4112" s="300" t="s">
        <v>940</v>
      </c>
      <c r="P4112" s="300">
        <v>2.0</v>
      </c>
    </row>
    <row r="4113">
      <c r="A4113">
        <f>IFERROR(__xludf.DUMMYFUNCTION("""COMPUTED_VALUE"""),12.0)</f>
        <v>12</v>
      </c>
      <c r="B4113">
        <f>IFERROR(__xludf.DUMMYFUNCTION("""COMPUTED_VALUE"""),26026.0)</f>
        <v>26026</v>
      </c>
      <c r="C4113" t="str">
        <f>IFERROR(__xludf.DUMMYFUNCTION("""COMPUTED_VALUE"""),"ECHAVARRIA JARAMILLO, VICENTE")</f>
        <v>ECHAVARRIA JARAMILLO, VICENTE</v>
      </c>
      <c r="D4113" t="str">
        <f>IFERROR(__xludf.DUMMYFUNCTION("""COMPUTED_VALUE"""),"PE 11")</f>
        <v>PE 11</v>
      </c>
      <c r="E4113" s="3">
        <f>IFERROR(__xludf.DUMMYFUNCTION("""COMPUTED_VALUE"""),6.0)</f>
        <v>6</v>
      </c>
      <c r="F4113" s="300">
        <v>1.0</v>
      </c>
      <c r="G4113" s="300">
        <v>1.0</v>
      </c>
      <c r="H4113" s="300">
        <v>1.0</v>
      </c>
      <c r="I4113" s="300">
        <v>1.0</v>
      </c>
      <c r="J4113" s="300">
        <v>1.0</v>
      </c>
      <c r="K4113" s="300">
        <v>1.0</v>
      </c>
      <c r="L4113" s="300">
        <v>1.0</v>
      </c>
      <c r="M4113" s="300">
        <v>1.0</v>
      </c>
      <c r="N4113" s="300">
        <v>8.0</v>
      </c>
      <c r="O4113" s="300" t="s">
        <v>910</v>
      </c>
      <c r="P4113" s="300">
        <v>6.0</v>
      </c>
    </row>
    <row r="4114">
      <c r="A4114">
        <f>IFERROR(__xludf.DUMMYFUNCTION("""COMPUTED_VALUE"""),12.0)</f>
        <v>12</v>
      </c>
      <c r="B4114">
        <f>IFERROR(__xludf.DUMMYFUNCTION("""COMPUTED_VALUE"""),25008.0)</f>
        <v>25008</v>
      </c>
      <c r="C4114" t="str">
        <f>IFERROR(__xludf.DUMMYFUNCTION("""COMPUTED_VALUE"""),"ARANGO CASTRO, IVAN SANTIAGO")</f>
        <v>ARANGO CASTRO, IVAN SANTIAGO</v>
      </c>
      <c r="D4114" t="str">
        <f>IFERROR(__xludf.DUMMYFUNCTION("""COMPUTED_VALUE"""),"Drawing I")</f>
        <v>Drawing I</v>
      </c>
      <c r="E4114" s="3">
        <f>IFERROR(__xludf.DUMMYFUNCTION("""COMPUTED_VALUE"""),3.0)</f>
        <v>3</v>
      </c>
      <c r="F4114" s="300">
        <v>1.0</v>
      </c>
      <c r="G4114" s="300">
        <v>1.0</v>
      </c>
      <c r="H4114" s="300">
        <v>1.0</v>
      </c>
      <c r="I4114" s="300">
        <v>1.0</v>
      </c>
      <c r="J4114" s="300">
        <v>1.0</v>
      </c>
      <c r="K4114" s="300">
        <v>1.0</v>
      </c>
      <c r="L4114" s="300">
        <v>1.0</v>
      </c>
      <c r="M4114" s="300">
        <v>1.0</v>
      </c>
      <c r="N4114" s="300">
        <v>8.0</v>
      </c>
      <c r="O4114" s="300" t="s">
        <v>938</v>
      </c>
      <c r="P4114" s="300">
        <v>2.0</v>
      </c>
    </row>
    <row r="4115">
      <c r="A4115">
        <f>IFERROR(__xludf.DUMMYFUNCTION("""COMPUTED_VALUE"""),12.0)</f>
        <v>12</v>
      </c>
      <c r="B4115">
        <f>IFERROR(__xludf.DUMMYFUNCTION("""COMPUTED_VALUE"""),26079.0)</f>
        <v>26079</v>
      </c>
      <c r="C4115" t="str">
        <f>IFERROR(__xludf.DUMMYFUNCTION("""COMPUTED_VALUE"""),"OCHOA PODESTA, CAMILA")</f>
        <v>OCHOA PODESTA, CAMILA</v>
      </c>
      <c r="D4115" t="str">
        <f>IFERROR(__xludf.DUMMYFUNCTION("""COMPUTED_VALUE"""),"Painting II")</f>
        <v>Painting II</v>
      </c>
      <c r="E4115" s="3">
        <f>IFERROR(__xludf.DUMMYFUNCTION("""COMPUTED_VALUE"""),7.0)</f>
        <v>7</v>
      </c>
      <c r="F4115" s="300">
        <v>1.0</v>
      </c>
      <c r="G4115" s="300">
        <v>1.0</v>
      </c>
      <c r="H4115" s="300">
        <v>1.0</v>
      </c>
      <c r="I4115" s="300">
        <v>1.0</v>
      </c>
      <c r="J4115" s="300">
        <v>1.0</v>
      </c>
      <c r="K4115" s="300">
        <v>1.0</v>
      </c>
      <c r="L4115" s="300">
        <v>1.0</v>
      </c>
      <c r="M4115" s="300">
        <v>1.0</v>
      </c>
      <c r="N4115" s="300">
        <v>8.0</v>
      </c>
      <c r="O4115" s="300" t="s">
        <v>935</v>
      </c>
      <c r="P4115" s="300">
        <v>2.0</v>
      </c>
    </row>
    <row r="4116">
      <c r="A4116">
        <f>IFERROR(__xludf.DUMMYFUNCTION("""COMPUTED_VALUE"""),12.0)</f>
        <v>12</v>
      </c>
      <c r="B4116">
        <f>IFERROR(__xludf.DUMMYFUNCTION("""COMPUTED_VALUE"""),26051.0)</f>
        <v>26051</v>
      </c>
      <c r="C4116" t="str">
        <f>IFERROR(__xludf.DUMMYFUNCTION("""COMPUTED_VALUE"""),"HINESTROZA ESCOBAR, IRENE")</f>
        <v>HINESTROZA ESCOBAR, IRENE</v>
      </c>
      <c r="D4116" t="str">
        <f>IFERROR(__xludf.DUMMYFUNCTION("""COMPUTED_VALUE"""),"Band Level II")</f>
        <v>Band Level II</v>
      </c>
      <c r="E4116" s="3">
        <f>IFERROR(__xludf.DUMMYFUNCTION("""COMPUTED_VALUE"""),6.0)</f>
        <v>6</v>
      </c>
      <c r="F4116" s="300">
        <v>1.0</v>
      </c>
      <c r="G4116" s="300">
        <v>1.0</v>
      </c>
      <c r="H4116" s="300">
        <v>1.0</v>
      </c>
      <c r="I4116" s="300">
        <v>1.0</v>
      </c>
      <c r="J4116" s="300">
        <v>1.0</v>
      </c>
      <c r="K4116" s="300">
        <v>1.0</v>
      </c>
      <c r="L4116" s="300">
        <v>1.0</v>
      </c>
      <c r="M4116" s="300">
        <v>1.0</v>
      </c>
      <c r="N4116" s="300">
        <v>8.0</v>
      </c>
      <c r="O4116" s="300" t="s">
        <v>942</v>
      </c>
      <c r="P4116" s="300">
        <v>2.0</v>
      </c>
    </row>
    <row r="4117">
      <c r="A4117">
        <f>IFERROR(__xludf.DUMMYFUNCTION("""COMPUTED_VALUE"""),12.0)</f>
        <v>12</v>
      </c>
      <c r="B4117">
        <f>IFERROR(__xludf.DUMMYFUNCTION("""COMPUTED_VALUE"""),26036.0)</f>
        <v>26036</v>
      </c>
      <c r="C4117" t="str">
        <f>IFERROR(__xludf.DUMMYFUNCTION("""COMPUTED_VALUE"""),"GAVIRIA LONDOÑO, ALEJANDRO")</f>
        <v>GAVIRIA LONDOÑO, ALEJANDRO</v>
      </c>
      <c r="D4117" t="str">
        <f>IFERROR(__xludf.DUMMYFUNCTION("""COMPUTED_VALUE"""),"Financial Math")</f>
        <v>Financial Math</v>
      </c>
      <c r="E4117" s="3">
        <f>IFERROR(__xludf.DUMMYFUNCTION("""COMPUTED_VALUE"""),5.0)</f>
        <v>5</v>
      </c>
      <c r="F4117" s="300">
        <v>1.0</v>
      </c>
      <c r="G4117" s="300">
        <v>1.0</v>
      </c>
      <c r="H4117" s="300">
        <v>1.0</v>
      </c>
      <c r="I4117" s="300">
        <v>1.0</v>
      </c>
      <c r="J4117" s="300">
        <v>1.0</v>
      </c>
      <c r="K4117" s="300">
        <v>1.0</v>
      </c>
      <c r="L4117" s="300">
        <v>1.0</v>
      </c>
      <c r="M4117" s="300">
        <v>1.0</v>
      </c>
      <c r="N4117" s="300">
        <v>8.0</v>
      </c>
      <c r="O4117" s="300" t="s">
        <v>862</v>
      </c>
      <c r="P4117" s="300">
        <v>3.0</v>
      </c>
    </row>
    <row r="4118">
      <c r="A4118">
        <f>IFERROR(__xludf.DUMMYFUNCTION("""COMPUTED_VALUE"""),12.0)</f>
        <v>12</v>
      </c>
      <c r="B4118" s="406">
        <f>IFERROR(__xludf.DUMMYFUNCTION("""COMPUTED_VALUE"""),26100.0)</f>
        <v>26100</v>
      </c>
      <c r="C4118" t="str">
        <f>IFERROR(__xludf.DUMMYFUNCTION("""COMPUTED_VALUE"""),"RESTREPO TORO, LUCIANO")</f>
        <v>RESTREPO TORO, LUCIANO</v>
      </c>
      <c r="D4118" t="str">
        <f>IFERROR(__xludf.DUMMYFUNCTION("""COMPUTED_VALUE"""),"Band Level II")</f>
        <v>Band Level II</v>
      </c>
      <c r="E4118" s="3">
        <f>IFERROR(__xludf.DUMMYFUNCTION("""COMPUTED_VALUE"""),6.0)</f>
        <v>6</v>
      </c>
      <c r="F4118" s="300">
        <v>1.0</v>
      </c>
      <c r="G4118" s="300">
        <v>1.0</v>
      </c>
      <c r="H4118" s="300">
        <v>1.0</v>
      </c>
      <c r="I4118" s="300">
        <v>1.0</v>
      </c>
      <c r="J4118" s="300">
        <v>1.0</v>
      </c>
      <c r="K4118" s="300">
        <v>1.0</v>
      </c>
      <c r="L4118" s="300">
        <v>1.0</v>
      </c>
      <c r="M4118" s="300">
        <v>1.0</v>
      </c>
      <c r="N4118" s="300">
        <v>8.0</v>
      </c>
      <c r="O4118" s="300" t="s">
        <v>942</v>
      </c>
      <c r="P4118" s="300">
        <v>2.0</v>
      </c>
    </row>
    <row r="4119">
      <c r="A4119">
        <f>IFERROR(__xludf.DUMMYFUNCTION("""COMPUTED_VALUE"""),12.0)</f>
        <v>12</v>
      </c>
      <c r="B4119">
        <f>IFERROR(__xludf.DUMMYFUNCTION("""COMPUTED_VALUE"""),26122.0)</f>
        <v>26122</v>
      </c>
      <c r="C4119" t="str">
        <f>IFERROR(__xludf.DUMMYFUNCTION("""COMPUTED_VALUE"""),"VILLEGAS PELAEZ, CRISTOBAL")</f>
        <v>VILLEGAS PELAEZ, CRISTOBAL</v>
      </c>
      <c r="D4119" t="str">
        <f>IFERROR(__xludf.DUMMYFUNCTION("""COMPUTED_VALUE"""),"Financial Math")</f>
        <v>Financial Math</v>
      </c>
      <c r="E4119" s="3">
        <f>IFERROR(__xludf.DUMMYFUNCTION("""COMPUTED_VALUE"""),7.0)</f>
        <v>7</v>
      </c>
      <c r="F4119" s="300">
        <v>1.0</v>
      </c>
      <c r="G4119" s="300">
        <v>1.0</v>
      </c>
      <c r="H4119" s="300">
        <v>1.0</v>
      </c>
      <c r="I4119" s="300">
        <v>1.0</v>
      </c>
      <c r="J4119" s="300">
        <v>1.0</v>
      </c>
      <c r="K4119" s="300">
        <v>1.0</v>
      </c>
      <c r="L4119" s="300">
        <v>1.0</v>
      </c>
      <c r="M4119" s="300">
        <v>1.0</v>
      </c>
      <c r="N4119" s="300">
        <v>8.0</v>
      </c>
      <c r="O4119" s="300" t="s">
        <v>864</v>
      </c>
      <c r="P4119" s="300">
        <v>3.0</v>
      </c>
    </row>
    <row r="4120">
      <c r="A4120">
        <f>IFERROR(__xludf.DUMMYFUNCTION("""COMPUTED_VALUE"""),12.0)</f>
        <v>12</v>
      </c>
      <c r="B4120">
        <f>IFERROR(__xludf.DUMMYFUNCTION("""COMPUTED_VALUE"""),26142.0)</f>
        <v>26142</v>
      </c>
      <c r="C4120" t="str">
        <f>IFERROR(__xludf.DUMMYFUNCTION("""COMPUTED_VALUE"""),"BERNAL ESTRADA, JERONIMO")</f>
        <v>BERNAL ESTRADA, JERONIMO</v>
      </c>
      <c r="D4120" t="str">
        <f>IFERROR(__xludf.DUMMYFUNCTION("""COMPUTED_VALUE"""),"Drawing I")</f>
        <v>Drawing I</v>
      </c>
      <c r="E4120" s="3">
        <f>IFERROR(__xludf.DUMMYFUNCTION("""COMPUTED_VALUE"""),3.0)</f>
        <v>3</v>
      </c>
      <c r="F4120" s="300">
        <v>1.0</v>
      </c>
      <c r="G4120" s="300">
        <v>1.0</v>
      </c>
      <c r="H4120" s="300">
        <v>1.0</v>
      </c>
      <c r="I4120" s="300">
        <v>1.0</v>
      </c>
      <c r="J4120" s="300">
        <v>1.0</v>
      </c>
      <c r="K4120" s="300">
        <v>1.0</v>
      </c>
      <c r="L4120" s="300">
        <v>1.0</v>
      </c>
      <c r="M4120" s="300">
        <v>1.0</v>
      </c>
      <c r="N4120" s="300">
        <v>8.0</v>
      </c>
      <c r="O4120" s="300" t="s">
        <v>938</v>
      </c>
      <c r="P4120" s="300">
        <v>2.0</v>
      </c>
    </row>
    <row r="4121">
      <c r="A4121">
        <f>IFERROR(__xludf.DUMMYFUNCTION("""COMPUTED_VALUE"""),12.0)</f>
        <v>12</v>
      </c>
      <c r="B4121">
        <f>IFERROR(__xludf.DUMMYFUNCTION("""COMPUTED_VALUE"""),26090.0)</f>
        <v>26090</v>
      </c>
      <c r="C4121" t="str">
        <f>IFERROR(__xludf.DUMMYFUNCTION("""COMPUTED_VALUE"""),"PETTIT PELAEZ, JUANITA")</f>
        <v>PETTIT PELAEZ, JUANITA</v>
      </c>
      <c r="D4121" t="str">
        <f>IFERROR(__xludf.DUMMYFUNCTION("""COMPUTED_VALUE"""),"Mixed Media Art")</f>
        <v>Mixed Media Art</v>
      </c>
      <c r="E4121" s="3">
        <f>IFERROR(__xludf.DUMMYFUNCTION("""COMPUTED_VALUE"""),6.0)</f>
        <v>6</v>
      </c>
      <c r="F4121" s="300">
        <v>1.0</v>
      </c>
      <c r="G4121" s="300">
        <v>1.0</v>
      </c>
      <c r="H4121" s="300">
        <v>1.0</v>
      </c>
      <c r="I4121" s="300">
        <v>1.0</v>
      </c>
      <c r="J4121" s="300">
        <v>1.0</v>
      </c>
      <c r="K4121" s="300">
        <v>1.0</v>
      </c>
      <c r="L4121" s="300">
        <v>1.0</v>
      </c>
      <c r="M4121" s="300">
        <v>1.0</v>
      </c>
      <c r="N4121" s="300">
        <v>8.0</v>
      </c>
      <c r="O4121" s="300" t="s">
        <v>941</v>
      </c>
      <c r="P4121" s="300">
        <v>1.0</v>
      </c>
    </row>
    <row r="4122">
      <c r="A4122">
        <f>IFERROR(__xludf.DUMMYFUNCTION("""COMPUTED_VALUE"""),12.0)</f>
        <v>12</v>
      </c>
      <c r="B4122">
        <f>IFERROR(__xludf.DUMMYFUNCTION("""COMPUTED_VALUE"""),26132.0)</f>
        <v>26132</v>
      </c>
      <c r="C4122" t="str">
        <f>IFERROR(__xludf.DUMMYFUNCTION("""COMPUTED_VALUE"""),"OLIVEIRA CASTAÑO, MIRANDA")</f>
        <v>OLIVEIRA CASTAÑO, MIRANDA</v>
      </c>
      <c r="D4122" t="str">
        <f>IFERROR(__xludf.DUMMYFUNCTION("""COMPUTED_VALUE"""),"Painting I")</f>
        <v>Painting I</v>
      </c>
      <c r="E4122" s="3">
        <f>IFERROR(__xludf.DUMMYFUNCTION("""COMPUTED_VALUE"""),5.0)</f>
        <v>5</v>
      </c>
      <c r="F4122" s="300">
        <v>1.0</v>
      </c>
      <c r="G4122" s="300">
        <v>1.0</v>
      </c>
      <c r="H4122" s="300">
        <v>1.0</v>
      </c>
      <c r="I4122" s="300">
        <v>1.0</v>
      </c>
      <c r="J4122" s="300">
        <v>1.0</v>
      </c>
      <c r="K4122" s="300">
        <v>1.0</v>
      </c>
      <c r="L4122" s="300">
        <v>1.0</v>
      </c>
      <c r="M4122" s="300">
        <v>1.0</v>
      </c>
      <c r="N4122" s="300">
        <v>8.0</v>
      </c>
      <c r="O4122" s="300" t="s">
        <v>945</v>
      </c>
      <c r="P4122" s="300">
        <v>4.0</v>
      </c>
    </row>
    <row r="4123">
      <c r="A4123">
        <f>IFERROR(__xludf.DUMMYFUNCTION("""COMPUTED_VALUE"""),12.0)</f>
        <v>12</v>
      </c>
      <c r="B4123">
        <f>IFERROR(__xludf.DUMMYFUNCTION("""COMPUTED_VALUE"""),26109.0)</f>
        <v>26109</v>
      </c>
      <c r="C4123" t="str">
        <f>IFERROR(__xludf.DUMMYFUNCTION("""COMPUTED_VALUE"""),"TORRES GAVIRIA, MARIANA")</f>
        <v>TORRES GAVIRIA, MARIANA</v>
      </c>
      <c r="D4123" t="str">
        <f>IFERROR(__xludf.DUMMYFUNCTION("""COMPUTED_VALUE"""),"Painting II")</f>
        <v>Painting II</v>
      </c>
      <c r="E4123" s="3">
        <f>IFERROR(__xludf.DUMMYFUNCTION("""COMPUTED_VALUE"""),7.0)</f>
        <v>7</v>
      </c>
      <c r="F4123" s="300">
        <v>1.0</v>
      </c>
      <c r="G4123" s="300">
        <v>1.0</v>
      </c>
      <c r="H4123" s="300">
        <v>1.0</v>
      </c>
      <c r="I4123" s="300">
        <v>1.0</v>
      </c>
      <c r="J4123" s="300">
        <v>1.0</v>
      </c>
      <c r="K4123" s="300">
        <v>1.0</v>
      </c>
      <c r="L4123" s="300">
        <v>1.0</v>
      </c>
      <c r="M4123" s="300">
        <v>1.0</v>
      </c>
      <c r="N4123" s="300">
        <v>8.0</v>
      </c>
      <c r="O4123" s="300" t="s">
        <v>935</v>
      </c>
      <c r="P4123" s="300">
        <v>2.0</v>
      </c>
    </row>
    <row r="4124">
      <c r="A4124">
        <f>IFERROR(__xludf.DUMMYFUNCTION("""COMPUTED_VALUE"""),12.0)</f>
        <v>12</v>
      </c>
      <c r="B4124">
        <f>IFERROR(__xludf.DUMMYFUNCTION("""COMPUTED_VALUE"""),26027.0)</f>
        <v>26027</v>
      </c>
      <c r="C4124" t="str">
        <f>IFERROR(__xludf.DUMMYFUNCTION("""COMPUTED_VALUE"""),"ESCANDON LIBOS, MARIA")</f>
        <v>ESCANDON LIBOS, MARIA</v>
      </c>
      <c r="D4124" t="str">
        <f>IFERROR(__xludf.DUMMYFUNCTION("""COMPUTED_VALUE"""),"Painting II")</f>
        <v>Painting II</v>
      </c>
      <c r="E4124" s="3">
        <f>IFERROR(__xludf.DUMMYFUNCTION("""COMPUTED_VALUE"""),1.0)</f>
        <v>1</v>
      </c>
      <c r="F4124" s="300">
        <v>1.0</v>
      </c>
      <c r="G4124" s="300">
        <v>1.0</v>
      </c>
      <c r="H4124" s="300">
        <v>1.0</v>
      </c>
      <c r="I4124" s="300">
        <v>1.0</v>
      </c>
      <c r="J4124" s="300">
        <v>1.0</v>
      </c>
      <c r="K4124" s="300">
        <v>1.0</v>
      </c>
      <c r="L4124" s="300">
        <v>1.0</v>
      </c>
      <c r="M4124" s="300">
        <v>1.0</v>
      </c>
      <c r="N4124" s="300">
        <v>8.0</v>
      </c>
      <c r="O4124" s="300" t="s">
        <v>939</v>
      </c>
      <c r="P4124" s="300">
        <v>2.0</v>
      </c>
    </row>
    <row r="4125">
      <c r="A4125">
        <f>IFERROR(__xludf.DUMMYFUNCTION("""COMPUTED_VALUE"""),12.0)</f>
        <v>12</v>
      </c>
      <c r="B4125">
        <f>IFERROR(__xludf.DUMMYFUNCTION("""COMPUTED_VALUE"""),26019.0)</f>
        <v>26019</v>
      </c>
      <c r="C4125" t="str">
        <f>IFERROR(__xludf.DUMMYFUNCTION("""COMPUTED_VALUE"""),"CADAVID VELASQUEZ, MARTIN")</f>
        <v>CADAVID VELASQUEZ, MARTIN</v>
      </c>
      <c r="D4125" t="str">
        <f>IFERROR(__xludf.DUMMYFUNCTION("""COMPUTED_VALUE"""),"AP Computer Science Principles")</f>
        <v>AP Computer Science Principles</v>
      </c>
      <c r="E4125" s="3">
        <f>IFERROR(__xludf.DUMMYFUNCTION("""COMPUTED_VALUE"""),3.0)</f>
        <v>3</v>
      </c>
      <c r="F4125" s="300">
        <v>1.0</v>
      </c>
      <c r="G4125" s="300">
        <v>1.0</v>
      </c>
      <c r="H4125" s="300">
        <v>1.0</v>
      </c>
      <c r="I4125" s="300">
        <v>1.0</v>
      </c>
      <c r="J4125" s="300">
        <v>1.0</v>
      </c>
      <c r="K4125" s="300">
        <v>1.0</v>
      </c>
      <c r="L4125" s="300">
        <v>1.0</v>
      </c>
      <c r="M4125" s="300">
        <v>1.0</v>
      </c>
      <c r="N4125" s="300">
        <v>8.0</v>
      </c>
      <c r="O4125" s="300" t="s">
        <v>836</v>
      </c>
      <c r="P4125" s="300">
        <v>1.0</v>
      </c>
    </row>
    <row r="4126">
      <c r="A4126">
        <f>IFERROR(__xludf.DUMMYFUNCTION("""COMPUTED_VALUE"""),12.0)</f>
        <v>12</v>
      </c>
      <c r="B4126">
        <f>IFERROR(__xludf.DUMMYFUNCTION("""COMPUTED_VALUE"""),26031.0)</f>
        <v>26031</v>
      </c>
      <c r="C4126" t="str">
        <f>IFERROR(__xludf.DUMMYFUNCTION("""COMPUTED_VALUE"""),"FRANCO GOMEZ, DANIEL")</f>
        <v>FRANCO GOMEZ, DANIEL</v>
      </c>
      <c r="D4126" t="str">
        <f>IFERROR(__xludf.DUMMYFUNCTION("""COMPUTED_VALUE"""),"Painting II")</f>
        <v>Painting II</v>
      </c>
      <c r="E4126" s="3">
        <f>IFERROR(__xludf.DUMMYFUNCTION("""COMPUTED_VALUE"""),1.0)</f>
        <v>1</v>
      </c>
      <c r="F4126" s="300">
        <v>1.0</v>
      </c>
      <c r="G4126" s="300">
        <v>1.0</v>
      </c>
      <c r="H4126" s="300">
        <v>1.0</v>
      </c>
      <c r="I4126" s="300">
        <v>1.0</v>
      </c>
      <c r="J4126" s="300">
        <v>1.0</v>
      </c>
      <c r="K4126" s="300">
        <v>1.0</v>
      </c>
      <c r="L4126" s="300">
        <v>1.0</v>
      </c>
      <c r="M4126" s="300">
        <v>1.0</v>
      </c>
      <c r="N4126" s="300">
        <v>8.0</v>
      </c>
      <c r="O4126" s="300" t="s">
        <v>939</v>
      </c>
      <c r="P4126" s="300">
        <v>2.0</v>
      </c>
    </row>
    <row r="4127">
      <c r="A4127">
        <f>IFERROR(__xludf.DUMMYFUNCTION("""COMPUTED_VALUE"""),12.0)</f>
        <v>12</v>
      </c>
      <c r="B4127">
        <f>IFERROR(__xludf.DUMMYFUNCTION("""COMPUTED_VALUE"""),26047.0)</f>
        <v>26047</v>
      </c>
      <c r="C4127" t="str">
        <f>IFERROR(__xludf.DUMMYFUNCTION("""COMPUTED_VALUE"""),"HENAO ISAZA, LUCIANO")</f>
        <v>HENAO ISAZA, LUCIANO</v>
      </c>
      <c r="D4127" t="str">
        <f>IFERROR(__xludf.DUMMYFUNCTION("""COMPUTED_VALUE"""),"Drawing I")</f>
        <v>Drawing I</v>
      </c>
      <c r="E4127" s="3">
        <f>IFERROR(__xludf.DUMMYFUNCTION("""COMPUTED_VALUE"""),3.0)</f>
        <v>3</v>
      </c>
      <c r="F4127" s="300">
        <v>1.0</v>
      </c>
      <c r="G4127" s="300">
        <v>1.0</v>
      </c>
      <c r="H4127" s="300">
        <v>1.0</v>
      </c>
      <c r="I4127" s="300">
        <v>1.0</v>
      </c>
      <c r="J4127" s="300">
        <v>1.0</v>
      </c>
      <c r="K4127" s="300">
        <v>1.0</v>
      </c>
      <c r="L4127" s="300">
        <v>1.0</v>
      </c>
      <c r="M4127" s="300">
        <v>1.0</v>
      </c>
      <c r="N4127" s="300">
        <v>8.0</v>
      </c>
      <c r="O4127" s="300" t="s">
        <v>938</v>
      </c>
      <c r="P4127" s="300">
        <v>2.0</v>
      </c>
    </row>
    <row r="4128">
      <c r="A4128">
        <f>IFERROR(__xludf.DUMMYFUNCTION("""COMPUTED_VALUE"""),12.0)</f>
        <v>12</v>
      </c>
      <c r="B4128">
        <f>IFERROR(__xludf.DUMMYFUNCTION("""COMPUTED_VALUE"""),26095.0)</f>
        <v>26095</v>
      </c>
      <c r="C4128" t="str">
        <f>IFERROR(__xludf.DUMMYFUNCTION("""COMPUTED_VALUE"""),"RAMIREZ PELAEZ, LUCIANA")</f>
        <v>RAMIREZ PELAEZ, LUCIANA</v>
      </c>
      <c r="D4128" t="str">
        <f>IFERROR(__xludf.DUMMYFUNCTION("""COMPUTED_VALUE"""),"Painting II")</f>
        <v>Painting II</v>
      </c>
      <c r="E4128" s="3">
        <f>IFERROR(__xludf.DUMMYFUNCTION("""COMPUTED_VALUE"""),7.0)</f>
        <v>7</v>
      </c>
      <c r="F4128" s="300">
        <v>1.0</v>
      </c>
      <c r="G4128" s="300">
        <v>1.0</v>
      </c>
      <c r="H4128" s="300">
        <v>1.0</v>
      </c>
      <c r="I4128" s="300">
        <v>1.0</v>
      </c>
      <c r="J4128" s="300">
        <v>1.0</v>
      </c>
      <c r="K4128" s="300">
        <v>1.0</v>
      </c>
      <c r="L4128" s="300">
        <v>1.0</v>
      </c>
      <c r="M4128" s="300">
        <v>1.0</v>
      </c>
      <c r="N4128" s="300">
        <v>8.0</v>
      </c>
      <c r="O4128" s="300" t="s">
        <v>935</v>
      </c>
      <c r="P4128" s="300">
        <v>2.0</v>
      </c>
    </row>
    <row r="4129">
      <c r="A4129">
        <f>IFERROR(__xludf.DUMMYFUNCTION("""COMPUTED_VALUE"""),12.0)</f>
        <v>12</v>
      </c>
      <c r="B4129">
        <f>IFERROR(__xludf.DUMMYFUNCTION("""COMPUTED_VALUE"""),26032.0)</f>
        <v>26032</v>
      </c>
      <c r="C4129" t="str">
        <f>IFERROR(__xludf.DUMMYFUNCTION("""COMPUTED_VALUE"""),"FRANCO SALDARRIAGA, EDUARDO")</f>
        <v>FRANCO SALDARRIAGA, EDUARDO</v>
      </c>
      <c r="D4129" t="str">
        <f>IFERROR(__xludf.DUMMYFUNCTION("""COMPUTED_VALUE"""),"Mixed Media Art")</f>
        <v>Mixed Media Art</v>
      </c>
      <c r="E4129" s="3">
        <f>IFERROR(__xludf.DUMMYFUNCTION("""COMPUTED_VALUE"""),6.0)</f>
        <v>6</v>
      </c>
      <c r="F4129" s="300">
        <v>1.0</v>
      </c>
      <c r="G4129" s="300">
        <v>1.0</v>
      </c>
      <c r="H4129" s="300">
        <v>1.0</v>
      </c>
      <c r="I4129" s="300">
        <v>1.0</v>
      </c>
      <c r="J4129" s="300">
        <v>1.0</v>
      </c>
      <c r="K4129" s="300">
        <v>1.0</v>
      </c>
      <c r="L4129" s="300">
        <v>1.0</v>
      </c>
      <c r="M4129" s="300">
        <v>1.0</v>
      </c>
      <c r="N4129" s="300">
        <v>8.0</v>
      </c>
      <c r="O4129" s="300" t="s">
        <v>941</v>
      </c>
      <c r="P4129" s="300">
        <v>1.0</v>
      </c>
    </row>
    <row r="4130">
      <c r="A4130">
        <f>IFERROR(__xludf.DUMMYFUNCTION("""COMPUTED_VALUE"""),12.0)</f>
        <v>12</v>
      </c>
      <c r="B4130">
        <f>IFERROR(__xludf.DUMMYFUNCTION("""COMPUTED_VALUE"""),26072.0)</f>
        <v>26072</v>
      </c>
      <c r="C4130" t="str">
        <f>IFERROR(__xludf.DUMMYFUNCTION("""COMPUTED_VALUE"""),"MERINO VALENCIA, CAMILO")</f>
        <v>MERINO VALENCIA, CAMILO</v>
      </c>
      <c r="D4130" t="str">
        <f>IFERROR(__xludf.DUMMYFUNCTION("""COMPUTED_VALUE"""),"Algebra II")</f>
        <v>Algebra II</v>
      </c>
      <c r="E4130" s="3">
        <f>IFERROR(__xludf.DUMMYFUNCTION("""COMPUTED_VALUE"""),1.0)</f>
        <v>1</v>
      </c>
      <c r="F4130" s="300">
        <v>1.0</v>
      </c>
      <c r="G4130" s="300">
        <v>1.0</v>
      </c>
      <c r="H4130" s="300">
        <v>1.0</v>
      </c>
      <c r="I4130" s="300">
        <v>1.0</v>
      </c>
      <c r="J4130" s="300">
        <v>1.0</v>
      </c>
      <c r="K4130" s="300">
        <v>1.0</v>
      </c>
      <c r="L4130" s="300">
        <v>1.0</v>
      </c>
      <c r="M4130" s="300">
        <v>1.0</v>
      </c>
      <c r="N4130" s="300">
        <v>8.0</v>
      </c>
      <c r="O4130" s="300" t="s">
        <v>852</v>
      </c>
      <c r="P4130" s="300">
        <v>5.0</v>
      </c>
    </row>
    <row r="4131">
      <c r="A4131">
        <f>IFERROR(__xludf.DUMMYFUNCTION("""COMPUTED_VALUE"""),12.0)</f>
        <v>12</v>
      </c>
      <c r="B4131">
        <f>IFERROR(__xludf.DUMMYFUNCTION("""COMPUTED_VALUE"""),26139.0)</f>
        <v>26139</v>
      </c>
      <c r="C4131" t="str">
        <f>IFERROR(__xludf.DUMMYFUNCTION("""COMPUTED_VALUE"""),"POSADA VILLALOBOS, VERONICA")</f>
        <v>POSADA VILLALOBOS, VERONICA</v>
      </c>
      <c r="D4131" t="str">
        <f>IFERROR(__xludf.DUMMYFUNCTION("""COMPUTED_VALUE"""),"Mixed Media Art")</f>
        <v>Mixed Media Art</v>
      </c>
      <c r="E4131" s="3">
        <f>IFERROR(__xludf.DUMMYFUNCTION("""COMPUTED_VALUE"""),6.0)</f>
        <v>6</v>
      </c>
      <c r="F4131" s="300">
        <v>1.0</v>
      </c>
      <c r="G4131" s="300">
        <v>1.0</v>
      </c>
      <c r="H4131" s="300">
        <v>1.0</v>
      </c>
      <c r="I4131" s="300">
        <v>1.0</v>
      </c>
      <c r="J4131" s="300">
        <v>1.0</v>
      </c>
      <c r="K4131" s="300">
        <v>1.0</v>
      </c>
      <c r="L4131" s="300">
        <v>1.0</v>
      </c>
      <c r="M4131" s="300">
        <v>1.0</v>
      </c>
      <c r="N4131" s="300">
        <v>8.0</v>
      </c>
      <c r="O4131" s="300" t="s">
        <v>941</v>
      </c>
      <c r="P4131" s="300">
        <v>1.0</v>
      </c>
    </row>
    <row r="4132">
      <c r="A4132">
        <f>IFERROR(__xludf.DUMMYFUNCTION("""COMPUTED_VALUE"""),12.0)</f>
        <v>12</v>
      </c>
      <c r="B4132" s="406">
        <f>IFERROR(__xludf.DUMMYFUNCTION("""COMPUTED_VALUE"""),26129.0)</f>
        <v>26129</v>
      </c>
      <c r="C4132" t="str">
        <f>IFERROR(__xludf.DUMMYFUNCTION("""COMPUTED_VALUE"""),"CALLE BUITRAGO, MARTIN")</f>
        <v>CALLE BUITRAGO, MARTIN</v>
      </c>
      <c r="D4132" t="str">
        <f>IFERROR(__xludf.DUMMYFUNCTION("""COMPUTED_VALUE"""),"Creative Design")</f>
        <v>Creative Design</v>
      </c>
      <c r="E4132" s="3">
        <f>IFERROR(__xludf.DUMMYFUNCTION("""COMPUTED_VALUE"""),4.0)</f>
        <v>4</v>
      </c>
      <c r="F4132" s="300">
        <v>1.0</v>
      </c>
      <c r="G4132" s="300">
        <v>1.0</v>
      </c>
      <c r="H4132" s="300">
        <v>1.0</v>
      </c>
      <c r="I4132" s="300">
        <v>1.0</v>
      </c>
      <c r="J4132" s="300">
        <v>1.0</v>
      </c>
      <c r="K4132" s="300">
        <v>1.0</v>
      </c>
      <c r="L4132" s="300">
        <v>1.0</v>
      </c>
      <c r="M4132" s="300">
        <v>1.0</v>
      </c>
      <c r="N4132" s="300">
        <v>8.0</v>
      </c>
      <c r="O4132" s="300" t="s">
        <v>971</v>
      </c>
      <c r="P4132" s="300">
        <v>1.0</v>
      </c>
    </row>
    <row r="4133">
      <c r="A4133">
        <f>IFERROR(__xludf.DUMMYFUNCTION("""COMPUTED_VALUE"""),12.0)</f>
        <v>12</v>
      </c>
      <c r="B4133">
        <f>IFERROR(__xludf.DUMMYFUNCTION("""COMPUTED_VALUE"""),26125.0)</f>
        <v>26125</v>
      </c>
      <c r="C4133" t="str">
        <f>IFERROR(__xludf.DUMMYFUNCTION("""COMPUTED_VALUE"""),"YEPES RAMIREZ, MARTIN")</f>
        <v>YEPES RAMIREZ, MARTIN</v>
      </c>
      <c r="D4133" t="str">
        <f>IFERROR(__xludf.DUMMYFUNCTION("""COMPUTED_VALUE"""),"Painting II")</f>
        <v>Painting II</v>
      </c>
      <c r="E4133" s="3">
        <f>IFERROR(__xludf.DUMMYFUNCTION("""COMPUTED_VALUE"""),7.0)</f>
        <v>7</v>
      </c>
      <c r="F4133" s="300">
        <v>1.0</v>
      </c>
      <c r="G4133" s="300">
        <v>1.0</v>
      </c>
      <c r="H4133" s="300">
        <v>1.0</v>
      </c>
      <c r="I4133" s="300">
        <v>1.0</v>
      </c>
      <c r="J4133" s="300">
        <v>1.0</v>
      </c>
      <c r="K4133" s="300">
        <v>1.0</v>
      </c>
      <c r="L4133" s="300">
        <v>1.0</v>
      </c>
      <c r="M4133" s="300">
        <v>1.0</v>
      </c>
      <c r="N4133" s="300">
        <v>8.0</v>
      </c>
      <c r="O4133" s="300" t="s">
        <v>935</v>
      </c>
      <c r="P4133" s="300">
        <v>2.0</v>
      </c>
    </row>
    <row r="4134">
      <c r="A4134">
        <f>IFERROR(__xludf.DUMMYFUNCTION("""COMPUTED_VALUE"""),12.0)</f>
        <v>12</v>
      </c>
      <c r="B4134">
        <f>IFERROR(__xludf.DUMMYFUNCTION("""COMPUTED_VALUE"""),25039.0)</f>
        <v>25039</v>
      </c>
      <c r="C4134" t="str">
        <f>IFERROR(__xludf.DUMMYFUNCTION("""COMPUTED_VALUE"""),"GARZA PATIÑO, MARCO")</f>
        <v>GARZA PATIÑO, MARCO</v>
      </c>
      <c r="D4134" t="str">
        <f>IFERROR(__xludf.DUMMYFUNCTION("""COMPUTED_VALUE"""),"Painting II")</f>
        <v>Painting II</v>
      </c>
      <c r="E4134" s="3">
        <f>IFERROR(__xludf.DUMMYFUNCTION("""COMPUTED_VALUE"""),1.0)</f>
        <v>1</v>
      </c>
      <c r="F4134" s="300">
        <v>1.0</v>
      </c>
      <c r="G4134" s="300">
        <v>1.0</v>
      </c>
      <c r="H4134" s="300">
        <v>1.0</v>
      </c>
      <c r="I4134" s="300">
        <v>1.0</v>
      </c>
      <c r="J4134" s="300">
        <v>1.0</v>
      </c>
      <c r="K4134" s="300">
        <v>1.0</v>
      </c>
      <c r="L4134" s="300">
        <v>1.0</v>
      </c>
      <c r="M4134" s="300">
        <v>1.0</v>
      </c>
      <c r="N4134" s="300">
        <v>8.0</v>
      </c>
      <c r="O4134" s="300" t="s">
        <v>939</v>
      </c>
      <c r="P4134" s="300">
        <v>2.0</v>
      </c>
    </row>
    <row r="4135">
      <c r="A4135">
        <f>IFERROR(__xludf.DUMMYFUNCTION("""COMPUTED_VALUE"""),12.0)</f>
        <v>12</v>
      </c>
      <c r="B4135">
        <f>IFERROR(__xludf.DUMMYFUNCTION("""COMPUTED_VALUE"""),26133.0)</f>
        <v>26133</v>
      </c>
      <c r="C4135" t="str">
        <f>IFERROR(__xludf.DUMMYFUNCTION("""COMPUTED_VALUE"""),"SUAREZ MARTINEZ, PABLO")</f>
        <v>SUAREZ MARTINEZ, PABLO</v>
      </c>
      <c r="D4135" t="str">
        <f>IFERROR(__xludf.DUMMYFUNCTION("""COMPUTED_VALUE"""),"Drawing I")</f>
        <v>Drawing I</v>
      </c>
      <c r="E4135" s="3">
        <f>IFERROR(__xludf.DUMMYFUNCTION("""COMPUTED_VALUE"""),8.0)</f>
        <v>8</v>
      </c>
      <c r="F4135" s="300">
        <v>1.0</v>
      </c>
      <c r="G4135" s="300">
        <v>1.0</v>
      </c>
      <c r="H4135" s="300">
        <v>1.0</v>
      </c>
      <c r="I4135" s="300">
        <v>1.0</v>
      </c>
      <c r="J4135" s="300">
        <v>1.0</v>
      </c>
      <c r="K4135" s="300">
        <v>1.0</v>
      </c>
      <c r="L4135" s="300">
        <v>1.0</v>
      </c>
      <c r="M4135" s="300">
        <v>1.0</v>
      </c>
      <c r="N4135" s="300">
        <v>8.0</v>
      </c>
      <c r="O4135" s="300" t="s">
        <v>944</v>
      </c>
      <c r="P4135" s="300">
        <v>2.0</v>
      </c>
    </row>
    <row r="4136">
      <c r="A4136">
        <f>IFERROR(__xludf.DUMMYFUNCTION("""COMPUTED_VALUE"""),12.0)</f>
        <v>12</v>
      </c>
      <c r="B4136">
        <f>IFERROR(__xludf.DUMMYFUNCTION("""COMPUTED_VALUE"""),26110.0)</f>
        <v>26110</v>
      </c>
      <c r="C4136" t="str">
        <f>IFERROR(__xludf.DUMMYFUNCTION("""COMPUTED_VALUE"""),"URIBE CORREA, VICENTE")</f>
        <v>URIBE CORREA, VICENTE</v>
      </c>
      <c r="D4136" t="str">
        <f>IFERROR(__xludf.DUMMYFUNCTION("""COMPUTED_VALUE"""),"Physics")</f>
        <v>Physics</v>
      </c>
      <c r="E4136" s="3">
        <f>IFERROR(__xludf.DUMMYFUNCTION("""COMPUTED_VALUE"""),2.0)</f>
        <v>2</v>
      </c>
      <c r="F4136" s="300">
        <v>1.0</v>
      </c>
      <c r="G4136" s="300">
        <v>1.0</v>
      </c>
      <c r="H4136" s="300">
        <v>1.0</v>
      </c>
      <c r="I4136" s="300">
        <v>1.0</v>
      </c>
      <c r="J4136" s="300">
        <v>1.0</v>
      </c>
      <c r="K4136" s="300">
        <v>1.0</v>
      </c>
      <c r="L4136" s="300">
        <v>1.0</v>
      </c>
      <c r="M4136" s="300">
        <v>1.0</v>
      </c>
      <c r="N4136" s="300">
        <v>8.0</v>
      </c>
      <c r="O4136" s="300" t="s">
        <v>881</v>
      </c>
      <c r="P4136" s="300">
        <v>5.0</v>
      </c>
    </row>
    <row r="4137">
      <c r="A4137">
        <f>IFERROR(__xludf.DUMMYFUNCTION("""COMPUTED_VALUE"""),12.0)</f>
        <v>12</v>
      </c>
      <c r="B4137">
        <f>IFERROR(__xludf.DUMMYFUNCTION("""COMPUTED_VALUE"""),26022.0)</f>
        <v>26022</v>
      </c>
      <c r="C4137" t="str">
        <f>IFERROR(__xludf.DUMMYFUNCTION("""COMPUTED_VALUE"""),"CAROLI ABAD, MASSIMILIANO")</f>
        <v>CAROLI ABAD, MASSIMILIANO</v>
      </c>
      <c r="D4137" t="str">
        <f>IFERROR(__xludf.DUMMYFUNCTION("""COMPUTED_VALUE"""),"Drawing I")</f>
        <v>Drawing I</v>
      </c>
      <c r="E4137" s="3">
        <f>IFERROR(__xludf.DUMMYFUNCTION("""COMPUTED_VALUE"""),8.0)</f>
        <v>8</v>
      </c>
      <c r="F4137" s="300">
        <v>1.0</v>
      </c>
      <c r="G4137" s="300">
        <v>1.0</v>
      </c>
      <c r="H4137" s="300">
        <v>1.0</v>
      </c>
      <c r="I4137" s="300">
        <v>1.0</v>
      </c>
      <c r="J4137" s="300">
        <v>1.0</v>
      </c>
      <c r="K4137" s="300">
        <v>1.0</v>
      </c>
      <c r="L4137" s="300">
        <v>1.0</v>
      </c>
      <c r="M4137" s="300">
        <v>1.0</v>
      </c>
      <c r="N4137" s="300">
        <v>8.0</v>
      </c>
      <c r="O4137" s="300" t="s">
        <v>944</v>
      </c>
      <c r="P4137" s="300">
        <v>2.0</v>
      </c>
    </row>
    <row r="4138">
      <c r="A4138">
        <f>IFERROR(__xludf.DUMMYFUNCTION("""COMPUTED_VALUE"""),12.0)</f>
        <v>12</v>
      </c>
      <c r="B4138">
        <f>IFERROR(__xludf.DUMMYFUNCTION("""COMPUTED_VALUE"""),26102.0)</f>
        <v>26102</v>
      </c>
      <c r="C4138" t="str">
        <f>IFERROR(__xludf.DUMMYFUNCTION("""COMPUTED_VALUE"""),"RODRIGUEZ NAVARRO, MIGUEL")</f>
        <v>RODRIGUEZ NAVARRO, MIGUEL</v>
      </c>
      <c r="D4138" t="str">
        <f>IFERROR(__xludf.DUMMYFUNCTION("""COMPUTED_VALUE"""),"Painting II")</f>
        <v>Painting II</v>
      </c>
      <c r="E4138" s="3">
        <f>IFERROR(__xludf.DUMMYFUNCTION("""COMPUTED_VALUE"""),7.0)</f>
        <v>7</v>
      </c>
      <c r="F4138" s="300">
        <v>1.0</v>
      </c>
      <c r="G4138" s="300">
        <v>1.0</v>
      </c>
      <c r="H4138" s="300">
        <v>1.0</v>
      </c>
      <c r="I4138" s="300">
        <v>1.0</v>
      </c>
      <c r="J4138" s="300">
        <v>1.0</v>
      </c>
      <c r="K4138" s="300">
        <v>1.0</v>
      </c>
      <c r="L4138" s="300">
        <v>1.0</v>
      </c>
      <c r="M4138" s="300">
        <v>1.0</v>
      </c>
      <c r="N4138" s="300">
        <v>8.0</v>
      </c>
      <c r="O4138" s="300" t="s">
        <v>935</v>
      </c>
      <c r="P4138" s="300">
        <v>2.0</v>
      </c>
    </row>
    <row r="4139">
      <c r="A4139">
        <f>IFERROR(__xludf.DUMMYFUNCTION("""COMPUTED_VALUE"""),12.0)</f>
        <v>12</v>
      </c>
      <c r="B4139">
        <f>IFERROR(__xludf.DUMMYFUNCTION("""COMPUTED_VALUE"""),26107.0)</f>
        <v>26107</v>
      </c>
      <c r="C4139" t="str">
        <f>IFERROR(__xludf.DUMMYFUNCTION("""COMPUTED_VALUE"""),"SUAREZ PEREZ ROSARIO")</f>
        <v>SUAREZ PEREZ ROSARIO</v>
      </c>
      <c r="D4139" t="str">
        <f>IFERROR(__xludf.DUMMYFUNCTION("""COMPUTED_VALUE"""),"AP 3-D Art and Design")</f>
        <v>AP 3-D Art and Design</v>
      </c>
      <c r="E4139" s="3">
        <f>IFERROR(__xludf.DUMMYFUNCTION("""COMPUTED_VALUE"""),6.0)</f>
        <v>6</v>
      </c>
      <c r="F4139" s="300">
        <v>1.0</v>
      </c>
      <c r="G4139" s="300">
        <v>1.0</v>
      </c>
      <c r="H4139" s="300">
        <v>1.0</v>
      </c>
      <c r="I4139" s="300">
        <v>1.0</v>
      </c>
      <c r="J4139" s="300">
        <v>1.0</v>
      </c>
      <c r="K4139" s="300">
        <v>1.0</v>
      </c>
      <c r="L4139" s="300">
        <v>1.0</v>
      </c>
      <c r="M4139" s="300">
        <v>1.0</v>
      </c>
      <c r="N4139" s="300">
        <v>8.0</v>
      </c>
      <c r="O4139" s="300" t="s">
        <v>949</v>
      </c>
      <c r="P4139" s="300">
        <v>1.0</v>
      </c>
    </row>
    <row r="4140">
      <c r="A4140">
        <f>IFERROR(__xludf.DUMMYFUNCTION("""COMPUTED_VALUE"""),11.0)</f>
        <v>11</v>
      </c>
      <c r="B4140">
        <f>IFERROR(__xludf.DUMMYFUNCTION("""COMPUTED_VALUE"""),27148.0)</f>
        <v>27148</v>
      </c>
      <c r="C4140" t="str">
        <f>IFERROR(__xludf.DUMMYFUNCTION("""COMPUTED_VALUE"""),"TALUKDAR, JIGYASHA")</f>
        <v>TALUKDAR, JIGYASHA</v>
      </c>
      <c r="D4140" t="str">
        <f>IFERROR(__xludf.DUMMYFUNCTION("""COMPUTED_VALUE"""),"AP Biology")</f>
        <v>AP Biology</v>
      </c>
      <c r="E4140" s="3">
        <f>IFERROR(__xludf.DUMMYFUNCTION("""COMPUTED_VALUE"""),5.0)</f>
        <v>5</v>
      </c>
      <c r="F4140" s="300">
        <v>1.0</v>
      </c>
      <c r="G4140" s="300">
        <v>1.0</v>
      </c>
      <c r="H4140" s="300">
        <v>1.0</v>
      </c>
      <c r="I4140" s="300">
        <v>1.0</v>
      </c>
      <c r="J4140" s="300">
        <v>1.0</v>
      </c>
      <c r="K4140" s="300">
        <v>1.0</v>
      </c>
      <c r="L4140" s="300">
        <v>1.0</v>
      </c>
      <c r="M4140" s="300">
        <v>1.0</v>
      </c>
      <c r="N4140" s="300">
        <v>8.0</v>
      </c>
      <c r="O4140" s="300" t="s">
        <v>892</v>
      </c>
      <c r="P4140" s="300">
        <v>1.0</v>
      </c>
    </row>
    <row r="4141">
      <c r="A4141">
        <f>IFERROR(__xludf.DUMMYFUNCTION("""COMPUTED_VALUE"""),11.0)</f>
        <v>11</v>
      </c>
      <c r="B4141">
        <f>IFERROR(__xludf.DUMMYFUNCTION("""COMPUTED_VALUE"""),27180.0)</f>
        <v>27180</v>
      </c>
      <c r="C4141" t="str">
        <f>IFERROR(__xludf.DUMMYFUNCTION("""COMPUTED_VALUE"""),"CANDELA SÁNCHEZ, LORENZO")</f>
        <v>CANDELA SÁNCHEZ, LORENZO</v>
      </c>
      <c r="D4141" t="str">
        <f>IFERROR(__xludf.DUMMYFUNCTION("""COMPUTED_VALUE"""),"Art of Fiction Intermediate Level")</f>
        <v>Art of Fiction Intermediate Level</v>
      </c>
      <c r="E4141" s="3">
        <f>IFERROR(__xludf.DUMMYFUNCTION("""COMPUTED_VALUE"""),4.0)</f>
        <v>4</v>
      </c>
      <c r="F4141" s="300">
        <v>1.0</v>
      </c>
      <c r="G4141" s="300">
        <v>1.0</v>
      </c>
      <c r="H4141" s="300">
        <v>1.0</v>
      </c>
      <c r="I4141" s="300">
        <v>1.0</v>
      </c>
      <c r="J4141" s="300">
        <v>1.0</v>
      </c>
      <c r="K4141" s="300">
        <v>1.0</v>
      </c>
      <c r="L4141" s="300">
        <v>1.0</v>
      </c>
      <c r="M4141" s="300">
        <v>1.0</v>
      </c>
      <c r="N4141" s="300">
        <v>8.0</v>
      </c>
      <c r="O4141" s="300" t="s">
        <v>803</v>
      </c>
      <c r="P4141" s="300">
        <v>3.0</v>
      </c>
    </row>
    <row r="4142">
      <c r="A4142">
        <f>IFERROR(__xludf.DUMMYFUNCTION("""COMPUTED_VALUE"""),11.0)</f>
        <v>11</v>
      </c>
      <c r="B4142" s="406">
        <f>IFERROR(__xludf.DUMMYFUNCTION("""COMPUTED_VALUE"""),27183.0)</f>
        <v>27183</v>
      </c>
      <c r="C4142" s="406" t="str">
        <f>IFERROR(__xludf.DUMMYFUNCTION("""COMPUTED_VALUE"""),"JOORIS-ANCION, ALEXANDRE")</f>
        <v>JOORIS-ANCION, ALEXANDRE</v>
      </c>
      <c r="D4142" t="str">
        <f>IFERROR(__xludf.DUMMYFUNCTION("""COMPUTED_VALUE"""),"AP Psychology")</f>
        <v>AP Psychology</v>
      </c>
      <c r="E4142" s="3">
        <f>IFERROR(__xludf.DUMMYFUNCTION("""COMPUTED_VALUE"""),4.0)</f>
        <v>4</v>
      </c>
      <c r="F4142" s="300">
        <v>1.0</v>
      </c>
      <c r="G4142" s="300">
        <v>1.0</v>
      </c>
      <c r="H4142" s="300">
        <v>1.0</v>
      </c>
      <c r="I4142" s="300">
        <v>1.0</v>
      </c>
      <c r="J4142" s="300">
        <v>1.0</v>
      </c>
      <c r="K4142" s="300">
        <v>1.0</v>
      </c>
      <c r="L4142" s="300">
        <v>1.0</v>
      </c>
      <c r="M4142" s="300">
        <v>1.0</v>
      </c>
      <c r="N4142" s="300">
        <v>8.0</v>
      </c>
      <c r="O4142" s="300" t="s">
        <v>981</v>
      </c>
      <c r="P4142" s="300">
        <v>2.0</v>
      </c>
    </row>
    <row r="4143">
      <c r="A4143">
        <f>IFERROR(__xludf.DUMMYFUNCTION("""COMPUTED_VALUE"""),10.0)</f>
        <v>10</v>
      </c>
      <c r="B4143">
        <f>IFERROR(__xludf.DUMMYFUNCTION("""COMPUTED_VALUE"""),28176.0)</f>
        <v>28176</v>
      </c>
      <c r="C4143" s="406" t="str">
        <f>IFERROR(__xludf.DUMMYFUNCTION("""COMPUTED_VALUE"""),"SILVA MONTOYA, SEBASTIÁN")</f>
        <v>SILVA MONTOYA, SEBASTIÁN</v>
      </c>
      <c r="D4143" t="str">
        <f>IFERROR(__xludf.DUMMYFUNCTION("""COMPUTED_VALUE"""),"AP Computer Science Principles")</f>
        <v>AP Computer Science Principles</v>
      </c>
      <c r="E4143" s="3">
        <f>IFERROR(__xludf.DUMMYFUNCTION("""COMPUTED_VALUE"""),3.0)</f>
        <v>3</v>
      </c>
      <c r="F4143" s="300">
        <v>1.0</v>
      </c>
      <c r="G4143" s="300">
        <v>1.0</v>
      </c>
      <c r="H4143" s="300">
        <v>1.0</v>
      </c>
      <c r="I4143" s="300">
        <v>1.0</v>
      </c>
      <c r="J4143" s="300">
        <v>1.0</v>
      </c>
      <c r="K4143" s="300">
        <v>1.0</v>
      </c>
      <c r="L4143" s="300">
        <v>1.0</v>
      </c>
      <c r="M4143" s="300">
        <v>1.0</v>
      </c>
      <c r="N4143" s="300">
        <v>8.0</v>
      </c>
      <c r="O4143" s="300" t="s">
        <v>836</v>
      </c>
      <c r="P4143" s="300">
        <v>1.0</v>
      </c>
    </row>
    <row r="4144">
      <c r="A4144">
        <f>IFERROR(__xludf.DUMMYFUNCTION("""COMPUTED_VALUE"""),9.0)</f>
        <v>9</v>
      </c>
      <c r="B4144">
        <f>IFERROR(__xludf.DUMMYFUNCTION("""COMPUTED_VALUE"""),29173.0)</f>
        <v>29173</v>
      </c>
      <c r="C4144" s="406" t="str">
        <f>IFERROR(__xludf.DUMMYFUNCTION("""COMPUTED_VALUE"""),"GRACIANO VÉLEZ, MARÍA DE LOS ÁNGELES")</f>
        <v>GRACIANO VÉLEZ, MARÍA DE LOS ÁNGELES</v>
      </c>
      <c r="D4144" t="str">
        <f>IFERROR(__xludf.DUMMYFUNCTION("""COMPUTED_VALUE"""),"Painting I")</f>
        <v>Painting I</v>
      </c>
      <c r="E4144" s="3">
        <f>IFERROR(__xludf.DUMMYFUNCTION("""COMPUTED_VALUE"""),7.0)</f>
        <v>7</v>
      </c>
      <c r="F4144" s="300">
        <v>1.0</v>
      </c>
      <c r="G4144" s="300">
        <v>1.0</v>
      </c>
      <c r="H4144" s="300">
        <v>1.0</v>
      </c>
      <c r="I4144" s="300">
        <v>1.0</v>
      </c>
      <c r="J4144" s="300">
        <v>1.0</v>
      </c>
      <c r="K4144" s="300">
        <v>1.0</v>
      </c>
      <c r="L4144" s="300">
        <v>1.0</v>
      </c>
      <c r="M4144" s="300">
        <v>1.0</v>
      </c>
      <c r="N4144" s="300">
        <v>8.0</v>
      </c>
      <c r="O4144" s="300" t="s">
        <v>934</v>
      </c>
      <c r="P4144" s="300">
        <v>4.0</v>
      </c>
    </row>
    <row r="4145">
      <c r="A4145">
        <f>IFERROR(__xludf.DUMMYFUNCTION("""COMPUTED_VALUE"""),9.0)</f>
        <v>9</v>
      </c>
      <c r="B4145">
        <f>IFERROR(__xludf.DUMMYFUNCTION("""COMPUTED_VALUE"""),29174.0)</f>
        <v>29174</v>
      </c>
      <c r="C4145" s="406" t="str">
        <f>IFERROR(__xludf.DUMMYFUNCTION("""COMPUTED_VALUE"""),"CANDELA SÁNCHEZ, EVA")</f>
        <v>CANDELA SÁNCHEZ, EVA</v>
      </c>
      <c r="D4145" t="str">
        <f>IFERROR(__xludf.DUMMYFUNCTION("""COMPUTED_VALUE"""),"Painting I")</f>
        <v>Painting I</v>
      </c>
      <c r="E4145" s="3">
        <f>IFERROR(__xludf.DUMMYFUNCTION("""COMPUTED_VALUE"""),7.0)</f>
        <v>7</v>
      </c>
      <c r="F4145" s="300">
        <v>1.0</v>
      </c>
      <c r="G4145" s="300">
        <v>1.0</v>
      </c>
      <c r="H4145" s="300">
        <v>1.0</v>
      </c>
      <c r="I4145" s="300">
        <v>1.0</v>
      </c>
      <c r="J4145" s="300">
        <v>1.0</v>
      </c>
      <c r="K4145" s="300">
        <v>1.0</v>
      </c>
      <c r="L4145" s="300">
        <v>1.0</v>
      </c>
      <c r="M4145" s="300">
        <v>1.0</v>
      </c>
      <c r="N4145" s="300">
        <v>8.0</v>
      </c>
      <c r="O4145" s="300" t="s">
        <v>934</v>
      </c>
      <c r="P4145" s="300">
        <v>4.0</v>
      </c>
    </row>
    <row r="4146">
      <c r="A4146">
        <f>IFERROR(__xludf.DUMMYFUNCTION("""COMPUTED_VALUE"""),11.0)</f>
        <v>11</v>
      </c>
      <c r="B4146" s="406">
        <f>IFERROR(__xludf.DUMMYFUNCTION("""COMPUTED_VALUE"""),27179.0)</f>
        <v>27179</v>
      </c>
      <c r="C4146" s="406" t="str">
        <f>IFERROR(__xludf.DUMMYFUNCTION("""COMPUTED_VALUE"""),"GRACIANO VÉLEZ, MARÍA DEL MAR")</f>
        <v>GRACIANO VÉLEZ, MARÍA DEL MAR</v>
      </c>
      <c r="D4146" t="str">
        <f>IFERROR(__xludf.DUMMYFUNCTION("""COMPUTED_VALUE"""),"AP World History")</f>
        <v>AP World History</v>
      </c>
      <c r="E4146" s="3">
        <f>IFERROR(__xludf.DUMMYFUNCTION("""COMPUTED_VALUE"""),5.0)</f>
        <v>5</v>
      </c>
      <c r="F4146" s="300">
        <v>1.0</v>
      </c>
      <c r="G4146" s="300">
        <v>1.0</v>
      </c>
      <c r="H4146" s="300">
        <v>1.0</v>
      </c>
      <c r="I4146" s="300">
        <v>1.0</v>
      </c>
      <c r="J4146" s="300">
        <v>1.0</v>
      </c>
      <c r="K4146" s="300">
        <v>1.0</v>
      </c>
      <c r="L4146" s="300">
        <v>1.0</v>
      </c>
      <c r="M4146" s="300">
        <v>1.0</v>
      </c>
      <c r="N4146" s="300">
        <v>8.0</v>
      </c>
      <c r="O4146" s="300" t="s">
        <v>974</v>
      </c>
      <c r="P4146" s="300">
        <v>2.0</v>
      </c>
    </row>
    <row r="4147">
      <c r="A4147">
        <f>IFERROR(__xludf.DUMMYFUNCTION("""COMPUTED_VALUE"""),10.0)</f>
        <v>10</v>
      </c>
      <c r="B4147" s="406">
        <f>IFERROR(__xludf.DUMMYFUNCTION("""COMPUTED_VALUE"""),28178.0)</f>
        <v>28178</v>
      </c>
      <c r="C4147" s="406" t="str">
        <f>IFERROR(__xludf.DUMMYFUNCTION("""COMPUTED_VALUE"""),"CANOVA DOMINGUES, JOAO PEDRO")</f>
        <v>CANOVA DOMINGUES, JOAO PEDRO</v>
      </c>
      <c r="D4147" t="str">
        <f>IFERROR(__xludf.DUMMYFUNCTION("""COMPUTED_VALUE"""),"Band Level II")</f>
        <v>Band Level II</v>
      </c>
      <c r="E4147" s="3">
        <f>IFERROR(__xludf.DUMMYFUNCTION("""COMPUTED_VALUE"""),6.0)</f>
        <v>6</v>
      </c>
      <c r="F4147" s="300">
        <v>1.0</v>
      </c>
      <c r="G4147" s="300">
        <v>1.0</v>
      </c>
      <c r="H4147" s="300">
        <v>1.0</v>
      </c>
      <c r="I4147" s="300">
        <v>1.0</v>
      </c>
      <c r="J4147" s="300">
        <v>1.0</v>
      </c>
      <c r="K4147" s="300">
        <v>1.0</v>
      </c>
      <c r="L4147" s="300">
        <v>1.0</v>
      </c>
      <c r="M4147" s="300">
        <v>1.0</v>
      </c>
      <c r="N4147" s="300">
        <v>8.0</v>
      </c>
      <c r="O4147" s="300" t="s">
        <v>942</v>
      </c>
      <c r="P4147" s="300">
        <v>2.0</v>
      </c>
    </row>
    <row r="4148">
      <c r="A4148">
        <f>IFERROR(__xludf.DUMMYFUNCTION("""COMPUTED_VALUE"""),10.0)</f>
        <v>10</v>
      </c>
      <c r="B4148" s="406">
        <f>IFERROR(__xludf.DUMMYFUNCTION("""COMPUTED_VALUE"""),28177.0)</f>
        <v>28177</v>
      </c>
      <c r="C4148" s="406" t="str">
        <f>IFERROR(__xludf.DUMMYFUNCTION("""COMPUTED_VALUE"""),"CUBILLOS GÓMEZ, ROBERTO")</f>
        <v>CUBILLOS GÓMEZ, ROBERTO</v>
      </c>
      <c r="D4148" t="str">
        <f>IFERROR(__xludf.DUMMYFUNCTION("""COMPUTED_VALUE"""),"Journalism Intermediate Level")</f>
        <v>Journalism Intermediate Level</v>
      </c>
      <c r="E4148" s="3">
        <f>IFERROR(__xludf.DUMMYFUNCTION("""COMPUTED_VALUE"""),2.0)</f>
        <v>2</v>
      </c>
      <c r="F4148" s="300">
        <v>1.0</v>
      </c>
      <c r="G4148" s="300">
        <v>1.0</v>
      </c>
      <c r="H4148" s="300">
        <v>1.0</v>
      </c>
      <c r="I4148" s="300">
        <v>1.0</v>
      </c>
      <c r="J4148" s="300">
        <v>1.0</v>
      </c>
      <c r="K4148" s="300">
        <v>1.0</v>
      </c>
      <c r="L4148" s="300">
        <v>1.0</v>
      </c>
      <c r="M4148" s="300">
        <v>1.0</v>
      </c>
      <c r="N4148" s="300">
        <v>8.0</v>
      </c>
      <c r="O4148" s="300" t="s">
        <v>802</v>
      </c>
      <c r="P4148" s="300">
        <v>2.0</v>
      </c>
    </row>
    <row r="4149">
      <c r="A4149">
        <f>IFERROR(__xludf.DUMMYFUNCTION("""COMPUTED_VALUE"""),10.0)</f>
        <v>10</v>
      </c>
      <c r="B4149" s="406">
        <f>IFERROR(__xludf.DUMMYFUNCTION("""COMPUTED_VALUE"""),28146.0)</f>
        <v>28146</v>
      </c>
      <c r="C4149" s="406" t="str">
        <f>IFERROR(__xludf.DUMMYFUNCTION("""COMPUTED_VALUE"""),"MORA MORENO, MARÍA LUISA")</f>
        <v>MORA MORENO, MARÍA LUISA</v>
      </c>
      <c r="D4149" t="str">
        <f>IFERROR(__xludf.DUMMYFUNCTION("""COMPUTED_VALUE"""),"AP 2-D Art and Design")</f>
        <v>AP 2-D Art and Design</v>
      </c>
      <c r="E4149" s="3">
        <f>IFERROR(__xludf.DUMMYFUNCTION("""COMPUTED_VALUE"""),1.0)</f>
        <v>1</v>
      </c>
      <c r="F4149" s="300">
        <v>1.0</v>
      </c>
      <c r="G4149" s="300">
        <v>1.0</v>
      </c>
      <c r="H4149" s="300">
        <v>1.0</v>
      </c>
      <c r="I4149" s="300">
        <v>1.0</v>
      </c>
      <c r="J4149" s="300">
        <v>1.0</v>
      </c>
      <c r="K4149" s="300">
        <v>1.0</v>
      </c>
      <c r="L4149" s="300">
        <v>1.0</v>
      </c>
      <c r="M4149" s="300">
        <v>1.0</v>
      </c>
      <c r="N4149" s="300">
        <v>8.0</v>
      </c>
      <c r="O4149" s="300" t="s">
        <v>948</v>
      </c>
      <c r="P4149" s="300">
        <v>1.0</v>
      </c>
    </row>
    <row r="4150">
      <c r="A4150">
        <f>IFERROR(__xludf.DUMMYFUNCTION("""COMPUTED_VALUE"""),10.0)</f>
        <v>10</v>
      </c>
      <c r="B4150" s="406">
        <f>IFERROR(__xludf.DUMMYFUNCTION("""COMPUTED_VALUE"""),28175.0)</f>
        <v>28175</v>
      </c>
      <c r="C4150" s="406" t="str">
        <f>IFERROR(__xludf.DUMMYFUNCTION("""COMPUTED_VALUE"""),"DELSOL, ANTOINE")</f>
        <v>DELSOL, ANTOINE</v>
      </c>
      <c r="D4150" t="str">
        <f>IFERROR(__xludf.DUMMYFUNCTION("""COMPUTED_VALUE"""),"Sculpture I")</f>
        <v>Sculpture I</v>
      </c>
      <c r="E4150" s="3">
        <f>IFERROR(__xludf.DUMMYFUNCTION("""COMPUTED_VALUE"""),3.0)</f>
        <v>3</v>
      </c>
      <c r="F4150" s="300">
        <v>1.0</v>
      </c>
      <c r="G4150" s="300">
        <v>1.0</v>
      </c>
      <c r="H4150" s="300">
        <v>1.0</v>
      </c>
      <c r="I4150" s="300">
        <v>1.0</v>
      </c>
      <c r="J4150" s="300">
        <v>1.0</v>
      </c>
      <c r="K4150" s="300">
        <v>1.0</v>
      </c>
      <c r="L4150" s="300">
        <v>1.0</v>
      </c>
      <c r="M4150" s="300">
        <v>1.0</v>
      </c>
      <c r="N4150" s="300">
        <v>8.0</v>
      </c>
      <c r="O4150" s="300" t="s">
        <v>947</v>
      </c>
      <c r="P4150" s="300">
        <v>2.0</v>
      </c>
    </row>
    <row r="4151">
      <c r="A4151">
        <f>IFERROR(__xludf.DUMMYFUNCTION("""COMPUTED_VALUE"""),10.0)</f>
        <v>10</v>
      </c>
      <c r="B4151" s="406">
        <f>IFERROR(__xludf.DUMMYFUNCTION("""COMPUTED_VALUE"""),100052.0)</f>
        <v>100052</v>
      </c>
      <c r="C4151" s="406" t="str">
        <f>IFERROR(__xludf.DUMMYFUNCTION("""COMPUTED_VALUE"""),"ECHEVERRI SALAZAR CAMILA")</f>
        <v>ECHEVERRI SALAZAR CAMILA</v>
      </c>
      <c r="D4151" t="str">
        <f>IFERROR(__xludf.DUMMYFUNCTION("""COMPUTED_VALUE"""),"Journalism Intermediate Level")</f>
        <v>Journalism Intermediate Level</v>
      </c>
      <c r="E4151" s="3">
        <f>IFERROR(__xludf.DUMMYFUNCTION("""COMPUTED_VALUE"""),2.0)</f>
        <v>2</v>
      </c>
      <c r="F4151" s="300">
        <v>1.0</v>
      </c>
      <c r="G4151" s="300">
        <v>1.0</v>
      </c>
      <c r="H4151" s="300">
        <v>1.0</v>
      </c>
      <c r="I4151" s="300">
        <v>1.0</v>
      </c>
      <c r="J4151" s="300">
        <v>1.0</v>
      </c>
      <c r="K4151" s="300">
        <v>1.0</v>
      </c>
      <c r="L4151" s="300">
        <v>1.0</v>
      </c>
      <c r="M4151" s="300">
        <v>1.0</v>
      </c>
      <c r="N4151" s="300">
        <v>8.0</v>
      </c>
      <c r="O4151" s="300" t="s">
        <v>802</v>
      </c>
      <c r="P4151" s="300">
        <v>2.0</v>
      </c>
    </row>
    <row r="4152">
      <c r="A4152">
        <f>IFERROR(__xludf.DUMMYFUNCTION("""COMPUTED_VALUE"""),10.0)</f>
        <v>10</v>
      </c>
      <c r="B4152" s="406">
        <f>IFERROR(__xludf.DUMMYFUNCTION("""COMPUTED_VALUE"""),28180.0)</f>
        <v>28180</v>
      </c>
      <c r="C4152" s="406" t="str">
        <f>IFERROR(__xludf.DUMMYFUNCTION("""COMPUTED_VALUE"""),"VÉLEZ GÓMEZ, MATIAS")</f>
        <v>VÉLEZ GÓMEZ, MATIAS</v>
      </c>
      <c r="D4152" t="str">
        <f>IFERROR(__xludf.DUMMYFUNCTION("""COMPUTED_VALUE"""),"Creative Design")</f>
        <v>Creative Design</v>
      </c>
      <c r="E4152" s="3">
        <f>IFERROR(__xludf.DUMMYFUNCTION("""COMPUTED_VALUE"""),4.0)</f>
        <v>4</v>
      </c>
      <c r="F4152" s="300">
        <v>1.0</v>
      </c>
      <c r="G4152" s="300">
        <v>1.0</v>
      </c>
      <c r="H4152" s="300">
        <v>1.0</v>
      </c>
      <c r="I4152" s="300">
        <v>1.0</v>
      </c>
      <c r="J4152" s="300">
        <v>1.0</v>
      </c>
      <c r="K4152" s="300">
        <v>1.0</v>
      </c>
      <c r="L4152" s="300">
        <v>1.0</v>
      </c>
      <c r="M4152" s="300">
        <v>1.0</v>
      </c>
      <c r="N4152" s="300">
        <v>8.0</v>
      </c>
      <c r="O4152" s="300" t="s">
        <v>971</v>
      </c>
      <c r="P4152" s="300">
        <v>1.0</v>
      </c>
    </row>
    <row r="4153">
      <c r="A4153">
        <f>IFERROR(__xludf.DUMMYFUNCTION("""COMPUTED_VALUE"""),10.0)</f>
        <v>10</v>
      </c>
      <c r="B4153" s="406">
        <f>IFERROR(__xludf.DUMMYFUNCTION("""COMPUTED_VALUE"""),28141.0)</f>
        <v>28141</v>
      </c>
      <c r="C4153" s="406" t="str">
        <f>IFERROR(__xludf.DUMMYFUNCTION("""COMPUTED_VALUE"""),"GONZALEZ TRABOULSI SOFIA")</f>
        <v>GONZALEZ TRABOULSI SOFIA</v>
      </c>
      <c r="D4153" t="str">
        <f>IFERROR(__xludf.DUMMYFUNCTION("""COMPUTED_VALUE"""),"AP 2-D Art and Design")</f>
        <v>AP 2-D Art and Design</v>
      </c>
      <c r="E4153" s="3">
        <f>IFERROR(__xludf.DUMMYFUNCTION("""COMPUTED_VALUE"""),1.0)</f>
        <v>1</v>
      </c>
      <c r="F4153" s="300">
        <v>1.0</v>
      </c>
      <c r="G4153" s="300">
        <v>1.0</v>
      </c>
      <c r="H4153" s="300">
        <v>1.0</v>
      </c>
      <c r="I4153" s="300">
        <v>1.0</v>
      </c>
      <c r="J4153" s="300">
        <v>1.0</v>
      </c>
      <c r="K4153" s="300">
        <v>1.0</v>
      </c>
      <c r="L4153" s="300">
        <v>1.0</v>
      </c>
      <c r="M4153" s="300">
        <v>1.0</v>
      </c>
      <c r="N4153" s="300">
        <v>8.0</v>
      </c>
      <c r="O4153" s="300" t="s">
        <v>948</v>
      </c>
      <c r="P4153" s="300">
        <v>1.0</v>
      </c>
    </row>
    <row r="4154">
      <c r="A4154">
        <f>IFERROR(__xludf.DUMMYFUNCTION("""COMPUTED_VALUE"""),10.0)</f>
        <v>10</v>
      </c>
      <c r="B4154" s="406">
        <f>IFERROR(__xludf.DUMMYFUNCTION("""COMPUTED_VALUE"""),12345.0)</f>
        <v>12345</v>
      </c>
      <c r="C4154" s="406" t="str">
        <f>IFERROR(__xludf.DUMMYFUNCTION("""COMPUTED_VALUE"""),"TRIVELIN JUAN IGNACIO")</f>
        <v>TRIVELIN JUAN IGNACIO</v>
      </c>
      <c r="D4154" t="str">
        <f>IFERROR(__xludf.DUMMYFUNCTION("""COMPUTED_VALUE"""),"Drawing I")</f>
        <v>Drawing I</v>
      </c>
      <c r="E4154" s="3">
        <f>IFERROR(__xludf.DUMMYFUNCTION("""COMPUTED_VALUE"""),8.0)</f>
        <v>8</v>
      </c>
      <c r="F4154" s="300">
        <v>1.0</v>
      </c>
      <c r="G4154" s="300">
        <v>1.0</v>
      </c>
      <c r="H4154" s="300">
        <v>1.0</v>
      </c>
      <c r="I4154" s="300">
        <v>1.0</v>
      </c>
      <c r="J4154" s="300">
        <v>1.0</v>
      </c>
      <c r="K4154" s="300">
        <v>1.0</v>
      </c>
      <c r="L4154" s="300">
        <v>1.0</v>
      </c>
      <c r="M4154" s="300">
        <v>1.0</v>
      </c>
      <c r="N4154" s="300">
        <v>8.0</v>
      </c>
      <c r="O4154" s="300" t="s">
        <v>944</v>
      </c>
      <c r="P4154" s="300">
        <v>2.0</v>
      </c>
    </row>
    <row r="4155">
      <c r="A4155">
        <f>IFERROR(__xludf.DUMMYFUNCTION("""COMPUTED_VALUE"""),11.0)</f>
        <v>11</v>
      </c>
      <c r="B4155" s="406">
        <f>IFERROR(__xludf.DUMMYFUNCTION("""COMPUTED_VALUE"""),27169.0)</f>
        <v>27169</v>
      </c>
      <c r="C4155" s="406" t="str">
        <f>IFERROR(__xludf.DUMMYFUNCTION("""COMPUTED_VALUE"""),"RAMOS RODRIGUEZ, ELENA")</f>
        <v>RAMOS RODRIGUEZ, ELENA</v>
      </c>
      <c r="D4155" t="str">
        <f>IFERROR(__xludf.DUMMYFUNCTION("""COMPUTED_VALUE"""),"Entrepreneurship - Business Tech")</f>
        <v>Entrepreneurship - Business Tech</v>
      </c>
      <c r="E4155" s="3">
        <f>IFERROR(__xludf.DUMMYFUNCTION("""COMPUTED_VALUE"""),5.0)</f>
        <v>5</v>
      </c>
      <c r="F4155" s="300">
        <v>1.0</v>
      </c>
      <c r="G4155" s="300">
        <v>1.0</v>
      </c>
      <c r="H4155" s="300">
        <v>1.0</v>
      </c>
      <c r="I4155" s="300">
        <v>1.0</v>
      </c>
      <c r="J4155" s="300">
        <v>1.0</v>
      </c>
      <c r="K4155" s="300">
        <v>1.0</v>
      </c>
      <c r="L4155" s="300">
        <v>1.0</v>
      </c>
      <c r="M4155" s="300">
        <v>1.0</v>
      </c>
      <c r="N4155" s="300">
        <v>8.0</v>
      </c>
      <c r="O4155" s="300" t="s">
        <v>991</v>
      </c>
      <c r="P4155" s="300">
        <v>2.0</v>
      </c>
    </row>
    <row r="4156">
      <c r="E4156" s="3"/>
      <c r="F4156" s="300" t="s">
        <v>22</v>
      </c>
      <c r="G4156" s="300" t="s">
        <v>22</v>
      </c>
      <c r="H4156" s="300" t="s">
        <v>22</v>
      </c>
      <c r="I4156" s="300" t="s">
        <v>22</v>
      </c>
      <c r="J4156" s="300" t="s">
        <v>22</v>
      </c>
      <c r="K4156" s="300" t="s">
        <v>22</v>
      </c>
      <c r="L4156" s="300" t="s">
        <v>22</v>
      </c>
      <c r="M4156" s="300" t="s">
        <v>22</v>
      </c>
      <c r="N4156" s="300" t="s">
        <v>22</v>
      </c>
      <c r="O4156" s="300" t="s">
        <v>22</v>
      </c>
      <c r="P4156" s="300" t="s">
        <v>22</v>
      </c>
    </row>
    <row r="4157">
      <c r="E4157" s="3"/>
      <c r="F4157" s="300" t="s">
        <v>22</v>
      </c>
      <c r="G4157" s="300" t="s">
        <v>22</v>
      </c>
      <c r="H4157" s="300" t="s">
        <v>22</v>
      </c>
      <c r="I4157" s="300" t="s">
        <v>22</v>
      </c>
      <c r="J4157" s="300" t="s">
        <v>22</v>
      </c>
      <c r="K4157" s="300" t="s">
        <v>22</v>
      </c>
      <c r="L4157" s="300" t="s">
        <v>22</v>
      </c>
      <c r="M4157" s="300" t="s">
        <v>22</v>
      </c>
      <c r="N4157" s="300" t="s">
        <v>22</v>
      </c>
      <c r="O4157" s="300" t="s">
        <v>22</v>
      </c>
      <c r="P4157" s="300" t="s">
        <v>22</v>
      </c>
    </row>
    <row r="4158">
      <c r="E4158" s="3"/>
      <c r="F4158" s="300" t="s">
        <v>22</v>
      </c>
      <c r="G4158" s="300" t="s">
        <v>22</v>
      </c>
      <c r="H4158" s="300" t="s">
        <v>22</v>
      </c>
      <c r="I4158" s="300" t="s">
        <v>22</v>
      </c>
      <c r="J4158" s="300" t="s">
        <v>22</v>
      </c>
      <c r="K4158" s="300" t="s">
        <v>22</v>
      </c>
      <c r="L4158" s="300" t="s">
        <v>22</v>
      </c>
      <c r="M4158" s="300" t="s">
        <v>22</v>
      </c>
      <c r="N4158" s="300" t="s">
        <v>22</v>
      </c>
      <c r="O4158" s="300" t="s">
        <v>22</v>
      </c>
      <c r="P4158" s="300" t="s">
        <v>22</v>
      </c>
    </row>
    <row r="4159">
      <c r="E4159" s="3"/>
      <c r="F4159" s="300" t="s">
        <v>22</v>
      </c>
      <c r="G4159" s="300" t="s">
        <v>22</v>
      </c>
      <c r="H4159" s="300" t="s">
        <v>22</v>
      </c>
      <c r="I4159" s="300" t="s">
        <v>22</v>
      </c>
      <c r="J4159" s="300" t="s">
        <v>22</v>
      </c>
      <c r="K4159" s="300" t="s">
        <v>22</v>
      </c>
      <c r="L4159" s="300" t="s">
        <v>22</v>
      </c>
      <c r="M4159" s="300" t="s">
        <v>22</v>
      </c>
      <c r="N4159" s="300" t="s">
        <v>22</v>
      </c>
      <c r="O4159" s="300" t="s">
        <v>22</v>
      </c>
      <c r="P4159" s="300" t="s">
        <v>22</v>
      </c>
    </row>
    <row r="4160">
      <c r="E4160" s="3"/>
      <c r="F4160" s="300" t="s">
        <v>22</v>
      </c>
      <c r="G4160" s="300" t="s">
        <v>22</v>
      </c>
      <c r="H4160" s="300" t="s">
        <v>22</v>
      </c>
      <c r="I4160" s="300" t="s">
        <v>22</v>
      </c>
      <c r="J4160" s="300" t="s">
        <v>22</v>
      </c>
      <c r="K4160" s="300" t="s">
        <v>22</v>
      </c>
      <c r="L4160" s="300" t="s">
        <v>22</v>
      </c>
      <c r="M4160" s="300" t="s">
        <v>22</v>
      </c>
      <c r="N4160" s="300" t="s">
        <v>22</v>
      </c>
      <c r="O4160" s="300" t="s">
        <v>22</v>
      </c>
      <c r="P4160" s="300" t="s">
        <v>22</v>
      </c>
    </row>
    <row r="4161">
      <c r="E4161" s="3"/>
      <c r="F4161" s="300" t="s">
        <v>22</v>
      </c>
      <c r="G4161" s="300" t="s">
        <v>22</v>
      </c>
      <c r="H4161" s="300" t="s">
        <v>22</v>
      </c>
      <c r="I4161" s="300" t="s">
        <v>22</v>
      </c>
      <c r="J4161" s="300" t="s">
        <v>22</v>
      </c>
      <c r="K4161" s="300" t="s">
        <v>22</v>
      </c>
      <c r="L4161" s="300" t="s">
        <v>22</v>
      </c>
      <c r="M4161" s="300" t="s">
        <v>22</v>
      </c>
      <c r="N4161" s="300" t="s">
        <v>22</v>
      </c>
      <c r="O4161" s="300" t="s">
        <v>22</v>
      </c>
      <c r="P4161" s="300" t="s">
        <v>22</v>
      </c>
    </row>
    <row r="4162">
      <c r="E4162" s="3"/>
      <c r="F4162" s="300" t="s">
        <v>22</v>
      </c>
      <c r="G4162" s="300" t="s">
        <v>22</v>
      </c>
      <c r="H4162" s="300" t="s">
        <v>22</v>
      </c>
      <c r="I4162" s="300" t="s">
        <v>22</v>
      </c>
      <c r="J4162" s="300" t="s">
        <v>22</v>
      </c>
      <c r="K4162" s="300" t="s">
        <v>22</v>
      </c>
      <c r="L4162" s="300" t="s">
        <v>22</v>
      </c>
      <c r="M4162" s="300" t="s">
        <v>22</v>
      </c>
      <c r="N4162" s="300" t="s">
        <v>22</v>
      </c>
      <c r="O4162" s="300" t="s">
        <v>22</v>
      </c>
      <c r="P4162" s="300" t="s">
        <v>22</v>
      </c>
    </row>
    <row r="4163">
      <c r="E4163" s="3"/>
      <c r="F4163" s="300" t="s">
        <v>22</v>
      </c>
      <c r="G4163" s="300" t="s">
        <v>22</v>
      </c>
      <c r="H4163" s="300" t="s">
        <v>22</v>
      </c>
      <c r="I4163" s="300" t="s">
        <v>22</v>
      </c>
      <c r="J4163" s="300" t="s">
        <v>22</v>
      </c>
      <c r="K4163" s="300" t="s">
        <v>22</v>
      </c>
      <c r="L4163" s="300" t="s">
        <v>22</v>
      </c>
      <c r="M4163" s="300" t="s">
        <v>22</v>
      </c>
      <c r="N4163" s="300" t="s">
        <v>22</v>
      </c>
      <c r="O4163" s="300" t="s">
        <v>22</v>
      </c>
      <c r="P4163" s="300" t="s">
        <v>22</v>
      </c>
    </row>
    <row r="4164">
      <c r="E4164" s="3"/>
      <c r="F4164" s="300" t="s">
        <v>22</v>
      </c>
      <c r="G4164" s="300" t="s">
        <v>22</v>
      </c>
      <c r="H4164" s="300" t="s">
        <v>22</v>
      </c>
      <c r="I4164" s="300" t="s">
        <v>22</v>
      </c>
      <c r="J4164" s="300" t="s">
        <v>22</v>
      </c>
      <c r="K4164" s="300" t="s">
        <v>22</v>
      </c>
      <c r="L4164" s="300" t="s">
        <v>22</v>
      </c>
      <c r="M4164" s="300" t="s">
        <v>22</v>
      </c>
      <c r="N4164" s="300" t="s">
        <v>22</v>
      </c>
      <c r="O4164" s="300" t="s">
        <v>22</v>
      </c>
      <c r="P4164" s="300" t="s">
        <v>22</v>
      </c>
    </row>
    <row r="4165">
      <c r="E4165" s="3"/>
      <c r="F4165" s="300" t="s">
        <v>22</v>
      </c>
      <c r="G4165" s="300" t="s">
        <v>22</v>
      </c>
      <c r="H4165" s="300" t="s">
        <v>22</v>
      </c>
      <c r="I4165" s="300" t="s">
        <v>22</v>
      </c>
      <c r="J4165" s="300" t="s">
        <v>22</v>
      </c>
      <c r="K4165" s="300" t="s">
        <v>22</v>
      </c>
      <c r="L4165" s="300" t="s">
        <v>22</v>
      </c>
      <c r="M4165" s="300" t="s">
        <v>22</v>
      </c>
      <c r="N4165" s="300" t="s">
        <v>22</v>
      </c>
      <c r="O4165" s="300" t="s">
        <v>22</v>
      </c>
      <c r="P4165" s="300" t="s">
        <v>22</v>
      </c>
    </row>
    <row r="4166">
      <c r="E4166" s="3"/>
      <c r="F4166" s="300" t="s">
        <v>22</v>
      </c>
      <c r="G4166" s="300" t="s">
        <v>22</v>
      </c>
      <c r="H4166" s="300" t="s">
        <v>22</v>
      </c>
      <c r="I4166" s="300" t="s">
        <v>22</v>
      </c>
      <c r="J4166" s="300" t="s">
        <v>22</v>
      </c>
      <c r="K4166" s="300" t="s">
        <v>22</v>
      </c>
      <c r="L4166" s="300" t="s">
        <v>22</v>
      </c>
      <c r="M4166" s="300" t="s">
        <v>22</v>
      </c>
      <c r="N4166" s="300" t="s">
        <v>22</v>
      </c>
      <c r="O4166" s="300" t="s">
        <v>22</v>
      </c>
      <c r="P4166" s="300" t="s">
        <v>22</v>
      </c>
    </row>
    <row r="4167">
      <c r="E4167" s="3"/>
      <c r="F4167" s="300" t="s">
        <v>22</v>
      </c>
      <c r="G4167" s="300" t="s">
        <v>22</v>
      </c>
      <c r="H4167" s="300" t="s">
        <v>22</v>
      </c>
      <c r="I4167" s="300" t="s">
        <v>22</v>
      </c>
      <c r="J4167" s="300" t="s">
        <v>22</v>
      </c>
      <c r="K4167" s="300" t="s">
        <v>22</v>
      </c>
      <c r="L4167" s="300" t="s">
        <v>22</v>
      </c>
      <c r="M4167" s="300" t="s">
        <v>22</v>
      </c>
      <c r="N4167" s="300" t="s">
        <v>22</v>
      </c>
      <c r="O4167" s="300" t="s">
        <v>22</v>
      </c>
      <c r="P4167" s="300" t="s">
        <v>22</v>
      </c>
    </row>
    <row r="4168">
      <c r="E4168" s="3"/>
      <c r="F4168" s="300" t="s">
        <v>22</v>
      </c>
      <c r="G4168" s="300" t="s">
        <v>22</v>
      </c>
      <c r="H4168" s="300" t="s">
        <v>22</v>
      </c>
      <c r="I4168" s="300" t="s">
        <v>22</v>
      </c>
      <c r="J4168" s="300" t="s">
        <v>22</v>
      </c>
      <c r="K4168" s="300" t="s">
        <v>22</v>
      </c>
      <c r="L4168" s="300" t="s">
        <v>22</v>
      </c>
      <c r="M4168" s="300" t="s">
        <v>22</v>
      </c>
      <c r="N4168" s="300" t="s">
        <v>22</v>
      </c>
      <c r="O4168" s="300" t="s">
        <v>22</v>
      </c>
      <c r="P4168" s="300" t="s">
        <v>22</v>
      </c>
    </row>
    <row r="4169">
      <c r="E4169" s="3"/>
      <c r="F4169" s="300" t="s">
        <v>22</v>
      </c>
      <c r="G4169" s="300" t="s">
        <v>22</v>
      </c>
      <c r="H4169" s="300" t="s">
        <v>22</v>
      </c>
      <c r="I4169" s="300" t="s">
        <v>22</v>
      </c>
      <c r="J4169" s="300" t="s">
        <v>22</v>
      </c>
      <c r="K4169" s="300" t="s">
        <v>22</v>
      </c>
      <c r="L4169" s="300" t="s">
        <v>22</v>
      </c>
      <c r="M4169" s="300" t="s">
        <v>22</v>
      </c>
      <c r="N4169" s="300" t="s">
        <v>22</v>
      </c>
      <c r="O4169" s="300" t="s">
        <v>22</v>
      </c>
      <c r="P4169" s="300" t="s">
        <v>22</v>
      </c>
    </row>
    <row r="4170">
      <c r="E4170" s="3"/>
      <c r="F4170" s="300" t="s">
        <v>22</v>
      </c>
      <c r="G4170" s="300" t="s">
        <v>22</v>
      </c>
      <c r="H4170" s="300" t="s">
        <v>22</v>
      </c>
      <c r="I4170" s="300" t="s">
        <v>22</v>
      </c>
      <c r="J4170" s="300" t="s">
        <v>22</v>
      </c>
      <c r="K4170" s="300" t="s">
        <v>22</v>
      </c>
      <c r="L4170" s="300" t="s">
        <v>22</v>
      </c>
      <c r="M4170" s="300" t="s">
        <v>22</v>
      </c>
      <c r="N4170" s="300" t="s">
        <v>22</v>
      </c>
      <c r="O4170" s="300" t="s">
        <v>22</v>
      </c>
      <c r="P4170" s="300" t="s">
        <v>22</v>
      </c>
    </row>
    <row r="4171">
      <c r="E4171" s="3"/>
      <c r="F4171" s="300" t="s">
        <v>22</v>
      </c>
      <c r="G4171" s="300" t="s">
        <v>22</v>
      </c>
      <c r="H4171" s="300" t="s">
        <v>22</v>
      </c>
      <c r="I4171" s="300" t="s">
        <v>22</v>
      </c>
      <c r="J4171" s="300" t="s">
        <v>22</v>
      </c>
      <c r="K4171" s="300" t="s">
        <v>22</v>
      </c>
      <c r="L4171" s="300" t="s">
        <v>22</v>
      </c>
      <c r="M4171" s="300" t="s">
        <v>22</v>
      </c>
      <c r="N4171" s="300" t="s">
        <v>22</v>
      </c>
      <c r="O4171" s="300" t="s">
        <v>22</v>
      </c>
      <c r="P4171" s="300" t="s">
        <v>22</v>
      </c>
    </row>
    <row r="4172">
      <c r="E4172" s="3"/>
      <c r="F4172" s="300" t="s">
        <v>22</v>
      </c>
      <c r="G4172" s="300" t="s">
        <v>22</v>
      </c>
      <c r="H4172" s="300" t="s">
        <v>22</v>
      </c>
      <c r="I4172" s="300" t="s">
        <v>22</v>
      </c>
      <c r="J4172" s="300" t="s">
        <v>22</v>
      </c>
      <c r="K4172" s="300" t="s">
        <v>22</v>
      </c>
      <c r="L4172" s="300" t="s">
        <v>22</v>
      </c>
      <c r="M4172" s="300" t="s">
        <v>22</v>
      </c>
      <c r="N4172" s="300" t="s">
        <v>22</v>
      </c>
      <c r="O4172" s="300" t="s">
        <v>22</v>
      </c>
      <c r="P4172" s="300" t="s">
        <v>22</v>
      </c>
    </row>
    <row r="4173">
      <c r="E4173" s="3"/>
      <c r="F4173" s="300" t="s">
        <v>22</v>
      </c>
      <c r="G4173" s="300" t="s">
        <v>22</v>
      </c>
      <c r="H4173" s="300" t="s">
        <v>22</v>
      </c>
      <c r="I4173" s="300" t="s">
        <v>22</v>
      </c>
      <c r="J4173" s="300" t="s">
        <v>22</v>
      </c>
      <c r="K4173" s="300" t="s">
        <v>22</v>
      </c>
      <c r="L4173" s="300" t="s">
        <v>22</v>
      </c>
      <c r="M4173" s="300" t="s">
        <v>22</v>
      </c>
      <c r="N4173" s="300" t="s">
        <v>22</v>
      </c>
      <c r="O4173" s="300" t="s">
        <v>22</v>
      </c>
      <c r="P4173" s="300" t="s">
        <v>22</v>
      </c>
    </row>
    <row r="4174">
      <c r="E4174" s="3"/>
      <c r="F4174" s="300" t="s">
        <v>22</v>
      </c>
      <c r="G4174" s="300" t="s">
        <v>22</v>
      </c>
      <c r="H4174" s="300" t="s">
        <v>22</v>
      </c>
      <c r="I4174" s="300" t="s">
        <v>22</v>
      </c>
      <c r="J4174" s="300" t="s">
        <v>22</v>
      </c>
      <c r="K4174" s="300" t="s">
        <v>22</v>
      </c>
      <c r="L4174" s="300" t="s">
        <v>22</v>
      </c>
      <c r="M4174" s="300" t="s">
        <v>22</v>
      </c>
      <c r="N4174" s="300" t="s">
        <v>22</v>
      </c>
      <c r="O4174" s="300" t="s">
        <v>22</v>
      </c>
      <c r="P4174" s="300" t="s">
        <v>22</v>
      </c>
    </row>
    <row r="4175">
      <c r="E4175" s="3"/>
      <c r="F4175" s="300" t="s">
        <v>22</v>
      </c>
      <c r="G4175" s="300" t="s">
        <v>22</v>
      </c>
      <c r="H4175" s="300" t="s">
        <v>22</v>
      </c>
      <c r="I4175" s="300" t="s">
        <v>22</v>
      </c>
      <c r="J4175" s="300" t="s">
        <v>22</v>
      </c>
      <c r="K4175" s="300" t="s">
        <v>22</v>
      </c>
      <c r="L4175" s="300" t="s">
        <v>22</v>
      </c>
      <c r="M4175" s="300" t="s">
        <v>22</v>
      </c>
      <c r="N4175" s="300" t="s">
        <v>22</v>
      </c>
      <c r="O4175" s="300" t="s">
        <v>22</v>
      </c>
      <c r="P4175" s="300" t="s">
        <v>22</v>
      </c>
    </row>
    <row r="4176">
      <c r="E4176" s="3"/>
      <c r="F4176" s="300" t="s">
        <v>22</v>
      </c>
      <c r="G4176" s="300" t="s">
        <v>22</v>
      </c>
      <c r="H4176" s="300" t="s">
        <v>22</v>
      </c>
      <c r="I4176" s="300" t="s">
        <v>22</v>
      </c>
      <c r="J4176" s="300" t="s">
        <v>22</v>
      </c>
      <c r="K4176" s="300" t="s">
        <v>22</v>
      </c>
      <c r="L4176" s="300" t="s">
        <v>22</v>
      </c>
      <c r="M4176" s="300" t="s">
        <v>22</v>
      </c>
      <c r="N4176" s="300" t="s">
        <v>22</v>
      </c>
      <c r="O4176" s="300" t="s">
        <v>22</v>
      </c>
      <c r="P4176" s="300" t="s">
        <v>22</v>
      </c>
    </row>
    <row r="4177">
      <c r="E4177" s="3"/>
      <c r="F4177" s="300" t="s">
        <v>22</v>
      </c>
      <c r="G4177" s="300" t="s">
        <v>22</v>
      </c>
      <c r="H4177" s="300" t="s">
        <v>22</v>
      </c>
      <c r="I4177" s="300" t="s">
        <v>22</v>
      </c>
      <c r="J4177" s="300" t="s">
        <v>22</v>
      </c>
      <c r="K4177" s="300" t="s">
        <v>22</v>
      </c>
      <c r="L4177" s="300" t="s">
        <v>22</v>
      </c>
      <c r="M4177" s="300" t="s">
        <v>22</v>
      </c>
      <c r="N4177" s="300" t="s">
        <v>22</v>
      </c>
      <c r="O4177" s="300" t="s">
        <v>22</v>
      </c>
      <c r="P4177" s="300" t="s">
        <v>22</v>
      </c>
    </row>
    <row r="4178">
      <c r="E4178" s="3"/>
      <c r="F4178" s="300" t="s">
        <v>22</v>
      </c>
      <c r="G4178" s="300" t="s">
        <v>22</v>
      </c>
      <c r="H4178" s="300" t="s">
        <v>22</v>
      </c>
      <c r="I4178" s="300" t="s">
        <v>22</v>
      </c>
      <c r="J4178" s="300" t="s">
        <v>22</v>
      </c>
      <c r="K4178" s="300" t="s">
        <v>22</v>
      </c>
      <c r="L4178" s="300" t="s">
        <v>22</v>
      </c>
      <c r="M4178" s="300" t="s">
        <v>22</v>
      </c>
      <c r="N4178" s="300" t="s">
        <v>22</v>
      </c>
      <c r="O4178" s="300" t="s">
        <v>22</v>
      </c>
      <c r="P4178" s="300" t="s">
        <v>22</v>
      </c>
    </row>
    <row r="4179">
      <c r="E4179" s="3"/>
      <c r="F4179" s="300" t="s">
        <v>22</v>
      </c>
      <c r="G4179" s="300" t="s">
        <v>22</v>
      </c>
      <c r="H4179" s="300" t="s">
        <v>22</v>
      </c>
      <c r="I4179" s="300" t="s">
        <v>22</v>
      </c>
      <c r="J4179" s="300" t="s">
        <v>22</v>
      </c>
      <c r="K4179" s="300" t="s">
        <v>22</v>
      </c>
      <c r="L4179" s="300" t="s">
        <v>22</v>
      </c>
      <c r="M4179" s="300" t="s">
        <v>22</v>
      </c>
      <c r="N4179" s="300" t="s">
        <v>22</v>
      </c>
      <c r="O4179" s="300" t="s">
        <v>22</v>
      </c>
      <c r="P4179" s="300" t="s">
        <v>22</v>
      </c>
    </row>
    <row r="4180">
      <c r="E4180" s="3"/>
      <c r="F4180" s="300" t="s">
        <v>22</v>
      </c>
      <c r="G4180" s="300" t="s">
        <v>22</v>
      </c>
      <c r="H4180" s="300" t="s">
        <v>22</v>
      </c>
      <c r="I4180" s="300" t="s">
        <v>22</v>
      </c>
      <c r="J4180" s="300" t="s">
        <v>22</v>
      </c>
      <c r="K4180" s="300" t="s">
        <v>22</v>
      </c>
      <c r="L4180" s="300" t="s">
        <v>22</v>
      </c>
      <c r="M4180" s="300" t="s">
        <v>22</v>
      </c>
      <c r="N4180" s="300" t="s">
        <v>22</v>
      </c>
      <c r="O4180" s="300" t="s">
        <v>22</v>
      </c>
      <c r="P4180" s="300" t="s">
        <v>22</v>
      </c>
    </row>
    <row r="4181">
      <c r="E4181" s="3"/>
      <c r="F4181" s="300" t="s">
        <v>22</v>
      </c>
      <c r="G4181" s="300" t="s">
        <v>22</v>
      </c>
      <c r="H4181" s="300" t="s">
        <v>22</v>
      </c>
      <c r="I4181" s="300" t="s">
        <v>22</v>
      </c>
      <c r="J4181" s="300" t="s">
        <v>22</v>
      </c>
      <c r="K4181" s="300" t="s">
        <v>22</v>
      </c>
      <c r="L4181" s="300" t="s">
        <v>22</v>
      </c>
      <c r="M4181" s="300" t="s">
        <v>22</v>
      </c>
      <c r="N4181" s="300" t="s">
        <v>22</v>
      </c>
      <c r="O4181" s="300" t="s">
        <v>22</v>
      </c>
      <c r="P4181" s="300" t="s">
        <v>22</v>
      </c>
    </row>
    <row r="4182">
      <c r="E4182" s="3"/>
      <c r="F4182" s="300" t="s">
        <v>22</v>
      </c>
      <c r="G4182" s="300" t="s">
        <v>22</v>
      </c>
      <c r="H4182" s="300" t="s">
        <v>22</v>
      </c>
      <c r="I4182" s="300" t="s">
        <v>22</v>
      </c>
      <c r="J4182" s="300" t="s">
        <v>22</v>
      </c>
      <c r="K4182" s="300" t="s">
        <v>22</v>
      </c>
      <c r="L4182" s="300" t="s">
        <v>22</v>
      </c>
      <c r="M4182" s="300" t="s">
        <v>22</v>
      </c>
      <c r="N4182" s="300" t="s">
        <v>22</v>
      </c>
      <c r="O4182" s="300" t="s">
        <v>22</v>
      </c>
      <c r="P4182" s="300" t="s">
        <v>22</v>
      </c>
    </row>
    <row r="4183">
      <c r="E4183" s="3"/>
      <c r="F4183" s="300" t="s">
        <v>22</v>
      </c>
      <c r="G4183" s="300" t="s">
        <v>22</v>
      </c>
      <c r="H4183" s="300" t="s">
        <v>22</v>
      </c>
      <c r="I4183" s="300" t="s">
        <v>22</v>
      </c>
      <c r="J4183" s="300" t="s">
        <v>22</v>
      </c>
      <c r="K4183" s="300" t="s">
        <v>22</v>
      </c>
      <c r="L4183" s="300" t="s">
        <v>22</v>
      </c>
      <c r="M4183" s="300" t="s">
        <v>22</v>
      </c>
      <c r="N4183" s="300" t="s">
        <v>22</v>
      </c>
      <c r="O4183" s="300" t="s">
        <v>22</v>
      </c>
      <c r="P4183" s="300" t="s">
        <v>22</v>
      </c>
    </row>
    <row r="4184">
      <c r="E4184" s="3"/>
      <c r="F4184" s="300" t="s">
        <v>22</v>
      </c>
      <c r="G4184" s="300" t="s">
        <v>22</v>
      </c>
      <c r="H4184" s="300" t="s">
        <v>22</v>
      </c>
      <c r="I4184" s="300" t="s">
        <v>22</v>
      </c>
      <c r="J4184" s="300" t="s">
        <v>22</v>
      </c>
      <c r="K4184" s="300" t="s">
        <v>22</v>
      </c>
      <c r="L4184" s="300" t="s">
        <v>22</v>
      </c>
      <c r="M4184" s="300" t="s">
        <v>22</v>
      </c>
      <c r="N4184" s="300" t="s">
        <v>22</v>
      </c>
      <c r="O4184" s="300" t="s">
        <v>22</v>
      </c>
      <c r="P4184" s="300" t="s">
        <v>22</v>
      </c>
    </row>
    <row r="4185">
      <c r="E4185" s="3"/>
      <c r="F4185" s="300" t="s">
        <v>22</v>
      </c>
      <c r="G4185" s="300" t="s">
        <v>22</v>
      </c>
      <c r="H4185" s="300" t="s">
        <v>22</v>
      </c>
      <c r="I4185" s="300" t="s">
        <v>22</v>
      </c>
      <c r="J4185" s="300" t="s">
        <v>22</v>
      </c>
      <c r="K4185" s="300" t="s">
        <v>22</v>
      </c>
      <c r="L4185" s="300" t="s">
        <v>22</v>
      </c>
      <c r="M4185" s="300" t="s">
        <v>22</v>
      </c>
      <c r="N4185" s="300" t="s">
        <v>22</v>
      </c>
      <c r="O4185" s="300" t="s">
        <v>22</v>
      </c>
      <c r="P4185" s="300" t="s">
        <v>22</v>
      </c>
    </row>
    <row r="4186">
      <c r="E4186" s="3"/>
      <c r="F4186" s="300" t="s">
        <v>22</v>
      </c>
      <c r="G4186" s="300" t="s">
        <v>22</v>
      </c>
      <c r="H4186" s="300" t="s">
        <v>22</v>
      </c>
      <c r="I4186" s="300" t="s">
        <v>22</v>
      </c>
      <c r="J4186" s="300" t="s">
        <v>22</v>
      </c>
      <c r="K4186" s="300" t="s">
        <v>22</v>
      </c>
      <c r="L4186" s="300" t="s">
        <v>22</v>
      </c>
      <c r="M4186" s="300" t="s">
        <v>22</v>
      </c>
      <c r="N4186" s="300" t="s">
        <v>22</v>
      </c>
      <c r="O4186" s="300" t="s">
        <v>22</v>
      </c>
      <c r="P4186" s="300" t="s">
        <v>22</v>
      </c>
    </row>
    <row r="4187">
      <c r="E4187" s="3"/>
      <c r="F4187" s="300" t="s">
        <v>22</v>
      </c>
      <c r="G4187" s="300" t="s">
        <v>22</v>
      </c>
      <c r="H4187" s="300" t="s">
        <v>22</v>
      </c>
      <c r="I4187" s="300" t="s">
        <v>22</v>
      </c>
      <c r="J4187" s="300" t="s">
        <v>22</v>
      </c>
      <c r="K4187" s="300" t="s">
        <v>22</v>
      </c>
      <c r="L4187" s="300" t="s">
        <v>22</v>
      </c>
      <c r="M4187" s="300" t="s">
        <v>22</v>
      </c>
      <c r="N4187" s="300" t="s">
        <v>22</v>
      </c>
      <c r="O4187" s="300" t="s">
        <v>22</v>
      </c>
      <c r="P4187" s="300" t="s">
        <v>22</v>
      </c>
    </row>
    <row r="4188">
      <c r="E4188" s="3"/>
      <c r="F4188" s="300" t="s">
        <v>22</v>
      </c>
      <c r="G4188" s="300" t="s">
        <v>22</v>
      </c>
      <c r="H4188" s="300" t="s">
        <v>22</v>
      </c>
      <c r="I4188" s="300" t="s">
        <v>22</v>
      </c>
      <c r="J4188" s="300" t="s">
        <v>22</v>
      </c>
      <c r="K4188" s="300" t="s">
        <v>22</v>
      </c>
      <c r="L4188" s="300" t="s">
        <v>22</v>
      </c>
      <c r="M4188" s="300" t="s">
        <v>22</v>
      </c>
      <c r="N4188" s="300" t="s">
        <v>22</v>
      </c>
      <c r="O4188" s="300" t="s">
        <v>22</v>
      </c>
      <c r="P4188" s="300" t="s">
        <v>22</v>
      </c>
    </row>
    <row r="4189">
      <c r="E4189" s="3"/>
      <c r="F4189" s="300" t="s">
        <v>22</v>
      </c>
      <c r="G4189" s="300" t="s">
        <v>22</v>
      </c>
      <c r="H4189" s="300" t="s">
        <v>22</v>
      </c>
      <c r="I4189" s="300" t="s">
        <v>22</v>
      </c>
      <c r="J4189" s="300" t="s">
        <v>22</v>
      </c>
      <c r="K4189" s="300" t="s">
        <v>22</v>
      </c>
      <c r="L4189" s="300" t="s">
        <v>22</v>
      </c>
      <c r="M4189" s="300" t="s">
        <v>22</v>
      </c>
      <c r="N4189" s="300" t="s">
        <v>22</v>
      </c>
      <c r="O4189" s="300" t="s">
        <v>22</v>
      </c>
      <c r="P4189" s="300" t="s">
        <v>22</v>
      </c>
    </row>
    <row r="4190">
      <c r="E4190" s="3"/>
      <c r="F4190" s="300" t="s">
        <v>22</v>
      </c>
      <c r="G4190" s="300" t="s">
        <v>22</v>
      </c>
      <c r="H4190" s="300" t="s">
        <v>22</v>
      </c>
      <c r="I4190" s="300" t="s">
        <v>22</v>
      </c>
      <c r="J4190" s="300" t="s">
        <v>22</v>
      </c>
      <c r="K4190" s="300" t="s">
        <v>22</v>
      </c>
      <c r="L4190" s="300" t="s">
        <v>22</v>
      </c>
      <c r="M4190" s="300" t="s">
        <v>22</v>
      </c>
      <c r="N4190" s="300" t="s">
        <v>22</v>
      </c>
      <c r="O4190" s="300" t="s">
        <v>22</v>
      </c>
      <c r="P4190" s="300" t="s">
        <v>22</v>
      </c>
    </row>
    <row r="4191">
      <c r="E4191" s="3"/>
      <c r="F4191" s="300" t="s">
        <v>22</v>
      </c>
      <c r="G4191" s="300" t="s">
        <v>22</v>
      </c>
      <c r="H4191" s="300" t="s">
        <v>22</v>
      </c>
      <c r="I4191" s="300" t="s">
        <v>22</v>
      </c>
      <c r="J4191" s="300" t="s">
        <v>22</v>
      </c>
      <c r="K4191" s="300" t="s">
        <v>22</v>
      </c>
      <c r="L4191" s="300" t="s">
        <v>22</v>
      </c>
      <c r="M4191" s="300" t="s">
        <v>22</v>
      </c>
      <c r="N4191" s="300" t="s">
        <v>22</v>
      </c>
      <c r="O4191" s="300" t="s">
        <v>22</v>
      </c>
      <c r="P4191" s="300" t="s">
        <v>22</v>
      </c>
    </row>
    <row r="4192">
      <c r="E4192" s="3"/>
      <c r="F4192" s="300" t="s">
        <v>22</v>
      </c>
      <c r="G4192" s="300" t="s">
        <v>22</v>
      </c>
      <c r="H4192" s="300" t="s">
        <v>22</v>
      </c>
      <c r="I4192" s="300" t="s">
        <v>22</v>
      </c>
      <c r="J4192" s="300" t="s">
        <v>22</v>
      </c>
      <c r="K4192" s="300" t="s">
        <v>22</v>
      </c>
      <c r="L4192" s="300" t="s">
        <v>22</v>
      </c>
      <c r="M4192" s="300" t="s">
        <v>22</v>
      </c>
      <c r="N4192" s="300" t="s">
        <v>22</v>
      </c>
      <c r="O4192" s="300" t="s">
        <v>22</v>
      </c>
      <c r="P4192" s="300" t="s">
        <v>22</v>
      </c>
    </row>
    <row r="4193">
      <c r="E4193" s="3"/>
      <c r="F4193" s="300" t="s">
        <v>22</v>
      </c>
      <c r="G4193" s="300" t="s">
        <v>22</v>
      </c>
      <c r="H4193" s="300" t="s">
        <v>22</v>
      </c>
      <c r="I4193" s="300" t="s">
        <v>22</v>
      </c>
      <c r="J4193" s="300" t="s">
        <v>22</v>
      </c>
      <c r="K4193" s="300" t="s">
        <v>22</v>
      </c>
      <c r="L4193" s="300" t="s">
        <v>22</v>
      </c>
      <c r="M4193" s="300" t="s">
        <v>22</v>
      </c>
      <c r="N4193" s="300" t="s">
        <v>22</v>
      </c>
      <c r="O4193" s="300" t="s">
        <v>22</v>
      </c>
      <c r="P4193" s="300" t="s">
        <v>22</v>
      </c>
    </row>
    <row r="4194">
      <c r="E4194" s="3"/>
      <c r="F4194" s="300" t="s">
        <v>22</v>
      </c>
      <c r="G4194" s="300" t="s">
        <v>22</v>
      </c>
      <c r="H4194" s="300" t="s">
        <v>22</v>
      </c>
      <c r="I4194" s="300" t="s">
        <v>22</v>
      </c>
      <c r="J4194" s="300" t="s">
        <v>22</v>
      </c>
      <c r="K4194" s="300" t="s">
        <v>22</v>
      </c>
      <c r="L4194" s="300" t="s">
        <v>22</v>
      </c>
      <c r="M4194" s="300" t="s">
        <v>22</v>
      </c>
      <c r="N4194" s="300" t="s">
        <v>22</v>
      </c>
      <c r="O4194" s="300" t="s">
        <v>22</v>
      </c>
      <c r="P4194" s="300" t="s">
        <v>22</v>
      </c>
    </row>
    <row r="4195">
      <c r="E4195" s="3"/>
      <c r="F4195" s="300" t="s">
        <v>22</v>
      </c>
      <c r="G4195" s="300" t="s">
        <v>22</v>
      </c>
      <c r="H4195" s="300" t="s">
        <v>22</v>
      </c>
      <c r="I4195" s="300" t="s">
        <v>22</v>
      </c>
      <c r="J4195" s="300" t="s">
        <v>22</v>
      </c>
      <c r="K4195" s="300" t="s">
        <v>22</v>
      </c>
      <c r="L4195" s="300" t="s">
        <v>22</v>
      </c>
      <c r="M4195" s="300" t="s">
        <v>22</v>
      </c>
      <c r="N4195" s="300" t="s">
        <v>22</v>
      </c>
      <c r="O4195" s="300" t="s">
        <v>22</v>
      </c>
      <c r="P4195" s="300" t="s">
        <v>22</v>
      </c>
    </row>
    <row r="4196">
      <c r="E4196" s="3"/>
      <c r="F4196" s="300" t="s">
        <v>22</v>
      </c>
      <c r="G4196" s="300" t="s">
        <v>22</v>
      </c>
      <c r="H4196" s="300" t="s">
        <v>22</v>
      </c>
      <c r="I4196" s="300" t="s">
        <v>22</v>
      </c>
      <c r="J4196" s="300" t="s">
        <v>22</v>
      </c>
      <c r="K4196" s="300" t="s">
        <v>22</v>
      </c>
      <c r="L4196" s="300" t="s">
        <v>22</v>
      </c>
      <c r="M4196" s="300" t="s">
        <v>22</v>
      </c>
      <c r="N4196" s="300" t="s">
        <v>22</v>
      </c>
      <c r="O4196" s="300" t="s">
        <v>22</v>
      </c>
      <c r="P4196" s="300" t="s">
        <v>22</v>
      </c>
    </row>
    <row r="4197">
      <c r="E4197" s="3"/>
      <c r="F4197" s="300" t="s">
        <v>22</v>
      </c>
      <c r="G4197" s="300" t="s">
        <v>22</v>
      </c>
      <c r="H4197" s="300" t="s">
        <v>22</v>
      </c>
      <c r="I4197" s="300" t="s">
        <v>22</v>
      </c>
      <c r="J4197" s="300" t="s">
        <v>22</v>
      </c>
      <c r="K4197" s="300" t="s">
        <v>22</v>
      </c>
      <c r="L4197" s="300" t="s">
        <v>22</v>
      </c>
      <c r="M4197" s="300" t="s">
        <v>22</v>
      </c>
      <c r="N4197" s="300" t="s">
        <v>22</v>
      </c>
      <c r="O4197" s="300" t="s">
        <v>22</v>
      </c>
      <c r="P4197" s="300" t="s">
        <v>22</v>
      </c>
    </row>
    <row r="4198">
      <c r="E4198" s="3"/>
      <c r="F4198" s="300" t="s">
        <v>22</v>
      </c>
      <c r="G4198" s="300" t="s">
        <v>22</v>
      </c>
      <c r="H4198" s="300" t="s">
        <v>22</v>
      </c>
      <c r="I4198" s="300" t="s">
        <v>22</v>
      </c>
      <c r="J4198" s="300" t="s">
        <v>22</v>
      </c>
      <c r="K4198" s="300" t="s">
        <v>22</v>
      </c>
      <c r="L4198" s="300" t="s">
        <v>22</v>
      </c>
      <c r="M4198" s="300" t="s">
        <v>22</v>
      </c>
      <c r="N4198" s="300" t="s">
        <v>22</v>
      </c>
      <c r="O4198" s="300" t="s">
        <v>22</v>
      </c>
      <c r="P4198" s="300" t="s">
        <v>22</v>
      </c>
    </row>
    <row r="4199">
      <c r="E4199" s="3"/>
      <c r="F4199" s="300" t="s">
        <v>22</v>
      </c>
      <c r="G4199" s="300" t="s">
        <v>22</v>
      </c>
      <c r="H4199" s="300" t="s">
        <v>22</v>
      </c>
      <c r="I4199" s="300" t="s">
        <v>22</v>
      </c>
      <c r="J4199" s="300" t="s">
        <v>22</v>
      </c>
      <c r="K4199" s="300" t="s">
        <v>22</v>
      </c>
      <c r="L4199" s="300" t="s">
        <v>22</v>
      </c>
      <c r="M4199" s="300" t="s">
        <v>22</v>
      </c>
      <c r="N4199" s="300" t="s">
        <v>22</v>
      </c>
      <c r="O4199" s="300" t="s">
        <v>22</v>
      </c>
      <c r="P4199" s="300" t="s">
        <v>22</v>
      </c>
    </row>
    <row r="4200">
      <c r="E4200" s="3"/>
      <c r="F4200" s="300" t="s">
        <v>22</v>
      </c>
      <c r="G4200" s="300" t="s">
        <v>22</v>
      </c>
      <c r="H4200" s="300" t="s">
        <v>22</v>
      </c>
      <c r="I4200" s="300" t="s">
        <v>22</v>
      </c>
      <c r="J4200" s="300" t="s">
        <v>22</v>
      </c>
      <c r="K4200" s="300" t="s">
        <v>22</v>
      </c>
      <c r="L4200" s="300" t="s">
        <v>22</v>
      </c>
      <c r="M4200" s="300" t="s">
        <v>22</v>
      </c>
      <c r="N4200" s="300" t="s">
        <v>22</v>
      </c>
      <c r="O4200" s="300" t="s">
        <v>22</v>
      </c>
      <c r="P4200" s="300" t="s">
        <v>22</v>
      </c>
    </row>
    <row r="4201">
      <c r="E4201" s="3"/>
      <c r="F4201" s="300" t="s">
        <v>22</v>
      </c>
      <c r="G4201" s="300" t="s">
        <v>22</v>
      </c>
      <c r="H4201" s="300" t="s">
        <v>22</v>
      </c>
      <c r="I4201" s="300" t="s">
        <v>22</v>
      </c>
      <c r="J4201" s="300" t="s">
        <v>22</v>
      </c>
      <c r="K4201" s="300" t="s">
        <v>22</v>
      </c>
      <c r="L4201" s="300" t="s">
        <v>22</v>
      </c>
      <c r="M4201" s="300" t="s">
        <v>22</v>
      </c>
      <c r="N4201" s="300" t="s">
        <v>22</v>
      </c>
      <c r="O4201" s="300" t="s">
        <v>22</v>
      </c>
      <c r="P4201" s="300" t="s">
        <v>22</v>
      </c>
    </row>
    <row r="4202">
      <c r="E4202" s="3"/>
      <c r="F4202" s="300" t="s">
        <v>22</v>
      </c>
      <c r="G4202" s="300" t="s">
        <v>22</v>
      </c>
      <c r="H4202" s="300" t="s">
        <v>22</v>
      </c>
      <c r="I4202" s="300" t="s">
        <v>22</v>
      </c>
      <c r="J4202" s="300" t="s">
        <v>22</v>
      </c>
      <c r="K4202" s="300" t="s">
        <v>22</v>
      </c>
      <c r="L4202" s="300" t="s">
        <v>22</v>
      </c>
      <c r="M4202" s="300" t="s">
        <v>22</v>
      </c>
      <c r="N4202" s="300" t="s">
        <v>22</v>
      </c>
      <c r="O4202" s="300" t="s">
        <v>22</v>
      </c>
      <c r="P4202" s="300" t="s">
        <v>22</v>
      </c>
    </row>
    <row r="4203">
      <c r="E4203" s="3"/>
      <c r="F4203" s="300" t="s">
        <v>22</v>
      </c>
      <c r="G4203" s="300" t="s">
        <v>22</v>
      </c>
      <c r="H4203" s="300" t="s">
        <v>22</v>
      </c>
      <c r="I4203" s="300" t="s">
        <v>22</v>
      </c>
      <c r="J4203" s="300" t="s">
        <v>22</v>
      </c>
      <c r="K4203" s="300" t="s">
        <v>22</v>
      </c>
      <c r="L4203" s="300" t="s">
        <v>22</v>
      </c>
      <c r="M4203" s="300" t="s">
        <v>22</v>
      </c>
      <c r="N4203" s="300" t="s">
        <v>22</v>
      </c>
      <c r="O4203" s="300" t="s">
        <v>22</v>
      </c>
      <c r="P4203" s="300" t="s">
        <v>22</v>
      </c>
    </row>
    <row r="4204">
      <c r="E4204" s="3"/>
      <c r="F4204" s="300" t="s">
        <v>22</v>
      </c>
      <c r="G4204" s="300" t="s">
        <v>22</v>
      </c>
      <c r="H4204" s="300" t="s">
        <v>22</v>
      </c>
      <c r="I4204" s="300" t="s">
        <v>22</v>
      </c>
      <c r="J4204" s="300" t="s">
        <v>22</v>
      </c>
      <c r="K4204" s="300" t="s">
        <v>22</v>
      </c>
      <c r="L4204" s="300" t="s">
        <v>22</v>
      </c>
      <c r="M4204" s="300" t="s">
        <v>22</v>
      </c>
      <c r="N4204" s="300" t="s">
        <v>22</v>
      </c>
      <c r="O4204" s="300" t="s">
        <v>22</v>
      </c>
      <c r="P4204" s="300" t="s">
        <v>22</v>
      </c>
    </row>
    <row r="4205">
      <c r="E4205" s="3"/>
      <c r="F4205" s="300" t="s">
        <v>22</v>
      </c>
      <c r="G4205" s="300" t="s">
        <v>22</v>
      </c>
      <c r="H4205" s="300" t="s">
        <v>22</v>
      </c>
      <c r="I4205" s="300" t="s">
        <v>22</v>
      </c>
      <c r="J4205" s="300" t="s">
        <v>22</v>
      </c>
      <c r="K4205" s="300" t="s">
        <v>22</v>
      </c>
      <c r="L4205" s="300" t="s">
        <v>22</v>
      </c>
      <c r="M4205" s="300" t="s">
        <v>22</v>
      </c>
      <c r="N4205" s="300" t="s">
        <v>22</v>
      </c>
      <c r="O4205" s="300" t="s">
        <v>22</v>
      </c>
      <c r="P4205" s="300" t="s">
        <v>22</v>
      </c>
    </row>
    <row r="4206">
      <c r="E4206" s="3"/>
      <c r="F4206" s="300" t="s">
        <v>22</v>
      </c>
      <c r="G4206" s="300" t="s">
        <v>22</v>
      </c>
      <c r="H4206" s="300" t="s">
        <v>22</v>
      </c>
      <c r="I4206" s="300" t="s">
        <v>22</v>
      </c>
      <c r="J4206" s="300" t="s">
        <v>22</v>
      </c>
      <c r="K4206" s="300" t="s">
        <v>22</v>
      </c>
      <c r="L4206" s="300" t="s">
        <v>22</v>
      </c>
      <c r="M4206" s="300" t="s">
        <v>22</v>
      </c>
      <c r="N4206" s="300" t="s">
        <v>22</v>
      </c>
      <c r="O4206" s="300" t="s">
        <v>22</v>
      </c>
      <c r="P4206" s="300" t="s">
        <v>22</v>
      </c>
    </row>
    <row r="4207">
      <c r="E4207" s="3"/>
      <c r="F4207" s="300" t="s">
        <v>22</v>
      </c>
      <c r="G4207" s="300" t="s">
        <v>22</v>
      </c>
      <c r="H4207" s="300" t="s">
        <v>22</v>
      </c>
      <c r="I4207" s="300" t="s">
        <v>22</v>
      </c>
      <c r="J4207" s="300" t="s">
        <v>22</v>
      </c>
      <c r="K4207" s="300" t="s">
        <v>22</v>
      </c>
      <c r="L4207" s="300" t="s">
        <v>22</v>
      </c>
      <c r="M4207" s="300" t="s">
        <v>22</v>
      </c>
      <c r="N4207" s="300" t="s">
        <v>22</v>
      </c>
      <c r="O4207" s="300" t="s">
        <v>22</v>
      </c>
      <c r="P4207" s="300" t="s">
        <v>22</v>
      </c>
    </row>
    <row r="4208">
      <c r="E4208" s="3"/>
      <c r="F4208" s="300" t="s">
        <v>22</v>
      </c>
      <c r="G4208" s="300" t="s">
        <v>22</v>
      </c>
      <c r="H4208" s="300" t="s">
        <v>22</v>
      </c>
      <c r="I4208" s="300" t="s">
        <v>22</v>
      </c>
      <c r="J4208" s="300" t="s">
        <v>22</v>
      </c>
      <c r="K4208" s="300" t="s">
        <v>22</v>
      </c>
      <c r="L4208" s="300" t="s">
        <v>22</v>
      </c>
      <c r="M4208" s="300" t="s">
        <v>22</v>
      </c>
      <c r="N4208" s="300" t="s">
        <v>22</v>
      </c>
      <c r="O4208" s="300" t="s">
        <v>22</v>
      </c>
      <c r="P4208" s="300" t="s">
        <v>22</v>
      </c>
    </row>
    <row r="4209">
      <c r="E4209" s="3"/>
      <c r="F4209" s="300" t="s">
        <v>22</v>
      </c>
      <c r="G4209" s="300" t="s">
        <v>22</v>
      </c>
      <c r="H4209" s="300" t="s">
        <v>22</v>
      </c>
      <c r="I4209" s="300" t="s">
        <v>22</v>
      </c>
      <c r="J4209" s="300" t="s">
        <v>22</v>
      </c>
      <c r="K4209" s="300" t="s">
        <v>22</v>
      </c>
      <c r="L4209" s="300" t="s">
        <v>22</v>
      </c>
      <c r="M4209" s="300" t="s">
        <v>22</v>
      </c>
      <c r="N4209" s="300" t="s">
        <v>22</v>
      </c>
      <c r="O4209" s="300" t="s">
        <v>22</v>
      </c>
      <c r="P4209" s="300" t="s">
        <v>22</v>
      </c>
    </row>
    <row r="4210">
      <c r="E4210" s="3"/>
      <c r="F4210" s="300" t="s">
        <v>22</v>
      </c>
      <c r="G4210" s="300" t="s">
        <v>22</v>
      </c>
      <c r="H4210" s="300" t="s">
        <v>22</v>
      </c>
      <c r="I4210" s="300" t="s">
        <v>22</v>
      </c>
      <c r="J4210" s="300" t="s">
        <v>22</v>
      </c>
      <c r="K4210" s="300" t="s">
        <v>22</v>
      </c>
      <c r="L4210" s="300" t="s">
        <v>22</v>
      </c>
      <c r="M4210" s="300" t="s">
        <v>22</v>
      </c>
      <c r="N4210" s="300" t="s">
        <v>22</v>
      </c>
      <c r="O4210" s="300" t="s">
        <v>22</v>
      </c>
      <c r="P4210" s="300" t="s">
        <v>22</v>
      </c>
    </row>
    <row r="4211">
      <c r="E4211" s="3"/>
      <c r="F4211" s="300" t="s">
        <v>22</v>
      </c>
      <c r="G4211" s="300" t="s">
        <v>22</v>
      </c>
      <c r="H4211" s="300" t="s">
        <v>22</v>
      </c>
      <c r="I4211" s="300" t="s">
        <v>22</v>
      </c>
      <c r="J4211" s="300" t="s">
        <v>22</v>
      </c>
      <c r="K4211" s="300" t="s">
        <v>22</v>
      </c>
      <c r="L4211" s="300" t="s">
        <v>22</v>
      </c>
      <c r="M4211" s="300" t="s">
        <v>22</v>
      </c>
      <c r="N4211" s="300" t="s">
        <v>22</v>
      </c>
      <c r="O4211" s="300" t="s">
        <v>22</v>
      </c>
      <c r="P4211" s="300" t="s">
        <v>22</v>
      </c>
    </row>
    <row r="4212">
      <c r="E4212" s="3"/>
      <c r="F4212" s="300" t="s">
        <v>22</v>
      </c>
      <c r="G4212" s="300" t="s">
        <v>22</v>
      </c>
      <c r="H4212" s="300" t="s">
        <v>22</v>
      </c>
      <c r="I4212" s="300" t="s">
        <v>22</v>
      </c>
      <c r="J4212" s="300" t="s">
        <v>22</v>
      </c>
      <c r="K4212" s="300" t="s">
        <v>22</v>
      </c>
      <c r="L4212" s="300" t="s">
        <v>22</v>
      </c>
      <c r="M4212" s="300" t="s">
        <v>22</v>
      </c>
      <c r="N4212" s="300" t="s">
        <v>22</v>
      </c>
      <c r="O4212" s="300" t="s">
        <v>22</v>
      </c>
      <c r="P4212" s="300" t="s">
        <v>22</v>
      </c>
    </row>
    <row r="4213">
      <c r="E4213" s="3"/>
      <c r="F4213" s="300" t="s">
        <v>22</v>
      </c>
      <c r="G4213" s="300" t="s">
        <v>22</v>
      </c>
      <c r="H4213" s="300" t="s">
        <v>22</v>
      </c>
      <c r="I4213" s="300" t="s">
        <v>22</v>
      </c>
      <c r="J4213" s="300" t="s">
        <v>22</v>
      </c>
      <c r="K4213" s="300" t="s">
        <v>22</v>
      </c>
      <c r="L4213" s="300" t="s">
        <v>22</v>
      </c>
      <c r="M4213" s="300" t="s">
        <v>22</v>
      </c>
      <c r="N4213" s="300" t="s">
        <v>22</v>
      </c>
      <c r="O4213" s="300" t="s">
        <v>22</v>
      </c>
      <c r="P4213" s="300" t="s">
        <v>22</v>
      </c>
    </row>
    <row r="4214">
      <c r="E4214" s="3"/>
      <c r="F4214" s="300" t="s">
        <v>22</v>
      </c>
      <c r="G4214" s="300" t="s">
        <v>22</v>
      </c>
      <c r="H4214" s="300" t="s">
        <v>22</v>
      </c>
      <c r="I4214" s="300" t="s">
        <v>22</v>
      </c>
      <c r="J4214" s="300" t="s">
        <v>22</v>
      </c>
      <c r="K4214" s="300" t="s">
        <v>22</v>
      </c>
      <c r="L4214" s="300" t="s">
        <v>22</v>
      </c>
      <c r="M4214" s="300" t="s">
        <v>22</v>
      </c>
      <c r="N4214" s="300" t="s">
        <v>22</v>
      </c>
      <c r="O4214" s="300" t="s">
        <v>22</v>
      </c>
      <c r="P4214" s="300" t="s">
        <v>22</v>
      </c>
    </row>
    <row r="4215">
      <c r="E4215" s="3"/>
      <c r="F4215" s="300" t="s">
        <v>22</v>
      </c>
      <c r="G4215" s="300" t="s">
        <v>22</v>
      </c>
      <c r="H4215" s="300" t="s">
        <v>22</v>
      </c>
      <c r="I4215" s="300" t="s">
        <v>22</v>
      </c>
      <c r="J4215" s="300" t="s">
        <v>22</v>
      </c>
      <c r="K4215" s="300" t="s">
        <v>22</v>
      </c>
      <c r="L4215" s="300" t="s">
        <v>22</v>
      </c>
      <c r="M4215" s="300" t="s">
        <v>22</v>
      </c>
      <c r="N4215" s="300" t="s">
        <v>22</v>
      </c>
      <c r="O4215" s="300" t="s">
        <v>22</v>
      </c>
      <c r="P4215" s="300" t="s">
        <v>22</v>
      </c>
    </row>
    <row r="4216">
      <c r="E4216" s="3"/>
      <c r="F4216" s="300" t="s">
        <v>22</v>
      </c>
      <c r="G4216" s="300" t="s">
        <v>22</v>
      </c>
      <c r="H4216" s="300" t="s">
        <v>22</v>
      </c>
      <c r="I4216" s="300" t="s">
        <v>22</v>
      </c>
      <c r="J4216" s="300" t="s">
        <v>22</v>
      </c>
      <c r="K4216" s="300" t="s">
        <v>22</v>
      </c>
      <c r="L4216" s="300" t="s">
        <v>22</v>
      </c>
      <c r="M4216" s="300" t="s">
        <v>22</v>
      </c>
      <c r="N4216" s="300" t="s">
        <v>22</v>
      </c>
      <c r="O4216" s="300" t="s">
        <v>22</v>
      </c>
      <c r="P4216" s="300" t="s">
        <v>22</v>
      </c>
    </row>
    <row r="4217">
      <c r="E4217" s="3"/>
      <c r="F4217" s="300" t="s">
        <v>22</v>
      </c>
      <c r="G4217" s="300" t="s">
        <v>22</v>
      </c>
      <c r="H4217" s="300" t="s">
        <v>22</v>
      </c>
      <c r="I4217" s="300" t="s">
        <v>22</v>
      </c>
      <c r="J4217" s="300" t="s">
        <v>22</v>
      </c>
      <c r="K4217" s="300" t="s">
        <v>22</v>
      </c>
      <c r="L4217" s="300" t="s">
        <v>22</v>
      </c>
      <c r="M4217" s="300" t="s">
        <v>22</v>
      </c>
      <c r="N4217" s="300" t="s">
        <v>22</v>
      </c>
      <c r="O4217" s="300" t="s">
        <v>22</v>
      </c>
      <c r="P4217" s="300" t="s">
        <v>22</v>
      </c>
    </row>
    <row r="4218">
      <c r="E4218" s="3"/>
      <c r="F4218" s="300" t="s">
        <v>22</v>
      </c>
      <c r="G4218" s="300" t="s">
        <v>22</v>
      </c>
      <c r="H4218" s="300" t="s">
        <v>22</v>
      </c>
      <c r="I4218" s="300" t="s">
        <v>22</v>
      </c>
      <c r="J4218" s="300" t="s">
        <v>22</v>
      </c>
      <c r="K4218" s="300" t="s">
        <v>22</v>
      </c>
      <c r="L4218" s="300" t="s">
        <v>22</v>
      </c>
      <c r="M4218" s="300" t="s">
        <v>22</v>
      </c>
      <c r="N4218" s="300" t="s">
        <v>22</v>
      </c>
      <c r="O4218" s="300" t="s">
        <v>22</v>
      </c>
      <c r="P4218" s="300" t="s">
        <v>22</v>
      </c>
    </row>
    <row r="4219">
      <c r="E4219" s="3"/>
      <c r="F4219" s="300" t="s">
        <v>22</v>
      </c>
      <c r="G4219" s="300" t="s">
        <v>22</v>
      </c>
      <c r="H4219" s="300" t="s">
        <v>22</v>
      </c>
      <c r="I4219" s="300" t="s">
        <v>22</v>
      </c>
      <c r="J4219" s="300" t="s">
        <v>22</v>
      </c>
      <c r="K4219" s="300" t="s">
        <v>22</v>
      </c>
      <c r="L4219" s="300" t="s">
        <v>22</v>
      </c>
      <c r="M4219" s="300" t="s">
        <v>22</v>
      </c>
      <c r="N4219" s="300" t="s">
        <v>22</v>
      </c>
      <c r="O4219" s="300" t="s">
        <v>22</v>
      </c>
      <c r="P4219" s="300" t="s">
        <v>22</v>
      </c>
    </row>
    <row r="4220">
      <c r="E4220" s="3"/>
      <c r="F4220" s="300" t="s">
        <v>22</v>
      </c>
      <c r="G4220" s="300" t="s">
        <v>22</v>
      </c>
      <c r="H4220" s="300" t="s">
        <v>22</v>
      </c>
      <c r="I4220" s="300" t="s">
        <v>22</v>
      </c>
      <c r="J4220" s="300" t="s">
        <v>22</v>
      </c>
      <c r="K4220" s="300" t="s">
        <v>22</v>
      </c>
      <c r="L4220" s="300" t="s">
        <v>22</v>
      </c>
      <c r="M4220" s="300" t="s">
        <v>22</v>
      </c>
      <c r="N4220" s="300" t="s">
        <v>22</v>
      </c>
      <c r="O4220" s="300" t="s">
        <v>22</v>
      </c>
      <c r="P4220" s="300" t="s">
        <v>22</v>
      </c>
    </row>
    <row r="4221">
      <c r="E4221" s="3"/>
      <c r="F4221" s="300" t="s">
        <v>22</v>
      </c>
      <c r="G4221" s="300" t="s">
        <v>22</v>
      </c>
      <c r="H4221" s="300" t="s">
        <v>22</v>
      </c>
      <c r="I4221" s="300" t="s">
        <v>22</v>
      </c>
      <c r="J4221" s="300" t="s">
        <v>22</v>
      </c>
      <c r="K4221" s="300" t="s">
        <v>22</v>
      </c>
      <c r="L4221" s="300" t="s">
        <v>22</v>
      </c>
      <c r="M4221" s="300" t="s">
        <v>22</v>
      </c>
      <c r="N4221" s="300" t="s">
        <v>22</v>
      </c>
      <c r="O4221" s="300" t="s">
        <v>22</v>
      </c>
      <c r="P4221" s="300" t="s">
        <v>22</v>
      </c>
    </row>
    <row r="4222">
      <c r="E4222" s="3"/>
      <c r="F4222" s="300" t="s">
        <v>22</v>
      </c>
      <c r="G4222" s="300" t="s">
        <v>22</v>
      </c>
      <c r="H4222" s="300" t="s">
        <v>22</v>
      </c>
      <c r="I4222" s="300" t="s">
        <v>22</v>
      </c>
      <c r="J4222" s="300" t="s">
        <v>22</v>
      </c>
      <c r="K4222" s="300" t="s">
        <v>22</v>
      </c>
      <c r="L4222" s="300" t="s">
        <v>22</v>
      </c>
      <c r="M4222" s="300" t="s">
        <v>22</v>
      </c>
      <c r="N4222" s="300" t="s">
        <v>22</v>
      </c>
      <c r="O4222" s="300" t="s">
        <v>22</v>
      </c>
      <c r="P4222" s="300" t="s">
        <v>22</v>
      </c>
    </row>
    <row r="4223">
      <c r="E4223" s="3"/>
      <c r="F4223" s="300" t="s">
        <v>22</v>
      </c>
      <c r="G4223" s="300" t="s">
        <v>22</v>
      </c>
      <c r="H4223" s="300" t="s">
        <v>22</v>
      </c>
      <c r="I4223" s="300" t="s">
        <v>22</v>
      </c>
      <c r="J4223" s="300" t="s">
        <v>22</v>
      </c>
      <c r="K4223" s="300" t="s">
        <v>22</v>
      </c>
      <c r="L4223" s="300" t="s">
        <v>22</v>
      </c>
      <c r="M4223" s="300" t="s">
        <v>22</v>
      </c>
      <c r="N4223" s="300" t="s">
        <v>22</v>
      </c>
      <c r="O4223" s="300" t="s">
        <v>22</v>
      </c>
      <c r="P4223" s="300" t="s">
        <v>22</v>
      </c>
    </row>
    <row r="4224">
      <c r="E4224" s="3"/>
      <c r="F4224" s="300" t="s">
        <v>22</v>
      </c>
      <c r="G4224" s="300" t="s">
        <v>22</v>
      </c>
      <c r="H4224" s="300" t="s">
        <v>22</v>
      </c>
      <c r="I4224" s="300" t="s">
        <v>22</v>
      </c>
      <c r="J4224" s="300" t="s">
        <v>22</v>
      </c>
      <c r="K4224" s="300" t="s">
        <v>22</v>
      </c>
      <c r="L4224" s="300" t="s">
        <v>22</v>
      </c>
      <c r="M4224" s="300" t="s">
        <v>22</v>
      </c>
      <c r="N4224" s="300" t="s">
        <v>22</v>
      </c>
      <c r="O4224" s="300" t="s">
        <v>22</v>
      </c>
      <c r="P4224" s="300" t="s">
        <v>22</v>
      </c>
    </row>
    <row r="4225">
      <c r="E4225" s="3"/>
      <c r="F4225" s="300" t="s">
        <v>22</v>
      </c>
      <c r="G4225" s="300" t="s">
        <v>22</v>
      </c>
      <c r="H4225" s="300" t="s">
        <v>22</v>
      </c>
      <c r="I4225" s="300" t="s">
        <v>22</v>
      </c>
      <c r="J4225" s="300" t="s">
        <v>22</v>
      </c>
      <c r="K4225" s="300" t="s">
        <v>22</v>
      </c>
      <c r="L4225" s="300" t="s">
        <v>22</v>
      </c>
      <c r="M4225" s="300" t="s">
        <v>22</v>
      </c>
      <c r="N4225" s="300" t="s">
        <v>22</v>
      </c>
      <c r="O4225" s="300" t="s">
        <v>22</v>
      </c>
      <c r="P4225" s="300" t="s">
        <v>22</v>
      </c>
    </row>
    <row r="4226">
      <c r="E4226" s="3"/>
      <c r="F4226" s="300" t="s">
        <v>22</v>
      </c>
      <c r="G4226" s="300" t="s">
        <v>22</v>
      </c>
      <c r="H4226" s="300" t="s">
        <v>22</v>
      </c>
      <c r="I4226" s="300" t="s">
        <v>22</v>
      </c>
      <c r="J4226" s="300" t="s">
        <v>22</v>
      </c>
      <c r="K4226" s="300" t="s">
        <v>22</v>
      </c>
      <c r="L4226" s="300" t="s">
        <v>22</v>
      </c>
      <c r="M4226" s="300" t="s">
        <v>22</v>
      </c>
      <c r="N4226" s="300" t="s">
        <v>22</v>
      </c>
      <c r="O4226" s="300" t="s">
        <v>22</v>
      </c>
      <c r="P4226" s="300" t="s">
        <v>22</v>
      </c>
    </row>
    <row r="4227">
      <c r="E4227" s="3"/>
      <c r="F4227" s="300" t="s">
        <v>22</v>
      </c>
      <c r="G4227" s="300" t="s">
        <v>22</v>
      </c>
      <c r="H4227" s="300" t="s">
        <v>22</v>
      </c>
      <c r="I4227" s="300" t="s">
        <v>22</v>
      </c>
      <c r="J4227" s="300" t="s">
        <v>22</v>
      </c>
      <c r="K4227" s="300" t="s">
        <v>22</v>
      </c>
      <c r="L4227" s="300" t="s">
        <v>22</v>
      </c>
      <c r="M4227" s="300" t="s">
        <v>22</v>
      </c>
      <c r="N4227" s="300" t="s">
        <v>22</v>
      </c>
      <c r="O4227" s="300" t="s">
        <v>22</v>
      </c>
      <c r="P4227" s="300" t="s">
        <v>22</v>
      </c>
    </row>
    <row r="4228">
      <c r="E4228" s="3"/>
      <c r="F4228" s="300" t="s">
        <v>22</v>
      </c>
      <c r="G4228" s="300" t="s">
        <v>22</v>
      </c>
      <c r="H4228" s="300" t="s">
        <v>22</v>
      </c>
      <c r="I4228" s="300" t="s">
        <v>22</v>
      </c>
      <c r="J4228" s="300" t="s">
        <v>22</v>
      </c>
      <c r="K4228" s="300" t="s">
        <v>22</v>
      </c>
      <c r="L4228" s="300" t="s">
        <v>22</v>
      </c>
      <c r="M4228" s="300" t="s">
        <v>22</v>
      </c>
      <c r="N4228" s="300" t="s">
        <v>22</v>
      </c>
      <c r="O4228" s="300" t="s">
        <v>22</v>
      </c>
      <c r="P4228" s="300" t="s">
        <v>22</v>
      </c>
    </row>
    <row r="4229">
      <c r="E4229" s="3"/>
      <c r="F4229" s="300" t="s">
        <v>22</v>
      </c>
      <c r="G4229" s="300" t="s">
        <v>22</v>
      </c>
      <c r="H4229" s="300" t="s">
        <v>22</v>
      </c>
      <c r="I4229" s="300" t="s">
        <v>22</v>
      </c>
      <c r="J4229" s="300" t="s">
        <v>22</v>
      </c>
      <c r="K4229" s="300" t="s">
        <v>22</v>
      </c>
      <c r="L4229" s="300" t="s">
        <v>22</v>
      </c>
      <c r="M4229" s="300" t="s">
        <v>22</v>
      </c>
      <c r="N4229" s="300" t="s">
        <v>22</v>
      </c>
      <c r="O4229" s="300" t="s">
        <v>22</v>
      </c>
      <c r="P4229" s="300" t="s">
        <v>22</v>
      </c>
    </row>
    <row r="4230">
      <c r="E4230" s="3"/>
      <c r="F4230" s="300" t="s">
        <v>22</v>
      </c>
      <c r="G4230" s="300" t="s">
        <v>22</v>
      </c>
      <c r="H4230" s="300" t="s">
        <v>22</v>
      </c>
      <c r="I4230" s="300" t="s">
        <v>22</v>
      </c>
      <c r="J4230" s="300" t="s">
        <v>22</v>
      </c>
      <c r="K4230" s="300" t="s">
        <v>22</v>
      </c>
      <c r="L4230" s="300" t="s">
        <v>22</v>
      </c>
      <c r="M4230" s="300" t="s">
        <v>22</v>
      </c>
      <c r="N4230" s="300" t="s">
        <v>22</v>
      </c>
      <c r="O4230" s="300" t="s">
        <v>22</v>
      </c>
      <c r="P4230" s="300" t="s">
        <v>22</v>
      </c>
    </row>
    <row r="4231">
      <c r="E4231" s="3"/>
      <c r="F4231" s="300" t="s">
        <v>22</v>
      </c>
      <c r="G4231" s="300" t="s">
        <v>22</v>
      </c>
      <c r="H4231" s="300" t="s">
        <v>22</v>
      </c>
      <c r="I4231" s="300" t="s">
        <v>22</v>
      </c>
      <c r="J4231" s="300" t="s">
        <v>22</v>
      </c>
      <c r="K4231" s="300" t="s">
        <v>22</v>
      </c>
      <c r="L4231" s="300" t="s">
        <v>22</v>
      </c>
      <c r="M4231" s="300" t="s">
        <v>22</v>
      </c>
      <c r="N4231" s="300" t="s">
        <v>22</v>
      </c>
      <c r="O4231" s="300" t="s">
        <v>22</v>
      </c>
      <c r="P4231" s="300" t="s">
        <v>22</v>
      </c>
    </row>
    <row r="4232">
      <c r="E4232" s="3"/>
      <c r="F4232" s="300" t="s">
        <v>22</v>
      </c>
      <c r="G4232" s="300" t="s">
        <v>22</v>
      </c>
      <c r="H4232" s="300" t="s">
        <v>22</v>
      </c>
      <c r="I4232" s="300" t="s">
        <v>22</v>
      </c>
      <c r="J4232" s="300" t="s">
        <v>22</v>
      </c>
      <c r="K4232" s="300" t="s">
        <v>22</v>
      </c>
      <c r="L4232" s="300" t="s">
        <v>22</v>
      </c>
      <c r="M4232" s="300" t="s">
        <v>22</v>
      </c>
      <c r="N4232" s="300" t="s">
        <v>22</v>
      </c>
      <c r="O4232" s="300" t="s">
        <v>22</v>
      </c>
      <c r="P4232" s="300" t="s">
        <v>22</v>
      </c>
    </row>
    <row r="4233">
      <c r="E4233" s="3"/>
      <c r="F4233" s="300" t="s">
        <v>22</v>
      </c>
      <c r="G4233" s="300" t="s">
        <v>22</v>
      </c>
      <c r="H4233" s="300" t="s">
        <v>22</v>
      </c>
      <c r="I4233" s="300" t="s">
        <v>22</v>
      </c>
      <c r="J4233" s="300" t="s">
        <v>22</v>
      </c>
      <c r="K4233" s="300" t="s">
        <v>22</v>
      </c>
      <c r="L4233" s="300" t="s">
        <v>22</v>
      </c>
      <c r="M4233" s="300" t="s">
        <v>22</v>
      </c>
      <c r="N4233" s="300" t="s">
        <v>22</v>
      </c>
      <c r="O4233" s="300" t="s">
        <v>22</v>
      </c>
      <c r="P4233" s="300" t="s">
        <v>22</v>
      </c>
    </row>
    <row r="4234">
      <c r="E4234" s="3"/>
      <c r="F4234" s="300" t="s">
        <v>22</v>
      </c>
      <c r="G4234" s="300" t="s">
        <v>22</v>
      </c>
      <c r="H4234" s="300" t="s">
        <v>22</v>
      </c>
      <c r="I4234" s="300" t="s">
        <v>22</v>
      </c>
      <c r="J4234" s="300" t="s">
        <v>22</v>
      </c>
      <c r="K4234" s="300" t="s">
        <v>22</v>
      </c>
      <c r="L4234" s="300" t="s">
        <v>22</v>
      </c>
      <c r="M4234" s="300" t="s">
        <v>22</v>
      </c>
      <c r="N4234" s="300" t="s">
        <v>22</v>
      </c>
      <c r="O4234" s="300" t="s">
        <v>22</v>
      </c>
      <c r="P4234" s="300" t="s">
        <v>22</v>
      </c>
    </row>
    <row r="4235">
      <c r="E4235" s="3"/>
      <c r="F4235" s="300" t="s">
        <v>22</v>
      </c>
      <c r="G4235" s="300" t="s">
        <v>22</v>
      </c>
      <c r="H4235" s="300" t="s">
        <v>22</v>
      </c>
      <c r="I4235" s="300" t="s">
        <v>22</v>
      </c>
      <c r="J4235" s="300" t="s">
        <v>22</v>
      </c>
      <c r="K4235" s="300" t="s">
        <v>22</v>
      </c>
      <c r="L4235" s="300" t="s">
        <v>22</v>
      </c>
      <c r="M4235" s="300" t="s">
        <v>22</v>
      </c>
      <c r="N4235" s="300" t="s">
        <v>22</v>
      </c>
      <c r="O4235" s="300" t="s">
        <v>22</v>
      </c>
      <c r="P4235" s="300" t="s">
        <v>22</v>
      </c>
    </row>
    <row r="4236">
      <c r="E4236" s="3"/>
      <c r="F4236" s="300" t="s">
        <v>22</v>
      </c>
      <c r="G4236" s="300" t="s">
        <v>22</v>
      </c>
      <c r="H4236" s="300" t="s">
        <v>22</v>
      </c>
      <c r="I4236" s="300" t="s">
        <v>22</v>
      </c>
      <c r="J4236" s="300" t="s">
        <v>22</v>
      </c>
      <c r="K4236" s="300" t="s">
        <v>22</v>
      </c>
      <c r="L4236" s="300" t="s">
        <v>22</v>
      </c>
      <c r="M4236" s="300" t="s">
        <v>22</v>
      </c>
      <c r="N4236" s="300" t="s">
        <v>22</v>
      </c>
      <c r="O4236" s="300" t="s">
        <v>22</v>
      </c>
      <c r="P4236" s="300" t="s">
        <v>22</v>
      </c>
    </row>
    <row r="4237">
      <c r="E4237" s="3"/>
      <c r="F4237" s="300" t="s">
        <v>22</v>
      </c>
      <c r="G4237" s="300" t="s">
        <v>22</v>
      </c>
      <c r="H4237" s="300" t="s">
        <v>22</v>
      </c>
      <c r="I4237" s="300" t="s">
        <v>22</v>
      </c>
      <c r="J4237" s="300" t="s">
        <v>22</v>
      </c>
      <c r="K4237" s="300" t="s">
        <v>22</v>
      </c>
      <c r="L4237" s="300" t="s">
        <v>22</v>
      </c>
      <c r="M4237" s="300" t="s">
        <v>22</v>
      </c>
      <c r="N4237" s="300" t="s">
        <v>22</v>
      </c>
      <c r="O4237" s="300" t="s">
        <v>22</v>
      </c>
      <c r="P4237" s="300" t="s">
        <v>22</v>
      </c>
    </row>
    <row r="4238">
      <c r="E4238" s="3"/>
      <c r="F4238" s="300" t="s">
        <v>22</v>
      </c>
      <c r="G4238" s="300" t="s">
        <v>22</v>
      </c>
      <c r="H4238" s="300" t="s">
        <v>22</v>
      </c>
      <c r="I4238" s="300" t="s">
        <v>22</v>
      </c>
      <c r="J4238" s="300" t="s">
        <v>22</v>
      </c>
      <c r="K4238" s="300" t="s">
        <v>22</v>
      </c>
      <c r="L4238" s="300" t="s">
        <v>22</v>
      </c>
      <c r="M4238" s="300" t="s">
        <v>22</v>
      </c>
      <c r="N4238" s="300" t="s">
        <v>22</v>
      </c>
      <c r="O4238" s="300" t="s">
        <v>22</v>
      </c>
      <c r="P4238" s="300" t="s">
        <v>22</v>
      </c>
    </row>
    <row r="4239">
      <c r="E4239" s="3"/>
      <c r="F4239" s="300" t="s">
        <v>22</v>
      </c>
      <c r="G4239" s="300" t="s">
        <v>22</v>
      </c>
      <c r="H4239" s="300" t="s">
        <v>22</v>
      </c>
      <c r="I4239" s="300" t="s">
        <v>22</v>
      </c>
      <c r="J4239" s="300" t="s">
        <v>22</v>
      </c>
      <c r="K4239" s="300" t="s">
        <v>22</v>
      </c>
      <c r="L4239" s="300" t="s">
        <v>22</v>
      </c>
      <c r="M4239" s="300" t="s">
        <v>22</v>
      </c>
      <c r="N4239" s="300" t="s">
        <v>22</v>
      </c>
      <c r="O4239" s="300" t="s">
        <v>22</v>
      </c>
      <c r="P4239" s="300" t="s">
        <v>22</v>
      </c>
    </row>
    <row r="4240">
      <c r="E4240" s="3"/>
      <c r="F4240" s="300" t="s">
        <v>22</v>
      </c>
      <c r="G4240" s="300" t="s">
        <v>22</v>
      </c>
      <c r="H4240" s="300" t="s">
        <v>22</v>
      </c>
      <c r="I4240" s="300" t="s">
        <v>22</v>
      </c>
      <c r="J4240" s="300" t="s">
        <v>22</v>
      </c>
      <c r="K4240" s="300" t="s">
        <v>22</v>
      </c>
      <c r="L4240" s="300" t="s">
        <v>22</v>
      </c>
      <c r="M4240" s="300" t="s">
        <v>22</v>
      </c>
      <c r="N4240" s="300" t="s">
        <v>22</v>
      </c>
      <c r="O4240" s="300" t="s">
        <v>22</v>
      </c>
      <c r="P4240" s="300" t="s">
        <v>22</v>
      </c>
    </row>
    <row r="4241">
      <c r="E4241" s="3"/>
      <c r="F4241" s="300" t="s">
        <v>22</v>
      </c>
      <c r="G4241" s="300" t="s">
        <v>22</v>
      </c>
      <c r="H4241" s="300" t="s">
        <v>22</v>
      </c>
      <c r="I4241" s="300" t="s">
        <v>22</v>
      </c>
      <c r="J4241" s="300" t="s">
        <v>22</v>
      </c>
      <c r="K4241" s="300" t="s">
        <v>22</v>
      </c>
      <c r="L4241" s="300" t="s">
        <v>22</v>
      </c>
      <c r="M4241" s="300" t="s">
        <v>22</v>
      </c>
      <c r="N4241" s="300" t="s">
        <v>22</v>
      </c>
      <c r="O4241" s="300" t="s">
        <v>22</v>
      </c>
      <c r="P4241" s="300" t="s">
        <v>22</v>
      </c>
    </row>
    <row r="4242">
      <c r="E4242" s="3"/>
      <c r="F4242" s="300" t="s">
        <v>22</v>
      </c>
      <c r="G4242" s="300" t="s">
        <v>22</v>
      </c>
      <c r="H4242" s="300" t="s">
        <v>22</v>
      </c>
      <c r="I4242" s="300" t="s">
        <v>22</v>
      </c>
      <c r="J4242" s="300" t="s">
        <v>22</v>
      </c>
      <c r="K4242" s="300" t="s">
        <v>22</v>
      </c>
      <c r="L4242" s="300" t="s">
        <v>22</v>
      </c>
      <c r="M4242" s="300" t="s">
        <v>22</v>
      </c>
      <c r="N4242" s="300" t="s">
        <v>22</v>
      </c>
      <c r="O4242" s="300" t="s">
        <v>22</v>
      </c>
      <c r="P4242" s="300" t="s">
        <v>22</v>
      </c>
    </row>
    <row r="4243">
      <c r="E4243" s="3"/>
      <c r="F4243" s="300" t="s">
        <v>22</v>
      </c>
      <c r="G4243" s="300" t="s">
        <v>22</v>
      </c>
      <c r="H4243" s="300" t="s">
        <v>22</v>
      </c>
      <c r="I4243" s="300" t="s">
        <v>22</v>
      </c>
      <c r="J4243" s="300" t="s">
        <v>22</v>
      </c>
      <c r="K4243" s="300" t="s">
        <v>22</v>
      </c>
      <c r="L4243" s="300" t="s">
        <v>22</v>
      </c>
      <c r="M4243" s="300" t="s">
        <v>22</v>
      </c>
      <c r="N4243" s="300" t="s">
        <v>22</v>
      </c>
      <c r="O4243" s="300" t="s">
        <v>22</v>
      </c>
      <c r="P4243" s="300" t="s">
        <v>22</v>
      </c>
    </row>
    <row r="4244">
      <c r="E4244" s="3"/>
      <c r="F4244" s="300" t="s">
        <v>22</v>
      </c>
      <c r="G4244" s="300" t="s">
        <v>22</v>
      </c>
      <c r="H4244" s="300" t="s">
        <v>22</v>
      </c>
      <c r="I4244" s="300" t="s">
        <v>22</v>
      </c>
      <c r="J4244" s="300" t="s">
        <v>22</v>
      </c>
      <c r="K4244" s="300" t="s">
        <v>22</v>
      </c>
      <c r="L4244" s="300" t="s">
        <v>22</v>
      </c>
      <c r="M4244" s="300" t="s">
        <v>22</v>
      </c>
      <c r="N4244" s="300" t="s">
        <v>22</v>
      </c>
      <c r="O4244" s="300" t="s">
        <v>22</v>
      </c>
      <c r="P4244" s="300" t="s">
        <v>22</v>
      </c>
    </row>
    <row r="4245">
      <c r="E4245" s="3"/>
      <c r="F4245" s="300" t="s">
        <v>22</v>
      </c>
      <c r="G4245" s="300" t="s">
        <v>22</v>
      </c>
      <c r="H4245" s="300" t="s">
        <v>22</v>
      </c>
      <c r="I4245" s="300" t="s">
        <v>22</v>
      </c>
      <c r="J4245" s="300" t="s">
        <v>22</v>
      </c>
      <c r="K4245" s="300" t="s">
        <v>22</v>
      </c>
      <c r="L4245" s="300" t="s">
        <v>22</v>
      </c>
      <c r="M4245" s="300" t="s">
        <v>22</v>
      </c>
      <c r="N4245" s="300" t="s">
        <v>22</v>
      </c>
      <c r="O4245" s="300" t="s">
        <v>22</v>
      </c>
      <c r="P4245" s="300" t="s">
        <v>22</v>
      </c>
    </row>
    <row r="4246">
      <c r="E4246" s="3"/>
      <c r="F4246" s="300" t="s">
        <v>22</v>
      </c>
      <c r="G4246" s="300" t="s">
        <v>22</v>
      </c>
      <c r="H4246" s="300" t="s">
        <v>22</v>
      </c>
      <c r="I4246" s="300" t="s">
        <v>22</v>
      </c>
      <c r="J4246" s="300" t="s">
        <v>22</v>
      </c>
      <c r="K4246" s="300" t="s">
        <v>22</v>
      </c>
      <c r="L4246" s="300" t="s">
        <v>22</v>
      </c>
      <c r="M4246" s="300" t="s">
        <v>22</v>
      </c>
      <c r="N4246" s="300" t="s">
        <v>22</v>
      </c>
      <c r="O4246" s="300" t="s">
        <v>22</v>
      </c>
      <c r="P4246" s="300" t="s">
        <v>22</v>
      </c>
    </row>
    <row r="4247">
      <c r="E4247" s="3"/>
      <c r="F4247" s="300" t="s">
        <v>22</v>
      </c>
      <c r="G4247" s="300" t="s">
        <v>22</v>
      </c>
      <c r="H4247" s="300" t="s">
        <v>22</v>
      </c>
      <c r="I4247" s="300" t="s">
        <v>22</v>
      </c>
      <c r="J4247" s="300" t="s">
        <v>22</v>
      </c>
      <c r="K4247" s="300" t="s">
        <v>22</v>
      </c>
      <c r="L4247" s="300" t="s">
        <v>22</v>
      </c>
      <c r="M4247" s="300" t="s">
        <v>22</v>
      </c>
      <c r="N4247" s="300" t="s">
        <v>22</v>
      </c>
      <c r="O4247" s="300" t="s">
        <v>22</v>
      </c>
      <c r="P4247" s="300" t="s">
        <v>22</v>
      </c>
    </row>
    <row r="4248">
      <c r="E4248" s="3"/>
      <c r="F4248" s="300" t="s">
        <v>22</v>
      </c>
      <c r="G4248" s="300" t="s">
        <v>22</v>
      </c>
      <c r="H4248" s="300" t="s">
        <v>22</v>
      </c>
      <c r="I4248" s="300" t="s">
        <v>22</v>
      </c>
      <c r="J4248" s="300" t="s">
        <v>22</v>
      </c>
      <c r="K4248" s="300" t="s">
        <v>22</v>
      </c>
      <c r="L4248" s="300" t="s">
        <v>22</v>
      </c>
      <c r="M4248" s="300" t="s">
        <v>22</v>
      </c>
      <c r="N4248" s="300" t="s">
        <v>22</v>
      </c>
      <c r="O4248" s="300" t="s">
        <v>22</v>
      </c>
      <c r="P4248" s="300" t="s">
        <v>22</v>
      </c>
    </row>
    <row r="4249">
      <c r="E4249" s="3"/>
      <c r="F4249" s="300" t="s">
        <v>22</v>
      </c>
      <c r="G4249" s="300" t="s">
        <v>22</v>
      </c>
      <c r="H4249" s="300" t="s">
        <v>22</v>
      </c>
      <c r="I4249" s="300" t="s">
        <v>22</v>
      </c>
      <c r="J4249" s="300" t="s">
        <v>22</v>
      </c>
      <c r="K4249" s="300" t="s">
        <v>22</v>
      </c>
      <c r="L4249" s="300" t="s">
        <v>22</v>
      </c>
      <c r="M4249" s="300" t="s">
        <v>22</v>
      </c>
      <c r="N4249" s="300" t="s">
        <v>22</v>
      </c>
      <c r="O4249" s="300" t="s">
        <v>22</v>
      </c>
      <c r="P4249" s="300" t="s">
        <v>22</v>
      </c>
    </row>
    <row r="4250">
      <c r="E4250" s="3"/>
      <c r="F4250" s="300" t="s">
        <v>22</v>
      </c>
      <c r="G4250" s="300" t="s">
        <v>22</v>
      </c>
      <c r="H4250" s="300" t="s">
        <v>22</v>
      </c>
      <c r="I4250" s="300" t="s">
        <v>22</v>
      </c>
      <c r="J4250" s="300" t="s">
        <v>22</v>
      </c>
      <c r="K4250" s="300" t="s">
        <v>22</v>
      </c>
      <c r="L4250" s="300" t="s">
        <v>22</v>
      </c>
      <c r="M4250" s="300" t="s">
        <v>22</v>
      </c>
      <c r="N4250" s="300" t="s">
        <v>22</v>
      </c>
      <c r="O4250" s="300" t="s">
        <v>22</v>
      </c>
      <c r="P4250" s="300" t="s">
        <v>22</v>
      </c>
    </row>
    <row r="4251">
      <c r="E4251" s="3"/>
      <c r="F4251" s="300" t="s">
        <v>22</v>
      </c>
      <c r="G4251" s="300" t="s">
        <v>22</v>
      </c>
      <c r="H4251" s="300" t="s">
        <v>22</v>
      </c>
      <c r="I4251" s="300" t="s">
        <v>22</v>
      </c>
      <c r="J4251" s="300" t="s">
        <v>22</v>
      </c>
      <c r="K4251" s="300" t="s">
        <v>22</v>
      </c>
      <c r="L4251" s="300" t="s">
        <v>22</v>
      </c>
      <c r="M4251" s="300" t="s">
        <v>22</v>
      </c>
      <c r="N4251" s="300" t="s">
        <v>22</v>
      </c>
      <c r="O4251" s="300" t="s">
        <v>22</v>
      </c>
      <c r="P4251" s="300" t="s">
        <v>22</v>
      </c>
    </row>
    <row r="4252">
      <c r="E4252" s="3"/>
      <c r="F4252" s="300" t="s">
        <v>22</v>
      </c>
      <c r="G4252" s="300" t="s">
        <v>22</v>
      </c>
      <c r="H4252" s="300" t="s">
        <v>22</v>
      </c>
      <c r="I4252" s="300" t="s">
        <v>22</v>
      </c>
      <c r="J4252" s="300" t="s">
        <v>22</v>
      </c>
      <c r="K4252" s="300" t="s">
        <v>22</v>
      </c>
      <c r="L4252" s="300" t="s">
        <v>22</v>
      </c>
      <c r="M4252" s="300" t="s">
        <v>22</v>
      </c>
      <c r="N4252" s="300" t="s">
        <v>22</v>
      </c>
      <c r="O4252" s="300" t="s">
        <v>22</v>
      </c>
      <c r="P4252" s="300" t="s">
        <v>22</v>
      </c>
    </row>
    <row r="4253">
      <c r="E4253" s="3"/>
      <c r="F4253" s="300" t="s">
        <v>22</v>
      </c>
      <c r="G4253" s="300" t="s">
        <v>22</v>
      </c>
      <c r="H4253" s="300" t="s">
        <v>22</v>
      </c>
      <c r="I4253" s="300" t="s">
        <v>22</v>
      </c>
      <c r="J4253" s="300" t="s">
        <v>22</v>
      </c>
      <c r="K4253" s="300" t="s">
        <v>22</v>
      </c>
      <c r="L4253" s="300" t="s">
        <v>22</v>
      </c>
      <c r="M4253" s="300" t="s">
        <v>22</v>
      </c>
      <c r="N4253" s="300" t="s">
        <v>22</v>
      </c>
      <c r="O4253" s="300" t="s">
        <v>22</v>
      </c>
      <c r="P4253" s="300" t="s">
        <v>22</v>
      </c>
    </row>
    <row r="4254">
      <c r="E4254" s="3"/>
      <c r="F4254" s="300" t="s">
        <v>22</v>
      </c>
      <c r="G4254" s="300" t="s">
        <v>22</v>
      </c>
      <c r="H4254" s="300" t="s">
        <v>22</v>
      </c>
      <c r="I4254" s="300" t="s">
        <v>22</v>
      </c>
      <c r="J4254" s="300" t="s">
        <v>22</v>
      </c>
      <c r="K4254" s="300" t="s">
        <v>22</v>
      </c>
      <c r="L4254" s="300" t="s">
        <v>22</v>
      </c>
      <c r="M4254" s="300" t="s">
        <v>22</v>
      </c>
      <c r="N4254" s="300" t="s">
        <v>22</v>
      </c>
      <c r="O4254" s="300" t="s">
        <v>22</v>
      </c>
      <c r="P4254" s="300" t="s">
        <v>22</v>
      </c>
    </row>
    <row r="4255">
      <c r="E4255" s="3"/>
      <c r="F4255" s="300" t="s">
        <v>22</v>
      </c>
      <c r="G4255" s="300" t="s">
        <v>22</v>
      </c>
      <c r="H4255" s="300" t="s">
        <v>22</v>
      </c>
      <c r="I4255" s="300" t="s">
        <v>22</v>
      </c>
      <c r="J4255" s="300" t="s">
        <v>22</v>
      </c>
      <c r="K4255" s="300" t="s">
        <v>22</v>
      </c>
      <c r="L4255" s="300" t="s">
        <v>22</v>
      </c>
      <c r="M4255" s="300" t="s">
        <v>22</v>
      </c>
      <c r="N4255" s="300" t="s">
        <v>22</v>
      </c>
      <c r="O4255" s="300" t="s">
        <v>22</v>
      </c>
      <c r="P4255" s="300" t="s">
        <v>22</v>
      </c>
    </row>
    <row r="4256">
      <c r="E4256" s="3"/>
      <c r="F4256" s="300" t="s">
        <v>22</v>
      </c>
      <c r="G4256" s="300" t="s">
        <v>22</v>
      </c>
      <c r="H4256" s="300" t="s">
        <v>22</v>
      </c>
      <c r="I4256" s="300" t="s">
        <v>22</v>
      </c>
      <c r="J4256" s="300" t="s">
        <v>22</v>
      </c>
      <c r="K4256" s="300" t="s">
        <v>22</v>
      </c>
      <c r="L4256" s="300" t="s">
        <v>22</v>
      </c>
      <c r="M4256" s="300" t="s">
        <v>22</v>
      </c>
      <c r="N4256" s="300" t="s">
        <v>22</v>
      </c>
      <c r="O4256" s="300" t="s">
        <v>22</v>
      </c>
      <c r="P4256" s="300" t="s">
        <v>22</v>
      </c>
    </row>
    <row r="4257">
      <c r="E4257" s="3"/>
      <c r="F4257" s="300" t="s">
        <v>22</v>
      </c>
      <c r="G4257" s="300" t="s">
        <v>22</v>
      </c>
      <c r="H4257" s="300" t="s">
        <v>22</v>
      </c>
      <c r="I4257" s="300" t="s">
        <v>22</v>
      </c>
      <c r="J4257" s="300" t="s">
        <v>22</v>
      </c>
      <c r="K4257" s="300" t="s">
        <v>22</v>
      </c>
      <c r="L4257" s="300" t="s">
        <v>22</v>
      </c>
      <c r="M4257" s="300" t="s">
        <v>22</v>
      </c>
      <c r="N4257" s="300" t="s">
        <v>22</v>
      </c>
      <c r="O4257" s="300" t="s">
        <v>22</v>
      </c>
      <c r="P4257" s="300" t="s">
        <v>22</v>
      </c>
    </row>
    <row r="4258">
      <c r="E4258" s="3"/>
      <c r="F4258" s="300" t="s">
        <v>22</v>
      </c>
      <c r="G4258" s="300" t="s">
        <v>22</v>
      </c>
      <c r="H4258" s="300" t="s">
        <v>22</v>
      </c>
      <c r="I4258" s="300" t="s">
        <v>22</v>
      </c>
      <c r="J4258" s="300" t="s">
        <v>22</v>
      </c>
      <c r="K4258" s="300" t="s">
        <v>22</v>
      </c>
      <c r="L4258" s="300" t="s">
        <v>22</v>
      </c>
      <c r="M4258" s="300" t="s">
        <v>22</v>
      </c>
      <c r="N4258" s="300" t="s">
        <v>22</v>
      </c>
      <c r="O4258" s="300" t="s">
        <v>22</v>
      </c>
      <c r="P4258" s="300" t="s">
        <v>22</v>
      </c>
    </row>
    <row r="4259">
      <c r="E4259" s="3"/>
      <c r="F4259" s="300" t="s">
        <v>22</v>
      </c>
      <c r="G4259" s="300" t="s">
        <v>22</v>
      </c>
      <c r="H4259" s="300" t="s">
        <v>22</v>
      </c>
      <c r="I4259" s="300" t="s">
        <v>22</v>
      </c>
      <c r="J4259" s="300" t="s">
        <v>22</v>
      </c>
      <c r="K4259" s="300" t="s">
        <v>22</v>
      </c>
      <c r="L4259" s="300" t="s">
        <v>22</v>
      </c>
      <c r="M4259" s="300" t="s">
        <v>22</v>
      </c>
      <c r="N4259" s="300" t="s">
        <v>22</v>
      </c>
      <c r="O4259" s="300" t="s">
        <v>22</v>
      </c>
      <c r="P4259" s="300" t="s">
        <v>22</v>
      </c>
    </row>
    <row r="4260">
      <c r="E4260" s="3"/>
      <c r="F4260" s="300" t="s">
        <v>22</v>
      </c>
      <c r="G4260" s="300" t="s">
        <v>22</v>
      </c>
      <c r="H4260" s="300" t="s">
        <v>22</v>
      </c>
      <c r="I4260" s="300" t="s">
        <v>22</v>
      </c>
      <c r="J4260" s="300" t="s">
        <v>22</v>
      </c>
      <c r="K4260" s="300" t="s">
        <v>22</v>
      </c>
      <c r="L4260" s="300" t="s">
        <v>22</v>
      </c>
      <c r="M4260" s="300" t="s">
        <v>22</v>
      </c>
      <c r="N4260" s="300" t="s">
        <v>22</v>
      </c>
      <c r="O4260" s="300" t="s">
        <v>22</v>
      </c>
      <c r="P4260" s="300" t="s">
        <v>22</v>
      </c>
    </row>
    <row r="4261">
      <c r="E4261" s="3"/>
      <c r="F4261" s="300" t="s">
        <v>22</v>
      </c>
      <c r="G4261" s="300" t="s">
        <v>22</v>
      </c>
      <c r="H4261" s="300" t="s">
        <v>22</v>
      </c>
      <c r="I4261" s="300" t="s">
        <v>22</v>
      </c>
      <c r="J4261" s="300" t="s">
        <v>22</v>
      </c>
      <c r="K4261" s="300" t="s">
        <v>22</v>
      </c>
      <c r="L4261" s="300" t="s">
        <v>22</v>
      </c>
      <c r="M4261" s="300" t="s">
        <v>22</v>
      </c>
      <c r="N4261" s="300" t="s">
        <v>22</v>
      </c>
      <c r="O4261" s="300" t="s">
        <v>22</v>
      </c>
      <c r="P4261" s="300" t="s">
        <v>22</v>
      </c>
    </row>
    <row r="4262">
      <c r="E4262" s="3"/>
      <c r="F4262" s="300" t="s">
        <v>22</v>
      </c>
      <c r="G4262" s="300" t="s">
        <v>22</v>
      </c>
      <c r="H4262" s="300" t="s">
        <v>22</v>
      </c>
      <c r="I4262" s="300" t="s">
        <v>22</v>
      </c>
      <c r="J4262" s="300" t="s">
        <v>22</v>
      </c>
      <c r="K4262" s="300" t="s">
        <v>22</v>
      </c>
      <c r="L4262" s="300" t="s">
        <v>22</v>
      </c>
      <c r="M4262" s="300" t="s">
        <v>22</v>
      </c>
      <c r="N4262" s="300" t="s">
        <v>22</v>
      </c>
      <c r="O4262" s="300" t="s">
        <v>22</v>
      </c>
      <c r="P4262" s="300" t="s">
        <v>22</v>
      </c>
    </row>
    <row r="4263">
      <c r="E4263" s="3"/>
      <c r="F4263" s="300" t="s">
        <v>22</v>
      </c>
      <c r="G4263" s="300" t="s">
        <v>22</v>
      </c>
      <c r="H4263" s="300" t="s">
        <v>22</v>
      </c>
      <c r="I4263" s="300" t="s">
        <v>22</v>
      </c>
      <c r="J4263" s="300" t="s">
        <v>22</v>
      </c>
      <c r="K4263" s="300" t="s">
        <v>22</v>
      </c>
      <c r="L4263" s="300" t="s">
        <v>22</v>
      </c>
      <c r="M4263" s="300" t="s">
        <v>22</v>
      </c>
      <c r="N4263" s="300" t="s">
        <v>22</v>
      </c>
      <c r="O4263" s="300" t="s">
        <v>22</v>
      </c>
      <c r="P4263" s="300" t="s">
        <v>22</v>
      </c>
    </row>
    <row r="4264">
      <c r="E4264" s="3"/>
      <c r="F4264" s="300" t="s">
        <v>22</v>
      </c>
      <c r="G4264" s="300" t="s">
        <v>22</v>
      </c>
      <c r="H4264" s="300" t="s">
        <v>22</v>
      </c>
      <c r="I4264" s="300" t="s">
        <v>22</v>
      </c>
      <c r="J4264" s="300" t="s">
        <v>22</v>
      </c>
      <c r="K4264" s="300" t="s">
        <v>22</v>
      </c>
      <c r="L4264" s="300" t="s">
        <v>22</v>
      </c>
      <c r="M4264" s="300" t="s">
        <v>22</v>
      </c>
      <c r="N4264" s="300" t="s">
        <v>22</v>
      </c>
      <c r="O4264" s="300" t="s">
        <v>22</v>
      </c>
      <c r="P4264" s="300" t="s">
        <v>22</v>
      </c>
    </row>
    <row r="4265">
      <c r="E4265" s="3"/>
      <c r="F4265" s="300" t="s">
        <v>22</v>
      </c>
      <c r="G4265" s="300" t="s">
        <v>22</v>
      </c>
      <c r="H4265" s="300" t="s">
        <v>22</v>
      </c>
      <c r="I4265" s="300" t="s">
        <v>22</v>
      </c>
      <c r="J4265" s="300" t="s">
        <v>22</v>
      </c>
      <c r="K4265" s="300" t="s">
        <v>22</v>
      </c>
      <c r="L4265" s="300" t="s">
        <v>22</v>
      </c>
      <c r="M4265" s="300" t="s">
        <v>22</v>
      </c>
      <c r="N4265" s="300" t="s">
        <v>22</v>
      </c>
      <c r="O4265" s="300" t="s">
        <v>22</v>
      </c>
      <c r="P4265" s="300" t="s">
        <v>22</v>
      </c>
    </row>
    <row r="4266">
      <c r="E4266" s="3"/>
      <c r="F4266" s="300" t="s">
        <v>22</v>
      </c>
      <c r="G4266" s="300" t="s">
        <v>22</v>
      </c>
      <c r="H4266" s="300" t="s">
        <v>22</v>
      </c>
      <c r="I4266" s="300" t="s">
        <v>22</v>
      </c>
      <c r="J4266" s="300" t="s">
        <v>22</v>
      </c>
      <c r="K4266" s="300" t="s">
        <v>22</v>
      </c>
      <c r="L4266" s="300" t="s">
        <v>22</v>
      </c>
      <c r="M4266" s="300" t="s">
        <v>22</v>
      </c>
      <c r="N4266" s="300" t="s">
        <v>22</v>
      </c>
      <c r="O4266" s="300" t="s">
        <v>22</v>
      </c>
      <c r="P4266" s="300" t="s">
        <v>22</v>
      </c>
    </row>
    <row r="4267">
      <c r="E4267" s="3"/>
      <c r="F4267" s="300" t="s">
        <v>22</v>
      </c>
      <c r="G4267" s="300" t="s">
        <v>22</v>
      </c>
      <c r="H4267" s="300" t="s">
        <v>22</v>
      </c>
      <c r="I4267" s="300" t="s">
        <v>22</v>
      </c>
      <c r="J4267" s="300" t="s">
        <v>22</v>
      </c>
      <c r="K4267" s="300" t="s">
        <v>22</v>
      </c>
      <c r="L4267" s="300" t="s">
        <v>22</v>
      </c>
      <c r="M4267" s="300" t="s">
        <v>22</v>
      </c>
      <c r="N4267" s="300" t="s">
        <v>22</v>
      </c>
      <c r="O4267" s="300" t="s">
        <v>22</v>
      </c>
      <c r="P4267" s="300" t="s">
        <v>22</v>
      </c>
    </row>
    <row r="4268">
      <c r="E4268" s="3"/>
      <c r="F4268" s="300" t="s">
        <v>22</v>
      </c>
      <c r="G4268" s="300" t="s">
        <v>22</v>
      </c>
      <c r="H4268" s="300" t="s">
        <v>22</v>
      </c>
      <c r="I4268" s="300" t="s">
        <v>22</v>
      </c>
      <c r="J4268" s="300" t="s">
        <v>22</v>
      </c>
      <c r="K4268" s="300" t="s">
        <v>22</v>
      </c>
      <c r="L4268" s="300" t="s">
        <v>22</v>
      </c>
      <c r="M4268" s="300" t="s">
        <v>22</v>
      </c>
      <c r="N4268" s="300" t="s">
        <v>22</v>
      </c>
      <c r="O4268" s="300" t="s">
        <v>22</v>
      </c>
      <c r="P4268" s="300" t="s">
        <v>22</v>
      </c>
    </row>
    <row r="4269">
      <c r="E4269" s="3"/>
      <c r="F4269" s="300" t="s">
        <v>22</v>
      </c>
      <c r="G4269" s="300" t="s">
        <v>22</v>
      </c>
      <c r="H4269" s="300" t="s">
        <v>22</v>
      </c>
      <c r="I4269" s="300" t="s">
        <v>22</v>
      </c>
      <c r="J4269" s="300" t="s">
        <v>22</v>
      </c>
      <c r="K4269" s="300" t="s">
        <v>22</v>
      </c>
      <c r="L4269" s="300" t="s">
        <v>22</v>
      </c>
      <c r="M4269" s="300" t="s">
        <v>22</v>
      </c>
      <c r="N4269" s="300" t="s">
        <v>22</v>
      </c>
      <c r="O4269" s="300" t="s">
        <v>22</v>
      </c>
      <c r="P4269" s="300" t="s">
        <v>22</v>
      </c>
    </row>
    <row r="4270">
      <c r="E4270" s="3"/>
      <c r="F4270" s="300" t="s">
        <v>22</v>
      </c>
      <c r="G4270" s="300" t="s">
        <v>22</v>
      </c>
      <c r="H4270" s="300" t="s">
        <v>22</v>
      </c>
      <c r="I4270" s="300" t="s">
        <v>22</v>
      </c>
      <c r="J4270" s="300" t="s">
        <v>22</v>
      </c>
      <c r="K4270" s="300" t="s">
        <v>22</v>
      </c>
      <c r="L4270" s="300" t="s">
        <v>22</v>
      </c>
      <c r="M4270" s="300" t="s">
        <v>22</v>
      </c>
      <c r="N4270" s="300" t="s">
        <v>22</v>
      </c>
      <c r="O4270" s="300" t="s">
        <v>22</v>
      </c>
      <c r="P4270" s="300" t="s">
        <v>22</v>
      </c>
    </row>
    <row r="4271">
      <c r="E4271" s="3"/>
      <c r="F4271" s="300" t="s">
        <v>22</v>
      </c>
      <c r="G4271" s="300" t="s">
        <v>22</v>
      </c>
      <c r="H4271" s="300" t="s">
        <v>22</v>
      </c>
      <c r="I4271" s="300" t="s">
        <v>22</v>
      </c>
      <c r="J4271" s="300" t="s">
        <v>22</v>
      </c>
      <c r="K4271" s="300" t="s">
        <v>22</v>
      </c>
      <c r="L4271" s="300" t="s">
        <v>22</v>
      </c>
      <c r="M4271" s="300" t="s">
        <v>22</v>
      </c>
      <c r="N4271" s="300" t="s">
        <v>22</v>
      </c>
      <c r="O4271" s="300" t="s">
        <v>22</v>
      </c>
      <c r="P4271" s="300" t="s">
        <v>22</v>
      </c>
    </row>
    <row r="4272">
      <c r="E4272" s="3"/>
      <c r="F4272" s="300" t="s">
        <v>22</v>
      </c>
      <c r="G4272" s="300" t="s">
        <v>22</v>
      </c>
      <c r="H4272" s="300" t="s">
        <v>22</v>
      </c>
      <c r="I4272" s="300" t="s">
        <v>22</v>
      </c>
      <c r="J4272" s="300" t="s">
        <v>22</v>
      </c>
      <c r="K4272" s="300" t="s">
        <v>22</v>
      </c>
      <c r="L4272" s="300" t="s">
        <v>22</v>
      </c>
      <c r="M4272" s="300" t="s">
        <v>22</v>
      </c>
      <c r="N4272" s="300" t="s">
        <v>22</v>
      </c>
      <c r="O4272" s="300" t="s">
        <v>22</v>
      </c>
      <c r="P4272" s="300" t="s">
        <v>22</v>
      </c>
    </row>
    <row r="4273">
      <c r="E4273" s="3"/>
      <c r="F4273" s="300" t="s">
        <v>22</v>
      </c>
      <c r="G4273" s="300" t="s">
        <v>22</v>
      </c>
      <c r="H4273" s="300" t="s">
        <v>22</v>
      </c>
      <c r="I4273" s="300" t="s">
        <v>22</v>
      </c>
      <c r="J4273" s="300" t="s">
        <v>22</v>
      </c>
      <c r="K4273" s="300" t="s">
        <v>22</v>
      </c>
      <c r="L4273" s="300" t="s">
        <v>22</v>
      </c>
      <c r="M4273" s="300" t="s">
        <v>22</v>
      </c>
      <c r="N4273" s="300" t="s">
        <v>22</v>
      </c>
      <c r="O4273" s="300" t="s">
        <v>22</v>
      </c>
      <c r="P4273" s="300" t="s">
        <v>22</v>
      </c>
    </row>
    <row r="4274">
      <c r="E4274" s="3"/>
      <c r="F4274" s="300" t="s">
        <v>22</v>
      </c>
      <c r="G4274" s="300" t="s">
        <v>22</v>
      </c>
      <c r="H4274" s="300" t="s">
        <v>22</v>
      </c>
      <c r="I4274" s="300" t="s">
        <v>22</v>
      </c>
      <c r="J4274" s="300" t="s">
        <v>22</v>
      </c>
      <c r="K4274" s="300" t="s">
        <v>22</v>
      </c>
      <c r="L4274" s="300" t="s">
        <v>22</v>
      </c>
      <c r="M4274" s="300" t="s">
        <v>22</v>
      </c>
      <c r="N4274" s="300" t="s">
        <v>22</v>
      </c>
      <c r="O4274" s="300" t="s">
        <v>22</v>
      </c>
      <c r="P4274" s="300" t="s">
        <v>22</v>
      </c>
    </row>
    <row r="4275">
      <c r="E4275" s="3"/>
      <c r="F4275" s="300" t="s">
        <v>22</v>
      </c>
      <c r="G4275" s="300" t="s">
        <v>22</v>
      </c>
      <c r="H4275" s="300" t="s">
        <v>22</v>
      </c>
      <c r="I4275" s="300" t="s">
        <v>22</v>
      </c>
      <c r="J4275" s="300" t="s">
        <v>22</v>
      </c>
      <c r="K4275" s="300" t="s">
        <v>22</v>
      </c>
      <c r="L4275" s="300" t="s">
        <v>22</v>
      </c>
      <c r="M4275" s="300" t="s">
        <v>22</v>
      </c>
      <c r="N4275" s="300" t="s">
        <v>22</v>
      </c>
      <c r="O4275" s="300" t="s">
        <v>22</v>
      </c>
      <c r="P4275" s="300" t="s">
        <v>22</v>
      </c>
    </row>
    <row r="4276">
      <c r="E4276" s="3"/>
      <c r="F4276" s="300" t="s">
        <v>22</v>
      </c>
      <c r="G4276" s="300" t="s">
        <v>22</v>
      </c>
      <c r="H4276" s="300" t="s">
        <v>22</v>
      </c>
      <c r="I4276" s="300" t="s">
        <v>22</v>
      </c>
      <c r="J4276" s="300" t="s">
        <v>22</v>
      </c>
      <c r="K4276" s="300" t="s">
        <v>22</v>
      </c>
      <c r="L4276" s="300" t="s">
        <v>22</v>
      </c>
      <c r="M4276" s="300" t="s">
        <v>22</v>
      </c>
      <c r="N4276" s="300" t="s">
        <v>22</v>
      </c>
      <c r="O4276" s="300" t="s">
        <v>22</v>
      </c>
      <c r="P4276" s="300" t="s">
        <v>22</v>
      </c>
    </row>
    <row r="4277">
      <c r="E4277" s="3"/>
      <c r="F4277" s="300" t="s">
        <v>22</v>
      </c>
      <c r="G4277" s="300" t="s">
        <v>22</v>
      </c>
      <c r="H4277" s="300" t="s">
        <v>22</v>
      </c>
      <c r="I4277" s="300" t="s">
        <v>22</v>
      </c>
      <c r="J4277" s="300" t="s">
        <v>22</v>
      </c>
      <c r="K4277" s="300" t="s">
        <v>22</v>
      </c>
      <c r="L4277" s="300" t="s">
        <v>22</v>
      </c>
      <c r="M4277" s="300" t="s">
        <v>22</v>
      </c>
      <c r="N4277" s="300" t="s">
        <v>22</v>
      </c>
      <c r="O4277" s="300" t="s">
        <v>22</v>
      </c>
      <c r="P4277" s="300" t="s">
        <v>22</v>
      </c>
    </row>
    <row r="4278">
      <c r="E4278" s="3"/>
      <c r="F4278" s="300" t="s">
        <v>22</v>
      </c>
      <c r="G4278" s="300" t="s">
        <v>22</v>
      </c>
      <c r="H4278" s="300" t="s">
        <v>22</v>
      </c>
      <c r="I4278" s="300" t="s">
        <v>22</v>
      </c>
      <c r="J4278" s="300" t="s">
        <v>22</v>
      </c>
      <c r="K4278" s="300" t="s">
        <v>22</v>
      </c>
      <c r="L4278" s="300" t="s">
        <v>22</v>
      </c>
      <c r="M4278" s="300" t="s">
        <v>22</v>
      </c>
      <c r="N4278" s="300" t="s">
        <v>22</v>
      </c>
      <c r="O4278" s="300" t="s">
        <v>22</v>
      </c>
      <c r="P4278" s="300" t="s">
        <v>22</v>
      </c>
    </row>
    <row r="4279">
      <c r="E4279" s="3"/>
      <c r="F4279" s="300" t="s">
        <v>22</v>
      </c>
      <c r="G4279" s="300" t="s">
        <v>22</v>
      </c>
      <c r="H4279" s="300" t="s">
        <v>22</v>
      </c>
      <c r="I4279" s="300" t="s">
        <v>22</v>
      </c>
      <c r="J4279" s="300" t="s">
        <v>22</v>
      </c>
      <c r="K4279" s="300" t="s">
        <v>22</v>
      </c>
      <c r="L4279" s="300" t="s">
        <v>22</v>
      </c>
      <c r="M4279" s="300" t="s">
        <v>22</v>
      </c>
      <c r="N4279" s="300" t="s">
        <v>22</v>
      </c>
      <c r="O4279" s="300" t="s">
        <v>22</v>
      </c>
      <c r="P4279" s="300" t="s">
        <v>22</v>
      </c>
    </row>
    <row r="4280">
      <c r="E4280" s="3"/>
      <c r="F4280" s="300" t="s">
        <v>22</v>
      </c>
      <c r="G4280" s="300" t="s">
        <v>22</v>
      </c>
      <c r="H4280" s="300" t="s">
        <v>22</v>
      </c>
      <c r="I4280" s="300" t="s">
        <v>22</v>
      </c>
      <c r="J4280" s="300" t="s">
        <v>22</v>
      </c>
      <c r="K4280" s="300" t="s">
        <v>22</v>
      </c>
      <c r="L4280" s="300" t="s">
        <v>22</v>
      </c>
      <c r="M4280" s="300" t="s">
        <v>22</v>
      </c>
      <c r="N4280" s="300" t="s">
        <v>22</v>
      </c>
      <c r="O4280" s="300" t="s">
        <v>22</v>
      </c>
      <c r="P4280" s="300" t="s">
        <v>22</v>
      </c>
    </row>
    <row r="4281">
      <c r="E4281" s="3"/>
      <c r="F4281" s="300" t="s">
        <v>22</v>
      </c>
      <c r="G4281" s="300" t="s">
        <v>22</v>
      </c>
      <c r="H4281" s="300" t="s">
        <v>22</v>
      </c>
      <c r="I4281" s="300" t="s">
        <v>22</v>
      </c>
      <c r="J4281" s="300" t="s">
        <v>22</v>
      </c>
      <c r="K4281" s="300" t="s">
        <v>22</v>
      </c>
      <c r="L4281" s="300" t="s">
        <v>22</v>
      </c>
      <c r="M4281" s="300" t="s">
        <v>22</v>
      </c>
      <c r="N4281" s="300" t="s">
        <v>22</v>
      </c>
      <c r="O4281" s="300" t="s">
        <v>22</v>
      </c>
      <c r="P4281" s="300" t="s">
        <v>22</v>
      </c>
    </row>
    <row r="4282">
      <c r="E4282" s="3"/>
      <c r="F4282" s="300" t="s">
        <v>22</v>
      </c>
      <c r="G4282" s="300" t="s">
        <v>22</v>
      </c>
      <c r="H4282" s="300" t="s">
        <v>22</v>
      </c>
      <c r="I4282" s="300" t="s">
        <v>22</v>
      </c>
      <c r="J4282" s="300" t="s">
        <v>22</v>
      </c>
      <c r="K4282" s="300" t="s">
        <v>22</v>
      </c>
      <c r="L4282" s="300" t="s">
        <v>22</v>
      </c>
      <c r="M4282" s="300" t="s">
        <v>22</v>
      </c>
      <c r="N4282" s="300" t="s">
        <v>22</v>
      </c>
      <c r="O4282" s="300" t="s">
        <v>22</v>
      </c>
      <c r="P4282" s="300" t="s">
        <v>22</v>
      </c>
    </row>
    <row r="4283">
      <c r="E4283" s="3"/>
      <c r="F4283" s="300" t="s">
        <v>22</v>
      </c>
      <c r="G4283" s="300" t="s">
        <v>22</v>
      </c>
      <c r="H4283" s="300" t="s">
        <v>22</v>
      </c>
      <c r="I4283" s="300" t="s">
        <v>22</v>
      </c>
      <c r="J4283" s="300" t="s">
        <v>22</v>
      </c>
      <c r="K4283" s="300" t="s">
        <v>22</v>
      </c>
      <c r="L4283" s="300" t="s">
        <v>22</v>
      </c>
      <c r="M4283" s="300" t="s">
        <v>22</v>
      </c>
      <c r="N4283" s="300" t="s">
        <v>22</v>
      </c>
      <c r="O4283" s="300" t="s">
        <v>22</v>
      </c>
      <c r="P4283" s="300" t="s">
        <v>22</v>
      </c>
    </row>
    <row r="4284">
      <c r="E4284" s="3"/>
      <c r="F4284" s="300" t="s">
        <v>22</v>
      </c>
      <c r="G4284" s="300" t="s">
        <v>22</v>
      </c>
      <c r="H4284" s="300" t="s">
        <v>22</v>
      </c>
      <c r="I4284" s="300" t="s">
        <v>22</v>
      </c>
      <c r="J4284" s="300" t="s">
        <v>22</v>
      </c>
      <c r="K4284" s="300" t="s">
        <v>22</v>
      </c>
      <c r="L4284" s="300" t="s">
        <v>22</v>
      </c>
      <c r="M4284" s="300" t="s">
        <v>22</v>
      </c>
      <c r="N4284" s="300" t="s">
        <v>22</v>
      </c>
      <c r="O4284" s="300" t="s">
        <v>22</v>
      </c>
      <c r="P4284" s="300" t="s">
        <v>22</v>
      </c>
    </row>
    <row r="4285">
      <c r="E4285" s="3"/>
      <c r="F4285" s="300" t="s">
        <v>22</v>
      </c>
      <c r="G4285" s="300" t="s">
        <v>22</v>
      </c>
      <c r="H4285" s="300" t="s">
        <v>22</v>
      </c>
      <c r="I4285" s="300" t="s">
        <v>22</v>
      </c>
      <c r="J4285" s="300" t="s">
        <v>22</v>
      </c>
      <c r="K4285" s="300" t="s">
        <v>22</v>
      </c>
      <c r="L4285" s="300" t="s">
        <v>22</v>
      </c>
      <c r="M4285" s="300" t="s">
        <v>22</v>
      </c>
      <c r="N4285" s="300" t="s">
        <v>22</v>
      </c>
      <c r="O4285" s="300" t="s">
        <v>22</v>
      </c>
      <c r="P4285" s="300" t="s">
        <v>22</v>
      </c>
    </row>
    <row r="4286">
      <c r="E4286" s="3"/>
      <c r="F4286" s="300" t="s">
        <v>22</v>
      </c>
      <c r="G4286" s="300" t="s">
        <v>22</v>
      </c>
      <c r="H4286" s="300" t="s">
        <v>22</v>
      </c>
      <c r="I4286" s="300" t="s">
        <v>22</v>
      </c>
      <c r="J4286" s="300" t="s">
        <v>22</v>
      </c>
      <c r="K4286" s="300" t="s">
        <v>22</v>
      </c>
      <c r="L4286" s="300" t="s">
        <v>22</v>
      </c>
      <c r="M4286" s="300" t="s">
        <v>22</v>
      </c>
      <c r="N4286" s="300" t="s">
        <v>22</v>
      </c>
      <c r="O4286" s="300" t="s">
        <v>22</v>
      </c>
      <c r="P4286" s="300" t="s">
        <v>22</v>
      </c>
    </row>
    <row r="4287">
      <c r="E4287" s="3"/>
      <c r="F4287" s="300" t="s">
        <v>22</v>
      </c>
      <c r="G4287" s="300" t="s">
        <v>22</v>
      </c>
      <c r="H4287" s="300" t="s">
        <v>22</v>
      </c>
      <c r="I4287" s="300" t="s">
        <v>22</v>
      </c>
      <c r="J4287" s="300" t="s">
        <v>22</v>
      </c>
      <c r="K4287" s="300" t="s">
        <v>22</v>
      </c>
      <c r="L4287" s="300" t="s">
        <v>22</v>
      </c>
      <c r="M4287" s="300" t="s">
        <v>22</v>
      </c>
      <c r="N4287" s="300" t="s">
        <v>22</v>
      </c>
      <c r="O4287" s="300" t="s">
        <v>22</v>
      </c>
      <c r="P4287" s="300" t="s">
        <v>22</v>
      </c>
    </row>
    <row r="4288">
      <c r="E4288" s="3"/>
      <c r="F4288" s="300" t="s">
        <v>22</v>
      </c>
      <c r="G4288" s="300" t="s">
        <v>22</v>
      </c>
      <c r="H4288" s="300" t="s">
        <v>22</v>
      </c>
      <c r="I4288" s="300" t="s">
        <v>22</v>
      </c>
      <c r="J4288" s="300" t="s">
        <v>22</v>
      </c>
      <c r="K4288" s="300" t="s">
        <v>22</v>
      </c>
      <c r="L4288" s="300" t="s">
        <v>22</v>
      </c>
      <c r="M4288" s="300" t="s">
        <v>22</v>
      </c>
      <c r="N4288" s="300" t="s">
        <v>22</v>
      </c>
      <c r="O4288" s="300" t="s">
        <v>22</v>
      </c>
      <c r="P4288" s="300" t="s">
        <v>22</v>
      </c>
    </row>
    <row r="4289">
      <c r="E4289" s="3"/>
      <c r="F4289" s="300" t="s">
        <v>22</v>
      </c>
      <c r="G4289" s="300" t="s">
        <v>22</v>
      </c>
      <c r="H4289" s="300" t="s">
        <v>22</v>
      </c>
      <c r="I4289" s="300" t="s">
        <v>22</v>
      </c>
      <c r="J4289" s="300" t="s">
        <v>22</v>
      </c>
      <c r="K4289" s="300" t="s">
        <v>22</v>
      </c>
      <c r="L4289" s="300" t="s">
        <v>22</v>
      </c>
      <c r="M4289" s="300" t="s">
        <v>22</v>
      </c>
      <c r="N4289" s="300" t="s">
        <v>22</v>
      </c>
      <c r="O4289" s="300" t="s">
        <v>22</v>
      </c>
      <c r="P4289" s="300" t="s">
        <v>22</v>
      </c>
    </row>
    <row r="4290">
      <c r="E4290" s="3"/>
      <c r="F4290" s="300" t="s">
        <v>22</v>
      </c>
      <c r="G4290" s="300" t="s">
        <v>22</v>
      </c>
      <c r="H4290" s="300" t="s">
        <v>22</v>
      </c>
      <c r="I4290" s="300" t="s">
        <v>22</v>
      </c>
      <c r="J4290" s="300" t="s">
        <v>22</v>
      </c>
      <c r="K4290" s="300" t="s">
        <v>22</v>
      </c>
      <c r="L4290" s="300" t="s">
        <v>22</v>
      </c>
      <c r="M4290" s="300" t="s">
        <v>22</v>
      </c>
      <c r="N4290" s="300" t="s">
        <v>22</v>
      </c>
      <c r="O4290" s="300" t="s">
        <v>22</v>
      </c>
      <c r="P4290" s="300" t="s">
        <v>22</v>
      </c>
    </row>
    <row r="4291">
      <c r="E4291" s="3"/>
      <c r="F4291" s="300" t="s">
        <v>22</v>
      </c>
      <c r="G4291" s="300" t="s">
        <v>22</v>
      </c>
      <c r="H4291" s="300" t="s">
        <v>22</v>
      </c>
      <c r="I4291" s="300" t="s">
        <v>22</v>
      </c>
      <c r="J4291" s="300" t="s">
        <v>22</v>
      </c>
      <c r="K4291" s="300" t="s">
        <v>22</v>
      </c>
      <c r="L4291" s="300" t="s">
        <v>22</v>
      </c>
      <c r="M4291" s="300" t="s">
        <v>22</v>
      </c>
      <c r="N4291" s="300" t="s">
        <v>22</v>
      </c>
      <c r="O4291" s="300" t="s">
        <v>22</v>
      </c>
      <c r="P4291" s="300" t="s">
        <v>22</v>
      </c>
    </row>
    <row r="4292">
      <c r="E4292" s="3"/>
      <c r="F4292" s="300" t="s">
        <v>22</v>
      </c>
      <c r="G4292" s="300" t="s">
        <v>22</v>
      </c>
      <c r="H4292" s="300" t="s">
        <v>22</v>
      </c>
      <c r="I4292" s="300" t="s">
        <v>22</v>
      </c>
      <c r="J4292" s="300" t="s">
        <v>22</v>
      </c>
      <c r="K4292" s="300" t="s">
        <v>22</v>
      </c>
      <c r="L4292" s="300" t="s">
        <v>22</v>
      </c>
      <c r="M4292" s="300" t="s">
        <v>22</v>
      </c>
      <c r="N4292" s="300" t="s">
        <v>22</v>
      </c>
      <c r="O4292" s="300" t="s">
        <v>22</v>
      </c>
      <c r="P4292" s="300" t="s">
        <v>22</v>
      </c>
    </row>
    <row r="4293">
      <c r="E4293" s="3"/>
      <c r="F4293" s="300" t="s">
        <v>22</v>
      </c>
      <c r="G4293" s="300" t="s">
        <v>22</v>
      </c>
      <c r="H4293" s="300" t="s">
        <v>22</v>
      </c>
      <c r="I4293" s="300" t="s">
        <v>22</v>
      </c>
      <c r="J4293" s="300" t="s">
        <v>22</v>
      </c>
      <c r="K4293" s="300" t="s">
        <v>22</v>
      </c>
      <c r="L4293" s="300" t="s">
        <v>22</v>
      </c>
      <c r="M4293" s="300" t="s">
        <v>22</v>
      </c>
      <c r="N4293" s="300" t="s">
        <v>22</v>
      </c>
      <c r="O4293" s="300" t="s">
        <v>22</v>
      </c>
      <c r="P4293" s="300" t="s">
        <v>22</v>
      </c>
    </row>
    <row r="4294">
      <c r="E4294" s="3"/>
      <c r="F4294" s="300" t="s">
        <v>22</v>
      </c>
      <c r="G4294" s="300" t="s">
        <v>22</v>
      </c>
      <c r="H4294" s="300" t="s">
        <v>22</v>
      </c>
      <c r="I4294" s="300" t="s">
        <v>22</v>
      </c>
      <c r="J4294" s="300" t="s">
        <v>22</v>
      </c>
      <c r="K4294" s="300" t="s">
        <v>22</v>
      </c>
      <c r="L4294" s="300" t="s">
        <v>22</v>
      </c>
      <c r="M4294" s="300" t="s">
        <v>22</v>
      </c>
      <c r="N4294" s="300" t="s">
        <v>22</v>
      </c>
      <c r="O4294" s="300" t="s">
        <v>22</v>
      </c>
      <c r="P4294" s="300" t="s">
        <v>22</v>
      </c>
    </row>
    <row r="4295">
      <c r="E4295" s="3"/>
      <c r="F4295" s="300" t="s">
        <v>22</v>
      </c>
      <c r="G4295" s="300" t="s">
        <v>22</v>
      </c>
      <c r="H4295" s="300" t="s">
        <v>22</v>
      </c>
      <c r="I4295" s="300" t="s">
        <v>22</v>
      </c>
      <c r="J4295" s="300" t="s">
        <v>22</v>
      </c>
      <c r="K4295" s="300" t="s">
        <v>22</v>
      </c>
      <c r="L4295" s="300" t="s">
        <v>22</v>
      </c>
      <c r="M4295" s="300" t="s">
        <v>22</v>
      </c>
      <c r="N4295" s="300" t="s">
        <v>22</v>
      </c>
      <c r="O4295" s="300" t="s">
        <v>22</v>
      </c>
      <c r="P4295" s="300" t="s">
        <v>22</v>
      </c>
    </row>
    <row r="4296">
      <c r="E4296" s="3"/>
      <c r="F4296" s="300" t="s">
        <v>22</v>
      </c>
      <c r="G4296" s="300" t="s">
        <v>22</v>
      </c>
      <c r="H4296" s="300" t="s">
        <v>22</v>
      </c>
      <c r="I4296" s="300" t="s">
        <v>22</v>
      </c>
      <c r="J4296" s="300" t="s">
        <v>22</v>
      </c>
      <c r="K4296" s="300" t="s">
        <v>22</v>
      </c>
      <c r="L4296" s="300" t="s">
        <v>22</v>
      </c>
      <c r="M4296" s="300" t="s">
        <v>22</v>
      </c>
      <c r="N4296" s="300" t="s">
        <v>22</v>
      </c>
      <c r="O4296" s="300" t="s">
        <v>22</v>
      </c>
      <c r="P4296" s="300" t="s">
        <v>22</v>
      </c>
    </row>
    <row r="4297">
      <c r="E4297" s="3"/>
      <c r="F4297" s="300" t="s">
        <v>22</v>
      </c>
      <c r="G4297" s="300" t="s">
        <v>22</v>
      </c>
      <c r="H4297" s="300" t="s">
        <v>22</v>
      </c>
      <c r="I4297" s="300" t="s">
        <v>22</v>
      </c>
      <c r="J4297" s="300" t="s">
        <v>22</v>
      </c>
      <c r="K4297" s="300" t="s">
        <v>22</v>
      </c>
      <c r="L4297" s="300" t="s">
        <v>22</v>
      </c>
      <c r="M4297" s="300" t="s">
        <v>22</v>
      </c>
      <c r="N4297" s="300" t="s">
        <v>22</v>
      </c>
      <c r="O4297" s="300" t="s">
        <v>22</v>
      </c>
      <c r="P4297" s="300" t="s">
        <v>22</v>
      </c>
    </row>
    <row r="4298">
      <c r="E4298" s="3"/>
      <c r="F4298" s="300" t="s">
        <v>22</v>
      </c>
      <c r="G4298" s="300" t="s">
        <v>22</v>
      </c>
      <c r="H4298" s="300" t="s">
        <v>22</v>
      </c>
      <c r="I4298" s="300" t="s">
        <v>22</v>
      </c>
      <c r="J4298" s="300" t="s">
        <v>22</v>
      </c>
      <c r="K4298" s="300" t="s">
        <v>22</v>
      </c>
      <c r="L4298" s="300" t="s">
        <v>22</v>
      </c>
      <c r="M4298" s="300" t="s">
        <v>22</v>
      </c>
      <c r="N4298" s="300" t="s">
        <v>22</v>
      </c>
      <c r="O4298" s="300" t="s">
        <v>22</v>
      </c>
      <c r="P4298" s="300" t="s">
        <v>22</v>
      </c>
    </row>
    <row r="4299">
      <c r="E4299" s="3"/>
      <c r="F4299" s="300" t="s">
        <v>22</v>
      </c>
      <c r="G4299" s="300" t="s">
        <v>22</v>
      </c>
      <c r="H4299" s="300" t="s">
        <v>22</v>
      </c>
      <c r="I4299" s="300" t="s">
        <v>22</v>
      </c>
      <c r="J4299" s="300" t="s">
        <v>22</v>
      </c>
      <c r="K4299" s="300" t="s">
        <v>22</v>
      </c>
      <c r="L4299" s="300" t="s">
        <v>22</v>
      </c>
      <c r="M4299" s="300" t="s">
        <v>22</v>
      </c>
      <c r="N4299" s="300" t="s">
        <v>22</v>
      </c>
      <c r="O4299" s="300" t="s">
        <v>22</v>
      </c>
      <c r="P4299" s="300" t="s">
        <v>22</v>
      </c>
    </row>
    <row r="4300">
      <c r="E4300" s="3"/>
      <c r="F4300" s="300" t="s">
        <v>22</v>
      </c>
      <c r="G4300" s="300" t="s">
        <v>22</v>
      </c>
      <c r="H4300" s="300" t="s">
        <v>22</v>
      </c>
      <c r="I4300" s="300" t="s">
        <v>22</v>
      </c>
      <c r="J4300" s="300" t="s">
        <v>22</v>
      </c>
      <c r="K4300" s="300" t="s">
        <v>22</v>
      </c>
      <c r="L4300" s="300" t="s">
        <v>22</v>
      </c>
      <c r="M4300" s="300" t="s">
        <v>22</v>
      </c>
      <c r="N4300" s="300" t="s">
        <v>22</v>
      </c>
      <c r="O4300" s="300" t="s">
        <v>22</v>
      </c>
      <c r="P4300" s="300" t="s">
        <v>22</v>
      </c>
    </row>
    <row r="4301">
      <c r="E4301" s="3"/>
      <c r="F4301" s="300" t="s">
        <v>22</v>
      </c>
      <c r="G4301" s="300" t="s">
        <v>22</v>
      </c>
      <c r="H4301" s="300" t="s">
        <v>22</v>
      </c>
      <c r="I4301" s="300" t="s">
        <v>22</v>
      </c>
      <c r="J4301" s="300" t="s">
        <v>22</v>
      </c>
      <c r="K4301" s="300" t="s">
        <v>22</v>
      </c>
      <c r="L4301" s="300" t="s">
        <v>22</v>
      </c>
      <c r="M4301" s="300" t="s">
        <v>22</v>
      </c>
      <c r="N4301" s="300" t="s">
        <v>22</v>
      </c>
      <c r="O4301" s="300" t="s">
        <v>22</v>
      </c>
      <c r="P4301" s="300" t="s">
        <v>22</v>
      </c>
    </row>
    <row r="4302">
      <c r="E4302" s="3"/>
      <c r="F4302" s="300" t="s">
        <v>22</v>
      </c>
      <c r="G4302" s="300" t="s">
        <v>22</v>
      </c>
      <c r="H4302" s="300" t="s">
        <v>22</v>
      </c>
      <c r="I4302" s="300" t="s">
        <v>22</v>
      </c>
      <c r="J4302" s="300" t="s">
        <v>22</v>
      </c>
      <c r="K4302" s="300" t="s">
        <v>22</v>
      </c>
      <c r="L4302" s="300" t="s">
        <v>22</v>
      </c>
      <c r="M4302" s="300" t="s">
        <v>22</v>
      </c>
      <c r="N4302" s="300" t="s">
        <v>22</v>
      </c>
      <c r="O4302" s="300" t="s">
        <v>22</v>
      </c>
      <c r="P4302" s="300" t="s">
        <v>22</v>
      </c>
    </row>
    <row r="4303">
      <c r="E4303" s="3"/>
      <c r="F4303" s="300" t="s">
        <v>22</v>
      </c>
      <c r="G4303" s="300" t="s">
        <v>22</v>
      </c>
      <c r="H4303" s="300" t="s">
        <v>22</v>
      </c>
      <c r="I4303" s="300" t="s">
        <v>22</v>
      </c>
      <c r="J4303" s="300" t="s">
        <v>22</v>
      </c>
      <c r="K4303" s="300" t="s">
        <v>22</v>
      </c>
      <c r="L4303" s="300" t="s">
        <v>22</v>
      </c>
      <c r="M4303" s="300" t="s">
        <v>22</v>
      </c>
      <c r="N4303" s="300" t="s">
        <v>22</v>
      </c>
      <c r="O4303" s="300" t="s">
        <v>22</v>
      </c>
      <c r="P4303" s="300" t="s">
        <v>22</v>
      </c>
    </row>
    <row r="4304">
      <c r="E4304" s="3"/>
      <c r="F4304" s="300" t="s">
        <v>22</v>
      </c>
      <c r="G4304" s="300" t="s">
        <v>22</v>
      </c>
      <c r="H4304" s="300" t="s">
        <v>22</v>
      </c>
      <c r="I4304" s="300" t="s">
        <v>22</v>
      </c>
      <c r="J4304" s="300" t="s">
        <v>22</v>
      </c>
      <c r="K4304" s="300" t="s">
        <v>22</v>
      </c>
      <c r="L4304" s="300" t="s">
        <v>22</v>
      </c>
      <c r="M4304" s="300" t="s">
        <v>22</v>
      </c>
      <c r="N4304" s="300" t="s">
        <v>22</v>
      </c>
      <c r="O4304" s="300" t="s">
        <v>22</v>
      </c>
      <c r="P4304" s="300" t="s">
        <v>22</v>
      </c>
    </row>
    <row r="4305">
      <c r="E4305" s="3"/>
      <c r="F4305" s="300" t="s">
        <v>22</v>
      </c>
      <c r="G4305" s="300" t="s">
        <v>22</v>
      </c>
      <c r="H4305" s="300" t="s">
        <v>22</v>
      </c>
      <c r="I4305" s="300" t="s">
        <v>22</v>
      </c>
      <c r="J4305" s="300" t="s">
        <v>22</v>
      </c>
      <c r="K4305" s="300" t="s">
        <v>22</v>
      </c>
      <c r="L4305" s="300" t="s">
        <v>22</v>
      </c>
      <c r="M4305" s="300" t="s">
        <v>22</v>
      </c>
      <c r="N4305" s="300" t="s">
        <v>22</v>
      </c>
      <c r="O4305" s="300" t="s">
        <v>22</v>
      </c>
      <c r="P4305" s="300" t="s">
        <v>22</v>
      </c>
    </row>
    <row r="4306">
      <c r="E4306" s="3"/>
      <c r="F4306" s="300" t="s">
        <v>22</v>
      </c>
      <c r="G4306" s="300" t="s">
        <v>22</v>
      </c>
      <c r="H4306" s="300" t="s">
        <v>22</v>
      </c>
      <c r="I4306" s="300" t="s">
        <v>22</v>
      </c>
      <c r="J4306" s="300" t="s">
        <v>22</v>
      </c>
      <c r="K4306" s="300" t="s">
        <v>22</v>
      </c>
      <c r="L4306" s="300" t="s">
        <v>22</v>
      </c>
      <c r="M4306" s="300" t="s">
        <v>22</v>
      </c>
      <c r="N4306" s="300" t="s">
        <v>22</v>
      </c>
      <c r="O4306" s="300" t="s">
        <v>22</v>
      </c>
      <c r="P4306" s="300" t="s">
        <v>22</v>
      </c>
    </row>
    <row r="4307">
      <c r="E4307" s="3"/>
      <c r="F4307" s="300" t="s">
        <v>22</v>
      </c>
      <c r="G4307" s="300" t="s">
        <v>22</v>
      </c>
      <c r="H4307" s="300" t="s">
        <v>22</v>
      </c>
      <c r="I4307" s="300" t="s">
        <v>22</v>
      </c>
      <c r="J4307" s="300" t="s">
        <v>22</v>
      </c>
      <c r="K4307" s="300" t="s">
        <v>22</v>
      </c>
      <c r="L4307" s="300" t="s">
        <v>22</v>
      </c>
      <c r="M4307" s="300" t="s">
        <v>22</v>
      </c>
      <c r="N4307" s="300" t="s">
        <v>22</v>
      </c>
      <c r="O4307" s="300" t="s">
        <v>22</v>
      </c>
      <c r="P4307" s="300" t="s">
        <v>22</v>
      </c>
    </row>
    <row r="4308">
      <c r="E4308" s="3"/>
      <c r="F4308" s="300" t="s">
        <v>22</v>
      </c>
      <c r="G4308" s="300" t="s">
        <v>22</v>
      </c>
      <c r="H4308" s="300" t="s">
        <v>22</v>
      </c>
      <c r="I4308" s="300" t="s">
        <v>22</v>
      </c>
      <c r="J4308" s="300" t="s">
        <v>22</v>
      </c>
      <c r="K4308" s="300" t="s">
        <v>22</v>
      </c>
      <c r="L4308" s="300" t="s">
        <v>22</v>
      </c>
      <c r="M4308" s="300" t="s">
        <v>22</v>
      </c>
      <c r="N4308" s="300" t="s">
        <v>22</v>
      </c>
      <c r="O4308" s="300" t="s">
        <v>22</v>
      </c>
      <c r="P4308" s="300" t="s">
        <v>22</v>
      </c>
    </row>
    <row r="4309">
      <c r="E4309" s="3"/>
      <c r="F4309" s="300" t="s">
        <v>22</v>
      </c>
      <c r="G4309" s="300" t="s">
        <v>22</v>
      </c>
      <c r="H4309" s="300" t="s">
        <v>22</v>
      </c>
      <c r="I4309" s="300" t="s">
        <v>22</v>
      </c>
      <c r="J4309" s="300" t="s">
        <v>22</v>
      </c>
      <c r="K4309" s="300" t="s">
        <v>22</v>
      </c>
      <c r="L4309" s="300" t="s">
        <v>22</v>
      </c>
      <c r="M4309" s="300" t="s">
        <v>22</v>
      </c>
      <c r="N4309" s="300" t="s">
        <v>22</v>
      </c>
      <c r="O4309" s="300" t="s">
        <v>22</v>
      </c>
      <c r="P4309" s="300" t="s">
        <v>22</v>
      </c>
    </row>
    <row r="4310">
      <c r="E4310" s="3"/>
      <c r="F4310" s="300" t="s">
        <v>22</v>
      </c>
      <c r="G4310" s="300" t="s">
        <v>22</v>
      </c>
      <c r="H4310" s="300" t="s">
        <v>22</v>
      </c>
      <c r="I4310" s="300" t="s">
        <v>22</v>
      </c>
      <c r="J4310" s="300" t="s">
        <v>22</v>
      </c>
      <c r="K4310" s="300" t="s">
        <v>22</v>
      </c>
      <c r="L4310" s="300" t="s">
        <v>22</v>
      </c>
      <c r="M4310" s="300" t="s">
        <v>22</v>
      </c>
      <c r="N4310" s="300" t="s">
        <v>22</v>
      </c>
      <c r="O4310" s="300" t="s">
        <v>22</v>
      </c>
      <c r="P4310" s="300" t="s">
        <v>22</v>
      </c>
    </row>
    <row r="4311">
      <c r="E4311" s="3"/>
      <c r="F4311" s="300" t="s">
        <v>22</v>
      </c>
      <c r="G4311" s="300" t="s">
        <v>22</v>
      </c>
      <c r="H4311" s="300" t="s">
        <v>22</v>
      </c>
      <c r="I4311" s="300" t="s">
        <v>22</v>
      </c>
      <c r="J4311" s="300" t="s">
        <v>22</v>
      </c>
      <c r="K4311" s="300" t="s">
        <v>22</v>
      </c>
      <c r="L4311" s="300" t="s">
        <v>22</v>
      </c>
      <c r="M4311" s="300" t="s">
        <v>22</v>
      </c>
      <c r="N4311" s="300" t="s">
        <v>22</v>
      </c>
      <c r="O4311" s="300" t="s">
        <v>22</v>
      </c>
      <c r="P4311" s="300" t="s">
        <v>22</v>
      </c>
    </row>
    <row r="4312">
      <c r="E4312" s="3"/>
      <c r="F4312" s="300" t="s">
        <v>22</v>
      </c>
      <c r="G4312" s="300" t="s">
        <v>22</v>
      </c>
      <c r="H4312" s="300" t="s">
        <v>22</v>
      </c>
      <c r="I4312" s="300" t="s">
        <v>22</v>
      </c>
      <c r="J4312" s="300" t="s">
        <v>22</v>
      </c>
      <c r="K4312" s="300" t="s">
        <v>22</v>
      </c>
      <c r="L4312" s="300" t="s">
        <v>22</v>
      </c>
      <c r="M4312" s="300" t="s">
        <v>22</v>
      </c>
      <c r="N4312" s="300" t="s">
        <v>22</v>
      </c>
      <c r="O4312" s="300" t="s">
        <v>22</v>
      </c>
      <c r="P4312" s="300" t="s">
        <v>22</v>
      </c>
    </row>
    <row r="4313">
      <c r="E4313" s="3"/>
      <c r="F4313" s="300" t="s">
        <v>22</v>
      </c>
      <c r="G4313" s="300" t="s">
        <v>22</v>
      </c>
      <c r="H4313" s="300" t="s">
        <v>22</v>
      </c>
      <c r="I4313" s="300" t="s">
        <v>22</v>
      </c>
      <c r="J4313" s="300" t="s">
        <v>22</v>
      </c>
      <c r="K4313" s="300" t="s">
        <v>22</v>
      </c>
      <c r="L4313" s="300" t="s">
        <v>22</v>
      </c>
      <c r="M4313" s="300" t="s">
        <v>22</v>
      </c>
      <c r="N4313" s="300" t="s">
        <v>22</v>
      </c>
      <c r="O4313" s="300" t="s">
        <v>22</v>
      </c>
      <c r="P4313" s="300" t="s">
        <v>22</v>
      </c>
    </row>
    <row r="4314">
      <c r="E4314" s="3"/>
      <c r="F4314" s="300" t="s">
        <v>22</v>
      </c>
      <c r="G4314" s="300" t="s">
        <v>22</v>
      </c>
      <c r="H4314" s="300" t="s">
        <v>22</v>
      </c>
      <c r="I4314" s="300" t="s">
        <v>22</v>
      </c>
      <c r="J4314" s="300" t="s">
        <v>22</v>
      </c>
      <c r="K4314" s="300" t="s">
        <v>22</v>
      </c>
      <c r="L4314" s="300" t="s">
        <v>22</v>
      </c>
      <c r="M4314" s="300" t="s">
        <v>22</v>
      </c>
      <c r="N4314" s="300" t="s">
        <v>22</v>
      </c>
      <c r="O4314" s="300" t="s">
        <v>22</v>
      </c>
      <c r="P4314" s="300" t="s">
        <v>22</v>
      </c>
    </row>
    <row r="4315">
      <c r="E4315" s="3"/>
      <c r="F4315" s="300" t="s">
        <v>22</v>
      </c>
      <c r="G4315" s="300" t="s">
        <v>22</v>
      </c>
      <c r="H4315" s="300" t="s">
        <v>22</v>
      </c>
      <c r="I4315" s="300" t="s">
        <v>22</v>
      </c>
      <c r="J4315" s="300" t="s">
        <v>22</v>
      </c>
      <c r="K4315" s="300" t="s">
        <v>22</v>
      </c>
      <c r="L4315" s="300" t="s">
        <v>22</v>
      </c>
      <c r="M4315" s="300" t="s">
        <v>22</v>
      </c>
      <c r="N4315" s="300" t="s">
        <v>22</v>
      </c>
      <c r="O4315" s="300" t="s">
        <v>22</v>
      </c>
      <c r="P4315" s="300" t="s">
        <v>22</v>
      </c>
    </row>
    <row r="4316">
      <c r="E4316" s="3"/>
      <c r="F4316" s="300" t="s">
        <v>22</v>
      </c>
      <c r="G4316" s="300" t="s">
        <v>22</v>
      </c>
      <c r="H4316" s="300" t="s">
        <v>22</v>
      </c>
      <c r="I4316" s="300" t="s">
        <v>22</v>
      </c>
      <c r="J4316" s="300" t="s">
        <v>22</v>
      </c>
      <c r="K4316" s="300" t="s">
        <v>22</v>
      </c>
      <c r="L4316" s="300" t="s">
        <v>22</v>
      </c>
      <c r="M4316" s="300" t="s">
        <v>22</v>
      </c>
      <c r="N4316" s="300" t="s">
        <v>22</v>
      </c>
      <c r="O4316" s="300" t="s">
        <v>22</v>
      </c>
      <c r="P4316" s="300" t="s">
        <v>22</v>
      </c>
    </row>
    <row r="4317">
      <c r="E4317" s="3"/>
      <c r="F4317" s="300" t="s">
        <v>22</v>
      </c>
      <c r="G4317" s="300" t="s">
        <v>22</v>
      </c>
      <c r="H4317" s="300" t="s">
        <v>22</v>
      </c>
      <c r="I4317" s="300" t="s">
        <v>22</v>
      </c>
      <c r="J4317" s="300" t="s">
        <v>22</v>
      </c>
      <c r="K4317" s="300" t="s">
        <v>22</v>
      </c>
      <c r="L4317" s="300" t="s">
        <v>22</v>
      </c>
      <c r="M4317" s="300" t="s">
        <v>22</v>
      </c>
      <c r="N4317" s="300" t="s">
        <v>22</v>
      </c>
      <c r="O4317" s="300" t="s">
        <v>22</v>
      </c>
      <c r="P4317" s="300" t="s">
        <v>22</v>
      </c>
    </row>
    <row r="4318">
      <c r="E4318" s="3"/>
      <c r="F4318" s="300" t="s">
        <v>22</v>
      </c>
      <c r="G4318" s="300" t="s">
        <v>22</v>
      </c>
      <c r="H4318" s="300" t="s">
        <v>22</v>
      </c>
      <c r="I4318" s="300" t="s">
        <v>22</v>
      </c>
      <c r="J4318" s="300" t="s">
        <v>22</v>
      </c>
      <c r="K4318" s="300" t="s">
        <v>22</v>
      </c>
      <c r="L4318" s="300" t="s">
        <v>22</v>
      </c>
      <c r="M4318" s="300" t="s">
        <v>22</v>
      </c>
      <c r="N4318" s="300" t="s">
        <v>22</v>
      </c>
      <c r="O4318" s="300" t="s">
        <v>22</v>
      </c>
      <c r="P4318" s="300" t="s">
        <v>22</v>
      </c>
    </row>
    <row r="4319">
      <c r="E4319" s="3"/>
      <c r="F4319" s="300" t="s">
        <v>22</v>
      </c>
      <c r="G4319" s="300" t="s">
        <v>22</v>
      </c>
      <c r="H4319" s="300" t="s">
        <v>22</v>
      </c>
      <c r="I4319" s="300" t="s">
        <v>22</v>
      </c>
      <c r="J4319" s="300" t="s">
        <v>22</v>
      </c>
      <c r="K4319" s="300" t="s">
        <v>22</v>
      </c>
      <c r="L4319" s="300" t="s">
        <v>22</v>
      </c>
      <c r="M4319" s="300" t="s">
        <v>22</v>
      </c>
      <c r="N4319" s="300" t="s">
        <v>22</v>
      </c>
      <c r="O4319" s="300" t="s">
        <v>22</v>
      </c>
      <c r="P4319" s="300" t="s">
        <v>22</v>
      </c>
    </row>
    <row r="4320">
      <c r="E4320" s="3"/>
      <c r="F4320" s="300" t="s">
        <v>22</v>
      </c>
      <c r="G4320" s="300" t="s">
        <v>22</v>
      </c>
      <c r="H4320" s="300" t="s">
        <v>22</v>
      </c>
      <c r="I4320" s="300" t="s">
        <v>22</v>
      </c>
      <c r="J4320" s="300" t="s">
        <v>22</v>
      </c>
      <c r="K4320" s="300" t="s">
        <v>22</v>
      </c>
      <c r="L4320" s="300" t="s">
        <v>22</v>
      </c>
      <c r="M4320" s="300" t="s">
        <v>22</v>
      </c>
      <c r="N4320" s="300" t="s">
        <v>22</v>
      </c>
      <c r="O4320" s="300" t="s">
        <v>22</v>
      </c>
      <c r="P4320" s="300" t="s">
        <v>22</v>
      </c>
    </row>
    <row r="4321">
      <c r="E4321" s="3"/>
      <c r="F4321" s="300" t="s">
        <v>22</v>
      </c>
      <c r="G4321" s="300" t="s">
        <v>22</v>
      </c>
      <c r="H4321" s="300" t="s">
        <v>22</v>
      </c>
      <c r="I4321" s="300" t="s">
        <v>22</v>
      </c>
      <c r="J4321" s="300" t="s">
        <v>22</v>
      </c>
      <c r="K4321" s="300" t="s">
        <v>22</v>
      </c>
      <c r="L4321" s="300" t="s">
        <v>22</v>
      </c>
      <c r="M4321" s="300" t="s">
        <v>22</v>
      </c>
      <c r="N4321" s="300" t="s">
        <v>22</v>
      </c>
      <c r="O4321" s="300" t="s">
        <v>22</v>
      </c>
      <c r="P4321" s="300" t="s">
        <v>22</v>
      </c>
    </row>
    <row r="4322">
      <c r="E4322" s="3"/>
      <c r="F4322" s="300" t="s">
        <v>22</v>
      </c>
      <c r="G4322" s="300" t="s">
        <v>22</v>
      </c>
      <c r="H4322" s="300" t="s">
        <v>22</v>
      </c>
      <c r="I4322" s="300" t="s">
        <v>22</v>
      </c>
      <c r="J4322" s="300" t="s">
        <v>22</v>
      </c>
      <c r="K4322" s="300" t="s">
        <v>22</v>
      </c>
      <c r="L4322" s="300" t="s">
        <v>22</v>
      </c>
      <c r="M4322" s="300" t="s">
        <v>22</v>
      </c>
      <c r="N4322" s="300" t="s">
        <v>22</v>
      </c>
      <c r="O4322" s="300" t="s">
        <v>22</v>
      </c>
      <c r="P4322" s="300" t="s">
        <v>22</v>
      </c>
    </row>
    <row r="4323">
      <c r="E4323" s="3"/>
      <c r="F4323" s="300" t="s">
        <v>22</v>
      </c>
      <c r="G4323" s="300" t="s">
        <v>22</v>
      </c>
      <c r="H4323" s="300" t="s">
        <v>22</v>
      </c>
      <c r="I4323" s="300" t="s">
        <v>22</v>
      </c>
      <c r="J4323" s="300" t="s">
        <v>22</v>
      </c>
      <c r="K4323" s="300" t="s">
        <v>22</v>
      </c>
      <c r="L4323" s="300" t="s">
        <v>22</v>
      </c>
      <c r="M4323" s="300" t="s">
        <v>22</v>
      </c>
      <c r="N4323" s="300" t="s">
        <v>22</v>
      </c>
      <c r="O4323" s="300" t="s">
        <v>22</v>
      </c>
      <c r="P4323" s="300" t="s">
        <v>22</v>
      </c>
    </row>
    <row r="4324">
      <c r="E4324" s="3"/>
      <c r="F4324" s="300" t="s">
        <v>22</v>
      </c>
      <c r="G4324" s="300" t="s">
        <v>22</v>
      </c>
      <c r="H4324" s="300" t="s">
        <v>22</v>
      </c>
      <c r="I4324" s="300" t="s">
        <v>22</v>
      </c>
      <c r="J4324" s="300" t="s">
        <v>22</v>
      </c>
      <c r="K4324" s="300" t="s">
        <v>22</v>
      </c>
      <c r="L4324" s="300" t="s">
        <v>22</v>
      </c>
      <c r="M4324" s="300" t="s">
        <v>22</v>
      </c>
      <c r="N4324" s="300" t="s">
        <v>22</v>
      </c>
      <c r="O4324" s="300" t="s">
        <v>22</v>
      </c>
      <c r="P4324" s="300" t="s">
        <v>22</v>
      </c>
    </row>
    <row r="4325">
      <c r="E4325" s="3"/>
      <c r="F4325" s="300" t="s">
        <v>22</v>
      </c>
      <c r="G4325" s="300" t="s">
        <v>22</v>
      </c>
      <c r="H4325" s="300" t="s">
        <v>22</v>
      </c>
      <c r="I4325" s="300" t="s">
        <v>22</v>
      </c>
      <c r="J4325" s="300" t="s">
        <v>22</v>
      </c>
      <c r="K4325" s="300" t="s">
        <v>22</v>
      </c>
      <c r="L4325" s="300" t="s">
        <v>22</v>
      </c>
      <c r="M4325" s="300" t="s">
        <v>22</v>
      </c>
      <c r="N4325" s="300" t="s">
        <v>22</v>
      </c>
      <c r="O4325" s="300" t="s">
        <v>22</v>
      </c>
      <c r="P4325" s="300" t="s">
        <v>22</v>
      </c>
    </row>
    <row r="4326">
      <c r="E4326" s="3"/>
      <c r="F4326" s="300" t="s">
        <v>22</v>
      </c>
      <c r="G4326" s="300" t="s">
        <v>22</v>
      </c>
      <c r="H4326" s="300" t="s">
        <v>22</v>
      </c>
      <c r="I4326" s="300" t="s">
        <v>22</v>
      </c>
      <c r="J4326" s="300" t="s">
        <v>22</v>
      </c>
      <c r="K4326" s="300" t="s">
        <v>22</v>
      </c>
      <c r="L4326" s="300" t="s">
        <v>22</v>
      </c>
      <c r="M4326" s="300" t="s">
        <v>22</v>
      </c>
      <c r="N4326" s="300" t="s">
        <v>22</v>
      </c>
      <c r="O4326" s="300" t="s">
        <v>22</v>
      </c>
      <c r="P4326" s="300" t="s">
        <v>22</v>
      </c>
    </row>
    <row r="4327">
      <c r="E4327" s="3"/>
      <c r="F4327" s="300" t="s">
        <v>22</v>
      </c>
      <c r="G4327" s="300" t="s">
        <v>22</v>
      </c>
      <c r="H4327" s="300" t="s">
        <v>22</v>
      </c>
      <c r="I4327" s="300" t="s">
        <v>22</v>
      </c>
      <c r="J4327" s="300" t="s">
        <v>22</v>
      </c>
      <c r="K4327" s="300" t="s">
        <v>22</v>
      </c>
      <c r="L4327" s="300" t="s">
        <v>22</v>
      </c>
      <c r="M4327" s="300" t="s">
        <v>22</v>
      </c>
      <c r="N4327" s="300" t="s">
        <v>22</v>
      </c>
      <c r="O4327" s="300" t="s">
        <v>22</v>
      </c>
      <c r="P4327" s="300" t="s">
        <v>22</v>
      </c>
    </row>
    <row r="4328">
      <c r="E4328" s="3"/>
      <c r="F4328" s="300" t="s">
        <v>22</v>
      </c>
      <c r="G4328" s="300" t="s">
        <v>22</v>
      </c>
      <c r="H4328" s="300" t="s">
        <v>22</v>
      </c>
      <c r="I4328" s="300" t="s">
        <v>22</v>
      </c>
      <c r="J4328" s="300" t="s">
        <v>22</v>
      </c>
      <c r="K4328" s="300" t="s">
        <v>22</v>
      </c>
      <c r="L4328" s="300" t="s">
        <v>22</v>
      </c>
      <c r="M4328" s="300" t="s">
        <v>22</v>
      </c>
      <c r="N4328" s="300" t="s">
        <v>22</v>
      </c>
      <c r="O4328" s="300" t="s">
        <v>22</v>
      </c>
      <c r="P4328" s="300" t="s">
        <v>22</v>
      </c>
    </row>
    <row r="4329">
      <c r="E4329" s="3"/>
      <c r="F4329" s="300" t="s">
        <v>22</v>
      </c>
      <c r="G4329" s="300" t="s">
        <v>22</v>
      </c>
      <c r="H4329" s="300" t="s">
        <v>22</v>
      </c>
      <c r="I4329" s="300" t="s">
        <v>22</v>
      </c>
      <c r="J4329" s="300" t="s">
        <v>22</v>
      </c>
      <c r="K4329" s="300" t="s">
        <v>22</v>
      </c>
      <c r="L4329" s="300" t="s">
        <v>22</v>
      </c>
      <c r="M4329" s="300" t="s">
        <v>22</v>
      </c>
      <c r="N4329" s="300" t="s">
        <v>22</v>
      </c>
      <c r="O4329" s="300" t="s">
        <v>22</v>
      </c>
      <c r="P4329" s="300" t="s">
        <v>22</v>
      </c>
    </row>
    <row r="4330">
      <c r="E4330" s="3"/>
      <c r="F4330" s="300" t="s">
        <v>22</v>
      </c>
      <c r="G4330" s="300" t="s">
        <v>22</v>
      </c>
      <c r="H4330" s="300" t="s">
        <v>22</v>
      </c>
      <c r="I4330" s="300" t="s">
        <v>22</v>
      </c>
      <c r="J4330" s="300" t="s">
        <v>22</v>
      </c>
      <c r="K4330" s="300" t="s">
        <v>22</v>
      </c>
      <c r="L4330" s="300" t="s">
        <v>22</v>
      </c>
      <c r="M4330" s="300" t="s">
        <v>22</v>
      </c>
      <c r="N4330" s="300" t="s">
        <v>22</v>
      </c>
      <c r="O4330" s="300" t="s">
        <v>22</v>
      </c>
      <c r="P4330" s="300" t="s">
        <v>22</v>
      </c>
    </row>
    <row r="4331">
      <c r="E4331" s="3"/>
      <c r="F4331" s="300" t="s">
        <v>22</v>
      </c>
      <c r="G4331" s="300" t="s">
        <v>22</v>
      </c>
      <c r="H4331" s="300" t="s">
        <v>22</v>
      </c>
      <c r="I4331" s="300" t="s">
        <v>22</v>
      </c>
      <c r="J4331" s="300" t="s">
        <v>22</v>
      </c>
      <c r="K4331" s="300" t="s">
        <v>22</v>
      </c>
      <c r="L4331" s="300" t="s">
        <v>22</v>
      </c>
      <c r="M4331" s="300" t="s">
        <v>22</v>
      </c>
      <c r="N4331" s="300" t="s">
        <v>22</v>
      </c>
      <c r="O4331" s="300" t="s">
        <v>22</v>
      </c>
      <c r="P4331" s="300" t="s">
        <v>22</v>
      </c>
    </row>
    <row r="4332">
      <c r="E4332" s="3"/>
      <c r="F4332" s="300" t="s">
        <v>22</v>
      </c>
      <c r="G4332" s="300" t="s">
        <v>22</v>
      </c>
      <c r="H4332" s="300" t="s">
        <v>22</v>
      </c>
      <c r="I4332" s="300" t="s">
        <v>22</v>
      </c>
      <c r="J4332" s="300" t="s">
        <v>22</v>
      </c>
      <c r="K4332" s="300" t="s">
        <v>22</v>
      </c>
      <c r="L4332" s="300" t="s">
        <v>22</v>
      </c>
      <c r="M4332" s="300" t="s">
        <v>22</v>
      </c>
      <c r="N4332" s="300" t="s">
        <v>22</v>
      </c>
      <c r="O4332" s="300" t="s">
        <v>22</v>
      </c>
      <c r="P4332" s="300" t="s">
        <v>22</v>
      </c>
    </row>
    <row r="4333">
      <c r="E4333" s="3"/>
      <c r="F4333" s="300" t="s">
        <v>22</v>
      </c>
      <c r="G4333" s="300" t="s">
        <v>22</v>
      </c>
      <c r="H4333" s="300" t="s">
        <v>22</v>
      </c>
      <c r="I4333" s="300" t="s">
        <v>22</v>
      </c>
      <c r="J4333" s="300" t="s">
        <v>22</v>
      </c>
      <c r="K4333" s="300" t="s">
        <v>22</v>
      </c>
      <c r="L4333" s="300" t="s">
        <v>22</v>
      </c>
      <c r="M4333" s="300" t="s">
        <v>22</v>
      </c>
      <c r="N4333" s="300" t="s">
        <v>22</v>
      </c>
      <c r="O4333" s="300" t="s">
        <v>22</v>
      </c>
      <c r="P4333" s="300" t="s">
        <v>22</v>
      </c>
    </row>
    <row r="4334">
      <c r="E4334" s="3"/>
      <c r="F4334" s="300" t="s">
        <v>22</v>
      </c>
      <c r="G4334" s="300" t="s">
        <v>22</v>
      </c>
      <c r="H4334" s="300" t="s">
        <v>22</v>
      </c>
      <c r="I4334" s="300" t="s">
        <v>22</v>
      </c>
      <c r="J4334" s="300" t="s">
        <v>22</v>
      </c>
      <c r="K4334" s="300" t="s">
        <v>22</v>
      </c>
      <c r="L4334" s="300" t="s">
        <v>22</v>
      </c>
      <c r="M4334" s="300" t="s">
        <v>22</v>
      </c>
      <c r="N4334" s="300" t="s">
        <v>22</v>
      </c>
      <c r="O4334" s="300" t="s">
        <v>22</v>
      </c>
      <c r="P4334" s="300" t="s">
        <v>22</v>
      </c>
    </row>
    <row r="4335">
      <c r="E4335" s="3"/>
      <c r="F4335" s="300" t="s">
        <v>22</v>
      </c>
      <c r="G4335" s="300" t="s">
        <v>22</v>
      </c>
      <c r="H4335" s="300" t="s">
        <v>22</v>
      </c>
      <c r="I4335" s="300" t="s">
        <v>22</v>
      </c>
      <c r="J4335" s="300" t="s">
        <v>22</v>
      </c>
      <c r="K4335" s="300" t="s">
        <v>22</v>
      </c>
      <c r="L4335" s="300" t="s">
        <v>22</v>
      </c>
      <c r="M4335" s="300" t="s">
        <v>22</v>
      </c>
      <c r="N4335" s="300" t="s">
        <v>22</v>
      </c>
      <c r="O4335" s="300" t="s">
        <v>22</v>
      </c>
      <c r="P4335" s="300" t="s">
        <v>22</v>
      </c>
    </row>
    <row r="4336">
      <c r="E4336" s="3"/>
      <c r="F4336" s="300" t="s">
        <v>22</v>
      </c>
      <c r="G4336" s="300" t="s">
        <v>22</v>
      </c>
      <c r="H4336" s="300" t="s">
        <v>22</v>
      </c>
      <c r="I4336" s="300" t="s">
        <v>22</v>
      </c>
      <c r="J4336" s="300" t="s">
        <v>22</v>
      </c>
      <c r="K4336" s="300" t="s">
        <v>22</v>
      </c>
      <c r="L4336" s="300" t="s">
        <v>22</v>
      </c>
      <c r="M4336" s="300" t="s">
        <v>22</v>
      </c>
      <c r="N4336" s="300" t="s">
        <v>22</v>
      </c>
      <c r="O4336" s="300" t="s">
        <v>22</v>
      </c>
      <c r="P4336" s="300" t="s">
        <v>22</v>
      </c>
    </row>
    <row r="4337">
      <c r="E4337" s="3"/>
      <c r="F4337" s="300" t="s">
        <v>22</v>
      </c>
      <c r="G4337" s="300" t="s">
        <v>22</v>
      </c>
      <c r="H4337" s="300" t="s">
        <v>22</v>
      </c>
      <c r="I4337" s="300" t="s">
        <v>22</v>
      </c>
      <c r="J4337" s="300" t="s">
        <v>22</v>
      </c>
      <c r="K4337" s="300" t="s">
        <v>22</v>
      </c>
      <c r="L4337" s="300" t="s">
        <v>22</v>
      </c>
      <c r="M4337" s="300" t="s">
        <v>22</v>
      </c>
      <c r="N4337" s="300" t="s">
        <v>22</v>
      </c>
      <c r="O4337" s="300" t="s">
        <v>22</v>
      </c>
      <c r="P4337" s="300" t="s">
        <v>22</v>
      </c>
    </row>
    <row r="4338">
      <c r="E4338" s="3"/>
      <c r="F4338" s="300" t="s">
        <v>22</v>
      </c>
      <c r="G4338" s="300" t="s">
        <v>22</v>
      </c>
      <c r="H4338" s="300" t="s">
        <v>22</v>
      </c>
      <c r="I4338" s="300" t="s">
        <v>22</v>
      </c>
      <c r="J4338" s="300" t="s">
        <v>22</v>
      </c>
      <c r="K4338" s="300" t="s">
        <v>22</v>
      </c>
      <c r="L4338" s="300" t="s">
        <v>22</v>
      </c>
      <c r="M4338" s="300" t="s">
        <v>22</v>
      </c>
      <c r="N4338" s="300" t="s">
        <v>22</v>
      </c>
      <c r="O4338" s="300" t="s">
        <v>22</v>
      </c>
      <c r="P4338" s="300" t="s">
        <v>22</v>
      </c>
    </row>
    <row r="4339">
      <c r="E4339" s="3"/>
      <c r="F4339" s="300" t="s">
        <v>22</v>
      </c>
      <c r="G4339" s="300" t="s">
        <v>22</v>
      </c>
      <c r="H4339" s="300" t="s">
        <v>22</v>
      </c>
      <c r="I4339" s="300" t="s">
        <v>22</v>
      </c>
      <c r="J4339" s="300" t="s">
        <v>22</v>
      </c>
      <c r="K4339" s="300" t="s">
        <v>22</v>
      </c>
      <c r="L4339" s="300" t="s">
        <v>22</v>
      </c>
      <c r="M4339" s="300" t="s">
        <v>22</v>
      </c>
      <c r="N4339" s="300" t="s">
        <v>22</v>
      </c>
      <c r="O4339" s="300" t="s">
        <v>22</v>
      </c>
      <c r="P4339" s="300" t="s">
        <v>22</v>
      </c>
    </row>
    <row r="4340">
      <c r="E4340" s="3"/>
      <c r="F4340" s="300" t="s">
        <v>22</v>
      </c>
      <c r="G4340" s="300" t="s">
        <v>22</v>
      </c>
      <c r="H4340" s="300" t="s">
        <v>22</v>
      </c>
      <c r="I4340" s="300" t="s">
        <v>22</v>
      </c>
      <c r="J4340" s="300" t="s">
        <v>22</v>
      </c>
      <c r="K4340" s="300" t="s">
        <v>22</v>
      </c>
      <c r="L4340" s="300" t="s">
        <v>22</v>
      </c>
      <c r="M4340" s="300" t="s">
        <v>22</v>
      </c>
      <c r="N4340" s="300" t="s">
        <v>22</v>
      </c>
      <c r="O4340" s="300" t="s">
        <v>22</v>
      </c>
      <c r="P4340" s="300" t="s">
        <v>22</v>
      </c>
    </row>
    <row r="4341">
      <c r="E4341" s="3"/>
      <c r="F4341" s="300" t="s">
        <v>22</v>
      </c>
      <c r="G4341" s="300" t="s">
        <v>22</v>
      </c>
      <c r="H4341" s="300" t="s">
        <v>22</v>
      </c>
      <c r="I4341" s="300" t="s">
        <v>22</v>
      </c>
      <c r="J4341" s="300" t="s">
        <v>22</v>
      </c>
      <c r="K4341" s="300" t="s">
        <v>22</v>
      </c>
      <c r="L4341" s="300" t="s">
        <v>22</v>
      </c>
      <c r="M4341" s="300" t="s">
        <v>22</v>
      </c>
      <c r="N4341" s="300" t="s">
        <v>22</v>
      </c>
      <c r="O4341" s="300" t="s">
        <v>22</v>
      </c>
      <c r="P4341" s="300" t="s">
        <v>22</v>
      </c>
    </row>
    <row r="4342">
      <c r="E4342" s="3"/>
      <c r="F4342" s="300" t="s">
        <v>22</v>
      </c>
      <c r="G4342" s="300" t="s">
        <v>22</v>
      </c>
      <c r="H4342" s="300" t="s">
        <v>22</v>
      </c>
      <c r="I4342" s="300" t="s">
        <v>22</v>
      </c>
      <c r="J4342" s="300" t="s">
        <v>22</v>
      </c>
      <c r="K4342" s="300" t="s">
        <v>22</v>
      </c>
      <c r="L4342" s="300" t="s">
        <v>22</v>
      </c>
      <c r="M4342" s="300" t="s">
        <v>22</v>
      </c>
      <c r="N4342" s="300" t="s">
        <v>22</v>
      </c>
      <c r="O4342" s="300" t="s">
        <v>22</v>
      </c>
      <c r="P4342" s="300" t="s">
        <v>22</v>
      </c>
    </row>
    <row r="4343">
      <c r="E4343" s="3"/>
      <c r="F4343" s="300" t="s">
        <v>22</v>
      </c>
      <c r="G4343" s="300" t="s">
        <v>22</v>
      </c>
      <c r="H4343" s="300" t="s">
        <v>22</v>
      </c>
      <c r="I4343" s="300" t="s">
        <v>22</v>
      </c>
      <c r="J4343" s="300" t="s">
        <v>22</v>
      </c>
      <c r="K4343" s="300" t="s">
        <v>22</v>
      </c>
      <c r="L4343" s="300" t="s">
        <v>22</v>
      </c>
      <c r="M4343" s="300" t="s">
        <v>22</v>
      </c>
      <c r="N4343" s="300" t="s">
        <v>22</v>
      </c>
      <c r="O4343" s="300" t="s">
        <v>22</v>
      </c>
      <c r="P4343" s="300" t="s">
        <v>22</v>
      </c>
    </row>
    <row r="4344">
      <c r="E4344" s="3"/>
      <c r="F4344" s="300" t="s">
        <v>22</v>
      </c>
      <c r="G4344" s="300" t="s">
        <v>22</v>
      </c>
      <c r="H4344" s="300" t="s">
        <v>22</v>
      </c>
      <c r="I4344" s="300" t="s">
        <v>22</v>
      </c>
      <c r="J4344" s="300" t="s">
        <v>22</v>
      </c>
      <c r="K4344" s="300" t="s">
        <v>22</v>
      </c>
      <c r="L4344" s="300" t="s">
        <v>22</v>
      </c>
      <c r="M4344" s="300" t="s">
        <v>22</v>
      </c>
      <c r="N4344" s="300" t="s">
        <v>22</v>
      </c>
      <c r="O4344" s="300" t="s">
        <v>22</v>
      </c>
      <c r="P4344" s="300" t="s">
        <v>22</v>
      </c>
    </row>
    <row r="4345">
      <c r="E4345" s="3"/>
      <c r="F4345" s="300" t="s">
        <v>22</v>
      </c>
      <c r="G4345" s="300" t="s">
        <v>22</v>
      </c>
      <c r="H4345" s="300" t="s">
        <v>22</v>
      </c>
      <c r="I4345" s="300" t="s">
        <v>22</v>
      </c>
      <c r="J4345" s="300" t="s">
        <v>22</v>
      </c>
      <c r="K4345" s="300" t="s">
        <v>22</v>
      </c>
      <c r="L4345" s="300" t="s">
        <v>22</v>
      </c>
      <c r="M4345" s="300" t="s">
        <v>22</v>
      </c>
      <c r="N4345" s="300" t="s">
        <v>22</v>
      </c>
      <c r="O4345" s="300" t="s">
        <v>22</v>
      </c>
      <c r="P4345" s="300" t="s">
        <v>22</v>
      </c>
    </row>
    <row r="4346">
      <c r="E4346" s="3"/>
      <c r="F4346" s="300" t="s">
        <v>22</v>
      </c>
      <c r="G4346" s="300" t="s">
        <v>22</v>
      </c>
      <c r="H4346" s="300" t="s">
        <v>22</v>
      </c>
      <c r="I4346" s="300" t="s">
        <v>22</v>
      </c>
      <c r="J4346" s="300" t="s">
        <v>22</v>
      </c>
      <c r="K4346" s="300" t="s">
        <v>22</v>
      </c>
      <c r="L4346" s="300" t="s">
        <v>22</v>
      </c>
      <c r="M4346" s="300" t="s">
        <v>22</v>
      </c>
      <c r="N4346" s="300" t="s">
        <v>22</v>
      </c>
      <c r="O4346" s="300" t="s">
        <v>22</v>
      </c>
      <c r="P4346" s="300" t="s">
        <v>22</v>
      </c>
    </row>
    <row r="4347">
      <c r="E4347" s="3"/>
      <c r="F4347" s="300" t="s">
        <v>22</v>
      </c>
      <c r="G4347" s="300" t="s">
        <v>22</v>
      </c>
      <c r="H4347" s="300" t="s">
        <v>22</v>
      </c>
      <c r="I4347" s="300" t="s">
        <v>22</v>
      </c>
      <c r="J4347" s="300" t="s">
        <v>22</v>
      </c>
      <c r="K4347" s="300" t="s">
        <v>22</v>
      </c>
      <c r="L4347" s="300" t="s">
        <v>22</v>
      </c>
      <c r="M4347" s="300" t="s">
        <v>22</v>
      </c>
      <c r="N4347" s="300" t="s">
        <v>22</v>
      </c>
      <c r="O4347" s="300" t="s">
        <v>22</v>
      </c>
      <c r="P4347" s="300" t="s">
        <v>22</v>
      </c>
    </row>
    <row r="4348">
      <c r="E4348" s="3"/>
      <c r="F4348" s="300" t="s">
        <v>22</v>
      </c>
      <c r="G4348" s="300" t="s">
        <v>22</v>
      </c>
      <c r="H4348" s="300" t="s">
        <v>22</v>
      </c>
      <c r="I4348" s="300" t="s">
        <v>22</v>
      </c>
      <c r="J4348" s="300" t="s">
        <v>22</v>
      </c>
      <c r="K4348" s="300" t="s">
        <v>22</v>
      </c>
      <c r="L4348" s="300" t="s">
        <v>22</v>
      </c>
      <c r="M4348" s="300" t="s">
        <v>22</v>
      </c>
      <c r="N4348" s="300" t="s">
        <v>22</v>
      </c>
      <c r="O4348" s="300" t="s">
        <v>22</v>
      </c>
      <c r="P4348" s="300" t="s">
        <v>22</v>
      </c>
    </row>
    <row r="4349">
      <c r="E4349" s="3"/>
      <c r="F4349" s="300" t="s">
        <v>22</v>
      </c>
      <c r="G4349" s="300" t="s">
        <v>22</v>
      </c>
      <c r="H4349" s="300" t="s">
        <v>22</v>
      </c>
      <c r="I4349" s="300" t="s">
        <v>22</v>
      </c>
      <c r="J4349" s="300" t="s">
        <v>22</v>
      </c>
      <c r="K4349" s="300" t="s">
        <v>22</v>
      </c>
      <c r="L4349" s="300" t="s">
        <v>22</v>
      </c>
      <c r="M4349" s="300" t="s">
        <v>22</v>
      </c>
      <c r="N4349" s="300" t="s">
        <v>22</v>
      </c>
      <c r="O4349" s="300" t="s">
        <v>22</v>
      </c>
      <c r="P4349" s="300" t="s">
        <v>22</v>
      </c>
    </row>
    <row r="4350">
      <c r="E4350" s="3"/>
      <c r="F4350" s="300" t="s">
        <v>22</v>
      </c>
      <c r="G4350" s="300" t="s">
        <v>22</v>
      </c>
      <c r="H4350" s="300" t="s">
        <v>22</v>
      </c>
      <c r="I4350" s="300" t="s">
        <v>22</v>
      </c>
      <c r="J4350" s="300" t="s">
        <v>22</v>
      </c>
      <c r="K4350" s="300" t="s">
        <v>22</v>
      </c>
      <c r="L4350" s="300" t="s">
        <v>22</v>
      </c>
      <c r="M4350" s="300" t="s">
        <v>22</v>
      </c>
      <c r="N4350" s="300" t="s">
        <v>22</v>
      </c>
      <c r="O4350" s="300" t="s">
        <v>22</v>
      </c>
      <c r="P4350" s="300" t="s">
        <v>22</v>
      </c>
    </row>
    <row r="4351">
      <c r="E4351" s="3"/>
      <c r="F4351" s="300" t="s">
        <v>22</v>
      </c>
      <c r="G4351" s="300" t="s">
        <v>22</v>
      </c>
      <c r="H4351" s="300" t="s">
        <v>22</v>
      </c>
      <c r="I4351" s="300" t="s">
        <v>22</v>
      </c>
      <c r="J4351" s="300" t="s">
        <v>22</v>
      </c>
      <c r="K4351" s="300" t="s">
        <v>22</v>
      </c>
      <c r="L4351" s="300" t="s">
        <v>22</v>
      </c>
      <c r="M4351" s="300" t="s">
        <v>22</v>
      </c>
      <c r="N4351" s="300" t="s">
        <v>22</v>
      </c>
      <c r="O4351" s="300" t="s">
        <v>22</v>
      </c>
      <c r="P4351" s="300" t="s">
        <v>22</v>
      </c>
    </row>
    <row r="4352">
      <c r="E4352" s="3"/>
      <c r="F4352" s="300" t="s">
        <v>22</v>
      </c>
      <c r="G4352" s="300" t="s">
        <v>22</v>
      </c>
      <c r="H4352" s="300" t="s">
        <v>22</v>
      </c>
      <c r="I4352" s="300" t="s">
        <v>22</v>
      </c>
      <c r="J4352" s="300" t="s">
        <v>22</v>
      </c>
      <c r="K4352" s="300" t="s">
        <v>22</v>
      </c>
      <c r="L4352" s="300" t="s">
        <v>22</v>
      </c>
      <c r="M4352" s="300" t="s">
        <v>22</v>
      </c>
      <c r="N4352" s="300" t="s">
        <v>22</v>
      </c>
      <c r="O4352" s="300" t="s">
        <v>22</v>
      </c>
      <c r="P4352" s="300" t="s">
        <v>22</v>
      </c>
    </row>
    <row r="4353">
      <c r="E4353" s="3"/>
      <c r="F4353" s="300" t="s">
        <v>22</v>
      </c>
      <c r="G4353" s="300" t="s">
        <v>22</v>
      </c>
      <c r="H4353" s="300" t="s">
        <v>22</v>
      </c>
      <c r="I4353" s="300" t="s">
        <v>22</v>
      </c>
      <c r="J4353" s="300" t="s">
        <v>22</v>
      </c>
      <c r="K4353" s="300" t="s">
        <v>22</v>
      </c>
      <c r="L4353" s="300" t="s">
        <v>22</v>
      </c>
      <c r="M4353" s="300" t="s">
        <v>22</v>
      </c>
      <c r="N4353" s="300" t="s">
        <v>22</v>
      </c>
      <c r="O4353" s="300" t="s">
        <v>22</v>
      </c>
      <c r="P4353" s="300" t="s">
        <v>22</v>
      </c>
    </row>
    <row r="4354">
      <c r="E4354" s="3"/>
      <c r="F4354" s="300" t="s">
        <v>22</v>
      </c>
      <c r="G4354" s="300" t="s">
        <v>22</v>
      </c>
      <c r="H4354" s="300" t="s">
        <v>22</v>
      </c>
      <c r="I4354" s="300" t="s">
        <v>22</v>
      </c>
      <c r="J4354" s="300" t="s">
        <v>22</v>
      </c>
      <c r="K4354" s="300" t="s">
        <v>22</v>
      </c>
      <c r="L4354" s="300" t="s">
        <v>22</v>
      </c>
      <c r="M4354" s="300" t="s">
        <v>22</v>
      </c>
      <c r="N4354" s="300" t="s">
        <v>22</v>
      </c>
      <c r="O4354" s="300" t="s">
        <v>22</v>
      </c>
      <c r="P4354" s="300" t="s">
        <v>22</v>
      </c>
    </row>
    <row r="4355">
      <c r="E4355" s="3"/>
      <c r="F4355" s="300" t="s">
        <v>22</v>
      </c>
      <c r="G4355" s="300" t="s">
        <v>22</v>
      </c>
      <c r="H4355" s="300" t="s">
        <v>22</v>
      </c>
      <c r="I4355" s="300" t="s">
        <v>22</v>
      </c>
      <c r="J4355" s="300" t="s">
        <v>22</v>
      </c>
      <c r="K4355" s="300" t="s">
        <v>22</v>
      </c>
      <c r="L4355" s="300" t="s">
        <v>22</v>
      </c>
      <c r="M4355" s="300" t="s">
        <v>22</v>
      </c>
      <c r="N4355" s="300" t="s">
        <v>22</v>
      </c>
      <c r="O4355" s="300" t="s">
        <v>22</v>
      </c>
      <c r="P4355" s="300" t="s">
        <v>22</v>
      </c>
    </row>
    <row r="4356">
      <c r="E4356" s="3"/>
      <c r="F4356" s="300" t="s">
        <v>22</v>
      </c>
      <c r="G4356" s="300" t="s">
        <v>22</v>
      </c>
      <c r="H4356" s="300" t="s">
        <v>22</v>
      </c>
      <c r="I4356" s="300" t="s">
        <v>22</v>
      </c>
      <c r="J4356" s="300" t="s">
        <v>22</v>
      </c>
      <c r="K4356" s="300" t="s">
        <v>22</v>
      </c>
      <c r="L4356" s="300" t="s">
        <v>22</v>
      </c>
      <c r="M4356" s="300" t="s">
        <v>22</v>
      </c>
      <c r="N4356" s="300" t="s">
        <v>22</v>
      </c>
      <c r="O4356" s="300" t="s">
        <v>22</v>
      </c>
      <c r="P4356" s="300" t="s">
        <v>22</v>
      </c>
    </row>
    <row r="4357">
      <c r="E4357" s="3"/>
      <c r="F4357" s="300" t="s">
        <v>22</v>
      </c>
      <c r="G4357" s="300" t="s">
        <v>22</v>
      </c>
      <c r="H4357" s="300" t="s">
        <v>22</v>
      </c>
      <c r="I4357" s="300" t="s">
        <v>22</v>
      </c>
      <c r="J4357" s="300" t="s">
        <v>22</v>
      </c>
      <c r="K4357" s="300" t="s">
        <v>22</v>
      </c>
      <c r="L4357" s="300" t="s">
        <v>22</v>
      </c>
      <c r="M4357" s="300" t="s">
        <v>22</v>
      </c>
      <c r="N4357" s="300" t="s">
        <v>22</v>
      </c>
      <c r="O4357" s="300" t="s">
        <v>22</v>
      </c>
      <c r="P4357" s="300" t="s">
        <v>22</v>
      </c>
    </row>
    <row r="4358">
      <c r="E4358" s="3"/>
      <c r="F4358" s="300" t="s">
        <v>22</v>
      </c>
      <c r="G4358" s="300" t="s">
        <v>22</v>
      </c>
      <c r="H4358" s="300" t="s">
        <v>22</v>
      </c>
      <c r="I4358" s="300" t="s">
        <v>22</v>
      </c>
      <c r="J4358" s="300" t="s">
        <v>22</v>
      </c>
      <c r="K4358" s="300" t="s">
        <v>22</v>
      </c>
      <c r="L4358" s="300" t="s">
        <v>22</v>
      </c>
      <c r="M4358" s="300" t="s">
        <v>22</v>
      </c>
      <c r="N4358" s="300" t="s">
        <v>22</v>
      </c>
      <c r="O4358" s="300" t="s">
        <v>22</v>
      </c>
      <c r="P4358" s="300" t="s">
        <v>22</v>
      </c>
    </row>
    <row r="4359">
      <c r="E4359" s="3"/>
      <c r="F4359" s="300" t="s">
        <v>22</v>
      </c>
      <c r="G4359" s="300" t="s">
        <v>22</v>
      </c>
      <c r="H4359" s="300" t="s">
        <v>22</v>
      </c>
      <c r="I4359" s="300" t="s">
        <v>22</v>
      </c>
      <c r="J4359" s="300" t="s">
        <v>22</v>
      </c>
      <c r="K4359" s="300" t="s">
        <v>22</v>
      </c>
      <c r="L4359" s="300" t="s">
        <v>22</v>
      </c>
      <c r="M4359" s="300" t="s">
        <v>22</v>
      </c>
      <c r="N4359" s="300" t="s">
        <v>22</v>
      </c>
      <c r="O4359" s="300" t="s">
        <v>22</v>
      </c>
      <c r="P4359" s="300" t="s">
        <v>22</v>
      </c>
    </row>
    <row r="4360">
      <c r="E4360" s="3"/>
      <c r="F4360" s="300" t="s">
        <v>22</v>
      </c>
      <c r="G4360" s="300" t="s">
        <v>22</v>
      </c>
      <c r="H4360" s="300" t="s">
        <v>22</v>
      </c>
      <c r="I4360" s="300" t="s">
        <v>22</v>
      </c>
      <c r="J4360" s="300" t="s">
        <v>22</v>
      </c>
      <c r="K4360" s="300" t="s">
        <v>22</v>
      </c>
      <c r="L4360" s="300" t="s">
        <v>22</v>
      </c>
      <c r="M4360" s="300" t="s">
        <v>22</v>
      </c>
      <c r="N4360" s="300" t="s">
        <v>22</v>
      </c>
      <c r="O4360" s="300" t="s">
        <v>22</v>
      </c>
      <c r="P4360" s="300" t="s">
        <v>22</v>
      </c>
    </row>
    <row r="4361">
      <c r="E4361" s="3"/>
      <c r="F4361" s="300" t="s">
        <v>22</v>
      </c>
      <c r="G4361" s="300" t="s">
        <v>22</v>
      </c>
      <c r="H4361" s="300" t="s">
        <v>22</v>
      </c>
      <c r="I4361" s="300" t="s">
        <v>22</v>
      </c>
      <c r="J4361" s="300" t="s">
        <v>22</v>
      </c>
      <c r="K4361" s="300" t="s">
        <v>22</v>
      </c>
      <c r="L4361" s="300" t="s">
        <v>22</v>
      </c>
      <c r="M4361" s="300" t="s">
        <v>22</v>
      </c>
      <c r="N4361" s="300" t="s">
        <v>22</v>
      </c>
      <c r="O4361" s="300" t="s">
        <v>22</v>
      </c>
      <c r="P4361" s="300" t="s">
        <v>22</v>
      </c>
    </row>
    <row r="4362">
      <c r="E4362" s="3"/>
      <c r="F4362" s="300" t="s">
        <v>22</v>
      </c>
      <c r="G4362" s="300" t="s">
        <v>22</v>
      </c>
      <c r="H4362" s="300" t="s">
        <v>22</v>
      </c>
      <c r="I4362" s="300" t="s">
        <v>22</v>
      </c>
      <c r="J4362" s="300" t="s">
        <v>22</v>
      </c>
      <c r="K4362" s="300" t="s">
        <v>22</v>
      </c>
      <c r="L4362" s="300" t="s">
        <v>22</v>
      </c>
      <c r="M4362" s="300" t="s">
        <v>22</v>
      </c>
      <c r="N4362" s="300" t="s">
        <v>22</v>
      </c>
      <c r="O4362" s="300" t="s">
        <v>22</v>
      </c>
      <c r="P4362" s="300" t="s">
        <v>22</v>
      </c>
    </row>
    <row r="4363">
      <c r="E4363" s="3"/>
      <c r="F4363" s="300" t="s">
        <v>22</v>
      </c>
      <c r="G4363" s="300" t="s">
        <v>22</v>
      </c>
      <c r="H4363" s="300" t="s">
        <v>22</v>
      </c>
      <c r="I4363" s="300" t="s">
        <v>22</v>
      </c>
      <c r="J4363" s="300" t="s">
        <v>22</v>
      </c>
      <c r="K4363" s="300" t="s">
        <v>22</v>
      </c>
      <c r="L4363" s="300" t="s">
        <v>22</v>
      </c>
      <c r="M4363" s="300" t="s">
        <v>22</v>
      </c>
      <c r="N4363" s="300" t="s">
        <v>22</v>
      </c>
      <c r="O4363" s="300" t="s">
        <v>22</v>
      </c>
      <c r="P4363" s="300" t="s">
        <v>22</v>
      </c>
    </row>
    <row r="4364">
      <c r="E4364" s="3"/>
      <c r="F4364" s="300" t="s">
        <v>22</v>
      </c>
      <c r="G4364" s="300" t="s">
        <v>22</v>
      </c>
      <c r="H4364" s="300" t="s">
        <v>22</v>
      </c>
      <c r="I4364" s="300" t="s">
        <v>22</v>
      </c>
      <c r="J4364" s="300" t="s">
        <v>22</v>
      </c>
      <c r="K4364" s="300" t="s">
        <v>22</v>
      </c>
      <c r="L4364" s="300" t="s">
        <v>22</v>
      </c>
      <c r="M4364" s="300" t="s">
        <v>22</v>
      </c>
      <c r="N4364" s="300" t="s">
        <v>22</v>
      </c>
      <c r="O4364" s="300" t="s">
        <v>22</v>
      </c>
      <c r="P4364" s="300" t="s">
        <v>22</v>
      </c>
    </row>
    <row r="4365">
      <c r="E4365" s="3"/>
      <c r="F4365" s="300" t="s">
        <v>22</v>
      </c>
      <c r="G4365" s="300" t="s">
        <v>22</v>
      </c>
      <c r="H4365" s="300" t="s">
        <v>22</v>
      </c>
      <c r="I4365" s="300" t="s">
        <v>22</v>
      </c>
      <c r="J4365" s="300" t="s">
        <v>22</v>
      </c>
      <c r="K4365" s="300" t="s">
        <v>22</v>
      </c>
      <c r="L4365" s="300" t="s">
        <v>22</v>
      </c>
      <c r="M4365" s="300" t="s">
        <v>22</v>
      </c>
      <c r="N4365" s="300" t="s">
        <v>22</v>
      </c>
      <c r="O4365" s="300" t="s">
        <v>22</v>
      </c>
      <c r="P4365" s="300" t="s">
        <v>22</v>
      </c>
    </row>
    <row r="4366">
      <c r="E4366" s="3"/>
      <c r="F4366" s="300" t="s">
        <v>22</v>
      </c>
      <c r="G4366" s="300" t="s">
        <v>22</v>
      </c>
      <c r="H4366" s="300" t="s">
        <v>22</v>
      </c>
      <c r="I4366" s="300" t="s">
        <v>22</v>
      </c>
      <c r="J4366" s="300" t="s">
        <v>22</v>
      </c>
      <c r="K4366" s="300" t="s">
        <v>22</v>
      </c>
      <c r="L4366" s="300" t="s">
        <v>22</v>
      </c>
      <c r="M4366" s="300" t="s">
        <v>22</v>
      </c>
      <c r="N4366" s="300" t="s">
        <v>22</v>
      </c>
      <c r="O4366" s="300" t="s">
        <v>22</v>
      </c>
      <c r="P4366" s="300" t="s">
        <v>22</v>
      </c>
    </row>
    <row r="4367">
      <c r="E4367" s="3"/>
      <c r="F4367" s="300" t="s">
        <v>22</v>
      </c>
      <c r="G4367" s="300" t="s">
        <v>22</v>
      </c>
      <c r="H4367" s="300" t="s">
        <v>22</v>
      </c>
      <c r="I4367" s="300" t="s">
        <v>22</v>
      </c>
      <c r="J4367" s="300" t="s">
        <v>22</v>
      </c>
      <c r="K4367" s="300" t="s">
        <v>22</v>
      </c>
      <c r="L4367" s="300" t="s">
        <v>22</v>
      </c>
      <c r="M4367" s="300" t="s">
        <v>22</v>
      </c>
      <c r="N4367" s="300" t="s">
        <v>22</v>
      </c>
      <c r="O4367" s="300" t="s">
        <v>22</v>
      </c>
      <c r="P4367" s="300" t="s">
        <v>22</v>
      </c>
    </row>
    <row r="4368">
      <c r="E4368" s="3"/>
      <c r="F4368" s="300" t="s">
        <v>22</v>
      </c>
      <c r="G4368" s="300" t="s">
        <v>22</v>
      </c>
      <c r="H4368" s="300" t="s">
        <v>22</v>
      </c>
      <c r="I4368" s="300" t="s">
        <v>22</v>
      </c>
      <c r="J4368" s="300" t="s">
        <v>22</v>
      </c>
      <c r="K4368" s="300" t="s">
        <v>22</v>
      </c>
      <c r="L4368" s="300" t="s">
        <v>22</v>
      </c>
      <c r="M4368" s="300" t="s">
        <v>22</v>
      </c>
      <c r="N4368" s="300" t="s">
        <v>22</v>
      </c>
      <c r="O4368" s="300" t="s">
        <v>22</v>
      </c>
      <c r="P4368" s="300" t="s">
        <v>22</v>
      </c>
    </row>
    <row r="4369">
      <c r="E4369" s="3"/>
      <c r="F4369" s="300" t="s">
        <v>22</v>
      </c>
      <c r="G4369" s="300" t="s">
        <v>22</v>
      </c>
      <c r="H4369" s="300" t="s">
        <v>22</v>
      </c>
      <c r="I4369" s="300" t="s">
        <v>22</v>
      </c>
      <c r="J4369" s="300" t="s">
        <v>22</v>
      </c>
      <c r="K4369" s="300" t="s">
        <v>22</v>
      </c>
      <c r="L4369" s="300" t="s">
        <v>22</v>
      </c>
      <c r="M4369" s="300" t="s">
        <v>22</v>
      </c>
      <c r="N4369" s="300" t="s">
        <v>22</v>
      </c>
      <c r="O4369" s="300" t="s">
        <v>22</v>
      </c>
      <c r="P4369" s="300" t="s">
        <v>22</v>
      </c>
    </row>
    <row r="4370">
      <c r="E4370" s="3"/>
      <c r="F4370" s="300" t="s">
        <v>22</v>
      </c>
      <c r="G4370" s="300" t="s">
        <v>22</v>
      </c>
      <c r="H4370" s="300" t="s">
        <v>22</v>
      </c>
      <c r="I4370" s="300" t="s">
        <v>22</v>
      </c>
      <c r="J4370" s="300" t="s">
        <v>22</v>
      </c>
      <c r="K4370" s="300" t="s">
        <v>22</v>
      </c>
      <c r="L4370" s="300" t="s">
        <v>22</v>
      </c>
      <c r="M4370" s="300" t="s">
        <v>22</v>
      </c>
      <c r="N4370" s="300" t="s">
        <v>22</v>
      </c>
      <c r="O4370" s="300" t="s">
        <v>22</v>
      </c>
      <c r="P4370" s="300" t="s">
        <v>22</v>
      </c>
    </row>
    <row r="4371">
      <c r="E4371" s="3"/>
      <c r="F4371" s="300" t="s">
        <v>22</v>
      </c>
      <c r="G4371" s="300" t="s">
        <v>22</v>
      </c>
      <c r="H4371" s="300" t="s">
        <v>22</v>
      </c>
      <c r="I4371" s="300" t="s">
        <v>22</v>
      </c>
      <c r="J4371" s="300" t="s">
        <v>22</v>
      </c>
      <c r="K4371" s="300" t="s">
        <v>22</v>
      </c>
      <c r="L4371" s="300" t="s">
        <v>22</v>
      </c>
      <c r="M4371" s="300" t="s">
        <v>22</v>
      </c>
      <c r="N4371" s="300" t="s">
        <v>22</v>
      </c>
      <c r="O4371" s="300" t="s">
        <v>22</v>
      </c>
      <c r="P4371" s="300" t="s">
        <v>22</v>
      </c>
    </row>
    <row r="4372">
      <c r="E4372" s="3"/>
      <c r="F4372" s="300" t="s">
        <v>22</v>
      </c>
      <c r="G4372" s="300" t="s">
        <v>22</v>
      </c>
      <c r="H4372" s="300" t="s">
        <v>22</v>
      </c>
      <c r="I4372" s="300" t="s">
        <v>22</v>
      </c>
      <c r="J4372" s="300" t="s">
        <v>22</v>
      </c>
      <c r="K4372" s="300" t="s">
        <v>22</v>
      </c>
      <c r="L4372" s="300" t="s">
        <v>22</v>
      </c>
      <c r="M4372" s="300" t="s">
        <v>22</v>
      </c>
      <c r="N4372" s="300" t="s">
        <v>22</v>
      </c>
      <c r="O4372" s="300" t="s">
        <v>22</v>
      </c>
      <c r="P4372" s="300" t="s">
        <v>22</v>
      </c>
    </row>
    <row r="4373">
      <c r="E4373" s="3"/>
      <c r="F4373" s="300" t="s">
        <v>22</v>
      </c>
      <c r="G4373" s="300" t="s">
        <v>22</v>
      </c>
      <c r="H4373" s="300" t="s">
        <v>22</v>
      </c>
      <c r="I4373" s="300" t="s">
        <v>22</v>
      </c>
      <c r="J4373" s="300" t="s">
        <v>22</v>
      </c>
      <c r="K4373" s="300" t="s">
        <v>22</v>
      </c>
      <c r="L4373" s="300" t="s">
        <v>22</v>
      </c>
      <c r="M4373" s="300" t="s">
        <v>22</v>
      </c>
      <c r="N4373" s="300" t="s">
        <v>22</v>
      </c>
      <c r="O4373" s="300" t="s">
        <v>22</v>
      </c>
      <c r="P4373" s="300" t="s">
        <v>22</v>
      </c>
    </row>
    <row r="4374">
      <c r="E4374" s="3"/>
      <c r="F4374" s="300" t="s">
        <v>22</v>
      </c>
      <c r="G4374" s="300" t="s">
        <v>22</v>
      </c>
      <c r="H4374" s="300" t="s">
        <v>22</v>
      </c>
      <c r="I4374" s="300" t="s">
        <v>22</v>
      </c>
      <c r="J4374" s="300" t="s">
        <v>22</v>
      </c>
      <c r="K4374" s="300" t="s">
        <v>22</v>
      </c>
      <c r="L4374" s="300" t="s">
        <v>22</v>
      </c>
      <c r="M4374" s="300" t="s">
        <v>22</v>
      </c>
      <c r="N4374" s="300" t="s">
        <v>22</v>
      </c>
      <c r="O4374" s="300" t="s">
        <v>22</v>
      </c>
      <c r="P4374" s="300" t="s">
        <v>22</v>
      </c>
    </row>
    <row r="4375">
      <c r="E4375" s="3"/>
      <c r="F4375" s="300" t="s">
        <v>22</v>
      </c>
      <c r="G4375" s="300" t="s">
        <v>22</v>
      </c>
      <c r="H4375" s="300" t="s">
        <v>22</v>
      </c>
      <c r="I4375" s="300" t="s">
        <v>22</v>
      </c>
      <c r="J4375" s="300" t="s">
        <v>22</v>
      </c>
      <c r="K4375" s="300" t="s">
        <v>22</v>
      </c>
      <c r="L4375" s="300" t="s">
        <v>22</v>
      </c>
      <c r="M4375" s="300" t="s">
        <v>22</v>
      </c>
      <c r="N4375" s="300" t="s">
        <v>22</v>
      </c>
      <c r="O4375" s="300" t="s">
        <v>22</v>
      </c>
      <c r="P4375" s="300" t="s">
        <v>22</v>
      </c>
    </row>
    <row r="4376">
      <c r="E4376" s="3"/>
      <c r="F4376" s="300" t="s">
        <v>22</v>
      </c>
      <c r="G4376" s="300" t="s">
        <v>22</v>
      </c>
      <c r="H4376" s="300" t="s">
        <v>22</v>
      </c>
      <c r="I4376" s="300" t="s">
        <v>22</v>
      </c>
      <c r="J4376" s="300" t="s">
        <v>22</v>
      </c>
      <c r="K4376" s="300" t="s">
        <v>22</v>
      </c>
      <c r="L4376" s="300" t="s">
        <v>22</v>
      </c>
      <c r="M4376" s="300" t="s">
        <v>22</v>
      </c>
      <c r="N4376" s="300" t="s">
        <v>22</v>
      </c>
      <c r="O4376" s="300" t="s">
        <v>22</v>
      </c>
      <c r="P4376" s="300" t="s">
        <v>22</v>
      </c>
    </row>
    <row r="4377">
      <c r="E4377" s="3"/>
      <c r="F4377" s="300" t="s">
        <v>22</v>
      </c>
      <c r="G4377" s="300" t="s">
        <v>22</v>
      </c>
      <c r="H4377" s="300" t="s">
        <v>22</v>
      </c>
      <c r="I4377" s="300" t="s">
        <v>22</v>
      </c>
      <c r="J4377" s="300" t="s">
        <v>22</v>
      </c>
      <c r="K4377" s="300" t="s">
        <v>22</v>
      </c>
      <c r="L4377" s="300" t="s">
        <v>22</v>
      </c>
      <c r="M4377" s="300" t="s">
        <v>22</v>
      </c>
      <c r="N4377" s="300" t="s">
        <v>22</v>
      </c>
      <c r="O4377" s="300" t="s">
        <v>22</v>
      </c>
      <c r="P4377" s="300" t="s">
        <v>22</v>
      </c>
    </row>
    <row r="4378">
      <c r="E4378" s="3"/>
      <c r="F4378" s="300" t="s">
        <v>22</v>
      </c>
      <c r="G4378" s="300" t="s">
        <v>22</v>
      </c>
      <c r="H4378" s="300" t="s">
        <v>22</v>
      </c>
      <c r="I4378" s="300" t="s">
        <v>22</v>
      </c>
      <c r="J4378" s="300" t="s">
        <v>22</v>
      </c>
      <c r="K4378" s="300" t="s">
        <v>22</v>
      </c>
      <c r="L4378" s="300" t="s">
        <v>22</v>
      </c>
      <c r="M4378" s="300" t="s">
        <v>22</v>
      </c>
      <c r="N4378" s="300" t="s">
        <v>22</v>
      </c>
      <c r="O4378" s="300" t="s">
        <v>22</v>
      </c>
      <c r="P4378" s="300" t="s">
        <v>22</v>
      </c>
    </row>
    <row r="4379">
      <c r="E4379" s="3"/>
      <c r="F4379" s="300" t="s">
        <v>22</v>
      </c>
      <c r="G4379" s="300" t="s">
        <v>22</v>
      </c>
      <c r="H4379" s="300" t="s">
        <v>22</v>
      </c>
      <c r="I4379" s="300" t="s">
        <v>22</v>
      </c>
      <c r="J4379" s="300" t="s">
        <v>22</v>
      </c>
      <c r="K4379" s="300" t="s">
        <v>22</v>
      </c>
      <c r="L4379" s="300" t="s">
        <v>22</v>
      </c>
      <c r="M4379" s="300" t="s">
        <v>22</v>
      </c>
      <c r="N4379" s="300" t="s">
        <v>22</v>
      </c>
      <c r="O4379" s="300" t="s">
        <v>22</v>
      </c>
      <c r="P4379" s="300" t="s">
        <v>22</v>
      </c>
    </row>
    <row r="4380">
      <c r="E4380" s="3"/>
      <c r="F4380" s="300" t="s">
        <v>22</v>
      </c>
      <c r="G4380" s="300" t="s">
        <v>22</v>
      </c>
      <c r="H4380" s="300" t="s">
        <v>22</v>
      </c>
      <c r="I4380" s="300" t="s">
        <v>22</v>
      </c>
      <c r="J4380" s="300" t="s">
        <v>22</v>
      </c>
      <c r="K4380" s="300" t="s">
        <v>22</v>
      </c>
      <c r="L4380" s="300" t="s">
        <v>22</v>
      </c>
      <c r="M4380" s="300" t="s">
        <v>22</v>
      </c>
      <c r="N4380" s="300" t="s">
        <v>22</v>
      </c>
      <c r="O4380" s="300" t="s">
        <v>22</v>
      </c>
      <c r="P4380" s="300" t="s">
        <v>22</v>
      </c>
    </row>
    <row r="4381">
      <c r="E4381" s="3"/>
      <c r="F4381" s="300" t="s">
        <v>22</v>
      </c>
      <c r="G4381" s="300" t="s">
        <v>22</v>
      </c>
      <c r="H4381" s="300" t="s">
        <v>22</v>
      </c>
      <c r="I4381" s="300" t="s">
        <v>22</v>
      </c>
      <c r="J4381" s="300" t="s">
        <v>22</v>
      </c>
      <c r="K4381" s="300" t="s">
        <v>22</v>
      </c>
      <c r="L4381" s="300" t="s">
        <v>22</v>
      </c>
      <c r="M4381" s="300" t="s">
        <v>22</v>
      </c>
      <c r="N4381" s="300" t="s">
        <v>22</v>
      </c>
      <c r="O4381" s="300" t="s">
        <v>22</v>
      </c>
      <c r="P4381" s="300" t="s">
        <v>22</v>
      </c>
    </row>
    <row r="4382">
      <c r="E4382" s="3"/>
      <c r="F4382" s="300" t="s">
        <v>22</v>
      </c>
      <c r="G4382" s="300" t="s">
        <v>22</v>
      </c>
      <c r="H4382" s="300" t="s">
        <v>22</v>
      </c>
      <c r="I4382" s="300" t="s">
        <v>22</v>
      </c>
      <c r="J4382" s="300" t="s">
        <v>22</v>
      </c>
      <c r="K4382" s="300" t="s">
        <v>22</v>
      </c>
      <c r="L4382" s="300" t="s">
        <v>22</v>
      </c>
      <c r="M4382" s="300" t="s">
        <v>22</v>
      </c>
      <c r="N4382" s="300" t="s">
        <v>22</v>
      </c>
      <c r="O4382" s="300" t="s">
        <v>22</v>
      </c>
      <c r="P4382" s="300" t="s">
        <v>22</v>
      </c>
    </row>
    <row r="4383">
      <c r="E4383" s="3"/>
      <c r="F4383" s="300" t="s">
        <v>22</v>
      </c>
      <c r="G4383" s="300" t="s">
        <v>22</v>
      </c>
      <c r="H4383" s="300" t="s">
        <v>22</v>
      </c>
      <c r="I4383" s="300" t="s">
        <v>22</v>
      </c>
      <c r="J4383" s="300" t="s">
        <v>22</v>
      </c>
      <c r="K4383" s="300" t="s">
        <v>22</v>
      </c>
      <c r="L4383" s="300" t="s">
        <v>22</v>
      </c>
      <c r="M4383" s="300" t="s">
        <v>22</v>
      </c>
      <c r="N4383" s="300" t="s">
        <v>22</v>
      </c>
      <c r="O4383" s="300" t="s">
        <v>22</v>
      </c>
      <c r="P4383" s="300" t="s">
        <v>22</v>
      </c>
    </row>
    <row r="4384">
      <c r="E4384" s="3"/>
      <c r="F4384" s="300" t="s">
        <v>22</v>
      </c>
      <c r="G4384" s="300" t="s">
        <v>22</v>
      </c>
      <c r="H4384" s="300" t="s">
        <v>22</v>
      </c>
      <c r="I4384" s="300" t="s">
        <v>22</v>
      </c>
      <c r="J4384" s="300" t="s">
        <v>22</v>
      </c>
      <c r="K4384" s="300" t="s">
        <v>22</v>
      </c>
      <c r="L4384" s="300" t="s">
        <v>22</v>
      </c>
      <c r="M4384" s="300" t="s">
        <v>22</v>
      </c>
      <c r="N4384" s="300" t="s">
        <v>22</v>
      </c>
      <c r="O4384" s="300" t="s">
        <v>22</v>
      </c>
      <c r="P4384" s="300" t="s">
        <v>22</v>
      </c>
    </row>
    <row r="4385">
      <c r="E4385" s="3"/>
      <c r="F4385" s="300" t="s">
        <v>22</v>
      </c>
      <c r="G4385" s="300" t="s">
        <v>22</v>
      </c>
      <c r="H4385" s="300" t="s">
        <v>22</v>
      </c>
      <c r="I4385" s="300" t="s">
        <v>22</v>
      </c>
      <c r="J4385" s="300" t="s">
        <v>22</v>
      </c>
      <c r="K4385" s="300" t="s">
        <v>22</v>
      </c>
      <c r="L4385" s="300" t="s">
        <v>22</v>
      </c>
      <c r="M4385" s="300" t="s">
        <v>22</v>
      </c>
      <c r="N4385" s="300" t="s">
        <v>22</v>
      </c>
      <c r="O4385" s="300" t="s">
        <v>22</v>
      </c>
      <c r="P4385" s="300" t="s">
        <v>22</v>
      </c>
    </row>
    <row r="4386">
      <c r="E4386" s="3"/>
      <c r="F4386" s="300" t="s">
        <v>22</v>
      </c>
      <c r="G4386" s="300" t="s">
        <v>22</v>
      </c>
      <c r="H4386" s="300" t="s">
        <v>22</v>
      </c>
      <c r="I4386" s="300" t="s">
        <v>22</v>
      </c>
      <c r="J4386" s="300" t="s">
        <v>22</v>
      </c>
      <c r="K4386" s="300" t="s">
        <v>22</v>
      </c>
      <c r="L4386" s="300" t="s">
        <v>22</v>
      </c>
      <c r="M4386" s="300" t="s">
        <v>22</v>
      </c>
      <c r="N4386" s="300" t="s">
        <v>22</v>
      </c>
      <c r="O4386" s="300" t="s">
        <v>22</v>
      </c>
      <c r="P4386" s="300" t="s">
        <v>22</v>
      </c>
    </row>
    <row r="4387">
      <c r="E4387" s="3"/>
      <c r="F4387" s="300" t="s">
        <v>22</v>
      </c>
      <c r="G4387" s="300" t="s">
        <v>22</v>
      </c>
      <c r="H4387" s="300" t="s">
        <v>22</v>
      </c>
      <c r="I4387" s="300" t="s">
        <v>22</v>
      </c>
      <c r="J4387" s="300" t="s">
        <v>22</v>
      </c>
      <c r="K4387" s="300" t="s">
        <v>22</v>
      </c>
      <c r="L4387" s="300" t="s">
        <v>22</v>
      </c>
      <c r="M4387" s="300" t="s">
        <v>22</v>
      </c>
      <c r="N4387" s="300" t="s">
        <v>22</v>
      </c>
      <c r="O4387" s="300" t="s">
        <v>22</v>
      </c>
      <c r="P4387" s="300" t="s">
        <v>22</v>
      </c>
    </row>
    <row r="4388">
      <c r="E4388" s="3"/>
      <c r="F4388" s="300" t="s">
        <v>22</v>
      </c>
      <c r="G4388" s="300" t="s">
        <v>22</v>
      </c>
      <c r="H4388" s="300" t="s">
        <v>22</v>
      </c>
      <c r="I4388" s="300" t="s">
        <v>22</v>
      </c>
      <c r="J4388" s="300" t="s">
        <v>22</v>
      </c>
      <c r="K4388" s="300" t="s">
        <v>22</v>
      </c>
      <c r="L4388" s="300" t="s">
        <v>22</v>
      </c>
      <c r="M4388" s="300" t="s">
        <v>22</v>
      </c>
      <c r="N4388" s="300" t="s">
        <v>22</v>
      </c>
      <c r="O4388" s="300" t="s">
        <v>22</v>
      </c>
      <c r="P4388" s="300" t="s">
        <v>22</v>
      </c>
    </row>
    <row r="4389">
      <c r="E4389" s="3"/>
      <c r="F4389" s="300" t="s">
        <v>22</v>
      </c>
      <c r="G4389" s="300" t="s">
        <v>22</v>
      </c>
      <c r="H4389" s="300" t="s">
        <v>22</v>
      </c>
      <c r="I4389" s="300" t="s">
        <v>22</v>
      </c>
      <c r="J4389" s="300" t="s">
        <v>22</v>
      </c>
      <c r="K4389" s="300" t="s">
        <v>22</v>
      </c>
      <c r="L4389" s="300" t="s">
        <v>22</v>
      </c>
      <c r="M4389" s="300" t="s">
        <v>22</v>
      </c>
      <c r="N4389" s="300" t="s">
        <v>22</v>
      </c>
      <c r="O4389" s="300" t="s">
        <v>22</v>
      </c>
      <c r="P4389" s="300" t="s">
        <v>22</v>
      </c>
    </row>
    <row r="4390">
      <c r="E4390" s="3"/>
      <c r="F4390" s="300" t="s">
        <v>22</v>
      </c>
      <c r="G4390" s="300" t="s">
        <v>22</v>
      </c>
      <c r="H4390" s="300" t="s">
        <v>22</v>
      </c>
      <c r="I4390" s="300" t="s">
        <v>22</v>
      </c>
      <c r="J4390" s="300" t="s">
        <v>22</v>
      </c>
      <c r="K4390" s="300" t="s">
        <v>22</v>
      </c>
      <c r="L4390" s="300" t="s">
        <v>22</v>
      </c>
      <c r="M4390" s="300" t="s">
        <v>22</v>
      </c>
      <c r="N4390" s="300" t="s">
        <v>22</v>
      </c>
      <c r="O4390" s="300" t="s">
        <v>22</v>
      </c>
      <c r="P4390" s="300" t="s">
        <v>22</v>
      </c>
    </row>
    <row r="4391">
      <c r="E4391" s="3"/>
      <c r="F4391" s="300" t="s">
        <v>22</v>
      </c>
      <c r="G4391" s="300" t="s">
        <v>22</v>
      </c>
      <c r="H4391" s="300" t="s">
        <v>22</v>
      </c>
      <c r="I4391" s="300" t="s">
        <v>22</v>
      </c>
      <c r="J4391" s="300" t="s">
        <v>22</v>
      </c>
      <c r="K4391" s="300" t="s">
        <v>22</v>
      </c>
      <c r="L4391" s="300" t="s">
        <v>22</v>
      </c>
      <c r="M4391" s="300" t="s">
        <v>22</v>
      </c>
      <c r="N4391" s="300" t="s">
        <v>22</v>
      </c>
      <c r="O4391" s="300" t="s">
        <v>22</v>
      </c>
      <c r="P4391" s="300" t="s">
        <v>22</v>
      </c>
    </row>
    <row r="4392">
      <c r="E4392" s="3"/>
      <c r="F4392" s="300" t="s">
        <v>22</v>
      </c>
      <c r="G4392" s="300" t="s">
        <v>22</v>
      </c>
      <c r="H4392" s="300" t="s">
        <v>22</v>
      </c>
      <c r="I4392" s="300" t="s">
        <v>22</v>
      </c>
      <c r="J4392" s="300" t="s">
        <v>22</v>
      </c>
      <c r="K4392" s="300" t="s">
        <v>22</v>
      </c>
      <c r="L4392" s="300" t="s">
        <v>22</v>
      </c>
      <c r="M4392" s="300" t="s">
        <v>22</v>
      </c>
      <c r="N4392" s="300" t="s">
        <v>22</v>
      </c>
      <c r="O4392" s="300" t="s">
        <v>22</v>
      </c>
      <c r="P4392" s="300" t="s">
        <v>22</v>
      </c>
    </row>
    <row r="4393">
      <c r="E4393" s="3"/>
      <c r="F4393" s="300" t="s">
        <v>22</v>
      </c>
      <c r="G4393" s="300" t="s">
        <v>22</v>
      </c>
      <c r="H4393" s="300" t="s">
        <v>22</v>
      </c>
      <c r="I4393" s="300" t="s">
        <v>22</v>
      </c>
      <c r="J4393" s="300" t="s">
        <v>22</v>
      </c>
      <c r="K4393" s="300" t="s">
        <v>22</v>
      </c>
      <c r="L4393" s="300" t="s">
        <v>22</v>
      </c>
      <c r="M4393" s="300" t="s">
        <v>22</v>
      </c>
      <c r="N4393" s="300" t="s">
        <v>22</v>
      </c>
      <c r="O4393" s="300" t="s">
        <v>22</v>
      </c>
      <c r="P4393" s="300" t="s">
        <v>22</v>
      </c>
    </row>
    <row r="4394">
      <c r="E4394" s="3"/>
      <c r="F4394" s="300" t="s">
        <v>22</v>
      </c>
      <c r="G4394" s="300" t="s">
        <v>22</v>
      </c>
      <c r="H4394" s="300" t="s">
        <v>22</v>
      </c>
      <c r="I4394" s="300" t="s">
        <v>22</v>
      </c>
      <c r="J4394" s="300" t="s">
        <v>22</v>
      </c>
      <c r="K4394" s="300" t="s">
        <v>22</v>
      </c>
      <c r="L4394" s="300" t="s">
        <v>22</v>
      </c>
      <c r="M4394" s="300" t="s">
        <v>22</v>
      </c>
      <c r="N4394" s="300" t="s">
        <v>22</v>
      </c>
      <c r="O4394" s="300" t="s">
        <v>22</v>
      </c>
      <c r="P4394" s="300" t="s">
        <v>22</v>
      </c>
    </row>
    <row r="4395">
      <c r="E4395" s="3"/>
      <c r="F4395" s="300" t="s">
        <v>22</v>
      </c>
      <c r="G4395" s="300" t="s">
        <v>22</v>
      </c>
      <c r="H4395" s="300" t="s">
        <v>22</v>
      </c>
      <c r="I4395" s="300" t="s">
        <v>22</v>
      </c>
      <c r="J4395" s="300" t="s">
        <v>22</v>
      </c>
      <c r="K4395" s="300" t="s">
        <v>22</v>
      </c>
      <c r="L4395" s="300" t="s">
        <v>22</v>
      </c>
      <c r="M4395" s="300" t="s">
        <v>22</v>
      </c>
      <c r="N4395" s="300" t="s">
        <v>22</v>
      </c>
      <c r="O4395" s="300" t="s">
        <v>22</v>
      </c>
      <c r="P4395" s="300" t="s">
        <v>22</v>
      </c>
    </row>
    <row r="4396">
      <c r="E4396" s="3"/>
      <c r="F4396" s="300" t="s">
        <v>22</v>
      </c>
      <c r="G4396" s="300" t="s">
        <v>22</v>
      </c>
      <c r="H4396" s="300" t="s">
        <v>22</v>
      </c>
      <c r="I4396" s="300" t="s">
        <v>22</v>
      </c>
      <c r="J4396" s="300" t="s">
        <v>22</v>
      </c>
      <c r="K4396" s="300" t="s">
        <v>22</v>
      </c>
      <c r="L4396" s="300" t="s">
        <v>22</v>
      </c>
      <c r="M4396" s="300" t="s">
        <v>22</v>
      </c>
      <c r="N4396" s="300" t="s">
        <v>22</v>
      </c>
      <c r="O4396" s="300" t="s">
        <v>22</v>
      </c>
      <c r="P4396" s="300" t="s">
        <v>22</v>
      </c>
    </row>
    <row r="4397">
      <c r="E4397" s="3"/>
      <c r="F4397" s="300" t="s">
        <v>22</v>
      </c>
      <c r="G4397" s="300" t="s">
        <v>22</v>
      </c>
      <c r="H4397" s="300" t="s">
        <v>22</v>
      </c>
      <c r="I4397" s="300" t="s">
        <v>22</v>
      </c>
      <c r="J4397" s="300" t="s">
        <v>22</v>
      </c>
      <c r="K4397" s="300" t="s">
        <v>22</v>
      </c>
      <c r="L4397" s="300" t="s">
        <v>22</v>
      </c>
      <c r="M4397" s="300" t="s">
        <v>22</v>
      </c>
      <c r="N4397" s="300" t="s">
        <v>22</v>
      </c>
      <c r="O4397" s="300" t="s">
        <v>22</v>
      </c>
      <c r="P4397" s="300" t="s">
        <v>22</v>
      </c>
    </row>
    <row r="4398">
      <c r="E4398" s="3"/>
      <c r="F4398" s="300" t="s">
        <v>22</v>
      </c>
      <c r="G4398" s="300" t="s">
        <v>22</v>
      </c>
      <c r="H4398" s="300" t="s">
        <v>22</v>
      </c>
      <c r="I4398" s="300" t="s">
        <v>22</v>
      </c>
      <c r="J4398" s="300" t="s">
        <v>22</v>
      </c>
      <c r="K4398" s="300" t="s">
        <v>22</v>
      </c>
      <c r="L4398" s="300" t="s">
        <v>22</v>
      </c>
      <c r="M4398" s="300" t="s">
        <v>22</v>
      </c>
      <c r="N4398" s="300" t="s">
        <v>22</v>
      </c>
      <c r="O4398" s="300" t="s">
        <v>22</v>
      </c>
      <c r="P4398" s="300" t="s">
        <v>22</v>
      </c>
    </row>
    <row r="4399">
      <c r="E4399" s="3"/>
      <c r="F4399" s="300" t="s">
        <v>22</v>
      </c>
      <c r="G4399" s="300" t="s">
        <v>22</v>
      </c>
      <c r="H4399" s="300" t="s">
        <v>22</v>
      </c>
      <c r="I4399" s="300" t="s">
        <v>22</v>
      </c>
      <c r="J4399" s="300" t="s">
        <v>22</v>
      </c>
      <c r="K4399" s="300" t="s">
        <v>22</v>
      </c>
      <c r="L4399" s="300" t="s">
        <v>22</v>
      </c>
      <c r="M4399" s="300" t="s">
        <v>22</v>
      </c>
      <c r="N4399" s="300" t="s">
        <v>22</v>
      </c>
      <c r="O4399" s="300" t="s">
        <v>22</v>
      </c>
      <c r="P4399" s="300" t="s">
        <v>22</v>
      </c>
    </row>
    <row r="4400">
      <c r="E4400" s="3"/>
      <c r="F4400" s="300" t="s">
        <v>22</v>
      </c>
      <c r="G4400" s="300" t="s">
        <v>22</v>
      </c>
      <c r="H4400" s="300" t="s">
        <v>22</v>
      </c>
      <c r="I4400" s="300" t="s">
        <v>22</v>
      </c>
      <c r="J4400" s="300" t="s">
        <v>22</v>
      </c>
      <c r="K4400" s="300" t="s">
        <v>22</v>
      </c>
      <c r="L4400" s="300" t="s">
        <v>22</v>
      </c>
      <c r="M4400" s="300" t="s">
        <v>22</v>
      </c>
      <c r="N4400" s="300" t="s">
        <v>22</v>
      </c>
      <c r="O4400" s="300" t="s">
        <v>22</v>
      </c>
      <c r="P4400" s="300" t="s">
        <v>22</v>
      </c>
    </row>
    <row r="4401">
      <c r="E4401" s="3"/>
      <c r="F4401" s="300" t="s">
        <v>22</v>
      </c>
      <c r="G4401" s="300" t="s">
        <v>22</v>
      </c>
      <c r="H4401" s="300" t="s">
        <v>22</v>
      </c>
      <c r="I4401" s="300" t="s">
        <v>22</v>
      </c>
      <c r="J4401" s="300" t="s">
        <v>22</v>
      </c>
      <c r="K4401" s="300" t="s">
        <v>22</v>
      </c>
      <c r="L4401" s="300" t="s">
        <v>22</v>
      </c>
      <c r="M4401" s="300" t="s">
        <v>22</v>
      </c>
      <c r="N4401" s="300" t="s">
        <v>22</v>
      </c>
      <c r="O4401" s="300" t="s">
        <v>22</v>
      </c>
      <c r="P4401" s="300" t="s">
        <v>22</v>
      </c>
    </row>
    <row r="4402">
      <c r="E4402" s="3"/>
      <c r="F4402" s="300" t="s">
        <v>22</v>
      </c>
      <c r="G4402" s="300" t="s">
        <v>22</v>
      </c>
      <c r="H4402" s="300" t="s">
        <v>22</v>
      </c>
      <c r="I4402" s="300" t="s">
        <v>22</v>
      </c>
      <c r="J4402" s="300" t="s">
        <v>22</v>
      </c>
      <c r="K4402" s="300" t="s">
        <v>22</v>
      </c>
      <c r="L4402" s="300" t="s">
        <v>22</v>
      </c>
      <c r="M4402" s="300" t="s">
        <v>22</v>
      </c>
      <c r="N4402" s="300" t="s">
        <v>22</v>
      </c>
      <c r="O4402" s="300" t="s">
        <v>22</v>
      </c>
      <c r="P4402" s="300" t="s">
        <v>22</v>
      </c>
    </row>
    <row r="4403">
      <c r="E4403" s="3"/>
      <c r="F4403" s="300" t="s">
        <v>22</v>
      </c>
      <c r="G4403" s="300" t="s">
        <v>22</v>
      </c>
      <c r="H4403" s="300" t="s">
        <v>22</v>
      </c>
      <c r="I4403" s="300" t="s">
        <v>22</v>
      </c>
      <c r="J4403" s="300" t="s">
        <v>22</v>
      </c>
      <c r="K4403" s="300" t="s">
        <v>22</v>
      </c>
      <c r="L4403" s="300" t="s">
        <v>22</v>
      </c>
      <c r="M4403" s="300" t="s">
        <v>22</v>
      </c>
      <c r="N4403" s="300" t="s">
        <v>22</v>
      </c>
      <c r="O4403" s="300" t="s">
        <v>22</v>
      </c>
      <c r="P4403" s="300" t="s">
        <v>22</v>
      </c>
    </row>
    <row r="4404">
      <c r="E4404" s="3"/>
      <c r="F4404" s="300" t="s">
        <v>22</v>
      </c>
      <c r="G4404" s="300" t="s">
        <v>22</v>
      </c>
      <c r="H4404" s="300" t="s">
        <v>22</v>
      </c>
      <c r="I4404" s="300" t="s">
        <v>22</v>
      </c>
      <c r="J4404" s="300" t="s">
        <v>22</v>
      </c>
      <c r="K4404" s="300" t="s">
        <v>22</v>
      </c>
      <c r="L4404" s="300" t="s">
        <v>22</v>
      </c>
      <c r="M4404" s="300" t="s">
        <v>22</v>
      </c>
      <c r="N4404" s="300" t="s">
        <v>22</v>
      </c>
      <c r="O4404" s="300" t="s">
        <v>22</v>
      </c>
      <c r="P4404" s="300" t="s">
        <v>22</v>
      </c>
    </row>
    <row r="4405">
      <c r="E4405" s="3"/>
      <c r="F4405" s="300" t="s">
        <v>22</v>
      </c>
      <c r="G4405" s="300" t="s">
        <v>22</v>
      </c>
      <c r="H4405" s="300" t="s">
        <v>22</v>
      </c>
      <c r="I4405" s="300" t="s">
        <v>22</v>
      </c>
      <c r="J4405" s="300" t="s">
        <v>22</v>
      </c>
      <c r="K4405" s="300" t="s">
        <v>22</v>
      </c>
      <c r="L4405" s="300" t="s">
        <v>22</v>
      </c>
      <c r="M4405" s="300" t="s">
        <v>22</v>
      </c>
      <c r="N4405" s="300" t="s">
        <v>22</v>
      </c>
      <c r="O4405" s="300" t="s">
        <v>22</v>
      </c>
      <c r="P4405" s="300" t="s">
        <v>22</v>
      </c>
    </row>
    <row r="4406">
      <c r="E4406" s="3"/>
      <c r="F4406" s="300" t="s">
        <v>22</v>
      </c>
      <c r="G4406" s="300" t="s">
        <v>22</v>
      </c>
      <c r="H4406" s="300" t="s">
        <v>22</v>
      </c>
      <c r="I4406" s="300" t="s">
        <v>22</v>
      </c>
      <c r="J4406" s="300" t="s">
        <v>22</v>
      </c>
      <c r="K4406" s="300" t="s">
        <v>22</v>
      </c>
      <c r="L4406" s="300" t="s">
        <v>22</v>
      </c>
      <c r="M4406" s="300" t="s">
        <v>22</v>
      </c>
      <c r="N4406" s="300" t="s">
        <v>22</v>
      </c>
      <c r="O4406" s="300" t="s">
        <v>22</v>
      </c>
      <c r="P4406" s="300" t="s">
        <v>22</v>
      </c>
    </row>
    <row r="4407">
      <c r="E4407" s="3"/>
      <c r="F4407" s="300" t="s">
        <v>22</v>
      </c>
      <c r="G4407" s="300" t="s">
        <v>22</v>
      </c>
      <c r="H4407" s="300" t="s">
        <v>22</v>
      </c>
      <c r="I4407" s="300" t="s">
        <v>22</v>
      </c>
      <c r="J4407" s="300" t="s">
        <v>22</v>
      </c>
      <c r="K4407" s="300" t="s">
        <v>22</v>
      </c>
      <c r="L4407" s="300" t="s">
        <v>22</v>
      </c>
      <c r="M4407" s="300" t="s">
        <v>22</v>
      </c>
      <c r="N4407" s="300" t="s">
        <v>22</v>
      </c>
      <c r="O4407" s="300" t="s">
        <v>22</v>
      </c>
      <c r="P4407" s="300" t="s">
        <v>22</v>
      </c>
    </row>
    <row r="4408">
      <c r="E4408" s="3"/>
      <c r="F4408" s="300" t="s">
        <v>22</v>
      </c>
      <c r="G4408" s="300" t="s">
        <v>22</v>
      </c>
      <c r="H4408" s="300" t="s">
        <v>22</v>
      </c>
      <c r="I4408" s="300" t="s">
        <v>22</v>
      </c>
      <c r="J4408" s="300" t="s">
        <v>22</v>
      </c>
      <c r="K4408" s="300" t="s">
        <v>22</v>
      </c>
      <c r="L4408" s="300" t="s">
        <v>22</v>
      </c>
      <c r="M4408" s="300" t="s">
        <v>22</v>
      </c>
      <c r="N4408" s="300" t="s">
        <v>22</v>
      </c>
      <c r="O4408" s="300" t="s">
        <v>22</v>
      </c>
      <c r="P4408" s="300" t="s">
        <v>22</v>
      </c>
    </row>
    <row r="4409">
      <c r="E4409" s="3"/>
      <c r="F4409" s="300" t="s">
        <v>22</v>
      </c>
      <c r="G4409" s="300" t="s">
        <v>22</v>
      </c>
      <c r="H4409" s="300" t="s">
        <v>22</v>
      </c>
      <c r="I4409" s="300" t="s">
        <v>22</v>
      </c>
      <c r="J4409" s="300" t="s">
        <v>22</v>
      </c>
      <c r="K4409" s="300" t="s">
        <v>22</v>
      </c>
      <c r="L4409" s="300" t="s">
        <v>22</v>
      </c>
      <c r="M4409" s="300" t="s">
        <v>22</v>
      </c>
      <c r="N4409" s="300" t="s">
        <v>22</v>
      </c>
      <c r="O4409" s="300" t="s">
        <v>22</v>
      </c>
      <c r="P4409" s="300" t="s">
        <v>22</v>
      </c>
    </row>
    <row r="4410">
      <c r="E4410" s="3"/>
      <c r="F4410" s="300" t="s">
        <v>22</v>
      </c>
      <c r="G4410" s="300" t="s">
        <v>22</v>
      </c>
      <c r="H4410" s="300" t="s">
        <v>22</v>
      </c>
      <c r="I4410" s="300" t="s">
        <v>22</v>
      </c>
      <c r="J4410" s="300" t="s">
        <v>22</v>
      </c>
      <c r="K4410" s="300" t="s">
        <v>22</v>
      </c>
      <c r="L4410" s="300" t="s">
        <v>22</v>
      </c>
      <c r="M4410" s="300" t="s">
        <v>22</v>
      </c>
      <c r="N4410" s="300" t="s">
        <v>22</v>
      </c>
      <c r="O4410" s="300" t="s">
        <v>22</v>
      </c>
      <c r="P4410" s="300" t="s">
        <v>22</v>
      </c>
    </row>
    <row r="4411">
      <c r="E4411" s="3"/>
      <c r="F4411" s="300" t="s">
        <v>22</v>
      </c>
      <c r="G4411" s="300" t="s">
        <v>22</v>
      </c>
      <c r="H4411" s="300" t="s">
        <v>22</v>
      </c>
      <c r="I4411" s="300" t="s">
        <v>22</v>
      </c>
      <c r="J4411" s="300" t="s">
        <v>22</v>
      </c>
      <c r="K4411" s="300" t="s">
        <v>22</v>
      </c>
      <c r="L4411" s="300" t="s">
        <v>22</v>
      </c>
      <c r="M4411" s="300" t="s">
        <v>22</v>
      </c>
      <c r="N4411" s="300" t="s">
        <v>22</v>
      </c>
      <c r="O4411" s="300" t="s">
        <v>22</v>
      </c>
      <c r="P4411" s="300" t="s">
        <v>22</v>
      </c>
    </row>
    <row r="4412">
      <c r="E4412" s="3"/>
      <c r="F4412" s="300" t="s">
        <v>22</v>
      </c>
      <c r="G4412" s="300" t="s">
        <v>22</v>
      </c>
      <c r="H4412" s="300" t="s">
        <v>22</v>
      </c>
      <c r="I4412" s="300" t="s">
        <v>22</v>
      </c>
      <c r="J4412" s="300" t="s">
        <v>22</v>
      </c>
      <c r="K4412" s="300" t="s">
        <v>22</v>
      </c>
      <c r="L4412" s="300" t="s">
        <v>22</v>
      </c>
      <c r="M4412" s="300" t="s">
        <v>22</v>
      </c>
      <c r="N4412" s="300" t="s">
        <v>22</v>
      </c>
      <c r="O4412" s="300" t="s">
        <v>22</v>
      </c>
      <c r="P4412" s="300" t="s">
        <v>22</v>
      </c>
    </row>
    <row r="4413">
      <c r="E4413" s="3"/>
      <c r="F4413" s="300" t="s">
        <v>22</v>
      </c>
      <c r="G4413" s="300" t="s">
        <v>22</v>
      </c>
      <c r="H4413" s="300" t="s">
        <v>22</v>
      </c>
      <c r="I4413" s="300" t="s">
        <v>22</v>
      </c>
      <c r="J4413" s="300" t="s">
        <v>22</v>
      </c>
      <c r="K4413" s="300" t="s">
        <v>22</v>
      </c>
      <c r="L4413" s="300" t="s">
        <v>22</v>
      </c>
      <c r="M4413" s="300" t="s">
        <v>22</v>
      </c>
      <c r="N4413" s="300" t="s">
        <v>22</v>
      </c>
      <c r="O4413" s="300" t="s">
        <v>22</v>
      </c>
      <c r="P4413" s="300" t="s">
        <v>22</v>
      </c>
    </row>
    <row r="4414">
      <c r="E4414" s="3"/>
      <c r="F4414" s="300" t="s">
        <v>22</v>
      </c>
      <c r="G4414" s="300" t="s">
        <v>22</v>
      </c>
      <c r="H4414" s="300" t="s">
        <v>22</v>
      </c>
      <c r="I4414" s="300" t="s">
        <v>22</v>
      </c>
      <c r="J4414" s="300" t="s">
        <v>22</v>
      </c>
      <c r="K4414" s="300" t="s">
        <v>22</v>
      </c>
      <c r="L4414" s="300" t="s">
        <v>22</v>
      </c>
      <c r="M4414" s="300" t="s">
        <v>22</v>
      </c>
      <c r="N4414" s="300" t="s">
        <v>22</v>
      </c>
      <c r="O4414" s="300" t="s">
        <v>22</v>
      </c>
      <c r="P4414" s="300" t="s">
        <v>22</v>
      </c>
    </row>
    <row r="4415">
      <c r="E4415" s="3"/>
      <c r="F4415" s="300" t="s">
        <v>22</v>
      </c>
      <c r="G4415" s="300" t="s">
        <v>22</v>
      </c>
      <c r="H4415" s="300" t="s">
        <v>22</v>
      </c>
      <c r="I4415" s="300" t="s">
        <v>22</v>
      </c>
      <c r="J4415" s="300" t="s">
        <v>22</v>
      </c>
      <c r="K4415" s="300" t="s">
        <v>22</v>
      </c>
      <c r="L4415" s="300" t="s">
        <v>22</v>
      </c>
      <c r="M4415" s="300" t="s">
        <v>22</v>
      </c>
      <c r="N4415" s="300" t="s">
        <v>22</v>
      </c>
      <c r="O4415" s="300" t="s">
        <v>22</v>
      </c>
      <c r="P4415" s="300" t="s">
        <v>22</v>
      </c>
    </row>
    <row r="4416">
      <c r="E4416" s="3"/>
      <c r="F4416" s="300" t="s">
        <v>22</v>
      </c>
      <c r="G4416" s="300" t="s">
        <v>22</v>
      </c>
      <c r="H4416" s="300" t="s">
        <v>22</v>
      </c>
      <c r="I4416" s="300" t="s">
        <v>22</v>
      </c>
      <c r="J4416" s="300" t="s">
        <v>22</v>
      </c>
      <c r="K4416" s="300" t="s">
        <v>22</v>
      </c>
      <c r="L4416" s="300" t="s">
        <v>22</v>
      </c>
      <c r="M4416" s="300" t="s">
        <v>22</v>
      </c>
      <c r="N4416" s="300" t="s">
        <v>22</v>
      </c>
      <c r="O4416" s="300" t="s">
        <v>22</v>
      </c>
      <c r="P4416" s="300" t="s">
        <v>22</v>
      </c>
    </row>
    <row r="4417">
      <c r="E4417" s="3"/>
      <c r="F4417" s="300" t="s">
        <v>22</v>
      </c>
      <c r="G4417" s="300" t="s">
        <v>22</v>
      </c>
      <c r="H4417" s="300" t="s">
        <v>22</v>
      </c>
      <c r="I4417" s="300" t="s">
        <v>22</v>
      </c>
      <c r="J4417" s="300" t="s">
        <v>22</v>
      </c>
      <c r="K4417" s="300" t="s">
        <v>22</v>
      </c>
      <c r="L4417" s="300" t="s">
        <v>22</v>
      </c>
      <c r="M4417" s="300" t="s">
        <v>22</v>
      </c>
      <c r="N4417" s="300" t="s">
        <v>22</v>
      </c>
      <c r="O4417" s="300" t="s">
        <v>22</v>
      </c>
      <c r="P4417" s="300" t="s">
        <v>22</v>
      </c>
    </row>
    <row r="4418">
      <c r="E4418" s="3"/>
      <c r="F4418" s="300" t="s">
        <v>22</v>
      </c>
      <c r="G4418" s="300" t="s">
        <v>22</v>
      </c>
      <c r="H4418" s="300" t="s">
        <v>22</v>
      </c>
      <c r="I4418" s="300" t="s">
        <v>22</v>
      </c>
      <c r="J4418" s="300" t="s">
        <v>22</v>
      </c>
      <c r="K4418" s="300" t="s">
        <v>22</v>
      </c>
      <c r="L4418" s="300" t="s">
        <v>22</v>
      </c>
      <c r="M4418" s="300" t="s">
        <v>22</v>
      </c>
      <c r="N4418" s="300" t="s">
        <v>22</v>
      </c>
      <c r="O4418" s="300" t="s">
        <v>22</v>
      </c>
      <c r="P4418" s="300" t="s">
        <v>22</v>
      </c>
    </row>
    <row r="4419">
      <c r="E4419" s="3"/>
      <c r="F4419" s="300" t="s">
        <v>22</v>
      </c>
      <c r="G4419" s="300" t="s">
        <v>22</v>
      </c>
      <c r="H4419" s="300" t="s">
        <v>22</v>
      </c>
      <c r="I4419" s="300" t="s">
        <v>22</v>
      </c>
      <c r="J4419" s="300" t="s">
        <v>22</v>
      </c>
      <c r="K4419" s="300" t="s">
        <v>22</v>
      </c>
      <c r="L4419" s="300" t="s">
        <v>22</v>
      </c>
      <c r="M4419" s="300" t="s">
        <v>22</v>
      </c>
      <c r="N4419" s="300" t="s">
        <v>22</v>
      </c>
      <c r="O4419" s="300" t="s">
        <v>22</v>
      </c>
      <c r="P4419" s="300" t="s">
        <v>22</v>
      </c>
    </row>
    <row r="4420">
      <c r="E4420" s="3"/>
      <c r="F4420" s="300" t="s">
        <v>22</v>
      </c>
      <c r="G4420" s="300" t="s">
        <v>22</v>
      </c>
      <c r="H4420" s="300" t="s">
        <v>22</v>
      </c>
      <c r="I4420" s="300" t="s">
        <v>22</v>
      </c>
      <c r="J4420" s="300" t="s">
        <v>22</v>
      </c>
      <c r="K4420" s="300" t="s">
        <v>22</v>
      </c>
      <c r="L4420" s="300" t="s">
        <v>22</v>
      </c>
      <c r="M4420" s="300" t="s">
        <v>22</v>
      </c>
      <c r="N4420" s="300" t="s">
        <v>22</v>
      </c>
      <c r="O4420" s="300" t="s">
        <v>22</v>
      </c>
      <c r="P4420" s="300" t="s">
        <v>22</v>
      </c>
    </row>
    <row r="4421">
      <c r="E4421" s="3"/>
      <c r="F4421" s="300" t="s">
        <v>22</v>
      </c>
      <c r="G4421" s="300" t="s">
        <v>22</v>
      </c>
      <c r="H4421" s="300" t="s">
        <v>22</v>
      </c>
      <c r="I4421" s="300" t="s">
        <v>22</v>
      </c>
      <c r="J4421" s="300" t="s">
        <v>22</v>
      </c>
      <c r="K4421" s="300" t="s">
        <v>22</v>
      </c>
      <c r="L4421" s="300" t="s">
        <v>22</v>
      </c>
      <c r="M4421" s="300" t="s">
        <v>22</v>
      </c>
      <c r="N4421" s="300" t="s">
        <v>22</v>
      </c>
      <c r="O4421" s="300" t="s">
        <v>22</v>
      </c>
      <c r="P4421" s="300" t="s">
        <v>22</v>
      </c>
    </row>
    <row r="4422">
      <c r="E4422" s="3"/>
      <c r="F4422" s="300" t="s">
        <v>22</v>
      </c>
      <c r="G4422" s="300" t="s">
        <v>22</v>
      </c>
      <c r="H4422" s="300" t="s">
        <v>22</v>
      </c>
      <c r="I4422" s="300" t="s">
        <v>22</v>
      </c>
      <c r="J4422" s="300" t="s">
        <v>22</v>
      </c>
      <c r="K4422" s="300" t="s">
        <v>22</v>
      </c>
      <c r="L4422" s="300" t="s">
        <v>22</v>
      </c>
      <c r="M4422" s="300" t="s">
        <v>22</v>
      </c>
      <c r="N4422" s="300" t="s">
        <v>22</v>
      </c>
      <c r="O4422" s="300" t="s">
        <v>22</v>
      </c>
      <c r="P4422" s="300" t="s">
        <v>22</v>
      </c>
    </row>
    <row r="4423">
      <c r="E4423" s="3"/>
      <c r="F4423" s="300" t="s">
        <v>22</v>
      </c>
      <c r="G4423" s="300" t="s">
        <v>22</v>
      </c>
      <c r="H4423" s="300" t="s">
        <v>22</v>
      </c>
      <c r="I4423" s="300" t="s">
        <v>22</v>
      </c>
      <c r="J4423" s="300" t="s">
        <v>22</v>
      </c>
      <c r="K4423" s="300" t="s">
        <v>22</v>
      </c>
      <c r="L4423" s="300" t="s">
        <v>22</v>
      </c>
      <c r="M4423" s="300" t="s">
        <v>22</v>
      </c>
      <c r="N4423" s="300" t="s">
        <v>22</v>
      </c>
      <c r="O4423" s="300" t="s">
        <v>22</v>
      </c>
      <c r="P4423" s="300" t="s">
        <v>22</v>
      </c>
    </row>
    <row r="4424">
      <c r="E4424" s="3"/>
      <c r="F4424" s="300" t="s">
        <v>22</v>
      </c>
      <c r="G4424" s="300" t="s">
        <v>22</v>
      </c>
      <c r="H4424" s="300" t="s">
        <v>22</v>
      </c>
      <c r="I4424" s="300" t="s">
        <v>22</v>
      </c>
      <c r="J4424" s="300" t="s">
        <v>22</v>
      </c>
      <c r="K4424" s="300" t="s">
        <v>22</v>
      </c>
      <c r="L4424" s="300" t="s">
        <v>22</v>
      </c>
      <c r="M4424" s="300" t="s">
        <v>22</v>
      </c>
      <c r="N4424" s="300" t="s">
        <v>22</v>
      </c>
      <c r="O4424" s="300" t="s">
        <v>22</v>
      </c>
      <c r="P4424" s="300" t="s">
        <v>22</v>
      </c>
    </row>
    <row r="4425">
      <c r="E4425" s="3"/>
      <c r="F4425" s="300" t="s">
        <v>22</v>
      </c>
      <c r="G4425" s="300" t="s">
        <v>22</v>
      </c>
      <c r="H4425" s="300" t="s">
        <v>22</v>
      </c>
      <c r="I4425" s="300" t="s">
        <v>22</v>
      </c>
      <c r="J4425" s="300" t="s">
        <v>22</v>
      </c>
      <c r="K4425" s="300" t="s">
        <v>22</v>
      </c>
      <c r="L4425" s="300" t="s">
        <v>22</v>
      </c>
      <c r="M4425" s="300" t="s">
        <v>22</v>
      </c>
      <c r="N4425" s="300" t="s">
        <v>22</v>
      </c>
      <c r="O4425" s="300" t="s">
        <v>22</v>
      </c>
      <c r="P4425" s="300" t="s">
        <v>22</v>
      </c>
    </row>
    <row r="4426">
      <c r="E4426" s="3"/>
      <c r="F4426" s="300" t="s">
        <v>22</v>
      </c>
      <c r="G4426" s="300" t="s">
        <v>22</v>
      </c>
      <c r="H4426" s="300" t="s">
        <v>22</v>
      </c>
      <c r="I4426" s="300" t="s">
        <v>22</v>
      </c>
      <c r="J4426" s="300" t="s">
        <v>22</v>
      </c>
      <c r="K4426" s="300" t="s">
        <v>22</v>
      </c>
      <c r="L4426" s="300" t="s">
        <v>22</v>
      </c>
      <c r="M4426" s="300" t="s">
        <v>22</v>
      </c>
      <c r="N4426" s="300" t="s">
        <v>22</v>
      </c>
      <c r="O4426" s="300" t="s">
        <v>22</v>
      </c>
      <c r="P4426" s="300" t="s">
        <v>22</v>
      </c>
    </row>
    <row r="4427">
      <c r="E4427" s="3"/>
      <c r="F4427" s="300" t="s">
        <v>22</v>
      </c>
      <c r="G4427" s="300" t="s">
        <v>22</v>
      </c>
      <c r="H4427" s="300" t="s">
        <v>22</v>
      </c>
      <c r="I4427" s="300" t="s">
        <v>22</v>
      </c>
      <c r="J4427" s="300" t="s">
        <v>22</v>
      </c>
      <c r="K4427" s="300" t="s">
        <v>22</v>
      </c>
      <c r="L4427" s="300" t="s">
        <v>22</v>
      </c>
      <c r="M4427" s="300" t="s">
        <v>22</v>
      </c>
      <c r="N4427" s="300" t="s">
        <v>22</v>
      </c>
      <c r="O4427" s="300" t="s">
        <v>22</v>
      </c>
      <c r="P4427" s="300" t="s">
        <v>22</v>
      </c>
    </row>
    <row r="4428">
      <c r="E4428" s="3"/>
      <c r="F4428" s="300" t="s">
        <v>22</v>
      </c>
      <c r="G4428" s="300" t="s">
        <v>22</v>
      </c>
      <c r="H4428" s="300" t="s">
        <v>22</v>
      </c>
      <c r="I4428" s="300" t="s">
        <v>22</v>
      </c>
      <c r="J4428" s="300" t="s">
        <v>22</v>
      </c>
      <c r="K4428" s="300" t="s">
        <v>22</v>
      </c>
      <c r="L4428" s="300" t="s">
        <v>22</v>
      </c>
      <c r="M4428" s="300" t="s">
        <v>22</v>
      </c>
      <c r="N4428" s="300" t="s">
        <v>22</v>
      </c>
      <c r="O4428" s="300" t="s">
        <v>22</v>
      </c>
      <c r="P4428" s="300" t="s">
        <v>22</v>
      </c>
    </row>
    <row r="4429">
      <c r="E4429" s="3"/>
      <c r="F4429" s="300" t="s">
        <v>22</v>
      </c>
      <c r="G4429" s="300" t="s">
        <v>22</v>
      </c>
      <c r="H4429" s="300" t="s">
        <v>22</v>
      </c>
      <c r="I4429" s="300" t="s">
        <v>22</v>
      </c>
      <c r="J4429" s="300" t="s">
        <v>22</v>
      </c>
      <c r="K4429" s="300" t="s">
        <v>22</v>
      </c>
      <c r="L4429" s="300" t="s">
        <v>22</v>
      </c>
      <c r="M4429" s="300" t="s">
        <v>22</v>
      </c>
      <c r="N4429" s="300" t="s">
        <v>22</v>
      </c>
      <c r="O4429" s="300" t="s">
        <v>22</v>
      </c>
      <c r="P4429" s="300" t="s">
        <v>22</v>
      </c>
    </row>
    <row r="4430">
      <c r="E4430" s="3"/>
      <c r="F4430" s="300" t="s">
        <v>22</v>
      </c>
      <c r="G4430" s="300" t="s">
        <v>22</v>
      </c>
      <c r="H4430" s="300" t="s">
        <v>22</v>
      </c>
      <c r="I4430" s="300" t="s">
        <v>22</v>
      </c>
      <c r="J4430" s="300" t="s">
        <v>22</v>
      </c>
      <c r="K4430" s="300" t="s">
        <v>22</v>
      </c>
      <c r="L4430" s="300" t="s">
        <v>22</v>
      </c>
      <c r="M4430" s="300" t="s">
        <v>22</v>
      </c>
      <c r="N4430" s="300" t="s">
        <v>22</v>
      </c>
      <c r="O4430" s="300" t="s">
        <v>22</v>
      </c>
      <c r="P4430" s="300" t="s">
        <v>22</v>
      </c>
    </row>
    <row r="4431">
      <c r="E4431" s="3"/>
      <c r="F4431" s="300" t="s">
        <v>22</v>
      </c>
      <c r="G4431" s="300" t="s">
        <v>22</v>
      </c>
      <c r="H4431" s="300" t="s">
        <v>22</v>
      </c>
      <c r="I4431" s="300" t="s">
        <v>22</v>
      </c>
      <c r="J4431" s="300" t="s">
        <v>22</v>
      </c>
      <c r="K4431" s="300" t="s">
        <v>22</v>
      </c>
      <c r="L4431" s="300" t="s">
        <v>22</v>
      </c>
      <c r="M4431" s="300" t="s">
        <v>22</v>
      </c>
      <c r="N4431" s="300" t="s">
        <v>22</v>
      </c>
      <c r="O4431" s="300" t="s">
        <v>22</v>
      </c>
      <c r="P4431" s="300" t="s">
        <v>22</v>
      </c>
    </row>
    <row r="4432">
      <c r="E4432" s="3"/>
      <c r="F4432" s="300" t="s">
        <v>22</v>
      </c>
      <c r="G4432" s="300" t="s">
        <v>22</v>
      </c>
      <c r="H4432" s="300" t="s">
        <v>22</v>
      </c>
      <c r="I4432" s="300" t="s">
        <v>22</v>
      </c>
      <c r="J4432" s="300" t="s">
        <v>22</v>
      </c>
      <c r="K4432" s="300" t="s">
        <v>22</v>
      </c>
      <c r="L4432" s="300" t="s">
        <v>22</v>
      </c>
      <c r="M4432" s="300" t="s">
        <v>22</v>
      </c>
      <c r="N4432" s="300" t="s">
        <v>22</v>
      </c>
      <c r="O4432" s="300" t="s">
        <v>22</v>
      </c>
      <c r="P4432" s="300" t="s">
        <v>22</v>
      </c>
    </row>
    <row r="4433">
      <c r="E4433" s="3"/>
      <c r="F4433" s="300" t="s">
        <v>22</v>
      </c>
      <c r="G4433" s="300" t="s">
        <v>22</v>
      </c>
      <c r="H4433" s="300" t="s">
        <v>22</v>
      </c>
      <c r="I4433" s="300" t="s">
        <v>22</v>
      </c>
      <c r="J4433" s="300" t="s">
        <v>22</v>
      </c>
      <c r="K4433" s="300" t="s">
        <v>22</v>
      </c>
      <c r="L4433" s="300" t="s">
        <v>22</v>
      </c>
      <c r="M4433" s="300" t="s">
        <v>22</v>
      </c>
      <c r="N4433" s="300" t="s">
        <v>22</v>
      </c>
      <c r="O4433" s="300" t="s">
        <v>22</v>
      </c>
      <c r="P4433" s="300" t="s">
        <v>22</v>
      </c>
    </row>
    <row r="4434">
      <c r="E4434" s="3"/>
      <c r="F4434" s="300" t="s">
        <v>22</v>
      </c>
      <c r="G4434" s="300" t="s">
        <v>22</v>
      </c>
      <c r="H4434" s="300" t="s">
        <v>22</v>
      </c>
      <c r="I4434" s="300" t="s">
        <v>22</v>
      </c>
      <c r="J4434" s="300" t="s">
        <v>22</v>
      </c>
      <c r="K4434" s="300" t="s">
        <v>22</v>
      </c>
      <c r="L4434" s="300" t="s">
        <v>22</v>
      </c>
      <c r="M4434" s="300" t="s">
        <v>22</v>
      </c>
      <c r="N4434" s="300" t="s">
        <v>22</v>
      </c>
      <c r="O4434" s="300" t="s">
        <v>22</v>
      </c>
      <c r="P4434" s="300" t="s">
        <v>22</v>
      </c>
    </row>
    <row r="4435">
      <c r="E4435" s="3"/>
      <c r="F4435" s="300" t="s">
        <v>22</v>
      </c>
      <c r="G4435" s="300" t="s">
        <v>22</v>
      </c>
      <c r="H4435" s="300" t="s">
        <v>22</v>
      </c>
      <c r="I4435" s="300" t="s">
        <v>22</v>
      </c>
      <c r="J4435" s="300" t="s">
        <v>22</v>
      </c>
      <c r="K4435" s="300" t="s">
        <v>22</v>
      </c>
      <c r="L4435" s="300" t="s">
        <v>22</v>
      </c>
      <c r="M4435" s="300" t="s">
        <v>22</v>
      </c>
      <c r="N4435" s="300" t="s">
        <v>22</v>
      </c>
      <c r="O4435" s="300" t="s">
        <v>22</v>
      </c>
      <c r="P4435" s="300" t="s">
        <v>22</v>
      </c>
    </row>
    <row r="4436">
      <c r="E4436" s="3"/>
      <c r="F4436" s="300" t="s">
        <v>22</v>
      </c>
      <c r="G4436" s="300" t="s">
        <v>22</v>
      </c>
      <c r="H4436" s="300" t="s">
        <v>22</v>
      </c>
      <c r="I4436" s="300" t="s">
        <v>22</v>
      </c>
      <c r="J4436" s="300" t="s">
        <v>22</v>
      </c>
      <c r="K4436" s="300" t="s">
        <v>22</v>
      </c>
      <c r="L4436" s="300" t="s">
        <v>22</v>
      </c>
      <c r="M4436" s="300" t="s">
        <v>22</v>
      </c>
      <c r="N4436" s="300" t="s">
        <v>22</v>
      </c>
      <c r="O4436" s="300" t="s">
        <v>22</v>
      </c>
      <c r="P4436" s="300" t="s">
        <v>22</v>
      </c>
    </row>
    <row r="4437">
      <c r="E4437" s="3"/>
      <c r="F4437" s="300" t="s">
        <v>22</v>
      </c>
      <c r="G4437" s="300" t="s">
        <v>22</v>
      </c>
      <c r="H4437" s="300" t="s">
        <v>22</v>
      </c>
      <c r="I4437" s="300" t="s">
        <v>22</v>
      </c>
      <c r="J4437" s="300" t="s">
        <v>22</v>
      </c>
      <c r="K4437" s="300" t="s">
        <v>22</v>
      </c>
      <c r="L4437" s="300" t="s">
        <v>22</v>
      </c>
      <c r="M4437" s="300" t="s">
        <v>22</v>
      </c>
      <c r="N4437" s="300" t="s">
        <v>22</v>
      </c>
      <c r="O4437" s="300" t="s">
        <v>22</v>
      </c>
      <c r="P4437" s="300" t="s">
        <v>22</v>
      </c>
    </row>
    <row r="4438">
      <c r="E4438" s="3"/>
      <c r="F4438" s="300" t="s">
        <v>22</v>
      </c>
      <c r="G4438" s="300" t="s">
        <v>22</v>
      </c>
      <c r="H4438" s="300" t="s">
        <v>22</v>
      </c>
      <c r="I4438" s="300" t="s">
        <v>22</v>
      </c>
      <c r="J4438" s="300" t="s">
        <v>22</v>
      </c>
      <c r="K4438" s="300" t="s">
        <v>22</v>
      </c>
      <c r="L4438" s="300" t="s">
        <v>22</v>
      </c>
      <c r="M4438" s="300" t="s">
        <v>22</v>
      </c>
      <c r="N4438" s="300" t="s">
        <v>22</v>
      </c>
      <c r="O4438" s="300" t="s">
        <v>22</v>
      </c>
      <c r="P4438" s="300" t="s">
        <v>22</v>
      </c>
    </row>
    <row r="4439">
      <c r="E4439" s="3"/>
      <c r="F4439" s="300" t="s">
        <v>22</v>
      </c>
      <c r="G4439" s="300" t="s">
        <v>22</v>
      </c>
      <c r="H4439" s="300" t="s">
        <v>22</v>
      </c>
      <c r="I4439" s="300" t="s">
        <v>22</v>
      </c>
      <c r="J4439" s="300" t="s">
        <v>22</v>
      </c>
      <c r="K4439" s="300" t="s">
        <v>22</v>
      </c>
      <c r="L4439" s="300" t="s">
        <v>22</v>
      </c>
      <c r="M4439" s="300" t="s">
        <v>22</v>
      </c>
      <c r="N4439" s="300" t="s">
        <v>22</v>
      </c>
      <c r="O4439" s="300" t="s">
        <v>22</v>
      </c>
      <c r="P4439" s="300" t="s">
        <v>22</v>
      </c>
    </row>
    <row r="4440">
      <c r="E4440" s="3"/>
      <c r="F4440" s="300" t="s">
        <v>22</v>
      </c>
      <c r="G4440" s="300" t="s">
        <v>22</v>
      </c>
      <c r="H4440" s="300" t="s">
        <v>22</v>
      </c>
      <c r="I4440" s="300" t="s">
        <v>22</v>
      </c>
      <c r="J4440" s="300" t="s">
        <v>22</v>
      </c>
      <c r="K4440" s="300" t="s">
        <v>22</v>
      </c>
      <c r="L4440" s="300" t="s">
        <v>22</v>
      </c>
      <c r="M4440" s="300" t="s">
        <v>22</v>
      </c>
      <c r="N4440" s="300" t="s">
        <v>22</v>
      </c>
      <c r="O4440" s="300" t="s">
        <v>22</v>
      </c>
      <c r="P4440" s="300" t="s">
        <v>22</v>
      </c>
    </row>
    <row r="4441">
      <c r="E4441" s="3"/>
      <c r="F4441" s="300" t="s">
        <v>22</v>
      </c>
      <c r="G4441" s="300" t="s">
        <v>22</v>
      </c>
      <c r="H4441" s="300" t="s">
        <v>22</v>
      </c>
      <c r="I4441" s="300" t="s">
        <v>22</v>
      </c>
      <c r="J4441" s="300" t="s">
        <v>22</v>
      </c>
      <c r="K4441" s="300" t="s">
        <v>22</v>
      </c>
      <c r="L4441" s="300" t="s">
        <v>22</v>
      </c>
      <c r="M4441" s="300" t="s">
        <v>22</v>
      </c>
      <c r="N4441" s="300" t="s">
        <v>22</v>
      </c>
      <c r="O4441" s="300" t="s">
        <v>22</v>
      </c>
      <c r="P4441" s="300" t="s">
        <v>22</v>
      </c>
    </row>
    <row r="4442">
      <c r="E4442" s="3"/>
      <c r="F4442" s="300" t="s">
        <v>22</v>
      </c>
      <c r="G4442" s="300" t="s">
        <v>22</v>
      </c>
      <c r="H4442" s="300" t="s">
        <v>22</v>
      </c>
      <c r="I4442" s="300" t="s">
        <v>22</v>
      </c>
      <c r="J4442" s="300" t="s">
        <v>22</v>
      </c>
      <c r="K4442" s="300" t="s">
        <v>22</v>
      </c>
      <c r="L4442" s="300" t="s">
        <v>22</v>
      </c>
      <c r="M4442" s="300" t="s">
        <v>22</v>
      </c>
      <c r="N4442" s="300" t="s">
        <v>22</v>
      </c>
      <c r="O4442" s="300" t="s">
        <v>22</v>
      </c>
      <c r="P4442" s="300" t="s">
        <v>22</v>
      </c>
    </row>
    <row r="4443">
      <c r="E4443" s="3"/>
      <c r="F4443" s="300" t="s">
        <v>22</v>
      </c>
      <c r="G4443" s="300" t="s">
        <v>22</v>
      </c>
      <c r="H4443" s="300" t="s">
        <v>22</v>
      </c>
      <c r="I4443" s="300" t="s">
        <v>22</v>
      </c>
      <c r="J4443" s="300" t="s">
        <v>22</v>
      </c>
      <c r="K4443" s="300" t="s">
        <v>22</v>
      </c>
      <c r="L4443" s="300" t="s">
        <v>22</v>
      </c>
      <c r="M4443" s="300" t="s">
        <v>22</v>
      </c>
      <c r="N4443" s="300" t="s">
        <v>22</v>
      </c>
      <c r="O4443" s="300" t="s">
        <v>22</v>
      </c>
      <c r="P4443" s="300" t="s">
        <v>22</v>
      </c>
    </row>
    <row r="4444">
      <c r="E4444" s="3"/>
      <c r="F4444" s="300" t="s">
        <v>22</v>
      </c>
      <c r="G4444" s="300" t="s">
        <v>22</v>
      </c>
      <c r="H4444" s="300" t="s">
        <v>22</v>
      </c>
      <c r="I4444" s="300" t="s">
        <v>22</v>
      </c>
      <c r="J4444" s="300" t="s">
        <v>22</v>
      </c>
      <c r="K4444" s="300" t="s">
        <v>22</v>
      </c>
      <c r="L4444" s="300" t="s">
        <v>22</v>
      </c>
      <c r="M4444" s="300" t="s">
        <v>22</v>
      </c>
      <c r="N4444" s="300" t="s">
        <v>22</v>
      </c>
      <c r="O4444" s="300" t="s">
        <v>22</v>
      </c>
      <c r="P4444" s="300" t="s">
        <v>22</v>
      </c>
    </row>
    <row r="4445">
      <c r="E4445" s="3"/>
      <c r="F4445" s="300" t="s">
        <v>22</v>
      </c>
      <c r="G4445" s="300" t="s">
        <v>22</v>
      </c>
      <c r="H4445" s="300" t="s">
        <v>22</v>
      </c>
      <c r="I4445" s="300" t="s">
        <v>22</v>
      </c>
      <c r="J4445" s="300" t="s">
        <v>22</v>
      </c>
      <c r="K4445" s="300" t="s">
        <v>22</v>
      </c>
      <c r="L4445" s="300" t="s">
        <v>22</v>
      </c>
      <c r="M4445" s="300" t="s">
        <v>22</v>
      </c>
      <c r="N4445" s="300" t="s">
        <v>22</v>
      </c>
      <c r="O4445" s="300" t="s">
        <v>22</v>
      </c>
      <c r="P4445" s="300" t="s">
        <v>22</v>
      </c>
    </row>
    <row r="4446">
      <c r="E4446" s="3"/>
      <c r="F4446" s="300" t="s">
        <v>22</v>
      </c>
      <c r="G4446" s="300" t="s">
        <v>22</v>
      </c>
      <c r="H4446" s="300" t="s">
        <v>22</v>
      </c>
      <c r="I4446" s="300" t="s">
        <v>22</v>
      </c>
      <c r="J4446" s="300" t="s">
        <v>22</v>
      </c>
      <c r="K4446" s="300" t="s">
        <v>22</v>
      </c>
      <c r="L4446" s="300" t="s">
        <v>22</v>
      </c>
      <c r="M4446" s="300" t="s">
        <v>22</v>
      </c>
      <c r="N4446" s="300" t="s">
        <v>22</v>
      </c>
      <c r="O4446" s="300" t="s">
        <v>22</v>
      </c>
      <c r="P4446" s="300" t="s">
        <v>22</v>
      </c>
    </row>
    <row r="4447">
      <c r="E4447" s="3"/>
      <c r="F4447" s="300" t="s">
        <v>22</v>
      </c>
      <c r="G4447" s="300" t="s">
        <v>22</v>
      </c>
      <c r="H4447" s="300" t="s">
        <v>22</v>
      </c>
      <c r="I4447" s="300" t="s">
        <v>22</v>
      </c>
      <c r="J4447" s="300" t="s">
        <v>22</v>
      </c>
      <c r="K4447" s="300" t="s">
        <v>22</v>
      </c>
      <c r="L4447" s="300" t="s">
        <v>22</v>
      </c>
      <c r="M4447" s="300" t="s">
        <v>22</v>
      </c>
      <c r="N4447" s="300" t="s">
        <v>22</v>
      </c>
      <c r="O4447" s="300" t="s">
        <v>22</v>
      </c>
      <c r="P4447" s="300" t="s">
        <v>22</v>
      </c>
    </row>
    <row r="4448">
      <c r="E4448" s="3"/>
      <c r="F4448" s="300" t="s">
        <v>22</v>
      </c>
      <c r="G4448" s="300" t="s">
        <v>22</v>
      </c>
      <c r="H4448" s="300" t="s">
        <v>22</v>
      </c>
      <c r="I4448" s="300" t="s">
        <v>22</v>
      </c>
      <c r="J4448" s="300" t="s">
        <v>22</v>
      </c>
      <c r="K4448" s="300" t="s">
        <v>22</v>
      </c>
      <c r="L4448" s="300" t="s">
        <v>22</v>
      </c>
      <c r="M4448" s="300" t="s">
        <v>22</v>
      </c>
      <c r="N4448" s="300" t="s">
        <v>22</v>
      </c>
      <c r="O4448" s="300" t="s">
        <v>22</v>
      </c>
      <c r="P4448" s="300" t="s">
        <v>22</v>
      </c>
    </row>
    <row r="4449">
      <c r="E4449" s="3"/>
      <c r="F4449" s="300" t="s">
        <v>22</v>
      </c>
      <c r="G4449" s="300" t="s">
        <v>22</v>
      </c>
      <c r="H4449" s="300" t="s">
        <v>22</v>
      </c>
      <c r="I4449" s="300" t="s">
        <v>22</v>
      </c>
      <c r="J4449" s="300" t="s">
        <v>22</v>
      </c>
      <c r="K4449" s="300" t="s">
        <v>22</v>
      </c>
      <c r="L4449" s="300" t="s">
        <v>22</v>
      </c>
      <c r="M4449" s="300" t="s">
        <v>22</v>
      </c>
      <c r="N4449" s="300" t="s">
        <v>22</v>
      </c>
      <c r="O4449" s="300" t="s">
        <v>22</v>
      </c>
      <c r="P4449" s="300" t="s">
        <v>22</v>
      </c>
    </row>
    <row r="4450">
      <c r="E4450" s="3"/>
      <c r="F4450" s="300" t="s">
        <v>22</v>
      </c>
      <c r="G4450" s="300" t="s">
        <v>22</v>
      </c>
      <c r="H4450" s="300" t="s">
        <v>22</v>
      </c>
      <c r="I4450" s="300" t="s">
        <v>22</v>
      </c>
      <c r="J4450" s="300" t="s">
        <v>22</v>
      </c>
      <c r="K4450" s="300" t="s">
        <v>22</v>
      </c>
      <c r="L4450" s="300" t="s">
        <v>22</v>
      </c>
      <c r="M4450" s="300" t="s">
        <v>22</v>
      </c>
      <c r="N4450" s="300" t="s">
        <v>22</v>
      </c>
      <c r="O4450" s="300" t="s">
        <v>22</v>
      </c>
      <c r="P4450" s="300" t="s">
        <v>22</v>
      </c>
    </row>
    <row r="4451">
      <c r="E4451" s="3"/>
      <c r="F4451" s="300" t="s">
        <v>22</v>
      </c>
      <c r="G4451" s="300" t="s">
        <v>22</v>
      </c>
      <c r="H4451" s="300" t="s">
        <v>22</v>
      </c>
      <c r="I4451" s="300" t="s">
        <v>22</v>
      </c>
      <c r="J4451" s="300" t="s">
        <v>22</v>
      </c>
      <c r="K4451" s="300" t="s">
        <v>22</v>
      </c>
      <c r="L4451" s="300" t="s">
        <v>22</v>
      </c>
      <c r="M4451" s="300" t="s">
        <v>22</v>
      </c>
      <c r="N4451" s="300" t="s">
        <v>22</v>
      </c>
      <c r="O4451" s="300" t="s">
        <v>22</v>
      </c>
      <c r="P4451" s="300" t="s">
        <v>22</v>
      </c>
    </row>
    <row r="4452">
      <c r="E4452" s="3"/>
      <c r="F4452" s="300" t="s">
        <v>22</v>
      </c>
      <c r="G4452" s="300" t="s">
        <v>22</v>
      </c>
      <c r="H4452" s="300" t="s">
        <v>22</v>
      </c>
      <c r="I4452" s="300" t="s">
        <v>22</v>
      </c>
      <c r="J4452" s="300" t="s">
        <v>22</v>
      </c>
      <c r="K4452" s="300" t="s">
        <v>22</v>
      </c>
      <c r="L4452" s="300" t="s">
        <v>22</v>
      </c>
      <c r="M4452" s="300" t="s">
        <v>22</v>
      </c>
      <c r="N4452" s="300" t="s">
        <v>22</v>
      </c>
      <c r="O4452" s="300" t="s">
        <v>22</v>
      </c>
      <c r="P4452" s="300" t="s">
        <v>22</v>
      </c>
    </row>
    <row r="4453">
      <c r="E4453" s="3"/>
      <c r="F4453" s="300" t="s">
        <v>22</v>
      </c>
      <c r="G4453" s="300" t="s">
        <v>22</v>
      </c>
      <c r="H4453" s="300" t="s">
        <v>22</v>
      </c>
      <c r="I4453" s="300" t="s">
        <v>22</v>
      </c>
      <c r="J4453" s="300" t="s">
        <v>22</v>
      </c>
      <c r="K4453" s="300" t="s">
        <v>22</v>
      </c>
      <c r="L4453" s="300" t="s">
        <v>22</v>
      </c>
      <c r="M4453" s="300" t="s">
        <v>22</v>
      </c>
      <c r="N4453" s="300" t="s">
        <v>22</v>
      </c>
      <c r="O4453" s="300" t="s">
        <v>22</v>
      </c>
      <c r="P4453" s="300" t="s">
        <v>22</v>
      </c>
    </row>
    <row r="4454">
      <c r="E4454" s="3"/>
      <c r="F4454" s="300" t="s">
        <v>22</v>
      </c>
      <c r="G4454" s="300" t="s">
        <v>22</v>
      </c>
      <c r="H4454" s="300" t="s">
        <v>22</v>
      </c>
      <c r="I4454" s="300" t="s">
        <v>22</v>
      </c>
      <c r="J4454" s="300" t="s">
        <v>22</v>
      </c>
      <c r="K4454" s="300" t="s">
        <v>22</v>
      </c>
      <c r="L4454" s="300" t="s">
        <v>22</v>
      </c>
      <c r="M4454" s="300" t="s">
        <v>22</v>
      </c>
      <c r="N4454" s="300" t="s">
        <v>22</v>
      </c>
      <c r="O4454" s="300" t="s">
        <v>22</v>
      </c>
      <c r="P4454" s="300" t="s">
        <v>22</v>
      </c>
    </row>
    <row r="4455">
      <c r="E4455" s="3"/>
      <c r="F4455" s="300" t="s">
        <v>22</v>
      </c>
      <c r="G4455" s="300" t="s">
        <v>22</v>
      </c>
      <c r="H4455" s="300" t="s">
        <v>22</v>
      </c>
      <c r="I4455" s="300" t="s">
        <v>22</v>
      </c>
      <c r="J4455" s="300" t="s">
        <v>22</v>
      </c>
      <c r="K4455" s="300" t="s">
        <v>22</v>
      </c>
      <c r="L4455" s="300" t="s">
        <v>22</v>
      </c>
      <c r="M4455" s="300" t="s">
        <v>22</v>
      </c>
      <c r="N4455" s="300" t="s">
        <v>22</v>
      </c>
      <c r="O4455" s="300" t="s">
        <v>22</v>
      </c>
      <c r="P4455" s="300" t="s">
        <v>22</v>
      </c>
    </row>
    <row r="4456">
      <c r="E4456" s="3"/>
      <c r="F4456" s="300" t="s">
        <v>22</v>
      </c>
      <c r="G4456" s="300" t="s">
        <v>22</v>
      </c>
      <c r="H4456" s="300" t="s">
        <v>22</v>
      </c>
      <c r="I4456" s="300" t="s">
        <v>22</v>
      </c>
      <c r="J4456" s="300" t="s">
        <v>22</v>
      </c>
      <c r="K4456" s="300" t="s">
        <v>22</v>
      </c>
      <c r="L4456" s="300" t="s">
        <v>22</v>
      </c>
      <c r="M4456" s="300" t="s">
        <v>22</v>
      </c>
      <c r="N4456" s="300" t="s">
        <v>22</v>
      </c>
      <c r="O4456" s="300" t="s">
        <v>22</v>
      </c>
      <c r="P4456" s="300" t="s">
        <v>22</v>
      </c>
    </row>
    <row r="4457">
      <c r="E4457" s="3"/>
      <c r="F4457" s="300" t="s">
        <v>22</v>
      </c>
      <c r="G4457" s="300" t="s">
        <v>22</v>
      </c>
      <c r="H4457" s="300" t="s">
        <v>22</v>
      </c>
      <c r="I4457" s="300" t="s">
        <v>22</v>
      </c>
      <c r="J4457" s="300" t="s">
        <v>22</v>
      </c>
      <c r="K4457" s="300" t="s">
        <v>22</v>
      </c>
      <c r="L4457" s="300" t="s">
        <v>22</v>
      </c>
      <c r="M4457" s="300" t="s">
        <v>22</v>
      </c>
      <c r="N4457" s="300" t="s">
        <v>22</v>
      </c>
      <c r="O4457" s="300" t="s">
        <v>22</v>
      </c>
      <c r="P4457" s="300" t="s">
        <v>22</v>
      </c>
    </row>
    <row r="4458">
      <c r="E4458" s="3"/>
      <c r="F4458" s="300" t="s">
        <v>22</v>
      </c>
      <c r="G4458" s="300" t="s">
        <v>22</v>
      </c>
      <c r="H4458" s="300" t="s">
        <v>22</v>
      </c>
      <c r="I4458" s="300" t="s">
        <v>22</v>
      </c>
      <c r="J4458" s="300" t="s">
        <v>22</v>
      </c>
      <c r="K4458" s="300" t="s">
        <v>22</v>
      </c>
      <c r="L4458" s="300" t="s">
        <v>22</v>
      </c>
      <c r="M4458" s="300" t="s">
        <v>22</v>
      </c>
      <c r="N4458" s="300" t="s">
        <v>22</v>
      </c>
      <c r="O4458" s="300" t="s">
        <v>22</v>
      </c>
      <c r="P4458" s="300" t="s">
        <v>22</v>
      </c>
    </row>
    <row r="4459">
      <c r="E4459" s="3"/>
      <c r="F4459" s="300" t="s">
        <v>22</v>
      </c>
      <c r="G4459" s="300" t="s">
        <v>22</v>
      </c>
      <c r="H4459" s="300" t="s">
        <v>22</v>
      </c>
      <c r="I4459" s="300" t="s">
        <v>22</v>
      </c>
      <c r="J4459" s="300" t="s">
        <v>22</v>
      </c>
      <c r="K4459" s="300" t="s">
        <v>22</v>
      </c>
      <c r="L4459" s="300" t="s">
        <v>22</v>
      </c>
      <c r="M4459" s="300" t="s">
        <v>22</v>
      </c>
      <c r="N4459" s="300" t="s">
        <v>22</v>
      </c>
      <c r="O4459" s="300" t="s">
        <v>22</v>
      </c>
      <c r="P4459" s="300" t="s">
        <v>22</v>
      </c>
    </row>
    <row r="4460">
      <c r="E4460" s="3"/>
      <c r="F4460" s="300" t="s">
        <v>22</v>
      </c>
      <c r="G4460" s="300" t="s">
        <v>22</v>
      </c>
      <c r="H4460" s="300" t="s">
        <v>22</v>
      </c>
      <c r="I4460" s="300" t="s">
        <v>22</v>
      </c>
      <c r="J4460" s="300" t="s">
        <v>22</v>
      </c>
      <c r="K4460" s="300" t="s">
        <v>22</v>
      </c>
      <c r="L4460" s="300" t="s">
        <v>22</v>
      </c>
      <c r="M4460" s="300" t="s">
        <v>22</v>
      </c>
      <c r="N4460" s="300" t="s">
        <v>22</v>
      </c>
      <c r="O4460" s="300" t="s">
        <v>22</v>
      </c>
      <c r="P4460" s="300" t="s">
        <v>22</v>
      </c>
    </row>
    <row r="4461">
      <c r="E4461" s="3"/>
      <c r="F4461" s="300" t="s">
        <v>22</v>
      </c>
      <c r="G4461" s="300" t="s">
        <v>22</v>
      </c>
      <c r="H4461" s="300" t="s">
        <v>22</v>
      </c>
      <c r="I4461" s="300" t="s">
        <v>22</v>
      </c>
      <c r="J4461" s="300" t="s">
        <v>22</v>
      </c>
      <c r="K4461" s="300" t="s">
        <v>22</v>
      </c>
      <c r="L4461" s="300" t="s">
        <v>22</v>
      </c>
      <c r="M4461" s="300" t="s">
        <v>22</v>
      </c>
      <c r="N4461" s="300" t="s">
        <v>22</v>
      </c>
      <c r="O4461" s="300" t="s">
        <v>22</v>
      </c>
      <c r="P4461" s="300" t="s">
        <v>22</v>
      </c>
    </row>
    <row r="4462">
      <c r="E4462" s="3"/>
      <c r="F4462" s="300" t="s">
        <v>22</v>
      </c>
      <c r="G4462" s="300" t="s">
        <v>22</v>
      </c>
      <c r="H4462" s="300" t="s">
        <v>22</v>
      </c>
      <c r="I4462" s="300" t="s">
        <v>22</v>
      </c>
      <c r="J4462" s="300" t="s">
        <v>22</v>
      </c>
      <c r="K4462" s="300" t="s">
        <v>22</v>
      </c>
      <c r="L4462" s="300" t="s">
        <v>22</v>
      </c>
      <c r="M4462" s="300" t="s">
        <v>22</v>
      </c>
      <c r="N4462" s="300" t="s">
        <v>22</v>
      </c>
      <c r="O4462" s="300" t="s">
        <v>22</v>
      </c>
      <c r="P4462" s="300" t="s">
        <v>22</v>
      </c>
    </row>
    <row r="4463">
      <c r="E4463" s="3"/>
      <c r="F4463" s="300" t="s">
        <v>22</v>
      </c>
      <c r="G4463" s="300" t="s">
        <v>22</v>
      </c>
      <c r="H4463" s="300" t="s">
        <v>22</v>
      </c>
      <c r="I4463" s="300" t="s">
        <v>22</v>
      </c>
      <c r="J4463" s="300" t="s">
        <v>22</v>
      </c>
      <c r="K4463" s="300" t="s">
        <v>22</v>
      </c>
      <c r="L4463" s="300" t="s">
        <v>22</v>
      </c>
      <c r="M4463" s="300" t="s">
        <v>22</v>
      </c>
      <c r="N4463" s="300" t="s">
        <v>22</v>
      </c>
      <c r="O4463" s="300" t="s">
        <v>22</v>
      </c>
      <c r="P4463" s="300" t="s">
        <v>22</v>
      </c>
    </row>
    <row r="4464">
      <c r="E4464" s="3"/>
      <c r="F4464" s="300" t="s">
        <v>22</v>
      </c>
      <c r="G4464" s="300" t="s">
        <v>22</v>
      </c>
      <c r="H4464" s="300" t="s">
        <v>22</v>
      </c>
      <c r="I4464" s="300" t="s">
        <v>22</v>
      </c>
      <c r="J4464" s="300" t="s">
        <v>22</v>
      </c>
      <c r="K4464" s="300" t="s">
        <v>22</v>
      </c>
      <c r="L4464" s="300" t="s">
        <v>22</v>
      </c>
      <c r="M4464" s="300" t="s">
        <v>22</v>
      </c>
      <c r="N4464" s="300" t="s">
        <v>22</v>
      </c>
      <c r="O4464" s="300" t="s">
        <v>22</v>
      </c>
      <c r="P4464" s="300" t="s">
        <v>22</v>
      </c>
    </row>
    <row r="4465">
      <c r="E4465" s="3"/>
      <c r="F4465" s="300" t="s">
        <v>22</v>
      </c>
      <c r="G4465" s="300" t="s">
        <v>22</v>
      </c>
      <c r="H4465" s="300" t="s">
        <v>22</v>
      </c>
      <c r="I4465" s="300" t="s">
        <v>22</v>
      </c>
      <c r="J4465" s="300" t="s">
        <v>22</v>
      </c>
      <c r="K4465" s="300" t="s">
        <v>22</v>
      </c>
      <c r="L4465" s="300" t="s">
        <v>22</v>
      </c>
      <c r="M4465" s="300" t="s">
        <v>22</v>
      </c>
      <c r="N4465" s="300" t="s">
        <v>22</v>
      </c>
      <c r="O4465" s="300" t="s">
        <v>22</v>
      </c>
      <c r="P4465" s="300" t="s">
        <v>22</v>
      </c>
    </row>
    <row r="4466">
      <c r="E4466" s="3"/>
      <c r="F4466" s="300" t="s">
        <v>22</v>
      </c>
      <c r="G4466" s="300" t="s">
        <v>22</v>
      </c>
      <c r="H4466" s="300" t="s">
        <v>22</v>
      </c>
      <c r="I4466" s="300" t="s">
        <v>22</v>
      </c>
      <c r="J4466" s="300" t="s">
        <v>22</v>
      </c>
      <c r="K4466" s="300" t="s">
        <v>22</v>
      </c>
      <c r="L4466" s="300" t="s">
        <v>22</v>
      </c>
      <c r="M4466" s="300" t="s">
        <v>22</v>
      </c>
      <c r="N4466" s="300" t="s">
        <v>22</v>
      </c>
      <c r="O4466" s="300" t="s">
        <v>22</v>
      </c>
      <c r="P4466" s="300" t="s">
        <v>22</v>
      </c>
    </row>
    <row r="4467">
      <c r="E4467" s="3"/>
      <c r="F4467" s="300" t="s">
        <v>22</v>
      </c>
      <c r="G4467" s="300" t="s">
        <v>22</v>
      </c>
      <c r="H4467" s="300" t="s">
        <v>22</v>
      </c>
      <c r="I4467" s="300" t="s">
        <v>22</v>
      </c>
      <c r="J4467" s="300" t="s">
        <v>22</v>
      </c>
      <c r="K4467" s="300" t="s">
        <v>22</v>
      </c>
      <c r="L4467" s="300" t="s">
        <v>22</v>
      </c>
      <c r="M4467" s="300" t="s">
        <v>22</v>
      </c>
      <c r="N4467" s="300" t="s">
        <v>22</v>
      </c>
      <c r="O4467" s="300" t="s">
        <v>22</v>
      </c>
      <c r="P4467" s="300" t="s">
        <v>22</v>
      </c>
    </row>
    <row r="4468">
      <c r="E4468" s="3"/>
      <c r="F4468" s="300" t="s">
        <v>22</v>
      </c>
      <c r="G4468" s="300" t="s">
        <v>22</v>
      </c>
      <c r="H4468" s="300" t="s">
        <v>22</v>
      </c>
      <c r="I4468" s="300" t="s">
        <v>22</v>
      </c>
      <c r="J4468" s="300" t="s">
        <v>22</v>
      </c>
      <c r="K4468" s="300" t="s">
        <v>22</v>
      </c>
      <c r="L4468" s="300" t="s">
        <v>22</v>
      </c>
      <c r="M4468" s="300" t="s">
        <v>22</v>
      </c>
      <c r="N4468" s="300" t="s">
        <v>22</v>
      </c>
      <c r="O4468" s="300" t="s">
        <v>22</v>
      </c>
      <c r="P4468" s="300" t="s">
        <v>22</v>
      </c>
    </row>
    <row r="4469">
      <c r="E4469" s="3"/>
      <c r="F4469" s="300" t="s">
        <v>22</v>
      </c>
      <c r="G4469" s="300" t="s">
        <v>22</v>
      </c>
      <c r="H4469" s="300" t="s">
        <v>22</v>
      </c>
      <c r="I4469" s="300" t="s">
        <v>22</v>
      </c>
      <c r="J4469" s="300" t="s">
        <v>22</v>
      </c>
      <c r="K4469" s="300" t="s">
        <v>22</v>
      </c>
      <c r="L4469" s="300" t="s">
        <v>22</v>
      </c>
      <c r="M4469" s="300" t="s">
        <v>22</v>
      </c>
      <c r="N4469" s="300" t="s">
        <v>22</v>
      </c>
      <c r="O4469" s="300" t="s">
        <v>22</v>
      </c>
      <c r="P4469" s="300" t="s">
        <v>22</v>
      </c>
    </row>
    <row r="4470">
      <c r="E4470" s="3"/>
      <c r="F4470" s="300" t="s">
        <v>22</v>
      </c>
      <c r="G4470" s="300" t="s">
        <v>22</v>
      </c>
      <c r="H4470" s="300" t="s">
        <v>22</v>
      </c>
      <c r="I4470" s="300" t="s">
        <v>22</v>
      </c>
      <c r="J4470" s="300" t="s">
        <v>22</v>
      </c>
      <c r="K4470" s="300" t="s">
        <v>22</v>
      </c>
      <c r="L4470" s="300" t="s">
        <v>22</v>
      </c>
      <c r="M4470" s="300" t="s">
        <v>22</v>
      </c>
      <c r="N4470" s="300" t="s">
        <v>22</v>
      </c>
      <c r="O4470" s="300" t="s">
        <v>22</v>
      </c>
      <c r="P4470" s="300" t="s">
        <v>22</v>
      </c>
    </row>
    <row r="4471">
      <c r="E4471" s="3"/>
      <c r="F4471" s="300" t="s">
        <v>22</v>
      </c>
      <c r="G4471" s="300" t="s">
        <v>22</v>
      </c>
      <c r="H4471" s="300" t="s">
        <v>22</v>
      </c>
      <c r="I4471" s="300" t="s">
        <v>22</v>
      </c>
      <c r="J4471" s="300" t="s">
        <v>22</v>
      </c>
      <c r="K4471" s="300" t="s">
        <v>22</v>
      </c>
      <c r="L4471" s="300" t="s">
        <v>22</v>
      </c>
      <c r="M4471" s="300" t="s">
        <v>22</v>
      </c>
      <c r="N4471" s="300" t="s">
        <v>22</v>
      </c>
      <c r="O4471" s="300" t="s">
        <v>22</v>
      </c>
      <c r="P4471" s="300" t="s">
        <v>22</v>
      </c>
    </row>
    <row r="4472">
      <c r="E4472" s="3"/>
      <c r="F4472" s="300" t="s">
        <v>22</v>
      </c>
      <c r="G4472" s="300" t="s">
        <v>22</v>
      </c>
      <c r="H4472" s="300" t="s">
        <v>22</v>
      </c>
      <c r="I4472" s="300" t="s">
        <v>22</v>
      </c>
      <c r="J4472" s="300" t="s">
        <v>22</v>
      </c>
      <c r="K4472" s="300" t="s">
        <v>22</v>
      </c>
      <c r="L4472" s="300" t="s">
        <v>22</v>
      </c>
      <c r="M4472" s="300" t="s">
        <v>22</v>
      </c>
      <c r="N4472" s="300" t="s">
        <v>22</v>
      </c>
      <c r="O4472" s="300" t="s">
        <v>22</v>
      </c>
      <c r="P4472" s="300" t="s">
        <v>22</v>
      </c>
    </row>
    <row r="4473">
      <c r="E4473" s="3"/>
      <c r="F4473" s="300" t="s">
        <v>22</v>
      </c>
      <c r="G4473" s="300" t="s">
        <v>22</v>
      </c>
      <c r="H4473" s="300" t="s">
        <v>22</v>
      </c>
      <c r="I4473" s="300" t="s">
        <v>22</v>
      </c>
      <c r="J4473" s="300" t="s">
        <v>22</v>
      </c>
      <c r="K4473" s="300" t="s">
        <v>22</v>
      </c>
      <c r="L4473" s="300" t="s">
        <v>22</v>
      </c>
      <c r="M4473" s="300" t="s">
        <v>22</v>
      </c>
      <c r="N4473" s="300" t="s">
        <v>22</v>
      </c>
      <c r="O4473" s="300" t="s">
        <v>22</v>
      </c>
      <c r="P4473" s="300" t="s">
        <v>22</v>
      </c>
    </row>
    <row r="4474">
      <c r="E4474" s="3"/>
      <c r="F4474" s="300" t="s">
        <v>22</v>
      </c>
      <c r="G4474" s="300" t="s">
        <v>22</v>
      </c>
      <c r="H4474" s="300" t="s">
        <v>22</v>
      </c>
      <c r="I4474" s="300" t="s">
        <v>22</v>
      </c>
      <c r="J4474" s="300" t="s">
        <v>22</v>
      </c>
      <c r="K4474" s="300" t="s">
        <v>22</v>
      </c>
      <c r="L4474" s="300" t="s">
        <v>22</v>
      </c>
      <c r="M4474" s="300" t="s">
        <v>22</v>
      </c>
      <c r="N4474" s="300" t="s">
        <v>22</v>
      </c>
      <c r="O4474" s="300" t="s">
        <v>22</v>
      </c>
      <c r="P4474" s="300" t="s">
        <v>22</v>
      </c>
    </row>
    <row r="4475">
      <c r="E4475" s="3"/>
      <c r="F4475" s="300" t="s">
        <v>22</v>
      </c>
      <c r="G4475" s="300" t="s">
        <v>22</v>
      </c>
      <c r="H4475" s="300" t="s">
        <v>22</v>
      </c>
      <c r="I4475" s="300" t="s">
        <v>22</v>
      </c>
      <c r="J4475" s="300" t="s">
        <v>22</v>
      </c>
      <c r="K4475" s="300" t="s">
        <v>22</v>
      </c>
      <c r="L4475" s="300" t="s">
        <v>22</v>
      </c>
      <c r="M4475" s="300" t="s">
        <v>22</v>
      </c>
      <c r="N4475" s="300" t="s">
        <v>22</v>
      </c>
      <c r="O4475" s="300" t="s">
        <v>22</v>
      </c>
      <c r="P4475" s="300" t="s">
        <v>22</v>
      </c>
    </row>
    <row r="4476">
      <c r="E4476" s="3"/>
      <c r="F4476" s="300" t="s">
        <v>22</v>
      </c>
      <c r="G4476" s="300" t="s">
        <v>22</v>
      </c>
      <c r="H4476" s="300" t="s">
        <v>22</v>
      </c>
      <c r="I4476" s="300" t="s">
        <v>22</v>
      </c>
      <c r="J4476" s="300" t="s">
        <v>22</v>
      </c>
      <c r="K4476" s="300" t="s">
        <v>22</v>
      </c>
      <c r="L4476" s="300" t="s">
        <v>22</v>
      </c>
      <c r="M4476" s="300" t="s">
        <v>22</v>
      </c>
      <c r="N4476" s="300" t="s">
        <v>22</v>
      </c>
      <c r="O4476" s="300" t="s">
        <v>22</v>
      </c>
      <c r="P4476" s="300" t="s">
        <v>22</v>
      </c>
    </row>
    <row r="4477">
      <c r="E4477" s="3"/>
      <c r="F4477" s="300" t="s">
        <v>22</v>
      </c>
      <c r="G4477" s="300" t="s">
        <v>22</v>
      </c>
      <c r="H4477" s="300" t="s">
        <v>22</v>
      </c>
      <c r="I4477" s="300" t="s">
        <v>22</v>
      </c>
      <c r="J4477" s="300" t="s">
        <v>22</v>
      </c>
      <c r="K4477" s="300" t="s">
        <v>22</v>
      </c>
      <c r="L4477" s="300" t="s">
        <v>22</v>
      </c>
      <c r="M4477" s="300" t="s">
        <v>22</v>
      </c>
      <c r="N4477" s="300" t="s">
        <v>22</v>
      </c>
      <c r="O4477" s="300" t="s">
        <v>22</v>
      </c>
      <c r="P4477" s="300" t="s">
        <v>22</v>
      </c>
    </row>
    <row r="4478">
      <c r="E4478" s="3"/>
      <c r="F4478" s="300" t="s">
        <v>22</v>
      </c>
      <c r="G4478" s="300" t="s">
        <v>22</v>
      </c>
      <c r="H4478" s="300" t="s">
        <v>22</v>
      </c>
      <c r="I4478" s="300" t="s">
        <v>22</v>
      </c>
      <c r="J4478" s="300" t="s">
        <v>22</v>
      </c>
      <c r="K4478" s="300" t="s">
        <v>22</v>
      </c>
      <c r="L4478" s="300" t="s">
        <v>22</v>
      </c>
      <c r="M4478" s="300" t="s">
        <v>22</v>
      </c>
      <c r="N4478" s="300" t="s">
        <v>22</v>
      </c>
      <c r="O4478" s="300" t="s">
        <v>22</v>
      </c>
      <c r="P4478" s="300" t="s">
        <v>22</v>
      </c>
    </row>
    <row r="4479">
      <c r="E4479" s="3"/>
      <c r="F4479" s="300" t="s">
        <v>22</v>
      </c>
      <c r="G4479" s="300" t="s">
        <v>22</v>
      </c>
      <c r="H4479" s="300" t="s">
        <v>22</v>
      </c>
      <c r="I4479" s="300" t="s">
        <v>22</v>
      </c>
      <c r="J4479" s="300" t="s">
        <v>22</v>
      </c>
      <c r="K4479" s="300" t="s">
        <v>22</v>
      </c>
      <c r="L4479" s="300" t="s">
        <v>22</v>
      </c>
      <c r="M4479" s="300" t="s">
        <v>22</v>
      </c>
      <c r="N4479" s="300" t="s">
        <v>22</v>
      </c>
      <c r="O4479" s="300" t="s">
        <v>22</v>
      </c>
      <c r="P4479" s="300" t="s">
        <v>22</v>
      </c>
    </row>
    <row r="4480">
      <c r="E4480" s="3"/>
      <c r="F4480" s="300" t="s">
        <v>22</v>
      </c>
      <c r="G4480" s="300" t="s">
        <v>22</v>
      </c>
      <c r="H4480" s="300" t="s">
        <v>22</v>
      </c>
      <c r="I4480" s="300" t="s">
        <v>22</v>
      </c>
      <c r="J4480" s="300" t="s">
        <v>22</v>
      </c>
      <c r="K4480" s="300" t="s">
        <v>22</v>
      </c>
      <c r="L4480" s="300" t="s">
        <v>22</v>
      </c>
      <c r="M4480" s="300" t="s">
        <v>22</v>
      </c>
      <c r="N4480" s="300" t="s">
        <v>22</v>
      </c>
      <c r="O4480" s="300" t="s">
        <v>22</v>
      </c>
      <c r="P4480" s="300" t="s">
        <v>22</v>
      </c>
    </row>
    <row r="4481">
      <c r="E4481" s="3"/>
      <c r="F4481" s="300" t="s">
        <v>22</v>
      </c>
      <c r="G4481" s="300" t="s">
        <v>22</v>
      </c>
      <c r="H4481" s="300" t="s">
        <v>22</v>
      </c>
      <c r="I4481" s="300" t="s">
        <v>22</v>
      </c>
      <c r="J4481" s="300" t="s">
        <v>22</v>
      </c>
      <c r="K4481" s="300" t="s">
        <v>22</v>
      </c>
      <c r="L4481" s="300" t="s">
        <v>22</v>
      </c>
      <c r="M4481" s="300" t="s">
        <v>22</v>
      </c>
      <c r="N4481" s="300" t="s">
        <v>22</v>
      </c>
      <c r="O4481" s="300" t="s">
        <v>22</v>
      </c>
      <c r="P4481" s="300" t="s">
        <v>22</v>
      </c>
    </row>
    <row r="4482">
      <c r="E4482" s="3"/>
      <c r="F4482" s="300" t="s">
        <v>22</v>
      </c>
      <c r="G4482" s="300" t="s">
        <v>22</v>
      </c>
      <c r="H4482" s="300" t="s">
        <v>22</v>
      </c>
      <c r="I4482" s="300" t="s">
        <v>22</v>
      </c>
      <c r="J4482" s="300" t="s">
        <v>22</v>
      </c>
      <c r="K4482" s="300" t="s">
        <v>22</v>
      </c>
      <c r="L4482" s="300" t="s">
        <v>22</v>
      </c>
      <c r="M4482" s="300" t="s">
        <v>22</v>
      </c>
      <c r="N4482" s="300" t="s">
        <v>22</v>
      </c>
      <c r="O4482" s="300" t="s">
        <v>22</v>
      </c>
      <c r="P4482" s="300" t="s">
        <v>22</v>
      </c>
    </row>
    <row r="4483">
      <c r="E4483" s="3"/>
      <c r="F4483" s="300" t="s">
        <v>22</v>
      </c>
      <c r="G4483" s="300" t="s">
        <v>22</v>
      </c>
      <c r="H4483" s="300" t="s">
        <v>22</v>
      </c>
      <c r="I4483" s="300" t="s">
        <v>22</v>
      </c>
      <c r="J4483" s="300" t="s">
        <v>22</v>
      </c>
      <c r="K4483" s="300" t="s">
        <v>22</v>
      </c>
      <c r="L4483" s="300" t="s">
        <v>22</v>
      </c>
      <c r="M4483" s="300" t="s">
        <v>22</v>
      </c>
      <c r="N4483" s="300" t="s">
        <v>22</v>
      </c>
      <c r="O4483" s="300" t="s">
        <v>22</v>
      </c>
      <c r="P4483" s="300" t="s">
        <v>22</v>
      </c>
    </row>
    <row r="4484">
      <c r="E4484" s="3"/>
      <c r="F4484" s="300" t="s">
        <v>22</v>
      </c>
      <c r="G4484" s="300" t="s">
        <v>22</v>
      </c>
      <c r="H4484" s="300" t="s">
        <v>22</v>
      </c>
      <c r="I4484" s="300" t="s">
        <v>22</v>
      </c>
      <c r="J4484" s="300" t="s">
        <v>22</v>
      </c>
      <c r="K4484" s="300" t="s">
        <v>22</v>
      </c>
      <c r="L4484" s="300" t="s">
        <v>22</v>
      </c>
      <c r="M4484" s="300" t="s">
        <v>22</v>
      </c>
      <c r="N4484" s="300" t="s">
        <v>22</v>
      </c>
      <c r="O4484" s="300" t="s">
        <v>22</v>
      </c>
      <c r="P4484" s="300" t="s">
        <v>22</v>
      </c>
    </row>
    <row r="4485">
      <c r="E4485" s="3"/>
      <c r="F4485" s="300" t="s">
        <v>22</v>
      </c>
      <c r="G4485" s="300" t="s">
        <v>22</v>
      </c>
      <c r="H4485" s="300" t="s">
        <v>22</v>
      </c>
      <c r="I4485" s="300" t="s">
        <v>22</v>
      </c>
      <c r="J4485" s="300" t="s">
        <v>22</v>
      </c>
      <c r="K4485" s="300" t="s">
        <v>22</v>
      </c>
      <c r="L4485" s="300" t="s">
        <v>22</v>
      </c>
      <c r="M4485" s="300" t="s">
        <v>22</v>
      </c>
      <c r="N4485" s="300" t="s">
        <v>22</v>
      </c>
      <c r="O4485" s="300" t="s">
        <v>22</v>
      </c>
      <c r="P4485" s="300" t="s">
        <v>22</v>
      </c>
    </row>
    <row r="4486">
      <c r="E4486" s="3"/>
      <c r="F4486" s="300" t="s">
        <v>22</v>
      </c>
      <c r="G4486" s="300" t="s">
        <v>22</v>
      </c>
      <c r="H4486" s="300" t="s">
        <v>22</v>
      </c>
      <c r="I4486" s="300" t="s">
        <v>22</v>
      </c>
      <c r="J4486" s="300" t="s">
        <v>22</v>
      </c>
      <c r="K4486" s="300" t="s">
        <v>22</v>
      </c>
      <c r="L4486" s="300" t="s">
        <v>22</v>
      </c>
      <c r="M4486" s="300" t="s">
        <v>22</v>
      </c>
      <c r="N4486" s="300" t="s">
        <v>22</v>
      </c>
      <c r="O4486" s="300" t="s">
        <v>22</v>
      </c>
      <c r="P4486" s="300" t="s">
        <v>22</v>
      </c>
    </row>
    <row r="4487">
      <c r="E4487" s="3"/>
      <c r="F4487" s="300" t="s">
        <v>22</v>
      </c>
      <c r="G4487" s="300" t="s">
        <v>22</v>
      </c>
      <c r="H4487" s="300" t="s">
        <v>22</v>
      </c>
      <c r="I4487" s="300" t="s">
        <v>22</v>
      </c>
      <c r="J4487" s="300" t="s">
        <v>22</v>
      </c>
      <c r="K4487" s="300" t="s">
        <v>22</v>
      </c>
      <c r="L4487" s="300" t="s">
        <v>22</v>
      </c>
      <c r="M4487" s="300" t="s">
        <v>22</v>
      </c>
      <c r="N4487" s="300" t="s">
        <v>22</v>
      </c>
      <c r="O4487" s="300" t="s">
        <v>22</v>
      </c>
      <c r="P4487" s="300" t="s">
        <v>22</v>
      </c>
    </row>
    <row r="4488">
      <c r="E4488" s="3"/>
      <c r="F4488" s="300" t="s">
        <v>22</v>
      </c>
      <c r="G4488" s="300" t="s">
        <v>22</v>
      </c>
      <c r="H4488" s="300" t="s">
        <v>22</v>
      </c>
      <c r="I4488" s="300" t="s">
        <v>22</v>
      </c>
      <c r="J4488" s="300" t="s">
        <v>22</v>
      </c>
      <c r="K4488" s="300" t="s">
        <v>22</v>
      </c>
      <c r="L4488" s="300" t="s">
        <v>22</v>
      </c>
      <c r="M4488" s="300" t="s">
        <v>22</v>
      </c>
      <c r="N4488" s="300" t="s">
        <v>22</v>
      </c>
      <c r="O4488" s="300" t="s">
        <v>22</v>
      </c>
      <c r="P4488" s="300" t="s">
        <v>22</v>
      </c>
    </row>
    <row r="4489">
      <c r="E4489" s="3"/>
      <c r="F4489" s="300" t="s">
        <v>22</v>
      </c>
      <c r="G4489" s="300" t="s">
        <v>22</v>
      </c>
      <c r="H4489" s="300" t="s">
        <v>22</v>
      </c>
      <c r="I4489" s="300" t="s">
        <v>22</v>
      </c>
      <c r="J4489" s="300" t="s">
        <v>22</v>
      </c>
      <c r="K4489" s="300" t="s">
        <v>22</v>
      </c>
      <c r="L4489" s="300" t="s">
        <v>22</v>
      </c>
      <c r="M4489" s="300" t="s">
        <v>22</v>
      </c>
      <c r="N4489" s="300" t="s">
        <v>22</v>
      </c>
      <c r="O4489" s="300" t="s">
        <v>22</v>
      </c>
      <c r="P4489" s="300" t="s">
        <v>22</v>
      </c>
    </row>
    <row r="4490">
      <c r="E4490" s="3"/>
      <c r="F4490" s="300" t="s">
        <v>22</v>
      </c>
      <c r="G4490" s="300" t="s">
        <v>22</v>
      </c>
      <c r="H4490" s="300" t="s">
        <v>22</v>
      </c>
      <c r="I4490" s="300" t="s">
        <v>22</v>
      </c>
      <c r="J4490" s="300" t="s">
        <v>22</v>
      </c>
      <c r="K4490" s="300" t="s">
        <v>22</v>
      </c>
      <c r="L4490" s="300" t="s">
        <v>22</v>
      </c>
      <c r="M4490" s="300" t="s">
        <v>22</v>
      </c>
      <c r="N4490" s="300" t="s">
        <v>22</v>
      </c>
      <c r="O4490" s="300" t="s">
        <v>22</v>
      </c>
      <c r="P4490" s="300" t="s">
        <v>22</v>
      </c>
    </row>
    <row r="4491">
      <c r="E4491" s="3"/>
      <c r="F4491" s="300" t="s">
        <v>22</v>
      </c>
      <c r="G4491" s="300" t="s">
        <v>22</v>
      </c>
      <c r="H4491" s="300" t="s">
        <v>22</v>
      </c>
      <c r="I4491" s="300" t="s">
        <v>22</v>
      </c>
      <c r="J4491" s="300" t="s">
        <v>22</v>
      </c>
      <c r="K4491" s="300" t="s">
        <v>22</v>
      </c>
      <c r="L4491" s="300" t="s">
        <v>22</v>
      </c>
      <c r="M4491" s="300" t="s">
        <v>22</v>
      </c>
      <c r="N4491" s="300" t="s">
        <v>22</v>
      </c>
      <c r="O4491" s="300" t="s">
        <v>22</v>
      </c>
      <c r="P4491" s="300" t="s">
        <v>22</v>
      </c>
    </row>
    <row r="4492">
      <c r="E4492" s="3"/>
      <c r="F4492" s="300" t="s">
        <v>22</v>
      </c>
      <c r="G4492" s="300" t="s">
        <v>22</v>
      </c>
      <c r="H4492" s="300" t="s">
        <v>22</v>
      </c>
      <c r="I4492" s="300" t="s">
        <v>22</v>
      </c>
      <c r="J4492" s="300" t="s">
        <v>22</v>
      </c>
      <c r="K4492" s="300" t="s">
        <v>22</v>
      </c>
      <c r="L4492" s="300" t="s">
        <v>22</v>
      </c>
      <c r="M4492" s="300" t="s">
        <v>22</v>
      </c>
      <c r="N4492" s="300" t="s">
        <v>22</v>
      </c>
      <c r="O4492" s="300" t="s">
        <v>22</v>
      </c>
      <c r="P4492" s="300" t="s">
        <v>22</v>
      </c>
    </row>
    <row r="4493">
      <c r="E4493" s="3"/>
      <c r="F4493" s="300" t="s">
        <v>22</v>
      </c>
      <c r="G4493" s="300" t="s">
        <v>22</v>
      </c>
      <c r="H4493" s="300" t="s">
        <v>22</v>
      </c>
      <c r="I4493" s="300" t="s">
        <v>22</v>
      </c>
      <c r="J4493" s="300" t="s">
        <v>22</v>
      </c>
      <c r="K4493" s="300" t="s">
        <v>22</v>
      </c>
      <c r="L4493" s="300" t="s">
        <v>22</v>
      </c>
      <c r="M4493" s="300" t="s">
        <v>22</v>
      </c>
      <c r="N4493" s="300" t="s">
        <v>22</v>
      </c>
      <c r="O4493" s="300" t="s">
        <v>22</v>
      </c>
      <c r="P4493" s="300" t="s">
        <v>22</v>
      </c>
    </row>
    <row r="4494">
      <c r="E4494" s="3"/>
      <c r="F4494" s="300" t="s">
        <v>22</v>
      </c>
      <c r="G4494" s="300" t="s">
        <v>22</v>
      </c>
      <c r="H4494" s="300" t="s">
        <v>22</v>
      </c>
      <c r="I4494" s="300" t="s">
        <v>22</v>
      </c>
      <c r="J4494" s="300" t="s">
        <v>22</v>
      </c>
      <c r="K4494" s="300" t="s">
        <v>22</v>
      </c>
      <c r="L4494" s="300" t="s">
        <v>22</v>
      </c>
      <c r="M4494" s="300" t="s">
        <v>22</v>
      </c>
      <c r="N4494" s="300" t="s">
        <v>22</v>
      </c>
      <c r="O4494" s="300" t="s">
        <v>22</v>
      </c>
      <c r="P4494" s="300" t="s">
        <v>22</v>
      </c>
    </row>
    <row r="4495">
      <c r="E4495" s="3"/>
      <c r="F4495" s="300" t="s">
        <v>22</v>
      </c>
      <c r="G4495" s="300" t="s">
        <v>22</v>
      </c>
      <c r="H4495" s="300" t="s">
        <v>22</v>
      </c>
      <c r="I4495" s="300" t="s">
        <v>22</v>
      </c>
      <c r="J4495" s="300" t="s">
        <v>22</v>
      </c>
      <c r="K4495" s="300" t="s">
        <v>22</v>
      </c>
      <c r="L4495" s="300" t="s">
        <v>22</v>
      </c>
      <c r="M4495" s="300" t="s">
        <v>22</v>
      </c>
      <c r="N4495" s="300" t="s">
        <v>22</v>
      </c>
      <c r="O4495" s="300" t="s">
        <v>22</v>
      </c>
      <c r="P4495" s="300" t="s">
        <v>22</v>
      </c>
    </row>
    <row r="4496">
      <c r="E4496" s="3"/>
      <c r="F4496" s="300" t="s">
        <v>22</v>
      </c>
      <c r="G4496" s="300" t="s">
        <v>22</v>
      </c>
      <c r="H4496" s="300" t="s">
        <v>22</v>
      </c>
      <c r="I4496" s="300" t="s">
        <v>22</v>
      </c>
      <c r="J4496" s="300" t="s">
        <v>22</v>
      </c>
      <c r="K4496" s="300" t="s">
        <v>22</v>
      </c>
      <c r="L4496" s="300" t="s">
        <v>22</v>
      </c>
      <c r="M4496" s="300" t="s">
        <v>22</v>
      </c>
      <c r="N4496" s="300" t="s">
        <v>22</v>
      </c>
      <c r="O4496" s="300" t="s">
        <v>22</v>
      </c>
      <c r="P4496" s="300" t="s">
        <v>22</v>
      </c>
    </row>
    <row r="4497">
      <c r="E4497" s="3"/>
      <c r="F4497" s="300" t="s">
        <v>22</v>
      </c>
      <c r="G4497" s="300" t="s">
        <v>22</v>
      </c>
      <c r="H4497" s="300" t="s">
        <v>22</v>
      </c>
      <c r="I4497" s="300" t="s">
        <v>22</v>
      </c>
      <c r="J4497" s="300" t="s">
        <v>22</v>
      </c>
      <c r="K4497" s="300" t="s">
        <v>22</v>
      </c>
      <c r="L4497" s="300" t="s">
        <v>22</v>
      </c>
      <c r="M4497" s="300" t="s">
        <v>22</v>
      </c>
      <c r="N4497" s="300" t="s">
        <v>22</v>
      </c>
      <c r="O4497" s="300" t="s">
        <v>22</v>
      </c>
      <c r="P4497" s="300" t="s">
        <v>22</v>
      </c>
    </row>
    <row r="4498">
      <c r="E4498" s="3"/>
      <c r="F4498" s="300" t="s">
        <v>22</v>
      </c>
      <c r="G4498" s="300" t="s">
        <v>22</v>
      </c>
      <c r="H4498" s="300" t="s">
        <v>22</v>
      </c>
      <c r="I4498" s="300" t="s">
        <v>22</v>
      </c>
      <c r="J4498" s="300" t="s">
        <v>22</v>
      </c>
      <c r="K4498" s="300" t="s">
        <v>22</v>
      </c>
      <c r="L4498" s="300" t="s">
        <v>22</v>
      </c>
      <c r="M4498" s="300" t="s">
        <v>22</v>
      </c>
      <c r="N4498" s="300" t="s">
        <v>22</v>
      </c>
      <c r="O4498" s="300" t="s">
        <v>22</v>
      </c>
      <c r="P4498" s="300" t="s">
        <v>22</v>
      </c>
    </row>
    <row r="4499">
      <c r="E4499" s="3"/>
      <c r="F4499" s="300" t="s">
        <v>22</v>
      </c>
      <c r="G4499" s="300" t="s">
        <v>22</v>
      </c>
      <c r="H4499" s="300" t="s">
        <v>22</v>
      </c>
      <c r="I4499" s="300" t="s">
        <v>22</v>
      </c>
      <c r="J4499" s="300" t="s">
        <v>22</v>
      </c>
      <c r="K4499" s="300" t="s">
        <v>22</v>
      </c>
      <c r="L4499" s="300" t="s">
        <v>22</v>
      </c>
      <c r="M4499" s="300" t="s">
        <v>22</v>
      </c>
      <c r="N4499" s="300" t="s">
        <v>22</v>
      </c>
      <c r="O4499" s="300" t="s">
        <v>22</v>
      </c>
      <c r="P4499" s="300" t="s">
        <v>22</v>
      </c>
    </row>
    <row r="4500">
      <c r="E4500" s="3"/>
      <c r="F4500" s="300" t="s">
        <v>22</v>
      </c>
      <c r="G4500" s="300" t="s">
        <v>22</v>
      </c>
      <c r="H4500" s="300" t="s">
        <v>22</v>
      </c>
      <c r="I4500" s="300" t="s">
        <v>22</v>
      </c>
      <c r="J4500" s="300" t="s">
        <v>22</v>
      </c>
      <c r="K4500" s="300" t="s">
        <v>22</v>
      </c>
      <c r="L4500" s="300" t="s">
        <v>22</v>
      </c>
      <c r="M4500" s="300" t="s">
        <v>22</v>
      </c>
      <c r="N4500" s="300" t="s">
        <v>22</v>
      </c>
      <c r="O4500" s="300" t="s">
        <v>22</v>
      </c>
      <c r="P4500" s="300" t="s">
        <v>22</v>
      </c>
    </row>
    <row r="4501">
      <c r="E4501" s="3"/>
      <c r="F4501" s="300" t="s">
        <v>22</v>
      </c>
      <c r="G4501" s="300" t="s">
        <v>22</v>
      </c>
      <c r="H4501" s="300" t="s">
        <v>22</v>
      </c>
      <c r="I4501" s="300" t="s">
        <v>22</v>
      </c>
      <c r="J4501" s="300" t="s">
        <v>22</v>
      </c>
      <c r="K4501" s="300" t="s">
        <v>22</v>
      </c>
      <c r="L4501" s="300" t="s">
        <v>22</v>
      </c>
      <c r="M4501" s="300" t="s">
        <v>22</v>
      </c>
      <c r="N4501" s="300" t="s">
        <v>22</v>
      </c>
      <c r="O4501" s="300" t="s">
        <v>22</v>
      </c>
      <c r="P4501" s="300" t="s">
        <v>22</v>
      </c>
    </row>
    <row r="4502">
      <c r="E4502" s="3"/>
      <c r="F4502" s="300" t="s">
        <v>22</v>
      </c>
      <c r="G4502" s="300" t="s">
        <v>22</v>
      </c>
      <c r="H4502" s="300" t="s">
        <v>22</v>
      </c>
      <c r="I4502" s="300" t="s">
        <v>22</v>
      </c>
      <c r="J4502" s="300" t="s">
        <v>22</v>
      </c>
      <c r="K4502" s="300" t="s">
        <v>22</v>
      </c>
      <c r="L4502" s="300" t="s">
        <v>22</v>
      </c>
      <c r="M4502" s="300" t="s">
        <v>22</v>
      </c>
      <c r="N4502" s="300" t="s">
        <v>22</v>
      </c>
      <c r="O4502" s="300" t="s">
        <v>22</v>
      </c>
      <c r="P4502" s="300" t="s">
        <v>22</v>
      </c>
    </row>
    <row r="4503">
      <c r="E4503" s="3"/>
      <c r="F4503" s="300" t="s">
        <v>22</v>
      </c>
      <c r="G4503" s="300" t="s">
        <v>22</v>
      </c>
      <c r="H4503" s="300" t="s">
        <v>22</v>
      </c>
      <c r="I4503" s="300" t="s">
        <v>22</v>
      </c>
      <c r="J4503" s="300" t="s">
        <v>22</v>
      </c>
      <c r="K4503" s="300" t="s">
        <v>22</v>
      </c>
      <c r="L4503" s="300" t="s">
        <v>22</v>
      </c>
      <c r="M4503" s="300" t="s">
        <v>22</v>
      </c>
      <c r="N4503" s="300" t="s">
        <v>22</v>
      </c>
      <c r="O4503" s="300" t="s">
        <v>22</v>
      </c>
      <c r="P4503" s="300" t="s">
        <v>22</v>
      </c>
    </row>
    <row r="4504">
      <c r="E4504" s="3"/>
      <c r="F4504" s="300" t="s">
        <v>22</v>
      </c>
      <c r="G4504" s="300" t="s">
        <v>22</v>
      </c>
      <c r="H4504" s="300" t="s">
        <v>22</v>
      </c>
      <c r="I4504" s="300" t="s">
        <v>22</v>
      </c>
      <c r="J4504" s="300" t="s">
        <v>22</v>
      </c>
      <c r="K4504" s="300" t="s">
        <v>22</v>
      </c>
      <c r="L4504" s="300" t="s">
        <v>22</v>
      </c>
      <c r="M4504" s="300" t="s">
        <v>22</v>
      </c>
      <c r="N4504" s="300" t="s">
        <v>22</v>
      </c>
      <c r="O4504" s="300" t="s">
        <v>22</v>
      </c>
      <c r="P4504" s="300" t="s">
        <v>22</v>
      </c>
    </row>
    <row r="4505">
      <c r="E4505" s="3"/>
      <c r="F4505" s="300" t="s">
        <v>22</v>
      </c>
      <c r="G4505" s="300" t="s">
        <v>22</v>
      </c>
      <c r="H4505" s="300" t="s">
        <v>22</v>
      </c>
      <c r="I4505" s="300" t="s">
        <v>22</v>
      </c>
      <c r="J4505" s="300" t="s">
        <v>22</v>
      </c>
      <c r="K4505" s="300" t="s">
        <v>22</v>
      </c>
      <c r="L4505" s="300" t="s">
        <v>22</v>
      </c>
      <c r="M4505" s="300" t="s">
        <v>22</v>
      </c>
      <c r="N4505" s="300" t="s">
        <v>22</v>
      </c>
      <c r="O4505" s="300" t="s">
        <v>22</v>
      </c>
      <c r="P4505" s="300" t="s">
        <v>22</v>
      </c>
    </row>
    <row r="4506">
      <c r="E4506" s="3"/>
      <c r="F4506" s="300" t="s">
        <v>22</v>
      </c>
      <c r="G4506" s="300" t="s">
        <v>22</v>
      </c>
      <c r="H4506" s="300" t="s">
        <v>22</v>
      </c>
      <c r="I4506" s="300" t="s">
        <v>22</v>
      </c>
      <c r="J4506" s="300" t="s">
        <v>22</v>
      </c>
      <c r="K4506" s="300" t="s">
        <v>22</v>
      </c>
      <c r="L4506" s="300" t="s">
        <v>22</v>
      </c>
      <c r="M4506" s="300" t="s">
        <v>22</v>
      </c>
      <c r="N4506" s="300" t="s">
        <v>22</v>
      </c>
      <c r="O4506" s="300" t="s">
        <v>22</v>
      </c>
      <c r="P4506" s="300" t="s">
        <v>22</v>
      </c>
    </row>
    <row r="4507">
      <c r="E4507" s="3"/>
      <c r="F4507" s="300" t="s">
        <v>22</v>
      </c>
      <c r="G4507" s="300" t="s">
        <v>22</v>
      </c>
      <c r="H4507" s="300" t="s">
        <v>22</v>
      </c>
      <c r="I4507" s="300" t="s">
        <v>22</v>
      </c>
      <c r="J4507" s="300" t="s">
        <v>22</v>
      </c>
      <c r="K4507" s="300" t="s">
        <v>22</v>
      </c>
      <c r="L4507" s="300" t="s">
        <v>22</v>
      </c>
      <c r="M4507" s="300" t="s">
        <v>22</v>
      </c>
      <c r="N4507" s="300" t="s">
        <v>22</v>
      </c>
      <c r="O4507" s="300" t="s">
        <v>22</v>
      </c>
      <c r="P4507" s="300" t="s">
        <v>22</v>
      </c>
    </row>
    <row r="4508">
      <c r="E4508" s="3"/>
      <c r="F4508" s="300" t="s">
        <v>22</v>
      </c>
      <c r="G4508" s="300" t="s">
        <v>22</v>
      </c>
      <c r="H4508" s="300" t="s">
        <v>22</v>
      </c>
      <c r="I4508" s="300" t="s">
        <v>22</v>
      </c>
      <c r="J4508" s="300" t="s">
        <v>22</v>
      </c>
      <c r="K4508" s="300" t="s">
        <v>22</v>
      </c>
      <c r="L4508" s="300" t="s">
        <v>22</v>
      </c>
      <c r="M4508" s="300" t="s">
        <v>22</v>
      </c>
      <c r="N4508" s="300" t="s">
        <v>22</v>
      </c>
      <c r="O4508" s="300" t="s">
        <v>22</v>
      </c>
      <c r="P4508" s="300" t="s">
        <v>22</v>
      </c>
    </row>
    <row r="4509">
      <c r="E4509" s="3"/>
      <c r="F4509" s="300" t="s">
        <v>22</v>
      </c>
      <c r="G4509" s="300" t="s">
        <v>22</v>
      </c>
      <c r="H4509" s="300" t="s">
        <v>22</v>
      </c>
      <c r="I4509" s="300" t="s">
        <v>22</v>
      </c>
      <c r="J4509" s="300" t="s">
        <v>22</v>
      </c>
      <c r="K4509" s="300" t="s">
        <v>22</v>
      </c>
      <c r="L4509" s="300" t="s">
        <v>22</v>
      </c>
      <c r="M4509" s="300" t="s">
        <v>22</v>
      </c>
      <c r="N4509" s="300" t="s">
        <v>22</v>
      </c>
      <c r="O4509" s="300" t="s">
        <v>22</v>
      </c>
      <c r="P4509" s="300" t="s">
        <v>22</v>
      </c>
    </row>
    <row r="4510">
      <c r="E4510" s="3"/>
      <c r="F4510" s="300" t="s">
        <v>22</v>
      </c>
      <c r="G4510" s="300" t="s">
        <v>22</v>
      </c>
      <c r="H4510" s="300" t="s">
        <v>22</v>
      </c>
      <c r="I4510" s="300" t="s">
        <v>22</v>
      </c>
      <c r="J4510" s="300" t="s">
        <v>22</v>
      </c>
      <c r="K4510" s="300" t="s">
        <v>22</v>
      </c>
      <c r="L4510" s="300" t="s">
        <v>22</v>
      </c>
      <c r="M4510" s="300" t="s">
        <v>22</v>
      </c>
      <c r="N4510" s="300" t="s">
        <v>22</v>
      </c>
      <c r="O4510" s="300" t="s">
        <v>22</v>
      </c>
      <c r="P4510" s="300" t="s">
        <v>22</v>
      </c>
    </row>
    <row r="4511">
      <c r="E4511" s="3"/>
      <c r="F4511" s="300" t="s">
        <v>22</v>
      </c>
      <c r="G4511" s="300" t="s">
        <v>22</v>
      </c>
      <c r="H4511" s="300" t="s">
        <v>22</v>
      </c>
      <c r="I4511" s="300" t="s">
        <v>22</v>
      </c>
      <c r="J4511" s="300" t="s">
        <v>22</v>
      </c>
      <c r="K4511" s="300" t="s">
        <v>22</v>
      </c>
      <c r="L4511" s="300" t="s">
        <v>22</v>
      </c>
      <c r="M4511" s="300" t="s">
        <v>22</v>
      </c>
      <c r="N4511" s="300" t="s">
        <v>22</v>
      </c>
      <c r="O4511" s="300" t="s">
        <v>22</v>
      </c>
      <c r="P4511" s="300" t="s">
        <v>22</v>
      </c>
    </row>
    <row r="4512">
      <c r="E4512" s="3"/>
      <c r="F4512" s="300" t="s">
        <v>22</v>
      </c>
      <c r="G4512" s="300" t="s">
        <v>22</v>
      </c>
      <c r="H4512" s="300" t="s">
        <v>22</v>
      </c>
      <c r="I4512" s="300" t="s">
        <v>22</v>
      </c>
      <c r="J4512" s="300" t="s">
        <v>22</v>
      </c>
      <c r="K4512" s="300" t="s">
        <v>22</v>
      </c>
      <c r="L4512" s="300" t="s">
        <v>22</v>
      </c>
      <c r="M4512" s="300" t="s">
        <v>22</v>
      </c>
      <c r="N4512" s="300" t="s">
        <v>22</v>
      </c>
      <c r="O4512" s="300" t="s">
        <v>22</v>
      </c>
      <c r="P4512" s="300" t="s">
        <v>22</v>
      </c>
    </row>
    <row r="4513">
      <c r="E4513" s="3"/>
      <c r="F4513" s="300" t="s">
        <v>22</v>
      </c>
      <c r="G4513" s="300" t="s">
        <v>22</v>
      </c>
      <c r="H4513" s="300" t="s">
        <v>22</v>
      </c>
      <c r="I4513" s="300" t="s">
        <v>22</v>
      </c>
      <c r="J4513" s="300" t="s">
        <v>22</v>
      </c>
      <c r="K4513" s="300" t="s">
        <v>22</v>
      </c>
      <c r="L4513" s="300" t="s">
        <v>22</v>
      </c>
      <c r="M4513" s="300" t="s">
        <v>22</v>
      </c>
      <c r="N4513" s="300" t="s">
        <v>22</v>
      </c>
      <c r="O4513" s="300" t="s">
        <v>22</v>
      </c>
      <c r="P4513" s="300" t="s">
        <v>22</v>
      </c>
    </row>
    <row r="4514">
      <c r="E4514" s="3"/>
      <c r="F4514" s="300" t="s">
        <v>22</v>
      </c>
      <c r="G4514" s="300" t="s">
        <v>22</v>
      </c>
      <c r="H4514" s="300" t="s">
        <v>22</v>
      </c>
      <c r="I4514" s="300" t="s">
        <v>22</v>
      </c>
      <c r="J4514" s="300" t="s">
        <v>22</v>
      </c>
      <c r="K4514" s="300" t="s">
        <v>22</v>
      </c>
      <c r="L4514" s="300" t="s">
        <v>22</v>
      </c>
      <c r="M4514" s="300" t="s">
        <v>22</v>
      </c>
      <c r="N4514" s="300" t="s">
        <v>22</v>
      </c>
      <c r="O4514" s="300" t="s">
        <v>22</v>
      </c>
      <c r="P4514" s="300" t="s">
        <v>22</v>
      </c>
    </row>
    <row r="4515">
      <c r="E4515" s="3"/>
      <c r="F4515" s="300" t="s">
        <v>22</v>
      </c>
      <c r="G4515" s="300" t="s">
        <v>22</v>
      </c>
      <c r="H4515" s="300" t="s">
        <v>22</v>
      </c>
      <c r="I4515" s="300" t="s">
        <v>22</v>
      </c>
      <c r="J4515" s="300" t="s">
        <v>22</v>
      </c>
      <c r="K4515" s="300" t="s">
        <v>22</v>
      </c>
      <c r="L4515" s="300" t="s">
        <v>22</v>
      </c>
      <c r="M4515" s="300" t="s">
        <v>22</v>
      </c>
      <c r="N4515" s="300" t="s">
        <v>22</v>
      </c>
      <c r="O4515" s="300" t="s">
        <v>22</v>
      </c>
      <c r="P4515" s="300" t="s">
        <v>22</v>
      </c>
    </row>
    <row r="4516">
      <c r="E4516" s="3"/>
      <c r="F4516" s="300" t="s">
        <v>22</v>
      </c>
      <c r="G4516" s="300" t="s">
        <v>22</v>
      </c>
      <c r="H4516" s="300" t="s">
        <v>22</v>
      </c>
      <c r="I4516" s="300" t="s">
        <v>22</v>
      </c>
      <c r="J4516" s="300" t="s">
        <v>22</v>
      </c>
      <c r="K4516" s="300" t="s">
        <v>22</v>
      </c>
      <c r="L4516" s="300" t="s">
        <v>22</v>
      </c>
      <c r="M4516" s="300" t="s">
        <v>22</v>
      </c>
      <c r="N4516" s="300" t="s">
        <v>22</v>
      </c>
      <c r="O4516" s="300" t="s">
        <v>22</v>
      </c>
      <c r="P4516" s="300" t="s">
        <v>22</v>
      </c>
    </row>
    <row r="4517">
      <c r="E4517" s="3"/>
      <c r="F4517" s="300" t="s">
        <v>22</v>
      </c>
      <c r="G4517" s="300" t="s">
        <v>22</v>
      </c>
      <c r="H4517" s="300" t="s">
        <v>22</v>
      </c>
      <c r="I4517" s="300" t="s">
        <v>22</v>
      </c>
      <c r="J4517" s="300" t="s">
        <v>22</v>
      </c>
      <c r="K4517" s="300" t="s">
        <v>22</v>
      </c>
      <c r="L4517" s="300" t="s">
        <v>22</v>
      </c>
      <c r="M4517" s="300" t="s">
        <v>22</v>
      </c>
      <c r="N4517" s="300" t="s">
        <v>22</v>
      </c>
      <c r="O4517" s="300" t="s">
        <v>22</v>
      </c>
      <c r="P4517" s="300" t="s">
        <v>22</v>
      </c>
    </row>
    <row r="4518">
      <c r="E4518" s="3"/>
      <c r="F4518" s="300" t="s">
        <v>22</v>
      </c>
      <c r="G4518" s="300" t="s">
        <v>22</v>
      </c>
      <c r="H4518" s="300" t="s">
        <v>22</v>
      </c>
      <c r="I4518" s="300" t="s">
        <v>22</v>
      </c>
      <c r="J4518" s="300" t="s">
        <v>22</v>
      </c>
      <c r="K4518" s="300" t="s">
        <v>22</v>
      </c>
      <c r="L4518" s="300" t="s">
        <v>22</v>
      </c>
      <c r="M4518" s="300" t="s">
        <v>22</v>
      </c>
      <c r="N4518" s="300" t="s">
        <v>22</v>
      </c>
      <c r="O4518" s="300" t="s">
        <v>22</v>
      </c>
      <c r="P4518" s="300" t="s">
        <v>22</v>
      </c>
    </row>
    <row r="4519">
      <c r="E4519" s="3"/>
      <c r="F4519" s="300" t="s">
        <v>22</v>
      </c>
      <c r="G4519" s="300" t="s">
        <v>22</v>
      </c>
      <c r="H4519" s="300" t="s">
        <v>22</v>
      </c>
      <c r="I4519" s="300" t="s">
        <v>22</v>
      </c>
      <c r="J4519" s="300" t="s">
        <v>22</v>
      </c>
      <c r="K4519" s="300" t="s">
        <v>22</v>
      </c>
      <c r="L4519" s="300" t="s">
        <v>22</v>
      </c>
      <c r="M4519" s="300" t="s">
        <v>22</v>
      </c>
      <c r="N4519" s="300" t="s">
        <v>22</v>
      </c>
      <c r="O4519" s="300" t="s">
        <v>22</v>
      </c>
      <c r="P4519" s="300" t="s">
        <v>22</v>
      </c>
    </row>
    <row r="4520">
      <c r="E4520" s="3"/>
      <c r="F4520" s="300" t="s">
        <v>22</v>
      </c>
      <c r="G4520" s="300" t="s">
        <v>22</v>
      </c>
      <c r="H4520" s="300" t="s">
        <v>22</v>
      </c>
      <c r="I4520" s="300" t="s">
        <v>22</v>
      </c>
      <c r="J4520" s="300" t="s">
        <v>22</v>
      </c>
      <c r="K4520" s="300" t="s">
        <v>22</v>
      </c>
      <c r="L4520" s="300" t="s">
        <v>22</v>
      </c>
      <c r="M4520" s="300" t="s">
        <v>22</v>
      </c>
      <c r="N4520" s="300" t="s">
        <v>22</v>
      </c>
      <c r="O4520" s="300" t="s">
        <v>22</v>
      </c>
      <c r="P4520" s="300" t="s">
        <v>22</v>
      </c>
    </row>
    <row r="4521">
      <c r="E4521" s="3"/>
      <c r="F4521" s="300" t="s">
        <v>22</v>
      </c>
      <c r="G4521" s="300" t="s">
        <v>22</v>
      </c>
      <c r="H4521" s="300" t="s">
        <v>22</v>
      </c>
      <c r="I4521" s="300" t="s">
        <v>22</v>
      </c>
      <c r="J4521" s="300" t="s">
        <v>22</v>
      </c>
      <c r="K4521" s="300" t="s">
        <v>22</v>
      </c>
      <c r="L4521" s="300" t="s">
        <v>22</v>
      </c>
      <c r="M4521" s="300" t="s">
        <v>22</v>
      </c>
      <c r="N4521" s="300" t="s">
        <v>22</v>
      </c>
      <c r="O4521" s="300" t="s">
        <v>22</v>
      </c>
      <c r="P4521" s="300" t="s">
        <v>22</v>
      </c>
    </row>
    <row r="4522">
      <c r="E4522" s="3"/>
      <c r="F4522" s="300" t="s">
        <v>22</v>
      </c>
      <c r="G4522" s="300" t="s">
        <v>22</v>
      </c>
      <c r="H4522" s="300" t="s">
        <v>22</v>
      </c>
      <c r="I4522" s="300" t="s">
        <v>22</v>
      </c>
      <c r="J4522" s="300" t="s">
        <v>22</v>
      </c>
      <c r="K4522" s="300" t="s">
        <v>22</v>
      </c>
      <c r="L4522" s="300" t="s">
        <v>22</v>
      </c>
      <c r="M4522" s="300" t="s">
        <v>22</v>
      </c>
      <c r="N4522" s="300" t="s">
        <v>22</v>
      </c>
      <c r="O4522" s="300" t="s">
        <v>22</v>
      </c>
      <c r="P4522" s="300" t="s">
        <v>22</v>
      </c>
    </row>
    <row r="4523">
      <c r="E4523" s="3"/>
      <c r="F4523" s="300" t="s">
        <v>22</v>
      </c>
      <c r="G4523" s="300" t="s">
        <v>22</v>
      </c>
      <c r="H4523" s="300" t="s">
        <v>22</v>
      </c>
      <c r="I4523" s="300" t="s">
        <v>22</v>
      </c>
      <c r="J4523" s="300" t="s">
        <v>22</v>
      </c>
      <c r="K4523" s="300" t="s">
        <v>22</v>
      </c>
      <c r="L4523" s="300" t="s">
        <v>22</v>
      </c>
      <c r="M4523" s="300" t="s">
        <v>22</v>
      </c>
      <c r="N4523" s="300" t="s">
        <v>22</v>
      </c>
      <c r="O4523" s="300" t="s">
        <v>22</v>
      </c>
      <c r="P4523" s="300" t="s">
        <v>22</v>
      </c>
    </row>
    <row r="4524">
      <c r="E4524" s="3"/>
      <c r="F4524" s="300" t="s">
        <v>22</v>
      </c>
      <c r="G4524" s="300" t="s">
        <v>22</v>
      </c>
      <c r="H4524" s="300" t="s">
        <v>22</v>
      </c>
      <c r="I4524" s="300" t="s">
        <v>22</v>
      </c>
      <c r="J4524" s="300" t="s">
        <v>22</v>
      </c>
      <c r="K4524" s="300" t="s">
        <v>22</v>
      </c>
      <c r="L4524" s="300" t="s">
        <v>22</v>
      </c>
      <c r="M4524" s="300" t="s">
        <v>22</v>
      </c>
      <c r="N4524" s="300" t="s">
        <v>22</v>
      </c>
      <c r="O4524" s="300" t="s">
        <v>22</v>
      </c>
      <c r="P4524" s="300" t="s">
        <v>22</v>
      </c>
    </row>
    <row r="4525">
      <c r="E4525" s="3"/>
      <c r="F4525" s="300" t="s">
        <v>22</v>
      </c>
      <c r="G4525" s="300" t="s">
        <v>22</v>
      </c>
      <c r="H4525" s="300" t="s">
        <v>22</v>
      </c>
      <c r="I4525" s="300" t="s">
        <v>22</v>
      </c>
      <c r="J4525" s="300" t="s">
        <v>22</v>
      </c>
      <c r="K4525" s="300" t="s">
        <v>22</v>
      </c>
      <c r="L4525" s="300" t="s">
        <v>22</v>
      </c>
      <c r="M4525" s="300" t="s">
        <v>22</v>
      </c>
      <c r="N4525" s="300" t="s">
        <v>22</v>
      </c>
      <c r="O4525" s="300" t="s">
        <v>22</v>
      </c>
      <c r="P4525" s="300" t="s">
        <v>22</v>
      </c>
    </row>
    <row r="4526">
      <c r="E4526" s="3"/>
      <c r="F4526" s="300" t="s">
        <v>22</v>
      </c>
      <c r="G4526" s="300" t="s">
        <v>22</v>
      </c>
      <c r="H4526" s="300" t="s">
        <v>22</v>
      </c>
      <c r="I4526" s="300" t="s">
        <v>22</v>
      </c>
      <c r="J4526" s="300" t="s">
        <v>22</v>
      </c>
      <c r="K4526" s="300" t="s">
        <v>22</v>
      </c>
      <c r="L4526" s="300" t="s">
        <v>22</v>
      </c>
      <c r="M4526" s="300" t="s">
        <v>22</v>
      </c>
      <c r="N4526" s="300" t="s">
        <v>22</v>
      </c>
      <c r="O4526" s="300" t="s">
        <v>22</v>
      </c>
      <c r="P4526" s="300" t="s">
        <v>22</v>
      </c>
    </row>
    <row r="4527">
      <c r="E4527" s="3"/>
      <c r="F4527" s="300" t="s">
        <v>22</v>
      </c>
      <c r="G4527" s="300" t="s">
        <v>22</v>
      </c>
      <c r="H4527" s="300" t="s">
        <v>22</v>
      </c>
      <c r="I4527" s="300" t="s">
        <v>22</v>
      </c>
      <c r="J4527" s="300" t="s">
        <v>22</v>
      </c>
      <c r="K4527" s="300" t="s">
        <v>22</v>
      </c>
      <c r="L4527" s="300" t="s">
        <v>22</v>
      </c>
      <c r="M4527" s="300" t="s">
        <v>22</v>
      </c>
      <c r="N4527" s="300" t="s">
        <v>22</v>
      </c>
      <c r="O4527" s="300" t="s">
        <v>22</v>
      </c>
      <c r="P4527" s="300" t="s">
        <v>22</v>
      </c>
    </row>
    <row r="4528">
      <c r="E4528" s="3"/>
      <c r="F4528" s="300" t="s">
        <v>22</v>
      </c>
      <c r="G4528" s="300" t="s">
        <v>22</v>
      </c>
      <c r="H4528" s="300" t="s">
        <v>22</v>
      </c>
      <c r="I4528" s="300" t="s">
        <v>22</v>
      </c>
      <c r="J4528" s="300" t="s">
        <v>22</v>
      </c>
      <c r="K4528" s="300" t="s">
        <v>22</v>
      </c>
      <c r="L4528" s="300" t="s">
        <v>22</v>
      </c>
      <c r="M4528" s="300" t="s">
        <v>22</v>
      </c>
      <c r="N4528" s="300" t="s">
        <v>22</v>
      </c>
      <c r="O4528" s="300" t="s">
        <v>22</v>
      </c>
      <c r="P4528" s="300" t="s">
        <v>22</v>
      </c>
    </row>
    <row r="4529">
      <c r="E4529" s="3"/>
      <c r="F4529" s="300" t="s">
        <v>22</v>
      </c>
      <c r="G4529" s="300" t="s">
        <v>22</v>
      </c>
      <c r="H4529" s="300" t="s">
        <v>22</v>
      </c>
      <c r="I4529" s="300" t="s">
        <v>22</v>
      </c>
      <c r="J4529" s="300" t="s">
        <v>22</v>
      </c>
      <c r="K4529" s="300" t="s">
        <v>22</v>
      </c>
      <c r="L4529" s="300" t="s">
        <v>22</v>
      </c>
      <c r="M4529" s="300" t="s">
        <v>22</v>
      </c>
      <c r="N4529" s="300" t="s">
        <v>22</v>
      </c>
      <c r="O4529" s="300" t="s">
        <v>22</v>
      </c>
      <c r="P4529" s="300" t="s">
        <v>22</v>
      </c>
    </row>
    <row r="4530">
      <c r="E4530" s="3"/>
      <c r="F4530" s="300" t="s">
        <v>22</v>
      </c>
      <c r="G4530" s="300" t="s">
        <v>22</v>
      </c>
      <c r="H4530" s="300" t="s">
        <v>22</v>
      </c>
      <c r="I4530" s="300" t="s">
        <v>22</v>
      </c>
      <c r="J4530" s="300" t="s">
        <v>22</v>
      </c>
      <c r="K4530" s="300" t="s">
        <v>22</v>
      </c>
      <c r="L4530" s="300" t="s">
        <v>22</v>
      </c>
      <c r="M4530" s="300" t="s">
        <v>22</v>
      </c>
      <c r="N4530" s="300" t="s">
        <v>22</v>
      </c>
      <c r="O4530" s="300" t="s">
        <v>22</v>
      </c>
      <c r="P4530" s="300" t="s">
        <v>22</v>
      </c>
    </row>
    <row r="4531">
      <c r="E4531" s="3"/>
      <c r="F4531" s="300" t="s">
        <v>22</v>
      </c>
      <c r="G4531" s="300" t="s">
        <v>22</v>
      </c>
      <c r="H4531" s="300" t="s">
        <v>22</v>
      </c>
      <c r="I4531" s="300" t="s">
        <v>22</v>
      </c>
      <c r="J4531" s="300" t="s">
        <v>22</v>
      </c>
      <c r="K4531" s="300" t="s">
        <v>22</v>
      </c>
      <c r="L4531" s="300" t="s">
        <v>22</v>
      </c>
      <c r="M4531" s="300" t="s">
        <v>22</v>
      </c>
      <c r="N4531" s="300" t="s">
        <v>22</v>
      </c>
      <c r="O4531" s="300" t="s">
        <v>22</v>
      </c>
      <c r="P4531" s="300" t="s">
        <v>22</v>
      </c>
    </row>
    <row r="4532">
      <c r="E4532" s="3"/>
      <c r="F4532" s="300" t="s">
        <v>22</v>
      </c>
      <c r="G4532" s="300" t="s">
        <v>22</v>
      </c>
      <c r="H4532" s="300" t="s">
        <v>22</v>
      </c>
      <c r="I4532" s="300" t="s">
        <v>22</v>
      </c>
      <c r="J4532" s="300" t="s">
        <v>22</v>
      </c>
      <c r="K4532" s="300" t="s">
        <v>22</v>
      </c>
      <c r="L4532" s="300" t="s">
        <v>22</v>
      </c>
      <c r="M4532" s="300" t="s">
        <v>22</v>
      </c>
      <c r="N4532" s="300" t="s">
        <v>22</v>
      </c>
      <c r="O4532" s="300" t="s">
        <v>22</v>
      </c>
      <c r="P4532" s="300" t="s">
        <v>22</v>
      </c>
    </row>
    <row r="4533">
      <c r="E4533" s="3"/>
      <c r="F4533" s="300" t="s">
        <v>22</v>
      </c>
      <c r="G4533" s="300" t="s">
        <v>22</v>
      </c>
      <c r="H4533" s="300" t="s">
        <v>22</v>
      </c>
      <c r="I4533" s="300" t="s">
        <v>22</v>
      </c>
      <c r="J4533" s="300" t="s">
        <v>22</v>
      </c>
      <c r="K4533" s="300" t="s">
        <v>22</v>
      </c>
      <c r="L4533" s="300" t="s">
        <v>22</v>
      </c>
      <c r="M4533" s="300" t="s">
        <v>22</v>
      </c>
      <c r="N4533" s="300" t="s">
        <v>22</v>
      </c>
      <c r="O4533" s="300" t="s">
        <v>22</v>
      </c>
      <c r="P4533" s="300" t="s">
        <v>22</v>
      </c>
    </row>
    <row r="4534">
      <c r="E4534" s="3"/>
      <c r="F4534" s="300" t="s">
        <v>22</v>
      </c>
      <c r="G4534" s="300" t="s">
        <v>22</v>
      </c>
      <c r="H4534" s="300" t="s">
        <v>22</v>
      </c>
      <c r="I4534" s="300" t="s">
        <v>22</v>
      </c>
      <c r="J4534" s="300" t="s">
        <v>22</v>
      </c>
      <c r="K4534" s="300" t="s">
        <v>22</v>
      </c>
      <c r="L4534" s="300" t="s">
        <v>22</v>
      </c>
      <c r="M4534" s="300" t="s">
        <v>22</v>
      </c>
      <c r="N4534" s="300" t="s">
        <v>22</v>
      </c>
      <c r="O4534" s="300" t="s">
        <v>22</v>
      </c>
      <c r="P4534" s="300" t="s">
        <v>22</v>
      </c>
    </row>
    <row r="4535">
      <c r="E4535" s="3"/>
      <c r="F4535" s="300" t="s">
        <v>22</v>
      </c>
      <c r="G4535" s="300" t="s">
        <v>22</v>
      </c>
      <c r="H4535" s="300" t="s">
        <v>22</v>
      </c>
      <c r="I4535" s="300" t="s">
        <v>22</v>
      </c>
      <c r="J4535" s="300" t="s">
        <v>22</v>
      </c>
      <c r="K4535" s="300" t="s">
        <v>22</v>
      </c>
      <c r="L4535" s="300" t="s">
        <v>22</v>
      </c>
      <c r="M4535" s="300" t="s">
        <v>22</v>
      </c>
      <c r="N4535" s="300" t="s">
        <v>22</v>
      </c>
      <c r="O4535" s="300" t="s">
        <v>22</v>
      </c>
      <c r="P4535" s="300" t="s">
        <v>22</v>
      </c>
    </row>
    <row r="4536">
      <c r="E4536" s="3"/>
      <c r="F4536" s="300" t="s">
        <v>22</v>
      </c>
      <c r="G4536" s="300" t="s">
        <v>22</v>
      </c>
      <c r="H4536" s="300" t="s">
        <v>22</v>
      </c>
      <c r="I4536" s="300" t="s">
        <v>22</v>
      </c>
      <c r="J4536" s="300" t="s">
        <v>22</v>
      </c>
      <c r="K4536" s="300" t="s">
        <v>22</v>
      </c>
      <c r="L4536" s="300" t="s">
        <v>22</v>
      </c>
      <c r="M4536" s="300" t="s">
        <v>22</v>
      </c>
      <c r="N4536" s="300" t="s">
        <v>22</v>
      </c>
      <c r="O4536" s="300" t="s">
        <v>22</v>
      </c>
      <c r="P4536" s="300" t="s">
        <v>22</v>
      </c>
    </row>
    <row r="4537">
      <c r="E4537" s="3"/>
      <c r="F4537" s="300" t="s">
        <v>22</v>
      </c>
      <c r="G4537" s="300" t="s">
        <v>22</v>
      </c>
      <c r="H4537" s="300" t="s">
        <v>22</v>
      </c>
      <c r="I4537" s="300" t="s">
        <v>22</v>
      </c>
      <c r="J4537" s="300" t="s">
        <v>22</v>
      </c>
      <c r="K4537" s="300" t="s">
        <v>22</v>
      </c>
      <c r="L4537" s="300" t="s">
        <v>22</v>
      </c>
      <c r="M4537" s="300" t="s">
        <v>22</v>
      </c>
      <c r="N4537" s="300" t="s">
        <v>22</v>
      </c>
      <c r="O4537" s="300" t="s">
        <v>22</v>
      </c>
      <c r="P4537" s="300" t="s">
        <v>22</v>
      </c>
    </row>
    <row r="4538">
      <c r="E4538" s="3"/>
      <c r="F4538" s="300" t="s">
        <v>22</v>
      </c>
      <c r="G4538" s="300" t="s">
        <v>22</v>
      </c>
      <c r="H4538" s="300" t="s">
        <v>22</v>
      </c>
      <c r="I4538" s="300" t="s">
        <v>22</v>
      </c>
      <c r="J4538" s="300" t="s">
        <v>22</v>
      </c>
      <c r="K4538" s="300" t="s">
        <v>22</v>
      </c>
      <c r="L4538" s="300" t="s">
        <v>22</v>
      </c>
      <c r="M4538" s="300" t="s">
        <v>22</v>
      </c>
      <c r="N4538" s="300" t="s">
        <v>22</v>
      </c>
      <c r="O4538" s="300" t="s">
        <v>22</v>
      </c>
      <c r="P4538" s="300" t="s">
        <v>22</v>
      </c>
    </row>
    <row r="4539">
      <c r="E4539" s="3"/>
      <c r="F4539" s="300" t="s">
        <v>22</v>
      </c>
      <c r="G4539" s="300" t="s">
        <v>22</v>
      </c>
      <c r="H4539" s="300" t="s">
        <v>22</v>
      </c>
      <c r="I4539" s="300" t="s">
        <v>22</v>
      </c>
      <c r="J4539" s="300" t="s">
        <v>22</v>
      </c>
      <c r="K4539" s="300" t="s">
        <v>22</v>
      </c>
      <c r="L4539" s="300" t="s">
        <v>22</v>
      </c>
      <c r="M4539" s="300" t="s">
        <v>22</v>
      </c>
      <c r="N4539" s="300" t="s">
        <v>22</v>
      </c>
      <c r="O4539" s="300" t="s">
        <v>22</v>
      </c>
      <c r="P4539" s="300" t="s">
        <v>22</v>
      </c>
    </row>
    <row r="4540">
      <c r="E4540" s="3"/>
      <c r="F4540" s="300" t="s">
        <v>22</v>
      </c>
      <c r="G4540" s="300" t="s">
        <v>22</v>
      </c>
      <c r="H4540" s="300" t="s">
        <v>22</v>
      </c>
      <c r="I4540" s="300" t="s">
        <v>22</v>
      </c>
      <c r="J4540" s="300" t="s">
        <v>22</v>
      </c>
      <c r="K4540" s="300" t="s">
        <v>22</v>
      </c>
      <c r="L4540" s="300" t="s">
        <v>22</v>
      </c>
      <c r="M4540" s="300" t="s">
        <v>22</v>
      </c>
      <c r="N4540" s="300" t="s">
        <v>22</v>
      </c>
      <c r="O4540" s="300" t="s">
        <v>22</v>
      </c>
      <c r="P4540" s="300" t="s">
        <v>22</v>
      </c>
    </row>
    <row r="4541">
      <c r="E4541" s="3"/>
      <c r="F4541" s="300" t="s">
        <v>22</v>
      </c>
      <c r="G4541" s="300" t="s">
        <v>22</v>
      </c>
      <c r="H4541" s="300" t="s">
        <v>22</v>
      </c>
      <c r="I4541" s="300" t="s">
        <v>22</v>
      </c>
      <c r="J4541" s="300" t="s">
        <v>22</v>
      </c>
      <c r="K4541" s="300" t="s">
        <v>22</v>
      </c>
      <c r="L4541" s="300" t="s">
        <v>22</v>
      </c>
      <c r="M4541" s="300" t="s">
        <v>22</v>
      </c>
      <c r="N4541" s="300" t="s">
        <v>22</v>
      </c>
      <c r="O4541" s="300" t="s">
        <v>22</v>
      </c>
      <c r="P4541" s="300" t="s">
        <v>22</v>
      </c>
    </row>
    <row r="4542">
      <c r="E4542" s="3"/>
      <c r="F4542" s="300" t="s">
        <v>22</v>
      </c>
      <c r="G4542" s="300" t="s">
        <v>22</v>
      </c>
      <c r="H4542" s="300" t="s">
        <v>22</v>
      </c>
      <c r="I4542" s="300" t="s">
        <v>22</v>
      </c>
      <c r="J4542" s="300" t="s">
        <v>22</v>
      </c>
      <c r="K4542" s="300" t="s">
        <v>22</v>
      </c>
      <c r="L4542" s="300" t="s">
        <v>22</v>
      </c>
      <c r="M4542" s="300" t="s">
        <v>22</v>
      </c>
      <c r="N4542" s="300" t="s">
        <v>22</v>
      </c>
      <c r="O4542" s="300" t="s">
        <v>22</v>
      </c>
      <c r="P4542" s="300" t="s">
        <v>22</v>
      </c>
    </row>
    <row r="4543">
      <c r="E4543" s="3"/>
      <c r="F4543" s="300" t="s">
        <v>22</v>
      </c>
      <c r="G4543" s="300" t="s">
        <v>22</v>
      </c>
      <c r="H4543" s="300" t="s">
        <v>22</v>
      </c>
      <c r="I4543" s="300" t="s">
        <v>22</v>
      </c>
      <c r="J4543" s="300" t="s">
        <v>22</v>
      </c>
      <c r="K4543" s="300" t="s">
        <v>22</v>
      </c>
      <c r="L4543" s="300" t="s">
        <v>22</v>
      </c>
      <c r="M4543" s="300" t="s">
        <v>22</v>
      </c>
      <c r="N4543" s="300" t="s">
        <v>22</v>
      </c>
      <c r="O4543" s="300" t="s">
        <v>22</v>
      </c>
      <c r="P4543" s="300" t="s">
        <v>22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 customWidth="1" hidden="1" min="4" max="4" width="8.63"/>
    <col customWidth="1" hidden="1" min="5" max="5" width="24.25"/>
    <col hidden="1" min="6" max="6" width="12.63"/>
  </cols>
  <sheetData>
    <row r="1">
      <c r="A1" s="45" t="s">
        <v>994</v>
      </c>
      <c r="B1" s="45" t="s">
        <v>73</v>
      </c>
      <c r="D1" s="45" t="s">
        <v>780</v>
      </c>
      <c r="E1" s="45" t="s">
        <v>149</v>
      </c>
      <c r="F1" t="str">
        <f t="array" ref="F1:F1000">if(ROW(F:F)=1,"Number of times",if(E:E="","",countifs(E:E,E:E)))</f>
        <v>Number of times</v>
      </c>
    </row>
    <row r="2">
      <c r="A2" s="45" t="s">
        <v>995</v>
      </c>
      <c r="B2" s="45" t="s">
        <v>996</v>
      </c>
      <c r="D2" s="296" t="str">
        <f>IFERROR(__xludf.DUMMYFUNCTION("if(OR(B1="""",B2=""""),"""",{filter({'Students (Vertical)'!A:A,'Students (Vertical)'!C:C},'Students (Vertical)'!D:D=B1);filter({'Students (Vertical)'!A:A,'Students (Vertical)'!C:C},'Students (Vertical)'!D:D=B2)})"),"#VALUE!")</f>
        <v>#VALUE!</v>
      </c>
      <c r="F2" t="s">
        <v>22</v>
      </c>
    </row>
    <row r="3">
      <c r="F3" t="s">
        <v>22</v>
      </c>
    </row>
    <row r="4">
      <c r="A4" s="45" t="s">
        <v>780</v>
      </c>
      <c r="B4" s="45" t="s">
        <v>149</v>
      </c>
      <c r="F4" t="s">
        <v>22</v>
      </c>
    </row>
    <row r="5">
      <c r="A5" t="str">
        <f>IFERROR(__xludf.DUMMYFUNCTION("unique(filter(D:E,F:F=2))"),"#N/A")</f>
        <v>#N/A</v>
      </c>
      <c r="F5" t="s">
        <v>22</v>
      </c>
    </row>
    <row r="6">
      <c r="F6" t="s">
        <v>22</v>
      </c>
    </row>
    <row r="7">
      <c r="F7" t="s">
        <v>22</v>
      </c>
    </row>
    <row r="8">
      <c r="F8" t="s">
        <v>22</v>
      </c>
    </row>
    <row r="9">
      <c r="F9" t="s">
        <v>22</v>
      </c>
    </row>
    <row r="10">
      <c r="F10" t="s">
        <v>22</v>
      </c>
    </row>
    <row r="11">
      <c r="F11" t="s">
        <v>22</v>
      </c>
    </row>
    <row r="12">
      <c r="F12" t="s">
        <v>22</v>
      </c>
    </row>
    <row r="13">
      <c r="F13" t="s">
        <v>22</v>
      </c>
    </row>
    <row r="14">
      <c r="F14" t="s">
        <v>22</v>
      </c>
    </row>
    <row r="15">
      <c r="F15" t="s">
        <v>22</v>
      </c>
    </row>
    <row r="16">
      <c r="F16" t="s">
        <v>22</v>
      </c>
    </row>
    <row r="17">
      <c r="F17" t="s">
        <v>22</v>
      </c>
    </row>
    <row r="18">
      <c r="F18" t="s">
        <v>22</v>
      </c>
    </row>
    <row r="19">
      <c r="F19" t="s">
        <v>22</v>
      </c>
    </row>
    <row r="20">
      <c r="F20" t="s">
        <v>22</v>
      </c>
    </row>
    <row r="21">
      <c r="F21" t="s">
        <v>22</v>
      </c>
    </row>
    <row r="22">
      <c r="F22" t="s">
        <v>22</v>
      </c>
    </row>
    <row r="23">
      <c r="F23" t="s">
        <v>22</v>
      </c>
    </row>
    <row r="24">
      <c r="F24" t="s">
        <v>22</v>
      </c>
    </row>
    <row r="25">
      <c r="F25" t="s">
        <v>22</v>
      </c>
    </row>
    <row r="26">
      <c r="F26" t="s">
        <v>22</v>
      </c>
    </row>
    <row r="27">
      <c r="F27" t="s">
        <v>22</v>
      </c>
    </row>
    <row r="28">
      <c r="F28" t="s">
        <v>22</v>
      </c>
    </row>
    <row r="29">
      <c r="F29" t="s">
        <v>22</v>
      </c>
    </row>
    <row r="30">
      <c r="F30" t="s">
        <v>22</v>
      </c>
    </row>
    <row r="31">
      <c r="F31" t="s">
        <v>22</v>
      </c>
    </row>
    <row r="32">
      <c r="F32" t="s">
        <v>22</v>
      </c>
    </row>
    <row r="33">
      <c r="F33" t="s">
        <v>22</v>
      </c>
    </row>
    <row r="34">
      <c r="F34" t="s">
        <v>22</v>
      </c>
    </row>
    <row r="35">
      <c r="F35" t="s">
        <v>22</v>
      </c>
    </row>
    <row r="36">
      <c r="F36" t="s">
        <v>22</v>
      </c>
    </row>
    <row r="37">
      <c r="F37" t="s">
        <v>22</v>
      </c>
    </row>
    <row r="38">
      <c r="F38" t="s">
        <v>22</v>
      </c>
    </row>
    <row r="39">
      <c r="F39" t="s">
        <v>22</v>
      </c>
    </row>
    <row r="40">
      <c r="F40" t="s">
        <v>22</v>
      </c>
    </row>
    <row r="41">
      <c r="F41" t="s">
        <v>22</v>
      </c>
    </row>
    <row r="42">
      <c r="F42" t="s">
        <v>22</v>
      </c>
    </row>
    <row r="43">
      <c r="F43" t="s">
        <v>22</v>
      </c>
    </row>
    <row r="44">
      <c r="F44" t="s">
        <v>22</v>
      </c>
    </row>
    <row r="45">
      <c r="F45" t="s">
        <v>22</v>
      </c>
    </row>
    <row r="46">
      <c r="F46" t="s">
        <v>22</v>
      </c>
    </row>
    <row r="47">
      <c r="F47" t="s">
        <v>22</v>
      </c>
    </row>
    <row r="48">
      <c r="F48" t="s">
        <v>22</v>
      </c>
    </row>
    <row r="49">
      <c r="F49" t="s">
        <v>22</v>
      </c>
    </row>
    <row r="50">
      <c r="F50" t="s">
        <v>22</v>
      </c>
    </row>
    <row r="51">
      <c r="F51" t="s">
        <v>22</v>
      </c>
    </row>
    <row r="52">
      <c r="F52" t="s">
        <v>22</v>
      </c>
    </row>
    <row r="53">
      <c r="F53" t="s">
        <v>22</v>
      </c>
    </row>
    <row r="54">
      <c r="F54" t="s">
        <v>22</v>
      </c>
    </row>
    <row r="55">
      <c r="F55" t="s">
        <v>22</v>
      </c>
    </row>
    <row r="56">
      <c r="F56" t="s">
        <v>22</v>
      </c>
    </row>
    <row r="57">
      <c r="F57" t="s">
        <v>22</v>
      </c>
    </row>
    <row r="58">
      <c r="F58" t="s">
        <v>22</v>
      </c>
    </row>
    <row r="59">
      <c r="F59" t="s">
        <v>22</v>
      </c>
    </row>
    <row r="60">
      <c r="F60" t="s">
        <v>22</v>
      </c>
    </row>
    <row r="61">
      <c r="F61" t="s">
        <v>22</v>
      </c>
    </row>
    <row r="62">
      <c r="F62" t="s">
        <v>22</v>
      </c>
    </row>
    <row r="63">
      <c r="F63" t="s">
        <v>22</v>
      </c>
    </row>
    <row r="64">
      <c r="F64" t="s">
        <v>22</v>
      </c>
    </row>
    <row r="65">
      <c r="F65" t="s">
        <v>22</v>
      </c>
    </row>
    <row r="66">
      <c r="F66" t="s">
        <v>22</v>
      </c>
    </row>
    <row r="67">
      <c r="F67" t="s">
        <v>22</v>
      </c>
    </row>
    <row r="68">
      <c r="F68" t="s">
        <v>22</v>
      </c>
    </row>
    <row r="69">
      <c r="F69" t="s">
        <v>22</v>
      </c>
    </row>
    <row r="70">
      <c r="F70" t="s">
        <v>22</v>
      </c>
    </row>
    <row r="71">
      <c r="F71" t="s">
        <v>22</v>
      </c>
    </row>
    <row r="72">
      <c r="F72" t="s">
        <v>22</v>
      </c>
    </row>
    <row r="73">
      <c r="F73" t="s">
        <v>22</v>
      </c>
    </row>
    <row r="74">
      <c r="F74" t="s">
        <v>22</v>
      </c>
    </row>
    <row r="75">
      <c r="F75" t="s">
        <v>22</v>
      </c>
    </row>
    <row r="76">
      <c r="F76" t="s">
        <v>22</v>
      </c>
    </row>
    <row r="77">
      <c r="F77" t="s">
        <v>22</v>
      </c>
    </row>
    <row r="78">
      <c r="F78" t="s">
        <v>22</v>
      </c>
    </row>
    <row r="79">
      <c r="F79" t="s">
        <v>22</v>
      </c>
    </row>
    <row r="80">
      <c r="F80" t="s">
        <v>22</v>
      </c>
    </row>
    <row r="81">
      <c r="F81" t="s">
        <v>22</v>
      </c>
    </row>
    <row r="82">
      <c r="F82" t="s">
        <v>22</v>
      </c>
    </row>
    <row r="83">
      <c r="F83" t="s">
        <v>22</v>
      </c>
    </row>
    <row r="84">
      <c r="F84" t="s">
        <v>22</v>
      </c>
    </row>
    <row r="85">
      <c r="F85" t="s">
        <v>22</v>
      </c>
    </row>
    <row r="86">
      <c r="F86" t="s">
        <v>22</v>
      </c>
    </row>
    <row r="87">
      <c r="F87" t="s">
        <v>22</v>
      </c>
    </row>
    <row r="88">
      <c r="F88" t="s">
        <v>22</v>
      </c>
    </row>
    <row r="89">
      <c r="F89" t="s">
        <v>22</v>
      </c>
    </row>
    <row r="90">
      <c r="F90" t="s">
        <v>22</v>
      </c>
    </row>
    <row r="91">
      <c r="F91" t="s">
        <v>22</v>
      </c>
    </row>
    <row r="92">
      <c r="F92" t="s">
        <v>22</v>
      </c>
    </row>
    <row r="93">
      <c r="F93" t="s">
        <v>22</v>
      </c>
    </row>
    <row r="94">
      <c r="F94" t="s">
        <v>22</v>
      </c>
    </row>
    <row r="95">
      <c r="F95" t="s">
        <v>22</v>
      </c>
    </row>
    <row r="96">
      <c r="F96" t="s">
        <v>22</v>
      </c>
    </row>
    <row r="97">
      <c r="F97" t="s">
        <v>22</v>
      </c>
    </row>
    <row r="98">
      <c r="F98" t="s">
        <v>22</v>
      </c>
    </row>
    <row r="99">
      <c r="F99" t="s">
        <v>22</v>
      </c>
    </row>
    <row r="100">
      <c r="F100" t="s">
        <v>22</v>
      </c>
    </row>
    <row r="101">
      <c r="F101" t="s">
        <v>22</v>
      </c>
    </row>
    <row r="102">
      <c r="F102" t="s">
        <v>22</v>
      </c>
    </row>
    <row r="103">
      <c r="F103" t="s">
        <v>22</v>
      </c>
    </row>
    <row r="104">
      <c r="F104" t="s">
        <v>22</v>
      </c>
    </row>
    <row r="105">
      <c r="F105" t="s">
        <v>22</v>
      </c>
    </row>
    <row r="106">
      <c r="F106" t="s">
        <v>22</v>
      </c>
    </row>
    <row r="107">
      <c r="F107" t="s">
        <v>22</v>
      </c>
    </row>
    <row r="108">
      <c r="F108" t="s">
        <v>22</v>
      </c>
    </row>
    <row r="109">
      <c r="F109" t="s">
        <v>22</v>
      </c>
    </row>
    <row r="110">
      <c r="F110" t="s">
        <v>22</v>
      </c>
    </row>
    <row r="111">
      <c r="F111" t="s">
        <v>22</v>
      </c>
    </row>
    <row r="112">
      <c r="F112" t="s">
        <v>22</v>
      </c>
    </row>
    <row r="113">
      <c r="F113" t="s">
        <v>22</v>
      </c>
    </row>
    <row r="114">
      <c r="F114" t="s">
        <v>22</v>
      </c>
    </row>
    <row r="115">
      <c r="F115" t="s">
        <v>22</v>
      </c>
    </row>
    <row r="116">
      <c r="F116" t="s">
        <v>22</v>
      </c>
    </row>
    <row r="117">
      <c r="F117" t="s">
        <v>22</v>
      </c>
    </row>
    <row r="118">
      <c r="F118" t="s">
        <v>22</v>
      </c>
    </row>
    <row r="119">
      <c r="F119" t="s">
        <v>22</v>
      </c>
    </row>
    <row r="120">
      <c r="F120" t="s">
        <v>22</v>
      </c>
    </row>
    <row r="121">
      <c r="F121" t="s">
        <v>22</v>
      </c>
    </row>
    <row r="122">
      <c r="F122" t="s">
        <v>22</v>
      </c>
    </row>
    <row r="123">
      <c r="F123" t="s">
        <v>22</v>
      </c>
    </row>
    <row r="124">
      <c r="F124" t="s">
        <v>22</v>
      </c>
    </row>
    <row r="125">
      <c r="F125" t="s">
        <v>22</v>
      </c>
    </row>
    <row r="126">
      <c r="F126" t="s">
        <v>22</v>
      </c>
    </row>
    <row r="127">
      <c r="F127" t="s">
        <v>22</v>
      </c>
    </row>
    <row r="128">
      <c r="F128" t="s">
        <v>22</v>
      </c>
    </row>
    <row r="129">
      <c r="F129" t="s">
        <v>22</v>
      </c>
    </row>
    <row r="130">
      <c r="F130" t="s">
        <v>22</v>
      </c>
    </row>
    <row r="131">
      <c r="F131" t="s">
        <v>22</v>
      </c>
    </row>
    <row r="132">
      <c r="F132" t="s">
        <v>22</v>
      </c>
    </row>
    <row r="133">
      <c r="F133" t="s">
        <v>22</v>
      </c>
    </row>
    <row r="134">
      <c r="F134" t="s">
        <v>22</v>
      </c>
    </row>
    <row r="135">
      <c r="F135" t="s">
        <v>22</v>
      </c>
    </row>
    <row r="136">
      <c r="F136" t="s">
        <v>22</v>
      </c>
    </row>
    <row r="137">
      <c r="F137" t="s">
        <v>22</v>
      </c>
    </row>
    <row r="138">
      <c r="F138" t="s">
        <v>22</v>
      </c>
    </row>
    <row r="139">
      <c r="F139" t="s">
        <v>22</v>
      </c>
    </row>
    <row r="140">
      <c r="F140" t="s">
        <v>22</v>
      </c>
    </row>
    <row r="141">
      <c r="F141" t="s">
        <v>22</v>
      </c>
    </row>
    <row r="142">
      <c r="F142" t="s">
        <v>22</v>
      </c>
    </row>
    <row r="143">
      <c r="F143" t="s">
        <v>22</v>
      </c>
    </row>
    <row r="144">
      <c r="F144" t="s">
        <v>22</v>
      </c>
    </row>
    <row r="145">
      <c r="F145" t="s">
        <v>22</v>
      </c>
    </row>
    <row r="146">
      <c r="F146" t="s">
        <v>22</v>
      </c>
    </row>
    <row r="147">
      <c r="F147" t="s">
        <v>22</v>
      </c>
    </row>
    <row r="148">
      <c r="F148" t="s">
        <v>22</v>
      </c>
    </row>
    <row r="149">
      <c r="F149" t="s">
        <v>22</v>
      </c>
    </row>
    <row r="150">
      <c r="F150" t="s">
        <v>22</v>
      </c>
    </row>
    <row r="151">
      <c r="F151" t="s">
        <v>22</v>
      </c>
    </row>
    <row r="152">
      <c r="F152" t="s">
        <v>22</v>
      </c>
    </row>
    <row r="153">
      <c r="F153" t="s">
        <v>22</v>
      </c>
    </row>
    <row r="154">
      <c r="F154" t="s">
        <v>22</v>
      </c>
    </row>
    <row r="155">
      <c r="F155" t="s">
        <v>22</v>
      </c>
    </row>
    <row r="156">
      <c r="F156" t="s">
        <v>22</v>
      </c>
    </row>
    <row r="157">
      <c r="F157" t="s">
        <v>22</v>
      </c>
    </row>
    <row r="158">
      <c r="F158" t="s">
        <v>22</v>
      </c>
    </row>
    <row r="159">
      <c r="F159" t="s">
        <v>22</v>
      </c>
    </row>
    <row r="160">
      <c r="F160" t="s">
        <v>22</v>
      </c>
    </row>
    <row r="161">
      <c r="F161" t="s">
        <v>22</v>
      </c>
    </row>
    <row r="162">
      <c r="F162" t="s">
        <v>22</v>
      </c>
    </row>
    <row r="163">
      <c r="F163" t="s">
        <v>22</v>
      </c>
    </row>
    <row r="164">
      <c r="F164" t="s">
        <v>22</v>
      </c>
    </row>
    <row r="165">
      <c r="F165" t="s">
        <v>22</v>
      </c>
    </row>
    <row r="166">
      <c r="F166" t="s">
        <v>22</v>
      </c>
    </row>
    <row r="167">
      <c r="F167" t="s">
        <v>22</v>
      </c>
    </row>
    <row r="168">
      <c r="F168" t="s">
        <v>22</v>
      </c>
    </row>
    <row r="169">
      <c r="F169" t="s">
        <v>22</v>
      </c>
    </row>
    <row r="170">
      <c r="F170" t="s">
        <v>22</v>
      </c>
    </row>
    <row r="171">
      <c r="F171" t="s">
        <v>22</v>
      </c>
    </row>
    <row r="172">
      <c r="F172" t="s">
        <v>22</v>
      </c>
    </row>
    <row r="173">
      <c r="F173" t="s">
        <v>22</v>
      </c>
    </row>
    <row r="174">
      <c r="F174" t="s">
        <v>22</v>
      </c>
    </row>
    <row r="175">
      <c r="F175" t="s">
        <v>22</v>
      </c>
    </row>
    <row r="176">
      <c r="F176" t="s">
        <v>22</v>
      </c>
    </row>
    <row r="177">
      <c r="F177" t="s">
        <v>22</v>
      </c>
    </row>
    <row r="178">
      <c r="F178" t="s">
        <v>22</v>
      </c>
    </row>
    <row r="179">
      <c r="F179" t="s">
        <v>22</v>
      </c>
    </row>
    <row r="180">
      <c r="F180" t="s">
        <v>22</v>
      </c>
    </row>
    <row r="181">
      <c r="F181" t="s">
        <v>22</v>
      </c>
    </row>
    <row r="182">
      <c r="F182" t="s">
        <v>22</v>
      </c>
    </row>
    <row r="183">
      <c r="F183" t="s">
        <v>22</v>
      </c>
    </row>
    <row r="184">
      <c r="F184" t="s">
        <v>22</v>
      </c>
    </row>
    <row r="185">
      <c r="F185" t="s">
        <v>22</v>
      </c>
    </row>
    <row r="186">
      <c r="F186" t="s">
        <v>22</v>
      </c>
    </row>
    <row r="187">
      <c r="F187" t="s">
        <v>22</v>
      </c>
    </row>
    <row r="188">
      <c r="F188" t="s">
        <v>22</v>
      </c>
    </row>
    <row r="189">
      <c r="F189" t="s">
        <v>22</v>
      </c>
    </row>
    <row r="190">
      <c r="F190" t="s">
        <v>22</v>
      </c>
    </row>
    <row r="191">
      <c r="F191" t="s">
        <v>22</v>
      </c>
    </row>
    <row r="192">
      <c r="F192" t="s">
        <v>22</v>
      </c>
    </row>
    <row r="193">
      <c r="F193" t="s">
        <v>22</v>
      </c>
    </row>
    <row r="194">
      <c r="F194" t="s">
        <v>22</v>
      </c>
    </row>
    <row r="195">
      <c r="F195" t="s">
        <v>22</v>
      </c>
    </row>
    <row r="196">
      <c r="F196" t="s">
        <v>22</v>
      </c>
    </row>
    <row r="197">
      <c r="F197" t="s">
        <v>22</v>
      </c>
    </row>
    <row r="198">
      <c r="F198" t="s">
        <v>22</v>
      </c>
    </row>
    <row r="199">
      <c r="F199" t="s">
        <v>22</v>
      </c>
    </row>
    <row r="200">
      <c r="F200" t="s">
        <v>22</v>
      </c>
    </row>
    <row r="201">
      <c r="F201" t="s">
        <v>22</v>
      </c>
    </row>
    <row r="202">
      <c r="F202" t="s">
        <v>22</v>
      </c>
    </row>
    <row r="203">
      <c r="F203" t="s">
        <v>22</v>
      </c>
    </row>
    <row r="204">
      <c r="F204" t="s">
        <v>22</v>
      </c>
    </row>
    <row r="205">
      <c r="F205" t="s">
        <v>22</v>
      </c>
    </row>
    <row r="206">
      <c r="F206" t="s">
        <v>22</v>
      </c>
    </row>
    <row r="207">
      <c r="F207" t="s">
        <v>22</v>
      </c>
    </row>
    <row r="208">
      <c r="F208" t="s">
        <v>22</v>
      </c>
    </row>
    <row r="209">
      <c r="F209" t="s">
        <v>22</v>
      </c>
    </row>
    <row r="210">
      <c r="F210" t="s">
        <v>22</v>
      </c>
    </row>
    <row r="211">
      <c r="F211" t="s">
        <v>22</v>
      </c>
    </row>
    <row r="212">
      <c r="F212" t="s">
        <v>22</v>
      </c>
    </row>
    <row r="213">
      <c r="F213" t="s">
        <v>22</v>
      </c>
    </row>
    <row r="214">
      <c r="F214" t="s">
        <v>22</v>
      </c>
    </row>
    <row r="215">
      <c r="F215" t="s">
        <v>22</v>
      </c>
    </row>
    <row r="216">
      <c r="F216" t="s">
        <v>22</v>
      </c>
    </row>
    <row r="217">
      <c r="F217" t="s">
        <v>22</v>
      </c>
    </row>
    <row r="218">
      <c r="F218" t="s">
        <v>22</v>
      </c>
    </row>
    <row r="219">
      <c r="F219" t="s">
        <v>22</v>
      </c>
    </row>
    <row r="220">
      <c r="F220" t="s">
        <v>22</v>
      </c>
    </row>
    <row r="221">
      <c r="F221" t="s">
        <v>22</v>
      </c>
    </row>
    <row r="222">
      <c r="F222" t="s">
        <v>22</v>
      </c>
    </row>
    <row r="223">
      <c r="F223" t="s">
        <v>22</v>
      </c>
    </row>
    <row r="224">
      <c r="F224" t="s">
        <v>22</v>
      </c>
    </row>
    <row r="225">
      <c r="F225" t="s">
        <v>22</v>
      </c>
    </row>
    <row r="226">
      <c r="F226" t="s">
        <v>22</v>
      </c>
    </row>
    <row r="227">
      <c r="F227" t="s">
        <v>22</v>
      </c>
    </row>
    <row r="228">
      <c r="F228" t="s">
        <v>22</v>
      </c>
    </row>
    <row r="229">
      <c r="F229" t="s">
        <v>22</v>
      </c>
    </row>
    <row r="230">
      <c r="F230" t="s">
        <v>22</v>
      </c>
    </row>
    <row r="231">
      <c r="F231" t="s">
        <v>22</v>
      </c>
    </row>
    <row r="232">
      <c r="F232" t="s">
        <v>22</v>
      </c>
    </row>
    <row r="233">
      <c r="F233" t="s">
        <v>22</v>
      </c>
    </row>
    <row r="234">
      <c r="F234" t="s">
        <v>22</v>
      </c>
    </row>
    <row r="235">
      <c r="F235" t="s">
        <v>22</v>
      </c>
    </row>
    <row r="236">
      <c r="F236" t="s">
        <v>22</v>
      </c>
    </row>
    <row r="237">
      <c r="F237" t="s">
        <v>22</v>
      </c>
    </row>
    <row r="238">
      <c r="F238" t="s">
        <v>22</v>
      </c>
    </row>
    <row r="239">
      <c r="F239" t="s">
        <v>22</v>
      </c>
    </row>
    <row r="240">
      <c r="F240" t="s">
        <v>22</v>
      </c>
    </row>
    <row r="241">
      <c r="F241" t="s">
        <v>22</v>
      </c>
    </row>
    <row r="242">
      <c r="F242" t="s">
        <v>22</v>
      </c>
    </row>
    <row r="243">
      <c r="F243" t="s">
        <v>22</v>
      </c>
    </row>
    <row r="244">
      <c r="F244" t="s">
        <v>22</v>
      </c>
    </row>
    <row r="245">
      <c r="F245" t="s">
        <v>22</v>
      </c>
    </row>
    <row r="246">
      <c r="F246" t="s">
        <v>22</v>
      </c>
    </row>
    <row r="247">
      <c r="F247" t="s">
        <v>22</v>
      </c>
    </row>
    <row r="248">
      <c r="F248" t="s">
        <v>22</v>
      </c>
    </row>
    <row r="249">
      <c r="F249" t="s">
        <v>22</v>
      </c>
    </row>
    <row r="250">
      <c r="F250" t="s">
        <v>22</v>
      </c>
    </row>
    <row r="251">
      <c r="F251" t="s">
        <v>22</v>
      </c>
    </row>
    <row r="252">
      <c r="F252" t="s">
        <v>22</v>
      </c>
    </row>
    <row r="253">
      <c r="F253" t="s">
        <v>22</v>
      </c>
    </row>
    <row r="254">
      <c r="F254" t="s">
        <v>22</v>
      </c>
    </row>
    <row r="255">
      <c r="F255" t="s">
        <v>22</v>
      </c>
    </row>
    <row r="256">
      <c r="F256" t="s">
        <v>22</v>
      </c>
    </row>
    <row r="257">
      <c r="F257" t="s">
        <v>22</v>
      </c>
    </row>
    <row r="258">
      <c r="F258" t="s">
        <v>22</v>
      </c>
    </row>
    <row r="259">
      <c r="F259" t="s">
        <v>22</v>
      </c>
    </row>
    <row r="260">
      <c r="F260" t="s">
        <v>22</v>
      </c>
    </row>
    <row r="261">
      <c r="F261" t="s">
        <v>22</v>
      </c>
    </row>
    <row r="262">
      <c r="F262" t="s">
        <v>22</v>
      </c>
    </row>
    <row r="263">
      <c r="F263" t="s">
        <v>22</v>
      </c>
    </row>
    <row r="264">
      <c r="F264" t="s">
        <v>22</v>
      </c>
    </row>
    <row r="265">
      <c r="F265" t="s">
        <v>22</v>
      </c>
    </row>
    <row r="266">
      <c r="F266" t="s">
        <v>22</v>
      </c>
    </row>
    <row r="267">
      <c r="F267" t="s">
        <v>22</v>
      </c>
    </row>
    <row r="268">
      <c r="F268" t="s">
        <v>22</v>
      </c>
    </row>
    <row r="269">
      <c r="F269" t="s">
        <v>22</v>
      </c>
    </row>
    <row r="270">
      <c r="F270" t="s">
        <v>22</v>
      </c>
    </row>
    <row r="271">
      <c r="F271" t="s">
        <v>22</v>
      </c>
    </row>
    <row r="272">
      <c r="F272" t="s">
        <v>22</v>
      </c>
    </row>
    <row r="273">
      <c r="F273" t="s">
        <v>22</v>
      </c>
    </row>
    <row r="274">
      <c r="F274" t="s">
        <v>22</v>
      </c>
    </row>
    <row r="275">
      <c r="F275" t="s">
        <v>22</v>
      </c>
    </row>
    <row r="276">
      <c r="F276" t="s">
        <v>22</v>
      </c>
    </row>
    <row r="277">
      <c r="F277" t="s">
        <v>22</v>
      </c>
    </row>
    <row r="278">
      <c r="F278" t="s">
        <v>22</v>
      </c>
    </row>
    <row r="279">
      <c r="F279" t="s">
        <v>22</v>
      </c>
    </row>
    <row r="280">
      <c r="F280" t="s">
        <v>22</v>
      </c>
    </row>
    <row r="281">
      <c r="F281" t="s">
        <v>22</v>
      </c>
    </row>
    <row r="282">
      <c r="F282" t="s">
        <v>22</v>
      </c>
    </row>
    <row r="283">
      <c r="F283" t="s">
        <v>22</v>
      </c>
    </row>
    <row r="284">
      <c r="F284" t="s">
        <v>22</v>
      </c>
    </row>
    <row r="285">
      <c r="F285" t="s">
        <v>22</v>
      </c>
    </row>
    <row r="286">
      <c r="F286" t="s">
        <v>22</v>
      </c>
    </row>
    <row r="287">
      <c r="F287" t="s">
        <v>22</v>
      </c>
    </row>
    <row r="288">
      <c r="F288" t="s">
        <v>22</v>
      </c>
    </row>
    <row r="289">
      <c r="F289" t="s">
        <v>22</v>
      </c>
    </row>
    <row r="290">
      <c r="F290" t="s">
        <v>22</v>
      </c>
    </row>
    <row r="291">
      <c r="F291" t="s">
        <v>22</v>
      </c>
    </row>
    <row r="292">
      <c r="F292" t="s">
        <v>22</v>
      </c>
    </row>
    <row r="293">
      <c r="F293" t="s">
        <v>22</v>
      </c>
    </row>
    <row r="294">
      <c r="F294" t="s">
        <v>22</v>
      </c>
    </row>
    <row r="295">
      <c r="F295" t="s">
        <v>22</v>
      </c>
    </row>
    <row r="296">
      <c r="F296" t="s">
        <v>22</v>
      </c>
    </row>
    <row r="297">
      <c r="F297" t="s">
        <v>22</v>
      </c>
    </row>
    <row r="298">
      <c r="F298" t="s">
        <v>22</v>
      </c>
    </row>
    <row r="299">
      <c r="F299" t="s">
        <v>22</v>
      </c>
    </row>
    <row r="300">
      <c r="F300" t="s">
        <v>22</v>
      </c>
    </row>
    <row r="301">
      <c r="F301" t="s">
        <v>22</v>
      </c>
    </row>
    <row r="302">
      <c r="F302" t="s">
        <v>22</v>
      </c>
    </row>
    <row r="303">
      <c r="F303" t="s">
        <v>22</v>
      </c>
    </row>
    <row r="304">
      <c r="F304" t="s">
        <v>22</v>
      </c>
    </row>
    <row r="305">
      <c r="F305" t="s">
        <v>22</v>
      </c>
    </row>
    <row r="306">
      <c r="F306" t="s">
        <v>22</v>
      </c>
    </row>
    <row r="307">
      <c r="F307" t="s">
        <v>22</v>
      </c>
    </row>
    <row r="308">
      <c r="F308" t="s">
        <v>22</v>
      </c>
    </row>
    <row r="309">
      <c r="F309" t="s">
        <v>22</v>
      </c>
    </row>
    <row r="310">
      <c r="F310" t="s">
        <v>22</v>
      </c>
    </row>
    <row r="311">
      <c r="F311" t="s">
        <v>22</v>
      </c>
    </row>
    <row r="312">
      <c r="F312" t="s">
        <v>22</v>
      </c>
    </row>
    <row r="313">
      <c r="F313" t="s">
        <v>22</v>
      </c>
    </row>
    <row r="314">
      <c r="F314" t="s">
        <v>22</v>
      </c>
    </row>
    <row r="315">
      <c r="F315" t="s">
        <v>22</v>
      </c>
    </row>
    <row r="316">
      <c r="F316" t="s">
        <v>22</v>
      </c>
    </row>
    <row r="317">
      <c r="F317" t="s">
        <v>22</v>
      </c>
    </row>
    <row r="318">
      <c r="F318" t="s">
        <v>22</v>
      </c>
    </row>
    <row r="319">
      <c r="F319" t="s">
        <v>22</v>
      </c>
    </row>
    <row r="320">
      <c r="F320" t="s">
        <v>22</v>
      </c>
    </row>
    <row r="321">
      <c r="F321" t="s">
        <v>22</v>
      </c>
    </row>
    <row r="322">
      <c r="F322" t="s">
        <v>22</v>
      </c>
    </row>
    <row r="323">
      <c r="F323" t="s">
        <v>22</v>
      </c>
    </row>
    <row r="324">
      <c r="F324" t="s">
        <v>22</v>
      </c>
    </row>
    <row r="325">
      <c r="F325" t="s">
        <v>22</v>
      </c>
    </row>
    <row r="326">
      <c r="F326" t="s">
        <v>22</v>
      </c>
    </row>
    <row r="327">
      <c r="F327" t="s">
        <v>22</v>
      </c>
    </row>
    <row r="328">
      <c r="F328" t="s">
        <v>22</v>
      </c>
    </row>
    <row r="329">
      <c r="F329" t="s">
        <v>22</v>
      </c>
    </row>
    <row r="330">
      <c r="F330" t="s">
        <v>22</v>
      </c>
    </row>
    <row r="331">
      <c r="F331" t="s">
        <v>22</v>
      </c>
    </row>
    <row r="332">
      <c r="F332" t="s">
        <v>22</v>
      </c>
    </row>
    <row r="333">
      <c r="F333" t="s">
        <v>22</v>
      </c>
    </row>
    <row r="334">
      <c r="F334" t="s">
        <v>22</v>
      </c>
    </row>
    <row r="335">
      <c r="F335" t="s">
        <v>22</v>
      </c>
    </row>
    <row r="336">
      <c r="F336" t="s">
        <v>22</v>
      </c>
    </row>
    <row r="337">
      <c r="F337" t="s">
        <v>22</v>
      </c>
    </row>
    <row r="338">
      <c r="F338" t="s">
        <v>22</v>
      </c>
    </row>
    <row r="339">
      <c r="F339" t="s">
        <v>22</v>
      </c>
    </row>
    <row r="340">
      <c r="F340" t="s">
        <v>22</v>
      </c>
    </row>
    <row r="341">
      <c r="F341" t="s">
        <v>22</v>
      </c>
    </row>
    <row r="342">
      <c r="F342" t="s">
        <v>22</v>
      </c>
    </row>
    <row r="343">
      <c r="F343" t="s">
        <v>22</v>
      </c>
    </row>
    <row r="344">
      <c r="F344" t="s">
        <v>22</v>
      </c>
    </row>
    <row r="345">
      <c r="F345" t="s">
        <v>22</v>
      </c>
    </row>
    <row r="346">
      <c r="F346" t="s">
        <v>22</v>
      </c>
    </row>
    <row r="347">
      <c r="F347" t="s">
        <v>22</v>
      </c>
    </row>
    <row r="348">
      <c r="F348" t="s">
        <v>22</v>
      </c>
    </row>
    <row r="349">
      <c r="F349" t="s">
        <v>22</v>
      </c>
    </row>
    <row r="350">
      <c r="F350" t="s">
        <v>22</v>
      </c>
    </row>
    <row r="351">
      <c r="F351" t="s">
        <v>22</v>
      </c>
    </row>
    <row r="352">
      <c r="F352" t="s">
        <v>22</v>
      </c>
    </row>
    <row r="353">
      <c r="F353" t="s">
        <v>22</v>
      </c>
    </row>
    <row r="354">
      <c r="F354" t="s">
        <v>22</v>
      </c>
    </row>
    <row r="355">
      <c r="F355" t="s">
        <v>22</v>
      </c>
    </row>
    <row r="356">
      <c r="F356" t="s">
        <v>22</v>
      </c>
    </row>
    <row r="357">
      <c r="F357" t="s">
        <v>22</v>
      </c>
    </row>
    <row r="358">
      <c r="F358" t="s">
        <v>22</v>
      </c>
    </row>
    <row r="359">
      <c r="F359" t="s">
        <v>22</v>
      </c>
    </row>
    <row r="360">
      <c r="F360" t="s">
        <v>22</v>
      </c>
    </row>
    <row r="361">
      <c r="F361" t="s">
        <v>22</v>
      </c>
    </row>
    <row r="362">
      <c r="F362" t="s">
        <v>22</v>
      </c>
    </row>
    <row r="363">
      <c r="F363" t="s">
        <v>22</v>
      </c>
    </row>
    <row r="364">
      <c r="F364" t="s">
        <v>22</v>
      </c>
    </row>
    <row r="365">
      <c r="F365" t="s">
        <v>22</v>
      </c>
    </row>
    <row r="366">
      <c r="F366" t="s">
        <v>22</v>
      </c>
    </row>
    <row r="367">
      <c r="F367" t="s">
        <v>22</v>
      </c>
    </row>
    <row r="368">
      <c r="F368" t="s">
        <v>22</v>
      </c>
    </row>
    <row r="369">
      <c r="F369" t="s">
        <v>22</v>
      </c>
    </row>
    <row r="370">
      <c r="F370" t="s">
        <v>22</v>
      </c>
    </row>
    <row r="371">
      <c r="F371" t="s">
        <v>22</v>
      </c>
    </row>
    <row r="372">
      <c r="F372" t="s">
        <v>22</v>
      </c>
    </row>
    <row r="373">
      <c r="F373" t="s">
        <v>22</v>
      </c>
    </row>
    <row r="374">
      <c r="F374" t="s">
        <v>22</v>
      </c>
    </row>
    <row r="375">
      <c r="F375" t="s">
        <v>22</v>
      </c>
    </row>
    <row r="376">
      <c r="F376" t="s">
        <v>22</v>
      </c>
    </row>
    <row r="377">
      <c r="F377" t="s">
        <v>22</v>
      </c>
    </row>
    <row r="378">
      <c r="F378" t="s">
        <v>22</v>
      </c>
    </row>
    <row r="379">
      <c r="F379" t="s">
        <v>22</v>
      </c>
    </row>
    <row r="380">
      <c r="F380" t="s">
        <v>22</v>
      </c>
    </row>
    <row r="381">
      <c r="F381" t="s">
        <v>22</v>
      </c>
    </row>
    <row r="382">
      <c r="F382" t="s">
        <v>22</v>
      </c>
    </row>
    <row r="383">
      <c r="F383" t="s">
        <v>22</v>
      </c>
    </row>
    <row r="384">
      <c r="F384" t="s">
        <v>22</v>
      </c>
    </row>
    <row r="385">
      <c r="F385" t="s">
        <v>22</v>
      </c>
    </row>
    <row r="386">
      <c r="F386" t="s">
        <v>22</v>
      </c>
    </row>
    <row r="387">
      <c r="F387" t="s">
        <v>22</v>
      </c>
    </row>
    <row r="388">
      <c r="F388" t="s">
        <v>22</v>
      </c>
    </row>
    <row r="389">
      <c r="F389" t="s">
        <v>22</v>
      </c>
    </row>
    <row r="390">
      <c r="F390" t="s">
        <v>22</v>
      </c>
    </row>
    <row r="391">
      <c r="F391" t="s">
        <v>22</v>
      </c>
    </row>
    <row r="392">
      <c r="F392" t="s">
        <v>22</v>
      </c>
    </row>
    <row r="393">
      <c r="F393" t="s">
        <v>22</v>
      </c>
    </row>
    <row r="394">
      <c r="F394" t="s">
        <v>22</v>
      </c>
    </row>
    <row r="395">
      <c r="F395" t="s">
        <v>22</v>
      </c>
    </row>
    <row r="396">
      <c r="F396" t="s">
        <v>22</v>
      </c>
    </row>
    <row r="397">
      <c r="F397" t="s">
        <v>22</v>
      </c>
    </row>
    <row r="398">
      <c r="F398" t="s">
        <v>22</v>
      </c>
    </row>
    <row r="399">
      <c r="F399" t="s">
        <v>22</v>
      </c>
    </row>
    <row r="400">
      <c r="F400" t="s">
        <v>22</v>
      </c>
    </row>
    <row r="401">
      <c r="F401" t="s">
        <v>22</v>
      </c>
    </row>
    <row r="402">
      <c r="F402" t="s">
        <v>22</v>
      </c>
    </row>
    <row r="403">
      <c r="F403" t="s">
        <v>22</v>
      </c>
    </row>
    <row r="404">
      <c r="F404" t="s">
        <v>22</v>
      </c>
    </row>
    <row r="405">
      <c r="F405" t="s">
        <v>22</v>
      </c>
    </row>
    <row r="406">
      <c r="F406" t="s">
        <v>22</v>
      </c>
    </row>
    <row r="407">
      <c r="F407" t="s">
        <v>22</v>
      </c>
    </row>
    <row r="408">
      <c r="F408" t="s">
        <v>22</v>
      </c>
    </row>
    <row r="409">
      <c r="F409" t="s">
        <v>22</v>
      </c>
    </row>
    <row r="410">
      <c r="F410" t="s">
        <v>22</v>
      </c>
    </row>
    <row r="411">
      <c r="F411" t="s">
        <v>22</v>
      </c>
    </row>
    <row r="412">
      <c r="F412" t="s">
        <v>22</v>
      </c>
    </row>
    <row r="413">
      <c r="F413" t="s">
        <v>22</v>
      </c>
    </row>
    <row r="414">
      <c r="F414" t="s">
        <v>22</v>
      </c>
    </row>
    <row r="415">
      <c r="F415" t="s">
        <v>22</v>
      </c>
    </row>
    <row r="416">
      <c r="F416" t="s">
        <v>22</v>
      </c>
    </row>
    <row r="417">
      <c r="F417" t="s">
        <v>22</v>
      </c>
    </row>
    <row r="418">
      <c r="F418" t="s">
        <v>22</v>
      </c>
    </row>
    <row r="419">
      <c r="F419" t="s">
        <v>22</v>
      </c>
    </row>
    <row r="420">
      <c r="F420" t="s">
        <v>22</v>
      </c>
    </row>
    <row r="421">
      <c r="F421" t="s">
        <v>22</v>
      </c>
    </row>
    <row r="422">
      <c r="F422" t="s">
        <v>22</v>
      </c>
    </row>
    <row r="423">
      <c r="F423" t="s">
        <v>22</v>
      </c>
    </row>
    <row r="424">
      <c r="F424" t="s">
        <v>22</v>
      </c>
    </row>
    <row r="425">
      <c r="F425" t="s">
        <v>22</v>
      </c>
    </row>
    <row r="426">
      <c r="F426" t="s">
        <v>22</v>
      </c>
    </row>
    <row r="427">
      <c r="F427" t="s">
        <v>22</v>
      </c>
    </row>
    <row r="428">
      <c r="F428" t="s">
        <v>22</v>
      </c>
    </row>
    <row r="429">
      <c r="F429" t="s">
        <v>22</v>
      </c>
    </row>
    <row r="430">
      <c r="F430" t="s">
        <v>22</v>
      </c>
    </row>
    <row r="431">
      <c r="F431" t="s">
        <v>22</v>
      </c>
    </row>
    <row r="432">
      <c r="F432" t="s">
        <v>22</v>
      </c>
    </row>
    <row r="433">
      <c r="F433" t="s">
        <v>22</v>
      </c>
    </row>
    <row r="434">
      <c r="F434" t="s">
        <v>22</v>
      </c>
    </row>
    <row r="435">
      <c r="F435" t="s">
        <v>22</v>
      </c>
    </row>
    <row r="436">
      <c r="F436" t="s">
        <v>22</v>
      </c>
    </row>
    <row r="437">
      <c r="F437" t="s">
        <v>22</v>
      </c>
    </row>
    <row r="438">
      <c r="F438" t="s">
        <v>22</v>
      </c>
    </row>
    <row r="439">
      <c r="F439" t="s">
        <v>22</v>
      </c>
    </row>
    <row r="440">
      <c r="F440" t="s">
        <v>22</v>
      </c>
    </row>
    <row r="441">
      <c r="F441" t="s">
        <v>22</v>
      </c>
    </row>
    <row r="442">
      <c r="F442" t="s">
        <v>22</v>
      </c>
    </row>
    <row r="443">
      <c r="F443" t="s">
        <v>22</v>
      </c>
    </row>
    <row r="444">
      <c r="F444" t="s">
        <v>22</v>
      </c>
    </row>
    <row r="445">
      <c r="F445" t="s">
        <v>22</v>
      </c>
    </row>
    <row r="446">
      <c r="F446" t="s">
        <v>22</v>
      </c>
    </row>
    <row r="447">
      <c r="F447" t="s">
        <v>22</v>
      </c>
    </row>
    <row r="448">
      <c r="F448" t="s">
        <v>22</v>
      </c>
    </row>
    <row r="449">
      <c r="F449" t="s">
        <v>22</v>
      </c>
    </row>
    <row r="450">
      <c r="F450" t="s">
        <v>22</v>
      </c>
    </row>
    <row r="451">
      <c r="F451" t="s">
        <v>22</v>
      </c>
    </row>
    <row r="452">
      <c r="F452" t="s">
        <v>22</v>
      </c>
    </row>
    <row r="453">
      <c r="F453" t="s">
        <v>22</v>
      </c>
    </row>
    <row r="454">
      <c r="F454" t="s">
        <v>22</v>
      </c>
    </row>
    <row r="455">
      <c r="F455" t="s">
        <v>22</v>
      </c>
    </row>
    <row r="456">
      <c r="F456" t="s">
        <v>22</v>
      </c>
    </row>
    <row r="457">
      <c r="F457" t="s">
        <v>22</v>
      </c>
    </row>
    <row r="458">
      <c r="F458" t="s">
        <v>22</v>
      </c>
    </row>
    <row r="459">
      <c r="F459" t="s">
        <v>22</v>
      </c>
    </row>
    <row r="460">
      <c r="F460" t="s">
        <v>22</v>
      </c>
    </row>
    <row r="461">
      <c r="F461" t="s">
        <v>22</v>
      </c>
    </row>
    <row r="462">
      <c r="F462" t="s">
        <v>22</v>
      </c>
    </row>
    <row r="463">
      <c r="F463" t="s">
        <v>22</v>
      </c>
    </row>
    <row r="464">
      <c r="F464" t="s">
        <v>22</v>
      </c>
    </row>
    <row r="465">
      <c r="F465" t="s">
        <v>22</v>
      </c>
    </row>
    <row r="466">
      <c r="F466" t="s">
        <v>22</v>
      </c>
    </row>
    <row r="467">
      <c r="F467" t="s">
        <v>22</v>
      </c>
    </row>
    <row r="468">
      <c r="F468" t="s">
        <v>22</v>
      </c>
    </row>
    <row r="469">
      <c r="F469" t="s">
        <v>22</v>
      </c>
    </row>
    <row r="470">
      <c r="F470" t="s">
        <v>22</v>
      </c>
    </row>
    <row r="471">
      <c r="F471" t="s">
        <v>22</v>
      </c>
    </row>
    <row r="472">
      <c r="F472" t="s">
        <v>22</v>
      </c>
    </row>
    <row r="473">
      <c r="F473" t="s">
        <v>22</v>
      </c>
    </row>
    <row r="474">
      <c r="F474" t="s">
        <v>22</v>
      </c>
    </row>
    <row r="475">
      <c r="F475" t="s">
        <v>22</v>
      </c>
    </row>
    <row r="476">
      <c r="F476" t="s">
        <v>22</v>
      </c>
    </row>
    <row r="477">
      <c r="F477" t="s">
        <v>22</v>
      </c>
    </row>
    <row r="478">
      <c r="F478" t="s">
        <v>22</v>
      </c>
    </row>
    <row r="479">
      <c r="F479" t="s">
        <v>22</v>
      </c>
    </row>
    <row r="480">
      <c r="F480" t="s">
        <v>22</v>
      </c>
    </row>
    <row r="481">
      <c r="F481" t="s">
        <v>22</v>
      </c>
    </row>
    <row r="482">
      <c r="F482" t="s">
        <v>22</v>
      </c>
    </row>
    <row r="483">
      <c r="F483" t="s">
        <v>22</v>
      </c>
    </row>
    <row r="484">
      <c r="F484" t="s">
        <v>22</v>
      </c>
    </row>
    <row r="485">
      <c r="F485" t="s">
        <v>22</v>
      </c>
    </row>
    <row r="486">
      <c r="F486" t="s">
        <v>22</v>
      </c>
    </row>
    <row r="487">
      <c r="F487" t="s">
        <v>22</v>
      </c>
    </row>
    <row r="488">
      <c r="F488" t="s">
        <v>22</v>
      </c>
    </row>
    <row r="489">
      <c r="F489" t="s">
        <v>22</v>
      </c>
    </row>
    <row r="490">
      <c r="F490" t="s">
        <v>22</v>
      </c>
    </row>
    <row r="491">
      <c r="F491" t="s">
        <v>22</v>
      </c>
    </row>
    <row r="492">
      <c r="F492" t="s">
        <v>22</v>
      </c>
    </row>
    <row r="493">
      <c r="F493" t="s">
        <v>22</v>
      </c>
    </row>
    <row r="494">
      <c r="F494" t="s">
        <v>22</v>
      </c>
    </row>
    <row r="495">
      <c r="F495" t="s">
        <v>22</v>
      </c>
    </row>
    <row r="496">
      <c r="F496" t="s">
        <v>22</v>
      </c>
    </row>
    <row r="497">
      <c r="F497" t="s">
        <v>22</v>
      </c>
    </row>
    <row r="498">
      <c r="F498" t="s">
        <v>22</v>
      </c>
    </row>
    <row r="499">
      <c r="F499" t="s">
        <v>22</v>
      </c>
    </row>
    <row r="500">
      <c r="F500" t="s">
        <v>22</v>
      </c>
    </row>
    <row r="501">
      <c r="F501" t="s">
        <v>22</v>
      </c>
    </row>
    <row r="502">
      <c r="F502" t="s">
        <v>22</v>
      </c>
    </row>
    <row r="503">
      <c r="F503" t="s">
        <v>22</v>
      </c>
    </row>
    <row r="504">
      <c r="F504" t="s">
        <v>22</v>
      </c>
    </row>
    <row r="505">
      <c r="F505" t="s">
        <v>22</v>
      </c>
    </row>
    <row r="506">
      <c r="F506" t="s">
        <v>22</v>
      </c>
    </row>
    <row r="507">
      <c r="F507" t="s">
        <v>22</v>
      </c>
    </row>
    <row r="508">
      <c r="F508" t="s">
        <v>22</v>
      </c>
    </row>
    <row r="509">
      <c r="F509" t="s">
        <v>22</v>
      </c>
    </row>
    <row r="510">
      <c r="F510" t="s">
        <v>22</v>
      </c>
    </row>
    <row r="511">
      <c r="F511" t="s">
        <v>22</v>
      </c>
    </row>
    <row r="512">
      <c r="F512" t="s">
        <v>22</v>
      </c>
    </row>
    <row r="513">
      <c r="F513" t="s">
        <v>22</v>
      </c>
    </row>
    <row r="514">
      <c r="F514" t="s">
        <v>22</v>
      </c>
    </row>
    <row r="515">
      <c r="F515" t="s">
        <v>22</v>
      </c>
    </row>
    <row r="516">
      <c r="F516" t="s">
        <v>22</v>
      </c>
    </row>
    <row r="517">
      <c r="F517" t="s">
        <v>22</v>
      </c>
    </row>
    <row r="518">
      <c r="F518" t="s">
        <v>22</v>
      </c>
    </row>
    <row r="519">
      <c r="F519" t="s">
        <v>22</v>
      </c>
    </row>
    <row r="520">
      <c r="F520" t="s">
        <v>22</v>
      </c>
    </row>
    <row r="521">
      <c r="F521" t="s">
        <v>22</v>
      </c>
    </row>
    <row r="522">
      <c r="F522" t="s">
        <v>22</v>
      </c>
    </row>
    <row r="523">
      <c r="F523" t="s">
        <v>22</v>
      </c>
    </row>
    <row r="524">
      <c r="F524" t="s">
        <v>22</v>
      </c>
    </row>
    <row r="525">
      <c r="F525" t="s">
        <v>22</v>
      </c>
    </row>
    <row r="526">
      <c r="F526" t="s">
        <v>22</v>
      </c>
    </row>
    <row r="527">
      <c r="F527" t="s">
        <v>22</v>
      </c>
    </row>
    <row r="528">
      <c r="F528" t="s">
        <v>22</v>
      </c>
    </row>
    <row r="529">
      <c r="F529" t="s">
        <v>22</v>
      </c>
    </row>
    <row r="530">
      <c r="F530" t="s">
        <v>22</v>
      </c>
    </row>
    <row r="531">
      <c r="F531" t="s">
        <v>22</v>
      </c>
    </row>
    <row r="532">
      <c r="F532" t="s">
        <v>22</v>
      </c>
    </row>
    <row r="533">
      <c r="F533" t="s">
        <v>22</v>
      </c>
    </row>
    <row r="534">
      <c r="F534" t="s">
        <v>22</v>
      </c>
    </row>
    <row r="535">
      <c r="F535" t="s">
        <v>22</v>
      </c>
    </row>
    <row r="536">
      <c r="F536" t="s">
        <v>22</v>
      </c>
    </row>
    <row r="537">
      <c r="F537" t="s">
        <v>22</v>
      </c>
    </row>
    <row r="538">
      <c r="F538" t="s">
        <v>22</v>
      </c>
    </row>
    <row r="539">
      <c r="F539" t="s">
        <v>22</v>
      </c>
    </row>
    <row r="540">
      <c r="F540" t="s">
        <v>22</v>
      </c>
    </row>
    <row r="541">
      <c r="F541" t="s">
        <v>22</v>
      </c>
    </row>
    <row r="542">
      <c r="F542" t="s">
        <v>22</v>
      </c>
    </row>
    <row r="543">
      <c r="F543" t="s">
        <v>22</v>
      </c>
    </row>
    <row r="544">
      <c r="F544" t="s">
        <v>22</v>
      </c>
    </row>
    <row r="545">
      <c r="F545" t="s">
        <v>22</v>
      </c>
    </row>
    <row r="546">
      <c r="F546" t="s">
        <v>22</v>
      </c>
    </row>
    <row r="547">
      <c r="F547" t="s">
        <v>22</v>
      </c>
    </row>
    <row r="548">
      <c r="F548" t="s">
        <v>22</v>
      </c>
    </row>
    <row r="549">
      <c r="F549" t="s">
        <v>22</v>
      </c>
    </row>
    <row r="550">
      <c r="F550" t="s">
        <v>22</v>
      </c>
    </row>
    <row r="551">
      <c r="F551" t="s">
        <v>22</v>
      </c>
    </row>
    <row r="552">
      <c r="F552" t="s">
        <v>22</v>
      </c>
    </row>
    <row r="553">
      <c r="F553" t="s">
        <v>22</v>
      </c>
    </row>
    <row r="554">
      <c r="F554" t="s">
        <v>22</v>
      </c>
    </row>
    <row r="555">
      <c r="F555" t="s">
        <v>22</v>
      </c>
    </row>
    <row r="556">
      <c r="F556" t="s">
        <v>22</v>
      </c>
    </row>
    <row r="557">
      <c r="F557" t="s">
        <v>22</v>
      </c>
    </row>
    <row r="558">
      <c r="F558" t="s">
        <v>22</v>
      </c>
    </row>
    <row r="559">
      <c r="F559" t="s">
        <v>22</v>
      </c>
    </row>
    <row r="560">
      <c r="F560" t="s">
        <v>22</v>
      </c>
    </row>
    <row r="561">
      <c r="F561" t="s">
        <v>22</v>
      </c>
    </row>
    <row r="562">
      <c r="F562" t="s">
        <v>22</v>
      </c>
    </row>
    <row r="563">
      <c r="F563" t="s">
        <v>22</v>
      </c>
    </row>
    <row r="564">
      <c r="F564" t="s">
        <v>22</v>
      </c>
    </row>
    <row r="565">
      <c r="F565" t="s">
        <v>22</v>
      </c>
    </row>
    <row r="566">
      <c r="F566" t="s">
        <v>22</v>
      </c>
    </row>
    <row r="567">
      <c r="F567" t="s">
        <v>22</v>
      </c>
    </row>
    <row r="568">
      <c r="F568" t="s">
        <v>22</v>
      </c>
    </row>
    <row r="569">
      <c r="F569" t="s">
        <v>22</v>
      </c>
    </row>
    <row r="570">
      <c r="F570" t="s">
        <v>22</v>
      </c>
    </row>
    <row r="571">
      <c r="F571" t="s">
        <v>22</v>
      </c>
    </row>
    <row r="572">
      <c r="F572" t="s">
        <v>22</v>
      </c>
    </row>
    <row r="573">
      <c r="F573" t="s">
        <v>22</v>
      </c>
    </row>
    <row r="574">
      <c r="F574" t="s">
        <v>22</v>
      </c>
    </row>
    <row r="575">
      <c r="F575" t="s">
        <v>22</v>
      </c>
    </row>
    <row r="576">
      <c r="F576" t="s">
        <v>22</v>
      </c>
    </row>
    <row r="577">
      <c r="F577" t="s">
        <v>22</v>
      </c>
    </row>
    <row r="578">
      <c r="F578" t="s">
        <v>22</v>
      </c>
    </row>
    <row r="579">
      <c r="F579" t="s">
        <v>22</v>
      </c>
    </row>
    <row r="580">
      <c r="F580" t="s">
        <v>22</v>
      </c>
    </row>
    <row r="581">
      <c r="F581" t="s">
        <v>22</v>
      </c>
    </row>
    <row r="582">
      <c r="F582" t="s">
        <v>22</v>
      </c>
    </row>
    <row r="583">
      <c r="F583" t="s">
        <v>22</v>
      </c>
    </row>
    <row r="584">
      <c r="F584" t="s">
        <v>22</v>
      </c>
    </row>
    <row r="585">
      <c r="F585" t="s">
        <v>22</v>
      </c>
    </row>
    <row r="586">
      <c r="F586" t="s">
        <v>22</v>
      </c>
    </row>
    <row r="587">
      <c r="F587" t="s">
        <v>22</v>
      </c>
    </row>
    <row r="588">
      <c r="F588" t="s">
        <v>22</v>
      </c>
    </row>
    <row r="589">
      <c r="F589" t="s">
        <v>22</v>
      </c>
    </row>
    <row r="590">
      <c r="F590" t="s">
        <v>22</v>
      </c>
    </row>
    <row r="591">
      <c r="F591" t="s">
        <v>22</v>
      </c>
    </row>
    <row r="592">
      <c r="F592" t="s">
        <v>22</v>
      </c>
    </row>
    <row r="593">
      <c r="F593" t="s">
        <v>22</v>
      </c>
    </row>
    <row r="594">
      <c r="F594" t="s">
        <v>22</v>
      </c>
    </row>
    <row r="595">
      <c r="F595" t="s">
        <v>22</v>
      </c>
    </row>
    <row r="596">
      <c r="F596" t="s">
        <v>22</v>
      </c>
    </row>
    <row r="597">
      <c r="F597" t="s">
        <v>22</v>
      </c>
    </row>
    <row r="598">
      <c r="F598" t="s">
        <v>22</v>
      </c>
    </row>
    <row r="599">
      <c r="F599" t="s">
        <v>22</v>
      </c>
    </row>
    <row r="600">
      <c r="F600" t="s">
        <v>22</v>
      </c>
    </row>
    <row r="601">
      <c r="F601" t="s">
        <v>22</v>
      </c>
    </row>
    <row r="602">
      <c r="F602" t="s">
        <v>22</v>
      </c>
    </row>
    <row r="603">
      <c r="F603" t="s">
        <v>22</v>
      </c>
    </row>
    <row r="604">
      <c r="F604" t="s">
        <v>22</v>
      </c>
    </row>
    <row r="605">
      <c r="F605" t="s">
        <v>22</v>
      </c>
    </row>
    <row r="606">
      <c r="F606" t="s">
        <v>22</v>
      </c>
    </row>
    <row r="607">
      <c r="F607" t="s">
        <v>22</v>
      </c>
    </row>
    <row r="608">
      <c r="F608" t="s">
        <v>22</v>
      </c>
    </row>
    <row r="609">
      <c r="F609" t="s">
        <v>22</v>
      </c>
    </row>
    <row r="610">
      <c r="F610" t="s">
        <v>22</v>
      </c>
    </row>
    <row r="611">
      <c r="F611" t="s">
        <v>22</v>
      </c>
    </row>
    <row r="612">
      <c r="F612" t="s">
        <v>22</v>
      </c>
    </row>
    <row r="613">
      <c r="F613" t="s">
        <v>22</v>
      </c>
    </row>
    <row r="614">
      <c r="F614" t="s">
        <v>22</v>
      </c>
    </row>
    <row r="615">
      <c r="F615" t="s">
        <v>22</v>
      </c>
    </row>
    <row r="616">
      <c r="F616" t="s">
        <v>22</v>
      </c>
    </row>
    <row r="617">
      <c r="F617" t="s">
        <v>22</v>
      </c>
    </row>
    <row r="618">
      <c r="F618" t="s">
        <v>22</v>
      </c>
    </row>
    <row r="619">
      <c r="F619" t="s">
        <v>22</v>
      </c>
    </row>
    <row r="620">
      <c r="F620" t="s">
        <v>22</v>
      </c>
    </row>
    <row r="621">
      <c r="F621" t="s">
        <v>22</v>
      </c>
    </row>
    <row r="622">
      <c r="F622" t="s">
        <v>22</v>
      </c>
    </row>
    <row r="623">
      <c r="F623" t="s">
        <v>22</v>
      </c>
    </row>
    <row r="624">
      <c r="F624" t="s">
        <v>22</v>
      </c>
    </row>
    <row r="625">
      <c r="F625" t="s">
        <v>22</v>
      </c>
    </row>
    <row r="626">
      <c r="F626" t="s">
        <v>22</v>
      </c>
    </row>
    <row r="627">
      <c r="F627" t="s">
        <v>22</v>
      </c>
    </row>
    <row r="628">
      <c r="F628" t="s">
        <v>22</v>
      </c>
    </row>
    <row r="629">
      <c r="F629" t="s">
        <v>22</v>
      </c>
    </row>
    <row r="630">
      <c r="F630" t="s">
        <v>22</v>
      </c>
    </row>
    <row r="631">
      <c r="F631" t="s">
        <v>22</v>
      </c>
    </row>
    <row r="632">
      <c r="F632" t="s">
        <v>22</v>
      </c>
    </row>
    <row r="633">
      <c r="F633" t="s">
        <v>22</v>
      </c>
    </row>
    <row r="634">
      <c r="F634" t="s">
        <v>22</v>
      </c>
    </row>
    <row r="635">
      <c r="F635" t="s">
        <v>22</v>
      </c>
    </row>
    <row r="636">
      <c r="F636" t="s">
        <v>22</v>
      </c>
    </row>
    <row r="637">
      <c r="F637" t="s">
        <v>22</v>
      </c>
    </row>
    <row r="638">
      <c r="F638" t="s">
        <v>22</v>
      </c>
    </row>
    <row r="639">
      <c r="F639" t="s">
        <v>22</v>
      </c>
    </row>
    <row r="640">
      <c r="F640" t="s">
        <v>22</v>
      </c>
    </row>
    <row r="641">
      <c r="F641" t="s">
        <v>22</v>
      </c>
    </row>
    <row r="642">
      <c r="F642" t="s">
        <v>22</v>
      </c>
    </row>
    <row r="643">
      <c r="F643" t="s">
        <v>22</v>
      </c>
    </row>
    <row r="644">
      <c r="F644" t="s">
        <v>22</v>
      </c>
    </row>
    <row r="645">
      <c r="F645" t="s">
        <v>22</v>
      </c>
    </row>
    <row r="646">
      <c r="F646" t="s">
        <v>22</v>
      </c>
    </row>
    <row r="647">
      <c r="F647" t="s">
        <v>22</v>
      </c>
    </row>
    <row r="648">
      <c r="F648" t="s">
        <v>22</v>
      </c>
    </row>
    <row r="649">
      <c r="F649" t="s">
        <v>22</v>
      </c>
    </row>
    <row r="650">
      <c r="F650" t="s">
        <v>22</v>
      </c>
    </row>
    <row r="651">
      <c r="F651" t="s">
        <v>22</v>
      </c>
    </row>
    <row r="652">
      <c r="F652" t="s">
        <v>22</v>
      </c>
    </row>
    <row r="653">
      <c r="F653" t="s">
        <v>22</v>
      </c>
    </row>
    <row r="654">
      <c r="F654" t="s">
        <v>22</v>
      </c>
    </row>
    <row r="655">
      <c r="F655" t="s">
        <v>22</v>
      </c>
    </row>
    <row r="656">
      <c r="F656" t="s">
        <v>22</v>
      </c>
    </row>
    <row r="657">
      <c r="F657" t="s">
        <v>22</v>
      </c>
    </row>
    <row r="658">
      <c r="F658" t="s">
        <v>22</v>
      </c>
    </row>
    <row r="659">
      <c r="F659" t="s">
        <v>22</v>
      </c>
    </row>
    <row r="660">
      <c r="F660" t="s">
        <v>22</v>
      </c>
    </row>
    <row r="661">
      <c r="F661" t="s">
        <v>22</v>
      </c>
    </row>
    <row r="662">
      <c r="F662" t="s">
        <v>22</v>
      </c>
    </row>
    <row r="663">
      <c r="F663" t="s">
        <v>22</v>
      </c>
    </row>
    <row r="664">
      <c r="F664" t="s">
        <v>22</v>
      </c>
    </row>
    <row r="665">
      <c r="F665" t="s">
        <v>22</v>
      </c>
    </row>
    <row r="666">
      <c r="F666" t="s">
        <v>22</v>
      </c>
    </row>
    <row r="667">
      <c r="F667" t="s">
        <v>22</v>
      </c>
    </row>
    <row r="668">
      <c r="F668" t="s">
        <v>22</v>
      </c>
    </row>
    <row r="669">
      <c r="F669" t="s">
        <v>22</v>
      </c>
    </row>
    <row r="670">
      <c r="F670" t="s">
        <v>22</v>
      </c>
    </row>
    <row r="671">
      <c r="F671" t="s">
        <v>22</v>
      </c>
    </row>
    <row r="672">
      <c r="F672" t="s">
        <v>22</v>
      </c>
    </row>
    <row r="673">
      <c r="F673" t="s">
        <v>22</v>
      </c>
    </row>
    <row r="674">
      <c r="F674" t="s">
        <v>22</v>
      </c>
    </row>
    <row r="675">
      <c r="F675" t="s">
        <v>22</v>
      </c>
    </row>
    <row r="676">
      <c r="F676" t="s">
        <v>22</v>
      </c>
    </row>
    <row r="677">
      <c r="F677" t="s">
        <v>22</v>
      </c>
    </row>
    <row r="678">
      <c r="F678" t="s">
        <v>22</v>
      </c>
    </row>
    <row r="679">
      <c r="F679" t="s">
        <v>22</v>
      </c>
    </row>
    <row r="680">
      <c r="F680" t="s">
        <v>22</v>
      </c>
    </row>
    <row r="681">
      <c r="F681" t="s">
        <v>22</v>
      </c>
    </row>
    <row r="682">
      <c r="F682" t="s">
        <v>22</v>
      </c>
    </row>
    <row r="683">
      <c r="F683" t="s">
        <v>22</v>
      </c>
    </row>
    <row r="684">
      <c r="F684" t="s">
        <v>22</v>
      </c>
    </row>
    <row r="685">
      <c r="F685" t="s">
        <v>22</v>
      </c>
    </row>
    <row r="686">
      <c r="F686" t="s">
        <v>22</v>
      </c>
    </row>
    <row r="687">
      <c r="F687" t="s">
        <v>22</v>
      </c>
    </row>
    <row r="688">
      <c r="F688" t="s">
        <v>22</v>
      </c>
    </row>
    <row r="689">
      <c r="F689" t="s">
        <v>22</v>
      </c>
    </row>
    <row r="690">
      <c r="F690" t="s">
        <v>22</v>
      </c>
    </row>
    <row r="691">
      <c r="F691" t="s">
        <v>22</v>
      </c>
    </row>
    <row r="692">
      <c r="F692" t="s">
        <v>22</v>
      </c>
    </row>
    <row r="693">
      <c r="F693" t="s">
        <v>22</v>
      </c>
    </row>
    <row r="694">
      <c r="F694" t="s">
        <v>22</v>
      </c>
    </row>
    <row r="695">
      <c r="F695" t="s">
        <v>22</v>
      </c>
    </row>
    <row r="696">
      <c r="F696" t="s">
        <v>22</v>
      </c>
    </row>
    <row r="697">
      <c r="F697" t="s">
        <v>22</v>
      </c>
    </row>
    <row r="698">
      <c r="F698" t="s">
        <v>22</v>
      </c>
    </row>
    <row r="699">
      <c r="F699" t="s">
        <v>22</v>
      </c>
    </row>
    <row r="700">
      <c r="F700" t="s">
        <v>22</v>
      </c>
    </row>
    <row r="701">
      <c r="F701" t="s">
        <v>22</v>
      </c>
    </row>
    <row r="702">
      <c r="F702" t="s">
        <v>22</v>
      </c>
    </row>
    <row r="703">
      <c r="F703" t="s">
        <v>22</v>
      </c>
    </row>
    <row r="704">
      <c r="F704" t="s">
        <v>22</v>
      </c>
    </row>
    <row r="705">
      <c r="F705" t="s">
        <v>22</v>
      </c>
    </row>
    <row r="706">
      <c r="F706" t="s">
        <v>22</v>
      </c>
    </row>
    <row r="707">
      <c r="F707" t="s">
        <v>22</v>
      </c>
    </row>
    <row r="708">
      <c r="F708" t="s">
        <v>22</v>
      </c>
    </row>
    <row r="709">
      <c r="F709" t="s">
        <v>22</v>
      </c>
    </row>
    <row r="710">
      <c r="F710" t="s">
        <v>22</v>
      </c>
    </row>
    <row r="711">
      <c r="F711" t="s">
        <v>22</v>
      </c>
    </row>
    <row r="712">
      <c r="F712" t="s">
        <v>22</v>
      </c>
    </row>
    <row r="713">
      <c r="F713" t="s">
        <v>22</v>
      </c>
    </row>
    <row r="714">
      <c r="F714" t="s">
        <v>22</v>
      </c>
    </row>
    <row r="715">
      <c r="F715" t="s">
        <v>22</v>
      </c>
    </row>
    <row r="716">
      <c r="F716" t="s">
        <v>22</v>
      </c>
    </row>
    <row r="717">
      <c r="F717" t="s">
        <v>22</v>
      </c>
    </row>
    <row r="718">
      <c r="F718" t="s">
        <v>22</v>
      </c>
    </row>
    <row r="719">
      <c r="F719" t="s">
        <v>22</v>
      </c>
    </row>
    <row r="720">
      <c r="F720" t="s">
        <v>22</v>
      </c>
    </row>
    <row r="721">
      <c r="F721" t="s">
        <v>22</v>
      </c>
    </row>
    <row r="722">
      <c r="F722" t="s">
        <v>22</v>
      </c>
    </row>
    <row r="723">
      <c r="F723" t="s">
        <v>22</v>
      </c>
    </row>
    <row r="724">
      <c r="F724" t="s">
        <v>22</v>
      </c>
    </row>
    <row r="725">
      <c r="F725" t="s">
        <v>22</v>
      </c>
    </row>
    <row r="726">
      <c r="F726" t="s">
        <v>22</v>
      </c>
    </row>
    <row r="727">
      <c r="F727" t="s">
        <v>22</v>
      </c>
    </row>
    <row r="728">
      <c r="F728" t="s">
        <v>22</v>
      </c>
    </row>
    <row r="729">
      <c r="F729" t="s">
        <v>22</v>
      </c>
    </row>
    <row r="730">
      <c r="F730" t="s">
        <v>22</v>
      </c>
    </row>
    <row r="731">
      <c r="F731" t="s">
        <v>22</v>
      </c>
    </row>
    <row r="732">
      <c r="F732" t="s">
        <v>22</v>
      </c>
    </row>
    <row r="733">
      <c r="F733" t="s">
        <v>22</v>
      </c>
    </row>
    <row r="734">
      <c r="F734" t="s">
        <v>22</v>
      </c>
    </row>
    <row r="735">
      <c r="F735" t="s">
        <v>22</v>
      </c>
    </row>
    <row r="736">
      <c r="F736" t="s">
        <v>22</v>
      </c>
    </row>
    <row r="737">
      <c r="F737" t="s">
        <v>22</v>
      </c>
    </row>
    <row r="738">
      <c r="F738" t="s">
        <v>22</v>
      </c>
    </row>
    <row r="739">
      <c r="F739" t="s">
        <v>22</v>
      </c>
    </row>
    <row r="740">
      <c r="F740" t="s">
        <v>22</v>
      </c>
    </row>
    <row r="741">
      <c r="F741" t="s">
        <v>22</v>
      </c>
    </row>
    <row r="742">
      <c r="F742" t="s">
        <v>22</v>
      </c>
    </row>
    <row r="743">
      <c r="F743" t="s">
        <v>22</v>
      </c>
    </row>
    <row r="744">
      <c r="F744" t="s">
        <v>22</v>
      </c>
    </row>
    <row r="745">
      <c r="F745" t="s">
        <v>22</v>
      </c>
    </row>
    <row r="746">
      <c r="F746" t="s">
        <v>22</v>
      </c>
    </row>
    <row r="747">
      <c r="F747" t="s">
        <v>22</v>
      </c>
    </row>
    <row r="748">
      <c r="F748" t="s">
        <v>22</v>
      </c>
    </row>
    <row r="749">
      <c r="F749" t="s">
        <v>22</v>
      </c>
    </row>
    <row r="750">
      <c r="F750" t="s">
        <v>22</v>
      </c>
    </row>
    <row r="751">
      <c r="F751" t="s">
        <v>22</v>
      </c>
    </row>
    <row r="752">
      <c r="F752" t="s">
        <v>22</v>
      </c>
    </row>
    <row r="753">
      <c r="F753" t="s">
        <v>22</v>
      </c>
    </row>
    <row r="754">
      <c r="F754" t="s">
        <v>22</v>
      </c>
    </row>
    <row r="755">
      <c r="F755" t="s">
        <v>22</v>
      </c>
    </row>
    <row r="756">
      <c r="F756" t="s">
        <v>22</v>
      </c>
    </row>
    <row r="757">
      <c r="F757" t="s">
        <v>22</v>
      </c>
    </row>
    <row r="758">
      <c r="F758" t="s">
        <v>22</v>
      </c>
    </row>
    <row r="759">
      <c r="F759" t="s">
        <v>22</v>
      </c>
    </row>
    <row r="760">
      <c r="F760" t="s">
        <v>22</v>
      </c>
    </row>
    <row r="761">
      <c r="F761" t="s">
        <v>22</v>
      </c>
    </row>
    <row r="762">
      <c r="F762" t="s">
        <v>22</v>
      </c>
    </row>
    <row r="763">
      <c r="F763" t="s">
        <v>22</v>
      </c>
    </row>
    <row r="764">
      <c r="F764" t="s">
        <v>22</v>
      </c>
    </row>
    <row r="765">
      <c r="F765" t="s">
        <v>22</v>
      </c>
    </row>
    <row r="766">
      <c r="F766" t="s">
        <v>22</v>
      </c>
    </row>
    <row r="767">
      <c r="F767" t="s">
        <v>22</v>
      </c>
    </row>
    <row r="768">
      <c r="F768" t="s">
        <v>22</v>
      </c>
    </row>
    <row r="769">
      <c r="F769" t="s">
        <v>22</v>
      </c>
    </row>
    <row r="770">
      <c r="F770" t="s">
        <v>22</v>
      </c>
    </row>
    <row r="771">
      <c r="F771" t="s">
        <v>22</v>
      </c>
    </row>
    <row r="772">
      <c r="F772" t="s">
        <v>22</v>
      </c>
    </row>
    <row r="773">
      <c r="F773" t="s">
        <v>22</v>
      </c>
    </row>
    <row r="774">
      <c r="F774" t="s">
        <v>22</v>
      </c>
    </row>
    <row r="775">
      <c r="F775" t="s">
        <v>22</v>
      </c>
    </row>
    <row r="776">
      <c r="F776" t="s">
        <v>22</v>
      </c>
    </row>
    <row r="777">
      <c r="F777" t="s">
        <v>22</v>
      </c>
    </row>
    <row r="778">
      <c r="F778" t="s">
        <v>22</v>
      </c>
    </row>
    <row r="779">
      <c r="F779" t="s">
        <v>22</v>
      </c>
    </row>
    <row r="780">
      <c r="F780" t="s">
        <v>22</v>
      </c>
    </row>
    <row r="781">
      <c r="F781" t="s">
        <v>22</v>
      </c>
    </row>
    <row r="782">
      <c r="F782" t="s">
        <v>22</v>
      </c>
    </row>
    <row r="783">
      <c r="F783" t="s">
        <v>22</v>
      </c>
    </row>
    <row r="784">
      <c r="F784" t="s">
        <v>22</v>
      </c>
    </row>
    <row r="785">
      <c r="F785" t="s">
        <v>22</v>
      </c>
    </row>
    <row r="786">
      <c r="F786" t="s">
        <v>22</v>
      </c>
    </row>
    <row r="787">
      <c r="F787" t="s">
        <v>22</v>
      </c>
    </row>
    <row r="788">
      <c r="F788" t="s">
        <v>22</v>
      </c>
    </row>
    <row r="789">
      <c r="F789" t="s">
        <v>22</v>
      </c>
    </row>
    <row r="790">
      <c r="F790" t="s">
        <v>22</v>
      </c>
    </row>
    <row r="791">
      <c r="F791" t="s">
        <v>22</v>
      </c>
    </row>
    <row r="792">
      <c r="F792" t="s">
        <v>22</v>
      </c>
    </row>
    <row r="793">
      <c r="F793" t="s">
        <v>22</v>
      </c>
    </row>
    <row r="794">
      <c r="F794" t="s">
        <v>22</v>
      </c>
    </row>
    <row r="795">
      <c r="F795" t="s">
        <v>22</v>
      </c>
    </row>
    <row r="796">
      <c r="F796" t="s">
        <v>22</v>
      </c>
    </row>
    <row r="797">
      <c r="F797" t="s">
        <v>22</v>
      </c>
    </row>
    <row r="798">
      <c r="F798" t="s">
        <v>22</v>
      </c>
    </row>
    <row r="799">
      <c r="F799" t="s">
        <v>22</v>
      </c>
    </row>
    <row r="800">
      <c r="F800" t="s">
        <v>22</v>
      </c>
    </row>
    <row r="801">
      <c r="F801" t="s">
        <v>22</v>
      </c>
    </row>
    <row r="802">
      <c r="F802" t="s">
        <v>22</v>
      </c>
    </row>
    <row r="803">
      <c r="F803" t="s">
        <v>22</v>
      </c>
    </row>
    <row r="804">
      <c r="F804" t="s">
        <v>22</v>
      </c>
    </row>
    <row r="805">
      <c r="F805" t="s">
        <v>22</v>
      </c>
    </row>
    <row r="806">
      <c r="F806" t="s">
        <v>22</v>
      </c>
    </row>
    <row r="807">
      <c r="F807" t="s">
        <v>22</v>
      </c>
    </row>
    <row r="808">
      <c r="F808" t="s">
        <v>22</v>
      </c>
    </row>
    <row r="809">
      <c r="F809" t="s">
        <v>22</v>
      </c>
    </row>
    <row r="810">
      <c r="F810" t="s">
        <v>22</v>
      </c>
    </row>
    <row r="811">
      <c r="F811" t="s">
        <v>22</v>
      </c>
    </row>
    <row r="812">
      <c r="F812" t="s">
        <v>22</v>
      </c>
    </row>
    <row r="813">
      <c r="F813" t="s">
        <v>22</v>
      </c>
    </row>
    <row r="814">
      <c r="F814" t="s">
        <v>22</v>
      </c>
    </row>
    <row r="815">
      <c r="F815" t="s">
        <v>22</v>
      </c>
    </row>
    <row r="816">
      <c r="F816" t="s">
        <v>22</v>
      </c>
    </row>
    <row r="817">
      <c r="F817" t="s">
        <v>22</v>
      </c>
    </row>
    <row r="818">
      <c r="F818" t="s">
        <v>22</v>
      </c>
    </row>
    <row r="819">
      <c r="F819" t="s">
        <v>22</v>
      </c>
    </row>
    <row r="820">
      <c r="F820" t="s">
        <v>22</v>
      </c>
    </row>
    <row r="821">
      <c r="F821" t="s">
        <v>22</v>
      </c>
    </row>
    <row r="822">
      <c r="F822" t="s">
        <v>22</v>
      </c>
    </row>
    <row r="823">
      <c r="F823" t="s">
        <v>22</v>
      </c>
    </row>
    <row r="824">
      <c r="F824" t="s">
        <v>22</v>
      </c>
    </row>
    <row r="825">
      <c r="F825" t="s">
        <v>22</v>
      </c>
    </row>
    <row r="826">
      <c r="F826" t="s">
        <v>22</v>
      </c>
    </row>
    <row r="827">
      <c r="F827" t="s">
        <v>22</v>
      </c>
    </row>
    <row r="828">
      <c r="F828" t="s">
        <v>22</v>
      </c>
    </row>
    <row r="829">
      <c r="F829" t="s">
        <v>22</v>
      </c>
    </row>
    <row r="830">
      <c r="F830" t="s">
        <v>22</v>
      </c>
    </row>
    <row r="831">
      <c r="F831" t="s">
        <v>22</v>
      </c>
    </row>
    <row r="832">
      <c r="F832" t="s">
        <v>22</v>
      </c>
    </row>
    <row r="833">
      <c r="F833" t="s">
        <v>22</v>
      </c>
    </row>
    <row r="834">
      <c r="F834" t="s">
        <v>22</v>
      </c>
    </row>
    <row r="835">
      <c r="F835" t="s">
        <v>22</v>
      </c>
    </row>
    <row r="836">
      <c r="F836" t="s">
        <v>22</v>
      </c>
    </row>
    <row r="837">
      <c r="F837" t="s">
        <v>22</v>
      </c>
    </row>
    <row r="838">
      <c r="F838" t="s">
        <v>22</v>
      </c>
    </row>
    <row r="839">
      <c r="F839" t="s">
        <v>22</v>
      </c>
    </row>
    <row r="840">
      <c r="F840" t="s">
        <v>22</v>
      </c>
    </row>
    <row r="841">
      <c r="F841" t="s">
        <v>22</v>
      </c>
    </row>
    <row r="842">
      <c r="F842" t="s">
        <v>22</v>
      </c>
    </row>
    <row r="843">
      <c r="F843" t="s">
        <v>22</v>
      </c>
    </row>
    <row r="844">
      <c r="F844" t="s">
        <v>22</v>
      </c>
    </row>
    <row r="845">
      <c r="F845" t="s">
        <v>22</v>
      </c>
    </row>
    <row r="846">
      <c r="F846" t="s">
        <v>22</v>
      </c>
    </row>
    <row r="847">
      <c r="F847" t="s">
        <v>22</v>
      </c>
    </row>
    <row r="848">
      <c r="F848" t="s">
        <v>22</v>
      </c>
    </row>
    <row r="849">
      <c r="F849" t="s">
        <v>22</v>
      </c>
    </row>
    <row r="850">
      <c r="F850" t="s">
        <v>22</v>
      </c>
    </row>
    <row r="851">
      <c r="F851" t="s">
        <v>22</v>
      </c>
    </row>
    <row r="852">
      <c r="F852" t="s">
        <v>22</v>
      </c>
    </row>
    <row r="853">
      <c r="F853" t="s">
        <v>22</v>
      </c>
    </row>
    <row r="854">
      <c r="F854" t="s">
        <v>22</v>
      </c>
    </row>
    <row r="855">
      <c r="F855" t="s">
        <v>22</v>
      </c>
    </row>
    <row r="856">
      <c r="F856" t="s">
        <v>22</v>
      </c>
    </row>
    <row r="857">
      <c r="F857" t="s">
        <v>22</v>
      </c>
    </row>
    <row r="858">
      <c r="F858" t="s">
        <v>22</v>
      </c>
    </row>
    <row r="859">
      <c r="F859" t="s">
        <v>22</v>
      </c>
    </row>
    <row r="860">
      <c r="F860" t="s">
        <v>22</v>
      </c>
    </row>
    <row r="861">
      <c r="F861" t="s">
        <v>22</v>
      </c>
    </row>
    <row r="862">
      <c r="F862" t="s">
        <v>22</v>
      </c>
    </row>
    <row r="863">
      <c r="F863" t="s">
        <v>22</v>
      </c>
    </row>
    <row r="864">
      <c r="F864" t="s">
        <v>22</v>
      </c>
    </row>
    <row r="865">
      <c r="F865" t="s">
        <v>22</v>
      </c>
    </row>
    <row r="866">
      <c r="F866" t="s">
        <v>22</v>
      </c>
    </row>
    <row r="867">
      <c r="F867" t="s">
        <v>22</v>
      </c>
    </row>
    <row r="868">
      <c r="F868" t="s">
        <v>22</v>
      </c>
    </row>
    <row r="869">
      <c r="F869" t="s">
        <v>22</v>
      </c>
    </row>
    <row r="870">
      <c r="F870" t="s">
        <v>22</v>
      </c>
    </row>
    <row r="871">
      <c r="F871" t="s">
        <v>22</v>
      </c>
    </row>
    <row r="872">
      <c r="F872" t="s">
        <v>22</v>
      </c>
    </row>
    <row r="873">
      <c r="F873" t="s">
        <v>22</v>
      </c>
    </row>
    <row r="874">
      <c r="F874" t="s">
        <v>22</v>
      </c>
    </row>
    <row r="875">
      <c r="F875" t="s">
        <v>22</v>
      </c>
    </row>
    <row r="876">
      <c r="F876" t="s">
        <v>22</v>
      </c>
    </row>
    <row r="877">
      <c r="F877" t="s">
        <v>22</v>
      </c>
    </row>
    <row r="878">
      <c r="F878" t="s">
        <v>22</v>
      </c>
    </row>
    <row r="879">
      <c r="F879" t="s">
        <v>22</v>
      </c>
    </row>
    <row r="880">
      <c r="F880" t="s">
        <v>22</v>
      </c>
    </row>
    <row r="881">
      <c r="F881" t="s">
        <v>22</v>
      </c>
    </row>
    <row r="882">
      <c r="F882" t="s">
        <v>22</v>
      </c>
    </row>
    <row r="883">
      <c r="F883" t="s">
        <v>22</v>
      </c>
    </row>
    <row r="884">
      <c r="F884" t="s">
        <v>22</v>
      </c>
    </row>
    <row r="885">
      <c r="F885" t="s">
        <v>22</v>
      </c>
    </row>
    <row r="886">
      <c r="F886" t="s">
        <v>22</v>
      </c>
    </row>
    <row r="887">
      <c r="F887" t="s">
        <v>22</v>
      </c>
    </row>
    <row r="888">
      <c r="F888" t="s">
        <v>22</v>
      </c>
    </row>
    <row r="889">
      <c r="F889" t="s">
        <v>22</v>
      </c>
    </row>
    <row r="890">
      <c r="F890" t="s">
        <v>22</v>
      </c>
    </row>
    <row r="891">
      <c r="F891" t="s">
        <v>22</v>
      </c>
    </row>
    <row r="892">
      <c r="F892" t="s">
        <v>22</v>
      </c>
    </row>
    <row r="893">
      <c r="F893" t="s">
        <v>22</v>
      </c>
    </row>
    <row r="894">
      <c r="F894" t="s">
        <v>22</v>
      </c>
    </row>
    <row r="895">
      <c r="F895" t="s">
        <v>22</v>
      </c>
    </row>
    <row r="896">
      <c r="F896" t="s">
        <v>22</v>
      </c>
    </row>
    <row r="897">
      <c r="F897" t="s">
        <v>22</v>
      </c>
    </row>
    <row r="898">
      <c r="F898" t="s">
        <v>22</v>
      </c>
    </row>
    <row r="899">
      <c r="F899" t="s">
        <v>22</v>
      </c>
    </row>
    <row r="900">
      <c r="F900" t="s">
        <v>22</v>
      </c>
    </row>
    <row r="901">
      <c r="F901" t="s">
        <v>22</v>
      </c>
    </row>
    <row r="902">
      <c r="F902" t="s">
        <v>22</v>
      </c>
    </row>
    <row r="903">
      <c r="F903" t="s">
        <v>22</v>
      </c>
    </row>
    <row r="904">
      <c r="F904" t="s">
        <v>22</v>
      </c>
    </row>
    <row r="905">
      <c r="F905" t="s">
        <v>22</v>
      </c>
    </row>
    <row r="906">
      <c r="F906" t="s">
        <v>22</v>
      </c>
    </row>
    <row r="907">
      <c r="F907" t="s">
        <v>22</v>
      </c>
    </row>
    <row r="908">
      <c r="F908" t="s">
        <v>22</v>
      </c>
    </row>
    <row r="909">
      <c r="F909" t="s">
        <v>22</v>
      </c>
    </row>
    <row r="910">
      <c r="F910" t="s">
        <v>22</v>
      </c>
    </row>
    <row r="911">
      <c r="F911" t="s">
        <v>22</v>
      </c>
    </row>
    <row r="912">
      <c r="F912" t="s">
        <v>22</v>
      </c>
    </row>
    <row r="913">
      <c r="F913" t="s">
        <v>22</v>
      </c>
    </row>
    <row r="914">
      <c r="F914" t="s">
        <v>22</v>
      </c>
    </row>
    <row r="915">
      <c r="F915" t="s">
        <v>22</v>
      </c>
    </row>
    <row r="916">
      <c r="F916" t="s">
        <v>22</v>
      </c>
    </row>
    <row r="917">
      <c r="F917" t="s">
        <v>22</v>
      </c>
    </row>
    <row r="918">
      <c r="F918" t="s">
        <v>22</v>
      </c>
    </row>
    <row r="919">
      <c r="F919" t="s">
        <v>22</v>
      </c>
    </row>
    <row r="920">
      <c r="F920" t="s">
        <v>22</v>
      </c>
    </row>
    <row r="921">
      <c r="F921" t="s">
        <v>22</v>
      </c>
    </row>
    <row r="922">
      <c r="F922" t="s">
        <v>22</v>
      </c>
    </row>
    <row r="923">
      <c r="F923" t="s">
        <v>22</v>
      </c>
    </row>
    <row r="924">
      <c r="F924" t="s">
        <v>22</v>
      </c>
    </row>
    <row r="925">
      <c r="F925" t="s">
        <v>22</v>
      </c>
    </row>
    <row r="926">
      <c r="F926" t="s">
        <v>22</v>
      </c>
    </row>
    <row r="927">
      <c r="F927" t="s">
        <v>22</v>
      </c>
    </row>
    <row r="928">
      <c r="F928" t="s">
        <v>22</v>
      </c>
    </row>
    <row r="929">
      <c r="F929" t="s">
        <v>22</v>
      </c>
    </row>
    <row r="930">
      <c r="F930" t="s">
        <v>22</v>
      </c>
    </row>
    <row r="931">
      <c r="F931" t="s">
        <v>22</v>
      </c>
    </row>
    <row r="932">
      <c r="F932" t="s">
        <v>22</v>
      </c>
    </row>
    <row r="933">
      <c r="F933" t="s">
        <v>22</v>
      </c>
    </row>
    <row r="934">
      <c r="F934" t="s">
        <v>22</v>
      </c>
    </row>
    <row r="935">
      <c r="F935" t="s">
        <v>22</v>
      </c>
    </row>
    <row r="936">
      <c r="F936" t="s">
        <v>22</v>
      </c>
    </row>
    <row r="937">
      <c r="F937" t="s">
        <v>22</v>
      </c>
    </row>
    <row r="938">
      <c r="F938" t="s">
        <v>22</v>
      </c>
    </row>
    <row r="939">
      <c r="F939" t="s">
        <v>22</v>
      </c>
    </row>
    <row r="940">
      <c r="F940" t="s">
        <v>22</v>
      </c>
    </row>
    <row r="941">
      <c r="F941" t="s">
        <v>22</v>
      </c>
    </row>
    <row r="942">
      <c r="F942" t="s">
        <v>22</v>
      </c>
    </row>
    <row r="943">
      <c r="F943" t="s">
        <v>22</v>
      </c>
    </row>
    <row r="944">
      <c r="F944" t="s">
        <v>22</v>
      </c>
    </row>
    <row r="945">
      <c r="F945" t="s">
        <v>22</v>
      </c>
    </row>
    <row r="946">
      <c r="F946" t="s">
        <v>22</v>
      </c>
    </row>
    <row r="947">
      <c r="F947" t="s">
        <v>22</v>
      </c>
    </row>
    <row r="948">
      <c r="F948" t="s">
        <v>22</v>
      </c>
    </row>
    <row r="949">
      <c r="F949" t="s">
        <v>22</v>
      </c>
    </row>
    <row r="950">
      <c r="F950" t="s">
        <v>22</v>
      </c>
    </row>
    <row r="951">
      <c r="F951" t="s">
        <v>22</v>
      </c>
    </row>
    <row r="952">
      <c r="F952" t="s">
        <v>22</v>
      </c>
    </row>
    <row r="953">
      <c r="F953" t="s">
        <v>22</v>
      </c>
    </row>
    <row r="954">
      <c r="F954" t="s">
        <v>22</v>
      </c>
    </row>
    <row r="955">
      <c r="F955" t="s">
        <v>22</v>
      </c>
    </row>
    <row r="956">
      <c r="F956" t="s">
        <v>22</v>
      </c>
    </row>
    <row r="957">
      <c r="F957" t="s">
        <v>22</v>
      </c>
    </row>
    <row r="958">
      <c r="F958" t="s">
        <v>22</v>
      </c>
    </row>
    <row r="959">
      <c r="F959" t="s">
        <v>22</v>
      </c>
    </row>
    <row r="960">
      <c r="F960" t="s">
        <v>22</v>
      </c>
    </row>
    <row r="961">
      <c r="F961" t="s">
        <v>22</v>
      </c>
    </row>
    <row r="962">
      <c r="F962" t="s">
        <v>22</v>
      </c>
    </row>
    <row r="963">
      <c r="F963" t="s">
        <v>22</v>
      </c>
    </row>
    <row r="964">
      <c r="F964" t="s">
        <v>22</v>
      </c>
    </row>
    <row r="965">
      <c r="F965" t="s">
        <v>22</v>
      </c>
    </row>
    <row r="966">
      <c r="F966" t="s">
        <v>22</v>
      </c>
    </row>
    <row r="967">
      <c r="F967" t="s">
        <v>22</v>
      </c>
    </row>
    <row r="968">
      <c r="F968" t="s">
        <v>22</v>
      </c>
    </row>
    <row r="969">
      <c r="F969" t="s">
        <v>22</v>
      </c>
    </row>
    <row r="970">
      <c r="F970" t="s">
        <v>22</v>
      </c>
    </row>
    <row r="971">
      <c r="F971" t="s">
        <v>22</v>
      </c>
    </row>
    <row r="972">
      <c r="F972" t="s">
        <v>22</v>
      </c>
    </row>
    <row r="973">
      <c r="F973" t="s">
        <v>22</v>
      </c>
    </row>
    <row r="974">
      <c r="F974" t="s">
        <v>22</v>
      </c>
    </row>
    <row r="975">
      <c r="F975" t="s">
        <v>22</v>
      </c>
    </row>
    <row r="976">
      <c r="F976" t="s">
        <v>22</v>
      </c>
    </row>
    <row r="977">
      <c r="F977" t="s">
        <v>22</v>
      </c>
    </row>
    <row r="978">
      <c r="F978" t="s">
        <v>22</v>
      </c>
    </row>
    <row r="979">
      <c r="F979" t="s">
        <v>22</v>
      </c>
    </row>
    <row r="980">
      <c r="F980" t="s">
        <v>22</v>
      </c>
    </row>
    <row r="981">
      <c r="F981" t="s">
        <v>22</v>
      </c>
    </row>
    <row r="982">
      <c r="F982" t="s">
        <v>22</v>
      </c>
    </row>
    <row r="983">
      <c r="F983" t="s">
        <v>22</v>
      </c>
    </row>
    <row r="984">
      <c r="F984" t="s">
        <v>22</v>
      </c>
    </row>
    <row r="985">
      <c r="F985" t="s">
        <v>22</v>
      </c>
    </row>
    <row r="986">
      <c r="F986" t="s">
        <v>22</v>
      </c>
    </row>
    <row r="987">
      <c r="F987" t="s">
        <v>22</v>
      </c>
    </row>
    <row r="988">
      <c r="F988" t="s">
        <v>22</v>
      </c>
    </row>
    <row r="989">
      <c r="F989" t="s">
        <v>22</v>
      </c>
    </row>
    <row r="990">
      <c r="F990" t="s">
        <v>22</v>
      </c>
    </row>
    <row r="991">
      <c r="F991" t="s">
        <v>22</v>
      </c>
    </row>
    <row r="992">
      <c r="F992" t="s">
        <v>22</v>
      </c>
    </row>
    <row r="993">
      <c r="F993" t="s">
        <v>22</v>
      </c>
    </row>
    <row r="994">
      <c r="F994" t="s">
        <v>22</v>
      </c>
    </row>
    <row r="995">
      <c r="F995" t="s">
        <v>22</v>
      </c>
    </row>
    <row r="996">
      <c r="F996" t="s">
        <v>22</v>
      </c>
    </row>
    <row r="997">
      <c r="F997" t="s">
        <v>22</v>
      </c>
    </row>
    <row r="998">
      <c r="F998" t="s">
        <v>22</v>
      </c>
    </row>
    <row r="999">
      <c r="F999" t="s">
        <v>22</v>
      </c>
    </row>
    <row r="1000">
      <c r="F1000" t="s">
        <v>22</v>
      </c>
    </row>
  </sheetData>
  <dataValidations>
    <dataValidation type="list" allowBlank="1" showErrorMessage="1" sqref="B1:B2">
      <formula1>'Number of Students'!$A$2:$A1000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7.63"/>
    <col customWidth="1" min="3" max="3" width="13.75"/>
    <col customWidth="1" min="4" max="4" width="8.25"/>
    <col customWidth="1" min="5" max="6" width="34.63"/>
  </cols>
  <sheetData>
    <row r="1">
      <c r="A1" s="407" t="s">
        <v>997</v>
      </c>
      <c r="B1" s="407" t="s">
        <v>998</v>
      </c>
      <c r="C1" s="335" t="s">
        <v>999</v>
      </c>
      <c r="D1" s="335" t="s">
        <v>1000</v>
      </c>
      <c r="E1" s="333" t="s">
        <v>1001</v>
      </c>
      <c r="F1" s="333" t="s">
        <v>1002</v>
      </c>
    </row>
    <row r="2">
      <c r="A2" s="408" t="s">
        <v>1003</v>
      </c>
      <c r="B2" s="408" t="s">
        <v>1004</v>
      </c>
      <c r="C2" s="409" t="s">
        <v>1005</v>
      </c>
      <c r="D2" s="410" t="s">
        <v>1006</v>
      </c>
      <c r="E2" s="343"/>
      <c r="F2" s="343"/>
    </row>
    <row r="3">
      <c r="A3" s="408" t="s">
        <v>1007</v>
      </c>
      <c r="B3" s="408" t="s">
        <v>1008</v>
      </c>
      <c r="C3" s="409" t="s">
        <v>1005</v>
      </c>
      <c r="D3" s="410" t="s">
        <v>1009</v>
      </c>
      <c r="E3" s="343"/>
      <c r="F3" s="343"/>
    </row>
    <row r="4">
      <c r="A4" s="408" t="s">
        <v>1010</v>
      </c>
      <c r="B4" s="408" t="s">
        <v>1011</v>
      </c>
      <c r="C4" s="409" t="s">
        <v>1005</v>
      </c>
      <c r="D4" s="410" t="s">
        <v>1009</v>
      </c>
      <c r="E4" s="343"/>
      <c r="F4" s="343"/>
    </row>
    <row r="5">
      <c r="A5" s="408" t="s">
        <v>1012</v>
      </c>
      <c r="B5" s="408" t="s">
        <v>1013</v>
      </c>
      <c r="C5" s="409" t="s">
        <v>1005</v>
      </c>
      <c r="D5" s="411">
        <v>44621.0</v>
      </c>
      <c r="E5" s="343"/>
      <c r="F5" s="343"/>
    </row>
    <row r="6">
      <c r="A6" s="408" t="s">
        <v>1014</v>
      </c>
      <c r="B6" s="408" t="s">
        <v>1015</v>
      </c>
      <c r="C6" s="409" t="s">
        <v>1016</v>
      </c>
      <c r="D6" s="411">
        <v>44627.0</v>
      </c>
      <c r="E6" s="343"/>
      <c r="F6" s="343"/>
    </row>
    <row r="7">
      <c r="A7" s="408" t="s">
        <v>1017</v>
      </c>
      <c r="B7" s="408" t="s">
        <v>1018</v>
      </c>
      <c r="C7" s="409" t="s">
        <v>1005</v>
      </c>
      <c r="D7" s="411">
        <v>44652.0</v>
      </c>
      <c r="E7" s="343"/>
      <c r="F7" s="343"/>
    </row>
    <row r="8">
      <c r="A8" s="408" t="s">
        <v>1019</v>
      </c>
      <c r="B8" s="408" t="s">
        <v>1020</v>
      </c>
      <c r="C8" s="409" t="s">
        <v>1005</v>
      </c>
      <c r="D8" s="411">
        <v>44652.0</v>
      </c>
      <c r="E8" s="343"/>
      <c r="F8" s="343"/>
    </row>
    <row r="9">
      <c r="A9" s="408" t="s">
        <v>1021</v>
      </c>
      <c r="B9" s="408" t="s">
        <v>1022</v>
      </c>
      <c r="C9" s="409" t="s">
        <v>1005</v>
      </c>
      <c r="D9" s="411">
        <v>44652.0</v>
      </c>
      <c r="E9" s="343"/>
      <c r="F9" s="343"/>
    </row>
    <row r="10">
      <c r="A10" s="408" t="s">
        <v>1023</v>
      </c>
      <c r="B10" s="408" t="s">
        <v>1024</v>
      </c>
      <c r="C10" s="409" t="s">
        <v>1016</v>
      </c>
      <c r="D10" s="411">
        <v>44682.0</v>
      </c>
      <c r="E10" s="342" t="s">
        <v>1025</v>
      </c>
      <c r="F10" s="342"/>
    </row>
    <row r="11">
      <c r="A11" s="408" t="s">
        <v>1026</v>
      </c>
      <c r="B11" s="408" t="s">
        <v>1027</v>
      </c>
      <c r="C11" s="409" t="s">
        <v>1028</v>
      </c>
      <c r="D11" s="411">
        <v>44743.0</v>
      </c>
      <c r="E11" s="343"/>
      <c r="F11" s="343"/>
    </row>
    <row r="12">
      <c r="A12" s="412"/>
      <c r="B12" s="412"/>
      <c r="C12" s="396"/>
      <c r="D12" s="413"/>
      <c r="E12" s="343"/>
      <c r="F12" s="343"/>
    </row>
    <row r="13">
      <c r="A13" s="412"/>
      <c r="B13" s="412"/>
      <c r="C13" s="396"/>
      <c r="D13" s="413"/>
      <c r="E13" s="343"/>
      <c r="F13" s="343"/>
    </row>
    <row r="14">
      <c r="A14" s="412"/>
      <c r="B14" s="412"/>
      <c r="C14" s="396"/>
      <c r="D14" s="413"/>
      <c r="E14" s="343"/>
      <c r="F14" s="343"/>
    </row>
    <row r="15">
      <c r="A15" s="412"/>
      <c r="B15" s="412"/>
      <c r="C15" s="396"/>
      <c r="D15" s="413"/>
      <c r="E15" s="343"/>
      <c r="F15" s="343"/>
    </row>
    <row r="16">
      <c r="A16" s="412"/>
      <c r="B16" s="412"/>
      <c r="C16" s="396"/>
      <c r="D16" s="413"/>
      <c r="E16" s="343"/>
      <c r="F16" s="343"/>
    </row>
    <row r="17">
      <c r="A17" s="412"/>
      <c r="B17" s="412"/>
      <c r="C17" s="396"/>
      <c r="D17" s="413"/>
      <c r="E17" s="343"/>
      <c r="F17" s="343"/>
    </row>
    <row r="18">
      <c r="A18" s="412"/>
      <c r="B18" s="412"/>
      <c r="C18" s="396"/>
      <c r="D18" s="413"/>
      <c r="E18" s="343"/>
      <c r="F18" s="343"/>
    </row>
    <row r="19">
      <c r="A19" s="412"/>
      <c r="B19" s="412"/>
      <c r="C19" s="396"/>
      <c r="D19" s="413"/>
      <c r="E19" s="343"/>
      <c r="F19" s="343"/>
    </row>
    <row r="20">
      <c r="A20" s="412"/>
      <c r="B20" s="412"/>
      <c r="C20" s="396"/>
      <c r="D20" s="413"/>
      <c r="E20" s="343"/>
      <c r="F20" s="343"/>
    </row>
    <row r="21">
      <c r="A21" s="412"/>
      <c r="B21" s="412"/>
      <c r="C21" s="396"/>
      <c r="D21" s="413"/>
      <c r="E21" s="343"/>
      <c r="F21" s="343"/>
    </row>
    <row r="22">
      <c r="A22" s="412"/>
      <c r="B22" s="412"/>
      <c r="C22" s="396"/>
      <c r="D22" s="413"/>
      <c r="E22" s="343"/>
      <c r="F22" s="343"/>
    </row>
    <row r="23">
      <c r="A23" s="412"/>
      <c r="B23" s="412"/>
      <c r="C23" s="396"/>
      <c r="D23" s="413"/>
      <c r="E23" s="343"/>
      <c r="F23" s="343"/>
    </row>
    <row r="24">
      <c r="A24" s="412"/>
      <c r="B24" s="412"/>
      <c r="C24" s="396"/>
      <c r="D24" s="413"/>
      <c r="E24" s="343"/>
      <c r="F24" s="343"/>
    </row>
    <row r="25">
      <c r="A25" s="412"/>
      <c r="B25" s="412"/>
      <c r="C25" s="396"/>
      <c r="D25" s="413"/>
      <c r="E25" s="343"/>
      <c r="F25" s="343"/>
    </row>
    <row r="26">
      <c r="A26" s="412"/>
      <c r="B26" s="412"/>
      <c r="C26" s="396"/>
      <c r="D26" s="413"/>
      <c r="E26" s="343"/>
      <c r="F26" s="343"/>
    </row>
    <row r="27">
      <c r="A27" s="412"/>
      <c r="B27" s="412"/>
      <c r="C27" s="396"/>
      <c r="D27" s="413"/>
      <c r="E27" s="343"/>
      <c r="F27" s="343"/>
    </row>
    <row r="28">
      <c r="A28" s="412"/>
      <c r="B28" s="412"/>
      <c r="C28" s="396"/>
      <c r="D28" s="413"/>
      <c r="E28" s="343"/>
      <c r="F28" s="343"/>
    </row>
    <row r="29">
      <c r="A29" s="412"/>
      <c r="B29" s="412"/>
      <c r="C29" s="396"/>
      <c r="D29" s="413"/>
      <c r="E29" s="343"/>
      <c r="F29" s="343"/>
    </row>
    <row r="30">
      <c r="A30" s="412"/>
      <c r="B30" s="412"/>
      <c r="C30" s="396"/>
      <c r="D30" s="413"/>
      <c r="E30" s="343"/>
      <c r="F30" s="343"/>
    </row>
    <row r="31">
      <c r="A31" s="412"/>
      <c r="B31" s="412"/>
      <c r="C31" s="396"/>
      <c r="D31" s="413"/>
      <c r="E31" s="343"/>
      <c r="F31" s="343"/>
    </row>
    <row r="32">
      <c r="A32" s="412"/>
      <c r="B32" s="412"/>
      <c r="C32" s="396"/>
      <c r="D32" s="413"/>
      <c r="E32" s="343"/>
      <c r="F32" s="343"/>
    </row>
    <row r="33">
      <c r="A33" s="412"/>
      <c r="B33" s="412"/>
      <c r="C33" s="396"/>
      <c r="D33" s="413"/>
      <c r="E33" s="343"/>
      <c r="F33" s="343"/>
    </row>
    <row r="34">
      <c r="A34" s="412"/>
      <c r="B34" s="412"/>
      <c r="C34" s="396"/>
      <c r="D34" s="413"/>
      <c r="E34" s="343"/>
      <c r="F34" s="343"/>
    </row>
    <row r="35">
      <c r="A35" s="412"/>
      <c r="B35" s="412"/>
      <c r="C35" s="396"/>
      <c r="D35" s="413"/>
      <c r="E35" s="343"/>
      <c r="F35" s="343"/>
    </row>
    <row r="36">
      <c r="A36" s="412"/>
      <c r="B36" s="412"/>
      <c r="C36" s="396"/>
      <c r="D36" s="413"/>
      <c r="E36" s="343"/>
      <c r="F36" s="343"/>
    </row>
    <row r="37">
      <c r="A37" s="412"/>
      <c r="B37" s="412"/>
      <c r="C37" s="396"/>
      <c r="D37" s="413"/>
      <c r="E37" s="343"/>
      <c r="F37" s="343"/>
    </row>
    <row r="38">
      <c r="A38" s="412"/>
      <c r="B38" s="412"/>
      <c r="C38" s="396"/>
      <c r="D38" s="413"/>
      <c r="E38" s="343"/>
      <c r="F38" s="343"/>
    </row>
    <row r="39">
      <c r="A39" s="412"/>
      <c r="B39" s="412"/>
      <c r="C39" s="396"/>
      <c r="D39" s="413"/>
      <c r="E39" s="343"/>
      <c r="F39" s="343"/>
    </row>
    <row r="40">
      <c r="A40" s="412"/>
      <c r="B40" s="412"/>
      <c r="C40" s="396"/>
      <c r="D40" s="413"/>
      <c r="E40" s="343"/>
      <c r="F40" s="343"/>
    </row>
    <row r="41">
      <c r="A41" s="412"/>
      <c r="B41" s="412"/>
      <c r="C41" s="396"/>
      <c r="D41" s="413"/>
      <c r="E41" s="343"/>
      <c r="F41" s="343"/>
    </row>
    <row r="42">
      <c r="A42" s="412"/>
      <c r="B42" s="412"/>
      <c r="C42" s="396"/>
      <c r="D42" s="413"/>
      <c r="E42" s="343"/>
      <c r="F42" s="343"/>
    </row>
    <row r="43">
      <c r="A43" s="412"/>
      <c r="B43" s="412"/>
      <c r="C43" s="396"/>
      <c r="D43" s="413"/>
      <c r="E43" s="343"/>
      <c r="F43" s="343"/>
    </row>
    <row r="44">
      <c r="A44" s="412"/>
      <c r="B44" s="412"/>
      <c r="C44" s="396"/>
      <c r="D44" s="413"/>
      <c r="E44" s="343"/>
      <c r="F44" s="343"/>
    </row>
    <row r="45">
      <c r="A45" s="412"/>
      <c r="B45" s="412"/>
      <c r="C45" s="396"/>
      <c r="D45" s="413"/>
      <c r="E45" s="343"/>
      <c r="F45" s="343"/>
    </row>
    <row r="46">
      <c r="A46" s="412"/>
      <c r="B46" s="412"/>
      <c r="C46" s="396"/>
      <c r="D46" s="413"/>
      <c r="E46" s="343"/>
      <c r="F46" s="343"/>
    </row>
    <row r="47">
      <c r="A47" s="412"/>
      <c r="B47" s="412"/>
      <c r="C47" s="396"/>
      <c r="D47" s="413"/>
      <c r="E47" s="343"/>
      <c r="F47" s="343"/>
    </row>
    <row r="48">
      <c r="A48" s="412"/>
      <c r="B48" s="412"/>
      <c r="C48" s="396"/>
      <c r="D48" s="413"/>
      <c r="E48" s="343"/>
      <c r="F48" s="343"/>
    </row>
    <row r="49">
      <c r="A49" s="412"/>
      <c r="B49" s="412"/>
      <c r="C49" s="396"/>
      <c r="D49" s="413"/>
      <c r="E49" s="343"/>
      <c r="F49" s="343"/>
    </row>
    <row r="50">
      <c r="A50" s="412"/>
      <c r="B50" s="412"/>
      <c r="C50" s="396"/>
      <c r="D50" s="413"/>
      <c r="E50" s="343"/>
      <c r="F50" s="343"/>
    </row>
    <row r="51">
      <c r="A51" s="412"/>
      <c r="B51" s="412"/>
      <c r="C51" s="396"/>
      <c r="D51" s="413"/>
      <c r="E51" s="343"/>
      <c r="F51" s="343"/>
    </row>
    <row r="52">
      <c r="A52" s="412"/>
      <c r="B52" s="412"/>
      <c r="C52" s="396"/>
      <c r="D52" s="413"/>
      <c r="E52" s="343"/>
      <c r="F52" s="343"/>
    </row>
    <row r="53">
      <c r="A53" s="412"/>
      <c r="B53" s="412"/>
      <c r="C53" s="396"/>
      <c r="D53" s="413"/>
      <c r="E53" s="343"/>
      <c r="F53" s="343"/>
    </row>
    <row r="54">
      <c r="A54" s="412"/>
      <c r="B54" s="412"/>
      <c r="C54" s="396"/>
      <c r="D54" s="413"/>
      <c r="E54" s="343"/>
      <c r="F54" s="343"/>
    </row>
    <row r="55">
      <c r="A55" s="412"/>
      <c r="B55" s="412"/>
      <c r="C55" s="396"/>
      <c r="D55" s="413"/>
      <c r="E55" s="343"/>
      <c r="F55" s="343"/>
    </row>
    <row r="56">
      <c r="A56" s="412"/>
      <c r="B56" s="412"/>
      <c r="C56" s="396"/>
      <c r="D56" s="413"/>
      <c r="E56" s="343"/>
      <c r="F56" s="343"/>
    </row>
    <row r="57">
      <c r="A57" s="412"/>
      <c r="B57" s="412"/>
      <c r="C57" s="396"/>
      <c r="D57" s="413"/>
      <c r="E57" s="343"/>
      <c r="F57" s="343"/>
    </row>
    <row r="58">
      <c r="A58" s="412"/>
      <c r="B58" s="412"/>
      <c r="C58" s="396"/>
      <c r="D58" s="413"/>
      <c r="E58" s="343"/>
      <c r="F58" s="343"/>
    </row>
    <row r="59">
      <c r="A59" s="412"/>
      <c r="B59" s="412"/>
      <c r="C59" s="396"/>
      <c r="D59" s="413"/>
      <c r="E59" s="343"/>
      <c r="F59" s="343"/>
    </row>
    <row r="60">
      <c r="A60" s="412"/>
      <c r="B60" s="412"/>
      <c r="C60" s="396"/>
      <c r="D60" s="413"/>
      <c r="E60" s="343"/>
      <c r="F60" s="343"/>
    </row>
    <row r="61">
      <c r="A61" s="412"/>
      <c r="B61" s="412"/>
      <c r="C61" s="396"/>
      <c r="D61" s="413"/>
      <c r="E61" s="343"/>
      <c r="F61" s="343"/>
    </row>
    <row r="62">
      <c r="A62" s="412"/>
      <c r="B62" s="412"/>
      <c r="C62" s="396"/>
      <c r="D62" s="413"/>
      <c r="E62" s="343"/>
      <c r="F62" s="343"/>
    </row>
    <row r="63">
      <c r="A63" s="412"/>
      <c r="B63" s="412"/>
      <c r="C63" s="396"/>
      <c r="D63" s="413"/>
      <c r="E63" s="343"/>
      <c r="F63" s="343"/>
    </row>
    <row r="64">
      <c r="A64" s="412"/>
      <c r="B64" s="412"/>
      <c r="C64" s="396"/>
      <c r="D64" s="413"/>
      <c r="E64" s="343"/>
      <c r="F64" s="343"/>
    </row>
    <row r="65">
      <c r="A65" s="412"/>
      <c r="B65" s="412"/>
      <c r="C65" s="396"/>
      <c r="D65" s="413"/>
      <c r="E65" s="343"/>
      <c r="F65" s="343"/>
    </row>
    <row r="66">
      <c r="A66" s="412"/>
      <c r="B66" s="412"/>
      <c r="C66" s="396"/>
      <c r="D66" s="413"/>
      <c r="E66" s="343"/>
      <c r="F66" s="343"/>
    </row>
    <row r="67">
      <c r="A67" s="412"/>
      <c r="B67" s="412"/>
      <c r="C67" s="396"/>
      <c r="D67" s="413"/>
      <c r="E67" s="343"/>
      <c r="F67" s="343"/>
    </row>
    <row r="68">
      <c r="A68" s="412"/>
      <c r="B68" s="412"/>
      <c r="C68" s="396"/>
      <c r="D68" s="413"/>
      <c r="E68" s="343"/>
      <c r="F68" s="343"/>
    </row>
    <row r="69">
      <c r="A69" s="412"/>
      <c r="B69" s="412"/>
      <c r="C69" s="396"/>
      <c r="D69" s="413"/>
      <c r="E69" s="343"/>
      <c r="F69" s="343"/>
    </row>
    <row r="70">
      <c r="A70" s="412"/>
      <c r="B70" s="412"/>
      <c r="C70" s="396"/>
      <c r="D70" s="413"/>
      <c r="E70" s="343"/>
      <c r="F70" s="343"/>
    </row>
    <row r="71">
      <c r="A71" s="412"/>
      <c r="B71" s="412"/>
      <c r="C71" s="396"/>
      <c r="D71" s="413"/>
      <c r="E71" s="343"/>
      <c r="F71" s="343"/>
    </row>
    <row r="72">
      <c r="A72" s="412"/>
      <c r="B72" s="412"/>
      <c r="C72" s="396"/>
      <c r="D72" s="413"/>
      <c r="E72" s="343"/>
      <c r="F72" s="343"/>
    </row>
    <row r="73">
      <c r="A73" s="412"/>
      <c r="B73" s="412"/>
      <c r="C73" s="396"/>
      <c r="D73" s="413"/>
      <c r="E73" s="343"/>
      <c r="F73" s="343"/>
    </row>
    <row r="74">
      <c r="A74" s="412"/>
      <c r="B74" s="412"/>
      <c r="C74" s="396"/>
      <c r="D74" s="413"/>
      <c r="E74" s="343"/>
      <c r="F74" s="343"/>
    </row>
    <row r="75">
      <c r="A75" s="412"/>
      <c r="B75" s="412"/>
      <c r="C75" s="396"/>
      <c r="D75" s="413"/>
      <c r="E75" s="343"/>
      <c r="F75" s="343"/>
    </row>
    <row r="76">
      <c r="A76" s="412"/>
      <c r="B76" s="412"/>
      <c r="C76" s="396"/>
      <c r="D76" s="413"/>
      <c r="E76" s="343"/>
      <c r="F76" s="343"/>
    </row>
    <row r="77">
      <c r="A77" s="412"/>
      <c r="B77" s="412"/>
      <c r="C77" s="396"/>
      <c r="D77" s="413"/>
      <c r="E77" s="343"/>
      <c r="F77" s="343"/>
    </row>
    <row r="78">
      <c r="A78" s="412"/>
      <c r="B78" s="412"/>
      <c r="C78" s="396"/>
      <c r="D78" s="413"/>
      <c r="E78" s="343"/>
      <c r="F78" s="343"/>
    </row>
    <row r="79">
      <c r="A79" s="412"/>
      <c r="B79" s="412"/>
      <c r="C79" s="396"/>
      <c r="D79" s="413"/>
      <c r="E79" s="343"/>
      <c r="F79" s="343"/>
    </row>
    <row r="80">
      <c r="A80" s="412"/>
      <c r="B80" s="412"/>
      <c r="C80" s="396"/>
      <c r="D80" s="413"/>
      <c r="E80" s="343"/>
      <c r="F80" s="343"/>
    </row>
    <row r="81">
      <c r="A81" s="412"/>
      <c r="B81" s="412"/>
      <c r="C81" s="396"/>
      <c r="D81" s="413"/>
      <c r="E81" s="343"/>
      <c r="F81" s="343"/>
    </row>
    <row r="82">
      <c r="A82" s="412"/>
      <c r="B82" s="412"/>
      <c r="C82" s="396"/>
      <c r="D82" s="413"/>
      <c r="E82" s="343"/>
      <c r="F82" s="343"/>
    </row>
    <row r="83">
      <c r="A83" s="412"/>
      <c r="B83" s="412"/>
      <c r="C83" s="396"/>
      <c r="D83" s="413"/>
      <c r="E83" s="343"/>
      <c r="F83" s="343"/>
    </row>
    <row r="84">
      <c r="A84" s="412"/>
      <c r="B84" s="412"/>
      <c r="C84" s="396"/>
      <c r="D84" s="413"/>
      <c r="E84" s="343"/>
      <c r="F84" s="343"/>
    </row>
    <row r="85">
      <c r="A85" s="412"/>
      <c r="B85" s="412"/>
      <c r="C85" s="396"/>
      <c r="D85" s="413"/>
      <c r="E85" s="343"/>
      <c r="F85" s="343"/>
    </row>
    <row r="86">
      <c r="A86" s="412"/>
      <c r="B86" s="412"/>
      <c r="C86" s="396"/>
      <c r="D86" s="413"/>
      <c r="E86" s="343"/>
      <c r="F86" s="343"/>
    </row>
    <row r="87">
      <c r="A87" s="412"/>
      <c r="B87" s="412"/>
      <c r="C87" s="396"/>
      <c r="D87" s="413"/>
      <c r="E87" s="343"/>
      <c r="F87" s="343"/>
    </row>
    <row r="88">
      <c r="A88" s="412"/>
      <c r="B88" s="412"/>
      <c r="C88" s="396"/>
      <c r="D88" s="413"/>
      <c r="E88" s="343"/>
      <c r="F88" s="343"/>
    </row>
    <row r="89">
      <c r="A89" s="412"/>
      <c r="B89" s="412"/>
      <c r="C89" s="396"/>
      <c r="D89" s="413"/>
      <c r="E89" s="343"/>
      <c r="F89" s="343"/>
    </row>
    <row r="90">
      <c r="A90" s="412"/>
      <c r="B90" s="412"/>
      <c r="C90" s="396"/>
      <c r="D90" s="413"/>
      <c r="E90" s="343"/>
      <c r="F90" s="343"/>
    </row>
    <row r="91">
      <c r="A91" s="412"/>
      <c r="B91" s="412"/>
      <c r="C91" s="396"/>
      <c r="D91" s="413"/>
      <c r="E91" s="343"/>
      <c r="F91" s="343"/>
    </row>
    <row r="92">
      <c r="A92" s="412"/>
      <c r="B92" s="412"/>
      <c r="C92" s="396"/>
      <c r="D92" s="413"/>
      <c r="E92" s="343"/>
      <c r="F92" s="343"/>
    </row>
    <row r="93">
      <c r="A93" s="412"/>
      <c r="B93" s="412"/>
      <c r="C93" s="396"/>
      <c r="D93" s="413"/>
      <c r="E93" s="343"/>
      <c r="F93" s="343"/>
    </row>
    <row r="94">
      <c r="A94" s="412"/>
      <c r="B94" s="412"/>
      <c r="C94" s="396"/>
      <c r="D94" s="413"/>
      <c r="E94" s="343"/>
      <c r="F94" s="343"/>
    </row>
    <row r="95">
      <c r="A95" s="412"/>
      <c r="B95" s="412"/>
      <c r="C95" s="396"/>
      <c r="D95" s="413"/>
      <c r="E95" s="343"/>
      <c r="F95" s="343"/>
    </row>
    <row r="96">
      <c r="A96" s="412"/>
      <c r="B96" s="412"/>
      <c r="C96" s="396"/>
      <c r="D96" s="413"/>
      <c r="E96" s="343"/>
      <c r="F96" s="343"/>
    </row>
    <row r="97">
      <c r="A97" s="412"/>
      <c r="B97" s="412"/>
      <c r="C97" s="396"/>
      <c r="D97" s="413"/>
      <c r="E97" s="343"/>
      <c r="F97" s="343"/>
    </row>
    <row r="98">
      <c r="A98" s="412"/>
      <c r="B98" s="412"/>
      <c r="C98" s="396"/>
      <c r="D98" s="413"/>
      <c r="E98" s="343"/>
      <c r="F98" s="343"/>
    </row>
    <row r="99">
      <c r="A99" s="412"/>
      <c r="B99" s="412"/>
      <c r="C99" s="396"/>
      <c r="D99" s="413"/>
      <c r="E99" s="343"/>
      <c r="F99" s="343"/>
    </row>
    <row r="100">
      <c r="A100" s="412"/>
      <c r="B100" s="412"/>
      <c r="C100" s="396"/>
      <c r="D100" s="413"/>
      <c r="E100" s="343"/>
      <c r="F100" s="343"/>
    </row>
    <row r="101">
      <c r="A101" s="412"/>
      <c r="B101" s="412"/>
      <c r="C101" s="396"/>
      <c r="D101" s="413"/>
      <c r="E101" s="343"/>
      <c r="F101" s="343"/>
    </row>
    <row r="102">
      <c r="A102" s="412"/>
      <c r="B102" s="412"/>
      <c r="C102" s="396"/>
      <c r="D102" s="413"/>
      <c r="E102" s="343"/>
      <c r="F102" s="343"/>
    </row>
    <row r="103">
      <c r="A103" s="412"/>
      <c r="B103" s="412"/>
      <c r="C103" s="396"/>
      <c r="D103" s="413"/>
      <c r="E103" s="343"/>
      <c r="F103" s="343"/>
    </row>
    <row r="104">
      <c r="A104" s="412"/>
      <c r="B104" s="412"/>
      <c r="C104" s="396"/>
      <c r="D104" s="413"/>
      <c r="E104" s="343"/>
      <c r="F104" s="343"/>
    </row>
    <row r="105">
      <c r="A105" s="412"/>
      <c r="B105" s="412"/>
      <c r="C105" s="396"/>
      <c r="D105" s="413"/>
      <c r="E105" s="343"/>
      <c r="F105" s="343"/>
    </row>
    <row r="106">
      <c r="A106" s="412"/>
      <c r="B106" s="412"/>
      <c r="C106" s="396"/>
      <c r="D106" s="413"/>
      <c r="E106" s="343"/>
      <c r="F106" s="343"/>
    </row>
    <row r="107">
      <c r="A107" s="412"/>
      <c r="B107" s="412"/>
      <c r="C107" s="396"/>
      <c r="D107" s="413"/>
      <c r="E107" s="343"/>
      <c r="F107" s="343"/>
    </row>
    <row r="108">
      <c r="A108" s="412"/>
      <c r="B108" s="412"/>
      <c r="C108" s="396"/>
      <c r="D108" s="413"/>
      <c r="E108" s="343"/>
      <c r="F108" s="343"/>
    </row>
    <row r="109">
      <c r="A109" s="412"/>
      <c r="B109" s="412"/>
      <c r="C109" s="396"/>
      <c r="D109" s="413"/>
      <c r="E109" s="343"/>
      <c r="F109" s="343"/>
    </row>
    <row r="110">
      <c r="A110" s="412"/>
      <c r="B110" s="412"/>
      <c r="C110" s="396"/>
      <c r="D110" s="413"/>
      <c r="E110" s="343"/>
      <c r="F110" s="343"/>
    </row>
    <row r="111">
      <c r="A111" s="412"/>
      <c r="B111" s="412"/>
      <c r="C111" s="396"/>
      <c r="D111" s="413"/>
      <c r="E111" s="343"/>
      <c r="F111" s="343"/>
    </row>
    <row r="112">
      <c r="A112" s="412"/>
      <c r="B112" s="412"/>
      <c r="C112" s="396"/>
      <c r="D112" s="413"/>
      <c r="E112" s="343"/>
      <c r="F112" s="343"/>
    </row>
    <row r="113">
      <c r="A113" s="412"/>
      <c r="B113" s="412"/>
      <c r="C113" s="396"/>
      <c r="D113" s="413"/>
      <c r="E113" s="343"/>
      <c r="F113" s="343"/>
    </row>
    <row r="114">
      <c r="A114" s="412"/>
      <c r="B114" s="412"/>
      <c r="C114" s="396"/>
      <c r="D114" s="413"/>
      <c r="E114" s="343"/>
      <c r="F114" s="343"/>
    </row>
    <row r="115">
      <c r="A115" s="412"/>
      <c r="B115" s="412"/>
      <c r="C115" s="396"/>
      <c r="D115" s="413"/>
      <c r="E115" s="343"/>
      <c r="F115" s="343"/>
    </row>
    <row r="116">
      <c r="A116" s="412"/>
      <c r="B116" s="412"/>
      <c r="C116" s="396"/>
      <c r="D116" s="413"/>
      <c r="E116" s="343"/>
      <c r="F116" s="343"/>
    </row>
    <row r="117">
      <c r="A117" s="412"/>
      <c r="B117" s="412"/>
      <c r="C117" s="396"/>
      <c r="D117" s="413"/>
      <c r="E117" s="343"/>
      <c r="F117" s="343"/>
    </row>
    <row r="118">
      <c r="A118" s="412"/>
      <c r="B118" s="412"/>
      <c r="C118" s="396"/>
      <c r="D118" s="413"/>
      <c r="E118" s="343"/>
      <c r="F118" s="343"/>
    </row>
    <row r="119">
      <c r="A119" s="412"/>
      <c r="B119" s="412"/>
      <c r="C119" s="396"/>
      <c r="D119" s="413"/>
      <c r="E119" s="343"/>
      <c r="F119" s="343"/>
    </row>
    <row r="120">
      <c r="A120" s="412"/>
      <c r="B120" s="412"/>
      <c r="C120" s="396"/>
      <c r="D120" s="413"/>
      <c r="E120" s="343"/>
      <c r="F120" s="343"/>
    </row>
    <row r="121">
      <c r="A121" s="412"/>
      <c r="B121" s="412"/>
      <c r="C121" s="396"/>
      <c r="D121" s="413"/>
      <c r="E121" s="343"/>
      <c r="F121" s="343"/>
    </row>
    <row r="122">
      <c r="A122" s="412"/>
      <c r="B122" s="412"/>
      <c r="C122" s="396"/>
      <c r="D122" s="413"/>
      <c r="E122" s="343"/>
      <c r="F122" s="343"/>
    </row>
    <row r="123">
      <c r="A123" s="412"/>
      <c r="B123" s="412"/>
      <c r="C123" s="396"/>
      <c r="D123" s="413"/>
      <c r="E123" s="343"/>
      <c r="F123" s="343"/>
    </row>
    <row r="124">
      <c r="A124" s="412"/>
      <c r="B124" s="412"/>
      <c r="C124" s="396"/>
      <c r="D124" s="413"/>
      <c r="E124" s="343"/>
      <c r="F124" s="343"/>
    </row>
    <row r="125">
      <c r="A125" s="412"/>
      <c r="B125" s="412"/>
      <c r="C125" s="396"/>
      <c r="D125" s="413"/>
      <c r="E125" s="343"/>
      <c r="F125" s="343"/>
    </row>
    <row r="126">
      <c r="A126" s="412"/>
      <c r="B126" s="412"/>
      <c r="C126" s="396"/>
      <c r="D126" s="413"/>
      <c r="E126" s="343"/>
      <c r="F126" s="343"/>
    </row>
    <row r="127">
      <c r="A127" s="412"/>
      <c r="B127" s="412"/>
      <c r="C127" s="396"/>
      <c r="D127" s="413"/>
      <c r="E127" s="343"/>
      <c r="F127" s="343"/>
    </row>
    <row r="128">
      <c r="A128" s="412"/>
      <c r="B128" s="412"/>
      <c r="C128" s="396"/>
      <c r="D128" s="413"/>
      <c r="E128" s="343"/>
      <c r="F128" s="343"/>
    </row>
    <row r="129">
      <c r="A129" s="412"/>
      <c r="B129" s="412"/>
      <c r="C129" s="396"/>
      <c r="D129" s="413"/>
      <c r="E129" s="343"/>
      <c r="F129" s="343"/>
    </row>
    <row r="130">
      <c r="A130" s="412"/>
      <c r="B130" s="412"/>
      <c r="C130" s="396"/>
      <c r="D130" s="413"/>
      <c r="E130" s="343"/>
      <c r="F130" s="343"/>
    </row>
    <row r="131">
      <c r="A131" s="412"/>
      <c r="B131" s="412"/>
      <c r="C131" s="396"/>
      <c r="D131" s="413"/>
      <c r="E131" s="343"/>
      <c r="F131" s="343"/>
    </row>
    <row r="132">
      <c r="A132" s="412"/>
      <c r="B132" s="412"/>
      <c r="C132" s="396"/>
      <c r="D132" s="413"/>
      <c r="E132" s="343"/>
      <c r="F132" s="343"/>
    </row>
    <row r="133">
      <c r="A133" s="412"/>
      <c r="B133" s="412"/>
      <c r="C133" s="396"/>
      <c r="D133" s="413"/>
      <c r="E133" s="343"/>
      <c r="F133" s="343"/>
    </row>
    <row r="134">
      <c r="A134" s="412"/>
      <c r="B134" s="412"/>
      <c r="C134" s="396"/>
      <c r="D134" s="413"/>
      <c r="E134" s="343"/>
      <c r="F134" s="343"/>
    </row>
    <row r="135">
      <c r="A135" s="412"/>
      <c r="B135" s="412"/>
      <c r="C135" s="396"/>
      <c r="D135" s="413"/>
      <c r="E135" s="343"/>
      <c r="F135" s="343"/>
    </row>
    <row r="136">
      <c r="A136" s="412"/>
      <c r="B136" s="412"/>
      <c r="C136" s="396"/>
      <c r="D136" s="413"/>
      <c r="E136" s="343"/>
      <c r="F136" s="343"/>
    </row>
    <row r="137">
      <c r="A137" s="412"/>
      <c r="B137" s="412"/>
      <c r="C137" s="396"/>
      <c r="D137" s="413"/>
      <c r="E137" s="343"/>
      <c r="F137" s="343"/>
    </row>
    <row r="138">
      <c r="A138" s="412"/>
      <c r="B138" s="412"/>
      <c r="C138" s="396"/>
      <c r="D138" s="413"/>
      <c r="E138" s="343"/>
      <c r="F138" s="343"/>
    </row>
    <row r="139">
      <c r="A139" s="412"/>
      <c r="B139" s="412"/>
      <c r="C139" s="396"/>
      <c r="D139" s="413"/>
      <c r="E139" s="343"/>
      <c r="F139" s="343"/>
    </row>
    <row r="140">
      <c r="A140" s="412"/>
      <c r="B140" s="412"/>
      <c r="C140" s="396"/>
      <c r="D140" s="413"/>
      <c r="E140" s="343"/>
      <c r="F140" s="343"/>
    </row>
    <row r="141">
      <c r="A141" s="412"/>
      <c r="B141" s="412"/>
      <c r="C141" s="396"/>
      <c r="D141" s="413"/>
      <c r="E141" s="343"/>
      <c r="F141" s="343"/>
    </row>
    <row r="142">
      <c r="A142" s="412"/>
      <c r="B142" s="412"/>
      <c r="C142" s="396"/>
      <c r="D142" s="413"/>
      <c r="E142" s="343"/>
      <c r="F142" s="343"/>
    </row>
    <row r="143">
      <c r="A143" s="412"/>
      <c r="B143" s="412"/>
      <c r="C143" s="396"/>
      <c r="D143" s="413"/>
      <c r="E143" s="343"/>
      <c r="F143" s="343"/>
    </row>
    <row r="144">
      <c r="A144" s="412"/>
      <c r="B144" s="412"/>
      <c r="C144" s="396"/>
      <c r="D144" s="413"/>
      <c r="E144" s="343"/>
      <c r="F144" s="343"/>
    </row>
    <row r="145">
      <c r="A145" s="412"/>
      <c r="B145" s="412"/>
      <c r="C145" s="396"/>
      <c r="D145" s="413"/>
      <c r="E145" s="343"/>
      <c r="F145" s="343"/>
    </row>
    <row r="146">
      <c r="A146" s="412"/>
      <c r="B146" s="412"/>
      <c r="C146" s="396"/>
      <c r="D146" s="413"/>
      <c r="E146" s="343"/>
      <c r="F146" s="343"/>
    </row>
    <row r="147">
      <c r="A147" s="412"/>
      <c r="B147" s="412"/>
      <c r="C147" s="396"/>
      <c r="D147" s="413"/>
      <c r="E147" s="343"/>
      <c r="F147" s="343"/>
    </row>
    <row r="148">
      <c r="A148" s="412"/>
      <c r="B148" s="412"/>
      <c r="C148" s="396"/>
      <c r="D148" s="413"/>
      <c r="E148" s="343"/>
      <c r="F148" s="343"/>
    </row>
    <row r="149">
      <c r="A149" s="412"/>
      <c r="B149" s="412"/>
      <c r="C149" s="396"/>
      <c r="D149" s="413"/>
      <c r="E149" s="343"/>
      <c r="F149" s="343"/>
    </row>
    <row r="150">
      <c r="A150" s="412"/>
      <c r="B150" s="412"/>
      <c r="C150" s="396"/>
      <c r="D150" s="413"/>
      <c r="E150" s="343"/>
      <c r="F150" s="343"/>
    </row>
    <row r="151">
      <c r="A151" s="412"/>
      <c r="B151" s="412"/>
      <c r="C151" s="396"/>
      <c r="D151" s="413"/>
      <c r="E151" s="343"/>
      <c r="F151" s="343"/>
    </row>
    <row r="152">
      <c r="A152" s="412"/>
      <c r="B152" s="412"/>
      <c r="C152" s="396"/>
      <c r="D152" s="413"/>
      <c r="E152" s="343"/>
      <c r="F152" s="343"/>
    </row>
    <row r="153">
      <c r="A153" s="412"/>
      <c r="B153" s="412"/>
      <c r="C153" s="396"/>
      <c r="D153" s="413"/>
      <c r="E153" s="343"/>
      <c r="F153" s="343"/>
    </row>
    <row r="154">
      <c r="A154" s="412"/>
      <c r="B154" s="412"/>
      <c r="C154" s="396"/>
      <c r="D154" s="413"/>
      <c r="E154" s="343"/>
      <c r="F154" s="343"/>
    </row>
    <row r="155">
      <c r="A155" s="412"/>
      <c r="B155" s="412"/>
      <c r="C155" s="396"/>
      <c r="D155" s="413"/>
      <c r="E155" s="343"/>
      <c r="F155" s="343"/>
    </row>
    <row r="156">
      <c r="A156" s="412"/>
      <c r="B156" s="412"/>
      <c r="C156" s="396"/>
      <c r="D156" s="413"/>
      <c r="E156" s="343"/>
      <c r="F156" s="343"/>
    </row>
    <row r="157">
      <c r="A157" s="412"/>
      <c r="B157" s="412"/>
      <c r="C157" s="396"/>
      <c r="D157" s="413"/>
      <c r="E157" s="343"/>
      <c r="F157" s="343"/>
    </row>
    <row r="158">
      <c r="A158" s="412"/>
      <c r="B158" s="412"/>
      <c r="C158" s="396"/>
      <c r="D158" s="413"/>
      <c r="E158" s="343"/>
      <c r="F158" s="343"/>
    </row>
    <row r="159">
      <c r="A159" s="412"/>
      <c r="B159" s="412"/>
      <c r="C159" s="396"/>
      <c r="D159" s="413"/>
      <c r="E159" s="343"/>
      <c r="F159" s="343"/>
    </row>
    <row r="160">
      <c r="A160" s="412"/>
      <c r="B160" s="412"/>
      <c r="C160" s="396"/>
      <c r="D160" s="413"/>
      <c r="E160" s="343"/>
      <c r="F160" s="343"/>
    </row>
    <row r="161">
      <c r="A161" s="412"/>
      <c r="B161" s="412"/>
      <c r="C161" s="396"/>
      <c r="D161" s="413"/>
      <c r="E161" s="343"/>
      <c r="F161" s="343"/>
    </row>
    <row r="162">
      <c r="A162" s="412"/>
      <c r="B162" s="412"/>
      <c r="C162" s="396"/>
      <c r="D162" s="413"/>
      <c r="E162" s="343"/>
      <c r="F162" s="343"/>
    </row>
    <row r="163">
      <c r="A163" s="412"/>
      <c r="B163" s="412"/>
      <c r="C163" s="396"/>
      <c r="D163" s="413"/>
      <c r="E163" s="343"/>
      <c r="F163" s="343"/>
    </row>
    <row r="164">
      <c r="A164" s="412"/>
      <c r="B164" s="412"/>
      <c r="C164" s="396"/>
      <c r="D164" s="413"/>
      <c r="E164" s="343"/>
      <c r="F164" s="343"/>
    </row>
    <row r="165">
      <c r="A165" s="412"/>
      <c r="B165" s="412"/>
      <c r="C165" s="396"/>
      <c r="D165" s="413"/>
      <c r="E165" s="343"/>
      <c r="F165" s="343"/>
    </row>
    <row r="166">
      <c r="A166" s="412"/>
      <c r="B166" s="412"/>
      <c r="C166" s="396"/>
      <c r="D166" s="413"/>
      <c r="E166" s="343"/>
      <c r="F166" s="343"/>
    </row>
    <row r="167">
      <c r="A167" s="412"/>
      <c r="B167" s="412"/>
      <c r="C167" s="396"/>
      <c r="D167" s="413"/>
      <c r="E167" s="343"/>
      <c r="F167" s="343"/>
    </row>
    <row r="168">
      <c r="A168" s="412"/>
      <c r="B168" s="412"/>
      <c r="C168" s="396"/>
      <c r="D168" s="413"/>
      <c r="E168" s="343"/>
      <c r="F168" s="343"/>
    </row>
    <row r="169">
      <c r="A169" s="412"/>
      <c r="B169" s="412"/>
      <c r="C169" s="396"/>
      <c r="D169" s="413"/>
      <c r="E169" s="343"/>
      <c r="F169" s="343"/>
    </row>
    <row r="170">
      <c r="A170" s="412"/>
      <c r="B170" s="412"/>
      <c r="C170" s="396"/>
      <c r="D170" s="413"/>
      <c r="E170" s="343"/>
      <c r="F170" s="343"/>
    </row>
    <row r="171">
      <c r="A171" s="412"/>
      <c r="B171" s="412"/>
      <c r="C171" s="396"/>
      <c r="D171" s="413"/>
      <c r="E171" s="343"/>
      <c r="F171" s="343"/>
    </row>
    <row r="172">
      <c r="A172" s="412"/>
      <c r="B172" s="412"/>
      <c r="C172" s="396"/>
      <c r="D172" s="413"/>
      <c r="E172" s="343"/>
      <c r="F172" s="343"/>
    </row>
    <row r="173">
      <c r="A173" s="412"/>
      <c r="B173" s="412"/>
      <c r="C173" s="396"/>
      <c r="D173" s="413"/>
      <c r="E173" s="343"/>
      <c r="F173" s="343"/>
    </row>
    <row r="174">
      <c r="A174" s="412"/>
      <c r="B174" s="412"/>
      <c r="C174" s="396"/>
      <c r="D174" s="413"/>
      <c r="E174" s="343"/>
      <c r="F174" s="343"/>
    </row>
    <row r="175">
      <c r="A175" s="412"/>
      <c r="B175" s="412"/>
      <c r="C175" s="396"/>
      <c r="D175" s="413"/>
      <c r="E175" s="343"/>
      <c r="F175" s="343"/>
    </row>
    <row r="176">
      <c r="A176" s="412"/>
      <c r="B176" s="412"/>
      <c r="C176" s="396"/>
      <c r="D176" s="413"/>
      <c r="E176" s="343"/>
      <c r="F176" s="343"/>
    </row>
    <row r="177">
      <c r="A177" s="412"/>
      <c r="B177" s="412"/>
      <c r="C177" s="396"/>
      <c r="D177" s="413"/>
      <c r="E177" s="343"/>
      <c r="F177" s="343"/>
    </row>
    <row r="178">
      <c r="A178" s="412"/>
      <c r="B178" s="412"/>
      <c r="C178" s="396"/>
      <c r="D178" s="413"/>
      <c r="E178" s="343"/>
      <c r="F178" s="343"/>
    </row>
    <row r="179">
      <c r="A179" s="412"/>
      <c r="B179" s="412"/>
      <c r="C179" s="396"/>
      <c r="D179" s="413"/>
      <c r="E179" s="343"/>
      <c r="F179" s="343"/>
    </row>
    <row r="180">
      <c r="A180" s="412"/>
      <c r="B180" s="412"/>
      <c r="C180" s="396"/>
      <c r="D180" s="413"/>
      <c r="E180" s="343"/>
      <c r="F180" s="343"/>
    </row>
    <row r="181">
      <c r="A181" s="412"/>
      <c r="B181" s="412"/>
      <c r="C181" s="396"/>
      <c r="D181" s="413"/>
      <c r="E181" s="343"/>
      <c r="F181" s="343"/>
    </row>
    <row r="182">
      <c r="A182" s="412"/>
      <c r="B182" s="412"/>
      <c r="C182" s="396"/>
      <c r="D182" s="413"/>
      <c r="E182" s="343"/>
      <c r="F182" s="343"/>
    </row>
    <row r="183">
      <c r="A183" s="412"/>
      <c r="B183" s="412"/>
      <c r="C183" s="396"/>
      <c r="D183" s="413"/>
      <c r="E183" s="343"/>
      <c r="F183" s="343"/>
    </row>
    <row r="184">
      <c r="A184" s="412"/>
      <c r="B184" s="412"/>
      <c r="C184" s="396"/>
      <c r="D184" s="413"/>
      <c r="E184" s="343"/>
      <c r="F184" s="343"/>
    </row>
    <row r="185">
      <c r="A185" s="412"/>
      <c r="B185" s="412"/>
      <c r="C185" s="396"/>
      <c r="D185" s="413"/>
      <c r="E185" s="343"/>
      <c r="F185" s="343"/>
    </row>
    <row r="186">
      <c r="A186" s="412"/>
      <c r="B186" s="412"/>
      <c r="C186" s="396"/>
      <c r="D186" s="413"/>
      <c r="E186" s="343"/>
      <c r="F186" s="343"/>
    </row>
    <row r="187">
      <c r="A187" s="412"/>
      <c r="B187" s="412"/>
      <c r="C187" s="396"/>
      <c r="D187" s="413"/>
      <c r="E187" s="343"/>
      <c r="F187" s="343"/>
    </row>
    <row r="188">
      <c r="A188" s="412"/>
      <c r="B188" s="412"/>
      <c r="C188" s="396"/>
      <c r="D188" s="413"/>
      <c r="E188" s="343"/>
      <c r="F188" s="343"/>
    </row>
    <row r="189">
      <c r="A189" s="412"/>
      <c r="B189" s="412"/>
      <c r="C189" s="396"/>
      <c r="D189" s="413"/>
      <c r="E189" s="343"/>
      <c r="F189" s="343"/>
    </row>
    <row r="190">
      <c r="A190" s="412"/>
      <c r="B190" s="412"/>
      <c r="C190" s="396"/>
      <c r="D190" s="413"/>
      <c r="E190" s="343"/>
      <c r="F190" s="343"/>
    </row>
    <row r="191">
      <c r="A191" s="412"/>
      <c r="B191" s="412"/>
      <c r="C191" s="396"/>
      <c r="D191" s="413"/>
      <c r="E191" s="343"/>
      <c r="F191" s="343"/>
    </row>
    <row r="192">
      <c r="A192" s="412"/>
      <c r="B192" s="412"/>
      <c r="C192" s="396"/>
      <c r="D192" s="413"/>
      <c r="E192" s="343"/>
      <c r="F192" s="343"/>
    </row>
    <row r="193">
      <c r="A193" s="412"/>
      <c r="B193" s="412"/>
      <c r="C193" s="396"/>
      <c r="D193" s="413"/>
      <c r="E193" s="343"/>
      <c r="F193" s="343"/>
    </row>
    <row r="194">
      <c r="A194" s="412"/>
      <c r="B194" s="412"/>
      <c r="C194" s="396"/>
      <c r="D194" s="413"/>
      <c r="E194" s="343"/>
      <c r="F194" s="343"/>
    </row>
    <row r="195">
      <c r="A195" s="412"/>
      <c r="B195" s="412"/>
      <c r="C195" s="396"/>
      <c r="D195" s="413"/>
      <c r="E195" s="343"/>
      <c r="F195" s="343"/>
    </row>
    <row r="196">
      <c r="A196" s="412"/>
      <c r="B196" s="412"/>
      <c r="C196" s="396"/>
      <c r="D196" s="413"/>
      <c r="E196" s="343"/>
      <c r="F196" s="343"/>
    </row>
    <row r="197">
      <c r="A197" s="412"/>
      <c r="B197" s="412"/>
      <c r="C197" s="396"/>
      <c r="D197" s="413"/>
      <c r="E197" s="343"/>
      <c r="F197" s="343"/>
    </row>
    <row r="198">
      <c r="A198" s="412"/>
      <c r="B198" s="412"/>
      <c r="C198" s="396"/>
      <c r="D198" s="413"/>
      <c r="E198" s="343"/>
      <c r="F198" s="343"/>
    </row>
    <row r="199">
      <c r="A199" s="412"/>
      <c r="B199" s="412"/>
      <c r="C199" s="396"/>
      <c r="D199" s="413"/>
      <c r="E199" s="343"/>
      <c r="F199" s="343"/>
    </row>
    <row r="200">
      <c r="A200" s="412"/>
      <c r="B200" s="412"/>
      <c r="C200" s="396"/>
      <c r="D200" s="413"/>
      <c r="E200" s="343"/>
      <c r="F200" s="343"/>
    </row>
    <row r="201">
      <c r="A201" s="412"/>
      <c r="B201" s="412"/>
      <c r="C201" s="396"/>
      <c r="D201" s="413"/>
      <c r="E201" s="343"/>
      <c r="F201" s="343"/>
    </row>
    <row r="202">
      <c r="A202" s="412"/>
      <c r="B202" s="412"/>
      <c r="C202" s="396"/>
      <c r="D202" s="413"/>
      <c r="E202" s="343"/>
      <c r="F202" s="343"/>
    </row>
    <row r="203">
      <c r="A203" s="412"/>
      <c r="B203" s="412"/>
      <c r="C203" s="396"/>
      <c r="D203" s="413"/>
      <c r="E203" s="343"/>
      <c r="F203" s="343"/>
    </row>
    <row r="204">
      <c r="A204" s="412"/>
      <c r="B204" s="412"/>
      <c r="C204" s="396"/>
      <c r="D204" s="413"/>
      <c r="E204" s="343"/>
      <c r="F204" s="343"/>
    </row>
    <row r="205">
      <c r="A205" s="412"/>
      <c r="B205" s="412"/>
      <c r="C205" s="396"/>
      <c r="D205" s="413"/>
      <c r="E205" s="343"/>
      <c r="F205" s="343"/>
    </row>
    <row r="206">
      <c r="A206" s="412"/>
      <c r="B206" s="412"/>
      <c r="C206" s="396"/>
      <c r="D206" s="413"/>
      <c r="E206" s="343"/>
      <c r="F206" s="343"/>
    </row>
    <row r="207">
      <c r="A207" s="412"/>
      <c r="B207" s="412"/>
      <c r="C207" s="396"/>
      <c r="D207" s="413"/>
      <c r="E207" s="343"/>
      <c r="F207" s="343"/>
    </row>
    <row r="208">
      <c r="A208" s="412"/>
      <c r="B208" s="412"/>
      <c r="C208" s="396"/>
      <c r="D208" s="413"/>
      <c r="E208" s="343"/>
      <c r="F208" s="343"/>
    </row>
    <row r="209">
      <c r="A209" s="412"/>
      <c r="B209" s="412"/>
      <c r="C209" s="396"/>
      <c r="D209" s="413"/>
      <c r="E209" s="343"/>
      <c r="F209" s="343"/>
    </row>
    <row r="210">
      <c r="A210" s="412"/>
      <c r="B210" s="412"/>
      <c r="C210" s="396"/>
      <c r="D210" s="413"/>
      <c r="E210" s="343"/>
      <c r="F210" s="343"/>
    </row>
    <row r="211">
      <c r="A211" s="412"/>
      <c r="B211" s="412"/>
      <c r="C211" s="396"/>
      <c r="D211" s="413"/>
      <c r="E211" s="343"/>
      <c r="F211" s="343"/>
    </row>
    <row r="212">
      <c r="A212" s="412"/>
      <c r="B212" s="412"/>
      <c r="C212" s="396"/>
      <c r="D212" s="413"/>
      <c r="E212" s="343"/>
      <c r="F212" s="343"/>
    </row>
    <row r="213">
      <c r="A213" s="412"/>
      <c r="B213" s="412"/>
      <c r="C213" s="396"/>
      <c r="D213" s="413"/>
      <c r="E213" s="343"/>
      <c r="F213" s="343"/>
    </row>
    <row r="214">
      <c r="A214" s="412"/>
      <c r="B214" s="412"/>
      <c r="C214" s="396"/>
      <c r="D214" s="413"/>
      <c r="E214" s="343"/>
      <c r="F214" s="343"/>
    </row>
    <row r="215">
      <c r="A215" s="412"/>
      <c r="B215" s="412"/>
      <c r="C215" s="396"/>
      <c r="D215" s="413"/>
      <c r="E215" s="343"/>
      <c r="F215" s="343"/>
    </row>
    <row r="216">
      <c r="A216" s="412"/>
      <c r="B216" s="412"/>
      <c r="C216" s="396"/>
      <c r="D216" s="413"/>
      <c r="E216" s="343"/>
      <c r="F216" s="343"/>
    </row>
    <row r="217">
      <c r="A217" s="412"/>
      <c r="B217" s="412"/>
      <c r="C217" s="396"/>
      <c r="D217" s="413"/>
      <c r="E217" s="343"/>
      <c r="F217" s="343"/>
    </row>
    <row r="218">
      <c r="A218" s="412"/>
      <c r="B218" s="412"/>
      <c r="C218" s="396"/>
      <c r="D218" s="413"/>
      <c r="E218" s="343"/>
      <c r="F218" s="343"/>
    </row>
    <row r="219">
      <c r="A219" s="412"/>
      <c r="B219" s="412"/>
      <c r="C219" s="396"/>
      <c r="D219" s="413"/>
      <c r="E219" s="343"/>
      <c r="F219" s="343"/>
    </row>
    <row r="220">
      <c r="A220" s="412"/>
      <c r="B220" s="412"/>
      <c r="C220" s="396"/>
      <c r="D220" s="413"/>
      <c r="E220" s="343"/>
      <c r="F220" s="343"/>
    </row>
    <row r="221">
      <c r="A221" s="412"/>
      <c r="B221" s="412"/>
      <c r="C221" s="396"/>
      <c r="D221" s="413"/>
      <c r="E221" s="343"/>
      <c r="F221" s="343"/>
    </row>
    <row r="222">
      <c r="A222" s="412"/>
      <c r="B222" s="412"/>
      <c r="C222" s="396"/>
      <c r="D222" s="413"/>
      <c r="E222" s="343"/>
      <c r="F222" s="343"/>
    </row>
    <row r="223">
      <c r="A223" s="412"/>
      <c r="B223" s="412"/>
      <c r="C223" s="396"/>
      <c r="D223" s="413"/>
      <c r="E223" s="343"/>
      <c r="F223" s="343"/>
    </row>
    <row r="224">
      <c r="A224" s="412"/>
      <c r="B224" s="412"/>
      <c r="C224" s="396"/>
      <c r="D224" s="413"/>
      <c r="E224" s="343"/>
      <c r="F224" s="343"/>
    </row>
    <row r="225">
      <c r="A225" s="412"/>
      <c r="B225" s="412"/>
      <c r="C225" s="396"/>
      <c r="D225" s="413"/>
      <c r="E225" s="343"/>
      <c r="F225" s="343"/>
    </row>
    <row r="226">
      <c r="A226" s="412"/>
      <c r="B226" s="412"/>
      <c r="C226" s="396"/>
      <c r="D226" s="413"/>
      <c r="E226" s="343"/>
      <c r="F226" s="343"/>
    </row>
    <row r="227">
      <c r="A227" s="412"/>
      <c r="B227" s="412"/>
      <c r="C227" s="396"/>
      <c r="D227" s="413"/>
      <c r="E227" s="343"/>
      <c r="F227" s="343"/>
    </row>
    <row r="228">
      <c r="A228" s="412"/>
      <c r="B228" s="412"/>
      <c r="C228" s="396"/>
      <c r="D228" s="413"/>
      <c r="E228" s="343"/>
      <c r="F228" s="343"/>
    </row>
    <row r="229">
      <c r="A229" s="412"/>
      <c r="B229" s="412"/>
      <c r="C229" s="396"/>
      <c r="D229" s="413"/>
      <c r="E229" s="343"/>
      <c r="F229" s="343"/>
    </row>
    <row r="230">
      <c r="A230" s="412"/>
      <c r="B230" s="412"/>
      <c r="C230" s="396"/>
      <c r="D230" s="413"/>
      <c r="E230" s="343"/>
      <c r="F230" s="343"/>
    </row>
    <row r="231">
      <c r="A231" s="412"/>
      <c r="B231" s="412"/>
      <c r="C231" s="396"/>
      <c r="D231" s="413"/>
      <c r="E231" s="343"/>
      <c r="F231" s="343"/>
    </row>
    <row r="232">
      <c r="A232" s="412"/>
      <c r="B232" s="412"/>
      <c r="C232" s="396"/>
      <c r="D232" s="413"/>
      <c r="E232" s="343"/>
      <c r="F232" s="343"/>
    </row>
    <row r="233">
      <c r="A233" s="412"/>
      <c r="B233" s="412"/>
      <c r="C233" s="396"/>
      <c r="D233" s="413"/>
      <c r="E233" s="343"/>
      <c r="F233" s="343"/>
    </row>
    <row r="234">
      <c r="A234" s="412"/>
      <c r="B234" s="412"/>
      <c r="C234" s="396"/>
      <c r="D234" s="413"/>
      <c r="E234" s="343"/>
      <c r="F234" s="343"/>
    </row>
    <row r="235">
      <c r="A235" s="412"/>
      <c r="B235" s="412"/>
      <c r="C235" s="396"/>
      <c r="D235" s="413"/>
      <c r="E235" s="343"/>
      <c r="F235" s="343"/>
    </row>
    <row r="236">
      <c r="A236" s="412"/>
      <c r="B236" s="412"/>
      <c r="C236" s="396"/>
      <c r="D236" s="413"/>
      <c r="E236" s="343"/>
      <c r="F236" s="343"/>
    </row>
    <row r="237">
      <c r="A237" s="412"/>
      <c r="B237" s="412"/>
      <c r="C237" s="396"/>
      <c r="D237" s="413"/>
      <c r="E237" s="343"/>
      <c r="F237" s="343"/>
    </row>
    <row r="238">
      <c r="A238" s="412"/>
      <c r="B238" s="412"/>
      <c r="C238" s="396"/>
      <c r="D238" s="413"/>
      <c r="E238" s="343"/>
      <c r="F238" s="343"/>
    </row>
    <row r="239">
      <c r="A239" s="412"/>
      <c r="B239" s="412"/>
      <c r="C239" s="396"/>
      <c r="D239" s="413"/>
      <c r="E239" s="343"/>
      <c r="F239" s="343"/>
    </row>
    <row r="240">
      <c r="A240" s="412"/>
      <c r="B240" s="412"/>
      <c r="C240" s="396"/>
      <c r="D240" s="413"/>
      <c r="E240" s="343"/>
      <c r="F240" s="343"/>
    </row>
    <row r="241">
      <c r="A241" s="412"/>
      <c r="B241" s="412"/>
      <c r="C241" s="396"/>
      <c r="D241" s="413"/>
      <c r="E241" s="343"/>
      <c r="F241" s="343"/>
    </row>
    <row r="242">
      <c r="A242" s="412"/>
      <c r="B242" s="412"/>
      <c r="C242" s="396"/>
      <c r="D242" s="413"/>
      <c r="E242" s="343"/>
      <c r="F242" s="343"/>
    </row>
    <row r="243">
      <c r="A243" s="412"/>
      <c r="B243" s="412"/>
      <c r="C243" s="396"/>
      <c r="D243" s="413"/>
      <c r="E243" s="343"/>
      <c r="F243" s="343"/>
    </row>
    <row r="244">
      <c r="A244" s="412"/>
      <c r="B244" s="412"/>
      <c r="C244" s="396"/>
      <c r="D244" s="413"/>
      <c r="E244" s="343"/>
      <c r="F244" s="343"/>
    </row>
    <row r="245">
      <c r="A245" s="412"/>
      <c r="B245" s="412"/>
      <c r="C245" s="396"/>
      <c r="D245" s="413"/>
      <c r="E245" s="343"/>
      <c r="F245" s="343"/>
    </row>
    <row r="246">
      <c r="A246" s="412"/>
      <c r="B246" s="412"/>
      <c r="C246" s="396"/>
      <c r="D246" s="413"/>
      <c r="E246" s="343"/>
      <c r="F246" s="343"/>
    </row>
    <row r="247">
      <c r="A247" s="412"/>
      <c r="B247" s="412"/>
      <c r="C247" s="396"/>
      <c r="D247" s="413"/>
      <c r="E247" s="343"/>
      <c r="F247" s="343"/>
    </row>
    <row r="248">
      <c r="A248" s="412"/>
      <c r="B248" s="412"/>
      <c r="C248" s="396"/>
      <c r="D248" s="413"/>
      <c r="E248" s="343"/>
      <c r="F248" s="343"/>
    </row>
    <row r="249">
      <c r="A249" s="412"/>
      <c r="B249" s="412"/>
      <c r="C249" s="396"/>
      <c r="D249" s="413"/>
      <c r="E249" s="343"/>
      <c r="F249" s="343"/>
    </row>
    <row r="250">
      <c r="A250" s="412"/>
      <c r="B250" s="412"/>
      <c r="C250" s="396"/>
      <c r="D250" s="413"/>
      <c r="E250" s="343"/>
      <c r="F250" s="343"/>
    </row>
    <row r="251">
      <c r="A251" s="412"/>
      <c r="B251" s="412"/>
      <c r="C251" s="396"/>
      <c r="D251" s="413"/>
      <c r="E251" s="343"/>
      <c r="F251" s="343"/>
    </row>
    <row r="252">
      <c r="A252" s="412"/>
      <c r="B252" s="412"/>
      <c r="C252" s="396"/>
      <c r="D252" s="413"/>
      <c r="E252" s="343"/>
      <c r="F252" s="343"/>
    </row>
    <row r="253">
      <c r="A253" s="412"/>
      <c r="B253" s="412"/>
      <c r="C253" s="396"/>
      <c r="D253" s="413"/>
      <c r="E253" s="343"/>
      <c r="F253" s="343"/>
    </row>
    <row r="254">
      <c r="A254" s="412"/>
      <c r="B254" s="412"/>
      <c r="C254" s="396"/>
      <c r="D254" s="413"/>
      <c r="E254" s="343"/>
      <c r="F254" s="343"/>
    </row>
    <row r="255">
      <c r="A255" s="412"/>
      <c r="B255" s="412"/>
      <c r="C255" s="396"/>
      <c r="D255" s="413"/>
      <c r="E255" s="343"/>
      <c r="F255" s="343"/>
    </row>
    <row r="256">
      <c r="A256" s="412"/>
      <c r="B256" s="412"/>
      <c r="C256" s="396"/>
      <c r="D256" s="413"/>
      <c r="E256" s="343"/>
      <c r="F256" s="343"/>
    </row>
    <row r="257">
      <c r="A257" s="412"/>
      <c r="B257" s="412"/>
      <c r="C257" s="396"/>
      <c r="D257" s="413"/>
      <c r="E257" s="343"/>
      <c r="F257" s="343"/>
    </row>
    <row r="258">
      <c r="A258" s="412"/>
      <c r="B258" s="412"/>
      <c r="C258" s="396"/>
      <c r="D258" s="413"/>
      <c r="E258" s="343"/>
      <c r="F258" s="343"/>
    </row>
    <row r="259">
      <c r="A259" s="412"/>
      <c r="B259" s="412"/>
      <c r="C259" s="396"/>
      <c r="D259" s="413"/>
      <c r="E259" s="343"/>
      <c r="F259" s="343"/>
    </row>
    <row r="260">
      <c r="A260" s="412"/>
      <c r="B260" s="412"/>
      <c r="C260" s="396"/>
      <c r="D260" s="413"/>
      <c r="E260" s="343"/>
      <c r="F260" s="343"/>
    </row>
    <row r="261">
      <c r="A261" s="412"/>
      <c r="B261" s="412"/>
      <c r="C261" s="396"/>
      <c r="D261" s="413"/>
      <c r="E261" s="343"/>
      <c r="F261" s="343"/>
    </row>
    <row r="262">
      <c r="A262" s="412"/>
      <c r="B262" s="412"/>
      <c r="C262" s="396"/>
      <c r="D262" s="413"/>
      <c r="E262" s="343"/>
      <c r="F262" s="343"/>
    </row>
    <row r="263">
      <c r="A263" s="412"/>
      <c r="B263" s="412"/>
      <c r="C263" s="396"/>
      <c r="D263" s="413"/>
      <c r="E263" s="343"/>
      <c r="F263" s="343"/>
    </row>
    <row r="264">
      <c r="A264" s="412"/>
      <c r="B264" s="412"/>
      <c r="C264" s="396"/>
      <c r="D264" s="413"/>
      <c r="E264" s="343"/>
      <c r="F264" s="343"/>
    </row>
    <row r="265">
      <c r="A265" s="412"/>
      <c r="B265" s="412"/>
      <c r="C265" s="396"/>
      <c r="D265" s="413"/>
      <c r="E265" s="343"/>
      <c r="F265" s="343"/>
    </row>
    <row r="266">
      <c r="A266" s="412"/>
      <c r="B266" s="412"/>
      <c r="C266" s="396"/>
      <c r="D266" s="413"/>
      <c r="E266" s="343"/>
      <c r="F266" s="343"/>
    </row>
    <row r="267">
      <c r="A267" s="412"/>
      <c r="B267" s="412"/>
      <c r="C267" s="396"/>
      <c r="D267" s="413"/>
      <c r="E267" s="343"/>
      <c r="F267" s="343"/>
    </row>
    <row r="268">
      <c r="A268" s="412"/>
      <c r="B268" s="412"/>
      <c r="C268" s="396"/>
      <c r="D268" s="413"/>
      <c r="E268" s="343"/>
      <c r="F268" s="343"/>
    </row>
    <row r="269">
      <c r="A269" s="412"/>
      <c r="B269" s="412"/>
      <c r="C269" s="396"/>
      <c r="D269" s="413"/>
      <c r="E269" s="343"/>
      <c r="F269" s="343"/>
    </row>
    <row r="270">
      <c r="A270" s="412"/>
      <c r="B270" s="412"/>
      <c r="C270" s="396"/>
      <c r="D270" s="413"/>
      <c r="E270" s="343"/>
      <c r="F270" s="343"/>
    </row>
    <row r="271">
      <c r="A271" s="412"/>
      <c r="B271" s="412"/>
      <c r="C271" s="396"/>
      <c r="D271" s="413"/>
      <c r="E271" s="343"/>
      <c r="F271" s="343"/>
    </row>
    <row r="272">
      <c r="A272" s="412"/>
      <c r="B272" s="412"/>
      <c r="C272" s="396"/>
      <c r="D272" s="413"/>
      <c r="E272" s="343"/>
      <c r="F272" s="343"/>
    </row>
    <row r="273">
      <c r="A273" s="412"/>
      <c r="B273" s="412"/>
      <c r="C273" s="396"/>
      <c r="D273" s="413"/>
      <c r="E273" s="343"/>
      <c r="F273" s="343"/>
    </row>
    <row r="274">
      <c r="A274" s="412"/>
      <c r="B274" s="412"/>
      <c r="C274" s="396"/>
      <c r="D274" s="413"/>
      <c r="E274" s="343"/>
      <c r="F274" s="343"/>
    </row>
    <row r="275">
      <c r="A275" s="412"/>
      <c r="B275" s="412"/>
      <c r="C275" s="396"/>
      <c r="D275" s="413"/>
      <c r="E275" s="343"/>
      <c r="F275" s="343"/>
    </row>
    <row r="276">
      <c r="A276" s="412"/>
      <c r="B276" s="412"/>
      <c r="C276" s="396"/>
      <c r="D276" s="413"/>
      <c r="E276" s="343"/>
      <c r="F276" s="343"/>
    </row>
    <row r="277">
      <c r="A277" s="412"/>
      <c r="B277" s="412"/>
      <c r="C277" s="396"/>
      <c r="D277" s="413"/>
      <c r="E277" s="343"/>
      <c r="F277" s="343"/>
    </row>
    <row r="278">
      <c r="A278" s="412"/>
      <c r="B278" s="412"/>
      <c r="C278" s="396"/>
      <c r="D278" s="413"/>
      <c r="E278" s="343"/>
      <c r="F278" s="343"/>
    </row>
    <row r="279">
      <c r="A279" s="412"/>
      <c r="B279" s="412"/>
      <c r="C279" s="396"/>
      <c r="D279" s="413"/>
      <c r="E279" s="343"/>
      <c r="F279" s="343"/>
    </row>
    <row r="280">
      <c r="A280" s="412"/>
      <c r="B280" s="412"/>
      <c r="C280" s="396"/>
      <c r="D280" s="413"/>
      <c r="E280" s="343"/>
      <c r="F280" s="343"/>
    </row>
    <row r="281">
      <c r="A281" s="412"/>
      <c r="B281" s="412"/>
      <c r="C281" s="396"/>
      <c r="D281" s="413"/>
      <c r="E281" s="343"/>
      <c r="F281" s="343"/>
    </row>
    <row r="282">
      <c r="A282" s="412"/>
      <c r="B282" s="412"/>
      <c r="C282" s="396"/>
      <c r="D282" s="413"/>
      <c r="E282" s="343"/>
      <c r="F282" s="343"/>
    </row>
    <row r="283">
      <c r="A283" s="412"/>
      <c r="B283" s="412"/>
      <c r="C283" s="396"/>
      <c r="D283" s="413"/>
      <c r="E283" s="343"/>
      <c r="F283" s="343"/>
    </row>
    <row r="284">
      <c r="A284" s="412"/>
      <c r="B284" s="412"/>
      <c r="C284" s="396"/>
      <c r="D284" s="413"/>
      <c r="E284" s="343"/>
      <c r="F284" s="343"/>
    </row>
    <row r="285">
      <c r="A285" s="412"/>
      <c r="B285" s="412"/>
      <c r="C285" s="396"/>
      <c r="D285" s="413"/>
      <c r="E285" s="343"/>
      <c r="F285" s="343"/>
    </row>
    <row r="286">
      <c r="A286" s="412"/>
      <c r="B286" s="412"/>
      <c r="C286" s="396"/>
      <c r="D286" s="413"/>
      <c r="E286" s="343"/>
      <c r="F286" s="343"/>
    </row>
    <row r="287">
      <c r="A287" s="412"/>
      <c r="B287" s="412"/>
      <c r="C287" s="396"/>
      <c r="D287" s="413"/>
      <c r="E287" s="343"/>
      <c r="F287" s="343"/>
    </row>
    <row r="288">
      <c r="A288" s="412"/>
      <c r="B288" s="412"/>
      <c r="C288" s="396"/>
      <c r="D288" s="413"/>
      <c r="E288" s="343"/>
      <c r="F288" s="343"/>
    </row>
    <row r="289">
      <c r="A289" s="412"/>
      <c r="B289" s="412"/>
      <c r="C289" s="396"/>
      <c r="D289" s="413"/>
      <c r="E289" s="343"/>
      <c r="F289" s="343"/>
    </row>
    <row r="290">
      <c r="A290" s="412"/>
      <c r="B290" s="412"/>
      <c r="C290" s="396"/>
      <c r="D290" s="413"/>
      <c r="E290" s="343"/>
      <c r="F290" s="343"/>
    </row>
    <row r="291">
      <c r="A291" s="412"/>
      <c r="B291" s="412"/>
      <c r="C291" s="396"/>
      <c r="D291" s="413"/>
      <c r="E291" s="343"/>
      <c r="F291" s="343"/>
    </row>
    <row r="292">
      <c r="A292" s="412"/>
      <c r="B292" s="412"/>
      <c r="C292" s="396"/>
      <c r="D292" s="413"/>
      <c r="E292" s="343"/>
      <c r="F292" s="343"/>
    </row>
    <row r="293">
      <c r="A293" s="412"/>
      <c r="B293" s="412"/>
      <c r="C293" s="396"/>
      <c r="D293" s="413"/>
      <c r="E293" s="343"/>
      <c r="F293" s="343"/>
    </row>
    <row r="294">
      <c r="A294" s="412"/>
      <c r="B294" s="412"/>
      <c r="C294" s="396"/>
      <c r="D294" s="413"/>
      <c r="E294" s="343"/>
      <c r="F294" s="343"/>
    </row>
    <row r="295">
      <c r="A295" s="412"/>
      <c r="B295" s="412"/>
      <c r="C295" s="396"/>
      <c r="D295" s="413"/>
      <c r="E295" s="343"/>
      <c r="F295" s="343"/>
    </row>
    <row r="296">
      <c r="A296" s="412"/>
      <c r="B296" s="412"/>
      <c r="C296" s="396"/>
      <c r="D296" s="413"/>
      <c r="E296" s="343"/>
      <c r="F296" s="343"/>
    </row>
    <row r="297">
      <c r="A297" s="412"/>
      <c r="B297" s="412"/>
      <c r="C297" s="396"/>
      <c r="D297" s="413"/>
      <c r="E297" s="343"/>
      <c r="F297" s="343"/>
    </row>
    <row r="298">
      <c r="A298" s="412"/>
      <c r="B298" s="412"/>
      <c r="C298" s="396"/>
      <c r="D298" s="413"/>
      <c r="E298" s="343"/>
      <c r="F298" s="343"/>
    </row>
    <row r="299">
      <c r="A299" s="412"/>
      <c r="B299" s="412"/>
      <c r="C299" s="396"/>
      <c r="D299" s="413"/>
      <c r="E299" s="343"/>
      <c r="F299" s="343"/>
    </row>
    <row r="300">
      <c r="A300" s="412"/>
      <c r="B300" s="412"/>
      <c r="C300" s="396"/>
      <c r="D300" s="413"/>
      <c r="E300" s="343"/>
      <c r="F300" s="343"/>
    </row>
    <row r="301">
      <c r="A301" s="412"/>
      <c r="B301" s="412"/>
      <c r="C301" s="396"/>
      <c r="D301" s="413"/>
      <c r="E301" s="343"/>
      <c r="F301" s="343"/>
    </row>
    <row r="302">
      <c r="A302" s="412"/>
      <c r="B302" s="412"/>
      <c r="C302" s="396"/>
      <c r="D302" s="413"/>
      <c r="E302" s="343"/>
      <c r="F302" s="343"/>
    </row>
    <row r="303">
      <c r="A303" s="412"/>
      <c r="B303" s="412"/>
      <c r="C303" s="396"/>
      <c r="D303" s="413"/>
      <c r="E303" s="343"/>
      <c r="F303" s="343"/>
    </row>
    <row r="304">
      <c r="A304" s="412"/>
      <c r="B304" s="412"/>
      <c r="C304" s="396"/>
      <c r="D304" s="413"/>
      <c r="E304" s="343"/>
      <c r="F304" s="343"/>
    </row>
    <row r="305">
      <c r="A305" s="412"/>
      <c r="B305" s="412"/>
      <c r="C305" s="396"/>
      <c r="D305" s="413"/>
      <c r="E305" s="343"/>
      <c r="F305" s="343"/>
    </row>
    <row r="306">
      <c r="A306" s="412"/>
      <c r="B306" s="412"/>
      <c r="C306" s="396"/>
      <c r="D306" s="413"/>
      <c r="E306" s="343"/>
      <c r="F306" s="343"/>
    </row>
    <row r="307">
      <c r="A307" s="412"/>
      <c r="B307" s="412"/>
      <c r="C307" s="396"/>
      <c r="D307" s="413"/>
      <c r="E307" s="343"/>
      <c r="F307" s="343"/>
    </row>
    <row r="308">
      <c r="A308" s="412"/>
      <c r="B308" s="412"/>
      <c r="C308" s="396"/>
      <c r="D308" s="413"/>
      <c r="E308" s="343"/>
      <c r="F308" s="343"/>
    </row>
    <row r="309">
      <c r="A309" s="412"/>
      <c r="B309" s="412"/>
      <c r="C309" s="396"/>
      <c r="D309" s="413"/>
      <c r="E309" s="343"/>
      <c r="F309" s="343"/>
    </row>
    <row r="310">
      <c r="A310" s="412"/>
      <c r="B310" s="412"/>
      <c r="C310" s="396"/>
      <c r="D310" s="413"/>
      <c r="E310" s="343"/>
      <c r="F310" s="343"/>
    </row>
    <row r="311">
      <c r="A311" s="412"/>
      <c r="B311" s="412"/>
      <c r="C311" s="396"/>
      <c r="D311" s="413"/>
      <c r="E311" s="343"/>
      <c r="F311" s="343"/>
    </row>
    <row r="312">
      <c r="A312" s="412"/>
      <c r="B312" s="412"/>
      <c r="C312" s="396"/>
      <c r="D312" s="413"/>
      <c r="E312" s="343"/>
      <c r="F312" s="343"/>
    </row>
    <row r="313">
      <c r="A313" s="412"/>
      <c r="B313" s="412"/>
      <c r="C313" s="396"/>
      <c r="D313" s="413"/>
      <c r="E313" s="343"/>
      <c r="F313" s="343"/>
    </row>
    <row r="314">
      <c r="A314" s="412"/>
      <c r="B314" s="412"/>
      <c r="C314" s="396"/>
      <c r="D314" s="413"/>
      <c r="E314" s="343"/>
      <c r="F314" s="343"/>
    </row>
    <row r="315">
      <c r="A315" s="412"/>
      <c r="B315" s="412"/>
      <c r="C315" s="396"/>
      <c r="D315" s="413"/>
      <c r="E315" s="343"/>
      <c r="F315" s="343"/>
    </row>
    <row r="316">
      <c r="A316" s="412"/>
      <c r="B316" s="412"/>
      <c r="C316" s="396"/>
      <c r="D316" s="413"/>
      <c r="E316" s="343"/>
      <c r="F316" s="343"/>
    </row>
    <row r="317">
      <c r="A317" s="412"/>
      <c r="B317" s="412"/>
      <c r="C317" s="396"/>
      <c r="D317" s="413"/>
      <c r="E317" s="343"/>
      <c r="F317" s="343"/>
    </row>
    <row r="318">
      <c r="A318" s="412"/>
      <c r="B318" s="412"/>
      <c r="C318" s="396"/>
      <c r="D318" s="413"/>
      <c r="E318" s="343"/>
      <c r="F318" s="343"/>
    </row>
    <row r="319">
      <c r="A319" s="412"/>
      <c r="B319" s="412"/>
      <c r="C319" s="396"/>
      <c r="D319" s="413"/>
      <c r="E319" s="343"/>
      <c r="F319" s="343"/>
    </row>
    <row r="320">
      <c r="A320" s="412"/>
      <c r="B320" s="412"/>
      <c r="C320" s="396"/>
      <c r="D320" s="413"/>
      <c r="E320" s="343"/>
      <c r="F320" s="343"/>
    </row>
    <row r="321">
      <c r="A321" s="412"/>
      <c r="B321" s="412"/>
      <c r="C321" s="396"/>
      <c r="D321" s="413"/>
      <c r="E321" s="343"/>
      <c r="F321" s="343"/>
    </row>
    <row r="322">
      <c r="A322" s="412"/>
      <c r="B322" s="412"/>
      <c r="C322" s="396"/>
      <c r="D322" s="413"/>
      <c r="E322" s="343"/>
      <c r="F322" s="343"/>
    </row>
    <row r="323">
      <c r="A323" s="412"/>
      <c r="B323" s="412"/>
      <c r="C323" s="396"/>
      <c r="D323" s="413"/>
      <c r="E323" s="343"/>
      <c r="F323" s="343"/>
    </row>
    <row r="324">
      <c r="A324" s="412"/>
      <c r="B324" s="412"/>
      <c r="C324" s="396"/>
      <c r="D324" s="413"/>
      <c r="E324" s="343"/>
      <c r="F324" s="343"/>
    </row>
    <row r="325">
      <c r="A325" s="412"/>
      <c r="B325" s="412"/>
      <c r="C325" s="396"/>
      <c r="D325" s="413"/>
      <c r="E325" s="343"/>
      <c r="F325" s="343"/>
    </row>
    <row r="326">
      <c r="A326" s="412"/>
      <c r="B326" s="412"/>
      <c r="C326" s="396"/>
      <c r="D326" s="413"/>
      <c r="E326" s="343"/>
      <c r="F326" s="343"/>
    </row>
    <row r="327">
      <c r="A327" s="412"/>
      <c r="B327" s="412"/>
      <c r="C327" s="396"/>
      <c r="D327" s="413"/>
      <c r="E327" s="343"/>
      <c r="F327" s="343"/>
    </row>
    <row r="328">
      <c r="A328" s="412"/>
      <c r="B328" s="412"/>
      <c r="C328" s="396"/>
      <c r="D328" s="413"/>
      <c r="E328" s="343"/>
      <c r="F328" s="343"/>
    </row>
    <row r="329">
      <c r="A329" s="412"/>
      <c r="B329" s="412"/>
      <c r="C329" s="396"/>
      <c r="D329" s="413"/>
      <c r="E329" s="343"/>
      <c r="F329" s="343"/>
    </row>
    <row r="330">
      <c r="A330" s="412"/>
      <c r="B330" s="412"/>
      <c r="C330" s="396"/>
      <c r="D330" s="413"/>
      <c r="E330" s="343"/>
      <c r="F330" s="343"/>
    </row>
    <row r="331">
      <c r="A331" s="412"/>
      <c r="B331" s="412"/>
      <c r="C331" s="396"/>
      <c r="D331" s="413"/>
      <c r="E331" s="343"/>
      <c r="F331" s="343"/>
    </row>
    <row r="332">
      <c r="A332" s="412"/>
      <c r="B332" s="412"/>
      <c r="C332" s="396"/>
      <c r="D332" s="413"/>
      <c r="E332" s="343"/>
      <c r="F332" s="343"/>
    </row>
    <row r="333">
      <c r="A333" s="412"/>
      <c r="B333" s="412"/>
      <c r="C333" s="396"/>
      <c r="D333" s="413"/>
      <c r="E333" s="343"/>
      <c r="F333" s="343"/>
    </row>
    <row r="334">
      <c r="A334" s="412"/>
      <c r="B334" s="412"/>
      <c r="C334" s="396"/>
      <c r="D334" s="413"/>
      <c r="E334" s="343"/>
      <c r="F334" s="343"/>
    </row>
    <row r="335">
      <c r="A335" s="412"/>
      <c r="B335" s="412"/>
      <c r="C335" s="396"/>
      <c r="D335" s="413"/>
      <c r="E335" s="343"/>
      <c r="F335" s="343"/>
    </row>
    <row r="336">
      <c r="A336" s="412"/>
      <c r="B336" s="412"/>
      <c r="C336" s="396"/>
      <c r="D336" s="413"/>
      <c r="E336" s="343"/>
      <c r="F336" s="343"/>
    </row>
    <row r="337">
      <c r="A337" s="412"/>
      <c r="B337" s="412"/>
      <c r="C337" s="396"/>
      <c r="D337" s="413"/>
      <c r="E337" s="343"/>
      <c r="F337" s="343"/>
    </row>
    <row r="338">
      <c r="A338" s="412"/>
      <c r="B338" s="412"/>
      <c r="C338" s="396"/>
      <c r="D338" s="413"/>
      <c r="E338" s="343"/>
      <c r="F338" s="343"/>
    </row>
    <row r="339">
      <c r="A339" s="412"/>
      <c r="B339" s="412"/>
      <c r="C339" s="396"/>
      <c r="D339" s="413"/>
      <c r="E339" s="343"/>
      <c r="F339" s="343"/>
    </row>
    <row r="340">
      <c r="A340" s="412"/>
      <c r="B340" s="412"/>
      <c r="C340" s="396"/>
      <c r="D340" s="413"/>
      <c r="E340" s="343"/>
      <c r="F340" s="343"/>
    </row>
    <row r="341">
      <c r="A341" s="412"/>
      <c r="B341" s="412"/>
      <c r="C341" s="396"/>
      <c r="D341" s="413"/>
      <c r="E341" s="343"/>
      <c r="F341" s="343"/>
    </row>
    <row r="342">
      <c r="A342" s="412"/>
      <c r="B342" s="412"/>
      <c r="C342" s="396"/>
      <c r="D342" s="413"/>
      <c r="E342" s="343"/>
      <c r="F342" s="343"/>
    </row>
    <row r="343">
      <c r="A343" s="412"/>
      <c r="B343" s="412"/>
      <c r="C343" s="396"/>
      <c r="D343" s="413"/>
      <c r="E343" s="343"/>
      <c r="F343" s="343"/>
    </row>
    <row r="344">
      <c r="A344" s="412"/>
      <c r="B344" s="412"/>
      <c r="C344" s="396"/>
      <c r="D344" s="413"/>
      <c r="E344" s="343"/>
      <c r="F344" s="343"/>
    </row>
    <row r="345">
      <c r="A345" s="412"/>
      <c r="B345" s="412"/>
      <c r="C345" s="396"/>
      <c r="D345" s="413"/>
      <c r="E345" s="343"/>
      <c r="F345" s="343"/>
    </row>
    <row r="346">
      <c r="A346" s="412"/>
      <c r="B346" s="412"/>
      <c r="C346" s="396"/>
      <c r="D346" s="413"/>
      <c r="E346" s="343"/>
      <c r="F346" s="343"/>
    </row>
    <row r="347">
      <c r="A347" s="412"/>
      <c r="B347" s="412"/>
      <c r="C347" s="396"/>
      <c r="D347" s="413"/>
      <c r="E347" s="343"/>
      <c r="F347" s="343"/>
    </row>
    <row r="348">
      <c r="A348" s="412"/>
      <c r="B348" s="412"/>
      <c r="C348" s="396"/>
      <c r="D348" s="413"/>
      <c r="E348" s="343"/>
      <c r="F348" s="343"/>
    </row>
    <row r="349">
      <c r="A349" s="412"/>
      <c r="B349" s="412"/>
      <c r="C349" s="396"/>
      <c r="D349" s="413"/>
      <c r="E349" s="343"/>
      <c r="F349" s="343"/>
    </row>
    <row r="350">
      <c r="A350" s="412"/>
      <c r="B350" s="412"/>
      <c r="C350" s="396"/>
      <c r="D350" s="413"/>
      <c r="E350" s="343"/>
      <c r="F350" s="343"/>
    </row>
    <row r="351">
      <c r="A351" s="412"/>
      <c r="B351" s="412"/>
      <c r="C351" s="396"/>
      <c r="D351" s="413"/>
      <c r="E351" s="343"/>
      <c r="F351" s="343"/>
    </row>
    <row r="352">
      <c r="A352" s="412"/>
      <c r="B352" s="412"/>
      <c r="C352" s="396"/>
      <c r="D352" s="413"/>
      <c r="E352" s="343"/>
      <c r="F352" s="343"/>
    </row>
    <row r="353">
      <c r="A353" s="412"/>
      <c r="B353" s="412"/>
      <c r="C353" s="396"/>
      <c r="D353" s="413"/>
      <c r="E353" s="343"/>
      <c r="F353" s="343"/>
    </row>
    <row r="354">
      <c r="A354" s="412"/>
      <c r="B354" s="412"/>
      <c r="C354" s="396"/>
      <c r="D354" s="413"/>
      <c r="E354" s="343"/>
      <c r="F354" s="343"/>
    </row>
    <row r="355">
      <c r="A355" s="412"/>
      <c r="B355" s="412"/>
      <c r="C355" s="396"/>
      <c r="D355" s="413"/>
      <c r="E355" s="343"/>
      <c r="F355" s="343"/>
    </row>
    <row r="356">
      <c r="A356" s="412"/>
      <c r="B356" s="412"/>
      <c r="C356" s="396"/>
      <c r="D356" s="413"/>
      <c r="E356" s="343"/>
      <c r="F356" s="343"/>
    </row>
    <row r="357">
      <c r="A357" s="412"/>
      <c r="B357" s="412"/>
      <c r="C357" s="396"/>
      <c r="D357" s="413"/>
      <c r="E357" s="343"/>
      <c r="F357" s="343"/>
    </row>
    <row r="358">
      <c r="A358" s="412"/>
      <c r="B358" s="412"/>
      <c r="C358" s="396"/>
      <c r="D358" s="413"/>
      <c r="E358" s="343"/>
      <c r="F358" s="343"/>
    </row>
    <row r="359">
      <c r="A359" s="412"/>
      <c r="B359" s="412"/>
      <c r="C359" s="396"/>
      <c r="D359" s="413"/>
      <c r="E359" s="343"/>
      <c r="F359" s="343"/>
    </row>
    <row r="360">
      <c r="A360" s="412"/>
      <c r="B360" s="412"/>
      <c r="C360" s="396"/>
      <c r="D360" s="413"/>
      <c r="E360" s="343"/>
      <c r="F360" s="343"/>
    </row>
    <row r="361">
      <c r="A361" s="412"/>
      <c r="B361" s="412"/>
      <c r="C361" s="396"/>
      <c r="D361" s="413"/>
      <c r="E361" s="343"/>
      <c r="F361" s="343"/>
    </row>
    <row r="362">
      <c r="A362" s="412"/>
      <c r="B362" s="412"/>
      <c r="C362" s="396"/>
      <c r="D362" s="413"/>
      <c r="E362" s="343"/>
      <c r="F362" s="343"/>
    </row>
    <row r="363">
      <c r="A363" s="412"/>
      <c r="B363" s="412"/>
      <c r="C363" s="396"/>
      <c r="D363" s="413"/>
      <c r="E363" s="343"/>
      <c r="F363" s="343"/>
    </row>
    <row r="364">
      <c r="A364" s="412"/>
      <c r="B364" s="412"/>
      <c r="C364" s="396"/>
      <c r="D364" s="413"/>
      <c r="E364" s="343"/>
      <c r="F364" s="343"/>
    </row>
    <row r="365">
      <c r="A365" s="412"/>
      <c r="B365" s="412"/>
      <c r="C365" s="396"/>
      <c r="D365" s="413"/>
      <c r="E365" s="343"/>
      <c r="F365" s="343"/>
    </row>
    <row r="366">
      <c r="A366" s="412"/>
      <c r="B366" s="412"/>
      <c r="C366" s="396"/>
      <c r="D366" s="413"/>
      <c r="E366" s="343"/>
      <c r="F366" s="343"/>
    </row>
    <row r="367">
      <c r="A367" s="412"/>
      <c r="B367" s="412"/>
      <c r="C367" s="396"/>
      <c r="D367" s="413"/>
      <c r="E367" s="343"/>
      <c r="F367" s="343"/>
    </row>
    <row r="368">
      <c r="A368" s="412"/>
      <c r="B368" s="412"/>
      <c r="C368" s="396"/>
      <c r="D368" s="413"/>
      <c r="E368" s="343"/>
      <c r="F368" s="343"/>
    </row>
    <row r="369">
      <c r="A369" s="412"/>
      <c r="B369" s="412"/>
      <c r="C369" s="396"/>
      <c r="D369" s="413"/>
      <c r="E369" s="343"/>
      <c r="F369" s="343"/>
    </row>
    <row r="370">
      <c r="A370" s="412"/>
      <c r="B370" s="412"/>
      <c r="C370" s="396"/>
      <c r="D370" s="413"/>
      <c r="E370" s="343"/>
      <c r="F370" s="343"/>
    </row>
    <row r="371">
      <c r="A371" s="412"/>
      <c r="B371" s="412"/>
      <c r="C371" s="396"/>
      <c r="D371" s="413"/>
      <c r="E371" s="343"/>
      <c r="F371" s="343"/>
    </row>
    <row r="372">
      <c r="A372" s="412"/>
      <c r="B372" s="412"/>
      <c r="C372" s="396"/>
      <c r="D372" s="413"/>
      <c r="E372" s="343"/>
      <c r="F372" s="343"/>
    </row>
    <row r="373">
      <c r="A373" s="412"/>
      <c r="B373" s="412"/>
      <c r="C373" s="396"/>
      <c r="D373" s="413"/>
      <c r="E373" s="343"/>
      <c r="F373" s="343"/>
    </row>
    <row r="374">
      <c r="A374" s="412"/>
      <c r="B374" s="412"/>
      <c r="C374" s="396"/>
      <c r="D374" s="413"/>
      <c r="E374" s="343"/>
      <c r="F374" s="343"/>
    </row>
    <row r="375">
      <c r="A375" s="412"/>
      <c r="B375" s="412"/>
      <c r="C375" s="396"/>
      <c r="D375" s="413"/>
      <c r="E375" s="343"/>
      <c r="F375" s="343"/>
    </row>
    <row r="376">
      <c r="A376" s="412"/>
      <c r="B376" s="412"/>
      <c r="C376" s="396"/>
      <c r="D376" s="413"/>
      <c r="E376" s="343"/>
      <c r="F376" s="343"/>
    </row>
    <row r="377">
      <c r="A377" s="412"/>
      <c r="B377" s="412"/>
      <c r="C377" s="396"/>
      <c r="D377" s="413"/>
      <c r="E377" s="343"/>
      <c r="F377" s="343"/>
    </row>
    <row r="378">
      <c r="A378" s="412"/>
      <c r="B378" s="412"/>
      <c r="C378" s="396"/>
      <c r="D378" s="413"/>
      <c r="E378" s="343"/>
      <c r="F378" s="343"/>
    </row>
    <row r="379">
      <c r="A379" s="412"/>
      <c r="B379" s="412"/>
      <c r="C379" s="396"/>
      <c r="D379" s="413"/>
      <c r="E379" s="343"/>
      <c r="F379" s="343"/>
    </row>
    <row r="380">
      <c r="A380" s="412"/>
      <c r="B380" s="412"/>
      <c r="C380" s="396"/>
      <c r="D380" s="413"/>
      <c r="E380" s="343"/>
      <c r="F380" s="343"/>
    </row>
    <row r="381">
      <c r="A381" s="412"/>
      <c r="B381" s="412"/>
      <c r="C381" s="396"/>
      <c r="D381" s="413"/>
      <c r="E381" s="343"/>
      <c r="F381" s="343"/>
    </row>
    <row r="382">
      <c r="A382" s="412"/>
      <c r="B382" s="412"/>
      <c r="C382" s="396"/>
      <c r="D382" s="413"/>
      <c r="E382" s="343"/>
      <c r="F382" s="343"/>
    </row>
    <row r="383">
      <c r="A383" s="412"/>
      <c r="B383" s="412"/>
      <c r="C383" s="396"/>
      <c r="D383" s="413"/>
      <c r="E383" s="343"/>
      <c r="F383" s="343"/>
    </row>
    <row r="384">
      <c r="A384" s="412"/>
      <c r="B384" s="412"/>
      <c r="C384" s="396"/>
      <c r="D384" s="413"/>
      <c r="E384" s="343"/>
      <c r="F384" s="343"/>
    </row>
    <row r="385">
      <c r="A385" s="412"/>
      <c r="B385" s="412"/>
      <c r="C385" s="396"/>
      <c r="D385" s="413"/>
      <c r="E385" s="343"/>
      <c r="F385" s="343"/>
    </row>
    <row r="386">
      <c r="A386" s="412"/>
      <c r="B386" s="412"/>
      <c r="C386" s="396"/>
      <c r="D386" s="413"/>
      <c r="E386" s="343"/>
      <c r="F386" s="343"/>
    </row>
    <row r="387">
      <c r="A387" s="412"/>
      <c r="B387" s="412"/>
      <c r="C387" s="396"/>
      <c r="D387" s="413"/>
      <c r="E387" s="343"/>
      <c r="F387" s="343"/>
    </row>
    <row r="388">
      <c r="A388" s="412"/>
      <c r="B388" s="412"/>
      <c r="C388" s="396"/>
      <c r="D388" s="413"/>
      <c r="E388" s="343"/>
      <c r="F388" s="343"/>
    </row>
    <row r="389">
      <c r="A389" s="412"/>
      <c r="B389" s="412"/>
      <c r="C389" s="396"/>
      <c r="D389" s="413"/>
      <c r="E389" s="343"/>
      <c r="F389" s="343"/>
    </row>
    <row r="390">
      <c r="A390" s="412"/>
      <c r="B390" s="412"/>
      <c r="C390" s="396"/>
      <c r="D390" s="413"/>
      <c r="E390" s="343"/>
      <c r="F390" s="343"/>
    </row>
    <row r="391">
      <c r="A391" s="412"/>
      <c r="B391" s="412"/>
      <c r="C391" s="396"/>
      <c r="D391" s="413"/>
      <c r="E391" s="343"/>
      <c r="F391" s="343"/>
    </row>
    <row r="392">
      <c r="A392" s="412"/>
      <c r="B392" s="412"/>
      <c r="C392" s="396"/>
      <c r="D392" s="413"/>
      <c r="E392" s="343"/>
      <c r="F392" s="343"/>
    </row>
    <row r="393">
      <c r="A393" s="412"/>
      <c r="B393" s="412"/>
      <c r="C393" s="396"/>
      <c r="D393" s="413"/>
      <c r="E393" s="343"/>
      <c r="F393" s="343"/>
    </row>
    <row r="394">
      <c r="A394" s="412"/>
      <c r="B394" s="412"/>
      <c r="C394" s="396"/>
      <c r="D394" s="413"/>
      <c r="E394" s="343"/>
      <c r="F394" s="343"/>
    </row>
    <row r="395">
      <c r="A395" s="412"/>
      <c r="B395" s="412"/>
      <c r="C395" s="396"/>
      <c r="D395" s="413"/>
      <c r="E395" s="343"/>
      <c r="F395" s="343"/>
    </row>
    <row r="396">
      <c r="A396" s="412"/>
      <c r="B396" s="412"/>
      <c r="C396" s="396"/>
      <c r="D396" s="413"/>
      <c r="E396" s="343"/>
      <c r="F396" s="343"/>
    </row>
    <row r="397">
      <c r="A397" s="412"/>
      <c r="B397" s="412"/>
      <c r="C397" s="396"/>
      <c r="D397" s="413"/>
      <c r="E397" s="343"/>
      <c r="F397" s="343"/>
    </row>
    <row r="398">
      <c r="A398" s="412"/>
      <c r="B398" s="412"/>
      <c r="C398" s="396"/>
      <c r="D398" s="413"/>
      <c r="E398" s="343"/>
      <c r="F398" s="343"/>
    </row>
    <row r="399">
      <c r="A399" s="412"/>
      <c r="B399" s="412"/>
      <c r="C399" s="396"/>
      <c r="D399" s="413"/>
      <c r="E399" s="343"/>
      <c r="F399" s="343"/>
    </row>
    <row r="400">
      <c r="A400" s="412"/>
      <c r="B400" s="412"/>
      <c r="C400" s="396"/>
      <c r="D400" s="413"/>
      <c r="E400" s="343"/>
      <c r="F400" s="343"/>
    </row>
    <row r="401">
      <c r="A401" s="412"/>
      <c r="B401" s="412"/>
      <c r="C401" s="396"/>
      <c r="D401" s="413"/>
      <c r="E401" s="343"/>
      <c r="F401" s="343"/>
    </row>
    <row r="402">
      <c r="A402" s="412"/>
      <c r="B402" s="412"/>
      <c r="C402" s="396"/>
      <c r="D402" s="413"/>
      <c r="E402" s="343"/>
      <c r="F402" s="343"/>
    </row>
    <row r="403">
      <c r="A403" s="412"/>
      <c r="B403" s="412"/>
      <c r="C403" s="396"/>
      <c r="D403" s="413"/>
      <c r="E403" s="343"/>
      <c r="F403" s="343"/>
    </row>
    <row r="404">
      <c r="A404" s="412"/>
      <c r="B404" s="412"/>
      <c r="C404" s="396"/>
      <c r="D404" s="413"/>
      <c r="E404" s="343"/>
      <c r="F404" s="343"/>
    </row>
    <row r="405">
      <c r="A405" s="412"/>
      <c r="B405" s="412"/>
      <c r="C405" s="396"/>
      <c r="D405" s="413"/>
      <c r="E405" s="343"/>
      <c r="F405" s="343"/>
    </row>
    <row r="406">
      <c r="A406" s="412"/>
      <c r="B406" s="412"/>
      <c r="C406" s="396"/>
      <c r="D406" s="413"/>
      <c r="E406" s="343"/>
      <c r="F406" s="343"/>
    </row>
    <row r="407">
      <c r="A407" s="412"/>
      <c r="B407" s="412"/>
      <c r="C407" s="396"/>
      <c r="D407" s="413"/>
      <c r="E407" s="343"/>
      <c r="F407" s="343"/>
    </row>
    <row r="408">
      <c r="A408" s="412"/>
      <c r="B408" s="412"/>
      <c r="C408" s="396"/>
      <c r="D408" s="413"/>
      <c r="E408" s="343"/>
      <c r="F408" s="343"/>
    </row>
    <row r="409">
      <c r="A409" s="412"/>
      <c r="B409" s="412"/>
      <c r="C409" s="396"/>
      <c r="D409" s="413"/>
      <c r="E409" s="343"/>
      <c r="F409" s="343"/>
    </row>
    <row r="410">
      <c r="A410" s="412"/>
      <c r="B410" s="412"/>
      <c r="C410" s="396"/>
      <c r="D410" s="413"/>
      <c r="E410" s="343"/>
      <c r="F410" s="343"/>
    </row>
    <row r="411">
      <c r="A411" s="412"/>
      <c r="B411" s="412"/>
      <c r="C411" s="396"/>
      <c r="D411" s="413"/>
      <c r="E411" s="343"/>
      <c r="F411" s="343"/>
    </row>
    <row r="412">
      <c r="A412" s="412"/>
      <c r="B412" s="412"/>
      <c r="C412" s="396"/>
      <c r="D412" s="413"/>
      <c r="E412" s="343"/>
      <c r="F412" s="343"/>
    </row>
    <row r="413">
      <c r="A413" s="412"/>
      <c r="B413" s="412"/>
      <c r="C413" s="396"/>
      <c r="D413" s="413"/>
      <c r="E413" s="343"/>
      <c r="F413" s="343"/>
    </row>
    <row r="414">
      <c r="A414" s="412"/>
      <c r="B414" s="412"/>
      <c r="C414" s="396"/>
      <c r="D414" s="413"/>
      <c r="E414" s="343"/>
      <c r="F414" s="343"/>
    </row>
    <row r="415">
      <c r="A415" s="412"/>
      <c r="B415" s="412"/>
      <c r="C415" s="396"/>
      <c r="D415" s="413"/>
      <c r="E415" s="343"/>
      <c r="F415" s="343"/>
    </row>
    <row r="416">
      <c r="A416" s="412"/>
      <c r="B416" s="412"/>
      <c r="C416" s="396"/>
      <c r="D416" s="413"/>
      <c r="E416" s="343"/>
      <c r="F416" s="343"/>
    </row>
    <row r="417">
      <c r="A417" s="412"/>
      <c r="B417" s="412"/>
      <c r="C417" s="396"/>
      <c r="D417" s="413"/>
      <c r="E417" s="343"/>
      <c r="F417" s="343"/>
    </row>
    <row r="418">
      <c r="A418" s="412"/>
      <c r="B418" s="412"/>
      <c r="C418" s="396"/>
      <c r="D418" s="413"/>
      <c r="E418" s="343"/>
      <c r="F418" s="343"/>
    </row>
    <row r="419">
      <c r="A419" s="412"/>
      <c r="B419" s="412"/>
      <c r="C419" s="396"/>
      <c r="D419" s="413"/>
      <c r="E419" s="343"/>
      <c r="F419" s="343"/>
    </row>
    <row r="420">
      <c r="A420" s="412"/>
      <c r="B420" s="412"/>
      <c r="C420" s="396"/>
      <c r="D420" s="413"/>
      <c r="E420" s="343"/>
      <c r="F420" s="343"/>
    </row>
    <row r="421">
      <c r="A421" s="412"/>
      <c r="B421" s="412"/>
      <c r="C421" s="396"/>
      <c r="D421" s="413"/>
      <c r="E421" s="343"/>
      <c r="F421" s="343"/>
    </row>
    <row r="422">
      <c r="A422" s="412"/>
      <c r="B422" s="412"/>
      <c r="C422" s="396"/>
      <c r="D422" s="413"/>
      <c r="E422" s="343"/>
      <c r="F422" s="343"/>
    </row>
    <row r="423">
      <c r="A423" s="412"/>
      <c r="B423" s="412"/>
      <c r="C423" s="396"/>
      <c r="D423" s="413"/>
      <c r="E423" s="343"/>
      <c r="F423" s="343"/>
    </row>
    <row r="424">
      <c r="A424" s="412"/>
      <c r="B424" s="412"/>
      <c r="C424" s="396"/>
      <c r="D424" s="413"/>
      <c r="E424" s="343"/>
      <c r="F424" s="343"/>
    </row>
    <row r="425">
      <c r="A425" s="412"/>
      <c r="B425" s="412"/>
      <c r="C425" s="396"/>
      <c r="D425" s="413"/>
      <c r="E425" s="343"/>
      <c r="F425" s="343"/>
    </row>
    <row r="426">
      <c r="A426" s="412"/>
      <c r="B426" s="412"/>
      <c r="C426" s="396"/>
      <c r="D426" s="413"/>
      <c r="E426" s="343"/>
      <c r="F426" s="343"/>
    </row>
    <row r="427">
      <c r="A427" s="412"/>
      <c r="B427" s="412"/>
      <c r="C427" s="396"/>
      <c r="D427" s="413"/>
      <c r="E427" s="343"/>
      <c r="F427" s="343"/>
    </row>
    <row r="428">
      <c r="A428" s="412"/>
      <c r="B428" s="412"/>
      <c r="C428" s="396"/>
      <c r="D428" s="413"/>
      <c r="E428" s="343"/>
      <c r="F428" s="343"/>
    </row>
    <row r="429">
      <c r="A429" s="412"/>
      <c r="B429" s="412"/>
      <c r="C429" s="396"/>
      <c r="D429" s="413"/>
      <c r="E429" s="343"/>
      <c r="F429" s="343"/>
    </row>
    <row r="430">
      <c r="A430" s="412"/>
      <c r="B430" s="412"/>
      <c r="C430" s="396"/>
      <c r="D430" s="413"/>
      <c r="E430" s="343"/>
      <c r="F430" s="343"/>
    </row>
    <row r="431">
      <c r="A431" s="412"/>
      <c r="B431" s="412"/>
      <c r="C431" s="396"/>
      <c r="D431" s="413"/>
      <c r="E431" s="343"/>
      <c r="F431" s="343"/>
    </row>
    <row r="432">
      <c r="A432" s="412"/>
      <c r="B432" s="412"/>
      <c r="C432" s="396"/>
      <c r="D432" s="413"/>
      <c r="E432" s="343"/>
      <c r="F432" s="343"/>
    </row>
    <row r="433">
      <c r="A433" s="412"/>
      <c r="B433" s="412"/>
      <c r="C433" s="396"/>
      <c r="D433" s="413"/>
      <c r="E433" s="343"/>
      <c r="F433" s="343"/>
    </row>
    <row r="434">
      <c r="A434" s="412"/>
      <c r="B434" s="412"/>
      <c r="C434" s="396"/>
      <c r="D434" s="413"/>
      <c r="E434" s="343"/>
      <c r="F434" s="343"/>
    </row>
    <row r="435">
      <c r="A435" s="412"/>
      <c r="B435" s="412"/>
      <c r="C435" s="396"/>
      <c r="D435" s="413"/>
      <c r="E435" s="343"/>
      <c r="F435" s="343"/>
    </row>
    <row r="436">
      <c r="A436" s="412"/>
      <c r="B436" s="412"/>
      <c r="C436" s="396"/>
      <c r="D436" s="413"/>
      <c r="E436" s="343"/>
      <c r="F436" s="343"/>
    </row>
    <row r="437">
      <c r="A437" s="412"/>
      <c r="B437" s="412"/>
      <c r="C437" s="396"/>
      <c r="D437" s="413"/>
      <c r="E437" s="343"/>
      <c r="F437" s="343"/>
    </row>
    <row r="438">
      <c r="A438" s="412"/>
      <c r="B438" s="412"/>
      <c r="C438" s="396"/>
      <c r="D438" s="413"/>
      <c r="E438" s="343"/>
      <c r="F438" s="343"/>
    </row>
    <row r="439">
      <c r="A439" s="412"/>
      <c r="B439" s="412"/>
      <c r="C439" s="396"/>
      <c r="D439" s="413"/>
      <c r="E439" s="343"/>
      <c r="F439" s="343"/>
    </row>
    <row r="440">
      <c r="A440" s="412"/>
      <c r="B440" s="412"/>
      <c r="C440" s="396"/>
      <c r="D440" s="413"/>
      <c r="E440" s="343"/>
      <c r="F440" s="343"/>
    </row>
    <row r="441">
      <c r="A441" s="412"/>
      <c r="B441" s="412"/>
      <c r="C441" s="396"/>
      <c r="D441" s="413"/>
      <c r="E441" s="343"/>
      <c r="F441" s="343"/>
    </row>
    <row r="442">
      <c r="A442" s="412"/>
      <c r="B442" s="412"/>
      <c r="C442" s="396"/>
      <c r="D442" s="413"/>
      <c r="E442" s="343"/>
      <c r="F442" s="343"/>
    </row>
    <row r="443">
      <c r="A443" s="412"/>
      <c r="B443" s="412"/>
      <c r="C443" s="396"/>
      <c r="D443" s="413"/>
      <c r="E443" s="343"/>
      <c r="F443" s="343"/>
    </row>
    <row r="444">
      <c r="A444" s="412"/>
      <c r="B444" s="412"/>
      <c r="C444" s="396"/>
      <c r="D444" s="413"/>
      <c r="E444" s="343"/>
      <c r="F444" s="343"/>
    </row>
    <row r="445">
      <c r="A445" s="412"/>
      <c r="B445" s="412"/>
      <c r="C445" s="396"/>
      <c r="D445" s="413"/>
      <c r="E445" s="343"/>
      <c r="F445" s="343"/>
    </row>
    <row r="446">
      <c r="A446" s="412"/>
      <c r="B446" s="412"/>
      <c r="C446" s="396"/>
      <c r="D446" s="413"/>
      <c r="E446" s="343"/>
      <c r="F446" s="343"/>
    </row>
    <row r="447">
      <c r="A447" s="412"/>
      <c r="B447" s="412"/>
      <c r="C447" s="396"/>
      <c r="D447" s="413"/>
      <c r="E447" s="343"/>
      <c r="F447" s="343"/>
    </row>
    <row r="448">
      <c r="A448" s="412"/>
      <c r="B448" s="412"/>
      <c r="C448" s="396"/>
      <c r="D448" s="413"/>
      <c r="E448" s="343"/>
      <c r="F448" s="343"/>
    </row>
    <row r="449">
      <c r="A449" s="412"/>
      <c r="B449" s="412"/>
      <c r="C449" s="396"/>
      <c r="D449" s="413"/>
      <c r="E449" s="343"/>
      <c r="F449" s="343"/>
    </row>
    <row r="450">
      <c r="A450" s="412"/>
      <c r="B450" s="412"/>
      <c r="C450" s="396"/>
      <c r="D450" s="413"/>
      <c r="E450" s="343"/>
      <c r="F450" s="343"/>
    </row>
    <row r="451">
      <c r="A451" s="412"/>
      <c r="B451" s="412"/>
      <c r="C451" s="396"/>
      <c r="D451" s="413"/>
      <c r="E451" s="343"/>
      <c r="F451" s="343"/>
    </row>
    <row r="452">
      <c r="A452" s="412"/>
      <c r="B452" s="412"/>
      <c r="C452" s="396"/>
      <c r="D452" s="413"/>
      <c r="E452" s="343"/>
      <c r="F452" s="343"/>
    </row>
    <row r="453">
      <c r="A453" s="412"/>
      <c r="B453" s="412"/>
      <c r="C453" s="396"/>
      <c r="D453" s="413"/>
      <c r="E453" s="343"/>
      <c r="F453" s="343"/>
    </row>
    <row r="454">
      <c r="A454" s="412"/>
      <c r="B454" s="412"/>
      <c r="C454" s="396"/>
      <c r="D454" s="413"/>
      <c r="E454" s="343"/>
      <c r="F454" s="343"/>
    </row>
    <row r="455">
      <c r="A455" s="412"/>
      <c r="B455" s="412"/>
      <c r="C455" s="396"/>
      <c r="D455" s="413"/>
      <c r="E455" s="343"/>
      <c r="F455" s="343"/>
    </row>
    <row r="456">
      <c r="A456" s="412"/>
      <c r="B456" s="412"/>
      <c r="C456" s="396"/>
      <c r="D456" s="413"/>
      <c r="E456" s="343"/>
      <c r="F456" s="343"/>
    </row>
    <row r="457">
      <c r="A457" s="412"/>
      <c r="B457" s="412"/>
      <c r="C457" s="396"/>
      <c r="D457" s="413"/>
      <c r="E457" s="343"/>
      <c r="F457" s="343"/>
    </row>
    <row r="458">
      <c r="A458" s="412"/>
      <c r="B458" s="412"/>
      <c r="C458" s="396"/>
      <c r="D458" s="413"/>
      <c r="E458" s="343"/>
      <c r="F458" s="343"/>
    </row>
    <row r="459">
      <c r="A459" s="412"/>
      <c r="B459" s="412"/>
      <c r="C459" s="396"/>
      <c r="D459" s="413"/>
      <c r="E459" s="343"/>
      <c r="F459" s="343"/>
    </row>
    <row r="460">
      <c r="A460" s="412"/>
      <c r="B460" s="412"/>
      <c r="C460" s="396"/>
      <c r="D460" s="413"/>
      <c r="E460" s="343"/>
      <c r="F460" s="343"/>
    </row>
    <row r="461">
      <c r="A461" s="412"/>
      <c r="B461" s="412"/>
      <c r="C461" s="396"/>
      <c r="D461" s="413"/>
      <c r="E461" s="343"/>
      <c r="F461" s="343"/>
    </row>
    <row r="462">
      <c r="A462" s="412"/>
      <c r="B462" s="412"/>
      <c r="C462" s="396"/>
      <c r="D462" s="413"/>
      <c r="E462" s="343"/>
      <c r="F462" s="343"/>
    </row>
    <row r="463">
      <c r="A463" s="412"/>
      <c r="B463" s="412"/>
      <c r="C463" s="396"/>
      <c r="D463" s="413"/>
      <c r="E463" s="343"/>
      <c r="F463" s="343"/>
    </row>
    <row r="464">
      <c r="A464" s="412"/>
      <c r="B464" s="412"/>
      <c r="C464" s="396"/>
      <c r="D464" s="413"/>
      <c r="E464" s="343"/>
      <c r="F464" s="343"/>
    </row>
    <row r="465">
      <c r="A465" s="412"/>
      <c r="B465" s="412"/>
      <c r="C465" s="396"/>
      <c r="D465" s="413"/>
      <c r="E465" s="343"/>
      <c r="F465" s="343"/>
    </row>
    <row r="466">
      <c r="A466" s="412"/>
      <c r="B466" s="412"/>
      <c r="C466" s="396"/>
      <c r="D466" s="413"/>
      <c r="E466" s="343"/>
      <c r="F466" s="343"/>
    </row>
    <row r="467">
      <c r="A467" s="412"/>
      <c r="B467" s="412"/>
      <c r="C467" s="396"/>
      <c r="D467" s="413"/>
      <c r="E467" s="343"/>
      <c r="F467" s="343"/>
    </row>
    <row r="468">
      <c r="A468" s="412"/>
      <c r="B468" s="412"/>
      <c r="C468" s="396"/>
      <c r="D468" s="413"/>
      <c r="E468" s="343"/>
      <c r="F468" s="343"/>
    </row>
    <row r="469">
      <c r="A469" s="412"/>
      <c r="B469" s="412"/>
      <c r="C469" s="396"/>
      <c r="D469" s="413"/>
      <c r="E469" s="343"/>
      <c r="F469" s="343"/>
    </row>
    <row r="470">
      <c r="A470" s="412"/>
      <c r="B470" s="412"/>
      <c r="C470" s="396"/>
      <c r="D470" s="413"/>
      <c r="E470" s="343"/>
      <c r="F470" s="343"/>
    </row>
    <row r="471">
      <c r="A471" s="412"/>
      <c r="B471" s="412"/>
      <c r="C471" s="396"/>
      <c r="D471" s="413"/>
      <c r="E471" s="343"/>
      <c r="F471" s="343"/>
    </row>
    <row r="472">
      <c r="A472" s="412"/>
      <c r="B472" s="412"/>
      <c r="C472" s="396"/>
      <c r="D472" s="413"/>
      <c r="E472" s="343"/>
      <c r="F472" s="343"/>
    </row>
    <row r="473">
      <c r="A473" s="412"/>
      <c r="B473" s="412"/>
      <c r="C473" s="396"/>
      <c r="D473" s="413"/>
      <c r="E473" s="343"/>
      <c r="F473" s="343"/>
    </row>
    <row r="474">
      <c r="A474" s="412"/>
      <c r="B474" s="412"/>
      <c r="C474" s="396"/>
      <c r="D474" s="413"/>
      <c r="E474" s="343"/>
      <c r="F474" s="343"/>
    </row>
    <row r="475">
      <c r="A475" s="412"/>
      <c r="B475" s="412"/>
      <c r="C475" s="396"/>
      <c r="D475" s="413"/>
      <c r="E475" s="343"/>
      <c r="F475" s="343"/>
    </row>
    <row r="476">
      <c r="A476" s="412"/>
      <c r="B476" s="412"/>
      <c r="C476" s="396"/>
      <c r="D476" s="413"/>
      <c r="E476" s="343"/>
      <c r="F476" s="343"/>
    </row>
    <row r="477">
      <c r="A477" s="412"/>
      <c r="B477" s="412"/>
      <c r="C477" s="396"/>
      <c r="D477" s="413"/>
      <c r="E477" s="343"/>
      <c r="F477" s="343"/>
    </row>
    <row r="478">
      <c r="A478" s="412"/>
      <c r="B478" s="412"/>
      <c r="C478" s="396"/>
      <c r="D478" s="413"/>
      <c r="E478" s="343"/>
      <c r="F478" s="343"/>
    </row>
    <row r="479">
      <c r="A479" s="412"/>
      <c r="B479" s="412"/>
      <c r="C479" s="396"/>
      <c r="D479" s="413"/>
      <c r="E479" s="343"/>
      <c r="F479" s="343"/>
    </row>
    <row r="480">
      <c r="A480" s="412"/>
      <c r="B480" s="412"/>
      <c r="C480" s="396"/>
      <c r="D480" s="413"/>
      <c r="E480" s="343"/>
      <c r="F480" s="343"/>
    </row>
    <row r="481">
      <c r="A481" s="412"/>
      <c r="B481" s="412"/>
      <c r="C481" s="396"/>
      <c r="D481" s="413"/>
      <c r="E481" s="343"/>
      <c r="F481" s="343"/>
    </row>
    <row r="482">
      <c r="A482" s="412"/>
      <c r="B482" s="412"/>
      <c r="C482" s="396"/>
      <c r="D482" s="413"/>
      <c r="E482" s="343"/>
      <c r="F482" s="343"/>
    </row>
    <row r="483">
      <c r="A483" s="412"/>
      <c r="B483" s="412"/>
      <c r="C483" s="396"/>
      <c r="D483" s="413"/>
      <c r="E483" s="343"/>
      <c r="F483" s="343"/>
    </row>
    <row r="484">
      <c r="A484" s="412"/>
      <c r="B484" s="412"/>
      <c r="C484" s="396"/>
      <c r="D484" s="413"/>
      <c r="E484" s="343"/>
      <c r="F484" s="343"/>
    </row>
    <row r="485">
      <c r="A485" s="412"/>
      <c r="B485" s="412"/>
      <c r="C485" s="396"/>
      <c r="D485" s="413"/>
      <c r="E485" s="343"/>
      <c r="F485" s="343"/>
    </row>
    <row r="486">
      <c r="A486" s="412"/>
      <c r="B486" s="412"/>
      <c r="C486" s="396"/>
      <c r="D486" s="413"/>
      <c r="E486" s="343"/>
      <c r="F486" s="343"/>
    </row>
    <row r="487">
      <c r="A487" s="412"/>
      <c r="B487" s="412"/>
      <c r="C487" s="396"/>
      <c r="D487" s="413"/>
      <c r="E487" s="343"/>
      <c r="F487" s="343"/>
    </row>
    <row r="488">
      <c r="A488" s="412"/>
      <c r="B488" s="412"/>
      <c r="C488" s="396"/>
      <c r="D488" s="413"/>
      <c r="E488" s="343"/>
      <c r="F488" s="343"/>
    </row>
    <row r="489">
      <c r="A489" s="412"/>
      <c r="B489" s="412"/>
      <c r="C489" s="396"/>
      <c r="D489" s="413"/>
      <c r="E489" s="343"/>
      <c r="F489" s="343"/>
    </row>
    <row r="490">
      <c r="A490" s="412"/>
      <c r="B490" s="412"/>
      <c r="C490" s="396"/>
      <c r="D490" s="413"/>
      <c r="E490" s="343"/>
      <c r="F490" s="343"/>
    </row>
    <row r="491">
      <c r="A491" s="412"/>
      <c r="B491" s="412"/>
      <c r="C491" s="396"/>
      <c r="D491" s="413"/>
      <c r="E491" s="343"/>
      <c r="F491" s="343"/>
    </row>
    <row r="492">
      <c r="A492" s="412"/>
      <c r="B492" s="412"/>
      <c r="C492" s="396"/>
      <c r="D492" s="413"/>
      <c r="E492" s="343"/>
      <c r="F492" s="343"/>
    </row>
    <row r="493">
      <c r="A493" s="412"/>
      <c r="B493" s="412"/>
      <c r="C493" s="396"/>
      <c r="D493" s="413"/>
      <c r="E493" s="343"/>
      <c r="F493" s="343"/>
    </row>
    <row r="494">
      <c r="A494" s="412"/>
      <c r="B494" s="412"/>
      <c r="C494" s="396"/>
      <c r="D494" s="413"/>
      <c r="E494" s="343"/>
      <c r="F494" s="343"/>
    </row>
    <row r="495">
      <c r="A495" s="412"/>
      <c r="B495" s="412"/>
      <c r="C495" s="396"/>
      <c r="D495" s="413"/>
      <c r="E495" s="343"/>
      <c r="F495" s="343"/>
    </row>
    <row r="496">
      <c r="A496" s="412"/>
      <c r="B496" s="412"/>
      <c r="C496" s="396"/>
      <c r="D496" s="413"/>
      <c r="E496" s="343"/>
      <c r="F496" s="343"/>
    </row>
    <row r="497">
      <c r="A497" s="412"/>
      <c r="B497" s="412"/>
      <c r="C497" s="396"/>
      <c r="D497" s="413"/>
      <c r="E497" s="343"/>
      <c r="F497" s="343"/>
    </row>
    <row r="498">
      <c r="A498" s="412"/>
      <c r="B498" s="412"/>
      <c r="C498" s="396"/>
      <c r="D498" s="413"/>
      <c r="E498" s="343"/>
      <c r="F498" s="343"/>
    </row>
    <row r="499">
      <c r="A499" s="412"/>
      <c r="B499" s="412"/>
      <c r="C499" s="396"/>
      <c r="D499" s="413"/>
      <c r="E499" s="343"/>
      <c r="F499" s="343"/>
    </row>
    <row r="500">
      <c r="A500" s="412"/>
      <c r="B500" s="412"/>
      <c r="C500" s="396"/>
      <c r="D500" s="413"/>
      <c r="E500" s="343"/>
      <c r="F500" s="343"/>
    </row>
    <row r="501">
      <c r="A501" s="412"/>
      <c r="B501" s="412"/>
      <c r="C501" s="396"/>
      <c r="D501" s="413"/>
      <c r="E501" s="343"/>
      <c r="F501" s="343"/>
    </row>
    <row r="502">
      <c r="A502" s="412"/>
      <c r="B502" s="412"/>
      <c r="C502" s="396"/>
      <c r="D502" s="413"/>
      <c r="E502" s="343"/>
      <c r="F502" s="343"/>
    </row>
    <row r="503">
      <c r="A503" s="412"/>
      <c r="B503" s="412"/>
      <c r="C503" s="396"/>
      <c r="D503" s="413"/>
      <c r="E503" s="343"/>
      <c r="F503" s="343"/>
    </row>
    <row r="504">
      <c r="A504" s="412"/>
      <c r="B504" s="412"/>
      <c r="C504" s="396"/>
      <c r="D504" s="413"/>
      <c r="E504" s="343"/>
      <c r="F504" s="343"/>
    </row>
    <row r="505">
      <c r="A505" s="412"/>
      <c r="B505" s="412"/>
      <c r="C505" s="396"/>
      <c r="D505" s="413"/>
      <c r="E505" s="343"/>
      <c r="F505" s="343"/>
    </row>
    <row r="506">
      <c r="A506" s="412"/>
      <c r="B506" s="412"/>
      <c r="C506" s="396"/>
      <c r="D506" s="413"/>
      <c r="E506" s="343"/>
      <c r="F506" s="343"/>
    </row>
    <row r="507">
      <c r="A507" s="412"/>
      <c r="B507" s="412"/>
      <c r="C507" s="396"/>
      <c r="D507" s="413"/>
      <c r="E507" s="343"/>
      <c r="F507" s="343"/>
    </row>
    <row r="508">
      <c r="A508" s="412"/>
      <c r="B508" s="412"/>
      <c r="C508" s="396"/>
      <c r="D508" s="413"/>
      <c r="E508" s="343"/>
      <c r="F508" s="343"/>
    </row>
    <row r="509">
      <c r="A509" s="412"/>
      <c r="B509" s="412"/>
      <c r="C509" s="396"/>
      <c r="D509" s="413"/>
      <c r="E509" s="343"/>
      <c r="F509" s="343"/>
    </row>
    <row r="510">
      <c r="A510" s="412"/>
      <c r="B510" s="412"/>
      <c r="C510" s="396"/>
      <c r="D510" s="413"/>
      <c r="E510" s="343"/>
      <c r="F510" s="343"/>
    </row>
    <row r="511">
      <c r="A511" s="412"/>
      <c r="B511" s="412"/>
      <c r="C511" s="396"/>
      <c r="D511" s="413"/>
      <c r="E511" s="343"/>
      <c r="F511" s="343"/>
    </row>
    <row r="512">
      <c r="A512" s="412"/>
      <c r="B512" s="412"/>
      <c r="C512" s="396"/>
      <c r="D512" s="413"/>
      <c r="E512" s="343"/>
      <c r="F512" s="343"/>
    </row>
    <row r="513">
      <c r="A513" s="412"/>
      <c r="B513" s="412"/>
      <c r="C513" s="396"/>
      <c r="D513" s="413"/>
      <c r="E513" s="343"/>
      <c r="F513" s="343"/>
    </row>
    <row r="514">
      <c r="A514" s="412"/>
      <c r="B514" s="412"/>
      <c r="C514" s="396"/>
      <c r="D514" s="413"/>
      <c r="E514" s="343"/>
      <c r="F514" s="343"/>
    </row>
    <row r="515">
      <c r="A515" s="412"/>
      <c r="B515" s="412"/>
      <c r="C515" s="396"/>
      <c r="D515" s="413"/>
      <c r="E515" s="343"/>
      <c r="F515" s="343"/>
    </row>
    <row r="516">
      <c r="A516" s="412"/>
      <c r="B516" s="412"/>
      <c r="C516" s="396"/>
      <c r="D516" s="413"/>
      <c r="E516" s="343"/>
      <c r="F516" s="343"/>
    </row>
    <row r="517">
      <c r="A517" s="412"/>
      <c r="B517" s="412"/>
      <c r="C517" s="396"/>
      <c r="D517" s="413"/>
      <c r="E517" s="343"/>
      <c r="F517" s="343"/>
    </row>
    <row r="518">
      <c r="A518" s="412"/>
      <c r="B518" s="412"/>
      <c r="C518" s="396"/>
      <c r="D518" s="413"/>
      <c r="E518" s="343"/>
      <c r="F518" s="343"/>
    </row>
    <row r="519">
      <c r="A519" s="412"/>
      <c r="B519" s="412"/>
      <c r="C519" s="396"/>
      <c r="D519" s="413"/>
      <c r="E519" s="343"/>
      <c r="F519" s="343"/>
    </row>
    <row r="520">
      <c r="A520" s="412"/>
      <c r="B520" s="412"/>
      <c r="C520" s="396"/>
      <c r="D520" s="413"/>
      <c r="E520" s="343"/>
      <c r="F520" s="343"/>
    </row>
    <row r="521">
      <c r="A521" s="412"/>
      <c r="B521" s="412"/>
      <c r="C521" s="396"/>
      <c r="D521" s="413"/>
      <c r="E521" s="343"/>
      <c r="F521" s="343"/>
    </row>
    <row r="522">
      <c r="A522" s="412"/>
      <c r="B522" s="412"/>
      <c r="C522" s="396"/>
      <c r="D522" s="413"/>
      <c r="E522" s="343"/>
      <c r="F522" s="343"/>
    </row>
    <row r="523">
      <c r="A523" s="412"/>
      <c r="B523" s="412"/>
      <c r="C523" s="396"/>
      <c r="D523" s="413"/>
      <c r="E523" s="343"/>
      <c r="F523" s="343"/>
    </row>
    <row r="524">
      <c r="A524" s="412"/>
      <c r="B524" s="412"/>
      <c r="C524" s="396"/>
      <c r="D524" s="413"/>
      <c r="E524" s="343"/>
      <c r="F524" s="343"/>
    </row>
    <row r="525">
      <c r="A525" s="412"/>
      <c r="B525" s="412"/>
      <c r="C525" s="396"/>
      <c r="D525" s="413"/>
      <c r="E525" s="343"/>
      <c r="F525" s="343"/>
    </row>
    <row r="526">
      <c r="A526" s="412"/>
      <c r="B526" s="412"/>
      <c r="C526" s="396"/>
      <c r="D526" s="413"/>
      <c r="E526" s="343"/>
      <c r="F526" s="343"/>
    </row>
    <row r="527">
      <c r="A527" s="412"/>
      <c r="B527" s="412"/>
      <c r="C527" s="396"/>
      <c r="D527" s="413"/>
      <c r="E527" s="343"/>
      <c r="F527" s="343"/>
    </row>
    <row r="528">
      <c r="A528" s="412"/>
      <c r="B528" s="412"/>
      <c r="C528" s="396"/>
      <c r="D528" s="413"/>
      <c r="E528" s="343"/>
      <c r="F528" s="343"/>
    </row>
    <row r="529">
      <c r="A529" s="412"/>
      <c r="B529" s="412"/>
      <c r="C529" s="396"/>
      <c r="D529" s="413"/>
      <c r="E529" s="343"/>
      <c r="F529" s="343"/>
    </row>
    <row r="530">
      <c r="A530" s="412"/>
      <c r="B530" s="412"/>
      <c r="C530" s="396"/>
      <c r="D530" s="413"/>
      <c r="E530" s="343"/>
      <c r="F530" s="343"/>
    </row>
    <row r="531">
      <c r="A531" s="412"/>
      <c r="B531" s="412"/>
      <c r="C531" s="396"/>
      <c r="D531" s="413"/>
      <c r="E531" s="343"/>
      <c r="F531" s="343"/>
    </row>
    <row r="532">
      <c r="A532" s="412"/>
      <c r="B532" s="412"/>
      <c r="C532" s="396"/>
      <c r="D532" s="413"/>
      <c r="E532" s="343"/>
      <c r="F532" s="343"/>
    </row>
    <row r="533">
      <c r="A533" s="412"/>
      <c r="B533" s="412"/>
      <c r="C533" s="396"/>
      <c r="D533" s="413"/>
      <c r="E533" s="343"/>
      <c r="F533" s="343"/>
    </row>
    <row r="534">
      <c r="A534" s="412"/>
      <c r="B534" s="412"/>
      <c r="C534" s="396"/>
      <c r="D534" s="413"/>
      <c r="E534" s="343"/>
      <c r="F534" s="343"/>
    </row>
    <row r="535">
      <c r="A535" s="412"/>
      <c r="B535" s="412"/>
      <c r="C535" s="396"/>
      <c r="D535" s="413"/>
      <c r="E535" s="343"/>
      <c r="F535" s="343"/>
    </row>
    <row r="536">
      <c r="A536" s="412"/>
      <c r="B536" s="412"/>
      <c r="C536" s="396"/>
      <c r="D536" s="413"/>
      <c r="E536" s="343"/>
      <c r="F536" s="343"/>
    </row>
    <row r="537">
      <c r="A537" s="412"/>
      <c r="B537" s="412"/>
      <c r="C537" s="396"/>
      <c r="D537" s="413"/>
      <c r="E537" s="343"/>
      <c r="F537" s="343"/>
    </row>
    <row r="538">
      <c r="A538" s="412"/>
      <c r="B538" s="412"/>
      <c r="C538" s="396"/>
      <c r="D538" s="413"/>
      <c r="E538" s="343"/>
      <c r="F538" s="343"/>
    </row>
    <row r="539">
      <c r="A539" s="412"/>
      <c r="B539" s="412"/>
      <c r="C539" s="396"/>
      <c r="D539" s="413"/>
      <c r="E539" s="343"/>
      <c r="F539" s="343"/>
    </row>
    <row r="540">
      <c r="A540" s="412"/>
      <c r="B540" s="412"/>
      <c r="C540" s="396"/>
      <c r="D540" s="413"/>
      <c r="E540" s="343"/>
      <c r="F540" s="343"/>
    </row>
    <row r="541">
      <c r="A541" s="412"/>
      <c r="B541" s="412"/>
      <c r="C541" s="396"/>
      <c r="D541" s="413"/>
      <c r="E541" s="343"/>
      <c r="F541" s="343"/>
    </row>
    <row r="542">
      <c r="A542" s="412"/>
      <c r="B542" s="412"/>
      <c r="C542" s="396"/>
      <c r="D542" s="413"/>
      <c r="E542" s="343"/>
      <c r="F542" s="343"/>
    </row>
    <row r="543">
      <c r="A543" s="412"/>
      <c r="B543" s="412"/>
      <c r="C543" s="396"/>
      <c r="D543" s="413"/>
      <c r="E543" s="343"/>
      <c r="F543" s="343"/>
    </row>
    <row r="544">
      <c r="A544" s="412"/>
      <c r="B544" s="412"/>
      <c r="C544" s="396"/>
      <c r="D544" s="413"/>
      <c r="E544" s="343"/>
      <c r="F544" s="343"/>
    </row>
    <row r="545">
      <c r="A545" s="412"/>
      <c r="B545" s="412"/>
      <c r="C545" s="396"/>
      <c r="D545" s="413"/>
      <c r="E545" s="343"/>
      <c r="F545" s="343"/>
    </row>
    <row r="546">
      <c r="A546" s="412"/>
      <c r="B546" s="412"/>
      <c r="C546" s="396"/>
      <c r="D546" s="413"/>
      <c r="E546" s="343"/>
      <c r="F546" s="343"/>
    </row>
    <row r="547">
      <c r="A547" s="412"/>
      <c r="B547" s="412"/>
      <c r="C547" s="396"/>
      <c r="D547" s="413"/>
      <c r="E547" s="343"/>
      <c r="F547" s="343"/>
    </row>
    <row r="548">
      <c r="A548" s="412"/>
      <c r="B548" s="412"/>
      <c r="C548" s="396"/>
      <c r="D548" s="413"/>
      <c r="E548" s="343"/>
      <c r="F548" s="343"/>
    </row>
    <row r="549">
      <c r="A549" s="412"/>
      <c r="B549" s="412"/>
      <c r="C549" s="396"/>
      <c r="D549" s="413"/>
      <c r="E549" s="343"/>
      <c r="F549" s="343"/>
    </row>
    <row r="550">
      <c r="A550" s="412"/>
      <c r="B550" s="412"/>
      <c r="C550" s="396"/>
      <c r="D550" s="413"/>
      <c r="E550" s="343"/>
      <c r="F550" s="343"/>
    </row>
    <row r="551">
      <c r="A551" s="412"/>
      <c r="B551" s="412"/>
      <c r="C551" s="396"/>
      <c r="D551" s="413"/>
      <c r="E551" s="343"/>
      <c r="F551" s="343"/>
    </row>
    <row r="552">
      <c r="A552" s="412"/>
      <c r="B552" s="412"/>
      <c r="C552" s="396"/>
      <c r="D552" s="413"/>
      <c r="E552" s="343"/>
      <c r="F552" s="343"/>
    </row>
    <row r="553">
      <c r="A553" s="412"/>
      <c r="B553" s="412"/>
      <c r="C553" s="396"/>
      <c r="D553" s="413"/>
      <c r="E553" s="343"/>
      <c r="F553" s="343"/>
    </row>
    <row r="554">
      <c r="A554" s="412"/>
      <c r="B554" s="412"/>
      <c r="C554" s="396"/>
      <c r="D554" s="413"/>
      <c r="E554" s="343"/>
      <c r="F554" s="343"/>
    </row>
    <row r="555">
      <c r="A555" s="412"/>
      <c r="B555" s="412"/>
      <c r="C555" s="396"/>
      <c r="D555" s="413"/>
      <c r="E555" s="343"/>
      <c r="F555" s="343"/>
    </row>
    <row r="556">
      <c r="A556" s="412"/>
      <c r="B556" s="412"/>
      <c r="C556" s="396"/>
      <c r="D556" s="413"/>
      <c r="E556" s="343"/>
      <c r="F556" s="343"/>
    </row>
    <row r="557">
      <c r="A557" s="412"/>
      <c r="B557" s="412"/>
      <c r="C557" s="396"/>
      <c r="D557" s="413"/>
      <c r="E557" s="343"/>
      <c r="F557" s="343"/>
    </row>
    <row r="558">
      <c r="A558" s="412"/>
      <c r="B558" s="412"/>
      <c r="C558" s="396"/>
      <c r="D558" s="413"/>
      <c r="E558" s="343"/>
      <c r="F558" s="343"/>
    </row>
    <row r="559">
      <c r="A559" s="412"/>
      <c r="B559" s="412"/>
      <c r="C559" s="396"/>
      <c r="D559" s="413"/>
      <c r="E559" s="343"/>
      <c r="F559" s="343"/>
    </row>
    <row r="560">
      <c r="A560" s="412"/>
      <c r="B560" s="412"/>
      <c r="C560" s="396"/>
      <c r="D560" s="413"/>
      <c r="E560" s="343"/>
      <c r="F560" s="343"/>
    </row>
    <row r="561">
      <c r="A561" s="412"/>
      <c r="B561" s="412"/>
      <c r="C561" s="396"/>
      <c r="D561" s="413"/>
      <c r="E561" s="343"/>
      <c r="F561" s="343"/>
    </row>
    <row r="562">
      <c r="A562" s="412"/>
      <c r="B562" s="412"/>
      <c r="C562" s="396"/>
      <c r="D562" s="413"/>
      <c r="E562" s="343"/>
      <c r="F562" s="343"/>
    </row>
    <row r="563">
      <c r="A563" s="412"/>
      <c r="B563" s="412"/>
      <c r="C563" s="396"/>
      <c r="D563" s="413"/>
      <c r="E563" s="343"/>
      <c r="F563" s="343"/>
    </row>
    <row r="564">
      <c r="A564" s="412"/>
      <c r="B564" s="412"/>
      <c r="C564" s="396"/>
      <c r="D564" s="413"/>
      <c r="E564" s="343"/>
      <c r="F564" s="343"/>
    </row>
    <row r="565">
      <c r="A565" s="412"/>
      <c r="B565" s="412"/>
      <c r="C565" s="396"/>
      <c r="D565" s="413"/>
      <c r="E565" s="343"/>
      <c r="F565" s="343"/>
    </row>
    <row r="566">
      <c r="A566" s="412"/>
      <c r="B566" s="412"/>
      <c r="C566" s="396"/>
      <c r="D566" s="413"/>
      <c r="E566" s="343"/>
      <c r="F566" s="343"/>
    </row>
    <row r="567">
      <c r="A567" s="412"/>
      <c r="B567" s="412"/>
      <c r="C567" s="396"/>
      <c r="D567" s="413"/>
      <c r="E567" s="343"/>
      <c r="F567" s="343"/>
    </row>
    <row r="568">
      <c r="A568" s="412"/>
      <c r="B568" s="412"/>
      <c r="C568" s="396"/>
      <c r="D568" s="413"/>
      <c r="E568" s="343"/>
      <c r="F568" s="343"/>
    </row>
    <row r="569">
      <c r="A569" s="412"/>
      <c r="B569" s="412"/>
      <c r="C569" s="396"/>
      <c r="D569" s="413"/>
      <c r="E569" s="343"/>
      <c r="F569" s="343"/>
    </row>
    <row r="570">
      <c r="A570" s="412"/>
      <c r="B570" s="412"/>
      <c r="C570" s="396"/>
      <c r="D570" s="413"/>
      <c r="E570" s="343"/>
      <c r="F570" s="343"/>
    </row>
    <row r="571">
      <c r="A571" s="412"/>
      <c r="B571" s="412"/>
      <c r="C571" s="396"/>
      <c r="D571" s="413"/>
      <c r="E571" s="343"/>
      <c r="F571" s="343"/>
    </row>
    <row r="572">
      <c r="A572" s="412"/>
      <c r="B572" s="412"/>
      <c r="C572" s="396"/>
      <c r="D572" s="413"/>
      <c r="E572" s="343"/>
      <c r="F572" s="343"/>
    </row>
    <row r="573">
      <c r="A573" s="412"/>
      <c r="B573" s="412"/>
      <c r="C573" s="396"/>
      <c r="D573" s="413"/>
      <c r="E573" s="343"/>
      <c r="F573" s="343"/>
    </row>
    <row r="574">
      <c r="A574" s="412"/>
      <c r="B574" s="412"/>
      <c r="C574" s="396"/>
      <c r="D574" s="413"/>
      <c r="E574" s="343"/>
      <c r="F574" s="343"/>
    </row>
    <row r="575">
      <c r="A575" s="412"/>
      <c r="B575" s="412"/>
      <c r="C575" s="396"/>
      <c r="D575" s="413"/>
      <c r="E575" s="343"/>
      <c r="F575" s="343"/>
    </row>
    <row r="576">
      <c r="A576" s="412"/>
      <c r="B576" s="412"/>
      <c r="C576" s="396"/>
      <c r="D576" s="413"/>
      <c r="E576" s="343"/>
      <c r="F576" s="343"/>
    </row>
    <row r="577">
      <c r="A577" s="412"/>
      <c r="B577" s="412"/>
      <c r="C577" s="396"/>
      <c r="D577" s="413"/>
      <c r="E577" s="343"/>
      <c r="F577" s="343"/>
    </row>
    <row r="578">
      <c r="A578" s="412"/>
      <c r="B578" s="412"/>
      <c r="C578" s="396"/>
      <c r="D578" s="413"/>
      <c r="E578" s="343"/>
      <c r="F578" s="343"/>
    </row>
    <row r="579">
      <c r="A579" s="412"/>
      <c r="B579" s="412"/>
      <c r="C579" s="396"/>
      <c r="D579" s="413"/>
      <c r="E579" s="343"/>
      <c r="F579" s="343"/>
    </row>
    <row r="580">
      <c r="A580" s="412"/>
      <c r="B580" s="412"/>
      <c r="C580" s="396"/>
      <c r="D580" s="413"/>
      <c r="E580" s="343"/>
      <c r="F580" s="343"/>
    </row>
    <row r="581">
      <c r="A581" s="412"/>
      <c r="B581" s="412"/>
      <c r="C581" s="396"/>
      <c r="D581" s="413"/>
      <c r="E581" s="343"/>
      <c r="F581" s="343"/>
    </row>
    <row r="582">
      <c r="A582" s="412"/>
      <c r="B582" s="412"/>
      <c r="C582" s="396"/>
      <c r="D582" s="413"/>
      <c r="E582" s="343"/>
      <c r="F582" s="343"/>
    </row>
    <row r="583">
      <c r="A583" s="412"/>
      <c r="B583" s="412"/>
      <c r="C583" s="396"/>
      <c r="D583" s="413"/>
      <c r="E583" s="343"/>
      <c r="F583" s="343"/>
    </row>
    <row r="584">
      <c r="A584" s="412"/>
      <c r="B584" s="412"/>
      <c r="C584" s="396"/>
      <c r="D584" s="413"/>
      <c r="E584" s="343"/>
      <c r="F584" s="343"/>
    </row>
    <row r="585">
      <c r="A585" s="412"/>
      <c r="B585" s="412"/>
      <c r="C585" s="396"/>
      <c r="D585" s="413"/>
      <c r="E585" s="343"/>
      <c r="F585" s="343"/>
    </row>
    <row r="586">
      <c r="A586" s="412"/>
      <c r="B586" s="412"/>
      <c r="C586" s="396"/>
      <c r="D586" s="413"/>
      <c r="E586" s="343"/>
      <c r="F586" s="343"/>
    </row>
    <row r="587">
      <c r="A587" s="412"/>
      <c r="B587" s="412"/>
      <c r="C587" s="396"/>
      <c r="D587" s="413"/>
      <c r="E587" s="343"/>
      <c r="F587" s="343"/>
    </row>
    <row r="588">
      <c r="A588" s="412"/>
      <c r="B588" s="412"/>
      <c r="C588" s="396"/>
      <c r="D588" s="413"/>
      <c r="E588" s="343"/>
      <c r="F588" s="343"/>
    </row>
    <row r="589">
      <c r="A589" s="412"/>
      <c r="B589" s="412"/>
      <c r="C589" s="396"/>
      <c r="D589" s="413"/>
      <c r="E589" s="343"/>
      <c r="F589" s="343"/>
    </row>
    <row r="590">
      <c r="A590" s="412"/>
      <c r="B590" s="412"/>
      <c r="C590" s="396"/>
      <c r="D590" s="413"/>
      <c r="E590" s="343"/>
      <c r="F590" s="343"/>
    </row>
    <row r="591">
      <c r="A591" s="412"/>
      <c r="B591" s="412"/>
      <c r="C591" s="396"/>
      <c r="D591" s="413"/>
      <c r="E591" s="343"/>
      <c r="F591" s="343"/>
    </row>
    <row r="592">
      <c r="A592" s="412"/>
      <c r="B592" s="412"/>
      <c r="C592" s="396"/>
      <c r="D592" s="413"/>
      <c r="E592" s="343"/>
      <c r="F592" s="343"/>
    </row>
    <row r="593">
      <c r="A593" s="412"/>
      <c r="B593" s="412"/>
      <c r="C593" s="396"/>
      <c r="D593" s="413"/>
      <c r="E593" s="343"/>
      <c r="F593" s="343"/>
    </row>
    <row r="594">
      <c r="A594" s="412"/>
      <c r="B594" s="412"/>
      <c r="C594" s="396"/>
      <c r="D594" s="413"/>
      <c r="E594" s="343"/>
      <c r="F594" s="343"/>
    </row>
    <row r="595">
      <c r="A595" s="412"/>
      <c r="B595" s="412"/>
      <c r="C595" s="396"/>
      <c r="D595" s="413"/>
      <c r="E595" s="343"/>
      <c r="F595" s="343"/>
    </row>
    <row r="596">
      <c r="A596" s="412"/>
      <c r="B596" s="412"/>
      <c r="C596" s="396"/>
      <c r="D596" s="413"/>
      <c r="E596" s="343"/>
      <c r="F596" s="343"/>
    </row>
    <row r="597">
      <c r="A597" s="412"/>
      <c r="B597" s="412"/>
      <c r="C597" s="396"/>
      <c r="D597" s="413"/>
      <c r="E597" s="343"/>
      <c r="F597" s="343"/>
    </row>
    <row r="598">
      <c r="A598" s="412"/>
      <c r="B598" s="412"/>
      <c r="C598" s="396"/>
      <c r="D598" s="413"/>
      <c r="E598" s="343"/>
      <c r="F598" s="343"/>
    </row>
    <row r="599">
      <c r="A599" s="412"/>
      <c r="B599" s="412"/>
      <c r="C599" s="396"/>
      <c r="D599" s="413"/>
      <c r="E599" s="343"/>
      <c r="F599" s="343"/>
    </row>
    <row r="600">
      <c r="A600" s="412"/>
      <c r="B600" s="412"/>
      <c r="C600" s="396"/>
      <c r="D600" s="413"/>
      <c r="E600" s="343"/>
      <c r="F600" s="343"/>
    </row>
    <row r="601">
      <c r="A601" s="412"/>
      <c r="B601" s="412"/>
      <c r="C601" s="396"/>
      <c r="D601" s="413"/>
      <c r="E601" s="343"/>
      <c r="F601" s="343"/>
    </row>
    <row r="602">
      <c r="A602" s="412"/>
      <c r="B602" s="412"/>
      <c r="C602" s="396"/>
      <c r="D602" s="413"/>
      <c r="E602" s="343"/>
      <c r="F602" s="343"/>
    </row>
    <row r="603">
      <c r="A603" s="412"/>
      <c r="B603" s="412"/>
      <c r="C603" s="396"/>
      <c r="D603" s="413"/>
      <c r="E603" s="343"/>
      <c r="F603" s="343"/>
    </row>
    <row r="604">
      <c r="A604" s="412"/>
      <c r="B604" s="412"/>
      <c r="C604" s="396"/>
      <c r="D604" s="413"/>
      <c r="E604" s="343"/>
      <c r="F604" s="343"/>
    </row>
    <row r="605">
      <c r="A605" s="412"/>
      <c r="B605" s="412"/>
      <c r="C605" s="396"/>
      <c r="D605" s="413"/>
      <c r="E605" s="343"/>
      <c r="F605" s="343"/>
    </row>
    <row r="606">
      <c r="A606" s="412"/>
      <c r="B606" s="412"/>
      <c r="C606" s="396"/>
      <c r="D606" s="413"/>
      <c r="E606" s="343"/>
      <c r="F606" s="343"/>
    </row>
    <row r="607">
      <c r="A607" s="412"/>
      <c r="B607" s="412"/>
      <c r="C607" s="396"/>
      <c r="D607" s="413"/>
      <c r="E607" s="343"/>
      <c r="F607" s="343"/>
    </row>
    <row r="608">
      <c r="A608" s="412"/>
      <c r="B608" s="412"/>
      <c r="C608" s="396"/>
      <c r="D608" s="413"/>
      <c r="E608" s="343"/>
      <c r="F608" s="343"/>
    </row>
    <row r="609">
      <c r="A609" s="412"/>
      <c r="B609" s="412"/>
      <c r="C609" s="396"/>
      <c r="D609" s="413"/>
      <c r="E609" s="343"/>
      <c r="F609" s="343"/>
    </row>
    <row r="610">
      <c r="A610" s="412"/>
      <c r="B610" s="412"/>
      <c r="C610" s="396"/>
      <c r="D610" s="413"/>
      <c r="E610" s="343"/>
      <c r="F610" s="343"/>
    </row>
    <row r="611">
      <c r="A611" s="412"/>
      <c r="B611" s="412"/>
      <c r="C611" s="396"/>
      <c r="D611" s="413"/>
      <c r="E611" s="343"/>
      <c r="F611" s="343"/>
    </row>
    <row r="612">
      <c r="A612" s="412"/>
      <c r="B612" s="412"/>
      <c r="C612" s="396"/>
      <c r="D612" s="413"/>
      <c r="E612" s="343"/>
      <c r="F612" s="343"/>
    </row>
    <row r="613">
      <c r="A613" s="412"/>
      <c r="B613" s="412"/>
      <c r="C613" s="396"/>
      <c r="D613" s="413"/>
      <c r="E613" s="343"/>
      <c r="F613" s="343"/>
    </row>
    <row r="614">
      <c r="A614" s="412"/>
      <c r="B614" s="412"/>
      <c r="C614" s="396"/>
      <c r="D614" s="413"/>
      <c r="E614" s="343"/>
      <c r="F614" s="343"/>
    </row>
    <row r="615">
      <c r="A615" s="412"/>
      <c r="B615" s="412"/>
      <c r="C615" s="396"/>
      <c r="D615" s="413"/>
      <c r="E615" s="343"/>
      <c r="F615" s="343"/>
    </row>
    <row r="616">
      <c r="A616" s="412"/>
      <c r="B616" s="412"/>
      <c r="C616" s="396"/>
      <c r="D616" s="413"/>
      <c r="E616" s="343"/>
      <c r="F616" s="343"/>
    </row>
    <row r="617">
      <c r="A617" s="412"/>
      <c r="B617" s="412"/>
      <c r="C617" s="396"/>
      <c r="D617" s="413"/>
      <c r="E617" s="343"/>
      <c r="F617" s="343"/>
    </row>
    <row r="618">
      <c r="A618" s="412"/>
      <c r="B618" s="412"/>
      <c r="C618" s="396"/>
      <c r="D618" s="413"/>
      <c r="E618" s="343"/>
      <c r="F618" s="343"/>
    </row>
    <row r="619">
      <c r="A619" s="412"/>
      <c r="B619" s="412"/>
      <c r="C619" s="396"/>
      <c r="D619" s="413"/>
      <c r="E619" s="343"/>
      <c r="F619" s="343"/>
    </row>
    <row r="620">
      <c r="A620" s="412"/>
      <c r="B620" s="412"/>
      <c r="C620" s="396"/>
      <c r="D620" s="413"/>
      <c r="E620" s="343"/>
      <c r="F620" s="343"/>
    </row>
    <row r="621">
      <c r="A621" s="412"/>
      <c r="B621" s="412"/>
      <c r="C621" s="396"/>
      <c r="D621" s="413"/>
      <c r="E621" s="343"/>
      <c r="F621" s="343"/>
    </row>
    <row r="622">
      <c r="A622" s="412"/>
      <c r="B622" s="412"/>
      <c r="C622" s="396"/>
      <c r="D622" s="413"/>
      <c r="E622" s="343"/>
      <c r="F622" s="343"/>
    </row>
    <row r="623">
      <c r="A623" s="412"/>
      <c r="B623" s="412"/>
      <c r="C623" s="396"/>
      <c r="D623" s="413"/>
      <c r="E623" s="343"/>
      <c r="F623" s="343"/>
    </row>
    <row r="624">
      <c r="A624" s="412"/>
      <c r="B624" s="412"/>
      <c r="C624" s="396"/>
      <c r="D624" s="413"/>
      <c r="E624" s="343"/>
      <c r="F624" s="343"/>
    </row>
    <row r="625">
      <c r="A625" s="412"/>
      <c r="B625" s="412"/>
      <c r="C625" s="396"/>
      <c r="D625" s="413"/>
      <c r="E625" s="343"/>
      <c r="F625" s="343"/>
    </row>
    <row r="626">
      <c r="A626" s="412"/>
      <c r="B626" s="412"/>
      <c r="C626" s="396"/>
      <c r="D626" s="413"/>
      <c r="E626" s="343"/>
      <c r="F626" s="343"/>
    </row>
    <row r="627">
      <c r="A627" s="412"/>
      <c r="B627" s="412"/>
      <c r="C627" s="396"/>
      <c r="D627" s="413"/>
      <c r="E627" s="343"/>
      <c r="F627" s="343"/>
    </row>
    <row r="628">
      <c r="A628" s="412"/>
      <c r="B628" s="412"/>
      <c r="C628" s="396"/>
      <c r="D628" s="413"/>
      <c r="E628" s="343"/>
      <c r="F628" s="343"/>
    </row>
    <row r="629">
      <c r="A629" s="412"/>
      <c r="B629" s="412"/>
      <c r="C629" s="396"/>
      <c r="D629" s="413"/>
      <c r="E629" s="343"/>
      <c r="F629" s="343"/>
    </row>
    <row r="630">
      <c r="A630" s="412"/>
      <c r="B630" s="412"/>
      <c r="C630" s="396"/>
      <c r="D630" s="413"/>
      <c r="E630" s="343"/>
      <c r="F630" s="343"/>
    </row>
    <row r="631">
      <c r="A631" s="412"/>
      <c r="B631" s="412"/>
      <c r="C631" s="396"/>
      <c r="D631" s="413"/>
      <c r="E631" s="343"/>
      <c r="F631" s="343"/>
    </row>
    <row r="632">
      <c r="A632" s="412"/>
      <c r="B632" s="412"/>
      <c r="C632" s="396"/>
      <c r="D632" s="413"/>
      <c r="E632" s="343"/>
      <c r="F632" s="343"/>
    </row>
    <row r="633">
      <c r="A633" s="412"/>
      <c r="B633" s="412"/>
      <c r="C633" s="396"/>
      <c r="D633" s="413"/>
      <c r="E633" s="343"/>
      <c r="F633" s="343"/>
    </row>
    <row r="634">
      <c r="A634" s="412"/>
      <c r="B634" s="412"/>
      <c r="C634" s="396"/>
      <c r="D634" s="413"/>
      <c r="E634" s="343"/>
      <c r="F634" s="343"/>
    </row>
    <row r="635">
      <c r="A635" s="412"/>
      <c r="B635" s="412"/>
      <c r="C635" s="396"/>
      <c r="D635" s="413"/>
      <c r="E635" s="343"/>
      <c r="F635" s="343"/>
    </row>
    <row r="636">
      <c r="A636" s="412"/>
      <c r="B636" s="412"/>
      <c r="C636" s="396"/>
      <c r="D636" s="413"/>
      <c r="E636" s="343"/>
      <c r="F636" s="343"/>
    </row>
    <row r="637">
      <c r="A637" s="412"/>
      <c r="B637" s="412"/>
      <c r="C637" s="396"/>
      <c r="D637" s="413"/>
      <c r="E637" s="343"/>
      <c r="F637" s="343"/>
    </row>
    <row r="638">
      <c r="A638" s="412"/>
      <c r="B638" s="412"/>
      <c r="C638" s="396"/>
      <c r="D638" s="413"/>
      <c r="E638" s="343"/>
      <c r="F638" s="343"/>
    </row>
    <row r="639">
      <c r="A639" s="412"/>
      <c r="B639" s="412"/>
      <c r="C639" s="396"/>
      <c r="D639" s="413"/>
      <c r="E639" s="343"/>
      <c r="F639" s="343"/>
    </row>
    <row r="640">
      <c r="A640" s="412"/>
      <c r="B640" s="412"/>
      <c r="C640" s="396"/>
      <c r="D640" s="413"/>
      <c r="E640" s="343"/>
      <c r="F640" s="343"/>
    </row>
    <row r="641">
      <c r="A641" s="412"/>
      <c r="B641" s="412"/>
      <c r="C641" s="396"/>
      <c r="D641" s="413"/>
      <c r="E641" s="343"/>
      <c r="F641" s="343"/>
    </row>
    <row r="642">
      <c r="A642" s="412"/>
      <c r="B642" s="412"/>
      <c r="C642" s="396"/>
      <c r="D642" s="413"/>
      <c r="E642" s="343"/>
      <c r="F642" s="343"/>
    </row>
    <row r="643">
      <c r="A643" s="412"/>
      <c r="B643" s="412"/>
      <c r="C643" s="396"/>
      <c r="D643" s="413"/>
      <c r="E643" s="343"/>
      <c r="F643" s="343"/>
    </row>
    <row r="644">
      <c r="A644" s="412"/>
      <c r="B644" s="412"/>
      <c r="C644" s="396"/>
      <c r="D644" s="413"/>
      <c r="E644" s="343"/>
      <c r="F644" s="343"/>
    </row>
    <row r="645">
      <c r="A645" s="412"/>
      <c r="B645" s="412"/>
      <c r="C645" s="396"/>
      <c r="D645" s="413"/>
      <c r="E645" s="343"/>
      <c r="F645" s="343"/>
    </row>
    <row r="646">
      <c r="A646" s="412"/>
      <c r="B646" s="412"/>
      <c r="C646" s="396"/>
      <c r="D646" s="413"/>
      <c r="E646" s="343"/>
      <c r="F646" s="343"/>
    </row>
    <row r="647">
      <c r="A647" s="412"/>
      <c r="B647" s="412"/>
      <c r="C647" s="396"/>
      <c r="D647" s="413"/>
      <c r="E647" s="343"/>
      <c r="F647" s="343"/>
    </row>
    <row r="648">
      <c r="A648" s="412"/>
      <c r="B648" s="412"/>
      <c r="C648" s="396"/>
      <c r="D648" s="413"/>
      <c r="E648" s="343"/>
      <c r="F648" s="343"/>
    </row>
    <row r="649">
      <c r="A649" s="412"/>
      <c r="B649" s="412"/>
      <c r="C649" s="396"/>
      <c r="D649" s="413"/>
      <c r="E649" s="343"/>
      <c r="F649" s="343"/>
    </row>
    <row r="650">
      <c r="A650" s="412"/>
      <c r="B650" s="412"/>
      <c r="C650" s="396"/>
      <c r="D650" s="413"/>
      <c r="E650" s="343"/>
      <c r="F650" s="343"/>
    </row>
    <row r="651">
      <c r="A651" s="412"/>
      <c r="B651" s="412"/>
      <c r="C651" s="396"/>
      <c r="D651" s="413"/>
      <c r="E651" s="343"/>
      <c r="F651" s="343"/>
    </row>
    <row r="652">
      <c r="A652" s="412"/>
      <c r="B652" s="412"/>
      <c r="C652" s="396"/>
      <c r="D652" s="413"/>
      <c r="E652" s="343"/>
      <c r="F652" s="343"/>
    </row>
    <row r="653">
      <c r="A653" s="412"/>
      <c r="B653" s="412"/>
      <c r="C653" s="396"/>
      <c r="D653" s="413"/>
      <c r="E653" s="343"/>
      <c r="F653" s="343"/>
    </row>
    <row r="654">
      <c r="A654" s="412"/>
      <c r="B654" s="412"/>
      <c r="C654" s="396"/>
      <c r="D654" s="413"/>
      <c r="E654" s="343"/>
      <c r="F654" s="343"/>
    </row>
    <row r="655">
      <c r="A655" s="412"/>
      <c r="B655" s="412"/>
      <c r="C655" s="396"/>
      <c r="D655" s="413"/>
      <c r="E655" s="343"/>
      <c r="F655" s="343"/>
    </row>
    <row r="656">
      <c r="A656" s="412"/>
      <c r="B656" s="412"/>
      <c r="C656" s="396"/>
      <c r="D656" s="413"/>
      <c r="E656" s="343"/>
      <c r="F656" s="343"/>
    </row>
    <row r="657">
      <c r="A657" s="412"/>
      <c r="B657" s="412"/>
      <c r="C657" s="396"/>
      <c r="D657" s="413"/>
      <c r="E657" s="343"/>
      <c r="F657" s="343"/>
    </row>
    <row r="658">
      <c r="A658" s="412"/>
      <c r="B658" s="412"/>
      <c r="C658" s="396"/>
      <c r="D658" s="413"/>
      <c r="E658" s="343"/>
      <c r="F658" s="343"/>
    </row>
    <row r="659">
      <c r="A659" s="412"/>
      <c r="B659" s="412"/>
      <c r="C659" s="396"/>
      <c r="D659" s="413"/>
      <c r="E659" s="343"/>
      <c r="F659" s="343"/>
    </row>
    <row r="660">
      <c r="A660" s="412"/>
      <c r="B660" s="412"/>
      <c r="C660" s="396"/>
      <c r="D660" s="413"/>
      <c r="E660" s="343"/>
      <c r="F660" s="343"/>
    </row>
    <row r="661">
      <c r="A661" s="412"/>
      <c r="B661" s="412"/>
      <c r="C661" s="396"/>
      <c r="D661" s="413"/>
      <c r="E661" s="343"/>
      <c r="F661" s="343"/>
    </row>
    <row r="662">
      <c r="A662" s="412"/>
      <c r="B662" s="412"/>
      <c r="C662" s="396"/>
      <c r="D662" s="413"/>
      <c r="E662" s="343"/>
      <c r="F662" s="343"/>
    </row>
    <row r="663">
      <c r="A663" s="412"/>
      <c r="B663" s="412"/>
      <c r="C663" s="396"/>
      <c r="D663" s="413"/>
      <c r="E663" s="343"/>
      <c r="F663" s="343"/>
    </row>
    <row r="664">
      <c r="A664" s="412"/>
      <c r="B664" s="412"/>
      <c r="C664" s="396"/>
      <c r="D664" s="413"/>
      <c r="E664" s="343"/>
      <c r="F664" s="343"/>
    </row>
    <row r="665">
      <c r="A665" s="412"/>
      <c r="B665" s="412"/>
      <c r="C665" s="396"/>
      <c r="D665" s="413"/>
      <c r="E665" s="343"/>
      <c r="F665" s="343"/>
    </row>
    <row r="666">
      <c r="A666" s="412"/>
      <c r="B666" s="412"/>
      <c r="C666" s="396"/>
      <c r="D666" s="413"/>
      <c r="E666" s="343"/>
      <c r="F666" s="343"/>
    </row>
    <row r="667">
      <c r="A667" s="412"/>
      <c r="B667" s="412"/>
      <c r="C667" s="396"/>
      <c r="D667" s="413"/>
      <c r="E667" s="343"/>
      <c r="F667" s="343"/>
    </row>
    <row r="668">
      <c r="A668" s="412"/>
      <c r="B668" s="412"/>
      <c r="C668" s="396"/>
      <c r="D668" s="413"/>
      <c r="E668" s="343"/>
      <c r="F668" s="343"/>
    </row>
    <row r="669">
      <c r="A669" s="412"/>
      <c r="B669" s="412"/>
      <c r="C669" s="396"/>
      <c r="D669" s="413"/>
      <c r="E669" s="343"/>
      <c r="F669" s="343"/>
    </row>
    <row r="670">
      <c r="A670" s="412"/>
      <c r="B670" s="412"/>
      <c r="C670" s="396"/>
      <c r="D670" s="413"/>
      <c r="E670" s="343"/>
      <c r="F670" s="343"/>
    </row>
    <row r="671">
      <c r="A671" s="412"/>
      <c r="B671" s="412"/>
      <c r="C671" s="396"/>
      <c r="D671" s="413"/>
      <c r="E671" s="343"/>
      <c r="F671" s="343"/>
    </row>
    <row r="672">
      <c r="A672" s="412"/>
      <c r="B672" s="412"/>
      <c r="C672" s="396"/>
      <c r="D672" s="413"/>
      <c r="E672" s="343"/>
      <c r="F672" s="343"/>
    </row>
    <row r="673">
      <c r="A673" s="412"/>
      <c r="B673" s="412"/>
      <c r="C673" s="396"/>
      <c r="D673" s="413"/>
      <c r="E673" s="343"/>
      <c r="F673" s="343"/>
    </row>
    <row r="674">
      <c r="A674" s="412"/>
      <c r="B674" s="412"/>
      <c r="C674" s="396"/>
      <c r="D674" s="413"/>
      <c r="E674" s="343"/>
      <c r="F674" s="343"/>
    </row>
    <row r="675">
      <c r="A675" s="412"/>
      <c r="B675" s="412"/>
      <c r="C675" s="396"/>
      <c r="D675" s="413"/>
      <c r="E675" s="343"/>
      <c r="F675" s="343"/>
    </row>
    <row r="676">
      <c r="A676" s="412"/>
      <c r="B676" s="412"/>
      <c r="C676" s="396"/>
      <c r="D676" s="413"/>
      <c r="E676" s="343"/>
      <c r="F676" s="343"/>
    </row>
    <row r="677">
      <c r="A677" s="412"/>
      <c r="B677" s="412"/>
      <c r="C677" s="396"/>
      <c r="D677" s="413"/>
      <c r="E677" s="343"/>
      <c r="F677" s="343"/>
    </row>
    <row r="678">
      <c r="A678" s="412"/>
      <c r="B678" s="412"/>
      <c r="C678" s="396"/>
      <c r="D678" s="413"/>
      <c r="E678" s="343"/>
      <c r="F678" s="343"/>
    </row>
    <row r="679">
      <c r="A679" s="412"/>
      <c r="B679" s="412"/>
      <c r="C679" s="396"/>
      <c r="D679" s="413"/>
      <c r="E679" s="343"/>
      <c r="F679" s="343"/>
    </row>
    <row r="680">
      <c r="A680" s="412"/>
      <c r="B680" s="412"/>
      <c r="C680" s="396"/>
      <c r="D680" s="413"/>
      <c r="E680" s="343"/>
      <c r="F680" s="343"/>
    </row>
    <row r="681">
      <c r="A681" s="412"/>
      <c r="B681" s="412"/>
      <c r="C681" s="396"/>
      <c r="D681" s="413"/>
      <c r="E681" s="343"/>
      <c r="F681" s="343"/>
    </row>
    <row r="682">
      <c r="A682" s="412"/>
      <c r="B682" s="412"/>
      <c r="C682" s="396"/>
      <c r="D682" s="413"/>
      <c r="E682" s="343"/>
      <c r="F682" s="343"/>
    </row>
    <row r="683">
      <c r="A683" s="412"/>
      <c r="B683" s="412"/>
      <c r="C683" s="396"/>
      <c r="D683" s="413"/>
      <c r="E683" s="343"/>
      <c r="F683" s="343"/>
    </row>
    <row r="684">
      <c r="A684" s="412"/>
      <c r="B684" s="412"/>
      <c r="C684" s="396"/>
      <c r="D684" s="413"/>
      <c r="E684" s="343"/>
      <c r="F684" s="343"/>
    </row>
    <row r="685">
      <c r="A685" s="412"/>
      <c r="B685" s="412"/>
      <c r="C685" s="396"/>
      <c r="D685" s="413"/>
      <c r="E685" s="343"/>
      <c r="F685" s="343"/>
    </row>
    <row r="686">
      <c r="A686" s="412"/>
      <c r="B686" s="412"/>
      <c r="C686" s="396"/>
      <c r="D686" s="413"/>
      <c r="E686" s="343"/>
      <c r="F686" s="343"/>
    </row>
    <row r="687">
      <c r="A687" s="412"/>
      <c r="B687" s="412"/>
      <c r="C687" s="396"/>
      <c r="D687" s="413"/>
      <c r="E687" s="343"/>
      <c r="F687" s="343"/>
    </row>
    <row r="688">
      <c r="A688" s="412"/>
      <c r="B688" s="412"/>
      <c r="C688" s="396"/>
      <c r="D688" s="413"/>
      <c r="E688" s="343"/>
      <c r="F688" s="343"/>
    </row>
    <row r="689">
      <c r="A689" s="412"/>
      <c r="B689" s="412"/>
      <c r="C689" s="396"/>
      <c r="D689" s="413"/>
      <c r="E689" s="343"/>
      <c r="F689" s="343"/>
    </row>
    <row r="690">
      <c r="A690" s="412"/>
      <c r="B690" s="412"/>
      <c r="C690" s="396"/>
      <c r="D690" s="413"/>
      <c r="E690" s="343"/>
      <c r="F690" s="343"/>
    </row>
    <row r="691">
      <c r="A691" s="412"/>
      <c r="B691" s="412"/>
      <c r="C691" s="396"/>
      <c r="D691" s="413"/>
      <c r="E691" s="343"/>
      <c r="F691" s="343"/>
    </row>
    <row r="692">
      <c r="A692" s="412"/>
      <c r="B692" s="412"/>
      <c r="C692" s="396"/>
      <c r="D692" s="413"/>
      <c r="E692" s="343"/>
      <c r="F692" s="343"/>
    </row>
    <row r="693">
      <c r="A693" s="412"/>
      <c r="B693" s="412"/>
      <c r="C693" s="396"/>
      <c r="D693" s="413"/>
      <c r="E693" s="343"/>
      <c r="F693" s="343"/>
    </row>
    <row r="694">
      <c r="A694" s="412"/>
      <c r="B694" s="412"/>
      <c r="C694" s="396"/>
      <c r="D694" s="413"/>
      <c r="E694" s="343"/>
      <c r="F694" s="343"/>
    </row>
    <row r="695">
      <c r="A695" s="412"/>
      <c r="B695" s="412"/>
      <c r="C695" s="396"/>
      <c r="D695" s="413"/>
      <c r="E695" s="343"/>
      <c r="F695" s="343"/>
    </row>
    <row r="696">
      <c r="A696" s="412"/>
      <c r="B696" s="412"/>
      <c r="C696" s="396"/>
      <c r="D696" s="413"/>
      <c r="E696" s="343"/>
      <c r="F696" s="343"/>
    </row>
    <row r="697">
      <c r="A697" s="412"/>
      <c r="B697" s="412"/>
      <c r="C697" s="396"/>
      <c r="D697" s="413"/>
      <c r="E697" s="343"/>
      <c r="F697" s="343"/>
    </row>
    <row r="698">
      <c r="A698" s="412"/>
      <c r="B698" s="412"/>
      <c r="C698" s="396"/>
      <c r="D698" s="413"/>
      <c r="E698" s="343"/>
      <c r="F698" s="343"/>
    </row>
    <row r="699">
      <c r="A699" s="412"/>
      <c r="B699" s="412"/>
      <c r="C699" s="396"/>
      <c r="D699" s="413"/>
      <c r="E699" s="343"/>
      <c r="F699" s="343"/>
    </row>
    <row r="700">
      <c r="A700" s="412"/>
      <c r="B700" s="412"/>
      <c r="C700" s="396"/>
      <c r="D700" s="413"/>
      <c r="E700" s="343"/>
      <c r="F700" s="343"/>
    </row>
    <row r="701">
      <c r="A701" s="412"/>
      <c r="B701" s="412"/>
      <c r="C701" s="396"/>
      <c r="D701" s="413"/>
      <c r="E701" s="343"/>
      <c r="F701" s="343"/>
    </row>
    <row r="702">
      <c r="A702" s="412"/>
      <c r="B702" s="412"/>
      <c r="C702" s="396"/>
      <c r="D702" s="413"/>
      <c r="E702" s="343"/>
      <c r="F702" s="343"/>
    </row>
    <row r="703">
      <c r="A703" s="412"/>
      <c r="B703" s="412"/>
      <c r="C703" s="396"/>
      <c r="D703" s="413"/>
      <c r="E703" s="343"/>
      <c r="F703" s="343"/>
    </row>
    <row r="704">
      <c r="A704" s="412"/>
      <c r="B704" s="412"/>
      <c r="C704" s="396"/>
      <c r="D704" s="413"/>
      <c r="E704" s="343"/>
      <c r="F704" s="343"/>
    </row>
    <row r="705">
      <c r="A705" s="412"/>
      <c r="B705" s="412"/>
      <c r="C705" s="396"/>
      <c r="D705" s="413"/>
      <c r="E705" s="343"/>
      <c r="F705" s="343"/>
    </row>
    <row r="706">
      <c r="A706" s="412"/>
      <c r="B706" s="412"/>
      <c r="C706" s="396"/>
      <c r="D706" s="413"/>
      <c r="E706" s="343"/>
      <c r="F706" s="343"/>
    </row>
    <row r="707">
      <c r="A707" s="412"/>
      <c r="B707" s="412"/>
      <c r="C707" s="396"/>
      <c r="D707" s="413"/>
      <c r="E707" s="343"/>
      <c r="F707" s="343"/>
    </row>
    <row r="708">
      <c r="A708" s="412"/>
      <c r="B708" s="412"/>
      <c r="C708" s="396"/>
      <c r="D708" s="413"/>
      <c r="E708" s="343"/>
      <c r="F708" s="343"/>
    </row>
    <row r="709">
      <c r="A709" s="412"/>
      <c r="B709" s="412"/>
      <c r="C709" s="396"/>
      <c r="D709" s="413"/>
      <c r="E709" s="343"/>
      <c r="F709" s="343"/>
    </row>
    <row r="710">
      <c r="A710" s="412"/>
      <c r="B710" s="412"/>
      <c r="C710" s="396"/>
      <c r="D710" s="413"/>
      <c r="E710" s="343"/>
      <c r="F710" s="343"/>
    </row>
    <row r="711">
      <c r="A711" s="412"/>
      <c r="B711" s="412"/>
      <c r="C711" s="396"/>
      <c r="D711" s="413"/>
      <c r="E711" s="343"/>
      <c r="F711" s="343"/>
    </row>
    <row r="712">
      <c r="A712" s="412"/>
      <c r="B712" s="412"/>
      <c r="C712" s="396"/>
      <c r="D712" s="413"/>
      <c r="E712" s="343"/>
      <c r="F712" s="343"/>
    </row>
    <row r="713">
      <c r="A713" s="412"/>
      <c r="B713" s="412"/>
      <c r="C713" s="396"/>
      <c r="D713" s="413"/>
      <c r="E713" s="343"/>
      <c r="F713" s="343"/>
    </row>
    <row r="714">
      <c r="A714" s="412"/>
      <c r="B714" s="412"/>
      <c r="C714" s="396"/>
      <c r="D714" s="413"/>
      <c r="E714" s="343"/>
      <c r="F714" s="343"/>
    </row>
    <row r="715">
      <c r="A715" s="412"/>
      <c r="B715" s="412"/>
      <c r="C715" s="396"/>
      <c r="D715" s="413"/>
      <c r="E715" s="343"/>
      <c r="F715" s="343"/>
    </row>
    <row r="716">
      <c r="A716" s="412"/>
      <c r="B716" s="412"/>
      <c r="C716" s="396"/>
      <c r="D716" s="413"/>
      <c r="E716" s="343"/>
      <c r="F716" s="343"/>
    </row>
    <row r="717">
      <c r="A717" s="412"/>
      <c r="B717" s="412"/>
      <c r="C717" s="396"/>
      <c r="D717" s="413"/>
      <c r="E717" s="343"/>
      <c r="F717" s="343"/>
    </row>
    <row r="718">
      <c r="A718" s="412"/>
      <c r="B718" s="412"/>
      <c r="C718" s="396"/>
      <c r="D718" s="413"/>
      <c r="E718" s="343"/>
      <c r="F718" s="343"/>
    </row>
    <row r="719">
      <c r="A719" s="412"/>
      <c r="B719" s="412"/>
      <c r="C719" s="396"/>
      <c r="D719" s="413"/>
      <c r="E719" s="343"/>
      <c r="F719" s="343"/>
    </row>
    <row r="720">
      <c r="A720" s="412"/>
      <c r="B720" s="412"/>
      <c r="C720" s="396"/>
      <c r="D720" s="413"/>
      <c r="E720" s="343"/>
      <c r="F720" s="343"/>
    </row>
    <row r="721">
      <c r="A721" s="412"/>
      <c r="B721" s="412"/>
      <c r="C721" s="396"/>
      <c r="D721" s="413"/>
      <c r="E721" s="343"/>
      <c r="F721" s="343"/>
    </row>
    <row r="722">
      <c r="A722" s="412"/>
      <c r="B722" s="412"/>
      <c r="C722" s="396"/>
      <c r="D722" s="413"/>
      <c r="E722" s="343"/>
      <c r="F722" s="343"/>
    </row>
    <row r="723">
      <c r="A723" s="412"/>
      <c r="B723" s="412"/>
      <c r="C723" s="396"/>
      <c r="D723" s="413"/>
      <c r="E723" s="343"/>
      <c r="F723" s="343"/>
    </row>
    <row r="724">
      <c r="A724" s="412"/>
      <c r="B724" s="412"/>
      <c r="C724" s="396"/>
      <c r="D724" s="413"/>
      <c r="E724" s="343"/>
      <c r="F724" s="343"/>
    </row>
    <row r="725">
      <c r="A725" s="412"/>
      <c r="B725" s="412"/>
      <c r="C725" s="396"/>
      <c r="D725" s="413"/>
      <c r="E725" s="343"/>
      <c r="F725" s="343"/>
    </row>
    <row r="726">
      <c r="A726" s="412"/>
      <c r="B726" s="412"/>
      <c r="C726" s="396"/>
      <c r="D726" s="413"/>
      <c r="E726" s="343"/>
      <c r="F726" s="343"/>
    </row>
    <row r="727">
      <c r="A727" s="412"/>
      <c r="B727" s="412"/>
      <c r="C727" s="396"/>
      <c r="D727" s="413"/>
      <c r="E727" s="343"/>
      <c r="F727" s="343"/>
    </row>
    <row r="728">
      <c r="A728" s="412"/>
      <c r="B728" s="412"/>
      <c r="C728" s="396"/>
      <c r="D728" s="413"/>
      <c r="E728" s="343"/>
      <c r="F728" s="343"/>
    </row>
    <row r="729">
      <c r="A729" s="412"/>
      <c r="B729" s="412"/>
      <c r="C729" s="396"/>
      <c r="D729" s="413"/>
      <c r="E729" s="343"/>
      <c r="F729" s="343"/>
    </row>
    <row r="730">
      <c r="A730" s="412"/>
      <c r="B730" s="412"/>
      <c r="C730" s="396"/>
      <c r="D730" s="413"/>
      <c r="E730" s="343"/>
      <c r="F730" s="343"/>
    </row>
    <row r="731">
      <c r="A731" s="412"/>
      <c r="B731" s="412"/>
      <c r="C731" s="396"/>
      <c r="D731" s="413"/>
      <c r="E731" s="343"/>
      <c r="F731" s="343"/>
    </row>
    <row r="732">
      <c r="A732" s="412"/>
      <c r="B732" s="412"/>
      <c r="C732" s="396"/>
      <c r="D732" s="413"/>
      <c r="E732" s="343"/>
      <c r="F732" s="343"/>
    </row>
    <row r="733">
      <c r="A733" s="412"/>
      <c r="B733" s="412"/>
      <c r="C733" s="396"/>
      <c r="D733" s="413"/>
      <c r="E733" s="343"/>
      <c r="F733" s="343"/>
    </row>
    <row r="734">
      <c r="A734" s="412"/>
      <c r="B734" s="412"/>
      <c r="C734" s="396"/>
      <c r="D734" s="413"/>
      <c r="E734" s="343"/>
      <c r="F734" s="343"/>
    </row>
    <row r="735">
      <c r="A735" s="412"/>
      <c r="B735" s="412"/>
      <c r="C735" s="396"/>
      <c r="D735" s="413"/>
      <c r="E735" s="343"/>
      <c r="F735" s="343"/>
    </row>
    <row r="736">
      <c r="A736" s="412"/>
      <c r="B736" s="412"/>
      <c r="C736" s="396"/>
      <c r="D736" s="413"/>
      <c r="E736" s="343"/>
      <c r="F736" s="343"/>
    </row>
    <row r="737">
      <c r="A737" s="412"/>
      <c r="B737" s="412"/>
      <c r="C737" s="396"/>
      <c r="D737" s="413"/>
      <c r="E737" s="343"/>
      <c r="F737" s="343"/>
    </row>
    <row r="738">
      <c r="A738" s="412"/>
      <c r="B738" s="412"/>
      <c r="C738" s="396"/>
      <c r="D738" s="413"/>
      <c r="E738" s="343"/>
      <c r="F738" s="343"/>
    </row>
    <row r="739">
      <c r="A739" s="412"/>
      <c r="B739" s="412"/>
      <c r="C739" s="396"/>
      <c r="D739" s="413"/>
      <c r="E739" s="343"/>
      <c r="F739" s="343"/>
    </row>
    <row r="740">
      <c r="A740" s="412"/>
      <c r="B740" s="412"/>
      <c r="C740" s="396"/>
      <c r="D740" s="413"/>
      <c r="E740" s="343"/>
      <c r="F740" s="343"/>
    </row>
    <row r="741">
      <c r="A741" s="412"/>
      <c r="B741" s="412"/>
      <c r="C741" s="396"/>
      <c r="D741" s="413"/>
      <c r="E741" s="343"/>
      <c r="F741" s="343"/>
    </row>
    <row r="742">
      <c r="A742" s="412"/>
      <c r="B742" s="412"/>
      <c r="C742" s="396"/>
      <c r="D742" s="413"/>
      <c r="E742" s="343"/>
      <c r="F742" s="343"/>
    </row>
    <row r="743">
      <c r="A743" s="412"/>
      <c r="B743" s="412"/>
      <c r="C743" s="396"/>
      <c r="D743" s="413"/>
      <c r="E743" s="343"/>
      <c r="F743" s="343"/>
    </row>
    <row r="744">
      <c r="A744" s="412"/>
      <c r="B744" s="412"/>
      <c r="C744" s="396"/>
      <c r="D744" s="413"/>
      <c r="E744" s="343"/>
      <c r="F744" s="343"/>
    </row>
    <row r="745">
      <c r="A745" s="412"/>
      <c r="B745" s="412"/>
      <c r="C745" s="396"/>
      <c r="D745" s="413"/>
      <c r="E745" s="343"/>
      <c r="F745" s="343"/>
    </row>
    <row r="746">
      <c r="A746" s="412"/>
      <c r="B746" s="412"/>
      <c r="C746" s="396"/>
      <c r="D746" s="413"/>
      <c r="E746" s="343"/>
      <c r="F746" s="343"/>
    </row>
    <row r="747">
      <c r="A747" s="412"/>
      <c r="B747" s="412"/>
      <c r="C747" s="396"/>
      <c r="D747" s="413"/>
      <c r="E747" s="343"/>
      <c r="F747" s="343"/>
    </row>
    <row r="748">
      <c r="A748" s="412"/>
      <c r="B748" s="412"/>
      <c r="C748" s="396"/>
      <c r="D748" s="413"/>
      <c r="E748" s="343"/>
      <c r="F748" s="343"/>
    </row>
    <row r="749">
      <c r="A749" s="412"/>
      <c r="B749" s="412"/>
      <c r="C749" s="396"/>
      <c r="D749" s="413"/>
      <c r="E749" s="343"/>
      <c r="F749" s="343"/>
    </row>
    <row r="750">
      <c r="A750" s="412"/>
      <c r="B750" s="412"/>
      <c r="C750" s="396"/>
      <c r="D750" s="413"/>
      <c r="E750" s="343"/>
      <c r="F750" s="343"/>
    </row>
    <row r="751">
      <c r="A751" s="412"/>
      <c r="B751" s="412"/>
      <c r="C751" s="396"/>
      <c r="D751" s="413"/>
      <c r="E751" s="343"/>
      <c r="F751" s="343"/>
    </row>
    <row r="752">
      <c r="A752" s="412"/>
      <c r="B752" s="412"/>
      <c r="C752" s="396"/>
      <c r="D752" s="413"/>
      <c r="E752" s="343"/>
      <c r="F752" s="343"/>
    </row>
    <row r="753">
      <c r="A753" s="412"/>
      <c r="B753" s="412"/>
      <c r="C753" s="396"/>
      <c r="D753" s="413"/>
      <c r="E753" s="343"/>
      <c r="F753" s="343"/>
    </row>
    <row r="754">
      <c r="A754" s="412"/>
      <c r="B754" s="412"/>
      <c r="C754" s="396"/>
      <c r="D754" s="413"/>
      <c r="E754" s="343"/>
      <c r="F754" s="343"/>
    </row>
    <row r="755">
      <c r="A755" s="412"/>
      <c r="B755" s="412"/>
      <c r="C755" s="396"/>
      <c r="D755" s="413"/>
      <c r="E755" s="343"/>
      <c r="F755" s="343"/>
    </row>
    <row r="756">
      <c r="A756" s="412"/>
      <c r="B756" s="412"/>
      <c r="C756" s="396"/>
      <c r="D756" s="413"/>
      <c r="E756" s="343"/>
      <c r="F756" s="343"/>
    </row>
    <row r="757">
      <c r="A757" s="412"/>
      <c r="B757" s="412"/>
      <c r="C757" s="396"/>
      <c r="D757" s="413"/>
      <c r="E757" s="343"/>
      <c r="F757" s="343"/>
    </row>
    <row r="758">
      <c r="A758" s="412"/>
      <c r="B758" s="412"/>
      <c r="C758" s="396"/>
      <c r="D758" s="413"/>
      <c r="E758" s="343"/>
      <c r="F758" s="343"/>
    </row>
    <row r="759">
      <c r="A759" s="412"/>
      <c r="B759" s="412"/>
      <c r="C759" s="396"/>
      <c r="D759" s="413"/>
      <c r="E759" s="343"/>
      <c r="F759" s="343"/>
    </row>
    <row r="760">
      <c r="A760" s="412"/>
      <c r="B760" s="412"/>
      <c r="C760" s="396"/>
      <c r="D760" s="413"/>
      <c r="E760" s="343"/>
      <c r="F760" s="343"/>
    </row>
    <row r="761">
      <c r="A761" s="412"/>
      <c r="B761" s="412"/>
      <c r="C761" s="396"/>
      <c r="D761" s="413"/>
      <c r="E761" s="343"/>
      <c r="F761" s="343"/>
    </row>
    <row r="762">
      <c r="A762" s="412"/>
      <c r="B762" s="412"/>
      <c r="C762" s="396"/>
      <c r="D762" s="413"/>
      <c r="E762" s="343"/>
      <c r="F762" s="343"/>
    </row>
    <row r="763">
      <c r="A763" s="412"/>
      <c r="B763" s="412"/>
      <c r="C763" s="396"/>
      <c r="D763" s="413"/>
      <c r="E763" s="343"/>
      <c r="F763" s="343"/>
    </row>
    <row r="764">
      <c r="A764" s="412"/>
      <c r="B764" s="412"/>
      <c r="C764" s="396"/>
      <c r="D764" s="413"/>
      <c r="E764" s="343"/>
      <c r="F764" s="343"/>
    </row>
    <row r="765">
      <c r="A765" s="412"/>
      <c r="B765" s="412"/>
      <c r="C765" s="396"/>
      <c r="D765" s="413"/>
      <c r="E765" s="343"/>
      <c r="F765" s="343"/>
    </row>
    <row r="766">
      <c r="A766" s="412"/>
      <c r="B766" s="412"/>
      <c r="C766" s="396"/>
      <c r="D766" s="413"/>
      <c r="E766" s="343"/>
      <c r="F766" s="343"/>
    </row>
    <row r="767">
      <c r="A767" s="412"/>
      <c r="B767" s="412"/>
      <c r="C767" s="396"/>
      <c r="D767" s="413"/>
      <c r="E767" s="343"/>
      <c r="F767" s="343"/>
    </row>
    <row r="768">
      <c r="A768" s="412"/>
      <c r="B768" s="412"/>
      <c r="C768" s="396"/>
      <c r="D768" s="413"/>
      <c r="E768" s="343"/>
      <c r="F768" s="343"/>
    </row>
    <row r="769">
      <c r="A769" s="412"/>
      <c r="B769" s="412"/>
      <c r="C769" s="396"/>
      <c r="D769" s="413"/>
      <c r="E769" s="343"/>
      <c r="F769" s="343"/>
    </row>
    <row r="770">
      <c r="A770" s="412"/>
      <c r="B770" s="412"/>
      <c r="C770" s="396"/>
      <c r="D770" s="413"/>
      <c r="E770" s="343"/>
      <c r="F770" s="343"/>
    </row>
    <row r="771">
      <c r="A771" s="412"/>
      <c r="B771" s="412"/>
      <c r="C771" s="396"/>
      <c r="D771" s="413"/>
      <c r="E771" s="343"/>
      <c r="F771" s="343"/>
    </row>
    <row r="772">
      <c r="A772" s="412"/>
      <c r="B772" s="412"/>
      <c r="C772" s="396"/>
      <c r="D772" s="413"/>
      <c r="E772" s="343"/>
      <c r="F772" s="343"/>
    </row>
    <row r="773">
      <c r="A773" s="412"/>
      <c r="B773" s="412"/>
      <c r="C773" s="396"/>
      <c r="D773" s="413"/>
      <c r="E773" s="343"/>
      <c r="F773" s="343"/>
    </row>
    <row r="774">
      <c r="A774" s="412"/>
      <c r="B774" s="412"/>
      <c r="C774" s="396"/>
      <c r="D774" s="413"/>
      <c r="E774" s="343"/>
      <c r="F774" s="343"/>
    </row>
    <row r="775">
      <c r="A775" s="412"/>
      <c r="B775" s="412"/>
      <c r="C775" s="396"/>
      <c r="D775" s="413"/>
      <c r="E775" s="343"/>
      <c r="F775" s="343"/>
    </row>
    <row r="776">
      <c r="A776" s="412"/>
      <c r="B776" s="412"/>
      <c r="C776" s="396"/>
      <c r="D776" s="413"/>
      <c r="E776" s="343"/>
      <c r="F776" s="343"/>
    </row>
    <row r="777">
      <c r="A777" s="412"/>
      <c r="B777" s="412"/>
      <c r="C777" s="396"/>
      <c r="D777" s="413"/>
      <c r="E777" s="343"/>
      <c r="F777" s="343"/>
    </row>
    <row r="778">
      <c r="A778" s="412"/>
      <c r="B778" s="412"/>
      <c r="C778" s="396"/>
      <c r="D778" s="413"/>
      <c r="E778" s="343"/>
      <c r="F778" s="343"/>
    </row>
    <row r="779">
      <c r="A779" s="412"/>
      <c r="B779" s="412"/>
      <c r="C779" s="396"/>
      <c r="D779" s="413"/>
      <c r="E779" s="343"/>
      <c r="F779" s="343"/>
    </row>
    <row r="780">
      <c r="A780" s="412"/>
      <c r="B780" s="412"/>
      <c r="C780" s="396"/>
      <c r="D780" s="413"/>
      <c r="E780" s="343"/>
      <c r="F780" s="343"/>
    </row>
    <row r="781">
      <c r="A781" s="412"/>
      <c r="B781" s="412"/>
      <c r="C781" s="396"/>
      <c r="D781" s="413"/>
      <c r="E781" s="343"/>
      <c r="F781" s="343"/>
    </row>
    <row r="782">
      <c r="A782" s="412"/>
      <c r="B782" s="412"/>
      <c r="C782" s="396"/>
      <c r="D782" s="413"/>
      <c r="E782" s="343"/>
      <c r="F782" s="343"/>
    </row>
    <row r="783">
      <c r="A783" s="412"/>
      <c r="B783" s="412"/>
      <c r="C783" s="396"/>
      <c r="D783" s="413"/>
      <c r="E783" s="343"/>
      <c r="F783" s="343"/>
    </row>
    <row r="784">
      <c r="A784" s="412"/>
      <c r="B784" s="412"/>
      <c r="C784" s="396"/>
      <c r="D784" s="413"/>
      <c r="E784" s="343"/>
      <c r="F784" s="343"/>
    </row>
    <row r="785">
      <c r="A785" s="412"/>
      <c r="B785" s="412"/>
      <c r="C785" s="396"/>
      <c r="D785" s="413"/>
      <c r="E785" s="343"/>
      <c r="F785" s="343"/>
    </row>
    <row r="786">
      <c r="A786" s="412"/>
      <c r="B786" s="412"/>
      <c r="C786" s="396"/>
      <c r="D786" s="413"/>
      <c r="E786" s="343"/>
      <c r="F786" s="343"/>
    </row>
    <row r="787">
      <c r="A787" s="412"/>
      <c r="B787" s="412"/>
      <c r="C787" s="396"/>
      <c r="D787" s="413"/>
      <c r="E787" s="343"/>
      <c r="F787" s="343"/>
    </row>
    <row r="788">
      <c r="A788" s="412"/>
      <c r="B788" s="412"/>
      <c r="C788" s="396"/>
      <c r="D788" s="413"/>
      <c r="E788" s="343"/>
      <c r="F788" s="343"/>
    </row>
    <row r="789">
      <c r="A789" s="412"/>
      <c r="B789" s="412"/>
      <c r="C789" s="396"/>
      <c r="D789" s="413"/>
      <c r="E789" s="343"/>
      <c r="F789" s="343"/>
    </row>
    <row r="790">
      <c r="A790" s="412"/>
      <c r="B790" s="412"/>
      <c r="C790" s="396"/>
      <c r="D790" s="413"/>
      <c r="E790" s="343"/>
      <c r="F790" s="343"/>
    </row>
    <row r="791">
      <c r="A791" s="412"/>
      <c r="B791" s="412"/>
      <c r="C791" s="396"/>
      <c r="D791" s="413"/>
      <c r="E791" s="343"/>
      <c r="F791" s="343"/>
    </row>
    <row r="792">
      <c r="A792" s="412"/>
      <c r="B792" s="412"/>
      <c r="C792" s="396"/>
      <c r="D792" s="413"/>
      <c r="E792" s="343"/>
      <c r="F792" s="343"/>
    </row>
    <row r="793">
      <c r="A793" s="412"/>
      <c r="B793" s="412"/>
      <c r="C793" s="396"/>
      <c r="D793" s="413"/>
      <c r="E793" s="343"/>
      <c r="F793" s="343"/>
    </row>
    <row r="794">
      <c r="A794" s="412"/>
      <c r="B794" s="412"/>
      <c r="C794" s="396"/>
      <c r="D794" s="413"/>
      <c r="E794" s="343"/>
      <c r="F794" s="343"/>
    </row>
    <row r="795">
      <c r="A795" s="412"/>
      <c r="B795" s="412"/>
      <c r="C795" s="396"/>
      <c r="D795" s="413"/>
      <c r="E795" s="343"/>
      <c r="F795" s="343"/>
    </row>
    <row r="796">
      <c r="A796" s="412"/>
      <c r="B796" s="412"/>
      <c r="C796" s="396"/>
      <c r="D796" s="413"/>
      <c r="E796" s="343"/>
      <c r="F796" s="343"/>
    </row>
    <row r="797">
      <c r="A797" s="412"/>
      <c r="B797" s="412"/>
      <c r="C797" s="396"/>
      <c r="D797" s="413"/>
      <c r="E797" s="343"/>
      <c r="F797" s="343"/>
    </row>
    <row r="798">
      <c r="A798" s="412"/>
      <c r="B798" s="412"/>
      <c r="C798" s="396"/>
      <c r="D798" s="413"/>
      <c r="E798" s="343"/>
      <c r="F798" s="343"/>
    </row>
    <row r="799">
      <c r="A799" s="412"/>
      <c r="B799" s="412"/>
      <c r="C799" s="396"/>
      <c r="D799" s="413"/>
      <c r="E799" s="343"/>
      <c r="F799" s="343"/>
    </row>
    <row r="800">
      <c r="A800" s="412"/>
      <c r="B800" s="412"/>
      <c r="C800" s="396"/>
      <c r="D800" s="413"/>
      <c r="E800" s="343"/>
      <c r="F800" s="343"/>
    </row>
    <row r="801">
      <c r="A801" s="412"/>
      <c r="B801" s="412"/>
      <c r="C801" s="396"/>
      <c r="D801" s="413"/>
      <c r="E801" s="343"/>
      <c r="F801" s="343"/>
    </row>
    <row r="802">
      <c r="A802" s="412"/>
      <c r="B802" s="412"/>
      <c r="C802" s="396"/>
      <c r="D802" s="413"/>
      <c r="E802" s="343"/>
      <c r="F802" s="343"/>
    </row>
    <row r="803">
      <c r="A803" s="412"/>
      <c r="B803" s="412"/>
      <c r="C803" s="396"/>
      <c r="D803" s="413"/>
      <c r="E803" s="343"/>
      <c r="F803" s="343"/>
    </row>
    <row r="804">
      <c r="A804" s="412"/>
      <c r="B804" s="412"/>
      <c r="C804" s="396"/>
      <c r="D804" s="413"/>
      <c r="E804" s="343"/>
      <c r="F804" s="343"/>
    </row>
    <row r="805">
      <c r="A805" s="412"/>
      <c r="B805" s="412"/>
      <c r="C805" s="396"/>
      <c r="D805" s="413"/>
      <c r="E805" s="343"/>
      <c r="F805" s="343"/>
    </row>
    <row r="806">
      <c r="A806" s="412"/>
      <c r="B806" s="412"/>
      <c r="C806" s="396"/>
      <c r="D806" s="413"/>
      <c r="E806" s="343"/>
      <c r="F806" s="343"/>
    </row>
    <row r="807">
      <c r="A807" s="412"/>
      <c r="B807" s="412"/>
      <c r="C807" s="396"/>
      <c r="D807" s="413"/>
      <c r="E807" s="343"/>
      <c r="F807" s="343"/>
    </row>
    <row r="808">
      <c r="A808" s="412"/>
      <c r="B808" s="412"/>
      <c r="C808" s="396"/>
      <c r="D808" s="413"/>
      <c r="E808" s="343"/>
      <c r="F808" s="343"/>
    </row>
    <row r="809">
      <c r="A809" s="412"/>
      <c r="B809" s="412"/>
      <c r="C809" s="396"/>
      <c r="D809" s="413"/>
      <c r="E809" s="343"/>
      <c r="F809" s="343"/>
    </row>
    <row r="810">
      <c r="A810" s="412"/>
      <c r="B810" s="412"/>
      <c r="C810" s="396"/>
      <c r="D810" s="413"/>
      <c r="E810" s="343"/>
      <c r="F810" s="343"/>
    </row>
    <row r="811">
      <c r="A811" s="412"/>
      <c r="B811" s="412"/>
      <c r="C811" s="396"/>
      <c r="D811" s="413"/>
      <c r="E811" s="343"/>
      <c r="F811" s="343"/>
    </row>
    <row r="812">
      <c r="A812" s="412"/>
      <c r="B812" s="412"/>
      <c r="C812" s="396"/>
      <c r="D812" s="413"/>
      <c r="E812" s="343"/>
      <c r="F812" s="343"/>
    </row>
    <row r="813">
      <c r="A813" s="412"/>
      <c r="B813" s="412"/>
      <c r="C813" s="396"/>
      <c r="D813" s="413"/>
      <c r="E813" s="343"/>
      <c r="F813" s="343"/>
    </row>
    <row r="814">
      <c r="A814" s="412"/>
      <c r="B814" s="412"/>
      <c r="C814" s="396"/>
      <c r="D814" s="413"/>
      <c r="E814" s="343"/>
      <c r="F814" s="343"/>
    </row>
    <row r="815">
      <c r="A815" s="412"/>
      <c r="B815" s="412"/>
      <c r="C815" s="396"/>
      <c r="D815" s="413"/>
      <c r="E815" s="343"/>
      <c r="F815" s="343"/>
    </row>
    <row r="816">
      <c r="A816" s="412"/>
      <c r="B816" s="412"/>
      <c r="C816" s="396"/>
      <c r="D816" s="413"/>
      <c r="E816" s="343"/>
      <c r="F816" s="343"/>
    </row>
    <row r="817">
      <c r="A817" s="412"/>
      <c r="B817" s="412"/>
      <c r="C817" s="396"/>
      <c r="D817" s="413"/>
      <c r="E817" s="343"/>
      <c r="F817" s="343"/>
    </row>
    <row r="818">
      <c r="A818" s="412"/>
      <c r="B818" s="412"/>
      <c r="C818" s="396"/>
      <c r="D818" s="413"/>
      <c r="E818" s="343"/>
      <c r="F818" s="343"/>
    </row>
    <row r="819">
      <c r="A819" s="412"/>
      <c r="B819" s="412"/>
      <c r="C819" s="396"/>
      <c r="D819" s="413"/>
      <c r="E819" s="343"/>
      <c r="F819" s="343"/>
    </row>
    <row r="820">
      <c r="A820" s="412"/>
      <c r="B820" s="412"/>
      <c r="C820" s="396"/>
      <c r="D820" s="413"/>
      <c r="E820" s="343"/>
      <c r="F820" s="343"/>
    </row>
    <row r="821">
      <c r="A821" s="412"/>
      <c r="B821" s="412"/>
      <c r="C821" s="396"/>
      <c r="D821" s="413"/>
      <c r="E821" s="343"/>
      <c r="F821" s="343"/>
    </row>
    <row r="822">
      <c r="A822" s="412"/>
      <c r="B822" s="412"/>
      <c r="C822" s="396"/>
      <c r="D822" s="413"/>
      <c r="E822" s="343"/>
      <c r="F822" s="343"/>
    </row>
    <row r="823">
      <c r="A823" s="412"/>
      <c r="B823" s="412"/>
      <c r="C823" s="396"/>
      <c r="D823" s="413"/>
      <c r="E823" s="343"/>
      <c r="F823" s="343"/>
    </row>
    <row r="824">
      <c r="A824" s="412"/>
      <c r="B824" s="412"/>
      <c r="C824" s="396"/>
      <c r="D824" s="413"/>
      <c r="E824" s="343"/>
      <c r="F824" s="343"/>
    </row>
    <row r="825">
      <c r="A825" s="412"/>
      <c r="B825" s="412"/>
      <c r="C825" s="396"/>
      <c r="D825" s="413"/>
      <c r="E825" s="343"/>
      <c r="F825" s="343"/>
    </row>
    <row r="826">
      <c r="A826" s="412"/>
      <c r="B826" s="412"/>
      <c r="C826" s="396"/>
      <c r="D826" s="413"/>
      <c r="E826" s="343"/>
      <c r="F826" s="343"/>
    </row>
    <row r="827">
      <c r="A827" s="412"/>
      <c r="B827" s="412"/>
      <c r="C827" s="396"/>
      <c r="D827" s="413"/>
      <c r="E827" s="343"/>
      <c r="F827" s="343"/>
    </row>
    <row r="828">
      <c r="A828" s="412"/>
      <c r="B828" s="412"/>
      <c r="C828" s="396"/>
      <c r="D828" s="413"/>
      <c r="E828" s="343"/>
      <c r="F828" s="343"/>
    </row>
    <row r="829">
      <c r="A829" s="412"/>
      <c r="B829" s="412"/>
      <c r="C829" s="396"/>
      <c r="D829" s="413"/>
      <c r="E829" s="343"/>
      <c r="F829" s="343"/>
    </row>
    <row r="830">
      <c r="A830" s="412"/>
      <c r="B830" s="412"/>
      <c r="C830" s="396"/>
      <c r="D830" s="413"/>
      <c r="E830" s="343"/>
      <c r="F830" s="343"/>
    </row>
    <row r="831">
      <c r="A831" s="412"/>
      <c r="B831" s="412"/>
      <c r="C831" s="396"/>
      <c r="D831" s="413"/>
      <c r="E831" s="343"/>
      <c r="F831" s="343"/>
    </row>
    <row r="832">
      <c r="A832" s="412"/>
      <c r="B832" s="412"/>
      <c r="C832" s="396"/>
      <c r="D832" s="413"/>
      <c r="E832" s="343"/>
      <c r="F832" s="343"/>
    </row>
    <row r="833">
      <c r="A833" s="412"/>
      <c r="B833" s="412"/>
      <c r="C833" s="396"/>
      <c r="D833" s="413"/>
      <c r="E833" s="343"/>
      <c r="F833" s="343"/>
    </row>
    <row r="834">
      <c r="A834" s="412"/>
      <c r="B834" s="412"/>
      <c r="C834" s="396"/>
      <c r="D834" s="413"/>
      <c r="E834" s="343"/>
      <c r="F834" s="343"/>
    </row>
    <row r="835">
      <c r="A835" s="412"/>
      <c r="B835" s="412"/>
      <c r="C835" s="396"/>
      <c r="D835" s="413"/>
      <c r="E835" s="343"/>
      <c r="F835" s="343"/>
    </row>
    <row r="836">
      <c r="A836" s="412"/>
      <c r="B836" s="412"/>
      <c r="C836" s="396"/>
      <c r="D836" s="413"/>
      <c r="E836" s="343"/>
      <c r="F836" s="343"/>
    </row>
    <row r="837">
      <c r="A837" s="412"/>
      <c r="B837" s="412"/>
      <c r="C837" s="396"/>
      <c r="D837" s="413"/>
      <c r="E837" s="343"/>
      <c r="F837" s="343"/>
    </row>
    <row r="838">
      <c r="A838" s="412"/>
      <c r="B838" s="412"/>
      <c r="C838" s="396"/>
      <c r="D838" s="413"/>
      <c r="E838" s="343"/>
      <c r="F838" s="343"/>
    </row>
    <row r="839">
      <c r="A839" s="412"/>
      <c r="B839" s="412"/>
      <c r="C839" s="396"/>
      <c r="D839" s="413"/>
      <c r="E839" s="343"/>
      <c r="F839" s="343"/>
    </row>
    <row r="840">
      <c r="A840" s="412"/>
      <c r="B840" s="412"/>
      <c r="C840" s="396"/>
      <c r="D840" s="413"/>
      <c r="E840" s="343"/>
      <c r="F840" s="343"/>
    </row>
    <row r="841">
      <c r="A841" s="412"/>
      <c r="B841" s="412"/>
      <c r="C841" s="396"/>
      <c r="D841" s="413"/>
      <c r="E841" s="343"/>
      <c r="F841" s="343"/>
    </row>
    <row r="842">
      <c r="A842" s="412"/>
      <c r="B842" s="412"/>
      <c r="C842" s="396"/>
      <c r="D842" s="413"/>
      <c r="E842" s="343"/>
      <c r="F842" s="343"/>
    </row>
    <row r="843">
      <c r="A843" s="412"/>
      <c r="B843" s="412"/>
      <c r="C843" s="396"/>
      <c r="D843" s="413"/>
      <c r="E843" s="343"/>
      <c r="F843" s="343"/>
    </row>
    <row r="844">
      <c r="A844" s="412"/>
      <c r="B844" s="412"/>
      <c r="C844" s="396"/>
      <c r="D844" s="413"/>
      <c r="E844" s="343"/>
      <c r="F844" s="343"/>
    </row>
    <row r="845">
      <c r="A845" s="412"/>
      <c r="B845" s="412"/>
      <c r="C845" s="396"/>
      <c r="D845" s="413"/>
      <c r="E845" s="343"/>
      <c r="F845" s="343"/>
    </row>
    <row r="846">
      <c r="A846" s="412"/>
      <c r="B846" s="412"/>
      <c r="C846" s="396"/>
      <c r="D846" s="413"/>
      <c r="E846" s="343"/>
      <c r="F846" s="343"/>
    </row>
    <row r="847">
      <c r="A847" s="412"/>
      <c r="B847" s="412"/>
      <c r="C847" s="396"/>
      <c r="D847" s="413"/>
      <c r="E847" s="343"/>
      <c r="F847" s="343"/>
    </row>
    <row r="848">
      <c r="A848" s="412"/>
      <c r="B848" s="412"/>
      <c r="C848" s="396"/>
      <c r="D848" s="413"/>
      <c r="E848" s="343"/>
      <c r="F848" s="343"/>
    </row>
    <row r="849">
      <c r="A849" s="412"/>
      <c r="B849" s="412"/>
      <c r="C849" s="396"/>
      <c r="D849" s="413"/>
      <c r="E849" s="343"/>
      <c r="F849" s="343"/>
    </row>
    <row r="850">
      <c r="A850" s="412"/>
      <c r="B850" s="412"/>
      <c r="C850" s="396"/>
      <c r="D850" s="413"/>
      <c r="E850" s="343"/>
      <c r="F850" s="343"/>
    </row>
    <row r="851">
      <c r="A851" s="412"/>
      <c r="B851" s="412"/>
      <c r="C851" s="396"/>
      <c r="D851" s="413"/>
      <c r="E851" s="343"/>
      <c r="F851" s="343"/>
    </row>
    <row r="852">
      <c r="A852" s="412"/>
      <c r="B852" s="412"/>
      <c r="C852" s="396"/>
      <c r="D852" s="413"/>
      <c r="E852" s="343"/>
      <c r="F852" s="343"/>
    </row>
    <row r="853">
      <c r="A853" s="412"/>
      <c r="B853" s="412"/>
      <c r="C853" s="396"/>
      <c r="D853" s="413"/>
      <c r="E853" s="343"/>
      <c r="F853" s="343"/>
    </row>
    <row r="854">
      <c r="A854" s="412"/>
      <c r="B854" s="412"/>
      <c r="C854" s="396"/>
      <c r="D854" s="413"/>
      <c r="E854" s="343"/>
      <c r="F854" s="343"/>
    </row>
    <row r="855">
      <c r="A855" s="412"/>
      <c r="B855" s="412"/>
      <c r="C855" s="396"/>
      <c r="D855" s="413"/>
      <c r="E855" s="343"/>
      <c r="F855" s="343"/>
    </row>
    <row r="856">
      <c r="A856" s="412"/>
      <c r="B856" s="412"/>
      <c r="C856" s="396"/>
      <c r="D856" s="413"/>
      <c r="E856" s="343"/>
      <c r="F856" s="343"/>
    </row>
    <row r="857">
      <c r="A857" s="412"/>
      <c r="B857" s="412"/>
      <c r="C857" s="396"/>
      <c r="D857" s="413"/>
      <c r="E857" s="343"/>
      <c r="F857" s="343"/>
    </row>
    <row r="858">
      <c r="A858" s="412"/>
      <c r="B858" s="412"/>
      <c r="C858" s="396"/>
      <c r="D858" s="413"/>
      <c r="E858" s="343"/>
      <c r="F858" s="343"/>
    </row>
    <row r="859">
      <c r="A859" s="412"/>
      <c r="B859" s="412"/>
      <c r="C859" s="396"/>
      <c r="D859" s="413"/>
      <c r="E859" s="343"/>
      <c r="F859" s="343"/>
    </row>
    <row r="860">
      <c r="A860" s="412"/>
      <c r="B860" s="412"/>
      <c r="C860" s="396"/>
      <c r="D860" s="413"/>
      <c r="E860" s="343"/>
      <c r="F860" s="343"/>
    </row>
    <row r="861">
      <c r="A861" s="412"/>
      <c r="B861" s="412"/>
      <c r="C861" s="396"/>
      <c r="D861" s="413"/>
      <c r="E861" s="343"/>
      <c r="F861" s="343"/>
    </row>
    <row r="862">
      <c r="A862" s="412"/>
      <c r="B862" s="412"/>
      <c r="C862" s="396"/>
      <c r="D862" s="413"/>
      <c r="E862" s="343"/>
      <c r="F862" s="343"/>
    </row>
    <row r="863">
      <c r="A863" s="412"/>
      <c r="B863" s="412"/>
      <c r="C863" s="396"/>
      <c r="D863" s="413"/>
      <c r="E863" s="343"/>
      <c r="F863" s="343"/>
    </row>
    <row r="864">
      <c r="A864" s="412"/>
      <c r="B864" s="412"/>
      <c r="C864" s="396"/>
      <c r="D864" s="413"/>
      <c r="E864" s="343"/>
      <c r="F864" s="343"/>
    </row>
    <row r="865">
      <c r="A865" s="412"/>
      <c r="B865" s="412"/>
      <c r="C865" s="396"/>
      <c r="D865" s="413"/>
      <c r="E865" s="343"/>
      <c r="F865" s="343"/>
    </row>
    <row r="866">
      <c r="A866" s="412"/>
      <c r="B866" s="412"/>
      <c r="C866" s="396"/>
      <c r="D866" s="413"/>
      <c r="E866" s="343"/>
      <c r="F866" s="343"/>
    </row>
    <row r="867">
      <c r="A867" s="412"/>
      <c r="B867" s="412"/>
      <c r="C867" s="396"/>
      <c r="D867" s="413"/>
      <c r="E867" s="343"/>
      <c r="F867" s="343"/>
    </row>
    <row r="868">
      <c r="A868" s="412"/>
      <c r="B868" s="412"/>
      <c r="C868" s="396"/>
      <c r="D868" s="413"/>
      <c r="E868" s="343"/>
      <c r="F868" s="343"/>
    </row>
    <row r="869">
      <c r="A869" s="412"/>
      <c r="B869" s="412"/>
      <c r="C869" s="396"/>
      <c r="D869" s="413"/>
      <c r="E869" s="343"/>
      <c r="F869" s="343"/>
    </row>
    <row r="870">
      <c r="A870" s="412"/>
      <c r="B870" s="412"/>
      <c r="C870" s="396"/>
      <c r="D870" s="413"/>
      <c r="E870" s="343"/>
      <c r="F870" s="343"/>
    </row>
    <row r="871">
      <c r="A871" s="412"/>
      <c r="B871" s="412"/>
      <c r="C871" s="396"/>
      <c r="D871" s="413"/>
      <c r="E871" s="343"/>
      <c r="F871" s="343"/>
    </row>
    <row r="872">
      <c r="A872" s="412"/>
      <c r="B872" s="412"/>
      <c r="C872" s="396"/>
      <c r="D872" s="413"/>
      <c r="E872" s="343"/>
      <c r="F872" s="343"/>
    </row>
    <row r="873">
      <c r="A873" s="412"/>
      <c r="B873" s="412"/>
      <c r="C873" s="396"/>
      <c r="D873" s="413"/>
      <c r="E873" s="343"/>
      <c r="F873" s="343"/>
    </row>
    <row r="874">
      <c r="A874" s="412"/>
      <c r="B874" s="412"/>
      <c r="C874" s="396"/>
      <c r="D874" s="413"/>
      <c r="E874" s="343"/>
      <c r="F874" s="343"/>
    </row>
    <row r="875">
      <c r="A875" s="412"/>
      <c r="B875" s="412"/>
      <c r="C875" s="396"/>
      <c r="D875" s="413"/>
      <c r="E875" s="343"/>
      <c r="F875" s="343"/>
    </row>
    <row r="876">
      <c r="A876" s="412"/>
      <c r="B876" s="412"/>
      <c r="C876" s="396"/>
      <c r="D876" s="413"/>
      <c r="E876" s="343"/>
      <c r="F876" s="343"/>
    </row>
    <row r="877">
      <c r="A877" s="412"/>
      <c r="B877" s="412"/>
      <c r="C877" s="396"/>
      <c r="D877" s="413"/>
      <c r="E877" s="343"/>
      <c r="F877" s="343"/>
    </row>
    <row r="878">
      <c r="A878" s="412"/>
      <c r="B878" s="412"/>
      <c r="C878" s="396"/>
      <c r="D878" s="413"/>
      <c r="E878" s="343"/>
      <c r="F878" s="343"/>
    </row>
    <row r="879">
      <c r="A879" s="412"/>
      <c r="B879" s="412"/>
      <c r="C879" s="396"/>
      <c r="D879" s="413"/>
      <c r="E879" s="343"/>
      <c r="F879" s="343"/>
    </row>
    <row r="880">
      <c r="A880" s="412"/>
      <c r="B880" s="412"/>
      <c r="C880" s="396"/>
      <c r="D880" s="413"/>
      <c r="E880" s="343"/>
      <c r="F880" s="343"/>
    </row>
    <row r="881">
      <c r="A881" s="412"/>
      <c r="B881" s="412"/>
      <c r="C881" s="396"/>
      <c r="D881" s="413"/>
      <c r="E881" s="343"/>
      <c r="F881" s="343"/>
    </row>
    <row r="882">
      <c r="A882" s="412"/>
      <c r="B882" s="412"/>
      <c r="C882" s="396"/>
      <c r="D882" s="413"/>
      <c r="E882" s="343"/>
      <c r="F882" s="343"/>
    </row>
    <row r="883">
      <c r="A883" s="412"/>
      <c r="B883" s="412"/>
      <c r="C883" s="396"/>
      <c r="D883" s="413"/>
      <c r="E883" s="343"/>
      <c r="F883" s="343"/>
    </row>
    <row r="884">
      <c r="A884" s="412"/>
      <c r="B884" s="412"/>
      <c r="C884" s="396"/>
      <c r="D884" s="413"/>
      <c r="E884" s="343"/>
      <c r="F884" s="343"/>
    </row>
    <row r="885">
      <c r="A885" s="412"/>
      <c r="B885" s="412"/>
      <c r="C885" s="396"/>
      <c r="D885" s="413"/>
      <c r="E885" s="343"/>
      <c r="F885" s="343"/>
    </row>
    <row r="886">
      <c r="A886" s="412"/>
      <c r="B886" s="412"/>
      <c r="C886" s="396"/>
      <c r="D886" s="413"/>
      <c r="E886" s="343"/>
      <c r="F886" s="343"/>
    </row>
    <row r="887">
      <c r="A887" s="412"/>
      <c r="B887" s="412"/>
      <c r="C887" s="396"/>
      <c r="D887" s="413"/>
      <c r="E887" s="343"/>
      <c r="F887" s="343"/>
    </row>
    <row r="888">
      <c r="A888" s="412"/>
      <c r="B888" s="412"/>
      <c r="C888" s="396"/>
      <c r="D888" s="413"/>
      <c r="E888" s="343"/>
      <c r="F888" s="343"/>
    </row>
    <row r="889">
      <c r="A889" s="412"/>
      <c r="B889" s="412"/>
      <c r="C889" s="396"/>
      <c r="D889" s="413"/>
      <c r="E889" s="343"/>
      <c r="F889" s="343"/>
    </row>
    <row r="890">
      <c r="A890" s="412"/>
      <c r="B890" s="412"/>
      <c r="C890" s="396"/>
      <c r="D890" s="413"/>
      <c r="E890" s="343"/>
      <c r="F890" s="343"/>
    </row>
    <row r="891">
      <c r="A891" s="412"/>
      <c r="B891" s="412"/>
      <c r="C891" s="396"/>
      <c r="D891" s="413"/>
      <c r="E891" s="343"/>
      <c r="F891" s="343"/>
    </row>
    <row r="892">
      <c r="A892" s="412"/>
      <c r="B892" s="412"/>
      <c r="C892" s="396"/>
      <c r="D892" s="413"/>
      <c r="E892" s="343"/>
      <c r="F892" s="343"/>
    </row>
    <row r="893">
      <c r="A893" s="412"/>
      <c r="B893" s="412"/>
      <c r="C893" s="396"/>
      <c r="D893" s="413"/>
      <c r="E893" s="343"/>
      <c r="F893" s="343"/>
    </row>
    <row r="894">
      <c r="A894" s="412"/>
      <c r="B894" s="412"/>
      <c r="C894" s="396"/>
      <c r="D894" s="413"/>
      <c r="E894" s="343"/>
      <c r="F894" s="343"/>
    </row>
    <row r="895">
      <c r="A895" s="412"/>
      <c r="B895" s="412"/>
      <c r="C895" s="396"/>
      <c r="D895" s="413"/>
      <c r="E895" s="343"/>
      <c r="F895" s="343"/>
    </row>
    <row r="896">
      <c r="A896" s="412"/>
      <c r="B896" s="412"/>
      <c r="C896" s="396"/>
      <c r="D896" s="413"/>
      <c r="E896" s="343"/>
      <c r="F896" s="343"/>
    </row>
    <row r="897">
      <c r="A897" s="412"/>
      <c r="B897" s="412"/>
      <c r="C897" s="396"/>
      <c r="D897" s="413"/>
      <c r="E897" s="343"/>
      <c r="F897" s="343"/>
    </row>
    <row r="898">
      <c r="A898" s="412"/>
      <c r="B898" s="412"/>
      <c r="C898" s="396"/>
      <c r="D898" s="413"/>
      <c r="E898" s="343"/>
      <c r="F898" s="343"/>
    </row>
    <row r="899">
      <c r="A899" s="412"/>
      <c r="B899" s="412"/>
      <c r="C899" s="396"/>
      <c r="D899" s="413"/>
      <c r="E899" s="343"/>
      <c r="F899" s="343"/>
    </row>
    <row r="900">
      <c r="A900" s="412"/>
      <c r="B900" s="412"/>
      <c r="C900" s="396"/>
      <c r="D900" s="413"/>
      <c r="E900" s="343"/>
      <c r="F900" s="343"/>
    </row>
    <row r="901">
      <c r="A901" s="412"/>
      <c r="B901" s="412"/>
      <c r="C901" s="396"/>
      <c r="D901" s="413"/>
      <c r="E901" s="343"/>
      <c r="F901" s="343"/>
    </row>
    <row r="902">
      <c r="A902" s="412"/>
      <c r="B902" s="412"/>
      <c r="C902" s="396"/>
      <c r="D902" s="413"/>
      <c r="E902" s="343"/>
      <c r="F902" s="343"/>
    </row>
    <row r="903">
      <c r="A903" s="412"/>
      <c r="B903" s="412"/>
      <c r="C903" s="396"/>
      <c r="D903" s="413"/>
      <c r="E903" s="343"/>
      <c r="F903" s="343"/>
    </row>
    <row r="904">
      <c r="A904" s="412"/>
      <c r="B904" s="412"/>
      <c r="C904" s="396"/>
      <c r="D904" s="413"/>
      <c r="E904" s="343"/>
      <c r="F904" s="343"/>
    </row>
    <row r="905">
      <c r="A905" s="412"/>
      <c r="B905" s="412"/>
      <c r="C905" s="396"/>
      <c r="D905" s="413"/>
      <c r="E905" s="343"/>
      <c r="F905" s="343"/>
    </row>
    <row r="906">
      <c r="A906" s="412"/>
      <c r="B906" s="412"/>
      <c r="C906" s="396"/>
      <c r="D906" s="413"/>
      <c r="E906" s="343"/>
      <c r="F906" s="343"/>
    </row>
    <row r="907">
      <c r="A907" s="412"/>
      <c r="B907" s="412"/>
      <c r="C907" s="396"/>
      <c r="D907" s="413"/>
      <c r="E907" s="343"/>
      <c r="F907" s="343"/>
    </row>
    <row r="908">
      <c r="A908" s="412"/>
      <c r="B908" s="412"/>
      <c r="C908" s="396"/>
      <c r="D908" s="413"/>
      <c r="E908" s="343"/>
      <c r="F908" s="343"/>
    </row>
    <row r="909">
      <c r="A909" s="412"/>
      <c r="B909" s="412"/>
      <c r="C909" s="396"/>
      <c r="D909" s="413"/>
      <c r="E909" s="343"/>
      <c r="F909" s="343"/>
    </row>
    <row r="910">
      <c r="A910" s="412"/>
      <c r="B910" s="412"/>
      <c r="C910" s="396"/>
      <c r="D910" s="413"/>
      <c r="E910" s="343"/>
      <c r="F910" s="343"/>
    </row>
    <row r="911">
      <c r="A911" s="412"/>
      <c r="B911" s="412"/>
      <c r="C911" s="396"/>
      <c r="D911" s="413"/>
      <c r="E911" s="343"/>
      <c r="F911" s="343"/>
    </row>
    <row r="912">
      <c r="A912" s="412"/>
      <c r="B912" s="412"/>
      <c r="C912" s="396"/>
      <c r="D912" s="413"/>
      <c r="E912" s="343"/>
      <c r="F912" s="343"/>
    </row>
    <row r="913">
      <c r="A913" s="412"/>
      <c r="B913" s="412"/>
      <c r="C913" s="396"/>
      <c r="D913" s="413"/>
      <c r="E913" s="343"/>
      <c r="F913" s="343"/>
    </row>
    <row r="914">
      <c r="A914" s="412"/>
      <c r="B914" s="412"/>
      <c r="C914" s="396"/>
      <c r="D914" s="413"/>
      <c r="E914" s="343"/>
      <c r="F914" s="343"/>
    </row>
    <row r="915">
      <c r="A915" s="412"/>
      <c r="B915" s="412"/>
      <c r="C915" s="396"/>
      <c r="D915" s="413"/>
      <c r="E915" s="343"/>
      <c r="F915" s="343"/>
    </row>
    <row r="916">
      <c r="A916" s="412"/>
      <c r="B916" s="412"/>
      <c r="C916" s="396"/>
      <c r="D916" s="413"/>
      <c r="E916" s="343"/>
      <c r="F916" s="343"/>
    </row>
    <row r="917">
      <c r="A917" s="412"/>
      <c r="B917" s="412"/>
      <c r="C917" s="396"/>
      <c r="D917" s="413"/>
      <c r="E917" s="343"/>
      <c r="F917" s="343"/>
    </row>
    <row r="918">
      <c r="A918" s="412"/>
      <c r="B918" s="412"/>
      <c r="C918" s="396"/>
      <c r="D918" s="413"/>
      <c r="E918" s="343"/>
      <c r="F918" s="343"/>
    </row>
    <row r="919">
      <c r="A919" s="412"/>
      <c r="B919" s="412"/>
      <c r="C919" s="396"/>
      <c r="D919" s="413"/>
      <c r="E919" s="343"/>
      <c r="F919" s="343"/>
    </row>
    <row r="920">
      <c r="A920" s="412"/>
      <c r="B920" s="412"/>
      <c r="C920" s="396"/>
      <c r="D920" s="413"/>
      <c r="E920" s="343"/>
      <c r="F920" s="343"/>
    </row>
    <row r="921">
      <c r="A921" s="412"/>
      <c r="B921" s="412"/>
      <c r="C921" s="396"/>
      <c r="D921" s="413"/>
      <c r="E921" s="343"/>
      <c r="F921" s="343"/>
    </row>
    <row r="922">
      <c r="A922" s="412"/>
      <c r="B922" s="412"/>
      <c r="C922" s="396"/>
      <c r="D922" s="413"/>
      <c r="E922" s="343"/>
      <c r="F922" s="343"/>
    </row>
    <row r="923">
      <c r="A923" s="412"/>
      <c r="B923" s="412"/>
      <c r="C923" s="396"/>
      <c r="D923" s="413"/>
      <c r="E923" s="343"/>
      <c r="F923" s="343"/>
    </row>
    <row r="924">
      <c r="A924" s="412"/>
      <c r="B924" s="412"/>
      <c r="C924" s="396"/>
      <c r="D924" s="413"/>
      <c r="E924" s="343"/>
      <c r="F924" s="343"/>
    </row>
    <row r="925">
      <c r="A925" s="412"/>
      <c r="B925" s="412"/>
      <c r="C925" s="396"/>
      <c r="D925" s="413"/>
      <c r="E925" s="343"/>
      <c r="F925" s="343"/>
    </row>
    <row r="926">
      <c r="A926" s="412"/>
      <c r="B926" s="412"/>
      <c r="C926" s="396"/>
      <c r="D926" s="413"/>
      <c r="E926" s="343"/>
      <c r="F926" s="343"/>
    </row>
    <row r="927">
      <c r="A927" s="412"/>
      <c r="B927" s="412"/>
      <c r="C927" s="396"/>
      <c r="D927" s="413"/>
      <c r="E927" s="343"/>
      <c r="F927" s="343"/>
    </row>
    <row r="928">
      <c r="A928" s="412"/>
      <c r="B928" s="412"/>
      <c r="C928" s="396"/>
      <c r="D928" s="413"/>
      <c r="E928" s="343"/>
      <c r="F928" s="343"/>
    </row>
    <row r="929">
      <c r="A929" s="412"/>
      <c r="B929" s="412"/>
      <c r="C929" s="396"/>
      <c r="D929" s="413"/>
      <c r="E929" s="343"/>
      <c r="F929" s="343"/>
    </row>
    <row r="930">
      <c r="A930" s="412"/>
      <c r="B930" s="412"/>
      <c r="C930" s="396"/>
      <c r="D930" s="413"/>
      <c r="E930" s="343"/>
      <c r="F930" s="343"/>
    </row>
    <row r="931">
      <c r="A931" s="412"/>
      <c r="B931" s="412"/>
      <c r="C931" s="396"/>
      <c r="D931" s="413"/>
      <c r="E931" s="343"/>
      <c r="F931" s="343"/>
    </row>
    <row r="932">
      <c r="A932" s="412"/>
      <c r="B932" s="412"/>
      <c r="C932" s="396"/>
      <c r="D932" s="413"/>
      <c r="E932" s="343"/>
      <c r="F932" s="343"/>
    </row>
    <row r="933">
      <c r="A933" s="412"/>
      <c r="B933" s="412"/>
      <c r="C933" s="396"/>
      <c r="D933" s="413"/>
      <c r="E933" s="343"/>
      <c r="F933" s="343"/>
    </row>
    <row r="934">
      <c r="A934" s="412"/>
      <c r="B934" s="412"/>
      <c r="C934" s="396"/>
      <c r="D934" s="413"/>
      <c r="E934" s="343"/>
      <c r="F934" s="343"/>
    </row>
    <row r="935">
      <c r="A935" s="412"/>
      <c r="B935" s="412"/>
      <c r="C935" s="396"/>
      <c r="D935" s="413"/>
      <c r="E935" s="343"/>
      <c r="F935" s="343"/>
    </row>
    <row r="936">
      <c r="A936" s="412"/>
      <c r="B936" s="412"/>
      <c r="C936" s="396"/>
      <c r="D936" s="413"/>
      <c r="E936" s="343"/>
      <c r="F936" s="343"/>
    </row>
    <row r="937">
      <c r="A937" s="412"/>
      <c r="B937" s="412"/>
      <c r="C937" s="396"/>
      <c r="D937" s="413"/>
      <c r="E937" s="343"/>
      <c r="F937" s="343"/>
    </row>
    <row r="938">
      <c r="A938" s="412"/>
      <c r="B938" s="412"/>
      <c r="C938" s="396"/>
      <c r="D938" s="413"/>
      <c r="E938" s="343"/>
      <c r="F938" s="343"/>
    </row>
    <row r="939">
      <c r="A939" s="412"/>
      <c r="B939" s="412"/>
      <c r="C939" s="396"/>
      <c r="D939" s="413"/>
      <c r="E939" s="343"/>
      <c r="F939" s="343"/>
    </row>
    <row r="940">
      <c r="A940" s="412"/>
      <c r="B940" s="412"/>
      <c r="C940" s="396"/>
      <c r="D940" s="413"/>
      <c r="E940" s="343"/>
      <c r="F940" s="343"/>
    </row>
    <row r="941">
      <c r="A941" s="412"/>
      <c r="B941" s="412"/>
      <c r="C941" s="396"/>
      <c r="D941" s="413"/>
      <c r="E941" s="343"/>
      <c r="F941" s="343"/>
    </row>
    <row r="942">
      <c r="A942" s="412"/>
      <c r="B942" s="412"/>
      <c r="C942" s="396"/>
      <c r="D942" s="413"/>
      <c r="E942" s="343"/>
      <c r="F942" s="343"/>
    </row>
    <row r="943">
      <c r="A943" s="412"/>
      <c r="B943" s="412"/>
      <c r="C943" s="396"/>
      <c r="D943" s="413"/>
      <c r="E943" s="343"/>
      <c r="F943" s="343"/>
    </row>
    <row r="944">
      <c r="A944" s="412"/>
      <c r="B944" s="412"/>
      <c r="C944" s="396"/>
      <c r="D944" s="413"/>
      <c r="E944" s="343"/>
      <c r="F944" s="343"/>
    </row>
    <row r="945">
      <c r="A945" s="412"/>
      <c r="B945" s="412"/>
      <c r="C945" s="396"/>
      <c r="D945" s="413"/>
      <c r="E945" s="343"/>
      <c r="F945" s="343"/>
    </row>
    <row r="946">
      <c r="A946" s="412"/>
      <c r="B946" s="412"/>
      <c r="C946" s="396"/>
      <c r="D946" s="413"/>
      <c r="E946" s="343"/>
      <c r="F946" s="343"/>
    </row>
    <row r="947">
      <c r="A947" s="412"/>
      <c r="B947" s="412"/>
      <c r="C947" s="396"/>
      <c r="D947" s="413"/>
      <c r="E947" s="343"/>
      <c r="F947" s="343"/>
    </row>
    <row r="948">
      <c r="A948" s="412"/>
      <c r="B948" s="412"/>
      <c r="C948" s="396"/>
      <c r="D948" s="413"/>
      <c r="E948" s="343"/>
      <c r="F948" s="343"/>
    </row>
    <row r="949">
      <c r="A949" s="412"/>
      <c r="B949" s="412"/>
      <c r="C949" s="396"/>
      <c r="D949" s="413"/>
      <c r="E949" s="343"/>
      <c r="F949" s="343"/>
    </row>
    <row r="950">
      <c r="A950" s="412"/>
      <c r="B950" s="412"/>
      <c r="C950" s="396"/>
      <c r="D950" s="413"/>
      <c r="E950" s="343"/>
      <c r="F950" s="343"/>
    </row>
    <row r="951">
      <c r="A951" s="412"/>
      <c r="B951" s="412"/>
      <c r="C951" s="396"/>
      <c r="D951" s="413"/>
      <c r="E951" s="343"/>
      <c r="F951" s="343"/>
    </row>
    <row r="952">
      <c r="A952" s="412"/>
      <c r="B952" s="412"/>
      <c r="C952" s="396"/>
      <c r="D952" s="413"/>
      <c r="E952" s="343"/>
      <c r="F952" s="343"/>
    </row>
    <row r="953">
      <c r="A953" s="412"/>
      <c r="B953" s="412"/>
      <c r="C953" s="396"/>
      <c r="D953" s="413"/>
      <c r="E953" s="343"/>
      <c r="F953" s="343"/>
    </row>
    <row r="954">
      <c r="A954" s="412"/>
      <c r="B954" s="412"/>
      <c r="C954" s="396"/>
      <c r="D954" s="413"/>
      <c r="E954" s="343"/>
      <c r="F954" s="343"/>
    </row>
    <row r="955">
      <c r="A955" s="412"/>
      <c r="B955" s="412"/>
      <c r="C955" s="396"/>
      <c r="D955" s="413"/>
      <c r="E955" s="343"/>
      <c r="F955" s="343"/>
    </row>
    <row r="956">
      <c r="A956" s="412"/>
      <c r="B956" s="412"/>
      <c r="C956" s="396"/>
      <c r="D956" s="413"/>
      <c r="E956" s="343"/>
      <c r="F956" s="343"/>
    </row>
    <row r="957">
      <c r="A957" s="412"/>
      <c r="B957" s="412"/>
      <c r="C957" s="396"/>
      <c r="D957" s="413"/>
      <c r="E957" s="343"/>
      <c r="F957" s="343"/>
    </row>
    <row r="958">
      <c r="A958" s="412"/>
      <c r="B958" s="412"/>
      <c r="C958" s="396"/>
      <c r="D958" s="413"/>
      <c r="E958" s="343"/>
      <c r="F958" s="343"/>
    </row>
    <row r="959">
      <c r="A959" s="412"/>
      <c r="B959" s="412"/>
      <c r="C959" s="396"/>
      <c r="D959" s="413"/>
      <c r="E959" s="343"/>
      <c r="F959" s="343"/>
    </row>
    <row r="960">
      <c r="A960" s="412"/>
      <c r="B960" s="412"/>
      <c r="C960" s="396"/>
      <c r="D960" s="413"/>
      <c r="E960" s="343"/>
      <c r="F960" s="343"/>
    </row>
    <row r="961">
      <c r="A961" s="412"/>
      <c r="B961" s="412"/>
      <c r="C961" s="396"/>
      <c r="D961" s="413"/>
      <c r="E961" s="343"/>
      <c r="F961" s="343"/>
    </row>
    <row r="962">
      <c r="A962" s="412"/>
      <c r="B962" s="412"/>
      <c r="C962" s="396"/>
      <c r="D962" s="413"/>
      <c r="E962" s="343"/>
      <c r="F962" s="343"/>
    </row>
    <row r="963">
      <c r="A963" s="412"/>
      <c r="B963" s="412"/>
      <c r="C963" s="396"/>
      <c r="D963" s="413"/>
      <c r="E963" s="343"/>
      <c r="F963" s="343"/>
    </row>
    <row r="964">
      <c r="A964" s="412"/>
      <c r="B964" s="412"/>
      <c r="C964" s="396"/>
      <c r="D964" s="413"/>
      <c r="E964" s="343"/>
      <c r="F964" s="343"/>
    </row>
    <row r="965">
      <c r="A965" s="412"/>
      <c r="B965" s="412"/>
      <c r="C965" s="396"/>
      <c r="D965" s="413"/>
      <c r="E965" s="343"/>
      <c r="F965" s="343"/>
    </row>
    <row r="966">
      <c r="A966" s="412"/>
      <c r="B966" s="412"/>
      <c r="C966" s="396"/>
      <c r="D966" s="413"/>
      <c r="E966" s="343"/>
      <c r="F966" s="343"/>
    </row>
    <row r="967">
      <c r="A967" s="412"/>
      <c r="B967" s="412"/>
      <c r="C967" s="396"/>
      <c r="D967" s="413"/>
      <c r="E967" s="343"/>
      <c r="F967" s="343"/>
    </row>
    <row r="968">
      <c r="A968" s="412"/>
      <c r="B968" s="412"/>
      <c r="C968" s="396"/>
      <c r="D968" s="413"/>
      <c r="E968" s="343"/>
      <c r="F968" s="343"/>
    </row>
    <row r="969">
      <c r="A969" s="412"/>
      <c r="B969" s="412"/>
      <c r="C969" s="396"/>
      <c r="D969" s="413"/>
      <c r="E969" s="343"/>
      <c r="F969" s="343"/>
    </row>
    <row r="970">
      <c r="A970" s="412"/>
      <c r="B970" s="412"/>
      <c r="C970" s="396"/>
      <c r="D970" s="413"/>
      <c r="E970" s="343"/>
      <c r="F970" s="343"/>
    </row>
    <row r="971">
      <c r="A971" s="412"/>
      <c r="B971" s="412"/>
      <c r="C971" s="396"/>
      <c r="D971" s="413"/>
      <c r="E971" s="343"/>
      <c r="F971" s="343"/>
    </row>
    <row r="972">
      <c r="A972" s="412"/>
      <c r="B972" s="412"/>
      <c r="C972" s="396"/>
      <c r="D972" s="413"/>
      <c r="E972" s="343"/>
      <c r="F972" s="343"/>
    </row>
    <row r="973">
      <c r="A973" s="412"/>
      <c r="B973" s="412"/>
      <c r="C973" s="396"/>
      <c r="D973" s="413"/>
      <c r="E973" s="343"/>
      <c r="F973" s="343"/>
    </row>
    <row r="974">
      <c r="A974" s="412"/>
      <c r="B974" s="412"/>
      <c r="C974" s="396"/>
      <c r="D974" s="413"/>
      <c r="E974" s="343"/>
      <c r="F974" s="343"/>
    </row>
    <row r="975">
      <c r="A975" s="412"/>
      <c r="B975" s="412"/>
      <c r="C975" s="396"/>
      <c r="D975" s="413"/>
      <c r="E975" s="343"/>
      <c r="F975" s="343"/>
    </row>
    <row r="976">
      <c r="A976" s="412"/>
      <c r="B976" s="412"/>
      <c r="C976" s="396"/>
      <c r="D976" s="413"/>
      <c r="E976" s="343"/>
      <c r="F976" s="343"/>
    </row>
    <row r="977">
      <c r="A977" s="412"/>
      <c r="B977" s="412"/>
      <c r="C977" s="396"/>
      <c r="D977" s="413"/>
      <c r="E977" s="343"/>
      <c r="F977" s="343"/>
    </row>
    <row r="978">
      <c r="A978" s="412"/>
      <c r="B978" s="412"/>
      <c r="C978" s="396"/>
      <c r="D978" s="413"/>
      <c r="E978" s="343"/>
      <c r="F978" s="343"/>
    </row>
    <row r="979">
      <c r="A979" s="412"/>
      <c r="B979" s="412"/>
      <c r="C979" s="396"/>
      <c r="D979" s="413"/>
      <c r="E979" s="343"/>
      <c r="F979" s="343"/>
    </row>
    <row r="980">
      <c r="A980" s="412"/>
      <c r="B980" s="412"/>
      <c r="C980" s="396"/>
      <c r="D980" s="413"/>
      <c r="E980" s="343"/>
      <c r="F980" s="343"/>
    </row>
    <row r="981">
      <c r="A981" s="412"/>
      <c r="B981" s="412"/>
      <c r="C981" s="396"/>
      <c r="D981" s="413"/>
      <c r="E981" s="343"/>
      <c r="F981" s="343"/>
    </row>
    <row r="982">
      <c r="A982" s="412"/>
      <c r="B982" s="412"/>
      <c r="C982" s="396"/>
      <c r="D982" s="413"/>
      <c r="E982" s="343"/>
      <c r="F982" s="343"/>
    </row>
    <row r="983">
      <c r="A983" s="412"/>
      <c r="B983" s="412"/>
      <c r="C983" s="396"/>
      <c r="D983" s="413"/>
      <c r="E983" s="343"/>
      <c r="F983" s="343"/>
    </row>
    <row r="984">
      <c r="A984" s="412"/>
      <c r="B984" s="412"/>
      <c r="C984" s="396"/>
      <c r="D984" s="413"/>
      <c r="E984" s="343"/>
      <c r="F984" s="343"/>
    </row>
    <row r="985">
      <c r="A985" s="412"/>
      <c r="B985" s="412"/>
      <c r="C985" s="396"/>
      <c r="D985" s="413"/>
      <c r="E985" s="343"/>
      <c r="F985" s="343"/>
    </row>
    <row r="986">
      <c r="A986" s="412"/>
      <c r="B986" s="412"/>
      <c r="C986" s="396"/>
      <c r="D986" s="413"/>
      <c r="E986" s="343"/>
      <c r="F986" s="343"/>
    </row>
    <row r="987">
      <c r="A987" s="412"/>
      <c r="B987" s="412"/>
      <c r="C987" s="396"/>
      <c r="D987" s="413"/>
      <c r="E987" s="343"/>
      <c r="F987" s="343"/>
    </row>
    <row r="988">
      <c r="A988" s="412"/>
      <c r="B988" s="412"/>
      <c r="C988" s="396"/>
      <c r="D988" s="413"/>
      <c r="E988" s="343"/>
      <c r="F988" s="343"/>
    </row>
    <row r="989">
      <c r="A989" s="412"/>
      <c r="B989" s="412"/>
      <c r="C989" s="396"/>
      <c r="D989" s="413"/>
      <c r="E989" s="343"/>
      <c r="F989" s="343"/>
    </row>
    <row r="990">
      <c r="A990" s="412"/>
      <c r="B990" s="412"/>
      <c r="C990" s="396"/>
      <c r="D990" s="413"/>
      <c r="E990" s="343"/>
      <c r="F990" s="343"/>
    </row>
    <row r="991">
      <c r="A991" s="412"/>
      <c r="B991" s="412"/>
      <c r="C991" s="396"/>
      <c r="D991" s="413"/>
      <c r="E991" s="343"/>
      <c r="F991" s="343"/>
    </row>
    <row r="992">
      <c r="A992" s="412"/>
      <c r="B992" s="412"/>
      <c r="C992" s="396"/>
      <c r="D992" s="413"/>
      <c r="E992" s="343"/>
      <c r="F992" s="343"/>
    </row>
    <row r="993">
      <c r="A993" s="412"/>
      <c r="B993" s="412"/>
      <c r="C993" s="396"/>
      <c r="D993" s="413"/>
      <c r="E993" s="343"/>
      <c r="F993" s="343"/>
    </row>
    <row r="994">
      <c r="A994" s="412"/>
      <c r="B994" s="412"/>
      <c r="C994" s="396"/>
      <c r="D994" s="413"/>
      <c r="E994" s="343"/>
      <c r="F994" s="343"/>
    </row>
    <row r="995">
      <c r="A995" s="412"/>
      <c r="B995" s="412"/>
      <c r="C995" s="396"/>
      <c r="D995" s="413"/>
      <c r="E995" s="343"/>
      <c r="F995" s="343"/>
    </row>
    <row r="996">
      <c r="A996" s="412"/>
      <c r="B996" s="412"/>
      <c r="C996" s="396"/>
      <c r="D996" s="413"/>
      <c r="E996" s="343"/>
      <c r="F996" s="343"/>
    </row>
    <row r="997">
      <c r="A997" s="412"/>
      <c r="B997" s="412"/>
      <c r="C997" s="396"/>
      <c r="D997" s="413"/>
      <c r="E997" s="343"/>
      <c r="F997" s="343"/>
    </row>
    <row r="998">
      <c r="A998" s="412"/>
      <c r="B998" s="412"/>
      <c r="C998" s="396"/>
      <c r="D998" s="413"/>
      <c r="E998" s="343"/>
      <c r="F998" s="343"/>
    </row>
    <row r="999">
      <c r="A999" s="412"/>
      <c r="B999" s="412"/>
      <c r="C999" s="396"/>
      <c r="D999" s="413"/>
      <c r="E999" s="343"/>
      <c r="F999" s="343"/>
    </row>
  </sheetData>
  <autoFilter ref="$A$1:$F$999"/>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3" max="3" width="15.63"/>
    <col customWidth="1" min="4" max="4" width="14.88"/>
    <col customWidth="1" min="5" max="7" width="16.88"/>
    <col customWidth="1" min="8" max="8" width="18.25"/>
    <col customWidth="1" min="9" max="21" width="16.88"/>
  </cols>
  <sheetData>
    <row r="1">
      <c r="A1" s="359" t="s">
        <v>1029</v>
      </c>
      <c r="B1" s="116" t="s">
        <v>1030</v>
      </c>
      <c r="C1" s="359" t="s">
        <v>1031</v>
      </c>
      <c r="D1" s="116" t="s">
        <v>1032</v>
      </c>
      <c r="E1" s="414" t="str">
        <f t="array" ref="E1:E1009">if(ROW(E:E)=1,"Ghost Class Sensor",if(C:C="","",iferror(iferror(if(match(C:C&amp;D:D,A:A&amp;B:B,0)&gt;0,0,1),if(match(C:C&amp;D:D,H:H&amp;I:I,0)&gt;0,0,1)),1)))</f>
        <v>Ghost Class Sensor</v>
      </c>
      <c r="F1" s="415" t="s">
        <v>1033</v>
      </c>
      <c r="G1" s="415" t="s">
        <v>1034</v>
      </c>
      <c r="H1" s="415" t="s">
        <v>1035</v>
      </c>
      <c r="I1" s="415" t="s">
        <v>1036</v>
      </c>
      <c r="J1" s="415"/>
      <c r="K1" s="415"/>
      <c r="L1" s="415"/>
      <c r="M1" s="415"/>
      <c r="N1" s="415"/>
      <c r="O1" s="415"/>
      <c r="P1" s="415"/>
      <c r="Q1" s="415"/>
      <c r="R1" s="415"/>
      <c r="S1" s="415"/>
      <c r="T1" s="415"/>
      <c r="U1" s="415"/>
    </row>
    <row r="2">
      <c r="A2" s="296" t="str">
        <f>IFERROR(__xludf.DUMMYFUNCTION("{
iferror(filter({Schedule!P3:P1009,if(Schedule!P3:P1009&lt;&gt;"""",Schedule!P2&amp;if(Schedule!K3:K1009=""S1"",""a"",if(Schedule!K3:K1009=""S2"",""b"","""")),"""")},Schedule!P3:P1009&lt;&gt;""""),{"""",""""});
iferror(filter({Schedule!S3:S1009,if(Schedule!S3:S1009&lt;&gt;"""&amp;""",Schedule!S2&amp;if(Schedule!K3:K1009=""S1"",""a"",if(Schedule!K3:K1009=""S2"",""b"","""")),"""")},Schedule!S3:S1009&lt;&gt;""""),{"""",""""});
iferror(filter({Schedule!V3:V1009,if(Schedule!V3:V1009&lt;&gt;"""",Schedule!V2&amp;if(Schedule!K3:K1009=""S1"",""a"",if(Schedule!"&amp;"K3:K1009=""S2"",""b"","""")),"""")},Schedule!V3:V1009&lt;&gt;""""),{"""",""""});
iferror(filter({Schedule!Y3:Y1009,if(Schedule!Y3:Y1009&lt;&gt;"""",Schedule!Y2&amp;if(Schedule!K3:K1009=""S1"",""a"",if(Schedule!K3:K1009=""S2"",""b"","""")),"""")},Schedule!Y3:Y1009&lt;&gt;""""),"&amp;"{"""",""""});
iferror(filter({Schedule!AB3:AB1009,if(Schedule!AB3:AB1009&lt;&gt;"""",Schedule!AB2&amp;if(Schedule!K3:K1009=""S1"",""a"",if(Schedule!K3:K1009=""S2"",""b"","""")),"""")},Schedule!AB3:AB1009&lt;&gt;""""),{"""",""""});
iferror(filter({Schedule!AE3:AE1009,if(S"&amp;"chedule!AE3:AE1009&lt;&gt;"""",Schedule!AE2&amp;if(Schedule!K3:K1009=""S1"",""a"",if(Schedule!K3:K1009=""S2"",""b"","""")),"""")},Schedule!AE3:AE1009&lt;&gt;""""),{"""",""""});
iferror(filter({Schedule!AH3:AH1009,if(Schedule!AH3:AH1009&lt;&gt;"""",Schedule!AH2&amp;if(Schedule!K3:K"&amp;"1009=""S1"",""a"",if(Schedule!K3:K1009=""S2"",""b"","""")),"""")},Schedule!AH3:AH1009&lt;&gt;""""),{"""",""""});
iferror(filter({Schedule!AK3:AK1009,if(Schedule!AK3:AK1009&lt;&gt;"""",Schedule!AK2&amp;if(Schedule!K3:K1009=""S1"",""a"",if(Schedule!K3:K1009=""S2"",""b"","""&amp;""")),"""")},Schedule!AK3:AK1009&lt;&gt;""""),{"""",""""})
}"),"AP 2-D Art and Design")</f>
        <v>AP 2-D Art and Design</v>
      </c>
      <c r="B2" s="3" t="str">
        <f>IFERROR(__xludf.DUMMYFUNCTION("""COMPUTED_VALUE"""),"1")</f>
        <v>1</v>
      </c>
      <c r="C2" s="296" t="str">
        <f>IFERROR(__xludf.DUMMYFUNCTION("sort(unique(filter('Students (Vertical)'!D2:E1009,'Students (Vertical)'!E2:E1009&lt;&gt;"""")))"),"Algebra I")</f>
        <v>Algebra I</v>
      </c>
      <c r="D2" s="3">
        <f>IFERROR(__xludf.DUMMYFUNCTION("""COMPUTED_VALUE"""),3.0)</f>
        <v>3</v>
      </c>
      <c r="E2" s="300">
        <v>0.0</v>
      </c>
      <c r="F2" s="416" t="str">
        <f>IFERROR(__xludf.DUMMYFUNCTION("iferror(filter(C:D,E:E=1),"""")"),"")</f>
        <v/>
      </c>
      <c r="G2" s="299"/>
      <c r="I2" s="2"/>
      <c r="J2" s="299" t="str">
        <f>IFERROR(__xludf.DUMMYFUNCTION("filter({Schedule!P3:P1009,if(Schedule!P3:P1009&lt;&gt;"""",Schedule!P2&amp;if(Schedule!K3:K1009=""S1"",""a"",if(Schedule!K3:K1009=""S2"",""b"","""")),"""")},Schedule!P3:P1009&lt;&gt;"""")"),"AP 2-D Art and Design")</f>
        <v>AP 2-D Art and Design</v>
      </c>
      <c r="K2" s="299" t="str">
        <f>IFERROR(__xludf.DUMMYFUNCTION("""COMPUTED_VALUE"""),"1")</f>
        <v>1</v>
      </c>
      <c r="L2" s="299"/>
      <c r="M2" s="299"/>
      <c r="N2" s="299"/>
      <c r="O2" s="299"/>
      <c r="P2" s="299"/>
      <c r="Q2" s="299"/>
      <c r="R2" s="299"/>
      <c r="S2" s="299"/>
      <c r="T2" s="299"/>
      <c r="U2" s="299"/>
    </row>
    <row r="3">
      <c r="A3" t="str">
        <f>IFERROR(__xludf.DUMMYFUNCTION("""COMPUTED_VALUE"""),"Painting II")</f>
        <v>Painting II</v>
      </c>
      <c r="B3" s="3" t="str">
        <f>IFERROR(__xludf.DUMMYFUNCTION("""COMPUTED_VALUE"""),"1")</f>
        <v>1</v>
      </c>
      <c r="C3" t="str">
        <f>IFERROR(__xludf.DUMMYFUNCTION("""COMPUTED_VALUE"""),"Algebra I")</f>
        <v>Algebra I</v>
      </c>
      <c r="D3" s="3">
        <f>IFERROR(__xludf.DUMMYFUNCTION("""COMPUTED_VALUE"""),4.0)</f>
        <v>4</v>
      </c>
      <c r="E3" s="300">
        <v>0.0</v>
      </c>
      <c r="F3" s="299"/>
      <c r="G3" s="299"/>
      <c r="I3" s="2"/>
      <c r="J3" s="299" t="str">
        <f>IFERROR(__xludf.DUMMYFUNCTION("""COMPUTED_VALUE"""),"Painting II")</f>
        <v>Painting II</v>
      </c>
      <c r="K3" s="299" t="str">
        <f>IFERROR(__xludf.DUMMYFUNCTION("""COMPUTED_VALUE"""),"1")</f>
        <v>1</v>
      </c>
      <c r="L3" s="299"/>
      <c r="M3" s="299"/>
      <c r="N3" s="299"/>
      <c r="O3" s="299"/>
      <c r="P3" s="299"/>
      <c r="Q3" s="299"/>
      <c r="R3" s="299"/>
      <c r="S3" s="299"/>
      <c r="T3" s="299"/>
      <c r="U3" s="299"/>
    </row>
    <row r="4">
      <c r="A4" t="str">
        <f>IFERROR(__xludf.DUMMYFUNCTION("""COMPUTED_VALUE"""),"English 9")</f>
        <v>English 9</v>
      </c>
      <c r="B4" s="3" t="str">
        <f>IFERROR(__xludf.DUMMYFUNCTION("""COMPUTED_VALUE"""),"1")</f>
        <v>1</v>
      </c>
      <c r="C4" t="str">
        <f>IFERROR(__xludf.DUMMYFUNCTION("""COMPUTED_VALUE"""),"Algebra I")</f>
        <v>Algebra I</v>
      </c>
      <c r="D4" s="3">
        <f>IFERROR(__xludf.DUMMYFUNCTION("""COMPUTED_VALUE"""),6.0)</f>
        <v>6</v>
      </c>
      <c r="E4" s="300">
        <v>0.0</v>
      </c>
      <c r="F4" s="299"/>
      <c r="G4" s="299"/>
      <c r="I4" s="299"/>
      <c r="J4" s="299" t="str">
        <f>IFERROR(__xludf.DUMMYFUNCTION("""COMPUTED_VALUE"""),"English 9")</f>
        <v>English 9</v>
      </c>
      <c r="K4" s="299" t="str">
        <f>IFERROR(__xludf.DUMMYFUNCTION("""COMPUTED_VALUE"""),"1")</f>
        <v>1</v>
      </c>
      <c r="L4" s="299"/>
      <c r="M4" s="299"/>
      <c r="N4" s="299"/>
      <c r="O4" s="299"/>
      <c r="P4" s="299"/>
      <c r="Q4" s="299"/>
      <c r="R4" s="299"/>
      <c r="S4" s="299"/>
      <c r="T4" s="299"/>
      <c r="U4" s="299"/>
    </row>
    <row r="5">
      <c r="A5" t="str">
        <f>IFERROR(__xludf.DUMMYFUNCTION("""COMPUTED_VALUE"""),"Art of Fiction Intermediate Level")</f>
        <v>Art of Fiction Intermediate Level</v>
      </c>
      <c r="B5" s="3" t="str">
        <f>IFERROR(__xludf.DUMMYFUNCTION("""COMPUTED_VALUE"""),"1")</f>
        <v>1</v>
      </c>
      <c r="C5" t="str">
        <f>IFERROR(__xludf.DUMMYFUNCTION("""COMPUTED_VALUE"""),"Algebra I")</f>
        <v>Algebra I</v>
      </c>
      <c r="D5" s="3">
        <f>IFERROR(__xludf.DUMMYFUNCTION("""COMPUTED_VALUE"""),7.0)</f>
        <v>7</v>
      </c>
      <c r="E5" s="300">
        <v>0.0</v>
      </c>
      <c r="F5" s="299"/>
      <c r="G5" s="299"/>
      <c r="I5" s="299"/>
      <c r="J5" s="299" t="str">
        <f>IFERROR(__xludf.DUMMYFUNCTION("""COMPUTED_VALUE"""),"Art of Fiction Intermediate Level")</f>
        <v>Art of Fiction Intermediate Level</v>
      </c>
      <c r="K5" s="299" t="str">
        <f>IFERROR(__xludf.DUMMYFUNCTION("""COMPUTED_VALUE"""),"1")</f>
        <v>1</v>
      </c>
      <c r="L5" s="299"/>
      <c r="M5" s="299"/>
      <c r="N5" s="299"/>
      <c r="O5" s="299"/>
      <c r="P5" s="299"/>
      <c r="Q5" s="299"/>
      <c r="R5" s="299"/>
      <c r="S5" s="299"/>
      <c r="T5" s="299"/>
      <c r="U5" s="299"/>
    </row>
    <row r="6">
      <c r="A6" t="str">
        <f>IFERROR(__xludf.DUMMYFUNCTION("""COMPUTED_VALUE"""),"Art of Fiction Higher Level")</f>
        <v>Art of Fiction Higher Level</v>
      </c>
      <c r="B6" s="3" t="str">
        <f>IFERROR(__xludf.DUMMYFUNCTION("""COMPUTED_VALUE"""),"1")</f>
        <v>1</v>
      </c>
      <c r="C6" t="str">
        <f>IFERROR(__xludf.DUMMYFUNCTION("""COMPUTED_VALUE"""),"Algebra II")</f>
        <v>Algebra II</v>
      </c>
      <c r="D6" s="3">
        <f>IFERROR(__xludf.DUMMYFUNCTION("""COMPUTED_VALUE"""),1.0)</f>
        <v>1</v>
      </c>
      <c r="E6" s="300">
        <v>0.0</v>
      </c>
      <c r="F6" s="299"/>
      <c r="G6" s="299"/>
      <c r="H6" s="299"/>
      <c r="I6" s="2"/>
      <c r="J6" s="299" t="str">
        <f>IFERROR(__xludf.DUMMYFUNCTION("""COMPUTED_VALUE"""),"Art of Fiction Higher Level")</f>
        <v>Art of Fiction Higher Level</v>
      </c>
      <c r="K6" s="299" t="str">
        <f>IFERROR(__xludf.DUMMYFUNCTION("""COMPUTED_VALUE"""),"1")</f>
        <v>1</v>
      </c>
      <c r="L6" s="299"/>
      <c r="M6" s="299"/>
      <c r="N6" s="299"/>
      <c r="O6" s="299"/>
      <c r="P6" s="299"/>
      <c r="Q6" s="299"/>
      <c r="R6" s="299"/>
      <c r="S6" s="299"/>
      <c r="T6" s="299"/>
      <c r="U6" s="299"/>
    </row>
    <row r="7">
      <c r="A7" t="str">
        <f>IFERROR(__xludf.DUMMYFUNCTION("""COMPUTED_VALUE"""),"AP Seminar")</f>
        <v>AP Seminar</v>
      </c>
      <c r="B7" s="3" t="str">
        <f>IFERROR(__xludf.DUMMYFUNCTION("""COMPUTED_VALUE"""),"1")</f>
        <v>1</v>
      </c>
      <c r="C7" t="str">
        <f>IFERROR(__xludf.DUMMYFUNCTION("""COMPUTED_VALUE"""),"Algebra II")</f>
        <v>Algebra II</v>
      </c>
      <c r="D7" s="3">
        <f>IFERROR(__xludf.DUMMYFUNCTION("""COMPUTED_VALUE"""),3.0)</f>
        <v>3</v>
      </c>
      <c r="E7" s="300">
        <v>0.0</v>
      </c>
      <c r="F7" s="299"/>
      <c r="G7" s="299"/>
      <c r="H7" s="299"/>
      <c r="I7" s="2"/>
      <c r="J7" s="299" t="str">
        <f>IFERROR(__xludf.DUMMYFUNCTION("""COMPUTED_VALUE"""),"AP Seminar")</f>
        <v>AP Seminar</v>
      </c>
      <c r="K7" s="299" t="str">
        <f>IFERROR(__xludf.DUMMYFUNCTION("""COMPUTED_VALUE"""),"1")</f>
        <v>1</v>
      </c>
      <c r="L7" s="299"/>
      <c r="M7" s="299"/>
      <c r="N7" s="299"/>
      <c r="O7" s="299"/>
      <c r="P7" s="299"/>
      <c r="Q7" s="299"/>
      <c r="R7" s="299"/>
      <c r="S7" s="299"/>
      <c r="T7" s="299"/>
      <c r="U7" s="299"/>
    </row>
    <row r="8">
      <c r="A8" t="str">
        <f>IFERROR(__xludf.DUMMYFUNCTION("""COMPUTED_VALUE"""),"Spanish and Literature 9")</f>
        <v>Spanish and Literature 9</v>
      </c>
      <c r="B8" s="3" t="str">
        <f>IFERROR(__xludf.DUMMYFUNCTION("""COMPUTED_VALUE"""),"1")</f>
        <v>1</v>
      </c>
      <c r="C8" t="str">
        <f>IFERROR(__xludf.DUMMYFUNCTION("""COMPUTED_VALUE"""),"Algebra II")</f>
        <v>Algebra II</v>
      </c>
      <c r="D8" s="3">
        <f>IFERROR(__xludf.DUMMYFUNCTION("""COMPUTED_VALUE"""),5.0)</f>
        <v>5</v>
      </c>
      <c r="E8" s="300">
        <v>0.0</v>
      </c>
      <c r="F8" s="299"/>
      <c r="G8" s="299"/>
      <c r="H8" s="299"/>
      <c r="I8" s="2"/>
      <c r="J8" s="2" t="str">
        <f>IFERROR(__xludf.DUMMYFUNCTION("""COMPUTED_VALUE"""),"Spanish and Literature 9")</f>
        <v>Spanish and Literature 9</v>
      </c>
      <c r="K8" s="2" t="str">
        <f>IFERROR(__xludf.DUMMYFUNCTION("""COMPUTED_VALUE"""),"1")</f>
        <v>1</v>
      </c>
      <c r="L8" s="2"/>
      <c r="M8" s="2"/>
      <c r="N8" s="2"/>
      <c r="O8" s="2"/>
      <c r="P8" s="2"/>
      <c r="Q8" s="2"/>
      <c r="R8" s="2"/>
      <c r="S8" s="2"/>
      <c r="T8" s="2"/>
      <c r="U8" s="2"/>
    </row>
    <row r="9">
      <c r="A9" t="str">
        <f>IFERROR(__xludf.DUMMYFUNCTION("""COMPUTED_VALUE"""),"Spanish and Literature 11")</f>
        <v>Spanish and Literature 11</v>
      </c>
      <c r="B9" s="3" t="str">
        <f>IFERROR(__xludf.DUMMYFUNCTION("""COMPUTED_VALUE"""),"1")</f>
        <v>1</v>
      </c>
      <c r="C9" t="str">
        <f>IFERROR(__xludf.DUMMYFUNCTION("""COMPUTED_VALUE"""),"Algebra II")</f>
        <v>Algebra II</v>
      </c>
      <c r="D9" s="3">
        <f>IFERROR(__xludf.DUMMYFUNCTION("""COMPUTED_VALUE"""),6.0)</f>
        <v>6</v>
      </c>
      <c r="E9" s="300">
        <v>0.0</v>
      </c>
      <c r="F9" s="299"/>
      <c r="G9" s="299"/>
      <c r="H9" s="299"/>
      <c r="I9" s="2"/>
      <c r="J9" s="299" t="str">
        <f>IFERROR(__xludf.DUMMYFUNCTION("""COMPUTED_VALUE"""),"Spanish and Literature 11")</f>
        <v>Spanish and Literature 11</v>
      </c>
      <c r="K9" s="299" t="str">
        <f>IFERROR(__xludf.DUMMYFUNCTION("""COMPUTED_VALUE"""),"1")</f>
        <v>1</v>
      </c>
      <c r="L9" s="299"/>
      <c r="M9" s="299"/>
      <c r="N9" s="299"/>
      <c r="O9" s="299"/>
      <c r="P9" s="299"/>
      <c r="Q9" s="299"/>
      <c r="R9" s="299"/>
      <c r="S9" s="299"/>
      <c r="T9" s="299"/>
      <c r="U9" s="299"/>
    </row>
    <row r="10">
      <c r="A10" t="str">
        <f>IFERROR(__xludf.DUMMYFUNCTION("""COMPUTED_VALUE"""),"AP Spanish Language and Culture")</f>
        <v>AP Spanish Language and Culture</v>
      </c>
      <c r="B10" s="3" t="str">
        <f>IFERROR(__xludf.DUMMYFUNCTION("""COMPUTED_VALUE"""),"1")</f>
        <v>1</v>
      </c>
      <c r="C10" t="str">
        <f>IFERROR(__xludf.DUMMYFUNCTION("""COMPUTED_VALUE"""),"Algebra II")</f>
        <v>Algebra II</v>
      </c>
      <c r="D10" s="3">
        <f>IFERROR(__xludf.DUMMYFUNCTION("""COMPUTED_VALUE"""),8.0)</f>
        <v>8</v>
      </c>
      <c r="E10" s="300">
        <v>0.0</v>
      </c>
      <c r="F10" s="299"/>
      <c r="G10" s="299"/>
      <c r="H10" s="299"/>
      <c r="I10" s="2"/>
      <c r="J10" s="299" t="str">
        <f>IFERROR(__xludf.DUMMYFUNCTION("""COMPUTED_VALUE"""),"AP Spanish Language and Culture")</f>
        <v>AP Spanish Language and Culture</v>
      </c>
      <c r="K10" s="299" t="str">
        <f>IFERROR(__xludf.DUMMYFUNCTION("""COMPUTED_VALUE"""),"1")</f>
        <v>1</v>
      </c>
      <c r="L10" s="299"/>
      <c r="M10" s="299"/>
      <c r="N10" s="299"/>
      <c r="O10" s="299"/>
      <c r="P10" s="299"/>
      <c r="Q10" s="299"/>
      <c r="R10" s="299"/>
      <c r="S10" s="299"/>
      <c r="T10" s="299"/>
      <c r="U10" s="299"/>
    </row>
    <row r="11">
      <c r="A11" t="str">
        <f>IFERROR(__xludf.DUMMYFUNCTION("""COMPUTED_VALUE"""),"Calculus")</f>
        <v>Calculus</v>
      </c>
      <c r="B11" s="3" t="str">
        <f>IFERROR(__xludf.DUMMYFUNCTION("""COMPUTED_VALUE"""),"1")</f>
        <v>1</v>
      </c>
      <c r="C11" t="str">
        <f>IFERROR(__xludf.DUMMYFUNCTION("""COMPUTED_VALUE"""),"Anatomy and Physiology")</f>
        <v>Anatomy and Physiology</v>
      </c>
      <c r="D11" s="3">
        <f>IFERROR(__xludf.DUMMYFUNCTION("""COMPUTED_VALUE"""),4.0)</f>
        <v>4</v>
      </c>
      <c r="E11" s="300">
        <v>0.0</v>
      </c>
      <c r="F11" s="299"/>
      <c r="G11" s="299"/>
      <c r="H11" s="299"/>
      <c r="I11" s="2"/>
      <c r="J11" s="299" t="str">
        <f>IFERROR(__xludf.DUMMYFUNCTION("""COMPUTED_VALUE"""),"Calculus")</f>
        <v>Calculus</v>
      </c>
      <c r="K11" s="299" t="str">
        <f>IFERROR(__xludf.DUMMYFUNCTION("""COMPUTED_VALUE"""),"1")</f>
        <v>1</v>
      </c>
      <c r="L11" s="299"/>
      <c r="M11" s="299"/>
      <c r="N11" s="299"/>
      <c r="O11" s="299"/>
      <c r="P11" s="299"/>
      <c r="Q11" s="299"/>
      <c r="R11" s="299"/>
      <c r="S11" s="299"/>
      <c r="T11" s="299"/>
      <c r="U11" s="299"/>
    </row>
    <row r="12">
      <c r="A12" t="str">
        <f>IFERROR(__xludf.DUMMYFUNCTION("""COMPUTED_VALUE"""),"Geometry")</f>
        <v>Geometry</v>
      </c>
      <c r="B12" s="3" t="str">
        <f>IFERROR(__xludf.DUMMYFUNCTION("""COMPUTED_VALUE"""),"1")</f>
        <v>1</v>
      </c>
      <c r="C12" t="str">
        <f>IFERROR(__xludf.DUMMYFUNCTION("""COMPUTED_VALUE"""),"Anatomy and Physiology")</f>
        <v>Anatomy and Physiology</v>
      </c>
      <c r="D12" s="3">
        <f>IFERROR(__xludf.DUMMYFUNCTION("""COMPUTED_VALUE"""),8.0)</f>
        <v>8</v>
      </c>
      <c r="E12" s="300">
        <v>0.0</v>
      </c>
      <c r="F12" s="299"/>
      <c r="G12" s="299"/>
      <c r="H12" s="299"/>
      <c r="I12" s="2"/>
      <c r="J12" s="299" t="str">
        <f>IFERROR(__xludf.DUMMYFUNCTION("""COMPUTED_VALUE"""),"Geometry")</f>
        <v>Geometry</v>
      </c>
      <c r="K12" s="299" t="str">
        <f>IFERROR(__xludf.DUMMYFUNCTION("""COMPUTED_VALUE"""),"1")</f>
        <v>1</v>
      </c>
      <c r="L12" s="299"/>
      <c r="M12" s="299"/>
      <c r="N12" s="299"/>
      <c r="O12" s="299"/>
      <c r="P12" s="299"/>
      <c r="Q12" s="299"/>
      <c r="R12" s="299"/>
      <c r="S12" s="299"/>
      <c r="T12" s="299"/>
      <c r="U12" s="299"/>
    </row>
    <row r="13">
      <c r="A13" t="str">
        <f>IFERROR(__xludf.DUMMYFUNCTION("""COMPUTED_VALUE"""),"Algebra II")</f>
        <v>Algebra II</v>
      </c>
      <c r="B13" s="3" t="str">
        <f>IFERROR(__xludf.DUMMYFUNCTION("""COMPUTED_VALUE"""),"1")</f>
        <v>1</v>
      </c>
      <c r="C13" t="str">
        <f>IFERROR(__xludf.DUMMYFUNCTION("""COMPUTED_VALUE"""),"AP 2-D Art and Design")</f>
        <v>AP 2-D Art and Design</v>
      </c>
      <c r="D13" s="3">
        <f>IFERROR(__xludf.DUMMYFUNCTION("""COMPUTED_VALUE"""),1.0)</f>
        <v>1</v>
      </c>
      <c r="E13" s="300">
        <v>0.0</v>
      </c>
      <c r="F13" s="299"/>
      <c r="G13" s="299"/>
      <c r="H13" s="299"/>
      <c r="I13" s="2"/>
      <c r="J13" s="299" t="str">
        <f>IFERROR(__xludf.DUMMYFUNCTION("""COMPUTED_VALUE"""),"Algebra II")</f>
        <v>Algebra II</v>
      </c>
      <c r="K13" s="299" t="str">
        <f>IFERROR(__xludf.DUMMYFUNCTION("""COMPUTED_VALUE"""),"1")</f>
        <v>1</v>
      </c>
      <c r="L13" s="299"/>
      <c r="M13" s="299"/>
      <c r="N13" s="299"/>
      <c r="O13" s="299"/>
      <c r="P13" s="299"/>
      <c r="Q13" s="299"/>
      <c r="R13" s="299"/>
      <c r="S13" s="299"/>
      <c r="T13" s="299"/>
      <c r="U13" s="299"/>
    </row>
    <row r="14">
      <c r="A14" t="str">
        <f>IFERROR(__xludf.DUMMYFUNCTION("""COMPUTED_VALUE"""),"Biology 9")</f>
        <v>Biology 9</v>
      </c>
      <c r="B14" s="3" t="str">
        <f>IFERROR(__xludf.DUMMYFUNCTION("""COMPUTED_VALUE"""),"1")</f>
        <v>1</v>
      </c>
      <c r="C14" t="str">
        <f>IFERROR(__xludf.DUMMYFUNCTION("""COMPUTED_VALUE"""),"AP 3-D Art and Design")</f>
        <v>AP 3-D Art and Design</v>
      </c>
      <c r="D14" s="3">
        <f>IFERROR(__xludf.DUMMYFUNCTION("""COMPUTED_VALUE"""),6.0)</f>
        <v>6</v>
      </c>
      <c r="E14" s="300">
        <v>0.0</v>
      </c>
      <c r="F14" s="299"/>
      <c r="G14" s="299"/>
      <c r="I14" s="2"/>
      <c r="J14" s="299" t="str">
        <f>IFERROR(__xludf.DUMMYFUNCTION("""COMPUTED_VALUE"""),"Biology 9")</f>
        <v>Biology 9</v>
      </c>
      <c r="K14" s="299" t="str">
        <f>IFERROR(__xludf.DUMMYFUNCTION("""COMPUTED_VALUE"""),"1")</f>
        <v>1</v>
      </c>
      <c r="L14" s="299"/>
      <c r="M14" s="299"/>
      <c r="N14" s="299"/>
      <c r="O14" s="299"/>
      <c r="P14" s="299"/>
      <c r="Q14" s="299"/>
      <c r="R14" s="299"/>
      <c r="S14" s="299"/>
      <c r="T14" s="299"/>
      <c r="U14" s="299"/>
    </row>
    <row r="15">
      <c r="A15" t="str">
        <f>IFERROR(__xludf.DUMMYFUNCTION("""COMPUTED_VALUE"""),"AP Physics 1")</f>
        <v>AP Physics 1</v>
      </c>
      <c r="B15" s="3" t="str">
        <f>IFERROR(__xludf.DUMMYFUNCTION("""COMPUTED_VALUE"""),"1")</f>
        <v>1</v>
      </c>
      <c r="C15" t="str">
        <f>IFERROR(__xludf.DUMMYFUNCTION("""COMPUTED_VALUE"""),"AP Biology")</f>
        <v>AP Biology</v>
      </c>
      <c r="D15" s="3">
        <f>IFERROR(__xludf.DUMMYFUNCTION("""COMPUTED_VALUE"""),5.0)</f>
        <v>5</v>
      </c>
      <c r="E15" s="300">
        <v>0.0</v>
      </c>
      <c r="F15" s="299"/>
      <c r="G15" s="299"/>
      <c r="H15" s="299"/>
      <c r="I15" s="2"/>
      <c r="J15" s="299" t="str">
        <f>IFERROR(__xludf.DUMMYFUNCTION("""COMPUTED_VALUE"""),"AP Physics 1")</f>
        <v>AP Physics 1</v>
      </c>
      <c r="K15" s="299" t="str">
        <f>IFERROR(__xludf.DUMMYFUNCTION("""COMPUTED_VALUE"""),"1")</f>
        <v>1</v>
      </c>
      <c r="L15" s="299"/>
      <c r="M15" s="299"/>
      <c r="N15" s="299"/>
      <c r="O15" s="299"/>
      <c r="P15" s="299"/>
      <c r="Q15" s="299"/>
      <c r="R15" s="299"/>
      <c r="S15" s="299"/>
      <c r="T15" s="299"/>
      <c r="U15" s="299"/>
    </row>
    <row r="16">
      <c r="A16" t="str">
        <f>IFERROR(__xludf.DUMMYFUNCTION("""COMPUTED_VALUE"""),"Physics")</f>
        <v>Physics</v>
      </c>
      <c r="B16" s="3" t="str">
        <f>IFERROR(__xludf.DUMMYFUNCTION("""COMPUTED_VALUE"""),"1")</f>
        <v>1</v>
      </c>
      <c r="C16" t="str">
        <f>IFERROR(__xludf.DUMMYFUNCTION("""COMPUTED_VALUE"""),"AP Calculus AB")</f>
        <v>AP Calculus AB</v>
      </c>
      <c r="D16" s="3">
        <f>IFERROR(__xludf.DUMMYFUNCTION("""COMPUTED_VALUE"""),2.0)</f>
        <v>2</v>
      </c>
      <c r="E16" s="300">
        <v>0.0</v>
      </c>
      <c r="F16" s="299"/>
      <c r="G16" s="299"/>
      <c r="H16" s="299"/>
      <c r="I16" s="299"/>
      <c r="J16" s="299" t="str">
        <f>IFERROR(__xludf.DUMMYFUNCTION("""COMPUTED_VALUE"""),"Physics")</f>
        <v>Physics</v>
      </c>
      <c r="K16" s="299" t="str">
        <f>IFERROR(__xludf.DUMMYFUNCTION("""COMPUTED_VALUE"""),"1")</f>
        <v>1</v>
      </c>
      <c r="L16" s="299"/>
      <c r="M16" s="299"/>
      <c r="N16" s="299"/>
      <c r="O16" s="299"/>
      <c r="P16" s="299"/>
      <c r="Q16" s="299"/>
      <c r="R16" s="299"/>
      <c r="S16" s="299"/>
      <c r="T16" s="299"/>
      <c r="U16" s="299"/>
    </row>
    <row r="17">
      <c r="A17" t="str">
        <f>IFERROR(__xludf.DUMMYFUNCTION("""COMPUTED_VALUE"""),"Chemistry")</f>
        <v>Chemistry</v>
      </c>
      <c r="B17" s="3" t="str">
        <f>IFERROR(__xludf.DUMMYFUNCTION("""COMPUTED_VALUE"""),"1")</f>
        <v>1</v>
      </c>
      <c r="C17" t="str">
        <f>IFERROR(__xludf.DUMMYFUNCTION("""COMPUTED_VALUE"""),"AP Calculus AB")</f>
        <v>AP Calculus AB</v>
      </c>
      <c r="D17" s="3">
        <f>IFERROR(__xludf.DUMMYFUNCTION("""COMPUTED_VALUE"""),7.0)</f>
        <v>7</v>
      </c>
      <c r="E17" s="300">
        <v>0.0</v>
      </c>
      <c r="F17" s="299"/>
      <c r="G17" s="299"/>
      <c r="H17" s="299"/>
      <c r="I17" s="2"/>
      <c r="J17" s="299" t="str">
        <f>IFERROR(__xludf.DUMMYFUNCTION("""COMPUTED_VALUE"""),"Chemistry")</f>
        <v>Chemistry</v>
      </c>
      <c r="K17" s="299" t="str">
        <f>IFERROR(__xludf.DUMMYFUNCTION("""COMPUTED_VALUE"""),"1")</f>
        <v>1</v>
      </c>
      <c r="L17" s="299"/>
      <c r="M17" s="299"/>
      <c r="N17" s="299"/>
      <c r="O17" s="299"/>
      <c r="P17" s="299"/>
      <c r="Q17" s="299"/>
      <c r="R17" s="299"/>
      <c r="S17" s="299"/>
      <c r="T17" s="299"/>
      <c r="U17" s="299"/>
    </row>
    <row r="18">
      <c r="A18" t="str">
        <f>IFERROR(__xludf.DUMMYFUNCTION("""COMPUTED_VALUE"""),"Life Purpose")</f>
        <v>Life Purpose</v>
      </c>
      <c r="B18" s="3" t="str">
        <f>IFERROR(__xludf.DUMMYFUNCTION("""COMPUTED_VALUE"""),"1")</f>
        <v>1</v>
      </c>
      <c r="C18" t="str">
        <f>IFERROR(__xludf.DUMMYFUNCTION("""COMPUTED_VALUE"""),"AP Calculus BC")</f>
        <v>AP Calculus BC</v>
      </c>
      <c r="D18" s="3">
        <f>IFERROR(__xludf.DUMMYFUNCTION("""COMPUTED_VALUE"""),3.0)</f>
        <v>3</v>
      </c>
      <c r="E18" s="300">
        <v>0.0</v>
      </c>
      <c r="F18" s="299"/>
      <c r="G18" s="299"/>
      <c r="H18" s="299"/>
      <c r="I18" s="299"/>
      <c r="J18" s="299" t="str">
        <f>IFERROR(__xludf.DUMMYFUNCTION("""COMPUTED_VALUE"""),"Life Purpose")</f>
        <v>Life Purpose</v>
      </c>
      <c r="K18" s="299" t="str">
        <f>IFERROR(__xludf.DUMMYFUNCTION("""COMPUTED_VALUE"""),"1")</f>
        <v>1</v>
      </c>
      <c r="L18" s="299"/>
      <c r="M18" s="299"/>
      <c r="N18" s="299"/>
      <c r="O18" s="299"/>
      <c r="P18" s="299"/>
      <c r="Q18" s="299"/>
      <c r="R18" s="299"/>
      <c r="S18" s="299"/>
      <c r="T18" s="299"/>
      <c r="U18" s="299"/>
    </row>
    <row r="19">
      <c r="A19" t="str">
        <f>IFERROR(__xludf.DUMMYFUNCTION("""COMPUTED_VALUE"""),"Sociales 10")</f>
        <v>Sociales 10</v>
      </c>
      <c r="B19" s="3" t="str">
        <f>IFERROR(__xludf.DUMMYFUNCTION("""COMPUTED_VALUE"""),"1")</f>
        <v>1</v>
      </c>
      <c r="C19" t="str">
        <f>IFERROR(__xludf.DUMMYFUNCTION("""COMPUTED_VALUE"""),"AP Chemistry")</f>
        <v>AP Chemistry</v>
      </c>
      <c r="D19" s="3">
        <f>IFERROR(__xludf.DUMMYFUNCTION("""COMPUTED_VALUE"""),7.0)</f>
        <v>7</v>
      </c>
      <c r="E19" s="300">
        <v>0.0</v>
      </c>
      <c r="F19" s="299"/>
      <c r="G19" s="299"/>
      <c r="H19" s="299"/>
      <c r="I19" s="299"/>
      <c r="J19" s="299" t="str">
        <f>IFERROR(__xludf.DUMMYFUNCTION("""COMPUTED_VALUE"""),"Sociales 10")</f>
        <v>Sociales 10</v>
      </c>
      <c r="K19" s="299" t="str">
        <f>IFERROR(__xludf.DUMMYFUNCTION("""COMPUTED_VALUE"""),"1")</f>
        <v>1</v>
      </c>
      <c r="L19" s="299"/>
      <c r="M19" s="299"/>
      <c r="N19" s="299"/>
      <c r="O19" s="299"/>
      <c r="P19" s="299"/>
      <c r="Q19" s="299"/>
      <c r="R19" s="299"/>
      <c r="S19" s="299"/>
      <c r="T19" s="299"/>
      <c r="U19" s="299"/>
    </row>
    <row r="20">
      <c r="A20" t="str">
        <f>IFERROR(__xludf.DUMMYFUNCTION("""COMPUTED_VALUE"""),"ISC")</f>
        <v>ISC</v>
      </c>
      <c r="B20" s="3" t="str">
        <f>IFERROR(__xludf.DUMMYFUNCTION("""COMPUTED_VALUE"""),"1")</f>
        <v>1</v>
      </c>
      <c r="C20" t="str">
        <f>IFERROR(__xludf.DUMMYFUNCTION("""COMPUTED_VALUE"""),"AP Computer Science A")</f>
        <v>AP Computer Science A</v>
      </c>
      <c r="D20" s="3">
        <f>IFERROR(__xludf.DUMMYFUNCTION("""COMPUTED_VALUE"""),4.0)</f>
        <v>4</v>
      </c>
      <c r="E20" s="300">
        <v>0.0</v>
      </c>
      <c r="F20" s="299"/>
      <c r="G20" s="299"/>
      <c r="H20" s="299"/>
      <c r="I20" s="299"/>
      <c r="J20" s="299" t="str">
        <f>IFERROR(__xludf.DUMMYFUNCTION("""COMPUTED_VALUE"""),"ISC")</f>
        <v>ISC</v>
      </c>
      <c r="K20" s="299" t="str">
        <f>IFERROR(__xludf.DUMMYFUNCTION("""COMPUTED_VALUE"""),"1")</f>
        <v>1</v>
      </c>
      <c r="L20" s="299"/>
      <c r="M20" s="299"/>
      <c r="N20" s="299"/>
      <c r="O20" s="299"/>
      <c r="P20" s="299"/>
      <c r="Q20" s="299"/>
      <c r="R20" s="299"/>
      <c r="S20" s="299"/>
      <c r="T20" s="299"/>
      <c r="U20" s="299"/>
    </row>
    <row r="21">
      <c r="A21" t="str">
        <f>IFERROR(__xludf.DUMMYFUNCTION("""COMPUTED_VALUE"""),"Technology 9")</f>
        <v>Technology 9</v>
      </c>
      <c r="B21" s="3" t="str">
        <f>IFERROR(__xludf.DUMMYFUNCTION("""COMPUTED_VALUE"""),"1")</f>
        <v>1</v>
      </c>
      <c r="C21" t="str">
        <f>IFERROR(__xludf.DUMMYFUNCTION("""COMPUTED_VALUE"""),"AP Computer Science Principles")</f>
        <v>AP Computer Science Principles</v>
      </c>
      <c r="D21" s="3">
        <f>IFERROR(__xludf.DUMMYFUNCTION("""COMPUTED_VALUE"""),3.0)</f>
        <v>3</v>
      </c>
      <c r="E21" s="300">
        <v>0.0</v>
      </c>
      <c r="F21" s="299"/>
      <c r="G21" s="299"/>
      <c r="H21" s="299"/>
      <c r="I21" s="299"/>
      <c r="J21" s="299" t="str">
        <f>IFERROR(__xludf.DUMMYFUNCTION("""COMPUTED_VALUE"""),"Technology 9")</f>
        <v>Technology 9</v>
      </c>
      <c r="K21" s="299" t="str">
        <f>IFERROR(__xludf.DUMMYFUNCTION("""COMPUTED_VALUE"""),"1")</f>
        <v>1</v>
      </c>
      <c r="L21" s="299"/>
      <c r="M21" s="299"/>
      <c r="N21" s="299"/>
      <c r="O21" s="299"/>
      <c r="P21" s="299"/>
      <c r="Q21" s="299"/>
      <c r="R21" s="299"/>
      <c r="S21" s="299"/>
      <c r="T21" s="299"/>
      <c r="U21" s="299"/>
    </row>
    <row r="22">
      <c r="A22" t="str">
        <f>IFERROR(__xludf.DUMMYFUNCTION("""COMPUTED_VALUE"""),"FRC 9 Robotics")</f>
        <v>FRC 9 Robotics</v>
      </c>
      <c r="B22" s="3" t="str">
        <f>IFERROR(__xludf.DUMMYFUNCTION("""COMPUTED_VALUE"""),"1")</f>
        <v>1</v>
      </c>
      <c r="C22" t="str">
        <f>IFERROR(__xludf.DUMMYFUNCTION("""COMPUTED_VALUE"""),"AP Drawing")</f>
        <v>AP Drawing</v>
      </c>
      <c r="D22" s="3">
        <f>IFERROR(__xludf.DUMMYFUNCTION("""COMPUTED_VALUE"""),8.0)</f>
        <v>8</v>
      </c>
      <c r="E22" s="300">
        <v>0.0</v>
      </c>
      <c r="F22" s="299"/>
      <c r="G22" s="299"/>
      <c r="H22" s="299"/>
      <c r="I22" s="299"/>
      <c r="J22" s="299" t="str">
        <f>IFERROR(__xludf.DUMMYFUNCTION("""COMPUTED_VALUE"""),"FRC 9 Robotics")</f>
        <v>FRC 9 Robotics</v>
      </c>
      <c r="K22" s="299" t="str">
        <f>IFERROR(__xludf.DUMMYFUNCTION("""COMPUTED_VALUE"""),"1")</f>
        <v>1</v>
      </c>
      <c r="L22" s="299"/>
      <c r="M22" s="299"/>
      <c r="N22" s="299"/>
      <c r="O22" s="299"/>
      <c r="P22" s="299"/>
      <c r="Q22" s="299"/>
      <c r="R22" s="299"/>
      <c r="S22" s="299"/>
      <c r="T22" s="299"/>
      <c r="U22" s="299"/>
    </row>
    <row r="23">
      <c r="A23" t="str">
        <f>IFERROR(__xludf.DUMMYFUNCTION("""COMPUTED_VALUE"""),"AP Research")</f>
        <v>AP Research</v>
      </c>
      <c r="B23" s="3" t="str">
        <f>IFERROR(__xludf.DUMMYFUNCTION("""COMPUTED_VALUE"""),"1")</f>
        <v>1</v>
      </c>
      <c r="C23" t="str">
        <f>IFERROR(__xludf.DUMMYFUNCTION("""COMPUTED_VALUE"""),"AP Economics")</f>
        <v>AP Economics</v>
      </c>
      <c r="D23" s="3">
        <f>IFERROR(__xludf.DUMMYFUNCTION("""COMPUTED_VALUE"""),4.0)</f>
        <v>4</v>
      </c>
      <c r="E23" s="300">
        <v>0.0</v>
      </c>
      <c r="F23" s="299"/>
      <c r="G23" s="299"/>
      <c r="H23" s="299"/>
      <c r="I23" s="299"/>
      <c r="J23" s="299" t="str">
        <f>IFERROR(__xludf.DUMMYFUNCTION("""COMPUTED_VALUE"""),"AP Research")</f>
        <v>AP Research</v>
      </c>
      <c r="K23" s="299" t="str">
        <f>IFERROR(__xludf.DUMMYFUNCTION("""COMPUTED_VALUE"""),"1")</f>
        <v>1</v>
      </c>
      <c r="L23" s="299"/>
      <c r="M23" s="299"/>
      <c r="N23" s="299"/>
      <c r="O23" s="299"/>
      <c r="P23" s="299"/>
      <c r="Q23" s="299"/>
      <c r="R23" s="299"/>
      <c r="S23" s="299"/>
      <c r="T23" s="299"/>
      <c r="U23" s="299"/>
    </row>
    <row r="24">
      <c r="A24" t="str">
        <f>IFERROR(__xludf.DUMMYFUNCTION("""COMPUTED_VALUE"""),"PE 9")</f>
        <v>PE 9</v>
      </c>
      <c r="B24" s="3" t="str">
        <f>IFERROR(__xludf.DUMMYFUNCTION("""COMPUTED_VALUE"""),"1")</f>
        <v>1</v>
      </c>
      <c r="C24" t="str">
        <f>IFERROR(__xludf.DUMMYFUNCTION("""COMPUTED_VALUE"""),"AP Economics")</f>
        <v>AP Economics</v>
      </c>
      <c r="D24" s="3">
        <f>IFERROR(__xludf.DUMMYFUNCTION("""COMPUTED_VALUE"""),5.0)</f>
        <v>5</v>
      </c>
      <c r="E24" s="300">
        <v>0.0</v>
      </c>
      <c r="F24" s="299"/>
      <c r="G24" s="299"/>
      <c r="H24" s="299"/>
      <c r="I24" s="299"/>
      <c r="J24" s="299" t="str">
        <f>IFERROR(__xludf.DUMMYFUNCTION("""COMPUTED_VALUE"""),"PE 9")</f>
        <v>PE 9</v>
      </c>
      <c r="K24" s="299" t="str">
        <f>IFERROR(__xludf.DUMMYFUNCTION("""COMPUTED_VALUE"""),"1")</f>
        <v>1</v>
      </c>
      <c r="L24" s="299"/>
      <c r="M24" s="299"/>
      <c r="N24" s="299"/>
      <c r="O24" s="299"/>
      <c r="P24" s="299"/>
      <c r="Q24" s="299"/>
      <c r="R24" s="299"/>
      <c r="S24" s="299"/>
      <c r="T24" s="299"/>
      <c r="U24" s="299"/>
    </row>
    <row r="25">
      <c r="A25" t="str">
        <f>IFERROR(__xludf.DUMMYFUNCTION("""COMPUTED_VALUE"""),"PE 10")</f>
        <v>PE 10</v>
      </c>
      <c r="B25" s="3" t="str">
        <f>IFERROR(__xludf.DUMMYFUNCTION("""COMPUTED_VALUE"""),"1")</f>
        <v>1</v>
      </c>
      <c r="C25" t="str">
        <f>IFERROR(__xludf.DUMMYFUNCTION("""COMPUTED_VALUE"""),"AP Economics")</f>
        <v>AP Economics</v>
      </c>
      <c r="D25" s="3">
        <f>IFERROR(__xludf.DUMMYFUNCTION("""COMPUTED_VALUE"""),7.0)</f>
        <v>7</v>
      </c>
      <c r="E25" s="300">
        <v>0.0</v>
      </c>
      <c r="F25" s="299"/>
      <c r="G25" s="299"/>
      <c r="H25" s="299"/>
      <c r="I25" s="299"/>
      <c r="J25" s="299" t="str">
        <f>IFERROR(__xludf.DUMMYFUNCTION("""COMPUTED_VALUE"""),"PE 10")</f>
        <v>PE 10</v>
      </c>
      <c r="K25" s="299" t="str">
        <f>IFERROR(__xludf.DUMMYFUNCTION("""COMPUTED_VALUE"""),"1")</f>
        <v>1</v>
      </c>
      <c r="L25" s="299"/>
      <c r="M25" s="299"/>
      <c r="N25" s="299"/>
      <c r="O25" s="299"/>
      <c r="P25" s="299"/>
      <c r="Q25" s="299"/>
      <c r="R25" s="299"/>
      <c r="S25" s="299"/>
      <c r="T25" s="299"/>
      <c r="U25" s="299"/>
    </row>
    <row r="26">
      <c r="A26" t="str">
        <f>IFERROR(__xludf.DUMMYFUNCTION("""COMPUTED_VALUE"""),"PE 11")</f>
        <v>PE 11</v>
      </c>
      <c r="B26" s="3" t="str">
        <f>IFERROR(__xludf.DUMMYFUNCTION("""COMPUTED_VALUE"""),"1")</f>
        <v>1</v>
      </c>
      <c r="C26" t="str">
        <f>IFERROR(__xludf.DUMMYFUNCTION("""COMPUTED_VALUE"""),"AP Economics")</f>
        <v>AP Economics</v>
      </c>
      <c r="D26" s="3">
        <f>IFERROR(__xludf.DUMMYFUNCTION("""COMPUTED_VALUE"""),8.0)</f>
        <v>8</v>
      </c>
      <c r="E26" s="300">
        <v>0.0</v>
      </c>
      <c r="F26" s="299"/>
      <c r="G26" s="299"/>
      <c r="H26" s="299"/>
      <c r="I26" s="299"/>
      <c r="J26" s="299" t="str">
        <f>IFERROR(__xludf.DUMMYFUNCTION("""COMPUTED_VALUE"""),"PE 11")</f>
        <v>PE 11</v>
      </c>
      <c r="K26" s="299" t="str">
        <f>IFERROR(__xludf.DUMMYFUNCTION("""COMPUTED_VALUE"""),"1")</f>
        <v>1</v>
      </c>
      <c r="L26" s="299"/>
      <c r="M26" s="299"/>
      <c r="N26" s="299"/>
      <c r="O26" s="299"/>
      <c r="P26" s="299"/>
      <c r="Q26" s="299"/>
      <c r="R26" s="299"/>
      <c r="S26" s="299"/>
      <c r="T26" s="299"/>
      <c r="U26" s="299"/>
    </row>
    <row r="27">
      <c r="A27" t="str">
        <f>IFERROR(__xludf.DUMMYFUNCTION("""COMPUTED_VALUE"""),"PE 12")</f>
        <v>PE 12</v>
      </c>
      <c r="B27" s="3" t="str">
        <f>IFERROR(__xludf.DUMMYFUNCTION("""COMPUTED_VALUE"""),"1")</f>
        <v>1</v>
      </c>
      <c r="C27" t="str">
        <f>IFERROR(__xludf.DUMMYFUNCTION("""COMPUTED_VALUE"""),"AP English Language")</f>
        <v>AP English Language</v>
      </c>
      <c r="D27" s="3">
        <f>IFERROR(__xludf.DUMMYFUNCTION("""COMPUTED_VALUE"""),3.0)</f>
        <v>3</v>
      </c>
      <c r="E27" s="300">
        <v>0.0</v>
      </c>
      <c r="F27" s="299"/>
      <c r="G27" s="299"/>
      <c r="H27" s="299"/>
      <c r="I27" s="299"/>
      <c r="J27" s="299" t="str">
        <f>IFERROR(__xludf.DUMMYFUNCTION("""COMPUTED_VALUE"""),"PE 12")</f>
        <v>PE 12</v>
      </c>
      <c r="K27" s="299" t="str">
        <f>IFERROR(__xludf.DUMMYFUNCTION("""COMPUTED_VALUE"""),"1")</f>
        <v>1</v>
      </c>
      <c r="L27" s="299"/>
      <c r="M27" s="299"/>
      <c r="N27" s="299"/>
      <c r="O27" s="299"/>
      <c r="P27" s="299"/>
      <c r="Q27" s="299"/>
      <c r="R27" s="299"/>
      <c r="S27" s="299"/>
      <c r="T27" s="299"/>
      <c r="U27" s="299"/>
    </row>
    <row r="28">
      <c r="A28" t="str">
        <f>IFERROR(__xludf.DUMMYFUNCTION("""COMPUTED_VALUE"""),"Band Level II")</f>
        <v>Band Level II</v>
      </c>
      <c r="B28" s="3" t="str">
        <f>IFERROR(__xludf.DUMMYFUNCTION("""COMPUTED_VALUE"""),"2")</f>
        <v>2</v>
      </c>
      <c r="C28" t="str">
        <f>IFERROR(__xludf.DUMMYFUNCTION("""COMPUTED_VALUE"""),"AP English Language")</f>
        <v>AP English Language</v>
      </c>
      <c r="D28" s="3">
        <f>IFERROR(__xludf.DUMMYFUNCTION("""COMPUTED_VALUE"""),7.0)</f>
        <v>7</v>
      </c>
      <c r="E28" s="300">
        <v>0.0</v>
      </c>
      <c r="F28" s="299"/>
      <c r="G28" s="299"/>
      <c r="H28" s="299"/>
      <c r="I28" s="299"/>
      <c r="J28" s="299"/>
      <c r="K28" s="299"/>
      <c r="L28" s="299"/>
      <c r="M28" s="299"/>
      <c r="N28" s="299"/>
      <c r="O28" s="299"/>
      <c r="P28" s="299"/>
      <c r="Q28" s="299"/>
      <c r="R28" s="299"/>
      <c r="S28" s="299"/>
      <c r="T28" s="299"/>
      <c r="U28" s="299"/>
    </row>
    <row r="29">
      <c r="A29" t="str">
        <f>IFERROR(__xludf.DUMMYFUNCTION("""COMPUTED_VALUE"""),"English 10")</f>
        <v>English 10</v>
      </c>
      <c r="B29" s="3" t="str">
        <f>IFERROR(__xludf.DUMMYFUNCTION("""COMPUTED_VALUE"""),"2")</f>
        <v>2</v>
      </c>
      <c r="C29" t="str">
        <f>IFERROR(__xludf.DUMMYFUNCTION("""COMPUTED_VALUE"""),"AP English Literature")</f>
        <v>AP English Literature</v>
      </c>
      <c r="D29" s="3">
        <f>IFERROR(__xludf.DUMMYFUNCTION("""COMPUTED_VALUE"""),4.0)</f>
        <v>4</v>
      </c>
      <c r="E29" s="300">
        <v>0.0</v>
      </c>
      <c r="F29" s="299"/>
      <c r="G29" s="299"/>
      <c r="H29" s="299"/>
      <c r="I29" s="299"/>
      <c r="J29" s="299"/>
      <c r="K29" s="299"/>
      <c r="L29" s="299"/>
      <c r="M29" s="299"/>
      <c r="N29" s="299"/>
      <c r="O29" s="299"/>
      <c r="P29" s="299"/>
      <c r="Q29" s="299"/>
      <c r="R29" s="299"/>
      <c r="S29" s="299"/>
      <c r="T29" s="299"/>
      <c r="U29" s="299"/>
    </row>
    <row r="30">
      <c r="A30" t="str">
        <f>IFERROR(__xludf.DUMMYFUNCTION("""COMPUTED_VALUE"""),"Journalism Intermediate Level")</f>
        <v>Journalism Intermediate Level</v>
      </c>
      <c r="B30" s="3" t="str">
        <f>IFERROR(__xludf.DUMMYFUNCTION("""COMPUTED_VALUE"""),"2")</f>
        <v>2</v>
      </c>
      <c r="C30" t="str">
        <f>IFERROR(__xludf.DUMMYFUNCTION("""COMPUTED_VALUE"""),"AP Environmental Science")</f>
        <v>AP Environmental Science</v>
      </c>
      <c r="D30" s="3">
        <f>IFERROR(__xludf.DUMMYFUNCTION("""COMPUTED_VALUE"""),3.0)</f>
        <v>3</v>
      </c>
      <c r="E30" s="300">
        <v>0.0</v>
      </c>
      <c r="F30" s="299"/>
      <c r="G30" s="299"/>
      <c r="H30" s="299"/>
      <c r="I30" s="299"/>
      <c r="J30" s="299"/>
      <c r="K30" s="299"/>
      <c r="L30" s="299"/>
      <c r="M30" s="299"/>
      <c r="N30" s="299"/>
      <c r="O30" s="299"/>
      <c r="P30" s="299"/>
      <c r="Q30" s="299"/>
      <c r="R30" s="299"/>
      <c r="S30" s="299"/>
      <c r="T30" s="299"/>
      <c r="U30" s="299"/>
    </row>
    <row r="31">
      <c r="A31" t="str">
        <f>IFERROR(__xludf.DUMMYFUNCTION("""COMPUTED_VALUE"""),"English 9")</f>
        <v>English 9</v>
      </c>
      <c r="B31" s="3" t="str">
        <f>IFERROR(__xludf.DUMMYFUNCTION("""COMPUTED_VALUE"""),"2")</f>
        <v>2</v>
      </c>
      <c r="C31" t="str">
        <f>IFERROR(__xludf.DUMMYFUNCTION("""COMPUTED_VALUE"""),"AP Human Geography")</f>
        <v>AP Human Geography</v>
      </c>
      <c r="D31" s="3">
        <f>IFERROR(__xludf.DUMMYFUNCTION("""COMPUTED_VALUE"""),2.0)</f>
        <v>2</v>
      </c>
      <c r="E31" s="300">
        <v>0.0</v>
      </c>
      <c r="F31" s="299"/>
      <c r="G31" s="299"/>
      <c r="H31" s="299"/>
      <c r="I31" s="299"/>
      <c r="J31" s="299"/>
      <c r="K31" s="299"/>
      <c r="L31" s="299"/>
      <c r="M31" s="299"/>
      <c r="N31" s="299"/>
      <c r="O31" s="299"/>
      <c r="P31" s="299"/>
      <c r="Q31" s="299"/>
      <c r="R31" s="299"/>
      <c r="S31" s="299"/>
      <c r="T31" s="299"/>
      <c r="U31" s="299"/>
    </row>
    <row r="32">
      <c r="A32" t="str">
        <f>IFERROR(__xludf.DUMMYFUNCTION("""COMPUTED_VALUE"""),"Spanish and Literature 12")</f>
        <v>Spanish and Literature 12</v>
      </c>
      <c r="B32" s="3" t="str">
        <f>IFERROR(__xludf.DUMMYFUNCTION("""COMPUTED_VALUE"""),"2")</f>
        <v>2</v>
      </c>
      <c r="C32" t="str">
        <f>IFERROR(__xludf.DUMMYFUNCTION("""COMPUTED_VALUE"""),"AP Human Geography")</f>
        <v>AP Human Geography</v>
      </c>
      <c r="D32" s="3">
        <f>IFERROR(__xludf.DUMMYFUNCTION("""COMPUTED_VALUE"""),3.0)</f>
        <v>3</v>
      </c>
      <c r="E32" s="300">
        <v>0.0</v>
      </c>
      <c r="F32" s="299"/>
      <c r="G32" s="299"/>
      <c r="H32" s="299"/>
      <c r="I32" s="299"/>
      <c r="J32" s="299"/>
      <c r="K32" s="299"/>
      <c r="L32" s="299"/>
      <c r="M32" s="299"/>
      <c r="N32" s="299"/>
      <c r="O32" s="299"/>
      <c r="P32" s="299"/>
      <c r="Q32" s="299"/>
      <c r="R32" s="299"/>
      <c r="S32" s="299"/>
      <c r="T32" s="299"/>
      <c r="U32" s="299"/>
    </row>
    <row r="33">
      <c r="A33" t="str">
        <f>IFERROR(__xludf.DUMMYFUNCTION("""COMPUTED_VALUE"""),"Sociales 10")</f>
        <v>Sociales 10</v>
      </c>
      <c r="B33" s="3" t="str">
        <f>IFERROR(__xludf.DUMMYFUNCTION("""COMPUTED_VALUE"""),"2")</f>
        <v>2</v>
      </c>
      <c r="C33" t="str">
        <f>IFERROR(__xludf.DUMMYFUNCTION("""COMPUTED_VALUE"""),"AP Human Geography")</f>
        <v>AP Human Geography</v>
      </c>
      <c r="D33" s="3">
        <f>IFERROR(__xludf.DUMMYFUNCTION("""COMPUTED_VALUE"""),4.0)</f>
        <v>4</v>
      </c>
      <c r="E33" s="300">
        <v>0.0</v>
      </c>
      <c r="F33" s="299"/>
      <c r="G33" s="299"/>
      <c r="H33" s="299"/>
      <c r="I33" s="299"/>
      <c r="J33" s="299"/>
      <c r="K33" s="299"/>
      <c r="L33" s="299"/>
      <c r="M33" s="299"/>
      <c r="N33" s="299"/>
      <c r="O33" s="299"/>
      <c r="P33" s="299"/>
      <c r="Q33" s="299"/>
      <c r="R33" s="299"/>
      <c r="S33" s="299"/>
      <c r="T33" s="299"/>
      <c r="U33" s="299"/>
    </row>
    <row r="34">
      <c r="A34" t="str">
        <f>IFERROR(__xludf.DUMMYFUNCTION("""COMPUTED_VALUE"""),"AP Calculus AB")</f>
        <v>AP Calculus AB</v>
      </c>
      <c r="B34" s="3" t="str">
        <f>IFERROR(__xludf.DUMMYFUNCTION("""COMPUTED_VALUE"""),"2")</f>
        <v>2</v>
      </c>
      <c r="C34" t="str">
        <f>IFERROR(__xludf.DUMMYFUNCTION("""COMPUTED_VALUE"""),"AP Human Geography")</f>
        <v>AP Human Geography</v>
      </c>
      <c r="D34" s="3">
        <f>IFERROR(__xludf.DUMMYFUNCTION("""COMPUTED_VALUE"""),6.0)</f>
        <v>6</v>
      </c>
      <c r="E34" s="300">
        <v>0.0</v>
      </c>
      <c r="F34" s="299"/>
      <c r="G34" s="299"/>
      <c r="H34" s="299"/>
      <c r="I34" s="299"/>
      <c r="J34" s="299"/>
      <c r="K34" s="299"/>
      <c r="L34" s="299"/>
      <c r="M34" s="299"/>
      <c r="N34" s="299"/>
      <c r="O34" s="299"/>
      <c r="P34" s="299"/>
      <c r="Q34" s="299"/>
      <c r="R34" s="299"/>
      <c r="S34" s="299"/>
      <c r="T34" s="299"/>
      <c r="U34" s="299"/>
    </row>
    <row r="35">
      <c r="A35" t="str">
        <f>IFERROR(__xludf.DUMMYFUNCTION("""COMPUTED_VALUE"""),"Calculus")</f>
        <v>Calculus</v>
      </c>
      <c r="B35" s="3" t="str">
        <f>IFERROR(__xludf.DUMMYFUNCTION("""COMPUTED_VALUE"""),"2")</f>
        <v>2</v>
      </c>
      <c r="C35" t="str">
        <f>IFERROR(__xludf.DUMMYFUNCTION("""COMPUTED_VALUE"""),"AP Physics 1")</f>
        <v>AP Physics 1</v>
      </c>
      <c r="D35" s="3">
        <f>IFERROR(__xludf.DUMMYFUNCTION("""COMPUTED_VALUE"""),1.0)</f>
        <v>1</v>
      </c>
      <c r="E35" s="300">
        <v>0.0</v>
      </c>
      <c r="F35" s="299"/>
      <c r="G35" s="299"/>
      <c r="H35" s="299"/>
      <c r="I35" s="299"/>
      <c r="J35" s="299"/>
      <c r="K35" s="299"/>
      <c r="L35" s="299"/>
      <c r="M35" s="299"/>
      <c r="N35" s="299"/>
      <c r="O35" s="299"/>
      <c r="P35" s="299"/>
      <c r="Q35" s="299"/>
      <c r="R35" s="299"/>
      <c r="S35" s="299"/>
      <c r="T35" s="299"/>
      <c r="U35" s="299"/>
    </row>
    <row r="36">
      <c r="A36" t="str">
        <f>IFERROR(__xludf.DUMMYFUNCTION("""COMPUTED_VALUE"""),"Geometry")</f>
        <v>Geometry</v>
      </c>
      <c r="B36" s="3" t="str">
        <f>IFERROR(__xludf.DUMMYFUNCTION("""COMPUTED_VALUE"""),"2")</f>
        <v>2</v>
      </c>
      <c r="C36" t="str">
        <f>IFERROR(__xludf.DUMMYFUNCTION("""COMPUTED_VALUE"""),"AP Physics 2")</f>
        <v>AP Physics 2</v>
      </c>
      <c r="D36" s="3">
        <f>IFERROR(__xludf.DUMMYFUNCTION("""COMPUTED_VALUE"""),3.0)</f>
        <v>3</v>
      </c>
      <c r="E36" s="300">
        <v>0.0</v>
      </c>
      <c r="F36" s="299"/>
      <c r="G36" s="299"/>
      <c r="H36" s="299"/>
      <c r="I36" s="299"/>
      <c r="J36" s="299"/>
      <c r="K36" s="299"/>
      <c r="L36" s="299"/>
      <c r="M36" s="299"/>
      <c r="N36" s="299"/>
      <c r="O36" s="299"/>
      <c r="P36" s="299"/>
      <c r="Q36" s="299"/>
      <c r="R36" s="299"/>
      <c r="S36" s="299"/>
      <c r="T36" s="299"/>
      <c r="U36" s="299"/>
    </row>
    <row r="37">
      <c r="A37" t="str">
        <f>IFERROR(__xludf.DUMMYFUNCTION("""COMPUTED_VALUE"""),"AP Precalculus")</f>
        <v>AP Precalculus</v>
      </c>
      <c r="B37" s="3" t="str">
        <f>IFERROR(__xludf.DUMMYFUNCTION("""COMPUTED_VALUE"""),"2")</f>
        <v>2</v>
      </c>
      <c r="C37" t="str">
        <f>IFERROR(__xludf.DUMMYFUNCTION("""COMPUTED_VALUE"""),"AP Physics 2")</f>
        <v>AP Physics 2</v>
      </c>
      <c r="D37" s="3">
        <f>IFERROR(__xludf.DUMMYFUNCTION("""COMPUTED_VALUE"""),5.0)</f>
        <v>5</v>
      </c>
      <c r="E37" s="300">
        <v>0.0</v>
      </c>
      <c r="F37" s="299"/>
      <c r="G37" s="299"/>
      <c r="H37" s="299"/>
      <c r="I37" s="299"/>
      <c r="J37" s="299"/>
      <c r="K37" s="299"/>
      <c r="L37" s="299"/>
      <c r="M37" s="299"/>
      <c r="N37" s="299"/>
      <c r="O37" s="299"/>
      <c r="P37" s="299"/>
      <c r="Q37" s="299"/>
      <c r="R37" s="299"/>
      <c r="S37" s="299"/>
      <c r="T37" s="299"/>
      <c r="U37" s="299"/>
    </row>
    <row r="38">
      <c r="A38" t="str">
        <f>IFERROR(__xludf.DUMMYFUNCTION("""COMPUTED_VALUE"""),"Environmental Science")</f>
        <v>Environmental Science</v>
      </c>
      <c r="B38" s="3" t="str">
        <f>IFERROR(__xludf.DUMMYFUNCTION("""COMPUTED_VALUE"""),"2")</f>
        <v>2</v>
      </c>
      <c r="C38" t="str">
        <f>IFERROR(__xludf.DUMMYFUNCTION("""COMPUTED_VALUE"""),"AP Precalculus")</f>
        <v>AP Precalculus</v>
      </c>
      <c r="D38" s="3">
        <f>IFERROR(__xludf.DUMMYFUNCTION("""COMPUTED_VALUE"""),2.0)</f>
        <v>2</v>
      </c>
      <c r="E38" s="300">
        <v>0.0</v>
      </c>
      <c r="F38" s="299"/>
      <c r="G38" s="299"/>
      <c r="H38" s="299"/>
      <c r="I38" s="299"/>
      <c r="J38" s="299"/>
      <c r="K38" s="299"/>
      <c r="L38" s="299"/>
      <c r="M38" s="299"/>
      <c r="N38" s="299"/>
      <c r="O38" s="299"/>
      <c r="P38" s="299"/>
      <c r="Q38" s="299"/>
      <c r="R38" s="299"/>
      <c r="S38" s="299"/>
      <c r="T38" s="299"/>
      <c r="U38" s="299"/>
    </row>
    <row r="39">
      <c r="A39" t="str">
        <f>IFERROR(__xludf.DUMMYFUNCTION("""COMPUTED_VALUE"""),"Biology 9")</f>
        <v>Biology 9</v>
      </c>
      <c r="B39" s="3" t="str">
        <f>IFERROR(__xludf.DUMMYFUNCTION("""COMPUTED_VALUE"""),"2")</f>
        <v>2</v>
      </c>
      <c r="C39" t="str">
        <f>IFERROR(__xludf.DUMMYFUNCTION("""COMPUTED_VALUE"""),"AP Precalculus")</f>
        <v>AP Precalculus</v>
      </c>
      <c r="D39" s="3">
        <f>IFERROR(__xludf.DUMMYFUNCTION("""COMPUTED_VALUE"""),3.0)</f>
        <v>3</v>
      </c>
      <c r="E39" s="300">
        <v>0.0</v>
      </c>
      <c r="F39" s="299"/>
      <c r="G39" s="299"/>
      <c r="H39" s="299"/>
      <c r="I39" s="299"/>
      <c r="J39" s="299"/>
      <c r="K39" s="299"/>
      <c r="L39" s="299"/>
      <c r="M39" s="299"/>
      <c r="N39" s="299"/>
      <c r="O39" s="299"/>
      <c r="P39" s="299"/>
      <c r="Q39" s="299"/>
      <c r="R39" s="299"/>
      <c r="S39" s="299"/>
      <c r="T39" s="299"/>
      <c r="U39" s="299"/>
    </row>
    <row r="40">
      <c r="A40" t="str">
        <f>IFERROR(__xludf.DUMMYFUNCTION("""COMPUTED_VALUE"""),"Physics")</f>
        <v>Physics</v>
      </c>
      <c r="B40" s="3" t="str">
        <f>IFERROR(__xludf.DUMMYFUNCTION("""COMPUTED_VALUE"""),"2")</f>
        <v>2</v>
      </c>
      <c r="C40" t="str">
        <f>IFERROR(__xludf.DUMMYFUNCTION("""COMPUTED_VALUE"""),"AP Psychology")</f>
        <v>AP Psychology</v>
      </c>
      <c r="D40" s="3">
        <f>IFERROR(__xludf.DUMMYFUNCTION("""COMPUTED_VALUE"""),4.0)</f>
        <v>4</v>
      </c>
      <c r="E40" s="300">
        <v>0.0</v>
      </c>
      <c r="F40" s="299"/>
      <c r="G40" s="299"/>
      <c r="H40" s="299"/>
      <c r="I40" s="299"/>
      <c r="J40" s="299"/>
      <c r="K40" s="299"/>
      <c r="L40" s="299"/>
      <c r="M40" s="299"/>
      <c r="N40" s="299"/>
      <c r="O40" s="299"/>
      <c r="P40" s="299"/>
      <c r="Q40" s="299"/>
      <c r="R40" s="299"/>
      <c r="S40" s="299"/>
      <c r="T40" s="299"/>
      <c r="U40" s="299"/>
    </row>
    <row r="41">
      <c r="A41" t="str">
        <f>IFERROR(__xludf.DUMMYFUNCTION("""COMPUTED_VALUE"""),"Chemistry")</f>
        <v>Chemistry</v>
      </c>
      <c r="B41" s="3" t="str">
        <f>IFERROR(__xludf.DUMMYFUNCTION("""COMPUTED_VALUE"""),"2")</f>
        <v>2</v>
      </c>
      <c r="C41" t="str">
        <f>IFERROR(__xludf.DUMMYFUNCTION("""COMPUTED_VALUE"""),"AP Psychology")</f>
        <v>AP Psychology</v>
      </c>
      <c r="D41" s="3">
        <f>IFERROR(__xludf.DUMMYFUNCTION("""COMPUTED_VALUE"""),5.0)</f>
        <v>5</v>
      </c>
      <c r="E41" s="300">
        <v>0.0</v>
      </c>
      <c r="F41" s="299"/>
      <c r="G41" s="299"/>
      <c r="H41" s="299"/>
      <c r="I41" s="299"/>
      <c r="J41" s="299"/>
      <c r="K41" s="299"/>
      <c r="L41" s="299"/>
      <c r="M41" s="299"/>
      <c r="N41" s="299"/>
      <c r="O41" s="299"/>
      <c r="P41" s="299"/>
      <c r="Q41" s="299"/>
      <c r="R41" s="299"/>
      <c r="S41" s="299"/>
      <c r="T41" s="299"/>
      <c r="U41" s="299"/>
    </row>
    <row r="42">
      <c r="A42" t="str">
        <f>IFERROR(__xludf.DUMMYFUNCTION("""COMPUTED_VALUE"""),"Global")</f>
        <v>Global</v>
      </c>
      <c r="B42" s="3" t="str">
        <f>IFERROR(__xludf.DUMMYFUNCTION("""COMPUTED_VALUE"""),"2")</f>
        <v>2</v>
      </c>
      <c r="C42" t="str">
        <f>IFERROR(__xludf.DUMMYFUNCTION("""COMPUTED_VALUE"""),"AP Research")</f>
        <v>AP Research</v>
      </c>
      <c r="D42" s="3">
        <f>IFERROR(__xludf.DUMMYFUNCTION("""COMPUTED_VALUE"""),1.0)</f>
        <v>1</v>
      </c>
      <c r="E42" s="300">
        <v>0.0</v>
      </c>
      <c r="F42" s="299"/>
      <c r="G42" s="299"/>
      <c r="H42" s="299"/>
      <c r="I42" s="299"/>
      <c r="J42" s="299"/>
      <c r="K42" s="299"/>
      <c r="L42" s="299"/>
      <c r="M42" s="299"/>
      <c r="N42" s="299"/>
      <c r="O42" s="299"/>
      <c r="P42" s="299"/>
      <c r="Q42" s="299"/>
      <c r="R42" s="299"/>
      <c r="S42" s="299"/>
      <c r="T42" s="299"/>
      <c r="U42" s="299"/>
    </row>
    <row r="43">
      <c r="A43" t="str">
        <f>IFERROR(__xludf.DUMMYFUNCTION("""COMPUTED_VALUE"""),"AP Human Geography")</f>
        <v>AP Human Geography</v>
      </c>
      <c r="B43" s="3" t="str">
        <f>IFERROR(__xludf.DUMMYFUNCTION("""COMPUTED_VALUE"""),"2")</f>
        <v>2</v>
      </c>
      <c r="C43" t="str">
        <f>IFERROR(__xludf.DUMMYFUNCTION("""COMPUTED_VALUE"""),"AP Seminar")</f>
        <v>AP Seminar</v>
      </c>
      <c r="D43" s="3">
        <f>IFERROR(__xludf.DUMMYFUNCTION("""COMPUTED_VALUE"""),1.0)</f>
        <v>1</v>
      </c>
      <c r="E43" s="300">
        <v>0.0</v>
      </c>
      <c r="F43" s="299"/>
      <c r="G43" s="299"/>
      <c r="H43" s="299"/>
      <c r="I43" s="299"/>
      <c r="J43" s="299"/>
      <c r="K43" s="299"/>
      <c r="L43" s="299"/>
      <c r="M43" s="299"/>
      <c r="N43" s="299"/>
      <c r="O43" s="299"/>
      <c r="P43" s="299"/>
      <c r="Q43" s="299"/>
      <c r="R43" s="299"/>
      <c r="S43" s="299"/>
      <c r="T43" s="299"/>
      <c r="U43" s="299"/>
    </row>
    <row r="44">
      <c r="A44" t="str">
        <f>IFERROR(__xludf.DUMMYFUNCTION("""COMPUTED_VALUE"""),"Social Studies 9")</f>
        <v>Social Studies 9</v>
      </c>
      <c r="B44" s="3" t="str">
        <f>IFERROR(__xludf.DUMMYFUNCTION("""COMPUTED_VALUE"""),"2")</f>
        <v>2</v>
      </c>
      <c r="C44" t="str">
        <f>IFERROR(__xludf.DUMMYFUNCTION("""COMPUTED_VALUE"""),"AP Seminar")</f>
        <v>AP Seminar</v>
      </c>
      <c r="D44" s="3">
        <f>IFERROR(__xludf.DUMMYFUNCTION("""COMPUTED_VALUE"""),5.0)</f>
        <v>5</v>
      </c>
      <c r="E44" s="300">
        <v>0.0</v>
      </c>
      <c r="F44" s="299"/>
      <c r="G44" s="299"/>
      <c r="H44" s="299"/>
      <c r="I44" s="299"/>
      <c r="J44" s="299"/>
      <c r="K44" s="299"/>
      <c r="L44" s="299"/>
      <c r="M44" s="299"/>
      <c r="N44" s="299"/>
      <c r="O44" s="299"/>
      <c r="P44" s="299"/>
      <c r="Q44" s="299"/>
      <c r="R44" s="299"/>
      <c r="S44" s="299"/>
      <c r="T44" s="299"/>
      <c r="U44" s="299"/>
    </row>
    <row r="45">
      <c r="A45" t="str">
        <f>IFERROR(__xludf.DUMMYFUNCTION("""COMPUTED_VALUE"""),"Pensar nuestro tiempo")</f>
        <v>Pensar nuestro tiempo</v>
      </c>
      <c r="B45" s="3" t="str">
        <f>IFERROR(__xludf.DUMMYFUNCTION("""COMPUTED_VALUE"""),"2")</f>
        <v>2</v>
      </c>
      <c r="C45" t="str">
        <f>IFERROR(__xludf.DUMMYFUNCTION("""COMPUTED_VALUE"""),"AP Seminar")</f>
        <v>AP Seminar</v>
      </c>
      <c r="D45" s="3">
        <f>IFERROR(__xludf.DUMMYFUNCTION("""COMPUTED_VALUE"""),6.0)</f>
        <v>6</v>
      </c>
      <c r="E45" s="300">
        <v>0.0</v>
      </c>
      <c r="F45" s="299"/>
      <c r="G45" s="299"/>
      <c r="H45" s="299"/>
      <c r="I45" s="299"/>
      <c r="J45" s="299"/>
      <c r="K45" s="299"/>
      <c r="L45" s="299"/>
      <c r="M45" s="299"/>
      <c r="N45" s="299"/>
      <c r="O45" s="299"/>
      <c r="P45" s="299"/>
      <c r="Q45" s="299"/>
      <c r="R45" s="299"/>
      <c r="S45" s="299"/>
      <c r="T45" s="299"/>
      <c r="U45" s="299"/>
    </row>
    <row r="46">
      <c r="A46" t="str">
        <f>IFERROR(__xludf.DUMMYFUNCTION("""COMPUTED_VALUE"""),"Life Purpose")</f>
        <v>Life Purpose</v>
      </c>
      <c r="B46" s="3" t="str">
        <f>IFERROR(__xludf.DUMMYFUNCTION("""COMPUTED_VALUE"""),"2")</f>
        <v>2</v>
      </c>
      <c r="C46" t="str">
        <f>IFERROR(__xludf.DUMMYFUNCTION("""COMPUTED_VALUE"""),"AP Spanish Language and Culture")</f>
        <v>AP Spanish Language and Culture</v>
      </c>
      <c r="D46" s="3">
        <f>IFERROR(__xludf.DUMMYFUNCTION("""COMPUTED_VALUE"""),1.0)</f>
        <v>1</v>
      </c>
      <c r="E46" s="300">
        <v>0.0</v>
      </c>
      <c r="F46" s="299"/>
      <c r="G46" s="299"/>
      <c r="H46" s="299"/>
      <c r="I46" s="299"/>
      <c r="J46" s="299"/>
      <c r="K46" s="299"/>
      <c r="L46" s="299"/>
      <c r="M46" s="299"/>
      <c r="N46" s="299"/>
      <c r="O46" s="299"/>
      <c r="P46" s="299"/>
      <c r="Q46" s="299"/>
      <c r="R46" s="299"/>
      <c r="S46" s="299"/>
      <c r="T46" s="299"/>
      <c r="U46" s="299"/>
    </row>
    <row r="47">
      <c r="A47" t="str">
        <f>IFERROR(__xludf.DUMMYFUNCTION("""COMPUTED_VALUE"""),"FRC 9 Robotics")</f>
        <v>FRC 9 Robotics</v>
      </c>
      <c r="B47" s="3" t="str">
        <f>IFERROR(__xludf.DUMMYFUNCTION("""COMPUTED_VALUE"""),"2")</f>
        <v>2</v>
      </c>
      <c r="C47" t="str">
        <f>IFERROR(__xludf.DUMMYFUNCTION("""COMPUTED_VALUE"""),"AP Spanish Language and Culture")</f>
        <v>AP Spanish Language and Culture</v>
      </c>
      <c r="D47" s="3">
        <f>IFERROR(__xludf.DUMMYFUNCTION("""COMPUTED_VALUE"""),3.0)</f>
        <v>3</v>
      </c>
      <c r="E47" s="300">
        <v>0.0</v>
      </c>
      <c r="F47" s="299"/>
      <c r="G47" s="299"/>
      <c r="H47" s="299"/>
      <c r="I47" s="299"/>
      <c r="J47" s="299"/>
      <c r="K47" s="299"/>
      <c r="L47" s="299"/>
      <c r="M47" s="299"/>
      <c r="N47" s="299"/>
      <c r="O47" s="299"/>
      <c r="P47" s="299"/>
      <c r="Q47" s="299"/>
      <c r="R47" s="299"/>
      <c r="S47" s="299"/>
      <c r="T47" s="299"/>
      <c r="U47" s="299"/>
    </row>
    <row r="48">
      <c r="A48" t="str">
        <f>IFERROR(__xludf.DUMMYFUNCTION("""COMPUTED_VALUE"""),"PE 9")</f>
        <v>PE 9</v>
      </c>
      <c r="B48" s="3" t="str">
        <f>IFERROR(__xludf.DUMMYFUNCTION("""COMPUTED_VALUE"""),"2")</f>
        <v>2</v>
      </c>
      <c r="C48" t="str">
        <f>IFERROR(__xludf.DUMMYFUNCTION("""COMPUTED_VALUE"""),"AP Spanish Language and Culture")</f>
        <v>AP Spanish Language and Culture</v>
      </c>
      <c r="D48" s="3">
        <f>IFERROR(__xludf.DUMMYFUNCTION("""COMPUTED_VALUE"""),4.0)</f>
        <v>4</v>
      </c>
      <c r="E48" s="300">
        <v>0.0</v>
      </c>
      <c r="F48" s="299"/>
      <c r="G48" s="299"/>
      <c r="H48" s="299"/>
      <c r="I48" s="299"/>
      <c r="J48" s="299"/>
      <c r="K48" s="299"/>
      <c r="L48" s="299"/>
      <c r="M48" s="299"/>
      <c r="N48" s="299"/>
      <c r="O48" s="299"/>
      <c r="P48" s="299"/>
      <c r="Q48" s="299"/>
      <c r="R48" s="299"/>
      <c r="S48" s="299"/>
      <c r="T48" s="299"/>
      <c r="U48" s="299"/>
    </row>
    <row r="49">
      <c r="A49" t="str">
        <f>IFERROR(__xludf.DUMMYFUNCTION("""COMPUTED_VALUE"""),"PE 10")</f>
        <v>PE 10</v>
      </c>
      <c r="B49" s="3" t="str">
        <f>IFERROR(__xludf.DUMMYFUNCTION("""COMPUTED_VALUE"""),"2")</f>
        <v>2</v>
      </c>
      <c r="C49" t="str">
        <f>IFERROR(__xludf.DUMMYFUNCTION("""COMPUTED_VALUE"""),"AP Spanish Language and Culture")</f>
        <v>AP Spanish Language and Culture</v>
      </c>
      <c r="D49" s="3">
        <f>IFERROR(__xludf.DUMMYFUNCTION("""COMPUTED_VALUE"""),5.0)</f>
        <v>5</v>
      </c>
      <c r="E49" s="300">
        <v>0.0</v>
      </c>
      <c r="F49" s="299"/>
      <c r="G49" s="299"/>
      <c r="H49" s="299"/>
      <c r="I49" s="299"/>
      <c r="J49" s="299"/>
      <c r="K49" s="299"/>
      <c r="L49" s="299"/>
      <c r="M49" s="299"/>
      <c r="N49" s="299"/>
      <c r="O49" s="299"/>
      <c r="P49" s="299"/>
      <c r="Q49" s="299"/>
      <c r="R49" s="299"/>
      <c r="S49" s="299"/>
      <c r="T49" s="299"/>
      <c r="U49" s="299"/>
    </row>
    <row r="50">
      <c r="A50" t="str">
        <f>IFERROR(__xludf.DUMMYFUNCTION("""COMPUTED_VALUE"""),"PE 11")</f>
        <v>PE 11</v>
      </c>
      <c r="B50" s="3" t="str">
        <f>IFERROR(__xludf.DUMMYFUNCTION("""COMPUTED_VALUE"""),"2")</f>
        <v>2</v>
      </c>
      <c r="C50" t="str">
        <f>IFERROR(__xludf.DUMMYFUNCTION("""COMPUTED_VALUE"""),"AP Spanish Language and Culture")</f>
        <v>AP Spanish Language and Culture</v>
      </c>
      <c r="D50" s="3">
        <f>IFERROR(__xludf.DUMMYFUNCTION("""COMPUTED_VALUE"""),6.0)</f>
        <v>6</v>
      </c>
      <c r="E50" s="300">
        <v>0.0</v>
      </c>
      <c r="F50" s="299"/>
      <c r="G50" s="299"/>
      <c r="H50" s="299"/>
      <c r="I50" s="299"/>
      <c r="J50" s="299"/>
      <c r="K50" s="299"/>
      <c r="L50" s="299"/>
      <c r="M50" s="299"/>
      <c r="N50" s="299"/>
      <c r="O50" s="299"/>
      <c r="P50" s="299"/>
      <c r="Q50" s="299"/>
      <c r="R50" s="299"/>
      <c r="S50" s="299"/>
      <c r="T50" s="299"/>
      <c r="U50" s="299"/>
    </row>
    <row r="51">
      <c r="A51" t="str">
        <f>IFERROR(__xludf.DUMMYFUNCTION("""COMPUTED_VALUE"""),"PE 12")</f>
        <v>PE 12</v>
      </c>
      <c r="B51" s="3" t="str">
        <f>IFERROR(__xludf.DUMMYFUNCTION("""COMPUTED_VALUE"""),"2")</f>
        <v>2</v>
      </c>
      <c r="C51" t="str">
        <f>IFERROR(__xludf.DUMMYFUNCTION("""COMPUTED_VALUE"""),"AP Spanish Language and Culture")</f>
        <v>AP Spanish Language and Culture</v>
      </c>
      <c r="D51" s="3">
        <f>IFERROR(__xludf.DUMMYFUNCTION("""COMPUTED_VALUE"""),7.0)</f>
        <v>7</v>
      </c>
      <c r="E51" s="300">
        <v>0.0</v>
      </c>
      <c r="F51" s="299"/>
      <c r="G51" s="299"/>
      <c r="H51" s="299"/>
      <c r="I51" s="299"/>
      <c r="J51" s="299"/>
      <c r="K51" s="299"/>
      <c r="L51" s="299"/>
      <c r="M51" s="299"/>
      <c r="N51" s="299"/>
      <c r="O51" s="299"/>
      <c r="P51" s="299"/>
      <c r="Q51" s="299"/>
      <c r="R51" s="299"/>
      <c r="S51" s="299"/>
      <c r="T51" s="299"/>
      <c r="U51" s="299"/>
    </row>
    <row r="52">
      <c r="A52" t="str">
        <f>IFERROR(__xludf.DUMMYFUNCTION("""COMPUTED_VALUE"""),"Band Level I")</f>
        <v>Band Level I</v>
      </c>
      <c r="B52" s="3" t="str">
        <f>IFERROR(__xludf.DUMMYFUNCTION("""COMPUTED_VALUE"""),"3")</f>
        <v>3</v>
      </c>
      <c r="C52" t="str">
        <f>IFERROR(__xludf.DUMMYFUNCTION("""COMPUTED_VALUE"""),"AP Spanish Language and Culture")</f>
        <v>AP Spanish Language and Culture</v>
      </c>
      <c r="D52" s="3">
        <f>IFERROR(__xludf.DUMMYFUNCTION("""COMPUTED_VALUE"""),8.0)</f>
        <v>8</v>
      </c>
      <c r="E52" s="300">
        <v>0.0</v>
      </c>
      <c r="F52" s="299"/>
      <c r="G52" s="299"/>
      <c r="H52" s="299"/>
      <c r="I52" s="299"/>
      <c r="J52" s="299"/>
      <c r="K52" s="299"/>
      <c r="L52" s="299"/>
      <c r="M52" s="299"/>
      <c r="N52" s="299"/>
      <c r="O52" s="299"/>
      <c r="P52" s="299"/>
      <c r="Q52" s="299"/>
      <c r="R52" s="299"/>
      <c r="S52" s="299"/>
      <c r="T52" s="299"/>
      <c r="U52" s="299"/>
    </row>
    <row r="53">
      <c r="A53" t="str">
        <f>IFERROR(__xludf.DUMMYFUNCTION("""COMPUTED_VALUE"""),"Drawing I")</f>
        <v>Drawing I</v>
      </c>
      <c r="B53" s="3" t="str">
        <f>IFERROR(__xludf.DUMMYFUNCTION("""COMPUTED_VALUE"""),"3")</f>
        <v>3</v>
      </c>
      <c r="C53" t="str">
        <f>IFERROR(__xludf.DUMMYFUNCTION("""COMPUTED_VALUE"""),"AP Spanish Literature and Culture")</f>
        <v>AP Spanish Literature and Culture</v>
      </c>
      <c r="D53" s="3">
        <f>IFERROR(__xludf.DUMMYFUNCTION("""COMPUTED_VALUE"""),8.0)</f>
        <v>8</v>
      </c>
      <c r="E53" s="300">
        <v>0.0</v>
      </c>
      <c r="F53" s="299"/>
      <c r="G53" s="299"/>
      <c r="H53" s="299"/>
      <c r="I53" s="299"/>
      <c r="J53" s="299"/>
      <c r="K53" s="299"/>
      <c r="L53" s="299"/>
      <c r="M53" s="299"/>
      <c r="N53" s="299"/>
      <c r="O53" s="299"/>
      <c r="P53" s="299"/>
      <c r="Q53" s="299"/>
      <c r="R53" s="299"/>
      <c r="S53" s="299"/>
      <c r="T53" s="299"/>
      <c r="U53" s="299"/>
    </row>
    <row r="54">
      <c r="A54" t="str">
        <f>IFERROR(__xludf.DUMMYFUNCTION("""COMPUTED_VALUE"""),"Sculpture I")</f>
        <v>Sculpture I</v>
      </c>
      <c r="B54" s="3" t="str">
        <f>IFERROR(__xludf.DUMMYFUNCTION("""COMPUTED_VALUE"""),"3")</f>
        <v>3</v>
      </c>
      <c r="C54" t="str">
        <f>IFERROR(__xludf.DUMMYFUNCTION("""COMPUTED_VALUE"""),"AP Statistics")</f>
        <v>AP Statistics</v>
      </c>
      <c r="D54" s="3">
        <f>IFERROR(__xludf.DUMMYFUNCTION("""COMPUTED_VALUE"""),7.0)</f>
        <v>7</v>
      </c>
      <c r="E54" s="300">
        <v>0.0</v>
      </c>
      <c r="F54" s="299"/>
      <c r="G54" s="299"/>
      <c r="H54" s="299"/>
      <c r="I54" s="299"/>
      <c r="J54" s="299"/>
      <c r="K54" s="299"/>
      <c r="L54" s="299"/>
      <c r="M54" s="299"/>
      <c r="N54" s="299"/>
      <c r="O54" s="299"/>
      <c r="P54" s="299"/>
      <c r="Q54" s="299"/>
      <c r="R54" s="299"/>
      <c r="S54" s="299"/>
      <c r="T54" s="299"/>
      <c r="U54" s="299"/>
    </row>
    <row r="55">
      <c r="A55" t="str">
        <f>IFERROR(__xludf.DUMMYFUNCTION("""COMPUTED_VALUE"""),"Journalism Higher Level")</f>
        <v>Journalism Higher Level</v>
      </c>
      <c r="B55" s="3" t="str">
        <f>IFERROR(__xludf.DUMMYFUNCTION("""COMPUTED_VALUE"""),"3")</f>
        <v>3</v>
      </c>
      <c r="C55" t="str">
        <f>IFERROR(__xludf.DUMMYFUNCTION("""COMPUTED_VALUE"""),"AP World History")</f>
        <v>AP World History</v>
      </c>
      <c r="D55" s="3">
        <f>IFERROR(__xludf.DUMMYFUNCTION("""COMPUTED_VALUE"""),5.0)</f>
        <v>5</v>
      </c>
      <c r="E55" s="300">
        <v>0.0</v>
      </c>
      <c r="F55" s="299"/>
      <c r="G55" s="299"/>
      <c r="H55" s="299"/>
      <c r="I55" s="299"/>
      <c r="J55" s="299"/>
      <c r="K55" s="299"/>
      <c r="L55" s="299"/>
      <c r="M55" s="299"/>
      <c r="N55" s="299"/>
      <c r="O55" s="299"/>
      <c r="P55" s="299"/>
      <c r="Q55" s="299"/>
      <c r="R55" s="299"/>
      <c r="S55" s="299"/>
      <c r="T55" s="299"/>
      <c r="U55" s="299"/>
    </row>
    <row r="56">
      <c r="A56" t="str">
        <f>IFERROR(__xludf.DUMMYFUNCTION("""COMPUTED_VALUE"""),"Journalism Intermediate Level")</f>
        <v>Journalism Intermediate Level</v>
      </c>
      <c r="B56" s="3" t="str">
        <f>IFERROR(__xludf.DUMMYFUNCTION("""COMPUTED_VALUE"""),"3")</f>
        <v>3</v>
      </c>
      <c r="C56" t="str">
        <f>IFERROR(__xludf.DUMMYFUNCTION("""COMPUTED_VALUE"""),"AP World History")</f>
        <v>AP World History</v>
      </c>
      <c r="D56" s="3">
        <f>IFERROR(__xludf.DUMMYFUNCTION("""COMPUTED_VALUE"""),6.0)</f>
        <v>6</v>
      </c>
      <c r="E56" s="300">
        <v>0.0</v>
      </c>
      <c r="F56" s="299"/>
      <c r="G56" s="299"/>
      <c r="H56" s="299"/>
      <c r="I56" s="299"/>
      <c r="J56" s="299"/>
      <c r="K56" s="299"/>
      <c r="L56" s="299"/>
      <c r="M56" s="299"/>
      <c r="N56" s="299"/>
      <c r="O56" s="299"/>
      <c r="P56" s="299"/>
      <c r="Q56" s="299"/>
      <c r="R56" s="299"/>
      <c r="S56" s="299"/>
      <c r="T56" s="299"/>
      <c r="U56" s="299"/>
    </row>
    <row r="57">
      <c r="A57" t="str">
        <f>IFERROR(__xludf.DUMMYFUNCTION("""COMPUTED_VALUE"""),"AP English Language")</f>
        <v>AP English Language</v>
      </c>
      <c r="B57" s="3" t="str">
        <f>IFERROR(__xludf.DUMMYFUNCTION("""COMPUTED_VALUE"""),"3")</f>
        <v>3</v>
      </c>
      <c r="C57" t="str">
        <f>IFERROR(__xludf.DUMMYFUNCTION("""COMPUTED_VALUE"""),"Art of Fiction Higher Level")</f>
        <v>Art of Fiction Higher Level</v>
      </c>
      <c r="D57" s="3">
        <f>IFERROR(__xludf.DUMMYFUNCTION("""COMPUTED_VALUE"""),1.0)</f>
        <v>1</v>
      </c>
      <c r="E57" s="300">
        <v>0.0</v>
      </c>
      <c r="F57" s="299"/>
      <c r="G57" s="299"/>
      <c r="H57" s="299"/>
      <c r="I57" s="299"/>
      <c r="J57" s="299"/>
      <c r="K57" s="299"/>
      <c r="L57" s="299"/>
      <c r="M57" s="299"/>
      <c r="N57" s="299"/>
      <c r="O57" s="299"/>
      <c r="P57" s="299"/>
      <c r="Q57" s="299"/>
      <c r="R57" s="299"/>
      <c r="S57" s="299"/>
      <c r="T57" s="299"/>
      <c r="U57" s="299"/>
    </row>
    <row r="58">
      <c r="A58" t="str">
        <f>IFERROR(__xludf.DUMMYFUNCTION("""COMPUTED_VALUE"""),"Social Studies 9")</f>
        <v>Social Studies 9</v>
      </c>
      <c r="B58" s="3" t="str">
        <f>IFERROR(__xludf.DUMMYFUNCTION("""COMPUTED_VALUE"""),"3")</f>
        <v>3</v>
      </c>
      <c r="C58" t="str">
        <f>IFERROR(__xludf.DUMMYFUNCTION("""COMPUTED_VALUE"""),"Art of Fiction Higher Level")</f>
        <v>Art of Fiction Higher Level</v>
      </c>
      <c r="D58" s="3">
        <f>IFERROR(__xludf.DUMMYFUNCTION("""COMPUTED_VALUE"""),7.0)</f>
        <v>7</v>
      </c>
      <c r="E58" s="300">
        <v>0.0</v>
      </c>
      <c r="F58" s="299"/>
      <c r="G58" s="299"/>
      <c r="H58" s="299"/>
      <c r="I58" s="299"/>
      <c r="J58" s="299"/>
      <c r="K58" s="299"/>
      <c r="L58" s="299"/>
      <c r="M58" s="299"/>
      <c r="N58" s="299"/>
      <c r="O58" s="299"/>
      <c r="P58" s="299"/>
      <c r="Q58" s="299"/>
      <c r="R58" s="299"/>
      <c r="S58" s="299"/>
      <c r="T58" s="299"/>
      <c r="U58" s="299"/>
    </row>
    <row r="59">
      <c r="A59" t="str">
        <f>IFERROR(__xludf.DUMMYFUNCTION("""COMPUTED_VALUE"""),"Spanish and Literature 12")</f>
        <v>Spanish and Literature 12</v>
      </c>
      <c r="B59" s="3" t="str">
        <f>IFERROR(__xludf.DUMMYFUNCTION("""COMPUTED_VALUE"""),"3")</f>
        <v>3</v>
      </c>
      <c r="C59" t="str">
        <f>IFERROR(__xludf.DUMMYFUNCTION("""COMPUTED_VALUE"""),"Art of Fiction Higher Level")</f>
        <v>Art of Fiction Higher Level</v>
      </c>
      <c r="D59" s="3">
        <f>IFERROR(__xludf.DUMMYFUNCTION("""COMPUTED_VALUE"""),8.0)</f>
        <v>8</v>
      </c>
      <c r="E59" s="300">
        <v>0.0</v>
      </c>
      <c r="F59" s="299"/>
      <c r="G59" s="299"/>
      <c r="H59" s="299"/>
      <c r="I59" s="299"/>
      <c r="J59" s="299"/>
      <c r="K59" s="299"/>
      <c r="L59" s="299"/>
      <c r="M59" s="299"/>
      <c r="N59" s="299"/>
      <c r="O59" s="299"/>
      <c r="P59" s="299"/>
      <c r="Q59" s="299"/>
      <c r="R59" s="299"/>
      <c r="S59" s="299"/>
      <c r="T59" s="299"/>
      <c r="U59" s="299"/>
    </row>
    <row r="60">
      <c r="A60" t="str">
        <f>IFERROR(__xludf.DUMMYFUNCTION("""COMPUTED_VALUE"""),"Sociales 10")</f>
        <v>Sociales 10</v>
      </c>
      <c r="B60" s="3" t="str">
        <f>IFERROR(__xludf.DUMMYFUNCTION("""COMPUTED_VALUE"""),"3")</f>
        <v>3</v>
      </c>
      <c r="C60" t="str">
        <f>IFERROR(__xludf.DUMMYFUNCTION("""COMPUTED_VALUE"""),"Art of Fiction Intermediate Level")</f>
        <v>Art of Fiction Intermediate Level</v>
      </c>
      <c r="D60" s="3">
        <f>IFERROR(__xludf.DUMMYFUNCTION("""COMPUTED_VALUE"""),1.0)</f>
        <v>1</v>
      </c>
      <c r="E60" s="300">
        <v>0.0</v>
      </c>
      <c r="F60" s="299"/>
      <c r="G60" s="299"/>
      <c r="H60" s="299"/>
      <c r="I60" s="299"/>
      <c r="J60" s="299"/>
      <c r="K60" s="299"/>
      <c r="L60" s="299"/>
      <c r="M60" s="299"/>
      <c r="N60" s="299"/>
      <c r="O60" s="299"/>
      <c r="P60" s="299"/>
      <c r="Q60" s="299"/>
      <c r="R60" s="299"/>
      <c r="S60" s="299"/>
      <c r="T60" s="299"/>
      <c r="U60" s="299"/>
    </row>
    <row r="61">
      <c r="A61" t="str">
        <f>IFERROR(__xludf.DUMMYFUNCTION("""COMPUTED_VALUE"""),"Spanish and Literature 9")</f>
        <v>Spanish and Literature 9</v>
      </c>
      <c r="B61" s="3" t="str">
        <f>IFERROR(__xludf.DUMMYFUNCTION("""COMPUTED_VALUE"""),"3")</f>
        <v>3</v>
      </c>
      <c r="C61" t="str">
        <f>IFERROR(__xludf.DUMMYFUNCTION("""COMPUTED_VALUE"""),"Art of Fiction Intermediate Level")</f>
        <v>Art of Fiction Intermediate Level</v>
      </c>
      <c r="D61" s="3">
        <f>IFERROR(__xludf.DUMMYFUNCTION("""COMPUTED_VALUE"""),4.0)</f>
        <v>4</v>
      </c>
      <c r="E61" s="300">
        <v>0.0</v>
      </c>
      <c r="F61" s="299"/>
      <c r="G61" s="299"/>
      <c r="H61" s="299"/>
      <c r="I61" s="299"/>
      <c r="J61" s="299"/>
      <c r="K61" s="299"/>
      <c r="L61" s="299"/>
      <c r="M61" s="299"/>
      <c r="N61" s="299"/>
      <c r="O61" s="299"/>
      <c r="P61" s="299"/>
      <c r="Q61" s="299"/>
      <c r="R61" s="299"/>
      <c r="S61" s="299"/>
      <c r="T61" s="299"/>
      <c r="U61" s="299"/>
    </row>
    <row r="62">
      <c r="A62" t="str">
        <f>IFERROR(__xludf.DUMMYFUNCTION("""COMPUTED_VALUE"""),"Spanish and Literature 11")</f>
        <v>Spanish and Literature 11</v>
      </c>
      <c r="B62" s="3" t="str">
        <f>IFERROR(__xludf.DUMMYFUNCTION("""COMPUTED_VALUE"""),"3")</f>
        <v>3</v>
      </c>
      <c r="C62" t="str">
        <f>IFERROR(__xludf.DUMMYFUNCTION("""COMPUTED_VALUE"""),"Art of Fiction Intermediate Level")</f>
        <v>Art of Fiction Intermediate Level</v>
      </c>
      <c r="D62" s="3">
        <f>IFERROR(__xludf.DUMMYFUNCTION("""COMPUTED_VALUE"""),6.0)</f>
        <v>6</v>
      </c>
      <c r="E62" s="300">
        <v>0.0</v>
      </c>
      <c r="F62" s="299"/>
      <c r="G62" s="299"/>
      <c r="H62" s="299"/>
      <c r="I62" s="299"/>
      <c r="J62" s="299"/>
      <c r="K62" s="299"/>
      <c r="L62" s="299"/>
      <c r="M62" s="299"/>
      <c r="N62" s="299"/>
      <c r="O62" s="299"/>
      <c r="P62" s="299"/>
      <c r="Q62" s="299"/>
      <c r="R62" s="299"/>
      <c r="S62" s="299"/>
      <c r="T62" s="299"/>
      <c r="U62" s="299"/>
    </row>
    <row r="63">
      <c r="A63" t="str">
        <f>IFERROR(__xludf.DUMMYFUNCTION("""COMPUTED_VALUE"""),"AP Spanish Language and Culture")</f>
        <v>AP Spanish Language and Culture</v>
      </c>
      <c r="B63" s="3" t="str">
        <f>IFERROR(__xludf.DUMMYFUNCTION("""COMPUTED_VALUE"""),"3")</f>
        <v>3</v>
      </c>
      <c r="C63" t="str">
        <f>IFERROR(__xludf.DUMMYFUNCTION("""COMPUTED_VALUE"""),"Band Level I")</f>
        <v>Band Level I</v>
      </c>
      <c r="D63" s="3">
        <f>IFERROR(__xludf.DUMMYFUNCTION("""COMPUTED_VALUE"""),3.0)</f>
        <v>3</v>
      </c>
      <c r="E63" s="300">
        <v>0.0</v>
      </c>
      <c r="F63" s="299"/>
      <c r="G63" s="299"/>
      <c r="H63" s="299"/>
      <c r="I63" s="299"/>
      <c r="J63" s="299"/>
      <c r="K63" s="299"/>
      <c r="L63" s="299"/>
      <c r="M63" s="299"/>
      <c r="N63" s="299"/>
      <c r="O63" s="299"/>
      <c r="P63" s="299"/>
      <c r="Q63" s="299"/>
      <c r="R63" s="299"/>
      <c r="S63" s="299"/>
      <c r="T63" s="299"/>
      <c r="U63" s="299"/>
    </row>
    <row r="64">
      <c r="A64" t="str">
        <f>IFERROR(__xludf.DUMMYFUNCTION("""COMPUTED_VALUE"""),"AP Calculus BC")</f>
        <v>AP Calculus BC</v>
      </c>
      <c r="B64" s="3" t="str">
        <f>IFERROR(__xludf.DUMMYFUNCTION("""COMPUTED_VALUE"""),"3")</f>
        <v>3</v>
      </c>
      <c r="C64" t="str">
        <f>IFERROR(__xludf.DUMMYFUNCTION("""COMPUTED_VALUE"""),"Band Level I")</f>
        <v>Band Level I</v>
      </c>
      <c r="D64" s="3">
        <f>IFERROR(__xludf.DUMMYFUNCTION("""COMPUTED_VALUE"""),4.0)</f>
        <v>4</v>
      </c>
      <c r="E64" s="300">
        <v>0.0</v>
      </c>
      <c r="F64" s="299"/>
      <c r="G64" s="299"/>
      <c r="H64" s="299"/>
      <c r="I64" s="299"/>
      <c r="J64" s="299"/>
      <c r="K64" s="299"/>
      <c r="L64" s="299"/>
      <c r="M64" s="299"/>
      <c r="N64" s="299"/>
      <c r="O64" s="299"/>
      <c r="P64" s="299"/>
      <c r="Q64" s="299"/>
      <c r="R64" s="299"/>
      <c r="S64" s="299"/>
      <c r="T64" s="299"/>
      <c r="U64" s="299"/>
    </row>
    <row r="65">
      <c r="A65" t="str">
        <f>IFERROR(__xludf.DUMMYFUNCTION("""COMPUTED_VALUE"""),"Algebra I")</f>
        <v>Algebra I</v>
      </c>
      <c r="B65" s="3" t="str">
        <f>IFERROR(__xludf.DUMMYFUNCTION("""COMPUTED_VALUE"""),"3")</f>
        <v>3</v>
      </c>
      <c r="C65" t="str">
        <f>IFERROR(__xludf.DUMMYFUNCTION("""COMPUTED_VALUE"""),"Band Level I")</f>
        <v>Band Level I</v>
      </c>
      <c r="D65" s="3">
        <f>IFERROR(__xludf.DUMMYFUNCTION("""COMPUTED_VALUE"""),7.0)</f>
        <v>7</v>
      </c>
      <c r="E65" s="300">
        <v>0.0</v>
      </c>
      <c r="F65" s="299"/>
      <c r="G65" s="299"/>
      <c r="H65" s="299"/>
      <c r="I65" s="299"/>
      <c r="J65" s="299"/>
      <c r="K65" s="299"/>
      <c r="L65" s="299"/>
      <c r="M65" s="299"/>
      <c r="N65" s="299"/>
      <c r="O65" s="299"/>
      <c r="P65" s="299"/>
      <c r="Q65" s="299"/>
      <c r="R65" s="299"/>
      <c r="S65" s="299"/>
      <c r="T65" s="299"/>
      <c r="U65" s="299"/>
    </row>
    <row r="66">
      <c r="A66" t="str">
        <f>IFERROR(__xludf.DUMMYFUNCTION("""COMPUTED_VALUE"""),"Geometry")</f>
        <v>Geometry</v>
      </c>
      <c r="B66" s="3" t="str">
        <f>IFERROR(__xludf.DUMMYFUNCTION("""COMPUTED_VALUE"""),"3")</f>
        <v>3</v>
      </c>
      <c r="C66" t="str">
        <f>IFERROR(__xludf.DUMMYFUNCTION("""COMPUTED_VALUE"""),"Band Level I")</f>
        <v>Band Level I</v>
      </c>
      <c r="D66" s="3">
        <f>IFERROR(__xludf.DUMMYFUNCTION("""COMPUTED_VALUE"""),8.0)</f>
        <v>8</v>
      </c>
      <c r="E66" s="300">
        <v>0.0</v>
      </c>
      <c r="F66" s="299"/>
      <c r="G66" s="299"/>
      <c r="H66" s="299"/>
      <c r="I66" s="299"/>
      <c r="J66" s="299"/>
      <c r="K66" s="299"/>
      <c r="L66" s="299"/>
      <c r="M66" s="299"/>
      <c r="N66" s="299"/>
      <c r="O66" s="299"/>
      <c r="P66" s="299"/>
      <c r="Q66" s="299"/>
      <c r="R66" s="299"/>
      <c r="S66" s="299"/>
      <c r="T66" s="299"/>
      <c r="U66" s="299"/>
    </row>
    <row r="67">
      <c r="A67" t="str">
        <f>IFERROR(__xludf.DUMMYFUNCTION("""COMPUTED_VALUE"""),"Algebra II")</f>
        <v>Algebra II</v>
      </c>
      <c r="B67" s="3" t="str">
        <f>IFERROR(__xludf.DUMMYFUNCTION("""COMPUTED_VALUE"""),"3")</f>
        <v>3</v>
      </c>
      <c r="C67" t="str">
        <f>IFERROR(__xludf.DUMMYFUNCTION("""COMPUTED_VALUE"""),"Band Level II")</f>
        <v>Band Level II</v>
      </c>
      <c r="D67" s="3">
        <f>IFERROR(__xludf.DUMMYFUNCTION("""COMPUTED_VALUE"""),2.0)</f>
        <v>2</v>
      </c>
      <c r="E67" s="300">
        <v>0.0</v>
      </c>
      <c r="F67" s="299"/>
      <c r="G67" s="299"/>
      <c r="H67" s="299"/>
      <c r="I67" s="299"/>
      <c r="J67" s="299"/>
      <c r="K67" s="299"/>
      <c r="L67" s="299"/>
      <c r="M67" s="299"/>
      <c r="N67" s="299"/>
      <c r="O67" s="299"/>
      <c r="P67" s="299"/>
      <c r="Q67" s="299"/>
      <c r="R67" s="299"/>
      <c r="S67" s="299"/>
      <c r="T67" s="299"/>
      <c r="U67" s="299"/>
    </row>
    <row r="68">
      <c r="A68" t="str">
        <f>IFERROR(__xludf.DUMMYFUNCTION("""COMPUTED_VALUE"""),"AP Precalculus")</f>
        <v>AP Precalculus</v>
      </c>
      <c r="B68" s="3" t="str">
        <f>IFERROR(__xludf.DUMMYFUNCTION("""COMPUTED_VALUE"""),"3")</f>
        <v>3</v>
      </c>
      <c r="C68" t="str">
        <f>IFERROR(__xludf.DUMMYFUNCTION("""COMPUTED_VALUE"""),"Band Level II")</f>
        <v>Band Level II</v>
      </c>
      <c r="D68" s="3">
        <f>IFERROR(__xludf.DUMMYFUNCTION("""COMPUTED_VALUE"""),6.0)</f>
        <v>6</v>
      </c>
      <c r="E68" s="300">
        <v>0.0</v>
      </c>
      <c r="F68" s="299"/>
      <c r="G68" s="299"/>
      <c r="H68" s="299"/>
      <c r="I68" s="299"/>
      <c r="J68" s="299"/>
      <c r="K68" s="299"/>
      <c r="L68" s="299"/>
      <c r="M68" s="299"/>
      <c r="N68" s="299"/>
      <c r="O68" s="299"/>
      <c r="P68" s="299"/>
      <c r="Q68" s="299"/>
      <c r="R68" s="299"/>
      <c r="S68" s="299"/>
      <c r="T68" s="299"/>
      <c r="U68" s="299"/>
    </row>
    <row r="69">
      <c r="A69" t="str">
        <f>IFERROR(__xludf.DUMMYFUNCTION("""COMPUTED_VALUE"""),"AP Environmental Science")</f>
        <v>AP Environmental Science</v>
      </c>
      <c r="B69" s="3" t="str">
        <f>IFERROR(__xludf.DUMMYFUNCTION("""COMPUTED_VALUE"""),"3")</f>
        <v>3</v>
      </c>
      <c r="C69" t="str">
        <f>IFERROR(__xludf.DUMMYFUNCTION("""COMPUTED_VALUE"""),"Biology 9")</f>
        <v>Biology 9</v>
      </c>
      <c r="D69" s="3">
        <f>IFERROR(__xludf.DUMMYFUNCTION("""COMPUTED_VALUE"""),1.0)</f>
        <v>1</v>
      </c>
      <c r="E69" s="300">
        <v>0.0</v>
      </c>
      <c r="F69" s="299"/>
      <c r="G69" s="299"/>
      <c r="H69" s="299"/>
      <c r="I69" s="299"/>
      <c r="J69" s="299"/>
      <c r="K69" s="299"/>
      <c r="L69" s="299"/>
      <c r="M69" s="299"/>
      <c r="N69" s="299"/>
      <c r="O69" s="299"/>
      <c r="P69" s="299"/>
      <c r="Q69" s="299"/>
      <c r="R69" s="299"/>
      <c r="S69" s="299"/>
      <c r="T69" s="299"/>
      <c r="U69" s="299"/>
    </row>
    <row r="70">
      <c r="A70" t="str">
        <f>IFERROR(__xludf.DUMMYFUNCTION("""COMPUTED_VALUE"""),"Biology 9")</f>
        <v>Biology 9</v>
      </c>
      <c r="B70" s="3" t="str">
        <f>IFERROR(__xludf.DUMMYFUNCTION("""COMPUTED_VALUE"""),"3")</f>
        <v>3</v>
      </c>
      <c r="C70" t="str">
        <f>IFERROR(__xludf.DUMMYFUNCTION("""COMPUTED_VALUE"""),"Biology 9")</f>
        <v>Biology 9</v>
      </c>
      <c r="D70" s="3">
        <f>IFERROR(__xludf.DUMMYFUNCTION("""COMPUTED_VALUE"""),2.0)</f>
        <v>2</v>
      </c>
      <c r="E70" s="300">
        <v>0.0</v>
      </c>
      <c r="F70" s="299"/>
      <c r="G70" s="299"/>
      <c r="H70" s="299"/>
      <c r="I70" s="299"/>
      <c r="J70" s="299"/>
      <c r="K70" s="299"/>
      <c r="L70" s="299"/>
      <c r="M70" s="299"/>
      <c r="N70" s="299"/>
      <c r="O70" s="299"/>
      <c r="P70" s="299"/>
      <c r="Q70" s="299"/>
      <c r="R70" s="299"/>
      <c r="S70" s="299"/>
      <c r="T70" s="299"/>
      <c r="U70" s="299"/>
    </row>
    <row r="71">
      <c r="A71" t="str">
        <f>IFERROR(__xludf.DUMMYFUNCTION("""COMPUTED_VALUE"""),"AP Physics 2")</f>
        <v>AP Physics 2</v>
      </c>
      <c r="B71" s="3" t="str">
        <f>IFERROR(__xludf.DUMMYFUNCTION("""COMPUTED_VALUE"""),"3")</f>
        <v>3</v>
      </c>
      <c r="C71" t="str">
        <f>IFERROR(__xludf.DUMMYFUNCTION("""COMPUTED_VALUE"""),"Biology 9")</f>
        <v>Biology 9</v>
      </c>
      <c r="D71" s="3">
        <f>IFERROR(__xludf.DUMMYFUNCTION("""COMPUTED_VALUE"""),3.0)</f>
        <v>3</v>
      </c>
      <c r="E71" s="300">
        <v>0.0</v>
      </c>
      <c r="F71" s="299"/>
      <c r="G71" s="299"/>
      <c r="H71" s="299"/>
      <c r="I71" s="299"/>
      <c r="J71" s="299"/>
      <c r="K71" s="299"/>
      <c r="L71" s="299"/>
      <c r="M71" s="299"/>
      <c r="N71" s="299"/>
      <c r="O71" s="299"/>
      <c r="P71" s="299"/>
      <c r="Q71" s="299"/>
      <c r="R71" s="299"/>
      <c r="S71" s="299"/>
      <c r="T71" s="299"/>
      <c r="U71" s="299"/>
    </row>
    <row r="72">
      <c r="A72" t="str">
        <f>IFERROR(__xludf.DUMMYFUNCTION("""COMPUTED_VALUE"""),"Chemistry")</f>
        <v>Chemistry</v>
      </c>
      <c r="B72" s="3" t="str">
        <f>IFERROR(__xludf.DUMMYFUNCTION("""COMPUTED_VALUE"""),"3")</f>
        <v>3</v>
      </c>
      <c r="C72" t="str">
        <f>IFERROR(__xludf.DUMMYFUNCTION("""COMPUTED_VALUE"""),"Biology 9")</f>
        <v>Biology 9</v>
      </c>
      <c r="D72" s="3">
        <f>IFERROR(__xludf.DUMMYFUNCTION("""COMPUTED_VALUE"""),4.0)</f>
        <v>4</v>
      </c>
      <c r="E72" s="300">
        <v>0.0</v>
      </c>
      <c r="F72" s="299"/>
      <c r="G72" s="299"/>
      <c r="H72" s="299"/>
      <c r="I72" s="299"/>
      <c r="J72" s="299"/>
      <c r="K72" s="299"/>
      <c r="L72" s="299"/>
      <c r="M72" s="299"/>
      <c r="N72" s="299"/>
      <c r="O72" s="299"/>
      <c r="P72" s="299"/>
      <c r="Q72" s="299"/>
      <c r="R72" s="299"/>
      <c r="S72" s="299"/>
      <c r="T72" s="299"/>
      <c r="U72" s="299"/>
    </row>
    <row r="73">
      <c r="A73" t="str">
        <f>IFERROR(__xludf.DUMMYFUNCTION("""COMPUTED_VALUE"""),"AP Human Geography")</f>
        <v>AP Human Geography</v>
      </c>
      <c r="B73" s="3" t="str">
        <f>IFERROR(__xludf.DUMMYFUNCTION("""COMPUTED_VALUE"""),"3")</f>
        <v>3</v>
      </c>
      <c r="C73" t="str">
        <f>IFERROR(__xludf.DUMMYFUNCTION("""COMPUTED_VALUE"""),"Biology 9")</f>
        <v>Biology 9</v>
      </c>
      <c r="D73" s="3">
        <f>IFERROR(__xludf.DUMMYFUNCTION("""COMPUTED_VALUE"""),5.0)</f>
        <v>5</v>
      </c>
      <c r="E73" s="300">
        <v>0.0</v>
      </c>
      <c r="F73" s="299"/>
      <c r="G73" s="299"/>
      <c r="H73" s="299"/>
      <c r="I73" s="299"/>
      <c r="J73" s="299"/>
      <c r="K73" s="299"/>
      <c r="L73" s="299"/>
      <c r="M73" s="299"/>
      <c r="N73" s="299"/>
      <c r="O73" s="299"/>
      <c r="P73" s="299"/>
      <c r="Q73" s="299"/>
      <c r="R73" s="299"/>
      <c r="S73" s="299"/>
      <c r="T73" s="299"/>
      <c r="U73" s="299"/>
    </row>
    <row r="74">
      <c r="A74" t="str">
        <f>IFERROR(__xludf.DUMMYFUNCTION("""COMPUTED_VALUE"""),"Life Purpose")</f>
        <v>Life Purpose</v>
      </c>
      <c r="B74" s="3" t="str">
        <f>IFERROR(__xludf.DUMMYFUNCTION("""COMPUTED_VALUE"""),"3")</f>
        <v>3</v>
      </c>
      <c r="C74" t="str">
        <f>IFERROR(__xludf.DUMMYFUNCTION("""COMPUTED_VALUE"""),"Biology 9")</f>
        <v>Biology 9</v>
      </c>
      <c r="D74" s="3">
        <f>IFERROR(__xludf.DUMMYFUNCTION("""COMPUTED_VALUE"""),6.0)</f>
        <v>6</v>
      </c>
      <c r="E74" s="300">
        <v>0.0</v>
      </c>
      <c r="F74" s="299"/>
      <c r="G74" s="299"/>
      <c r="H74" s="299"/>
      <c r="I74" s="299"/>
      <c r="J74" s="299"/>
      <c r="K74" s="299"/>
      <c r="L74" s="299"/>
      <c r="M74" s="299"/>
      <c r="N74" s="299"/>
      <c r="O74" s="299"/>
      <c r="P74" s="299"/>
      <c r="Q74" s="299"/>
      <c r="R74" s="299"/>
      <c r="S74" s="299"/>
      <c r="T74" s="299"/>
      <c r="U74" s="299"/>
    </row>
    <row r="75">
      <c r="A75" t="str">
        <f>IFERROR(__xludf.DUMMYFUNCTION("""COMPUTED_VALUE"""),"ISC")</f>
        <v>ISC</v>
      </c>
      <c r="B75" s="3" t="str">
        <f>IFERROR(__xludf.DUMMYFUNCTION("""COMPUTED_VALUE"""),"3")</f>
        <v>3</v>
      </c>
      <c r="C75" t="str">
        <f>IFERROR(__xludf.DUMMYFUNCTION("""COMPUTED_VALUE"""),"Biology 9")</f>
        <v>Biology 9</v>
      </c>
      <c r="D75" s="3">
        <f>IFERROR(__xludf.DUMMYFUNCTION("""COMPUTED_VALUE"""),7.0)</f>
        <v>7</v>
      </c>
      <c r="E75" s="300">
        <v>0.0</v>
      </c>
      <c r="F75" s="299"/>
      <c r="G75" s="299"/>
      <c r="H75" s="299"/>
      <c r="I75" s="299"/>
      <c r="J75" s="299"/>
      <c r="K75" s="299"/>
      <c r="L75" s="299"/>
      <c r="M75" s="299"/>
      <c r="N75" s="299"/>
      <c r="O75" s="299"/>
      <c r="P75" s="299"/>
      <c r="Q75" s="299"/>
      <c r="R75" s="299"/>
      <c r="S75" s="299"/>
      <c r="T75" s="299"/>
      <c r="U75" s="299"/>
    </row>
    <row r="76">
      <c r="A76" t="str">
        <f>IFERROR(__xludf.DUMMYFUNCTION("""COMPUTED_VALUE"""),"AP Computer Science Principles")</f>
        <v>AP Computer Science Principles</v>
      </c>
      <c r="B76" s="3" t="str">
        <f>IFERROR(__xludf.DUMMYFUNCTION("""COMPUTED_VALUE"""),"3")</f>
        <v>3</v>
      </c>
      <c r="C76" t="str">
        <f>IFERROR(__xludf.DUMMYFUNCTION("""COMPUTED_VALUE"""),"Calculus")</f>
        <v>Calculus</v>
      </c>
      <c r="D76" s="3">
        <f>IFERROR(__xludf.DUMMYFUNCTION("""COMPUTED_VALUE"""),1.0)</f>
        <v>1</v>
      </c>
      <c r="E76" s="300">
        <v>0.0</v>
      </c>
      <c r="F76" s="299"/>
      <c r="G76" s="299"/>
      <c r="H76" s="299"/>
      <c r="I76" s="299"/>
      <c r="J76" s="299"/>
      <c r="K76" s="299"/>
      <c r="L76" s="299"/>
      <c r="M76" s="299"/>
      <c r="N76" s="299"/>
      <c r="O76" s="299"/>
      <c r="P76" s="299"/>
      <c r="Q76" s="299"/>
      <c r="R76" s="299"/>
      <c r="S76" s="299"/>
      <c r="T76" s="299"/>
      <c r="U76" s="299"/>
    </row>
    <row r="77">
      <c r="A77" t="str">
        <f>IFERROR(__xludf.DUMMYFUNCTION("""COMPUTED_VALUE"""),"Technology 9")</f>
        <v>Technology 9</v>
      </c>
      <c r="B77" s="3" t="str">
        <f>IFERROR(__xludf.DUMMYFUNCTION("""COMPUTED_VALUE"""),"3")</f>
        <v>3</v>
      </c>
      <c r="C77" t="str">
        <f>IFERROR(__xludf.DUMMYFUNCTION("""COMPUTED_VALUE"""),"Calculus")</f>
        <v>Calculus</v>
      </c>
      <c r="D77" s="3">
        <f>IFERROR(__xludf.DUMMYFUNCTION("""COMPUTED_VALUE"""),2.0)</f>
        <v>2</v>
      </c>
      <c r="E77" s="300">
        <v>0.0</v>
      </c>
      <c r="F77" s="299"/>
      <c r="G77" s="299"/>
      <c r="H77" s="299"/>
      <c r="I77" s="299"/>
      <c r="J77" s="299"/>
      <c r="K77" s="299"/>
      <c r="L77" s="299"/>
      <c r="M77" s="299"/>
      <c r="N77" s="299"/>
      <c r="O77" s="299"/>
      <c r="P77" s="299"/>
      <c r="Q77" s="299"/>
      <c r="R77" s="299"/>
      <c r="S77" s="299"/>
      <c r="T77" s="299"/>
      <c r="U77" s="299"/>
    </row>
    <row r="78">
      <c r="A78" t="str">
        <f>IFERROR(__xludf.DUMMYFUNCTION("""COMPUTED_VALUE"""),"Entrepreneurship - Business Tech")</f>
        <v>Entrepreneurship - Business Tech</v>
      </c>
      <c r="B78" s="3" t="str">
        <f>IFERROR(__xludf.DUMMYFUNCTION("""COMPUTED_VALUE"""),"3")</f>
        <v>3</v>
      </c>
      <c r="C78" t="str">
        <f>IFERROR(__xludf.DUMMYFUNCTION("""COMPUTED_VALUE"""),"Calculus")</f>
        <v>Calculus</v>
      </c>
      <c r="D78" s="3">
        <f>IFERROR(__xludf.DUMMYFUNCTION("""COMPUTED_VALUE"""),5.0)</f>
        <v>5</v>
      </c>
      <c r="E78" s="300">
        <v>0.0</v>
      </c>
      <c r="F78" s="299"/>
      <c r="G78" s="299"/>
      <c r="H78" s="299"/>
      <c r="I78" s="299"/>
      <c r="J78" s="299"/>
      <c r="K78" s="299"/>
      <c r="L78" s="299"/>
      <c r="M78" s="299"/>
      <c r="N78" s="299"/>
      <c r="O78" s="299"/>
      <c r="P78" s="299"/>
      <c r="Q78" s="299"/>
      <c r="R78" s="299"/>
      <c r="S78" s="299"/>
      <c r="T78" s="299"/>
      <c r="U78" s="299"/>
    </row>
    <row r="79">
      <c r="A79" t="str">
        <f>IFERROR(__xludf.DUMMYFUNCTION("""COMPUTED_VALUE"""),"PE 11")</f>
        <v>PE 11</v>
      </c>
      <c r="B79" s="3" t="str">
        <f>IFERROR(__xludf.DUMMYFUNCTION("""COMPUTED_VALUE"""),"3")</f>
        <v>3</v>
      </c>
      <c r="C79" t="str">
        <f>IFERROR(__xludf.DUMMYFUNCTION("""COMPUTED_VALUE"""),"Calculus")</f>
        <v>Calculus</v>
      </c>
      <c r="D79" s="3">
        <f>IFERROR(__xludf.DUMMYFUNCTION("""COMPUTED_VALUE"""),6.0)</f>
        <v>6</v>
      </c>
      <c r="E79" s="300">
        <v>0.0</v>
      </c>
      <c r="F79" s="299"/>
      <c r="G79" s="299"/>
      <c r="H79" s="299"/>
      <c r="I79" s="299"/>
      <c r="J79" s="299"/>
      <c r="K79" s="299"/>
      <c r="L79" s="299"/>
      <c r="M79" s="299"/>
      <c r="N79" s="299"/>
      <c r="O79" s="299"/>
      <c r="P79" s="299"/>
      <c r="Q79" s="299"/>
      <c r="R79" s="299"/>
      <c r="S79" s="299"/>
      <c r="T79" s="299"/>
      <c r="U79" s="299"/>
    </row>
    <row r="80">
      <c r="A80" t="str">
        <f>IFERROR(__xludf.DUMMYFUNCTION("""COMPUTED_VALUE"""),"Band Level I")</f>
        <v>Band Level I</v>
      </c>
      <c r="B80" s="3" t="str">
        <f>IFERROR(__xludf.DUMMYFUNCTION("""COMPUTED_VALUE"""),"4")</f>
        <v>4</v>
      </c>
      <c r="C80" t="str">
        <f>IFERROR(__xludf.DUMMYFUNCTION("""COMPUTED_VALUE"""),"Chemistry")</f>
        <v>Chemistry</v>
      </c>
      <c r="D80" s="3">
        <f>IFERROR(__xludf.DUMMYFUNCTION("""COMPUTED_VALUE"""),1.0)</f>
        <v>1</v>
      </c>
      <c r="E80" s="300">
        <v>0.0</v>
      </c>
      <c r="F80" s="299"/>
      <c r="G80" s="299"/>
      <c r="H80" s="299"/>
      <c r="I80" s="299"/>
      <c r="J80" s="299"/>
      <c r="K80" s="299"/>
      <c r="L80" s="299"/>
      <c r="M80" s="299"/>
      <c r="N80" s="299"/>
      <c r="O80" s="299"/>
      <c r="P80" s="299"/>
      <c r="Q80" s="299"/>
      <c r="R80" s="299"/>
      <c r="S80" s="299"/>
      <c r="T80" s="299"/>
      <c r="U80" s="299"/>
    </row>
    <row r="81">
      <c r="A81" t="str">
        <f>IFERROR(__xludf.DUMMYFUNCTION("""COMPUTED_VALUE"""),"Sculpture I")</f>
        <v>Sculpture I</v>
      </c>
      <c r="B81" s="3" t="str">
        <f>IFERROR(__xludf.DUMMYFUNCTION("""COMPUTED_VALUE"""),"4")</f>
        <v>4</v>
      </c>
      <c r="C81" t="str">
        <f>IFERROR(__xludf.DUMMYFUNCTION("""COMPUTED_VALUE"""),"Chemistry")</f>
        <v>Chemistry</v>
      </c>
      <c r="D81" s="3">
        <f>IFERROR(__xludf.DUMMYFUNCTION("""COMPUTED_VALUE"""),2.0)</f>
        <v>2</v>
      </c>
      <c r="E81" s="300">
        <v>0.0</v>
      </c>
      <c r="F81" s="299"/>
      <c r="G81" s="299"/>
      <c r="H81" s="299"/>
      <c r="I81" s="299"/>
      <c r="J81" s="299"/>
      <c r="K81" s="299"/>
      <c r="L81" s="299"/>
      <c r="M81" s="299"/>
      <c r="N81" s="299"/>
      <c r="O81" s="299"/>
      <c r="P81" s="299"/>
      <c r="Q81" s="299"/>
      <c r="R81" s="299"/>
      <c r="S81" s="299"/>
      <c r="T81" s="299"/>
      <c r="U81" s="299"/>
    </row>
    <row r="82">
      <c r="A82" t="str">
        <f>IFERROR(__xludf.DUMMYFUNCTION("""COMPUTED_VALUE"""),"Painting I")</f>
        <v>Painting I</v>
      </c>
      <c r="B82" s="3" t="str">
        <f>IFERROR(__xludf.DUMMYFUNCTION("""COMPUTED_VALUE"""),"4")</f>
        <v>4</v>
      </c>
      <c r="C82" t="str">
        <f>IFERROR(__xludf.DUMMYFUNCTION("""COMPUTED_VALUE"""),"Chemistry")</f>
        <v>Chemistry</v>
      </c>
      <c r="D82" s="3">
        <f>IFERROR(__xludf.DUMMYFUNCTION("""COMPUTED_VALUE"""),3.0)</f>
        <v>3</v>
      </c>
      <c r="E82" s="300">
        <v>0.0</v>
      </c>
      <c r="F82" s="299"/>
      <c r="G82" s="299"/>
      <c r="H82" s="299"/>
      <c r="I82" s="299"/>
      <c r="J82" s="299"/>
      <c r="K82" s="299"/>
      <c r="L82" s="299"/>
      <c r="M82" s="299"/>
      <c r="N82" s="299"/>
      <c r="O82" s="299"/>
      <c r="P82" s="299"/>
      <c r="Q82" s="299"/>
      <c r="R82" s="299"/>
      <c r="S82" s="299"/>
      <c r="T82" s="299"/>
      <c r="U82" s="299"/>
    </row>
    <row r="83">
      <c r="A83" t="str">
        <f>IFERROR(__xludf.DUMMYFUNCTION("""COMPUTED_VALUE"""),"Art of Fiction Intermediate Level")</f>
        <v>Art of Fiction Intermediate Level</v>
      </c>
      <c r="B83" s="3" t="str">
        <f>IFERROR(__xludf.DUMMYFUNCTION("""COMPUTED_VALUE"""),"4")</f>
        <v>4</v>
      </c>
      <c r="C83" t="str">
        <f>IFERROR(__xludf.DUMMYFUNCTION("""COMPUTED_VALUE"""),"Chemistry")</f>
        <v>Chemistry</v>
      </c>
      <c r="D83" s="3">
        <f>IFERROR(__xludf.DUMMYFUNCTION("""COMPUTED_VALUE"""),5.0)</f>
        <v>5</v>
      </c>
      <c r="E83" s="300">
        <v>0.0</v>
      </c>
      <c r="F83" s="299"/>
      <c r="G83" s="299"/>
      <c r="H83" s="299"/>
      <c r="I83" s="299"/>
      <c r="J83" s="299"/>
      <c r="K83" s="299"/>
      <c r="L83" s="299"/>
      <c r="M83" s="299"/>
      <c r="N83" s="299"/>
      <c r="O83" s="299"/>
      <c r="P83" s="299"/>
      <c r="Q83" s="299"/>
      <c r="R83" s="299"/>
      <c r="S83" s="299"/>
      <c r="T83" s="299"/>
      <c r="U83" s="299"/>
    </row>
    <row r="84">
      <c r="A84" t="str">
        <f>IFERROR(__xludf.DUMMYFUNCTION("""COMPUTED_VALUE"""),"AP English Literature")</f>
        <v>AP English Literature</v>
      </c>
      <c r="B84" s="3" t="str">
        <f>IFERROR(__xludf.DUMMYFUNCTION("""COMPUTED_VALUE"""),"4")</f>
        <v>4</v>
      </c>
      <c r="C84" t="str">
        <f>IFERROR(__xludf.DUMMYFUNCTION("""COMPUTED_VALUE"""),"Chemistry")</f>
        <v>Chemistry</v>
      </c>
      <c r="D84" s="3">
        <f>IFERROR(__xludf.DUMMYFUNCTION("""COMPUTED_VALUE"""),6.0)</f>
        <v>6</v>
      </c>
      <c r="E84" s="300">
        <v>0.0</v>
      </c>
      <c r="F84" s="299"/>
      <c r="G84" s="299"/>
      <c r="H84" s="299"/>
      <c r="I84" s="299"/>
      <c r="J84" s="299"/>
      <c r="K84" s="299"/>
      <c r="L84" s="299"/>
      <c r="M84" s="299"/>
      <c r="N84" s="299"/>
      <c r="O84" s="299"/>
      <c r="P84" s="299"/>
      <c r="Q84" s="299"/>
      <c r="R84" s="299"/>
      <c r="S84" s="299"/>
      <c r="T84" s="299"/>
      <c r="U84" s="299"/>
    </row>
    <row r="85">
      <c r="A85" t="str">
        <f>IFERROR(__xludf.DUMMYFUNCTION("""COMPUTED_VALUE"""),"Social Studies 9")</f>
        <v>Social Studies 9</v>
      </c>
      <c r="B85" s="3" t="str">
        <f>IFERROR(__xludf.DUMMYFUNCTION("""COMPUTED_VALUE"""),"4")</f>
        <v>4</v>
      </c>
      <c r="C85" t="str">
        <f>IFERROR(__xludf.DUMMYFUNCTION("""COMPUTED_VALUE"""),"Chemistry")</f>
        <v>Chemistry</v>
      </c>
      <c r="D85" s="3">
        <f>IFERROR(__xludf.DUMMYFUNCTION("""COMPUTED_VALUE"""),7.0)</f>
        <v>7</v>
      </c>
      <c r="E85" s="300">
        <v>0.0</v>
      </c>
      <c r="F85" s="299"/>
      <c r="G85" s="299"/>
      <c r="H85" s="299"/>
      <c r="I85" s="299"/>
      <c r="J85" s="299"/>
      <c r="K85" s="299"/>
      <c r="L85" s="299"/>
      <c r="M85" s="299"/>
      <c r="N85" s="299"/>
      <c r="O85" s="299"/>
      <c r="P85" s="299"/>
      <c r="Q85" s="299"/>
      <c r="R85" s="299"/>
      <c r="S85" s="299"/>
      <c r="T85" s="299"/>
      <c r="U85" s="299"/>
    </row>
    <row r="86">
      <c r="A86" t="str">
        <f>IFERROR(__xludf.DUMMYFUNCTION("""COMPUTED_VALUE"""),"Spanish and Literature 12")</f>
        <v>Spanish and Literature 12</v>
      </c>
      <c r="B86" s="3" t="str">
        <f>IFERROR(__xludf.DUMMYFUNCTION("""COMPUTED_VALUE"""),"4")</f>
        <v>4</v>
      </c>
      <c r="C86" t="str">
        <f>IFERROR(__xludf.DUMMYFUNCTION("""COMPUTED_VALUE"""),"Chemistry")</f>
        <v>Chemistry</v>
      </c>
      <c r="D86" s="3">
        <f>IFERROR(__xludf.DUMMYFUNCTION("""COMPUTED_VALUE"""),8.0)</f>
        <v>8</v>
      </c>
      <c r="E86" s="300">
        <v>0.0</v>
      </c>
      <c r="F86" s="299"/>
      <c r="G86" s="299"/>
      <c r="H86" s="299"/>
      <c r="I86" s="299"/>
      <c r="J86" s="299"/>
      <c r="K86" s="299"/>
      <c r="L86" s="299"/>
      <c r="M86" s="299"/>
      <c r="N86" s="299"/>
      <c r="O86" s="299"/>
      <c r="P86" s="299"/>
      <c r="Q86" s="299"/>
      <c r="R86" s="299"/>
      <c r="S86" s="299"/>
      <c r="T86" s="299"/>
      <c r="U86" s="299"/>
    </row>
    <row r="87">
      <c r="A87" t="str">
        <f>IFERROR(__xludf.DUMMYFUNCTION("""COMPUTED_VALUE"""),"Spanish and Literature 9")</f>
        <v>Spanish and Literature 9</v>
      </c>
      <c r="B87" s="3" t="str">
        <f>IFERROR(__xludf.DUMMYFUNCTION("""COMPUTED_VALUE"""),"4")</f>
        <v>4</v>
      </c>
      <c r="C87" t="str">
        <f>IFERROR(__xludf.DUMMYFUNCTION("""COMPUTED_VALUE"""),"Creative Design")</f>
        <v>Creative Design</v>
      </c>
      <c r="D87" s="3">
        <f>IFERROR(__xludf.DUMMYFUNCTION("""COMPUTED_VALUE"""),4.0)</f>
        <v>4</v>
      </c>
      <c r="E87" s="300">
        <v>0.0</v>
      </c>
      <c r="F87" s="299"/>
      <c r="G87" s="299"/>
      <c r="H87" s="299"/>
      <c r="I87" s="299"/>
      <c r="J87" s="299"/>
      <c r="K87" s="299"/>
      <c r="L87" s="299"/>
      <c r="M87" s="299"/>
      <c r="N87" s="299"/>
      <c r="O87" s="299"/>
      <c r="P87" s="299"/>
      <c r="Q87" s="299"/>
      <c r="R87" s="299"/>
      <c r="S87" s="299"/>
      <c r="T87" s="299"/>
      <c r="U87" s="299"/>
    </row>
    <row r="88">
      <c r="A88" t="str">
        <f>IFERROR(__xludf.DUMMYFUNCTION("""COMPUTED_VALUE"""),"AP Spanish Language and Culture")</f>
        <v>AP Spanish Language and Culture</v>
      </c>
      <c r="B88" s="3" t="str">
        <f>IFERROR(__xludf.DUMMYFUNCTION("""COMPUTED_VALUE"""),"4")</f>
        <v>4</v>
      </c>
      <c r="C88" t="str">
        <f>IFERROR(__xludf.DUMMYFUNCTION("""COMPUTED_VALUE"""),"Drawing I")</f>
        <v>Drawing I</v>
      </c>
      <c r="D88" s="3">
        <f>IFERROR(__xludf.DUMMYFUNCTION("""COMPUTED_VALUE"""),3.0)</f>
        <v>3</v>
      </c>
      <c r="E88" s="300">
        <v>0.0</v>
      </c>
      <c r="F88" s="299"/>
      <c r="G88" s="299"/>
      <c r="H88" s="299"/>
      <c r="I88" s="299"/>
      <c r="J88" s="299"/>
      <c r="K88" s="299"/>
      <c r="L88" s="299"/>
      <c r="M88" s="299"/>
      <c r="N88" s="299"/>
      <c r="O88" s="299"/>
      <c r="P88" s="299"/>
      <c r="Q88" s="299"/>
      <c r="R88" s="299"/>
      <c r="S88" s="299"/>
      <c r="T88" s="299"/>
      <c r="U88" s="299"/>
    </row>
    <row r="89">
      <c r="A89" t="str">
        <f>IFERROR(__xludf.DUMMYFUNCTION("""COMPUTED_VALUE"""),"Spanish and Literature 11")</f>
        <v>Spanish and Literature 11</v>
      </c>
      <c r="B89" s="3" t="str">
        <f>IFERROR(__xludf.DUMMYFUNCTION("""COMPUTED_VALUE"""),"4")</f>
        <v>4</v>
      </c>
      <c r="C89" t="str">
        <f>IFERROR(__xludf.DUMMYFUNCTION("""COMPUTED_VALUE"""),"Drawing I")</f>
        <v>Drawing I</v>
      </c>
      <c r="D89" s="3">
        <f>IFERROR(__xludf.DUMMYFUNCTION("""COMPUTED_VALUE"""),8.0)</f>
        <v>8</v>
      </c>
      <c r="E89" s="300">
        <v>0.0</v>
      </c>
      <c r="F89" s="299"/>
      <c r="G89" s="299"/>
      <c r="H89" s="299"/>
      <c r="I89" s="299"/>
      <c r="J89" s="299"/>
      <c r="K89" s="299"/>
      <c r="L89" s="299"/>
      <c r="M89" s="299"/>
      <c r="N89" s="299"/>
      <c r="O89" s="299"/>
      <c r="P89" s="299"/>
      <c r="Q89" s="299"/>
      <c r="R89" s="299"/>
      <c r="S89" s="299"/>
      <c r="T89" s="299"/>
      <c r="U89" s="299"/>
    </row>
    <row r="90">
      <c r="A90" t="str">
        <f>IFERROR(__xludf.DUMMYFUNCTION("""COMPUTED_VALUE"""),"Algebra I")</f>
        <v>Algebra I</v>
      </c>
      <c r="B90" s="3" t="str">
        <f>IFERROR(__xludf.DUMMYFUNCTION("""COMPUTED_VALUE"""),"4")</f>
        <v>4</v>
      </c>
      <c r="C90" t="str">
        <f>IFERROR(__xludf.DUMMYFUNCTION("""COMPUTED_VALUE"""),"English 10")</f>
        <v>English 10</v>
      </c>
      <c r="D90" s="3">
        <f>IFERROR(__xludf.DUMMYFUNCTION("""COMPUTED_VALUE"""),2.0)</f>
        <v>2</v>
      </c>
      <c r="E90" s="300">
        <v>0.0</v>
      </c>
      <c r="F90" s="299"/>
      <c r="G90" s="299"/>
      <c r="H90" s="299"/>
      <c r="I90" s="299"/>
      <c r="J90" s="299"/>
      <c r="K90" s="299"/>
      <c r="L90" s="299"/>
      <c r="M90" s="299"/>
      <c r="N90" s="299"/>
      <c r="O90" s="299"/>
      <c r="P90" s="299"/>
      <c r="Q90" s="299"/>
      <c r="R90" s="299"/>
      <c r="S90" s="299"/>
      <c r="T90" s="299"/>
      <c r="U90" s="299"/>
    </row>
    <row r="91">
      <c r="A91" t="str">
        <f>IFERROR(__xludf.DUMMYFUNCTION("""COMPUTED_VALUE"""),"Geometry")</f>
        <v>Geometry</v>
      </c>
      <c r="B91" s="3" t="str">
        <f>IFERROR(__xludf.DUMMYFUNCTION("""COMPUTED_VALUE"""),"4")</f>
        <v>4</v>
      </c>
      <c r="C91" t="str">
        <f>IFERROR(__xludf.DUMMYFUNCTION("""COMPUTED_VALUE"""),"English 10")</f>
        <v>English 10</v>
      </c>
      <c r="D91" s="3">
        <f>IFERROR(__xludf.DUMMYFUNCTION("""COMPUTED_VALUE"""),5.0)</f>
        <v>5</v>
      </c>
      <c r="E91" s="300">
        <v>0.0</v>
      </c>
      <c r="F91" s="299"/>
      <c r="G91" s="299"/>
      <c r="H91" s="299"/>
      <c r="I91" s="299"/>
      <c r="J91" s="299"/>
      <c r="K91" s="299"/>
      <c r="L91" s="299"/>
      <c r="M91" s="299"/>
      <c r="N91" s="299"/>
      <c r="O91" s="299"/>
      <c r="P91" s="299"/>
      <c r="Q91" s="299"/>
      <c r="R91" s="299"/>
      <c r="S91" s="299"/>
      <c r="T91" s="299"/>
      <c r="U91" s="299"/>
    </row>
    <row r="92">
      <c r="A92" t="str">
        <f>IFERROR(__xludf.DUMMYFUNCTION("""COMPUTED_VALUE"""),"Financial Math")</f>
        <v>Financial Math</v>
      </c>
      <c r="B92" s="3" t="str">
        <f>IFERROR(__xludf.DUMMYFUNCTION("""COMPUTED_VALUE"""),"4")</f>
        <v>4</v>
      </c>
      <c r="C92" t="str">
        <f>IFERROR(__xludf.DUMMYFUNCTION("""COMPUTED_VALUE"""),"English 10")</f>
        <v>English 10</v>
      </c>
      <c r="D92" s="3">
        <f>IFERROR(__xludf.DUMMYFUNCTION("""COMPUTED_VALUE"""),8.0)</f>
        <v>8</v>
      </c>
      <c r="E92" s="300">
        <v>0.0</v>
      </c>
      <c r="F92" s="299"/>
      <c r="G92" s="299"/>
      <c r="H92" s="299"/>
      <c r="I92" s="299"/>
      <c r="J92" s="299"/>
      <c r="K92" s="299"/>
      <c r="L92" s="299"/>
      <c r="M92" s="299"/>
      <c r="N92" s="299"/>
      <c r="O92" s="299"/>
      <c r="P92" s="299"/>
      <c r="Q92" s="299"/>
      <c r="R92" s="299"/>
      <c r="S92" s="299"/>
      <c r="T92" s="299"/>
      <c r="U92" s="299"/>
    </row>
    <row r="93">
      <c r="A93" t="str">
        <f>IFERROR(__xludf.DUMMYFUNCTION("""COMPUTED_VALUE"""),"Anatomy and Physiology")</f>
        <v>Anatomy and Physiology</v>
      </c>
      <c r="B93" s="3" t="str">
        <f>IFERROR(__xludf.DUMMYFUNCTION("""COMPUTED_VALUE"""),"4")</f>
        <v>4</v>
      </c>
      <c r="C93" t="str">
        <f>IFERROR(__xludf.DUMMYFUNCTION("""COMPUTED_VALUE"""),"English 9")</f>
        <v>English 9</v>
      </c>
      <c r="D93" s="3">
        <f>IFERROR(__xludf.DUMMYFUNCTION("""COMPUTED_VALUE"""),1.0)</f>
        <v>1</v>
      </c>
      <c r="E93" s="300">
        <v>0.0</v>
      </c>
      <c r="F93" s="299"/>
      <c r="G93" s="299"/>
      <c r="H93" s="299"/>
      <c r="I93" s="299"/>
      <c r="J93" s="299"/>
      <c r="K93" s="299"/>
      <c r="L93" s="299"/>
      <c r="M93" s="299"/>
      <c r="N93" s="299"/>
      <c r="O93" s="299"/>
      <c r="P93" s="299"/>
      <c r="Q93" s="299"/>
      <c r="R93" s="299"/>
      <c r="S93" s="299"/>
      <c r="T93" s="299"/>
      <c r="U93" s="299"/>
    </row>
    <row r="94">
      <c r="A94" t="str">
        <f>IFERROR(__xludf.DUMMYFUNCTION("""COMPUTED_VALUE"""),"Biology 9")</f>
        <v>Biology 9</v>
      </c>
      <c r="B94" s="3" t="str">
        <f>IFERROR(__xludf.DUMMYFUNCTION("""COMPUTED_VALUE"""),"4")</f>
        <v>4</v>
      </c>
      <c r="C94" t="str">
        <f>IFERROR(__xludf.DUMMYFUNCTION("""COMPUTED_VALUE"""),"English 9")</f>
        <v>English 9</v>
      </c>
      <c r="D94" s="3">
        <f>IFERROR(__xludf.DUMMYFUNCTION("""COMPUTED_VALUE"""),2.0)</f>
        <v>2</v>
      </c>
      <c r="E94" s="300">
        <v>0.0</v>
      </c>
      <c r="F94" s="299"/>
      <c r="G94" s="299"/>
      <c r="H94" s="299"/>
      <c r="I94" s="299"/>
      <c r="J94" s="299"/>
      <c r="K94" s="299"/>
      <c r="L94" s="299"/>
      <c r="M94" s="299"/>
      <c r="N94" s="299"/>
      <c r="O94" s="299"/>
      <c r="P94" s="299"/>
      <c r="Q94" s="299"/>
      <c r="R94" s="299"/>
      <c r="S94" s="299"/>
      <c r="T94" s="299"/>
      <c r="U94" s="299"/>
    </row>
    <row r="95">
      <c r="A95" t="str">
        <f>IFERROR(__xludf.DUMMYFUNCTION("""COMPUTED_VALUE"""),"Global")</f>
        <v>Global</v>
      </c>
      <c r="B95" s="3" t="str">
        <f>IFERROR(__xludf.DUMMYFUNCTION("""COMPUTED_VALUE"""),"4")</f>
        <v>4</v>
      </c>
      <c r="C95" t="str">
        <f>IFERROR(__xludf.DUMMYFUNCTION("""COMPUTED_VALUE"""),"English 9")</f>
        <v>English 9</v>
      </c>
      <c r="D95" s="3">
        <f>IFERROR(__xludf.DUMMYFUNCTION("""COMPUTED_VALUE"""),5.0)</f>
        <v>5</v>
      </c>
      <c r="E95" s="300">
        <v>0.0</v>
      </c>
      <c r="F95" s="299"/>
      <c r="G95" s="299"/>
      <c r="H95" s="299"/>
      <c r="I95" s="299"/>
      <c r="J95" s="299"/>
      <c r="K95" s="299"/>
      <c r="L95" s="299"/>
      <c r="M95" s="299"/>
      <c r="N95" s="299"/>
      <c r="O95" s="299"/>
      <c r="P95" s="299"/>
      <c r="Q95" s="299"/>
      <c r="R95" s="299"/>
      <c r="S95" s="299"/>
      <c r="T95" s="299"/>
      <c r="U95" s="299"/>
    </row>
    <row r="96">
      <c r="A96" t="str">
        <f>IFERROR(__xludf.DUMMYFUNCTION("""COMPUTED_VALUE"""),"AP Human Geography")</f>
        <v>AP Human Geography</v>
      </c>
      <c r="B96" s="3" t="str">
        <f>IFERROR(__xludf.DUMMYFUNCTION("""COMPUTED_VALUE"""),"4")</f>
        <v>4</v>
      </c>
      <c r="C96" t="str">
        <f>IFERROR(__xludf.DUMMYFUNCTION("""COMPUTED_VALUE"""),"English 9")</f>
        <v>English 9</v>
      </c>
      <c r="D96" s="3">
        <f>IFERROR(__xludf.DUMMYFUNCTION("""COMPUTED_VALUE"""),6.0)</f>
        <v>6</v>
      </c>
      <c r="E96" s="300">
        <v>0.0</v>
      </c>
      <c r="F96" s="299"/>
      <c r="G96" s="299"/>
      <c r="H96" s="299"/>
      <c r="I96" s="299"/>
      <c r="J96" s="299"/>
      <c r="K96" s="299"/>
      <c r="L96" s="299"/>
      <c r="M96" s="299"/>
      <c r="N96" s="299"/>
      <c r="O96" s="299"/>
      <c r="P96" s="299"/>
      <c r="Q96" s="299"/>
      <c r="R96" s="299"/>
      <c r="S96" s="299"/>
      <c r="T96" s="299"/>
      <c r="U96" s="299"/>
    </row>
    <row r="97">
      <c r="A97" t="str">
        <f>IFERROR(__xludf.DUMMYFUNCTION("""COMPUTED_VALUE"""),"AP Economics")</f>
        <v>AP Economics</v>
      </c>
      <c r="B97" s="3" t="str">
        <f>IFERROR(__xludf.DUMMYFUNCTION("""COMPUTED_VALUE"""),"4")</f>
        <v>4</v>
      </c>
      <c r="C97" t="str">
        <f>IFERROR(__xludf.DUMMYFUNCTION("""COMPUTED_VALUE"""),"English 9")</f>
        <v>English 9</v>
      </c>
      <c r="D97" s="3">
        <f>IFERROR(__xludf.DUMMYFUNCTION("""COMPUTED_VALUE"""),7.0)</f>
        <v>7</v>
      </c>
      <c r="E97" s="300">
        <v>0.0</v>
      </c>
      <c r="F97" s="299"/>
      <c r="G97" s="299"/>
      <c r="H97" s="299"/>
      <c r="I97" s="299"/>
      <c r="J97" s="299"/>
      <c r="K97" s="299"/>
      <c r="L97" s="299"/>
      <c r="M97" s="299"/>
      <c r="N97" s="299"/>
      <c r="O97" s="299"/>
      <c r="P97" s="299"/>
      <c r="Q97" s="299"/>
      <c r="R97" s="299"/>
      <c r="S97" s="299"/>
      <c r="T97" s="299"/>
      <c r="U97" s="299"/>
    </row>
    <row r="98">
      <c r="A98" t="str">
        <f>IFERROR(__xludf.DUMMYFUNCTION("""COMPUTED_VALUE"""),"Introduction to Law")</f>
        <v>Introduction to Law</v>
      </c>
      <c r="B98" s="3" t="str">
        <f>IFERROR(__xludf.DUMMYFUNCTION("""COMPUTED_VALUE"""),"4")</f>
        <v>4</v>
      </c>
      <c r="C98" t="str">
        <f>IFERROR(__xludf.DUMMYFUNCTION("""COMPUTED_VALUE"""),"English 9")</f>
        <v>English 9</v>
      </c>
      <c r="D98" s="3">
        <f>IFERROR(__xludf.DUMMYFUNCTION("""COMPUTED_VALUE"""),8.0)</f>
        <v>8</v>
      </c>
      <c r="E98" s="300">
        <v>0.0</v>
      </c>
      <c r="F98" s="299"/>
      <c r="G98" s="299"/>
      <c r="H98" s="299"/>
      <c r="I98" s="299"/>
      <c r="J98" s="299"/>
      <c r="K98" s="299"/>
      <c r="L98" s="299"/>
      <c r="M98" s="299"/>
      <c r="N98" s="299"/>
      <c r="O98" s="299"/>
      <c r="P98" s="299"/>
      <c r="Q98" s="299"/>
      <c r="R98" s="299"/>
      <c r="S98" s="299"/>
      <c r="T98" s="299"/>
      <c r="U98" s="299"/>
    </row>
    <row r="99">
      <c r="A99" t="str">
        <f>IFERROR(__xludf.DUMMYFUNCTION("""COMPUTED_VALUE"""),"AP Psychology")</f>
        <v>AP Psychology</v>
      </c>
      <c r="B99" s="3" t="str">
        <f>IFERROR(__xludf.DUMMYFUNCTION("""COMPUTED_VALUE"""),"4")</f>
        <v>4</v>
      </c>
      <c r="C99" t="str">
        <f>IFERROR(__xludf.DUMMYFUNCTION("""COMPUTED_VALUE"""),"Entrepreneurship - Business Tech")</f>
        <v>Entrepreneurship - Business Tech</v>
      </c>
      <c r="D99" s="3">
        <f>IFERROR(__xludf.DUMMYFUNCTION("""COMPUTED_VALUE"""),3.0)</f>
        <v>3</v>
      </c>
      <c r="E99" s="300">
        <v>0.0</v>
      </c>
      <c r="F99" s="299"/>
      <c r="G99" s="299"/>
      <c r="H99" s="299"/>
      <c r="I99" s="299"/>
      <c r="J99" s="299"/>
      <c r="K99" s="299"/>
      <c r="L99" s="299"/>
      <c r="M99" s="299"/>
      <c r="N99" s="299"/>
      <c r="O99" s="299"/>
      <c r="P99" s="299"/>
      <c r="Q99" s="299"/>
      <c r="R99" s="299"/>
      <c r="S99" s="299"/>
      <c r="T99" s="299"/>
      <c r="U99" s="299"/>
    </row>
    <row r="100">
      <c r="A100" t="str">
        <f>IFERROR(__xludf.DUMMYFUNCTION("""COMPUTED_VALUE"""),"Sociales 10")</f>
        <v>Sociales 10</v>
      </c>
      <c r="B100" s="3" t="str">
        <f>IFERROR(__xludf.DUMMYFUNCTION("""COMPUTED_VALUE"""),"4")</f>
        <v>4</v>
      </c>
      <c r="C100" t="str">
        <f>IFERROR(__xludf.DUMMYFUNCTION("""COMPUTED_VALUE"""),"Entrepreneurship - Business Tech")</f>
        <v>Entrepreneurship - Business Tech</v>
      </c>
      <c r="D100" s="3">
        <f>IFERROR(__xludf.DUMMYFUNCTION("""COMPUTED_VALUE"""),5.0)</f>
        <v>5</v>
      </c>
      <c r="E100" s="300">
        <v>0.0</v>
      </c>
      <c r="F100" s="299"/>
      <c r="G100" s="299"/>
      <c r="H100" s="299"/>
      <c r="I100" s="299"/>
      <c r="J100" s="299"/>
      <c r="K100" s="299"/>
      <c r="L100" s="299"/>
      <c r="M100" s="299"/>
      <c r="N100" s="299"/>
      <c r="O100" s="299"/>
      <c r="P100" s="299"/>
      <c r="Q100" s="299"/>
      <c r="R100" s="299"/>
      <c r="S100" s="299"/>
      <c r="T100" s="299"/>
      <c r="U100" s="299"/>
    </row>
    <row r="101">
      <c r="A101" t="str">
        <f>IFERROR(__xludf.DUMMYFUNCTION("""COMPUTED_VALUE"""),"ISC")</f>
        <v>ISC</v>
      </c>
      <c r="B101" s="3" t="str">
        <f>IFERROR(__xludf.DUMMYFUNCTION("""COMPUTED_VALUE"""),"4")</f>
        <v>4</v>
      </c>
      <c r="C101" t="str">
        <f>IFERROR(__xludf.DUMMYFUNCTION("""COMPUTED_VALUE"""),"Environmental Science")</f>
        <v>Environmental Science</v>
      </c>
      <c r="D101" s="3">
        <f>IFERROR(__xludf.DUMMYFUNCTION("""COMPUTED_VALUE"""),2.0)</f>
        <v>2</v>
      </c>
      <c r="E101" s="300">
        <v>0.0</v>
      </c>
      <c r="F101" s="299"/>
      <c r="G101" s="299"/>
      <c r="H101" s="299"/>
      <c r="I101" s="299"/>
      <c r="J101" s="299"/>
      <c r="K101" s="299"/>
      <c r="L101" s="299"/>
      <c r="M101" s="299"/>
      <c r="N101" s="299"/>
      <c r="O101" s="299"/>
      <c r="P101" s="299"/>
      <c r="Q101" s="299"/>
      <c r="R101" s="299"/>
      <c r="S101" s="299"/>
      <c r="T101" s="299"/>
      <c r="U101" s="299"/>
    </row>
    <row r="102">
      <c r="A102" t="str">
        <f>IFERROR(__xludf.DUMMYFUNCTION("""COMPUTED_VALUE"""),"AP Computer Science A")</f>
        <v>AP Computer Science A</v>
      </c>
      <c r="B102" s="3" t="str">
        <f>IFERROR(__xludf.DUMMYFUNCTION("""COMPUTED_VALUE"""),"4")</f>
        <v>4</v>
      </c>
      <c r="C102" t="str">
        <f>IFERROR(__xludf.DUMMYFUNCTION("""COMPUTED_VALUE"""),"Environmental Science")</f>
        <v>Environmental Science</v>
      </c>
      <c r="D102" s="3">
        <f>IFERROR(__xludf.DUMMYFUNCTION("""COMPUTED_VALUE"""),6.0)</f>
        <v>6</v>
      </c>
      <c r="E102" s="300">
        <v>0.0</v>
      </c>
      <c r="F102" s="299"/>
      <c r="G102" s="299"/>
      <c r="H102" s="299"/>
      <c r="I102" s="299"/>
      <c r="J102" s="299"/>
      <c r="K102" s="299"/>
      <c r="L102" s="299"/>
      <c r="M102" s="299"/>
      <c r="N102" s="299"/>
      <c r="O102" s="299"/>
      <c r="P102" s="299"/>
      <c r="Q102" s="299"/>
      <c r="R102" s="299"/>
      <c r="S102" s="299"/>
      <c r="T102" s="299"/>
      <c r="U102" s="299"/>
    </row>
    <row r="103">
      <c r="A103" t="str">
        <f>IFERROR(__xludf.DUMMYFUNCTION("""COMPUTED_VALUE"""),"Creative Design")</f>
        <v>Creative Design</v>
      </c>
      <c r="B103" s="3" t="str">
        <f>IFERROR(__xludf.DUMMYFUNCTION("""COMPUTED_VALUE"""),"4")</f>
        <v>4</v>
      </c>
      <c r="C103" t="str">
        <f>IFERROR(__xludf.DUMMYFUNCTION("""COMPUTED_VALUE"""),"Environmental Science")</f>
        <v>Environmental Science</v>
      </c>
      <c r="D103" s="3">
        <f>IFERROR(__xludf.DUMMYFUNCTION("""COMPUTED_VALUE"""),8.0)</f>
        <v>8</v>
      </c>
      <c r="E103" s="300">
        <v>0.0</v>
      </c>
      <c r="F103" s="299"/>
      <c r="G103" s="299"/>
      <c r="H103" s="299"/>
      <c r="I103" s="299"/>
      <c r="J103" s="299"/>
      <c r="K103" s="299"/>
      <c r="L103" s="299"/>
      <c r="M103" s="299"/>
      <c r="N103" s="299"/>
      <c r="O103" s="299"/>
      <c r="P103" s="299"/>
      <c r="Q103" s="299"/>
      <c r="R103" s="299"/>
      <c r="S103" s="299"/>
      <c r="T103" s="299"/>
      <c r="U103" s="299"/>
    </row>
    <row r="104">
      <c r="A104" t="str">
        <f>IFERROR(__xludf.DUMMYFUNCTION("""COMPUTED_VALUE"""),"PE 9")</f>
        <v>PE 9</v>
      </c>
      <c r="B104" s="3" t="str">
        <f>IFERROR(__xludf.DUMMYFUNCTION("""COMPUTED_VALUE"""),"4")</f>
        <v>4</v>
      </c>
      <c r="C104" t="str">
        <f>IFERROR(__xludf.DUMMYFUNCTION("""COMPUTED_VALUE"""),"Financial Math")</f>
        <v>Financial Math</v>
      </c>
      <c r="D104" s="3">
        <f>IFERROR(__xludf.DUMMYFUNCTION("""COMPUTED_VALUE"""),4.0)</f>
        <v>4</v>
      </c>
      <c r="E104" s="300">
        <v>0.0</v>
      </c>
      <c r="F104" s="299"/>
      <c r="G104" s="299"/>
      <c r="H104" s="299"/>
      <c r="I104" s="299"/>
      <c r="J104" s="299"/>
      <c r="K104" s="299"/>
      <c r="L104" s="299"/>
      <c r="M104" s="299"/>
      <c r="N104" s="299"/>
      <c r="O104" s="299"/>
      <c r="P104" s="299"/>
      <c r="Q104" s="299"/>
      <c r="R104" s="299"/>
      <c r="S104" s="299"/>
      <c r="T104" s="299"/>
      <c r="U104" s="299"/>
    </row>
    <row r="105">
      <c r="A105" t="str">
        <f>IFERROR(__xludf.DUMMYFUNCTION("""COMPUTED_VALUE"""),"PE 10")</f>
        <v>PE 10</v>
      </c>
      <c r="B105" s="3" t="str">
        <f>IFERROR(__xludf.DUMMYFUNCTION("""COMPUTED_VALUE"""),"4")</f>
        <v>4</v>
      </c>
      <c r="C105" t="str">
        <f>IFERROR(__xludf.DUMMYFUNCTION("""COMPUTED_VALUE"""),"Financial Math")</f>
        <v>Financial Math</v>
      </c>
      <c r="D105" s="3">
        <f>IFERROR(__xludf.DUMMYFUNCTION("""COMPUTED_VALUE"""),5.0)</f>
        <v>5</v>
      </c>
      <c r="E105" s="300">
        <v>0.0</v>
      </c>
      <c r="F105" s="299"/>
      <c r="G105" s="299"/>
      <c r="H105" s="299"/>
      <c r="I105" s="299"/>
      <c r="J105" s="299"/>
      <c r="K105" s="299"/>
      <c r="L105" s="299"/>
      <c r="M105" s="299"/>
      <c r="N105" s="299"/>
      <c r="O105" s="299"/>
      <c r="P105" s="299"/>
      <c r="Q105" s="299"/>
      <c r="R105" s="299"/>
      <c r="S105" s="299"/>
      <c r="T105" s="299"/>
      <c r="U105" s="299"/>
    </row>
    <row r="106">
      <c r="A106" t="str">
        <f>IFERROR(__xludf.DUMMYFUNCTION("""COMPUTED_VALUE"""),"PE 11")</f>
        <v>PE 11</v>
      </c>
      <c r="B106" s="3" t="str">
        <f>IFERROR(__xludf.DUMMYFUNCTION("""COMPUTED_VALUE"""),"4")</f>
        <v>4</v>
      </c>
      <c r="C106" t="str">
        <f>IFERROR(__xludf.DUMMYFUNCTION("""COMPUTED_VALUE"""),"Financial Math")</f>
        <v>Financial Math</v>
      </c>
      <c r="D106" s="3">
        <f>IFERROR(__xludf.DUMMYFUNCTION("""COMPUTED_VALUE"""),7.0)</f>
        <v>7</v>
      </c>
      <c r="E106" s="300">
        <v>0.0</v>
      </c>
      <c r="F106" s="299"/>
      <c r="G106" s="299"/>
      <c r="H106" s="299"/>
      <c r="I106" s="299"/>
      <c r="J106" s="299"/>
      <c r="K106" s="299"/>
      <c r="L106" s="299"/>
      <c r="M106" s="299"/>
      <c r="N106" s="299"/>
      <c r="O106" s="299"/>
      <c r="P106" s="299"/>
      <c r="Q106" s="299"/>
      <c r="R106" s="299"/>
      <c r="S106" s="299"/>
      <c r="T106" s="299"/>
      <c r="U106" s="299"/>
    </row>
    <row r="107">
      <c r="A107" t="str">
        <f>IFERROR(__xludf.DUMMYFUNCTION("""COMPUTED_VALUE"""),"PE 12")</f>
        <v>PE 12</v>
      </c>
      <c r="B107" s="3" t="str">
        <f>IFERROR(__xludf.DUMMYFUNCTION("""COMPUTED_VALUE"""),"4")</f>
        <v>4</v>
      </c>
      <c r="C107" t="str">
        <f>IFERROR(__xludf.DUMMYFUNCTION("""COMPUTED_VALUE"""),"FRC 9")</f>
        <v>FRC 9</v>
      </c>
      <c r="D107" s="3">
        <f>IFERROR(__xludf.DUMMYFUNCTION("""COMPUTED_VALUE"""),6.0)</f>
        <v>6</v>
      </c>
      <c r="E107" s="300">
        <v>0.0</v>
      </c>
      <c r="F107" s="299"/>
      <c r="G107" s="299"/>
      <c r="H107" s="299"/>
      <c r="I107" s="299"/>
      <c r="J107" s="299"/>
      <c r="K107" s="299"/>
      <c r="L107" s="299"/>
      <c r="M107" s="299"/>
      <c r="N107" s="299"/>
      <c r="O107" s="299"/>
      <c r="P107" s="299"/>
      <c r="Q107" s="299"/>
      <c r="R107" s="299"/>
      <c r="S107" s="299"/>
      <c r="T107" s="299"/>
      <c r="U107" s="299"/>
    </row>
    <row r="108">
      <c r="A108" t="str">
        <f>IFERROR(__xludf.DUMMYFUNCTION("""COMPUTED_VALUE"""),"Painting I")</f>
        <v>Painting I</v>
      </c>
      <c r="B108" s="3" t="str">
        <f>IFERROR(__xludf.DUMMYFUNCTION("""COMPUTED_VALUE"""),"5")</f>
        <v>5</v>
      </c>
      <c r="C108" t="str">
        <f>IFERROR(__xludf.DUMMYFUNCTION("""COMPUTED_VALUE"""),"FRC 9 Robotics")</f>
        <v>FRC 9 Robotics</v>
      </c>
      <c r="D108" s="3">
        <f>IFERROR(__xludf.DUMMYFUNCTION("""COMPUTED_VALUE"""),1.0)</f>
        <v>1</v>
      </c>
      <c r="E108" s="300">
        <v>0.0</v>
      </c>
      <c r="F108" s="299"/>
      <c r="G108" s="299"/>
      <c r="H108" s="299"/>
      <c r="I108" s="299"/>
      <c r="J108" s="299"/>
      <c r="K108" s="299"/>
      <c r="L108" s="299"/>
      <c r="M108" s="299"/>
      <c r="N108" s="299"/>
      <c r="O108" s="299"/>
      <c r="P108" s="299"/>
      <c r="Q108" s="299"/>
      <c r="R108" s="299"/>
      <c r="S108" s="299"/>
      <c r="T108" s="299"/>
      <c r="U108" s="299"/>
    </row>
    <row r="109">
      <c r="A109" t="str">
        <f>IFERROR(__xludf.DUMMYFUNCTION("""COMPUTED_VALUE"""),"English 10")</f>
        <v>English 10</v>
      </c>
      <c r="B109" s="3" t="str">
        <f>IFERROR(__xludf.DUMMYFUNCTION("""COMPUTED_VALUE"""),"5")</f>
        <v>5</v>
      </c>
      <c r="C109" t="str">
        <f>IFERROR(__xludf.DUMMYFUNCTION("""COMPUTED_VALUE"""),"FRC 9 Robotics")</f>
        <v>FRC 9 Robotics</v>
      </c>
      <c r="D109" s="3">
        <f>IFERROR(__xludf.DUMMYFUNCTION("""COMPUTED_VALUE"""),2.0)</f>
        <v>2</v>
      </c>
      <c r="E109" s="300">
        <v>0.0</v>
      </c>
      <c r="F109" s="299"/>
      <c r="G109" s="299"/>
      <c r="H109" s="299"/>
      <c r="I109" s="299"/>
      <c r="J109" s="299"/>
      <c r="K109" s="299"/>
      <c r="L109" s="299"/>
      <c r="M109" s="299"/>
      <c r="N109" s="299"/>
      <c r="O109" s="299"/>
      <c r="P109" s="299"/>
      <c r="Q109" s="299"/>
      <c r="R109" s="299"/>
      <c r="S109" s="299"/>
      <c r="T109" s="299"/>
      <c r="U109" s="299"/>
    </row>
    <row r="110">
      <c r="A110" t="str">
        <f>IFERROR(__xludf.DUMMYFUNCTION("""COMPUTED_VALUE"""),"English 9")</f>
        <v>English 9</v>
      </c>
      <c r="B110" s="3" t="str">
        <f>IFERROR(__xludf.DUMMYFUNCTION("""COMPUTED_VALUE"""),"5")</f>
        <v>5</v>
      </c>
      <c r="C110" t="str">
        <f>IFERROR(__xludf.DUMMYFUNCTION("""COMPUTED_VALUE"""),"FRC 9 Robotics")</f>
        <v>FRC 9 Robotics</v>
      </c>
      <c r="D110" s="3">
        <f>IFERROR(__xludf.DUMMYFUNCTION("""COMPUTED_VALUE"""),5.0)</f>
        <v>5</v>
      </c>
      <c r="E110" s="300">
        <v>0.0</v>
      </c>
      <c r="F110" s="299"/>
      <c r="G110" s="299"/>
      <c r="H110" s="299"/>
      <c r="I110" s="299"/>
      <c r="J110" s="299"/>
      <c r="K110" s="299"/>
      <c r="L110" s="299"/>
      <c r="M110" s="299"/>
      <c r="N110" s="299"/>
      <c r="O110" s="299"/>
      <c r="P110" s="299"/>
      <c r="Q110" s="299"/>
      <c r="R110" s="299"/>
      <c r="S110" s="299"/>
      <c r="T110" s="299"/>
      <c r="U110" s="299"/>
    </row>
    <row r="111">
      <c r="A111" t="str">
        <f>IFERROR(__xludf.DUMMYFUNCTION("""COMPUTED_VALUE"""),"AP Seminar")</f>
        <v>AP Seminar</v>
      </c>
      <c r="B111" s="3" t="str">
        <f>IFERROR(__xludf.DUMMYFUNCTION("""COMPUTED_VALUE"""),"5")</f>
        <v>5</v>
      </c>
      <c r="C111" t="str">
        <f>IFERROR(__xludf.DUMMYFUNCTION("""COMPUTED_VALUE"""),"FRC 9 Robotics")</f>
        <v>FRC 9 Robotics</v>
      </c>
      <c r="D111" s="3">
        <f>IFERROR(__xludf.DUMMYFUNCTION("""COMPUTED_VALUE"""),6.0)</f>
        <v>6</v>
      </c>
      <c r="E111" s="300">
        <v>0.0</v>
      </c>
      <c r="F111" s="299"/>
      <c r="G111" s="299"/>
      <c r="H111" s="299"/>
      <c r="I111" s="299"/>
      <c r="J111" s="299"/>
      <c r="K111" s="299"/>
      <c r="L111" s="299"/>
      <c r="M111" s="299"/>
      <c r="N111" s="299"/>
      <c r="O111" s="299"/>
      <c r="P111" s="299"/>
      <c r="Q111" s="299"/>
      <c r="R111" s="299"/>
      <c r="S111" s="299"/>
      <c r="T111" s="299"/>
      <c r="U111" s="299"/>
    </row>
    <row r="112">
      <c r="A112" t="str">
        <f>IFERROR(__xludf.DUMMYFUNCTION("""COMPUTED_VALUE"""),"Spanish and Literature 12")</f>
        <v>Spanish and Literature 12</v>
      </c>
      <c r="B112" s="3" t="str">
        <f>IFERROR(__xludf.DUMMYFUNCTION("""COMPUTED_VALUE"""),"5")</f>
        <v>5</v>
      </c>
      <c r="C112" t="str">
        <f>IFERROR(__xludf.DUMMYFUNCTION("""COMPUTED_VALUE"""),"Geometry")</f>
        <v>Geometry</v>
      </c>
      <c r="D112" s="3">
        <f>IFERROR(__xludf.DUMMYFUNCTION("""COMPUTED_VALUE"""),1.0)</f>
        <v>1</v>
      </c>
      <c r="E112" s="300">
        <v>0.0</v>
      </c>
      <c r="F112" s="299"/>
      <c r="G112" s="299"/>
      <c r="H112" s="299"/>
      <c r="I112" s="299"/>
      <c r="J112" s="299"/>
      <c r="K112" s="299"/>
      <c r="L112" s="299"/>
      <c r="M112" s="299"/>
      <c r="N112" s="299"/>
      <c r="O112" s="299"/>
      <c r="P112" s="299"/>
      <c r="Q112" s="299"/>
      <c r="R112" s="299"/>
      <c r="S112" s="299"/>
      <c r="T112" s="299"/>
      <c r="U112" s="299"/>
    </row>
    <row r="113">
      <c r="A113" t="str">
        <f>IFERROR(__xludf.DUMMYFUNCTION("""COMPUTED_VALUE"""),"Spanish Film, Art, and Literature")</f>
        <v>Spanish Film, Art, and Literature</v>
      </c>
      <c r="B113" s="3" t="str">
        <f>IFERROR(__xludf.DUMMYFUNCTION("""COMPUTED_VALUE"""),"5")</f>
        <v>5</v>
      </c>
      <c r="C113" t="str">
        <f>IFERROR(__xludf.DUMMYFUNCTION("""COMPUTED_VALUE"""),"Geometry")</f>
        <v>Geometry</v>
      </c>
      <c r="D113" s="3">
        <f>IFERROR(__xludf.DUMMYFUNCTION("""COMPUTED_VALUE"""),2.0)</f>
        <v>2</v>
      </c>
      <c r="E113" s="300">
        <v>0.0</v>
      </c>
      <c r="F113" s="299"/>
      <c r="G113" s="299"/>
      <c r="H113" s="299"/>
      <c r="I113" s="299"/>
      <c r="J113" s="299"/>
      <c r="K113" s="299"/>
      <c r="L113" s="299"/>
      <c r="M113" s="299"/>
      <c r="N113" s="299"/>
      <c r="O113" s="299"/>
      <c r="P113" s="299"/>
      <c r="Q113" s="299"/>
      <c r="R113" s="299"/>
      <c r="S113" s="299"/>
      <c r="T113" s="299"/>
      <c r="U113" s="299"/>
    </row>
    <row r="114">
      <c r="A114" t="str">
        <f>IFERROR(__xludf.DUMMYFUNCTION("""COMPUTED_VALUE"""),"Spanish and Literature 9")</f>
        <v>Spanish and Literature 9</v>
      </c>
      <c r="B114" s="3" t="str">
        <f>IFERROR(__xludf.DUMMYFUNCTION("""COMPUTED_VALUE"""),"5")</f>
        <v>5</v>
      </c>
      <c r="C114" t="str">
        <f>IFERROR(__xludf.DUMMYFUNCTION("""COMPUTED_VALUE"""),"Geometry")</f>
        <v>Geometry</v>
      </c>
      <c r="D114" s="3">
        <f>IFERROR(__xludf.DUMMYFUNCTION("""COMPUTED_VALUE"""),3.0)</f>
        <v>3</v>
      </c>
      <c r="E114" s="300">
        <v>0.0</v>
      </c>
      <c r="F114" s="299"/>
      <c r="G114" s="299"/>
      <c r="H114" s="299"/>
      <c r="I114" s="299"/>
      <c r="J114" s="299"/>
      <c r="K114" s="299"/>
      <c r="L114" s="299"/>
      <c r="M114" s="299"/>
      <c r="N114" s="299"/>
      <c r="O114" s="299"/>
      <c r="P114" s="299"/>
      <c r="Q114" s="299"/>
      <c r="R114" s="299"/>
      <c r="S114" s="299"/>
      <c r="T114" s="299"/>
      <c r="U114" s="299"/>
    </row>
    <row r="115">
      <c r="A115" t="str">
        <f>IFERROR(__xludf.DUMMYFUNCTION("""COMPUTED_VALUE"""),"Spanish and Literature 11")</f>
        <v>Spanish and Literature 11</v>
      </c>
      <c r="B115" s="3" t="str">
        <f>IFERROR(__xludf.DUMMYFUNCTION("""COMPUTED_VALUE"""),"5")</f>
        <v>5</v>
      </c>
      <c r="C115" t="str">
        <f>IFERROR(__xludf.DUMMYFUNCTION("""COMPUTED_VALUE"""),"Geometry")</f>
        <v>Geometry</v>
      </c>
      <c r="D115" s="3">
        <f>IFERROR(__xludf.DUMMYFUNCTION("""COMPUTED_VALUE"""),4.0)</f>
        <v>4</v>
      </c>
      <c r="E115" s="300">
        <v>0.0</v>
      </c>
      <c r="F115" s="299"/>
      <c r="G115" s="299"/>
      <c r="H115" s="299"/>
      <c r="I115" s="299"/>
      <c r="J115" s="299"/>
      <c r="K115" s="299"/>
      <c r="L115" s="299"/>
      <c r="M115" s="299"/>
      <c r="N115" s="299"/>
      <c r="O115" s="299"/>
      <c r="P115" s="299"/>
      <c r="Q115" s="299"/>
      <c r="R115" s="299"/>
      <c r="S115" s="299"/>
      <c r="T115" s="299"/>
      <c r="U115" s="299"/>
    </row>
    <row r="116">
      <c r="A116" t="str">
        <f>IFERROR(__xludf.DUMMYFUNCTION("""COMPUTED_VALUE"""),"AP Spanish Language and Culture")</f>
        <v>AP Spanish Language and Culture</v>
      </c>
      <c r="B116" s="3" t="str">
        <f>IFERROR(__xludf.DUMMYFUNCTION("""COMPUTED_VALUE"""),"5")</f>
        <v>5</v>
      </c>
      <c r="C116" t="str">
        <f>IFERROR(__xludf.DUMMYFUNCTION("""COMPUTED_VALUE"""),"Geometry")</f>
        <v>Geometry</v>
      </c>
      <c r="D116" s="3">
        <f>IFERROR(__xludf.DUMMYFUNCTION("""COMPUTED_VALUE"""),6.0)</f>
        <v>6</v>
      </c>
      <c r="E116" s="300">
        <v>0.0</v>
      </c>
      <c r="F116" s="299"/>
      <c r="G116" s="299"/>
      <c r="H116" s="299"/>
      <c r="I116" s="299"/>
      <c r="J116" s="299"/>
      <c r="K116" s="299"/>
      <c r="L116" s="299"/>
      <c r="M116" s="299"/>
      <c r="N116" s="299"/>
      <c r="O116" s="299"/>
      <c r="P116" s="299"/>
      <c r="Q116" s="299"/>
      <c r="R116" s="299"/>
      <c r="S116" s="299"/>
      <c r="T116" s="299"/>
      <c r="U116" s="299"/>
    </row>
    <row r="117">
      <c r="A117" t="str">
        <f>IFERROR(__xludf.DUMMYFUNCTION("""COMPUTED_VALUE"""),"Calculus")</f>
        <v>Calculus</v>
      </c>
      <c r="B117" s="3" t="str">
        <f>IFERROR(__xludf.DUMMYFUNCTION("""COMPUTED_VALUE"""),"5")</f>
        <v>5</v>
      </c>
      <c r="C117" t="str">
        <f>IFERROR(__xludf.DUMMYFUNCTION("""COMPUTED_VALUE"""),"Geometry")</f>
        <v>Geometry</v>
      </c>
      <c r="D117" s="3">
        <f>IFERROR(__xludf.DUMMYFUNCTION("""COMPUTED_VALUE"""),7.0)</f>
        <v>7</v>
      </c>
      <c r="E117" s="300">
        <v>0.0</v>
      </c>
      <c r="F117" s="299"/>
      <c r="G117" s="299"/>
      <c r="H117" s="299"/>
      <c r="I117" s="299"/>
      <c r="J117" s="299"/>
      <c r="K117" s="299"/>
      <c r="L117" s="299"/>
      <c r="M117" s="299"/>
      <c r="N117" s="299"/>
      <c r="O117" s="299"/>
      <c r="P117" s="299"/>
      <c r="Q117" s="299"/>
      <c r="R117" s="299"/>
      <c r="S117" s="299"/>
      <c r="T117" s="299"/>
      <c r="U117" s="299"/>
    </row>
    <row r="118">
      <c r="A118" t="str">
        <f>IFERROR(__xludf.DUMMYFUNCTION("""COMPUTED_VALUE"""),"Algebra II")</f>
        <v>Algebra II</v>
      </c>
      <c r="B118" s="3" t="str">
        <f>IFERROR(__xludf.DUMMYFUNCTION("""COMPUTED_VALUE"""),"5")</f>
        <v>5</v>
      </c>
      <c r="C118" t="str">
        <f>IFERROR(__xludf.DUMMYFUNCTION("""COMPUTED_VALUE"""),"Geometry")</f>
        <v>Geometry</v>
      </c>
      <c r="D118" s="3">
        <f>IFERROR(__xludf.DUMMYFUNCTION("""COMPUTED_VALUE"""),8.0)</f>
        <v>8</v>
      </c>
      <c r="E118" s="300">
        <v>0.0</v>
      </c>
      <c r="F118" s="299"/>
      <c r="G118" s="299"/>
      <c r="H118" s="299"/>
      <c r="I118" s="299"/>
      <c r="J118" s="299"/>
      <c r="K118" s="299"/>
      <c r="L118" s="299"/>
      <c r="M118" s="299"/>
      <c r="N118" s="299"/>
      <c r="O118" s="299"/>
      <c r="P118" s="299"/>
      <c r="Q118" s="299"/>
      <c r="R118" s="299"/>
      <c r="S118" s="299"/>
      <c r="T118" s="299"/>
      <c r="U118" s="299"/>
    </row>
    <row r="119">
      <c r="A119" t="str">
        <f>IFERROR(__xludf.DUMMYFUNCTION("""COMPUTED_VALUE"""),"Financial Math")</f>
        <v>Financial Math</v>
      </c>
      <c r="B119" s="3" t="str">
        <f>IFERROR(__xludf.DUMMYFUNCTION("""COMPUTED_VALUE"""),"5")</f>
        <v>5</v>
      </c>
      <c r="C119" t="str">
        <f>IFERROR(__xludf.DUMMYFUNCTION("""COMPUTED_VALUE"""),"Global")</f>
        <v>Global</v>
      </c>
      <c r="D119" s="3">
        <f>IFERROR(__xludf.DUMMYFUNCTION("""COMPUTED_VALUE"""),2.0)</f>
        <v>2</v>
      </c>
      <c r="E119" s="300">
        <v>0.0</v>
      </c>
      <c r="F119" s="299"/>
      <c r="G119" s="299"/>
      <c r="H119" s="299"/>
      <c r="I119" s="299"/>
      <c r="J119" s="299"/>
      <c r="K119" s="299"/>
      <c r="L119" s="299"/>
      <c r="M119" s="299"/>
      <c r="N119" s="299"/>
      <c r="O119" s="299"/>
      <c r="P119" s="299"/>
      <c r="Q119" s="299"/>
      <c r="R119" s="299"/>
      <c r="S119" s="299"/>
      <c r="T119" s="299"/>
      <c r="U119" s="299"/>
    </row>
    <row r="120">
      <c r="A120" t="str">
        <f>IFERROR(__xludf.DUMMYFUNCTION("""COMPUTED_VALUE"""),"Biology 9")</f>
        <v>Biology 9</v>
      </c>
      <c r="B120" s="3" t="str">
        <f>IFERROR(__xludf.DUMMYFUNCTION("""COMPUTED_VALUE"""),"5")</f>
        <v>5</v>
      </c>
      <c r="C120" t="str">
        <f>IFERROR(__xludf.DUMMYFUNCTION("""COMPUTED_VALUE"""),"Global")</f>
        <v>Global</v>
      </c>
      <c r="D120" s="3">
        <f>IFERROR(__xludf.DUMMYFUNCTION("""COMPUTED_VALUE"""),4.0)</f>
        <v>4</v>
      </c>
      <c r="E120" s="300">
        <v>0.0</v>
      </c>
      <c r="F120" s="299"/>
      <c r="G120" s="299"/>
      <c r="H120" s="299"/>
      <c r="I120" s="299"/>
      <c r="J120" s="299"/>
      <c r="K120" s="299"/>
      <c r="L120" s="299"/>
      <c r="M120" s="299"/>
      <c r="N120" s="299"/>
      <c r="O120" s="299"/>
      <c r="P120" s="299"/>
      <c r="Q120" s="299"/>
      <c r="R120" s="299"/>
      <c r="S120" s="299"/>
      <c r="T120" s="299"/>
      <c r="U120" s="299"/>
    </row>
    <row r="121">
      <c r="A121" t="str">
        <f>IFERROR(__xludf.DUMMYFUNCTION("""COMPUTED_VALUE"""),"Physics")</f>
        <v>Physics</v>
      </c>
      <c r="B121" s="3" t="str">
        <f>IFERROR(__xludf.DUMMYFUNCTION("""COMPUTED_VALUE"""),"5")</f>
        <v>5</v>
      </c>
      <c r="C121" t="str">
        <f>IFERROR(__xludf.DUMMYFUNCTION("""COMPUTED_VALUE"""),"Global")</f>
        <v>Global</v>
      </c>
      <c r="D121" s="3">
        <f>IFERROR(__xludf.DUMMYFUNCTION("""COMPUTED_VALUE"""),7.0)</f>
        <v>7</v>
      </c>
      <c r="E121" s="300">
        <v>0.0</v>
      </c>
      <c r="F121" s="299"/>
      <c r="G121" s="299"/>
      <c r="H121" s="299"/>
      <c r="I121" s="299"/>
      <c r="J121" s="299"/>
      <c r="K121" s="299"/>
      <c r="L121" s="299"/>
      <c r="M121" s="299"/>
      <c r="N121" s="299"/>
      <c r="O121" s="299"/>
      <c r="P121" s="299"/>
      <c r="Q121" s="299"/>
      <c r="R121" s="299"/>
      <c r="S121" s="299"/>
      <c r="T121" s="299"/>
      <c r="U121" s="299"/>
    </row>
    <row r="122">
      <c r="A122" t="str">
        <f>IFERROR(__xludf.DUMMYFUNCTION("""COMPUTED_VALUE"""),"AP Physics 2")</f>
        <v>AP Physics 2</v>
      </c>
      <c r="B122" s="3" t="str">
        <f>IFERROR(__xludf.DUMMYFUNCTION("""COMPUTED_VALUE"""),"5")</f>
        <v>5</v>
      </c>
      <c r="C122" t="str">
        <f>IFERROR(__xludf.DUMMYFUNCTION("""COMPUTED_VALUE"""),"Introduction to Law")</f>
        <v>Introduction to Law</v>
      </c>
      <c r="D122" s="3">
        <f>IFERROR(__xludf.DUMMYFUNCTION("""COMPUTED_VALUE"""),4.0)</f>
        <v>4</v>
      </c>
      <c r="E122" s="300">
        <v>0.0</v>
      </c>
      <c r="F122" s="299"/>
      <c r="G122" s="299"/>
      <c r="H122" s="299"/>
      <c r="I122" s="299"/>
      <c r="J122" s="299"/>
      <c r="K122" s="299"/>
      <c r="L122" s="299"/>
      <c r="M122" s="299"/>
      <c r="N122" s="299"/>
      <c r="O122" s="299"/>
      <c r="P122" s="299"/>
      <c r="Q122" s="299"/>
      <c r="R122" s="299"/>
      <c r="S122" s="299"/>
      <c r="T122" s="299"/>
      <c r="U122" s="299"/>
    </row>
    <row r="123">
      <c r="A123" t="str">
        <f>IFERROR(__xludf.DUMMYFUNCTION("""COMPUTED_VALUE"""),"AP Biology")</f>
        <v>AP Biology</v>
      </c>
      <c r="B123" s="3" t="str">
        <f>IFERROR(__xludf.DUMMYFUNCTION("""COMPUTED_VALUE"""),"5")</f>
        <v>5</v>
      </c>
      <c r="C123" t="str">
        <f>IFERROR(__xludf.DUMMYFUNCTION("""COMPUTED_VALUE"""),"ISC")</f>
        <v>ISC</v>
      </c>
      <c r="D123" s="3">
        <f>IFERROR(__xludf.DUMMYFUNCTION("""COMPUTED_VALUE"""),1.0)</f>
        <v>1</v>
      </c>
      <c r="E123" s="300">
        <v>0.0</v>
      </c>
      <c r="F123" s="299"/>
      <c r="G123" s="299"/>
      <c r="H123" s="299"/>
      <c r="I123" s="299"/>
      <c r="J123" s="299"/>
      <c r="K123" s="299"/>
      <c r="L123" s="299"/>
      <c r="M123" s="299"/>
      <c r="N123" s="299"/>
      <c r="O123" s="299"/>
      <c r="P123" s="299"/>
      <c r="Q123" s="299"/>
      <c r="R123" s="299"/>
      <c r="S123" s="299"/>
      <c r="T123" s="299"/>
      <c r="U123" s="299"/>
    </row>
    <row r="124">
      <c r="A124" t="str">
        <f>IFERROR(__xludf.DUMMYFUNCTION("""COMPUTED_VALUE"""),"Chemistry")</f>
        <v>Chemistry</v>
      </c>
      <c r="B124" s="3" t="str">
        <f>IFERROR(__xludf.DUMMYFUNCTION("""COMPUTED_VALUE"""),"5")</f>
        <v>5</v>
      </c>
      <c r="C124" t="str">
        <f>IFERROR(__xludf.DUMMYFUNCTION("""COMPUTED_VALUE"""),"ISC")</f>
        <v>ISC</v>
      </c>
      <c r="D124" s="3">
        <f>IFERROR(__xludf.DUMMYFUNCTION("""COMPUTED_VALUE"""),3.0)</f>
        <v>3</v>
      </c>
      <c r="E124" s="300">
        <v>0.0</v>
      </c>
      <c r="F124" s="299"/>
      <c r="G124" s="299"/>
      <c r="H124" s="299"/>
      <c r="I124" s="299"/>
      <c r="J124" s="299"/>
      <c r="K124" s="299"/>
      <c r="L124" s="299"/>
      <c r="M124" s="299"/>
      <c r="N124" s="299"/>
      <c r="O124" s="299"/>
      <c r="P124" s="299"/>
      <c r="Q124" s="299"/>
      <c r="R124" s="299"/>
      <c r="S124" s="299"/>
      <c r="T124" s="299"/>
      <c r="U124" s="299"/>
    </row>
    <row r="125">
      <c r="A125" t="str">
        <f>IFERROR(__xludf.DUMMYFUNCTION("""COMPUTED_VALUE"""),"AP World History")</f>
        <v>AP World History</v>
      </c>
      <c r="B125" s="3" t="str">
        <f>IFERROR(__xludf.DUMMYFUNCTION("""COMPUTED_VALUE"""),"5")</f>
        <v>5</v>
      </c>
      <c r="C125" t="str">
        <f>IFERROR(__xludf.DUMMYFUNCTION("""COMPUTED_VALUE"""),"ISC")</f>
        <v>ISC</v>
      </c>
      <c r="D125" s="3">
        <f>IFERROR(__xludf.DUMMYFUNCTION("""COMPUTED_VALUE"""),4.0)</f>
        <v>4</v>
      </c>
      <c r="E125" s="300">
        <v>0.0</v>
      </c>
      <c r="F125" s="299"/>
      <c r="G125" s="299"/>
      <c r="H125" s="299"/>
      <c r="I125" s="299"/>
      <c r="J125" s="299"/>
      <c r="K125" s="299"/>
      <c r="L125" s="299"/>
      <c r="M125" s="299"/>
      <c r="N125" s="299"/>
      <c r="O125" s="299"/>
      <c r="P125" s="299"/>
      <c r="Q125" s="299"/>
      <c r="R125" s="299"/>
      <c r="S125" s="299"/>
      <c r="T125" s="299"/>
      <c r="U125" s="299"/>
    </row>
    <row r="126">
      <c r="A126" t="str">
        <f>IFERROR(__xludf.DUMMYFUNCTION("""COMPUTED_VALUE"""),"Social Studies 9")</f>
        <v>Social Studies 9</v>
      </c>
      <c r="B126" s="3" t="str">
        <f>IFERROR(__xludf.DUMMYFUNCTION("""COMPUTED_VALUE"""),"5")</f>
        <v>5</v>
      </c>
      <c r="C126" t="str">
        <f>IFERROR(__xludf.DUMMYFUNCTION("""COMPUTED_VALUE"""),"ISC")</f>
        <v>ISC</v>
      </c>
      <c r="D126" s="3">
        <f>IFERROR(__xludf.DUMMYFUNCTION("""COMPUTED_VALUE"""),6.0)</f>
        <v>6</v>
      </c>
      <c r="E126" s="300">
        <v>0.0</v>
      </c>
      <c r="F126" s="299"/>
      <c r="G126" s="299"/>
      <c r="H126" s="299"/>
      <c r="I126" s="299"/>
      <c r="J126" s="299"/>
      <c r="K126" s="299"/>
      <c r="L126" s="299"/>
      <c r="M126" s="299"/>
      <c r="N126" s="299"/>
      <c r="O126" s="299"/>
      <c r="P126" s="299"/>
      <c r="Q126" s="299"/>
      <c r="R126" s="299"/>
      <c r="S126" s="299"/>
      <c r="T126" s="299"/>
      <c r="U126" s="299"/>
    </row>
    <row r="127">
      <c r="A127" t="str">
        <f>IFERROR(__xludf.DUMMYFUNCTION("""COMPUTED_VALUE"""),"AP Economics")</f>
        <v>AP Economics</v>
      </c>
      <c r="B127" s="3" t="str">
        <f>IFERROR(__xludf.DUMMYFUNCTION("""COMPUTED_VALUE"""),"5")</f>
        <v>5</v>
      </c>
      <c r="C127" t="str">
        <f>IFERROR(__xludf.DUMMYFUNCTION("""COMPUTED_VALUE"""),"ISC")</f>
        <v>ISC</v>
      </c>
      <c r="D127" s="3">
        <f>IFERROR(__xludf.DUMMYFUNCTION("""COMPUTED_VALUE"""),8.0)</f>
        <v>8</v>
      </c>
      <c r="E127" s="300">
        <v>0.0</v>
      </c>
      <c r="F127" s="299"/>
      <c r="G127" s="299"/>
      <c r="H127" s="299"/>
      <c r="I127" s="299"/>
      <c r="J127" s="299"/>
      <c r="K127" s="299"/>
      <c r="L127" s="299"/>
      <c r="M127" s="299"/>
      <c r="N127" s="299"/>
      <c r="O127" s="299"/>
      <c r="P127" s="299"/>
      <c r="Q127" s="299"/>
      <c r="R127" s="299"/>
      <c r="S127" s="299"/>
      <c r="T127" s="299"/>
      <c r="U127" s="299"/>
    </row>
    <row r="128">
      <c r="A128" t="str">
        <f>IFERROR(__xludf.DUMMYFUNCTION("""COMPUTED_VALUE"""),"AP Psychology")</f>
        <v>AP Psychology</v>
      </c>
      <c r="B128" s="3" t="str">
        <f>IFERROR(__xludf.DUMMYFUNCTION("""COMPUTED_VALUE"""),"5")</f>
        <v>5</v>
      </c>
      <c r="C128" t="str">
        <f>IFERROR(__xludf.DUMMYFUNCTION("""COMPUTED_VALUE"""),"Journalism Higher Level")</f>
        <v>Journalism Higher Level</v>
      </c>
      <c r="D128" s="3">
        <f>IFERROR(__xludf.DUMMYFUNCTION("""COMPUTED_VALUE"""),3.0)</f>
        <v>3</v>
      </c>
      <c r="E128" s="300">
        <v>0.0</v>
      </c>
      <c r="F128" s="299"/>
      <c r="G128" s="299"/>
      <c r="H128" s="299"/>
      <c r="I128" s="299"/>
      <c r="J128" s="299"/>
      <c r="K128" s="299"/>
      <c r="L128" s="299"/>
      <c r="M128" s="299"/>
      <c r="N128" s="299"/>
      <c r="O128" s="299"/>
      <c r="P128" s="299"/>
      <c r="Q128" s="299"/>
      <c r="R128" s="299"/>
      <c r="S128" s="299"/>
      <c r="T128" s="299"/>
      <c r="U128" s="299"/>
    </row>
    <row r="129">
      <c r="A129" t="str">
        <f>IFERROR(__xludf.DUMMYFUNCTION("""COMPUTED_VALUE"""),"Sociales 10")</f>
        <v>Sociales 10</v>
      </c>
      <c r="B129" s="3" t="str">
        <f>IFERROR(__xludf.DUMMYFUNCTION("""COMPUTED_VALUE"""),"5")</f>
        <v>5</v>
      </c>
      <c r="C129" t="str">
        <f>IFERROR(__xludf.DUMMYFUNCTION("""COMPUTED_VALUE"""),"Journalism Higher Level")</f>
        <v>Journalism Higher Level</v>
      </c>
      <c r="D129" s="3">
        <f>IFERROR(__xludf.DUMMYFUNCTION("""COMPUTED_VALUE"""),7.0)</f>
        <v>7</v>
      </c>
      <c r="E129" s="300">
        <v>0.0</v>
      </c>
      <c r="F129" s="299"/>
      <c r="G129" s="299"/>
      <c r="H129" s="299"/>
      <c r="I129" s="299"/>
      <c r="J129" s="299"/>
      <c r="K129" s="299"/>
      <c r="L129" s="299"/>
      <c r="M129" s="299"/>
      <c r="N129" s="299"/>
      <c r="O129" s="299"/>
      <c r="P129" s="299"/>
      <c r="Q129" s="299"/>
      <c r="R129" s="299"/>
      <c r="S129" s="299"/>
      <c r="T129" s="299"/>
      <c r="U129" s="299"/>
    </row>
    <row r="130">
      <c r="A130" t="str">
        <f>IFERROR(__xludf.DUMMYFUNCTION("""COMPUTED_VALUE"""),"Entrepreneurship - Business Tech")</f>
        <v>Entrepreneurship - Business Tech</v>
      </c>
      <c r="B130" s="3" t="str">
        <f>IFERROR(__xludf.DUMMYFUNCTION("""COMPUTED_VALUE"""),"5")</f>
        <v>5</v>
      </c>
      <c r="C130" t="str">
        <f>IFERROR(__xludf.DUMMYFUNCTION("""COMPUTED_VALUE"""),"Journalism Higher Level")</f>
        <v>Journalism Higher Level</v>
      </c>
      <c r="D130" s="3">
        <f>IFERROR(__xludf.DUMMYFUNCTION("""COMPUTED_VALUE"""),8.0)</f>
        <v>8</v>
      </c>
      <c r="E130" s="300">
        <v>0.0</v>
      </c>
      <c r="F130" s="299"/>
      <c r="G130" s="299"/>
      <c r="H130" s="299"/>
      <c r="I130" s="299"/>
      <c r="J130" s="299"/>
      <c r="K130" s="299"/>
      <c r="L130" s="299"/>
      <c r="M130" s="299"/>
      <c r="N130" s="299"/>
      <c r="O130" s="299"/>
      <c r="P130" s="299"/>
      <c r="Q130" s="299"/>
      <c r="R130" s="299"/>
      <c r="S130" s="299"/>
      <c r="T130" s="299"/>
      <c r="U130" s="299"/>
    </row>
    <row r="131">
      <c r="A131" t="str">
        <f>IFERROR(__xludf.DUMMYFUNCTION("""COMPUTED_VALUE"""),"Technology 9")</f>
        <v>Technology 9</v>
      </c>
      <c r="B131" s="3" t="str">
        <f>IFERROR(__xludf.DUMMYFUNCTION("""COMPUTED_VALUE"""),"5")</f>
        <v>5</v>
      </c>
      <c r="C131" t="str">
        <f>IFERROR(__xludf.DUMMYFUNCTION("""COMPUTED_VALUE"""),"Journalism Intermediate Level")</f>
        <v>Journalism Intermediate Level</v>
      </c>
      <c r="D131" s="3">
        <f>IFERROR(__xludf.DUMMYFUNCTION("""COMPUTED_VALUE"""),2.0)</f>
        <v>2</v>
      </c>
      <c r="E131" s="300">
        <v>0.0</v>
      </c>
      <c r="F131" s="299"/>
      <c r="G131" s="299"/>
      <c r="H131" s="299"/>
      <c r="I131" s="299"/>
      <c r="J131" s="299"/>
      <c r="K131" s="299"/>
      <c r="L131" s="299"/>
      <c r="M131" s="299"/>
      <c r="N131" s="299"/>
      <c r="O131" s="299"/>
      <c r="P131" s="299"/>
      <c r="Q131" s="299"/>
      <c r="R131" s="299"/>
      <c r="S131" s="299"/>
      <c r="T131" s="299"/>
      <c r="U131" s="299"/>
    </row>
    <row r="132">
      <c r="A132" t="str">
        <f>IFERROR(__xludf.DUMMYFUNCTION("""COMPUTED_VALUE"""),"FRC 9 Robotics")</f>
        <v>FRC 9 Robotics</v>
      </c>
      <c r="B132" s="3" t="str">
        <f>IFERROR(__xludf.DUMMYFUNCTION("""COMPUTED_VALUE"""),"5")</f>
        <v>5</v>
      </c>
      <c r="C132" t="str">
        <f>IFERROR(__xludf.DUMMYFUNCTION("""COMPUTED_VALUE"""),"Journalism Intermediate Level")</f>
        <v>Journalism Intermediate Level</v>
      </c>
      <c r="D132" s="3">
        <f>IFERROR(__xludf.DUMMYFUNCTION("""COMPUTED_VALUE"""),3.0)</f>
        <v>3</v>
      </c>
      <c r="E132" s="300">
        <v>0.0</v>
      </c>
      <c r="F132" s="299"/>
      <c r="G132" s="299"/>
      <c r="H132" s="299"/>
      <c r="I132" s="299"/>
      <c r="J132" s="299"/>
      <c r="K132" s="299"/>
      <c r="L132" s="299"/>
      <c r="M132" s="299"/>
      <c r="N132" s="299"/>
      <c r="O132" s="299"/>
      <c r="P132" s="299"/>
      <c r="Q132" s="299"/>
      <c r="R132" s="299"/>
      <c r="S132" s="299"/>
      <c r="T132" s="299"/>
      <c r="U132" s="299"/>
    </row>
    <row r="133">
      <c r="A133" t="str">
        <f>IFERROR(__xludf.DUMMYFUNCTION("""COMPUTED_VALUE"""),"PE 9")</f>
        <v>PE 9</v>
      </c>
      <c r="B133" s="3" t="str">
        <f>IFERROR(__xludf.DUMMYFUNCTION("""COMPUTED_VALUE"""),"5")</f>
        <v>5</v>
      </c>
      <c r="C133" t="str">
        <f>IFERROR(__xludf.DUMMYFUNCTION("""COMPUTED_VALUE"""),"Life Purpose")</f>
        <v>Life Purpose</v>
      </c>
      <c r="D133" s="3">
        <f>IFERROR(__xludf.DUMMYFUNCTION("""COMPUTED_VALUE"""),1.0)</f>
        <v>1</v>
      </c>
      <c r="E133" s="300">
        <v>0.0</v>
      </c>
      <c r="F133" s="299"/>
      <c r="G133" s="299"/>
      <c r="H133" s="299"/>
      <c r="I133" s="299"/>
      <c r="J133" s="299"/>
      <c r="K133" s="299"/>
      <c r="L133" s="299"/>
      <c r="M133" s="299"/>
      <c r="N133" s="299"/>
      <c r="O133" s="299"/>
      <c r="P133" s="299"/>
      <c r="Q133" s="299"/>
      <c r="R133" s="299"/>
      <c r="S133" s="299"/>
      <c r="T133" s="299"/>
      <c r="U133" s="299"/>
    </row>
    <row r="134">
      <c r="A134" t="str">
        <f>IFERROR(__xludf.DUMMYFUNCTION("""COMPUTED_VALUE"""),"PE 10")</f>
        <v>PE 10</v>
      </c>
      <c r="B134" s="3" t="str">
        <f>IFERROR(__xludf.DUMMYFUNCTION("""COMPUTED_VALUE"""),"5")</f>
        <v>5</v>
      </c>
      <c r="C134" t="str">
        <f>IFERROR(__xludf.DUMMYFUNCTION("""COMPUTED_VALUE"""),"Life Purpose")</f>
        <v>Life Purpose</v>
      </c>
      <c r="D134" s="3">
        <f>IFERROR(__xludf.DUMMYFUNCTION("""COMPUTED_VALUE"""),2.0)</f>
        <v>2</v>
      </c>
      <c r="E134" s="300">
        <v>0.0</v>
      </c>
      <c r="F134" s="299"/>
      <c r="G134" s="299"/>
      <c r="H134" s="299"/>
      <c r="I134" s="299"/>
      <c r="J134" s="299"/>
      <c r="K134" s="299"/>
      <c r="L134" s="299"/>
      <c r="M134" s="299"/>
      <c r="N134" s="299"/>
      <c r="O134" s="299"/>
      <c r="P134" s="299"/>
      <c r="Q134" s="299"/>
      <c r="R134" s="299"/>
      <c r="S134" s="299"/>
      <c r="T134" s="299"/>
      <c r="U134" s="299"/>
    </row>
    <row r="135">
      <c r="A135" t="str">
        <f>IFERROR(__xludf.DUMMYFUNCTION("""COMPUTED_VALUE"""),"PE 12")</f>
        <v>PE 12</v>
      </c>
      <c r="B135" s="3" t="str">
        <f>IFERROR(__xludf.DUMMYFUNCTION("""COMPUTED_VALUE"""),"5")</f>
        <v>5</v>
      </c>
      <c r="C135" t="str">
        <f>IFERROR(__xludf.DUMMYFUNCTION("""COMPUTED_VALUE"""),"Life Purpose")</f>
        <v>Life Purpose</v>
      </c>
      <c r="D135" s="3">
        <f>IFERROR(__xludf.DUMMYFUNCTION("""COMPUTED_VALUE"""),3.0)</f>
        <v>3</v>
      </c>
      <c r="E135" s="300">
        <v>0.0</v>
      </c>
      <c r="F135" s="299"/>
      <c r="G135" s="299"/>
      <c r="H135" s="299"/>
      <c r="I135" s="299"/>
      <c r="J135" s="299"/>
      <c r="K135" s="299"/>
      <c r="L135" s="299"/>
      <c r="M135" s="299"/>
      <c r="N135" s="299"/>
      <c r="O135" s="299"/>
      <c r="P135" s="299"/>
      <c r="Q135" s="299"/>
      <c r="R135" s="299"/>
      <c r="S135" s="299"/>
      <c r="T135" s="299"/>
      <c r="U135" s="299"/>
    </row>
    <row r="136">
      <c r="A136" t="str">
        <f>IFERROR(__xludf.DUMMYFUNCTION("""COMPUTED_VALUE"""),"Band Level II")</f>
        <v>Band Level II</v>
      </c>
      <c r="B136" s="3" t="str">
        <f>IFERROR(__xludf.DUMMYFUNCTION("""COMPUTED_VALUE"""),"6")</f>
        <v>6</v>
      </c>
      <c r="C136" t="str">
        <f>IFERROR(__xludf.DUMMYFUNCTION("""COMPUTED_VALUE"""),"Life Purpose")</f>
        <v>Life Purpose</v>
      </c>
      <c r="D136" s="3">
        <f>IFERROR(__xludf.DUMMYFUNCTION("""COMPUTED_VALUE"""),6.0)</f>
        <v>6</v>
      </c>
      <c r="E136" s="300">
        <v>0.0</v>
      </c>
      <c r="F136" s="299"/>
      <c r="G136" s="299"/>
      <c r="H136" s="299"/>
      <c r="I136" s="299"/>
      <c r="J136" s="299"/>
      <c r="K136" s="299"/>
      <c r="L136" s="299"/>
      <c r="M136" s="299"/>
      <c r="N136" s="299"/>
      <c r="O136" s="299"/>
      <c r="P136" s="299"/>
      <c r="Q136" s="299"/>
      <c r="R136" s="299"/>
      <c r="S136" s="299"/>
      <c r="T136" s="299"/>
      <c r="U136" s="299"/>
    </row>
    <row r="137">
      <c r="A137" t="str">
        <f>IFERROR(__xludf.DUMMYFUNCTION("""COMPUTED_VALUE"""),"Mixed Media Art")</f>
        <v>Mixed Media Art</v>
      </c>
      <c r="B137" s="3" t="str">
        <f>IFERROR(__xludf.DUMMYFUNCTION("""COMPUTED_VALUE"""),"6")</f>
        <v>6</v>
      </c>
      <c r="C137" t="str">
        <f>IFERROR(__xludf.DUMMYFUNCTION("""COMPUTED_VALUE"""),"Life Purpose")</f>
        <v>Life Purpose</v>
      </c>
      <c r="D137" s="3">
        <f>IFERROR(__xludf.DUMMYFUNCTION("""COMPUTED_VALUE"""),7.0)</f>
        <v>7</v>
      </c>
      <c r="E137" s="300">
        <v>0.0</v>
      </c>
      <c r="F137" s="299"/>
      <c r="G137" s="299"/>
      <c r="H137" s="299"/>
      <c r="I137" s="299"/>
      <c r="J137" s="299"/>
      <c r="K137" s="299"/>
      <c r="L137" s="299"/>
      <c r="M137" s="299"/>
      <c r="N137" s="299"/>
      <c r="O137" s="299"/>
      <c r="P137" s="299"/>
      <c r="Q137" s="299"/>
      <c r="R137" s="299"/>
      <c r="S137" s="299"/>
      <c r="T137" s="299"/>
      <c r="U137" s="299"/>
    </row>
    <row r="138">
      <c r="A138" t="str">
        <f>IFERROR(__xludf.DUMMYFUNCTION("""COMPUTED_VALUE"""),"AP 3-D Art and Design")</f>
        <v>AP 3-D Art and Design</v>
      </c>
      <c r="B138" s="3" t="str">
        <f>IFERROR(__xludf.DUMMYFUNCTION("""COMPUTED_VALUE"""),"6")</f>
        <v>6</v>
      </c>
      <c r="C138" t="str">
        <f>IFERROR(__xludf.DUMMYFUNCTION("""COMPUTED_VALUE"""),"Life Purpose")</f>
        <v>Life Purpose</v>
      </c>
      <c r="D138" s="3">
        <f>IFERROR(__xludf.DUMMYFUNCTION("""COMPUTED_VALUE"""),8.0)</f>
        <v>8</v>
      </c>
      <c r="E138" s="300">
        <v>0.0</v>
      </c>
      <c r="F138" s="299"/>
      <c r="G138" s="299"/>
      <c r="H138" s="299"/>
      <c r="I138" s="299"/>
      <c r="J138" s="299"/>
      <c r="K138" s="299"/>
      <c r="L138" s="299"/>
      <c r="M138" s="299"/>
      <c r="N138" s="299"/>
      <c r="O138" s="299"/>
      <c r="P138" s="299"/>
      <c r="Q138" s="299"/>
      <c r="R138" s="299"/>
      <c r="S138" s="299"/>
      <c r="T138" s="299"/>
      <c r="U138" s="299"/>
    </row>
    <row r="139">
      <c r="A139" t="str">
        <f>IFERROR(__xludf.DUMMYFUNCTION("""COMPUTED_VALUE"""),"English 9")</f>
        <v>English 9</v>
      </c>
      <c r="B139" s="3" t="str">
        <f>IFERROR(__xludf.DUMMYFUNCTION("""COMPUTED_VALUE"""),"6")</f>
        <v>6</v>
      </c>
      <c r="C139" t="str">
        <f>IFERROR(__xludf.DUMMYFUNCTION("""COMPUTED_VALUE"""),"Mixed Media Art")</f>
        <v>Mixed Media Art</v>
      </c>
      <c r="D139" s="3">
        <f>IFERROR(__xludf.DUMMYFUNCTION("""COMPUTED_VALUE"""),6.0)</f>
        <v>6</v>
      </c>
      <c r="E139" s="300">
        <v>0.0</v>
      </c>
      <c r="F139" s="299"/>
      <c r="G139" s="299"/>
      <c r="H139" s="299"/>
      <c r="I139" s="299"/>
      <c r="J139" s="299"/>
      <c r="K139" s="299"/>
      <c r="L139" s="299"/>
      <c r="M139" s="299"/>
      <c r="N139" s="299"/>
      <c r="O139" s="299"/>
      <c r="P139" s="299"/>
      <c r="Q139" s="299"/>
      <c r="R139" s="299"/>
      <c r="S139" s="299"/>
      <c r="T139" s="299"/>
      <c r="U139" s="299"/>
    </row>
    <row r="140">
      <c r="A140" t="str">
        <f>IFERROR(__xludf.DUMMYFUNCTION("""COMPUTED_VALUE"""),"Art of Fiction Intermediate Level")</f>
        <v>Art of Fiction Intermediate Level</v>
      </c>
      <c r="B140" s="3" t="str">
        <f>IFERROR(__xludf.DUMMYFUNCTION("""COMPUTED_VALUE"""),"6")</f>
        <v>6</v>
      </c>
      <c r="C140" t="str">
        <f>IFERROR(__xludf.DUMMYFUNCTION("""COMPUTED_VALUE"""),"Painting I")</f>
        <v>Painting I</v>
      </c>
      <c r="D140" s="3">
        <f>IFERROR(__xludf.DUMMYFUNCTION("""COMPUTED_VALUE"""),4.0)</f>
        <v>4</v>
      </c>
      <c r="E140" s="300">
        <v>0.0</v>
      </c>
      <c r="F140" s="299"/>
      <c r="G140" s="299"/>
      <c r="H140" s="299"/>
      <c r="I140" s="299"/>
      <c r="J140" s="299"/>
      <c r="K140" s="299"/>
      <c r="L140" s="299"/>
      <c r="M140" s="299"/>
      <c r="N140" s="299"/>
      <c r="O140" s="299"/>
      <c r="P140" s="299"/>
      <c r="Q140" s="299"/>
      <c r="R140" s="299"/>
      <c r="S140" s="299"/>
      <c r="T140" s="299"/>
      <c r="U140" s="299"/>
    </row>
    <row r="141">
      <c r="A141" t="str">
        <f>IFERROR(__xludf.DUMMYFUNCTION("""COMPUTED_VALUE"""),"AP Seminar")</f>
        <v>AP Seminar</v>
      </c>
      <c r="B141" s="3" t="str">
        <f>IFERROR(__xludf.DUMMYFUNCTION("""COMPUTED_VALUE"""),"6")</f>
        <v>6</v>
      </c>
      <c r="C141" t="str">
        <f>IFERROR(__xludf.DUMMYFUNCTION("""COMPUTED_VALUE"""),"Painting I")</f>
        <v>Painting I</v>
      </c>
      <c r="D141" s="3">
        <f>IFERROR(__xludf.DUMMYFUNCTION("""COMPUTED_VALUE"""),5.0)</f>
        <v>5</v>
      </c>
      <c r="E141" s="300">
        <v>0.0</v>
      </c>
      <c r="F141" s="299"/>
      <c r="G141" s="299"/>
      <c r="H141" s="299"/>
      <c r="I141" s="299"/>
      <c r="J141" s="299"/>
      <c r="K141" s="299"/>
      <c r="L141" s="299"/>
      <c r="M141" s="299"/>
      <c r="N141" s="299"/>
      <c r="O141" s="299"/>
      <c r="P141" s="299"/>
      <c r="Q141" s="299"/>
      <c r="R141" s="299"/>
      <c r="S141" s="299"/>
      <c r="T141" s="299"/>
      <c r="U141" s="299"/>
    </row>
    <row r="142">
      <c r="A142" t="str">
        <f>IFERROR(__xludf.DUMMYFUNCTION("""COMPUTED_VALUE"""),"Spanish and Literature 9")</f>
        <v>Spanish and Literature 9</v>
      </c>
      <c r="B142" s="3" t="str">
        <f>IFERROR(__xludf.DUMMYFUNCTION("""COMPUTED_VALUE"""),"6")</f>
        <v>6</v>
      </c>
      <c r="C142" t="str">
        <f>IFERROR(__xludf.DUMMYFUNCTION("""COMPUTED_VALUE"""),"Painting I")</f>
        <v>Painting I</v>
      </c>
      <c r="D142" s="3">
        <f>IFERROR(__xludf.DUMMYFUNCTION("""COMPUTED_VALUE"""),7.0)</f>
        <v>7</v>
      </c>
      <c r="E142" s="300">
        <v>0.0</v>
      </c>
      <c r="F142" s="299"/>
      <c r="G142" s="299"/>
      <c r="H142" s="299"/>
      <c r="I142" s="299"/>
      <c r="J142" s="299"/>
      <c r="K142" s="299"/>
      <c r="L142" s="299"/>
      <c r="M142" s="299"/>
      <c r="N142" s="299"/>
      <c r="O142" s="299"/>
      <c r="P142" s="299"/>
      <c r="Q142" s="299"/>
      <c r="R142" s="299"/>
      <c r="S142" s="299"/>
      <c r="T142" s="299"/>
      <c r="U142" s="299"/>
    </row>
    <row r="143">
      <c r="A143" t="str">
        <f>IFERROR(__xludf.DUMMYFUNCTION("""COMPUTED_VALUE"""),"AP Spanish Language and Culture")</f>
        <v>AP Spanish Language and Culture</v>
      </c>
      <c r="B143" s="3" t="str">
        <f>IFERROR(__xludf.DUMMYFUNCTION("""COMPUTED_VALUE"""),"6")</f>
        <v>6</v>
      </c>
      <c r="C143" t="str">
        <f>IFERROR(__xludf.DUMMYFUNCTION("""COMPUTED_VALUE"""),"Painting I")</f>
        <v>Painting I</v>
      </c>
      <c r="D143" s="3">
        <f>IFERROR(__xludf.DUMMYFUNCTION("""COMPUTED_VALUE"""),8.0)</f>
        <v>8</v>
      </c>
      <c r="E143" s="300">
        <v>0.0</v>
      </c>
      <c r="F143" s="299"/>
      <c r="G143" s="299"/>
      <c r="H143" s="299"/>
      <c r="I143" s="299"/>
      <c r="J143" s="299"/>
      <c r="K143" s="299"/>
      <c r="L143" s="299"/>
      <c r="M143" s="299"/>
      <c r="N143" s="299"/>
      <c r="O143" s="299"/>
      <c r="P143" s="299"/>
      <c r="Q143" s="299"/>
      <c r="R143" s="299"/>
      <c r="S143" s="299"/>
      <c r="T143" s="299"/>
      <c r="U143" s="299"/>
    </row>
    <row r="144">
      <c r="A144" t="str">
        <f>IFERROR(__xludf.DUMMYFUNCTION("""COMPUTED_VALUE"""),"Spanish and Literature 11")</f>
        <v>Spanish and Literature 11</v>
      </c>
      <c r="B144" s="3" t="str">
        <f>IFERROR(__xludf.DUMMYFUNCTION("""COMPUTED_VALUE"""),"6")</f>
        <v>6</v>
      </c>
      <c r="C144" t="str">
        <f>IFERROR(__xludf.DUMMYFUNCTION("""COMPUTED_VALUE"""),"Painting II")</f>
        <v>Painting II</v>
      </c>
      <c r="D144" s="3">
        <f>IFERROR(__xludf.DUMMYFUNCTION("""COMPUTED_VALUE"""),1.0)</f>
        <v>1</v>
      </c>
      <c r="E144" s="300">
        <v>0.0</v>
      </c>
      <c r="F144" s="299"/>
      <c r="G144" s="299"/>
      <c r="H144" s="299"/>
      <c r="I144" s="299"/>
      <c r="J144" s="299"/>
      <c r="K144" s="299"/>
      <c r="L144" s="299"/>
      <c r="M144" s="299"/>
      <c r="N144" s="299"/>
      <c r="O144" s="299"/>
      <c r="P144" s="299"/>
      <c r="Q144" s="299"/>
      <c r="R144" s="299"/>
      <c r="S144" s="299"/>
      <c r="T144" s="299"/>
      <c r="U144" s="299"/>
    </row>
    <row r="145">
      <c r="A145" t="str">
        <f>IFERROR(__xludf.DUMMYFUNCTION("""COMPUTED_VALUE"""),"Calculus")</f>
        <v>Calculus</v>
      </c>
      <c r="B145" s="3" t="str">
        <f>IFERROR(__xludf.DUMMYFUNCTION("""COMPUTED_VALUE"""),"6")</f>
        <v>6</v>
      </c>
      <c r="C145" t="str">
        <f>IFERROR(__xludf.DUMMYFUNCTION("""COMPUTED_VALUE"""),"Painting II")</f>
        <v>Painting II</v>
      </c>
      <c r="D145" s="3">
        <f>IFERROR(__xludf.DUMMYFUNCTION("""COMPUTED_VALUE"""),7.0)</f>
        <v>7</v>
      </c>
      <c r="E145" s="300">
        <v>0.0</v>
      </c>
      <c r="F145" s="299"/>
      <c r="G145" s="299"/>
      <c r="H145" s="299"/>
      <c r="I145" s="299"/>
      <c r="J145" s="299"/>
      <c r="K145" s="299"/>
      <c r="L145" s="299"/>
      <c r="M145" s="299"/>
      <c r="N145" s="299"/>
      <c r="O145" s="299"/>
      <c r="P145" s="299"/>
      <c r="Q145" s="299"/>
      <c r="R145" s="299"/>
      <c r="S145" s="299"/>
      <c r="T145" s="299"/>
      <c r="U145" s="299"/>
    </row>
    <row r="146">
      <c r="A146" t="str">
        <f>IFERROR(__xludf.DUMMYFUNCTION("""COMPUTED_VALUE"""),"Algebra I")</f>
        <v>Algebra I</v>
      </c>
      <c r="B146" s="3" t="str">
        <f>IFERROR(__xludf.DUMMYFUNCTION("""COMPUTED_VALUE"""),"6")</f>
        <v>6</v>
      </c>
      <c r="C146" t="str">
        <f>IFERROR(__xludf.DUMMYFUNCTION("""COMPUTED_VALUE"""),"PE 10")</f>
        <v>PE 10</v>
      </c>
      <c r="D146" s="3">
        <f>IFERROR(__xludf.DUMMYFUNCTION("""COMPUTED_VALUE"""),1.0)</f>
        <v>1</v>
      </c>
      <c r="E146" s="300">
        <v>0.0</v>
      </c>
      <c r="F146" s="299"/>
      <c r="G146" s="299"/>
      <c r="H146" s="299"/>
      <c r="I146" s="299"/>
      <c r="J146" s="299"/>
      <c r="K146" s="299"/>
      <c r="L146" s="299"/>
      <c r="M146" s="299"/>
      <c r="N146" s="299"/>
      <c r="O146" s="299"/>
      <c r="P146" s="299"/>
      <c r="Q146" s="299"/>
      <c r="R146" s="299"/>
      <c r="S146" s="299"/>
      <c r="T146" s="299"/>
      <c r="U146" s="299"/>
    </row>
    <row r="147">
      <c r="A147" t="str">
        <f>IFERROR(__xludf.DUMMYFUNCTION("""COMPUTED_VALUE"""),"Geometry")</f>
        <v>Geometry</v>
      </c>
      <c r="B147" s="3" t="str">
        <f>IFERROR(__xludf.DUMMYFUNCTION("""COMPUTED_VALUE"""),"6")</f>
        <v>6</v>
      </c>
      <c r="C147" t="str">
        <f>IFERROR(__xludf.DUMMYFUNCTION("""COMPUTED_VALUE"""),"PE 10")</f>
        <v>PE 10</v>
      </c>
      <c r="D147" s="3">
        <f>IFERROR(__xludf.DUMMYFUNCTION("""COMPUTED_VALUE"""),2.0)</f>
        <v>2</v>
      </c>
      <c r="E147" s="300">
        <v>0.0</v>
      </c>
      <c r="F147" s="299"/>
      <c r="G147" s="299"/>
      <c r="H147" s="299"/>
      <c r="I147" s="299"/>
      <c r="J147" s="299"/>
      <c r="K147" s="299"/>
      <c r="L147" s="299"/>
      <c r="M147" s="299"/>
      <c r="N147" s="299"/>
      <c r="O147" s="299"/>
      <c r="P147" s="299"/>
      <c r="Q147" s="299"/>
      <c r="R147" s="299"/>
      <c r="S147" s="299"/>
      <c r="T147" s="299"/>
      <c r="U147" s="299"/>
    </row>
    <row r="148">
      <c r="A148" t="str">
        <f>IFERROR(__xludf.DUMMYFUNCTION("""COMPUTED_VALUE"""),"Algebra II")</f>
        <v>Algebra II</v>
      </c>
      <c r="B148" s="3" t="str">
        <f>IFERROR(__xludf.DUMMYFUNCTION("""COMPUTED_VALUE"""),"6")</f>
        <v>6</v>
      </c>
      <c r="C148" t="str">
        <f>IFERROR(__xludf.DUMMYFUNCTION("""COMPUTED_VALUE"""),"PE 10")</f>
        <v>PE 10</v>
      </c>
      <c r="D148" s="3">
        <f>IFERROR(__xludf.DUMMYFUNCTION("""COMPUTED_VALUE"""),4.0)</f>
        <v>4</v>
      </c>
      <c r="E148" s="300">
        <v>0.0</v>
      </c>
      <c r="F148" s="299"/>
      <c r="G148" s="299"/>
      <c r="H148" s="299"/>
      <c r="I148" s="299"/>
      <c r="J148" s="299"/>
      <c r="K148" s="299"/>
      <c r="L148" s="299"/>
      <c r="M148" s="299"/>
      <c r="N148" s="299"/>
      <c r="O148" s="299"/>
      <c r="P148" s="299"/>
      <c r="Q148" s="299"/>
      <c r="R148" s="299"/>
      <c r="S148" s="299"/>
      <c r="T148" s="299"/>
      <c r="U148" s="299"/>
    </row>
    <row r="149">
      <c r="A149" t="str">
        <f>IFERROR(__xludf.DUMMYFUNCTION("""COMPUTED_VALUE"""),"Environmental Science")</f>
        <v>Environmental Science</v>
      </c>
      <c r="B149" s="3" t="str">
        <f>IFERROR(__xludf.DUMMYFUNCTION("""COMPUTED_VALUE"""),"6")</f>
        <v>6</v>
      </c>
      <c r="C149" t="str">
        <f>IFERROR(__xludf.DUMMYFUNCTION("""COMPUTED_VALUE"""),"PE 10")</f>
        <v>PE 10</v>
      </c>
      <c r="D149" s="3">
        <f>IFERROR(__xludf.DUMMYFUNCTION("""COMPUTED_VALUE"""),5.0)</f>
        <v>5</v>
      </c>
      <c r="E149" s="300">
        <v>0.0</v>
      </c>
      <c r="F149" s="299"/>
      <c r="G149" s="299"/>
      <c r="H149" s="299"/>
      <c r="I149" s="299"/>
      <c r="J149" s="299"/>
      <c r="K149" s="299"/>
      <c r="L149" s="299"/>
      <c r="M149" s="299"/>
      <c r="N149" s="299"/>
      <c r="O149" s="299"/>
      <c r="P149" s="299"/>
      <c r="Q149" s="299"/>
      <c r="R149" s="299"/>
      <c r="S149" s="299"/>
      <c r="T149" s="299"/>
      <c r="U149" s="299"/>
    </row>
    <row r="150">
      <c r="A150" t="str">
        <f>IFERROR(__xludf.DUMMYFUNCTION("""COMPUTED_VALUE"""),"Biology 9")</f>
        <v>Biology 9</v>
      </c>
      <c r="B150" s="3" t="str">
        <f>IFERROR(__xludf.DUMMYFUNCTION("""COMPUTED_VALUE"""),"6")</f>
        <v>6</v>
      </c>
      <c r="C150" t="str">
        <f>IFERROR(__xludf.DUMMYFUNCTION("""COMPUTED_VALUE"""),"PE 10")</f>
        <v>PE 10</v>
      </c>
      <c r="D150" s="3">
        <f>IFERROR(__xludf.DUMMYFUNCTION("""COMPUTED_VALUE"""),6.0)</f>
        <v>6</v>
      </c>
      <c r="E150" s="300">
        <v>0.0</v>
      </c>
      <c r="F150" s="299"/>
      <c r="G150" s="299"/>
      <c r="H150" s="299"/>
      <c r="I150" s="299"/>
      <c r="J150" s="299"/>
      <c r="K150" s="299"/>
      <c r="L150" s="299"/>
      <c r="M150" s="299"/>
      <c r="N150" s="299"/>
      <c r="O150" s="299"/>
      <c r="P150" s="299"/>
      <c r="Q150" s="299"/>
      <c r="R150" s="299"/>
      <c r="S150" s="299"/>
      <c r="T150" s="299"/>
      <c r="U150" s="299"/>
    </row>
    <row r="151">
      <c r="A151" t="str">
        <f>IFERROR(__xludf.DUMMYFUNCTION("""COMPUTED_VALUE"""),"Chemistry")</f>
        <v>Chemistry</v>
      </c>
      <c r="B151" s="3" t="str">
        <f>IFERROR(__xludf.DUMMYFUNCTION("""COMPUTED_VALUE"""),"6")</f>
        <v>6</v>
      </c>
      <c r="C151" t="str">
        <f>IFERROR(__xludf.DUMMYFUNCTION("""COMPUTED_VALUE"""),"PE 10")</f>
        <v>PE 10</v>
      </c>
      <c r="D151" s="3">
        <f>IFERROR(__xludf.DUMMYFUNCTION("""COMPUTED_VALUE"""),7.0)</f>
        <v>7</v>
      </c>
      <c r="E151" s="300">
        <v>0.0</v>
      </c>
      <c r="F151" s="299"/>
      <c r="G151" s="299"/>
      <c r="H151" s="299"/>
      <c r="I151" s="299"/>
      <c r="J151" s="299"/>
      <c r="K151" s="299"/>
      <c r="L151" s="299"/>
      <c r="M151" s="299"/>
      <c r="N151" s="299"/>
      <c r="O151" s="299"/>
      <c r="P151" s="299"/>
      <c r="Q151" s="299"/>
      <c r="R151" s="299"/>
      <c r="S151" s="299"/>
      <c r="T151" s="299"/>
      <c r="U151" s="299"/>
    </row>
    <row r="152">
      <c r="A152" t="str">
        <f>IFERROR(__xludf.DUMMYFUNCTION("""COMPUTED_VALUE"""),"AP World History")</f>
        <v>AP World History</v>
      </c>
      <c r="B152" s="3" t="str">
        <f>IFERROR(__xludf.DUMMYFUNCTION("""COMPUTED_VALUE"""),"6")</f>
        <v>6</v>
      </c>
      <c r="C152" t="str">
        <f>IFERROR(__xludf.DUMMYFUNCTION("""COMPUTED_VALUE"""),"PE 11")</f>
        <v>PE 11</v>
      </c>
      <c r="D152" s="3">
        <f>IFERROR(__xludf.DUMMYFUNCTION("""COMPUTED_VALUE"""),1.0)</f>
        <v>1</v>
      </c>
      <c r="E152" s="300">
        <v>0.0</v>
      </c>
      <c r="F152" s="299"/>
      <c r="G152" s="299"/>
      <c r="H152" s="299"/>
      <c r="I152" s="299"/>
      <c r="J152" s="299"/>
      <c r="K152" s="299"/>
      <c r="L152" s="299"/>
      <c r="M152" s="299"/>
      <c r="N152" s="299"/>
      <c r="O152" s="299"/>
      <c r="P152" s="299"/>
      <c r="Q152" s="299"/>
      <c r="R152" s="299"/>
      <c r="S152" s="299"/>
      <c r="T152" s="299"/>
      <c r="U152" s="299"/>
    </row>
    <row r="153">
      <c r="A153" t="str">
        <f>IFERROR(__xludf.DUMMYFUNCTION("""COMPUTED_VALUE"""),"AP Human Geography")</f>
        <v>AP Human Geography</v>
      </c>
      <c r="B153" s="3" t="str">
        <f>IFERROR(__xludf.DUMMYFUNCTION("""COMPUTED_VALUE"""),"6")</f>
        <v>6</v>
      </c>
      <c r="C153" t="str">
        <f>IFERROR(__xludf.DUMMYFUNCTION("""COMPUTED_VALUE"""),"PE 11")</f>
        <v>PE 11</v>
      </c>
      <c r="D153" s="3">
        <f>IFERROR(__xludf.DUMMYFUNCTION("""COMPUTED_VALUE"""),2.0)</f>
        <v>2</v>
      </c>
      <c r="E153" s="300">
        <v>0.0</v>
      </c>
      <c r="F153" s="299"/>
      <c r="G153" s="299"/>
      <c r="H153" s="299"/>
      <c r="I153" s="299"/>
      <c r="J153" s="299"/>
      <c r="K153" s="299"/>
      <c r="L153" s="299"/>
      <c r="M153" s="299"/>
      <c r="N153" s="299"/>
      <c r="O153" s="299"/>
      <c r="P153" s="299"/>
      <c r="Q153" s="299"/>
      <c r="R153" s="299"/>
      <c r="S153" s="299"/>
      <c r="T153" s="299"/>
      <c r="U153" s="299"/>
    </row>
    <row r="154">
      <c r="A154" t="str">
        <f>IFERROR(__xludf.DUMMYFUNCTION("""COMPUTED_VALUE"""),"Life Purpose")</f>
        <v>Life Purpose</v>
      </c>
      <c r="B154" s="3" t="str">
        <f>IFERROR(__xludf.DUMMYFUNCTION("""COMPUTED_VALUE"""),"6")</f>
        <v>6</v>
      </c>
      <c r="C154" t="str">
        <f>IFERROR(__xludf.DUMMYFUNCTION("""COMPUTED_VALUE"""),"PE 11")</f>
        <v>PE 11</v>
      </c>
      <c r="D154" s="3">
        <f>IFERROR(__xludf.DUMMYFUNCTION("""COMPUTED_VALUE"""),3.0)</f>
        <v>3</v>
      </c>
      <c r="E154" s="300">
        <v>0.0</v>
      </c>
      <c r="F154" s="299"/>
      <c r="G154" s="299"/>
      <c r="H154" s="299"/>
      <c r="I154" s="299"/>
      <c r="J154" s="299"/>
      <c r="K154" s="299"/>
      <c r="L154" s="299"/>
      <c r="M154" s="299"/>
      <c r="N154" s="299"/>
      <c r="O154" s="299"/>
      <c r="P154" s="299"/>
      <c r="Q154" s="299"/>
      <c r="R154" s="299"/>
      <c r="S154" s="299"/>
      <c r="T154" s="299"/>
      <c r="U154" s="299"/>
    </row>
    <row r="155">
      <c r="A155" t="str">
        <f>IFERROR(__xludf.DUMMYFUNCTION("""COMPUTED_VALUE"""),"ISC")</f>
        <v>ISC</v>
      </c>
      <c r="B155" s="3" t="str">
        <f>IFERROR(__xludf.DUMMYFUNCTION("""COMPUTED_VALUE"""),"6")</f>
        <v>6</v>
      </c>
      <c r="C155" t="str">
        <f>IFERROR(__xludf.DUMMYFUNCTION("""COMPUTED_VALUE"""),"PE 11")</f>
        <v>PE 11</v>
      </c>
      <c r="D155" s="3">
        <f>IFERROR(__xludf.DUMMYFUNCTION("""COMPUTED_VALUE"""),4.0)</f>
        <v>4</v>
      </c>
      <c r="E155" s="300">
        <v>0.0</v>
      </c>
      <c r="F155" s="299"/>
      <c r="G155" s="299"/>
      <c r="H155" s="299"/>
      <c r="I155" s="299"/>
      <c r="J155" s="299"/>
      <c r="K155" s="299"/>
      <c r="L155" s="299"/>
      <c r="M155" s="299"/>
      <c r="N155" s="299"/>
      <c r="O155" s="299"/>
      <c r="P155" s="299"/>
      <c r="Q155" s="299"/>
      <c r="R155" s="299"/>
      <c r="S155" s="299"/>
      <c r="T155" s="299"/>
      <c r="U155" s="299"/>
    </row>
    <row r="156">
      <c r="A156" t="str">
        <f>IFERROR(__xludf.DUMMYFUNCTION("""COMPUTED_VALUE"""),"FRC 9")</f>
        <v>FRC 9</v>
      </c>
      <c r="B156" s="3" t="str">
        <f>IFERROR(__xludf.DUMMYFUNCTION("""COMPUTED_VALUE"""),"6")</f>
        <v>6</v>
      </c>
      <c r="C156" t="str">
        <f>IFERROR(__xludf.DUMMYFUNCTION("""COMPUTED_VALUE"""),"PE 11")</f>
        <v>PE 11</v>
      </c>
      <c r="D156" s="3">
        <f>IFERROR(__xludf.DUMMYFUNCTION("""COMPUTED_VALUE"""),6.0)</f>
        <v>6</v>
      </c>
      <c r="E156" s="300">
        <v>0.0</v>
      </c>
      <c r="F156" s="299"/>
      <c r="G156" s="299"/>
      <c r="H156" s="299"/>
      <c r="I156" s="299"/>
      <c r="J156" s="299"/>
      <c r="K156" s="299"/>
      <c r="L156" s="299"/>
      <c r="M156" s="299"/>
      <c r="N156" s="299"/>
      <c r="O156" s="299"/>
      <c r="P156" s="299"/>
      <c r="Q156" s="299"/>
      <c r="R156" s="299"/>
      <c r="S156" s="299"/>
      <c r="T156" s="299"/>
      <c r="U156" s="299"/>
    </row>
    <row r="157">
      <c r="A157" t="str">
        <f>IFERROR(__xludf.DUMMYFUNCTION("""COMPUTED_VALUE"""),"FRC 9 Robotics")</f>
        <v>FRC 9 Robotics</v>
      </c>
      <c r="B157" s="3" t="str">
        <f>IFERROR(__xludf.DUMMYFUNCTION("""COMPUTED_VALUE"""),"6")</f>
        <v>6</v>
      </c>
      <c r="C157" t="str">
        <f>IFERROR(__xludf.DUMMYFUNCTION("""COMPUTED_VALUE"""),"PE 11")</f>
        <v>PE 11</v>
      </c>
      <c r="D157" s="3">
        <f>IFERROR(__xludf.DUMMYFUNCTION("""COMPUTED_VALUE"""),7.0)</f>
        <v>7</v>
      </c>
      <c r="E157" s="300">
        <v>0.0</v>
      </c>
      <c r="F157" s="299"/>
      <c r="G157" s="299"/>
      <c r="H157" s="299"/>
      <c r="I157" s="299"/>
      <c r="J157" s="299"/>
      <c r="K157" s="299"/>
      <c r="L157" s="299"/>
      <c r="M157" s="299"/>
      <c r="N157" s="299"/>
      <c r="O157" s="299"/>
      <c r="P157" s="299"/>
      <c r="Q157" s="299"/>
      <c r="R157" s="299"/>
      <c r="S157" s="299"/>
      <c r="T157" s="299"/>
      <c r="U157" s="299"/>
    </row>
    <row r="158">
      <c r="A158" t="str">
        <f>IFERROR(__xludf.DUMMYFUNCTION("""COMPUTED_VALUE"""),"PE 9")</f>
        <v>PE 9</v>
      </c>
      <c r="B158" s="3" t="str">
        <f>IFERROR(__xludf.DUMMYFUNCTION("""COMPUTED_VALUE"""),"6")</f>
        <v>6</v>
      </c>
      <c r="C158" t="str">
        <f>IFERROR(__xludf.DUMMYFUNCTION("""COMPUTED_VALUE"""),"PE 12")</f>
        <v>PE 12</v>
      </c>
      <c r="D158" s="3">
        <f>IFERROR(__xludf.DUMMYFUNCTION("""COMPUTED_VALUE"""),1.0)</f>
        <v>1</v>
      </c>
      <c r="E158" s="300">
        <v>0.0</v>
      </c>
      <c r="F158" s="299"/>
      <c r="G158" s="299"/>
      <c r="H158" s="299"/>
      <c r="I158" s="299"/>
      <c r="J158" s="299"/>
      <c r="K158" s="299"/>
      <c r="L158" s="299"/>
      <c r="M158" s="299"/>
      <c r="N158" s="299"/>
      <c r="O158" s="299"/>
      <c r="P158" s="299"/>
      <c r="Q158" s="299"/>
      <c r="R158" s="299"/>
      <c r="S158" s="299"/>
      <c r="T158" s="299"/>
      <c r="U158" s="299"/>
    </row>
    <row r="159">
      <c r="A159" t="str">
        <f>IFERROR(__xludf.DUMMYFUNCTION("""COMPUTED_VALUE"""),"PE 10")</f>
        <v>PE 10</v>
      </c>
      <c r="B159" s="3" t="str">
        <f>IFERROR(__xludf.DUMMYFUNCTION("""COMPUTED_VALUE"""),"6")</f>
        <v>6</v>
      </c>
      <c r="C159" t="str">
        <f>IFERROR(__xludf.DUMMYFUNCTION("""COMPUTED_VALUE"""),"PE 12")</f>
        <v>PE 12</v>
      </c>
      <c r="D159" s="3">
        <f>IFERROR(__xludf.DUMMYFUNCTION("""COMPUTED_VALUE"""),2.0)</f>
        <v>2</v>
      </c>
      <c r="E159" s="300">
        <v>0.0</v>
      </c>
      <c r="F159" s="299"/>
      <c r="G159" s="299"/>
      <c r="H159" s="299"/>
      <c r="I159" s="299"/>
      <c r="J159" s="299"/>
      <c r="K159" s="299"/>
      <c r="L159" s="299"/>
      <c r="M159" s="299"/>
      <c r="N159" s="299"/>
      <c r="O159" s="299"/>
      <c r="P159" s="299"/>
      <c r="Q159" s="299"/>
      <c r="R159" s="299"/>
      <c r="S159" s="299"/>
      <c r="T159" s="299"/>
      <c r="U159" s="299"/>
    </row>
    <row r="160">
      <c r="A160" t="str">
        <f>IFERROR(__xludf.DUMMYFUNCTION("""COMPUTED_VALUE"""),"PE 11")</f>
        <v>PE 11</v>
      </c>
      <c r="B160" s="3" t="str">
        <f>IFERROR(__xludf.DUMMYFUNCTION("""COMPUTED_VALUE"""),"6")</f>
        <v>6</v>
      </c>
      <c r="C160" t="str">
        <f>IFERROR(__xludf.DUMMYFUNCTION("""COMPUTED_VALUE"""),"PE 12")</f>
        <v>PE 12</v>
      </c>
      <c r="D160" s="3">
        <f>IFERROR(__xludf.DUMMYFUNCTION("""COMPUTED_VALUE"""),4.0)</f>
        <v>4</v>
      </c>
      <c r="E160" s="300">
        <v>0.0</v>
      </c>
      <c r="F160" s="299"/>
      <c r="G160" s="299"/>
      <c r="H160" s="299"/>
      <c r="I160" s="299"/>
      <c r="J160" s="299"/>
      <c r="K160" s="299"/>
      <c r="L160" s="299"/>
      <c r="M160" s="299"/>
      <c r="N160" s="299"/>
      <c r="O160" s="299"/>
      <c r="P160" s="299"/>
      <c r="Q160" s="299"/>
      <c r="R160" s="299"/>
      <c r="S160" s="299"/>
      <c r="T160" s="299"/>
      <c r="U160" s="299"/>
    </row>
    <row r="161">
      <c r="A161" t="str">
        <f>IFERROR(__xludf.DUMMYFUNCTION("""COMPUTED_VALUE"""),"PE 12")</f>
        <v>PE 12</v>
      </c>
      <c r="B161" s="3" t="str">
        <f>IFERROR(__xludf.DUMMYFUNCTION("""COMPUTED_VALUE"""),"6")</f>
        <v>6</v>
      </c>
      <c r="C161" t="str">
        <f>IFERROR(__xludf.DUMMYFUNCTION("""COMPUTED_VALUE"""),"PE 12")</f>
        <v>PE 12</v>
      </c>
      <c r="D161" s="3">
        <f>IFERROR(__xludf.DUMMYFUNCTION("""COMPUTED_VALUE"""),5.0)</f>
        <v>5</v>
      </c>
      <c r="E161" s="300">
        <v>0.0</v>
      </c>
      <c r="F161" s="299"/>
      <c r="G161" s="299"/>
      <c r="H161" s="299"/>
      <c r="I161" s="299"/>
      <c r="J161" s="299"/>
      <c r="K161" s="299"/>
      <c r="L161" s="299"/>
      <c r="M161" s="299"/>
      <c r="N161" s="299"/>
      <c r="O161" s="299"/>
      <c r="P161" s="299"/>
      <c r="Q161" s="299"/>
      <c r="R161" s="299"/>
      <c r="S161" s="299"/>
      <c r="T161" s="299"/>
      <c r="U161" s="299"/>
    </row>
    <row r="162">
      <c r="A162" t="str">
        <f>IFERROR(__xludf.DUMMYFUNCTION("""COMPUTED_VALUE"""),"Band Level I")</f>
        <v>Band Level I</v>
      </c>
      <c r="B162" s="3" t="str">
        <f>IFERROR(__xludf.DUMMYFUNCTION("""COMPUTED_VALUE"""),"7")</f>
        <v>7</v>
      </c>
      <c r="C162" t="str">
        <f>IFERROR(__xludf.DUMMYFUNCTION("""COMPUTED_VALUE"""),"PE 12")</f>
        <v>PE 12</v>
      </c>
      <c r="D162" s="3">
        <f>IFERROR(__xludf.DUMMYFUNCTION("""COMPUTED_VALUE"""),6.0)</f>
        <v>6</v>
      </c>
      <c r="E162" s="300">
        <v>0.0</v>
      </c>
      <c r="F162" s="299"/>
      <c r="G162" s="299"/>
      <c r="H162" s="299"/>
      <c r="I162" s="299"/>
      <c r="J162" s="299"/>
      <c r="K162" s="299"/>
      <c r="L162" s="299"/>
      <c r="M162" s="299"/>
      <c r="N162" s="299"/>
      <c r="O162" s="299"/>
      <c r="P162" s="299"/>
      <c r="Q162" s="299"/>
      <c r="R162" s="299"/>
      <c r="S162" s="299"/>
      <c r="T162" s="299"/>
      <c r="U162" s="299"/>
    </row>
    <row r="163">
      <c r="A163" t="str">
        <f>IFERROR(__xludf.DUMMYFUNCTION("""COMPUTED_VALUE"""),"Painting I")</f>
        <v>Painting I</v>
      </c>
      <c r="B163" s="3" t="str">
        <f>IFERROR(__xludf.DUMMYFUNCTION("""COMPUTED_VALUE"""),"7")</f>
        <v>7</v>
      </c>
      <c r="C163" t="str">
        <f>IFERROR(__xludf.DUMMYFUNCTION("""COMPUTED_VALUE"""),"PE 12")</f>
        <v>PE 12</v>
      </c>
      <c r="D163" s="3">
        <f>IFERROR(__xludf.DUMMYFUNCTION("""COMPUTED_VALUE"""),8.0)</f>
        <v>8</v>
      </c>
      <c r="E163" s="300">
        <v>0.0</v>
      </c>
      <c r="F163" s="299"/>
      <c r="G163" s="299"/>
      <c r="H163" s="299"/>
      <c r="I163" s="299"/>
      <c r="J163" s="299"/>
      <c r="K163" s="299"/>
      <c r="L163" s="299"/>
      <c r="M163" s="299"/>
      <c r="N163" s="299"/>
      <c r="O163" s="299"/>
      <c r="P163" s="299"/>
      <c r="Q163" s="299"/>
      <c r="R163" s="299"/>
      <c r="S163" s="299"/>
      <c r="T163" s="299"/>
      <c r="U163" s="299"/>
    </row>
    <row r="164">
      <c r="A164" t="str">
        <f>IFERROR(__xludf.DUMMYFUNCTION("""COMPUTED_VALUE"""),"Painting II")</f>
        <v>Painting II</v>
      </c>
      <c r="B164" s="3" t="str">
        <f>IFERROR(__xludf.DUMMYFUNCTION("""COMPUTED_VALUE"""),"7")</f>
        <v>7</v>
      </c>
      <c r="C164" t="str">
        <f>IFERROR(__xludf.DUMMYFUNCTION("""COMPUTED_VALUE"""),"PE 9")</f>
        <v>PE 9</v>
      </c>
      <c r="D164" s="3">
        <f>IFERROR(__xludf.DUMMYFUNCTION("""COMPUTED_VALUE"""),1.0)</f>
        <v>1</v>
      </c>
      <c r="E164" s="300">
        <v>0.0</v>
      </c>
      <c r="F164" s="299"/>
      <c r="G164" s="299"/>
      <c r="H164" s="299"/>
      <c r="I164" s="299"/>
      <c r="J164" s="299"/>
      <c r="K164" s="299"/>
      <c r="L164" s="299"/>
      <c r="M164" s="299"/>
      <c r="N164" s="299"/>
      <c r="O164" s="299"/>
      <c r="P164" s="299"/>
      <c r="Q164" s="299"/>
      <c r="R164" s="299"/>
      <c r="S164" s="299"/>
      <c r="T164" s="299"/>
      <c r="U164" s="299"/>
    </row>
    <row r="165">
      <c r="A165" t="str">
        <f>IFERROR(__xludf.DUMMYFUNCTION("""COMPUTED_VALUE"""),"Journalism Higher Level")</f>
        <v>Journalism Higher Level</v>
      </c>
      <c r="B165" s="3" t="str">
        <f>IFERROR(__xludf.DUMMYFUNCTION("""COMPUTED_VALUE"""),"7")</f>
        <v>7</v>
      </c>
      <c r="C165" t="str">
        <f>IFERROR(__xludf.DUMMYFUNCTION("""COMPUTED_VALUE"""),"PE 9")</f>
        <v>PE 9</v>
      </c>
      <c r="D165" s="3">
        <f>IFERROR(__xludf.DUMMYFUNCTION("""COMPUTED_VALUE"""),2.0)</f>
        <v>2</v>
      </c>
      <c r="E165" s="300">
        <v>0.0</v>
      </c>
      <c r="F165" s="299"/>
      <c r="G165" s="299"/>
      <c r="H165" s="299"/>
      <c r="I165" s="299"/>
      <c r="J165" s="299"/>
      <c r="K165" s="299"/>
      <c r="L165" s="299"/>
      <c r="M165" s="299"/>
      <c r="N165" s="299"/>
      <c r="O165" s="299"/>
      <c r="P165" s="299"/>
      <c r="Q165" s="299"/>
      <c r="R165" s="299"/>
      <c r="S165" s="299"/>
      <c r="T165" s="299"/>
      <c r="U165" s="299"/>
    </row>
    <row r="166">
      <c r="A166" t="str">
        <f>IFERROR(__xludf.DUMMYFUNCTION("""COMPUTED_VALUE"""),"English 9")</f>
        <v>English 9</v>
      </c>
      <c r="B166" s="3" t="str">
        <f>IFERROR(__xludf.DUMMYFUNCTION("""COMPUTED_VALUE"""),"7")</f>
        <v>7</v>
      </c>
      <c r="C166" t="str">
        <f>IFERROR(__xludf.DUMMYFUNCTION("""COMPUTED_VALUE"""),"PE 9")</f>
        <v>PE 9</v>
      </c>
      <c r="D166" s="3">
        <f>IFERROR(__xludf.DUMMYFUNCTION("""COMPUTED_VALUE"""),4.0)</f>
        <v>4</v>
      </c>
      <c r="E166" s="300">
        <v>0.0</v>
      </c>
      <c r="F166" s="299"/>
      <c r="G166" s="299"/>
      <c r="H166" s="299"/>
      <c r="I166" s="299"/>
      <c r="J166" s="299"/>
      <c r="K166" s="299"/>
      <c r="L166" s="299"/>
      <c r="M166" s="299"/>
      <c r="N166" s="299"/>
      <c r="O166" s="299"/>
      <c r="P166" s="299"/>
      <c r="Q166" s="299"/>
      <c r="R166" s="299"/>
      <c r="S166" s="299"/>
      <c r="T166" s="299"/>
      <c r="U166" s="299"/>
    </row>
    <row r="167">
      <c r="A167" t="str">
        <f>IFERROR(__xludf.DUMMYFUNCTION("""COMPUTED_VALUE"""),"Art of Fiction Higher Level")</f>
        <v>Art of Fiction Higher Level</v>
      </c>
      <c r="B167" s="3" t="str">
        <f>IFERROR(__xludf.DUMMYFUNCTION("""COMPUTED_VALUE"""),"7")</f>
        <v>7</v>
      </c>
      <c r="C167" t="str">
        <f>IFERROR(__xludf.DUMMYFUNCTION("""COMPUTED_VALUE"""),"PE 9")</f>
        <v>PE 9</v>
      </c>
      <c r="D167" s="3">
        <f>IFERROR(__xludf.DUMMYFUNCTION("""COMPUTED_VALUE"""),5.0)</f>
        <v>5</v>
      </c>
      <c r="E167" s="300">
        <v>0.0</v>
      </c>
      <c r="F167" s="299"/>
      <c r="G167" s="299"/>
      <c r="H167" s="299"/>
      <c r="I167" s="299"/>
      <c r="J167" s="299"/>
      <c r="K167" s="299"/>
      <c r="L167" s="299"/>
      <c r="M167" s="299"/>
      <c r="N167" s="299"/>
      <c r="O167" s="299"/>
      <c r="P167" s="299"/>
      <c r="Q167" s="299"/>
      <c r="R167" s="299"/>
      <c r="S167" s="299"/>
      <c r="T167" s="299"/>
      <c r="U167" s="299"/>
    </row>
    <row r="168">
      <c r="A168" t="str">
        <f>IFERROR(__xludf.DUMMYFUNCTION("""COMPUTED_VALUE"""),"AP English Language")</f>
        <v>AP English Language</v>
      </c>
      <c r="B168" s="3" t="str">
        <f>IFERROR(__xludf.DUMMYFUNCTION("""COMPUTED_VALUE"""),"7")</f>
        <v>7</v>
      </c>
      <c r="C168" t="str">
        <f>IFERROR(__xludf.DUMMYFUNCTION("""COMPUTED_VALUE"""),"PE 9")</f>
        <v>PE 9</v>
      </c>
      <c r="D168" s="3">
        <f>IFERROR(__xludf.DUMMYFUNCTION("""COMPUTED_VALUE"""),6.0)</f>
        <v>6</v>
      </c>
      <c r="E168" s="300">
        <v>0.0</v>
      </c>
      <c r="F168" s="299"/>
      <c r="G168" s="299"/>
      <c r="H168" s="299"/>
      <c r="I168" s="299"/>
      <c r="J168" s="299"/>
      <c r="K168" s="299"/>
      <c r="L168" s="299"/>
      <c r="M168" s="299"/>
      <c r="N168" s="299"/>
      <c r="O168" s="299"/>
      <c r="P168" s="299"/>
      <c r="Q168" s="299"/>
      <c r="R168" s="299"/>
      <c r="S168" s="299"/>
      <c r="T168" s="299"/>
      <c r="U168" s="299"/>
    </row>
    <row r="169">
      <c r="A169" t="str">
        <f>IFERROR(__xludf.DUMMYFUNCTION("""COMPUTED_VALUE"""),"Social Studies 9")</f>
        <v>Social Studies 9</v>
      </c>
      <c r="B169" s="3" t="str">
        <f>IFERROR(__xludf.DUMMYFUNCTION("""COMPUTED_VALUE"""),"7")</f>
        <v>7</v>
      </c>
      <c r="C169" t="str">
        <f>IFERROR(__xludf.DUMMYFUNCTION("""COMPUTED_VALUE"""),"PE 9")</f>
        <v>PE 9</v>
      </c>
      <c r="D169" s="3">
        <f>IFERROR(__xludf.DUMMYFUNCTION("""COMPUTED_VALUE"""),8.0)</f>
        <v>8</v>
      </c>
      <c r="E169" s="300">
        <v>0.0</v>
      </c>
      <c r="F169" s="299"/>
      <c r="G169" s="299"/>
      <c r="H169" s="299"/>
      <c r="I169" s="299"/>
      <c r="J169" s="299"/>
      <c r="K169" s="299"/>
      <c r="L169" s="299"/>
      <c r="M169" s="299"/>
      <c r="N169" s="299"/>
      <c r="O169" s="299"/>
      <c r="P169" s="299"/>
      <c r="Q169" s="299"/>
      <c r="R169" s="299"/>
      <c r="S169" s="299"/>
      <c r="T169" s="299"/>
      <c r="U169" s="299"/>
    </row>
    <row r="170">
      <c r="A170" t="str">
        <f>IFERROR(__xludf.DUMMYFUNCTION("""COMPUTED_VALUE"""),"Spanish and Literature 12")</f>
        <v>Spanish and Literature 12</v>
      </c>
      <c r="B170" s="3" t="str">
        <f>IFERROR(__xludf.DUMMYFUNCTION("""COMPUTED_VALUE"""),"7")</f>
        <v>7</v>
      </c>
      <c r="C170" t="str">
        <f>IFERROR(__xludf.DUMMYFUNCTION("""COMPUTED_VALUE"""),"Pensar nuestro tiempo")</f>
        <v>Pensar nuestro tiempo</v>
      </c>
      <c r="D170" s="3">
        <f>IFERROR(__xludf.DUMMYFUNCTION("""COMPUTED_VALUE"""),2.0)</f>
        <v>2</v>
      </c>
      <c r="E170" s="300">
        <v>0.0</v>
      </c>
      <c r="F170" s="299"/>
      <c r="G170" s="299"/>
      <c r="H170" s="299"/>
      <c r="I170" s="299"/>
      <c r="J170" s="299"/>
      <c r="K170" s="299"/>
      <c r="L170" s="299"/>
      <c r="M170" s="299"/>
      <c r="N170" s="299"/>
      <c r="O170" s="299"/>
      <c r="P170" s="299"/>
      <c r="Q170" s="299"/>
      <c r="R170" s="299"/>
      <c r="S170" s="299"/>
      <c r="T170" s="299"/>
      <c r="U170" s="299"/>
    </row>
    <row r="171">
      <c r="A171" t="str">
        <f>IFERROR(__xludf.DUMMYFUNCTION("""COMPUTED_VALUE"""),"Spanish and Literature 9")</f>
        <v>Spanish and Literature 9</v>
      </c>
      <c r="B171" s="3" t="str">
        <f>IFERROR(__xludf.DUMMYFUNCTION("""COMPUTED_VALUE"""),"7")</f>
        <v>7</v>
      </c>
      <c r="C171" t="str">
        <f>IFERROR(__xludf.DUMMYFUNCTION("""COMPUTED_VALUE"""),"Physics")</f>
        <v>Physics</v>
      </c>
      <c r="D171" s="3">
        <f>IFERROR(__xludf.DUMMYFUNCTION("""COMPUTED_VALUE"""),1.0)</f>
        <v>1</v>
      </c>
      <c r="E171" s="300">
        <v>0.0</v>
      </c>
      <c r="F171" s="299"/>
      <c r="G171" s="299"/>
      <c r="H171" s="299"/>
      <c r="I171" s="299"/>
      <c r="J171" s="299"/>
      <c r="K171" s="299"/>
      <c r="L171" s="299"/>
      <c r="M171" s="299"/>
      <c r="N171" s="299"/>
      <c r="O171" s="299"/>
      <c r="P171" s="299"/>
      <c r="Q171" s="299"/>
      <c r="R171" s="299"/>
      <c r="S171" s="299"/>
      <c r="T171" s="299"/>
      <c r="U171" s="299"/>
    </row>
    <row r="172">
      <c r="A172" t="str">
        <f>IFERROR(__xludf.DUMMYFUNCTION("""COMPUTED_VALUE"""),"AP Spanish Language and Culture")</f>
        <v>AP Spanish Language and Culture</v>
      </c>
      <c r="B172" s="3" t="str">
        <f>IFERROR(__xludf.DUMMYFUNCTION("""COMPUTED_VALUE"""),"7")</f>
        <v>7</v>
      </c>
      <c r="C172" t="str">
        <f>IFERROR(__xludf.DUMMYFUNCTION("""COMPUTED_VALUE"""),"Physics")</f>
        <v>Physics</v>
      </c>
      <c r="D172" s="3">
        <f>IFERROR(__xludf.DUMMYFUNCTION("""COMPUTED_VALUE"""),2.0)</f>
        <v>2</v>
      </c>
      <c r="E172" s="300">
        <v>0.0</v>
      </c>
      <c r="F172" s="299"/>
      <c r="G172" s="299"/>
      <c r="H172" s="299"/>
      <c r="I172" s="299"/>
      <c r="J172" s="299"/>
      <c r="K172" s="299"/>
      <c r="L172" s="299"/>
      <c r="M172" s="299"/>
      <c r="N172" s="299"/>
      <c r="O172" s="299"/>
      <c r="P172" s="299"/>
      <c r="Q172" s="299"/>
      <c r="R172" s="299"/>
      <c r="S172" s="299"/>
      <c r="T172" s="299"/>
      <c r="U172" s="299"/>
    </row>
    <row r="173">
      <c r="A173" t="str">
        <f>IFERROR(__xludf.DUMMYFUNCTION("""COMPUTED_VALUE"""),"AP Calculus AB")</f>
        <v>AP Calculus AB</v>
      </c>
      <c r="B173" s="3" t="str">
        <f>IFERROR(__xludf.DUMMYFUNCTION("""COMPUTED_VALUE"""),"7")</f>
        <v>7</v>
      </c>
      <c r="C173" t="str">
        <f>IFERROR(__xludf.DUMMYFUNCTION("""COMPUTED_VALUE"""),"Physics")</f>
        <v>Physics</v>
      </c>
      <c r="D173" s="3">
        <f>IFERROR(__xludf.DUMMYFUNCTION("""COMPUTED_VALUE"""),5.0)</f>
        <v>5</v>
      </c>
      <c r="E173" s="300">
        <v>0.0</v>
      </c>
      <c r="F173" s="299"/>
      <c r="G173" s="299"/>
      <c r="H173" s="299"/>
      <c r="I173" s="299"/>
      <c r="J173" s="299"/>
      <c r="K173" s="299"/>
      <c r="L173" s="299"/>
      <c r="M173" s="299"/>
      <c r="N173" s="299"/>
      <c r="O173" s="299"/>
      <c r="P173" s="299"/>
      <c r="Q173" s="299"/>
      <c r="R173" s="299"/>
      <c r="S173" s="299"/>
      <c r="T173" s="299"/>
      <c r="U173" s="299"/>
    </row>
    <row r="174">
      <c r="A174" t="str">
        <f>IFERROR(__xludf.DUMMYFUNCTION("""COMPUTED_VALUE"""),"AP Statistics")</f>
        <v>AP Statistics</v>
      </c>
      <c r="B174" s="3" t="str">
        <f>IFERROR(__xludf.DUMMYFUNCTION("""COMPUTED_VALUE"""),"7")</f>
        <v>7</v>
      </c>
      <c r="C174" t="str">
        <f>IFERROR(__xludf.DUMMYFUNCTION("""COMPUTED_VALUE"""),"Physics")</f>
        <v>Physics</v>
      </c>
      <c r="D174" s="3">
        <f>IFERROR(__xludf.DUMMYFUNCTION("""COMPUTED_VALUE"""),7.0)</f>
        <v>7</v>
      </c>
      <c r="E174" s="300">
        <v>0.0</v>
      </c>
      <c r="F174" s="299"/>
      <c r="G174" s="299"/>
      <c r="H174" s="299"/>
      <c r="I174" s="299"/>
      <c r="J174" s="299"/>
      <c r="K174" s="299"/>
      <c r="L174" s="299"/>
      <c r="M174" s="299"/>
      <c r="N174" s="299"/>
      <c r="O174" s="299"/>
      <c r="P174" s="299"/>
      <c r="Q174" s="299"/>
      <c r="R174" s="299"/>
      <c r="S174" s="299"/>
      <c r="T174" s="299"/>
      <c r="U174" s="299"/>
    </row>
    <row r="175">
      <c r="A175" t="str">
        <f>IFERROR(__xludf.DUMMYFUNCTION("""COMPUTED_VALUE"""),"Algebra I")</f>
        <v>Algebra I</v>
      </c>
      <c r="B175" s="3" t="str">
        <f>IFERROR(__xludf.DUMMYFUNCTION("""COMPUTED_VALUE"""),"7")</f>
        <v>7</v>
      </c>
      <c r="C175" t="str">
        <f>IFERROR(__xludf.DUMMYFUNCTION("""COMPUTED_VALUE"""),"Physics")</f>
        <v>Physics</v>
      </c>
      <c r="D175" s="3">
        <f>IFERROR(__xludf.DUMMYFUNCTION("""COMPUTED_VALUE"""),8.0)</f>
        <v>8</v>
      </c>
      <c r="E175" s="300">
        <v>0.0</v>
      </c>
      <c r="F175" s="299"/>
      <c r="G175" s="299"/>
      <c r="H175" s="299"/>
      <c r="I175" s="299"/>
      <c r="J175" s="299"/>
      <c r="K175" s="299"/>
      <c r="L175" s="299"/>
      <c r="M175" s="299"/>
      <c r="N175" s="299"/>
      <c r="O175" s="299"/>
      <c r="P175" s="299"/>
      <c r="Q175" s="299"/>
      <c r="R175" s="299"/>
      <c r="S175" s="299"/>
      <c r="T175" s="299"/>
      <c r="U175" s="299"/>
    </row>
    <row r="176">
      <c r="A176" t="str">
        <f>IFERROR(__xludf.DUMMYFUNCTION("""COMPUTED_VALUE"""),"Geometry")</f>
        <v>Geometry</v>
      </c>
      <c r="B176" s="3" t="str">
        <f>IFERROR(__xludf.DUMMYFUNCTION("""COMPUTED_VALUE"""),"7")</f>
        <v>7</v>
      </c>
      <c r="C176" t="str">
        <f>IFERROR(__xludf.DUMMYFUNCTION("""COMPUTED_VALUE"""),"Sculpture I")</f>
        <v>Sculpture I</v>
      </c>
      <c r="D176" s="3">
        <f>IFERROR(__xludf.DUMMYFUNCTION("""COMPUTED_VALUE"""),3.0)</f>
        <v>3</v>
      </c>
      <c r="E176" s="300">
        <v>0.0</v>
      </c>
      <c r="F176" s="299"/>
      <c r="G176" s="299"/>
      <c r="H176" s="299"/>
      <c r="I176" s="299"/>
      <c r="J176" s="299"/>
      <c r="K176" s="299"/>
      <c r="L176" s="299"/>
      <c r="M176" s="299"/>
      <c r="N176" s="299"/>
      <c r="O176" s="299"/>
      <c r="P176" s="299"/>
      <c r="Q176" s="299"/>
      <c r="R176" s="299"/>
      <c r="S176" s="299"/>
      <c r="T176" s="299"/>
      <c r="U176" s="299"/>
    </row>
    <row r="177">
      <c r="A177" t="str">
        <f>IFERROR(__xludf.DUMMYFUNCTION("""COMPUTED_VALUE"""),"Financial Math")</f>
        <v>Financial Math</v>
      </c>
      <c r="B177" s="3" t="str">
        <f>IFERROR(__xludf.DUMMYFUNCTION("""COMPUTED_VALUE"""),"7")</f>
        <v>7</v>
      </c>
      <c r="C177" t="str">
        <f>IFERROR(__xludf.DUMMYFUNCTION("""COMPUTED_VALUE"""),"Sculpture I")</f>
        <v>Sculpture I</v>
      </c>
      <c r="D177" s="3">
        <f>IFERROR(__xludf.DUMMYFUNCTION("""COMPUTED_VALUE"""),4.0)</f>
        <v>4</v>
      </c>
      <c r="E177" s="300">
        <v>0.0</v>
      </c>
      <c r="F177" s="299"/>
      <c r="G177" s="299"/>
      <c r="H177" s="299"/>
      <c r="I177" s="299"/>
      <c r="J177" s="299"/>
      <c r="K177" s="299"/>
      <c r="L177" s="299"/>
      <c r="M177" s="299"/>
      <c r="N177" s="299"/>
      <c r="O177" s="299"/>
      <c r="P177" s="299"/>
      <c r="Q177" s="299"/>
      <c r="R177" s="299"/>
      <c r="S177" s="299"/>
      <c r="T177" s="299"/>
      <c r="U177" s="299"/>
    </row>
    <row r="178">
      <c r="A178" t="str">
        <f>IFERROR(__xludf.DUMMYFUNCTION("""COMPUTED_VALUE"""),"Biology 9")</f>
        <v>Biology 9</v>
      </c>
      <c r="B178" s="3" t="str">
        <f>IFERROR(__xludf.DUMMYFUNCTION("""COMPUTED_VALUE"""),"7")</f>
        <v>7</v>
      </c>
      <c r="C178" t="str">
        <f>IFERROR(__xludf.DUMMYFUNCTION("""COMPUTED_VALUE"""),"Social Studies 9")</f>
        <v>Social Studies 9</v>
      </c>
      <c r="D178" s="3">
        <f>IFERROR(__xludf.DUMMYFUNCTION("""COMPUTED_VALUE"""),2.0)</f>
        <v>2</v>
      </c>
      <c r="E178" s="300">
        <v>0.0</v>
      </c>
      <c r="F178" s="299"/>
      <c r="G178" s="299"/>
      <c r="H178" s="299"/>
      <c r="I178" s="299"/>
      <c r="J178" s="299"/>
      <c r="K178" s="299"/>
      <c r="L178" s="299"/>
      <c r="M178" s="299"/>
      <c r="N178" s="299"/>
      <c r="O178" s="299"/>
      <c r="P178" s="299"/>
      <c r="Q178" s="299"/>
      <c r="R178" s="299"/>
      <c r="S178" s="299"/>
      <c r="T178" s="299"/>
      <c r="U178" s="299"/>
    </row>
    <row r="179">
      <c r="A179" t="str">
        <f>IFERROR(__xludf.DUMMYFUNCTION("""COMPUTED_VALUE"""),"Physics")</f>
        <v>Physics</v>
      </c>
      <c r="B179" s="3" t="str">
        <f>IFERROR(__xludf.DUMMYFUNCTION("""COMPUTED_VALUE"""),"7")</f>
        <v>7</v>
      </c>
      <c r="C179" t="str">
        <f>IFERROR(__xludf.DUMMYFUNCTION("""COMPUTED_VALUE"""),"Social Studies 9")</f>
        <v>Social Studies 9</v>
      </c>
      <c r="D179" s="3">
        <f>IFERROR(__xludf.DUMMYFUNCTION("""COMPUTED_VALUE"""),3.0)</f>
        <v>3</v>
      </c>
      <c r="E179" s="300">
        <v>0.0</v>
      </c>
      <c r="F179" s="299"/>
      <c r="G179" s="299"/>
      <c r="H179" s="299"/>
      <c r="I179" s="299"/>
      <c r="J179" s="299"/>
      <c r="K179" s="299"/>
      <c r="L179" s="299"/>
      <c r="M179" s="299"/>
      <c r="N179" s="299"/>
      <c r="O179" s="299"/>
      <c r="P179" s="299"/>
      <c r="Q179" s="299"/>
      <c r="R179" s="299"/>
      <c r="S179" s="299"/>
      <c r="T179" s="299"/>
      <c r="U179" s="299"/>
    </row>
    <row r="180">
      <c r="A180" t="str">
        <f>IFERROR(__xludf.DUMMYFUNCTION("""COMPUTED_VALUE"""),"Chemistry")</f>
        <v>Chemistry</v>
      </c>
      <c r="B180" s="3" t="str">
        <f>IFERROR(__xludf.DUMMYFUNCTION("""COMPUTED_VALUE"""),"7")</f>
        <v>7</v>
      </c>
      <c r="C180" t="str">
        <f>IFERROR(__xludf.DUMMYFUNCTION("""COMPUTED_VALUE"""),"Social Studies 9")</f>
        <v>Social Studies 9</v>
      </c>
      <c r="D180" s="3">
        <f>IFERROR(__xludf.DUMMYFUNCTION("""COMPUTED_VALUE"""),4.0)</f>
        <v>4</v>
      </c>
      <c r="E180" s="300">
        <v>0.0</v>
      </c>
      <c r="F180" s="299"/>
      <c r="G180" s="299"/>
      <c r="H180" s="299"/>
      <c r="I180" s="299"/>
      <c r="J180" s="299"/>
      <c r="K180" s="299"/>
      <c r="L180" s="299"/>
      <c r="M180" s="299"/>
      <c r="N180" s="299"/>
      <c r="O180" s="299"/>
      <c r="P180" s="299"/>
      <c r="Q180" s="299"/>
      <c r="R180" s="299"/>
      <c r="S180" s="299"/>
      <c r="T180" s="299"/>
      <c r="U180" s="299"/>
    </row>
    <row r="181">
      <c r="A181" t="str">
        <f>IFERROR(__xludf.DUMMYFUNCTION("""COMPUTED_VALUE"""),"AP Chemistry")</f>
        <v>AP Chemistry</v>
      </c>
      <c r="B181" s="3" t="str">
        <f>IFERROR(__xludf.DUMMYFUNCTION("""COMPUTED_VALUE"""),"7")</f>
        <v>7</v>
      </c>
      <c r="C181" t="str">
        <f>IFERROR(__xludf.DUMMYFUNCTION("""COMPUTED_VALUE"""),"Social Studies 9")</f>
        <v>Social Studies 9</v>
      </c>
      <c r="D181" s="3">
        <f>IFERROR(__xludf.DUMMYFUNCTION("""COMPUTED_VALUE"""),5.0)</f>
        <v>5</v>
      </c>
      <c r="E181" s="300">
        <v>0.0</v>
      </c>
      <c r="F181" s="299"/>
      <c r="G181" s="299"/>
      <c r="H181" s="299"/>
      <c r="I181" s="299"/>
      <c r="J181" s="299"/>
      <c r="K181" s="299"/>
      <c r="L181" s="299"/>
      <c r="M181" s="299"/>
      <c r="N181" s="299"/>
      <c r="O181" s="299"/>
      <c r="P181" s="299"/>
      <c r="Q181" s="299"/>
      <c r="R181" s="299"/>
      <c r="S181" s="299"/>
      <c r="T181" s="299"/>
      <c r="U181" s="299"/>
    </row>
    <row r="182">
      <c r="A182" t="str">
        <f>IFERROR(__xludf.DUMMYFUNCTION("""COMPUTED_VALUE"""),"Global")</f>
        <v>Global</v>
      </c>
      <c r="B182" s="3" t="str">
        <f>IFERROR(__xludf.DUMMYFUNCTION("""COMPUTED_VALUE"""),"7")</f>
        <v>7</v>
      </c>
      <c r="C182" t="str">
        <f>IFERROR(__xludf.DUMMYFUNCTION("""COMPUTED_VALUE"""),"Social Studies 9")</f>
        <v>Social Studies 9</v>
      </c>
      <c r="D182" s="3">
        <f>IFERROR(__xludf.DUMMYFUNCTION("""COMPUTED_VALUE"""),7.0)</f>
        <v>7</v>
      </c>
      <c r="E182" s="300">
        <v>0.0</v>
      </c>
      <c r="F182" s="299"/>
      <c r="G182" s="299"/>
      <c r="H182" s="299"/>
      <c r="I182" s="299"/>
      <c r="J182" s="299"/>
      <c r="K182" s="299"/>
      <c r="L182" s="299"/>
      <c r="M182" s="299"/>
      <c r="N182" s="299"/>
      <c r="O182" s="299"/>
      <c r="P182" s="299"/>
      <c r="Q182" s="299"/>
      <c r="R182" s="299"/>
      <c r="S182" s="299"/>
      <c r="T182" s="299"/>
      <c r="U182" s="299"/>
    </row>
    <row r="183">
      <c r="A183" t="str">
        <f>IFERROR(__xludf.DUMMYFUNCTION("""COMPUTED_VALUE"""),"AP Economics")</f>
        <v>AP Economics</v>
      </c>
      <c r="B183" s="3" t="str">
        <f>IFERROR(__xludf.DUMMYFUNCTION("""COMPUTED_VALUE"""),"7")</f>
        <v>7</v>
      </c>
      <c r="C183" t="str">
        <f>IFERROR(__xludf.DUMMYFUNCTION("""COMPUTED_VALUE"""),"Social Studies 9")</f>
        <v>Social Studies 9</v>
      </c>
      <c r="D183" s="3">
        <f>IFERROR(__xludf.DUMMYFUNCTION("""COMPUTED_VALUE"""),8.0)</f>
        <v>8</v>
      </c>
      <c r="E183" s="300">
        <v>0.0</v>
      </c>
      <c r="F183" s="299"/>
      <c r="G183" s="299"/>
      <c r="H183" s="299"/>
      <c r="I183" s="299"/>
      <c r="J183" s="299"/>
      <c r="K183" s="299"/>
      <c r="L183" s="299"/>
      <c r="M183" s="299"/>
      <c r="N183" s="299"/>
      <c r="O183" s="299"/>
      <c r="P183" s="299"/>
      <c r="Q183" s="299"/>
      <c r="R183" s="299"/>
      <c r="S183" s="299"/>
      <c r="T183" s="299"/>
      <c r="U183" s="299"/>
    </row>
    <row r="184">
      <c r="A184" t="str">
        <f>IFERROR(__xludf.DUMMYFUNCTION("""COMPUTED_VALUE"""),"Life Purpose")</f>
        <v>Life Purpose</v>
      </c>
      <c r="B184" s="3" t="str">
        <f>IFERROR(__xludf.DUMMYFUNCTION("""COMPUTED_VALUE"""),"7")</f>
        <v>7</v>
      </c>
      <c r="C184" t="str">
        <f>IFERROR(__xludf.DUMMYFUNCTION("""COMPUTED_VALUE"""),"Sociales 10")</f>
        <v>Sociales 10</v>
      </c>
      <c r="D184" s="3">
        <f>IFERROR(__xludf.DUMMYFUNCTION("""COMPUTED_VALUE"""),1.0)</f>
        <v>1</v>
      </c>
      <c r="E184" s="300">
        <v>0.0</v>
      </c>
      <c r="F184" s="299"/>
      <c r="G184" s="299"/>
      <c r="H184" s="299"/>
      <c r="I184" s="299"/>
      <c r="J184" s="299"/>
      <c r="K184" s="299"/>
      <c r="L184" s="299"/>
      <c r="M184" s="299"/>
      <c r="N184" s="299"/>
      <c r="O184" s="299"/>
      <c r="P184" s="299"/>
      <c r="Q184" s="299"/>
      <c r="R184" s="299"/>
      <c r="S184" s="299"/>
      <c r="T184" s="299"/>
      <c r="U184" s="299"/>
    </row>
    <row r="185">
      <c r="A185" t="str">
        <f>IFERROR(__xludf.DUMMYFUNCTION("""COMPUTED_VALUE"""),"Sociales 10")</f>
        <v>Sociales 10</v>
      </c>
      <c r="B185" s="3" t="str">
        <f>IFERROR(__xludf.DUMMYFUNCTION("""COMPUTED_VALUE"""),"7")</f>
        <v>7</v>
      </c>
      <c r="C185" t="str">
        <f>IFERROR(__xludf.DUMMYFUNCTION("""COMPUTED_VALUE"""),"Sociales 10")</f>
        <v>Sociales 10</v>
      </c>
      <c r="D185" s="3">
        <f>IFERROR(__xludf.DUMMYFUNCTION("""COMPUTED_VALUE"""),2.0)</f>
        <v>2</v>
      </c>
      <c r="E185" s="300">
        <v>0.0</v>
      </c>
      <c r="F185" s="299"/>
      <c r="G185" s="299"/>
      <c r="H185" s="299"/>
      <c r="I185" s="299"/>
      <c r="J185" s="299"/>
      <c r="K185" s="299"/>
      <c r="L185" s="299"/>
      <c r="M185" s="299"/>
      <c r="N185" s="299"/>
      <c r="O185" s="299"/>
      <c r="P185" s="299"/>
      <c r="Q185" s="299"/>
      <c r="R185" s="299"/>
      <c r="S185" s="299"/>
      <c r="T185" s="299"/>
      <c r="U185" s="299"/>
    </row>
    <row r="186">
      <c r="A186" t="str">
        <f>IFERROR(__xludf.DUMMYFUNCTION("""COMPUTED_VALUE"""),"PE 10")</f>
        <v>PE 10</v>
      </c>
      <c r="B186" s="3" t="str">
        <f>IFERROR(__xludf.DUMMYFUNCTION("""COMPUTED_VALUE"""),"7")</f>
        <v>7</v>
      </c>
      <c r="C186" t="str">
        <f>IFERROR(__xludf.DUMMYFUNCTION("""COMPUTED_VALUE"""),"Sociales 10")</f>
        <v>Sociales 10</v>
      </c>
      <c r="D186" s="3">
        <f>IFERROR(__xludf.DUMMYFUNCTION("""COMPUTED_VALUE"""),3.0)</f>
        <v>3</v>
      </c>
      <c r="E186" s="300">
        <v>0.0</v>
      </c>
      <c r="F186" s="299"/>
      <c r="G186" s="299"/>
      <c r="H186" s="299"/>
      <c r="I186" s="299"/>
      <c r="J186" s="299"/>
      <c r="K186" s="299"/>
      <c r="L186" s="299"/>
      <c r="M186" s="299"/>
      <c r="N186" s="299"/>
      <c r="O186" s="299"/>
      <c r="P186" s="299"/>
      <c r="Q186" s="299"/>
      <c r="R186" s="299"/>
      <c r="S186" s="299"/>
      <c r="T186" s="299"/>
      <c r="U186" s="299"/>
    </row>
    <row r="187">
      <c r="A187" t="str">
        <f>IFERROR(__xludf.DUMMYFUNCTION("""COMPUTED_VALUE"""),"PE 11")</f>
        <v>PE 11</v>
      </c>
      <c r="B187" s="3" t="str">
        <f>IFERROR(__xludf.DUMMYFUNCTION("""COMPUTED_VALUE"""),"7")</f>
        <v>7</v>
      </c>
      <c r="C187" t="str">
        <f>IFERROR(__xludf.DUMMYFUNCTION("""COMPUTED_VALUE"""),"Sociales 10")</f>
        <v>Sociales 10</v>
      </c>
      <c r="D187" s="3">
        <f>IFERROR(__xludf.DUMMYFUNCTION("""COMPUTED_VALUE"""),4.0)</f>
        <v>4</v>
      </c>
      <c r="E187" s="300">
        <v>0.0</v>
      </c>
      <c r="F187" s="299"/>
      <c r="G187" s="299"/>
      <c r="H187" s="299"/>
      <c r="I187" s="299"/>
      <c r="J187" s="299"/>
      <c r="K187" s="299"/>
      <c r="L187" s="299"/>
      <c r="M187" s="299"/>
      <c r="N187" s="299"/>
      <c r="O187" s="299"/>
      <c r="P187" s="299"/>
      <c r="Q187" s="299"/>
      <c r="R187" s="299"/>
      <c r="S187" s="299"/>
      <c r="T187" s="299"/>
      <c r="U187" s="299"/>
    </row>
    <row r="188">
      <c r="A188" t="str">
        <f>IFERROR(__xludf.DUMMYFUNCTION("""COMPUTED_VALUE"""),"Band Level I")</f>
        <v>Band Level I</v>
      </c>
      <c r="B188" s="3" t="str">
        <f>IFERROR(__xludf.DUMMYFUNCTION("""COMPUTED_VALUE"""),"8")</f>
        <v>8</v>
      </c>
      <c r="C188" t="str">
        <f>IFERROR(__xludf.DUMMYFUNCTION("""COMPUTED_VALUE"""),"Sociales 10")</f>
        <v>Sociales 10</v>
      </c>
      <c r="D188" s="3">
        <f>IFERROR(__xludf.DUMMYFUNCTION("""COMPUTED_VALUE"""),5.0)</f>
        <v>5</v>
      </c>
      <c r="E188" s="300">
        <v>0.0</v>
      </c>
      <c r="F188" s="299"/>
      <c r="G188" s="299"/>
      <c r="H188" s="299"/>
      <c r="I188" s="299"/>
      <c r="J188" s="299"/>
      <c r="K188" s="299"/>
      <c r="L188" s="299"/>
      <c r="M188" s="299"/>
      <c r="N188" s="299"/>
      <c r="O188" s="299"/>
      <c r="P188" s="299"/>
      <c r="Q188" s="299"/>
      <c r="R188" s="299"/>
      <c r="S188" s="299"/>
      <c r="T188" s="299"/>
      <c r="U188" s="299"/>
    </row>
    <row r="189">
      <c r="A189" t="str">
        <f>IFERROR(__xludf.DUMMYFUNCTION("""COMPUTED_VALUE"""),"Painting I")</f>
        <v>Painting I</v>
      </c>
      <c r="B189" s="3" t="str">
        <f>IFERROR(__xludf.DUMMYFUNCTION("""COMPUTED_VALUE"""),"8")</f>
        <v>8</v>
      </c>
      <c r="C189" t="str">
        <f>IFERROR(__xludf.DUMMYFUNCTION("""COMPUTED_VALUE"""),"Sociales 10")</f>
        <v>Sociales 10</v>
      </c>
      <c r="D189" s="3">
        <f>IFERROR(__xludf.DUMMYFUNCTION("""COMPUTED_VALUE"""),7.0)</f>
        <v>7</v>
      </c>
      <c r="E189" s="300">
        <v>0.0</v>
      </c>
      <c r="F189" s="299"/>
      <c r="G189" s="299"/>
      <c r="H189" s="299"/>
      <c r="I189" s="299"/>
      <c r="J189" s="299"/>
      <c r="K189" s="299"/>
      <c r="L189" s="299"/>
      <c r="M189" s="299"/>
      <c r="N189" s="299"/>
      <c r="O189" s="299"/>
      <c r="P189" s="299"/>
      <c r="Q189" s="299"/>
      <c r="R189" s="299"/>
      <c r="S189" s="299"/>
      <c r="T189" s="299"/>
      <c r="U189" s="299"/>
    </row>
    <row r="190">
      <c r="A190" t="str">
        <f>IFERROR(__xludf.DUMMYFUNCTION("""COMPUTED_VALUE"""),"AP Drawing")</f>
        <v>AP Drawing</v>
      </c>
      <c r="B190" s="3" t="str">
        <f>IFERROR(__xludf.DUMMYFUNCTION("""COMPUTED_VALUE"""),"8")</f>
        <v>8</v>
      </c>
      <c r="C190" t="str">
        <f>IFERROR(__xludf.DUMMYFUNCTION("""COMPUTED_VALUE"""),"Sociales 10")</f>
        <v>Sociales 10</v>
      </c>
      <c r="D190" s="3">
        <f>IFERROR(__xludf.DUMMYFUNCTION("""COMPUTED_VALUE"""),8.0)</f>
        <v>8</v>
      </c>
      <c r="E190" s="300">
        <v>0.0</v>
      </c>
      <c r="F190" s="299"/>
      <c r="G190" s="299"/>
      <c r="H190" s="299"/>
      <c r="I190" s="299"/>
      <c r="J190" s="299"/>
      <c r="K190" s="299"/>
      <c r="L190" s="299"/>
      <c r="M190" s="299"/>
      <c r="N190" s="299"/>
      <c r="O190" s="299"/>
      <c r="P190" s="299"/>
      <c r="Q190" s="299"/>
      <c r="R190" s="299"/>
      <c r="S190" s="299"/>
      <c r="T190" s="299"/>
      <c r="U190" s="299"/>
    </row>
    <row r="191">
      <c r="A191" t="str">
        <f>IFERROR(__xludf.DUMMYFUNCTION("""COMPUTED_VALUE"""),"Drawing I")</f>
        <v>Drawing I</v>
      </c>
      <c r="B191" s="3" t="str">
        <f>IFERROR(__xludf.DUMMYFUNCTION("""COMPUTED_VALUE"""),"8")</f>
        <v>8</v>
      </c>
      <c r="C191" t="str">
        <f>IFERROR(__xludf.DUMMYFUNCTION("""COMPUTED_VALUE"""),"Spanish and Literature 11")</f>
        <v>Spanish and Literature 11</v>
      </c>
      <c r="D191" s="3">
        <f>IFERROR(__xludf.DUMMYFUNCTION("""COMPUTED_VALUE"""),1.0)</f>
        <v>1</v>
      </c>
      <c r="E191" s="300">
        <v>0.0</v>
      </c>
      <c r="F191" s="299"/>
      <c r="G191" s="299"/>
      <c r="H191" s="299"/>
      <c r="I191" s="299"/>
      <c r="J191" s="299"/>
      <c r="K191" s="299"/>
      <c r="L191" s="299"/>
      <c r="M191" s="299"/>
      <c r="N191" s="299"/>
      <c r="O191" s="299"/>
      <c r="P191" s="299"/>
      <c r="Q191" s="299"/>
      <c r="R191" s="299"/>
      <c r="S191" s="299"/>
      <c r="T191" s="299"/>
      <c r="U191" s="299"/>
    </row>
    <row r="192">
      <c r="A192" t="str">
        <f>IFERROR(__xludf.DUMMYFUNCTION("""COMPUTED_VALUE"""),"Journalism Higher Level")</f>
        <v>Journalism Higher Level</v>
      </c>
      <c r="B192" s="3" t="str">
        <f>IFERROR(__xludf.DUMMYFUNCTION("""COMPUTED_VALUE"""),"8")</f>
        <v>8</v>
      </c>
      <c r="C192" t="str">
        <f>IFERROR(__xludf.DUMMYFUNCTION("""COMPUTED_VALUE"""),"Spanish and Literature 11")</f>
        <v>Spanish and Literature 11</v>
      </c>
      <c r="D192" s="3">
        <f>IFERROR(__xludf.DUMMYFUNCTION("""COMPUTED_VALUE"""),3.0)</f>
        <v>3</v>
      </c>
      <c r="E192" s="300">
        <v>0.0</v>
      </c>
      <c r="F192" s="299"/>
      <c r="G192" s="299"/>
      <c r="H192" s="299"/>
      <c r="I192" s="299"/>
      <c r="J192" s="299"/>
      <c r="K192" s="299"/>
      <c r="L192" s="299"/>
      <c r="M192" s="299"/>
      <c r="N192" s="299"/>
      <c r="O192" s="299"/>
      <c r="P192" s="299"/>
      <c r="Q192" s="299"/>
      <c r="R192" s="299"/>
      <c r="S192" s="299"/>
      <c r="T192" s="299"/>
      <c r="U192" s="299"/>
    </row>
    <row r="193">
      <c r="A193" t="str">
        <f>IFERROR(__xludf.DUMMYFUNCTION("""COMPUTED_VALUE"""),"English 9")</f>
        <v>English 9</v>
      </c>
      <c r="B193" s="3" t="str">
        <f>IFERROR(__xludf.DUMMYFUNCTION("""COMPUTED_VALUE"""),"8")</f>
        <v>8</v>
      </c>
      <c r="C193" t="str">
        <f>IFERROR(__xludf.DUMMYFUNCTION("""COMPUTED_VALUE"""),"Spanish and Literature 11")</f>
        <v>Spanish and Literature 11</v>
      </c>
      <c r="D193" s="3">
        <f>IFERROR(__xludf.DUMMYFUNCTION("""COMPUTED_VALUE"""),4.0)</f>
        <v>4</v>
      </c>
      <c r="E193" s="300">
        <v>0.0</v>
      </c>
      <c r="F193" s="299"/>
      <c r="G193" s="299"/>
      <c r="H193" s="299"/>
      <c r="I193" s="299"/>
      <c r="J193" s="299"/>
      <c r="K193" s="299"/>
      <c r="L193" s="299"/>
      <c r="M193" s="299"/>
      <c r="N193" s="299"/>
      <c r="O193" s="299"/>
      <c r="P193" s="299"/>
      <c r="Q193" s="299"/>
      <c r="R193" s="299"/>
      <c r="S193" s="299"/>
      <c r="T193" s="299"/>
      <c r="U193" s="299"/>
    </row>
    <row r="194">
      <c r="A194" t="str">
        <f>IFERROR(__xludf.DUMMYFUNCTION("""COMPUTED_VALUE"""),"Art of Fiction Higher Level")</f>
        <v>Art of Fiction Higher Level</v>
      </c>
      <c r="B194" s="3" t="str">
        <f>IFERROR(__xludf.DUMMYFUNCTION("""COMPUTED_VALUE"""),"8")</f>
        <v>8</v>
      </c>
      <c r="C194" t="str">
        <f>IFERROR(__xludf.DUMMYFUNCTION("""COMPUTED_VALUE"""),"Spanish and Literature 11")</f>
        <v>Spanish and Literature 11</v>
      </c>
      <c r="D194" s="3">
        <f>IFERROR(__xludf.DUMMYFUNCTION("""COMPUTED_VALUE"""),5.0)</f>
        <v>5</v>
      </c>
      <c r="E194" s="300">
        <v>0.0</v>
      </c>
      <c r="F194" s="299"/>
      <c r="G194" s="299"/>
      <c r="H194" s="299"/>
      <c r="I194" s="299"/>
      <c r="J194" s="299"/>
      <c r="K194" s="299"/>
      <c r="L194" s="299"/>
      <c r="M194" s="299"/>
      <c r="N194" s="299"/>
      <c r="O194" s="299"/>
      <c r="P194" s="299"/>
      <c r="Q194" s="299"/>
      <c r="R194" s="299"/>
      <c r="S194" s="299"/>
      <c r="T194" s="299"/>
      <c r="U194" s="299"/>
    </row>
    <row r="195">
      <c r="A195" t="str">
        <f>IFERROR(__xludf.DUMMYFUNCTION("""COMPUTED_VALUE"""),"English 10")</f>
        <v>English 10</v>
      </c>
      <c r="B195" s="3" t="str">
        <f>IFERROR(__xludf.DUMMYFUNCTION("""COMPUTED_VALUE"""),"8")</f>
        <v>8</v>
      </c>
      <c r="C195" t="str">
        <f>IFERROR(__xludf.DUMMYFUNCTION("""COMPUTED_VALUE"""),"Spanish and Literature 11")</f>
        <v>Spanish and Literature 11</v>
      </c>
      <c r="D195" s="3">
        <f>IFERROR(__xludf.DUMMYFUNCTION("""COMPUTED_VALUE"""),6.0)</f>
        <v>6</v>
      </c>
      <c r="E195" s="300">
        <v>0.0</v>
      </c>
      <c r="F195" s="299"/>
      <c r="G195" s="299"/>
      <c r="H195" s="299"/>
      <c r="I195" s="299"/>
      <c r="J195" s="299"/>
      <c r="K195" s="299"/>
      <c r="L195" s="299"/>
      <c r="M195" s="299"/>
      <c r="N195" s="299"/>
      <c r="O195" s="299"/>
      <c r="P195" s="299"/>
      <c r="Q195" s="299"/>
      <c r="R195" s="299"/>
      <c r="S195" s="299"/>
      <c r="T195" s="299"/>
      <c r="U195" s="299"/>
    </row>
    <row r="196">
      <c r="A196" t="str">
        <f>IFERROR(__xludf.DUMMYFUNCTION("""COMPUTED_VALUE"""),"Social Studies 9")</f>
        <v>Social Studies 9</v>
      </c>
      <c r="B196" s="3" t="str">
        <f>IFERROR(__xludf.DUMMYFUNCTION("""COMPUTED_VALUE"""),"8")</f>
        <v>8</v>
      </c>
      <c r="C196" t="str">
        <f>IFERROR(__xludf.DUMMYFUNCTION("""COMPUTED_VALUE"""),"Spanish and Literature 12")</f>
        <v>Spanish and Literature 12</v>
      </c>
      <c r="D196" s="3">
        <f>IFERROR(__xludf.DUMMYFUNCTION("""COMPUTED_VALUE"""),2.0)</f>
        <v>2</v>
      </c>
      <c r="E196" s="300">
        <v>0.0</v>
      </c>
      <c r="F196" s="299"/>
      <c r="G196" s="299"/>
      <c r="H196" s="299"/>
      <c r="I196" s="299"/>
      <c r="J196" s="299"/>
      <c r="K196" s="299"/>
      <c r="L196" s="299"/>
      <c r="M196" s="299"/>
      <c r="N196" s="299"/>
      <c r="O196" s="299"/>
      <c r="P196" s="299"/>
      <c r="Q196" s="299"/>
      <c r="R196" s="299"/>
      <c r="S196" s="299"/>
      <c r="T196" s="299"/>
      <c r="U196" s="299"/>
    </row>
    <row r="197">
      <c r="A197" t="str">
        <f>IFERROR(__xludf.DUMMYFUNCTION("""COMPUTED_VALUE"""),"AP Spanish Literature and Culture")</f>
        <v>AP Spanish Literature and Culture</v>
      </c>
      <c r="B197" s="3" t="str">
        <f>IFERROR(__xludf.DUMMYFUNCTION("""COMPUTED_VALUE"""),"8")</f>
        <v>8</v>
      </c>
      <c r="C197" t="str">
        <f>IFERROR(__xludf.DUMMYFUNCTION("""COMPUTED_VALUE"""),"Spanish and Literature 12")</f>
        <v>Spanish and Literature 12</v>
      </c>
      <c r="D197" s="3">
        <f>IFERROR(__xludf.DUMMYFUNCTION("""COMPUTED_VALUE"""),3.0)</f>
        <v>3</v>
      </c>
      <c r="E197" s="300">
        <v>0.0</v>
      </c>
      <c r="F197" s="299"/>
      <c r="G197" s="299"/>
      <c r="H197" s="299"/>
      <c r="I197" s="299"/>
      <c r="J197" s="299"/>
      <c r="K197" s="299"/>
      <c r="L197" s="299"/>
      <c r="M197" s="299"/>
      <c r="N197" s="299"/>
      <c r="O197" s="299"/>
      <c r="P197" s="299"/>
      <c r="Q197" s="299"/>
      <c r="R197" s="299"/>
      <c r="S197" s="299"/>
      <c r="T197" s="299"/>
      <c r="U197" s="299"/>
    </row>
    <row r="198">
      <c r="A198" t="str">
        <f>IFERROR(__xludf.DUMMYFUNCTION("""COMPUTED_VALUE"""),"Spanish Film, Art, and Literature")</f>
        <v>Spanish Film, Art, and Literature</v>
      </c>
      <c r="B198" s="3" t="str">
        <f>IFERROR(__xludf.DUMMYFUNCTION("""COMPUTED_VALUE"""),"8")</f>
        <v>8</v>
      </c>
      <c r="C198" t="str">
        <f>IFERROR(__xludf.DUMMYFUNCTION("""COMPUTED_VALUE"""),"Spanish and Literature 12")</f>
        <v>Spanish and Literature 12</v>
      </c>
      <c r="D198" s="3">
        <f>IFERROR(__xludf.DUMMYFUNCTION("""COMPUTED_VALUE"""),4.0)</f>
        <v>4</v>
      </c>
      <c r="E198" s="300">
        <v>0.0</v>
      </c>
      <c r="F198" s="299"/>
      <c r="G198" s="299"/>
      <c r="H198" s="299"/>
      <c r="I198" s="299"/>
      <c r="J198" s="299"/>
      <c r="K198" s="299"/>
      <c r="L198" s="299"/>
      <c r="M198" s="299"/>
      <c r="N198" s="299"/>
      <c r="O198" s="299"/>
      <c r="P198" s="299"/>
      <c r="Q198" s="299"/>
      <c r="R198" s="299"/>
      <c r="S198" s="299"/>
      <c r="T198" s="299"/>
      <c r="U198" s="299"/>
    </row>
    <row r="199">
      <c r="A199" t="str">
        <f>IFERROR(__xludf.DUMMYFUNCTION("""COMPUTED_VALUE"""),"Spanish as a Foreing Language")</f>
        <v>Spanish as a Foreing Language</v>
      </c>
      <c r="B199" s="3" t="str">
        <f>IFERROR(__xludf.DUMMYFUNCTION("""COMPUTED_VALUE"""),"8")</f>
        <v>8</v>
      </c>
      <c r="C199" t="str">
        <f>IFERROR(__xludf.DUMMYFUNCTION("""COMPUTED_VALUE"""),"Spanish and Literature 12")</f>
        <v>Spanish and Literature 12</v>
      </c>
      <c r="D199" s="3">
        <f>IFERROR(__xludf.DUMMYFUNCTION("""COMPUTED_VALUE"""),5.0)</f>
        <v>5</v>
      </c>
      <c r="E199" s="300">
        <v>0.0</v>
      </c>
      <c r="F199" s="299"/>
      <c r="G199" s="299"/>
      <c r="H199" s="299"/>
      <c r="I199" s="299"/>
      <c r="J199" s="299"/>
      <c r="K199" s="299"/>
      <c r="L199" s="299"/>
      <c r="M199" s="299"/>
      <c r="N199" s="299"/>
      <c r="O199" s="299"/>
      <c r="P199" s="299"/>
      <c r="Q199" s="299"/>
      <c r="R199" s="299"/>
      <c r="S199" s="299"/>
      <c r="T199" s="299"/>
      <c r="U199" s="299"/>
    </row>
    <row r="200">
      <c r="A200" t="str">
        <f>IFERROR(__xludf.DUMMYFUNCTION("""COMPUTED_VALUE"""),"Spanish and Literature 9")</f>
        <v>Spanish and Literature 9</v>
      </c>
      <c r="B200" s="3" t="str">
        <f>IFERROR(__xludf.DUMMYFUNCTION("""COMPUTED_VALUE"""),"8")</f>
        <v>8</v>
      </c>
      <c r="C200" t="str">
        <f>IFERROR(__xludf.DUMMYFUNCTION("""COMPUTED_VALUE"""),"Spanish and Literature 12")</f>
        <v>Spanish and Literature 12</v>
      </c>
      <c r="D200" s="3">
        <f>IFERROR(__xludf.DUMMYFUNCTION("""COMPUTED_VALUE"""),7.0)</f>
        <v>7</v>
      </c>
      <c r="E200" s="300">
        <v>0.0</v>
      </c>
      <c r="F200" s="299"/>
      <c r="G200" s="299"/>
      <c r="H200" s="299"/>
      <c r="I200" s="299"/>
      <c r="J200" s="299"/>
      <c r="K200" s="299"/>
      <c r="L200" s="299"/>
      <c r="M200" s="299"/>
      <c r="N200" s="299"/>
      <c r="O200" s="299"/>
      <c r="P200" s="299"/>
      <c r="Q200" s="299"/>
      <c r="R200" s="299"/>
      <c r="S200" s="299"/>
      <c r="T200" s="299"/>
      <c r="U200" s="299"/>
    </row>
    <row r="201">
      <c r="A201" t="str">
        <f>IFERROR(__xludf.DUMMYFUNCTION("""COMPUTED_VALUE"""),"AP Spanish Language and Culture")</f>
        <v>AP Spanish Language and Culture</v>
      </c>
      <c r="B201" s="3" t="str">
        <f>IFERROR(__xludf.DUMMYFUNCTION("""COMPUTED_VALUE"""),"8")</f>
        <v>8</v>
      </c>
      <c r="C201" t="str">
        <f>IFERROR(__xludf.DUMMYFUNCTION("""COMPUTED_VALUE"""),"Spanish and Literature 9")</f>
        <v>Spanish and Literature 9</v>
      </c>
      <c r="D201" s="3">
        <f>IFERROR(__xludf.DUMMYFUNCTION("""COMPUTED_VALUE"""),1.0)</f>
        <v>1</v>
      </c>
      <c r="E201" s="300">
        <v>0.0</v>
      </c>
      <c r="F201" s="299"/>
      <c r="G201" s="299"/>
      <c r="H201" s="299"/>
      <c r="I201" s="299"/>
      <c r="J201" s="299"/>
      <c r="K201" s="299"/>
      <c r="L201" s="299"/>
      <c r="M201" s="299"/>
      <c r="N201" s="299"/>
      <c r="O201" s="299"/>
      <c r="P201" s="299"/>
      <c r="Q201" s="299"/>
      <c r="R201" s="299"/>
      <c r="S201" s="299"/>
      <c r="T201" s="299"/>
      <c r="U201" s="299"/>
    </row>
    <row r="202">
      <c r="A202" t="str">
        <f>IFERROR(__xludf.DUMMYFUNCTION("""COMPUTED_VALUE"""),"Geometry")</f>
        <v>Geometry</v>
      </c>
      <c r="B202" s="3" t="str">
        <f>IFERROR(__xludf.DUMMYFUNCTION("""COMPUTED_VALUE"""),"8")</f>
        <v>8</v>
      </c>
      <c r="C202" t="str">
        <f>IFERROR(__xludf.DUMMYFUNCTION("""COMPUTED_VALUE"""),"Spanish and Literature 9")</f>
        <v>Spanish and Literature 9</v>
      </c>
      <c r="D202" s="3">
        <f>IFERROR(__xludf.DUMMYFUNCTION("""COMPUTED_VALUE"""),3.0)</f>
        <v>3</v>
      </c>
      <c r="E202" s="300">
        <v>0.0</v>
      </c>
      <c r="F202" s="299"/>
      <c r="G202" s="299"/>
      <c r="H202" s="299"/>
      <c r="I202" s="299"/>
      <c r="J202" s="299"/>
      <c r="K202" s="299"/>
      <c r="L202" s="299"/>
      <c r="M202" s="299"/>
      <c r="N202" s="299"/>
      <c r="O202" s="299"/>
      <c r="P202" s="299"/>
      <c r="Q202" s="299"/>
      <c r="R202" s="299"/>
      <c r="S202" s="299"/>
      <c r="T202" s="299"/>
      <c r="U202" s="299"/>
    </row>
    <row r="203">
      <c r="A203" t="str">
        <f>IFERROR(__xludf.DUMMYFUNCTION("""COMPUTED_VALUE"""),"Algebra II")</f>
        <v>Algebra II</v>
      </c>
      <c r="B203" s="3" t="str">
        <f>IFERROR(__xludf.DUMMYFUNCTION("""COMPUTED_VALUE"""),"8")</f>
        <v>8</v>
      </c>
      <c r="C203" t="str">
        <f>IFERROR(__xludf.DUMMYFUNCTION("""COMPUTED_VALUE"""),"Spanish and Literature 9")</f>
        <v>Spanish and Literature 9</v>
      </c>
      <c r="D203" s="3">
        <f>IFERROR(__xludf.DUMMYFUNCTION("""COMPUTED_VALUE"""),4.0)</f>
        <v>4</v>
      </c>
      <c r="E203" s="300">
        <v>0.0</v>
      </c>
      <c r="F203" s="299"/>
      <c r="G203" s="299"/>
      <c r="H203" s="299"/>
      <c r="I203" s="299"/>
      <c r="J203" s="299"/>
      <c r="K203" s="299"/>
      <c r="L203" s="299"/>
      <c r="M203" s="299"/>
      <c r="N203" s="299"/>
      <c r="O203" s="299"/>
      <c r="P203" s="299"/>
      <c r="Q203" s="299"/>
      <c r="R203" s="299"/>
      <c r="S203" s="299"/>
      <c r="T203" s="299"/>
      <c r="U203" s="299"/>
    </row>
    <row r="204">
      <c r="A204" t="str">
        <f>IFERROR(__xludf.DUMMYFUNCTION("""COMPUTED_VALUE"""),"Environmental Science")</f>
        <v>Environmental Science</v>
      </c>
      <c r="B204" s="3" t="str">
        <f>IFERROR(__xludf.DUMMYFUNCTION("""COMPUTED_VALUE"""),"8")</f>
        <v>8</v>
      </c>
      <c r="C204" t="str">
        <f>IFERROR(__xludf.DUMMYFUNCTION("""COMPUTED_VALUE"""),"Spanish and Literature 9")</f>
        <v>Spanish and Literature 9</v>
      </c>
      <c r="D204" s="3">
        <f>IFERROR(__xludf.DUMMYFUNCTION("""COMPUTED_VALUE"""),5.0)</f>
        <v>5</v>
      </c>
      <c r="E204" s="300">
        <v>0.0</v>
      </c>
      <c r="F204" s="299"/>
      <c r="G204" s="299"/>
      <c r="H204" s="299"/>
      <c r="I204" s="299"/>
      <c r="J204" s="299"/>
      <c r="K204" s="299"/>
      <c r="L204" s="299"/>
      <c r="M204" s="299"/>
      <c r="N204" s="299"/>
      <c r="O204" s="299"/>
      <c r="P204" s="299"/>
      <c r="Q204" s="299"/>
      <c r="R204" s="299"/>
      <c r="S204" s="299"/>
      <c r="T204" s="299"/>
      <c r="U204" s="299"/>
    </row>
    <row r="205">
      <c r="A205" t="str">
        <f>IFERROR(__xludf.DUMMYFUNCTION("""COMPUTED_VALUE"""),"Anatomy and Physiology")</f>
        <v>Anatomy and Physiology</v>
      </c>
      <c r="B205" s="3" t="str">
        <f>IFERROR(__xludf.DUMMYFUNCTION("""COMPUTED_VALUE"""),"8")</f>
        <v>8</v>
      </c>
      <c r="C205" t="str">
        <f>IFERROR(__xludf.DUMMYFUNCTION("""COMPUTED_VALUE"""),"Spanish and Literature 9")</f>
        <v>Spanish and Literature 9</v>
      </c>
      <c r="D205" s="3">
        <f>IFERROR(__xludf.DUMMYFUNCTION("""COMPUTED_VALUE"""),6.0)</f>
        <v>6</v>
      </c>
      <c r="E205" s="300">
        <v>0.0</v>
      </c>
      <c r="F205" s="299"/>
      <c r="G205" s="299"/>
      <c r="H205" s="299"/>
      <c r="I205" s="299"/>
      <c r="J205" s="299"/>
      <c r="K205" s="299"/>
      <c r="L205" s="299"/>
      <c r="M205" s="299"/>
      <c r="N205" s="299"/>
      <c r="O205" s="299"/>
      <c r="P205" s="299"/>
      <c r="Q205" s="299"/>
      <c r="R205" s="299"/>
      <c r="S205" s="299"/>
      <c r="T205" s="299"/>
      <c r="U205" s="299"/>
    </row>
    <row r="206">
      <c r="A206" t="str">
        <f>IFERROR(__xludf.DUMMYFUNCTION("""COMPUTED_VALUE"""),"Physics")</f>
        <v>Physics</v>
      </c>
      <c r="B206" s="3" t="str">
        <f>IFERROR(__xludf.DUMMYFUNCTION("""COMPUTED_VALUE"""),"8")</f>
        <v>8</v>
      </c>
      <c r="C206" t="str">
        <f>IFERROR(__xludf.DUMMYFUNCTION("""COMPUTED_VALUE"""),"Spanish and Literature 9")</f>
        <v>Spanish and Literature 9</v>
      </c>
      <c r="D206" s="3">
        <f>IFERROR(__xludf.DUMMYFUNCTION("""COMPUTED_VALUE"""),7.0)</f>
        <v>7</v>
      </c>
      <c r="E206" s="300">
        <v>0.0</v>
      </c>
      <c r="F206" s="299"/>
      <c r="G206" s="299"/>
      <c r="H206" s="299"/>
      <c r="I206" s="299"/>
      <c r="J206" s="299"/>
      <c r="K206" s="299"/>
      <c r="L206" s="299"/>
      <c r="M206" s="299"/>
      <c r="N206" s="299"/>
      <c r="O206" s="299"/>
      <c r="P206" s="299"/>
      <c r="Q206" s="299"/>
      <c r="R206" s="299"/>
      <c r="S206" s="299"/>
      <c r="T206" s="299"/>
      <c r="U206" s="299"/>
    </row>
    <row r="207">
      <c r="A207" t="str">
        <f>IFERROR(__xludf.DUMMYFUNCTION("""COMPUTED_VALUE"""),"Chemistry")</f>
        <v>Chemistry</v>
      </c>
      <c r="B207" s="3" t="str">
        <f>IFERROR(__xludf.DUMMYFUNCTION("""COMPUTED_VALUE"""),"8")</f>
        <v>8</v>
      </c>
      <c r="C207" t="str">
        <f>IFERROR(__xludf.DUMMYFUNCTION("""COMPUTED_VALUE"""),"Spanish and Literature 9")</f>
        <v>Spanish and Literature 9</v>
      </c>
      <c r="D207" s="3">
        <f>IFERROR(__xludf.DUMMYFUNCTION("""COMPUTED_VALUE"""),8.0)</f>
        <v>8</v>
      </c>
      <c r="E207" s="300">
        <v>0.0</v>
      </c>
      <c r="F207" s="299"/>
      <c r="G207" s="299"/>
      <c r="H207" s="299"/>
      <c r="I207" s="299"/>
      <c r="J207" s="299"/>
      <c r="K207" s="299"/>
      <c r="L207" s="299"/>
      <c r="M207" s="299"/>
      <c r="N207" s="299"/>
      <c r="O207" s="299"/>
      <c r="P207" s="299"/>
      <c r="Q207" s="299"/>
      <c r="R207" s="299"/>
      <c r="S207" s="299"/>
      <c r="T207" s="299"/>
      <c r="U207" s="299"/>
    </row>
    <row r="208">
      <c r="A208" t="str">
        <f>IFERROR(__xludf.DUMMYFUNCTION("""COMPUTED_VALUE"""),"AP Economics")</f>
        <v>AP Economics</v>
      </c>
      <c r="B208" s="3" t="str">
        <f>IFERROR(__xludf.DUMMYFUNCTION("""COMPUTED_VALUE"""),"8")</f>
        <v>8</v>
      </c>
      <c r="C208" t="str">
        <f>IFERROR(__xludf.DUMMYFUNCTION("""COMPUTED_VALUE"""),"Spanish as a Foreing Language")</f>
        <v>Spanish as a Foreing Language</v>
      </c>
      <c r="D208" s="3">
        <f>IFERROR(__xludf.DUMMYFUNCTION("""COMPUTED_VALUE"""),8.0)</f>
        <v>8</v>
      </c>
      <c r="E208" s="300">
        <v>0.0</v>
      </c>
      <c r="F208" s="299"/>
      <c r="G208" s="299"/>
      <c r="H208" s="299"/>
      <c r="I208" s="299"/>
      <c r="J208" s="299"/>
      <c r="K208" s="299"/>
      <c r="L208" s="299"/>
      <c r="M208" s="299"/>
      <c r="N208" s="299"/>
      <c r="O208" s="299"/>
      <c r="P208" s="299"/>
      <c r="Q208" s="299"/>
      <c r="R208" s="299"/>
      <c r="S208" s="299"/>
      <c r="T208" s="299"/>
      <c r="U208" s="299"/>
    </row>
    <row r="209">
      <c r="A209" t="str">
        <f>IFERROR(__xludf.DUMMYFUNCTION("""COMPUTED_VALUE"""),"Life Purpose")</f>
        <v>Life Purpose</v>
      </c>
      <c r="B209" s="3" t="str">
        <f>IFERROR(__xludf.DUMMYFUNCTION("""COMPUTED_VALUE"""),"8")</f>
        <v>8</v>
      </c>
      <c r="C209" t="str">
        <f>IFERROR(__xludf.DUMMYFUNCTION("""COMPUTED_VALUE"""),"Spanish Film, Art, and Literature")</f>
        <v>Spanish Film, Art, and Literature</v>
      </c>
      <c r="D209" s="3">
        <f>IFERROR(__xludf.DUMMYFUNCTION("""COMPUTED_VALUE"""),5.0)</f>
        <v>5</v>
      </c>
      <c r="E209" s="300">
        <v>0.0</v>
      </c>
      <c r="F209" s="299"/>
      <c r="G209" s="299"/>
      <c r="H209" s="299"/>
      <c r="I209" s="299"/>
      <c r="J209" s="299"/>
      <c r="K209" s="299"/>
      <c r="L209" s="299"/>
      <c r="M209" s="299"/>
      <c r="N209" s="299"/>
      <c r="O209" s="299"/>
      <c r="P209" s="299"/>
      <c r="Q209" s="299"/>
      <c r="R209" s="299"/>
      <c r="S209" s="299"/>
      <c r="T209" s="299"/>
      <c r="U209" s="299"/>
    </row>
    <row r="210">
      <c r="A210" t="str">
        <f>IFERROR(__xludf.DUMMYFUNCTION("""COMPUTED_VALUE"""),"Sociales 10")</f>
        <v>Sociales 10</v>
      </c>
      <c r="B210" s="3" t="str">
        <f>IFERROR(__xludf.DUMMYFUNCTION("""COMPUTED_VALUE"""),"8")</f>
        <v>8</v>
      </c>
      <c r="C210" t="str">
        <f>IFERROR(__xludf.DUMMYFUNCTION("""COMPUTED_VALUE"""),"Spanish Film, Art, and Literature")</f>
        <v>Spanish Film, Art, and Literature</v>
      </c>
      <c r="D210" s="3">
        <f>IFERROR(__xludf.DUMMYFUNCTION("""COMPUTED_VALUE"""),8.0)</f>
        <v>8</v>
      </c>
      <c r="E210" s="300">
        <v>0.0</v>
      </c>
      <c r="F210" s="299"/>
      <c r="G210" s="299"/>
      <c r="H210" s="299"/>
      <c r="I210" s="299"/>
      <c r="J210" s="299"/>
      <c r="K210" s="299"/>
      <c r="L210" s="299"/>
      <c r="M210" s="299"/>
      <c r="N210" s="299"/>
      <c r="O210" s="299"/>
      <c r="P210" s="299"/>
      <c r="Q210" s="299"/>
      <c r="R210" s="299"/>
      <c r="S210" s="299"/>
      <c r="T210" s="299"/>
      <c r="U210" s="299"/>
    </row>
    <row r="211">
      <c r="A211" t="str">
        <f>IFERROR(__xludf.DUMMYFUNCTION("""COMPUTED_VALUE"""),"ISC")</f>
        <v>ISC</v>
      </c>
      <c r="B211" s="3" t="str">
        <f>IFERROR(__xludf.DUMMYFUNCTION("""COMPUTED_VALUE"""),"8")</f>
        <v>8</v>
      </c>
      <c r="C211" t="str">
        <f>IFERROR(__xludf.DUMMYFUNCTION("""COMPUTED_VALUE"""),"Technology 9")</f>
        <v>Technology 9</v>
      </c>
      <c r="D211" s="3">
        <f>IFERROR(__xludf.DUMMYFUNCTION("""COMPUTED_VALUE"""),1.0)</f>
        <v>1</v>
      </c>
      <c r="E211" s="300">
        <v>0.0</v>
      </c>
      <c r="F211" s="299"/>
      <c r="G211" s="299"/>
      <c r="H211" s="299"/>
      <c r="I211" s="299"/>
      <c r="J211" s="299"/>
      <c r="K211" s="299"/>
      <c r="L211" s="299"/>
      <c r="M211" s="299"/>
      <c r="N211" s="299"/>
      <c r="O211" s="299"/>
      <c r="P211" s="299"/>
      <c r="Q211" s="299"/>
      <c r="R211" s="299"/>
      <c r="S211" s="299"/>
      <c r="T211" s="299"/>
      <c r="U211" s="299"/>
    </row>
    <row r="212">
      <c r="A212" t="str">
        <f>IFERROR(__xludf.DUMMYFUNCTION("""COMPUTED_VALUE"""),"PE 9")</f>
        <v>PE 9</v>
      </c>
      <c r="B212" s="3" t="str">
        <f>IFERROR(__xludf.DUMMYFUNCTION("""COMPUTED_VALUE"""),"8")</f>
        <v>8</v>
      </c>
      <c r="C212" t="str">
        <f>IFERROR(__xludf.DUMMYFUNCTION("""COMPUTED_VALUE"""),"Technology 9")</f>
        <v>Technology 9</v>
      </c>
      <c r="D212" s="3">
        <f>IFERROR(__xludf.DUMMYFUNCTION("""COMPUTED_VALUE"""),3.0)</f>
        <v>3</v>
      </c>
      <c r="E212" s="300">
        <v>0.0</v>
      </c>
      <c r="F212" s="299"/>
      <c r="G212" s="299"/>
      <c r="H212" s="299"/>
      <c r="I212" s="299"/>
      <c r="J212" s="299"/>
      <c r="K212" s="299"/>
      <c r="L212" s="299"/>
      <c r="M212" s="299"/>
      <c r="N212" s="299"/>
      <c r="O212" s="299"/>
      <c r="P212" s="299"/>
      <c r="Q212" s="299"/>
      <c r="R212" s="299"/>
      <c r="S212" s="299"/>
      <c r="T212" s="299"/>
      <c r="U212" s="299"/>
    </row>
    <row r="213">
      <c r="A213" t="str">
        <f>IFERROR(__xludf.DUMMYFUNCTION("""COMPUTED_VALUE"""),"PE 12")</f>
        <v>PE 12</v>
      </c>
      <c r="B213" s="3" t="str">
        <f>IFERROR(__xludf.DUMMYFUNCTION("""COMPUTED_VALUE"""),"8")</f>
        <v>8</v>
      </c>
      <c r="C213" t="str">
        <f>IFERROR(__xludf.DUMMYFUNCTION("""COMPUTED_VALUE"""),"Technology 9")</f>
        <v>Technology 9</v>
      </c>
      <c r="D213" s="3">
        <f>IFERROR(__xludf.DUMMYFUNCTION("""COMPUTED_VALUE"""),5.0)</f>
        <v>5</v>
      </c>
      <c r="E213" s="300">
        <v>0.0</v>
      </c>
      <c r="F213" s="299"/>
      <c r="G213" s="299"/>
      <c r="H213" s="299"/>
      <c r="I213" s="299"/>
      <c r="J213" s="299"/>
      <c r="K213" s="299"/>
      <c r="L213" s="299"/>
      <c r="M213" s="299"/>
      <c r="N213" s="299"/>
      <c r="O213" s="299"/>
      <c r="P213" s="299"/>
      <c r="Q213" s="299"/>
      <c r="R213" s="299"/>
      <c r="S213" s="299"/>
      <c r="T213" s="299"/>
      <c r="U213" s="299"/>
    </row>
    <row r="214">
      <c r="B214" s="3"/>
      <c r="D214" s="3"/>
      <c r="E214" s="300" t="s">
        <v>22</v>
      </c>
      <c r="F214" s="299"/>
      <c r="G214" s="299"/>
      <c r="H214" s="299"/>
      <c r="I214" s="299"/>
      <c r="J214" s="299"/>
      <c r="K214" s="299"/>
      <c r="L214" s="299"/>
      <c r="M214" s="299"/>
      <c r="N214" s="299"/>
      <c r="O214" s="299"/>
      <c r="P214" s="299"/>
      <c r="Q214" s="299"/>
      <c r="R214" s="299"/>
      <c r="S214" s="299"/>
      <c r="T214" s="299"/>
      <c r="U214" s="299"/>
    </row>
    <row r="215">
      <c r="B215" s="3"/>
      <c r="D215" s="3"/>
      <c r="E215" s="300" t="s">
        <v>22</v>
      </c>
      <c r="F215" s="299"/>
      <c r="G215" s="299"/>
      <c r="H215" s="299"/>
      <c r="I215" s="299"/>
      <c r="J215" s="299"/>
      <c r="K215" s="299"/>
      <c r="L215" s="299"/>
      <c r="M215" s="299"/>
      <c r="N215" s="299"/>
      <c r="O215" s="299"/>
      <c r="P215" s="299"/>
      <c r="Q215" s="299"/>
      <c r="R215" s="299"/>
      <c r="S215" s="299"/>
      <c r="T215" s="299"/>
      <c r="U215" s="299"/>
    </row>
    <row r="216">
      <c r="B216" s="3"/>
      <c r="D216" s="3"/>
      <c r="E216" s="300" t="s">
        <v>22</v>
      </c>
      <c r="F216" s="299"/>
      <c r="G216" s="299"/>
      <c r="H216" s="299"/>
      <c r="I216" s="299"/>
      <c r="J216" s="299"/>
      <c r="K216" s="299"/>
      <c r="L216" s="299"/>
      <c r="M216" s="299"/>
      <c r="N216" s="299"/>
      <c r="O216" s="299"/>
      <c r="P216" s="299"/>
      <c r="Q216" s="299"/>
      <c r="R216" s="299"/>
      <c r="S216" s="299"/>
      <c r="T216" s="299"/>
      <c r="U216" s="299"/>
    </row>
    <row r="217">
      <c r="B217" s="3"/>
      <c r="D217" s="3"/>
      <c r="E217" s="300" t="s">
        <v>22</v>
      </c>
      <c r="F217" s="299"/>
      <c r="G217" s="299"/>
      <c r="H217" s="299"/>
      <c r="I217" s="299"/>
      <c r="J217" s="299"/>
      <c r="K217" s="299"/>
      <c r="L217" s="299"/>
      <c r="M217" s="299"/>
      <c r="N217" s="299"/>
      <c r="O217" s="299"/>
      <c r="P217" s="299"/>
      <c r="Q217" s="299"/>
      <c r="R217" s="299"/>
      <c r="S217" s="299"/>
      <c r="T217" s="299"/>
      <c r="U217" s="299"/>
    </row>
    <row r="218">
      <c r="B218" s="3"/>
      <c r="D218" s="3"/>
      <c r="E218" s="300" t="s">
        <v>22</v>
      </c>
      <c r="F218" s="299"/>
      <c r="G218" s="299"/>
      <c r="H218" s="299"/>
      <c r="I218" s="299"/>
      <c r="J218" s="299"/>
      <c r="K218" s="299"/>
      <c r="L218" s="299"/>
      <c r="M218" s="299"/>
      <c r="N218" s="299"/>
      <c r="O218" s="299"/>
      <c r="P218" s="299"/>
      <c r="Q218" s="299"/>
      <c r="R218" s="299"/>
      <c r="S218" s="299"/>
      <c r="T218" s="299"/>
      <c r="U218" s="299"/>
    </row>
    <row r="219">
      <c r="B219" s="3"/>
      <c r="D219" s="3"/>
      <c r="E219" s="300" t="s">
        <v>22</v>
      </c>
      <c r="F219" s="299"/>
      <c r="G219" s="299"/>
      <c r="H219" s="299"/>
      <c r="I219" s="299"/>
      <c r="J219" s="299"/>
      <c r="K219" s="299"/>
      <c r="L219" s="299"/>
      <c r="M219" s="299"/>
      <c r="N219" s="299"/>
      <c r="O219" s="299"/>
      <c r="P219" s="299"/>
      <c r="Q219" s="299"/>
      <c r="R219" s="299"/>
      <c r="S219" s="299"/>
      <c r="T219" s="299"/>
      <c r="U219" s="299"/>
    </row>
    <row r="220">
      <c r="B220" s="3"/>
      <c r="D220" s="3"/>
      <c r="E220" s="300" t="s">
        <v>22</v>
      </c>
      <c r="F220" s="299"/>
      <c r="G220" s="299"/>
      <c r="H220" s="299"/>
      <c r="I220" s="299"/>
      <c r="J220" s="299"/>
      <c r="K220" s="299"/>
      <c r="L220" s="299"/>
      <c r="M220" s="299"/>
      <c r="N220" s="299"/>
      <c r="O220" s="299"/>
      <c r="P220" s="299"/>
      <c r="Q220" s="299"/>
      <c r="R220" s="299"/>
      <c r="S220" s="299"/>
      <c r="T220" s="299"/>
      <c r="U220" s="299"/>
    </row>
    <row r="221">
      <c r="B221" s="3"/>
      <c r="D221" s="3"/>
      <c r="E221" s="300" t="s">
        <v>22</v>
      </c>
      <c r="F221" s="299"/>
      <c r="G221" s="299"/>
      <c r="H221" s="299"/>
      <c r="I221" s="299"/>
      <c r="J221" s="299"/>
      <c r="K221" s="299"/>
      <c r="L221" s="299"/>
      <c r="M221" s="299"/>
      <c r="N221" s="299"/>
      <c r="O221" s="299"/>
      <c r="P221" s="299"/>
      <c r="Q221" s="299"/>
      <c r="R221" s="299"/>
      <c r="S221" s="299"/>
      <c r="T221" s="299"/>
      <c r="U221" s="299"/>
    </row>
    <row r="222">
      <c r="B222" s="3"/>
      <c r="D222" s="3"/>
      <c r="E222" s="300" t="s">
        <v>22</v>
      </c>
      <c r="F222" s="299"/>
      <c r="G222" s="299"/>
      <c r="H222" s="299"/>
      <c r="I222" s="299"/>
      <c r="J222" s="299"/>
      <c r="K222" s="299"/>
      <c r="L222" s="299"/>
      <c r="M222" s="299"/>
      <c r="N222" s="299"/>
      <c r="O222" s="299"/>
      <c r="P222" s="299"/>
      <c r="Q222" s="299"/>
      <c r="R222" s="299"/>
      <c r="S222" s="299"/>
      <c r="T222" s="299"/>
      <c r="U222" s="299"/>
    </row>
    <row r="223">
      <c r="B223" s="3"/>
      <c r="D223" s="3"/>
      <c r="E223" s="300" t="s">
        <v>22</v>
      </c>
      <c r="F223" s="299"/>
      <c r="G223" s="299"/>
      <c r="H223" s="299"/>
      <c r="I223" s="299"/>
      <c r="J223" s="299"/>
      <c r="K223" s="299"/>
      <c r="L223" s="299"/>
      <c r="M223" s="299"/>
      <c r="N223" s="299"/>
      <c r="O223" s="299"/>
      <c r="P223" s="299"/>
      <c r="Q223" s="299"/>
      <c r="R223" s="299"/>
      <c r="S223" s="299"/>
      <c r="T223" s="299"/>
      <c r="U223" s="299"/>
    </row>
    <row r="224">
      <c r="B224" s="3"/>
      <c r="D224" s="3"/>
      <c r="E224" s="300" t="s">
        <v>22</v>
      </c>
      <c r="F224" s="299"/>
      <c r="G224" s="299"/>
      <c r="H224" s="299"/>
      <c r="I224" s="299"/>
      <c r="J224" s="299"/>
      <c r="K224" s="299"/>
      <c r="L224" s="299"/>
      <c r="M224" s="299"/>
      <c r="N224" s="299"/>
      <c r="O224" s="299"/>
      <c r="P224" s="299"/>
      <c r="Q224" s="299"/>
      <c r="R224" s="299"/>
      <c r="S224" s="299"/>
      <c r="T224" s="299"/>
      <c r="U224" s="299"/>
    </row>
    <row r="225">
      <c r="B225" s="3"/>
      <c r="D225" s="3"/>
      <c r="E225" s="300" t="s">
        <v>22</v>
      </c>
      <c r="F225" s="299"/>
      <c r="G225" s="299"/>
      <c r="H225" s="299"/>
      <c r="I225" s="299"/>
      <c r="J225" s="299"/>
      <c r="K225" s="299"/>
      <c r="L225" s="299"/>
      <c r="M225" s="299"/>
      <c r="N225" s="299"/>
      <c r="O225" s="299"/>
      <c r="P225" s="299"/>
      <c r="Q225" s="299"/>
      <c r="R225" s="299"/>
      <c r="S225" s="299"/>
      <c r="T225" s="299"/>
      <c r="U225" s="299"/>
    </row>
    <row r="226">
      <c r="B226" s="3"/>
      <c r="D226" s="3"/>
      <c r="E226" s="300" t="s">
        <v>22</v>
      </c>
      <c r="F226" s="299"/>
      <c r="G226" s="299"/>
      <c r="H226" s="299"/>
      <c r="I226" s="299"/>
      <c r="J226" s="299"/>
      <c r="K226" s="299"/>
      <c r="L226" s="299"/>
      <c r="M226" s="299"/>
      <c r="N226" s="299"/>
      <c r="O226" s="299"/>
      <c r="P226" s="299"/>
      <c r="Q226" s="299"/>
      <c r="R226" s="299"/>
      <c r="S226" s="299"/>
      <c r="T226" s="299"/>
      <c r="U226" s="299"/>
    </row>
    <row r="227">
      <c r="B227" s="3"/>
      <c r="D227" s="3"/>
      <c r="E227" s="300" t="s">
        <v>22</v>
      </c>
      <c r="F227" s="299"/>
      <c r="G227" s="299"/>
      <c r="H227" s="299"/>
      <c r="I227" s="299"/>
      <c r="J227" s="299"/>
      <c r="K227" s="299"/>
      <c r="L227" s="299"/>
      <c r="M227" s="299"/>
      <c r="N227" s="299"/>
      <c r="O227" s="299"/>
      <c r="P227" s="299"/>
      <c r="Q227" s="299"/>
      <c r="R227" s="299"/>
      <c r="S227" s="299"/>
      <c r="T227" s="299"/>
      <c r="U227" s="299"/>
    </row>
    <row r="228">
      <c r="B228" s="3"/>
      <c r="D228" s="3"/>
      <c r="E228" s="300" t="s">
        <v>22</v>
      </c>
      <c r="F228" s="299"/>
      <c r="G228" s="299"/>
      <c r="H228" s="299"/>
      <c r="I228" s="299"/>
      <c r="J228" s="299"/>
      <c r="K228" s="299"/>
      <c r="L228" s="299"/>
      <c r="M228" s="299"/>
      <c r="N228" s="299"/>
      <c r="O228" s="299"/>
      <c r="P228" s="299"/>
      <c r="Q228" s="299"/>
      <c r="R228" s="299"/>
      <c r="S228" s="299"/>
      <c r="T228" s="299"/>
      <c r="U228" s="299"/>
    </row>
    <row r="229">
      <c r="B229" s="3"/>
      <c r="D229" s="3"/>
      <c r="E229" s="300" t="s">
        <v>22</v>
      </c>
      <c r="F229" s="299"/>
      <c r="G229" s="299"/>
      <c r="H229" s="299"/>
      <c r="I229" s="299"/>
      <c r="J229" s="299"/>
      <c r="K229" s="299"/>
      <c r="L229" s="299"/>
      <c r="M229" s="299"/>
      <c r="N229" s="299"/>
      <c r="O229" s="299"/>
      <c r="P229" s="299"/>
      <c r="Q229" s="299"/>
      <c r="R229" s="299"/>
      <c r="S229" s="299"/>
      <c r="T229" s="299"/>
      <c r="U229" s="299"/>
    </row>
    <row r="230">
      <c r="B230" s="3"/>
      <c r="D230" s="3"/>
      <c r="E230" s="300" t="s">
        <v>22</v>
      </c>
      <c r="F230" s="299"/>
      <c r="G230" s="299"/>
      <c r="H230" s="299"/>
      <c r="I230" s="299"/>
      <c r="J230" s="299"/>
      <c r="K230" s="299"/>
      <c r="L230" s="299"/>
      <c r="M230" s="299"/>
      <c r="N230" s="299"/>
      <c r="O230" s="299"/>
      <c r="P230" s="299"/>
      <c r="Q230" s="299"/>
      <c r="R230" s="299"/>
      <c r="S230" s="299"/>
      <c r="T230" s="299"/>
      <c r="U230" s="299"/>
    </row>
    <row r="231">
      <c r="A231" t="s">
        <v>132</v>
      </c>
      <c r="B231" s="275" t="s">
        <v>1037</v>
      </c>
      <c r="D231" s="3"/>
      <c r="E231" s="300" t="s">
        <v>22</v>
      </c>
      <c r="F231" s="299"/>
      <c r="G231" s="299"/>
      <c r="H231" s="299"/>
      <c r="I231" s="299"/>
      <c r="J231" s="299"/>
      <c r="K231" s="299"/>
      <c r="L231" s="299"/>
      <c r="M231" s="299"/>
      <c r="N231" s="299"/>
      <c r="O231" s="299"/>
      <c r="P231" s="299"/>
      <c r="Q231" s="299"/>
      <c r="R231" s="299"/>
      <c r="S231" s="299"/>
      <c r="T231" s="299"/>
      <c r="U231" s="299"/>
    </row>
    <row r="232">
      <c r="B232" s="3"/>
      <c r="D232" s="3"/>
      <c r="E232" s="300" t="s">
        <v>22</v>
      </c>
      <c r="F232" s="299"/>
      <c r="G232" s="299"/>
      <c r="H232" s="299"/>
      <c r="I232" s="299"/>
      <c r="J232" s="299"/>
      <c r="K232" s="299"/>
      <c r="L232" s="299"/>
      <c r="M232" s="299"/>
      <c r="N232" s="299"/>
      <c r="O232" s="299"/>
      <c r="P232" s="299"/>
      <c r="Q232" s="299"/>
      <c r="R232" s="299"/>
      <c r="S232" s="299"/>
      <c r="T232" s="299"/>
      <c r="U232" s="299"/>
    </row>
    <row r="233">
      <c r="B233" s="3"/>
      <c r="D233" s="3"/>
      <c r="E233" s="300" t="s">
        <v>22</v>
      </c>
      <c r="F233" s="299"/>
      <c r="G233" s="299"/>
      <c r="H233" s="299"/>
      <c r="I233" s="299"/>
      <c r="J233" s="299"/>
      <c r="K233" s="299"/>
      <c r="L233" s="299"/>
      <c r="M233" s="299"/>
      <c r="N233" s="299"/>
      <c r="O233" s="299"/>
      <c r="P233" s="299"/>
      <c r="Q233" s="299"/>
      <c r="R233" s="299"/>
      <c r="S233" s="299"/>
      <c r="T233" s="299"/>
      <c r="U233" s="299"/>
    </row>
    <row r="234">
      <c r="B234" s="3"/>
      <c r="D234" s="3"/>
      <c r="E234" s="300" t="s">
        <v>22</v>
      </c>
      <c r="F234" s="299"/>
      <c r="G234" s="299"/>
      <c r="H234" s="299"/>
      <c r="I234" s="299"/>
      <c r="J234" s="299"/>
      <c r="K234" s="299"/>
      <c r="L234" s="299"/>
      <c r="M234" s="299"/>
      <c r="N234" s="299"/>
      <c r="O234" s="299"/>
      <c r="P234" s="299"/>
      <c r="Q234" s="299"/>
      <c r="R234" s="299"/>
      <c r="S234" s="299"/>
      <c r="T234" s="299"/>
      <c r="U234" s="299"/>
    </row>
    <row r="235">
      <c r="B235" s="3"/>
      <c r="D235" s="3"/>
      <c r="E235" s="300" t="s">
        <v>22</v>
      </c>
      <c r="F235" s="299"/>
      <c r="G235" s="299"/>
      <c r="H235" s="299"/>
      <c r="I235" s="299"/>
      <c r="J235" s="299"/>
      <c r="K235" s="299"/>
      <c r="L235" s="299"/>
      <c r="M235" s="299"/>
      <c r="N235" s="299"/>
      <c r="O235" s="299"/>
      <c r="P235" s="299"/>
      <c r="Q235" s="299"/>
      <c r="R235" s="299"/>
      <c r="S235" s="299"/>
      <c r="T235" s="299"/>
      <c r="U235" s="299"/>
    </row>
    <row r="236">
      <c r="B236" s="3"/>
      <c r="D236" s="3"/>
      <c r="E236" s="300" t="s">
        <v>22</v>
      </c>
      <c r="F236" s="299"/>
      <c r="G236" s="299"/>
      <c r="H236" s="299"/>
      <c r="I236" s="299"/>
      <c r="J236" s="299"/>
      <c r="K236" s="299"/>
      <c r="L236" s="299"/>
      <c r="M236" s="299"/>
      <c r="N236" s="299"/>
      <c r="O236" s="299"/>
      <c r="P236" s="299"/>
      <c r="Q236" s="299"/>
      <c r="R236" s="299"/>
      <c r="S236" s="299"/>
      <c r="T236" s="299"/>
      <c r="U236" s="299"/>
    </row>
    <row r="237">
      <c r="B237" s="3"/>
      <c r="D237" s="3"/>
      <c r="E237" s="300" t="s">
        <v>22</v>
      </c>
      <c r="F237" s="299"/>
      <c r="G237" s="299"/>
      <c r="H237" s="299"/>
      <c r="I237" s="299"/>
      <c r="J237" s="299"/>
      <c r="K237" s="299"/>
      <c r="L237" s="299"/>
      <c r="M237" s="299"/>
      <c r="N237" s="299"/>
      <c r="O237" s="299"/>
      <c r="P237" s="299"/>
      <c r="Q237" s="299"/>
      <c r="R237" s="299"/>
      <c r="S237" s="299"/>
      <c r="T237" s="299"/>
      <c r="U237" s="299"/>
    </row>
    <row r="238">
      <c r="B238" s="3"/>
      <c r="D238" s="3"/>
      <c r="E238" s="300" t="s">
        <v>22</v>
      </c>
      <c r="F238" s="299"/>
      <c r="G238" s="299"/>
      <c r="H238" s="299"/>
      <c r="I238" s="299"/>
      <c r="J238" s="299"/>
      <c r="K238" s="299"/>
      <c r="L238" s="299"/>
      <c r="M238" s="299"/>
      <c r="N238" s="299"/>
      <c r="O238" s="299"/>
      <c r="P238" s="299"/>
      <c r="Q238" s="299"/>
      <c r="R238" s="299"/>
      <c r="S238" s="299"/>
      <c r="T238" s="299"/>
      <c r="U238" s="299"/>
    </row>
    <row r="239">
      <c r="B239" s="3"/>
      <c r="D239" s="3"/>
      <c r="E239" s="300" t="s">
        <v>22</v>
      </c>
      <c r="F239" s="299"/>
      <c r="G239" s="299"/>
      <c r="H239" s="299"/>
      <c r="I239" s="299"/>
      <c r="J239" s="299"/>
      <c r="K239" s="299"/>
      <c r="L239" s="299"/>
      <c r="M239" s="299"/>
      <c r="N239" s="299"/>
      <c r="O239" s="299"/>
      <c r="P239" s="299"/>
      <c r="Q239" s="299"/>
      <c r="R239" s="299"/>
      <c r="S239" s="299"/>
      <c r="T239" s="299"/>
      <c r="U239" s="299"/>
    </row>
    <row r="240">
      <c r="B240" s="3"/>
      <c r="D240" s="3"/>
      <c r="E240" s="300" t="s">
        <v>22</v>
      </c>
      <c r="F240" s="299"/>
      <c r="G240" s="299"/>
      <c r="H240" s="299"/>
      <c r="I240" s="299"/>
      <c r="J240" s="299"/>
      <c r="K240" s="299"/>
      <c r="L240" s="299"/>
      <c r="M240" s="299"/>
      <c r="N240" s="299"/>
      <c r="O240" s="299"/>
      <c r="P240" s="299"/>
      <c r="Q240" s="299"/>
      <c r="R240" s="299"/>
      <c r="S240" s="299"/>
      <c r="T240" s="299"/>
      <c r="U240" s="299"/>
    </row>
    <row r="241">
      <c r="B241" s="3"/>
      <c r="D241" s="3"/>
      <c r="E241" s="300" t="s">
        <v>22</v>
      </c>
      <c r="F241" s="299"/>
      <c r="G241" s="299"/>
      <c r="H241" s="299"/>
      <c r="I241" s="299"/>
      <c r="J241" s="299"/>
      <c r="K241" s="299"/>
      <c r="L241" s="299"/>
      <c r="M241" s="299"/>
      <c r="N241" s="299"/>
      <c r="O241" s="299"/>
      <c r="P241" s="299"/>
      <c r="Q241" s="299"/>
      <c r="R241" s="299"/>
      <c r="S241" s="299"/>
      <c r="T241" s="299"/>
      <c r="U241" s="299"/>
    </row>
    <row r="242">
      <c r="B242" s="3"/>
      <c r="D242" s="3"/>
      <c r="E242" s="300" t="s">
        <v>22</v>
      </c>
      <c r="F242" s="299"/>
      <c r="G242" s="299"/>
      <c r="H242" s="299"/>
      <c r="I242" s="299"/>
      <c r="J242" s="299"/>
      <c r="K242" s="299"/>
      <c r="L242" s="299"/>
      <c r="M242" s="299"/>
      <c r="N242" s="299"/>
      <c r="O242" s="299"/>
      <c r="P242" s="299"/>
      <c r="Q242" s="299"/>
      <c r="R242" s="299"/>
      <c r="S242" s="299"/>
      <c r="T242" s="299"/>
      <c r="U242" s="299"/>
    </row>
    <row r="243">
      <c r="B243" s="3"/>
      <c r="D243" s="3"/>
      <c r="E243" s="300" t="s">
        <v>22</v>
      </c>
      <c r="F243" s="299"/>
      <c r="G243" s="299"/>
      <c r="H243" s="299"/>
      <c r="I243" s="299"/>
      <c r="J243" s="299"/>
      <c r="K243" s="299"/>
      <c r="L243" s="299"/>
      <c r="M243" s="299"/>
      <c r="N243" s="299"/>
      <c r="O243" s="299"/>
      <c r="P243" s="299"/>
      <c r="Q243" s="299"/>
      <c r="R243" s="299"/>
      <c r="S243" s="299"/>
      <c r="T243" s="299"/>
      <c r="U243" s="299"/>
    </row>
    <row r="244">
      <c r="B244" s="3"/>
      <c r="D244" s="3"/>
      <c r="E244" s="300" t="s">
        <v>22</v>
      </c>
      <c r="F244" s="299"/>
      <c r="G244" s="299"/>
      <c r="H244" s="299"/>
      <c r="I244" s="299"/>
      <c r="J244" s="299"/>
      <c r="K244" s="299"/>
      <c r="L244" s="299"/>
      <c r="M244" s="299"/>
      <c r="N244" s="299"/>
      <c r="O244" s="299"/>
      <c r="P244" s="299"/>
      <c r="Q244" s="299"/>
      <c r="R244" s="299"/>
      <c r="S244" s="299"/>
      <c r="T244" s="299"/>
      <c r="U244" s="299"/>
    </row>
    <row r="245">
      <c r="B245" s="3"/>
      <c r="D245" s="3"/>
      <c r="E245" s="300" t="s">
        <v>22</v>
      </c>
      <c r="F245" s="299"/>
      <c r="G245" s="299"/>
      <c r="H245" s="299"/>
      <c r="I245" s="299"/>
      <c r="J245" s="299"/>
      <c r="K245" s="299"/>
      <c r="L245" s="299"/>
      <c r="M245" s="299"/>
      <c r="N245" s="299"/>
      <c r="O245" s="299"/>
      <c r="P245" s="299"/>
      <c r="Q245" s="299"/>
      <c r="R245" s="299"/>
      <c r="S245" s="299"/>
      <c r="T245" s="299"/>
      <c r="U245" s="299"/>
    </row>
    <row r="246">
      <c r="B246" s="3"/>
      <c r="D246" s="3"/>
      <c r="E246" s="300" t="s">
        <v>22</v>
      </c>
      <c r="F246" s="299"/>
      <c r="G246" s="299"/>
      <c r="H246" s="299"/>
      <c r="I246" s="299"/>
      <c r="J246" s="299"/>
      <c r="K246" s="299"/>
      <c r="L246" s="299"/>
      <c r="M246" s="299"/>
      <c r="N246" s="299"/>
      <c r="O246" s="299"/>
      <c r="P246" s="299"/>
      <c r="Q246" s="299"/>
      <c r="R246" s="299"/>
      <c r="S246" s="299"/>
      <c r="T246" s="299"/>
      <c r="U246" s="299"/>
    </row>
    <row r="247">
      <c r="B247" s="3"/>
      <c r="D247" s="3"/>
      <c r="E247" s="300" t="s">
        <v>22</v>
      </c>
      <c r="F247" s="299"/>
      <c r="G247" s="299"/>
      <c r="H247" s="299"/>
      <c r="I247" s="299"/>
      <c r="J247" s="299"/>
      <c r="K247" s="299"/>
      <c r="L247" s="299"/>
      <c r="M247" s="299"/>
      <c r="N247" s="299"/>
      <c r="O247" s="299"/>
      <c r="P247" s="299"/>
      <c r="Q247" s="299"/>
      <c r="R247" s="299"/>
      <c r="S247" s="299"/>
      <c r="T247" s="299"/>
      <c r="U247" s="299"/>
    </row>
    <row r="248">
      <c r="B248" s="3"/>
      <c r="D248" s="3"/>
      <c r="E248" s="300" t="s">
        <v>22</v>
      </c>
      <c r="F248" s="299"/>
      <c r="G248" s="299"/>
      <c r="H248" s="299"/>
      <c r="I248" s="299"/>
      <c r="J248" s="299"/>
      <c r="K248" s="299"/>
      <c r="L248" s="299"/>
      <c r="M248" s="299"/>
      <c r="N248" s="299"/>
      <c r="O248" s="299"/>
      <c r="P248" s="299"/>
      <c r="Q248" s="299"/>
      <c r="R248" s="299"/>
      <c r="S248" s="299"/>
      <c r="T248" s="299"/>
      <c r="U248" s="299"/>
    </row>
    <row r="249">
      <c r="B249" s="3"/>
      <c r="D249" s="3"/>
      <c r="E249" s="300" t="s">
        <v>22</v>
      </c>
      <c r="F249" s="299"/>
      <c r="G249" s="299"/>
      <c r="H249" s="299"/>
      <c r="I249" s="299"/>
      <c r="J249" s="299"/>
      <c r="K249" s="299"/>
      <c r="L249" s="299"/>
      <c r="M249" s="299"/>
      <c r="N249" s="299"/>
      <c r="O249" s="299"/>
      <c r="P249" s="299"/>
      <c r="Q249" s="299"/>
      <c r="R249" s="299"/>
      <c r="S249" s="299"/>
      <c r="T249" s="299"/>
      <c r="U249" s="299"/>
    </row>
    <row r="250">
      <c r="B250" s="3"/>
      <c r="D250" s="3"/>
      <c r="E250" s="300" t="s">
        <v>22</v>
      </c>
      <c r="F250" s="299"/>
      <c r="G250" s="299"/>
      <c r="H250" s="299"/>
      <c r="I250" s="299"/>
      <c r="J250" s="299"/>
      <c r="K250" s="299"/>
      <c r="L250" s="299"/>
      <c r="M250" s="299"/>
      <c r="N250" s="299"/>
      <c r="O250" s="299"/>
      <c r="P250" s="299"/>
      <c r="Q250" s="299"/>
      <c r="R250" s="299"/>
      <c r="S250" s="299"/>
      <c r="T250" s="299"/>
      <c r="U250" s="299"/>
    </row>
    <row r="251">
      <c r="B251" s="3"/>
      <c r="D251" s="3"/>
      <c r="E251" s="300" t="s">
        <v>22</v>
      </c>
      <c r="F251" s="299"/>
      <c r="G251" s="299"/>
      <c r="H251" s="299"/>
      <c r="I251" s="299"/>
      <c r="J251" s="299"/>
      <c r="K251" s="299"/>
      <c r="L251" s="299"/>
      <c r="M251" s="299"/>
      <c r="N251" s="299"/>
      <c r="O251" s="299"/>
      <c r="P251" s="299"/>
      <c r="Q251" s="299"/>
      <c r="R251" s="299"/>
      <c r="S251" s="299"/>
      <c r="T251" s="299"/>
      <c r="U251" s="299"/>
    </row>
    <row r="252">
      <c r="B252" s="3"/>
      <c r="D252" s="3"/>
      <c r="E252" s="300" t="s">
        <v>22</v>
      </c>
      <c r="F252" s="299"/>
      <c r="G252" s="299"/>
      <c r="H252" s="299"/>
      <c r="I252" s="299"/>
      <c r="J252" s="299"/>
      <c r="K252" s="299"/>
      <c r="L252" s="299"/>
      <c r="M252" s="299"/>
      <c r="N252" s="299"/>
      <c r="O252" s="299"/>
      <c r="P252" s="299"/>
      <c r="Q252" s="299"/>
      <c r="R252" s="299"/>
      <c r="S252" s="299"/>
      <c r="T252" s="299"/>
      <c r="U252" s="299"/>
    </row>
    <row r="253">
      <c r="B253" s="3"/>
      <c r="D253" s="3"/>
      <c r="E253" s="300" t="s">
        <v>22</v>
      </c>
      <c r="F253" s="299"/>
      <c r="G253" s="299"/>
      <c r="H253" s="299"/>
      <c r="I253" s="299"/>
      <c r="J253" s="299"/>
      <c r="K253" s="299"/>
      <c r="L253" s="299"/>
      <c r="M253" s="299"/>
      <c r="N253" s="299"/>
      <c r="O253" s="299"/>
      <c r="P253" s="299"/>
      <c r="Q253" s="299"/>
      <c r="R253" s="299"/>
      <c r="S253" s="299"/>
      <c r="T253" s="299"/>
      <c r="U253" s="299"/>
    </row>
    <row r="254">
      <c r="B254" s="3"/>
      <c r="D254" s="3"/>
      <c r="E254" s="300" t="s">
        <v>22</v>
      </c>
      <c r="F254" s="299"/>
      <c r="G254" s="299"/>
      <c r="H254" s="299"/>
      <c r="I254" s="299"/>
      <c r="J254" s="299"/>
      <c r="K254" s="299"/>
      <c r="L254" s="299"/>
      <c r="M254" s="299"/>
      <c r="N254" s="299"/>
      <c r="O254" s="299"/>
      <c r="P254" s="299"/>
      <c r="Q254" s="299"/>
      <c r="R254" s="299"/>
      <c r="S254" s="299"/>
      <c r="T254" s="299"/>
      <c r="U254" s="299"/>
    </row>
    <row r="255">
      <c r="B255" s="3"/>
      <c r="D255" s="3"/>
      <c r="E255" s="300" t="s">
        <v>22</v>
      </c>
      <c r="F255" s="299"/>
      <c r="G255" s="299"/>
      <c r="H255" s="299"/>
      <c r="I255" s="299"/>
      <c r="J255" s="299"/>
      <c r="K255" s="299"/>
      <c r="L255" s="299"/>
      <c r="M255" s="299"/>
      <c r="N255" s="299"/>
      <c r="O255" s="299"/>
      <c r="P255" s="299"/>
      <c r="Q255" s="299"/>
      <c r="R255" s="299"/>
      <c r="S255" s="299"/>
      <c r="T255" s="299"/>
      <c r="U255" s="299"/>
    </row>
    <row r="256">
      <c r="B256" s="3"/>
      <c r="D256" s="3"/>
      <c r="E256" s="300" t="s">
        <v>22</v>
      </c>
      <c r="F256" s="299"/>
      <c r="G256" s="299"/>
      <c r="H256" s="299"/>
      <c r="I256" s="299"/>
      <c r="J256" s="299"/>
      <c r="K256" s="299"/>
      <c r="L256" s="299"/>
      <c r="M256" s="299"/>
      <c r="N256" s="299"/>
      <c r="O256" s="299"/>
      <c r="P256" s="299"/>
      <c r="Q256" s="299"/>
      <c r="R256" s="299"/>
      <c r="S256" s="299"/>
      <c r="T256" s="299"/>
      <c r="U256" s="299"/>
    </row>
    <row r="257">
      <c r="B257" s="3"/>
      <c r="D257" s="3"/>
      <c r="E257" s="300" t="s">
        <v>22</v>
      </c>
      <c r="F257" s="299"/>
      <c r="G257" s="299"/>
      <c r="H257" s="299"/>
      <c r="I257" s="299"/>
      <c r="J257" s="299"/>
      <c r="K257" s="299"/>
      <c r="L257" s="299"/>
      <c r="M257" s="299"/>
      <c r="N257" s="299"/>
      <c r="O257" s="299"/>
      <c r="P257" s="299"/>
      <c r="Q257" s="299"/>
      <c r="R257" s="299"/>
      <c r="S257" s="299"/>
      <c r="T257" s="299"/>
      <c r="U257" s="299"/>
    </row>
    <row r="258">
      <c r="B258" s="3"/>
      <c r="D258" s="3"/>
      <c r="E258" s="300" t="s">
        <v>22</v>
      </c>
      <c r="F258" s="299"/>
      <c r="G258" s="299"/>
      <c r="H258" s="299"/>
      <c r="I258" s="299"/>
      <c r="J258" s="299"/>
      <c r="K258" s="299"/>
      <c r="L258" s="299"/>
      <c r="M258" s="299"/>
      <c r="N258" s="299"/>
      <c r="O258" s="299"/>
      <c r="P258" s="299"/>
      <c r="Q258" s="299"/>
      <c r="R258" s="299"/>
      <c r="S258" s="299"/>
      <c r="T258" s="299"/>
      <c r="U258" s="299"/>
    </row>
    <row r="259">
      <c r="B259" s="3"/>
      <c r="D259" s="3"/>
      <c r="E259" s="300" t="s">
        <v>22</v>
      </c>
      <c r="F259" s="299"/>
      <c r="G259" s="299"/>
      <c r="H259" s="299"/>
      <c r="I259" s="299"/>
      <c r="J259" s="299"/>
      <c r="K259" s="299"/>
      <c r="L259" s="299"/>
      <c r="M259" s="299"/>
      <c r="N259" s="299"/>
      <c r="O259" s="299"/>
      <c r="P259" s="299"/>
      <c r="Q259" s="299"/>
      <c r="R259" s="299"/>
      <c r="S259" s="299"/>
      <c r="T259" s="299"/>
      <c r="U259" s="299"/>
    </row>
    <row r="260">
      <c r="B260" s="3"/>
      <c r="D260" s="3"/>
      <c r="E260" s="300" t="s">
        <v>22</v>
      </c>
      <c r="F260" s="299"/>
      <c r="G260" s="299"/>
      <c r="H260" s="299"/>
      <c r="I260" s="299"/>
      <c r="J260" s="299"/>
      <c r="K260" s="299"/>
      <c r="L260" s="299"/>
      <c r="M260" s="299"/>
      <c r="N260" s="299"/>
      <c r="O260" s="299"/>
      <c r="P260" s="299"/>
      <c r="Q260" s="299"/>
      <c r="R260" s="299"/>
      <c r="S260" s="299"/>
      <c r="T260" s="299"/>
      <c r="U260" s="299"/>
    </row>
    <row r="261">
      <c r="B261" s="3"/>
      <c r="D261" s="3"/>
      <c r="E261" s="300" t="s">
        <v>22</v>
      </c>
      <c r="F261" s="299"/>
      <c r="G261" s="299"/>
      <c r="H261" s="299"/>
      <c r="I261" s="299"/>
      <c r="J261" s="299"/>
      <c r="K261" s="299"/>
      <c r="L261" s="299"/>
      <c r="M261" s="299"/>
      <c r="N261" s="299"/>
      <c r="O261" s="299"/>
      <c r="P261" s="299"/>
      <c r="Q261" s="299"/>
      <c r="R261" s="299"/>
      <c r="S261" s="299"/>
      <c r="T261" s="299"/>
      <c r="U261" s="299"/>
    </row>
    <row r="262">
      <c r="B262" s="3"/>
      <c r="D262" s="3"/>
      <c r="E262" s="300" t="s">
        <v>22</v>
      </c>
      <c r="F262" s="299"/>
      <c r="G262" s="299"/>
      <c r="H262" s="299"/>
      <c r="I262" s="299"/>
      <c r="J262" s="299"/>
      <c r="K262" s="299"/>
      <c r="L262" s="299"/>
      <c r="M262" s="299"/>
      <c r="N262" s="299"/>
      <c r="O262" s="299"/>
      <c r="P262" s="299"/>
      <c r="Q262" s="299"/>
      <c r="R262" s="299"/>
      <c r="S262" s="299"/>
      <c r="T262" s="299"/>
      <c r="U262" s="299"/>
    </row>
    <row r="263">
      <c r="B263" s="3"/>
      <c r="D263" s="3"/>
      <c r="E263" s="300" t="s">
        <v>22</v>
      </c>
      <c r="F263" s="299"/>
      <c r="G263" s="299"/>
      <c r="H263" s="299"/>
      <c r="I263" s="299"/>
      <c r="J263" s="299"/>
      <c r="K263" s="299"/>
      <c r="L263" s="299"/>
      <c r="M263" s="299"/>
      <c r="N263" s="299"/>
      <c r="O263" s="299"/>
      <c r="P263" s="299"/>
      <c r="Q263" s="299"/>
      <c r="R263" s="299"/>
      <c r="S263" s="299"/>
      <c r="T263" s="299"/>
      <c r="U263" s="299"/>
    </row>
    <row r="264">
      <c r="B264" s="3"/>
      <c r="D264" s="3"/>
      <c r="E264" s="300" t="s">
        <v>22</v>
      </c>
      <c r="F264" s="299"/>
      <c r="G264" s="299"/>
      <c r="H264" s="299"/>
      <c r="I264" s="299"/>
      <c r="J264" s="299"/>
      <c r="K264" s="299"/>
      <c r="L264" s="299"/>
      <c r="M264" s="299"/>
      <c r="N264" s="299"/>
      <c r="O264" s="299"/>
      <c r="P264" s="299"/>
      <c r="Q264" s="299"/>
      <c r="R264" s="299"/>
      <c r="S264" s="299"/>
      <c r="T264" s="299"/>
      <c r="U264" s="299"/>
    </row>
    <row r="265">
      <c r="B265" s="3"/>
      <c r="D265" s="3"/>
      <c r="E265" s="300" t="s">
        <v>22</v>
      </c>
      <c r="F265" s="299"/>
      <c r="G265" s="299"/>
      <c r="H265" s="299"/>
      <c r="I265" s="299"/>
      <c r="J265" s="299"/>
      <c r="K265" s="299"/>
      <c r="L265" s="299"/>
      <c r="M265" s="299"/>
      <c r="N265" s="299"/>
      <c r="O265" s="299"/>
      <c r="P265" s="299"/>
      <c r="Q265" s="299"/>
      <c r="R265" s="299"/>
      <c r="S265" s="299"/>
      <c r="T265" s="299"/>
      <c r="U265" s="299"/>
    </row>
    <row r="266">
      <c r="B266" s="3"/>
      <c r="D266" s="3"/>
      <c r="E266" s="300" t="s">
        <v>22</v>
      </c>
      <c r="F266" s="299"/>
      <c r="G266" s="299"/>
      <c r="H266" s="299"/>
      <c r="I266" s="299"/>
      <c r="J266" s="299"/>
      <c r="K266" s="299"/>
      <c r="L266" s="299"/>
      <c r="M266" s="299"/>
      <c r="N266" s="299"/>
      <c r="O266" s="299"/>
      <c r="P266" s="299"/>
      <c r="Q266" s="299"/>
      <c r="R266" s="299"/>
      <c r="S266" s="299"/>
      <c r="T266" s="299"/>
      <c r="U266" s="299"/>
    </row>
    <row r="267">
      <c r="B267" s="3"/>
      <c r="D267" s="3"/>
      <c r="E267" s="300" t="s">
        <v>22</v>
      </c>
      <c r="F267" s="299"/>
      <c r="G267" s="299"/>
      <c r="H267" s="299"/>
      <c r="I267" s="299"/>
      <c r="J267" s="299"/>
      <c r="K267" s="299"/>
      <c r="L267" s="299"/>
      <c r="M267" s="299"/>
      <c r="N267" s="299"/>
      <c r="O267" s="299"/>
      <c r="P267" s="299"/>
      <c r="Q267" s="299"/>
      <c r="R267" s="299"/>
      <c r="S267" s="299"/>
      <c r="T267" s="299"/>
      <c r="U267" s="299"/>
    </row>
    <row r="268">
      <c r="B268" s="3"/>
      <c r="D268" s="3"/>
      <c r="E268" s="300" t="s">
        <v>22</v>
      </c>
      <c r="F268" s="299"/>
      <c r="G268" s="299"/>
      <c r="H268" s="299"/>
      <c r="I268" s="299"/>
      <c r="J268" s="299"/>
      <c r="K268" s="299"/>
      <c r="L268" s="299"/>
      <c r="M268" s="299"/>
      <c r="N268" s="299"/>
      <c r="O268" s="299"/>
      <c r="P268" s="299"/>
      <c r="Q268" s="299"/>
      <c r="R268" s="299"/>
      <c r="S268" s="299"/>
      <c r="T268" s="299"/>
      <c r="U268" s="299"/>
    </row>
    <row r="269">
      <c r="B269" s="3"/>
      <c r="D269" s="3"/>
      <c r="E269" s="300" t="s">
        <v>22</v>
      </c>
      <c r="F269" s="299"/>
      <c r="G269" s="299"/>
      <c r="H269" s="299"/>
      <c r="I269" s="299"/>
      <c r="J269" s="299"/>
      <c r="K269" s="299"/>
      <c r="L269" s="299"/>
      <c r="M269" s="299"/>
      <c r="N269" s="299"/>
      <c r="O269" s="299"/>
      <c r="P269" s="299"/>
      <c r="Q269" s="299"/>
      <c r="R269" s="299"/>
      <c r="S269" s="299"/>
      <c r="T269" s="299"/>
      <c r="U269" s="299"/>
    </row>
    <row r="270">
      <c r="B270" s="3"/>
      <c r="D270" s="3"/>
      <c r="E270" s="300" t="s">
        <v>22</v>
      </c>
      <c r="F270" s="299"/>
      <c r="G270" s="299"/>
      <c r="H270" s="299"/>
      <c r="I270" s="299"/>
      <c r="J270" s="299"/>
      <c r="K270" s="299"/>
      <c r="L270" s="299"/>
      <c r="M270" s="299"/>
      <c r="N270" s="299"/>
      <c r="O270" s="299"/>
      <c r="P270" s="299"/>
      <c r="Q270" s="299"/>
      <c r="R270" s="299"/>
      <c r="S270" s="299"/>
      <c r="T270" s="299"/>
      <c r="U270" s="299"/>
    </row>
    <row r="271">
      <c r="B271" s="3"/>
      <c r="D271" s="3"/>
      <c r="E271" s="300" t="s">
        <v>22</v>
      </c>
      <c r="F271" s="299"/>
      <c r="G271" s="299"/>
      <c r="H271" s="299"/>
      <c r="I271" s="299"/>
      <c r="J271" s="299"/>
      <c r="K271" s="299"/>
      <c r="L271" s="299"/>
      <c r="M271" s="299"/>
      <c r="N271" s="299"/>
      <c r="O271" s="299"/>
      <c r="P271" s="299"/>
      <c r="Q271" s="299"/>
      <c r="R271" s="299"/>
      <c r="S271" s="299"/>
      <c r="T271" s="299"/>
      <c r="U271" s="299"/>
    </row>
    <row r="272">
      <c r="B272" s="3"/>
      <c r="D272" s="3"/>
      <c r="E272" s="300" t="s">
        <v>22</v>
      </c>
      <c r="F272" s="299"/>
      <c r="G272" s="299"/>
      <c r="H272" s="299"/>
      <c r="I272" s="299"/>
      <c r="J272" s="299"/>
      <c r="K272" s="299"/>
      <c r="L272" s="299"/>
      <c r="M272" s="299"/>
      <c r="N272" s="299"/>
      <c r="O272" s="299"/>
      <c r="P272" s="299"/>
      <c r="Q272" s="299"/>
      <c r="R272" s="299"/>
      <c r="S272" s="299"/>
      <c r="T272" s="299"/>
      <c r="U272" s="299"/>
    </row>
    <row r="273">
      <c r="B273" s="3"/>
      <c r="D273" s="3"/>
      <c r="E273" s="300" t="s">
        <v>22</v>
      </c>
      <c r="F273" s="299"/>
      <c r="G273" s="299"/>
      <c r="H273" s="299"/>
      <c r="I273" s="299"/>
      <c r="J273" s="299"/>
      <c r="K273" s="299"/>
      <c r="L273" s="299"/>
      <c r="M273" s="299"/>
      <c r="N273" s="299"/>
      <c r="O273" s="299"/>
      <c r="P273" s="299"/>
      <c r="Q273" s="299"/>
      <c r="R273" s="299"/>
      <c r="S273" s="299"/>
      <c r="T273" s="299"/>
      <c r="U273" s="299"/>
    </row>
    <row r="274">
      <c r="B274" s="3"/>
      <c r="D274" s="3"/>
      <c r="E274" s="300" t="s">
        <v>22</v>
      </c>
      <c r="F274" s="299"/>
      <c r="G274" s="299"/>
      <c r="H274" s="299"/>
      <c r="I274" s="299"/>
      <c r="J274" s="299"/>
      <c r="K274" s="299"/>
      <c r="L274" s="299"/>
      <c r="M274" s="299"/>
      <c r="N274" s="299"/>
      <c r="O274" s="299"/>
      <c r="P274" s="299"/>
      <c r="Q274" s="299"/>
      <c r="R274" s="299"/>
      <c r="S274" s="299"/>
      <c r="T274" s="299"/>
      <c r="U274" s="299"/>
    </row>
    <row r="275">
      <c r="B275" s="3"/>
      <c r="D275" s="3"/>
      <c r="E275" s="300" t="s">
        <v>22</v>
      </c>
      <c r="F275" s="299"/>
      <c r="G275" s="299"/>
      <c r="H275" s="299"/>
      <c r="I275" s="299"/>
      <c r="J275" s="299"/>
      <c r="K275" s="299"/>
      <c r="L275" s="299"/>
      <c r="M275" s="299"/>
      <c r="N275" s="299"/>
      <c r="O275" s="299"/>
      <c r="P275" s="299"/>
      <c r="Q275" s="299"/>
      <c r="R275" s="299"/>
      <c r="S275" s="299"/>
      <c r="T275" s="299"/>
      <c r="U275" s="299"/>
    </row>
    <row r="276">
      <c r="B276" s="3"/>
      <c r="D276" s="3"/>
      <c r="E276" s="300" t="s">
        <v>22</v>
      </c>
      <c r="F276" s="299"/>
      <c r="G276" s="299"/>
      <c r="H276" s="299"/>
      <c r="I276" s="299"/>
      <c r="J276" s="299"/>
      <c r="K276" s="299"/>
      <c r="L276" s="299"/>
      <c r="M276" s="299"/>
      <c r="N276" s="299"/>
      <c r="O276" s="299"/>
      <c r="P276" s="299"/>
      <c r="Q276" s="299"/>
      <c r="R276" s="299"/>
      <c r="S276" s="299"/>
      <c r="T276" s="299"/>
      <c r="U276" s="299"/>
    </row>
    <row r="277">
      <c r="B277" s="3"/>
      <c r="D277" s="3"/>
      <c r="E277" s="300" t="s">
        <v>22</v>
      </c>
      <c r="F277" s="299"/>
      <c r="G277" s="299"/>
      <c r="H277" s="299"/>
      <c r="I277" s="299"/>
      <c r="J277" s="299"/>
      <c r="K277" s="299"/>
      <c r="L277" s="299"/>
      <c r="M277" s="299"/>
      <c r="N277" s="299"/>
      <c r="O277" s="299"/>
      <c r="P277" s="299"/>
      <c r="Q277" s="299"/>
      <c r="R277" s="299"/>
      <c r="S277" s="299"/>
      <c r="T277" s="299"/>
      <c r="U277" s="299"/>
    </row>
    <row r="278">
      <c r="B278" s="3"/>
      <c r="D278" s="3"/>
      <c r="E278" s="300" t="s">
        <v>22</v>
      </c>
      <c r="F278" s="299"/>
      <c r="G278" s="299"/>
      <c r="H278" s="299"/>
      <c r="I278" s="299"/>
      <c r="J278" s="299"/>
      <c r="K278" s="299"/>
      <c r="L278" s="299"/>
      <c r="M278" s="299"/>
      <c r="N278" s="299"/>
      <c r="O278" s="299"/>
      <c r="P278" s="299"/>
      <c r="Q278" s="299"/>
      <c r="R278" s="299"/>
      <c r="S278" s="299"/>
      <c r="T278" s="299"/>
      <c r="U278" s="299"/>
    </row>
    <row r="279">
      <c r="B279" s="3"/>
      <c r="D279" s="3"/>
      <c r="E279" s="300" t="s">
        <v>22</v>
      </c>
      <c r="F279" s="299"/>
      <c r="G279" s="299"/>
      <c r="H279" s="299"/>
      <c r="I279" s="299"/>
      <c r="J279" s="299"/>
      <c r="K279" s="299"/>
      <c r="L279" s="299"/>
      <c r="M279" s="299"/>
      <c r="N279" s="299"/>
      <c r="O279" s="299"/>
      <c r="P279" s="299"/>
      <c r="Q279" s="299"/>
      <c r="R279" s="299"/>
      <c r="S279" s="299"/>
      <c r="T279" s="299"/>
      <c r="U279" s="299"/>
    </row>
    <row r="280">
      <c r="B280" s="3"/>
      <c r="D280" s="3"/>
      <c r="E280" s="300" t="s">
        <v>22</v>
      </c>
      <c r="F280" s="299"/>
      <c r="G280" s="299"/>
      <c r="H280" s="299"/>
      <c r="I280" s="299"/>
      <c r="J280" s="299"/>
      <c r="K280" s="299"/>
      <c r="L280" s="299"/>
      <c r="M280" s="299"/>
      <c r="N280" s="299"/>
      <c r="O280" s="299"/>
      <c r="P280" s="299"/>
      <c r="Q280" s="299"/>
      <c r="R280" s="299"/>
      <c r="S280" s="299"/>
      <c r="T280" s="299"/>
      <c r="U280" s="299"/>
    </row>
    <row r="281">
      <c r="B281" s="3"/>
      <c r="D281" s="3"/>
      <c r="E281" s="300" t="s">
        <v>22</v>
      </c>
      <c r="F281" s="299"/>
      <c r="G281" s="299"/>
      <c r="H281" s="299"/>
      <c r="I281" s="299"/>
      <c r="J281" s="299"/>
      <c r="K281" s="299"/>
      <c r="L281" s="299"/>
      <c r="M281" s="299"/>
      <c r="N281" s="299"/>
      <c r="O281" s="299"/>
      <c r="P281" s="299"/>
      <c r="Q281" s="299"/>
      <c r="R281" s="299"/>
      <c r="S281" s="299"/>
      <c r="T281" s="299"/>
      <c r="U281" s="299"/>
    </row>
    <row r="282">
      <c r="B282" s="3"/>
      <c r="D282" s="3"/>
      <c r="E282" s="300" t="s">
        <v>22</v>
      </c>
      <c r="F282" s="299"/>
      <c r="G282" s="299"/>
      <c r="H282" s="299"/>
      <c r="I282" s="299"/>
      <c r="J282" s="299"/>
      <c r="K282" s="299"/>
      <c r="L282" s="299"/>
      <c r="M282" s="299"/>
      <c r="N282" s="299"/>
      <c r="O282" s="299"/>
      <c r="P282" s="299"/>
      <c r="Q282" s="299"/>
      <c r="R282" s="299"/>
      <c r="S282" s="299"/>
      <c r="T282" s="299"/>
      <c r="U282" s="299"/>
    </row>
    <row r="283">
      <c r="B283" s="3"/>
      <c r="D283" s="3"/>
      <c r="E283" s="300" t="s">
        <v>22</v>
      </c>
      <c r="F283" s="299"/>
      <c r="G283" s="299"/>
      <c r="H283" s="299"/>
      <c r="I283" s="299"/>
      <c r="J283" s="299"/>
      <c r="K283" s="299"/>
      <c r="L283" s="299"/>
      <c r="M283" s="299"/>
      <c r="N283" s="299"/>
      <c r="O283" s="299"/>
      <c r="P283" s="299"/>
      <c r="Q283" s="299"/>
      <c r="R283" s="299"/>
      <c r="S283" s="299"/>
      <c r="T283" s="299"/>
      <c r="U283" s="299"/>
    </row>
    <row r="284">
      <c r="B284" s="3"/>
      <c r="D284" s="3"/>
      <c r="E284" s="300" t="s">
        <v>22</v>
      </c>
      <c r="F284" s="299"/>
      <c r="G284" s="299"/>
      <c r="H284" s="299"/>
      <c r="I284" s="299"/>
      <c r="J284" s="299"/>
      <c r="K284" s="299"/>
      <c r="L284" s="299"/>
      <c r="M284" s="299"/>
      <c r="N284" s="299"/>
      <c r="O284" s="299"/>
      <c r="P284" s="299"/>
      <c r="Q284" s="299"/>
      <c r="R284" s="299"/>
      <c r="S284" s="299"/>
      <c r="T284" s="299"/>
      <c r="U284" s="299"/>
    </row>
    <row r="285">
      <c r="B285" s="3"/>
      <c r="D285" s="3"/>
      <c r="E285" s="300" t="s">
        <v>22</v>
      </c>
      <c r="F285" s="299"/>
      <c r="G285" s="299"/>
      <c r="H285" s="299"/>
      <c r="I285" s="299"/>
      <c r="J285" s="299"/>
      <c r="K285" s="299"/>
      <c r="L285" s="299"/>
      <c r="M285" s="299"/>
      <c r="N285" s="299"/>
      <c r="O285" s="299"/>
      <c r="P285" s="299"/>
      <c r="Q285" s="299"/>
      <c r="R285" s="299"/>
      <c r="S285" s="299"/>
      <c r="T285" s="299"/>
      <c r="U285" s="299"/>
    </row>
    <row r="286">
      <c r="B286" s="3"/>
      <c r="D286" s="3"/>
      <c r="E286" s="300" t="s">
        <v>22</v>
      </c>
      <c r="F286" s="299"/>
      <c r="G286" s="299"/>
      <c r="H286" s="299"/>
      <c r="I286" s="299"/>
      <c r="J286" s="299"/>
      <c r="K286" s="299"/>
      <c r="L286" s="299"/>
      <c r="M286" s="299"/>
      <c r="N286" s="299"/>
      <c r="O286" s="299"/>
      <c r="P286" s="299"/>
      <c r="Q286" s="299"/>
      <c r="R286" s="299"/>
      <c r="S286" s="299"/>
      <c r="T286" s="299"/>
      <c r="U286" s="299"/>
    </row>
    <row r="287">
      <c r="B287" s="3"/>
      <c r="D287" s="3"/>
      <c r="E287" s="300" t="s">
        <v>22</v>
      </c>
      <c r="F287" s="299"/>
      <c r="G287" s="299"/>
      <c r="H287" s="299"/>
      <c r="I287" s="299"/>
      <c r="J287" s="299"/>
      <c r="K287" s="299"/>
      <c r="L287" s="299"/>
      <c r="M287" s="299"/>
      <c r="N287" s="299"/>
      <c r="O287" s="299"/>
      <c r="P287" s="299"/>
      <c r="Q287" s="299"/>
      <c r="R287" s="299"/>
      <c r="S287" s="299"/>
      <c r="T287" s="299"/>
      <c r="U287" s="299"/>
    </row>
    <row r="288">
      <c r="B288" s="3"/>
      <c r="D288" s="3"/>
      <c r="E288" s="300" t="s">
        <v>22</v>
      </c>
      <c r="F288" s="299"/>
      <c r="G288" s="299"/>
      <c r="H288" s="299"/>
      <c r="I288" s="299"/>
      <c r="J288" s="299"/>
      <c r="K288" s="299"/>
      <c r="L288" s="299"/>
      <c r="M288" s="299"/>
      <c r="N288" s="299"/>
      <c r="O288" s="299"/>
      <c r="P288" s="299"/>
      <c r="Q288" s="299"/>
      <c r="R288" s="299"/>
      <c r="S288" s="299"/>
      <c r="T288" s="299"/>
      <c r="U288" s="299"/>
    </row>
    <row r="289">
      <c r="B289" s="3"/>
      <c r="D289" s="3"/>
      <c r="E289" s="300" t="s">
        <v>22</v>
      </c>
      <c r="F289" s="299"/>
      <c r="G289" s="299"/>
      <c r="H289" s="299"/>
      <c r="I289" s="299"/>
      <c r="J289" s="299"/>
      <c r="K289" s="299"/>
      <c r="L289" s="299"/>
      <c r="M289" s="299"/>
      <c r="N289" s="299"/>
      <c r="O289" s="299"/>
      <c r="P289" s="299"/>
      <c r="Q289" s="299"/>
      <c r="R289" s="299"/>
      <c r="S289" s="299"/>
      <c r="T289" s="299"/>
      <c r="U289" s="299"/>
    </row>
    <row r="290">
      <c r="B290" s="3"/>
      <c r="D290" s="3"/>
      <c r="E290" s="300" t="s">
        <v>22</v>
      </c>
      <c r="F290" s="299"/>
      <c r="G290" s="299"/>
      <c r="H290" s="299"/>
      <c r="I290" s="299"/>
      <c r="J290" s="299"/>
      <c r="K290" s="299"/>
      <c r="L290" s="299"/>
      <c r="M290" s="299"/>
      <c r="N290" s="299"/>
      <c r="O290" s="299"/>
      <c r="P290" s="299"/>
      <c r="Q290" s="299"/>
      <c r="R290" s="299"/>
      <c r="S290" s="299"/>
      <c r="T290" s="299"/>
      <c r="U290" s="299"/>
    </row>
    <row r="291">
      <c r="B291" s="3"/>
      <c r="D291" s="3"/>
      <c r="E291" s="300" t="s">
        <v>22</v>
      </c>
      <c r="F291" s="299"/>
      <c r="G291" s="299"/>
      <c r="H291" s="299"/>
      <c r="I291" s="299"/>
      <c r="J291" s="299"/>
      <c r="K291" s="299"/>
      <c r="L291" s="299"/>
      <c r="M291" s="299"/>
      <c r="N291" s="299"/>
      <c r="O291" s="299"/>
      <c r="P291" s="299"/>
      <c r="Q291" s="299"/>
      <c r="R291" s="299"/>
      <c r="S291" s="299"/>
      <c r="T291" s="299"/>
      <c r="U291" s="299"/>
    </row>
    <row r="292">
      <c r="B292" s="3"/>
      <c r="D292" s="3"/>
      <c r="E292" s="300" t="s">
        <v>22</v>
      </c>
      <c r="F292" s="299"/>
      <c r="G292" s="299"/>
      <c r="H292" s="299"/>
      <c r="I292" s="299"/>
      <c r="J292" s="299"/>
      <c r="K292" s="299"/>
      <c r="L292" s="299"/>
      <c r="M292" s="299"/>
      <c r="N292" s="299"/>
      <c r="O292" s="299"/>
      <c r="P292" s="299"/>
      <c r="Q292" s="299"/>
      <c r="R292" s="299"/>
      <c r="S292" s="299"/>
      <c r="T292" s="299"/>
      <c r="U292" s="299"/>
    </row>
    <row r="293">
      <c r="B293" s="3"/>
      <c r="D293" s="3"/>
      <c r="E293" s="300" t="s">
        <v>22</v>
      </c>
      <c r="F293" s="299"/>
      <c r="G293" s="299"/>
      <c r="H293" s="299"/>
      <c r="I293" s="299"/>
      <c r="J293" s="299"/>
      <c r="K293" s="299"/>
      <c r="L293" s="299"/>
      <c r="M293" s="299"/>
      <c r="N293" s="299"/>
      <c r="O293" s="299"/>
      <c r="P293" s="299"/>
      <c r="Q293" s="299"/>
      <c r="R293" s="299"/>
      <c r="S293" s="299"/>
      <c r="T293" s="299"/>
      <c r="U293" s="299"/>
    </row>
    <row r="294">
      <c r="B294" s="3"/>
      <c r="D294" s="3"/>
      <c r="E294" s="300" t="s">
        <v>22</v>
      </c>
      <c r="F294" s="299"/>
      <c r="G294" s="299"/>
      <c r="H294" s="299"/>
      <c r="I294" s="299"/>
      <c r="J294" s="299"/>
      <c r="K294" s="299"/>
      <c r="L294" s="299"/>
      <c r="M294" s="299"/>
      <c r="N294" s="299"/>
      <c r="O294" s="299"/>
      <c r="P294" s="299"/>
      <c r="Q294" s="299"/>
      <c r="R294" s="299"/>
      <c r="S294" s="299"/>
      <c r="T294" s="299"/>
      <c r="U294" s="299"/>
    </row>
    <row r="295">
      <c r="B295" s="3"/>
      <c r="D295" s="3"/>
      <c r="E295" s="300" t="s">
        <v>22</v>
      </c>
      <c r="F295" s="299"/>
      <c r="G295" s="299"/>
      <c r="H295" s="299"/>
      <c r="I295" s="299"/>
      <c r="J295" s="299"/>
      <c r="K295" s="299"/>
      <c r="L295" s="299"/>
      <c r="M295" s="299"/>
      <c r="N295" s="299"/>
      <c r="O295" s="299"/>
      <c r="P295" s="299"/>
      <c r="Q295" s="299"/>
      <c r="R295" s="299"/>
      <c r="S295" s="299"/>
      <c r="T295" s="299"/>
      <c r="U295" s="299"/>
    </row>
    <row r="296">
      <c r="B296" s="3"/>
      <c r="D296" s="3"/>
      <c r="E296" s="300" t="s">
        <v>22</v>
      </c>
      <c r="F296" s="299"/>
      <c r="G296" s="299"/>
      <c r="H296" s="299"/>
      <c r="I296" s="299"/>
      <c r="J296" s="299"/>
      <c r="K296" s="299"/>
      <c r="L296" s="299"/>
      <c r="M296" s="299"/>
      <c r="N296" s="299"/>
      <c r="O296" s="299"/>
      <c r="P296" s="299"/>
      <c r="Q296" s="299"/>
      <c r="R296" s="299"/>
      <c r="S296" s="299"/>
      <c r="T296" s="299"/>
      <c r="U296" s="299"/>
    </row>
    <row r="297">
      <c r="B297" s="3"/>
      <c r="D297" s="3"/>
      <c r="E297" s="300" t="s">
        <v>22</v>
      </c>
      <c r="F297" s="299"/>
      <c r="G297" s="299"/>
      <c r="H297" s="299"/>
      <c r="I297" s="299"/>
      <c r="J297" s="299"/>
      <c r="K297" s="299"/>
      <c r="L297" s="299"/>
      <c r="M297" s="299"/>
      <c r="N297" s="299"/>
      <c r="O297" s="299"/>
      <c r="P297" s="299"/>
      <c r="Q297" s="299"/>
      <c r="R297" s="299"/>
      <c r="S297" s="299"/>
      <c r="T297" s="299"/>
      <c r="U297" s="299"/>
    </row>
    <row r="298">
      <c r="B298" s="3"/>
      <c r="D298" s="3"/>
      <c r="E298" s="300" t="s">
        <v>22</v>
      </c>
      <c r="F298" s="299"/>
      <c r="G298" s="299"/>
      <c r="H298" s="299"/>
      <c r="I298" s="299"/>
      <c r="J298" s="299"/>
      <c r="K298" s="299"/>
      <c r="L298" s="299"/>
      <c r="M298" s="299"/>
      <c r="N298" s="299"/>
      <c r="O298" s="299"/>
      <c r="P298" s="299"/>
      <c r="Q298" s="299"/>
      <c r="R298" s="299"/>
      <c r="S298" s="299"/>
      <c r="T298" s="299"/>
      <c r="U298" s="299"/>
    </row>
    <row r="299">
      <c r="B299" s="3"/>
      <c r="D299" s="3"/>
      <c r="E299" s="300" t="s">
        <v>22</v>
      </c>
      <c r="F299" s="299"/>
      <c r="G299" s="299"/>
      <c r="H299" s="299"/>
      <c r="I299" s="299"/>
      <c r="J299" s="299"/>
      <c r="K299" s="299"/>
      <c r="L299" s="299"/>
      <c r="M299" s="299"/>
      <c r="N299" s="299"/>
      <c r="O299" s="299"/>
      <c r="P299" s="299"/>
      <c r="Q299" s="299"/>
      <c r="R299" s="299"/>
      <c r="S299" s="299"/>
      <c r="T299" s="299"/>
      <c r="U299" s="299"/>
    </row>
    <row r="300">
      <c r="B300" s="3"/>
      <c r="D300" s="3"/>
      <c r="E300" s="300" t="s">
        <v>22</v>
      </c>
      <c r="F300" s="299"/>
      <c r="G300" s="299"/>
      <c r="H300" s="299"/>
      <c r="I300" s="299"/>
      <c r="J300" s="299"/>
      <c r="K300" s="299"/>
      <c r="L300" s="299"/>
      <c r="M300" s="299"/>
      <c r="N300" s="299"/>
      <c r="O300" s="299"/>
      <c r="P300" s="299"/>
      <c r="Q300" s="299"/>
      <c r="R300" s="299"/>
      <c r="S300" s="299"/>
      <c r="T300" s="299"/>
      <c r="U300" s="299"/>
    </row>
    <row r="301">
      <c r="B301" s="3"/>
      <c r="D301" s="3"/>
      <c r="E301" s="300" t="s">
        <v>22</v>
      </c>
      <c r="F301" s="299"/>
      <c r="G301" s="299"/>
      <c r="H301" s="299"/>
      <c r="I301" s="299"/>
      <c r="J301" s="299"/>
      <c r="K301" s="299"/>
      <c r="L301" s="299"/>
      <c r="M301" s="299"/>
      <c r="N301" s="299"/>
      <c r="O301" s="299"/>
      <c r="P301" s="299"/>
      <c r="Q301" s="299"/>
      <c r="R301" s="299"/>
      <c r="S301" s="299"/>
      <c r="T301" s="299"/>
      <c r="U301" s="299"/>
    </row>
    <row r="302">
      <c r="B302" s="3"/>
      <c r="D302" s="3"/>
      <c r="E302" s="300" t="s">
        <v>22</v>
      </c>
      <c r="F302" s="299"/>
      <c r="G302" s="299"/>
      <c r="H302" s="299"/>
      <c r="I302" s="299"/>
      <c r="J302" s="299"/>
      <c r="K302" s="299"/>
      <c r="L302" s="299"/>
      <c r="M302" s="299"/>
      <c r="N302" s="299"/>
      <c r="O302" s="299"/>
      <c r="P302" s="299"/>
      <c r="Q302" s="299"/>
      <c r="R302" s="299"/>
      <c r="S302" s="299"/>
      <c r="T302" s="299"/>
      <c r="U302" s="299"/>
    </row>
    <row r="303">
      <c r="B303" s="3"/>
      <c r="D303" s="3"/>
      <c r="E303" s="300" t="s">
        <v>22</v>
      </c>
      <c r="F303" s="299"/>
      <c r="G303" s="299"/>
      <c r="H303" s="299"/>
      <c r="I303" s="299"/>
      <c r="J303" s="299"/>
      <c r="K303" s="299"/>
      <c r="L303" s="299"/>
      <c r="M303" s="299"/>
      <c r="N303" s="299"/>
      <c r="O303" s="299"/>
      <c r="P303" s="299"/>
      <c r="Q303" s="299"/>
      <c r="R303" s="299"/>
      <c r="S303" s="299"/>
      <c r="T303" s="299"/>
      <c r="U303" s="299"/>
    </row>
    <row r="304">
      <c r="B304" s="3"/>
      <c r="D304" s="3"/>
      <c r="E304" s="300" t="s">
        <v>22</v>
      </c>
      <c r="F304" s="299"/>
      <c r="G304" s="299"/>
      <c r="H304" s="299"/>
      <c r="I304" s="299"/>
      <c r="J304" s="299"/>
      <c r="K304" s="299"/>
      <c r="L304" s="299"/>
      <c r="M304" s="299"/>
      <c r="N304" s="299"/>
      <c r="O304" s="299"/>
      <c r="P304" s="299"/>
      <c r="Q304" s="299"/>
      <c r="R304" s="299"/>
      <c r="S304" s="299"/>
      <c r="T304" s="299"/>
      <c r="U304" s="299"/>
    </row>
    <row r="305">
      <c r="B305" s="3"/>
      <c r="D305" s="3"/>
      <c r="E305" s="300" t="s">
        <v>22</v>
      </c>
      <c r="F305" s="299"/>
      <c r="G305" s="299"/>
      <c r="H305" s="299"/>
      <c r="I305" s="299"/>
      <c r="J305" s="299"/>
      <c r="K305" s="299"/>
      <c r="L305" s="299"/>
      <c r="M305" s="299"/>
      <c r="N305" s="299"/>
      <c r="O305" s="299"/>
      <c r="P305" s="299"/>
      <c r="Q305" s="299"/>
      <c r="R305" s="299"/>
      <c r="S305" s="299"/>
      <c r="T305" s="299"/>
      <c r="U305" s="299"/>
    </row>
    <row r="306">
      <c r="B306" s="3"/>
      <c r="D306" s="3"/>
      <c r="E306" s="300" t="s">
        <v>22</v>
      </c>
      <c r="F306" s="299"/>
      <c r="G306" s="299"/>
      <c r="H306" s="299"/>
      <c r="I306" s="299"/>
      <c r="J306" s="299"/>
      <c r="K306" s="299"/>
      <c r="L306" s="299"/>
      <c r="M306" s="299"/>
      <c r="N306" s="299"/>
      <c r="O306" s="299"/>
      <c r="P306" s="299"/>
      <c r="Q306" s="299"/>
      <c r="R306" s="299"/>
      <c r="S306" s="299"/>
      <c r="T306" s="299"/>
      <c r="U306" s="299"/>
    </row>
    <row r="307">
      <c r="B307" s="3"/>
      <c r="D307" s="3"/>
      <c r="E307" s="300" t="s">
        <v>22</v>
      </c>
      <c r="F307" s="299"/>
      <c r="G307" s="299"/>
      <c r="H307" s="299"/>
      <c r="I307" s="299"/>
      <c r="J307" s="299"/>
      <c r="K307" s="299"/>
      <c r="L307" s="299"/>
      <c r="M307" s="299"/>
      <c r="N307" s="299"/>
      <c r="O307" s="299"/>
      <c r="P307" s="299"/>
      <c r="Q307" s="299"/>
      <c r="R307" s="299"/>
      <c r="S307" s="299"/>
      <c r="T307" s="299"/>
      <c r="U307" s="299"/>
    </row>
    <row r="308">
      <c r="B308" s="3"/>
      <c r="D308" s="3"/>
      <c r="E308" s="300" t="s">
        <v>22</v>
      </c>
      <c r="F308" s="299"/>
      <c r="G308" s="299"/>
      <c r="H308" s="299"/>
      <c r="I308" s="299"/>
      <c r="J308" s="299"/>
      <c r="K308" s="299"/>
      <c r="L308" s="299"/>
      <c r="M308" s="299"/>
      <c r="N308" s="299"/>
      <c r="O308" s="299"/>
      <c r="P308" s="299"/>
      <c r="Q308" s="299"/>
      <c r="R308" s="299"/>
      <c r="S308" s="299"/>
      <c r="T308" s="299"/>
      <c r="U308" s="299"/>
    </row>
    <row r="309">
      <c r="B309" s="3"/>
      <c r="D309" s="3"/>
      <c r="E309" s="300" t="s">
        <v>22</v>
      </c>
      <c r="F309" s="299"/>
      <c r="G309" s="299"/>
      <c r="H309" s="299"/>
      <c r="I309" s="299"/>
      <c r="J309" s="299"/>
      <c r="K309" s="299"/>
      <c r="L309" s="299"/>
      <c r="M309" s="299"/>
      <c r="N309" s="299"/>
      <c r="O309" s="299"/>
      <c r="P309" s="299"/>
      <c r="Q309" s="299"/>
      <c r="R309" s="299"/>
      <c r="S309" s="299"/>
      <c r="T309" s="299"/>
      <c r="U309" s="299"/>
    </row>
    <row r="310">
      <c r="B310" s="3"/>
      <c r="D310" s="3"/>
      <c r="E310" s="300" t="s">
        <v>22</v>
      </c>
      <c r="F310" s="299"/>
      <c r="G310" s="299"/>
      <c r="H310" s="299"/>
      <c r="I310" s="299"/>
      <c r="J310" s="299"/>
      <c r="K310" s="299"/>
      <c r="L310" s="299"/>
      <c r="M310" s="299"/>
      <c r="N310" s="299"/>
      <c r="O310" s="299"/>
      <c r="P310" s="299"/>
      <c r="Q310" s="299"/>
      <c r="R310" s="299"/>
      <c r="S310" s="299"/>
      <c r="T310" s="299"/>
      <c r="U310" s="299"/>
    </row>
    <row r="311">
      <c r="B311" s="3"/>
      <c r="D311" s="3"/>
      <c r="E311" s="300" t="s">
        <v>22</v>
      </c>
      <c r="F311" s="299"/>
      <c r="G311" s="299"/>
      <c r="H311" s="299"/>
      <c r="I311" s="299"/>
      <c r="J311" s="299"/>
      <c r="K311" s="299"/>
      <c r="L311" s="299"/>
      <c r="M311" s="299"/>
      <c r="N311" s="299"/>
      <c r="O311" s="299"/>
      <c r="P311" s="299"/>
      <c r="Q311" s="299"/>
      <c r="R311" s="299"/>
      <c r="S311" s="299"/>
      <c r="T311" s="299"/>
      <c r="U311" s="299"/>
    </row>
    <row r="312">
      <c r="B312" s="3"/>
      <c r="D312" s="3"/>
      <c r="E312" s="300" t="s">
        <v>22</v>
      </c>
      <c r="F312" s="299"/>
      <c r="G312" s="299"/>
      <c r="H312" s="299"/>
      <c r="I312" s="299"/>
      <c r="J312" s="299"/>
      <c r="K312" s="299"/>
      <c r="L312" s="299"/>
      <c r="M312" s="299"/>
      <c r="N312" s="299"/>
      <c r="O312" s="299"/>
      <c r="P312" s="299"/>
      <c r="Q312" s="299"/>
      <c r="R312" s="299"/>
      <c r="S312" s="299"/>
      <c r="T312" s="299"/>
      <c r="U312" s="299"/>
    </row>
    <row r="313">
      <c r="B313" s="3"/>
      <c r="D313" s="3"/>
      <c r="E313" s="300" t="s">
        <v>22</v>
      </c>
      <c r="F313" s="299"/>
      <c r="G313" s="299"/>
      <c r="H313" s="299"/>
      <c r="I313" s="299"/>
      <c r="J313" s="299"/>
      <c r="K313" s="299"/>
      <c r="L313" s="299"/>
      <c r="M313" s="299"/>
      <c r="N313" s="299"/>
      <c r="O313" s="299"/>
      <c r="P313" s="299"/>
      <c r="Q313" s="299"/>
      <c r="R313" s="299"/>
      <c r="S313" s="299"/>
      <c r="T313" s="299"/>
      <c r="U313" s="299"/>
    </row>
    <row r="314">
      <c r="B314" s="3"/>
      <c r="D314" s="3"/>
      <c r="E314" s="300" t="s">
        <v>22</v>
      </c>
      <c r="F314" s="299"/>
      <c r="G314" s="299"/>
      <c r="H314" s="299"/>
      <c r="I314" s="299"/>
      <c r="J314" s="299"/>
      <c r="K314" s="299"/>
      <c r="L314" s="299"/>
      <c r="M314" s="299"/>
      <c r="N314" s="299"/>
      <c r="O314" s="299"/>
      <c r="P314" s="299"/>
      <c r="Q314" s="299"/>
      <c r="R314" s="299"/>
      <c r="S314" s="299"/>
      <c r="T314" s="299"/>
      <c r="U314" s="299"/>
    </row>
    <row r="315">
      <c r="B315" s="3"/>
      <c r="D315" s="3"/>
      <c r="E315" s="300" t="s">
        <v>22</v>
      </c>
      <c r="F315" s="299"/>
      <c r="G315" s="299"/>
      <c r="H315" s="299"/>
      <c r="I315" s="299"/>
      <c r="J315" s="299"/>
      <c r="K315" s="299"/>
      <c r="L315" s="299"/>
      <c r="M315" s="299"/>
      <c r="N315" s="299"/>
      <c r="O315" s="299"/>
      <c r="P315" s="299"/>
      <c r="Q315" s="299"/>
      <c r="R315" s="299"/>
      <c r="S315" s="299"/>
      <c r="T315" s="299"/>
      <c r="U315" s="299"/>
    </row>
    <row r="316">
      <c r="B316" s="3"/>
      <c r="D316" s="3"/>
      <c r="E316" s="300" t="s">
        <v>22</v>
      </c>
      <c r="F316" s="299"/>
      <c r="G316" s="299"/>
      <c r="H316" s="299"/>
      <c r="I316" s="299"/>
      <c r="J316" s="299"/>
      <c r="K316" s="299"/>
      <c r="L316" s="299"/>
      <c r="M316" s="299"/>
      <c r="N316" s="299"/>
      <c r="O316" s="299"/>
      <c r="P316" s="299"/>
      <c r="Q316" s="299"/>
      <c r="R316" s="299"/>
      <c r="S316" s="299"/>
      <c r="T316" s="299"/>
      <c r="U316" s="299"/>
    </row>
    <row r="317">
      <c r="B317" s="3"/>
      <c r="D317" s="3"/>
      <c r="E317" s="300" t="s">
        <v>22</v>
      </c>
      <c r="F317" s="299"/>
      <c r="G317" s="299"/>
      <c r="H317" s="299"/>
      <c r="I317" s="299"/>
      <c r="J317" s="299"/>
      <c r="K317" s="299"/>
      <c r="L317" s="299"/>
      <c r="M317" s="299"/>
      <c r="N317" s="299"/>
      <c r="O317" s="299"/>
      <c r="P317" s="299"/>
      <c r="Q317" s="299"/>
      <c r="R317" s="299"/>
      <c r="S317" s="299"/>
      <c r="T317" s="299"/>
      <c r="U317" s="299"/>
    </row>
    <row r="318">
      <c r="B318" s="3"/>
      <c r="D318" s="3"/>
      <c r="E318" s="300" t="s">
        <v>22</v>
      </c>
      <c r="F318" s="299"/>
      <c r="G318" s="299"/>
      <c r="H318" s="299"/>
      <c r="I318" s="299"/>
      <c r="J318" s="299"/>
      <c r="K318" s="299"/>
      <c r="L318" s="299"/>
      <c r="M318" s="299"/>
      <c r="N318" s="299"/>
      <c r="O318" s="299"/>
      <c r="P318" s="299"/>
      <c r="Q318" s="299"/>
      <c r="R318" s="299"/>
      <c r="S318" s="299"/>
      <c r="T318" s="299"/>
      <c r="U318" s="299"/>
    </row>
    <row r="319">
      <c r="B319" s="3"/>
      <c r="D319" s="3"/>
      <c r="E319" s="300" t="s">
        <v>22</v>
      </c>
      <c r="F319" s="299"/>
      <c r="G319" s="299"/>
      <c r="H319" s="299"/>
      <c r="I319" s="299"/>
      <c r="J319" s="299"/>
      <c r="K319" s="299"/>
      <c r="L319" s="299"/>
      <c r="M319" s="299"/>
      <c r="N319" s="299"/>
      <c r="O319" s="299"/>
      <c r="P319" s="299"/>
      <c r="Q319" s="299"/>
      <c r="R319" s="299"/>
      <c r="S319" s="299"/>
      <c r="T319" s="299"/>
      <c r="U319" s="299"/>
    </row>
    <row r="320">
      <c r="B320" s="3"/>
      <c r="D320" s="3"/>
      <c r="E320" s="300" t="s">
        <v>22</v>
      </c>
      <c r="F320" s="299"/>
      <c r="G320" s="299"/>
      <c r="H320" s="299"/>
      <c r="I320" s="299"/>
      <c r="J320" s="299"/>
      <c r="K320" s="299"/>
      <c r="L320" s="299"/>
      <c r="M320" s="299"/>
      <c r="N320" s="299"/>
      <c r="O320" s="299"/>
      <c r="P320" s="299"/>
      <c r="Q320" s="299"/>
      <c r="R320" s="299"/>
      <c r="S320" s="299"/>
      <c r="T320" s="299"/>
      <c r="U320" s="299"/>
    </row>
    <row r="321">
      <c r="B321" s="3"/>
      <c r="D321" s="3"/>
      <c r="E321" s="300" t="s">
        <v>22</v>
      </c>
      <c r="F321" s="299"/>
      <c r="G321" s="299"/>
      <c r="H321" s="299"/>
      <c r="I321" s="299"/>
      <c r="J321" s="299"/>
      <c r="K321" s="299"/>
      <c r="L321" s="299"/>
      <c r="M321" s="299"/>
      <c r="N321" s="299"/>
      <c r="O321" s="299"/>
      <c r="P321" s="299"/>
      <c r="Q321" s="299"/>
      <c r="R321" s="299"/>
      <c r="S321" s="299"/>
      <c r="T321" s="299"/>
      <c r="U321" s="299"/>
    </row>
    <row r="322">
      <c r="B322" s="3"/>
      <c r="D322" s="3"/>
      <c r="E322" s="300" t="s">
        <v>22</v>
      </c>
      <c r="F322" s="299"/>
      <c r="G322" s="299"/>
      <c r="H322" s="299"/>
      <c r="I322" s="299"/>
      <c r="J322" s="299"/>
      <c r="K322" s="299"/>
      <c r="L322" s="299"/>
      <c r="M322" s="299"/>
      <c r="N322" s="299"/>
      <c r="O322" s="299"/>
      <c r="P322" s="299"/>
      <c r="Q322" s="299"/>
      <c r="R322" s="299"/>
      <c r="S322" s="299"/>
      <c r="T322" s="299"/>
      <c r="U322" s="299"/>
    </row>
    <row r="323">
      <c r="B323" s="3"/>
      <c r="D323" s="3"/>
      <c r="E323" s="300" t="s">
        <v>22</v>
      </c>
      <c r="F323" s="299"/>
      <c r="G323" s="299"/>
      <c r="H323" s="299"/>
      <c r="I323" s="299"/>
      <c r="J323" s="299"/>
      <c r="K323" s="299"/>
      <c r="L323" s="299"/>
      <c r="M323" s="299"/>
      <c r="N323" s="299"/>
      <c r="O323" s="299"/>
      <c r="P323" s="299"/>
      <c r="Q323" s="299"/>
      <c r="R323" s="299"/>
      <c r="S323" s="299"/>
      <c r="T323" s="299"/>
      <c r="U323" s="299"/>
    </row>
    <row r="324">
      <c r="B324" s="3"/>
      <c r="D324" s="3"/>
      <c r="E324" s="300" t="s">
        <v>22</v>
      </c>
      <c r="F324" s="299"/>
      <c r="G324" s="299"/>
      <c r="H324" s="299"/>
      <c r="I324" s="299"/>
      <c r="J324" s="299"/>
      <c r="K324" s="299"/>
      <c r="L324" s="299"/>
      <c r="M324" s="299"/>
      <c r="N324" s="299"/>
      <c r="O324" s="299"/>
      <c r="P324" s="299"/>
      <c r="Q324" s="299"/>
      <c r="R324" s="299"/>
      <c r="S324" s="299"/>
      <c r="T324" s="299"/>
      <c r="U324" s="299"/>
    </row>
    <row r="325">
      <c r="B325" s="3"/>
      <c r="D325" s="3"/>
      <c r="E325" s="300" t="s">
        <v>22</v>
      </c>
      <c r="F325" s="299"/>
      <c r="G325" s="299"/>
      <c r="H325" s="299"/>
      <c r="I325" s="299"/>
      <c r="J325" s="299"/>
      <c r="K325" s="299"/>
      <c r="L325" s="299"/>
      <c r="M325" s="299"/>
      <c r="N325" s="299"/>
      <c r="O325" s="299"/>
      <c r="P325" s="299"/>
      <c r="Q325" s="299"/>
      <c r="R325" s="299"/>
      <c r="S325" s="299"/>
      <c r="T325" s="299"/>
      <c r="U325" s="299"/>
    </row>
    <row r="326">
      <c r="B326" s="3"/>
      <c r="D326" s="3"/>
      <c r="E326" s="300" t="s">
        <v>22</v>
      </c>
      <c r="F326" s="299"/>
      <c r="G326" s="299"/>
      <c r="H326" s="299"/>
      <c r="I326" s="299"/>
      <c r="J326" s="299"/>
      <c r="K326" s="299"/>
      <c r="L326" s="299"/>
      <c r="M326" s="299"/>
      <c r="N326" s="299"/>
      <c r="O326" s="299"/>
      <c r="P326" s="299"/>
      <c r="Q326" s="299"/>
      <c r="R326" s="299"/>
      <c r="S326" s="299"/>
      <c r="T326" s="299"/>
      <c r="U326" s="299"/>
    </row>
    <row r="327">
      <c r="B327" s="3"/>
      <c r="D327" s="3"/>
      <c r="E327" s="300" t="s">
        <v>22</v>
      </c>
      <c r="F327" s="299"/>
      <c r="G327" s="299"/>
      <c r="H327" s="299"/>
      <c r="I327" s="299"/>
      <c r="J327" s="299"/>
      <c r="K327" s="299"/>
      <c r="L327" s="299"/>
      <c r="M327" s="299"/>
      <c r="N327" s="299"/>
      <c r="O327" s="299"/>
      <c r="P327" s="299"/>
      <c r="Q327" s="299"/>
      <c r="R327" s="299"/>
      <c r="S327" s="299"/>
      <c r="T327" s="299"/>
      <c r="U327" s="299"/>
    </row>
    <row r="328">
      <c r="B328" s="3"/>
      <c r="D328" s="3"/>
      <c r="E328" s="300" t="s">
        <v>22</v>
      </c>
      <c r="F328" s="299"/>
      <c r="G328" s="299"/>
      <c r="H328" s="299"/>
      <c r="I328" s="299"/>
      <c r="J328" s="299"/>
      <c r="K328" s="299"/>
      <c r="L328" s="299"/>
      <c r="M328" s="299"/>
      <c r="N328" s="299"/>
      <c r="O328" s="299"/>
      <c r="P328" s="299"/>
      <c r="Q328" s="299"/>
      <c r="R328" s="299"/>
      <c r="S328" s="299"/>
      <c r="T328" s="299"/>
      <c r="U328" s="299"/>
    </row>
    <row r="329">
      <c r="B329" s="3"/>
      <c r="D329" s="3"/>
      <c r="E329" s="300" t="s">
        <v>22</v>
      </c>
      <c r="F329" s="299"/>
      <c r="G329" s="299"/>
      <c r="H329" s="299"/>
      <c r="I329" s="299"/>
      <c r="J329" s="299"/>
      <c r="K329" s="299"/>
      <c r="L329" s="299"/>
      <c r="M329" s="299"/>
      <c r="N329" s="299"/>
      <c r="O329" s="299"/>
      <c r="P329" s="299"/>
      <c r="Q329" s="299"/>
      <c r="R329" s="299"/>
      <c r="S329" s="299"/>
      <c r="T329" s="299"/>
      <c r="U329" s="299"/>
    </row>
    <row r="330">
      <c r="B330" s="3"/>
      <c r="D330" s="3"/>
      <c r="E330" s="300" t="s">
        <v>22</v>
      </c>
      <c r="F330" s="299"/>
      <c r="G330" s="299"/>
      <c r="H330" s="299"/>
      <c r="I330" s="299"/>
      <c r="J330" s="299"/>
      <c r="K330" s="299"/>
      <c r="L330" s="299"/>
      <c r="M330" s="299"/>
      <c r="N330" s="299"/>
      <c r="O330" s="299"/>
      <c r="P330" s="299"/>
      <c r="Q330" s="299"/>
      <c r="R330" s="299"/>
      <c r="S330" s="299"/>
      <c r="T330" s="299"/>
      <c r="U330" s="299"/>
    </row>
    <row r="331">
      <c r="B331" s="3"/>
      <c r="D331" s="3"/>
      <c r="E331" s="300" t="s">
        <v>22</v>
      </c>
      <c r="F331" s="299"/>
      <c r="G331" s="299"/>
      <c r="H331" s="299"/>
      <c r="I331" s="299"/>
      <c r="J331" s="299"/>
      <c r="K331" s="299"/>
      <c r="L331" s="299"/>
      <c r="M331" s="299"/>
      <c r="N331" s="299"/>
      <c r="O331" s="299"/>
      <c r="P331" s="299"/>
      <c r="Q331" s="299"/>
      <c r="R331" s="299"/>
      <c r="S331" s="299"/>
      <c r="T331" s="299"/>
      <c r="U331" s="299"/>
    </row>
    <row r="332">
      <c r="B332" s="3"/>
      <c r="D332" s="3"/>
      <c r="E332" s="300" t="s">
        <v>22</v>
      </c>
      <c r="F332" s="299"/>
      <c r="G332" s="299"/>
      <c r="H332" s="299"/>
      <c r="I332" s="299"/>
      <c r="J332" s="299"/>
      <c r="K332" s="299"/>
      <c r="L332" s="299"/>
      <c r="M332" s="299"/>
      <c r="N332" s="299"/>
      <c r="O332" s="299"/>
      <c r="P332" s="299"/>
      <c r="Q332" s="299"/>
      <c r="R332" s="299"/>
      <c r="S332" s="299"/>
      <c r="T332" s="299"/>
      <c r="U332" s="299"/>
    </row>
    <row r="333">
      <c r="B333" s="3"/>
      <c r="D333" s="3"/>
      <c r="E333" s="300" t="s">
        <v>22</v>
      </c>
      <c r="F333" s="299"/>
      <c r="G333" s="299"/>
      <c r="H333" s="299"/>
      <c r="I333" s="299"/>
      <c r="J333" s="299"/>
      <c r="K333" s="299"/>
      <c r="L333" s="299"/>
      <c r="M333" s="299"/>
      <c r="N333" s="299"/>
      <c r="O333" s="299"/>
      <c r="P333" s="299"/>
      <c r="Q333" s="299"/>
      <c r="R333" s="299"/>
      <c r="S333" s="299"/>
      <c r="T333" s="299"/>
      <c r="U333" s="299"/>
    </row>
    <row r="334">
      <c r="B334" s="3"/>
      <c r="D334" s="3"/>
      <c r="E334" s="300" t="s">
        <v>22</v>
      </c>
      <c r="F334" s="299"/>
      <c r="G334" s="299"/>
      <c r="H334" s="299"/>
      <c r="I334" s="299"/>
      <c r="J334" s="299"/>
      <c r="K334" s="299"/>
      <c r="L334" s="299"/>
      <c r="M334" s="299"/>
      <c r="N334" s="299"/>
      <c r="O334" s="299"/>
      <c r="P334" s="299"/>
      <c r="Q334" s="299"/>
      <c r="R334" s="299"/>
      <c r="S334" s="299"/>
      <c r="T334" s="299"/>
      <c r="U334" s="299"/>
    </row>
    <row r="335">
      <c r="B335" s="3"/>
      <c r="D335" s="3"/>
      <c r="E335" s="300" t="s">
        <v>22</v>
      </c>
      <c r="F335" s="299"/>
      <c r="G335" s="299"/>
      <c r="H335" s="299"/>
      <c r="I335" s="299"/>
      <c r="J335" s="299"/>
      <c r="K335" s="299"/>
      <c r="L335" s="299"/>
      <c r="M335" s="299"/>
      <c r="N335" s="299"/>
      <c r="O335" s="299"/>
      <c r="P335" s="299"/>
      <c r="Q335" s="299"/>
      <c r="R335" s="299"/>
      <c r="S335" s="299"/>
      <c r="T335" s="299"/>
      <c r="U335" s="299"/>
    </row>
    <row r="336">
      <c r="B336" s="3"/>
      <c r="D336" s="3"/>
      <c r="E336" s="300" t="s">
        <v>22</v>
      </c>
      <c r="F336" s="299"/>
      <c r="G336" s="299"/>
      <c r="H336" s="299"/>
      <c r="I336" s="299"/>
      <c r="J336" s="299"/>
      <c r="K336" s="299"/>
      <c r="L336" s="299"/>
      <c r="M336" s="299"/>
      <c r="N336" s="299"/>
      <c r="O336" s="299"/>
      <c r="P336" s="299"/>
      <c r="Q336" s="299"/>
      <c r="R336" s="299"/>
      <c r="S336" s="299"/>
      <c r="T336" s="299"/>
      <c r="U336" s="299"/>
    </row>
    <row r="337">
      <c r="B337" s="3"/>
      <c r="D337" s="3"/>
      <c r="E337" s="300" t="s">
        <v>22</v>
      </c>
      <c r="F337" s="299"/>
      <c r="G337" s="299"/>
      <c r="H337" s="299"/>
      <c r="I337" s="299"/>
      <c r="J337" s="299"/>
      <c r="K337" s="299"/>
      <c r="L337" s="299"/>
      <c r="M337" s="299"/>
      <c r="N337" s="299"/>
      <c r="O337" s="299"/>
      <c r="P337" s="299"/>
      <c r="Q337" s="299"/>
      <c r="R337" s="299"/>
      <c r="S337" s="299"/>
      <c r="T337" s="299"/>
      <c r="U337" s="299"/>
    </row>
    <row r="338">
      <c r="B338" s="3"/>
      <c r="D338" s="3"/>
      <c r="E338" s="300" t="s">
        <v>22</v>
      </c>
      <c r="F338" s="299"/>
      <c r="G338" s="299"/>
      <c r="H338" s="299"/>
      <c r="I338" s="299"/>
      <c r="J338" s="299"/>
      <c r="K338" s="299"/>
      <c r="L338" s="299"/>
      <c r="M338" s="299"/>
      <c r="N338" s="299"/>
      <c r="O338" s="299"/>
      <c r="P338" s="299"/>
      <c r="Q338" s="299"/>
      <c r="R338" s="299"/>
      <c r="S338" s="299"/>
      <c r="T338" s="299"/>
      <c r="U338" s="299"/>
    </row>
    <row r="339">
      <c r="B339" s="3"/>
      <c r="D339" s="3"/>
      <c r="E339" s="300" t="s">
        <v>22</v>
      </c>
      <c r="F339" s="299"/>
      <c r="G339" s="299"/>
      <c r="H339" s="299"/>
      <c r="I339" s="299"/>
      <c r="J339" s="299"/>
      <c r="K339" s="299"/>
      <c r="L339" s="299"/>
      <c r="M339" s="299"/>
      <c r="N339" s="299"/>
      <c r="O339" s="299"/>
      <c r="P339" s="299"/>
      <c r="Q339" s="299"/>
      <c r="R339" s="299"/>
      <c r="S339" s="299"/>
      <c r="T339" s="299"/>
      <c r="U339" s="299"/>
    </row>
    <row r="340">
      <c r="B340" s="3"/>
      <c r="D340" s="3"/>
      <c r="E340" s="300" t="s">
        <v>22</v>
      </c>
      <c r="F340" s="299"/>
      <c r="G340" s="299"/>
      <c r="H340" s="299"/>
      <c r="I340" s="299"/>
      <c r="J340" s="299"/>
      <c r="K340" s="299"/>
      <c r="L340" s="299"/>
      <c r="M340" s="299"/>
      <c r="N340" s="299"/>
      <c r="O340" s="299"/>
      <c r="P340" s="299"/>
      <c r="Q340" s="299"/>
      <c r="R340" s="299"/>
      <c r="S340" s="299"/>
      <c r="T340" s="299"/>
      <c r="U340" s="299"/>
    </row>
    <row r="341">
      <c r="B341" s="3"/>
      <c r="D341" s="3"/>
      <c r="E341" s="300" t="s">
        <v>22</v>
      </c>
      <c r="F341" s="299"/>
      <c r="G341" s="299"/>
      <c r="H341" s="299"/>
      <c r="I341" s="299"/>
      <c r="J341" s="299"/>
      <c r="K341" s="299"/>
      <c r="L341" s="299"/>
      <c r="M341" s="299"/>
      <c r="N341" s="299"/>
      <c r="O341" s="299"/>
      <c r="P341" s="299"/>
      <c r="Q341" s="299"/>
      <c r="R341" s="299"/>
      <c r="S341" s="299"/>
      <c r="T341" s="299"/>
      <c r="U341" s="299"/>
    </row>
    <row r="342">
      <c r="B342" s="3"/>
      <c r="D342" s="3"/>
      <c r="E342" s="300" t="s">
        <v>22</v>
      </c>
      <c r="F342" s="299"/>
      <c r="G342" s="299"/>
      <c r="H342" s="299"/>
      <c r="I342" s="299"/>
      <c r="J342" s="299"/>
      <c r="K342" s="299"/>
      <c r="L342" s="299"/>
      <c r="M342" s="299"/>
      <c r="N342" s="299"/>
      <c r="O342" s="299"/>
      <c r="P342" s="299"/>
      <c r="Q342" s="299"/>
      <c r="R342" s="299"/>
      <c r="S342" s="299"/>
      <c r="T342" s="299"/>
      <c r="U342" s="299"/>
    </row>
    <row r="343">
      <c r="B343" s="3"/>
      <c r="D343" s="3"/>
      <c r="E343" s="300" t="s">
        <v>22</v>
      </c>
      <c r="F343" s="299"/>
      <c r="G343" s="299"/>
      <c r="H343" s="299"/>
      <c r="I343" s="299"/>
      <c r="J343" s="299"/>
      <c r="K343" s="299"/>
      <c r="L343" s="299"/>
      <c r="M343" s="299"/>
      <c r="N343" s="299"/>
      <c r="O343" s="299"/>
      <c r="P343" s="299"/>
      <c r="Q343" s="299"/>
      <c r="R343" s="299"/>
      <c r="S343" s="299"/>
      <c r="T343" s="299"/>
      <c r="U343" s="299"/>
    </row>
    <row r="344">
      <c r="B344" s="3"/>
      <c r="D344" s="3"/>
      <c r="E344" s="300" t="s">
        <v>22</v>
      </c>
      <c r="F344" s="299"/>
      <c r="G344" s="299"/>
      <c r="H344" s="299"/>
      <c r="I344" s="299"/>
      <c r="J344" s="299"/>
      <c r="K344" s="299"/>
      <c r="L344" s="299"/>
      <c r="M344" s="299"/>
      <c r="N344" s="299"/>
      <c r="O344" s="299"/>
      <c r="P344" s="299"/>
      <c r="Q344" s="299"/>
      <c r="R344" s="299"/>
      <c r="S344" s="299"/>
      <c r="T344" s="299"/>
      <c r="U344" s="299"/>
    </row>
    <row r="345">
      <c r="B345" s="3"/>
      <c r="D345" s="3"/>
      <c r="E345" s="300" t="s">
        <v>22</v>
      </c>
      <c r="F345" s="299"/>
      <c r="G345" s="299"/>
      <c r="H345" s="299"/>
      <c r="I345" s="299"/>
      <c r="J345" s="299"/>
      <c r="K345" s="299"/>
      <c r="L345" s="299"/>
      <c r="M345" s="299"/>
      <c r="N345" s="299"/>
      <c r="O345" s="299"/>
      <c r="P345" s="299"/>
      <c r="Q345" s="299"/>
      <c r="R345" s="299"/>
      <c r="S345" s="299"/>
      <c r="T345" s="299"/>
      <c r="U345" s="299"/>
    </row>
    <row r="346">
      <c r="B346" s="3"/>
      <c r="D346" s="3"/>
      <c r="E346" s="300" t="s">
        <v>22</v>
      </c>
      <c r="F346" s="299"/>
      <c r="G346" s="299"/>
      <c r="H346" s="299"/>
      <c r="I346" s="299"/>
      <c r="J346" s="299"/>
      <c r="K346" s="299"/>
      <c r="L346" s="299"/>
      <c r="M346" s="299"/>
      <c r="N346" s="299"/>
      <c r="O346" s="299"/>
      <c r="P346" s="299"/>
      <c r="Q346" s="299"/>
      <c r="R346" s="299"/>
      <c r="S346" s="299"/>
      <c r="T346" s="299"/>
      <c r="U346" s="299"/>
    </row>
    <row r="347">
      <c r="B347" s="3"/>
      <c r="D347" s="3"/>
      <c r="E347" s="300" t="s">
        <v>22</v>
      </c>
      <c r="F347" s="299"/>
      <c r="G347" s="299"/>
      <c r="H347" s="299"/>
      <c r="I347" s="299"/>
      <c r="J347" s="299"/>
      <c r="K347" s="299"/>
      <c r="L347" s="299"/>
      <c r="M347" s="299"/>
      <c r="N347" s="299"/>
      <c r="O347" s="299"/>
      <c r="P347" s="299"/>
      <c r="Q347" s="299"/>
      <c r="R347" s="299"/>
      <c r="S347" s="299"/>
      <c r="T347" s="299"/>
      <c r="U347" s="299"/>
    </row>
    <row r="348">
      <c r="B348" s="3"/>
      <c r="D348" s="3"/>
      <c r="E348" s="300" t="s">
        <v>22</v>
      </c>
      <c r="F348" s="299"/>
      <c r="G348" s="299"/>
      <c r="H348" s="299"/>
      <c r="I348" s="299"/>
      <c r="J348" s="299"/>
      <c r="K348" s="299"/>
      <c r="L348" s="299"/>
      <c r="M348" s="299"/>
      <c r="N348" s="299"/>
      <c r="O348" s="299"/>
      <c r="P348" s="299"/>
      <c r="Q348" s="299"/>
      <c r="R348" s="299"/>
      <c r="S348" s="299"/>
      <c r="T348" s="299"/>
      <c r="U348" s="299"/>
    </row>
    <row r="349">
      <c r="B349" s="3"/>
      <c r="D349" s="3"/>
      <c r="E349" s="300" t="s">
        <v>22</v>
      </c>
      <c r="F349" s="299"/>
      <c r="G349" s="299"/>
      <c r="H349" s="299"/>
      <c r="I349" s="299"/>
      <c r="J349" s="299"/>
      <c r="K349" s="299"/>
      <c r="L349" s="299"/>
      <c r="M349" s="299"/>
      <c r="N349" s="299"/>
      <c r="O349" s="299"/>
      <c r="P349" s="299"/>
      <c r="Q349" s="299"/>
      <c r="R349" s="299"/>
      <c r="S349" s="299"/>
      <c r="T349" s="299"/>
      <c r="U349" s="299"/>
    </row>
    <row r="350">
      <c r="B350" s="3"/>
      <c r="D350" s="3"/>
      <c r="E350" s="300" t="s">
        <v>22</v>
      </c>
      <c r="F350" s="299"/>
      <c r="G350" s="299"/>
      <c r="H350" s="299"/>
      <c r="I350" s="299"/>
      <c r="J350" s="299"/>
      <c r="K350" s="299"/>
      <c r="L350" s="299"/>
      <c r="M350" s="299"/>
      <c r="N350" s="299"/>
      <c r="O350" s="299"/>
      <c r="P350" s="299"/>
      <c r="Q350" s="299"/>
      <c r="R350" s="299"/>
      <c r="S350" s="299"/>
      <c r="T350" s="299"/>
      <c r="U350" s="299"/>
    </row>
    <row r="351">
      <c r="B351" s="3"/>
      <c r="D351" s="3"/>
      <c r="E351" s="300" t="s">
        <v>22</v>
      </c>
      <c r="F351" s="299"/>
      <c r="G351" s="299"/>
      <c r="H351" s="299"/>
      <c r="I351" s="299"/>
      <c r="J351" s="299"/>
      <c r="K351" s="299"/>
      <c r="L351" s="299"/>
      <c r="M351" s="299"/>
      <c r="N351" s="299"/>
      <c r="O351" s="299"/>
      <c r="P351" s="299"/>
      <c r="Q351" s="299"/>
      <c r="R351" s="299"/>
      <c r="S351" s="299"/>
      <c r="T351" s="299"/>
      <c r="U351" s="299"/>
    </row>
    <row r="352">
      <c r="B352" s="3"/>
      <c r="D352" s="3"/>
      <c r="E352" s="300" t="s">
        <v>22</v>
      </c>
      <c r="F352" s="299"/>
      <c r="G352" s="299"/>
      <c r="H352" s="299"/>
      <c r="I352" s="299"/>
      <c r="J352" s="299"/>
      <c r="K352" s="299"/>
      <c r="L352" s="299"/>
      <c r="M352" s="299"/>
      <c r="N352" s="299"/>
      <c r="O352" s="299"/>
      <c r="P352" s="299"/>
      <c r="Q352" s="299"/>
      <c r="R352" s="299"/>
      <c r="S352" s="299"/>
      <c r="T352" s="299"/>
      <c r="U352" s="299"/>
    </row>
    <row r="353">
      <c r="B353" s="3"/>
      <c r="D353" s="3"/>
      <c r="E353" s="300" t="s">
        <v>22</v>
      </c>
      <c r="F353" s="299"/>
      <c r="G353" s="299"/>
      <c r="H353" s="299"/>
      <c r="I353" s="299"/>
      <c r="J353" s="299"/>
      <c r="K353" s="299"/>
      <c r="L353" s="299"/>
      <c r="M353" s="299"/>
      <c r="N353" s="299"/>
      <c r="O353" s="299"/>
      <c r="P353" s="299"/>
      <c r="Q353" s="299"/>
      <c r="R353" s="299"/>
      <c r="S353" s="299"/>
      <c r="T353" s="299"/>
      <c r="U353" s="299"/>
    </row>
    <row r="354">
      <c r="B354" s="3"/>
      <c r="D354" s="3"/>
      <c r="E354" s="300" t="s">
        <v>22</v>
      </c>
      <c r="F354" s="299"/>
      <c r="G354" s="299"/>
      <c r="H354" s="299"/>
      <c r="I354" s="299"/>
      <c r="J354" s="299"/>
      <c r="K354" s="299"/>
      <c r="L354" s="299"/>
      <c r="M354" s="299"/>
      <c r="N354" s="299"/>
      <c r="O354" s="299"/>
      <c r="P354" s="299"/>
      <c r="Q354" s="299"/>
      <c r="R354" s="299"/>
      <c r="S354" s="299"/>
      <c r="T354" s="299"/>
      <c r="U354" s="299"/>
    </row>
    <row r="355">
      <c r="B355" s="3"/>
      <c r="D355" s="3"/>
      <c r="E355" s="300" t="s">
        <v>22</v>
      </c>
      <c r="F355" s="299"/>
      <c r="G355" s="299"/>
      <c r="H355" s="299"/>
      <c r="I355" s="299"/>
      <c r="J355" s="299"/>
      <c r="K355" s="299"/>
      <c r="L355" s="299"/>
      <c r="M355" s="299"/>
      <c r="N355" s="299"/>
      <c r="O355" s="299"/>
      <c r="P355" s="299"/>
      <c r="Q355" s="299"/>
      <c r="R355" s="299"/>
      <c r="S355" s="299"/>
      <c r="T355" s="299"/>
      <c r="U355" s="299"/>
    </row>
    <row r="356">
      <c r="B356" s="3"/>
      <c r="D356" s="3"/>
      <c r="E356" s="300" t="s">
        <v>22</v>
      </c>
      <c r="F356" s="299"/>
      <c r="G356" s="299"/>
      <c r="H356" s="299"/>
      <c r="I356" s="299"/>
      <c r="J356" s="299"/>
      <c r="K356" s="299"/>
      <c r="L356" s="299"/>
      <c r="M356" s="299"/>
      <c r="N356" s="299"/>
      <c r="O356" s="299"/>
      <c r="P356" s="299"/>
      <c r="Q356" s="299"/>
      <c r="R356" s="299"/>
      <c r="S356" s="299"/>
      <c r="T356" s="299"/>
      <c r="U356" s="299"/>
    </row>
    <row r="357">
      <c r="B357" s="3"/>
      <c r="D357" s="3"/>
      <c r="E357" s="300" t="s">
        <v>22</v>
      </c>
      <c r="F357" s="299"/>
      <c r="G357" s="299"/>
      <c r="H357" s="299"/>
      <c r="I357" s="299"/>
      <c r="J357" s="299"/>
      <c r="K357" s="299"/>
      <c r="L357" s="299"/>
      <c r="M357" s="299"/>
      <c r="N357" s="299"/>
      <c r="O357" s="299"/>
      <c r="P357" s="299"/>
      <c r="Q357" s="299"/>
      <c r="R357" s="299"/>
      <c r="S357" s="299"/>
      <c r="T357" s="299"/>
      <c r="U357" s="299"/>
    </row>
    <row r="358">
      <c r="B358" s="3"/>
      <c r="D358" s="3"/>
      <c r="E358" s="300" t="s">
        <v>22</v>
      </c>
      <c r="F358" s="299"/>
      <c r="G358" s="299"/>
      <c r="H358" s="299"/>
      <c r="I358" s="299"/>
      <c r="J358" s="299"/>
      <c r="K358" s="299"/>
      <c r="L358" s="299"/>
      <c r="M358" s="299"/>
      <c r="N358" s="299"/>
      <c r="O358" s="299"/>
      <c r="P358" s="299"/>
      <c r="Q358" s="299"/>
      <c r="R358" s="299"/>
      <c r="S358" s="299"/>
      <c r="T358" s="299"/>
      <c r="U358" s="299"/>
    </row>
    <row r="359">
      <c r="B359" s="3"/>
      <c r="D359" s="3"/>
      <c r="E359" s="300" t="s">
        <v>22</v>
      </c>
      <c r="F359" s="299"/>
      <c r="G359" s="299"/>
      <c r="H359" s="299"/>
      <c r="I359" s="299"/>
      <c r="J359" s="299"/>
      <c r="K359" s="299"/>
      <c r="L359" s="299"/>
      <c r="M359" s="299"/>
      <c r="N359" s="299"/>
      <c r="O359" s="299"/>
      <c r="P359" s="299"/>
      <c r="Q359" s="299"/>
      <c r="R359" s="299"/>
      <c r="S359" s="299"/>
      <c r="T359" s="299"/>
      <c r="U359" s="299"/>
    </row>
    <row r="360">
      <c r="B360" s="3"/>
      <c r="D360" s="3"/>
      <c r="E360" s="300" t="s">
        <v>22</v>
      </c>
      <c r="F360" s="299"/>
      <c r="G360" s="299"/>
      <c r="H360" s="299"/>
      <c r="I360" s="299"/>
      <c r="J360" s="299"/>
      <c r="K360" s="299"/>
      <c r="L360" s="299"/>
      <c r="M360" s="299"/>
      <c r="N360" s="299"/>
      <c r="O360" s="299"/>
      <c r="P360" s="299"/>
      <c r="Q360" s="299"/>
      <c r="R360" s="299"/>
      <c r="S360" s="299"/>
      <c r="T360" s="299"/>
      <c r="U360" s="299"/>
    </row>
    <row r="361">
      <c r="B361" s="3"/>
      <c r="D361" s="3"/>
      <c r="E361" s="300" t="s">
        <v>22</v>
      </c>
      <c r="F361" s="299"/>
      <c r="G361" s="299"/>
      <c r="H361" s="299"/>
      <c r="I361" s="299"/>
      <c r="J361" s="299"/>
      <c r="K361" s="299"/>
      <c r="L361" s="299"/>
      <c r="M361" s="299"/>
      <c r="N361" s="299"/>
      <c r="O361" s="299"/>
      <c r="P361" s="299"/>
      <c r="Q361" s="299"/>
      <c r="R361" s="299"/>
      <c r="S361" s="299"/>
      <c r="T361" s="299"/>
      <c r="U361" s="299"/>
    </row>
    <row r="362">
      <c r="B362" s="3"/>
      <c r="D362" s="3"/>
      <c r="E362" s="300" t="s">
        <v>22</v>
      </c>
      <c r="F362" s="299"/>
      <c r="G362" s="299"/>
      <c r="H362" s="299"/>
      <c r="I362" s="299"/>
      <c r="J362" s="299"/>
      <c r="K362" s="299"/>
      <c r="L362" s="299"/>
      <c r="M362" s="299"/>
      <c r="N362" s="299"/>
      <c r="O362" s="299"/>
      <c r="P362" s="299"/>
      <c r="Q362" s="299"/>
      <c r="R362" s="299"/>
      <c r="S362" s="299"/>
      <c r="T362" s="299"/>
      <c r="U362" s="299"/>
    </row>
    <row r="363">
      <c r="B363" s="3"/>
      <c r="D363" s="3"/>
      <c r="E363" s="300" t="s">
        <v>22</v>
      </c>
      <c r="F363" s="299"/>
      <c r="G363" s="299"/>
      <c r="H363" s="299"/>
      <c r="I363" s="299"/>
      <c r="J363" s="299"/>
      <c r="K363" s="299"/>
      <c r="L363" s="299"/>
      <c r="M363" s="299"/>
      <c r="N363" s="299"/>
      <c r="O363" s="299"/>
      <c r="P363" s="299"/>
      <c r="Q363" s="299"/>
      <c r="R363" s="299"/>
      <c r="S363" s="299"/>
      <c r="T363" s="299"/>
      <c r="U363" s="299"/>
    </row>
    <row r="364">
      <c r="B364" s="3"/>
      <c r="D364" s="3"/>
      <c r="E364" s="300" t="s">
        <v>22</v>
      </c>
      <c r="F364" s="299"/>
      <c r="G364" s="299"/>
      <c r="H364" s="299"/>
      <c r="I364" s="299"/>
      <c r="J364" s="299"/>
      <c r="K364" s="299"/>
      <c r="L364" s="299"/>
      <c r="M364" s="299"/>
      <c r="N364" s="299"/>
      <c r="O364" s="299"/>
      <c r="P364" s="299"/>
      <c r="Q364" s="299"/>
      <c r="R364" s="299"/>
      <c r="S364" s="299"/>
      <c r="T364" s="299"/>
      <c r="U364" s="299"/>
    </row>
    <row r="365">
      <c r="B365" s="3"/>
      <c r="D365" s="3"/>
      <c r="E365" s="300" t="s">
        <v>22</v>
      </c>
      <c r="F365" s="299"/>
      <c r="G365" s="299"/>
      <c r="H365" s="299"/>
      <c r="I365" s="299"/>
      <c r="J365" s="299"/>
      <c r="K365" s="299"/>
      <c r="L365" s="299"/>
      <c r="M365" s="299"/>
      <c r="N365" s="299"/>
      <c r="O365" s="299"/>
      <c r="P365" s="299"/>
      <c r="Q365" s="299"/>
      <c r="R365" s="299"/>
      <c r="S365" s="299"/>
      <c r="T365" s="299"/>
      <c r="U365" s="299"/>
    </row>
    <row r="366">
      <c r="B366" s="3"/>
      <c r="D366" s="3"/>
      <c r="E366" s="300" t="s">
        <v>22</v>
      </c>
      <c r="F366" s="299"/>
      <c r="G366" s="299"/>
      <c r="H366" s="299"/>
      <c r="I366" s="299"/>
      <c r="J366" s="299"/>
      <c r="K366" s="299"/>
      <c r="L366" s="299"/>
      <c r="M366" s="299"/>
      <c r="N366" s="299"/>
      <c r="O366" s="299"/>
      <c r="P366" s="299"/>
      <c r="Q366" s="299"/>
      <c r="R366" s="299"/>
      <c r="S366" s="299"/>
      <c r="T366" s="299"/>
      <c r="U366" s="299"/>
    </row>
    <row r="367">
      <c r="B367" s="3"/>
      <c r="D367" s="3"/>
      <c r="E367" s="300" t="s">
        <v>22</v>
      </c>
      <c r="F367" s="299"/>
      <c r="G367" s="299"/>
      <c r="H367" s="299"/>
      <c r="I367" s="299"/>
      <c r="J367" s="299"/>
      <c r="K367" s="299"/>
      <c r="L367" s="299"/>
      <c r="M367" s="299"/>
      <c r="N367" s="299"/>
      <c r="O367" s="299"/>
      <c r="P367" s="299"/>
      <c r="Q367" s="299"/>
      <c r="R367" s="299"/>
      <c r="S367" s="299"/>
      <c r="T367" s="299"/>
      <c r="U367" s="299"/>
    </row>
    <row r="368">
      <c r="B368" s="3"/>
      <c r="D368" s="3"/>
      <c r="E368" s="300" t="s">
        <v>22</v>
      </c>
      <c r="F368" s="299"/>
      <c r="G368" s="299"/>
      <c r="H368" s="299"/>
      <c r="I368" s="299"/>
      <c r="J368" s="299"/>
      <c r="K368" s="299"/>
      <c r="L368" s="299"/>
      <c r="M368" s="299"/>
      <c r="N368" s="299"/>
      <c r="O368" s="299"/>
      <c r="P368" s="299"/>
      <c r="Q368" s="299"/>
      <c r="R368" s="299"/>
      <c r="S368" s="299"/>
      <c r="T368" s="299"/>
      <c r="U368" s="299"/>
    </row>
    <row r="369">
      <c r="B369" s="3"/>
      <c r="D369" s="3"/>
      <c r="E369" s="300" t="s">
        <v>22</v>
      </c>
      <c r="F369" s="299"/>
      <c r="G369" s="299"/>
      <c r="H369" s="299"/>
      <c r="I369" s="299"/>
      <c r="J369" s="299"/>
      <c r="K369" s="299"/>
      <c r="L369" s="299"/>
      <c r="M369" s="299"/>
      <c r="N369" s="299"/>
      <c r="O369" s="299"/>
      <c r="P369" s="299"/>
      <c r="Q369" s="299"/>
      <c r="R369" s="299"/>
      <c r="S369" s="299"/>
      <c r="T369" s="299"/>
      <c r="U369" s="299"/>
    </row>
    <row r="370">
      <c r="B370" s="3"/>
      <c r="D370" s="3"/>
      <c r="E370" s="300" t="s">
        <v>22</v>
      </c>
      <c r="F370" s="299"/>
      <c r="G370" s="299"/>
      <c r="H370" s="299"/>
      <c r="I370" s="299"/>
      <c r="J370" s="299"/>
      <c r="K370" s="299"/>
      <c r="L370" s="299"/>
      <c r="M370" s="299"/>
      <c r="N370" s="299"/>
      <c r="O370" s="299"/>
      <c r="P370" s="299"/>
      <c r="Q370" s="299"/>
      <c r="R370" s="299"/>
      <c r="S370" s="299"/>
      <c r="T370" s="299"/>
      <c r="U370" s="299"/>
    </row>
    <row r="371">
      <c r="B371" s="3"/>
      <c r="D371" s="3"/>
      <c r="E371" s="300" t="s">
        <v>22</v>
      </c>
      <c r="F371" s="299"/>
      <c r="G371" s="299"/>
      <c r="H371" s="299"/>
      <c r="I371" s="299"/>
      <c r="J371" s="299"/>
      <c r="K371" s="299"/>
      <c r="L371" s="299"/>
      <c r="M371" s="299"/>
      <c r="N371" s="299"/>
      <c r="O371" s="299"/>
      <c r="P371" s="299"/>
      <c r="Q371" s="299"/>
      <c r="R371" s="299"/>
      <c r="S371" s="299"/>
      <c r="T371" s="299"/>
      <c r="U371" s="299"/>
    </row>
    <row r="372">
      <c r="B372" s="3"/>
      <c r="D372" s="3"/>
      <c r="E372" s="300" t="s">
        <v>22</v>
      </c>
      <c r="F372" s="299"/>
      <c r="G372" s="299"/>
      <c r="H372" s="299"/>
      <c r="I372" s="299"/>
      <c r="J372" s="299"/>
      <c r="K372" s="299"/>
      <c r="L372" s="299"/>
      <c r="M372" s="299"/>
      <c r="N372" s="299"/>
      <c r="O372" s="299"/>
      <c r="P372" s="299"/>
      <c r="Q372" s="299"/>
      <c r="R372" s="299"/>
      <c r="S372" s="299"/>
      <c r="T372" s="299"/>
      <c r="U372" s="299"/>
    </row>
    <row r="373">
      <c r="B373" s="3"/>
      <c r="D373" s="3"/>
      <c r="E373" s="300" t="s">
        <v>22</v>
      </c>
      <c r="F373" s="299"/>
      <c r="G373" s="299"/>
      <c r="H373" s="299"/>
      <c r="I373" s="299"/>
      <c r="J373" s="299"/>
      <c r="K373" s="299"/>
      <c r="L373" s="299"/>
      <c r="M373" s="299"/>
      <c r="N373" s="299"/>
      <c r="O373" s="299"/>
      <c r="P373" s="299"/>
      <c r="Q373" s="299"/>
      <c r="R373" s="299"/>
      <c r="S373" s="299"/>
      <c r="T373" s="299"/>
      <c r="U373" s="299"/>
    </row>
    <row r="374">
      <c r="B374" s="3"/>
      <c r="D374" s="3"/>
      <c r="E374" s="300" t="s">
        <v>22</v>
      </c>
      <c r="F374" s="299"/>
      <c r="G374" s="299"/>
      <c r="H374" s="299"/>
      <c r="I374" s="299"/>
      <c r="J374" s="299"/>
      <c r="K374" s="299"/>
      <c r="L374" s="299"/>
      <c r="M374" s="299"/>
      <c r="N374" s="299"/>
      <c r="O374" s="299"/>
      <c r="P374" s="299"/>
      <c r="Q374" s="299"/>
      <c r="R374" s="299"/>
      <c r="S374" s="299"/>
      <c r="T374" s="299"/>
      <c r="U374" s="299"/>
    </row>
    <row r="375">
      <c r="B375" s="3"/>
      <c r="D375" s="3"/>
      <c r="E375" s="300" t="s">
        <v>22</v>
      </c>
      <c r="F375" s="299"/>
      <c r="G375" s="299"/>
      <c r="H375" s="299"/>
      <c r="I375" s="299"/>
      <c r="J375" s="299"/>
      <c r="K375" s="299"/>
      <c r="L375" s="299"/>
      <c r="M375" s="299"/>
      <c r="N375" s="299"/>
      <c r="O375" s="299"/>
      <c r="P375" s="299"/>
      <c r="Q375" s="299"/>
      <c r="R375" s="299"/>
      <c r="S375" s="299"/>
      <c r="T375" s="299"/>
      <c r="U375" s="299"/>
    </row>
    <row r="376">
      <c r="B376" s="3"/>
      <c r="D376" s="3"/>
      <c r="E376" s="300" t="s">
        <v>22</v>
      </c>
      <c r="F376" s="299"/>
      <c r="G376" s="299"/>
      <c r="H376" s="299"/>
      <c r="I376" s="299"/>
      <c r="J376" s="299"/>
      <c r="K376" s="299"/>
      <c r="L376" s="299"/>
      <c r="M376" s="299"/>
      <c r="N376" s="299"/>
      <c r="O376" s="299"/>
      <c r="P376" s="299"/>
      <c r="Q376" s="299"/>
      <c r="R376" s="299"/>
      <c r="S376" s="299"/>
      <c r="T376" s="299"/>
      <c r="U376" s="299"/>
    </row>
    <row r="377">
      <c r="B377" s="3"/>
      <c r="D377" s="3"/>
      <c r="E377" s="300" t="s">
        <v>22</v>
      </c>
      <c r="F377" s="299"/>
      <c r="G377" s="299"/>
      <c r="H377" s="299"/>
      <c r="I377" s="299"/>
      <c r="J377" s="299"/>
      <c r="K377" s="299"/>
      <c r="L377" s="299"/>
      <c r="M377" s="299"/>
      <c r="N377" s="299"/>
      <c r="O377" s="299"/>
      <c r="P377" s="299"/>
      <c r="Q377" s="299"/>
      <c r="R377" s="299"/>
      <c r="S377" s="299"/>
      <c r="T377" s="299"/>
      <c r="U377" s="299"/>
    </row>
    <row r="378">
      <c r="B378" s="3"/>
      <c r="D378" s="3"/>
      <c r="E378" s="300" t="s">
        <v>22</v>
      </c>
      <c r="F378" s="299"/>
      <c r="G378" s="299"/>
      <c r="H378" s="299"/>
      <c r="I378" s="299"/>
      <c r="J378" s="299"/>
      <c r="K378" s="299"/>
      <c r="L378" s="299"/>
      <c r="M378" s="299"/>
      <c r="N378" s="299"/>
      <c r="O378" s="299"/>
      <c r="P378" s="299"/>
      <c r="Q378" s="299"/>
      <c r="R378" s="299"/>
      <c r="S378" s="299"/>
      <c r="T378" s="299"/>
      <c r="U378" s="299"/>
    </row>
    <row r="379">
      <c r="B379" s="3"/>
      <c r="D379" s="3"/>
      <c r="E379" s="300" t="s">
        <v>22</v>
      </c>
      <c r="F379" s="299"/>
      <c r="G379" s="299"/>
      <c r="H379" s="299"/>
      <c r="I379" s="299"/>
      <c r="J379" s="299"/>
      <c r="K379" s="299"/>
      <c r="L379" s="299"/>
      <c r="M379" s="299"/>
      <c r="N379" s="299"/>
      <c r="O379" s="299"/>
      <c r="P379" s="299"/>
      <c r="Q379" s="299"/>
      <c r="R379" s="299"/>
      <c r="S379" s="299"/>
      <c r="T379" s="299"/>
      <c r="U379" s="299"/>
    </row>
    <row r="380">
      <c r="B380" s="3"/>
      <c r="D380" s="3"/>
      <c r="E380" s="300" t="s">
        <v>22</v>
      </c>
      <c r="F380" s="299"/>
      <c r="G380" s="299"/>
      <c r="H380" s="299"/>
      <c r="I380" s="299"/>
      <c r="J380" s="299"/>
      <c r="K380" s="299"/>
      <c r="L380" s="299"/>
      <c r="M380" s="299"/>
      <c r="N380" s="299"/>
      <c r="O380" s="299"/>
      <c r="P380" s="299"/>
      <c r="Q380" s="299"/>
      <c r="R380" s="299"/>
      <c r="S380" s="299"/>
      <c r="T380" s="299"/>
      <c r="U380" s="299"/>
    </row>
    <row r="381">
      <c r="B381" s="3"/>
      <c r="D381" s="3"/>
      <c r="E381" s="300" t="s">
        <v>22</v>
      </c>
      <c r="F381" s="299"/>
      <c r="G381" s="299"/>
      <c r="H381" s="299"/>
      <c r="I381" s="299"/>
      <c r="J381" s="299"/>
      <c r="K381" s="299"/>
      <c r="L381" s="299"/>
      <c r="M381" s="299"/>
      <c r="N381" s="299"/>
      <c r="O381" s="299"/>
      <c r="P381" s="299"/>
      <c r="Q381" s="299"/>
      <c r="R381" s="299"/>
      <c r="S381" s="299"/>
      <c r="T381" s="299"/>
      <c r="U381" s="299"/>
    </row>
    <row r="382">
      <c r="B382" s="3"/>
      <c r="D382" s="3"/>
      <c r="E382" s="300" t="s">
        <v>22</v>
      </c>
      <c r="F382" s="299"/>
      <c r="G382" s="299"/>
      <c r="H382" s="299"/>
      <c r="I382" s="299"/>
      <c r="J382" s="299"/>
      <c r="K382" s="299"/>
      <c r="L382" s="299"/>
      <c r="M382" s="299"/>
      <c r="N382" s="299"/>
      <c r="O382" s="299"/>
      <c r="P382" s="299"/>
      <c r="Q382" s="299"/>
      <c r="R382" s="299"/>
      <c r="S382" s="299"/>
      <c r="T382" s="299"/>
      <c r="U382" s="299"/>
    </row>
    <row r="383">
      <c r="B383" s="3"/>
      <c r="D383" s="3"/>
      <c r="E383" s="300" t="s">
        <v>22</v>
      </c>
      <c r="F383" s="299"/>
      <c r="G383" s="299"/>
      <c r="H383" s="299"/>
      <c r="I383" s="299"/>
      <c r="J383" s="299"/>
      <c r="K383" s="299"/>
      <c r="L383" s="299"/>
      <c r="M383" s="299"/>
      <c r="N383" s="299"/>
      <c r="O383" s="299"/>
      <c r="P383" s="299"/>
      <c r="Q383" s="299"/>
      <c r="R383" s="299"/>
      <c r="S383" s="299"/>
      <c r="T383" s="299"/>
      <c r="U383" s="299"/>
    </row>
    <row r="384">
      <c r="B384" s="3"/>
      <c r="D384" s="3"/>
      <c r="E384" s="300" t="s">
        <v>22</v>
      </c>
      <c r="F384" s="299"/>
      <c r="G384" s="299"/>
      <c r="H384" s="299"/>
      <c r="I384" s="299"/>
      <c r="J384" s="299"/>
      <c r="K384" s="299"/>
      <c r="L384" s="299"/>
      <c r="M384" s="299"/>
      <c r="N384" s="299"/>
      <c r="O384" s="299"/>
      <c r="P384" s="299"/>
      <c r="Q384" s="299"/>
      <c r="R384" s="299"/>
      <c r="S384" s="299"/>
      <c r="T384" s="299"/>
      <c r="U384" s="299"/>
    </row>
    <row r="385">
      <c r="B385" s="3"/>
      <c r="D385" s="3"/>
      <c r="E385" s="300" t="s">
        <v>22</v>
      </c>
      <c r="F385" s="299"/>
      <c r="G385" s="299"/>
      <c r="H385" s="299"/>
      <c r="I385" s="299"/>
      <c r="J385" s="299"/>
      <c r="K385" s="299"/>
      <c r="L385" s="299"/>
      <c r="M385" s="299"/>
      <c r="N385" s="299"/>
      <c r="O385" s="299"/>
      <c r="P385" s="299"/>
      <c r="Q385" s="299"/>
      <c r="R385" s="299"/>
      <c r="S385" s="299"/>
      <c r="T385" s="299"/>
      <c r="U385" s="299"/>
    </row>
    <row r="386">
      <c r="B386" s="3"/>
      <c r="D386" s="3"/>
      <c r="E386" s="300" t="s">
        <v>22</v>
      </c>
      <c r="F386" s="299"/>
      <c r="G386" s="299"/>
      <c r="H386" s="299"/>
      <c r="I386" s="299"/>
      <c r="J386" s="299"/>
      <c r="K386" s="299"/>
      <c r="L386" s="299"/>
      <c r="M386" s="299"/>
      <c r="N386" s="299"/>
      <c r="O386" s="299"/>
      <c r="P386" s="299"/>
      <c r="Q386" s="299"/>
      <c r="R386" s="299"/>
      <c r="S386" s="299"/>
      <c r="T386" s="299"/>
      <c r="U386" s="299"/>
    </row>
    <row r="387">
      <c r="B387" s="3"/>
      <c r="D387" s="3"/>
      <c r="E387" s="300" t="s">
        <v>22</v>
      </c>
      <c r="F387" s="299"/>
      <c r="G387" s="299"/>
      <c r="H387" s="299"/>
      <c r="I387" s="299"/>
      <c r="J387" s="299"/>
      <c r="K387" s="299"/>
      <c r="L387" s="299"/>
      <c r="M387" s="299"/>
      <c r="N387" s="299"/>
      <c r="O387" s="299"/>
      <c r="P387" s="299"/>
      <c r="Q387" s="299"/>
      <c r="R387" s="299"/>
      <c r="S387" s="299"/>
      <c r="T387" s="299"/>
      <c r="U387" s="299"/>
    </row>
    <row r="388">
      <c r="B388" s="3"/>
      <c r="D388" s="3"/>
      <c r="E388" s="300" t="s">
        <v>22</v>
      </c>
      <c r="F388" s="299"/>
      <c r="G388" s="299"/>
      <c r="H388" s="299"/>
      <c r="I388" s="299"/>
      <c r="J388" s="299"/>
      <c r="K388" s="299"/>
      <c r="L388" s="299"/>
      <c r="M388" s="299"/>
      <c r="N388" s="299"/>
      <c r="O388" s="299"/>
      <c r="P388" s="299"/>
      <c r="Q388" s="299"/>
      <c r="R388" s="299"/>
      <c r="S388" s="299"/>
      <c r="T388" s="299"/>
      <c r="U388" s="299"/>
    </row>
    <row r="389">
      <c r="B389" s="3"/>
      <c r="D389" s="3"/>
      <c r="E389" s="300" t="s">
        <v>22</v>
      </c>
      <c r="F389" s="299"/>
      <c r="G389" s="299"/>
      <c r="H389" s="299"/>
      <c r="I389" s="299"/>
      <c r="J389" s="299"/>
      <c r="K389" s="299"/>
      <c r="L389" s="299"/>
      <c r="M389" s="299"/>
      <c r="N389" s="299"/>
      <c r="O389" s="299"/>
      <c r="P389" s="299"/>
      <c r="Q389" s="299"/>
      <c r="R389" s="299"/>
      <c r="S389" s="299"/>
      <c r="T389" s="299"/>
      <c r="U389" s="299"/>
    </row>
    <row r="390">
      <c r="B390" s="3"/>
      <c r="D390" s="3"/>
      <c r="E390" s="300" t="s">
        <v>22</v>
      </c>
      <c r="F390" s="299"/>
      <c r="G390" s="299"/>
      <c r="H390" s="299"/>
      <c r="I390" s="299"/>
      <c r="J390" s="299"/>
      <c r="K390" s="299"/>
      <c r="L390" s="299"/>
      <c r="M390" s="299"/>
      <c r="N390" s="299"/>
      <c r="O390" s="299"/>
      <c r="P390" s="299"/>
      <c r="Q390" s="299"/>
      <c r="R390" s="299"/>
      <c r="S390" s="299"/>
      <c r="T390" s="299"/>
      <c r="U390" s="299"/>
    </row>
    <row r="391">
      <c r="B391" s="3"/>
      <c r="D391" s="3"/>
      <c r="E391" s="300" t="s">
        <v>22</v>
      </c>
      <c r="F391" s="299"/>
      <c r="G391" s="299"/>
      <c r="H391" s="299"/>
      <c r="I391" s="299"/>
      <c r="J391" s="299"/>
      <c r="K391" s="299"/>
      <c r="L391" s="299"/>
      <c r="M391" s="299"/>
      <c r="N391" s="299"/>
      <c r="O391" s="299"/>
      <c r="P391" s="299"/>
      <c r="Q391" s="299"/>
      <c r="R391" s="299"/>
      <c r="S391" s="299"/>
      <c r="T391" s="299"/>
      <c r="U391" s="299"/>
    </row>
    <row r="392">
      <c r="B392" s="3"/>
      <c r="D392" s="3"/>
      <c r="E392" s="300" t="s">
        <v>22</v>
      </c>
      <c r="F392" s="299"/>
      <c r="G392" s="299"/>
      <c r="H392" s="299"/>
      <c r="I392" s="299"/>
      <c r="J392" s="299"/>
      <c r="K392" s="299"/>
      <c r="L392" s="299"/>
      <c r="M392" s="299"/>
      <c r="N392" s="299"/>
      <c r="O392" s="299"/>
      <c r="P392" s="299"/>
      <c r="Q392" s="299"/>
      <c r="R392" s="299"/>
      <c r="S392" s="299"/>
      <c r="T392" s="299"/>
      <c r="U392" s="299"/>
    </row>
    <row r="393">
      <c r="B393" s="3"/>
      <c r="D393" s="3"/>
      <c r="E393" s="300" t="s">
        <v>22</v>
      </c>
      <c r="F393" s="299"/>
      <c r="G393" s="299"/>
      <c r="H393" s="299"/>
      <c r="I393" s="299"/>
      <c r="J393" s="299"/>
      <c r="K393" s="299"/>
      <c r="L393" s="299"/>
      <c r="M393" s="299"/>
      <c r="N393" s="299"/>
      <c r="O393" s="299"/>
      <c r="P393" s="299"/>
      <c r="Q393" s="299"/>
      <c r="R393" s="299"/>
      <c r="S393" s="299"/>
      <c r="T393" s="299"/>
      <c r="U393" s="299"/>
    </row>
    <row r="394">
      <c r="B394" s="3"/>
      <c r="D394" s="3"/>
      <c r="E394" s="300" t="s">
        <v>22</v>
      </c>
      <c r="F394" s="299"/>
      <c r="G394" s="299"/>
      <c r="H394" s="299"/>
      <c r="I394" s="299"/>
      <c r="J394" s="299"/>
      <c r="K394" s="299"/>
      <c r="L394" s="299"/>
      <c r="M394" s="299"/>
      <c r="N394" s="299"/>
      <c r="O394" s="299"/>
      <c r="P394" s="299"/>
      <c r="Q394" s="299"/>
      <c r="R394" s="299"/>
      <c r="S394" s="299"/>
      <c r="T394" s="299"/>
      <c r="U394" s="299"/>
    </row>
    <row r="395">
      <c r="B395" s="3"/>
      <c r="D395" s="3"/>
      <c r="E395" s="300" t="s">
        <v>22</v>
      </c>
      <c r="F395" s="299"/>
      <c r="G395" s="299"/>
      <c r="H395" s="299"/>
      <c r="I395" s="299"/>
      <c r="J395" s="299"/>
      <c r="K395" s="299"/>
      <c r="L395" s="299"/>
      <c r="M395" s="299"/>
      <c r="N395" s="299"/>
      <c r="O395" s="299"/>
      <c r="P395" s="299"/>
      <c r="Q395" s="299"/>
      <c r="R395" s="299"/>
      <c r="S395" s="299"/>
      <c r="T395" s="299"/>
      <c r="U395" s="299"/>
    </row>
    <row r="396">
      <c r="B396" s="3"/>
      <c r="D396" s="3"/>
      <c r="E396" s="300" t="s">
        <v>22</v>
      </c>
      <c r="F396" s="299"/>
      <c r="G396" s="299"/>
      <c r="H396" s="299"/>
      <c r="I396" s="299"/>
      <c r="J396" s="299"/>
      <c r="K396" s="299"/>
      <c r="L396" s="299"/>
      <c r="M396" s="299"/>
      <c r="N396" s="299"/>
      <c r="O396" s="299"/>
      <c r="P396" s="299"/>
      <c r="Q396" s="299"/>
      <c r="R396" s="299"/>
      <c r="S396" s="299"/>
      <c r="T396" s="299"/>
      <c r="U396" s="299"/>
    </row>
    <row r="397">
      <c r="B397" s="3"/>
      <c r="D397" s="3"/>
      <c r="E397" s="300" t="s">
        <v>22</v>
      </c>
      <c r="F397" s="299"/>
      <c r="G397" s="299"/>
      <c r="H397" s="299"/>
      <c r="I397" s="299"/>
      <c r="J397" s="299"/>
      <c r="K397" s="299"/>
      <c r="L397" s="299"/>
      <c r="M397" s="299"/>
      <c r="N397" s="299"/>
      <c r="O397" s="299"/>
      <c r="P397" s="299"/>
      <c r="Q397" s="299"/>
      <c r="R397" s="299"/>
      <c r="S397" s="299"/>
      <c r="T397" s="299"/>
      <c r="U397" s="299"/>
    </row>
    <row r="398">
      <c r="B398" s="3"/>
      <c r="D398" s="3"/>
      <c r="E398" s="300" t="s">
        <v>22</v>
      </c>
      <c r="F398" s="299"/>
      <c r="G398" s="299"/>
      <c r="H398" s="299"/>
      <c r="I398" s="299"/>
      <c r="J398" s="299"/>
      <c r="K398" s="299"/>
      <c r="L398" s="299"/>
      <c r="M398" s="299"/>
      <c r="N398" s="299"/>
      <c r="O398" s="299"/>
      <c r="P398" s="299"/>
      <c r="Q398" s="299"/>
      <c r="R398" s="299"/>
      <c r="S398" s="299"/>
      <c r="T398" s="299"/>
      <c r="U398" s="299"/>
    </row>
    <row r="399">
      <c r="B399" s="3"/>
      <c r="D399" s="3"/>
      <c r="E399" s="300" t="s">
        <v>22</v>
      </c>
      <c r="F399" s="299"/>
      <c r="G399" s="299"/>
      <c r="H399" s="299"/>
      <c r="I399" s="299"/>
      <c r="J399" s="299"/>
      <c r="K399" s="299"/>
      <c r="L399" s="299"/>
      <c r="M399" s="299"/>
      <c r="N399" s="299"/>
      <c r="O399" s="299"/>
      <c r="P399" s="299"/>
      <c r="Q399" s="299"/>
      <c r="R399" s="299"/>
      <c r="S399" s="299"/>
      <c r="T399" s="299"/>
      <c r="U399" s="299"/>
    </row>
    <row r="400">
      <c r="B400" s="3"/>
      <c r="D400" s="3"/>
      <c r="E400" s="300" t="s">
        <v>22</v>
      </c>
      <c r="F400" s="299"/>
      <c r="G400" s="299"/>
      <c r="H400" s="299"/>
      <c r="I400" s="299"/>
      <c r="J400" s="299"/>
      <c r="K400" s="299"/>
      <c r="L400" s="299"/>
      <c r="M400" s="299"/>
      <c r="N400" s="299"/>
      <c r="O400" s="299"/>
      <c r="P400" s="299"/>
      <c r="Q400" s="299"/>
      <c r="R400" s="299"/>
      <c r="S400" s="299"/>
      <c r="T400" s="299"/>
      <c r="U400" s="299"/>
    </row>
    <row r="401">
      <c r="B401" s="3"/>
      <c r="D401" s="3"/>
      <c r="E401" s="300" t="s">
        <v>22</v>
      </c>
      <c r="F401" s="299"/>
      <c r="G401" s="299"/>
      <c r="H401" s="299"/>
      <c r="I401" s="299"/>
      <c r="J401" s="299"/>
      <c r="K401" s="299"/>
      <c r="L401" s="299"/>
      <c r="M401" s="299"/>
      <c r="N401" s="299"/>
      <c r="O401" s="299"/>
      <c r="P401" s="299"/>
      <c r="Q401" s="299"/>
      <c r="R401" s="299"/>
      <c r="S401" s="299"/>
      <c r="T401" s="299"/>
      <c r="U401" s="299"/>
    </row>
    <row r="402">
      <c r="B402" s="3"/>
      <c r="D402" s="3"/>
      <c r="E402" s="300" t="s">
        <v>22</v>
      </c>
      <c r="F402" s="299"/>
      <c r="G402" s="299"/>
      <c r="H402" s="299"/>
      <c r="I402" s="299"/>
      <c r="J402" s="299"/>
      <c r="K402" s="299"/>
      <c r="L402" s="299"/>
      <c r="M402" s="299"/>
      <c r="N402" s="299"/>
      <c r="O402" s="299"/>
      <c r="P402" s="299"/>
      <c r="Q402" s="299"/>
      <c r="R402" s="299"/>
      <c r="S402" s="299"/>
      <c r="T402" s="299"/>
      <c r="U402" s="299"/>
    </row>
    <row r="403">
      <c r="B403" s="3"/>
      <c r="D403" s="3"/>
      <c r="E403" s="300" t="s">
        <v>22</v>
      </c>
      <c r="F403" s="299"/>
      <c r="G403" s="299"/>
      <c r="H403" s="299"/>
      <c r="I403" s="299"/>
      <c r="J403" s="299"/>
      <c r="K403" s="299"/>
      <c r="L403" s="299"/>
      <c r="M403" s="299"/>
      <c r="N403" s="299"/>
      <c r="O403" s="299"/>
      <c r="P403" s="299"/>
      <c r="Q403" s="299"/>
      <c r="R403" s="299"/>
      <c r="S403" s="299"/>
      <c r="T403" s="299"/>
      <c r="U403" s="299"/>
    </row>
    <row r="404">
      <c r="B404" s="3"/>
      <c r="D404" s="3"/>
      <c r="E404" s="300" t="s">
        <v>22</v>
      </c>
      <c r="F404" s="299"/>
      <c r="G404" s="299"/>
      <c r="H404" s="299"/>
      <c r="I404" s="299"/>
      <c r="J404" s="299"/>
      <c r="K404" s="299"/>
      <c r="L404" s="299"/>
      <c r="M404" s="299"/>
      <c r="N404" s="299"/>
      <c r="O404" s="299"/>
      <c r="P404" s="299"/>
      <c r="Q404" s="299"/>
      <c r="R404" s="299"/>
      <c r="S404" s="299"/>
      <c r="T404" s="299"/>
      <c r="U404" s="299"/>
    </row>
    <row r="405">
      <c r="B405" s="3"/>
      <c r="D405" s="3"/>
      <c r="E405" s="300" t="s">
        <v>22</v>
      </c>
      <c r="F405" s="299"/>
      <c r="G405" s="299"/>
      <c r="H405" s="299"/>
      <c r="I405" s="299"/>
      <c r="J405" s="299"/>
      <c r="K405" s="299"/>
      <c r="L405" s="299"/>
      <c r="M405" s="299"/>
      <c r="N405" s="299"/>
      <c r="O405" s="299"/>
      <c r="P405" s="299"/>
      <c r="Q405" s="299"/>
      <c r="R405" s="299"/>
      <c r="S405" s="299"/>
      <c r="T405" s="299"/>
      <c r="U405" s="299"/>
    </row>
    <row r="406">
      <c r="B406" s="3"/>
      <c r="D406" s="3"/>
      <c r="E406" s="300" t="s">
        <v>22</v>
      </c>
      <c r="F406" s="299"/>
      <c r="G406" s="299"/>
      <c r="H406" s="299"/>
      <c r="I406" s="299"/>
      <c r="J406" s="299"/>
      <c r="K406" s="299"/>
      <c r="L406" s="299"/>
      <c r="M406" s="299"/>
      <c r="N406" s="299"/>
      <c r="O406" s="299"/>
      <c r="P406" s="299"/>
      <c r="Q406" s="299"/>
      <c r="R406" s="299"/>
      <c r="S406" s="299"/>
      <c r="T406" s="299"/>
      <c r="U406" s="299"/>
    </row>
    <row r="407">
      <c r="B407" s="3"/>
      <c r="D407" s="3"/>
      <c r="E407" s="300" t="s">
        <v>22</v>
      </c>
      <c r="F407" s="299"/>
      <c r="G407" s="299"/>
      <c r="H407" s="299"/>
      <c r="I407" s="299"/>
      <c r="J407" s="299"/>
      <c r="K407" s="299"/>
      <c r="L407" s="299"/>
      <c r="M407" s="299"/>
      <c r="N407" s="299"/>
      <c r="O407" s="299"/>
      <c r="P407" s="299"/>
      <c r="Q407" s="299"/>
      <c r="R407" s="299"/>
      <c r="S407" s="299"/>
      <c r="T407" s="299"/>
      <c r="U407" s="299"/>
    </row>
    <row r="408">
      <c r="B408" s="3"/>
      <c r="D408" s="3"/>
      <c r="E408" s="300" t="s">
        <v>22</v>
      </c>
      <c r="F408" s="299"/>
      <c r="G408" s="299"/>
      <c r="H408" s="299"/>
      <c r="I408" s="299"/>
      <c r="J408" s="299"/>
      <c r="K408" s="299"/>
      <c r="L408" s="299"/>
      <c r="M408" s="299"/>
      <c r="N408" s="299"/>
      <c r="O408" s="299"/>
      <c r="P408" s="299"/>
      <c r="Q408" s="299"/>
      <c r="R408" s="299"/>
      <c r="S408" s="299"/>
      <c r="T408" s="299"/>
      <c r="U408" s="299"/>
    </row>
    <row r="409">
      <c r="B409" s="3"/>
      <c r="D409" s="3"/>
      <c r="E409" s="300" t="s">
        <v>22</v>
      </c>
      <c r="F409" s="299"/>
      <c r="G409" s="299"/>
      <c r="H409" s="299"/>
      <c r="I409" s="299"/>
      <c r="J409" s="299"/>
      <c r="K409" s="299"/>
      <c r="L409" s="299"/>
      <c r="M409" s="299"/>
      <c r="N409" s="299"/>
      <c r="O409" s="299"/>
      <c r="P409" s="299"/>
      <c r="Q409" s="299"/>
      <c r="R409" s="299"/>
      <c r="S409" s="299"/>
      <c r="T409" s="299"/>
      <c r="U409" s="299"/>
    </row>
    <row r="410">
      <c r="B410" s="3"/>
      <c r="D410" s="3"/>
      <c r="E410" s="300" t="s">
        <v>22</v>
      </c>
      <c r="F410" s="299"/>
      <c r="G410" s="299"/>
      <c r="H410" s="299"/>
      <c r="I410" s="299"/>
      <c r="J410" s="299"/>
      <c r="K410" s="299"/>
      <c r="L410" s="299"/>
      <c r="M410" s="299"/>
      <c r="N410" s="299"/>
      <c r="O410" s="299"/>
      <c r="P410" s="299"/>
      <c r="Q410" s="299"/>
      <c r="R410" s="299"/>
      <c r="S410" s="299"/>
      <c r="T410" s="299"/>
      <c r="U410" s="299"/>
    </row>
    <row r="411">
      <c r="B411" s="3"/>
      <c r="D411" s="3"/>
      <c r="E411" s="300" t="s">
        <v>22</v>
      </c>
      <c r="F411" s="299"/>
      <c r="G411" s="299"/>
      <c r="H411" s="299"/>
      <c r="I411" s="299"/>
      <c r="J411" s="299"/>
      <c r="K411" s="299"/>
      <c r="L411" s="299"/>
      <c r="M411" s="299"/>
      <c r="N411" s="299"/>
      <c r="O411" s="299"/>
      <c r="P411" s="299"/>
      <c r="Q411" s="299"/>
      <c r="R411" s="299"/>
      <c r="S411" s="299"/>
      <c r="T411" s="299"/>
      <c r="U411" s="299"/>
    </row>
    <row r="412">
      <c r="B412" s="3"/>
      <c r="D412" s="3"/>
      <c r="E412" s="300" t="s">
        <v>22</v>
      </c>
      <c r="F412" s="299"/>
      <c r="G412" s="299"/>
      <c r="H412" s="299"/>
      <c r="I412" s="299"/>
      <c r="J412" s="299"/>
      <c r="K412" s="299"/>
      <c r="L412" s="299"/>
      <c r="M412" s="299"/>
      <c r="N412" s="299"/>
      <c r="O412" s="299"/>
      <c r="P412" s="299"/>
      <c r="Q412" s="299"/>
      <c r="R412" s="299"/>
      <c r="S412" s="299"/>
      <c r="T412" s="299"/>
      <c r="U412" s="299"/>
    </row>
    <row r="413">
      <c r="B413" s="3"/>
      <c r="D413" s="3"/>
      <c r="E413" s="300" t="s">
        <v>22</v>
      </c>
      <c r="F413" s="299"/>
      <c r="G413" s="299"/>
      <c r="H413" s="299"/>
      <c r="I413" s="299"/>
      <c r="J413" s="299"/>
      <c r="K413" s="299"/>
      <c r="L413" s="299"/>
      <c r="M413" s="299"/>
      <c r="N413" s="299"/>
      <c r="O413" s="299"/>
      <c r="P413" s="299"/>
      <c r="Q413" s="299"/>
      <c r="R413" s="299"/>
      <c r="S413" s="299"/>
      <c r="T413" s="299"/>
      <c r="U413" s="299"/>
    </row>
    <row r="414">
      <c r="B414" s="3"/>
      <c r="D414" s="3"/>
      <c r="E414" s="300" t="s">
        <v>22</v>
      </c>
      <c r="F414" s="299"/>
      <c r="G414" s="299"/>
      <c r="H414" s="299"/>
      <c r="I414" s="299"/>
      <c r="J414" s="299"/>
      <c r="K414" s="299"/>
      <c r="L414" s="299"/>
      <c r="M414" s="299"/>
      <c r="N414" s="299"/>
      <c r="O414" s="299"/>
      <c r="P414" s="299"/>
      <c r="Q414" s="299"/>
      <c r="R414" s="299"/>
      <c r="S414" s="299"/>
      <c r="T414" s="299"/>
      <c r="U414" s="299"/>
    </row>
    <row r="415">
      <c r="B415" s="3"/>
      <c r="D415" s="3"/>
      <c r="E415" s="300" t="s">
        <v>22</v>
      </c>
      <c r="F415" s="299"/>
      <c r="G415" s="299"/>
      <c r="H415" s="299"/>
      <c r="I415" s="299"/>
      <c r="J415" s="299"/>
      <c r="K415" s="299"/>
      <c r="L415" s="299"/>
      <c r="M415" s="299"/>
      <c r="N415" s="299"/>
      <c r="O415" s="299"/>
      <c r="P415" s="299"/>
      <c r="Q415" s="299"/>
      <c r="R415" s="299"/>
      <c r="S415" s="299"/>
      <c r="T415" s="299"/>
      <c r="U415" s="299"/>
    </row>
    <row r="416">
      <c r="B416" s="3"/>
      <c r="D416" s="3"/>
      <c r="E416" s="300" t="s">
        <v>22</v>
      </c>
      <c r="F416" s="299"/>
      <c r="G416" s="299"/>
      <c r="H416" s="299"/>
      <c r="I416" s="299"/>
      <c r="J416" s="299"/>
      <c r="K416" s="299"/>
      <c r="L416" s="299"/>
      <c r="M416" s="299"/>
      <c r="N416" s="299"/>
      <c r="O416" s="299"/>
      <c r="P416" s="299"/>
      <c r="Q416" s="299"/>
      <c r="R416" s="299"/>
      <c r="S416" s="299"/>
      <c r="T416" s="299"/>
      <c r="U416" s="299"/>
    </row>
    <row r="417">
      <c r="B417" s="3"/>
      <c r="D417" s="3"/>
      <c r="E417" s="300" t="s">
        <v>22</v>
      </c>
      <c r="F417" s="299"/>
      <c r="G417" s="299"/>
      <c r="H417" s="299"/>
      <c r="I417" s="299"/>
      <c r="J417" s="299"/>
      <c r="K417" s="299"/>
      <c r="L417" s="299"/>
      <c r="M417" s="299"/>
      <c r="N417" s="299"/>
      <c r="O417" s="299"/>
      <c r="P417" s="299"/>
      <c r="Q417" s="299"/>
      <c r="R417" s="299"/>
      <c r="S417" s="299"/>
      <c r="T417" s="299"/>
      <c r="U417" s="299"/>
    </row>
    <row r="418">
      <c r="B418" s="3"/>
      <c r="D418" s="3"/>
      <c r="E418" s="300" t="s">
        <v>22</v>
      </c>
      <c r="F418" s="299"/>
      <c r="G418" s="299"/>
      <c r="H418" s="299"/>
      <c r="I418" s="299"/>
      <c r="J418" s="299"/>
      <c r="K418" s="299"/>
      <c r="L418" s="299"/>
      <c r="M418" s="299"/>
      <c r="N418" s="299"/>
      <c r="O418" s="299"/>
      <c r="P418" s="299"/>
      <c r="Q418" s="299"/>
      <c r="R418" s="299"/>
      <c r="S418" s="299"/>
      <c r="T418" s="299"/>
      <c r="U418" s="299"/>
    </row>
    <row r="419">
      <c r="B419" s="3"/>
      <c r="D419" s="3"/>
      <c r="E419" s="300" t="s">
        <v>22</v>
      </c>
      <c r="F419" s="299"/>
      <c r="G419" s="299"/>
      <c r="H419" s="299"/>
      <c r="I419" s="299"/>
      <c r="J419" s="299"/>
      <c r="K419" s="299"/>
      <c r="L419" s="299"/>
      <c r="M419" s="299"/>
      <c r="N419" s="299"/>
      <c r="O419" s="299"/>
      <c r="P419" s="299"/>
      <c r="Q419" s="299"/>
      <c r="R419" s="299"/>
      <c r="S419" s="299"/>
      <c r="T419" s="299"/>
      <c r="U419" s="299"/>
    </row>
    <row r="420">
      <c r="B420" s="3"/>
      <c r="D420" s="3"/>
      <c r="E420" s="300" t="s">
        <v>22</v>
      </c>
      <c r="F420" s="299"/>
      <c r="G420" s="299"/>
      <c r="H420" s="299"/>
      <c r="I420" s="299"/>
      <c r="J420" s="299"/>
      <c r="K420" s="299"/>
      <c r="L420" s="299"/>
      <c r="M420" s="299"/>
      <c r="N420" s="299"/>
      <c r="O420" s="299"/>
      <c r="P420" s="299"/>
      <c r="Q420" s="299"/>
      <c r="R420" s="299"/>
      <c r="S420" s="299"/>
      <c r="T420" s="299"/>
      <c r="U420" s="299"/>
    </row>
    <row r="421">
      <c r="B421" s="3"/>
      <c r="D421" s="3"/>
      <c r="E421" s="300" t="s">
        <v>22</v>
      </c>
      <c r="F421" s="299"/>
      <c r="G421" s="299"/>
      <c r="H421" s="299"/>
      <c r="I421" s="299"/>
      <c r="J421" s="299"/>
      <c r="K421" s="299"/>
      <c r="L421" s="299"/>
      <c r="M421" s="299"/>
      <c r="N421" s="299"/>
      <c r="O421" s="299"/>
      <c r="P421" s="299"/>
      <c r="Q421" s="299"/>
      <c r="R421" s="299"/>
      <c r="S421" s="299"/>
      <c r="T421" s="299"/>
      <c r="U421" s="299"/>
    </row>
    <row r="422">
      <c r="B422" s="3"/>
      <c r="D422" s="3"/>
      <c r="E422" s="300" t="s">
        <v>22</v>
      </c>
      <c r="F422" s="299"/>
      <c r="G422" s="299"/>
      <c r="H422" s="299"/>
      <c r="I422" s="299"/>
      <c r="J422" s="299"/>
      <c r="K422" s="299"/>
      <c r="L422" s="299"/>
      <c r="M422" s="299"/>
      <c r="N422" s="299"/>
      <c r="O422" s="299"/>
      <c r="P422" s="299"/>
      <c r="Q422" s="299"/>
      <c r="R422" s="299"/>
      <c r="S422" s="299"/>
      <c r="T422" s="299"/>
      <c r="U422" s="299"/>
    </row>
    <row r="423">
      <c r="B423" s="3"/>
      <c r="D423" s="3"/>
      <c r="E423" s="300" t="s">
        <v>22</v>
      </c>
      <c r="F423" s="299"/>
      <c r="G423" s="299"/>
      <c r="H423" s="299"/>
      <c r="I423" s="299"/>
      <c r="J423" s="299"/>
      <c r="K423" s="299"/>
      <c r="L423" s="299"/>
      <c r="M423" s="299"/>
      <c r="N423" s="299"/>
      <c r="O423" s="299"/>
      <c r="P423" s="299"/>
      <c r="Q423" s="299"/>
      <c r="R423" s="299"/>
      <c r="S423" s="299"/>
      <c r="T423" s="299"/>
      <c r="U423" s="299"/>
    </row>
    <row r="424">
      <c r="B424" s="3"/>
      <c r="D424" s="3"/>
      <c r="E424" s="300" t="s">
        <v>22</v>
      </c>
      <c r="F424" s="299"/>
      <c r="G424" s="299"/>
      <c r="H424" s="299"/>
      <c r="I424" s="299"/>
      <c r="J424" s="299"/>
      <c r="K424" s="299"/>
      <c r="L424" s="299"/>
      <c r="M424" s="299"/>
      <c r="N424" s="299"/>
      <c r="O424" s="299"/>
      <c r="P424" s="299"/>
      <c r="Q424" s="299"/>
      <c r="R424" s="299"/>
      <c r="S424" s="299"/>
      <c r="T424" s="299"/>
      <c r="U424" s="299"/>
    </row>
    <row r="425">
      <c r="B425" s="3"/>
      <c r="D425" s="3"/>
      <c r="E425" s="300" t="s">
        <v>22</v>
      </c>
      <c r="F425" s="299"/>
      <c r="G425" s="299"/>
      <c r="H425" s="299"/>
      <c r="I425" s="299"/>
      <c r="J425" s="299"/>
      <c r="K425" s="299"/>
      <c r="L425" s="299"/>
      <c r="M425" s="299"/>
      <c r="N425" s="299"/>
      <c r="O425" s="299"/>
      <c r="P425" s="299"/>
      <c r="Q425" s="299"/>
      <c r="R425" s="299"/>
      <c r="S425" s="299"/>
      <c r="T425" s="299"/>
      <c r="U425" s="299"/>
    </row>
    <row r="426">
      <c r="B426" s="3"/>
      <c r="D426" s="3"/>
      <c r="E426" s="300" t="s">
        <v>22</v>
      </c>
      <c r="F426" s="299"/>
      <c r="G426" s="299"/>
      <c r="H426" s="299"/>
      <c r="I426" s="299"/>
      <c r="J426" s="299"/>
      <c r="K426" s="299"/>
      <c r="L426" s="299"/>
      <c r="M426" s="299"/>
      <c r="N426" s="299"/>
      <c r="O426" s="299"/>
      <c r="P426" s="299"/>
      <c r="Q426" s="299"/>
      <c r="R426" s="299"/>
      <c r="S426" s="299"/>
      <c r="T426" s="299"/>
      <c r="U426" s="299"/>
    </row>
    <row r="427">
      <c r="B427" s="3"/>
      <c r="D427" s="3"/>
      <c r="E427" s="300" t="s">
        <v>22</v>
      </c>
      <c r="F427" s="299"/>
      <c r="G427" s="299"/>
      <c r="H427" s="299"/>
      <c r="I427" s="299"/>
      <c r="J427" s="299"/>
      <c r="K427" s="299"/>
      <c r="L427" s="299"/>
      <c r="M427" s="299"/>
      <c r="N427" s="299"/>
      <c r="O427" s="299"/>
      <c r="P427" s="299"/>
      <c r="Q427" s="299"/>
      <c r="R427" s="299"/>
      <c r="S427" s="299"/>
      <c r="T427" s="299"/>
      <c r="U427" s="299"/>
    </row>
    <row r="428">
      <c r="B428" s="3"/>
      <c r="D428" s="3"/>
      <c r="E428" s="300" t="s">
        <v>22</v>
      </c>
      <c r="F428" s="299"/>
      <c r="G428" s="299"/>
      <c r="H428" s="299"/>
      <c r="I428" s="299"/>
      <c r="J428" s="299"/>
      <c r="K428" s="299"/>
      <c r="L428" s="299"/>
      <c r="M428" s="299"/>
      <c r="N428" s="299"/>
      <c r="O428" s="299"/>
      <c r="P428" s="299"/>
      <c r="Q428" s="299"/>
      <c r="R428" s="299"/>
      <c r="S428" s="299"/>
      <c r="T428" s="299"/>
      <c r="U428" s="299"/>
    </row>
    <row r="429">
      <c r="B429" s="3"/>
      <c r="D429" s="3"/>
      <c r="E429" s="300" t="s">
        <v>22</v>
      </c>
      <c r="F429" s="299"/>
      <c r="G429" s="299"/>
      <c r="H429" s="299"/>
      <c r="I429" s="299"/>
      <c r="J429" s="299"/>
      <c r="K429" s="299"/>
      <c r="L429" s="299"/>
      <c r="M429" s="299"/>
      <c r="N429" s="299"/>
      <c r="O429" s="299"/>
      <c r="P429" s="299"/>
      <c r="Q429" s="299"/>
      <c r="R429" s="299"/>
      <c r="S429" s="299"/>
      <c r="T429" s="299"/>
      <c r="U429" s="299"/>
    </row>
    <row r="430">
      <c r="B430" s="3"/>
      <c r="D430" s="3"/>
      <c r="E430" s="300" t="s">
        <v>22</v>
      </c>
      <c r="F430" s="299"/>
      <c r="G430" s="299"/>
      <c r="H430" s="299"/>
      <c r="I430" s="299"/>
      <c r="J430" s="299"/>
      <c r="K430" s="299"/>
      <c r="L430" s="299"/>
      <c r="M430" s="299"/>
      <c r="N430" s="299"/>
      <c r="O430" s="299"/>
      <c r="P430" s="299"/>
      <c r="Q430" s="299"/>
      <c r="R430" s="299"/>
      <c r="S430" s="299"/>
      <c r="T430" s="299"/>
      <c r="U430" s="299"/>
    </row>
    <row r="431">
      <c r="B431" s="3"/>
      <c r="D431" s="3"/>
      <c r="E431" s="300" t="s">
        <v>22</v>
      </c>
      <c r="F431" s="299"/>
      <c r="G431" s="299"/>
      <c r="H431" s="299"/>
      <c r="I431" s="299"/>
      <c r="J431" s="299"/>
      <c r="K431" s="299"/>
      <c r="L431" s="299"/>
      <c r="M431" s="299"/>
      <c r="N431" s="299"/>
      <c r="O431" s="299"/>
      <c r="P431" s="299"/>
      <c r="Q431" s="299"/>
      <c r="R431" s="299"/>
      <c r="S431" s="299"/>
      <c r="T431" s="299"/>
      <c r="U431" s="299"/>
    </row>
    <row r="432">
      <c r="B432" s="3"/>
      <c r="D432" s="3"/>
      <c r="E432" s="300" t="s">
        <v>22</v>
      </c>
      <c r="F432" s="299"/>
      <c r="G432" s="299"/>
      <c r="H432" s="299"/>
      <c r="I432" s="299"/>
      <c r="J432" s="299"/>
      <c r="K432" s="299"/>
      <c r="L432" s="299"/>
      <c r="M432" s="299"/>
      <c r="N432" s="299"/>
      <c r="O432" s="299"/>
      <c r="P432" s="299"/>
      <c r="Q432" s="299"/>
      <c r="R432" s="299"/>
      <c r="S432" s="299"/>
      <c r="T432" s="299"/>
      <c r="U432" s="299"/>
    </row>
    <row r="433">
      <c r="B433" s="3"/>
      <c r="D433" s="3"/>
      <c r="E433" s="300" t="s">
        <v>22</v>
      </c>
      <c r="F433" s="299"/>
      <c r="G433" s="299"/>
      <c r="H433" s="299"/>
      <c r="I433" s="299"/>
      <c r="J433" s="299"/>
      <c r="K433" s="299"/>
      <c r="L433" s="299"/>
      <c r="M433" s="299"/>
      <c r="N433" s="299"/>
      <c r="O433" s="299"/>
      <c r="P433" s="299"/>
      <c r="Q433" s="299"/>
      <c r="R433" s="299"/>
      <c r="S433" s="299"/>
      <c r="T433" s="299"/>
      <c r="U433" s="299"/>
    </row>
    <row r="434">
      <c r="B434" s="3"/>
      <c r="D434" s="3"/>
      <c r="E434" s="300" t="s">
        <v>22</v>
      </c>
      <c r="F434" s="299"/>
      <c r="G434" s="299"/>
      <c r="H434" s="299"/>
      <c r="I434" s="299"/>
      <c r="J434" s="299"/>
      <c r="K434" s="299"/>
      <c r="L434" s="299"/>
      <c r="M434" s="299"/>
      <c r="N434" s="299"/>
      <c r="O434" s="299"/>
      <c r="P434" s="299"/>
      <c r="Q434" s="299"/>
      <c r="R434" s="299"/>
      <c r="S434" s="299"/>
      <c r="T434" s="299"/>
      <c r="U434" s="299"/>
    </row>
    <row r="435">
      <c r="B435" s="3"/>
      <c r="D435" s="3"/>
      <c r="E435" s="300" t="s">
        <v>22</v>
      </c>
      <c r="F435" s="299"/>
      <c r="G435" s="299"/>
      <c r="H435" s="299"/>
      <c r="I435" s="299"/>
      <c r="J435" s="299"/>
      <c r="K435" s="299"/>
      <c r="L435" s="299"/>
      <c r="M435" s="299"/>
      <c r="N435" s="299"/>
      <c r="O435" s="299"/>
      <c r="P435" s="299"/>
      <c r="Q435" s="299"/>
      <c r="R435" s="299"/>
      <c r="S435" s="299"/>
      <c r="T435" s="299"/>
      <c r="U435" s="299"/>
    </row>
    <row r="436">
      <c r="B436" s="3"/>
      <c r="D436" s="3"/>
      <c r="E436" s="300" t="s">
        <v>22</v>
      </c>
      <c r="F436" s="299"/>
      <c r="G436" s="299"/>
      <c r="H436" s="299"/>
      <c r="I436" s="299"/>
      <c r="J436" s="299"/>
      <c r="K436" s="299"/>
      <c r="L436" s="299"/>
      <c r="M436" s="299"/>
      <c r="N436" s="299"/>
      <c r="O436" s="299"/>
      <c r="P436" s="299"/>
      <c r="Q436" s="299"/>
      <c r="R436" s="299"/>
      <c r="S436" s="299"/>
      <c r="T436" s="299"/>
      <c r="U436" s="299"/>
    </row>
    <row r="437">
      <c r="B437" s="3"/>
      <c r="D437" s="3"/>
      <c r="E437" s="300" t="s">
        <v>22</v>
      </c>
      <c r="F437" s="299"/>
      <c r="G437" s="299"/>
      <c r="H437" s="299"/>
      <c r="I437" s="299"/>
      <c r="J437" s="299"/>
      <c r="K437" s="299"/>
      <c r="L437" s="299"/>
      <c r="M437" s="299"/>
      <c r="N437" s="299"/>
      <c r="O437" s="299"/>
      <c r="P437" s="299"/>
      <c r="Q437" s="299"/>
      <c r="R437" s="299"/>
      <c r="S437" s="299"/>
      <c r="T437" s="299"/>
      <c r="U437" s="299"/>
    </row>
    <row r="438">
      <c r="B438" s="3"/>
      <c r="D438" s="3"/>
      <c r="E438" s="300" t="s">
        <v>22</v>
      </c>
      <c r="F438" s="299"/>
      <c r="G438" s="299"/>
      <c r="H438" s="299"/>
      <c r="I438" s="299"/>
      <c r="J438" s="299"/>
      <c r="K438" s="299"/>
      <c r="L438" s="299"/>
      <c r="M438" s="299"/>
      <c r="N438" s="299"/>
      <c r="O438" s="299"/>
      <c r="P438" s="299"/>
      <c r="Q438" s="299"/>
      <c r="R438" s="299"/>
      <c r="S438" s="299"/>
      <c r="T438" s="299"/>
      <c r="U438" s="299"/>
    </row>
    <row r="439">
      <c r="B439" s="3"/>
      <c r="D439" s="3"/>
      <c r="E439" s="300" t="s">
        <v>22</v>
      </c>
      <c r="F439" s="299"/>
      <c r="G439" s="299"/>
      <c r="H439" s="299"/>
      <c r="I439" s="299"/>
      <c r="J439" s="299"/>
      <c r="K439" s="299"/>
      <c r="L439" s="299"/>
      <c r="M439" s="299"/>
      <c r="N439" s="299"/>
      <c r="O439" s="299"/>
      <c r="P439" s="299"/>
      <c r="Q439" s="299"/>
      <c r="R439" s="299"/>
      <c r="S439" s="299"/>
      <c r="T439" s="299"/>
      <c r="U439" s="299"/>
    </row>
    <row r="440">
      <c r="B440" s="3"/>
      <c r="D440" s="3"/>
      <c r="E440" s="300" t="s">
        <v>22</v>
      </c>
      <c r="F440" s="299"/>
      <c r="G440" s="299"/>
      <c r="H440" s="299"/>
      <c r="I440" s="299"/>
      <c r="J440" s="299"/>
      <c r="K440" s="299"/>
      <c r="L440" s="299"/>
      <c r="M440" s="299"/>
      <c r="N440" s="299"/>
      <c r="O440" s="299"/>
      <c r="P440" s="299"/>
      <c r="Q440" s="299"/>
      <c r="R440" s="299"/>
      <c r="S440" s="299"/>
      <c r="T440" s="299"/>
      <c r="U440" s="299"/>
    </row>
    <row r="441">
      <c r="B441" s="3"/>
      <c r="D441" s="3"/>
      <c r="E441" s="300" t="s">
        <v>22</v>
      </c>
      <c r="F441" s="299"/>
      <c r="G441" s="299"/>
      <c r="H441" s="299"/>
      <c r="I441" s="299"/>
      <c r="J441" s="299"/>
      <c r="K441" s="299"/>
      <c r="L441" s="299"/>
      <c r="M441" s="299"/>
      <c r="N441" s="299"/>
      <c r="O441" s="299"/>
      <c r="P441" s="299"/>
      <c r="Q441" s="299"/>
      <c r="R441" s="299"/>
      <c r="S441" s="299"/>
      <c r="T441" s="299"/>
      <c r="U441" s="299"/>
    </row>
    <row r="442">
      <c r="B442" s="3"/>
      <c r="D442" s="3"/>
      <c r="E442" s="300" t="s">
        <v>22</v>
      </c>
      <c r="F442" s="299"/>
      <c r="G442" s="299"/>
      <c r="H442" s="299"/>
      <c r="I442" s="299"/>
      <c r="J442" s="299"/>
      <c r="K442" s="299"/>
      <c r="L442" s="299"/>
      <c r="M442" s="299"/>
      <c r="N442" s="299"/>
      <c r="O442" s="299"/>
      <c r="P442" s="299"/>
      <c r="Q442" s="299"/>
      <c r="R442" s="299"/>
      <c r="S442" s="299"/>
      <c r="T442" s="299"/>
      <c r="U442" s="299"/>
    </row>
    <row r="443">
      <c r="B443" s="3"/>
      <c r="D443" s="3"/>
      <c r="E443" s="300" t="s">
        <v>22</v>
      </c>
      <c r="F443" s="299"/>
      <c r="G443" s="299"/>
      <c r="H443" s="299"/>
      <c r="I443" s="299"/>
      <c r="J443" s="299"/>
      <c r="K443" s="299"/>
      <c r="L443" s="299"/>
      <c r="M443" s="299"/>
      <c r="N443" s="299"/>
      <c r="O443" s="299"/>
      <c r="P443" s="299"/>
      <c r="Q443" s="299"/>
      <c r="R443" s="299"/>
      <c r="S443" s="299"/>
      <c r="T443" s="299"/>
      <c r="U443" s="299"/>
    </row>
    <row r="444">
      <c r="B444" s="3"/>
      <c r="D444" s="3"/>
      <c r="E444" s="300" t="s">
        <v>22</v>
      </c>
      <c r="F444" s="299"/>
      <c r="G444" s="299"/>
      <c r="H444" s="299"/>
      <c r="I444" s="299"/>
      <c r="J444" s="299"/>
      <c r="K444" s="299"/>
      <c r="L444" s="299"/>
      <c r="M444" s="299"/>
      <c r="N444" s="299"/>
      <c r="O444" s="299"/>
      <c r="P444" s="299"/>
      <c r="Q444" s="299"/>
      <c r="R444" s="299"/>
      <c r="S444" s="299"/>
      <c r="T444" s="299"/>
      <c r="U444" s="299"/>
    </row>
    <row r="445">
      <c r="B445" s="3"/>
      <c r="D445" s="3"/>
      <c r="E445" s="300" t="s">
        <v>22</v>
      </c>
      <c r="F445" s="299"/>
      <c r="G445" s="299"/>
      <c r="H445" s="299"/>
      <c r="I445" s="299"/>
      <c r="J445" s="299"/>
      <c r="K445" s="299"/>
      <c r="L445" s="299"/>
      <c r="M445" s="299"/>
      <c r="N445" s="299"/>
      <c r="O445" s="299"/>
      <c r="P445" s="299"/>
      <c r="Q445" s="299"/>
      <c r="R445" s="299"/>
      <c r="S445" s="299"/>
      <c r="T445" s="299"/>
      <c r="U445" s="299"/>
    </row>
    <row r="446">
      <c r="B446" s="3"/>
      <c r="D446" s="3"/>
      <c r="E446" s="300" t="s">
        <v>22</v>
      </c>
      <c r="F446" s="299"/>
      <c r="G446" s="299"/>
      <c r="H446" s="299"/>
      <c r="I446" s="299"/>
      <c r="J446" s="299"/>
      <c r="K446" s="299"/>
      <c r="L446" s="299"/>
      <c r="M446" s="299"/>
      <c r="N446" s="299"/>
      <c r="O446" s="299"/>
      <c r="P446" s="299"/>
      <c r="Q446" s="299"/>
      <c r="R446" s="299"/>
      <c r="S446" s="299"/>
      <c r="T446" s="299"/>
      <c r="U446" s="299"/>
    </row>
    <row r="447">
      <c r="B447" s="3"/>
      <c r="D447" s="3"/>
      <c r="E447" s="300" t="s">
        <v>22</v>
      </c>
      <c r="F447" s="299"/>
      <c r="G447" s="299"/>
      <c r="H447" s="299"/>
      <c r="I447" s="299"/>
      <c r="J447" s="299"/>
      <c r="K447" s="299"/>
      <c r="L447" s="299"/>
      <c r="M447" s="299"/>
      <c r="N447" s="299"/>
      <c r="O447" s="299"/>
      <c r="P447" s="299"/>
      <c r="Q447" s="299"/>
      <c r="R447" s="299"/>
      <c r="S447" s="299"/>
      <c r="T447" s="299"/>
      <c r="U447" s="299"/>
    </row>
    <row r="448">
      <c r="B448" s="3"/>
      <c r="D448" s="3"/>
      <c r="E448" s="300" t="s">
        <v>22</v>
      </c>
      <c r="F448" s="299"/>
      <c r="G448" s="299"/>
      <c r="H448" s="299"/>
      <c r="I448" s="299"/>
      <c r="J448" s="299"/>
      <c r="K448" s="299"/>
      <c r="L448" s="299"/>
      <c r="M448" s="299"/>
      <c r="N448" s="299"/>
      <c r="O448" s="299"/>
      <c r="P448" s="299"/>
      <c r="Q448" s="299"/>
      <c r="R448" s="299"/>
      <c r="S448" s="299"/>
      <c r="T448" s="299"/>
      <c r="U448" s="299"/>
    </row>
    <row r="449">
      <c r="B449" s="3"/>
      <c r="D449" s="3"/>
      <c r="E449" s="300" t="s">
        <v>22</v>
      </c>
      <c r="F449" s="299"/>
      <c r="G449" s="299"/>
      <c r="H449" s="299"/>
      <c r="I449" s="299"/>
      <c r="J449" s="299"/>
      <c r="K449" s="299"/>
      <c r="L449" s="299"/>
      <c r="M449" s="299"/>
      <c r="N449" s="299"/>
      <c r="O449" s="299"/>
      <c r="P449" s="299"/>
      <c r="Q449" s="299"/>
      <c r="R449" s="299"/>
      <c r="S449" s="299"/>
      <c r="T449" s="299"/>
      <c r="U449" s="299"/>
    </row>
    <row r="450">
      <c r="B450" s="3"/>
      <c r="D450" s="3"/>
      <c r="E450" s="300" t="s">
        <v>22</v>
      </c>
      <c r="F450" s="299"/>
      <c r="G450" s="299"/>
      <c r="H450" s="299"/>
      <c r="I450" s="299"/>
      <c r="J450" s="299"/>
      <c r="K450" s="299"/>
      <c r="L450" s="299"/>
      <c r="M450" s="299"/>
      <c r="N450" s="299"/>
      <c r="O450" s="299"/>
      <c r="P450" s="299"/>
      <c r="Q450" s="299"/>
      <c r="R450" s="299"/>
      <c r="S450" s="299"/>
      <c r="T450" s="299"/>
      <c r="U450" s="299"/>
    </row>
    <row r="451">
      <c r="B451" s="3"/>
      <c r="D451" s="3"/>
      <c r="E451" s="300" t="s">
        <v>22</v>
      </c>
      <c r="F451" s="299"/>
      <c r="G451" s="299"/>
      <c r="H451" s="299"/>
      <c r="I451" s="299"/>
      <c r="J451" s="299"/>
      <c r="K451" s="299"/>
      <c r="L451" s="299"/>
      <c r="M451" s="299"/>
      <c r="N451" s="299"/>
      <c r="O451" s="299"/>
      <c r="P451" s="299"/>
      <c r="Q451" s="299"/>
      <c r="R451" s="299"/>
      <c r="S451" s="299"/>
      <c r="T451" s="299"/>
      <c r="U451" s="299"/>
    </row>
    <row r="452">
      <c r="B452" s="3"/>
      <c r="D452" s="3"/>
      <c r="E452" s="300" t="s">
        <v>22</v>
      </c>
      <c r="F452" s="299"/>
      <c r="G452" s="299"/>
      <c r="H452" s="299"/>
      <c r="I452" s="299"/>
      <c r="J452" s="299"/>
      <c r="K452" s="299"/>
      <c r="L452" s="299"/>
      <c r="M452" s="299"/>
      <c r="N452" s="299"/>
      <c r="O452" s="299"/>
      <c r="P452" s="299"/>
      <c r="Q452" s="299"/>
      <c r="R452" s="299"/>
      <c r="S452" s="299"/>
      <c r="T452" s="299"/>
      <c r="U452" s="299"/>
    </row>
    <row r="453">
      <c r="B453" s="3"/>
      <c r="D453" s="3"/>
      <c r="E453" s="300" t="s">
        <v>22</v>
      </c>
      <c r="F453" s="299"/>
      <c r="G453" s="299"/>
      <c r="H453" s="299"/>
      <c r="I453" s="299"/>
      <c r="J453" s="299"/>
      <c r="K453" s="299"/>
      <c r="L453" s="299"/>
      <c r="M453" s="299"/>
      <c r="N453" s="299"/>
      <c r="O453" s="299"/>
      <c r="P453" s="299"/>
      <c r="Q453" s="299"/>
      <c r="R453" s="299"/>
      <c r="S453" s="299"/>
      <c r="T453" s="299"/>
      <c r="U453" s="299"/>
    </row>
    <row r="454">
      <c r="B454" s="3"/>
      <c r="D454" s="3"/>
      <c r="E454" s="300" t="s">
        <v>22</v>
      </c>
      <c r="F454" s="299"/>
      <c r="G454" s="299"/>
      <c r="H454" s="299"/>
      <c r="I454" s="299"/>
      <c r="J454" s="299"/>
      <c r="K454" s="299"/>
      <c r="L454" s="299"/>
      <c r="M454" s="299"/>
      <c r="N454" s="299"/>
      <c r="O454" s="299"/>
      <c r="P454" s="299"/>
      <c r="Q454" s="299"/>
      <c r="R454" s="299"/>
      <c r="S454" s="299"/>
      <c r="T454" s="299"/>
      <c r="U454" s="299"/>
    </row>
    <row r="455">
      <c r="B455" s="3"/>
      <c r="D455" s="3"/>
      <c r="E455" s="300" t="s">
        <v>22</v>
      </c>
      <c r="F455" s="299"/>
      <c r="G455" s="299"/>
      <c r="H455" s="299"/>
      <c r="I455" s="299"/>
      <c r="J455" s="299"/>
      <c r="K455" s="299"/>
      <c r="L455" s="299"/>
      <c r="M455" s="299"/>
      <c r="N455" s="299"/>
      <c r="O455" s="299"/>
      <c r="P455" s="299"/>
      <c r="Q455" s="299"/>
      <c r="R455" s="299"/>
      <c r="S455" s="299"/>
      <c r="T455" s="299"/>
      <c r="U455" s="299"/>
    </row>
    <row r="456">
      <c r="B456" s="3"/>
      <c r="D456" s="3"/>
      <c r="E456" s="300" t="s">
        <v>22</v>
      </c>
      <c r="F456" s="299"/>
      <c r="G456" s="299"/>
      <c r="H456" s="299"/>
      <c r="I456" s="299"/>
      <c r="J456" s="299"/>
      <c r="K456" s="299"/>
      <c r="L456" s="299"/>
      <c r="M456" s="299"/>
      <c r="N456" s="299"/>
      <c r="O456" s="299"/>
      <c r="P456" s="299"/>
      <c r="Q456" s="299"/>
      <c r="R456" s="299"/>
      <c r="S456" s="299"/>
      <c r="T456" s="299"/>
      <c r="U456" s="299"/>
    </row>
    <row r="457">
      <c r="B457" s="3"/>
      <c r="D457" s="3"/>
      <c r="E457" s="300" t="s">
        <v>22</v>
      </c>
      <c r="F457" s="299"/>
      <c r="G457" s="299"/>
      <c r="H457" s="299"/>
      <c r="I457" s="299"/>
      <c r="J457" s="299"/>
      <c r="K457" s="299"/>
      <c r="L457" s="299"/>
      <c r="M457" s="299"/>
      <c r="N457" s="299"/>
      <c r="O457" s="299"/>
      <c r="P457" s="299"/>
      <c r="Q457" s="299"/>
      <c r="R457" s="299"/>
      <c r="S457" s="299"/>
      <c r="T457" s="299"/>
      <c r="U457" s="299"/>
    </row>
    <row r="458">
      <c r="B458" s="3"/>
      <c r="D458" s="3"/>
      <c r="E458" s="300" t="s">
        <v>22</v>
      </c>
      <c r="F458" s="299"/>
      <c r="G458" s="299"/>
      <c r="H458" s="299"/>
      <c r="I458" s="299"/>
      <c r="J458" s="299"/>
      <c r="K458" s="299"/>
      <c r="L458" s="299"/>
      <c r="M458" s="299"/>
      <c r="N458" s="299"/>
      <c r="O458" s="299"/>
      <c r="P458" s="299"/>
      <c r="Q458" s="299"/>
      <c r="R458" s="299"/>
      <c r="S458" s="299"/>
      <c r="T458" s="299"/>
      <c r="U458" s="299"/>
    </row>
    <row r="459">
      <c r="B459" s="3"/>
      <c r="D459" s="3"/>
      <c r="E459" s="300" t="s">
        <v>22</v>
      </c>
      <c r="F459" s="299"/>
      <c r="G459" s="299"/>
      <c r="H459" s="299"/>
      <c r="I459" s="299"/>
      <c r="J459" s="299"/>
      <c r="K459" s="299"/>
      <c r="L459" s="299"/>
      <c r="M459" s="299"/>
      <c r="N459" s="299"/>
      <c r="O459" s="299"/>
      <c r="P459" s="299"/>
      <c r="Q459" s="299"/>
      <c r="R459" s="299"/>
      <c r="S459" s="299"/>
      <c r="T459" s="299"/>
      <c r="U459" s="299"/>
    </row>
    <row r="460">
      <c r="B460" s="3"/>
      <c r="D460" s="3"/>
      <c r="E460" s="300" t="s">
        <v>22</v>
      </c>
      <c r="F460" s="299"/>
      <c r="G460" s="299"/>
      <c r="H460" s="299"/>
      <c r="I460" s="299"/>
      <c r="J460" s="299"/>
      <c r="K460" s="299"/>
      <c r="L460" s="299"/>
      <c r="M460" s="299"/>
      <c r="N460" s="299"/>
      <c r="O460" s="299"/>
      <c r="P460" s="299"/>
      <c r="Q460" s="299"/>
      <c r="R460" s="299"/>
      <c r="S460" s="299"/>
      <c r="T460" s="299"/>
      <c r="U460" s="299"/>
    </row>
    <row r="461">
      <c r="B461" s="3"/>
      <c r="D461" s="3"/>
      <c r="E461" s="300" t="s">
        <v>22</v>
      </c>
      <c r="F461" s="299"/>
      <c r="G461" s="299"/>
      <c r="H461" s="299"/>
      <c r="I461" s="299"/>
      <c r="J461" s="299"/>
      <c r="K461" s="299"/>
      <c r="L461" s="299"/>
      <c r="M461" s="299"/>
      <c r="N461" s="299"/>
      <c r="O461" s="299"/>
      <c r="P461" s="299"/>
      <c r="Q461" s="299"/>
      <c r="R461" s="299"/>
      <c r="S461" s="299"/>
      <c r="T461" s="299"/>
      <c r="U461" s="299"/>
    </row>
    <row r="462">
      <c r="B462" s="3"/>
      <c r="D462" s="3"/>
      <c r="E462" s="300" t="s">
        <v>22</v>
      </c>
      <c r="F462" s="299"/>
      <c r="G462" s="299"/>
      <c r="H462" s="299"/>
      <c r="I462" s="299"/>
      <c r="J462" s="299"/>
      <c r="K462" s="299"/>
      <c r="L462" s="299"/>
      <c r="M462" s="299"/>
      <c r="N462" s="299"/>
      <c r="O462" s="299"/>
      <c r="P462" s="299"/>
      <c r="Q462" s="299"/>
      <c r="R462" s="299"/>
      <c r="S462" s="299"/>
      <c r="T462" s="299"/>
      <c r="U462" s="299"/>
    </row>
    <row r="463">
      <c r="B463" s="3"/>
      <c r="D463" s="3"/>
      <c r="E463" s="300" t="s">
        <v>22</v>
      </c>
      <c r="F463" s="299"/>
      <c r="G463" s="299"/>
      <c r="H463" s="299"/>
      <c r="I463" s="299"/>
      <c r="J463" s="299"/>
      <c r="K463" s="299"/>
      <c r="L463" s="299"/>
      <c r="M463" s="299"/>
      <c r="N463" s="299"/>
      <c r="O463" s="299"/>
      <c r="P463" s="299"/>
      <c r="Q463" s="299"/>
      <c r="R463" s="299"/>
      <c r="S463" s="299"/>
      <c r="T463" s="299"/>
      <c r="U463" s="299"/>
    </row>
    <row r="464">
      <c r="B464" s="3"/>
      <c r="D464" s="3"/>
      <c r="E464" s="300" t="s">
        <v>22</v>
      </c>
      <c r="F464" s="299"/>
      <c r="G464" s="299"/>
      <c r="H464" s="299"/>
      <c r="I464" s="299"/>
      <c r="J464" s="299"/>
      <c r="K464" s="299"/>
      <c r="L464" s="299"/>
      <c r="M464" s="299"/>
      <c r="N464" s="299"/>
      <c r="O464" s="299"/>
      <c r="P464" s="299"/>
      <c r="Q464" s="299"/>
      <c r="R464" s="299"/>
      <c r="S464" s="299"/>
      <c r="T464" s="299"/>
      <c r="U464" s="299"/>
    </row>
    <row r="465">
      <c r="B465" s="3"/>
      <c r="D465" s="3"/>
      <c r="E465" s="300" t="s">
        <v>22</v>
      </c>
      <c r="F465" s="299"/>
      <c r="G465" s="299"/>
      <c r="H465" s="299"/>
      <c r="I465" s="299"/>
      <c r="J465" s="299"/>
      <c r="K465" s="299"/>
      <c r="L465" s="299"/>
      <c r="M465" s="299"/>
      <c r="N465" s="299"/>
      <c r="O465" s="299"/>
      <c r="P465" s="299"/>
      <c r="Q465" s="299"/>
      <c r="R465" s="299"/>
      <c r="S465" s="299"/>
      <c r="T465" s="299"/>
      <c r="U465" s="299"/>
    </row>
    <row r="466">
      <c r="B466" s="3"/>
      <c r="D466" s="3"/>
      <c r="E466" s="300" t="s">
        <v>22</v>
      </c>
      <c r="F466" s="299"/>
      <c r="G466" s="299"/>
      <c r="H466" s="299"/>
      <c r="I466" s="299"/>
      <c r="J466" s="299"/>
      <c r="K466" s="299"/>
      <c r="L466" s="299"/>
      <c r="M466" s="299"/>
      <c r="N466" s="299"/>
      <c r="O466" s="299"/>
      <c r="P466" s="299"/>
      <c r="Q466" s="299"/>
      <c r="R466" s="299"/>
      <c r="S466" s="299"/>
      <c r="T466" s="299"/>
      <c r="U466" s="299"/>
    </row>
    <row r="467">
      <c r="B467" s="3"/>
      <c r="D467" s="3"/>
      <c r="E467" s="300" t="s">
        <v>22</v>
      </c>
      <c r="F467" s="299"/>
      <c r="G467" s="299"/>
      <c r="H467" s="299"/>
      <c r="I467" s="299"/>
      <c r="J467" s="299"/>
      <c r="K467" s="299"/>
      <c r="L467" s="299"/>
      <c r="M467" s="299"/>
      <c r="N467" s="299"/>
      <c r="O467" s="299"/>
      <c r="P467" s="299"/>
      <c r="Q467" s="299"/>
      <c r="R467" s="299"/>
      <c r="S467" s="299"/>
      <c r="T467" s="299"/>
      <c r="U467" s="299"/>
    </row>
    <row r="468">
      <c r="B468" s="3"/>
      <c r="D468" s="3"/>
      <c r="E468" s="300" t="s">
        <v>22</v>
      </c>
      <c r="F468" s="299"/>
      <c r="G468" s="299"/>
      <c r="H468" s="299"/>
      <c r="I468" s="299"/>
      <c r="J468" s="299"/>
      <c r="K468" s="299"/>
      <c r="L468" s="299"/>
      <c r="M468" s="299"/>
      <c r="N468" s="299"/>
      <c r="O468" s="299"/>
      <c r="P468" s="299"/>
      <c r="Q468" s="299"/>
      <c r="R468" s="299"/>
      <c r="S468" s="299"/>
      <c r="T468" s="299"/>
      <c r="U468" s="299"/>
    </row>
    <row r="469">
      <c r="B469" s="3"/>
      <c r="D469" s="3"/>
      <c r="E469" s="300" t="s">
        <v>22</v>
      </c>
      <c r="F469" s="299"/>
      <c r="G469" s="299"/>
      <c r="H469" s="299"/>
      <c r="I469" s="299"/>
      <c r="J469" s="299"/>
      <c r="K469" s="299"/>
      <c r="L469" s="299"/>
      <c r="M469" s="299"/>
      <c r="N469" s="299"/>
      <c r="O469" s="299"/>
      <c r="P469" s="299"/>
      <c r="Q469" s="299"/>
      <c r="R469" s="299"/>
      <c r="S469" s="299"/>
      <c r="T469" s="299"/>
      <c r="U469" s="299"/>
    </row>
    <row r="470">
      <c r="B470" s="3"/>
      <c r="D470" s="3"/>
      <c r="E470" s="300" t="s">
        <v>22</v>
      </c>
      <c r="F470" s="299"/>
      <c r="G470" s="299"/>
      <c r="H470" s="299"/>
      <c r="I470" s="299"/>
      <c r="J470" s="299"/>
      <c r="K470" s="299"/>
      <c r="L470" s="299"/>
      <c r="M470" s="299"/>
      <c r="N470" s="299"/>
      <c r="O470" s="299"/>
      <c r="P470" s="299"/>
      <c r="Q470" s="299"/>
      <c r="R470" s="299"/>
      <c r="S470" s="299"/>
      <c r="T470" s="299"/>
      <c r="U470" s="299"/>
    </row>
    <row r="471">
      <c r="B471" s="3"/>
      <c r="D471" s="3"/>
      <c r="E471" s="300" t="s">
        <v>22</v>
      </c>
      <c r="F471" s="299"/>
      <c r="G471" s="299"/>
      <c r="H471" s="299"/>
      <c r="I471" s="299"/>
      <c r="J471" s="299"/>
      <c r="K471" s="299"/>
      <c r="L471" s="299"/>
      <c r="M471" s="299"/>
      <c r="N471" s="299"/>
      <c r="O471" s="299"/>
      <c r="P471" s="299"/>
      <c r="Q471" s="299"/>
      <c r="R471" s="299"/>
      <c r="S471" s="299"/>
      <c r="T471" s="299"/>
      <c r="U471" s="299"/>
    </row>
    <row r="472">
      <c r="B472" s="3"/>
      <c r="D472" s="3"/>
      <c r="E472" s="300" t="s">
        <v>22</v>
      </c>
      <c r="F472" s="299"/>
      <c r="G472" s="299"/>
      <c r="H472" s="299"/>
      <c r="I472" s="299"/>
      <c r="J472" s="299"/>
      <c r="K472" s="299"/>
      <c r="L472" s="299"/>
      <c r="M472" s="299"/>
      <c r="N472" s="299"/>
      <c r="O472" s="299"/>
      <c r="P472" s="299"/>
      <c r="Q472" s="299"/>
      <c r="R472" s="299"/>
      <c r="S472" s="299"/>
      <c r="T472" s="299"/>
      <c r="U472" s="299"/>
    </row>
    <row r="473">
      <c r="B473" s="3"/>
      <c r="D473" s="3"/>
      <c r="E473" s="300" t="s">
        <v>22</v>
      </c>
      <c r="F473" s="299"/>
      <c r="G473" s="299"/>
      <c r="H473" s="299"/>
      <c r="I473" s="299"/>
      <c r="J473" s="299"/>
      <c r="K473" s="299"/>
      <c r="L473" s="299"/>
      <c r="M473" s="299"/>
      <c r="N473" s="299"/>
      <c r="O473" s="299"/>
      <c r="P473" s="299"/>
      <c r="Q473" s="299"/>
      <c r="R473" s="299"/>
      <c r="S473" s="299"/>
      <c r="T473" s="299"/>
      <c r="U473" s="299"/>
    </row>
    <row r="474">
      <c r="B474" s="3"/>
      <c r="D474" s="3"/>
      <c r="E474" s="300" t="s">
        <v>22</v>
      </c>
      <c r="F474" s="299"/>
      <c r="G474" s="299"/>
      <c r="H474" s="299"/>
      <c r="I474" s="299"/>
      <c r="J474" s="299"/>
      <c r="K474" s="299"/>
      <c r="L474" s="299"/>
      <c r="M474" s="299"/>
      <c r="N474" s="299"/>
      <c r="O474" s="299"/>
      <c r="P474" s="299"/>
      <c r="Q474" s="299"/>
      <c r="R474" s="299"/>
      <c r="S474" s="299"/>
      <c r="T474" s="299"/>
      <c r="U474" s="299"/>
    </row>
    <row r="475">
      <c r="B475" s="3"/>
      <c r="D475" s="3"/>
      <c r="E475" s="300" t="s">
        <v>22</v>
      </c>
      <c r="F475" s="299"/>
      <c r="G475" s="299"/>
      <c r="H475" s="299"/>
      <c r="I475" s="299"/>
      <c r="J475" s="299"/>
      <c r="K475" s="299"/>
      <c r="L475" s="299"/>
      <c r="M475" s="299"/>
      <c r="N475" s="299"/>
      <c r="O475" s="299"/>
      <c r="P475" s="299"/>
      <c r="Q475" s="299"/>
      <c r="R475" s="299"/>
      <c r="S475" s="299"/>
      <c r="T475" s="299"/>
      <c r="U475" s="299"/>
    </row>
    <row r="476">
      <c r="B476" s="3"/>
      <c r="D476" s="3"/>
      <c r="E476" s="300" t="s">
        <v>22</v>
      </c>
      <c r="F476" s="299"/>
      <c r="G476" s="299"/>
      <c r="H476" s="299"/>
      <c r="I476" s="299"/>
      <c r="J476" s="299"/>
      <c r="K476" s="299"/>
      <c r="L476" s="299"/>
      <c r="M476" s="299"/>
      <c r="N476" s="299"/>
      <c r="O476" s="299"/>
      <c r="P476" s="299"/>
      <c r="Q476" s="299"/>
      <c r="R476" s="299"/>
      <c r="S476" s="299"/>
      <c r="T476" s="299"/>
      <c r="U476" s="299"/>
    </row>
    <row r="477">
      <c r="B477" s="3"/>
      <c r="D477" s="3"/>
      <c r="E477" s="300" t="s">
        <v>22</v>
      </c>
      <c r="F477" s="299"/>
      <c r="G477" s="299"/>
      <c r="H477" s="299"/>
      <c r="I477" s="299"/>
      <c r="J477" s="299"/>
      <c r="K477" s="299"/>
      <c r="L477" s="299"/>
      <c r="M477" s="299"/>
      <c r="N477" s="299"/>
      <c r="O477" s="299"/>
      <c r="P477" s="299"/>
      <c r="Q477" s="299"/>
      <c r="R477" s="299"/>
      <c r="S477" s="299"/>
      <c r="T477" s="299"/>
      <c r="U477" s="299"/>
    </row>
    <row r="478">
      <c r="B478" s="3"/>
      <c r="D478" s="3"/>
      <c r="E478" s="300" t="s">
        <v>22</v>
      </c>
      <c r="F478" s="299"/>
      <c r="G478" s="299"/>
      <c r="H478" s="299"/>
      <c r="I478" s="299"/>
      <c r="J478" s="299"/>
      <c r="K478" s="299"/>
      <c r="L478" s="299"/>
      <c r="M478" s="299"/>
      <c r="N478" s="299"/>
      <c r="O478" s="299"/>
      <c r="P478" s="299"/>
      <c r="Q478" s="299"/>
      <c r="R478" s="299"/>
      <c r="S478" s="299"/>
      <c r="T478" s="299"/>
      <c r="U478" s="299"/>
    </row>
    <row r="479">
      <c r="B479" s="3"/>
      <c r="D479" s="3"/>
      <c r="E479" s="300" t="s">
        <v>22</v>
      </c>
      <c r="F479" s="299"/>
      <c r="G479" s="299"/>
      <c r="H479" s="299"/>
      <c r="I479" s="299"/>
      <c r="J479" s="299"/>
      <c r="K479" s="299"/>
      <c r="L479" s="299"/>
      <c r="M479" s="299"/>
      <c r="N479" s="299"/>
      <c r="O479" s="299"/>
      <c r="P479" s="299"/>
      <c r="Q479" s="299"/>
      <c r="R479" s="299"/>
      <c r="S479" s="299"/>
      <c r="T479" s="299"/>
      <c r="U479" s="299"/>
    </row>
    <row r="480">
      <c r="B480" s="3"/>
      <c r="D480" s="3"/>
      <c r="E480" s="300" t="s">
        <v>22</v>
      </c>
      <c r="F480" s="299"/>
      <c r="G480" s="299"/>
      <c r="H480" s="299"/>
      <c r="I480" s="299"/>
      <c r="J480" s="299"/>
      <c r="K480" s="299"/>
      <c r="L480" s="299"/>
      <c r="M480" s="299"/>
      <c r="N480" s="299"/>
      <c r="O480" s="299"/>
      <c r="P480" s="299"/>
      <c r="Q480" s="299"/>
      <c r="R480" s="299"/>
      <c r="S480" s="299"/>
      <c r="T480" s="299"/>
      <c r="U480" s="299"/>
    </row>
    <row r="481">
      <c r="B481" s="3"/>
      <c r="D481" s="3"/>
      <c r="E481" s="300" t="s">
        <v>22</v>
      </c>
      <c r="F481" s="299"/>
      <c r="G481" s="299"/>
      <c r="H481" s="299"/>
      <c r="I481" s="299"/>
      <c r="J481" s="299"/>
      <c r="K481" s="299"/>
      <c r="L481" s="299"/>
      <c r="M481" s="299"/>
      <c r="N481" s="299"/>
      <c r="O481" s="299"/>
      <c r="P481" s="299"/>
      <c r="Q481" s="299"/>
      <c r="R481" s="299"/>
      <c r="S481" s="299"/>
      <c r="T481" s="299"/>
      <c r="U481" s="299"/>
    </row>
    <row r="482">
      <c r="B482" s="3"/>
      <c r="D482" s="3"/>
      <c r="E482" s="300" t="s">
        <v>22</v>
      </c>
      <c r="F482" s="299"/>
      <c r="G482" s="299"/>
      <c r="H482" s="299"/>
      <c r="I482" s="299"/>
      <c r="J482" s="299"/>
      <c r="K482" s="299"/>
      <c r="L482" s="299"/>
      <c r="M482" s="299"/>
      <c r="N482" s="299"/>
      <c r="O482" s="299"/>
      <c r="P482" s="299"/>
      <c r="Q482" s="299"/>
      <c r="R482" s="299"/>
      <c r="S482" s="299"/>
      <c r="T482" s="299"/>
      <c r="U482" s="299"/>
    </row>
    <row r="483">
      <c r="B483" s="3"/>
      <c r="D483" s="3"/>
      <c r="E483" s="300" t="s">
        <v>22</v>
      </c>
      <c r="F483" s="299"/>
      <c r="G483" s="299"/>
      <c r="H483" s="299"/>
      <c r="I483" s="299"/>
      <c r="J483" s="299"/>
      <c r="K483" s="299"/>
      <c r="L483" s="299"/>
      <c r="M483" s="299"/>
      <c r="N483" s="299"/>
      <c r="O483" s="299"/>
      <c r="P483" s="299"/>
      <c r="Q483" s="299"/>
      <c r="R483" s="299"/>
      <c r="S483" s="299"/>
      <c r="T483" s="299"/>
      <c r="U483" s="299"/>
    </row>
    <row r="484">
      <c r="B484" s="3"/>
      <c r="D484" s="3"/>
      <c r="E484" s="300" t="s">
        <v>22</v>
      </c>
      <c r="F484" s="299"/>
      <c r="G484" s="299"/>
      <c r="H484" s="299"/>
      <c r="I484" s="299"/>
      <c r="J484" s="299"/>
      <c r="K484" s="299"/>
      <c r="L484" s="299"/>
      <c r="M484" s="299"/>
      <c r="N484" s="299"/>
      <c r="O484" s="299"/>
      <c r="P484" s="299"/>
      <c r="Q484" s="299"/>
      <c r="R484" s="299"/>
      <c r="S484" s="299"/>
      <c r="T484" s="299"/>
      <c r="U484" s="299"/>
    </row>
    <row r="485">
      <c r="B485" s="3"/>
      <c r="D485" s="3"/>
      <c r="E485" s="300" t="s">
        <v>22</v>
      </c>
      <c r="F485" s="299"/>
      <c r="G485" s="299"/>
      <c r="H485" s="299"/>
      <c r="I485" s="299"/>
      <c r="J485" s="299"/>
      <c r="K485" s="299"/>
      <c r="L485" s="299"/>
      <c r="M485" s="299"/>
      <c r="N485" s="299"/>
      <c r="O485" s="299"/>
      <c r="P485" s="299"/>
      <c r="Q485" s="299"/>
      <c r="R485" s="299"/>
      <c r="S485" s="299"/>
      <c r="T485" s="299"/>
      <c r="U485" s="299"/>
    </row>
    <row r="486">
      <c r="B486" s="3"/>
      <c r="D486" s="3"/>
      <c r="E486" s="300" t="s">
        <v>22</v>
      </c>
      <c r="F486" s="299"/>
      <c r="G486" s="299"/>
      <c r="H486" s="299"/>
      <c r="I486" s="299"/>
      <c r="J486" s="299"/>
      <c r="K486" s="299"/>
      <c r="L486" s="299"/>
      <c r="M486" s="299"/>
      <c r="N486" s="299"/>
      <c r="O486" s="299"/>
      <c r="P486" s="299"/>
      <c r="Q486" s="299"/>
      <c r="R486" s="299"/>
      <c r="S486" s="299"/>
      <c r="T486" s="299"/>
      <c r="U486" s="299"/>
    </row>
    <row r="487">
      <c r="B487" s="3"/>
      <c r="D487" s="3"/>
      <c r="E487" s="300" t="s">
        <v>22</v>
      </c>
      <c r="F487" s="299"/>
      <c r="G487" s="299"/>
      <c r="H487" s="299"/>
      <c r="I487" s="299"/>
      <c r="J487" s="299"/>
      <c r="K487" s="299"/>
      <c r="L487" s="299"/>
      <c r="M487" s="299"/>
      <c r="N487" s="299"/>
      <c r="O487" s="299"/>
      <c r="P487" s="299"/>
      <c r="Q487" s="299"/>
      <c r="R487" s="299"/>
      <c r="S487" s="299"/>
      <c r="T487" s="299"/>
      <c r="U487" s="299"/>
    </row>
    <row r="488">
      <c r="B488" s="3"/>
      <c r="D488" s="3"/>
      <c r="E488" s="300" t="s">
        <v>22</v>
      </c>
      <c r="F488" s="299"/>
      <c r="G488" s="299"/>
      <c r="H488" s="299"/>
      <c r="I488" s="299"/>
      <c r="J488" s="299"/>
      <c r="K488" s="299"/>
      <c r="L488" s="299"/>
      <c r="M488" s="299"/>
      <c r="N488" s="299"/>
      <c r="O488" s="299"/>
      <c r="P488" s="299"/>
      <c r="Q488" s="299"/>
      <c r="R488" s="299"/>
      <c r="S488" s="299"/>
      <c r="T488" s="299"/>
      <c r="U488" s="299"/>
    </row>
    <row r="489">
      <c r="B489" s="3"/>
      <c r="D489" s="3"/>
      <c r="E489" s="300" t="s">
        <v>22</v>
      </c>
      <c r="F489" s="299"/>
      <c r="G489" s="299"/>
      <c r="H489" s="299"/>
      <c r="I489" s="299"/>
      <c r="J489" s="299"/>
      <c r="K489" s="299"/>
      <c r="L489" s="299"/>
      <c r="M489" s="299"/>
      <c r="N489" s="299"/>
      <c r="O489" s="299"/>
      <c r="P489" s="299"/>
      <c r="Q489" s="299"/>
      <c r="R489" s="299"/>
      <c r="S489" s="299"/>
      <c r="T489" s="299"/>
      <c r="U489" s="299"/>
    </row>
    <row r="490">
      <c r="B490" s="3"/>
      <c r="D490" s="3"/>
      <c r="E490" s="300" t="s">
        <v>22</v>
      </c>
      <c r="F490" s="299"/>
      <c r="G490" s="299"/>
      <c r="H490" s="299"/>
      <c r="I490" s="299"/>
      <c r="J490" s="299"/>
      <c r="K490" s="299"/>
      <c r="L490" s="299"/>
      <c r="M490" s="299"/>
      <c r="N490" s="299"/>
      <c r="O490" s="299"/>
      <c r="P490" s="299"/>
      <c r="Q490" s="299"/>
      <c r="R490" s="299"/>
      <c r="S490" s="299"/>
      <c r="T490" s="299"/>
      <c r="U490" s="299"/>
    </row>
    <row r="491">
      <c r="B491" s="3"/>
      <c r="D491" s="3"/>
      <c r="E491" s="300" t="s">
        <v>22</v>
      </c>
      <c r="F491" s="299"/>
      <c r="G491" s="299"/>
      <c r="H491" s="299"/>
      <c r="I491" s="299"/>
      <c r="J491" s="299"/>
      <c r="K491" s="299"/>
      <c r="L491" s="299"/>
      <c r="M491" s="299"/>
      <c r="N491" s="299"/>
      <c r="O491" s="299"/>
      <c r="P491" s="299"/>
      <c r="Q491" s="299"/>
      <c r="R491" s="299"/>
      <c r="S491" s="299"/>
      <c r="T491" s="299"/>
      <c r="U491" s="299"/>
    </row>
    <row r="492">
      <c r="B492" s="3"/>
      <c r="D492" s="3"/>
      <c r="E492" s="300" t="s">
        <v>22</v>
      </c>
      <c r="F492" s="299"/>
      <c r="G492" s="299"/>
      <c r="H492" s="299"/>
      <c r="I492" s="299"/>
      <c r="J492" s="299"/>
      <c r="K492" s="299"/>
      <c r="L492" s="299"/>
      <c r="M492" s="299"/>
      <c r="N492" s="299"/>
      <c r="O492" s="299"/>
      <c r="P492" s="299"/>
      <c r="Q492" s="299"/>
      <c r="R492" s="299"/>
      <c r="S492" s="299"/>
      <c r="T492" s="299"/>
      <c r="U492" s="299"/>
    </row>
    <row r="493">
      <c r="B493" s="3"/>
      <c r="D493" s="3"/>
      <c r="E493" s="300" t="s">
        <v>22</v>
      </c>
      <c r="F493" s="299"/>
      <c r="G493" s="299"/>
      <c r="H493" s="299"/>
      <c r="I493" s="299"/>
      <c r="J493" s="299"/>
      <c r="K493" s="299"/>
      <c r="L493" s="299"/>
      <c r="M493" s="299"/>
      <c r="N493" s="299"/>
      <c r="O493" s="299"/>
      <c r="P493" s="299"/>
      <c r="Q493" s="299"/>
      <c r="R493" s="299"/>
      <c r="S493" s="299"/>
      <c r="T493" s="299"/>
      <c r="U493" s="299"/>
    </row>
    <row r="494">
      <c r="B494" s="3"/>
      <c r="D494" s="3"/>
      <c r="E494" s="300" t="s">
        <v>22</v>
      </c>
      <c r="F494" s="299"/>
      <c r="G494" s="299"/>
      <c r="H494" s="299"/>
      <c r="I494" s="299"/>
      <c r="J494" s="299"/>
      <c r="K494" s="299"/>
      <c r="L494" s="299"/>
      <c r="M494" s="299"/>
      <c r="N494" s="299"/>
      <c r="O494" s="299"/>
      <c r="P494" s="299"/>
      <c r="Q494" s="299"/>
      <c r="R494" s="299"/>
      <c r="S494" s="299"/>
      <c r="T494" s="299"/>
      <c r="U494" s="299"/>
    </row>
    <row r="495">
      <c r="B495" s="3"/>
      <c r="D495" s="3"/>
      <c r="E495" s="300" t="s">
        <v>22</v>
      </c>
      <c r="F495" s="299"/>
      <c r="G495" s="299"/>
      <c r="H495" s="299"/>
      <c r="I495" s="299"/>
      <c r="J495" s="299"/>
      <c r="K495" s="299"/>
      <c r="L495" s="299"/>
      <c r="M495" s="299"/>
      <c r="N495" s="299"/>
      <c r="O495" s="299"/>
      <c r="P495" s="299"/>
      <c r="Q495" s="299"/>
      <c r="R495" s="299"/>
      <c r="S495" s="299"/>
      <c r="T495" s="299"/>
      <c r="U495" s="299"/>
    </row>
    <row r="496">
      <c r="B496" s="3"/>
      <c r="D496" s="3"/>
      <c r="E496" s="300" t="s">
        <v>22</v>
      </c>
      <c r="F496" s="299"/>
      <c r="G496" s="299"/>
      <c r="H496" s="299"/>
      <c r="I496" s="299"/>
      <c r="J496" s="299"/>
      <c r="K496" s="299"/>
      <c r="L496" s="299"/>
      <c r="M496" s="299"/>
      <c r="N496" s="299"/>
      <c r="O496" s="299"/>
      <c r="P496" s="299"/>
      <c r="Q496" s="299"/>
      <c r="R496" s="299"/>
      <c r="S496" s="299"/>
      <c r="T496" s="299"/>
      <c r="U496" s="299"/>
    </row>
    <row r="497">
      <c r="B497" s="3"/>
      <c r="D497" s="3"/>
      <c r="E497" s="300" t="s">
        <v>22</v>
      </c>
      <c r="F497" s="299"/>
      <c r="G497" s="299"/>
      <c r="H497" s="299"/>
      <c r="I497" s="299"/>
      <c r="J497" s="299"/>
      <c r="K497" s="299"/>
      <c r="L497" s="299"/>
      <c r="M497" s="299"/>
      <c r="N497" s="299"/>
      <c r="O497" s="299"/>
      <c r="P497" s="299"/>
      <c r="Q497" s="299"/>
      <c r="R497" s="299"/>
      <c r="S497" s="299"/>
      <c r="T497" s="299"/>
      <c r="U497" s="299"/>
    </row>
    <row r="498">
      <c r="B498" s="3"/>
      <c r="D498" s="3"/>
      <c r="E498" s="300" t="s">
        <v>22</v>
      </c>
      <c r="F498" s="299"/>
      <c r="G498" s="299"/>
      <c r="H498" s="299"/>
      <c r="I498" s="299"/>
      <c r="J498" s="299"/>
      <c r="K498" s="299"/>
      <c r="L498" s="299"/>
      <c r="M498" s="299"/>
      <c r="N498" s="299"/>
      <c r="O498" s="299"/>
      <c r="P498" s="299"/>
      <c r="Q498" s="299"/>
      <c r="R498" s="299"/>
      <c r="S498" s="299"/>
      <c r="T498" s="299"/>
      <c r="U498" s="299"/>
    </row>
    <row r="499">
      <c r="B499" s="3"/>
      <c r="D499" s="3"/>
      <c r="E499" s="300" t="s">
        <v>22</v>
      </c>
      <c r="F499" s="299"/>
      <c r="G499" s="299"/>
      <c r="H499" s="299"/>
      <c r="I499" s="299"/>
      <c r="J499" s="299"/>
      <c r="K499" s="299"/>
      <c r="L499" s="299"/>
      <c r="M499" s="299"/>
      <c r="N499" s="299"/>
      <c r="O499" s="299"/>
      <c r="P499" s="299"/>
      <c r="Q499" s="299"/>
      <c r="R499" s="299"/>
      <c r="S499" s="299"/>
      <c r="T499" s="299"/>
      <c r="U499" s="299"/>
    </row>
    <row r="500">
      <c r="B500" s="3"/>
      <c r="D500" s="3"/>
      <c r="E500" s="300" t="s">
        <v>22</v>
      </c>
      <c r="F500" s="299"/>
      <c r="G500" s="299"/>
      <c r="H500" s="299"/>
      <c r="I500" s="299"/>
      <c r="J500" s="299"/>
      <c r="K500" s="299"/>
      <c r="L500" s="299"/>
      <c r="M500" s="299"/>
      <c r="N500" s="299"/>
      <c r="O500" s="299"/>
      <c r="P500" s="299"/>
      <c r="Q500" s="299"/>
      <c r="R500" s="299"/>
      <c r="S500" s="299"/>
      <c r="T500" s="299"/>
      <c r="U500" s="299"/>
    </row>
    <row r="501">
      <c r="B501" s="3"/>
      <c r="D501" s="3"/>
      <c r="E501" s="300" t="s">
        <v>22</v>
      </c>
      <c r="F501" s="299"/>
      <c r="G501" s="299"/>
      <c r="H501" s="299"/>
      <c r="I501" s="299"/>
      <c r="J501" s="299"/>
      <c r="K501" s="299"/>
      <c r="L501" s="299"/>
      <c r="M501" s="299"/>
      <c r="N501" s="299"/>
      <c r="O501" s="299"/>
      <c r="P501" s="299"/>
      <c r="Q501" s="299"/>
      <c r="R501" s="299"/>
      <c r="S501" s="299"/>
      <c r="T501" s="299"/>
      <c r="U501" s="299"/>
    </row>
    <row r="502">
      <c r="B502" s="3"/>
      <c r="D502" s="3"/>
      <c r="E502" s="300" t="s">
        <v>22</v>
      </c>
      <c r="F502" s="299"/>
      <c r="G502" s="299"/>
      <c r="H502" s="299"/>
      <c r="I502" s="299"/>
      <c r="J502" s="299"/>
      <c r="K502" s="299"/>
      <c r="L502" s="299"/>
      <c r="M502" s="299"/>
      <c r="N502" s="299"/>
      <c r="O502" s="299"/>
      <c r="P502" s="299"/>
      <c r="Q502" s="299"/>
      <c r="R502" s="299"/>
      <c r="S502" s="299"/>
      <c r="T502" s="299"/>
      <c r="U502" s="299"/>
    </row>
    <row r="503">
      <c r="B503" s="3"/>
      <c r="D503" s="3"/>
      <c r="E503" s="300" t="s">
        <v>22</v>
      </c>
      <c r="F503" s="299"/>
      <c r="G503" s="299"/>
      <c r="H503" s="299"/>
      <c r="I503" s="299"/>
      <c r="J503" s="299"/>
      <c r="K503" s="299"/>
      <c r="L503" s="299"/>
      <c r="M503" s="299"/>
      <c r="N503" s="299"/>
      <c r="O503" s="299"/>
      <c r="P503" s="299"/>
      <c r="Q503" s="299"/>
      <c r="R503" s="299"/>
      <c r="S503" s="299"/>
      <c r="T503" s="299"/>
      <c r="U503" s="299"/>
    </row>
    <row r="504">
      <c r="B504" s="3"/>
      <c r="D504" s="3"/>
      <c r="E504" s="300" t="s">
        <v>22</v>
      </c>
      <c r="F504" s="299"/>
      <c r="G504" s="299"/>
      <c r="H504" s="299"/>
      <c r="I504" s="299"/>
      <c r="J504" s="299"/>
      <c r="K504" s="299"/>
      <c r="L504" s="299"/>
      <c r="M504" s="299"/>
      <c r="N504" s="299"/>
      <c r="O504" s="299"/>
      <c r="P504" s="299"/>
      <c r="Q504" s="299"/>
      <c r="R504" s="299"/>
      <c r="S504" s="299"/>
      <c r="T504" s="299"/>
      <c r="U504" s="299"/>
    </row>
    <row r="505">
      <c r="B505" s="3"/>
      <c r="D505" s="3"/>
      <c r="E505" s="300" t="s">
        <v>22</v>
      </c>
      <c r="F505" s="299"/>
      <c r="G505" s="299"/>
      <c r="H505" s="299"/>
      <c r="I505" s="299"/>
      <c r="J505" s="299"/>
      <c r="K505" s="299"/>
      <c r="L505" s="299"/>
      <c r="M505" s="299"/>
      <c r="N505" s="299"/>
      <c r="O505" s="299"/>
      <c r="P505" s="299"/>
      <c r="Q505" s="299"/>
      <c r="R505" s="299"/>
      <c r="S505" s="299"/>
      <c r="T505" s="299"/>
      <c r="U505" s="299"/>
    </row>
    <row r="506">
      <c r="B506" s="3"/>
      <c r="D506" s="3"/>
      <c r="E506" s="300" t="s">
        <v>22</v>
      </c>
      <c r="F506" s="299"/>
      <c r="G506" s="299"/>
      <c r="H506" s="299"/>
      <c r="I506" s="299"/>
      <c r="J506" s="299"/>
      <c r="K506" s="299"/>
      <c r="L506" s="299"/>
      <c r="M506" s="299"/>
      <c r="N506" s="299"/>
      <c r="O506" s="299"/>
      <c r="P506" s="299"/>
      <c r="Q506" s="299"/>
      <c r="R506" s="299"/>
      <c r="S506" s="299"/>
      <c r="T506" s="299"/>
      <c r="U506" s="299"/>
    </row>
    <row r="507">
      <c r="B507" s="3"/>
      <c r="D507" s="3"/>
      <c r="E507" s="300" t="s">
        <v>22</v>
      </c>
      <c r="F507" s="299"/>
      <c r="G507" s="299"/>
      <c r="H507" s="299"/>
      <c r="I507" s="299"/>
      <c r="J507" s="299"/>
      <c r="K507" s="299"/>
      <c r="L507" s="299"/>
      <c r="M507" s="299"/>
      <c r="N507" s="299"/>
      <c r="O507" s="299"/>
      <c r="P507" s="299"/>
      <c r="Q507" s="299"/>
      <c r="R507" s="299"/>
      <c r="S507" s="299"/>
      <c r="T507" s="299"/>
      <c r="U507" s="299"/>
    </row>
    <row r="508">
      <c r="B508" s="3"/>
      <c r="D508" s="3"/>
      <c r="E508" s="300" t="s">
        <v>22</v>
      </c>
      <c r="F508" s="299"/>
      <c r="G508" s="299"/>
      <c r="H508" s="299"/>
      <c r="I508" s="299"/>
      <c r="J508" s="299"/>
      <c r="K508" s="299"/>
      <c r="L508" s="299"/>
      <c r="M508" s="299"/>
      <c r="N508" s="299"/>
      <c r="O508" s="299"/>
      <c r="P508" s="299"/>
      <c r="Q508" s="299"/>
      <c r="R508" s="299"/>
      <c r="S508" s="299"/>
      <c r="T508" s="299"/>
      <c r="U508" s="299"/>
    </row>
    <row r="509">
      <c r="B509" s="3"/>
      <c r="D509" s="3"/>
      <c r="E509" s="300" t="s">
        <v>22</v>
      </c>
      <c r="F509" s="299"/>
      <c r="G509" s="299"/>
      <c r="H509" s="299"/>
      <c r="I509" s="299"/>
      <c r="J509" s="299"/>
      <c r="K509" s="299"/>
      <c r="L509" s="299"/>
      <c r="M509" s="299"/>
      <c r="N509" s="299"/>
      <c r="O509" s="299"/>
      <c r="P509" s="299"/>
      <c r="Q509" s="299"/>
      <c r="R509" s="299"/>
      <c r="S509" s="299"/>
      <c r="T509" s="299"/>
      <c r="U509" s="299"/>
    </row>
    <row r="510">
      <c r="B510" s="3"/>
      <c r="D510" s="3"/>
      <c r="E510" s="300" t="s">
        <v>22</v>
      </c>
      <c r="F510" s="299"/>
      <c r="G510" s="299"/>
      <c r="H510" s="299"/>
      <c r="I510" s="299"/>
      <c r="J510" s="299"/>
      <c r="K510" s="299"/>
      <c r="L510" s="299"/>
      <c r="M510" s="299"/>
      <c r="N510" s="299"/>
      <c r="O510" s="299"/>
      <c r="P510" s="299"/>
      <c r="Q510" s="299"/>
      <c r="R510" s="299"/>
      <c r="S510" s="299"/>
      <c r="T510" s="299"/>
      <c r="U510" s="299"/>
    </row>
    <row r="511">
      <c r="B511" s="3"/>
      <c r="D511" s="3"/>
      <c r="E511" s="300" t="s">
        <v>22</v>
      </c>
      <c r="F511" s="299"/>
      <c r="G511" s="299"/>
      <c r="H511" s="299"/>
      <c r="I511" s="299"/>
      <c r="J511" s="299"/>
      <c r="K511" s="299"/>
      <c r="L511" s="299"/>
      <c r="M511" s="299"/>
      <c r="N511" s="299"/>
      <c r="O511" s="299"/>
      <c r="P511" s="299"/>
      <c r="Q511" s="299"/>
      <c r="R511" s="299"/>
      <c r="S511" s="299"/>
      <c r="T511" s="299"/>
      <c r="U511" s="299"/>
    </row>
    <row r="512">
      <c r="B512" s="3"/>
      <c r="D512" s="3"/>
      <c r="E512" s="300" t="s">
        <v>22</v>
      </c>
      <c r="F512" s="299"/>
      <c r="G512" s="299"/>
      <c r="H512" s="299"/>
      <c r="I512" s="299"/>
      <c r="J512" s="299"/>
      <c r="K512" s="299"/>
      <c r="L512" s="299"/>
      <c r="M512" s="299"/>
      <c r="N512" s="299"/>
      <c r="O512" s="299"/>
      <c r="P512" s="299"/>
      <c r="Q512" s="299"/>
      <c r="R512" s="299"/>
      <c r="S512" s="299"/>
      <c r="T512" s="299"/>
      <c r="U512" s="299"/>
    </row>
    <row r="513">
      <c r="B513" s="3"/>
      <c r="D513" s="3"/>
      <c r="E513" s="300" t="s">
        <v>22</v>
      </c>
      <c r="F513" s="299"/>
      <c r="G513" s="299"/>
      <c r="H513" s="299"/>
      <c r="I513" s="299"/>
      <c r="J513" s="299"/>
      <c r="K513" s="299"/>
      <c r="L513" s="299"/>
      <c r="M513" s="299"/>
      <c r="N513" s="299"/>
      <c r="O513" s="299"/>
      <c r="P513" s="299"/>
      <c r="Q513" s="299"/>
      <c r="R513" s="299"/>
      <c r="S513" s="299"/>
      <c r="T513" s="299"/>
      <c r="U513" s="299"/>
    </row>
    <row r="514">
      <c r="B514" s="3"/>
      <c r="D514" s="3"/>
      <c r="E514" s="300" t="s">
        <v>22</v>
      </c>
      <c r="F514" s="299"/>
      <c r="G514" s="299"/>
      <c r="H514" s="299"/>
      <c r="I514" s="299"/>
      <c r="J514" s="299"/>
      <c r="K514" s="299"/>
      <c r="L514" s="299"/>
      <c r="M514" s="299"/>
      <c r="N514" s="299"/>
      <c r="O514" s="299"/>
      <c r="P514" s="299"/>
      <c r="Q514" s="299"/>
      <c r="R514" s="299"/>
      <c r="S514" s="299"/>
      <c r="T514" s="299"/>
      <c r="U514" s="299"/>
    </row>
    <row r="515">
      <c r="B515" s="3"/>
      <c r="D515" s="3"/>
      <c r="E515" s="300" t="s">
        <v>22</v>
      </c>
      <c r="F515" s="299"/>
      <c r="G515" s="299"/>
      <c r="H515" s="299"/>
      <c r="I515" s="299"/>
      <c r="J515" s="299"/>
      <c r="K515" s="299"/>
      <c r="L515" s="299"/>
      <c r="M515" s="299"/>
      <c r="N515" s="299"/>
      <c r="O515" s="299"/>
      <c r="P515" s="299"/>
      <c r="Q515" s="299"/>
      <c r="R515" s="299"/>
      <c r="S515" s="299"/>
      <c r="T515" s="299"/>
      <c r="U515" s="299"/>
    </row>
    <row r="516">
      <c r="B516" s="3"/>
      <c r="D516" s="3"/>
      <c r="E516" s="300" t="s">
        <v>22</v>
      </c>
      <c r="F516" s="299"/>
      <c r="G516" s="299"/>
      <c r="H516" s="299"/>
      <c r="I516" s="299"/>
      <c r="J516" s="299"/>
      <c r="K516" s="299"/>
      <c r="L516" s="299"/>
      <c r="M516" s="299"/>
      <c r="N516" s="299"/>
      <c r="O516" s="299"/>
      <c r="P516" s="299"/>
      <c r="Q516" s="299"/>
      <c r="R516" s="299"/>
      <c r="S516" s="299"/>
      <c r="T516" s="299"/>
      <c r="U516" s="299"/>
    </row>
    <row r="517">
      <c r="B517" s="3"/>
      <c r="D517" s="3"/>
      <c r="E517" s="300" t="s">
        <v>22</v>
      </c>
      <c r="F517" s="299"/>
      <c r="G517" s="299"/>
      <c r="H517" s="299"/>
      <c r="I517" s="299"/>
      <c r="J517" s="299"/>
      <c r="K517" s="299"/>
      <c r="L517" s="299"/>
      <c r="M517" s="299"/>
      <c r="N517" s="299"/>
      <c r="O517" s="299"/>
      <c r="P517" s="299"/>
      <c r="Q517" s="299"/>
      <c r="R517" s="299"/>
      <c r="S517" s="299"/>
      <c r="T517" s="299"/>
      <c r="U517" s="299"/>
    </row>
    <row r="518">
      <c r="B518" s="3"/>
      <c r="D518" s="3"/>
      <c r="E518" s="300" t="s">
        <v>22</v>
      </c>
      <c r="F518" s="299"/>
      <c r="G518" s="299"/>
      <c r="H518" s="299"/>
      <c r="I518" s="299"/>
      <c r="J518" s="299"/>
      <c r="K518" s="299"/>
      <c r="L518" s="299"/>
      <c r="M518" s="299"/>
      <c r="N518" s="299"/>
      <c r="O518" s="299"/>
      <c r="P518" s="299"/>
      <c r="Q518" s="299"/>
      <c r="R518" s="299"/>
      <c r="S518" s="299"/>
      <c r="T518" s="299"/>
      <c r="U518" s="299"/>
    </row>
    <row r="519">
      <c r="B519" s="3"/>
      <c r="D519" s="3"/>
      <c r="E519" s="300" t="s">
        <v>22</v>
      </c>
      <c r="F519" s="299"/>
      <c r="G519" s="299"/>
      <c r="H519" s="299"/>
      <c r="I519" s="299"/>
      <c r="J519" s="299"/>
      <c r="K519" s="299"/>
      <c r="L519" s="299"/>
      <c r="M519" s="299"/>
      <c r="N519" s="299"/>
      <c r="O519" s="299"/>
      <c r="P519" s="299"/>
      <c r="Q519" s="299"/>
      <c r="R519" s="299"/>
      <c r="S519" s="299"/>
      <c r="T519" s="299"/>
      <c r="U519" s="299"/>
    </row>
    <row r="520">
      <c r="B520" s="3"/>
      <c r="D520" s="3"/>
      <c r="E520" s="300" t="s">
        <v>22</v>
      </c>
      <c r="F520" s="299"/>
      <c r="G520" s="299"/>
      <c r="H520" s="299"/>
      <c r="I520" s="299"/>
      <c r="J520" s="299"/>
      <c r="K520" s="299"/>
      <c r="L520" s="299"/>
      <c r="M520" s="299"/>
      <c r="N520" s="299"/>
      <c r="O520" s="299"/>
      <c r="P520" s="299"/>
      <c r="Q520" s="299"/>
      <c r="R520" s="299"/>
      <c r="S520" s="299"/>
      <c r="T520" s="299"/>
      <c r="U520" s="299"/>
    </row>
    <row r="521">
      <c r="B521" s="3"/>
      <c r="D521" s="3"/>
      <c r="E521" s="300" t="s">
        <v>22</v>
      </c>
      <c r="F521" s="299"/>
      <c r="G521" s="299"/>
      <c r="H521" s="299"/>
      <c r="I521" s="299"/>
      <c r="J521" s="299"/>
      <c r="K521" s="299"/>
      <c r="L521" s="299"/>
      <c r="M521" s="299"/>
      <c r="N521" s="299"/>
      <c r="O521" s="299"/>
      <c r="P521" s="299"/>
      <c r="Q521" s="299"/>
      <c r="R521" s="299"/>
      <c r="S521" s="299"/>
      <c r="T521" s="299"/>
      <c r="U521" s="299"/>
    </row>
    <row r="522">
      <c r="B522" s="3"/>
      <c r="D522" s="3"/>
      <c r="E522" s="300" t="s">
        <v>22</v>
      </c>
      <c r="F522" s="299"/>
      <c r="G522" s="299"/>
      <c r="H522" s="299"/>
      <c r="I522" s="299"/>
      <c r="J522" s="299"/>
      <c r="K522" s="299"/>
      <c r="L522" s="299"/>
      <c r="M522" s="299"/>
      <c r="N522" s="299"/>
      <c r="O522" s="299"/>
      <c r="P522" s="299"/>
      <c r="Q522" s="299"/>
      <c r="R522" s="299"/>
      <c r="S522" s="299"/>
      <c r="T522" s="299"/>
      <c r="U522" s="299"/>
    </row>
    <row r="523">
      <c r="B523" s="3"/>
      <c r="D523" s="3"/>
      <c r="E523" s="300" t="s">
        <v>22</v>
      </c>
      <c r="F523" s="299"/>
      <c r="G523" s="299"/>
      <c r="H523" s="299"/>
      <c r="I523" s="299"/>
      <c r="J523" s="299"/>
      <c r="K523" s="299"/>
      <c r="L523" s="299"/>
      <c r="M523" s="299"/>
      <c r="N523" s="299"/>
      <c r="O523" s="299"/>
      <c r="P523" s="299"/>
      <c r="Q523" s="299"/>
      <c r="R523" s="299"/>
      <c r="S523" s="299"/>
      <c r="T523" s="299"/>
      <c r="U523" s="299"/>
    </row>
    <row r="524">
      <c r="B524" s="3"/>
      <c r="D524" s="3"/>
      <c r="E524" s="300" t="s">
        <v>22</v>
      </c>
      <c r="F524" s="299"/>
      <c r="G524" s="299"/>
      <c r="H524" s="299"/>
      <c r="I524" s="299"/>
      <c r="J524" s="299"/>
      <c r="K524" s="299"/>
      <c r="L524" s="299"/>
      <c r="M524" s="299"/>
      <c r="N524" s="299"/>
      <c r="O524" s="299"/>
      <c r="P524" s="299"/>
      <c r="Q524" s="299"/>
      <c r="R524" s="299"/>
      <c r="S524" s="299"/>
      <c r="T524" s="299"/>
      <c r="U524" s="299"/>
    </row>
    <row r="525">
      <c r="B525" s="3"/>
      <c r="D525" s="3"/>
      <c r="E525" s="300" t="s">
        <v>22</v>
      </c>
      <c r="F525" s="299"/>
      <c r="G525" s="299"/>
      <c r="H525" s="299"/>
      <c r="I525" s="299"/>
      <c r="J525" s="299"/>
      <c r="K525" s="299"/>
      <c r="L525" s="299"/>
      <c r="M525" s="299"/>
      <c r="N525" s="299"/>
      <c r="O525" s="299"/>
      <c r="P525" s="299"/>
      <c r="Q525" s="299"/>
      <c r="R525" s="299"/>
      <c r="S525" s="299"/>
      <c r="T525" s="299"/>
      <c r="U525" s="299"/>
    </row>
    <row r="526">
      <c r="B526" s="3"/>
      <c r="D526" s="3"/>
      <c r="E526" s="300" t="s">
        <v>22</v>
      </c>
      <c r="F526" s="299"/>
      <c r="G526" s="299"/>
      <c r="H526" s="299"/>
      <c r="I526" s="299"/>
      <c r="J526" s="299"/>
      <c r="K526" s="299"/>
      <c r="L526" s="299"/>
      <c r="M526" s="299"/>
      <c r="N526" s="299"/>
      <c r="O526" s="299"/>
      <c r="P526" s="299"/>
      <c r="Q526" s="299"/>
      <c r="R526" s="299"/>
      <c r="S526" s="299"/>
      <c r="T526" s="299"/>
      <c r="U526" s="299"/>
    </row>
    <row r="527">
      <c r="B527" s="3"/>
      <c r="D527" s="3"/>
      <c r="E527" s="300" t="s">
        <v>22</v>
      </c>
      <c r="F527" s="299"/>
      <c r="G527" s="299"/>
      <c r="H527" s="299"/>
      <c r="I527" s="299"/>
      <c r="J527" s="299"/>
      <c r="K527" s="299"/>
      <c r="L527" s="299"/>
      <c r="M527" s="299"/>
      <c r="N527" s="299"/>
      <c r="O527" s="299"/>
      <c r="P527" s="299"/>
      <c r="Q527" s="299"/>
      <c r="R527" s="299"/>
      <c r="S527" s="299"/>
      <c r="T527" s="299"/>
      <c r="U527" s="299"/>
    </row>
    <row r="528">
      <c r="B528" s="3"/>
      <c r="D528" s="3"/>
      <c r="E528" s="300" t="s">
        <v>22</v>
      </c>
      <c r="F528" s="299"/>
      <c r="G528" s="299"/>
      <c r="H528" s="299"/>
      <c r="I528" s="299"/>
      <c r="J528" s="299"/>
      <c r="K528" s="299"/>
      <c r="L528" s="299"/>
      <c r="M528" s="299"/>
      <c r="N528" s="299"/>
      <c r="O528" s="299"/>
      <c r="P528" s="299"/>
      <c r="Q528" s="299"/>
      <c r="R528" s="299"/>
      <c r="S528" s="299"/>
      <c r="T528" s="299"/>
      <c r="U528" s="299"/>
    </row>
    <row r="529">
      <c r="B529" s="3"/>
      <c r="D529" s="3"/>
      <c r="E529" s="300" t="s">
        <v>22</v>
      </c>
      <c r="F529" s="299"/>
      <c r="G529" s="299"/>
      <c r="H529" s="299"/>
      <c r="I529" s="299"/>
      <c r="J529" s="299"/>
      <c r="K529" s="299"/>
      <c r="L529" s="299"/>
      <c r="M529" s="299"/>
      <c r="N529" s="299"/>
      <c r="O529" s="299"/>
      <c r="P529" s="299"/>
      <c r="Q529" s="299"/>
      <c r="R529" s="299"/>
      <c r="S529" s="299"/>
      <c r="T529" s="299"/>
      <c r="U529" s="299"/>
    </row>
    <row r="530">
      <c r="B530" s="3"/>
      <c r="D530" s="3"/>
      <c r="E530" s="300" t="s">
        <v>22</v>
      </c>
      <c r="F530" s="299"/>
      <c r="G530" s="299"/>
      <c r="H530" s="299"/>
      <c r="I530" s="299"/>
      <c r="J530" s="299"/>
      <c r="K530" s="299"/>
      <c r="L530" s="299"/>
      <c r="M530" s="299"/>
      <c r="N530" s="299"/>
      <c r="O530" s="299"/>
      <c r="P530" s="299"/>
      <c r="Q530" s="299"/>
      <c r="R530" s="299"/>
      <c r="S530" s="299"/>
      <c r="T530" s="299"/>
      <c r="U530" s="299"/>
    </row>
    <row r="531">
      <c r="B531" s="3"/>
      <c r="D531" s="3"/>
      <c r="E531" s="300" t="s">
        <v>22</v>
      </c>
      <c r="F531" s="299"/>
      <c r="G531" s="299"/>
      <c r="H531" s="299"/>
      <c r="I531" s="299"/>
      <c r="J531" s="299"/>
      <c r="K531" s="299"/>
      <c r="L531" s="299"/>
      <c r="M531" s="299"/>
      <c r="N531" s="299"/>
      <c r="O531" s="299"/>
      <c r="P531" s="299"/>
      <c r="Q531" s="299"/>
      <c r="R531" s="299"/>
      <c r="S531" s="299"/>
      <c r="T531" s="299"/>
      <c r="U531" s="299"/>
    </row>
    <row r="532">
      <c r="B532" s="3"/>
      <c r="D532" s="3"/>
      <c r="E532" s="300" t="s">
        <v>22</v>
      </c>
      <c r="F532" s="299"/>
      <c r="G532" s="299"/>
      <c r="H532" s="299"/>
      <c r="I532" s="299"/>
      <c r="J532" s="299"/>
      <c r="K532" s="299"/>
      <c r="L532" s="299"/>
      <c r="M532" s="299"/>
      <c r="N532" s="299"/>
      <c r="O532" s="299"/>
      <c r="P532" s="299"/>
      <c r="Q532" s="299"/>
      <c r="R532" s="299"/>
      <c r="S532" s="299"/>
      <c r="T532" s="299"/>
      <c r="U532" s="299"/>
    </row>
    <row r="533">
      <c r="B533" s="3"/>
      <c r="D533" s="3"/>
      <c r="E533" s="300" t="s">
        <v>22</v>
      </c>
      <c r="F533" s="299"/>
      <c r="G533" s="299"/>
      <c r="H533" s="299"/>
      <c r="I533" s="299"/>
      <c r="J533" s="299"/>
      <c r="K533" s="299"/>
      <c r="L533" s="299"/>
      <c r="M533" s="299"/>
      <c r="N533" s="299"/>
      <c r="O533" s="299"/>
      <c r="P533" s="299"/>
      <c r="Q533" s="299"/>
      <c r="R533" s="299"/>
      <c r="S533" s="299"/>
      <c r="T533" s="299"/>
      <c r="U533" s="299"/>
    </row>
    <row r="534">
      <c r="B534" s="3"/>
      <c r="D534" s="3"/>
      <c r="E534" s="300" t="s">
        <v>22</v>
      </c>
      <c r="F534" s="299"/>
      <c r="G534" s="299"/>
      <c r="H534" s="299"/>
      <c r="I534" s="299"/>
      <c r="J534" s="299"/>
      <c r="K534" s="299"/>
      <c r="L534" s="299"/>
      <c r="M534" s="299"/>
      <c r="N534" s="299"/>
      <c r="O534" s="299"/>
      <c r="P534" s="299"/>
      <c r="Q534" s="299"/>
      <c r="R534" s="299"/>
      <c r="S534" s="299"/>
      <c r="T534" s="299"/>
      <c r="U534" s="299"/>
    </row>
    <row r="535">
      <c r="B535" s="3"/>
      <c r="D535" s="3"/>
      <c r="E535" s="300" t="s">
        <v>22</v>
      </c>
      <c r="F535" s="299"/>
      <c r="G535" s="299"/>
      <c r="H535" s="299"/>
      <c r="I535" s="299"/>
      <c r="J535" s="299"/>
      <c r="K535" s="299"/>
      <c r="L535" s="299"/>
      <c r="M535" s="299"/>
      <c r="N535" s="299"/>
      <c r="O535" s="299"/>
      <c r="P535" s="299"/>
      <c r="Q535" s="299"/>
      <c r="R535" s="299"/>
      <c r="S535" s="299"/>
      <c r="T535" s="299"/>
      <c r="U535" s="299"/>
    </row>
    <row r="536">
      <c r="B536" s="3"/>
      <c r="D536" s="3"/>
      <c r="E536" s="300" t="s">
        <v>22</v>
      </c>
      <c r="F536" s="299"/>
      <c r="G536" s="299"/>
      <c r="H536" s="299"/>
      <c r="I536" s="299"/>
      <c r="J536" s="299"/>
      <c r="K536" s="299"/>
      <c r="L536" s="299"/>
      <c r="M536" s="299"/>
      <c r="N536" s="299"/>
      <c r="O536" s="299"/>
      <c r="P536" s="299"/>
      <c r="Q536" s="299"/>
      <c r="R536" s="299"/>
      <c r="S536" s="299"/>
      <c r="T536" s="299"/>
      <c r="U536" s="299"/>
    </row>
    <row r="537">
      <c r="B537" s="3"/>
      <c r="D537" s="3"/>
      <c r="E537" s="300" t="s">
        <v>22</v>
      </c>
      <c r="F537" s="299"/>
      <c r="G537" s="299"/>
      <c r="H537" s="299"/>
      <c r="I537" s="299"/>
      <c r="J537" s="299"/>
      <c r="K537" s="299"/>
      <c r="L537" s="299"/>
      <c r="M537" s="299"/>
      <c r="N537" s="299"/>
      <c r="O537" s="299"/>
      <c r="P537" s="299"/>
      <c r="Q537" s="299"/>
      <c r="R537" s="299"/>
      <c r="S537" s="299"/>
      <c r="T537" s="299"/>
      <c r="U537" s="299"/>
    </row>
    <row r="538">
      <c r="B538" s="3"/>
      <c r="D538" s="3"/>
      <c r="E538" s="300" t="s">
        <v>22</v>
      </c>
      <c r="F538" s="299"/>
      <c r="G538" s="299"/>
      <c r="H538" s="299"/>
      <c r="I538" s="299"/>
      <c r="J538" s="299"/>
      <c r="K538" s="299"/>
      <c r="L538" s="299"/>
      <c r="M538" s="299"/>
      <c r="N538" s="299"/>
      <c r="O538" s="299"/>
      <c r="P538" s="299"/>
      <c r="Q538" s="299"/>
      <c r="R538" s="299"/>
      <c r="S538" s="299"/>
      <c r="T538" s="299"/>
      <c r="U538" s="299"/>
    </row>
    <row r="539">
      <c r="B539" s="3"/>
      <c r="D539" s="3"/>
      <c r="E539" s="300" t="s">
        <v>22</v>
      </c>
      <c r="F539" s="299"/>
      <c r="G539" s="299"/>
      <c r="H539" s="299"/>
      <c r="I539" s="299"/>
      <c r="J539" s="299"/>
      <c r="K539" s="299"/>
      <c r="L539" s="299"/>
      <c r="M539" s="299"/>
      <c r="N539" s="299"/>
      <c r="O539" s="299"/>
      <c r="P539" s="299"/>
      <c r="Q539" s="299"/>
      <c r="R539" s="299"/>
      <c r="S539" s="299"/>
      <c r="T539" s="299"/>
      <c r="U539" s="299"/>
    </row>
    <row r="540">
      <c r="B540" s="3"/>
      <c r="D540" s="3"/>
      <c r="E540" s="300" t="s">
        <v>22</v>
      </c>
      <c r="F540" s="299"/>
      <c r="G540" s="299"/>
      <c r="H540" s="299"/>
      <c r="I540" s="299"/>
      <c r="J540" s="299"/>
      <c r="K540" s="299"/>
      <c r="L540" s="299"/>
      <c r="M540" s="299"/>
      <c r="N540" s="299"/>
      <c r="O540" s="299"/>
      <c r="P540" s="299"/>
      <c r="Q540" s="299"/>
      <c r="R540" s="299"/>
      <c r="S540" s="299"/>
      <c r="T540" s="299"/>
      <c r="U540" s="299"/>
    </row>
    <row r="541">
      <c r="B541" s="3"/>
      <c r="D541" s="3"/>
      <c r="E541" s="300" t="s">
        <v>22</v>
      </c>
      <c r="F541" s="299"/>
      <c r="G541" s="299"/>
      <c r="H541" s="299"/>
      <c r="I541" s="299"/>
      <c r="J541" s="299"/>
      <c r="K541" s="299"/>
      <c r="L541" s="299"/>
      <c r="M541" s="299"/>
      <c r="N541" s="299"/>
      <c r="O541" s="299"/>
      <c r="P541" s="299"/>
      <c r="Q541" s="299"/>
      <c r="R541" s="299"/>
      <c r="S541" s="299"/>
      <c r="T541" s="299"/>
      <c r="U541" s="299"/>
    </row>
    <row r="542">
      <c r="B542" s="3"/>
      <c r="D542" s="3"/>
      <c r="E542" s="300" t="s">
        <v>22</v>
      </c>
      <c r="F542" s="299"/>
      <c r="G542" s="299"/>
      <c r="H542" s="299"/>
      <c r="I542" s="299"/>
      <c r="J542" s="299"/>
      <c r="K542" s="299"/>
      <c r="L542" s="299"/>
      <c r="M542" s="299"/>
      <c r="N542" s="299"/>
      <c r="O542" s="299"/>
      <c r="P542" s="299"/>
      <c r="Q542" s="299"/>
      <c r="R542" s="299"/>
      <c r="S542" s="299"/>
      <c r="T542" s="299"/>
      <c r="U542" s="299"/>
    </row>
    <row r="543">
      <c r="B543" s="3"/>
      <c r="D543" s="3"/>
      <c r="E543" s="300" t="s">
        <v>22</v>
      </c>
      <c r="F543" s="299"/>
      <c r="G543" s="299"/>
      <c r="H543" s="299"/>
      <c r="I543" s="299"/>
      <c r="J543" s="299"/>
      <c r="K543" s="299"/>
      <c r="L543" s="299"/>
      <c r="M543" s="299"/>
      <c r="N543" s="299"/>
      <c r="O543" s="299"/>
      <c r="P543" s="299"/>
      <c r="Q543" s="299"/>
      <c r="R543" s="299"/>
      <c r="S543" s="299"/>
      <c r="T543" s="299"/>
      <c r="U543" s="299"/>
    </row>
    <row r="544">
      <c r="B544" s="3"/>
      <c r="D544" s="3"/>
      <c r="E544" s="300" t="s">
        <v>22</v>
      </c>
      <c r="F544" s="299"/>
      <c r="G544" s="299"/>
      <c r="H544" s="299"/>
      <c r="I544" s="299"/>
      <c r="J544" s="299"/>
      <c r="K544" s="299"/>
      <c r="L544" s="299"/>
      <c r="M544" s="299"/>
      <c r="N544" s="299"/>
      <c r="O544" s="299"/>
      <c r="P544" s="299"/>
      <c r="Q544" s="299"/>
      <c r="R544" s="299"/>
      <c r="S544" s="299"/>
      <c r="T544" s="299"/>
      <c r="U544" s="299"/>
    </row>
    <row r="545">
      <c r="B545" s="3"/>
      <c r="D545" s="3"/>
      <c r="E545" s="300" t="s">
        <v>22</v>
      </c>
      <c r="F545" s="299"/>
      <c r="G545" s="299"/>
      <c r="H545" s="299"/>
      <c r="I545" s="299"/>
      <c r="J545" s="299"/>
      <c r="K545" s="299"/>
      <c r="L545" s="299"/>
      <c r="M545" s="299"/>
      <c r="N545" s="299"/>
      <c r="O545" s="299"/>
      <c r="P545" s="299"/>
      <c r="Q545" s="299"/>
      <c r="R545" s="299"/>
      <c r="S545" s="299"/>
      <c r="T545" s="299"/>
      <c r="U545" s="299"/>
    </row>
    <row r="546">
      <c r="B546" s="3"/>
      <c r="D546" s="3"/>
      <c r="E546" s="300" t="s">
        <v>22</v>
      </c>
      <c r="F546" s="299"/>
      <c r="G546" s="299"/>
      <c r="H546" s="299"/>
      <c r="I546" s="299"/>
      <c r="J546" s="299"/>
      <c r="K546" s="299"/>
      <c r="L546" s="299"/>
      <c r="M546" s="299"/>
      <c r="N546" s="299"/>
      <c r="O546" s="299"/>
      <c r="P546" s="299"/>
      <c r="Q546" s="299"/>
      <c r="R546" s="299"/>
      <c r="S546" s="299"/>
      <c r="T546" s="299"/>
      <c r="U546" s="299"/>
    </row>
    <row r="547">
      <c r="B547" s="3"/>
      <c r="D547" s="3"/>
      <c r="E547" s="300" t="s">
        <v>22</v>
      </c>
      <c r="F547" s="299"/>
      <c r="G547" s="299"/>
      <c r="H547" s="299"/>
      <c r="I547" s="299"/>
      <c r="J547" s="299"/>
      <c r="K547" s="299"/>
      <c r="L547" s="299"/>
      <c r="M547" s="299"/>
      <c r="N547" s="299"/>
      <c r="O547" s="299"/>
      <c r="P547" s="299"/>
      <c r="Q547" s="299"/>
      <c r="R547" s="299"/>
      <c r="S547" s="299"/>
      <c r="T547" s="299"/>
      <c r="U547" s="299"/>
    </row>
    <row r="548">
      <c r="B548" s="3"/>
      <c r="D548" s="3"/>
      <c r="E548" s="300" t="s">
        <v>22</v>
      </c>
      <c r="F548" s="299"/>
      <c r="G548" s="299"/>
      <c r="H548" s="299"/>
      <c r="I548" s="299"/>
      <c r="J548" s="299"/>
      <c r="K548" s="299"/>
      <c r="L548" s="299"/>
      <c r="M548" s="299"/>
      <c r="N548" s="299"/>
      <c r="O548" s="299"/>
      <c r="P548" s="299"/>
      <c r="Q548" s="299"/>
      <c r="R548" s="299"/>
      <c r="S548" s="299"/>
      <c r="T548" s="299"/>
      <c r="U548" s="299"/>
    </row>
    <row r="549">
      <c r="B549" s="3"/>
      <c r="D549" s="3"/>
      <c r="E549" s="300" t="s">
        <v>22</v>
      </c>
      <c r="F549" s="299"/>
      <c r="G549" s="299"/>
      <c r="H549" s="299"/>
      <c r="I549" s="299"/>
      <c r="J549" s="299"/>
      <c r="K549" s="299"/>
      <c r="L549" s="299"/>
      <c r="M549" s="299"/>
      <c r="N549" s="299"/>
      <c r="O549" s="299"/>
      <c r="P549" s="299"/>
      <c r="Q549" s="299"/>
      <c r="R549" s="299"/>
      <c r="S549" s="299"/>
      <c r="T549" s="299"/>
      <c r="U549" s="299"/>
    </row>
    <row r="550">
      <c r="B550" s="3"/>
      <c r="D550" s="3"/>
      <c r="E550" s="300" t="s">
        <v>22</v>
      </c>
      <c r="F550" s="299"/>
      <c r="G550" s="299"/>
      <c r="H550" s="299"/>
      <c r="I550" s="299"/>
      <c r="J550" s="299"/>
      <c r="K550" s="299"/>
      <c r="L550" s="299"/>
      <c r="M550" s="299"/>
      <c r="N550" s="299"/>
      <c r="O550" s="299"/>
      <c r="P550" s="299"/>
      <c r="Q550" s="299"/>
      <c r="R550" s="299"/>
      <c r="S550" s="299"/>
      <c r="T550" s="299"/>
      <c r="U550" s="299"/>
    </row>
    <row r="551">
      <c r="B551" s="3"/>
      <c r="D551" s="3"/>
      <c r="E551" s="300" t="s">
        <v>22</v>
      </c>
      <c r="F551" s="299"/>
      <c r="G551" s="299"/>
      <c r="H551" s="299"/>
      <c r="I551" s="299"/>
      <c r="J551" s="299"/>
      <c r="K551" s="299"/>
      <c r="L551" s="299"/>
      <c r="M551" s="299"/>
      <c r="N551" s="299"/>
      <c r="O551" s="299"/>
      <c r="P551" s="299"/>
      <c r="Q551" s="299"/>
      <c r="R551" s="299"/>
      <c r="S551" s="299"/>
      <c r="T551" s="299"/>
      <c r="U551" s="299"/>
    </row>
    <row r="552">
      <c r="B552" s="3"/>
      <c r="D552" s="3"/>
      <c r="E552" s="300" t="s">
        <v>22</v>
      </c>
      <c r="F552" s="299"/>
      <c r="G552" s="299"/>
      <c r="H552" s="299"/>
      <c r="I552" s="299"/>
      <c r="J552" s="299"/>
      <c r="K552" s="299"/>
      <c r="L552" s="299"/>
      <c r="M552" s="299"/>
      <c r="N552" s="299"/>
      <c r="O552" s="299"/>
      <c r="P552" s="299"/>
      <c r="Q552" s="299"/>
      <c r="R552" s="299"/>
      <c r="S552" s="299"/>
      <c r="T552" s="299"/>
      <c r="U552" s="299"/>
    </row>
    <row r="553">
      <c r="B553" s="3"/>
      <c r="D553" s="3"/>
      <c r="E553" s="300" t="s">
        <v>22</v>
      </c>
      <c r="F553" s="299"/>
      <c r="G553" s="299"/>
      <c r="H553" s="299"/>
      <c r="I553" s="299"/>
      <c r="J553" s="299"/>
      <c r="K553" s="299"/>
      <c r="L553" s="299"/>
      <c r="M553" s="299"/>
      <c r="N553" s="299"/>
      <c r="O553" s="299"/>
      <c r="P553" s="299"/>
      <c r="Q553" s="299"/>
      <c r="R553" s="299"/>
      <c r="S553" s="299"/>
      <c r="T553" s="299"/>
      <c r="U553" s="299"/>
    </row>
    <row r="554">
      <c r="B554" s="3"/>
      <c r="D554" s="3"/>
      <c r="E554" s="300" t="s">
        <v>22</v>
      </c>
      <c r="F554" s="299"/>
      <c r="G554" s="299"/>
      <c r="H554" s="299"/>
      <c r="I554" s="299"/>
      <c r="J554" s="299"/>
      <c r="K554" s="299"/>
      <c r="L554" s="299"/>
      <c r="M554" s="299"/>
      <c r="N554" s="299"/>
      <c r="O554" s="299"/>
      <c r="P554" s="299"/>
      <c r="Q554" s="299"/>
      <c r="R554" s="299"/>
      <c r="S554" s="299"/>
      <c r="T554" s="299"/>
      <c r="U554" s="299"/>
    </row>
    <row r="555">
      <c r="B555" s="3"/>
      <c r="D555" s="3"/>
      <c r="E555" s="300" t="s">
        <v>22</v>
      </c>
      <c r="F555" s="299"/>
      <c r="G555" s="299"/>
      <c r="H555" s="299"/>
      <c r="I555" s="299"/>
      <c r="J555" s="299"/>
      <c r="K555" s="299"/>
      <c r="L555" s="299"/>
      <c r="M555" s="299"/>
      <c r="N555" s="299"/>
      <c r="O555" s="299"/>
      <c r="P555" s="299"/>
      <c r="Q555" s="299"/>
      <c r="R555" s="299"/>
      <c r="S555" s="299"/>
      <c r="T555" s="299"/>
      <c r="U555" s="299"/>
    </row>
    <row r="556">
      <c r="B556" s="3"/>
      <c r="D556" s="3"/>
      <c r="E556" s="300" t="s">
        <v>22</v>
      </c>
      <c r="F556" s="299"/>
      <c r="G556" s="299"/>
      <c r="H556" s="299"/>
      <c r="I556" s="299"/>
      <c r="J556" s="299"/>
      <c r="K556" s="299"/>
      <c r="L556" s="299"/>
      <c r="M556" s="299"/>
      <c r="N556" s="299"/>
      <c r="O556" s="299"/>
      <c r="P556" s="299"/>
      <c r="Q556" s="299"/>
      <c r="R556" s="299"/>
      <c r="S556" s="299"/>
      <c r="T556" s="299"/>
      <c r="U556" s="299"/>
    </row>
    <row r="557">
      <c r="B557" s="3"/>
      <c r="D557" s="3"/>
      <c r="E557" s="300" t="s">
        <v>22</v>
      </c>
      <c r="F557" s="299"/>
      <c r="G557" s="299"/>
      <c r="H557" s="299"/>
      <c r="I557" s="299"/>
      <c r="J557" s="299"/>
      <c r="K557" s="299"/>
      <c r="L557" s="299"/>
      <c r="M557" s="299"/>
      <c r="N557" s="299"/>
      <c r="O557" s="299"/>
      <c r="P557" s="299"/>
      <c r="Q557" s="299"/>
      <c r="R557" s="299"/>
      <c r="S557" s="299"/>
      <c r="T557" s="299"/>
      <c r="U557" s="299"/>
    </row>
    <row r="558">
      <c r="B558" s="3"/>
      <c r="D558" s="3"/>
      <c r="E558" s="300" t="s">
        <v>22</v>
      </c>
      <c r="F558" s="299"/>
      <c r="G558" s="299"/>
      <c r="H558" s="299"/>
      <c r="I558" s="299"/>
      <c r="J558" s="299"/>
      <c r="K558" s="299"/>
      <c r="L558" s="299"/>
      <c r="M558" s="299"/>
      <c r="N558" s="299"/>
      <c r="O558" s="299"/>
      <c r="P558" s="299"/>
      <c r="Q558" s="299"/>
      <c r="R558" s="299"/>
      <c r="S558" s="299"/>
      <c r="T558" s="299"/>
      <c r="U558" s="299"/>
    </row>
    <row r="559">
      <c r="B559" s="3"/>
      <c r="D559" s="3"/>
      <c r="E559" s="300" t="s">
        <v>22</v>
      </c>
      <c r="F559" s="299"/>
      <c r="G559" s="299"/>
      <c r="H559" s="299"/>
      <c r="I559" s="299"/>
      <c r="J559" s="299"/>
      <c r="K559" s="299"/>
      <c r="L559" s="299"/>
      <c r="M559" s="299"/>
      <c r="N559" s="299"/>
      <c r="O559" s="299"/>
      <c r="P559" s="299"/>
      <c r="Q559" s="299"/>
      <c r="R559" s="299"/>
      <c r="S559" s="299"/>
      <c r="T559" s="299"/>
      <c r="U559" s="299"/>
    </row>
    <row r="560">
      <c r="B560" s="3"/>
      <c r="D560" s="3"/>
      <c r="E560" s="300" t="s">
        <v>22</v>
      </c>
      <c r="F560" s="299"/>
      <c r="G560" s="299"/>
      <c r="H560" s="299"/>
      <c r="I560" s="299"/>
      <c r="J560" s="299"/>
      <c r="K560" s="299"/>
      <c r="L560" s="299"/>
      <c r="M560" s="299"/>
      <c r="N560" s="299"/>
      <c r="O560" s="299"/>
      <c r="P560" s="299"/>
      <c r="Q560" s="299"/>
      <c r="R560" s="299"/>
      <c r="S560" s="299"/>
      <c r="T560" s="299"/>
      <c r="U560" s="299"/>
    </row>
    <row r="561">
      <c r="B561" s="3"/>
      <c r="D561" s="3"/>
      <c r="E561" s="300" t="s">
        <v>22</v>
      </c>
      <c r="F561" s="299"/>
      <c r="G561" s="299"/>
      <c r="H561" s="299"/>
      <c r="I561" s="299"/>
      <c r="J561" s="299"/>
      <c r="K561" s="299"/>
      <c r="L561" s="299"/>
      <c r="M561" s="299"/>
      <c r="N561" s="299"/>
      <c r="O561" s="299"/>
      <c r="P561" s="299"/>
      <c r="Q561" s="299"/>
      <c r="R561" s="299"/>
      <c r="S561" s="299"/>
      <c r="T561" s="299"/>
      <c r="U561" s="299"/>
    </row>
    <row r="562">
      <c r="B562" s="3"/>
      <c r="D562" s="3"/>
      <c r="E562" s="300" t="s">
        <v>22</v>
      </c>
      <c r="F562" s="299"/>
      <c r="G562" s="299"/>
      <c r="H562" s="299"/>
      <c r="I562" s="299"/>
      <c r="J562" s="299"/>
      <c r="K562" s="299"/>
      <c r="L562" s="299"/>
      <c r="M562" s="299"/>
      <c r="N562" s="299"/>
      <c r="O562" s="299"/>
      <c r="P562" s="299"/>
      <c r="Q562" s="299"/>
      <c r="R562" s="299"/>
      <c r="S562" s="299"/>
      <c r="T562" s="299"/>
      <c r="U562" s="299"/>
    </row>
    <row r="563">
      <c r="B563" s="3"/>
      <c r="D563" s="3"/>
      <c r="E563" s="300" t="s">
        <v>22</v>
      </c>
      <c r="F563" s="299"/>
      <c r="G563" s="299"/>
      <c r="H563" s="299"/>
      <c r="I563" s="299"/>
      <c r="J563" s="299"/>
      <c r="K563" s="299"/>
      <c r="L563" s="299"/>
      <c r="M563" s="299"/>
      <c r="N563" s="299"/>
      <c r="O563" s="299"/>
      <c r="P563" s="299"/>
      <c r="Q563" s="299"/>
      <c r="R563" s="299"/>
      <c r="S563" s="299"/>
      <c r="T563" s="299"/>
      <c r="U563" s="299"/>
    </row>
    <row r="564">
      <c r="B564" s="3"/>
      <c r="D564" s="3"/>
      <c r="E564" s="300" t="s">
        <v>22</v>
      </c>
      <c r="F564" s="299"/>
      <c r="G564" s="299"/>
      <c r="H564" s="299"/>
      <c r="I564" s="299"/>
      <c r="J564" s="299"/>
      <c r="K564" s="299"/>
      <c r="L564" s="299"/>
      <c r="M564" s="299"/>
      <c r="N564" s="299"/>
      <c r="O564" s="299"/>
      <c r="P564" s="299"/>
      <c r="Q564" s="299"/>
      <c r="R564" s="299"/>
      <c r="S564" s="299"/>
      <c r="T564" s="299"/>
      <c r="U564" s="299"/>
    </row>
    <row r="565">
      <c r="B565" s="3"/>
      <c r="D565" s="3"/>
      <c r="E565" s="300" t="s">
        <v>22</v>
      </c>
      <c r="F565" s="299"/>
      <c r="G565" s="299"/>
      <c r="H565" s="299"/>
      <c r="I565" s="299"/>
      <c r="J565" s="299"/>
      <c r="K565" s="299"/>
      <c r="L565" s="299"/>
      <c r="M565" s="299"/>
      <c r="N565" s="299"/>
      <c r="O565" s="299"/>
      <c r="P565" s="299"/>
      <c r="Q565" s="299"/>
      <c r="R565" s="299"/>
      <c r="S565" s="299"/>
      <c r="T565" s="299"/>
      <c r="U565" s="299"/>
    </row>
    <row r="566">
      <c r="B566" s="3"/>
      <c r="D566" s="3"/>
      <c r="E566" s="300" t="s">
        <v>22</v>
      </c>
      <c r="F566" s="299"/>
      <c r="G566" s="299"/>
      <c r="H566" s="299"/>
      <c r="I566" s="299"/>
      <c r="J566" s="299"/>
      <c r="K566" s="299"/>
      <c r="L566" s="299"/>
      <c r="M566" s="299"/>
      <c r="N566" s="299"/>
      <c r="O566" s="299"/>
      <c r="P566" s="299"/>
      <c r="Q566" s="299"/>
      <c r="R566" s="299"/>
      <c r="S566" s="299"/>
      <c r="T566" s="299"/>
      <c r="U566" s="299"/>
    </row>
    <row r="567">
      <c r="B567" s="3"/>
      <c r="D567" s="3"/>
      <c r="E567" s="300" t="s">
        <v>22</v>
      </c>
      <c r="F567" s="299"/>
      <c r="G567" s="299"/>
      <c r="H567" s="299"/>
      <c r="I567" s="299"/>
      <c r="J567" s="299"/>
      <c r="K567" s="299"/>
      <c r="L567" s="299"/>
      <c r="M567" s="299"/>
      <c r="N567" s="299"/>
      <c r="O567" s="299"/>
      <c r="P567" s="299"/>
      <c r="Q567" s="299"/>
      <c r="R567" s="299"/>
      <c r="S567" s="299"/>
      <c r="T567" s="299"/>
      <c r="U567" s="299"/>
    </row>
    <row r="568">
      <c r="B568" s="3"/>
      <c r="D568" s="3"/>
      <c r="E568" s="300" t="s">
        <v>22</v>
      </c>
      <c r="F568" s="299"/>
      <c r="G568" s="299"/>
      <c r="H568" s="299"/>
      <c r="I568" s="299"/>
      <c r="J568" s="299"/>
      <c r="K568" s="299"/>
      <c r="L568" s="299"/>
      <c r="M568" s="299"/>
      <c r="N568" s="299"/>
      <c r="O568" s="299"/>
      <c r="P568" s="299"/>
      <c r="Q568" s="299"/>
      <c r="R568" s="299"/>
      <c r="S568" s="299"/>
      <c r="T568" s="299"/>
      <c r="U568" s="299"/>
    </row>
    <row r="569">
      <c r="B569" s="3"/>
      <c r="D569" s="3"/>
      <c r="E569" s="300" t="s">
        <v>22</v>
      </c>
      <c r="F569" s="299"/>
      <c r="G569" s="299"/>
      <c r="H569" s="299"/>
      <c r="I569" s="299"/>
      <c r="J569" s="299"/>
      <c r="K569" s="299"/>
      <c r="L569" s="299"/>
      <c r="M569" s="299"/>
      <c r="N569" s="299"/>
      <c r="O569" s="299"/>
      <c r="P569" s="299"/>
      <c r="Q569" s="299"/>
      <c r="R569" s="299"/>
      <c r="S569" s="299"/>
      <c r="T569" s="299"/>
      <c r="U569" s="299"/>
    </row>
    <row r="570">
      <c r="B570" s="3"/>
      <c r="D570" s="3"/>
      <c r="E570" s="300" t="s">
        <v>22</v>
      </c>
      <c r="F570" s="299"/>
      <c r="G570" s="299"/>
      <c r="H570" s="299"/>
      <c r="I570" s="299"/>
      <c r="J570" s="299"/>
      <c r="K570" s="299"/>
      <c r="L570" s="299"/>
      <c r="M570" s="299"/>
      <c r="N570" s="299"/>
      <c r="O570" s="299"/>
      <c r="P570" s="299"/>
      <c r="Q570" s="299"/>
      <c r="R570" s="299"/>
      <c r="S570" s="299"/>
      <c r="T570" s="299"/>
      <c r="U570" s="299"/>
    </row>
    <row r="571">
      <c r="B571" s="3"/>
      <c r="D571" s="3"/>
      <c r="E571" s="300" t="s">
        <v>22</v>
      </c>
      <c r="F571" s="299"/>
      <c r="G571" s="299"/>
      <c r="H571" s="299"/>
      <c r="I571" s="299"/>
      <c r="J571" s="299"/>
      <c r="K571" s="299"/>
      <c r="L571" s="299"/>
      <c r="M571" s="299"/>
      <c r="N571" s="299"/>
      <c r="O571" s="299"/>
      <c r="P571" s="299"/>
      <c r="Q571" s="299"/>
      <c r="R571" s="299"/>
      <c r="S571" s="299"/>
      <c r="T571" s="299"/>
      <c r="U571" s="299"/>
    </row>
    <row r="572">
      <c r="B572" s="3"/>
      <c r="D572" s="3"/>
      <c r="E572" s="300" t="s">
        <v>22</v>
      </c>
      <c r="F572" s="299"/>
      <c r="G572" s="299"/>
      <c r="H572" s="299"/>
      <c r="I572" s="299"/>
      <c r="J572" s="299"/>
      <c r="K572" s="299"/>
      <c r="L572" s="299"/>
      <c r="M572" s="299"/>
      <c r="N572" s="299"/>
      <c r="O572" s="299"/>
      <c r="P572" s="299"/>
      <c r="Q572" s="299"/>
      <c r="R572" s="299"/>
      <c r="S572" s="299"/>
      <c r="T572" s="299"/>
      <c r="U572" s="299"/>
    </row>
    <row r="573">
      <c r="B573" s="3"/>
      <c r="D573" s="3"/>
      <c r="E573" s="300" t="s">
        <v>22</v>
      </c>
      <c r="F573" s="299"/>
      <c r="G573" s="299"/>
      <c r="H573" s="299"/>
      <c r="I573" s="299"/>
      <c r="J573" s="299"/>
      <c r="K573" s="299"/>
      <c r="L573" s="299"/>
      <c r="M573" s="299"/>
      <c r="N573" s="299"/>
      <c r="O573" s="299"/>
      <c r="P573" s="299"/>
      <c r="Q573" s="299"/>
      <c r="R573" s="299"/>
      <c r="S573" s="299"/>
      <c r="T573" s="299"/>
      <c r="U573" s="299"/>
    </row>
    <row r="574">
      <c r="B574" s="3"/>
      <c r="D574" s="3"/>
      <c r="E574" s="300" t="s">
        <v>22</v>
      </c>
      <c r="F574" s="299"/>
      <c r="G574" s="299"/>
      <c r="H574" s="299"/>
      <c r="I574" s="299"/>
      <c r="J574" s="299"/>
      <c r="K574" s="299"/>
      <c r="L574" s="299"/>
      <c r="M574" s="299"/>
      <c r="N574" s="299"/>
      <c r="O574" s="299"/>
      <c r="P574" s="299"/>
      <c r="Q574" s="299"/>
      <c r="R574" s="299"/>
      <c r="S574" s="299"/>
      <c r="T574" s="299"/>
      <c r="U574" s="299"/>
    </row>
    <row r="575">
      <c r="B575" s="3"/>
      <c r="D575" s="3"/>
      <c r="E575" s="300" t="s">
        <v>22</v>
      </c>
      <c r="F575" s="299"/>
      <c r="G575" s="299"/>
      <c r="H575" s="299"/>
      <c r="I575" s="299"/>
      <c r="J575" s="299"/>
      <c r="K575" s="299"/>
      <c r="L575" s="299"/>
      <c r="M575" s="299"/>
      <c r="N575" s="299"/>
      <c r="O575" s="299"/>
      <c r="P575" s="299"/>
      <c r="Q575" s="299"/>
      <c r="R575" s="299"/>
      <c r="S575" s="299"/>
      <c r="T575" s="299"/>
      <c r="U575" s="299"/>
    </row>
    <row r="576">
      <c r="B576" s="3"/>
      <c r="D576" s="3"/>
      <c r="E576" s="300" t="s">
        <v>22</v>
      </c>
      <c r="F576" s="299"/>
      <c r="G576" s="299"/>
      <c r="H576" s="299"/>
      <c r="I576" s="299"/>
      <c r="J576" s="299"/>
      <c r="K576" s="299"/>
      <c r="L576" s="299"/>
      <c r="M576" s="299"/>
      <c r="N576" s="299"/>
      <c r="O576" s="299"/>
      <c r="P576" s="299"/>
      <c r="Q576" s="299"/>
      <c r="R576" s="299"/>
      <c r="S576" s="299"/>
      <c r="T576" s="299"/>
      <c r="U576" s="299"/>
    </row>
    <row r="577">
      <c r="B577" s="3"/>
      <c r="D577" s="3"/>
      <c r="E577" s="300" t="s">
        <v>22</v>
      </c>
      <c r="F577" s="299"/>
      <c r="G577" s="299"/>
      <c r="H577" s="299"/>
      <c r="I577" s="299"/>
      <c r="J577" s="299"/>
      <c r="K577" s="299"/>
      <c r="L577" s="299"/>
      <c r="M577" s="299"/>
      <c r="N577" s="299"/>
      <c r="O577" s="299"/>
      <c r="P577" s="299"/>
      <c r="Q577" s="299"/>
      <c r="R577" s="299"/>
      <c r="S577" s="299"/>
      <c r="T577" s="299"/>
      <c r="U577" s="299"/>
    </row>
    <row r="578">
      <c r="B578" s="3"/>
      <c r="D578" s="3"/>
      <c r="E578" s="300" t="s">
        <v>22</v>
      </c>
      <c r="F578" s="299"/>
      <c r="G578" s="299"/>
      <c r="H578" s="299"/>
      <c r="I578" s="299"/>
      <c r="J578" s="299"/>
      <c r="K578" s="299"/>
      <c r="L578" s="299"/>
      <c r="M578" s="299"/>
      <c r="N578" s="299"/>
      <c r="O578" s="299"/>
      <c r="P578" s="299"/>
      <c r="Q578" s="299"/>
      <c r="R578" s="299"/>
      <c r="S578" s="299"/>
      <c r="T578" s="299"/>
      <c r="U578" s="299"/>
    </row>
    <row r="579">
      <c r="B579" s="3"/>
      <c r="D579" s="3"/>
      <c r="E579" s="300" t="s">
        <v>22</v>
      </c>
      <c r="F579" s="299"/>
      <c r="G579" s="299"/>
      <c r="H579" s="299"/>
      <c r="I579" s="299"/>
      <c r="J579" s="299"/>
      <c r="K579" s="299"/>
      <c r="L579" s="299"/>
      <c r="M579" s="299"/>
      <c r="N579" s="299"/>
      <c r="O579" s="299"/>
      <c r="P579" s="299"/>
      <c r="Q579" s="299"/>
      <c r="R579" s="299"/>
      <c r="S579" s="299"/>
      <c r="T579" s="299"/>
      <c r="U579" s="299"/>
    </row>
    <row r="580">
      <c r="B580" s="3"/>
      <c r="D580" s="3"/>
      <c r="E580" s="300" t="s">
        <v>22</v>
      </c>
      <c r="F580" s="299"/>
      <c r="G580" s="299"/>
      <c r="H580" s="299"/>
      <c r="I580" s="299"/>
      <c r="J580" s="299"/>
      <c r="K580" s="299"/>
      <c r="L580" s="299"/>
      <c r="M580" s="299"/>
      <c r="N580" s="299"/>
      <c r="O580" s="299"/>
      <c r="P580" s="299"/>
      <c r="Q580" s="299"/>
      <c r="R580" s="299"/>
      <c r="S580" s="299"/>
      <c r="T580" s="299"/>
      <c r="U580" s="299"/>
    </row>
    <row r="581">
      <c r="B581" s="3"/>
      <c r="D581" s="3"/>
      <c r="E581" s="300" t="s">
        <v>22</v>
      </c>
      <c r="F581" s="299"/>
      <c r="G581" s="299"/>
      <c r="H581" s="299"/>
      <c r="I581" s="299"/>
      <c r="J581" s="299"/>
      <c r="K581" s="299"/>
      <c r="L581" s="299"/>
      <c r="M581" s="299"/>
      <c r="N581" s="299"/>
      <c r="O581" s="299"/>
      <c r="P581" s="299"/>
      <c r="Q581" s="299"/>
      <c r="R581" s="299"/>
      <c r="S581" s="299"/>
      <c r="T581" s="299"/>
      <c r="U581" s="299"/>
    </row>
    <row r="582">
      <c r="B582" s="3"/>
      <c r="D582" s="3"/>
      <c r="E582" s="300" t="s">
        <v>22</v>
      </c>
      <c r="F582" s="299"/>
      <c r="G582" s="299"/>
      <c r="H582" s="299"/>
      <c r="I582" s="299"/>
      <c r="J582" s="299"/>
      <c r="K582" s="299"/>
      <c r="L582" s="299"/>
      <c r="M582" s="299"/>
      <c r="N582" s="299"/>
      <c r="O582" s="299"/>
      <c r="P582" s="299"/>
      <c r="Q582" s="299"/>
      <c r="R582" s="299"/>
      <c r="S582" s="299"/>
      <c r="T582" s="299"/>
      <c r="U582" s="299"/>
    </row>
    <row r="583">
      <c r="B583" s="3"/>
      <c r="D583" s="3"/>
      <c r="E583" s="300" t="s">
        <v>22</v>
      </c>
      <c r="F583" s="299"/>
      <c r="G583" s="299"/>
      <c r="H583" s="299"/>
      <c r="I583" s="299"/>
      <c r="J583" s="299"/>
      <c r="K583" s="299"/>
      <c r="L583" s="299"/>
      <c r="M583" s="299"/>
      <c r="N583" s="299"/>
      <c r="O583" s="299"/>
      <c r="P583" s="299"/>
      <c r="Q583" s="299"/>
      <c r="R583" s="299"/>
      <c r="S583" s="299"/>
      <c r="T583" s="299"/>
      <c r="U583" s="299"/>
    </row>
    <row r="584">
      <c r="B584" s="3"/>
      <c r="D584" s="3"/>
      <c r="E584" s="300" t="s">
        <v>22</v>
      </c>
      <c r="F584" s="299"/>
      <c r="G584" s="299"/>
      <c r="H584" s="299"/>
      <c r="I584" s="299"/>
      <c r="J584" s="299"/>
      <c r="K584" s="299"/>
      <c r="L584" s="299"/>
      <c r="M584" s="299"/>
      <c r="N584" s="299"/>
      <c r="O584" s="299"/>
      <c r="P584" s="299"/>
      <c r="Q584" s="299"/>
      <c r="R584" s="299"/>
      <c r="S584" s="299"/>
      <c r="T584" s="299"/>
      <c r="U584" s="299"/>
    </row>
    <row r="585">
      <c r="B585" s="3"/>
      <c r="D585" s="3"/>
      <c r="E585" s="300" t="s">
        <v>22</v>
      </c>
      <c r="F585" s="299"/>
      <c r="G585" s="299"/>
      <c r="H585" s="299"/>
      <c r="I585" s="299"/>
      <c r="J585" s="299"/>
      <c r="K585" s="299"/>
      <c r="L585" s="299"/>
      <c r="M585" s="299"/>
      <c r="N585" s="299"/>
      <c r="O585" s="299"/>
      <c r="P585" s="299"/>
      <c r="Q585" s="299"/>
      <c r="R585" s="299"/>
      <c r="S585" s="299"/>
      <c r="T585" s="299"/>
      <c r="U585" s="299"/>
    </row>
    <row r="586">
      <c r="B586" s="3"/>
      <c r="D586" s="3"/>
      <c r="E586" s="300" t="s">
        <v>22</v>
      </c>
      <c r="F586" s="299"/>
      <c r="G586" s="299"/>
      <c r="H586" s="299"/>
      <c r="I586" s="299"/>
      <c r="J586" s="299"/>
      <c r="K586" s="299"/>
      <c r="L586" s="299"/>
      <c r="M586" s="299"/>
      <c r="N586" s="299"/>
      <c r="O586" s="299"/>
      <c r="P586" s="299"/>
      <c r="Q586" s="299"/>
      <c r="R586" s="299"/>
      <c r="S586" s="299"/>
      <c r="T586" s="299"/>
      <c r="U586" s="299"/>
    </row>
    <row r="587">
      <c r="B587" s="3"/>
      <c r="D587" s="3"/>
      <c r="E587" s="300" t="s">
        <v>22</v>
      </c>
      <c r="F587" s="299"/>
      <c r="G587" s="299"/>
      <c r="H587" s="299"/>
      <c r="I587" s="299"/>
      <c r="J587" s="299"/>
      <c r="K587" s="299"/>
      <c r="L587" s="299"/>
      <c r="M587" s="299"/>
      <c r="N587" s="299"/>
      <c r="O587" s="299"/>
      <c r="P587" s="299"/>
      <c r="Q587" s="299"/>
      <c r="R587" s="299"/>
      <c r="S587" s="299"/>
      <c r="T587" s="299"/>
      <c r="U587" s="299"/>
    </row>
    <row r="588">
      <c r="B588" s="3"/>
      <c r="D588" s="3"/>
      <c r="E588" s="300" t="s">
        <v>22</v>
      </c>
      <c r="F588" s="299"/>
      <c r="G588" s="299"/>
      <c r="H588" s="299"/>
      <c r="I588" s="299"/>
      <c r="J588" s="299"/>
      <c r="K588" s="299"/>
      <c r="L588" s="299"/>
      <c r="M588" s="299"/>
      <c r="N588" s="299"/>
      <c r="O588" s="299"/>
      <c r="P588" s="299"/>
      <c r="Q588" s="299"/>
      <c r="R588" s="299"/>
      <c r="S588" s="299"/>
      <c r="T588" s="299"/>
      <c r="U588" s="299"/>
    </row>
    <row r="589">
      <c r="B589" s="3"/>
      <c r="D589" s="3"/>
      <c r="E589" s="300" t="s">
        <v>22</v>
      </c>
      <c r="F589" s="299"/>
      <c r="G589" s="299"/>
      <c r="H589" s="299"/>
      <c r="I589" s="299"/>
      <c r="J589" s="299"/>
      <c r="K589" s="299"/>
      <c r="L589" s="299"/>
      <c r="M589" s="299"/>
      <c r="N589" s="299"/>
      <c r="O589" s="299"/>
      <c r="P589" s="299"/>
      <c r="Q589" s="299"/>
      <c r="R589" s="299"/>
      <c r="S589" s="299"/>
      <c r="T589" s="299"/>
      <c r="U589" s="299"/>
    </row>
    <row r="590">
      <c r="B590" s="3"/>
      <c r="D590" s="3"/>
      <c r="E590" s="300" t="s">
        <v>22</v>
      </c>
      <c r="F590" s="299"/>
      <c r="G590" s="299"/>
      <c r="H590" s="299"/>
      <c r="I590" s="299"/>
      <c r="J590" s="299"/>
      <c r="K590" s="299"/>
      <c r="L590" s="299"/>
      <c r="M590" s="299"/>
      <c r="N590" s="299"/>
      <c r="O590" s="299"/>
      <c r="P590" s="299"/>
      <c r="Q590" s="299"/>
      <c r="R590" s="299"/>
      <c r="S590" s="299"/>
      <c r="T590" s="299"/>
      <c r="U590" s="299"/>
    </row>
    <row r="591">
      <c r="B591" s="3"/>
      <c r="D591" s="3"/>
      <c r="E591" s="300" t="s">
        <v>22</v>
      </c>
      <c r="F591" s="299"/>
      <c r="G591" s="299"/>
      <c r="H591" s="299"/>
      <c r="I591" s="299"/>
      <c r="J591" s="299"/>
      <c r="K591" s="299"/>
      <c r="L591" s="299"/>
      <c r="M591" s="299"/>
      <c r="N591" s="299"/>
      <c r="O591" s="299"/>
      <c r="P591" s="299"/>
      <c r="Q591" s="299"/>
      <c r="R591" s="299"/>
      <c r="S591" s="299"/>
      <c r="T591" s="299"/>
      <c r="U591" s="299"/>
    </row>
    <row r="592">
      <c r="B592" s="3"/>
      <c r="D592" s="3"/>
      <c r="E592" s="300" t="s">
        <v>22</v>
      </c>
      <c r="F592" s="299"/>
      <c r="G592" s="299"/>
      <c r="H592" s="299"/>
      <c r="I592" s="299"/>
      <c r="J592" s="299"/>
      <c r="K592" s="299"/>
      <c r="L592" s="299"/>
      <c r="M592" s="299"/>
      <c r="N592" s="299"/>
      <c r="O592" s="299"/>
      <c r="P592" s="299"/>
      <c r="Q592" s="299"/>
      <c r="R592" s="299"/>
      <c r="S592" s="299"/>
      <c r="T592" s="299"/>
      <c r="U592" s="299"/>
    </row>
    <row r="593">
      <c r="B593" s="3"/>
      <c r="D593" s="3"/>
      <c r="E593" s="300" t="s">
        <v>22</v>
      </c>
      <c r="F593" s="299"/>
      <c r="G593" s="299"/>
      <c r="H593" s="299"/>
      <c r="I593" s="299"/>
      <c r="J593" s="299"/>
      <c r="K593" s="299"/>
      <c r="L593" s="299"/>
      <c r="M593" s="299"/>
      <c r="N593" s="299"/>
      <c r="O593" s="299"/>
      <c r="P593" s="299"/>
      <c r="Q593" s="299"/>
      <c r="R593" s="299"/>
      <c r="S593" s="299"/>
      <c r="T593" s="299"/>
      <c r="U593" s="299"/>
    </row>
    <row r="594">
      <c r="B594" s="3"/>
      <c r="D594" s="3"/>
      <c r="E594" s="300" t="s">
        <v>22</v>
      </c>
      <c r="F594" s="299"/>
      <c r="G594" s="299"/>
      <c r="H594" s="299"/>
      <c r="I594" s="299"/>
      <c r="J594" s="299"/>
      <c r="K594" s="299"/>
      <c r="L594" s="299"/>
      <c r="M594" s="299"/>
      <c r="N594" s="299"/>
      <c r="O594" s="299"/>
      <c r="P594" s="299"/>
      <c r="Q594" s="299"/>
      <c r="R594" s="299"/>
      <c r="S594" s="299"/>
      <c r="T594" s="299"/>
      <c r="U594" s="299"/>
    </row>
    <row r="595">
      <c r="B595" s="3"/>
      <c r="D595" s="3"/>
      <c r="E595" s="300" t="s">
        <v>22</v>
      </c>
      <c r="F595" s="299"/>
      <c r="G595" s="299"/>
      <c r="H595" s="299"/>
      <c r="I595" s="299"/>
      <c r="J595" s="299"/>
      <c r="K595" s="299"/>
      <c r="L595" s="299"/>
      <c r="M595" s="299"/>
      <c r="N595" s="299"/>
      <c r="O595" s="299"/>
      <c r="P595" s="299"/>
      <c r="Q595" s="299"/>
      <c r="R595" s="299"/>
      <c r="S595" s="299"/>
      <c r="T595" s="299"/>
      <c r="U595" s="299"/>
    </row>
    <row r="596">
      <c r="B596" s="3"/>
      <c r="D596" s="3"/>
      <c r="E596" s="300" t="s">
        <v>22</v>
      </c>
      <c r="F596" s="299"/>
      <c r="G596" s="299"/>
      <c r="H596" s="299"/>
      <c r="I596" s="299"/>
      <c r="J596" s="299"/>
      <c r="K596" s="299"/>
      <c r="L596" s="299"/>
      <c r="M596" s="299"/>
      <c r="N596" s="299"/>
      <c r="O596" s="299"/>
      <c r="P596" s="299"/>
      <c r="Q596" s="299"/>
      <c r="R596" s="299"/>
      <c r="S596" s="299"/>
      <c r="T596" s="299"/>
      <c r="U596" s="299"/>
    </row>
    <row r="597">
      <c r="B597" s="3"/>
      <c r="D597" s="3"/>
      <c r="E597" s="300" t="s">
        <v>22</v>
      </c>
      <c r="F597" s="299"/>
      <c r="G597" s="299"/>
      <c r="H597" s="299"/>
      <c r="I597" s="299"/>
      <c r="J597" s="299"/>
      <c r="K597" s="299"/>
      <c r="L597" s="299"/>
      <c r="M597" s="299"/>
      <c r="N597" s="299"/>
      <c r="O597" s="299"/>
      <c r="P597" s="299"/>
      <c r="Q597" s="299"/>
      <c r="R597" s="299"/>
      <c r="S597" s="299"/>
      <c r="T597" s="299"/>
      <c r="U597" s="299"/>
    </row>
    <row r="598">
      <c r="B598" s="3"/>
      <c r="D598" s="3"/>
      <c r="E598" s="300" t="s">
        <v>22</v>
      </c>
      <c r="F598" s="299"/>
      <c r="G598" s="299"/>
      <c r="H598" s="299"/>
      <c r="I598" s="299"/>
      <c r="J598" s="299"/>
      <c r="K598" s="299"/>
      <c r="L598" s="299"/>
      <c r="M598" s="299"/>
      <c r="N598" s="299"/>
      <c r="O598" s="299"/>
      <c r="P598" s="299"/>
      <c r="Q598" s="299"/>
      <c r="R598" s="299"/>
      <c r="S598" s="299"/>
      <c r="T598" s="299"/>
      <c r="U598" s="299"/>
    </row>
    <row r="599">
      <c r="B599" s="3"/>
      <c r="D599" s="3"/>
      <c r="E599" s="300" t="s">
        <v>22</v>
      </c>
      <c r="F599" s="299"/>
      <c r="G599" s="299"/>
      <c r="H599" s="299"/>
      <c r="I599" s="299"/>
      <c r="J599" s="299"/>
      <c r="K599" s="299"/>
      <c r="L599" s="299"/>
      <c r="M599" s="299"/>
      <c r="N599" s="299"/>
      <c r="O599" s="299"/>
      <c r="P599" s="299"/>
      <c r="Q599" s="299"/>
      <c r="R599" s="299"/>
      <c r="S599" s="299"/>
      <c r="T599" s="299"/>
      <c r="U599" s="299"/>
    </row>
    <row r="600">
      <c r="B600" s="3"/>
      <c r="D600" s="3"/>
      <c r="E600" s="300" t="s">
        <v>22</v>
      </c>
      <c r="F600" s="299"/>
      <c r="G600" s="299"/>
      <c r="H600" s="299"/>
      <c r="I600" s="299"/>
      <c r="J600" s="299"/>
      <c r="K600" s="299"/>
      <c r="L600" s="299"/>
      <c r="M600" s="299"/>
      <c r="N600" s="299"/>
      <c r="O600" s="299"/>
      <c r="P600" s="299"/>
      <c r="Q600" s="299"/>
      <c r="R600" s="299"/>
      <c r="S600" s="299"/>
      <c r="T600" s="299"/>
      <c r="U600" s="299"/>
    </row>
    <row r="601">
      <c r="B601" s="3"/>
      <c r="D601" s="3"/>
      <c r="E601" s="300" t="s">
        <v>22</v>
      </c>
      <c r="F601" s="299"/>
      <c r="G601" s="299"/>
      <c r="H601" s="299"/>
      <c r="I601" s="299"/>
      <c r="J601" s="299"/>
      <c r="K601" s="299"/>
      <c r="L601" s="299"/>
      <c r="M601" s="299"/>
      <c r="N601" s="299"/>
      <c r="O601" s="299"/>
      <c r="P601" s="299"/>
      <c r="Q601" s="299"/>
      <c r="R601" s="299"/>
      <c r="S601" s="299"/>
      <c r="T601" s="299"/>
      <c r="U601" s="299"/>
    </row>
    <row r="602">
      <c r="B602" s="3"/>
      <c r="D602" s="3"/>
      <c r="E602" s="300" t="s">
        <v>22</v>
      </c>
      <c r="F602" s="299"/>
      <c r="G602" s="299"/>
      <c r="H602" s="299"/>
      <c r="I602" s="299"/>
      <c r="J602" s="299"/>
      <c r="K602" s="299"/>
      <c r="L602" s="299"/>
      <c r="M602" s="299"/>
      <c r="N602" s="299"/>
      <c r="O602" s="299"/>
      <c r="P602" s="299"/>
      <c r="Q602" s="299"/>
      <c r="R602" s="299"/>
      <c r="S602" s="299"/>
      <c r="T602" s="299"/>
      <c r="U602" s="299"/>
    </row>
    <row r="603">
      <c r="B603" s="3"/>
      <c r="D603" s="3"/>
      <c r="E603" s="300" t="s">
        <v>22</v>
      </c>
      <c r="F603" s="299"/>
      <c r="G603" s="299"/>
      <c r="H603" s="299"/>
      <c r="I603" s="299"/>
      <c r="J603" s="299"/>
      <c r="K603" s="299"/>
      <c r="L603" s="299"/>
      <c r="M603" s="299"/>
      <c r="N603" s="299"/>
      <c r="O603" s="299"/>
      <c r="P603" s="299"/>
      <c r="Q603" s="299"/>
      <c r="R603" s="299"/>
      <c r="S603" s="299"/>
      <c r="T603" s="299"/>
      <c r="U603" s="299"/>
    </row>
    <row r="604">
      <c r="B604" s="3"/>
      <c r="D604" s="3"/>
      <c r="E604" s="300" t="s">
        <v>22</v>
      </c>
      <c r="F604" s="299"/>
      <c r="G604" s="299"/>
      <c r="H604" s="299"/>
      <c r="I604" s="299"/>
      <c r="J604" s="299"/>
      <c r="K604" s="299"/>
      <c r="L604" s="299"/>
      <c r="M604" s="299"/>
      <c r="N604" s="299"/>
      <c r="O604" s="299"/>
      <c r="P604" s="299"/>
      <c r="Q604" s="299"/>
      <c r="R604" s="299"/>
      <c r="S604" s="299"/>
      <c r="T604" s="299"/>
      <c r="U604" s="299"/>
    </row>
    <row r="605">
      <c r="B605" s="3"/>
      <c r="D605" s="3"/>
      <c r="E605" s="300" t="s">
        <v>22</v>
      </c>
      <c r="F605" s="299"/>
      <c r="G605" s="299"/>
      <c r="H605" s="299"/>
      <c r="I605" s="299"/>
      <c r="J605" s="299"/>
      <c r="K605" s="299"/>
      <c r="L605" s="299"/>
      <c r="M605" s="299"/>
      <c r="N605" s="299"/>
      <c r="O605" s="299"/>
      <c r="P605" s="299"/>
      <c r="Q605" s="299"/>
      <c r="R605" s="299"/>
      <c r="S605" s="299"/>
      <c r="T605" s="299"/>
      <c r="U605" s="299"/>
    </row>
    <row r="606">
      <c r="B606" s="3"/>
      <c r="D606" s="3"/>
      <c r="E606" s="300" t="s">
        <v>22</v>
      </c>
      <c r="F606" s="299"/>
      <c r="G606" s="299"/>
      <c r="H606" s="299"/>
      <c r="I606" s="299"/>
      <c r="J606" s="299"/>
      <c r="K606" s="299"/>
      <c r="L606" s="299"/>
      <c r="M606" s="299"/>
      <c r="N606" s="299"/>
      <c r="O606" s="299"/>
      <c r="P606" s="299"/>
      <c r="Q606" s="299"/>
      <c r="R606" s="299"/>
      <c r="S606" s="299"/>
      <c r="T606" s="299"/>
      <c r="U606" s="299"/>
    </row>
    <row r="607">
      <c r="B607" s="3"/>
      <c r="D607" s="3"/>
      <c r="E607" s="300" t="s">
        <v>22</v>
      </c>
      <c r="F607" s="299"/>
      <c r="G607" s="299"/>
      <c r="H607" s="299"/>
      <c r="I607" s="299"/>
      <c r="J607" s="299"/>
      <c r="K607" s="299"/>
      <c r="L607" s="299"/>
      <c r="M607" s="299"/>
      <c r="N607" s="299"/>
      <c r="O607" s="299"/>
      <c r="P607" s="299"/>
      <c r="Q607" s="299"/>
      <c r="R607" s="299"/>
      <c r="S607" s="299"/>
      <c r="T607" s="299"/>
      <c r="U607" s="299"/>
    </row>
    <row r="608">
      <c r="B608" s="3"/>
      <c r="D608" s="3"/>
      <c r="E608" s="300" t="s">
        <v>22</v>
      </c>
      <c r="F608" s="299"/>
      <c r="G608" s="299"/>
      <c r="H608" s="299"/>
      <c r="I608" s="299"/>
      <c r="J608" s="299"/>
      <c r="K608" s="299"/>
      <c r="L608" s="299"/>
      <c r="M608" s="299"/>
      <c r="N608" s="299"/>
      <c r="O608" s="299"/>
      <c r="P608" s="299"/>
      <c r="Q608" s="299"/>
      <c r="R608" s="299"/>
      <c r="S608" s="299"/>
      <c r="T608" s="299"/>
      <c r="U608" s="299"/>
    </row>
    <row r="609">
      <c r="B609" s="3"/>
      <c r="D609" s="3"/>
      <c r="E609" s="300" t="s">
        <v>22</v>
      </c>
      <c r="F609" s="299"/>
      <c r="G609" s="299"/>
      <c r="H609" s="299"/>
      <c r="I609" s="299"/>
      <c r="J609" s="299"/>
      <c r="K609" s="299"/>
      <c r="L609" s="299"/>
      <c r="M609" s="299"/>
      <c r="N609" s="299"/>
      <c r="O609" s="299"/>
      <c r="P609" s="299"/>
      <c r="Q609" s="299"/>
      <c r="R609" s="299"/>
      <c r="S609" s="299"/>
      <c r="T609" s="299"/>
      <c r="U609" s="299"/>
    </row>
    <row r="610">
      <c r="B610" s="3"/>
      <c r="D610" s="3"/>
      <c r="E610" s="300" t="s">
        <v>22</v>
      </c>
      <c r="F610" s="299"/>
      <c r="G610" s="299"/>
      <c r="H610" s="299"/>
      <c r="I610" s="299"/>
      <c r="J610" s="299"/>
      <c r="K610" s="299"/>
      <c r="L610" s="299"/>
      <c r="M610" s="299"/>
      <c r="N610" s="299"/>
      <c r="O610" s="299"/>
      <c r="P610" s="299"/>
      <c r="Q610" s="299"/>
      <c r="R610" s="299"/>
      <c r="S610" s="299"/>
      <c r="T610" s="299"/>
      <c r="U610" s="299"/>
    </row>
    <row r="611">
      <c r="B611" s="3"/>
      <c r="D611" s="3"/>
      <c r="E611" s="300" t="s">
        <v>22</v>
      </c>
      <c r="F611" s="299"/>
      <c r="G611" s="299"/>
      <c r="H611" s="299"/>
      <c r="I611" s="299"/>
      <c r="J611" s="299"/>
      <c r="K611" s="299"/>
      <c r="L611" s="299"/>
      <c r="M611" s="299"/>
      <c r="N611" s="299"/>
      <c r="O611" s="299"/>
      <c r="P611" s="299"/>
      <c r="Q611" s="299"/>
      <c r="R611" s="299"/>
      <c r="S611" s="299"/>
      <c r="T611" s="299"/>
      <c r="U611" s="299"/>
    </row>
    <row r="612">
      <c r="B612" s="3"/>
      <c r="D612" s="3"/>
      <c r="E612" s="300" t="s">
        <v>22</v>
      </c>
      <c r="F612" s="299"/>
      <c r="G612" s="299"/>
      <c r="H612" s="299"/>
      <c r="I612" s="299"/>
      <c r="J612" s="299"/>
      <c r="K612" s="299"/>
      <c r="L612" s="299"/>
      <c r="M612" s="299"/>
      <c r="N612" s="299"/>
      <c r="O612" s="299"/>
      <c r="P612" s="299"/>
      <c r="Q612" s="299"/>
      <c r="R612" s="299"/>
      <c r="S612" s="299"/>
      <c r="T612" s="299"/>
      <c r="U612" s="299"/>
    </row>
    <row r="613">
      <c r="B613" s="3"/>
      <c r="D613" s="3"/>
      <c r="E613" s="300" t="s">
        <v>22</v>
      </c>
      <c r="F613" s="299"/>
      <c r="G613" s="299"/>
      <c r="H613" s="299"/>
      <c r="I613" s="299"/>
      <c r="J613" s="299"/>
      <c r="K613" s="299"/>
      <c r="L613" s="299"/>
      <c r="M613" s="299"/>
      <c r="N613" s="299"/>
      <c r="O613" s="299"/>
      <c r="P613" s="299"/>
      <c r="Q613" s="299"/>
      <c r="R613" s="299"/>
      <c r="S613" s="299"/>
      <c r="T613" s="299"/>
      <c r="U613" s="299"/>
    </row>
    <row r="614">
      <c r="B614" s="3"/>
      <c r="D614" s="3"/>
      <c r="E614" s="300" t="s">
        <v>22</v>
      </c>
      <c r="F614" s="299"/>
      <c r="G614" s="299"/>
      <c r="H614" s="299"/>
      <c r="I614" s="299"/>
      <c r="J614" s="299"/>
      <c r="K614" s="299"/>
      <c r="L614" s="299"/>
      <c r="M614" s="299"/>
      <c r="N614" s="299"/>
      <c r="O614" s="299"/>
      <c r="P614" s="299"/>
      <c r="Q614" s="299"/>
      <c r="R614" s="299"/>
      <c r="S614" s="299"/>
      <c r="T614" s="299"/>
      <c r="U614" s="299"/>
    </row>
    <row r="615">
      <c r="B615" s="3"/>
      <c r="D615" s="3"/>
      <c r="E615" s="300" t="s">
        <v>22</v>
      </c>
      <c r="F615" s="299"/>
      <c r="G615" s="299"/>
      <c r="H615" s="299"/>
      <c r="I615" s="299"/>
      <c r="J615" s="299"/>
      <c r="K615" s="299"/>
      <c r="L615" s="299"/>
      <c r="M615" s="299"/>
      <c r="N615" s="299"/>
      <c r="O615" s="299"/>
      <c r="P615" s="299"/>
      <c r="Q615" s="299"/>
      <c r="R615" s="299"/>
      <c r="S615" s="299"/>
      <c r="T615" s="299"/>
      <c r="U615" s="299"/>
    </row>
    <row r="616">
      <c r="B616" s="3"/>
      <c r="D616" s="3"/>
      <c r="E616" s="300" t="s">
        <v>22</v>
      </c>
      <c r="F616" s="299"/>
      <c r="G616" s="299"/>
      <c r="H616" s="299"/>
      <c r="I616" s="299"/>
      <c r="J616" s="299"/>
      <c r="K616" s="299"/>
      <c r="L616" s="299"/>
      <c r="M616" s="299"/>
      <c r="N616" s="299"/>
      <c r="O616" s="299"/>
      <c r="P616" s="299"/>
      <c r="Q616" s="299"/>
      <c r="R616" s="299"/>
      <c r="S616" s="299"/>
      <c r="T616" s="299"/>
      <c r="U616" s="299"/>
    </row>
    <row r="617">
      <c r="B617" s="3"/>
      <c r="D617" s="3"/>
      <c r="E617" s="300" t="s">
        <v>22</v>
      </c>
      <c r="F617" s="299"/>
      <c r="G617" s="299"/>
      <c r="H617" s="299"/>
      <c r="I617" s="299"/>
      <c r="J617" s="299"/>
      <c r="K617" s="299"/>
      <c r="L617" s="299"/>
      <c r="M617" s="299"/>
      <c r="N617" s="299"/>
      <c r="O617" s="299"/>
      <c r="P617" s="299"/>
      <c r="Q617" s="299"/>
      <c r="R617" s="299"/>
      <c r="S617" s="299"/>
      <c r="T617" s="299"/>
      <c r="U617" s="299"/>
    </row>
    <row r="618">
      <c r="B618" s="3"/>
      <c r="D618" s="3"/>
      <c r="E618" s="300" t="s">
        <v>22</v>
      </c>
      <c r="F618" s="299"/>
      <c r="G618" s="299"/>
      <c r="H618" s="299"/>
      <c r="I618" s="299"/>
      <c r="J618" s="299"/>
      <c r="K618" s="299"/>
      <c r="L618" s="299"/>
      <c r="M618" s="299"/>
      <c r="N618" s="299"/>
      <c r="O618" s="299"/>
      <c r="P618" s="299"/>
      <c r="Q618" s="299"/>
      <c r="R618" s="299"/>
      <c r="S618" s="299"/>
      <c r="T618" s="299"/>
      <c r="U618" s="299"/>
    </row>
    <row r="619">
      <c r="B619" s="3"/>
      <c r="D619" s="3"/>
      <c r="E619" s="300" t="s">
        <v>22</v>
      </c>
      <c r="F619" s="299"/>
      <c r="G619" s="299"/>
      <c r="H619" s="299"/>
      <c r="I619" s="299"/>
      <c r="J619" s="299"/>
      <c r="K619" s="299"/>
      <c r="L619" s="299"/>
      <c r="M619" s="299"/>
      <c r="N619" s="299"/>
      <c r="O619" s="299"/>
      <c r="P619" s="299"/>
      <c r="Q619" s="299"/>
      <c r="R619" s="299"/>
      <c r="S619" s="299"/>
      <c r="T619" s="299"/>
      <c r="U619" s="299"/>
    </row>
    <row r="620">
      <c r="B620" s="3"/>
      <c r="D620" s="3"/>
      <c r="E620" s="300" t="s">
        <v>22</v>
      </c>
      <c r="F620" s="299"/>
      <c r="G620" s="299"/>
      <c r="H620" s="299"/>
      <c r="I620" s="299"/>
      <c r="J620" s="299"/>
      <c r="K620" s="299"/>
      <c r="L620" s="299"/>
      <c r="M620" s="299"/>
      <c r="N620" s="299"/>
      <c r="O620" s="299"/>
      <c r="P620" s="299"/>
      <c r="Q620" s="299"/>
      <c r="R620" s="299"/>
      <c r="S620" s="299"/>
      <c r="T620" s="299"/>
      <c r="U620" s="299"/>
    </row>
    <row r="621">
      <c r="B621" s="3"/>
      <c r="D621" s="3"/>
      <c r="E621" s="300" t="s">
        <v>22</v>
      </c>
      <c r="F621" s="299"/>
      <c r="G621" s="299"/>
      <c r="H621" s="299"/>
      <c r="I621" s="299"/>
      <c r="J621" s="299"/>
      <c r="K621" s="299"/>
      <c r="L621" s="299"/>
      <c r="M621" s="299"/>
      <c r="N621" s="299"/>
      <c r="O621" s="299"/>
      <c r="P621" s="299"/>
      <c r="Q621" s="299"/>
      <c r="R621" s="299"/>
      <c r="S621" s="299"/>
      <c r="T621" s="299"/>
      <c r="U621" s="299"/>
    </row>
    <row r="622">
      <c r="B622" s="3"/>
      <c r="D622" s="3"/>
      <c r="E622" s="300" t="s">
        <v>22</v>
      </c>
      <c r="F622" s="299"/>
      <c r="G622" s="299"/>
      <c r="H622" s="299"/>
      <c r="I622" s="299"/>
      <c r="J622" s="299"/>
      <c r="K622" s="299"/>
      <c r="L622" s="299"/>
      <c r="M622" s="299"/>
      <c r="N622" s="299"/>
      <c r="O622" s="299"/>
      <c r="P622" s="299"/>
      <c r="Q622" s="299"/>
      <c r="R622" s="299"/>
      <c r="S622" s="299"/>
      <c r="T622" s="299"/>
      <c r="U622" s="299"/>
    </row>
    <row r="623">
      <c r="B623" s="3"/>
      <c r="D623" s="3"/>
      <c r="E623" s="300" t="s">
        <v>22</v>
      </c>
      <c r="F623" s="299"/>
      <c r="G623" s="299"/>
      <c r="H623" s="299"/>
      <c r="I623" s="299"/>
      <c r="J623" s="299"/>
      <c r="K623" s="299"/>
      <c r="L623" s="299"/>
      <c r="M623" s="299"/>
      <c r="N623" s="299"/>
      <c r="O623" s="299"/>
      <c r="P623" s="299"/>
      <c r="Q623" s="299"/>
      <c r="R623" s="299"/>
      <c r="S623" s="299"/>
      <c r="T623" s="299"/>
      <c r="U623" s="299"/>
    </row>
    <row r="624">
      <c r="B624" s="3"/>
      <c r="D624" s="3"/>
      <c r="E624" s="300" t="s">
        <v>22</v>
      </c>
      <c r="F624" s="299"/>
      <c r="G624" s="299"/>
      <c r="H624" s="299"/>
      <c r="I624" s="299"/>
      <c r="J624" s="299"/>
      <c r="K624" s="299"/>
      <c r="L624" s="299"/>
      <c r="M624" s="299"/>
      <c r="N624" s="299"/>
      <c r="O624" s="299"/>
      <c r="P624" s="299"/>
      <c r="Q624" s="299"/>
      <c r="R624" s="299"/>
      <c r="S624" s="299"/>
      <c r="T624" s="299"/>
      <c r="U624" s="299"/>
    </row>
    <row r="625">
      <c r="B625" s="3"/>
      <c r="D625" s="3"/>
      <c r="E625" s="300" t="s">
        <v>22</v>
      </c>
      <c r="F625" s="299"/>
      <c r="G625" s="299"/>
      <c r="H625" s="299"/>
      <c r="I625" s="299"/>
      <c r="J625" s="299"/>
      <c r="K625" s="299"/>
      <c r="L625" s="299"/>
      <c r="M625" s="299"/>
      <c r="N625" s="299"/>
      <c r="O625" s="299"/>
      <c r="P625" s="299"/>
      <c r="Q625" s="299"/>
      <c r="R625" s="299"/>
      <c r="S625" s="299"/>
      <c r="T625" s="299"/>
      <c r="U625" s="299"/>
    </row>
    <row r="626">
      <c r="B626" s="3"/>
      <c r="D626" s="3"/>
      <c r="E626" s="300" t="s">
        <v>22</v>
      </c>
      <c r="F626" s="299"/>
      <c r="G626" s="299"/>
      <c r="H626" s="299"/>
      <c r="I626" s="299"/>
      <c r="J626" s="299"/>
      <c r="K626" s="299"/>
      <c r="L626" s="299"/>
      <c r="M626" s="299"/>
      <c r="N626" s="299"/>
      <c r="O626" s="299"/>
      <c r="P626" s="299"/>
      <c r="Q626" s="299"/>
      <c r="R626" s="299"/>
      <c r="S626" s="299"/>
      <c r="T626" s="299"/>
      <c r="U626" s="299"/>
    </row>
    <row r="627">
      <c r="B627" s="3"/>
      <c r="D627" s="3"/>
      <c r="E627" s="300" t="s">
        <v>22</v>
      </c>
      <c r="F627" s="299"/>
      <c r="G627" s="299"/>
      <c r="H627" s="299"/>
      <c r="I627" s="299"/>
      <c r="J627" s="299"/>
      <c r="K627" s="299"/>
      <c r="L627" s="299"/>
      <c r="M627" s="299"/>
      <c r="N627" s="299"/>
      <c r="O627" s="299"/>
      <c r="P627" s="299"/>
      <c r="Q627" s="299"/>
      <c r="R627" s="299"/>
      <c r="S627" s="299"/>
      <c r="T627" s="299"/>
      <c r="U627" s="299"/>
    </row>
    <row r="628">
      <c r="B628" s="3"/>
      <c r="D628" s="3"/>
      <c r="E628" s="300" t="s">
        <v>22</v>
      </c>
      <c r="F628" s="299"/>
      <c r="G628" s="299"/>
      <c r="H628" s="299"/>
      <c r="I628" s="299"/>
      <c r="J628" s="299"/>
      <c r="K628" s="299"/>
      <c r="L628" s="299"/>
      <c r="M628" s="299"/>
      <c r="N628" s="299"/>
      <c r="O628" s="299"/>
      <c r="P628" s="299"/>
      <c r="Q628" s="299"/>
      <c r="R628" s="299"/>
      <c r="S628" s="299"/>
      <c r="T628" s="299"/>
      <c r="U628" s="299"/>
    </row>
    <row r="629">
      <c r="B629" s="3"/>
      <c r="D629" s="3"/>
      <c r="E629" s="300" t="s">
        <v>22</v>
      </c>
      <c r="F629" s="299"/>
      <c r="G629" s="299"/>
      <c r="H629" s="299"/>
      <c r="I629" s="299"/>
      <c r="J629" s="299"/>
      <c r="K629" s="299"/>
      <c r="L629" s="299"/>
      <c r="M629" s="299"/>
      <c r="N629" s="299"/>
      <c r="O629" s="299"/>
      <c r="P629" s="299"/>
      <c r="Q629" s="299"/>
      <c r="R629" s="299"/>
      <c r="S629" s="299"/>
      <c r="T629" s="299"/>
      <c r="U629" s="299"/>
    </row>
    <row r="630">
      <c r="B630" s="3"/>
      <c r="D630" s="3"/>
      <c r="E630" s="300" t="s">
        <v>22</v>
      </c>
      <c r="F630" s="299"/>
      <c r="G630" s="299"/>
      <c r="H630" s="299"/>
      <c r="I630" s="299"/>
      <c r="J630" s="299"/>
      <c r="K630" s="299"/>
      <c r="L630" s="299"/>
      <c r="M630" s="299"/>
      <c r="N630" s="299"/>
      <c r="O630" s="299"/>
      <c r="P630" s="299"/>
      <c r="Q630" s="299"/>
      <c r="R630" s="299"/>
      <c r="S630" s="299"/>
      <c r="T630" s="299"/>
      <c r="U630" s="299"/>
    </row>
    <row r="631">
      <c r="B631" s="3"/>
      <c r="D631" s="3"/>
      <c r="E631" s="300" t="s">
        <v>22</v>
      </c>
      <c r="F631" s="299"/>
      <c r="G631" s="299"/>
      <c r="H631" s="299"/>
      <c r="I631" s="299"/>
      <c r="J631" s="299"/>
      <c r="K631" s="299"/>
      <c r="L631" s="299"/>
      <c r="M631" s="299"/>
      <c r="N631" s="299"/>
      <c r="O631" s="299"/>
      <c r="P631" s="299"/>
      <c r="Q631" s="299"/>
      <c r="R631" s="299"/>
      <c r="S631" s="299"/>
      <c r="T631" s="299"/>
      <c r="U631" s="299"/>
    </row>
    <row r="632">
      <c r="B632" s="3"/>
      <c r="D632" s="3"/>
      <c r="E632" s="300" t="s">
        <v>22</v>
      </c>
      <c r="F632" s="299"/>
      <c r="G632" s="299"/>
      <c r="H632" s="299"/>
      <c r="I632" s="299"/>
      <c r="J632" s="299"/>
      <c r="K632" s="299"/>
      <c r="L632" s="299"/>
      <c r="M632" s="299"/>
      <c r="N632" s="299"/>
      <c r="O632" s="299"/>
      <c r="P632" s="299"/>
      <c r="Q632" s="299"/>
      <c r="R632" s="299"/>
      <c r="S632" s="299"/>
      <c r="T632" s="299"/>
      <c r="U632" s="299"/>
    </row>
    <row r="633">
      <c r="B633" s="3"/>
      <c r="D633" s="3"/>
      <c r="E633" s="300" t="s">
        <v>22</v>
      </c>
      <c r="F633" s="299"/>
      <c r="G633" s="299"/>
      <c r="H633" s="299"/>
      <c r="I633" s="299"/>
      <c r="J633" s="299"/>
      <c r="K633" s="299"/>
      <c r="L633" s="299"/>
      <c r="M633" s="299"/>
      <c r="N633" s="299"/>
      <c r="O633" s="299"/>
      <c r="P633" s="299"/>
      <c r="Q633" s="299"/>
      <c r="R633" s="299"/>
      <c r="S633" s="299"/>
      <c r="T633" s="299"/>
      <c r="U633" s="299"/>
    </row>
    <row r="634">
      <c r="B634" s="3"/>
      <c r="D634" s="3"/>
      <c r="E634" s="300" t="s">
        <v>22</v>
      </c>
      <c r="F634" s="299"/>
      <c r="G634" s="299"/>
      <c r="H634" s="299"/>
      <c r="I634" s="299"/>
      <c r="J634" s="299"/>
      <c r="K634" s="299"/>
      <c r="L634" s="299"/>
      <c r="M634" s="299"/>
      <c r="N634" s="299"/>
      <c r="O634" s="299"/>
      <c r="P634" s="299"/>
      <c r="Q634" s="299"/>
      <c r="R634" s="299"/>
      <c r="S634" s="299"/>
      <c r="T634" s="299"/>
      <c r="U634" s="299"/>
    </row>
    <row r="635">
      <c r="B635" s="3"/>
      <c r="D635" s="3"/>
      <c r="E635" s="300" t="s">
        <v>22</v>
      </c>
      <c r="F635" s="299"/>
      <c r="G635" s="299"/>
      <c r="H635" s="299"/>
      <c r="I635" s="299"/>
      <c r="J635" s="299"/>
      <c r="K635" s="299"/>
      <c r="L635" s="299"/>
      <c r="M635" s="299"/>
      <c r="N635" s="299"/>
      <c r="O635" s="299"/>
      <c r="P635" s="299"/>
      <c r="Q635" s="299"/>
      <c r="R635" s="299"/>
      <c r="S635" s="299"/>
      <c r="T635" s="299"/>
      <c r="U635" s="299"/>
    </row>
    <row r="636">
      <c r="B636" s="3"/>
      <c r="D636" s="3"/>
      <c r="E636" s="300" t="s">
        <v>22</v>
      </c>
      <c r="F636" s="299"/>
      <c r="G636" s="299"/>
      <c r="H636" s="299"/>
      <c r="I636" s="299"/>
      <c r="J636" s="299"/>
      <c r="K636" s="299"/>
      <c r="L636" s="299"/>
      <c r="M636" s="299"/>
      <c r="N636" s="299"/>
      <c r="O636" s="299"/>
      <c r="P636" s="299"/>
      <c r="Q636" s="299"/>
      <c r="R636" s="299"/>
      <c r="S636" s="299"/>
      <c r="T636" s="299"/>
      <c r="U636" s="299"/>
    </row>
    <row r="637">
      <c r="B637" s="3"/>
      <c r="D637" s="3"/>
      <c r="E637" s="300" t="s">
        <v>22</v>
      </c>
      <c r="F637" s="299"/>
      <c r="G637" s="299"/>
      <c r="H637" s="299"/>
      <c r="I637" s="299"/>
      <c r="J637" s="299"/>
      <c r="K637" s="299"/>
      <c r="L637" s="299"/>
      <c r="M637" s="299"/>
      <c r="N637" s="299"/>
      <c r="O637" s="299"/>
      <c r="P637" s="299"/>
      <c r="Q637" s="299"/>
      <c r="R637" s="299"/>
      <c r="S637" s="299"/>
      <c r="T637" s="299"/>
      <c r="U637" s="299"/>
    </row>
    <row r="638">
      <c r="B638" s="3"/>
      <c r="D638" s="3"/>
      <c r="E638" s="300" t="s">
        <v>22</v>
      </c>
      <c r="F638" s="299"/>
      <c r="G638" s="299"/>
      <c r="H638" s="299"/>
      <c r="I638" s="299"/>
      <c r="J638" s="299"/>
      <c r="K638" s="299"/>
      <c r="L638" s="299"/>
      <c r="M638" s="299"/>
      <c r="N638" s="299"/>
      <c r="O638" s="299"/>
      <c r="P638" s="299"/>
      <c r="Q638" s="299"/>
      <c r="R638" s="299"/>
      <c r="S638" s="299"/>
      <c r="T638" s="299"/>
      <c r="U638" s="299"/>
    </row>
    <row r="639">
      <c r="B639" s="3"/>
      <c r="D639" s="3"/>
      <c r="E639" s="300" t="s">
        <v>22</v>
      </c>
      <c r="F639" s="299"/>
      <c r="G639" s="299"/>
      <c r="H639" s="299"/>
      <c r="I639" s="299"/>
      <c r="J639" s="299"/>
      <c r="K639" s="299"/>
      <c r="L639" s="299"/>
      <c r="M639" s="299"/>
      <c r="N639" s="299"/>
      <c r="O639" s="299"/>
      <c r="P639" s="299"/>
      <c r="Q639" s="299"/>
      <c r="R639" s="299"/>
      <c r="S639" s="299"/>
      <c r="T639" s="299"/>
      <c r="U639" s="299"/>
    </row>
    <row r="640">
      <c r="B640" s="3"/>
      <c r="D640" s="3"/>
      <c r="E640" s="300" t="s">
        <v>22</v>
      </c>
      <c r="F640" s="299"/>
      <c r="G640" s="299"/>
      <c r="H640" s="299"/>
      <c r="I640" s="299"/>
      <c r="J640" s="299"/>
      <c r="K640" s="299"/>
      <c r="L640" s="299"/>
      <c r="M640" s="299"/>
      <c r="N640" s="299"/>
      <c r="O640" s="299"/>
      <c r="P640" s="299"/>
      <c r="Q640" s="299"/>
      <c r="R640" s="299"/>
      <c r="S640" s="299"/>
      <c r="T640" s="299"/>
      <c r="U640" s="299"/>
    </row>
    <row r="641">
      <c r="B641" s="3"/>
      <c r="D641" s="3"/>
      <c r="E641" s="300" t="s">
        <v>22</v>
      </c>
      <c r="F641" s="299"/>
      <c r="G641" s="299"/>
      <c r="H641" s="299"/>
      <c r="I641" s="299"/>
      <c r="J641" s="299"/>
      <c r="K641" s="299"/>
      <c r="L641" s="299"/>
      <c r="M641" s="299"/>
      <c r="N641" s="299"/>
      <c r="O641" s="299"/>
      <c r="P641" s="299"/>
      <c r="Q641" s="299"/>
      <c r="R641" s="299"/>
      <c r="S641" s="299"/>
      <c r="T641" s="299"/>
      <c r="U641" s="299"/>
    </row>
    <row r="642">
      <c r="B642" s="3"/>
      <c r="D642" s="3"/>
      <c r="E642" s="300" t="s">
        <v>22</v>
      </c>
      <c r="F642" s="299"/>
      <c r="G642" s="299"/>
      <c r="H642" s="299"/>
      <c r="I642" s="299"/>
      <c r="J642" s="299"/>
      <c r="K642" s="299"/>
      <c r="L642" s="299"/>
      <c r="M642" s="299"/>
      <c r="N642" s="299"/>
      <c r="O642" s="299"/>
      <c r="P642" s="299"/>
      <c r="Q642" s="299"/>
      <c r="R642" s="299"/>
      <c r="S642" s="299"/>
      <c r="T642" s="299"/>
      <c r="U642" s="299"/>
    </row>
    <row r="643">
      <c r="B643" s="3"/>
      <c r="D643" s="3"/>
      <c r="E643" s="300" t="s">
        <v>22</v>
      </c>
      <c r="F643" s="299"/>
      <c r="G643" s="299"/>
      <c r="H643" s="299"/>
      <c r="I643" s="299"/>
      <c r="J643" s="299"/>
      <c r="K643" s="299"/>
      <c r="L643" s="299"/>
      <c r="M643" s="299"/>
      <c r="N643" s="299"/>
      <c r="O643" s="299"/>
      <c r="P643" s="299"/>
      <c r="Q643" s="299"/>
      <c r="R643" s="299"/>
      <c r="S643" s="299"/>
      <c r="T643" s="299"/>
      <c r="U643" s="299"/>
    </row>
    <row r="644">
      <c r="B644" s="3"/>
      <c r="D644" s="3"/>
      <c r="E644" s="300" t="s">
        <v>22</v>
      </c>
      <c r="F644" s="299"/>
      <c r="G644" s="299"/>
      <c r="H644" s="299"/>
      <c r="I644" s="299"/>
      <c r="J644" s="299"/>
      <c r="K644" s="299"/>
      <c r="L644" s="299"/>
      <c r="M644" s="299"/>
      <c r="N644" s="299"/>
      <c r="O644" s="299"/>
      <c r="P644" s="299"/>
      <c r="Q644" s="299"/>
      <c r="R644" s="299"/>
      <c r="S644" s="299"/>
      <c r="T644" s="299"/>
      <c r="U644" s="299"/>
    </row>
    <row r="645">
      <c r="B645" s="3"/>
      <c r="D645" s="3"/>
      <c r="E645" s="300" t="s">
        <v>22</v>
      </c>
      <c r="F645" s="299"/>
      <c r="G645" s="299"/>
      <c r="H645" s="299"/>
      <c r="I645" s="299"/>
      <c r="J645" s="299"/>
      <c r="K645" s="299"/>
      <c r="L645" s="299"/>
      <c r="M645" s="299"/>
      <c r="N645" s="299"/>
      <c r="O645" s="299"/>
      <c r="P645" s="299"/>
      <c r="Q645" s="299"/>
      <c r="R645" s="299"/>
      <c r="S645" s="299"/>
      <c r="T645" s="299"/>
      <c r="U645" s="299"/>
    </row>
    <row r="646">
      <c r="B646" s="3"/>
      <c r="D646" s="3"/>
      <c r="E646" s="300" t="s">
        <v>22</v>
      </c>
      <c r="F646" s="299"/>
      <c r="G646" s="299"/>
      <c r="H646" s="299"/>
      <c r="I646" s="299"/>
      <c r="J646" s="299"/>
      <c r="K646" s="299"/>
      <c r="L646" s="299"/>
      <c r="M646" s="299"/>
      <c r="N646" s="299"/>
      <c r="O646" s="299"/>
      <c r="P646" s="299"/>
      <c r="Q646" s="299"/>
      <c r="R646" s="299"/>
      <c r="S646" s="299"/>
      <c r="T646" s="299"/>
      <c r="U646" s="299"/>
    </row>
    <row r="647">
      <c r="B647" s="3"/>
      <c r="D647" s="3"/>
      <c r="E647" s="300" t="s">
        <v>22</v>
      </c>
      <c r="F647" s="299"/>
      <c r="G647" s="299"/>
      <c r="H647" s="299"/>
      <c r="I647" s="299"/>
      <c r="J647" s="299"/>
      <c r="K647" s="299"/>
      <c r="L647" s="299"/>
      <c r="M647" s="299"/>
      <c r="N647" s="299"/>
      <c r="O647" s="299"/>
      <c r="P647" s="299"/>
      <c r="Q647" s="299"/>
      <c r="R647" s="299"/>
      <c r="S647" s="299"/>
      <c r="T647" s="299"/>
      <c r="U647" s="299"/>
    </row>
    <row r="648">
      <c r="B648" s="3"/>
      <c r="D648" s="3"/>
      <c r="E648" s="300" t="s">
        <v>22</v>
      </c>
      <c r="F648" s="299"/>
      <c r="G648" s="299"/>
      <c r="H648" s="299"/>
      <c r="I648" s="299"/>
      <c r="J648" s="299"/>
      <c r="K648" s="299"/>
      <c r="L648" s="299"/>
      <c r="M648" s="299"/>
      <c r="N648" s="299"/>
      <c r="O648" s="299"/>
      <c r="P648" s="299"/>
      <c r="Q648" s="299"/>
      <c r="R648" s="299"/>
      <c r="S648" s="299"/>
      <c r="T648" s="299"/>
      <c r="U648" s="299"/>
    </row>
    <row r="649">
      <c r="B649" s="3"/>
      <c r="D649" s="3"/>
      <c r="E649" s="300" t="s">
        <v>22</v>
      </c>
      <c r="F649" s="299"/>
      <c r="G649" s="299"/>
      <c r="H649" s="299"/>
      <c r="I649" s="299"/>
      <c r="J649" s="299"/>
      <c r="K649" s="299"/>
      <c r="L649" s="299"/>
      <c r="M649" s="299"/>
      <c r="N649" s="299"/>
      <c r="O649" s="299"/>
      <c r="P649" s="299"/>
      <c r="Q649" s="299"/>
      <c r="R649" s="299"/>
      <c r="S649" s="299"/>
      <c r="T649" s="299"/>
      <c r="U649" s="299"/>
    </row>
    <row r="650">
      <c r="B650" s="3"/>
      <c r="D650" s="3"/>
      <c r="E650" s="300" t="s">
        <v>22</v>
      </c>
      <c r="F650" s="299"/>
      <c r="G650" s="299"/>
      <c r="H650" s="299"/>
      <c r="I650" s="299"/>
      <c r="J650" s="299"/>
      <c r="K650" s="299"/>
      <c r="L650" s="299"/>
      <c r="M650" s="299"/>
      <c r="N650" s="299"/>
      <c r="O650" s="299"/>
      <c r="P650" s="299"/>
      <c r="Q650" s="299"/>
      <c r="R650" s="299"/>
      <c r="S650" s="299"/>
      <c r="T650" s="299"/>
      <c r="U650" s="299"/>
    </row>
    <row r="651">
      <c r="B651" s="3"/>
      <c r="D651" s="3"/>
      <c r="E651" s="300" t="s">
        <v>22</v>
      </c>
      <c r="F651" s="299"/>
      <c r="G651" s="299"/>
      <c r="H651" s="299"/>
      <c r="I651" s="299"/>
      <c r="J651" s="299"/>
      <c r="K651" s="299"/>
      <c r="L651" s="299"/>
      <c r="M651" s="299"/>
      <c r="N651" s="299"/>
      <c r="O651" s="299"/>
      <c r="P651" s="299"/>
      <c r="Q651" s="299"/>
      <c r="R651" s="299"/>
      <c r="S651" s="299"/>
      <c r="T651" s="299"/>
      <c r="U651" s="299"/>
    </row>
    <row r="652">
      <c r="B652" s="3"/>
      <c r="D652" s="3"/>
      <c r="E652" s="300" t="s">
        <v>22</v>
      </c>
      <c r="F652" s="299"/>
      <c r="G652" s="299"/>
      <c r="H652" s="299"/>
      <c r="I652" s="299"/>
      <c r="J652" s="299"/>
      <c r="K652" s="299"/>
      <c r="L652" s="299"/>
      <c r="M652" s="299"/>
      <c r="N652" s="299"/>
      <c r="O652" s="299"/>
      <c r="P652" s="299"/>
      <c r="Q652" s="299"/>
      <c r="R652" s="299"/>
      <c r="S652" s="299"/>
      <c r="T652" s="299"/>
      <c r="U652" s="299"/>
    </row>
    <row r="653">
      <c r="B653" s="3"/>
      <c r="D653" s="3"/>
      <c r="E653" s="300" t="s">
        <v>22</v>
      </c>
      <c r="F653" s="299"/>
      <c r="G653" s="299"/>
      <c r="H653" s="299"/>
      <c r="I653" s="299"/>
      <c r="J653" s="299"/>
      <c r="K653" s="299"/>
      <c r="L653" s="299"/>
      <c r="M653" s="299"/>
      <c r="N653" s="299"/>
      <c r="O653" s="299"/>
      <c r="P653" s="299"/>
      <c r="Q653" s="299"/>
      <c r="R653" s="299"/>
      <c r="S653" s="299"/>
      <c r="T653" s="299"/>
      <c r="U653" s="299"/>
    </row>
    <row r="654">
      <c r="B654" s="3"/>
      <c r="D654" s="3"/>
      <c r="E654" s="300" t="s">
        <v>22</v>
      </c>
      <c r="F654" s="299"/>
      <c r="G654" s="299"/>
      <c r="H654" s="299"/>
      <c r="I654" s="299"/>
      <c r="J654" s="299"/>
      <c r="K654" s="299"/>
      <c r="L654" s="299"/>
      <c r="M654" s="299"/>
      <c r="N654" s="299"/>
      <c r="O654" s="299"/>
      <c r="P654" s="299"/>
      <c r="Q654" s="299"/>
      <c r="R654" s="299"/>
      <c r="S654" s="299"/>
      <c r="T654" s="299"/>
      <c r="U654" s="299"/>
    </row>
    <row r="655">
      <c r="B655" s="3"/>
      <c r="D655" s="3"/>
      <c r="E655" s="300" t="s">
        <v>22</v>
      </c>
      <c r="F655" s="299"/>
      <c r="G655" s="299"/>
      <c r="H655" s="299"/>
      <c r="I655" s="299"/>
      <c r="J655" s="299"/>
      <c r="K655" s="299"/>
      <c r="L655" s="299"/>
      <c r="M655" s="299"/>
      <c r="N655" s="299"/>
      <c r="O655" s="299"/>
      <c r="P655" s="299"/>
      <c r="Q655" s="299"/>
      <c r="R655" s="299"/>
      <c r="S655" s="299"/>
      <c r="T655" s="299"/>
      <c r="U655" s="299"/>
    </row>
    <row r="656">
      <c r="B656" s="3"/>
      <c r="D656" s="3"/>
      <c r="E656" s="300" t="s">
        <v>22</v>
      </c>
      <c r="F656" s="299"/>
      <c r="G656" s="299"/>
      <c r="H656" s="299"/>
      <c r="I656" s="299"/>
      <c r="J656" s="299"/>
      <c r="K656" s="299"/>
      <c r="L656" s="299"/>
      <c r="M656" s="299"/>
      <c r="N656" s="299"/>
      <c r="O656" s="299"/>
      <c r="P656" s="299"/>
      <c r="Q656" s="299"/>
      <c r="R656" s="299"/>
      <c r="S656" s="299"/>
      <c r="T656" s="299"/>
      <c r="U656" s="299"/>
    </row>
    <row r="657">
      <c r="B657" s="3"/>
      <c r="D657" s="3"/>
      <c r="E657" s="300" t="s">
        <v>22</v>
      </c>
      <c r="F657" s="299"/>
      <c r="G657" s="299"/>
      <c r="H657" s="299"/>
      <c r="I657" s="299"/>
      <c r="J657" s="299"/>
      <c r="K657" s="299"/>
      <c r="L657" s="299"/>
      <c r="M657" s="299"/>
      <c r="N657" s="299"/>
      <c r="O657" s="299"/>
      <c r="P657" s="299"/>
      <c r="Q657" s="299"/>
      <c r="R657" s="299"/>
      <c r="S657" s="299"/>
      <c r="T657" s="299"/>
      <c r="U657" s="299"/>
    </row>
    <row r="658">
      <c r="B658" s="3"/>
      <c r="D658" s="3"/>
      <c r="E658" s="300" t="s">
        <v>22</v>
      </c>
      <c r="F658" s="299"/>
      <c r="G658" s="299"/>
      <c r="H658" s="299"/>
      <c r="I658" s="299"/>
      <c r="J658" s="299"/>
      <c r="K658" s="299"/>
      <c r="L658" s="299"/>
      <c r="M658" s="299"/>
      <c r="N658" s="299"/>
      <c r="O658" s="299"/>
      <c r="P658" s="299"/>
      <c r="Q658" s="299"/>
      <c r="R658" s="299"/>
      <c r="S658" s="299"/>
      <c r="T658" s="299"/>
      <c r="U658" s="299"/>
    </row>
    <row r="659">
      <c r="B659" s="3"/>
      <c r="D659" s="3"/>
      <c r="E659" s="300" t="s">
        <v>22</v>
      </c>
      <c r="F659" s="299"/>
      <c r="G659" s="299"/>
      <c r="H659" s="299"/>
      <c r="I659" s="299"/>
      <c r="J659" s="299"/>
      <c r="K659" s="299"/>
      <c r="L659" s="299"/>
      <c r="M659" s="299"/>
      <c r="N659" s="299"/>
      <c r="O659" s="299"/>
      <c r="P659" s="299"/>
      <c r="Q659" s="299"/>
      <c r="R659" s="299"/>
      <c r="S659" s="299"/>
      <c r="T659" s="299"/>
      <c r="U659" s="299"/>
    </row>
    <row r="660">
      <c r="B660" s="3"/>
      <c r="D660" s="3"/>
      <c r="E660" s="300" t="s">
        <v>22</v>
      </c>
      <c r="F660" s="299"/>
      <c r="G660" s="299"/>
      <c r="H660" s="299"/>
      <c r="I660" s="299"/>
      <c r="J660" s="299"/>
      <c r="K660" s="299"/>
      <c r="L660" s="299"/>
      <c r="M660" s="299"/>
      <c r="N660" s="299"/>
      <c r="O660" s="299"/>
      <c r="P660" s="299"/>
      <c r="Q660" s="299"/>
      <c r="R660" s="299"/>
      <c r="S660" s="299"/>
      <c r="T660" s="299"/>
      <c r="U660" s="299"/>
    </row>
    <row r="661">
      <c r="B661" s="3"/>
      <c r="D661" s="3"/>
      <c r="E661" s="300" t="s">
        <v>22</v>
      </c>
      <c r="F661" s="299"/>
      <c r="G661" s="299"/>
      <c r="H661" s="299"/>
      <c r="I661" s="299"/>
      <c r="J661" s="299"/>
      <c r="K661" s="299"/>
      <c r="L661" s="299"/>
      <c r="M661" s="299"/>
      <c r="N661" s="299"/>
      <c r="O661" s="299"/>
      <c r="P661" s="299"/>
      <c r="Q661" s="299"/>
      <c r="R661" s="299"/>
      <c r="S661" s="299"/>
      <c r="T661" s="299"/>
      <c r="U661" s="299"/>
    </row>
    <row r="662">
      <c r="B662" s="3"/>
      <c r="D662" s="3"/>
      <c r="E662" s="300" t="s">
        <v>22</v>
      </c>
      <c r="F662" s="299"/>
      <c r="G662" s="299"/>
      <c r="H662" s="299"/>
      <c r="I662" s="299"/>
      <c r="J662" s="299"/>
      <c r="K662" s="299"/>
      <c r="L662" s="299"/>
      <c r="M662" s="299"/>
      <c r="N662" s="299"/>
      <c r="O662" s="299"/>
      <c r="P662" s="299"/>
      <c r="Q662" s="299"/>
      <c r="R662" s="299"/>
      <c r="S662" s="299"/>
      <c r="T662" s="299"/>
      <c r="U662" s="299"/>
    </row>
    <row r="663">
      <c r="B663" s="3"/>
      <c r="D663" s="3"/>
      <c r="E663" s="300" t="s">
        <v>22</v>
      </c>
      <c r="F663" s="299"/>
      <c r="G663" s="299"/>
      <c r="H663" s="299"/>
      <c r="I663" s="299"/>
      <c r="J663" s="299"/>
      <c r="K663" s="299"/>
      <c r="L663" s="299"/>
      <c r="M663" s="299"/>
      <c r="N663" s="299"/>
      <c r="O663" s="299"/>
      <c r="P663" s="299"/>
      <c r="Q663" s="299"/>
      <c r="R663" s="299"/>
      <c r="S663" s="299"/>
      <c r="T663" s="299"/>
      <c r="U663" s="299"/>
    </row>
    <row r="664">
      <c r="B664" s="3"/>
      <c r="D664" s="3"/>
      <c r="E664" s="300" t="s">
        <v>22</v>
      </c>
      <c r="F664" s="299"/>
      <c r="G664" s="299"/>
      <c r="H664" s="299"/>
      <c r="I664" s="299"/>
      <c r="J664" s="299"/>
      <c r="K664" s="299"/>
      <c r="L664" s="299"/>
      <c r="M664" s="299"/>
      <c r="N664" s="299"/>
      <c r="O664" s="299"/>
      <c r="P664" s="299"/>
      <c r="Q664" s="299"/>
      <c r="R664" s="299"/>
      <c r="S664" s="299"/>
      <c r="T664" s="299"/>
      <c r="U664" s="299"/>
    </row>
    <row r="665">
      <c r="B665" s="3"/>
      <c r="D665" s="3"/>
      <c r="E665" s="300" t="s">
        <v>22</v>
      </c>
      <c r="F665" s="299"/>
      <c r="G665" s="299"/>
      <c r="H665" s="299"/>
      <c r="I665" s="299"/>
      <c r="J665" s="299"/>
      <c r="K665" s="299"/>
      <c r="L665" s="299"/>
      <c r="M665" s="299"/>
      <c r="N665" s="299"/>
      <c r="O665" s="299"/>
      <c r="P665" s="299"/>
      <c r="Q665" s="299"/>
      <c r="R665" s="299"/>
      <c r="S665" s="299"/>
      <c r="T665" s="299"/>
      <c r="U665" s="299"/>
    </row>
    <row r="666">
      <c r="B666" s="3"/>
      <c r="D666" s="3"/>
      <c r="E666" s="300" t="s">
        <v>22</v>
      </c>
      <c r="F666" s="299"/>
      <c r="G666" s="299"/>
      <c r="H666" s="299"/>
      <c r="I666" s="299"/>
      <c r="J666" s="299"/>
      <c r="K666" s="299"/>
      <c r="L666" s="299"/>
      <c r="M666" s="299"/>
      <c r="N666" s="299"/>
      <c r="O666" s="299"/>
      <c r="P666" s="299"/>
      <c r="Q666" s="299"/>
      <c r="R666" s="299"/>
      <c r="S666" s="299"/>
      <c r="T666" s="299"/>
      <c r="U666" s="299"/>
    </row>
    <row r="667">
      <c r="B667" s="3"/>
      <c r="D667" s="3"/>
      <c r="E667" s="300" t="s">
        <v>22</v>
      </c>
      <c r="F667" s="299"/>
      <c r="G667" s="299"/>
      <c r="H667" s="299"/>
      <c r="I667" s="299"/>
      <c r="J667" s="299"/>
      <c r="K667" s="299"/>
      <c r="L667" s="299"/>
      <c r="M667" s="299"/>
      <c r="N667" s="299"/>
      <c r="O667" s="299"/>
      <c r="P667" s="299"/>
      <c r="Q667" s="299"/>
      <c r="R667" s="299"/>
      <c r="S667" s="299"/>
      <c r="T667" s="299"/>
      <c r="U667" s="299"/>
    </row>
    <row r="668">
      <c r="B668" s="3"/>
      <c r="D668" s="3"/>
      <c r="E668" s="300" t="s">
        <v>22</v>
      </c>
      <c r="F668" s="299"/>
      <c r="G668" s="299"/>
      <c r="H668" s="299"/>
      <c r="I668" s="299"/>
      <c r="J668" s="299"/>
      <c r="K668" s="299"/>
      <c r="L668" s="299"/>
      <c r="M668" s="299"/>
      <c r="N668" s="299"/>
      <c r="O668" s="299"/>
      <c r="P668" s="299"/>
      <c r="Q668" s="299"/>
      <c r="R668" s="299"/>
      <c r="S668" s="299"/>
      <c r="T668" s="299"/>
      <c r="U668" s="299"/>
    </row>
    <row r="669">
      <c r="B669" s="3"/>
      <c r="D669" s="3"/>
      <c r="E669" s="300" t="s">
        <v>22</v>
      </c>
      <c r="F669" s="299"/>
      <c r="G669" s="299"/>
      <c r="H669" s="299"/>
      <c r="I669" s="299"/>
      <c r="J669" s="299"/>
      <c r="K669" s="299"/>
      <c r="L669" s="299"/>
      <c r="M669" s="299"/>
      <c r="N669" s="299"/>
      <c r="O669" s="299"/>
      <c r="P669" s="299"/>
      <c r="Q669" s="299"/>
      <c r="R669" s="299"/>
      <c r="S669" s="299"/>
      <c r="T669" s="299"/>
      <c r="U669" s="299"/>
    </row>
    <row r="670">
      <c r="B670" s="3"/>
      <c r="D670" s="3"/>
      <c r="E670" s="300" t="s">
        <v>22</v>
      </c>
      <c r="F670" s="299"/>
      <c r="G670" s="299"/>
      <c r="H670" s="299"/>
      <c r="I670" s="299"/>
      <c r="J670" s="299"/>
      <c r="K670" s="299"/>
      <c r="L670" s="299"/>
      <c r="M670" s="299"/>
      <c r="N670" s="299"/>
      <c r="O670" s="299"/>
      <c r="P670" s="299"/>
      <c r="Q670" s="299"/>
      <c r="R670" s="299"/>
      <c r="S670" s="299"/>
      <c r="T670" s="299"/>
      <c r="U670" s="299"/>
    </row>
    <row r="671">
      <c r="B671" s="3"/>
      <c r="D671" s="3"/>
      <c r="E671" s="300" t="s">
        <v>22</v>
      </c>
      <c r="F671" s="299"/>
      <c r="G671" s="299"/>
      <c r="H671" s="299"/>
      <c r="I671" s="299"/>
      <c r="J671" s="299"/>
      <c r="K671" s="299"/>
      <c r="L671" s="299"/>
      <c r="M671" s="299"/>
      <c r="N671" s="299"/>
      <c r="O671" s="299"/>
      <c r="P671" s="299"/>
      <c r="Q671" s="299"/>
      <c r="R671" s="299"/>
      <c r="S671" s="299"/>
      <c r="T671" s="299"/>
      <c r="U671" s="299"/>
    </row>
    <row r="672">
      <c r="B672" s="3"/>
      <c r="D672" s="3"/>
      <c r="E672" s="300" t="s">
        <v>22</v>
      </c>
      <c r="F672" s="299"/>
      <c r="G672" s="299"/>
      <c r="H672" s="299"/>
      <c r="I672" s="299"/>
      <c r="J672" s="299"/>
      <c r="K672" s="299"/>
      <c r="L672" s="299"/>
      <c r="M672" s="299"/>
      <c r="N672" s="299"/>
      <c r="O672" s="299"/>
      <c r="P672" s="299"/>
      <c r="Q672" s="299"/>
      <c r="R672" s="299"/>
      <c r="S672" s="299"/>
      <c r="T672" s="299"/>
      <c r="U672" s="299"/>
    </row>
    <row r="673">
      <c r="B673" s="3"/>
      <c r="D673" s="3"/>
      <c r="E673" s="300" t="s">
        <v>22</v>
      </c>
      <c r="F673" s="299"/>
      <c r="G673" s="299"/>
      <c r="H673" s="299"/>
      <c r="I673" s="299"/>
      <c r="J673" s="299"/>
      <c r="K673" s="299"/>
      <c r="L673" s="299"/>
      <c r="M673" s="299"/>
      <c r="N673" s="299"/>
      <c r="O673" s="299"/>
      <c r="P673" s="299"/>
      <c r="Q673" s="299"/>
      <c r="R673" s="299"/>
      <c r="S673" s="299"/>
      <c r="T673" s="299"/>
      <c r="U673" s="299"/>
    </row>
    <row r="674">
      <c r="B674" s="3"/>
      <c r="D674" s="3"/>
      <c r="E674" s="300" t="s">
        <v>22</v>
      </c>
      <c r="F674" s="299"/>
      <c r="G674" s="299"/>
      <c r="H674" s="299"/>
      <c r="I674" s="299"/>
      <c r="J674" s="299"/>
      <c r="K674" s="299"/>
      <c r="L674" s="299"/>
      <c r="M674" s="299"/>
      <c r="N674" s="299"/>
      <c r="O674" s="299"/>
      <c r="P674" s="299"/>
      <c r="Q674" s="299"/>
      <c r="R674" s="299"/>
      <c r="S674" s="299"/>
      <c r="T674" s="299"/>
      <c r="U674" s="299"/>
    </row>
    <row r="675">
      <c r="B675" s="3"/>
      <c r="D675" s="3"/>
      <c r="E675" s="300" t="s">
        <v>22</v>
      </c>
      <c r="F675" s="299"/>
      <c r="G675" s="299"/>
      <c r="H675" s="299"/>
      <c r="I675" s="299"/>
      <c r="J675" s="299"/>
      <c r="K675" s="299"/>
      <c r="L675" s="299"/>
      <c r="M675" s="299"/>
      <c r="N675" s="299"/>
      <c r="O675" s="299"/>
      <c r="P675" s="299"/>
      <c r="Q675" s="299"/>
      <c r="R675" s="299"/>
      <c r="S675" s="299"/>
      <c r="T675" s="299"/>
      <c r="U675" s="299"/>
    </row>
    <row r="676">
      <c r="B676" s="3"/>
      <c r="D676" s="3"/>
      <c r="E676" s="300" t="s">
        <v>22</v>
      </c>
      <c r="F676" s="299"/>
      <c r="G676" s="299"/>
      <c r="H676" s="299"/>
      <c r="I676" s="299"/>
      <c r="J676" s="299"/>
      <c r="K676" s="299"/>
      <c r="L676" s="299"/>
      <c r="M676" s="299"/>
      <c r="N676" s="299"/>
      <c r="O676" s="299"/>
      <c r="P676" s="299"/>
      <c r="Q676" s="299"/>
      <c r="R676" s="299"/>
      <c r="S676" s="299"/>
      <c r="T676" s="299"/>
      <c r="U676" s="299"/>
    </row>
    <row r="677">
      <c r="B677" s="3"/>
      <c r="D677" s="3"/>
      <c r="E677" s="300" t="s">
        <v>22</v>
      </c>
      <c r="F677" s="299"/>
      <c r="G677" s="299"/>
      <c r="H677" s="299"/>
      <c r="I677" s="299"/>
      <c r="J677" s="299"/>
      <c r="K677" s="299"/>
      <c r="L677" s="299"/>
      <c r="M677" s="299"/>
      <c r="N677" s="299"/>
      <c r="O677" s="299"/>
      <c r="P677" s="299"/>
      <c r="Q677" s="299"/>
      <c r="R677" s="299"/>
      <c r="S677" s="299"/>
      <c r="T677" s="299"/>
      <c r="U677" s="299"/>
    </row>
    <row r="678">
      <c r="B678" s="3"/>
      <c r="D678" s="3"/>
      <c r="E678" s="300" t="s">
        <v>22</v>
      </c>
      <c r="F678" s="299"/>
      <c r="G678" s="299"/>
      <c r="H678" s="299"/>
      <c r="I678" s="299"/>
      <c r="J678" s="299"/>
      <c r="K678" s="299"/>
      <c r="L678" s="299"/>
      <c r="M678" s="299"/>
      <c r="N678" s="299"/>
      <c r="O678" s="299"/>
      <c r="P678" s="299"/>
      <c r="Q678" s="299"/>
      <c r="R678" s="299"/>
      <c r="S678" s="299"/>
      <c r="T678" s="299"/>
      <c r="U678" s="299"/>
    </row>
    <row r="679">
      <c r="B679" s="3"/>
      <c r="D679" s="3"/>
      <c r="E679" s="300" t="s">
        <v>22</v>
      </c>
      <c r="F679" s="299"/>
      <c r="G679" s="299"/>
      <c r="H679" s="299"/>
      <c r="I679" s="299"/>
      <c r="J679" s="299"/>
      <c r="K679" s="299"/>
      <c r="L679" s="299"/>
      <c r="M679" s="299"/>
      <c r="N679" s="299"/>
      <c r="O679" s="299"/>
      <c r="P679" s="299"/>
      <c r="Q679" s="299"/>
      <c r="R679" s="299"/>
      <c r="S679" s="299"/>
      <c r="T679" s="299"/>
      <c r="U679" s="299"/>
    </row>
    <row r="680">
      <c r="B680" s="3"/>
      <c r="D680" s="3"/>
      <c r="E680" s="300" t="s">
        <v>22</v>
      </c>
      <c r="F680" s="299"/>
      <c r="G680" s="299"/>
      <c r="H680" s="299"/>
      <c r="I680" s="299"/>
      <c r="J680" s="299"/>
      <c r="K680" s="299"/>
      <c r="L680" s="299"/>
      <c r="M680" s="299"/>
      <c r="N680" s="299"/>
      <c r="O680" s="299"/>
      <c r="P680" s="299"/>
      <c r="Q680" s="299"/>
      <c r="R680" s="299"/>
      <c r="S680" s="299"/>
      <c r="T680" s="299"/>
      <c r="U680" s="299"/>
    </row>
    <row r="681">
      <c r="B681" s="3"/>
      <c r="D681" s="3"/>
      <c r="E681" s="300" t="s">
        <v>22</v>
      </c>
      <c r="F681" s="299"/>
      <c r="G681" s="299"/>
      <c r="H681" s="299"/>
      <c r="I681" s="299"/>
      <c r="J681" s="299"/>
      <c r="K681" s="299"/>
      <c r="L681" s="299"/>
      <c r="M681" s="299"/>
      <c r="N681" s="299"/>
      <c r="O681" s="299"/>
      <c r="P681" s="299"/>
      <c r="Q681" s="299"/>
      <c r="R681" s="299"/>
      <c r="S681" s="299"/>
      <c r="T681" s="299"/>
      <c r="U681" s="299"/>
    </row>
    <row r="682">
      <c r="B682" s="3"/>
      <c r="D682" s="3"/>
      <c r="E682" s="300" t="s">
        <v>22</v>
      </c>
      <c r="F682" s="299"/>
      <c r="G682" s="299"/>
      <c r="H682" s="299"/>
      <c r="I682" s="299"/>
      <c r="J682" s="299"/>
      <c r="K682" s="299"/>
      <c r="L682" s="299"/>
      <c r="M682" s="299"/>
      <c r="N682" s="299"/>
      <c r="O682" s="299"/>
      <c r="P682" s="299"/>
      <c r="Q682" s="299"/>
      <c r="R682" s="299"/>
      <c r="S682" s="299"/>
      <c r="T682" s="299"/>
      <c r="U682" s="299"/>
    </row>
    <row r="683">
      <c r="B683" s="3"/>
      <c r="D683" s="3"/>
      <c r="E683" s="300" t="s">
        <v>22</v>
      </c>
      <c r="F683" s="299"/>
      <c r="G683" s="299"/>
      <c r="H683" s="299"/>
      <c r="I683" s="299"/>
      <c r="J683" s="299"/>
      <c r="K683" s="299"/>
      <c r="L683" s="299"/>
      <c r="M683" s="299"/>
      <c r="N683" s="299"/>
      <c r="O683" s="299"/>
      <c r="P683" s="299"/>
      <c r="Q683" s="299"/>
      <c r="R683" s="299"/>
      <c r="S683" s="299"/>
      <c r="T683" s="299"/>
      <c r="U683" s="299"/>
    </row>
    <row r="684">
      <c r="B684" s="3"/>
      <c r="D684" s="3"/>
      <c r="E684" s="300" t="s">
        <v>22</v>
      </c>
      <c r="F684" s="299"/>
      <c r="G684" s="299"/>
      <c r="H684" s="299"/>
      <c r="I684" s="299"/>
      <c r="J684" s="299"/>
      <c r="K684" s="299"/>
      <c r="L684" s="299"/>
      <c r="M684" s="299"/>
      <c r="N684" s="299"/>
      <c r="O684" s="299"/>
      <c r="P684" s="299"/>
      <c r="Q684" s="299"/>
      <c r="R684" s="299"/>
      <c r="S684" s="299"/>
      <c r="T684" s="299"/>
      <c r="U684" s="299"/>
    </row>
    <row r="685">
      <c r="B685" s="3"/>
      <c r="D685" s="3"/>
      <c r="E685" s="300" t="s">
        <v>22</v>
      </c>
      <c r="F685" s="299"/>
      <c r="G685" s="299"/>
      <c r="H685" s="299"/>
      <c r="I685" s="299"/>
      <c r="J685" s="299"/>
      <c r="K685" s="299"/>
      <c r="L685" s="299"/>
      <c r="M685" s="299"/>
      <c r="N685" s="299"/>
      <c r="O685" s="299"/>
      <c r="P685" s="299"/>
      <c r="Q685" s="299"/>
      <c r="R685" s="299"/>
      <c r="S685" s="299"/>
      <c r="T685" s="299"/>
      <c r="U685" s="299"/>
    </row>
    <row r="686">
      <c r="B686" s="3"/>
      <c r="D686" s="3"/>
      <c r="E686" s="300" t="s">
        <v>22</v>
      </c>
      <c r="F686" s="299"/>
      <c r="G686" s="299"/>
      <c r="H686" s="299"/>
      <c r="I686" s="299"/>
      <c r="J686" s="299"/>
      <c r="K686" s="299"/>
      <c r="L686" s="299"/>
      <c r="M686" s="299"/>
      <c r="N686" s="299"/>
      <c r="O686" s="299"/>
      <c r="P686" s="299"/>
      <c r="Q686" s="299"/>
      <c r="R686" s="299"/>
      <c r="S686" s="299"/>
      <c r="T686" s="299"/>
      <c r="U686" s="299"/>
    </row>
    <row r="687">
      <c r="B687" s="3"/>
      <c r="D687" s="3"/>
      <c r="E687" s="300" t="s">
        <v>22</v>
      </c>
      <c r="F687" s="299"/>
      <c r="G687" s="299"/>
      <c r="H687" s="299"/>
      <c r="I687" s="299"/>
      <c r="J687" s="299"/>
      <c r="K687" s="299"/>
      <c r="L687" s="299"/>
      <c r="M687" s="299"/>
      <c r="N687" s="299"/>
      <c r="O687" s="299"/>
      <c r="P687" s="299"/>
      <c r="Q687" s="299"/>
      <c r="R687" s="299"/>
      <c r="S687" s="299"/>
      <c r="T687" s="299"/>
      <c r="U687" s="299"/>
    </row>
    <row r="688">
      <c r="B688" s="3"/>
      <c r="D688" s="3"/>
      <c r="E688" s="300" t="s">
        <v>22</v>
      </c>
      <c r="F688" s="299"/>
      <c r="G688" s="299"/>
      <c r="H688" s="299"/>
      <c r="I688" s="299"/>
      <c r="J688" s="299"/>
      <c r="K688" s="299"/>
      <c r="L688" s="299"/>
      <c r="M688" s="299"/>
      <c r="N688" s="299"/>
      <c r="O688" s="299"/>
      <c r="P688" s="299"/>
      <c r="Q688" s="299"/>
      <c r="R688" s="299"/>
      <c r="S688" s="299"/>
      <c r="T688" s="299"/>
      <c r="U688" s="299"/>
    </row>
    <row r="689">
      <c r="B689" s="3"/>
      <c r="D689" s="3"/>
      <c r="E689" s="300" t="s">
        <v>22</v>
      </c>
      <c r="F689" s="299"/>
      <c r="G689" s="299"/>
      <c r="H689" s="299"/>
      <c r="I689" s="299"/>
      <c r="J689" s="299"/>
      <c r="K689" s="299"/>
      <c r="L689" s="299"/>
      <c r="M689" s="299"/>
      <c r="N689" s="299"/>
      <c r="O689" s="299"/>
      <c r="P689" s="299"/>
      <c r="Q689" s="299"/>
      <c r="R689" s="299"/>
      <c r="S689" s="299"/>
      <c r="T689" s="299"/>
      <c r="U689" s="299"/>
    </row>
    <row r="690">
      <c r="B690" s="3"/>
      <c r="D690" s="3"/>
      <c r="E690" s="300" t="s">
        <v>22</v>
      </c>
      <c r="F690" s="299"/>
      <c r="G690" s="299"/>
      <c r="H690" s="299"/>
      <c r="I690" s="299"/>
      <c r="J690" s="299"/>
      <c r="K690" s="299"/>
      <c r="L690" s="299"/>
      <c r="M690" s="299"/>
      <c r="N690" s="299"/>
      <c r="O690" s="299"/>
      <c r="P690" s="299"/>
      <c r="Q690" s="299"/>
      <c r="R690" s="299"/>
      <c r="S690" s="299"/>
      <c r="T690" s="299"/>
      <c r="U690" s="299"/>
    </row>
    <row r="691">
      <c r="B691" s="3"/>
      <c r="D691" s="3"/>
      <c r="E691" s="300" t="s">
        <v>22</v>
      </c>
      <c r="F691" s="299"/>
      <c r="G691" s="299"/>
      <c r="H691" s="299"/>
      <c r="I691" s="299"/>
      <c r="J691" s="299"/>
      <c r="K691" s="299"/>
      <c r="L691" s="299"/>
      <c r="M691" s="299"/>
      <c r="N691" s="299"/>
      <c r="O691" s="299"/>
      <c r="P691" s="299"/>
      <c r="Q691" s="299"/>
      <c r="R691" s="299"/>
      <c r="S691" s="299"/>
      <c r="T691" s="299"/>
      <c r="U691" s="299"/>
    </row>
    <row r="692">
      <c r="B692" s="3"/>
      <c r="D692" s="3"/>
      <c r="E692" s="300" t="s">
        <v>22</v>
      </c>
      <c r="F692" s="299"/>
      <c r="G692" s="299"/>
      <c r="H692" s="299"/>
      <c r="I692" s="299"/>
      <c r="J692" s="299"/>
      <c r="K692" s="299"/>
      <c r="L692" s="299"/>
      <c r="M692" s="299"/>
      <c r="N692" s="299"/>
      <c r="O692" s="299"/>
      <c r="P692" s="299"/>
      <c r="Q692" s="299"/>
      <c r="R692" s="299"/>
      <c r="S692" s="299"/>
      <c r="T692" s="299"/>
      <c r="U692" s="299"/>
    </row>
    <row r="693">
      <c r="B693" s="3"/>
      <c r="D693" s="3"/>
      <c r="E693" s="300" t="s">
        <v>22</v>
      </c>
      <c r="F693" s="299"/>
      <c r="G693" s="299"/>
      <c r="H693" s="299"/>
      <c r="I693" s="299"/>
      <c r="J693" s="299"/>
      <c r="K693" s="299"/>
      <c r="L693" s="299"/>
      <c r="M693" s="299"/>
      <c r="N693" s="299"/>
      <c r="O693" s="299"/>
      <c r="P693" s="299"/>
      <c r="Q693" s="299"/>
      <c r="R693" s="299"/>
      <c r="S693" s="299"/>
      <c r="T693" s="299"/>
      <c r="U693" s="299"/>
    </row>
    <row r="694">
      <c r="B694" s="3"/>
      <c r="D694" s="3"/>
      <c r="E694" s="300" t="s">
        <v>22</v>
      </c>
      <c r="F694" s="299"/>
      <c r="G694" s="299"/>
      <c r="H694" s="299"/>
      <c r="I694" s="299"/>
      <c r="J694" s="299"/>
      <c r="K694" s="299"/>
      <c r="L694" s="299"/>
      <c r="M694" s="299"/>
      <c r="N694" s="299"/>
      <c r="O694" s="299"/>
      <c r="P694" s="299"/>
      <c r="Q694" s="299"/>
      <c r="R694" s="299"/>
      <c r="S694" s="299"/>
      <c r="T694" s="299"/>
      <c r="U694" s="299"/>
    </row>
    <row r="695">
      <c r="B695" s="3"/>
      <c r="D695" s="3"/>
      <c r="E695" s="300" t="s">
        <v>22</v>
      </c>
      <c r="F695" s="299"/>
      <c r="G695" s="299"/>
      <c r="H695" s="299"/>
      <c r="I695" s="299"/>
      <c r="J695" s="299"/>
      <c r="K695" s="299"/>
      <c r="L695" s="299"/>
      <c r="M695" s="299"/>
      <c r="N695" s="299"/>
      <c r="O695" s="299"/>
      <c r="P695" s="299"/>
      <c r="Q695" s="299"/>
      <c r="R695" s="299"/>
      <c r="S695" s="299"/>
      <c r="T695" s="299"/>
      <c r="U695" s="299"/>
    </row>
    <row r="696">
      <c r="B696" s="3"/>
      <c r="D696" s="3"/>
      <c r="E696" s="300" t="s">
        <v>22</v>
      </c>
      <c r="F696" s="299"/>
      <c r="G696" s="299"/>
      <c r="H696" s="299"/>
      <c r="I696" s="299"/>
      <c r="J696" s="299"/>
      <c r="K696" s="299"/>
      <c r="L696" s="299"/>
      <c r="M696" s="299"/>
      <c r="N696" s="299"/>
      <c r="O696" s="299"/>
      <c r="P696" s="299"/>
      <c r="Q696" s="299"/>
      <c r="R696" s="299"/>
      <c r="S696" s="299"/>
      <c r="T696" s="299"/>
      <c r="U696" s="299"/>
    </row>
    <row r="697">
      <c r="B697" s="3"/>
      <c r="D697" s="3"/>
      <c r="E697" s="300" t="s">
        <v>22</v>
      </c>
      <c r="F697" s="299"/>
      <c r="G697" s="299"/>
      <c r="H697" s="299"/>
      <c r="I697" s="299"/>
      <c r="J697" s="299"/>
      <c r="K697" s="299"/>
      <c r="L697" s="299"/>
      <c r="M697" s="299"/>
      <c r="N697" s="299"/>
      <c r="O697" s="299"/>
      <c r="P697" s="299"/>
      <c r="Q697" s="299"/>
      <c r="R697" s="299"/>
      <c r="S697" s="299"/>
      <c r="T697" s="299"/>
      <c r="U697" s="299"/>
    </row>
    <row r="698">
      <c r="B698" s="3"/>
      <c r="D698" s="3"/>
      <c r="E698" s="300" t="s">
        <v>22</v>
      </c>
      <c r="F698" s="299"/>
      <c r="G698" s="299"/>
      <c r="H698" s="299"/>
      <c r="I698" s="299"/>
      <c r="J698" s="299"/>
      <c r="K698" s="299"/>
      <c r="L698" s="299"/>
      <c r="M698" s="299"/>
      <c r="N698" s="299"/>
      <c r="O698" s="299"/>
      <c r="P698" s="299"/>
      <c r="Q698" s="299"/>
      <c r="R698" s="299"/>
      <c r="S698" s="299"/>
      <c r="T698" s="299"/>
      <c r="U698" s="299"/>
    </row>
    <row r="699">
      <c r="B699" s="3"/>
      <c r="D699" s="3"/>
      <c r="E699" s="300" t="s">
        <v>22</v>
      </c>
      <c r="F699" s="299"/>
      <c r="G699" s="299"/>
      <c r="H699" s="299"/>
      <c r="I699" s="299"/>
      <c r="J699" s="299"/>
      <c r="K699" s="299"/>
      <c r="L699" s="299"/>
      <c r="M699" s="299"/>
      <c r="N699" s="299"/>
      <c r="O699" s="299"/>
      <c r="P699" s="299"/>
      <c r="Q699" s="299"/>
      <c r="R699" s="299"/>
      <c r="S699" s="299"/>
      <c r="T699" s="299"/>
      <c r="U699" s="299"/>
    </row>
    <row r="700">
      <c r="B700" s="3"/>
      <c r="D700" s="3"/>
      <c r="E700" s="300" t="s">
        <v>22</v>
      </c>
      <c r="F700" s="299"/>
      <c r="G700" s="299"/>
      <c r="H700" s="299"/>
      <c r="I700" s="299"/>
      <c r="J700" s="299"/>
      <c r="K700" s="299"/>
      <c r="L700" s="299"/>
      <c r="M700" s="299"/>
      <c r="N700" s="299"/>
      <c r="O700" s="299"/>
      <c r="P700" s="299"/>
      <c r="Q700" s="299"/>
      <c r="R700" s="299"/>
      <c r="S700" s="299"/>
      <c r="T700" s="299"/>
      <c r="U700" s="299"/>
    </row>
    <row r="701">
      <c r="B701" s="3"/>
      <c r="D701" s="3"/>
      <c r="E701" s="300" t="s">
        <v>22</v>
      </c>
      <c r="F701" s="299"/>
      <c r="G701" s="299"/>
      <c r="H701" s="299"/>
      <c r="I701" s="299"/>
      <c r="J701" s="299"/>
      <c r="K701" s="299"/>
      <c r="L701" s="299"/>
      <c r="M701" s="299"/>
      <c r="N701" s="299"/>
      <c r="O701" s="299"/>
      <c r="P701" s="299"/>
      <c r="Q701" s="299"/>
      <c r="R701" s="299"/>
      <c r="S701" s="299"/>
      <c r="T701" s="299"/>
      <c r="U701" s="299"/>
    </row>
    <row r="702">
      <c r="B702" s="3"/>
      <c r="D702" s="3"/>
      <c r="E702" s="300" t="s">
        <v>22</v>
      </c>
      <c r="F702" s="299"/>
      <c r="G702" s="299"/>
      <c r="H702" s="299"/>
      <c r="I702" s="299"/>
      <c r="J702" s="299"/>
      <c r="K702" s="299"/>
      <c r="L702" s="299"/>
      <c r="M702" s="299"/>
      <c r="N702" s="299"/>
      <c r="O702" s="299"/>
      <c r="P702" s="299"/>
      <c r="Q702" s="299"/>
      <c r="R702" s="299"/>
      <c r="S702" s="299"/>
      <c r="T702" s="299"/>
      <c r="U702" s="299"/>
    </row>
    <row r="703">
      <c r="B703" s="3"/>
      <c r="D703" s="3"/>
      <c r="E703" s="300" t="s">
        <v>22</v>
      </c>
      <c r="F703" s="299"/>
      <c r="G703" s="299"/>
      <c r="H703" s="299"/>
      <c r="I703" s="299"/>
      <c r="J703" s="299"/>
      <c r="K703" s="299"/>
      <c r="L703" s="299"/>
      <c r="M703" s="299"/>
      <c r="N703" s="299"/>
      <c r="O703" s="299"/>
      <c r="P703" s="299"/>
      <c r="Q703" s="299"/>
      <c r="R703" s="299"/>
      <c r="S703" s="299"/>
      <c r="T703" s="299"/>
      <c r="U703" s="299"/>
    </row>
    <row r="704">
      <c r="B704" s="3"/>
      <c r="D704" s="3"/>
      <c r="E704" s="300" t="s">
        <v>22</v>
      </c>
      <c r="F704" s="299"/>
      <c r="G704" s="299"/>
      <c r="H704" s="299"/>
      <c r="I704" s="299"/>
      <c r="J704" s="299"/>
      <c r="K704" s="299"/>
      <c r="L704" s="299"/>
      <c r="M704" s="299"/>
      <c r="N704" s="299"/>
      <c r="O704" s="299"/>
      <c r="P704" s="299"/>
      <c r="Q704" s="299"/>
      <c r="R704" s="299"/>
      <c r="S704" s="299"/>
      <c r="T704" s="299"/>
      <c r="U704" s="299"/>
    </row>
    <row r="705">
      <c r="B705" s="3"/>
      <c r="D705" s="3"/>
      <c r="E705" s="300" t="s">
        <v>22</v>
      </c>
      <c r="F705" s="299"/>
      <c r="G705" s="299"/>
      <c r="H705" s="299"/>
      <c r="I705" s="299"/>
      <c r="J705" s="299"/>
      <c r="K705" s="299"/>
      <c r="L705" s="299"/>
      <c r="M705" s="299"/>
      <c r="N705" s="299"/>
      <c r="O705" s="299"/>
      <c r="P705" s="299"/>
      <c r="Q705" s="299"/>
      <c r="R705" s="299"/>
      <c r="S705" s="299"/>
      <c r="T705" s="299"/>
      <c r="U705" s="299"/>
    </row>
    <row r="706">
      <c r="B706" s="3"/>
      <c r="D706" s="3"/>
      <c r="E706" s="300" t="s">
        <v>22</v>
      </c>
      <c r="F706" s="299"/>
      <c r="G706" s="299"/>
      <c r="H706" s="299"/>
      <c r="I706" s="299"/>
      <c r="J706" s="299"/>
      <c r="K706" s="299"/>
      <c r="L706" s="299"/>
      <c r="M706" s="299"/>
      <c r="N706" s="299"/>
      <c r="O706" s="299"/>
      <c r="P706" s="299"/>
      <c r="Q706" s="299"/>
      <c r="R706" s="299"/>
      <c r="S706" s="299"/>
      <c r="T706" s="299"/>
      <c r="U706" s="299"/>
    </row>
    <row r="707">
      <c r="B707" s="3"/>
      <c r="D707" s="3"/>
      <c r="E707" s="300" t="s">
        <v>22</v>
      </c>
      <c r="F707" s="299"/>
      <c r="G707" s="299"/>
      <c r="H707" s="299"/>
      <c r="I707" s="299"/>
      <c r="J707" s="299"/>
      <c r="K707" s="299"/>
      <c r="L707" s="299"/>
      <c r="M707" s="299"/>
      <c r="N707" s="299"/>
      <c r="O707" s="299"/>
      <c r="P707" s="299"/>
      <c r="Q707" s="299"/>
      <c r="R707" s="299"/>
      <c r="S707" s="299"/>
      <c r="T707" s="299"/>
      <c r="U707" s="299"/>
    </row>
    <row r="708">
      <c r="B708" s="3"/>
      <c r="D708" s="3"/>
      <c r="E708" s="300" t="s">
        <v>22</v>
      </c>
      <c r="F708" s="299"/>
      <c r="G708" s="299"/>
      <c r="H708" s="299"/>
      <c r="I708" s="299"/>
      <c r="J708" s="299"/>
      <c r="K708" s="299"/>
      <c r="L708" s="299"/>
      <c r="M708" s="299"/>
      <c r="N708" s="299"/>
      <c r="O708" s="299"/>
      <c r="P708" s="299"/>
      <c r="Q708" s="299"/>
      <c r="R708" s="299"/>
      <c r="S708" s="299"/>
      <c r="T708" s="299"/>
      <c r="U708" s="299"/>
    </row>
    <row r="709">
      <c r="B709" s="3"/>
      <c r="D709" s="3"/>
      <c r="E709" s="300" t="s">
        <v>22</v>
      </c>
      <c r="F709" s="299"/>
      <c r="G709" s="299"/>
      <c r="H709" s="299"/>
      <c r="I709" s="299"/>
      <c r="J709" s="299"/>
      <c r="K709" s="299"/>
      <c r="L709" s="299"/>
      <c r="M709" s="299"/>
      <c r="N709" s="299"/>
      <c r="O709" s="299"/>
      <c r="P709" s="299"/>
      <c r="Q709" s="299"/>
      <c r="R709" s="299"/>
      <c r="S709" s="299"/>
      <c r="T709" s="299"/>
      <c r="U709" s="299"/>
    </row>
    <row r="710">
      <c r="B710" s="3"/>
      <c r="D710" s="3"/>
      <c r="E710" s="300" t="s">
        <v>22</v>
      </c>
      <c r="F710" s="299"/>
      <c r="G710" s="299"/>
      <c r="H710" s="299"/>
      <c r="I710" s="299"/>
      <c r="J710" s="299"/>
      <c r="K710" s="299"/>
      <c r="L710" s="299"/>
      <c r="M710" s="299"/>
      <c r="N710" s="299"/>
      <c r="O710" s="299"/>
      <c r="P710" s="299"/>
      <c r="Q710" s="299"/>
      <c r="R710" s="299"/>
      <c r="S710" s="299"/>
      <c r="T710" s="299"/>
      <c r="U710" s="299"/>
    </row>
    <row r="711">
      <c r="B711" s="3"/>
      <c r="D711" s="3"/>
      <c r="E711" s="300" t="s">
        <v>22</v>
      </c>
      <c r="F711" s="299"/>
      <c r="G711" s="299"/>
      <c r="H711" s="299"/>
      <c r="I711" s="299"/>
      <c r="J711" s="299"/>
      <c r="K711" s="299"/>
      <c r="L711" s="299"/>
      <c r="M711" s="299"/>
      <c r="N711" s="299"/>
      <c r="O711" s="299"/>
      <c r="P711" s="299"/>
      <c r="Q711" s="299"/>
      <c r="R711" s="299"/>
      <c r="S711" s="299"/>
      <c r="T711" s="299"/>
      <c r="U711" s="299"/>
    </row>
    <row r="712">
      <c r="B712" s="3"/>
      <c r="D712" s="3"/>
      <c r="E712" s="300" t="s">
        <v>22</v>
      </c>
      <c r="F712" s="299"/>
      <c r="G712" s="299"/>
      <c r="H712" s="299"/>
      <c r="I712" s="299"/>
      <c r="J712" s="299"/>
      <c r="K712" s="299"/>
      <c r="L712" s="299"/>
      <c r="M712" s="299"/>
      <c r="N712" s="299"/>
      <c r="O712" s="299"/>
      <c r="P712" s="299"/>
      <c r="Q712" s="299"/>
      <c r="R712" s="299"/>
      <c r="S712" s="299"/>
      <c r="T712" s="299"/>
      <c r="U712" s="299"/>
    </row>
    <row r="713">
      <c r="B713" s="3"/>
      <c r="D713" s="3"/>
      <c r="E713" s="300" t="s">
        <v>22</v>
      </c>
      <c r="F713" s="299"/>
      <c r="G713" s="299"/>
      <c r="H713" s="299"/>
      <c r="I713" s="299"/>
      <c r="J713" s="299"/>
      <c r="K713" s="299"/>
      <c r="L713" s="299"/>
      <c r="M713" s="299"/>
      <c r="N713" s="299"/>
      <c r="O713" s="299"/>
      <c r="P713" s="299"/>
      <c r="Q713" s="299"/>
      <c r="R713" s="299"/>
      <c r="S713" s="299"/>
      <c r="T713" s="299"/>
      <c r="U713" s="299"/>
    </row>
    <row r="714">
      <c r="B714" s="3"/>
      <c r="D714" s="3"/>
      <c r="E714" s="300" t="s">
        <v>22</v>
      </c>
      <c r="F714" s="299"/>
      <c r="G714" s="299"/>
      <c r="H714" s="299"/>
      <c r="I714" s="299"/>
      <c r="J714" s="299"/>
      <c r="K714" s="299"/>
      <c r="L714" s="299"/>
      <c r="M714" s="299"/>
      <c r="N714" s="299"/>
      <c r="O714" s="299"/>
      <c r="P714" s="299"/>
      <c r="Q714" s="299"/>
      <c r="R714" s="299"/>
      <c r="S714" s="299"/>
      <c r="T714" s="299"/>
      <c r="U714" s="299"/>
    </row>
    <row r="715">
      <c r="B715" s="3"/>
      <c r="D715" s="3"/>
      <c r="E715" s="300" t="s">
        <v>22</v>
      </c>
      <c r="F715" s="299"/>
      <c r="G715" s="299"/>
      <c r="H715" s="299"/>
      <c r="I715" s="299"/>
      <c r="J715" s="299"/>
      <c r="K715" s="299"/>
      <c r="L715" s="299"/>
      <c r="M715" s="299"/>
      <c r="N715" s="299"/>
      <c r="O715" s="299"/>
      <c r="P715" s="299"/>
      <c r="Q715" s="299"/>
      <c r="R715" s="299"/>
      <c r="S715" s="299"/>
      <c r="T715" s="299"/>
      <c r="U715" s="299"/>
    </row>
    <row r="716">
      <c r="B716" s="3"/>
      <c r="D716" s="3"/>
      <c r="E716" s="300" t="s">
        <v>22</v>
      </c>
      <c r="F716" s="299"/>
      <c r="G716" s="299"/>
      <c r="H716" s="299"/>
      <c r="I716" s="299"/>
      <c r="J716" s="299"/>
      <c r="K716" s="299"/>
      <c r="L716" s="299"/>
      <c r="M716" s="299"/>
      <c r="N716" s="299"/>
      <c r="O716" s="299"/>
      <c r="P716" s="299"/>
      <c r="Q716" s="299"/>
      <c r="R716" s="299"/>
      <c r="S716" s="299"/>
      <c r="T716" s="299"/>
      <c r="U716" s="299"/>
    </row>
    <row r="717">
      <c r="B717" s="3"/>
      <c r="D717" s="3"/>
      <c r="E717" s="300" t="s">
        <v>22</v>
      </c>
      <c r="F717" s="299"/>
      <c r="G717" s="299"/>
      <c r="H717" s="299"/>
      <c r="I717" s="299"/>
      <c r="J717" s="299"/>
      <c r="K717" s="299"/>
      <c r="L717" s="299"/>
      <c r="M717" s="299"/>
      <c r="N717" s="299"/>
      <c r="O717" s="299"/>
      <c r="P717" s="299"/>
      <c r="Q717" s="299"/>
      <c r="R717" s="299"/>
      <c r="S717" s="299"/>
      <c r="T717" s="299"/>
      <c r="U717" s="299"/>
    </row>
    <row r="718">
      <c r="B718" s="3"/>
      <c r="D718" s="3"/>
      <c r="E718" s="300" t="s">
        <v>22</v>
      </c>
      <c r="F718" s="299"/>
      <c r="G718" s="299"/>
      <c r="H718" s="299"/>
      <c r="I718" s="299"/>
      <c r="J718" s="299"/>
      <c r="K718" s="299"/>
      <c r="L718" s="299"/>
      <c r="M718" s="299"/>
      <c r="N718" s="299"/>
      <c r="O718" s="299"/>
      <c r="P718" s="299"/>
      <c r="Q718" s="299"/>
      <c r="R718" s="299"/>
      <c r="S718" s="299"/>
      <c r="T718" s="299"/>
      <c r="U718" s="299"/>
    </row>
    <row r="719">
      <c r="B719" s="3"/>
      <c r="D719" s="3"/>
      <c r="E719" s="300" t="s">
        <v>22</v>
      </c>
      <c r="F719" s="299"/>
      <c r="G719" s="299"/>
      <c r="H719" s="299"/>
      <c r="I719" s="299"/>
      <c r="J719" s="299"/>
      <c r="K719" s="299"/>
      <c r="L719" s="299"/>
      <c r="M719" s="299"/>
      <c r="N719" s="299"/>
      <c r="O719" s="299"/>
      <c r="P719" s="299"/>
      <c r="Q719" s="299"/>
      <c r="R719" s="299"/>
      <c r="S719" s="299"/>
      <c r="T719" s="299"/>
      <c r="U719" s="299"/>
    </row>
    <row r="720">
      <c r="B720" s="3"/>
      <c r="D720" s="3"/>
      <c r="E720" s="300" t="s">
        <v>22</v>
      </c>
      <c r="F720" s="299"/>
      <c r="G720" s="299"/>
      <c r="H720" s="299"/>
      <c r="I720" s="299"/>
      <c r="J720" s="299"/>
      <c r="K720" s="299"/>
      <c r="L720" s="299"/>
      <c r="M720" s="299"/>
      <c r="N720" s="299"/>
      <c r="O720" s="299"/>
      <c r="P720" s="299"/>
      <c r="Q720" s="299"/>
      <c r="R720" s="299"/>
      <c r="S720" s="299"/>
      <c r="T720" s="299"/>
      <c r="U720" s="299"/>
    </row>
    <row r="721">
      <c r="B721" s="3"/>
      <c r="D721" s="3"/>
      <c r="E721" s="300" t="s">
        <v>22</v>
      </c>
      <c r="F721" s="299"/>
      <c r="G721" s="299"/>
      <c r="H721" s="299"/>
      <c r="I721" s="299"/>
      <c r="J721" s="299"/>
      <c r="K721" s="299"/>
      <c r="L721" s="299"/>
      <c r="M721" s="299"/>
      <c r="N721" s="299"/>
      <c r="O721" s="299"/>
      <c r="P721" s="299"/>
      <c r="Q721" s="299"/>
      <c r="R721" s="299"/>
      <c r="S721" s="299"/>
      <c r="T721" s="299"/>
      <c r="U721" s="299"/>
    </row>
    <row r="722">
      <c r="B722" s="3"/>
      <c r="D722" s="3"/>
      <c r="E722" s="300" t="s">
        <v>22</v>
      </c>
      <c r="F722" s="299"/>
      <c r="G722" s="299"/>
      <c r="H722" s="299"/>
      <c r="I722" s="299"/>
      <c r="J722" s="299"/>
      <c r="K722" s="299"/>
      <c r="L722" s="299"/>
      <c r="M722" s="299"/>
      <c r="N722" s="299"/>
      <c r="O722" s="299"/>
      <c r="P722" s="299"/>
      <c r="Q722" s="299"/>
      <c r="R722" s="299"/>
      <c r="S722" s="299"/>
      <c r="T722" s="299"/>
      <c r="U722" s="299"/>
    </row>
    <row r="723">
      <c r="B723" s="3"/>
      <c r="D723" s="3"/>
      <c r="E723" s="300" t="s">
        <v>22</v>
      </c>
      <c r="F723" s="299"/>
      <c r="G723" s="299"/>
      <c r="H723" s="299"/>
      <c r="I723" s="299"/>
      <c r="J723" s="299"/>
      <c r="K723" s="299"/>
      <c r="L723" s="299"/>
      <c r="M723" s="299"/>
      <c r="N723" s="299"/>
      <c r="O723" s="299"/>
      <c r="P723" s="299"/>
      <c r="Q723" s="299"/>
      <c r="R723" s="299"/>
      <c r="S723" s="299"/>
      <c r="T723" s="299"/>
      <c r="U723" s="299"/>
    </row>
    <row r="724">
      <c r="B724" s="3"/>
      <c r="D724" s="3"/>
      <c r="E724" s="300" t="s">
        <v>22</v>
      </c>
      <c r="F724" s="299"/>
      <c r="G724" s="299"/>
      <c r="H724" s="299"/>
      <c r="I724" s="299"/>
      <c r="J724" s="299"/>
      <c r="K724" s="299"/>
      <c r="L724" s="299"/>
      <c r="M724" s="299"/>
      <c r="N724" s="299"/>
      <c r="O724" s="299"/>
      <c r="P724" s="299"/>
      <c r="Q724" s="299"/>
      <c r="R724" s="299"/>
      <c r="S724" s="299"/>
      <c r="T724" s="299"/>
      <c r="U724" s="299"/>
    </row>
    <row r="725">
      <c r="B725" s="3"/>
      <c r="D725" s="3"/>
      <c r="E725" s="300" t="s">
        <v>22</v>
      </c>
      <c r="F725" s="299"/>
      <c r="G725" s="299"/>
      <c r="H725" s="299"/>
      <c r="I725" s="299"/>
      <c r="J725" s="299"/>
      <c r="K725" s="299"/>
      <c r="L725" s="299"/>
      <c r="M725" s="299"/>
      <c r="N725" s="299"/>
      <c r="O725" s="299"/>
      <c r="P725" s="299"/>
      <c r="Q725" s="299"/>
      <c r="R725" s="299"/>
      <c r="S725" s="299"/>
      <c r="T725" s="299"/>
      <c r="U725" s="299"/>
    </row>
    <row r="726">
      <c r="B726" s="3"/>
      <c r="D726" s="3"/>
      <c r="E726" s="300" t="s">
        <v>22</v>
      </c>
      <c r="F726" s="299"/>
      <c r="G726" s="299"/>
      <c r="H726" s="299"/>
      <c r="I726" s="299"/>
      <c r="J726" s="299"/>
      <c r="K726" s="299"/>
      <c r="L726" s="299"/>
      <c r="M726" s="299"/>
      <c r="N726" s="299"/>
      <c r="O726" s="299"/>
      <c r="P726" s="299"/>
      <c r="Q726" s="299"/>
      <c r="R726" s="299"/>
      <c r="S726" s="299"/>
      <c r="T726" s="299"/>
      <c r="U726" s="299"/>
    </row>
    <row r="727">
      <c r="B727" s="3"/>
      <c r="D727" s="3"/>
      <c r="E727" s="300" t="s">
        <v>22</v>
      </c>
      <c r="F727" s="299"/>
      <c r="G727" s="299"/>
      <c r="H727" s="299"/>
      <c r="I727" s="299"/>
      <c r="J727" s="299"/>
      <c r="K727" s="299"/>
      <c r="L727" s="299"/>
      <c r="M727" s="299"/>
      <c r="N727" s="299"/>
      <c r="O727" s="299"/>
      <c r="P727" s="299"/>
      <c r="Q727" s="299"/>
      <c r="R727" s="299"/>
      <c r="S727" s="299"/>
      <c r="T727" s="299"/>
      <c r="U727" s="299"/>
    </row>
    <row r="728">
      <c r="B728" s="3"/>
      <c r="D728" s="3"/>
      <c r="E728" s="300" t="s">
        <v>22</v>
      </c>
      <c r="F728" s="299"/>
      <c r="G728" s="299"/>
      <c r="H728" s="299"/>
      <c r="I728" s="299"/>
      <c r="J728" s="299"/>
      <c r="K728" s="299"/>
      <c r="L728" s="299"/>
      <c r="M728" s="299"/>
      <c r="N728" s="299"/>
      <c r="O728" s="299"/>
      <c r="P728" s="299"/>
      <c r="Q728" s="299"/>
      <c r="R728" s="299"/>
      <c r="S728" s="299"/>
      <c r="T728" s="299"/>
      <c r="U728" s="299"/>
    </row>
    <row r="729">
      <c r="B729" s="3"/>
      <c r="D729" s="3"/>
      <c r="E729" s="300" t="s">
        <v>22</v>
      </c>
      <c r="F729" s="299"/>
      <c r="G729" s="299"/>
      <c r="H729" s="299"/>
      <c r="I729" s="299"/>
      <c r="J729" s="299"/>
      <c r="K729" s="299"/>
      <c r="L729" s="299"/>
      <c r="M729" s="299"/>
      <c r="N729" s="299"/>
      <c r="O729" s="299"/>
      <c r="P729" s="299"/>
      <c r="Q729" s="299"/>
      <c r="R729" s="299"/>
      <c r="S729" s="299"/>
      <c r="T729" s="299"/>
      <c r="U729" s="299"/>
    </row>
    <row r="730">
      <c r="B730" s="3"/>
      <c r="D730" s="3"/>
      <c r="E730" s="300" t="s">
        <v>22</v>
      </c>
      <c r="F730" s="299"/>
      <c r="G730" s="299"/>
      <c r="H730" s="299"/>
      <c r="I730" s="299"/>
      <c r="J730" s="299"/>
      <c r="K730" s="299"/>
      <c r="L730" s="299"/>
      <c r="M730" s="299"/>
      <c r="N730" s="299"/>
      <c r="O730" s="299"/>
      <c r="P730" s="299"/>
      <c r="Q730" s="299"/>
      <c r="R730" s="299"/>
      <c r="S730" s="299"/>
      <c r="T730" s="299"/>
      <c r="U730" s="299"/>
    </row>
    <row r="731">
      <c r="B731" s="3"/>
      <c r="D731" s="3"/>
      <c r="E731" s="300" t="s">
        <v>22</v>
      </c>
      <c r="F731" s="299"/>
      <c r="G731" s="299"/>
      <c r="H731" s="299"/>
      <c r="I731" s="299"/>
      <c r="J731" s="299"/>
      <c r="K731" s="299"/>
      <c r="L731" s="299"/>
      <c r="M731" s="299"/>
      <c r="N731" s="299"/>
      <c r="O731" s="299"/>
      <c r="P731" s="299"/>
      <c r="Q731" s="299"/>
      <c r="R731" s="299"/>
      <c r="S731" s="299"/>
      <c r="T731" s="299"/>
      <c r="U731" s="299"/>
    </row>
    <row r="732">
      <c r="B732" s="3"/>
      <c r="D732" s="3"/>
      <c r="E732" s="300" t="s">
        <v>22</v>
      </c>
      <c r="F732" s="299"/>
      <c r="G732" s="299"/>
      <c r="H732" s="299"/>
      <c r="I732" s="299"/>
      <c r="J732" s="299"/>
      <c r="K732" s="299"/>
      <c r="L732" s="299"/>
      <c r="M732" s="299"/>
      <c r="N732" s="299"/>
      <c r="O732" s="299"/>
      <c r="P732" s="299"/>
      <c r="Q732" s="299"/>
      <c r="R732" s="299"/>
      <c r="S732" s="299"/>
      <c r="T732" s="299"/>
      <c r="U732" s="299"/>
    </row>
    <row r="733">
      <c r="B733" s="3"/>
      <c r="D733" s="3"/>
      <c r="E733" s="300" t="s">
        <v>22</v>
      </c>
      <c r="F733" s="299"/>
      <c r="G733" s="299"/>
      <c r="H733" s="299"/>
      <c r="I733" s="299"/>
      <c r="J733" s="299"/>
      <c r="K733" s="299"/>
      <c r="L733" s="299"/>
      <c r="M733" s="299"/>
      <c r="N733" s="299"/>
      <c r="O733" s="299"/>
      <c r="P733" s="299"/>
      <c r="Q733" s="299"/>
      <c r="R733" s="299"/>
      <c r="S733" s="299"/>
      <c r="T733" s="299"/>
      <c r="U733" s="299"/>
    </row>
    <row r="734">
      <c r="B734" s="3"/>
      <c r="D734" s="3"/>
      <c r="E734" s="300" t="s">
        <v>22</v>
      </c>
      <c r="F734" s="299"/>
      <c r="G734" s="299"/>
      <c r="H734" s="299"/>
      <c r="I734" s="299"/>
      <c r="J734" s="299"/>
      <c r="K734" s="299"/>
      <c r="L734" s="299"/>
      <c r="M734" s="299"/>
      <c r="N734" s="299"/>
      <c r="O734" s="299"/>
      <c r="P734" s="299"/>
      <c r="Q734" s="299"/>
      <c r="R734" s="299"/>
      <c r="S734" s="299"/>
      <c r="T734" s="299"/>
      <c r="U734" s="299"/>
    </row>
    <row r="735">
      <c r="B735" s="3"/>
      <c r="D735" s="3"/>
      <c r="E735" s="300" t="s">
        <v>22</v>
      </c>
      <c r="F735" s="299"/>
      <c r="G735" s="299"/>
      <c r="H735" s="299"/>
      <c r="I735" s="299"/>
      <c r="J735" s="299"/>
      <c r="K735" s="299"/>
      <c r="L735" s="299"/>
      <c r="M735" s="299"/>
      <c r="N735" s="299"/>
      <c r="O735" s="299"/>
      <c r="P735" s="299"/>
      <c r="Q735" s="299"/>
      <c r="R735" s="299"/>
      <c r="S735" s="299"/>
      <c r="T735" s="299"/>
      <c r="U735" s="299"/>
    </row>
    <row r="736">
      <c r="B736" s="3"/>
      <c r="D736" s="3"/>
      <c r="E736" s="300" t="s">
        <v>22</v>
      </c>
      <c r="F736" s="299"/>
      <c r="G736" s="299"/>
      <c r="H736" s="299"/>
      <c r="I736" s="299"/>
      <c r="J736" s="299"/>
      <c r="K736" s="299"/>
      <c r="L736" s="299"/>
      <c r="M736" s="299"/>
      <c r="N736" s="299"/>
      <c r="O736" s="299"/>
      <c r="P736" s="299"/>
      <c r="Q736" s="299"/>
      <c r="R736" s="299"/>
      <c r="S736" s="299"/>
      <c r="T736" s="299"/>
      <c r="U736" s="299"/>
    </row>
    <row r="737">
      <c r="B737" s="3"/>
      <c r="D737" s="3"/>
      <c r="E737" s="300" t="s">
        <v>22</v>
      </c>
      <c r="F737" s="299"/>
      <c r="G737" s="299"/>
      <c r="H737" s="299"/>
      <c r="I737" s="299"/>
      <c r="J737" s="299"/>
      <c r="K737" s="299"/>
      <c r="L737" s="299"/>
      <c r="M737" s="299"/>
      <c r="N737" s="299"/>
      <c r="O737" s="299"/>
      <c r="P737" s="299"/>
      <c r="Q737" s="299"/>
      <c r="R737" s="299"/>
      <c r="S737" s="299"/>
      <c r="T737" s="299"/>
      <c r="U737" s="299"/>
    </row>
    <row r="738">
      <c r="B738" s="3"/>
      <c r="D738" s="3"/>
      <c r="E738" s="300" t="s">
        <v>22</v>
      </c>
      <c r="F738" s="299"/>
      <c r="G738" s="299"/>
      <c r="H738" s="299"/>
      <c r="I738" s="299"/>
      <c r="J738" s="299"/>
      <c r="K738" s="299"/>
      <c r="L738" s="299"/>
      <c r="M738" s="299"/>
      <c r="N738" s="299"/>
      <c r="O738" s="299"/>
      <c r="P738" s="299"/>
      <c r="Q738" s="299"/>
      <c r="R738" s="299"/>
      <c r="S738" s="299"/>
      <c r="T738" s="299"/>
      <c r="U738" s="299"/>
    </row>
    <row r="739">
      <c r="B739" s="3"/>
      <c r="D739" s="3"/>
      <c r="E739" s="300" t="s">
        <v>22</v>
      </c>
      <c r="F739" s="299"/>
      <c r="G739" s="299"/>
      <c r="H739" s="299"/>
      <c r="I739" s="299"/>
      <c r="J739" s="299"/>
      <c r="K739" s="299"/>
      <c r="L739" s="299"/>
      <c r="M739" s="299"/>
      <c r="N739" s="299"/>
      <c r="O739" s="299"/>
      <c r="P739" s="299"/>
      <c r="Q739" s="299"/>
      <c r="R739" s="299"/>
      <c r="S739" s="299"/>
      <c r="T739" s="299"/>
      <c r="U739" s="299"/>
    </row>
    <row r="740">
      <c r="B740" s="3"/>
      <c r="D740" s="3"/>
      <c r="E740" s="300" t="s">
        <v>22</v>
      </c>
      <c r="F740" s="299"/>
      <c r="G740" s="299"/>
      <c r="H740" s="299"/>
      <c r="I740" s="299"/>
      <c r="J740" s="299"/>
      <c r="K740" s="299"/>
      <c r="L740" s="299"/>
      <c r="M740" s="299"/>
      <c r="N740" s="299"/>
      <c r="O740" s="299"/>
      <c r="P740" s="299"/>
      <c r="Q740" s="299"/>
      <c r="R740" s="299"/>
      <c r="S740" s="299"/>
      <c r="T740" s="299"/>
      <c r="U740" s="299"/>
    </row>
    <row r="741">
      <c r="B741" s="3"/>
      <c r="D741" s="3"/>
      <c r="E741" s="300" t="s">
        <v>22</v>
      </c>
      <c r="F741" s="299"/>
      <c r="G741" s="299"/>
      <c r="H741" s="299"/>
      <c r="I741" s="299"/>
      <c r="J741" s="299"/>
      <c r="K741" s="299"/>
      <c r="L741" s="299"/>
      <c r="M741" s="299"/>
      <c r="N741" s="299"/>
      <c r="O741" s="299"/>
      <c r="P741" s="299"/>
      <c r="Q741" s="299"/>
      <c r="R741" s="299"/>
      <c r="S741" s="299"/>
      <c r="T741" s="299"/>
      <c r="U741" s="299"/>
    </row>
    <row r="742">
      <c r="B742" s="3"/>
      <c r="D742" s="3"/>
      <c r="E742" s="300" t="s">
        <v>22</v>
      </c>
      <c r="F742" s="299"/>
      <c r="G742" s="299"/>
      <c r="H742" s="299"/>
      <c r="I742" s="299"/>
      <c r="J742" s="299"/>
      <c r="K742" s="299"/>
      <c r="L742" s="299"/>
      <c r="M742" s="299"/>
      <c r="N742" s="299"/>
      <c r="O742" s="299"/>
      <c r="P742" s="299"/>
      <c r="Q742" s="299"/>
      <c r="R742" s="299"/>
      <c r="S742" s="299"/>
      <c r="T742" s="299"/>
      <c r="U742" s="299"/>
    </row>
    <row r="743">
      <c r="B743" s="3"/>
      <c r="D743" s="3"/>
      <c r="E743" s="300" t="s">
        <v>22</v>
      </c>
      <c r="F743" s="299"/>
      <c r="G743" s="299"/>
      <c r="H743" s="299"/>
      <c r="I743" s="299"/>
      <c r="J743" s="299"/>
      <c r="K743" s="299"/>
      <c r="L743" s="299"/>
      <c r="M743" s="299"/>
      <c r="N743" s="299"/>
      <c r="O743" s="299"/>
      <c r="P743" s="299"/>
      <c r="Q743" s="299"/>
      <c r="R743" s="299"/>
      <c r="S743" s="299"/>
      <c r="T743" s="299"/>
      <c r="U743" s="299"/>
    </row>
    <row r="744">
      <c r="B744" s="3"/>
      <c r="D744" s="3"/>
      <c r="E744" s="300" t="s">
        <v>22</v>
      </c>
      <c r="F744" s="299"/>
      <c r="G744" s="299"/>
      <c r="H744" s="299"/>
      <c r="I744" s="299"/>
      <c r="J744" s="299"/>
      <c r="K744" s="299"/>
      <c r="L744" s="299"/>
      <c r="M744" s="299"/>
      <c r="N744" s="299"/>
      <c r="O744" s="299"/>
      <c r="P744" s="299"/>
      <c r="Q744" s="299"/>
      <c r="R744" s="299"/>
      <c r="S744" s="299"/>
      <c r="T744" s="299"/>
      <c r="U744" s="299"/>
    </row>
    <row r="745">
      <c r="B745" s="3"/>
      <c r="D745" s="3"/>
      <c r="E745" s="300" t="s">
        <v>22</v>
      </c>
      <c r="F745" s="299"/>
      <c r="G745" s="299"/>
      <c r="H745" s="299"/>
      <c r="I745" s="299"/>
      <c r="J745" s="299"/>
      <c r="K745" s="299"/>
      <c r="L745" s="299"/>
      <c r="M745" s="299"/>
      <c r="N745" s="299"/>
      <c r="O745" s="299"/>
      <c r="P745" s="299"/>
      <c r="Q745" s="299"/>
      <c r="R745" s="299"/>
      <c r="S745" s="299"/>
      <c r="T745" s="299"/>
      <c r="U745" s="299"/>
    </row>
    <row r="746">
      <c r="B746" s="3"/>
      <c r="D746" s="3"/>
      <c r="E746" s="300" t="s">
        <v>22</v>
      </c>
      <c r="F746" s="299"/>
      <c r="G746" s="299"/>
      <c r="H746" s="299"/>
      <c r="I746" s="299"/>
      <c r="J746" s="299"/>
      <c r="K746" s="299"/>
      <c r="L746" s="299"/>
      <c r="M746" s="299"/>
      <c r="N746" s="299"/>
      <c r="O746" s="299"/>
      <c r="P746" s="299"/>
      <c r="Q746" s="299"/>
      <c r="R746" s="299"/>
      <c r="S746" s="299"/>
      <c r="T746" s="299"/>
      <c r="U746" s="299"/>
    </row>
    <row r="747">
      <c r="B747" s="3"/>
      <c r="D747" s="3"/>
      <c r="E747" s="300" t="s">
        <v>22</v>
      </c>
      <c r="F747" s="299"/>
      <c r="G747" s="299"/>
      <c r="H747" s="299"/>
      <c r="I747" s="299"/>
      <c r="J747" s="299"/>
      <c r="K747" s="299"/>
      <c r="L747" s="299"/>
      <c r="M747" s="299"/>
      <c r="N747" s="299"/>
      <c r="O747" s="299"/>
      <c r="P747" s="299"/>
      <c r="Q747" s="299"/>
      <c r="R747" s="299"/>
      <c r="S747" s="299"/>
      <c r="T747" s="299"/>
      <c r="U747" s="299"/>
    </row>
    <row r="748">
      <c r="B748" s="3"/>
      <c r="D748" s="3"/>
      <c r="E748" s="300" t="s">
        <v>22</v>
      </c>
      <c r="F748" s="299"/>
      <c r="G748" s="299"/>
      <c r="H748" s="299"/>
      <c r="I748" s="299"/>
      <c r="J748" s="299"/>
      <c r="K748" s="299"/>
      <c r="L748" s="299"/>
      <c r="M748" s="299"/>
      <c r="N748" s="299"/>
      <c r="O748" s="299"/>
      <c r="P748" s="299"/>
      <c r="Q748" s="299"/>
      <c r="R748" s="299"/>
      <c r="S748" s="299"/>
      <c r="T748" s="299"/>
      <c r="U748" s="299"/>
    </row>
    <row r="749">
      <c r="B749" s="3"/>
      <c r="D749" s="3"/>
      <c r="E749" s="300" t="s">
        <v>22</v>
      </c>
      <c r="F749" s="299"/>
      <c r="G749" s="299"/>
      <c r="H749" s="299"/>
      <c r="I749" s="299"/>
      <c r="J749" s="299"/>
      <c r="K749" s="299"/>
      <c r="L749" s="299"/>
      <c r="M749" s="299"/>
      <c r="N749" s="299"/>
      <c r="O749" s="299"/>
      <c r="P749" s="299"/>
      <c r="Q749" s="299"/>
      <c r="R749" s="299"/>
      <c r="S749" s="299"/>
      <c r="T749" s="299"/>
      <c r="U749" s="299"/>
    </row>
    <row r="750">
      <c r="B750" s="3"/>
      <c r="D750" s="3"/>
      <c r="E750" s="300" t="s">
        <v>22</v>
      </c>
      <c r="F750" s="299"/>
      <c r="G750" s="299"/>
      <c r="H750" s="299"/>
      <c r="I750" s="299"/>
      <c r="J750" s="299"/>
      <c r="K750" s="299"/>
      <c r="L750" s="299"/>
      <c r="M750" s="299"/>
      <c r="N750" s="299"/>
      <c r="O750" s="299"/>
      <c r="P750" s="299"/>
      <c r="Q750" s="299"/>
      <c r="R750" s="299"/>
      <c r="S750" s="299"/>
      <c r="T750" s="299"/>
      <c r="U750" s="299"/>
    </row>
    <row r="751">
      <c r="B751" s="3"/>
      <c r="D751" s="3"/>
      <c r="E751" s="300" t="s">
        <v>22</v>
      </c>
      <c r="F751" s="299"/>
      <c r="G751" s="299"/>
      <c r="H751" s="299"/>
      <c r="I751" s="299"/>
      <c r="J751" s="299"/>
      <c r="K751" s="299"/>
      <c r="L751" s="299"/>
      <c r="M751" s="299"/>
      <c r="N751" s="299"/>
      <c r="O751" s="299"/>
      <c r="P751" s="299"/>
      <c r="Q751" s="299"/>
      <c r="R751" s="299"/>
      <c r="S751" s="299"/>
      <c r="T751" s="299"/>
      <c r="U751" s="299"/>
    </row>
    <row r="752">
      <c r="B752" s="3"/>
      <c r="D752" s="3"/>
      <c r="E752" s="300" t="s">
        <v>22</v>
      </c>
      <c r="F752" s="299"/>
      <c r="G752" s="299"/>
      <c r="H752" s="299"/>
      <c r="I752" s="299"/>
      <c r="J752" s="299"/>
      <c r="K752" s="299"/>
      <c r="L752" s="299"/>
      <c r="M752" s="299"/>
      <c r="N752" s="299"/>
      <c r="O752" s="299"/>
      <c r="P752" s="299"/>
      <c r="Q752" s="299"/>
      <c r="R752" s="299"/>
      <c r="S752" s="299"/>
      <c r="T752" s="299"/>
      <c r="U752" s="299"/>
    </row>
    <row r="753">
      <c r="B753" s="3"/>
      <c r="D753" s="3"/>
      <c r="E753" s="300" t="s">
        <v>22</v>
      </c>
      <c r="F753" s="299"/>
      <c r="G753" s="299"/>
      <c r="H753" s="299"/>
      <c r="I753" s="299"/>
      <c r="J753" s="299"/>
      <c r="K753" s="299"/>
      <c r="L753" s="299"/>
      <c r="M753" s="299"/>
      <c r="N753" s="299"/>
      <c r="O753" s="299"/>
      <c r="P753" s="299"/>
      <c r="Q753" s="299"/>
      <c r="R753" s="299"/>
      <c r="S753" s="299"/>
      <c r="T753" s="299"/>
      <c r="U753" s="299"/>
    </row>
    <row r="754">
      <c r="B754" s="3"/>
      <c r="D754" s="3"/>
      <c r="E754" s="300" t="s">
        <v>22</v>
      </c>
      <c r="F754" s="299"/>
      <c r="G754" s="299"/>
      <c r="H754" s="299"/>
      <c r="I754" s="299"/>
      <c r="J754" s="299"/>
      <c r="K754" s="299"/>
      <c r="L754" s="299"/>
      <c r="M754" s="299"/>
      <c r="N754" s="299"/>
      <c r="O754" s="299"/>
      <c r="P754" s="299"/>
      <c r="Q754" s="299"/>
      <c r="R754" s="299"/>
      <c r="S754" s="299"/>
      <c r="T754" s="299"/>
      <c r="U754" s="299"/>
    </row>
    <row r="755">
      <c r="B755" s="3"/>
      <c r="D755" s="3"/>
      <c r="E755" s="300" t="s">
        <v>22</v>
      </c>
      <c r="F755" s="299"/>
      <c r="G755" s="299"/>
      <c r="H755" s="299"/>
      <c r="I755" s="299"/>
      <c r="J755" s="299"/>
      <c r="K755" s="299"/>
      <c r="L755" s="299"/>
      <c r="M755" s="299"/>
      <c r="N755" s="299"/>
      <c r="O755" s="299"/>
      <c r="P755" s="299"/>
      <c r="Q755" s="299"/>
      <c r="R755" s="299"/>
      <c r="S755" s="299"/>
      <c r="T755" s="299"/>
      <c r="U755" s="299"/>
    </row>
    <row r="756">
      <c r="B756" s="3"/>
      <c r="D756" s="3"/>
      <c r="E756" s="300" t="s">
        <v>22</v>
      </c>
      <c r="F756" s="299"/>
      <c r="G756" s="299"/>
      <c r="H756" s="299"/>
      <c r="I756" s="299"/>
      <c r="J756" s="299"/>
      <c r="K756" s="299"/>
      <c r="L756" s="299"/>
      <c r="M756" s="299"/>
      <c r="N756" s="299"/>
      <c r="O756" s="299"/>
      <c r="P756" s="299"/>
      <c r="Q756" s="299"/>
      <c r="R756" s="299"/>
      <c r="S756" s="299"/>
      <c r="T756" s="299"/>
      <c r="U756" s="299"/>
    </row>
    <row r="757">
      <c r="B757" s="3"/>
      <c r="D757" s="3"/>
      <c r="E757" s="300" t="s">
        <v>22</v>
      </c>
      <c r="F757" s="299"/>
      <c r="G757" s="299"/>
      <c r="H757" s="299"/>
      <c r="I757" s="299"/>
      <c r="J757" s="299"/>
      <c r="K757" s="299"/>
      <c r="L757" s="299"/>
      <c r="M757" s="299"/>
      <c r="N757" s="299"/>
      <c r="O757" s="299"/>
      <c r="P757" s="299"/>
      <c r="Q757" s="299"/>
      <c r="R757" s="299"/>
      <c r="S757" s="299"/>
      <c r="T757" s="299"/>
      <c r="U757" s="299"/>
    </row>
    <row r="758">
      <c r="B758" s="3"/>
      <c r="D758" s="3"/>
      <c r="E758" s="300" t="s">
        <v>22</v>
      </c>
      <c r="F758" s="299"/>
      <c r="G758" s="299"/>
      <c r="H758" s="299"/>
      <c r="I758" s="299"/>
      <c r="J758" s="299"/>
      <c r="K758" s="299"/>
      <c r="L758" s="299"/>
      <c r="M758" s="299"/>
      <c r="N758" s="299"/>
      <c r="O758" s="299"/>
      <c r="P758" s="299"/>
      <c r="Q758" s="299"/>
      <c r="R758" s="299"/>
      <c r="S758" s="299"/>
      <c r="T758" s="299"/>
      <c r="U758" s="299"/>
    </row>
    <row r="759">
      <c r="B759" s="3"/>
      <c r="D759" s="3"/>
      <c r="E759" s="300" t="s">
        <v>22</v>
      </c>
      <c r="F759" s="299"/>
      <c r="G759" s="299"/>
      <c r="H759" s="299"/>
      <c r="I759" s="299"/>
      <c r="J759" s="299"/>
      <c r="K759" s="299"/>
      <c r="L759" s="299"/>
      <c r="M759" s="299"/>
      <c r="N759" s="299"/>
      <c r="O759" s="299"/>
      <c r="P759" s="299"/>
      <c r="Q759" s="299"/>
      <c r="R759" s="299"/>
      <c r="S759" s="299"/>
      <c r="T759" s="299"/>
      <c r="U759" s="299"/>
    </row>
    <row r="760">
      <c r="B760" s="3"/>
      <c r="D760" s="3"/>
      <c r="E760" s="300" t="s">
        <v>22</v>
      </c>
      <c r="F760" s="299"/>
      <c r="G760" s="299"/>
      <c r="H760" s="299"/>
      <c r="I760" s="299"/>
      <c r="J760" s="299"/>
      <c r="K760" s="299"/>
      <c r="L760" s="299"/>
      <c r="M760" s="299"/>
      <c r="N760" s="299"/>
      <c r="O760" s="299"/>
      <c r="P760" s="299"/>
      <c r="Q760" s="299"/>
      <c r="R760" s="299"/>
      <c r="S760" s="299"/>
      <c r="T760" s="299"/>
      <c r="U760" s="299"/>
    </row>
    <row r="761">
      <c r="B761" s="3"/>
      <c r="D761" s="3"/>
      <c r="E761" s="300" t="s">
        <v>22</v>
      </c>
      <c r="F761" s="299"/>
      <c r="G761" s="299"/>
      <c r="H761" s="299"/>
      <c r="I761" s="299"/>
      <c r="J761" s="299"/>
      <c r="K761" s="299"/>
      <c r="L761" s="299"/>
      <c r="M761" s="299"/>
      <c r="N761" s="299"/>
      <c r="O761" s="299"/>
      <c r="P761" s="299"/>
      <c r="Q761" s="299"/>
      <c r="R761" s="299"/>
      <c r="S761" s="299"/>
      <c r="T761" s="299"/>
      <c r="U761" s="299"/>
    </row>
    <row r="762">
      <c r="B762" s="3"/>
      <c r="D762" s="3"/>
      <c r="E762" s="300" t="s">
        <v>22</v>
      </c>
      <c r="F762" s="299"/>
      <c r="G762" s="299"/>
      <c r="H762" s="299"/>
      <c r="I762" s="299"/>
      <c r="J762" s="299"/>
      <c r="K762" s="299"/>
      <c r="L762" s="299"/>
      <c r="M762" s="299"/>
      <c r="N762" s="299"/>
      <c r="O762" s="299"/>
      <c r="P762" s="299"/>
      <c r="Q762" s="299"/>
      <c r="R762" s="299"/>
      <c r="S762" s="299"/>
      <c r="T762" s="299"/>
      <c r="U762" s="299"/>
    </row>
    <row r="763">
      <c r="B763" s="3"/>
      <c r="D763" s="3"/>
      <c r="E763" s="300" t="s">
        <v>22</v>
      </c>
      <c r="F763" s="299"/>
      <c r="G763" s="299"/>
      <c r="H763" s="299"/>
      <c r="I763" s="299"/>
      <c r="J763" s="299"/>
      <c r="K763" s="299"/>
      <c r="L763" s="299"/>
      <c r="M763" s="299"/>
      <c r="N763" s="299"/>
      <c r="O763" s="299"/>
      <c r="P763" s="299"/>
      <c r="Q763" s="299"/>
      <c r="R763" s="299"/>
      <c r="S763" s="299"/>
      <c r="T763" s="299"/>
      <c r="U763" s="299"/>
    </row>
    <row r="764">
      <c r="B764" s="3"/>
      <c r="D764" s="3"/>
      <c r="E764" s="300" t="s">
        <v>22</v>
      </c>
      <c r="F764" s="299"/>
      <c r="G764" s="299"/>
      <c r="H764" s="299"/>
      <c r="I764" s="299"/>
      <c r="J764" s="299"/>
      <c r="K764" s="299"/>
      <c r="L764" s="299"/>
      <c r="M764" s="299"/>
      <c r="N764" s="299"/>
      <c r="O764" s="299"/>
      <c r="P764" s="299"/>
      <c r="Q764" s="299"/>
      <c r="R764" s="299"/>
      <c r="S764" s="299"/>
      <c r="T764" s="299"/>
      <c r="U764" s="299"/>
    </row>
    <row r="765">
      <c r="B765" s="3"/>
      <c r="D765" s="3"/>
      <c r="E765" s="300" t="s">
        <v>22</v>
      </c>
      <c r="F765" s="299"/>
      <c r="G765" s="299"/>
      <c r="H765" s="299"/>
      <c r="I765" s="299"/>
      <c r="J765" s="299"/>
      <c r="K765" s="299"/>
      <c r="L765" s="299"/>
      <c r="M765" s="299"/>
      <c r="N765" s="299"/>
      <c r="O765" s="299"/>
      <c r="P765" s="299"/>
      <c r="Q765" s="299"/>
      <c r="R765" s="299"/>
      <c r="S765" s="299"/>
      <c r="T765" s="299"/>
      <c r="U765" s="299"/>
    </row>
    <row r="766">
      <c r="B766" s="3"/>
      <c r="D766" s="3"/>
      <c r="E766" s="300" t="s">
        <v>22</v>
      </c>
      <c r="F766" s="299"/>
      <c r="G766" s="299"/>
      <c r="H766" s="299"/>
      <c r="I766" s="299"/>
      <c r="J766" s="299"/>
      <c r="K766" s="299"/>
      <c r="L766" s="299"/>
      <c r="M766" s="299"/>
      <c r="N766" s="299"/>
      <c r="O766" s="299"/>
      <c r="P766" s="299"/>
      <c r="Q766" s="299"/>
      <c r="R766" s="299"/>
      <c r="S766" s="299"/>
      <c r="T766" s="299"/>
      <c r="U766" s="299"/>
    </row>
    <row r="767">
      <c r="B767" s="3"/>
      <c r="D767" s="3"/>
      <c r="E767" s="300" t="s">
        <v>22</v>
      </c>
      <c r="F767" s="299"/>
      <c r="G767" s="299"/>
      <c r="H767" s="299"/>
      <c r="I767" s="299"/>
      <c r="J767" s="299"/>
      <c r="K767" s="299"/>
      <c r="L767" s="299"/>
      <c r="M767" s="299"/>
      <c r="N767" s="299"/>
      <c r="O767" s="299"/>
      <c r="P767" s="299"/>
      <c r="Q767" s="299"/>
      <c r="R767" s="299"/>
      <c r="S767" s="299"/>
      <c r="T767" s="299"/>
      <c r="U767" s="299"/>
    </row>
    <row r="768">
      <c r="B768" s="3"/>
      <c r="D768" s="3"/>
      <c r="E768" s="300" t="s">
        <v>22</v>
      </c>
      <c r="F768" s="299"/>
      <c r="G768" s="299"/>
      <c r="H768" s="299"/>
      <c r="I768" s="299"/>
      <c r="J768" s="299"/>
      <c r="K768" s="299"/>
      <c r="L768" s="299"/>
      <c r="M768" s="299"/>
      <c r="N768" s="299"/>
      <c r="O768" s="299"/>
      <c r="P768" s="299"/>
      <c r="Q768" s="299"/>
      <c r="R768" s="299"/>
      <c r="S768" s="299"/>
      <c r="T768" s="299"/>
      <c r="U768" s="299"/>
    </row>
    <row r="769">
      <c r="B769" s="3"/>
      <c r="D769" s="3"/>
      <c r="E769" s="300" t="s">
        <v>22</v>
      </c>
      <c r="F769" s="299"/>
      <c r="G769" s="299"/>
      <c r="H769" s="299"/>
      <c r="I769" s="299"/>
      <c r="J769" s="299"/>
      <c r="K769" s="299"/>
      <c r="L769" s="299"/>
      <c r="M769" s="299"/>
      <c r="N769" s="299"/>
      <c r="O769" s="299"/>
      <c r="P769" s="299"/>
      <c r="Q769" s="299"/>
      <c r="R769" s="299"/>
      <c r="S769" s="299"/>
      <c r="T769" s="299"/>
      <c r="U769" s="299"/>
    </row>
    <row r="770">
      <c r="B770" s="3"/>
      <c r="D770" s="3"/>
      <c r="E770" s="300" t="s">
        <v>22</v>
      </c>
      <c r="F770" s="299"/>
      <c r="G770" s="299"/>
      <c r="H770" s="299"/>
      <c r="I770" s="299"/>
      <c r="J770" s="299"/>
      <c r="K770" s="299"/>
      <c r="L770" s="299"/>
      <c r="M770" s="299"/>
      <c r="N770" s="299"/>
      <c r="O770" s="299"/>
      <c r="P770" s="299"/>
      <c r="Q770" s="299"/>
      <c r="R770" s="299"/>
      <c r="S770" s="299"/>
      <c r="T770" s="299"/>
      <c r="U770" s="299"/>
    </row>
    <row r="771">
      <c r="B771" s="3"/>
      <c r="D771" s="3"/>
      <c r="E771" s="300" t="s">
        <v>22</v>
      </c>
      <c r="F771" s="299"/>
      <c r="G771" s="299"/>
      <c r="H771" s="299"/>
      <c r="I771" s="299"/>
      <c r="J771" s="299"/>
      <c r="K771" s="299"/>
      <c r="L771" s="299"/>
      <c r="M771" s="299"/>
      <c r="N771" s="299"/>
      <c r="O771" s="299"/>
      <c r="P771" s="299"/>
      <c r="Q771" s="299"/>
      <c r="R771" s="299"/>
      <c r="S771" s="299"/>
      <c r="T771" s="299"/>
      <c r="U771" s="299"/>
    </row>
    <row r="772">
      <c r="B772" s="3"/>
      <c r="D772" s="3"/>
      <c r="E772" s="300" t="s">
        <v>22</v>
      </c>
      <c r="F772" s="299"/>
      <c r="G772" s="299"/>
      <c r="H772" s="299"/>
      <c r="I772" s="299"/>
      <c r="J772" s="299"/>
      <c r="K772" s="299"/>
      <c r="L772" s="299"/>
      <c r="M772" s="299"/>
      <c r="N772" s="299"/>
      <c r="O772" s="299"/>
      <c r="P772" s="299"/>
      <c r="Q772" s="299"/>
      <c r="R772" s="299"/>
      <c r="S772" s="299"/>
      <c r="T772" s="299"/>
      <c r="U772" s="299"/>
    </row>
    <row r="773">
      <c r="B773" s="3"/>
      <c r="D773" s="3"/>
      <c r="E773" s="300" t="s">
        <v>22</v>
      </c>
      <c r="F773" s="299"/>
      <c r="G773" s="299"/>
      <c r="H773" s="299"/>
      <c r="I773" s="299"/>
      <c r="J773" s="299"/>
      <c r="K773" s="299"/>
      <c r="L773" s="299"/>
      <c r="M773" s="299"/>
      <c r="N773" s="299"/>
      <c r="O773" s="299"/>
      <c r="P773" s="299"/>
      <c r="Q773" s="299"/>
      <c r="R773" s="299"/>
      <c r="S773" s="299"/>
      <c r="T773" s="299"/>
      <c r="U773" s="299"/>
    </row>
    <row r="774">
      <c r="B774" s="3"/>
      <c r="D774" s="3"/>
      <c r="E774" s="300" t="s">
        <v>22</v>
      </c>
      <c r="F774" s="299"/>
      <c r="G774" s="299"/>
      <c r="H774" s="299"/>
      <c r="I774" s="299"/>
      <c r="J774" s="299"/>
      <c r="K774" s="299"/>
      <c r="L774" s="299"/>
      <c r="M774" s="299"/>
      <c r="N774" s="299"/>
      <c r="O774" s="299"/>
      <c r="P774" s="299"/>
      <c r="Q774" s="299"/>
      <c r="R774" s="299"/>
      <c r="S774" s="299"/>
      <c r="T774" s="299"/>
      <c r="U774" s="299"/>
    </row>
    <row r="775">
      <c r="B775" s="3"/>
      <c r="D775" s="3"/>
      <c r="E775" s="300" t="s">
        <v>22</v>
      </c>
      <c r="F775" s="299"/>
      <c r="G775" s="299"/>
      <c r="H775" s="299"/>
      <c r="I775" s="299"/>
      <c r="J775" s="299"/>
      <c r="K775" s="299"/>
      <c r="L775" s="299"/>
      <c r="M775" s="299"/>
      <c r="N775" s="299"/>
      <c r="O775" s="299"/>
      <c r="P775" s="299"/>
      <c r="Q775" s="299"/>
      <c r="R775" s="299"/>
      <c r="S775" s="299"/>
      <c r="T775" s="299"/>
      <c r="U775" s="299"/>
    </row>
    <row r="776">
      <c r="B776" s="3"/>
      <c r="D776" s="3"/>
      <c r="E776" s="300" t="s">
        <v>22</v>
      </c>
      <c r="F776" s="299"/>
      <c r="G776" s="299"/>
      <c r="H776" s="299"/>
      <c r="I776" s="299"/>
      <c r="J776" s="299"/>
      <c r="K776" s="299"/>
      <c r="L776" s="299"/>
      <c r="M776" s="299"/>
      <c r="N776" s="299"/>
      <c r="O776" s="299"/>
      <c r="P776" s="299"/>
      <c r="Q776" s="299"/>
      <c r="R776" s="299"/>
      <c r="S776" s="299"/>
      <c r="T776" s="299"/>
      <c r="U776" s="299"/>
    </row>
    <row r="777">
      <c r="B777" s="3"/>
      <c r="D777" s="3"/>
      <c r="E777" s="300" t="s">
        <v>22</v>
      </c>
      <c r="F777" s="299"/>
      <c r="G777" s="299"/>
      <c r="H777" s="299"/>
      <c r="I777" s="299"/>
      <c r="J777" s="299"/>
      <c r="K777" s="299"/>
      <c r="L777" s="299"/>
      <c r="M777" s="299"/>
      <c r="N777" s="299"/>
      <c r="O777" s="299"/>
      <c r="P777" s="299"/>
      <c r="Q777" s="299"/>
      <c r="R777" s="299"/>
      <c r="S777" s="299"/>
      <c r="T777" s="299"/>
      <c r="U777" s="299"/>
    </row>
    <row r="778">
      <c r="B778" s="3"/>
      <c r="D778" s="3"/>
      <c r="E778" s="300" t="s">
        <v>22</v>
      </c>
      <c r="F778" s="299"/>
      <c r="G778" s="299"/>
      <c r="H778" s="299"/>
      <c r="I778" s="299"/>
      <c r="J778" s="299"/>
      <c r="K778" s="299"/>
      <c r="L778" s="299"/>
      <c r="M778" s="299"/>
      <c r="N778" s="299"/>
      <c r="O778" s="299"/>
      <c r="P778" s="299"/>
      <c r="Q778" s="299"/>
      <c r="R778" s="299"/>
      <c r="S778" s="299"/>
      <c r="T778" s="299"/>
      <c r="U778" s="299"/>
    </row>
    <row r="779">
      <c r="B779" s="3"/>
      <c r="D779" s="3"/>
      <c r="E779" s="300" t="s">
        <v>22</v>
      </c>
      <c r="F779" s="299"/>
      <c r="G779" s="299"/>
      <c r="H779" s="299"/>
      <c r="I779" s="299"/>
      <c r="J779" s="299"/>
      <c r="K779" s="299"/>
      <c r="L779" s="299"/>
      <c r="M779" s="299"/>
      <c r="N779" s="299"/>
      <c r="O779" s="299"/>
      <c r="P779" s="299"/>
      <c r="Q779" s="299"/>
      <c r="R779" s="299"/>
      <c r="S779" s="299"/>
      <c r="T779" s="299"/>
      <c r="U779" s="299"/>
    </row>
    <row r="780">
      <c r="B780" s="3"/>
      <c r="D780" s="3"/>
      <c r="E780" s="300" t="s">
        <v>22</v>
      </c>
      <c r="F780" s="299"/>
      <c r="G780" s="299"/>
      <c r="H780" s="299"/>
      <c r="I780" s="299"/>
      <c r="J780" s="299"/>
      <c r="K780" s="299"/>
      <c r="L780" s="299"/>
      <c r="M780" s="299"/>
      <c r="N780" s="299"/>
      <c r="O780" s="299"/>
      <c r="P780" s="299"/>
      <c r="Q780" s="299"/>
      <c r="R780" s="299"/>
      <c r="S780" s="299"/>
      <c r="T780" s="299"/>
      <c r="U780" s="299"/>
    </row>
    <row r="781">
      <c r="B781" s="3"/>
      <c r="D781" s="3"/>
      <c r="E781" s="300" t="s">
        <v>22</v>
      </c>
      <c r="F781" s="299"/>
      <c r="G781" s="299"/>
      <c r="H781" s="299"/>
      <c r="I781" s="299"/>
      <c r="J781" s="299"/>
      <c r="K781" s="299"/>
      <c r="L781" s="299"/>
      <c r="M781" s="299"/>
      <c r="N781" s="299"/>
      <c r="O781" s="299"/>
      <c r="P781" s="299"/>
      <c r="Q781" s="299"/>
      <c r="R781" s="299"/>
      <c r="S781" s="299"/>
      <c r="T781" s="299"/>
      <c r="U781" s="299"/>
    </row>
    <row r="782">
      <c r="B782" s="3"/>
      <c r="D782" s="3"/>
      <c r="E782" s="300" t="s">
        <v>22</v>
      </c>
      <c r="F782" s="299"/>
      <c r="G782" s="299"/>
      <c r="H782" s="299"/>
      <c r="I782" s="299"/>
      <c r="J782" s="299"/>
      <c r="K782" s="299"/>
      <c r="L782" s="299"/>
      <c r="M782" s="299"/>
      <c r="N782" s="299"/>
      <c r="O782" s="299"/>
      <c r="P782" s="299"/>
      <c r="Q782" s="299"/>
      <c r="R782" s="299"/>
      <c r="S782" s="299"/>
      <c r="T782" s="299"/>
      <c r="U782" s="299"/>
    </row>
    <row r="783">
      <c r="B783" s="3"/>
      <c r="D783" s="3"/>
      <c r="E783" s="300" t="s">
        <v>22</v>
      </c>
      <c r="F783" s="299"/>
      <c r="G783" s="299"/>
      <c r="H783" s="299"/>
      <c r="I783" s="299"/>
      <c r="J783" s="299"/>
      <c r="K783" s="299"/>
      <c r="L783" s="299"/>
      <c r="M783" s="299"/>
      <c r="N783" s="299"/>
      <c r="O783" s="299"/>
      <c r="P783" s="299"/>
      <c r="Q783" s="299"/>
      <c r="R783" s="299"/>
      <c r="S783" s="299"/>
      <c r="T783" s="299"/>
      <c r="U783" s="299"/>
    </row>
    <row r="784">
      <c r="B784" s="3"/>
      <c r="D784" s="3"/>
      <c r="E784" s="300" t="s">
        <v>22</v>
      </c>
      <c r="F784" s="299"/>
      <c r="G784" s="299"/>
      <c r="H784" s="299"/>
      <c r="I784" s="299"/>
      <c r="J784" s="299"/>
      <c r="K784" s="299"/>
      <c r="L784" s="299"/>
      <c r="M784" s="299"/>
      <c r="N784" s="299"/>
      <c r="O784" s="299"/>
      <c r="P784" s="299"/>
      <c r="Q784" s="299"/>
      <c r="R784" s="299"/>
      <c r="S784" s="299"/>
      <c r="T784" s="299"/>
      <c r="U784" s="299"/>
    </row>
    <row r="785">
      <c r="B785" s="3"/>
      <c r="D785" s="3"/>
      <c r="E785" s="300" t="s">
        <v>22</v>
      </c>
      <c r="F785" s="299"/>
      <c r="G785" s="299"/>
      <c r="H785" s="299"/>
      <c r="I785" s="299"/>
      <c r="J785" s="299"/>
      <c r="K785" s="299"/>
      <c r="L785" s="299"/>
      <c r="M785" s="299"/>
      <c r="N785" s="299"/>
      <c r="O785" s="299"/>
      <c r="P785" s="299"/>
      <c r="Q785" s="299"/>
      <c r="R785" s="299"/>
      <c r="S785" s="299"/>
      <c r="T785" s="299"/>
      <c r="U785" s="299"/>
    </row>
    <row r="786">
      <c r="B786" s="3"/>
      <c r="D786" s="3"/>
      <c r="E786" s="300" t="s">
        <v>22</v>
      </c>
      <c r="F786" s="299"/>
      <c r="G786" s="299"/>
      <c r="H786" s="299"/>
      <c r="I786" s="299"/>
      <c r="J786" s="299"/>
      <c r="K786" s="299"/>
      <c r="L786" s="299"/>
      <c r="M786" s="299"/>
      <c r="N786" s="299"/>
      <c r="O786" s="299"/>
      <c r="P786" s="299"/>
      <c r="Q786" s="299"/>
      <c r="R786" s="299"/>
      <c r="S786" s="299"/>
      <c r="T786" s="299"/>
      <c r="U786" s="299"/>
    </row>
    <row r="787">
      <c r="B787" s="3"/>
      <c r="D787" s="3"/>
      <c r="E787" s="300" t="s">
        <v>22</v>
      </c>
      <c r="F787" s="299"/>
      <c r="G787" s="299"/>
      <c r="H787" s="299"/>
      <c r="I787" s="299"/>
      <c r="J787" s="299"/>
      <c r="K787" s="299"/>
      <c r="L787" s="299"/>
      <c r="M787" s="299"/>
      <c r="N787" s="299"/>
      <c r="O787" s="299"/>
      <c r="P787" s="299"/>
      <c r="Q787" s="299"/>
      <c r="R787" s="299"/>
      <c r="S787" s="299"/>
      <c r="T787" s="299"/>
      <c r="U787" s="299"/>
    </row>
    <row r="788">
      <c r="B788" s="3"/>
      <c r="D788" s="3"/>
      <c r="E788" s="300" t="s">
        <v>22</v>
      </c>
      <c r="F788" s="299"/>
      <c r="G788" s="299"/>
      <c r="H788" s="299"/>
      <c r="I788" s="299"/>
      <c r="J788" s="299"/>
      <c r="K788" s="299"/>
      <c r="L788" s="299"/>
      <c r="M788" s="299"/>
      <c r="N788" s="299"/>
      <c r="O788" s="299"/>
      <c r="P788" s="299"/>
      <c r="Q788" s="299"/>
      <c r="R788" s="299"/>
      <c r="S788" s="299"/>
      <c r="T788" s="299"/>
      <c r="U788" s="299"/>
    </row>
    <row r="789">
      <c r="B789" s="3"/>
      <c r="D789" s="3"/>
      <c r="E789" s="300" t="s">
        <v>22</v>
      </c>
      <c r="F789" s="299"/>
      <c r="G789" s="299"/>
      <c r="H789" s="299"/>
      <c r="I789" s="299"/>
      <c r="J789" s="299"/>
      <c r="K789" s="299"/>
      <c r="L789" s="299"/>
      <c r="M789" s="299"/>
      <c r="N789" s="299"/>
      <c r="O789" s="299"/>
      <c r="P789" s="299"/>
      <c r="Q789" s="299"/>
      <c r="R789" s="299"/>
      <c r="S789" s="299"/>
      <c r="T789" s="299"/>
      <c r="U789" s="299"/>
    </row>
    <row r="790">
      <c r="B790" s="3"/>
      <c r="D790" s="3"/>
      <c r="E790" s="300" t="s">
        <v>22</v>
      </c>
      <c r="F790" s="299"/>
      <c r="G790" s="299"/>
      <c r="H790" s="299"/>
      <c r="I790" s="299"/>
      <c r="J790" s="299"/>
      <c r="K790" s="299"/>
      <c r="L790" s="299"/>
      <c r="M790" s="299"/>
      <c r="N790" s="299"/>
      <c r="O790" s="299"/>
      <c r="P790" s="299"/>
      <c r="Q790" s="299"/>
      <c r="R790" s="299"/>
      <c r="S790" s="299"/>
      <c r="T790" s="299"/>
      <c r="U790" s="299"/>
    </row>
    <row r="791">
      <c r="B791" s="3"/>
      <c r="D791" s="3"/>
      <c r="E791" s="300" t="s">
        <v>22</v>
      </c>
      <c r="F791" s="299"/>
      <c r="G791" s="299"/>
      <c r="H791" s="299"/>
      <c r="I791" s="299"/>
      <c r="J791" s="299"/>
      <c r="K791" s="299"/>
      <c r="L791" s="299"/>
      <c r="M791" s="299"/>
      <c r="N791" s="299"/>
      <c r="O791" s="299"/>
      <c r="P791" s="299"/>
      <c r="Q791" s="299"/>
      <c r="R791" s="299"/>
      <c r="S791" s="299"/>
      <c r="T791" s="299"/>
      <c r="U791" s="299"/>
    </row>
    <row r="792">
      <c r="B792" s="3"/>
      <c r="D792" s="3"/>
      <c r="E792" s="300" t="s">
        <v>22</v>
      </c>
      <c r="F792" s="299"/>
      <c r="G792" s="299"/>
      <c r="H792" s="299"/>
      <c r="I792" s="299"/>
      <c r="J792" s="299"/>
      <c r="K792" s="299"/>
      <c r="L792" s="299"/>
      <c r="M792" s="299"/>
      <c r="N792" s="299"/>
      <c r="O792" s="299"/>
      <c r="P792" s="299"/>
      <c r="Q792" s="299"/>
      <c r="R792" s="299"/>
      <c r="S792" s="299"/>
      <c r="T792" s="299"/>
      <c r="U792" s="299"/>
    </row>
    <row r="793">
      <c r="B793" s="3"/>
      <c r="D793" s="3"/>
      <c r="E793" s="300" t="s">
        <v>22</v>
      </c>
      <c r="F793" s="299"/>
      <c r="G793" s="299"/>
      <c r="H793" s="299"/>
      <c r="I793" s="299"/>
      <c r="J793" s="299"/>
      <c r="K793" s="299"/>
      <c r="L793" s="299"/>
      <c r="M793" s="299"/>
      <c r="N793" s="299"/>
      <c r="O793" s="299"/>
      <c r="P793" s="299"/>
      <c r="Q793" s="299"/>
      <c r="R793" s="299"/>
      <c r="S793" s="299"/>
      <c r="T793" s="299"/>
      <c r="U793" s="299"/>
    </row>
    <row r="794">
      <c r="B794" s="3"/>
      <c r="D794" s="3"/>
      <c r="E794" s="300" t="s">
        <v>22</v>
      </c>
      <c r="F794" s="299"/>
      <c r="G794" s="299"/>
      <c r="H794" s="299"/>
      <c r="I794" s="299"/>
      <c r="J794" s="299"/>
      <c r="K794" s="299"/>
      <c r="L794" s="299"/>
      <c r="M794" s="299"/>
      <c r="N794" s="299"/>
      <c r="O794" s="299"/>
      <c r="P794" s="299"/>
      <c r="Q794" s="299"/>
      <c r="R794" s="299"/>
      <c r="S794" s="299"/>
      <c r="T794" s="299"/>
      <c r="U794" s="299"/>
    </row>
    <row r="795">
      <c r="B795" s="3"/>
      <c r="D795" s="3"/>
      <c r="E795" s="300" t="s">
        <v>22</v>
      </c>
      <c r="F795" s="299"/>
      <c r="G795" s="299"/>
      <c r="H795" s="299"/>
      <c r="I795" s="299"/>
      <c r="J795" s="299"/>
      <c r="K795" s="299"/>
      <c r="L795" s="299"/>
      <c r="M795" s="299"/>
      <c r="N795" s="299"/>
      <c r="O795" s="299"/>
      <c r="P795" s="299"/>
      <c r="Q795" s="299"/>
      <c r="R795" s="299"/>
      <c r="S795" s="299"/>
      <c r="T795" s="299"/>
      <c r="U795" s="299"/>
    </row>
    <row r="796">
      <c r="B796" s="3"/>
      <c r="D796" s="3"/>
      <c r="E796" s="300" t="s">
        <v>22</v>
      </c>
      <c r="F796" s="299"/>
      <c r="G796" s="299"/>
      <c r="H796" s="299"/>
      <c r="I796" s="299"/>
      <c r="J796" s="299"/>
      <c r="K796" s="299"/>
      <c r="L796" s="299"/>
      <c r="M796" s="299"/>
      <c r="N796" s="299"/>
      <c r="O796" s="299"/>
      <c r="P796" s="299"/>
      <c r="Q796" s="299"/>
      <c r="R796" s="299"/>
      <c r="S796" s="299"/>
      <c r="T796" s="299"/>
      <c r="U796" s="299"/>
    </row>
    <row r="797">
      <c r="B797" s="3"/>
      <c r="D797" s="3"/>
      <c r="E797" s="300" t="s">
        <v>22</v>
      </c>
      <c r="F797" s="299"/>
      <c r="G797" s="299"/>
      <c r="H797" s="299"/>
      <c r="I797" s="299"/>
      <c r="J797" s="299"/>
      <c r="K797" s="299"/>
      <c r="L797" s="299"/>
      <c r="M797" s="299"/>
      <c r="N797" s="299"/>
      <c r="O797" s="299"/>
      <c r="P797" s="299"/>
      <c r="Q797" s="299"/>
      <c r="R797" s="299"/>
      <c r="S797" s="299"/>
      <c r="T797" s="299"/>
      <c r="U797" s="299"/>
    </row>
    <row r="798">
      <c r="B798" s="3"/>
      <c r="D798" s="3"/>
      <c r="E798" s="300" t="s">
        <v>22</v>
      </c>
      <c r="F798" s="299"/>
      <c r="G798" s="299"/>
      <c r="H798" s="299"/>
      <c r="I798" s="299"/>
      <c r="J798" s="299"/>
      <c r="K798" s="299"/>
      <c r="L798" s="299"/>
      <c r="M798" s="299"/>
      <c r="N798" s="299"/>
      <c r="O798" s="299"/>
      <c r="P798" s="299"/>
      <c r="Q798" s="299"/>
      <c r="R798" s="299"/>
      <c r="S798" s="299"/>
      <c r="T798" s="299"/>
      <c r="U798" s="299"/>
    </row>
    <row r="799">
      <c r="B799" s="3"/>
      <c r="D799" s="3"/>
      <c r="E799" s="300" t="s">
        <v>22</v>
      </c>
      <c r="F799" s="299"/>
      <c r="G799" s="299"/>
      <c r="H799" s="299"/>
      <c r="I799" s="299"/>
      <c r="J799" s="299"/>
      <c r="K799" s="299"/>
      <c r="L799" s="299"/>
      <c r="M799" s="299"/>
      <c r="N799" s="299"/>
      <c r="O799" s="299"/>
      <c r="P799" s="299"/>
      <c r="Q799" s="299"/>
      <c r="R799" s="299"/>
      <c r="S799" s="299"/>
      <c r="T799" s="299"/>
      <c r="U799" s="299"/>
    </row>
    <row r="800">
      <c r="B800" s="3"/>
      <c r="D800" s="3"/>
      <c r="E800" s="300" t="s">
        <v>22</v>
      </c>
      <c r="F800" s="299"/>
      <c r="G800" s="299"/>
      <c r="H800" s="299"/>
      <c r="I800" s="299"/>
      <c r="J800" s="299"/>
      <c r="K800" s="299"/>
      <c r="L800" s="299"/>
      <c r="M800" s="299"/>
      <c r="N800" s="299"/>
      <c r="O800" s="299"/>
      <c r="P800" s="299"/>
      <c r="Q800" s="299"/>
      <c r="R800" s="299"/>
      <c r="S800" s="299"/>
      <c r="T800" s="299"/>
      <c r="U800" s="299"/>
    </row>
    <row r="801">
      <c r="B801" s="3"/>
      <c r="D801" s="3"/>
      <c r="E801" s="300" t="s">
        <v>22</v>
      </c>
      <c r="F801" s="299"/>
      <c r="G801" s="299"/>
      <c r="H801" s="299"/>
      <c r="I801" s="299"/>
      <c r="J801" s="299"/>
      <c r="K801" s="299"/>
      <c r="L801" s="299"/>
      <c r="M801" s="299"/>
      <c r="N801" s="299"/>
      <c r="O801" s="299"/>
      <c r="P801" s="299"/>
      <c r="Q801" s="299"/>
      <c r="R801" s="299"/>
      <c r="S801" s="299"/>
      <c r="T801" s="299"/>
      <c r="U801" s="299"/>
    </row>
    <row r="802">
      <c r="B802" s="3"/>
      <c r="D802" s="3"/>
      <c r="E802" s="300" t="s">
        <v>22</v>
      </c>
      <c r="F802" s="299"/>
      <c r="G802" s="299"/>
      <c r="H802" s="299"/>
      <c r="I802" s="299"/>
      <c r="J802" s="299"/>
      <c r="K802" s="299"/>
      <c r="L802" s="299"/>
      <c r="M802" s="299"/>
      <c r="N802" s="299"/>
      <c r="O802" s="299"/>
      <c r="P802" s="299"/>
      <c r="Q802" s="299"/>
      <c r="R802" s="299"/>
      <c r="S802" s="299"/>
      <c r="T802" s="299"/>
      <c r="U802" s="299"/>
    </row>
    <row r="803">
      <c r="B803" s="3"/>
      <c r="D803" s="3"/>
      <c r="E803" s="300" t="s">
        <v>22</v>
      </c>
      <c r="F803" s="299"/>
      <c r="G803" s="299"/>
      <c r="H803" s="299"/>
      <c r="I803" s="299"/>
      <c r="J803" s="299"/>
      <c r="K803" s="299"/>
      <c r="L803" s="299"/>
      <c r="M803" s="299"/>
      <c r="N803" s="299"/>
      <c r="O803" s="299"/>
      <c r="P803" s="299"/>
      <c r="Q803" s="299"/>
      <c r="R803" s="299"/>
      <c r="S803" s="299"/>
      <c r="T803" s="299"/>
      <c r="U803" s="299"/>
    </row>
    <row r="804">
      <c r="B804" s="3"/>
      <c r="D804" s="3"/>
      <c r="E804" s="300" t="s">
        <v>22</v>
      </c>
      <c r="F804" s="299"/>
      <c r="G804" s="299"/>
      <c r="H804" s="299"/>
      <c r="I804" s="299"/>
      <c r="J804" s="299"/>
      <c r="K804" s="299"/>
      <c r="L804" s="299"/>
      <c r="M804" s="299"/>
      <c r="N804" s="299"/>
      <c r="O804" s="299"/>
      <c r="P804" s="299"/>
      <c r="Q804" s="299"/>
      <c r="R804" s="299"/>
      <c r="S804" s="299"/>
      <c r="T804" s="299"/>
      <c r="U804" s="299"/>
    </row>
    <row r="805">
      <c r="B805" s="3"/>
      <c r="D805" s="3"/>
      <c r="E805" s="300" t="s">
        <v>22</v>
      </c>
      <c r="F805" s="299"/>
      <c r="G805" s="299"/>
      <c r="H805" s="299"/>
      <c r="I805" s="299"/>
      <c r="J805" s="299"/>
      <c r="K805" s="299"/>
      <c r="L805" s="299"/>
      <c r="M805" s="299"/>
      <c r="N805" s="299"/>
      <c r="O805" s="299"/>
      <c r="P805" s="299"/>
      <c r="Q805" s="299"/>
      <c r="R805" s="299"/>
      <c r="S805" s="299"/>
      <c r="T805" s="299"/>
      <c r="U805" s="299"/>
    </row>
    <row r="806">
      <c r="B806" s="3"/>
      <c r="D806" s="3"/>
      <c r="E806" s="300" t="s">
        <v>22</v>
      </c>
      <c r="F806" s="299"/>
      <c r="G806" s="299"/>
      <c r="H806" s="299"/>
      <c r="I806" s="299"/>
      <c r="J806" s="299"/>
      <c r="K806" s="299"/>
      <c r="L806" s="299"/>
      <c r="M806" s="299"/>
      <c r="N806" s="299"/>
      <c r="O806" s="299"/>
      <c r="P806" s="299"/>
      <c r="Q806" s="299"/>
      <c r="R806" s="299"/>
      <c r="S806" s="299"/>
      <c r="T806" s="299"/>
      <c r="U806" s="299"/>
    </row>
    <row r="807">
      <c r="B807" s="3"/>
      <c r="D807" s="3"/>
      <c r="E807" s="300" t="s">
        <v>22</v>
      </c>
      <c r="F807" s="299"/>
      <c r="G807" s="299"/>
      <c r="H807" s="299"/>
      <c r="I807" s="299"/>
      <c r="J807" s="299"/>
      <c r="K807" s="299"/>
      <c r="L807" s="299"/>
      <c r="M807" s="299"/>
      <c r="N807" s="299"/>
      <c r="O807" s="299"/>
      <c r="P807" s="299"/>
      <c r="Q807" s="299"/>
      <c r="R807" s="299"/>
      <c r="S807" s="299"/>
      <c r="T807" s="299"/>
      <c r="U807" s="299"/>
    </row>
    <row r="808">
      <c r="B808" s="3"/>
      <c r="D808" s="3"/>
      <c r="E808" s="300" t="s">
        <v>22</v>
      </c>
      <c r="F808" s="299"/>
      <c r="G808" s="299"/>
      <c r="H808" s="299"/>
      <c r="I808" s="299"/>
      <c r="J808" s="299"/>
      <c r="K808" s="299"/>
      <c r="L808" s="299"/>
      <c r="M808" s="299"/>
      <c r="N808" s="299"/>
      <c r="O808" s="299"/>
      <c r="P808" s="299"/>
      <c r="Q808" s="299"/>
      <c r="R808" s="299"/>
      <c r="S808" s="299"/>
      <c r="T808" s="299"/>
      <c r="U808" s="299"/>
    </row>
    <row r="809">
      <c r="B809" s="3"/>
      <c r="D809" s="3"/>
      <c r="E809" s="300" t="s">
        <v>22</v>
      </c>
      <c r="F809" s="299"/>
      <c r="G809" s="299"/>
      <c r="H809" s="299"/>
      <c r="I809" s="299"/>
      <c r="J809" s="299"/>
      <c r="K809" s="299"/>
      <c r="L809" s="299"/>
      <c r="M809" s="299"/>
      <c r="N809" s="299"/>
      <c r="O809" s="299"/>
      <c r="P809" s="299"/>
      <c r="Q809" s="299"/>
      <c r="R809" s="299"/>
      <c r="S809" s="299"/>
      <c r="T809" s="299"/>
      <c r="U809" s="299"/>
    </row>
    <row r="810">
      <c r="B810" s="3"/>
      <c r="D810" s="3"/>
      <c r="E810" s="300" t="s">
        <v>22</v>
      </c>
      <c r="F810" s="299"/>
      <c r="G810" s="299"/>
      <c r="H810" s="299"/>
      <c r="I810" s="299"/>
      <c r="J810" s="299"/>
      <c r="K810" s="299"/>
      <c r="L810" s="299"/>
      <c r="M810" s="299"/>
      <c r="N810" s="299"/>
      <c r="O810" s="299"/>
      <c r="P810" s="299"/>
      <c r="Q810" s="299"/>
      <c r="R810" s="299"/>
      <c r="S810" s="299"/>
      <c r="T810" s="299"/>
      <c r="U810" s="299"/>
    </row>
    <row r="811">
      <c r="B811" s="3"/>
      <c r="D811" s="3"/>
      <c r="E811" s="300" t="s">
        <v>22</v>
      </c>
      <c r="F811" s="299"/>
      <c r="G811" s="299"/>
      <c r="H811" s="299"/>
      <c r="I811" s="299"/>
      <c r="J811" s="299"/>
      <c r="K811" s="299"/>
      <c r="L811" s="299"/>
      <c r="M811" s="299"/>
      <c r="N811" s="299"/>
      <c r="O811" s="299"/>
      <c r="P811" s="299"/>
      <c r="Q811" s="299"/>
      <c r="R811" s="299"/>
      <c r="S811" s="299"/>
      <c r="T811" s="299"/>
      <c r="U811" s="299"/>
    </row>
    <row r="812">
      <c r="B812" s="3"/>
      <c r="D812" s="3"/>
      <c r="E812" s="300" t="s">
        <v>22</v>
      </c>
      <c r="F812" s="299"/>
      <c r="G812" s="299"/>
      <c r="H812" s="299"/>
      <c r="I812" s="299"/>
      <c r="J812" s="299"/>
      <c r="K812" s="299"/>
      <c r="L812" s="299"/>
      <c r="M812" s="299"/>
      <c r="N812" s="299"/>
      <c r="O812" s="299"/>
      <c r="P812" s="299"/>
      <c r="Q812" s="299"/>
      <c r="R812" s="299"/>
      <c r="S812" s="299"/>
      <c r="T812" s="299"/>
      <c r="U812" s="299"/>
    </row>
    <row r="813">
      <c r="B813" s="3"/>
      <c r="D813" s="3"/>
      <c r="E813" s="300" t="s">
        <v>22</v>
      </c>
      <c r="F813" s="299"/>
      <c r="G813" s="299"/>
      <c r="H813" s="299"/>
      <c r="I813" s="299"/>
      <c r="J813" s="299"/>
      <c r="K813" s="299"/>
      <c r="L813" s="299"/>
      <c r="M813" s="299"/>
      <c r="N813" s="299"/>
      <c r="O813" s="299"/>
      <c r="P813" s="299"/>
      <c r="Q813" s="299"/>
      <c r="R813" s="299"/>
      <c r="S813" s="299"/>
      <c r="T813" s="299"/>
      <c r="U813" s="299"/>
    </row>
    <row r="814">
      <c r="B814" s="3"/>
      <c r="D814" s="3"/>
      <c r="E814" s="300" t="s">
        <v>22</v>
      </c>
      <c r="F814" s="299"/>
      <c r="G814" s="299"/>
      <c r="H814" s="299"/>
      <c r="I814" s="299"/>
      <c r="J814" s="299"/>
      <c r="K814" s="299"/>
      <c r="L814" s="299"/>
      <c r="M814" s="299"/>
      <c r="N814" s="299"/>
      <c r="O814" s="299"/>
      <c r="P814" s="299"/>
      <c r="Q814" s="299"/>
      <c r="R814" s="299"/>
      <c r="S814" s="299"/>
      <c r="T814" s="299"/>
      <c r="U814" s="299"/>
    </row>
    <row r="815">
      <c r="B815" s="3"/>
      <c r="D815" s="3"/>
      <c r="E815" s="300" t="s">
        <v>22</v>
      </c>
      <c r="F815" s="299"/>
      <c r="G815" s="299"/>
      <c r="H815" s="299"/>
      <c r="I815" s="299"/>
      <c r="J815" s="299"/>
      <c r="K815" s="299"/>
      <c r="L815" s="299"/>
      <c r="M815" s="299"/>
      <c r="N815" s="299"/>
      <c r="O815" s="299"/>
      <c r="P815" s="299"/>
      <c r="Q815" s="299"/>
      <c r="R815" s="299"/>
      <c r="S815" s="299"/>
      <c r="T815" s="299"/>
      <c r="U815" s="299"/>
    </row>
    <row r="816">
      <c r="B816" s="3"/>
      <c r="D816" s="3"/>
      <c r="E816" s="300" t="s">
        <v>22</v>
      </c>
      <c r="F816" s="299"/>
      <c r="G816" s="299"/>
      <c r="H816" s="299"/>
      <c r="I816" s="299"/>
      <c r="J816" s="299"/>
      <c r="K816" s="299"/>
      <c r="L816" s="299"/>
      <c r="M816" s="299"/>
      <c r="N816" s="299"/>
      <c r="O816" s="299"/>
      <c r="P816" s="299"/>
      <c r="Q816" s="299"/>
      <c r="R816" s="299"/>
      <c r="S816" s="299"/>
      <c r="T816" s="299"/>
      <c r="U816" s="299"/>
    </row>
    <row r="817">
      <c r="B817" s="3"/>
      <c r="D817" s="3"/>
      <c r="E817" s="300" t="s">
        <v>22</v>
      </c>
      <c r="F817" s="299"/>
      <c r="G817" s="299"/>
      <c r="H817" s="299"/>
      <c r="I817" s="299"/>
      <c r="J817" s="299"/>
      <c r="K817" s="299"/>
      <c r="L817" s="299"/>
      <c r="M817" s="299"/>
      <c r="N817" s="299"/>
      <c r="O817" s="299"/>
      <c r="P817" s="299"/>
      <c r="Q817" s="299"/>
      <c r="R817" s="299"/>
      <c r="S817" s="299"/>
      <c r="T817" s="299"/>
      <c r="U817" s="299"/>
    </row>
    <row r="818">
      <c r="B818" s="3"/>
      <c r="D818" s="3"/>
      <c r="E818" s="300" t="s">
        <v>22</v>
      </c>
      <c r="F818" s="299"/>
      <c r="G818" s="299"/>
      <c r="H818" s="299"/>
      <c r="I818" s="299"/>
      <c r="J818" s="299"/>
      <c r="K818" s="299"/>
      <c r="L818" s="299"/>
      <c r="M818" s="299"/>
      <c r="N818" s="299"/>
      <c r="O818" s="299"/>
      <c r="P818" s="299"/>
      <c r="Q818" s="299"/>
      <c r="R818" s="299"/>
      <c r="S818" s="299"/>
      <c r="T818" s="299"/>
      <c r="U818" s="299"/>
    </row>
    <row r="819">
      <c r="B819" s="3"/>
      <c r="D819" s="3"/>
      <c r="E819" s="300" t="s">
        <v>22</v>
      </c>
      <c r="F819" s="299"/>
      <c r="G819" s="299"/>
      <c r="H819" s="299"/>
      <c r="I819" s="299"/>
      <c r="J819" s="299"/>
      <c r="K819" s="299"/>
      <c r="L819" s="299"/>
      <c r="M819" s="299"/>
      <c r="N819" s="299"/>
      <c r="O819" s="299"/>
      <c r="P819" s="299"/>
      <c r="Q819" s="299"/>
      <c r="R819" s="299"/>
      <c r="S819" s="299"/>
      <c r="T819" s="299"/>
      <c r="U819" s="299"/>
    </row>
    <row r="820">
      <c r="B820" s="3"/>
      <c r="D820" s="3"/>
      <c r="E820" s="300" t="s">
        <v>22</v>
      </c>
      <c r="F820" s="299"/>
      <c r="G820" s="299"/>
      <c r="H820" s="299"/>
      <c r="I820" s="299"/>
      <c r="J820" s="299"/>
      <c r="K820" s="299"/>
      <c r="L820" s="299"/>
      <c r="M820" s="299"/>
      <c r="N820" s="299"/>
      <c r="O820" s="299"/>
      <c r="P820" s="299"/>
      <c r="Q820" s="299"/>
      <c r="R820" s="299"/>
      <c r="S820" s="299"/>
      <c r="T820" s="299"/>
      <c r="U820" s="299"/>
    </row>
    <row r="821">
      <c r="B821" s="3"/>
      <c r="D821" s="3"/>
      <c r="E821" s="300" t="s">
        <v>22</v>
      </c>
      <c r="F821" s="299"/>
      <c r="G821" s="299"/>
      <c r="H821" s="299"/>
      <c r="I821" s="299"/>
      <c r="J821" s="299"/>
      <c r="K821" s="299"/>
      <c r="L821" s="299"/>
      <c r="M821" s="299"/>
      <c r="N821" s="299"/>
      <c r="O821" s="299"/>
      <c r="P821" s="299"/>
      <c r="Q821" s="299"/>
      <c r="R821" s="299"/>
      <c r="S821" s="299"/>
      <c r="T821" s="299"/>
      <c r="U821" s="299"/>
    </row>
    <row r="822">
      <c r="B822" s="3"/>
      <c r="D822" s="3"/>
      <c r="E822" s="300" t="s">
        <v>22</v>
      </c>
      <c r="F822" s="299"/>
      <c r="G822" s="299"/>
      <c r="H822" s="299"/>
      <c r="I822" s="299"/>
      <c r="J822" s="299"/>
      <c r="K822" s="299"/>
      <c r="L822" s="299"/>
      <c r="M822" s="299"/>
      <c r="N822" s="299"/>
      <c r="O822" s="299"/>
      <c r="P822" s="299"/>
      <c r="Q822" s="299"/>
      <c r="R822" s="299"/>
      <c r="S822" s="299"/>
      <c r="T822" s="299"/>
      <c r="U822" s="299"/>
    </row>
    <row r="823">
      <c r="B823" s="3"/>
      <c r="D823" s="3"/>
      <c r="E823" s="300" t="s">
        <v>22</v>
      </c>
      <c r="F823" s="299"/>
      <c r="G823" s="299"/>
      <c r="H823" s="299"/>
      <c r="I823" s="299"/>
      <c r="J823" s="299"/>
      <c r="K823" s="299"/>
      <c r="L823" s="299"/>
      <c r="M823" s="299"/>
      <c r="N823" s="299"/>
      <c r="O823" s="299"/>
      <c r="P823" s="299"/>
      <c r="Q823" s="299"/>
      <c r="R823" s="299"/>
      <c r="S823" s="299"/>
      <c r="T823" s="299"/>
      <c r="U823" s="299"/>
    </row>
    <row r="824">
      <c r="B824" s="3"/>
      <c r="D824" s="3"/>
      <c r="E824" s="300" t="s">
        <v>22</v>
      </c>
      <c r="F824" s="299"/>
      <c r="G824" s="299"/>
      <c r="H824" s="299"/>
      <c r="I824" s="299"/>
      <c r="J824" s="299"/>
      <c r="K824" s="299"/>
      <c r="L824" s="299"/>
      <c r="M824" s="299"/>
      <c r="N824" s="299"/>
      <c r="O824" s="299"/>
      <c r="P824" s="299"/>
      <c r="Q824" s="299"/>
      <c r="R824" s="299"/>
      <c r="S824" s="299"/>
      <c r="T824" s="299"/>
      <c r="U824" s="299"/>
    </row>
    <row r="825">
      <c r="B825" s="3"/>
      <c r="D825" s="3"/>
      <c r="E825" s="300" t="s">
        <v>22</v>
      </c>
      <c r="F825" s="299"/>
      <c r="G825" s="299"/>
      <c r="H825" s="299"/>
      <c r="I825" s="299"/>
      <c r="J825" s="299"/>
      <c r="K825" s="299"/>
      <c r="L825" s="299"/>
      <c r="M825" s="299"/>
      <c r="N825" s="299"/>
      <c r="O825" s="299"/>
      <c r="P825" s="299"/>
      <c r="Q825" s="299"/>
      <c r="R825" s="299"/>
      <c r="S825" s="299"/>
      <c r="T825" s="299"/>
      <c r="U825" s="299"/>
    </row>
    <row r="826">
      <c r="B826" s="3"/>
      <c r="D826" s="3"/>
      <c r="E826" s="300" t="s">
        <v>22</v>
      </c>
      <c r="F826" s="299"/>
      <c r="G826" s="299"/>
      <c r="H826" s="299"/>
      <c r="I826" s="299"/>
      <c r="J826" s="299"/>
      <c r="K826" s="299"/>
      <c r="L826" s="299"/>
      <c r="M826" s="299"/>
      <c r="N826" s="299"/>
      <c r="O826" s="299"/>
      <c r="P826" s="299"/>
      <c r="Q826" s="299"/>
      <c r="R826" s="299"/>
      <c r="S826" s="299"/>
      <c r="T826" s="299"/>
      <c r="U826" s="299"/>
    </row>
    <row r="827">
      <c r="B827" s="3"/>
      <c r="D827" s="3"/>
      <c r="E827" s="300" t="s">
        <v>22</v>
      </c>
      <c r="F827" s="299"/>
      <c r="G827" s="299"/>
      <c r="H827" s="299"/>
      <c r="I827" s="299"/>
      <c r="J827" s="299"/>
      <c r="K827" s="299"/>
      <c r="L827" s="299"/>
      <c r="M827" s="299"/>
      <c r="N827" s="299"/>
      <c r="O827" s="299"/>
      <c r="P827" s="299"/>
      <c r="Q827" s="299"/>
      <c r="R827" s="299"/>
      <c r="S827" s="299"/>
      <c r="T827" s="299"/>
      <c r="U827" s="299"/>
    </row>
    <row r="828">
      <c r="B828" s="3"/>
      <c r="D828" s="3"/>
      <c r="E828" s="300" t="s">
        <v>22</v>
      </c>
      <c r="F828" s="299"/>
      <c r="G828" s="299"/>
      <c r="H828" s="299"/>
      <c r="I828" s="299"/>
      <c r="J828" s="299"/>
      <c r="K828" s="299"/>
      <c r="L828" s="299"/>
      <c r="M828" s="299"/>
      <c r="N828" s="299"/>
      <c r="O828" s="299"/>
      <c r="P828" s="299"/>
      <c r="Q828" s="299"/>
      <c r="R828" s="299"/>
      <c r="S828" s="299"/>
      <c r="T828" s="299"/>
      <c r="U828" s="299"/>
    </row>
    <row r="829">
      <c r="B829" s="3"/>
      <c r="D829" s="3"/>
      <c r="E829" s="300" t="s">
        <v>22</v>
      </c>
      <c r="F829" s="299"/>
      <c r="G829" s="299"/>
      <c r="H829" s="299"/>
      <c r="I829" s="299"/>
      <c r="J829" s="299"/>
      <c r="K829" s="299"/>
      <c r="L829" s="299"/>
      <c r="M829" s="299"/>
      <c r="N829" s="299"/>
      <c r="O829" s="299"/>
      <c r="P829" s="299"/>
      <c r="Q829" s="299"/>
      <c r="R829" s="299"/>
      <c r="S829" s="299"/>
      <c r="T829" s="299"/>
      <c r="U829" s="299"/>
    </row>
    <row r="830">
      <c r="B830" s="3"/>
      <c r="D830" s="3"/>
      <c r="E830" s="300" t="s">
        <v>22</v>
      </c>
      <c r="F830" s="299"/>
      <c r="G830" s="299"/>
      <c r="H830" s="299"/>
      <c r="I830" s="299"/>
      <c r="J830" s="299"/>
      <c r="K830" s="299"/>
      <c r="L830" s="299"/>
      <c r="M830" s="299"/>
      <c r="N830" s="299"/>
      <c r="O830" s="299"/>
      <c r="P830" s="299"/>
      <c r="Q830" s="299"/>
      <c r="R830" s="299"/>
      <c r="S830" s="299"/>
      <c r="T830" s="299"/>
      <c r="U830" s="299"/>
    </row>
    <row r="831">
      <c r="B831" s="3"/>
      <c r="D831" s="3"/>
      <c r="E831" s="300" t="s">
        <v>22</v>
      </c>
      <c r="F831" s="299"/>
      <c r="G831" s="299"/>
      <c r="H831" s="299"/>
      <c r="I831" s="299"/>
      <c r="J831" s="299"/>
      <c r="K831" s="299"/>
      <c r="L831" s="299"/>
      <c r="M831" s="299"/>
      <c r="N831" s="299"/>
      <c r="O831" s="299"/>
      <c r="P831" s="299"/>
      <c r="Q831" s="299"/>
      <c r="R831" s="299"/>
      <c r="S831" s="299"/>
      <c r="T831" s="299"/>
      <c r="U831" s="299"/>
    </row>
    <row r="832">
      <c r="B832" s="3"/>
      <c r="D832" s="3"/>
      <c r="E832" s="300" t="s">
        <v>22</v>
      </c>
      <c r="F832" s="299"/>
      <c r="G832" s="299"/>
      <c r="H832" s="299"/>
      <c r="I832" s="299"/>
      <c r="J832" s="299"/>
      <c r="K832" s="299"/>
      <c r="L832" s="299"/>
      <c r="M832" s="299"/>
      <c r="N832" s="299"/>
      <c r="O832" s="299"/>
      <c r="P832" s="299"/>
      <c r="Q832" s="299"/>
      <c r="R832" s="299"/>
      <c r="S832" s="299"/>
      <c r="T832" s="299"/>
      <c r="U832" s="299"/>
    </row>
    <row r="833">
      <c r="B833" s="3"/>
      <c r="D833" s="3"/>
      <c r="E833" s="300" t="s">
        <v>22</v>
      </c>
      <c r="F833" s="299"/>
      <c r="G833" s="299"/>
      <c r="H833" s="299"/>
      <c r="I833" s="299"/>
      <c r="J833" s="299"/>
      <c r="K833" s="299"/>
      <c r="L833" s="299"/>
      <c r="M833" s="299"/>
      <c r="N833" s="299"/>
      <c r="O833" s="299"/>
      <c r="P833" s="299"/>
      <c r="Q833" s="299"/>
      <c r="R833" s="299"/>
      <c r="S833" s="299"/>
      <c r="T833" s="299"/>
      <c r="U833" s="299"/>
    </row>
    <row r="834">
      <c r="B834" s="3"/>
      <c r="D834" s="3"/>
      <c r="E834" s="300" t="s">
        <v>22</v>
      </c>
      <c r="F834" s="299"/>
      <c r="G834" s="299"/>
      <c r="H834" s="299"/>
      <c r="I834" s="299"/>
      <c r="J834" s="299"/>
      <c r="K834" s="299"/>
      <c r="L834" s="299"/>
      <c r="M834" s="299"/>
      <c r="N834" s="299"/>
      <c r="O834" s="299"/>
      <c r="P834" s="299"/>
      <c r="Q834" s="299"/>
      <c r="R834" s="299"/>
      <c r="S834" s="299"/>
      <c r="T834" s="299"/>
      <c r="U834" s="299"/>
    </row>
    <row r="835">
      <c r="B835" s="3"/>
      <c r="D835" s="3"/>
      <c r="E835" s="300" t="s">
        <v>22</v>
      </c>
      <c r="F835" s="299"/>
      <c r="G835" s="299"/>
      <c r="H835" s="299"/>
      <c r="I835" s="299"/>
      <c r="J835" s="299"/>
      <c r="K835" s="299"/>
      <c r="L835" s="299"/>
      <c r="M835" s="299"/>
      <c r="N835" s="299"/>
      <c r="O835" s="299"/>
      <c r="P835" s="299"/>
      <c r="Q835" s="299"/>
      <c r="R835" s="299"/>
      <c r="S835" s="299"/>
      <c r="T835" s="299"/>
      <c r="U835" s="299"/>
    </row>
    <row r="836">
      <c r="B836" s="3"/>
      <c r="D836" s="3"/>
      <c r="E836" s="300" t="s">
        <v>22</v>
      </c>
      <c r="F836" s="299"/>
      <c r="G836" s="299"/>
      <c r="H836" s="299"/>
      <c r="I836" s="299"/>
      <c r="J836" s="299"/>
      <c r="K836" s="299"/>
      <c r="L836" s="299"/>
      <c r="M836" s="299"/>
      <c r="N836" s="299"/>
      <c r="O836" s="299"/>
      <c r="P836" s="299"/>
      <c r="Q836" s="299"/>
      <c r="R836" s="299"/>
      <c r="S836" s="299"/>
      <c r="T836" s="299"/>
      <c r="U836" s="299"/>
    </row>
    <row r="837">
      <c r="B837" s="3"/>
      <c r="D837" s="3"/>
      <c r="E837" s="300" t="s">
        <v>22</v>
      </c>
      <c r="F837" s="299"/>
      <c r="G837" s="299"/>
      <c r="H837" s="299"/>
      <c r="I837" s="299"/>
      <c r="J837" s="299"/>
      <c r="K837" s="299"/>
      <c r="L837" s="299"/>
      <c r="M837" s="299"/>
      <c r="N837" s="299"/>
      <c r="O837" s="299"/>
      <c r="P837" s="299"/>
      <c r="Q837" s="299"/>
      <c r="R837" s="299"/>
      <c r="S837" s="299"/>
      <c r="T837" s="299"/>
      <c r="U837" s="299"/>
    </row>
    <row r="838">
      <c r="B838" s="3"/>
      <c r="D838" s="3"/>
      <c r="E838" s="300" t="s">
        <v>22</v>
      </c>
      <c r="F838" s="299"/>
      <c r="G838" s="299"/>
      <c r="H838" s="299"/>
      <c r="I838" s="299"/>
      <c r="J838" s="299"/>
      <c r="K838" s="299"/>
      <c r="L838" s="299"/>
      <c r="M838" s="299"/>
      <c r="N838" s="299"/>
      <c r="O838" s="299"/>
      <c r="P838" s="299"/>
      <c r="Q838" s="299"/>
      <c r="R838" s="299"/>
      <c r="S838" s="299"/>
      <c r="T838" s="299"/>
      <c r="U838" s="299"/>
    </row>
    <row r="839">
      <c r="B839" s="3"/>
      <c r="D839" s="3"/>
      <c r="E839" s="300" t="s">
        <v>22</v>
      </c>
      <c r="F839" s="299"/>
      <c r="G839" s="299"/>
      <c r="H839" s="299"/>
      <c r="I839" s="299"/>
      <c r="J839" s="299"/>
      <c r="K839" s="299"/>
      <c r="L839" s="299"/>
      <c r="M839" s="299"/>
      <c r="N839" s="299"/>
      <c r="O839" s="299"/>
      <c r="P839" s="299"/>
      <c r="Q839" s="299"/>
      <c r="R839" s="299"/>
      <c r="S839" s="299"/>
      <c r="T839" s="299"/>
      <c r="U839" s="299"/>
    </row>
    <row r="840">
      <c r="B840" s="3"/>
      <c r="D840" s="3"/>
      <c r="E840" s="300" t="s">
        <v>22</v>
      </c>
      <c r="F840" s="299"/>
      <c r="G840" s="299"/>
      <c r="H840" s="299"/>
      <c r="I840" s="299"/>
      <c r="J840" s="299"/>
      <c r="K840" s="299"/>
      <c r="L840" s="299"/>
      <c r="M840" s="299"/>
      <c r="N840" s="299"/>
      <c r="O840" s="299"/>
      <c r="P840" s="299"/>
      <c r="Q840" s="299"/>
      <c r="R840" s="299"/>
      <c r="S840" s="299"/>
      <c r="T840" s="299"/>
      <c r="U840" s="299"/>
    </row>
    <row r="841">
      <c r="B841" s="3"/>
      <c r="D841" s="3"/>
      <c r="E841" s="300" t="s">
        <v>22</v>
      </c>
      <c r="F841" s="299"/>
      <c r="G841" s="299"/>
      <c r="H841" s="299"/>
      <c r="I841" s="299"/>
      <c r="J841" s="299"/>
      <c r="K841" s="299"/>
      <c r="L841" s="299"/>
      <c r="M841" s="299"/>
      <c r="N841" s="299"/>
      <c r="O841" s="299"/>
      <c r="P841" s="299"/>
      <c r="Q841" s="299"/>
      <c r="R841" s="299"/>
      <c r="S841" s="299"/>
      <c r="T841" s="299"/>
      <c r="U841" s="299"/>
    </row>
    <row r="842">
      <c r="B842" s="3"/>
      <c r="D842" s="3"/>
      <c r="E842" s="300" t="s">
        <v>22</v>
      </c>
      <c r="F842" s="299"/>
      <c r="G842" s="299"/>
      <c r="H842" s="299"/>
      <c r="I842" s="299"/>
      <c r="J842" s="299"/>
      <c r="K842" s="299"/>
      <c r="L842" s="299"/>
      <c r="M842" s="299"/>
      <c r="N842" s="299"/>
      <c r="O842" s="299"/>
      <c r="P842" s="299"/>
      <c r="Q842" s="299"/>
      <c r="R842" s="299"/>
      <c r="S842" s="299"/>
      <c r="T842" s="299"/>
      <c r="U842" s="299"/>
    </row>
    <row r="843">
      <c r="B843" s="3"/>
      <c r="D843" s="3"/>
      <c r="E843" s="300" t="s">
        <v>22</v>
      </c>
      <c r="F843" s="299"/>
      <c r="G843" s="299"/>
      <c r="H843" s="299"/>
      <c r="I843" s="299"/>
      <c r="J843" s="299"/>
      <c r="K843" s="299"/>
      <c r="L843" s="299"/>
      <c r="M843" s="299"/>
      <c r="N843" s="299"/>
      <c r="O843" s="299"/>
      <c r="P843" s="299"/>
      <c r="Q843" s="299"/>
      <c r="R843" s="299"/>
      <c r="S843" s="299"/>
      <c r="T843" s="299"/>
      <c r="U843" s="299"/>
    </row>
    <row r="844">
      <c r="B844" s="3"/>
      <c r="D844" s="3"/>
      <c r="E844" s="300" t="s">
        <v>22</v>
      </c>
      <c r="F844" s="299"/>
      <c r="G844" s="299"/>
      <c r="H844" s="299"/>
      <c r="I844" s="299"/>
      <c r="J844" s="299"/>
      <c r="K844" s="299"/>
      <c r="L844" s="299"/>
      <c r="M844" s="299"/>
      <c r="N844" s="299"/>
      <c r="O844" s="299"/>
      <c r="P844" s="299"/>
      <c r="Q844" s="299"/>
      <c r="R844" s="299"/>
      <c r="S844" s="299"/>
      <c r="T844" s="299"/>
      <c r="U844" s="299"/>
    </row>
    <row r="845">
      <c r="B845" s="3"/>
      <c r="D845" s="3"/>
      <c r="E845" s="300" t="s">
        <v>22</v>
      </c>
      <c r="F845" s="299"/>
      <c r="G845" s="299"/>
      <c r="H845" s="299"/>
      <c r="I845" s="299"/>
      <c r="J845" s="299"/>
      <c r="K845" s="299"/>
      <c r="L845" s="299"/>
      <c r="M845" s="299"/>
      <c r="N845" s="299"/>
      <c r="O845" s="299"/>
      <c r="P845" s="299"/>
      <c r="Q845" s="299"/>
      <c r="R845" s="299"/>
      <c r="S845" s="299"/>
      <c r="T845" s="299"/>
      <c r="U845" s="299"/>
    </row>
    <row r="846">
      <c r="B846" s="3"/>
      <c r="D846" s="3"/>
      <c r="E846" s="300" t="s">
        <v>22</v>
      </c>
      <c r="F846" s="299"/>
      <c r="G846" s="299"/>
      <c r="H846" s="299"/>
      <c r="I846" s="299"/>
      <c r="J846" s="299"/>
      <c r="K846" s="299"/>
      <c r="L846" s="299"/>
      <c r="M846" s="299"/>
      <c r="N846" s="299"/>
      <c r="O846" s="299"/>
      <c r="P846" s="299"/>
      <c r="Q846" s="299"/>
      <c r="R846" s="299"/>
      <c r="S846" s="299"/>
      <c r="T846" s="299"/>
      <c r="U846" s="299"/>
    </row>
    <row r="847">
      <c r="B847" s="3"/>
      <c r="D847" s="3"/>
      <c r="E847" s="300" t="s">
        <v>22</v>
      </c>
      <c r="F847" s="299"/>
      <c r="G847" s="299"/>
      <c r="H847" s="299"/>
      <c r="I847" s="299"/>
      <c r="J847" s="299"/>
      <c r="K847" s="299"/>
      <c r="L847" s="299"/>
      <c r="M847" s="299"/>
      <c r="N847" s="299"/>
      <c r="O847" s="299"/>
      <c r="P847" s="299"/>
      <c r="Q847" s="299"/>
      <c r="R847" s="299"/>
      <c r="S847" s="299"/>
      <c r="T847" s="299"/>
      <c r="U847" s="299"/>
    </row>
    <row r="848">
      <c r="B848" s="3"/>
      <c r="D848" s="3"/>
      <c r="E848" s="300" t="s">
        <v>22</v>
      </c>
      <c r="F848" s="299"/>
      <c r="G848" s="299"/>
      <c r="H848" s="299"/>
      <c r="I848" s="299"/>
      <c r="J848" s="299"/>
      <c r="K848" s="299"/>
      <c r="L848" s="299"/>
      <c r="M848" s="299"/>
      <c r="N848" s="299"/>
      <c r="O848" s="299"/>
      <c r="P848" s="299"/>
      <c r="Q848" s="299"/>
      <c r="R848" s="299"/>
      <c r="S848" s="299"/>
      <c r="T848" s="299"/>
      <c r="U848" s="299"/>
    </row>
    <row r="849">
      <c r="B849" s="3"/>
      <c r="D849" s="3"/>
      <c r="E849" s="300" t="s">
        <v>22</v>
      </c>
      <c r="F849" s="299"/>
      <c r="G849" s="299"/>
      <c r="H849" s="299"/>
      <c r="I849" s="299"/>
      <c r="J849" s="299"/>
      <c r="K849" s="299"/>
      <c r="L849" s="299"/>
      <c r="M849" s="299"/>
      <c r="N849" s="299"/>
      <c r="O849" s="299"/>
      <c r="P849" s="299"/>
      <c r="Q849" s="299"/>
      <c r="R849" s="299"/>
      <c r="S849" s="299"/>
      <c r="T849" s="299"/>
      <c r="U849" s="299"/>
    </row>
    <row r="850">
      <c r="B850" s="3"/>
      <c r="D850" s="3"/>
      <c r="E850" s="300" t="s">
        <v>22</v>
      </c>
      <c r="F850" s="299"/>
      <c r="G850" s="299"/>
      <c r="H850" s="299"/>
      <c r="I850" s="299"/>
      <c r="J850" s="299"/>
      <c r="K850" s="299"/>
      <c r="L850" s="299"/>
      <c r="M850" s="299"/>
      <c r="N850" s="299"/>
      <c r="O850" s="299"/>
      <c r="P850" s="299"/>
      <c r="Q850" s="299"/>
      <c r="R850" s="299"/>
      <c r="S850" s="299"/>
      <c r="T850" s="299"/>
      <c r="U850" s="299"/>
    </row>
    <row r="851">
      <c r="B851" s="3"/>
      <c r="D851" s="3"/>
      <c r="E851" s="300" t="s">
        <v>22</v>
      </c>
      <c r="F851" s="299"/>
      <c r="G851" s="299"/>
      <c r="H851" s="299"/>
      <c r="I851" s="299"/>
      <c r="J851" s="299"/>
      <c r="K851" s="299"/>
      <c r="L851" s="299"/>
      <c r="M851" s="299"/>
      <c r="N851" s="299"/>
      <c r="O851" s="299"/>
      <c r="P851" s="299"/>
      <c r="Q851" s="299"/>
      <c r="R851" s="299"/>
      <c r="S851" s="299"/>
      <c r="T851" s="299"/>
      <c r="U851" s="299"/>
    </row>
    <row r="852">
      <c r="B852" s="3"/>
      <c r="D852" s="3"/>
      <c r="E852" s="300" t="s">
        <v>22</v>
      </c>
      <c r="F852" s="299"/>
      <c r="G852" s="299"/>
      <c r="H852" s="299"/>
      <c r="I852" s="299"/>
      <c r="J852" s="299"/>
      <c r="K852" s="299"/>
      <c r="L852" s="299"/>
      <c r="M852" s="299"/>
      <c r="N852" s="299"/>
      <c r="O852" s="299"/>
      <c r="P852" s="299"/>
      <c r="Q852" s="299"/>
      <c r="R852" s="299"/>
      <c r="S852" s="299"/>
      <c r="T852" s="299"/>
      <c r="U852" s="299"/>
    </row>
    <row r="853">
      <c r="B853" s="3"/>
      <c r="D853" s="3"/>
      <c r="E853" s="300" t="s">
        <v>22</v>
      </c>
      <c r="F853" s="299"/>
      <c r="G853" s="299"/>
      <c r="H853" s="299"/>
      <c r="I853" s="299"/>
      <c r="J853" s="299"/>
      <c r="K853" s="299"/>
      <c r="L853" s="299"/>
      <c r="M853" s="299"/>
      <c r="N853" s="299"/>
      <c r="O853" s="299"/>
      <c r="P853" s="299"/>
      <c r="Q853" s="299"/>
      <c r="R853" s="299"/>
      <c r="S853" s="299"/>
      <c r="T853" s="299"/>
      <c r="U853" s="299"/>
    </row>
    <row r="854">
      <c r="B854" s="3"/>
      <c r="D854" s="3"/>
      <c r="E854" s="300" t="s">
        <v>22</v>
      </c>
      <c r="F854" s="299"/>
      <c r="G854" s="299"/>
      <c r="H854" s="299"/>
      <c r="I854" s="299"/>
      <c r="J854" s="299"/>
      <c r="K854" s="299"/>
      <c r="L854" s="299"/>
      <c r="M854" s="299"/>
      <c r="N854" s="299"/>
      <c r="O854" s="299"/>
      <c r="P854" s="299"/>
      <c r="Q854" s="299"/>
      <c r="R854" s="299"/>
      <c r="S854" s="299"/>
      <c r="T854" s="299"/>
      <c r="U854" s="299"/>
    </row>
    <row r="855">
      <c r="B855" s="3"/>
      <c r="D855" s="3"/>
      <c r="E855" s="300" t="s">
        <v>22</v>
      </c>
      <c r="F855" s="299"/>
      <c r="G855" s="299"/>
      <c r="H855" s="299"/>
      <c r="I855" s="299"/>
      <c r="J855" s="299"/>
      <c r="K855" s="299"/>
      <c r="L855" s="299"/>
      <c r="M855" s="299"/>
      <c r="N855" s="299"/>
      <c r="O855" s="299"/>
      <c r="P855" s="299"/>
      <c r="Q855" s="299"/>
      <c r="R855" s="299"/>
      <c r="S855" s="299"/>
      <c r="T855" s="299"/>
      <c r="U855" s="299"/>
    </row>
    <row r="856">
      <c r="B856" s="3"/>
      <c r="D856" s="3"/>
      <c r="E856" s="300" t="s">
        <v>22</v>
      </c>
      <c r="F856" s="299"/>
      <c r="G856" s="299"/>
      <c r="H856" s="299"/>
      <c r="I856" s="299"/>
      <c r="J856" s="299"/>
      <c r="K856" s="299"/>
      <c r="L856" s="299"/>
      <c r="M856" s="299"/>
      <c r="N856" s="299"/>
      <c r="O856" s="299"/>
      <c r="P856" s="299"/>
      <c r="Q856" s="299"/>
      <c r="R856" s="299"/>
      <c r="S856" s="299"/>
      <c r="T856" s="299"/>
      <c r="U856" s="299"/>
    </row>
    <row r="857">
      <c r="B857" s="3"/>
      <c r="D857" s="3"/>
      <c r="E857" s="300" t="s">
        <v>22</v>
      </c>
      <c r="F857" s="299"/>
      <c r="G857" s="299"/>
      <c r="H857" s="299"/>
      <c r="I857" s="299"/>
      <c r="J857" s="299"/>
      <c r="K857" s="299"/>
      <c r="L857" s="299"/>
      <c r="M857" s="299"/>
      <c r="N857" s="299"/>
      <c r="O857" s="299"/>
      <c r="P857" s="299"/>
      <c r="Q857" s="299"/>
      <c r="R857" s="299"/>
      <c r="S857" s="299"/>
      <c r="T857" s="299"/>
      <c r="U857" s="299"/>
    </row>
    <row r="858">
      <c r="B858" s="3"/>
      <c r="D858" s="3"/>
      <c r="E858" s="300" t="s">
        <v>22</v>
      </c>
      <c r="F858" s="299"/>
      <c r="G858" s="299"/>
      <c r="H858" s="299"/>
      <c r="I858" s="299"/>
      <c r="J858" s="299"/>
      <c r="K858" s="299"/>
      <c r="L858" s="299"/>
      <c r="M858" s="299"/>
      <c r="N858" s="299"/>
      <c r="O858" s="299"/>
      <c r="P858" s="299"/>
      <c r="Q858" s="299"/>
      <c r="R858" s="299"/>
      <c r="S858" s="299"/>
      <c r="T858" s="299"/>
      <c r="U858" s="299"/>
    </row>
    <row r="859">
      <c r="B859" s="3"/>
      <c r="D859" s="3"/>
      <c r="E859" s="300" t="s">
        <v>22</v>
      </c>
      <c r="F859" s="299"/>
      <c r="G859" s="299"/>
      <c r="H859" s="299"/>
      <c r="I859" s="299"/>
      <c r="J859" s="299"/>
      <c r="K859" s="299"/>
      <c r="L859" s="299"/>
      <c r="M859" s="299"/>
      <c r="N859" s="299"/>
      <c r="O859" s="299"/>
      <c r="P859" s="299"/>
      <c r="Q859" s="299"/>
      <c r="R859" s="299"/>
      <c r="S859" s="299"/>
      <c r="T859" s="299"/>
      <c r="U859" s="299"/>
    </row>
    <row r="860">
      <c r="B860" s="3"/>
      <c r="D860" s="3"/>
      <c r="E860" s="300" t="s">
        <v>22</v>
      </c>
      <c r="F860" s="299"/>
      <c r="G860" s="299"/>
      <c r="H860" s="299"/>
      <c r="I860" s="299"/>
      <c r="J860" s="299"/>
      <c r="K860" s="299"/>
      <c r="L860" s="299"/>
      <c r="M860" s="299"/>
      <c r="N860" s="299"/>
      <c r="O860" s="299"/>
      <c r="P860" s="299"/>
      <c r="Q860" s="299"/>
      <c r="R860" s="299"/>
      <c r="S860" s="299"/>
      <c r="T860" s="299"/>
      <c r="U860" s="299"/>
    </row>
    <row r="861">
      <c r="B861" s="3"/>
      <c r="D861" s="3"/>
      <c r="E861" s="300" t="s">
        <v>22</v>
      </c>
      <c r="F861" s="299"/>
      <c r="G861" s="299"/>
      <c r="H861" s="299"/>
      <c r="I861" s="299"/>
      <c r="J861" s="299"/>
      <c r="K861" s="299"/>
      <c r="L861" s="299"/>
      <c r="M861" s="299"/>
      <c r="N861" s="299"/>
      <c r="O861" s="299"/>
      <c r="P861" s="299"/>
      <c r="Q861" s="299"/>
      <c r="R861" s="299"/>
      <c r="S861" s="299"/>
      <c r="T861" s="299"/>
      <c r="U861" s="299"/>
    </row>
    <row r="862">
      <c r="B862" s="3"/>
      <c r="D862" s="3"/>
      <c r="E862" s="300" t="s">
        <v>22</v>
      </c>
      <c r="F862" s="299"/>
      <c r="G862" s="299"/>
      <c r="H862" s="299"/>
      <c r="I862" s="299"/>
      <c r="J862" s="299"/>
      <c r="K862" s="299"/>
      <c r="L862" s="299"/>
      <c r="M862" s="299"/>
      <c r="N862" s="299"/>
      <c r="O862" s="299"/>
      <c r="P862" s="299"/>
      <c r="Q862" s="299"/>
      <c r="R862" s="299"/>
      <c r="S862" s="299"/>
      <c r="T862" s="299"/>
      <c r="U862" s="299"/>
    </row>
    <row r="863">
      <c r="B863" s="3"/>
      <c r="D863" s="3"/>
      <c r="E863" s="300" t="s">
        <v>22</v>
      </c>
      <c r="F863" s="299"/>
      <c r="G863" s="299"/>
      <c r="H863" s="299"/>
      <c r="I863" s="299"/>
      <c r="J863" s="299"/>
      <c r="K863" s="299"/>
      <c r="L863" s="299"/>
      <c r="M863" s="299"/>
      <c r="N863" s="299"/>
      <c r="O863" s="299"/>
      <c r="P863" s="299"/>
      <c r="Q863" s="299"/>
      <c r="R863" s="299"/>
      <c r="S863" s="299"/>
      <c r="T863" s="299"/>
      <c r="U863" s="299"/>
    </row>
    <row r="864">
      <c r="B864" s="3"/>
      <c r="D864" s="3"/>
      <c r="E864" s="300" t="s">
        <v>22</v>
      </c>
      <c r="F864" s="299"/>
      <c r="G864" s="299"/>
      <c r="H864" s="299"/>
      <c r="I864" s="299"/>
      <c r="J864" s="299"/>
      <c r="K864" s="299"/>
      <c r="L864" s="299"/>
      <c r="M864" s="299"/>
      <c r="N864" s="299"/>
      <c r="O864" s="299"/>
      <c r="P864" s="299"/>
      <c r="Q864" s="299"/>
      <c r="R864" s="299"/>
      <c r="S864" s="299"/>
      <c r="T864" s="299"/>
      <c r="U864" s="299"/>
    </row>
    <row r="865">
      <c r="B865" s="3"/>
      <c r="D865" s="3"/>
      <c r="E865" s="300" t="s">
        <v>22</v>
      </c>
      <c r="F865" s="299"/>
      <c r="G865" s="299"/>
      <c r="H865" s="299"/>
      <c r="I865" s="299"/>
      <c r="J865" s="299"/>
      <c r="K865" s="299"/>
      <c r="L865" s="299"/>
      <c r="M865" s="299"/>
      <c r="N865" s="299"/>
      <c r="O865" s="299"/>
      <c r="P865" s="299"/>
      <c r="Q865" s="299"/>
      <c r="R865" s="299"/>
      <c r="S865" s="299"/>
      <c r="T865" s="299"/>
      <c r="U865" s="299"/>
    </row>
    <row r="866">
      <c r="B866" s="3"/>
      <c r="D866" s="3"/>
      <c r="E866" s="300" t="s">
        <v>22</v>
      </c>
      <c r="F866" s="299"/>
      <c r="G866" s="299"/>
      <c r="H866" s="299"/>
      <c r="I866" s="299"/>
      <c r="J866" s="299"/>
      <c r="K866" s="299"/>
      <c r="L866" s="299"/>
      <c r="M866" s="299"/>
      <c r="N866" s="299"/>
      <c r="O866" s="299"/>
      <c r="P866" s="299"/>
      <c r="Q866" s="299"/>
      <c r="R866" s="299"/>
      <c r="S866" s="299"/>
      <c r="T866" s="299"/>
      <c r="U866" s="299"/>
    </row>
    <row r="867">
      <c r="B867" s="3"/>
      <c r="D867" s="3"/>
      <c r="E867" s="300" t="s">
        <v>22</v>
      </c>
      <c r="F867" s="299"/>
      <c r="G867" s="299"/>
      <c r="H867" s="299"/>
      <c r="I867" s="299"/>
      <c r="J867" s="299"/>
      <c r="K867" s="299"/>
      <c r="L867" s="299"/>
      <c r="M867" s="299"/>
      <c r="N867" s="299"/>
      <c r="O867" s="299"/>
      <c r="P867" s="299"/>
      <c r="Q867" s="299"/>
      <c r="R867" s="299"/>
      <c r="S867" s="299"/>
      <c r="T867" s="299"/>
      <c r="U867" s="299"/>
    </row>
    <row r="868">
      <c r="B868" s="3"/>
      <c r="D868" s="3"/>
      <c r="E868" s="300" t="s">
        <v>22</v>
      </c>
      <c r="F868" s="299"/>
      <c r="G868" s="299"/>
      <c r="H868" s="299"/>
      <c r="I868" s="299"/>
      <c r="J868" s="299"/>
      <c r="K868" s="299"/>
      <c r="L868" s="299"/>
      <c r="M868" s="299"/>
      <c r="N868" s="299"/>
      <c r="O868" s="299"/>
      <c r="P868" s="299"/>
      <c r="Q868" s="299"/>
      <c r="R868" s="299"/>
      <c r="S868" s="299"/>
      <c r="T868" s="299"/>
      <c r="U868" s="299"/>
    </row>
    <row r="869">
      <c r="B869" s="3"/>
      <c r="D869" s="3"/>
      <c r="E869" s="300" t="s">
        <v>22</v>
      </c>
      <c r="F869" s="299"/>
      <c r="G869" s="299"/>
      <c r="H869" s="299"/>
      <c r="I869" s="299"/>
      <c r="J869" s="299"/>
      <c r="K869" s="299"/>
      <c r="L869" s="299"/>
      <c r="M869" s="299"/>
      <c r="N869" s="299"/>
      <c r="O869" s="299"/>
      <c r="P869" s="299"/>
      <c r="Q869" s="299"/>
      <c r="R869" s="299"/>
      <c r="S869" s="299"/>
      <c r="T869" s="299"/>
      <c r="U869" s="299"/>
    </row>
    <row r="870">
      <c r="B870" s="3"/>
      <c r="D870" s="3"/>
      <c r="E870" s="300" t="s">
        <v>22</v>
      </c>
      <c r="F870" s="299"/>
      <c r="G870" s="299"/>
      <c r="H870" s="299"/>
      <c r="I870" s="299"/>
      <c r="J870" s="299"/>
      <c r="K870" s="299"/>
      <c r="L870" s="299"/>
      <c r="M870" s="299"/>
      <c r="N870" s="299"/>
      <c r="O870" s="299"/>
      <c r="P870" s="299"/>
      <c r="Q870" s="299"/>
      <c r="R870" s="299"/>
      <c r="S870" s="299"/>
      <c r="T870" s="299"/>
      <c r="U870" s="299"/>
    </row>
    <row r="871">
      <c r="B871" s="3"/>
      <c r="D871" s="3"/>
      <c r="E871" s="300" t="s">
        <v>22</v>
      </c>
      <c r="F871" s="299"/>
      <c r="G871" s="299"/>
      <c r="H871" s="299"/>
      <c r="I871" s="299"/>
      <c r="J871" s="299"/>
      <c r="K871" s="299"/>
      <c r="L871" s="299"/>
      <c r="M871" s="299"/>
      <c r="N871" s="299"/>
      <c r="O871" s="299"/>
      <c r="P871" s="299"/>
      <c r="Q871" s="299"/>
      <c r="R871" s="299"/>
      <c r="S871" s="299"/>
      <c r="T871" s="299"/>
      <c r="U871" s="299"/>
    </row>
    <row r="872">
      <c r="B872" s="3"/>
      <c r="D872" s="3"/>
      <c r="E872" s="300" t="s">
        <v>22</v>
      </c>
      <c r="F872" s="299"/>
      <c r="G872" s="299"/>
      <c r="H872" s="299"/>
      <c r="I872" s="299"/>
      <c r="J872" s="299"/>
      <c r="K872" s="299"/>
      <c r="L872" s="299"/>
      <c r="M872" s="299"/>
      <c r="N872" s="299"/>
      <c r="O872" s="299"/>
      <c r="P872" s="299"/>
      <c r="Q872" s="299"/>
      <c r="R872" s="299"/>
      <c r="S872" s="299"/>
      <c r="T872" s="299"/>
      <c r="U872" s="299"/>
    </row>
    <row r="873">
      <c r="B873" s="3"/>
      <c r="D873" s="3"/>
      <c r="E873" s="300" t="s">
        <v>22</v>
      </c>
      <c r="F873" s="299"/>
      <c r="G873" s="299"/>
      <c r="H873" s="299"/>
      <c r="I873" s="299"/>
      <c r="J873" s="299"/>
      <c r="K873" s="299"/>
      <c r="L873" s="299"/>
      <c r="M873" s="299"/>
      <c r="N873" s="299"/>
      <c r="O873" s="299"/>
      <c r="P873" s="299"/>
      <c r="Q873" s="299"/>
      <c r="R873" s="299"/>
      <c r="S873" s="299"/>
      <c r="T873" s="299"/>
      <c r="U873" s="299"/>
    </row>
    <row r="874">
      <c r="B874" s="3"/>
      <c r="D874" s="3"/>
      <c r="E874" s="300" t="s">
        <v>22</v>
      </c>
      <c r="F874" s="299"/>
      <c r="G874" s="299"/>
      <c r="H874" s="299"/>
      <c r="I874" s="299"/>
      <c r="J874" s="299"/>
      <c r="K874" s="299"/>
      <c r="L874" s="299"/>
      <c r="M874" s="299"/>
      <c r="N874" s="299"/>
      <c r="O874" s="299"/>
      <c r="P874" s="299"/>
      <c r="Q874" s="299"/>
      <c r="R874" s="299"/>
      <c r="S874" s="299"/>
      <c r="T874" s="299"/>
      <c r="U874" s="299"/>
    </row>
    <row r="875">
      <c r="B875" s="3"/>
      <c r="D875" s="3"/>
      <c r="E875" s="300" t="s">
        <v>22</v>
      </c>
      <c r="F875" s="299"/>
      <c r="G875" s="299"/>
      <c r="H875" s="299"/>
      <c r="I875" s="299"/>
      <c r="J875" s="299"/>
      <c r="K875" s="299"/>
      <c r="L875" s="299"/>
      <c r="M875" s="299"/>
      <c r="N875" s="299"/>
      <c r="O875" s="299"/>
      <c r="P875" s="299"/>
      <c r="Q875" s="299"/>
      <c r="R875" s="299"/>
      <c r="S875" s="299"/>
      <c r="T875" s="299"/>
      <c r="U875" s="299"/>
    </row>
    <row r="876">
      <c r="B876" s="3"/>
      <c r="D876" s="3"/>
      <c r="E876" s="300" t="s">
        <v>22</v>
      </c>
      <c r="F876" s="299"/>
      <c r="G876" s="299"/>
      <c r="H876" s="299"/>
      <c r="I876" s="299"/>
      <c r="J876" s="299"/>
      <c r="K876" s="299"/>
      <c r="L876" s="299"/>
      <c r="M876" s="299"/>
      <c r="N876" s="299"/>
      <c r="O876" s="299"/>
      <c r="P876" s="299"/>
      <c r="Q876" s="299"/>
      <c r="R876" s="299"/>
      <c r="S876" s="299"/>
      <c r="T876" s="299"/>
      <c r="U876" s="299"/>
    </row>
    <row r="877">
      <c r="B877" s="3"/>
      <c r="D877" s="3"/>
      <c r="E877" s="300" t="s">
        <v>22</v>
      </c>
      <c r="F877" s="299"/>
      <c r="G877" s="299"/>
      <c r="H877" s="299"/>
      <c r="I877" s="299"/>
      <c r="J877" s="299"/>
      <c r="K877" s="299"/>
      <c r="L877" s="299"/>
      <c r="M877" s="299"/>
      <c r="N877" s="299"/>
      <c r="O877" s="299"/>
      <c r="P877" s="299"/>
      <c r="Q877" s="299"/>
      <c r="R877" s="299"/>
      <c r="S877" s="299"/>
      <c r="T877" s="299"/>
      <c r="U877" s="299"/>
    </row>
    <row r="878">
      <c r="B878" s="3"/>
      <c r="D878" s="3"/>
      <c r="E878" s="300" t="s">
        <v>22</v>
      </c>
      <c r="F878" s="299"/>
      <c r="G878" s="299"/>
      <c r="H878" s="299"/>
      <c r="I878" s="299"/>
      <c r="J878" s="299"/>
      <c r="K878" s="299"/>
      <c r="L878" s="299"/>
      <c r="M878" s="299"/>
      <c r="N878" s="299"/>
      <c r="O878" s="299"/>
      <c r="P878" s="299"/>
      <c r="Q878" s="299"/>
      <c r="R878" s="299"/>
      <c r="S878" s="299"/>
      <c r="T878" s="299"/>
      <c r="U878" s="299"/>
    </row>
    <row r="879">
      <c r="B879" s="3"/>
      <c r="D879" s="3"/>
      <c r="E879" s="300" t="s">
        <v>22</v>
      </c>
      <c r="F879" s="299"/>
      <c r="G879" s="299"/>
      <c r="H879" s="299"/>
      <c r="I879" s="299"/>
      <c r="J879" s="299"/>
      <c r="K879" s="299"/>
      <c r="L879" s="299"/>
      <c r="M879" s="299"/>
      <c r="N879" s="299"/>
      <c r="O879" s="299"/>
      <c r="P879" s="299"/>
      <c r="Q879" s="299"/>
      <c r="R879" s="299"/>
      <c r="S879" s="299"/>
      <c r="T879" s="299"/>
      <c r="U879" s="299"/>
    </row>
    <row r="880">
      <c r="B880" s="3"/>
      <c r="D880" s="3"/>
      <c r="E880" s="300" t="s">
        <v>22</v>
      </c>
      <c r="F880" s="299"/>
      <c r="G880" s="299"/>
      <c r="H880" s="299"/>
      <c r="I880" s="299"/>
      <c r="J880" s="299"/>
      <c r="K880" s="299"/>
      <c r="L880" s="299"/>
      <c r="M880" s="299"/>
      <c r="N880" s="299"/>
      <c r="O880" s="299"/>
      <c r="P880" s="299"/>
      <c r="Q880" s="299"/>
      <c r="R880" s="299"/>
      <c r="S880" s="299"/>
      <c r="T880" s="299"/>
      <c r="U880" s="299"/>
    </row>
    <row r="881">
      <c r="B881" s="3"/>
      <c r="D881" s="3"/>
      <c r="E881" s="300" t="s">
        <v>22</v>
      </c>
      <c r="F881" s="299"/>
      <c r="G881" s="299"/>
      <c r="H881" s="299"/>
      <c r="I881" s="299"/>
      <c r="J881" s="299"/>
      <c r="K881" s="299"/>
      <c r="L881" s="299"/>
      <c r="M881" s="299"/>
      <c r="N881" s="299"/>
      <c r="O881" s="299"/>
      <c r="P881" s="299"/>
      <c r="Q881" s="299"/>
      <c r="R881" s="299"/>
      <c r="S881" s="299"/>
      <c r="T881" s="299"/>
      <c r="U881" s="299"/>
    </row>
    <row r="882">
      <c r="B882" s="3"/>
      <c r="D882" s="3"/>
      <c r="E882" s="300" t="s">
        <v>22</v>
      </c>
      <c r="F882" s="299"/>
      <c r="G882" s="299"/>
      <c r="H882" s="299"/>
      <c r="I882" s="299"/>
      <c r="J882" s="299"/>
      <c r="K882" s="299"/>
      <c r="L882" s="299"/>
      <c r="M882" s="299"/>
      <c r="N882" s="299"/>
      <c r="O882" s="299"/>
      <c r="P882" s="299"/>
      <c r="Q882" s="299"/>
      <c r="R882" s="299"/>
      <c r="S882" s="299"/>
      <c r="T882" s="299"/>
      <c r="U882" s="299"/>
    </row>
    <row r="883">
      <c r="B883" s="3"/>
      <c r="D883" s="3"/>
      <c r="E883" s="300" t="s">
        <v>22</v>
      </c>
      <c r="F883" s="299"/>
      <c r="G883" s="299"/>
      <c r="H883" s="299"/>
      <c r="I883" s="299"/>
      <c r="J883" s="299"/>
      <c r="K883" s="299"/>
      <c r="L883" s="299"/>
      <c r="M883" s="299"/>
      <c r="N883" s="299"/>
      <c r="O883" s="299"/>
      <c r="P883" s="299"/>
      <c r="Q883" s="299"/>
      <c r="R883" s="299"/>
      <c r="S883" s="299"/>
      <c r="T883" s="299"/>
      <c r="U883" s="299"/>
    </row>
    <row r="884">
      <c r="B884" s="3"/>
      <c r="D884" s="3"/>
      <c r="E884" s="300" t="s">
        <v>22</v>
      </c>
      <c r="F884" s="299"/>
      <c r="G884" s="299"/>
      <c r="H884" s="299"/>
      <c r="I884" s="299"/>
      <c r="J884" s="299"/>
      <c r="K884" s="299"/>
      <c r="L884" s="299"/>
      <c r="M884" s="299"/>
      <c r="N884" s="299"/>
      <c r="O884" s="299"/>
      <c r="P884" s="299"/>
      <c r="Q884" s="299"/>
      <c r="R884" s="299"/>
      <c r="S884" s="299"/>
      <c r="T884" s="299"/>
      <c r="U884" s="299"/>
    </row>
    <row r="885">
      <c r="B885" s="3"/>
      <c r="D885" s="3"/>
      <c r="E885" s="300" t="s">
        <v>22</v>
      </c>
      <c r="F885" s="299"/>
      <c r="G885" s="299"/>
      <c r="H885" s="299"/>
      <c r="I885" s="299"/>
      <c r="J885" s="299"/>
      <c r="K885" s="299"/>
      <c r="L885" s="299"/>
      <c r="M885" s="299"/>
      <c r="N885" s="299"/>
      <c r="O885" s="299"/>
      <c r="P885" s="299"/>
      <c r="Q885" s="299"/>
      <c r="R885" s="299"/>
      <c r="S885" s="299"/>
      <c r="T885" s="299"/>
      <c r="U885" s="299"/>
    </row>
    <row r="886">
      <c r="B886" s="3"/>
      <c r="D886" s="3"/>
      <c r="E886" s="300" t="s">
        <v>22</v>
      </c>
      <c r="F886" s="299"/>
      <c r="G886" s="299"/>
      <c r="H886" s="299"/>
      <c r="I886" s="299"/>
      <c r="J886" s="299"/>
      <c r="K886" s="299"/>
      <c r="L886" s="299"/>
      <c r="M886" s="299"/>
      <c r="N886" s="299"/>
      <c r="O886" s="299"/>
      <c r="P886" s="299"/>
      <c r="Q886" s="299"/>
      <c r="R886" s="299"/>
      <c r="S886" s="299"/>
      <c r="T886" s="299"/>
      <c r="U886" s="299"/>
    </row>
    <row r="887">
      <c r="B887" s="3"/>
      <c r="D887" s="3"/>
      <c r="E887" s="300" t="s">
        <v>22</v>
      </c>
      <c r="F887" s="299"/>
      <c r="G887" s="299"/>
      <c r="H887" s="299"/>
      <c r="I887" s="299"/>
      <c r="J887" s="299"/>
      <c r="K887" s="299"/>
      <c r="L887" s="299"/>
      <c r="M887" s="299"/>
      <c r="N887" s="299"/>
      <c r="O887" s="299"/>
      <c r="P887" s="299"/>
      <c r="Q887" s="299"/>
      <c r="R887" s="299"/>
      <c r="S887" s="299"/>
      <c r="T887" s="299"/>
      <c r="U887" s="299"/>
    </row>
    <row r="888">
      <c r="B888" s="3"/>
      <c r="D888" s="3"/>
      <c r="E888" s="300" t="s">
        <v>22</v>
      </c>
      <c r="F888" s="299"/>
      <c r="G888" s="299"/>
      <c r="H888" s="299"/>
      <c r="I888" s="299"/>
      <c r="J888" s="299"/>
      <c r="K888" s="299"/>
      <c r="L888" s="299"/>
      <c r="M888" s="299"/>
      <c r="N888" s="299"/>
      <c r="O888" s="299"/>
      <c r="P888" s="299"/>
      <c r="Q888" s="299"/>
      <c r="R888" s="299"/>
      <c r="S888" s="299"/>
      <c r="T888" s="299"/>
      <c r="U888" s="299"/>
    </row>
    <row r="889">
      <c r="B889" s="3"/>
      <c r="D889" s="3"/>
      <c r="E889" s="300" t="s">
        <v>22</v>
      </c>
      <c r="F889" s="299"/>
      <c r="G889" s="299"/>
      <c r="H889" s="299"/>
      <c r="I889" s="299"/>
      <c r="J889" s="299"/>
      <c r="K889" s="299"/>
      <c r="L889" s="299"/>
      <c r="M889" s="299"/>
      <c r="N889" s="299"/>
      <c r="O889" s="299"/>
      <c r="P889" s="299"/>
      <c r="Q889" s="299"/>
      <c r="R889" s="299"/>
      <c r="S889" s="299"/>
      <c r="T889" s="299"/>
      <c r="U889" s="299"/>
    </row>
    <row r="890">
      <c r="B890" s="3"/>
      <c r="D890" s="3"/>
      <c r="E890" s="300" t="s">
        <v>22</v>
      </c>
      <c r="F890" s="299"/>
      <c r="G890" s="299"/>
      <c r="H890" s="299"/>
      <c r="I890" s="299"/>
      <c r="J890" s="299"/>
      <c r="K890" s="299"/>
      <c r="L890" s="299"/>
      <c r="M890" s="299"/>
      <c r="N890" s="299"/>
      <c r="O890" s="299"/>
      <c r="P890" s="299"/>
      <c r="Q890" s="299"/>
      <c r="R890" s="299"/>
      <c r="S890" s="299"/>
      <c r="T890" s="299"/>
      <c r="U890" s="299"/>
    </row>
    <row r="891">
      <c r="B891" s="3"/>
      <c r="D891" s="3"/>
      <c r="E891" s="300" t="s">
        <v>22</v>
      </c>
      <c r="F891" s="299"/>
      <c r="G891" s="299"/>
      <c r="H891" s="299"/>
      <c r="I891" s="299"/>
      <c r="J891" s="299"/>
      <c r="K891" s="299"/>
      <c r="L891" s="299"/>
      <c r="M891" s="299"/>
      <c r="N891" s="299"/>
      <c r="O891" s="299"/>
      <c r="P891" s="299"/>
      <c r="Q891" s="299"/>
      <c r="R891" s="299"/>
      <c r="S891" s="299"/>
      <c r="T891" s="299"/>
      <c r="U891" s="299"/>
    </row>
    <row r="892">
      <c r="B892" s="3"/>
      <c r="D892" s="3"/>
      <c r="E892" s="300" t="s">
        <v>22</v>
      </c>
      <c r="F892" s="299"/>
      <c r="G892" s="299"/>
      <c r="H892" s="299"/>
      <c r="I892" s="299"/>
      <c r="J892" s="299"/>
      <c r="K892" s="299"/>
      <c r="L892" s="299"/>
      <c r="M892" s="299"/>
      <c r="N892" s="299"/>
      <c r="O892" s="299"/>
      <c r="P892" s="299"/>
      <c r="Q892" s="299"/>
      <c r="R892" s="299"/>
      <c r="S892" s="299"/>
      <c r="T892" s="299"/>
      <c r="U892" s="299"/>
    </row>
    <row r="893">
      <c r="B893" s="3"/>
      <c r="D893" s="3"/>
      <c r="E893" s="300" t="s">
        <v>22</v>
      </c>
      <c r="F893" s="299"/>
      <c r="G893" s="299"/>
      <c r="H893" s="299"/>
      <c r="I893" s="299"/>
      <c r="J893" s="299"/>
      <c r="K893" s="299"/>
      <c r="L893" s="299"/>
      <c r="M893" s="299"/>
      <c r="N893" s="299"/>
      <c r="O893" s="299"/>
      <c r="P893" s="299"/>
      <c r="Q893" s="299"/>
      <c r="R893" s="299"/>
      <c r="S893" s="299"/>
      <c r="T893" s="299"/>
      <c r="U893" s="299"/>
    </row>
    <row r="894">
      <c r="B894" s="3"/>
      <c r="D894" s="3"/>
      <c r="E894" s="300" t="s">
        <v>22</v>
      </c>
      <c r="F894" s="299"/>
      <c r="G894" s="299"/>
      <c r="H894" s="299"/>
      <c r="I894" s="299"/>
      <c r="J894" s="299"/>
      <c r="K894" s="299"/>
      <c r="L894" s="299"/>
      <c r="M894" s="299"/>
      <c r="N894" s="299"/>
      <c r="O894" s="299"/>
      <c r="P894" s="299"/>
      <c r="Q894" s="299"/>
      <c r="R894" s="299"/>
      <c r="S894" s="299"/>
      <c r="T894" s="299"/>
      <c r="U894" s="299"/>
    </row>
    <row r="895">
      <c r="B895" s="3"/>
      <c r="D895" s="3"/>
      <c r="E895" s="300" t="s">
        <v>22</v>
      </c>
      <c r="F895" s="299"/>
      <c r="G895" s="299"/>
      <c r="H895" s="299"/>
      <c r="I895" s="299"/>
      <c r="J895" s="299"/>
      <c r="K895" s="299"/>
      <c r="L895" s="299"/>
      <c r="M895" s="299"/>
      <c r="N895" s="299"/>
      <c r="O895" s="299"/>
      <c r="P895" s="299"/>
      <c r="Q895" s="299"/>
      <c r="R895" s="299"/>
      <c r="S895" s="299"/>
      <c r="T895" s="299"/>
      <c r="U895" s="299"/>
    </row>
    <row r="896">
      <c r="B896" s="3"/>
      <c r="D896" s="3"/>
      <c r="E896" s="300" t="s">
        <v>22</v>
      </c>
      <c r="F896" s="299"/>
      <c r="G896" s="299"/>
      <c r="H896" s="299"/>
      <c r="I896" s="299"/>
      <c r="J896" s="299"/>
      <c r="K896" s="299"/>
      <c r="L896" s="299"/>
      <c r="M896" s="299"/>
      <c r="N896" s="299"/>
      <c r="O896" s="299"/>
      <c r="P896" s="299"/>
      <c r="Q896" s="299"/>
      <c r="R896" s="299"/>
      <c r="S896" s="299"/>
      <c r="T896" s="299"/>
      <c r="U896" s="299"/>
    </row>
    <row r="897">
      <c r="B897" s="3"/>
      <c r="D897" s="3"/>
      <c r="E897" s="300" t="s">
        <v>22</v>
      </c>
      <c r="F897" s="299"/>
      <c r="G897" s="299"/>
      <c r="H897" s="299"/>
      <c r="I897" s="299"/>
      <c r="J897" s="299"/>
      <c r="K897" s="299"/>
      <c r="L897" s="299"/>
      <c r="M897" s="299"/>
      <c r="N897" s="299"/>
      <c r="O897" s="299"/>
      <c r="P897" s="299"/>
      <c r="Q897" s="299"/>
      <c r="R897" s="299"/>
      <c r="S897" s="299"/>
      <c r="T897" s="299"/>
      <c r="U897" s="299"/>
    </row>
    <row r="898">
      <c r="B898" s="3"/>
      <c r="D898" s="3"/>
      <c r="E898" s="300" t="s">
        <v>22</v>
      </c>
      <c r="F898" s="299"/>
      <c r="G898" s="299"/>
      <c r="H898" s="299"/>
      <c r="I898" s="299"/>
      <c r="J898" s="299"/>
      <c r="K898" s="299"/>
      <c r="L898" s="299"/>
      <c r="M898" s="299"/>
      <c r="N898" s="299"/>
      <c r="O898" s="299"/>
      <c r="P898" s="299"/>
      <c r="Q898" s="299"/>
      <c r="R898" s="299"/>
      <c r="S898" s="299"/>
      <c r="T898" s="299"/>
      <c r="U898" s="299"/>
    </row>
    <row r="899">
      <c r="B899" s="3"/>
      <c r="D899" s="3"/>
      <c r="E899" s="300" t="s">
        <v>22</v>
      </c>
      <c r="F899" s="299"/>
      <c r="G899" s="299"/>
      <c r="H899" s="299"/>
      <c r="I899" s="299"/>
      <c r="J899" s="299"/>
      <c r="K899" s="299"/>
      <c r="L899" s="299"/>
      <c r="M899" s="299"/>
      <c r="N899" s="299"/>
      <c r="O899" s="299"/>
      <c r="P899" s="299"/>
      <c r="Q899" s="299"/>
      <c r="R899" s="299"/>
      <c r="S899" s="299"/>
      <c r="T899" s="299"/>
      <c r="U899" s="299"/>
    </row>
    <row r="900">
      <c r="B900" s="3"/>
      <c r="D900" s="3"/>
      <c r="E900" s="300" t="s">
        <v>22</v>
      </c>
      <c r="F900" s="299"/>
      <c r="G900" s="299"/>
      <c r="H900" s="299"/>
      <c r="I900" s="299"/>
      <c r="J900" s="299"/>
      <c r="K900" s="299"/>
      <c r="L900" s="299"/>
      <c r="M900" s="299"/>
      <c r="N900" s="299"/>
      <c r="O900" s="299"/>
      <c r="P900" s="299"/>
      <c r="Q900" s="299"/>
      <c r="R900" s="299"/>
      <c r="S900" s="299"/>
      <c r="T900" s="299"/>
      <c r="U900" s="299"/>
    </row>
    <row r="901">
      <c r="B901" s="3"/>
      <c r="D901" s="3"/>
      <c r="E901" s="300" t="s">
        <v>22</v>
      </c>
      <c r="F901" s="299"/>
      <c r="G901" s="299"/>
      <c r="H901" s="299"/>
      <c r="I901" s="299"/>
      <c r="J901" s="299"/>
      <c r="K901" s="299"/>
      <c r="L901" s="299"/>
      <c r="M901" s="299"/>
      <c r="N901" s="299"/>
      <c r="O901" s="299"/>
      <c r="P901" s="299"/>
      <c r="Q901" s="299"/>
      <c r="R901" s="299"/>
      <c r="S901" s="299"/>
      <c r="T901" s="299"/>
      <c r="U901" s="299"/>
    </row>
    <row r="902">
      <c r="B902" s="3"/>
      <c r="D902" s="3"/>
      <c r="E902" s="300" t="s">
        <v>22</v>
      </c>
      <c r="F902" s="299"/>
      <c r="G902" s="299"/>
      <c r="H902" s="299"/>
      <c r="I902" s="299"/>
      <c r="J902" s="299"/>
      <c r="K902" s="299"/>
      <c r="L902" s="299"/>
      <c r="M902" s="299"/>
      <c r="N902" s="299"/>
      <c r="O902" s="299"/>
      <c r="P902" s="299"/>
      <c r="Q902" s="299"/>
      <c r="R902" s="299"/>
      <c r="S902" s="299"/>
      <c r="T902" s="299"/>
      <c r="U902" s="299"/>
    </row>
    <row r="903">
      <c r="B903" s="3"/>
      <c r="D903" s="3"/>
      <c r="E903" s="300" t="s">
        <v>22</v>
      </c>
      <c r="F903" s="299"/>
      <c r="G903" s="299"/>
      <c r="H903" s="299"/>
      <c r="I903" s="299"/>
      <c r="J903" s="299"/>
      <c r="K903" s="299"/>
      <c r="L903" s="299"/>
      <c r="M903" s="299"/>
      <c r="N903" s="299"/>
      <c r="O903" s="299"/>
      <c r="P903" s="299"/>
      <c r="Q903" s="299"/>
      <c r="R903" s="299"/>
      <c r="S903" s="299"/>
      <c r="T903" s="299"/>
      <c r="U903" s="299"/>
    </row>
    <row r="904">
      <c r="B904" s="3"/>
      <c r="D904" s="3"/>
      <c r="E904" s="300" t="s">
        <v>22</v>
      </c>
      <c r="F904" s="299"/>
      <c r="G904" s="299"/>
      <c r="H904" s="299"/>
      <c r="I904" s="299"/>
      <c r="J904" s="299"/>
      <c r="K904" s="299"/>
      <c r="L904" s="299"/>
      <c r="M904" s="299"/>
      <c r="N904" s="299"/>
      <c r="O904" s="299"/>
      <c r="P904" s="299"/>
      <c r="Q904" s="299"/>
      <c r="R904" s="299"/>
      <c r="S904" s="299"/>
      <c r="T904" s="299"/>
      <c r="U904" s="299"/>
    </row>
    <row r="905">
      <c r="B905" s="3"/>
      <c r="D905" s="3"/>
      <c r="E905" s="300" t="s">
        <v>22</v>
      </c>
      <c r="F905" s="299"/>
      <c r="G905" s="299"/>
      <c r="H905" s="299"/>
      <c r="I905" s="299"/>
      <c r="J905" s="299"/>
      <c r="K905" s="299"/>
      <c r="L905" s="299"/>
      <c r="M905" s="299"/>
      <c r="N905" s="299"/>
      <c r="O905" s="299"/>
      <c r="P905" s="299"/>
      <c r="Q905" s="299"/>
      <c r="R905" s="299"/>
      <c r="S905" s="299"/>
      <c r="T905" s="299"/>
      <c r="U905" s="299"/>
    </row>
    <row r="906">
      <c r="B906" s="3"/>
      <c r="D906" s="3"/>
      <c r="E906" s="300" t="s">
        <v>22</v>
      </c>
      <c r="F906" s="299"/>
      <c r="G906" s="299"/>
      <c r="H906" s="299"/>
      <c r="I906" s="299"/>
      <c r="J906" s="299"/>
      <c r="K906" s="299"/>
      <c r="L906" s="299"/>
      <c r="M906" s="299"/>
      <c r="N906" s="299"/>
      <c r="O906" s="299"/>
      <c r="P906" s="299"/>
      <c r="Q906" s="299"/>
      <c r="R906" s="299"/>
      <c r="S906" s="299"/>
      <c r="T906" s="299"/>
      <c r="U906" s="299"/>
    </row>
    <row r="907">
      <c r="B907" s="3"/>
      <c r="D907" s="3"/>
      <c r="E907" s="300" t="s">
        <v>22</v>
      </c>
      <c r="F907" s="299"/>
      <c r="G907" s="299"/>
      <c r="H907" s="299"/>
      <c r="I907" s="299"/>
      <c r="J907" s="299"/>
      <c r="K907" s="299"/>
      <c r="L907" s="299"/>
      <c r="M907" s="299"/>
      <c r="N907" s="299"/>
      <c r="O907" s="299"/>
      <c r="P907" s="299"/>
      <c r="Q907" s="299"/>
      <c r="R907" s="299"/>
      <c r="S907" s="299"/>
      <c r="T907" s="299"/>
      <c r="U907" s="299"/>
    </row>
    <row r="908">
      <c r="B908" s="3"/>
      <c r="D908" s="3"/>
      <c r="E908" s="300" t="s">
        <v>22</v>
      </c>
      <c r="F908" s="299"/>
      <c r="G908" s="299"/>
      <c r="H908" s="299"/>
      <c r="I908" s="299"/>
      <c r="J908" s="299"/>
      <c r="K908" s="299"/>
      <c r="L908" s="299"/>
      <c r="M908" s="299"/>
      <c r="N908" s="299"/>
      <c r="O908" s="299"/>
      <c r="P908" s="299"/>
      <c r="Q908" s="299"/>
      <c r="R908" s="299"/>
      <c r="S908" s="299"/>
      <c r="T908" s="299"/>
      <c r="U908" s="299"/>
    </row>
    <row r="909">
      <c r="B909" s="3"/>
      <c r="D909" s="3"/>
      <c r="E909" s="300" t="s">
        <v>22</v>
      </c>
      <c r="F909" s="299"/>
      <c r="G909" s="299"/>
      <c r="H909" s="299"/>
      <c r="I909" s="299"/>
      <c r="J909" s="299"/>
      <c r="K909" s="299"/>
      <c r="L909" s="299"/>
      <c r="M909" s="299"/>
      <c r="N909" s="299"/>
      <c r="O909" s="299"/>
      <c r="P909" s="299"/>
      <c r="Q909" s="299"/>
      <c r="R909" s="299"/>
      <c r="S909" s="299"/>
      <c r="T909" s="299"/>
      <c r="U909" s="299"/>
    </row>
    <row r="910">
      <c r="B910" s="3"/>
      <c r="D910" s="3"/>
      <c r="E910" s="300" t="s">
        <v>22</v>
      </c>
      <c r="F910" s="299"/>
      <c r="G910" s="299"/>
      <c r="H910" s="299"/>
      <c r="I910" s="299"/>
      <c r="J910" s="299"/>
      <c r="K910" s="299"/>
      <c r="L910" s="299"/>
      <c r="M910" s="299"/>
      <c r="N910" s="299"/>
      <c r="O910" s="299"/>
      <c r="P910" s="299"/>
      <c r="Q910" s="299"/>
      <c r="R910" s="299"/>
      <c r="S910" s="299"/>
      <c r="T910" s="299"/>
      <c r="U910" s="299"/>
    </row>
    <row r="911">
      <c r="B911" s="3"/>
      <c r="D911" s="3"/>
      <c r="E911" s="300" t="s">
        <v>22</v>
      </c>
      <c r="F911" s="299"/>
      <c r="G911" s="299"/>
      <c r="H911" s="299"/>
      <c r="I911" s="299"/>
      <c r="J911" s="299"/>
      <c r="K911" s="299"/>
      <c r="L911" s="299"/>
      <c r="M911" s="299"/>
      <c r="N911" s="299"/>
      <c r="O911" s="299"/>
      <c r="P911" s="299"/>
      <c r="Q911" s="299"/>
      <c r="R911" s="299"/>
      <c r="S911" s="299"/>
      <c r="T911" s="299"/>
      <c r="U911" s="299"/>
    </row>
    <row r="912">
      <c r="B912" s="3"/>
      <c r="D912" s="3"/>
      <c r="E912" s="300" t="s">
        <v>22</v>
      </c>
      <c r="F912" s="299"/>
      <c r="G912" s="299"/>
      <c r="H912" s="299"/>
      <c r="I912" s="299"/>
      <c r="J912" s="299"/>
      <c r="K912" s="299"/>
      <c r="L912" s="299"/>
      <c r="M912" s="299"/>
      <c r="N912" s="299"/>
      <c r="O912" s="299"/>
      <c r="P912" s="299"/>
      <c r="Q912" s="299"/>
      <c r="R912" s="299"/>
      <c r="S912" s="299"/>
      <c r="T912" s="299"/>
      <c r="U912" s="299"/>
    </row>
    <row r="913">
      <c r="B913" s="3"/>
      <c r="D913" s="3"/>
      <c r="E913" s="300" t="s">
        <v>22</v>
      </c>
      <c r="F913" s="299"/>
      <c r="G913" s="299"/>
      <c r="H913" s="299"/>
      <c r="I913" s="299"/>
      <c r="J913" s="299"/>
      <c r="K913" s="299"/>
      <c r="L913" s="299"/>
      <c r="M913" s="299"/>
      <c r="N913" s="299"/>
      <c r="O913" s="299"/>
      <c r="P913" s="299"/>
      <c r="Q913" s="299"/>
      <c r="R913" s="299"/>
      <c r="S913" s="299"/>
      <c r="T913" s="299"/>
      <c r="U913" s="299"/>
    </row>
    <row r="914">
      <c r="B914" s="3"/>
      <c r="D914" s="3"/>
      <c r="E914" s="300" t="s">
        <v>22</v>
      </c>
      <c r="F914" s="299"/>
      <c r="G914" s="299"/>
      <c r="H914" s="299"/>
      <c r="I914" s="299"/>
      <c r="J914" s="299"/>
      <c r="K914" s="299"/>
      <c r="L914" s="299"/>
      <c r="M914" s="299"/>
      <c r="N914" s="299"/>
      <c r="O914" s="299"/>
      <c r="P914" s="299"/>
      <c r="Q914" s="299"/>
      <c r="R914" s="299"/>
      <c r="S914" s="299"/>
      <c r="T914" s="299"/>
      <c r="U914" s="299"/>
    </row>
    <row r="915">
      <c r="B915" s="3"/>
      <c r="D915" s="3"/>
      <c r="E915" s="300" t="s">
        <v>22</v>
      </c>
      <c r="F915" s="299"/>
      <c r="G915" s="299"/>
      <c r="H915" s="299"/>
      <c r="I915" s="299"/>
      <c r="J915" s="299"/>
      <c r="K915" s="299"/>
      <c r="L915" s="299"/>
      <c r="M915" s="299"/>
      <c r="N915" s="299"/>
      <c r="O915" s="299"/>
      <c r="P915" s="299"/>
      <c r="Q915" s="299"/>
      <c r="R915" s="299"/>
      <c r="S915" s="299"/>
      <c r="T915" s="299"/>
      <c r="U915" s="299"/>
    </row>
    <row r="916">
      <c r="B916" s="3"/>
      <c r="D916" s="3"/>
      <c r="E916" s="300" t="s">
        <v>22</v>
      </c>
      <c r="F916" s="299"/>
      <c r="G916" s="299"/>
      <c r="H916" s="299"/>
      <c r="I916" s="299"/>
      <c r="J916" s="299"/>
      <c r="K916" s="299"/>
      <c r="L916" s="299"/>
      <c r="M916" s="299"/>
      <c r="N916" s="299"/>
      <c r="O916" s="299"/>
      <c r="P916" s="299"/>
      <c r="Q916" s="299"/>
      <c r="R916" s="299"/>
      <c r="S916" s="299"/>
      <c r="T916" s="299"/>
      <c r="U916" s="299"/>
    </row>
    <row r="917">
      <c r="B917" s="3"/>
      <c r="D917" s="3"/>
      <c r="E917" s="300" t="s">
        <v>22</v>
      </c>
      <c r="F917" s="299"/>
      <c r="G917" s="299"/>
      <c r="H917" s="299"/>
      <c r="I917" s="299"/>
      <c r="J917" s="299"/>
      <c r="K917" s="299"/>
      <c r="L917" s="299"/>
      <c r="M917" s="299"/>
      <c r="N917" s="299"/>
      <c r="O917" s="299"/>
      <c r="P917" s="299"/>
      <c r="Q917" s="299"/>
      <c r="R917" s="299"/>
      <c r="S917" s="299"/>
      <c r="T917" s="299"/>
      <c r="U917" s="299"/>
    </row>
    <row r="918">
      <c r="B918" s="3"/>
      <c r="D918" s="3"/>
      <c r="E918" s="300" t="s">
        <v>22</v>
      </c>
      <c r="F918" s="299"/>
      <c r="G918" s="299"/>
      <c r="H918" s="299"/>
      <c r="I918" s="299"/>
      <c r="J918" s="299"/>
      <c r="K918" s="299"/>
      <c r="L918" s="299"/>
      <c r="M918" s="299"/>
      <c r="N918" s="299"/>
      <c r="O918" s="299"/>
      <c r="P918" s="299"/>
      <c r="Q918" s="299"/>
      <c r="R918" s="299"/>
      <c r="S918" s="299"/>
      <c r="T918" s="299"/>
      <c r="U918" s="299"/>
    </row>
    <row r="919">
      <c r="B919" s="3"/>
      <c r="D919" s="3"/>
      <c r="E919" s="300" t="s">
        <v>22</v>
      </c>
      <c r="F919" s="299"/>
      <c r="G919" s="299"/>
      <c r="H919" s="299"/>
      <c r="I919" s="299"/>
      <c r="J919" s="299"/>
      <c r="K919" s="299"/>
      <c r="L919" s="299"/>
      <c r="M919" s="299"/>
      <c r="N919" s="299"/>
      <c r="O919" s="299"/>
      <c r="P919" s="299"/>
      <c r="Q919" s="299"/>
      <c r="R919" s="299"/>
      <c r="S919" s="299"/>
      <c r="T919" s="299"/>
      <c r="U919" s="299"/>
    </row>
    <row r="920">
      <c r="B920" s="3"/>
      <c r="D920" s="3"/>
      <c r="E920" s="300" t="s">
        <v>22</v>
      </c>
      <c r="F920" s="299"/>
      <c r="G920" s="299"/>
      <c r="H920" s="299"/>
      <c r="I920" s="299"/>
      <c r="J920" s="299"/>
      <c r="K920" s="299"/>
      <c r="L920" s="299"/>
      <c r="M920" s="299"/>
      <c r="N920" s="299"/>
      <c r="O920" s="299"/>
      <c r="P920" s="299"/>
      <c r="Q920" s="299"/>
      <c r="R920" s="299"/>
      <c r="S920" s="299"/>
      <c r="T920" s="299"/>
      <c r="U920" s="299"/>
    </row>
    <row r="921">
      <c r="B921" s="3"/>
      <c r="D921" s="3"/>
      <c r="E921" s="300" t="s">
        <v>22</v>
      </c>
      <c r="F921" s="299"/>
      <c r="G921" s="299"/>
      <c r="H921" s="299"/>
      <c r="I921" s="299"/>
      <c r="J921" s="299"/>
      <c r="K921" s="299"/>
      <c r="L921" s="299"/>
      <c r="M921" s="299"/>
      <c r="N921" s="299"/>
      <c r="O921" s="299"/>
      <c r="P921" s="299"/>
      <c r="Q921" s="299"/>
      <c r="R921" s="299"/>
      <c r="S921" s="299"/>
      <c r="T921" s="299"/>
      <c r="U921" s="299"/>
    </row>
    <row r="922">
      <c r="B922" s="3"/>
      <c r="D922" s="3"/>
      <c r="E922" s="300" t="s">
        <v>22</v>
      </c>
      <c r="F922" s="299"/>
      <c r="G922" s="299"/>
      <c r="H922" s="299"/>
      <c r="I922" s="299"/>
      <c r="J922" s="299"/>
      <c r="K922" s="299"/>
      <c r="L922" s="299"/>
      <c r="M922" s="299"/>
      <c r="N922" s="299"/>
      <c r="O922" s="299"/>
      <c r="P922" s="299"/>
      <c r="Q922" s="299"/>
      <c r="R922" s="299"/>
      <c r="S922" s="299"/>
      <c r="T922" s="299"/>
      <c r="U922" s="299"/>
    </row>
    <row r="923">
      <c r="B923" s="3"/>
      <c r="D923" s="3"/>
      <c r="E923" s="300" t="s">
        <v>22</v>
      </c>
      <c r="F923" s="299"/>
      <c r="G923" s="299"/>
      <c r="H923" s="299"/>
      <c r="I923" s="299"/>
      <c r="J923" s="299"/>
      <c r="K923" s="299"/>
      <c r="L923" s="299"/>
      <c r="M923" s="299"/>
      <c r="N923" s="299"/>
      <c r="O923" s="299"/>
      <c r="P923" s="299"/>
      <c r="Q923" s="299"/>
      <c r="R923" s="299"/>
      <c r="S923" s="299"/>
      <c r="T923" s="299"/>
      <c r="U923" s="299"/>
    </row>
    <row r="924">
      <c r="B924" s="3"/>
      <c r="D924" s="3"/>
      <c r="E924" s="300" t="s">
        <v>22</v>
      </c>
      <c r="F924" s="299"/>
      <c r="G924" s="299"/>
      <c r="H924" s="299"/>
      <c r="I924" s="299"/>
      <c r="J924" s="299"/>
      <c r="K924" s="299"/>
      <c r="L924" s="299"/>
      <c r="M924" s="299"/>
      <c r="N924" s="299"/>
      <c r="O924" s="299"/>
      <c r="P924" s="299"/>
      <c r="Q924" s="299"/>
      <c r="R924" s="299"/>
      <c r="S924" s="299"/>
      <c r="T924" s="299"/>
      <c r="U924" s="299"/>
    </row>
    <row r="925">
      <c r="B925" s="3"/>
      <c r="D925" s="3"/>
      <c r="E925" s="300" t="s">
        <v>22</v>
      </c>
      <c r="F925" s="299"/>
      <c r="G925" s="299"/>
      <c r="H925" s="299"/>
      <c r="I925" s="299"/>
      <c r="J925" s="299"/>
      <c r="K925" s="299"/>
      <c r="L925" s="299"/>
      <c r="M925" s="299"/>
      <c r="N925" s="299"/>
      <c r="O925" s="299"/>
      <c r="P925" s="299"/>
      <c r="Q925" s="299"/>
      <c r="R925" s="299"/>
      <c r="S925" s="299"/>
      <c r="T925" s="299"/>
      <c r="U925" s="299"/>
    </row>
    <row r="926">
      <c r="B926" s="3"/>
      <c r="D926" s="3"/>
      <c r="E926" s="300" t="s">
        <v>22</v>
      </c>
      <c r="F926" s="299"/>
      <c r="G926" s="299"/>
      <c r="H926" s="299"/>
      <c r="I926" s="299"/>
      <c r="J926" s="299"/>
      <c r="K926" s="299"/>
      <c r="L926" s="299"/>
      <c r="M926" s="299"/>
      <c r="N926" s="299"/>
      <c r="O926" s="299"/>
      <c r="P926" s="299"/>
      <c r="Q926" s="299"/>
      <c r="R926" s="299"/>
      <c r="S926" s="299"/>
      <c r="T926" s="299"/>
      <c r="U926" s="299"/>
    </row>
    <row r="927">
      <c r="B927" s="3"/>
      <c r="D927" s="3"/>
      <c r="E927" s="300" t="s">
        <v>22</v>
      </c>
      <c r="F927" s="299"/>
      <c r="G927" s="299"/>
      <c r="H927" s="299"/>
      <c r="I927" s="299"/>
      <c r="J927" s="299"/>
      <c r="K927" s="299"/>
      <c r="L927" s="299"/>
      <c r="M927" s="299"/>
      <c r="N927" s="299"/>
      <c r="O927" s="299"/>
      <c r="P927" s="299"/>
      <c r="Q927" s="299"/>
      <c r="R927" s="299"/>
      <c r="S927" s="299"/>
      <c r="T927" s="299"/>
      <c r="U927" s="299"/>
    </row>
    <row r="928">
      <c r="B928" s="3"/>
      <c r="D928" s="3"/>
      <c r="E928" s="300" t="s">
        <v>22</v>
      </c>
      <c r="F928" s="299"/>
      <c r="G928" s="299"/>
      <c r="H928" s="299"/>
      <c r="I928" s="299"/>
      <c r="J928" s="299"/>
      <c r="K928" s="299"/>
      <c r="L928" s="299"/>
      <c r="M928" s="299"/>
      <c r="N928" s="299"/>
      <c r="O928" s="299"/>
      <c r="P928" s="299"/>
      <c r="Q928" s="299"/>
      <c r="R928" s="299"/>
      <c r="S928" s="299"/>
      <c r="T928" s="299"/>
      <c r="U928" s="299"/>
    </row>
    <row r="929">
      <c r="B929" s="3"/>
      <c r="D929" s="3"/>
      <c r="E929" s="300" t="s">
        <v>22</v>
      </c>
      <c r="F929" s="299"/>
      <c r="G929" s="299"/>
      <c r="H929" s="299"/>
      <c r="I929" s="299"/>
      <c r="J929" s="299"/>
      <c r="K929" s="299"/>
      <c r="L929" s="299"/>
      <c r="M929" s="299"/>
      <c r="N929" s="299"/>
      <c r="O929" s="299"/>
      <c r="P929" s="299"/>
      <c r="Q929" s="299"/>
      <c r="R929" s="299"/>
      <c r="S929" s="299"/>
      <c r="T929" s="299"/>
      <c r="U929" s="299"/>
    </row>
    <row r="930">
      <c r="B930" s="3"/>
      <c r="D930" s="3"/>
      <c r="E930" s="300" t="s">
        <v>22</v>
      </c>
      <c r="F930" s="299"/>
      <c r="G930" s="299"/>
      <c r="H930" s="299"/>
      <c r="I930" s="299"/>
      <c r="J930" s="299"/>
      <c r="K930" s="299"/>
      <c r="L930" s="299"/>
      <c r="M930" s="299"/>
      <c r="N930" s="299"/>
      <c r="O930" s="299"/>
      <c r="P930" s="299"/>
      <c r="Q930" s="299"/>
      <c r="R930" s="299"/>
      <c r="S930" s="299"/>
      <c r="T930" s="299"/>
      <c r="U930" s="299"/>
    </row>
    <row r="931">
      <c r="B931" s="3"/>
      <c r="D931" s="3"/>
      <c r="E931" s="300" t="s">
        <v>22</v>
      </c>
      <c r="F931" s="299"/>
      <c r="G931" s="299"/>
      <c r="H931" s="299"/>
      <c r="I931" s="299"/>
      <c r="J931" s="299"/>
      <c r="K931" s="299"/>
      <c r="L931" s="299"/>
      <c r="M931" s="299"/>
      <c r="N931" s="299"/>
      <c r="O931" s="299"/>
      <c r="P931" s="299"/>
      <c r="Q931" s="299"/>
      <c r="R931" s="299"/>
      <c r="S931" s="299"/>
      <c r="T931" s="299"/>
      <c r="U931" s="299"/>
    </row>
    <row r="932">
      <c r="B932" s="3"/>
      <c r="D932" s="3"/>
      <c r="E932" s="300" t="s">
        <v>22</v>
      </c>
      <c r="F932" s="299"/>
      <c r="G932" s="299"/>
      <c r="H932" s="299"/>
      <c r="I932" s="299"/>
      <c r="J932" s="299"/>
      <c r="K932" s="299"/>
      <c r="L932" s="299"/>
      <c r="M932" s="299"/>
      <c r="N932" s="299"/>
      <c r="O932" s="299"/>
      <c r="P932" s="299"/>
      <c r="Q932" s="299"/>
      <c r="R932" s="299"/>
      <c r="S932" s="299"/>
      <c r="T932" s="299"/>
      <c r="U932" s="299"/>
    </row>
    <row r="933">
      <c r="B933" s="3"/>
      <c r="D933" s="3"/>
      <c r="E933" s="300" t="s">
        <v>22</v>
      </c>
      <c r="F933" s="299"/>
      <c r="G933" s="299"/>
      <c r="H933" s="299"/>
      <c r="I933" s="299"/>
      <c r="J933" s="299"/>
      <c r="K933" s="299"/>
      <c r="L933" s="299"/>
      <c r="M933" s="299"/>
      <c r="N933" s="299"/>
      <c r="O933" s="299"/>
      <c r="P933" s="299"/>
      <c r="Q933" s="299"/>
      <c r="R933" s="299"/>
      <c r="S933" s="299"/>
      <c r="T933" s="299"/>
      <c r="U933" s="299"/>
    </row>
    <row r="934">
      <c r="B934" s="3"/>
      <c r="D934" s="3"/>
      <c r="E934" s="300" t="s">
        <v>22</v>
      </c>
      <c r="F934" s="299"/>
      <c r="G934" s="299"/>
      <c r="H934" s="299"/>
      <c r="I934" s="299"/>
      <c r="J934" s="299"/>
      <c r="K934" s="299"/>
      <c r="L934" s="299"/>
      <c r="M934" s="299"/>
      <c r="N934" s="299"/>
      <c r="O934" s="299"/>
      <c r="P934" s="299"/>
      <c r="Q934" s="299"/>
      <c r="R934" s="299"/>
      <c r="S934" s="299"/>
      <c r="T934" s="299"/>
      <c r="U934" s="299"/>
    </row>
    <row r="935">
      <c r="B935" s="3"/>
      <c r="D935" s="3"/>
      <c r="E935" s="300" t="s">
        <v>22</v>
      </c>
      <c r="F935" s="299"/>
      <c r="G935" s="299"/>
      <c r="H935" s="299"/>
      <c r="I935" s="299"/>
      <c r="J935" s="299"/>
      <c r="K935" s="299"/>
      <c r="L935" s="299"/>
      <c r="M935" s="299"/>
      <c r="N935" s="299"/>
      <c r="O935" s="299"/>
      <c r="P935" s="299"/>
      <c r="Q935" s="299"/>
      <c r="R935" s="299"/>
      <c r="S935" s="299"/>
      <c r="T935" s="299"/>
      <c r="U935" s="299"/>
    </row>
    <row r="936">
      <c r="B936" s="3"/>
      <c r="D936" s="3"/>
      <c r="E936" s="300" t="s">
        <v>22</v>
      </c>
      <c r="F936" s="299"/>
      <c r="G936" s="299"/>
      <c r="H936" s="299"/>
      <c r="I936" s="299"/>
      <c r="J936" s="299"/>
      <c r="K936" s="299"/>
      <c r="L936" s="299"/>
      <c r="M936" s="299"/>
      <c r="N936" s="299"/>
      <c r="O936" s="299"/>
      <c r="P936" s="299"/>
      <c r="Q936" s="299"/>
      <c r="R936" s="299"/>
      <c r="S936" s="299"/>
      <c r="T936" s="299"/>
      <c r="U936" s="299"/>
    </row>
    <row r="937">
      <c r="B937" s="3"/>
      <c r="D937" s="3"/>
      <c r="E937" s="300" t="s">
        <v>22</v>
      </c>
      <c r="F937" s="299"/>
      <c r="G937" s="299"/>
      <c r="H937" s="299"/>
      <c r="I937" s="299"/>
      <c r="J937" s="299"/>
      <c r="K937" s="299"/>
      <c r="L937" s="299"/>
      <c r="M937" s="299"/>
      <c r="N937" s="299"/>
      <c r="O937" s="299"/>
      <c r="P937" s="299"/>
      <c r="Q937" s="299"/>
      <c r="R937" s="299"/>
      <c r="S937" s="299"/>
      <c r="T937" s="299"/>
      <c r="U937" s="299"/>
    </row>
    <row r="938">
      <c r="B938" s="3"/>
      <c r="D938" s="3"/>
      <c r="E938" s="300" t="s">
        <v>22</v>
      </c>
      <c r="F938" s="299"/>
      <c r="G938" s="299"/>
      <c r="H938" s="299"/>
      <c r="I938" s="299"/>
      <c r="J938" s="299"/>
      <c r="K938" s="299"/>
      <c r="L938" s="299"/>
      <c r="M938" s="299"/>
      <c r="N938" s="299"/>
      <c r="O938" s="299"/>
      <c r="P938" s="299"/>
      <c r="Q938" s="299"/>
      <c r="R938" s="299"/>
      <c r="S938" s="299"/>
      <c r="T938" s="299"/>
      <c r="U938" s="299"/>
    </row>
    <row r="939">
      <c r="B939" s="3"/>
      <c r="D939" s="3"/>
      <c r="E939" s="300" t="s">
        <v>22</v>
      </c>
      <c r="F939" s="299"/>
      <c r="G939" s="299"/>
      <c r="H939" s="299"/>
      <c r="I939" s="299"/>
      <c r="J939" s="299"/>
      <c r="K939" s="299"/>
      <c r="L939" s="299"/>
      <c r="M939" s="299"/>
      <c r="N939" s="299"/>
      <c r="O939" s="299"/>
      <c r="P939" s="299"/>
      <c r="Q939" s="299"/>
      <c r="R939" s="299"/>
      <c r="S939" s="299"/>
      <c r="T939" s="299"/>
      <c r="U939" s="299"/>
    </row>
    <row r="940">
      <c r="B940" s="3"/>
      <c r="D940" s="3"/>
      <c r="E940" s="300" t="s">
        <v>22</v>
      </c>
      <c r="F940" s="299"/>
      <c r="G940" s="299"/>
      <c r="H940" s="299"/>
      <c r="I940" s="299"/>
      <c r="J940" s="299"/>
      <c r="K940" s="299"/>
      <c r="L940" s="299"/>
      <c r="M940" s="299"/>
      <c r="N940" s="299"/>
      <c r="O940" s="299"/>
      <c r="P940" s="299"/>
      <c r="Q940" s="299"/>
      <c r="R940" s="299"/>
      <c r="S940" s="299"/>
      <c r="T940" s="299"/>
      <c r="U940" s="299"/>
    </row>
    <row r="941">
      <c r="B941" s="3"/>
      <c r="D941" s="3"/>
      <c r="E941" s="300" t="s">
        <v>22</v>
      </c>
      <c r="F941" s="299"/>
      <c r="G941" s="299"/>
      <c r="H941" s="299"/>
      <c r="I941" s="299"/>
      <c r="J941" s="299"/>
      <c r="K941" s="299"/>
      <c r="L941" s="299"/>
      <c r="M941" s="299"/>
      <c r="N941" s="299"/>
      <c r="O941" s="299"/>
      <c r="P941" s="299"/>
      <c r="Q941" s="299"/>
      <c r="R941" s="299"/>
      <c r="S941" s="299"/>
      <c r="T941" s="299"/>
      <c r="U941" s="299"/>
    </row>
    <row r="942">
      <c r="B942" s="3"/>
      <c r="D942" s="3"/>
      <c r="E942" s="300" t="s">
        <v>22</v>
      </c>
      <c r="F942" s="299"/>
      <c r="G942" s="299"/>
      <c r="H942" s="299"/>
      <c r="I942" s="299"/>
      <c r="J942" s="299"/>
      <c r="K942" s="299"/>
      <c r="L942" s="299"/>
      <c r="M942" s="299"/>
      <c r="N942" s="299"/>
      <c r="O942" s="299"/>
      <c r="P942" s="299"/>
      <c r="Q942" s="299"/>
      <c r="R942" s="299"/>
      <c r="S942" s="299"/>
      <c r="T942" s="299"/>
      <c r="U942" s="299"/>
    </row>
    <row r="943">
      <c r="B943" s="3"/>
      <c r="D943" s="3"/>
      <c r="E943" s="300" t="s">
        <v>22</v>
      </c>
      <c r="F943" s="299"/>
      <c r="G943" s="299"/>
      <c r="H943" s="299"/>
      <c r="I943" s="299"/>
      <c r="J943" s="299"/>
      <c r="K943" s="299"/>
      <c r="L943" s="299"/>
      <c r="M943" s="299"/>
      <c r="N943" s="299"/>
      <c r="O943" s="299"/>
      <c r="P943" s="299"/>
      <c r="Q943" s="299"/>
      <c r="R943" s="299"/>
      <c r="S943" s="299"/>
      <c r="T943" s="299"/>
      <c r="U943" s="299"/>
    </row>
    <row r="944">
      <c r="B944" s="3"/>
      <c r="D944" s="3"/>
      <c r="E944" s="300" t="s">
        <v>22</v>
      </c>
      <c r="F944" s="299"/>
      <c r="G944" s="299"/>
      <c r="H944" s="299"/>
      <c r="I944" s="299"/>
      <c r="J944" s="299"/>
      <c r="K944" s="299"/>
      <c r="L944" s="299"/>
      <c r="M944" s="299"/>
      <c r="N944" s="299"/>
      <c r="O944" s="299"/>
      <c r="P944" s="299"/>
      <c r="Q944" s="299"/>
      <c r="R944" s="299"/>
      <c r="S944" s="299"/>
      <c r="T944" s="299"/>
      <c r="U944" s="299"/>
    </row>
    <row r="945">
      <c r="B945" s="3"/>
      <c r="D945" s="3"/>
      <c r="E945" s="300" t="s">
        <v>22</v>
      </c>
      <c r="F945" s="299"/>
      <c r="G945" s="299"/>
      <c r="H945" s="299"/>
      <c r="I945" s="299"/>
      <c r="J945" s="299"/>
      <c r="K945" s="299"/>
      <c r="L945" s="299"/>
      <c r="M945" s="299"/>
      <c r="N945" s="299"/>
      <c r="O945" s="299"/>
      <c r="P945" s="299"/>
      <c r="Q945" s="299"/>
      <c r="R945" s="299"/>
      <c r="S945" s="299"/>
      <c r="T945" s="299"/>
      <c r="U945" s="299"/>
    </row>
    <row r="946">
      <c r="B946" s="3"/>
      <c r="D946" s="3"/>
      <c r="E946" s="300" t="s">
        <v>22</v>
      </c>
      <c r="F946" s="299"/>
      <c r="G946" s="299"/>
      <c r="H946" s="299"/>
      <c r="I946" s="299"/>
      <c r="J946" s="299"/>
      <c r="K946" s="299"/>
      <c r="L946" s="299"/>
      <c r="M946" s="299"/>
      <c r="N946" s="299"/>
      <c r="O946" s="299"/>
      <c r="P946" s="299"/>
      <c r="Q946" s="299"/>
      <c r="R946" s="299"/>
      <c r="S946" s="299"/>
      <c r="T946" s="299"/>
      <c r="U946" s="299"/>
    </row>
    <row r="947">
      <c r="B947" s="3"/>
      <c r="D947" s="3"/>
      <c r="E947" s="300" t="s">
        <v>22</v>
      </c>
      <c r="F947" s="299"/>
      <c r="G947" s="299"/>
      <c r="H947" s="299"/>
      <c r="I947" s="299"/>
      <c r="J947" s="299"/>
      <c r="K947" s="299"/>
      <c r="L947" s="299"/>
      <c r="M947" s="299"/>
      <c r="N947" s="299"/>
      <c r="O947" s="299"/>
      <c r="P947" s="299"/>
      <c r="Q947" s="299"/>
      <c r="R947" s="299"/>
      <c r="S947" s="299"/>
      <c r="T947" s="299"/>
      <c r="U947" s="299"/>
    </row>
    <row r="948">
      <c r="B948" s="3"/>
      <c r="D948" s="3"/>
      <c r="E948" s="300" t="s">
        <v>22</v>
      </c>
      <c r="F948" s="299"/>
      <c r="G948" s="299"/>
      <c r="H948" s="299"/>
      <c r="I948" s="299"/>
      <c r="J948" s="299"/>
      <c r="K948" s="299"/>
      <c r="L948" s="299"/>
      <c r="M948" s="299"/>
      <c r="N948" s="299"/>
      <c r="O948" s="299"/>
      <c r="P948" s="299"/>
      <c r="Q948" s="299"/>
      <c r="R948" s="299"/>
      <c r="S948" s="299"/>
      <c r="T948" s="299"/>
      <c r="U948" s="299"/>
    </row>
    <row r="949">
      <c r="B949" s="3"/>
      <c r="D949" s="3"/>
      <c r="E949" s="300" t="s">
        <v>22</v>
      </c>
      <c r="F949" s="299"/>
      <c r="G949" s="299"/>
      <c r="H949" s="299"/>
      <c r="I949" s="299"/>
      <c r="J949" s="299"/>
      <c r="K949" s="299"/>
      <c r="L949" s="299"/>
      <c r="M949" s="299"/>
      <c r="N949" s="299"/>
      <c r="O949" s="299"/>
      <c r="P949" s="299"/>
      <c r="Q949" s="299"/>
      <c r="R949" s="299"/>
      <c r="S949" s="299"/>
      <c r="T949" s="299"/>
      <c r="U949" s="299"/>
    </row>
    <row r="950">
      <c r="B950" s="3"/>
      <c r="D950" s="3"/>
      <c r="E950" s="300" t="s">
        <v>22</v>
      </c>
      <c r="F950" s="299"/>
      <c r="G950" s="299"/>
      <c r="H950" s="299"/>
      <c r="I950" s="299"/>
      <c r="J950" s="299"/>
      <c r="K950" s="299"/>
      <c r="L950" s="299"/>
      <c r="M950" s="299"/>
      <c r="N950" s="299"/>
      <c r="O950" s="299"/>
      <c r="P950" s="299"/>
      <c r="Q950" s="299"/>
      <c r="R950" s="299"/>
      <c r="S950" s="299"/>
      <c r="T950" s="299"/>
      <c r="U950" s="299"/>
    </row>
    <row r="951">
      <c r="B951" s="3"/>
      <c r="D951" s="3"/>
      <c r="E951" s="300" t="s">
        <v>22</v>
      </c>
      <c r="F951" s="299"/>
      <c r="G951" s="299"/>
      <c r="H951" s="299"/>
      <c r="I951" s="299"/>
      <c r="J951" s="299"/>
      <c r="K951" s="299"/>
      <c r="L951" s="299"/>
      <c r="M951" s="299"/>
      <c r="N951" s="299"/>
      <c r="O951" s="299"/>
      <c r="P951" s="299"/>
      <c r="Q951" s="299"/>
      <c r="R951" s="299"/>
      <c r="S951" s="299"/>
      <c r="T951" s="299"/>
      <c r="U951" s="299"/>
    </row>
    <row r="952">
      <c r="B952" s="3"/>
      <c r="D952" s="3"/>
      <c r="E952" s="300" t="s">
        <v>22</v>
      </c>
      <c r="F952" s="299"/>
      <c r="G952" s="299"/>
      <c r="H952" s="299"/>
      <c r="I952" s="299"/>
      <c r="J952" s="299"/>
      <c r="K952" s="299"/>
      <c r="L952" s="299"/>
      <c r="M952" s="299"/>
      <c r="N952" s="299"/>
      <c r="O952" s="299"/>
      <c r="P952" s="299"/>
      <c r="Q952" s="299"/>
      <c r="R952" s="299"/>
      <c r="S952" s="299"/>
      <c r="T952" s="299"/>
      <c r="U952" s="299"/>
    </row>
    <row r="953">
      <c r="B953" s="3"/>
      <c r="D953" s="3"/>
      <c r="E953" s="300" t="s">
        <v>22</v>
      </c>
      <c r="F953" s="299"/>
      <c r="G953" s="299"/>
      <c r="H953" s="299"/>
      <c r="I953" s="299"/>
      <c r="J953" s="299"/>
      <c r="K953" s="299"/>
      <c r="L953" s="299"/>
      <c r="M953" s="299"/>
      <c r="N953" s="299"/>
      <c r="O953" s="299"/>
      <c r="P953" s="299"/>
      <c r="Q953" s="299"/>
      <c r="R953" s="299"/>
      <c r="S953" s="299"/>
      <c r="T953" s="299"/>
      <c r="U953" s="299"/>
    </row>
    <row r="954">
      <c r="B954" s="3"/>
      <c r="D954" s="3"/>
      <c r="E954" s="300" t="s">
        <v>22</v>
      </c>
      <c r="F954" s="299"/>
      <c r="G954" s="299"/>
      <c r="H954" s="299"/>
      <c r="I954" s="299"/>
      <c r="J954" s="299"/>
      <c r="K954" s="299"/>
      <c r="L954" s="299"/>
      <c r="M954" s="299"/>
      <c r="N954" s="299"/>
      <c r="O954" s="299"/>
      <c r="P954" s="299"/>
      <c r="Q954" s="299"/>
      <c r="R954" s="299"/>
      <c r="S954" s="299"/>
      <c r="T954" s="299"/>
      <c r="U954" s="299"/>
    </row>
    <row r="955">
      <c r="B955" s="3"/>
      <c r="D955" s="3"/>
      <c r="E955" s="300" t="s">
        <v>22</v>
      </c>
      <c r="F955" s="299"/>
      <c r="G955" s="299"/>
      <c r="H955" s="299"/>
      <c r="I955" s="299"/>
      <c r="J955" s="299"/>
      <c r="K955" s="299"/>
      <c r="L955" s="299"/>
      <c r="M955" s="299"/>
      <c r="N955" s="299"/>
      <c r="O955" s="299"/>
      <c r="P955" s="299"/>
      <c r="Q955" s="299"/>
      <c r="R955" s="299"/>
      <c r="S955" s="299"/>
      <c r="T955" s="299"/>
      <c r="U955" s="299"/>
    </row>
    <row r="956">
      <c r="B956" s="3"/>
      <c r="D956" s="3"/>
      <c r="E956" s="300" t="s">
        <v>22</v>
      </c>
      <c r="F956" s="299"/>
      <c r="G956" s="299"/>
      <c r="H956" s="299"/>
      <c r="I956" s="299"/>
      <c r="J956" s="299"/>
      <c r="K956" s="299"/>
      <c r="L956" s="299"/>
      <c r="M956" s="299"/>
      <c r="N956" s="299"/>
      <c r="O956" s="299"/>
      <c r="P956" s="299"/>
      <c r="Q956" s="299"/>
      <c r="R956" s="299"/>
      <c r="S956" s="299"/>
      <c r="T956" s="299"/>
      <c r="U956" s="299"/>
    </row>
    <row r="957">
      <c r="B957" s="3"/>
      <c r="D957" s="3"/>
      <c r="E957" s="300" t="s">
        <v>22</v>
      </c>
      <c r="F957" s="299"/>
      <c r="G957" s="299"/>
      <c r="H957" s="299"/>
      <c r="I957" s="299"/>
      <c r="J957" s="299"/>
      <c r="K957" s="299"/>
      <c r="L957" s="299"/>
      <c r="M957" s="299"/>
      <c r="N957" s="299"/>
      <c r="O957" s="299"/>
      <c r="P957" s="299"/>
      <c r="Q957" s="299"/>
      <c r="R957" s="299"/>
      <c r="S957" s="299"/>
      <c r="T957" s="299"/>
      <c r="U957" s="299"/>
    </row>
    <row r="958">
      <c r="B958" s="3"/>
      <c r="D958" s="3"/>
      <c r="E958" s="300" t="s">
        <v>22</v>
      </c>
      <c r="F958" s="299"/>
      <c r="G958" s="299"/>
      <c r="H958" s="299"/>
      <c r="I958" s="299"/>
      <c r="J958" s="299"/>
      <c r="K958" s="299"/>
      <c r="L958" s="299"/>
      <c r="M958" s="299"/>
      <c r="N958" s="299"/>
      <c r="O958" s="299"/>
      <c r="P958" s="299"/>
      <c r="Q958" s="299"/>
      <c r="R958" s="299"/>
      <c r="S958" s="299"/>
      <c r="T958" s="299"/>
      <c r="U958" s="299"/>
    </row>
    <row r="959">
      <c r="B959" s="3"/>
      <c r="D959" s="3"/>
      <c r="E959" s="300" t="s">
        <v>22</v>
      </c>
      <c r="F959" s="299"/>
      <c r="G959" s="299"/>
      <c r="H959" s="299"/>
      <c r="I959" s="299"/>
      <c r="J959" s="299"/>
      <c r="K959" s="299"/>
      <c r="L959" s="299"/>
      <c r="M959" s="299"/>
      <c r="N959" s="299"/>
      <c r="O959" s="299"/>
      <c r="P959" s="299"/>
      <c r="Q959" s="299"/>
      <c r="R959" s="299"/>
      <c r="S959" s="299"/>
      <c r="T959" s="299"/>
      <c r="U959" s="299"/>
    </row>
    <row r="960">
      <c r="B960" s="3"/>
      <c r="D960" s="3"/>
      <c r="E960" s="300" t="s">
        <v>22</v>
      </c>
      <c r="F960" s="299"/>
      <c r="G960" s="299"/>
      <c r="H960" s="299"/>
      <c r="I960" s="299"/>
      <c r="J960" s="299"/>
      <c r="K960" s="299"/>
      <c r="L960" s="299"/>
      <c r="M960" s="299"/>
      <c r="N960" s="299"/>
      <c r="O960" s="299"/>
      <c r="P960" s="299"/>
      <c r="Q960" s="299"/>
      <c r="R960" s="299"/>
      <c r="S960" s="299"/>
      <c r="T960" s="299"/>
      <c r="U960" s="299"/>
    </row>
    <row r="961">
      <c r="B961" s="3"/>
      <c r="D961" s="3"/>
      <c r="E961" s="300" t="s">
        <v>22</v>
      </c>
      <c r="F961" s="299"/>
      <c r="G961" s="299"/>
      <c r="H961" s="299"/>
      <c r="I961" s="299"/>
      <c r="J961" s="299"/>
      <c r="K961" s="299"/>
      <c r="L961" s="299"/>
      <c r="M961" s="299"/>
      <c r="N961" s="299"/>
      <c r="O961" s="299"/>
      <c r="P961" s="299"/>
      <c r="Q961" s="299"/>
      <c r="R961" s="299"/>
      <c r="S961" s="299"/>
      <c r="T961" s="299"/>
      <c r="U961" s="299"/>
    </row>
    <row r="962">
      <c r="B962" s="3"/>
      <c r="D962" s="3"/>
      <c r="E962" s="300" t="s">
        <v>22</v>
      </c>
      <c r="F962" s="299"/>
      <c r="G962" s="299"/>
      <c r="H962" s="299"/>
      <c r="I962" s="299"/>
      <c r="J962" s="299"/>
      <c r="K962" s="299"/>
      <c r="L962" s="299"/>
      <c r="M962" s="299"/>
      <c r="N962" s="299"/>
      <c r="O962" s="299"/>
      <c r="P962" s="299"/>
      <c r="Q962" s="299"/>
      <c r="R962" s="299"/>
      <c r="S962" s="299"/>
      <c r="T962" s="299"/>
      <c r="U962" s="299"/>
    </row>
    <row r="963">
      <c r="B963" s="3"/>
      <c r="D963" s="3"/>
      <c r="E963" s="300" t="s">
        <v>22</v>
      </c>
      <c r="F963" s="299"/>
      <c r="G963" s="299"/>
      <c r="H963" s="299"/>
      <c r="I963" s="299"/>
      <c r="J963" s="299"/>
      <c r="K963" s="299"/>
      <c r="L963" s="299"/>
      <c r="M963" s="299"/>
      <c r="N963" s="299"/>
      <c r="O963" s="299"/>
      <c r="P963" s="299"/>
      <c r="Q963" s="299"/>
      <c r="R963" s="299"/>
      <c r="S963" s="299"/>
      <c r="T963" s="299"/>
      <c r="U963" s="299"/>
    </row>
    <row r="964">
      <c r="B964" s="3"/>
      <c r="D964" s="3"/>
      <c r="E964" s="300" t="s">
        <v>22</v>
      </c>
      <c r="F964" s="299"/>
      <c r="G964" s="299"/>
      <c r="H964" s="299"/>
      <c r="I964" s="299"/>
      <c r="J964" s="299"/>
      <c r="K964" s="299"/>
      <c r="L964" s="299"/>
      <c r="M964" s="299"/>
      <c r="N964" s="299"/>
      <c r="O964" s="299"/>
      <c r="P964" s="299"/>
      <c r="Q964" s="299"/>
      <c r="R964" s="299"/>
      <c r="S964" s="299"/>
      <c r="T964" s="299"/>
      <c r="U964" s="299"/>
    </row>
    <row r="965">
      <c r="B965" s="3"/>
      <c r="D965" s="3"/>
      <c r="E965" s="300" t="s">
        <v>22</v>
      </c>
      <c r="F965" s="299"/>
      <c r="G965" s="299"/>
      <c r="H965" s="299"/>
      <c r="I965" s="299"/>
      <c r="J965" s="299"/>
      <c r="K965" s="299"/>
      <c r="L965" s="299"/>
      <c r="M965" s="299"/>
      <c r="N965" s="299"/>
      <c r="O965" s="299"/>
      <c r="P965" s="299"/>
      <c r="Q965" s="299"/>
      <c r="R965" s="299"/>
      <c r="S965" s="299"/>
      <c r="T965" s="299"/>
      <c r="U965" s="299"/>
    </row>
    <row r="966">
      <c r="B966" s="3"/>
      <c r="D966" s="3"/>
      <c r="E966" s="300" t="s">
        <v>22</v>
      </c>
      <c r="F966" s="299"/>
      <c r="G966" s="299"/>
      <c r="H966" s="299"/>
      <c r="I966" s="299"/>
      <c r="J966" s="299"/>
      <c r="K966" s="299"/>
      <c r="L966" s="299"/>
      <c r="M966" s="299"/>
      <c r="N966" s="299"/>
      <c r="O966" s="299"/>
      <c r="P966" s="299"/>
      <c r="Q966" s="299"/>
      <c r="R966" s="299"/>
      <c r="S966" s="299"/>
      <c r="T966" s="299"/>
      <c r="U966" s="299"/>
    </row>
    <row r="967">
      <c r="B967" s="3"/>
      <c r="D967" s="3"/>
      <c r="E967" s="300" t="s">
        <v>22</v>
      </c>
      <c r="F967" s="299"/>
      <c r="G967" s="299"/>
      <c r="H967" s="299"/>
      <c r="I967" s="299"/>
      <c r="J967" s="299"/>
      <c r="K967" s="299"/>
      <c r="L967" s="299"/>
      <c r="M967" s="299"/>
      <c r="N967" s="299"/>
      <c r="O967" s="299"/>
      <c r="P967" s="299"/>
      <c r="Q967" s="299"/>
      <c r="R967" s="299"/>
      <c r="S967" s="299"/>
      <c r="T967" s="299"/>
      <c r="U967" s="299"/>
    </row>
    <row r="968">
      <c r="B968" s="3"/>
      <c r="D968" s="3"/>
      <c r="E968" s="300" t="s">
        <v>22</v>
      </c>
      <c r="F968" s="299"/>
      <c r="G968" s="299"/>
      <c r="H968" s="299"/>
      <c r="I968" s="299"/>
      <c r="J968" s="299"/>
      <c r="K968" s="299"/>
      <c r="L968" s="299"/>
      <c r="M968" s="299"/>
      <c r="N968" s="299"/>
      <c r="O968" s="299"/>
      <c r="P968" s="299"/>
      <c r="Q968" s="299"/>
      <c r="R968" s="299"/>
      <c r="S968" s="299"/>
      <c r="T968" s="299"/>
      <c r="U968" s="299"/>
    </row>
    <row r="969">
      <c r="B969" s="3"/>
      <c r="D969" s="3"/>
      <c r="E969" s="300" t="s">
        <v>22</v>
      </c>
      <c r="F969" s="299"/>
      <c r="G969" s="299"/>
      <c r="H969" s="299"/>
      <c r="I969" s="299"/>
      <c r="J969" s="299"/>
      <c r="K969" s="299"/>
      <c r="L969" s="299"/>
      <c r="M969" s="299"/>
      <c r="N969" s="299"/>
      <c r="O969" s="299"/>
      <c r="P969" s="299"/>
      <c r="Q969" s="299"/>
      <c r="R969" s="299"/>
      <c r="S969" s="299"/>
      <c r="T969" s="299"/>
      <c r="U969" s="299"/>
    </row>
    <row r="970">
      <c r="B970" s="3"/>
      <c r="D970" s="3"/>
      <c r="E970" s="300" t="s">
        <v>22</v>
      </c>
      <c r="F970" s="299"/>
      <c r="G970" s="299"/>
      <c r="H970" s="299"/>
      <c r="I970" s="299"/>
      <c r="J970" s="299"/>
      <c r="K970" s="299"/>
      <c r="L970" s="299"/>
      <c r="M970" s="299"/>
      <c r="N970" s="299"/>
      <c r="O970" s="299"/>
      <c r="P970" s="299"/>
      <c r="Q970" s="299"/>
      <c r="R970" s="299"/>
      <c r="S970" s="299"/>
      <c r="T970" s="299"/>
      <c r="U970" s="299"/>
    </row>
    <row r="971">
      <c r="B971" s="3"/>
      <c r="D971" s="3"/>
      <c r="E971" s="300" t="s">
        <v>22</v>
      </c>
      <c r="F971" s="299"/>
      <c r="G971" s="299"/>
      <c r="H971" s="299"/>
      <c r="I971" s="299"/>
      <c r="J971" s="299"/>
      <c r="K971" s="299"/>
      <c r="L971" s="299"/>
      <c r="M971" s="299"/>
      <c r="N971" s="299"/>
      <c r="O971" s="299"/>
      <c r="P971" s="299"/>
      <c r="Q971" s="299"/>
      <c r="R971" s="299"/>
      <c r="S971" s="299"/>
      <c r="T971" s="299"/>
      <c r="U971" s="299"/>
    </row>
    <row r="972">
      <c r="B972" s="3"/>
      <c r="D972" s="3"/>
      <c r="E972" s="300" t="s">
        <v>22</v>
      </c>
      <c r="F972" s="299"/>
      <c r="G972" s="299"/>
      <c r="H972" s="299"/>
      <c r="I972" s="299"/>
      <c r="J972" s="299"/>
      <c r="K972" s="299"/>
      <c r="L972" s="299"/>
      <c r="M972" s="299"/>
      <c r="N972" s="299"/>
      <c r="O972" s="299"/>
      <c r="P972" s="299"/>
      <c r="Q972" s="299"/>
      <c r="R972" s="299"/>
      <c r="S972" s="299"/>
      <c r="T972" s="299"/>
      <c r="U972" s="299"/>
    </row>
    <row r="973">
      <c r="B973" s="3"/>
      <c r="D973" s="3"/>
      <c r="E973" s="300" t="s">
        <v>22</v>
      </c>
      <c r="F973" s="299"/>
      <c r="G973" s="299"/>
      <c r="H973" s="299"/>
      <c r="I973" s="299"/>
      <c r="J973" s="299"/>
      <c r="K973" s="299"/>
      <c r="L973" s="299"/>
      <c r="M973" s="299"/>
      <c r="N973" s="299"/>
      <c r="O973" s="299"/>
      <c r="P973" s="299"/>
      <c r="Q973" s="299"/>
      <c r="R973" s="299"/>
      <c r="S973" s="299"/>
      <c r="T973" s="299"/>
      <c r="U973" s="299"/>
    </row>
    <row r="974">
      <c r="B974" s="3"/>
      <c r="D974" s="3"/>
      <c r="E974" s="300" t="s">
        <v>22</v>
      </c>
      <c r="F974" s="299"/>
      <c r="G974" s="299"/>
      <c r="H974" s="299"/>
      <c r="I974" s="299"/>
      <c r="J974" s="299"/>
      <c r="K974" s="299"/>
      <c r="L974" s="299"/>
      <c r="M974" s="299"/>
      <c r="N974" s="299"/>
      <c r="O974" s="299"/>
      <c r="P974" s="299"/>
      <c r="Q974" s="299"/>
      <c r="R974" s="299"/>
      <c r="S974" s="299"/>
      <c r="T974" s="299"/>
      <c r="U974" s="299"/>
    </row>
    <row r="975">
      <c r="B975" s="3"/>
      <c r="D975" s="3"/>
      <c r="E975" s="300" t="s">
        <v>22</v>
      </c>
      <c r="F975" s="299"/>
      <c r="G975" s="299"/>
      <c r="H975" s="299"/>
      <c r="I975" s="299"/>
      <c r="J975" s="299"/>
      <c r="K975" s="299"/>
      <c r="L975" s="299"/>
      <c r="M975" s="299"/>
      <c r="N975" s="299"/>
      <c r="O975" s="299"/>
      <c r="P975" s="299"/>
      <c r="Q975" s="299"/>
      <c r="R975" s="299"/>
      <c r="S975" s="299"/>
      <c r="T975" s="299"/>
      <c r="U975" s="299"/>
    </row>
    <row r="976">
      <c r="B976" s="3"/>
      <c r="D976" s="3"/>
      <c r="E976" s="300" t="s">
        <v>22</v>
      </c>
      <c r="F976" s="299"/>
      <c r="G976" s="299"/>
      <c r="H976" s="299"/>
      <c r="I976" s="299"/>
      <c r="J976" s="299"/>
      <c r="K976" s="299"/>
      <c r="L976" s="299"/>
      <c r="M976" s="299"/>
      <c r="N976" s="299"/>
      <c r="O976" s="299"/>
      <c r="P976" s="299"/>
      <c r="Q976" s="299"/>
      <c r="R976" s="299"/>
      <c r="S976" s="299"/>
      <c r="T976" s="299"/>
      <c r="U976" s="299"/>
    </row>
    <row r="977">
      <c r="B977" s="3"/>
      <c r="D977" s="3"/>
      <c r="E977" s="300" t="s">
        <v>22</v>
      </c>
      <c r="F977" s="299"/>
      <c r="G977" s="299"/>
      <c r="H977" s="299"/>
      <c r="I977" s="299"/>
      <c r="J977" s="299"/>
      <c r="K977" s="299"/>
      <c r="L977" s="299"/>
      <c r="M977" s="299"/>
      <c r="N977" s="299"/>
      <c r="O977" s="299"/>
      <c r="P977" s="299"/>
      <c r="Q977" s="299"/>
      <c r="R977" s="299"/>
      <c r="S977" s="299"/>
      <c r="T977" s="299"/>
      <c r="U977" s="299"/>
    </row>
    <row r="978">
      <c r="B978" s="3"/>
      <c r="D978" s="3"/>
      <c r="E978" s="300" t="s">
        <v>22</v>
      </c>
      <c r="F978" s="299"/>
      <c r="G978" s="299"/>
      <c r="H978" s="299"/>
      <c r="I978" s="299"/>
      <c r="J978" s="299"/>
      <c r="K978" s="299"/>
      <c r="L978" s="299"/>
      <c r="M978" s="299"/>
      <c r="N978" s="299"/>
      <c r="O978" s="299"/>
      <c r="P978" s="299"/>
      <c r="Q978" s="299"/>
      <c r="R978" s="299"/>
      <c r="S978" s="299"/>
      <c r="T978" s="299"/>
      <c r="U978" s="299"/>
    </row>
    <row r="979">
      <c r="B979" s="3"/>
      <c r="D979" s="3"/>
      <c r="E979" s="300" t="s">
        <v>22</v>
      </c>
      <c r="F979" s="299"/>
      <c r="G979" s="299"/>
      <c r="H979" s="299"/>
      <c r="I979" s="299"/>
      <c r="J979" s="299"/>
      <c r="K979" s="299"/>
      <c r="L979" s="299"/>
      <c r="M979" s="299"/>
      <c r="N979" s="299"/>
      <c r="O979" s="299"/>
      <c r="P979" s="299"/>
      <c r="Q979" s="299"/>
      <c r="R979" s="299"/>
      <c r="S979" s="299"/>
      <c r="T979" s="299"/>
      <c r="U979" s="299"/>
    </row>
    <row r="980">
      <c r="B980" s="3"/>
      <c r="D980" s="3"/>
      <c r="E980" s="300" t="s">
        <v>22</v>
      </c>
      <c r="F980" s="299"/>
      <c r="G980" s="299"/>
      <c r="H980" s="299"/>
      <c r="I980" s="299"/>
      <c r="J980" s="299"/>
      <c r="K980" s="299"/>
      <c r="L980" s="299"/>
      <c r="M980" s="299"/>
      <c r="N980" s="299"/>
      <c r="O980" s="299"/>
      <c r="P980" s="299"/>
      <c r="Q980" s="299"/>
      <c r="R980" s="299"/>
      <c r="S980" s="299"/>
      <c r="T980" s="299"/>
      <c r="U980" s="299"/>
    </row>
    <row r="981">
      <c r="B981" s="3"/>
      <c r="D981" s="3"/>
      <c r="E981" s="300" t="s">
        <v>22</v>
      </c>
      <c r="F981" s="299"/>
      <c r="G981" s="299"/>
      <c r="H981" s="299"/>
      <c r="I981" s="299"/>
      <c r="J981" s="299"/>
      <c r="K981" s="299"/>
      <c r="L981" s="299"/>
      <c r="M981" s="299"/>
      <c r="N981" s="299"/>
      <c r="O981" s="299"/>
      <c r="P981" s="299"/>
      <c r="Q981" s="299"/>
      <c r="R981" s="299"/>
      <c r="S981" s="299"/>
      <c r="T981" s="299"/>
      <c r="U981" s="299"/>
    </row>
    <row r="982">
      <c r="B982" s="3"/>
      <c r="D982" s="3"/>
      <c r="E982" s="300" t="s">
        <v>22</v>
      </c>
      <c r="F982" s="299"/>
      <c r="G982" s="299"/>
      <c r="H982" s="299"/>
      <c r="I982" s="299"/>
      <c r="J982" s="299"/>
      <c r="K982" s="299"/>
      <c r="L982" s="299"/>
      <c r="M982" s="299"/>
      <c r="N982" s="299"/>
      <c r="O982" s="299"/>
      <c r="P982" s="299"/>
      <c r="Q982" s="299"/>
      <c r="R982" s="299"/>
      <c r="S982" s="299"/>
      <c r="T982" s="299"/>
      <c r="U982" s="299"/>
    </row>
    <row r="983">
      <c r="B983" s="3"/>
      <c r="D983" s="3"/>
      <c r="E983" s="300" t="s">
        <v>22</v>
      </c>
      <c r="F983" s="299"/>
      <c r="G983" s="299"/>
      <c r="H983" s="299"/>
      <c r="I983" s="299"/>
      <c r="J983" s="299"/>
      <c r="K983" s="299"/>
      <c r="L983" s="299"/>
      <c r="M983" s="299"/>
      <c r="N983" s="299"/>
      <c r="O983" s="299"/>
      <c r="P983" s="299"/>
      <c r="Q983" s="299"/>
      <c r="R983" s="299"/>
      <c r="S983" s="299"/>
      <c r="T983" s="299"/>
      <c r="U983" s="299"/>
    </row>
    <row r="984">
      <c r="B984" s="3"/>
      <c r="D984" s="3"/>
      <c r="E984" s="300" t="s">
        <v>22</v>
      </c>
      <c r="F984" s="299"/>
      <c r="G984" s="299"/>
      <c r="H984" s="299"/>
      <c r="I984" s="299"/>
      <c r="J984" s="299"/>
      <c r="K984" s="299"/>
      <c r="L984" s="299"/>
      <c r="M984" s="299"/>
      <c r="N984" s="299"/>
      <c r="O984" s="299"/>
      <c r="P984" s="299"/>
      <c r="Q984" s="299"/>
      <c r="R984" s="299"/>
      <c r="S984" s="299"/>
      <c r="T984" s="299"/>
      <c r="U984" s="299"/>
    </row>
    <row r="985">
      <c r="B985" s="3"/>
      <c r="D985" s="3"/>
      <c r="E985" s="300" t="s">
        <v>22</v>
      </c>
      <c r="F985" s="299"/>
      <c r="G985" s="299"/>
      <c r="H985" s="299"/>
      <c r="I985" s="299"/>
      <c r="J985" s="299"/>
      <c r="K985" s="299"/>
      <c r="L985" s="299"/>
      <c r="M985" s="299"/>
      <c r="N985" s="299"/>
      <c r="O985" s="299"/>
      <c r="P985" s="299"/>
      <c r="Q985" s="299"/>
      <c r="R985" s="299"/>
      <c r="S985" s="299"/>
      <c r="T985" s="299"/>
      <c r="U985" s="299"/>
    </row>
    <row r="986">
      <c r="B986" s="3"/>
      <c r="D986" s="3"/>
      <c r="E986" s="300" t="s">
        <v>22</v>
      </c>
      <c r="F986" s="299"/>
      <c r="G986" s="299"/>
      <c r="H986" s="299"/>
      <c r="I986" s="299"/>
      <c r="J986" s="299"/>
      <c r="K986" s="299"/>
      <c r="L986" s="299"/>
      <c r="M986" s="299"/>
      <c r="N986" s="299"/>
      <c r="O986" s="299"/>
      <c r="P986" s="299"/>
      <c r="Q986" s="299"/>
      <c r="R986" s="299"/>
      <c r="S986" s="299"/>
      <c r="T986" s="299"/>
      <c r="U986" s="299"/>
    </row>
    <row r="987">
      <c r="B987" s="3"/>
      <c r="D987" s="3"/>
      <c r="E987" s="300" t="s">
        <v>22</v>
      </c>
      <c r="F987" s="299"/>
      <c r="G987" s="299"/>
      <c r="H987" s="299"/>
      <c r="I987" s="299"/>
      <c r="J987" s="299"/>
      <c r="K987" s="299"/>
      <c r="L987" s="299"/>
      <c r="M987" s="299"/>
      <c r="N987" s="299"/>
      <c r="O987" s="299"/>
      <c r="P987" s="299"/>
      <c r="Q987" s="299"/>
      <c r="R987" s="299"/>
      <c r="S987" s="299"/>
      <c r="T987" s="299"/>
      <c r="U987" s="299"/>
    </row>
    <row r="988">
      <c r="B988" s="3"/>
      <c r="D988" s="3"/>
      <c r="E988" s="300" t="s">
        <v>22</v>
      </c>
      <c r="F988" s="299"/>
      <c r="G988" s="299"/>
      <c r="H988" s="299"/>
      <c r="I988" s="299"/>
      <c r="J988" s="299"/>
      <c r="K988" s="299"/>
      <c r="L988" s="299"/>
      <c r="M988" s="299"/>
      <c r="N988" s="299"/>
      <c r="O988" s="299"/>
      <c r="P988" s="299"/>
      <c r="Q988" s="299"/>
      <c r="R988" s="299"/>
      <c r="S988" s="299"/>
      <c r="T988" s="299"/>
      <c r="U988" s="299"/>
    </row>
    <row r="989">
      <c r="B989" s="3"/>
      <c r="D989" s="3"/>
      <c r="E989" s="300" t="s">
        <v>22</v>
      </c>
      <c r="F989" s="299"/>
      <c r="G989" s="299"/>
      <c r="H989" s="299"/>
      <c r="I989" s="299"/>
      <c r="J989" s="299"/>
      <c r="K989" s="299"/>
      <c r="L989" s="299"/>
      <c r="M989" s="299"/>
      <c r="N989" s="299"/>
      <c r="O989" s="299"/>
      <c r="P989" s="299"/>
      <c r="Q989" s="299"/>
      <c r="R989" s="299"/>
      <c r="S989" s="299"/>
      <c r="T989" s="299"/>
      <c r="U989" s="299"/>
    </row>
    <row r="990">
      <c r="B990" s="3"/>
      <c r="D990" s="3"/>
      <c r="E990" s="300" t="s">
        <v>22</v>
      </c>
      <c r="F990" s="299"/>
      <c r="G990" s="299"/>
      <c r="H990" s="299"/>
      <c r="I990" s="299"/>
      <c r="J990" s="299"/>
      <c r="K990" s="299"/>
      <c r="L990" s="299"/>
      <c r="M990" s="299"/>
      <c r="N990" s="299"/>
      <c r="O990" s="299"/>
      <c r="P990" s="299"/>
      <c r="Q990" s="299"/>
      <c r="R990" s="299"/>
      <c r="S990" s="299"/>
      <c r="T990" s="299"/>
      <c r="U990" s="299"/>
    </row>
    <row r="991">
      <c r="B991" s="3"/>
      <c r="D991" s="3"/>
      <c r="E991" s="300" t="s">
        <v>22</v>
      </c>
      <c r="F991" s="299"/>
      <c r="G991" s="299"/>
      <c r="H991" s="299"/>
      <c r="I991" s="299"/>
      <c r="J991" s="299"/>
      <c r="K991" s="299"/>
      <c r="L991" s="299"/>
      <c r="M991" s="299"/>
      <c r="N991" s="299"/>
      <c r="O991" s="299"/>
      <c r="P991" s="299"/>
      <c r="Q991" s="299"/>
      <c r="R991" s="299"/>
      <c r="S991" s="299"/>
      <c r="T991" s="299"/>
      <c r="U991" s="299"/>
    </row>
    <row r="992">
      <c r="B992" s="3"/>
      <c r="D992" s="3"/>
      <c r="E992" s="300" t="s">
        <v>22</v>
      </c>
      <c r="F992" s="299"/>
      <c r="G992" s="299"/>
      <c r="H992" s="299"/>
      <c r="I992" s="299"/>
      <c r="J992" s="299"/>
      <c r="K992" s="299"/>
      <c r="L992" s="299"/>
      <c r="M992" s="299"/>
      <c r="N992" s="299"/>
      <c r="O992" s="299"/>
      <c r="P992" s="299"/>
      <c r="Q992" s="299"/>
      <c r="R992" s="299"/>
      <c r="S992" s="299"/>
      <c r="T992" s="299"/>
      <c r="U992" s="299"/>
    </row>
    <row r="993">
      <c r="B993" s="3"/>
      <c r="D993" s="3"/>
      <c r="E993" s="300" t="s">
        <v>22</v>
      </c>
      <c r="F993" s="299"/>
      <c r="G993" s="299"/>
      <c r="H993" s="299"/>
      <c r="I993" s="299"/>
      <c r="J993" s="299"/>
      <c r="K993" s="299"/>
      <c r="L993" s="299"/>
      <c r="M993" s="299"/>
      <c r="N993" s="299"/>
      <c r="O993" s="299"/>
      <c r="P993" s="299"/>
      <c r="Q993" s="299"/>
      <c r="R993" s="299"/>
      <c r="S993" s="299"/>
      <c r="T993" s="299"/>
      <c r="U993" s="299"/>
    </row>
    <row r="994">
      <c r="B994" s="3"/>
      <c r="D994" s="3"/>
      <c r="E994" s="300" t="s">
        <v>22</v>
      </c>
      <c r="F994" s="299"/>
      <c r="G994" s="299"/>
      <c r="H994" s="299"/>
      <c r="I994" s="299"/>
      <c r="J994" s="299"/>
      <c r="K994" s="299"/>
      <c r="L994" s="299"/>
      <c r="M994" s="299"/>
      <c r="N994" s="299"/>
      <c r="O994" s="299"/>
      <c r="P994" s="299"/>
      <c r="Q994" s="299"/>
      <c r="R994" s="299"/>
      <c r="S994" s="299"/>
      <c r="T994" s="299"/>
      <c r="U994" s="299"/>
    </row>
    <row r="995">
      <c r="B995" s="3"/>
      <c r="D995" s="3"/>
      <c r="E995" s="300" t="s">
        <v>22</v>
      </c>
      <c r="F995" s="299"/>
      <c r="G995" s="299"/>
      <c r="H995" s="299"/>
      <c r="I995" s="299"/>
      <c r="J995" s="299"/>
      <c r="K995" s="299"/>
      <c r="L995" s="299"/>
      <c r="M995" s="299"/>
      <c r="N995" s="299"/>
      <c r="O995" s="299"/>
      <c r="P995" s="299"/>
      <c r="Q995" s="299"/>
      <c r="R995" s="299"/>
      <c r="S995" s="299"/>
      <c r="T995" s="299"/>
      <c r="U995" s="299"/>
    </row>
    <row r="996">
      <c r="B996" s="3"/>
      <c r="D996" s="3"/>
      <c r="E996" s="300" t="s">
        <v>22</v>
      </c>
      <c r="F996" s="299"/>
      <c r="G996" s="299"/>
      <c r="H996" s="299"/>
      <c r="I996" s="299"/>
      <c r="J996" s="299"/>
      <c r="K996" s="299"/>
      <c r="L996" s="299"/>
      <c r="M996" s="299"/>
      <c r="N996" s="299"/>
      <c r="O996" s="299"/>
      <c r="P996" s="299"/>
      <c r="Q996" s="299"/>
      <c r="R996" s="299"/>
      <c r="S996" s="299"/>
      <c r="T996" s="299"/>
      <c r="U996" s="299"/>
    </row>
    <row r="997">
      <c r="B997" s="3"/>
      <c r="D997" s="3"/>
      <c r="E997" s="300" t="s">
        <v>22</v>
      </c>
      <c r="F997" s="299"/>
      <c r="G997" s="299"/>
      <c r="H997" s="299"/>
      <c r="I997" s="299"/>
      <c r="J997" s="299"/>
      <c r="K997" s="299"/>
      <c r="L997" s="299"/>
      <c r="M997" s="299"/>
      <c r="N997" s="299"/>
      <c r="O997" s="299"/>
      <c r="P997" s="299"/>
      <c r="Q997" s="299"/>
      <c r="R997" s="299"/>
      <c r="S997" s="299"/>
      <c r="T997" s="299"/>
      <c r="U997" s="299"/>
    </row>
    <row r="998">
      <c r="B998" s="3"/>
      <c r="D998" s="3"/>
      <c r="E998" s="300" t="s">
        <v>22</v>
      </c>
      <c r="F998" s="299"/>
      <c r="G998" s="299"/>
      <c r="H998" s="299"/>
      <c r="I998" s="299"/>
      <c r="J998" s="299"/>
      <c r="K998" s="299"/>
      <c r="L998" s="299"/>
      <c r="M998" s="299"/>
      <c r="N998" s="299"/>
      <c r="O998" s="299"/>
      <c r="P998" s="299"/>
      <c r="Q998" s="299"/>
      <c r="R998" s="299"/>
      <c r="S998" s="299"/>
      <c r="T998" s="299"/>
      <c r="U998" s="299"/>
    </row>
    <row r="999">
      <c r="B999" s="3"/>
      <c r="D999" s="3"/>
      <c r="E999" s="300" t="s">
        <v>22</v>
      </c>
      <c r="F999" s="299"/>
      <c r="G999" s="299"/>
      <c r="H999" s="299"/>
      <c r="I999" s="299"/>
      <c r="J999" s="299"/>
      <c r="K999" s="299"/>
      <c r="L999" s="299"/>
      <c r="M999" s="299"/>
      <c r="N999" s="299"/>
      <c r="O999" s="299"/>
      <c r="P999" s="299"/>
      <c r="Q999" s="299"/>
      <c r="R999" s="299"/>
      <c r="S999" s="299"/>
      <c r="T999" s="299"/>
      <c r="U999" s="299"/>
    </row>
    <row r="1000">
      <c r="B1000" s="3"/>
      <c r="D1000" s="3"/>
      <c r="E1000" s="300" t="s">
        <v>22</v>
      </c>
      <c r="F1000" s="299"/>
      <c r="G1000" s="299"/>
      <c r="H1000" s="299"/>
      <c r="I1000" s="299"/>
      <c r="J1000" s="299"/>
      <c r="K1000" s="299"/>
      <c r="L1000" s="299"/>
      <c r="M1000" s="299"/>
      <c r="N1000" s="299"/>
      <c r="O1000" s="299"/>
      <c r="P1000" s="299"/>
      <c r="Q1000" s="299"/>
      <c r="R1000" s="299"/>
      <c r="S1000" s="299"/>
      <c r="T1000" s="299"/>
      <c r="U1000" s="299"/>
    </row>
    <row r="1001">
      <c r="B1001" s="3"/>
      <c r="D1001" s="3"/>
      <c r="E1001" s="300" t="s">
        <v>22</v>
      </c>
      <c r="F1001" s="299"/>
      <c r="G1001" s="299"/>
      <c r="H1001" s="299"/>
      <c r="I1001" s="299"/>
      <c r="J1001" s="299"/>
      <c r="K1001" s="299"/>
      <c r="L1001" s="299"/>
      <c r="M1001" s="299"/>
      <c r="N1001" s="299"/>
      <c r="O1001" s="299"/>
      <c r="P1001" s="299"/>
      <c r="Q1001" s="299"/>
      <c r="R1001" s="299"/>
      <c r="S1001" s="299"/>
      <c r="T1001" s="299"/>
      <c r="U1001" s="299"/>
    </row>
    <row r="1002">
      <c r="B1002" s="3"/>
      <c r="D1002" s="3"/>
      <c r="E1002" s="300" t="s">
        <v>22</v>
      </c>
      <c r="F1002" s="299"/>
      <c r="G1002" s="299"/>
      <c r="H1002" s="299"/>
      <c r="I1002" s="299"/>
      <c r="J1002" s="299"/>
      <c r="K1002" s="299"/>
      <c r="L1002" s="299"/>
      <c r="M1002" s="299"/>
      <c r="N1002" s="299"/>
      <c r="O1002" s="299"/>
      <c r="P1002" s="299"/>
      <c r="Q1002" s="299"/>
      <c r="R1002" s="299"/>
      <c r="S1002" s="299"/>
      <c r="T1002" s="299"/>
      <c r="U1002" s="299"/>
    </row>
    <row r="1003">
      <c r="B1003" s="3"/>
      <c r="D1003" s="3"/>
      <c r="E1003" s="300" t="s">
        <v>22</v>
      </c>
      <c r="F1003" s="299"/>
      <c r="G1003" s="299"/>
      <c r="H1003" s="299"/>
      <c r="I1003" s="299"/>
      <c r="J1003" s="299"/>
      <c r="K1003" s="299"/>
      <c r="L1003" s="299"/>
      <c r="M1003" s="299"/>
      <c r="N1003" s="299"/>
      <c r="O1003" s="299"/>
      <c r="P1003" s="299"/>
      <c r="Q1003" s="299"/>
      <c r="R1003" s="299"/>
      <c r="S1003" s="299"/>
      <c r="T1003" s="299"/>
      <c r="U1003" s="299"/>
    </row>
    <row r="1004">
      <c r="B1004" s="3"/>
      <c r="D1004" s="3"/>
      <c r="E1004" s="300" t="s">
        <v>22</v>
      </c>
      <c r="F1004" s="299"/>
      <c r="G1004" s="299"/>
      <c r="H1004" s="299"/>
      <c r="I1004" s="299"/>
      <c r="J1004" s="299"/>
      <c r="K1004" s="299"/>
      <c r="L1004" s="299"/>
      <c r="M1004" s="299"/>
      <c r="N1004" s="299"/>
      <c r="O1004" s="299"/>
      <c r="P1004" s="299"/>
      <c r="Q1004" s="299"/>
      <c r="R1004" s="299"/>
      <c r="S1004" s="299"/>
      <c r="T1004" s="299"/>
      <c r="U1004" s="299"/>
    </row>
    <row r="1005">
      <c r="B1005" s="3"/>
      <c r="D1005" s="3"/>
      <c r="E1005" s="300" t="s">
        <v>22</v>
      </c>
      <c r="F1005" s="299"/>
      <c r="G1005" s="299"/>
      <c r="H1005" s="299"/>
      <c r="I1005" s="299"/>
      <c r="J1005" s="299"/>
      <c r="K1005" s="299"/>
      <c r="L1005" s="299"/>
      <c r="M1005" s="299"/>
      <c r="N1005" s="299"/>
      <c r="O1005" s="299"/>
      <c r="P1005" s="299"/>
      <c r="Q1005" s="299"/>
      <c r="R1005" s="299"/>
      <c r="S1005" s="299"/>
      <c r="T1005" s="299"/>
      <c r="U1005" s="299"/>
    </row>
    <row r="1006">
      <c r="B1006" s="3"/>
      <c r="D1006" s="3"/>
      <c r="E1006" s="300" t="s">
        <v>22</v>
      </c>
      <c r="F1006" s="299"/>
      <c r="G1006" s="299"/>
      <c r="H1006" s="299"/>
      <c r="I1006" s="299"/>
      <c r="J1006" s="299"/>
      <c r="K1006" s="299"/>
      <c r="L1006" s="299"/>
      <c r="M1006" s="299"/>
      <c r="N1006" s="299"/>
      <c r="O1006" s="299"/>
      <c r="P1006" s="299"/>
      <c r="Q1006" s="299"/>
      <c r="R1006" s="299"/>
      <c r="S1006" s="299"/>
      <c r="T1006" s="299"/>
      <c r="U1006" s="299"/>
    </row>
    <row r="1007">
      <c r="B1007" s="3"/>
      <c r="D1007" s="3"/>
      <c r="E1007" s="300" t="s">
        <v>22</v>
      </c>
      <c r="F1007" s="299"/>
      <c r="G1007" s="299"/>
      <c r="H1007" s="299"/>
      <c r="I1007" s="299"/>
      <c r="J1007" s="299"/>
      <c r="K1007" s="299"/>
      <c r="L1007" s="299"/>
      <c r="M1007" s="299"/>
      <c r="N1007" s="299"/>
      <c r="O1007" s="299"/>
      <c r="P1007" s="299"/>
      <c r="Q1007" s="299"/>
      <c r="R1007" s="299"/>
      <c r="S1007" s="299"/>
      <c r="T1007" s="299"/>
      <c r="U1007" s="299"/>
    </row>
    <row r="1008">
      <c r="B1008" s="3"/>
      <c r="D1008" s="3"/>
      <c r="E1008" s="300" t="s">
        <v>22</v>
      </c>
      <c r="F1008" s="299"/>
      <c r="G1008" s="299"/>
      <c r="H1008" s="299"/>
      <c r="I1008" s="299"/>
      <c r="J1008" s="299"/>
      <c r="K1008" s="299"/>
      <c r="L1008" s="299"/>
      <c r="M1008" s="299"/>
      <c r="N1008" s="299"/>
      <c r="O1008" s="299"/>
      <c r="P1008" s="299"/>
      <c r="Q1008" s="299"/>
      <c r="R1008" s="299"/>
      <c r="S1008" s="299"/>
      <c r="T1008" s="299"/>
      <c r="U1008" s="299"/>
    </row>
    <row r="1009">
      <c r="B1009" s="3"/>
      <c r="D1009" s="3"/>
      <c r="E1009" s="300" t="s">
        <v>22</v>
      </c>
      <c r="F1009" s="299"/>
      <c r="G1009" s="299"/>
      <c r="H1009" s="299"/>
      <c r="I1009" s="299"/>
      <c r="J1009" s="299"/>
      <c r="K1009" s="299"/>
      <c r="L1009" s="299"/>
      <c r="M1009" s="299"/>
      <c r="N1009" s="299"/>
      <c r="O1009" s="299"/>
      <c r="P1009" s="299"/>
      <c r="Q1009" s="299"/>
      <c r="R1009" s="299"/>
      <c r="S1009" s="299"/>
      <c r="T1009" s="299"/>
      <c r="U1009" s="29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6" t="str">
        <f t="array" ref="A1:A43">sort(unique(Schedule!L3:L49))</f>
        <v>Alejandro Henao</v>
      </c>
      <c r="B1" s="417">
        <f t="array" ref="B1:B49">if(A:A="","",match(A:A,'Teachers sched'!C:C,0))</f>
        <v>2</v>
      </c>
    </row>
    <row r="2">
      <c r="A2" t="s">
        <v>44</v>
      </c>
      <c r="B2" s="417">
        <v>10.0</v>
      </c>
    </row>
    <row r="3">
      <c r="A3" t="s">
        <v>60</v>
      </c>
      <c r="B3" s="417">
        <v>18.0</v>
      </c>
    </row>
    <row r="4">
      <c r="A4" t="s">
        <v>80</v>
      </c>
      <c r="B4" s="417">
        <v>26.0</v>
      </c>
    </row>
    <row r="5">
      <c r="A5" t="s">
        <v>104</v>
      </c>
      <c r="B5" s="417">
        <v>34.0</v>
      </c>
    </row>
    <row r="6">
      <c r="A6" t="s">
        <v>36</v>
      </c>
      <c r="B6" s="417">
        <v>42.0</v>
      </c>
    </row>
    <row r="7">
      <c r="A7" t="s">
        <v>127</v>
      </c>
      <c r="B7" s="417">
        <v>50.0</v>
      </c>
    </row>
    <row r="8">
      <c r="A8" t="s">
        <v>94</v>
      </c>
      <c r="B8" s="417">
        <v>58.0</v>
      </c>
    </row>
    <row r="9">
      <c r="A9" t="s">
        <v>83</v>
      </c>
      <c r="B9" s="417">
        <v>66.0</v>
      </c>
    </row>
    <row r="10">
      <c r="A10" t="s">
        <v>68</v>
      </c>
      <c r="B10" s="417">
        <v>74.0</v>
      </c>
    </row>
    <row r="11">
      <c r="A11" t="s">
        <v>102</v>
      </c>
      <c r="B11" s="417">
        <v>82.0</v>
      </c>
    </row>
    <row r="12">
      <c r="A12" t="s">
        <v>55</v>
      </c>
      <c r="B12" s="417">
        <v>90.0</v>
      </c>
    </row>
    <row r="13">
      <c r="A13" t="s">
        <v>113</v>
      </c>
      <c r="B13" s="417">
        <v>98.0</v>
      </c>
    </row>
    <row r="14">
      <c r="A14" t="s">
        <v>99</v>
      </c>
      <c r="B14" s="417">
        <v>106.0</v>
      </c>
    </row>
    <row r="15">
      <c r="A15" t="s">
        <v>125</v>
      </c>
      <c r="B15" s="417">
        <v>114.0</v>
      </c>
    </row>
    <row r="16">
      <c r="A16" t="s">
        <v>52</v>
      </c>
      <c r="B16" s="417">
        <v>122.0</v>
      </c>
    </row>
    <row r="17">
      <c r="A17" t="s">
        <v>110</v>
      </c>
      <c r="B17" s="417">
        <v>130.0</v>
      </c>
    </row>
    <row r="18">
      <c r="A18" t="s">
        <v>33</v>
      </c>
      <c r="B18" s="417">
        <v>138.0</v>
      </c>
    </row>
    <row r="19">
      <c r="A19" t="s">
        <v>91</v>
      </c>
      <c r="B19" s="417">
        <v>146.0</v>
      </c>
    </row>
    <row r="20">
      <c r="A20" t="s">
        <v>39</v>
      </c>
      <c r="B20" s="417">
        <v>154.0</v>
      </c>
    </row>
    <row r="21">
      <c r="A21" t="s">
        <v>119</v>
      </c>
      <c r="B21" s="417">
        <v>162.0</v>
      </c>
    </row>
    <row r="22">
      <c r="A22" t="s">
        <v>129</v>
      </c>
      <c r="B22" s="417">
        <v>170.0</v>
      </c>
    </row>
    <row r="23">
      <c r="A23" t="s">
        <v>65</v>
      </c>
      <c r="B23" s="417">
        <v>178.0</v>
      </c>
    </row>
    <row r="24">
      <c r="A24" t="s">
        <v>21</v>
      </c>
      <c r="B24" s="417">
        <v>186.0</v>
      </c>
    </row>
    <row r="25">
      <c r="A25" t="s">
        <v>97</v>
      </c>
      <c r="B25" s="417">
        <v>194.0</v>
      </c>
    </row>
    <row r="26">
      <c r="A26" t="s">
        <v>72</v>
      </c>
      <c r="B26" s="417">
        <v>202.0</v>
      </c>
    </row>
    <row r="27">
      <c r="A27" t="s">
        <v>106</v>
      </c>
      <c r="B27" s="417">
        <v>210.0</v>
      </c>
    </row>
    <row r="28">
      <c r="A28" t="s">
        <v>131</v>
      </c>
      <c r="B28" s="417">
        <v>218.0</v>
      </c>
    </row>
    <row r="29">
      <c r="A29" t="s">
        <v>116</v>
      </c>
      <c r="B29" s="417">
        <v>226.0</v>
      </c>
    </row>
    <row r="30">
      <c r="A30" t="s">
        <v>112</v>
      </c>
      <c r="B30" s="417">
        <v>234.0</v>
      </c>
    </row>
    <row r="31">
      <c r="A31" t="s">
        <v>77</v>
      </c>
      <c r="B31" s="417">
        <v>242.0</v>
      </c>
    </row>
    <row r="32">
      <c r="A32" t="s">
        <v>42</v>
      </c>
      <c r="B32" s="417">
        <v>250.0</v>
      </c>
    </row>
    <row r="33">
      <c r="A33" t="s">
        <v>75</v>
      </c>
      <c r="B33" s="417">
        <v>258.0</v>
      </c>
    </row>
    <row r="34">
      <c r="A34" t="s">
        <v>50</v>
      </c>
      <c r="B34" s="417">
        <v>266.0</v>
      </c>
    </row>
    <row r="35">
      <c r="A35" t="s">
        <v>67</v>
      </c>
      <c r="B35" s="417">
        <v>274.0</v>
      </c>
    </row>
    <row r="36">
      <c r="A36" t="s">
        <v>47</v>
      </c>
      <c r="B36" s="417">
        <v>282.0</v>
      </c>
    </row>
    <row r="37">
      <c r="A37" t="s">
        <v>78</v>
      </c>
      <c r="B37" s="417">
        <v>290.0</v>
      </c>
    </row>
    <row r="38">
      <c r="A38" t="s">
        <v>63</v>
      </c>
      <c r="B38" s="417">
        <v>298.0</v>
      </c>
    </row>
    <row r="39">
      <c r="A39" t="s">
        <v>25</v>
      </c>
      <c r="B39" s="417">
        <v>306.0</v>
      </c>
    </row>
    <row r="40">
      <c r="A40" t="s">
        <v>89</v>
      </c>
      <c r="B40" s="417">
        <v>314.0</v>
      </c>
    </row>
    <row r="41">
      <c r="A41" t="s">
        <v>133</v>
      </c>
      <c r="B41" s="417">
        <v>322.0</v>
      </c>
    </row>
    <row r="42">
      <c r="A42" t="s">
        <v>87</v>
      </c>
      <c r="B42" s="417">
        <v>330.0</v>
      </c>
    </row>
    <row r="43">
      <c r="B43" s="417" t="s">
        <v>22</v>
      </c>
    </row>
    <row r="44">
      <c r="B44" s="417" t="s">
        <v>22</v>
      </c>
    </row>
    <row r="45">
      <c r="B45" s="417" t="s">
        <v>22</v>
      </c>
    </row>
    <row r="46">
      <c r="B46" s="417" t="s">
        <v>22</v>
      </c>
    </row>
    <row r="47">
      <c r="B47" s="417" t="s">
        <v>22</v>
      </c>
    </row>
    <row r="48">
      <c r="B48" s="417" t="s">
        <v>22</v>
      </c>
    </row>
    <row r="49">
      <c r="B49" s="417" t="s">
        <v>22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s>
  <sheetData>
    <row r="1">
      <c r="A1" s="359" t="s">
        <v>1038</v>
      </c>
      <c r="B1" s="414" t="str">
        <f t="array" ref="B1:B1510">if(ROW(B:B)=1,"Groups",if(A:A="","",sumif('Teachers and Groups'!A:A,A:A,'Teachers and Groups'!B:B)))</f>
        <v>Groups</v>
      </c>
    </row>
    <row r="2">
      <c r="A2" s="296" t="str">
        <f t="array" ref="A2:A70">unique('Teachers and Groups'!A2:A1510)</f>
        <v>Band Level I</v>
      </c>
      <c r="B2" s="300">
        <v>4.0</v>
      </c>
    </row>
    <row r="3">
      <c r="A3" t="s">
        <v>23</v>
      </c>
      <c r="B3" s="300">
        <v>2.0</v>
      </c>
    </row>
    <row r="4">
      <c r="A4" t="s">
        <v>26</v>
      </c>
      <c r="B4" s="300">
        <v>1.0</v>
      </c>
    </row>
    <row r="5">
      <c r="A5" t="s">
        <v>32</v>
      </c>
      <c r="B5" s="300">
        <v>1.0</v>
      </c>
    </row>
    <row r="6">
      <c r="A6" t="s">
        <v>29</v>
      </c>
      <c r="B6" s="300">
        <v>1.0</v>
      </c>
    </row>
    <row r="7">
      <c r="A7" t="s">
        <v>27</v>
      </c>
      <c r="B7" s="300">
        <v>2.0</v>
      </c>
    </row>
    <row r="8">
      <c r="A8" t="s">
        <v>30</v>
      </c>
      <c r="B8" s="300">
        <v>4.0</v>
      </c>
    </row>
    <row r="9">
      <c r="A9" t="s">
        <v>28</v>
      </c>
      <c r="B9" s="300">
        <v>2.0</v>
      </c>
    </row>
    <row r="10">
      <c r="A10" t="s">
        <v>34</v>
      </c>
      <c r="B10" s="300">
        <v>2.0</v>
      </c>
    </row>
    <row r="11">
      <c r="A11" t="s">
        <v>35</v>
      </c>
      <c r="B11" s="300">
        <v>1.0</v>
      </c>
    </row>
    <row r="12">
      <c r="A12" t="s">
        <v>38</v>
      </c>
      <c r="B12" s="300">
        <v>3.0</v>
      </c>
    </row>
    <row r="13">
      <c r="A13" t="s">
        <v>37</v>
      </c>
      <c r="B13" s="300">
        <v>3.0</v>
      </c>
    </row>
    <row r="14">
      <c r="A14" t="s">
        <v>41</v>
      </c>
      <c r="B14" s="300">
        <v>2.0</v>
      </c>
    </row>
    <row r="15">
      <c r="A15" t="s">
        <v>40</v>
      </c>
      <c r="B15" s="300">
        <v>6.0</v>
      </c>
    </row>
    <row r="16">
      <c r="A16" t="s">
        <v>43</v>
      </c>
      <c r="B16" s="300">
        <v>3.0</v>
      </c>
    </row>
    <row r="17">
      <c r="A17" t="s">
        <v>46</v>
      </c>
      <c r="B17" s="300">
        <v>1.0</v>
      </c>
    </row>
    <row r="18">
      <c r="A18" t="s">
        <v>45</v>
      </c>
      <c r="B18" s="300">
        <v>3.0</v>
      </c>
    </row>
    <row r="19">
      <c r="A19" t="s">
        <v>48</v>
      </c>
      <c r="B19" s="300">
        <v>3.0</v>
      </c>
    </row>
    <row r="20">
      <c r="A20" t="s">
        <v>49</v>
      </c>
      <c r="B20" s="300">
        <v>2.0</v>
      </c>
    </row>
    <row r="21">
      <c r="A21" t="s">
        <v>51</v>
      </c>
      <c r="B21" s="300">
        <v>6.0</v>
      </c>
    </row>
    <row r="22">
      <c r="A22" t="s">
        <v>53</v>
      </c>
      <c r="B22" s="300">
        <v>5.0</v>
      </c>
    </row>
    <row r="23">
      <c r="A23" t="s">
        <v>54</v>
      </c>
      <c r="B23" s="300">
        <v>1.0</v>
      </c>
    </row>
    <row r="24">
      <c r="A24" t="s">
        <v>61</v>
      </c>
      <c r="B24" s="300">
        <v>7.0</v>
      </c>
    </row>
    <row r="25">
      <c r="A25" t="s">
        <v>62</v>
      </c>
      <c r="B25" s="300">
        <v>1.0</v>
      </c>
    </row>
    <row r="26">
      <c r="A26" t="s">
        <v>64</v>
      </c>
      <c r="B26" s="300">
        <v>7.0</v>
      </c>
    </row>
    <row r="27">
      <c r="A27" t="s">
        <v>66</v>
      </c>
      <c r="B27" s="300">
        <v>5.0</v>
      </c>
    </row>
    <row r="28">
      <c r="A28" t="s">
        <v>56</v>
      </c>
      <c r="B28" s="300">
        <v>7.0</v>
      </c>
    </row>
    <row r="29">
      <c r="A29" t="s">
        <v>57</v>
      </c>
      <c r="B29" s="300">
        <v>2.0</v>
      </c>
    </row>
    <row r="30">
      <c r="A30" t="s">
        <v>69</v>
      </c>
      <c r="B30" s="300">
        <v>4.0</v>
      </c>
    </row>
    <row r="31">
      <c r="A31" t="s">
        <v>70</v>
      </c>
      <c r="B31" s="300">
        <v>2.0</v>
      </c>
    </row>
    <row r="32">
      <c r="A32" t="s">
        <v>71</v>
      </c>
      <c r="B32" s="300">
        <v>1.0</v>
      </c>
    </row>
    <row r="33">
      <c r="A33" t="s">
        <v>76</v>
      </c>
      <c r="B33" s="300">
        <v>7.0</v>
      </c>
    </row>
    <row r="34">
      <c r="A34" t="s">
        <v>82</v>
      </c>
      <c r="B34" s="300">
        <v>3.0</v>
      </c>
    </row>
    <row r="35">
      <c r="A35" t="s">
        <v>81</v>
      </c>
      <c r="B35" s="300">
        <v>2.0</v>
      </c>
    </row>
    <row r="36">
      <c r="A36" t="s">
        <v>74</v>
      </c>
      <c r="B36" s="300">
        <v>1.0</v>
      </c>
    </row>
    <row r="37">
      <c r="A37" t="s">
        <v>73</v>
      </c>
      <c r="B37" s="300">
        <v>4.0</v>
      </c>
    </row>
    <row r="38">
      <c r="A38" t="s">
        <v>79</v>
      </c>
      <c r="B38" s="300">
        <v>5.0</v>
      </c>
    </row>
    <row r="39">
      <c r="A39" t="s">
        <v>114</v>
      </c>
      <c r="B39" s="300">
        <v>5.0</v>
      </c>
    </row>
    <row r="40">
      <c r="A40" t="s">
        <v>96</v>
      </c>
      <c r="B40" s="300">
        <v>1.0</v>
      </c>
    </row>
    <row r="41">
      <c r="A41" t="s">
        <v>90</v>
      </c>
      <c r="B41" s="300">
        <v>5.0</v>
      </c>
    </row>
    <row r="42">
      <c r="A42" t="s">
        <v>95</v>
      </c>
      <c r="B42" s="300">
        <v>7.0</v>
      </c>
    </row>
    <row r="43">
      <c r="A43" t="s">
        <v>84</v>
      </c>
      <c r="B43" s="300">
        <v>3.0</v>
      </c>
    </row>
    <row r="44">
      <c r="A44" t="s">
        <v>85</v>
      </c>
      <c r="B44" s="300">
        <v>1.0</v>
      </c>
    </row>
    <row r="45">
      <c r="A45" t="s">
        <v>86</v>
      </c>
      <c r="B45" s="300">
        <v>2.0</v>
      </c>
    </row>
    <row r="46">
      <c r="A46" t="s">
        <v>88</v>
      </c>
      <c r="B46" s="300">
        <v>7.0</v>
      </c>
    </row>
    <row r="47">
      <c r="A47" t="s">
        <v>98</v>
      </c>
      <c r="B47" s="300">
        <v>1.0</v>
      </c>
    </row>
    <row r="48">
      <c r="A48" t="s">
        <v>92</v>
      </c>
      <c r="B48" s="300">
        <v>1.0</v>
      </c>
    </row>
    <row r="49">
      <c r="A49" t="s">
        <v>93</v>
      </c>
      <c r="B49" s="300">
        <v>2.0</v>
      </c>
    </row>
    <row r="50">
      <c r="A50" t="s">
        <v>103</v>
      </c>
      <c r="B50" s="300">
        <v>4.0</v>
      </c>
    </row>
    <row r="51">
      <c r="A51" t="s">
        <v>100</v>
      </c>
      <c r="B51" s="300">
        <v>3.0</v>
      </c>
    </row>
    <row r="52">
      <c r="A52" t="s">
        <v>101</v>
      </c>
      <c r="B52" s="300">
        <v>2.0</v>
      </c>
    </row>
    <row r="53">
      <c r="A53" t="s">
        <v>105</v>
      </c>
      <c r="B53" s="300">
        <v>4.0</v>
      </c>
    </row>
    <row r="54">
      <c r="A54" t="s">
        <v>108</v>
      </c>
      <c r="B54" s="300">
        <v>1.0</v>
      </c>
    </row>
    <row r="55">
      <c r="A55" t="s">
        <v>109</v>
      </c>
      <c r="B55" s="300">
        <v>1.0</v>
      </c>
    </row>
    <row r="56">
      <c r="A56" t="s">
        <v>107</v>
      </c>
      <c r="B56" s="300">
        <v>6.0</v>
      </c>
    </row>
    <row r="57">
      <c r="A57" t="s">
        <v>111</v>
      </c>
      <c r="B57" s="300">
        <v>2.0</v>
      </c>
    </row>
    <row r="58">
      <c r="A58" t="s">
        <v>115</v>
      </c>
      <c r="B58" s="300">
        <v>2.0</v>
      </c>
    </row>
    <row r="59">
      <c r="A59" t="s">
        <v>124</v>
      </c>
      <c r="B59" s="300">
        <v>4.0</v>
      </c>
    </row>
    <row r="60">
      <c r="A60" t="s">
        <v>117</v>
      </c>
      <c r="B60" s="300">
        <v>1.0</v>
      </c>
    </row>
    <row r="61">
      <c r="A61" t="s">
        <v>118</v>
      </c>
      <c r="B61" s="300">
        <v>1.0</v>
      </c>
    </row>
    <row r="62">
      <c r="A62" t="s">
        <v>120</v>
      </c>
      <c r="B62" s="300">
        <v>3.0</v>
      </c>
    </row>
    <row r="63">
      <c r="A63" t="s">
        <v>122</v>
      </c>
      <c r="B63" s="300">
        <v>1.0</v>
      </c>
    </row>
    <row r="64">
      <c r="A64" t="s">
        <v>121</v>
      </c>
      <c r="B64" s="300">
        <v>1.0</v>
      </c>
    </row>
    <row r="65">
      <c r="A65" t="s">
        <v>128</v>
      </c>
      <c r="B65" s="300">
        <v>6.0</v>
      </c>
    </row>
    <row r="66">
      <c r="A66" t="s">
        <v>130</v>
      </c>
      <c r="B66" s="300">
        <v>6.0</v>
      </c>
    </row>
    <row r="67">
      <c r="A67" t="s">
        <v>132</v>
      </c>
      <c r="B67" s="300">
        <v>6.0</v>
      </c>
    </row>
    <row r="68">
      <c r="A68" t="s">
        <v>134</v>
      </c>
      <c r="B68" s="300">
        <v>6.0</v>
      </c>
    </row>
    <row r="69">
      <c r="A69" s="418" t="s">
        <v>126</v>
      </c>
      <c r="B69" s="300">
        <v>1.0</v>
      </c>
    </row>
    <row r="70">
      <c r="B70" s="300" t="s">
        <v>22</v>
      </c>
    </row>
    <row r="71">
      <c r="B71" s="300" t="s">
        <v>22</v>
      </c>
    </row>
    <row r="72">
      <c r="B72" s="300" t="s">
        <v>22</v>
      </c>
    </row>
    <row r="73">
      <c r="B73" s="300" t="s">
        <v>22</v>
      </c>
    </row>
    <row r="74">
      <c r="B74" s="300" t="s">
        <v>22</v>
      </c>
    </row>
    <row r="75">
      <c r="B75" s="300" t="s">
        <v>22</v>
      </c>
    </row>
    <row r="76">
      <c r="B76" s="300" t="s">
        <v>22</v>
      </c>
    </row>
    <row r="77">
      <c r="B77" s="300" t="s">
        <v>22</v>
      </c>
    </row>
    <row r="78">
      <c r="B78" s="300" t="s">
        <v>22</v>
      </c>
    </row>
    <row r="79">
      <c r="B79" s="300" t="s">
        <v>22</v>
      </c>
    </row>
    <row r="80">
      <c r="B80" s="300" t="s">
        <v>22</v>
      </c>
    </row>
    <row r="81">
      <c r="B81" s="300" t="s">
        <v>22</v>
      </c>
    </row>
    <row r="82">
      <c r="B82" s="300" t="s">
        <v>22</v>
      </c>
    </row>
    <row r="83">
      <c r="B83" s="300" t="s">
        <v>22</v>
      </c>
    </row>
    <row r="84">
      <c r="B84" s="300" t="s">
        <v>22</v>
      </c>
    </row>
    <row r="85">
      <c r="B85" s="300" t="s">
        <v>22</v>
      </c>
    </row>
    <row r="86">
      <c r="B86" s="300" t="s">
        <v>22</v>
      </c>
    </row>
    <row r="87">
      <c r="B87" s="300" t="s">
        <v>22</v>
      </c>
    </row>
    <row r="88">
      <c r="B88" s="300" t="s">
        <v>22</v>
      </c>
    </row>
    <row r="89">
      <c r="B89" s="300" t="s">
        <v>22</v>
      </c>
    </row>
    <row r="90">
      <c r="B90" s="300" t="s">
        <v>22</v>
      </c>
    </row>
    <row r="91">
      <c r="B91" s="300" t="s">
        <v>22</v>
      </c>
    </row>
    <row r="92">
      <c r="B92" s="300" t="s">
        <v>22</v>
      </c>
    </row>
    <row r="93">
      <c r="B93" s="300" t="s">
        <v>22</v>
      </c>
    </row>
    <row r="94">
      <c r="B94" s="300" t="s">
        <v>22</v>
      </c>
    </row>
    <row r="95">
      <c r="B95" s="300" t="s">
        <v>22</v>
      </c>
    </row>
    <row r="96">
      <c r="B96" s="300" t="s">
        <v>22</v>
      </c>
    </row>
    <row r="97">
      <c r="B97" s="300" t="s">
        <v>22</v>
      </c>
    </row>
    <row r="98">
      <c r="B98" s="300" t="s">
        <v>22</v>
      </c>
    </row>
    <row r="99">
      <c r="B99" s="300" t="s">
        <v>22</v>
      </c>
    </row>
    <row r="100">
      <c r="B100" s="300" t="s">
        <v>22</v>
      </c>
    </row>
    <row r="101">
      <c r="B101" s="300" t="s">
        <v>22</v>
      </c>
    </row>
    <row r="102">
      <c r="B102" s="300" t="s">
        <v>22</v>
      </c>
    </row>
    <row r="103">
      <c r="B103" s="300" t="s">
        <v>22</v>
      </c>
    </row>
    <row r="104">
      <c r="B104" s="300" t="s">
        <v>22</v>
      </c>
    </row>
    <row r="105">
      <c r="B105" s="300" t="s">
        <v>22</v>
      </c>
    </row>
    <row r="106">
      <c r="B106" s="300" t="s">
        <v>22</v>
      </c>
    </row>
    <row r="107">
      <c r="B107" s="300" t="s">
        <v>22</v>
      </c>
    </row>
    <row r="108">
      <c r="B108" s="300" t="s">
        <v>22</v>
      </c>
    </row>
    <row r="109">
      <c r="B109" s="300" t="s">
        <v>22</v>
      </c>
    </row>
    <row r="110">
      <c r="B110" s="300" t="s">
        <v>22</v>
      </c>
    </row>
    <row r="111">
      <c r="B111" s="300" t="s">
        <v>22</v>
      </c>
    </row>
    <row r="112">
      <c r="B112" s="300" t="s">
        <v>22</v>
      </c>
    </row>
    <row r="113">
      <c r="B113" s="300" t="s">
        <v>22</v>
      </c>
    </row>
    <row r="114">
      <c r="B114" s="300" t="s">
        <v>22</v>
      </c>
    </row>
    <row r="115">
      <c r="B115" s="300" t="s">
        <v>22</v>
      </c>
    </row>
    <row r="116">
      <c r="B116" s="300" t="s">
        <v>22</v>
      </c>
    </row>
    <row r="117">
      <c r="B117" s="300" t="s">
        <v>22</v>
      </c>
    </row>
    <row r="118">
      <c r="B118" s="300" t="s">
        <v>22</v>
      </c>
    </row>
    <row r="119">
      <c r="B119" s="300" t="s">
        <v>22</v>
      </c>
    </row>
    <row r="120">
      <c r="B120" s="300" t="s">
        <v>22</v>
      </c>
    </row>
    <row r="121">
      <c r="B121" s="300" t="s">
        <v>22</v>
      </c>
    </row>
    <row r="122">
      <c r="B122" s="300" t="s">
        <v>22</v>
      </c>
    </row>
    <row r="123">
      <c r="B123" s="300" t="s">
        <v>22</v>
      </c>
    </row>
    <row r="124">
      <c r="B124" s="300" t="s">
        <v>22</v>
      </c>
    </row>
    <row r="125">
      <c r="B125" s="300" t="s">
        <v>22</v>
      </c>
    </row>
    <row r="126">
      <c r="B126" s="300" t="s">
        <v>22</v>
      </c>
    </row>
    <row r="127">
      <c r="B127" s="300" t="s">
        <v>22</v>
      </c>
    </row>
    <row r="128">
      <c r="B128" s="300" t="s">
        <v>22</v>
      </c>
    </row>
    <row r="129">
      <c r="B129" s="300" t="s">
        <v>22</v>
      </c>
    </row>
    <row r="130">
      <c r="B130" s="300" t="s">
        <v>22</v>
      </c>
    </row>
    <row r="131">
      <c r="B131" s="300" t="s">
        <v>22</v>
      </c>
    </row>
    <row r="132">
      <c r="B132" s="300" t="s">
        <v>22</v>
      </c>
    </row>
    <row r="133">
      <c r="B133" s="300" t="s">
        <v>22</v>
      </c>
    </row>
    <row r="134">
      <c r="B134" s="300" t="s">
        <v>22</v>
      </c>
    </row>
    <row r="135">
      <c r="B135" s="300" t="s">
        <v>22</v>
      </c>
    </row>
    <row r="136">
      <c r="B136" s="300" t="s">
        <v>22</v>
      </c>
    </row>
    <row r="137">
      <c r="B137" s="300" t="s">
        <v>22</v>
      </c>
    </row>
    <row r="138">
      <c r="B138" s="300" t="s">
        <v>22</v>
      </c>
    </row>
    <row r="139">
      <c r="B139" s="300" t="s">
        <v>22</v>
      </c>
    </row>
    <row r="140">
      <c r="B140" s="300" t="s">
        <v>22</v>
      </c>
    </row>
    <row r="141">
      <c r="B141" s="300" t="s">
        <v>22</v>
      </c>
    </row>
    <row r="142">
      <c r="B142" s="300" t="s">
        <v>22</v>
      </c>
    </row>
    <row r="143">
      <c r="B143" s="300" t="s">
        <v>22</v>
      </c>
    </row>
    <row r="144">
      <c r="B144" s="300" t="s">
        <v>22</v>
      </c>
    </row>
    <row r="145">
      <c r="B145" s="300" t="s">
        <v>22</v>
      </c>
    </row>
    <row r="146">
      <c r="B146" s="300" t="s">
        <v>22</v>
      </c>
    </row>
    <row r="147">
      <c r="B147" s="300" t="s">
        <v>22</v>
      </c>
    </row>
    <row r="148">
      <c r="B148" s="300" t="s">
        <v>22</v>
      </c>
    </row>
    <row r="149">
      <c r="B149" s="300" t="s">
        <v>22</v>
      </c>
    </row>
    <row r="150">
      <c r="B150" s="300" t="s">
        <v>22</v>
      </c>
    </row>
    <row r="151">
      <c r="B151" s="300" t="s">
        <v>22</v>
      </c>
    </row>
    <row r="152">
      <c r="B152" s="300" t="s">
        <v>22</v>
      </c>
    </row>
    <row r="153">
      <c r="B153" s="300" t="s">
        <v>22</v>
      </c>
    </row>
    <row r="154">
      <c r="B154" s="300" t="s">
        <v>22</v>
      </c>
    </row>
    <row r="155">
      <c r="B155" s="300" t="s">
        <v>22</v>
      </c>
    </row>
    <row r="156">
      <c r="B156" s="300" t="s">
        <v>22</v>
      </c>
    </row>
    <row r="157">
      <c r="B157" s="300" t="s">
        <v>22</v>
      </c>
    </row>
    <row r="158">
      <c r="B158" s="300" t="s">
        <v>22</v>
      </c>
    </row>
    <row r="159">
      <c r="B159" s="300" t="s">
        <v>22</v>
      </c>
    </row>
    <row r="160">
      <c r="B160" s="300" t="s">
        <v>22</v>
      </c>
    </row>
    <row r="161">
      <c r="B161" s="300" t="s">
        <v>22</v>
      </c>
    </row>
    <row r="162">
      <c r="B162" s="300" t="s">
        <v>22</v>
      </c>
    </row>
    <row r="163">
      <c r="B163" s="300" t="s">
        <v>22</v>
      </c>
    </row>
    <row r="164">
      <c r="B164" s="300" t="s">
        <v>22</v>
      </c>
    </row>
    <row r="165">
      <c r="B165" s="300" t="s">
        <v>22</v>
      </c>
    </row>
    <row r="166">
      <c r="B166" s="300" t="s">
        <v>22</v>
      </c>
    </row>
    <row r="167">
      <c r="B167" s="300" t="s">
        <v>22</v>
      </c>
    </row>
    <row r="168">
      <c r="B168" s="300" t="s">
        <v>22</v>
      </c>
    </row>
    <row r="169">
      <c r="B169" s="300" t="s">
        <v>22</v>
      </c>
    </row>
    <row r="170">
      <c r="B170" s="300" t="s">
        <v>22</v>
      </c>
    </row>
    <row r="171">
      <c r="B171" s="300" t="s">
        <v>22</v>
      </c>
    </row>
    <row r="172">
      <c r="B172" s="300" t="s">
        <v>22</v>
      </c>
    </row>
    <row r="173">
      <c r="B173" s="300" t="s">
        <v>22</v>
      </c>
    </row>
    <row r="174">
      <c r="B174" s="300" t="s">
        <v>22</v>
      </c>
    </row>
    <row r="175">
      <c r="B175" s="300" t="s">
        <v>22</v>
      </c>
    </row>
    <row r="176">
      <c r="B176" s="300" t="s">
        <v>22</v>
      </c>
    </row>
    <row r="177">
      <c r="B177" s="300" t="s">
        <v>22</v>
      </c>
    </row>
    <row r="178">
      <c r="B178" s="300" t="s">
        <v>22</v>
      </c>
    </row>
    <row r="179">
      <c r="B179" s="300" t="s">
        <v>22</v>
      </c>
    </row>
    <row r="180">
      <c r="B180" s="300" t="s">
        <v>22</v>
      </c>
    </row>
    <row r="181">
      <c r="B181" s="300" t="s">
        <v>22</v>
      </c>
    </row>
    <row r="182">
      <c r="B182" s="300" t="s">
        <v>22</v>
      </c>
    </row>
    <row r="183">
      <c r="B183" s="300" t="s">
        <v>22</v>
      </c>
    </row>
    <row r="184">
      <c r="B184" s="300" t="s">
        <v>22</v>
      </c>
    </row>
    <row r="185">
      <c r="B185" s="300" t="s">
        <v>22</v>
      </c>
    </row>
    <row r="186">
      <c r="B186" s="300" t="s">
        <v>22</v>
      </c>
    </row>
    <row r="187">
      <c r="B187" s="300" t="s">
        <v>22</v>
      </c>
    </row>
    <row r="188">
      <c r="B188" s="300" t="s">
        <v>22</v>
      </c>
    </row>
    <row r="189">
      <c r="B189" s="300" t="s">
        <v>22</v>
      </c>
    </row>
    <row r="190">
      <c r="B190" s="300" t="s">
        <v>22</v>
      </c>
    </row>
    <row r="191">
      <c r="B191" s="300" t="s">
        <v>22</v>
      </c>
    </row>
    <row r="192">
      <c r="B192" s="300" t="s">
        <v>22</v>
      </c>
    </row>
    <row r="193">
      <c r="B193" s="300" t="s">
        <v>22</v>
      </c>
    </row>
    <row r="194">
      <c r="B194" s="300" t="s">
        <v>22</v>
      </c>
    </row>
    <row r="195">
      <c r="B195" s="300" t="s">
        <v>22</v>
      </c>
    </row>
    <row r="196">
      <c r="B196" s="300" t="s">
        <v>22</v>
      </c>
    </row>
    <row r="197">
      <c r="B197" s="300" t="s">
        <v>22</v>
      </c>
    </row>
    <row r="198">
      <c r="B198" s="300" t="s">
        <v>22</v>
      </c>
    </row>
    <row r="199">
      <c r="B199" s="300" t="s">
        <v>22</v>
      </c>
    </row>
    <row r="200">
      <c r="B200" s="300" t="s">
        <v>22</v>
      </c>
    </row>
    <row r="201">
      <c r="B201" s="300" t="s">
        <v>22</v>
      </c>
    </row>
    <row r="202">
      <c r="B202" s="300" t="s">
        <v>22</v>
      </c>
    </row>
    <row r="203">
      <c r="B203" s="300" t="s">
        <v>22</v>
      </c>
    </row>
    <row r="204">
      <c r="B204" s="300" t="s">
        <v>22</v>
      </c>
    </row>
    <row r="205">
      <c r="B205" s="300" t="s">
        <v>22</v>
      </c>
    </row>
    <row r="206">
      <c r="B206" s="300" t="s">
        <v>22</v>
      </c>
    </row>
    <row r="207">
      <c r="B207" s="300" t="s">
        <v>22</v>
      </c>
    </row>
    <row r="208">
      <c r="B208" s="300" t="s">
        <v>22</v>
      </c>
    </row>
    <row r="209">
      <c r="B209" s="300" t="s">
        <v>22</v>
      </c>
    </row>
    <row r="210">
      <c r="B210" s="300" t="s">
        <v>22</v>
      </c>
    </row>
    <row r="211">
      <c r="B211" s="300" t="s">
        <v>22</v>
      </c>
    </row>
    <row r="212">
      <c r="B212" s="300" t="s">
        <v>22</v>
      </c>
    </row>
    <row r="213">
      <c r="B213" s="300" t="s">
        <v>22</v>
      </c>
    </row>
    <row r="214">
      <c r="B214" s="300" t="s">
        <v>22</v>
      </c>
    </row>
    <row r="215">
      <c r="B215" s="300" t="s">
        <v>22</v>
      </c>
    </row>
    <row r="216">
      <c r="B216" s="300" t="s">
        <v>22</v>
      </c>
    </row>
    <row r="217">
      <c r="B217" s="300" t="s">
        <v>22</v>
      </c>
    </row>
    <row r="218">
      <c r="B218" s="300" t="s">
        <v>22</v>
      </c>
    </row>
    <row r="219">
      <c r="B219" s="300" t="s">
        <v>22</v>
      </c>
    </row>
    <row r="220">
      <c r="B220" s="300" t="s">
        <v>22</v>
      </c>
    </row>
    <row r="221">
      <c r="B221" s="300" t="s">
        <v>22</v>
      </c>
    </row>
    <row r="222">
      <c r="B222" s="300" t="s">
        <v>22</v>
      </c>
    </row>
    <row r="223">
      <c r="B223" s="300" t="s">
        <v>22</v>
      </c>
    </row>
    <row r="224">
      <c r="B224" s="300" t="s">
        <v>22</v>
      </c>
    </row>
    <row r="225">
      <c r="B225" s="300" t="s">
        <v>22</v>
      </c>
    </row>
    <row r="226">
      <c r="B226" s="300" t="s">
        <v>22</v>
      </c>
    </row>
    <row r="227">
      <c r="B227" s="300" t="s">
        <v>22</v>
      </c>
    </row>
    <row r="228">
      <c r="B228" s="300" t="s">
        <v>22</v>
      </c>
    </row>
    <row r="229">
      <c r="B229" s="300" t="s">
        <v>22</v>
      </c>
    </row>
    <row r="230">
      <c r="B230" s="300" t="s">
        <v>22</v>
      </c>
    </row>
    <row r="231">
      <c r="B231" s="300" t="s">
        <v>22</v>
      </c>
    </row>
    <row r="232">
      <c r="B232" s="300" t="s">
        <v>22</v>
      </c>
    </row>
    <row r="233">
      <c r="B233" s="300" t="s">
        <v>22</v>
      </c>
    </row>
    <row r="234">
      <c r="B234" s="300" t="s">
        <v>22</v>
      </c>
    </row>
    <row r="235">
      <c r="B235" s="300" t="s">
        <v>22</v>
      </c>
    </row>
    <row r="236">
      <c r="B236" s="300" t="s">
        <v>22</v>
      </c>
    </row>
    <row r="237">
      <c r="B237" s="300" t="s">
        <v>22</v>
      </c>
    </row>
    <row r="238">
      <c r="B238" s="300" t="s">
        <v>22</v>
      </c>
    </row>
    <row r="239">
      <c r="B239" s="300" t="s">
        <v>22</v>
      </c>
    </row>
    <row r="240">
      <c r="B240" s="300" t="s">
        <v>22</v>
      </c>
    </row>
    <row r="241">
      <c r="B241" s="300" t="s">
        <v>22</v>
      </c>
    </row>
    <row r="242">
      <c r="B242" s="300" t="s">
        <v>22</v>
      </c>
    </row>
    <row r="243">
      <c r="B243" s="300" t="s">
        <v>22</v>
      </c>
    </row>
    <row r="244">
      <c r="B244" s="300" t="s">
        <v>22</v>
      </c>
    </row>
    <row r="245">
      <c r="B245" s="300" t="s">
        <v>22</v>
      </c>
    </row>
    <row r="246">
      <c r="B246" s="300" t="s">
        <v>22</v>
      </c>
    </row>
    <row r="247">
      <c r="B247" s="300" t="s">
        <v>22</v>
      </c>
    </row>
    <row r="248">
      <c r="B248" s="300" t="s">
        <v>22</v>
      </c>
    </row>
    <row r="249">
      <c r="B249" s="300" t="s">
        <v>22</v>
      </c>
    </row>
    <row r="250">
      <c r="B250" s="300" t="s">
        <v>22</v>
      </c>
    </row>
    <row r="251">
      <c r="B251" s="300" t="s">
        <v>22</v>
      </c>
    </row>
    <row r="252">
      <c r="B252" s="300" t="s">
        <v>22</v>
      </c>
    </row>
    <row r="253">
      <c r="B253" s="300" t="s">
        <v>22</v>
      </c>
    </row>
    <row r="254">
      <c r="B254" s="300" t="s">
        <v>22</v>
      </c>
    </row>
    <row r="255">
      <c r="B255" s="300" t="s">
        <v>22</v>
      </c>
    </row>
    <row r="256">
      <c r="B256" s="300" t="s">
        <v>22</v>
      </c>
    </row>
    <row r="257">
      <c r="B257" s="300" t="s">
        <v>22</v>
      </c>
    </row>
    <row r="258">
      <c r="B258" s="300" t="s">
        <v>22</v>
      </c>
    </row>
    <row r="259">
      <c r="B259" s="300" t="s">
        <v>22</v>
      </c>
    </row>
    <row r="260">
      <c r="B260" s="300" t="s">
        <v>22</v>
      </c>
    </row>
    <row r="261">
      <c r="B261" s="300" t="s">
        <v>22</v>
      </c>
    </row>
    <row r="262">
      <c r="B262" s="300" t="s">
        <v>22</v>
      </c>
    </row>
    <row r="263">
      <c r="B263" s="300" t="s">
        <v>22</v>
      </c>
    </row>
    <row r="264">
      <c r="B264" s="300" t="s">
        <v>22</v>
      </c>
    </row>
    <row r="265">
      <c r="B265" s="300" t="s">
        <v>22</v>
      </c>
    </row>
    <row r="266">
      <c r="B266" s="300" t="s">
        <v>22</v>
      </c>
    </row>
    <row r="267">
      <c r="B267" s="300" t="s">
        <v>22</v>
      </c>
    </row>
    <row r="268">
      <c r="B268" s="300" t="s">
        <v>22</v>
      </c>
    </row>
    <row r="269">
      <c r="B269" s="300" t="s">
        <v>22</v>
      </c>
    </row>
    <row r="270">
      <c r="B270" s="300" t="s">
        <v>22</v>
      </c>
    </row>
    <row r="271">
      <c r="B271" s="300" t="s">
        <v>22</v>
      </c>
    </row>
    <row r="272">
      <c r="B272" s="300" t="s">
        <v>22</v>
      </c>
    </row>
    <row r="273">
      <c r="B273" s="300" t="s">
        <v>22</v>
      </c>
    </row>
    <row r="274">
      <c r="B274" s="300" t="s">
        <v>22</v>
      </c>
    </row>
    <row r="275">
      <c r="B275" s="300" t="s">
        <v>22</v>
      </c>
    </row>
    <row r="276">
      <c r="B276" s="300" t="s">
        <v>22</v>
      </c>
    </row>
    <row r="277">
      <c r="B277" s="300" t="s">
        <v>22</v>
      </c>
    </row>
    <row r="278">
      <c r="B278" s="300" t="s">
        <v>22</v>
      </c>
    </row>
    <row r="279">
      <c r="B279" s="300" t="s">
        <v>22</v>
      </c>
    </row>
    <row r="280">
      <c r="B280" s="300" t="s">
        <v>22</v>
      </c>
    </row>
    <row r="281">
      <c r="B281" s="300" t="s">
        <v>22</v>
      </c>
    </row>
    <row r="282">
      <c r="B282" s="300" t="s">
        <v>22</v>
      </c>
    </row>
    <row r="283">
      <c r="B283" s="300" t="s">
        <v>22</v>
      </c>
    </row>
    <row r="284">
      <c r="B284" s="300" t="s">
        <v>22</v>
      </c>
    </row>
    <row r="285">
      <c r="B285" s="300" t="s">
        <v>22</v>
      </c>
    </row>
    <row r="286">
      <c r="B286" s="300" t="s">
        <v>22</v>
      </c>
    </row>
    <row r="287">
      <c r="B287" s="300" t="s">
        <v>22</v>
      </c>
    </row>
    <row r="288">
      <c r="B288" s="300" t="s">
        <v>22</v>
      </c>
    </row>
    <row r="289">
      <c r="B289" s="300" t="s">
        <v>22</v>
      </c>
    </row>
    <row r="290">
      <c r="B290" s="300" t="s">
        <v>22</v>
      </c>
    </row>
    <row r="291">
      <c r="B291" s="300" t="s">
        <v>22</v>
      </c>
    </row>
    <row r="292">
      <c r="B292" s="300" t="s">
        <v>22</v>
      </c>
    </row>
    <row r="293">
      <c r="B293" s="300" t="s">
        <v>22</v>
      </c>
    </row>
    <row r="294">
      <c r="B294" s="300" t="s">
        <v>22</v>
      </c>
    </row>
    <row r="295">
      <c r="B295" s="300" t="s">
        <v>22</v>
      </c>
    </row>
    <row r="296">
      <c r="B296" s="300" t="s">
        <v>22</v>
      </c>
    </row>
    <row r="297">
      <c r="B297" s="300" t="s">
        <v>22</v>
      </c>
    </row>
    <row r="298">
      <c r="B298" s="300" t="s">
        <v>22</v>
      </c>
    </row>
    <row r="299">
      <c r="B299" s="300" t="s">
        <v>22</v>
      </c>
    </row>
    <row r="300">
      <c r="B300" s="300" t="s">
        <v>22</v>
      </c>
    </row>
    <row r="301">
      <c r="B301" s="300" t="s">
        <v>22</v>
      </c>
    </row>
    <row r="302">
      <c r="B302" s="300" t="s">
        <v>22</v>
      </c>
    </row>
    <row r="303">
      <c r="B303" s="300" t="s">
        <v>22</v>
      </c>
    </row>
    <row r="304">
      <c r="B304" s="300" t="s">
        <v>22</v>
      </c>
    </row>
    <row r="305">
      <c r="B305" s="300" t="s">
        <v>22</v>
      </c>
    </row>
    <row r="306">
      <c r="B306" s="300" t="s">
        <v>22</v>
      </c>
    </row>
    <row r="307">
      <c r="B307" s="300" t="s">
        <v>22</v>
      </c>
    </row>
    <row r="308">
      <c r="B308" s="300" t="s">
        <v>22</v>
      </c>
    </row>
    <row r="309">
      <c r="B309" s="300" t="s">
        <v>22</v>
      </c>
    </row>
    <row r="310">
      <c r="B310" s="300" t="s">
        <v>22</v>
      </c>
    </row>
    <row r="311">
      <c r="B311" s="300" t="s">
        <v>22</v>
      </c>
    </row>
    <row r="312">
      <c r="B312" s="300" t="s">
        <v>22</v>
      </c>
    </row>
    <row r="313">
      <c r="B313" s="300" t="s">
        <v>22</v>
      </c>
    </row>
    <row r="314">
      <c r="B314" s="300" t="s">
        <v>22</v>
      </c>
    </row>
    <row r="315">
      <c r="B315" s="300" t="s">
        <v>22</v>
      </c>
    </row>
    <row r="316">
      <c r="B316" s="300" t="s">
        <v>22</v>
      </c>
    </row>
    <row r="317">
      <c r="B317" s="300" t="s">
        <v>22</v>
      </c>
    </row>
    <row r="318">
      <c r="B318" s="300" t="s">
        <v>22</v>
      </c>
    </row>
    <row r="319">
      <c r="B319" s="300" t="s">
        <v>22</v>
      </c>
    </row>
    <row r="320">
      <c r="B320" s="300" t="s">
        <v>22</v>
      </c>
    </row>
    <row r="321">
      <c r="B321" s="300" t="s">
        <v>22</v>
      </c>
    </row>
    <row r="322">
      <c r="B322" s="300" t="s">
        <v>22</v>
      </c>
    </row>
    <row r="323">
      <c r="B323" s="300" t="s">
        <v>22</v>
      </c>
    </row>
    <row r="324">
      <c r="B324" s="300" t="s">
        <v>22</v>
      </c>
    </row>
    <row r="325">
      <c r="B325" s="300" t="s">
        <v>22</v>
      </c>
    </row>
    <row r="326">
      <c r="B326" s="300" t="s">
        <v>22</v>
      </c>
    </row>
    <row r="327">
      <c r="B327" s="300" t="s">
        <v>22</v>
      </c>
    </row>
    <row r="328">
      <c r="B328" s="300" t="s">
        <v>22</v>
      </c>
    </row>
    <row r="329">
      <c r="B329" s="300" t="s">
        <v>22</v>
      </c>
    </row>
    <row r="330">
      <c r="B330" s="300" t="s">
        <v>22</v>
      </c>
    </row>
    <row r="331">
      <c r="B331" s="300" t="s">
        <v>22</v>
      </c>
    </row>
    <row r="332">
      <c r="B332" s="300" t="s">
        <v>22</v>
      </c>
    </row>
    <row r="333">
      <c r="B333" s="300" t="s">
        <v>22</v>
      </c>
    </row>
    <row r="334">
      <c r="B334" s="300" t="s">
        <v>22</v>
      </c>
    </row>
    <row r="335">
      <c r="B335" s="300" t="s">
        <v>22</v>
      </c>
    </row>
    <row r="336">
      <c r="B336" s="300" t="s">
        <v>22</v>
      </c>
    </row>
    <row r="337">
      <c r="B337" s="300" t="s">
        <v>22</v>
      </c>
    </row>
    <row r="338">
      <c r="B338" s="300" t="s">
        <v>22</v>
      </c>
    </row>
    <row r="339">
      <c r="B339" s="300" t="s">
        <v>22</v>
      </c>
    </row>
    <row r="340">
      <c r="B340" s="300" t="s">
        <v>22</v>
      </c>
    </row>
    <row r="341">
      <c r="B341" s="300" t="s">
        <v>22</v>
      </c>
    </row>
    <row r="342">
      <c r="B342" s="300" t="s">
        <v>22</v>
      </c>
    </row>
    <row r="343">
      <c r="B343" s="300" t="s">
        <v>22</v>
      </c>
    </row>
    <row r="344">
      <c r="B344" s="300" t="s">
        <v>22</v>
      </c>
    </row>
    <row r="345">
      <c r="B345" s="300" t="s">
        <v>22</v>
      </c>
    </row>
    <row r="346">
      <c r="B346" s="300" t="s">
        <v>22</v>
      </c>
    </row>
    <row r="347">
      <c r="B347" s="300" t="s">
        <v>22</v>
      </c>
    </row>
    <row r="348">
      <c r="B348" s="300" t="s">
        <v>22</v>
      </c>
    </row>
    <row r="349">
      <c r="B349" s="300" t="s">
        <v>22</v>
      </c>
    </row>
    <row r="350">
      <c r="B350" s="300" t="s">
        <v>22</v>
      </c>
    </row>
    <row r="351">
      <c r="B351" s="300" t="s">
        <v>22</v>
      </c>
    </row>
    <row r="352">
      <c r="B352" s="300" t="s">
        <v>22</v>
      </c>
    </row>
    <row r="353">
      <c r="B353" s="300" t="s">
        <v>22</v>
      </c>
    </row>
    <row r="354">
      <c r="B354" s="300" t="s">
        <v>22</v>
      </c>
    </row>
    <row r="355">
      <c r="B355" s="300" t="s">
        <v>22</v>
      </c>
    </row>
    <row r="356">
      <c r="B356" s="300" t="s">
        <v>22</v>
      </c>
    </row>
    <row r="357">
      <c r="B357" s="300" t="s">
        <v>22</v>
      </c>
    </row>
    <row r="358">
      <c r="B358" s="300" t="s">
        <v>22</v>
      </c>
    </row>
    <row r="359">
      <c r="B359" s="300" t="s">
        <v>22</v>
      </c>
    </row>
    <row r="360">
      <c r="B360" s="300" t="s">
        <v>22</v>
      </c>
    </row>
    <row r="361">
      <c r="B361" s="300" t="s">
        <v>22</v>
      </c>
    </row>
    <row r="362">
      <c r="B362" s="300" t="s">
        <v>22</v>
      </c>
    </row>
    <row r="363">
      <c r="B363" s="300" t="s">
        <v>22</v>
      </c>
    </row>
    <row r="364">
      <c r="B364" s="300" t="s">
        <v>22</v>
      </c>
    </row>
    <row r="365">
      <c r="B365" s="300" t="s">
        <v>22</v>
      </c>
    </row>
    <row r="366">
      <c r="B366" s="300" t="s">
        <v>22</v>
      </c>
    </row>
    <row r="367">
      <c r="B367" s="300" t="s">
        <v>22</v>
      </c>
    </row>
    <row r="368">
      <c r="B368" s="300" t="s">
        <v>22</v>
      </c>
    </row>
    <row r="369">
      <c r="B369" s="300" t="s">
        <v>22</v>
      </c>
    </row>
    <row r="370">
      <c r="B370" s="300" t="s">
        <v>22</v>
      </c>
    </row>
    <row r="371">
      <c r="B371" s="300" t="s">
        <v>22</v>
      </c>
    </row>
    <row r="372">
      <c r="B372" s="300" t="s">
        <v>22</v>
      </c>
    </row>
    <row r="373">
      <c r="B373" s="300" t="s">
        <v>22</v>
      </c>
    </row>
    <row r="374">
      <c r="B374" s="300" t="s">
        <v>22</v>
      </c>
    </row>
    <row r="375">
      <c r="B375" s="300" t="s">
        <v>22</v>
      </c>
    </row>
    <row r="376">
      <c r="B376" s="300" t="s">
        <v>22</v>
      </c>
    </row>
    <row r="377">
      <c r="B377" s="300" t="s">
        <v>22</v>
      </c>
    </row>
    <row r="378">
      <c r="B378" s="300" t="s">
        <v>22</v>
      </c>
    </row>
    <row r="379">
      <c r="B379" s="300" t="s">
        <v>22</v>
      </c>
    </row>
    <row r="380">
      <c r="B380" s="300" t="s">
        <v>22</v>
      </c>
    </row>
    <row r="381">
      <c r="B381" s="300" t="s">
        <v>22</v>
      </c>
    </row>
    <row r="382">
      <c r="B382" s="300" t="s">
        <v>22</v>
      </c>
    </row>
    <row r="383">
      <c r="B383" s="300" t="s">
        <v>22</v>
      </c>
    </row>
    <row r="384">
      <c r="B384" s="300" t="s">
        <v>22</v>
      </c>
    </row>
    <row r="385">
      <c r="B385" s="300" t="s">
        <v>22</v>
      </c>
    </row>
    <row r="386">
      <c r="B386" s="300" t="s">
        <v>22</v>
      </c>
    </row>
    <row r="387">
      <c r="B387" s="300" t="s">
        <v>22</v>
      </c>
    </row>
    <row r="388">
      <c r="B388" s="300" t="s">
        <v>22</v>
      </c>
    </row>
    <row r="389">
      <c r="B389" s="300" t="s">
        <v>22</v>
      </c>
    </row>
    <row r="390">
      <c r="B390" s="300" t="s">
        <v>22</v>
      </c>
    </row>
    <row r="391">
      <c r="B391" s="300" t="s">
        <v>22</v>
      </c>
    </row>
    <row r="392">
      <c r="B392" s="300" t="s">
        <v>22</v>
      </c>
    </row>
    <row r="393">
      <c r="B393" s="300" t="s">
        <v>22</v>
      </c>
    </row>
    <row r="394">
      <c r="B394" s="300" t="s">
        <v>22</v>
      </c>
    </row>
    <row r="395">
      <c r="B395" s="300" t="s">
        <v>22</v>
      </c>
    </row>
    <row r="396">
      <c r="B396" s="300" t="s">
        <v>22</v>
      </c>
    </row>
    <row r="397">
      <c r="B397" s="300" t="s">
        <v>22</v>
      </c>
    </row>
    <row r="398">
      <c r="B398" s="300" t="s">
        <v>22</v>
      </c>
    </row>
    <row r="399">
      <c r="B399" s="300" t="s">
        <v>22</v>
      </c>
    </row>
    <row r="400">
      <c r="B400" s="300" t="s">
        <v>22</v>
      </c>
    </row>
    <row r="401">
      <c r="B401" s="300" t="s">
        <v>22</v>
      </c>
    </row>
    <row r="402">
      <c r="B402" s="300" t="s">
        <v>22</v>
      </c>
    </row>
    <row r="403">
      <c r="B403" s="300" t="s">
        <v>22</v>
      </c>
    </row>
    <row r="404">
      <c r="B404" s="300" t="s">
        <v>22</v>
      </c>
    </row>
    <row r="405">
      <c r="B405" s="300" t="s">
        <v>22</v>
      </c>
    </row>
    <row r="406">
      <c r="B406" s="300" t="s">
        <v>22</v>
      </c>
    </row>
    <row r="407">
      <c r="B407" s="300" t="s">
        <v>22</v>
      </c>
    </row>
    <row r="408">
      <c r="B408" s="300" t="s">
        <v>22</v>
      </c>
    </row>
    <row r="409">
      <c r="B409" s="300" t="s">
        <v>22</v>
      </c>
    </row>
    <row r="410">
      <c r="B410" s="300" t="s">
        <v>22</v>
      </c>
    </row>
    <row r="411">
      <c r="B411" s="300" t="s">
        <v>22</v>
      </c>
    </row>
    <row r="412">
      <c r="B412" s="300" t="s">
        <v>22</v>
      </c>
    </row>
    <row r="413">
      <c r="B413" s="300" t="s">
        <v>22</v>
      </c>
    </row>
    <row r="414">
      <c r="B414" s="300" t="s">
        <v>22</v>
      </c>
    </row>
    <row r="415">
      <c r="B415" s="300" t="s">
        <v>22</v>
      </c>
    </row>
    <row r="416">
      <c r="B416" s="300" t="s">
        <v>22</v>
      </c>
    </row>
    <row r="417">
      <c r="B417" s="300" t="s">
        <v>22</v>
      </c>
    </row>
    <row r="418">
      <c r="B418" s="300" t="s">
        <v>22</v>
      </c>
    </row>
    <row r="419">
      <c r="B419" s="300" t="s">
        <v>22</v>
      </c>
    </row>
    <row r="420">
      <c r="B420" s="300" t="s">
        <v>22</v>
      </c>
    </row>
    <row r="421">
      <c r="B421" s="300" t="s">
        <v>22</v>
      </c>
    </row>
    <row r="422">
      <c r="B422" s="300" t="s">
        <v>22</v>
      </c>
    </row>
    <row r="423">
      <c r="B423" s="300" t="s">
        <v>22</v>
      </c>
    </row>
    <row r="424">
      <c r="B424" s="300" t="s">
        <v>22</v>
      </c>
    </row>
    <row r="425">
      <c r="B425" s="300" t="s">
        <v>22</v>
      </c>
    </row>
    <row r="426">
      <c r="B426" s="300" t="s">
        <v>22</v>
      </c>
    </row>
    <row r="427">
      <c r="B427" s="300" t="s">
        <v>22</v>
      </c>
    </row>
    <row r="428">
      <c r="B428" s="300" t="s">
        <v>22</v>
      </c>
    </row>
    <row r="429">
      <c r="B429" s="300" t="s">
        <v>22</v>
      </c>
    </row>
    <row r="430">
      <c r="B430" s="300" t="s">
        <v>22</v>
      </c>
    </row>
    <row r="431">
      <c r="B431" s="300" t="s">
        <v>22</v>
      </c>
    </row>
    <row r="432">
      <c r="B432" s="300" t="s">
        <v>22</v>
      </c>
    </row>
    <row r="433">
      <c r="B433" s="300" t="s">
        <v>22</v>
      </c>
    </row>
    <row r="434">
      <c r="B434" s="300" t="s">
        <v>22</v>
      </c>
    </row>
    <row r="435">
      <c r="B435" s="300" t="s">
        <v>22</v>
      </c>
    </row>
    <row r="436">
      <c r="B436" s="300" t="s">
        <v>22</v>
      </c>
    </row>
    <row r="437">
      <c r="B437" s="300" t="s">
        <v>22</v>
      </c>
    </row>
    <row r="438">
      <c r="B438" s="300" t="s">
        <v>22</v>
      </c>
    </row>
    <row r="439">
      <c r="B439" s="300" t="s">
        <v>22</v>
      </c>
    </row>
    <row r="440">
      <c r="B440" s="300" t="s">
        <v>22</v>
      </c>
    </row>
    <row r="441">
      <c r="B441" s="300" t="s">
        <v>22</v>
      </c>
    </row>
    <row r="442">
      <c r="B442" s="300" t="s">
        <v>22</v>
      </c>
    </row>
    <row r="443">
      <c r="B443" s="300" t="s">
        <v>22</v>
      </c>
    </row>
    <row r="444">
      <c r="B444" s="300" t="s">
        <v>22</v>
      </c>
    </row>
    <row r="445">
      <c r="B445" s="300" t="s">
        <v>22</v>
      </c>
    </row>
    <row r="446">
      <c r="B446" s="300" t="s">
        <v>22</v>
      </c>
    </row>
    <row r="447">
      <c r="B447" s="300" t="s">
        <v>22</v>
      </c>
    </row>
    <row r="448">
      <c r="B448" s="300" t="s">
        <v>22</v>
      </c>
    </row>
    <row r="449">
      <c r="B449" s="300" t="s">
        <v>22</v>
      </c>
    </row>
    <row r="450">
      <c r="B450" s="300" t="s">
        <v>22</v>
      </c>
    </row>
    <row r="451">
      <c r="B451" s="300" t="s">
        <v>22</v>
      </c>
    </row>
    <row r="452">
      <c r="B452" s="300" t="s">
        <v>22</v>
      </c>
    </row>
    <row r="453">
      <c r="B453" s="300" t="s">
        <v>22</v>
      </c>
    </row>
    <row r="454">
      <c r="B454" s="300" t="s">
        <v>22</v>
      </c>
    </row>
    <row r="455">
      <c r="B455" s="300" t="s">
        <v>22</v>
      </c>
    </row>
    <row r="456">
      <c r="B456" s="300" t="s">
        <v>22</v>
      </c>
    </row>
    <row r="457">
      <c r="B457" s="300" t="s">
        <v>22</v>
      </c>
    </row>
    <row r="458">
      <c r="B458" s="300" t="s">
        <v>22</v>
      </c>
    </row>
    <row r="459">
      <c r="B459" s="300" t="s">
        <v>22</v>
      </c>
    </row>
    <row r="460">
      <c r="B460" s="300" t="s">
        <v>22</v>
      </c>
    </row>
    <row r="461">
      <c r="B461" s="300" t="s">
        <v>22</v>
      </c>
    </row>
    <row r="462">
      <c r="B462" s="300" t="s">
        <v>22</v>
      </c>
    </row>
    <row r="463">
      <c r="B463" s="300" t="s">
        <v>22</v>
      </c>
    </row>
    <row r="464">
      <c r="B464" s="300" t="s">
        <v>22</v>
      </c>
    </row>
    <row r="465">
      <c r="B465" s="300" t="s">
        <v>22</v>
      </c>
    </row>
    <row r="466">
      <c r="B466" s="300" t="s">
        <v>22</v>
      </c>
    </row>
    <row r="467">
      <c r="B467" s="300" t="s">
        <v>22</v>
      </c>
    </row>
    <row r="468">
      <c r="B468" s="300" t="s">
        <v>22</v>
      </c>
    </row>
    <row r="469">
      <c r="B469" s="300" t="s">
        <v>22</v>
      </c>
    </row>
    <row r="470">
      <c r="B470" s="300" t="s">
        <v>22</v>
      </c>
    </row>
    <row r="471">
      <c r="B471" s="300" t="s">
        <v>22</v>
      </c>
    </row>
    <row r="472">
      <c r="B472" s="300" t="s">
        <v>22</v>
      </c>
    </row>
    <row r="473">
      <c r="B473" s="300" t="s">
        <v>22</v>
      </c>
    </row>
    <row r="474">
      <c r="B474" s="300" t="s">
        <v>22</v>
      </c>
    </row>
    <row r="475">
      <c r="B475" s="300" t="s">
        <v>22</v>
      </c>
    </row>
    <row r="476">
      <c r="B476" s="300" t="s">
        <v>22</v>
      </c>
    </row>
    <row r="477">
      <c r="B477" s="300" t="s">
        <v>22</v>
      </c>
    </row>
    <row r="478">
      <c r="B478" s="300" t="s">
        <v>22</v>
      </c>
    </row>
    <row r="479">
      <c r="B479" s="300" t="s">
        <v>22</v>
      </c>
    </row>
    <row r="480">
      <c r="B480" s="300" t="s">
        <v>22</v>
      </c>
    </row>
    <row r="481">
      <c r="B481" s="300" t="s">
        <v>22</v>
      </c>
    </row>
    <row r="482">
      <c r="B482" s="300" t="s">
        <v>22</v>
      </c>
    </row>
    <row r="483">
      <c r="B483" s="300" t="s">
        <v>22</v>
      </c>
    </row>
    <row r="484">
      <c r="B484" s="300" t="s">
        <v>22</v>
      </c>
    </row>
    <row r="485">
      <c r="B485" s="300" t="s">
        <v>22</v>
      </c>
    </row>
    <row r="486">
      <c r="B486" s="300" t="s">
        <v>22</v>
      </c>
    </row>
    <row r="487">
      <c r="B487" s="300" t="s">
        <v>22</v>
      </c>
    </row>
    <row r="488">
      <c r="B488" s="300" t="s">
        <v>22</v>
      </c>
    </row>
    <row r="489">
      <c r="B489" s="300" t="s">
        <v>22</v>
      </c>
    </row>
    <row r="490">
      <c r="B490" s="300" t="s">
        <v>22</v>
      </c>
    </row>
    <row r="491">
      <c r="B491" s="300" t="s">
        <v>22</v>
      </c>
    </row>
    <row r="492">
      <c r="B492" s="300" t="s">
        <v>22</v>
      </c>
    </row>
    <row r="493">
      <c r="B493" s="300" t="s">
        <v>22</v>
      </c>
    </row>
    <row r="494">
      <c r="B494" s="300" t="s">
        <v>22</v>
      </c>
    </row>
    <row r="495">
      <c r="B495" s="300" t="s">
        <v>22</v>
      </c>
    </row>
    <row r="496">
      <c r="B496" s="300" t="s">
        <v>22</v>
      </c>
    </row>
    <row r="497">
      <c r="B497" s="300" t="s">
        <v>22</v>
      </c>
    </row>
    <row r="498">
      <c r="B498" s="300" t="s">
        <v>22</v>
      </c>
    </row>
    <row r="499">
      <c r="B499" s="300" t="s">
        <v>22</v>
      </c>
    </row>
    <row r="500">
      <c r="B500" s="300" t="s">
        <v>22</v>
      </c>
    </row>
    <row r="501">
      <c r="B501" s="300" t="s">
        <v>22</v>
      </c>
    </row>
    <row r="502">
      <c r="B502" s="300" t="s">
        <v>22</v>
      </c>
    </row>
    <row r="503">
      <c r="B503" s="300" t="s">
        <v>22</v>
      </c>
    </row>
    <row r="504">
      <c r="B504" s="300" t="s">
        <v>22</v>
      </c>
    </row>
    <row r="505">
      <c r="B505" s="300" t="s">
        <v>22</v>
      </c>
    </row>
    <row r="506">
      <c r="B506" s="300" t="s">
        <v>22</v>
      </c>
    </row>
    <row r="507">
      <c r="B507" s="300" t="s">
        <v>22</v>
      </c>
    </row>
    <row r="508">
      <c r="B508" s="300" t="s">
        <v>22</v>
      </c>
    </row>
    <row r="509">
      <c r="B509" s="300" t="s">
        <v>22</v>
      </c>
    </row>
    <row r="510">
      <c r="B510" s="300" t="s">
        <v>22</v>
      </c>
    </row>
    <row r="511">
      <c r="B511" s="300" t="s">
        <v>22</v>
      </c>
    </row>
    <row r="512">
      <c r="B512" s="300" t="s">
        <v>22</v>
      </c>
    </row>
    <row r="513">
      <c r="B513" s="300" t="s">
        <v>22</v>
      </c>
    </row>
    <row r="514">
      <c r="B514" s="300" t="s">
        <v>22</v>
      </c>
    </row>
    <row r="515">
      <c r="B515" s="300" t="s">
        <v>22</v>
      </c>
    </row>
    <row r="516">
      <c r="B516" s="300" t="s">
        <v>22</v>
      </c>
    </row>
    <row r="517">
      <c r="B517" s="300" t="s">
        <v>22</v>
      </c>
    </row>
    <row r="518">
      <c r="B518" s="300" t="s">
        <v>22</v>
      </c>
    </row>
    <row r="519">
      <c r="B519" s="300" t="s">
        <v>22</v>
      </c>
    </row>
    <row r="520">
      <c r="B520" s="300" t="s">
        <v>22</v>
      </c>
    </row>
    <row r="521">
      <c r="B521" s="300" t="s">
        <v>22</v>
      </c>
    </row>
    <row r="522">
      <c r="B522" s="300" t="s">
        <v>22</v>
      </c>
    </row>
    <row r="523">
      <c r="B523" s="300" t="s">
        <v>22</v>
      </c>
    </row>
    <row r="524">
      <c r="B524" s="300" t="s">
        <v>22</v>
      </c>
    </row>
    <row r="525">
      <c r="B525" s="300" t="s">
        <v>22</v>
      </c>
    </row>
    <row r="526">
      <c r="B526" s="300" t="s">
        <v>22</v>
      </c>
    </row>
    <row r="527">
      <c r="B527" s="300" t="s">
        <v>22</v>
      </c>
    </row>
    <row r="528">
      <c r="B528" s="300" t="s">
        <v>22</v>
      </c>
    </row>
    <row r="529">
      <c r="B529" s="300" t="s">
        <v>22</v>
      </c>
    </row>
    <row r="530">
      <c r="B530" s="300" t="s">
        <v>22</v>
      </c>
    </row>
    <row r="531">
      <c r="B531" s="300" t="s">
        <v>22</v>
      </c>
    </row>
    <row r="532">
      <c r="B532" s="300" t="s">
        <v>22</v>
      </c>
    </row>
    <row r="533">
      <c r="B533" s="300" t="s">
        <v>22</v>
      </c>
    </row>
    <row r="534">
      <c r="B534" s="300" t="s">
        <v>22</v>
      </c>
    </row>
    <row r="535">
      <c r="B535" s="300" t="s">
        <v>22</v>
      </c>
    </row>
    <row r="536">
      <c r="B536" s="300" t="s">
        <v>22</v>
      </c>
    </row>
    <row r="537">
      <c r="B537" s="300" t="s">
        <v>22</v>
      </c>
    </row>
    <row r="538">
      <c r="B538" s="300" t="s">
        <v>22</v>
      </c>
    </row>
    <row r="539">
      <c r="B539" s="300" t="s">
        <v>22</v>
      </c>
    </row>
    <row r="540">
      <c r="B540" s="300" t="s">
        <v>22</v>
      </c>
    </row>
    <row r="541">
      <c r="B541" s="300" t="s">
        <v>22</v>
      </c>
    </row>
    <row r="542">
      <c r="B542" s="300" t="s">
        <v>22</v>
      </c>
    </row>
    <row r="543">
      <c r="B543" s="300" t="s">
        <v>22</v>
      </c>
    </row>
    <row r="544">
      <c r="B544" s="300" t="s">
        <v>22</v>
      </c>
    </row>
    <row r="545">
      <c r="B545" s="300" t="s">
        <v>22</v>
      </c>
    </row>
    <row r="546">
      <c r="B546" s="300" t="s">
        <v>22</v>
      </c>
    </row>
    <row r="547">
      <c r="B547" s="300" t="s">
        <v>22</v>
      </c>
    </row>
    <row r="548">
      <c r="B548" s="300" t="s">
        <v>22</v>
      </c>
    </row>
    <row r="549">
      <c r="B549" s="300" t="s">
        <v>22</v>
      </c>
    </row>
    <row r="550">
      <c r="B550" s="300" t="s">
        <v>22</v>
      </c>
    </row>
    <row r="551">
      <c r="B551" s="300" t="s">
        <v>22</v>
      </c>
    </row>
    <row r="552">
      <c r="B552" s="300" t="s">
        <v>22</v>
      </c>
    </row>
    <row r="553">
      <c r="B553" s="300" t="s">
        <v>22</v>
      </c>
    </row>
    <row r="554">
      <c r="B554" s="300" t="s">
        <v>22</v>
      </c>
    </row>
    <row r="555">
      <c r="B555" s="300" t="s">
        <v>22</v>
      </c>
    </row>
    <row r="556">
      <c r="B556" s="300" t="s">
        <v>22</v>
      </c>
    </row>
    <row r="557">
      <c r="B557" s="300" t="s">
        <v>22</v>
      </c>
    </row>
    <row r="558">
      <c r="B558" s="300" t="s">
        <v>22</v>
      </c>
    </row>
    <row r="559">
      <c r="B559" s="300" t="s">
        <v>22</v>
      </c>
    </row>
    <row r="560">
      <c r="B560" s="300" t="s">
        <v>22</v>
      </c>
    </row>
    <row r="561">
      <c r="B561" s="300" t="s">
        <v>22</v>
      </c>
    </row>
    <row r="562">
      <c r="B562" s="300" t="s">
        <v>22</v>
      </c>
    </row>
    <row r="563">
      <c r="B563" s="300" t="s">
        <v>22</v>
      </c>
    </row>
    <row r="564">
      <c r="B564" s="300" t="s">
        <v>22</v>
      </c>
    </row>
    <row r="565">
      <c r="B565" s="300" t="s">
        <v>22</v>
      </c>
    </row>
    <row r="566">
      <c r="B566" s="300" t="s">
        <v>22</v>
      </c>
    </row>
    <row r="567">
      <c r="B567" s="300" t="s">
        <v>22</v>
      </c>
    </row>
    <row r="568">
      <c r="B568" s="300" t="s">
        <v>22</v>
      </c>
    </row>
    <row r="569">
      <c r="B569" s="300" t="s">
        <v>22</v>
      </c>
    </row>
    <row r="570">
      <c r="B570" s="300" t="s">
        <v>22</v>
      </c>
    </row>
    <row r="571">
      <c r="B571" s="300" t="s">
        <v>22</v>
      </c>
    </row>
    <row r="572">
      <c r="B572" s="300" t="s">
        <v>22</v>
      </c>
    </row>
    <row r="573">
      <c r="B573" s="300" t="s">
        <v>22</v>
      </c>
    </row>
    <row r="574">
      <c r="B574" s="300" t="s">
        <v>22</v>
      </c>
    </row>
    <row r="575">
      <c r="B575" s="300" t="s">
        <v>22</v>
      </c>
    </row>
    <row r="576">
      <c r="B576" s="300" t="s">
        <v>22</v>
      </c>
    </row>
    <row r="577">
      <c r="B577" s="300" t="s">
        <v>22</v>
      </c>
    </row>
    <row r="578">
      <c r="B578" s="300" t="s">
        <v>22</v>
      </c>
    </row>
    <row r="579">
      <c r="B579" s="300" t="s">
        <v>22</v>
      </c>
    </row>
    <row r="580">
      <c r="B580" s="300" t="s">
        <v>22</v>
      </c>
    </row>
    <row r="581">
      <c r="B581" s="300" t="s">
        <v>22</v>
      </c>
    </row>
    <row r="582">
      <c r="B582" s="300" t="s">
        <v>22</v>
      </c>
    </row>
    <row r="583">
      <c r="B583" s="300" t="s">
        <v>22</v>
      </c>
    </row>
    <row r="584">
      <c r="B584" s="300" t="s">
        <v>22</v>
      </c>
    </row>
    <row r="585">
      <c r="B585" s="300" t="s">
        <v>22</v>
      </c>
    </row>
    <row r="586">
      <c r="B586" s="300" t="s">
        <v>22</v>
      </c>
    </row>
    <row r="587">
      <c r="B587" s="300" t="s">
        <v>22</v>
      </c>
    </row>
    <row r="588">
      <c r="B588" s="300" t="s">
        <v>22</v>
      </c>
    </row>
    <row r="589">
      <c r="B589" s="300" t="s">
        <v>22</v>
      </c>
    </row>
    <row r="590">
      <c r="B590" s="300" t="s">
        <v>22</v>
      </c>
    </row>
    <row r="591">
      <c r="B591" s="300" t="s">
        <v>22</v>
      </c>
    </row>
    <row r="592">
      <c r="B592" s="300" t="s">
        <v>22</v>
      </c>
    </row>
    <row r="593">
      <c r="B593" s="300" t="s">
        <v>22</v>
      </c>
    </row>
    <row r="594">
      <c r="B594" s="300" t="s">
        <v>22</v>
      </c>
    </row>
    <row r="595">
      <c r="B595" s="300" t="s">
        <v>22</v>
      </c>
    </row>
    <row r="596">
      <c r="B596" s="300" t="s">
        <v>22</v>
      </c>
    </row>
    <row r="597">
      <c r="B597" s="300" t="s">
        <v>22</v>
      </c>
    </row>
    <row r="598">
      <c r="B598" s="300" t="s">
        <v>22</v>
      </c>
    </row>
    <row r="599">
      <c r="B599" s="300" t="s">
        <v>22</v>
      </c>
    </row>
    <row r="600">
      <c r="B600" s="300" t="s">
        <v>22</v>
      </c>
    </row>
    <row r="601">
      <c r="B601" s="300" t="s">
        <v>22</v>
      </c>
    </row>
    <row r="602">
      <c r="B602" s="300" t="s">
        <v>22</v>
      </c>
    </row>
    <row r="603">
      <c r="B603" s="300" t="s">
        <v>22</v>
      </c>
    </row>
    <row r="604">
      <c r="B604" s="300" t="s">
        <v>22</v>
      </c>
    </row>
    <row r="605">
      <c r="B605" s="300" t="s">
        <v>22</v>
      </c>
    </row>
    <row r="606">
      <c r="B606" s="300" t="s">
        <v>22</v>
      </c>
    </row>
    <row r="607">
      <c r="B607" s="300" t="s">
        <v>22</v>
      </c>
    </row>
    <row r="608">
      <c r="B608" s="300" t="s">
        <v>22</v>
      </c>
    </row>
    <row r="609">
      <c r="B609" s="300" t="s">
        <v>22</v>
      </c>
    </row>
    <row r="610">
      <c r="B610" s="300" t="s">
        <v>22</v>
      </c>
    </row>
    <row r="611">
      <c r="B611" s="300" t="s">
        <v>22</v>
      </c>
    </row>
    <row r="612">
      <c r="B612" s="300" t="s">
        <v>22</v>
      </c>
    </row>
    <row r="613">
      <c r="B613" s="300" t="s">
        <v>22</v>
      </c>
    </row>
    <row r="614">
      <c r="B614" s="300" t="s">
        <v>22</v>
      </c>
    </row>
    <row r="615">
      <c r="B615" s="300" t="s">
        <v>22</v>
      </c>
    </row>
    <row r="616">
      <c r="B616" s="300" t="s">
        <v>22</v>
      </c>
    </row>
    <row r="617">
      <c r="B617" s="300" t="s">
        <v>22</v>
      </c>
    </row>
    <row r="618">
      <c r="B618" s="300" t="s">
        <v>22</v>
      </c>
    </row>
    <row r="619">
      <c r="B619" s="300" t="s">
        <v>22</v>
      </c>
    </row>
    <row r="620">
      <c r="B620" s="300" t="s">
        <v>22</v>
      </c>
    </row>
    <row r="621">
      <c r="B621" s="300" t="s">
        <v>22</v>
      </c>
    </row>
    <row r="622">
      <c r="B622" s="300" t="s">
        <v>22</v>
      </c>
    </row>
    <row r="623">
      <c r="B623" s="300" t="s">
        <v>22</v>
      </c>
    </row>
    <row r="624">
      <c r="B624" s="300" t="s">
        <v>22</v>
      </c>
    </row>
    <row r="625">
      <c r="B625" s="300" t="s">
        <v>22</v>
      </c>
    </row>
    <row r="626">
      <c r="B626" s="300" t="s">
        <v>22</v>
      </c>
    </row>
    <row r="627">
      <c r="B627" s="300" t="s">
        <v>22</v>
      </c>
    </row>
    <row r="628">
      <c r="B628" s="300" t="s">
        <v>22</v>
      </c>
    </row>
    <row r="629">
      <c r="B629" s="300" t="s">
        <v>22</v>
      </c>
    </row>
    <row r="630">
      <c r="B630" s="300" t="s">
        <v>22</v>
      </c>
    </row>
    <row r="631">
      <c r="B631" s="300" t="s">
        <v>22</v>
      </c>
    </row>
    <row r="632">
      <c r="B632" s="300" t="s">
        <v>22</v>
      </c>
    </row>
    <row r="633">
      <c r="B633" s="300" t="s">
        <v>22</v>
      </c>
    </row>
    <row r="634">
      <c r="B634" s="300" t="s">
        <v>22</v>
      </c>
    </row>
    <row r="635">
      <c r="B635" s="300" t="s">
        <v>22</v>
      </c>
    </row>
    <row r="636">
      <c r="B636" s="300" t="s">
        <v>22</v>
      </c>
    </row>
    <row r="637">
      <c r="B637" s="300" t="s">
        <v>22</v>
      </c>
    </row>
    <row r="638">
      <c r="B638" s="300" t="s">
        <v>22</v>
      </c>
    </row>
    <row r="639">
      <c r="B639" s="300" t="s">
        <v>22</v>
      </c>
    </row>
    <row r="640">
      <c r="B640" s="300" t="s">
        <v>22</v>
      </c>
    </row>
    <row r="641">
      <c r="B641" s="300" t="s">
        <v>22</v>
      </c>
    </row>
    <row r="642">
      <c r="B642" s="300" t="s">
        <v>22</v>
      </c>
    </row>
    <row r="643">
      <c r="B643" s="300" t="s">
        <v>22</v>
      </c>
    </row>
    <row r="644">
      <c r="B644" s="300" t="s">
        <v>22</v>
      </c>
    </row>
    <row r="645">
      <c r="B645" s="300" t="s">
        <v>22</v>
      </c>
    </row>
    <row r="646">
      <c r="B646" s="300" t="s">
        <v>22</v>
      </c>
    </row>
    <row r="647">
      <c r="B647" s="300" t="s">
        <v>22</v>
      </c>
    </row>
    <row r="648">
      <c r="B648" s="300" t="s">
        <v>22</v>
      </c>
    </row>
    <row r="649">
      <c r="B649" s="300" t="s">
        <v>22</v>
      </c>
    </row>
    <row r="650">
      <c r="B650" s="300" t="s">
        <v>22</v>
      </c>
    </row>
    <row r="651">
      <c r="B651" s="300" t="s">
        <v>22</v>
      </c>
    </row>
    <row r="652">
      <c r="B652" s="300" t="s">
        <v>22</v>
      </c>
    </row>
    <row r="653">
      <c r="B653" s="300" t="s">
        <v>22</v>
      </c>
    </row>
    <row r="654">
      <c r="B654" s="300" t="s">
        <v>22</v>
      </c>
    </row>
    <row r="655">
      <c r="B655" s="300" t="s">
        <v>22</v>
      </c>
    </row>
    <row r="656">
      <c r="B656" s="300" t="s">
        <v>22</v>
      </c>
    </row>
    <row r="657">
      <c r="B657" s="300" t="s">
        <v>22</v>
      </c>
    </row>
    <row r="658">
      <c r="B658" s="300" t="s">
        <v>22</v>
      </c>
    </row>
    <row r="659">
      <c r="B659" s="300" t="s">
        <v>22</v>
      </c>
    </row>
    <row r="660">
      <c r="B660" s="300" t="s">
        <v>22</v>
      </c>
    </row>
    <row r="661">
      <c r="B661" s="300" t="s">
        <v>22</v>
      </c>
    </row>
    <row r="662">
      <c r="B662" s="300" t="s">
        <v>22</v>
      </c>
    </row>
    <row r="663">
      <c r="B663" s="300" t="s">
        <v>22</v>
      </c>
    </row>
    <row r="664">
      <c r="B664" s="300" t="s">
        <v>22</v>
      </c>
    </row>
    <row r="665">
      <c r="B665" s="300" t="s">
        <v>22</v>
      </c>
    </row>
    <row r="666">
      <c r="B666" s="300" t="s">
        <v>22</v>
      </c>
    </row>
    <row r="667">
      <c r="B667" s="300" t="s">
        <v>22</v>
      </c>
    </row>
    <row r="668">
      <c r="B668" s="300" t="s">
        <v>22</v>
      </c>
    </row>
    <row r="669">
      <c r="B669" s="300" t="s">
        <v>22</v>
      </c>
    </row>
    <row r="670">
      <c r="B670" s="300" t="s">
        <v>22</v>
      </c>
    </row>
    <row r="671">
      <c r="B671" s="300" t="s">
        <v>22</v>
      </c>
    </row>
    <row r="672">
      <c r="B672" s="300" t="s">
        <v>22</v>
      </c>
    </row>
    <row r="673">
      <c r="B673" s="300" t="s">
        <v>22</v>
      </c>
    </row>
    <row r="674">
      <c r="B674" s="300" t="s">
        <v>22</v>
      </c>
    </row>
    <row r="675">
      <c r="B675" s="300" t="s">
        <v>22</v>
      </c>
    </row>
    <row r="676">
      <c r="B676" s="300" t="s">
        <v>22</v>
      </c>
    </row>
    <row r="677">
      <c r="B677" s="300" t="s">
        <v>22</v>
      </c>
    </row>
    <row r="678">
      <c r="B678" s="300" t="s">
        <v>22</v>
      </c>
    </row>
    <row r="679">
      <c r="B679" s="300" t="s">
        <v>22</v>
      </c>
    </row>
    <row r="680">
      <c r="B680" s="300" t="s">
        <v>22</v>
      </c>
    </row>
    <row r="681">
      <c r="B681" s="300" t="s">
        <v>22</v>
      </c>
    </row>
    <row r="682">
      <c r="B682" s="300" t="s">
        <v>22</v>
      </c>
    </row>
    <row r="683">
      <c r="B683" s="300" t="s">
        <v>22</v>
      </c>
    </row>
    <row r="684">
      <c r="B684" s="300" t="s">
        <v>22</v>
      </c>
    </row>
    <row r="685">
      <c r="B685" s="300" t="s">
        <v>22</v>
      </c>
    </row>
    <row r="686">
      <c r="B686" s="300" t="s">
        <v>22</v>
      </c>
    </row>
    <row r="687">
      <c r="B687" s="300" t="s">
        <v>22</v>
      </c>
    </row>
    <row r="688">
      <c r="B688" s="300" t="s">
        <v>22</v>
      </c>
    </row>
    <row r="689">
      <c r="B689" s="300" t="s">
        <v>22</v>
      </c>
    </row>
    <row r="690">
      <c r="B690" s="300" t="s">
        <v>22</v>
      </c>
    </row>
    <row r="691">
      <c r="B691" s="300" t="s">
        <v>22</v>
      </c>
    </row>
    <row r="692">
      <c r="B692" s="300" t="s">
        <v>22</v>
      </c>
    </row>
    <row r="693">
      <c r="B693" s="300" t="s">
        <v>22</v>
      </c>
    </row>
    <row r="694">
      <c r="B694" s="300" t="s">
        <v>22</v>
      </c>
    </row>
    <row r="695">
      <c r="B695" s="300" t="s">
        <v>22</v>
      </c>
    </row>
    <row r="696">
      <c r="B696" s="300" t="s">
        <v>22</v>
      </c>
    </row>
    <row r="697">
      <c r="B697" s="300" t="s">
        <v>22</v>
      </c>
    </row>
    <row r="698">
      <c r="B698" s="300" t="s">
        <v>22</v>
      </c>
    </row>
    <row r="699">
      <c r="B699" s="300" t="s">
        <v>22</v>
      </c>
    </row>
    <row r="700">
      <c r="B700" s="300" t="s">
        <v>22</v>
      </c>
    </row>
    <row r="701">
      <c r="B701" s="300" t="s">
        <v>22</v>
      </c>
    </row>
    <row r="702">
      <c r="B702" s="300" t="s">
        <v>22</v>
      </c>
    </row>
    <row r="703">
      <c r="B703" s="300" t="s">
        <v>22</v>
      </c>
    </row>
    <row r="704">
      <c r="B704" s="300" t="s">
        <v>22</v>
      </c>
    </row>
    <row r="705">
      <c r="B705" s="300" t="s">
        <v>22</v>
      </c>
    </row>
    <row r="706">
      <c r="B706" s="300" t="s">
        <v>22</v>
      </c>
    </row>
    <row r="707">
      <c r="B707" s="300" t="s">
        <v>22</v>
      </c>
    </row>
    <row r="708">
      <c r="B708" s="300" t="s">
        <v>22</v>
      </c>
    </row>
    <row r="709">
      <c r="B709" s="300" t="s">
        <v>22</v>
      </c>
    </row>
    <row r="710">
      <c r="B710" s="300" t="s">
        <v>22</v>
      </c>
    </row>
    <row r="711">
      <c r="B711" s="300" t="s">
        <v>22</v>
      </c>
    </row>
    <row r="712">
      <c r="B712" s="300" t="s">
        <v>22</v>
      </c>
    </row>
    <row r="713">
      <c r="B713" s="300" t="s">
        <v>22</v>
      </c>
    </row>
    <row r="714">
      <c r="B714" s="300" t="s">
        <v>22</v>
      </c>
    </row>
    <row r="715">
      <c r="B715" s="300" t="s">
        <v>22</v>
      </c>
    </row>
    <row r="716">
      <c r="B716" s="300" t="s">
        <v>22</v>
      </c>
    </row>
    <row r="717">
      <c r="B717" s="300" t="s">
        <v>22</v>
      </c>
    </row>
    <row r="718">
      <c r="B718" s="300" t="s">
        <v>22</v>
      </c>
    </row>
    <row r="719">
      <c r="B719" s="300" t="s">
        <v>22</v>
      </c>
    </row>
    <row r="720">
      <c r="B720" s="300" t="s">
        <v>22</v>
      </c>
    </row>
    <row r="721">
      <c r="B721" s="300" t="s">
        <v>22</v>
      </c>
    </row>
    <row r="722">
      <c r="B722" s="300" t="s">
        <v>22</v>
      </c>
    </row>
    <row r="723">
      <c r="B723" s="300" t="s">
        <v>22</v>
      </c>
    </row>
    <row r="724">
      <c r="B724" s="300" t="s">
        <v>22</v>
      </c>
    </row>
    <row r="725">
      <c r="B725" s="300" t="s">
        <v>22</v>
      </c>
    </row>
    <row r="726">
      <c r="B726" s="300" t="s">
        <v>22</v>
      </c>
    </row>
    <row r="727">
      <c r="B727" s="300" t="s">
        <v>22</v>
      </c>
    </row>
    <row r="728">
      <c r="B728" s="300" t="s">
        <v>22</v>
      </c>
    </row>
    <row r="729">
      <c r="B729" s="300" t="s">
        <v>22</v>
      </c>
    </row>
    <row r="730">
      <c r="B730" s="300" t="s">
        <v>22</v>
      </c>
    </row>
    <row r="731">
      <c r="B731" s="300" t="s">
        <v>22</v>
      </c>
    </row>
    <row r="732">
      <c r="B732" s="300" t="s">
        <v>22</v>
      </c>
    </row>
    <row r="733">
      <c r="B733" s="300" t="s">
        <v>22</v>
      </c>
    </row>
    <row r="734">
      <c r="B734" s="300" t="s">
        <v>22</v>
      </c>
    </row>
    <row r="735">
      <c r="B735" s="300" t="s">
        <v>22</v>
      </c>
    </row>
    <row r="736">
      <c r="B736" s="300" t="s">
        <v>22</v>
      </c>
    </row>
    <row r="737">
      <c r="B737" s="300" t="s">
        <v>22</v>
      </c>
    </row>
    <row r="738">
      <c r="B738" s="300" t="s">
        <v>22</v>
      </c>
    </row>
    <row r="739">
      <c r="B739" s="300" t="s">
        <v>22</v>
      </c>
    </row>
    <row r="740">
      <c r="B740" s="300" t="s">
        <v>22</v>
      </c>
    </row>
    <row r="741">
      <c r="B741" s="300" t="s">
        <v>22</v>
      </c>
    </row>
    <row r="742">
      <c r="B742" s="300" t="s">
        <v>22</v>
      </c>
    </row>
    <row r="743">
      <c r="B743" s="300" t="s">
        <v>22</v>
      </c>
    </row>
    <row r="744">
      <c r="B744" s="300" t="s">
        <v>22</v>
      </c>
    </row>
    <row r="745">
      <c r="B745" s="300" t="s">
        <v>22</v>
      </c>
    </row>
    <row r="746">
      <c r="B746" s="300" t="s">
        <v>22</v>
      </c>
    </row>
    <row r="747">
      <c r="B747" s="300" t="s">
        <v>22</v>
      </c>
    </row>
    <row r="748">
      <c r="B748" s="300" t="s">
        <v>22</v>
      </c>
    </row>
    <row r="749">
      <c r="B749" s="300" t="s">
        <v>22</v>
      </c>
    </row>
    <row r="750">
      <c r="B750" s="300" t="s">
        <v>22</v>
      </c>
    </row>
    <row r="751">
      <c r="B751" s="300" t="s">
        <v>22</v>
      </c>
    </row>
    <row r="752">
      <c r="B752" s="300" t="s">
        <v>22</v>
      </c>
    </row>
    <row r="753">
      <c r="B753" s="300" t="s">
        <v>22</v>
      </c>
    </row>
    <row r="754">
      <c r="B754" s="300" t="s">
        <v>22</v>
      </c>
    </row>
    <row r="755">
      <c r="B755" s="300" t="s">
        <v>22</v>
      </c>
    </row>
    <row r="756">
      <c r="B756" s="300" t="s">
        <v>22</v>
      </c>
    </row>
    <row r="757">
      <c r="B757" s="300" t="s">
        <v>22</v>
      </c>
    </row>
    <row r="758">
      <c r="B758" s="300" t="s">
        <v>22</v>
      </c>
    </row>
    <row r="759">
      <c r="B759" s="300" t="s">
        <v>22</v>
      </c>
    </row>
    <row r="760">
      <c r="B760" s="300" t="s">
        <v>22</v>
      </c>
    </row>
    <row r="761">
      <c r="B761" s="300" t="s">
        <v>22</v>
      </c>
    </row>
    <row r="762">
      <c r="B762" s="300" t="s">
        <v>22</v>
      </c>
    </row>
    <row r="763">
      <c r="B763" s="300" t="s">
        <v>22</v>
      </c>
    </row>
    <row r="764">
      <c r="B764" s="300" t="s">
        <v>22</v>
      </c>
    </row>
    <row r="765">
      <c r="B765" s="300" t="s">
        <v>22</v>
      </c>
    </row>
    <row r="766">
      <c r="B766" s="300" t="s">
        <v>22</v>
      </c>
    </row>
    <row r="767">
      <c r="B767" s="300" t="s">
        <v>22</v>
      </c>
    </row>
    <row r="768">
      <c r="B768" s="300" t="s">
        <v>22</v>
      </c>
    </row>
    <row r="769">
      <c r="B769" s="300" t="s">
        <v>22</v>
      </c>
    </row>
    <row r="770">
      <c r="B770" s="300" t="s">
        <v>22</v>
      </c>
    </row>
    <row r="771">
      <c r="B771" s="300" t="s">
        <v>22</v>
      </c>
    </row>
    <row r="772">
      <c r="B772" s="300" t="s">
        <v>22</v>
      </c>
    </row>
    <row r="773">
      <c r="B773" s="300" t="s">
        <v>22</v>
      </c>
    </row>
    <row r="774">
      <c r="B774" s="300" t="s">
        <v>22</v>
      </c>
    </row>
    <row r="775">
      <c r="B775" s="300" t="s">
        <v>22</v>
      </c>
    </row>
    <row r="776">
      <c r="B776" s="300" t="s">
        <v>22</v>
      </c>
    </row>
    <row r="777">
      <c r="B777" s="300" t="s">
        <v>22</v>
      </c>
    </row>
    <row r="778">
      <c r="B778" s="300" t="s">
        <v>22</v>
      </c>
    </row>
    <row r="779">
      <c r="B779" s="300" t="s">
        <v>22</v>
      </c>
    </row>
    <row r="780">
      <c r="B780" s="300" t="s">
        <v>22</v>
      </c>
    </row>
    <row r="781">
      <c r="B781" s="300" t="s">
        <v>22</v>
      </c>
    </row>
    <row r="782">
      <c r="B782" s="300" t="s">
        <v>22</v>
      </c>
    </row>
    <row r="783">
      <c r="B783" s="300" t="s">
        <v>22</v>
      </c>
    </row>
    <row r="784">
      <c r="B784" s="300" t="s">
        <v>22</v>
      </c>
    </row>
    <row r="785">
      <c r="B785" s="300" t="s">
        <v>22</v>
      </c>
    </row>
    <row r="786">
      <c r="B786" s="300" t="s">
        <v>22</v>
      </c>
    </row>
    <row r="787">
      <c r="B787" s="300" t="s">
        <v>22</v>
      </c>
    </row>
    <row r="788">
      <c r="B788" s="300" t="s">
        <v>22</v>
      </c>
    </row>
    <row r="789">
      <c r="B789" s="300" t="s">
        <v>22</v>
      </c>
    </row>
    <row r="790">
      <c r="B790" s="300" t="s">
        <v>22</v>
      </c>
    </row>
    <row r="791">
      <c r="B791" s="300" t="s">
        <v>22</v>
      </c>
    </row>
    <row r="792">
      <c r="B792" s="300" t="s">
        <v>22</v>
      </c>
    </row>
    <row r="793">
      <c r="B793" s="300" t="s">
        <v>22</v>
      </c>
    </row>
    <row r="794">
      <c r="B794" s="300" t="s">
        <v>22</v>
      </c>
    </row>
    <row r="795">
      <c r="B795" s="300" t="s">
        <v>22</v>
      </c>
    </row>
    <row r="796">
      <c r="B796" s="300" t="s">
        <v>22</v>
      </c>
    </row>
    <row r="797">
      <c r="B797" s="300" t="s">
        <v>22</v>
      </c>
    </row>
    <row r="798">
      <c r="B798" s="300" t="s">
        <v>22</v>
      </c>
    </row>
    <row r="799">
      <c r="B799" s="300" t="s">
        <v>22</v>
      </c>
    </row>
    <row r="800">
      <c r="B800" s="300" t="s">
        <v>22</v>
      </c>
    </row>
    <row r="801">
      <c r="B801" s="300" t="s">
        <v>22</v>
      </c>
    </row>
    <row r="802">
      <c r="B802" s="300" t="s">
        <v>22</v>
      </c>
    </row>
    <row r="803">
      <c r="B803" s="300" t="s">
        <v>22</v>
      </c>
    </row>
    <row r="804">
      <c r="B804" s="300" t="s">
        <v>22</v>
      </c>
    </row>
    <row r="805">
      <c r="B805" s="300" t="s">
        <v>22</v>
      </c>
    </row>
    <row r="806">
      <c r="B806" s="300" t="s">
        <v>22</v>
      </c>
    </row>
    <row r="807">
      <c r="B807" s="300" t="s">
        <v>22</v>
      </c>
    </row>
    <row r="808">
      <c r="B808" s="300" t="s">
        <v>22</v>
      </c>
    </row>
    <row r="809">
      <c r="B809" s="300" t="s">
        <v>22</v>
      </c>
    </row>
    <row r="810">
      <c r="B810" s="300" t="s">
        <v>22</v>
      </c>
    </row>
    <row r="811">
      <c r="B811" s="300" t="s">
        <v>22</v>
      </c>
    </row>
    <row r="812">
      <c r="B812" s="300" t="s">
        <v>22</v>
      </c>
    </row>
    <row r="813">
      <c r="B813" s="300" t="s">
        <v>22</v>
      </c>
    </row>
    <row r="814">
      <c r="B814" s="300" t="s">
        <v>22</v>
      </c>
    </row>
    <row r="815">
      <c r="B815" s="300" t="s">
        <v>22</v>
      </c>
    </row>
    <row r="816">
      <c r="B816" s="300" t="s">
        <v>22</v>
      </c>
    </row>
    <row r="817">
      <c r="B817" s="300" t="s">
        <v>22</v>
      </c>
    </row>
    <row r="818">
      <c r="B818" s="300" t="s">
        <v>22</v>
      </c>
    </row>
    <row r="819">
      <c r="B819" s="300" t="s">
        <v>22</v>
      </c>
    </row>
    <row r="820">
      <c r="B820" s="300" t="s">
        <v>22</v>
      </c>
    </row>
    <row r="821">
      <c r="B821" s="300" t="s">
        <v>22</v>
      </c>
    </row>
    <row r="822">
      <c r="B822" s="300" t="s">
        <v>22</v>
      </c>
    </row>
    <row r="823">
      <c r="B823" s="300" t="s">
        <v>22</v>
      </c>
    </row>
    <row r="824">
      <c r="B824" s="300" t="s">
        <v>22</v>
      </c>
    </row>
    <row r="825">
      <c r="B825" s="300" t="s">
        <v>22</v>
      </c>
    </row>
    <row r="826">
      <c r="B826" s="300" t="s">
        <v>22</v>
      </c>
    </row>
    <row r="827">
      <c r="B827" s="300" t="s">
        <v>22</v>
      </c>
    </row>
    <row r="828">
      <c r="B828" s="300" t="s">
        <v>22</v>
      </c>
    </row>
    <row r="829">
      <c r="B829" s="300" t="s">
        <v>22</v>
      </c>
    </row>
    <row r="830">
      <c r="B830" s="300" t="s">
        <v>22</v>
      </c>
    </row>
    <row r="831">
      <c r="B831" s="300" t="s">
        <v>22</v>
      </c>
    </row>
    <row r="832">
      <c r="B832" s="300" t="s">
        <v>22</v>
      </c>
    </row>
    <row r="833">
      <c r="B833" s="300" t="s">
        <v>22</v>
      </c>
    </row>
    <row r="834">
      <c r="B834" s="300" t="s">
        <v>22</v>
      </c>
    </row>
    <row r="835">
      <c r="B835" s="300" t="s">
        <v>22</v>
      </c>
    </row>
    <row r="836">
      <c r="B836" s="300" t="s">
        <v>22</v>
      </c>
    </row>
    <row r="837">
      <c r="B837" s="300" t="s">
        <v>22</v>
      </c>
    </row>
    <row r="838">
      <c r="B838" s="300" t="s">
        <v>22</v>
      </c>
    </row>
    <row r="839">
      <c r="B839" s="300" t="s">
        <v>22</v>
      </c>
    </row>
    <row r="840">
      <c r="B840" s="300" t="s">
        <v>22</v>
      </c>
    </row>
    <row r="841">
      <c r="B841" s="300" t="s">
        <v>22</v>
      </c>
    </row>
    <row r="842">
      <c r="B842" s="300" t="s">
        <v>22</v>
      </c>
    </row>
    <row r="843">
      <c r="B843" s="300" t="s">
        <v>22</v>
      </c>
    </row>
    <row r="844">
      <c r="B844" s="300" t="s">
        <v>22</v>
      </c>
    </row>
    <row r="845">
      <c r="B845" s="300" t="s">
        <v>22</v>
      </c>
    </row>
    <row r="846">
      <c r="B846" s="300" t="s">
        <v>22</v>
      </c>
    </row>
    <row r="847">
      <c r="B847" s="300" t="s">
        <v>22</v>
      </c>
    </row>
    <row r="848">
      <c r="B848" s="300" t="s">
        <v>22</v>
      </c>
    </row>
    <row r="849">
      <c r="B849" s="300" t="s">
        <v>22</v>
      </c>
    </row>
    <row r="850">
      <c r="B850" s="300" t="s">
        <v>22</v>
      </c>
    </row>
    <row r="851">
      <c r="B851" s="300" t="s">
        <v>22</v>
      </c>
    </row>
    <row r="852">
      <c r="B852" s="300" t="s">
        <v>22</v>
      </c>
    </row>
    <row r="853">
      <c r="B853" s="300" t="s">
        <v>22</v>
      </c>
    </row>
    <row r="854">
      <c r="B854" s="300" t="s">
        <v>22</v>
      </c>
    </row>
    <row r="855">
      <c r="B855" s="300" t="s">
        <v>22</v>
      </c>
    </row>
    <row r="856">
      <c r="B856" s="300" t="s">
        <v>22</v>
      </c>
    </row>
    <row r="857">
      <c r="B857" s="300" t="s">
        <v>22</v>
      </c>
    </row>
    <row r="858">
      <c r="B858" s="300" t="s">
        <v>22</v>
      </c>
    </row>
    <row r="859">
      <c r="B859" s="300" t="s">
        <v>22</v>
      </c>
    </row>
    <row r="860">
      <c r="B860" s="300" t="s">
        <v>22</v>
      </c>
    </row>
    <row r="861">
      <c r="B861" s="300" t="s">
        <v>22</v>
      </c>
    </row>
    <row r="862">
      <c r="B862" s="300" t="s">
        <v>22</v>
      </c>
    </row>
    <row r="863">
      <c r="B863" s="300" t="s">
        <v>22</v>
      </c>
    </row>
    <row r="864">
      <c r="B864" s="300" t="s">
        <v>22</v>
      </c>
    </row>
    <row r="865">
      <c r="B865" s="300" t="s">
        <v>22</v>
      </c>
    </row>
    <row r="866">
      <c r="B866" s="300" t="s">
        <v>22</v>
      </c>
    </row>
    <row r="867">
      <c r="B867" s="300" t="s">
        <v>22</v>
      </c>
    </row>
    <row r="868">
      <c r="B868" s="300" t="s">
        <v>22</v>
      </c>
    </row>
    <row r="869">
      <c r="B869" s="300" t="s">
        <v>22</v>
      </c>
    </row>
    <row r="870">
      <c r="B870" s="300" t="s">
        <v>22</v>
      </c>
    </row>
    <row r="871">
      <c r="B871" s="300" t="s">
        <v>22</v>
      </c>
    </row>
    <row r="872">
      <c r="B872" s="300" t="s">
        <v>22</v>
      </c>
    </row>
    <row r="873">
      <c r="B873" s="300" t="s">
        <v>22</v>
      </c>
    </row>
    <row r="874">
      <c r="B874" s="300" t="s">
        <v>22</v>
      </c>
    </row>
    <row r="875">
      <c r="B875" s="300" t="s">
        <v>22</v>
      </c>
    </row>
    <row r="876">
      <c r="B876" s="300" t="s">
        <v>22</v>
      </c>
    </row>
    <row r="877">
      <c r="B877" s="300" t="s">
        <v>22</v>
      </c>
    </row>
    <row r="878">
      <c r="B878" s="300" t="s">
        <v>22</v>
      </c>
    </row>
    <row r="879">
      <c r="B879" s="300" t="s">
        <v>22</v>
      </c>
    </row>
    <row r="880">
      <c r="B880" s="300" t="s">
        <v>22</v>
      </c>
    </row>
    <row r="881">
      <c r="B881" s="300" t="s">
        <v>22</v>
      </c>
    </row>
    <row r="882">
      <c r="B882" s="300" t="s">
        <v>22</v>
      </c>
    </row>
    <row r="883">
      <c r="B883" s="300" t="s">
        <v>22</v>
      </c>
    </row>
    <row r="884">
      <c r="B884" s="300" t="s">
        <v>22</v>
      </c>
    </row>
    <row r="885">
      <c r="B885" s="300" t="s">
        <v>22</v>
      </c>
    </row>
    <row r="886">
      <c r="B886" s="300" t="s">
        <v>22</v>
      </c>
    </row>
    <row r="887">
      <c r="B887" s="300" t="s">
        <v>22</v>
      </c>
    </row>
    <row r="888">
      <c r="B888" s="300" t="s">
        <v>22</v>
      </c>
    </row>
    <row r="889">
      <c r="B889" s="300" t="s">
        <v>22</v>
      </c>
    </row>
    <row r="890">
      <c r="B890" s="300" t="s">
        <v>22</v>
      </c>
    </row>
    <row r="891">
      <c r="B891" s="300" t="s">
        <v>22</v>
      </c>
    </row>
    <row r="892">
      <c r="B892" s="300" t="s">
        <v>22</v>
      </c>
    </row>
    <row r="893">
      <c r="B893" s="300" t="s">
        <v>22</v>
      </c>
    </row>
    <row r="894">
      <c r="B894" s="300" t="s">
        <v>22</v>
      </c>
    </row>
    <row r="895">
      <c r="B895" s="300" t="s">
        <v>22</v>
      </c>
    </row>
    <row r="896">
      <c r="B896" s="300" t="s">
        <v>22</v>
      </c>
    </row>
    <row r="897">
      <c r="B897" s="300" t="s">
        <v>22</v>
      </c>
    </row>
    <row r="898">
      <c r="B898" s="300" t="s">
        <v>22</v>
      </c>
    </row>
    <row r="899">
      <c r="B899" s="300" t="s">
        <v>22</v>
      </c>
    </row>
    <row r="900">
      <c r="B900" s="300" t="s">
        <v>22</v>
      </c>
    </row>
    <row r="901">
      <c r="B901" s="300" t="s">
        <v>22</v>
      </c>
    </row>
    <row r="902">
      <c r="B902" s="300" t="s">
        <v>22</v>
      </c>
    </row>
    <row r="903">
      <c r="B903" s="300" t="s">
        <v>22</v>
      </c>
    </row>
    <row r="904">
      <c r="B904" s="300" t="s">
        <v>22</v>
      </c>
    </row>
    <row r="905">
      <c r="B905" s="300" t="s">
        <v>22</v>
      </c>
    </row>
    <row r="906">
      <c r="B906" s="300" t="s">
        <v>22</v>
      </c>
    </row>
    <row r="907">
      <c r="B907" s="300" t="s">
        <v>22</v>
      </c>
    </row>
    <row r="908">
      <c r="B908" s="300" t="s">
        <v>22</v>
      </c>
    </row>
    <row r="909">
      <c r="B909" s="300" t="s">
        <v>22</v>
      </c>
    </row>
    <row r="910">
      <c r="B910" s="300" t="s">
        <v>22</v>
      </c>
    </row>
    <row r="911">
      <c r="B911" s="300" t="s">
        <v>22</v>
      </c>
    </row>
    <row r="912">
      <c r="B912" s="300" t="s">
        <v>22</v>
      </c>
    </row>
    <row r="913">
      <c r="B913" s="300" t="s">
        <v>22</v>
      </c>
    </row>
    <row r="914">
      <c r="B914" s="300" t="s">
        <v>22</v>
      </c>
    </row>
    <row r="915">
      <c r="B915" s="300" t="s">
        <v>22</v>
      </c>
    </row>
    <row r="916">
      <c r="B916" s="300" t="s">
        <v>22</v>
      </c>
    </row>
    <row r="917">
      <c r="B917" s="300" t="s">
        <v>22</v>
      </c>
    </row>
    <row r="918">
      <c r="B918" s="300" t="s">
        <v>22</v>
      </c>
    </row>
    <row r="919">
      <c r="B919" s="300" t="s">
        <v>22</v>
      </c>
    </row>
    <row r="920">
      <c r="B920" s="300" t="s">
        <v>22</v>
      </c>
    </row>
    <row r="921">
      <c r="B921" s="300" t="s">
        <v>22</v>
      </c>
    </row>
    <row r="922">
      <c r="B922" s="300" t="s">
        <v>22</v>
      </c>
    </row>
    <row r="923">
      <c r="B923" s="300" t="s">
        <v>22</v>
      </c>
    </row>
    <row r="924">
      <c r="B924" s="300" t="s">
        <v>22</v>
      </c>
    </row>
    <row r="925">
      <c r="B925" s="300" t="s">
        <v>22</v>
      </c>
    </row>
    <row r="926">
      <c r="B926" s="300" t="s">
        <v>22</v>
      </c>
    </row>
    <row r="927">
      <c r="B927" s="300" t="s">
        <v>22</v>
      </c>
    </row>
    <row r="928">
      <c r="B928" s="300" t="s">
        <v>22</v>
      </c>
    </row>
    <row r="929">
      <c r="B929" s="300" t="s">
        <v>22</v>
      </c>
    </row>
    <row r="930">
      <c r="B930" s="300" t="s">
        <v>22</v>
      </c>
    </row>
    <row r="931">
      <c r="B931" s="300" t="s">
        <v>22</v>
      </c>
    </row>
    <row r="932">
      <c r="B932" s="300" t="s">
        <v>22</v>
      </c>
    </row>
    <row r="933">
      <c r="B933" s="300" t="s">
        <v>22</v>
      </c>
    </row>
    <row r="934">
      <c r="B934" s="300" t="s">
        <v>22</v>
      </c>
    </row>
    <row r="935">
      <c r="B935" s="300" t="s">
        <v>22</v>
      </c>
    </row>
    <row r="936">
      <c r="B936" s="300" t="s">
        <v>22</v>
      </c>
    </row>
    <row r="937">
      <c r="B937" s="300" t="s">
        <v>22</v>
      </c>
    </row>
    <row r="938">
      <c r="B938" s="300" t="s">
        <v>22</v>
      </c>
    </row>
    <row r="939">
      <c r="B939" s="300" t="s">
        <v>22</v>
      </c>
    </row>
    <row r="940">
      <c r="B940" s="300" t="s">
        <v>22</v>
      </c>
    </row>
    <row r="941">
      <c r="B941" s="300" t="s">
        <v>22</v>
      </c>
    </row>
    <row r="942">
      <c r="B942" s="300" t="s">
        <v>22</v>
      </c>
    </row>
    <row r="943">
      <c r="B943" s="300" t="s">
        <v>22</v>
      </c>
    </row>
    <row r="944">
      <c r="B944" s="300" t="s">
        <v>22</v>
      </c>
    </row>
    <row r="945">
      <c r="B945" s="300" t="s">
        <v>22</v>
      </c>
    </row>
    <row r="946">
      <c r="B946" s="300" t="s">
        <v>22</v>
      </c>
    </row>
    <row r="947">
      <c r="B947" s="300" t="s">
        <v>22</v>
      </c>
    </row>
    <row r="948">
      <c r="B948" s="300" t="s">
        <v>22</v>
      </c>
    </row>
    <row r="949">
      <c r="B949" s="300" t="s">
        <v>22</v>
      </c>
    </row>
    <row r="950">
      <c r="B950" s="300" t="s">
        <v>22</v>
      </c>
    </row>
    <row r="951">
      <c r="B951" s="300" t="s">
        <v>22</v>
      </c>
    </row>
    <row r="952">
      <c r="B952" s="300" t="s">
        <v>22</v>
      </c>
    </row>
    <row r="953">
      <c r="B953" s="300" t="s">
        <v>22</v>
      </c>
    </row>
    <row r="954">
      <c r="B954" s="300" t="s">
        <v>22</v>
      </c>
    </row>
    <row r="955">
      <c r="B955" s="300" t="s">
        <v>22</v>
      </c>
    </row>
    <row r="956">
      <c r="B956" s="300" t="s">
        <v>22</v>
      </c>
    </row>
    <row r="957">
      <c r="B957" s="300" t="s">
        <v>22</v>
      </c>
    </row>
    <row r="958">
      <c r="B958" s="300" t="s">
        <v>22</v>
      </c>
    </row>
    <row r="959">
      <c r="B959" s="300" t="s">
        <v>22</v>
      </c>
    </row>
    <row r="960">
      <c r="B960" s="300" t="s">
        <v>22</v>
      </c>
    </row>
    <row r="961">
      <c r="B961" s="300" t="s">
        <v>22</v>
      </c>
    </row>
    <row r="962">
      <c r="B962" s="300" t="s">
        <v>22</v>
      </c>
    </row>
    <row r="963">
      <c r="B963" s="300" t="s">
        <v>22</v>
      </c>
    </row>
    <row r="964">
      <c r="B964" s="300" t="s">
        <v>22</v>
      </c>
    </row>
    <row r="965">
      <c r="B965" s="300" t="s">
        <v>22</v>
      </c>
    </row>
    <row r="966">
      <c r="B966" s="300" t="s">
        <v>22</v>
      </c>
    </row>
    <row r="967">
      <c r="B967" s="300" t="s">
        <v>22</v>
      </c>
    </row>
    <row r="968">
      <c r="B968" s="300" t="s">
        <v>22</v>
      </c>
    </row>
    <row r="969">
      <c r="B969" s="300" t="s">
        <v>22</v>
      </c>
    </row>
    <row r="970">
      <c r="B970" s="300" t="s">
        <v>22</v>
      </c>
    </row>
    <row r="971">
      <c r="B971" s="300" t="s">
        <v>22</v>
      </c>
    </row>
    <row r="972">
      <c r="B972" s="300" t="s">
        <v>22</v>
      </c>
    </row>
    <row r="973">
      <c r="B973" s="300" t="s">
        <v>22</v>
      </c>
    </row>
    <row r="974">
      <c r="B974" s="300" t="s">
        <v>22</v>
      </c>
    </row>
    <row r="975">
      <c r="B975" s="300" t="s">
        <v>22</v>
      </c>
    </row>
    <row r="976">
      <c r="B976" s="300" t="s">
        <v>22</v>
      </c>
    </row>
    <row r="977">
      <c r="B977" s="300" t="s">
        <v>22</v>
      </c>
    </row>
    <row r="978">
      <c r="B978" s="300" t="s">
        <v>22</v>
      </c>
    </row>
    <row r="979">
      <c r="B979" s="300" t="s">
        <v>22</v>
      </c>
    </row>
    <row r="980">
      <c r="B980" s="300" t="s">
        <v>22</v>
      </c>
    </row>
    <row r="981">
      <c r="B981" s="300" t="s">
        <v>22</v>
      </c>
    </row>
    <row r="982">
      <c r="B982" s="300" t="s">
        <v>22</v>
      </c>
    </row>
    <row r="983">
      <c r="B983" s="300" t="s">
        <v>22</v>
      </c>
    </row>
    <row r="984">
      <c r="B984" s="300" t="s">
        <v>22</v>
      </c>
    </row>
    <row r="985">
      <c r="B985" s="300" t="s">
        <v>22</v>
      </c>
    </row>
    <row r="986">
      <c r="B986" s="300" t="s">
        <v>22</v>
      </c>
    </row>
    <row r="987">
      <c r="B987" s="300" t="s">
        <v>22</v>
      </c>
    </row>
    <row r="988">
      <c r="B988" s="300" t="s">
        <v>22</v>
      </c>
    </row>
    <row r="989">
      <c r="B989" s="300" t="s">
        <v>22</v>
      </c>
    </row>
    <row r="990">
      <c r="B990" s="300" t="s">
        <v>22</v>
      </c>
    </row>
    <row r="991">
      <c r="B991" s="300" t="s">
        <v>22</v>
      </c>
    </row>
    <row r="992">
      <c r="B992" s="300" t="s">
        <v>22</v>
      </c>
    </row>
    <row r="993">
      <c r="B993" s="300" t="s">
        <v>22</v>
      </c>
    </row>
    <row r="994">
      <c r="B994" s="300" t="s">
        <v>22</v>
      </c>
    </row>
    <row r="995">
      <c r="B995" s="300" t="s">
        <v>22</v>
      </c>
    </row>
    <row r="996">
      <c r="B996" s="300" t="s">
        <v>22</v>
      </c>
    </row>
    <row r="997">
      <c r="B997" s="300" t="s">
        <v>22</v>
      </c>
    </row>
    <row r="998">
      <c r="B998" s="300" t="s">
        <v>22</v>
      </c>
    </row>
    <row r="999">
      <c r="B999" s="300" t="s">
        <v>22</v>
      </c>
    </row>
    <row r="1000">
      <c r="B1000" s="300" t="s">
        <v>22</v>
      </c>
    </row>
    <row r="1001">
      <c r="B1001" s="300" t="s">
        <v>22</v>
      </c>
    </row>
    <row r="1002">
      <c r="B1002" s="300" t="s">
        <v>22</v>
      </c>
    </row>
    <row r="1003">
      <c r="B1003" s="300" t="s">
        <v>22</v>
      </c>
    </row>
    <row r="1004">
      <c r="B1004" s="300" t="s">
        <v>22</v>
      </c>
    </row>
    <row r="1005">
      <c r="B1005" s="300" t="s">
        <v>22</v>
      </c>
    </row>
    <row r="1006">
      <c r="B1006" s="300" t="s">
        <v>22</v>
      </c>
    </row>
    <row r="1007">
      <c r="B1007" s="300" t="s">
        <v>22</v>
      </c>
    </row>
    <row r="1008">
      <c r="B1008" s="300" t="s">
        <v>22</v>
      </c>
    </row>
    <row r="1009">
      <c r="B1009" s="300" t="s">
        <v>22</v>
      </c>
    </row>
    <row r="1010">
      <c r="B1010" s="300" t="s">
        <v>22</v>
      </c>
    </row>
    <row r="1011">
      <c r="B1011" s="300" t="s">
        <v>22</v>
      </c>
    </row>
    <row r="1012">
      <c r="B1012" s="300" t="s">
        <v>22</v>
      </c>
    </row>
    <row r="1013">
      <c r="B1013" s="300" t="s">
        <v>22</v>
      </c>
    </row>
    <row r="1014">
      <c r="B1014" s="300" t="s">
        <v>22</v>
      </c>
    </row>
    <row r="1015">
      <c r="B1015" s="300" t="s">
        <v>22</v>
      </c>
    </row>
    <row r="1016">
      <c r="B1016" s="300" t="s">
        <v>22</v>
      </c>
    </row>
    <row r="1017">
      <c r="B1017" s="300" t="s">
        <v>22</v>
      </c>
    </row>
    <row r="1018">
      <c r="B1018" s="300" t="s">
        <v>22</v>
      </c>
    </row>
    <row r="1019">
      <c r="B1019" s="300" t="s">
        <v>22</v>
      </c>
    </row>
    <row r="1020">
      <c r="B1020" s="300" t="s">
        <v>22</v>
      </c>
    </row>
    <row r="1021">
      <c r="B1021" s="300" t="s">
        <v>22</v>
      </c>
    </row>
    <row r="1022">
      <c r="B1022" s="300" t="s">
        <v>22</v>
      </c>
    </row>
    <row r="1023">
      <c r="B1023" s="300" t="s">
        <v>22</v>
      </c>
    </row>
    <row r="1024">
      <c r="B1024" s="300" t="s">
        <v>22</v>
      </c>
    </row>
    <row r="1025">
      <c r="B1025" s="300" t="s">
        <v>22</v>
      </c>
    </row>
    <row r="1026">
      <c r="B1026" s="300" t="s">
        <v>22</v>
      </c>
    </row>
    <row r="1027">
      <c r="B1027" s="300" t="s">
        <v>22</v>
      </c>
    </row>
    <row r="1028">
      <c r="B1028" s="300" t="s">
        <v>22</v>
      </c>
    </row>
    <row r="1029">
      <c r="B1029" s="300" t="s">
        <v>22</v>
      </c>
    </row>
    <row r="1030">
      <c r="B1030" s="300" t="s">
        <v>22</v>
      </c>
    </row>
    <row r="1031">
      <c r="B1031" s="300" t="s">
        <v>22</v>
      </c>
    </row>
    <row r="1032">
      <c r="B1032" s="300" t="s">
        <v>22</v>
      </c>
    </row>
    <row r="1033">
      <c r="B1033" s="300" t="s">
        <v>22</v>
      </c>
    </row>
    <row r="1034">
      <c r="B1034" s="300" t="s">
        <v>22</v>
      </c>
    </row>
    <row r="1035">
      <c r="B1035" s="300" t="s">
        <v>22</v>
      </c>
    </row>
    <row r="1036">
      <c r="B1036" s="300" t="s">
        <v>22</v>
      </c>
    </row>
    <row r="1037">
      <c r="B1037" s="300" t="s">
        <v>22</v>
      </c>
    </row>
    <row r="1038">
      <c r="B1038" s="300" t="s">
        <v>22</v>
      </c>
    </row>
    <row r="1039">
      <c r="B1039" s="300" t="s">
        <v>22</v>
      </c>
    </row>
    <row r="1040">
      <c r="B1040" s="300" t="s">
        <v>22</v>
      </c>
    </row>
    <row r="1041">
      <c r="B1041" s="300" t="s">
        <v>22</v>
      </c>
    </row>
    <row r="1042">
      <c r="B1042" s="300" t="s">
        <v>22</v>
      </c>
    </row>
    <row r="1043">
      <c r="B1043" s="300" t="s">
        <v>22</v>
      </c>
    </row>
    <row r="1044">
      <c r="B1044" s="300" t="s">
        <v>22</v>
      </c>
    </row>
    <row r="1045">
      <c r="B1045" s="300" t="s">
        <v>22</v>
      </c>
    </row>
    <row r="1046">
      <c r="B1046" s="300" t="s">
        <v>22</v>
      </c>
    </row>
    <row r="1047">
      <c r="B1047" s="300" t="s">
        <v>22</v>
      </c>
    </row>
    <row r="1048">
      <c r="B1048" s="300" t="s">
        <v>22</v>
      </c>
    </row>
    <row r="1049">
      <c r="B1049" s="300" t="s">
        <v>22</v>
      </c>
    </row>
    <row r="1050">
      <c r="B1050" s="300" t="s">
        <v>22</v>
      </c>
    </row>
    <row r="1051">
      <c r="B1051" s="300" t="s">
        <v>22</v>
      </c>
    </row>
    <row r="1052">
      <c r="B1052" s="300" t="s">
        <v>22</v>
      </c>
    </row>
    <row r="1053">
      <c r="B1053" s="300" t="s">
        <v>22</v>
      </c>
    </row>
    <row r="1054">
      <c r="B1054" s="300" t="s">
        <v>22</v>
      </c>
    </row>
    <row r="1055">
      <c r="B1055" s="300" t="s">
        <v>22</v>
      </c>
    </row>
    <row r="1056">
      <c r="B1056" s="300" t="s">
        <v>22</v>
      </c>
    </row>
    <row r="1057">
      <c r="B1057" s="300" t="s">
        <v>22</v>
      </c>
    </row>
    <row r="1058">
      <c r="B1058" s="300" t="s">
        <v>22</v>
      </c>
    </row>
    <row r="1059">
      <c r="B1059" s="300" t="s">
        <v>22</v>
      </c>
    </row>
    <row r="1060">
      <c r="B1060" s="300" t="s">
        <v>22</v>
      </c>
    </row>
    <row r="1061">
      <c r="B1061" s="300" t="s">
        <v>22</v>
      </c>
    </row>
    <row r="1062">
      <c r="B1062" s="300" t="s">
        <v>22</v>
      </c>
    </row>
    <row r="1063">
      <c r="B1063" s="300" t="s">
        <v>22</v>
      </c>
    </row>
    <row r="1064">
      <c r="B1064" s="300" t="s">
        <v>22</v>
      </c>
    </row>
    <row r="1065">
      <c r="B1065" s="300" t="s">
        <v>22</v>
      </c>
    </row>
    <row r="1066">
      <c r="B1066" s="300" t="s">
        <v>22</v>
      </c>
    </row>
    <row r="1067">
      <c r="B1067" s="300" t="s">
        <v>22</v>
      </c>
    </row>
    <row r="1068">
      <c r="B1068" s="300" t="s">
        <v>22</v>
      </c>
    </row>
    <row r="1069">
      <c r="B1069" s="300" t="s">
        <v>22</v>
      </c>
    </row>
    <row r="1070">
      <c r="B1070" s="300" t="s">
        <v>22</v>
      </c>
    </row>
    <row r="1071">
      <c r="B1071" s="300" t="s">
        <v>22</v>
      </c>
    </row>
    <row r="1072">
      <c r="B1072" s="300" t="s">
        <v>22</v>
      </c>
    </row>
    <row r="1073">
      <c r="B1073" s="300" t="s">
        <v>22</v>
      </c>
    </row>
    <row r="1074">
      <c r="B1074" s="300" t="s">
        <v>22</v>
      </c>
    </row>
    <row r="1075">
      <c r="B1075" s="300" t="s">
        <v>22</v>
      </c>
    </row>
    <row r="1076">
      <c r="B1076" s="300" t="s">
        <v>22</v>
      </c>
    </row>
    <row r="1077">
      <c r="B1077" s="300" t="s">
        <v>22</v>
      </c>
    </row>
    <row r="1078">
      <c r="B1078" s="300" t="s">
        <v>22</v>
      </c>
    </row>
    <row r="1079">
      <c r="B1079" s="300" t="s">
        <v>22</v>
      </c>
    </row>
    <row r="1080">
      <c r="B1080" s="300" t="s">
        <v>22</v>
      </c>
    </row>
    <row r="1081">
      <c r="B1081" s="300" t="s">
        <v>22</v>
      </c>
    </row>
    <row r="1082">
      <c r="B1082" s="300" t="s">
        <v>22</v>
      </c>
    </row>
    <row r="1083">
      <c r="B1083" s="300" t="s">
        <v>22</v>
      </c>
    </row>
    <row r="1084">
      <c r="B1084" s="300" t="s">
        <v>22</v>
      </c>
    </row>
    <row r="1085">
      <c r="B1085" s="300" t="s">
        <v>22</v>
      </c>
    </row>
    <row r="1086">
      <c r="B1086" s="300" t="s">
        <v>22</v>
      </c>
    </row>
    <row r="1087">
      <c r="B1087" s="300" t="s">
        <v>22</v>
      </c>
    </row>
    <row r="1088">
      <c r="B1088" s="300" t="s">
        <v>22</v>
      </c>
    </row>
    <row r="1089">
      <c r="B1089" s="300" t="s">
        <v>22</v>
      </c>
    </row>
    <row r="1090">
      <c r="B1090" s="300" t="s">
        <v>22</v>
      </c>
    </row>
    <row r="1091">
      <c r="B1091" s="300" t="s">
        <v>22</v>
      </c>
    </row>
    <row r="1092">
      <c r="B1092" s="300" t="s">
        <v>22</v>
      </c>
    </row>
    <row r="1093">
      <c r="B1093" s="300" t="s">
        <v>22</v>
      </c>
    </row>
    <row r="1094">
      <c r="B1094" s="300" t="s">
        <v>22</v>
      </c>
    </row>
    <row r="1095">
      <c r="B1095" s="300" t="s">
        <v>22</v>
      </c>
    </row>
    <row r="1096">
      <c r="B1096" s="300" t="s">
        <v>22</v>
      </c>
    </row>
    <row r="1097">
      <c r="B1097" s="300" t="s">
        <v>22</v>
      </c>
    </row>
    <row r="1098">
      <c r="B1098" s="300" t="s">
        <v>22</v>
      </c>
    </row>
    <row r="1099">
      <c r="B1099" s="300" t="s">
        <v>22</v>
      </c>
    </row>
    <row r="1100">
      <c r="B1100" s="300" t="s">
        <v>22</v>
      </c>
    </row>
    <row r="1101">
      <c r="B1101" s="300" t="s">
        <v>22</v>
      </c>
    </row>
    <row r="1102">
      <c r="B1102" s="300" t="s">
        <v>22</v>
      </c>
    </row>
    <row r="1103">
      <c r="B1103" s="300" t="s">
        <v>22</v>
      </c>
    </row>
    <row r="1104">
      <c r="B1104" s="300" t="s">
        <v>22</v>
      </c>
    </row>
    <row r="1105">
      <c r="B1105" s="300" t="s">
        <v>22</v>
      </c>
    </row>
    <row r="1106">
      <c r="B1106" s="300" t="s">
        <v>22</v>
      </c>
    </row>
    <row r="1107">
      <c r="B1107" s="300" t="s">
        <v>22</v>
      </c>
    </row>
    <row r="1108">
      <c r="B1108" s="300" t="s">
        <v>22</v>
      </c>
    </row>
    <row r="1109">
      <c r="B1109" s="300" t="s">
        <v>22</v>
      </c>
    </row>
    <row r="1110">
      <c r="B1110" s="300" t="s">
        <v>22</v>
      </c>
    </row>
    <row r="1111">
      <c r="B1111" s="300" t="s">
        <v>22</v>
      </c>
    </row>
    <row r="1112">
      <c r="B1112" s="300" t="s">
        <v>22</v>
      </c>
    </row>
    <row r="1113">
      <c r="B1113" s="300" t="s">
        <v>22</v>
      </c>
    </row>
    <row r="1114">
      <c r="B1114" s="300" t="s">
        <v>22</v>
      </c>
    </row>
    <row r="1115">
      <c r="B1115" s="300" t="s">
        <v>22</v>
      </c>
    </row>
    <row r="1116">
      <c r="B1116" s="300" t="s">
        <v>22</v>
      </c>
    </row>
    <row r="1117">
      <c r="B1117" s="300" t="s">
        <v>22</v>
      </c>
    </row>
    <row r="1118">
      <c r="B1118" s="300" t="s">
        <v>22</v>
      </c>
    </row>
    <row r="1119">
      <c r="B1119" s="300" t="s">
        <v>22</v>
      </c>
    </row>
    <row r="1120">
      <c r="B1120" s="300" t="s">
        <v>22</v>
      </c>
    </row>
    <row r="1121">
      <c r="B1121" s="300" t="s">
        <v>22</v>
      </c>
    </row>
    <row r="1122">
      <c r="B1122" s="300" t="s">
        <v>22</v>
      </c>
    </row>
    <row r="1123">
      <c r="B1123" s="300" t="s">
        <v>22</v>
      </c>
    </row>
    <row r="1124">
      <c r="B1124" s="300" t="s">
        <v>22</v>
      </c>
    </row>
    <row r="1125">
      <c r="B1125" s="300" t="s">
        <v>22</v>
      </c>
    </row>
    <row r="1126">
      <c r="B1126" s="300" t="s">
        <v>22</v>
      </c>
    </row>
    <row r="1127">
      <c r="B1127" s="300" t="s">
        <v>22</v>
      </c>
    </row>
    <row r="1128">
      <c r="B1128" s="300" t="s">
        <v>22</v>
      </c>
    </row>
    <row r="1129">
      <c r="B1129" s="300" t="s">
        <v>22</v>
      </c>
    </row>
    <row r="1130">
      <c r="B1130" s="300" t="s">
        <v>22</v>
      </c>
    </row>
    <row r="1131">
      <c r="B1131" s="300" t="s">
        <v>22</v>
      </c>
    </row>
    <row r="1132">
      <c r="B1132" s="300" t="s">
        <v>22</v>
      </c>
    </row>
    <row r="1133">
      <c r="B1133" s="300" t="s">
        <v>22</v>
      </c>
    </row>
    <row r="1134">
      <c r="B1134" s="300" t="s">
        <v>22</v>
      </c>
    </row>
    <row r="1135">
      <c r="B1135" s="300" t="s">
        <v>22</v>
      </c>
    </row>
    <row r="1136">
      <c r="B1136" s="300" t="s">
        <v>22</v>
      </c>
    </row>
    <row r="1137">
      <c r="B1137" s="300" t="s">
        <v>22</v>
      </c>
    </row>
    <row r="1138">
      <c r="B1138" s="300" t="s">
        <v>22</v>
      </c>
    </row>
    <row r="1139">
      <c r="B1139" s="300" t="s">
        <v>22</v>
      </c>
    </row>
    <row r="1140">
      <c r="B1140" s="300" t="s">
        <v>22</v>
      </c>
    </row>
    <row r="1141">
      <c r="B1141" s="300" t="s">
        <v>22</v>
      </c>
    </row>
    <row r="1142">
      <c r="B1142" s="300" t="s">
        <v>22</v>
      </c>
    </row>
    <row r="1143">
      <c r="B1143" s="300" t="s">
        <v>22</v>
      </c>
    </row>
    <row r="1144">
      <c r="B1144" s="300" t="s">
        <v>22</v>
      </c>
    </row>
    <row r="1145">
      <c r="B1145" s="300" t="s">
        <v>22</v>
      </c>
    </row>
    <row r="1146">
      <c r="B1146" s="300" t="s">
        <v>22</v>
      </c>
    </row>
    <row r="1147">
      <c r="B1147" s="300" t="s">
        <v>22</v>
      </c>
    </row>
    <row r="1148">
      <c r="B1148" s="300" t="s">
        <v>22</v>
      </c>
    </row>
    <row r="1149">
      <c r="B1149" s="300" t="s">
        <v>22</v>
      </c>
    </row>
    <row r="1150">
      <c r="B1150" s="300" t="s">
        <v>22</v>
      </c>
    </row>
    <row r="1151">
      <c r="B1151" s="300" t="s">
        <v>22</v>
      </c>
    </row>
    <row r="1152">
      <c r="B1152" s="300" t="s">
        <v>22</v>
      </c>
    </row>
    <row r="1153">
      <c r="B1153" s="300" t="s">
        <v>22</v>
      </c>
    </row>
    <row r="1154">
      <c r="B1154" s="300" t="s">
        <v>22</v>
      </c>
    </row>
    <row r="1155">
      <c r="B1155" s="300" t="s">
        <v>22</v>
      </c>
    </row>
    <row r="1156">
      <c r="B1156" s="300" t="s">
        <v>22</v>
      </c>
    </row>
    <row r="1157">
      <c r="B1157" s="300" t="s">
        <v>22</v>
      </c>
    </row>
    <row r="1158">
      <c r="B1158" s="300" t="s">
        <v>22</v>
      </c>
    </row>
    <row r="1159">
      <c r="B1159" s="300" t="s">
        <v>22</v>
      </c>
    </row>
    <row r="1160">
      <c r="B1160" s="300" t="s">
        <v>22</v>
      </c>
    </row>
    <row r="1161">
      <c r="B1161" s="300" t="s">
        <v>22</v>
      </c>
    </row>
    <row r="1162">
      <c r="B1162" s="300" t="s">
        <v>22</v>
      </c>
    </row>
    <row r="1163">
      <c r="B1163" s="300" t="s">
        <v>22</v>
      </c>
    </row>
    <row r="1164">
      <c r="B1164" s="300" t="s">
        <v>22</v>
      </c>
    </row>
    <row r="1165">
      <c r="B1165" s="300" t="s">
        <v>22</v>
      </c>
    </row>
    <row r="1166">
      <c r="B1166" s="300" t="s">
        <v>22</v>
      </c>
    </row>
    <row r="1167">
      <c r="B1167" s="300" t="s">
        <v>22</v>
      </c>
    </row>
    <row r="1168">
      <c r="B1168" s="300" t="s">
        <v>22</v>
      </c>
    </row>
    <row r="1169">
      <c r="B1169" s="300" t="s">
        <v>22</v>
      </c>
    </row>
    <row r="1170">
      <c r="B1170" s="300" t="s">
        <v>22</v>
      </c>
    </row>
    <row r="1171">
      <c r="B1171" s="300" t="s">
        <v>22</v>
      </c>
    </row>
    <row r="1172">
      <c r="B1172" s="300" t="s">
        <v>22</v>
      </c>
    </row>
    <row r="1173">
      <c r="B1173" s="300" t="s">
        <v>22</v>
      </c>
    </row>
    <row r="1174">
      <c r="B1174" s="300" t="s">
        <v>22</v>
      </c>
    </row>
    <row r="1175">
      <c r="B1175" s="300" t="s">
        <v>22</v>
      </c>
    </row>
    <row r="1176">
      <c r="B1176" s="300" t="s">
        <v>22</v>
      </c>
    </row>
    <row r="1177">
      <c r="B1177" s="300" t="s">
        <v>22</v>
      </c>
    </row>
    <row r="1178">
      <c r="B1178" s="300" t="s">
        <v>22</v>
      </c>
    </row>
    <row r="1179">
      <c r="B1179" s="300" t="s">
        <v>22</v>
      </c>
    </row>
    <row r="1180">
      <c r="B1180" s="300" t="s">
        <v>22</v>
      </c>
    </row>
    <row r="1181">
      <c r="B1181" s="300" t="s">
        <v>22</v>
      </c>
    </row>
    <row r="1182">
      <c r="B1182" s="300" t="s">
        <v>22</v>
      </c>
    </row>
    <row r="1183">
      <c r="B1183" s="300" t="s">
        <v>22</v>
      </c>
    </row>
    <row r="1184">
      <c r="B1184" s="300" t="s">
        <v>22</v>
      </c>
    </row>
    <row r="1185">
      <c r="B1185" s="300" t="s">
        <v>22</v>
      </c>
    </row>
    <row r="1186">
      <c r="B1186" s="300" t="s">
        <v>22</v>
      </c>
    </row>
    <row r="1187">
      <c r="B1187" s="300" t="s">
        <v>22</v>
      </c>
    </row>
    <row r="1188">
      <c r="B1188" s="300" t="s">
        <v>22</v>
      </c>
    </row>
    <row r="1189">
      <c r="B1189" s="300" t="s">
        <v>22</v>
      </c>
    </row>
    <row r="1190">
      <c r="B1190" s="300" t="s">
        <v>22</v>
      </c>
    </row>
    <row r="1191">
      <c r="B1191" s="300" t="s">
        <v>22</v>
      </c>
    </row>
    <row r="1192">
      <c r="B1192" s="300" t="s">
        <v>22</v>
      </c>
    </row>
    <row r="1193">
      <c r="B1193" s="300" t="s">
        <v>22</v>
      </c>
    </row>
    <row r="1194">
      <c r="B1194" s="300" t="s">
        <v>22</v>
      </c>
    </row>
    <row r="1195">
      <c r="B1195" s="300" t="s">
        <v>22</v>
      </c>
    </row>
    <row r="1196">
      <c r="B1196" s="300" t="s">
        <v>22</v>
      </c>
    </row>
    <row r="1197">
      <c r="B1197" s="300" t="s">
        <v>22</v>
      </c>
    </row>
    <row r="1198">
      <c r="B1198" s="300" t="s">
        <v>22</v>
      </c>
    </row>
    <row r="1199">
      <c r="B1199" s="300" t="s">
        <v>22</v>
      </c>
    </row>
    <row r="1200">
      <c r="B1200" s="300" t="s">
        <v>22</v>
      </c>
    </row>
    <row r="1201">
      <c r="B1201" s="300" t="s">
        <v>22</v>
      </c>
    </row>
    <row r="1202">
      <c r="B1202" s="300" t="s">
        <v>22</v>
      </c>
    </row>
    <row r="1203">
      <c r="B1203" s="300" t="s">
        <v>22</v>
      </c>
    </row>
    <row r="1204">
      <c r="B1204" s="300" t="s">
        <v>22</v>
      </c>
    </row>
    <row r="1205">
      <c r="B1205" s="300" t="s">
        <v>22</v>
      </c>
    </row>
    <row r="1206">
      <c r="B1206" s="300" t="s">
        <v>22</v>
      </c>
    </row>
    <row r="1207">
      <c r="B1207" s="300" t="s">
        <v>22</v>
      </c>
    </row>
    <row r="1208">
      <c r="B1208" s="300" t="s">
        <v>22</v>
      </c>
    </row>
    <row r="1209">
      <c r="B1209" s="300" t="s">
        <v>22</v>
      </c>
    </row>
    <row r="1210">
      <c r="B1210" s="300" t="s">
        <v>22</v>
      </c>
    </row>
    <row r="1211">
      <c r="B1211" s="300" t="s">
        <v>22</v>
      </c>
    </row>
    <row r="1212">
      <c r="B1212" s="300" t="s">
        <v>22</v>
      </c>
    </row>
    <row r="1213">
      <c r="B1213" s="300" t="s">
        <v>22</v>
      </c>
    </row>
    <row r="1214">
      <c r="B1214" s="300" t="s">
        <v>22</v>
      </c>
    </row>
    <row r="1215">
      <c r="B1215" s="300" t="s">
        <v>22</v>
      </c>
    </row>
    <row r="1216">
      <c r="B1216" s="300" t="s">
        <v>22</v>
      </c>
    </row>
    <row r="1217">
      <c r="B1217" s="300" t="s">
        <v>22</v>
      </c>
    </row>
    <row r="1218">
      <c r="B1218" s="300" t="s">
        <v>22</v>
      </c>
    </row>
    <row r="1219">
      <c r="B1219" s="300" t="s">
        <v>22</v>
      </c>
    </row>
    <row r="1220">
      <c r="B1220" s="300" t="s">
        <v>22</v>
      </c>
    </row>
    <row r="1221">
      <c r="B1221" s="300" t="s">
        <v>22</v>
      </c>
    </row>
    <row r="1222">
      <c r="B1222" s="300" t="s">
        <v>22</v>
      </c>
    </row>
    <row r="1223">
      <c r="B1223" s="300" t="s">
        <v>22</v>
      </c>
    </row>
    <row r="1224">
      <c r="B1224" s="300" t="s">
        <v>22</v>
      </c>
    </row>
    <row r="1225">
      <c r="B1225" s="300" t="s">
        <v>22</v>
      </c>
    </row>
    <row r="1226">
      <c r="B1226" s="300" t="s">
        <v>22</v>
      </c>
    </row>
    <row r="1227">
      <c r="B1227" s="300" t="s">
        <v>22</v>
      </c>
    </row>
    <row r="1228">
      <c r="B1228" s="300" t="s">
        <v>22</v>
      </c>
    </row>
    <row r="1229">
      <c r="B1229" s="300" t="s">
        <v>22</v>
      </c>
    </row>
    <row r="1230">
      <c r="B1230" s="300" t="s">
        <v>22</v>
      </c>
    </row>
    <row r="1231">
      <c r="B1231" s="300" t="s">
        <v>22</v>
      </c>
    </row>
    <row r="1232">
      <c r="B1232" s="300" t="s">
        <v>22</v>
      </c>
    </row>
    <row r="1233">
      <c r="B1233" s="300" t="s">
        <v>22</v>
      </c>
    </row>
    <row r="1234">
      <c r="B1234" s="300" t="s">
        <v>22</v>
      </c>
    </row>
    <row r="1235">
      <c r="B1235" s="300" t="s">
        <v>22</v>
      </c>
    </row>
    <row r="1236">
      <c r="B1236" s="300" t="s">
        <v>22</v>
      </c>
    </row>
    <row r="1237">
      <c r="B1237" s="300" t="s">
        <v>22</v>
      </c>
    </row>
    <row r="1238">
      <c r="B1238" s="300" t="s">
        <v>22</v>
      </c>
    </row>
    <row r="1239">
      <c r="B1239" s="300" t="s">
        <v>22</v>
      </c>
    </row>
    <row r="1240">
      <c r="B1240" s="300" t="s">
        <v>22</v>
      </c>
    </row>
    <row r="1241">
      <c r="B1241" s="300" t="s">
        <v>22</v>
      </c>
    </row>
    <row r="1242">
      <c r="B1242" s="300" t="s">
        <v>22</v>
      </c>
    </row>
    <row r="1243">
      <c r="B1243" s="300" t="s">
        <v>22</v>
      </c>
    </row>
    <row r="1244">
      <c r="B1244" s="300" t="s">
        <v>22</v>
      </c>
    </row>
    <row r="1245">
      <c r="B1245" s="300" t="s">
        <v>22</v>
      </c>
    </row>
    <row r="1246">
      <c r="B1246" s="300" t="s">
        <v>22</v>
      </c>
    </row>
    <row r="1247">
      <c r="B1247" s="300" t="s">
        <v>22</v>
      </c>
    </row>
    <row r="1248">
      <c r="B1248" s="300" t="s">
        <v>22</v>
      </c>
    </row>
    <row r="1249">
      <c r="B1249" s="300" t="s">
        <v>22</v>
      </c>
    </row>
    <row r="1250">
      <c r="B1250" s="300" t="s">
        <v>22</v>
      </c>
    </row>
    <row r="1251">
      <c r="B1251" s="300" t="s">
        <v>22</v>
      </c>
    </row>
    <row r="1252">
      <c r="B1252" s="300" t="s">
        <v>22</v>
      </c>
    </row>
    <row r="1253">
      <c r="B1253" s="300" t="s">
        <v>22</v>
      </c>
    </row>
    <row r="1254">
      <c r="B1254" s="300" t="s">
        <v>22</v>
      </c>
    </row>
    <row r="1255">
      <c r="B1255" s="300" t="s">
        <v>22</v>
      </c>
    </row>
    <row r="1256">
      <c r="B1256" s="300" t="s">
        <v>22</v>
      </c>
    </row>
    <row r="1257">
      <c r="B1257" s="300" t="s">
        <v>22</v>
      </c>
    </row>
    <row r="1258">
      <c r="B1258" s="300" t="s">
        <v>22</v>
      </c>
    </row>
    <row r="1259">
      <c r="B1259" s="300" t="s">
        <v>22</v>
      </c>
    </row>
    <row r="1260">
      <c r="B1260" s="300" t="s">
        <v>22</v>
      </c>
    </row>
    <row r="1261">
      <c r="B1261" s="300" t="s">
        <v>22</v>
      </c>
    </row>
    <row r="1262">
      <c r="B1262" s="300" t="s">
        <v>22</v>
      </c>
    </row>
    <row r="1263">
      <c r="B1263" s="300" t="s">
        <v>22</v>
      </c>
    </row>
    <row r="1264">
      <c r="B1264" s="300" t="s">
        <v>22</v>
      </c>
    </row>
    <row r="1265">
      <c r="B1265" s="300" t="s">
        <v>22</v>
      </c>
    </row>
    <row r="1266">
      <c r="B1266" s="300" t="s">
        <v>22</v>
      </c>
    </row>
    <row r="1267">
      <c r="B1267" s="300" t="s">
        <v>22</v>
      </c>
    </row>
    <row r="1268">
      <c r="B1268" s="300" t="s">
        <v>22</v>
      </c>
    </row>
    <row r="1269">
      <c r="B1269" s="300" t="s">
        <v>22</v>
      </c>
    </row>
    <row r="1270">
      <c r="B1270" s="300" t="s">
        <v>22</v>
      </c>
    </row>
    <row r="1271">
      <c r="B1271" s="300" t="s">
        <v>22</v>
      </c>
    </row>
    <row r="1272">
      <c r="B1272" s="300" t="s">
        <v>22</v>
      </c>
    </row>
    <row r="1273">
      <c r="B1273" s="300" t="s">
        <v>22</v>
      </c>
    </row>
    <row r="1274">
      <c r="B1274" s="300" t="s">
        <v>22</v>
      </c>
    </row>
    <row r="1275">
      <c r="B1275" s="300" t="s">
        <v>22</v>
      </c>
    </row>
    <row r="1276">
      <c r="B1276" s="300" t="s">
        <v>22</v>
      </c>
    </row>
    <row r="1277">
      <c r="B1277" s="300" t="s">
        <v>22</v>
      </c>
    </row>
    <row r="1278">
      <c r="B1278" s="300" t="s">
        <v>22</v>
      </c>
    </row>
    <row r="1279">
      <c r="B1279" s="300" t="s">
        <v>22</v>
      </c>
    </row>
    <row r="1280">
      <c r="B1280" s="300" t="s">
        <v>22</v>
      </c>
    </row>
    <row r="1281">
      <c r="B1281" s="300" t="s">
        <v>22</v>
      </c>
    </row>
    <row r="1282">
      <c r="B1282" s="300" t="s">
        <v>22</v>
      </c>
    </row>
    <row r="1283">
      <c r="B1283" s="300" t="s">
        <v>22</v>
      </c>
    </row>
    <row r="1284">
      <c r="B1284" s="300" t="s">
        <v>22</v>
      </c>
    </row>
    <row r="1285">
      <c r="B1285" s="300" t="s">
        <v>22</v>
      </c>
    </row>
    <row r="1286">
      <c r="B1286" s="300" t="s">
        <v>22</v>
      </c>
    </row>
    <row r="1287">
      <c r="B1287" s="300" t="s">
        <v>22</v>
      </c>
    </row>
    <row r="1288">
      <c r="B1288" s="300" t="s">
        <v>22</v>
      </c>
    </row>
    <row r="1289">
      <c r="B1289" s="300" t="s">
        <v>22</v>
      </c>
    </row>
    <row r="1290">
      <c r="B1290" s="300" t="s">
        <v>22</v>
      </c>
    </row>
    <row r="1291">
      <c r="B1291" s="300" t="s">
        <v>22</v>
      </c>
    </row>
    <row r="1292">
      <c r="B1292" s="300" t="s">
        <v>22</v>
      </c>
    </row>
    <row r="1293">
      <c r="B1293" s="300" t="s">
        <v>22</v>
      </c>
    </row>
    <row r="1294">
      <c r="B1294" s="300" t="s">
        <v>22</v>
      </c>
    </row>
    <row r="1295">
      <c r="B1295" s="300" t="s">
        <v>22</v>
      </c>
    </row>
    <row r="1296">
      <c r="B1296" s="300" t="s">
        <v>22</v>
      </c>
    </row>
    <row r="1297">
      <c r="B1297" s="300" t="s">
        <v>22</v>
      </c>
    </row>
    <row r="1298">
      <c r="B1298" s="300" t="s">
        <v>22</v>
      </c>
    </row>
    <row r="1299">
      <c r="B1299" s="300" t="s">
        <v>22</v>
      </c>
    </row>
    <row r="1300">
      <c r="B1300" s="300" t="s">
        <v>22</v>
      </c>
    </row>
    <row r="1301">
      <c r="B1301" s="300" t="s">
        <v>22</v>
      </c>
    </row>
    <row r="1302">
      <c r="B1302" s="300" t="s">
        <v>22</v>
      </c>
    </row>
    <row r="1303">
      <c r="B1303" s="300" t="s">
        <v>22</v>
      </c>
    </row>
    <row r="1304">
      <c r="B1304" s="300" t="s">
        <v>22</v>
      </c>
    </row>
    <row r="1305">
      <c r="B1305" s="300" t="s">
        <v>22</v>
      </c>
    </row>
    <row r="1306">
      <c r="B1306" s="300" t="s">
        <v>22</v>
      </c>
    </row>
    <row r="1307">
      <c r="B1307" s="300" t="s">
        <v>22</v>
      </c>
    </row>
    <row r="1308">
      <c r="B1308" s="300" t="s">
        <v>22</v>
      </c>
    </row>
    <row r="1309">
      <c r="B1309" s="300" t="s">
        <v>22</v>
      </c>
    </row>
    <row r="1310">
      <c r="B1310" s="300" t="s">
        <v>22</v>
      </c>
    </row>
    <row r="1311">
      <c r="B1311" s="300" t="s">
        <v>22</v>
      </c>
    </row>
    <row r="1312">
      <c r="B1312" s="300" t="s">
        <v>22</v>
      </c>
    </row>
    <row r="1313">
      <c r="B1313" s="300" t="s">
        <v>22</v>
      </c>
    </row>
    <row r="1314">
      <c r="B1314" s="300" t="s">
        <v>22</v>
      </c>
    </row>
    <row r="1315">
      <c r="B1315" s="300" t="s">
        <v>22</v>
      </c>
    </row>
    <row r="1316">
      <c r="B1316" s="300" t="s">
        <v>22</v>
      </c>
    </row>
    <row r="1317">
      <c r="B1317" s="300" t="s">
        <v>22</v>
      </c>
    </row>
    <row r="1318">
      <c r="B1318" s="300" t="s">
        <v>22</v>
      </c>
    </row>
    <row r="1319">
      <c r="B1319" s="300" t="s">
        <v>22</v>
      </c>
    </row>
    <row r="1320">
      <c r="B1320" s="300" t="s">
        <v>22</v>
      </c>
    </row>
    <row r="1321">
      <c r="B1321" s="300" t="s">
        <v>22</v>
      </c>
    </row>
    <row r="1322">
      <c r="B1322" s="300" t="s">
        <v>22</v>
      </c>
    </row>
    <row r="1323">
      <c r="B1323" s="300" t="s">
        <v>22</v>
      </c>
    </row>
    <row r="1324">
      <c r="B1324" s="300" t="s">
        <v>22</v>
      </c>
    </row>
    <row r="1325">
      <c r="B1325" s="300" t="s">
        <v>22</v>
      </c>
    </row>
    <row r="1326">
      <c r="B1326" s="300" t="s">
        <v>22</v>
      </c>
    </row>
    <row r="1327">
      <c r="B1327" s="300" t="s">
        <v>22</v>
      </c>
    </row>
    <row r="1328">
      <c r="B1328" s="300" t="s">
        <v>22</v>
      </c>
    </row>
    <row r="1329">
      <c r="B1329" s="300" t="s">
        <v>22</v>
      </c>
    </row>
    <row r="1330">
      <c r="B1330" s="300" t="s">
        <v>22</v>
      </c>
    </row>
    <row r="1331">
      <c r="B1331" s="300" t="s">
        <v>22</v>
      </c>
    </row>
    <row r="1332">
      <c r="B1332" s="300" t="s">
        <v>22</v>
      </c>
    </row>
    <row r="1333">
      <c r="B1333" s="300" t="s">
        <v>22</v>
      </c>
    </row>
    <row r="1334">
      <c r="B1334" s="300" t="s">
        <v>22</v>
      </c>
    </row>
    <row r="1335">
      <c r="B1335" s="300" t="s">
        <v>22</v>
      </c>
    </row>
    <row r="1336">
      <c r="B1336" s="300" t="s">
        <v>22</v>
      </c>
    </row>
    <row r="1337">
      <c r="B1337" s="300" t="s">
        <v>22</v>
      </c>
    </row>
    <row r="1338">
      <c r="B1338" s="300" t="s">
        <v>22</v>
      </c>
    </row>
    <row r="1339">
      <c r="B1339" s="300" t="s">
        <v>22</v>
      </c>
    </row>
    <row r="1340">
      <c r="B1340" s="300" t="s">
        <v>22</v>
      </c>
    </row>
    <row r="1341">
      <c r="B1341" s="300" t="s">
        <v>22</v>
      </c>
    </row>
    <row r="1342">
      <c r="B1342" s="300" t="s">
        <v>22</v>
      </c>
    </row>
    <row r="1343">
      <c r="B1343" s="300" t="s">
        <v>22</v>
      </c>
    </row>
    <row r="1344">
      <c r="B1344" s="300" t="s">
        <v>22</v>
      </c>
    </row>
    <row r="1345">
      <c r="B1345" s="300" t="s">
        <v>22</v>
      </c>
    </row>
    <row r="1346">
      <c r="B1346" s="300" t="s">
        <v>22</v>
      </c>
    </row>
    <row r="1347">
      <c r="B1347" s="300" t="s">
        <v>22</v>
      </c>
    </row>
    <row r="1348">
      <c r="B1348" s="300" t="s">
        <v>22</v>
      </c>
    </row>
    <row r="1349">
      <c r="B1349" s="300" t="s">
        <v>22</v>
      </c>
    </row>
    <row r="1350">
      <c r="B1350" s="300" t="s">
        <v>22</v>
      </c>
    </row>
    <row r="1351">
      <c r="B1351" s="300" t="s">
        <v>22</v>
      </c>
    </row>
    <row r="1352">
      <c r="B1352" s="300" t="s">
        <v>22</v>
      </c>
    </row>
    <row r="1353">
      <c r="B1353" s="300" t="s">
        <v>22</v>
      </c>
    </row>
    <row r="1354">
      <c r="B1354" s="300" t="s">
        <v>22</v>
      </c>
    </row>
    <row r="1355">
      <c r="B1355" s="300" t="s">
        <v>22</v>
      </c>
    </row>
    <row r="1356">
      <c r="B1356" s="300" t="s">
        <v>22</v>
      </c>
    </row>
    <row r="1357">
      <c r="B1357" s="300" t="s">
        <v>22</v>
      </c>
    </row>
    <row r="1358">
      <c r="B1358" s="300" t="s">
        <v>22</v>
      </c>
    </row>
    <row r="1359">
      <c r="B1359" s="300" t="s">
        <v>22</v>
      </c>
    </row>
    <row r="1360">
      <c r="B1360" s="300" t="s">
        <v>22</v>
      </c>
    </row>
    <row r="1361">
      <c r="B1361" s="300" t="s">
        <v>22</v>
      </c>
    </row>
    <row r="1362">
      <c r="B1362" s="300" t="s">
        <v>22</v>
      </c>
    </row>
    <row r="1363">
      <c r="B1363" s="300" t="s">
        <v>22</v>
      </c>
    </row>
    <row r="1364">
      <c r="B1364" s="300" t="s">
        <v>22</v>
      </c>
    </row>
    <row r="1365">
      <c r="B1365" s="300" t="s">
        <v>22</v>
      </c>
    </row>
    <row r="1366">
      <c r="B1366" s="300" t="s">
        <v>22</v>
      </c>
    </row>
    <row r="1367">
      <c r="B1367" s="300" t="s">
        <v>22</v>
      </c>
    </row>
    <row r="1368">
      <c r="B1368" s="300" t="s">
        <v>22</v>
      </c>
    </row>
    <row r="1369">
      <c r="B1369" s="300" t="s">
        <v>22</v>
      </c>
    </row>
    <row r="1370">
      <c r="B1370" s="300" t="s">
        <v>22</v>
      </c>
    </row>
    <row r="1371">
      <c r="B1371" s="300" t="s">
        <v>22</v>
      </c>
    </row>
    <row r="1372">
      <c r="B1372" s="300" t="s">
        <v>22</v>
      </c>
    </row>
    <row r="1373">
      <c r="B1373" s="300" t="s">
        <v>22</v>
      </c>
    </row>
    <row r="1374">
      <c r="B1374" s="300" t="s">
        <v>22</v>
      </c>
    </row>
    <row r="1375">
      <c r="B1375" s="300" t="s">
        <v>22</v>
      </c>
    </row>
    <row r="1376">
      <c r="B1376" s="300" t="s">
        <v>22</v>
      </c>
    </row>
    <row r="1377">
      <c r="B1377" s="300" t="s">
        <v>22</v>
      </c>
    </row>
    <row r="1378">
      <c r="B1378" s="300" t="s">
        <v>22</v>
      </c>
    </row>
    <row r="1379">
      <c r="B1379" s="300" t="s">
        <v>22</v>
      </c>
    </row>
    <row r="1380">
      <c r="B1380" s="300" t="s">
        <v>22</v>
      </c>
    </row>
    <row r="1381">
      <c r="B1381" s="300" t="s">
        <v>22</v>
      </c>
    </row>
    <row r="1382">
      <c r="B1382" s="300" t="s">
        <v>22</v>
      </c>
    </row>
    <row r="1383">
      <c r="B1383" s="300" t="s">
        <v>22</v>
      </c>
    </row>
    <row r="1384">
      <c r="B1384" s="300" t="s">
        <v>22</v>
      </c>
    </row>
    <row r="1385">
      <c r="B1385" s="300" t="s">
        <v>22</v>
      </c>
    </row>
    <row r="1386">
      <c r="B1386" s="300" t="s">
        <v>22</v>
      </c>
    </row>
    <row r="1387">
      <c r="B1387" s="300" t="s">
        <v>22</v>
      </c>
    </row>
    <row r="1388">
      <c r="B1388" s="300" t="s">
        <v>22</v>
      </c>
    </row>
    <row r="1389">
      <c r="B1389" s="300" t="s">
        <v>22</v>
      </c>
    </row>
    <row r="1390">
      <c r="B1390" s="300" t="s">
        <v>22</v>
      </c>
    </row>
    <row r="1391">
      <c r="B1391" s="300" t="s">
        <v>22</v>
      </c>
    </row>
    <row r="1392">
      <c r="B1392" s="300" t="s">
        <v>22</v>
      </c>
    </row>
    <row r="1393">
      <c r="B1393" s="300" t="s">
        <v>22</v>
      </c>
    </row>
    <row r="1394">
      <c r="B1394" s="300" t="s">
        <v>22</v>
      </c>
    </row>
    <row r="1395">
      <c r="B1395" s="300" t="s">
        <v>22</v>
      </c>
    </row>
    <row r="1396">
      <c r="B1396" s="300" t="s">
        <v>22</v>
      </c>
    </row>
    <row r="1397">
      <c r="B1397" s="300" t="s">
        <v>22</v>
      </c>
    </row>
    <row r="1398">
      <c r="B1398" s="300" t="s">
        <v>22</v>
      </c>
    </row>
    <row r="1399">
      <c r="B1399" s="300" t="s">
        <v>22</v>
      </c>
    </row>
    <row r="1400">
      <c r="B1400" s="300" t="s">
        <v>22</v>
      </c>
    </row>
    <row r="1401">
      <c r="B1401" s="300" t="s">
        <v>22</v>
      </c>
    </row>
    <row r="1402">
      <c r="B1402" s="300" t="s">
        <v>22</v>
      </c>
    </row>
    <row r="1403">
      <c r="B1403" s="300" t="s">
        <v>22</v>
      </c>
    </row>
    <row r="1404">
      <c r="B1404" s="300" t="s">
        <v>22</v>
      </c>
    </row>
    <row r="1405">
      <c r="B1405" s="300" t="s">
        <v>22</v>
      </c>
    </row>
    <row r="1406">
      <c r="B1406" s="300" t="s">
        <v>22</v>
      </c>
    </row>
    <row r="1407">
      <c r="B1407" s="300" t="s">
        <v>22</v>
      </c>
    </row>
    <row r="1408">
      <c r="B1408" s="300" t="s">
        <v>22</v>
      </c>
    </row>
    <row r="1409">
      <c r="B1409" s="300" t="s">
        <v>22</v>
      </c>
    </row>
    <row r="1410">
      <c r="B1410" s="300" t="s">
        <v>22</v>
      </c>
    </row>
    <row r="1411">
      <c r="B1411" s="300" t="s">
        <v>22</v>
      </c>
    </row>
    <row r="1412">
      <c r="B1412" s="300" t="s">
        <v>22</v>
      </c>
    </row>
    <row r="1413">
      <c r="B1413" s="300" t="s">
        <v>22</v>
      </c>
    </row>
    <row r="1414">
      <c r="B1414" s="300" t="s">
        <v>22</v>
      </c>
    </row>
    <row r="1415">
      <c r="B1415" s="300" t="s">
        <v>22</v>
      </c>
    </row>
    <row r="1416">
      <c r="B1416" s="300" t="s">
        <v>22</v>
      </c>
    </row>
    <row r="1417">
      <c r="B1417" s="300" t="s">
        <v>22</v>
      </c>
    </row>
    <row r="1418">
      <c r="B1418" s="300" t="s">
        <v>22</v>
      </c>
    </row>
    <row r="1419">
      <c r="B1419" s="300" t="s">
        <v>22</v>
      </c>
    </row>
    <row r="1420">
      <c r="B1420" s="300" t="s">
        <v>22</v>
      </c>
    </row>
    <row r="1421">
      <c r="B1421" s="300" t="s">
        <v>22</v>
      </c>
    </row>
    <row r="1422">
      <c r="B1422" s="300" t="s">
        <v>22</v>
      </c>
    </row>
    <row r="1423">
      <c r="B1423" s="300" t="s">
        <v>22</v>
      </c>
    </row>
    <row r="1424">
      <c r="B1424" s="300" t="s">
        <v>22</v>
      </c>
    </row>
    <row r="1425">
      <c r="B1425" s="300" t="s">
        <v>22</v>
      </c>
    </row>
    <row r="1426">
      <c r="B1426" s="300" t="s">
        <v>22</v>
      </c>
    </row>
    <row r="1427">
      <c r="B1427" s="300" t="s">
        <v>22</v>
      </c>
    </row>
    <row r="1428">
      <c r="B1428" s="300" t="s">
        <v>22</v>
      </c>
    </row>
    <row r="1429">
      <c r="B1429" s="300" t="s">
        <v>22</v>
      </c>
    </row>
    <row r="1430">
      <c r="B1430" s="300" t="s">
        <v>22</v>
      </c>
    </row>
    <row r="1431">
      <c r="B1431" s="300" t="s">
        <v>22</v>
      </c>
    </row>
    <row r="1432">
      <c r="B1432" s="300" t="s">
        <v>22</v>
      </c>
    </row>
    <row r="1433">
      <c r="B1433" s="300" t="s">
        <v>22</v>
      </c>
    </row>
    <row r="1434">
      <c r="B1434" s="300" t="s">
        <v>22</v>
      </c>
    </row>
    <row r="1435">
      <c r="B1435" s="300" t="s">
        <v>22</v>
      </c>
    </row>
    <row r="1436">
      <c r="B1436" s="300" t="s">
        <v>22</v>
      </c>
    </row>
    <row r="1437">
      <c r="B1437" s="300" t="s">
        <v>22</v>
      </c>
    </row>
    <row r="1438">
      <c r="B1438" s="300" t="s">
        <v>22</v>
      </c>
    </row>
    <row r="1439">
      <c r="B1439" s="300" t="s">
        <v>22</v>
      </c>
    </row>
    <row r="1440">
      <c r="B1440" s="300" t="s">
        <v>22</v>
      </c>
    </row>
    <row r="1441">
      <c r="B1441" s="300" t="s">
        <v>22</v>
      </c>
    </row>
    <row r="1442">
      <c r="B1442" s="300" t="s">
        <v>22</v>
      </c>
    </row>
    <row r="1443">
      <c r="B1443" s="300" t="s">
        <v>22</v>
      </c>
    </row>
    <row r="1444">
      <c r="B1444" s="300" t="s">
        <v>22</v>
      </c>
    </row>
    <row r="1445">
      <c r="B1445" s="300" t="s">
        <v>22</v>
      </c>
    </row>
    <row r="1446">
      <c r="B1446" s="300" t="s">
        <v>22</v>
      </c>
    </row>
    <row r="1447">
      <c r="B1447" s="300" t="s">
        <v>22</v>
      </c>
    </row>
    <row r="1448">
      <c r="B1448" s="300" t="s">
        <v>22</v>
      </c>
    </row>
    <row r="1449">
      <c r="B1449" s="300" t="s">
        <v>22</v>
      </c>
    </row>
    <row r="1450">
      <c r="B1450" s="300" t="s">
        <v>22</v>
      </c>
    </row>
    <row r="1451">
      <c r="B1451" s="300" t="s">
        <v>22</v>
      </c>
    </row>
    <row r="1452">
      <c r="B1452" s="300" t="s">
        <v>22</v>
      </c>
    </row>
    <row r="1453">
      <c r="B1453" s="300" t="s">
        <v>22</v>
      </c>
    </row>
    <row r="1454">
      <c r="B1454" s="300" t="s">
        <v>22</v>
      </c>
    </row>
    <row r="1455">
      <c r="B1455" s="300" t="s">
        <v>22</v>
      </c>
    </row>
    <row r="1456">
      <c r="B1456" s="300" t="s">
        <v>22</v>
      </c>
    </row>
    <row r="1457">
      <c r="B1457" s="300" t="s">
        <v>22</v>
      </c>
    </row>
    <row r="1458">
      <c r="B1458" s="300" t="s">
        <v>22</v>
      </c>
    </row>
    <row r="1459">
      <c r="B1459" s="300" t="s">
        <v>22</v>
      </c>
    </row>
    <row r="1460">
      <c r="B1460" s="300" t="s">
        <v>22</v>
      </c>
    </row>
    <row r="1461">
      <c r="B1461" s="300" t="s">
        <v>22</v>
      </c>
    </row>
    <row r="1462">
      <c r="B1462" s="300" t="s">
        <v>22</v>
      </c>
    </row>
    <row r="1463">
      <c r="B1463" s="300" t="s">
        <v>22</v>
      </c>
    </row>
    <row r="1464">
      <c r="B1464" s="300" t="s">
        <v>22</v>
      </c>
    </row>
    <row r="1465">
      <c r="B1465" s="300" t="s">
        <v>22</v>
      </c>
    </row>
    <row r="1466">
      <c r="B1466" s="300" t="s">
        <v>22</v>
      </c>
    </row>
    <row r="1467">
      <c r="B1467" s="300" t="s">
        <v>22</v>
      </c>
    </row>
    <row r="1468">
      <c r="B1468" s="300" t="s">
        <v>22</v>
      </c>
    </row>
    <row r="1469">
      <c r="B1469" s="300" t="s">
        <v>22</v>
      </c>
    </row>
    <row r="1470">
      <c r="B1470" s="300" t="s">
        <v>22</v>
      </c>
    </row>
    <row r="1471">
      <c r="B1471" s="300" t="s">
        <v>22</v>
      </c>
    </row>
    <row r="1472">
      <c r="B1472" s="300" t="s">
        <v>22</v>
      </c>
    </row>
    <row r="1473">
      <c r="B1473" s="300" t="s">
        <v>22</v>
      </c>
    </row>
    <row r="1474">
      <c r="B1474" s="300" t="s">
        <v>22</v>
      </c>
    </row>
    <row r="1475">
      <c r="B1475" s="300" t="s">
        <v>22</v>
      </c>
    </row>
    <row r="1476">
      <c r="B1476" s="300" t="s">
        <v>22</v>
      </c>
    </row>
    <row r="1477">
      <c r="B1477" s="300" t="s">
        <v>22</v>
      </c>
    </row>
    <row r="1478">
      <c r="B1478" s="300" t="s">
        <v>22</v>
      </c>
    </row>
    <row r="1479">
      <c r="B1479" s="300" t="s">
        <v>22</v>
      </c>
    </row>
    <row r="1480">
      <c r="B1480" s="300" t="s">
        <v>22</v>
      </c>
    </row>
    <row r="1481">
      <c r="B1481" s="300" t="s">
        <v>22</v>
      </c>
    </row>
    <row r="1482">
      <c r="B1482" s="300" t="s">
        <v>22</v>
      </c>
    </row>
    <row r="1483">
      <c r="B1483" s="300" t="s">
        <v>22</v>
      </c>
    </row>
    <row r="1484">
      <c r="B1484" s="300" t="s">
        <v>22</v>
      </c>
    </row>
    <row r="1485">
      <c r="B1485" s="300" t="s">
        <v>22</v>
      </c>
    </row>
    <row r="1486">
      <c r="B1486" s="300" t="s">
        <v>22</v>
      </c>
    </row>
    <row r="1487">
      <c r="B1487" s="300" t="s">
        <v>22</v>
      </c>
    </row>
    <row r="1488">
      <c r="B1488" s="300" t="s">
        <v>22</v>
      </c>
    </row>
    <row r="1489">
      <c r="B1489" s="300" t="s">
        <v>22</v>
      </c>
    </row>
    <row r="1490">
      <c r="B1490" s="300" t="s">
        <v>22</v>
      </c>
    </row>
    <row r="1491">
      <c r="B1491" s="300" t="s">
        <v>22</v>
      </c>
    </row>
    <row r="1492">
      <c r="B1492" s="300" t="s">
        <v>22</v>
      </c>
    </row>
    <row r="1493">
      <c r="B1493" s="300" t="s">
        <v>22</v>
      </c>
    </row>
    <row r="1494">
      <c r="B1494" s="300" t="s">
        <v>22</v>
      </c>
    </row>
    <row r="1495">
      <c r="B1495" s="300" t="s">
        <v>22</v>
      </c>
    </row>
    <row r="1496">
      <c r="B1496" s="300" t="s">
        <v>22</v>
      </c>
    </row>
    <row r="1497">
      <c r="B1497" s="300" t="s">
        <v>22</v>
      </c>
    </row>
    <row r="1498">
      <c r="B1498" s="300" t="s">
        <v>22</v>
      </c>
    </row>
    <row r="1499">
      <c r="B1499" s="300" t="s">
        <v>22</v>
      </c>
    </row>
    <row r="1500">
      <c r="B1500" s="300" t="s">
        <v>22</v>
      </c>
    </row>
    <row r="1501">
      <c r="B1501" s="300" t="s">
        <v>22</v>
      </c>
    </row>
    <row r="1502">
      <c r="B1502" s="300" t="s">
        <v>22</v>
      </c>
    </row>
    <row r="1503">
      <c r="B1503" s="300" t="s">
        <v>22</v>
      </c>
    </row>
    <row r="1504">
      <c r="B1504" s="300" t="s">
        <v>22</v>
      </c>
    </row>
    <row r="1505">
      <c r="B1505" s="300" t="s">
        <v>22</v>
      </c>
    </row>
    <row r="1506">
      <c r="B1506" s="300" t="s">
        <v>22</v>
      </c>
    </row>
    <row r="1507">
      <c r="B1507" s="300" t="s">
        <v>22</v>
      </c>
    </row>
    <row r="1508">
      <c r="B1508" s="300" t="s">
        <v>22</v>
      </c>
    </row>
    <row r="1509">
      <c r="B1509" s="300" t="s">
        <v>22</v>
      </c>
    </row>
    <row r="1510">
      <c r="B1510" s="300" t="s">
        <v>22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3.13"/>
    <col customWidth="1" min="4" max="4" width="29.75"/>
  </cols>
  <sheetData>
    <row r="1">
      <c r="A1" s="359" t="s">
        <v>1039</v>
      </c>
      <c r="B1" s="400"/>
      <c r="C1" s="21" t="s">
        <v>13</v>
      </c>
      <c r="D1" s="21" t="s">
        <v>14</v>
      </c>
      <c r="E1" s="359" t="s">
        <v>1040</v>
      </c>
      <c r="F1" s="400"/>
      <c r="G1" s="359" t="s">
        <v>14</v>
      </c>
      <c r="H1" s="359" t="str">
        <f t="array" ref="H1:H1000">if(ROW(H:H)=1,"Order",if(G:G="","",ROW(G:G)))</f>
        <v>Order</v>
      </c>
      <c r="I1" s="400"/>
      <c r="J1" s="400"/>
      <c r="K1" s="400"/>
      <c r="L1" s="400"/>
      <c r="M1" s="400"/>
      <c r="N1" s="400"/>
      <c r="O1" s="400"/>
      <c r="P1" s="400"/>
      <c r="Q1" s="400"/>
      <c r="R1" s="400"/>
      <c r="S1" s="400"/>
      <c r="T1" s="400"/>
      <c r="U1" s="400"/>
      <c r="V1" s="400"/>
      <c r="W1" s="400"/>
      <c r="X1" s="400"/>
      <c r="Y1" s="400"/>
      <c r="Z1" s="400"/>
    </row>
    <row r="2">
      <c r="A2" s="296" t="str">
        <f>IFERROR(__xludf.DUMMYFUNCTION("sort(unique(filter('Teachers and Groups'!C2:C1000,'Teachers and Groups'!C2:C1000&lt;&gt;"""")))"),"Alejandro Henao")</f>
        <v>Alejandro Henao</v>
      </c>
      <c r="C2" s="296" t="str">
        <f>IFERROR(__xludf.DUMMYFUNCTION("sort({unique(filter({if('Teachers and Groups'!D2:D1000=""Year"","""",""S1""),'Teachers and Groups'!C2:C1000,'Teachers and Groups'!E2:E1000},'Teachers and Groups'!C2:C1000&lt;&gt;"""",'Teachers and Groups'!D2:D1000&lt;&gt;""""));unique(filter({if('Teachers and Groups'"&amp;"!D2:D1000=""Semester"",""S2"",""ERROR""),'Teachers and Groups'!C2:C1000,'Teachers and Groups'!E2:E1000},'Teachers and Groups'!C2:C1000&lt;&gt;"""",'Teachers and Groups'!D2:D1000&lt;&gt;"""",'Teachers and Groups'!D2:D1000=""Semester""))},3,true,1,true)"),"#VALUE!")</f>
        <v>#VALUE!</v>
      </c>
      <c r="G2" s="296" t="str">
        <f>IFERROR(__xludf.DUMMYFUNCTION("unique(filter('Teachers and Groups'!C2:C1000,'Teachers and Groups'!C2:C1000&lt;&gt;""""))"),"Jorge Mario Angel")</f>
        <v>Jorge Mario Angel</v>
      </c>
      <c r="H2">
        <v>2.0</v>
      </c>
    </row>
    <row r="3">
      <c r="A3" t="str">
        <f>IFERROR(__xludf.DUMMYFUNCTION("""COMPUTED_VALUE"""),"Alyssa Jodoin")</f>
        <v>Alyssa Jodoin</v>
      </c>
      <c r="G3" t="str">
        <f>IFERROR(__xludf.DUMMYFUNCTION("""COMPUTED_VALUE"""),"Sofia Arcila")</f>
        <v>Sofia Arcila</v>
      </c>
      <c r="H3">
        <v>3.0</v>
      </c>
    </row>
    <row r="4">
      <c r="A4" t="str">
        <f>IFERROR(__xludf.DUMMYFUNCTION("""COMPUTED_VALUE"""),"Andrea Martínez")</f>
        <v>Andrea Martínez</v>
      </c>
      <c r="G4" t="str">
        <f>IFERROR(__xludf.DUMMYFUNCTION("""COMPUTED_VALUE"""),"Gloria Velez")</f>
        <v>Gloria Velez</v>
      </c>
      <c r="H4">
        <v>4.0</v>
      </c>
    </row>
    <row r="5">
      <c r="A5" t="str">
        <f>IFERROR(__xludf.DUMMYFUNCTION("""COMPUTED_VALUE"""),"Andres Arboleda")</f>
        <v>Andres Arboleda</v>
      </c>
      <c r="G5" t="str">
        <f>IFERROR(__xludf.DUMMYFUNCTION("""COMPUTED_VALUE"""),"Andrew Shainker")</f>
        <v>Andrew Shainker</v>
      </c>
      <c r="H5">
        <v>5.0</v>
      </c>
    </row>
    <row r="6">
      <c r="A6" t="str">
        <f>IFERROR(__xludf.DUMMYFUNCTION("""COMPUTED_VALUE"""),"Andres Ortegon")</f>
        <v>Andres Ortegon</v>
      </c>
      <c r="G6" t="str">
        <f>IFERROR(__xludf.DUMMYFUNCTION("""COMPUTED_VALUE"""),"Jason Hendricks")</f>
        <v>Jason Hendricks</v>
      </c>
      <c r="H6">
        <v>6.0</v>
      </c>
    </row>
    <row r="7">
      <c r="A7" t="str">
        <f>IFERROR(__xludf.DUMMYFUNCTION("""COMPUTED_VALUE"""),"Andrew Shainker")</f>
        <v>Andrew Shainker</v>
      </c>
      <c r="G7" t="str">
        <f>IFERROR(__xludf.DUMMYFUNCTION("""COMPUTED_VALUE"""),"Mitchell McPherson")</f>
        <v>Mitchell McPherson</v>
      </c>
      <c r="H7">
        <v>7.0</v>
      </c>
    </row>
    <row r="8">
      <c r="A8" t="str">
        <f>IFERROR(__xludf.DUMMYFUNCTION("""COMPUTED_VALUE"""),"Anibal Betancur")</f>
        <v>Anibal Betancur</v>
      </c>
      <c r="G8" t="str">
        <f>IFERROR(__xludf.DUMMYFUNCTION("""COMPUTED_VALUE"""),"Alyssa Jodoin")</f>
        <v>Alyssa Jodoin</v>
      </c>
      <c r="H8">
        <v>8.0</v>
      </c>
    </row>
    <row r="9">
      <c r="A9" t="str">
        <f>IFERROR(__xludf.DUMMYFUNCTION("""COMPUTED_VALUE"""),"Bill Beauchamp")</f>
        <v>Bill Beauchamp</v>
      </c>
      <c r="G9" t="str">
        <f>IFERROR(__xludf.DUMMYFUNCTION("""COMPUTED_VALUE"""),"Samantha Gwinn")</f>
        <v>Samantha Gwinn</v>
      </c>
      <c r="H9">
        <v>9.0</v>
      </c>
    </row>
    <row r="10">
      <c r="A10" t="str">
        <f>IFERROR(__xludf.DUMMYFUNCTION("""COMPUTED_VALUE"""),"Blaire Dawkins")</f>
        <v>Blaire Dawkins</v>
      </c>
      <c r="G10" t="str">
        <f>IFERROR(__xludf.DUMMYFUNCTION("""COMPUTED_VALUE"""),"Nick Schmalz")</f>
        <v>Nick Schmalz</v>
      </c>
      <c r="H10">
        <v>10.0</v>
      </c>
    </row>
    <row r="11">
      <c r="A11" t="str">
        <f>IFERROR(__xludf.DUMMYFUNCTION("""COMPUTED_VALUE"""),"Bradford Stretton")</f>
        <v>Bradford Stretton</v>
      </c>
      <c r="G11" t="str">
        <f>IFERROR(__xludf.DUMMYFUNCTION("""COMPUTED_VALUE"""),"Erika Atehortúa")</f>
        <v>Erika Atehortúa</v>
      </c>
      <c r="H11">
        <v>11.0</v>
      </c>
    </row>
    <row r="12">
      <c r="A12" t="str">
        <f>IFERROR(__xludf.DUMMYFUNCTION("""COMPUTED_VALUE"""),"Brian Summers")</f>
        <v>Brian Summers</v>
      </c>
      <c r="G12" t="str">
        <f>IFERROR(__xludf.DUMMYFUNCTION("""COMPUTED_VALUE"""),"Andrea Martínez")</f>
        <v>Andrea Martínez</v>
      </c>
      <c r="H12">
        <v>12.0</v>
      </c>
    </row>
    <row r="13">
      <c r="A13" t="str">
        <f>IFERROR(__xludf.DUMMYFUNCTION("""COMPUTED_VALUE"""),"Camila Leiva")</f>
        <v>Camila Leiva</v>
      </c>
      <c r="G13" t="str">
        <f>IFERROR(__xludf.DUMMYFUNCTION("""COMPUTED_VALUE"""),"Sindy Villamizar")</f>
        <v>Sindy Villamizar</v>
      </c>
      <c r="H13">
        <v>13.0</v>
      </c>
    </row>
    <row r="14">
      <c r="A14" t="str">
        <f>IFERROR(__xludf.DUMMYFUNCTION("""COMPUTED_VALUE"""),"Camilo  Hoyos")</f>
        <v>Camilo  Hoyos</v>
      </c>
      <c r="G14" t="str">
        <f>IFERROR(__xludf.DUMMYFUNCTION("""COMPUTED_VALUE"""),"Johana Restrepo")</f>
        <v>Johana Restrepo</v>
      </c>
      <c r="H14">
        <v>14.0</v>
      </c>
    </row>
    <row r="15">
      <c r="A15" t="str">
        <f>IFERROR(__xludf.DUMMYFUNCTION("""COMPUTED_VALUE"""),"David Murphy")</f>
        <v>David Murphy</v>
      </c>
      <c r="G15" t="str">
        <f>IFERROR(__xludf.DUMMYFUNCTION("""COMPUTED_VALUE"""),"Norberto Villa")</f>
        <v>Norberto Villa</v>
      </c>
      <c r="H15">
        <v>15.0</v>
      </c>
    </row>
    <row r="16">
      <c r="A16" t="str">
        <f>IFERROR(__xludf.DUMMYFUNCTION("""COMPUTED_VALUE"""),"Emily Butterworth")</f>
        <v>Emily Butterworth</v>
      </c>
      <c r="G16" t="str">
        <f>IFERROR(__xludf.DUMMYFUNCTION("""COMPUTED_VALUE"""),"Camila Leiva")</f>
        <v>Camila Leiva</v>
      </c>
      <c r="H16">
        <v>16.0</v>
      </c>
    </row>
    <row r="17">
      <c r="A17" t="str">
        <f>IFERROR(__xludf.DUMMYFUNCTION("""COMPUTED_VALUE"""),"Erika Atehortúa")</f>
        <v>Erika Atehortúa</v>
      </c>
      <c r="G17" t="str">
        <f>IFERROR(__xludf.DUMMYFUNCTION("""COMPUTED_VALUE"""),"Bradford Stretton")</f>
        <v>Bradford Stretton</v>
      </c>
      <c r="H17">
        <v>17.0</v>
      </c>
    </row>
    <row r="18">
      <c r="A18" t="str">
        <f>IFERROR(__xludf.DUMMYFUNCTION("""COMPUTED_VALUE"""),"Felipe Naranjo")</f>
        <v>Felipe Naranjo</v>
      </c>
      <c r="G18" t="str">
        <f>IFERROR(__xludf.DUMMYFUNCTION("""COMPUTED_VALUE"""),"Mauricio Sepúlveda")</f>
        <v>Mauricio Sepúlveda</v>
      </c>
      <c r="H18">
        <v>18.0</v>
      </c>
    </row>
    <row r="19">
      <c r="A19" t="str">
        <f>IFERROR(__xludf.DUMMYFUNCTION("""COMPUTED_VALUE"""),"Gloria Velez")</f>
        <v>Gloria Velez</v>
      </c>
      <c r="G19" t="str">
        <f>IFERROR(__xludf.DUMMYFUNCTION("""COMPUTED_VALUE"""),"Andres Arboleda")</f>
        <v>Andres Arboleda</v>
      </c>
      <c r="H19">
        <v>19.0</v>
      </c>
    </row>
    <row r="20">
      <c r="A20" t="str">
        <f>IFERROR(__xludf.DUMMYFUNCTION("""COMPUTED_VALUE"""),"Jake Landry")</f>
        <v>Jake Landry</v>
      </c>
      <c r="G20" t="str">
        <f>IFERROR(__xludf.DUMMYFUNCTION("""COMPUTED_VALUE"""),"Josue Acosta")</f>
        <v>Josue Acosta</v>
      </c>
      <c r="H20">
        <v>20.0</v>
      </c>
    </row>
    <row r="21">
      <c r="A21" t="str">
        <f>IFERROR(__xludf.DUMMYFUNCTION("""COMPUTED_VALUE"""),"Jason Hendricks")</f>
        <v>Jason Hendricks</v>
      </c>
      <c r="G21" t="str">
        <f>IFERROR(__xludf.DUMMYFUNCTION("""COMPUTED_VALUE"""),"Sandro Berrio")</f>
        <v>Sandro Berrio</v>
      </c>
      <c r="H21">
        <v>21.0</v>
      </c>
    </row>
    <row r="22">
      <c r="A22" t="str">
        <f>IFERROR(__xludf.DUMMYFUNCTION("""COMPUTED_VALUE"""),"Jhon Higuita")</f>
        <v>Jhon Higuita</v>
      </c>
      <c r="G22" t="str">
        <f>IFERROR(__xludf.DUMMYFUNCTION("""COMPUTED_VALUE"""),"New Math Teacher")</f>
        <v>New Math Teacher</v>
      </c>
      <c r="H22">
        <v>22.0</v>
      </c>
    </row>
    <row r="23">
      <c r="A23" t="str">
        <f>IFERROR(__xludf.DUMMYFUNCTION("""COMPUTED_VALUE"""),"Jiovanna Castañeda")</f>
        <v>Jiovanna Castañeda</v>
      </c>
      <c r="G23" t="str">
        <f>IFERROR(__xludf.DUMMYFUNCTION("""COMPUTED_VALUE"""),"Bill Beauchamp")</f>
        <v>Bill Beauchamp</v>
      </c>
      <c r="H23">
        <v>23.0</v>
      </c>
    </row>
    <row r="24">
      <c r="A24" t="str">
        <f>IFERROR(__xludf.DUMMYFUNCTION("""COMPUTED_VALUE"""),"Johana Restrepo")</f>
        <v>Johana Restrepo</v>
      </c>
      <c r="G24" t="str">
        <f>IFERROR(__xludf.DUMMYFUNCTION("""COMPUTED_VALUE"""),"Blaire Dawkins")</f>
        <v>Blaire Dawkins</v>
      </c>
      <c r="H24">
        <v>24.0</v>
      </c>
    </row>
    <row r="25">
      <c r="A25" t="str">
        <f>IFERROR(__xludf.DUMMYFUNCTION("""COMPUTED_VALUE"""),"Jorge Mario Angel")</f>
        <v>Jorge Mario Angel</v>
      </c>
      <c r="G25" t="str">
        <f>IFERROR(__xludf.DUMMYFUNCTION("""COMPUTED_VALUE"""),"Tamir Mickens")</f>
        <v>Tamir Mickens</v>
      </c>
      <c r="H25">
        <v>25.0</v>
      </c>
    </row>
    <row r="26">
      <c r="A26" t="str">
        <f>IFERROR(__xludf.DUMMYFUNCTION("""COMPUTED_VALUE"""),"Jose Sabido")</f>
        <v>Jose Sabido</v>
      </c>
      <c r="G26" t="str">
        <f>IFERROR(__xludf.DUMMYFUNCTION("""COMPUTED_VALUE"""),"Valentina Zuluaga")</f>
        <v>Valentina Zuluaga</v>
      </c>
      <c r="H26">
        <v>26.0</v>
      </c>
    </row>
    <row r="27">
      <c r="A27" t="str">
        <f>IFERROR(__xludf.DUMMYFUNCTION("""COMPUTED_VALUE"""),"Josue Acosta")</f>
        <v>Josue Acosta</v>
      </c>
      <c r="G27" t="str">
        <f>IFERROR(__xludf.DUMMYFUNCTION("""COMPUTED_VALUE"""),"Jose Sabido")</f>
        <v>Jose Sabido</v>
      </c>
      <c r="H27">
        <v>27.0</v>
      </c>
    </row>
    <row r="28">
      <c r="A28" t="str">
        <f>IFERROR(__xludf.DUMMYFUNCTION("""COMPUTED_VALUE"""),"Juan Carlos Ledezma")</f>
        <v>Juan Carlos Ledezma</v>
      </c>
      <c r="G28" t="str">
        <f>IFERROR(__xludf.DUMMYFUNCTION("""COMPUTED_VALUE"""),"Jake Landry")</f>
        <v>Jake Landry</v>
      </c>
      <c r="H28">
        <v>28.0</v>
      </c>
    </row>
    <row r="29">
      <c r="A29" t="str">
        <f>IFERROR(__xludf.DUMMYFUNCTION("""COMPUTED_VALUE"""),"Juan Esteban Marin")</f>
        <v>Juan Esteban Marin</v>
      </c>
      <c r="G29" t="str">
        <f>IFERROR(__xludf.DUMMYFUNCTION("""COMPUTED_VALUE"""),"Brian Summers")</f>
        <v>Brian Summers</v>
      </c>
      <c r="H29">
        <v>29.0</v>
      </c>
    </row>
    <row r="30">
      <c r="A30" t="str">
        <f>IFERROR(__xludf.DUMMYFUNCTION("""COMPUTED_VALUE"""),"Julian Zúñiga")</f>
        <v>Julian Zúñiga</v>
      </c>
      <c r="G30" t="str">
        <f>IFERROR(__xludf.DUMMYFUNCTION("""COMPUTED_VALUE"""),"David Murphy")</f>
        <v>David Murphy</v>
      </c>
      <c r="H30">
        <v>30.0</v>
      </c>
    </row>
    <row r="31">
      <c r="A31" t="str">
        <f>IFERROR(__xludf.DUMMYFUNCTION("""COMPUTED_VALUE"""),"Karol Marin")</f>
        <v>Karol Marin</v>
      </c>
      <c r="G31" t="str">
        <f>IFERROR(__xludf.DUMMYFUNCTION("""COMPUTED_VALUE"""),"Andres Ortegon")</f>
        <v>Andres Ortegon</v>
      </c>
      <c r="H31">
        <v>31.0</v>
      </c>
    </row>
    <row r="32">
      <c r="A32" t="str">
        <f>IFERROR(__xludf.DUMMYFUNCTION("""COMPUTED_VALUE"""),"Mauricio Sepúlveda")</f>
        <v>Mauricio Sepúlveda</v>
      </c>
      <c r="G32" t="str">
        <f>IFERROR(__xludf.DUMMYFUNCTION("""COMPUTED_VALUE"""),"Juan Carlos Ledezma")</f>
        <v>Juan Carlos Ledezma</v>
      </c>
      <c r="H32">
        <v>32.0</v>
      </c>
    </row>
    <row r="33">
      <c r="A33" t="str">
        <f>IFERROR(__xludf.DUMMYFUNCTION("""COMPUTED_VALUE"""),"Mitchell McPherson")</f>
        <v>Mitchell McPherson</v>
      </c>
      <c r="G33" t="str">
        <f>IFERROR(__xludf.DUMMYFUNCTION("""COMPUTED_VALUE"""),"Felipe Naranjo")</f>
        <v>Felipe Naranjo</v>
      </c>
      <c r="H33">
        <v>33.0</v>
      </c>
    </row>
    <row r="34">
      <c r="A34" t="str">
        <f>IFERROR(__xludf.DUMMYFUNCTION("""COMPUTED_VALUE"""),"New Math Teacher")</f>
        <v>New Math Teacher</v>
      </c>
      <c r="G34" t="str">
        <f>IFERROR(__xludf.DUMMYFUNCTION("""COMPUTED_VALUE"""),"Karol Marin")</f>
        <v>Karol Marin</v>
      </c>
      <c r="H34">
        <v>34.0</v>
      </c>
    </row>
    <row r="35">
      <c r="A35" t="str">
        <f>IFERROR(__xludf.DUMMYFUNCTION("""COMPUTED_VALUE"""),"Nick Schmalz")</f>
        <v>Nick Schmalz</v>
      </c>
      <c r="G35" t="str">
        <f>IFERROR(__xludf.DUMMYFUNCTION("""COMPUTED_VALUE"""),"Camilo  Hoyos")</f>
        <v>Camilo  Hoyos</v>
      </c>
      <c r="H35">
        <v>35.0</v>
      </c>
    </row>
    <row r="36">
      <c r="A36" t="str">
        <f>IFERROR(__xludf.DUMMYFUNCTION("""COMPUTED_VALUE"""),"Norberto Villa")</f>
        <v>Norberto Villa</v>
      </c>
      <c r="G36" t="str">
        <f>IFERROR(__xludf.DUMMYFUNCTION("""COMPUTED_VALUE"""),"Alejandro Henao")</f>
        <v>Alejandro Henao</v>
      </c>
      <c r="H36">
        <v>36.0</v>
      </c>
    </row>
    <row r="37">
      <c r="A37" t="str">
        <f>IFERROR(__xludf.DUMMYFUNCTION("""COMPUTED_VALUE"""),"Samantha Gwinn")</f>
        <v>Samantha Gwinn</v>
      </c>
      <c r="G37" t="str">
        <f>IFERROR(__xludf.DUMMYFUNCTION("""COMPUTED_VALUE"""),"Julian Zúñiga")</f>
        <v>Julian Zúñiga</v>
      </c>
      <c r="H37">
        <v>37.0</v>
      </c>
    </row>
    <row r="38">
      <c r="A38" t="str">
        <f>IFERROR(__xludf.DUMMYFUNCTION("""COMPUTED_VALUE"""),"Sandro Berrio")</f>
        <v>Sandro Berrio</v>
      </c>
      <c r="G38" t="str">
        <f>IFERROR(__xludf.DUMMYFUNCTION("""COMPUTED_VALUE"""),"Jhon Higuita")</f>
        <v>Jhon Higuita</v>
      </c>
      <c r="H38">
        <v>38.0</v>
      </c>
    </row>
    <row r="39">
      <c r="A39" t="str">
        <f>IFERROR(__xludf.DUMMYFUNCTION("""COMPUTED_VALUE"""),"Sindy Villamizar")</f>
        <v>Sindy Villamizar</v>
      </c>
      <c r="G39" t="str">
        <f>IFERROR(__xludf.DUMMYFUNCTION("""COMPUTED_VALUE"""),"Anibal Betancur")</f>
        <v>Anibal Betancur</v>
      </c>
      <c r="H39">
        <v>39.0</v>
      </c>
    </row>
    <row r="40">
      <c r="A40" t="str">
        <f>IFERROR(__xludf.DUMMYFUNCTION("""COMPUTED_VALUE"""),"Sofia Arcila")</f>
        <v>Sofia Arcila</v>
      </c>
      <c r="G40" t="str">
        <f>IFERROR(__xludf.DUMMYFUNCTION("""COMPUTED_VALUE"""),"Jiovanna Castañeda")</f>
        <v>Jiovanna Castañeda</v>
      </c>
      <c r="H40">
        <v>40.0</v>
      </c>
    </row>
    <row r="41">
      <c r="A41" t="str">
        <f>IFERROR(__xludf.DUMMYFUNCTION("""COMPUTED_VALUE"""),"Tamir Mickens")</f>
        <v>Tamir Mickens</v>
      </c>
      <c r="G41" t="str">
        <f>IFERROR(__xludf.DUMMYFUNCTION("""COMPUTED_VALUE"""),"Juan Esteban Marin")</f>
        <v>Juan Esteban Marin</v>
      </c>
      <c r="H41">
        <v>41.0</v>
      </c>
    </row>
    <row r="42">
      <c r="A42" t="str">
        <f>IFERROR(__xludf.DUMMYFUNCTION("""COMPUTED_VALUE"""),"Urbano Mesa")</f>
        <v>Urbano Mesa</v>
      </c>
      <c r="G42" t="str">
        <f>IFERROR(__xludf.DUMMYFUNCTION("""COMPUTED_VALUE"""),"Urbano Mesa")</f>
        <v>Urbano Mesa</v>
      </c>
      <c r="H42">
        <v>42.0</v>
      </c>
    </row>
    <row r="43">
      <c r="A43" t="str">
        <f>IFERROR(__xludf.DUMMYFUNCTION("""COMPUTED_VALUE"""),"Valentina Zuluaga")</f>
        <v>Valentina Zuluaga</v>
      </c>
      <c r="G43" t="str">
        <f>IFERROR(__xludf.DUMMYFUNCTION("""COMPUTED_VALUE"""),"Emily Butterworth")</f>
        <v>Emily Butterworth</v>
      </c>
      <c r="H43">
        <v>43.0</v>
      </c>
    </row>
    <row r="44">
      <c r="H44" t="s">
        <v>22</v>
      </c>
    </row>
    <row r="45">
      <c r="H45" t="s">
        <v>22</v>
      </c>
    </row>
    <row r="46">
      <c r="H46" t="s">
        <v>22</v>
      </c>
    </row>
    <row r="47">
      <c r="H47" t="s">
        <v>22</v>
      </c>
    </row>
    <row r="48">
      <c r="H48" t="s">
        <v>22</v>
      </c>
    </row>
    <row r="49">
      <c r="H49" t="s">
        <v>22</v>
      </c>
    </row>
    <row r="50">
      <c r="H50" t="s">
        <v>22</v>
      </c>
    </row>
    <row r="51">
      <c r="H51" t="s">
        <v>22</v>
      </c>
    </row>
    <row r="52">
      <c r="H52" t="s">
        <v>22</v>
      </c>
    </row>
    <row r="53">
      <c r="H53" t="s">
        <v>22</v>
      </c>
    </row>
    <row r="54">
      <c r="H54" t="s">
        <v>22</v>
      </c>
    </row>
    <row r="55">
      <c r="H55" t="s">
        <v>22</v>
      </c>
    </row>
    <row r="56">
      <c r="H56" t="s">
        <v>22</v>
      </c>
    </row>
    <row r="57">
      <c r="H57" t="s">
        <v>22</v>
      </c>
    </row>
    <row r="58">
      <c r="H58" t="s">
        <v>22</v>
      </c>
    </row>
    <row r="59">
      <c r="H59" t="s">
        <v>22</v>
      </c>
    </row>
    <row r="60">
      <c r="H60" t="s">
        <v>22</v>
      </c>
    </row>
    <row r="61">
      <c r="H61" t="s">
        <v>22</v>
      </c>
    </row>
    <row r="62">
      <c r="H62" t="s">
        <v>22</v>
      </c>
    </row>
    <row r="63">
      <c r="H63" t="s">
        <v>22</v>
      </c>
    </row>
    <row r="64">
      <c r="H64" t="s">
        <v>22</v>
      </c>
    </row>
    <row r="65">
      <c r="H65" t="s">
        <v>22</v>
      </c>
    </row>
    <row r="66">
      <c r="H66" t="s">
        <v>22</v>
      </c>
    </row>
    <row r="67">
      <c r="H67" t="s">
        <v>22</v>
      </c>
    </row>
    <row r="68">
      <c r="H68" t="s">
        <v>22</v>
      </c>
    </row>
    <row r="69">
      <c r="H69" t="s">
        <v>22</v>
      </c>
    </row>
    <row r="70">
      <c r="H70" t="s">
        <v>22</v>
      </c>
    </row>
    <row r="71">
      <c r="H71" t="s">
        <v>22</v>
      </c>
    </row>
    <row r="72">
      <c r="H72" t="s">
        <v>22</v>
      </c>
    </row>
    <row r="73">
      <c r="H73" t="s">
        <v>22</v>
      </c>
    </row>
    <row r="74">
      <c r="H74" t="s">
        <v>22</v>
      </c>
    </row>
    <row r="75">
      <c r="H75" t="s">
        <v>22</v>
      </c>
    </row>
    <row r="76">
      <c r="H76" t="s">
        <v>22</v>
      </c>
    </row>
    <row r="77">
      <c r="H77" t="s">
        <v>22</v>
      </c>
    </row>
    <row r="78">
      <c r="H78" t="s">
        <v>22</v>
      </c>
    </row>
    <row r="79">
      <c r="H79" t="s">
        <v>22</v>
      </c>
    </row>
    <row r="80">
      <c r="H80" t="s">
        <v>22</v>
      </c>
    </row>
    <row r="81">
      <c r="H81" t="s">
        <v>22</v>
      </c>
    </row>
    <row r="82">
      <c r="H82" t="s">
        <v>22</v>
      </c>
    </row>
    <row r="83">
      <c r="H83" t="s">
        <v>22</v>
      </c>
    </row>
    <row r="84">
      <c r="H84" t="s">
        <v>22</v>
      </c>
    </row>
    <row r="85">
      <c r="H85" t="s">
        <v>22</v>
      </c>
    </row>
    <row r="86">
      <c r="H86" t="s">
        <v>22</v>
      </c>
    </row>
    <row r="87">
      <c r="H87" t="s">
        <v>22</v>
      </c>
    </row>
    <row r="88">
      <c r="H88" t="s">
        <v>22</v>
      </c>
    </row>
    <row r="89">
      <c r="H89" t="s">
        <v>22</v>
      </c>
    </row>
    <row r="90">
      <c r="H90" t="s">
        <v>22</v>
      </c>
    </row>
    <row r="91">
      <c r="H91" t="s">
        <v>22</v>
      </c>
    </row>
    <row r="92">
      <c r="H92" t="s">
        <v>22</v>
      </c>
    </row>
    <row r="93">
      <c r="H93" t="s">
        <v>22</v>
      </c>
    </row>
    <row r="94">
      <c r="H94" t="s">
        <v>22</v>
      </c>
    </row>
    <row r="95">
      <c r="H95" t="s">
        <v>22</v>
      </c>
    </row>
    <row r="96">
      <c r="H96" t="s">
        <v>22</v>
      </c>
    </row>
    <row r="97">
      <c r="H97" t="s">
        <v>22</v>
      </c>
    </row>
    <row r="98">
      <c r="H98" t="s">
        <v>22</v>
      </c>
    </row>
    <row r="99">
      <c r="H99" t="s">
        <v>22</v>
      </c>
    </row>
    <row r="100">
      <c r="H100" t="s">
        <v>22</v>
      </c>
    </row>
    <row r="101">
      <c r="H101" t="s">
        <v>22</v>
      </c>
    </row>
    <row r="102">
      <c r="H102" t="s">
        <v>22</v>
      </c>
    </row>
    <row r="103">
      <c r="H103" t="s">
        <v>22</v>
      </c>
    </row>
    <row r="104">
      <c r="H104" t="s">
        <v>22</v>
      </c>
    </row>
    <row r="105">
      <c r="H105" t="s">
        <v>22</v>
      </c>
    </row>
    <row r="106">
      <c r="H106" t="s">
        <v>22</v>
      </c>
    </row>
    <row r="107">
      <c r="H107" t="s">
        <v>22</v>
      </c>
    </row>
    <row r="108">
      <c r="H108" t="s">
        <v>22</v>
      </c>
    </row>
    <row r="109">
      <c r="H109" t="s">
        <v>22</v>
      </c>
    </row>
    <row r="110">
      <c r="H110" t="s">
        <v>22</v>
      </c>
    </row>
    <row r="111">
      <c r="H111" t="s">
        <v>22</v>
      </c>
    </row>
    <row r="112">
      <c r="H112" t="s">
        <v>22</v>
      </c>
    </row>
    <row r="113">
      <c r="H113" t="s">
        <v>22</v>
      </c>
    </row>
    <row r="114">
      <c r="H114" t="s">
        <v>22</v>
      </c>
    </row>
    <row r="115">
      <c r="H115" t="s">
        <v>22</v>
      </c>
    </row>
    <row r="116">
      <c r="H116" t="s">
        <v>22</v>
      </c>
    </row>
    <row r="117">
      <c r="H117" t="s">
        <v>22</v>
      </c>
    </row>
    <row r="118">
      <c r="H118" t="s">
        <v>22</v>
      </c>
    </row>
    <row r="119">
      <c r="H119" t="s">
        <v>22</v>
      </c>
    </row>
    <row r="120">
      <c r="H120" t="s">
        <v>22</v>
      </c>
    </row>
    <row r="121">
      <c r="H121" t="s">
        <v>22</v>
      </c>
    </row>
    <row r="122">
      <c r="H122" t="s">
        <v>22</v>
      </c>
    </row>
    <row r="123">
      <c r="H123" t="s">
        <v>22</v>
      </c>
    </row>
    <row r="124">
      <c r="H124" t="s">
        <v>22</v>
      </c>
    </row>
    <row r="125">
      <c r="H125" t="s">
        <v>22</v>
      </c>
    </row>
    <row r="126">
      <c r="H126" t="s">
        <v>22</v>
      </c>
    </row>
    <row r="127">
      <c r="H127" t="s">
        <v>22</v>
      </c>
    </row>
    <row r="128">
      <c r="H128" t="s">
        <v>22</v>
      </c>
    </row>
    <row r="129">
      <c r="H129" t="s">
        <v>22</v>
      </c>
    </row>
    <row r="130">
      <c r="H130" t="s">
        <v>22</v>
      </c>
    </row>
    <row r="131">
      <c r="H131" t="s">
        <v>22</v>
      </c>
    </row>
    <row r="132">
      <c r="H132" t="s">
        <v>22</v>
      </c>
    </row>
    <row r="133">
      <c r="H133" t="s">
        <v>22</v>
      </c>
    </row>
    <row r="134">
      <c r="H134" t="s">
        <v>22</v>
      </c>
    </row>
    <row r="135">
      <c r="H135" t="s">
        <v>22</v>
      </c>
    </row>
    <row r="136">
      <c r="H136" t="s">
        <v>22</v>
      </c>
    </row>
    <row r="137">
      <c r="H137" t="s">
        <v>22</v>
      </c>
    </row>
    <row r="138">
      <c r="H138" t="s">
        <v>22</v>
      </c>
    </row>
    <row r="139">
      <c r="H139" t="s">
        <v>22</v>
      </c>
    </row>
    <row r="140">
      <c r="H140" t="s">
        <v>22</v>
      </c>
    </row>
    <row r="141">
      <c r="H141" t="s">
        <v>22</v>
      </c>
    </row>
    <row r="142">
      <c r="H142" t="s">
        <v>22</v>
      </c>
    </row>
    <row r="143">
      <c r="H143" t="s">
        <v>22</v>
      </c>
    </row>
    <row r="144">
      <c r="H144" t="s">
        <v>22</v>
      </c>
    </row>
    <row r="145">
      <c r="H145" t="s">
        <v>22</v>
      </c>
    </row>
    <row r="146">
      <c r="H146" t="s">
        <v>22</v>
      </c>
    </row>
    <row r="147">
      <c r="H147" t="s">
        <v>22</v>
      </c>
    </row>
    <row r="148">
      <c r="H148" t="s">
        <v>22</v>
      </c>
    </row>
    <row r="149">
      <c r="H149" t="s">
        <v>22</v>
      </c>
    </row>
    <row r="150">
      <c r="H150" t="s">
        <v>22</v>
      </c>
    </row>
    <row r="151">
      <c r="H151" t="s">
        <v>22</v>
      </c>
    </row>
    <row r="152">
      <c r="H152" t="s">
        <v>22</v>
      </c>
    </row>
    <row r="153">
      <c r="H153" t="s">
        <v>22</v>
      </c>
    </row>
    <row r="154">
      <c r="H154" t="s">
        <v>22</v>
      </c>
    </row>
    <row r="155">
      <c r="H155" t="s">
        <v>22</v>
      </c>
    </row>
    <row r="156">
      <c r="H156" t="s">
        <v>22</v>
      </c>
    </row>
    <row r="157">
      <c r="H157" t="s">
        <v>22</v>
      </c>
    </row>
    <row r="158">
      <c r="H158" t="s">
        <v>22</v>
      </c>
    </row>
    <row r="159">
      <c r="H159" t="s">
        <v>22</v>
      </c>
    </row>
    <row r="160">
      <c r="H160" t="s">
        <v>22</v>
      </c>
    </row>
    <row r="161">
      <c r="H161" t="s">
        <v>22</v>
      </c>
    </row>
    <row r="162">
      <c r="H162" t="s">
        <v>22</v>
      </c>
    </row>
    <row r="163">
      <c r="H163" t="s">
        <v>22</v>
      </c>
    </row>
    <row r="164">
      <c r="H164" t="s">
        <v>22</v>
      </c>
    </row>
    <row r="165">
      <c r="H165" t="s">
        <v>22</v>
      </c>
    </row>
    <row r="166">
      <c r="H166" t="s">
        <v>22</v>
      </c>
    </row>
    <row r="167">
      <c r="H167" t="s">
        <v>22</v>
      </c>
    </row>
    <row r="168">
      <c r="H168" t="s">
        <v>22</v>
      </c>
    </row>
    <row r="169">
      <c r="H169" t="s">
        <v>22</v>
      </c>
    </row>
    <row r="170">
      <c r="H170" t="s">
        <v>22</v>
      </c>
    </row>
    <row r="171">
      <c r="H171" t="s">
        <v>22</v>
      </c>
    </row>
    <row r="172">
      <c r="H172" t="s">
        <v>22</v>
      </c>
    </row>
    <row r="173">
      <c r="H173" t="s">
        <v>22</v>
      </c>
    </row>
    <row r="174">
      <c r="H174" t="s">
        <v>22</v>
      </c>
    </row>
    <row r="175">
      <c r="H175" t="s">
        <v>22</v>
      </c>
    </row>
    <row r="176">
      <c r="H176" t="s">
        <v>22</v>
      </c>
    </row>
    <row r="177">
      <c r="H177" t="s">
        <v>22</v>
      </c>
    </row>
    <row r="178">
      <c r="H178" t="s">
        <v>22</v>
      </c>
    </row>
    <row r="179">
      <c r="H179" t="s">
        <v>22</v>
      </c>
    </row>
    <row r="180">
      <c r="H180" t="s">
        <v>22</v>
      </c>
    </row>
    <row r="181">
      <c r="H181" t="s">
        <v>22</v>
      </c>
    </row>
    <row r="182">
      <c r="H182" t="s">
        <v>22</v>
      </c>
    </row>
    <row r="183">
      <c r="H183" t="s">
        <v>22</v>
      </c>
    </row>
    <row r="184">
      <c r="H184" t="s">
        <v>22</v>
      </c>
    </row>
    <row r="185">
      <c r="H185" t="s">
        <v>22</v>
      </c>
    </row>
    <row r="186">
      <c r="H186" t="s">
        <v>22</v>
      </c>
    </row>
    <row r="187">
      <c r="H187" t="s">
        <v>22</v>
      </c>
    </row>
    <row r="188">
      <c r="H188" t="s">
        <v>22</v>
      </c>
    </row>
    <row r="189">
      <c r="H189" t="s">
        <v>22</v>
      </c>
    </row>
    <row r="190">
      <c r="H190" t="s">
        <v>22</v>
      </c>
    </row>
    <row r="191">
      <c r="H191" t="s">
        <v>22</v>
      </c>
    </row>
    <row r="192">
      <c r="H192" t="s">
        <v>22</v>
      </c>
    </row>
    <row r="193">
      <c r="H193" t="s">
        <v>22</v>
      </c>
    </row>
    <row r="194">
      <c r="H194" t="s">
        <v>22</v>
      </c>
    </row>
    <row r="195">
      <c r="H195" t="s">
        <v>22</v>
      </c>
    </row>
    <row r="196">
      <c r="H196" t="s">
        <v>22</v>
      </c>
    </row>
    <row r="197">
      <c r="H197" t="s">
        <v>22</v>
      </c>
    </row>
    <row r="198">
      <c r="H198" t="s">
        <v>22</v>
      </c>
    </row>
    <row r="199">
      <c r="H199" t="s">
        <v>22</v>
      </c>
    </row>
    <row r="200">
      <c r="H200" t="s">
        <v>22</v>
      </c>
    </row>
    <row r="201">
      <c r="H201" t="s">
        <v>22</v>
      </c>
    </row>
    <row r="202">
      <c r="H202" t="s">
        <v>22</v>
      </c>
    </row>
    <row r="203">
      <c r="H203" t="s">
        <v>22</v>
      </c>
    </row>
    <row r="204">
      <c r="H204" t="s">
        <v>22</v>
      </c>
    </row>
    <row r="205">
      <c r="H205" t="s">
        <v>22</v>
      </c>
    </row>
    <row r="206">
      <c r="H206" t="s">
        <v>22</v>
      </c>
    </row>
    <row r="207">
      <c r="H207" t="s">
        <v>22</v>
      </c>
    </row>
    <row r="208">
      <c r="H208" t="s">
        <v>22</v>
      </c>
    </row>
    <row r="209">
      <c r="H209" t="s">
        <v>22</v>
      </c>
    </row>
    <row r="210">
      <c r="H210" t="s">
        <v>22</v>
      </c>
    </row>
    <row r="211">
      <c r="H211" t="s">
        <v>22</v>
      </c>
    </row>
    <row r="212">
      <c r="H212" t="s">
        <v>22</v>
      </c>
    </row>
    <row r="213">
      <c r="H213" t="s">
        <v>22</v>
      </c>
    </row>
    <row r="214">
      <c r="H214" t="s">
        <v>22</v>
      </c>
    </row>
    <row r="215">
      <c r="H215" t="s">
        <v>22</v>
      </c>
    </row>
    <row r="216">
      <c r="H216" t="s">
        <v>22</v>
      </c>
    </row>
    <row r="217">
      <c r="H217" t="s">
        <v>22</v>
      </c>
    </row>
    <row r="218">
      <c r="H218" t="s">
        <v>22</v>
      </c>
    </row>
    <row r="219">
      <c r="H219" t="s">
        <v>22</v>
      </c>
    </row>
    <row r="220">
      <c r="H220" t="s">
        <v>22</v>
      </c>
    </row>
    <row r="221">
      <c r="H221" t="s">
        <v>22</v>
      </c>
    </row>
    <row r="222">
      <c r="H222" t="s">
        <v>22</v>
      </c>
    </row>
    <row r="223">
      <c r="H223" t="s">
        <v>22</v>
      </c>
    </row>
    <row r="224">
      <c r="H224" t="s">
        <v>22</v>
      </c>
    </row>
    <row r="225">
      <c r="H225" t="s">
        <v>22</v>
      </c>
    </row>
    <row r="226">
      <c r="H226" t="s">
        <v>22</v>
      </c>
    </row>
    <row r="227">
      <c r="H227" t="s">
        <v>22</v>
      </c>
    </row>
    <row r="228">
      <c r="H228" t="s">
        <v>22</v>
      </c>
    </row>
    <row r="229">
      <c r="H229" t="s">
        <v>22</v>
      </c>
    </row>
    <row r="230">
      <c r="H230" t="s">
        <v>22</v>
      </c>
    </row>
    <row r="231">
      <c r="H231" t="s">
        <v>22</v>
      </c>
    </row>
    <row r="232">
      <c r="H232" t="s">
        <v>22</v>
      </c>
    </row>
    <row r="233">
      <c r="H233" t="s">
        <v>22</v>
      </c>
    </row>
    <row r="234">
      <c r="H234" t="s">
        <v>22</v>
      </c>
    </row>
    <row r="235">
      <c r="H235" t="s">
        <v>22</v>
      </c>
    </row>
    <row r="236">
      <c r="H236" t="s">
        <v>22</v>
      </c>
    </row>
    <row r="237">
      <c r="H237" t="s">
        <v>22</v>
      </c>
    </row>
    <row r="238">
      <c r="H238" t="s">
        <v>22</v>
      </c>
    </row>
    <row r="239">
      <c r="H239" t="s">
        <v>22</v>
      </c>
    </row>
    <row r="240">
      <c r="H240" t="s">
        <v>22</v>
      </c>
    </row>
    <row r="241">
      <c r="H241" t="s">
        <v>22</v>
      </c>
    </row>
    <row r="242">
      <c r="H242" t="s">
        <v>22</v>
      </c>
    </row>
    <row r="243">
      <c r="H243" t="s">
        <v>22</v>
      </c>
    </row>
    <row r="244">
      <c r="H244" t="s">
        <v>22</v>
      </c>
    </row>
    <row r="245">
      <c r="H245" t="s">
        <v>22</v>
      </c>
    </row>
    <row r="246">
      <c r="H246" t="s">
        <v>22</v>
      </c>
    </row>
    <row r="247">
      <c r="H247" t="s">
        <v>22</v>
      </c>
    </row>
    <row r="248">
      <c r="H248" t="s">
        <v>22</v>
      </c>
    </row>
    <row r="249">
      <c r="H249" t="s">
        <v>22</v>
      </c>
    </row>
    <row r="250">
      <c r="H250" t="s">
        <v>22</v>
      </c>
    </row>
    <row r="251">
      <c r="H251" t="s">
        <v>22</v>
      </c>
    </row>
    <row r="252">
      <c r="H252" t="s">
        <v>22</v>
      </c>
    </row>
    <row r="253">
      <c r="H253" t="s">
        <v>22</v>
      </c>
    </row>
    <row r="254">
      <c r="H254" t="s">
        <v>22</v>
      </c>
    </row>
    <row r="255">
      <c r="H255" t="s">
        <v>22</v>
      </c>
    </row>
    <row r="256">
      <c r="H256" t="s">
        <v>22</v>
      </c>
    </row>
    <row r="257">
      <c r="H257" t="s">
        <v>22</v>
      </c>
    </row>
    <row r="258">
      <c r="H258" t="s">
        <v>22</v>
      </c>
    </row>
    <row r="259">
      <c r="H259" t="s">
        <v>22</v>
      </c>
    </row>
    <row r="260">
      <c r="H260" t="s">
        <v>22</v>
      </c>
    </row>
    <row r="261">
      <c r="H261" t="s">
        <v>22</v>
      </c>
    </row>
    <row r="262">
      <c r="H262" t="s">
        <v>22</v>
      </c>
    </row>
    <row r="263">
      <c r="H263" t="s">
        <v>22</v>
      </c>
    </row>
    <row r="264">
      <c r="H264" t="s">
        <v>22</v>
      </c>
    </row>
    <row r="265">
      <c r="H265" t="s">
        <v>22</v>
      </c>
    </row>
    <row r="266">
      <c r="H266" t="s">
        <v>22</v>
      </c>
    </row>
    <row r="267">
      <c r="H267" t="s">
        <v>22</v>
      </c>
    </row>
    <row r="268">
      <c r="H268" t="s">
        <v>22</v>
      </c>
    </row>
    <row r="269">
      <c r="H269" t="s">
        <v>22</v>
      </c>
    </row>
    <row r="270">
      <c r="H270" t="s">
        <v>22</v>
      </c>
    </row>
    <row r="271">
      <c r="H271" t="s">
        <v>22</v>
      </c>
    </row>
    <row r="272">
      <c r="H272" t="s">
        <v>22</v>
      </c>
    </row>
    <row r="273">
      <c r="H273" t="s">
        <v>22</v>
      </c>
    </row>
    <row r="274">
      <c r="H274" t="s">
        <v>22</v>
      </c>
    </row>
    <row r="275">
      <c r="H275" t="s">
        <v>22</v>
      </c>
    </row>
    <row r="276">
      <c r="H276" t="s">
        <v>22</v>
      </c>
    </row>
    <row r="277">
      <c r="H277" t="s">
        <v>22</v>
      </c>
    </row>
    <row r="278">
      <c r="H278" t="s">
        <v>22</v>
      </c>
    </row>
    <row r="279">
      <c r="H279" t="s">
        <v>22</v>
      </c>
    </row>
    <row r="280">
      <c r="H280" t="s">
        <v>22</v>
      </c>
    </row>
    <row r="281">
      <c r="H281" t="s">
        <v>22</v>
      </c>
    </row>
    <row r="282">
      <c r="H282" t="s">
        <v>22</v>
      </c>
    </row>
    <row r="283">
      <c r="H283" t="s">
        <v>22</v>
      </c>
    </row>
    <row r="284">
      <c r="H284" t="s">
        <v>22</v>
      </c>
    </row>
    <row r="285">
      <c r="H285" t="s">
        <v>22</v>
      </c>
    </row>
    <row r="286">
      <c r="H286" t="s">
        <v>22</v>
      </c>
    </row>
    <row r="287">
      <c r="H287" t="s">
        <v>22</v>
      </c>
    </row>
    <row r="288">
      <c r="H288" t="s">
        <v>22</v>
      </c>
    </row>
    <row r="289">
      <c r="H289" t="s">
        <v>22</v>
      </c>
    </row>
    <row r="290">
      <c r="H290" t="s">
        <v>22</v>
      </c>
    </row>
    <row r="291">
      <c r="H291" t="s">
        <v>22</v>
      </c>
    </row>
    <row r="292">
      <c r="H292" t="s">
        <v>22</v>
      </c>
    </row>
    <row r="293">
      <c r="H293" t="s">
        <v>22</v>
      </c>
    </row>
    <row r="294">
      <c r="H294" t="s">
        <v>22</v>
      </c>
    </row>
    <row r="295">
      <c r="H295" t="s">
        <v>22</v>
      </c>
    </row>
    <row r="296">
      <c r="H296" t="s">
        <v>22</v>
      </c>
    </row>
    <row r="297">
      <c r="H297" t="s">
        <v>22</v>
      </c>
    </row>
    <row r="298">
      <c r="H298" t="s">
        <v>22</v>
      </c>
    </row>
    <row r="299">
      <c r="H299" t="s">
        <v>22</v>
      </c>
    </row>
    <row r="300">
      <c r="H300" t="s">
        <v>22</v>
      </c>
    </row>
    <row r="301">
      <c r="H301" t="s">
        <v>22</v>
      </c>
    </row>
    <row r="302">
      <c r="H302" t="s">
        <v>22</v>
      </c>
    </row>
    <row r="303">
      <c r="H303" t="s">
        <v>22</v>
      </c>
    </row>
    <row r="304">
      <c r="H304" t="s">
        <v>22</v>
      </c>
    </row>
    <row r="305">
      <c r="H305" t="s">
        <v>22</v>
      </c>
    </row>
    <row r="306">
      <c r="H306" t="s">
        <v>22</v>
      </c>
    </row>
    <row r="307">
      <c r="H307" t="s">
        <v>22</v>
      </c>
    </row>
    <row r="308">
      <c r="H308" t="s">
        <v>22</v>
      </c>
    </row>
    <row r="309">
      <c r="H309" t="s">
        <v>22</v>
      </c>
    </row>
    <row r="310">
      <c r="H310" t="s">
        <v>22</v>
      </c>
    </row>
    <row r="311">
      <c r="H311" t="s">
        <v>22</v>
      </c>
    </row>
    <row r="312">
      <c r="H312" t="s">
        <v>22</v>
      </c>
    </row>
    <row r="313">
      <c r="H313" t="s">
        <v>22</v>
      </c>
    </row>
    <row r="314">
      <c r="H314" t="s">
        <v>22</v>
      </c>
    </row>
    <row r="315">
      <c r="H315" t="s">
        <v>22</v>
      </c>
    </row>
    <row r="316">
      <c r="H316" t="s">
        <v>22</v>
      </c>
    </row>
    <row r="317">
      <c r="H317" t="s">
        <v>22</v>
      </c>
    </row>
    <row r="318">
      <c r="H318" t="s">
        <v>22</v>
      </c>
    </row>
    <row r="319">
      <c r="H319" t="s">
        <v>22</v>
      </c>
    </row>
    <row r="320">
      <c r="H320" t="s">
        <v>22</v>
      </c>
    </row>
    <row r="321">
      <c r="H321" t="s">
        <v>22</v>
      </c>
    </row>
    <row r="322">
      <c r="H322" t="s">
        <v>22</v>
      </c>
    </row>
    <row r="323">
      <c r="H323" t="s">
        <v>22</v>
      </c>
    </row>
    <row r="324">
      <c r="H324" t="s">
        <v>22</v>
      </c>
    </row>
    <row r="325">
      <c r="H325" t="s">
        <v>22</v>
      </c>
    </row>
    <row r="326">
      <c r="H326" t="s">
        <v>22</v>
      </c>
    </row>
    <row r="327">
      <c r="H327" t="s">
        <v>22</v>
      </c>
    </row>
    <row r="328">
      <c r="H328" t="s">
        <v>22</v>
      </c>
    </row>
    <row r="329">
      <c r="H329" t="s">
        <v>22</v>
      </c>
    </row>
    <row r="330">
      <c r="H330" t="s">
        <v>22</v>
      </c>
    </row>
    <row r="331">
      <c r="H331" t="s">
        <v>22</v>
      </c>
    </row>
    <row r="332">
      <c r="H332" t="s">
        <v>22</v>
      </c>
    </row>
    <row r="333">
      <c r="H333" t="s">
        <v>22</v>
      </c>
    </row>
    <row r="334">
      <c r="H334" t="s">
        <v>22</v>
      </c>
    </row>
    <row r="335">
      <c r="H335" t="s">
        <v>22</v>
      </c>
    </row>
    <row r="336">
      <c r="H336" t="s">
        <v>22</v>
      </c>
    </row>
    <row r="337">
      <c r="H337" t="s">
        <v>22</v>
      </c>
    </row>
    <row r="338">
      <c r="H338" t="s">
        <v>22</v>
      </c>
    </row>
    <row r="339">
      <c r="H339" t="s">
        <v>22</v>
      </c>
    </row>
    <row r="340">
      <c r="H340" t="s">
        <v>22</v>
      </c>
    </row>
    <row r="341">
      <c r="H341" t="s">
        <v>22</v>
      </c>
    </row>
    <row r="342">
      <c r="H342" t="s">
        <v>22</v>
      </c>
    </row>
    <row r="343">
      <c r="H343" t="s">
        <v>22</v>
      </c>
    </row>
    <row r="344">
      <c r="H344" t="s">
        <v>22</v>
      </c>
    </row>
    <row r="345">
      <c r="H345" t="s">
        <v>22</v>
      </c>
    </row>
    <row r="346">
      <c r="H346" t="s">
        <v>22</v>
      </c>
    </row>
    <row r="347">
      <c r="H347" t="s">
        <v>22</v>
      </c>
    </row>
    <row r="348">
      <c r="H348" t="s">
        <v>22</v>
      </c>
    </row>
    <row r="349">
      <c r="H349" t="s">
        <v>22</v>
      </c>
    </row>
    <row r="350">
      <c r="H350" t="s">
        <v>22</v>
      </c>
    </row>
    <row r="351">
      <c r="H351" t="s">
        <v>22</v>
      </c>
    </row>
    <row r="352">
      <c r="H352" t="s">
        <v>22</v>
      </c>
    </row>
    <row r="353">
      <c r="H353" t="s">
        <v>22</v>
      </c>
    </row>
    <row r="354">
      <c r="H354" t="s">
        <v>22</v>
      </c>
    </row>
    <row r="355">
      <c r="H355" t="s">
        <v>22</v>
      </c>
    </row>
    <row r="356">
      <c r="H356" t="s">
        <v>22</v>
      </c>
    </row>
    <row r="357">
      <c r="H357" t="s">
        <v>22</v>
      </c>
    </row>
    <row r="358">
      <c r="H358" t="s">
        <v>22</v>
      </c>
    </row>
    <row r="359">
      <c r="H359" t="s">
        <v>22</v>
      </c>
    </row>
    <row r="360">
      <c r="H360" t="s">
        <v>22</v>
      </c>
    </row>
    <row r="361">
      <c r="H361" t="s">
        <v>22</v>
      </c>
    </row>
    <row r="362">
      <c r="H362" t="s">
        <v>22</v>
      </c>
    </row>
    <row r="363">
      <c r="H363" t="s">
        <v>22</v>
      </c>
    </row>
    <row r="364">
      <c r="H364" t="s">
        <v>22</v>
      </c>
    </row>
    <row r="365">
      <c r="H365" t="s">
        <v>22</v>
      </c>
    </row>
    <row r="366">
      <c r="H366" t="s">
        <v>22</v>
      </c>
    </row>
    <row r="367">
      <c r="H367" t="s">
        <v>22</v>
      </c>
    </row>
    <row r="368">
      <c r="H368" t="s">
        <v>22</v>
      </c>
    </row>
    <row r="369">
      <c r="H369" t="s">
        <v>22</v>
      </c>
    </row>
    <row r="370">
      <c r="H370" t="s">
        <v>22</v>
      </c>
    </row>
    <row r="371">
      <c r="H371" t="s">
        <v>22</v>
      </c>
    </row>
    <row r="372">
      <c r="H372" t="s">
        <v>22</v>
      </c>
    </row>
    <row r="373">
      <c r="H373" t="s">
        <v>22</v>
      </c>
    </row>
    <row r="374">
      <c r="H374" t="s">
        <v>22</v>
      </c>
    </row>
    <row r="375">
      <c r="H375" t="s">
        <v>22</v>
      </c>
    </row>
    <row r="376">
      <c r="H376" t="s">
        <v>22</v>
      </c>
    </row>
    <row r="377">
      <c r="H377" t="s">
        <v>22</v>
      </c>
    </row>
    <row r="378">
      <c r="H378" t="s">
        <v>22</v>
      </c>
    </row>
    <row r="379">
      <c r="H379" t="s">
        <v>22</v>
      </c>
    </row>
    <row r="380">
      <c r="H380" t="s">
        <v>22</v>
      </c>
    </row>
    <row r="381">
      <c r="H381" t="s">
        <v>22</v>
      </c>
    </row>
    <row r="382">
      <c r="H382" t="s">
        <v>22</v>
      </c>
    </row>
    <row r="383">
      <c r="H383" t="s">
        <v>22</v>
      </c>
    </row>
    <row r="384">
      <c r="H384" t="s">
        <v>22</v>
      </c>
    </row>
    <row r="385">
      <c r="H385" t="s">
        <v>22</v>
      </c>
    </row>
    <row r="386">
      <c r="H386" t="s">
        <v>22</v>
      </c>
    </row>
    <row r="387">
      <c r="H387" t="s">
        <v>22</v>
      </c>
    </row>
    <row r="388">
      <c r="H388" t="s">
        <v>22</v>
      </c>
    </row>
    <row r="389">
      <c r="H389" t="s">
        <v>22</v>
      </c>
    </row>
    <row r="390">
      <c r="H390" t="s">
        <v>22</v>
      </c>
    </row>
    <row r="391">
      <c r="H391" t="s">
        <v>22</v>
      </c>
    </row>
    <row r="392">
      <c r="H392" t="s">
        <v>22</v>
      </c>
    </row>
    <row r="393">
      <c r="H393" t="s">
        <v>22</v>
      </c>
    </row>
    <row r="394">
      <c r="H394" t="s">
        <v>22</v>
      </c>
    </row>
    <row r="395">
      <c r="H395" t="s">
        <v>22</v>
      </c>
    </row>
    <row r="396">
      <c r="H396" t="s">
        <v>22</v>
      </c>
    </row>
    <row r="397">
      <c r="H397" t="s">
        <v>22</v>
      </c>
    </row>
    <row r="398">
      <c r="H398" t="s">
        <v>22</v>
      </c>
    </row>
    <row r="399">
      <c r="H399" t="s">
        <v>22</v>
      </c>
    </row>
    <row r="400">
      <c r="H400" t="s">
        <v>22</v>
      </c>
    </row>
    <row r="401">
      <c r="H401" t="s">
        <v>22</v>
      </c>
    </row>
    <row r="402">
      <c r="H402" t="s">
        <v>22</v>
      </c>
    </row>
    <row r="403">
      <c r="H403" t="s">
        <v>22</v>
      </c>
    </row>
    <row r="404">
      <c r="H404" t="s">
        <v>22</v>
      </c>
    </row>
    <row r="405">
      <c r="H405" t="s">
        <v>22</v>
      </c>
    </row>
    <row r="406">
      <c r="H406" t="s">
        <v>22</v>
      </c>
    </row>
    <row r="407">
      <c r="H407" t="s">
        <v>22</v>
      </c>
    </row>
    <row r="408">
      <c r="H408" t="s">
        <v>22</v>
      </c>
    </row>
    <row r="409">
      <c r="H409" t="s">
        <v>22</v>
      </c>
    </row>
    <row r="410">
      <c r="H410" t="s">
        <v>22</v>
      </c>
    </row>
    <row r="411">
      <c r="H411" t="s">
        <v>22</v>
      </c>
    </row>
    <row r="412">
      <c r="H412" t="s">
        <v>22</v>
      </c>
    </row>
    <row r="413">
      <c r="H413" t="s">
        <v>22</v>
      </c>
    </row>
    <row r="414">
      <c r="H414" t="s">
        <v>22</v>
      </c>
    </row>
    <row r="415">
      <c r="H415" t="s">
        <v>22</v>
      </c>
    </row>
    <row r="416">
      <c r="H416" t="s">
        <v>22</v>
      </c>
    </row>
    <row r="417">
      <c r="H417" t="s">
        <v>22</v>
      </c>
    </row>
    <row r="418">
      <c r="H418" t="s">
        <v>22</v>
      </c>
    </row>
    <row r="419">
      <c r="H419" t="s">
        <v>22</v>
      </c>
    </row>
    <row r="420">
      <c r="H420" t="s">
        <v>22</v>
      </c>
    </row>
    <row r="421">
      <c r="H421" t="s">
        <v>22</v>
      </c>
    </row>
    <row r="422">
      <c r="H422" t="s">
        <v>22</v>
      </c>
    </row>
    <row r="423">
      <c r="H423" t="s">
        <v>22</v>
      </c>
    </row>
    <row r="424">
      <c r="H424" t="s">
        <v>22</v>
      </c>
    </row>
    <row r="425">
      <c r="H425" t="s">
        <v>22</v>
      </c>
    </row>
    <row r="426">
      <c r="H426" t="s">
        <v>22</v>
      </c>
    </row>
    <row r="427">
      <c r="H427" t="s">
        <v>22</v>
      </c>
    </row>
    <row r="428">
      <c r="H428" t="s">
        <v>22</v>
      </c>
    </row>
    <row r="429">
      <c r="H429" t="s">
        <v>22</v>
      </c>
    </row>
    <row r="430">
      <c r="H430" t="s">
        <v>22</v>
      </c>
    </row>
    <row r="431">
      <c r="H431" t="s">
        <v>22</v>
      </c>
    </row>
    <row r="432">
      <c r="H432" t="s">
        <v>22</v>
      </c>
    </row>
    <row r="433">
      <c r="H433" t="s">
        <v>22</v>
      </c>
    </row>
    <row r="434">
      <c r="H434" t="s">
        <v>22</v>
      </c>
    </row>
    <row r="435">
      <c r="H435" t="s">
        <v>22</v>
      </c>
    </row>
    <row r="436">
      <c r="H436" t="s">
        <v>22</v>
      </c>
    </row>
    <row r="437">
      <c r="H437" t="s">
        <v>22</v>
      </c>
    </row>
    <row r="438">
      <c r="H438" t="s">
        <v>22</v>
      </c>
    </row>
    <row r="439">
      <c r="H439" t="s">
        <v>22</v>
      </c>
    </row>
    <row r="440">
      <c r="H440" t="s">
        <v>22</v>
      </c>
    </row>
    <row r="441">
      <c r="H441" t="s">
        <v>22</v>
      </c>
    </row>
    <row r="442">
      <c r="H442" t="s">
        <v>22</v>
      </c>
    </row>
    <row r="443">
      <c r="H443" t="s">
        <v>22</v>
      </c>
    </row>
    <row r="444">
      <c r="H444" t="s">
        <v>22</v>
      </c>
    </row>
    <row r="445">
      <c r="H445" t="s">
        <v>22</v>
      </c>
    </row>
    <row r="446">
      <c r="H446" t="s">
        <v>22</v>
      </c>
    </row>
    <row r="447">
      <c r="H447" t="s">
        <v>22</v>
      </c>
    </row>
    <row r="448">
      <c r="H448" t="s">
        <v>22</v>
      </c>
    </row>
    <row r="449">
      <c r="H449" t="s">
        <v>22</v>
      </c>
    </row>
    <row r="450">
      <c r="H450" t="s">
        <v>22</v>
      </c>
    </row>
    <row r="451">
      <c r="H451" t="s">
        <v>22</v>
      </c>
    </row>
    <row r="452">
      <c r="H452" t="s">
        <v>22</v>
      </c>
    </row>
    <row r="453">
      <c r="H453" t="s">
        <v>22</v>
      </c>
    </row>
    <row r="454">
      <c r="H454" t="s">
        <v>22</v>
      </c>
    </row>
    <row r="455">
      <c r="H455" t="s">
        <v>22</v>
      </c>
    </row>
    <row r="456">
      <c r="H456" t="s">
        <v>22</v>
      </c>
    </row>
    <row r="457">
      <c r="H457" t="s">
        <v>22</v>
      </c>
    </row>
    <row r="458">
      <c r="H458" t="s">
        <v>22</v>
      </c>
    </row>
    <row r="459">
      <c r="H459" t="s">
        <v>22</v>
      </c>
    </row>
    <row r="460">
      <c r="H460" t="s">
        <v>22</v>
      </c>
    </row>
    <row r="461">
      <c r="H461" t="s">
        <v>22</v>
      </c>
    </row>
    <row r="462">
      <c r="H462" t="s">
        <v>22</v>
      </c>
    </row>
    <row r="463">
      <c r="H463" t="s">
        <v>22</v>
      </c>
    </row>
    <row r="464">
      <c r="H464" t="s">
        <v>22</v>
      </c>
    </row>
    <row r="465">
      <c r="H465" t="s">
        <v>22</v>
      </c>
    </row>
    <row r="466">
      <c r="H466" t="s">
        <v>22</v>
      </c>
    </row>
    <row r="467">
      <c r="H467" t="s">
        <v>22</v>
      </c>
    </row>
    <row r="468">
      <c r="H468" t="s">
        <v>22</v>
      </c>
    </row>
    <row r="469">
      <c r="H469" t="s">
        <v>22</v>
      </c>
    </row>
    <row r="470">
      <c r="H470" t="s">
        <v>22</v>
      </c>
    </row>
    <row r="471">
      <c r="H471" t="s">
        <v>22</v>
      </c>
    </row>
    <row r="472">
      <c r="H472" t="s">
        <v>22</v>
      </c>
    </row>
    <row r="473">
      <c r="H473" t="s">
        <v>22</v>
      </c>
    </row>
    <row r="474">
      <c r="H474" t="s">
        <v>22</v>
      </c>
    </row>
    <row r="475">
      <c r="H475" t="s">
        <v>22</v>
      </c>
    </row>
    <row r="476">
      <c r="H476" t="s">
        <v>22</v>
      </c>
    </row>
    <row r="477">
      <c r="H477" t="s">
        <v>22</v>
      </c>
    </row>
    <row r="478">
      <c r="H478" t="s">
        <v>22</v>
      </c>
    </row>
    <row r="479">
      <c r="H479" t="s">
        <v>22</v>
      </c>
    </row>
    <row r="480">
      <c r="H480" t="s">
        <v>22</v>
      </c>
    </row>
    <row r="481">
      <c r="H481" t="s">
        <v>22</v>
      </c>
    </row>
    <row r="482">
      <c r="H482" t="s">
        <v>22</v>
      </c>
    </row>
    <row r="483">
      <c r="H483" t="s">
        <v>22</v>
      </c>
    </row>
    <row r="484">
      <c r="H484" t="s">
        <v>22</v>
      </c>
    </row>
    <row r="485">
      <c r="H485" t="s">
        <v>22</v>
      </c>
    </row>
    <row r="486">
      <c r="H486" t="s">
        <v>22</v>
      </c>
    </row>
    <row r="487">
      <c r="H487" t="s">
        <v>22</v>
      </c>
    </row>
    <row r="488">
      <c r="H488" t="s">
        <v>22</v>
      </c>
    </row>
    <row r="489">
      <c r="H489" t="s">
        <v>22</v>
      </c>
    </row>
    <row r="490">
      <c r="H490" t="s">
        <v>22</v>
      </c>
    </row>
    <row r="491">
      <c r="H491" t="s">
        <v>22</v>
      </c>
    </row>
    <row r="492">
      <c r="H492" t="s">
        <v>22</v>
      </c>
    </row>
    <row r="493">
      <c r="H493" t="s">
        <v>22</v>
      </c>
    </row>
    <row r="494">
      <c r="H494" t="s">
        <v>22</v>
      </c>
    </row>
    <row r="495">
      <c r="H495" t="s">
        <v>22</v>
      </c>
    </row>
    <row r="496">
      <c r="H496" t="s">
        <v>22</v>
      </c>
    </row>
    <row r="497">
      <c r="H497" t="s">
        <v>22</v>
      </c>
    </row>
    <row r="498">
      <c r="H498" t="s">
        <v>22</v>
      </c>
    </row>
    <row r="499">
      <c r="H499" t="s">
        <v>22</v>
      </c>
    </row>
    <row r="500">
      <c r="H500" t="s">
        <v>22</v>
      </c>
    </row>
    <row r="501">
      <c r="H501" t="s">
        <v>22</v>
      </c>
    </row>
    <row r="502">
      <c r="H502" t="s">
        <v>22</v>
      </c>
    </row>
    <row r="503">
      <c r="H503" t="s">
        <v>22</v>
      </c>
    </row>
    <row r="504">
      <c r="H504" t="s">
        <v>22</v>
      </c>
    </row>
    <row r="505">
      <c r="H505" t="s">
        <v>22</v>
      </c>
    </row>
    <row r="506">
      <c r="H506" t="s">
        <v>22</v>
      </c>
    </row>
    <row r="507">
      <c r="H507" t="s">
        <v>22</v>
      </c>
    </row>
    <row r="508">
      <c r="H508" t="s">
        <v>22</v>
      </c>
    </row>
    <row r="509">
      <c r="H509" t="s">
        <v>22</v>
      </c>
    </row>
    <row r="510">
      <c r="H510" t="s">
        <v>22</v>
      </c>
    </row>
    <row r="511">
      <c r="H511" t="s">
        <v>22</v>
      </c>
    </row>
    <row r="512">
      <c r="H512" t="s">
        <v>22</v>
      </c>
    </row>
    <row r="513">
      <c r="H513" t="s">
        <v>22</v>
      </c>
    </row>
    <row r="514">
      <c r="H514" t="s">
        <v>22</v>
      </c>
    </row>
    <row r="515">
      <c r="H515" t="s">
        <v>22</v>
      </c>
    </row>
    <row r="516">
      <c r="H516" t="s">
        <v>22</v>
      </c>
    </row>
    <row r="517">
      <c r="H517" t="s">
        <v>22</v>
      </c>
    </row>
    <row r="518">
      <c r="H518" t="s">
        <v>22</v>
      </c>
    </row>
    <row r="519">
      <c r="H519" t="s">
        <v>22</v>
      </c>
    </row>
    <row r="520">
      <c r="H520" t="s">
        <v>22</v>
      </c>
    </row>
    <row r="521">
      <c r="H521" t="s">
        <v>22</v>
      </c>
    </row>
    <row r="522">
      <c r="H522" t="s">
        <v>22</v>
      </c>
    </row>
    <row r="523">
      <c r="H523" t="s">
        <v>22</v>
      </c>
    </row>
    <row r="524">
      <c r="H524" t="s">
        <v>22</v>
      </c>
    </row>
    <row r="525">
      <c r="H525" t="s">
        <v>22</v>
      </c>
    </row>
    <row r="526">
      <c r="H526" t="s">
        <v>22</v>
      </c>
    </row>
    <row r="527">
      <c r="H527" t="s">
        <v>22</v>
      </c>
    </row>
    <row r="528">
      <c r="H528" t="s">
        <v>22</v>
      </c>
    </row>
    <row r="529">
      <c r="H529" t="s">
        <v>22</v>
      </c>
    </row>
    <row r="530">
      <c r="H530" t="s">
        <v>22</v>
      </c>
    </row>
    <row r="531">
      <c r="H531" t="s">
        <v>22</v>
      </c>
    </row>
    <row r="532">
      <c r="H532" t="s">
        <v>22</v>
      </c>
    </row>
    <row r="533">
      <c r="H533" t="s">
        <v>22</v>
      </c>
    </row>
    <row r="534">
      <c r="H534" t="s">
        <v>22</v>
      </c>
    </row>
    <row r="535">
      <c r="H535" t="s">
        <v>22</v>
      </c>
    </row>
    <row r="536">
      <c r="H536" t="s">
        <v>22</v>
      </c>
    </row>
    <row r="537">
      <c r="H537" t="s">
        <v>22</v>
      </c>
    </row>
    <row r="538">
      <c r="H538" t="s">
        <v>22</v>
      </c>
    </row>
    <row r="539">
      <c r="H539" t="s">
        <v>22</v>
      </c>
    </row>
    <row r="540">
      <c r="H540" t="s">
        <v>22</v>
      </c>
    </row>
    <row r="541">
      <c r="H541" t="s">
        <v>22</v>
      </c>
    </row>
    <row r="542">
      <c r="H542" t="s">
        <v>22</v>
      </c>
    </row>
    <row r="543">
      <c r="H543" t="s">
        <v>22</v>
      </c>
    </row>
    <row r="544">
      <c r="H544" t="s">
        <v>22</v>
      </c>
    </row>
    <row r="545">
      <c r="H545" t="s">
        <v>22</v>
      </c>
    </row>
    <row r="546">
      <c r="H546" t="s">
        <v>22</v>
      </c>
    </row>
    <row r="547">
      <c r="H547" t="s">
        <v>22</v>
      </c>
    </row>
    <row r="548">
      <c r="H548" t="s">
        <v>22</v>
      </c>
    </row>
    <row r="549">
      <c r="H549" t="s">
        <v>22</v>
      </c>
    </row>
    <row r="550">
      <c r="H550" t="s">
        <v>22</v>
      </c>
    </row>
    <row r="551">
      <c r="H551" t="s">
        <v>22</v>
      </c>
    </row>
    <row r="552">
      <c r="H552" t="s">
        <v>22</v>
      </c>
    </row>
    <row r="553">
      <c r="H553" t="s">
        <v>22</v>
      </c>
    </row>
    <row r="554">
      <c r="H554" t="s">
        <v>22</v>
      </c>
    </row>
    <row r="555">
      <c r="H555" t="s">
        <v>22</v>
      </c>
    </row>
    <row r="556">
      <c r="H556" t="s">
        <v>22</v>
      </c>
    </row>
    <row r="557">
      <c r="H557" t="s">
        <v>22</v>
      </c>
    </row>
    <row r="558">
      <c r="H558" t="s">
        <v>22</v>
      </c>
    </row>
    <row r="559">
      <c r="H559" t="s">
        <v>22</v>
      </c>
    </row>
    <row r="560">
      <c r="H560" t="s">
        <v>22</v>
      </c>
    </row>
    <row r="561">
      <c r="H561" t="s">
        <v>22</v>
      </c>
    </row>
    <row r="562">
      <c r="H562" t="s">
        <v>22</v>
      </c>
    </row>
    <row r="563">
      <c r="H563" t="s">
        <v>22</v>
      </c>
    </row>
    <row r="564">
      <c r="H564" t="s">
        <v>22</v>
      </c>
    </row>
    <row r="565">
      <c r="H565" t="s">
        <v>22</v>
      </c>
    </row>
    <row r="566">
      <c r="H566" t="s">
        <v>22</v>
      </c>
    </row>
    <row r="567">
      <c r="H567" t="s">
        <v>22</v>
      </c>
    </row>
    <row r="568">
      <c r="H568" t="s">
        <v>22</v>
      </c>
    </row>
    <row r="569">
      <c r="H569" t="s">
        <v>22</v>
      </c>
    </row>
    <row r="570">
      <c r="H570" t="s">
        <v>22</v>
      </c>
    </row>
    <row r="571">
      <c r="H571" t="s">
        <v>22</v>
      </c>
    </row>
    <row r="572">
      <c r="H572" t="s">
        <v>22</v>
      </c>
    </row>
    <row r="573">
      <c r="H573" t="s">
        <v>22</v>
      </c>
    </row>
    <row r="574">
      <c r="H574" t="s">
        <v>22</v>
      </c>
    </row>
    <row r="575">
      <c r="H575" t="s">
        <v>22</v>
      </c>
    </row>
    <row r="576">
      <c r="H576" t="s">
        <v>22</v>
      </c>
    </row>
    <row r="577">
      <c r="H577" t="s">
        <v>22</v>
      </c>
    </row>
    <row r="578">
      <c r="H578" t="s">
        <v>22</v>
      </c>
    </row>
    <row r="579">
      <c r="H579" t="s">
        <v>22</v>
      </c>
    </row>
    <row r="580">
      <c r="H580" t="s">
        <v>22</v>
      </c>
    </row>
    <row r="581">
      <c r="H581" t="s">
        <v>22</v>
      </c>
    </row>
    <row r="582">
      <c r="H582" t="s">
        <v>22</v>
      </c>
    </row>
    <row r="583">
      <c r="H583" t="s">
        <v>22</v>
      </c>
    </row>
    <row r="584">
      <c r="H584" t="s">
        <v>22</v>
      </c>
    </row>
    <row r="585">
      <c r="H585" t="s">
        <v>22</v>
      </c>
    </row>
    <row r="586">
      <c r="H586" t="s">
        <v>22</v>
      </c>
    </row>
    <row r="587">
      <c r="H587" t="s">
        <v>22</v>
      </c>
    </row>
    <row r="588">
      <c r="H588" t="s">
        <v>22</v>
      </c>
    </row>
    <row r="589">
      <c r="H589" t="s">
        <v>22</v>
      </c>
    </row>
    <row r="590">
      <c r="H590" t="s">
        <v>22</v>
      </c>
    </row>
    <row r="591">
      <c r="H591" t="s">
        <v>22</v>
      </c>
    </row>
    <row r="592">
      <c r="H592" t="s">
        <v>22</v>
      </c>
    </row>
    <row r="593">
      <c r="H593" t="s">
        <v>22</v>
      </c>
    </row>
    <row r="594">
      <c r="H594" t="s">
        <v>22</v>
      </c>
    </row>
    <row r="595">
      <c r="H595" t="s">
        <v>22</v>
      </c>
    </row>
    <row r="596">
      <c r="H596" t="s">
        <v>22</v>
      </c>
    </row>
    <row r="597">
      <c r="H597" t="s">
        <v>22</v>
      </c>
    </row>
    <row r="598">
      <c r="H598" t="s">
        <v>22</v>
      </c>
    </row>
    <row r="599">
      <c r="H599" t="s">
        <v>22</v>
      </c>
    </row>
    <row r="600">
      <c r="H600" t="s">
        <v>22</v>
      </c>
    </row>
    <row r="601">
      <c r="H601" t="s">
        <v>22</v>
      </c>
    </row>
    <row r="602">
      <c r="H602" t="s">
        <v>22</v>
      </c>
    </row>
    <row r="603">
      <c r="H603" t="s">
        <v>22</v>
      </c>
    </row>
    <row r="604">
      <c r="H604" t="s">
        <v>22</v>
      </c>
    </row>
    <row r="605">
      <c r="H605" t="s">
        <v>22</v>
      </c>
    </row>
    <row r="606">
      <c r="H606" t="s">
        <v>22</v>
      </c>
    </row>
    <row r="607">
      <c r="H607" t="s">
        <v>22</v>
      </c>
    </row>
    <row r="608">
      <c r="H608" t="s">
        <v>22</v>
      </c>
    </row>
    <row r="609">
      <c r="H609" t="s">
        <v>22</v>
      </c>
    </row>
    <row r="610">
      <c r="H610" t="s">
        <v>22</v>
      </c>
    </row>
    <row r="611">
      <c r="H611" t="s">
        <v>22</v>
      </c>
    </row>
    <row r="612">
      <c r="H612" t="s">
        <v>22</v>
      </c>
    </row>
    <row r="613">
      <c r="H613" t="s">
        <v>22</v>
      </c>
    </row>
    <row r="614">
      <c r="H614" t="s">
        <v>22</v>
      </c>
    </row>
    <row r="615">
      <c r="H615" t="s">
        <v>22</v>
      </c>
    </row>
    <row r="616">
      <c r="H616" t="s">
        <v>22</v>
      </c>
    </row>
    <row r="617">
      <c r="H617" t="s">
        <v>22</v>
      </c>
    </row>
    <row r="618">
      <c r="H618" t="s">
        <v>22</v>
      </c>
    </row>
    <row r="619">
      <c r="H619" t="s">
        <v>22</v>
      </c>
    </row>
    <row r="620">
      <c r="H620" t="s">
        <v>22</v>
      </c>
    </row>
    <row r="621">
      <c r="H621" t="s">
        <v>22</v>
      </c>
    </row>
    <row r="622">
      <c r="H622" t="s">
        <v>22</v>
      </c>
    </row>
    <row r="623">
      <c r="H623" t="s">
        <v>22</v>
      </c>
    </row>
    <row r="624">
      <c r="H624" t="s">
        <v>22</v>
      </c>
    </row>
    <row r="625">
      <c r="H625" t="s">
        <v>22</v>
      </c>
    </row>
    <row r="626">
      <c r="H626" t="s">
        <v>22</v>
      </c>
    </row>
    <row r="627">
      <c r="H627" t="s">
        <v>22</v>
      </c>
    </row>
    <row r="628">
      <c r="H628" t="s">
        <v>22</v>
      </c>
    </row>
    <row r="629">
      <c r="H629" t="s">
        <v>22</v>
      </c>
    </row>
    <row r="630">
      <c r="H630" t="s">
        <v>22</v>
      </c>
    </row>
    <row r="631">
      <c r="H631" t="s">
        <v>22</v>
      </c>
    </row>
    <row r="632">
      <c r="H632" t="s">
        <v>22</v>
      </c>
    </row>
    <row r="633">
      <c r="H633" t="s">
        <v>22</v>
      </c>
    </row>
    <row r="634">
      <c r="H634" t="s">
        <v>22</v>
      </c>
    </row>
    <row r="635">
      <c r="H635" t="s">
        <v>22</v>
      </c>
    </row>
    <row r="636">
      <c r="H636" t="s">
        <v>22</v>
      </c>
    </row>
    <row r="637">
      <c r="H637" t="s">
        <v>22</v>
      </c>
    </row>
    <row r="638">
      <c r="H638" t="s">
        <v>22</v>
      </c>
    </row>
    <row r="639">
      <c r="H639" t="s">
        <v>22</v>
      </c>
    </row>
    <row r="640">
      <c r="H640" t="s">
        <v>22</v>
      </c>
    </row>
    <row r="641">
      <c r="H641" t="s">
        <v>22</v>
      </c>
    </row>
    <row r="642">
      <c r="H642" t="s">
        <v>22</v>
      </c>
    </row>
    <row r="643">
      <c r="H643" t="s">
        <v>22</v>
      </c>
    </row>
    <row r="644">
      <c r="H644" t="s">
        <v>22</v>
      </c>
    </row>
    <row r="645">
      <c r="H645" t="s">
        <v>22</v>
      </c>
    </row>
    <row r="646">
      <c r="H646" t="s">
        <v>22</v>
      </c>
    </row>
    <row r="647">
      <c r="H647" t="s">
        <v>22</v>
      </c>
    </row>
    <row r="648">
      <c r="H648" t="s">
        <v>22</v>
      </c>
    </row>
    <row r="649">
      <c r="H649" t="s">
        <v>22</v>
      </c>
    </row>
    <row r="650">
      <c r="H650" t="s">
        <v>22</v>
      </c>
    </row>
    <row r="651">
      <c r="H651" t="s">
        <v>22</v>
      </c>
    </row>
    <row r="652">
      <c r="H652" t="s">
        <v>22</v>
      </c>
    </row>
    <row r="653">
      <c r="H653" t="s">
        <v>22</v>
      </c>
    </row>
    <row r="654">
      <c r="H654" t="s">
        <v>22</v>
      </c>
    </row>
    <row r="655">
      <c r="H655" t="s">
        <v>22</v>
      </c>
    </row>
    <row r="656">
      <c r="H656" t="s">
        <v>22</v>
      </c>
    </row>
    <row r="657">
      <c r="H657" t="s">
        <v>22</v>
      </c>
    </row>
    <row r="658">
      <c r="H658" t="s">
        <v>22</v>
      </c>
    </row>
    <row r="659">
      <c r="H659" t="s">
        <v>22</v>
      </c>
    </row>
    <row r="660">
      <c r="H660" t="s">
        <v>22</v>
      </c>
    </row>
    <row r="661">
      <c r="H661" t="s">
        <v>22</v>
      </c>
    </row>
    <row r="662">
      <c r="H662" t="s">
        <v>22</v>
      </c>
    </row>
    <row r="663">
      <c r="H663" t="s">
        <v>22</v>
      </c>
    </row>
    <row r="664">
      <c r="H664" t="s">
        <v>22</v>
      </c>
    </row>
    <row r="665">
      <c r="H665" t="s">
        <v>22</v>
      </c>
    </row>
    <row r="666">
      <c r="H666" t="s">
        <v>22</v>
      </c>
    </row>
    <row r="667">
      <c r="H667" t="s">
        <v>22</v>
      </c>
    </row>
    <row r="668">
      <c r="H668" t="s">
        <v>22</v>
      </c>
    </row>
    <row r="669">
      <c r="H669" t="s">
        <v>22</v>
      </c>
    </row>
    <row r="670">
      <c r="H670" t="s">
        <v>22</v>
      </c>
    </row>
    <row r="671">
      <c r="H671" t="s">
        <v>22</v>
      </c>
    </row>
    <row r="672">
      <c r="H672" t="s">
        <v>22</v>
      </c>
    </row>
    <row r="673">
      <c r="H673" t="s">
        <v>22</v>
      </c>
    </row>
    <row r="674">
      <c r="H674" t="s">
        <v>22</v>
      </c>
    </row>
    <row r="675">
      <c r="H675" t="s">
        <v>22</v>
      </c>
    </row>
    <row r="676">
      <c r="H676" t="s">
        <v>22</v>
      </c>
    </row>
    <row r="677">
      <c r="H677" t="s">
        <v>22</v>
      </c>
    </row>
    <row r="678">
      <c r="H678" t="s">
        <v>22</v>
      </c>
    </row>
    <row r="679">
      <c r="H679" t="s">
        <v>22</v>
      </c>
    </row>
    <row r="680">
      <c r="H680" t="s">
        <v>22</v>
      </c>
    </row>
    <row r="681">
      <c r="H681" t="s">
        <v>22</v>
      </c>
    </row>
    <row r="682">
      <c r="H682" t="s">
        <v>22</v>
      </c>
    </row>
    <row r="683">
      <c r="H683" t="s">
        <v>22</v>
      </c>
    </row>
    <row r="684">
      <c r="H684" t="s">
        <v>22</v>
      </c>
    </row>
    <row r="685">
      <c r="H685" t="s">
        <v>22</v>
      </c>
    </row>
    <row r="686">
      <c r="H686" t="s">
        <v>22</v>
      </c>
    </row>
    <row r="687">
      <c r="H687" t="s">
        <v>22</v>
      </c>
    </row>
    <row r="688">
      <c r="H688" t="s">
        <v>22</v>
      </c>
    </row>
    <row r="689">
      <c r="H689" t="s">
        <v>22</v>
      </c>
    </row>
    <row r="690">
      <c r="H690" t="s">
        <v>22</v>
      </c>
    </row>
    <row r="691">
      <c r="H691" t="s">
        <v>22</v>
      </c>
    </row>
    <row r="692">
      <c r="H692" t="s">
        <v>22</v>
      </c>
    </row>
    <row r="693">
      <c r="H693" t="s">
        <v>22</v>
      </c>
    </row>
    <row r="694">
      <c r="H694" t="s">
        <v>22</v>
      </c>
    </row>
    <row r="695">
      <c r="H695" t="s">
        <v>22</v>
      </c>
    </row>
    <row r="696">
      <c r="H696" t="s">
        <v>22</v>
      </c>
    </row>
    <row r="697">
      <c r="H697" t="s">
        <v>22</v>
      </c>
    </row>
    <row r="698">
      <c r="H698" t="s">
        <v>22</v>
      </c>
    </row>
    <row r="699">
      <c r="H699" t="s">
        <v>22</v>
      </c>
    </row>
    <row r="700">
      <c r="H700" t="s">
        <v>22</v>
      </c>
    </row>
    <row r="701">
      <c r="H701" t="s">
        <v>22</v>
      </c>
    </row>
    <row r="702">
      <c r="H702" t="s">
        <v>22</v>
      </c>
    </row>
    <row r="703">
      <c r="H703" t="s">
        <v>22</v>
      </c>
    </row>
    <row r="704">
      <c r="H704" t="s">
        <v>22</v>
      </c>
    </row>
    <row r="705">
      <c r="H705" t="s">
        <v>22</v>
      </c>
    </row>
    <row r="706">
      <c r="H706" t="s">
        <v>22</v>
      </c>
    </row>
    <row r="707">
      <c r="H707" t="s">
        <v>22</v>
      </c>
    </row>
    <row r="708">
      <c r="H708" t="s">
        <v>22</v>
      </c>
    </row>
    <row r="709">
      <c r="H709" t="s">
        <v>22</v>
      </c>
    </row>
    <row r="710">
      <c r="H710" t="s">
        <v>22</v>
      </c>
    </row>
    <row r="711">
      <c r="H711" t="s">
        <v>22</v>
      </c>
    </row>
    <row r="712">
      <c r="H712" t="s">
        <v>22</v>
      </c>
    </row>
    <row r="713">
      <c r="H713" t="s">
        <v>22</v>
      </c>
    </row>
    <row r="714">
      <c r="H714" t="s">
        <v>22</v>
      </c>
    </row>
    <row r="715">
      <c r="H715" t="s">
        <v>22</v>
      </c>
    </row>
    <row r="716">
      <c r="H716" t="s">
        <v>22</v>
      </c>
    </row>
    <row r="717">
      <c r="H717" t="s">
        <v>22</v>
      </c>
    </row>
    <row r="718">
      <c r="H718" t="s">
        <v>22</v>
      </c>
    </row>
    <row r="719">
      <c r="H719" t="s">
        <v>22</v>
      </c>
    </row>
    <row r="720">
      <c r="H720" t="s">
        <v>22</v>
      </c>
    </row>
    <row r="721">
      <c r="H721" t="s">
        <v>22</v>
      </c>
    </row>
    <row r="722">
      <c r="H722" t="s">
        <v>22</v>
      </c>
    </row>
    <row r="723">
      <c r="H723" t="s">
        <v>22</v>
      </c>
    </row>
    <row r="724">
      <c r="H724" t="s">
        <v>22</v>
      </c>
    </row>
    <row r="725">
      <c r="H725" t="s">
        <v>22</v>
      </c>
    </row>
    <row r="726">
      <c r="H726" t="s">
        <v>22</v>
      </c>
    </row>
    <row r="727">
      <c r="H727" t="s">
        <v>22</v>
      </c>
    </row>
    <row r="728">
      <c r="H728" t="s">
        <v>22</v>
      </c>
    </row>
    <row r="729">
      <c r="H729" t="s">
        <v>22</v>
      </c>
    </row>
    <row r="730">
      <c r="H730" t="s">
        <v>22</v>
      </c>
    </row>
    <row r="731">
      <c r="H731" t="s">
        <v>22</v>
      </c>
    </row>
    <row r="732">
      <c r="H732" t="s">
        <v>22</v>
      </c>
    </row>
    <row r="733">
      <c r="H733" t="s">
        <v>22</v>
      </c>
    </row>
    <row r="734">
      <c r="H734" t="s">
        <v>22</v>
      </c>
    </row>
    <row r="735">
      <c r="H735" t="s">
        <v>22</v>
      </c>
    </row>
    <row r="736">
      <c r="H736" t="s">
        <v>22</v>
      </c>
    </row>
    <row r="737">
      <c r="H737" t="s">
        <v>22</v>
      </c>
    </row>
    <row r="738">
      <c r="H738" t="s">
        <v>22</v>
      </c>
    </row>
    <row r="739">
      <c r="H739" t="s">
        <v>22</v>
      </c>
    </row>
    <row r="740">
      <c r="H740" t="s">
        <v>22</v>
      </c>
    </row>
    <row r="741">
      <c r="H741" t="s">
        <v>22</v>
      </c>
    </row>
    <row r="742">
      <c r="H742" t="s">
        <v>22</v>
      </c>
    </row>
    <row r="743">
      <c r="H743" t="s">
        <v>22</v>
      </c>
    </row>
    <row r="744">
      <c r="H744" t="s">
        <v>22</v>
      </c>
    </row>
    <row r="745">
      <c r="H745" t="s">
        <v>22</v>
      </c>
    </row>
    <row r="746">
      <c r="H746" t="s">
        <v>22</v>
      </c>
    </row>
    <row r="747">
      <c r="H747" t="s">
        <v>22</v>
      </c>
    </row>
    <row r="748">
      <c r="H748" t="s">
        <v>22</v>
      </c>
    </row>
    <row r="749">
      <c r="H749" t="s">
        <v>22</v>
      </c>
    </row>
    <row r="750">
      <c r="H750" t="s">
        <v>22</v>
      </c>
    </row>
    <row r="751">
      <c r="H751" t="s">
        <v>22</v>
      </c>
    </row>
    <row r="752">
      <c r="H752" t="s">
        <v>22</v>
      </c>
    </row>
    <row r="753">
      <c r="H753" t="s">
        <v>22</v>
      </c>
    </row>
    <row r="754">
      <c r="H754" t="s">
        <v>22</v>
      </c>
    </row>
    <row r="755">
      <c r="H755" t="s">
        <v>22</v>
      </c>
    </row>
    <row r="756">
      <c r="H756" t="s">
        <v>22</v>
      </c>
    </row>
    <row r="757">
      <c r="H757" t="s">
        <v>22</v>
      </c>
    </row>
    <row r="758">
      <c r="H758" t="s">
        <v>22</v>
      </c>
    </row>
    <row r="759">
      <c r="H759" t="s">
        <v>22</v>
      </c>
    </row>
    <row r="760">
      <c r="H760" t="s">
        <v>22</v>
      </c>
    </row>
    <row r="761">
      <c r="H761" t="s">
        <v>22</v>
      </c>
    </row>
    <row r="762">
      <c r="H762" t="s">
        <v>22</v>
      </c>
    </row>
    <row r="763">
      <c r="H763" t="s">
        <v>22</v>
      </c>
    </row>
    <row r="764">
      <c r="H764" t="s">
        <v>22</v>
      </c>
    </row>
    <row r="765">
      <c r="H765" t="s">
        <v>22</v>
      </c>
    </row>
    <row r="766">
      <c r="H766" t="s">
        <v>22</v>
      </c>
    </row>
    <row r="767">
      <c r="H767" t="s">
        <v>22</v>
      </c>
    </row>
    <row r="768">
      <c r="H768" t="s">
        <v>22</v>
      </c>
    </row>
    <row r="769">
      <c r="H769" t="s">
        <v>22</v>
      </c>
    </row>
    <row r="770">
      <c r="H770" t="s">
        <v>22</v>
      </c>
    </row>
    <row r="771">
      <c r="H771" t="s">
        <v>22</v>
      </c>
    </row>
    <row r="772">
      <c r="H772" t="s">
        <v>22</v>
      </c>
    </row>
    <row r="773">
      <c r="H773" t="s">
        <v>22</v>
      </c>
    </row>
    <row r="774">
      <c r="H774" t="s">
        <v>22</v>
      </c>
    </row>
    <row r="775">
      <c r="H775" t="s">
        <v>22</v>
      </c>
    </row>
    <row r="776">
      <c r="H776" t="s">
        <v>22</v>
      </c>
    </row>
    <row r="777">
      <c r="H777" t="s">
        <v>22</v>
      </c>
    </row>
    <row r="778">
      <c r="H778" t="s">
        <v>22</v>
      </c>
    </row>
    <row r="779">
      <c r="H779" t="s">
        <v>22</v>
      </c>
    </row>
    <row r="780">
      <c r="H780" t="s">
        <v>22</v>
      </c>
    </row>
    <row r="781">
      <c r="H781" t="s">
        <v>22</v>
      </c>
    </row>
    <row r="782">
      <c r="H782" t="s">
        <v>22</v>
      </c>
    </row>
    <row r="783">
      <c r="H783" t="s">
        <v>22</v>
      </c>
    </row>
    <row r="784">
      <c r="H784" t="s">
        <v>22</v>
      </c>
    </row>
    <row r="785">
      <c r="H785" t="s">
        <v>22</v>
      </c>
    </row>
    <row r="786">
      <c r="H786" t="s">
        <v>22</v>
      </c>
    </row>
    <row r="787">
      <c r="H787" t="s">
        <v>22</v>
      </c>
    </row>
    <row r="788">
      <c r="H788" t="s">
        <v>22</v>
      </c>
    </row>
    <row r="789">
      <c r="H789" t="s">
        <v>22</v>
      </c>
    </row>
    <row r="790">
      <c r="H790" t="s">
        <v>22</v>
      </c>
    </row>
    <row r="791">
      <c r="H791" t="s">
        <v>22</v>
      </c>
    </row>
    <row r="792">
      <c r="H792" t="s">
        <v>22</v>
      </c>
    </row>
    <row r="793">
      <c r="H793" t="s">
        <v>22</v>
      </c>
    </row>
    <row r="794">
      <c r="H794" t="s">
        <v>22</v>
      </c>
    </row>
    <row r="795">
      <c r="H795" t="s">
        <v>22</v>
      </c>
    </row>
    <row r="796">
      <c r="H796" t="s">
        <v>22</v>
      </c>
    </row>
    <row r="797">
      <c r="H797" t="s">
        <v>22</v>
      </c>
    </row>
    <row r="798">
      <c r="H798" t="s">
        <v>22</v>
      </c>
    </row>
    <row r="799">
      <c r="H799" t="s">
        <v>22</v>
      </c>
    </row>
    <row r="800">
      <c r="H800" t="s">
        <v>22</v>
      </c>
    </row>
    <row r="801">
      <c r="H801" t="s">
        <v>22</v>
      </c>
    </row>
    <row r="802">
      <c r="H802" t="s">
        <v>22</v>
      </c>
    </row>
    <row r="803">
      <c r="H803" t="s">
        <v>22</v>
      </c>
    </row>
    <row r="804">
      <c r="H804" t="s">
        <v>22</v>
      </c>
    </row>
    <row r="805">
      <c r="H805" t="s">
        <v>22</v>
      </c>
    </row>
    <row r="806">
      <c r="H806" t="s">
        <v>22</v>
      </c>
    </row>
    <row r="807">
      <c r="H807" t="s">
        <v>22</v>
      </c>
    </row>
    <row r="808">
      <c r="H808" t="s">
        <v>22</v>
      </c>
    </row>
    <row r="809">
      <c r="H809" t="s">
        <v>22</v>
      </c>
    </row>
    <row r="810">
      <c r="H810" t="s">
        <v>22</v>
      </c>
    </row>
    <row r="811">
      <c r="H811" t="s">
        <v>22</v>
      </c>
    </row>
    <row r="812">
      <c r="H812" t="s">
        <v>22</v>
      </c>
    </row>
    <row r="813">
      <c r="H813" t="s">
        <v>22</v>
      </c>
    </row>
    <row r="814">
      <c r="H814" t="s">
        <v>22</v>
      </c>
    </row>
    <row r="815">
      <c r="H815" t="s">
        <v>22</v>
      </c>
    </row>
    <row r="816">
      <c r="H816" t="s">
        <v>22</v>
      </c>
    </row>
    <row r="817">
      <c r="H817" t="s">
        <v>22</v>
      </c>
    </row>
    <row r="818">
      <c r="H818" t="s">
        <v>22</v>
      </c>
    </row>
    <row r="819">
      <c r="H819" t="s">
        <v>22</v>
      </c>
    </row>
    <row r="820">
      <c r="H820" t="s">
        <v>22</v>
      </c>
    </row>
    <row r="821">
      <c r="H821" t="s">
        <v>22</v>
      </c>
    </row>
    <row r="822">
      <c r="H822" t="s">
        <v>22</v>
      </c>
    </row>
    <row r="823">
      <c r="H823" t="s">
        <v>22</v>
      </c>
    </row>
    <row r="824">
      <c r="H824" t="s">
        <v>22</v>
      </c>
    </row>
    <row r="825">
      <c r="H825" t="s">
        <v>22</v>
      </c>
    </row>
    <row r="826">
      <c r="H826" t="s">
        <v>22</v>
      </c>
    </row>
    <row r="827">
      <c r="H827" t="s">
        <v>22</v>
      </c>
    </row>
    <row r="828">
      <c r="H828" t="s">
        <v>22</v>
      </c>
    </row>
    <row r="829">
      <c r="H829" t="s">
        <v>22</v>
      </c>
    </row>
    <row r="830">
      <c r="H830" t="s">
        <v>22</v>
      </c>
    </row>
    <row r="831">
      <c r="H831" t="s">
        <v>22</v>
      </c>
    </row>
    <row r="832">
      <c r="H832" t="s">
        <v>22</v>
      </c>
    </row>
    <row r="833">
      <c r="H833" t="s">
        <v>22</v>
      </c>
    </row>
    <row r="834">
      <c r="H834" t="s">
        <v>22</v>
      </c>
    </row>
    <row r="835">
      <c r="H835" t="s">
        <v>22</v>
      </c>
    </row>
    <row r="836">
      <c r="H836" t="s">
        <v>22</v>
      </c>
    </row>
    <row r="837">
      <c r="H837" t="s">
        <v>22</v>
      </c>
    </row>
    <row r="838">
      <c r="H838" t="s">
        <v>22</v>
      </c>
    </row>
    <row r="839">
      <c r="H839" t="s">
        <v>22</v>
      </c>
    </row>
    <row r="840">
      <c r="H840" t="s">
        <v>22</v>
      </c>
    </row>
    <row r="841">
      <c r="H841" t="s">
        <v>22</v>
      </c>
    </row>
    <row r="842">
      <c r="H842" t="s">
        <v>22</v>
      </c>
    </row>
    <row r="843">
      <c r="H843" t="s">
        <v>22</v>
      </c>
    </row>
    <row r="844">
      <c r="H844" t="s">
        <v>22</v>
      </c>
    </row>
    <row r="845">
      <c r="H845" t="s">
        <v>22</v>
      </c>
    </row>
    <row r="846">
      <c r="H846" t="s">
        <v>22</v>
      </c>
    </row>
    <row r="847">
      <c r="H847" t="s">
        <v>22</v>
      </c>
    </row>
    <row r="848">
      <c r="H848" t="s">
        <v>22</v>
      </c>
    </row>
    <row r="849">
      <c r="H849" t="s">
        <v>22</v>
      </c>
    </row>
    <row r="850">
      <c r="H850" t="s">
        <v>22</v>
      </c>
    </row>
    <row r="851">
      <c r="H851" t="s">
        <v>22</v>
      </c>
    </row>
    <row r="852">
      <c r="H852" t="s">
        <v>22</v>
      </c>
    </row>
    <row r="853">
      <c r="H853" t="s">
        <v>22</v>
      </c>
    </row>
    <row r="854">
      <c r="H854" t="s">
        <v>22</v>
      </c>
    </row>
    <row r="855">
      <c r="H855" t="s">
        <v>22</v>
      </c>
    </row>
    <row r="856">
      <c r="H856" t="s">
        <v>22</v>
      </c>
    </row>
    <row r="857">
      <c r="H857" t="s">
        <v>22</v>
      </c>
    </row>
    <row r="858">
      <c r="H858" t="s">
        <v>22</v>
      </c>
    </row>
    <row r="859">
      <c r="H859" t="s">
        <v>22</v>
      </c>
    </row>
    <row r="860">
      <c r="H860" t="s">
        <v>22</v>
      </c>
    </row>
    <row r="861">
      <c r="H861" t="s">
        <v>22</v>
      </c>
    </row>
    <row r="862">
      <c r="H862" t="s">
        <v>22</v>
      </c>
    </row>
    <row r="863">
      <c r="H863" t="s">
        <v>22</v>
      </c>
    </row>
    <row r="864">
      <c r="H864" t="s">
        <v>22</v>
      </c>
    </row>
    <row r="865">
      <c r="H865" t="s">
        <v>22</v>
      </c>
    </row>
    <row r="866">
      <c r="H866" t="s">
        <v>22</v>
      </c>
    </row>
    <row r="867">
      <c r="H867" t="s">
        <v>22</v>
      </c>
    </row>
    <row r="868">
      <c r="H868" t="s">
        <v>22</v>
      </c>
    </row>
    <row r="869">
      <c r="H869" t="s">
        <v>22</v>
      </c>
    </row>
    <row r="870">
      <c r="H870" t="s">
        <v>22</v>
      </c>
    </row>
    <row r="871">
      <c r="H871" t="s">
        <v>22</v>
      </c>
    </row>
    <row r="872">
      <c r="H872" t="s">
        <v>22</v>
      </c>
    </row>
    <row r="873">
      <c r="H873" t="s">
        <v>22</v>
      </c>
    </row>
    <row r="874">
      <c r="H874" t="s">
        <v>22</v>
      </c>
    </row>
    <row r="875">
      <c r="H875" t="s">
        <v>22</v>
      </c>
    </row>
    <row r="876">
      <c r="H876" t="s">
        <v>22</v>
      </c>
    </row>
    <row r="877">
      <c r="H877" t="s">
        <v>22</v>
      </c>
    </row>
    <row r="878">
      <c r="H878" t="s">
        <v>22</v>
      </c>
    </row>
    <row r="879">
      <c r="H879" t="s">
        <v>22</v>
      </c>
    </row>
    <row r="880">
      <c r="H880" t="s">
        <v>22</v>
      </c>
    </row>
    <row r="881">
      <c r="H881" t="s">
        <v>22</v>
      </c>
    </row>
    <row r="882">
      <c r="H882" t="s">
        <v>22</v>
      </c>
    </row>
    <row r="883">
      <c r="H883" t="s">
        <v>22</v>
      </c>
    </row>
    <row r="884">
      <c r="H884" t="s">
        <v>22</v>
      </c>
    </row>
    <row r="885">
      <c r="H885" t="s">
        <v>22</v>
      </c>
    </row>
    <row r="886">
      <c r="H886" t="s">
        <v>22</v>
      </c>
    </row>
    <row r="887">
      <c r="H887" t="s">
        <v>22</v>
      </c>
    </row>
    <row r="888">
      <c r="H888" t="s">
        <v>22</v>
      </c>
    </row>
    <row r="889">
      <c r="H889" t="s">
        <v>22</v>
      </c>
    </row>
    <row r="890">
      <c r="H890" t="s">
        <v>22</v>
      </c>
    </row>
    <row r="891">
      <c r="H891" t="s">
        <v>22</v>
      </c>
    </row>
    <row r="892">
      <c r="H892" t="s">
        <v>22</v>
      </c>
    </row>
    <row r="893">
      <c r="H893" t="s">
        <v>22</v>
      </c>
    </row>
    <row r="894">
      <c r="H894" t="s">
        <v>22</v>
      </c>
    </row>
    <row r="895">
      <c r="H895" t="s">
        <v>22</v>
      </c>
    </row>
    <row r="896">
      <c r="H896" t="s">
        <v>22</v>
      </c>
    </row>
    <row r="897">
      <c r="H897" t="s">
        <v>22</v>
      </c>
    </row>
    <row r="898">
      <c r="H898" t="s">
        <v>22</v>
      </c>
    </row>
    <row r="899">
      <c r="H899" t="s">
        <v>22</v>
      </c>
    </row>
    <row r="900">
      <c r="H900" t="s">
        <v>22</v>
      </c>
    </row>
    <row r="901">
      <c r="H901" t="s">
        <v>22</v>
      </c>
    </row>
    <row r="902">
      <c r="H902" t="s">
        <v>22</v>
      </c>
    </row>
    <row r="903">
      <c r="H903" t="s">
        <v>22</v>
      </c>
    </row>
    <row r="904">
      <c r="H904" t="s">
        <v>22</v>
      </c>
    </row>
    <row r="905">
      <c r="H905" t="s">
        <v>22</v>
      </c>
    </row>
    <row r="906">
      <c r="H906" t="s">
        <v>22</v>
      </c>
    </row>
    <row r="907">
      <c r="H907" t="s">
        <v>22</v>
      </c>
    </row>
    <row r="908">
      <c r="H908" t="s">
        <v>22</v>
      </c>
    </row>
    <row r="909">
      <c r="H909" t="s">
        <v>22</v>
      </c>
    </row>
    <row r="910">
      <c r="H910" t="s">
        <v>22</v>
      </c>
    </row>
    <row r="911">
      <c r="H911" t="s">
        <v>22</v>
      </c>
    </row>
    <row r="912">
      <c r="H912" t="s">
        <v>22</v>
      </c>
    </row>
    <row r="913">
      <c r="H913" t="s">
        <v>22</v>
      </c>
    </row>
    <row r="914">
      <c r="H914" t="s">
        <v>22</v>
      </c>
    </row>
    <row r="915">
      <c r="H915" t="s">
        <v>22</v>
      </c>
    </row>
    <row r="916">
      <c r="H916" t="s">
        <v>22</v>
      </c>
    </row>
    <row r="917">
      <c r="H917" t="s">
        <v>22</v>
      </c>
    </row>
    <row r="918">
      <c r="H918" t="s">
        <v>22</v>
      </c>
    </row>
    <row r="919">
      <c r="H919" t="s">
        <v>22</v>
      </c>
    </row>
    <row r="920">
      <c r="H920" t="s">
        <v>22</v>
      </c>
    </row>
    <row r="921">
      <c r="H921" t="s">
        <v>22</v>
      </c>
    </row>
    <row r="922">
      <c r="H922" t="s">
        <v>22</v>
      </c>
    </row>
    <row r="923">
      <c r="H923" t="s">
        <v>22</v>
      </c>
    </row>
    <row r="924">
      <c r="H924" t="s">
        <v>22</v>
      </c>
    </row>
    <row r="925">
      <c r="H925" t="s">
        <v>22</v>
      </c>
    </row>
    <row r="926">
      <c r="H926" t="s">
        <v>22</v>
      </c>
    </row>
    <row r="927">
      <c r="H927" t="s">
        <v>22</v>
      </c>
    </row>
    <row r="928">
      <c r="H928" t="s">
        <v>22</v>
      </c>
    </row>
    <row r="929">
      <c r="H929" t="s">
        <v>22</v>
      </c>
    </row>
    <row r="930">
      <c r="H930" t="s">
        <v>22</v>
      </c>
    </row>
    <row r="931">
      <c r="H931" t="s">
        <v>22</v>
      </c>
    </row>
    <row r="932">
      <c r="H932" t="s">
        <v>22</v>
      </c>
    </row>
    <row r="933">
      <c r="H933" t="s">
        <v>22</v>
      </c>
    </row>
    <row r="934">
      <c r="H934" t="s">
        <v>22</v>
      </c>
    </row>
    <row r="935">
      <c r="H935" t="s">
        <v>22</v>
      </c>
    </row>
    <row r="936">
      <c r="H936" t="s">
        <v>22</v>
      </c>
    </row>
    <row r="937">
      <c r="H937" t="s">
        <v>22</v>
      </c>
    </row>
    <row r="938">
      <c r="H938" t="s">
        <v>22</v>
      </c>
    </row>
    <row r="939">
      <c r="H939" t="s">
        <v>22</v>
      </c>
    </row>
    <row r="940">
      <c r="H940" t="s">
        <v>22</v>
      </c>
    </row>
    <row r="941">
      <c r="H941" t="s">
        <v>22</v>
      </c>
    </row>
    <row r="942">
      <c r="H942" t="s">
        <v>22</v>
      </c>
    </row>
    <row r="943">
      <c r="H943" t="s">
        <v>22</v>
      </c>
    </row>
    <row r="944">
      <c r="H944" t="s">
        <v>22</v>
      </c>
    </row>
    <row r="945">
      <c r="H945" t="s">
        <v>22</v>
      </c>
    </row>
    <row r="946">
      <c r="H946" t="s">
        <v>22</v>
      </c>
    </row>
    <row r="947">
      <c r="H947" t="s">
        <v>22</v>
      </c>
    </row>
    <row r="948">
      <c r="H948" t="s">
        <v>22</v>
      </c>
    </row>
    <row r="949">
      <c r="H949" t="s">
        <v>22</v>
      </c>
    </row>
    <row r="950">
      <c r="H950" t="s">
        <v>22</v>
      </c>
    </row>
    <row r="951">
      <c r="H951" t="s">
        <v>22</v>
      </c>
    </row>
    <row r="952">
      <c r="H952" t="s">
        <v>22</v>
      </c>
    </row>
    <row r="953">
      <c r="H953" t="s">
        <v>22</v>
      </c>
    </row>
    <row r="954">
      <c r="H954" t="s">
        <v>22</v>
      </c>
    </row>
    <row r="955">
      <c r="H955" t="s">
        <v>22</v>
      </c>
    </row>
    <row r="956">
      <c r="H956" t="s">
        <v>22</v>
      </c>
    </row>
    <row r="957">
      <c r="H957" t="s">
        <v>22</v>
      </c>
    </row>
    <row r="958">
      <c r="H958" t="s">
        <v>22</v>
      </c>
    </row>
    <row r="959">
      <c r="H959" t="s">
        <v>22</v>
      </c>
    </row>
    <row r="960">
      <c r="H960" t="s">
        <v>22</v>
      </c>
    </row>
    <row r="961">
      <c r="H961" t="s">
        <v>22</v>
      </c>
    </row>
    <row r="962">
      <c r="H962" t="s">
        <v>22</v>
      </c>
    </row>
    <row r="963">
      <c r="H963" t="s">
        <v>22</v>
      </c>
    </row>
    <row r="964">
      <c r="H964" t="s">
        <v>22</v>
      </c>
    </row>
    <row r="965">
      <c r="H965" t="s">
        <v>22</v>
      </c>
    </row>
    <row r="966">
      <c r="H966" t="s">
        <v>22</v>
      </c>
    </row>
    <row r="967">
      <c r="H967" t="s">
        <v>22</v>
      </c>
    </row>
    <row r="968">
      <c r="H968" t="s">
        <v>22</v>
      </c>
    </row>
    <row r="969">
      <c r="H969" t="s">
        <v>22</v>
      </c>
    </row>
    <row r="970">
      <c r="H970" t="s">
        <v>22</v>
      </c>
    </row>
    <row r="971">
      <c r="H971" t="s">
        <v>22</v>
      </c>
    </row>
    <row r="972">
      <c r="H972" t="s">
        <v>22</v>
      </c>
    </row>
    <row r="973">
      <c r="H973" t="s">
        <v>22</v>
      </c>
    </row>
    <row r="974">
      <c r="H974" t="s">
        <v>22</v>
      </c>
    </row>
    <row r="975">
      <c r="H975" t="s">
        <v>22</v>
      </c>
    </row>
    <row r="976">
      <c r="H976" t="s">
        <v>22</v>
      </c>
    </row>
    <row r="977">
      <c r="H977" t="s">
        <v>22</v>
      </c>
    </row>
    <row r="978">
      <c r="H978" t="s">
        <v>22</v>
      </c>
    </row>
    <row r="979">
      <c r="H979" t="s">
        <v>22</v>
      </c>
    </row>
    <row r="980">
      <c r="H980" t="s">
        <v>22</v>
      </c>
    </row>
    <row r="981">
      <c r="H981" t="s">
        <v>22</v>
      </c>
    </row>
    <row r="982">
      <c r="H982" t="s">
        <v>22</v>
      </c>
    </row>
    <row r="983">
      <c r="H983" t="s">
        <v>22</v>
      </c>
    </row>
    <row r="984">
      <c r="H984" t="s">
        <v>22</v>
      </c>
    </row>
    <row r="985">
      <c r="H985" t="s">
        <v>22</v>
      </c>
    </row>
    <row r="986">
      <c r="H986" t="s">
        <v>22</v>
      </c>
    </row>
    <row r="987">
      <c r="H987" t="s">
        <v>22</v>
      </c>
    </row>
    <row r="988">
      <c r="H988" t="s">
        <v>22</v>
      </c>
    </row>
    <row r="989">
      <c r="H989" t="s">
        <v>22</v>
      </c>
    </row>
    <row r="990">
      <c r="H990" t="s">
        <v>22</v>
      </c>
    </row>
    <row r="991">
      <c r="H991" t="s">
        <v>22</v>
      </c>
    </row>
    <row r="992">
      <c r="H992" t="s">
        <v>22</v>
      </c>
    </row>
    <row r="993">
      <c r="H993" t="s">
        <v>22</v>
      </c>
    </row>
    <row r="994">
      <c r="H994" t="s">
        <v>22</v>
      </c>
    </row>
    <row r="995">
      <c r="H995" t="s">
        <v>22</v>
      </c>
    </row>
    <row r="996">
      <c r="H996" t="s">
        <v>22</v>
      </c>
    </row>
    <row r="997">
      <c r="H997" t="s">
        <v>22</v>
      </c>
    </row>
    <row r="998">
      <c r="H998" t="s">
        <v>22</v>
      </c>
    </row>
    <row r="999">
      <c r="H999" t="s">
        <v>22</v>
      </c>
    </row>
    <row r="1000">
      <c r="H1000" t="s">
        <v>22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s>
  <sheetData>
    <row r="1">
      <c r="A1" s="45" t="s">
        <v>151</v>
      </c>
      <c r="B1" s="45" t="s">
        <v>780</v>
      </c>
    </row>
    <row r="2">
      <c r="A2" t="s">
        <v>1041</v>
      </c>
      <c r="B2" s="45">
        <v>9.0</v>
      </c>
    </row>
    <row r="3">
      <c r="A3" t="s">
        <v>71</v>
      </c>
      <c r="B3" s="45">
        <v>12.0</v>
      </c>
    </row>
    <row r="4">
      <c r="A4" t="s">
        <v>1042</v>
      </c>
    </row>
    <row r="5">
      <c r="A5" t="s">
        <v>92</v>
      </c>
    </row>
    <row r="6">
      <c r="A6" t="s">
        <v>1043</v>
      </c>
      <c r="B6" s="45">
        <v>10.0</v>
      </c>
    </row>
    <row r="7">
      <c r="A7" t="s">
        <v>54</v>
      </c>
      <c r="B7" s="45">
        <v>12.0</v>
      </c>
    </row>
    <row r="8">
      <c r="A8" t="s">
        <v>1044</v>
      </c>
    </row>
    <row r="9">
      <c r="A9" t="s">
        <v>1045</v>
      </c>
      <c r="B9" s="45">
        <v>12.0</v>
      </c>
    </row>
    <row r="10">
      <c r="A10" t="s">
        <v>1046</v>
      </c>
      <c r="B10" s="45">
        <v>11.0</v>
      </c>
    </row>
    <row r="11">
      <c r="A11" t="s">
        <v>1047</v>
      </c>
      <c r="B11" s="45">
        <v>9.0</v>
      </c>
    </row>
    <row r="12">
      <c r="A12" t="s">
        <v>95</v>
      </c>
      <c r="B12" s="45">
        <v>10.0</v>
      </c>
    </row>
    <row r="13">
      <c r="A13" t="s">
        <v>40</v>
      </c>
      <c r="B13" s="45">
        <v>9.0</v>
      </c>
    </row>
    <row r="14">
      <c r="A14" t="s">
        <v>82</v>
      </c>
      <c r="B14" s="45">
        <v>12.0</v>
      </c>
    </row>
    <row r="15">
      <c r="A15" t="s">
        <v>1048</v>
      </c>
      <c r="B15" s="45">
        <v>9.0</v>
      </c>
    </row>
    <row r="16">
      <c r="A16" t="s">
        <v>1049</v>
      </c>
      <c r="B16" s="45">
        <v>10.0</v>
      </c>
    </row>
    <row r="17">
      <c r="A17" t="s">
        <v>1050</v>
      </c>
      <c r="B17" s="45">
        <v>9.0</v>
      </c>
    </row>
    <row r="18">
      <c r="A18" t="s">
        <v>1051</v>
      </c>
      <c r="B18" s="45">
        <v>12.0</v>
      </c>
    </row>
    <row r="19">
      <c r="A19" t="s">
        <v>1052</v>
      </c>
      <c r="B19" s="45">
        <v>11.0</v>
      </c>
    </row>
    <row r="20">
      <c r="A20" t="s">
        <v>1053</v>
      </c>
      <c r="B20" s="45">
        <v>12.0</v>
      </c>
    </row>
    <row r="21">
      <c r="A21" t="s">
        <v>90</v>
      </c>
      <c r="B21" s="45">
        <v>11.0</v>
      </c>
    </row>
    <row r="22">
      <c r="A22" t="s">
        <v>56</v>
      </c>
      <c r="B22" s="45">
        <v>10.0</v>
      </c>
    </row>
    <row r="23">
      <c r="A23" t="s">
        <v>1054</v>
      </c>
      <c r="B23" s="45">
        <v>11.0</v>
      </c>
    </row>
    <row r="24">
      <c r="A24" t="s">
        <v>1055</v>
      </c>
      <c r="B24" s="45">
        <v>12.0</v>
      </c>
    </row>
    <row r="25">
      <c r="A25" t="s">
        <v>1056</v>
      </c>
      <c r="B25" s="45">
        <v>9.0</v>
      </c>
    </row>
    <row r="26">
      <c r="A26" t="s">
        <v>1057</v>
      </c>
      <c r="B26" s="45">
        <v>11.0</v>
      </c>
    </row>
    <row r="27">
      <c r="A27" t="s">
        <v>1058</v>
      </c>
      <c r="B27" s="45">
        <v>10.0</v>
      </c>
    </row>
    <row r="28">
      <c r="A28" t="s">
        <v>120</v>
      </c>
      <c r="B28" s="45">
        <v>9.0</v>
      </c>
    </row>
    <row r="29">
      <c r="A29" t="s">
        <v>1059</v>
      </c>
    </row>
  </sheetData>
  <drawing r:id="rId1"/>
</worksheet>
</file>